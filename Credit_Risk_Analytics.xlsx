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613f94ff0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0779c88eee146f5"/>
    <x:sheet xmlns:r="http://schemas.openxmlformats.org/officeDocument/2006/relationships" name="Dashboard" sheetId="2" r:id="R39cc9fdab59a4ed0"/>
    <x:sheet xmlns:r="http://schemas.openxmlformats.org/officeDocument/2006/relationships" name="Executive Summary" sheetId="3" r:id="R7c0591d6916f4c6e"/>
    <x:sheet xmlns:r="http://schemas.openxmlformats.org/officeDocument/2006/relationships" name="Data" sheetId="4" r:id="Re7f3f5ddfbb14877"/>
    <x:sheet xmlns:r="http://schemas.openxmlformats.org/officeDocument/2006/relationships" name="Grade Risk" sheetId="5" r:id="Raa943aeea8f4417d"/>
    <x:sheet xmlns:r="http://schemas.openxmlformats.org/officeDocument/2006/relationships" name="Income Risk" sheetId="6" r:id="R0a2d291c613f45b9"/>
    <x:sheet xmlns:r="http://schemas.openxmlformats.org/officeDocument/2006/relationships" name="DTI Risk" sheetId="7" r:id="R2cf7f07104bd4853"/>
    <x:sheet xmlns:r="http://schemas.openxmlformats.org/officeDocument/2006/relationships" name="Term Risk" sheetId="8" r:id="R5bba71323b1c4e80"/>
    <x:sheet xmlns:r="http://schemas.openxmlformats.org/officeDocument/2006/relationships" name="Data Dictionary" sheetId="9" r:id="R83e3ada219914e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"/>
    <x:numFmt numFmtId="202" formatCode="0.00"/>
    <x:numFmt numFmtId="203" formatCode="#,##0.00"/>
    <x:numFmt numFmtId="204" formatCode="0.0%"/>
    <x:numFmt numFmtId="205" formatCode="#,##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FFFFFF"/>
      <x:name val="Carlito"/>
    </x:font>
    <x:font>
      <x:b/>
      <x:sz val="11"/>
      <x:color rgb="FF10243A"/>
      <x:name val="Carlito"/>
    </x:font>
    <x:font>
      <x:b/>
      <x:sz val="16"/>
      <x:color rgb="FFFFFFFF"/>
      <x:name val="Carlito"/>
    </x:font>
    <x:font>
      <x:b/>
      <x:sz val="11"/>
      <x:color rgb="FF233746"/>
      <x:name val="Carlito"/>
    </x:font>
    <x:font>
      <x:b/>
      <x:sz val="11"/>
      <x:color rgb="FF785718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A"/>
      </x:patternFill>
    </x:fill>
    <x:fill>
      <x:patternFill patternType="solid">
        <x:fgColor rgb="FF1F6175"/>
      </x:patternFill>
    </x:fill>
    <x:fill>
      <x:patternFill patternType="solid">
        <x:fgColor rgb="FFE7F0F4"/>
      </x:patternFill>
    </x:fill>
    <x:fill>
      <x:patternFill patternType="solid">
        <x:fgColor rgb="FFF0F5F7"/>
      </x:patternFill>
    </x:fill>
    <x:fill>
      <x:patternFill patternType="solid">
        <x:fgColor rgb="FFFFF3D9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203" fontId="0" fillId="0" borderId="0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3" fontId="0" fillId="0" borderId="1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4" fontId="7" fillId="6" borderId="0" xfId="0" applyNumberFormat="1" applyFont="1" applyFill="1" applyBorder="1" applyAlignment="1">
      <x:alignment vertical="center" wrapText="1"/>
    </x:xf>
    <x:xf numFmtId="204" fontId="7" fillId="6" borderId="1" xfId="0" applyNumberFormat="1" applyFont="1" applyFill="1" applyBorder="1" applyAlignment="1">
      <x:alignment vertical="center" wrapText="1"/>
    </x:xf>
    <x:xf numFmtId="205" fontId="7" fillId="6" borderId="0" xfId="0" applyNumberFormat="1" applyFont="1" applyFill="1" applyBorder="1" applyAlignment="1">
      <x:alignment vertical="center" wrapText="1"/>
    </x:xf>
    <x:xf numFmtId="205" fontId="7" fillId="6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6356a7869945b0" /><Relationship Type="http://schemas.openxmlformats.org/officeDocument/2006/relationships/theme" Target="/xl/theme/theme1.xml" Id="Rc73088de483246b2" /><Relationship Type="http://schemas.openxmlformats.org/officeDocument/2006/relationships/sharedStrings" Target="/xl/sharedStrings.xml" Id="R229c2615428f49b3" /><Relationship Type="http://schemas.openxmlformats.org/officeDocument/2006/relationships/worksheet" Target="/xl/worksheets/sheet1.xml" Id="Rb0779c88eee146f5" /><Relationship Type="http://schemas.openxmlformats.org/officeDocument/2006/relationships/worksheet" Target="/xl/worksheets/sheet2.xml" Id="R39cc9fdab59a4ed0" /><Relationship Type="http://schemas.openxmlformats.org/officeDocument/2006/relationships/worksheet" Target="/xl/worksheets/sheet3.xml" Id="R7c0591d6916f4c6e" /><Relationship Type="http://schemas.openxmlformats.org/officeDocument/2006/relationships/worksheet" Target="/xl/worksheets/sheet4.xml" Id="Re7f3f5ddfbb14877" /><Relationship Type="http://schemas.openxmlformats.org/officeDocument/2006/relationships/worksheet" Target="/xl/worksheets/sheet5.xml" Id="Raa943aeea8f4417d" /><Relationship Type="http://schemas.openxmlformats.org/officeDocument/2006/relationships/worksheet" Target="/xl/worksheets/sheet6.xml" Id="R0a2d291c613f45b9" /><Relationship Type="http://schemas.openxmlformats.org/officeDocument/2006/relationships/worksheet" Target="/xl/worksheets/sheet7.xml" Id="R2cf7f07104bd4853" /><Relationship Type="http://schemas.openxmlformats.org/officeDocument/2006/relationships/worksheet" Target="/xl/worksheets/sheet8.xml" Id="R5bba71323b1c4e80" /><Relationship Type="http://schemas.openxmlformats.org/officeDocument/2006/relationships/worksheet" Target="/xl/worksheets/sheet9.xml" Id="R83e3ada219914e28" /></Relationships>
</file>

<file path=xl/tables/table1.xml><?xml version="1.0" encoding="utf-8"?>
<x:table xmlns:x="http://schemas.openxmlformats.org/spreadsheetml/2006/main" id="1" name="LoanDataTable" displayName="LoanDataTable" ref="A1:P8001" headerRowCount="1" totalsRowCount="0" totalsRowShown="0">
  <x:tableColumns count="16">
    <x:tableColumn id="1" name="loan_id"/>
    <x:tableColumn id="2" name="issue_date"/>
    <x:tableColumn id="3" name="loan_amnt"/>
    <x:tableColumn id="4" name="annual_inc"/>
    <x:tableColumn id="5" name="dti"/>
    <x:tableColumn id="6" name="int_rate"/>
    <x:tableColumn id="7" name="term_months"/>
    <x:tableColumn id="8" name="grade"/>
    <x:tableColumn id="9" name="emp_length"/>
    <x:tableColumn id="10" name="home_ownership"/>
    <x:tableColumn id="11" name="purpose"/>
    <x:tableColumn id="12" name="delinq_2yrs"/>
    <x:tableColumn id="13" name="default_flag"/>
    <x:tableColumn id="14" name="loan_status"/>
    <x:tableColumn id="15" name="income_band"/>
    <x:tableColumn id="16" name="dti_ba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deRiskTable" displayName="GradeRiskTable" ref="A3:F10" headerRowCount="1" totalsRowCount="0" totalsRowShown="0">
  <x:tableColumns count="6">
    <x:tableColumn id="1" name="Segment"/>
    <x:tableColumn id="2" name="Loans"/>
    <x:tableColumn id="3" name="Defaults"/>
    <x:tableColumn id="4" name="Default rate"/>
    <x:tableColumn id="5" name="Average loan amount"/>
    <x:tableColumn id="6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comeRiskTable" displayName="IncomeRiskTable" ref="A3:F9" headerRowCount="1" totalsRowCount="0" totalsRowShown="0">
  <x:tableColumns count="6">
    <x:tableColumn id="1" name="Segment"/>
    <x:tableColumn id="2" name="Loans"/>
    <x:tableColumn id="3" name="Defaults"/>
    <x:tableColumn id="4" name="Default rate"/>
    <x:tableColumn id="5" name="Average loan amount"/>
    <x:tableColumn id="6" name="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TIRiskTable" displayName="DTIRiskTable" ref="A3:F9" headerRowCount="1" totalsRowCount="0" totalsRowShown="0">
  <x:tableColumns count="6">
    <x:tableColumn id="1" name="Segment"/>
    <x:tableColumn id="2" name="Loans"/>
    <x:tableColumn id="3" name="Defaults"/>
    <x:tableColumn id="4" name="Default rate"/>
    <x:tableColumn id="5" name="Average loan amount"/>
    <x:tableColumn id="6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rmRiskTable" displayName="TermRiskTable" ref="A3:F5" headerRowCount="1" totalsRowCount="0" totalsRowShown="0">
  <x:tableColumns count="6">
    <x:tableColumn id="1" name="Segment"/>
    <x:tableColumn id="2" name="Loans"/>
    <x:tableColumn id="3" name="Defaults"/>
    <x:tableColumn id="4" name="Default rate"/>
    <x:tableColumn id="5" name="Average loan amount"/>
    <x:tableColumn id="6" name="Interpre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DictionaryTable" displayName="DataDictionaryTable" ref="A1:C12" headerRowCount="1" totalsRowCount="0" totalsRowShown="0">
  <x:tableColumns count="3">
    <x:tableColumn id="1" name="Field"/>
    <x:tableColumn id="2" name="Meaning"/>
    <x:tableColumn id="3" name="Units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18455cc2ef2440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8a61de12b34a4a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e0dd873fab449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d2f9a03601a441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05f274a999743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8b1b1dd1494451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6" customHeight="1">
      <x:c r="A1" s="21" t="str">
        <x:v>CREDIT RISK &amp; LOAN ANALYTICS</x:v>
      </x:c>
      <x:c r="B1" s="21"/>
      <x:c r="C1" s="21"/>
      <x:c r="D1" s="21"/>
      <x:c r="E1" s="21"/>
      <x:c r="F1" s="21"/>
      <x:c r="G1" s="21"/>
      <x:c r="H1" s="21"/>
    </x:row>
    <x:row r="2" ht="24" customHeight="1">
      <x:c r="A2" s="25" t="str">
        <x:v>Excel companion workbook | Synthetic demo data | Built for portfolio learning</x:v>
      </x:c>
      <x:c r="B2" s="25"/>
      <x:c r="C2" s="25"/>
      <x:c r="D2" s="25"/>
      <x:c r="E2" s="25"/>
      <x:c r="F2" s="25"/>
      <x:c r="G2" s="25"/>
      <x:c r="H2" s="25"/>
    </x:row>
    <x:row r="4" ht="32" customHeight="1">
      <x:c r="A4" s="30" t="str">
        <x:v>Purpose</x:v>
      </x:c>
      <x:c r="B4" s="30" t="str">
        <x:v>What this workbook demonstrates</x:v>
      </x:c>
    </x:row>
    <x:row r="5" ht="32" customHeight="1">
      <x:c r="A5" s="34" t="str">
        <x:v>Data source</x:v>
      </x:c>
      <x:c r="B5" s="34" t="str">
        <x:v>8,000 synthetic loan records generated deterministically; not LendingClub data.</x:v>
      </x:c>
    </x:row>
    <x:row r="6" ht="32" customHeight="1">
      <x:c r="A6" s="34" t="str">
        <x:v>Analysis</x:v>
      </x:c>
      <x:c r="B6" s="34" t="str">
        <x:v>Portfolio KPIs and default-rate segmentation by grade, income, DTI and term.</x:v>
      </x:c>
    </x:row>
    <x:row r="7" ht="32" customHeight="1">
      <x:c r="A7" s="34" t="str">
        <x:v>Modeling</x:v>
      </x:c>
      <x:c r="B7" s="34" t="str">
        <x:v>Model evaluation lives in the companion Python pipeline; it is not estimated in this workbook.</x:v>
      </x:c>
    </x:row>
    <x:row r="8" ht="32" customHeight="1">
      <x:c r="A8" s="34" t="str">
        <x:v>Use caution</x:v>
      </x:c>
      <x:c r="B8" s="34" t="str">
        <x:v>Never quote synthetic output as a verified business result or real borrower statistic.</x:v>
      </x:c>
    </x:row>
    <x:row r="10">
      <x:c r="A10" s="29" t="str">
        <x:v>Recommended reading</x:v>
      </x:c>
      <x:c r="B10" s="29" t="str">
        <x:v>File</x:v>
      </x:c>
    </x:row>
    <x:row r="11">
      <x:c r="A11" s="34" t="str">
        <x:v>Methods &amp; split design</x:v>
      </x:c>
      <x:c r="B11" s="34" t="str">
        <x:v>docs/METHODOLOGY.md</x:v>
      </x:c>
    </x:row>
    <x:row r="12">
      <x:c r="A12" s="34" t="str">
        <x:v>Power BI build guide</x:v>
      </x:c>
      <x:c r="B12" s="34" t="str">
        <x:v>docs/POWER_BI_BUILD_GUIDE.md</x:v>
      </x:c>
    </x:row>
    <x:row r="13">
      <x:c r="A13" s="34" t="str">
        <x:v>Data notice</x:v>
      </x:c>
      <x:c r="B13" s="34" t="str">
        <x:v>data/sample/DATA_NOTICE.md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9" hidden="0" customWidth="1"/>
    <x:col min="5" max="5" width="18" hidden="0" customWidth="1"/>
    <x:col min="6" max="6" width="16" hidden="0" customWidth="1"/>
    <x:col min="4" max="4" width="18" hidden="0" customWidth="1"/>
  </x:cols>
  <x:sheetData>
    <x:row r="1" ht="38" customHeight="1">
      <x:c r="A1" s="21" t="str">
        <x:v>CREDIT RISK | PORTFOLIO DASHBOARD</x:v>
      </x:c>
      <x:c r="B1" s="21"/>
      <x:c r="C1" s="21"/>
      <x:c r="D1" s="21"/>
      <x:c r="E1" s="21"/>
      <x:c r="F1" s="21"/>
      <x:c r="G1" s="21"/>
      <x:c r="H1" s="21"/>
    </x:row>
    <x:row r="2" ht="24" customHeight="1">
      <x:c r="A2" s="25" t="str">
        <x:v>Executive view · all figures below use synthetic demo data</x:v>
      </x:c>
      <x:c r="B2" s="25"/>
      <x:c r="C2" s="25"/>
      <x:c r="D2" s="25"/>
      <x:c r="E2" s="25"/>
      <x:c r="F2" s="25"/>
      <x:c r="G2" s="25"/>
      <x:c r="H2" s="25"/>
    </x:row>
    <x:row r="4" ht="25" customHeight="1">
      <x:c r="A4" s="29" t="str">
        <x:v>Metric</x:v>
      </x:c>
      <x:c r="B4" s="29" t="str">
        <x:v>Value</x:v>
      </x:c>
      <x:c r="D4" s="38" t="str">
        <x:v>Grade</x:v>
      </x:c>
      <x:c r="E4" s="38" t="str">
        <x:v>Default rate</x:v>
      </x:c>
      <x:c r="F4" s="38" t="str">
        <x:v>Loans</x:v>
      </x:c>
    </x:row>
    <x:row r="5" ht="24" customHeight="1">
      <x:c r="A5" s="64" t="str">
        <x:v>Total loans</x:v>
      </x:c>
      <x:c r="B5" s="62" t="n">
        <x:f>'Executive Summary'!B4</x:f>
        <x:v>8000</x:v>
      </x:c>
      <x:c r="D5" s="64" t="str">
        <x:f>'Grade Risk'!A4</x:f>
        <x:v>A</x:v>
      </x:c>
      <x:c r="E5" s="40" t="n">
        <x:f>'Grade Risk'!D4</x:f>
        <x:v>0.03667481662591687</x:v>
      </x:c>
      <x:c r="F5" s="62" t="n">
        <x:f>'Grade Risk'!B4</x:f>
        <x:v>1227</x:v>
      </x:c>
    </x:row>
    <x:row r="6" ht="24" customHeight="1">
      <x:c r="A6" s="64" t="str">
        <x:v>Demo default rate</x:v>
      </x:c>
      <x:c r="B6" s="40" t="n">
        <x:f>'Executive Summary'!B6</x:f>
        <x:v>0.118375</x:v>
      </x:c>
      <x:c r="D6" s="64" t="str">
        <x:f>'Grade Risk'!A5</x:f>
        <x:v>B</x:v>
      </x:c>
      <x:c r="E6" s="40" t="n">
        <x:f>'Grade Risk'!D5</x:f>
        <x:v>0.05546492659053834</x:v>
      </x:c>
      <x:c r="F6" s="62" t="n">
        <x:f>'Grade Risk'!B5</x:f>
        <x:v>1839</x:v>
      </x:c>
    </x:row>
    <x:row r="7" ht="24" customHeight="1">
      <x:c r="A7" s="64" t="str">
        <x:v>Defaulted loans</x:v>
      </x:c>
      <x:c r="B7" s="62" t="n">
        <x:f>'Executive Summary'!B5</x:f>
        <x:v>947</x:v>
      </x:c>
      <x:c r="D7" s="64" t="str">
        <x:f>'Grade Risk'!A6</x:f>
        <x:v>C</x:v>
      </x:c>
      <x:c r="E7" s="40" t="n">
        <x:f>'Grade Risk'!D6</x:f>
        <x:v>0.08222958057395144</x:v>
      </x:c>
      <x:c r="F7" s="62" t="n">
        <x:f>'Grade Risk'!B6</x:f>
        <x:v>1812</x:v>
      </x:c>
    </x:row>
    <x:row r="8" ht="24" customHeight="1">
      <x:c r="A8" s="64" t="str">
        <x:v>Average loan</x:v>
      </x:c>
      <x:c r="B8" s="14" t="n">
        <x:f>'Executive Summary'!B9</x:f>
        <x:v>14203.675375</x:v>
      </x:c>
      <x:c r="D8" s="64" t="str">
        <x:f>'Grade Risk'!A7</x:f>
        <x:v>D</x:v>
      </x:c>
      <x:c r="E8" s="40" t="n">
        <x:f>'Grade Risk'!D7</x:f>
        <x:v>0.13712121212121212</x:v>
      </x:c>
      <x:c r="F8" s="62" t="n">
        <x:f>'Grade Risk'!B7</x:f>
        <x:v>1320</x:v>
      </x:c>
    </x:row>
    <x:row r="9" ht="24" customHeight="1">
      <x:c r="A9" s="64" t="str">
        <x:v>Defaulted loan amount</x:v>
      </x:c>
      <x:c r="B9" s="14" t="n">
        <x:f>'Executive Summary'!B8</x:f>
        <x:v>13351626</x:v>
      </x:c>
      <x:c r="D9" s="64" t="str">
        <x:f>'Grade Risk'!A8</x:f>
        <x:v>E</x:v>
      </x:c>
      <x:c r="E9" s="40" t="n">
        <x:f>'Grade Risk'!D8</x:f>
        <x:v>0.193020719738277</x:v>
      </x:c>
      <x:c r="F9" s="62" t="n">
        <x:f>'Grade Risk'!B8</x:f>
        <x:v>917</x:v>
      </x:c>
    </x:row>
    <x:row r="10" ht="24" customHeight="1">
      <x:c r="D10" s="64" t="str">
        <x:f>'Grade Risk'!A9</x:f>
        <x:v>F</x:v>
      </x:c>
      <x:c r="E10" s="40" t="n">
        <x:f>'Grade Risk'!D9</x:f>
        <x:v>0.26737967914438504</x:v>
      </x:c>
      <x:c r="F10" s="62" t="n">
        <x:f>'Grade Risk'!B9</x:f>
        <x:v>561</x:v>
      </x:c>
    </x:row>
    <x:row r="11" ht="24" customHeight="1">
      <x:c r="A11" s="66"/>
      <x:c r="B11" s="66"/>
      <x:c r="C11" s="66"/>
      <x:c r="D11" s="72" t="str">
        <x:f>'Grade Risk'!A10</x:f>
        <x:v>G</x:v>
      </x:c>
      <x:c r="E11" s="68" t="n">
        <x:f>'Grade Risk'!D10</x:f>
        <x:v>0.44135802469135804</x:v>
      </x:c>
      <x:c r="F11" s="70" t="n">
        <x:f>'Grade Risk'!B10</x:f>
        <x:v>324</x:v>
      </x:c>
      <x:c r="G11" s="66"/>
      <x:c r="H11" s="66"/>
    </x:row>
    <x:row r="12">
      <x:c r="A12" s="66"/>
      <x:c r="B12" s="66"/>
      <x:c r="C12" s="66"/>
      <x:c r="D12" s="66"/>
      <x:c r="E12" s="66"/>
      <x:c r="F12" s="66"/>
      <x:c r="G12" s="66"/>
      <x:c r="H12" s="66"/>
    </x:row>
    <x:row r="13" ht="25" customHeight="1">
      <x:c r="A13" s="66" t="str">
        <x:v>Read alongside the denominator: default-rate differences are descriptive, and small segments can be volatile. This workbook's metrics are illustrative only.</x:v>
      </x:c>
      <x:c r="B13" s="66"/>
      <x:c r="C13" s="66"/>
      <x:c r="D13" s="66"/>
      <x:c r="E13" s="66"/>
      <x:c r="F13" s="66"/>
      <x:c r="G13" s="66"/>
      <x:c r="H13" s="66"/>
    </x:row>
    <x:row r="14" ht="25" customHeight="1">
      <x:c r="A14" s="66"/>
      <x:c r="B14" s="66"/>
      <x:c r="C14" s="66"/>
      <x:c r="D14" s="66"/>
      <x:c r="E14" s="66"/>
      <x:c r="F14" s="66"/>
      <x:c r="G14" s="66"/>
      <x:c r="H14" s="66"/>
    </x:row>
  </x:sheetData>
  <x:mergeCells>
    <x:mergeCell ref="A1:H1"/>
    <x:mergeCell ref="A2:H2"/>
    <x:mergeCell ref="A13:H14"/>
  </x:mergeCells>
  <x:conditionalFormatting sqref="E5:E11">
    <x:cfRule type="dataBar" priority="1">
      <x:dataBar>
        <x:cfvo type="min"/>
        <x:cfvo type="max"/>
        <x:color rgb="FF1F617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F6175"/>
            </x14:dataBar>
          </x14:cfRule>
          <xm:sqref>E5:E11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</x:cols>
  <x:sheetData>
    <x:row r="1" ht="32" customHeight="1">
      <x:c r="A1" s="36" t="str">
        <x:v>EXECUTIVE SUMMARY — SYNTHETIC DEMO</x:v>
      </x:c>
      <x:c r="B1" s="36"/>
      <x:c r="C1" s="36"/>
      <x:c r="D1" s="36"/>
    </x:row>
    <x:row r="3">
      <x:c r="A3" s="38" t="str">
        <x:v>KPI</x:v>
      </x:c>
      <x:c r="B3" s="38" t="str">
        <x:v>Value</x:v>
      </x:c>
    </x:row>
    <x:row r="4" ht="25" customHeight="1">
      <x:c r="A4" s="43" t="str">
        <x:v>Total loans</x:v>
      </x:c>
      <x:c r="B4" s="46" t="n">
        <x:f>COUNTA(Data!A2:A8001)</x:f>
        <x:v>8000</x:v>
      </x:c>
    </x:row>
    <x:row r="5" ht="25" customHeight="1">
      <x:c r="A5" s="43" t="str">
        <x:v>Defaulted loans</x:v>
      </x:c>
      <x:c r="B5" s="46" t="n">
        <x:f>SUM(Data!M2:M8001)</x:f>
        <x:v>947</x:v>
      </x:c>
    </x:row>
    <x:row r="6" ht="25" customHeight="1">
      <x:c r="A6" s="43" t="str">
        <x:v>Observed demo default rate</x:v>
      </x:c>
      <x:c r="B6" s="47" t="n">
        <x:f>IFERROR(B5/B4,0)</x:f>
        <x:v>0.118375</x:v>
      </x:c>
    </x:row>
    <x:row r="7" ht="25" customHeight="1">
      <x:c r="A7" s="43" t="str">
        <x:v>Total original loan amount</x:v>
      </x:c>
      <x:c r="B7" s="48" t="n">
        <x:f>SUM(Data!C2:C8001)</x:f>
        <x:v>113629403</x:v>
      </x:c>
    </x:row>
    <x:row r="8" ht="25" customHeight="1">
      <x:c r="A8" s="43" t="str">
        <x:v>Defaulted original loan amount</x:v>
      </x:c>
      <x:c r="B8" s="48" t="n">
        <x:f>SUMIF(Data!M2:M8001,1,Data!C2:C8001)</x:f>
        <x:v>13351626</x:v>
      </x:c>
    </x:row>
    <x:row r="9" ht="25" customHeight="1">
      <x:c r="A9" s="43" t="str">
        <x:v>Average loan amount</x:v>
      </x:c>
      <x:c r="B9" s="48" t="n">
        <x:f>AVERAGE(Data!C2:C8001)</x:f>
        <x:v>14203.675375</x:v>
      </x:c>
    </x:row>
    <x:row r="10" ht="25" customHeight="1">
      <x:c r="A10" s="43" t="str">
        <x:v>Average annual income</x:v>
      </x:c>
      <x:c r="B10" s="48" t="n">
        <x:f>AVERAGE(Data!D2:D8001)</x:f>
        <x:v>61270.571625</x:v>
      </x:c>
    </x:row>
    <x:row r="11" ht="25" customHeight="1">
      <x:c r="A11" s="43" t="str">
        <x:v>Average DTI</x:v>
      </x:c>
      <x:c r="B11" s="47" t="n">
        <x:f>AVERAGE(Data!E2:E8001)/100</x:f>
        <x:v>0.2051688749999997</x:v>
      </x:c>
    </x:row>
    <x:row r="13" ht="32" customHeight="1">
      <x:c r="A13" s="54" t="str">
        <x:v>Caveat: results are generated from synthetic demo records and are not LendingClub findings.</x:v>
      </x:c>
      <x:c r="B13" s="54"/>
      <x:c r="C13" s="54"/>
      <x:c r="D13" s="54"/>
    </x:row>
  </x:sheetData>
  <x:mergeCells>
    <x:mergeCell ref="A1:D1"/>
    <x:mergeCell ref="A13:D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28" customHeight="1">
      <x:c r="A1" s="6" t="str">
        <x:v>loan_id</x:v>
      </x:c>
      <x:c r="B1" s="6" t="str">
        <x:v>issue_date</x:v>
      </x:c>
      <x:c r="C1" s="6" t="str">
        <x:v>loan_amnt</x:v>
      </x:c>
      <x:c r="D1" s="6" t="str">
        <x:v>annual_inc</x:v>
      </x:c>
      <x:c r="E1" s="6" t="str">
        <x:v>dti</x:v>
      </x:c>
      <x:c r="F1" s="6" t="str">
        <x:v>int_rate</x:v>
      </x:c>
      <x:c r="G1" s="6" t="str">
        <x:v>term_months</x:v>
      </x:c>
      <x:c r="H1" s="6" t="str">
        <x:v>grade</x:v>
      </x:c>
      <x:c r="I1" s="6" t="str">
        <x:v>emp_length</x:v>
      </x:c>
      <x:c r="J1" s="6" t="str">
        <x:v>home_ownership</x:v>
      </x:c>
      <x:c r="K1" s="6" t="str">
        <x:v>purpose</x:v>
      </x:c>
      <x:c r="L1" s="6" t="str">
        <x:v>delinq_2yrs</x:v>
      </x:c>
      <x:c r="M1" s="6" t="str">
        <x:v>default_flag</x:v>
      </x:c>
      <x:c r="N1" s="6" t="str">
        <x:v>loan_status</x:v>
      </x:c>
      <x:c r="O1" s="6" t="str">
        <x:v>income_band</x:v>
      </x:c>
      <x:c r="P1" s="6" t="str">
        <x:v>dti_band</x:v>
      </x:c>
    </x:row>
    <x:row r="2">
      <x:c r="A2" t="str">
        <x:v>SYN0000001</x:v>
      </x:c>
      <x:c r="B2" s="12" t="n">
        <x:v>42385</x:v>
      </x:c>
      <x:c r="C2" s="18" t="n">
        <x:v>20906</x:v>
      </x:c>
      <x:c r="D2" s="18" t="n">
        <x:v>49641</x:v>
      </x:c>
      <x:c r="E2" s="18" t="n">
        <x:v>34.32</x:v>
      </x:c>
      <x:c r="F2" s="18" t="n">
        <x:v>9.56</x:v>
      </x:c>
      <x:c r="G2" t="n">
        <x:v>60</x:v>
      </x:c>
      <x:c r="H2" t="str">
        <x:v>C</x:v>
      </x:c>
      <x:c r="I2" t="str">
        <x:v>4-6 years</x:v>
      </x:c>
      <x:c r="J2" t="str">
        <x:v>RENT</x:v>
      </x:c>
      <x:c r="K2" t="str">
        <x:v>other</x:v>
      </x:c>
      <x:c r="L2" t="n">
        <x:v>1</x:v>
      </x:c>
      <x:c r="M2" t="n">
        <x:v>0</x:v>
      </x:c>
      <x:c r="N2" t="str">
        <x:v>Fully Paid</x:v>
      </x:c>
      <x:c r="O2" t="str">
        <x:f>IF(D2="","Unknown",IF(D2&lt;25000,"&lt;$25k",IF(D2&lt;50000,"$25k-$50k",IF(D2&lt;75000,"$50k-$75k",IF(D2&lt;100000,"$75k-$100k","$100k+")))))</x:f>
        <x:v>$25k-$50k</x:v>
      </x:c>
      <x:c r="P2" t="str">
        <x:f>IF(E2="","Unknown",IF(E2&lt;10,"&lt;10",IF(E2&lt;20,"10-&lt;20",IF(E2&lt;25,"20-&lt;25",IF(E2&lt;35,"25-&lt;35","35+")))))</x:f>
        <x:v>25-&lt;35</x:v>
      </x:c>
    </x:row>
    <x:row r="3">
      <x:c r="A3" t="str">
        <x:v>SYN0000002</x:v>
      </x:c>
      <x:c r="B3" s="12" t="n">
        <x:v>42775</x:v>
      </x:c>
      <x:c r="C3" s="18" t="n">
        <x:v>10131</x:v>
      </x:c>
      <x:c r="D3" s="18" t="n">
        <x:v>31784</x:v>
      </x:c>
      <x:c r="E3" s="18" t="n">
        <x:v>14.72</x:v>
      </x:c>
      <x:c r="F3" s="18" t="n">
        <x:v>5.15</x:v>
      </x:c>
      <x:c r="G3" t="n">
        <x:v>36</x:v>
      </x:c>
      <x:c r="H3" t="str">
        <x:v>A</x:v>
      </x:c>
      <x:c r="I3" t="str">
        <x:v>10+ years</x:v>
      </x:c>
      <x:c r="J3" t="str">
        <x:v>MORTGAGE</x:v>
      </x:c>
      <x:c r="K3" t="str">
        <x:v>credit_card</x:v>
      </x:c>
      <x:c r="L3" t="n">
        <x:v>0</x:v>
      </x:c>
      <x:c r="M3" t="n">
        <x:v>0</x:v>
      </x:c>
      <x:c r="N3" t="str">
        <x:v>Fully Paid</x:v>
      </x:c>
      <x:c r="O3" t="str">
        <x:f>IF(D3="","Unknown",IF(D3&lt;25000,"&lt;$25k",IF(D3&lt;50000,"$25k-$50k",IF(D3&lt;75000,"$50k-$75k",IF(D3&lt;100000,"$75k-$100k","$100k+")))))</x:f>
        <x:v>$25k-$50k</x:v>
      </x:c>
      <x:c r="P3" t="str">
        <x:f>IF(E3="","Unknown",IF(E3&lt;10,"&lt;10",IF(E3&lt;20,"10-&lt;20",IF(E3&lt;25,"20-&lt;25",IF(E3&lt;35,"25-&lt;35","35+")))))</x:f>
        <x:v>10-&lt;20</x:v>
      </x:c>
    </x:row>
    <x:row r="4">
      <x:c r="A4" t="str">
        <x:v>SYN0000003</x:v>
      </x:c>
      <x:c r="B4" s="12" t="n">
        <x:v>41455</x:v>
      </x:c>
      <x:c r="C4" s="18" t="n">
        <x:v>7859</x:v>
      </x:c>
      <x:c r="D4" s="18" t="n">
        <x:v>37402</x:v>
      </x:c>
      <x:c r="E4" s="18" t="n">
        <x:v>33.35</x:v>
      </x:c>
      <x:c r="F4" s="18" t="n">
        <x:v>7.68</x:v>
      </x:c>
      <x:c r="G4" t="n">
        <x:v>36</x:v>
      </x:c>
      <x:c r="H4" t="str">
        <x:v>B</x:v>
      </x:c>
      <x:c r="I4" t="str">
        <x:v>4-6 years</x:v>
      </x:c>
      <x:c r="J4" t="str">
        <x:v>MORTGAGE</x:v>
      </x:c>
      <x:c r="K4" t="str">
        <x:v>medical</x:v>
      </x:c>
      <x:c r="L4" t="n">
        <x:v>1</x:v>
      </x:c>
      <x:c r="M4" t="n">
        <x:v>0</x:v>
      </x:c>
      <x:c r="N4" t="str">
        <x:v>Fully Paid</x:v>
      </x:c>
      <x:c r="O4" t="str">
        <x:f>IF(D4="","Unknown",IF(D4&lt;25000,"&lt;$25k",IF(D4&lt;50000,"$25k-$50k",IF(D4&lt;75000,"$50k-$75k",IF(D4&lt;100000,"$75k-$100k","$100k+")))))</x:f>
        <x:v>$25k-$50k</x:v>
      </x:c>
      <x:c r="P4" t="str">
        <x:f>IF(E4="","Unknown",IF(E4&lt;10,"&lt;10",IF(E4&lt;20,"10-&lt;20",IF(E4&lt;25,"20-&lt;25",IF(E4&lt;35,"25-&lt;35","35+")))))</x:f>
        <x:v>25-&lt;35</x:v>
      </x:c>
    </x:row>
    <x:row r="5">
      <x:c r="A5" t="str">
        <x:v>SYN0000004</x:v>
      </x:c>
      <x:c r="B5" s="12" t="n">
        <x:v>43225</x:v>
      </x:c>
      <x:c r="C5" s="18" t="n">
        <x:v>17608</x:v>
      </x:c>
      <x:c r="D5" s="18" t="n">
        <x:v>79555</x:v>
      </x:c>
      <x:c r="E5" s="18" t="n">
        <x:v>25.41</x:v>
      </x:c>
      <x:c r="F5" s="18" t="n">
        <x:v>11.57</x:v>
      </x:c>
      <x:c r="G5" t="n">
        <x:v>36</x:v>
      </x:c>
      <x:c r="H5" t="str">
        <x:v>D</x:v>
      </x:c>
      <x:c r="I5" t="str">
        <x:v>10+ years</x:v>
      </x:c>
      <x:c r="J5" t="str">
        <x:v>RENT</x:v>
      </x:c>
      <x:c r="K5" t="str">
        <x:v>debt_consolidation</x:v>
      </x:c>
      <x:c r="L5" t="n">
        <x:v>2</x:v>
      </x:c>
      <x:c r="M5" t="n">
        <x:v>0</x:v>
      </x:c>
      <x:c r="N5" t="str">
        <x:v>Fully Paid</x:v>
      </x:c>
      <x:c r="O5" t="str">
        <x:f>IF(D5="","Unknown",IF(D5&lt;25000,"&lt;$25k",IF(D5&lt;50000,"$25k-$50k",IF(D5&lt;75000,"$50k-$75k",IF(D5&lt;100000,"$75k-$100k","$100k+")))))</x:f>
        <x:v>$75k-$100k</x:v>
      </x:c>
      <x:c r="P5" t="str">
        <x:f>IF(E5="","Unknown",IF(E5&lt;10,"&lt;10",IF(E5&lt;20,"10-&lt;20",IF(E5&lt;25,"20-&lt;25",IF(E5&lt;35,"25-&lt;35","35+")))))</x:f>
        <x:v>25-&lt;35</x:v>
      </x:c>
    </x:row>
    <x:row r="6">
      <x:c r="A6" t="str">
        <x:v>SYN0000005</x:v>
      </x:c>
      <x:c r="B6" s="12" t="n">
        <x:v>43195</x:v>
      </x:c>
      <x:c r="C6" s="18" t="n">
        <x:v>28393</x:v>
      </x:c>
      <x:c r="D6" s="18" t="n">
        <x:v>54062</x:v>
      </x:c>
      <x:c r="E6" s="18" t="n">
        <x:v>17.08</x:v>
      </x:c>
      <x:c r="F6" s="18" t="n">
        <x:v>10.98</x:v>
      </x:c>
      <x:c r="G6" t="n">
        <x:v>36</x:v>
      </x:c>
      <x:c r="H6" t="str">
        <x:v>C</x:v>
      </x:c>
      <x:c r="I6" t="str">
        <x:v>10+ years</x:v>
      </x:c>
      <x:c r="J6" t="str">
        <x:v>MORTGAGE</x:v>
      </x:c>
      <x:c r="K6" t="str">
        <x:v>major_purchase</x:v>
      </x:c>
      <x:c r="L6" t="n">
        <x:v>1</x:v>
      </x:c>
      <x:c r="M6" t="n">
        <x:v>0</x:v>
      </x:c>
      <x:c r="N6" t="str">
        <x:v>Fully Paid</x:v>
      </x:c>
      <x:c r="O6" t="str">
        <x:f>IF(D6="","Unknown",IF(D6&lt;25000,"&lt;$25k",IF(D6&lt;50000,"$25k-$50k",IF(D6&lt;75000,"$50k-$75k",IF(D6&lt;100000,"$75k-$100k","$100k+")))))</x:f>
        <x:v>$50k-$75k</x:v>
      </x:c>
      <x:c r="P6" t="str">
        <x:f>IF(E6="","Unknown",IF(E6&lt;10,"&lt;10",IF(E6&lt;20,"10-&lt;20",IF(E6&lt;25,"20-&lt;25",IF(E6&lt;35,"25-&lt;35","35+")))))</x:f>
        <x:v>10-&lt;20</x:v>
      </x:c>
    </x:row>
    <x:row r="7">
      <x:c r="A7" t="str">
        <x:v>SYN0000006</x:v>
      </x:c>
      <x:c r="B7" s="12" t="n">
        <x:v>42265</x:v>
      </x:c>
      <x:c r="C7" s="18" t="n">
        <x:v>31554</x:v>
      </x:c>
      <x:c r="D7" s="18" t="n">
        <x:v>55701</x:v>
      </x:c>
      <x:c r="E7" s="18" t="n">
        <x:v>22.2</x:v>
      </x:c>
      <x:c r="F7" s="18" t="n">
        <x:v>8.6</x:v>
      </x:c>
      <x:c r="G7" t="n">
        <x:v>36</x:v>
      </x:c>
      <x:c r="H7" t="str">
        <x:v>A</x:v>
      </x:c>
      <x:c r="I7" t="str">
        <x:v>10+ years</x:v>
      </x:c>
      <x:c r="J7" t="str">
        <x:v>RENT</x:v>
      </x:c>
      <x:c r="K7" t="str">
        <x:v>other</x:v>
      </x:c>
      <x:c r="L7" t="n">
        <x:v>0</x:v>
      </x:c>
      <x:c r="M7" t="n">
        <x:v>0</x:v>
      </x:c>
      <x:c r="N7" t="str">
        <x:v>Fully Paid</x:v>
      </x:c>
      <x:c r="O7" t="str">
        <x:f>IF(D7="","Unknown",IF(D7&lt;25000,"&lt;$25k",IF(D7&lt;50000,"$25k-$50k",IF(D7&lt;75000,"$50k-$75k",IF(D7&lt;100000,"$75k-$100k","$100k+")))))</x:f>
        <x:v>$50k-$75k</x:v>
      </x:c>
      <x:c r="P7" t="str">
        <x:f>IF(E7="","Unknown",IF(E7&lt;10,"&lt;10",IF(E7&lt;20,"10-&lt;20",IF(E7&lt;25,"20-&lt;25",IF(E7&lt;35,"25-&lt;35","35+")))))</x:f>
        <x:v>20-&lt;25</x:v>
      </x:c>
    </x:row>
    <x:row r="8">
      <x:c r="A8" t="str">
        <x:v>SYN0000007</x:v>
      </x:c>
      <x:c r="B8" s="12" t="n">
        <x:v>42085</x:v>
      </x:c>
      <x:c r="C8" s="18" t="n">
        <x:v>3780</x:v>
      </x:c>
      <x:c r="D8" s="18" t="n">
        <x:v>13168</x:v>
      </x:c>
      <x:c r="E8" s="18" t="n">
        <x:v>41.58</x:v>
      </x:c>
      <x:c r="F8" s="18" t="n">
        <x:v>23.02</x:v>
      </x:c>
      <x:c r="G8" t="n">
        <x:v>36</x:v>
      </x:c>
      <x:c r="H8" t="str">
        <x:v>F</x:v>
      </x:c>
      <x:c r="I8" t="str">
        <x:v>10+ years</x:v>
      </x:c>
      <x:c r="J8" t="str">
        <x:v>MORTGAGE</x:v>
      </x:c>
      <x:c r="K8" t="str">
        <x:v>debt_consolidation</x:v>
      </x:c>
      <x:c r="L8" t="n">
        <x:v>0</x:v>
      </x:c>
      <x:c r="M8" t="n">
        <x:v>0</x:v>
      </x:c>
      <x:c r="N8" t="str">
        <x:v>Fully Paid</x:v>
      </x:c>
      <x:c r="O8" t="str">
        <x:f>IF(D8="","Unknown",IF(D8&lt;25000,"&lt;$25k",IF(D8&lt;50000,"$25k-$50k",IF(D8&lt;75000,"$50k-$75k",IF(D8&lt;100000,"$75k-$100k","$100k+")))))</x:f>
        <x:v>&lt;$25k</x:v>
      </x:c>
      <x:c r="P8" t="str">
        <x:f>IF(E8="","Unknown",IF(E8&lt;10,"&lt;10",IF(E8&lt;20,"10-&lt;20",IF(E8&lt;25,"20-&lt;25",IF(E8&lt;35,"25-&lt;35","35+")))))</x:f>
        <x:v>35+</x:v>
      </x:c>
    </x:row>
    <x:row r="9">
      <x:c r="A9" t="str">
        <x:v>SYN0000008</x:v>
      </x:c>
      <x:c r="B9" s="12" t="n">
        <x:v>41755</x:v>
      </x:c>
      <x:c r="C9" s="18" t="n">
        <x:v>14328</x:v>
      </x:c>
      <x:c r="D9" s="18" t="n">
        <x:v>19870</x:v>
      </x:c>
      <x:c r="E9" s="18" t="n">
        <x:v>26.05</x:v>
      </x:c>
      <x:c r="F9" s="18" t="n">
        <x:v>15.76</x:v>
      </x:c>
      <x:c r="G9" t="n">
        <x:v>60</x:v>
      </x:c>
      <x:c r="H9" t="str">
        <x:v>E</x:v>
      </x:c>
      <x:c r="I9" t="str">
        <x:v>4-6 years</x:v>
      </x:c>
      <x:c r="J9" t="str">
        <x:v>MORTGAGE</x:v>
      </x:c>
      <x:c r="K9" t="str">
        <x:v>home_improvement</x:v>
      </x:c>
      <x:c r="L9" t="n">
        <x:v>0</x:v>
      </x:c>
      <x:c r="M9" t="n">
        <x:v>1</x:v>
      </x:c>
      <x:c r="N9" t="str">
        <x:v>Charged Off</x:v>
      </x:c>
      <x:c r="O9" t="str">
        <x:f>IF(D9="","Unknown",IF(D9&lt;25000,"&lt;$25k",IF(D9&lt;50000,"$25k-$50k",IF(D9&lt;75000,"$50k-$75k",IF(D9&lt;100000,"$75k-$100k","$100k+")))))</x:f>
        <x:v>&lt;$25k</x:v>
      </x:c>
      <x:c r="P9" t="str">
        <x:f>IF(E9="","Unknown",IF(E9&lt;10,"&lt;10",IF(E9&lt;20,"10-&lt;20",IF(E9&lt;25,"20-&lt;25",IF(E9&lt;35,"25-&lt;35","35+")))))</x:f>
        <x:v>25-&lt;35</x:v>
      </x:c>
    </x:row>
    <x:row r="10">
      <x:c r="A10" t="str">
        <x:v>SYN0000009</x:v>
      </x:c>
      <x:c r="B10" s="12" t="n">
        <x:v>43105</x:v>
      </x:c>
      <x:c r="C10" s="18" t="n">
        <x:v>8785</x:v>
      </x:c>
      <x:c r="D10" s="18" t="n">
        <x:v>25378</x:v>
      </x:c>
      <x:c r="E10" s="18" t="n">
        <x:v>16.48</x:v>
      </x:c>
      <x:c r="F10" s="18" t="n">
        <x:v>12.24</x:v>
      </x:c>
      <x:c r="G10" t="n">
        <x:v>36</x:v>
      </x:c>
      <x:c r="H10" t="str">
        <x:v>D</x:v>
      </x:c>
      <x:c r="I10" t="str">
        <x:v>10+ years</x:v>
      </x:c>
      <x:c r="J10" t="str">
        <x:v>OWN</x:v>
      </x:c>
      <x:c r="K10" t="str">
        <x:v>credit_card</x:v>
      </x:c>
      <x:c r="L10" t="n">
        <x:v>0</x:v>
      </x:c>
      <x:c r="M10" t="n">
        <x:v>0</x:v>
      </x:c>
      <x:c r="N10" t="str">
        <x:v>Fully Paid</x:v>
      </x:c>
      <x:c r="O10" t="str">
        <x:f>IF(D10="","Unknown",IF(D10&lt;25000,"&lt;$25k",IF(D10&lt;50000,"$25k-$50k",IF(D10&lt;75000,"$50k-$75k",IF(D10&lt;100000,"$75k-$100k","$100k+")))))</x:f>
        <x:v>$25k-$50k</x:v>
      </x:c>
      <x:c r="P10" t="str">
        <x:f>IF(E10="","Unknown",IF(E10&lt;10,"&lt;10",IF(E10&lt;20,"10-&lt;20",IF(E10&lt;25,"20-&lt;25",IF(E10&lt;35,"25-&lt;35","35+")))))</x:f>
        <x:v>10-&lt;20</x:v>
      </x:c>
    </x:row>
    <x:row r="11">
      <x:c r="A11" t="str">
        <x:v>SYN0000010</x:v>
      </x:c>
      <x:c r="B11" s="12" t="n">
        <x:v>42025</x:v>
      </x:c>
      <x:c r="C11" s="18" t="n">
        <x:v>5981</x:v>
      </x:c>
      <x:c r="D11" s="18" t="n">
        <x:v>30307</x:v>
      </x:c>
      <x:c r="E11" s="18" t="n">
        <x:v>16.35</x:v>
      </x:c>
      <x:c r="F11" s="18" t="n">
        <x:v>12.73</x:v>
      </x:c>
      <x:c r="G11" t="n">
        <x:v>60</x:v>
      </x:c>
      <x:c r="H11" t="str">
        <x:v>D</x:v>
      </x:c>
      <x:c r="I11" t="str">
        <x:v>4-6 years</x:v>
      </x:c>
      <x:c r="J11" t="str">
        <x:v>RENT</x:v>
      </x:c>
      <x:c r="K11" t="str">
        <x:v>other</x:v>
      </x:c>
      <x:c r="L11" t="n">
        <x:v>2</x:v>
      </x:c>
      <x:c r="M11" t="n">
        <x:v>1</x:v>
      </x:c>
      <x:c r="N11" t="str">
        <x:v>Charged Off</x:v>
      </x:c>
      <x:c r="O11" t="str">
        <x:f>IF(D11="","Unknown",IF(D11&lt;25000,"&lt;$25k",IF(D11&lt;50000,"$25k-$50k",IF(D11&lt;75000,"$50k-$75k",IF(D11&lt;100000,"$75k-$100k","$100k+")))))</x:f>
        <x:v>$25k-$50k</x:v>
      </x:c>
      <x:c r="P11" t="str">
        <x:f>IF(E11="","Unknown",IF(E11&lt;10,"&lt;10",IF(E11&lt;20,"10-&lt;20",IF(E11&lt;25,"20-&lt;25",IF(E11&lt;35,"25-&lt;35","35+")))))</x:f>
        <x:v>10-&lt;20</x:v>
      </x:c>
    </x:row>
    <x:row r="12">
      <x:c r="A12" t="str">
        <x:v>SYN0000011</x:v>
      </x:c>
      <x:c r="B12" s="12" t="n">
        <x:v>42715</x:v>
      </x:c>
      <x:c r="C12" s="18" t="n">
        <x:v>40000</x:v>
      </x:c>
      <x:c r="D12" s="18" t="n">
        <x:v>67603</x:v>
      </x:c>
      <x:c r="E12" s="18" t="n">
        <x:v>10.72</x:v>
      </x:c>
      <x:c r="F12" s="18" t="n">
        <x:v>7.76</x:v>
      </x:c>
      <x:c r="G12" t="n">
        <x:v>60</x:v>
      </x:c>
      <x:c r="H12" t="str">
        <x:v>A</x:v>
      </x:c>
      <x:c r="I12" t="str">
        <x:v>4-6 years</x:v>
      </x:c>
      <x:c r="J12" t="str">
        <x:v>RENT</x:v>
      </x:c>
      <x:c r="K12" t="str">
        <x:v>major_purchase</x:v>
      </x:c>
      <x:c r="L12" t="n">
        <x:v>0</x:v>
      </x:c>
      <x:c r="M12" t="n">
        <x:v>0</x:v>
      </x:c>
      <x:c r="N12" t="str">
        <x:v>Fully Paid</x:v>
      </x:c>
      <x:c r="O12" t="str">
        <x:f>IF(D12="","Unknown",IF(D12&lt;25000,"&lt;$25k",IF(D12&lt;50000,"$25k-$50k",IF(D12&lt;75000,"$50k-$75k",IF(D12&lt;100000,"$75k-$100k","$100k+")))))</x:f>
        <x:v>$50k-$75k</x:v>
      </x:c>
      <x:c r="P12" t="str">
        <x:f>IF(E12="","Unknown",IF(E12&lt;10,"&lt;10",IF(E12&lt;20,"10-&lt;20",IF(E12&lt;25,"20-&lt;25",IF(E12&lt;35,"25-&lt;35","35+")))))</x:f>
        <x:v>10-&lt;20</x:v>
      </x:c>
    </x:row>
    <x:row r="13">
      <x:c r="A13" t="str">
        <x:v>SYN0000012</x:v>
      </x:c>
      <x:c r="B13" s="12" t="n">
        <x:v>41815</x:v>
      </x:c>
      <x:c r="C13" s="18" t="n">
        <x:v>8602</x:v>
      </x:c>
      <x:c r="D13" s="18" t="n">
        <x:v>25652</x:v>
      </x:c>
      <x:c r="E13" s="18" t="n">
        <x:v>14.88</x:v>
      </x:c>
      <x:c r="F13" s="18" t="n">
        <x:v>13.23</x:v>
      </x:c>
      <x:c r="G13" t="n">
        <x:v>36</x:v>
      </x:c>
      <x:c r="H13" t="str">
        <x:v>D</x:v>
      </x:c>
      <x:c r="I13" t="str">
        <x:v>10+ years</x:v>
      </x:c>
      <x:c r="J13" t="str">
        <x:v>OTHER</x:v>
      </x:c>
      <x:c r="K13" t="str">
        <x:v>home_improvement</x:v>
      </x:c>
      <x:c r="L13" t="n">
        <x:v>1</x:v>
      </x:c>
      <x:c r="M13" t="n">
        <x:v>1</x:v>
      </x:c>
      <x:c r="N13" t="str">
        <x:v>Charged Off</x:v>
      </x:c>
      <x:c r="O13" t="str">
        <x:f>IF(D13="","Unknown",IF(D13&lt;25000,"&lt;$25k",IF(D13&lt;50000,"$25k-$50k",IF(D13&lt;75000,"$50k-$75k",IF(D13&lt;100000,"$75k-$100k","$100k+")))))</x:f>
        <x:v>$25k-$50k</x:v>
      </x:c>
      <x:c r="P13" t="str">
        <x:f>IF(E13="","Unknown",IF(E13&lt;10,"&lt;10",IF(E13&lt;20,"10-&lt;20",IF(E13&lt;25,"20-&lt;25",IF(E13&lt;35,"25-&lt;35","35+")))))</x:f>
        <x:v>10-&lt;20</x:v>
      </x:c>
    </x:row>
    <x:row r="14">
      <x:c r="A14" t="str">
        <x:v>SYN0000013</x:v>
      </x:c>
      <x:c r="B14" s="12" t="n">
        <x:v>43225</x:v>
      </x:c>
      <x:c r="C14" s="18" t="n">
        <x:v>12134</x:v>
      </x:c>
      <x:c r="D14" s="18" t="n">
        <x:v>78254</x:v>
      </x:c>
      <x:c r="E14" s="18" t="n">
        <x:v>13.83</x:v>
      </x:c>
      <x:c r="F14" s="18" t="n">
        <x:v>18.77</x:v>
      </x:c>
      <x:c r="G14" t="n">
        <x:v>60</x:v>
      </x:c>
      <x:c r="H14" t="str">
        <x:v>E</x:v>
      </x:c>
      <x:c r="I14" t="str">
        <x:v>10+ years</x:v>
      </x:c>
      <x:c r="J14" t="str">
        <x:v>MORTGAGE</x:v>
      </x:c>
      <x:c r="K14" t="str">
        <x:v>debt_consolidation</x:v>
      </x:c>
      <x:c r="L14" t="n">
        <x:v>1</x:v>
      </x:c>
      <x:c r="M14" t="n">
        <x:v>0</x:v>
      </x:c>
      <x:c r="N14" t="str">
        <x:v>Fully Paid</x:v>
      </x:c>
      <x:c r="O14" t="str">
        <x:f>IF(D14="","Unknown",IF(D14&lt;25000,"&lt;$25k",IF(D14&lt;50000,"$25k-$50k",IF(D14&lt;75000,"$50k-$75k",IF(D14&lt;100000,"$75k-$100k","$100k+")))))</x:f>
        <x:v>$75k-$100k</x:v>
      </x:c>
      <x:c r="P14" t="str">
        <x:f>IF(E14="","Unknown",IF(E14&lt;10,"&lt;10",IF(E14&lt;20,"10-&lt;20",IF(E14&lt;25,"20-&lt;25",IF(E14&lt;35,"25-&lt;35","35+")))))</x:f>
        <x:v>10-&lt;20</x:v>
      </x:c>
    </x:row>
    <x:row r="15">
      <x:c r="A15" t="str">
        <x:v>SYN0000014</x:v>
      </x:c>
      <x:c r="B15" s="12" t="n">
        <x:v>42835</x:v>
      </x:c>
      <x:c r="C15" s="18" t="n">
        <x:v>6383</x:v>
      </x:c>
      <x:c r="D15" s="18" t="n">
        <x:v>59745</x:v>
      </x:c>
      <x:c r="E15" s="18" t="n">
        <x:v>15.37</x:v>
      </x:c>
      <x:c r="F15" s="18" t="n">
        <x:v>14.06</x:v>
      </x:c>
      <x:c r="G15" t="n">
        <x:v>36</x:v>
      </x:c>
      <x:c r="H15" t="str">
        <x:v>D</x:v>
      </x:c>
      <x:c r="I15" t="str">
        <x:v>10+ years</x:v>
      </x:c>
      <x:c r="J15" t="str">
        <x:v>MORTGAGE</x:v>
      </x:c>
      <x:c r="K15" t="str">
        <x:v>debt_consolidation</x:v>
      </x:c>
      <x:c r="L15" t="n">
        <x:v>0</x:v>
      </x:c>
      <x:c r="M15" t="n">
        <x:v>0</x:v>
      </x:c>
      <x:c r="N15" t="str">
        <x:v>Fully Paid</x:v>
      </x:c>
      <x:c r="O15" t="str">
        <x:f>IF(D15="","Unknown",IF(D15&lt;25000,"&lt;$25k",IF(D15&lt;50000,"$25k-$50k",IF(D15&lt;75000,"$50k-$75k",IF(D15&lt;100000,"$75k-$100k","$100k+")))))</x:f>
        <x:v>$50k-$75k</x:v>
      </x:c>
      <x:c r="P15" t="str">
        <x:f>IF(E15="","Unknown",IF(E15&lt;10,"&lt;10",IF(E15&lt;20,"10-&lt;20",IF(E15&lt;25,"20-&lt;25",IF(E15&lt;35,"25-&lt;35","35+")))))</x:f>
        <x:v>10-&lt;20</x:v>
      </x:c>
    </x:row>
    <x:row r="16">
      <x:c r="A16" t="str">
        <x:v>SYN0000015</x:v>
      </x:c>
      <x:c r="B16" s="12" t="n">
        <x:v>42205</x:v>
      </x:c>
      <x:c r="C16" s="18" t="n">
        <x:v>8958</x:v>
      </x:c>
      <x:c r="D16" s="18" t="n">
        <x:v>129151</x:v>
      </x:c>
      <x:c r="E16" s="18" t="n">
        <x:v>7.61</x:v>
      </x:c>
      <x:c r="F16" s="18" t="n">
        <x:v>11.19</x:v>
      </x:c>
      <x:c r="G16" t="n">
        <x:v>60</x:v>
      </x:c>
      <x:c r="H16" t="str">
        <x:v>C</x:v>
      </x:c>
      <x:c r="I16" t="str">
        <x:v>7-9 years</x:v>
      </x:c>
      <x:c r="J16" t="str">
        <x:v>RENT</x:v>
      </x:c>
      <x:c r="K16" t="str">
        <x:v>other</x:v>
      </x:c>
      <x:c r="L16" t="n">
        <x:v>0</x:v>
      </x:c>
      <x:c r="M16" t="n">
        <x:v>0</x:v>
      </x:c>
      <x:c r="N16" t="str">
        <x:v>Fully Paid</x:v>
      </x:c>
      <x:c r="O16" t="str">
        <x:f>IF(D16="","Unknown",IF(D16&lt;25000,"&lt;$25k",IF(D16&lt;50000,"$25k-$50k",IF(D16&lt;75000,"$50k-$75k",IF(D16&lt;100000,"$75k-$100k","$100k+")))))</x:f>
        <x:v>$100k+</x:v>
      </x:c>
      <x:c r="P16" t="str">
        <x:f>IF(E16="","Unknown",IF(E16&lt;10,"&lt;10",IF(E16&lt;20,"10-&lt;20",IF(E16&lt;25,"20-&lt;25",IF(E16&lt;35,"25-&lt;35","35+")))))</x:f>
        <x:v>&lt;10</x:v>
      </x:c>
    </x:row>
    <x:row r="17">
      <x:c r="A17" t="str">
        <x:v>SYN0000016</x:v>
      </x:c>
      <x:c r="B17" s="12" t="n">
        <x:v>41605</x:v>
      </x:c>
      <x:c r="C17" s="18" t="n">
        <x:v>8603</x:v>
      </x:c>
      <x:c r="D17" s="18" t="n">
        <x:v>107366</x:v>
      </x:c>
      <x:c r="E17" s="18" t="n">
        <x:v>23.66</x:v>
      </x:c>
      <x:c r="F17" s="18" t="n">
        <x:v>14.49</x:v>
      </x:c>
      <x:c r="G17" t="n">
        <x:v>60</x:v>
      </x:c>
      <x:c r="H17" t="str">
        <x:v>D</x:v>
      </x:c>
      <x:c r="I17" t="str">
        <x:v>4-6 years</x:v>
      </x:c>
      <x:c r="J17" t="str">
        <x:v>RENT</x:v>
      </x:c>
      <x:c r="K17" t="str">
        <x:v>major_purchase</x:v>
      </x:c>
      <x:c r="L17" t="n">
        <x:v>0</x:v>
      </x:c>
      <x:c r="M17" t="n">
        <x:v>0</x:v>
      </x:c>
      <x:c r="N17" t="str">
        <x:v>Fully Paid</x:v>
      </x:c>
      <x:c r="O17" t="str">
        <x:f>IF(D17="","Unknown",IF(D17&lt;25000,"&lt;$25k",IF(D17&lt;50000,"$25k-$50k",IF(D17&lt;75000,"$50k-$75k",IF(D17&lt;100000,"$75k-$100k","$100k+")))))</x:f>
        <x:v>$100k+</x:v>
      </x:c>
      <x:c r="P17" t="str">
        <x:f>IF(E17="","Unknown",IF(E17&lt;10,"&lt;10",IF(E17&lt;20,"10-&lt;20",IF(E17&lt;25,"20-&lt;25",IF(E17&lt;35,"25-&lt;35","35+")))))</x:f>
        <x:v>20-&lt;25</x:v>
      </x:c>
    </x:row>
    <x:row r="18">
      <x:c r="A18" t="str">
        <x:v>SYN0000017</x:v>
      </x:c>
      <x:c r="B18" s="12" t="n">
        <x:v>41665</x:v>
      </x:c>
      <x:c r="C18" s="18" t="n">
        <x:v>34218</x:v>
      </x:c>
      <x:c r="D18" s="18" t="n">
        <x:v>82758</x:v>
      </x:c>
      <x:c r="E18" s="18" t="n">
        <x:v>15.43</x:v>
      </x:c>
      <x:c r="F18" s="18" t="n">
        <x:v>16.76</x:v>
      </x:c>
      <x:c r="G18" t="n">
        <x:v>36</x:v>
      </x:c>
      <x:c r="H18" t="str">
        <x:v>D</x:v>
      </x:c>
      <x:c r="I18" t="str">
        <x:v>7-9 years</x:v>
      </x:c>
      <x:c r="J18" t="str">
        <x:v>OWN</x:v>
      </x:c>
      <x:c r="K18" t="str">
        <x:v>debt_consolidation</x:v>
      </x:c>
      <x:c r="L18" t="n">
        <x:v>1</x:v>
      </x:c>
      <x:c r="M18" t="n">
        <x:v>0</x:v>
      </x:c>
      <x:c r="N18" t="str">
        <x:v>Fully Paid</x:v>
      </x:c>
      <x:c r="O18" t="str">
        <x:f>IF(D18="","Unknown",IF(D18&lt;25000,"&lt;$25k",IF(D18&lt;50000,"$25k-$50k",IF(D18&lt;75000,"$50k-$75k",IF(D18&lt;100000,"$75k-$100k","$100k+")))))</x:f>
        <x:v>$75k-$100k</x:v>
      </x:c>
      <x:c r="P18" t="str">
        <x:f>IF(E18="","Unknown",IF(E18&lt;10,"&lt;10",IF(E18&lt;20,"10-&lt;20",IF(E18&lt;25,"20-&lt;25",IF(E18&lt;35,"25-&lt;35","35+")))))</x:f>
        <x:v>10-&lt;20</x:v>
      </x:c>
    </x:row>
    <x:row r="19">
      <x:c r="A19" t="str">
        <x:v>SYN0000018</x:v>
      </x:c>
      <x:c r="B19" s="12" t="n">
        <x:v>43255</x:v>
      </x:c>
      <x:c r="C19" s="18" t="n">
        <x:v>16767</x:v>
      </x:c>
      <x:c r="D19" s="18" t="n">
        <x:v>28749</x:v>
      </x:c>
      <x:c r="E19" s="18" t="n">
        <x:v>12.51</x:v>
      </x:c>
      <x:c r="F19" s="18" t="n">
        <x:v>18.68</x:v>
      </x:c>
      <x:c r="G19" t="n">
        <x:v>60</x:v>
      </x:c>
      <x:c r="H19" t="str">
        <x:v>E</x:v>
      </x:c>
      <x:c r="I19" t="str">
        <x:v>1-3 years</x:v>
      </x:c>
      <x:c r="J19" t="str">
        <x:v>MORTGAGE</x:v>
      </x:c>
      <x:c r="K19" t="str">
        <x:v>home_improvement</x:v>
      </x:c>
      <x:c r="L19" t="n">
        <x:v>1</x:v>
      </x:c>
      <x:c r="M19" t="n">
        <x:v>0</x:v>
      </x:c>
      <x:c r="N19" t="str">
        <x:v>Fully Paid</x:v>
      </x:c>
      <x:c r="O19" t="str">
        <x:f>IF(D19="","Unknown",IF(D19&lt;25000,"&lt;$25k",IF(D19&lt;50000,"$25k-$50k",IF(D19&lt;75000,"$50k-$75k",IF(D19&lt;100000,"$75k-$100k","$100k+")))))</x:f>
        <x:v>$25k-$50k</x:v>
      </x:c>
      <x:c r="P19" t="str">
        <x:f>IF(E19="","Unknown",IF(E19&lt;10,"&lt;10",IF(E19&lt;20,"10-&lt;20",IF(E19&lt;25,"20-&lt;25",IF(E19&lt;35,"25-&lt;35","35+")))))</x:f>
        <x:v>10-&lt;20</x:v>
      </x:c>
    </x:row>
    <x:row r="20">
      <x:c r="A20" t="str">
        <x:v>SYN0000019</x:v>
      </x:c>
      <x:c r="B20" s="12" t="n">
        <x:v>41425</x:v>
      </x:c>
      <x:c r="C20" s="18" t="n">
        <x:v>28962</x:v>
      </x:c>
      <x:c r="D20" s="18" t="n">
        <x:v>96060</x:v>
      </x:c>
      <x:c r="E20" s="18" t="n">
        <x:v>18.03</x:v>
      </x:c>
      <x:c r="F20" s="18" t="n">
        <x:v>5.94</x:v>
      </x:c>
      <x:c r="G20" t="n">
        <x:v>36</x:v>
      </x:c>
      <x:c r="H20" t="str">
        <x:v>B</x:v>
      </x:c>
      <x:c r="I20" t="str">
        <x:v>10+ years</x:v>
      </x:c>
      <x:c r="J20" t="str">
        <x:v>RENT</x:v>
      </x:c>
      <x:c r="K20" t="str">
        <x:v>credit_card</x:v>
      </x:c>
      <x:c r="L20" t="n">
        <x:v>2</x:v>
      </x:c>
      <x:c r="M20" t="n">
        <x:v>0</x:v>
      </x:c>
      <x:c r="N20" t="str">
        <x:v>Fully Paid</x:v>
      </x:c>
      <x:c r="O20" t="str">
        <x:f>IF(D20="","Unknown",IF(D20&lt;25000,"&lt;$25k",IF(D20&lt;50000,"$25k-$50k",IF(D20&lt;75000,"$50k-$75k",IF(D20&lt;100000,"$75k-$100k","$100k+")))))</x:f>
        <x:v>$75k-$100k</x:v>
      </x:c>
      <x:c r="P20" t="str">
        <x:f>IF(E20="","Unknown",IF(E20&lt;10,"&lt;10",IF(E20&lt;20,"10-&lt;20",IF(E20&lt;25,"20-&lt;25",IF(E20&lt;35,"25-&lt;35","35+")))))</x:f>
        <x:v>10-&lt;20</x:v>
      </x:c>
    </x:row>
    <x:row r="21">
      <x:c r="A21" t="str">
        <x:v>SYN0000020</x:v>
      </x:c>
      <x:c r="B21" s="12" t="n">
        <x:v>41755</x:v>
      </x:c>
      <x:c r="C21" s="18" t="n">
        <x:v>9114</x:v>
      </x:c>
      <x:c r="D21" s="18" t="n">
        <x:v>34502</x:v>
      </x:c>
      <x:c r="E21" s="18" t="n">
        <x:v>9.81</x:v>
      </x:c>
      <x:c r="F21" s="18" t="n">
        <x:v>9.62</x:v>
      </x:c>
      <x:c r="G21" t="n">
        <x:v>36</x:v>
      </x:c>
      <x:c r="H21" t="str">
        <x:v>B</x:v>
      </x:c>
      <x:c r="I21" t="str">
        <x:v>&lt;1 year</x:v>
      </x:c>
      <x:c r="J21" t="str">
        <x:v>OWN</x:v>
      </x:c>
      <x:c r="K21" t="str">
        <x:v>debt_consolidation</x:v>
      </x:c>
      <x:c r="L21" t="n">
        <x:v>0</x:v>
      </x:c>
      <x:c r="M21" t="n">
        <x:v>0</x:v>
      </x:c>
      <x:c r="N21" t="str">
        <x:v>Fully Paid</x:v>
      </x:c>
      <x:c r="O21" t="str">
        <x:f>IF(D21="","Unknown",IF(D21&lt;25000,"&lt;$25k",IF(D21&lt;50000,"$25k-$50k",IF(D21&lt;75000,"$50k-$75k",IF(D21&lt;100000,"$75k-$100k","$100k+")))))</x:f>
        <x:v>$25k-$50k</x:v>
      </x:c>
      <x:c r="P21" t="str">
        <x:f>IF(E21="","Unknown",IF(E21&lt;10,"&lt;10",IF(E21&lt;20,"10-&lt;20",IF(E21&lt;25,"20-&lt;25",IF(E21&lt;35,"25-&lt;35","35+")))))</x:f>
        <x:v>&lt;10</x:v>
      </x:c>
    </x:row>
    <x:row r="22">
      <x:c r="A22" t="str">
        <x:v>SYN0000021</x:v>
      </x:c>
      <x:c r="B22" s="12" t="n">
        <x:v>41755</x:v>
      </x:c>
      <x:c r="C22" s="18" t="n">
        <x:v>13809</x:v>
      </x:c>
      <x:c r="D22" s="18" t="n">
        <x:v>18346</x:v>
      </x:c>
      <x:c r="E22" s="18" t="n">
        <x:v>27.43</x:v>
      </x:c>
      <x:c r="F22" s="18" t="n">
        <x:v>16.72</x:v>
      </x:c>
      <x:c r="G22" t="n">
        <x:v>36</x:v>
      </x:c>
      <x:c r="H22" t="str">
        <x:v>D</x:v>
      </x:c>
      <x:c r="I22" t="str">
        <x:v>1-3 years</x:v>
      </x:c>
      <x:c r="J22" t="str">
        <x:v>MORTGAGE</x:v>
      </x:c>
      <x:c r="K22" t="str">
        <x:v>debt_consolidation</x:v>
      </x:c>
      <x:c r="L22" t="n">
        <x:v>1</x:v>
      </x:c>
      <x:c r="M22" t="n">
        <x:v>0</x:v>
      </x:c>
      <x:c r="N22" t="str">
        <x:v>Fully Paid</x:v>
      </x:c>
      <x:c r="O22" t="str">
        <x:f>IF(D22="","Unknown",IF(D22&lt;25000,"&lt;$25k",IF(D22&lt;50000,"$25k-$50k",IF(D22&lt;75000,"$50k-$75k",IF(D22&lt;100000,"$75k-$100k","$100k+")))))</x:f>
        <x:v>&lt;$25k</x:v>
      </x:c>
      <x:c r="P22" t="str">
        <x:f>IF(E22="","Unknown",IF(E22&lt;10,"&lt;10",IF(E22&lt;20,"10-&lt;20",IF(E22&lt;25,"20-&lt;25",IF(E22&lt;35,"25-&lt;35","35+")))))</x:f>
        <x:v>25-&lt;35</x:v>
      </x:c>
    </x:row>
    <x:row r="23">
      <x:c r="A23" t="str">
        <x:v>SYN0000022</x:v>
      </x:c>
      <x:c r="B23" s="12" t="n">
        <x:v>41575</x:v>
      </x:c>
      <x:c r="C23" s="18" t="n">
        <x:v>8403</x:v>
      </x:c>
      <x:c r="D23" s="18" t="n">
        <x:v>18922</x:v>
      </x:c>
      <x:c r="E23" s="18" t="n">
        <x:v>10.44</x:v>
      </x:c>
      <x:c r="F23" s="18" t="n">
        <x:v>15.66</x:v>
      </x:c>
      <x:c r="G23" t="n">
        <x:v>36</x:v>
      </x:c>
      <x:c r="H23" t="str">
        <x:v>D</x:v>
      </x:c>
      <x:c r="I23" t="str">
        <x:v>&lt;1 year</x:v>
      </x:c>
      <x:c r="J23" t="str">
        <x:v>MORTGAGE</x:v>
      </x:c>
      <x:c r="K23" t="str">
        <x:v>debt_consolidation</x:v>
      </x:c>
      <x:c r="L23" t="n">
        <x:v>0</x:v>
      </x:c>
      <x:c r="M23" t="n">
        <x:v>1</x:v>
      </x:c>
      <x:c r="N23" t="str">
        <x:v>Charged Off</x:v>
      </x:c>
      <x:c r="O23" t="str">
        <x:f>IF(D23="","Unknown",IF(D23&lt;25000,"&lt;$25k",IF(D23&lt;50000,"$25k-$50k",IF(D23&lt;75000,"$50k-$75k",IF(D23&lt;100000,"$75k-$100k","$100k+")))))</x:f>
        <x:v>&lt;$25k</x:v>
      </x:c>
      <x:c r="P23" t="str">
        <x:f>IF(E23="","Unknown",IF(E23&lt;10,"&lt;10",IF(E23&lt;20,"10-&lt;20",IF(E23&lt;25,"20-&lt;25",IF(E23&lt;35,"25-&lt;35","35+")))))</x:f>
        <x:v>10-&lt;20</x:v>
      </x:c>
    </x:row>
    <x:row r="24">
      <x:c r="A24" t="str">
        <x:v>SYN0000023</x:v>
      </x:c>
      <x:c r="B24" s="12" t="n">
        <x:v>43015</x:v>
      </x:c>
      <x:c r="C24" s="18" t="n">
        <x:v>25203</x:v>
      </x:c>
      <x:c r="D24" s="18" t="n">
        <x:v>93268</x:v>
      </x:c>
      <x:c r="E24" s="18" t="n">
        <x:v>17.65</x:v>
      </x:c>
      <x:c r="F24" s="18" t="n">
        <x:v>8.3</x:v>
      </x:c>
      <x:c r="G24" t="n">
        <x:v>60</x:v>
      </x:c>
      <x:c r="H24" t="str">
        <x:v>A</x:v>
      </x:c>
      <x:c r="I24" t="str">
        <x:v>10+ years</x:v>
      </x:c>
      <x:c r="J24" t="str">
        <x:v>MORTGAGE</x:v>
      </x:c>
      <x:c r="K24" t="str">
        <x:v>debt_consolidation</x:v>
      </x:c>
      <x:c r="L24" t="n">
        <x:v>0</x:v>
      </x:c>
      <x:c r="M24" t="n">
        <x:v>0</x:v>
      </x:c>
      <x:c r="N24" t="str">
        <x:v>Fully Paid</x:v>
      </x:c>
      <x:c r="O24" t="str">
        <x:f>IF(D24="","Unknown",IF(D24&lt;25000,"&lt;$25k",IF(D24&lt;50000,"$25k-$50k",IF(D24&lt;75000,"$50k-$75k",IF(D24&lt;100000,"$75k-$100k","$100k+")))))</x:f>
        <x:v>$75k-$100k</x:v>
      </x:c>
      <x:c r="P24" t="str">
        <x:f>IF(E24="","Unknown",IF(E24&lt;10,"&lt;10",IF(E24&lt;20,"10-&lt;20",IF(E24&lt;25,"20-&lt;25",IF(E24&lt;35,"25-&lt;35","35+")))))</x:f>
        <x:v>10-&lt;20</x:v>
      </x:c>
    </x:row>
    <x:row r="25">
      <x:c r="A25" t="str">
        <x:v>SYN0000024</x:v>
      </x:c>
      <x:c r="B25" s="12" t="n">
        <x:v>43285</x:v>
      </x:c>
      <x:c r="C25" s="18" t="n">
        <x:v>6007</x:v>
      </x:c>
      <x:c r="D25" s="18" t="n">
        <x:v>21956</x:v>
      </x:c>
      <x:c r="E25" s="18" t="n">
        <x:v>39.55</x:v>
      </x:c>
      <x:c r="F25" s="18" t="n">
        <x:v>22.37</x:v>
      </x:c>
      <x:c r="G25" t="n">
        <x:v>36</x:v>
      </x:c>
      <x:c r="H25" t="str">
        <x:v>F</x:v>
      </x:c>
      <x:c r="I25" t="str">
        <x:v>10+ years</x:v>
      </x:c>
      <x:c r="J25" t="str">
        <x:v>OWN</x:v>
      </x:c>
      <x:c r="K25" t="str">
        <x:v>home_improvement</x:v>
      </x:c>
      <x:c r="L25" t="n">
        <x:v>1</x:v>
      </x:c>
      <x:c r="M25" t="n">
        <x:v>0</x:v>
      </x:c>
      <x:c r="N25" t="str">
        <x:v>Fully Paid</x:v>
      </x:c>
      <x:c r="O25" t="str">
        <x:f>IF(D25="","Unknown",IF(D25&lt;25000,"&lt;$25k",IF(D25&lt;50000,"$25k-$50k",IF(D25&lt;75000,"$50k-$75k",IF(D25&lt;100000,"$75k-$100k","$100k+")))))</x:f>
        <x:v>&lt;$25k</x:v>
      </x:c>
      <x:c r="P25" t="str">
        <x:f>IF(E25="","Unknown",IF(E25&lt;10,"&lt;10",IF(E25&lt;20,"10-&lt;20",IF(E25&lt;25,"20-&lt;25",IF(E25&lt;35,"25-&lt;35","35+")))))</x:f>
        <x:v>35+</x:v>
      </x:c>
    </x:row>
    <x:row r="26">
      <x:c r="A26" t="str">
        <x:v>SYN0000025</x:v>
      </x:c>
      <x:c r="B26" s="12" t="n">
        <x:v>42595</x:v>
      </x:c>
      <x:c r="C26" s="18" t="n">
        <x:v>8771</x:v>
      </x:c>
      <x:c r="D26" s="18" t="n">
        <x:v>47084</x:v>
      </x:c>
      <x:c r="E26" s="18" t="n">
        <x:v>7.76</x:v>
      </x:c>
      <x:c r="F26" s="18" t="n">
        <x:v>5</x:v>
      </x:c>
      <x:c r="G26" t="n">
        <x:v>36</x:v>
      </x:c>
      <x:c r="H26" t="str">
        <x:v>A</x:v>
      </x:c>
      <x:c r="I26" t="str">
        <x:v>7-9 years</x:v>
      </x:c>
      <x:c r="J26" t="str">
        <x:v>RENT</x:v>
      </x:c>
      <x:c r="K26" t="str">
        <x:v>medical</x:v>
      </x:c>
      <x:c r="L26" t="n">
        <x:v>1</x:v>
      </x:c>
      <x:c r="M26" t="n">
        <x:v>0</x:v>
      </x:c>
      <x:c r="N26" t="str">
        <x:v>Fully Paid</x:v>
      </x:c>
      <x:c r="O26" t="str">
        <x:f>IF(D26="","Unknown",IF(D26&lt;25000,"&lt;$25k",IF(D26&lt;50000,"$25k-$50k",IF(D26&lt;75000,"$50k-$75k",IF(D26&lt;100000,"$75k-$100k","$100k+")))))</x:f>
        <x:v>$25k-$50k</x:v>
      </x:c>
      <x:c r="P26" t="str">
        <x:f>IF(E26="","Unknown",IF(E26&lt;10,"&lt;10",IF(E26&lt;20,"10-&lt;20",IF(E26&lt;25,"20-&lt;25",IF(E26&lt;35,"25-&lt;35","35+")))))</x:f>
        <x:v>&lt;10</x:v>
      </x:c>
    </x:row>
    <x:row r="27">
      <x:c r="A27" t="str">
        <x:v>SYN0000026</x:v>
      </x:c>
      <x:c r="B27" s="12" t="n">
        <x:v>42895</x:v>
      </x:c>
      <x:c r="C27" s="18" t="n">
        <x:v>10513</x:v>
      </x:c>
      <x:c r="D27" s="18" t="n">
        <x:v>65598</x:v>
      </x:c>
      <x:c r="E27" s="18" t="n">
        <x:v>15.99</x:v>
      </x:c>
      <x:c r="F27" s="18" t="n">
        <x:v>13.71</x:v>
      </x:c>
      <x:c r="G27" t="n">
        <x:v>36</x:v>
      </x:c>
      <x:c r="H27" t="str">
        <x:v>C</x:v>
      </x:c>
      <x:c r="I27" t="str">
        <x:v>4-6 years</x:v>
      </x:c>
      <x:c r="J27" t="str">
        <x:v>MORTGAGE</x:v>
      </x:c>
      <x:c r="K27" t="str">
        <x:v>credit_card</x:v>
      </x:c>
      <x:c r="L27" t="n">
        <x:v>0</x:v>
      </x:c>
      <x:c r="M27" t="n">
        <x:v>0</x:v>
      </x:c>
      <x:c r="N27" t="str">
        <x:v>Fully Paid</x:v>
      </x:c>
      <x:c r="O27" t="str">
        <x:f>IF(D27="","Unknown",IF(D27&lt;25000,"&lt;$25k",IF(D27&lt;50000,"$25k-$50k",IF(D27&lt;75000,"$50k-$75k",IF(D27&lt;100000,"$75k-$100k","$100k+")))))</x:f>
        <x:v>$50k-$75k</x:v>
      </x:c>
      <x:c r="P27" t="str">
        <x:f>IF(E27="","Unknown",IF(E27&lt;10,"&lt;10",IF(E27&lt;20,"10-&lt;20",IF(E27&lt;25,"20-&lt;25",IF(E27&lt;35,"25-&lt;35","35+")))))</x:f>
        <x:v>10-&lt;20</x:v>
      </x:c>
    </x:row>
    <x:row r="28">
      <x:c r="A28" t="str">
        <x:v>SYN0000027</x:v>
      </x:c>
      <x:c r="B28" s="12" t="n">
        <x:v>41515</x:v>
      </x:c>
      <x:c r="C28" s="18" t="n">
        <x:v>25868</x:v>
      </x:c>
      <x:c r="D28" s="18" t="n">
        <x:v>70047</x:v>
      </x:c>
      <x:c r="E28" s="18" t="n">
        <x:v>29.83</x:v>
      </x:c>
      <x:c r="F28" s="18" t="n">
        <x:v>14.37</x:v>
      </x:c>
      <x:c r="G28" t="n">
        <x:v>60</x:v>
      </x:c>
      <x:c r="H28" t="str">
        <x:v>C</x:v>
      </x:c>
      <x:c r="I28" t="str">
        <x:v>4-6 years</x:v>
      </x:c>
      <x:c r="J28" t="str">
        <x:v>RENT</x:v>
      </x:c>
      <x:c r="K28" t="str">
        <x:v>debt_consolidation</x:v>
      </x:c>
      <x:c r="L28" t="n">
        <x:v>0</x:v>
      </x:c>
      <x:c r="M28" t="n">
        <x:v>0</x:v>
      </x:c>
      <x:c r="N28" t="str">
        <x:v>Fully Paid</x:v>
      </x:c>
      <x:c r="O28" t="str">
        <x:f>IF(D28="","Unknown",IF(D28&lt;25000,"&lt;$25k",IF(D28&lt;50000,"$25k-$50k",IF(D28&lt;75000,"$50k-$75k",IF(D28&lt;100000,"$75k-$100k","$100k+")))))</x:f>
        <x:v>$50k-$75k</x:v>
      </x:c>
      <x:c r="P28" t="str">
        <x:f>IF(E28="","Unknown",IF(E28&lt;10,"&lt;10",IF(E28&lt;20,"10-&lt;20",IF(E28&lt;25,"20-&lt;25",IF(E28&lt;35,"25-&lt;35","35+")))))</x:f>
        <x:v>25-&lt;35</x:v>
      </x:c>
    </x:row>
    <x:row r="29">
      <x:c r="A29" t="str">
        <x:v>SYN0000028</x:v>
      </x:c>
      <x:c r="B29" s="12" t="n">
        <x:v>41515</x:v>
      </x:c>
      <x:c r="C29" s="18" t="n">
        <x:v>32358</x:v>
      </x:c>
      <x:c r="D29" s="18" t="n">
        <x:v>250000</x:v>
      </x:c>
      <x:c r="E29" s="18" t="n">
        <x:v>26.97</x:v>
      </x:c>
      <x:c r="F29" s="18" t="n">
        <x:v>19.37</x:v>
      </x:c>
      <x:c r="G29" t="n">
        <x:v>36</x:v>
      </x:c>
      <x:c r="H29" t="str">
        <x:v>F</x:v>
      </x:c>
      <x:c r="I29" t="str">
        <x:v>4-6 years</x:v>
      </x:c>
      <x:c r="J29" t="str">
        <x:v>MORTGAGE</x:v>
      </x:c>
      <x:c r="K29" t="str">
        <x:v>home_improvement</x:v>
      </x:c>
      <x:c r="L29" t="n">
        <x:v>0</x:v>
      </x:c>
      <x:c r="M29" t="n">
        <x:v>0</x:v>
      </x:c>
      <x:c r="N29" t="str">
        <x:v>Fully Paid</x:v>
      </x:c>
      <x:c r="O29" t="str">
        <x:f>IF(D29="","Unknown",IF(D29&lt;25000,"&lt;$25k",IF(D29&lt;50000,"$25k-$50k",IF(D29&lt;75000,"$50k-$75k",IF(D29&lt;100000,"$75k-$100k","$100k+")))))</x:f>
        <x:v>$100k+</x:v>
      </x:c>
      <x:c r="P29" t="str">
        <x:f>IF(E29="","Unknown",IF(E29&lt;10,"&lt;10",IF(E29&lt;20,"10-&lt;20",IF(E29&lt;25,"20-&lt;25",IF(E29&lt;35,"25-&lt;35","35+")))))</x:f>
        <x:v>25-&lt;35</x:v>
      </x:c>
    </x:row>
    <x:row r="30">
      <x:c r="A30" t="str">
        <x:v>SYN0000029</x:v>
      </x:c>
      <x:c r="B30" s="12" t="n">
        <x:v>43315</x:v>
      </x:c>
      <x:c r="C30" s="18" t="n">
        <x:v>27921</x:v>
      </x:c>
      <x:c r="D30" s="18" t="n">
        <x:v>74860</x:v>
      </x:c>
      <x:c r="E30" s="18" t="n">
        <x:v>23.15</x:v>
      </x:c>
      <x:c r="F30" s="18" t="n">
        <x:v>15.4</x:v>
      </x:c>
      <x:c r="G30" t="n">
        <x:v>36</x:v>
      </x:c>
      <x:c r="H30" t="str">
        <x:v>D</x:v>
      </x:c>
      <x:c r="I30" t="str">
        <x:v>10+ years</x:v>
      </x:c>
      <x:c r="J30" t="str">
        <x:v>OWN</x:v>
      </x:c>
      <x:c r="K30" t="str">
        <x:v>debt_consolidation</x:v>
      </x:c>
      <x:c r="L30" t="n">
        <x:v>0</x:v>
      </x:c>
      <x:c r="M30" t="n">
        <x:v>0</x:v>
      </x:c>
      <x:c r="N30" t="str">
        <x:v>Fully Paid</x:v>
      </x:c>
      <x:c r="O30" t="str">
        <x:f>IF(D30="","Unknown",IF(D30&lt;25000,"&lt;$25k",IF(D30&lt;50000,"$25k-$50k",IF(D30&lt;75000,"$50k-$75k",IF(D30&lt;100000,"$75k-$100k","$100k+")))))</x:f>
        <x:v>$50k-$75k</x:v>
      </x:c>
      <x:c r="P30" t="str">
        <x:f>IF(E30="","Unknown",IF(E30&lt;10,"&lt;10",IF(E30&lt;20,"10-&lt;20",IF(E30&lt;25,"20-&lt;25",IF(E30&lt;35,"25-&lt;35","35+")))))</x:f>
        <x:v>20-&lt;25</x:v>
      </x:c>
    </x:row>
    <x:row r="31">
      <x:c r="A31" t="str">
        <x:v>SYN0000030</x:v>
      </x:c>
      <x:c r="B31" s="12" t="n">
        <x:v>41545</x:v>
      </x:c>
      <x:c r="C31" s="18" t="n">
        <x:v>10045</x:v>
      </x:c>
      <x:c r="D31" s="18" t="n">
        <x:v>250000</x:v>
      </x:c>
      <x:c r="E31" s="18" t="n">
        <x:v>13.14</x:v>
      </x:c>
      <x:c r="F31" s="18" t="n">
        <x:v>5.6</x:v>
      </x:c>
      <x:c r="G31" t="n">
        <x:v>36</x:v>
      </x:c>
      <x:c r="H31" t="str">
        <x:v>B</x:v>
      </x:c>
      <x:c r="I31" t="str">
        <x:v>7-9 years</x:v>
      </x:c>
      <x:c r="J31" t="str">
        <x:v>OWN</x:v>
      </x:c>
      <x:c r="K31" t="str">
        <x:v>major_purchase</x:v>
      </x:c>
      <x:c r="L31" t="n">
        <x:v>1</x:v>
      </x:c>
      <x:c r="M31" t="n">
        <x:v>0</x:v>
      </x:c>
      <x:c r="N31" t="str">
        <x:v>Fully Paid</x:v>
      </x:c>
      <x:c r="O31" t="str">
        <x:f>IF(D31="","Unknown",IF(D31&lt;25000,"&lt;$25k",IF(D31&lt;50000,"$25k-$50k",IF(D31&lt;75000,"$50k-$75k",IF(D31&lt;100000,"$75k-$100k","$100k+")))))</x:f>
        <x:v>$100k+</x:v>
      </x:c>
      <x:c r="P31" t="str">
        <x:f>IF(E31="","Unknown",IF(E31&lt;10,"&lt;10",IF(E31&lt;20,"10-&lt;20",IF(E31&lt;25,"20-&lt;25",IF(E31&lt;35,"25-&lt;35","35+")))))</x:f>
        <x:v>10-&lt;20</x:v>
      </x:c>
    </x:row>
    <x:row r="32">
      <x:c r="A32" t="str">
        <x:v>SYN0000031</x:v>
      </x:c>
      <x:c r="B32" s="12" t="n">
        <x:v>42475</x:v>
      </x:c>
      <x:c r="C32" s="18" t="n">
        <x:v>9633</x:v>
      </x:c>
      <x:c r="D32" s="18" t="n">
        <x:v>39361</x:v>
      </x:c>
      <x:c r="E32" s="18" t="n">
        <x:v>33.83</x:v>
      </x:c>
      <x:c r="F32" s="18" t="n">
        <x:v>14.63</x:v>
      </x:c>
      <x:c r="G32" t="n">
        <x:v>60</x:v>
      </x:c>
      <x:c r="H32" t="str">
        <x:v>D</x:v>
      </x:c>
      <x:c r="I32" t="str">
        <x:v>4-6 years</x:v>
      </x:c>
      <x:c r="J32" t="str">
        <x:v>RENT</x:v>
      </x:c>
      <x:c r="K32" t="str">
        <x:v>debt_consolidation</x:v>
      </x:c>
      <x:c r="L32" t="n">
        <x:v>0</x:v>
      </x:c>
      <x:c r="M32" t="n">
        <x:v>1</x:v>
      </x:c>
      <x:c r="N32" t="str">
        <x:v>Charged Off</x:v>
      </x:c>
      <x:c r="O32" t="str">
        <x:f>IF(D32="","Unknown",IF(D32&lt;25000,"&lt;$25k",IF(D32&lt;50000,"$25k-$50k",IF(D32&lt;75000,"$50k-$75k",IF(D32&lt;100000,"$75k-$100k","$100k+")))))</x:f>
        <x:v>$25k-$50k</x:v>
      </x:c>
      <x:c r="P32" t="str">
        <x:f>IF(E32="","Unknown",IF(E32&lt;10,"&lt;10",IF(E32&lt;20,"10-&lt;20",IF(E32&lt;25,"20-&lt;25",IF(E32&lt;35,"25-&lt;35","35+")))))</x:f>
        <x:v>25-&lt;35</x:v>
      </x:c>
    </x:row>
    <x:row r="33">
      <x:c r="A33" t="str">
        <x:v>SYN0000032</x:v>
      </x:c>
      <x:c r="B33" s="12" t="n">
        <x:v>42655</x:v>
      </x:c>
      <x:c r="C33" s="18" t="n">
        <x:v>26957</x:v>
      </x:c>
      <x:c r="D33" s="18" t="n">
        <x:v>63755</x:v>
      </x:c>
      <x:c r="E33" s="18" t="n">
        <x:v>0</x:v>
      </x:c>
      <x:c r="F33" s="18" t="n">
        <x:v>7.49</x:v>
      </x:c>
      <x:c r="G33" t="n">
        <x:v>36</x:v>
      </x:c>
      <x:c r="H33" t="str">
        <x:v>B</x:v>
      </x:c>
      <x:c r="I33" t="str">
        <x:v>7-9 years</x:v>
      </x:c>
      <x:c r="J33" t="str">
        <x:v>RENT</x:v>
      </x:c>
      <x:c r="K33" t="str">
        <x:v>home_improvement</x:v>
      </x:c>
      <x:c r="L33" t="n">
        <x:v>1</x:v>
      </x:c>
      <x:c r="M33" t="n">
        <x:v>0</x:v>
      </x:c>
      <x:c r="N33" t="str">
        <x:v>Fully Paid</x:v>
      </x:c>
      <x:c r="O33" t="str">
        <x:f>IF(D33="","Unknown",IF(D33&lt;25000,"&lt;$25k",IF(D33&lt;50000,"$25k-$50k",IF(D33&lt;75000,"$50k-$75k",IF(D33&lt;100000,"$75k-$100k","$100k+")))))</x:f>
        <x:v>$50k-$75k</x:v>
      </x:c>
      <x:c r="P33" t="str">
        <x:f>IF(E33="","Unknown",IF(E33&lt;10,"&lt;10",IF(E33&lt;20,"10-&lt;20",IF(E33&lt;25,"20-&lt;25",IF(E33&lt;35,"25-&lt;35","35+")))))</x:f>
        <x:v>Unknown</x:v>
      </x:c>
    </x:row>
    <x:row r="34">
      <x:c r="A34" t="str">
        <x:v>SYN0000033</x:v>
      </x:c>
      <x:c r="B34" s="12" t="n">
        <x:v>42715</x:v>
      </x:c>
      <x:c r="C34" s="18" t="n">
        <x:v>8785</x:v>
      </x:c>
      <x:c r="D34" s="18" t="n">
        <x:v>93127</x:v>
      </x:c>
      <x:c r="E34" s="18" t="n">
        <x:v>36.22</x:v>
      </x:c>
      <x:c r="F34" s="18" t="n">
        <x:v>26</x:v>
      </x:c>
      <x:c r="G34" t="n">
        <x:v>36</x:v>
      </x:c>
      <x:c r="H34" t="str">
        <x:v>G</x:v>
      </x:c>
      <x:c r="I34" t="str">
        <x:v>10+ years</x:v>
      </x:c>
      <x:c r="J34" t="str">
        <x:v>RENT</x:v>
      </x:c>
      <x:c r="K34" t="str">
        <x:v>debt_consolidation</x:v>
      </x:c>
      <x:c r="L34" t="n">
        <x:v>0</x:v>
      </x:c>
      <x:c r="M34" t="n">
        <x:v>1</x:v>
      </x:c>
      <x:c r="N34" t="str">
        <x:v>Charged Off</x:v>
      </x:c>
      <x:c r="O34" t="str">
        <x:f>IF(D34="","Unknown",IF(D34&lt;25000,"&lt;$25k",IF(D34&lt;50000,"$25k-$50k",IF(D34&lt;75000,"$50k-$75k",IF(D34&lt;100000,"$75k-$100k","$100k+")))))</x:f>
        <x:v>$75k-$100k</x:v>
      </x:c>
      <x:c r="P34" t="str">
        <x:f>IF(E34="","Unknown",IF(E34&lt;10,"&lt;10",IF(E34&lt;20,"10-&lt;20",IF(E34&lt;25,"20-&lt;25",IF(E34&lt;35,"25-&lt;35","35+")))))</x:f>
        <x:v>35+</x:v>
      </x:c>
    </x:row>
    <x:row r="35">
      <x:c r="A35" t="str">
        <x:v>SYN0000034</x:v>
      </x:c>
      <x:c r="B35" s="12" t="n">
        <x:v>42595</x:v>
      </x:c>
      <x:c r="C35" s="18" t="n">
        <x:v>10294</x:v>
      </x:c>
      <x:c r="D35" s="18" t="n">
        <x:v>69661</x:v>
      </x:c>
      <x:c r="E35" s="18" t="n">
        <x:v>19.86</x:v>
      </x:c>
      <x:c r="F35" s="18" t="n">
        <x:v>12.77</x:v>
      </x:c>
      <x:c r="G35" t="n">
        <x:v>36</x:v>
      </x:c>
      <x:c r="H35" t="str">
        <x:v>C</x:v>
      </x:c>
      <x:c r="I35" t="str">
        <x:v>&lt;1 year</x:v>
      </x:c>
      <x:c r="J35" t="str">
        <x:v>MORTGAGE</x:v>
      </x:c>
      <x:c r="K35" t="str">
        <x:v>debt_consolidation</x:v>
      </x:c>
      <x:c r="L35" t="n">
        <x:v>0</x:v>
      </x:c>
      <x:c r="M35" t="n">
        <x:v>0</x:v>
      </x:c>
      <x:c r="N35" t="str">
        <x:v>Fully Paid</x:v>
      </x:c>
      <x:c r="O35" t="str">
        <x:f>IF(D35="","Unknown",IF(D35&lt;25000,"&lt;$25k",IF(D35&lt;50000,"$25k-$50k",IF(D35&lt;75000,"$50k-$75k",IF(D35&lt;100000,"$75k-$100k","$100k+")))))</x:f>
        <x:v>$50k-$75k</x:v>
      </x:c>
      <x:c r="P35" t="str">
        <x:f>IF(E35="","Unknown",IF(E35&lt;10,"&lt;10",IF(E35&lt;20,"10-&lt;20",IF(E35&lt;25,"20-&lt;25",IF(E35&lt;35,"25-&lt;35","35+")))))</x:f>
        <x:v>10-&lt;20</x:v>
      </x:c>
    </x:row>
    <x:row r="36">
      <x:c r="A36" t="str">
        <x:v>SYN0000035</x:v>
      </x:c>
      <x:c r="B36" s="12" t="n">
        <x:v>41575</x:v>
      </x:c>
      <x:c r="C36" s="18" t="n">
        <x:v>23122</x:v>
      </x:c>
      <x:c r="D36" s="18" t="n">
        <x:v>60252</x:v>
      </x:c>
      <x:c r="E36" s="18" t="n">
        <x:v>30.25</x:v>
      </x:c>
      <x:c r="F36" s="18" t="n">
        <x:v>11.78</x:v>
      </x:c>
      <x:c r="G36" t="n">
        <x:v>36</x:v>
      </x:c>
      <x:c r="H36" t="str">
        <x:v>C</x:v>
      </x:c>
      <x:c r="I36" t="str">
        <x:v>4-6 years</x:v>
      </x:c>
      <x:c r="J36" t="str">
        <x:v>MORTGAGE</x:v>
      </x:c>
      <x:c r="K36" t="str">
        <x:v>home_improvement</x:v>
      </x:c>
      <x:c r="L36" t="n">
        <x:v>0</x:v>
      </x:c>
      <x:c r="M36" t="n">
        <x:v>0</x:v>
      </x:c>
      <x:c r="N36" t="str">
        <x:v>Fully Paid</x:v>
      </x:c>
      <x:c r="O36" t="str">
        <x:f>IF(D36="","Unknown",IF(D36&lt;25000,"&lt;$25k",IF(D36&lt;50000,"$25k-$50k",IF(D36&lt;75000,"$50k-$75k",IF(D36&lt;100000,"$75k-$100k","$100k+")))))</x:f>
        <x:v>$50k-$75k</x:v>
      </x:c>
      <x:c r="P36" t="str">
        <x:f>IF(E36="","Unknown",IF(E36&lt;10,"&lt;10",IF(E36&lt;20,"10-&lt;20",IF(E36&lt;25,"20-&lt;25",IF(E36&lt;35,"25-&lt;35","35+")))))</x:f>
        <x:v>25-&lt;35</x:v>
      </x:c>
    </x:row>
    <x:row r="37">
      <x:c r="A37" t="str">
        <x:v>SYN0000036</x:v>
      </x:c>
      <x:c r="B37" s="12" t="n">
        <x:v>42985</x:v>
      </x:c>
      <x:c r="C37" s="18" t="n">
        <x:v>14670</x:v>
      </x:c>
      <x:c r="D37" s="18" t="n">
        <x:v>47520</x:v>
      </x:c>
      <x:c r="E37" s="18" t="n">
        <x:v>2.2</x:v>
      </x:c>
      <x:c r="F37" s="18" t="n">
        <x:v>27.36</x:v>
      </x:c>
      <x:c r="G37" t="n">
        <x:v>36</x:v>
      </x:c>
      <x:c r="H37" t="str">
        <x:v>G</x:v>
      </x:c>
      <x:c r="I37" t="str">
        <x:v>1-3 years</x:v>
      </x:c>
      <x:c r="J37" t="str">
        <x:v>OWN</x:v>
      </x:c>
      <x:c r="K37" t="str">
        <x:v>major_purchase</x:v>
      </x:c>
      <x:c r="L37" t="n">
        <x:v>0</x:v>
      </x:c>
      <x:c r="M37" t="n">
        <x:v>0</x:v>
      </x:c>
      <x:c r="N37" t="str">
        <x:v>Fully Paid</x:v>
      </x:c>
      <x:c r="O37" t="str">
        <x:f>IF(D37="","Unknown",IF(D37&lt;25000,"&lt;$25k",IF(D37&lt;50000,"$25k-$50k",IF(D37&lt;75000,"$50k-$75k",IF(D37&lt;100000,"$75k-$100k","$100k+")))))</x:f>
        <x:v>$25k-$50k</x:v>
      </x:c>
      <x:c r="P37" t="str">
        <x:f>IF(E37="","Unknown",IF(E37&lt;10,"&lt;10",IF(E37&lt;20,"10-&lt;20",IF(E37&lt;25,"20-&lt;25",IF(E37&lt;35,"25-&lt;35","35+")))))</x:f>
        <x:v>&lt;10</x:v>
      </x:c>
    </x:row>
    <x:row r="38">
      <x:c r="A38" t="str">
        <x:v>SYN0000037</x:v>
      </x:c>
      <x:c r="B38" s="12" t="n">
        <x:v>41335</x:v>
      </x:c>
      <x:c r="C38" s="18" t="n">
        <x:v>14514</x:v>
      </x:c>
      <x:c r="D38" s="18" t="n">
        <x:v>60980</x:v>
      </x:c>
      <x:c r="E38" s="18" t="n">
        <x:v>10.63</x:v>
      </x:c>
      <x:c r="F38" s="18" t="n">
        <x:v>12.35</x:v>
      </x:c>
      <x:c r="G38" t="n">
        <x:v>36</x:v>
      </x:c>
      <x:c r="H38" t="str">
        <x:v>C</x:v>
      </x:c>
      <x:c r="I38" t="str">
        <x:v>1-3 years</x:v>
      </x:c>
      <x:c r="J38" t="str">
        <x:v>OWN</x:v>
      </x:c>
      <x:c r="K38" t="str">
        <x:v>credit_card</x:v>
      </x:c>
      <x:c r="L38" t="n">
        <x:v>1</x:v>
      </x:c>
      <x:c r="M38" t="n">
        <x:v>0</x:v>
      </x:c>
      <x:c r="N38" t="str">
        <x:v>Fully Paid</x:v>
      </x:c>
      <x:c r="O38" t="str">
        <x:f>IF(D38="","Unknown",IF(D38&lt;25000,"&lt;$25k",IF(D38&lt;50000,"$25k-$50k",IF(D38&lt;75000,"$50k-$75k",IF(D38&lt;100000,"$75k-$100k","$100k+")))))</x:f>
        <x:v>$50k-$75k</x:v>
      </x:c>
      <x:c r="P38" t="str">
        <x:f>IF(E38="","Unknown",IF(E38&lt;10,"&lt;10",IF(E38&lt;20,"10-&lt;20",IF(E38&lt;25,"20-&lt;25",IF(E38&lt;35,"25-&lt;35","35+")))))</x:f>
        <x:v>10-&lt;20</x:v>
      </x:c>
    </x:row>
    <x:row r="39">
      <x:c r="A39" t="str">
        <x:v>SYN0000038</x:v>
      </x:c>
      <x:c r="B39" s="12" t="n">
        <x:v>41605</x:v>
      </x:c>
      <x:c r="C39" s="18" t="n">
        <x:v>11142</x:v>
      </x:c>
      <x:c r="D39" s="18" t="n">
        <x:v>36924</x:v>
      </x:c>
      <x:c r="E39" s="18" t="n">
        <x:v>23.7</x:v>
      </x:c>
      <x:c r="F39" s="18" t="n">
        <x:v>12.93</x:v>
      </x:c>
      <x:c r="G39" t="n">
        <x:v>36</x:v>
      </x:c>
      <x:c r="H39" t="str">
        <x:v>D</x:v>
      </x:c>
      <x:c r="I39" t="str">
        <x:v>7-9 years</x:v>
      </x:c>
      <x:c r="J39" t="str">
        <x:v>RENT</x:v>
      </x:c>
      <x:c r="K39" t="str">
        <x:v>other</x:v>
      </x:c>
      <x:c r="L39" t="n">
        <x:v>0</x:v>
      </x:c>
      <x:c r="M39" t="n">
        <x:v>0</x:v>
      </x:c>
      <x:c r="N39" t="str">
        <x:v>Fully Paid</x:v>
      </x:c>
      <x:c r="O39" t="str">
        <x:f>IF(D39="","Unknown",IF(D39&lt;25000,"&lt;$25k",IF(D39&lt;50000,"$25k-$50k",IF(D39&lt;75000,"$50k-$75k",IF(D39&lt;100000,"$75k-$100k","$100k+")))))</x:f>
        <x:v>$25k-$50k</x:v>
      </x:c>
      <x:c r="P39" t="str">
        <x:f>IF(E39="","Unknown",IF(E39&lt;10,"&lt;10",IF(E39&lt;20,"10-&lt;20",IF(E39&lt;25,"20-&lt;25",IF(E39&lt;35,"25-&lt;35","35+")))))</x:f>
        <x:v>20-&lt;25</x:v>
      </x:c>
    </x:row>
    <x:row r="40">
      <x:c r="A40" t="str">
        <x:v>SYN0000039</x:v>
      </x:c>
      <x:c r="B40" s="12" t="n">
        <x:v>41605</x:v>
      </x:c>
      <x:c r="C40" s="18" t="n">
        <x:v>12183</x:v>
      </x:c>
      <x:c r="D40" s="18" t="n">
        <x:v>69850</x:v>
      </x:c>
      <x:c r="E40" s="18" t="n">
        <x:v>1.67</x:v>
      </x:c>
      <x:c r="F40" s="18" t="n">
        <x:v>15.65</x:v>
      </x:c>
      <x:c r="G40" t="n">
        <x:v>36</x:v>
      </x:c>
      <x:c r="H40" t="str">
        <x:v>D</x:v>
      </x:c>
      <x:c r="I40" t="str">
        <x:v>4-6 years</x:v>
      </x:c>
      <x:c r="J40" t="str">
        <x:v>RENT</x:v>
      </x:c>
      <x:c r="K40" t="str">
        <x:v>major_purchase</x:v>
      </x:c>
      <x:c r="L40" t="n">
        <x:v>1</x:v>
      </x:c>
      <x:c r="M40" t="n">
        <x:v>0</x:v>
      </x:c>
      <x:c r="N40" t="str">
        <x:v>Fully Paid</x:v>
      </x:c>
      <x:c r="O40" t="str">
        <x:f>IF(D40="","Unknown",IF(D40&lt;25000,"&lt;$25k",IF(D40&lt;50000,"$25k-$50k",IF(D40&lt;75000,"$50k-$75k",IF(D40&lt;100000,"$75k-$100k","$100k+")))))</x:f>
        <x:v>$50k-$75k</x:v>
      </x:c>
      <x:c r="P40" t="str">
        <x:f>IF(E40="","Unknown",IF(E40&lt;10,"&lt;10",IF(E40&lt;20,"10-&lt;20",IF(E40&lt;25,"20-&lt;25",IF(E40&lt;35,"25-&lt;35","35+")))))</x:f>
        <x:v>&lt;10</x:v>
      </x:c>
    </x:row>
    <x:row r="41">
      <x:c r="A41" t="str">
        <x:v>SYN0000040</x:v>
      </x:c>
      <x:c r="B41" s="12" t="n">
        <x:v>42025</x:v>
      </x:c>
      <x:c r="C41" s="18" t="n">
        <x:v>22104</x:v>
      </x:c>
      <x:c r="D41" s="18" t="n">
        <x:v>22876</x:v>
      </x:c>
      <x:c r="E41" s="18" t="n">
        <x:v>31.92</x:v>
      </x:c>
      <x:c r="F41" s="18" t="n">
        <x:v>10.91</x:v>
      </x:c>
      <x:c r="G41" t="n">
        <x:v>36</x:v>
      </x:c>
      <x:c r="H41" t="str">
        <x:v>C</x:v>
      </x:c>
      <x:c r="I41" t="str">
        <x:v>7-9 years</x:v>
      </x:c>
      <x:c r="J41" t="str">
        <x:v>OWN</x:v>
      </x:c>
      <x:c r="K41" t="str">
        <x:v>debt_consolidation</x:v>
      </x:c>
      <x:c r="L41" t="n">
        <x:v>0</x:v>
      </x:c>
      <x:c r="M41" t="n">
        <x:v>1</x:v>
      </x:c>
      <x:c r="N41" t="str">
        <x:v>Charged Off</x:v>
      </x:c>
      <x:c r="O41" t="str">
        <x:f>IF(D41="","Unknown",IF(D41&lt;25000,"&lt;$25k",IF(D41&lt;50000,"$25k-$50k",IF(D41&lt;75000,"$50k-$75k",IF(D41&lt;100000,"$75k-$100k","$100k+")))))</x:f>
        <x:v>&lt;$25k</x:v>
      </x:c>
      <x:c r="P41" t="str">
        <x:f>IF(E41="","Unknown",IF(E41&lt;10,"&lt;10",IF(E41&lt;20,"10-&lt;20",IF(E41&lt;25,"20-&lt;25",IF(E41&lt;35,"25-&lt;35","35+")))))</x:f>
        <x:v>25-&lt;35</x:v>
      </x:c>
    </x:row>
    <x:row r="42">
      <x:c r="A42" t="str">
        <x:v>SYN0000041</x:v>
      </x:c>
      <x:c r="B42" s="12" t="n">
        <x:v>41305</x:v>
      </x:c>
      <x:c r="C42" s="18" t="n">
        <x:v>16883</x:v>
      </x:c>
      <x:c r="D42" s="18" t="n">
        <x:v>33548</x:v>
      </x:c>
      <x:c r="E42" s="18" t="n">
        <x:v>22.56</x:v>
      </x:c>
      <x:c r="F42" s="18" t="n">
        <x:v>9.39</x:v>
      </x:c>
      <x:c r="G42" t="n">
        <x:v>36</x:v>
      </x:c>
      <x:c r="H42" t="str">
        <x:v>C</x:v>
      </x:c>
      <x:c r="I42" t="str">
        <x:v>4-6 years</x:v>
      </x:c>
      <x:c r="J42" t="str">
        <x:v>RENT</x:v>
      </x:c>
      <x:c r="K42" t="str">
        <x:v>debt_consolidation</x:v>
      </x:c>
      <x:c r="L42" t="n">
        <x:v>0</x:v>
      </x:c>
      <x:c r="M42" t="n">
        <x:v>1</x:v>
      </x:c>
      <x:c r="N42" t="str">
        <x:v>Charged Off</x:v>
      </x:c>
      <x:c r="O42" t="str">
        <x:f>IF(D42="","Unknown",IF(D42&lt;25000,"&lt;$25k",IF(D42&lt;50000,"$25k-$50k",IF(D42&lt;75000,"$50k-$75k",IF(D42&lt;100000,"$75k-$100k","$100k+")))))</x:f>
        <x:v>$25k-$50k</x:v>
      </x:c>
      <x:c r="P42" t="str">
        <x:f>IF(E42="","Unknown",IF(E42&lt;10,"&lt;10",IF(E42&lt;20,"10-&lt;20",IF(E42&lt;25,"20-&lt;25",IF(E42&lt;35,"25-&lt;35","35+")))))</x:f>
        <x:v>20-&lt;25</x:v>
      </x:c>
    </x:row>
    <x:row r="43">
      <x:c r="A43" t="str">
        <x:v>SYN0000042</x:v>
      </x:c>
      <x:c r="B43" s="12" t="n">
        <x:v>42145</x:v>
      </x:c>
      <x:c r="C43" s="18" t="n">
        <x:v>13818</x:v>
      </x:c>
      <x:c r="D43" s="18" t="n">
        <x:v>28972</x:v>
      </x:c>
      <x:c r="E43" s="18" t="n">
        <x:v>3.79</x:v>
      </x:c>
      <x:c r="F43" s="18" t="n">
        <x:v>18.1</x:v>
      </x:c>
      <x:c r="G43" t="n">
        <x:v>60</x:v>
      </x:c>
      <x:c r="H43" t="str">
        <x:v>E</x:v>
      </x:c>
      <x:c r="I43" t="str">
        <x:v>1-3 years</x:v>
      </x:c>
      <x:c r="J43" t="str">
        <x:v>RENT</x:v>
      </x:c>
      <x:c r="K43" t="str">
        <x:v>debt_consolidation</x:v>
      </x:c>
      <x:c r="L43" t="n">
        <x:v>0</x:v>
      </x:c>
      <x:c r="M43" t="n">
        <x:v>0</x:v>
      </x:c>
      <x:c r="N43" t="str">
        <x:v>Fully Paid</x:v>
      </x:c>
      <x:c r="O43" t="str">
        <x:f>IF(D43="","Unknown",IF(D43&lt;25000,"&lt;$25k",IF(D43&lt;50000,"$25k-$50k",IF(D43&lt;75000,"$50k-$75k",IF(D43&lt;100000,"$75k-$100k","$100k+")))))</x:f>
        <x:v>$25k-$50k</x:v>
      </x:c>
      <x:c r="P43" t="str">
        <x:f>IF(E43="","Unknown",IF(E43&lt;10,"&lt;10",IF(E43&lt;20,"10-&lt;20",IF(E43&lt;25,"20-&lt;25",IF(E43&lt;35,"25-&lt;35","35+")))))</x:f>
        <x:v>&lt;10</x:v>
      </x:c>
    </x:row>
    <x:row r="44">
      <x:c r="A44" t="str">
        <x:v>SYN0000043</x:v>
      </x:c>
      <x:c r="B44" s="12" t="n">
        <x:v>41545</x:v>
      </x:c>
      <x:c r="C44" s="18" t="n">
        <x:v>37623</x:v>
      </x:c>
      <x:c r="D44" s="18" t="n">
        <x:v>24529</x:v>
      </x:c>
      <x:c r="E44" s="18" t="n">
        <x:v>16.87</x:v>
      </x:c>
      <x:c r="F44" s="18" t="n">
        <x:v>13.18</x:v>
      </x:c>
      <x:c r="G44" t="n">
        <x:v>60</x:v>
      </x:c>
      <x:c r="H44" t="str">
        <x:v>D</x:v>
      </x:c>
      <x:c r="I44" t="str">
        <x:v>4-6 years</x:v>
      </x:c>
      <x:c r="J44" t="str">
        <x:v>MORTGAGE</x:v>
      </x:c>
      <x:c r="K44" t="str">
        <x:v>major_purchase</x:v>
      </x:c>
      <x:c r="L44" t="n">
        <x:v>0</x:v>
      </x:c>
      <x:c r="M44" t="n">
        <x:v>0</x:v>
      </x:c>
      <x:c r="N44" t="str">
        <x:v>Fully Paid</x:v>
      </x:c>
      <x:c r="O44" t="str">
        <x:f>IF(D44="","Unknown",IF(D44&lt;25000,"&lt;$25k",IF(D44&lt;50000,"$25k-$50k",IF(D44&lt;75000,"$50k-$75k",IF(D44&lt;100000,"$75k-$100k","$100k+")))))</x:f>
        <x:v>&lt;$25k</x:v>
      </x:c>
      <x:c r="P44" t="str">
        <x:f>IF(E44="","Unknown",IF(E44&lt;10,"&lt;10",IF(E44&lt;20,"10-&lt;20",IF(E44&lt;25,"20-&lt;25",IF(E44&lt;35,"25-&lt;35","35+")))))</x:f>
        <x:v>10-&lt;20</x:v>
      </x:c>
    </x:row>
    <x:row r="45">
      <x:c r="A45" t="str">
        <x:v>SYN0000044</x:v>
      </x:c>
      <x:c r="B45" s="12" t="n">
        <x:v>42925</x:v>
      </x:c>
      <x:c r="C45" s="18" t="n">
        <x:v>3461</x:v>
      </x:c>
      <x:c r="D45" s="18" t="n">
        <x:v>109480</x:v>
      </x:c>
      <x:c r="E45" s="18" t="n">
        <x:v>28.46</x:v>
      </x:c>
      <x:c r="F45" s="18" t="n">
        <x:v>20.11</x:v>
      </x:c>
      <x:c r="G45" t="n">
        <x:v>60</x:v>
      </x:c>
      <x:c r="H45" t="str">
        <x:v>E</x:v>
      </x:c>
      <x:c r="I45" t="str">
        <x:v>4-6 years</x:v>
      </x:c>
      <x:c r="J45" t="str">
        <x:v>MORTGAGE</x:v>
      </x:c>
      <x:c r="K45" t="str">
        <x:v>credit_card</x:v>
      </x:c>
      <x:c r="L45" t="n">
        <x:v>0</x:v>
      </x:c>
      <x:c r="M45" t="n">
        <x:v>0</x:v>
      </x:c>
      <x:c r="N45" t="str">
        <x:v>Fully Paid</x:v>
      </x:c>
      <x:c r="O45" t="str">
        <x:f>IF(D45="","Unknown",IF(D45&lt;25000,"&lt;$25k",IF(D45&lt;50000,"$25k-$50k",IF(D45&lt;75000,"$50k-$75k",IF(D45&lt;100000,"$75k-$100k","$100k+")))))</x:f>
        <x:v>$100k+</x:v>
      </x:c>
      <x:c r="P45" t="str">
        <x:f>IF(E45="","Unknown",IF(E45&lt;10,"&lt;10",IF(E45&lt;20,"10-&lt;20",IF(E45&lt;25,"20-&lt;25",IF(E45&lt;35,"25-&lt;35","35+")))))</x:f>
        <x:v>25-&lt;35</x:v>
      </x:c>
    </x:row>
    <x:row r="46">
      <x:c r="A46" t="str">
        <x:v>SYN0000045</x:v>
      </x:c>
      <x:c r="B46" s="12" t="n">
        <x:v>42655</x:v>
      </x:c>
      <x:c r="C46" s="18" t="n">
        <x:v>11347</x:v>
      </x:c>
      <x:c r="D46" s="18" t="n">
        <x:v>57844</x:v>
      </x:c>
      <x:c r="E46" s="18" t="n">
        <x:v>16.4</x:v>
      </x:c>
      <x:c r="F46" s="18" t="n">
        <x:v>8.2</x:v>
      </x:c>
      <x:c r="G46" t="n">
        <x:v>60</x:v>
      </x:c>
      <x:c r="H46" t="str">
        <x:v>B</x:v>
      </x:c>
      <x:c r="I46" t="str">
        <x:v>10+ years</x:v>
      </x:c>
      <x:c r="J46" t="str">
        <x:v>RENT</x:v>
      </x:c>
      <x:c r="K46" t="str">
        <x:v>debt_consolidation</x:v>
      </x:c>
      <x:c r="L46" t="n">
        <x:v>0</x:v>
      </x:c>
      <x:c r="M46" t="n">
        <x:v>0</x:v>
      </x:c>
      <x:c r="N46" t="str">
        <x:v>Fully Paid</x:v>
      </x:c>
      <x:c r="O46" t="str">
        <x:f>IF(D46="","Unknown",IF(D46&lt;25000,"&lt;$25k",IF(D46&lt;50000,"$25k-$50k",IF(D46&lt;75000,"$50k-$75k",IF(D46&lt;100000,"$75k-$100k","$100k+")))))</x:f>
        <x:v>$50k-$75k</x:v>
      </x:c>
      <x:c r="P46" t="str">
        <x:f>IF(E46="","Unknown",IF(E46&lt;10,"&lt;10",IF(E46&lt;20,"10-&lt;20",IF(E46&lt;25,"20-&lt;25",IF(E46&lt;35,"25-&lt;35","35+")))))</x:f>
        <x:v>10-&lt;20</x:v>
      </x:c>
    </x:row>
    <x:row r="47">
      <x:c r="A47" t="str">
        <x:v>SYN0000046</x:v>
      </x:c>
      <x:c r="B47" s="12" t="n">
        <x:v>42565</x:v>
      </x:c>
      <x:c r="C47" s="18" t="n">
        <x:v>16634</x:v>
      </x:c>
      <x:c r="D47" s="18" t="n">
        <x:v>41982</x:v>
      </x:c>
      <x:c r="E47" s="18" t="n">
        <x:v>20.92</x:v>
      </x:c>
      <x:c r="F47" s="18" t="n">
        <x:v>6.74</x:v>
      </x:c>
      <x:c r="G47" t="n">
        <x:v>36</x:v>
      </x:c>
      <x:c r="H47" t="str">
        <x:v>A</x:v>
      </x:c>
      <x:c r="I47" t="str">
        <x:v>1-3 years</x:v>
      </x:c>
      <x:c r="J47" t="str">
        <x:v>OWN</x:v>
      </x:c>
      <x:c r="K47" t="str">
        <x:v>debt_consolidation</x:v>
      </x:c>
      <x:c r="L47" t="n">
        <x:v>0</x:v>
      </x:c>
      <x:c r="M47" t="n">
        <x:v>0</x:v>
      </x:c>
      <x:c r="N47" t="str">
        <x:v>Fully Paid</x:v>
      </x:c>
      <x:c r="O47" t="str">
        <x:f>IF(D47="","Unknown",IF(D47&lt;25000,"&lt;$25k",IF(D47&lt;50000,"$25k-$50k",IF(D47&lt;75000,"$50k-$75k",IF(D47&lt;100000,"$75k-$100k","$100k+")))))</x:f>
        <x:v>$25k-$50k</x:v>
      </x:c>
      <x:c r="P47" t="str">
        <x:f>IF(E47="","Unknown",IF(E47&lt;10,"&lt;10",IF(E47&lt;20,"10-&lt;20",IF(E47&lt;25,"20-&lt;25",IF(E47&lt;35,"25-&lt;35","35+")))))</x:f>
        <x:v>20-&lt;25</x:v>
      </x:c>
    </x:row>
    <x:row r="48">
      <x:c r="A48" t="str">
        <x:v>SYN0000047</x:v>
      </x:c>
      <x:c r="B48" s="12" t="n">
        <x:v>42595</x:v>
      </x:c>
      <x:c r="C48" s="18" t="n">
        <x:v>5718</x:v>
      </x:c>
      <x:c r="D48" s="18" t="n">
        <x:v>36666</x:v>
      </x:c>
      <x:c r="E48" s="18" t="n">
        <x:v>15.7</x:v>
      </x:c>
      <x:c r="F48" s="18" t="n">
        <x:v>18.93</x:v>
      </x:c>
      <x:c r="G48" t="n">
        <x:v>36</x:v>
      </x:c>
      <x:c r="H48" t="str">
        <x:v>E</x:v>
      </x:c>
      <x:c r="I48" t="str">
        <x:v>7-9 years</x:v>
      </x:c>
      <x:c r="J48" t="str">
        <x:v>OWN</x:v>
      </x:c>
      <x:c r="K48" t="str">
        <x:v>home_improvement</x:v>
      </x:c>
      <x:c r="L48" t="n">
        <x:v>1</x:v>
      </x:c>
      <x:c r="M48" t="n">
        <x:v>0</x:v>
      </x:c>
      <x:c r="N48" t="str">
        <x:v>Fully Paid</x:v>
      </x:c>
      <x:c r="O48" t="str">
        <x:f>IF(D48="","Unknown",IF(D48&lt;25000,"&lt;$25k",IF(D48&lt;50000,"$25k-$50k",IF(D48&lt;75000,"$50k-$75k",IF(D48&lt;100000,"$75k-$100k","$100k+")))))</x:f>
        <x:v>$25k-$50k</x:v>
      </x:c>
      <x:c r="P48" t="str">
        <x:f>IF(E48="","Unknown",IF(E48&lt;10,"&lt;10",IF(E48&lt;20,"10-&lt;20",IF(E48&lt;25,"20-&lt;25",IF(E48&lt;35,"25-&lt;35","35+")))))</x:f>
        <x:v>10-&lt;20</x:v>
      </x:c>
    </x:row>
    <x:row r="49">
      <x:c r="A49" t="str">
        <x:v>SYN0000048</x:v>
      </x:c>
      <x:c r="B49" s="12" t="n">
        <x:v>41575</x:v>
      </x:c>
      <x:c r="C49" s="18" t="n">
        <x:v>6999</x:v>
      </x:c>
      <x:c r="D49" s="18" t="n">
        <x:v>39954</x:v>
      </x:c>
      <x:c r="E49" s="18" t="n">
        <x:v>0</x:v>
      </x:c>
      <x:c r="F49" s="18" t="n">
        <x:v>12.88</x:v>
      </x:c>
      <x:c r="G49" t="n">
        <x:v>36</x:v>
      </x:c>
      <x:c r="H49" t="str">
        <x:v>D</x:v>
      </x:c>
      <x:c r="I49" t="str">
        <x:v>10+ years</x:v>
      </x:c>
      <x:c r="J49" t="str">
        <x:v>OWN</x:v>
      </x:c>
      <x:c r="K49" t="str">
        <x:v>debt_consolidation</x:v>
      </x:c>
      <x:c r="L49" t="n">
        <x:v>1</x:v>
      </x:c>
      <x:c r="M49" t="n">
        <x:v>0</x:v>
      </x:c>
      <x:c r="N49" t="str">
        <x:v>Fully Paid</x:v>
      </x:c>
      <x:c r="O49" t="str">
        <x:f>IF(D49="","Unknown",IF(D49&lt;25000,"&lt;$25k",IF(D49&lt;50000,"$25k-$50k",IF(D49&lt;75000,"$50k-$75k",IF(D49&lt;100000,"$75k-$100k","$100k+")))))</x:f>
        <x:v>$25k-$50k</x:v>
      </x:c>
      <x:c r="P49" t="str">
        <x:f>IF(E49="","Unknown",IF(E49&lt;10,"&lt;10",IF(E49&lt;20,"10-&lt;20",IF(E49&lt;25,"20-&lt;25",IF(E49&lt;35,"25-&lt;35","35+")))))</x:f>
        <x:v>Unknown</x:v>
      </x:c>
    </x:row>
    <x:row r="50">
      <x:c r="A50" t="str">
        <x:v>SYN0000049</x:v>
      </x:c>
      <x:c r="B50" s="12" t="n">
        <x:v>41905</x:v>
      </x:c>
      <x:c r="C50" s="18" t="n">
        <x:v>17191</x:v>
      </x:c>
      <x:c r="D50" s="18" t="n">
        <x:v>47891</x:v>
      </x:c>
      <x:c r="E50" s="18" t="n">
        <x:v>3.79</x:v>
      </x:c>
      <x:c r="F50" s="18" t="n">
        <x:v>17.87</x:v>
      </x:c>
      <x:c r="G50" t="n">
        <x:v>60</x:v>
      </x:c>
      <x:c r="H50" t="str">
        <x:v>E</x:v>
      </x:c>
      <x:c r="I50" t="str">
        <x:v>7-9 years</x:v>
      </x:c>
      <x:c r="J50" t="str">
        <x:v>MORTGAGE</x:v>
      </x:c>
      <x:c r="K50" t="str">
        <x:v>credit_card</x:v>
      </x:c>
      <x:c r="L50" t="n">
        <x:v>0</x:v>
      </x:c>
      <x:c r="M50" t="n">
        <x:v>0</x:v>
      </x:c>
      <x:c r="N50" t="str">
        <x:v>Fully Paid</x:v>
      </x:c>
      <x:c r="O50" t="str">
        <x:f>IF(D50="","Unknown",IF(D50&lt;25000,"&lt;$25k",IF(D50&lt;50000,"$25k-$50k",IF(D50&lt;75000,"$50k-$75k",IF(D50&lt;100000,"$75k-$100k","$100k+")))))</x:f>
        <x:v>$25k-$50k</x:v>
      </x:c>
      <x:c r="P50" t="str">
        <x:f>IF(E50="","Unknown",IF(E50&lt;10,"&lt;10",IF(E50&lt;20,"10-&lt;20",IF(E50&lt;25,"20-&lt;25",IF(E50&lt;35,"25-&lt;35","35+")))))</x:f>
        <x:v>&lt;10</x:v>
      </x:c>
    </x:row>
    <x:row r="51">
      <x:c r="A51" t="str">
        <x:v>SYN0000050</x:v>
      </x:c>
      <x:c r="B51" s="12" t="n">
        <x:v>41875</x:v>
      </x:c>
      <x:c r="C51" s="18" t="n">
        <x:v>18000</x:v>
      </x:c>
      <x:c r="D51" s="18" t="n">
        <x:v>107386</x:v>
      </x:c>
      <x:c r="E51" s="18" t="n">
        <x:v>16.82</x:v>
      </x:c>
      <x:c r="F51" s="18" t="n">
        <x:v>6.62</x:v>
      </x:c>
      <x:c r="G51" t="n">
        <x:v>36</x:v>
      </x:c>
      <x:c r="H51" t="str">
        <x:v>A</x:v>
      </x:c>
      <x:c r="I51" t="str">
        <x:v>4-6 years</x:v>
      </x:c>
      <x:c r="J51" t="str">
        <x:v>OWN</x:v>
      </x:c>
      <x:c r="K51" t="str">
        <x:v>debt_consolidation</x:v>
      </x:c>
      <x:c r="L51" t="n">
        <x:v>0</x:v>
      </x:c>
      <x:c r="M51" t="n">
        <x:v>0</x:v>
      </x:c>
      <x:c r="N51" t="str">
        <x:v>Fully Paid</x:v>
      </x:c>
      <x:c r="O51" t="str">
        <x:f>IF(D51="","Unknown",IF(D51&lt;25000,"&lt;$25k",IF(D51&lt;50000,"$25k-$50k",IF(D51&lt;75000,"$50k-$75k",IF(D51&lt;100000,"$75k-$100k","$100k+")))))</x:f>
        <x:v>$100k+</x:v>
      </x:c>
      <x:c r="P51" t="str">
        <x:f>IF(E51="","Unknown",IF(E51&lt;10,"&lt;10",IF(E51&lt;20,"10-&lt;20",IF(E51&lt;25,"20-&lt;25",IF(E51&lt;35,"25-&lt;35","35+")))))</x:f>
        <x:v>10-&lt;20</x:v>
      </x:c>
    </x:row>
    <x:row r="52">
      <x:c r="A52" t="str">
        <x:v>SYN0000051</x:v>
      </x:c>
      <x:c r="B52" s="12" t="n">
        <x:v>43165</x:v>
      </x:c>
      <x:c r="C52" s="18" t="n">
        <x:v>8694</x:v>
      </x:c>
      <x:c r="D52" s="18" t="n">
        <x:v>41729</x:v>
      </x:c>
      <x:c r="E52" s="18" t="n">
        <x:v>16.55</x:v>
      </x:c>
      <x:c r="F52" s="18" t="n">
        <x:v>7.02</x:v>
      </x:c>
      <x:c r="G52" t="n">
        <x:v>36</x:v>
      </x:c>
      <x:c r="H52" t="str">
        <x:v>B</x:v>
      </x:c>
      <x:c r="I52" t="str">
        <x:v>10+ years</x:v>
      </x:c>
      <x:c r="J52" t="str">
        <x:v>RENT</x:v>
      </x:c>
      <x:c r="K52" t="str">
        <x:v>home_improvement</x:v>
      </x:c>
      <x:c r="L52" t="n">
        <x:v>1</x:v>
      </x:c>
      <x:c r="M52" t="n">
        <x:v>0</x:v>
      </x:c>
      <x:c r="N52" t="str">
        <x:v>Fully Paid</x:v>
      </x:c>
      <x:c r="O52" t="str">
        <x:f>IF(D52="","Unknown",IF(D52&lt;25000,"&lt;$25k",IF(D52&lt;50000,"$25k-$50k",IF(D52&lt;75000,"$50k-$75k",IF(D52&lt;100000,"$75k-$100k","$100k+")))))</x:f>
        <x:v>$25k-$50k</x:v>
      </x:c>
      <x:c r="P52" t="str">
        <x:f>IF(E52="","Unknown",IF(E52&lt;10,"&lt;10",IF(E52&lt;20,"10-&lt;20",IF(E52&lt;25,"20-&lt;25",IF(E52&lt;35,"25-&lt;35","35+")))))</x:f>
        <x:v>10-&lt;20</x:v>
      </x:c>
    </x:row>
    <x:row r="53">
      <x:c r="A53" t="str">
        <x:v>SYN0000052</x:v>
      </x:c>
      <x:c r="B53" s="12" t="n">
        <x:v>41545</x:v>
      </x:c>
      <x:c r="C53" s="18" t="n">
        <x:v>20693</x:v>
      </x:c>
      <x:c r="D53" s="18" t="n">
        <x:v>206195</x:v>
      </x:c>
      <x:c r="E53" s="18" t="n">
        <x:v>23.24</x:v>
      </x:c>
      <x:c r="F53" s="18" t="n">
        <x:v>16.65</x:v>
      </x:c>
      <x:c r="G53" t="n">
        <x:v>60</x:v>
      </x:c>
      <x:c r="H53" t="str">
        <x:v>D</x:v>
      </x:c>
      <x:c r="I53" t="str">
        <x:v>4-6 years</x:v>
      </x:c>
      <x:c r="J53" t="str">
        <x:v>MORTGAGE</x:v>
      </x:c>
      <x:c r="K53" t="str">
        <x:v>debt_consolidation</x:v>
      </x:c>
      <x:c r="L53" t="n">
        <x:v>0</x:v>
      </x:c>
      <x:c r="M53" t="n">
        <x:v>1</x:v>
      </x:c>
      <x:c r="N53" t="str">
        <x:v>Charged Off</x:v>
      </x:c>
      <x:c r="O53" t="str">
        <x:f>IF(D53="","Unknown",IF(D53&lt;25000,"&lt;$25k",IF(D53&lt;50000,"$25k-$50k",IF(D53&lt;75000,"$50k-$75k",IF(D53&lt;100000,"$75k-$100k","$100k+")))))</x:f>
        <x:v>$100k+</x:v>
      </x:c>
      <x:c r="P53" t="str">
        <x:f>IF(E53="","Unknown",IF(E53&lt;10,"&lt;10",IF(E53&lt;20,"10-&lt;20",IF(E53&lt;25,"20-&lt;25",IF(E53&lt;35,"25-&lt;35","35+")))))</x:f>
        <x:v>20-&lt;25</x:v>
      </x:c>
    </x:row>
    <x:row r="54">
      <x:c r="A54" t="str">
        <x:v>SYN0000053</x:v>
      </x:c>
      <x:c r="B54" s="12" t="n">
        <x:v>42205</x:v>
      </x:c>
      <x:c r="C54" s="18" t="n">
        <x:v>9904</x:v>
      </x:c>
      <x:c r="D54" s="18" t="n">
        <x:v>78541</x:v>
      </x:c>
      <x:c r="E54" s="18" t="n">
        <x:v>13.61</x:v>
      </x:c>
      <x:c r="F54" s="18" t="n">
        <x:v>10.9</x:v>
      </x:c>
      <x:c r="G54" t="n">
        <x:v>36</x:v>
      </x:c>
      <x:c r="H54" t="str">
        <x:v>D</x:v>
      </x:c>
      <x:c r="I54" t="str">
        <x:v>&lt;1 year</x:v>
      </x:c>
      <x:c r="J54" t="str">
        <x:v>OWN</x:v>
      </x:c>
      <x:c r="K54" t="str">
        <x:v>home_improvement</x:v>
      </x:c>
      <x:c r="L54" t="n">
        <x:v>1</x:v>
      </x:c>
      <x:c r="M54" t="n">
        <x:v>0</x:v>
      </x:c>
      <x:c r="N54" t="str">
        <x:v>Fully Paid</x:v>
      </x:c>
      <x:c r="O54" t="str">
        <x:f>IF(D54="","Unknown",IF(D54&lt;25000,"&lt;$25k",IF(D54&lt;50000,"$25k-$50k",IF(D54&lt;75000,"$50k-$75k",IF(D54&lt;100000,"$75k-$100k","$100k+")))))</x:f>
        <x:v>$75k-$100k</x:v>
      </x:c>
      <x:c r="P54" t="str">
        <x:f>IF(E54="","Unknown",IF(E54&lt;10,"&lt;10",IF(E54&lt;20,"10-&lt;20",IF(E54&lt;25,"20-&lt;25",IF(E54&lt;35,"25-&lt;35","35+")))))</x:f>
        <x:v>10-&lt;20</x:v>
      </x:c>
    </x:row>
    <x:row r="55">
      <x:c r="A55" t="str">
        <x:v>SYN0000054</x:v>
      </x:c>
      <x:c r="B55" s="12" t="n">
        <x:v>41425</x:v>
      </x:c>
      <x:c r="C55" s="18" t="n">
        <x:v>18003</x:v>
      </x:c>
      <x:c r="D55" s="18" t="n">
        <x:v>87591</x:v>
      </x:c>
      <x:c r="E55" s="18" t="n">
        <x:v>7.08</x:v>
      </x:c>
      <x:c r="F55" s="18" t="n">
        <x:v>14.72</x:v>
      </x:c>
      <x:c r="G55" t="n">
        <x:v>36</x:v>
      </x:c>
      <x:c r="H55" t="str">
        <x:v>D</x:v>
      </x:c>
      <x:c r="I55" t="str">
        <x:v>4-6 years</x:v>
      </x:c>
      <x:c r="J55" t="str">
        <x:v>OTHER</x:v>
      </x:c>
      <x:c r="K55" t="str">
        <x:v>debt_consolidation</x:v>
      </x:c>
      <x:c r="L55" t="n">
        <x:v>0</x:v>
      </x:c>
      <x:c r="M55" t="n">
        <x:v>0</x:v>
      </x:c>
      <x:c r="N55" t="str">
        <x:v>Fully Paid</x:v>
      </x:c>
      <x:c r="O55" t="str">
        <x:f>IF(D55="","Unknown",IF(D55&lt;25000,"&lt;$25k",IF(D55&lt;50000,"$25k-$50k",IF(D55&lt;75000,"$50k-$75k",IF(D55&lt;100000,"$75k-$100k","$100k+")))))</x:f>
        <x:v>$75k-$100k</x:v>
      </x:c>
      <x:c r="P55" t="str">
        <x:f>IF(E55="","Unknown",IF(E55&lt;10,"&lt;10",IF(E55&lt;20,"10-&lt;20",IF(E55&lt;25,"20-&lt;25",IF(E55&lt;35,"25-&lt;35","35+")))))</x:f>
        <x:v>&lt;10</x:v>
      </x:c>
    </x:row>
    <x:row r="56">
      <x:c r="A56" t="str">
        <x:v>SYN0000055</x:v>
      </x:c>
      <x:c r="B56" s="12" t="n">
        <x:v>41605</x:v>
      </x:c>
      <x:c r="C56" s="18" t="n">
        <x:v>14338</x:v>
      </x:c>
      <x:c r="D56" s="18" t="n">
        <x:v>17440</x:v>
      </x:c>
      <x:c r="E56" s="18" t="n">
        <x:v>10.92</x:v>
      </x:c>
      <x:c r="F56" s="18" t="n">
        <x:v>18.1</x:v>
      </x:c>
      <x:c r="G56" t="n">
        <x:v>36</x:v>
      </x:c>
      <x:c r="H56" t="str">
        <x:v>E</x:v>
      </x:c>
      <x:c r="I56" t="str">
        <x:v>10+ years</x:v>
      </x:c>
      <x:c r="J56" t="str">
        <x:v>MORTGAGE</x:v>
      </x:c>
      <x:c r="K56" t="str">
        <x:v>debt_consolidation</x:v>
      </x:c>
      <x:c r="L56" t="n">
        <x:v>0</x:v>
      </x:c>
      <x:c r="M56" t="n">
        <x:v>0</x:v>
      </x:c>
      <x:c r="N56" t="str">
        <x:v>Fully Paid</x:v>
      </x:c>
      <x:c r="O56" t="str">
        <x:f>IF(D56="","Unknown",IF(D56&lt;25000,"&lt;$25k",IF(D56&lt;50000,"$25k-$50k",IF(D56&lt;75000,"$50k-$75k",IF(D56&lt;100000,"$75k-$100k","$100k+")))))</x:f>
        <x:v>&lt;$25k</x:v>
      </x:c>
      <x:c r="P56" t="str">
        <x:f>IF(E56="","Unknown",IF(E56&lt;10,"&lt;10",IF(E56&lt;20,"10-&lt;20",IF(E56&lt;25,"20-&lt;25",IF(E56&lt;35,"25-&lt;35","35+")))))</x:f>
        <x:v>10-&lt;20</x:v>
      </x:c>
    </x:row>
    <x:row r="57">
      <x:c r="A57" t="str">
        <x:v>SYN0000056</x:v>
      </x:c>
      <x:c r="B57" s="12" t="n">
        <x:v>43195</x:v>
      </x:c>
      <x:c r="C57" s="18" t="n">
        <x:v>18481</x:v>
      </x:c>
      <x:c r="D57" s="18" t="n">
        <x:v>43570</x:v>
      </x:c>
      <x:c r="E57" s="18" t="n">
        <x:v>39.06</x:v>
      </x:c>
      <x:c r="F57" s="18" t="n">
        <x:v>12.42</x:v>
      </x:c>
      <x:c r="G57" t="n">
        <x:v>60</x:v>
      </x:c>
      <x:c r="H57" t="str">
        <x:v>D</x:v>
      </x:c>
      <x:c r="I57" t="str">
        <x:v>4-6 years</x:v>
      </x:c>
      <x:c r="J57" t="str">
        <x:v>RENT</x:v>
      </x:c>
      <x:c r="K57" t="str">
        <x:v>debt_consolidation</x:v>
      </x:c>
      <x:c r="L57" t="n">
        <x:v>0</x:v>
      </x:c>
      <x:c r="M57" t="n">
        <x:v>0</x:v>
      </x:c>
      <x:c r="N57" t="str">
        <x:v>Fully Paid</x:v>
      </x:c>
      <x:c r="O57" t="str">
        <x:f>IF(D57="","Unknown",IF(D57&lt;25000,"&lt;$25k",IF(D57&lt;50000,"$25k-$50k",IF(D57&lt;75000,"$50k-$75k",IF(D57&lt;100000,"$75k-$100k","$100k+")))))</x:f>
        <x:v>$25k-$50k</x:v>
      </x:c>
      <x:c r="P57" t="str">
        <x:f>IF(E57="","Unknown",IF(E57&lt;10,"&lt;10",IF(E57&lt;20,"10-&lt;20",IF(E57&lt;25,"20-&lt;25",IF(E57&lt;35,"25-&lt;35","35+")))))</x:f>
        <x:v>35+</x:v>
      </x:c>
    </x:row>
    <x:row r="58">
      <x:c r="A58" t="str">
        <x:v>SYN0000057</x:v>
      </x:c>
      <x:c r="B58" s="12" t="n">
        <x:v>43045</x:v>
      </x:c>
      <x:c r="C58" s="18" t="n">
        <x:v>12282</x:v>
      </x:c>
      <x:c r="D58" s="18" t="n">
        <x:v>82342</x:v>
      </x:c>
      <x:c r="E58" s="18" t="n">
        <x:v>3.42</x:v>
      </x:c>
      <x:c r="F58" s="18" t="n">
        <x:v>11.06</x:v>
      </x:c>
      <x:c r="G58" t="n">
        <x:v>36</x:v>
      </x:c>
      <x:c r="H58" t="str">
        <x:v>C</x:v>
      </x:c>
      <x:c r="I58" t="str">
        <x:v>4-6 years</x:v>
      </x:c>
      <x:c r="J58" t="str">
        <x:v>MORTGAGE</x:v>
      </x:c>
      <x:c r="K58" t="str">
        <x:v>credit_card</x:v>
      </x:c>
      <x:c r="L58" t="n">
        <x:v>1</x:v>
      </x:c>
      <x:c r="M58" t="n">
        <x:v>0</x:v>
      </x:c>
      <x:c r="N58" t="str">
        <x:v>Fully Paid</x:v>
      </x:c>
      <x:c r="O58" t="str">
        <x:f>IF(D58="","Unknown",IF(D58&lt;25000,"&lt;$25k",IF(D58&lt;50000,"$25k-$50k",IF(D58&lt;75000,"$50k-$75k",IF(D58&lt;100000,"$75k-$100k","$100k+")))))</x:f>
        <x:v>$75k-$100k</x:v>
      </x:c>
      <x:c r="P58" t="str">
        <x:f>IF(E58="","Unknown",IF(E58&lt;10,"&lt;10",IF(E58&lt;20,"10-&lt;20",IF(E58&lt;25,"20-&lt;25",IF(E58&lt;35,"25-&lt;35","35+")))))</x:f>
        <x:v>&lt;10</x:v>
      </x:c>
    </x:row>
    <x:row r="59">
      <x:c r="A59" t="str">
        <x:v>SYN0000058</x:v>
      </x:c>
      <x:c r="B59" s="12" t="n">
        <x:v>43375</x:v>
      </x:c>
      <x:c r="C59" s="18" t="n">
        <x:v>21922</x:v>
      </x:c>
      <x:c r="D59" s="18" t="n">
        <x:v>250000</x:v>
      </x:c>
      <x:c r="E59" s="18" t="n">
        <x:v>19.38</x:v>
      </x:c>
      <x:c r="F59" s="18" t="n">
        <x:v>16.66</x:v>
      </x:c>
      <x:c r="G59" t="n">
        <x:v>60</x:v>
      </x:c>
      <x:c r="H59" t="str">
        <x:v>E</x:v>
      </x:c>
      <x:c r="I59" t="str">
        <x:v>1-3 years</x:v>
      </x:c>
      <x:c r="J59" t="str">
        <x:v>RENT</x:v>
      </x:c>
      <x:c r="K59" t="str">
        <x:v>major_purchase</x:v>
      </x:c>
      <x:c r="L59" t="n">
        <x:v>0</x:v>
      </x:c>
      <x:c r="M59" t="n">
        <x:v>0</x:v>
      </x:c>
      <x:c r="N59" t="str">
        <x:v>Fully Paid</x:v>
      </x:c>
      <x:c r="O59" t="str">
        <x:f>IF(D59="","Unknown",IF(D59&lt;25000,"&lt;$25k",IF(D59&lt;50000,"$25k-$50k",IF(D59&lt;75000,"$50k-$75k",IF(D59&lt;100000,"$75k-$100k","$100k+")))))</x:f>
        <x:v>$100k+</x:v>
      </x:c>
      <x:c r="P59" t="str">
        <x:f>IF(E59="","Unknown",IF(E59&lt;10,"&lt;10",IF(E59&lt;20,"10-&lt;20",IF(E59&lt;25,"20-&lt;25",IF(E59&lt;35,"25-&lt;35","35+")))))</x:f>
        <x:v>10-&lt;20</x:v>
      </x:c>
    </x:row>
    <x:row r="60">
      <x:c r="A60" t="str">
        <x:v>SYN0000059</x:v>
      </x:c>
      <x:c r="B60" s="12" t="n">
        <x:v>41425</x:v>
      </x:c>
      <x:c r="C60" s="18" t="n">
        <x:v>21283</x:v>
      </x:c>
      <x:c r="D60" s="18" t="n">
        <x:v>30828</x:v>
      </x:c>
      <x:c r="E60" s="18" t="n">
        <x:v>28.51</x:v>
      </x:c>
      <x:c r="F60" s="18" t="n">
        <x:v>8.49</x:v>
      </x:c>
      <x:c r="G60" t="n">
        <x:v>36</x:v>
      </x:c>
      <x:c r="H60" t="str">
        <x:v>A</x:v>
      </x:c>
      <x:c r="I60" t="str">
        <x:v>7-9 years</x:v>
      </x:c>
      <x:c r="J60" t="str">
        <x:v>MORTGAGE</x:v>
      </x:c>
      <x:c r="K60" t="str">
        <x:v>debt_consolidation</x:v>
      </x:c>
      <x:c r="L60" t="n">
        <x:v>0</x:v>
      </x:c>
      <x:c r="M60" t="n">
        <x:v>0</x:v>
      </x:c>
      <x:c r="N60" t="str">
        <x:v>Fully Paid</x:v>
      </x:c>
      <x:c r="O60" t="str">
        <x:f>IF(D60="","Unknown",IF(D60&lt;25000,"&lt;$25k",IF(D60&lt;50000,"$25k-$50k",IF(D60&lt;75000,"$50k-$75k",IF(D60&lt;100000,"$75k-$100k","$100k+")))))</x:f>
        <x:v>$25k-$50k</x:v>
      </x:c>
      <x:c r="P60" t="str">
        <x:f>IF(E60="","Unknown",IF(E60&lt;10,"&lt;10",IF(E60&lt;20,"10-&lt;20",IF(E60&lt;25,"20-&lt;25",IF(E60&lt;35,"25-&lt;35","35+")))))</x:f>
        <x:v>25-&lt;35</x:v>
      </x:c>
    </x:row>
    <x:row r="61">
      <x:c r="A61" t="str">
        <x:v>SYN0000060</x:v>
      </x:c>
      <x:c r="B61" s="12" t="n">
        <x:v>42415</x:v>
      </x:c>
      <x:c r="C61" s="18" t="n">
        <x:v>8238</x:v>
      </x:c>
      <x:c r="D61" s="18" t="n">
        <x:v>33340</x:v>
      </x:c>
      <x:c r="E61" s="18" t="n">
        <x:v>19.56</x:v>
      </x:c>
      <x:c r="F61" s="18" t="n">
        <x:v>9.4</x:v>
      </x:c>
      <x:c r="G61" t="n">
        <x:v>36</x:v>
      </x:c>
      <x:c r="H61" t="str">
        <x:v>B</x:v>
      </x:c>
      <x:c r="I61" t="str">
        <x:v>7-9 years</x:v>
      </x:c>
      <x:c r="J61" t="str">
        <x:v>MORTGAGE</x:v>
      </x:c>
      <x:c r="K61" t="str">
        <x:v>credit_card</x:v>
      </x:c>
      <x:c r="L61" t="n">
        <x:v>0</x:v>
      </x:c>
      <x:c r="M61" t="n">
        <x:v>0</x:v>
      </x:c>
      <x:c r="N61" t="str">
        <x:v>Fully Paid</x:v>
      </x:c>
      <x:c r="O61" t="str">
        <x:f>IF(D61="","Unknown",IF(D61&lt;25000,"&lt;$25k",IF(D61&lt;50000,"$25k-$50k",IF(D61&lt;75000,"$50k-$75k",IF(D61&lt;100000,"$75k-$100k","$100k+")))))</x:f>
        <x:v>$25k-$50k</x:v>
      </x:c>
      <x:c r="P61" t="str">
        <x:f>IF(E61="","Unknown",IF(E61&lt;10,"&lt;10",IF(E61&lt;20,"10-&lt;20",IF(E61&lt;25,"20-&lt;25",IF(E61&lt;35,"25-&lt;35","35+")))))</x:f>
        <x:v>10-&lt;20</x:v>
      </x:c>
    </x:row>
    <x:row r="62">
      <x:c r="A62" t="str">
        <x:v>SYN0000061</x:v>
      </x:c>
      <x:c r="B62" s="12" t="n">
        <x:v>43375</x:v>
      </x:c>
      <x:c r="C62" s="18" t="n">
        <x:v>7323</x:v>
      </x:c>
      <x:c r="D62" s="18" t="n">
        <x:v>167642</x:v>
      </x:c>
      <x:c r="E62" s="18" t="n">
        <x:v>2.25</x:v>
      </x:c>
      <x:c r="F62" s="18" t="n">
        <x:v>7.56</x:v>
      </x:c>
      <x:c r="G62" t="n">
        <x:v>36</x:v>
      </x:c>
      <x:c r="H62" t="str">
        <x:v>B</x:v>
      </x:c>
      <x:c r="I62" t="str">
        <x:v>10+ years</x:v>
      </x:c>
      <x:c r="J62" t="str">
        <x:v>MORTGAGE</x:v>
      </x:c>
      <x:c r="K62" t="str">
        <x:v>credit_card</x:v>
      </x:c>
      <x:c r="L62" t="n">
        <x:v>0</x:v>
      </x:c>
      <x:c r="M62" t="n">
        <x:v>0</x:v>
      </x:c>
      <x:c r="N62" t="str">
        <x:v>Fully Paid</x:v>
      </x:c>
      <x:c r="O62" t="str">
        <x:f>IF(D62="","Unknown",IF(D62&lt;25000,"&lt;$25k",IF(D62&lt;50000,"$25k-$50k",IF(D62&lt;75000,"$50k-$75k",IF(D62&lt;100000,"$75k-$100k","$100k+")))))</x:f>
        <x:v>$100k+</x:v>
      </x:c>
      <x:c r="P62" t="str">
        <x:f>IF(E62="","Unknown",IF(E62&lt;10,"&lt;10",IF(E62&lt;20,"10-&lt;20",IF(E62&lt;25,"20-&lt;25",IF(E62&lt;35,"25-&lt;35","35+")))))</x:f>
        <x:v>&lt;10</x:v>
      </x:c>
    </x:row>
    <x:row r="63">
      <x:c r="A63" t="str">
        <x:v>SYN0000062</x:v>
      </x:c>
      <x:c r="B63" s="12" t="n">
        <x:v>43375</x:v>
      </x:c>
      <x:c r="C63" s="18" t="n">
        <x:v>13093</x:v>
      </x:c>
      <x:c r="D63" s="18" t="n">
        <x:v>31578</x:v>
      </x:c>
      <x:c r="E63" s="18" t="n">
        <x:v>30.74</x:v>
      </x:c>
      <x:c r="F63" s="18" t="n">
        <x:v>21.16</x:v>
      </x:c>
      <x:c r="G63" t="n">
        <x:v>36</x:v>
      </x:c>
      <x:c r="H63" t="str">
        <x:v>E</x:v>
      </x:c>
      <x:c r="I63" t="str">
        <x:v>10+ years</x:v>
      </x:c>
      <x:c r="J63" t="str">
        <x:v>MORTGAGE</x:v>
      </x:c>
      <x:c r="K63" t="str">
        <x:v>medical</x:v>
      </x:c>
      <x:c r="L63" t="n">
        <x:v>2</x:v>
      </x:c>
      <x:c r="M63" t="n">
        <x:v>1</x:v>
      </x:c>
      <x:c r="N63" t="str">
        <x:v>Charged Off</x:v>
      </x:c>
      <x:c r="O63" t="str">
        <x:f>IF(D63="","Unknown",IF(D63&lt;25000,"&lt;$25k",IF(D63&lt;50000,"$25k-$50k",IF(D63&lt;75000,"$50k-$75k",IF(D63&lt;100000,"$75k-$100k","$100k+")))))</x:f>
        <x:v>$25k-$50k</x:v>
      </x:c>
      <x:c r="P63" t="str">
        <x:f>IF(E63="","Unknown",IF(E63&lt;10,"&lt;10",IF(E63&lt;20,"10-&lt;20",IF(E63&lt;25,"20-&lt;25",IF(E63&lt;35,"25-&lt;35","35+")))))</x:f>
        <x:v>25-&lt;35</x:v>
      </x:c>
    </x:row>
    <x:row r="64">
      <x:c r="A64" t="str">
        <x:v>SYN0000063</x:v>
      </x:c>
      <x:c r="B64" s="12" t="n">
        <x:v>42475</x:v>
      </x:c>
      <x:c r="C64" s="18" t="n">
        <x:v>18153</x:v>
      </x:c>
      <x:c r="D64" s="18" t="n">
        <x:v>40963</x:v>
      </x:c>
      <x:c r="E64" s="18" t="n">
        <x:v>24.37</x:v>
      </x:c>
      <x:c r="F64" s="18" t="n">
        <x:v>11.89</x:v>
      </x:c>
      <x:c r="G64" t="n">
        <x:v>36</x:v>
      </x:c>
      <x:c r="H64" t="str">
        <x:v>C</x:v>
      </x:c>
      <x:c r="I64" t="str">
        <x:v>1-3 years</x:v>
      </x:c>
      <x:c r="J64" t="str">
        <x:v>MORTGAGE</x:v>
      </x:c>
      <x:c r="K64" t="str">
        <x:v>debt_consolidation</x:v>
      </x:c>
      <x:c r="L64" t="n">
        <x:v>0</x:v>
      </x:c>
      <x:c r="M64" t="n">
        <x:v>0</x:v>
      </x:c>
      <x:c r="N64" t="str">
        <x:v>Fully Paid</x:v>
      </x:c>
      <x:c r="O64" t="str">
        <x:f>IF(D64="","Unknown",IF(D64&lt;25000,"&lt;$25k",IF(D64&lt;50000,"$25k-$50k",IF(D64&lt;75000,"$50k-$75k",IF(D64&lt;100000,"$75k-$100k","$100k+")))))</x:f>
        <x:v>$25k-$50k</x:v>
      </x:c>
      <x:c r="P64" t="str">
        <x:f>IF(E64="","Unknown",IF(E64&lt;10,"&lt;10",IF(E64&lt;20,"10-&lt;20",IF(E64&lt;25,"20-&lt;25",IF(E64&lt;35,"25-&lt;35","35+")))))</x:f>
        <x:v>20-&lt;25</x:v>
      </x:c>
    </x:row>
    <x:row r="65">
      <x:c r="A65" t="str">
        <x:v>SYN0000064</x:v>
      </x:c>
      <x:c r="B65" s="12" t="n">
        <x:v>42445</x:v>
      </x:c>
      <x:c r="C65" s="18" t="n">
        <x:v>19978</x:v>
      </x:c>
      <x:c r="D65" s="18" t="n">
        <x:v>63151</x:v>
      </x:c>
      <x:c r="E65" s="18" t="n">
        <x:v>8.27</x:v>
      </x:c>
      <x:c r="F65" s="18" t="n">
        <x:v>10.55</x:v>
      </x:c>
      <x:c r="G65" t="n">
        <x:v>36</x:v>
      </x:c>
      <x:c r="H65" t="str">
        <x:v>C</x:v>
      </x:c>
      <x:c r="I65" t="str">
        <x:v>7-9 years</x:v>
      </x:c>
      <x:c r="J65" t="str">
        <x:v>RENT</x:v>
      </x:c>
      <x:c r="K65" t="str">
        <x:v>debt_consolidation</x:v>
      </x:c>
      <x:c r="L65" t="n">
        <x:v>0</x:v>
      </x:c>
      <x:c r="M65" t="n">
        <x:v>0</x:v>
      </x:c>
      <x:c r="N65" t="str">
        <x:v>Fully Paid</x:v>
      </x:c>
      <x:c r="O65" t="str">
        <x:f>IF(D65="","Unknown",IF(D65&lt;25000,"&lt;$25k",IF(D65&lt;50000,"$25k-$50k",IF(D65&lt;75000,"$50k-$75k",IF(D65&lt;100000,"$75k-$100k","$100k+")))))</x:f>
        <x:v>$50k-$75k</x:v>
      </x:c>
      <x:c r="P65" t="str">
        <x:f>IF(E65="","Unknown",IF(E65&lt;10,"&lt;10",IF(E65&lt;20,"10-&lt;20",IF(E65&lt;25,"20-&lt;25",IF(E65&lt;35,"25-&lt;35","35+")))))</x:f>
        <x:v>&lt;10</x:v>
      </x:c>
    </x:row>
    <x:row r="66">
      <x:c r="A66" t="str">
        <x:v>SYN0000065</x:v>
      </x:c>
      <x:c r="B66" s="12" t="n">
        <x:v>42955</x:v>
      </x:c>
      <x:c r="C66" s="18" t="n">
        <x:v>16664</x:v>
      </x:c>
      <x:c r="D66" s="18" t="n">
        <x:v>30727</x:v>
      </x:c>
      <x:c r="E66" s="18" t="n">
        <x:v>16.11</x:v>
      </x:c>
      <x:c r="F66" s="18" t="n">
        <x:v>8.37</x:v>
      </x:c>
      <x:c r="G66" t="n">
        <x:v>36</x:v>
      </x:c>
      <x:c r="H66" t="str">
        <x:v>A</x:v>
      </x:c>
      <x:c r="I66" t="str">
        <x:v>4-6 years</x:v>
      </x:c>
      <x:c r="J66" t="str">
        <x:v>MORTGAGE</x:v>
      </x:c>
      <x:c r="K66" t="str">
        <x:v>credit_card</x:v>
      </x:c>
      <x:c r="L66" t="n">
        <x:v>0</x:v>
      </x:c>
      <x:c r="M66" t="n">
        <x:v>0</x:v>
      </x:c>
      <x:c r="N66" t="str">
        <x:v>Fully Paid</x:v>
      </x:c>
      <x:c r="O66" t="str">
        <x:f>IF(D66="","Unknown",IF(D66&lt;25000,"&lt;$25k",IF(D66&lt;50000,"$25k-$50k",IF(D66&lt;75000,"$50k-$75k",IF(D66&lt;100000,"$75k-$100k","$100k+")))))</x:f>
        <x:v>$25k-$50k</x:v>
      </x:c>
      <x:c r="P66" t="str">
        <x:f>IF(E66="","Unknown",IF(E66&lt;10,"&lt;10",IF(E66&lt;20,"10-&lt;20",IF(E66&lt;25,"20-&lt;25",IF(E66&lt;35,"25-&lt;35","35+")))))</x:f>
        <x:v>10-&lt;20</x:v>
      </x:c>
    </x:row>
    <x:row r="67">
      <x:c r="A67" t="str">
        <x:v>SYN0000066</x:v>
      </x:c>
      <x:c r="B67" s="12" t="n">
        <x:v>41305</x:v>
      </x:c>
      <x:c r="C67" s="18" t="n">
        <x:v>15652</x:v>
      </x:c>
      <x:c r="D67" s="18" t="n">
        <x:v>25515</x:v>
      </x:c>
      <x:c r="E67" s="18" t="n">
        <x:v>32.58</x:v>
      </x:c>
      <x:c r="F67" s="18" t="n">
        <x:v>8.46</x:v>
      </x:c>
      <x:c r="G67" t="n">
        <x:v>60</x:v>
      </x:c>
      <x:c r="H67" t="str">
        <x:v>C</x:v>
      </x:c>
      <x:c r="I67" t="str">
        <x:v>1-3 years</x:v>
      </x:c>
      <x:c r="J67" t="str">
        <x:v>RENT</x:v>
      </x:c>
      <x:c r="K67" t="str">
        <x:v>debt_consolidation</x:v>
      </x:c>
      <x:c r="L67" t="n">
        <x:v>2</x:v>
      </x:c>
      <x:c r="M67" t="n">
        <x:v>0</x:v>
      </x:c>
      <x:c r="N67" t="str">
        <x:v>Fully Paid</x:v>
      </x:c>
      <x:c r="O67" t="str">
        <x:f>IF(D67="","Unknown",IF(D67&lt;25000,"&lt;$25k",IF(D67&lt;50000,"$25k-$50k",IF(D67&lt;75000,"$50k-$75k",IF(D67&lt;100000,"$75k-$100k","$100k+")))))</x:f>
        <x:v>$25k-$50k</x:v>
      </x:c>
      <x:c r="P67" t="str">
        <x:f>IF(E67="","Unknown",IF(E67&lt;10,"&lt;10",IF(E67&lt;20,"10-&lt;20",IF(E67&lt;25,"20-&lt;25",IF(E67&lt;35,"25-&lt;35","35+")))))</x:f>
        <x:v>25-&lt;35</x:v>
      </x:c>
    </x:row>
    <x:row r="68">
      <x:c r="A68" t="str">
        <x:v>SYN0000067</x:v>
      </x:c>
      <x:c r="B68" s="12" t="n">
        <x:v>43255</x:v>
      </x:c>
      <x:c r="C68" s="18" t="n">
        <x:v>14660</x:v>
      </x:c>
      <x:c r="D68" s="18" t="n">
        <x:v>104634</x:v>
      </x:c>
      <x:c r="E68" s="18" t="n">
        <x:v>6.45</x:v>
      </x:c>
      <x:c r="F68" s="18" t="n">
        <x:v>16.38</x:v>
      </x:c>
      <x:c r="G68" t="n">
        <x:v>60</x:v>
      </x:c>
      <x:c r="H68" t="str">
        <x:v>D</x:v>
      </x:c>
      <x:c r="I68" t="str">
        <x:v>1-3 years</x:v>
      </x:c>
      <x:c r="J68" t="str">
        <x:v>MORTGAGE</x:v>
      </x:c>
      <x:c r="K68" t="str">
        <x:v>credit_card</x:v>
      </x:c>
      <x:c r="L68" t="n">
        <x:v>0</x:v>
      </x:c>
      <x:c r="M68" t="n">
        <x:v>0</x:v>
      </x:c>
      <x:c r="N68" t="str">
        <x:v>Fully Paid</x:v>
      </x:c>
      <x:c r="O68" t="str">
        <x:f>IF(D68="","Unknown",IF(D68&lt;25000,"&lt;$25k",IF(D68&lt;50000,"$25k-$50k",IF(D68&lt;75000,"$50k-$75k",IF(D68&lt;100000,"$75k-$100k","$100k+")))))</x:f>
        <x:v>$100k+</x:v>
      </x:c>
      <x:c r="P68" t="str">
        <x:f>IF(E68="","Unknown",IF(E68&lt;10,"&lt;10",IF(E68&lt;20,"10-&lt;20",IF(E68&lt;25,"20-&lt;25",IF(E68&lt;35,"25-&lt;35","35+")))))</x:f>
        <x:v>&lt;10</x:v>
      </x:c>
    </x:row>
    <x:row r="69">
      <x:c r="A69" t="str">
        <x:v>SYN0000068</x:v>
      </x:c>
      <x:c r="B69" s="12" t="n">
        <x:v>42805</x:v>
      </x:c>
      <x:c r="C69" s="18" t="n">
        <x:v>11114</x:v>
      </x:c>
      <x:c r="D69" s="18" t="n">
        <x:v>127307</x:v>
      </x:c>
      <x:c r="E69" s="18" t="n">
        <x:v>35.05</x:v>
      </x:c>
      <x:c r="F69" s="18" t="n">
        <x:v>16.35</x:v>
      </x:c>
      <x:c r="G69" t="n">
        <x:v>36</x:v>
      </x:c>
      <x:c r="H69" t="str">
        <x:v>E</x:v>
      </x:c>
      <x:c r="I69" t="str">
        <x:v>1-3 years</x:v>
      </x:c>
      <x:c r="J69" t="str">
        <x:v>RENT</x:v>
      </x:c>
      <x:c r="K69" t="str">
        <x:v>home_improvement</x:v>
      </x:c>
      <x:c r="L69" t="n">
        <x:v>3</x:v>
      </x:c>
      <x:c r="M69" t="n">
        <x:v>1</x:v>
      </x:c>
      <x:c r="N69" t="str">
        <x:v>Charged Off</x:v>
      </x:c>
      <x:c r="O69" t="str">
        <x:f>IF(D69="","Unknown",IF(D69&lt;25000,"&lt;$25k",IF(D69&lt;50000,"$25k-$50k",IF(D69&lt;75000,"$50k-$75k",IF(D69&lt;100000,"$75k-$100k","$100k+")))))</x:f>
        <x:v>$100k+</x:v>
      </x:c>
      <x:c r="P69" t="str">
        <x:f>IF(E69="","Unknown",IF(E69&lt;10,"&lt;10",IF(E69&lt;20,"10-&lt;20",IF(E69&lt;25,"20-&lt;25",IF(E69&lt;35,"25-&lt;35","35+")))))</x:f>
        <x:v>35+</x:v>
      </x:c>
    </x:row>
    <x:row r="70">
      <x:c r="A70" t="str">
        <x:v>SYN0000069</x:v>
      </x:c>
      <x:c r="B70" s="12" t="n">
        <x:v>42535</x:v>
      </x:c>
      <x:c r="C70" s="18" t="n">
        <x:v>13331</x:v>
      </x:c>
      <x:c r="D70" s="18" t="n">
        <x:v>43613</x:v>
      </x:c>
      <x:c r="E70" s="18" t="n">
        <x:v>14.27</x:v>
      </x:c>
      <x:c r="F70" s="18" t="n">
        <x:v>6.88</x:v>
      </x:c>
      <x:c r="G70" t="n">
        <x:v>36</x:v>
      </x:c>
      <x:c r="H70" t="str">
        <x:v>A</x:v>
      </x:c>
      <x:c r="I70" t="str">
        <x:v>1-3 years</x:v>
      </x:c>
      <x:c r="J70" t="str">
        <x:v>OWN</x:v>
      </x:c>
      <x:c r="K70" t="str">
        <x:v>debt_consolidation</x:v>
      </x:c>
      <x:c r="L70" t="n">
        <x:v>0</x:v>
      </x:c>
      <x:c r="M70" t="n">
        <x:v>0</x:v>
      </x:c>
      <x:c r="N70" t="str">
        <x:v>Fully Paid</x:v>
      </x:c>
      <x:c r="O70" t="str">
        <x:f>IF(D70="","Unknown",IF(D70&lt;25000,"&lt;$25k",IF(D70&lt;50000,"$25k-$50k",IF(D70&lt;75000,"$50k-$75k",IF(D70&lt;100000,"$75k-$100k","$100k+")))))</x:f>
        <x:v>$25k-$50k</x:v>
      </x:c>
      <x:c r="P70" t="str">
        <x:f>IF(E70="","Unknown",IF(E70&lt;10,"&lt;10",IF(E70&lt;20,"10-&lt;20",IF(E70&lt;25,"20-&lt;25",IF(E70&lt;35,"25-&lt;35","35+")))))</x:f>
        <x:v>10-&lt;20</x:v>
      </x:c>
    </x:row>
    <x:row r="71">
      <x:c r="A71" t="str">
        <x:v>SYN0000070</x:v>
      </x:c>
      <x:c r="B71" s="12" t="n">
        <x:v>42295</x:v>
      </x:c>
      <x:c r="C71" s="18" t="n">
        <x:v>9097</x:v>
      </x:c>
      <x:c r="D71" s="18" t="n">
        <x:v>46678</x:v>
      </x:c>
      <x:c r="E71" s="18" t="n">
        <x:v>37.67</x:v>
      </x:c>
      <x:c r="F71" s="18" t="n">
        <x:v>8.55</x:v>
      </x:c>
      <x:c r="G71" t="n">
        <x:v>36</x:v>
      </x:c>
      <x:c r="H71" t="str">
        <x:v>C</x:v>
      </x:c>
      <x:c r="I71" t="str">
        <x:v>4-6 years</x:v>
      </x:c>
      <x:c r="J71" t="str">
        <x:v>OWN</x:v>
      </x:c>
      <x:c r="K71" t="str">
        <x:v>debt_consolidation</x:v>
      </x:c>
      <x:c r="L71" t="n">
        <x:v>0</x:v>
      </x:c>
      <x:c r="M71" t="n">
        <x:v>0</x:v>
      </x:c>
      <x:c r="N71" t="str">
        <x:v>Fully Paid</x:v>
      </x:c>
      <x:c r="O71" t="str">
        <x:f>IF(D71="","Unknown",IF(D71&lt;25000,"&lt;$25k",IF(D71&lt;50000,"$25k-$50k",IF(D71&lt;75000,"$50k-$75k",IF(D71&lt;100000,"$75k-$100k","$100k+")))))</x:f>
        <x:v>$25k-$50k</x:v>
      </x:c>
      <x:c r="P71" t="str">
        <x:f>IF(E71="","Unknown",IF(E71&lt;10,"&lt;10",IF(E71&lt;20,"10-&lt;20",IF(E71&lt;25,"20-&lt;25",IF(E71&lt;35,"25-&lt;35","35+")))))</x:f>
        <x:v>35+</x:v>
      </x:c>
    </x:row>
    <x:row r="72">
      <x:c r="A72" t="str">
        <x:v>SYN0000071</x:v>
      </x:c>
      <x:c r="B72" s="12" t="n">
        <x:v>41935</x:v>
      </x:c>
      <x:c r="C72" s="18" t="n">
        <x:v>31470</x:v>
      </x:c>
      <x:c r="D72" s="18" t="n">
        <x:v>46222</x:v>
      </x:c>
      <x:c r="E72" s="18" t="n">
        <x:v>23.6</x:v>
      </x:c>
      <x:c r="F72" s="18" t="n">
        <x:v>5</x:v>
      </x:c>
      <x:c r="G72" t="n">
        <x:v>60</x:v>
      </x:c>
      <x:c r="H72" t="str">
        <x:v>A</x:v>
      </x:c>
      <x:c r="I72" t="str">
        <x:v>10+ years</x:v>
      </x:c>
      <x:c r="J72" t="str">
        <x:v>RENT</x:v>
      </x:c>
      <x:c r="K72" t="str">
        <x:v>debt_consolidation</x:v>
      </x:c>
      <x:c r="L72" t="n">
        <x:v>0</x:v>
      </x:c>
      <x:c r="M72" t="n">
        <x:v>0</x:v>
      </x:c>
      <x:c r="N72" t="str">
        <x:v>Fully Paid</x:v>
      </x:c>
      <x:c r="O72" t="str">
        <x:f>IF(D72="","Unknown",IF(D72&lt;25000,"&lt;$25k",IF(D72&lt;50000,"$25k-$50k",IF(D72&lt;75000,"$50k-$75k",IF(D72&lt;100000,"$75k-$100k","$100k+")))))</x:f>
        <x:v>$25k-$50k</x:v>
      </x:c>
      <x:c r="P72" t="str">
        <x:f>IF(E72="","Unknown",IF(E72&lt;10,"&lt;10",IF(E72&lt;20,"10-&lt;20",IF(E72&lt;25,"20-&lt;25",IF(E72&lt;35,"25-&lt;35","35+")))))</x:f>
        <x:v>20-&lt;25</x:v>
      </x:c>
    </x:row>
    <x:row r="73">
      <x:c r="A73" t="str">
        <x:v>SYN0000072</x:v>
      </x:c>
      <x:c r="B73" s="12" t="n">
        <x:v>41905</x:v>
      </x:c>
      <x:c r="C73" s="18" t="n">
        <x:v>15885</x:v>
      </x:c>
      <x:c r="D73" s="18" t="n">
        <x:v>29378</x:v>
      </x:c>
      <x:c r="E73" s="18" t="n">
        <x:v>39.02</x:v>
      </x:c>
      <x:c r="F73" s="18" t="n">
        <x:v>22.02</x:v>
      </x:c>
      <x:c r="G73" t="n">
        <x:v>36</x:v>
      </x:c>
      <x:c r="H73" t="str">
        <x:v>F</x:v>
      </x:c>
      <x:c r="I73" t="str">
        <x:v>4-6 years</x:v>
      </x:c>
      <x:c r="J73" t="str">
        <x:v>RENT</x:v>
      </x:c>
      <x:c r="K73" t="str">
        <x:v>credit_card</x:v>
      </x:c>
      <x:c r="L73" t="n">
        <x:v>2</x:v>
      </x:c>
      <x:c r="M73" t="n">
        <x:v>1</x:v>
      </x:c>
      <x:c r="N73" t="str">
        <x:v>Charged Off</x:v>
      </x:c>
      <x:c r="O73" t="str">
        <x:f>IF(D73="","Unknown",IF(D73&lt;25000,"&lt;$25k",IF(D73&lt;50000,"$25k-$50k",IF(D73&lt;75000,"$50k-$75k",IF(D73&lt;100000,"$75k-$100k","$100k+")))))</x:f>
        <x:v>$25k-$50k</x:v>
      </x:c>
      <x:c r="P73" t="str">
        <x:f>IF(E73="","Unknown",IF(E73&lt;10,"&lt;10",IF(E73&lt;20,"10-&lt;20",IF(E73&lt;25,"20-&lt;25",IF(E73&lt;35,"25-&lt;35","35+")))))</x:f>
        <x:v>35+</x:v>
      </x:c>
    </x:row>
    <x:row r="74">
      <x:c r="A74" t="str">
        <x:v>SYN0000073</x:v>
      </x:c>
      <x:c r="B74" s="12" t="n">
        <x:v>43345</x:v>
      </x:c>
      <x:c r="C74" s="18" t="n">
        <x:v>17730</x:v>
      </x:c>
      <x:c r="D74" s="18" t="n">
        <x:v>64889</x:v>
      </x:c>
      <x:c r="E74" s="18" t="n">
        <x:v>13.13</x:v>
      </x:c>
      <x:c r="F74" s="18" t="n">
        <x:v>21.31</x:v>
      </x:c>
      <x:c r="G74" t="n">
        <x:v>60</x:v>
      </x:c>
      <x:c r="H74" t="str">
        <x:v>E</x:v>
      </x:c>
      <x:c r="I74" t="str">
        <x:v>7-9 years</x:v>
      </x:c>
      <x:c r="J74" t="str">
        <x:v>OWN</x:v>
      </x:c>
      <x:c r="K74" t="str">
        <x:v>debt_consolidation</x:v>
      </x:c>
      <x:c r="L74" t="n">
        <x:v>1</x:v>
      </x:c>
      <x:c r="M74" t="n">
        <x:v>0</x:v>
      </x:c>
      <x:c r="N74" t="str">
        <x:v>Fully Paid</x:v>
      </x:c>
      <x:c r="O74" t="str">
        <x:f>IF(D74="","Unknown",IF(D74&lt;25000,"&lt;$25k",IF(D74&lt;50000,"$25k-$50k",IF(D74&lt;75000,"$50k-$75k",IF(D74&lt;100000,"$75k-$100k","$100k+")))))</x:f>
        <x:v>$50k-$75k</x:v>
      </x:c>
      <x:c r="P74" t="str">
        <x:f>IF(E74="","Unknown",IF(E74&lt;10,"&lt;10",IF(E74&lt;20,"10-&lt;20",IF(E74&lt;25,"20-&lt;25",IF(E74&lt;35,"25-&lt;35","35+")))))</x:f>
        <x:v>10-&lt;20</x:v>
      </x:c>
    </x:row>
    <x:row r="75">
      <x:c r="A75" t="str">
        <x:v>SYN0000074</x:v>
      </x:c>
      <x:c r="B75" s="12" t="n">
        <x:v>43045</x:v>
      </x:c>
      <x:c r="C75" s="18" t="n">
        <x:v>10295</x:v>
      </x:c>
      <x:c r="D75" s="18" t="n">
        <x:v>156717</x:v>
      </x:c>
      <x:c r="E75" s="18" t="n">
        <x:v>3.22</x:v>
      </x:c>
      <x:c r="F75" s="18" t="n">
        <x:v>13.72</x:v>
      </x:c>
      <x:c r="G75" t="n">
        <x:v>36</x:v>
      </x:c>
      <x:c r="H75" t="str">
        <x:v>D</x:v>
      </x:c>
      <x:c r="I75" t="str">
        <x:v>1-3 years</x:v>
      </x:c>
      <x:c r="J75" t="str">
        <x:v>MORTGAGE</x:v>
      </x:c>
      <x:c r="K75" t="str">
        <x:v>credit_card</x:v>
      </x:c>
      <x:c r="L75" t="n">
        <x:v>0</x:v>
      </x:c>
      <x:c r="M75" t="n">
        <x:v>1</x:v>
      </x:c>
      <x:c r="N75" t="str">
        <x:v>Charged Off</x:v>
      </x:c>
      <x:c r="O75" t="str">
        <x:f>IF(D75="","Unknown",IF(D75&lt;25000,"&lt;$25k",IF(D75&lt;50000,"$25k-$50k",IF(D75&lt;75000,"$50k-$75k",IF(D75&lt;100000,"$75k-$100k","$100k+")))))</x:f>
        <x:v>$100k+</x:v>
      </x:c>
      <x:c r="P75" t="str">
        <x:f>IF(E75="","Unknown",IF(E75&lt;10,"&lt;10",IF(E75&lt;20,"10-&lt;20",IF(E75&lt;25,"20-&lt;25",IF(E75&lt;35,"25-&lt;35","35+")))))</x:f>
        <x:v>&lt;10</x:v>
      </x:c>
    </x:row>
    <x:row r="76">
      <x:c r="A76" t="str">
        <x:v>SYN0000075</x:v>
      </x:c>
      <x:c r="B76" s="12" t="n">
        <x:v>42625</x:v>
      </x:c>
      <x:c r="C76" s="18" t="n">
        <x:v>4479</x:v>
      </x:c>
      <x:c r="D76" s="18" t="n">
        <x:v>119357</x:v>
      </x:c>
      <x:c r="E76" s="18" t="n">
        <x:v>20.38</x:v>
      </x:c>
      <x:c r="F76" s="18" t="n">
        <x:v>7.63</x:v>
      </x:c>
      <x:c r="G76" t="n">
        <x:v>36</x:v>
      </x:c>
      <x:c r="H76" t="str">
        <x:v>A</x:v>
      </x:c>
      <x:c r="I76" t="str">
        <x:v>1-3 years</x:v>
      </x:c>
      <x:c r="J76" t="str">
        <x:v>MORTGAGE</x:v>
      </x:c>
      <x:c r="K76" t="str">
        <x:v>debt_consolidation</x:v>
      </x:c>
      <x:c r="L76" t="n">
        <x:v>1</x:v>
      </x:c>
      <x:c r="M76" t="n">
        <x:v>0</x:v>
      </x:c>
      <x:c r="N76" t="str">
        <x:v>Fully Paid</x:v>
      </x:c>
      <x:c r="O76" t="str">
        <x:f>IF(D76="","Unknown",IF(D76&lt;25000,"&lt;$25k",IF(D76&lt;50000,"$25k-$50k",IF(D76&lt;75000,"$50k-$75k",IF(D76&lt;100000,"$75k-$100k","$100k+")))))</x:f>
        <x:v>$100k+</x:v>
      </x:c>
      <x:c r="P76" t="str">
        <x:f>IF(E76="","Unknown",IF(E76&lt;10,"&lt;10",IF(E76&lt;20,"10-&lt;20",IF(E76&lt;25,"20-&lt;25",IF(E76&lt;35,"25-&lt;35","35+")))))</x:f>
        <x:v>20-&lt;25</x:v>
      </x:c>
    </x:row>
    <x:row r="77">
      <x:c r="A77" t="str">
        <x:v>SYN0000076</x:v>
      </x:c>
      <x:c r="B77" s="12" t="n">
        <x:v>42235</x:v>
      </x:c>
      <x:c r="C77" s="18" t="n">
        <x:v>9491</x:v>
      </x:c>
      <x:c r="D77" s="18" t="n">
        <x:v>123976</x:v>
      </x:c>
      <x:c r="E77" s="18" t="n">
        <x:v>17.16</x:v>
      </x:c>
      <x:c r="F77" s="18" t="n">
        <x:v>7.92</x:v>
      </x:c>
      <x:c r="G77" t="n">
        <x:v>36</x:v>
      </x:c>
      <x:c r="H77" t="str">
        <x:v>B</x:v>
      </x:c>
      <x:c r="I77" t="str">
        <x:v>1-3 years</x:v>
      </x:c>
      <x:c r="J77" t="str">
        <x:v>RENT</x:v>
      </x:c>
      <x:c r="K77" t="str">
        <x:v>debt_consolidation</x:v>
      </x:c>
      <x:c r="L77" t="n">
        <x:v>2</x:v>
      </x:c>
      <x:c r="M77" t="n">
        <x:v>0</x:v>
      </x:c>
      <x:c r="N77" t="str">
        <x:v>Fully Paid</x:v>
      </x:c>
      <x:c r="O77" t="str">
        <x:f>IF(D77="","Unknown",IF(D77&lt;25000,"&lt;$25k",IF(D77&lt;50000,"$25k-$50k",IF(D77&lt;75000,"$50k-$75k",IF(D77&lt;100000,"$75k-$100k","$100k+")))))</x:f>
        <x:v>$100k+</x:v>
      </x:c>
      <x:c r="P77" t="str">
        <x:f>IF(E77="","Unknown",IF(E77&lt;10,"&lt;10",IF(E77&lt;20,"10-&lt;20",IF(E77&lt;25,"20-&lt;25",IF(E77&lt;35,"25-&lt;35","35+")))))</x:f>
        <x:v>10-&lt;20</x:v>
      </x:c>
    </x:row>
    <x:row r="78">
      <x:c r="A78" t="str">
        <x:v>SYN0000077</x:v>
      </x:c>
      <x:c r="B78" s="12" t="n">
        <x:v>41905</x:v>
      </x:c>
      <x:c r="C78" s="18" t="n">
        <x:v>26682</x:v>
      </x:c>
      <x:c r="D78" s="18" t="n">
        <x:v>62303</x:v>
      </x:c>
      <x:c r="E78" s="18" t="n">
        <x:v>9.12</x:v>
      </x:c>
      <x:c r="F78" s="18" t="n">
        <x:v>6.76</x:v>
      </x:c>
      <x:c r="G78" t="n">
        <x:v>60</x:v>
      </x:c>
      <x:c r="H78" t="str">
        <x:v>B</x:v>
      </x:c>
      <x:c r="I78" t="str">
        <x:v>10+ years</x:v>
      </x:c>
      <x:c r="J78" t="str">
        <x:v>RENT</x:v>
      </x:c>
      <x:c r="K78" t="str">
        <x:v>debt_consolidation</x:v>
      </x:c>
      <x:c r="L78" t="n">
        <x:v>0</x:v>
      </x:c>
      <x:c r="M78" t="n">
        <x:v>0</x:v>
      </x:c>
      <x:c r="N78" t="str">
        <x:v>Fully Paid</x:v>
      </x:c>
      <x:c r="O78" t="str">
        <x:f>IF(D78="","Unknown",IF(D78&lt;25000,"&lt;$25k",IF(D78&lt;50000,"$25k-$50k",IF(D78&lt;75000,"$50k-$75k",IF(D78&lt;100000,"$75k-$100k","$100k+")))))</x:f>
        <x:v>$50k-$75k</x:v>
      </x:c>
      <x:c r="P78" t="str">
        <x:f>IF(E78="","Unknown",IF(E78&lt;10,"&lt;10",IF(E78&lt;20,"10-&lt;20",IF(E78&lt;25,"20-&lt;25",IF(E78&lt;35,"25-&lt;35","35+")))))</x:f>
        <x:v>&lt;10</x:v>
      </x:c>
    </x:row>
    <x:row r="79">
      <x:c r="A79" t="str">
        <x:v>SYN0000078</x:v>
      </x:c>
      <x:c r="B79" s="12" t="n">
        <x:v>42445</x:v>
      </x:c>
      <x:c r="C79" s="18" t="n">
        <x:v>5638</x:v>
      </x:c>
      <x:c r="D79" s="18" t="n">
        <x:v>32328</x:v>
      </x:c>
      <x:c r="E79" s="18" t="n">
        <x:v>23.84</x:v>
      </x:c>
      <x:c r="F79" s="18" t="n">
        <x:v>7.04</x:v>
      </x:c>
      <x:c r="G79" t="n">
        <x:v>36</x:v>
      </x:c>
      <x:c r="H79" t="str">
        <x:v>B</x:v>
      </x:c>
      <x:c r="I79" t="str">
        <x:v>&lt;1 year</x:v>
      </x:c>
      <x:c r="J79" t="str">
        <x:v>RENT</x:v>
      </x:c>
      <x:c r="K79" t="str">
        <x:v>debt_consolidation</x:v>
      </x:c>
      <x:c r="L79" t="n">
        <x:v>1</x:v>
      </x:c>
      <x:c r="M79" t="n">
        <x:v>0</x:v>
      </x:c>
      <x:c r="N79" t="str">
        <x:v>Fully Paid</x:v>
      </x:c>
      <x:c r="O79" t="str">
        <x:f>IF(D79="","Unknown",IF(D79&lt;25000,"&lt;$25k",IF(D79&lt;50000,"$25k-$50k",IF(D79&lt;75000,"$50k-$75k",IF(D79&lt;100000,"$75k-$100k","$100k+")))))</x:f>
        <x:v>$25k-$50k</x:v>
      </x:c>
      <x:c r="P79" t="str">
        <x:f>IF(E79="","Unknown",IF(E79&lt;10,"&lt;10",IF(E79&lt;20,"10-&lt;20",IF(E79&lt;25,"20-&lt;25",IF(E79&lt;35,"25-&lt;35","35+")))))</x:f>
        <x:v>20-&lt;25</x:v>
      </x:c>
    </x:row>
    <x:row r="80">
      <x:c r="A80" t="str">
        <x:v>SYN0000079</x:v>
      </x:c>
      <x:c r="B80" s="12" t="n">
        <x:v>43075</x:v>
      </x:c>
      <x:c r="C80" s="18" t="n">
        <x:v>10466</x:v>
      </x:c>
      <x:c r="D80" s="18" t="n">
        <x:v>32272</x:v>
      </x:c>
      <x:c r="E80" s="18" t="n">
        <x:v>19.4</x:v>
      </x:c>
      <x:c r="F80" s="18" t="n">
        <x:v>9.08</x:v>
      </x:c>
      <x:c r="G80" t="n">
        <x:v>36</x:v>
      </x:c>
      <x:c r="H80" t="str">
        <x:v>B</x:v>
      </x:c>
      <x:c r="I80" t="str">
        <x:v>&lt;1 year</x:v>
      </x:c>
      <x:c r="J80" t="str">
        <x:v>OWN</x:v>
      </x:c>
      <x:c r="K80" t="str">
        <x:v>debt_consolidation</x:v>
      </x:c>
      <x:c r="L80" t="n">
        <x:v>0</x:v>
      </x:c>
      <x:c r="M80" t="n">
        <x:v>0</x:v>
      </x:c>
      <x:c r="N80" t="str">
        <x:v>Fully Paid</x:v>
      </x:c>
      <x:c r="O80" t="str">
        <x:f>IF(D80="","Unknown",IF(D80&lt;25000,"&lt;$25k",IF(D80&lt;50000,"$25k-$50k",IF(D80&lt;75000,"$50k-$75k",IF(D80&lt;100000,"$75k-$100k","$100k+")))))</x:f>
        <x:v>$25k-$50k</x:v>
      </x:c>
      <x:c r="P80" t="str">
        <x:f>IF(E80="","Unknown",IF(E80&lt;10,"&lt;10",IF(E80&lt;20,"10-&lt;20",IF(E80&lt;25,"20-&lt;25",IF(E80&lt;35,"25-&lt;35","35+")))))</x:f>
        <x:v>10-&lt;20</x:v>
      </x:c>
    </x:row>
    <x:row r="81">
      <x:c r="A81" t="str">
        <x:v>SYN0000080</x:v>
      </x:c>
      <x:c r="B81" s="12" t="n">
        <x:v>41575</x:v>
      </x:c>
      <x:c r="C81" s="18" t="n">
        <x:v>10633</x:v>
      </x:c>
      <x:c r="D81" s="18" t="n">
        <x:v>109237</x:v>
      </x:c>
      <x:c r="E81" s="18" t="n">
        <x:v>28.82</x:v>
      </x:c>
      <x:c r="F81" s="18" t="n">
        <x:v>5.92</x:v>
      </x:c>
      <x:c r="G81" t="n">
        <x:v>36</x:v>
      </x:c>
      <x:c r="H81" t="str">
        <x:v>A</x:v>
      </x:c>
      <x:c r="I81" t="str">
        <x:v>7-9 years</x:v>
      </x:c>
      <x:c r="J81" t="str">
        <x:v>RENT</x:v>
      </x:c>
      <x:c r="K81" t="str">
        <x:v>debt_consolidation</x:v>
      </x:c>
      <x:c r="L81" t="n">
        <x:v>0</x:v>
      </x:c>
      <x:c r="M81" t="n">
        <x:v>0</x:v>
      </x:c>
      <x:c r="N81" t="str">
        <x:v>Fully Paid</x:v>
      </x:c>
      <x:c r="O81" t="str">
        <x:f>IF(D81="","Unknown",IF(D81&lt;25000,"&lt;$25k",IF(D81&lt;50000,"$25k-$50k",IF(D81&lt;75000,"$50k-$75k",IF(D81&lt;100000,"$75k-$100k","$100k+")))))</x:f>
        <x:v>$100k+</x:v>
      </x:c>
      <x:c r="P81" t="str">
        <x:f>IF(E81="","Unknown",IF(E81&lt;10,"&lt;10",IF(E81&lt;20,"10-&lt;20",IF(E81&lt;25,"20-&lt;25",IF(E81&lt;35,"25-&lt;35","35+")))))</x:f>
        <x:v>25-&lt;35</x:v>
      </x:c>
    </x:row>
    <x:row r="82">
      <x:c r="A82" t="str">
        <x:v>SYN0000081</x:v>
      </x:c>
      <x:c r="B82" s="12" t="n">
        <x:v>42925</x:v>
      </x:c>
      <x:c r="C82" s="18" t="n">
        <x:v>7791</x:v>
      </x:c>
      <x:c r="D82" s="18" t="n">
        <x:v>36638</x:v>
      </x:c>
      <x:c r="E82" s="18" t="n">
        <x:v>17.95</x:v>
      </x:c>
      <x:c r="F82" s="18" t="n">
        <x:v>9.75</x:v>
      </x:c>
      <x:c r="G82" t="n">
        <x:v>36</x:v>
      </x:c>
      <x:c r="H82" t="str">
        <x:v>B</x:v>
      </x:c>
      <x:c r="I82" t="str">
        <x:v>4-6 years</x:v>
      </x:c>
      <x:c r="J82" t="str">
        <x:v>RENT</x:v>
      </x:c>
      <x:c r="K82" t="str">
        <x:v>debt_consolidation</x:v>
      </x:c>
      <x:c r="L82" t="n">
        <x:v>0</x:v>
      </x:c>
      <x:c r="M82" t="n">
        <x:v>0</x:v>
      </x:c>
      <x:c r="N82" t="str">
        <x:v>Fully Paid</x:v>
      </x:c>
      <x:c r="O82" t="str">
        <x:f>IF(D82="","Unknown",IF(D82&lt;25000,"&lt;$25k",IF(D82&lt;50000,"$25k-$50k",IF(D82&lt;75000,"$50k-$75k",IF(D82&lt;100000,"$75k-$100k","$100k+")))))</x:f>
        <x:v>$25k-$50k</x:v>
      </x:c>
      <x:c r="P82" t="str">
        <x:f>IF(E82="","Unknown",IF(E82&lt;10,"&lt;10",IF(E82&lt;20,"10-&lt;20",IF(E82&lt;25,"20-&lt;25",IF(E82&lt;35,"25-&lt;35","35+")))))</x:f>
        <x:v>10-&lt;20</x:v>
      </x:c>
    </x:row>
    <x:row r="83">
      <x:c r="A83" t="str">
        <x:v>SYN0000082</x:v>
      </x:c>
      <x:c r="B83" s="12" t="n">
        <x:v>41695</x:v>
      </x:c>
      <x:c r="C83" s="18" t="n">
        <x:v>10708</x:v>
      </x:c>
      <x:c r="D83" s="18" t="n">
        <x:v>20016</x:v>
      </x:c>
      <x:c r="E83" s="18" t="n">
        <x:v>39.29</x:v>
      </x:c>
      <x:c r="F83" s="18" t="n">
        <x:v>25.7</x:v>
      </x:c>
      <x:c r="G83" t="n">
        <x:v>60</x:v>
      </x:c>
      <x:c r="H83" t="str">
        <x:v>G</x:v>
      </x:c>
      <x:c r="I83" t="str">
        <x:v>1-3 years</x:v>
      </x:c>
      <x:c r="J83" t="str">
        <x:v>MORTGAGE</x:v>
      </x:c>
      <x:c r="K83" t="str">
        <x:v>debt_consolidation</x:v>
      </x:c>
      <x:c r="L83" t="n">
        <x:v>1</x:v>
      </x:c>
      <x:c r="M83" t="n">
        <x:v>1</x:v>
      </x:c>
      <x:c r="N83" t="str">
        <x:v>Charged Off</x:v>
      </x:c>
      <x:c r="O83" t="str">
        <x:f>IF(D83="","Unknown",IF(D83&lt;25000,"&lt;$25k",IF(D83&lt;50000,"$25k-$50k",IF(D83&lt;75000,"$50k-$75k",IF(D83&lt;100000,"$75k-$100k","$100k+")))))</x:f>
        <x:v>&lt;$25k</x:v>
      </x:c>
      <x:c r="P83" t="str">
        <x:f>IF(E83="","Unknown",IF(E83&lt;10,"&lt;10",IF(E83&lt;20,"10-&lt;20",IF(E83&lt;25,"20-&lt;25",IF(E83&lt;35,"25-&lt;35","35+")))))</x:f>
        <x:v>35+</x:v>
      </x:c>
    </x:row>
    <x:row r="84">
      <x:c r="A84" t="str">
        <x:v>SYN0000083</x:v>
      </x:c>
      <x:c r="B84" s="12" t="n">
        <x:v>43315</x:v>
      </x:c>
      <x:c r="C84" s="18" t="n">
        <x:v>8531</x:v>
      </x:c>
      <x:c r="D84" s="18" t="n">
        <x:v>54226</x:v>
      </x:c>
      <x:c r="E84" s="18" t="n">
        <x:v>8.29</x:v>
      </x:c>
      <x:c r="F84" s="18" t="n">
        <x:v>8.19</x:v>
      </x:c>
      <x:c r="G84" t="n">
        <x:v>36</x:v>
      </x:c>
      <x:c r="H84" t="str">
        <x:v>A</x:v>
      </x:c>
      <x:c r="I84" t="str">
        <x:v>7-9 years</x:v>
      </x:c>
      <x:c r="J84" t="str">
        <x:v>MORTGAGE</x:v>
      </x:c>
      <x:c r="K84" t="str">
        <x:v>debt_consolidation</x:v>
      </x:c>
      <x:c r="L84" t="n">
        <x:v>0</x:v>
      </x:c>
      <x:c r="M84" t="n">
        <x:v>0</x:v>
      </x:c>
      <x:c r="N84" t="str">
        <x:v>Fully Paid</x:v>
      </x:c>
      <x:c r="O84" t="str">
        <x:f>IF(D84="","Unknown",IF(D84&lt;25000,"&lt;$25k",IF(D84&lt;50000,"$25k-$50k",IF(D84&lt;75000,"$50k-$75k",IF(D84&lt;100000,"$75k-$100k","$100k+")))))</x:f>
        <x:v>$50k-$75k</x:v>
      </x:c>
      <x:c r="P84" t="str">
        <x:f>IF(E84="","Unknown",IF(E84&lt;10,"&lt;10",IF(E84&lt;20,"10-&lt;20",IF(E84&lt;25,"20-&lt;25",IF(E84&lt;35,"25-&lt;35","35+")))))</x:f>
        <x:v>&lt;10</x:v>
      </x:c>
    </x:row>
    <x:row r="85">
      <x:c r="A85" t="str">
        <x:v>SYN0000084</x:v>
      </x:c>
      <x:c r="B85" s="12" t="n">
        <x:v>42355</x:v>
      </x:c>
      <x:c r="C85" s="18" t="n">
        <x:v>10449</x:v>
      </x:c>
      <x:c r="D85" s="18" t="n">
        <x:v>68861</x:v>
      </x:c>
      <x:c r="E85" s="18" t="n">
        <x:v>23.67</x:v>
      </x:c>
      <x:c r="F85" s="18" t="n">
        <x:v>10.57</x:v>
      </x:c>
      <x:c r="G85" t="n">
        <x:v>60</x:v>
      </x:c>
      <x:c r="H85" t="str">
        <x:v>C</x:v>
      </x:c>
      <x:c r="I85" t="str">
        <x:v>7-9 years</x:v>
      </x:c>
      <x:c r="J85" t="str">
        <x:v>MORTGAGE</x:v>
      </x:c>
      <x:c r="K85" t="str">
        <x:v>debt_consolidation</x:v>
      </x:c>
      <x:c r="L85" t="n">
        <x:v>1</x:v>
      </x:c>
      <x:c r="M85" t="n">
        <x:v>0</x:v>
      </x:c>
      <x:c r="N85" t="str">
        <x:v>Fully Paid</x:v>
      </x:c>
      <x:c r="O85" t="str">
        <x:f>IF(D85="","Unknown",IF(D85&lt;25000,"&lt;$25k",IF(D85&lt;50000,"$25k-$50k",IF(D85&lt;75000,"$50k-$75k",IF(D85&lt;100000,"$75k-$100k","$100k+")))))</x:f>
        <x:v>$50k-$75k</x:v>
      </x:c>
      <x:c r="P85" t="str">
        <x:f>IF(E85="","Unknown",IF(E85&lt;10,"&lt;10",IF(E85&lt;20,"10-&lt;20",IF(E85&lt;25,"20-&lt;25",IF(E85&lt;35,"25-&lt;35","35+")))))</x:f>
        <x:v>20-&lt;25</x:v>
      </x:c>
    </x:row>
    <x:row r="86">
      <x:c r="A86" t="str">
        <x:v>SYN0000085</x:v>
      </x:c>
      <x:c r="B86" s="12" t="n">
        <x:v>42955</x:v>
      </x:c>
      <x:c r="C86" s="18" t="n">
        <x:v>3066</x:v>
      </x:c>
      <x:c r="D86" s="18" t="n">
        <x:v>63785</x:v>
      </x:c>
      <x:c r="E86" s="18" t="n">
        <x:v>31.39</x:v>
      </x:c>
      <x:c r="F86" s="18" t="n">
        <x:v>14.13</x:v>
      </x:c>
      <x:c r="G86" t="n">
        <x:v>36</x:v>
      </x:c>
      <x:c r="H86" t="str">
        <x:v>D</x:v>
      </x:c>
      <x:c r="I86" t="str">
        <x:v>10+ years</x:v>
      </x:c>
      <x:c r="J86" t="str">
        <x:v>RENT</x:v>
      </x:c>
      <x:c r="K86" t="str">
        <x:v>debt_consolidation</x:v>
      </x:c>
      <x:c r="L86" t="n">
        <x:v>1</x:v>
      </x:c>
      <x:c r="M86" t="n">
        <x:v>0</x:v>
      </x:c>
      <x:c r="N86" t="str">
        <x:v>Fully Paid</x:v>
      </x:c>
      <x:c r="O86" t="str">
        <x:f>IF(D86="","Unknown",IF(D86&lt;25000,"&lt;$25k",IF(D86&lt;50000,"$25k-$50k",IF(D86&lt;75000,"$50k-$75k",IF(D86&lt;100000,"$75k-$100k","$100k+")))))</x:f>
        <x:v>$50k-$75k</x:v>
      </x:c>
      <x:c r="P86" t="str">
        <x:f>IF(E86="","Unknown",IF(E86&lt;10,"&lt;10",IF(E86&lt;20,"10-&lt;20",IF(E86&lt;25,"20-&lt;25",IF(E86&lt;35,"25-&lt;35","35+")))))</x:f>
        <x:v>25-&lt;35</x:v>
      </x:c>
    </x:row>
    <x:row r="87">
      <x:c r="A87" t="str">
        <x:v>SYN0000086</x:v>
      </x:c>
      <x:c r="B87" s="12" t="n">
        <x:v>43345</x:v>
      </x:c>
      <x:c r="C87" s="18" t="n">
        <x:v>13384</x:v>
      </x:c>
      <x:c r="D87" s="18" t="n">
        <x:v>186180</x:v>
      </x:c>
      <x:c r="E87" s="18" t="n">
        <x:v>22.16</x:v>
      </x:c>
      <x:c r="F87" s="18" t="n">
        <x:v>18.09</x:v>
      </x:c>
      <x:c r="G87" t="n">
        <x:v>60</x:v>
      </x:c>
      <x:c r="H87" t="str">
        <x:v>E</x:v>
      </x:c>
      <x:c r="I87" t="str">
        <x:v>1-3 years</x:v>
      </x:c>
      <x:c r="J87" t="str">
        <x:v>MORTGAGE</x:v>
      </x:c>
      <x:c r="K87" t="str">
        <x:v>major_purchase</x:v>
      </x:c>
      <x:c r="L87" t="n">
        <x:v>1</x:v>
      </x:c>
      <x:c r="M87" t="n">
        <x:v>0</x:v>
      </x:c>
      <x:c r="N87" t="str">
        <x:v>Fully Paid</x:v>
      </x:c>
      <x:c r="O87" t="str">
        <x:f>IF(D87="","Unknown",IF(D87&lt;25000,"&lt;$25k",IF(D87&lt;50000,"$25k-$50k",IF(D87&lt;75000,"$50k-$75k",IF(D87&lt;100000,"$75k-$100k","$100k+")))))</x:f>
        <x:v>$100k+</x:v>
      </x:c>
      <x:c r="P87" t="str">
        <x:f>IF(E87="","Unknown",IF(E87&lt;10,"&lt;10",IF(E87&lt;20,"10-&lt;20",IF(E87&lt;25,"20-&lt;25",IF(E87&lt;35,"25-&lt;35","35+")))))</x:f>
        <x:v>20-&lt;25</x:v>
      </x:c>
    </x:row>
    <x:row r="88">
      <x:c r="A88" t="str">
        <x:v>SYN0000087</x:v>
      </x:c>
      <x:c r="B88" s="12" t="n">
        <x:v>43105</x:v>
      </x:c>
      <x:c r="C88" s="18" t="n">
        <x:v>4070</x:v>
      </x:c>
      <x:c r="D88" s="18" t="n">
        <x:v>68566</x:v>
      </x:c>
      <x:c r="E88" s="18" t="n">
        <x:v>27.93</x:v>
      </x:c>
      <x:c r="F88" s="18" t="n">
        <x:v>13.8</x:v>
      </x:c>
      <x:c r="G88" t="n">
        <x:v>60</x:v>
      </x:c>
      <x:c r="H88" t="str">
        <x:v>D</x:v>
      </x:c>
      <x:c r="I88" t="str">
        <x:v>1-3 years</x:v>
      </x:c>
      <x:c r="J88" t="str">
        <x:v>RENT</x:v>
      </x:c>
      <x:c r="K88" t="str">
        <x:v>debt_consolidation</x:v>
      </x:c>
      <x:c r="L88" t="n">
        <x:v>0</x:v>
      </x:c>
      <x:c r="M88" t="n">
        <x:v>1</x:v>
      </x:c>
      <x:c r="N88" t="str">
        <x:v>Charged Off</x:v>
      </x:c>
      <x:c r="O88" t="str">
        <x:f>IF(D88="","Unknown",IF(D88&lt;25000,"&lt;$25k",IF(D88&lt;50000,"$25k-$50k",IF(D88&lt;75000,"$50k-$75k",IF(D88&lt;100000,"$75k-$100k","$100k+")))))</x:f>
        <x:v>$50k-$75k</x:v>
      </x:c>
      <x:c r="P88" t="str">
        <x:f>IF(E88="","Unknown",IF(E88&lt;10,"&lt;10",IF(E88&lt;20,"10-&lt;20",IF(E88&lt;25,"20-&lt;25",IF(E88&lt;35,"25-&lt;35","35+")))))</x:f>
        <x:v>25-&lt;35</x:v>
      </x:c>
    </x:row>
    <x:row r="89">
      <x:c r="A89" t="str">
        <x:v>SYN0000088</x:v>
      </x:c>
      <x:c r="B89" s="12" t="n">
        <x:v>43195</x:v>
      </x:c>
      <x:c r="C89" s="18" t="n">
        <x:v>19550</x:v>
      </x:c>
      <x:c r="D89" s="18" t="n">
        <x:v>95193</x:v>
      </x:c>
      <x:c r="E89" s="18" t="n">
        <x:v>19.36</x:v>
      </x:c>
      <x:c r="F89" s="18" t="n">
        <x:v>10.15</x:v>
      </x:c>
      <x:c r="G89" t="n">
        <x:v>36</x:v>
      </x:c>
      <x:c r="H89" t="str">
        <x:v>C</x:v>
      </x:c>
      <x:c r="I89" t="str">
        <x:v>1-3 years</x:v>
      </x:c>
      <x:c r="J89" t="str">
        <x:v>MORTGAGE</x:v>
      </x:c>
      <x:c r="K89" t="str">
        <x:v>credit_card</x:v>
      </x:c>
      <x:c r="L89" t="n">
        <x:v>1</x:v>
      </x:c>
      <x:c r="M89" t="n">
        <x:v>0</x:v>
      </x:c>
      <x:c r="N89" t="str">
        <x:v>Fully Paid</x:v>
      </x:c>
      <x:c r="O89" t="str">
        <x:f>IF(D89="","Unknown",IF(D89&lt;25000,"&lt;$25k",IF(D89&lt;50000,"$25k-$50k",IF(D89&lt;75000,"$50k-$75k",IF(D89&lt;100000,"$75k-$100k","$100k+")))))</x:f>
        <x:v>$75k-$100k</x:v>
      </x:c>
      <x:c r="P89" t="str">
        <x:f>IF(E89="","Unknown",IF(E89&lt;10,"&lt;10",IF(E89&lt;20,"10-&lt;20",IF(E89&lt;25,"20-&lt;25",IF(E89&lt;35,"25-&lt;35","35+")))))</x:f>
        <x:v>10-&lt;20</x:v>
      </x:c>
    </x:row>
    <x:row r="90">
      <x:c r="A90" t="str">
        <x:v>SYN0000089</x:v>
      </x:c>
      <x:c r="B90" s="12" t="n">
        <x:v>41845</x:v>
      </x:c>
      <x:c r="C90" s="18" t="n">
        <x:v>20496</x:v>
      </x:c>
      <x:c r="D90" s="18" t="n">
        <x:v>24564</x:v>
      </x:c>
      <x:c r="E90" s="18" t="n">
        <x:v>15.43</x:v>
      </x:c>
      <x:c r="F90" s="18" t="n">
        <x:v>17.83</x:v>
      </x:c>
      <x:c r="G90" t="n">
        <x:v>36</x:v>
      </x:c>
      <x:c r="H90" t="str">
        <x:v>D</x:v>
      </x:c>
      <x:c r="I90" t="str">
        <x:v>7-9 years</x:v>
      </x:c>
      <x:c r="J90" t="str">
        <x:v>MORTGAGE</x:v>
      </x:c>
      <x:c r="K90" t="str">
        <x:v>credit_card</x:v>
      </x:c>
      <x:c r="L90" t="n">
        <x:v>0</x:v>
      </x:c>
      <x:c r="M90" t="n">
        <x:v>0</x:v>
      </x:c>
      <x:c r="N90" t="str">
        <x:v>Fully Paid</x:v>
      </x:c>
      <x:c r="O90" t="str">
        <x:f>IF(D90="","Unknown",IF(D90&lt;25000,"&lt;$25k",IF(D90&lt;50000,"$25k-$50k",IF(D90&lt;75000,"$50k-$75k",IF(D90&lt;100000,"$75k-$100k","$100k+")))))</x:f>
        <x:v>&lt;$25k</x:v>
      </x:c>
      <x:c r="P90" t="str">
        <x:f>IF(E90="","Unknown",IF(E90&lt;10,"&lt;10",IF(E90&lt;20,"10-&lt;20",IF(E90&lt;25,"20-&lt;25",IF(E90&lt;35,"25-&lt;35","35+")))))</x:f>
        <x:v>10-&lt;20</x:v>
      </x:c>
    </x:row>
    <x:row r="91">
      <x:c r="A91" t="str">
        <x:v>SYN0000090</x:v>
      </x:c>
      <x:c r="B91" s="12" t="n">
        <x:v>42055</x:v>
      </x:c>
      <x:c r="C91" s="18" t="n">
        <x:v>4597</x:v>
      </x:c>
      <x:c r="D91" s="18" t="n">
        <x:v>125049</x:v>
      </x:c>
      <x:c r="E91" s="18" t="n">
        <x:v>30.98</x:v>
      </x:c>
      <x:c r="F91" s="18" t="n">
        <x:v>11.08</x:v>
      </x:c>
      <x:c r="G91" t="n">
        <x:v>36</x:v>
      </x:c>
      <x:c r="H91" t="str">
        <x:v>C</x:v>
      </x:c>
      <x:c r="I91" t="str">
        <x:v>1-3 years</x:v>
      </x:c>
      <x:c r="J91" t="str">
        <x:v>MORTGAGE</x:v>
      </x:c>
      <x:c r="K91" t="str">
        <x:v>debt_consolidation</x:v>
      </x:c>
      <x:c r="L91" t="n">
        <x:v>0</x:v>
      </x:c>
      <x:c r="M91" t="n">
        <x:v>0</x:v>
      </x:c>
      <x:c r="N91" t="str">
        <x:v>Fully Paid</x:v>
      </x:c>
      <x:c r="O91" t="str">
        <x:f>IF(D91="","Unknown",IF(D91&lt;25000,"&lt;$25k",IF(D91&lt;50000,"$25k-$50k",IF(D91&lt;75000,"$50k-$75k",IF(D91&lt;100000,"$75k-$100k","$100k+")))))</x:f>
        <x:v>$100k+</x:v>
      </x:c>
      <x:c r="P91" t="str">
        <x:f>IF(E91="","Unknown",IF(E91&lt;10,"&lt;10",IF(E91&lt;20,"10-&lt;20",IF(E91&lt;25,"20-&lt;25",IF(E91&lt;35,"25-&lt;35","35+")))))</x:f>
        <x:v>25-&lt;35</x:v>
      </x:c>
    </x:row>
    <x:row r="92">
      <x:c r="A92" t="str">
        <x:v>SYN0000091</x:v>
      </x:c>
      <x:c r="B92" s="12" t="n">
        <x:v>42205</x:v>
      </x:c>
      <x:c r="C92" s="18" t="n">
        <x:v>12306</x:v>
      </x:c>
      <x:c r="D92" s="18" t="n">
        <x:v>14871</x:v>
      </x:c>
      <x:c r="E92" s="18" t="n">
        <x:v>17.61</x:v>
      </x:c>
      <x:c r="F92" s="18" t="n">
        <x:v>14.17</x:v>
      </x:c>
      <x:c r="G92" t="n">
        <x:v>36</x:v>
      </x:c>
      <x:c r="H92" t="str">
        <x:v>D</x:v>
      </x:c>
      <x:c r="I92" t="str">
        <x:v>7-9 years</x:v>
      </x:c>
      <x:c r="J92" t="str">
        <x:v>RENT</x:v>
      </x:c>
      <x:c r="K92" t="str">
        <x:v>debt_consolidation</x:v>
      </x:c>
      <x:c r="L92" t="n">
        <x:v>0</x:v>
      </x:c>
      <x:c r="M92" t="n">
        <x:v>0</x:v>
      </x:c>
      <x:c r="N92" t="str">
        <x:v>Fully Paid</x:v>
      </x:c>
      <x:c r="O92" t="str">
        <x:f>IF(D92="","Unknown",IF(D92&lt;25000,"&lt;$25k",IF(D92&lt;50000,"$25k-$50k",IF(D92&lt;75000,"$50k-$75k",IF(D92&lt;100000,"$75k-$100k","$100k+")))))</x:f>
        <x:v>&lt;$25k</x:v>
      </x:c>
      <x:c r="P92" t="str">
        <x:f>IF(E92="","Unknown",IF(E92&lt;10,"&lt;10",IF(E92&lt;20,"10-&lt;20",IF(E92&lt;25,"20-&lt;25",IF(E92&lt;35,"25-&lt;35","35+")))))</x:f>
        <x:v>10-&lt;20</x:v>
      </x:c>
    </x:row>
    <x:row r="93">
      <x:c r="A93" t="str">
        <x:v>SYN0000092</x:v>
      </x:c>
      <x:c r="B93" s="12" t="n">
        <x:v>42595</x:v>
      </x:c>
      <x:c r="C93" s="18" t="n">
        <x:v>20196</x:v>
      </x:c>
      <x:c r="D93" s="18" t="n">
        <x:v>37796</x:v>
      </x:c>
      <x:c r="E93" s="18" t="n">
        <x:v>21.26</x:v>
      </x:c>
      <x:c r="F93" s="18" t="n">
        <x:v>15.76</x:v>
      </x:c>
      <x:c r="G93" t="n">
        <x:v>36</x:v>
      </x:c>
      <x:c r="H93" t="str">
        <x:v>D</x:v>
      </x:c>
      <x:c r="I93" t="str">
        <x:v>7-9 years</x:v>
      </x:c>
      <x:c r="J93" t="str">
        <x:v>MORTGAGE</x:v>
      </x:c>
      <x:c r="K93" t="str">
        <x:v>home_improvement</x:v>
      </x:c>
      <x:c r="L93" t="n">
        <x:v>0</x:v>
      </x:c>
      <x:c r="M93" t="n">
        <x:v>0</x:v>
      </x:c>
      <x:c r="N93" t="str">
        <x:v>Fully Paid</x:v>
      </x:c>
      <x:c r="O93" t="str">
        <x:f>IF(D93="","Unknown",IF(D93&lt;25000,"&lt;$25k",IF(D93&lt;50000,"$25k-$50k",IF(D93&lt;75000,"$50k-$75k",IF(D93&lt;100000,"$75k-$100k","$100k+")))))</x:f>
        <x:v>$25k-$50k</x:v>
      </x:c>
      <x:c r="P93" t="str">
        <x:f>IF(E93="","Unknown",IF(E93&lt;10,"&lt;10",IF(E93&lt;20,"10-&lt;20",IF(E93&lt;25,"20-&lt;25",IF(E93&lt;35,"25-&lt;35","35+")))))</x:f>
        <x:v>20-&lt;25</x:v>
      </x:c>
    </x:row>
    <x:row r="94">
      <x:c r="A94" t="str">
        <x:v>SYN0000093</x:v>
      </x:c>
      <x:c r="B94" s="12" t="n">
        <x:v>41695</x:v>
      </x:c>
      <x:c r="C94" s="18" t="n">
        <x:v>40000</x:v>
      </x:c>
      <x:c r="D94" s="18" t="n">
        <x:v>35613</x:v>
      </x:c>
      <x:c r="E94" s="18" t="n">
        <x:v>24.48</x:v>
      </x:c>
      <x:c r="F94" s="18" t="n">
        <x:v>21.24</x:v>
      </x:c>
      <x:c r="G94" t="n">
        <x:v>36</x:v>
      </x:c>
      <x:c r="H94" t="str">
        <x:v>E</x:v>
      </x:c>
      <x:c r="I94" t="str">
        <x:v>4-6 years</x:v>
      </x:c>
      <x:c r="J94" t="str">
        <x:v>RENT</x:v>
      </x:c>
      <x:c r="K94" t="str">
        <x:v>debt_consolidation</x:v>
      </x:c>
      <x:c r="L94" t="n">
        <x:v>1</x:v>
      </x:c>
      <x:c r="M94" t="n">
        <x:v>0</x:v>
      </x:c>
      <x:c r="N94" t="str">
        <x:v>Fully Paid</x:v>
      </x:c>
      <x:c r="O94" t="str">
        <x:f>IF(D94="","Unknown",IF(D94&lt;25000,"&lt;$25k",IF(D94&lt;50000,"$25k-$50k",IF(D94&lt;75000,"$50k-$75k",IF(D94&lt;100000,"$75k-$100k","$100k+")))))</x:f>
        <x:v>$25k-$50k</x:v>
      </x:c>
      <x:c r="P94" t="str">
        <x:f>IF(E94="","Unknown",IF(E94&lt;10,"&lt;10",IF(E94&lt;20,"10-&lt;20",IF(E94&lt;25,"20-&lt;25",IF(E94&lt;35,"25-&lt;35","35+")))))</x:f>
        <x:v>20-&lt;25</x:v>
      </x:c>
    </x:row>
    <x:row r="95">
      <x:c r="A95" t="str">
        <x:v>SYN0000094</x:v>
      </x:c>
      <x:c r="B95" s="12" t="n">
        <x:v>41635</x:v>
      </x:c>
      <x:c r="C95" s="18" t="n">
        <x:v>9056</x:v>
      </x:c>
      <x:c r="D95" s="18" t="n">
        <x:v>44382</x:v>
      </x:c>
      <x:c r="E95" s="18" t="n">
        <x:v>4.34</x:v>
      </x:c>
      <x:c r="F95" s="18" t="n">
        <x:v>18.16</x:v>
      </x:c>
      <x:c r="G95" t="n">
        <x:v>36</x:v>
      </x:c>
      <x:c r="H95" t="str">
        <x:v>E</x:v>
      </x:c>
      <x:c r="I95" t="str">
        <x:v>4-6 years</x:v>
      </x:c>
      <x:c r="J95" t="str">
        <x:v>MORTGAGE</x:v>
      </x:c>
      <x:c r="K95" t="str">
        <x:v>credit_card</x:v>
      </x:c>
      <x:c r="L95" t="n">
        <x:v>2</x:v>
      </x:c>
      <x:c r="M95" t="n">
        <x:v>0</x:v>
      </x:c>
      <x:c r="N95" t="str">
        <x:v>Fully Paid</x:v>
      </x:c>
      <x:c r="O95" t="str">
        <x:f>IF(D95="","Unknown",IF(D95&lt;25000,"&lt;$25k",IF(D95&lt;50000,"$25k-$50k",IF(D95&lt;75000,"$50k-$75k",IF(D95&lt;100000,"$75k-$100k","$100k+")))))</x:f>
        <x:v>$25k-$50k</x:v>
      </x:c>
      <x:c r="P95" t="str">
        <x:f>IF(E95="","Unknown",IF(E95&lt;10,"&lt;10",IF(E95&lt;20,"10-&lt;20",IF(E95&lt;25,"20-&lt;25",IF(E95&lt;35,"25-&lt;35","35+")))))</x:f>
        <x:v>&lt;10</x:v>
      </x:c>
    </x:row>
    <x:row r="96">
      <x:c r="A96" t="str">
        <x:v>SYN0000095</x:v>
      </x:c>
      <x:c r="B96" s="12" t="n">
        <x:v>42865</x:v>
      </x:c>
      <x:c r="C96" s="18" t="n">
        <x:v>21981</x:v>
      </x:c>
      <x:c r="D96" s="18" t="n">
        <x:v>21719</x:v>
      </x:c>
      <x:c r="E96" s="18" t="n">
        <x:v>15.74</x:v>
      </x:c>
      <x:c r="F96" s="18" t="n">
        <x:v>5</x:v>
      </x:c>
      <x:c r="G96" t="n">
        <x:v>36</x:v>
      </x:c>
      <x:c r="H96" t="str">
        <x:v>B</x:v>
      </x:c>
      <x:c r="I96" t="str">
        <x:v>4-6 years</x:v>
      </x:c>
      <x:c r="J96" t="str">
        <x:v>MORTGAGE</x:v>
      </x:c>
      <x:c r="K96" t="str">
        <x:v>credit_card</x:v>
      </x:c>
      <x:c r="L96" t="n">
        <x:v>1</x:v>
      </x:c>
      <x:c r="M96" t="n">
        <x:v>0</x:v>
      </x:c>
      <x:c r="N96" t="str">
        <x:v>Fully Paid</x:v>
      </x:c>
      <x:c r="O96" t="str">
        <x:f>IF(D96="","Unknown",IF(D96&lt;25000,"&lt;$25k",IF(D96&lt;50000,"$25k-$50k",IF(D96&lt;75000,"$50k-$75k",IF(D96&lt;100000,"$75k-$100k","$100k+")))))</x:f>
        <x:v>&lt;$25k</x:v>
      </x:c>
      <x:c r="P96" t="str">
        <x:f>IF(E96="","Unknown",IF(E96&lt;10,"&lt;10",IF(E96&lt;20,"10-&lt;20",IF(E96&lt;25,"20-&lt;25",IF(E96&lt;35,"25-&lt;35","35+")))))</x:f>
        <x:v>10-&lt;20</x:v>
      </x:c>
    </x:row>
    <x:row r="97">
      <x:c r="A97" t="str">
        <x:v>SYN0000096</x:v>
      </x:c>
      <x:c r="B97" s="12" t="n">
        <x:v>42625</x:v>
      </x:c>
      <x:c r="C97" s="18" t="n">
        <x:v>16299</x:v>
      </x:c>
      <x:c r="D97" s="18" t="n">
        <x:v>19130</x:v>
      </x:c>
      <x:c r="E97" s="18" t="n">
        <x:v>6.25</x:v>
      </x:c>
      <x:c r="F97" s="18" t="n">
        <x:v>9.16</x:v>
      </x:c>
      <x:c r="G97" t="n">
        <x:v>36</x:v>
      </x:c>
      <x:c r="H97" t="str">
        <x:v>B</x:v>
      </x:c>
      <x:c r="I97" t="str">
        <x:v>1-3 years</x:v>
      </x:c>
      <x:c r="J97" t="str">
        <x:v>RENT</x:v>
      </x:c>
      <x:c r="K97" t="str">
        <x:v>home_improvement</x:v>
      </x:c>
      <x:c r="L97" t="n">
        <x:v>1</x:v>
      </x:c>
      <x:c r="M97" t="n">
        <x:v>0</x:v>
      </x:c>
      <x:c r="N97" t="str">
        <x:v>Fully Paid</x:v>
      </x:c>
      <x:c r="O97" t="str">
        <x:f>IF(D97="","Unknown",IF(D97&lt;25000,"&lt;$25k",IF(D97&lt;50000,"$25k-$50k",IF(D97&lt;75000,"$50k-$75k",IF(D97&lt;100000,"$75k-$100k","$100k+")))))</x:f>
        <x:v>&lt;$25k</x:v>
      </x:c>
      <x:c r="P97" t="str">
        <x:f>IF(E97="","Unknown",IF(E97&lt;10,"&lt;10",IF(E97&lt;20,"10-&lt;20",IF(E97&lt;25,"20-&lt;25",IF(E97&lt;35,"25-&lt;35","35+")))))</x:f>
        <x:v>&lt;10</x:v>
      </x:c>
    </x:row>
    <x:row r="98">
      <x:c r="A98" t="str">
        <x:v>SYN0000097</x:v>
      </x:c>
      <x:c r="B98" s="12" t="n">
        <x:v>42415</x:v>
      </x:c>
      <x:c r="C98" s="18" t="n">
        <x:v>19301</x:v>
      </x:c>
      <x:c r="D98" s="18" t="n">
        <x:v>20793</x:v>
      </x:c>
      <x:c r="E98" s="18" t="n">
        <x:v>23.58</x:v>
      </x:c>
      <x:c r="F98" s="18" t="n">
        <x:v>10.47</x:v>
      </x:c>
      <x:c r="G98" t="n">
        <x:v>36</x:v>
      </x:c>
      <x:c r="H98" t="str">
        <x:v>C</x:v>
      </x:c>
      <x:c r="I98" t="str">
        <x:v>4-6 years</x:v>
      </x:c>
      <x:c r="J98" t="str">
        <x:v>RENT</x:v>
      </x:c>
      <x:c r="K98" t="str">
        <x:v>credit_card</x:v>
      </x:c>
      <x:c r="L98" t="n">
        <x:v>2</x:v>
      </x:c>
      <x:c r="M98" t="n">
        <x:v>0</x:v>
      </x:c>
      <x:c r="N98" t="str">
        <x:v>Fully Paid</x:v>
      </x:c>
      <x:c r="O98" t="str">
        <x:f>IF(D98="","Unknown",IF(D98&lt;25000,"&lt;$25k",IF(D98&lt;50000,"$25k-$50k",IF(D98&lt;75000,"$50k-$75k",IF(D98&lt;100000,"$75k-$100k","$100k+")))))</x:f>
        <x:v>&lt;$25k</x:v>
      </x:c>
      <x:c r="P98" t="str">
        <x:f>IF(E98="","Unknown",IF(E98&lt;10,"&lt;10",IF(E98&lt;20,"10-&lt;20",IF(E98&lt;25,"20-&lt;25",IF(E98&lt;35,"25-&lt;35","35+")))))</x:f>
        <x:v>20-&lt;25</x:v>
      </x:c>
    </x:row>
    <x:row r="99">
      <x:c r="A99" t="str">
        <x:v>SYN0000098</x:v>
      </x:c>
      <x:c r="B99" s="12" t="n">
        <x:v>43195</x:v>
      </x:c>
      <x:c r="C99" s="18" t="n">
        <x:v>8302</x:v>
      </x:c>
      <x:c r="D99" s="18" t="n">
        <x:v>12000</x:v>
      </x:c>
      <x:c r="E99" s="18" t="n">
        <x:v>22.41</x:v>
      </x:c>
      <x:c r="F99" s="18" t="n">
        <x:v>5.68</x:v>
      </x:c>
      <x:c r="G99" t="n">
        <x:v>60</x:v>
      </x:c>
      <x:c r="H99" t="str">
        <x:v>A</x:v>
      </x:c>
      <x:c r="I99" t="str">
        <x:v>1-3 years</x:v>
      </x:c>
      <x:c r="J99" t="str">
        <x:v>RENT</x:v>
      </x:c>
      <x:c r="K99" t="str">
        <x:v>debt_consolidation</x:v>
      </x:c>
      <x:c r="L99" t="n">
        <x:v>0</x:v>
      </x:c>
      <x:c r="M99" t="n">
        <x:v>0</x:v>
      </x:c>
      <x:c r="N99" t="str">
        <x:v>Fully Paid</x:v>
      </x:c>
      <x:c r="O99" t="str">
        <x:f>IF(D99="","Unknown",IF(D99&lt;25000,"&lt;$25k",IF(D99&lt;50000,"$25k-$50k",IF(D99&lt;75000,"$50k-$75k",IF(D99&lt;100000,"$75k-$100k","$100k+")))))</x:f>
        <x:v>&lt;$25k</x:v>
      </x:c>
      <x:c r="P99" t="str">
        <x:f>IF(E99="","Unknown",IF(E99&lt;10,"&lt;10",IF(E99&lt;20,"10-&lt;20",IF(E99&lt;25,"20-&lt;25",IF(E99&lt;35,"25-&lt;35","35+")))))</x:f>
        <x:v>20-&lt;25</x:v>
      </x:c>
    </x:row>
    <x:row r="100">
      <x:c r="A100" t="str">
        <x:v>SYN0000099</x:v>
      </x:c>
      <x:c r="B100" s="12" t="n">
        <x:v>42235</x:v>
      </x:c>
      <x:c r="C100" s="18" t="n">
        <x:v>11850</x:v>
      </x:c>
      <x:c r="D100" s="18" t="n">
        <x:v>43285</x:v>
      </x:c>
      <x:c r="E100" s="18" t="n">
        <x:v>13.3</x:v>
      </x:c>
      <x:c r="F100" s="18" t="n">
        <x:v>12.84</x:v>
      </x:c>
      <x:c r="G100" t="n">
        <x:v>60</x:v>
      </x:c>
      <x:c r="H100" t="str">
        <x:v>C</x:v>
      </x:c>
      <x:c r="I100" t="str">
        <x:v>10+ years</x:v>
      </x:c>
      <x:c r="J100" t="str">
        <x:v>MORTGAGE</x:v>
      </x:c>
      <x:c r="K100" t="str">
        <x:v>debt_consolidation</x:v>
      </x:c>
      <x:c r="L100" t="n">
        <x:v>0</x:v>
      </x:c>
      <x:c r="M100" t="n">
        <x:v>0</x:v>
      </x:c>
      <x:c r="N100" t="str">
        <x:v>Fully Paid</x:v>
      </x:c>
      <x:c r="O100" t="str">
        <x:f>IF(D100="","Unknown",IF(D100&lt;25000,"&lt;$25k",IF(D100&lt;50000,"$25k-$50k",IF(D100&lt;75000,"$50k-$75k",IF(D100&lt;100000,"$75k-$100k","$100k+")))))</x:f>
        <x:v>$25k-$50k</x:v>
      </x:c>
      <x:c r="P100" t="str">
        <x:f>IF(E100="","Unknown",IF(E100&lt;10,"&lt;10",IF(E100&lt;20,"10-&lt;20",IF(E100&lt;25,"20-&lt;25",IF(E100&lt;35,"25-&lt;35","35+")))))</x:f>
        <x:v>10-&lt;20</x:v>
      </x:c>
    </x:row>
    <x:row r="101">
      <x:c r="A101" t="str">
        <x:v>SYN0000100</x:v>
      </x:c>
      <x:c r="B101" s="12" t="n">
        <x:v>42115</x:v>
      </x:c>
      <x:c r="C101" s="18" t="n">
        <x:v>10145</x:v>
      </x:c>
      <x:c r="D101" s="18" t="n">
        <x:v>57046</x:v>
      </x:c>
      <x:c r="E101" s="18" t="n">
        <x:v>16.87</x:v>
      </x:c>
      <x:c r="F101" s="18" t="n">
        <x:v>7.91</x:v>
      </x:c>
      <x:c r="G101" t="n">
        <x:v>36</x:v>
      </x:c>
      <x:c r="H101" t="str">
        <x:v>A</x:v>
      </x:c>
      <x:c r="I101" t="str">
        <x:v>10+ years</x:v>
      </x:c>
      <x:c r="J101" t="str">
        <x:v>RENT</x:v>
      </x:c>
      <x:c r="K101" t="str">
        <x:v>debt_consolidation</x:v>
      </x:c>
      <x:c r="L101" t="n">
        <x:v>0</x:v>
      </x:c>
      <x:c r="M101" t="n">
        <x:v>0</x:v>
      </x:c>
      <x:c r="N101" t="str">
        <x:v>Fully Paid</x:v>
      </x:c>
      <x:c r="O101" t="str">
        <x:f>IF(D101="","Unknown",IF(D101&lt;25000,"&lt;$25k",IF(D101&lt;50000,"$25k-$50k",IF(D101&lt;75000,"$50k-$75k",IF(D101&lt;100000,"$75k-$100k","$100k+")))))</x:f>
        <x:v>$50k-$75k</x:v>
      </x:c>
      <x:c r="P101" t="str">
        <x:f>IF(E101="","Unknown",IF(E101&lt;10,"&lt;10",IF(E101&lt;20,"10-&lt;20",IF(E101&lt;25,"20-&lt;25",IF(E101&lt;35,"25-&lt;35","35+")))))</x:f>
        <x:v>10-&lt;20</x:v>
      </x:c>
    </x:row>
    <x:row r="102">
      <x:c r="A102" t="str">
        <x:v>SYN0000101</x:v>
      </x:c>
      <x:c r="B102" s="12" t="n">
        <x:v>42955</x:v>
      </x:c>
      <x:c r="C102" s="18" t="n">
        <x:v>28124</x:v>
      </x:c>
      <x:c r="D102" s="18" t="n">
        <x:v>46150</x:v>
      </x:c>
      <x:c r="E102" s="18" t="n">
        <x:v>35.98</x:v>
      </x:c>
      <x:c r="F102" s="18" t="n">
        <x:v>16.97</x:v>
      </x:c>
      <x:c r="G102" t="n">
        <x:v>36</x:v>
      </x:c>
      <x:c r="H102" t="str">
        <x:v>D</x:v>
      </x:c>
      <x:c r="I102" t="str">
        <x:v>&lt;1 year</x:v>
      </x:c>
      <x:c r="J102" t="str">
        <x:v>MORTGAGE</x:v>
      </x:c>
      <x:c r="K102" t="str">
        <x:v>major_purchase</x:v>
      </x:c>
      <x:c r="L102" t="n">
        <x:v>1</x:v>
      </x:c>
      <x:c r="M102" t="n">
        <x:v>0</x:v>
      </x:c>
      <x:c r="N102" t="str">
        <x:v>Fully Paid</x:v>
      </x:c>
      <x:c r="O102" t="str">
        <x:f>IF(D102="","Unknown",IF(D102&lt;25000,"&lt;$25k",IF(D102&lt;50000,"$25k-$50k",IF(D102&lt;75000,"$50k-$75k",IF(D102&lt;100000,"$75k-$100k","$100k+")))))</x:f>
        <x:v>$25k-$50k</x:v>
      </x:c>
      <x:c r="P102" t="str">
        <x:f>IF(E102="","Unknown",IF(E102&lt;10,"&lt;10",IF(E102&lt;20,"10-&lt;20",IF(E102&lt;25,"20-&lt;25",IF(E102&lt;35,"25-&lt;35","35+")))))</x:f>
        <x:v>35+</x:v>
      </x:c>
    </x:row>
    <x:row r="103">
      <x:c r="A103" t="str">
        <x:v>SYN0000102</x:v>
      </x:c>
      <x:c r="B103" s="12" t="n">
        <x:v>43405</x:v>
      </x:c>
      <x:c r="C103" s="18" t="n">
        <x:v>6555</x:v>
      </x:c>
      <x:c r="D103" s="18" t="n">
        <x:v>12056</x:v>
      </x:c>
      <x:c r="E103" s="18" t="n">
        <x:v>14.68</x:v>
      </x:c>
      <x:c r="F103" s="18" t="n">
        <x:v>13.68</x:v>
      </x:c>
      <x:c r="G103" t="n">
        <x:v>36</x:v>
      </x:c>
      <x:c r="H103" t="str">
        <x:v>C</x:v>
      </x:c>
      <x:c r="I103" t="str">
        <x:v>7-9 years</x:v>
      </x:c>
      <x:c r="J103" t="str">
        <x:v>MORTGAGE</x:v>
      </x:c>
      <x:c r="K103" t="str">
        <x:v>debt_consolidation</x:v>
      </x:c>
      <x:c r="L103" t="n">
        <x:v>0</x:v>
      </x:c>
      <x:c r="M103" t="n">
        <x:v>0</x:v>
      </x:c>
      <x:c r="N103" t="str">
        <x:v>Fully Paid</x:v>
      </x:c>
      <x:c r="O103" t="str">
        <x:f>IF(D103="","Unknown",IF(D103&lt;25000,"&lt;$25k",IF(D103&lt;50000,"$25k-$50k",IF(D103&lt;75000,"$50k-$75k",IF(D103&lt;100000,"$75k-$100k","$100k+")))))</x:f>
        <x:v>&lt;$25k</x:v>
      </x:c>
      <x:c r="P103" t="str">
        <x:f>IF(E103="","Unknown",IF(E103&lt;10,"&lt;10",IF(E103&lt;20,"10-&lt;20",IF(E103&lt;25,"20-&lt;25",IF(E103&lt;35,"25-&lt;35","35+")))))</x:f>
        <x:v>10-&lt;20</x:v>
      </x:c>
    </x:row>
    <x:row r="104">
      <x:c r="A104" t="str">
        <x:v>SYN0000103</x:v>
      </x:c>
      <x:c r="B104" s="12" t="n">
        <x:v>42565</x:v>
      </x:c>
      <x:c r="C104" s="18" t="n">
        <x:v>18999</x:v>
      </x:c>
      <x:c r="D104" s="18" t="n">
        <x:v>97504</x:v>
      </x:c>
      <x:c r="E104" s="18" t="n">
        <x:v>25.95</x:v>
      </x:c>
      <x:c r="F104" s="18" t="n">
        <x:v>19.59</x:v>
      </x:c>
      <x:c r="G104" t="n">
        <x:v>36</x:v>
      </x:c>
      <x:c r="H104" t="str">
        <x:v>E</x:v>
      </x:c>
      <x:c r="I104" t="str">
        <x:v>&lt;1 year</x:v>
      </x:c>
      <x:c r="J104" t="str">
        <x:v>RENT</x:v>
      </x:c>
      <x:c r="K104" t="str">
        <x:v>credit_card</x:v>
      </x:c>
      <x:c r="L104" t="n">
        <x:v>0</x:v>
      </x:c>
      <x:c r="M104" t="n">
        <x:v>0</x:v>
      </x:c>
      <x:c r="N104" t="str">
        <x:v>Fully Paid</x:v>
      </x:c>
      <x:c r="O104" t="str">
        <x:f>IF(D104="","Unknown",IF(D104&lt;25000,"&lt;$25k",IF(D104&lt;50000,"$25k-$50k",IF(D104&lt;75000,"$50k-$75k",IF(D104&lt;100000,"$75k-$100k","$100k+")))))</x:f>
        <x:v>$75k-$100k</x:v>
      </x:c>
      <x:c r="P104" t="str">
        <x:f>IF(E104="","Unknown",IF(E104&lt;10,"&lt;10",IF(E104&lt;20,"10-&lt;20",IF(E104&lt;25,"20-&lt;25",IF(E104&lt;35,"25-&lt;35","35+")))))</x:f>
        <x:v>25-&lt;35</x:v>
      </x:c>
    </x:row>
    <x:row r="105">
      <x:c r="A105" t="str">
        <x:v>SYN0000104</x:v>
      </x:c>
      <x:c r="B105" s="12" t="n">
        <x:v>42985</x:v>
      </x:c>
      <x:c r="C105" s="18" t="n">
        <x:v>8014</x:v>
      </x:c>
      <x:c r="D105" s="18" t="n">
        <x:v>18461</x:v>
      </x:c>
      <x:c r="E105" s="18" t="n">
        <x:v>36.71</x:v>
      </x:c>
      <x:c r="F105" s="18" t="n">
        <x:v>10.3</x:v>
      </x:c>
      <x:c r="G105" t="n">
        <x:v>36</x:v>
      </x:c>
      <x:c r="H105" t="str">
        <x:v>C</x:v>
      </x:c>
      <x:c r="I105" t="str">
        <x:v>4-6 years</x:v>
      </x:c>
      <x:c r="J105" t="str">
        <x:v>MORTGAGE</x:v>
      </x:c>
      <x:c r="K105" t="str">
        <x:v>major_purchase</x:v>
      </x:c>
      <x:c r="L105" t="n">
        <x:v>1</x:v>
      </x:c>
      <x:c r="M105" t="n">
        <x:v>0</x:v>
      </x:c>
      <x:c r="N105" t="str">
        <x:v>Fully Paid</x:v>
      </x:c>
      <x:c r="O105" t="str">
        <x:f>IF(D105="","Unknown",IF(D105&lt;25000,"&lt;$25k",IF(D105&lt;50000,"$25k-$50k",IF(D105&lt;75000,"$50k-$75k",IF(D105&lt;100000,"$75k-$100k","$100k+")))))</x:f>
        <x:v>&lt;$25k</x:v>
      </x:c>
      <x:c r="P105" t="str">
        <x:f>IF(E105="","Unknown",IF(E105&lt;10,"&lt;10",IF(E105&lt;20,"10-&lt;20",IF(E105&lt;25,"20-&lt;25",IF(E105&lt;35,"25-&lt;35","35+")))))</x:f>
        <x:v>35+</x:v>
      </x:c>
    </x:row>
    <x:row r="106">
      <x:c r="A106" t="str">
        <x:v>SYN0000105</x:v>
      </x:c>
      <x:c r="B106" s="12" t="n">
        <x:v>42325</x:v>
      </x:c>
      <x:c r="C106" s="18" t="n">
        <x:v>8934</x:v>
      </x:c>
      <x:c r="D106" s="18" t="n">
        <x:v>22601</x:v>
      </x:c>
      <x:c r="E106" s="18" t="n">
        <x:v>34.71</x:v>
      </x:c>
      <x:c r="F106" s="18" t="n">
        <x:v>9.75</x:v>
      </x:c>
      <x:c r="G106" t="n">
        <x:v>36</x:v>
      </x:c>
      <x:c r="H106" t="str">
        <x:v>C</x:v>
      </x:c>
      <x:c r="I106" t="str">
        <x:v>7-9 years</x:v>
      </x:c>
      <x:c r="J106" t="str">
        <x:v>RENT</x:v>
      </x:c>
      <x:c r="K106" t="str">
        <x:v>debt_consolidation</x:v>
      </x:c>
      <x:c r="L106" t="n">
        <x:v>1</x:v>
      </x:c>
      <x:c r="M106" t="n">
        <x:v>0</x:v>
      </x:c>
      <x:c r="N106" t="str">
        <x:v>Fully Paid</x:v>
      </x:c>
      <x:c r="O106" t="str">
        <x:f>IF(D106="","Unknown",IF(D106&lt;25000,"&lt;$25k",IF(D106&lt;50000,"$25k-$50k",IF(D106&lt;75000,"$50k-$75k",IF(D106&lt;100000,"$75k-$100k","$100k+")))))</x:f>
        <x:v>&lt;$25k</x:v>
      </x:c>
      <x:c r="P106" t="str">
        <x:f>IF(E106="","Unknown",IF(E106&lt;10,"&lt;10",IF(E106&lt;20,"10-&lt;20",IF(E106&lt;25,"20-&lt;25",IF(E106&lt;35,"25-&lt;35","35+")))))</x:f>
        <x:v>25-&lt;35</x:v>
      </x:c>
    </x:row>
    <x:row r="107">
      <x:c r="A107" t="str">
        <x:v>SYN0000106</x:v>
      </x:c>
      <x:c r="B107" s="12" t="n">
        <x:v>42715</x:v>
      </x:c>
      <x:c r="C107" s="18" t="n">
        <x:v>15651</x:v>
      </x:c>
      <x:c r="D107" s="18" t="n">
        <x:v>48642</x:v>
      </x:c>
      <x:c r="E107" s="18" t="n">
        <x:v>27.43</x:v>
      </x:c>
      <x:c r="F107" s="18" t="n">
        <x:v>11.67</x:v>
      </x:c>
      <x:c r="G107" t="n">
        <x:v>36</x:v>
      </x:c>
      <x:c r="H107" t="str">
        <x:v>C</x:v>
      </x:c>
      <x:c r="I107" t="str">
        <x:v>10+ years</x:v>
      </x:c>
      <x:c r="J107" t="str">
        <x:v>OWN</x:v>
      </x:c>
      <x:c r="K107" t="str">
        <x:v>home_improvement</x:v>
      </x:c>
      <x:c r="L107" t="n">
        <x:v>0</x:v>
      </x:c>
      <x:c r="M107" t="n">
        <x:v>0</x:v>
      </x:c>
      <x:c r="N107" t="str">
        <x:v>Fully Paid</x:v>
      </x:c>
      <x:c r="O107" t="str">
        <x:f>IF(D107="","Unknown",IF(D107&lt;25000,"&lt;$25k",IF(D107&lt;50000,"$25k-$50k",IF(D107&lt;75000,"$50k-$75k",IF(D107&lt;100000,"$75k-$100k","$100k+")))))</x:f>
        <x:v>$25k-$50k</x:v>
      </x:c>
      <x:c r="P107" t="str">
        <x:f>IF(E107="","Unknown",IF(E107&lt;10,"&lt;10",IF(E107&lt;20,"10-&lt;20",IF(E107&lt;25,"20-&lt;25",IF(E107&lt;35,"25-&lt;35","35+")))))</x:f>
        <x:v>25-&lt;35</x:v>
      </x:c>
    </x:row>
    <x:row r="108">
      <x:c r="A108" t="str">
        <x:v>SYN0000107</x:v>
      </x:c>
      <x:c r="B108" s="12" t="n">
        <x:v>41995</x:v>
      </x:c>
      <x:c r="C108" s="18" t="n">
        <x:v>8204</x:v>
      </x:c>
      <x:c r="D108" s="18" t="n">
        <x:v>29117</x:v>
      </x:c>
      <x:c r="E108" s="18" t="n">
        <x:v>4.63</x:v>
      </x:c>
      <x:c r="F108" s="18" t="n">
        <x:v>6.15</x:v>
      </x:c>
      <x:c r="G108" t="n">
        <x:v>36</x:v>
      </x:c>
      <x:c r="H108" t="str">
        <x:v>A</x:v>
      </x:c>
      <x:c r="I108" t="str">
        <x:v>4-6 years</x:v>
      </x:c>
      <x:c r="J108" t="str">
        <x:v>OWN</x:v>
      </x:c>
      <x:c r="K108" t="str">
        <x:v>debt_consolidation</x:v>
      </x:c>
      <x:c r="L108" t="n">
        <x:v>0</x:v>
      </x:c>
      <x:c r="M108" t="n">
        <x:v>0</x:v>
      </x:c>
      <x:c r="N108" t="str">
        <x:v>Fully Paid</x:v>
      </x:c>
      <x:c r="O108" t="str">
        <x:f>IF(D108="","Unknown",IF(D108&lt;25000,"&lt;$25k",IF(D108&lt;50000,"$25k-$50k",IF(D108&lt;75000,"$50k-$75k",IF(D108&lt;100000,"$75k-$100k","$100k+")))))</x:f>
        <x:v>$25k-$50k</x:v>
      </x:c>
      <x:c r="P108" t="str">
        <x:f>IF(E108="","Unknown",IF(E108&lt;10,"&lt;10",IF(E108&lt;20,"10-&lt;20",IF(E108&lt;25,"20-&lt;25",IF(E108&lt;35,"25-&lt;35","35+")))))</x:f>
        <x:v>&lt;10</x:v>
      </x:c>
    </x:row>
    <x:row r="109">
      <x:c r="A109" t="str">
        <x:v>SYN0000108</x:v>
      </x:c>
      <x:c r="B109" s="12" t="n">
        <x:v>42475</x:v>
      </x:c>
      <x:c r="C109" s="18" t="n">
        <x:v>10380</x:v>
      </x:c>
      <x:c r="D109" s="18" t="n">
        <x:v>84208</x:v>
      </x:c>
      <x:c r="E109" s="18" t="n">
        <x:v>15.58</x:v>
      </x:c>
      <x:c r="F109" s="18" t="n">
        <x:v>12.81</x:v>
      </x:c>
      <x:c r="G109" t="n">
        <x:v>36</x:v>
      </x:c>
      <x:c r="H109" t="str">
        <x:v>D</x:v>
      </x:c>
      <x:c r="I109" t="str">
        <x:v>4-6 years</x:v>
      </x:c>
      <x:c r="J109" t="str">
        <x:v>RENT</x:v>
      </x:c>
      <x:c r="K109" t="str">
        <x:v>debt_consolidation</x:v>
      </x:c>
      <x:c r="L109" t="n">
        <x:v>1</x:v>
      </x:c>
      <x:c r="M109" t="n">
        <x:v>0</x:v>
      </x:c>
      <x:c r="N109" t="str">
        <x:v>Fully Paid</x:v>
      </x:c>
      <x:c r="O109" t="str">
        <x:f>IF(D109="","Unknown",IF(D109&lt;25000,"&lt;$25k",IF(D109&lt;50000,"$25k-$50k",IF(D109&lt;75000,"$50k-$75k",IF(D109&lt;100000,"$75k-$100k","$100k+")))))</x:f>
        <x:v>$75k-$100k</x:v>
      </x:c>
      <x:c r="P109" t="str">
        <x:f>IF(E109="","Unknown",IF(E109&lt;10,"&lt;10",IF(E109&lt;20,"10-&lt;20",IF(E109&lt;25,"20-&lt;25",IF(E109&lt;35,"25-&lt;35","35+")))))</x:f>
        <x:v>10-&lt;20</x:v>
      </x:c>
    </x:row>
    <x:row r="110">
      <x:c r="A110" t="str">
        <x:v>SYN0000109</x:v>
      </x:c>
      <x:c r="B110" s="12" t="n">
        <x:v>43345</x:v>
      </x:c>
      <x:c r="C110" s="18" t="n">
        <x:v>26452</x:v>
      </x:c>
      <x:c r="D110" s="18" t="n">
        <x:v>197947</x:v>
      </x:c>
      <x:c r="E110" s="18" t="n">
        <x:v>16.48</x:v>
      </x:c>
      <x:c r="F110" s="18" t="n">
        <x:v>16.58</x:v>
      </x:c>
      <x:c r="G110" t="n">
        <x:v>36</x:v>
      </x:c>
      <x:c r="H110" t="str">
        <x:v>E</x:v>
      </x:c>
      <x:c r="I110" t="str">
        <x:v>10+ years</x:v>
      </x:c>
      <x:c r="J110" t="str">
        <x:v>RENT</x:v>
      </x:c>
      <x:c r="K110" t="str">
        <x:v>credit_card</x:v>
      </x:c>
      <x:c r="L110" t="n">
        <x:v>0</x:v>
      </x:c>
      <x:c r="M110" t="n">
        <x:v>0</x:v>
      </x:c>
      <x:c r="N110" t="str">
        <x:v>Fully Paid</x:v>
      </x:c>
      <x:c r="O110" t="str">
        <x:f>IF(D110="","Unknown",IF(D110&lt;25000,"&lt;$25k",IF(D110&lt;50000,"$25k-$50k",IF(D110&lt;75000,"$50k-$75k",IF(D110&lt;100000,"$75k-$100k","$100k+")))))</x:f>
        <x:v>$100k+</x:v>
      </x:c>
      <x:c r="P110" t="str">
        <x:f>IF(E110="","Unknown",IF(E110&lt;10,"&lt;10",IF(E110&lt;20,"10-&lt;20",IF(E110&lt;25,"20-&lt;25",IF(E110&lt;35,"25-&lt;35","35+")))))</x:f>
        <x:v>10-&lt;20</x:v>
      </x:c>
    </x:row>
    <x:row r="111">
      <x:c r="A111" t="str">
        <x:v>SYN0000110</x:v>
      </x:c>
      <x:c r="B111" s="12" t="n">
        <x:v>43255</x:v>
      </x:c>
      <x:c r="C111" s="18" t="n">
        <x:v>30223</x:v>
      </x:c>
      <x:c r="D111" s="18" t="n">
        <x:v>109453</x:v>
      </x:c>
      <x:c r="E111" s="18" t="n">
        <x:v>20.31</x:v>
      </x:c>
      <x:c r="F111" s="18" t="n">
        <x:v>5.86</x:v>
      </x:c>
      <x:c r="G111" t="n">
        <x:v>60</x:v>
      </x:c>
      <x:c r="H111" t="str">
        <x:v>B</x:v>
      </x:c>
      <x:c r="I111" t="str">
        <x:v>1-3 years</x:v>
      </x:c>
      <x:c r="J111" t="str">
        <x:v>MORTGAGE</x:v>
      </x:c>
      <x:c r="K111" t="str">
        <x:v>debt_consolidation</x:v>
      </x:c>
      <x:c r="L111" t="n">
        <x:v>0</x:v>
      </x:c>
      <x:c r="M111" t="n">
        <x:v>0</x:v>
      </x:c>
      <x:c r="N111" t="str">
        <x:v>Fully Paid</x:v>
      </x:c>
      <x:c r="O111" t="str">
        <x:f>IF(D111="","Unknown",IF(D111&lt;25000,"&lt;$25k",IF(D111&lt;50000,"$25k-$50k",IF(D111&lt;75000,"$50k-$75k",IF(D111&lt;100000,"$75k-$100k","$100k+")))))</x:f>
        <x:v>$100k+</x:v>
      </x:c>
      <x:c r="P111" t="str">
        <x:f>IF(E111="","Unknown",IF(E111&lt;10,"&lt;10",IF(E111&lt;20,"10-&lt;20",IF(E111&lt;25,"20-&lt;25",IF(E111&lt;35,"25-&lt;35","35+")))))</x:f>
        <x:v>20-&lt;25</x:v>
      </x:c>
    </x:row>
    <x:row r="112">
      <x:c r="A112" t="str">
        <x:v>SYN0000111</x:v>
      </x:c>
      <x:c r="B112" s="12" t="n">
        <x:v>43285</x:v>
      </x:c>
      <x:c r="C112" s="18" t="n">
        <x:v>13987</x:v>
      </x:c>
      <x:c r="D112" s="18" t="n">
        <x:v>39388</x:v>
      </x:c>
      <x:c r="E112" s="18" t="n">
        <x:v>15.24</x:v>
      </x:c>
      <x:c r="F112" s="18" t="n">
        <x:v>6.28</x:v>
      </x:c>
      <x:c r="G112" t="n">
        <x:v>60</x:v>
      </x:c>
      <x:c r="H112" t="str">
        <x:v>B</x:v>
      </x:c>
      <x:c r="I112" t="str">
        <x:v>7-9 years</x:v>
      </x:c>
      <x:c r="J112" t="str">
        <x:v>OWN</x:v>
      </x:c>
      <x:c r="K112" t="str">
        <x:v>home_improvement</x:v>
      </x:c>
      <x:c r="L112" t="n">
        <x:v>0</x:v>
      </x:c>
      <x:c r="M112" t="n">
        <x:v>0</x:v>
      </x:c>
      <x:c r="N112" t="str">
        <x:v>Fully Paid</x:v>
      </x:c>
      <x:c r="O112" t="str">
        <x:f>IF(D112="","Unknown",IF(D112&lt;25000,"&lt;$25k",IF(D112&lt;50000,"$25k-$50k",IF(D112&lt;75000,"$50k-$75k",IF(D112&lt;100000,"$75k-$100k","$100k+")))))</x:f>
        <x:v>$25k-$50k</x:v>
      </x:c>
      <x:c r="P112" t="str">
        <x:f>IF(E112="","Unknown",IF(E112&lt;10,"&lt;10",IF(E112&lt;20,"10-&lt;20",IF(E112&lt;25,"20-&lt;25",IF(E112&lt;35,"25-&lt;35","35+")))))</x:f>
        <x:v>10-&lt;20</x:v>
      </x:c>
    </x:row>
    <x:row r="113">
      <x:c r="A113" t="str">
        <x:v>SYN0000112</x:v>
      </x:c>
      <x:c r="B113" s="12" t="n">
        <x:v>43165</x:v>
      </x:c>
      <x:c r="C113" s="18" t="n">
        <x:v>6868</x:v>
      </x:c>
      <x:c r="D113" s="18" t="n">
        <x:v>40959</x:v>
      </x:c>
      <x:c r="E113" s="18" t="n">
        <x:v>38.96</x:v>
      </x:c>
      <x:c r="F113" s="18" t="n">
        <x:v>14.22</x:v>
      </x:c>
      <x:c r="G113" t="n">
        <x:v>36</x:v>
      </x:c>
      <x:c r="H113" t="str">
        <x:v>C</x:v>
      </x:c>
      <x:c r="I113" t="str">
        <x:v>1-3 years</x:v>
      </x:c>
      <x:c r="J113" t="str">
        <x:v>RENT</x:v>
      </x:c>
      <x:c r="K113" t="str">
        <x:v>debt_consolidation</x:v>
      </x:c>
      <x:c r="L113" t="n">
        <x:v>0</x:v>
      </x:c>
      <x:c r="M113" t="n">
        <x:v>1</x:v>
      </x:c>
      <x:c r="N113" t="str">
        <x:v>Charged Off</x:v>
      </x:c>
      <x:c r="O113" t="str">
        <x:f>IF(D113="","Unknown",IF(D113&lt;25000,"&lt;$25k",IF(D113&lt;50000,"$25k-$50k",IF(D113&lt;75000,"$50k-$75k",IF(D113&lt;100000,"$75k-$100k","$100k+")))))</x:f>
        <x:v>$25k-$50k</x:v>
      </x:c>
      <x:c r="P113" t="str">
        <x:f>IF(E113="","Unknown",IF(E113&lt;10,"&lt;10",IF(E113&lt;20,"10-&lt;20",IF(E113&lt;25,"20-&lt;25",IF(E113&lt;35,"25-&lt;35","35+")))))</x:f>
        <x:v>35+</x:v>
      </x:c>
    </x:row>
    <x:row r="114">
      <x:c r="A114" t="str">
        <x:v>SYN0000113</x:v>
      </x:c>
      <x:c r="B114" s="12" t="n">
        <x:v>42385</x:v>
      </x:c>
      <x:c r="C114" s="18" t="n">
        <x:v>7347</x:v>
      </x:c>
      <x:c r="D114" s="18" t="n">
        <x:v>59815</x:v>
      </x:c>
      <x:c r="E114" s="18" t="n">
        <x:v>32.81</x:v>
      </x:c>
      <x:c r="F114" s="18" t="n">
        <x:v>13.94</x:v>
      </x:c>
      <x:c r="G114" t="n">
        <x:v>36</x:v>
      </x:c>
      <x:c r="H114" t="str">
        <x:v>D</x:v>
      </x:c>
      <x:c r="I114" t="str">
        <x:v>4-6 years</x:v>
      </x:c>
      <x:c r="J114" t="str">
        <x:v>RENT</x:v>
      </x:c>
      <x:c r="K114" t="str">
        <x:v>other</x:v>
      </x:c>
      <x:c r="L114" t="n">
        <x:v>1</x:v>
      </x:c>
      <x:c r="M114" t="n">
        <x:v>0</x:v>
      </x:c>
      <x:c r="N114" t="str">
        <x:v>Fully Paid</x:v>
      </x:c>
      <x:c r="O114" t="str">
        <x:f>IF(D114="","Unknown",IF(D114&lt;25000,"&lt;$25k",IF(D114&lt;50000,"$25k-$50k",IF(D114&lt;75000,"$50k-$75k",IF(D114&lt;100000,"$75k-$100k","$100k+")))))</x:f>
        <x:v>$50k-$75k</x:v>
      </x:c>
      <x:c r="P114" t="str">
        <x:f>IF(E114="","Unknown",IF(E114&lt;10,"&lt;10",IF(E114&lt;20,"10-&lt;20",IF(E114&lt;25,"20-&lt;25",IF(E114&lt;35,"25-&lt;35","35+")))))</x:f>
        <x:v>25-&lt;35</x:v>
      </x:c>
    </x:row>
    <x:row r="115">
      <x:c r="A115" t="str">
        <x:v>SYN0000114</x:v>
      </x:c>
      <x:c r="B115" s="12" t="n">
        <x:v>43045</x:v>
      </x:c>
      <x:c r="C115" s="18" t="n">
        <x:v>18339</x:v>
      </x:c>
      <x:c r="D115" s="18" t="n">
        <x:v>78744</x:v>
      </x:c>
      <x:c r="E115" s="18" t="n">
        <x:v>15.23</x:v>
      </x:c>
      <x:c r="F115" s="18" t="n">
        <x:v>17.49</x:v>
      </x:c>
      <x:c r="G115" t="n">
        <x:v>60</x:v>
      </x:c>
      <x:c r="H115" t="str">
        <x:v>E</x:v>
      </x:c>
      <x:c r="I115" t="str">
        <x:v>10+ years</x:v>
      </x:c>
      <x:c r="J115" t="str">
        <x:v>MORTGAGE</x:v>
      </x:c>
      <x:c r="K115" t="str">
        <x:v>major_purchase</x:v>
      </x:c>
      <x:c r="L115" t="n">
        <x:v>0</x:v>
      </x:c>
      <x:c r="M115" t="n">
        <x:v>0</x:v>
      </x:c>
      <x:c r="N115" t="str">
        <x:v>Fully Paid</x:v>
      </x:c>
      <x:c r="O115" t="str">
        <x:f>IF(D115="","Unknown",IF(D115&lt;25000,"&lt;$25k",IF(D115&lt;50000,"$25k-$50k",IF(D115&lt;75000,"$50k-$75k",IF(D115&lt;100000,"$75k-$100k","$100k+")))))</x:f>
        <x:v>$75k-$100k</x:v>
      </x:c>
      <x:c r="P115" t="str">
        <x:f>IF(E115="","Unknown",IF(E115&lt;10,"&lt;10",IF(E115&lt;20,"10-&lt;20",IF(E115&lt;25,"20-&lt;25",IF(E115&lt;35,"25-&lt;35","35+")))))</x:f>
        <x:v>10-&lt;20</x:v>
      </x:c>
    </x:row>
    <x:row r="116">
      <x:c r="A116" t="str">
        <x:v>SYN0000115</x:v>
      </x:c>
      <x:c r="B116" s="12" t="n">
        <x:v>43105</x:v>
      </x:c>
      <x:c r="C116" s="18" t="n">
        <x:v>40000</x:v>
      </x:c>
      <x:c r="D116" s="18" t="n">
        <x:v>92800</x:v>
      </x:c>
      <x:c r="E116" s="18" t="n">
        <x:v>21.77</x:v>
      </x:c>
      <x:c r="F116" s="18" t="n">
        <x:v>10.19</x:v>
      </x:c>
      <x:c r="G116" t="n">
        <x:v>36</x:v>
      </x:c>
      <x:c r="H116" t="str">
        <x:v>B</x:v>
      </x:c>
      <x:c r="I116" t="str">
        <x:v>10+ years</x:v>
      </x:c>
      <x:c r="J116" t="str">
        <x:v>MORTGAGE</x:v>
      </x:c>
      <x:c r="K116" t="str">
        <x:v>debt_consolidation</x:v>
      </x:c>
      <x:c r="L116" t="n">
        <x:v>1</x:v>
      </x:c>
      <x:c r="M116" t="n">
        <x:v>0</x:v>
      </x:c>
      <x:c r="N116" t="str">
        <x:v>Fully Paid</x:v>
      </x:c>
      <x:c r="O116" t="str">
        <x:f>IF(D116="","Unknown",IF(D116&lt;25000,"&lt;$25k",IF(D116&lt;50000,"$25k-$50k",IF(D116&lt;75000,"$50k-$75k",IF(D116&lt;100000,"$75k-$100k","$100k+")))))</x:f>
        <x:v>$75k-$100k</x:v>
      </x:c>
      <x:c r="P116" t="str">
        <x:f>IF(E116="","Unknown",IF(E116&lt;10,"&lt;10",IF(E116&lt;20,"10-&lt;20",IF(E116&lt;25,"20-&lt;25",IF(E116&lt;35,"25-&lt;35","35+")))))</x:f>
        <x:v>20-&lt;25</x:v>
      </x:c>
    </x:row>
    <x:row r="117">
      <x:c r="A117" t="str">
        <x:v>SYN0000116</x:v>
      </x:c>
      <x:c r="B117" s="12" t="n">
        <x:v>41395</x:v>
      </x:c>
      <x:c r="C117" s="18" t="n">
        <x:v>13492</x:v>
      </x:c>
      <x:c r="D117" s="18" t="n">
        <x:v>141950</x:v>
      </x:c>
      <x:c r="E117" s="18" t="n">
        <x:v>19.58</x:v>
      </x:c>
      <x:c r="F117" s="18" t="n">
        <x:v>8.45</x:v>
      </x:c>
      <x:c r="G117" t="n">
        <x:v>36</x:v>
      </x:c>
      <x:c r="H117" t="str">
        <x:v>B</x:v>
      </x:c>
      <x:c r="I117" t="str">
        <x:v>10+ years</x:v>
      </x:c>
      <x:c r="J117" t="str">
        <x:v>OTHER</x:v>
      </x:c>
      <x:c r="K117" t="str">
        <x:v>debt_consolidation</x:v>
      </x:c>
      <x:c r="L117" t="n">
        <x:v>0</x:v>
      </x:c>
      <x:c r="M117" t="n">
        <x:v>0</x:v>
      </x:c>
      <x:c r="N117" t="str">
        <x:v>Fully Paid</x:v>
      </x:c>
      <x:c r="O117" t="str">
        <x:f>IF(D117="","Unknown",IF(D117&lt;25000,"&lt;$25k",IF(D117&lt;50000,"$25k-$50k",IF(D117&lt;75000,"$50k-$75k",IF(D117&lt;100000,"$75k-$100k","$100k+")))))</x:f>
        <x:v>$100k+</x:v>
      </x:c>
      <x:c r="P117" t="str">
        <x:f>IF(E117="","Unknown",IF(E117&lt;10,"&lt;10",IF(E117&lt;20,"10-&lt;20",IF(E117&lt;25,"20-&lt;25",IF(E117&lt;35,"25-&lt;35","35+")))))</x:f>
        <x:v>10-&lt;20</x:v>
      </x:c>
    </x:row>
    <x:row r="118">
      <x:c r="A118" t="str">
        <x:v>SYN0000117</x:v>
      </x:c>
      <x:c r="B118" s="12" t="n">
        <x:v>43105</x:v>
      </x:c>
      <x:c r="C118" s="18" t="n">
        <x:v>27760</x:v>
      </x:c>
      <x:c r="D118" s="18" t="n">
        <x:v>99879</x:v>
      </x:c>
      <x:c r="E118" s="18" t="n">
        <x:v>14.3</x:v>
      </x:c>
      <x:c r="F118" s="18" t="n">
        <x:v>12.23</x:v>
      </x:c>
      <x:c r="G118" t="n">
        <x:v>60</x:v>
      </x:c>
      <x:c r="H118" t="str">
        <x:v>B</x:v>
      </x:c>
      <x:c r="I118" t="str">
        <x:v>7-9 years</x:v>
      </x:c>
      <x:c r="J118" t="str">
        <x:v>RENT</x:v>
      </x:c>
      <x:c r="K118" t="str">
        <x:v>major_purchase</x:v>
      </x:c>
      <x:c r="L118" t="n">
        <x:v>0</x:v>
      </x:c>
      <x:c r="M118" t="n">
        <x:v>0</x:v>
      </x:c>
      <x:c r="N118" t="str">
        <x:v>Fully Paid</x:v>
      </x:c>
      <x:c r="O118" t="str">
        <x:f>IF(D118="","Unknown",IF(D118&lt;25000,"&lt;$25k",IF(D118&lt;50000,"$25k-$50k",IF(D118&lt;75000,"$50k-$75k",IF(D118&lt;100000,"$75k-$100k","$100k+")))))</x:f>
        <x:v>$75k-$100k</x:v>
      </x:c>
      <x:c r="P118" t="str">
        <x:f>IF(E118="","Unknown",IF(E118&lt;10,"&lt;10",IF(E118&lt;20,"10-&lt;20",IF(E118&lt;25,"20-&lt;25",IF(E118&lt;35,"25-&lt;35","35+")))))</x:f>
        <x:v>10-&lt;20</x:v>
      </x:c>
    </x:row>
    <x:row r="119">
      <x:c r="A119" t="str">
        <x:v>SYN0000118</x:v>
      </x:c>
      <x:c r="B119" s="12" t="n">
        <x:v>41425</x:v>
      </x:c>
      <x:c r="C119" s="18" t="n">
        <x:v>9438</x:v>
      </x:c>
      <x:c r="D119" s="18" t="n">
        <x:v>98434</x:v>
      </x:c>
      <x:c r="E119" s="18" t="n">
        <x:v>38.19</x:v>
      </x:c>
      <x:c r="F119" s="18" t="n">
        <x:v>15.34</x:v>
      </x:c>
      <x:c r="G119" t="n">
        <x:v>36</x:v>
      </x:c>
      <x:c r="H119" t="str">
        <x:v>E</x:v>
      </x:c>
      <x:c r="I119" t="str">
        <x:v>4-6 years</x:v>
      </x:c>
      <x:c r="J119" t="str">
        <x:v>RENT</x:v>
      </x:c>
      <x:c r="K119" t="str">
        <x:v>debt_consolidation</x:v>
      </x:c>
      <x:c r="L119" t="n">
        <x:v>0</x:v>
      </x:c>
      <x:c r="M119" t="n">
        <x:v>0</x:v>
      </x:c>
      <x:c r="N119" t="str">
        <x:v>Fully Paid</x:v>
      </x:c>
      <x:c r="O119" t="str">
        <x:f>IF(D119="","Unknown",IF(D119&lt;25000,"&lt;$25k",IF(D119&lt;50000,"$25k-$50k",IF(D119&lt;75000,"$50k-$75k",IF(D119&lt;100000,"$75k-$100k","$100k+")))))</x:f>
        <x:v>$75k-$100k</x:v>
      </x:c>
      <x:c r="P119" t="str">
        <x:f>IF(E119="","Unknown",IF(E119&lt;10,"&lt;10",IF(E119&lt;20,"10-&lt;20",IF(E119&lt;25,"20-&lt;25",IF(E119&lt;35,"25-&lt;35","35+")))))</x:f>
        <x:v>35+</x:v>
      </x:c>
    </x:row>
    <x:row r="120">
      <x:c r="A120" t="str">
        <x:v>SYN0000119</x:v>
      </x:c>
      <x:c r="B120" s="12" t="n">
        <x:v>41695</x:v>
      </x:c>
      <x:c r="C120" s="18" t="n">
        <x:v>11322</x:v>
      </x:c>
      <x:c r="D120" s="18" t="n">
        <x:v>78036</x:v>
      </x:c>
      <x:c r="E120" s="18" t="n">
        <x:v>28.13</x:v>
      </x:c>
      <x:c r="F120" s="18" t="n">
        <x:v>8.81</x:v>
      </x:c>
      <x:c r="G120" t="n">
        <x:v>36</x:v>
      </x:c>
      <x:c r="H120" t="str">
        <x:v>C</x:v>
      </x:c>
      <x:c r="I120" t="str">
        <x:v>4-6 years</x:v>
      </x:c>
      <x:c r="J120" t="str">
        <x:v>MORTGAGE</x:v>
      </x:c>
      <x:c r="K120" t="str">
        <x:v>major_purchase</x:v>
      </x:c>
      <x:c r="L120" t="n">
        <x:v>0</x:v>
      </x:c>
      <x:c r="M120" t="n">
        <x:v>0</x:v>
      </x:c>
      <x:c r="N120" t="str">
        <x:v>Fully Paid</x:v>
      </x:c>
      <x:c r="O120" t="str">
        <x:f>IF(D120="","Unknown",IF(D120&lt;25000,"&lt;$25k",IF(D120&lt;50000,"$25k-$50k",IF(D120&lt;75000,"$50k-$75k",IF(D120&lt;100000,"$75k-$100k","$100k+")))))</x:f>
        <x:v>$75k-$100k</x:v>
      </x:c>
      <x:c r="P120" t="str">
        <x:f>IF(E120="","Unknown",IF(E120&lt;10,"&lt;10",IF(E120&lt;20,"10-&lt;20",IF(E120&lt;25,"20-&lt;25",IF(E120&lt;35,"25-&lt;35","35+")))))</x:f>
        <x:v>25-&lt;35</x:v>
      </x:c>
    </x:row>
    <x:row r="121">
      <x:c r="A121" t="str">
        <x:v>SYN0000120</x:v>
      </x:c>
      <x:c r="B121" s="12" t="n">
        <x:v>43075</x:v>
      </x:c>
      <x:c r="C121" s="18" t="n">
        <x:v>10435</x:v>
      </x:c>
      <x:c r="D121" s="18" t="n">
        <x:v>22448</x:v>
      </x:c>
      <x:c r="E121" s="18" t="n">
        <x:v>5.48</x:v>
      </x:c>
      <x:c r="F121" s="18" t="n">
        <x:v>13.46</x:v>
      </x:c>
      <x:c r="G121" t="n">
        <x:v>60</x:v>
      </x:c>
      <x:c r="H121" t="str">
        <x:v>D</x:v>
      </x:c>
      <x:c r="I121" t="str">
        <x:v>4-6 years</x:v>
      </x:c>
      <x:c r="J121" t="str">
        <x:v>OWN</x:v>
      </x:c>
      <x:c r="K121" t="str">
        <x:v>debt_consolidation</x:v>
      </x:c>
      <x:c r="L121" t="n">
        <x:v>0</x:v>
      </x:c>
      <x:c r="M121" t="n">
        <x:v>0</x:v>
      </x:c>
      <x:c r="N121" t="str">
        <x:v>Fully Paid</x:v>
      </x:c>
      <x:c r="O121" t="str">
        <x:f>IF(D121="","Unknown",IF(D121&lt;25000,"&lt;$25k",IF(D121&lt;50000,"$25k-$50k",IF(D121&lt;75000,"$50k-$75k",IF(D121&lt;100000,"$75k-$100k","$100k+")))))</x:f>
        <x:v>&lt;$25k</x:v>
      </x:c>
      <x:c r="P121" t="str">
        <x:f>IF(E121="","Unknown",IF(E121&lt;10,"&lt;10",IF(E121&lt;20,"10-&lt;20",IF(E121&lt;25,"20-&lt;25",IF(E121&lt;35,"25-&lt;35","35+")))))</x:f>
        <x:v>&lt;10</x:v>
      </x:c>
    </x:row>
    <x:row r="122">
      <x:c r="A122" t="str">
        <x:v>SYN0000121</x:v>
      </x:c>
      <x:c r="B122" s="12" t="n">
        <x:v>42625</x:v>
      </x:c>
      <x:c r="C122" s="18" t="n">
        <x:v>19185</x:v>
      </x:c>
      <x:c r="D122" s="18" t="n">
        <x:v>61121</x:v>
      </x:c>
      <x:c r="E122" s="18" t="n">
        <x:v>16.57</x:v>
      </x:c>
      <x:c r="F122" s="18" t="n">
        <x:v>5.43</x:v>
      </x:c>
      <x:c r="G122" t="n">
        <x:v>36</x:v>
      </x:c>
      <x:c r="H122" t="str">
        <x:v>A</x:v>
      </x:c>
      <x:c r="I122" t="str">
        <x:v>10+ years</x:v>
      </x:c>
      <x:c r="J122" t="str">
        <x:v>MORTGAGE</x:v>
      </x:c>
      <x:c r="K122" t="str">
        <x:v>credit_card</x:v>
      </x:c>
      <x:c r="L122" t="n">
        <x:v>0</x:v>
      </x:c>
      <x:c r="M122" t="n">
        <x:v>0</x:v>
      </x:c>
      <x:c r="N122" t="str">
        <x:v>Fully Paid</x:v>
      </x:c>
      <x:c r="O122" t="str">
        <x:f>IF(D122="","Unknown",IF(D122&lt;25000,"&lt;$25k",IF(D122&lt;50000,"$25k-$50k",IF(D122&lt;75000,"$50k-$75k",IF(D122&lt;100000,"$75k-$100k","$100k+")))))</x:f>
        <x:v>$50k-$75k</x:v>
      </x:c>
      <x:c r="P122" t="str">
        <x:f>IF(E122="","Unknown",IF(E122&lt;10,"&lt;10",IF(E122&lt;20,"10-&lt;20",IF(E122&lt;25,"20-&lt;25",IF(E122&lt;35,"25-&lt;35","35+")))))</x:f>
        <x:v>10-&lt;20</x:v>
      </x:c>
    </x:row>
    <x:row r="123">
      <x:c r="A123" t="str">
        <x:v>SYN0000122</x:v>
      </x:c>
      <x:c r="B123" s="12" t="n">
        <x:v>42835</x:v>
      </x:c>
      <x:c r="C123" s="18" t="n">
        <x:v>16355</x:v>
      </x:c>
      <x:c r="D123" s="18" t="n">
        <x:v>62185</x:v>
      </x:c>
      <x:c r="E123" s="18" t="n">
        <x:v>24.8</x:v>
      </x:c>
      <x:c r="F123" s="18" t="n">
        <x:v>12.07</x:v>
      </x:c>
      <x:c r="G123" t="n">
        <x:v>60</x:v>
      </x:c>
      <x:c r="H123" t="str">
        <x:v>D</x:v>
      </x:c>
      <x:c r="I123" t="str">
        <x:v>1-3 years</x:v>
      </x:c>
      <x:c r="J123" t="str">
        <x:v>OWN</x:v>
      </x:c>
      <x:c r="K123" t="str">
        <x:v>debt_consolidation</x:v>
      </x:c>
      <x:c r="L123" t="n">
        <x:v>0</x:v>
      </x:c>
      <x:c r="M123" t="n">
        <x:v>0</x:v>
      </x:c>
      <x:c r="N123" t="str">
        <x:v>Fully Paid</x:v>
      </x:c>
      <x:c r="O123" t="str">
        <x:f>IF(D123="","Unknown",IF(D123&lt;25000,"&lt;$25k",IF(D123&lt;50000,"$25k-$50k",IF(D123&lt;75000,"$50k-$75k",IF(D123&lt;100000,"$75k-$100k","$100k+")))))</x:f>
        <x:v>$50k-$75k</x:v>
      </x:c>
      <x:c r="P123" t="str">
        <x:f>IF(E123="","Unknown",IF(E123&lt;10,"&lt;10",IF(E123&lt;20,"10-&lt;20",IF(E123&lt;25,"20-&lt;25",IF(E123&lt;35,"25-&lt;35","35+")))))</x:f>
        <x:v>20-&lt;25</x:v>
      </x:c>
    </x:row>
    <x:row r="124">
      <x:c r="A124" t="str">
        <x:v>SYN0000123</x:v>
      </x:c>
      <x:c r="B124" s="12" t="n">
        <x:v>41725</x:v>
      </x:c>
      <x:c r="C124" s="18" t="n">
        <x:v>40000</x:v>
      </x:c>
      <x:c r="D124" s="18" t="n">
        <x:v>72825</x:v>
      </x:c>
      <x:c r="E124" s="18" t="n">
        <x:v>29.1</x:v>
      </x:c>
      <x:c r="F124" s="18" t="n">
        <x:v>20.07</x:v>
      </x:c>
      <x:c r="G124" t="n">
        <x:v>36</x:v>
      </x:c>
      <x:c r="H124" t="str">
        <x:v>F</x:v>
      </x:c>
      <x:c r="I124" t="str">
        <x:v>&lt;1 year</x:v>
      </x:c>
      <x:c r="J124" t="str">
        <x:v>MORTGAGE</x:v>
      </x:c>
      <x:c r="K124" t="str">
        <x:v>home_improvement</x:v>
      </x:c>
      <x:c r="L124" t="n">
        <x:v>1</x:v>
      </x:c>
      <x:c r="M124" t="n">
        <x:v>0</x:v>
      </x:c>
      <x:c r="N124" t="str">
        <x:v>Fully Paid</x:v>
      </x:c>
      <x:c r="O124" t="str">
        <x:f>IF(D124="","Unknown",IF(D124&lt;25000,"&lt;$25k",IF(D124&lt;50000,"$25k-$50k",IF(D124&lt;75000,"$50k-$75k",IF(D124&lt;100000,"$75k-$100k","$100k+")))))</x:f>
        <x:v>$50k-$75k</x:v>
      </x:c>
      <x:c r="P124" t="str">
        <x:f>IF(E124="","Unknown",IF(E124&lt;10,"&lt;10",IF(E124&lt;20,"10-&lt;20",IF(E124&lt;25,"20-&lt;25",IF(E124&lt;35,"25-&lt;35","35+")))))</x:f>
        <x:v>25-&lt;35</x:v>
      </x:c>
    </x:row>
    <x:row r="125">
      <x:c r="A125" t="str">
        <x:v>SYN0000124</x:v>
      </x:c>
      <x:c r="B125" s="12" t="n">
        <x:v>43375</x:v>
      </x:c>
      <x:c r="C125" s="18" t="n">
        <x:v>6690</x:v>
      </x:c>
      <x:c r="D125" s="18" t="n">
        <x:v>114458</x:v>
      </x:c>
      <x:c r="E125" s="18" t="n">
        <x:v>11.46</x:v>
      </x:c>
      <x:c r="F125" s="18" t="n">
        <x:v>5</x:v>
      </x:c>
      <x:c r="G125" t="n">
        <x:v>60</x:v>
      </x:c>
      <x:c r="H125" t="str">
        <x:v>A</x:v>
      </x:c>
      <x:c r="I125" t="str">
        <x:v>1-3 years</x:v>
      </x:c>
      <x:c r="J125" t="str">
        <x:v>RENT</x:v>
      </x:c>
      <x:c r="K125" t="str">
        <x:v>debt_consolidation</x:v>
      </x:c>
      <x:c r="L125" t="n">
        <x:v>1</x:v>
      </x:c>
      <x:c r="M125" t="n">
        <x:v>0</x:v>
      </x:c>
      <x:c r="N125" t="str">
        <x:v>Fully Paid</x:v>
      </x:c>
      <x:c r="O125" t="str">
        <x:f>IF(D125="","Unknown",IF(D125&lt;25000,"&lt;$25k",IF(D125&lt;50000,"$25k-$50k",IF(D125&lt;75000,"$50k-$75k",IF(D125&lt;100000,"$75k-$100k","$100k+")))))</x:f>
        <x:v>$100k+</x:v>
      </x:c>
      <x:c r="P125" t="str">
        <x:f>IF(E125="","Unknown",IF(E125&lt;10,"&lt;10",IF(E125&lt;20,"10-&lt;20",IF(E125&lt;25,"20-&lt;25",IF(E125&lt;35,"25-&lt;35","35+")))))</x:f>
        <x:v>10-&lt;20</x:v>
      </x:c>
    </x:row>
    <x:row r="126">
      <x:c r="A126" t="str">
        <x:v>SYN0000125</x:v>
      </x:c>
      <x:c r="B126" s="12" t="n">
        <x:v>41305</x:v>
      </x:c>
      <x:c r="C126" s="18" t="n">
        <x:v>26531</x:v>
      </x:c>
      <x:c r="D126" s="18" t="n">
        <x:v>25378</x:v>
      </x:c>
      <x:c r="E126" s="18" t="n">
        <x:v>14.27</x:v>
      </x:c>
      <x:c r="F126" s="18" t="n">
        <x:v>5</x:v>
      </x:c>
      <x:c r="G126" t="n">
        <x:v>36</x:v>
      </x:c>
      <x:c r="H126" t="str">
        <x:v>A</x:v>
      </x:c>
      <x:c r="I126" t="str">
        <x:v>10+ years</x:v>
      </x:c>
      <x:c r="J126" t="str">
        <x:v>MORTGAGE</x:v>
      </x:c>
      <x:c r="K126" t="str">
        <x:v>debt_consolidation</x:v>
      </x:c>
      <x:c r="L126" t="n">
        <x:v>0</x:v>
      </x:c>
      <x:c r="M126" t="n">
        <x:v>0</x:v>
      </x:c>
      <x:c r="N126" t="str">
        <x:v>Fully Paid</x:v>
      </x:c>
      <x:c r="O126" t="str">
        <x:f>IF(D126="","Unknown",IF(D126&lt;25000,"&lt;$25k",IF(D126&lt;50000,"$25k-$50k",IF(D126&lt;75000,"$50k-$75k",IF(D126&lt;100000,"$75k-$100k","$100k+")))))</x:f>
        <x:v>$25k-$50k</x:v>
      </x:c>
      <x:c r="P126" t="str">
        <x:f>IF(E126="","Unknown",IF(E126&lt;10,"&lt;10",IF(E126&lt;20,"10-&lt;20",IF(E126&lt;25,"20-&lt;25",IF(E126&lt;35,"25-&lt;35","35+")))))</x:f>
        <x:v>10-&lt;20</x:v>
      </x:c>
    </x:row>
    <x:row r="127">
      <x:c r="A127" t="str">
        <x:v>SYN0000126</x:v>
      </x:c>
      <x:c r="B127" s="12" t="n">
        <x:v>42235</x:v>
      </x:c>
      <x:c r="C127" s="18" t="n">
        <x:v>12051</x:v>
      </x:c>
      <x:c r="D127" s="18" t="n">
        <x:v>56484</x:v>
      </x:c>
      <x:c r="E127" s="18" t="n">
        <x:v>25.31</x:v>
      </x:c>
      <x:c r="F127" s="18" t="n">
        <x:v>23.11</x:v>
      </x:c>
      <x:c r="G127" t="n">
        <x:v>60</x:v>
      </x:c>
      <x:c r="H127" t="str">
        <x:v>F</x:v>
      </x:c>
      <x:c r="I127" t="str">
        <x:v>10+ years</x:v>
      </x:c>
      <x:c r="J127" t="str">
        <x:v>RENT</x:v>
      </x:c>
      <x:c r="K127" t="str">
        <x:v>other</x:v>
      </x:c>
      <x:c r="L127" t="n">
        <x:v>0</x:v>
      </x:c>
      <x:c r="M127" t="n">
        <x:v>0</x:v>
      </x:c>
      <x:c r="N127" t="str">
        <x:v>Fully Paid</x:v>
      </x:c>
      <x:c r="O127" t="str">
        <x:f>IF(D127="","Unknown",IF(D127&lt;25000,"&lt;$25k",IF(D127&lt;50000,"$25k-$50k",IF(D127&lt;75000,"$50k-$75k",IF(D127&lt;100000,"$75k-$100k","$100k+")))))</x:f>
        <x:v>$50k-$75k</x:v>
      </x:c>
      <x:c r="P127" t="str">
        <x:f>IF(E127="","Unknown",IF(E127&lt;10,"&lt;10",IF(E127&lt;20,"10-&lt;20",IF(E127&lt;25,"20-&lt;25",IF(E127&lt;35,"25-&lt;35","35+")))))</x:f>
        <x:v>25-&lt;35</x:v>
      </x:c>
    </x:row>
    <x:row r="128">
      <x:c r="A128" t="str">
        <x:v>SYN0000127</x:v>
      </x:c>
      <x:c r="B128" s="12" t="n">
        <x:v>41455</x:v>
      </x:c>
      <x:c r="C128" s="18" t="n">
        <x:v>10730</x:v>
      </x:c>
      <x:c r="D128" s="18" t="n">
        <x:v>44547</x:v>
      </x:c>
      <x:c r="E128" s="18" t="n">
        <x:v>17.32</x:v>
      </x:c>
      <x:c r="F128" s="18" t="n">
        <x:v>10.4</x:v>
      </x:c>
      <x:c r="G128" t="n">
        <x:v>36</x:v>
      </x:c>
      <x:c r="H128" t="str">
        <x:v>B</x:v>
      </x:c>
      <x:c r="I128" t="str">
        <x:v>7-9 years</x:v>
      </x:c>
      <x:c r="J128" t="str">
        <x:v>OWN</x:v>
      </x:c>
      <x:c r="K128" t="str">
        <x:v>debt_consolidation</x:v>
      </x:c>
      <x:c r="L128" t="n">
        <x:v>1</x:v>
      </x:c>
      <x:c r="M128" t="n">
        <x:v>0</x:v>
      </x:c>
      <x:c r="N128" t="str">
        <x:v>Fully Paid</x:v>
      </x:c>
      <x:c r="O128" t="str">
        <x:f>IF(D128="","Unknown",IF(D128&lt;25000,"&lt;$25k",IF(D128&lt;50000,"$25k-$50k",IF(D128&lt;75000,"$50k-$75k",IF(D128&lt;100000,"$75k-$100k","$100k+")))))</x:f>
        <x:v>$25k-$50k</x:v>
      </x:c>
      <x:c r="P128" t="str">
        <x:f>IF(E128="","Unknown",IF(E128&lt;10,"&lt;10",IF(E128&lt;20,"10-&lt;20",IF(E128&lt;25,"20-&lt;25",IF(E128&lt;35,"25-&lt;35","35+")))))</x:f>
        <x:v>10-&lt;20</x:v>
      </x:c>
    </x:row>
    <x:row r="129">
      <x:c r="A129" t="str">
        <x:v>SYN0000128</x:v>
      </x:c>
      <x:c r="B129" s="12" t="n">
        <x:v>42295</x:v>
      </x:c>
      <x:c r="C129" s="18" t="n">
        <x:v>5718</x:v>
      </x:c>
      <x:c r="D129" s="18" t="n">
        <x:v>55739</x:v>
      </x:c>
      <x:c r="E129" s="18" t="n">
        <x:v>24.7</x:v>
      </x:c>
      <x:c r="F129" s="18" t="n">
        <x:v>9.84</x:v>
      </x:c>
      <x:c r="G129" t="n">
        <x:v>36</x:v>
      </x:c>
      <x:c r="H129" t="str">
        <x:v>B</x:v>
      </x:c>
      <x:c r="I129" t="str">
        <x:v>7-9 years</x:v>
      </x:c>
      <x:c r="J129" t="str">
        <x:v>MORTGAGE</x:v>
      </x:c>
      <x:c r="K129" t="str">
        <x:v>credit_card</x:v>
      </x:c>
      <x:c r="L129" t="n">
        <x:v>0</x:v>
      </x:c>
      <x:c r="M129" t="n">
        <x:v>0</x:v>
      </x:c>
      <x:c r="N129" t="str">
        <x:v>Fully Paid</x:v>
      </x:c>
      <x:c r="O129" t="str">
        <x:f>IF(D129="","Unknown",IF(D129&lt;25000,"&lt;$25k",IF(D129&lt;50000,"$25k-$50k",IF(D129&lt;75000,"$50k-$75k",IF(D129&lt;100000,"$75k-$100k","$100k+")))))</x:f>
        <x:v>$50k-$75k</x:v>
      </x:c>
      <x:c r="P129" t="str">
        <x:f>IF(E129="","Unknown",IF(E129&lt;10,"&lt;10",IF(E129&lt;20,"10-&lt;20",IF(E129&lt;25,"20-&lt;25",IF(E129&lt;35,"25-&lt;35","35+")))))</x:f>
        <x:v>20-&lt;25</x:v>
      </x:c>
    </x:row>
    <x:row r="130">
      <x:c r="A130" t="str">
        <x:v>SYN0000129</x:v>
      </x:c>
      <x:c r="B130" s="12" t="n">
        <x:v>43045</x:v>
      </x:c>
      <x:c r="C130" s="18" t="n">
        <x:v>29120</x:v>
      </x:c>
      <x:c r="D130" s="18" t="n">
        <x:v>128301</x:v>
      </x:c>
      <x:c r="E130" s="18" t="n">
        <x:v>34.12</x:v>
      </x:c>
      <x:c r="F130" s="18" t="n">
        <x:v>8.12</x:v>
      </x:c>
      <x:c r="G130" t="n">
        <x:v>60</x:v>
      </x:c>
      <x:c r="H130" t="str">
        <x:v>B</x:v>
      </x:c>
      <x:c r="I130" t="str">
        <x:v>&lt;1 year</x:v>
      </x:c>
      <x:c r="J130" t="str">
        <x:v>OWN</x:v>
      </x:c>
      <x:c r="K130" t="str">
        <x:v>debt_consolidation</x:v>
      </x:c>
      <x:c r="L130" t="n">
        <x:v>0</x:v>
      </x:c>
      <x:c r="M130" t="n">
        <x:v>0</x:v>
      </x:c>
      <x:c r="N130" t="str">
        <x:v>Fully Paid</x:v>
      </x:c>
      <x:c r="O130" t="str">
        <x:f>IF(D130="","Unknown",IF(D130&lt;25000,"&lt;$25k",IF(D130&lt;50000,"$25k-$50k",IF(D130&lt;75000,"$50k-$75k",IF(D130&lt;100000,"$75k-$100k","$100k+")))))</x:f>
        <x:v>$100k+</x:v>
      </x:c>
      <x:c r="P130" t="str">
        <x:f>IF(E130="","Unknown",IF(E130&lt;10,"&lt;10",IF(E130&lt;20,"10-&lt;20",IF(E130&lt;25,"20-&lt;25",IF(E130&lt;35,"25-&lt;35","35+")))))</x:f>
        <x:v>25-&lt;35</x:v>
      </x:c>
    </x:row>
    <x:row r="131">
      <x:c r="A131" t="str">
        <x:v>SYN0000130</x:v>
      </x:c>
      <x:c r="B131" s="12" t="n">
        <x:v>41395</x:v>
      </x:c>
      <x:c r="C131" s="18" t="n">
        <x:v>7335</x:v>
      </x:c>
      <x:c r="D131" s="18" t="n">
        <x:v>45948</x:v>
      </x:c>
      <x:c r="E131" s="18" t="n">
        <x:v>36.64</x:v>
      </x:c>
      <x:c r="F131" s="18" t="n">
        <x:v>25.29</x:v>
      </x:c>
      <x:c r="G131" t="n">
        <x:v>60</x:v>
      </x:c>
      <x:c r="H131" t="str">
        <x:v>G</x:v>
      </x:c>
      <x:c r="I131" t="str">
        <x:v>10+ years</x:v>
      </x:c>
      <x:c r="J131" t="str">
        <x:v>MORTGAGE</x:v>
      </x:c>
      <x:c r="K131" t="str">
        <x:v>home_improvement</x:v>
      </x:c>
      <x:c r="L131" t="n">
        <x:v>1</x:v>
      </x:c>
      <x:c r="M131" t="n">
        <x:v>1</x:v>
      </x:c>
      <x:c r="N131" t="str">
        <x:v>Charged Off</x:v>
      </x:c>
      <x:c r="O131" t="str">
        <x:f>IF(D131="","Unknown",IF(D131&lt;25000,"&lt;$25k",IF(D131&lt;50000,"$25k-$50k",IF(D131&lt;75000,"$50k-$75k",IF(D131&lt;100000,"$75k-$100k","$100k+")))))</x:f>
        <x:v>$25k-$50k</x:v>
      </x:c>
      <x:c r="P131" t="str">
        <x:f>IF(E131="","Unknown",IF(E131&lt;10,"&lt;10",IF(E131&lt;20,"10-&lt;20",IF(E131&lt;25,"20-&lt;25",IF(E131&lt;35,"25-&lt;35","35+")))))</x:f>
        <x:v>35+</x:v>
      </x:c>
    </x:row>
    <x:row r="132">
      <x:c r="A132" t="str">
        <x:v>SYN0000131</x:v>
      </x:c>
      <x:c r="B132" s="12" t="n">
        <x:v>41455</x:v>
      </x:c>
      <x:c r="C132" s="18" t="n">
        <x:v>12798</x:v>
      </x:c>
      <x:c r="D132" s="18" t="n">
        <x:v>17089</x:v>
      </x:c>
      <x:c r="E132" s="18" t="n">
        <x:v>23.69</x:v>
      </x:c>
      <x:c r="F132" s="18" t="n">
        <x:v>11.79</x:v>
      </x:c>
      <x:c r="G132" t="n">
        <x:v>36</x:v>
      </x:c>
      <x:c r="H132" t="str">
        <x:v>C</x:v>
      </x:c>
      <x:c r="I132" t="str">
        <x:v>10+ years</x:v>
      </x:c>
      <x:c r="J132" t="str">
        <x:v>RENT</x:v>
      </x:c>
      <x:c r="K132" t="str">
        <x:v>debt_consolidation</x:v>
      </x:c>
      <x:c r="L132" t="n">
        <x:v>0</x:v>
      </x:c>
      <x:c r="M132" t="n">
        <x:v>0</x:v>
      </x:c>
      <x:c r="N132" t="str">
        <x:v>Fully Paid</x:v>
      </x:c>
      <x:c r="O132" t="str">
        <x:f>IF(D132="","Unknown",IF(D132&lt;25000,"&lt;$25k",IF(D132&lt;50000,"$25k-$50k",IF(D132&lt;75000,"$50k-$75k",IF(D132&lt;100000,"$75k-$100k","$100k+")))))</x:f>
        <x:v>&lt;$25k</x:v>
      </x:c>
      <x:c r="P132" t="str">
        <x:f>IF(E132="","Unknown",IF(E132&lt;10,"&lt;10",IF(E132&lt;20,"10-&lt;20",IF(E132&lt;25,"20-&lt;25",IF(E132&lt;35,"25-&lt;35","35+")))))</x:f>
        <x:v>20-&lt;25</x:v>
      </x:c>
    </x:row>
    <x:row r="133">
      <x:c r="A133" t="str">
        <x:v>SYN0000132</x:v>
      </x:c>
      <x:c r="B133" s="12" t="n">
        <x:v>41935</x:v>
      </x:c>
      <x:c r="C133" s="18" t="n">
        <x:v>9207</x:v>
      </x:c>
      <x:c r="D133" s="18" t="n">
        <x:v>241731</x:v>
      </x:c>
      <x:c r="E133" s="18" t="n">
        <x:v>11.99</x:v>
      </x:c>
      <x:c r="F133" s="18" t="n">
        <x:v>19.51</x:v>
      </x:c>
      <x:c r="G133" t="n">
        <x:v>36</x:v>
      </x:c>
      <x:c r="H133" t="str">
        <x:v>E</x:v>
      </x:c>
      <x:c r="I133" t="str">
        <x:v>4-6 years</x:v>
      </x:c>
      <x:c r="J133" t="str">
        <x:v>MORTGAGE</x:v>
      </x:c>
      <x:c r="K133" t="str">
        <x:v>home_improvement</x:v>
      </x:c>
      <x:c r="L133" t="n">
        <x:v>1</x:v>
      </x:c>
      <x:c r="M133" t="n">
        <x:v>0</x:v>
      </x:c>
      <x:c r="N133" t="str">
        <x:v>Fully Paid</x:v>
      </x:c>
      <x:c r="O133" t="str">
        <x:f>IF(D133="","Unknown",IF(D133&lt;25000,"&lt;$25k",IF(D133&lt;50000,"$25k-$50k",IF(D133&lt;75000,"$50k-$75k",IF(D133&lt;100000,"$75k-$100k","$100k+")))))</x:f>
        <x:v>$100k+</x:v>
      </x:c>
      <x:c r="P133" t="str">
        <x:f>IF(E133="","Unknown",IF(E133&lt;10,"&lt;10",IF(E133&lt;20,"10-&lt;20",IF(E133&lt;25,"20-&lt;25",IF(E133&lt;35,"25-&lt;35","35+")))))</x:f>
        <x:v>10-&lt;20</x:v>
      </x:c>
    </x:row>
    <x:row r="134">
      <x:c r="A134" t="str">
        <x:v>SYN0000133</x:v>
      </x:c>
      <x:c r="B134" s="12" t="n">
        <x:v>42985</x:v>
      </x:c>
      <x:c r="C134" s="18" t="n">
        <x:v>12544</x:v>
      </x:c>
      <x:c r="D134" s="18" t="n">
        <x:v>72960</x:v>
      </x:c>
      <x:c r="E134" s="18" t="n">
        <x:v>8.08</x:v>
      </x:c>
      <x:c r="F134" s="18" t="n">
        <x:v>5.2</x:v>
      </x:c>
      <x:c r="G134" t="n">
        <x:v>36</x:v>
      </x:c>
      <x:c r="H134" t="str">
        <x:v>A</x:v>
      </x:c>
      <x:c r="I134" t="str">
        <x:v>10+ years</x:v>
      </x:c>
      <x:c r="J134" t="str">
        <x:v>RENT</x:v>
      </x:c>
      <x:c r="K134" t="str">
        <x:v>other</x:v>
      </x:c>
      <x:c r="L134" t="n">
        <x:v>1</x:v>
      </x:c>
      <x:c r="M134" t="n">
        <x:v>0</x:v>
      </x:c>
      <x:c r="N134" t="str">
        <x:v>Fully Paid</x:v>
      </x:c>
      <x:c r="O134" t="str">
        <x:f>IF(D134="","Unknown",IF(D134&lt;25000,"&lt;$25k",IF(D134&lt;50000,"$25k-$50k",IF(D134&lt;75000,"$50k-$75k",IF(D134&lt;100000,"$75k-$100k","$100k+")))))</x:f>
        <x:v>$50k-$75k</x:v>
      </x:c>
      <x:c r="P134" t="str">
        <x:f>IF(E134="","Unknown",IF(E134&lt;10,"&lt;10",IF(E134&lt;20,"10-&lt;20",IF(E134&lt;25,"20-&lt;25",IF(E134&lt;35,"25-&lt;35","35+")))))</x:f>
        <x:v>&lt;10</x:v>
      </x:c>
    </x:row>
    <x:row r="135">
      <x:c r="A135" t="str">
        <x:v>SYN0000134</x:v>
      </x:c>
      <x:c r="B135" s="12" t="n">
        <x:v>42025</x:v>
      </x:c>
      <x:c r="C135" s="18" t="n">
        <x:v>15141</x:v>
      </x:c>
      <x:c r="D135" s="18" t="n">
        <x:v>64546</x:v>
      </x:c>
      <x:c r="E135" s="18" t="n">
        <x:v>42.46</x:v>
      </x:c>
      <x:c r="F135" s="18" t="n">
        <x:v>11.59</x:v>
      </x:c>
      <x:c r="G135" t="n">
        <x:v>36</x:v>
      </x:c>
      <x:c r="H135" t="str">
        <x:v>C</x:v>
      </x:c>
      <x:c r="I135" t="str">
        <x:v>4-6 years</x:v>
      </x:c>
      <x:c r="J135" t="str">
        <x:v>MORTGAGE</x:v>
      </x:c>
      <x:c r="K135" t="str">
        <x:v>credit_card</x:v>
      </x:c>
      <x:c r="L135" t="n">
        <x:v>1</x:v>
      </x:c>
      <x:c r="M135" t="n">
        <x:v>0</x:v>
      </x:c>
      <x:c r="N135" t="str">
        <x:v>Fully Paid</x:v>
      </x:c>
      <x:c r="O135" t="str">
        <x:f>IF(D135="","Unknown",IF(D135&lt;25000,"&lt;$25k",IF(D135&lt;50000,"$25k-$50k",IF(D135&lt;75000,"$50k-$75k",IF(D135&lt;100000,"$75k-$100k","$100k+")))))</x:f>
        <x:v>$50k-$75k</x:v>
      </x:c>
      <x:c r="P135" t="str">
        <x:f>IF(E135="","Unknown",IF(E135&lt;10,"&lt;10",IF(E135&lt;20,"10-&lt;20",IF(E135&lt;25,"20-&lt;25",IF(E135&lt;35,"25-&lt;35","35+")))))</x:f>
        <x:v>35+</x:v>
      </x:c>
    </x:row>
    <x:row r="136">
      <x:c r="A136" t="str">
        <x:v>SYN0000135</x:v>
      </x:c>
      <x:c r="B136" s="12" t="n">
        <x:v>43345</x:v>
      </x:c>
      <x:c r="C136" s="18" t="n">
        <x:v>10311</x:v>
      </x:c>
      <x:c r="D136" s="18" t="n">
        <x:v>37561</x:v>
      </x:c>
      <x:c r="E136" s="18" t="n">
        <x:v>14.04</x:v>
      </x:c>
      <x:c r="F136" s="18" t="n">
        <x:v>8.39</x:v>
      </x:c>
      <x:c r="G136" t="n">
        <x:v>36</x:v>
      </x:c>
      <x:c r="H136" t="str">
        <x:v>B</x:v>
      </x:c>
      <x:c r="I136" t="str">
        <x:v>4-6 years</x:v>
      </x:c>
      <x:c r="J136" t="str">
        <x:v>MORTGAGE</x:v>
      </x:c>
      <x:c r="K136" t="str">
        <x:v>debt_consolidation</x:v>
      </x:c>
      <x:c r="L136" t="n">
        <x:v>0</x:v>
      </x:c>
      <x:c r="M136" t="n">
        <x:v>0</x:v>
      </x:c>
      <x:c r="N136" t="str">
        <x:v>Fully Paid</x:v>
      </x:c>
      <x:c r="O136" t="str">
        <x:f>IF(D136="","Unknown",IF(D136&lt;25000,"&lt;$25k",IF(D136&lt;50000,"$25k-$50k",IF(D136&lt;75000,"$50k-$75k",IF(D136&lt;100000,"$75k-$100k","$100k+")))))</x:f>
        <x:v>$25k-$50k</x:v>
      </x:c>
      <x:c r="P136" t="str">
        <x:f>IF(E136="","Unknown",IF(E136&lt;10,"&lt;10",IF(E136&lt;20,"10-&lt;20",IF(E136&lt;25,"20-&lt;25",IF(E136&lt;35,"25-&lt;35","35+")))))</x:f>
        <x:v>10-&lt;20</x:v>
      </x:c>
    </x:row>
    <x:row r="137">
      <x:c r="A137" t="str">
        <x:v>SYN0000136</x:v>
      </x:c>
      <x:c r="B137" s="12" t="n">
        <x:v>41695</x:v>
      </x:c>
      <x:c r="C137" s="18" t="n">
        <x:v>13046</x:v>
      </x:c>
      <x:c r="D137" s="18" t="n">
        <x:v>28543</x:v>
      </x:c>
      <x:c r="E137" s="18" t="n">
        <x:v>30.76</x:v>
      </x:c>
      <x:c r="F137" s="18" t="n">
        <x:v>9</x:v>
      </x:c>
      <x:c r="G137" t="n">
        <x:v>36</x:v>
      </x:c>
      <x:c r="H137" t="str">
        <x:v>A</x:v>
      </x:c>
      <x:c r="I137" t="str">
        <x:v>4-6 years</x:v>
      </x:c>
      <x:c r="J137" t="str">
        <x:v>MORTGAGE</x:v>
      </x:c>
      <x:c r="K137" t="str">
        <x:v>home_improvement</x:v>
      </x:c>
      <x:c r="L137" t="n">
        <x:v>0</x:v>
      </x:c>
      <x:c r="M137" t="n">
        <x:v>0</x:v>
      </x:c>
      <x:c r="N137" t="str">
        <x:v>Fully Paid</x:v>
      </x:c>
      <x:c r="O137" t="str">
        <x:f>IF(D137="","Unknown",IF(D137&lt;25000,"&lt;$25k",IF(D137&lt;50000,"$25k-$50k",IF(D137&lt;75000,"$50k-$75k",IF(D137&lt;100000,"$75k-$100k","$100k+")))))</x:f>
        <x:v>$25k-$50k</x:v>
      </x:c>
      <x:c r="P137" t="str">
        <x:f>IF(E137="","Unknown",IF(E137&lt;10,"&lt;10",IF(E137&lt;20,"10-&lt;20",IF(E137&lt;25,"20-&lt;25",IF(E137&lt;35,"25-&lt;35","35+")))))</x:f>
        <x:v>25-&lt;35</x:v>
      </x:c>
    </x:row>
    <x:row r="138">
      <x:c r="A138" t="str">
        <x:v>SYN0000137</x:v>
      </x:c>
      <x:c r="B138" s="12" t="n">
        <x:v>42595</x:v>
      </x:c>
      <x:c r="C138" s="18" t="n">
        <x:v>14513</x:v>
      </x:c>
      <x:c r="D138" s="18" t="n">
        <x:v>33341</x:v>
      </x:c>
      <x:c r="E138" s="18" t="n">
        <x:v>29.92</x:v>
      </x:c>
      <x:c r="F138" s="18" t="n">
        <x:v>16.21</x:v>
      </x:c>
      <x:c r="G138" t="n">
        <x:v>60</x:v>
      </x:c>
      <x:c r="H138" t="str">
        <x:v>E</x:v>
      </x:c>
      <x:c r="I138" t="str">
        <x:v>7-9 years</x:v>
      </x:c>
      <x:c r="J138" t="str">
        <x:v>MORTGAGE</x:v>
      </x:c>
      <x:c r="K138" t="str">
        <x:v>home_improvement</x:v>
      </x:c>
      <x:c r="L138" t="n">
        <x:v>0</x:v>
      </x:c>
      <x:c r="M138" t="n">
        <x:v>0</x:v>
      </x:c>
      <x:c r="N138" t="str">
        <x:v>Fully Paid</x:v>
      </x:c>
      <x:c r="O138" t="str">
        <x:f>IF(D138="","Unknown",IF(D138&lt;25000,"&lt;$25k",IF(D138&lt;50000,"$25k-$50k",IF(D138&lt;75000,"$50k-$75k",IF(D138&lt;100000,"$75k-$100k","$100k+")))))</x:f>
        <x:v>$25k-$50k</x:v>
      </x:c>
      <x:c r="P138" t="str">
        <x:f>IF(E138="","Unknown",IF(E138&lt;10,"&lt;10",IF(E138&lt;20,"10-&lt;20",IF(E138&lt;25,"20-&lt;25",IF(E138&lt;35,"25-&lt;35","35+")))))</x:f>
        <x:v>25-&lt;35</x:v>
      </x:c>
    </x:row>
    <x:row r="139">
      <x:c r="A139" t="str">
        <x:v>SYN0000138</x:v>
      </x:c>
      <x:c r="B139" s="12" t="n">
        <x:v>41695</x:v>
      </x:c>
      <x:c r="C139" s="18" t="n">
        <x:v>11706</x:v>
      </x:c>
      <x:c r="D139" s="18" t="n">
        <x:v>37658</x:v>
      </x:c>
      <x:c r="E139" s="18" t="n">
        <x:v>29.44</x:v>
      </x:c>
      <x:c r="F139" s="18" t="n">
        <x:v>12.03</x:v>
      </x:c>
      <x:c r="G139" t="n">
        <x:v>36</x:v>
      </x:c>
      <x:c r="H139" t="str">
        <x:v>C</x:v>
      </x:c>
      <x:c r="I139" t="str">
        <x:v>10+ years</x:v>
      </x:c>
      <x:c r="J139" t="str">
        <x:v>MORTGAGE</x:v>
      </x:c>
      <x:c r="K139" t="str">
        <x:v>home_improvement</x:v>
      </x:c>
      <x:c r="L139" t="n">
        <x:v>0</x:v>
      </x:c>
      <x:c r="M139" t="n">
        <x:v>0</x:v>
      </x:c>
      <x:c r="N139" t="str">
        <x:v>Fully Paid</x:v>
      </x:c>
      <x:c r="O139" t="str">
        <x:f>IF(D139="","Unknown",IF(D139&lt;25000,"&lt;$25k",IF(D139&lt;50000,"$25k-$50k",IF(D139&lt;75000,"$50k-$75k",IF(D139&lt;100000,"$75k-$100k","$100k+")))))</x:f>
        <x:v>$25k-$50k</x:v>
      </x:c>
      <x:c r="P139" t="str">
        <x:f>IF(E139="","Unknown",IF(E139&lt;10,"&lt;10",IF(E139&lt;20,"10-&lt;20",IF(E139&lt;25,"20-&lt;25",IF(E139&lt;35,"25-&lt;35","35+")))))</x:f>
        <x:v>25-&lt;35</x:v>
      </x:c>
    </x:row>
    <x:row r="140">
      <x:c r="A140" t="str">
        <x:v>SYN0000139</x:v>
      </x:c>
      <x:c r="B140" s="12" t="n">
        <x:v>42505</x:v>
      </x:c>
      <x:c r="C140" s="18" t="n">
        <x:v>22698</x:v>
      </x:c>
      <x:c r="D140" s="18" t="n">
        <x:v>46188</x:v>
      </x:c>
      <x:c r="E140" s="18" t="n">
        <x:v>24.12</x:v>
      </x:c>
      <x:c r="F140" s="18" t="n">
        <x:v>5.03</x:v>
      </x:c>
      <x:c r="G140" t="n">
        <x:v>36</x:v>
      </x:c>
      <x:c r="H140" t="str">
        <x:v>A</x:v>
      </x:c>
      <x:c r="I140" t="str">
        <x:v>10+ years</x:v>
      </x:c>
      <x:c r="J140" t="str">
        <x:v>RENT</x:v>
      </x:c>
      <x:c r="K140" t="str">
        <x:v>debt_consolidation</x:v>
      </x:c>
      <x:c r="L140" t="n">
        <x:v>0</x:v>
      </x:c>
      <x:c r="M140" t="n">
        <x:v>0</x:v>
      </x:c>
      <x:c r="N140" t="str">
        <x:v>Fully Paid</x:v>
      </x:c>
      <x:c r="O140" t="str">
        <x:f>IF(D140="","Unknown",IF(D140&lt;25000,"&lt;$25k",IF(D140&lt;50000,"$25k-$50k",IF(D140&lt;75000,"$50k-$75k",IF(D140&lt;100000,"$75k-$100k","$100k+")))))</x:f>
        <x:v>$25k-$50k</x:v>
      </x:c>
      <x:c r="P140" t="str">
        <x:f>IF(E140="","Unknown",IF(E140&lt;10,"&lt;10",IF(E140&lt;20,"10-&lt;20",IF(E140&lt;25,"20-&lt;25",IF(E140&lt;35,"25-&lt;35","35+")))))</x:f>
        <x:v>20-&lt;25</x:v>
      </x:c>
    </x:row>
    <x:row r="141">
      <x:c r="A141" t="str">
        <x:v>SYN0000140</x:v>
      </x:c>
      <x:c r="B141" s="12" t="n">
        <x:v>42715</x:v>
      </x:c>
      <x:c r="C141" s="18" t="n">
        <x:v>10914</x:v>
      </x:c>
      <x:c r="D141" s="18" t="n">
        <x:v>25486</x:v>
      </x:c>
      <x:c r="E141" s="18" t="n">
        <x:v>18.59</x:v>
      </x:c>
      <x:c r="F141" s="18" t="n">
        <x:v>21.1</x:v>
      </x:c>
      <x:c r="G141" t="n">
        <x:v>60</x:v>
      </x:c>
      <x:c r="H141" t="str">
        <x:v>F</x:v>
      </x:c>
      <x:c r="I141" t="str">
        <x:v>10+ years</x:v>
      </x:c>
      <x:c r="J141" t="str">
        <x:v>MORTGAGE</x:v>
      </x:c>
      <x:c r="K141" t="str">
        <x:v>debt_consolidation</x:v>
      </x:c>
      <x:c r="L141" t="n">
        <x:v>2</x:v>
      </x:c>
      <x:c r="M141" t="n">
        <x:v>0</x:v>
      </x:c>
      <x:c r="N141" t="str">
        <x:v>Fully Paid</x:v>
      </x:c>
      <x:c r="O141" t="str">
        <x:f>IF(D141="","Unknown",IF(D141&lt;25000,"&lt;$25k",IF(D141&lt;50000,"$25k-$50k",IF(D141&lt;75000,"$50k-$75k",IF(D141&lt;100000,"$75k-$100k","$100k+")))))</x:f>
        <x:v>$25k-$50k</x:v>
      </x:c>
      <x:c r="P141" t="str">
        <x:f>IF(E141="","Unknown",IF(E141&lt;10,"&lt;10",IF(E141&lt;20,"10-&lt;20",IF(E141&lt;25,"20-&lt;25",IF(E141&lt;35,"25-&lt;35","35+")))))</x:f>
        <x:v>10-&lt;20</x:v>
      </x:c>
    </x:row>
    <x:row r="142">
      <x:c r="A142" t="str">
        <x:v>SYN0000141</x:v>
      </x:c>
      <x:c r="B142" s="12" t="n">
        <x:v>41575</x:v>
      </x:c>
      <x:c r="C142" s="18" t="n">
        <x:v>12385</x:v>
      </x:c>
      <x:c r="D142" s="18" t="n">
        <x:v>35841</x:v>
      </x:c>
      <x:c r="E142" s="18" t="n">
        <x:v>0</x:v>
      </x:c>
      <x:c r="F142" s="18" t="n">
        <x:v>14.36</x:v>
      </x:c>
      <x:c r="G142" t="n">
        <x:v>36</x:v>
      </x:c>
      <x:c r="H142" t="str">
        <x:v>C</x:v>
      </x:c>
      <x:c r="I142" t="str">
        <x:v>10+ years</x:v>
      </x:c>
      <x:c r="J142" t="str">
        <x:v>RENT</x:v>
      </x:c>
      <x:c r="K142" t="str">
        <x:v>credit_card</x:v>
      </x:c>
      <x:c r="L142" t="n">
        <x:v>0</x:v>
      </x:c>
      <x:c r="M142" t="n">
        <x:v>0</x:v>
      </x:c>
      <x:c r="N142" t="str">
        <x:v>Fully Paid</x:v>
      </x:c>
      <x:c r="O142" t="str">
        <x:f>IF(D142="","Unknown",IF(D142&lt;25000,"&lt;$25k",IF(D142&lt;50000,"$25k-$50k",IF(D142&lt;75000,"$50k-$75k",IF(D142&lt;100000,"$75k-$100k","$100k+")))))</x:f>
        <x:v>$25k-$50k</x:v>
      </x:c>
      <x:c r="P142" t="str">
        <x:f>IF(E142="","Unknown",IF(E142&lt;10,"&lt;10",IF(E142&lt;20,"10-&lt;20",IF(E142&lt;25,"20-&lt;25",IF(E142&lt;35,"25-&lt;35","35+")))))</x:f>
        <x:v>Unknown</x:v>
      </x:c>
    </x:row>
    <x:row r="143">
      <x:c r="A143" t="str">
        <x:v>SYN0000142</x:v>
      </x:c>
      <x:c r="B143" s="12" t="n">
        <x:v>41485</x:v>
      </x:c>
      <x:c r="C143" s="18" t="n">
        <x:v>16933</x:v>
      </x:c>
      <x:c r="D143" s="18" t="n">
        <x:v>87486</x:v>
      </x:c>
      <x:c r="E143" s="18" t="n">
        <x:v>9.13</x:v>
      </x:c>
      <x:c r="F143" s="18" t="n">
        <x:v>13.64</x:v>
      </x:c>
      <x:c r="G143" t="n">
        <x:v>36</x:v>
      </x:c>
      <x:c r="H143" t="str">
        <x:v>D</x:v>
      </x:c>
      <x:c r="I143" t="str">
        <x:v>1-3 years</x:v>
      </x:c>
      <x:c r="J143" t="str">
        <x:v>MORTGAGE</x:v>
      </x:c>
      <x:c r="K143" t="str">
        <x:v>other</x:v>
      </x:c>
      <x:c r="L143" t="n">
        <x:v>0</x:v>
      </x:c>
      <x:c r="M143" t="n">
        <x:v>1</x:v>
      </x:c>
      <x:c r="N143" t="str">
        <x:v>Charged Off</x:v>
      </x:c>
      <x:c r="O143" t="str">
        <x:f>IF(D143="","Unknown",IF(D143&lt;25000,"&lt;$25k",IF(D143&lt;50000,"$25k-$50k",IF(D143&lt;75000,"$50k-$75k",IF(D143&lt;100000,"$75k-$100k","$100k+")))))</x:f>
        <x:v>$75k-$100k</x:v>
      </x:c>
      <x:c r="P143" t="str">
        <x:f>IF(E143="","Unknown",IF(E143&lt;10,"&lt;10",IF(E143&lt;20,"10-&lt;20",IF(E143&lt;25,"20-&lt;25",IF(E143&lt;35,"25-&lt;35","35+")))))</x:f>
        <x:v>&lt;10</x:v>
      </x:c>
    </x:row>
    <x:row r="144">
      <x:c r="A144" t="str">
        <x:v>SYN0000143</x:v>
      </x:c>
      <x:c r="B144" s="12" t="n">
        <x:v>43405</x:v>
      </x:c>
      <x:c r="C144" s="18" t="n">
        <x:v>19828</x:v>
      </x:c>
      <x:c r="D144" s="18" t="n">
        <x:v>37218</x:v>
      </x:c>
      <x:c r="E144" s="18" t="n">
        <x:v>24.38</x:v>
      </x:c>
      <x:c r="F144" s="18" t="n">
        <x:v>17.57</x:v>
      </x:c>
      <x:c r="G144" t="n">
        <x:v>60</x:v>
      </x:c>
      <x:c r="H144" t="str">
        <x:v>E</x:v>
      </x:c>
      <x:c r="I144" t="str">
        <x:v>1-3 years</x:v>
      </x:c>
      <x:c r="J144" t="str">
        <x:v>MORTGAGE</x:v>
      </x:c>
      <x:c r="K144" t="str">
        <x:v>other</x:v>
      </x:c>
      <x:c r="L144" t="n">
        <x:v>0</x:v>
      </x:c>
      <x:c r="M144" t="n">
        <x:v>0</x:v>
      </x:c>
      <x:c r="N144" t="str">
        <x:v>Fully Paid</x:v>
      </x:c>
      <x:c r="O144" t="str">
        <x:f>IF(D144="","Unknown",IF(D144&lt;25000,"&lt;$25k",IF(D144&lt;50000,"$25k-$50k",IF(D144&lt;75000,"$50k-$75k",IF(D144&lt;100000,"$75k-$100k","$100k+")))))</x:f>
        <x:v>$25k-$50k</x:v>
      </x:c>
      <x:c r="P144" t="str">
        <x:f>IF(E144="","Unknown",IF(E144&lt;10,"&lt;10",IF(E144&lt;20,"10-&lt;20",IF(E144&lt;25,"20-&lt;25",IF(E144&lt;35,"25-&lt;35","35+")))))</x:f>
        <x:v>20-&lt;25</x:v>
      </x:c>
    </x:row>
    <x:row r="145">
      <x:c r="A145" t="str">
        <x:v>SYN0000144</x:v>
      </x:c>
      <x:c r="B145" s="12" t="n">
        <x:v>41725</x:v>
      </x:c>
      <x:c r="C145" s="18" t="n">
        <x:v>11341</x:v>
      </x:c>
      <x:c r="D145" s="18" t="n">
        <x:v>12662</x:v>
      </x:c>
      <x:c r="E145" s="18" t="n">
        <x:v>23.09</x:v>
      </x:c>
      <x:c r="F145" s="18" t="n">
        <x:v>9.9</x:v>
      </x:c>
      <x:c r="G145" t="n">
        <x:v>60</x:v>
      </x:c>
      <x:c r="H145" t="str">
        <x:v>C</x:v>
      </x:c>
      <x:c r="I145" t="str">
        <x:v>4-6 years</x:v>
      </x:c>
      <x:c r="J145" t="str">
        <x:v>MORTGAGE</x:v>
      </x:c>
      <x:c r="K145" t="str">
        <x:v>debt_consolidation</x:v>
      </x:c>
      <x:c r="L145" t="n">
        <x:v>0</x:v>
      </x:c>
      <x:c r="M145" t="n">
        <x:v>0</x:v>
      </x:c>
      <x:c r="N145" t="str">
        <x:v>Fully Paid</x:v>
      </x:c>
      <x:c r="O145" t="str">
        <x:f>IF(D145="","Unknown",IF(D145&lt;25000,"&lt;$25k",IF(D145&lt;50000,"$25k-$50k",IF(D145&lt;75000,"$50k-$75k",IF(D145&lt;100000,"$75k-$100k","$100k+")))))</x:f>
        <x:v>&lt;$25k</x:v>
      </x:c>
      <x:c r="P145" t="str">
        <x:f>IF(E145="","Unknown",IF(E145&lt;10,"&lt;10",IF(E145&lt;20,"10-&lt;20",IF(E145&lt;25,"20-&lt;25",IF(E145&lt;35,"25-&lt;35","35+")))))</x:f>
        <x:v>20-&lt;25</x:v>
      </x:c>
    </x:row>
    <x:row r="146">
      <x:c r="A146" t="str">
        <x:v>SYN0000145</x:v>
      </x:c>
      <x:c r="B146" s="12" t="n">
        <x:v>42805</x:v>
      </x:c>
      <x:c r="C146" s="18" t="n">
        <x:v>14511</x:v>
      </x:c>
      <x:c r="D146" s="18" t="n">
        <x:v>25200</x:v>
      </x:c>
      <x:c r="E146" s="18" t="n">
        <x:v>24.19</x:v>
      </x:c>
      <x:c r="F146" s="18" t="n">
        <x:v>9.41</x:v>
      </x:c>
      <x:c r="G146" t="n">
        <x:v>36</x:v>
      </x:c>
      <x:c r="H146" t="str">
        <x:v>C</x:v>
      </x:c>
      <x:c r="I146" t="str">
        <x:v>4-6 years</x:v>
      </x:c>
      <x:c r="J146" t="str">
        <x:v>MORTGAGE</x:v>
      </x:c>
      <x:c r="K146" t="str">
        <x:v>debt_consolidation</x:v>
      </x:c>
      <x:c r="L146" t="n">
        <x:v>0</x:v>
      </x:c>
      <x:c r="M146" t="n">
        <x:v>0</x:v>
      </x:c>
      <x:c r="N146" t="str">
        <x:v>Fully Paid</x:v>
      </x:c>
      <x:c r="O146" t="str">
        <x:f>IF(D146="","Unknown",IF(D146&lt;25000,"&lt;$25k",IF(D146&lt;50000,"$25k-$50k",IF(D146&lt;75000,"$50k-$75k",IF(D146&lt;100000,"$75k-$100k","$100k+")))))</x:f>
        <x:v>$25k-$50k</x:v>
      </x:c>
      <x:c r="P146" t="str">
        <x:f>IF(E146="","Unknown",IF(E146&lt;10,"&lt;10",IF(E146&lt;20,"10-&lt;20",IF(E146&lt;25,"20-&lt;25",IF(E146&lt;35,"25-&lt;35","35+")))))</x:f>
        <x:v>20-&lt;25</x:v>
      </x:c>
    </x:row>
    <x:row r="147">
      <x:c r="A147" t="str">
        <x:v>SYN0000146</x:v>
      </x:c>
      <x:c r="B147" s="12" t="n">
        <x:v>41905</x:v>
      </x:c>
      <x:c r="C147" s="18" t="n">
        <x:v>16169</x:v>
      </x:c>
      <x:c r="D147" s="18" t="n">
        <x:v>34690</x:v>
      </x:c>
      <x:c r="E147" s="18" t="n">
        <x:v>19.21</x:v>
      </x:c>
      <x:c r="F147" s="18" t="n">
        <x:v>10.75</x:v>
      </x:c>
      <x:c r="G147" t="n">
        <x:v>60</x:v>
      </x:c>
      <x:c r="H147" t="str">
        <x:v>C</x:v>
      </x:c>
      <x:c r="I147" t="str">
        <x:v>4-6 years</x:v>
      </x:c>
      <x:c r="J147" t="str">
        <x:v>RENT</x:v>
      </x:c>
      <x:c r="K147" t="str">
        <x:v>major_purchase</x:v>
      </x:c>
      <x:c r="L147" t="n">
        <x:v>1</x:v>
      </x:c>
      <x:c r="M147" t="n">
        <x:v>1</x:v>
      </x:c>
      <x:c r="N147" t="str">
        <x:v>Charged Off</x:v>
      </x:c>
      <x:c r="O147" t="str">
        <x:f>IF(D147="","Unknown",IF(D147&lt;25000,"&lt;$25k",IF(D147&lt;50000,"$25k-$50k",IF(D147&lt;75000,"$50k-$75k",IF(D147&lt;100000,"$75k-$100k","$100k+")))))</x:f>
        <x:v>$25k-$50k</x:v>
      </x:c>
      <x:c r="P147" t="str">
        <x:f>IF(E147="","Unknown",IF(E147&lt;10,"&lt;10",IF(E147&lt;20,"10-&lt;20",IF(E147&lt;25,"20-&lt;25",IF(E147&lt;35,"25-&lt;35","35+")))))</x:f>
        <x:v>10-&lt;20</x:v>
      </x:c>
    </x:row>
    <x:row r="148">
      <x:c r="A148" t="str">
        <x:v>SYN0000147</x:v>
      </x:c>
      <x:c r="B148" s="12" t="n">
        <x:v>41545</x:v>
      </x:c>
      <x:c r="C148" s="18" t="n">
        <x:v>20088</x:v>
      </x:c>
      <x:c r="D148" s="18" t="n">
        <x:v>54686</x:v>
      </x:c>
      <x:c r="E148" s="18" t="n">
        <x:v>32.91</x:v>
      </x:c>
      <x:c r="F148" s="18" t="n">
        <x:v>9.56</x:v>
      </x:c>
      <x:c r="G148" t="n">
        <x:v>36</x:v>
      </x:c>
      <x:c r="H148" t="str">
        <x:v>C</x:v>
      </x:c>
      <x:c r="I148" t="str">
        <x:v>&lt;1 year</x:v>
      </x:c>
      <x:c r="J148" t="str">
        <x:v>RENT</x:v>
      </x:c>
      <x:c r="K148" t="str">
        <x:v>credit_card</x:v>
      </x:c>
      <x:c r="L148" t="n">
        <x:v>0</x:v>
      </x:c>
      <x:c r="M148" t="n">
        <x:v>0</x:v>
      </x:c>
      <x:c r="N148" t="str">
        <x:v>Fully Paid</x:v>
      </x:c>
      <x:c r="O148" t="str">
        <x:f>IF(D148="","Unknown",IF(D148&lt;25000,"&lt;$25k",IF(D148&lt;50000,"$25k-$50k",IF(D148&lt;75000,"$50k-$75k",IF(D148&lt;100000,"$75k-$100k","$100k+")))))</x:f>
        <x:v>$50k-$75k</x:v>
      </x:c>
      <x:c r="P148" t="str">
        <x:f>IF(E148="","Unknown",IF(E148&lt;10,"&lt;10",IF(E148&lt;20,"10-&lt;20",IF(E148&lt;25,"20-&lt;25",IF(E148&lt;35,"25-&lt;35","35+")))))</x:f>
        <x:v>25-&lt;35</x:v>
      </x:c>
    </x:row>
    <x:row r="149">
      <x:c r="A149" t="str">
        <x:v>SYN0000148</x:v>
      </x:c>
      <x:c r="B149" s="12" t="n">
        <x:v>42625</x:v>
      </x:c>
      <x:c r="C149" s="18" t="n">
        <x:v>15054</x:v>
      </x:c>
      <x:c r="D149" s="18" t="n">
        <x:v>24667</x:v>
      </x:c>
      <x:c r="E149" s="18" t="n">
        <x:v>10.19</x:v>
      </x:c>
      <x:c r="F149" s="18" t="n">
        <x:v>15.39</x:v>
      </x:c>
      <x:c r="G149" t="n">
        <x:v>60</x:v>
      </x:c>
      <x:c r="H149" t="str">
        <x:v>D</x:v>
      </x:c>
      <x:c r="I149" t="str">
        <x:v>10+ years</x:v>
      </x:c>
      <x:c r="J149" t="str">
        <x:v>RENT</x:v>
      </x:c>
      <x:c r="K149" t="str">
        <x:v>debt_consolidation</x:v>
      </x:c>
      <x:c r="L149" t="n">
        <x:v>1</x:v>
      </x:c>
      <x:c r="M149" t="n">
        <x:v>0</x:v>
      </x:c>
      <x:c r="N149" t="str">
        <x:v>Fully Paid</x:v>
      </x:c>
      <x:c r="O149" t="str">
        <x:f>IF(D149="","Unknown",IF(D149&lt;25000,"&lt;$25k",IF(D149&lt;50000,"$25k-$50k",IF(D149&lt;75000,"$50k-$75k",IF(D149&lt;100000,"$75k-$100k","$100k+")))))</x:f>
        <x:v>&lt;$25k</x:v>
      </x:c>
      <x:c r="P149" t="str">
        <x:f>IF(E149="","Unknown",IF(E149&lt;10,"&lt;10",IF(E149&lt;20,"10-&lt;20",IF(E149&lt;25,"20-&lt;25",IF(E149&lt;35,"25-&lt;35","35+")))))</x:f>
        <x:v>10-&lt;20</x:v>
      </x:c>
    </x:row>
    <x:row r="150">
      <x:c r="A150" t="str">
        <x:v>SYN0000149</x:v>
      </x:c>
      <x:c r="B150" s="12" t="n">
        <x:v>41875</x:v>
      </x:c>
      <x:c r="C150" s="18" t="n">
        <x:v>40000</x:v>
      </x:c>
      <x:c r="D150" s="18" t="n">
        <x:v>57548</x:v>
      </x:c>
      <x:c r="E150" s="18" t="n">
        <x:v>15.43</x:v>
      </x:c>
      <x:c r="F150" s="18" t="n">
        <x:v>7.03</x:v>
      </x:c>
      <x:c r="G150" t="n">
        <x:v>36</x:v>
      </x:c>
      <x:c r="H150" t="str">
        <x:v>C</x:v>
      </x:c>
      <x:c r="I150" t="str">
        <x:v>1-3 years</x:v>
      </x:c>
      <x:c r="J150" t="str">
        <x:v>MORTGAGE</x:v>
      </x:c>
      <x:c r="K150" t="str">
        <x:v>debt_consolidation</x:v>
      </x:c>
      <x:c r="L150" t="n">
        <x:v>1</x:v>
      </x:c>
      <x:c r="M150" t="n">
        <x:v>0</x:v>
      </x:c>
      <x:c r="N150" t="str">
        <x:v>Fully Paid</x:v>
      </x:c>
      <x:c r="O150" t="str">
        <x:f>IF(D150="","Unknown",IF(D150&lt;25000,"&lt;$25k",IF(D150&lt;50000,"$25k-$50k",IF(D150&lt;75000,"$50k-$75k",IF(D150&lt;100000,"$75k-$100k","$100k+")))))</x:f>
        <x:v>$50k-$75k</x:v>
      </x:c>
      <x:c r="P150" t="str">
        <x:f>IF(E150="","Unknown",IF(E150&lt;10,"&lt;10",IF(E150&lt;20,"10-&lt;20",IF(E150&lt;25,"20-&lt;25",IF(E150&lt;35,"25-&lt;35","35+")))))</x:f>
        <x:v>10-&lt;20</x:v>
      </x:c>
    </x:row>
    <x:row r="151">
      <x:c r="A151" t="str">
        <x:v>SYN0000150</x:v>
      </x:c>
      <x:c r="B151" s="12" t="n">
        <x:v>42595</x:v>
      </x:c>
      <x:c r="C151" s="18" t="n">
        <x:v>18235</x:v>
      </x:c>
      <x:c r="D151" s="18" t="n">
        <x:v>142871</x:v>
      </x:c>
      <x:c r="E151" s="18" t="n">
        <x:v>33.77</x:v>
      </x:c>
      <x:c r="F151" s="18" t="n">
        <x:v>15.87</x:v>
      </x:c>
      <x:c r="G151" t="n">
        <x:v>60</x:v>
      </x:c>
      <x:c r="H151" t="str">
        <x:v>D</x:v>
      </x:c>
      <x:c r="I151" t="str">
        <x:v>&lt;1 year</x:v>
      </x:c>
      <x:c r="J151" t="str">
        <x:v>MORTGAGE</x:v>
      </x:c>
      <x:c r="K151" t="str">
        <x:v>debt_consolidation</x:v>
      </x:c>
      <x:c r="L151" t="n">
        <x:v>1</x:v>
      </x:c>
      <x:c r="M151" t="n">
        <x:v>0</x:v>
      </x:c>
      <x:c r="N151" t="str">
        <x:v>Fully Paid</x:v>
      </x:c>
      <x:c r="O151" t="str">
        <x:f>IF(D151="","Unknown",IF(D151&lt;25000,"&lt;$25k",IF(D151&lt;50000,"$25k-$50k",IF(D151&lt;75000,"$50k-$75k",IF(D151&lt;100000,"$75k-$100k","$100k+")))))</x:f>
        <x:v>$100k+</x:v>
      </x:c>
      <x:c r="P151" t="str">
        <x:f>IF(E151="","Unknown",IF(E151&lt;10,"&lt;10",IF(E151&lt;20,"10-&lt;20",IF(E151&lt;25,"20-&lt;25",IF(E151&lt;35,"25-&lt;35","35+")))))</x:f>
        <x:v>25-&lt;35</x:v>
      </x:c>
    </x:row>
    <x:row r="152">
      <x:c r="A152" t="str">
        <x:v>SYN0000151</x:v>
      </x:c>
      <x:c r="B152" s="12" t="n">
        <x:v>42625</x:v>
      </x:c>
      <x:c r="C152" s="18" t="n">
        <x:v>14482</x:v>
      </x:c>
      <x:c r="D152" s="18" t="n">
        <x:v>66499</x:v>
      </x:c>
      <x:c r="E152" s="18" t="n">
        <x:v>11.13</x:v>
      </x:c>
      <x:c r="F152" s="18" t="n">
        <x:v>9.82</x:v>
      </x:c>
      <x:c r="G152" t="n">
        <x:v>60</x:v>
      </x:c>
      <x:c r="H152" t="str">
        <x:v>B</x:v>
      </x:c>
      <x:c r="I152" t="str">
        <x:v>7-9 years</x:v>
      </x:c>
      <x:c r="J152" t="str">
        <x:v>MORTGAGE</x:v>
      </x:c>
      <x:c r="K152" t="str">
        <x:v>debt_consolidation</x:v>
      </x:c>
      <x:c r="L152" t="n">
        <x:v>0</x:v>
      </x:c>
      <x:c r="M152" t="n">
        <x:v>0</x:v>
      </x:c>
      <x:c r="N152" t="str">
        <x:v>Fully Paid</x:v>
      </x:c>
      <x:c r="O152" t="str">
        <x:f>IF(D152="","Unknown",IF(D152&lt;25000,"&lt;$25k",IF(D152&lt;50000,"$25k-$50k",IF(D152&lt;75000,"$50k-$75k",IF(D152&lt;100000,"$75k-$100k","$100k+")))))</x:f>
        <x:v>$50k-$75k</x:v>
      </x:c>
      <x:c r="P152" t="str">
        <x:f>IF(E152="","Unknown",IF(E152&lt;10,"&lt;10",IF(E152&lt;20,"10-&lt;20",IF(E152&lt;25,"20-&lt;25",IF(E152&lt;35,"25-&lt;35","35+")))))</x:f>
        <x:v>10-&lt;20</x:v>
      </x:c>
    </x:row>
    <x:row r="153">
      <x:c r="A153" t="str">
        <x:v>SYN0000152</x:v>
      </x:c>
      <x:c r="B153" s="12" t="n">
        <x:v>41275</x:v>
      </x:c>
      <x:c r="C153" s="18" t="n">
        <x:v>13724</x:v>
      </x:c>
      <x:c r="D153" s="18" t="n">
        <x:v>72706</x:v>
      </x:c>
      <x:c r="E153" s="18" t="n">
        <x:v>19.58</x:v>
      </x:c>
      <x:c r="F153" s="18" t="n">
        <x:v>7.84</x:v>
      </x:c>
      <x:c r="G153" t="n">
        <x:v>36</x:v>
      </x:c>
      <x:c r="H153" t="str">
        <x:v>A</x:v>
      </x:c>
      <x:c r="I153" t="str">
        <x:v>10+ years</x:v>
      </x:c>
      <x:c r="J153" t="str">
        <x:v>RENT</x:v>
      </x:c>
      <x:c r="K153" t="str">
        <x:v>credit_card</x:v>
      </x:c>
      <x:c r="L153" t="n">
        <x:v>0</x:v>
      </x:c>
      <x:c r="M153" t="n">
        <x:v>0</x:v>
      </x:c>
      <x:c r="N153" t="str">
        <x:v>Fully Paid</x:v>
      </x:c>
      <x:c r="O153" t="str">
        <x:f>IF(D153="","Unknown",IF(D153&lt;25000,"&lt;$25k",IF(D153&lt;50000,"$25k-$50k",IF(D153&lt;75000,"$50k-$75k",IF(D153&lt;100000,"$75k-$100k","$100k+")))))</x:f>
        <x:v>$50k-$75k</x:v>
      </x:c>
      <x:c r="P153" t="str">
        <x:f>IF(E153="","Unknown",IF(E153&lt;10,"&lt;10",IF(E153&lt;20,"10-&lt;20",IF(E153&lt;25,"20-&lt;25",IF(E153&lt;35,"25-&lt;35","35+")))))</x:f>
        <x:v>10-&lt;20</x:v>
      </x:c>
    </x:row>
    <x:row r="154">
      <x:c r="A154" t="str">
        <x:v>SYN0000153</x:v>
      </x:c>
      <x:c r="B154" s="12" t="n">
        <x:v>42835</x:v>
      </x:c>
      <x:c r="C154" s="18" t="n">
        <x:v>6062</x:v>
      </x:c>
      <x:c r="D154" s="18" t="n">
        <x:v>45864</x:v>
      </x:c>
      <x:c r="E154" s="18" t="n">
        <x:v>9.27</x:v>
      </x:c>
      <x:c r="F154" s="18" t="n">
        <x:v>14.78</x:v>
      </x:c>
      <x:c r="G154" t="n">
        <x:v>36</x:v>
      </x:c>
      <x:c r="H154" t="str">
        <x:v>D</x:v>
      </x:c>
      <x:c r="I154" t="str">
        <x:v>10+ years</x:v>
      </x:c>
      <x:c r="J154" t="str">
        <x:v>MORTGAGE</x:v>
      </x:c>
      <x:c r="K154" t="str">
        <x:v>debt_consolidation</x:v>
      </x:c>
      <x:c r="L154" t="n">
        <x:v>0</x:v>
      </x:c>
      <x:c r="M154" t="n">
        <x:v>0</x:v>
      </x:c>
      <x:c r="N154" t="str">
        <x:v>Fully Paid</x:v>
      </x:c>
      <x:c r="O154" t="str">
        <x:f>IF(D154="","Unknown",IF(D154&lt;25000,"&lt;$25k",IF(D154&lt;50000,"$25k-$50k",IF(D154&lt;75000,"$50k-$75k",IF(D154&lt;100000,"$75k-$100k","$100k+")))))</x:f>
        <x:v>$25k-$50k</x:v>
      </x:c>
      <x:c r="P154" t="str">
        <x:f>IF(E154="","Unknown",IF(E154&lt;10,"&lt;10",IF(E154&lt;20,"10-&lt;20",IF(E154&lt;25,"20-&lt;25",IF(E154&lt;35,"25-&lt;35","35+")))))</x:f>
        <x:v>&lt;10</x:v>
      </x:c>
    </x:row>
    <x:row r="155">
      <x:c r="A155" t="str">
        <x:v>SYN0000154</x:v>
      </x:c>
      <x:c r="B155" s="12" t="n">
        <x:v>42655</x:v>
      </x:c>
      <x:c r="C155" s="18" t="n">
        <x:v>27616</x:v>
      </x:c>
      <x:c r="D155" s="18" t="n">
        <x:v>51862</x:v>
      </x:c>
      <x:c r="E155" s="18" t="n">
        <x:v>13.95</x:v>
      </x:c>
      <x:c r="F155" s="18" t="n">
        <x:v>11.3</x:v>
      </x:c>
      <x:c r="G155" t="n">
        <x:v>36</x:v>
      </x:c>
      <x:c r="H155" t="str">
        <x:v>B</x:v>
      </x:c>
      <x:c r="I155" t="str">
        <x:v>4-6 years</x:v>
      </x:c>
      <x:c r="J155" t="str">
        <x:v>RENT</x:v>
      </x:c>
      <x:c r="K155" t="str">
        <x:v>credit_card</x:v>
      </x:c>
      <x:c r="L155" t="n">
        <x:v>0</x:v>
      </x:c>
      <x:c r="M155" t="n">
        <x:v>0</x:v>
      </x:c>
      <x:c r="N155" t="str">
        <x:v>Fully Paid</x:v>
      </x:c>
      <x:c r="O155" t="str">
        <x:f>IF(D155="","Unknown",IF(D155&lt;25000,"&lt;$25k",IF(D155&lt;50000,"$25k-$50k",IF(D155&lt;75000,"$50k-$75k",IF(D155&lt;100000,"$75k-$100k","$100k+")))))</x:f>
        <x:v>$50k-$75k</x:v>
      </x:c>
      <x:c r="P155" t="str">
        <x:f>IF(E155="","Unknown",IF(E155&lt;10,"&lt;10",IF(E155&lt;20,"10-&lt;20",IF(E155&lt;25,"20-&lt;25",IF(E155&lt;35,"25-&lt;35","35+")))))</x:f>
        <x:v>10-&lt;20</x:v>
      </x:c>
    </x:row>
    <x:row r="156">
      <x:c r="A156" t="str">
        <x:v>SYN0000155</x:v>
      </x:c>
      <x:c r="B156" s="12" t="n">
        <x:v>42055</x:v>
      </x:c>
      <x:c r="C156" s="18" t="n">
        <x:v>20219</x:v>
      </x:c>
      <x:c r="D156" s="18" t="n">
        <x:v>65821</x:v>
      </x:c>
      <x:c r="E156" s="18" t="n">
        <x:v>29.33</x:v>
      </x:c>
      <x:c r="F156" s="18" t="n">
        <x:v>13.89</x:v>
      </x:c>
      <x:c r="G156" t="n">
        <x:v>60</x:v>
      </x:c>
      <x:c r="H156" t="str">
        <x:v>D</x:v>
      </x:c>
      <x:c r="I156" t="str">
        <x:v>10+ years</x:v>
      </x:c>
      <x:c r="J156" t="str">
        <x:v>MORTGAGE</x:v>
      </x:c>
      <x:c r="K156" t="str">
        <x:v>debt_consolidation</x:v>
      </x:c>
      <x:c r="L156" t="n">
        <x:v>0</x:v>
      </x:c>
      <x:c r="M156" t="n">
        <x:v>1</x:v>
      </x:c>
      <x:c r="N156" t="str">
        <x:v>Charged Off</x:v>
      </x:c>
      <x:c r="O156" t="str">
        <x:f>IF(D156="","Unknown",IF(D156&lt;25000,"&lt;$25k",IF(D156&lt;50000,"$25k-$50k",IF(D156&lt;75000,"$50k-$75k",IF(D156&lt;100000,"$75k-$100k","$100k+")))))</x:f>
        <x:v>$50k-$75k</x:v>
      </x:c>
      <x:c r="P156" t="str">
        <x:f>IF(E156="","Unknown",IF(E156&lt;10,"&lt;10",IF(E156&lt;20,"10-&lt;20",IF(E156&lt;25,"20-&lt;25",IF(E156&lt;35,"25-&lt;35","35+")))))</x:f>
        <x:v>25-&lt;35</x:v>
      </x:c>
    </x:row>
    <x:row r="157">
      <x:c r="A157" t="str">
        <x:v>SYN0000156</x:v>
      </x:c>
      <x:c r="B157" s="12" t="n">
        <x:v>42805</x:v>
      </x:c>
      <x:c r="C157" s="18" t="n">
        <x:v>12952</x:v>
      </x:c>
      <x:c r="D157" s="18" t="n">
        <x:v>29701</x:v>
      </x:c>
      <x:c r="E157" s="18" t="n">
        <x:v>12.15</x:v>
      </x:c>
      <x:c r="F157" s="18" t="n">
        <x:v>9.6</x:v>
      </x:c>
      <x:c r="G157" t="n">
        <x:v>60</x:v>
      </x:c>
      <x:c r="H157" t="str">
        <x:v>A</x:v>
      </x:c>
      <x:c r="I157" t="str">
        <x:v>4-6 years</x:v>
      </x:c>
      <x:c r="J157" t="str">
        <x:v>MORTGAGE</x:v>
      </x:c>
      <x:c r="K157" t="str">
        <x:v>credit_card</x:v>
      </x:c>
      <x:c r="L157" t="n">
        <x:v>0</x:v>
      </x:c>
      <x:c r="M157" t="n">
        <x:v>0</x:v>
      </x:c>
      <x:c r="N157" t="str">
        <x:v>Fully Paid</x:v>
      </x:c>
      <x:c r="O157" t="str">
        <x:f>IF(D157="","Unknown",IF(D157&lt;25000,"&lt;$25k",IF(D157&lt;50000,"$25k-$50k",IF(D157&lt;75000,"$50k-$75k",IF(D157&lt;100000,"$75k-$100k","$100k+")))))</x:f>
        <x:v>$25k-$50k</x:v>
      </x:c>
      <x:c r="P157" t="str">
        <x:f>IF(E157="","Unknown",IF(E157&lt;10,"&lt;10",IF(E157&lt;20,"10-&lt;20",IF(E157&lt;25,"20-&lt;25",IF(E157&lt;35,"25-&lt;35","35+")))))</x:f>
        <x:v>10-&lt;20</x:v>
      </x:c>
    </x:row>
    <x:row r="158">
      <x:c r="A158" t="str">
        <x:v>SYN0000157</x:v>
      </x:c>
      <x:c r="B158" s="12" t="n">
        <x:v>42445</x:v>
      </x:c>
      <x:c r="C158" s="18" t="n">
        <x:v>6981</x:v>
      </x:c>
      <x:c r="D158" s="18" t="n">
        <x:v>100033</x:v>
      </x:c>
      <x:c r="E158" s="18" t="n">
        <x:v>35.67</x:v>
      </x:c>
      <x:c r="F158" s="18" t="n">
        <x:v>23.29</x:v>
      </x:c>
      <x:c r="G158" t="n">
        <x:v>36</x:v>
      </x:c>
      <x:c r="H158" t="str">
        <x:v>F</x:v>
      </x:c>
      <x:c r="I158" t="str">
        <x:v>7-9 years</x:v>
      </x:c>
      <x:c r="J158" t="str">
        <x:v>OWN</x:v>
      </x:c>
      <x:c r="K158" t="str">
        <x:v>major_purchase</x:v>
      </x:c>
      <x:c r="L158" t="n">
        <x:v>1</x:v>
      </x:c>
      <x:c r="M158" t="n">
        <x:v>0</x:v>
      </x:c>
      <x:c r="N158" t="str">
        <x:v>Fully Paid</x:v>
      </x:c>
      <x:c r="O158" t="str">
        <x:f>IF(D158="","Unknown",IF(D158&lt;25000,"&lt;$25k",IF(D158&lt;50000,"$25k-$50k",IF(D158&lt;75000,"$50k-$75k",IF(D158&lt;100000,"$75k-$100k","$100k+")))))</x:f>
        <x:v>$100k+</x:v>
      </x:c>
      <x:c r="P158" t="str">
        <x:f>IF(E158="","Unknown",IF(E158&lt;10,"&lt;10",IF(E158&lt;20,"10-&lt;20",IF(E158&lt;25,"20-&lt;25",IF(E158&lt;35,"25-&lt;35","35+")))))</x:f>
        <x:v>35+</x:v>
      </x:c>
    </x:row>
    <x:row r="159">
      <x:c r="A159" t="str">
        <x:v>SYN0000158</x:v>
      </x:c>
      <x:c r="B159" s="12" t="n">
        <x:v>42085</x:v>
      </x:c>
      <x:c r="C159" s="18" t="n">
        <x:v>16405</x:v>
      </x:c>
      <x:c r="D159" s="18" t="n">
        <x:v>45241</x:v>
      </x:c>
      <x:c r="E159" s="18" t="n">
        <x:v>23.54</x:v>
      </x:c>
      <x:c r="F159" s="18" t="n">
        <x:v>10.11</x:v>
      </x:c>
      <x:c r="G159" t="n">
        <x:v>36</x:v>
      </x:c>
      <x:c r="H159" t="str">
        <x:v>C</x:v>
      </x:c>
      <x:c r="I159" t="str">
        <x:v>1-3 years</x:v>
      </x:c>
      <x:c r="J159" t="str">
        <x:v>MORTGAGE</x:v>
      </x:c>
      <x:c r="K159" t="str">
        <x:v>home_improvement</x:v>
      </x:c>
      <x:c r="L159" t="n">
        <x:v>0</x:v>
      </x:c>
      <x:c r="M159" t="n">
        <x:v>0</x:v>
      </x:c>
      <x:c r="N159" t="str">
        <x:v>Fully Paid</x:v>
      </x:c>
      <x:c r="O159" t="str">
        <x:f>IF(D159="","Unknown",IF(D159&lt;25000,"&lt;$25k",IF(D159&lt;50000,"$25k-$50k",IF(D159&lt;75000,"$50k-$75k",IF(D159&lt;100000,"$75k-$100k","$100k+")))))</x:f>
        <x:v>$25k-$50k</x:v>
      </x:c>
      <x:c r="P159" t="str">
        <x:f>IF(E159="","Unknown",IF(E159&lt;10,"&lt;10",IF(E159&lt;20,"10-&lt;20",IF(E159&lt;25,"20-&lt;25",IF(E159&lt;35,"25-&lt;35","35+")))))</x:f>
        <x:v>20-&lt;25</x:v>
      </x:c>
    </x:row>
    <x:row r="160">
      <x:c r="A160" t="str">
        <x:v>SYN0000159</x:v>
      </x:c>
      <x:c r="B160" s="12" t="n">
        <x:v>42985</x:v>
      </x:c>
      <x:c r="C160" s="18" t="n">
        <x:v>15959</x:v>
      </x:c>
      <x:c r="D160" s="18" t="n">
        <x:v>84876</x:v>
      </x:c>
      <x:c r="E160" s="18" t="n">
        <x:v>27.89</x:v>
      </x:c>
      <x:c r="F160" s="18" t="n">
        <x:v>11.72</x:v>
      </x:c>
      <x:c r="G160" t="n">
        <x:v>36</x:v>
      </x:c>
      <x:c r="H160" t="str">
        <x:v>C</x:v>
      </x:c>
      <x:c r="I160" t="str">
        <x:v>7-9 years</x:v>
      </x:c>
      <x:c r="J160" t="str">
        <x:v>MORTGAGE</x:v>
      </x:c>
      <x:c r="K160" t="str">
        <x:v>major_purchase</x:v>
      </x:c>
      <x:c r="L160" t="n">
        <x:v>0</x:v>
      </x:c>
      <x:c r="M160" t="n">
        <x:v>0</x:v>
      </x:c>
      <x:c r="N160" t="str">
        <x:v>Fully Paid</x:v>
      </x:c>
      <x:c r="O160" t="str">
        <x:f>IF(D160="","Unknown",IF(D160&lt;25000,"&lt;$25k",IF(D160&lt;50000,"$25k-$50k",IF(D160&lt;75000,"$50k-$75k",IF(D160&lt;100000,"$75k-$100k","$100k+")))))</x:f>
        <x:v>$75k-$100k</x:v>
      </x:c>
      <x:c r="P160" t="str">
        <x:f>IF(E160="","Unknown",IF(E160&lt;10,"&lt;10",IF(E160&lt;20,"10-&lt;20",IF(E160&lt;25,"20-&lt;25",IF(E160&lt;35,"25-&lt;35","35+")))))</x:f>
        <x:v>25-&lt;35</x:v>
      </x:c>
    </x:row>
    <x:row r="161">
      <x:c r="A161" t="str">
        <x:v>SYN0000160</x:v>
      </x:c>
      <x:c r="B161" s="12" t="n">
        <x:v>42625</x:v>
      </x:c>
      <x:c r="C161" s="18" t="n">
        <x:v>31653</x:v>
      </x:c>
      <x:c r="D161" s="18" t="n">
        <x:v>46074</x:v>
      </x:c>
      <x:c r="E161" s="18" t="n">
        <x:v>14.01</x:v>
      </x:c>
      <x:c r="F161" s="18" t="n">
        <x:v>6.26</x:v>
      </x:c>
      <x:c r="G161" t="n">
        <x:v>60</x:v>
      </x:c>
      <x:c r="H161" t="str">
        <x:v>A</x:v>
      </x:c>
      <x:c r="I161" t="str">
        <x:v>10+ years</x:v>
      </x:c>
      <x:c r="J161" t="str">
        <x:v>MORTGAGE</x:v>
      </x:c>
      <x:c r="K161" t="str">
        <x:v>debt_consolidation</x:v>
      </x:c>
      <x:c r="L161" t="n">
        <x:v>0</x:v>
      </x:c>
      <x:c r="M161" t="n">
        <x:v>0</x:v>
      </x:c>
      <x:c r="N161" t="str">
        <x:v>Fully Paid</x:v>
      </x:c>
      <x:c r="O161" t="str">
        <x:f>IF(D161="","Unknown",IF(D161&lt;25000,"&lt;$25k",IF(D161&lt;50000,"$25k-$50k",IF(D161&lt;75000,"$50k-$75k",IF(D161&lt;100000,"$75k-$100k","$100k+")))))</x:f>
        <x:v>$25k-$50k</x:v>
      </x:c>
      <x:c r="P161" t="str">
        <x:f>IF(E161="","Unknown",IF(E161&lt;10,"&lt;10",IF(E161&lt;20,"10-&lt;20",IF(E161&lt;25,"20-&lt;25",IF(E161&lt;35,"25-&lt;35","35+")))))</x:f>
        <x:v>10-&lt;20</x:v>
      </x:c>
    </x:row>
    <x:row r="162">
      <x:c r="A162" t="str">
        <x:v>SYN0000161</x:v>
      </x:c>
      <x:c r="B162" s="12" t="n">
        <x:v>41845</x:v>
      </x:c>
      <x:c r="C162" s="18" t="n">
        <x:v>16304</x:v>
      </x:c>
      <x:c r="D162" s="18" t="n">
        <x:v>31287</x:v>
      </x:c>
      <x:c r="E162" s="18" t="n">
        <x:v>7.63</x:v>
      </x:c>
      <x:c r="F162" s="18" t="n">
        <x:v>6.32</x:v>
      </x:c>
      <x:c r="G162" t="n">
        <x:v>36</x:v>
      </x:c>
      <x:c r="H162" t="str">
        <x:v>A</x:v>
      </x:c>
      <x:c r="I162" t="str">
        <x:v>10+ years</x:v>
      </x:c>
      <x:c r="J162" t="str">
        <x:v>OWN</x:v>
      </x:c>
      <x:c r="K162" t="str">
        <x:v>major_purchase</x:v>
      </x:c>
      <x:c r="L162" t="n">
        <x:v>1</x:v>
      </x:c>
      <x:c r="M162" t="n">
        <x:v>0</x:v>
      </x:c>
      <x:c r="N162" t="str">
        <x:v>Fully Paid</x:v>
      </x:c>
      <x:c r="O162" t="str">
        <x:f>IF(D162="","Unknown",IF(D162&lt;25000,"&lt;$25k",IF(D162&lt;50000,"$25k-$50k",IF(D162&lt;75000,"$50k-$75k",IF(D162&lt;100000,"$75k-$100k","$100k+")))))</x:f>
        <x:v>$25k-$50k</x:v>
      </x:c>
      <x:c r="P162" t="str">
        <x:f>IF(E162="","Unknown",IF(E162&lt;10,"&lt;10",IF(E162&lt;20,"10-&lt;20",IF(E162&lt;25,"20-&lt;25",IF(E162&lt;35,"25-&lt;35","35+")))))</x:f>
        <x:v>&lt;10</x:v>
      </x:c>
    </x:row>
    <x:row r="163">
      <x:c r="A163" t="str">
        <x:v>SYN0000162</x:v>
      </x:c>
      <x:c r="B163" s="12" t="n">
        <x:v>41905</x:v>
      </x:c>
      <x:c r="C163" s="18" t="n">
        <x:v>8013</x:v>
      </x:c>
      <x:c r="D163" s="18" t="n">
        <x:v>68103</x:v>
      </x:c>
      <x:c r="E163" s="18" t="n">
        <x:v>28.46</x:v>
      </x:c>
      <x:c r="F163" s="18" t="n">
        <x:v>18.14</x:v>
      </x:c>
      <x:c r="G163" t="n">
        <x:v>36</x:v>
      </x:c>
      <x:c r="H163" t="str">
        <x:v>E</x:v>
      </x:c>
      <x:c r="I163" t="str">
        <x:v>1-3 years</x:v>
      </x:c>
      <x:c r="J163" t="str">
        <x:v>MORTGAGE</x:v>
      </x:c>
      <x:c r="K163" t="str">
        <x:v>debt_consolidation</x:v>
      </x:c>
      <x:c r="L163" t="n">
        <x:v>2</x:v>
      </x:c>
      <x:c r="M163" t="n">
        <x:v>0</x:v>
      </x:c>
      <x:c r="N163" t="str">
        <x:v>Fully Paid</x:v>
      </x:c>
      <x:c r="O163" t="str">
        <x:f>IF(D163="","Unknown",IF(D163&lt;25000,"&lt;$25k",IF(D163&lt;50000,"$25k-$50k",IF(D163&lt;75000,"$50k-$75k",IF(D163&lt;100000,"$75k-$100k","$100k+")))))</x:f>
        <x:v>$50k-$75k</x:v>
      </x:c>
      <x:c r="P163" t="str">
        <x:f>IF(E163="","Unknown",IF(E163&lt;10,"&lt;10",IF(E163&lt;20,"10-&lt;20",IF(E163&lt;25,"20-&lt;25",IF(E163&lt;35,"25-&lt;35","35+")))))</x:f>
        <x:v>25-&lt;35</x:v>
      </x:c>
    </x:row>
    <x:row r="164">
      <x:c r="A164" t="str">
        <x:v>SYN0000163</x:v>
      </x:c>
      <x:c r="B164" s="12" t="n">
        <x:v>42205</x:v>
      </x:c>
      <x:c r="C164" s="18" t="n">
        <x:v>14323</x:v>
      </x:c>
      <x:c r="D164" s="18" t="n">
        <x:v>36037</x:v>
      </x:c>
      <x:c r="E164" s="18" t="n">
        <x:v>32.5</x:v>
      </x:c>
      <x:c r="F164" s="18" t="n">
        <x:v>21.46</x:v>
      </x:c>
      <x:c r="G164" t="n">
        <x:v>36</x:v>
      </x:c>
      <x:c r="H164" t="str">
        <x:v>F</x:v>
      </x:c>
      <x:c r="I164" t="str">
        <x:v>10+ years</x:v>
      </x:c>
      <x:c r="J164" t="str">
        <x:v>RENT</x:v>
      </x:c>
      <x:c r="K164" t="str">
        <x:v>credit_card</x:v>
      </x:c>
      <x:c r="L164" t="n">
        <x:v>1</x:v>
      </x:c>
      <x:c r="M164" t="n">
        <x:v>0</x:v>
      </x:c>
      <x:c r="N164" t="str">
        <x:v>Fully Paid</x:v>
      </x:c>
      <x:c r="O164" t="str">
        <x:f>IF(D164="","Unknown",IF(D164&lt;25000,"&lt;$25k",IF(D164&lt;50000,"$25k-$50k",IF(D164&lt;75000,"$50k-$75k",IF(D164&lt;100000,"$75k-$100k","$100k+")))))</x:f>
        <x:v>$25k-$50k</x:v>
      </x:c>
      <x:c r="P164" t="str">
        <x:f>IF(E164="","Unknown",IF(E164&lt;10,"&lt;10",IF(E164&lt;20,"10-&lt;20",IF(E164&lt;25,"20-&lt;25",IF(E164&lt;35,"25-&lt;35","35+")))))</x:f>
        <x:v>25-&lt;35</x:v>
      </x:c>
    </x:row>
    <x:row r="165">
      <x:c r="A165" t="str">
        <x:v>SYN0000164</x:v>
      </x:c>
      <x:c r="B165" s="12" t="n">
        <x:v>41965</x:v>
      </x:c>
      <x:c r="C165" s="18" t="n">
        <x:v>17263</x:v>
      </x:c>
      <x:c r="D165" s="18" t="n">
        <x:v>15764</x:v>
      </x:c>
      <x:c r="E165" s="18" t="n">
        <x:v>9.73</x:v>
      </x:c>
      <x:c r="F165" s="18" t="n">
        <x:v>10.99</x:v>
      </x:c>
      <x:c r="G165" t="n">
        <x:v>36</x:v>
      </x:c>
      <x:c r="H165" t="str">
        <x:v>B</x:v>
      </x:c>
      <x:c r="I165" t="str">
        <x:v>7-9 years</x:v>
      </x:c>
      <x:c r="J165" t="str">
        <x:v>RENT</x:v>
      </x:c>
      <x:c r="K165" t="str">
        <x:v>credit_card</x:v>
      </x:c>
      <x:c r="L165" t="n">
        <x:v>0</x:v>
      </x:c>
      <x:c r="M165" t="n">
        <x:v>0</x:v>
      </x:c>
      <x:c r="N165" t="str">
        <x:v>Fully Paid</x:v>
      </x:c>
      <x:c r="O165" t="str">
        <x:f>IF(D165="","Unknown",IF(D165&lt;25000,"&lt;$25k",IF(D165&lt;50000,"$25k-$50k",IF(D165&lt;75000,"$50k-$75k",IF(D165&lt;100000,"$75k-$100k","$100k+")))))</x:f>
        <x:v>&lt;$25k</x:v>
      </x:c>
      <x:c r="P165" t="str">
        <x:f>IF(E165="","Unknown",IF(E165&lt;10,"&lt;10",IF(E165&lt;20,"10-&lt;20",IF(E165&lt;25,"20-&lt;25",IF(E165&lt;35,"25-&lt;35","35+")))))</x:f>
        <x:v>&lt;10</x:v>
      </x:c>
    </x:row>
    <x:row r="166">
      <x:c r="A166" t="str">
        <x:v>SYN0000165</x:v>
      </x:c>
      <x:c r="B166" s="12" t="n">
        <x:v>43195</x:v>
      </x:c>
      <x:c r="C166" s="18" t="n">
        <x:v>30581</x:v>
      </x:c>
      <x:c r="D166" s="18" t="n">
        <x:v>89345</x:v>
      </x:c>
      <x:c r="E166" s="18" t="n">
        <x:v>18.28</x:v>
      </x:c>
      <x:c r="F166" s="18" t="n">
        <x:v>6.3</x:v>
      </x:c>
      <x:c r="G166" t="n">
        <x:v>36</x:v>
      </x:c>
      <x:c r="H166" t="str">
        <x:v>A</x:v>
      </x:c>
      <x:c r="I166" t="str">
        <x:v>7-9 years</x:v>
      </x:c>
      <x:c r="J166" t="str">
        <x:v>MORTGAGE</x:v>
      </x:c>
      <x:c r="K166" t="str">
        <x:v>credit_card</x:v>
      </x:c>
      <x:c r="L166" t="n">
        <x:v>0</x:v>
      </x:c>
      <x:c r="M166" t="n">
        <x:v>0</x:v>
      </x:c>
      <x:c r="N166" t="str">
        <x:v>Fully Paid</x:v>
      </x:c>
      <x:c r="O166" t="str">
        <x:f>IF(D166="","Unknown",IF(D166&lt;25000,"&lt;$25k",IF(D166&lt;50000,"$25k-$50k",IF(D166&lt;75000,"$50k-$75k",IF(D166&lt;100000,"$75k-$100k","$100k+")))))</x:f>
        <x:v>$75k-$100k</x:v>
      </x:c>
      <x:c r="P166" t="str">
        <x:f>IF(E166="","Unknown",IF(E166&lt;10,"&lt;10",IF(E166&lt;20,"10-&lt;20",IF(E166&lt;25,"20-&lt;25",IF(E166&lt;35,"25-&lt;35","35+")))))</x:f>
        <x:v>10-&lt;20</x:v>
      </x:c>
    </x:row>
    <x:row r="167">
      <x:c r="A167" t="str">
        <x:v>SYN0000166</x:v>
      </x:c>
      <x:c r="B167" s="12" t="n">
        <x:v>41635</x:v>
      </x:c>
      <x:c r="C167" s="18" t="n">
        <x:v>7664</x:v>
      </x:c>
      <x:c r="D167" s="18" t="n">
        <x:v>37079</x:v>
      </x:c>
      <x:c r="E167" s="18" t="n">
        <x:v>18.03</x:v>
      </x:c>
      <x:c r="F167" s="18" t="n">
        <x:v>8.2</x:v>
      </x:c>
      <x:c r="G167" t="n">
        <x:v>36</x:v>
      </x:c>
      <x:c r="H167" t="str">
        <x:v>A</x:v>
      </x:c>
      <x:c r="I167" t="str">
        <x:v>10+ years</x:v>
      </x:c>
      <x:c r="J167" t="str">
        <x:v>MORTGAGE</x:v>
      </x:c>
      <x:c r="K167" t="str">
        <x:v>credit_card</x:v>
      </x:c>
      <x:c r="L167" t="n">
        <x:v>1</x:v>
      </x:c>
      <x:c r="M167" t="n">
        <x:v>0</x:v>
      </x:c>
      <x:c r="N167" t="str">
        <x:v>Fully Paid</x:v>
      </x:c>
      <x:c r="O167" t="str">
        <x:f>IF(D167="","Unknown",IF(D167&lt;25000,"&lt;$25k",IF(D167&lt;50000,"$25k-$50k",IF(D167&lt;75000,"$50k-$75k",IF(D167&lt;100000,"$75k-$100k","$100k+")))))</x:f>
        <x:v>$25k-$50k</x:v>
      </x:c>
      <x:c r="P167" t="str">
        <x:f>IF(E167="","Unknown",IF(E167&lt;10,"&lt;10",IF(E167&lt;20,"10-&lt;20",IF(E167&lt;25,"20-&lt;25",IF(E167&lt;35,"25-&lt;35","35+")))))</x:f>
        <x:v>10-&lt;20</x:v>
      </x:c>
    </x:row>
    <x:row r="168">
      <x:c r="A168" t="str">
        <x:v>SYN0000167</x:v>
      </x:c>
      <x:c r="B168" s="12" t="n">
        <x:v>41425</x:v>
      </x:c>
      <x:c r="C168" s="18" t="n">
        <x:v>5209</x:v>
      </x:c>
      <x:c r="D168" s="18" t="n">
        <x:v>12468</x:v>
      </x:c>
      <x:c r="E168" s="18" t="n">
        <x:v>30.26</x:v>
      </x:c>
      <x:c r="F168" s="18" t="n">
        <x:v>6.3</x:v>
      </x:c>
      <x:c r="G168" t="n">
        <x:v>36</x:v>
      </x:c>
      <x:c r="H168" t="str">
        <x:v>A</x:v>
      </x:c>
      <x:c r="I168" t="str">
        <x:v>&lt;1 year</x:v>
      </x:c>
      <x:c r="J168" t="str">
        <x:v>MORTGAGE</x:v>
      </x:c>
      <x:c r="K168" t="str">
        <x:v>major_purchase</x:v>
      </x:c>
      <x:c r="L168" t="n">
        <x:v>0</x:v>
      </x:c>
      <x:c r="M168" t="n">
        <x:v>0</x:v>
      </x:c>
      <x:c r="N168" t="str">
        <x:v>Fully Paid</x:v>
      </x:c>
      <x:c r="O168" t="str">
        <x:f>IF(D168="","Unknown",IF(D168&lt;25000,"&lt;$25k",IF(D168&lt;50000,"$25k-$50k",IF(D168&lt;75000,"$50k-$75k",IF(D168&lt;100000,"$75k-$100k","$100k+")))))</x:f>
        <x:v>&lt;$25k</x:v>
      </x:c>
      <x:c r="P168" t="str">
        <x:f>IF(E168="","Unknown",IF(E168&lt;10,"&lt;10",IF(E168&lt;20,"10-&lt;20",IF(E168&lt;25,"20-&lt;25",IF(E168&lt;35,"25-&lt;35","35+")))))</x:f>
        <x:v>25-&lt;35</x:v>
      </x:c>
    </x:row>
    <x:row r="169">
      <x:c r="A169" t="str">
        <x:v>SYN0000168</x:v>
      </x:c>
      <x:c r="B169" s="12" t="n">
        <x:v>42325</x:v>
      </x:c>
      <x:c r="C169" s="18" t="n">
        <x:v>11956</x:v>
      </x:c>
      <x:c r="D169" s="18" t="n">
        <x:v>61136</x:v>
      </x:c>
      <x:c r="E169" s="18" t="n">
        <x:v>7.5</x:v>
      </x:c>
      <x:c r="F169" s="18" t="n">
        <x:v>10.21</x:v>
      </x:c>
      <x:c r="G169" t="n">
        <x:v>36</x:v>
      </x:c>
      <x:c r="H169" t="str">
        <x:v>C</x:v>
      </x:c>
      <x:c r="I169" t="str">
        <x:v>10+ years</x:v>
      </x:c>
      <x:c r="J169" t="str">
        <x:v>MORTGAGE</x:v>
      </x:c>
      <x:c r="K169" t="str">
        <x:v>credit_card</x:v>
      </x:c>
      <x:c r="L169" t="n">
        <x:v>0</x:v>
      </x:c>
      <x:c r="M169" t="n">
        <x:v>0</x:v>
      </x:c>
      <x:c r="N169" t="str">
        <x:v>Fully Paid</x:v>
      </x:c>
      <x:c r="O169" t="str">
        <x:f>IF(D169="","Unknown",IF(D169&lt;25000,"&lt;$25k",IF(D169&lt;50000,"$25k-$50k",IF(D169&lt;75000,"$50k-$75k",IF(D169&lt;100000,"$75k-$100k","$100k+")))))</x:f>
        <x:v>$50k-$75k</x:v>
      </x:c>
      <x:c r="P169" t="str">
        <x:f>IF(E169="","Unknown",IF(E169&lt;10,"&lt;10",IF(E169&lt;20,"10-&lt;20",IF(E169&lt;25,"20-&lt;25",IF(E169&lt;35,"25-&lt;35","35+")))))</x:f>
        <x:v>&lt;10</x:v>
      </x:c>
    </x:row>
    <x:row r="170">
      <x:c r="A170" t="str">
        <x:v>SYN0000169</x:v>
      </x:c>
      <x:c r="B170" s="12" t="n">
        <x:v>42895</x:v>
      </x:c>
      <x:c r="C170" s="18" t="n">
        <x:v>7136</x:v>
      </x:c>
      <x:c r="D170" s="18" t="n">
        <x:v>81301</x:v>
      </x:c>
      <x:c r="E170" s="18" t="n">
        <x:v>30.44</x:v>
      </x:c>
      <x:c r="F170" s="18" t="n">
        <x:v>11.2</x:v>
      </x:c>
      <x:c r="G170" t="n">
        <x:v>36</x:v>
      </x:c>
      <x:c r="H170" t="str">
        <x:v>C</x:v>
      </x:c>
      <x:c r="I170" t="str">
        <x:v>7-9 years</x:v>
      </x:c>
      <x:c r="J170" t="str">
        <x:v>OWN</x:v>
      </x:c>
      <x:c r="K170" t="str">
        <x:v>debt_consolidation</x:v>
      </x:c>
      <x:c r="L170" t="n">
        <x:v>0</x:v>
      </x:c>
      <x:c r="M170" t="n">
        <x:v>0</x:v>
      </x:c>
      <x:c r="N170" t="str">
        <x:v>Fully Paid</x:v>
      </x:c>
      <x:c r="O170" t="str">
        <x:f>IF(D170="","Unknown",IF(D170&lt;25000,"&lt;$25k",IF(D170&lt;50000,"$25k-$50k",IF(D170&lt;75000,"$50k-$75k",IF(D170&lt;100000,"$75k-$100k","$100k+")))))</x:f>
        <x:v>$75k-$100k</x:v>
      </x:c>
      <x:c r="P170" t="str">
        <x:f>IF(E170="","Unknown",IF(E170&lt;10,"&lt;10",IF(E170&lt;20,"10-&lt;20",IF(E170&lt;25,"20-&lt;25",IF(E170&lt;35,"25-&lt;35","35+")))))</x:f>
        <x:v>25-&lt;35</x:v>
      </x:c>
    </x:row>
    <x:row r="171">
      <x:c r="A171" t="str">
        <x:v>SYN0000170</x:v>
      </x:c>
      <x:c r="B171" s="12" t="n">
        <x:v>41365</x:v>
      </x:c>
      <x:c r="C171" s="18" t="n">
        <x:v>10530</x:v>
      </x:c>
      <x:c r="D171" s="18" t="n">
        <x:v>42884</x:v>
      </x:c>
      <x:c r="E171" s="18" t="n">
        <x:v>10.32</x:v>
      </x:c>
      <x:c r="F171" s="18" t="n">
        <x:v>9.59</x:v>
      </x:c>
      <x:c r="G171" t="n">
        <x:v>36</x:v>
      </x:c>
      <x:c r="H171" t="str">
        <x:v>C</x:v>
      </x:c>
      <x:c r="I171" t="str">
        <x:v>7-9 years</x:v>
      </x:c>
      <x:c r="J171" t="str">
        <x:v>OWN</x:v>
      </x:c>
      <x:c r="K171" t="str">
        <x:v>credit_card</x:v>
      </x:c>
      <x:c r="L171" t="n">
        <x:v>0</x:v>
      </x:c>
      <x:c r="M171" t="n">
        <x:v>0</x:v>
      </x:c>
      <x:c r="N171" t="str">
        <x:v>Fully Paid</x:v>
      </x:c>
      <x:c r="O171" t="str">
        <x:f>IF(D171="","Unknown",IF(D171&lt;25000,"&lt;$25k",IF(D171&lt;50000,"$25k-$50k",IF(D171&lt;75000,"$50k-$75k",IF(D171&lt;100000,"$75k-$100k","$100k+")))))</x:f>
        <x:v>$25k-$50k</x:v>
      </x:c>
      <x:c r="P171" t="str">
        <x:f>IF(E171="","Unknown",IF(E171&lt;10,"&lt;10",IF(E171&lt;20,"10-&lt;20",IF(E171&lt;25,"20-&lt;25",IF(E171&lt;35,"25-&lt;35","35+")))))</x:f>
        <x:v>10-&lt;20</x:v>
      </x:c>
    </x:row>
    <x:row r="172">
      <x:c r="A172" t="str">
        <x:v>SYN0000171</x:v>
      </x:c>
      <x:c r="B172" s="12" t="n">
        <x:v>42925</x:v>
      </x:c>
      <x:c r="C172" s="18" t="n">
        <x:v>24733</x:v>
      </x:c>
      <x:c r="D172" s="18" t="n">
        <x:v>46575</x:v>
      </x:c>
      <x:c r="E172" s="18" t="n">
        <x:v>28.77</x:v>
      </x:c>
      <x:c r="F172" s="18" t="n">
        <x:v>16.02</x:v>
      </x:c>
      <x:c r="G172" t="n">
        <x:v>60</x:v>
      </x:c>
      <x:c r="H172" t="str">
        <x:v>E</x:v>
      </x:c>
      <x:c r="I172" t="str">
        <x:v>1-3 years</x:v>
      </x:c>
      <x:c r="J172" t="str">
        <x:v>RENT</x:v>
      </x:c>
      <x:c r="K172" t="str">
        <x:v>other</x:v>
      </x:c>
      <x:c r="L172" t="n">
        <x:v>3</x:v>
      </x:c>
      <x:c r="M172" t="n">
        <x:v>1</x:v>
      </x:c>
      <x:c r="N172" t="str">
        <x:v>Charged Off</x:v>
      </x:c>
      <x:c r="O172" t="str">
        <x:f>IF(D172="","Unknown",IF(D172&lt;25000,"&lt;$25k",IF(D172&lt;50000,"$25k-$50k",IF(D172&lt;75000,"$50k-$75k",IF(D172&lt;100000,"$75k-$100k","$100k+")))))</x:f>
        <x:v>$25k-$50k</x:v>
      </x:c>
      <x:c r="P172" t="str">
        <x:f>IF(E172="","Unknown",IF(E172&lt;10,"&lt;10",IF(E172&lt;20,"10-&lt;20",IF(E172&lt;25,"20-&lt;25",IF(E172&lt;35,"25-&lt;35","35+")))))</x:f>
        <x:v>25-&lt;35</x:v>
      </x:c>
    </x:row>
    <x:row r="173">
      <x:c r="A173" t="str">
        <x:v>SYN0000172</x:v>
      </x:c>
      <x:c r="B173" s="12" t="n">
        <x:v>42835</x:v>
      </x:c>
      <x:c r="C173" s="18" t="n">
        <x:v>8925</x:v>
      </x:c>
      <x:c r="D173" s="18" t="n">
        <x:v>50326</x:v>
      </x:c>
      <x:c r="E173" s="18" t="n">
        <x:v>0</x:v>
      </x:c>
      <x:c r="F173" s="18" t="n">
        <x:v>16.6</x:v>
      </x:c>
      <x:c r="G173" t="n">
        <x:v>36</x:v>
      </x:c>
      <x:c r="H173" t="str">
        <x:v>D</x:v>
      </x:c>
      <x:c r="I173" t="str">
        <x:v>10+ years</x:v>
      </x:c>
      <x:c r="J173" t="str">
        <x:v>MORTGAGE</x:v>
      </x:c>
      <x:c r="K173" t="str">
        <x:v>medical</x:v>
      </x:c>
      <x:c r="L173" t="n">
        <x:v>1</x:v>
      </x:c>
      <x:c r="M173" t="n">
        <x:v>0</x:v>
      </x:c>
      <x:c r="N173" t="str">
        <x:v>Fully Paid</x:v>
      </x:c>
      <x:c r="O173" t="str">
        <x:f>IF(D173="","Unknown",IF(D173&lt;25000,"&lt;$25k",IF(D173&lt;50000,"$25k-$50k",IF(D173&lt;75000,"$50k-$75k",IF(D173&lt;100000,"$75k-$100k","$100k+")))))</x:f>
        <x:v>$50k-$75k</x:v>
      </x:c>
      <x:c r="P173" t="str">
        <x:f>IF(E173="","Unknown",IF(E173&lt;10,"&lt;10",IF(E173&lt;20,"10-&lt;20",IF(E173&lt;25,"20-&lt;25",IF(E173&lt;35,"25-&lt;35","35+")))))</x:f>
        <x:v>Unknown</x:v>
      </x:c>
    </x:row>
    <x:row r="174">
      <x:c r="A174" t="str">
        <x:v>SYN0000173</x:v>
      </x:c>
      <x:c r="B174" s="12" t="n">
        <x:v>41725</x:v>
      </x:c>
      <x:c r="C174" s="18" t="n">
        <x:v>4296</x:v>
      </x:c>
      <x:c r="D174" s="18" t="n">
        <x:v>76255</x:v>
      </x:c>
      <x:c r="E174" s="18" t="n">
        <x:v>21.03</x:v>
      </x:c>
      <x:c r="F174" s="18" t="n">
        <x:v>15.3</x:v>
      </x:c>
      <x:c r="G174" t="n">
        <x:v>36</x:v>
      </x:c>
      <x:c r="H174" t="str">
        <x:v>D</x:v>
      </x:c>
      <x:c r="I174" t="str">
        <x:v>1-3 years</x:v>
      </x:c>
      <x:c r="J174" t="str">
        <x:v>MORTGAGE</x:v>
      </x:c>
      <x:c r="K174" t="str">
        <x:v>credit_card</x:v>
      </x:c>
      <x:c r="L174" t="n">
        <x:v>0</x:v>
      </x:c>
      <x:c r="M174" t="n">
        <x:v>0</x:v>
      </x:c>
      <x:c r="N174" t="str">
        <x:v>Fully Paid</x:v>
      </x:c>
      <x:c r="O174" t="str">
        <x:f>IF(D174="","Unknown",IF(D174&lt;25000,"&lt;$25k",IF(D174&lt;50000,"$25k-$50k",IF(D174&lt;75000,"$50k-$75k",IF(D174&lt;100000,"$75k-$100k","$100k+")))))</x:f>
        <x:v>$75k-$100k</x:v>
      </x:c>
      <x:c r="P174" t="str">
        <x:f>IF(E174="","Unknown",IF(E174&lt;10,"&lt;10",IF(E174&lt;20,"10-&lt;20",IF(E174&lt;25,"20-&lt;25",IF(E174&lt;35,"25-&lt;35","35+")))))</x:f>
        <x:v>20-&lt;25</x:v>
      </x:c>
    </x:row>
    <x:row r="175">
      <x:c r="A175" t="str">
        <x:v>SYN0000174</x:v>
      </x:c>
      <x:c r="B175" s="12" t="n">
        <x:v>42985</x:v>
      </x:c>
      <x:c r="C175" s="18" t="n">
        <x:v>8757</x:v>
      </x:c>
      <x:c r="D175" s="18" t="n">
        <x:v>40390</x:v>
      </x:c>
      <x:c r="E175" s="18" t="n">
        <x:v>22.51</x:v>
      </x:c>
      <x:c r="F175" s="18" t="n">
        <x:v>15.69</x:v>
      </x:c>
      <x:c r="G175" t="n">
        <x:v>36</x:v>
      </x:c>
      <x:c r="H175" t="str">
        <x:v>D</x:v>
      </x:c>
      <x:c r="I175" t="str">
        <x:v>7-9 years</x:v>
      </x:c>
      <x:c r="J175" t="str">
        <x:v>MORTGAGE</x:v>
      </x:c>
      <x:c r="K175" t="str">
        <x:v>debt_consolidation</x:v>
      </x:c>
      <x:c r="L175" t="n">
        <x:v>0</x:v>
      </x:c>
      <x:c r="M175" t="n">
        <x:v>0</x:v>
      </x:c>
      <x:c r="N175" t="str">
        <x:v>Fully Paid</x:v>
      </x:c>
      <x:c r="O175" t="str">
        <x:f>IF(D175="","Unknown",IF(D175&lt;25000,"&lt;$25k",IF(D175&lt;50000,"$25k-$50k",IF(D175&lt;75000,"$50k-$75k",IF(D175&lt;100000,"$75k-$100k","$100k+")))))</x:f>
        <x:v>$25k-$50k</x:v>
      </x:c>
      <x:c r="P175" t="str">
        <x:f>IF(E175="","Unknown",IF(E175&lt;10,"&lt;10",IF(E175&lt;20,"10-&lt;20",IF(E175&lt;25,"20-&lt;25",IF(E175&lt;35,"25-&lt;35","35+")))))</x:f>
        <x:v>20-&lt;25</x:v>
      </x:c>
    </x:row>
    <x:row r="176">
      <x:c r="A176" t="str">
        <x:v>SYN0000175</x:v>
      </x:c>
      <x:c r="B176" s="12" t="n">
        <x:v>43195</x:v>
      </x:c>
      <x:c r="C176" s="18" t="n">
        <x:v>7674</x:v>
      </x:c>
      <x:c r="D176" s="18" t="n">
        <x:v>68135</x:v>
      </x:c>
      <x:c r="E176" s="18" t="n">
        <x:v>28.6</x:v>
      </x:c>
      <x:c r="F176" s="18" t="n">
        <x:v>21.49</x:v>
      </x:c>
      <x:c r="G176" t="n">
        <x:v>36</x:v>
      </x:c>
      <x:c r="H176" t="str">
        <x:v>F</x:v>
      </x:c>
      <x:c r="I176" t="str">
        <x:v>&lt;1 year</x:v>
      </x:c>
      <x:c r="J176" t="str">
        <x:v>MORTGAGE</x:v>
      </x:c>
      <x:c r="K176" t="str">
        <x:v>debt_consolidation</x:v>
      </x:c>
      <x:c r="L176" t="n">
        <x:v>2</x:v>
      </x:c>
      <x:c r="M176" t="n">
        <x:v>0</x:v>
      </x:c>
      <x:c r="N176" t="str">
        <x:v>Fully Paid</x:v>
      </x:c>
      <x:c r="O176" t="str">
        <x:f>IF(D176="","Unknown",IF(D176&lt;25000,"&lt;$25k",IF(D176&lt;50000,"$25k-$50k",IF(D176&lt;75000,"$50k-$75k",IF(D176&lt;100000,"$75k-$100k","$100k+")))))</x:f>
        <x:v>$50k-$75k</x:v>
      </x:c>
      <x:c r="P176" t="str">
        <x:f>IF(E176="","Unknown",IF(E176&lt;10,"&lt;10",IF(E176&lt;20,"10-&lt;20",IF(E176&lt;25,"20-&lt;25",IF(E176&lt;35,"25-&lt;35","35+")))))</x:f>
        <x:v>25-&lt;35</x:v>
      </x:c>
    </x:row>
    <x:row r="177">
      <x:c r="A177" t="str">
        <x:v>SYN0000176</x:v>
      </x:c>
      <x:c r="B177" s="12" t="n">
        <x:v>43255</x:v>
      </x:c>
      <x:c r="C177" s="18" t="n">
        <x:v>16512</x:v>
      </x:c>
      <x:c r="D177" s="18" t="n">
        <x:v>96615</x:v>
      </x:c>
      <x:c r="E177" s="18" t="n">
        <x:v>21.14</x:v>
      </x:c>
      <x:c r="F177" s="18" t="n">
        <x:v>6.68</x:v>
      </x:c>
      <x:c r="G177" t="n">
        <x:v>36</x:v>
      </x:c>
      <x:c r="H177" t="str">
        <x:v>A</x:v>
      </x:c>
      <x:c r="I177" t="str">
        <x:v>1-3 years</x:v>
      </x:c>
      <x:c r="J177" t="str">
        <x:v>MORTGAGE</x:v>
      </x:c>
      <x:c r="K177" t="str">
        <x:v>major_purchase</x:v>
      </x:c>
      <x:c r="L177" t="n">
        <x:v>1</x:v>
      </x:c>
      <x:c r="M177" t="n">
        <x:v>0</x:v>
      </x:c>
      <x:c r="N177" t="str">
        <x:v>Fully Paid</x:v>
      </x:c>
      <x:c r="O177" t="str">
        <x:f>IF(D177="","Unknown",IF(D177&lt;25000,"&lt;$25k",IF(D177&lt;50000,"$25k-$50k",IF(D177&lt;75000,"$50k-$75k",IF(D177&lt;100000,"$75k-$100k","$100k+")))))</x:f>
        <x:v>$75k-$100k</x:v>
      </x:c>
      <x:c r="P177" t="str">
        <x:f>IF(E177="","Unknown",IF(E177&lt;10,"&lt;10",IF(E177&lt;20,"10-&lt;20",IF(E177&lt;25,"20-&lt;25",IF(E177&lt;35,"25-&lt;35","35+")))))</x:f>
        <x:v>20-&lt;25</x:v>
      </x:c>
    </x:row>
    <x:row r="178">
      <x:c r="A178" t="str">
        <x:v>SYN0000177</x:v>
      </x:c>
      <x:c r="B178" s="12" t="n">
        <x:v>41305</x:v>
      </x:c>
      <x:c r="C178" s="18" t="n">
        <x:v>7799</x:v>
      </x:c>
      <x:c r="D178" s="18" t="n">
        <x:v>77304</x:v>
      </x:c>
      <x:c r="E178" s="18" t="n">
        <x:v>20.26</x:v>
      </x:c>
      <x:c r="F178" s="18" t="n">
        <x:v>12.39</x:v>
      </x:c>
      <x:c r="G178" t="n">
        <x:v>36</x:v>
      </x:c>
      <x:c r="H178" t="str">
        <x:v>C</x:v>
      </x:c>
      <x:c r="I178" t="str">
        <x:v>10+ years</x:v>
      </x:c>
      <x:c r="J178" t="str">
        <x:v>MORTGAGE</x:v>
      </x:c>
      <x:c r="K178" t="str">
        <x:v>credit_card</x:v>
      </x:c>
      <x:c r="L178" t="n">
        <x:v>0</x:v>
      </x:c>
      <x:c r="M178" t="n">
        <x:v>0</x:v>
      </x:c>
      <x:c r="N178" t="str">
        <x:v>Fully Paid</x:v>
      </x:c>
      <x:c r="O178" t="str">
        <x:f>IF(D178="","Unknown",IF(D178&lt;25000,"&lt;$25k",IF(D178&lt;50000,"$25k-$50k",IF(D178&lt;75000,"$50k-$75k",IF(D178&lt;100000,"$75k-$100k","$100k+")))))</x:f>
        <x:v>$75k-$100k</x:v>
      </x:c>
      <x:c r="P178" t="str">
        <x:f>IF(E178="","Unknown",IF(E178&lt;10,"&lt;10",IF(E178&lt;20,"10-&lt;20",IF(E178&lt;25,"20-&lt;25",IF(E178&lt;35,"25-&lt;35","35+")))))</x:f>
        <x:v>20-&lt;25</x:v>
      </x:c>
    </x:row>
    <x:row r="179">
      <x:c r="A179" t="str">
        <x:v>SYN0000178</x:v>
      </x:c>
      <x:c r="B179" s="12" t="n">
        <x:v>41275</x:v>
      </x:c>
      <x:c r="C179" s="18" t="n">
        <x:v>8282</x:v>
      </x:c>
      <x:c r="D179" s="18" t="n">
        <x:v>55535</x:v>
      </x:c>
      <x:c r="E179" s="18" t="n">
        <x:v>20.62</x:v>
      </x:c>
      <x:c r="F179" s="18" t="n">
        <x:v>8.36</x:v>
      </x:c>
      <x:c r="G179" t="n">
        <x:v>36</x:v>
      </x:c>
      <x:c r="H179" t="str">
        <x:v>B</x:v>
      </x:c>
      <x:c r="I179" t="str">
        <x:v>10+ years</x:v>
      </x:c>
      <x:c r="J179" t="str">
        <x:v>OWN</x:v>
      </x:c>
      <x:c r="K179" t="str">
        <x:v>debt_consolidation</x:v>
      </x:c>
      <x:c r="L179" t="n">
        <x:v>0</x:v>
      </x:c>
      <x:c r="M179" t="n">
        <x:v>0</x:v>
      </x:c>
      <x:c r="N179" t="str">
        <x:v>Fully Paid</x:v>
      </x:c>
      <x:c r="O179" t="str">
        <x:f>IF(D179="","Unknown",IF(D179&lt;25000,"&lt;$25k",IF(D179&lt;50000,"$25k-$50k",IF(D179&lt;75000,"$50k-$75k",IF(D179&lt;100000,"$75k-$100k","$100k+")))))</x:f>
        <x:v>$50k-$75k</x:v>
      </x:c>
      <x:c r="P179" t="str">
        <x:f>IF(E179="","Unknown",IF(E179&lt;10,"&lt;10",IF(E179&lt;20,"10-&lt;20",IF(E179&lt;25,"20-&lt;25",IF(E179&lt;35,"25-&lt;35","35+")))))</x:f>
        <x:v>20-&lt;25</x:v>
      </x:c>
    </x:row>
    <x:row r="180">
      <x:c r="A180" t="str">
        <x:v>SYN0000179</x:v>
      </x:c>
      <x:c r="B180" s="12" t="n">
        <x:v>43285</x:v>
      </x:c>
      <x:c r="C180" s="18" t="n">
        <x:v>10596</x:v>
      </x:c>
      <x:c r="D180" s="18" t="n">
        <x:v>43194</x:v>
      </x:c>
      <x:c r="E180" s="18" t="n">
        <x:v>20.64</x:v>
      </x:c>
      <x:c r="F180" s="18" t="n">
        <x:v>8.86</x:v>
      </x:c>
      <x:c r="G180" t="n">
        <x:v>36</x:v>
      </x:c>
      <x:c r="H180" t="str">
        <x:v>B</x:v>
      </x:c>
      <x:c r="I180" t="str">
        <x:v>4-6 years</x:v>
      </x:c>
      <x:c r="J180" t="str">
        <x:v>MORTGAGE</x:v>
      </x:c>
      <x:c r="K180" t="str">
        <x:v>credit_card</x:v>
      </x:c>
      <x:c r="L180" t="n">
        <x:v>0</x:v>
      </x:c>
      <x:c r="M180" t="n">
        <x:v>0</x:v>
      </x:c>
      <x:c r="N180" t="str">
        <x:v>Fully Paid</x:v>
      </x:c>
      <x:c r="O180" t="str">
        <x:f>IF(D180="","Unknown",IF(D180&lt;25000,"&lt;$25k",IF(D180&lt;50000,"$25k-$50k",IF(D180&lt;75000,"$50k-$75k",IF(D180&lt;100000,"$75k-$100k","$100k+")))))</x:f>
        <x:v>$25k-$50k</x:v>
      </x:c>
      <x:c r="P180" t="str">
        <x:f>IF(E180="","Unknown",IF(E180&lt;10,"&lt;10",IF(E180&lt;20,"10-&lt;20",IF(E180&lt;25,"20-&lt;25",IF(E180&lt;35,"25-&lt;35","35+")))))</x:f>
        <x:v>20-&lt;25</x:v>
      </x:c>
    </x:row>
    <x:row r="181">
      <x:c r="A181" t="str">
        <x:v>SYN0000180</x:v>
      </x:c>
      <x:c r="B181" s="12" t="n">
        <x:v>43075</x:v>
      </x:c>
      <x:c r="C181" s="18" t="n">
        <x:v>22650</x:v>
      </x:c>
      <x:c r="D181" s="18" t="n">
        <x:v>68301</x:v>
      </x:c>
      <x:c r="E181" s="18" t="n">
        <x:v>19.43</x:v>
      </x:c>
      <x:c r="F181" s="18" t="n">
        <x:v>15.28</x:v>
      </x:c>
      <x:c r="G181" t="n">
        <x:v>36</x:v>
      </x:c>
      <x:c r="H181" t="str">
        <x:v>D</x:v>
      </x:c>
      <x:c r="I181" t="str">
        <x:v>10+ years</x:v>
      </x:c>
      <x:c r="J181" t="str">
        <x:v>RENT</x:v>
      </x:c>
      <x:c r="K181" t="str">
        <x:v>debt_consolidation</x:v>
      </x:c>
      <x:c r="L181" t="n">
        <x:v>1</x:v>
      </x:c>
      <x:c r="M181" t="n">
        <x:v>0</x:v>
      </x:c>
      <x:c r="N181" t="str">
        <x:v>Fully Paid</x:v>
      </x:c>
      <x:c r="O181" t="str">
        <x:f>IF(D181="","Unknown",IF(D181&lt;25000,"&lt;$25k",IF(D181&lt;50000,"$25k-$50k",IF(D181&lt;75000,"$50k-$75k",IF(D181&lt;100000,"$75k-$100k","$100k+")))))</x:f>
        <x:v>$50k-$75k</x:v>
      </x:c>
      <x:c r="P181" t="str">
        <x:f>IF(E181="","Unknown",IF(E181&lt;10,"&lt;10",IF(E181&lt;20,"10-&lt;20",IF(E181&lt;25,"20-&lt;25",IF(E181&lt;35,"25-&lt;35","35+")))))</x:f>
        <x:v>10-&lt;20</x:v>
      </x:c>
    </x:row>
    <x:row r="182">
      <x:c r="A182" t="str">
        <x:v>SYN0000181</x:v>
      </x:c>
      <x:c r="B182" s="12" t="n">
        <x:v>43315</x:v>
      </x:c>
      <x:c r="C182" s="18" t="n">
        <x:v>7493</x:v>
      </x:c>
      <x:c r="D182" s="18" t="n">
        <x:v>99988</x:v>
      </x:c>
      <x:c r="E182" s="18" t="n">
        <x:v>32.62</x:v>
      </x:c>
      <x:c r="F182" s="18" t="n">
        <x:v>8.64</x:v>
      </x:c>
      <x:c r="G182" t="n">
        <x:v>60</x:v>
      </x:c>
      <x:c r="H182" t="str">
        <x:v>B</x:v>
      </x:c>
      <x:c r="I182" t="str">
        <x:v>10+ years</x:v>
      </x:c>
      <x:c r="J182" t="str">
        <x:v>RENT</x:v>
      </x:c>
      <x:c r="K182" t="str">
        <x:v>credit_card</x:v>
      </x:c>
      <x:c r="L182" t="n">
        <x:v>1</x:v>
      </x:c>
      <x:c r="M182" t="n">
        <x:v>0</x:v>
      </x:c>
      <x:c r="N182" t="str">
        <x:v>Fully Paid</x:v>
      </x:c>
      <x:c r="O182" t="str">
        <x:f>IF(D182="","Unknown",IF(D182&lt;25000,"&lt;$25k",IF(D182&lt;50000,"$25k-$50k",IF(D182&lt;75000,"$50k-$75k",IF(D182&lt;100000,"$75k-$100k","$100k+")))))</x:f>
        <x:v>$75k-$100k</x:v>
      </x:c>
      <x:c r="P182" t="str">
        <x:f>IF(E182="","Unknown",IF(E182&lt;10,"&lt;10",IF(E182&lt;20,"10-&lt;20",IF(E182&lt;25,"20-&lt;25",IF(E182&lt;35,"25-&lt;35","35+")))))</x:f>
        <x:v>25-&lt;35</x:v>
      </x:c>
    </x:row>
    <x:row r="183">
      <x:c r="A183" t="str">
        <x:v>SYN0000182</x:v>
      </x:c>
      <x:c r="B183" s="12" t="n">
        <x:v>42025</x:v>
      </x:c>
      <x:c r="C183" s="18" t="n">
        <x:v>10943</x:v>
      </x:c>
      <x:c r="D183" s="18" t="n">
        <x:v>42212</x:v>
      </x:c>
      <x:c r="E183" s="18" t="n">
        <x:v>11.57</x:v>
      </x:c>
      <x:c r="F183" s="18" t="n">
        <x:v>9.89</x:v>
      </x:c>
      <x:c r="G183" t="n">
        <x:v>60</x:v>
      </x:c>
      <x:c r="H183" t="str">
        <x:v>B</x:v>
      </x:c>
      <x:c r="I183" t="str">
        <x:v>&lt;1 year</x:v>
      </x:c>
      <x:c r="J183" t="str">
        <x:v>RENT</x:v>
      </x:c>
      <x:c r="K183" t="str">
        <x:v>other</x:v>
      </x:c>
      <x:c r="L183" t="n">
        <x:v>0</x:v>
      </x:c>
      <x:c r="M183" t="n">
        <x:v>0</x:v>
      </x:c>
      <x:c r="N183" t="str">
        <x:v>Fully Paid</x:v>
      </x:c>
      <x:c r="O183" t="str">
        <x:f>IF(D183="","Unknown",IF(D183&lt;25000,"&lt;$25k",IF(D183&lt;50000,"$25k-$50k",IF(D183&lt;75000,"$50k-$75k",IF(D183&lt;100000,"$75k-$100k","$100k+")))))</x:f>
        <x:v>$25k-$50k</x:v>
      </x:c>
      <x:c r="P183" t="str">
        <x:f>IF(E183="","Unknown",IF(E183&lt;10,"&lt;10",IF(E183&lt;20,"10-&lt;20",IF(E183&lt;25,"20-&lt;25",IF(E183&lt;35,"25-&lt;35","35+")))))</x:f>
        <x:v>10-&lt;20</x:v>
      </x:c>
    </x:row>
    <x:row r="184">
      <x:c r="A184" t="str">
        <x:v>SYN0000183</x:v>
      </x:c>
      <x:c r="B184" s="12" t="n">
        <x:v>43285</x:v>
      </x:c>
      <x:c r="C184" s="18" t="n">
        <x:v>10536</x:v>
      </x:c>
      <x:c r="D184" s="18" t="n">
        <x:v>197797</x:v>
      </x:c>
      <x:c r="E184" s="18" t="n">
        <x:v>21.1</x:v>
      </x:c>
      <x:c r="F184" s="18" t="n">
        <x:v>7.87</x:v>
      </x:c>
      <x:c r="G184" t="n">
        <x:v>36</x:v>
      </x:c>
      <x:c r="H184" t="str">
        <x:v>A</x:v>
      </x:c>
      <x:c r="I184" t="str">
        <x:v>10+ years</x:v>
      </x:c>
      <x:c r="J184" t="str">
        <x:v>MORTGAGE</x:v>
      </x:c>
      <x:c r="K184" t="str">
        <x:v>debt_consolidation</x:v>
      </x:c>
      <x:c r="L184" t="n">
        <x:v>0</x:v>
      </x:c>
      <x:c r="M184" t="n">
        <x:v>0</x:v>
      </x:c>
      <x:c r="N184" t="str">
        <x:v>Fully Paid</x:v>
      </x:c>
      <x:c r="O184" t="str">
        <x:f>IF(D184="","Unknown",IF(D184&lt;25000,"&lt;$25k",IF(D184&lt;50000,"$25k-$50k",IF(D184&lt;75000,"$50k-$75k",IF(D184&lt;100000,"$75k-$100k","$100k+")))))</x:f>
        <x:v>$100k+</x:v>
      </x:c>
      <x:c r="P184" t="str">
        <x:f>IF(E184="","Unknown",IF(E184&lt;10,"&lt;10",IF(E184&lt;20,"10-&lt;20",IF(E184&lt;25,"20-&lt;25",IF(E184&lt;35,"25-&lt;35","35+")))))</x:f>
        <x:v>20-&lt;25</x:v>
      </x:c>
    </x:row>
    <x:row r="185">
      <x:c r="A185" t="str">
        <x:v>SYN0000184</x:v>
      </x:c>
      <x:c r="B185" s="12" t="n">
        <x:v>43135</x:v>
      </x:c>
      <x:c r="C185" s="18" t="n">
        <x:v>9074</x:v>
      </x:c>
      <x:c r="D185" s="18" t="n">
        <x:v>45028</x:v>
      </x:c>
      <x:c r="E185" s="18" t="n">
        <x:v>30.78</x:v>
      </x:c>
      <x:c r="F185" s="18" t="n">
        <x:v>14.43</x:v>
      </x:c>
      <x:c r="G185" t="n">
        <x:v>36</x:v>
      </x:c>
      <x:c r="H185" t="str">
        <x:v>D</x:v>
      </x:c>
      <x:c r="I185" t="str">
        <x:v>&lt;1 year</x:v>
      </x:c>
      <x:c r="J185" t="str">
        <x:v>RENT</x:v>
      </x:c>
      <x:c r="K185" t="str">
        <x:v>other</x:v>
      </x:c>
      <x:c r="L185" t="n">
        <x:v>0</x:v>
      </x:c>
      <x:c r="M185" t="n">
        <x:v>0</x:v>
      </x:c>
      <x:c r="N185" t="str">
        <x:v>Fully Paid</x:v>
      </x:c>
      <x:c r="O185" t="str">
        <x:f>IF(D185="","Unknown",IF(D185&lt;25000,"&lt;$25k",IF(D185&lt;50000,"$25k-$50k",IF(D185&lt;75000,"$50k-$75k",IF(D185&lt;100000,"$75k-$100k","$100k+")))))</x:f>
        <x:v>$25k-$50k</x:v>
      </x:c>
      <x:c r="P185" t="str">
        <x:f>IF(E185="","Unknown",IF(E185&lt;10,"&lt;10",IF(E185&lt;20,"10-&lt;20",IF(E185&lt;25,"20-&lt;25",IF(E185&lt;35,"25-&lt;35","35+")))))</x:f>
        <x:v>25-&lt;35</x:v>
      </x:c>
    </x:row>
    <x:row r="186">
      <x:c r="A186" t="str">
        <x:v>SYN0000185</x:v>
      </x:c>
      <x:c r="B186" s="12" t="n">
        <x:v>41455</x:v>
      </x:c>
      <x:c r="C186" s="18" t="n">
        <x:v>10116</x:v>
      </x:c>
      <x:c r="D186" s="18" t="n">
        <x:v>54916</x:v>
      </x:c>
      <x:c r="E186" s="18" t="n">
        <x:v>18.68</x:v>
      </x:c>
      <x:c r="F186" s="18" t="n">
        <x:v>20.89</x:v>
      </x:c>
      <x:c r="G186" t="n">
        <x:v>36</x:v>
      </x:c>
      <x:c r="H186" t="str">
        <x:v>F</x:v>
      </x:c>
      <x:c r="I186" t="str">
        <x:v>&lt;1 year</x:v>
      </x:c>
      <x:c r="J186" t="str">
        <x:v>RENT</x:v>
      </x:c>
      <x:c r="K186" t="str">
        <x:v>debt_consolidation</x:v>
      </x:c>
      <x:c r="L186" t="n">
        <x:v>0</x:v>
      </x:c>
      <x:c r="M186" t="n">
        <x:v>0</x:v>
      </x:c>
      <x:c r="N186" t="str">
        <x:v>Fully Paid</x:v>
      </x:c>
      <x:c r="O186" t="str">
        <x:f>IF(D186="","Unknown",IF(D186&lt;25000,"&lt;$25k",IF(D186&lt;50000,"$25k-$50k",IF(D186&lt;75000,"$50k-$75k",IF(D186&lt;100000,"$75k-$100k","$100k+")))))</x:f>
        <x:v>$50k-$75k</x:v>
      </x:c>
      <x:c r="P186" t="str">
        <x:f>IF(E186="","Unknown",IF(E186&lt;10,"&lt;10",IF(E186&lt;20,"10-&lt;20",IF(E186&lt;25,"20-&lt;25",IF(E186&lt;35,"25-&lt;35","35+")))))</x:f>
        <x:v>10-&lt;20</x:v>
      </x:c>
    </x:row>
    <x:row r="187">
      <x:c r="A187" t="str">
        <x:v>SYN0000186</x:v>
      </x:c>
      <x:c r="B187" s="12" t="n">
        <x:v>41935</x:v>
      </x:c>
      <x:c r="C187" s="18" t="n">
        <x:v>9009</x:v>
      </x:c>
      <x:c r="D187" s="18" t="n">
        <x:v>154237</x:v>
      </x:c>
      <x:c r="E187" s="18" t="n">
        <x:v>36.27</x:v>
      </x:c>
      <x:c r="F187" s="18" t="n">
        <x:v>5</x:v>
      </x:c>
      <x:c r="G187" t="n">
        <x:v>60</x:v>
      </x:c>
      <x:c r="H187" t="str">
        <x:v>B</x:v>
      </x:c>
      <x:c r="I187" t="str">
        <x:v>10+ years</x:v>
      </x:c>
      <x:c r="J187" t="str">
        <x:v>MORTGAGE</x:v>
      </x:c>
      <x:c r="K187" t="str">
        <x:v>other</x:v>
      </x:c>
      <x:c r="L187" t="n">
        <x:v>0</x:v>
      </x:c>
      <x:c r="M187" t="n">
        <x:v>0</x:v>
      </x:c>
      <x:c r="N187" t="str">
        <x:v>Fully Paid</x:v>
      </x:c>
      <x:c r="O187" t="str">
        <x:f>IF(D187="","Unknown",IF(D187&lt;25000,"&lt;$25k",IF(D187&lt;50000,"$25k-$50k",IF(D187&lt;75000,"$50k-$75k",IF(D187&lt;100000,"$75k-$100k","$100k+")))))</x:f>
        <x:v>$100k+</x:v>
      </x:c>
      <x:c r="P187" t="str">
        <x:f>IF(E187="","Unknown",IF(E187&lt;10,"&lt;10",IF(E187&lt;20,"10-&lt;20",IF(E187&lt;25,"20-&lt;25",IF(E187&lt;35,"25-&lt;35","35+")))))</x:f>
        <x:v>35+</x:v>
      </x:c>
    </x:row>
    <x:row r="188">
      <x:c r="A188" t="str">
        <x:v>SYN0000187</x:v>
      </x:c>
      <x:c r="B188" s="12" t="n">
        <x:v>41275</x:v>
      </x:c>
      <x:c r="C188" s="18" t="n">
        <x:v>11789</x:v>
      </x:c>
      <x:c r="D188" s="18" t="n">
        <x:v>117489</x:v>
      </x:c>
      <x:c r="E188" s="18" t="n">
        <x:v>30.15</x:v>
      </x:c>
      <x:c r="F188" s="18" t="n">
        <x:v>8.64</x:v>
      </x:c>
      <x:c r="G188" t="n">
        <x:v>36</x:v>
      </x:c>
      <x:c r="H188" t="str">
        <x:v>C</x:v>
      </x:c>
      <x:c r="I188" t="str">
        <x:v>7-9 years</x:v>
      </x:c>
      <x:c r="J188" t="str">
        <x:v>RENT</x:v>
      </x:c>
      <x:c r="K188" t="str">
        <x:v>medical</x:v>
      </x:c>
      <x:c r="L188" t="n">
        <x:v>3</x:v>
      </x:c>
      <x:c r="M188" t="n">
        <x:v>1</x:v>
      </x:c>
      <x:c r="N188" t="str">
        <x:v>Charged Off</x:v>
      </x:c>
      <x:c r="O188" t="str">
        <x:f>IF(D188="","Unknown",IF(D188&lt;25000,"&lt;$25k",IF(D188&lt;50000,"$25k-$50k",IF(D188&lt;75000,"$50k-$75k",IF(D188&lt;100000,"$75k-$100k","$100k+")))))</x:f>
        <x:v>$100k+</x:v>
      </x:c>
      <x:c r="P188" t="str">
        <x:f>IF(E188="","Unknown",IF(E188&lt;10,"&lt;10",IF(E188&lt;20,"10-&lt;20",IF(E188&lt;25,"20-&lt;25",IF(E188&lt;35,"25-&lt;35","35+")))))</x:f>
        <x:v>25-&lt;35</x:v>
      </x:c>
    </x:row>
    <x:row r="189">
      <x:c r="A189" t="str">
        <x:v>SYN0000188</x:v>
      </x:c>
      <x:c r="B189" s="12" t="n">
        <x:v>42655</x:v>
      </x:c>
      <x:c r="C189" s="18" t="n">
        <x:v>3966</x:v>
      </x:c>
      <x:c r="D189" s="18" t="n">
        <x:v>102739</x:v>
      </x:c>
      <x:c r="E189" s="18" t="n">
        <x:v>18.19</x:v>
      </x:c>
      <x:c r="F189" s="18" t="n">
        <x:v>9.52</x:v>
      </x:c>
      <x:c r="G189" t="n">
        <x:v>36</x:v>
      </x:c>
      <x:c r="H189" t="str">
        <x:v>B</x:v>
      </x:c>
      <x:c r="I189" t="str">
        <x:v>7-9 years</x:v>
      </x:c>
      <x:c r="J189" t="str">
        <x:v>OTHER</x:v>
      </x:c>
      <x:c r="K189" t="str">
        <x:v>debt_consolidation</x:v>
      </x:c>
      <x:c r="L189" t="n">
        <x:v>0</x:v>
      </x:c>
      <x:c r="M189" t="n">
        <x:v>0</x:v>
      </x:c>
      <x:c r="N189" t="str">
        <x:v>Fully Paid</x:v>
      </x:c>
      <x:c r="O189" t="str">
        <x:f>IF(D189="","Unknown",IF(D189&lt;25000,"&lt;$25k",IF(D189&lt;50000,"$25k-$50k",IF(D189&lt;75000,"$50k-$75k",IF(D189&lt;100000,"$75k-$100k","$100k+")))))</x:f>
        <x:v>$100k+</x:v>
      </x:c>
      <x:c r="P189" t="str">
        <x:f>IF(E189="","Unknown",IF(E189&lt;10,"&lt;10",IF(E189&lt;20,"10-&lt;20",IF(E189&lt;25,"20-&lt;25",IF(E189&lt;35,"25-&lt;35","35+")))))</x:f>
        <x:v>10-&lt;20</x:v>
      </x:c>
    </x:row>
    <x:row r="190">
      <x:c r="A190" t="str">
        <x:v>SYN0000189</x:v>
      </x:c>
      <x:c r="B190" s="12" t="n">
        <x:v>42625</x:v>
      </x:c>
      <x:c r="C190" s="18" t="n">
        <x:v>9469</x:v>
      </x:c>
      <x:c r="D190" s="18" t="n">
        <x:v>33483</x:v>
      </x:c>
      <x:c r="E190" s="18" t="n">
        <x:v>19.54</x:v>
      </x:c>
      <x:c r="F190" s="18" t="n">
        <x:v>7.11</x:v>
      </x:c>
      <x:c r="G190" t="n">
        <x:v>36</x:v>
      </x:c>
      <x:c r="H190" t="str">
        <x:v>C</x:v>
      </x:c>
      <x:c r="I190" t="str">
        <x:v>7-9 years</x:v>
      </x:c>
      <x:c r="J190" t="str">
        <x:v>RENT</x:v>
      </x:c>
      <x:c r="K190" t="str">
        <x:v>debt_consolidation</x:v>
      </x:c>
      <x:c r="L190" t="n">
        <x:v>0</x:v>
      </x:c>
      <x:c r="M190" t="n">
        <x:v>0</x:v>
      </x:c>
      <x:c r="N190" t="str">
        <x:v>Fully Paid</x:v>
      </x:c>
      <x:c r="O190" t="str">
        <x:f>IF(D190="","Unknown",IF(D190&lt;25000,"&lt;$25k",IF(D190&lt;50000,"$25k-$50k",IF(D190&lt;75000,"$50k-$75k",IF(D190&lt;100000,"$75k-$100k","$100k+")))))</x:f>
        <x:v>$25k-$50k</x:v>
      </x:c>
      <x:c r="P190" t="str">
        <x:f>IF(E190="","Unknown",IF(E190&lt;10,"&lt;10",IF(E190&lt;20,"10-&lt;20",IF(E190&lt;25,"20-&lt;25",IF(E190&lt;35,"25-&lt;35","35+")))))</x:f>
        <x:v>10-&lt;20</x:v>
      </x:c>
    </x:row>
    <x:row r="191">
      <x:c r="A191" t="str">
        <x:v>SYN0000190</x:v>
      </x:c>
      <x:c r="B191" s="12" t="n">
        <x:v>43165</x:v>
      </x:c>
      <x:c r="C191" s="18" t="n">
        <x:v>8749</x:v>
      </x:c>
      <x:c r="D191" s="18" t="n">
        <x:v>28664</x:v>
      </x:c>
      <x:c r="E191" s="18" t="n">
        <x:v>33.38</x:v>
      </x:c>
      <x:c r="F191" s="18" t="n">
        <x:v>13.76</x:v>
      </x:c>
      <x:c r="G191" t="n">
        <x:v>36</x:v>
      </x:c>
      <x:c r="H191" t="str">
        <x:v>D</x:v>
      </x:c>
      <x:c r="I191" t="str">
        <x:v>4-6 years</x:v>
      </x:c>
      <x:c r="J191" t="str">
        <x:v>RENT</x:v>
      </x:c>
      <x:c r="K191" t="str">
        <x:v>debt_consolidation</x:v>
      </x:c>
      <x:c r="L191" t="n">
        <x:v>0</x:v>
      </x:c>
      <x:c r="M191" t="n">
        <x:v>0</x:v>
      </x:c>
      <x:c r="N191" t="str">
        <x:v>Fully Paid</x:v>
      </x:c>
      <x:c r="O191" t="str">
        <x:f>IF(D191="","Unknown",IF(D191&lt;25000,"&lt;$25k",IF(D191&lt;50000,"$25k-$50k",IF(D191&lt;75000,"$50k-$75k",IF(D191&lt;100000,"$75k-$100k","$100k+")))))</x:f>
        <x:v>$25k-$50k</x:v>
      </x:c>
      <x:c r="P191" t="str">
        <x:f>IF(E191="","Unknown",IF(E191&lt;10,"&lt;10",IF(E191&lt;20,"10-&lt;20",IF(E191&lt;25,"20-&lt;25",IF(E191&lt;35,"25-&lt;35","35+")))))</x:f>
        <x:v>25-&lt;35</x:v>
      </x:c>
    </x:row>
    <x:row r="192">
      <x:c r="A192" t="str">
        <x:v>SYN0000191</x:v>
      </x:c>
      <x:c r="B192" s="12" t="n">
        <x:v>41335</x:v>
      </x:c>
      <x:c r="C192" s="18" t="n">
        <x:v>11507</x:v>
      </x:c>
      <x:c r="D192" s="18" t="n">
        <x:v>53667</x:v>
      </x:c>
      <x:c r="E192" s="18" t="n">
        <x:v>31.41</x:v>
      </x:c>
      <x:c r="F192" s="18" t="n">
        <x:v>17.06</x:v>
      </x:c>
      <x:c r="G192" t="n">
        <x:v>36</x:v>
      </x:c>
      <x:c r="H192" t="str">
        <x:v>E</x:v>
      </x:c>
      <x:c r="I192" t="str">
        <x:v>4-6 years</x:v>
      </x:c>
      <x:c r="J192" t="str">
        <x:v>RENT</x:v>
      </x:c>
      <x:c r="K192" t="str">
        <x:v>debt_consolidation</x:v>
      </x:c>
      <x:c r="L192" t="n">
        <x:v>0</x:v>
      </x:c>
      <x:c r="M192" t="n">
        <x:v>1</x:v>
      </x:c>
      <x:c r="N192" t="str">
        <x:v>Charged Off</x:v>
      </x:c>
      <x:c r="O192" t="str">
        <x:f>IF(D192="","Unknown",IF(D192&lt;25000,"&lt;$25k",IF(D192&lt;50000,"$25k-$50k",IF(D192&lt;75000,"$50k-$75k",IF(D192&lt;100000,"$75k-$100k","$100k+")))))</x:f>
        <x:v>$50k-$75k</x:v>
      </x:c>
      <x:c r="P192" t="str">
        <x:f>IF(E192="","Unknown",IF(E192&lt;10,"&lt;10",IF(E192&lt;20,"10-&lt;20",IF(E192&lt;25,"20-&lt;25",IF(E192&lt;35,"25-&lt;35","35+")))))</x:f>
        <x:v>25-&lt;35</x:v>
      </x:c>
    </x:row>
    <x:row r="193">
      <x:c r="A193" t="str">
        <x:v>SYN0000192</x:v>
      </x:c>
      <x:c r="B193" s="12" t="n">
        <x:v>41575</x:v>
      </x:c>
      <x:c r="C193" s="18" t="n">
        <x:v>9835</x:v>
      </x:c>
      <x:c r="D193" s="18" t="n">
        <x:v>90295</x:v>
      </x:c>
      <x:c r="E193" s="18" t="n">
        <x:v>21.03</x:v>
      </x:c>
      <x:c r="F193" s="18" t="n">
        <x:v>19.77</x:v>
      </x:c>
      <x:c r="G193" t="n">
        <x:v>36</x:v>
      </x:c>
      <x:c r="H193" t="str">
        <x:v>F</x:v>
      </x:c>
      <x:c r="I193" t="str">
        <x:v>7-9 years</x:v>
      </x:c>
      <x:c r="J193" t="str">
        <x:v>RENT</x:v>
      </x:c>
      <x:c r="K193" t="str">
        <x:v>debt_consolidation</x:v>
      </x:c>
      <x:c r="L193" t="n">
        <x:v>0</x:v>
      </x:c>
      <x:c r="M193" t="n">
        <x:v>0</x:v>
      </x:c>
      <x:c r="N193" t="str">
        <x:v>Fully Paid</x:v>
      </x:c>
      <x:c r="O193" t="str">
        <x:f>IF(D193="","Unknown",IF(D193&lt;25000,"&lt;$25k",IF(D193&lt;50000,"$25k-$50k",IF(D193&lt;75000,"$50k-$75k",IF(D193&lt;100000,"$75k-$100k","$100k+")))))</x:f>
        <x:v>$75k-$100k</x:v>
      </x:c>
      <x:c r="P193" t="str">
        <x:f>IF(E193="","Unknown",IF(E193&lt;10,"&lt;10",IF(E193&lt;20,"10-&lt;20",IF(E193&lt;25,"20-&lt;25",IF(E193&lt;35,"25-&lt;35","35+")))))</x:f>
        <x:v>20-&lt;25</x:v>
      </x:c>
    </x:row>
    <x:row r="194">
      <x:c r="A194" t="str">
        <x:v>SYN0000193</x:v>
      </x:c>
      <x:c r="B194" s="12" t="n">
        <x:v>42715</x:v>
      </x:c>
      <x:c r="C194" s="18" t="n">
        <x:v>15542</x:v>
      </x:c>
      <x:c r="D194" s="18" t="n">
        <x:v>65405</x:v>
      </x:c>
      <x:c r="E194" s="18" t="n">
        <x:v>10.59</x:v>
      </x:c>
      <x:c r="F194" s="18" t="n">
        <x:v>13.03</x:v>
      </x:c>
      <x:c r="G194" t="n">
        <x:v>60</x:v>
      </x:c>
      <x:c r="H194" t="str">
        <x:v>C</x:v>
      </x:c>
      <x:c r="I194" t="str">
        <x:v>10+ years</x:v>
      </x:c>
      <x:c r="J194" t="str">
        <x:v>OWN</x:v>
      </x:c>
      <x:c r="K194" t="str">
        <x:v>major_purchase</x:v>
      </x:c>
      <x:c r="L194" t="n">
        <x:v>1</x:v>
      </x:c>
      <x:c r="M194" t="n">
        <x:v>1</x:v>
      </x:c>
      <x:c r="N194" t="str">
        <x:v>Charged Off</x:v>
      </x:c>
      <x:c r="O194" t="str">
        <x:f>IF(D194="","Unknown",IF(D194&lt;25000,"&lt;$25k",IF(D194&lt;50000,"$25k-$50k",IF(D194&lt;75000,"$50k-$75k",IF(D194&lt;100000,"$75k-$100k","$100k+")))))</x:f>
        <x:v>$50k-$75k</x:v>
      </x:c>
      <x:c r="P194" t="str">
        <x:f>IF(E194="","Unknown",IF(E194&lt;10,"&lt;10",IF(E194&lt;20,"10-&lt;20",IF(E194&lt;25,"20-&lt;25",IF(E194&lt;35,"25-&lt;35","35+")))))</x:f>
        <x:v>10-&lt;20</x:v>
      </x:c>
    </x:row>
    <x:row r="195">
      <x:c r="A195" t="str">
        <x:v>SYN0000194</x:v>
      </x:c>
      <x:c r="B195" s="12" t="n">
        <x:v>41965</x:v>
      </x:c>
      <x:c r="C195" s="18" t="n">
        <x:v>7121</x:v>
      </x:c>
      <x:c r="D195" s="18" t="n">
        <x:v>33558</x:v>
      </x:c>
      <x:c r="E195" s="18" t="n">
        <x:v>10.07</x:v>
      </x:c>
      <x:c r="F195" s="18" t="n">
        <x:v>21.35</x:v>
      </x:c>
      <x:c r="G195" t="n">
        <x:v>36</x:v>
      </x:c>
      <x:c r="H195" t="str">
        <x:v>E</x:v>
      </x:c>
      <x:c r="I195" t="str">
        <x:v>7-9 years</x:v>
      </x:c>
      <x:c r="J195" t="str">
        <x:v>RENT</x:v>
      </x:c>
      <x:c r="K195" t="str">
        <x:v>major_purchase</x:v>
      </x:c>
      <x:c r="L195" t="n">
        <x:v>1</x:v>
      </x:c>
      <x:c r="M195" t="n">
        <x:v>0</x:v>
      </x:c>
      <x:c r="N195" t="str">
        <x:v>Fully Paid</x:v>
      </x:c>
      <x:c r="O195" t="str">
        <x:f>IF(D195="","Unknown",IF(D195&lt;25000,"&lt;$25k",IF(D195&lt;50000,"$25k-$50k",IF(D195&lt;75000,"$50k-$75k",IF(D195&lt;100000,"$75k-$100k","$100k+")))))</x:f>
        <x:v>$25k-$50k</x:v>
      </x:c>
      <x:c r="P195" t="str">
        <x:f>IF(E195="","Unknown",IF(E195&lt;10,"&lt;10",IF(E195&lt;20,"10-&lt;20",IF(E195&lt;25,"20-&lt;25",IF(E195&lt;35,"25-&lt;35","35+")))))</x:f>
        <x:v>10-&lt;20</x:v>
      </x:c>
    </x:row>
    <x:row r="196">
      <x:c r="A196" t="str">
        <x:v>SYN0000195</x:v>
      </x:c>
      <x:c r="B196" s="12" t="n">
        <x:v>42025</x:v>
      </x:c>
      <x:c r="C196" s="18" t="n">
        <x:v>24055</x:v>
      </x:c>
      <x:c r="D196" s="18" t="n">
        <x:v>35142</x:v>
      </x:c>
      <x:c r="E196" s="18" t="n">
        <x:v>16.55</x:v>
      </x:c>
      <x:c r="F196" s="18" t="n">
        <x:v>20.53</x:v>
      </x:c>
      <x:c r="G196" t="n">
        <x:v>36</x:v>
      </x:c>
      <x:c r="H196" t="str">
        <x:v>F</x:v>
      </x:c>
      <x:c r="I196" t="str">
        <x:v>1-3 years</x:v>
      </x:c>
      <x:c r="J196" t="str">
        <x:v>MORTGAGE</x:v>
      </x:c>
      <x:c r="K196" t="str">
        <x:v>major_purchase</x:v>
      </x:c>
      <x:c r="L196" t="n">
        <x:v>0</x:v>
      </x:c>
      <x:c r="M196" t="n">
        <x:v>0</x:v>
      </x:c>
      <x:c r="N196" t="str">
        <x:v>Fully Paid</x:v>
      </x:c>
      <x:c r="O196" t="str">
        <x:f>IF(D196="","Unknown",IF(D196&lt;25000,"&lt;$25k",IF(D196&lt;50000,"$25k-$50k",IF(D196&lt;75000,"$50k-$75k",IF(D196&lt;100000,"$75k-$100k","$100k+")))))</x:f>
        <x:v>$25k-$50k</x:v>
      </x:c>
      <x:c r="P196" t="str">
        <x:f>IF(E196="","Unknown",IF(E196&lt;10,"&lt;10",IF(E196&lt;20,"10-&lt;20",IF(E196&lt;25,"20-&lt;25",IF(E196&lt;35,"25-&lt;35","35+")))))</x:f>
        <x:v>10-&lt;20</x:v>
      </x:c>
    </x:row>
    <x:row r="197">
      <x:c r="A197" t="str">
        <x:v>SYN0000196</x:v>
      </x:c>
      <x:c r="B197" s="12" t="n">
        <x:v>42985</x:v>
      </x:c>
      <x:c r="C197" s="18" t="n">
        <x:v>10409</x:v>
      </x:c>
      <x:c r="D197" s="18" t="n">
        <x:v>73424</x:v>
      </x:c>
      <x:c r="E197" s="18" t="n">
        <x:v>24.81</x:v>
      </x:c>
      <x:c r="F197" s="18" t="n">
        <x:v>13.98</x:v>
      </x:c>
      <x:c r="G197" t="n">
        <x:v>60</x:v>
      </x:c>
      <x:c r="H197" t="str">
        <x:v>D</x:v>
      </x:c>
      <x:c r="I197" t="str">
        <x:v>4-6 years</x:v>
      </x:c>
      <x:c r="J197" t="str">
        <x:v>RENT</x:v>
      </x:c>
      <x:c r="K197" t="str">
        <x:v>debt_consolidation</x:v>
      </x:c>
      <x:c r="L197" t="n">
        <x:v>0</x:v>
      </x:c>
      <x:c r="M197" t="n">
        <x:v>0</x:v>
      </x:c>
      <x:c r="N197" t="str">
        <x:v>Fully Paid</x:v>
      </x:c>
      <x:c r="O197" t="str">
        <x:f>IF(D197="","Unknown",IF(D197&lt;25000,"&lt;$25k",IF(D197&lt;50000,"$25k-$50k",IF(D197&lt;75000,"$50k-$75k",IF(D197&lt;100000,"$75k-$100k","$100k+")))))</x:f>
        <x:v>$50k-$75k</x:v>
      </x:c>
      <x:c r="P197" t="str">
        <x:f>IF(E197="","Unknown",IF(E197&lt;10,"&lt;10",IF(E197&lt;20,"10-&lt;20",IF(E197&lt;25,"20-&lt;25",IF(E197&lt;35,"25-&lt;35","35+")))))</x:f>
        <x:v>20-&lt;25</x:v>
      </x:c>
    </x:row>
    <x:row r="198">
      <x:c r="A198" t="str">
        <x:v>SYN0000197</x:v>
      </x:c>
      <x:c r="B198" s="12" t="n">
        <x:v>41515</x:v>
      </x:c>
      <x:c r="C198" s="18" t="n">
        <x:v>16276</x:v>
      </x:c>
      <x:c r="D198" s="18" t="n">
        <x:v>20681</x:v>
      </x:c>
      <x:c r="E198" s="18" t="n">
        <x:v>17.05</x:v>
      </x:c>
      <x:c r="F198" s="18" t="n">
        <x:v>14.98</x:v>
      </x:c>
      <x:c r="G198" t="n">
        <x:v>60</x:v>
      </x:c>
      <x:c r="H198" t="str">
        <x:v>D</x:v>
      </x:c>
      <x:c r="I198" t="str">
        <x:v>7-9 years</x:v>
      </x:c>
      <x:c r="J198" t="str">
        <x:v>MORTGAGE</x:v>
      </x:c>
      <x:c r="K198" t="str">
        <x:v>debt_consolidation</x:v>
      </x:c>
      <x:c r="L198" t="n">
        <x:v>0</x:v>
      </x:c>
      <x:c r="M198" t="n">
        <x:v>0</x:v>
      </x:c>
      <x:c r="N198" t="str">
        <x:v>Fully Paid</x:v>
      </x:c>
      <x:c r="O198" t="str">
        <x:f>IF(D198="","Unknown",IF(D198&lt;25000,"&lt;$25k",IF(D198&lt;50000,"$25k-$50k",IF(D198&lt;75000,"$50k-$75k",IF(D198&lt;100000,"$75k-$100k","$100k+")))))</x:f>
        <x:v>&lt;$25k</x:v>
      </x:c>
      <x:c r="P198" t="str">
        <x:f>IF(E198="","Unknown",IF(E198&lt;10,"&lt;10",IF(E198&lt;20,"10-&lt;20",IF(E198&lt;25,"20-&lt;25",IF(E198&lt;35,"25-&lt;35","35+")))))</x:f>
        <x:v>10-&lt;20</x:v>
      </x:c>
    </x:row>
    <x:row r="199">
      <x:c r="A199" t="str">
        <x:v>SYN0000198</x:v>
      </x:c>
      <x:c r="B199" s="12" t="n">
        <x:v>42445</x:v>
      </x:c>
      <x:c r="C199" s="18" t="n">
        <x:v>7391</x:v>
      </x:c>
      <x:c r="D199" s="18" t="n">
        <x:v>60356</x:v>
      </x:c>
      <x:c r="E199" s="18" t="n">
        <x:v>23.75</x:v>
      </x:c>
      <x:c r="F199" s="18" t="n">
        <x:v>8.43</x:v>
      </x:c>
      <x:c r="G199" t="n">
        <x:v>36</x:v>
      </x:c>
      <x:c r="H199" t="str">
        <x:v>B</x:v>
      </x:c>
      <x:c r="I199" t="str">
        <x:v>10+ years</x:v>
      </x:c>
      <x:c r="J199" t="str">
        <x:v>MORTGAGE</x:v>
      </x:c>
      <x:c r="K199" t="str">
        <x:v>debt_consolidation</x:v>
      </x:c>
      <x:c r="L199" t="n">
        <x:v>0</x:v>
      </x:c>
      <x:c r="M199" t="n">
        <x:v>0</x:v>
      </x:c>
      <x:c r="N199" t="str">
        <x:v>Fully Paid</x:v>
      </x:c>
      <x:c r="O199" t="str">
        <x:f>IF(D199="","Unknown",IF(D199&lt;25000,"&lt;$25k",IF(D199&lt;50000,"$25k-$50k",IF(D199&lt;75000,"$50k-$75k",IF(D199&lt;100000,"$75k-$100k","$100k+")))))</x:f>
        <x:v>$50k-$75k</x:v>
      </x:c>
      <x:c r="P199" t="str">
        <x:f>IF(E199="","Unknown",IF(E199&lt;10,"&lt;10",IF(E199&lt;20,"10-&lt;20",IF(E199&lt;25,"20-&lt;25",IF(E199&lt;35,"25-&lt;35","35+")))))</x:f>
        <x:v>20-&lt;25</x:v>
      </x:c>
    </x:row>
    <x:row r="200">
      <x:c r="A200" t="str">
        <x:v>SYN0000199</x:v>
      </x:c>
      <x:c r="B200" s="12" t="n">
        <x:v>42865</x:v>
      </x:c>
      <x:c r="C200" s="18" t="n">
        <x:v>17487</x:v>
      </x:c>
      <x:c r="D200" s="18" t="n">
        <x:v>153012</x:v>
      </x:c>
      <x:c r="E200" s="18" t="n">
        <x:v>10.79</x:v>
      </x:c>
      <x:c r="F200" s="18" t="n">
        <x:v>10.35</x:v>
      </x:c>
      <x:c r="G200" t="n">
        <x:v>36</x:v>
      </x:c>
      <x:c r="H200" t="str">
        <x:v>B</x:v>
      </x:c>
      <x:c r="I200" t="str">
        <x:v>1-3 years</x:v>
      </x:c>
      <x:c r="J200" t="str">
        <x:v>RENT</x:v>
      </x:c>
      <x:c r="K200" t="str">
        <x:v>debt_consolidation</x:v>
      </x:c>
      <x:c r="L200" t="n">
        <x:v>0</x:v>
      </x:c>
      <x:c r="M200" t="n">
        <x:v>0</x:v>
      </x:c>
      <x:c r="N200" t="str">
        <x:v>Fully Paid</x:v>
      </x:c>
      <x:c r="O200" t="str">
        <x:f>IF(D200="","Unknown",IF(D200&lt;25000,"&lt;$25k",IF(D200&lt;50000,"$25k-$50k",IF(D200&lt;75000,"$50k-$75k",IF(D200&lt;100000,"$75k-$100k","$100k+")))))</x:f>
        <x:v>$100k+</x:v>
      </x:c>
      <x:c r="P200" t="str">
        <x:f>IF(E200="","Unknown",IF(E200&lt;10,"&lt;10",IF(E200&lt;20,"10-&lt;20",IF(E200&lt;25,"20-&lt;25",IF(E200&lt;35,"25-&lt;35","35+")))))</x:f>
        <x:v>10-&lt;20</x:v>
      </x:c>
    </x:row>
    <x:row r="201">
      <x:c r="A201" t="str">
        <x:v>SYN0000200</x:v>
      </x:c>
      <x:c r="B201" s="12" t="n">
        <x:v>42835</x:v>
      </x:c>
      <x:c r="C201" s="18" t="n">
        <x:v>7675</x:v>
      </x:c>
      <x:c r="D201" s="18" t="n">
        <x:v>24445</x:v>
      </x:c>
      <x:c r="E201" s="18" t="n">
        <x:v>22.82</x:v>
      </x:c>
      <x:c r="F201" s="18" t="n">
        <x:v>16.87</x:v>
      </x:c>
      <x:c r="G201" t="n">
        <x:v>60</x:v>
      </x:c>
      <x:c r="H201" t="str">
        <x:v>E</x:v>
      </x:c>
      <x:c r="I201" t="str">
        <x:v>10+ years</x:v>
      </x:c>
      <x:c r="J201" t="str">
        <x:v>MORTGAGE</x:v>
      </x:c>
      <x:c r="K201" t="str">
        <x:v>debt_consolidation</x:v>
      </x:c>
      <x:c r="L201" t="n">
        <x:v>1</x:v>
      </x:c>
      <x:c r="M201" t="n">
        <x:v>0</x:v>
      </x:c>
      <x:c r="N201" t="str">
        <x:v>Fully Paid</x:v>
      </x:c>
      <x:c r="O201" t="str">
        <x:f>IF(D201="","Unknown",IF(D201&lt;25000,"&lt;$25k",IF(D201&lt;50000,"$25k-$50k",IF(D201&lt;75000,"$50k-$75k",IF(D201&lt;100000,"$75k-$100k","$100k+")))))</x:f>
        <x:v>&lt;$25k</x:v>
      </x:c>
      <x:c r="P201" t="str">
        <x:f>IF(E201="","Unknown",IF(E201&lt;10,"&lt;10",IF(E201&lt;20,"10-&lt;20",IF(E201&lt;25,"20-&lt;25",IF(E201&lt;35,"25-&lt;35","35+")))))</x:f>
        <x:v>20-&lt;25</x:v>
      </x:c>
    </x:row>
    <x:row r="202">
      <x:c r="A202" t="str">
        <x:v>SYN0000201</x:v>
      </x:c>
      <x:c r="B202" s="12" t="n">
        <x:v>42295</x:v>
      </x:c>
      <x:c r="C202" s="18" t="n">
        <x:v>10433</x:v>
      </x:c>
      <x:c r="D202" s="18" t="n">
        <x:v>40821</x:v>
      </x:c>
      <x:c r="E202" s="18" t="n">
        <x:v>26.47</x:v>
      </x:c>
      <x:c r="F202" s="18" t="n">
        <x:v>6.82</x:v>
      </x:c>
      <x:c r="G202" t="n">
        <x:v>36</x:v>
      </x:c>
      <x:c r="H202" t="str">
        <x:v>B</x:v>
      </x:c>
      <x:c r="I202" t="str">
        <x:v>10+ years</x:v>
      </x:c>
      <x:c r="J202" t="str">
        <x:v>MORTGAGE</x:v>
      </x:c>
      <x:c r="K202" t="str">
        <x:v>debt_consolidation</x:v>
      </x:c>
      <x:c r="L202" t="n">
        <x:v>0</x:v>
      </x:c>
      <x:c r="M202" t="n">
        <x:v>0</x:v>
      </x:c>
      <x:c r="N202" t="str">
        <x:v>Fully Paid</x:v>
      </x:c>
      <x:c r="O202" t="str">
        <x:f>IF(D202="","Unknown",IF(D202&lt;25000,"&lt;$25k",IF(D202&lt;50000,"$25k-$50k",IF(D202&lt;75000,"$50k-$75k",IF(D202&lt;100000,"$75k-$100k","$100k+")))))</x:f>
        <x:v>$25k-$50k</x:v>
      </x:c>
      <x:c r="P202" t="str">
        <x:f>IF(E202="","Unknown",IF(E202&lt;10,"&lt;10",IF(E202&lt;20,"10-&lt;20",IF(E202&lt;25,"20-&lt;25",IF(E202&lt;35,"25-&lt;35","35+")))))</x:f>
        <x:v>25-&lt;35</x:v>
      </x:c>
    </x:row>
    <x:row r="203">
      <x:c r="A203" t="str">
        <x:v>SYN0000202</x:v>
      </x:c>
      <x:c r="B203" s="12" t="n">
        <x:v>42745</x:v>
      </x:c>
      <x:c r="C203" s="18" t="n">
        <x:v>14084</x:v>
      </x:c>
      <x:c r="D203" s="18" t="n">
        <x:v>52365</x:v>
      </x:c>
      <x:c r="E203" s="18" t="n">
        <x:v>15.16</x:v>
      </x:c>
      <x:c r="F203" s="18" t="n">
        <x:v>12.51</x:v>
      </x:c>
      <x:c r="G203" t="n">
        <x:v>60</x:v>
      </x:c>
      <x:c r="H203" t="str">
        <x:v>B</x:v>
      </x:c>
      <x:c r="I203" t="str">
        <x:v>4-6 years</x:v>
      </x:c>
      <x:c r="J203" t="str">
        <x:v>RENT</x:v>
      </x:c>
      <x:c r="K203" t="str">
        <x:v>debt_consolidation</x:v>
      </x:c>
      <x:c r="L203" t="n">
        <x:v>0</x:v>
      </x:c>
      <x:c r="M203" t="n">
        <x:v>1</x:v>
      </x:c>
      <x:c r="N203" t="str">
        <x:v>Charged Off</x:v>
      </x:c>
      <x:c r="O203" t="str">
        <x:f>IF(D203="","Unknown",IF(D203&lt;25000,"&lt;$25k",IF(D203&lt;50000,"$25k-$50k",IF(D203&lt;75000,"$50k-$75k",IF(D203&lt;100000,"$75k-$100k","$100k+")))))</x:f>
        <x:v>$50k-$75k</x:v>
      </x:c>
      <x:c r="P203" t="str">
        <x:f>IF(E203="","Unknown",IF(E203&lt;10,"&lt;10",IF(E203&lt;20,"10-&lt;20",IF(E203&lt;25,"20-&lt;25",IF(E203&lt;35,"25-&lt;35","35+")))))</x:f>
        <x:v>10-&lt;20</x:v>
      </x:c>
    </x:row>
    <x:row r="204">
      <x:c r="A204" t="str">
        <x:v>SYN0000203</x:v>
      </x:c>
      <x:c r="B204" s="12" t="n">
        <x:v>41305</x:v>
      </x:c>
      <x:c r="C204" s="18" t="n">
        <x:v>14152</x:v>
      </x:c>
      <x:c r="D204" s="18" t="n">
        <x:v>22399</x:v>
      </x:c>
      <x:c r="E204" s="18" t="n">
        <x:v>15.43</x:v>
      </x:c>
      <x:c r="F204" s="18" t="n">
        <x:v>11.17</x:v>
      </x:c>
      <x:c r="G204" t="n">
        <x:v>36</x:v>
      </x:c>
      <x:c r="H204" t="str">
        <x:v>C</x:v>
      </x:c>
      <x:c r="I204" t="str">
        <x:v>&lt;1 year</x:v>
      </x:c>
      <x:c r="J204" t="str">
        <x:v>RENT</x:v>
      </x:c>
      <x:c r="K204" t="str">
        <x:v>credit_card</x:v>
      </x:c>
      <x:c r="L204" t="n">
        <x:v>1</x:v>
      </x:c>
      <x:c r="M204" t="n">
        <x:v>0</x:v>
      </x:c>
      <x:c r="N204" t="str">
        <x:v>Fully Paid</x:v>
      </x:c>
      <x:c r="O204" t="str">
        <x:f>IF(D204="","Unknown",IF(D204&lt;25000,"&lt;$25k",IF(D204&lt;50000,"$25k-$50k",IF(D204&lt;75000,"$50k-$75k",IF(D204&lt;100000,"$75k-$100k","$100k+")))))</x:f>
        <x:v>&lt;$25k</x:v>
      </x:c>
      <x:c r="P204" t="str">
        <x:f>IF(E204="","Unknown",IF(E204&lt;10,"&lt;10",IF(E204&lt;20,"10-&lt;20",IF(E204&lt;25,"20-&lt;25",IF(E204&lt;35,"25-&lt;35","35+")))))</x:f>
        <x:v>10-&lt;20</x:v>
      </x:c>
    </x:row>
    <x:row r="205">
      <x:c r="A205" t="str">
        <x:v>SYN0000204</x:v>
      </x:c>
      <x:c r="B205" s="12" t="n">
        <x:v>42505</x:v>
      </x:c>
      <x:c r="C205" s="18" t="n">
        <x:v>9863</x:v>
      </x:c>
      <x:c r="D205" s="18" t="n">
        <x:v>55928</x:v>
      </x:c>
      <x:c r="E205" s="18" t="n">
        <x:v>8.95</x:v>
      </x:c>
      <x:c r="F205" s="18" t="n">
        <x:v>5.98</x:v>
      </x:c>
      <x:c r="G205" t="n">
        <x:v>60</x:v>
      </x:c>
      <x:c r="H205" t="str">
        <x:v>B</x:v>
      </x:c>
      <x:c r="I205" t="str">
        <x:v>10+ years</x:v>
      </x:c>
      <x:c r="J205" t="str">
        <x:v>MORTGAGE</x:v>
      </x:c>
      <x:c r="K205" t="str">
        <x:v>home_improvement</x:v>
      </x:c>
      <x:c r="L205" t="n">
        <x:v>0</x:v>
      </x:c>
      <x:c r="M205" t="n">
        <x:v>0</x:v>
      </x:c>
      <x:c r="N205" t="str">
        <x:v>Fully Paid</x:v>
      </x:c>
      <x:c r="O205" t="str">
        <x:f>IF(D205="","Unknown",IF(D205&lt;25000,"&lt;$25k",IF(D205&lt;50000,"$25k-$50k",IF(D205&lt;75000,"$50k-$75k",IF(D205&lt;100000,"$75k-$100k","$100k+")))))</x:f>
        <x:v>$50k-$75k</x:v>
      </x:c>
      <x:c r="P205" t="str">
        <x:f>IF(E205="","Unknown",IF(E205&lt;10,"&lt;10",IF(E205&lt;20,"10-&lt;20",IF(E205&lt;25,"20-&lt;25",IF(E205&lt;35,"25-&lt;35","35+")))))</x:f>
        <x:v>&lt;10</x:v>
      </x:c>
    </x:row>
    <x:row r="206">
      <x:c r="A206" t="str">
        <x:v>SYN0000205</x:v>
      </x:c>
      <x:c r="B206" s="12" t="n">
        <x:v>42835</x:v>
      </x:c>
      <x:c r="C206" s="18" t="n">
        <x:v>12872</x:v>
      </x:c>
      <x:c r="D206" s="18" t="n">
        <x:v>23564</x:v>
      </x:c>
      <x:c r="E206" s="18" t="n">
        <x:v>28.84</x:v>
      </x:c>
      <x:c r="F206" s="18" t="n">
        <x:v>16.68</x:v>
      </x:c>
      <x:c r="G206" t="n">
        <x:v>60</x:v>
      </x:c>
      <x:c r="H206" t="str">
        <x:v>D</x:v>
      </x:c>
      <x:c r="I206" t="str">
        <x:v>4-6 years</x:v>
      </x:c>
      <x:c r="J206" t="str">
        <x:v>MORTGAGE</x:v>
      </x:c>
      <x:c r="K206" t="str">
        <x:v>debt_consolidation</x:v>
      </x:c>
      <x:c r="L206" t="n">
        <x:v>0</x:v>
      </x:c>
      <x:c r="M206" t="n">
        <x:v>1</x:v>
      </x:c>
      <x:c r="N206" t="str">
        <x:v>Charged Off</x:v>
      </x:c>
      <x:c r="O206" t="str">
        <x:f>IF(D206="","Unknown",IF(D206&lt;25000,"&lt;$25k",IF(D206&lt;50000,"$25k-$50k",IF(D206&lt;75000,"$50k-$75k",IF(D206&lt;100000,"$75k-$100k","$100k+")))))</x:f>
        <x:v>&lt;$25k</x:v>
      </x:c>
      <x:c r="P206" t="str">
        <x:f>IF(E206="","Unknown",IF(E206&lt;10,"&lt;10",IF(E206&lt;20,"10-&lt;20",IF(E206&lt;25,"20-&lt;25",IF(E206&lt;35,"25-&lt;35","35+")))))</x:f>
        <x:v>25-&lt;35</x:v>
      </x:c>
    </x:row>
    <x:row r="207">
      <x:c r="A207" t="str">
        <x:v>SYN0000206</x:v>
      </x:c>
      <x:c r="B207" s="12" t="n">
        <x:v>42175</x:v>
      </x:c>
      <x:c r="C207" s="18" t="n">
        <x:v>7206</x:v>
      </x:c>
      <x:c r="D207" s="18" t="n">
        <x:v>61374</x:v>
      </x:c>
      <x:c r="E207" s="18" t="n">
        <x:v>24.13</x:v>
      </x:c>
      <x:c r="F207" s="18" t="n">
        <x:v>7.61</x:v>
      </x:c>
      <x:c r="G207" t="n">
        <x:v>60</x:v>
      </x:c>
      <x:c r="H207" t="str">
        <x:v>A</x:v>
      </x:c>
      <x:c r="I207" t="str">
        <x:v>7-9 years</x:v>
      </x:c>
      <x:c r="J207" t="str">
        <x:v>MORTGAGE</x:v>
      </x:c>
      <x:c r="K207" t="str">
        <x:v>debt_consolidation</x:v>
      </x:c>
      <x:c r="L207" t="n">
        <x:v>0</x:v>
      </x:c>
      <x:c r="M207" t="n">
        <x:v>0</x:v>
      </x:c>
      <x:c r="N207" t="str">
        <x:v>Fully Paid</x:v>
      </x:c>
      <x:c r="O207" t="str">
        <x:f>IF(D207="","Unknown",IF(D207&lt;25000,"&lt;$25k",IF(D207&lt;50000,"$25k-$50k",IF(D207&lt;75000,"$50k-$75k",IF(D207&lt;100000,"$75k-$100k","$100k+")))))</x:f>
        <x:v>$50k-$75k</x:v>
      </x:c>
      <x:c r="P207" t="str">
        <x:f>IF(E207="","Unknown",IF(E207&lt;10,"&lt;10",IF(E207&lt;20,"10-&lt;20",IF(E207&lt;25,"20-&lt;25",IF(E207&lt;35,"25-&lt;35","35+")))))</x:f>
        <x:v>20-&lt;25</x:v>
      </x:c>
    </x:row>
    <x:row r="208">
      <x:c r="A208" t="str">
        <x:v>SYN0000207</x:v>
      </x:c>
      <x:c r="B208" s="12" t="n">
        <x:v>42145</x:v>
      </x:c>
      <x:c r="C208" s="18" t="n">
        <x:v>8267</x:v>
      </x:c>
      <x:c r="D208" s="18" t="n">
        <x:v>80696</x:v>
      </x:c>
      <x:c r="E208" s="18" t="n">
        <x:v>28.62</x:v>
      </x:c>
      <x:c r="F208" s="18" t="n">
        <x:v>7.58</x:v>
      </x:c>
      <x:c r="G208" t="n">
        <x:v>36</x:v>
      </x:c>
      <x:c r="H208" t="str">
        <x:v>C</x:v>
      </x:c>
      <x:c r="I208" t="str">
        <x:v>1-3 years</x:v>
      </x:c>
      <x:c r="J208" t="str">
        <x:v>RENT</x:v>
      </x:c>
      <x:c r="K208" t="str">
        <x:v>debt_consolidation</x:v>
      </x:c>
      <x:c r="L208" t="n">
        <x:v>0</x:v>
      </x:c>
      <x:c r="M208" t="n">
        <x:v>0</x:v>
      </x:c>
      <x:c r="N208" t="str">
        <x:v>Fully Paid</x:v>
      </x:c>
      <x:c r="O208" t="str">
        <x:f>IF(D208="","Unknown",IF(D208&lt;25000,"&lt;$25k",IF(D208&lt;50000,"$25k-$50k",IF(D208&lt;75000,"$50k-$75k",IF(D208&lt;100000,"$75k-$100k","$100k+")))))</x:f>
        <x:v>$75k-$100k</x:v>
      </x:c>
      <x:c r="P208" t="str">
        <x:f>IF(E208="","Unknown",IF(E208&lt;10,"&lt;10",IF(E208&lt;20,"10-&lt;20",IF(E208&lt;25,"20-&lt;25",IF(E208&lt;35,"25-&lt;35","35+")))))</x:f>
        <x:v>25-&lt;35</x:v>
      </x:c>
    </x:row>
    <x:row r="209">
      <x:c r="A209" t="str">
        <x:v>SYN0000208</x:v>
      </x:c>
      <x:c r="B209" s="12" t="n">
        <x:v>41665</x:v>
      </x:c>
      <x:c r="C209" s="18" t="n">
        <x:v>18467</x:v>
      </x:c>
      <x:c r="D209" s="18" t="n">
        <x:v>37135</x:v>
      </x:c>
      <x:c r="E209" s="18" t="n">
        <x:v>21.48</x:v>
      </x:c>
      <x:c r="F209" s="18" t="n">
        <x:v>11.08</x:v>
      </x:c>
      <x:c r="G209" t="n">
        <x:v>36</x:v>
      </x:c>
      <x:c r="H209" t="str">
        <x:v>B</x:v>
      </x:c>
      <x:c r="I209" t="str">
        <x:v>4-6 years</x:v>
      </x:c>
      <x:c r="J209" t="str">
        <x:v>RENT</x:v>
      </x:c>
      <x:c r="K209" t="str">
        <x:v>debt_consolidation</x:v>
      </x:c>
      <x:c r="L209" t="n">
        <x:v>0</x:v>
      </x:c>
      <x:c r="M209" t="n">
        <x:v>0</x:v>
      </x:c>
      <x:c r="N209" t="str">
        <x:v>Fully Paid</x:v>
      </x:c>
      <x:c r="O209" t="str">
        <x:f>IF(D209="","Unknown",IF(D209&lt;25000,"&lt;$25k",IF(D209&lt;50000,"$25k-$50k",IF(D209&lt;75000,"$50k-$75k",IF(D209&lt;100000,"$75k-$100k","$100k+")))))</x:f>
        <x:v>$25k-$50k</x:v>
      </x:c>
      <x:c r="P209" t="str">
        <x:f>IF(E209="","Unknown",IF(E209&lt;10,"&lt;10",IF(E209&lt;20,"10-&lt;20",IF(E209&lt;25,"20-&lt;25",IF(E209&lt;35,"25-&lt;35","35+")))))</x:f>
        <x:v>20-&lt;25</x:v>
      </x:c>
    </x:row>
    <x:row r="210">
      <x:c r="A210" t="str">
        <x:v>SYN0000209</x:v>
      </x:c>
      <x:c r="B210" s="12" t="n">
        <x:v>41635</x:v>
      </x:c>
      <x:c r="C210" s="18" t="n">
        <x:v>30529</x:v>
      </x:c>
      <x:c r="D210" s="18" t="n">
        <x:v>53181</x:v>
      </x:c>
      <x:c r="E210" s="18" t="n">
        <x:v>22.84</x:v>
      </x:c>
      <x:c r="F210" s="18" t="n">
        <x:v>10.06</x:v>
      </x:c>
      <x:c r="G210" t="n">
        <x:v>36</x:v>
      </x:c>
      <x:c r="H210" t="str">
        <x:v>B</x:v>
      </x:c>
      <x:c r="I210" t="str">
        <x:v>10+ years</x:v>
      </x:c>
      <x:c r="J210" t="str">
        <x:v>MORTGAGE</x:v>
      </x:c>
      <x:c r="K210" t="str">
        <x:v>debt_consolidation</x:v>
      </x:c>
      <x:c r="L210" t="n">
        <x:v>1</x:v>
      </x:c>
      <x:c r="M210" t="n">
        <x:v>0</x:v>
      </x:c>
      <x:c r="N210" t="str">
        <x:v>Fully Paid</x:v>
      </x:c>
      <x:c r="O210" t="str">
        <x:f>IF(D210="","Unknown",IF(D210&lt;25000,"&lt;$25k",IF(D210&lt;50000,"$25k-$50k",IF(D210&lt;75000,"$50k-$75k",IF(D210&lt;100000,"$75k-$100k","$100k+")))))</x:f>
        <x:v>$50k-$75k</x:v>
      </x:c>
      <x:c r="P210" t="str">
        <x:f>IF(E210="","Unknown",IF(E210&lt;10,"&lt;10",IF(E210&lt;20,"10-&lt;20",IF(E210&lt;25,"20-&lt;25",IF(E210&lt;35,"25-&lt;35","35+")))))</x:f>
        <x:v>20-&lt;25</x:v>
      </x:c>
    </x:row>
    <x:row r="211">
      <x:c r="A211" t="str">
        <x:v>SYN0000210</x:v>
      </x:c>
      <x:c r="B211" s="12" t="n">
        <x:v>42805</x:v>
      </x:c>
      <x:c r="C211" s="18" t="n">
        <x:v>5768</x:v>
      </x:c>
      <x:c r="D211" s="18" t="n">
        <x:v>103887</x:v>
      </x:c>
      <x:c r="E211" s="18" t="n">
        <x:v>23.09</x:v>
      </x:c>
      <x:c r="F211" s="18" t="n">
        <x:v>9.08</x:v>
      </x:c>
      <x:c r="G211" t="n">
        <x:v>36</x:v>
      </x:c>
      <x:c r="H211" t="str">
        <x:v>B</x:v>
      </x:c>
      <x:c r="I211" t="str">
        <x:v>1-3 years</x:v>
      </x:c>
      <x:c r="J211" t="str">
        <x:v>RENT</x:v>
      </x:c>
      <x:c r="K211" t="str">
        <x:v>major_purchase</x:v>
      </x:c>
      <x:c r="L211" t="n">
        <x:v>0</x:v>
      </x:c>
      <x:c r="M211" t="n">
        <x:v>0</x:v>
      </x:c>
      <x:c r="N211" t="str">
        <x:v>Fully Paid</x:v>
      </x:c>
      <x:c r="O211" t="str">
        <x:f>IF(D211="","Unknown",IF(D211&lt;25000,"&lt;$25k",IF(D211&lt;50000,"$25k-$50k",IF(D211&lt;75000,"$50k-$75k",IF(D211&lt;100000,"$75k-$100k","$100k+")))))</x:f>
        <x:v>$100k+</x:v>
      </x:c>
      <x:c r="P211" t="str">
        <x:f>IF(E211="","Unknown",IF(E211&lt;10,"&lt;10",IF(E211&lt;20,"10-&lt;20",IF(E211&lt;25,"20-&lt;25",IF(E211&lt;35,"25-&lt;35","35+")))))</x:f>
        <x:v>20-&lt;25</x:v>
      </x:c>
    </x:row>
    <x:row r="212">
      <x:c r="A212" t="str">
        <x:v>SYN0000211</x:v>
      </x:c>
      <x:c r="B212" s="12" t="n">
        <x:v>41695</x:v>
      </x:c>
      <x:c r="C212" s="18" t="n">
        <x:v>8474</x:v>
      </x:c>
      <x:c r="D212" s="18" t="n">
        <x:v>53043</x:v>
      </x:c>
      <x:c r="E212" s="18" t="n">
        <x:v>33.41</x:v>
      </x:c>
      <x:c r="F212" s="18" t="n">
        <x:v>16.22</x:v>
      </x:c>
      <x:c r="G212" t="n">
        <x:v>36</x:v>
      </x:c>
      <x:c r="H212" t="str">
        <x:v>D</x:v>
      </x:c>
      <x:c r="I212" t="str">
        <x:v>10+ years</x:v>
      </x:c>
      <x:c r="J212" t="str">
        <x:v>MORTGAGE</x:v>
      </x:c>
      <x:c r="K212" t="str">
        <x:v>debt_consolidation</x:v>
      </x:c>
      <x:c r="L212" t="n">
        <x:v>1</x:v>
      </x:c>
      <x:c r="M212" t="n">
        <x:v>0</x:v>
      </x:c>
      <x:c r="N212" t="str">
        <x:v>Fully Paid</x:v>
      </x:c>
      <x:c r="O212" t="str">
        <x:f>IF(D212="","Unknown",IF(D212&lt;25000,"&lt;$25k",IF(D212&lt;50000,"$25k-$50k",IF(D212&lt;75000,"$50k-$75k",IF(D212&lt;100000,"$75k-$100k","$100k+")))))</x:f>
        <x:v>$50k-$75k</x:v>
      </x:c>
      <x:c r="P212" t="str">
        <x:f>IF(E212="","Unknown",IF(E212&lt;10,"&lt;10",IF(E212&lt;20,"10-&lt;20",IF(E212&lt;25,"20-&lt;25",IF(E212&lt;35,"25-&lt;35","35+")))))</x:f>
        <x:v>25-&lt;35</x:v>
      </x:c>
    </x:row>
    <x:row r="213">
      <x:c r="A213" t="str">
        <x:v>SYN0000212</x:v>
      </x:c>
      <x:c r="B213" s="12" t="n">
        <x:v>43015</x:v>
      </x:c>
      <x:c r="C213" s="18" t="n">
        <x:v>7999</x:v>
      </x:c>
      <x:c r="D213" s="18" t="n">
        <x:v>37579</x:v>
      </x:c>
      <x:c r="E213" s="18" t="n">
        <x:v>17.9</x:v>
      </x:c>
      <x:c r="F213" s="18" t="n">
        <x:v>7.39</x:v>
      </x:c>
      <x:c r="G213" t="n">
        <x:v>60</x:v>
      </x:c>
      <x:c r="H213" t="str">
        <x:v>B</x:v>
      </x:c>
      <x:c r="I213" t="str">
        <x:v>4-6 years</x:v>
      </x:c>
      <x:c r="J213" t="str">
        <x:v>RENT</x:v>
      </x:c>
      <x:c r="K213" t="str">
        <x:v>debt_consolidation</x:v>
      </x:c>
      <x:c r="L213" t="n">
        <x:v>0</x:v>
      </x:c>
      <x:c r="M213" t="n">
        <x:v>0</x:v>
      </x:c>
      <x:c r="N213" t="str">
        <x:v>Fully Paid</x:v>
      </x:c>
      <x:c r="O213" t="str">
        <x:f>IF(D213="","Unknown",IF(D213&lt;25000,"&lt;$25k",IF(D213&lt;50000,"$25k-$50k",IF(D213&lt;75000,"$50k-$75k",IF(D213&lt;100000,"$75k-$100k","$100k+")))))</x:f>
        <x:v>$25k-$50k</x:v>
      </x:c>
      <x:c r="P213" t="str">
        <x:f>IF(E213="","Unknown",IF(E213&lt;10,"&lt;10",IF(E213&lt;20,"10-&lt;20",IF(E213&lt;25,"20-&lt;25",IF(E213&lt;35,"25-&lt;35","35+")))))</x:f>
        <x:v>10-&lt;20</x:v>
      </x:c>
    </x:row>
    <x:row r="214">
      <x:c r="A214" t="str">
        <x:v>SYN0000213</x:v>
      </x:c>
      <x:c r="B214" s="12" t="n">
        <x:v>41365</x:v>
      </x:c>
      <x:c r="C214" s="18" t="n">
        <x:v>16534</x:v>
      </x:c>
      <x:c r="D214" s="18" t="n">
        <x:v>98330</x:v>
      </x:c>
      <x:c r="E214" s="18" t="n">
        <x:v>13.14</x:v>
      </x:c>
      <x:c r="F214" s="18" t="n">
        <x:v>5.47</x:v>
      </x:c>
      <x:c r="G214" t="n">
        <x:v>36</x:v>
      </x:c>
      <x:c r="H214" t="str">
        <x:v>A</x:v>
      </x:c>
      <x:c r="I214" t="str">
        <x:v>&lt;1 year</x:v>
      </x:c>
      <x:c r="J214" t="str">
        <x:v>RENT</x:v>
      </x:c>
      <x:c r="K214" t="str">
        <x:v>credit_card</x:v>
      </x:c>
      <x:c r="L214" t="n">
        <x:v>0</x:v>
      </x:c>
      <x:c r="M214" t="n">
        <x:v>0</x:v>
      </x:c>
      <x:c r="N214" t="str">
        <x:v>Fully Paid</x:v>
      </x:c>
      <x:c r="O214" t="str">
        <x:f>IF(D214="","Unknown",IF(D214&lt;25000,"&lt;$25k",IF(D214&lt;50000,"$25k-$50k",IF(D214&lt;75000,"$50k-$75k",IF(D214&lt;100000,"$75k-$100k","$100k+")))))</x:f>
        <x:v>$75k-$100k</x:v>
      </x:c>
      <x:c r="P214" t="str">
        <x:f>IF(E214="","Unknown",IF(E214&lt;10,"&lt;10",IF(E214&lt;20,"10-&lt;20",IF(E214&lt;25,"20-&lt;25",IF(E214&lt;35,"25-&lt;35","35+")))))</x:f>
        <x:v>10-&lt;20</x:v>
      </x:c>
    </x:row>
    <x:row r="215">
      <x:c r="A215" t="str">
        <x:v>SYN0000214</x:v>
      </x:c>
      <x:c r="B215" s="12" t="n">
        <x:v>42085</x:v>
      </x:c>
      <x:c r="C215" s="18" t="n">
        <x:v>13973</x:v>
      </x:c>
      <x:c r="D215" s="18" t="n">
        <x:v>80064</x:v>
      </x:c>
      <x:c r="E215" s="18" t="n">
        <x:v>16.42</x:v>
      </x:c>
      <x:c r="F215" s="18" t="n">
        <x:v>8.23</x:v>
      </x:c>
      <x:c r="G215" t="n">
        <x:v>36</x:v>
      </x:c>
      <x:c r="H215" t="str">
        <x:v>A</x:v>
      </x:c>
      <x:c r="I215" t="str">
        <x:v>4-6 years</x:v>
      </x:c>
      <x:c r="J215" t="str">
        <x:v>MORTGAGE</x:v>
      </x:c>
      <x:c r="K215" t="str">
        <x:v>home_improvement</x:v>
      </x:c>
      <x:c r="L215" t="n">
        <x:v>0</x:v>
      </x:c>
      <x:c r="M215" t="n">
        <x:v>0</x:v>
      </x:c>
      <x:c r="N215" t="str">
        <x:v>Fully Paid</x:v>
      </x:c>
      <x:c r="O215" t="str">
        <x:f>IF(D215="","Unknown",IF(D215&lt;25000,"&lt;$25k",IF(D215&lt;50000,"$25k-$50k",IF(D215&lt;75000,"$50k-$75k",IF(D215&lt;100000,"$75k-$100k","$100k+")))))</x:f>
        <x:v>$75k-$100k</x:v>
      </x:c>
      <x:c r="P215" t="str">
        <x:f>IF(E215="","Unknown",IF(E215&lt;10,"&lt;10",IF(E215&lt;20,"10-&lt;20",IF(E215&lt;25,"20-&lt;25",IF(E215&lt;35,"25-&lt;35","35+")))))</x:f>
        <x:v>10-&lt;20</x:v>
      </x:c>
    </x:row>
    <x:row r="216">
      <x:c r="A216" t="str">
        <x:v>SYN0000215</x:v>
      </x:c>
      <x:c r="B216" s="12" t="n">
        <x:v>41395</x:v>
      </x:c>
      <x:c r="C216" s="18" t="n">
        <x:v>7835</x:v>
      </x:c>
      <x:c r="D216" s="18" t="n">
        <x:v>54156</x:v>
      </x:c>
      <x:c r="E216" s="18" t="n">
        <x:v>23.59</x:v>
      </x:c>
      <x:c r="F216" s="18" t="n">
        <x:v>18.41</x:v>
      </x:c>
      <x:c r="G216" t="n">
        <x:v>36</x:v>
      </x:c>
      <x:c r="H216" t="str">
        <x:v>E</x:v>
      </x:c>
      <x:c r="I216" t="str">
        <x:v>4-6 years</x:v>
      </x:c>
      <x:c r="J216" t="str">
        <x:v>MORTGAGE</x:v>
      </x:c>
      <x:c r="K216" t="str">
        <x:v>medical</x:v>
      </x:c>
      <x:c r="L216" t="n">
        <x:v>0</x:v>
      </x:c>
      <x:c r="M216" t="n">
        <x:v>0</x:v>
      </x:c>
      <x:c r="N216" t="str">
        <x:v>Fully Paid</x:v>
      </x:c>
      <x:c r="O216" t="str">
        <x:f>IF(D216="","Unknown",IF(D216&lt;25000,"&lt;$25k",IF(D216&lt;50000,"$25k-$50k",IF(D216&lt;75000,"$50k-$75k",IF(D216&lt;100000,"$75k-$100k","$100k+")))))</x:f>
        <x:v>$50k-$75k</x:v>
      </x:c>
      <x:c r="P216" t="str">
        <x:f>IF(E216="","Unknown",IF(E216&lt;10,"&lt;10",IF(E216&lt;20,"10-&lt;20",IF(E216&lt;25,"20-&lt;25",IF(E216&lt;35,"25-&lt;35","35+")))))</x:f>
        <x:v>20-&lt;25</x:v>
      </x:c>
    </x:row>
    <x:row r="217">
      <x:c r="A217" t="str">
        <x:v>SYN0000216</x:v>
      </x:c>
      <x:c r="B217" s="12" t="n">
        <x:v>43015</x:v>
      </x:c>
      <x:c r="C217" s="18" t="n">
        <x:v>7097</x:v>
      </x:c>
      <x:c r="D217" s="18" t="n">
        <x:v>43023</x:v>
      </x:c>
      <x:c r="E217" s="18" t="n">
        <x:v>28.21</x:v>
      </x:c>
      <x:c r="F217" s="18" t="n">
        <x:v>12.09</x:v>
      </x:c>
      <x:c r="G217" t="n">
        <x:v>36</x:v>
      </x:c>
      <x:c r="H217" t="str">
        <x:v>C</x:v>
      </x:c>
      <x:c r="I217" t="str">
        <x:v>10+ years</x:v>
      </x:c>
      <x:c r="J217" t="str">
        <x:v>MORTGAGE</x:v>
      </x:c>
      <x:c r="K217" t="str">
        <x:v>credit_card</x:v>
      </x:c>
      <x:c r="L217" t="n">
        <x:v>2</x:v>
      </x:c>
      <x:c r="M217" t="n">
        <x:v>0</x:v>
      </x:c>
      <x:c r="N217" t="str">
        <x:v>Fully Paid</x:v>
      </x:c>
      <x:c r="O217" t="str">
        <x:f>IF(D217="","Unknown",IF(D217&lt;25000,"&lt;$25k",IF(D217&lt;50000,"$25k-$50k",IF(D217&lt;75000,"$50k-$75k",IF(D217&lt;100000,"$75k-$100k","$100k+")))))</x:f>
        <x:v>$25k-$50k</x:v>
      </x:c>
      <x:c r="P217" t="str">
        <x:f>IF(E217="","Unknown",IF(E217&lt;10,"&lt;10",IF(E217&lt;20,"10-&lt;20",IF(E217&lt;25,"20-&lt;25",IF(E217&lt;35,"25-&lt;35","35+")))))</x:f>
        <x:v>25-&lt;35</x:v>
      </x:c>
    </x:row>
    <x:row r="218">
      <x:c r="A218" t="str">
        <x:v>SYN0000217</x:v>
      </x:c>
      <x:c r="B218" s="12" t="n">
        <x:v>43135</x:v>
      </x:c>
      <x:c r="C218" s="18" t="n">
        <x:v>19600</x:v>
      </x:c>
      <x:c r="D218" s="18" t="n">
        <x:v>83731</x:v>
      </x:c>
      <x:c r="E218" s="18" t="n">
        <x:v>0</x:v>
      </x:c>
      <x:c r="F218" s="18" t="n">
        <x:v>8.04</x:v>
      </x:c>
      <x:c r="G218" t="n">
        <x:v>60</x:v>
      </x:c>
      <x:c r="H218" t="str">
        <x:v>C</x:v>
      </x:c>
      <x:c r="I218" t="str">
        <x:v>10+ years</x:v>
      </x:c>
      <x:c r="J218" t="str">
        <x:v>RENT</x:v>
      </x:c>
      <x:c r="K218" t="str">
        <x:v>credit_card</x:v>
      </x:c>
      <x:c r="L218" t="n">
        <x:v>0</x:v>
      </x:c>
      <x:c r="M218" t="n">
        <x:v>0</x:v>
      </x:c>
      <x:c r="N218" t="str">
        <x:v>Fully Paid</x:v>
      </x:c>
      <x:c r="O218" t="str">
        <x:f>IF(D218="","Unknown",IF(D218&lt;25000,"&lt;$25k",IF(D218&lt;50000,"$25k-$50k",IF(D218&lt;75000,"$50k-$75k",IF(D218&lt;100000,"$75k-$100k","$100k+")))))</x:f>
        <x:v>$75k-$100k</x:v>
      </x:c>
      <x:c r="P218" t="str">
        <x:f>IF(E218="","Unknown",IF(E218&lt;10,"&lt;10",IF(E218&lt;20,"10-&lt;20",IF(E218&lt;25,"20-&lt;25",IF(E218&lt;35,"25-&lt;35","35+")))))</x:f>
        <x:v>Unknown</x:v>
      </x:c>
    </x:row>
    <x:row r="219">
      <x:c r="A219" t="str">
        <x:v>SYN0000218</x:v>
      </x:c>
      <x:c r="B219" s="12" t="n">
        <x:v>41905</x:v>
      </x:c>
      <x:c r="C219" s="18" t="n">
        <x:v>12092</x:v>
      </x:c>
      <x:c r="D219" s="18" t="n">
        <x:v>87923</x:v>
      </x:c>
      <x:c r="E219" s="18" t="n">
        <x:v>25.05</x:v>
      </x:c>
      <x:c r="F219" s="18" t="n">
        <x:v>8.49</x:v>
      </x:c>
      <x:c r="G219" t="n">
        <x:v>36</x:v>
      </x:c>
      <x:c r="H219" t="str">
        <x:v>C</x:v>
      </x:c>
      <x:c r="I219" t="str">
        <x:v>&lt;1 year</x:v>
      </x:c>
      <x:c r="J219" t="str">
        <x:v>RENT</x:v>
      </x:c>
      <x:c r="K219" t="str">
        <x:v>credit_card</x:v>
      </x:c>
      <x:c r="L219" t="n">
        <x:v>0</x:v>
      </x:c>
      <x:c r="M219" t="n">
        <x:v>0</x:v>
      </x:c>
      <x:c r="N219" t="str">
        <x:v>Fully Paid</x:v>
      </x:c>
      <x:c r="O219" t="str">
        <x:f>IF(D219="","Unknown",IF(D219&lt;25000,"&lt;$25k",IF(D219&lt;50000,"$25k-$50k",IF(D219&lt;75000,"$50k-$75k",IF(D219&lt;100000,"$75k-$100k","$100k+")))))</x:f>
        <x:v>$75k-$100k</x:v>
      </x:c>
      <x:c r="P219" t="str">
        <x:f>IF(E219="","Unknown",IF(E219&lt;10,"&lt;10",IF(E219&lt;20,"10-&lt;20",IF(E219&lt;25,"20-&lt;25",IF(E219&lt;35,"25-&lt;35","35+")))))</x:f>
        <x:v>25-&lt;35</x:v>
      </x:c>
    </x:row>
    <x:row r="220">
      <x:c r="A220" t="str">
        <x:v>SYN0000219</x:v>
      </x:c>
      <x:c r="B220" s="12" t="n">
        <x:v>41995</x:v>
      </x:c>
      <x:c r="C220" s="18" t="n">
        <x:v>12675</x:v>
      </x:c>
      <x:c r="D220" s="18" t="n">
        <x:v>250000</x:v>
      </x:c>
      <x:c r="E220" s="18" t="n">
        <x:v>19.19</x:v>
      </x:c>
      <x:c r="F220" s="18" t="n">
        <x:v>9.82</x:v>
      </x:c>
      <x:c r="G220" t="n">
        <x:v>36</x:v>
      </x:c>
      <x:c r="H220" t="str">
        <x:v>C</x:v>
      </x:c>
      <x:c r="I220" t="str">
        <x:v>4-6 years</x:v>
      </x:c>
      <x:c r="J220" t="str">
        <x:v>MORTGAGE</x:v>
      </x:c>
      <x:c r="K220" t="str">
        <x:v>major_purchase</x:v>
      </x:c>
      <x:c r="L220" t="n">
        <x:v>0</x:v>
      </x:c>
      <x:c r="M220" t="n">
        <x:v>0</x:v>
      </x:c>
      <x:c r="N220" t="str">
        <x:v>Fully Paid</x:v>
      </x:c>
      <x:c r="O220" t="str">
        <x:f>IF(D220="","Unknown",IF(D220&lt;25000,"&lt;$25k",IF(D220&lt;50000,"$25k-$50k",IF(D220&lt;75000,"$50k-$75k",IF(D220&lt;100000,"$75k-$100k","$100k+")))))</x:f>
        <x:v>$100k+</x:v>
      </x:c>
      <x:c r="P220" t="str">
        <x:f>IF(E220="","Unknown",IF(E220&lt;10,"&lt;10",IF(E220&lt;20,"10-&lt;20",IF(E220&lt;25,"20-&lt;25",IF(E220&lt;35,"25-&lt;35","35+")))))</x:f>
        <x:v>10-&lt;20</x:v>
      </x:c>
    </x:row>
    <x:row r="221">
      <x:c r="A221" t="str">
        <x:v>SYN0000220</x:v>
      </x:c>
      <x:c r="B221" s="12" t="n">
        <x:v>43165</x:v>
      </x:c>
      <x:c r="C221" s="18" t="n">
        <x:v>33055</x:v>
      </x:c>
      <x:c r="D221" s="18" t="n">
        <x:v>30343</x:v>
      </x:c>
      <x:c r="E221" s="18" t="n">
        <x:v>22.31</x:v>
      </x:c>
      <x:c r="F221" s="18" t="n">
        <x:v>12.03</x:v>
      </x:c>
      <x:c r="G221" t="n">
        <x:v>36</x:v>
      </x:c>
      <x:c r="H221" t="str">
        <x:v>B</x:v>
      </x:c>
      <x:c r="I221" t="str">
        <x:v>4-6 years</x:v>
      </x:c>
      <x:c r="J221" t="str">
        <x:v>RENT</x:v>
      </x:c>
      <x:c r="K221" t="str">
        <x:v>debt_consolidation</x:v>
      </x:c>
      <x:c r="L221" t="n">
        <x:v>0</x:v>
      </x:c>
      <x:c r="M221" t="n">
        <x:v>0</x:v>
      </x:c>
      <x:c r="N221" t="str">
        <x:v>Fully Paid</x:v>
      </x:c>
      <x:c r="O221" t="str">
        <x:f>IF(D221="","Unknown",IF(D221&lt;25000,"&lt;$25k",IF(D221&lt;50000,"$25k-$50k",IF(D221&lt;75000,"$50k-$75k",IF(D221&lt;100000,"$75k-$100k","$100k+")))))</x:f>
        <x:v>$25k-$50k</x:v>
      </x:c>
      <x:c r="P221" t="str">
        <x:f>IF(E221="","Unknown",IF(E221&lt;10,"&lt;10",IF(E221&lt;20,"10-&lt;20",IF(E221&lt;25,"20-&lt;25",IF(E221&lt;35,"25-&lt;35","35+")))))</x:f>
        <x:v>20-&lt;25</x:v>
      </x:c>
    </x:row>
    <x:row r="222">
      <x:c r="A222" t="str">
        <x:v>SYN0000221</x:v>
      </x:c>
      <x:c r="B222" s="12" t="n">
        <x:v>42895</x:v>
      </x:c>
      <x:c r="C222" s="18" t="n">
        <x:v>14346</x:v>
      </x:c>
      <x:c r="D222" s="18" t="n">
        <x:v>31092</x:v>
      </x:c>
      <x:c r="E222" s="18" t="n">
        <x:v>23.22</x:v>
      </x:c>
      <x:c r="F222" s="18" t="n">
        <x:v>9.74</x:v>
      </x:c>
      <x:c r="G222" t="n">
        <x:v>60</x:v>
      </x:c>
      <x:c r="H222" t="str">
        <x:v>C</x:v>
      </x:c>
      <x:c r="I222" t="str">
        <x:v>1-3 years</x:v>
      </x:c>
      <x:c r="J222" t="str">
        <x:v>MORTGAGE</x:v>
      </x:c>
      <x:c r="K222" t="str">
        <x:v>home_improvement</x:v>
      </x:c>
      <x:c r="L222" t="n">
        <x:v>0</x:v>
      </x:c>
      <x:c r="M222" t="n">
        <x:v>0</x:v>
      </x:c>
      <x:c r="N222" t="str">
        <x:v>Fully Paid</x:v>
      </x:c>
      <x:c r="O222" t="str">
        <x:f>IF(D222="","Unknown",IF(D222&lt;25000,"&lt;$25k",IF(D222&lt;50000,"$25k-$50k",IF(D222&lt;75000,"$50k-$75k",IF(D222&lt;100000,"$75k-$100k","$100k+")))))</x:f>
        <x:v>$25k-$50k</x:v>
      </x:c>
      <x:c r="P222" t="str">
        <x:f>IF(E222="","Unknown",IF(E222&lt;10,"&lt;10",IF(E222&lt;20,"10-&lt;20",IF(E222&lt;25,"20-&lt;25",IF(E222&lt;35,"25-&lt;35","35+")))))</x:f>
        <x:v>20-&lt;25</x:v>
      </x:c>
    </x:row>
    <x:row r="223">
      <x:c r="A223" t="str">
        <x:v>SYN0000222</x:v>
      </x:c>
      <x:c r="B223" s="12" t="n">
        <x:v>43195</x:v>
      </x:c>
      <x:c r="C223" s="18" t="n">
        <x:v>17284</x:v>
      </x:c>
      <x:c r="D223" s="18" t="n">
        <x:v>21556</x:v>
      </x:c>
      <x:c r="E223" s="18" t="n">
        <x:v>20.92</x:v>
      </x:c>
      <x:c r="F223" s="18" t="n">
        <x:v>8.76</x:v>
      </x:c>
      <x:c r="G223" t="n">
        <x:v>60</x:v>
      </x:c>
      <x:c r="H223" t="str">
        <x:v>A</x:v>
      </x:c>
      <x:c r="I223" t="str">
        <x:v>4-6 years</x:v>
      </x:c>
      <x:c r="J223" t="str">
        <x:v>RENT</x:v>
      </x:c>
      <x:c r="K223" t="str">
        <x:v>credit_card</x:v>
      </x:c>
      <x:c r="L223" t="n">
        <x:v>0</x:v>
      </x:c>
      <x:c r="M223" t="n">
        <x:v>0</x:v>
      </x:c>
      <x:c r="N223" t="str">
        <x:v>Fully Paid</x:v>
      </x:c>
      <x:c r="O223" t="str">
        <x:f>IF(D223="","Unknown",IF(D223&lt;25000,"&lt;$25k",IF(D223&lt;50000,"$25k-$50k",IF(D223&lt;75000,"$50k-$75k",IF(D223&lt;100000,"$75k-$100k","$100k+")))))</x:f>
        <x:v>&lt;$25k</x:v>
      </x:c>
      <x:c r="P223" t="str">
        <x:f>IF(E223="","Unknown",IF(E223&lt;10,"&lt;10",IF(E223&lt;20,"10-&lt;20",IF(E223&lt;25,"20-&lt;25",IF(E223&lt;35,"25-&lt;35","35+")))))</x:f>
        <x:v>20-&lt;25</x:v>
      </x:c>
    </x:row>
    <x:row r="224">
      <x:c r="A224" t="str">
        <x:v>SYN0000223</x:v>
      </x:c>
      <x:c r="B224" s="12" t="n">
        <x:v>42835</x:v>
      </x:c>
      <x:c r="C224" s="18" t="n">
        <x:v>5645</x:v>
      </x:c>
      <x:c r="D224" s="18" t="n">
        <x:v>35101</x:v>
      </x:c>
      <x:c r="E224" s="18" t="n">
        <x:v>29.57</x:v>
      </x:c>
      <x:c r="F224" s="18" t="n">
        <x:v>19.5</x:v>
      </x:c>
      <x:c r="G224" t="n">
        <x:v>36</x:v>
      </x:c>
      <x:c r="H224" t="str">
        <x:v>E</x:v>
      </x:c>
      <x:c r="I224" t="str">
        <x:v>7-9 years</x:v>
      </x:c>
      <x:c r="J224" t="str">
        <x:v>RENT</x:v>
      </x:c>
      <x:c r="K224" t="str">
        <x:v>other</x:v>
      </x:c>
      <x:c r="L224" t="n">
        <x:v>0</x:v>
      </x:c>
      <x:c r="M224" t="n">
        <x:v>0</x:v>
      </x:c>
      <x:c r="N224" t="str">
        <x:v>Fully Paid</x:v>
      </x:c>
      <x:c r="O224" t="str">
        <x:f>IF(D224="","Unknown",IF(D224&lt;25000,"&lt;$25k",IF(D224&lt;50000,"$25k-$50k",IF(D224&lt;75000,"$50k-$75k",IF(D224&lt;100000,"$75k-$100k","$100k+")))))</x:f>
        <x:v>$25k-$50k</x:v>
      </x:c>
      <x:c r="P224" t="str">
        <x:f>IF(E224="","Unknown",IF(E224&lt;10,"&lt;10",IF(E224&lt;20,"10-&lt;20",IF(E224&lt;25,"20-&lt;25",IF(E224&lt;35,"25-&lt;35","35+")))))</x:f>
        <x:v>25-&lt;35</x:v>
      </x:c>
    </x:row>
    <x:row r="225">
      <x:c r="A225" t="str">
        <x:v>SYN0000224</x:v>
      </x:c>
      <x:c r="B225" s="12" t="n">
        <x:v>41605</x:v>
      </x:c>
      <x:c r="C225" s="18" t="n">
        <x:v>16218</x:v>
      </x:c>
      <x:c r="D225" s="18" t="n">
        <x:v>205897</x:v>
      </x:c>
      <x:c r="E225" s="18" t="n">
        <x:v>8.77</x:v>
      </x:c>
      <x:c r="F225" s="18" t="n">
        <x:v>8.46</x:v>
      </x:c>
      <x:c r="G225" t="n">
        <x:v>36</x:v>
      </x:c>
      <x:c r="H225" t="str">
        <x:v>B</x:v>
      </x:c>
      <x:c r="I225" t="str">
        <x:v>7-9 years</x:v>
      </x:c>
      <x:c r="J225" t="str">
        <x:v>RENT</x:v>
      </x:c>
      <x:c r="K225" t="str">
        <x:v>other</x:v>
      </x:c>
      <x:c r="L225" t="n">
        <x:v>0</x:v>
      </x:c>
      <x:c r="M225" t="n">
        <x:v>0</x:v>
      </x:c>
      <x:c r="N225" t="str">
        <x:v>Fully Paid</x:v>
      </x:c>
      <x:c r="O225" t="str">
        <x:f>IF(D225="","Unknown",IF(D225&lt;25000,"&lt;$25k",IF(D225&lt;50000,"$25k-$50k",IF(D225&lt;75000,"$50k-$75k",IF(D225&lt;100000,"$75k-$100k","$100k+")))))</x:f>
        <x:v>$100k+</x:v>
      </x:c>
      <x:c r="P225" t="str">
        <x:f>IF(E225="","Unknown",IF(E225&lt;10,"&lt;10",IF(E225&lt;20,"10-&lt;20",IF(E225&lt;25,"20-&lt;25",IF(E225&lt;35,"25-&lt;35","35+")))))</x:f>
        <x:v>&lt;10</x:v>
      </x:c>
    </x:row>
    <x:row r="226">
      <x:c r="A226" t="str">
        <x:v>SYN0000225</x:v>
      </x:c>
      <x:c r="B226" s="12" t="n">
        <x:v>42025</x:v>
      </x:c>
      <x:c r="C226" s="18" t="n">
        <x:v>19618</x:v>
      </x:c>
      <x:c r="D226" s="18" t="n">
        <x:v>24996</x:v>
      </x:c>
      <x:c r="E226" s="18" t="n">
        <x:v>22.56</x:v>
      </x:c>
      <x:c r="F226" s="18" t="n">
        <x:v>19.54</x:v>
      </x:c>
      <x:c r="G226" t="n">
        <x:v>36</x:v>
      </x:c>
      <x:c r="H226" t="str">
        <x:v>D</x:v>
      </x:c>
      <x:c r="I226" t="str">
        <x:v>10+ years</x:v>
      </x:c>
      <x:c r="J226" t="str">
        <x:v>OWN</x:v>
      </x:c>
      <x:c r="K226" t="str">
        <x:v>major_purchase</x:v>
      </x:c>
      <x:c r="L226" t="n">
        <x:v>0</x:v>
      </x:c>
      <x:c r="M226" t="n">
        <x:v>0</x:v>
      </x:c>
      <x:c r="N226" t="str">
        <x:v>Fully Paid</x:v>
      </x:c>
      <x:c r="O226" t="str">
        <x:f>IF(D226="","Unknown",IF(D226&lt;25000,"&lt;$25k",IF(D226&lt;50000,"$25k-$50k",IF(D226&lt;75000,"$50k-$75k",IF(D226&lt;100000,"$75k-$100k","$100k+")))))</x:f>
        <x:v>&lt;$25k</x:v>
      </x:c>
      <x:c r="P226" t="str">
        <x:f>IF(E226="","Unknown",IF(E226&lt;10,"&lt;10",IF(E226&lt;20,"10-&lt;20",IF(E226&lt;25,"20-&lt;25",IF(E226&lt;35,"25-&lt;35","35+")))))</x:f>
        <x:v>20-&lt;25</x:v>
      </x:c>
    </x:row>
    <x:row r="227">
      <x:c r="A227" t="str">
        <x:v>SYN0000226</x:v>
      </x:c>
      <x:c r="B227" s="12" t="n">
        <x:v>42595</x:v>
      </x:c>
      <x:c r="C227" s="18" t="n">
        <x:v>16641</x:v>
      </x:c>
      <x:c r="D227" s="18" t="n">
        <x:v>73880</x:v>
      </x:c>
      <x:c r="E227" s="18" t="n">
        <x:v>30.98</x:v>
      </x:c>
      <x:c r="F227" s="18" t="n">
        <x:v>10.98</x:v>
      </x:c>
      <x:c r="G227" t="n">
        <x:v>60</x:v>
      </x:c>
      <x:c r="H227" t="str">
        <x:v>C</x:v>
      </x:c>
      <x:c r="I227" t="str">
        <x:v>&lt;1 year</x:v>
      </x:c>
      <x:c r="J227" t="str">
        <x:v>OWN</x:v>
      </x:c>
      <x:c r="K227" t="str">
        <x:v>major_purchase</x:v>
      </x:c>
      <x:c r="L227" t="n">
        <x:v>0</x:v>
      </x:c>
      <x:c r="M227" t="n">
        <x:v>0</x:v>
      </x:c>
      <x:c r="N227" t="str">
        <x:v>Fully Paid</x:v>
      </x:c>
      <x:c r="O227" t="str">
        <x:f>IF(D227="","Unknown",IF(D227&lt;25000,"&lt;$25k",IF(D227&lt;50000,"$25k-$50k",IF(D227&lt;75000,"$50k-$75k",IF(D227&lt;100000,"$75k-$100k","$100k+")))))</x:f>
        <x:v>$50k-$75k</x:v>
      </x:c>
      <x:c r="P227" t="str">
        <x:f>IF(E227="","Unknown",IF(E227&lt;10,"&lt;10",IF(E227&lt;20,"10-&lt;20",IF(E227&lt;25,"20-&lt;25",IF(E227&lt;35,"25-&lt;35","35+")))))</x:f>
        <x:v>25-&lt;35</x:v>
      </x:c>
    </x:row>
    <x:row r="228">
      <x:c r="A228" t="str">
        <x:v>SYN0000227</x:v>
      </x:c>
      <x:c r="B228" s="12" t="n">
        <x:v>42325</x:v>
      </x:c>
      <x:c r="C228" s="18" t="n">
        <x:v>7413</x:v>
      </x:c>
      <x:c r="D228" s="18" t="n">
        <x:v>31062</x:v>
      </x:c>
      <x:c r="E228" s="18" t="n">
        <x:v>24.82</x:v>
      </x:c>
      <x:c r="F228" s="18" t="n">
        <x:v>12.22</x:v>
      </x:c>
      <x:c r="G228" t="n">
        <x:v>36</x:v>
      </x:c>
      <x:c r="H228" t="str">
        <x:v>C</x:v>
      </x:c>
      <x:c r="I228" t="str">
        <x:v>4-6 years</x:v>
      </x:c>
      <x:c r="J228" t="str">
        <x:v>MORTGAGE</x:v>
      </x:c>
      <x:c r="K228" t="str">
        <x:v>debt_consolidation</x:v>
      </x:c>
      <x:c r="L228" t="n">
        <x:v>1</x:v>
      </x:c>
      <x:c r="M228" t="n">
        <x:v>0</x:v>
      </x:c>
      <x:c r="N228" t="str">
        <x:v>Fully Paid</x:v>
      </x:c>
      <x:c r="O228" t="str">
        <x:f>IF(D228="","Unknown",IF(D228&lt;25000,"&lt;$25k",IF(D228&lt;50000,"$25k-$50k",IF(D228&lt;75000,"$50k-$75k",IF(D228&lt;100000,"$75k-$100k","$100k+")))))</x:f>
        <x:v>$25k-$50k</x:v>
      </x:c>
      <x:c r="P228" t="str">
        <x:f>IF(E228="","Unknown",IF(E228&lt;10,"&lt;10",IF(E228&lt;20,"10-&lt;20",IF(E228&lt;25,"20-&lt;25",IF(E228&lt;35,"25-&lt;35","35+")))))</x:f>
        <x:v>20-&lt;25</x:v>
      </x:c>
    </x:row>
    <x:row r="229">
      <x:c r="A229" t="str">
        <x:v>SYN0000228</x:v>
      </x:c>
      <x:c r="B229" s="12" t="n">
        <x:v>42265</x:v>
      </x:c>
      <x:c r="C229" s="18" t="n">
        <x:v>22586</x:v>
      </x:c>
      <x:c r="D229" s="18" t="n">
        <x:v>18958</x:v>
      </x:c>
      <x:c r="E229" s="18" t="n">
        <x:v>7.81</x:v>
      </x:c>
      <x:c r="F229" s="18" t="n">
        <x:v>8.69</x:v>
      </x:c>
      <x:c r="G229" t="n">
        <x:v>60</x:v>
      </x:c>
      <x:c r="H229" t="str">
        <x:v>A</x:v>
      </x:c>
      <x:c r="I229" t="str">
        <x:v>10+ years</x:v>
      </x:c>
      <x:c r="J229" t="str">
        <x:v>RENT</x:v>
      </x:c>
      <x:c r="K229" t="str">
        <x:v>other</x:v>
      </x:c>
      <x:c r="L229" t="n">
        <x:v>0</x:v>
      </x:c>
      <x:c r="M229" t="n">
        <x:v>0</x:v>
      </x:c>
      <x:c r="N229" t="str">
        <x:v>Fully Paid</x:v>
      </x:c>
      <x:c r="O229" t="str">
        <x:f>IF(D229="","Unknown",IF(D229&lt;25000,"&lt;$25k",IF(D229&lt;50000,"$25k-$50k",IF(D229&lt;75000,"$50k-$75k",IF(D229&lt;100000,"$75k-$100k","$100k+")))))</x:f>
        <x:v>&lt;$25k</x:v>
      </x:c>
      <x:c r="P229" t="str">
        <x:f>IF(E229="","Unknown",IF(E229&lt;10,"&lt;10",IF(E229&lt;20,"10-&lt;20",IF(E229&lt;25,"20-&lt;25",IF(E229&lt;35,"25-&lt;35","35+")))))</x:f>
        <x:v>&lt;10</x:v>
      </x:c>
    </x:row>
    <x:row r="230">
      <x:c r="A230" t="str">
        <x:v>SYN0000229</x:v>
      </x:c>
      <x:c r="B230" s="12" t="n">
        <x:v>41845</x:v>
      </x:c>
      <x:c r="C230" s="18" t="n">
        <x:v>9195</x:v>
      </x:c>
      <x:c r="D230" s="18" t="n">
        <x:v>123154</x:v>
      </x:c>
      <x:c r="E230" s="18" t="n">
        <x:v>37.68</x:v>
      </x:c>
      <x:c r="F230" s="18" t="n">
        <x:v>22.76</x:v>
      </x:c>
      <x:c r="G230" t="n">
        <x:v>36</x:v>
      </x:c>
      <x:c r="H230" t="str">
        <x:v>F</x:v>
      </x:c>
      <x:c r="I230" t="str">
        <x:v>10+ years</x:v>
      </x:c>
      <x:c r="J230" t="str">
        <x:v>RENT</x:v>
      </x:c>
      <x:c r="K230" t="str">
        <x:v>debt_consolidation</x:v>
      </x:c>
      <x:c r="L230" t="n">
        <x:v>0</x:v>
      </x:c>
      <x:c r="M230" t="n">
        <x:v>1</x:v>
      </x:c>
      <x:c r="N230" t="str">
        <x:v>Charged Off</x:v>
      </x:c>
      <x:c r="O230" t="str">
        <x:f>IF(D230="","Unknown",IF(D230&lt;25000,"&lt;$25k",IF(D230&lt;50000,"$25k-$50k",IF(D230&lt;75000,"$50k-$75k",IF(D230&lt;100000,"$75k-$100k","$100k+")))))</x:f>
        <x:v>$100k+</x:v>
      </x:c>
      <x:c r="P230" t="str">
        <x:f>IF(E230="","Unknown",IF(E230&lt;10,"&lt;10",IF(E230&lt;20,"10-&lt;20",IF(E230&lt;25,"20-&lt;25",IF(E230&lt;35,"25-&lt;35","35+")))))</x:f>
        <x:v>35+</x:v>
      </x:c>
    </x:row>
    <x:row r="231">
      <x:c r="A231" t="str">
        <x:v>SYN0000230</x:v>
      </x:c>
      <x:c r="B231" s="12" t="n">
        <x:v>43045</x:v>
      </x:c>
      <x:c r="C231" s="18" t="n">
        <x:v>12646</x:v>
      </x:c>
      <x:c r="D231" s="18" t="n">
        <x:v>68265</x:v>
      </x:c>
      <x:c r="E231" s="18" t="n">
        <x:v>15.4</x:v>
      </x:c>
      <x:c r="F231" s="18" t="n">
        <x:v>6.19</x:v>
      </x:c>
      <x:c r="G231" t="n">
        <x:v>36</x:v>
      </x:c>
      <x:c r="H231" t="str">
        <x:v>A</x:v>
      </x:c>
      <x:c r="I231" t="str">
        <x:v>&lt;1 year</x:v>
      </x:c>
      <x:c r="J231" t="str">
        <x:v>RENT</x:v>
      </x:c>
      <x:c r="K231" t="str">
        <x:v>credit_card</x:v>
      </x:c>
      <x:c r="L231" t="n">
        <x:v>0</x:v>
      </x:c>
      <x:c r="M231" t="n">
        <x:v>0</x:v>
      </x:c>
      <x:c r="N231" t="str">
        <x:v>Fully Paid</x:v>
      </x:c>
      <x:c r="O231" t="str">
        <x:f>IF(D231="","Unknown",IF(D231&lt;25000,"&lt;$25k",IF(D231&lt;50000,"$25k-$50k",IF(D231&lt;75000,"$50k-$75k",IF(D231&lt;100000,"$75k-$100k","$100k+")))))</x:f>
        <x:v>$50k-$75k</x:v>
      </x:c>
      <x:c r="P231" t="str">
        <x:f>IF(E231="","Unknown",IF(E231&lt;10,"&lt;10",IF(E231&lt;20,"10-&lt;20",IF(E231&lt;25,"20-&lt;25",IF(E231&lt;35,"25-&lt;35","35+")))))</x:f>
        <x:v>10-&lt;20</x:v>
      </x:c>
    </x:row>
    <x:row r="232">
      <x:c r="A232" t="str">
        <x:v>SYN0000231</x:v>
      </x:c>
      <x:c r="B232" s="12" t="n">
        <x:v>42745</x:v>
      </x:c>
      <x:c r="C232" s="18" t="n">
        <x:v>35111</x:v>
      </x:c>
      <x:c r="D232" s="18" t="n">
        <x:v>27346</x:v>
      </x:c>
      <x:c r="E232" s="18" t="n">
        <x:v>26.15</x:v>
      </x:c>
      <x:c r="F232" s="18" t="n">
        <x:v>15.37</x:v>
      </x:c>
      <x:c r="G232" t="n">
        <x:v>36</x:v>
      </x:c>
      <x:c r="H232" t="str">
        <x:v>D</x:v>
      </x:c>
      <x:c r="I232" t="str">
        <x:v>10+ years</x:v>
      </x:c>
      <x:c r="J232" t="str">
        <x:v>MORTGAGE</x:v>
      </x:c>
      <x:c r="K232" t="str">
        <x:v>debt_consolidation</x:v>
      </x:c>
      <x:c r="L232" t="n">
        <x:v>2</x:v>
      </x:c>
      <x:c r="M232" t="n">
        <x:v>1</x:v>
      </x:c>
      <x:c r="N232" t="str">
        <x:v>Charged Off</x:v>
      </x:c>
      <x:c r="O232" t="str">
        <x:f>IF(D232="","Unknown",IF(D232&lt;25000,"&lt;$25k",IF(D232&lt;50000,"$25k-$50k",IF(D232&lt;75000,"$50k-$75k",IF(D232&lt;100000,"$75k-$100k","$100k+")))))</x:f>
        <x:v>$25k-$50k</x:v>
      </x:c>
      <x:c r="P232" t="str">
        <x:f>IF(E232="","Unknown",IF(E232&lt;10,"&lt;10",IF(E232&lt;20,"10-&lt;20",IF(E232&lt;25,"20-&lt;25",IF(E232&lt;35,"25-&lt;35","35+")))))</x:f>
        <x:v>25-&lt;35</x:v>
      </x:c>
    </x:row>
    <x:row r="233">
      <x:c r="A233" t="str">
        <x:v>SYN0000232</x:v>
      </x:c>
      <x:c r="B233" s="12" t="n">
        <x:v>41575</x:v>
      </x:c>
      <x:c r="C233" s="18" t="n">
        <x:v>28593</x:v>
      </x:c>
      <x:c r="D233" s="18" t="n">
        <x:v>64860</x:v>
      </x:c>
      <x:c r="E233" s="18" t="n">
        <x:v>34.31</x:v>
      </x:c>
      <x:c r="F233" s="18" t="n">
        <x:v>9.02</x:v>
      </x:c>
      <x:c r="G233" t="n">
        <x:v>60</x:v>
      </x:c>
      <x:c r="H233" t="str">
        <x:v>C</x:v>
      </x:c>
      <x:c r="I233" t="str">
        <x:v>1-3 years</x:v>
      </x:c>
      <x:c r="J233" t="str">
        <x:v>RENT</x:v>
      </x:c>
      <x:c r="K233" t="str">
        <x:v>debt_consolidation</x:v>
      </x:c>
      <x:c r="L233" t="n">
        <x:v>0</x:v>
      </x:c>
      <x:c r="M233" t="n">
        <x:v>0</x:v>
      </x:c>
      <x:c r="N233" t="str">
        <x:v>Fully Paid</x:v>
      </x:c>
      <x:c r="O233" t="str">
        <x:f>IF(D233="","Unknown",IF(D233&lt;25000,"&lt;$25k",IF(D233&lt;50000,"$25k-$50k",IF(D233&lt;75000,"$50k-$75k",IF(D233&lt;100000,"$75k-$100k","$100k+")))))</x:f>
        <x:v>$50k-$75k</x:v>
      </x:c>
      <x:c r="P233" t="str">
        <x:f>IF(E233="","Unknown",IF(E233&lt;10,"&lt;10",IF(E233&lt;20,"10-&lt;20",IF(E233&lt;25,"20-&lt;25",IF(E233&lt;35,"25-&lt;35","35+")))))</x:f>
        <x:v>25-&lt;35</x:v>
      </x:c>
    </x:row>
    <x:row r="234">
      <x:c r="A234" t="str">
        <x:v>SYN0000233</x:v>
      </x:c>
      <x:c r="B234" s="12" t="n">
        <x:v>41335</x:v>
      </x:c>
      <x:c r="C234" s="18" t="n">
        <x:v>12851</x:v>
      </x:c>
      <x:c r="D234" s="18" t="n">
        <x:v>55604</x:v>
      </x:c>
      <x:c r="E234" s="18" t="n">
        <x:v>18.89</x:v>
      </x:c>
      <x:c r="F234" s="18" t="n">
        <x:v>13.75</x:v>
      </x:c>
      <x:c r="G234" t="n">
        <x:v>36</x:v>
      </x:c>
      <x:c r="H234" t="str">
        <x:v>D</x:v>
      </x:c>
      <x:c r="I234" t="str">
        <x:v>1-3 years</x:v>
      </x:c>
      <x:c r="J234" t="str">
        <x:v>OWN</x:v>
      </x:c>
      <x:c r="K234" t="str">
        <x:v>credit_card</x:v>
      </x:c>
      <x:c r="L234" t="n">
        <x:v>0</x:v>
      </x:c>
      <x:c r="M234" t="n">
        <x:v>0</x:v>
      </x:c>
      <x:c r="N234" t="str">
        <x:v>Fully Paid</x:v>
      </x:c>
      <x:c r="O234" t="str">
        <x:f>IF(D234="","Unknown",IF(D234&lt;25000,"&lt;$25k",IF(D234&lt;50000,"$25k-$50k",IF(D234&lt;75000,"$50k-$75k",IF(D234&lt;100000,"$75k-$100k","$100k+")))))</x:f>
        <x:v>$50k-$75k</x:v>
      </x:c>
      <x:c r="P234" t="str">
        <x:f>IF(E234="","Unknown",IF(E234&lt;10,"&lt;10",IF(E234&lt;20,"10-&lt;20",IF(E234&lt;25,"20-&lt;25",IF(E234&lt;35,"25-&lt;35","35+")))))</x:f>
        <x:v>10-&lt;20</x:v>
      </x:c>
    </x:row>
    <x:row r="235">
      <x:c r="A235" t="str">
        <x:v>SYN0000234</x:v>
      </x:c>
      <x:c r="B235" s="12" t="n">
        <x:v>42655</x:v>
      </x:c>
      <x:c r="C235" s="18" t="n">
        <x:v>17912</x:v>
      </x:c>
      <x:c r="D235" s="18" t="n">
        <x:v>96668</x:v>
      </x:c>
      <x:c r="E235" s="18" t="n">
        <x:v>16.25</x:v>
      </x:c>
      <x:c r="F235" s="18" t="n">
        <x:v>17.42</x:v>
      </x:c>
      <x:c r="G235" t="n">
        <x:v>36</x:v>
      </x:c>
      <x:c r="H235" t="str">
        <x:v>F</x:v>
      </x:c>
      <x:c r="I235" t="str">
        <x:v>7-9 years</x:v>
      </x:c>
      <x:c r="J235" t="str">
        <x:v>MORTGAGE</x:v>
      </x:c>
      <x:c r="K235" t="str">
        <x:v>other</x:v>
      </x:c>
      <x:c r="L235" t="n">
        <x:v>2</x:v>
      </x:c>
      <x:c r="M235" t="n">
        <x:v>1</x:v>
      </x:c>
      <x:c r="N235" t="str">
        <x:v>Charged Off</x:v>
      </x:c>
      <x:c r="O235" t="str">
        <x:f>IF(D235="","Unknown",IF(D235&lt;25000,"&lt;$25k",IF(D235&lt;50000,"$25k-$50k",IF(D235&lt;75000,"$50k-$75k",IF(D235&lt;100000,"$75k-$100k","$100k+")))))</x:f>
        <x:v>$75k-$100k</x:v>
      </x:c>
      <x:c r="P235" t="str">
        <x:f>IF(E235="","Unknown",IF(E235&lt;10,"&lt;10",IF(E235&lt;20,"10-&lt;20",IF(E235&lt;25,"20-&lt;25",IF(E235&lt;35,"25-&lt;35","35+")))))</x:f>
        <x:v>10-&lt;20</x:v>
      </x:c>
    </x:row>
    <x:row r="236">
      <x:c r="A236" t="str">
        <x:v>SYN0000235</x:v>
      </x:c>
      <x:c r="B236" s="12" t="n">
        <x:v>41725</x:v>
      </x:c>
      <x:c r="C236" s="18" t="n">
        <x:v>8036</x:v>
      </x:c>
      <x:c r="D236" s="18" t="n">
        <x:v>75746</x:v>
      </x:c>
      <x:c r="E236" s="18" t="n">
        <x:v>6.86</x:v>
      </x:c>
      <x:c r="F236" s="18" t="n">
        <x:v>5</x:v>
      </x:c>
      <x:c r="G236" t="n">
        <x:v>60</x:v>
      </x:c>
      <x:c r="H236" t="str">
        <x:v>A</x:v>
      </x:c>
      <x:c r="I236" t="str">
        <x:v>10+ years</x:v>
      </x:c>
      <x:c r="J236" t="str">
        <x:v>MORTGAGE</x:v>
      </x:c>
      <x:c r="K236" t="str">
        <x:v>home_improvement</x:v>
      </x:c>
      <x:c r="L236" t="n">
        <x:v>0</x:v>
      </x:c>
      <x:c r="M236" t="n">
        <x:v>0</x:v>
      </x:c>
      <x:c r="N236" t="str">
        <x:v>Fully Paid</x:v>
      </x:c>
      <x:c r="O236" t="str">
        <x:f>IF(D236="","Unknown",IF(D236&lt;25000,"&lt;$25k",IF(D236&lt;50000,"$25k-$50k",IF(D236&lt;75000,"$50k-$75k",IF(D236&lt;100000,"$75k-$100k","$100k+")))))</x:f>
        <x:v>$75k-$100k</x:v>
      </x:c>
      <x:c r="P236" t="str">
        <x:f>IF(E236="","Unknown",IF(E236&lt;10,"&lt;10",IF(E236&lt;20,"10-&lt;20",IF(E236&lt;25,"20-&lt;25",IF(E236&lt;35,"25-&lt;35","35+")))))</x:f>
        <x:v>&lt;10</x:v>
      </x:c>
    </x:row>
    <x:row r="237">
      <x:c r="A237" t="str">
        <x:v>SYN0000236</x:v>
      </x:c>
      <x:c r="B237" s="12" t="n">
        <x:v>43195</x:v>
      </x:c>
      <x:c r="C237" s="18" t="n">
        <x:v>16633</x:v>
      </x:c>
      <x:c r="D237" s="18" t="n">
        <x:v>50433</x:v>
      </x:c>
      <x:c r="E237" s="18" t="n">
        <x:v>10.26</x:v>
      </x:c>
      <x:c r="F237" s="18" t="n">
        <x:v>8.07</x:v>
      </x:c>
      <x:c r="G237" t="n">
        <x:v>36</x:v>
      </x:c>
      <x:c r="H237" t="str">
        <x:v>C</x:v>
      </x:c>
      <x:c r="I237" t="str">
        <x:v>10+ years</x:v>
      </x:c>
      <x:c r="J237" t="str">
        <x:v>RENT</x:v>
      </x:c>
      <x:c r="K237" t="str">
        <x:v>major_purchase</x:v>
      </x:c>
      <x:c r="L237" t="n">
        <x:v>0</x:v>
      </x:c>
      <x:c r="M237" t="n">
        <x:v>0</x:v>
      </x:c>
      <x:c r="N237" t="str">
        <x:v>Fully Paid</x:v>
      </x:c>
      <x:c r="O237" t="str">
        <x:f>IF(D237="","Unknown",IF(D237&lt;25000,"&lt;$25k",IF(D237&lt;50000,"$25k-$50k",IF(D237&lt;75000,"$50k-$75k",IF(D237&lt;100000,"$75k-$100k","$100k+")))))</x:f>
        <x:v>$50k-$75k</x:v>
      </x:c>
      <x:c r="P237" t="str">
        <x:f>IF(E237="","Unknown",IF(E237&lt;10,"&lt;10",IF(E237&lt;20,"10-&lt;20",IF(E237&lt;25,"20-&lt;25",IF(E237&lt;35,"25-&lt;35","35+")))))</x:f>
        <x:v>10-&lt;20</x:v>
      </x:c>
    </x:row>
    <x:row r="238">
      <x:c r="A238" t="str">
        <x:v>SYN0000237</x:v>
      </x:c>
      <x:c r="B238" s="12" t="n">
        <x:v>42595</x:v>
      </x:c>
      <x:c r="C238" s="18" t="n">
        <x:v>9311</x:v>
      </x:c>
      <x:c r="D238" s="18" t="n">
        <x:v>50736</x:v>
      </x:c>
      <x:c r="E238" s="18" t="n">
        <x:v>32.7</x:v>
      </x:c>
      <x:c r="F238" s="18" t="n">
        <x:v>12.96</x:v>
      </x:c>
      <x:c r="G238" t="n">
        <x:v>36</x:v>
      </x:c>
      <x:c r="H238" t="str">
        <x:v>C</x:v>
      </x:c>
      <x:c r="I238" t="str">
        <x:v>4-6 years</x:v>
      </x:c>
      <x:c r="J238" t="str">
        <x:v>RENT</x:v>
      </x:c>
      <x:c r="K238" t="str">
        <x:v>credit_card</x:v>
      </x:c>
      <x:c r="L238" t="n">
        <x:v>1</x:v>
      </x:c>
      <x:c r="M238" t="n">
        <x:v>0</x:v>
      </x:c>
      <x:c r="N238" t="str">
        <x:v>Fully Paid</x:v>
      </x:c>
      <x:c r="O238" t="str">
        <x:f>IF(D238="","Unknown",IF(D238&lt;25000,"&lt;$25k",IF(D238&lt;50000,"$25k-$50k",IF(D238&lt;75000,"$50k-$75k",IF(D238&lt;100000,"$75k-$100k","$100k+")))))</x:f>
        <x:v>$50k-$75k</x:v>
      </x:c>
      <x:c r="P238" t="str">
        <x:f>IF(E238="","Unknown",IF(E238&lt;10,"&lt;10",IF(E238&lt;20,"10-&lt;20",IF(E238&lt;25,"20-&lt;25",IF(E238&lt;35,"25-&lt;35","35+")))))</x:f>
        <x:v>25-&lt;35</x:v>
      </x:c>
    </x:row>
    <x:row r="239">
      <x:c r="A239" t="str">
        <x:v>SYN0000238</x:v>
      </x:c>
      <x:c r="B239" s="12" t="n">
        <x:v>41905</x:v>
      </x:c>
      <x:c r="C239" s="18" t="n">
        <x:v>6779</x:v>
      </x:c>
      <x:c r="D239" s="18" t="n">
        <x:v>17829</x:v>
      </x:c>
      <x:c r="E239" s="18" t="n">
        <x:v>19.34</x:v>
      </x:c>
      <x:c r="F239" s="18" t="n">
        <x:v>6.42</x:v>
      </x:c>
      <x:c r="G239" t="n">
        <x:v>36</x:v>
      </x:c>
      <x:c r="H239" t="str">
        <x:v>A</x:v>
      </x:c>
      <x:c r="I239" t="str">
        <x:v>10+ years</x:v>
      </x:c>
      <x:c r="J239" t="str">
        <x:v>RENT</x:v>
      </x:c>
      <x:c r="K239" t="str">
        <x:v>credit_card</x:v>
      </x:c>
      <x:c r="L239" t="n">
        <x:v>1</x:v>
      </x:c>
      <x:c r="M239" t="n">
        <x:v>0</x:v>
      </x:c>
      <x:c r="N239" t="str">
        <x:v>Fully Paid</x:v>
      </x:c>
      <x:c r="O239" t="str">
        <x:f>IF(D239="","Unknown",IF(D239&lt;25000,"&lt;$25k",IF(D239&lt;50000,"$25k-$50k",IF(D239&lt;75000,"$50k-$75k",IF(D239&lt;100000,"$75k-$100k","$100k+")))))</x:f>
        <x:v>&lt;$25k</x:v>
      </x:c>
      <x:c r="P239" t="str">
        <x:f>IF(E239="","Unknown",IF(E239&lt;10,"&lt;10",IF(E239&lt;20,"10-&lt;20",IF(E239&lt;25,"20-&lt;25",IF(E239&lt;35,"25-&lt;35","35+")))))</x:f>
        <x:v>10-&lt;20</x:v>
      </x:c>
    </x:row>
    <x:row r="240">
      <x:c r="A240" t="str">
        <x:v>SYN0000239</x:v>
      </x:c>
      <x:c r="B240" s="12" t="n">
        <x:v>41785</x:v>
      </x:c>
      <x:c r="C240" s="18" t="n">
        <x:v>24644</x:v>
      </x:c>
      <x:c r="D240" s="18" t="n">
        <x:v>14057</x:v>
      </x:c>
      <x:c r="E240" s="18" t="n">
        <x:v>16.23</x:v>
      </x:c>
      <x:c r="F240" s="18" t="n">
        <x:v>17.71</x:v>
      </x:c>
      <x:c r="G240" t="n">
        <x:v>36</x:v>
      </x:c>
      <x:c r="H240" t="str">
        <x:v>E</x:v>
      </x:c>
      <x:c r="I240" t="str">
        <x:v>4-6 years</x:v>
      </x:c>
      <x:c r="J240" t="str">
        <x:v>RENT</x:v>
      </x:c>
      <x:c r="K240" t="str">
        <x:v>home_improvement</x:v>
      </x:c>
      <x:c r="L240" t="n">
        <x:v>2</x:v>
      </x:c>
      <x:c r="M240" t="n">
        <x:v>1</x:v>
      </x:c>
      <x:c r="N240" t="str">
        <x:v>Charged Off</x:v>
      </x:c>
      <x:c r="O240" t="str">
        <x:f>IF(D240="","Unknown",IF(D240&lt;25000,"&lt;$25k",IF(D240&lt;50000,"$25k-$50k",IF(D240&lt;75000,"$50k-$75k",IF(D240&lt;100000,"$75k-$100k","$100k+")))))</x:f>
        <x:v>&lt;$25k</x:v>
      </x:c>
      <x:c r="P240" t="str">
        <x:f>IF(E240="","Unknown",IF(E240&lt;10,"&lt;10",IF(E240&lt;20,"10-&lt;20",IF(E240&lt;25,"20-&lt;25",IF(E240&lt;35,"25-&lt;35","35+")))))</x:f>
        <x:v>10-&lt;20</x:v>
      </x:c>
    </x:row>
    <x:row r="241">
      <x:c r="A241" t="str">
        <x:v>SYN0000240</x:v>
      </x:c>
      <x:c r="B241" s="12" t="n">
        <x:v>41905</x:v>
      </x:c>
      <x:c r="C241" s="18" t="n">
        <x:v>16517</x:v>
      </x:c>
      <x:c r="D241" s="18" t="n">
        <x:v>104791</x:v>
      </x:c>
      <x:c r="E241" s="18" t="n">
        <x:v>24.71</x:v>
      </x:c>
      <x:c r="F241" s="18" t="n">
        <x:v>17.46</x:v>
      </x:c>
      <x:c r="G241" t="n">
        <x:v>36</x:v>
      </x:c>
      <x:c r="H241" t="str">
        <x:v>E</x:v>
      </x:c>
      <x:c r="I241" t="str">
        <x:v>&lt;1 year</x:v>
      </x:c>
      <x:c r="J241" t="str">
        <x:v>RENT</x:v>
      </x:c>
      <x:c r="K241" t="str">
        <x:v>debt_consolidation</x:v>
      </x:c>
      <x:c r="L241" t="n">
        <x:v>1</x:v>
      </x:c>
      <x:c r="M241" t="n">
        <x:v>0</x:v>
      </x:c>
      <x:c r="N241" t="str">
        <x:v>Fully Paid</x:v>
      </x:c>
      <x:c r="O241" t="str">
        <x:f>IF(D241="","Unknown",IF(D241&lt;25000,"&lt;$25k",IF(D241&lt;50000,"$25k-$50k",IF(D241&lt;75000,"$50k-$75k",IF(D241&lt;100000,"$75k-$100k","$100k+")))))</x:f>
        <x:v>$100k+</x:v>
      </x:c>
      <x:c r="P241" t="str">
        <x:f>IF(E241="","Unknown",IF(E241&lt;10,"&lt;10",IF(E241&lt;20,"10-&lt;20",IF(E241&lt;25,"20-&lt;25",IF(E241&lt;35,"25-&lt;35","35+")))))</x:f>
        <x:v>20-&lt;25</x:v>
      </x:c>
    </x:row>
    <x:row r="242">
      <x:c r="A242" t="str">
        <x:v>SYN0000241</x:v>
      </x:c>
      <x:c r="B242" s="12" t="n">
        <x:v>42295</x:v>
      </x:c>
      <x:c r="C242" s="18" t="n">
        <x:v>5728</x:v>
      </x:c>
      <x:c r="D242" s="18" t="n">
        <x:v>51719</x:v>
      </x:c>
      <x:c r="E242" s="18" t="n">
        <x:v>22.09</x:v>
      </x:c>
      <x:c r="F242" s="18" t="n">
        <x:v>28.28</x:v>
      </x:c>
      <x:c r="G242" t="n">
        <x:v>36</x:v>
      </x:c>
      <x:c r="H242" t="str">
        <x:v>G</x:v>
      </x:c>
      <x:c r="I242" t="str">
        <x:v>1-3 years</x:v>
      </x:c>
      <x:c r="J242" t="str">
        <x:v>RENT</x:v>
      </x:c>
      <x:c r="K242" t="str">
        <x:v>debt_consolidation</x:v>
      </x:c>
      <x:c r="L242" t="n">
        <x:v>2</x:v>
      </x:c>
      <x:c r="M242" t="n">
        <x:v>1</x:v>
      </x:c>
      <x:c r="N242" t="str">
        <x:v>Charged Off</x:v>
      </x:c>
      <x:c r="O242" t="str">
        <x:f>IF(D242="","Unknown",IF(D242&lt;25000,"&lt;$25k",IF(D242&lt;50000,"$25k-$50k",IF(D242&lt;75000,"$50k-$75k",IF(D242&lt;100000,"$75k-$100k","$100k+")))))</x:f>
        <x:v>$50k-$75k</x:v>
      </x:c>
      <x:c r="P242" t="str">
        <x:f>IF(E242="","Unknown",IF(E242&lt;10,"&lt;10",IF(E242&lt;20,"10-&lt;20",IF(E242&lt;25,"20-&lt;25",IF(E242&lt;35,"25-&lt;35","35+")))))</x:f>
        <x:v>20-&lt;25</x:v>
      </x:c>
    </x:row>
    <x:row r="243">
      <x:c r="A243" t="str">
        <x:v>SYN0000242</x:v>
      </x:c>
      <x:c r="B243" s="12" t="n">
        <x:v>42745</x:v>
      </x:c>
      <x:c r="C243" s="18" t="n">
        <x:v>15610</x:v>
      </x:c>
      <x:c r="D243" s="18" t="n">
        <x:v>68331</x:v>
      </x:c>
      <x:c r="E243" s="18" t="n">
        <x:v>3.02</x:v>
      </x:c>
      <x:c r="F243" s="18" t="n">
        <x:v>10.54</x:v>
      </x:c>
      <x:c r="G243" t="n">
        <x:v>36</x:v>
      </x:c>
      <x:c r="H243" t="str">
        <x:v>C</x:v>
      </x:c>
      <x:c r="I243" t="str">
        <x:v>1-3 years</x:v>
      </x:c>
      <x:c r="J243" t="str">
        <x:v>OWN</x:v>
      </x:c>
      <x:c r="K243" t="str">
        <x:v>debt_consolidation</x:v>
      </x:c>
      <x:c r="L243" t="n">
        <x:v>1</x:v>
      </x:c>
      <x:c r="M243" t="n">
        <x:v>0</x:v>
      </x:c>
      <x:c r="N243" t="str">
        <x:v>Fully Paid</x:v>
      </x:c>
      <x:c r="O243" t="str">
        <x:f>IF(D243="","Unknown",IF(D243&lt;25000,"&lt;$25k",IF(D243&lt;50000,"$25k-$50k",IF(D243&lt;75000,"$50k-$75k",IF(D243&lt;100000,"$75k-$100k","$100k+")))))</x:f>
        <x:v>$50k-$75k</x:v>
      </x:c>
      <x:c r="P243" t="str">
        <x:f>IF(E243="","Unknown",IF(E243&lt;10,"&lt;10",IF(E243&lt;20,"10-&lt;20",IF(E243&lt;25,"20-&lt;25",IF(E243&lt;35,"25-&lt;35","35+")))))</x:f>
        <x:v>&lt;10</x:v>
      </x:c>
    </x:row>
    <x:row r="244">
      <x:c r="A244" t="str">
        <x:v>SYN0000243</x:v>
      </x:c>
      <x:c r="B244" s="12" t="n">
        <x:v>42595</x:v>
      </x:c>
      <x:c r="C244" s="18" t="n">
        <x:v>7622</x:v>
      </x:c>
      <x:c r="D244" s="18" t="n">
        <x:v>29553</x:v>
      </x:c>
      <x:c r="E244" s="18" t="n">
        <x:v>24.05</x:v>
      </x:c>
      <x:c r="F244" s="18" t="n">
        <x:v>25.21</x:v>
      </x:c>
      <x:c r="G244" t="n">
        <x:v>36</x:v>
      </x:c>
      <x:c r="H244" t="str">
        <x:v>F</x:v>
      </x:c>
      <x:c r="I244" t="str">
        <x:v>10+ years</x:v>
      </x:c>
      <x:c r="J244" t="str">
        <x:v>MORTGAGE</x:v>
      </x:c>
      <x:c r="K244" t="str">
        <x:v>major_purchase</x:v>
      </x:c>
      <x:c r="L244" t="n">
        <x:v>0</x:v>
      </x:c>
      <x:c r="M244" t="n">
        <x:v>0</x:v>
      </x:c>
      <x:c r="N244" t="str">
        <x:v>Fully Paid</x:v>
      </x:c>
      <x:c r="O244" t="str">
        <x:f>IF(D244="","Unknown",IF(D244&lt;25000,"&lt;$25k",IF(D244&lt;50000,"$25k-$50k",IF(D244&lt;75000,"$50k-$75k",IF(D244&lt;100000,"$75k-$100k","$100k+")))))</x:f>
        <x:v>$25k-$50k</x:v>
      </x:c>
      <x:c r="P244" t="str">
        <x:f>IF(E244="","Unknown",IF(E244&lt;10,"&lt;10",IF(E244&lt;20,"10-&lt;20",IF(E244&lt;25,"20-&lt;25",IF(E244&lt;35,"25-&lt;35","35+")))))</x:f>
        <x:v>20-&lt;25</x:v>
      </x:c>
    </x:row>
    <x:row r="245">
      <x:c r="A245" t="str">
        <x:v>SYN0000244</x:v>
      </x:c>
      <x:c r="B245" s="12" t="n">
        <x:v>42265</x:v>
      </x:c>
      <x:c r="C245" s="18" t="n">
        <x:v>14903</x:v>
      </x:c>
      <x:c r="D245" s="18" t="n">
        <x:v>33990</x:v>
      </x:c>
      <x:c r="E245" s="18" t="n">
        <x:v>17.05</x:v>
      </x:c>
      <x:c r="F245" s="18" t="n">
        <x:v>15.65</x:v>
      </x:c>
      <x:c r="G245" t="n">
        <x:v>60</x:v>
      </x:c>
      <x:c r="H245" t="str">
        <x:v>D</x:v>
      </x:c>
      <x:c r="I245" t="str">
        <x:v>4-6 years</x:v>
      </x:c>
      <x:c r="J245" t="str">
        <x:v>RENT</x:v>
      </x:c>
      <x:c r="K245" t="str">
        <x:v>other</x:v>
      </x:c>
      <x:c r="L245" t="n">
        <x:v>0</x:v>
      </x:c>
      <x:c r="M245" t="n">
        <x:v>0</x:v>
      </x:c>
      <x:c r="N245" t="str">
        <x:v>Fully Paid</x:v>
      </x:c>
      <x:c r="O245" t="str">
        <x:f>IF(D245="","Unknown",IF(D245&lt;25000,"&lt;$25k",IF(D245&lt;50000,"$25k-$50k",IF(D245&lt;75000,"$50k-$75k",IF(D245&lt;100000,"$75k-$100k","$100k+")))))</x:f>
        <x:v>$25k-$50k</x:v>
      </x:c>
      <x:c r="P245" t="str">
        <x:f>IF(E245="","Unknown",IF(E245&lt;10,"&lt;10",IF(E245&lt;20,"10-&lt;20",IF(E245&lt;25,"20-&lt;25",IF(E245&lt;35,"25-&lt;35","35+")))))</x:f>
        <x:v>10-&lt;20</x:v>
      </x:c>
    </x:row>
    <x:row r="246">
      <x:c r="A246" t="str">
        <x:v>SYN0000245</x:v>
      </x:c>
      <x:c r="B246" s="12" t="n">
        <x:v>41635</x:v>
      </x:c>
      <x:c r="C246" s="18" t="n">
        <x:v>7858</x:v>
      </x:c>
      <x:c r="D246" s="18" t="n">
        <x:v>79835</x:v>
      </x:c>
      <x:c r="E246" s="18" t="n">
        <x:v>29.18</x:v>
      </x:c>
      <x:c r="F246" s="18" t="n">
        <x:v>9.73</x:v>
      </x:c>
      <x:c r="G246" t="n">
        <x:v>36</x:v>
      </x:c>
      <x:c r="H246" t="str">
        <x:v>B</x:v>
      </x:c>
      <x:c r="I246" t="str">
        <x:v>&lt;1 year</x:v>
      </x:c>
      <x:c r="J246" t="str">
        <x:v>RENT</x:v>
      </x:c>
      <x:c r="K246" t="str">
        <x:v>credit_card</x:v>
      </x:c>
      <x:c r="L246" t="n">
        <x:v>0</x:v>
      </x:c>
      <x:c r="M246" t="n">
        <x:v>0</x:v>
      </x:c>
      <x:c r="N246" t="str">
        <x:v>Fully Paid</x:v>
      </x:c>
      <x:c r="O246" t="str">
        <x:f>IF(D246="","Unknown",IF(D246&lt;25000,"&lt;$25k",IF(D246&lt;50000,"$25k-$50k",IF(D246&lt;75000,"$50k-$75k",IF(D246&lt;100000,"$75k-$100k","$100k+")))))</x:f>
        <x:v>$75k-$100k</x:v>
      </x:c>
      <x:c r="P246" t="str">
        <x:f>IF(E246="","Unknown",IF(E246&lt;10,"&lt;10",IF(E246&lt;20,"10-&lt;20",IF(E246&lt;25,"20-&lt;25",IF(E246&lt;35,"25-&lt;35","35+")))))</x:f>
        <x:v>25-&lt;35</x:v>
      </x:c>
    </x:row>
    <x:row r="247">
      <x:c r="A247" t="str">
        <x:v>SYN0000246</x:v>
      </x:c>
      <x:c r="B247" s="12" t="n">
        <x:v>43105</x:v>
      </x:c>
      <x:c r="C247" s="18" t="n">
        <x:v>6835</x:v>
      </x:c>
      <x:c r="D247" s="18" t="n">
        <x:v>53380</x:v>
      </x:c>
      <x:c r="E247" s="18" t="n">
        <x:v>16.93</x:v>
      </x:c>
      <x:c r="F247" s="18" t="n">
        <x:v>7.49</x:v>
      </x:c>
      <x:c r="G247" t="n">
        <x:v>36</x:v>
      </x:c>
      <x:c r="H247" t="str">
        <x:v>B</x:v>
      </x:c>
      <x:c r="I247" t="str">
        <x:v>4-6 years</x:v>
      </x:c>
      <x:c r="J247" t="str">
        <x:v>RENT</x:v>
      </x:c>
      <x:c r="K247" t="str">
        <x:v>credit_card</x:v>
      </x:c>
      <x:c r="L247" t="n">
        <x:v>0</x:v>
      </x:c>
      <x:c r="M247" t="n">
        <x:v>0</x:v>
      </x:c>
      <x:c r="N247" t="str">
        <x:v>Fully Paid</x:v>
      </x:c>
      <x:c r="O247" t="str">
        <x:f>IF(D247="","Unknown",IF(D247&lt;25000,"&lt;$25k",IF(D247&lt;50000,"$25k-$50k",IF(D247&lt;75000,"$50k-$75k",IF(D247&lt;100000,"$75k-$100k","$100k+")))))</x:f>
        <x:v>$50k-$75k</x:v>
      </x:c>
      <x:c r="P247" t="str">
        <x:f>IF(E247="","Unknown",IF(E247&lt;10,"&lt;10",IF(E247&lt;20,"10-&lt;20",IF(E247&lt;25,"20-&lt;25",IF(E247&lt;35,"25-&lt;35","35+")))))</x:f>
        <x:v>10-&lt;20</x:v>
      </x:c>
    </x:row>
    <x:row r="248">
      <x:c r="A248" t="str">
        <x:v>SYN0000247</x:v>
      </x:c>
      <x:c r="B248" s="12" t="n">
        <x:v>43135</x:v>
      </x:c>
      <x:c r="C248" s="18" t="n">
        <x:v>12584</x:v>
      </x:c>
      <x:c r="D248" s="18" t="n">
        <x:v>32426</x:v>
      </x:c>
      <x:c r="E248" s="18" t="n">
        <x:v>31.92</x:v>
      </x:c>
      <x:c r="F248" s="18" t="n">
        <x:v>10.32</x:v>
      </x:c>
      <x:c r="G248" t="n">
        <x:v>36</x:v>
      </x:c>
      <x:c r="H248" t="str">
        <x:v>B</x:v>
      </x:c>
      <x:c r="I248" t="str">
        <x:v>4-6 years</x:v>
      </x:c>
      <x:c r="J248" t="str">
        <x:v>MORTGAGE</x:v>
      </x:c>
      <x:c r="K248" t="str">
        <x:v>home_improvement</x:v>
      </x:c>
      <x:c r="L248" t="n">
        <x:v>1</x:v>
      </x:c>
      <x:c r="M248" t="n">
        <x:v>0</x:v>
      </x:c>
      <x:c r="N248" t="str">
        <x:v>Fully Paid</x:v>
      </x:c>
      <x:c r="O248" t="str">
        <x:f>IF(D248="","Unknown",IF(D248&lt;25000,"&lt;$25k",IF(D248&lt;50000,"$25k-$50k",IF(D248&lt;75000,"$50k-$75k",IF(D248&lt;100000,"$75k-$100k","$100k+")))))</x:f>
        <x:v>$25k-$50k</x:v>
      </x:c>
      <x:c r="P248" t="str">
        <x:f>IF(E248="","Unknown",IF(E248&lt;10,"&lt;10",IF(E248&lt;20,"10-&lt;20",IF(E248&lt;25,"20-&lt;25",IF(E248&lt;35,"25-&lt;35","35+")))))</x:f>
        <x:v>25-&lt;35</x:v>
      </x:c>
    </x:row>
    <x:row r="249">
      <x:c r="A249" t="str">
        <x:v>SYN0000248</x:v>
      </x:c>
      <x:c r="B249" s="12" t="n">
        <x:v>41695</x:v>
      </x:c>
      <x:c r="C249" s="18" t="n">
        <x:v>22613</x:v>
      </x:c>
      <x:c r="D249" s="18" t="n">
        <x:v>70221</x:v>
      </x:c>
      <x:c r="E249" s="18" t="n">
        <x:v>17.9</x:v>
      </x:c>
      <x:c r="F249" s="18" t="n">
        <x:v>17.95</x:v>
      </x:c>
      <x:c r="G249" t="n">
        <x:v>60</x:v>
      </x:c>
      <x:c r="H249" t="str">
        <x:v>E</x:v>
      </x:c>
      <x:c r="I249" t="str">
        <x:v>1-3 years</x:v>
      </x:c>
      <x:c r="J249" t="str">
        <x:v>OWN</x:v>
      </x:c>
      <x:c r="K249" t="str">
        <x:v>credit_card</x:v>
      </x:c>
      <x:c r="L249" t="n">
        <x:v>0</x:v>
      </x:c>
      <x:c r="M249" t="n">
        <x:v>0</x:v>
      </x:c>
      <x:c r="N249" t="str">
        <x:v>Fully Paid</x:v>
      </x:c>
      <x:c r="O249" t="str">
        <x:f>IF(D249="","Unknown",IF(D249&lt;25000,"&lt;$25k",IF(D249&lt;50000,"$25k-$50k",IF(D249&lt;75000,"$50k-$75k",IF(D249&lt;100000,"$75k-$100k","$100k+")))))</x:f>
        <x:v>$50k-$75k</x:v>
      </x:c>
      <x:c r="P249" t="str">
        <x:f>IF(E249="","Unknown",IF(E249&lt;10,"&lt;10",IF(E249&lt;20,"10-&lt;20",IF(E249&lt;25,"20-&lt;25",IF(E249&lt;35,"25-&lt;35","35+")))))</x:f>
        <x:v>10-&lt;20</x:v>
      </x:c>
    </x:row>
    <x:row r="250">
      <x:c r="A250" t="str">
        <x:v>SYN0000249</x:v>
      </x:c>
      <x:c r="B250" s="12" t="n">
        <x:v>42205</x:v>
      </x:c>
      <x:c r="C250" s="18" t="n">
        <x:v>19182</x:v>
      </x:c>
      <x:c r="D250" s="18" t="n">
        <x:v>44559</x:v>
      </x:c>
      <x:c r="E250" s="18" t="n">
        <x:v>10.5</x:v>
      </x:c>
      <x:c r="F250" s="18" t="n">
        <x:v>8.4</x:v>
      </x:c>
      <x:c r="G250" t="n">
        <x:v>36</x:v>
      </x:c>
      <x:c r="H250" t="str">
        <x:v>C</x:v>
      </x:c>
      <x:c r="I250" t="str">
        <x:v>7-9 years</x:v>
      </x:c>
      <x:c r="J250" t="str">
        <x:v>MORTGAGE</x:v>
      </x:c>
      <x:c r="K250" t="str">
        <x:v>home_improvement</x:v>
      </x:c>
      <x:c r="L250" t="n">
        <x:v>0</x:v>
      </x:c>
      <x:c r="M250" t="n">
        <x:v>0</x:v>
      </x:c>
      <x:c r="N250" t="str">
        <x:v>Fully Paid</x:v>
      </x:c>
      <x:c r="O250" t="str">
        <x:f>IF(D250="","Unknown",IF(D250&lt;25000,"&lt;$25k",IF(D250&lt;50000,"$25k-$50k",IF(D250&lt;75000,"$50k-$75k",IF(D250&lt;100000,"$75k-$100k","$100k+")))))</x:f>
        <x:v>$25k-$50k</x:v>
      </x:c>
      <x:c r="P250" t="str">
        <x:f>IF(E250="","Unknown",IF(E250&lt;10,"&lt;10",IF(E250&lt;20,"10-&lt;20",IF(E250&lt;25,"20-&lt;25",IF(E250&lt;35,"25-&lt;35","35+")))))</x:f>
        <x:v>10-&lt;20</x:v>
      </x:c>
    </x:row>
    <x:row r="251">
      <x:c r="A251" t="str">
        <x:v>SYN0000250</x:v>
      </x:c>
      <x:c r="B251" s="12" t="n">
        <x:v>41635</x:v>
      </x:c>
      <x:c r="C251" s="18" t="n">
        <x:v>18237</x:v>
      </x:c>
      <x:c r="D251" s="18" t="n">
        <x:v>46098</x:v>
      </x:c>
      <x:c r="E251" s="18" t="n">
        <x:v>12.86</x:v>
      </x:c>
      <x:c r="F251" s="18" t="n">
        <x:v>7.19</x:v>
      </x:c>
      <x:c r="G251" t="n">
        <x:v>36</x:v>
      </x:c>
      <x:c r="H251" t="str">
        <x:v>A</x:v>
      </x:c>
      <x:c r="I251" t="str">
        <x:v>1-3 years</x:v>
      </x:c>
      <x:c r="J251" t="str">
        <x:v>RENT</x:v>
      </x:c>
      <x:c r="K251" t="str">
        <x:v>debt_consolidation</x:v>
      </x:c>
      <x:c r="L251" t="n">
        <x:v>0</x:v>
      </x:c>
      <x:c r="M251" t="n">
        <x:v>0</x:v>
      </x:c>
      <x:c r="N251" t="str">
        <x:v>Fully Paid</x:v>
      </x:c>
      <x:c r="O251" t="str">
        <x:f>IF(D251="","Unknown",IF(D251&lt;25000,"&lt;$25k",IF(D251&lt;50000,"$25k-$50k",IF(D251&lt;75000,"$50k-$75k",IF(D251&lt;100000,"$75k-$100k","$100k+")))))</x:f>
        <x:v>$25k-$50k</x:v>
      </x:c>
      <x:c r="P251" t="str">
        <x:f>IF(E251="","Unknown",IF(E251&lt;10,"&lt;10",IF(E251&lt;20,"10-&lt;20",IF(E251&lt;25,"20-&lt;25",IF(E251&lt;35,"25-&lt;35","35+")))))</x:f>
        <x:v>10-&lt;20</x:v>
      </x:c>
    </x:row>
    <x:row r="252">
      <x:c r="A252" t="str">
        <x:v>SYN0000251</x:v>
      </x:c>
      <x:c r="B252" s="12" t="n">
        <x:v>41845</x:v>
      </x:c>
      <x:c r="C252" s="18" t="n">
        <x:v>18305</x:v>
      </x:c>
      <x:c r="D252" s="18" t="n">
        <x:v>27975</x:v>
      </x:c>
      <x:c r="E252" s="18" t="n">
        <x:v>9.84</x:v>
      </x:c>
      <x:c r="F252" s="18" t="n">
        <x:v>21.03</x:v>
      </x:c>
      <x:c r="G252" t="n">
        <x:v>60</x:v>
      </x:c>
      <x:c r="H252" t="str">
        <x:v>F</x:v>
      </x:c>
      <x:c r="I252" t="str">
        <x:v>1-3 years</x:v>
      </x:c>
      <x:c r="J252" t="str">
        <x:v>MORTGAGE</x:v>
      </x:c>
      <x:c r="K252" t="str">
        <x:v>credit_card</x:v>
      </x:c>
      <x:c r="L252" t="n">
        <x:v>1</x:v>
      </x:c>
      <x:c r="M252" t="n">
        <x:v>0</x:v>
      </x:c>
      <x:c r="N252" t="str">
        <x:v>Fully Paid</x:v>
      </x:c>
      <x:c r="O252" t="str">
        <x:f>IF(D252="","Unknown",IF(D252&lt;25000,"&lt;$25k",IF(D252&lt;50000,"$25k-$50k",IF(D252&lt;75000,"$50k-$75k",IF(D252&lt;100000,"$75k-$100k","$100k+")))))</x:f>
        <x:v>$25k-$50k</x:v>
      </x:c>
      <x:c r="P252" t="str">
        <x:f>IF(E252="","Unknown",IF(E252&lt;10,"&lt;10",IF(E252&lt;20,"10-&lt;20",IF(E252&lt;25,"20-&lt;25",IF(E252&lt;35,"25-&lt;35","35+")))))</x:f>
        <x:v>&lt;10</x:v>
      </x:c>
    </x:row>
    <x:row r="253">
      <x:c r="A253" t="str">
        <x:v>SYN0000252</x:v>
      </x:c>
      <x:c r="B253" s="12" t="n">
        <x:v>43225</x:v>
      </x:c>
      <x:c r="C253" s="18" t="n">
        <x:v>9686</x:v>
      </x:c>
      <x:c r="D253" s="18" t="n">
        <x:v>33954</x:v>
      </x:c>
      <x:c r="E253" s="18" t="n">
        <x:v>14.91</x:v>
      </x:c>
      <x:c r="F253" s="18" t="n">
        <x:v>13.22</x:v>
      </x:c>
      <x:c r="G253" t="n">
        <x:v>60</x:v>
      </x:c>
      <x:c r="H253" t="str">
        <x:v>C</x:v>
      </x:c>
      <x:c r="I253" t="str">
        <x:v>4-6 years</x:v>
      </x:c>
      <x:c r="J253" t="str">
        <x:v>RENT</x:v>
      </x:c>
      <x:c r="K253" t="str">
        <x:v>debt_consolidation</x:v>
      </x:c>
      <x:c r="L253" t="n">
        <x:v>0</x:v>
      </x:c>
      <x:c r="M253" t="n">
        <x:v>0</x:v>
      </x:c>
      <x:c r="N253" t="str">
        <x:v>Fully Paid</x:v>
      </x:c>
      <x:c r="O253" t="str">
        <x:f>IF(D253="","Unknown",IF(D253&lt;25000,"&lt;$25k",IF(D253&lt;50000,"$25k-$50k",IF(D253&lt;75000,"$50k-$75k",IF(D253&lt;100000,"$75k-$100k","$100k+")))))</x:f>
        <x:v>$25k-$50k</x:v>
      </x:c>
      <x:c r="P253" t="str">
        <x:f>IF(E253="","Unknown",IF(E253&lt;10,"&lt;10",IF(E253&lt;20,"10-&lt;20",IF(E253&lt;25,"20-&lt;25",IF(E253&lt;35,"25-&lt;35","35+")))))</x:f>
        <x:v>10-&lt;20</x:v>
      </x:c>
    </x:row>
    <x:row r="254">
      <x:c r="A254" t="str">
        <x:v>SYN0000253</x:v>
      </x:c>
      <x:c r="B254" s="12" t="n">
        <x:v>42475</x:v>
      </x:c>
      <x:c r="C254" s="18" t="n">
        <x:v>8069</x:v>
      </x:c>
      <x:c r="D254" s="18" t="n">
        <x:v>37052</x:v>
      </x:c>
      <x:c r="E254" s="18" t="n">
        <x:v>10.03</x:v>
      </x:c>
      <x:c r="F254" s="18" t="n">
        <x:v>8.28</x:v>
      </x:c>
      <x:c r="G254" t="n">
        <x:v>36</x:v>
      </x:c>
      <x:c r="H254" t="str">
        <x:v>A</x:v>
      </x:c>
      <x:c r="I254" t="str">
        <x:v>4-6 years</x:v>
      </x:c>
      <x:c r="J254" t="str">
        <x:v>MORTGAGE</x:v>
      </x:c>
      <x:c r="K254" t="str">
        <x:v>debt_consolidation</x:v>
      </x:c>
      <x:c r="L254" t="n">
        <x:v>0</x:v>
      </x:c>
      <x:c r="M254" t="n">
        <x:v>1</x:v>
      </x:c>
      <x:c r="N254" t="str">
        <x:v>Charged Off</x:v>
      </x:c>
      <x:c r="O254" t="str">
        <x:f>IF(D254="","Unknown",IF(D254&lt;25000,"&lt;$25k",IF(D254&lt;50000,"$25k-$50k",IF(D254&lt;75000,"$50k-$75k",IF(D254&lt;100000,"$75k-$100k","$100k+")))))</x:f>
        <x:v>$25k-$50k</x:v>
      </x:c>
      <x:c r="P254" t="str">
        <x:f>IF(E254="","Unknown",IF(E254&lt;10,"&lt;10",IF(E254&lt;20,"10-&lt;20",IF(E254&lt;25,"20-&lt;25",IF(E254&lt;35,"25-&lt;35","35+")))))</x:f>
        <x:v>10-&lt;20</x:v>
      </x:c>
    </x:row>
    <x:row r="255">
      <x:c r="A255" t="str">
        <x:v>SYN0000254</x:v>
      </x:c>
      <x:c r="B255" s="12" t="n">
        <x:v>42895</x:v>
      </x:c>
      <x:c r="C255" s="18" t="n">
        <x:v>13545</x:v>
      </x:c>
      <x:c r="D255" s="18" t="n">
        <x:v>32478</x:v>
      </x:c>
      <x:c r="E255" s="18" t="n">
        <x:v>5.3</x:v>
      </x:c>
      <x:c r="F255" s="18" t="n">
        <x:v>9.18</x:v>
      </x:c>
      <x:c r="G255" t="n">
        <x:v>60</x:v>
      </x:c>
      <x:c r="H255" t="str">
        <x:v>B</x:v>
      </x:c>
      <x:c r="I255" t="str">
        <x:v>7-9 years</x:v>
      </x:c>
      <x:c r="J255" t="str">
        <x:v>MORTGAGE</x:v>
      </x:c>
      <x:c r="K255" t="str">
        <x:v>other</x:v>
      </x:c>
      <x:c r="L255" t="n">
        <x:v>0</x:v>
      </x:c>
      <x:c r="M255" t="n">
        <x:v>0</x:v>
      </x:c>
      <x:c r="N255" t="str">
        <x:v>Fully Paid</x:v>
      </x:c>
      <x:c r="O255" t="str">
        <x:f>IF(D255="","Unknown",IF(D255&lt;25000,"&lt;$25k",IF(D255&lt;50000,"$25k-$50k",IF(D255&lt;75000,"$50k-$75k",IF(D255&lt;100000,"$75k-$100k","$100k+")))))</x:f>
        <x:v>$25k-$50k</x:v>
      </x:c>
      <x:c r="P255" t="str">
        <x:f>IF(E255="","Unknown",IF(E255&lt;10,"&lt;10",IF(E255&lt;20,"10-&lt;20",IF(E255&lt;25,"20-&lt;25",IF(E255&lt;35,"25-&lt;35","35+")))))</x:f>
        <x:v>&lt;10</x:v>
      </x:c>
    </x:row>
    <x:row r="256">
      <x:c r="A256" t="str">
        <x:v>SYN0000255</x:v>
      </x:c>
      <x:c r="B256" s="12" t="n">
        <x:v>43135</x:v>
      </x:c>
      <x:c r="C256" s="18" t="n">
        <x:v>5585</x:v>
      </x:c>
      <x:c r="D256" s="18" t="n">
        <x:v>135329</x:v>
      </x:c>
      <x:c r="E256" s="18" t="n">
        <x:v>13.54</x:v>
      </x:c>
      <x:c r="F256" s="18" t="n">
        <x:v>6.8</x:v>
      </x:c>
      <x:c r="G256" t="n">
        <x:v>36</x:v>
      </x:c>
      <x:c r="H256" t="str">
        <x:v>A</x:v>
      </x:c>
      <x:c r="I256" t="str">
        <x:v>&lt;1 year</x:v>
      </x:c>
      <x:c r="J256" t="str">
        <x:v>RENT</x:v>
      </x:c>
      <x:c r="K256" t="str">
        <x:v>debt_consolidation</x:v>
      </x:c>
      <x:c r="L256" t="n">
        <x:v>0</x:v>
      </x:c>
      <x:c r="M256" t="n">
        <x:v>0</x:v>
      </x:c>
      <x:c r="N256" t="str">
        <x:v>Fully Paid</x:v>
      </x:c>
      <x:c r="O256" t="str">
        <x:f>IF(D256="","Unknown",IF(D256&lt;25000,"&lt;$25k",IF(D256&lt;50000,"$25k-$50k",IF(D256&lt;75000,"$50k-$75k",IF(D256&lt;100000,"$75k-$100k","$100k+")))))</x:f>
        <x:v>$100k+</x:v>
      </x:c>
      <x:c r="P256" t="str">
        <x:f>IF(E256="","Unknown",IF(E256&lt;10,"&lt;10",IF(E256&lt;20,"10-&lt;20",IF(E256&lt;25,"20-&lt;25",IF(E256&lt;35,"25-&lt;35","35+")))))</x:f>
        <x:v>10-&lt;20</x:v>
      </x:c>
    </x:row>
    <x:row r="257">
      <x:c r="A257" t="str">
        <x:v>SYN0000256</x:v>
      </x:c>
      <x:c r="B257" s="12" t="n">
        <x:v>41695</x:v>
      </x:c>
      <x:c r="C257" s="18" t="n">
        <x:v>7223</x:v>
      </x:c>
      <x:c r="D257" s="18" t="n">
        <x:v>22358</x:v>
      </x:c>
      <x:c r="E257" s="18" t="n">
        <x:v>23.15</x:v>
      </x:c>
      <x:c r="F257" s="18" t="n">
        <x:v>18.5</x:v>
      </x:c>
      <x:c r="G257" t="n">
        <x:v>36</x:v>
      </x:c>
      <x:c r="H257" t="str">
        <x:v>E</x:v>
      </x:c>
      <x:c r="I257" t="str">
        <x:v>1-3 years</x:v>
      </x:c>
      <x:c r="J257" t="str">
        <x:v>OWN</x:v>
      </x:c>
      <x:c r="K257" t="str">
        <x:v>credit_card</x:v>
      </x:c>
      <x:c r="L257" t="n">
        <x:v>1</x:v>
      </x:c>
      <x:c r="M257" t="n">
        <x:v>0</x:v>
      </x:c>
      <x:c r="N257" t="str">
        <x:v>Fully Paid</x:v>
      </x:c>
      <x:c r="O257" t="str">
        <x:f>IF(D257="","Unknown",IF(D257&lt;25000,"&lt;$25k",IF(D257&lt;50000,"$25k-$50k",IF(D257&lt;75000,"$50k-$75k",IF(D257&lt;100000,"$75k-$100k","$100k+")))))</x:f>
        <x:v>&lt;$25k</x:v>
      </x:c>
      <x:c r="P257" t="str">
        <x:f>IF(E257="","Unknown",IF(E257&lt;10,"&lt;10",IF(E257&lt;20,"10-&lt;20",IF(E257&lt;25,"20-&lt;25",IF(E257&lt;35,"25-&lt;35","35+")))))</x:f>
        <x:v>20-&lt;25</x:v>
      </x:c>
    </x:row>
    <x:row r="258">
      <x:c r="A258" t="str">
        <x:v>SYN0000257</x:v>
      </x:c>
      <x:c r="B258" s="12" t="n">
        <x:v>43255</x:v>
      </x:c>
      <x:c r="C258" s="18" t="n">
        <x:v>15357</x:v>
      </x:c>
      <x:c r="D258" s="18" t="n">
        <x:v>74577</x:v>
      </x:c>
      <x:c r="E258" s="18" t="n">
        <x:v>7.09</x:v>
      </x:c>
      <x:c r="F258" s="18" t="n">
        <x:v>7.94</x:v>
      </x:c>
      <x:c r="G258" t="n">
        <x:v>60</x:v>
      </x:c>
      <x:c r="H258" t="str">
        <x:v>B</x:v>
      </x:c>
      <x:c r="I258" t="str">
        <x:v>10+ years</x:v>
      </x:c>
      <x:c r="J258" t="str">
        <x:v>RENT</x:v>
      </x:c>
      <x:c r="K258" t="str">
        <x:v>debt_consolidation</x:v>
      </x:c>
      <x:c r="L258" t="n">
        <x:v>0</x:v>
      </x:c>
      <x:c r="M258" t="n">
        <x:v>0</x:v>
      </x:c>
      <x:c r="N258" t="str">
        <x:v>Fully Paid</x:v>
      </x:c>
      <x:c r="O258" t="str">
        <x:f>IF(D258="","Unknown",IF(D258&lt;25000,"&lt;$25k",IF(D258&lt;50000,"$25k-$50k",IF(D258&lt;75000,"$50k-$75k",IF(D258&lt;100000,"$75k-$100k","$100k+")))))</x:f>
        <x:v>$50k-$75k</x:v>
      </x:c>
      <x:c r="P258" t="str">
        <x:f>IF(E258="","Unknown",IF(E258&lt;10,"&lt;10",IF(E258&lt;20,"10-&lt;20",IF(E258&lt;25,"20-&lt;25",IF(E258&lt;35,"25-&lt;35","35+")))))</x:f>
        <x:v>&lt;10</x:v>
      </x:c>
    </x:row>
    <x:row r="259">
      <x:c r="A259" t="str">
        <x:v>SYN0000258</x:v>
      </x:c>
      <x:c r="B259" s="12" t="n">
        <x:v>41395</x:v>
      </x:c>
      <x:c r="C259" s="18" t="n">
        <x:v>12392</x:v>
      </x:c>
      <x:c r="D259" s="18" t="n">
        <x:v>165299</x:v>
      </x:c>
      <x:c r="E259" s="18" t="n">
        <x:v>12.85</x:v>
      </x:c>
      <x:c r="F259" s="18" t="n">
        <x:v>21.92</x:v>
      </x:c>
      <x:c r="G259" t="n">
        <x:v>60</x:v>
      </x:c>
      <x:c r="H259" t="str">
        <x:v>F</x:v>
      </x:c>
      <x:c r="I259" t="str">
        <x:v>1-3 years</x:v>
      </x:c>
      <x:c r="J259" t="str">
        <x:v>RENT</x:v>
      </x:c>
      <x:c r="K259" t="str">
        <x:v>major_purchase</x:v>
      </x:c>
      <x:c r="L259" t="n">
        <x:v>0</x:v>
      </x:c>
      <x:c r="M259" t="n">
        <x:v>0</x:v>
      </x:c>
      <x:c r="N259" t="str">
        <x:v>Fully Paid</x:v>
      </x:c>
      <x:c r="O259" t="str">
        <x:f>IF(D259="","Unknown",IF(D259&lt;25000,"&lt;$25k",IF(D259&lt;50000,"$25k-$50k",IF(D259&lt;75000,"$50k-$75k",IF(D259&lt;100000,"$75k-$100k","$100k+")))))</x:f>
        <x:v>$100k+</x:v>
      </x:c>
      <x:c r="P259" t="str">
        <x:f>IF(E259="","Unknown",IF(E259&lt;10,"&lt;10",IF(E259&lt;20,"10-&lt;20",IF(E259&lt;25,"20-&lt;25",IF(E259&lt;35,"25-&lt;35","35+")))))</x:f>
        <x:v>10-&lt;20</x:v>
      </x:c>
    </x:row>
    <x:row r="260">
      <x:c r="A260" t="str">
        <x:v>SYN0000259</x:v>
      </x:c>
      <x:c r="B260" s="12" t="n">
        <x:v>41425</x:v>
      </x:c>
      <x:c r="C260" s="18" t="n">
        <x:v>9616</x:v>
      </x:c>
      <x:c r="D260" s="18" t="n">
        <x:v>17237</x:v>
      </x:c>
      <x:c r="E260" s="18" t="n">
        <x:v>6.8</x:v>
      </x:c>
      <x:c r="F260" s="18" t="n">
        <x:v>15.11</x:v>
      </x:c>
      <x:c r="G260" t="n">
        <x:v>60</x:v>
      </x:c>
      <x:c r="H260" t="str">
        <x:v>D</x:v>
      </x:c>
      <x:c r="I260" t="str">
        <x:v>4-6 years</x:v>
      </x:c>
      <x:c r="J260" t="str">
        <x:v>RENT</x:v>
      </x:c>
      <x:c r="K260" t="str">
        <x:v>credit_card</x:v>
      </x:c>
      <x:c r="L260" t="n">
        <x:v>0</x:v>
      </x:c>
      <x:c r="M260" t="n">
        <x:v>0</x:v>
      </x:c>
      <x:c r="N260" t="str">
        <x:v>Fully Paid</x:v>
      </x:c>
      <x:c r="O260" t="str">
        <x:f>IF(D260="","Unknown",IF(D260&lt;25000,"&lt;$25k",IF(D260&lt;50000,"$25k-$50k",IF(D260&lt;75000,"$50k-$75k",IF(D260&lt;100000,"$75k-$100k","$100k+")))))</x:f>
        <x:v>&lt;$25k</x:v>
      </x:c>
      <x:c r="P260" t="str">
        <x:f>IF(E260="","Unknown",IF(E260&lt;10,"&lt;10",IF(E260&lt;20,"10-&lt;20",IF(E260&lt;25,"20-&lt;25",IF(E260&lt;35,"25-&lt;35","35+")))))</x:f>
        <x:v>&lt;10</x:v>
      </x:c>
    </x:row>
    <x:row r="261">
      <x:c r="A261" t="str">
        <x:v>SYN0000260</x:v>
      </x:c>
      <x:c r="B261" s="12" t="n">
        <x:v>42715</x:v>
      </x:c>
      <x:c r="C261" s="18" t="n">
        <x:v>23269</x:v>
      </x:c>
      <x:c r="D261" s="18" t="n">
        <x:v>56649</x:v>
      </x:c>
      <x:c r="E261" s="18" t="n">
        <x:v>18.9</x:v>
      </x:c>
      <x:c r="F261" s="18" t="n">
        <x:v>11.69</x:v>
      </x:c>
      <x:c r="G261" t="n">
        <x:v>36</x:v>
      </x:c>
      <x:c r="H261" t="str">
        <x:v>C</x:v>
      </x:c>
      <x:c r="I261" t="str">
        <x:v>7-9 years</x:v>
      </x:c>
      <x:c r="J261" t="str">
        <x:v>RENT</x:v>
      </x:c>
      <x:c r="K261" t="str">
        <x:v>major_purchase</x:v>
      </x:c>
      <x:c r="L261" t="n">
        <x:v>1</x:v>
      </x:c>
      <x:c r="M261" t="n">
        <x:v>0</x:v>
      </x:c>
      <x:c r="N261" t="str">
        <x:v>Fully Paid</x:v>
      </x:c>
      <x:c r="O261" t="str">
        <x:f>IF(D261="","Unknown",IF(D261&lt;25000,"&lt;$25k",IF(D261&lt;50000,"$25k-$50k",IF(D261&lt;75000,"$50k-$75k",IF(D261&lt;100000,"$75k-$100k","$100k+")))))</x:f>
        <x:v>$50k-$75k</x:v>
      </x:c>
      <x:c r="P261" t="str">
        <x:f>IF(E261="","Unknown",IF(E261&lt;10,"&lt;10",IF(E261&lt;20,"10-&lt;20",IF(E261&lt;25,"20-&lt;25",IF(E261&lt;35,"25-&lt;35","35+")))))</x:f>
        <x:v>10-&lt;20</x:v>
      </x:c>
    </x:row>
    <x:row r="262">
      <x:c r="A262" t="str">
        <x:v>SYN0000261</x:v>
      </x:c>
      <x:c r="B262" s="12" t="n">
        <x:v>42685</x:v>
      </x:c>
      <x:c r="C262" s="18" t="n">
        <x:v>5847</x:v>
      </x:c>
      <x:c r="D262" s="18" t="n">
        <x:v>60944</x:v>
      </x:c>
      <x:c r="E262" s="18" t="n">
        <x:v>17.65</x:v>
      </x:c>
      <x:c r="F262" s="18" t="n">
        <x:v>10.2</x:v>
      </x:c>
      <x:c r="G262" t="n">
        <x:v>60</x:v>
      </x:c>
      <x:c r="H262" t="str">
        <x:v>B</x:v>
      </x:c>
      <x:c r="I262" t="str">
        <x:v>10+ years</x:v>
      </x:c>
      <x:c r="J262" t="str">
        <x:v>OWN</x:v>
      </x:c>
      <x:c r="K262" t="str">
        <x:v>debt_consolidation</x:v>
      </x:c>
      <x:c r="L262" t="n">
        <x:v>1</x:v>
      </x:c>
      <x:c r="M262" t="n">
        <x:v>0</x:v>
      </x:c>
      <x:c r="N262" t="str">
        <x:v>Fully Paid</x:v>
      </x:c>
      <x:c r="O262" t="str">
        <x:f>IF(D262="","Unknown",IF(D262&lt;25000,"&lt;$25k",IF(D262&lt;50000,"$25k-$50k",IF(D262&lt;75000,"$50k-$75k",IF(D262&lt;100000,"$75k-$100k","$100k+")))))</x:f>
        <x:v>$50k-$75k</x:v>
      </x:c>
      <x:c r="P262" t="str">
        <x:f>IF(E262="","Unknown",IF(E262&lt;10,"&lt;10",IF(E262&lt;20,"10-&lt;20",IF(E262&lt;25,"20-&lt;25",IF(E262&lt;35,"25-&lt;35","35+")))))</x:f>
        <x:v>10-&lt;20</x:v>
      </x:c>
    </x:row>
    <x:row r="263">
      <x:c r="A263" t="str">
        <x:v>SYN0000262</x:v>
      </x:c>
      <x:c r="B263" s="12" t="n">
        <x:v>42625</x:v>
      </x:c>
      <x:c r="C263" s="18" t="n">
        <x:v>27217</x:v>
      </x:c>
      <x:c r="D263" s="18" t="n">
        <x:v>56610</x:v>
      </x:c>
      <x:c r="E263" s="18" t="n">
        <x:v>12.06</x:v>
      </x:c>
      <x:c r="F263" s="18" t="n">
        <x:v>5</x:v>
      </x:c>
      <x:c r="G263" t="n">
        <x:v>36</x:v>
      </x:c>
      <x:c r="H263" t="str">
        <x:v>A</x:v>
      </x:c>
      <x:c r="I263" t="str">
        <x:v>&lt;1 year</x:v>
      </x:c>
      <x:c r="J263" t="str">
        <x:v>OTHER</x:v>
      </x:c>
      <x:c r="K263" t="str">
        <x:v>home_improvement</x:v>
      </x:c>
      <x:c r="L263" t="n">
        <x:v>0</x:v>
      </x:c>
      <x:c r="M263" t="n">
        <x:v>0</x:v>
      </x:c>
      <x:c r="N263" t="str">
        <x:v>Fully Paid</x:v>
      </x:c>
      <x:c r="O263" t="str">
        <x:f>IF(D263="","Unknown",IF(D263&lt;25000,"&lt;$25k",IF(D263&lt;50000,"$25k-$50k",IF(D263&lt;75000,"$50k-$75k",IF(D263&lt;100000,"$75k-$100k","$100k+")))))</x:f>
        <x:v>$50k-$75k</x:v>
      </x:c>
      <x:c r="P263" t="str">
        <x:f>IF(E263="","Unknown",IF(E263&lt;10,"&lt;10",IF(E263&lt;20,"10-&lt;20",IF(E263&lt;25,"20-&lt;25",IF(E263&lt;35,"25-&lt;35","35+")))))</x:f>
        <x:v>10-&lt;20</x:v>
      </x:c>
    </x:row>
    <x:row r="264">
      <x:c r="A264" t="str">
        <x:v>SYN0000263</x:v>
      </x:c>
      <x:c r="B264" s="12" t="n">
        <x:v>41455</x:v>
      </x:c>
      <x:c r="C264" s="18" t="n">
        <x:v>16308</x:v>
      </x:c>
      <x:c r="D264" s="18" t="n">
        <x:v>88308</x:v>
      </x:c>
      <x:c r="E264" s="18" t="n">
        <x:v>20.26</x:v>
      </x:c>
      <x:c r="F264" s="18" t="n">
        <x:v>19.54</x:v>
      </x:c>
      <x:c r="G264" t="n">
        <x:v>60</x:v>
      </x:c>
      <x:c r="H264" t="str">
        <x:v>E</x:v>
      </x:c>
      <x:c r="I264" t="str">
        <x:v>7-9 years</x:v>
      </x:c>
      <x:c r="J264" t="str">
        <x:v>RENT</x:v>
      </x:c>
      <x:c r="K264" t="str">
        <x:v>debt_consolidation</x:v>
      </x:c>
      <x:c r="L264" t="n">
        <x:v>1</x:v>
      </x:c>
      <x:c r="M264" t="n">
        <x:v>0</x:v>
      </x:c>
      <x:c r="N264" t="str">
        <x:v>Fully Paid</x:v>
      </x:c>
      <x:c r="O264" t="str">
        <x:f>IF(D264="","Unknown",IF(D264&lt;25000,"&lt;$25k",IF(D264&lt;50000,"$25k-$50k",IF(D264&lt;75000,"$50k-$75k",IF(D264&lt;100000,"$75k-$100k","$100k+")))))</x:f>
        <x:v>$75k-$100k</x:v>
      </x:c>
      <x:c r="P264" t="str">
        <x:f>IF(E264="","Unknown",IF(E264&lt;10,"&lt;10",IF(E264&lt;20,"10-&lt;20",IF(E264&lt;25,"20-&lt;25",IF(E264&lt;35,"25-&lt;35","35+")))))</x:f>
        <x:v>20-&lt;25</x:v>
      </x:c>
    </x:row>
    <x:row r="265">
      <x:c r="A265" t="str">
        <x:v>SYN0000264</x:v>
      </x:c>
      <x:c r="B265" s="12" t="n">
        <x:v>41905</x:v>
      </x:c>
      <x:c r="C265" s="18" t="n">
        <x:v>7484</x:v>
      </x:c>
      <x:c r="D265" s="18" t="n">
        <x:v>39338</x:v>
      </x:c>
      <x:c r="E265" s="18" t="n">
        <x:v>35.65</x:v>
      </x:c>
      <x:c r="F265" s="18" t="n">
        <x:v>9.78</x:v>
      </x:c>
      <x:c r="G265" t="n">
        <x:v>36</x:v>
      </x:c>
      <x:c r="H265" t="str">
        <x:v>C</x:v>
      </x:c>
      <x:c r="I265" t="str">
        <x:v>7-9 years</x:v>
      </x:c>
      <x:c r="J265" t="str">
        <x:v>OWN</x:v>
      </x:c>
      <x:c r="K265" t="str">
        <x:v>debt_consolidation</x:v>
      </x:c>
      <x:c r="L265" t="n">
        <x:v>0</x:v>
      </x:c>
      <x:c r="M265" t="n">
        <x:v>0</x:v>
      </x:c>
      <x:c r="N265" t="str">
        <x:v>Fully Paid</x:v>
      </x:c>
      <x:c r="O265" t="str">
        <x:f>IF(D265="","Unknown",IF(D265&lt;25000,"&lt;$25k",IF(D265&lt;50000,"$25k-$50k",IF(D265&lt;75000,"$50k-$75k",IF(D265&lt;100000,"$75k-$100k","$100k+")))))</x:f>
        <x:v>$25k-$50k</x:v>
      </x:c>
      <x:c r="P265" t="str">
        <x:f>IF(E265="","Unknown",IF(E265&lt;10,"&lt;10",IF(E265&lt;20,"10-&lt;20",IF(E265&lt;25,"20-&lt;25",IF(E265&lt;35,"25-&lt;35","35+")))))</x:f>
        <x:v>35+</x:v>
      </x:c>
    </x:row>
    <x:row r="266">
      <x:c r="A266" t="str">
        <x:v>SYN0000265</x:v>
      </x:c>
      <x:c r="B266" s="12" t="n">
        <x:v>42025</x:v>
      </x:c>
      <x:c r="C266" s="18" t="n">
        <x:v>10458</x:v>
      </x:c>
      <x:c r="D266" s="18" t="n">
        <x:v>93391</x:v>
      </x:c>
      <x:c r="E266" s="18" t="n">
        <x:v>36.14</x:v>
      </x:c>
      <x:c r="F266" s="18" t="n">
        <x:v>27.24</x:v>
      </x:c>
      <x:c r="G266" t="n">
        <x:v>60</x:v>
      </x:c>
      <x:c r="H266" t="str">
        <x:v>G</x:v>
      </x:c>
      <x:c r="I266" t="str">
        <x:v>10+ years</x:v>
      </x:c>
      <x:c r="J266" t="str">
        <x:v>MORTGAGE</x:v>
      </x:c>
      <x:c r="K266" t="str">
        <x:v>debt_consolidation</x:v>
      </x:c>
      <x:c r="L266" t="n">
        <x:v>1</x:v>
      </x:c>
      <x:c r="M266" t="n">
        <x:v>0</x:v>
      </x:c>
      <x:c r="N266" t="str">
        <x:v>Fully Paid</x:v>
      </x:c>
      <x:c r="O266" t="str">
        <x:f>IF(D266="","Unknown",IF(D266&lt;25000,"&lt;$25k",IF(D266&lt;50000,"$25k-$50k",IF(D266&lt;75000,"$50k-$75k",IF(D266&lt;100000,"$75k-$100k","$100k+")))))</x:f>
        <x:v>$75k-$100k</x:v>
      </x:c>
      <x:c r="P266" t="str">
        <x:f>IF(E266="","Unknown",IF(E266&lt;10,"&lt;10",IF(E266&lt;20,"10-&lt;20",IF(E266&lt;25,"20-&lt;25",IF(E266&lt;35,"25-&lt;35","35+")))))</x:f>
        <x:v>35+</x:v>
      </x:c>
    </x:row>
    <x:row r="267">
      <x:c r="A267" t="str">
        <x:v>SYN0000266</x:v>
      </x:c>
      <x:c r="B267" s="12" t="n">
        <x:v>42625</x:v>
      </x:c>
      <x:c r="C267" s="18" t="n">
        <x:v>13086</x:v>
      </x:c>
      <x:c r="D267" s="18" t="n">
        <x:v>69448</x:v>
      </x:c>
      <x:c r="E267" s="18" t="n">
        <x:v>29.38</x:v>
      </x:c>
      <x:c r="F267" s="18" t="n">
        <x:v>9.57</x:v>
      </x:c>
      <x:c r="G267" t="n">
        <x:v>36</x:v>
      </x:c>
      <x:c r="H267" t="str">
        <x:v>C</x:v>
      </x:c>
      <x:c r="I267" t="str">
        <x:v>10+ years</x:v>
      </x:c>
      <x:c r="J267" t="str">
        <x:v>MORTGAGE</x:v>
      </x:c>
      <x:c r="K267" t="str">
        <x:v>home_improvement</x:v>
      </x:c>
      <x:c r="L267" t="n">
        <x:v>0</x:v>
      </x:c>
      <x:c r="M267" t="n">
        <x:v>0</x:v>
      </x:c>
      <x:c r="N267" t="str">
        <x:v>Fully Paid</x:v>
      </x:c>
      <x:c r="O267" t="str">
        <x:f>IF(D267="","Unknown",IF(D267&lt;25000,"&lt;$25k",IF(D267&lt;50000,"$25k-$50k",IF(D267&lt;75000,"$50k-$75k",IF(D267&lt;100000,"$75k-$100k","$100k+")))))</x:f>
        <x:v>$50k-$75k</x:v>
      </x:c>
      <x:c r="P267" t="str">
        <x:f>IF(E267="","Unknown",IF(E267&lt;10,"&lt;10",IF(E267&lt;20,"10-&lt;20",IF(E267&lt;25,"20-&lt;25",IF(E267&lt;35,"25-&lt;35","35+")))))</x:f>
        <x:v>25-&lt;35</x:v>
      </x:c>
    </x:row>
    <x:row r="268">
      <x:c r="A268" t="str">
        <x:v>SYN0000267</x:v>
      </x:c>
      <x:c r="B268" s="12" t="n">
        <x:v>42295</x:v>
      </x:c>
      <x:c r="C268" s="18" t="n">
        <x:v>14845</x:v>
      </x:c>
      <x:c r="D268" s="18" t="n">
        <x:v>55747</x:v>
      </x:c>
      <x:c r="E268" s="18" t="n">
        <x:v>19.87</x:v>
      </x:c>
      <x:c r="F268" s="18" t="n">
        <x:v>12.87</x:v>
      </x:c>
      <x:c r="G268" t="n">
        <x:v>36</x:v>
      </x:c>
      <x:c r="H268" t="str">
        <x:v>C</x:v>
      </x:c>
      <x:c r="I268" t="str">
        <x:v>7-9 years</x:v>
      </x:c>
      <x:c r="J268" t="str">
        <x:v>RENT</x:v>
      </x:c>
      <x:c r="K268" t="str">
        <x:v>home_improvement</x:v>
      </x:c>
      <x:c r="L268" t="n">
        <x:v>0</x:v>
      </x:c>
      <x:c r="M268" t="n">
        <x:v>0</x:v>
      </x:c>
      <x:c r="N268" t="str">
        <x:v>Fully Paid</x:v>
      </x:c>
      <x:c r="O268" t="str">
        <x:f>IF(D268="","Unknown",IF(D268&lt;25000,"&lt;$25k",IF(D268&lt;50000,"$25k-$50k",IF(D268&lt;75000,"$50k-$75k",IF(D268&lt;100000,"$75k-$100k","$100k+")))))</x:f>
        <x:v>$50k-$75k</x:v>
      </x:c>
      <x:c r="P268" t="str">
        <x:f>IF(E268="","Unknown",IF(E268&lt;10,"&lt;10",IF(E268&lt;20,"10-&lt;20",IF(E268&lt;25,"20-&lt;25",IF(E268&lt;35,"25-&lt;35","35+")))))</x:f>
        <x:v>10-&lt;20</x:v>
      </x:c>
    </x:row>
    <x:row r="269">
      <x:c r="A269" t="str">
        <x:v>SYN0000268</x:v>
      </x:c>
      <x:c r="B269" s="12" t="n">
        <x:v>41515</x:v>
      </x:c>
      <x:c r="C269" s="18" t="n">
        <x:v>19329</x:v>
      </x:c>
      <x:c r="D269" s="18" t="n">
        <x:v>38321</x:v>
      </x:c>
      <x:c r="E269" s="18" t="n">
        <x:v>5.38</x:v>
      </x:c>
      <x:c r="F269" s="18" t="n">
        <x:v>17.41</x:v>
      </x:c>
      <x:c r="G269" t="n">
        <x:v>60</x:v>
      </x:c>
      <x:c r="H269" t="str">
        <x:v>E</x:v>
      </x:c>
      <x:c r="I269" t="str">
        <x:v>1-3 years</x:v>
      </x:c>
      <x:c r="J269" t="str">
        <x:v>MORTGAGE</x:v>
      </x:c>
      <x:c r="K269" t="str">
        <x:v>credit_card</x:v>
      </x:c>
      <x:c r="L269" t="n">
        <x:v>1</x:v>
      </x:c>
      <x:c r="M269" t="n">
        <x:v>0</x:v>
      </x:c>
      <x:c r="N269" t="str">
        <x:v>Fully Paid</x:v>
      </x:c>
      <x:c r="O269" t="str">
        <x:f>IF(D269="","Unknown",IF(D269&lt;25000,"&lt;$25k",IF(D269&lt;50000,"$25k-$50k",IF(D269&lt;75000,"$50k-$75k",IF(D269&lt;100000,"$75k-$100k","$100k+")))))</x:f>
        <x:v>$25k-$50k</x:v>
      </x:c>
      <x:c r="P269" t="str">
        <x:f>IF(E269="","Unknown",IF(E269&lt;10,"&lt;10",IF(E269&lt;20,"10-&lt;20",IF(E269&lt;25,"20-&lt;25",IF(E269&lt;35,"25-&lt;35","35+")))))</x:f>
        <x:v>&lt;10</x:v>
      </x:c>
    </x:row>
    <x:row r="270">
      <x:c r="A270" t="str">
        <x:v>SYN0000269</x:v>
      </x:c>
      <x:c r="B270" s="12" t="n">
        <x:v>41605</x:v>
      </x:c>
      <x:c r="C270" s="18" t="n">
        <x:v>15602</x:v>
      </x:c>
      <x:c r="D270" s="18" t="n">
        <x:v>31664</x:v>
      </x:c>
      <x:c r="E270" s="18" t="n">
        <x:v>20.5</x:v>
      </x:c>
      <x:c r="F270" s="18" t="n">
        <x:v>6.56</x:v>
      </x:c>
      <x:c r="G270" t="n">
        <x:v>36</x:v>
      </x:c>
      <x:c r="H270" t="str">
        <x:v>B</x:v>
      </x:c>
      <x:c r="I270" t="str">
        <x:v>10+ years</x:v>
      </x:c>
      <x:c r="J270" t="str">
        <x:v>MORTGAGE</x:v>
      </x:c>
      <x:c r="K270" t="str">
        <x:v>debt_consolidation</x:v>
      </x:c>
      <x:c r="L270" t="n">
        <x:v>0</x:v>
      </x:c>
      <x:c r="M270" t="n">
        <x:v>0</x:v>
      </x:c>
      <x:c r="N270" t="str">
        <x:v>Fully Paid</x:v>
      </x:c>
      <x:c r="O270" t="str">
        <x:f>IF(D270="","Unknown",IF(D270&lt;25000,"&lt;$25k",IF(D270&lt;50000,"$25k-$50k",IF(D270&lt;75000,"$50k-$75k",IF(D270&lt;100000,"$75k-$100k","$100k+")))))</x:f>
        <x:v>$25k-$50k</x:v>
      </x:c>
      <x:c r="P270" t="str">
        <x:f>IF(E270="","Unknown",IF(E270&lt;10,"&lt;10",IF(E270&lt;20,"10-&lt;20",IF(E270&lt;25,"20-&lt;25",IF(E270&lt;35,"25-&lt;35","35+")))))</x:f>
        <x:v>20-&lt;25</x:v>
      </x:c>
    </x:row>
    <x:row r="271">
      <x:c r="A271" t="str">
        <x:v>SYN0000270</x:v>
      </x:c>
      <x:c r="B271" s="12" t="n">
        <x:v>42925</x:v>
      </x:c>
      <x:c r="C271" s="18" t="n">
        <x:v>19340</x:v>
      </x:c>
      <x:c r="D271" s="18" t="n">
        <x:v>12000</x:v>
      </x:c>
      <x:c r="E271" s="18" t="n">
        <x:v>34.04</x:v>
      </x:c>
      <x:c r="F271" s="18" t="n">
        <x:v>8.08</x:v>
      </x:c>
      <x:c r="G271" t="n">
        <x:v>36</x:v>
      </x:c>
      <x:c r="H271" t="str">
        <x:v>C</x:v>
      </x:c>
      <x:c r="I271" t="str">
        <x:v>10+ years</x:v>
      </x:c>
      <x:c r="J271" t="str">
        <x:v>OWN</x:v>
      </x:c>
      <x:c r="K271" t="str">
        <x:v>credit_card</x:v>
      </x:c>
      <x:c r="L271" t="n">
        <x:v>0</x:v>
      </x:c>
      <x:c r="M271" t="n">
        <x:v>1</x:v>
      </x:c>
      <x:c r="N271" t="str">
        <x:v>Charged Off</x:v>
      </x:c>
      <x:c r="O271" t="str">
        <x:f>IF(D271="","Unknown",IF(D271&lt;25000,"&lt;$25k",IF(D271&lt;50000,"$25k-$50k",IF(D271&lt;75000,"$50k-$75k",IF(D271&lt;100000,"$75k-$100k","$100k+")))))</x:f>
        <x:v>&lt;$25k</x:v>
      </x:c>
      <x:c r="P271" t="str">
        <x:f>IF(E271="","Unknown",IF(E271&lt;10,"&lt;10",IF(E271&lt;20,"10-&lt;20",IF(E271&lt;25,"20-&lt;25",IF(E271&lt;35,"25-&lt;35","35+")))))</x:f>
        <x:v>25-&lt;35</x:v>
      </x:c>
    </x:row>
    <x:row r="272">
      <x:c r="A272" t="str">
        <x:v>SYN0000271</x:v>
      </x:c>
      <x:c r="B272" s="12" t="n">
        <x:v>42235</x:v>
      </x:c>
      <x:c r="C272" s="18" t="n">
        <x:v>14374</x:v>
      </x:c>
      <x:c r="D272" s="18" t="n">
        <x:v>51769</x:v>
      </x:c>
      <x:c r="E272" s="18" t="n">
        <x:v>29.88</x:v>
      </x:c>
      <x:c r="F272" s="18" t="n">
        <x:v>9.07</x:v>
      </x:c>
      <x:c r="G272" t="n">
        <x:v>60</x:v>
      </x:c>
      <x:c r="H272" t="str">
        <x:v>B</x:v>
      </x:c>
      <x:c r="I272" t="str">
        <x:v>4-6 years</x:v>
      </x:c>
      <x:c r="J272" t="str">
        <x:v>RENT</x:v>
      </x:c>
      <x:c r="K272" t="str">
        <x:v>debt_consolidation</x:v>
      </x:c>
      <x:c r="L272" t="n">
        <x:v>0</x:v>
      </x:c>
      <x:c r="M272" t="n">
        <x:v>0</x:v>
      </x:c>
      <x:c r="N272" t="str">
        <x:v>Fully Paid</x:v>
      </x:c>
      <x:c r="O272" t="str">
        <x:f>IF(D272="","Unknown",IF(D272&lt;25000,"&lt;$25k",IF(D272&lt;50000,"$25k-$50k",IF(D272&lt;75000,"$50k-$75k",IF(D272&lt;100000,"$75k-$100k","$100k+")))))</x:f>
        <x:v>$50k-$75k</x:v>
      </x:c>
      <x:c r="P272" t="str">
        <x:f>IF(E272="","Unknown",IF(E272&lt;10,"&lt;10",IF(E272&lt;20,"10-&lt;20",IF(E272&lt;25,"20-&lt;25",IF(E272&lt;35,"25-&lt;35","35+")))))</x:f>
        <x:v>25-&lt;35</x:v>
      </x:c>
    </x:row>
    <x:row r="273">
      <x:c r="A273" t="str">
        <x:v>SYN0000272</x:v>
      </x:c>
      <x:c r="B273" s="12" t="n">
        <x:v>42475</x:v>
      </x:c>
      <x:c r="C273" s="18" t="n">
        <x:v>15993</x:v>
      </x:c>
      <x:c r="D273" s="18" t="n">
        <x:v>41383</x:v>
      </x:c>
      <x:c r="E273" s="18" t="n">
        <x:v>22.43</x:v>
      </x:c>
      <x:c r="F273" s="18" t="n">
        <x:v>20.81</x:v>
      </x:c>
      <x:c r="G273" t="n">
        <x:v>36</x:v>
      </x:c>
      <x:c r="H273" t="str">
        <x:v>E</x:v>
      </x:c>
      <x:c r="I273" t="str">
        <x:v>4-6 years</x:v>
      </x:c>
      <x:c r="J273" t="str">
        <x:v>RENT</x:v>
      </x:c>
      <x:c r="K273" t="str">
        <x:v>home_improvement</x:v>
      </x:c>
      <x:c r="L273" t="n">
        <x:v>0</x:v>
      </x:c>
      <x:c r="M273" t="n">
        <x:v>1</x:v>
      </x:c>
      <x:c r="N273" t="str">
        <x:v>Charged Off</x:v>
      </x:c>
      <x:c r="O273" t="str">
        <x:f>IF(D273="","Unknown",IF(D273&lt;25000,"&lt;$25k",IF(D273&lt;50000,"$25k-$50k",IF(D273&lt;75000,"$50k-$75k",IF(D273&lt;100000,"$75k-$100k","$100k+")))))</x:f>
        <x:v>$25k-$50k</x:v>
      </x:c>
      <x:c r="P273" t="str">
        <x:f>IF(E273="","Unknown",IF(E273&lt;10,"&lt;10",IF(E273&lt;20,"10-&lt;20",IF(E273&lt;25,"20-&lt;25",IF(E273&lt;35,"25-&lt;35","35+")))))</x:f>
        <x:v>20-&lt;25</x:v>
      </x:c>
    </x:row>
    <x:row r="274">
      <x:c r="A274" t="str">
        <x:v>SYN0000273</x:v>
      </x:c>
      <x:c r="B274" s="12" t="n">
        <x:v>42325</x:v>
      </x:c>
      <x:c r="C274" s="18" t="n">
        <x:v>4877</x:v>
      </x:c>
      <x:c r="D274" s="18" t="n">
        <x:v>52936</x:v>
      </x:c>
      <x:c r="E274" s="18" t="n">
        <x:v>21.8</x:v>
      </x:c>
      <x:c r="F274" s="18" t="n">
        <x:v>13.7</x:v>
      </x:c>
      <x:c r="G274" t="n">
        <x:v>36</x:v>
      </x:c>
      <x:c r="H274" t="str">
        <x:v>C</x:v>
      </x:c>
      <x:c r="I274" t="str">
        <x:v>4-6 years</x:v>
      </x:c>
      <x:c r="J274" t="str">
        <x:v>RENT</x:v>
      </x:c>
      <x:c r="K274" t="str">
        <x:v>major_purchase</x:v>
      </x:c>
      <x:c r="L274" t="n">
        <x:v>2</x:v>
      </x:c>
      <x:c r="M274" t="n">
        <x:v>0</x:v>
      </x:c>
      <x:c r="N274" t="str">
        <x:v>Fully Paid</x:v>
      </x:c>
      <x:c r="O274" t="str">
        <x:f>IF(D274="","Unknown",IF(D274&lt;25000,"&lt;$25k",IF(D274&lt;50000,"$25k-$50k",IF(D274&lt;75000,"$50k-$75k",IF(D274&lt;100000,"$75k-$100k","$100k+")))))</x:f>
        <x:v>$50k-$75k</x:v>
      </x:c>
      <x:c r="P274" t="str">
        <x:f>IF(E274="","Unknown",IF(E274&lt;10,"&lt;10",IF(E274&lt;20,"10-&lt;20",IF(E274&lt;25,"20-&lt;25",IF(E274&lt;35,"25-&lt;35","35+")))))</x:f>
        <x:v>20-&lt;25</x:v>
      </x:c>
    </x:row>
    <x:row r="275">
      <x:c r="A275" t="str">
        <x:v>SYN0000274</x:v>
      </x:c>
      <x:c r="B275" s="12" t="n">
        <x:v>41515</x:v>
      </x:c>
      <x:c r="C275" s="18" t="n">
        <x:v>22644</x:v>
      </x:c>
      <x:c r="D275" s="18" t="n">
        <x:v>41860</x:v>
      </x:c>
      <x:c r="E275" s="18" t="n">
        <x:v>27.35</x:v>
      </x:c>
      <x:c r="F275" s="18" t="n">
        <x:v>26.23</x:v>
      </x:c>
      <x:c r="G275" t="n">
        <x:v>60</x:v>
      </x:c>
      <x:c r="H275" t="str">
        <x:v>G</x:v>
      </x:c>
      <x:c r="I275" t="str">
        <x:v>10+ years</x:v>
      </x:c>
      <x:c r="J275" t="str">
        <x:v>RENT</x:v>
      </x:c>
      <x:c r="K275" t="str">
        <x:v>debt_consolidation</x:v>
      </x:c>
      <x:c r="L275" t="n">
        <x:v>1</x:v>
      </x:c>
      <x:c r="M275" t="n">
        <x:v>0</x:v>
      </x:c>
      <x:c r="N275" t="str">
        <x:v>Fully Paid</x:v>
      </x:c>
      <x:c r="O275" t="str">
        <x:f>IF(D275="","Unknown",IF(D275&lt;25000,"&lt;$25k",IF(D275&lt;50000,"$25k-$50k",IF(D275&lt;75000,"$50k-$75k",IF(D275&lt;100000,"$75k-$100k","$100k+")))))</x:f>
        <x:v>$25k-$50k</x:v>
      </x:c>
      <x:c r="P275" t="str">
        <x:f>IF(E275="","Unknown",IF(E275&lt;10,"&lt;10",IF(E275&lt;20,"10-&lt;20",IF(E275&lt;25,"20-&lt;25",IF(E275&lt;35,"25-&lt;35","35+")))))</x:f>
        <x:v>25-&lt;35</x:v>
      </x:c>
    </x:row>
    <x:row r="276">
      <x:c r="A276" t="str">
        <x:v>SYN0000275</x:v>
      </x:c>
      <x:c r="B276" s="12" t="n">
        <x:v>42985</x:v>
      </x:c>
      <x:c r="C276" s="18" t="n">
        <x:v>16658</x:v>
      </x:c>
      <x:c r="D276" s="18" t="n">
        <x:v>34915</x:v>
      </x:c>
      <x:c r="E276" s="18" t="n">
        <x:v>25.09</x:v>
      </x:c>
      <x:c r="F276" s="18" t="n">
        <x:v>9.53</x:v>
      </x:c>
      <x:c r="G276" t="n">
        <x:v>60</x:v>
      </x:c>
      <x:c r="H276" t="str">
        <x:v>C</x:v>
      </x:c>
      <x:c r="I276" t="str">
        <x:v>4-6 years</x:v>
      </x:c>
      <x:c r="J276" t="str">
        <x:v>RENT</x:v>
      </x:c>
      <x:c r="K276" t="str">
        <x:v>credit_card</x:v>
      </x:c>
      <x:c r="L276" t="n">
        <x:v>0</x:v>
      </x:c>
      <x:c r="M276" t="n">
        <x:v>0</x:v>
      </x:c>
      <x:c r="N276" t="str">
        <x:v>Fully Paid</x:v>
      </x:c>
      <x:c r="O276" t="str">
        <x:f>IF(D276="","Unknown",IF(D276&lt;25000,"&lt;$25k",IF(D276&lt;50000,"$25k-$50k",IF(D276&lt;75000,"$50k-$75k",IF(D276&lt;100000,"$75k-$100k","$100k+")))))</x:f>
        <x:v>$25k-$50k</x:v>
      </x:c>
      <x:c r="P276" t="str">
        <x:f>IF(E276="","Unknown",IF(E276&lt;10,"&lt;10",IF(E276&lt;20,"10-&lt;20",IF(E276&lt;25,"20-&lt;25",IF(E276&lt;35,"25-&lt;35","35+")))))</x:f>
        <x:v>25-&lt;35</x:v>
      </x:c>
    </x:row>
    <x:row r="277">
      <x:c r="A277" t="str">
        <x:v>SYN0000276</x:v>
      </x:c>
      <x:c r="B277" s="12" t="n">
        <x:v>42145</x:v>
      </x:c>
      <x:c r="C277" s="18" t="n">
        <x:v>12927</x:v>
      </x:c>
      <x:c r="D277" s="18" t="n">
        <x:v>24976</x:v>
      </x:c>
      <x:c r="E277" s="18" t="n">
        <x:v>29.94</x:v>
      </x:c>
      <x:c r="F277" s="18" t="n">
        <x:v>18.8</x:v>
      </x:c>
      <x:c r="G277" t="n">
        <x:v>36</x:v>
      </x:c>
      <x:c r="H277" t="str">
        <x:v>E</x:v>
      </x:c>
      <x:c r="I277" t="str">
        <x:v>4-6 years</x:v>
      </x:c>
      <x:c r="J277" t="str">
        <x:v>MORTGAGE</x:v>
      </x:c>
      <x:c r="K277" t="str">
        <x:v>debt_consolidation</x:v>
      </x:c>
      <x:c r="L277" t="n">
        <x:v>0</x:v>
      </x:c>
      <x:c r="M277" t="n">
        <x:v>0</x:v>
      </x:c>
      <x:c r="N277" t="str">
        <x:v>Fully Paid</x:v>
      </x:c>
      <x:c r="O277" t="str">
        <x:f>IF(D277="","Unknown",IF(D277&lt;25000,"&lt;$25k",IF(D277&lt;50000,"$25k-$50k",IF(D277&lt;75000,"$50k-$75k",IF(D277&lt;100000,"$75k-$100k","$100k+")))))</x:f>
        <x:v>&lt;$25k</x:v>
      </x:c>
      <x:c r="P277" t="str">
        <x:f>IF(E277="","Unknown",IF(E277&lt;10,"&lt;10",IF(E277&lt;20,"10-&lt;20",IF(E277&lt;25,"20-&lt;25",IF(E277&lt;35,"25-&lt;35","35+")))))</x:f>
        <x:v>25-&lt;35</x:v>
      </x:c>
    </x:row>
    <x:row r="278">
      <x:c r="A278" t="str">
        <x:v>SYN0000277</x:v>
      </x:c>
      <x:c r="B278" s="12" t="n">
        <x:v>43405</x:v>
      </x:c>
      <x:c r="C278" s="18" t="n">
        <x:v>7948</x:v>
      </x:c>
      <x:c r="D278" s="18" t="n">
        <x:v>44397</x:v>
      </x:c>
      <x:c r="E278" s="18" t="n">
        <x:v>21.6</x:v>
      </x:c>
      <x:c r="F278" s="18" t="n">
        <x:v>22.23</x:v>
      </x:c>
      <x:c r="G278" t="n">
        <x:v>36</x:v>
      </x:c>
      <x:c r="H278" t="str">
        <x:v>F</x:v>
      </x:c>
      <x:c r="I278" t="str">
        <x:v>10+ years</x:v>
      </x:c>
      <x:c r="J278" t="str">
        <x:v>RENT</x:v>
      </x:c>
      <x:c r="K278" t="str">
        <x:v>debt_consolidation</x:v>
      </x:c>
      <x:c r="L278" t="n">
        <x:v>2</x:v>
      </x:c>
      <x:c r="M278" t="n">
        <x:v>0</x:v>
      </x:c>
      <x:c r="N278" t="str">
        <x:v>Fully Paid</x:v>
      </x:c>
      <x:c r="O278" t="str">
        <x:f>IF(D278="","Unknown",IF(D278&lt;25000,"&lt;$25k",IF(D278&lt;50000,"$25k-$50k",IF(D278&lt;75000,"$50k-$75k",IF(D278&lt;100000,"$75k-$100k","$100k+")))))</x:f>
        <x:v>$25k-$50k</x:v>
      </x:c>
      <x:c r="P278" t="str">
        <x:f>IF(E278="","Unknown",IF(E278&lt;10,"&lt;10",IF(E278&lt;20,"10-&lt;20",IF(E278&lt;25,"20-&lt;25",IF(E278&lt;35,"25-&lt;35","35+")))))</x:f>
        <x:v>20-&lt;25</x:v>
      </x:c>
    </x:row>
    <x:row r="279">
      <x:c r="A279" t="str">
        <x:v>SYN0000278</x:v>
      </x:c>
      <x:c r="B279" s="12" t="n">
        <x:v>42895</x:v>
      </x:c>
      <x:c r="C279" s="18" t="n">
        <x:v>12149</x:v>
      </x:c>
      <x:c r="D279" s="18" t="n">
        <x:v>49626</x:v>
      </x:c>
      <x:c r="E279" s="18" t="n">
        <x:v>43.07</x:v>
      </x:c>
      <x:c r="F279" s="18" t="n">
        <x:v>24.49</x:v>
      </x:c>
      <x:c r="G279" t="n">
        <x:v>36</x:v>
      </x:c>
      <x:c r="H279" t="str">
        <x:v>G</x:v>
      </x:c>
      <x:c r="I279" t="str">
        <x:v>7-9 years</x:v>
      </x:c>
      <x:c r="J279" t="str">
        <x:v>RENT</x:v>
      </x:c>
      <x:c r="K279" t="str">
        <x:v>major_purchase</x:v>
      </x:c>
      <x:c r="L279" t="n">
        <x:v>1</x:v>
      </x:c>
      <x:c r="M279" t="n">
        <x:v>0</x:v>
      </x:c>
      <x:c r="N279" t="str">
        <x:v>Fully Paid</x:v>
      </x:c>
      <x:c r="O279" t="str">
        <x:f>IF(D279="","Unknown",IF(D279&lt;25000,"&lt;$25k",IF(D279&lt;50000,"$25k-$50k",IF(D279&lt;75000,"$50k-$75k",IF(D279&lt;100000,"$75k-$100k","$100k+")))))</x:f>
        <x:v>$25k-$50k</x:v>
      </x:c>
      <x:c r="P279" t="str">
        <x:f>IF(E279="","Unknown",IF(E279&lt;10,"&lt;10",IF(E279&lt;20,"10-&lt;20",IF(E279&lt;25,"20-&lt;25",IF(E279&lt;35,"25-&lt;35","35+")))))</x:f>
        <x:v>35+</x:v>
      </x:c>
    </x:row>
    <x:row r="280">
      <x:c r="A280" t="str">
        <x:v>SYN0000279</x:v>
      </x:c>
      <x:c r="B280" s="12" t="n">
        <x:v>42535</x:v>
      </x:c>
      <x:c r="C280" s="18" t="n">
        <x:v>7912</x:v>
      </x:c>
      <x:c r="D280" s="18" t="n">
        <x:v>25436</x:v>
      </x:c>
      <x:c r="E280" s="18" t="n">
        <x:v>29.52</x:v>
      </x:c>
      <x:c r="F280" s="18" t="n">
        <x:v>11.92</x:v>
      </x:c>
      <x:c r="G280" t="n">
        <x:v>36</x:v>
      </x:c>
      <x:c r="H280" t="str">
        <x:v>B</x:v>
      </x:c>
      <x:c r="I280" t="str">
        <x:v>10+ years</x:v>
      </x:c>
      <x:c r="J280" t="str">
        <x:v>MORTGAGE</x:v>
      </x:c>
      <x:c r="K280" t="str">
        <x:v>credit_card</x:v>
      </x:c>
      <x:c r="L280" t="n">
        <x:v>0</x:v>
      </x:c>
      <x:c r="M280" t="n">
        <x:v>0</x:v>
      </x:c>
      <x:c r="N280" t="str">
        <x:v>Fully Paid</x:v>
      </x:c>
      <x:c r="O280" t="str">
        <x:f>IF(D280="","Unknown",IF(D280&lt;25000,"&lt;$25k",IF(D280&lt;50000,"$25k-$50k",IF(D280&lt;75000,"$50k-$75k",IF(D280&lt;100000,"$75k-$100k","$100k+")))))</x:f>
        <x:v>$25k-$50k</x:v>
      </x:c>
      <x:c r="P280" t="str">
        <x:f>IF(E280="","Unknown",IF(E280&lt;10,"&lt;10",IF(E280&lt;20,"10-&lt;20",IF(E280&lt;25,"20-&lt;25",IF(E280&lt;35,"25-&lt;35","35+")))))</x:f>
        <x:v>25-&lt;35</x:v>
      </x:c>
    </x:row>
    <x:row r="281">
      <x:c r="A281" t="str">
        <x:v>SYN0000280</x:v>
      </x:c>
      <x:c r="B281" s="12" t="n">
        <x:v>42535</x:v>
      </x:c>
      <x:c r="C281" s="18" t="n">
        <x:v>24133</x:v>
      </x:c>
      <x:c r="D281" s="18" t="n">
        <x:v>134869</x:v>
      </x:c>
      <x:c r="E281" s="18" t="n">
        <x:v>11.85</x:v>
      </x:c>
      <x:c r="F281" s="18" t="n">
        <x:v>19.35</x:v>
      </x:c>
      <x:c r="G281" t="n">
        <x:v>36</x:v>
      </x:c>
      <x:c r="H281" t="str">
        <x:v>E</x:v>
      </x:c>
      <x:c r="I281" t="str">
        <x:v>10+ years</x:v>
      </x:c>
      <x:c r="J281" t="str">
        <x:v>MORTGAGE</x:v>
      </x:c>
      <x:c r="K281" t="str">
        <x:v>debt_consolidation</x:v>
      </x:c>
      <x:c r="L281" t="n">
        <x:v>0</x:v>
      </x:c>
      <x:c r="M281" t="n">
        <x:v>0</x:v>
      </x:c>
      <x:c r="N281" t="str">
        <x:v>Fully Paid</x:v>
      </x:c>
      <x:c r="O281" t="str">
        <x:f>IF(D281="","Unknown",IF(D281&lt;25000,"&lt;$25k",IF(D281&lt;50000,"$25k-$50k",IF(D281&lt;75000,"$50k-$75k",IF(D281&lt;100000,"$75k-$100k","$100k+")))))</x:f>
        <x:v>$100k+</x:v>
      </x:c>
      <x:c r="P281" t="str">
        <x:f>IF(E281="","Unknown",IF(E281&lt;10,"&lt;10",IF(E281&lt;20,"10-&lt;20",IF(E281&lt;25,"20-&lt;25",IF(E281&lt;35,"25-&lt;35","35+")))))</x:f>
        <x:v>10-&lt;20</x:v>
      </x:c>
    </x:row>
    <x:row r="282">
      <x:c r="A282" t="str">
        <x:v>SYN0000281</x:v>
      </x:c>
      <x:c r="B282" s="12" t="n">
        <x:v>41305</x:v>
      </x:c>
      <x:c r="C282" s="18" t="n">
        <x:v>16516</x:v>
      </x:c>
      <x:c r="D282" s="18" t="n">
        <x:v>96583</x:v>
      </x:c>
      <x:c r="E282" s="18" t="n">
        <x:v>22.95</x:v>
      </x:c>
      <x:c r="F282" s="18" t="n">
        <x:v>14.95</x:v>
      </x:c>
      <x:c r="G282" t="n">
        <x:v>60</x:v>
      </x:c>
      <x:c r="H282" t="str">
        <x:v>D</x:v>
      </x:c>
      <x:c r="I282" t="str">
        <x:v>7-9 years</x:v>
      </x:c>
      <x:c r="J282" t="str">
        <x:v>MORTGAGE</x:v>
      </x:c>
      <x:c r="K282" t="str">
        <x:v>debt_consolidation</x:v>
      </x:c>
      <x:c r="L282" t="n">
        <x:v>0</x:v>
      </x:c>
      <x:c r="M282" t="n">
        <x:v>0</x:v>
      </x:c>
      <x:c r="N282" t="str">
        <x:v>Fully Paid</x:v>
      </x:c>
      <x:c r="O282" t="str">
        <x:f>IF(D282="","Unknown",IF(D282&lt;25000,"&lt;$25k",IF(D282&lt;50000,"$25k-$50k",IF(D282&lt;75000,"$50k-$75k",IF(D282&lt;100000,"$75k-$100k","$100k+")))))</x:f>
        <x:v>$75k-$100k</x:v>
      </x:c>
      <x:c r="P282" t="str">
        <x:f>IF(E282="","Unknown",IF(E282&lt;10,"&lt;10",IF(E282&lt;20,"10-&lt;20",IF(E282&lt;25,"20-&lt;25",IF(E282&lt;35,"25-&lt;35","35+")))))</x:f>
        <x:v>20-&lt;25</x:v>
      </x:c>
    </x:row>
    <x:row r="283">
      <x:c r="A283" t="str">
        <x:v>SYN0000282</x:v>
      </x:c>
      <x:c r="B283" s="12" t="n">
        <x:v>41965</x:v>
      </x:c>
      <x:c r="C283" s="18" t="n">
        <x:v>11306</x:v>
      </x:c>
      <x:c r="D283" s="18" t="n">
        <x:v>18597</x:v>
      </x:c>
      <x:c r="E283" s="18" t="n">
        <x:v>17.98</x:v>
      </x:c>
      <x:c r="F283" s="18" t="n">
        <x:v>8.94</x:v>
      </x:c>
      <x:c r="G283" t="n">
        <x:v>36</x:v>
      </x:c>
      <x:c r="H283" t="str">
        <x:v>C</x:v>
      </x:c>
      <x:c r="I283" t="str">
        <x:v>1-3 years</x:v>
      </x:c>
      <x:c r="J283" t="str">
        <x:v>MORTGAGE</x:v>
      </x:c>
      <x:c r="K283" t="str">
        <x:v>home_improvement</x:v>
      </x:c>
      <x:c r="L283" t="n">
        <x:v>1</x:v>
      </x:c>
      <x:c r="M283" t="n">
        <x:v>1</x:v>
      </x:c>
      <x:c r="N283" t="str">
        <x:v>Charged Off</x:v>
      </x:c>
      <x:c r="O283" t="str">
        <x:f>IF(D283="","Unknown",IF(D283&lt;25000,"&lt;$25k",IF(D283&lt;50000,"$25k-$50k",IF(D283&lt;75000,"$50k-$75k",IF(D283&lt;100000,"$75k-$100k","$100k+")))))</x:f>
        <x:v>&lt;$25k</x:v>
      </x:c>
      <x:c r="P283" t="str">
        <x:f>IF(E283="","Unknown",IF(E283&lt;10,"&lt;10",IF(E283&lt;20,"10-&lt;20",IF(E283&lt;25,"20-&lt;25",IF(E283&lt;35,"25-&lt;35","35+")))))</x:f>
        <x:v>10-&lt;20</x:v>
      </x:c>
    </x:row>
    <x:row r="284">
      <x:c r="A284" t="str">
        <x:v>SYN0000283</x:v>
      </x:c>
      <x:c r="B284" s="12" t="n">
        <x:v>43405</x:v>
      </x:c>
      <x:c r="C284" s="18" t="n">
        <x:v>18672</x:v>
      </x:c>
      <x:c r="D284" s="18" t="n">
        <x:v>115984</x:v>
      </x:c>
      <x:c r="E284" s="18" t="n">
        <x:v>23.44</x:v>
      </x:c>
      <x:c r="F284" s="18" t="n">
        <x:v>8.64</x:v>
      </x:c>
      <x:c r="G284" t="n">
        <x:v>36</x:v>
      </x:c>
      <x:c r="H284" t="str">
        <x:v>B</x:v>
      </x:c>
      <x:c r="I284" t="str">
        <x:v>4-6 years</x:v>
      </x:c>
      <x:c r="J284" t="str">
        <x:v>MORTGAGE</x:v>
      </x:c>
      <x:c r="K284" t="str">
        <x:v>debt_consolidation</x:v>
      </x:c>
      <x:c r="L284" t="n">
        <x:v>0</x:v>
      </x:c>
      <x:c r="M284" t="n">
        <x:v>0</x:v>
      </x:c>
      <x:c r="N284" t="str">
        <x:v>Fully Paid</x:v>
      </x:c>
      <x:c r="O284" t="str">
        <x:f>IF(D284="","Unknown",IF(D284&lt;25000,"&lt;$25k",IF(D284&lt;50000,"$25k-$50k",IF(D284&lt;75000,"$50k-$75k",IF(D284&lt;100000,"$75k-$100k","$100k+")))))</x:f>
        <x:v>$100k+</x:v>
      </x:c>
      <x:c r="P284" t="str">
        <x:f>IF(E284="","Unknown",IF(E284&lt;10,"&lt;10",IF(E284&lt;20,"10-&lt;20",IF(E284&lt;25,"20-&lt;25",IF(E284&lt;35,"25-&lt;35","35+")))))</x:f>
        <x:v>20-&lt;25</x:v>
      </x:c>
    </x:row>
    <x:row r="285">
      <x:c r="A285" t="str">
        <x:v>SYN0000284</x:v>
      </x:c>
      <x:c r="B285" s="12" t="n">
        <x:v>43315</x:v>
      </x:c>
      <x:c r="C285" s="18" t="n">
        <x:v>19591</x:v>
      </x:c>
      <x:c r="D285" s="18" t="n">
        <x:v>39448</x:v>
      </x:c>
      <x:c r="E285" s="18" t="n">
        <x:v>19.47</x:v>
      </x:c>
      <x:c r="F285" s="18" t="n">
        <x:v>7.64</x:v>
      </x:c>
      <x:c r="G285" t="n">
        <x:v>60</x:v>
      </x:c>
      <x:c r="H285" t="str">
        <x:v>B</x:v>
      </x:c>
      <x:c r="I285" t="str">
        <x:v>7-9 years</x:v>
      </x:c>
      <x:c r="J285" t="str">
        <x:v>MORTGAGE</x:v>
      </x:c>
      <x:c r="K285" t="str">
        <x:v>debt_consolidation</x:v>
      </x:c>
      <x:c r="L285" t="n">
        <x:v>0</x:v>
      </x:c>
      <x:c r="M285" t="n">
        <x:v>0</x:v>
      </x:c>
      <x:c r="N285" t="str">
        <x:v>Fully Paid</x:v>
      </x:c>
      <x:c r="O285" t="str">
        <x:f>IF(D285="","Unknown",IF(D285&lt;25000,"&lt;$25k",IF(D285&lt;50000,"$25k-$50k",IF(D285&lt;75000,"$50k-$75k",IF(D285&lt;100000,"$75k-$100k","$100k+")))))</x:f>
        <x:v>$25k-$50k</x:v>
      </x:c>
      <x:c r="P285" t="str">
        <x:f>IF(E285="","Unknown",IF(E285&lt;10,"&lt;10",IF(E285&lt;20,"10-&lt;20",IF(E285&lt;25,"20-&lt;25",IF(E285&lt;35,"25-&lt;35","35+")))))</x:f>
        <x:v>10-&lt;20</x:v>
      </x:c>
    </x:row>
    <x:row r="286">
      <x:c r="A286" t="str">
        <x:v>SYN0000285</x:v>
      </x:c>
      <x:c r="B286" s="12" t="n">
        <x:v>41305</x:v>
      </x:c>
      <x:c r="C286" s="18" t="n">
        <x:v>10041</x:v>
      </x:c>
      <x:c r="D286" s="18" t="n">
        <x:v>61206</x:v>
      </x:c>
      <x:c r="E286" s="18" t="n">
        <x:v>13.71</x:v>
      </x:c>
      <x:c r="F286" s="18" t="n">
        <x:v>5</x:v>
      </x:c>
      <x:c r="G286" t="n">
        <x:v>36</x:v>
      </x:c>
      <x:c r="H286" t="str">
        <x:v>A</x:v>
      </x:c>
      <x:c r="I286" t="str">
        <x:v>4-6 years</x:v>
      </x:c>
      <x:c r="J286" t="str">
        <x:v>MORTGAGE</x:v>
      </x:c>
      <x:c r="K286" t="str">
        <x:v>home_improvement</x:v>
      </x:c>
      <x:c r="L286" t="n">
        <x:v>0</x:v>
      </x:c>
      <x:c r="M286" t="n">
        <x:v>0</x:v>
      </x:c>
      <x:c r="N286" t="str">
        <x:v>Fully Paid</x:v>
      </x:c>
      <x:c r="O286" t="str">
        <x:f>IF(D286="","Unknown",IF(D286&lt;25000,"&lt;$25k",IF(D286&lt;50000,"$25k-$50k",IF(D286&lt;75000,"$50k-$75k",IF(D286&lt;100000,"$75k-$100k","$100k+")))))</x:f>
        <x:v>$50k-$75k</x:v>
      </x:c>
      <x:c r="P286" t="str">
        <x:f>IF(E286="","Unknown",IF(E286&lt;10,"&lt;10",IF(E286&lt;20,"10-&lt;20",IF(E286&lt;25,"20-&lt;25",IF(E286&lt;35,"25-&lt;35","35+")))))</x:f>
        <x:v>10-&lt;20</x:v>
      </x:c>
    </x:row>
    <x:row r="287">
      <x:c r="A287" t="str">
        <x:v>SYN0000286</x:v>
      </x:c>
      <x:c r="B287" s="12" t="n">
        <x:v>41635</x:v>
      </x:c>
      <x:c r="C287" s="18" t="n">
        <x:v>7789</x:v>
      </x:c>
      <x:c r="D287" s="18" t="n">
        <x:v>21369</x:v>
      </x:c>
      <x:c r="E287" s="18" t="n">
        <x:v>25.06</x:v>
      </x:c>
      <x:c r="F287" s="18" t="n">
        <x:v>6.29</x:v>
      </x:c>
      <x:c r="G287" t="n">
        <x:v>36</x:v>
      </x:c>
      <x:c r="H287" t="str">
        <x:v>B</x:v>
      </x:c>
      <x:c r="I287" t="str">
        <x:v>7-9 years</x:v>
      </x:c>
      <x:c r="J287" t="str">
        <x:v>RENT</x:v>
      </x:c>
      <x:c r="K287" t="str">
        <x:v>debt_consolidation</x:v>
      </x:c>
      <x:c r="L287" t="n">
        <x:v>0</x:v>
      </x:c>
      <x:c r="M287" t="n">
        <x:v>1</x:v>
      </x:c>
      <x:c r="N287" t="str">
        <x:v>Charged Off</x:v>
      </x:c>
      <x:c r="O287" t="str">
        <x:f>IF(D287="","Unknown",IF(D287&lt;25000,"&lt;$25k",IF(D287&lt;50000,"$25k-$50k",IF(D287&lt;75000,"$50k-$75k",IF(D287&lt;100000,"$75k-$100k","$100k+")))))</x:f>
        <x:v>&lt;$25k</x:v>
      </x:c>
      <x:c r="P287" t="str">
        <x:f>IF(E287="","Unknown",IF(E287&lt;10,"&lt;10",IF(E287&lt;20,"10-&lt;20",IF(E287&lt;25,"20-&lt;25",IF(E287&lt;35,"25-&lt;35","35+")))))</x:f>
        <x:v>25-&lt;35</x:v>
      </x:c>
    </x:row>
    <x:row r="288">
      <x:c r="A288" t="str">
        <x:v>SYN0000287</x:v>
      </x:c>
      <x:c r="B288" s="12" t="n">
        <x:v>41485</x:v>
      </x:c>
      <x:c r="C288" s="18" t="n">
        <x:v>13975</x:v>
      </x:c>
      <x:c r="D288" s="18" t="n">
        <x:v>72024</x:v>
      </x:c>
      <x:c r="E288" s="18" t="n">
        <x:v>29.4</x:v>
      </x:c>
      <x:c r="F288" s="18" t="n">
        <x:v>16.41</x:v>
      </x:c>
      <x:c r="G288" t="n">
        <x:v>36</x:v>
      </x:c>
      <x:c r="H288" t="str">
        <x:v>D</x:v>
      </x:c>
      <x:c r="I288" t="str">
        <x:v>4-6 years</x:v>
      </x:c>
      <x:c r="J288" t="str">
        <x:v>OWN</x:v>
      </x:c>
      <x:c r="K288" t="str">
        <x:v>debt_consolidation</x:v>
      </x:c>
      <x:c r="L288" t="n">
        <x:v>0</x:v>
      </x:c>
      <x:c r="M288" t="n">
        <x:v>0</x:v>
      </x:c>
      <x:c r="N288" t="str">
        <x:v>Fully Paid</x:v>
      </x:c>
      <x:c r="O288" t="str">
        <x:f>IF(D288="","Unknown",IF(D288&lt;25000,"&lt;$25k",IF(D288&lt;50000,"$25k-$50k",IF(D288&lt;75000,"$50k-$75k",IF(D288&lt;100000,"$75k-$100k","$100k+")))))</x:f>
        <x:v>$50k-$75k</x:v>
      </x:c>
      <x:c r="P288" t="str">
        <x:f>IF(E288="","Unknown",IF(E288&lt;10,"&lt;10",IF(E288&lt;20,"10-&lt;20",IF(E288&lt;25,"20-&lt;25",IF(E288&lt;35,"25-&lt;35","35+")))))</x:f>
        <x:v>25-&lt;35</x:v>
      </x:c>
    </x:row>
    <x:row r="289">
      <x:c r="A289" t="str">
        <x:v>SYN0000288</x:v>
      </x:c>
      <x:c r="B289" s="12" t="n">
        <x:v>41365</x:v>
      </x:c>
      <x:c r="C289" s="18" t="n">
        <x:v>9427</x:v>
      </x:c>
      <x:c r="D289" s="18" t="n">
        <x:v>40509</x:v>
      </x:c>
      <x:c r="E289" s="18" t="n">
        <x:v>29.32</x:v>
      </x:c>
      <x:c r="F289" s="18" t="n">
        <x:v>7.77</x:v>
      </x:c>
      <x:c r="G289" t="n">
        <x:v>36</x:v>
      </x:c>
      <x:c r="H289" t="str">
        <x:v>B</x:v>
      </x:c>
      <x:c r="I289" t="str">
        <x:v>7-9 years</x:v>
      </x:c>
      <x:c r="J289" t="str">
        <x:v>RENT</x:v>
      </x:c>
      <x:c r="K289" t="str">
        <x:v>debt_consolidation</x:v>
      </x:c>
      <x:c r="L289" t="n">
        <x:v>1</x:v>
      </x:c>
      <x:c r="M289" t="n">
        <x:v>0</x:v>
      </x:c>
      <x:c r="N289" t="str">
        <x:v>Fully Paid</x:v>
      </x:c>
      <x:c r="O289" t="str">
        <x:f>IF(D289="","Unknown",IF(D289&lt;25000,"&lt;$25k",IF(D289&lt;50000,"$25k-$50k",IF(D289&lt;75000,"$50k-$75k",IF(D289&lt;100000,"$75k-$100k","$100k+")))))</x:f>
        <x:v>$25k-$50k</x:v>
      </x:c>
      <x:c r="P289" t="str">
        <x:f>IF(E289="","Unknown",IF(E289&lt;10,"&lt;10",IF(E289&lt;20,"10-&lt;20",IF(E289&lt;25,"20-&lt;25",IF(E289&lt;35,"25-&lt;35","35+")))))</x:f>
        <x:v>25-&lt;35</x:v>
      </x:c>
    </x:row>
    <x:row r="290">
      <x:c r="A290" t="str">
        <x:v>SYN0000289</x:v>
      </x:c>
      <x:c r="B290" s="12" t="n">
        <x:v>43015</x:v>
      </x:c>
      <x:c r="C290" s="18" t="n">
        <x:v>11641</x:v>
      </x:c>
      <x:c r="D290" s="18" t="n">
        <x:v>37815</x:v>
      </x:c>
      <x:c r="E290" s="18" t="n">
        <x:v>14.77</x:v>
      </x:c>
      <x:c r="F290" s="18" t="n">
        <x:v>7.24</x:v>
      </x:c>
      <x:c r="G290" t="n">
        <x:v>60</x:v>
      </x:c>
      <x:c r="H290" t="str">
        <x:v>B</x:v>
      </x:c>
      <x:c r="I290" t="str">
        <x:v>1-3 years</x:v>
      </x:c>
      <x:c r="J290" t="str">
        <x:v>MORTGAGE</x:v>
      </x:c>
      <x:c r="K290" t="str">
        <x:v>credit_card</x:v>
      </x:c>
      <x:c r="L290" t="n">
        <x:v>0</x:v>
      </x:c>
      <x:c r="M290" t="n">
        <x:v>0</x:v>
      </x:c>
      <x:c r="N290" t="str">
        <x:v>Fully Paid</x:v>
      </x:c>
      <x:c r="O290" t="str">
        <x:f>IF(D290="","Unknown",IF(D290&lt;25000,"&lt;$25k",IF(D290&lt;50000,"$25k-$50k",IF(D290&lt;75000,"$50k-$75k",IF(D290&lt;100000,"$75k-$100k","$100k+")))))</x:f>
        <x:v>$25k-$50k</x:v>
      </x:c>
      <x:c r="P290" t="str">
        <x:f>IF(E290="","Unknown",IF(E290&lt;10,"&lt;10",IF(E290&lt;20,"10-&lt;20",IF(E290&lt;25,"20-&lt;25",IF(E290&lt;35,"25-&lt;35","35+")))))</x:f>
        <x:v>10-&lt;20</x:v>
      </x:c>
    </x:row>
    <x:row r="291">
      <x:c r="A291" t="str">
        <x:v>SYN0000290</x:v>
      </x:c>
      <x:c r="B291" s="12" t="n">
        <x:v>41935</x:v>
      </x:c>
      <x:c r="C291" s="18" t="n">
        <x:v>40000</x:v>
      </x:c>
      <x:c r="D291" s="18" t="n">
        <x:v>143491</x:v>
      </x:c>
      <x:c r="E291" s="18" t="n">
        <x:v>26.64</x:v>
      </x:c>
      <x:c r="F291" s="18" t="n">
        <x:v>12.62</x:v>
      </x:c>
      <x:c r="G291" t="n">
        <x:v>36</x:v>
      </x:c>
      <x:c r="H291" t="str">
        <x:v>C</x:v>
      </x:c>
      <x:c r="I291" t="str">
        <x:v>7-9 years</x:v>
      </x:c>
      <x:c r="J291" t="str">
        <x:v>OWN</x:v>
      </x:c>
      <x:c r="K291" t="str">
        <x:v>credit_card</x:v>
      </x:c>
      <x:c r="L291" t="n">
        <x:v>0</x:v>
      </x:c>
      <x:c r="M291" t="n">
        <x:v>0</x:v>
      </x:c>
      <x:c r="N291" t="str">
        <x:v>Fully Paid</x:v>
      </x:c>
      <x:c r="O291" t="str">
        <x:f>IF(D291="","Unknown",IF(D291&lt;25000,"&lt;$25k",IF(D291&lt;50000,"$25k-$50k",IF(D291&lt;75000,"$50k-$75k",IF(D291&lt;100000,"$75k-$100k","$100k+")))))</x:f>
        <x:v>$100k+</x:v>
      </x:c>
      <x:c r="P291" t="str">
        <x:f>IF(E291="","Unknown",IF(E291&lt;10,"&lt;10",IF(E291&lt;20,"10-&lt;20",IF(E291&lt;25,"20-&lt;25",IF(E291&lt;35,"25-&lt;35","35+")))))</x:f>
        <x:v>25-&lt;35</x:v>
      </x:c>
    </x:row>
    <x:row r="292">
      <x:c r="A292" t="str">
        <x:v>SYN0000291</x:v>
      </x:c>
      <x:c r="B292" s="12" t="n">
        <x:v>41635</x:v>
      </x:c>
      <x:c r="C292" s="18" t="n">
        <x:v>26110</x:v>
      </x:c>
      <x:c r="D292" s="18" t="n">
        <x:v>83476</x:v>
      </x:c>
      <x:c r="E292" s="18" t="n">
        <x:v>15.38</x:v>
      </x:c>
      <x:c r="F292" s="18" t="n">
        <x:v>9.6</x:v>
      </x:c>
      <x:c r="G292" t="n">
        <x:v>36</x:v>
      </x:c>
      <x:c r="H292" t="str">
        <x:v>C</x:v>
      </x:c>
      <x:c r="I292" t="str">
        <x:v>10+ years</x:v>
      </x:c>
      <x:c r="J292" t="str">
        <x:v>MORTGAGE</x:v>
      </x:c>
      <x:c r="K292" t="str">
        <x:v>medical</x:v>
      </x:c>
      <x:c r="L292" t="n">
        <x:v>0</x:v>
      </x:c>
      <x:c r="M292" t="n">
        <x:v>0</x:v>
      </x:c>
      <x:c r="N292" t="str">
        <x:v>Fully Paid</x:v>
      </x:c>
      <x:c r="O292" t="str">
        <x:f>IF(D292="","Unknown",IF(D292&lt;25000,"&lt;$25k",IF(D292&lt;50000,"$25k-$50k",IF(D292&lt;75000,"$50k-$75k",IF(D292&lt;100000,"$75k-$100k","$100k+")))))</x:f>
        <x:v>$75k-$100k</x:v>
      </x:c>
      <x:c r="P292" t="str">
        <x:f>IF(E292="","Unknown",IF(E292&lt;10,"&lt;10",IF(E292&lt;20,"10-&lt;20",IF(E292&lt;25,"20-&lt;25",IF(E292&lt;35,"25-&lt;35","35+")))))</x:f>
        <x:v>10-&lt;20</x:v>
      </x:c>
    </x:row>
    <x:row r="293">
      <x:c r="A293" t="str">
        <x:v>SYN0000292</x:v>
      </x:c>
      <x:c r="B293" s="12" t="n">
        <x:v>41425</x:v>
      </x:c>
      <x:c r="C293" s="18" t="n">
        <x:v>14823</x:v>
      </x:c>
      <x:c r="D293" s="18" t="n">
        <x:v>72889</x:v>
      </x:c>
      <x:c r="E293" s="18" t="n">
        <x:v>8.99</x:v>
      </x:c>
      <x:c r="F293" s="18" t="n">
        <x:v>9.73</x:v>
      </x:c>
      <x:c r="G293" t="n">
        <x:v>60</x:v>
      </x:c>
      <x:c r="H293" t="str">
        <x:v>C</x:v>
      </x:c>
      <x:c r="I293" t="str">
        <x:v>4-6 years</x:v>
      </x:c>
      <x:c r="J293" t="str">
        <x:v>MORTGAGE</x:v>
      </x:c>
      <x:c r="K293" t="str">
        <x:v>credit_card</x:v>
      </x:c>
      <x:c r="L293" t="n">
        <x:v>0</x:v>
      </x:c>
      <x:c r="M293" t="n">
        <x:v>0</x:v>
      </x:c>
      <x:c r="N293" t="str">
        <x:v>Fully Paid</x:v>
      </x:c>
      <x:c r="O293" t="str">
        <x:f>IF(D293="","Unknown",IF(D293&lt;25000,"&lt;$25k",IF(D293&lt;50000,"$25k-$50k",IF(D293&lt;75000,"$50k-$75k",IF(D293&lt;100000,"$75k-$100k","$100k+")))))</x:f>
        <x:v>$50k-$75k</x:v>
      </x:c>
      <x:c r="P293" t="str">
        <x:f>IF(E293="","Unknown",IF(E293&lt;10,"&lt;10",IF(E293&lt;20,"10-&lt;20",IF(E293&lt;25,"20-&lt;25",IF(E293&lt;35,"25-&lt;35","35+")))))</x:f>
        <x:v>&lt;10</x:v>
      </x:c>
    </x:row>
    <x:row r="294">
      <x:c r="A294" t="str">
        <x:v>SYN0000293</x:v>
      </x:c>
      <x:c r="B294" s="12" t="n">
        <x:v>43165</x:v>
      </x:c>
      <x:c r="C294" s="18" t="n">
        <x:v>7344</x:v>
      </x:c>
      <x:c r="D294" s="18" t="n">
        <x:v>65166</x:v>
      </x:c>
      <x:c r="E294" s="18" t="n">
        <x:v>32.43</x:v>
      </x:c>
      <x:c r="F294" s="18" t="n">
        <x:v>6.31</x:v>
      </x:c>
      <x:c r="G294" t="n">
        <x:v>36</x:v>
      </x:c>
      <x:c r="H294" t="str">
        <x:v>B</x:v>
      </x:c>
      <x:c r="I294" t="str">
        <x:v>1-3 years</x:v>
      </x:c>
      <x:c r="J294" t="str">
        <x:v>MORTGAGE</x:v>
      </x:c>
      <x:c r="K294" t="str">
        <x:v>debt_consolidation</x:v>
      </x:c>
      <x:c r="L294" t="n">
        <x:v>1</x:v>
      </x:c>
      <x:c r="M294" t="n">
        <x:v>0</x:v>
      </x:c>
      <x:c r="N294" t="str">
        <x:v>Fully Paid</x:v>
      </x:c>
      <x:c r="O294" t="str">
        <x:f>IF(D294="","Unknown",IF(D294&lt;25000,"&lt;$25k",IF(D294&lt;50000,"$25k-$50k",IF(D294&lt;75000,"$50k-$75k",IF(D294&lt;100000,"$75k-$100k","$100k+")))))</x:f>
        <x:v>$50k-$75k</x:v>
      </x:c>
      <x:c r="P294" t="str">
        <x:f>IF(E294="","Unknown",IF(E294&lt;10,"&lt;10",IF(E294&lt;20,"10-&lt;20",IF(E294&lt;25,"20-&lt;25",IF(E294&lt;35,"25-&lt;35","35+")))))</x:f>
        <x:v>25-&lt;35</x:v>
      </x:c>
    </x:row>
    <x:row r="295">
      <x:c r="A295" t="str">
        <x:v>SYN0000294</x:v>
      </x:c>
      <x:c r="B295" s="12" t="n">
        <x:v>41425</x:v>
      </x:c>
      <x:c r="C295" s="18" t="n">
        <x:v>7563</x:v>
      </x:c>
      <x:c r="D295" s="18" t="n">
        <x:v>63700</x:v>
      </x:c>
      <x:c r="E295" s="18" t="n">
        <x:v>22.4</x:v>
      </x:c>
      <x:c r="F295" s="18" t="n">
        <x:v>23.56</x:v>
      </x:c>
      <x:c r="G295" t="n">
        <x:v>60</x:v>
      </x:c>
      <x:c r="H295" t="str">
        <x:v>F</x:v>
      </x:c>
      <x:c r="I295" t="str">
        <x:v>10+ years</x:v>
      </x:c>
      <x:c r="J295" t="str">
        <x:v>MORTGAGE</x:v>
      </x:c>
      <x:c r="K295" t="str">
        <x:v>debt_consolidation</x:v>
      </x:c>
      <x:c r="L295" t="n">
        <x:v>1</x:v>
      </x:c>
      <x:c r="M295" t="n">
        <x:v>0</x:v>
      </x:c>
      <x:c r="N295" t="str">
        <x:v>Fully Paid</x:v>
      </x:c>
      <x:c r="O295" t="str">
        <x:f>IF(D295="","Unknown",IF(D295&lt;25000,"&lt;$25k",IF(D295&lt;50000,"$25k-$50k",IF(D295&lt;75000,"$50k-$75k",IF(D295&lt;100000,"$75k-$100k","$100k+")))))</x:f>
        <x:v>$50k-$75k</x:v>
      </x:c>
      <x:c r="P295" t="str">
        <x:f>IF(E295="","Unknown",IF(E295&lt;10,"&lt;10",IF(E295&lt;20,"10-&lt;20",IF(E295&lt;25,"20-&lt;25",IF(E295&lt;35,"25-&lt;35","35+")))))</x:f>
        <x:v>20-&lt;25</x:v>
      </x:c>
    </x:row>
    <x:row r="296">
      <x:c r="A296" t="str">
        <x:v>SYN0000295</x:v>
      </x:c>
      <x:c r="B296" s="12" t="n">
        <x:v>42235</x:v>
      </x:c>
      <x:c r="C296" s="18" t="n">
        <x:v>12133</x:v>
      </x:c>
      <x:c r="D296" s="18" t="n">
        <x:v>38717</x:v>
      </x:c>
      <x:c r="E296" s="18" t="n">
        <x:v>30.38</x:v>
      </x:c>
      <x:c r="F296" s="18" t="n">
        <x:v>7.87</x:v>
      </x:c>
      <x:c r="G296" t="n">
        <x:v>36</x:v>
      </x:c>
      <x:c r="H296" t="str">
        <x:v>B</x:v>
      </x:c>
      <x:c r="I296" t="str">
        <x:v>4-6 years</x:v>
      </x:c>
      <x:c r="J296" t="str">
        <x:v>OWN</x:v>
      </x:c>
      <x:c r="K296" t="str">
        <x:v>debt_consolidation</x:v>
      </x:c>
      <x:c r="L296" t="n">
        <x:v>1</x:v>
      </x:c>
      <x:c r="M296" t="n">
        <x:v>1</x:v>
      </x:c>
      <x:c r="N296" t="str">
        <x:v>Charged Off</x:v>
      </x:c>
      <x:c r="O296" t="str">
        <x:f>IF(D296="","Unknown",IF(D296&lt;25000,"&lt;$25k",IF(D296&lt;50000,"$25k-$50k",IF(D296&lt;75000,"$50k-$75k",IF(D296&lt;100000,"$75k-$100k","$100k+")))))</x:f>
        <x:v>$25k-$50k</x:v>
      </x:c>
      <x:c r="P296" t="str">
        <x:f>IF(E296="","Unknown",IF(E296&lt;10,"&lt;10",IF(E296&lt;20,"10-&lt;20",IF(E296&lt;25,"20-&lt;25",IF(E296&lt;35,"25-&lt;35","35+")))))</x:f>
        <x:v>25-&lt;35</x:v>
      </x:c>
    </x:row>
    <x:row r="297">
      <x:c r="A297" t="str">
        <x:v>SYN0000296</x:v>
      </x:c>
      <x:c r="B297" s="12" t="n">
        <x:v>42535</x:v>
      </x:c>
      <x:c r="C297" s="18" t="n">
        <x:v>7256</x:v>
      </x:c>
      <x:c r="D297" s="18" t="n">
        <x:v>17936</x:v>
      </x:c>
      <x:c r="E297" s="18" t="n">
        <x:v>4.94</x:v>
      </x:c>
      <x:c r="F297" s="18" t="n">
        <x:v>9.7</x:v>
      </x:c>
      <x:c r="G297" t="n">
        <x:v>60</x:v>
      </x:c>
      <x:c r="H297" t="str">
        <x:v>C</x:v>
      </x:c>
      <x:c r="I297" t="str">
        <x:v>4-6 years</x:v>
      </x:c>
      <x:c r="J297" t="str">
        <x:v>RENT</x:v>
      </x:c>
      <x:c r="K297" t="str">
        <x:v>debt_consolidation</x:v>
      </x:c>
      <x:c r="L297" t="n">
        <x:v>3</x:v>
      </x:c>
      <x:c r="M297" t="n">
        <x:v>0</x:v>
      </x:c>
      <x:c r="N297" t="str">
        <x:v>Fully Paid</x:v>
      </x:c>
      <x:c r="O297" t="str">
        <x:f>IF(D297="","Unknown",IF(D297&lt;25000,"&lt;$25k",IF(D297&lt;50000,"$25k-$50k",IF(D297&lt;75000,"$50k-$75k",IF(D297&lt;100000,"$75k-$100k","$100k+")))))</x:f>
        <x:v>&lt;$25k</x:v>
      </x:c>
      <x:c r="P297" t="str">
        <x:f>IF(E297="","Unknown",IF(E297&lt;10,"&lt;10",IF(E297&lt;20,"10-&lt;20",IF(E297&lt;25,"20-&lt;25",IF(E297&lt;35,"25-&lt;35","35+")))))</x:f>
        <x:v>&lt;10</x:v>
      </x:c>
    </x:row>
    <x:row r="298">
      <x:c r="A298" t="str">
        <x:v>SYN0000297</x:v>
      </x:c>
      <x:c r="B298" s="12" t="n">
        <x:v>41305</x:v>
      </x:c>
      <x:c r="C298" s="18" t="n">
        <x:v>12100</x:v>
      </x:c>
      <x:c r="D298" s="18" t="n">
        <x:v>34065</x:v>
      </x:c>
      <x:c r="E298" s="18" t="n">
        <x:v>33.68</x:v>
      </x:c>
      <x:c r="F298" s="18" t="n">
        <x:v>8.87</x:v>
      </x:c>
      <x:c r="G298" t="n">
        <x:v>36</x:v>
      </x:c>
      <x:c r="H298" t="str">
        <x:v>C</x:v>
      </x:c>
      <x:c r="I298" t="str">
        <x:v>10+ years</x:v>
      </x:c>
      <x:c r="J298" t="str">
        <x:v>RENT</x:v>
      </x:c>
      <x:c r="K298" t="str">
        <x:v>home_improvement</x:v>
      </x:c>
      <x:c r="L298" t="n">
        <x:v>1</x:v>
      </x:c>
      <x:c r="M298" t="n">
        <x:v>0</x:v>
      </x:c>
      <x:c r="N298" t="str">
        <x:v>Fully Paid</x:v>
      </x:c>
      <x:c r="O298" t="str">
        <x:f>IF(D298="","Unknown",IF(D298&lt;25000,"&lt;$25k",IF(D298&lt;50000,"$25k-$50k",IF(D298&lt;75000,"$50k-$75k",IF(D298&lt;100000,"$75k-$100k","$100k+")))))</x:f>
        <x:v>$25k-$50k</x:v>
      </x:c>
      <x:c r="P298" t="str">
        <x:f>IF(E298="","Unknown",IF(E298&lt;10,"&lt;10",IF(E298&lt;20,"10-&lt;20",IF(E298&lt;25,"20-&lt;25",IF(E298&lt;35,"25-&lt;35","35+")))))</x:f>
        <x:v>25-&lt;35</x:v>
      </x:c>
    </x:row>
    <x:row r="299">
      <x:c r="A299" t="str">
        <x:v>SYN0000298</x:v>
      </x:c>
      <x:c r="B299" s="12" t="n">
        <x:v>43165</x:v>
      </x:c>
      <x:c r="C299" s="18" t="n">
        <x:v>12508</x:v>
      </x:c>
      <x:c r="D299" s="18" t="n">
        <x:v>24777</x:v>
      </x:c>
      <x:c r="E299" s="18" t="n">
        <x:v>15.3</x:v>
      </x:c>
      <x:c r="F299" s="18" t="n">
        <x:v>22.57</x:v>
      </x:c>
      <x:c r="G299" t="n">
        <x:v>36</x:v>
      </x:c>
      <x:c r="H299" t="str">
        <x:v>G</x:v>
      </x:c>
      <x:c r="I299" t="str">
        <x:v>10+ years</x:v>
      </x:c>
      <x:c r="J299" t="str">
        <x:v>MORTGAGE</x:v>
      </x:c>
      <x:c r="K299" t="str">
        <x:v>debt_consolidation</x:v>
      </x:c>
      <x:c r="L299" t="n">
        <x:v>0</x:v>
      </x:c>
      <x:c r="M299" t="n">
        <x:v>0</x:v>
      </x:c>
      <x:c r="N299" t="str">
        <x:v>Fully Paid</x:v>
      </x:c>
      <x:c r="O299" t="str">
        <x:f>IF(D299="","Unknown",IF(D299&lt;25000,"&lt;$25k",IF(D299&lt;50000,"$25k-$50k",IF(D299&lt;75000,"$50k-$75k",IF(D299&lt;100000,"$75k-$100k","$100k+")))))</x:f>
        <x:v>&lt;$25k</x:v>
      </x:c>
      <x:c r="P299" t="str">
        <x:f>IF(E299="","Unknown",IF(E299&lt;10,"&lt;10",IF(E299&lt;20,"10-&lt;20",IF(E299&lt;25,"20-&lt;25",IF(E299&lt;35,"25-&lt;35","35+")))))</x:f>
        <x:v>10-&lt;20</x:v>
      </x:c>
    </x:row>
    <x:row r="300">
      <x:c r="A300" t="str">
        <x:v>SYN0000299</x:v>
      </x:c>
      <x:c r="B300" s="12" t="n">
        <x:v>42655</x:v>
      </x:c>
      <x:c r="C300" s="18" t="n">
        <x:v>10547</x:v>
      </x:c>
      <x:c r="D300" s="18" t="n">
        <x:v>19096</x:v>
      </x:c>
      <x:c r="E300" s="18" t="n">
        <x:v>25.05</x:v>
      </x:c>
      <x:c r="F300" s="18" t="n">
        <x:v>18.54</x:v>
      </x:c>
      <x:c r="G300" t="n">
        <x:v>36</x:v>
      </x:c>
      <x:c r="H300" t="str">
        <x:v>E</x:v>
      </x:c>
      <x:c r="I300" t="str">
        <x:v>7-9 years</x:v>
      </x:c>
      <x:c r="J300" t="str">
        <x:v>MORTGAGE</x:v>
      </x:c>
      <x:c r="K300" t="str">
        <x:v>major_purchase</x:v>
      </x:c>
      <x:c r="L300" t="n">
        <x:v>0</x:v>
      </x:c>
      <x:c r="M300" t="n">
        <x:v>0</x:v>
      </x:c>
      <x:c r="N300" t="str">
        <x:v>Fully Paid</x:v>
      </x:c>
      <x:c r="O300" t="str">
        <x:f>IF(D300="","Unknown",IF(D300&lt;25000,"&lt;$25k",IF(D300&lt;50000,"$25k-$50k",IF(D300&lt;75000,"$50k-$75k",IF(D300&lt;100000,"$75k-$100k","$100k+")))))</x:f>
        <x:v>&lt;$25k</x:v>
      </x:c>
      <x:c r="P300" t="str">
        <x:f>IF(E300="","Unknown",IF(E300&lt;10,"&lt;10",IF(E300&lt;20,"10-&lt;20",IF(E300&lt;25,"20-&lt;25",IF(E300&lt;35,"25-&lt;35","35+")))))</x:f>
        <x:v>25-&lt;35</x:v>
      </x:c>
    </x:row>
    <x:row r="301">
      <x:c r="A301" t="str">
        <x:v>SYN0000300</x:v>
      </x:c>
      <x:c r="B301" s="12" t="n">
        <x:v>42055</x:v>
      </x:c>
      <x:c r="C301" s="18" t="n">
        <x:v>6698</x:v>
      </x:c>
      <x:c r="D301" s="18" t="n">
        <x:v>87597</x:v>
      </x:c>
      <x:c r="E301" s="18" t="n">
        <x:v>22.41</x:v>
      </x:c>
      <x:c r="F301" s="18" t="n">
        <x:v>11.86</x:v>
      </x:c>
      <x:c r="G301" t="n">
        <x:v>60</x:v>
      </x:c>
      <x:c r="H301" t="str">
        <x:v>B</x:v>
      </x:c>
      <x:c r="I301" t="str">
        <x:v>4-6 years</x:v>
      </x:c>
      <x:c r="J301" t="str">
        <x:v>OTHER</x:v>
      </x:c>
      <x:c r="K301" t="str">
        <x:v>debt_consolidation</x:v>
      </x:c>
      <x:c r="L301" t="n">
        <x:v>1</x:v>
      </x:c>
      <x:c r="M301" t="n">
        <x:v>0</x:v>
      </x:c>
      <x:c r="N301" t="str">
        <x:v>Fully Paid</x:v>
      </x:c>
      <x:c r="O301" t="str">
        <x:f>IF(D301="","Unknown",IF(D301&lt;25000,"&lt;$25k",IF(D301&lt;50000,"$25k-$50k",IF(D301&lt;75000,"$50k-$75k",IF(D301&lt;100000,"$75k-$100k","$100k+")))))</x:f>
        <x:v>$75k-$100k</x:v>
      </x:c>
      <x:c r="P301" t="str">
        <x:f>IF(E301="","Unknown",IF(E301&lt;10,"&lt;10",IF(E301&lt;20,"10-&lt;20",IF(E301&lt;25,"20-&lt;25",IF(E301&lt;35,"25-&lt;35","35+")))))</x:f>
        <x:v>20-&lt;25</x:v>
      </x:c>
    </x:row>
    <x:row r="302">
      <x:c r="A302" t="str">
        <x:v>SYN0000301</x:v>
      </x:c>
      <x:c r="B302" s="12" t="n">
        <x:v>42745</x:v>
      </x:c>
      <x:c r="C302" s="18" t="n">
        <x:v>12360</x:v>
      </x:c>
      <x:c r="D302" s="18" t="n">
        <x:v>62048</x:v>
      </x:c>
      <x:c r="E302" s="18" t="n">
        <x:v>25.73</x:v>
      </x:c>
      <x:c r="F302" s="18" t="n">
        <x:v>20.19</x:v>
      </x:c>
      <x:c r="G302" t="n">
        <x:v>36</x:v>
      </x:c>
      <x:c r="H302" t="str">
        <x:v>E</x:v>
      </x:c>
      <x:c r="I302" t="str">
        <x:v>&lt;1 year</x:v>
      </x:c>
      <x:c r="J302" t="str">
        <x:v>RENT</x:v>
      </x:c>
      <x:c r="K302" t="str">
        <x:v>credit_card</x:v>
      </x:c>
      <x:c r="L302" t="n">
        <x:v>0</x:v>
      </x:c>
      <x:c r="M302" t="n">
        <x:v>0</x:v>
      </x:c>
      <x:c r="N302" t="str">
        <x:v>Fully Paid</x:v>
      </x:c>
      <x:c r="O302" t="str">
        <x:f>IF(D302="","Unknown",IF(D302&lt;25000,"&lt;$25k",IF(D302&lt;50000,"$25k-$50k",IF(D302&lt;75000,"$50k-$75k",IF(D302&lt;100000,"$75k-$100k","$100k+")))))</x:f>
        <x:v>$50k-$75k</x:v>
      </x:c>
      <x:c r="P302" t="str">
        <x:f>IF(E302="","Unknown",IF(E302&lt;10,"&lt;10",IF(E302&lt;20,"10-&lt;20",IF(E302&lt;25,"20-&lt;25",IF(E302&lt;35,"25-&lt;35","35+")))))</x:f>
        <x:v>25-&lt;35</x:v>
      </x:c>
    </x:row>
    <x:row r="303">
      <x:c r="A303" t="str">
        <x:v>SYN0000302</x:v>
      </x:c>
      <x:c r="B303" s="12" t="n">
        <x:v>43195</x:v>
      </x:c>
      <x:c r="C303" s="18" t="n">
        <x:v>12288</x:v>
      </x:c>
      <x:c r="D303" s="18" t="n">
        <x:v>42165</x:v>
      </x:c>
      <x:c r="E303" s="18" t="n">
        <x:v>13.25</x:v>
      </x:c>
      <x:c r="F303" s="18" t="n">
        <x:v>9.85</x:v>
      </x:c>
      <x:c r="G303" t="n">
        <x:v>36</x:v>
      </x:c>
      <x:c r="H303" t="str">
        <x:v>C</x:v>
      </x:c>
      <x:c r="I303" t="str">
        <x:v>1-3 years</x:v>
      </x:c>
      <x:c r="J303" t="str">
        <x:v>RENT</x:v>
      </x:c>
      <x:c r="K303" t="str">
        <x:v>debt_consolidation</x:v>
      </x:c>
      <x:c r="L303" t="n">
        <x:v>0</x:v>
      </x:c>
      <x:c r="M303" t="n">
        <x:v>0</x:v>
      </x:c>
      <x:c r="N303" t="str">
        <x:v>Fully Paid</x:v>
      </x:c>
      <x:c r="O303" t="str">
        <x:f>IF(D303="","Unknown",IF(D303&lt;25000,"&lt;$25k",IF(D303&lt;50000,"$25k-$50k",IF(D303&lt;75000,"$50k-$75k",IF(D303&lt;100000,"$75k-$100k","$100k+")))))</x:f>
        <x:v>$25k-$50k</x:v>
      </x:c>
      <x:c r="P303" t="str">
        <x:f>IF(E303="","Unknown",IF(E303&lt;10,"&lt;10",IF(E303&lt;20,"10-&lt;20",IF(E303&lt;25,"20-&lt;25",IF(E303&lt;35,"25-&lt;35","35+")))))</x:f>
        <x:v>10-&lt;20</x:v>
      </x:c>
    </x:row>
    <x:row r="304">
      <x:c r="A304" t="str">
        <x:v>SYN0000303</x:v>
      </x:c>
      <x:c r="B304" s="12" t="n">
        <x:v>43375</x:v>
      </x:c>
      <x:c r="C304" s="18" t="n">
        <x:v>8955</x:v>
      </x:c>
      <x:c r="D304" s="18" t="n">
        <x:v>64627</x:v>
      </x:c>
      <x:c r="E304" s="18" t="n">
        <x:v>11.69</x:v>
      </x:c>
      <x:c r="F304" s="18" t="n">
        <x:v>12.88</x:v>
      </x:c>
      <x:c r="G304" t="n">
        <x:v>36</x:v>
      </x:c>
      <x:c r="H304" t="str">
        <x:v>B</x:v>
      </x:c>
      <x:c r="I304" t="str">
        <x:v>1-3 years</x:v>
      </x:c>
      <x:c r="J304" t="str">
        <x:v>RENT</x:v>
      </x:c>
      <x:c r="K304" t="str">
        <x:v>credit_card</x:v>
      </x:c>
      <x:c r="L304" t="n">
        <x:v>0</x:v>
      </x:c>
      <x:c r="M304" t="n">
        <x:v>0</x:v>
      </x:c>
      <x:c r="N304" t="str">
        <x:v>Fully Paid</x:v>
      </x:c>
      <x:c r="O304" t="str">
        <x:f>IF(D304="","Unknown",IF(D304&lt;25000,"&lt;$25k",IF(D304&lt;50000,"$25k-$50k",IF(D304&lt;75000,"$50k-$75k",IF(D304&lt;100000,"$75k-$100k","$100k+")))))</x:f>
        <x:v>$50k-$75k</x:v>
      </x:c>
      <x:c r="P304" t="str">
        <x:f>IF(E304="","Unknown",IF(E304&lt;10,"&lt;10",IF(E304&lt;20,"10-&lt;20",IF(E304&lt;25,"20-&lt;25",IF(E304&lt;35,"25-&lt;35","35+")))))</x:f>
        <x:v>10-&lt;20</x:v>
      </x:c>
    </x:row>
    <x:row r="305">
      <x:c r="A305" t="str">
        <x:v>SYN0000304</x:v>
      </x:c>
      <x:c r="B305" s="12" t="n">
        <x:v>42055</x:v>
      </x:c>
      <x:c r="C305" s="18" t="n">
        <x:v>9204</x:v>
      </x:c>
      <x:c r="D305" s="18" t="n">
        <x:v>35245</x:v>
      </x:c>
      <x:c r="E305" s="18" t="n">
        <x:v>32.66</x:v>
      </x:c>
      <x:c r="F305" s="18" t="n">
        <x:v>22.28</x:v>
      </x:c>
      <x:c r="G305" t="n">
        <x:v>36</x:v>
      </x:c>
      <x:c r="H305" t="str">
        <x:v>F</x:v>
      </x:c>
      <x:c r="I305" t="str">
        <x:v>1-3 years</x:v>
      </x:c>
      <x:c r="J305" t="str">
        <x:v>MORTGAGE</x:v>
      </x:c>
      <x:c r="K305" t="str">
        <x:v>other</x:v>
      </x:c>
      <x:c r="L305" t="n">
        <x:v>1</x:v>
      </x:c>
      <x:c r="M305" t="n">
        <x:v>1</x:v>
      </x:c>
      <x:c r="N305" t="str">
        <x:v>Charged Off</x:v>
      </x:c>
      <x:c r="O305" t="str">
        <x:f>IF(D305="","Unknown",IF(D305&lt;25000,"&lt;$25k",IF(D305&lt;50000,"$25k-$50k",IF(D305&lt;75000,"$50k-$75k",IF(D305&lt;100000,"$75k-$100k","$100k+")))))</x:f>
        <x:v>$25k-$50k</x:v>
      </x:c>
      <x:c r="P305" t="str">
        <x:f>IF(E305="","Unknown",IF(E305&lt;10,"&lt;10",IF(E305&lt;20,"10-&lt;20",IF(E305&lt;25,"20-&lt;25",IF(E305&lt;35,"25-&lt;35","35+")))))</x:f>
        <x:v>25-&lt;35</x:v>
      </x:c>
    </x:row>
    <x:row r="306">
      <x:c r="A306" t="str">
        <x:v>SYN0000305</x:v>
      </x:c>
      <x:c r="B306" s="12" t="n">
        <x:v>41815</x:v>
      </x:c>
      <x:c r="C306" s="18" t="n">
        <x:v>20591</x:v>
      </x:c>
      <x:c r="D306" s="18" t="n">
        <x:v>19584</x:v>
      </x:c>
      <x:c r="E306" s="18" t="n">
        <x:v>9.78</x:v>
      </x:c>
      <x:c r="F306" s="18" t="n">
        <x:v>10.16</x:v>
      </x:c>
      <x:c r="G306" t="n">
        <x:v>36</x:v>
      </x:c>
      <x:c r="H306" t="str">
        <x:v>C</x:v>
      </x:c>
      <x:c r="I306" t="str">
        <x:v>7-9 years</x:v>
      </x:c>
      <x:c r="J306" t="str">
        <x:v>OWN</x:v>
      </x:c>
      <x:c r="K306" t="str">
        <x:v>home_improvement</x:v>
      </x:c>
      <x:c r="L306" t="n">
        <x:v>0</x:v>
      </x:c>
      <x:c r="M306" t="n">
        <x:v>0</x:v>
      </x:c>
      <x:c r="N306" t="str">
        <x:v>Fully Paid</x:v>
      </x:c>
      <x:c r="O306" t="str">
        <x:f>IF(D306="","Unknown",IF(D306&lt;25000,"&lt;$25k",IF(D306&lt;50000,"$25k-$50k",IF(D306&lt;75000,"$50k-$75k",IF(D306&lt;100000,"$75k-$100k","$100k+")))))</x:f>
        <x:v>&lt;$25k</x:v>
      </x:c>
      <x:c r="P306" t="str">
        <x:f>IF(E306="","Unknown",IF(E306&lt;10,"&lt;10",IF(E306&lt;20,"10-&lt;20",IF(E306&lt;25,"20-&lt;25",IF(E306&lt;35,"25-&lt;35","35+")))))</x:f>
        <x:v>&lt;10</x:v>
      </x:c>
    </x:row>
    <x:row r="307">
      <x:c r="A307" t="str">
        <x:v>SYN0000306</x:v>
      </x:c>
      <x:c r="B307" s="12" t="n">
        <x:v>43345</x:v>
      </x:c>
      <x:c r="C307" s="18" t="n">
        <x:v>20200</x:v>
      </x:c>
      <x:c r="D307" s="18" t="n">
        <x:v>66718</x:v>
      </x:c>
      <x:c r="E307" s="18" t="n">
        <x:v>13.7</x:v>
      </x:c>
      <x:c r="F307" s="18" t="n">
        <x:v>13.01</x:v>
      </x:c>
      <x:c r="G307" t="n">
        <x:v>36</x:v>
      </x:c>
      <x:c r="H307" t="str">
        <x:v>D</x:v>
      </x:c>
      <x:c r="I307" t="str">
        <x:v>10+ years</x:v>
      </x:c>
      <x:c r="J307" t="str">
        <x:v>MORTGAGE</x:v>
      </x:c>
      <x:c r="K307" t="str">
        <x:v>other</x:v>
      </x:c>
      <x:c r="L307" t="n">
        <x:v>1</x:v>
      </x:c>
      <x:c r="M307" t="n">
        <x:v>1</x:v>
      </x:c>
      <x:c r="N307" t="str">
        <x:v>Charged Off</x:v>
      </x:c>
      <x:c r="O307" t="str">
        <x:f>IF(D307="","Unknown",IF(D307&lt;25000,"&lt;$25k",IF(D307&lt;50000,"$25k-$50k",IF(D307&lt;75000,"$50k-$75k",IF(D307&lt;100000,"$75k-$100k","$100k+")))))</x:f>
        <x:v>$50k-$75k</x:v>
      </x:c>
      <x:c r="P307" t="str">
        <x:f>IF(E307="","Unknown",IF(E307&lt;10,"&lt;10",IF(E307&lt;20,"10-&lt;20",IF(E307&lt;25,"20-&lt;25",IF(E307&lt;35,"25-&lt;35","35+")))))</x:f>
        <x:v>10-&lt;20</x:v>
      </x:c>
    </x:row>
    <x:row r="308">
      <x:c r="A308" t="str">
        <x:v>SYN0000307</x:v>
      </x:c>
      <x:c r="B308" s="12" t="n">
        <x:v>42775</x:v>
      </x:c>
      <x:c r="C308" s="18" t="n">
        <x:v>10657</x:v>
      </x:c>
      <x:c r="D308" s="18" t="n">
        <x:v>33361</x:v>
      </x:c>
      <x:c r="E308" s="18" t="n">
        <x:v>21.02</x:v>
      </x:c>
      <x:c r="F308" s="18" t="n">
        <x:v>12.96</x:v>
      </x:c>
      <x:c r="G308" t="n">
        <x:v>36</x:v>
      </x:c>
      <x:c r="H308" t="str">
        <x:v>C</x:v>
      </x:c>
      <x:c r="I308" t="str">
        <x:v>10+ years</x:v>
      </x:c>
      <x:c r="J308" t="str">
        <x:v>RENT</x:v>
      </x:c>
      <x:c r="K308" t="str">
        <x:v>credit_card</x:v>
      </x:c>
      <x:c r="L308" t="n">
        <x:v>1</x:v>
      </x:c>
      <x:c r="M308" t="n">
        <x:v>0</x:v>
      </x:c>
      <x:c r="N308" t="str">
        <x:v>Fully Paid</x:v>
      </x:c>
      <x:c r="O308" t="str">
        <x:f>IF(D308="","Unknown",IF(D308&lt;25000,"&lt;$25k",IF(D308&lt;50000,"$25k-$50k",IF(D308&lt;75000,"$50k-$75k",IF(D308&lt;100000,"$75k-$100k","$100k+")))))</x:f>
        <x:v>$25k-$50k</x:v>
      </x:c>
      <x:c r="P308" t="str">
        <x:f>IF(E308="","Unknown",IF(E308&lt;10,"&lt;10",IF(E308&lt;20,"10-&lt;20",IF(E308&lt;25,"20-&lt;25",IF(E308&lt;35,"25-&lt;35","35+")))))</x:f>
        <x:v>20-&lt;25</x:v>
      </x:c>
    </x:row>
    <x:row r="309">
      <x:c r="A309" t="str">
        <x:v>SYN0000308</x:v>
      </x:c>
      <x:c r="B309" s="12" t="n">
        <x:v>41845</x:v>
      </x:c>
      <x:c r="C309" s="18" t="n">
        <x:v>7870</x:v>
      </x:c>
      <x:c r="D309" s="18" t="n">
        <x:v>168212</x:v>
      </x:c>
      <x:c r="E309" s="18" t="n">
        <x:v>27.48</x:v>
      </x:c>
      <x:c r="F309" s="18" t="n">
        <x:v>13.14</x:v>
      </x:c>
      <x:c r="G309" t="n">
        <x:v>36</x:v>
      </x:c>
      <x:c r="H309" t="str">
        <x:v>C</x:v>
      </x:c>
      <x:c r="I309" t="str">
        <x:v>1-3 years</x:v>
      </x:c>
      <x:c r="J309" t="str">
        <x:v>MORTGAGE</x:v>
      </x:c>
      <x:c r="K309" t="str">
        <x:v>debt_consolidation</x:v>
      </x:c>
      <x:c r="L309" t="n">
        <x:v>1</x:v>
      </x:c>
      <x:c r="M309" t="n">
        <x:v>0</x:v>
      </x:c>
      <x:c r="N309" t="str">
        <x:v>Fully Paid</x:v>
      </x:c>
      <x:c r="O309" t="str">
        <x:f>IF(D309="","Unknown",IF(D309&lt;25000,"&lt;$25k",IF(D309&lt;50000,"$25k-$50k",IF(D309&lt;75000,"$50k-$75k",IF(D309&lt;100000,"$75k-$100k","$100k+")))))</x:f>
        <x:v>$100k+</x:v>
      </x:c>
      <x:c r="P309" t="str">
        <x:f>IF(E309="","Unknown",IF(E309&lt;10,"&lt;10",IF(E309&lt;20,"10-&lt;20",IF(E309&lt;25,"20-&lt;25",IF(E309&lt;35,"25-&lt;35","35+")))))</x:f>
        <x:v>25-&lt;35</x:v>
      </x:c>
    </x:row>
    <x:row r="310">
      <x:c r="A310" t="str">
        <x:v>SYN0000309</x:v>
      </x:c>
      <x:c r="B310" s="12" t="n">
        <x:v>42295</x:v>
      </x:c>
      <x:c r="C310" s="18" t="n">
        <x:v>8091</x:v>
      </x:c>
      <x:c r="D310" s="18" t="n">
        <x:v>37955</x:v>
      </x:c>
      <x:c r="E310" s="18" t="n">
        <x:v>10.24</x:v>
      </x:c>
      <x:c r="F310" s="18" t="n">
        <x:v>11.24</x:v>
      </x:c>
      <x:c r="G310" t="n">
        <x:v>36</x:v>
      </x:c>
      <x:c r="H310" t="str">
        <x:v>C</x:v>
      </x:c>
      <x:c r="I310" t="str">
        <x:v>1-3 years</x:v>
      </x:c>
      <x:c r="J310" t="str">
        <x:v>MORTGAGE</x:v>
      </x:c>
      <x:c r="K310" t="str">
        <x:v>credit_card</x:v>
      </x:c>
      <x:c r="L310" t="n">
        <x:v>0</x:v>
      </x:c>
      <x:c r="M310" t="n">
        <x:v>0</x:v>
      </x:c>
      <x:c r="N310" t="str">
        <x:v>Fully Paid</x:v>
      </x:c>
      <x:c r="O310" t="str">
        <x:f>IF(D310="","Unknown",IF(D310&lt;25000,"&lt;$25k",IF(D310&lt;50000,"$25k-$50k",IF(D310&lt;75000,"$50k-$75k",IF(D310&lt;100000,"$75k-$100k","$100k+")))))</x:f>
        <x:v>$25k-$50k</x:v>
      </x:c>
      <x:c r="P310" t="str">
        <x:f>IF(E310="","Unknown",IF(E310&lt;10,"&lt;10",IF(E310&lt;20,"10-&lt;20",IF(E310&lt;25,"20-&lt;25",IF(E310&lt;35,"25-&lt;35","35+")))))</x:f>
        <x:v>10-&lt;20</x:v>
      </x:c>
    </x:row>
    <x:row r="311">
      <x:c r="A311" t="str">
        <x:v>SYN0000310</x:v>
      </x:c>
      <x:c r="B311" s="12" t="n">
        <x:v>42115</x:v>
      </x:c>
      <x:c r="C311" s="18" t="n">
        <x:v>14953</x:v>
      </x:c>
      <x:c r="D311" s="18" t="n">
        <x:v>19955</x:v>
      </x:c>
      <x:c r="E311" s="18" t="n">
        <x:v>18.7</x:v>
      </x:c>
      <x:c r="F311" s="18" t="n">
        <x:v>12.1</x:v>
      </x:c>
      <x:c r="G311" t="n">
        <x:v>36</x:v>
      </x:c>
      <x:c r="H311" t="str">
        <x:v>C</x:v>
      </x:c>
      <x:c r="I311" t="str">
        <x:v>4-6 years</x:v>
      </x:c>
      <x:c r="J311" t="str">
        <x:v>RENT</x:v>
      </x:c>
      <x:c r="K311" t="str">
        <x:v>debt_consolidation</x:v>
      </x:c>
      <x:c r="L311" t="n">
        <x:v>0</x:v>
      </x:c>
      <x:c r="M311" t="n">
        <x:v>0</x:v>
      </x:c>
      <x:c r="N311" t="str">
        <x:v>Fully Paid</x:v>
      </x:c>
      <x:c r="O311" t="str">
        <x:f>IF(D311="","Unknown",IF(D311&lt;25000,"&lt;$25k",IF(D311&lt;50000,"$25k-$50k",IF(D311&lt;75000,"$50k-$75k",IF(D311&lt;100000,"$75k-$100k","$100k+")))))</x:f>
        <x:v>&lt;$25k</x:v>
      </x:c>
      <x:c r="P311" t="str">
        <x:f>IF(E311="","Unknown",IF(E311&lt;10,"&lt;10",IF(E311&lt;20,"10-&lt;20",IF(E311&lt;25,"20-&lt;25",IF(E311&lt;35,"25-&lt;35","35+")))))</x:f>
        <x:v>10-&lt;20</x:v>
      </x:c>
    </x:row>
    <x:row r="312">
      <x:c r="A312" t="str">
        <x:v>SYN0000311</x:v>
      </x:c>
      <x:c r="B312" s="12" t="n">
        <x:v>42475</x:v>
      </x:c>
      <x:c r="C312" s="18" t="n">
        <x:v>18854</x:v>
      </x:c>
      <x:c r="D312" s="18" t="n">
        <x:v>19838</x:v>
      </x:c>
      <x:c r="E312" s="18" t="n">
        <x:v>9.79</x:v>
      </x:c>
      <x:c r="F312" s="18" t="n">
        <x:v>12.79</x:v>
      </x:c>
      <x:c r="G312" t="n">
        <x:v>36</x:v>
      </x:c>
      <x:c r="H312" t="str">
        <x:v>D</x:v>
      </x:c>
      <x:c r="I312" t="str">
        <x:v>7-9 years</x:v>
      </x:c>
      <x:c r="J312" t="str">
        <x:v>MORTGAGE</x:v>
      </x:c>
      <x:c r="K312" t="str">
        <x:v>credit_card</x:v>
      </x:c>
      <x:c r="L312" t="n">
        <x:v>2</x:v>
      </x:c>
      <x:c r="M312" t="n">
        <x:v>1</x:v>
      </x:c>
      <x:c r="N312" t="str">
        <x:v>Charged Off</x:v>
      </x:c>
      <x:c r="O312" t="str">
        <x:f>IF(D312="","Unknown",IF(D312&lt;25000,"&lt;$25k",IF(D312&lt;50000,"$25k-$50k",IF(D312&lt;75000,"$50k-$75k",IF(D312&lt;100000,"$75k-$100k","$100k+")))))</x:f>
        <x:v>&lt;$25k</x:v>
      </x:c>
      <x:c r="P312" t="str">
        <x:f>IF(E312="","Unknown",IF(E312&lt;10,"&lt;10",IF(E312&lt;20,"10-&lt;20",IF(E312&lt;25,"20-&lt;25",IF(E312&lt;35,"25-&lt;35","35+")))))</x:f>
        <x:v>&lt;10</x:v>
      </x:c>
    </x:row>
    <x:row r="313">
      <x:c r="A313" t="str">
        <x:v>SYN0000312</x:v>
      </x:c>
      <x:c r="B313" s="12" t="n">
        <x:v>42955</x:v>
      </x:c>
      <x:c r="C313" s="18" t="n">
        <x:v>16791</x:v>
      </x:c>
      <x:c r="D313" s="18" t="n">
        <x:v>80923</x:v>
      </x:c>
      <x:c r="E313" s="18" t="n">
        <x:v>29.65</x:v>
      </x:c>
      <x:c r="F313" s="18" t="n">
        <x:v>10.65</x:v>
      </x:c>
      <x:c r="G313" t="n">
        <x:v>36</x:v>
      </x:c>
      <x:c r="H313" t="str">
        <x:v>C</x:v>
      </x:c>
      <x:c r="I313" t="str">
        <x:v>10+ years</x:v>
      </x:c>
      <x:c r="J313" t="str">
        <x:v>RENT</x:v>
      </x:c>
      <x:c r="K313" t="str">
        <x:v>other</x:v>
      </x:c>
      <x:c r="L313" t="n">
        <x:v>0</x:v>
      </x:c>
      <x:c r="M313" t="n">
        <x:v>0</x:v>
      </x:c>
      <x:c r="N313" t="str">
        <x:v>Fully Paid</x:v>
      </x:c>
      <x:c r="O313" t="str">
        <x:f>IF(D313="","Unknown",IF(D313&lt;25000,"&lt;$25k",IF(D313&lt;50000,"$25k-$50k",IF(D313&lt;75000,"$50k-$75k",IF(D313&lt;100000,"$75k-$100k","$100k+")))))</x:f>
        <x:v>$75k-$100k</x:v>
      </x:c>
      <x:c r="P313" t="str">
        <x:f>IF(E313="","Unknown",IF(E313&lt;10,"&lt;10",IF(E313&lt;20,"10-&lt;20",IF(E313&lt;25,"20-&lt;25",IF(E313&lt;35,"25-&lt;35","35+")))))</x:f>
        <x:v>25-&lt;35</x:v>
      </x:c>
    </x:row>
    <x:row r="314">
      <x:c r="A314" t="str">
        <x:v>SYN0000313</x:v>
      </x:c>
      <x:c r="B314" s="12" t="n">
        <x:v>42145</x:v>
      </x:c>
      <x:c r="C314" s="18" t="n">
        <x:v>24773</x:v>
      </x:c>
      <x:c r="D314" s="18" t="n">
        <x:v>50726</x:v>
      </x:c>
      <x:c r="E314" s="18" t="n">
        <x:v>27.31</x:v>
      </x:c>
      <x:c r="F314" s="18" t="n">
        <x:v>25.34</x:v>
      </x:c>
      <x:c r="G314" t="n">
        <x:v>36</x:v>
      </x:c>
      <x:c r="H314" t="str">
        <x:v>F</x:v>
      </x:c>
      <x:c r="I314" t="str">
        <x:v>7-9 years</x:v>
      </x:c>
      <x:c r="J314" t="str">
        <x:v>MORTGAGE</x:v>
      </x:c>
      <x:c r="K314" t="str">
        <x:v>other</x:v>
      </x:c>
      <x:c r="L314" t="n">
        <x:v>0</x:v>
      </x:c>
      <x:c r="M314" t="n">
        <x:v>0</x:v>
      </x:c>
      <x:c r="N314" t="str">
        <x:v>Fully Paid</x:v>
      </x:c>
      <x:c r="O314" t="str">
        <x:f>IF(D314="","Unknown",IF(D314&lt;25000,"&lt;$25k",IF(D314&lt;50000,"$25k-$50k",IF(D314&lt;75000,"$50k-$75k",IF(D314&lt;100000,"$75k-$100k","$100k+")))))</x:f>
        <x:v>$50k-$75k</x:v>
      </x:c>
      <x:c r="P314" t="str">
        <x:f>IF(E314="","Unknown",IF(E314&lt;10,"&lt;10",IF(E314&lt;20,"10-&lt;20",IF(E314&lt;25,"20-&lt;25",IF(E314&lt;35,"25-&lt;35","35+")))))</x:f>
        <x:v>25-&lt;35</x:v>
      </x:c>
    </x:row>
    <x:row r="315">
      <x:c r="A315" t="str">
        <x:v>SYN0000314</x:v>
      </x:c>
      <x:c r="B315" s="12" t="n">
        <x:v>41575</x:v>
      </x:c>
      <x:c r="C315" s="18" t="n">
        <x:v>20406</x:v>
      </x:c>
      <x:c r="D315" s="18" t="n">
        <x:v>35769</x:v>
      </x:c>
      <x:c r="E315" s="18" t="n">
        <x:v>17.29</x:v>
      </x:c>
      <x:c r="F315" s="18" t="n">
        <x:v>10.8</x:v>
      </x:c>
      <x:c r="G315" t="n">
        <x:v>60</x:v>
      </x:c>
      <x:c r="H315" t="str">
        <x:v>C</x:v>
      </x:c>
      <x:c r="I315" t="str">
        <x:v>10+ years</x:v>
      </x:c>
      <x:c r="J315" t="str">
        <x:v>MORTGAGE</x:v>
      </x:c>
      <x:c r="K315" t="str">
        <x:v>debt_consolidation</x:v>
      </x:c>
      <x:c r="L315" t="n">
        <x:v>2</x:v>
      </x:c>
      <x:c r="M315" t="n">
        <x:v>0</x:v>
      </x:c>
      <x:c r="N315" t="str">
        <x:v>Fully Paid</x:v>
      </x:c>
      <x:c r="O315" t="str">
        <x:f>IF(D315="","Unknown",IF(D315&lt;25000,"&lt;$25k",IF(D315&lt;50000,"$25k-$50k",IF(D315&lt;75000,"$50k-$75k",IF(D315&lt;100000,"$75k-$100k","$100k+")))))</x:f>
        <x:v>$25k-$50k</x:v>
      </x:c>
      <x:c r="P315" t="str">
        <x:f>IF(E315="","Unknown",IF(E315&lt;10,"&lt;10",IF(E315&lt;20,"10-&lt;20",IF(E315&lt;25,"20-&lt;25",IF(E315&lt;35,"25-&lt;35","35+")))))</x:f>
        <x:v>10-&lt;20</x:v>
      </x:c>
    </x:row>
    <x:row r="316">
      <x:c r="A316" t="str">
        <x:v>SYN0000315</x:v>
      </x:c>
      <x:c r="B316" s="12" t="n">
        <x:v>41905</x:v>
      </x:c>
      <x:c r="C316" s="18" t="n">
        <x:v>10570</x:v>
      </x:c>
      <x:c r="D316" s="18" t="n">
        <x:v>78947</x:v>
      </x:c>
      <x:c r="E316" s="18" t="n">
        <x:v>24.15</x:v>
      </x:c>
      <x:c r="F316" s="18" t="n">
        <x:v>11.77</x:v>
      </x:c>
      <x:c r="G316" t="n">
        <x:v>36</x:v>
      </x:c>
      <x:c r="H316" t="str">
        <x:v>D</x:v>
      </x:c>
      <x:c r="I316" t="str">
        <x:v>4-6 years</x:v>
      </x:c>
      <x:c r="J316" t="str">
        <x:v>MORTGAGE</x:v>
      </x:c>
      <x:c r="K316" t="str">
        <x:v>credit_card</x:v>
      </x:c>
      <x:c r="L316" t="n">
        <x:v>0</x:v>
      </x:c>
      <x:c r="M316" t="n">
        <x:v>1</x:v>
      </x:c>
      <x:c r="N316" t="str">
        <x:v>Charged Off</x:v>
      </x:c>
      <x:c r="O316" t="str">
        <x:f>IF(D316="","Unknown",IF(D316&lt;25000,"&lt;$25k",IF(D316&lt;50000,"$25k-$50k",IF(D316&lt;75000,"$50k-$75k",IF(D316&lt;100000,"$75k-$100k","$100k+")))))</x:f>
        <x:v>$75k-$100k</x:v>
      </x:c>
      <x:c r="P316" t="str">
        <x:f>IF(E316="","Unknown",IF(E316&lt;10,"&lt;10",IF(E316&lt;20,"10-&lt;20",IF(E316&lt;25,"20-&lt;25",IF(E316&lt;35,"25-&lt;35","35+")))))</x:f>
        <x:v>20-&lt;25</x:v>
      </x:c>
    </x:row>
    <x:row r="317">
      <x:c r="A317" t="str">
        <x:v>SYN0000316</x:v>
      </x:c>
      <x:c r="B317" s="12" t="n">
        <x:v>43045</x:v>
      </x:c>
      <x:c r="C317" s="18" t="n">
        <x:v>16156</x:v>
      </x:c>
      <x:c r="D317" s="18" t="n">
        <x:v>33034</x:v>
      </x:c>
      <x:c r="E317" s="18" t="n">
        <x:v>7.65</x:v>
      </x:c>
      <x:c r="F317" s="18" t="n">
        <x:v>9.76</x:v>
      </x:c>
      <x:c r="G317" t="n">
        <x:v>36</x:v>
      </x:c>
      <x:c r="H317" t="str">
        <x:v>B</x:v>
      </x:c>
      <x:c r="I317" t="str">
        <x:v>1-3 years</x:v>
      </x:c>
      <x:c r="J317" t="str">
        <x:v>MORTGAGE</x:v>
      </x:c>
      <x:c r="K317" t="str">
        <x:v>debt_consolidation</x:v>
      </x:c>
      <x:c r="L317" t="n">
        <x:v>0</x:v>
      </x:c>
      <x:c r="M317" t="n">
        <x:v>0</x:v>
      </x:c>
      <x:c r="N317" t="str">
        <x:v>Fully Paid</x:v>
      </x:c>
      <x:c r="O317" t="str">
        <x:f>IF(D317="","Unknown",IF(D317&lt;25000,"&lt;$25k",IF(D317&lt;50000,"$25k-$50k",IF(D317&lt;75000,"$50k-$75k",IF(D317&lt;100000,"$75k-$100k","$100k+")))))</x:f>
        <x:v>$25k-$50k</x:v>
      </x:c>
      <x:c r="P317" t="str">
        <x:f>IF(E317="","Unknown",IF(E317&lt;10,"&lt;10",IF(E317&lt;20,"10-&lt;20",IF(E317&lt;25,"20-&lt;25",IF(E317&lt;35,"25-&lt;35","35+")))))</x:f>
        <x:v>&lt;10</x:v>
      </x:c>
    </x:row>
    <x:row r="318">
      <x:c r="A318" t="str">
        <x:v>SYN0000317</x:v>
      </x:c>
      <x:c r="B318" s="12" t="n">
        <x:v>42325</x:v>
      </x:c>
      <x:c r="C318" s="18" t="n">
        <x:v>6377</x:v>
      </x:c>
      <x:c r="D318" s="18" t="n">
        <x:v>109280</x:v>
      </x:c>
      <x:c r="E318" s="18" t="n">
        <x:v>15.51</x:v>
      </x:c>
      <x:c r="F318" s="18" t="n">
        <x:v>10.77</x:v>
      </x:c>
      <x:c r="G318" t="n">
        <x:v>36</x:v>
      </x:c>
      <x:c r="H318" t="str">
        <x:v>C</x:v>
      </x:c>
      <x:c r="I318" t="str">
        <x:v>10+ years</x:v>
      </x:c>
      <x:c r="J318" t="str">
        <x:v>OWN</x:v>
      </x:c>
      <x:c r="K318" t="str">
        <x:v>credit_card</x:v>
      </x:c>
      <x:c r="L318" t="n">
        <x:v>1</x:v>
      </x:c>
      <x:c r="M318" t="n">
        <x:v>0</x:v>
      </x:c>
      <x:c r="N318" t="str">
        <x:v>Fully Paid</x:v>
      </x:c>
      <x:c r="O318" t="str">
        <x:f>IF(D318="","Unknown",IF(D318&lt;25000,"&lt;$25k",IF(D318&lt;50000,"$25k-$50k",IF(D318&lt;75000,"$50k-$75k",IF(D318&lt;100000,"$75k-$100k","$100k+")))))</x:f>
        <x:v>$100k+</x:v>
      </x:c>
      <x:c r="P318" t="str">
        <x:f>IF(E318="","Unknown",IF(E318&lt;10,"&lt;10",IF(E318&lt;20,"10-&lt;20",IF(E318&lt;25,"20-&lt;25",IF(E318&lt;35,"25-&lt;35","35+")))))</x:f>
        <x:v>10-&lt;20</x:v>
      </x:c>
    </x:row>
    <x:row r="319">
      <x:c r="A319" t="str">
        <x:v>SYN0000318</x:v>
      </x:c>
      <x:c r="B319" s="12" t="n">
        <x:v>42145</x:v>
      </x:c>
      <x:c r="C319" s="18" t="n">
        <x:v>11817</x:v>
      </x:c>
      <x:c r="D319" s="18" t="n">
        <x:v>35888</x:v>
      </x:c>
      <x:c r="E319" s="18" t="n">
        <x:v>5.33</x:v>
      </x:c>
      <x:c r="F319" s="18" t="n">
        <x:v>9.54</x:v>
      </x:c>
      <x:c r="G319" t="n">
        <x:v>36</x:v>
      </x:c>
      <x:c r="H319" t="str">
        <x:v>B</x:v>
      </x:c>
      <x:c r="I319" t="str">
        <x:v>1-3 years</x:v>
      </x:c>
      <x:c r="J319" t="str">
        <x:v>RENT</x:v>
      </x:c>
      <x:c r="K319" t="str">
        <x:v>credit_card</x:v>
      </x:c>
      <x:c r="L319" t="n">
        <x:v>0</x:v>
      </x:c>
      <x:c r="M319" t="n">
        <x:v>0</x:v>
      </x:c>
      <x:c r="N319" t="str">
        <x:v>Fully Paid</x:v>
      </x:c>
      <x:c r="O319" t="str">
        <x:f>IF(D319="","Unknown",IF(D319&lt;25000,"&lt;$25k",IF(D319&lt;50000,"$25k-$50k",IF(D319&lt;75000,"$50k-$75k",IF(D319&lt;100000,"$75k-$100k","$100k+")))))</x:f>
        <x:v>$25k-$50k</x:v>
      </x:c>
      <x:c r="P319" t="str">
        <x:f>IF(E319="","Unknown",IF(E319&lt;10,"&lt;10",IF(E319&lt;20,"10-&lt;20",IF(E319&lt;25,"20-&lt;25",IF(E319&lt;35,"25-&lt;35","35+")))))</x:f>
        <x:v>&lt;10</x:v>
      </x:c>
    </x:row>
    <x:row r="320">
      <x:c r="A320" t="str">
        <x:v>SYN0000319</x:v>
      </x:c>
      <x:c r="B320" s="12" t="n">
        <x:v>42235</x:v>
      </x:c>
      <x:c r="C320" s="18" t="n">
        <x:v>14114</x:v>
      </x:c>
      <x:c r="D320" s="18" t="n">
        <x:v>51042</x:v>
      </x:c>
      <x:c r="E320" s="18" t="n">
        <x:v>8.48</x:v>
      </x:c>
      <x:c r="F320" s="18" t="n">
        <x:v>16.09</x:v>
      </x:c>
      <x:c r="G320" t="n">
        <x:v>36</x:v>
      </x:c>
      <x:c r="H320" t="str">
        <x:v>E</x:v>
      </x:c>
      <x:c r="I320" t="str">
        <x:v>&lt;1 year</x:v>
      </x:c>
      <x:c r="J320" t="str">
        <x:v>MORTGAGE</x:v>
      </x:c>
      <x:c r="K320" t="str">
        <x:v>home_improvement</x:v>
      </x:c>
      <x:c r="L320" t="n">
        <x:v>1</x:v>
      </x:c>
      <x:c r="M320" t="n">
        <x:v>0</x:v>
      </x:c>
      <x:c r="N320" t="str">
        <x:v>Fully Paid</x:v>
      </x:c>
      <x:c r="O320" t="str">
        <x:f>IF(D320="","Unknown",IF(D320&lt;25000,"&lt;$25k",IF(D320&lt;50000,"$25k-$50k",IF(D320&lt;75000,"$50k-$75k",IF(D320&lt;100000,"$75k-$100k","$100k+")))))</x:f>
        <x:v>$50k-$75k</x:v>
      </x:c>
      <x:c r="P320" t="str">
        <x:f>IF(E320="","Unknown",IF(E320&lt;10,"&lt;10",IF(E320&lt;20,"10-&lt;20",IF(E320&lt;25,"20-&lt;25",IF(E320&lt;35,"25-&lt;35","35+")))))</x:f>
        <x:v>&lt;10</x:v>
      </x:c>
    </x:row>
    <x:row r="321">
      <x:c r="A321" t="str">
        <x:v>SYN0000320</x:v>
      </x:c>
      <x:c r="B321" s="12" t="n">
        <x:v>42145</x:v>
      </x:c>
      <x:c r="C321" s="18" t="n">
        <x:v>14612</x:v>
      </x:c>
      <x:c r="D321" s="18" t="n">
        <x:v>105156</x:v>
      </x:c>
      <x:c r="E321" s="18" t="n">
        <x:v>21.51</x:v>
      </x:c>
      <x:c r="F321" s="18" t="n">
        <x:v>6.98</x:v>
      </x:c>
      <x:c r="G321" t="n">
        <x:v>60</x:v>
      </x:c>
      <x:c r="H321" t="str">
        <x:v>B</x:v>
      </x:c>
      <x:c r="I321" t="str">
        <x:v>10+ years</x:v>
      </x:c>
      <x:c r="J321" t="str">
        <x:v>RENT</x:v>
      </x:c>
      <x:c r="K321" t="str">
        <x:v>debt_consolidation</x:v>
      </x:c>
      <x:c r="L321" t="n">
        <x:v>1</x:v>
      </x:c>
      <x:c r="M321" t="n">
        <x:v>0</x:v>
      </x:c>
      <x:c r="N321" t="str">
        <x:v>Fully Paid</x:v>
      </x:c>
      <x:c r="O321" t="str">
        <x:f>IF(D321="","Unknown",IF(D321&lt;25000,"&lt;$25k",IF(D321&lt;50000,"$25k-$50k",IF(D321&lt;75000,"$50k-$75k",IF(D321&lt;100000,"$75k-$100k","$100k+")))))</x:f>
        <x:v>$100k+</x:v>
      </x:c>
      <x:c r="P321" t="str">
        <x:f>IF(E321="","Unknown",IF(E321&lt;10,"&lt;10",IF(E321&lt;20,"10-&lt;20",IF(E321&lt;25,"20-&lt;25",IF(E321&lt;35,"25-&lt;35","35+")))))</x:f>
        <x:v>20-&lt;25</x:v>
      </x:c>
    </x:row>
    <x:row r="322">
      <x:c r="A322" t="str">
        <x:v>SYN0000321</x:v>
      </x:c>
      <x:c r="B322" s="12" t="n">
        <x:v>42625</x:v>
      </x:c>
      <x:c r="C322" s="18" t="n">
        <x:v>13277</x:v>
      </x:c>
      <x:c r="D322" s="18" t="n">
        <x:v>34564</x:v>
      </x:c>
      <x:c r="E322" s="18" t="n">
        <x:v>27.68</x:v>
      </x:c>
      <x:c r="F322" s="18" t="n">
        <x:v>12.07</x:v>
      </x:c>
      <x:c r="G322" t="n">
        <x:v>36</x:v>
      </x:c>
      <x:c r="H322" t="str">
        <x:v>D</x:v>
      </x:c>
      <x:c r="I322" t="str">
        <x:v>7-9 years</x:v>
      </x:c>
      <x:c r="J322" t="str">
        <x:v>RENT</x:v>
      </x:c>
      <x:c r="K322" t="str">
        <x:v>debt_consolidation</x:v>
      </x:c>
      <x:c r="L322" t="n">
        <x:v>0</x:v>
      </x:c>
      <x:c r="M322" t="n">
        <x:v>1</x:v>
      </x:c>
      <x:c r="N322" t="str">
        <x:v>Charged Off</x:v>
      </x:c>
      <x:c r="O322" t="str">
        <x:f>IF(D322="","Unknown",IF(D322&lt;25000,"&lt;$25k",IF(D322&lt;50000,"$25k-$50k",IF(D322&lt;75000,"$50k-$75k",IF(D322&lt;100000,"$75k-$100k","$100k+")))))</x:f>
        <x:v>$25k-$50k</x:v>
      </x:c>
      <x:c r="P322" t="str">
        <x:f>IF(E322="","Unknown",IF(E322&lt;10,"&lt;10",IF(E322&lt;20,"10-&lt;20",IF(E322&lt;25,"20-&lt;25",IF(E322&lt;35,"25-&lt;35","35+")))))</x:f>
        <x:v>25-&lt;35</x:v>
      </x:c>
    </x:row>
    <x:row r="323">
      <x:c r="A323" t="str">
        <x:v>SYN0000322</x:v>
      </x:c>
      <x:c r="B323" s="12" t="n">
        <x:v>41725</x:v>
      </x:c>
      <x:c r="C323" s="18" t="n">
        <x:v>12120</x:v>
      </x:c>
      <x:c r="D323" s="18" t="n">
        <x:v>44986</x:v>
      </x:c>
      <x:c r="E323" s="18" t="n">
        <x:v>21.15</x:v>
      </x:c>
      <x:c r="F323" s="18" t="n">
        <x:v>12.39</x:v>
      </x:c>
      <x:c r="G323" t="n">
        <x:v>60</x:v>
      </x:c>
      <x:c r="H323" t="str">
        <x:v>C</x:v>
      </x:c>
      <x:c r="I323" t="str">
        <x:v>4-6 years</x:v>
      </x:c>
      <x:c r="J323" t="str">
        <x:v>MORTGAGE</x:v>
      </x:c>
      <x:c r="K323" t="str">
        <x:v>debt_consolidation</x:v>
      </x:c>
      <x:c r="L323" t="n">
        <x:v>0</x:v>
      </x:c>
      <x:c r="M323" t="n">
        <x:v>0</x:v>
      </x:c>
      <x:c r="N323" t="str">
        <x:v>Fully Paid</x:v>
      </x:c>
      <x:c r="O323" t="str">
        <x:f>IF(D323="","Unknown",IF(D323&lt;25000,"&lt;$25k",IF(D323&lt;50000,"$25k-$50k",IF(D323&lt;75000,"$50k-$75k",IF(D323&lt;100000,"$75k-$100k","$100k+")))))</x:f>
        <x:v>$25k-$50k</x:v>
      </x:c>
      <x:c r="P323" t="str">
        <x:f>IF(E323="","Unknown",IF(E323&lt;10,"&lt;10",IF(E323&lt;20,"10-&lt;20",IF(E323&lt;25,"20-&lt;25",IF(E323&lt;35,"25-&lt;35","35+")))))</x:f>
        <x:v>20-&lt;25</x:v>
      </x:c>
    </x:row>
    <x:row r="324">
      <x:c r="A324" t="str">
        <x:v>SYN0000323</x:v>
      </x:c>
      <x:c r="B324" s="12" t="n">
        <x:v>41755</x:v>
      </x:c>
      <x:c r="C324" s="18" t="n">
        <x:v>16440</x:v>
      </x:c>
      <x:c r="D324" s="18" t="n">
        <x:v>73054</x:v>
      </x:c>
      <x:c r="E324" s="18" t="n">
        <x:v>24.8</x:v>
      </x:c>
      <x:c r="F324" s="18" t="n">
        <x:v>10.36</x:v>
      </x:c>
      <x:c r="G324" t="n">
        <x:v>36</x:v>
      </x:c>
      <x:c r="H324" t="str">
        <x:v>C</x:v>
      </x:c>
      <x:c r="I324" t="str">
        <x:v>7-9 years</x:v>
      </x:c>
      <x:c r="J324" t="str">
        <x:v>RENT</x:v>
      </x:c>
      <x:c r="K324" t="str">
        <x:v>debt_consolidation</x:v>
      </x:c>
      <x:c r="L324" t="n">
        <x:v>0</x:v>
      </x:c>
      <x:c r="M324" t="n">
        <x:v>0</x:v>
      </x:c>
      <x:c r="N324" t="str">
        <x:v>Fully Paid</x:v>
      </x:c>
      <x:c r="O324" t="str">
        <x:f>IF(D324="","Unknown",IF(D324&lt;25000,"&lt;$25k",IF(D324&lt;50000,"$25k-$50k",IF(D324&lt;75000,"$50k-$75k",IF(D324&lt;100000,"$75k-$100k","$100k+")))))</x:f>
        <x:v>$50k-$75k</x:v>
      </x:c>
      <x:c r="P324" t="str">
        <x:f>IF(E324="","Unknown",IF(E324&lt;10,"&lt;10",IF(E324&lt;20,"10-&lt;20",IF(E324&lt;25,"20-&lt;25",IF(E324&lt;35,"25-&lt;35","35+")))))</x:f>
        <x:v>20-&lt;25</x:v>
      </x:c>
    </x:row>
    <x:row r="325">
      <x:c r="A325" t="str">
        <x:v>SYN0000324</x:v>
      </x:c>
      <x:c r="B325" s="12" t="n">
        <x:v>43375</x:v>
      </x:c>
      <x:c r="C325" s="18" t="n">
        <x:v>8939</x:v>
      </x:c>
      <x:c r="D325" s="18" t="n">
        <x:v>39535</x:v>
      </x:c>
      <x:c r="E325" s="18" t="n">
        <x:v>27.98</x:v>
      </x:c>
      <x:c r="F325" s="18" t="n">
        <x:v>11.65</x:v>
      </x:c>
      <x:c r="G325" t="n">
        <x:v>36</x:v>
      </x:c>
      <x:c r="H325" t="str">
        <x:v>B</x:v>
      </x:c>
      <x:c r="I325" t="str">
        <x:v>1-3 years</x:v>
      </x:c>
      <x:c r="J325" t="str">
        <x:v>RENT</x:v>
      </x:c>
      <x:c r="K325" t="str">
        <x:v>debt_consolidation</x:v>
      </x:c>
      <x:c r="L325" t="n">
        <x:v>0</x:v>
      </x:c>
      <x:c r="M325" t="n">
        <x:v>0</x:v>
      </x:c>
      <x:c r="N325" t="str">
        <x:v>Fully Paid</x:v>
      </x:c>
      <x:c r="O325" t="str">
        <x:f>IF(D325="","Unknown",IF(D325&lt;25000,"&lt;$25k",IF(D325&lt;50000,"$25k-$50k",IF(D325&lt;75000,"$50k-$75k",IF(D325&lt;100000,"$75k-$100k","$100k+")))))</x:f>
        <x:v>$25k-$50k</x:v>
      </x:c>
      <x:c r="P325" t="str">
        <x:f>IF(E325="","Unknown",IF(E325&lt;10,"&lt;10",IF(E325&lt;20,"10-&lt;20",IF(E325&lt;25,"20-&lt;25",IF(E325&lt;35,"25-&lt;35","35+")))))</x:f>
        <x:v>25-&lt;35</x:v>
      </x:c>
    </x:row>
    <x:row r="326">
      <x:c r="A326" t="str">
        <x:v>SYN0000325</x:v>
      </x:c>
      <x:c r="B326" s="12" t="n">
        <x:v>43105</x:v>
      </x:c>
      <x:c r="C326" s="18" t="n">
        <x:v>11066</x:v>
      </x:c>
      <x:c r="D326" s="18" t="n">
        <x:v>116159</x:v>
      </x:c>
      <x:c r="E326" s="18" t="n">
        <x:v>2.01</x:v>
      </x:c>
      <x:c r="F326" s="18" t="n">
        <x:v>5</x:v>
      </x:c>
      <x:c r="G326" t="n">
        <x:v>36</x:v>
      </x:c>
      <x:c r="H326" t="str">
        <x:v>B</x:v>
      </x:c>
      <x:c r="I326" t="str">
        <x:v>10+ years</x:v>
      </x:c>
      <x:c r="J326" t="str">
        <x:v>RENT</x:v>
      </x:c>
      <x:c r="K326" t="str">
        <x:v>debt_consolidation</x:v>
      </x:c>
      <x:c r="L326" t="n">
        <x:v>0</x:v>
      </x:c>
      <x:c r="M326" t="n">
        <x:v>0</x:v>
      </x:c>
      <x:c r="N326" t="str">
        <x:v>Fully Paid</x:v>
      </x:c>
      <x:c r="O326" t="str">
        <x:f>IF(D326="","Unknown",IF(D326&lt;25000,"&lt;$25k",IF(D326&lt;50000,"$25k-$50k",IF(D326&lt;75000,"$50k-$75k",IF(D326&lt;100000,"$75k-$100k","$100k+")))))</x:f>
        <x:v>$100k+</x:v>
      </x:c>
      <x:c r="P326" t="str">
        <x:f>IF(E326="","Unknown",IF(E326&lt;10,"&lt;10",IF(E326&lt;20,"10-&lt;20",IF(E326&lt;25,"20-&lt;25",IF(E326&lt;35,"25-&lt;35","35+")))))</x:f>
        <x:v>&lt;10</x:v>
      </x:c>
    </x:row>
    <x:row r="327">
      <x:c r="A327" t="str">
        <x:v>SYN0000326</x:v>
      </x:c>
      <x:c r="B327" s="12" t="n">
        <x:v>41605</x:v>
      </x:c>
      <x:c r="C327" s="18" t="n">
        <x:v>14317</x:v>
      </x:c>
      <x:c r="D327" s="18" t="n">
        <x:v>156596</x:v>
      </x:c>
      <x:c r="E327" s="18" t="n">
        <x:v>14.02</x:v>
      </x:c>
      <x:c r="F327" s="18" t="n">
        <x:v>5.6</x:v>
      </x:c>
      <x:c r="G327" t="n">
        <x:v>60</x:v>
      </x:c>
      <x:c r="H327" t="str">
        <x:v>A</x:v>
      </x:c>
      <x:c r="I327" t="str">
        <x:v>1-3 years</x:v>
      </x:c>
      <x:c r="J327" t="str">
        <x:v>MORTGAGE</x:v>
      </x:c>
      <x:c r="K327" t="str">
        <x:v>debt_consolidation</x:v>
      </x:c>
      <x:c r="L327" t="n">
        <x:v>0</x:v>
      </x:c>
      <x:c r="M327" t="n">
        <x:v>0</x:v>
      </x:c>
      <x:c r="N327" t="str">
        <x:v>Fully Paid</x:v>
      </x:c>
      <x:c r="O327" t="str">
        <x:f>IF(D327="","Unknown",IF(D327&lt;25000,"&lt;$25k",IF(D327&lt;50000,"$25k-$50k",IF(D327&lt;75000,"$50k-$75k",IF(D327&lt;100000,"$75k-$100k","$100k+")))))</x:f>
        <x:v>$100k+</x:v>
      </x:c>
      <x:c r="P327" t="str">
        <x:f>IF(E327="","Unknown",IF(E327&lt;10,"&lt;10",IF(E327&lt;20,"10-&lt;20",IF(E327&lt;25,"20-&lt;25",IF(E327&lt;35,"25-&lt;35","35+")))))</x:f>
        <x:v>10-&lt;20</x:v>
      </x:c>
    </x:row>
    <x:row r="328">
      <x:c r="A328" t="str">
        <x:v>SYN0000327</x:v>
      </x:c>
      <x:c r="B328" s="12" t="n">
        <x:v>42715</x:v>
      </x:c>
      <x:c r="C328" s="18" t="n">
        <x:v>25312</x:v>
      </x:c>
      <x:c r="D328" s="18" t="n">
        <x:v>83299</x:v>
      </x:c>
      <x:c r="E328" s="18" t="n">
        <x:v>14</x:v>
      </x:c>
      <x:c r="F328" s="18" t="n">
        <x:v>12.21</x:v>
      </x:c>
      <x:c r="G328" t="n">
        <x:v>60</x:v>
      </x:c>
      <x:c r="H328" t="str">
        <x:v>C</x:v>
      </x:c>
      <x:c r="I328" t="str">
        <x:v>4-6 years</x:v>
      </x:c>
      <x:c r="J328" t="str">
        <x:v>RENT</x:v>
      </x:c>
      <x:c r="K328" t="str">
        <x:v>credit_card</x:v>
      </x:c>
      <x:c r="L328" t="n">
        <x:v>0</x:v>
      </x:c>
      <x:c r="M328" t="n">
        <x:v>0</x:v>
      </x:c>
      <x:c r="N328" t="str">
        <x:v>Fully Paid</x:v>
      </x:c>
      <x:c r="O328" t="str">
        <x:f>IF(D328="","Unknown",IF(D328&lt;25000,"&lt;$25k",IF(D328&lt;50000,"$25k-$50k",IF(D328&lt;75000,"$50k-$75k",IF(D328&lt;100000,"$75k-$100k","$100k+")))))</x:f>
        <x:v>$75k-$100k</x:v>
      </x:c>
      <x:c r="P328" t="str">
        <x:f>IF(E328="","Unknown",IF(E328&lt;10,"&lt;10",IF(E328&lt;20,"10-&lt;20",IF(E328&lt;25,"20-&lt;25",IF(E328&lt;35,"25-&lt;35","35+")))))</x:f>
        <x:v>10-&lt;20</x:v>
      </x:c>
    </x:row>
    <x:row r="329">
      <x:c r="A329" t="str">
        <x:v>SYN0000328</x:v>
      </x:c>
      <x:c r="B329" s="12" t="n">
        <x:v>41695</x:v>
      </x:c>
      <x:c r="C329" s="18" t="n">
        <x:v>17479</x:v>
      </x:c>
      <x:c r="D329" s="18" t="n">
        <x:v>17555</x:v>
      </x:c>
      <x:c r="E329" s="18" t="n">
        <x:v>26.87</x:v>
      </x:c>
      <x:c r="F329" s="18" t="n">
        <x:v>19.66</x:v>
      </x:c>
      <x:c r="G329" t="n">
        <x:v>60</x:v>
      </x:c>
      <x:c r="H329" t="str">
        <x:v>E</x:v>
      </x:c>
      <x:c r="I329" t="str">
        <x:v>7-9 years</x:v>
      </x:c>
      <x:c r="J329" t="str">
        <x:v>MORTGAGE</x:v>
      </x:c>
      <x:c r="K329" t="str">
        <x:v>debt_consolidation</x:v>
      </x:c>
      <x:c r="L329" t="n">
        <x:v>2</x:v>
      </x:c>
      <x:c r="M329" t="n">
        <x:v>0</x:v>
      </x:c>
      <x:c r="N329" t="str">
        <x:v>Fully Paid</x:v>
      </x:c>
      <x:c r="O329" t="str">
        <x:f>IF(D329="","Unknown",IF(D329&lt;25000,"&lt;$25k",IF(D329&lt;50000,"$25k-$50k",IF(D329&lt;75000,"$50k-$75k",IF(D329&lt;100000,"$75k-$100k","$100k+")))))</x:f>
        <x:v>&lt;$25k</x:v>
      </x:c>
      <x:c r="P329" t="str">
        <x:f>IF(E329="","Unknown",IF(E329&lt;10,"&lt;10",IF(E329&lt;20,"10-&lt;20",IF(E329&lt;25,"20-&lt;25",IF(E329&lt;35,"25-&lt;35","35+")))))</x:f>
        <x:v>25-&lt;35</x:v>
      </x:c>
    </x:row>
    <x:row r="330">
      <x:c r="A330" t="str">
        <x:v>SYN0000329</x:v>
      </x:c>
      <x:c r="B330" s="12" t="n">
        <x:v>43225</x:v>
      </x:c>
      <x:c r="C330" s="18" t="n">
        <x:v>14087</x:v>
      </x:c>
      <x:c r="D330" s="18" t="n">
        <x:v>35521</x:v>
      </x:c>
      <x:c r="E330" s="18" t="n">
        <x:v>19.59</x:v>
      </x:c>
      <x:c r="F330" s="18" t="n">
        <x:v>8.03</x:v>
      </x:c>
      <x:c r="G330" t="n">
        <x:v>36</x:v>
      </x:c>
      <x:c r="H330" t="str">
        <x:v>A</x:v>
      </x:c>
      <x:c r="I330" t="str">
        <x:v>10+ years</x:v>
      </x:c>
      <x:c r="J330" t="str">
        <x:v>MORTGAGE</x:v>
      </x:c>
      <x:c r="K330" t="str">
        <x:v>home_improvement</x:v>
      </x:c>
      <x:c r="L330" t="n">
        <x:v>0</x:v>
      </x:c>
      <x:c r="M330" t="n">
        <x:v>0</x:v>
      </x:c>
      <x:c r="N330" t="str">
        <x:v>Fully Paid</x:v>
      </x:c>
      <x:c r="O330" t="str">
        <x:f>IF(D330="","Unknown",IF(D330&lt;25000,"&lt;$25k",IF(D330&lt;50000,"$25k-$50k",IF(D330&lt;75000,"$50k-$75k",IF(D330&lt;100000,"$75k-$100k","$100k+")))))</x:f>
        <x:v>$25k-$50k</x:v>
      </x:c>
      <x:c r="P330" t="str">
        <x:f>IF(E330="","Unknown",IF(E330&lt;10,"&lt;10",IF(E330&lt;20,"10-&lt;20",IF(E330&lt;25,"20-&lt;25",IF(E330&lt;35,"25-&lt;35","35+")))))</x:f>
        <x:v>10-&lt;20</x:v>
      </x:c>
    </x:row>
    <x:row r="331">
      <x:c r="A331" t="str">
        <x:v>SYN0000330</x:v>
      </x:c>
      <x:c r="B331" s="12" t="n">
        <x:v>41965</x:v>
      </x:c>
      <x:c r="C331" s="18" t="n">
        <x:v>4883</x:v>
      </x:c>
      <x:c r="D331" s="18" t="n">
        <x:v>118737</x:v>
      </x:c>
      <x:c r="E331" s="18" t="n">
        <x:v>28.46</x:v>
      </x:c>
      <x:c r="F331" s="18" t="n">
        <x:v>17.75</x:v>
      </x:c>
      <x:c r="G331" t="n">
        <x:v>36</x:v>
      </x:c>
      <x:c r="H331" t="str">
        <x:v>E</x:v>
      </x:c>
      <x:c r="I331" t="str">
        <x:v>4-6 years</x:v>
      </x:c>
      <x:c r="J331" t="str">
        <x:v>OWN</x:v>
      </x:c>
      <x:c r="K331" t="str">
        <x:v>debt_consolidation</x:v>
      </x:c>
      <x:c r="L331" t="n">
        <x:v>0</x:v>
      </x:c>
      <x:c r="M331" t="n">
        <x:v>0</x:v>
      </x:c>
      <x:c r="N331" t="str">
        <x:v>Fully Paid</x:v>
      </x:c>
      <x:c r="O331" t="str">
        <x:f>IF(D331="","Unknown",IF(D331&lt;25000,"&lt;$25k",IF(D331&lt;50000,"$25k-$50k",IF(D331&lt;75000,"$50k-$75k",IF(D331&lt;100000,"$75k-$100k","$100k+")))))</x:f>
        <x:v>$100k+</x:v>
      </x:c>
      <x:c r="P331" t="str">
        <x:f>IF(E331="","Unknown",IF(E331&lt;10,"&lt;10",IF(E331&lt;20,"10-&lt;20",IF(E331&lt;25,"20-&lt;25",IF(E331&lt;35,"25-&lt;35","35+")))))</x:f>
        <x:v>25-&lt;35</x:v>
      </x:c>
    </x:row>
    <x:row r="332">
      <x:c r="A332" t="str">
        <x:v>SYN0000331</x:v>
      </x:c>
      <x:c r="B332" s="12" t="n">
        <x:v>42325</x:v>
      </x:c>
      <x:c r="C332" s="18" t="n">
        <x:v>9879</x:v>
      </x:c>
      <x:c r="D332" s="18" t="n">
        <x:v>104278</x:v>
      </x:c>
      <x:c r="E332" s="18" t="n">
        <x:v>18.12</x:v>
      </x:c>
      <x:c r="F332" s="18" t="n">
        <x:v>17.73</x:v>
      </x:c>
      <x:c r="G332" t="n">
        <x:v>36</x:v>
      </x:c>
      <x:c r="H332" t="str">
        <x:v>E</x:v>
      </x:c>
      <x:c r="I332" t="str">
        <x:v>10+ years</x:v>
      </x:c>
      <x:c r="J332" t="str">
        <x:v>RENT</x:v>
      </x:c>
      <x:c r="K332" t="str">
        <x:v>home_improvement</x:v>
      </x:c>
      <x:c r="L332" t="n">
        <x:v>0</x:v>
      </x:c>
      <x:c r="M332" t="n">
        <x:v>0</x:v>
      </x:c>
      <x:c r="N332" t="str">
        <x:v>Fully Paid</x:v>
      </x:c>
      <x:c r="O332" t="str">
        <x:f>IF(D332="","Unknown",IF(D332&lt;25000,"&lt;$25k",IF(D332&lt;50000,"$25k-$50k",IF(D332&lt;75000,"$50k-$75k",IF(D332&lt;100000,"$75k-$100k","$100k+")))))</x:f>
        <x:v>$100k+</x:v>
      </x:c>
      <x:c r="P332" t="str">
        <x:f>IF(E332="","Unknown",IF(E332&lt;10,"&lt;10",IF(E332&lt;20,"10-&lt;20",IF(E332&lt;25,"20-&lt;25",IF(E332&lt;35,"25-&lt;35","35+")))))</x:f>
        <x:v>10-&lt;20</x:v>
      </x:c>
    </x:row>
    <x:row r="333">
      <x:c r="A333" t="str">
        <x:v>SYN0000332</x:v>
      </x:c>
      <x:c r="B333" s="12" t="n">
        <x:v>41605</x:v>
      </x:c>
      <x:c r="C333" s="18" t="n">
        <x:v>16292</x:v>
      </x:c>
      <x:c r="D333" s="18" t="n">
        <x:v>21090</x:v>
      </x:c>
      <x:c r="E333" s="18" t="n">
        <x:v>13.64</x:v>
      </x:c>
      <x:c r="F333" s="18" t="n">
        <x:v>16.91</x:v>
      </x:c>
      <x:c r="G333" t="n">
        <x:v>60</x:v>
      </x:c>
      <x:c r="H333" t="str">
        <x:v>D</x:v>
      </x:c>
      <x:c r="I333" t="str">
        <x:v>4-6 years</x:v>
      </x:c>
      <x:c r="J333" t="str">
        <x:v>MORTGAGE</x:v>
      </x:c>
      <x:c r="K333" t="str">
        <x:v>home_improvement</x:v>
      </x:c>
      <x:c r="L333" t="n">
        <x:v>0</x:v>
      </x:c>
      <x:c r="M333" t="n">
        <x:v>0</x:v>
      </x:c>
      <x:c r="N333" t="str">
        <x:v>Fully Paid</x:v>
      </x:c>
      <x:c r="O333" t="str">
        <x:f>IF(D333="","Unknown",IF(D333&lt;25000,"&lt;$25k",IF(D333&lt;50000,"$25k-$50k",IF(D333&lt;75000,"$50k-$75k",IF(D333&lt;100000,"$75k-$100k","$100k+")))))</x:f>
        <x:v>&lt;$25k</x:v>
      </x:c>
      <x:c r="P333" t="str">
        <x:f>IF(E333="","Unknown",IF(E333&lt;10,"&lt;10",IF(E333&lt;20,"10-&lt;20",IF(E333&lt;25,"20-&lt;25",IF(E333&lt;35,"25-&lt;35","35+")))))</x:f>
        <x:v>10-&lt;20</x:v>
      </x:c>
    </x:row>
    <x:row r="334">
      <x:c r="A334" t="str">
        <x:v>SYN0000333</x:v>
      </x:c>
      <x:c r="B334" s="12" t="n">
        <x:v>42475</x:v>
      </x:c>
      <x:c r="C334" s="18" t="n">
        <x:v>15012</x:v>
      </x:c>
      <x:c r="D334" s="18" t="n">
        <x:v>35137</x:v>
      </x:c>
      <x:c r="E334" s="18" t="n">
        <x:v>22.9</x:v>
      </x:c>
      <x:c r="F334" s="18" t="n">
        <x:v>9.25</x:v>
      </x:c>
      <x:c r="G334" t="n">
        <x:v>36</x:v>
      </x:c>
      <x:c r="H334" t="str">
        <x:v>B</x:v>
      </x:c>
      <x:c r="I334" t="str">
        <x:v>7-9 years</x:v>
      </x:c>
      <x:c r="J334" t="str">
        <x:v>RENT</x:v>
      </x:c>
      <x:c r="K334" t="str">
        <x:v>medical</x:v>
      </x:c>
      <x:c r="L334" t="n">
        <x:v>0</x:v>
      </x:c>
      <x:c r="M334" t="n">
        <x:v>0</x:v>
      </x:c>
      <x:c r="N334" t="str">
        <x:v>Fully Paid</x:v>
      </x:c>
      <x:c r="O334" t="str">
        <x:f>IF(D334="","Unknown",IF(D334&lt;25000,"&lt;$25k",IF(D334&lt;50000,"$25k-$50k",IF(D334&lt;75000,"$50k-$75k",IF(D334&lt;100000,"$75k-$100k","$100k+")))))</x:f>
        <x:v>$25k-$50k</x:v>
      </x:c>
      <x:c r="P334" t="str">
        <x:f>IF(E334="","Unknown",IF(E334&lt;10,"&lt;10",IF(E334&lt;20,"10-&lt;20",IF(E334&lt;25,"20-&lt;25",IF(E334&lt;35,"25-&lt;35","35+")))))</x:f>
        <x:v>20-&lt;25</x:v>
      </x:c>
    </x:row>
    <x:row r="335">
      <x:c r="A335" t="str">
        <x:v>SYN0000334</x:v>
      </x:c>
      <x:c r="B335" s="12" t="n">
        <x:v>42235</x:v>
      </x:c>
      <x:c r="C335" s="18" t="n">
        <x:v>19097</x:v>
      </x:c>
      <x:c r="D335" s="18" t="n">
        <x:v>21587</x:v>
      </x:c>
      <x:c r="E335" s="18" t="n">
        <x:v>11.17</x:v>
      </x:c>
      <x:c r="F335" s="18" t="n">
        <x:v>7.88</x:v>
      </x:c>
      <x:c r="G335" t="n">
        <x:v>60</x:v>
      </x:c>
      <x:c r="H335" t="str">
        <x:v>B</x:v>
      </x:c>
      <x:c r="I335" t="str">
        <x:v>7-9 years</x:v>
      </x:c>
      <x:c r="J335" t="str">
        <x:v>RENT</x:v>
      </x:c>
      <x:c r="K335" t="str">
        <x:v>home_improvement</x:v>
      </x:c>
      <x:c r="L335" t="n">
        <x:v>0</x:v>
      </x:c>
      <x:c r="M335" t="n">
        <x:v>1</x:v>
      </x:c>
      <x:c r="N335" t="str">
        <x:v>Charged Off</x:v>
      </x:c>
      <x:c r="O335" t="str">
        <x:f>IF(D335="","Unknown",IF(D335&lt;25000,"&lt;$25k",IF(D335&lt;50000,"$25k-$50k",IF(D335&lt;75000,"$50k-$75k",IF(D335&lt;100000,"$75k-$100k","$100k+")))))</x:f>
        <x:v>&lt;$25k</x:v>
      </x:c>
      <x:c r="P335" t="str">
        <x:f>IF(E335="","Unknown",IF(E335&lt;10,"&lt;10",IF(E335&lt;20,"10-&lt;20",IF(E335&lt;25,"20-&lt;25",IF(E335&lt;35,"25-&lt;35","35+")))))</x:f>
        <x:v>10-&lt;20</x:v>
      </x:c>
    </x:row>
    <x:row r="336">
      <x:c r="A336" t="str">
        <x:v>SYN0000335</x:v>
      </x:c>
      <x:c r="B336" s="12" t="n">
        <x:v>41755</x:v>
      </x:c>
      <x:c r="C336" s="18" t="n">
        <x:v>10468</x:v>
      </x:c>
      <x:c r="D336" s="18" t="n">
        <x:v>60685</x:v>
      </x:c>
      <x:c r="E336" s="18" t="n">
        <x:v>28.72</x:v>
      </x:c>
      <x:c r="F336" s="18" t="n">
        <x:v>8.33</x:v>
      </x:c>
      <x:c r="G336" t="n">
        <x:v>60</x:v>
      </x:c>
      <x:c r="H336" t="str">
        <x:v>B</x:v>
      </x:c>
      <x:c r="I336" t="str">
        <x:v>10+ years</x:v>
      </x:c>
      <x:c r="J336" t="str">
        <x:v>OWN</x:v>
      </x:c>
      <x:c r="K336" t="str">
        <x:v>other</x:v>
      </x:c>
      <x:c r="L336" t="n">
        <x:v>1</x:v>
      </x:c>
      <x:c r="M336" t="n">
        <x:v>0</x:v>
      </x:c>
      <x:c r="N336" t="str">
        <x:v>Fully Paid</x:v>
      </x:c>
      <x:c r="O336" t="str">
        <x:f>IF(D336="","Unknown",IF(D336&lt;25000,"&lt;$25k",IF(D336&lt;50000,"$25k-$50k",IF(D336&lt;75000,"$50k-$75k",IF(D336&lt;100000,"$75k-$100k","$100k+")))))</x:f>
        <x:v>$50k-$75k</x:v>
      </x:c>
      <x:c r="P336" t="str">
        <x:f>IF(E336="","Unknown",IF(E336&lt;10,"&lt;10",IF(E336&lt;20,"10-&lt;20",IF(E336&lt;25,"20-&lt;25",IF(E336&lt;35,"25-&lt;35","35+")))))</x:f>
        <x:v>25-&lt;35</x:v>
      </x:c>
    </x:row>
    <x:row r="337">
      <x:c r="A337" t="str">
        <x:v>SYN0000336</x:v>
      </x:c>
      <x:c r="B337" s="12" t="n">
        <x:v>42565</x:v>
      </x:c>
      <x:c r="C337" s="18" t="n">
        <x:v>11186</x:v>
      </x:c>
      <x:c r="D337" s="18" t="n">
        <x:v>49980</x:v>
      </x:c>
      <x:c r="E337" s="18" t="n">
        <x:v>28.86</x:v>
      </x:c>
      <x:c r="F337" s="18" t="n">
        <x:v>10.61</x:v>
      </x:c>
      <x:c r="G337" t="n">
        <x:v>36</x:v>
      </x:c>
      <x:c r="H337" t="str">
        <x:v>C</x:v>
      </x:c>
      <x:c r="I337" t="str">
        <x:v>7-9 years</x:v>
      </x:c>
      <x:c r="J337" t="str">
        <x:v>RENT</x:v>
      </x:c>
      <x:c r="K337" t="str">
        <x:v>debt_consolidation</x:v>
      </x:c>
      <x:c r="L337" t="n">
        <x:v>0</x:v>
      </x:c>
      <x:c r="M337" t="n">
        <x:v>0</x:v>
      </x:c>
      <x:c r="N337" t="str">
        <x:v>Fully Paid</x:v>
      </x:c>
      <x:c r="O337" t="str">
        <x:f>IF(D337="","Unknown",IF(D337&lt;25000,"&lt;$25k",IF(D337&lt;50000,"$25k-$50k",IF(D337&lt;75000,"$50k-$75k",IF(D337&lt;100000,"$75k-$100k","$100k+")))))</x:f>
        <x:v>$25k-$50k</x:v>
      </x:c>
      <x:c r="P337" t="str">
        <x:f>IF(E337="","Unknown",IF(E337&lt;10,"&lt;10",IF(E337&lt;20,"10-&lt;20",IF(E337&lt;25,"20-&lt;25",IF(E337&lt;35,"25-&lt;35","35+")))))</x:f>
        <x:v>25-&lt;35</x:v>
      </x:c>
    </x:row>
    <x:row r="338">
      <x:c r="A338" t="str">
        <x:v>SYN0000337</x:v>
      </x:c>
      <x:c r="B338" s="12" t="n">
        <x:v>41335</x:v>
      </x:c>
      <x:c r="C338" s="18" t="n">
        <x:v>17364</x:v>
      </x:c>
      <x:c r="D338" s="18" t="n">
        <x:v>21806</x:v>
      </x:c>
      <x:c r="E338" s="18" t="n">
        <x:v>25.44</x:v>
      </x:c>
      <x:c r="F338" s="18" t="n">
        <x:v>13.58</x:v>
      </x:c>
      <x:c r="G338" t="n">
        <x:v>36</x:v>
      </x:c>
      <x:c r="H338" t="str">
        <x:v>D</x:v>
      </x:c>
      <x:c r="I338" t="str">
        <x:v>10+ years</x:v>
      </x:c>
      <x:c r="J338" t="str">
        <x:v>MORTGAGE</x:v>
      </x:c>
      <x:c r="K338" t="str">
        <x:v>debt_consolidation</x:v>
      </x:c>
      <x:c r="L338" t="n">
        <x:v>0</x:v>
      </x:c>
      <x:c r="M338" t="n">
        <x:v>0</x:v>
      </x:c>
      <x:c r="N338" t="str">
        <x:v>Fully Paid</x:v>
      </x:c>
      <x:c r="O338" t="str">
        <x:f>IF(D338="","Unknown",IF(D338&lt;25000,"&lt;$25k",IF(D338&lt;50000,"$25k-$50k",IF(D338&lt;75000,"$50k-$75k",IF(D338&lt;100000,"$75k-$100k","$100k+")))))</x:f>
        <x:v>&lt;$25k</x:v>
      </x:c>
      <x:c r="P338" t="str">
        <x:f>IF(E338="","Unknown",IF(E338&lt;10,"&lt;10",IF(E338&lt;20,"10-&lt;20",IF(E338&lt;25,"20-&lt;25",IF(E338&lt;35,"25-&lt;35","35+")))))</x:f>
        <x:v>25-&lt;35</x:v>
      </x:c>
    </x:row>
    <x:row r="339">
      <x:c r="A339" t="str">
        <x:v>SYN0000338</x:v>
      </x:c>
      <x:c r="B339" s="12" t="n">
        <x:v>42205</x:v>
      </x:c>
      <x:c r="C339" s="18" t="n">
        <x:v>6757</x:v>
      </x:c>
      <x:c r="D339" s="18" t="n">
        <x:v>67646</x:v>
      </x:c>
      <x:c r="E339" s="18" t="n">
        <x:v>35.21</x:v>
      </x:c>
      <x:c r="F339" s="18" t="n">
        <x:v>19.71</x:v>
      </x:c>
      <x:c r="G339" t="n">
        <x:v>36</x:v>
      </x:c>
      <x:c r="H339" t="str">
        <x:v>F</x:v>
      </x:c>
      <x:c r="I339" t="str">
        <x:v>4-6 years</x:v>
      </x:c>
      <x:c r="J339" t="str">
        <x:v>OTHER</x:v>
      </x:c>
      <x:c r="K339" t="str">
        <x:v>debt_consolidation</x:v>
      </x:c>
      <x:c r="L339" t="n">
        <x:v>0</x:v>
      </x:c>
      <x:c r="M339" t="n">
        <x:v>0</x:v>
      </x:c>
      <x:c r="N339" t="str">
        <x:v>Fully Paid</x:v>
      </x:c>
      <x:c r="O339" t="str">
        <x:f>IF(D339="","Unknown",IF(D339&lt;25000,"&lt;$25k",IF(D339&lt;50000,"$25k-$50k",IF(D339&lt;75000,"$50k-$75k",IF(D339&lt;100000,"$75k-$100k","$100k+")))))</x:f>
        <x:v>$50k-$75k</x:v>
      </x:c>
      <x:c r="P339" t="str">
        <x:f>IF(E339="","Unknown",IF(E339&lt;10,"&lt;10",IF(E339&lt;20,"10-&lt;20",IF(E339&lt;25,"20-&lt;25",IF(E339&lt;35,"25-&lt;35","35+")))))</x:f>
        <x:v>35+</x:v>
      </x:c>
    </x:row>
    <x:row r="340">
      <x:c r="A340" t="str">
        <x:v>SYN0000339</x:v>
      </x:c>
      <x:c r="B340" s="12" t="n">
        <x:v>43105</x:v>
      </x:c>
      <x:c r="C340" s="18" t="n">
        <x:v>12923</x:v>
      </x:c>
      <x:c r="D340" s="18" t="n">
        <x:v>73361</x:v>
      </x:c>
      <x:c r="E340" s="18" t="n">
        <x:v>14.33</x:v>
      </x:c>
      <x:c r="F340" s="18" t="n">
        <x:v>9.9</x:v>
      </x:c>
      <x:c r="G340" t="n">
        <x:v>36</x:v>
      </x:c>
      <x:c r="H340" t="str">
        <x:v>A</x:v>
      </x:c>
      <x:c r="I340" t="str">
        <x:v>4-6 years</x:v>
      </x:c>
      <x:c r="J340" t="str">
        <x:v>RENT</x:v>
      </x:c>
      <x:c r="K340" t="str">
        <x:v>major_purchase</x:v>
      </x:c>
      <x:c r="L340" t="n">
        <x:v>0</x:v>
      </x:c>
      <x:c r="M340" t="n">
        <x:v>0</x:v>
      </x:c>
      <x:c r="N340" t="str">
        <x:v>Fully Paid</x:v>
      </x:c>
      <x:c r="O340" t="str">
        <x:f>IF(D340="","Unknown",IF(D340&lt;25000,"&lt;$25k",IF(D340&lt;50000,"$25k-$50k",IF(D340&lt;75000,"$50k-$75k",IF(D340&lt;100000,"$75k-$100k","$100k+")))))</x:f>
        <x:v>$50k-$75k</x:v>
      </x:c>
      <x:c r="P340" t="str">
        <x:f>IF(E340="","Unknown",IF(E340&lt;10,"&lt;10",IF(E340&lt;20,"10-&lt;20",IF(E340&lt;25,"20-&lt;25",IF(E340&lt;35,"25-&lt;35","35+")))))</x:f>
        <x:v>10-&lt;20</x:v>
      </x:c>
    </x:row>
    <x:row r="341">
      <x:c r="A341" t="str">
        <x:v>SYN0000340</x:v>
      </x:c>
      <x:c r="B341" s="12" t="n">
        <x:v>42205</x:v>
      </x:c>
      <x:c r="C341" s="18" t="n">
        <x:v>14844</x:v>
      </x:c>
      <x:c r="D341" s="18" t="n">
        <x:v>114958</x:v>
      </x:c>
      <x:c r="E341" s="18" t="n">
        <x:v>11.85</x:v>
      </x:c>
      <x:c r="F341" s="18" t="n">
        <x:v>8.61</x:v>
      </x:c>
      <x:c r="G341" t="n">
        <x:v>36</x:v>
      </x:c>
      <x:c r="H341" t="str">
        <x:v>B</x:v>
      </x:c>
      <x:c r="I341" t="str">
        <x:v>4-6 years</x:v>
      </x:c>
      <x:c r="J341" t="str">
        <x:v>RENT</x:v>
      </x:c>
      <x:c r="K341" t="str">
        <x:v>other</x:v>
      </x:c>
      <x:c r="L341" t="n">
        <x:v>1</x:v>
      </x:c>
      <x:c r="M341" t="n">
        <x:v>0</x:v>
      </x:c>
      <x:c r="N341" t="str">
        <x:v>Fully Paid</x:v>
      </x:c>
      <x:c r="O341" t="str">
        <x:f>IF(D341="","Unknown",IF(D341&lt;25000,"&lt;$25k",IF(D341&lt;50000,"$25k-$50k",IF(D341&lt;75000,"$50k-$75k",IF(D341&lt;100000,"$75k-$100k","$100k+")))))</x:f>
        <x:v>$100k+</x:v>
      </x:c>
      <x:c r="P341" t="str">
        <x:f>IF(E341="","Unknown",IF(E341&lt;10,"&lt;10",IF(E341&lt;20,"10-&lt;20",IF(E341&lt;25,"20-&lt;25",IF(E341&lt;35,"25-&lt;35","35+")))))</x:f>
        <x:v>10-&lt;20</x:v>
      </x:c>
    </x:row>
    <x:row r="342">
      <x:c r="A342" t="str">
        <x:v>SYN0000341</x:v>
      </x:c>
      <x:c r="B342" s="12" t="n">
        <x:v>41965</x:v>
      </x:c>
      <x:c r="C342" s="18" t="n">
        <x:v>7230</x:v>
      </x:c>
      <x:c r="D342" s="18" t="n">
        <x:v>68396</x:v>
      </x:c>
      <x:c r="E342" s="18" t="n">
        <x:v>24.88</x:v>
      </x:c>
      <x:c r="F342" s="18" t="n">
        <x:v>11.79</x:v>
      </x:c>
      <x:c r="G342" t="n">
        <x:v>36</x:v>
      </x:c>
      <x:c r="H342" t="str">
        <x:v>C</x:v>
      </x:c>
      <x:c r="I342" t="str">
        <x:v>7-9 years</x:v>
      </x:c>
      <x:c r="J342" t="str">
        <x:v>RENT</x:v>
      </x:c>
      <x:c r="K342" t="str">
        <x:v>medical</x:v>
      </x:c>
      <x:c r="L342" t="n">
        <x:v>0</x:v>
      </x:c>
      <x:c r="M342" t="n">
        <x:v>0</x:v>
      </x:c>
      <x:c r="N342" t="str">
        <x:v>Fully Paid</x:v>
      </x:c>
      <x:c r="O342" t="str">
        <x:f>IF(D342="","Unknown",IF(D342&lt;25000,"&lt;$25k",IF(D342&lt;50000,"$25k-$50k",IF(D342&lt;75000,"$50k-$75k",IF(D342&lt;100000,"$75k-$100k","$100k+")))))</x:f>
        <x:v>$50k-$75k</x:v>
      </x:c>
      <x:c r="P342" t="str">
        <x:f>IF(E342="","Unknown",IF(E342&lt;10,"&lt;10",IF(E342&lt;20,"10-&lt;20",IF(E342&lt;25,"20-&lt;25",IF(E342&lt;35,"25-&lt;35","35+")))))</x:f>
        <x:v>20-&lt;25</x:v>
      </x:c>
    </x:row>
    <x:row r="343">
      <x:c r="A343" t="str">
        <x:v>SYN0000342</x:v>
      </x:c>
      <x:c r="B343" s="12" t="n">
        <x:v>42595</x:v>
      </x:c>
      <x:c r="C343" s="18" t="n">
        <x:v>12175</x:v>
      </x:c>
      <x:c r="D343" s="18" t="n">
        <x:v>31057</x:v>
      </x:c>
      <x:c r="E343" s="18" t="n">
        <x:v>0</x:v>
      </x:c>
      <x:c r="F343" s="18" t="n">
        <x:v>9.62</x:v>
      </x:c>
      <x:c r="G343" t="n">
        <x:v>60</x:v>
      </x:c>
      <x:c r="H343" t="str">
        <x:v>B</x:v>
      </x:c>
      <x:c r="I343" t="str">
        <x:v>10+ years</x:v>
      </x:c>
      <x:c r="J343" t="str">
        <x:v>MORTGAGE</x:v>
      </x:c>
      <x:c r="K343" t="str">
        <x:v>major_purchase</x:v>
      </x:c>
      <x:c r="L343" t="n">
        <x:v>0</x:v>
      </x:c>
      <x:c r="M343" t="n">
        <x:v>0</x:v>
      </x:c>
      <x:c r="N343" t="str">
        <x:v>Fully Paid</x:v>
      </x:c>
      <x:c r="O343" t="str">
        <x:f>IF(D343="","Unknown",IF(D343&lt;25000,"&lt;$25k",IF(D343&lt;50000,"$25k-$50k",IF(D343&lt;75000,"$50k-$75k",IF(D343&lt;100000,"$75k-$100k","$100k+")))))</x:f>
        <x:v>$25k-$50k</x:v>
      </x:c>
      <x:c r="P343" t="str">
        <x:f>IF(E343="","Unknown",IF(E343&lt;10,"&lt;10",IF(E343&lt;20,"10-&lt;20",IF(E343&lt;25,"20-&lt;25",IF(E343&lt;35,"25-&lt;35","35+")))))</x:f>
        <x:v>Unknown</x:v>
      </x:c>
    </x:row>
    <x:row r="344">
      <x:c r="A344" t="str">
        <x:v>SYN0000343</x:v>
      </x:c>
      <x:c r="B344" s="12" t="n">
        <x:v>42475</x:v>
      </x:c>
      <x:c r="C344" s="18" t="n">
        <x:v>6936</x:v>
      </x:c>
      <x:c r="D344" s="18" t="n">
        <x:v>87897</x:v>
      </x:c>
      <x:c r="E344" s="18" t="n">
        <x:v>14.75</x:v>
      </x:c>
      <x:c r="F344" s="18" t="n">
        <x:v>10.19</x:v>
      </x:c>
      <x:c r="G344" t="n">
        <x:v>36</x:v>
      </x:c>
      <x:c r="H344" t="str">
        <x:v>D</x:v>
      </x:c>
      <x:c r="I344" t="str">
        <x:v>10+ years</x:v>
      </x:c>
      <x:c r="J344" t="str">
        <x:v>MORTGAGE</x:v>
      </x:c>
      <x:c r="K344" t="str">
        <x:v>credit_card</x:v>
      </x:c>
      <x:c r="L344" t="n">
        <x:v>0</x:v>
      </x:c>
      <x:c r="M344" t="n">
        <x:v>0</x:v>
      </x:c>
      <x:c r="N344" t="str">
        <x:v>Fully Paid</x:v>
      </x:c>
      <x:c r="O344" t="str">
        <x:f>IF(D344="","Unknown",IF(D344&lt;25000,"&lt;$25k",IF(D344&lt;50000,"$25k-$50k",IF(D344&lt;75000,"$50k-$75k",IF(D344&lt;100000,"$75k-$100k","$100k+")))))</x:f>
        <x:v>$75k-$100k</x:v>
      </x:c>
      <x:c r="P344" t="str">
        <x:f>IF(E344="","Unknown",IF(E344&lt;10,"&lt;10",IF(E344&lt;20,"10-&lt;20",IF(E344&lt;25,"20-&lt;25",IF(E344&lt;35,"25-&lt;35","35+")))))</x:f>
        <x:v>10-&lt;20</x:v>
      </x:c>
    </x:row>
    <x:row r="345">
      <x:c r="A345" t="str">
        <x:v>SYN0000344</x:v>
      </x:c>
      <x:c r="B345" s="12" t="n">
        <x:v>43075</x:v>
      </x:c>
      <x:c r="C345" s="18" t="n">
        <x:v>18731</x:v>
      </x:c>
      <x:c r="D345" s="18" t="n">
        <x:v>12785</x:v>
      </x:c>
      <x:c r="E345" s="18" t="n">
        <x:v>19.03</x:v>
      </x:c>
      <x:c r="F345" s="18" t="n">
        <x:v>12.08</x:v>
      </x:c>
      <x:c r="G345" t="n">
        <x:v>36</x:v>
      </x:c>
      <x:c r="H345" t="str">
        <x:v>C</x:v>
      </x:c>
      <x:c r="I345" t="str">
        <x:v>4-6 years</x:v>
      </x:c>
      <x:c r="J345" t="str">
        <x:v>RENT</x:v>
      </x:c>
      <x:c r="K345" t="str">
        <x:v>credit_card</x:v>
      </x:c>
      <x:c r="L345" t="n">
        <x:v>0</x:v>
      </x:c>
      <x:c r="M345" t="n">
        <x:v>0</x:v>
      </x:c>
      <x:c r="N345" t="str">
        <x:v>Fully Paid</x:v>
      </x:c>
      <x:c r="O345" t="str">
        <x:f>IF(D345="","Unknown",IF(D345&lt;25000,"&lt;$25k",IF(D345&lt;50000,"$25k-$50k",IF(D345&lt;75000,"$50k-$75k",IF(D345&lt;100000,"$75k-$100k","$100k+")))))</x:f>
        <x:v>&lt;$25k</x:v>
      </x:c>
      <x:c r="P345" t="str">
        <x:f>IF(E345="","Unknown",IF(E345&lt;10,"&lt;10",IF(E345&lt;20,"10-&lt;20",IF(E345&lt;25,"20-&lt;25",IF(E345&lt;35,"25-&lt;35","35+")))))</x:f>
        <x:v>10-&lt;20</x:v>
      </x:c>
    </x:row>
    <x:row r="346">
      <x:c r="A346" t="str">
        <x:v>SYN0000345</x:v>
      </x:c>
      <x:c r="B346" s="12" t="n">
        <x:v>42415</x:v>
      </x:c>
      <x:c r="C346" s="18" t="n">
        <x:v>6435</x:v>
      </x:c>
      <x:c r="D346" s="18" t="n">
        <x:v>21377</x:v>
      </x:c>
      <x:c r="E346" s="18" t="n">
        <x:v>8.58</x:v>
      </x:c>
      <x:c r="F346" s="18" t="n">
        <x:v>8.07</x:v>
      </x:c>
      <x:c r="G346" t="n">
        <x:v>36</x:v>
      </x:c>
      <x:c r="H346" t="str">
        <x:v>A</x:v>
      </x:c>
      <x:c r="I346" t="str">
        <x:v>10+ years</x:v>
      </x:c>
      <x:c r="J346" t="str">
        <x:v>MORTGAGE</x:v>
      </x:c>
      <x:c r="K346" t="str">
        <x:v>credit_card</x:v>
      </x:c>
      <x:c r="L346" t="n">
        <x:v>1</x:v>
      </x:c>
      <x:c r="M346" t="n">
        <x:v>0</x:v>
      </x:c>
      <x:c r="N346" t="str">
        <x:v>Fully Paid</x:v>
      </x:c>
      <x:c r="O346" t="str">
        <x:f>IF(D346="","Unknown",IF(D346&lt;25000,"&lt;$25k",IF(D346&lt;50000,"$25k-$50k",IF(D346&lt;75000,"$50k-$75k",IF(D346&lt;100000,"$75k-$100k","$100k+")))))</x:f>
        <x:v>&lt;$25k</x:v>
      </x:c>
      <x:c r="P346" t="str">
        <x:f>IF(E346="","Unknown",IF(E346&lt;10,"&lt;10",IF(E346&lt;20,"10-&lt;20",IF(E346&lt;25,"20-&lt;25",IF(E346&lt;35,"25-&lt;35","35+")))))</x:f>
        <x:v>&lt;10</x:v>
      </x:c>
    </x:row>
    <x:row r="347">
      <x:c r="A347" t="str">
        <x:v>SYN0000346</x:v>
      </x:c>
      <x:c r="B347" s="12" t="n">
        <x:v>43135</x:v>
      </x:c>
      <x:c r="C347" s="18" t="n">
        <x:v>6020</x:v>
      </x:c>
      <x:c r="D347" s="18" t="n">
        <x:v>31087</x:v>
      </x:c>
      <x:c r="E347" s="18" t="n">
        <x:v>28.6</x:v>
      </x:c>
      <x:c r="F347" s="18" t="n">
        <x:v>20.43</x:v>
      </x:c>
      <x:c r="G347" t="n">
        <x:v>36</x:v>
      </x:c>
      <x:c r="H347" t="str">
        <x:v>E</x:v>
      </x:c>
      <x:c r="I347" t="str">
        <x:v>10+ years</x:v>
      </x:c>
      <x:c r="J347" t="str">
        <x:v>RENT</x:v>
      </x:c>
      <x:c r="K347" t="str">
        <x:v>debt_consolidation</x:v>
      </x:c>
      <x:c r="L347" t="n">
        <x:v>1</x:v>
      </x:c>
      <x:c r="M347" t="n">
        <x:v>0</x:v>
      </x:c>
      <x:c r="N347" t="str">
        <x:v>Fully Paid</x:v>
      </x:c>
      <x:c r="O347" t="str">
        <x:f>IF(D347="","Unknown",IF(D347&lt;25000,"&lt;$25k",IF(D347&lt;50000,"$25k-$50k",IF(D347&lt;75000,"$50k-$75k",IF(D347&lt;100000,"$75k-$100k","$100k+")))))</x:f>
        <x:v>$25k-$50k</x:v>
      </x:c>
      <x:c r="P347" t="str">
        <x:f>IF(E347="","Unknown",IF(E347&lt;10,"&lt;10",IF(E347&lt;20,"10-&lt;20",IF(E347&lt;25,"20-&lt;25",IF(E347&lt;35,"25-&lt;35","35+")))))</x:f>
        <x:v>25-&lt;35</x:v>
      </x:c>
    </x:row>
    <x:row r="348">
      <x:c r="A348" t="str">
        <x:v>SYN0000347</x:v>
      </x:c>
      <x:c r="B348" s="12" t="n">
        <x:v>43285</x:v>
      </x:c>
      <x:c r="C348" s="18" t="n">
        <x:v>7087</x:v>
      </x:c>
      <x:c r="D348" s="18" t="n">
        <x:v>24681</x:v>
      </x:c>
      <x:c r="E348" s="18" t="n">
        <x:v>25.12</x:v>
      </x:c>
      <x:c r="F348" s="18" t="n">
        <x:v>14.34</x:v>
      </x:c>
      <x:c r="G348" t="n">
        <x:v>60</x:v>
      </x:c>
      <x:c r="H348" t="str">
        <x:v>D</x:v>
      </x:c>
      <x:c r="I348" t="str">
        <x:v>&lt;1 year</x:v>
      </x:c>
      <x:c r="J348" t="str">
        <x:v>MORTGAGE</x:v>
      </x:c>
      <x:c r="K348" t="str">
        <x:v>debt_consolidation</x:v>
      </x:c>
      <x:c r="L348" t="n">
        <x:v>1</x:v>
      </x:c>
      <x:c r="M348" t="n">
        <x:v>1</x:v>
      </x:c>
      <x:c r="N348" t="str">
        <x:v>Charged Off</x:v>
      </x:c>
      <x:c r="O348" t="str">
        <x:f>IF(D348="","Unknown",IF(D348&lt;25000,"&lt;$25k",IF(D348&lt;50000,"$25k-$50k",IF(D348&lt;75000,"$50k-$75k",IF(D348&lt;100000,"$75k-$100k","$100k+")))))</x:f>
        <x:v>&lt;$25k</x:v>
      </x:c>
      <x:c r="P348" t="str">
        <x:f>IF(E348="","Unknown",IF(E348&lt;10,"&lt;10",IF(E348&lt;20,"10-&lt;20",IF(E348&lt;25,"20-&lt;25",IF(E348&lt;35,"25-&lt;35","35+")))))</x:f>
        <x:v>25-&lt;35</x:v>
      </x:c>
    </x:row>
    <x:row r="349">
      <x:c r="A349" t="str">
        <x:v>SYN0000348</x:v>
      </x:c>
      <x:c r="B349" s="12" t="n">
        <x:v>42445</x:v>
      </x:c>
      <x:c r="C349" s="18" t="n">
        <x:v>9267</x:v>
      </x:c>
      <x:c r="D349" s="18" t="n">
        <x:v>71398</x:v>
      </x:c>
      <x:c r="E349" s="18" t="n">
        <x:v>37.38</x:v>
      </x:c>
      <x:c r="F349" s="18" t="n">
        <x:v>5.93</x:v>
      </x:c>
      <x:c r="G349" t="n">
        <x:v>36</x:v>
      </x:c>
      <x:c r="H349" t="str">
        <x:v>A</x:v>
      </x:c>
      <x:c r="I349" t="str">
        <x:v>10+ years</x:v>
      </x:c>
      <x:c r="J349" t="str">
        <x:v>RENT</x:v>
      </x:c>
      <x:c r="K349" t="str">
        <x:v>debt_consolidation</x:v>
      </x:c>
      <x:c r="L349" t="n">
        <x:v>1</x:v>
      </x:c>
      <x:c r="M349" t="n">
        <x:v>0</x:v>
      </x:c>
      <x:c r="N349" t="str">
        <x:v>Fully Paid</x:v>
      </x:c>
      <x:c r="O349" t="str">
        <x:f>IF(D349="","Unknown",IF(D349&lt;25000,"&lt;$25k",IF(D349&lt;50000,"$25k-$50k",IF(D349&lt;75000,"$50k-$75k",IF(D349&lt;100000,"$75k-$100k","$100k+")))))</x:f>
        <x:v>$50k-$75k</x:v>
      </x:c>
      <x:c r="P349" t="str">
        <x:f>IF(E349="","Unknown",IF(E349&lt;10,"&lt;10",IF(E349&lt;20,"10-&lt;20",IF(E349&lt;25,"20-&lt;25",IF(E349&lt;35,"25-&lt;35","35+")))))</x:f>
        <x:v>35+</x:v>
      </x:c>
    </x:row>
    <x:row r="350">
      <x:c r="A350" t="str">
        <x:v>SYN0000349</x:v>
      </x:c>
      <x:c r="B350" s="12" t="n">
        <x:v>42745</x:v>
      </x:c>
      <x:c r="C350" s="18" t="n">
        <x:v>10552</x:v>
      </x:c>
      <x:c r="D350" s="18" t="n">
        <x:v>38031</x:v>
      </x:c>
      <x:c r="E350" s="18" t="n">
        <x:v>9.13</x:v>
      </x:c>
      <x:c r="F350" s="18" t="n">
        <x:v>6.93</x:v>
      </x:c>
      <x:c r="G350" t="n">
        <x:v>60</x:v>
      </x:c>
      <x:c r="H350" t="str">
        <x:v>A</x:v>
      </x:c>
      <x:c r="I350" t="str">
        <x:v>10+ years</x:v>
      </x:c>
      <x:c r="J350" t="str">
        <x:v>RENT</x:v>
      </x:c>
      <x:c r="K350" t="str">
        <x:v>credit_card</x:v>
      </x:c>
      <x:c r="L350" t="n">
        <x:v>1</x:v>
      </x:c>
      <x:c r="M350" t="n">
        <x:v>0</x:v>
      </x:c>
      <x:c r="N350" t="str">
        <x:v>Fully Paid</x:v>
      </x:c>
      <x:c r="O350" t="str">
        <x:f>IF(D350="","Unknown",IF(D350&lt;25000,"&lt;$25k",IF(D350&lt;50000,"$25k-$50k",IF(D350&lt;75000,"$50k-$75k",IF(D350&lt;100000,"$75k-$100k","$100k+")))))</x:f>
        <x:v>$25k-$50k</x:v>
      </x:c>
      <x:c r="P350" t="str">
        <x:f>IF(E350="","Unknown",IF(E350&lt;10,"&lt;10",IF(E350&lt;20,"10-&lt;20",IF(E350&lt;25,"20-&lt;25",IF(E350&lt;35,"25-&lt;35","35+")))))</x:f>
        <x:v>&lt;10</x:v>
      </x:c>
    </x:row>
    <x:row r="351">
      <x:c r="A351" t="str">
        <x:v>SYN0000350</x:v>
      </x:c>
      <x:c r="B351" s="12" t="n">
        <x:v>43165</x:v>
      </x:c>
      <x:c r="C351" s="18" t="n">
        <x:v>9984</x:v>
      </x:c>
      <x:c r="D351" s="18" t="n">
        <x:v>40970</x:v>
      </x:c>
      <x:c r="E351" s="18" t="n">
        <x:v>16.7</x:v>
      </x:c>
      <x:c r="F351" s="18" t="n">
        <x:v>12.08</x:v>
      </x:c>
      <x:c r="G351" t="n">
        <x:v>36</x:v>
      </x:c>
      <x:c r="H351" t="str">
        <x:v>B</x:v>
      </x:c>
      <x:c r="I351" t="str">
        <x:v>10+ years</x:v>
      </x:c>
      <x:c r="J351" t="str">
        <x:v>MORTGAGE</x:v>
      </x:c>
      <x:c r="K351" t="str">
        <x:v>credit_card</x:v>
      </x:c>
      <x:c r="L351" t="n">
        <x:v>0</x:v>
      </x:c>
      <x:c r="M351" t="n">
        <x:v>0</x:v>
      </x:c>
      <x:c r="N351" t="str">
        <x:v>Fully Paid</x:v>
      </x:c>
      <x:c r="O351" t="str">
        <x:f>IF(D351="","Unknown",IF(D351&lt;25000,"&lt;$25k",IF(D351&lt;50000,"$25k-$50k",IF(D351&lt;75000,"$50k-$75k",IF(D351&lt;100000,"$75k-$100k","$100k+")))))</x:f>
        <x:v>$25k-$50k</x:v>
      </x:c>
      <x:c r="P351" t="str">
        <x:f>IF(E351="","Unknown",IF(E351&lt;10,"&lt;10",IF(E351&lt;20,"10-&lt;20",IF(E351&lt;25,"20-&lt;25",IF(E351&lt;35,"25-&lt;35","35+")))))</x:f>
        <x:v>10-&lt;20</x:v>
      </x:c>
    </x:row>
    <x:row r="352">
      <x:c r="A352" t="str">
        <x:v>SYN0000351</x:v>
      </x:c>
      <x:c r="B352" s="12" t="n">
        <x:v>43045</x:v>
      </x:c>
      <x:c r="C352" s="18" t="n">
        <x:v>13623</x:v>
      </x:c>
      <x:c r="D352" s="18" t="n">
        <x:v>55048</x:v>
      </x:c>
      <x:c r="E352" s="18" t="n">
        <x:v>39.14</x:v>
      </x:c>
      <x:c r="F352" s="18" t="n">
        <x:v>7.36</x:v>
      </x:c>
      <x:c r="G352" t="n">
        <x:v>60</x:v>
      </x:c>
      <x:c r="H352" t="str">
        <x:v>A</x:v>
      </x:c>
      <x:c r="I352" t="str">
        <x:v>&lt;1 year</x:v>
      </x:c>
      <x:c r="J352" t="str">
        <x:v>RENT</x:v>
      </x:c>
      <x:c r="K352" t="str">
        <x:v>home_improvement</x:v>
      </x:c>
      <x:c r="L352" t="n">
        <x:v>0</x:v>
      </x:c>
      <x:c r="M352" t="n">
        <x:v>0</x:v>
      </x:c>
      <x:c r="N352" t="str">
        <x:v>Fully Paid</x:v>
      </x:c>
      <x:c r="O352" t="str">
        <x:f>IF(D352="","Unknown",IF(D352&lt;25000,"&lt;$25k",IF(D352&lt;50000,"$25k-$50k",IF(D352&lt;75000,"$50k-$75k",IF(D352&lt;100000,"$75k-$100k","$100k+")))))</x:f>
        <x:v>$50k-$75k</x:v>
      </x:c>
      <x:c r="P352" t="str">
        <x:f>IF(E352="","Unknown",IF(E352&lt;10,"&lt;10",IF(E352&lt;20,"10-&lt;20",IF(E352&lt;25,"20-&lt;25",IF(E352&lt;35,"25-&lt;35","35+")))))</x:f>
        <x:v>35+</x:v>
      </x:c>
    </x:row>
    <x:row r="353">
      <x:c r="A353" t="str">
        <x:v>SYN0000352</x:v>
      </x:c>
      <x:c r="B353" s="12" t="n">
        <x:v>42625</x:v>
      </x:c>
      <x:c r="C353" s="18" t="n">
        <x:v>14383</x:v>
      </x:c>
      <x:c r="D353" s="18" t="n">
        <x:v>30927</x:v>
      </x:c>
      <x:c r="E353" s="18" t="n">
        <x:v>7.98</x:v>
      </x:c>
      <x:c r="F353" s="18" t="n">
        <x:v>12.15</x:v>
      </x:c>
      <x:c r="G353" t="n">
        <x:v>36</x:v>
      </x:c>
      <x:c r="H353" t="str">
        <x:v>C</x:v>
      </x:c>
      <x:c r="I353" t="str">
        <x:v>1-3 years</x:v>
      </x:c>
      <x:c r="J353" t="str">
        <x:v>MORTGAGE</x:v>
      </x:c>
      <x:c r="K353" t="str">
        <x:v>major_purchase</x:v>
      </x:c>
      <x:c r="L353" t="n">
        <x:v>1</x:v>
      </x:c>
      <x:c r="M353" t="n">
        <x:v>0</x:v>
      </x:c>
      <x:c r="N353" t="str">
        <x:v>Fully Paid</x:v>
      </x:c>
      <x:c r="O353" t="str">
        <x:f>IF(D353="","Unknown",IF(D353&lt;25000,"&lt;$25k",IF(D353&lt;50000,"$25k-$50k",IF(D353&lt;75000,"$50k-$75k",IF(D353&lt;100000,"$75k-$100k","$100k+")))))</x:f>
        <x:v>$25k-$50k</x:v>
      </x:c>
      <x:c r="P353" t="str">
        <x:f>IF(E353="","Unknown",IF(E353&lt;10,"&lt;10",IF(E353&lt;20,"10-&lt;20",IF(E353&lt;25,"20-&lt;25",IF(E353&lt;35,"25-&lt;35","35+")))))</x:f>
        <x:v>&lt;10</x:v>
      </x:c>
    </x:row>
    <x:row r="354">
      <x:c r="A354" t="str">
        <x:v>SYN0000353</x:v>
      </x:c>
      <x:c r="B354" s="12" t="n">
        <x:v>42055</x:v>
      </x:c>
      <x:c r="C354" s="18" t="n">
        <x:v>21344</x:v>
      </x:c>
      <x:c r="D354" s="18" t="n">
        <x:v>65789</x:v>
      </x:c>
      <x:c r="E354" s="18" t="n">
        <x:v>26.44</x:v>
      </x:c>
      <x:c r="F354" s="18" t="n">
        <x:v>13.18</x:v>
      </x:c>
      <x:c r="G354" t="n">
        <x:v>60</x:v>
      </x:c>
      <x:c r="H354" t="str">
        <x:v>C</x:v>
      </x:c>
      <x:c r="I354" t="str">
        <x:v>10+ years</x:v>
      </x:c>
      <x:c r="J354" t="str">
        <x:v>MORTGAGE</x:v>
      </x:c>
      <x:c r="K354" t="str">
        <x:v>debt_consolidation</x:v>
      </x:c>
      <x:c r="L354" t="n">
        <x:v>0</x:v>
      </x:c>
      <x:c r="M354" t="n">
        <x:v>0</x:v>
      </x:c>
      <x:c r="N354" t="str">
        <x:v>Fully Paid</x:v>
      </x:c>
      <x:c r="O354" t="str">
        <x:f>IF(D354="","Unknown",IF(D354&lt;25000,"&lt;$25k",IF(D354&lt;50000,"$25k-$50k",IF(D354&lt;75000,"$50k-$75k",IF(D354&lt;100000,"$75k-$100k","$100k+")))))</x:f>
        <x:v>$50k-$75k</x:v>
      </x:c>
      <x:c r="P354" t="str">
        <x:f>IF(E354="","Unknown",IF(E354&lt;10,"&lt;10",IF(E354&lt;20,"10-&lt;20",IF(E354&lt;25,"20-&lt;25",IF(E354&lt;35,"25-&lt;35","35+")))))</x:f>
        <x:v>25-&lt;35</x:v>
      </x:c>
    </x:row>
    <x:row r="355">
      <x:c r="A355" t="str">
        <x:v>SYN0000354</x:v>
      </x:c>
      <x:c r="B355" s="12" t="n">
        <x:v>42085</x:v>
      </x:c>
      <x:c r="C355" s="18" t="n">
        <x:v>12048</x:v>
      </x:c>
      <x:c r="D355" s="18" t="n">
        <x:v>150416</x:v>
      </x:c>
      <x:c r="E355" s="18" t="n">
        <x:v>18.89</x:v>
      </x:c>
      <x:c r="F355" s="18" t="n">
        <x:v>8.84</x:v>
      </x:c>
      <x:c r="G355" t="n">
        <x:v>60</x:v>
      </x:c>
      <x:c r="H355" t="str">
        <x:v>C</x:v>
      </x:c>
      <x:c r="I355" t="str">
        <x:v>10+ years</x:v>
      </x:c>
      <x:c r="J355" t="str">
        <x:v>RENT</x:v>
      </x:c>
      <x:c r="K355" t="str">
        <x:v>home_improvement</x:v>
      </x:c>
      <x:c r="L355" t="n">
        <x:v>0</x:v>
      </x:c>
      <x:c r="M355" t="n">
        <x:v>0</x:v>
      </x:c>
      <x:c r="N355" t="str">
        <x:v>Fully Paid</x:v>
      </x:c>
      <x:c r="O355" t="str">
        <x:f>IF(D355="","Unknown",IF(D355&lt;25000,"&lt;$25k",IF(D355&lt;50000,"$25k-$50k",IF(D355&lt;75000,"$50k-$75k",IF(D355&lt;100000,"$75k-$100k","$100k+")))))</x:f>
        <x:v>$100k+</x:v>
      </x:c>
      <x:c r="P355" t="str">
        <x:f>IF(E355="","Unknown",IF(E355&lt;10,"&lt;10",IF(E355&lt;20,"10-&lt;20",IF(E355&lt;25,"20-&lt;25",IF(E355&lt;35,"25-&lt;35","35+")))))</x:f>
        <x:v>10-&lt;20</x:v>
      </x:c>
    </x:row>
    <x:row r="356">
      <x:c r="A356" t="str">
        <x:v>SYN0000355</x:v>
      </x:c>
      <x:c r="B356" s="12" t="n">
        <x:v>43375</x:v>
      </x:c>
      <x:c r="C356" s="18" t="n">
        <x:v>16439</x:v>
      </x:c>
      <x:c r="D356" s="18" t="n">
        <x:v>32822</x:v>
      </x:c>
      <x:c r="E356" s="18" t="n">
        <x:v>19.83</x:v>
      </x:c>
      <x:c r="F356" s="18" t="n">
        <x:v>11.26</x:v>
      </x:c>
      <x:c r="G356" t="n">
        <x:v>36</x:v>
      </x:c>
      <x:c r="H356" t="str">
        <x:v>C</x:v>
      </x:c>
      <x:c r="I356" t="str">
        <x:v>4-6 years</x:v>
      </x:c>
      <x:c r="J356" t="str">
        <x:v>RENT</x:v>
      </x:c>
      <x:c r="K356" t="str">
        <x:v>credit_card</x:v>
      </x:c>
      <x:c r="L356" t="n">
        <x:v>0</x:v>
      </x:c>
      <x:c r="M356" t="n">
        <x:v>0</x:v>
      </x:c>
      <x:c r="N356" t="str">
        <x:v>Fully Paid</x:v>
      </x:c>
      <x:c r="O356" t="str">
        <x:f>IF(D356="","Unknown",IF(D356&lt;25000,"&lt;$25k",IF(D356&lt;50000,"$25k-$50k",IF(D356&lt;75000,"$50k-$75k",IF(D356&lt;100000,"$75k-$100k","$100k+")))))</x:f>
        <x:v>$25k-$50k</x:v>
      </x:c>
      <x:c r="P356" t="str">
        <x:f>IF(E356="","Unknown",IF(E356&lt;10,"&lt;10",IF(E356&lt;20,"10-&lt;20",IF(E356&lt;25,"20-&lt;25",IF(E356&lt;35,"25-&lt;35","35+")))))</x:f>
        <x:v>10-&lt;20</x:v>
      </x:c>
    </x:row>
    <x:row r="357">
      <x:c r="A357" t="str">
        <x:v>SYN0000356</x:v>
      </x:c>
      <x:c r="B357" s="12" t="n">
        <x:v>42265</x:v>
      </x:c>
      <x:c r="C357" s="18" t="n">
        <x:v>12024</x:v>
      </x:c>
      <x:c r="D357" s="18" t="n">
        <x:v>85934</x:v>
      </x:c>
      <x:c r="E357" s="18" t="n">
        <x:v>14.68</x:v>
      </x:c>
      <x:c r="F357" s="18" t="n">
        <x:v>9.82</x:v>
      </x:c>
      <x:c r="G357" t="n">
        <x:v>60</x:v>
      </x:c>
      <x:c r="H357" t="str">
        <x:v>C</x:v>
      </x:c>
      <x:c r="I357" t="str">
        <x:v>4-6 years</x:v>
      </x:c>
      <x:c r="J357" t="str">
        <x:v>OWN</x:v>
      </x:c>
      <x:c r="K357" t="str">
        <x:v>home_improvement</x:v>
      </x:c>
      <x:c r="L357" t="n">
        <x:v>0</x:v>
      </x:c>
      <x:c r="M357" t="n">
        <x:v>0</x:v>
      </x:c>
      <x:c r="N357" t="str">
        <x:v>Fully Paid</x:v>
      </x:c>
      <x:c r="O357" t="str">
        <x:f>IF(D357="","Unknown",IF(D357&lt;25000,"&lt;$25k",IF(D357&lt;50000,"$25k-$50k",IF(D357&lt;75000,"$50k-$75k",IF(D357&lt;100000,"$75k-$100k","$100k+")))))</x:f>
        <x:v>$75k-$100k</x:v>
      </x:c>
      <x:c r="P357" t="str">
        <x:f>IF(E357="","Unknown",IF(E357&lt;10,"&lt;10",IF(E357&lt;20,"10-&lt;20",IF(E357&lt;25,"20-&lt;25",IF(E357&lt;35,"25-&lt;35","35+")))))</x:f>
        <x:v>10-&lt;20</x:v>
      </x:c>
    </x:row>
    <x:row r="358">
      <x:c r="A358" t="str">
        <x:v>SYN0000357</x:v>
      </x:c>
      <x:c r="B358" s="12" t="n">
        <x:v>42355</x:v>
      </x:c>
      <x:c r="C358" s="18" t="n">
        <x:v>7944</x:v>
      </x:c>
      <x:c r="D358" s="18" t="n">
        <x:v>44013</x:v>
      </x:c>
      <x:c r="E358" s="18" t="n">
        <x:v>17.05</x:v>
      </x:c>
      <x:c r="F358" s="18" t="n">
        <x:v>8.74</x:v>
      </x:c>
      <x:c r="G358" t="n">
        <x:v>36</x:v>
      </x:c>
      <x:c r="H358" t="str">
        <x:v>B</x:v>
      </x:c>
      <x:c r="I358" t="str">
        <x:v>1-3 years</x:v>
      </x:c>
      <x:c r="J358" t="str">
        <x:v>MORTGAGE</x:v>
      </x:c>
      <x:c r="K358" t="str">
        <x:v>debt_consolidation</x:v>
      </x:c>
      <x:c r="L358" t="n">
        <x:v>0</x:v>
      </x:c>
      <x:c r="M358" t="n">
        <x:v>0</x:v>
      </x:c>
      <x:c r="N358" t="str">
        <x:v>Fully Paid</x:v>
      </x:c>
      <x:c r="O358" t="str">
        <x:f>IF(D358="","Unknown",IF(D358&lt;25000,"&lt;$25k",IF(D358&lt;50000,"$25k-$50k",IF(D358&lt;75000,"$50k-$75k",IF(D358&lt;100000,"$75k-$100k","$100k+")))))</x:f>
        <x:v>$25k-$50k</x:v>
      </x:c>
      <x:c r="P358" t="str">
        <x:f>IF(E358="","Unknown",IF(E358&lt;10,"&lt;10",IF(E358&lt;20,"10-&lt;20",IF(E358&lt;25,"20-&lt;25",IF(E358&lt;35,"25-&lt;35","35+")))))</x:f>
        <x:v>10-&lt;20</x:v>
      </x:c>
    </x:row>
    <x:row r="359">
      <x:c r="A359" t="str">
        <x:v>SYN0000358</x:v>
      </x:c>
      <x:c r="B359" s="12" t="n">
        <x:v>43045</x:v>
      </x:c>
      <x:c r="C359" s="18" t="n">
        <x:v>13578</x:v>
      </x:c>
      <x:c r="D359" s="18" t="n">
        <x:v>157410</x:v>
      </x:c>
      <x:c r="E359" s="18" t="n">
        <x:v>18.99</x:v>
      </x:c>
      <x:c r="F359" s="18" t="n">
        <x:v>20.67</x:v>
      </x:c>
      <x:c r="G359" t="n">
        <x:v>36</x:v>
      </x:c>
      <x:c r="H359" t="str">
        <x:v>F</x:v>
      </x:c>
      <x:c r="I359" t="str">
        <x:v>10+ years</x:v>
      </x:c>
      <x:c r="J359" t="str">
        <x:v>RENT</x:v>
      </x:c>
      <x:c r="K359" t="str">
        <x:v>debt_consolidation</x:v>
      </x:c>
      <x:c r="L359" t="n">
        <x:v>1</x:v>
      </x:c>
      <x:c r="M359" t="n">
        <x:v>0</x:v>
      </x:c>
      <x:c r="N359" t="str">
        <x:v>Fully Paid</x:v>
      </x:c>
      <x:c r="O359" t="str">
        <x:f>IF(D359="","Unknown",IF(D359&lt;25000,"&lt;$25k",IF(D359&lt;50000,"$25k-$50k",IF(D359&lt;75000,"$50k-$75k",IF(D359&lt;100000,"$75k-$100k","$100k+")))))</x:f>
        <x:v>$100k+</x:v>
      </x:c>
      <x:c r="P359" t="str">
        <x:f>IF(E359="","Unknown",IF(E359&lt;10,"&lt;10",IF(E359&lt;20,"10-&lt;20",IF(E359&lt;25,"20-&lt;25",IF(E359&lt;35,"25-&lt;35","35+")))))</x:f>
        <x:v>10-&lt;20</x:v>
      </x:c>
    </x:row>
    <x:row r="360">
      <x:c r="A360" t="str">
        <x:v>SYN0000359</x:v>
      </x:c>
      <x:c r="B360" s="12" t="n">
        <x:v>42535</x:v>
      </x:c>
      <x:c r="C360" s="18" t="n">
        <x:v>18694</x:v>
      </x:c>
      <x:c r="D360" s="18" t="n">
        <x:v>173331</x:v>
      </x:c>
      <x:c r="E360" s="18" t="n">
        <x:v>27.57</x:v>
      </x:c>
      <x:c r="F360" s="18" t="n">
        <x:v>9.19</x:v>
      </x:c>
      <x:c r="G360" t="n">
        <x:v>60</x:v>
      </x:c>
      <x:c r="H360" t="str">
        <x:v>B</x:v>
      </x:c>
      <x:c r="I360" t="str">
        <x:v>10+ years</x:v>
      </x:c>
      <x:c r="J360" t="str">
        <x:v>OWN</x:v>
      </x:c>
      <x:c r="K360" t="str">
        <x:v>debt_consolidation</x:v>
      </x:c>
      <x:c r="L360" t="n">
        <x:v>0</x:v>
      </x:c>
      <x:c r="M360" t="n">
        <x:v>0</x:v>
      </x:c>
      <x:c r="N360" t="str">
        <x:v>Fully Paid</x:v>
      </x:c>
      <x:c r="O360" t="str">
        <x:f>IF(D360="","Unknown",IF(D360&lt;25000,"&lt;$25k",IF(D360&lt;50000,"$25k-$50k",IF(D360&lt;75000,"$50k-$75k",IF(D360&lt;100000,"$75k-$100k","$100k+")))))</x:f>
        <x:v>$100k+</x:v>
      </x:c>
      <x:c r="P360" t="str">
        <x:f>IF(E360="","Unknown",IF(E360&lt;10,"&lt;10",IF(E360&lt;20,"10-&lt;20",IF(E360&lt;25,"20-&lt;25",IF(E360&lt;35,"25-&lt;35","35+")))))</x:f>
        <x:v>25-&lt;35</x:v>
      </x:c>
    </x:row>
    <x:row r="361">
      <x:c r="A361" t="str">
        <x:v>SYN0000360</x:v>
      </x:c>
      <x:c r="B361" s="12" t="n">
        <x:v>42235</x:v>
      </x:c>
      <x:c r="C361" s="18" t="n">
        <x:v>10685</x:v>
      </x:c>
      <x:c r="D361" s="18" t="n">
        <x:v>53870</x:v>
      </x:c>
      <x:c r="E361" s="18" t="n">
        <x:v>14.97</x:v>
      </x:c>
      <x:c r="F361" s="18" t="n">
        <x:v>21.96</x:v>
      </x:c>
      <x:c r="G361" t="n">
        <x:v>36</x:v>
      </x:c>
      <x:c r="H361" t="str">
        <x:v>F</x:v>
      </x:c>
      <x:c r="I361" t="str">
        <x:v>7-9 years</x:v>
      </x:c>
      <x:c r="J361" t="str">
        <x:v>MORTGAGE</x:v>
      </x:c>
      <x:c r="K361" t="str">
        <x:v>credit_card</x:v>
      </x:c>
      <x:c r="L361" t="n">
        <x:v>1</x:v>
      </x:c>
      <x:c r="M361" t="n">
        <x:v>1</x:v>
      </x:c>
      <x:c r="N361" t="str">
        <x:v>Charged Off</x:v>
      </x:c>
      <x:c r="O361" t="str">
        <x:f>IF(D361="","Unknown",IF(D361&lt;25000,"&lt;$25k",IF(D361&lt;50000,"$25k-$50k",IF(D361&lt;75000,"$50k-$75k",IF(D361&lt;100000,"$75k-$100k","$100k+")))))</x:f>
        <x:v>$50k-$75k</x:v>
      </x:c>
      <x:c r="P361" t="str">
        <x:f>IF(E361="","Unknown",IF(E361&lt;10,"&lt;10",IF(E361&lt;20,"10-&lt;20",IF(E361&lt;25,"20-&lt;25",IF(E361&lt;35,"25-&lt;35","35+")))))</x:f>
        <x:v>10-&lt;20</x:v>
      </x:c>
    </x:row>
    <x:row r="362">
      <x:c r="A362" t="str">
        <x:v>SYN0000361</x:v>
      </x:c>
      <x:c r="B362" s="12" t="n">
        <x:v>42175</x:v>
      </x:c>
      <x:c r="C362" s="18" t="n">
        <x:v>12461</x:v>
      </x:c>
      <x:c r="D362" s="18" t="n">
        <x:v>76964</x:v>
      </x:c>
      <x:c r="E362" s="18" t="n">
        <x:v>9.61</x:v>
      </x:c>
      <x:c r="F362" s="18" t="n">
        <x:v>26.02</x:v>
      </x:c>
      <x:c r="G362" t="n">
        <x:v>36</x:v>
      </x:c>
      <x:c r="H362" t="str">
        <x:v>G</x:v>
      </x:c>
      <x:c r="I362" t="str">
        <x:v>7-9 years</x:v>
      </x:c>
      <x:c r="J362" t="str">
        <x:v>RENT</x:v>
      </x:c>
      <x:c r="K362" t="str">
        <x:v>home_improvement</x:v>
      </x:c>
      <x:c r="L362" t="n">
        <x:v>1</x:v>
      </x:c>
      <x:c r="M362" t="n">
        <x:v>0</x:v>
      </x:c>
      <x:c r="N362" t="str">
        <x:v>Fully Paid</x:v>
      </x:c>
      <x:c r="O362" t="str">
        <x:f>IF(D362="","Unknown",IF(D362&lt;25000,"&lt;$25k",IF(D362&lt;50000,"$25k-$50k",IF(D362&lt;75000,"$50k-$75k",IF(D362&lt;100000,"$75k-$100k","$100k+")))))</x:f>
        <x:v>$75k-$100k</x:v>
      </x:c>
      <x:c r="P362" t="str">
        <x:f>IF(E362="","Unknown",IF(E362&lt;10,"&lt;10",IF(E362&lt;20,"10-&lt;20",IF(E362&lt;25,"20-&lt;25",IF(E362&lt;35,"25-&lt;35","35+")))))</x:f>
        <x:v>&lt;10</x:v>
      </x:c>
    </x:row>
    <x:row r="363">
      <x:c r="A363" t="str">
        <x:v>SYN0000362</x:v>
      </x:c>
      <x:c r="B363" s="12" t="n">
        <x:v>42055</x:v>
      </x:c>
      <x:c r="C363" s="18" t="n">
        <x:v>5191</x:v>
      </x:c>
      <x:c r="D363" s="18" t="n">
        <x:v>50625</x:v>
      </x:c>
      <x:c r="E363" s="18" t="n">
        <x:v>21.48</x:v>
      </x:c>
      <x:c r="F363" s="18" t="n">
        <x:v>28.99</x:v>
      </x:c>
      <x:c r="G363" t="n">
        <x:v>36</x:v>
      </x:c>
      <x:c r="H363" t="str">
        <x:v>G</x:v>
      </x:c>
      <x:c r="I363" t="str">
        <x:v>10+ years</x:v>
      </x:c>
      <x:c r="J363" t="str">
        <x:v>MORTGAGE</x:v>
      </x:c>
      <x:c r="K363" t="str">
        <x:v>other</x:v>
      </x:c>
      <x:c r="L363" t="n">
        <x:v>1</x:v>
      </x:c>
      <x:c r="M363" t="n">
        <x:v>1</x:v>
      </x:c>
      <x:c r="N363" t="str">
        <x:v>Charged Off</x:v>
      </x:c>
      <x:c r="O363" t="str">
        <x:f>IF(D363="","Unknown",IF(D363&lt;25000,"&lt;$25k",IF(D363&lt;50000,"$25k-$50k",IF(D363&lt;75000,"$50k-$75k",IF(D363&lt;100000,"$75k-$100k","$100k+")))))</x:f>
        <x:v>$50k-$75k</x:v>
      </x:c>
      <x:c r="P363" t="str">
        <x:f>IF(E363="","Unknown",IF(E363&lt;10,"&lt;10",IF(E363&lt;20,"10-&lt;20",IF(E363&lt;25,"20-&lt;25",IF(E363&lt;35,"25-&lt;35","35+")))))</x:f>
        <x:v>20-&lt;25</x:v>
      </x:c>
    </x:row>
    <x:row r="364">
      <x:c r="A364" t="str">
        <x:v>SYN0000363</x:v>
      </x:c>
      <x:c r="B364" s="12" t="n">
        <x:v>43345</x:v>
      </x:c>
      <x:c r="C364" s="18" t="n">
        <x:v>12023</x:v>
      </x:c>
      <x:c r="D364" s="18" t="n">
        <x:v>52476</x:v>
      </x:c>
      <x:c r="E364" s="18" t="n">
        <x:v>11.5</x:v>
      </x:c>
      <x:c r="F364" s="18" t="n">
        <x:v>6.97</x:v>
      </x:c>
      <x:c r="G364" t="n">
        <x:v>36</x:v>
      </x:c>
      <x:c r="H364" t="str">
        <x:v>A</x:v>
      </x:c>
      <x:c r="I364" t="str">
        <x:v>7-9 years</x:v>
      </x:c>
      <x:c r="J364" t="str">
        <x:v>RENT</x:v>
      </x:c>
      <x:c r="K364" t="str">
        <x:v>other</x:v>
      </x:c>
      <x:c r="L364" t="n">
        <x:v>0</x:v>
      </x:c>
      <x:c r="M364" t="n">
        <x:v>0</x:v>
      </x:c>
      <x:c r="N364" t="str">
        <x:v>Fully Paid</x:v>
      </x:c>
      <x:c r="O364" t="str">
        <x:f>IF(D364="","Unknown",IF(D364&lt;25000,"&lt;$25k",IF(D364&lt;50000,"$25k-$50k",IF(D364&lt;75000,"$50k-$75k",IF(D364&lt;100000,"$75k-$100k","$100k+")))))</x:f>
        <x:v>$50k-$75k</x:v>
      </x:c>
      <x:c r="P364" t="str">
        <x:f>IF(E364="","Unknown",IF(E364&lt;10,"&lt;10",IF(E364&lt;20,"10-&lt;20",IF(E364&lt;25,"20-&lt;25",IF(E364&lt;35,"25-&lt;35","35+")))))</x:f>
        <x:v>10-&lt;20</x:v>
      </x:c>
    </x:row>
    <x:row r="365">
      <x:c r="A365" t="str">
        <x:v>SYN0000364</x:v>
      </x:c>
      <x:c r="B365" s="12" t="n">
        <x:v>41575</x:v>
      </x:c>
      <x:c r="C365" s="18" t="n">
        <x:v>14600</x:v>
      </x:c>
      <x:c r="D365" s="18" t="n">
        <x:v>80576</x:v>
      </x:c>
      <x:c r="E365" s="18" t="n">
        <x:v>27.55</x:v>
      </x:c>
      <x:c r="F365" s="18" t="n">
        <x:v>11.63</x:v>
      </x:c>
      <x:c r="G365" t="n">
        <x:v>36</x:v>
      </x:c>
      <x:c r="H365" t="str">
        <x:v>D</x:v>
      </x:c>
      <x:c r="I365" t="str">
        <x:v>4-6 years</x:v>
      </x:c>
      <x:c r="J365" t="str">
        <x:v>MORTGAGE</x:v>
      </x:c>
      <x:c r="K365" t="str">
        <x:v>debt_consolidation</x:v>
      </x:c>
      <x:c r="L365" t="n">
        <x:v>1</x:v>
      </x:c>
      <x:c r="M365" t="n">
        <x:v>0</x:v>
      </x:c>
      <x:c r="N365" t="str">
        <x:v>Fully Paid</x:v>
      </x:c>
      <x:c r="O365" t="str">
        <x:f>IF(D365="","Unknown",IF(D365&lt;25000,"&lt;$25k",IF(D365&lt;50000,"$25k-$50k",IF(D365&lt;75000,"$50k-$75k",IF(D365&lt;100000,"$75k-$100k","$100k+")))))</x:f>
        <x:v>$75k-$100k</x:v>
      </x:c>
      <x:c r="P365" t="str">
        <x:f>IF(E365="","Unknown",IF(E365&lt;10,"&lt;10",IF(E365&lt;20,"10-&lt;20",IF(E365&lt;25,"20-&lt;25",IF(E365&lt;35,"25-&lt;35","35+")))))</x:f>
        <x:v>25-&lt;35</x:v>
      </x:c>
    </x:row>
    <x:row r="366">
      <x:c r="A366" t="str">
        <x:v>SYN0000365</x:v>
      </x:c>
      <x:c r="B366" s="12" t="n">
        <x:v>41455</x:v>
      </x:c>
      <x:c r="C366" s="18" t="n">
        <x:v>16625</x:v>
      </x:c>
      <x:c r="D366" s="18" t="n">
        <x:v>38756</x:v>
      </x:c>
      <x:c r="E366" s="18" t="n">
        <x:v>14.86</x:v>
      </x:c>
      <x:c r="F366" s="18" t="n">
        <x:v>11.53</x:v>
      </x:c>
      <x:c r="G366" t="n">
        <x:v>36</x:v>
      </x:c>
      <x:c r="H366" t="str">
        <x:v>C</x:v>
      </x:c>
      <x:c r="I366" t="str">
        <x:v>7-9 years</x:v>
      </x:c>
      <x:c r="J366" t="str">
        <x:v>MORTGAGE</x:v>
      </x:c>
      <x:c r="K366" t="str">
        <x:v>home_improvement</x:v>
      </x:c>
      <x:c r="L366" t="n">
        <x:v>0</x:v>
      </x:c>
      <x:c r="M366" t="n">
        <x:v>0</x:v>
      </x:c>
      <x:c r="N366" t="str">
        <x:v>Fully Paid</x:v>
      </x:c>
      <x:c r="O366" t="str">
        <x:f>IF(D366="","Unknown",IF(D366&lt;25000,"&lt;$25k",IF(D366&lt;50000,"$25k-$50k",IF(D366&lt;75000,"$50k-$75k",IF(D366&lt;100000,"$75k-$100k","$100k+")))))</x:f>
        <x:v>$25k-$50k</x:v>
      </x:c>
      <x:c r="P366" t="str">
        <x:f>IF(E366="","Unknown",IF(E366&lt;10,"&lt;10",IF(E366&lt;20,"10-&lt;20",IF(E366&lt;25,"20-&lt;25",IF(E366&lt;35,"25-&lt;35","35+")))))</x:f>
        <x:v>10-&lt;20</x:v>
      </x:c>
    </x:row>
    <x:row r="367">
      <x:c r="A367" t="str">
        <x:v>SYN0000366</x:v>
      </x:c>
      <x:c r="B367" s="12" t="n">
        <x:v>42325</x:v>
      </x:c>
      <x:c r="C367" s="18" t="n">
        <x:v>6573</x:v>
      </x:c>
      <x:c r="D367" s="18" t="n">
        <x:v>36877</x:v>
      </x:c>
      <x:c r="E367" s="18" t="n">
        <x:v>38.04</x:v>
      </x:c>
      <x:c r="F367" s="18" t="n">
        <x:v>27</x:v>
      </x:c>
      <x:c r="G367" t="n">
        <x:v>60</x:v>
      </x:c>
      <x:c r="H367" t="str">
        <x:v>G</x:v>
      </x:c>
      <x:c r="I367" t="str">
        <x:v>10+ years</x:v>
      </x:c>
      <x:c r="J367" t="str">
        <x:v>RENT</x:v>
      </x:c>
      <x:c r="K367" t="str">
        <x:v>debt_consolidation</x:v>
      </x:c>
      <x:c r="L367" t="n">
        <x:v>1</x:v>
      </x:c>
      <x:c r="M367" t="n">
        <x:v>1</x:v>
      </x:c>
      <x:c r="N367" t="str">
        <x:v>Charged Off</x:v>
      </x:c>
      <x:c r="O367" t="str">
        <x:f>IF(D367="","Unknown",IF(D367&lt;25000,"&lt;$25k",IF(D367&lt;50000,"$25k-$50k",IF(D367&lt;75000,"$50k-$75k",IF(D367&lt;100000,"$75k-$100k","$100k+")))))</x:f>
        <x:v>$25k-$50k</x:v>
      </x:c>
      <x:c r="P367" t="str">
        <x:f>IF(E367="","Unknown",IF(E367&lt;10,"&lt;10",IF(E367&lt;20,"10-&lt;20",IF(E367&lt;25,"20-&lt;25",IF(E367&lt;35,"25-&lt;35","35+")))))</x:f>
        <x:v>35+</x:v>
      </x:c>
    </x:row>
    <x:row r="368">
      <x:c r="A368" t="str">
        <x:v>SYN0000367</x:v>
      </x:c>
      <x:c r="B368" s="12" t="n">
        <x:v>43165</x:v>
      </x:c>
      <x:c r="C368" s="18" t="n">
        <x:v>7284</x:v>
      </x:c>
      <x:c r="D368" s="18" t="n">
        <x:v>17192</x:v>
      </x:c>
      <x:c r="E368" s="18" t="n">
        <x:v>42.96</x:v>
      </x:c>
      <x:c r="F368" s="18" t="n">
        <x:v>22.23</x:v>
      </x:c>
      <x:c r="G368" t="n">
        <x:v>36</x:v>
      </x:c>
      <x:c r="H368" t="str">
        <x:v>F</x:v>
      </x:c>
      <x:c r="I368" t="str">
        <x:v>4-6 years</x:v>
      </x:c>
      <x:c r="J368" t="str">
        <x:v>MORTGAGE</x:v>
      </x:c>
      <x:c r="K368" t="str">
        <x:v>credit_card</x:v>
      </x:c>
      <x:c r="L368" t="n">
        <x:v>1</x:v>
      </x:c>
      <x:c r="M368" t="n">
        <x:v>0</x:v>
      </x:c>
      <x:c r="N368" t="str">
        <x:v>Fully Paid</x:v>
      </x:c>
      <x:c r="O368" t="str">
        <x:f>IF(D368="","Unknown",IF(D368&lt;25000,"&lt;$25k",IF(D368&lt;50000,"$25k-$50k",IF(D368&lt;75000,"$50k-$75k",IF(D368&lt;100000,"$75k-$100k","$100k+")))))</x:f>
        <x:v>&lt;$25k</x:v>
      </x:c>
      <x:c r="P368" t="str">
        <x:f>IF(E368="","Unknown",IF(E368&lt;10,"&lt;10",IF(E368&lt;20,"10-&lt;20",IF(E368&lt;25,"20-&lt;25",IF(E368&lt;35,"25-&lt;35","35+")))))</x:f>
        <x:v>35+</x:v>
      </x:c>
    </x:row>
    <x:row r="369">
      <x:c r="A369" t="str">
        <x:v>SYN0000368</x:v>
      </x:c>
      <x:c r="B369" s="12" t="n">
        <x:v>43315</x:v>
      </x:c>
      <x:c r="C369" s="18" t="n">
        <x:v>13573</x:v>
      </x:c>
      <x:c r="D369" s="18" t="n">
        <x:v>61381</x:v>
      </x:c>
      <x:c r="E369" s="18" t="n">
        <x:v>32.64</x:v>
      </x:c>
      <x:c r="F369" s="18" t="n">
        <x:v>26.87</x:v>
      </x:c>
      <x:c r="G369" t="n">
        <x:v>36</x:v>
      </x:c>
      <x:c r="H369" t="str">
        <x:v>G</x:v>
      </x:c>
      <x:c r="I369" t="str">
        <x:v>7-9 years</x:v>
      </x:c>
      <x:c r="J369" t="str">
        <x:v>OWN</x:v>
      </x:c>
      <x:c r="K369" t="str">
        <x:v>home_improvement</x:v>
      </x:c>
      <x:c r="L369" t="n">
        <x:v>0</x:v>
      </x:c>
      <x:c r="M369" t="n">
        <x:v>0</x:v>
      </x:c>
      <x:c r="N369" t="str">
        <x:v>Fully Paid</x:v>
      </x:c>
      <x:c r="O369" t="str">
        <x:f>IF(D369="","Unknown",IF(D369&lt;25000,"&lt;$25k",IF(D369&lt;50000,"$25k-$50k",IF(D369&lt;75000,"$50k-$75k",IF(D369&lt;100000,"$75k-$100k","$100k+")))))</x:f>
        <x:v>$50k-$75k</x:v>
      </x:c>
      <x:c r="P369" t="str">
        <x:f>IF(E369="","Unknown",IF(E369&lt;10,"&lt;10",IF(E369&lt;20,"10-&lt;20",IF(E369&lt;25,"20-&lt;25",IF(E369&lt;35,"25-&lt;35","35+")))))</x:f>
        <x:v>25-&lt;35</x:v>
      </x:c>
    </x:row>
    <x:row r="370">
      <x:c r="A370" t="str">
        <x:v>SYN0000369</x:v>
      </x:c>
      <x:c r="B370" s="12" t="n">
        <x:v>42175</x:v>
      </x:c>
      <x:c r="C370" s="18" t="n">
        <x:v>29235</x:v>
      </x:c>
      <x:c r="D370" s="18" t="n">
        <x:v>56088</x:v>
      </x:c>
      <x:c r="E370" s="18" t="n">
        <x:v>25.77</x:v>
      </x:c>
      <x:c r="F370" s="18" t="n">
        <x:v>19.84</x:v>
      </x:c>
      <x:c r="G370" t="n">
        <x:v>36</x:v>
      </x:c>
      <x:c r="H370" t="str">
        <x:v>E</x:v>
      </x:c>
      <x:c r="I370" t="str">
        <x:v>1-3 years</x:v>
      </x:c>
      <x:c r="J370" t="str">
        <x:v>MORTGAGE</x:v>
      </x:c>
      <x:c r="K370" t="str">
        <x:v>debt_consolidation</x:v>
      </x:c>
      <x:c r="L370" t="n">
        <x:v>0</x:v>
      </x:c>
      <x:c r="M370" t="n">
        <x:v>0</x:v>
      </x:c>
      <x:c r="N370" t="str">
        <x:v>Fully Paid</x:v>
      </x:c>
      <x:c r="O370" t="str">
        <x:f>IF(D370="","Unknown",IF(D370&lt;25000,"&lt;$25k",IF(D370&lt;50000,"$25k-$50k",IF(D370&lt;75000,"$50k-$75k",IF(D370&lt;100000,"$75k-$100k","$100k+")))))</x:f>
        <x:v>$50k-$75k</x:v>
      </x:c>
      <x:c r="P370" t="str">
        <x:f>IF(E370="","Unknown",IF(E370&lt;10,"&lt;10",IF(E370&lt;20,"10-&lt;20",IF(E370&lt;25,"20-&lt;25",IF(E370&lt;35,"25-&lt;35","35+")))))</x:f>
        <x:v>25-&lt;35</x:v>
      </x:c>
    </x:row>
    <x:row r="371">
      <x:c r="A371" t="str">
        <x:v>SYN0000370</x:v>
      </x:c>
      <x:c r="B371" s="12" t="n">
        <x:v>43015</x:v>
      </x:c>
      <x:c r="C371" s="18" t="n">
        <x:v>9806</x:v>
      </x:c>
      <x:c r="D371" s="18" t="n">
        <x:v>31454</x:v>
      </x:c>
      <x:c r="E371" s="18" t="n">
        <x:v>12.23</x:v>
      </x:c>
      <x:c r="F371" s="18" t="n">
        <x:v>9.5</x:v>
      </x:c>
      <x:c r="G371" t="n">
        <x:v>60</x:v>
      </x:c>
      <x:c r="H371" t="str">
        <x:v>B</x:v>
      </x:c>
      <x:c r="I371" t="str">
        <x:v>4-6 years</x:v>
      </x:c>
      <x:c r="J371" t="str">
        <x:v>OWN</x:v>
      </x:c>
      <x:c r="K371" t="str">
        <x:v>debt_consolidation</x:v>
      </x:c>
      <x:c r="L371" t="n">
        <x:v>0</x:v>
      </x:c>
      <x:c r="M371" t="n">
        <x:v>0</x:v>
      </x:c>
      <x:c r="N371" t="str">
        <x:v>Fully Paid</x:v>
      </x:c>
      <x:c r="O371" t="str">
        <x:f>IF(D371="","Unknown",IF(D371&lt;25000,"&lt;$25k",IF(D371&lt;50000,"$25k-$50k",IF(D371&lt;75000,"$50k-$75k",IF(D371&lt;100000,"$75k-$100k","$100k+")))))</x:f>
        <x:v>$25k-$50k</x:v>
      </x:c>
      <x:c r="P371" t="str">
        <x:f>IF(E371="","Unknown",IF(E371&lt;10,"&lt;10",IF(E371&lt;20,"10-&lt;20",IF(E371&lt;25,"20-&lt;25",IF(E371&lt;35,"25-&lt;35","35+")))))</x:f>
        <x:v>10-&lt;20</x:v>
      </x:c>
    </x:row>
    <x:row r="372">
      <x:c r="A372" t="str">
        <x:v>SYN0000371</x:v>
      </x:c>
      <x:c r="B372" s="12" t="n">
        <x:v>41605</x:v>
      </x:c>
      <x:c r="C372" s="18" t="n">
        <x:v>26501</x:v>
      </x:c>
      <x:c r="D372" s="18" t="n">
        <x:v>47129</x:v>
      </x:c>
      <x:c r="E372" s="18" t="n">
        <x:v>6.19</x:v>
      </x:c>
      <x:c r="F372" s="18" t="n">
        <x:v>5.52</x:v>
      </x:c>
      <x:c r="G372" t="n">
        <x:v>60</x:v>
      </x:c>
      <x:c r="H372" t="str">
        <x:v>A</x:v>
      </x:c>
      <x:c r="I372" t="str">
        <x:v>10+ years</x:v>
      </x:c>
      <x:c r="J372" t="str">
        <x:v>RENT</x:v>
      </x:c>
      <x:c r="K372" t="str">
        <x:v>debt_consolidation</x:v>
      </x:c>
      <x:c r="L372" t="n">
        <x:v>0</x:v>
      </x:c>
      <x:c r="M372" t="n">
        <x:v>0</x:v>
      </x:c>
      <x:c r="N372" t="str">
        <x:v>Fully Paid</x:v>
      </x:c>
      <x:c r="O372" t="str">
        <x:f>IF(D372="","Unknown",IF(D372&lt;25000,"&lt;$25k",IF(D372&lt;50000,"$25k-$50k",IF(D372&lt;75000,"$50k-$75k",IF(D372&lt;100000,"$75k-$100k","$100k+")))))</x:f>
        <x:v>$25k-$50k</x:v>
      </x:c>
      <x:c r="P372" t="str">
        <x:f>IF(E372="","Unknown",IF(E372&lt;10,"&lt;10",IF(E372&lt;20,"10-&lt;20",IF(E372&lt;25,"20-&lt;25",IF(E372&lt;35,"25-&lt;35","35+")))))</x:f>
        <x:v>&lt;10</x:v>
      </x:c>
    </x:row>
    <x:row r="373">
      <x:c r="A373" t="str">
        <x:v>SYN0000372</x:v>
      </x:c>
      <x:c r="B373" s="12" t="n">
        <x:v>43315</x:v>
      </x:c>
      <x:c r="C373" s="18" t="n">
        <x:v>30720</x:v>
      </x:c>
      <x:c r="D373" s="18" t="n">
        <x:v>117917</x:v>
      </x:c>
      <x:c r="E373" s="18" t="n">
        <x:v>16.34</x:v>
      </x:c>
      <x:c r="F373" s="18" t="n">
        <x:v>7.89</x:v>
      </x:c>
      <x:c r="G373" t="n">
        <x:v>36</x:v>
      </x:c>
      <x:c r="H373" t="str">
        <x:v>A</x:v>
      </x:c>
      <x:c r="I373" t="str">
        <x:v>1-3 years</x:v>
      </x:c>
      <x:c r="J373" t="str">
        <x:v>OWN</x:v>
      </x:c>
      <x:c r="K373" t="str">
        <x:v>debt_consolidation</x:v>
      </x:c>
      <x:c r="L373" t="n">
        <x:v>0</x:v>
      </x:c>
      <x:c r="M373" t="n">
        <x:v>0</x:v>
      </x:c>
      <x:c r="N373" t="str">
        <x:v>Fully Paid</x:v>
      </x:c>
      <x:c r="O373" t="str">
        <x:f>IF(D373="","Unknown",IF(D373&lt;25000,"&lt;$25k",IF(D373&lt;50000,"$25k-$50k",IF(D373&lt;75000,"$50k-$75k",IF(D373&lt;100000,"$75k-$100k","$100k+")))))</x:f>
        <x:v>$100k+</x:v>
      </x:c>
      <x:c r="P373" t="str">
        <x:f>IF(E373="","Unknown",IF(E373&lt;10,"&lt;10",IF(E373&lt;20,"10-&lt;20",IF(E373&lt;25,"20-&lt;25",IF(E373&lt;35,"25-&lt;35","35+")))))</x:f>
        <x:v>10-&lt;20</x:v>
      </x:c>
    </x:row>
    <x:row r="374">
      <x:c r="A374" t="str">
        <x:v>SYN0000373</x:v>
      </x:c>
      <x:c r="B374" s="12" t="n">
        <x:v>41275</x:v>
      </x:c>
      <x:c r="C374" s="18" t="n">
        <x:v>5804</x:v>
      </x:c>
      <x:c r="D374" s="18" t="n">
        <x:v>69078</x:v>
      </x:c>
      <x:c r="E374" s="18" t="n">
        <x:v>10.54</x:v>
      </x:c>
      <x:c r="F374" s="18" t="n">
        <x:v>15.28</x:v>
      </x:c>
      <x:c r="G374" t="n">
        <x:v>36</x:v>
      </x:c>
      <x:c r="H374" t="str">
        <x:v>D</x:v>
      </x:c>
      <x:c r="I374" t="str">
        <x:v>10+ years</x:v>
      </x:c>
      <x:c r="J374" t="str">
        <x:v>MORTGAGE</x:v>
      </x:c>
      <x:c r="K374" t="str">
        <x:v>other</x:v>
      </x:c>
      <x:c r="L374" t="n">
        <x:v>0</x:v>
      </x:c>
      <x:c r="M374" t="n">
        <x:v>0</x:v>
      </x:c>
      <x:c r="N374" t="str">
        <x:v>Fully Paid</x:v>
      </x:c>
      <x:c r="O374" t="str">
        <x:f>IF(D374="","Unknown",IF(D374&lt;25000,"&lt;$25k",IF(D374&lt;50000,"$25k-$50k",IF(D374&lt;75000,"$50k-$75k",IF(D374&lt;100000,"$75k-$100k","$100k+")))))</x:f>
        <x:v>$50k-$75k</x:v>
      </x:c>
      <x:c r="P374" t="str">
        <x:f>IF(E374="","Unknown",IF(E374&lt;10,"&lt;10",IF(E374&lt;20,"10-&lt;20",IF(E374&lt;25,"20-&lt;25",IF(E374&lt;35,"25-&lt;35","35+")))))</x:f>
        <x:v>10-&lt;20</x:v>
      </x:c>
    </x:row>
    <x:row r="375">
      <x:c r="A375" t="str">
        <x:v>SYN0000374</x:v>
      </x:c>
      <x:c r="B375" s="12" t="n">
        <x:v>43405</x:v>
      </x:c>
      <x:c r="C375" s="18" t="n">
        <x:v>8434</x:v>
      </x:c>
      <x:c r="D375" s="18" t="n">
        <x:v>91480</x:v>
      </x:c>
      <x:c r="E375" s="18" t="n">
        <x:v>22.79</x:v>
      </x:c>
      <x:c r="F375" s="18" t="n">
        <x:v>14.76</x:v>
      </x:c>
      <x:c r="G375" t="n">
        <x:v>36</x:v>
      </x:c>
      <x:c r="H375" t="str">
        <x:v>D</x:v>
      </x:c>
      <x:c r="I375" t="str">
        <x:v>10+ years</x:v>
      </x:c>
      <x:c r="J375" t="str">
        <x:v>RENT</x:v>
      </x:c>
      <x:c r="K375" t="str">
        <x:v>major_purchase</x:v>
      </x:c>
      <x:c r="L375" t="n">
        <x:v>1</x:v>
      </x:c>
      <x:c r="M375" t="n">
        <x:v>0</x:v>
      </x:c>
      <x:c r="N375" t="str">
        <x:v>Fully Paid</x:v>
      </x:c>
      <x:c r="O375" t="str">
        <x:f>IF(D375="","Unknown",IF(D375&lt;25000,"&lt;$25k",IF(D375&lt;50000,"$25k-$50k",IF(D375&lt;75000,"$50k-$75k",IF(D375&lt;100000,"$75k-$100k","$100k+")))))</x:f>
        <x:v>$75k-$100k</x:v>
      </x:c>
      <x:c r="P375" t="str">
        <x:f>IF(E375="","Unknown",IF(E375&lt;10,"&lt;10",IF(E375&lt;20,"10-&lt;20",IF(E375&lt;25,"20-&lt;25",IF(E375&lt;35,"25-&lt;35","35+")))))</x:f>
        <x:v>20-&lt;25</x:v>
      </x:c>
    </x:row>
    <x:row r="376">
      <x:c r="A376" t="str">
        <x:v>SYN0000375</x:v>
      </x:c>
      <x:c r="B376" s="12" t="n">
        <x:v>42475</x:v>
      </x:c>
      <x:c r="C376" s="18" t="n">
        <x:v>17191</x:v>
      </x:c>
      <x:c r="D376" s="18" t="n">
        <x:v>45061</x:v>
      </x:c>
      <x:c r="E376" s="18" t="n">
        <x:v>16.27</x:v>
      </x:c>
      <x:c r="F376" s="18" t="n">
        <x:v>13.13</x:v>
      </x:c>
      <x:c r="G376" t="n">
        <x:v>36</x:v>
      </x:c>
      <x:c r="H376" t="str">
        <x:v>C</x:v>
      </x:c>
      <x:c r="I376" t="str">
        <x:v>4-6 years</x:v>
      </x:c>
      <x:c r="J376" t="str">
        <x:v>OWN</x:v>
      </x:c>
      <x:c r="K376" t="str">
        <x:v>major_purchase</x:v>
      </x:c>
      <x:c r="L376" t="n">
        <x:v>0</x:v>
      </x:c>
      <x:c r="M376" t="n">
        <x:v>0</x:v>
      </x:c>
      <x:c r="N376" t="str">
        <x:v>Fully Paid</x:v>
      </x:c>
      <x:c r="O376" t="str">
        <x:f>IF(D376="","Unknown",IF(D376&lt;25000,"&lt;$25k",IF(D376&lt;50000,"$25k-$50k",IF(D376&lt;75000,"$50k-$75k",IF(D376&lt;100000,"$75k-$100k","$100k+")))))</x:f>
        <x:v>$25k-$50k</x:v>
      </x:c>
      <x:c r="P376" t="str">
        <x:f>IF(E376="","Unknown",IF(E376&lt;10,"&lt;10",IF(E376&lt;20,"10-&lt;20",IF(E376&lt;25,"20-&lt;25",IF(E376&lt;35,"25-&lt;35","35+")))))</x:f>
        <x:v>10-&lt;20</x:v>
      </x:c>
    </x:row>
    <x:row r="377">
      <x:c r="A377" t="str">
        <x:v>SYN0000376</x:v>
      </x:c>
      <x:c r="B377" s="12" t="n">
        <x:v>42895</x:v>
      </x:c>
      <x:c r="C377" s="18" t="n">
        <x:v>9680</x:v>
      </x:c>
      <x:c r="D377" s="18" t="n">
        <x:v>43718</x:v>
      </x:c>
      <x:c r="E377" s="18" t="n">
        <x:v>21.24</x:v>
      </x:c>
      <x:c r="F377" s="18" t="n">
        <x:v>15.83</x:v>
      </x:c>
      <x:c r="G377" t="n">
        <x:v>60</x:v>
      </x:c>
      <x:c r="H377" t="str">
        <x:v>E</x:v>
      </x:c>
      <x:c r="I377" t="str">
        <x:v>1-3 years</x:v>
      </x:c>
      <x:c r="J377" t="str">
        <x:v>MORTGAGE</x:v>
      </x:c>
      <x:c r="K377" t="str">
        <x:v>debt_consolidation</x:v>
      </x:c>
      <x:c r="L377" t="n">
        <x:v>1</x:v>
      </x:c>
      <x:c r="M377" t="n">
        <x:v>0</x:v>
      </x:c>
      <x:c r="N377" t="str">
        <x:v>Fully Paid</x:v>
      </x:c>
      <x:c r="O377" t="str">
        <x:f>IF(D377="","Unknown",IF(D377&lt;25000,"&lt;$25k",IF(D377&lt;50000,"$25k-$50k",IF(D377&lt;75000,"$50k-$75k",IF(D377&lt;100000,"$75k-$100k","$100k+")))))</x:f>
        <x:v>$25k-$50k</x:v>
      </x:c>
      <x:c r="P377" t="str">
        <x:f>IF(E377="","Unknown",IF(E377&lt;10,"&lt;10",IF(E377&lt;20,"10-&lt;20",IF(E377&lt;25,"20-&lt;25",IF(E377&lt;35,"25-&lt;35","35+")))))</x:f>
        <x:v>20-&lt;25</x:v>
      </x:c>
    </x:row>
    <x:row r="378">
      <x:c r="A378" t="str">
        <x:v>SYN0000377</x:v>
      </x:c>
      <x:c r="B378" s="12" t="n">
        <x:v>42775</x:v>
      </x:c>
      <x:c r="C378" s="18" t="n">
        <x:v>17062</x:v>
      </x:c>
      <x:c r="D378" s="18" t="n">
        <x:v>41845</x:v>
      </x:c>
      <x:c r="E378" s="18" t="n">
        <x:v>14.06</x:v>
      </x:c>
      <x:c r="F378" s="18" t="n">
        <x:v>18.76</x:v>
      </x:c>
      <x:c r="G378" t="n">
        <x:v>36</x:v>
      </x:c>
      <x:c r="H378" t="str">
        <x:v>E</x:v>
      </x:c>
      <x:c r="I378" t="str">
        <x:v>1-3 years</x:v>
      </x:c>
      <x:c r="J378" t="str">
        <x:v>MORTGAGE</x:v>
      </x:c>
      <x:c r="K378" t="str">
        <x:v>debt_consolidation</x:v>
      </x:c>
      <x:c r="L378" t="n">
        <x:v>1</x:v>
      </x:c>
      <x:c r="M378" t="n">
        <x:v>0</x:v>
      </x:c>
      <x:c r="N378" t="str">
        <x:v>Fully Paid</x:v>
      </x:c>
      <x:c r="O378" t="str">
        <x:f>IF(D378="","Unknown",IF(D378&lt;25000,"&lt;$25k",IF(D378&lt;50000,"$25k-$50k",IF(D378&lt;75000,"$50k-$75k",IF(D378&lt;100000,"$75k-$100k","$100k+")))))</x:f>
        <x:v>$25k-$50k</x:v>
      </x:c>
      <x:c r="P378" t="str">
        <x:f>IF(E378="","Unknown",IF(E378&lt;10,"&lt;10",IF(E378&lt;20,"10-&lt;20",IF(E378&lt;25,"20-&lt;25",IF(E378&lt;35,"25-&lt;35","35+")))))</x:f>
        <x:v>10-&lt;20</x:v>
      </x:c>
    </x:row>
    <x:row r="379">
      <x:c r="A379" t="str">
        <x:v>SYN0000378</x:v>
      </x:c>
      <x:c r="B379" s="12" t="n">
        <x:v>42355</x:v>
      </x:c>
      <x:c r="C379" s="18" t="n">
        <x:v>11118</x:v>
      </x:c>
      <x:c r="D379" s="18" t="n">
        <x:v>17066</x:v>
      </x:c>
      <x:c r="E379" s="18" t="n">
        <x:v>27.42</x:v>
      </x:c>
      <x:c r="F379" s="18" t="n">
        <x:v>7.73</x:v>
      </x:c>
      <x:c r="G379" t="n">
        <x:v>36</x:v>
      </x:c>
      <x:c r="H379" t="str">
        <x:v>A</x:v>
      </x:c>
      <x:c r="I379" t="str">
        <x:v>4-6 years</x:v>
      </x:c>
      <x:c r="J379" t="str">
        <x:v>RENT</x:v>
      </x:c>
      <x:c r="K379" t="str">
        <x:v>debt_consolidation</x:v>
      </x:c>
      <x:c r="L379" t="n">
        <x:v>0</x:v>
      </x:c>
      <x:c r="M379" t="n">
        <x:v>0</x:v>
      </x:c>
      <x:c r="N379" t="str">
        <x:v>Fully Paid</x:v>
      </x:c>
      <x:c r="O379" t="str">
        <x:f>IF(D379="","Unknown",IF(D379&lt;25000,"&lt;$25k",IF(D379&lt;50000,"$25k-$50k",IF(D379&lt;75000,"$50k-$75k",IF(D379&lt;100000,"$75k-$100k","$100k+")))))</x:f>
        <x:v>&lt;$25k</x:v>
      </x:c>
      <x:c r="P379" t="str">
        <x:f>IF(E379="","Unknown",IF(E379&lt;10,"&lt;10",IF(E379&lt;20,"10-&lt;20",IF(E379&lt;25,"20-&lt;25",IF(E379&lt;35,"25-&lt;35","35+")))))</x:f>
        <x:v>25-&lt;35</x:v>
      </x:c>
    </x:row>
    <x:row r="380">
      <x:c r="A380" t="str">
        <x:v>SYN0000379</x:v>
      </x:c>
      <x:c r="B380" s="12" t="n">
        <x:v>42685</x:v>
      </x:c>
      <x:c r="C380" s="18" t="n">
        <x:v>21775</x:v>
      </x:c>
      <x:c r="D380" s="18" t="n">
        <x:v>123121</x:v>
      </x:c>
      <x:c r="E380" s="18" t="n">
        <x:v>17.85</x:v>
      </x:c>
      <x:c r="F380" s="18" t="n">
        <x:v>8.64</x:v>
      </x:c>
      <x:c r="G380" t="n">
        <x:v>36</x:v>
      </x:c>
      <x:c r="H380" t="str">
        <x:v>A</x:v>
      </x:c>
      <x:c r="I380" t="str">
        <x:v>10+ years</x:v>
      </x:c>
      <x:c r="J380" t="str">
        <x:v>MORTGAGE</x:v>
      </x:c>
      <x:c r="K380" t="str">
        <x:v>debt_consolidation</x:v>
      </x:c>
      <x:c r="L380" t="n">
        <x:v>0</x:v>
      </x:c>
      <x:c r="M380" t="n">
        <x:v>0</x:v>
      </x:c>
      <x:c r="N380" t="str">
        <x:v>Fully Paid</x:v>
      </x:c>
      <x:c r="O380" t="str">
        <x:f>IF(D380="","Unknown",IF(D380&lt;25000,"&lt;$25k",IF(D380&lt;50000,"$25k-$50k",IF(D380&lt;75000,"$50k-$75k",IF(D380&lt;100000,"$75k-$100k","$100k+")))))</x:f>
        <x:v>$100k+</x:v>
      </x:c>
      <x:c r="P380" t="str">
        <x:f>IF(E380="","Unknown",IF(E380&lt;10,"&lt;10",IF(E380&lt;20,"10-&lt;20",IF(E380&lt;25,"20-&lt;25",IF(E380&lt;35,"25-&lt;35","35+")))))</x:f>
        <x:v>10-&lt;20</x:v>
      </x:c>
    </x:row>
    <x:row r="381">
      <x:c r="A381" t="str">
        <x:v>SYN0000380</x:v>
      </x:c>
      <x:c r="B381" s="12" t="n">
        <x:v>42895</x:v>
      </x:c>
      <x:c r="C381" s="18" t="n">
        <x:v>5591</x:v>
      </x:c>
      <x:c r="D381" s="18" t="n">
        <x:v>26412</x:v>
      </x:c>
      <x:c r="E381" s="18" t="n">
        <x:v>30.86</x:v>
      </x:c>
      <x:c r="F381" s="18" t="n">
        <x:v>23.52</x:v>
      </x:c>
      <x:c r="G381" t="n">
        <x:v>36</x:v>
      </x:c>
      <x:c r="H381" t="str">
        <x:v>F</x:v>
      </x:c>
      <x:c r="I381" t="str">
        <x:v>&lt;1 year</x:v>
      </x:c>
      <x:c r="J381" t="str">
        <x:v>MORTGAGE</x:v>
      </x:c>
      <x:c r="K381" t="str">
        <x:v>debt_consolidation</x:v>
      </x:c>
      <x:c r="L381" t="n">
        <x:v>1</x:v>
      </x:c>
      <x:c r="M381" t="n">
        <x:v>0</x:v>
      </x:c>
      <x:c r="N381" t="str">
        <x:v>Fully Paid</x:v>
      </x:c>
      <x:c r="O381" t="str">
        <x:f>IF(D381="","Unknown",IF(D381&lt;25000,"&lt;$25k",IF(D381&lt;50000,"$25k-$50k",IF(D381&lt;75000,"$50k-$75k",IF(D381&lt;100000,"$75k-$100k","$100k+")))))</x:f>
        <x:v>$25k-$50k</x:v>
      </x:c>
      <x:c r="P381" t="str">
        <x:f>IF(E381="","Unknown",IF(E381&lt;10,"&lt;10",IF(E381&lt;20,"10-&lt;20",IF(E381&lt;25,"20-&lt;25",IF(E381&lt;35,"25-&lt;35","35+")))))</x:f>
        <x:v>25-&lt;35</x:v>
      </x:c>
    </x:row>
    <x:row r="382">
      <x:c r="A382" t="str">
        <x:v>SYN0000381</x:v>
      </x:c>
      <x:c r="B382" s="12" t="n">
        <x:v>43015</x:v>
      </x:c>
      <x:c r="C382" s="18" t="n">
        <x:v>12899</x:v>
      </x:c>
      <x:c r="D382" s="18" t="n">
        <x:v>68277</x:v>
      </x:c>
      <x:c r="E382" s="18" t="n">
        <x:v>21.9</x:v>
      </x:c>
      <x:c r="F382" s="18" t="n">
        <x:v>10.82</x:v>
      </x:c>
      <x:c r="G382" t="n">
        <x:v>36</x:v>
      </x:c>
      <x:c r="H382" t="str">
        <x:v>C</x:v>
      </x:c>
      <x:c r="I382" t="str">
        <x:v>7-9 years</x:v>
      </x:c>
      <x:c r="J382" t="str">
        <x:v>MORTGAGE</x:v>
      </x:c>
      <x:c r="K382" t="str">
        <x:v>debt_consolidation</x:v>
      </x:c>
      <x:c r="L382" t="n">
        <x:v>1</x:v>
      </x:c>
      <x:c r="M382" t="n">
        <x:v>0</x:v>
      </x:c>
      <x:c r="N382" t="str">
        <x:v>Fully Paid</x:v>
      </x:c>
      <x:c r="O382" t="str">
        <x:f>IF(D382="","Unknown",IF(D382&lt;25000,"&lt;$25k",IF(D382&lt;50000,"$25k-$50k",IF(D382&lt;75000,"$50k-$75k",IF(D382&lt;100000,"$75k-$100k","$100k+")))))</x:f>
        <x:v>$50k-$75k</x:v>
      </x:c>
      <x:c r="P382" t="str">
        <x:f>IF(E382="","Unknown",IF(E382&lt;10,"&lt;10",IF(E382&lt;20,"10-&lt;20",IF(E382&lt;25,"20-&lt;25",IF(E382&lt;35,"25-&lt;35","35+")))))</x:f>
        <x:v>20-&lt;25</x:v>
      </x:c>
    </x:row>
    <x:row r="383">
      <x:c r="A383" t="str">
        <x:v>SYN0000382</x:v>
      </x:c>
      <x:c r="B383" s="12" t="n">
        <x:v>42565</x:v>
      </x:c>
      <x:c r="C383" s="18" t="n">
        <x:v>7458</x:v>
      </x:c>
      <x:c r="D383" s="18" t="n">
        <x:v>80114</x:v>
      </x:c>
      <x:c r="E383" s="18" t="n">
        <x:v>32.88</x:v>
      </x:c>
      <x:c r="F383" s="18" t="n">
        <x:v>20.49</x:v>
      </x:c>
      <x:c r="G383" t="n">
        <x:v>36</x:v>
      </x:c>
      <x:c r="H383" t="str">
        <x:v>F</x:v>
      </x:c>
      <x:c r="I383" t="str">
        <x:v>7-9 years</x:v>
      </x:c>
      <x:c r="J383" t="str">
        <x:v>MORTGAGE</x:v>
      </x:c>
      <x:c r="K383" t="str">
        <x:v>credit_card</x:v>
      </x:c>
      <x:c r="L383" t="n">
        <x:v>2</x:v>
      </x:c>
      <x:c r="M383" t="n">
        <x:v>0</x:v>
      </x:c>
      <x:c r="N383" t="str">
        <x:v>Fully Paid</x:v>
      </x:c>
      <x:c r="O383" t="str">
        <x:f>IF(D383="","Unknown",IF(D383&lt;25000,"&lt;$25k",IF(D383&lt;50000,"$25k-$50k",IF(D383&lt;75000,"$50k-$75k",IF(D383&lt;100000,"$75k-$100k","$100k+")))))</x:f>
        <x:v>$75k-$100k</x:v>
      </x:c>
      <x:c r="P383" t="str">
        <x:f>IF(E383="","Unknown",IF(E383&lt;10,"&lt;10",IF(E383&lt;20,"10-&lt;20",IF(E383&lt;25,"20-&lt;25",IF(E383&lt;35,"25-&lt;35","35+")))))</x:f>
        <x:v>25-&lt;35</x:v>
      </x:c>
    </x:row>
    <x:row r="384">
      <x:c r="A384" t="str">
        <x:v>SYN0000383</x:v>
      </x:c>
      <x:c r="B384" s="12" t="n">
        <x:v>41935</x:v>
      </x:c>
      <x:c r="C384" s="18" t="n">
        <x:v>15931</x:v>
      </x:c>
      <x:c r="D384" s="18" t="n">
        <x:v>26756</x:v>
      </x:c>
      <x:c r="E384" s="18" t="n">
        <x:v>30.37</x:v>
      </x:c>
      <x:c r="F384" s="18" t="n">
        <x:v>17.21</x:v>
      </x:c>
      <x:c r="G384" t="n">
        <x:v>36</x:v>
      </x:c>
      <x:c r="H384" t="str">
        <x:v>E</x:v>
      </x:c>
      <x:c r="I384" t="str">
        <x:v>1-3 years</x:v>
      </x:c>
      <x:c r="J384" t="str">
        <x:v>RENT</x:v>
      </x:c>
      <x:c r="K384" t="str">
        <x:v>other</x:v>
      </x:c>
      <x:c r="L384" t="n">
        <x:v>0</x:v>
      </x:c>
      <x:c r="M384" t="n">
        <x:v>0</x:v>
      </x:c>
      <x:c r="N384" t="str">
        <x:v>Fully Paid</x:v>
      </x:c>
      <x:c r="O384" t="str">
        <x:f>IF(D384="","Unknown",IF(D384&lt;25000,"&lt;$25k",IF(D384&lt;50000,"$25k-$50k",IF(D384&lt;75000,"$50k-$75k",IF(D384&lt;100000,"$75k-$100k","$100k+")))))</x:f>
        <x:v>$25k-$50k</x:v>
      </x:c>
      <x:c r="P384" t="str">
        <x:f>IF(E384="","Unknown",IF(E384&lt;10,"&lt;10",IF(E384&lt;20,"10-&lt;20",IF(E384&lt;25,"20-&lt;25",IF(E384&lt;35,"25-&lt;35","35+")))))</x:f>
        <x:v>25-&lt;35</x:v>
      </x:c>
    </x:row>
    <x:row r="385">
      <x:c r="A385" t="str">
        <x:v>SYN0000384</x:v>
      </x:c>
      <x:c r="B385" s="12" t="n">
        <x:v>42325</x:v>
      </x:c>
      <x:c r="C385" s="18" t="n">
        <x:v>9188</x:v>
      </x:c>
      <x:c r="D385" s="18" t="n">
        <x:v>108139</x:v>
      </x:c>
      <x:c r="E385" s="18" t="n">
        <x:v>16.22</x:v>
      </x:c>
      <x:c r="F385" s="18" t="n">
        <x:v>21.94</x:v>
      </x:c>
      <x:c r="G385" t="n">
        <x:v>36</x:v>
      </x:c>
      <x:c r="H385" t="str">
        <x:v>F</x:v>
      </x:c>
      <x:c r="I385" t="str">
        <x:v>7-9 years</x:v>
      </x:c>
      <x:c r="J385" t="str">
        <x:v>MORTGAGE</x:v>
      </x:c>
      <x:c r="K385" t="str">
        <x:v>major_purchase</x:v>
      </x:c>
      <x:c r="L385" t="n">
        <x:v>0</x:v>
      </x:c>
      <x:c r="M385" t="n">
        <x:v>1</x:v>
      </x:c>
      <x:c r="N385" t="str">
        <x:v>Charged Off</x:v>
      </x:c>
      <x:c r="O385" t="str">
        <x:f>IF(D385="","Unknown",IF(D385&lt;25000,"&lt;$25k",IF(D385&lt;50000,"$25k-$50k",IF(D385&lt;75000,"$50k-$75k",IF(D385&lt;100000,"$75k-$100k","$100k+")))))</x:f>
        <x:v>$100k+</x:v>
      </x:c>
      <x:c r="P385" t="str">
        <x:f>IF(E385="","Unknown",IF(E385&lt;10,"&lt;10",IF(E385&lt;20,"10-&lt;20",IF(E385&lt;25,"20-&lt;25",IF(E385&lt;35,"25-&lt;35","35+")))))</x:f>
        <x:v>10-&lt;20</x:v>
      </x:c>
    </x:row>
    <x:row r="386">
      <x:c r="A386" t="str">
        <x:v>SYN0000385</x:v>
      </x:c>
      <x:c r="B386" s="12" t="n">
        <x:v>41455</x:v>
      </x:c>
      <x:c r="C386" s="18" t="n">
        <x:v>3299</x:v>
      </x:c>
      <x:c r="D386" s="18" t="n">
        <x:v>61210</x:v>
      </x:c>
      <x:c r="E386" s="18" t="n">
        <x:v>26.8</x:v>
      </x:c>
      <x:c r="F386" s="18" t="n">
        <x:v>13.99</x:v>
      </x:c>
      <x:c r="G386" t="n">
        <x:v>60</x:v>
      </x:c>
      <x:c r="H386" t="str">
        <x:v>D</x:v>
      </x:c>
      <x:c r="I386" t="str">
        <x:v>&lt;1 year</x:v>
      </x:c>
      <x:c r="J386" t="str">
        <x:v>MORTGAGE</x:v>
      </x:c>
      <x:c r="K386" t="str">
        <x:v>debt_consolidation</x:v>
      </x:c>
      <x:c r="L386" t="n">
        <x:v>1</x:v>
      </x:c>
      <x:c r="M386" t="n">
        <x:v>1</x:v>
      </x:c>
      <x:c r="N386" t="str">
        <x:v>Charged Off</x:v>
      </x:c>
      <x:c r="O386" t="str">
        <x:f>IF(D386="","Unknown",IF(D386&lt;25000,"&lt;$25k",IF(D386&lt;50000,"$25k-$50k",IF(D386&lt;75000,"$50k-$75k",IF(D386&lt;100000,"$75k-$100k","$100k+")))))</x:f>
        <x:v>$50k-$75k</x:v>
      </x:c>
      <x:c r="P386" t="str">
        <x:f>IF(E386="","Unknown",IF(E386&lt;10,"&lt;10",IF(E386&lt;20,"10-&lt;20",IF(E386&lt;25,"20-&lt;25",IF(E386&lt;35,"25-&lt;35","35+")))))</x:f>
        <x:v>25-&lt;35</x:v>
      </x:c>
    </x:row>
    <x:row r="387">
      <x:c r="A387" t="str">
        <x:v>SYN0000386</x:v>
      </x:c>
      <x:c r="B387" s="12" t="n">
        <x:v>43375</x:v>
      </x:c>
      <x:c r="C387" s="18" t="n">
        <x:v>14222</x:v>
      </x:c>
      <x:c r="D387" s="18" t="n">
        <x:v>46571</x:v>
      </x:c>
      <x:c r="E387" s="18" t="n">
        <x:v>13.74</x:v>
      </x:c>
      <x:c r="F387" s="18" t="n">
        <x:v>5.94</x:v>
      </x:c>
      <x:c r="G387" t="n">
        <x:v>36</x:v>
      </x:c>
      <x:c r="H387" t="str">
        <x:v>A</x:v>
      </x:c>
      <x:c r="I387" t="str">
        <x:v>7-9 years</x:v>
      </x:c>
      <x:c r="J387" t="str">
        <x:v>MORTGAGE</x:v>
      </x:c>
      <x:c r="K387" t="str">
        <x:v>home_improvement</x:v>
      </x:c>
      <x:c r="L387" t="n">
        <x:v>0</x:v>
      </x:c>
      <x:c r="M387" t="n">
        <x:v>0</x:v>
      </x:c>
      <x:c r="N387" t="str">
        <x:v>Fully Paid</x:v>
      </x:c>
      <x:c r="O387" t="str">
        <x:f>IF(D387="","Unknown",IF(D387&lt;25000,"&lt;$25k",IF(D387&lt;50000,"$25k-$50k",IF(D387&lt;75000,"$50k-$75k",IF(D387&lt;100000,"$75k-$100k","$100k+")))))</x:f>
        <x:v>$25k-$50k</x:v>
      </x:c>
      <x:c r="P387" t="str">
        <x:f>IF(E387="","Unknown",IF(E387&lt;10,"&lt;10",IF(E387&lt;20,"10-&lt;20",IF(E387&lt;25,"20-&lt;25",IF(E387&lt;35,"25-&lt;35","35+")))))</x:f>
        <x:v>10-&lt;20</x:v>
      </x:c>
    </x:row>
    <x:row r="388">
      <x:c r="A388" t="str">
        <x:v>SYN0000387</x:v>
      </x:c>
      <x:c r="B388" s="12" t="n">
        <x:v>43225</x:v>
      </x:c>
      <x:c r="C388" s="18" t="n">
        <x:v>9684</x:v>
      </x:c>
      <x:c r="D388" s="18" t="n">
        <x:v>23714</x:v>
      </x:c>
      <x:c r="E388" s="18" t="n">
        <x:v>3.83</x:v>
      </x:c>
      <x:c r="F388" s="18" t="n">
        <x:v>9.1</x:v>
      </x:c>
      <x:c r="G388" t="n">
        <x:v>36</x:v>
      </x:c>
      <x:c r="H388" t="str">
        <x:v>B</x:v>
      </x:c>
      <x:c r="I388" t="str">
        <x:v>10+ years</x:v>
      </x:c>
      <x:c r="J388" t="str">
        <x:v>MORTGAGE</x:v>
      </x:c>
      <x:c r="K388" t="str">
        <x:v>debt_consolidation</x:v>
      </x:c>
      <x:c r="L388" t="n">
        <x:v>1</x:v>
      </x:c>
      <x:c r="M388" t="n">
        <x:v>0</x:v>
      </x:c>
      <x:c r="N388" t="str">
        <x:v>Fully Paid</x:v>
      </x:c>
      <x:c r="O388" t="str">
        <x:f>IF(D388="","Unknown",IF(D388&lt;25000,"&lt;$25k",IF(D388&lt;50000,"$25k-$50k",IF(D388&lt;75000,"$50k-$75k",IF(D388&lt;100000,"$75k-$100k","$100k+")))))</x:f>
        <x:v>&lt;$25k</x:v>
      </x:c>
      <x:c r="P388" t="str">
        <x:f>IF(E388="","Unknown",IF(E388&lt;10,"&lt;10",IF(E388&lt;20,"10-&lt;20",IF(E388&lt;25,"20-&lt;25",IF(E388&lt;35,"25-&lt;35","35+")))))</x:f>
        <x:v>&lt;10</x:v>
      </x:c>
    </x:row>
    <x:row r="389">
      <x:c r="A389" t="str">
        <x:v>SYN0000388</x:v>
      </x:c>
      <x:c r="B389" s="12" t="n">
        <x:v>42295</x:v>
      </x:c>
      <x:c r="C389" s="18" t="n">
        <x:v>6837</x:v>
      </x:c>
      <x:c r="D389" s="18" t="n">
        <x:v>80413</x:v>
      </x:c>
      <x:c r="E389" s="18" t="n">
        <x:v>24.33</x:v>
      </x:c>
      <x:c r="F389" s="18" t="n">
        <x:v>16.99</x:v>
      </x:c>
      <x:c r="G389" t="n">
        <x:v>36</x:v>
      </x:c>
      <x:c r="H389" t="str">
        <x:v>E</x:v>
      </x:c>
      <x:c r="I389" t="str">
        <x:v>1-3 years</x:v>
      </x:c>
      <x:c r="J389" t="str">
        <x:v>MORTGAGE</x:v>
      </x:c>
      <x:c r="K389" t="str">
        <x:v>debt_consolidation</x:v>
      </x:c>
      <x:c r="L389" t="n">
        <x:v>1</x:v>
      </x:c>
      <x:c r="M389" t="n">
        <x:v>0</x:v>
      </x:c>
      <x:c r="N389" t="str">
        <x:v>Fully Paid</x:v>
      </x:c>
      <x:c r="O389" t="str">
        <x:f>IF(D389="","Unknown",IF(D389&lt;25000,"&lt;$25k",IF(D389&lt;50000,"$25k-$50k",IF(D389&lt;75000,"$50k-$75k",IF(D389&lt;100000,"$75k-$100k","$100k+")))))</x:f>
        <x:v>$75k-$100k</x:v>
      </x:c>
      <x:c r="P389" t="str">
        <x:f>IF(E389="","Unknown",IF(E389&lt;10,"&lt;10",IF(E389&lt;20,"10-&lt;20",IF(E389&lt;25,"20-&lt;25",IF(E389&lt;35,"25-&lt;35","35+")))))</x:f>
        <x:v>20-&lt;25</x:v>
      </x:c>
    </x:row>
    <x:row r="390">
      <x:c r="A390" t="str">
        <x:v>SYN0000389</x:v>
      </x:c>
      <x:c r="B390" s="12" t="n">
        <x:v>42655</x:v>
      </x:c>
      <x:c r="C390" s="18" t="n">
        <x:v>12542</x:v>
      </x:c>
      <x:c r="D390" s="18" t="n">
        <x:v>93076</x:v>
      </x:c>
      <x:c r="E390" s="18" t="n">
        <x:v>20.95</x:v>
      </x:c>
      <x:c r="F390" s="18" t="n">
        <x:v>10.84</x:v>
      </x:c>
      <x:c r="G390" t="n">
        <x:v>36</x:v>
      </x:c>
      <x:c r="H390" t="str">
        <x:v>C</x:v>
      </x:c>
      <x:c r="I390" t="str">
        <x:v>7-9 years</x:v>
      </x:c>
      <x:c r="J390" t="str">
        <x:v>MORTGAGE</x:v>
      </x:c>
      <x:c r="K390" t="str">
        <x:v>home_improvement</x:v>
      </x:c>
      <x:c r="L390" t="n">
        <x:v>2</x:v>
      </x:c>
      <x:c r="M390" t="n">
        <x:v>0</x:v>
      </x:c>
      <x:c r="N390" t="str">
        <x:v>Fully Paid</x:v>
      </x:c>
      <x:c r="O390" t="str">
        <x:f>IF(D390="","Unknown",IF(D390&lt;25000,"&lt;$25k",IF(D390&lt;50000,"$25k-$50k",IF(D390&lt;75000,"$50k-$75k",IF(D390&lt;100000,"$75k-$100k","$100k+")))))</x:f>
        <x:v>$75k-$100k</x:v>
      </x:c>
      <x:c r="P390" t="str">
        <x:f>IF(E390="","Unknown",IF(E390&lt;10,"&lt;10",IF(E390&lt;20,"10-&lt;20",IF(E390&lt;25,"20-&lt;25",IF(E390&lt;35,"25-&lt;35","35+")))))</x:f>
        <x:v>20-&lt;25</x:v>
      </x:c>
    </x:row>
    <x:row r="391">
      <x:c r="A391" t="str">
        <x:v>SYN0000390</x:v>
      </x:c>
      <x:c r="B391" s="12" t="n">
        <x:v>41905</x:v>
      </x:c>
      <x:c r="C391" s="18" t="n">
        <x:v>20494</x:v>
      </x:c>
      <x:c r="D391" s="18" t="n">
        <x:v>60467</x:v>
      </x:c>
      <x:c r="E391" s="18" t="n">
        <x:v>22.97</x:v>
      </x:c>
      <x:c r="F391" s="18" t="n">
        <x:v>11.32</x:v>
      </x:c>
      <x:c r="G391" t="n">
        <x:v>60</x:v>
      </x:c>
      <x:c r="H391" t="str">
        <x:v>C</x:v>
      </x:c>
      <x:c r="I391" t="str">
        <x:v>10+ years</x:v>
      </x:c>
      <x:c r="J391" t="str">
        <x:v>MORTGAGE</x:v>
      </x:c>
      <x:c r="K391" t="str">
        <x:v>credit_card</x:v>
      </x:c>
      <x:c r="L391" t="n">
        <x:v>0</x:v>
      </x:c>
      <x:c r="M391" t="n">
        <x:v>0</x:v>
      </x:c>
      <x:c r="N391" t="str">
        <x:v>Fully Paid</x:v>
      </x:c>
      <x:c r="O391" t="str">
        <x:f>IF(D391="","Unknown",IF(D391&lt;25000,"&lt;$25k",IF(D391&lt;50000,"$25k-$50k",IF(D391&lt;75000,"$50k-$75k",IF(D391&lt;100000,"$75k-$100k","$100k+")))))</x:f>
        <x:v>$50k-$75k</x:v>
      </x:c>
      <x:c r="P391" t="str">
        <x:f>IF(E391="","Unknown",IF(E391&lt;10,"&lt;10",IF(E391&lt;20,"10-&lt;20",IF(E391&lt;25,"20-&lt;25",IF(E391&lt;35,"25-&lt;35","35+")))))</x:f>
        <x:v>20-&lt;25</x:v>
      </x:c>
    </x:row>
    <x:row r="392">
      <x:c r="A392" t="str">
        <x:v>SYN0000391</x:v>
      </x:c>
      <x:c r="B392" s="12" t="n">
        <x:v>42355</x:v>
      </x:c>
      <x:c r="C392" s="18" t="n">
        <x:v>15007</x:v>
      </x:c>
      <x:c r="D392" s="18" t="n">
        <x:v>214090</x:v>
      </x:c>
      <x:c r="E392" s="18" t="n">
        <x:v>17.14</x:v>
      </x:c>
      <x:c r="F392" s="18" t="n">
        <x:v>6.57</x:v>
      </x:c>
      <x:c r="G392" t="n">
        <x:v>36</x:v>
      </x:c>
      <x:c r="H392" t="str">
        <x:v>A</x:v>
      </x:c>
      <x:c r="I392" t="str">
        <x:v>4-6 years</x:v>
      </x:c>
      <x:c r="J392" t="str">
        <x:v>MORTGAGE</x:v>
      </x:c>
      <x:c r="K392" t="str">
        <x:v>debt_consolidation</x:v>
      </x:c>
      <x:c r="L392" t="n">
        <x:v>0</x:v>
      </x:c>
      <x:c r="M392" t="n">
        <x:v>0</x:v>
      </x:c>
      <x:c r="N392" t="str">
        <x:v>Fully Paid</x:v>
      </x:c>
      <x:c r="O392" t="str">
        <x:f>IF(D392="","Unknown",IF(D392&lt;25000,"&lt;$25k",IF(D392&lt;50000,"$25k-$50k",IF(D392&lt;75000,"$50k-$75k",IF(D392&lt;100000,"$75k-$100k","$100k+")))))</x:f>
        <x:v>$100k+</x:v>
      </x:c>
      <x:c r="P392" t="str">
        <x:f>IF(E392="","Unknown",IF(E392&lt;10,"&lt;10",IF(E392&lt;20,"10-&lt;20",IF(E392&lt;25,"20-&lt;25",IF(E392&lt;35,"25-&lt;35","35+")))))</x:f>
        <x:v>10-&lt;20</x:v>
      </x:c>
    </x:row>
    <x:row r="393">
      <x:c r="A393" t="str">
        <x:v>SYN0000392</x:v>
      </x:c>
      <x:c r="B393" s="12" t="n">
        <x:v>42205</x:v>
      </x:c>
      <x:c r="C393" s="18" t="n">
        <x:v>22712</x:v>
      </x:c>
      <x:c r="D393" s="18" t="n">
        <x:v>25987</x:v>
      </x:c>
      <x:c r="E393" s="18" t="n">
        <x:v>7.73</x:v>
      </x:c>
      <x:c r="F393" s="18" t="n">
        <x:v>14.29</x:v>
      </x:c>
      <x:c r="G393" t="n">
        <x:v>36</x:v>
      </x:c>
      <x:c r="H393" t="str">
        <x:v>D</x:v>
      </x:c>
      <x:c r="I393" t="str">
        <x:v>1-3 years</x:v>
      </x:c>
      <x:c r="J393" t="str">
        <x:v>MORTGAGE</x:v>
      </x:c>
      <x:c r="K393" t="str">
        <x:v>credit_card</x:v>
      </x:c>
      <x:c r="L393" t="n">
        <x:v>1</x:v>
      </x:c>
      <x:c r="M393" t="n">
        <x:v>0</x:v>
      </x:c>
      <x:c r="N393" t="str">
        <x:v>Fully Paid</x:v>
      </x:c>
      <x:c r="O393" t="str">
        <x:f>IF(D393="","Unknown",IF(D393&lt;25000,"&lt;$25k",IF(D393&lt;50000,"$25k-$50k",IF(D393&lt;75000,"$50k-$75k",IF(D393&lt;100000,"$75k-$100k","$100k+")))))</x:f>
        <x:v>$25k-$50k</x:v>
      </x:c>
      <x:c r="P393" t="str">
        <x:f>IF(E393="","Unknown",IF(E393&lt;10,"&lt;10",IF(E393&lt;20,"10-&lt;20",IF(E393&lt;25,"20-&lt;25",IF(E393&lt;35,"25-&lt;35","35+")))))</x:f>
        <x:v>&lt;10</x:v>
      </x:c>
    </x:row>
    <x:row r="394">
      <x:c r="A394" t="str">
        <x:v>SYN0000393</x:v>
      </x:c>
      <x:c r="B394" s="12" t="n">
        <x:v>41695</x:v>
      </x:c>
      <x:c r="C394" s="18" t="n">
        <x:v>4821</x:v>
      </x:c>
      <x:c r="D394" s="18" t="n">
        <x:v>70138</x:v>
      </x:c>
      <x:c r="E394" s="18" t="n">
        <x:v>31.03</x:v>
      </x:c>
      <x:c r="F394" s="18" t="n">
        <x:v>8.47</x:v>
      </x:c>
      <x:c r="G394" t="n">
        <x:v>60</x:v>
      </x:c>
      <x:c r="H394" t="str">
        <x:v>A</x:v>
      </x:c>
      <x:c r="I394" t="str">
        <x:v>10+ years</x:v>
      </x:c>
      <x:c r="J394" t="str">
        <x:v>RENT</x:v>
      </x:c>
      <x:c r="K394" t="str">
        <x:v>debt_consolidation</x:v>
      </x:c>
      <x:c r="L394" t="n">
        <x:v>0</x:v>
      </x:c>
      <x:c r="M394" t="n">
        <x:v>0</x:v>
      </x:c>
      <x:c r="N394" t="str">
        <x:v>Fully Paid</x:v>
      </x:c>
      <x:c r="O394" t="str">
        <x:f>IF(D394="","Unknown",IF(D394&lt;25000,"&lt;$25k",IF(D394&lt;50000,"$25k-$50k",IF(D394&lt;75000,"$50k-$75k",IF(D394&lt;100000,"$75k-$100k","$100k+")))))</x:f>
        <x:v>$50k-$75k</x:v>
      </x:c>
      <x:c r="P394" t="str">
        <x:f>IF(E394="","Unknown",IF(E394&lt;10,"&lt;10",IF(E394&lt;20,"10-&lt;20",IF(E394&lt;25,"20-&lt;25",IF(E394&lt;35,"25-&lt;35","35+")))))</x:f>
        <x:v>25-&lt;35</x:v>
      </x:c>
    </x:row>
    <x:row r="395">
      <x:c r="A395" t="str">
        <x:v>SYN0000394</x:v>
      </x:c>
      <x:c r="B395" s="12" t="n">
        <x:v>41875</x:v>
      </x:c>
      <x:c r="C395" s="18" t="n">
        <x:v>14294</x:v>
      </x:c>
      <x:c r="D395" s="18" t="n">
        <x:v>162771</x:v>
      </x:c>
      <x:c r="E395" s="18" t="n">
        <x:v>16.38</x:v>
      </x:c>
      <x:c r="F395" s="18" t="n">
        <x:v>25.91</x:v>
      </x:c>
      <x:c r="G395" t="n">
        <x:v>60</x:v>
      </x:c>
      <x:c r="H395" t="str">
        <x:v>G</x:v>
      </x:c>
      <x:c r="I395" t="str">
        <x:v>10+ years</x:v>
      </x:c>
      <x:c r="J395" t="str">
        <x:v>RENT</x:v>
      </x:c>
      <x:c r="K395" t="str">
        <x:v>credit_card</x:v>
      </x:c>
      <x:c r="L395" t="n">
        <x:v>2</x:v>
      </x:c>
      <x:c r="M395" t="n">
        <x:v>1</x:v>
      </x:c>
      <x:c r="N395" t="str">
        <x:v>Charged Off</x:v>
      </x:c>
      <x:c r="O395" t="str">
        <x:f>IF(D395="","Unknown",IF(D395&lt;25000,"&lt;$25k",IF(D395&lt;50000,"$25k-$50k",IF(D395&lt;75000,"$50k-$75k",IF(D395&lt;100000,"$75k-$100k","$100k+")))))</x:f>
        <x:v>$100k+</x:v>
      </x:c>
      <x:c r="P395" t="str">
        <x:f>IF(E395="","Unknown",IF(E395&lt;10,"&lt;10",IF(E395&lt;20,"10-&lt;20",IF(E395&lt;25,"20-&lt;25",IF(E395&lt;35,"25-&lt;35","35+")))))</x:f>
        <x:v>10-&lt;20</x:v>
      </x:c>
    </x:row>
    <x:row r="396">
      <x:c r="A396" t="str">
        <x:v>SYN0000395</x:v>
      </x:c>
      <x:c r="B396" s="12" t="n">
        <x:v>43315</x:v>
      </x:c>
      <x:c r="C396" s="18" t="n">
        <x:v>8712</x:v>
      </x:c>
      <x:c r="D396" s="18" t="n">
        <x:v>43846</x:v>
      </x:c>
      <x:c r="E396" s="18" t="n">
        <x:v>25.46</x:v>
      </x:c>
      <x:c r="F396" s="18" t="n">
        <x:v>24.61</x:v>
      </x:c>
      <x:c r="G396" t="n">
        <x:v>36</x:v>
      </x:c>
      <x:c r="H396" t="str">
        <x:v>F</x:v>
      </x:c>
      <x:c r="I396" t="str">
        <x:v>7-9 years</x:v>
      </x:c>
      <x:c r="J396" t="str">
        <x:v>RENT</x:v>
      </x:c>
      <x:c r="K396" t="str">
        <x:v>debt_consolidation</x:v>
      </x:c>
      <x:c r="L396" t="n">
        <x:v>2</x:v>
      </x:c>
      <x:c r="M396" t="n">
        <x:v>0</x:v>
      </x:c>
      <x:c r="N396" t="str">
        <x:v>Fully Paid</x:v>
      </x:c>
      <x:c r="O396" t="str">
        <x:f>IF(D396="","Unknown",IF(D396&lt;25000,"&lt;$25k",IF(D396&lt;50000,"$25k-$50k",IF(D396&lt;75000,"$50k-$75k",IF(D396&lt;100000,"$75k-$100k","$100k+")))))</x:f>
        <x:v>$25k-$50k</x:v>
      </x:c>
      <x:c r="P396" t="str">
        <x:f>IF(E396="","Unknown",IF(E396&lt;10,"&lt;10",IF(E396&lt;20,"10-&lt;20",IF(E396&lt;25,"20-&lt;25",IF(E396&lt;35,"25-&lt;35","35+")))))</x:f>
        <x:v>25-&lt;35</x:v>
      </x:c>
    </x:row>
    <x:row r="397">
      <x:c r="A397" t="str">
        <x:v>SYN0000396</x:v>
      </x:c>
      <x:c r="B397" s="12" t="n">
        <x:v>41485</x:v>
      </x:c>
      <x:c r="C397" s="18" t="n">
        <x:v>16388</x:v>
      </x:c>
      <x:c r="D397" s="18" t="n">
        <x:v>37421</x:v>
      </x:c>
      <x:c r="E397" s="18" t="n">
        <x:v>15.27</x:v>
      </x:c>
      <x:c r="F397" s="18" t="n">
        <x:v>15.44</x:v>
      </x:c>
      <x:c r="G397" t="n">
        <x:v>36</x:v>
      </x:c>
      <x:c r="H397" t="str">
        <x:v>D</x:v>
      </x:c>
      <x:c r="I397" t="str">
        <x:v>10+ years</x:v>
      </x:c>
      <x:c r="J397" t="str">
        <x:v>RENT</x:v>
      </x:c>
      <x:c r="K397" t="str">
        <x:v>debt_consolidation</x:v>
      </x:c>
      <x:c r="L397" t="n">
        <x:v>0</x:v>
      </x:c>
      <x:c r="M397" t="n">
        <x:v>0</x:v>
      </x:c>
      <x:c r="N397" t="str">
        <x:v>Fully Paid</x:v>
      </x:c>
      <x:c r="O397" t="str">
        <x:f>IF(D397="","Unknown",IF(D397&lt;25000,"&lt;$25k",IF(D397&lt;50000,"$25k-$50k",IF(D397&lt;75000,"$50k-$75k",IF(D397&lt;100000,"$75k-$100k","$100k+")))))</x:f>
        <x:v>$25k-$50k</x:v>
      </x:c>
      <x:c r="P397" t="str">
        <x:f>IF(E397="","Unknown",IF(E397&lt;10,"&lt;10",IF(E397&lt;20,"10-&lt;20",IF(E397&lt;25,"20-&lt;25",IF(E397&lt;35,"25-&lt;35","35+")))))</x:f>
        <x:v>10-&lt;20</x:v>
      </x:c>
    </x:row>
    <x:row r="398">
      <x:c r="A398" t="str">
        <x:v>SYN0000397</x:v>
      </x:c>
      <x:c r="B398" s="12" t="n">
        <x:v>42595</x:v>
      </x:c>
      <x:c r="C398" s="18" t="n">
        <x:v>11149</x:v>
      </x:c>
      <x:c r="D398" s="18" t="n">
        <x:v>50624</x:v>
      </x:c>
      <x:c r="E398" s="18" t="n">
        <x:v>23.03</x:v>
      </x:c>
      <x:c r="F398" s="18" t="n">
        <x:v>10.73</x:v>
      </x:c>
      <x:c r="G398" t="n">
        <x:v>60</x:v>
      </x:c>
      <x:c r="H398" t="str">
        <x:v>C</x:v>
      </x:c>
      <x:c r="I398" t="str">
        <x:v>10+ years</x:v>
      </x:c>
      <x:c r="J398" t="str">
        <x:v>RENT</x:v>
      </x:c>
      <x:c r="K398" t="str">
        <x:v>major_purchase</x:v>
      </x:c>
      <x:c r="L398" t="n">
        <x:v>1</x:v>
      </x:c>
      <x:c r="M398" t="n">
        <x:v>1</x:v>
      </x:c>
      <x:c r="N398" t="str">
        <x:v>Charged Off</x:v>
      </x:c>
      <x:c r="O398" t="str">
        <x:f>IF(D398="","Unknown",IF(D398&lt;25000,"&lt;$25k",IF(D398&lt;50000,"$25k-$50k",IF(D398&lt;75000,"$50k-$75k",IF(D398&lt;100000,"$75k-$100k","$100k+")))))</x:f>
        <x:v>$50k-$75k</x:v>
      </x:c>
      <x:c r="P398" t="str">
        <x:f>IF(E398="","Unknown",IF(E398&lt;10,"&lt;10",IF(E398&lt;20,"10-&lt;20",IF(E398&lt;25,"20-&lt;25",IF(E398&lt;35,"25-&lt;35","35+")))))</x:f>
        <x:v>20-&lt;25</x:v>
      </x:c>
    </x:row>
    <x:row r="399">
      <x:c r="A399" t="str">
        <x:v>SYN0000398</x:v>
      </x:c>
      <x:c r="B399" s="12" t="n">
        <x:v>41755</x:v>
      </x:c>
      <x:c r="C399" s="18" t="n">
        <x:v>20352</x:v>
      </x:c>
      <x:c r="D399" s="18" t="n">
        <x:v>81447</x:v>
      </x:c>
      <x:c r="E399" s="18" t="n">
        <x:v>20.15</x:v>
      </x:c>
      <x:c r="F399" s="18" t="n">
        <x:v>14.55</x:v>
      </x:c>
      <x:c r="G399" t="n">
        <x:v>36</x:v>
      </x:c>
      <x:c r="H399" t="str">
        <x:v>C</x:v>
      </x:c>
      <x:c r="I399" t="str">
        <x:v>1-3 years</x:v>
      </x:c>
      <x:c r="J399" t="str">
        <x:v>OWN</x:v>
      </x:c>
      <x:c r="K399" t="str">
        <x:v>home_improvement</x:v>
      </x:c>
      <x:c r="L399" t="n">
        <x:v>1</x:v>
      </x:c>
      <x:c r="M399" t="n">
        <x:v>1</x:v>
      </x:c>
      <x:c r="N399" t="str">
        <x:v>Charged Off</x:v>
      </x:c>
      <x:c r="O399" t="str">
        <x:f>IF(D399="","Unknown",IF(D399&lt;25000,"&lt;$25k",IF(D399&lt;50000,"$25k-$50k",IF(D399&lt;75000,"$50k-$75k",IF(D399&lt;100000,"$75k-$100k","$100k+")))))</x:f>
        <x:v>$75k-$100k</x:v>
      </x:c>
      <x:c r="P399" t="str">
        <x:f>IF(E399="","Unknown",IF(E399&lt;10,"&lt;10",IF(E399&lt;20,"10-&lt;20",IF(E399&lt;25,"20-&lt;25",IF(E399&lt;35,"25-&lt;35","35+")))))</x:f>
        <x:v>20-&lt;25</x:v>
      </x:c>
    </x:row>
    <x:row r="400">
      <x:c r="A400" t="str">
        <x:v>SYN0000399</x:v>
      </x:c>
      <x:c r="B400" s="12" t="n">
        <x:v>41665</x:v>
      </x:c>
      <x:c r="C400" s="18" t="n">
        <x:v>18012</x:v>
      </x:c>
      <x:c r="D400" s="18" t="n">
        <x:v>76221</x:v>
      </x:c>
      <x:c r="E400" s="18" t="n">
        <x:v>20.55</x:v>
      </x:c>
      <x:c r="F400" s="18" t="n">
        <x:v>5</x:v>
      </x:c>
      <x:c r="G400" t="n">
        <x:v>36</x:v>
      </x:c>
      <x:c r="H400" t="str">
        <x:v>A</x:v>
      </x:c>
      <x:c r="I400" t="str">
        <x:v>4-6 years</x:v>
      </x:c>
      <x:c r="J400" t="str">
        <x:v>MORTGAGE</x:v>
      </x:c>
      <x:c r="K400" t="str">
        <x:v>other</x:v>
      </x:c>
      <x:c r="L400" t="n">
        <x:v>0</x:v>
      </x:c>
      <x:c r="M400" t="n">
        <x:v>0</x:v>
      </x:c>
      <x:c r="N400" t="str">
        <x:v>Fully Paid</x:v>
      </x:c>
      <x:c r="O400" t="str">
        <x:f>IF(D400="","Unknown",IF(D400&lt;25000,"&lt;$25k",IF(D400&lt;50000,"$25k-$50k",IF(D400&lt;75000,"$50k-$75k",IF(D400&lt;100000,"$75k-$100k","$100k+")))))</x:f>
        <x:v>$75k-$100k</x:v>
      </x:c>
      <x:c r="P400" t="str">
        <x:f>IF(E400="","Unknown",IF(E400&lt;10,"&lt;10",IF(E400&lt;20,"10-&lt;20",IF(E400&lt;25,"20-&lt;25",IF(E400&lt;35,"25-&lt;35","35+")))))</x:f>
        <x:v>20-&lt;25</x:v>
      </x:c>
    </x:row>
    <x:row r="401">
      <x:c r="A401" t="str">
        <x:v>SYN0000400</x:v>
      </x:c>
      <x:c r="B401" s="12" t="n">
        <x:v>43315</x:v>
      </x:c>
      <x:c r="C401" s="18" t="n">
        <x:v>40000</x:v>
      </x:c>
      <x:c r="D401" s="18" t="n">
        <x:v>116422</x:v>
      </x:c>
      <x:c r="E401" s="18" t="n">
        <x:v>16.47</x:v>
      </x:c>
      <x:c r="F401" s="18" t="n">
        <x:v>15.75</x:v>
      </x:c>
      <x:c r="G401" t="n">
        <x:v>36</x:v>
      </x:c>
      <x:c r="H401" t="str">
        <x:v>D</x:v>
      </x:c>
      <x:c r="I401" t="str">
        <x:v>7-9 years</x:v>
      </x:c>
      <x:c r="J401" t="str">
        <x:v>MORTGAGE</x:v>
      </x:c>
      <x:c r="K401" t="str">
        <x:v>debt_consolidation</x:v>
      </x:c>
      <x:c r="L401" t="n">
        <x:v>3</x:v>
      </x:c>
      <x:c r="M401" t="n">
        <x:v>0</x:v>
      </x:c>
      <x:c r="N401" t="str">
        <x:v>Fully Paid</x:v>
      </x:c>
      <x:c r="O401" t="str">
        <x:f>IF(D401="","Unknown",IF(D401&lt;25000,"&lt;$25k",IF(D401&lt;50000,"$25k-$50k",IF(D401&lt;75000,"$50k-$75k",IF(D401&lt;100000,"$75k-$100k","$100k+")))))</x:f>
        <x:v>$100k+</x:v>
      </x:c>
      <x:c r="P401" t="str">
        <x:f>IF(E401="","Unknown",IF(E401&lt;10,"&lt;10",IF(E401&lt;20,"10-&lt;20",IF(E401&lt;25,"20-&lt;25",IF(E401&lt;35,"25-&lt;35","35+")))))</x:f>
        <x:v>10-&lt;20</x:v>
      </x:c>
    </x:row>
    <x:row r="402">
      <x:c r="A402" t="str">
        <x:v>SYN0000401</x:v>
      </x:c>
      <x:c r="B402" s="12" t="n">
        <x:v>42685</x:v>
      </x:c>
      <x:c r="C402" s="18" t="n">
        <x:v>9083</x:v>
      </x:c>
      <x:c r="D402" s="18" t="n">
        <x:v>75544</x:v>
      </x:c>
      <x:c r="E402" s="18" t="n">
        <x:v>16.04</x:v>
      </x:c>
      <x:c r="F402" s="18" t="n">
        <x:v>8.73</x:v>
      </x:c>
      <x:c r="G402" t="n">
        <x:v>60</x:v>
      </x:c>
      <x:c r="H402" t="str">
        <x:v>C</x:v>
      </x:c>
      <x:c r="I402" t="str">
        <x:v>10+ years</x:v>
      </x:c>
      <x:c r="J402" t="str">
        <x:v>RENT</x:v>
      </x:c>
      <x:c r="K402" t="str">
        <x:v>debt_consolidation</x:v>
      </x:c>
      <x:c r="L402" t="n">
        <x:v>0</x:v>
      </x:c>
      <x:c r="M402" t="n">
        <x:v>0</x:v>
      </x:c>
      <x:c r="N402" t="str">
        <x:v>Fully Paid</x:v>
      </x:c>
      <x:c r="O402" t="str">
        <x:f>IF(D402="","Unknown",IF(D402&lt;25000,"&lt;$25k",IF(D402&lt;50000,"$25k-$50k",IF(D402&lt;75000,"$50k-$75k",IF(D402&lt;100000,"$75k-$100k","$100k+")))))</x:f>
        <x:v>$75k-$100k</x:v>
      </x:c>
      <x:c r="P402" t="str">
        <x:f>IF(E402="","Unknown",IF(E402&lt;10,"&lt;10",IF(E402&lt;20,"10-&lt;20",IF(E402&lt;25,"20-&lt;25",IF(E402&lt;35,"25-&lt;35","35+")))))</x:f>
        <x:v>10-&lt;20</x:v>
      </x:c>
    </x:row>
    <x:row r="403">
      <x:c r="A403" t="str">
        <x:v>SYN0000402</x:v>
      </x:c>
      <x:c r="B403" s="12" t="n">
        <x:v>43405</x:v>
      </x:c>
      <x:c r="C403" s="18" t="n">
        <x:v>18646</x:v>
      </x:c>
      <x:c r="D403" s="18" t="n">
        <x:v>35821</x:v>
      </x:c>
      <x:c r="E403" s="18" t="n">
        <x:v>30.56</x:v>
      </x:c>
      <x:c r="F403" s="18" t="n">
        <x:v>20.45</x:v>
      </x:c>
      <x:c r="G403" t="n">
        <x:v>60</x:v>
      </x:c>
      <x:c r="H403" t="str">
        <x:v>F</x:v>
      </x:c>
      <x:c r="I403" t="str">
        <x:v>7-9 years</x:v>
      </x:c>
      <x:c r="J403" t="str">
        <x:v>RENT</x:v>
      </x:c>
      <x:c r="K403" t="str">
        <x:v>debt_consolidation</x:v>
      </x:c>
      <x:c r="L403" t="n">
        <x:v>2</x:v>
      </x:c>
      <x:c r="M403" t="n">
        <x:v>0</x:v>
      </x:c>
      <x:c r="N403" t="str">
        <x:v>Fully Paid</x:v>
      </x:c>
      <x:c r="O403" t="str">
        <x:f>IF(D403="","Unknown",IF(D403&lt;25000,"&lt;$25k",IF(D403&lt;50000,"$25k-$50k",IF(D403&lt;75000,"$50k-$75k",IF(D403&lt;100000,"$75k-$100k","$100k+")))))</x:f>
        <x:v>$25k-$50k</x:v>
      </x:c>
      <x:c r="P403" t="str">
        <x:f>IF(E403="","Unknown",IF(E403&lt;10,"&lt;10",IF(E403&lt;20,"10-&lt;20",IF(E403&lt;25,"20-&lt;25",IF(E403&lt;35,"25-&lt;35","35+")))))</x:f>
        <x:v>25-&lt;35</x:v>
      </x:c>
    </x:row>
    <x:row r="404">
      <x:c r="A404" t="str">
        <x:v>SYN0000403</x:v>
      </x:c>
      <x:c r="B404" s="12" t="n">
        <x:v>42775</x:v>
      </x:c>
      <x:c r="C404" s="18" t="n">
        <x:v>21174</x:v>
      </x:c>
      <x:c r="D404" s="18" t="n">
        <x:v>23467</x:v>
      </x:c>
      <x:c r="E404" s="18" t="n">
        <x:v>30.5</x:v>
      </x:c>
      <x:c r="F404" s="18" t="n">
        <x:v>16.61</x:v>
      </x:c>
      <x:c r="G404" t="n">
        <x:v>60</x:v>
      </x:c>
      <x:c r="H404" t="str">
        <x:v>E</x:v>
      </x:c>
      <x:c r="I404" t="str">
        <x:v>10+ years</x:v>
      </x:c>
      <x:c r="J404" t="str">
        <x:v>MORTGAGE</x:v>
      </x:c>
      <x:c r="K404" t="str">
        <x:v>debt_consolidation</x:v>
      </x:c>
      <x:c r="L404" t="n">
        <x:v>2</x:v>
      </x:c>
      <x:c r="M404" t="n">
        <x:v>0</x:v>
      </x:c>
      <x:c r="N404" t="str">
        <x:v>Fully Paid</x:v>
      </x:c>
      <x:c r="O404" t="str">
        <x:f>IF(D404="","Unknown",IF(D404&lt;25000,"&lt;$25k",IF(D404&lt;50000,"$25k-$50k",IF(D404&lt;75000,"$50k-$75k",IF(D404&lt;100000,"$75k-$100k","$100k+")))))</x:f>
        <x:v>&lt;$25k</x:v>
      </x:c>
      <x:c r="P404" t="str">
        <x:f>IF(E404="","Unknown",IF(E404&lt;10,"&lt;10",IF(E404&lt;20,"10-&lt;20",IF(E404&lt;25,"20-&lt;25",IF(E404&lt;35,"25-&lt;35","35+")))))</x:f>
        <x:v>25-&lt;35</x:v>
      </x:c>
    </x:row>
    <x:row r="405">
      <x:c r="A405" t="str">
        <x:v>SYN0000404</x:v>
      </x:c>
      <x:c r="B405" s="12" t="n">
        <x:v>41275</x:v>
      </x:c>
      <x:c r="C405" s="18" t="n">
        <x:v>11925</x:v>
      </x:c>
      <x:c r="D405" s="18" t="n">
        <x:v>79082</x:v>
      </x:c>
      <x:c r="E405" s="18" t="n">
        <x:v>14.44</x:v>
      </x:c>
      <x:c r="F405" s="18" t="n">
        <x:v>13.86</x:v>
      </x:c>
      <x:c r="G405" t="n">
        <x:v>36</x:v>
      </x:c>
      <x:c r="H405" t="str">
        <x:v>D</x:v>
      </x:c>
      <x:c r="I405" t="str">
        <x:v>7-9 years</x:v>
      </x:c>
      <x:c r="J405" t="str">
        <x:v>RENT</x:v>
      </x:c>
      <x:c r="K405" t="str">
        <x:v>credit_card</x:v>
      </x:c>
      <x:c r="L405" t="n">
        <x:v>2</x:v>
      </x:c>
      <x:c r="M405" t="n">
        <x:v>0</x:v>
      </x:c>
      <x:c r="N405" t="str">
        <x:v>Fully Paid</x:v>
      </x:c>
      <x:c r="O405" t="str">
        <x:f>IF(D405="","Unknown",IF(D405&lt;25000,"&lt;$25k",IF(D405&lt;50000,"$25k-$50k",IF(D405&lt;75000,"$50k-$75k",IF(D405&lt;100000,"$75k-$100k","$100k+")))))</x:f>
        <x:v>$75k-$100k</x:v>
      </x:c>
      <x:c r="P405" t="str">
        <x:f>IF(E405="","Unknown",IF(E405&lt;10,"&lt;10",IF(E405&lt;20,"10-&lt;20",IF(E405&lt;25,"20-&lt;25",IF(E405&lt;35,"25-&lt;35","35+")))))</x:f>
        <x:v>10-&lt;20</x:v>
      </x:c>
    </x:row>
    <x:row r="406">
      <x:c r="A406" t="str">
        <x:v>SYN0000405</x:v>
      </x:c>
      <x:c r="B406" s="12" t="n">
        <x:v>41725</x:v>
      </x:c>
      <x:c r="C406" s="18" t="n">
        <x:v>6811</x:v>
      </x:c>
      <x:c r="D406" s="18" t="n">
        <x:v>74570</x:v>
      </x:c>
      <x:c r="E406" s="18" t="n">
        <x:v>8.81</x:v>
      </x:c>
      <x:c r="F406" s="18" t="n">
        <x:v>13.47</x:v>
      </x:c>
      <x:c r="G406" t="n">
        <x:v>36</x:v>
      </x:c>
      <x:c r="H406" t="str">
        <x:v>D</x:v>
      </x:c>
      <x:c r="I406" t="str">
        <x:v>4-6 years</x:v>
      </x:c>
      <x:c r="J406" t="str">
        <x:v>MORTGAGE</x:v>
      </x:c>
      <x:c r="K406" t="str">
        <x:v>debt_consolidation</x:v>
      </x:c>
      <x:c r="L406" t="n">
        <x:v>2</x:v>
      </x:c>
      <x:c r="M406" t="n">
        <x:v>0</x:v>
      </x:c>
      <x:c r="N406" t="str">
        <x:v>Fully Paid</x:v>
      </x:c>
      <x:c r="O406" t="str">
        <x:f>IF(D406="","Unknown",IF(D406&lt;25000,"&lt;$25k",IF(D406&lt;50000,"$25k-$50k",IF(D406&lt;75000,"$50k-$75k",IF(D406&lt;100000,"$75k-$100k","$100k+")))))</x:f>
        <x:v>$50k-$75k</x:v>
      </x:c>
      <x:c r="P406" t="str">
        <x:f>IF(E406="","Unknown",IF(E406&lt;10,"&lt;10",IF(E406&lt;20,"10-&lt;20",IF(E406&lt;25,"20-&lt;25",IF(E406&lt;35,"25-&lt;35","35+")))))</x:f>
        <x:v>&lt;10</x:v>
      </x:c>
    </x:row>
    <x:row r="407">
      <x:c r="A407" t="str">
        <x:v>SYN0000406</x:v>
      </x:c>
      <x:c r="B407" s="12" t="n">
        <x:v>42685</x:v>
      </x:c>
      <x:c r="C407" s="18" t="n">
        <x:v>9088</x:v>
      </x:c>
      <x:c r="D407" s="18" t="n">
        <x:v>43577</x:v>
      </x:c>
      <x:c r="E407" s="18" t="n">
        <x:v>24.99</x:v>
      </x:c>
      <x:c r="F407" s="18" t="n">
        <x:v>18.02</x:v>
      </x:c>
      <x:c r="G407" t="n">
        <x:v>36</x:v>
      </x:c>
      <x:c r="H407" t="str">
        <x:v>E</x:v>
      </x:c>
      <x:c r="I407" t="str">
        <x:v>4-6 years</x:v>
      </x:c>
      <x:c r="J407" t="str">
        <x:v>MORTGAGE</x:v>
      </x:c>
      <x:c r="K407" t="str">
        <x:v>debt_consolidation</x:v>
      </x:c>
      <x:c r="L407" t="n">
        <x:v>1</x:v>
      </x:c>
      <x:c r="M407" t="n">
        <x:v>1</x:v>
      </x:c>
      <x:c r="N407" t="str">
        <x:v>Charged Off</x:v>
      </x:c>
      <x:c r="O407" t="str">
        <x:f>IF(D407="","Unknown",IF(D407&lt;25000,"&lt;$25k",IF(D407&lt;50000,"$25k-$50k",IF(D407&lt;75000,"$50k-$75k",IF(D407&lt;100000,"$75k-$100k","$100k+")))))</x:f>
        <x:v>$25k-$50k</x:v>
      </x:c>
      <x:c r="P407" t="str">
        <x:f>IF(E407="","Unknown",IF(E407&lt;10,"&lt;10",IF(E407&lt;20,"10-&lt;20",IF(E407&lt;25,"20-&lt;25",IF(E407&lt;35,"25-&lt;35","35+")))))</x:f>
        <x:v>20-&lt;25</x:v>
      </x:c>
    </x:row>
    <x:row r="408">
      <x:c r="A408" t="str">
        <x:v>SYN0000407</x:v>
      </x:c>
      <x:c r="B408" s="12" t="n">
        <x:v>41485</x:v>
      </x:c>
      <x:c r="C408" s="18" t="n">
        <x:v>31118</x:v>
      </x:c>
      <x:c r="D408" s="18" t="n">
        <x:v>122209</x:v>
      </x:c>
      <x:c r="E408" s="18" t="n">
        <x:v>17.96</x:v>
      </x:c>
      <x:c r="F408" s="18" t="n">
        <x:v>10.23</x:v>
      </x:c>
      <x:c r="G408" t="n">
        <x:v>36</x:v>
      </x:c>
      <x:c r="H408" t="str">
        <x:v>B</x:v>
      </x:c>
      <x:c r="I408" t="str">
        <x:v>&lt;1 year</x:v>
      </x:c>
      <x:c r="J408" t="str">
        <x:v>OWN</x:v>
      </x:c>
      <x:c r="K408" t="str">
        <x:v>debt_consolidation</x:v>
      </x:c>
      <x:c r="L408" t="n">
        <x:v>0</x:v>
      </x:c>
      <x:c r="M408" t="n">
        <x:v>0</x:v>
      </x:c>
      <x:c r="N408" t="str">
        <x:v>Fully Paid</x:v>
      </x:c>
      <x:c r="O408" t="str">
        <x:f>IF(D408="","Unknown",IF(D408&lt;25000,"&lt;$25k",IF(D408&lt;50000,"$25k-$50k",IF(D408&lt;75000,"$50k-$75k",IF(D408&lt;100000,"$75k-$100k","$100k+")))))</x:f>
        <x:v>$100k+</x:v>
      </x:c>
      <x:c r="P408" t="str">
        <x:f>IF(E408="","Unknown",IF(E408&lt;10,"&lt;10",IF(E408&lt;20,"10-&lt;20",IF(E408&lt;25,"20-&lt;25",IF(E408&lt;35,"25-&lt;35","35+")))))</x:f>
        <x:v>10-&lt;20</x:v>
      </x:c>
    </x:row>
    <x:row r="409">
      <x:c r="A409" t="str">
        <x:v>SYN0000408</x:v>
      </x:c>
      <x:c r="B409" s="12" t="n">
        <x:v>41635</x:v>
      </x:c>
      <x:c r="C409" s="18" t="n">
        <x:v>8161</x:v>
      </x:c>
      <x:c r="D409" s="18" t="n">
        <x:v>34450</x:v>
      </x:c>
      <x:c r="E409" s="18" t="n">
        <x:v>7.88</x:v>
      </x:c>
      <x:c r="F409" s="18" t="n">
        <x:v>6.44</x:v>
      </x:c>
      <x:c r="G409" t="n">
        <x:v>36</x:v>
      </x:c>
      <x:c r="H409" t="str">
        <x:v>A</x:v>
      </x:c>
      <x:c r="I409" t="str">
        <x:v>4-6 years</x:v>
      </x:c>
      <x:c r="J409" t="str">
        <x:v>RENT</x:v>
      </x:c>
      <x:c r="K409" t="str">
        <x:v>medical</x:v>
      </x:c>
      <x:c r="L409" t="n">
        <x:v>0</x:v>
      </x:c>
      <x:c r="M409" t="n">
        <x:v>0</x:v>
      </x:c>
      <x:c r="N409" t="str">
        <x:v>Fully Paid</x:v>
      </x:c>
      <x:c r="O409" t="str">
        <x:f>IF(D409="","Unknown",IF(D409&lt;25000,"&lt;$25k",IF(D409&lt;50000,"$25k-$50k",IF(D409&lt;75000,"$50k-$75k",IF(D409&lt;100000,"$75k-$100k","$100k+")))))</x:f>
        <x:v>$25k-$50k</x:v>
      </x:c>
      <x:c r="P409" t="str">
        <x:f>IF(E409="","Unknown",IF(E409&lt;10,"&lt;10",IF(E409&lt;20,"10-&lt;20",IF(E409&lt;25,"20-&lt;25",IF(E409&lt;35,"25-&lt;35","35+")))))</x:f>
        <x:v>&lt;10</x:v>
      </x:c>
    </x:row>
    <x:row r="410">
      <x:c r="A410" t="str">
        <x:v>SYN0000409</x:v>
      </x:c>
      <x:c r="B410" s="12" t="n">
        <x:v>41335</x:v>
      </x:c>
      <x:c r="C410" s="18" t="n">
        <x:v>13696</x:v>
      </x:c>
      <x:c r="D410" s="18" t="n">
        <x:v>51126</x:v>
      </x:c>
      <x:c r="E410" s="18" t="n">
        <x:v>26.33</x:v>
      </x:c>
      <x:c r="F410" s="18" t="n">
        <x:v>13.47</x:v>
      </x:c>
      <x:c r="G410" t="n">
        <x:v>36</x:v>
      </x:c>
      <x:c r="H410" t="str">
        <x:v>C</x:v>
      </x:c>
      <x:c r="I410" t="str">
        <x:v>1-3 years</x:v>
      </x:c>
      <x:c r="J410" t="str">
        <x:v>OWN</x:v>
      </x:c>
      <x:c r="K410" t="str">
        <x:v>debt_consolidation</x:v>
      </x:c>
      <x:c r="L410" t="n">
        <x:v>1</x:v>
      </x:c>
      <x:c r="M410" t="n">
        <x:v>0</x:v>
      </x:c>
      <x:c r="N410" t="str">
        <x:v>Fully Paid</x:v>
      </x:c>
      <x:c r="O410" t="str">
        <x:f>IF(D410="","Unknown",IF(D410&lt;25000,"&lt;$25k",IF(D410&lt;50000,"$25k-$50k",IF(D410&lt;75000,"$50k-$75k",IF(D410&lt;100000,"$75k-$100k","$100k+")))))</x:f>
        <x:v>$50k-$75k</x:v>
      </x:c>
      <x:c r="P410" t="str">
        <x:f>IF(E410="","Unknown",IF(E410&lt;10,"&lt;10",IF(E410&lt;20,"10-&lt;20",IF(E410&lt;25,"20-&lt;25",IF(E410&lt;35,"25-&lt;35","35+")))))</x:f>
        <x:v>25-&lt;35</x:v>
      </x:c>
    </x:row>
    <x:row r="411">
      <x:c r="A411" t="str">
        <x:v>SYN0000410</x:v>
      </x:c>
      <x:c r="B411" s="12" t="n">
        <x:v>42715</x:v>
      </x:c>
      <x:c r="C411" s="18" t="n">
        <x:v>10238</x:v>
      </x:c>
      <x:c r="D411" s="18" t="n">
        <x:v>31959</x:v>
      </x:c>
      <x:c r="E411" s="18" t="n">
        <x:v>9.52</x:v>
      </x:c>
      <x:c r="F411" s="18" t="n">
        <x:v>13.16</x:v>
      </x:c>
      <x:c r="G411" t="n">
        <x:v>36</x:v>
      </x:c>
      <x:c r="H411" t="str">
        <x:v>C</x:v>
      </x:c>
      <x:c r="I411" t="str">
        <x:v>7-9 years</x:v>
      </x:c>
      <x:c r="J411" t="str">
        <x:v>OWN</x:v>
      </x:c>
      <x:c r="K411" t="str">
        <x:v>debt_consolidation</x:v>
      </x:c>
      <x:c r="L411" t="n">
        <x:v>1</x:v>
      </x:c>
      <x:c r="M411" t="n">
        <x:v>0</x:v>
      </x:c>
      <x:c r="N411" t="str">
        <x:v>Fully Paid</x:v>
      </x:c>
      <x:c r="O411" t="str">
        <x:f>IF(D411="","Unknown",IF(D411&lt;25000,"&lt;$25k",IF(D411&lt;50000,"$25k-$50k",IF(D411&lt;75000,"$50k-$75k",IF(D411&lt;100000,"$75k-$100k","$100k+")))))</x:f>
        <x:v>$25k-$50k</x:v>
      </x:c>
      <x:c r="P411" t="str">
        <x:f>IF(E411="","Unknown",IF(E411&lt;10,"&lt;10",IF(E411&lt;20,"10-&lt;20",IF(E411&lt;25,"20-&lt;25",IF(E411&lt;35,"25-&lt;35","35+")))))</x:f>
        <x:v>&lt;10</x:v>
      </x:c>
    </x:row>
    <x:row r="412">
      <x:c r="A412" t="str">
        <x:v>SYN0000411</x:v>
      </x:c>
      <x:c r="B412" s="12" t="n">
        <x:v>41425</x:v>
      </x:c>
      <x:c r="C412" s="18" t="n">
        <x:v>11552</x:v>
      </x:c>
      <x:c r="D412" s="18" t="n">
        <x:v>78224</x:v>
      </x:c>
      <x:c r="E412" s="18" t="n">
        <x:v>27.51</x:v>
      </x:c>
      <x:c r="F412" s="18" t="n">
        <x:v>20.82</x:v>
      </x:c>
      <x:c r="G412" t="n">
        <x:v>60</x:v>
      </x:c>
      <x:c r="H412" t="str">
        <x:v>F</x:v>
      </x:c>
      <x:c r="I412" t="str">
        <x:v>10+ years</x:v>
      </x:c>
      <x:c r="J412" t="str">
        <x:v>MORTGAGE</x:v>
      </x:c>
      <x:c r="K412" t="str">
        <x:v>debt_consolidation</x:v>
      </x:c>
      <x:c r="L412" t="n">
        <x:v>1</x:v>
      </x:c>
      <x:c r="M412" t="n">
        <x:v>0</x:v>
      </x:c>
      <x:c r="N412" t="str">
        <x:v>Fully Paid</x:v>
      </x:c>
      <x:c r="O412" t="str">
        <x:f>IF(D412="","Unknown",IF(D412&lt;25000,"&lt;$25k",IF(D412&lt;50000,"$25k-$50k",IF(D412&lt;75000,"$50k-$75k",IF(D412&lt;100000,"$75k-$100k","$100k+")))))</x:f>
        <x:v>$75k-$100k</x:v>
      </x:c>
      <x:c r="P412" t="str">
        <x:f>IF(E412="","Unknown",IF(E412&lt;10,"&lt;10",IF(E412&lt;20,"10-&lt;20",IF(E412&lt;25,"20-&lt;25",IF(E412&lt;35,"25-&lt;35","35+")))))</x:f>
        <x:v>25-&lt;35</x:v>
      </x:c>
    </x:row>
    <x:row r="413">
      <x:c r="A413" t="str">
        <x:v>SYN0000412</x:v>
      </x:c>
      <x:c r="B413" s="12" t="n">
        <x:v>42775</x:v>
      </x:c>
      <x:c r="C413" s="18" t="n">
        <x:v>5921</x:v>
      </x:c>
      <x:c r="D413" s="18" t="n">
        <x:v>79357</x:v>
      </x:c>
      <x:c r="E413" s="18" t="n">
        <x:v>28.96</x:v>
      </x:c>
      <x:c r="F413" s="18" t="n">
        <x:v>23.06</x:v>
      </x:c>
      <x:c r="G413" t="n">
        <x:v>60</x:v>
      </x:c>
      <x:c r="H413" t="str">
        <x:v>F</x:v>
      </x:c>
      <x:c r="I413" t="str">
        <x:v>&lt;1 year</x:v>
      </x:c>
      <x:c r="J413" t="str">
        <x:v>MORTGAGE</x:v>
      </x:c>
      <x:c r="K413" t="str">
        <x:v>home_improvement</x:v>
      </x:c>
      <x:c r="L413" t="n">
        <x:v>0</x:v>
      </x:c>
      <x:c r="M413" t="n">
        <x:v>0</x:v>
      </x:c>
      <x:c r="N413" t="str">
        <x:v>Fully Paid</x:v>
      </x:c>
      <x:c r="O413" t="str">
        <x:f>IF(D413="","Unknown",IF(D413&lt;25000,"&lt;$25k",IF(D413&lt;50000,"$25k-$50k",IF(D413&lt;75000,"$50k-$75k",IF(D413&lt;100000,"$75k-$100k","$100k+")))))</x:f>
        <x:v>$75k-$100k</x:v>
      </x:c>
      <x:c r="P413" t="str">
        <x:f>IF(E413="","Unknown",IF(E413&lt;10,"&lt;10",IF(E413&lt;20,"10-&lt;20",IF(E413&lt;25,"20-&lt;25",IF(E413&lt;35,"25-&lt;35","35+")))))</x:f>
        <x:v>25-&lt;35</x:v>
      </x:c>
    </x:row>
    <x:row r="414">
      <x:c r="A414" t="str">
        <x:v>SYN0000413</x:v>
      </x:c>
      <x:c r="B414" s="12" t="n">
        <x:v>41365</x:v>
      </x:c>
      <x:c r="C414" s="18" t="n">
        <x:v>11285</x:v>
      </x:c>
      <x:c r="D414" s="18" t="n">
        <x:v>69980</x:v>
      </x:c>
      <x:c r="E414" s="18" t="n">
        <x:v>21.7</x:v>
      </x:c>
      <x:c r="F414" s="18" t="n">
        <x:v>9.94</x:v>
      </x:c>
      <x:c r="G414" t="n">
        <x:v>36</x:v>
      </x:c>
      <x:c r="H414" t="str">
        <x:v>B</x:v>
      </x:c>
      <x:c r="I414" t="str">
        <x:v>&lt;1 year</x:v>
      </x:c>
      <x:c r="J414" t="str">
        <x:v>MORTGAGE</x:v>
      </x:c>
      <x:c r="K414" t="str">
        <x:v>debt_consolidation</x:v>
      </x:c>
      <x:c r="L414" t="n">
        <x:v>0</x:v>
      </x:c>
      <x:c r="M414" t="n">
        <x:v>0</x:v>
      </x:c>
      <x:c r="N414" t="str">
        <x:v>Fully Paid</x:v>
      </x:c>
      <x:c r="O414" t="str">
        <x:f>IF(D414="","Unknown",IF(D414&lt;25000,"&lt;$25k",IF(D414&lt;50000,"$25k-$50k",IF(D414&lt;75000,"$50k-$75k",IF(D414&lt;100000,"$75k-$100k","$100k+")))))</x:f>
        <x:v>$50k-$75k</x:v>
      </x:c>
      <x:c r="P414" t="str">
        <x:f>IF(E414="","Unknown",IF(E414&lt;10,"&lt;10",IF(E414&lt;20,"10-&lt;20",IF(E414&lt;25,"20-&lt;25",IF(E414&lt;35,"25-&lt;35","35+")))))</x:f>
        <x:v>20-&lt;25</x:v>
      </x:c>
    </x:row>
    <x:row r="415">
      <x:c r="A415" t="str">
        <x:v>SYN0000414</x:v>
      </x:c>
      <x:c r="B415" s="12" t="n">
        <x:v>41965</x:v>
      </x:c>
      <x:c r="C415" s="18" t="n">
        <x:v>9095</x:v>
      </x:c>
      <x:c r="D415" s="18" t="n">
        <x:v>21233</x:v>
      </x:c>
      <x:c r="E415" s="18" t="n">
        <x:v>29.66</x:v>
      </x:c>
      <x:c r="F415" s="18" t="n">
        <x:v>12.14</x:v>
      </x:c>
      <x:c r="G415" t="n">
        <x:v>36</x:v>
      </x:c>
      <x:c r="H415" t="str">
        <x:v>C</x:v>
      </x:c>
      <x:c r="I415" t="str">
        <x:v>10+ years</x:v>
      </x:c>
      <x:c r="J415" t="str">
        <x:v>MORTGAGE</x:v>
      </x:c>
      <x:c r="K415" t="str">
        <x:v>major_purchase</x:v>
      </x:c>
      <x:c r="L415" t="n">
        <x:v>1</x:v>
      </x:c>
      <x:c r="M415" t="n">
        <x:v>0</x:v>
      </x:c>
      <x:c r="N415" t="str">
        <x:v>Fully Paid</x:v>
      </x:c>
      <x:c r="O415" t="str">
        <x:f>IF(D415="","Unknown",IF(D415&lt;25000,"&lt;$25k",IF(D415&lt;50000,"$25k-$50k",IF(D415&lt;75000,"$50k-$75k",IF(D415&lt;100000,"$75k-$100k","$100k+")))))</x:f>
        <x:v>&lt;$25k</x:v>
      </x:c>
      <x:c r="P415" t="str">
        <x:f>IF(E415="","Unknown",IF(E415&lt;10,"&lt;10",IF(E415&lt;20,"10-&lt;20",IF(E415&lt;25,"20-&lt;25",IF(E415&lt;35,"25-&lt;35","35+")))))</x:f>
        <x:v>25-&lt;35</x:v>
      </x:c>
    </x:row>
    <x:row r="416">
      <x:c r="A416" t="str">
        <x:v>SYN0000415</x:v>
      </x:c>
      <x:c r="B416" s="12" t="n">
        <x:v>42265</x:v>
      </x:c>
      <x:c r="C416" s="18" t="n">
        <x:v>17366</x:v>
      </x:c>
      <x:c r="D416" s="18" t="n">
        <x:v>115612</x:v>
      </x:c>
      <x:c r="E416" s="18" t="n">
        <x:v>27.53</x:v>
      </x:c>
      <x:c r="F416" s="18" t="n">
        <x:v>14.23</x:v>
      </x:c>
      <x:c r="G416" t="n">
        <x:v>60</x:v>
      </x:c>
      <x:c r="H416" t="str">
        <x:v>D</x:v>
      </x:c>
      <x:c r="I416" t="str">
        <x:v>&lt;1 year</x:v>
      </x:c>
      <x:c r="J416" t="str">
        <x:v>MORTGAGE</x:v>
      </x:c>
      <x:c r="K416" t="str">
        <x:v>other</x:v>
      </x:c>
      <x:c r="L416" t="n">
        <x:v>2</x:v>
      </x:c>
      <x:c r="M416" t="n">
        <x:v>0</x:v>
      </x:c>
      <x:c r="N416" t="str">
        <x:v>Fully Paid</x:v>
      </x:c>
      <x:c r="O416" t="str">
        <x:f>IF(D416="","Unknown",IF(D416&lt;25000,"&lt;$25k",IF(D416&lt;50000,"$25k-$50k",IF(D416&lt;75000,"$50k-$75k",IF(D416&lt;100000,"$75k-$100k","$100k+")))))</x:f>
        <x:v>$100k+</x:v>
      </x:c>
      <x:c r="P416" t="str">
        <x:f>IF(E416="","Unknown",IF(E416&lt;10,"&lt;10",IF(E416&lt;20,"10-&lt;20",IF(E416&lt;25,"20-&lt;25",IF(E416&lt;35,"25-&lt;35","35+")))))</x:f>
        <x:v>25-&lt;35</x:v>
      </x:c>
    </x:row>
    <x:row r="417">
      <x:c r="A417" t="str">
        <x:v>SYN0000416</x:v>
      </x:c>
      <x:c r="B417" s="12" t="n">
        <x:v>41635</x:v>
      </x:c>
      <x:c r="C417" s="18" t="n">
        <x:v>13537</x:v>
      </x:c>
      <x:c r="D417" s="18" t="n">
        <x:v>57956</x:v>
      </x:c>
      <x:c r="E417" s="18" t="n">
        <x:v>20.16</x:v>
      </x:c>
      <x:c r="F417" s="18" t="n">
        <x:v>7.89</x:v>
      </x:c>
      <x:c r="G417" t="n">
        <x:v>36</x:v>
      </x:c>
      <x:c r="H417" t="str">
        <x:v>B</x:v>
      </x:c>
      <x:c r="I417" t="str">
        <x:v>10+ years</x:v>
      </x:c>
      <x:c r="J417" t="str">
        <x:v>OWN</x:v>
      </x:c>
      <x:c r="K417" t="str">
        <x:v>debt_consolidation</x:v>
      </x:c>
      <x:c r="L417" t="n">
        <x:v>0</x:v>
      </x:c>
      <x:c r="M417" t="n">
        <x:v>0</x:v>
      </x:c>
      <x:c r="N417" t="str">
        <x:v>Fully Paid</x:v>
      </x:c>
      <x:c r="O417" t="str">
        <x:f>IF(D417="","Unknown",IF(D417&lt;25000,"&lt;$25k",IF(D417&lt;50000,"$25k-$50k",IF(D417&lt;75000,"$50k-$75k",IF(D417&lt;100000,"$75k-$100k","$100k+")))))</x:f>
        <x:v>$50k-$75k</x:v>
      </x:c>
      <x:c r="P417" t="str">
        <x:f>IF(E417="","Unknown",IF(E417&lt;10,"&lt;10",IF(E417&lt;20,"10-&lt;20",IF(E417&lt;25,"20-&lt;25",IF(E417&lt;35,"25-&lt;35","35+")))))</x:f>
        <x:v>20-&lt;25</x:v>
      </x:c>
    </x:row>
    <x:row r="418">
      <x:c r="A418" t="str">
        <x:v>SYN0000417</x:v>
      </x:c>
      <x:c r="B418" s="12" t="n">
        <x:v>42205</x:v>
      </x:c>
      <x:c r="C418" s="18" t="n">
        <x:v>7130</x:v>
      </x:c>
      <x:c r="D418" s="18" t="n">
        <x:v>39361</x:v>
      </x:c>
      <x:c r="E418" s="18" t="n">
        <x:v>5.52</x:v>
      </x:c>
      <x:c r="F418" s="18" t="n">
        <x:v>12.85</x:v>
      </x:c>
      <x:c r="G418" t="n">
        <x:v>36</x:v>
      </x:c>
      <x:c r="H418" t="str">
        <x:v>C</x:v>
      </x:c>
      <x:c r="I418" t="str">
        <x:v>7-9 years</x:v>
      </x:c>
      <x:c r="J418" t="str">
        <x:v>MORTGAGE</x:v>
      </x:c>
      <x:c r="K418" t="str">
        <x:v>medical</x:v>
      </x:c>
      <x:c r="L418" t="n">
        <x:v>1</x:v>
      </x:c>
      <x:c r="M418" t="n">
        <x:v>0</x:v>
      </x:c>
      <x:c r="N418" t="str">
        <x:v>Fully Paid</x:v>
      </x:c>
      <x:c r="O418" t="str">
        <x:f>IF(D418="","Unknown",IF(D418&lt;25000,"&lt;$25k",IF(D418&lt;50000,"$25k-$50k",IF(D418&lt;75000,"$50k-$75k",IF(D418&lt;100000,"$75k-$100k","$100k+")))))</x:f>
        <x:v>$25k-$50k</x:v>
      </x:c>
      <x:c r="P418" t="str">
        <x:f>IF(E418="","Unknown",IF(E418&lt;10,"&lt;10",IF(E418&lt;20,"10-&lt;20",IF(E418&lt;25,"20-&lt;25",IF(E418&lt;35,"25-&lt;35","35+")))))</x:f>
        <x:v>&lt;10</x:v>
      </x:c>
    </x:row>
    <x:row r="419">
      <x:c r="A419" t="str">
        <x:v>SYN0000418</x:v>
      </x:c>
      <x:c r="B419" s="12" t="n">
        <x:v>41515</x:v>
      </x:c>
      <x:c r="C419" s="18" t="n">
        <x:v>5710</x:v>
      </x:c>
      <x:c r="D419" s="18" t="n">
        <x:v>22777</x:v>
      </x:c>
      <x:c r="E419" s="18" t="n">
        <x:v>21.94</x:v>
      </x:c>
      <x:c r="F419" s="18" t="n">
        <x:v>17.71</x:v>
      </x:c>
      <x:c r="G419" t="n">
        <x:v>36</x:v>
      </x:c>
      <x:c r="H419" t="str">
        <x:v>E</x:v>
      </x:c>
      <x:c r="I419" t="str">
        <x:v>1-3 years</x:v>
      </x:c>
      <x:c r="J419" t="str">
        <x:v>MORTGAGE</x:v>
      </x:c>
      <x:c r="K419" t="str">
        <x:v>major_purchase</x:v>
      </x:c>
      <x:c r="L419" t="n">
        <x:v>2</x:v>
      </x:c>
      <x:c r="M419" t="n">
        <x:v>1</x:v>
      </x:c>
      <x:c r="N419" t="str">
        <x:v>Charged Off</x:v>
      </x:c>
      <x:c r="O419" t="str">
        <x:f>IF(D419="","Unknown",IF(D419&lt;25000,"&lt;$25k",IF(D419&lt;50000,"$25k-$50k",IF(D419&lt;75000,"$50k-$75k",IF(D419&lt;100000,"$75k-$100k","$100k+")))))</x:f>
        <x:v>&lt;$25k</x:v>
      </x:c>
      <x:c r="P419" t="str">
        <x:f>IF(E419="","Unknown",IF(E419&lt;10,"&lt;10",IF(E419&lt;20,"10-&lt;20",IF(E419&lt;25,"20-&lt;25",IF(E419&lt;35,"25-&lt;35","35+")))))</x:f>
        <x:v>20-&lt;25</x:v>
      </x:c>
    </x:row>
    <x:row r="420">
      <x:c r="A420" t="str">
        <x:v>SYN0000419</x:v>
      </x:c>
      <x:c r="B420" s="12" t="n">
        <x:v>42055</x:v>
      </x:c>
      <x:c r="C420" s="18" t="n">
        <x:v>8080</x:v>
      </x:c>
      <x:c r="D420" s="18" t="n">
        <x:v>84114</x:v>
      </x:c>
      <x:c r="E420" s="18" t="n">
        <x:v>14.37</x:v>
      </x:c>
      <x:c r="F420" s="18" t="n">
        <x:v>5</x:v>
      </x:c>
      <x:c r="G420" t="n">
        <x:v>36</x:v>
      </x:c>
      <x:c r="H420" t="str">
        <x:v>B</x:v>
      </x:c>
      <x:c r="I420" t="str">
        <x:v>4-6 years</x:v>
      </x:c>
      <x:c r="J420" t="str">
        <x:v>RENT</x:v>
      </x:c>
      <x:c r="K420" t="str">
        <x:v>home_improvement</x:v>
      </x:c>
      <x:c r="L420" t="n">
        <x:v>0</x:v>
      </x:c>
      <x:c r="M420" t="n">
        <x:v>0</x:v>
      </x:c>
      <x:c r="N420" t="str">
        <x:v>Fully Paid</x:v>
      </x:c>
      <x:c r="O420" t="str">
        <x:f>IF(D420="","Unknown",IF(D420&lt;25000,"&lt;$25k",IF(D420&lt;50000,"$25k-$50k",IF(D420&lt;75000,"$50k-$75k",IF(D420&lt;100000,"$75k-$100k","$100k+")))))</x:f>
        <x:v>$75k-$100k</x:v>
      </x:c>
      <x:c r="P420" t="str">
        <x:f>IF(E420="","Unknown",IF(E420&lt;10,"&lt;10",IF(E420&lt;20,"10-&lt;20",IF(E420&lt;25,"20-&lt;25",IF(E420&lt;35,"25-&lt;35","35+")))))</x:f>
        <x:v>10-&lt;20</x:v>
      </x:c>
    </x:row>
    <x:row r="421">
      <x:c r="A421" t="str">
        <x:v>SYN0000420</x:v>
      </x:c>
      <x:c r="B421" s="12" t="n">
        <x:v>41485</x:v>
      </x:c>
      <x:c r="C421" s="18" t="n">
        <x:v>18560</x:v>
      </x:c>
      <x:c r="D421" s="18" t="n">
        <x:v>41293</x:v>
      </x:c>
      <x:c r="E421" s="18" t="n">
        <x:v>46.6</x:v>
      </x:c>
      <x:c r="F421" s="18" t="n">
        <x:v>17.36</x:v>
      </x:c>
      <x:c r="G421" t="n">
        <x:v>36</x:v>
      </x:c>
      <x:c r="H421" t="str">
        <x:v>D</x:v>
      </x:c>
      <x:c r="I421" t="str">
        <x:v>1-3 years</x:v>
      </x:c>
      <x:c r="J421" t="str">
        <x:v>RENT</x:v>
      </x:c>
      <x:c r="K421" t="str">
        <x:v>debt_consolidation</x:v>
      </x:c>
      <x:c r="L421" t="n">
        <x:v>1</x:v>
      </x:c>
      <x:c r="M421" t="n">
        <x:v>1</x:v>
      </x:c>
      <x:c r="N421" t="str">
        <x:v>Charged Off</x:v>
      </x:c>
      <x:c r="O421" t="str">
        <x:f>IF(D421="","Unknown",IF(D421&lt;25000,"&lt;$25k",IF(D421&lt;50000,"$25k-$50k",IF(D421&lt;75000,"$50k-$75k",IF(D421&lt;100000,"$75k-$100k","$100k+")))))</x:f>
        <x:v>$25k-$50k</x:v>
      </x:c>
      <x:c r="P421" t="str">
        <x:f>IF(E421="","Unknown",IF(E421&lt;10,"&lt;10",IF(E421&lt;20,"10-&lt;20",IF(E421&lt;25,"20-&lt;25",IF(E421&lt;35,"25-&lt;35","35+")))))</x:f>
        <x:v>35+</x:v>
      </x:c>
    </x:row>
    <x:row r="422">
      <x:c r="A422" t="str">
        <x:v>SYN0000421</x:v>
      </x:c>
      <x:c r="B422" s="12" t="n">
        <x:v>41425</x:v>
      </x:c>
      <x:c r="C422" s="18" t="n">
        <x:v>10646</x:v>
      </x:c>
      <x:c r="D422" s="18" t="n">
        <x:v>18903</x:v>
      </x:c>
      <x:c r="E422" s="18" t="n">
        <x:v>27.34</x:v>
      </x:c>
      <x:c r="F422" s="18" t="n">
        <x:v>8.82</x:v>
      </x:c>
      <x:c r="G422" t="n">
        <x:v>60</x:v>
      </x:c>
      <x:c r="H422" t="str">
        <x:v>B</x:v>
      </x:c>
      <x:c r="I422" t="str">
        <x:v>&lt;1 year</x:v>
      </x:c>
      <x:c r="J422" t="str">
        <x:v>MORTGAGE</x:v>
      </x:c>
      <x:c r="K422" t="str">
        <x:v>credit_card</x:v>
      </x:c>
      <x:c r="L422" t="n">
        <x:v>0</x:v>
      </x:c>
      <x:c r="M422" t="n">
        <x:v>0</x:v>
      </x:c>
      <x:c r="N422" t="str">
        <x:v>Fully Paid</x:v>
      </x:c>
      <x:c r="O422" t="str">
        <x:f>IF(D422="","Unknown",IF(D422&lt;25000,"&lt;$25k",IF(D422&lt;50000,"$25k-$50k",IF(D422&lt;75000,"$50k-$75k",IF(D422&lt;100000,"$75k-$100k","$100k+")))))</x:f>
        <x:v>&lt;$25k</x:v>
      </x:c>
      <x:c r="P422" t="str">
        <x:f>IF(E422="","Unknown",IF(E422&lt;10,"&lt;10",IF(E422&lt;20,"10-&lt;20",IF(E422&lt;25,"20-&lt;25",IF(E422&lt;35,"25-&lt;35","35+")))))</x:f>
        <x:v>25-&lt;35</x:v>
      </x:c>
    </x:row>
    <x:row r="423">
      <x:c r="A423" t="str">
        <x:v>SYN0000422</x:v>
      </x:c>
      <x:c r="B423" s="12" t="n">
        <x:v>43285</x:v>
      </x:c>
      <x:c r="C423" s="18" t="n">
        <x:v>21488</x:v>
      </x:c>
      <x:c r="D423" s="18" t="n">
        <x:v>24720</x:v>
      </x:c>
      <x:c r="E423" s="18" t="n">
        <x:v>21.05</x:v>
      </x:c>
      <x:c r="F423" s="18" t="n">
        <x:v>12.31</x:v>
      </x:c>
      <x:c r="G423" t="n">
        <x:v>36</x:v>
      </x:c>
      <x:c r="H423" t="str">
        <x:v>D</x:v>
      </x:c>
      <x:c r="I423" t="str">
        <x:v>&lt;1 year</x:v>
      </x:c>
      <x:c r="J423" t="str">
        <x:v>MORTGAGE</x:v>
      </x:c>
      <x:c r="K423" t="str">
        <x:v>debt_consolidation</x:v>
      </x:c>
      <x:c r="L423" t="n">
        <x:v>1</x:v>
      </x:c>
      <x:c r="M423" t="n">
        <x:v>0</x:v>
      </x:c>
      <x:c r="N423" t="str">
        <x:v>Fully Paid</x:v>
      </x:c>
      <x:c r="O423" t="str">
        <x:f>IF(D423="","Unknown",IF(D423&lt;25000,"&lt;$25k",IF(D423&lt;50000,"$25k-$50k",IF(D423&lt;75000,"$50k-$75k",IF(D423&lt;100000,"$75k-$100k","$100k+")))))</x:f>
        <x:v>&lt;$25k</x:v>
      </x:c>
      <x:c r="P423" t="str">
        <x:f>IF(E423="","Unknown",IF(E423&lt;10,"&lt;10",IF(E423&lt;20,"10-&lt;20",IF(E423&lt;25,"20-&lt;25",IF(E423&lt;35,"25-&lt;35","35+")))))</x:f>
        <x:v>20-&lt;25</x:v>
      </x:c>
    </x:row>
    <x:row r="424">
      <x:c r="A424" t="str">
        <x:v>SYN0000423</x:v>
      </x:c>
      <x:c r="B424" s="12" t="n">
        <x:v>42415</x:v>
      </x:c>
      <x:c r="C424" s="18" t="n">
        <x:v>13852</x:v>
      </x:c>
      <x:c r="D424" s="18" t="n">
        <x:v>64670</x:v>
      </x:c>
      <x:c r="E424" s="18" t="n">
        <x:v>15.39</x:v>
      </x:c>
      <x:c r="F424" s="18" t="n">
        <x:v>7.8</x:v>
      </x:c>
      <x:c r="G424" t="n">
        <x:v>36</x:v>
      </x:c>
      <x:c r="H424" t="str">
        <x:v>B</x:v>
      </x:c>
      <x:c r="I424" t="str">
        <x:v>10+ years</x:v>
      </x:c>
      <x:c r="J424" t="str">
        <x:v>RENT</x:v>
      </x:c>
      <x:c r="K424" t="str">
        <x:v>debt_consolidation</x:v>
      </x:c>
      <x:c r="L424" t="n">
        <x:v>1</x:v>
      </x:c>
      <x:c r="M424" t="n">
        <x:v>0</x:v>
      </x:c>
      <x:c r="N424" t="str">
        <x:v>Fully Paid</x:v>
      </x:c>
      <x:c r="O424" t="str">
        <x:f>IF(D424="","Unknown",IF(D424&lt;25000,"&lt;$25k",IF(D424&lt;50000,"$25k-$50k",IF(D424&lt;75000,"$50k-$75k",IF(D424&lt;100000,"$75k-$100k","$100k+")))))</x:f>
        <x:v>$50k-$75k</x:v>
      </x:c>
      <x:c r="P424" t="str">
        <x:f>IF(E424="","Unknown",IF(E424&lt;10,"&lt;10",IF(E424&lt;20,"10-&lt;20",IF(E424&lt;25,"20-&lt;25",IF(E424&lt;35,"25-&lt;35","35+")))))</x:f>
        <x:v>10-&lt;20</x:v>
      </x:c>
    </x:row>
    <x:row r="425">
      <x:c r="A425" t="str">
        <x:v>SYN0000424</x:v>
      </x:c>
      <x:c r="B425" s="12" t="n">
        <x:v>43405</x:v>
      </x:c>
      <x:c r="C425" s="18" t="n">
        <x:v>7905</x:v>
      </x:c>
      <x:c r="D425" s="18" t="n">
        <x:v>31565</x:v>
      </x:c>
      <x:c r="E425" s="18" t="n">
        <x:v>32.63</x:v>
      </x:c>
      <x:c r="F425" s="18" t="n">
        <x:v>9.26</x:v>
      </x:c>
      <x:c r="G425" t="n">
        <x:v>36</x:v>
      </x:c>
      <x:c r="H425" t="str">
        <x:v>C</x:v>
      </x:c>
      <x:c r="I425" t="str">
        <x:v>10+ years</x:v>
      </x:c>
      <x:c r="J425" t="str">
        <x:v>RENT</x:v>
      </x:c>
      <x:c r="K425" t="str">
        <x:v>credit_card</x:v>
      </x:c>
      <x:c r="L425" t="n">
        <x:v>0</x:v>
      </x:c>
      <x:c r="M425" t="n">
        <x:v>0</x:v>
      </x:c>
      <x:c r="N425" t="str">
        <x:v>Fully Paid</x:v>
      </x:c>
      <x:c r="O425" t="str">
        <x:f>IF(D425="","Unknown",IF(D425&lt;25000,"&lt;$25k",IF(D425&lt;50000,"$25k-$50k",IF(D425&lt;75000,"$50k-$75k",IF(D425&lt;100000,"$75k-$100k","$100k+")))))</x:f>
        <x:v>$25k-$50k</x:v>
      </x:c>
      <x:c r="P425" t="str">
        <x:f>IF(E425="","Unknown",IF(E425&lt;10,"&lt;10",IF(E425&lt;20,"10-&lt;20",IF(E425&lt;25,"20-&lt;25",IF(E425&lt;35,"25-&lt;35","35+")))))</x:f>
        <x:v>25-&lt;35</x:v>
      </x:c>
    </x:row>
    <x:row r="426">
      <x:c r="A426" t="str">
        <x:v>SYN0000425</x:v>
      </x:c>
      <x:c r="B426" s="12" t="n">
        <x:v>42235</x:v>
      </x:c>
      <x:c r="C426" s="18" t="n">
        <x:v>12729</x:v>
      </x:c>
      <x:c r="D426" s="18" t="n">
        <x:v>46833</x:v>
      </x:c>
      <x:c r="E426" s="18" t="n">
        <x:v>15.9</x:v>
      </x:c>
      <x:c r="F426" s="18" t="n">
        <x:v>8.01</x:v>
      </x:c>
      <x:c r="G426" t="n">
        <x:v>60</x:v>
      </x:c>
      <x:c r="H426" t="str">
        <x:v>B</x:v>
      </x:c>
      <x:c r="I426" t="str">
        <x:v>&lt;1 year</x:v>
      </x:c>
      <x:c r="J426" t="str">
        <x:v>MORTGAGE</x:v>
      </x:c>
      <x:c r="K426" t="str">
        <x:v>debt_consolidation</x:v>
      </x:c>
      <x:c r="L426" t="n">
        <x:v>0</x:v>
      </x:c>
      <x:c r="M426" t="n">
        <x:v>0</x:v>
      </x:c>
      <x:c r="N426" t="str">
        <x:v>Fully Paid</x:v>
      </x:c>
      <x:c r="O426" t="str">
        <x:f>IF(D426="","Unknown",IF(D426&lt;25000,"&lt;$25k",IF(D426&lt;50000,"$25k-$50k",IF(D426&lt;75000,"$50k-$75k",IF(D426&lt;100000,"$75k-$100k","$100k+")))))</x:f>
        <x:v>$25k-$50k</x:v>
      </x:c>
      <x:c r="P426" t="str">
        <x:f>IF(E426="","Unknown",IF(E426&lt;10,"&lt;10",IF(E426&lt;20,"10-&lt;20",IF(E426&lt;25,"20-&lt;25",IF(E426&lt;35,"25-&lt;35","35+")))))</x:f>
        <x:v>10-&lt;20</x:v>
      </x:c>
    </x:row>
    <x:row r="427">
      <x:c r="A427" t="str">
        <x:v>SYN0000426</x:v>
      </x:c>
      <x:c r="B427" s="12" t="n">
        <x:v>41305</x:v>
      </x:c>
      <x:c r="C427" s="18" t="n">
        <x:v>18887</x:v>
      </x:c>
      <x:c r="D427" s="18" t="n">
        <x:v>19469</x:v>
      </x:c>
      <x:c r="E427" s="18" t="n">
        <x:v>28.98</x:v>
      </x:c>
      <x:c r="F427" s="18" t="n">
        <x:v>19.18</x:v>
      </x:c>
      <x:c r="G427" t="n">
        <x:v>60</x:v>
      </x:c>
      <x:c r="H427" t="str">
        <x:v>E</x:v>
      </x:c>
      <x:c r="I427" t="str">
        <x:v>4-6 years</x:v>
      </x:c>
      <x:c r="J427" t="str">
        <x:v>MORTGAGE</x:v>
      </x:c>
      <x:c r="K427" t="str">
        <x:v>debt_consolidation</x:v>
      </x:c>
      <x:c r="L427" t="n">
        <x:v>1</x:v>
      </x:c>
      <x:c r="M427" t="n">
        <x:v>0</x:v>
      </x:c>
      <x:c r="N427" t="str">
        <x:v>Fully Paid</x:v>
      </x:c>
      <x:c r="O427" t="str">
        <x:f>IF(D427="","Unknown",IF(D427&lt;25000,"&lt;$25k",IF(D427&lt;50000,"$25k-$50k",IF(D427&lt;75000,"$50k-$75k",IF(D427&lt;100000,"$75k-$100k","$100k+")))))</x:f>
        <x:v>&lt;$25k</x:v>
      </x:c>
      <x:c r="P427" t="str">
        <x:f>IF(E427="","Unknown",IF(E427&lt;10,"&lt;10",IF(E427&lt;20,"10-&lt;20",IF(E427&lt;25,"20-&lt;25",IF(E427&lt;35,"25-&lt;35","35+")))))</x:f>
        <x:v>25-&lt;35</x:v>
      </x:c>
    </x:row>
    <x:row r="428">
      <x:c r="A428" t="str">
        <x:v>SYN0000427</x:v>
      </x:c>
      <x:c r="B428" s="12" t="n">
        <x:v>43165</x:v>
      </x:c>
      <x:c r="C428" s="18" t="n">
        <x:v>11338</x:v>
      </x:c>
      <x:c r="D428" s="18" t="n">
        <x:v>40598</x:v>
      </x:c>
      <x:c r="E428" s="18" t="n">
        <x:v>6.11</x:v>
      </x:c>
      <x:c r="F428" s="18" t="n">
        <x:v>6.41</x:v>
      </x:c>
      <x:c r="G428" t="n">
        <x:v>36</x:v>
      </x:c>
      <x:c r="H428" t="str">
        <x:v>B</x:v>
      </x:c>
      <x:c r="I428" t="str">
        <x:v>4-6 years</x:v>
      </x:c>
      <x:c r="J428" t="str">
        <x:v>MORTGAGE</x:v>
      </x:c>
      <x:c r="K428" t="str">
        <x:v>credit_card</x:v>
      </x:c>
      <x:c r="L428" t="n">
        <x:v>1</x:v>
      </x:c>
      <x:c r="M428" t="n">
        <x:v>0</x:v>
      </x:c>
      <x:c r="N428" t="str">
        <x:v>Fully Paid</x:v>
      </x:c>
      <x:c r="O428" t="str">
        <x:f>IF(D428="","Unknown",IF(D428&lt;25000,"&lt;$25k",IF(D428&lt;50000,"$25k-$50k",IF(D428&lt;75000,"$50k-$75k",IF(D428&lt;100000,"$75k-$100k","$100k+")))))</x:f>
        <x:v>$25k-$50k</x:v>
      </x:c>
      <x:c r="P428" t="str">
        <x:f>IF(E428="","Unknown",IF(E428&lt;10,"&lt;10",IF(E428&lt;20,"10-&lt;20",IF(E428&lt;25,"20-&lt;25",IF(E428&lt;35,"25-&lt;35","35+")))))</x:f>
        <x:v>&lt;10</x:v>
      </x:c>
    </x:row>
    <x:row r="429">
      <x:c r="A429" t="str">
        <x:v>SYN0000428</x:v>
      </x:c>
      <x:c r="B429" s="12" t="n">
        <x:v>42175</x:v>
      </x:c>
      <x:c r="C429" s="18" t="n">
        <x:v>9574</x:v>
      </x:c>
      <x:c r="D429" s="18" t="n">
        <x:v>62738</x:v>
      </x:c>
      <x:c r="E429" s="18" t="n">
        <x:v>21.21</x:v>
      </x:c>
      <x:c r="F429" s="18" t="n">
        <x:v>8.56</x:v>
      </x:c>
      <x:c r="G429" t="n">
        <x:v>36</x:v>
      </x:c>
      <x:c r="H429" t="str">
        <x:v>A</x:v>
      </x:c>
      <x:c r="I429" t="str">
        <x:v>4-6 years</x:v>
      </x:c>
      <x:c r="J429" t="str">
        <x:v>RENT</x:v>
      </x:c>
      <x:c r="K429" t="str">
        <x:v>credit_card</x:v>
      </x:c>
      <x:c r="L429" t="n">
        <x:v>0</x:v>
      </x:c>
      <x:c r="M429" t="n">
        <x:v>0</x:v>
      </x:c>
      <x:c r="N429" t="str">
        <x:v>Fully Paid</x:v>
      </x:c>
      <x:c r="O429" t="str">
        <x:f>IF(D429="","Unknown",IF(D429&lt;25000,"&lt;$25k",IF(D429&lt;50000,"$25k-$50k",IF(D429&lt;75000,"$50k-$75k",IF(D429&lt;100000,"$75k-$100k","$100k+")))))</x:f>
        <x:v>$50k-$75k</x:v>
      </x:c>
      <x:c r="P429" t="str">
        <x:f>IF(E429="","Unknown",IF(E429&lt;10,"&lt;10",IF(E429&lt;20,"10-&lt;20",IF(E429&lt;25,"20-&lt;25",IF(E429&lt;35,"25-&lt;35","35+")))))</x:f>
        <x:v>20-&lt;25</x:v>
      </x:c>
    </x:row>
    <x:row r="430">
      <x:c r="A430" t="str">
        <x:v>SYN0000429</x:v>
      </x:c>
      <x:c r="B430" s="12" t="n">
        <x:v>42325</x:v>
      </x:c>
      <x:c r="C430" s="18" t="n">
        <x:v>19839</x:v>
      </x:c>
      <x:c r="D430" s="18" t="n">
        <x:v>48169</x:v>
      </x:c>
      <x:c r="E430" s="18" t="n">
        <x:v>17.92</x:v>
      </x:c>
      <x:c r="F430" s="18" t="n">
        <x:v>12.39</x:v>
      </x:c>
      <x:c r="G430" t="n">
        <x:v>60</x:v>
      </x:c>
      <x:c r="H430" t="str">
        <x:v>D</x:v>
      </x:c>
      <x:c r="I430" t="str">
        <x:v>10+ years</x:v>
      </x:c>
      <x:c r="J430" t="str">
        <x:v>RENT</x:v>
      </x:c>
      <x:c r="K430" t="str">
        <x:v>credit_card</x:v>
      </x:c>
      <x:c r="L430" t="n">
        <x:v>1</x:v>
      </x:c>
      <x:c r="M430" t="n">
        <x:v>1</x:v>
      </x:c>
      <x:c r="N430" t="str">
        <x:v>Charged Off</x:v>
      </x:c>
      <x:c r="O430" t="str">
        <x:f>IF(D430="","Unknown",IF(D430&lt;25000,"&lt;$25k",IF(D430&lt;50000,"$25k-$50k",IF(D430&lt;75000,"$50k-$75k",IF(D430&lt;100000,"$75k-$100k","$100k+")))))</x:f>
        <x:v>$25k-$50k</x:v>
      </x:c>
      <x:c r="P430" t="str">
        <x:f>IF(E430="","Unknown",IF(E430&lt;10,"&lt;10",IF(E430&lt;20,"10-&lt;20",IF(E430&lt;25,"20-&lt;25",IF(E430&lt;35,"25-&lt;35","35+")))))</x:f>
        <x:v>10-&lt;20</x:v>
      </x:c>
    </x:row>
    <x:row r="431">
      <x:c r="A431" t="str">
        <x:v>SYN0000430</x:v>
      </x:c>
      <x:c r="B431" s="12" t="n">
        <x:v>42175</x:v>
      </x:c>
      <x:c r="C431" s="18" t="n">
        <x:v>8112</x:v>
      </x:c>
      <x:c r="D431" s="18" t="n">
        <x:v>13844</x:v>
      </x:c>
      <x:c r="E431" s="18" t="n">
        <x:v>38.36</x:v>
      </x:c>
      <x:c r="F431" s="18" t="n">
        <x:v>26.17</x:v>
      </x:c>
      <x:c r="G431" t="n">
        <x:v>36</x:v>
      </x:c>
      <x:c r="H431" t="str">
        <x:v>G</x:v>
      </x:c>
      <x:c r="I431" t="str">
        <x:v>1-3 years</x:v>
      </x:c>
      <x:c r="J431" t="str">
        <x:v>MORTGAGE</x:v>
      </x:c>
      <x:c r="K431" t="str">
        <x:v>debt_consolidation</x:v>
      </x:c>
      <x:c r="L431" t="n">
        <x:v>0</x:v>
      </x:c>
      <x:c r="M431" t="n">
        <x:v>1</x:v>
      </x:c>
      <x:c r="N431" t="str">
        <x:v>Charged Off</x:v>
      </x:c>
      <x:c r="O431" t="str">
        <x:f>IF(D431="","Unknown",IF(D431&lt;25000,"&lt;$25k",IF(D431&lt;50000,"$25k-$50k",IF(D431&lt;75000,"$50k-$75k",IF(D431&lt;100000,"$75k-$100k","$100k+")))))</x:f>
        <x:v>&lt;$25k</x:v>
      </x:c>
      <x:c r="P431" t="str">
        <x:f>IF(E431="","Unknown",IF(E431&lt;10,"&lt;10",IF(E431&lt;20,"10-&lt;20",IF(E431&lt;25,"20-&lt;25",IF(E431&lt;35,"25-&lt;35","35+")))))</x:f>
        <x:v>35+</x:v>
      </x:c>
    </x:row>
    <x:row r="432">
      <x:c r="A432" t="str">
        <x:v>SYN0000431</x:v>
      </x:c>
      <x:c r="B432" s="12" t="n">
        <x:v>42175</x:v>
      </x:c>
      <x:c r="C432" s="18" t="n">
        <x:v>17579</x:v>
      </x:c>
      <x:c r="D432" s="18" t="n">
        <x:v>37352</x:v>
      </x:c>
      <x:c r="E432" s="18" t="n">
        <x:v>30.68</x:v>
      </x:c>
      <x:c r="F432" s="18" t="n">
        <x:v>8.25</x:v>
      </x:c>
      <x:c r="G432" t="n">
        <x:v>60</x:v>
      </x:c>
      <x:c r="H432" t="str">
        <x:v>C</x:v>
      </x:c>
      <x:c r="I432" t="str">
        <x:v>4-6 years</x:v>
      </x:c>
      <x:c r="J432" t="str">
        <x:v>MORTGAGE</x:v>
      </x:c>
      <x:c r="K432" t="str">
        <x:v>debt_consolidation</x:v>
      </x:c>
      <x:c r="L432" t="n">
        <x:v>0</x:v>
      </x:c>
      <x:c r="M432" t="n">
        <x:v>0</x:v>
      </x:c>
      <x:c r="N432" t="str">
        <x:v>Fully Paid</x:v>
      </x:c>
      <x:c r="O432" t="str">
        <x:f>IF(D432="","Unknown",IF(D432&lt;25000,"&lt;$25k",IF(D432&lt;50000,"$25k-$50k",IF(D432&lt;75000,"$50k-$75k",IF(D432&lt;100000,"$75k-$100k","$100k+")))))</x:f>
        <x:v>$25k-$50k</x:v>
      </x:c>
      <x:c r="P432" t="str">
        <x:f>IF(E432="","Unknown",IF(E432&lt;10,"&lt;10",IF(E432&lt;20,"10-&lt;20",IF(E432&lt;25,"20-&lt;25",IF(E432&lt;35,"25-&lt;35","35+")))))</x:f>
        <x:v>25-&lt;35</x:v>
      </x:c>
    </x:row>
    <x:row r="433">
      <x:c r="A433" t="str">
        <x:v>SYN0000432</x:v>
      </x:c>
      <x:c r="B433" s="12" t="n">
        <x:v>43135</x:v>
      </x:c>
      <x:c r="C433" s="18" t="n">
        <x:v>6586</x:v>
      </x:c>
      <x:c r="D433" s="18" t="n">
        <x:v>69551</x:v>
      </x:c>
      <x:c r="E433" s="18" t="n">
        <x:v>24.12</x:v>
      </x:c>
      <x:c r="F433" s="18" t="n">
        <x:v>13.16</x:v>
      </x:c>
      <x:c r="G433" t="n">
        <x:v>60</x:v>
      </x:c>
      <x:c r="H433" t="str">
        <x:v>C</x:v>
      </x:c>
      <x:c r="I433" t="str">
        <x:v>10+ years</x:v>
      </x:c>
      <x:c r="J433" t="str">
        <x:v>RENT</x:v>
      </x:c>
      <x:c r="K433" t="str">
        <x:v>debt_consolidation</x:v>
      </x:c>
      <x:c r="L433" t="n">
        <x:v>1</x:v>
      </x:c>
      <x:c r="M433" t="n">
        <x:v>0</x:v>
      </x:c>
      <x:c r="N433" t="str">
        <x:v>Fully Paid</x:v>
      </x:c>
      <x:c r="O433" t="str">
        <x:f>IF(D433="","Unknown",IF(D433&lt;25000,"&lt;$25k",IF(D433&lt;50000,"$25k-$50k",IF(D433&lt;75000,"$50k-$75k",IF(D433&lt;100000,"$75k-$100k","$100k+")))))</x:f>
        <x:v>$50k-$75k</x:v>
      </x:c>
      <x:c r="P433" t="str">
        <x:f>IF(E433="","Unknown",IF(E433&lt;10,"&lt;10",IF(E433&lt;20,"10-&lt;20",IF(E433&lt;25,"20-&lt;25",IF(E433&lt;35,"25-&lt;35","35+")))))</x:f>
        <x:v>20-&lt;25</x:v>
      </x:c>
    </x:row>
    <x:row r="434">
      <x:c r="A434" t="str">
        <x:v>SYN0000433</x:v>
      </x:c>
      <x:c r="B434" s="12" t="n">
        <x:v>41815</x:v>
      </x:c>
      <x:c r="C434" s="18" t="n">
        <x:v>7495</x:v>
      </x:c>
      <x:c r="D434" s="18" t="n">
        <x:v>22939</x:v>
      </x:c>
      <x:c r="E434" s="18" t="n">
        <x:v>23.88</x:v>
      </x:c>
      <x:c r="F434" s="18" t="n">
        <x:v>10.94</x:v>
      </x:c>
      <x:c r="G434" t="n">
        <x:v>36</x:v>
      </x:c>
      <x:c r="H434" t="str">
        <x:v>C</x:v>
      </x:c>
      <x:c r="I434" t="str">
        <x:v>10+ years</x:v>
      </x:c>
      <x:c r="J434" t="str">
        <x:v>MORTGAGE</x:v>
      </x:c>
      <x:c r="K434" t="str">
        <x:v>debt_consolidation</x:v>
      </x:c>
      <x:c r="L434" t="n">
        <x:v>1</x:v>
      </x:c>
      <x:c r="M434" t="n">
        <x:v>1</x:v>
      </x:c>
      <x:c r="N434" t="str">
        <x:v>Charged Off</x:v>
      </x:c>
      <x:c r="O434" t="str">
        <x:f>IF(D434="","Unknown",IF(D434&lt;25000,"&lt;$25k",IF(D434&lt;50000,"$25k-$50k",IF(D434&lt;75000,"$50k-$75k",IF(D434&lt;100000,"$75k-$100k","$100k+")))))</x:f>
        <x:v>&lt;$25k</x:v>
      </x:c>
      <x:c r="P434" t="str">
        <x:f>IF(E434="","Unknown",IF(E434&lt;10,"&lt;10",IF(E434&lt;20,"10-&lt;20",IF(E434&lt;25,"20-&lt;25",IF(E434&lt;35,"25-&lt;35","35+")))))</x:f>
        <x:v>20-&lt;25</x:v>
      </x:c>
    </x:row>
    <x:row r="435">
      <x:c r="A435" t="str">
        <x:v>SYN0000434</x:v>
      </x:c>
      <x:c r="B435" s="12" t="n">
        <x:v>41905</x:v>
      </x:c>
      <x:c r="C435" s="18" t="n">
        <x:v>6453</x:v>
      </x:c>
      <x:c r="D435" s="18" t="n">
        <x:v>56648</x:v>
      </x:c>
      <x:c r="E435" s="18" t="n">
        <x:v>16.31</x:v>
      </x:c>
      <x:c r="F435" s="18" t="n">
        <x:v>5.28</x:v>
      </x:c>
      <x:c r="G435" t="n">
        <x:v>36</x:v>
      </x:c>
      <x:c r="H435" t="str">
        <x:v>A</x:v>
      </x:c>
      <x:c r="I435" t="str">
        <x:v>1-3 years</x:v>
      </x:c>
      <x:c r="J435" t="str">
        <x:v>OWN</x:v>
      </x:c>
      <x:c r="K435" t="str">
        <x:v>debt_consolidation</x:v>
      </x:c>
      <x:c r="L435" t="n">
        <x:v>0</x:v>
      </x:c>
      <x:c r="M435" t="n">
        <x:v>0</x:v>
      </x:c>
      <x:c r="N435" t="str">
        <x:v>Fully Paid</x:v>
      </x:c>
      <x:c r="O435" t="str">
        <x:f>IF(D435="","Unknown",IF(D435&lt;25000,"&lt;$25k",IF(D435&lt;50000,"$25k-$50k",IF(D435&lt;75000,"$50k-$75k",IF(D435&lt;100000,"$75k-$100k","$100k+")))))</x:f>
        <x:v>$50k-$75k</x:v>
      </x:c>
      <x:c r="P435" t="str">
        <x:f>IF(E435="","Unknown",IF(E435&lt;10,"&lt;10",IF(E435&lt;20,"10-&lt;20",IF(E435&lt;25,"20-&lt;25",IF(E435&lt;35,"25-&lt;35","35+")))))</x:f>
        <x:v>10-&lt;20</x:v>
      </x:c>
    </x:row>
    <x:row r="436">
      <x:c r="A436" t="str">
        <x:v>SYN0000435</x:v>
      </x:c>
      <x:c r="B436" s="12" t="n">
        <x:v>41695</x:v>
      </x:c>
      <x:c r="C436" s="18" t="n">
        <x:v>16090</x:v>
      </x:c>
      <x:c r="D436" s="18" t="n">
        <x:v>50330</x:v>
      </x:c>
      <x:c r="E436" s="18" t="n">
        <x:v>36.53</x:v>
      </x:c>
      <x:c r="F436" s="18" t="n">
        <x:v>26.6</x:v>
      </x:c>
      <x:c r="G436" t="n">
        <x:v>60</x:v>
      </x:c>
      <x:c r="H436" t="str">
        <x:v>G</x:v>
      </x:c>
      <x:c r="I436" t="str">
        <x:v>1-3 years</x:v>
      </x:c>
      <x:c r="J436" t="str">
        <x:v>MORTGAGE</x:v>
      </x:c>
      <x:c r="K436" t="str">
        <x:v>debt_consolidation</x:v>
      </x:c>
      <x:c r="L436" t="n">
        <x:v>0</x:v>
      </x:c>
      <x:c r="M436" t="n">
        <x:v>0</x:v>
      </x:c>
      <x:c r="N436" t="str">
        <x:v>Fully Paid</x:v>
      </x:c>
      <x:c r="O436" t="str">
        <x:f>IF(D436="","Unknown",IF(D436&lt;25000,"&lt;$25k",IF(D436&lt;50000,"$25k-$50k",IF(D436&lt;75000,"$50k-$75k",IF(D436&lt;100000,"$75k-$100k","$100k+")))))</x:f>
        <x:v>$50k-$75k</x:v>
      </x:c>
      <x:c r="P436" t="str">
        <x:f>IF(E436="","Unknown",IF(E436&lt;10,"&lt;10",IF(E436&lt;20,"10-&lt;20",IF(E436&lt;25,"20-&lt;25",IF(E436&lt;35,"25-&lt;35","35+")))))</x:f>
        <x:v>35+</x:v>
      </x:c>
    </x:row>
    <x:row r="437">
      <x:c r="A437" t="str">
        <x:v>SYN0000436</x:v>
      </x:c>
      <x:c r="B437" s="12" t="n">
        <x:v>42445</x:v>
      </x:c>
      <x:c r="C437" s="18" t="n">
        <x:v>16949</x:v>
      </x:c>
      <x:c r="D437" s="18" t="n">
        <x:v>37456</x:v>
      </x:c>
      <x:c r="E437" s="18" t="n">
        <x:v>9.18</x:v>
      </x:c>
      <x:c r="F437" s="18" t="n">
        <x:v>10.22</x:v>
      </x:c>
      <x:c r="G437" t="n">
        <x:v>36</x:v>
      </x:c>
      <x:c r="H437" t="str">
        <x:v>C</x:v>
      </x:c>
      <x:c r="I437" t="str">
        <x:v>4-6 years</x:v>
      </x:c>
      <x:c r="J437" t="str">
        <x:v>RENT</x:v>
      </x:c>
      <x:c r="K437" t="str">
        <x:v>credit_card</x:v>
      </x:c>
      <x:c r="L437" t="n">
        <x:v>1</x:v>
      </x:c>
      <x:c r="M437" t="n">
        <x:v>0</x:v>
      </x:c>
      <x:c r="N437" t="str">
        <x:v>Fully Paid</x:v>
      </x:c>
      <x:c r="O437" t="str">
        <x:f>IF(D437="","Unknown",IF(D437&lt;25000,"&lt;$25k",IF(D437&lt;50000,"$25k-$50k",IF(D437&lt;75000,"$50k-$75k",IF(D437&lt;100000,"$75k-$100k","$100k+")))))</x:f>
        <x:v>$25k-$50k</x:v>
      </x:c>
      <x:c r="P437" t="str">
        <x:f>IF(E437="","Unknown",IF(E437&lt;10,"&lt;10",IF(E437&lt;20,"10-&lt;20",IF(E437&lt;25,"20-&lt;25",IF(E437&lt;35,"25-&lt;35","35+")))))</x:f>
        <x:v>&lt;10</x:v>
      </x:c>
    </x:row>
    <x:row r="438">
      <x:c r="A438" t="str">
        <x:v>SYN0000437</x:v>
      </x:c>
      <x:c r="B438" s="12" t="n">
        <x:v>41845</x:v>
      </x:c>
      <x:c r="C438" s="18" t="n">
        <x:v>13289</x:v>
      </x:c>
      <x:c r="D438" s="18" t="n">
        <x:v>27433</x:v>
      </x:c>
      <x:c r="E438" s="18" t="n">
        <x:v>15.56</x:v>
      </x:c>
      <x:c r="F438" s="18" t="n">
        <x:v>16.6</x:v>
      </x:c>
      <x:c r="G438" t="n">
        <x:v>36</x:v>
      </x:c>
      <x:c r="H438" t="str">
        <x:v>D</x:v>
      </x:c>
      <x:c r="I438" t="str">
        <x:v>4-6 years</x:v>
      </x:c>
      <x:c r="J438" t="str">
        <x:v>MORTGAGE</x:v>
      </x:c>
      <x:c r="K438" t="str">
        <x:v>other</x:v>
      </x:c>
      <x:c r="L438" t="n">
        <x:v>1</x:v>
      </x:c>
      <x:c r="M438" t="n">
        <x:v>0</x:v>
      </x:c>
      <x:c r="N438" t="str">
        <x:v>Fully Paid</x:v>
      </x:c>
      <x:c r="O438" t="str">
        <x:f>IF(D438="","Unknown",IF(D438&lt;25000,"&lt;$25k",IF(D438&lt;50000,"$25k-$50k",IF(D438&lt;75000,"$50k-$75k",IF(D438&lt;100000,"$75k-$100k","$100k+")))))</x:f>
        <x:v>$25k-$50k</x:v>
      </x:c>
      <x:c r="P438" t="str">
        <x:f>IF(E438="","Unknown",IF(E438&lt;10,"&lt;10",IF(E438&lt;20,"10-&lt;20",IF(E438&lt;25,"20-&lt;25",IF(E438&lt;35,"25-&lt;35","35+")))))</x:f>
        <x:v>10-&lt;20</x:v>
      </x:c>
    </x:row>
    <x:row r="439">
      <x:c r="A439" t="str">
        <x:v>SYN0000438</x:v>
      </x:c>
      <x:c r="B439" s="12" t="n">
        <x:v>42655</x:v>
      </x:c>
      <x:c r="C439" s="18" t="n">
        <x:v>7502</x:v>
      </x:c>
      <x:c r="D439" s="18" t="n">
        <x:v>99109</x:v>
      </x:c>
      <x:c r="E439" s="18" t="n">
        <x:v>13.34</x:v>
      </x:c>
      <x:c r="F439" s="18" t="n">
        <x:v>9.55</x:v>
      </x:c>
      <x:c r="G439" t="n">
        <x:v>36</x:v>
      </x:c>
      <x:c r="H439" t="str">
        <x:v>C</x:v>
      </x:c>
      <x:c r="I439" t="str">
        <x:v>7-9 years</x:v>
      </x:c>
      <x:c r="J439" t="str">
        <x:v>RENT</x:v>
      </x:c>
      <x:c r="K439" t="str">
        <x:v>major_purchase</x:v>
      </x:c>
      <x:c r="L439" t="n">
        <x:v>0</x:v>
      </x:c>
      <x:c r="M439" t="n">
        <x:v>0</x:v>
      </x:c>
      <x:c r="N439" t="str">
        <x:v>Fully Paid</x:v>
      </x:c>
      <x:c r="O439" t="str">
        <x:f>IF(D439="","Unknown",IF(D439&lt;25000,"&lt;$25k",IF(D439&lt;50000,"$25k-$50k",IF(D439&lt;75000,"$50k-$75k",IF(D439&lt;100000,"$75k-$100k","$100k+")))))</x:f>
        <x:v>$75k-$100k</x:v>
      </x:c>
      <x:c r="P439" t="str">
        <x:f>IF(E439="","Unknown",IF(E439&lt;10,"&lt;10",IF(E439&lt;20,"10-&lt;20",IF(E439&lt;25,"20-&lt;25",IF(E439&lt;35,"25-&lt;35","35+")))))</x:f>
        <x:v>10-&lt;20</x:v>
      </x:c>
    </x:row>
    <x:row r="440">
      <x:c r="A440" t="str">
        <x:v>SYN0000439</x:v>
      </x:c>
      <x:c r="B440" s="12" t="n">
        <x:v>41305</x:v>
      </x:c>
      <x:c r="C440" s="18" t="n">
        <x:v>10267</x:v>
      </x:c>
      <x:c r="D440" s="18" t="n">
        <x:v>54406</x:v>
      </x:c>
      <x:c r="E440" s="18" t="n">
        <x:v>11.21</x:v>
      </x:c>
      <x:c r="F440" s="18" t="n">
        <x:v>11.29</x:v>
      </x:c>
      <x:c r="G440" t="n">
        <x:v>60</x:v>
      </x:c>
      <x:c r="H440" t="str">
        <x:v>C</x:v>
      </x:c>
      <x:c r="I440" t="str">
        <x:v>10+ years</x:v>
      </x:c>
      <x:c r="J440" t="str">
        <x:v>MORTGAGE</x:v>
      </x:c>
      <x:c r="K440" t="str">
        <x:v>credit_card</x:v>
      </x:c>
      <x:c r="L440" t="n">
        <x:v>0</x:v>
      </x:c>
      <x:c r="M440" t="n">
        <x:v>0</x:v>
      </x:c>
      <x:c r="N440" t="str">
        <x:v>Fully Paid</x:v>
      </x:c>
      <x:c r="O440" t="str">
        <x:f>IF(D440="","Unknown",IF(D440&lt;25000,"&lt;$25k",IF(D440&lt;50000,"$25k-$50k",IF(D440&lt;75000,"$50k-$75k",IF(D440&lt;100000,"$75k-$100k","$100k+")))))</x:f>
        <x:v>$50k-$75k</x:v>
      </x:c>
      <x:c r="P440" t="str">
        <x:f>IF(E440="","Unknown",IF(E440&lt;10,"&lt;10",IF(E440&lt;20,"10-&lt;20",IF(E440&lt;25,"20-&lt;25",IF(E440&lt;35,"25-&lt;35","35+")))))</x:f>
        <x:v>10-&lt;20</x:v>
      </x:c>
    </x:row>
    <x:row r="441">
      <x:c r="A441" t="str">
        <x:v>SYN0000440</x:v>
      </x:c>
      <x:c r="B441" s="12" t="n">
        <x:v>41575</x:v>
      </x:c>
      <x:c r="C441" s="18" t="n">
        <x:v>10580</x:v>
      </x:c>
      <x:c r="D441" s="18" t="n">
        <x:v>52661</x:v>
      </x:c>
      <x:c r="E441" s="18" t="n">
        <x:v>38.11</x:v>
      </x:c>
      <x:c r="F441" s="18" t="n">
        <x:v>13.13</x:v>
      </x:c>
      <x:c r="G441" t="n">
        <x:v>36</x:v>
      </x:c>
      <x:c r="H441" t="str">
        <x:v>D</x:v>
      </x:c>
      <x:c r="I441" t="str">
        <x:v>&lt;1 year</x:v>
      </x:c>
      <x:c r="J441" t="str">
        <x:v>RENT</x:v>
      </x:c>
      <x:c r="K441" t="str">
        <x:v>credit_card</x:v>
      </x:c>
      <x:c r="L441" t="n">
        <x:v>0</x:v>
      </x:c>
      <x:c r="M441" t="n">
        <x:v>0</x:v>
      </x:c>
      <x:c r="N441" t="str">
        <x:v>Fully Paid</x:v>
      </x:c>
      <x:c r="O441" t="str">
        <x:f>IF(D441="","Unknown",IF(D441&lt;25000,"&lt;$25k",IF(D441&lt;50000,"$25k-$50k",IF(D441&lt;75000,"$50k-$75k",IF(D441&lt;100000,"$75k-$100k","$100k+")))))</x:f>
        <x:v>$50k-$75k</x:v>
      </x:c>
      <x:c r="P441" t="str">
        <x:f>IF(E441="","Unknown",IF(E441&lt;10,"&lt;10",IF(E441&lt;20,"10-&lt;20",IF(E441&lt;25,"20-&lt;25",IF(E441&lt;35,"25-&lt;35","35+")))))</x:f>
        <x:v>35+</x:v>
      </x:c>
    </x:row>
    <x:row r="442">
      <x:c r="A442" t="str">
        <x:v>SYN0000441</x:v>
      </x:c>
      <x:c r="B442" s="12" t="n">
        <x:v>42685</x:v>
      </x:c>
      <x:c r="C442" s="18" t="n">
        <x:v>5654</x:v>
      </x:c>
      <x:c r="D442" s="18" t="n">
        <x:v>101073</x:v>
      </x:c>
      <x:c r="E442" s="18" t="n">
        <x:v>25.67</x:v>
      </x:c>
      <x:c r="F442" s="18" t="n">
        <x:v>14.64</x:v>
      </x:c>
      <x:c r="G442" t="n">
        <x:v>60</x:v>
      </x:c>
      <x:c r="H442" t="str">
        <x:v>D</x:v>
      </x:c>
      <x:c r="I442" t="str">
        <x:v>4-6 years</x:v>
      </x:c>
      <x:c r="J442" t="str">
        <x:v>RENT</x:v>
      </x:c>
      <x:c r="K442" t="str">
        <x:v>credit_card</x:v>
      </x:c>
      <x:c r="L442" t="n">
        <x:v>1</x:v>
      </x:c>
      <x:c r="M442" t="n">
        <x:v>0</x:v>
      </x:c>
      <x:c r="N442" t="str">
        <x:v>Fully Paid</x:v>
      </x:c>
      <x:c r="O442" t="str">
        <x:f>IF(D442="","Unknown",IF(D442&lt;25000,"&lt;$25k",IF(D442&lt;50000,"$25k-$50k",IF(D442&lt;75000,"$50k-$75k",IF(D442&lt;100000,"$75k-$100k","$100k+")))))</x:f>
        <x:v>$100k+</x:v>
      </x:c>
      <x:c r="P442" t="str">
        <x:f>IF(E442="","Unknown",IF(E442&lt;10,"&lt;10",IF(E442&lt;20,"10-&lt;20",IF(E442&lt;25,"20-&lt;25",IF(E442&lt;35,"25-&lt;35","35+")))))</x:f>
        <x:v>25-&lt;35</x:v>
      </x:c>
    </x:row>
    <x:row r="443">
      <x:c r="A443" t="str">
        <x:v>SYN0000442</x:v>
      </x:c>
      <x:c r="B443" s="12" t="n">
        <x:v>42325</x:v>
      </x:c>
      <x:c r="C443" s="18" t="n">
        <x:v>14661</x:v>
      </x:c>
      <x:c r="D443" s="18" t="n">
        <x:v>70186</x:v>
      </x:c>
      <x:c r="E443" s="18" t="n">
        <x:v>18.79</x:v>
      </x:c>
      <x:c r="F443" s="18" t="n">
        <x:v>10.01</x:v>
      </x:c>
      <x:c r="G443" t="n">
        <x:v>36</x:v>
      </x:c>
      <x:c r="H443" t="str">
        <x:v>C</x:v>
      </x:c>
      <x:c r="I443" t="str">
        <x:v>7-9 years</x:v>
      </x:c>
      <x:c r="J443" t="str">
        <x:v>RENT</x:v>
      </x:c>
      <x:c r="K443" t="str">
        <x:v>debt_consolidation</x:v>
      </x:c>
      <x:c r="L443" t="n">
        <x:v>0</x:v>
      </x:c>
      <x:c r="M443" t="n">
        <x:v>0</x:v>
      </x:c>
      <x:c r="N443" t="str">
        <x:v>Fully Paid</x:v>
      </x:c>
      <x:c r="O443" t="str">
        <x:f>IF(D443="","Unknown",IF(D443&lt;25000,"&lt;$25k",IF(D443&lt;50000,"$25k-$50k",IF(D443&lt;75000,"$50k-$75k",IF(D443&lt;100000,"$75k-$100k","$100k+")))))</x:f>
        <x:v>$50k-$75k</x:v>
      </x:c>
      <x:c r="P443" t="str">
        <x:f>IF(E443="","Unknown",IF(E443&lt;10,"&lt;10",IF(E443&lt;20,"10-&lt;20",IF(E443&lt;25,"20-&lt;25",IF(E443&lt;35,"25-&lt;35","35+")))))</x:f>
        <x:v>10-&lt;20</x:v>
      </x:c>
    </x:row>
    <x:row r="444">
      <x:c r="A444" t="str">
        <x:v>SYN0000443</x:v>
      </x:c>
      <x:c r="B444" s="12" t="n">
        <x:v>41395</x:v>
      </x:c>
      <x:c r="C444" s="18" t="n">
        <x:v>21207</x:v>
      </x:c>
      <x:c r="D444" s="18" t="n">
        <x:v>14280</x:v>
      </x:c>
      <x:c r="E444" s="18" t="n">
        <x:v>18.28</x:v>
      </x:c>
      <x:c r="F444" s="18" t="n">
        <x:v>6</x:v>
      </x:c>
      <x:c r="G444" t="n">
        <x:v>60</x:v>
      </x:c>
      <x:c r="H444" t="str">
        <x:v>A</x:v>
      </x:c>
      <x:c r="I444" t="str">
        <x:v>7-9 years</x:v>
      </x:c>
      <x:c r="J444" t="str">
        <x:v>RENT</x:v>
      </x:c>
      <x:c r="K444" t="str">
        <x:v>debt_consolidation</x:v>
      </x:c>
      <x:c r="L444" t="n">
        <x:v>0</x:v>
      </x:c>
      <x:c r="M444" t="n">
        <x:v>0</x:v>
      </x:c>
      <x:c r="N444" t="str">
        <x:v>Fully Paid</x:v>
      </x:c>
      <x:c r="O444" t="str">
        <x:f>IF(D444="","Unknown",IF(D444&lt;25000,"&lt;$25k",IF(D444&lt;50000,"$25k-$50k",IF(D444&lt;75000,"$50k-$75k",IF(D444&lt;100000,"$75k-$100k","$100k+")))))</x:f>
        <x:v>&lt;$25k</x:v>
      </x:c>
      <x:c r="P444" t="str">
        <x:f>IF(E444="","Unknown",IF(E444&lt;10,"&lt;10",IF(E444&lt;20,"10-&lt;20",IF(E444&lt;25,"20-&lt;25",IF(E444&lt;35,"25-&lt;35","35+")))))</x:f>
        <x:v>10-&lt;20</x:v>
      </x:c>
    </x:row>
    <x:row r="445">
      <x:c r="A445" t="str">
        <x:v>SYN0000444</x:v>
      </x:c>
      <x:c r="B445" s="12" t="n">
        <x:v>42655</x:v>
      </x:c>
      <x:c r="C445" s="18" t="n">
        <x:v>11408</x:v>
      </x:c>
      <x:c r="D445" s="18" t="n">
        <x:v>55515</x:v>
      </x:c>
      <x:c r="E445" s="18" t="n">
        <x:v>13.2</x:v>
      </x:c>
      <x:c r="F445" s="18" t="n">
        <x:v>9.87</x:v>
      </x:c>
      <x:c r="G445" t="n">
        <x:v>36</x:v>
      </x:c>
      <x:c r="H445" t="str">
        <x:v>C</x:v>
      </x:c>
      <x:c r="I445" t="str">
        <x:v>7-9 years</x:v>
      </x:c>
      <x:c r="J445" t="str">
        <x:v>OWN</x:v>
      </x:c>
      <x:c r="K445" t="str">
        <x:v>home_improvement</x:v>
      </x:c>
      <x:c r="L445" t="n">
        <x:v>2</x:v>
      </x:c>
      <x:c r="M445" t="n">
        <x:v>0</x:v>
      </x:c>
      <x:c r="N445" t="str">
        <x:v>Fully Paid</x:v>
      </x:c>
      <x:c r="O445" t="str">
        <x:f>IF(D445="","Unknown",IF(D445&lt;25000,"&lt;$25k",IF(D445&lt;50000,"$25k-$50k",IF(D445&lt;75000,"$50k-$75k",IF(D445&lt;100000,"$75k-$100k","$100k+")))))</x:f>
        <x:v>$50k-$75k</x:v>
      </x:c>
      <x:c r="P445" t="str">
        <x:f>IF(E445="","Unknown",IF(E445&lt;10,"&lt;10",IF(E445&lt;20,"10-&lt;20",IF(E445&lt;25,"20-&lt;25",IF(E445&lt;35,"25-&lt;35","35+")))))</x:f>
        <x:v>10-&lt;20</x:v>
      </x:c>
    </x:row>
    <x:row r="446">
      <x:c r="A446" t="str">
        <x:v>SYN0000445</x:v>
      </x:c>
      <x:c r="B446" s="12" t="n">
        <x:v>43345</x:v>
      </x:c>
      <x:c r="C446" s="18" t="n">
        <x:v>13027</x:v>
      </x:c>
      <x:c r="D446" s="18" t="n">
        <x:v>32912</x:v>
      </x:c>
      <x:c r="E446" s="18" t="n">
        <x:v>21.73</x:v>
      </x:c>
      <x:c r="F446" s="18" t="n">
        <x:v>5</x:v>
      </x:c>
      <x:c r="G446" t="n">
        <x:v>36</x:v>
      </x:c>
      <x:c r="H446" t="str">
        <x:v>A</x:v>
      </x:c>
      <x:c r="I446" t="str">
        <x:v>7-9 years</x:v>
      </x:c>
      <x:c r="J446" t="str">
        <x:v>MORTGAGE</x:v>
      </x:c>
      <x:c r="K446" t="str">
        <x:v>credit_card</x:v>
      </x:c>
      <x:c r="L446" t="n">
        <x:v>0</x:v>
      </x:c>
      <x:c r="M446" t="n">
        <x:v>0</x:v>
      </x:c>
      <x:c r="N446" t="str">
        <x:v>Fully Paid</x:v>
      </x:c>
      <x:c r="O446" t="str">
        <x:f>IF(D446="","Unknown",IF(D446&lt;25000,"&lt;$25k",IF(D446&lt;50000,"$25k-$50k",IF(D446&lt;75000,"$50k-$75k",IF(D446&lt;100000,"$75k-$100k","$100k+")))))</x:f>
        <x:v>$25k-$50k</x:v>
      </x:c>
      <x:c r="P446" t="str">
        <x:f>IF(E446="","Unknown",IF(E446&lt;10,"&lt;10",IF(E446&lt;20,"10-&lt;20",IF(E446&lt;25,"20-&lt;25",IF(E446&lt;35,"25-&lt;35","35+")))))</x:f>
        <x:v>20-&lt;25</x:v>
      </x:c>
    </x:row>
    <x:row r="447">
      <x:c r="A447" t="str">
        <x:v>SYN0000446</x:v>
      </x:c>
      <x:c r="B447" s="12" t="n">
        <x:v>43285</x:v>
      </x:c>
      <x:c r="C447" s="18" t="n">
        <x:v>11102</x:v>
      </x:c>
      <x:c r="D447" s="18" t="n">
        <x:v>42982</x:v>
      </x:c>
      <x:c r="E447" s="18" t="n">
        <x:v>14.78</x:v>
      </x:c>
      <x:c r="F447" s="18" t="n">
        <x:v>5</x:v>
      </x:c>
      <x:c r="G447" t="n">
        <x:v>36</x:v>
      </x:c>
      <x:c r="H447" t="str">
        <x:v>B</x:v>
      </x:c>
      <x:c r="I447" t="str">
        <x:v>4-6 years</x:v>
      </x:c>
      <x:c r="J447" t="str">
        <x:v>RENT</x:v>
      </x:c>
      <x:c r="K447" t="str">
        <x:v>debt_consolidation</x:v>
      </x:c>
      <x:c r="L447" t="n">
        <x:v>0</x:v>
      </x:c>
      <x:c r="M447" t="n">
        <x:v>0</x:v>
      </x:c>
      <x:c r="N447" t="str">
        <x:v>Fully Paid</x:v>
      </x:c>
      <x:c r="O447" t="str">
        <x:f>IF(D447="","Unknown",IF(D447&lt;25000,"&lt;$25k",IF(D447&lt;50000,"$25k-$50k",IF(D447&lt;75000,"$50k-$75k",IF(D447&lt;100000,"$75k-$100k","$100k+")))))</x:f>
        <x:v>$25k-$50k</x:v>
      </x:c>
      <x:c r="P447" t="str">
        <x:f>IF(E447="","Unknown",IF(E447&lt;10,"&lt;10",IF(E447&lt;20,"10-&lt;20",IF(E447&lt;25,"20-&lt;25",IF(E447&lt;35,"25-&lt;35","35+")))))</x:f>
        <x:v>10-&lt;20</x:v>
      </x:c>
    </x:row>
    <x:row r="448">
      <x:c r="A448" t="str">
        <x:v>SYN0000447</x:v>
      </x:c>
      <x:c r="B448" s="12" t="n">
        <x:v>41755</x:v>
      </x:c>
      <x:c r="C448" s="18" t="n">
        <x:v>11928</x:v>
      </x:c>
      <x:c r="D448" s="18" t="n">
        <x:v>47934</x:v>
      </x:c>
      <x:c r="E448" s="18" t="n">
        <x:v>14.96</x:v>
      </x:c>
      <x:c r="F448" s="18" t="n">
        <x:v>12.19</x:v>
      </x:c>
      <x:c r="G448" t="n">
        <x:v>36</x:v>
      </x:c>
      <x:c r="H448" t="str">
        <x:v>D</x:v>
      </x:c>
      <x:c r="I448" t="str">
        <x:v>&lt;1 year</x:v>
      </x:c>
      <x:c r="J448" t="str">
        <x:v>RENT</x:v>
      </x:c>
      <x:c r="K448" t="str">
        <x:v>major_purchase</x:v>
      </x:c>
      <x:c r="L448" t="n">
        <x:v>2</x:v>
      </x:c>
      <x:c r="M448" t="n">
        <x:v>0</x:v>
      </x:c>
      <x:c r="N448" t="str">
        <x:v>Fully Paid</x:v>
      </x:c>
      <x:c r="O448" t="str">
        <x:f>IF(D448="","Unknown",IF(D448&lt;25000,"&lt;$25k",IF(D448&lt;50000,"$25k-$50k",IF(D448&lt;75000,"$50k-$75k",IF(D448&lt;100000,"$75k-$100k","$100k+")))))</x:f>
        <x:v>$25k-$50k</x:v>
      </x:c>
      <x:c r="P448" t="str">
        <x:f>IF(E448="","Unknown",IF(E448&lt;10,"&lt;10",IF(E448&lt;20,"10-&lt;20",IF(E448&lt;25,"20-&lt;25",IF(E448&lt;35,"25-&lt;35","35+")))))</x:f>
        <x:v>10-&lt;20</x:v>
      </x:c>
    </x:row>
    <x:row r="449">
      <x:c r="A449" t="str">
        <x:v>SYN0000448</x:v>
      </x:c>
      <x:c r="B449" s="12" t="n">
        <x:v>43255</x:v>
      </x:c>
      <x:c r="C449" s="18" t="n">
        <x:v>15261</x:v>
      </x:c>
      <x:c r="D449" s="18" t="n">
        <x:v>82292</x:v>
      </x:c>
      <x:c r="E449" s="18" t="n">
        <x:v>24.34</x:v>
      </x:c>
      <x:c r="F449" s="18" t="n">
        <x:v>9.41</x:v>
      </x:c>
      <x:c r="G449" t="n">
        <x:v>36</x:v>
      </x:c>
      <x:c r="H449" t="str">
        <x:v>A</x:v>
      </x:c>
      <x:c r="I449" t="str">
        <x:v>1-3 years</x:v>
      </x:c>
      <x:c r="J449" t="str">
        <x:v>RENT</x:v>
      </x:c>
      <x:c r="K449" t="str">
        <x:v>medical</x:v>
      </x:c>
      <x:c r="L449" t="n">
        <x:v>0</x:v>
      </x:c>
      <x:c r="M449" t="n">
        <x:v>0</x:v>
      </x:c>
      <x:c r="N449" t="str">
        <x:v>Fully Paid</x:v>
      </x:c>
      <x:c r="O449" t="str">
        <x:f>IF(D449="","Unknown",IF(D449&lt;25000,"&lt;$25k",IF(D449&lt;50000,"$25k-$50k",IF(D449&lt;75000,"$50k-$75k",IF(D449&lt;100000,"$75k-$100k","$100k+")))))</x:f>
        <x:v>$75k-$100k</x:v>
      </x:c>
      <x:c r="P449" t="str">
        <x:f>IF(E449="","Unknown",IF(E449&lt;10,"&lt;10",IF(E449&lt;20,"10-&lt;20",IF(E449&lt;25,"20-&lt;25",IF(E449&lt;35,"25-&lt;35","35+")))))</x:f>
        <x:v>20-&lt;25</x:v>
      </x:c>
    </x:row>
    <x:row r="450">
      <x:c r="A450" t="str">
        <x:v>SYN0000449</x:v>
      </x:c>
      <x:c r="B450" s="12" t="n">
        <x:v>42055</x:v>
      </x:c>
      <x:c r="C450" s="18" t="n">
        <x:v>15988</x:v>
      </x:c>
      <x:c r="D450" s="18" t="n">
        <x:v>18833</x:v>
      </x:c>
      <x:c r="E450" s="18" t="n">
        <x:v>22.33</x:v>
      </x:c>
      <x:c r="F450" s="18" t="n">
        <x:v>7.88</x:v>
      </x:c>
      <x:c r="G450" t="n">
        <x:v>36</x:v>
      </x:c>
      <x:c r="H450" t="str">
        <x:v>C</x:v>
      </x:c>
      <x:c r="I450" t="str">
        <x:v>4-6 years</x:v>
      </x:c>
      <x:c r="J450" t="str">
        <x:v>OWN</x:v>
      </x:c>
      <x:c r="K450" t="str">
        <x:v>debt_consolidation</x:v>
      </x:c>
      <x:c r="L450" t="n">
        <x:v>0</x:v>
      </x:c>
      <x:c r="M450" t="n">
        <x:v>0</x:v>
      </x:c>
      <x:c r="N450" t="str">
        <x:v>Fully Paid</x:v>
      </x:c>
      <x:c r="O450" t="str">
        <x:f>IF(D450="","Unknown",IF(D450&lt;25000,"&lt;$25k",IF(D450&lt;50000,"$25k-$50k",IF(D450&lt;75000,"$50k-$75k",IF(D450&lt;100000,"$75k-$100k","$100k+")))))</x:f>
        <x:v>&lt;$25k</x:v>
      </x:c>
      <x:c r="P450" t="str">
        <x:f>IF(E450="","Unknown",IF(E450&lt;10,"&lt;10",IF(E450&lt;20,"10-&lt;20",IF(E450&lt;25,"20-&lt;25",IF(E450&lt;35,"25-&lt;35","35+")))))</x:f>
        <x:v>20-&lt;25</x:v>
      </x:c>
    </x:row>
    <x:row r="451">
      <x:c r="A451" t="str">
        <x:v>SYN0000450</x:v>
      </x:c>
      <x:c r="B451" s="12" t="n">
        <x:v>41995</x:v>
      </x:c>
      <x:c r="C451" s="18" t="n">
        <x:v>7476</x:v>
      </x:c>
      <x:c r="D451" s="18" t="n">
        <x:v>39431</x:v>
      </x:c>
      <x:c r="E451" s="18" t="n">
        <x:v>21.21</x:v>
      </x:c>
      <x:c r="F451" s="18" t="n">
        <x:v>18.63</x:v>
      </x:c>
      <x:c r="G451" t="n">
        <x:v>36</x:v>
      </x:c>
      <x:c r="H451" t="str">
        <x:v>F</x:v>
      </x:c>
      <x:c r="I451" t="str">
        <x:v>4-6 years</x:v>
      </x:c>
      <x:c r="J451" t="str">
        <x:v>OWN</x:v>
      </x:c>
      <x:c r="K451" t="str">
        <x:v>debt_consolidation</x:v>
      </x:c>
      <x:c r="L451" t="n">
        <x:v>0</x:v>
      </x:c>
      <x:c r="M451" t="n">
        <x:v>0</x:v>
      </x:c>
      <x:c r="N451" t="str">
        <x:v>Fully Paid</x:v>
      </x:c>
      <x:c r="O451" t="str">
        <x:f>IF(D451="","Unknown",IF(D451&lt;25000,"&lt;$25k",IF(D451&lt;50000,"$25k-$50k",IF(D451&lt;75000,"$50k-$75k",IF(D451&lt;100000,"$75k-$100k","$100k+")))))</x:f>
        <x:v>$25k-$50k</x:v>
      </x:c>
      <x:c r="P451" t="str">
        <x:f>IF(E451="","Unknown",IF(E451&lt;10,"&lt;10",IF(E451&lt;20,"10-&lt;20",IF(E451&lt;25,"20-&lt;25",IF(E451&lt;35,"25-&lt;35","35+")))))</x:f>
        <x:v>20-&lt;25</x:v>
      </x:c>
    </x:row>
    <x:row r="452">
      <x:c r="A452" t="str">
        <x:v>SYN0000451</x:v>
      </x:c>
      <x:c r="B452" s="12" t="n">
        <x:v>41335</x:v>
      </x:c>
      <x:c r="C452" s="18" t="n">
        <x:v>12263</x:v>
      </x:c>
      <x:c r="D452" s="18" t="n">
        <x:v>42050</x:v>
      </x:c>
      <x:c r="E452" s="18" t="n">
        <x:v>18.36</x:v>
      </x:c>
      <x:c r="F452" s="18" t="n">
        <x:v>7.09</x:v>
      </x:c>
      <x:c r="G452" t="n">
        <x:v>36</x:v>
      </x:c>
      <x:c r="H452" t="str">
        <x:v>C</x:v>
      </x:c>
      <x:c r="I452" t="str">
        <x:v>7-9 years</x:v>
      </x:c>
      <x:c r="J452" t="str">
        <x:v>RENT</x:v>
      </x:c>
      <x:c r="K452" t="str">
        <x:v>debt_consolidation</x:v>
      </x:c>
      <x:c r="L452" t="n">
        <x:v>0</x:v>
      </x:c>
      <x:c r="M452" t="n">
        <x:v>0</x:v>
      </x:c>
      <x:c r="N452" t="str">
        <x:v>Fully Paid</x:v>
      </x:c>
      <x:c r="O452" t="str">
        <x:f>IF(D452="","Unknown",IF(D452&lt;25000,"&lt;$25k",IF(D452&lt;50000,"$25k-$50k",IF(D452&lt;75000,"$50k-$75k",IF(D452&lt;100000,"$75k-$100k","$100k+")))))</x:f>
        <x:v>$25k-$50k</x:v>
      </x:c>
      <x:c r="P452" t="str">
        <x:f>IF(E452="","Unknown",IF(E452&lt;10,"&lt;10",IF(E452&lt;20,"10-&lt;20",IF(E452&lt;25,"20-&lt;25",IF(E452&lt;35,"25-&lt;35","35+")))))</x:f>
        <x:v>10-&lt;20</x:v>
      </x:c>
    </x:row>
    <x:row r="453">
      <x:c r="A453" t="str">
        <x:v>SYN0000452</x:v>
      </x:c>
      <x:c r="B453" s="12" t="n">
        <x:v>42565</x:v>
      </x:c>
      <x:c r="C453" s="18" t="n">
        <x:v>10386</x:v>
      </x:c>
      <x:c r="D453" s="18" t="n">
        <x:v>136224</x:v>
      </x:c>
      <x:c r="E453" s="18" t="n">
        <x:v>20.63</x:v>
      </x:c>
      <x:c r="F453" s="18" t="n">
        <x:v>7.06</x:v>
      </x:c>
      <x:c r="G453" t="n">
        <x:v>36</x:v>
      </x:c>
      <x:c r="H453" t="str">
        <x:v>A</x:v>
      </x:c>
      <x:c r="I453" t="str">
        <x:v>7-9 years</x:v>
      </x:c>
      <x:c r="J453" t="str">
        <x:v>MORTGAGE</x:v>
      </x:c>
      <x:c r="K453" t="str">
        <x:v>credit_card</x:v>
      </x:c>
      <x:c r="L453" t="n">
        <x:v>0</x:v>
      </x:c>
      <x:c r="M453" t="n">
        <x:v>0</x:v>
      </x:c>
      <x:c r="N453" t="str">
        <x:v>Fully Paid</x:v>
      </x:c>
      <x:c r="O453" t="str">
        <x:f>IF(D453="","Unknown",IF(D453&lt;25000,"&lt;$25k",IF(D453&lt;50000,"$25k-$50k",IF(D453&lt;75000,"$50k-$75k",IF(D453&lt;100000,"$75k-$100k","$100k+")))))</x:f>
        <x:v>$100k+</x:v>
      </x:c>
      <x:c r="P453" t="str">
        <x:f>IF(E453="","Unknown",IF(E453&lt;10,"&lt;10",IF(E453&lt;20,"10-&lt;20",IF(E453&lt;25,"20-&lt;25",IF(E453&lt;35,"25-&lt;35","35+")))))</x:f>
        <x:v>20-&lt;25</x:v>
      </x:c>
    </x:row>
    <x:row r="454">
      <x:c r="A454" t="str">
        <x:v>SYN0000453</x:v>
      </x:c>
      <x:c r="B454" s="12" t="n">
        <x:v>43285</x:v>
      </x:c>
      <x:c r="C454" s="18" t="n">
        <x:v>2166</x:v>
      </x:c>
      <x:c r="D454" s="18" t="n">
        <x:v>32744</x:v>
      </x:c>
      <x:c r="E454" s="18" t="n">
        <x:v>32.82</x:v>
      </x:c>
      <x:c r="F454" s="18" t="n">
        <x:v>8.06</x:v>
      </x:c>
      <x:c r="G454" t="n">
        <x:v>60</x:v>
      </x:c>
      <x:c r="H454" t="str">
        <x:v>A</x:v>
      </x:c>
      <x:c r="I454" t="str">
        <x:v>&lt;1 year</x:v>
      </x:c>
      <x:c r="J454" t="str">
        <x:v>MORTGAGE</x:v>
      </x:c>
      <x:c r="K454" t="str">
        <x:v>debt_consolidation</x:v>
      </x:c>
      <x:c r="L454" t="n">
        <x:v>0</x:v>
      </x:c>
      <x:c r="M454" t="n">
        <x:v>0</x:v>
      </x:c>
      <x:c r="N454" t="str">
        <x:v>Fully Paid</x:v>
      </x:c>
      <x:c r="O454" t="str">
        <x:f>IF(D454="","Unknown",IF(D454&lt;25000,"&lt;$25k",IF(D454&lt;50000,"$25k-$50k",IF(D454&lt;75000,"$50k-$75k",IF(D454&lt;100000,"$75k-$100k","$100k+")))))</x:f>
        <x:v>$25k-$50k</x:v>
      </x:c>
      <x:c r="P454" t="str">
        <x:f>IF(E454="","Unknown",IF(E454&lt;10,"&lt;10",IF(E454&lt;20,"10-&lt;20",IF(E454&lt;25,"20-&lt;25",IF(E454&lt;35,"25-&lt;35","35+")))))</x:f>
        <x:v>25-&lt;35</x:v>
      </x:c>
    </x:row>
    <x:row r="455">
      <x:c r="A455" t="str">
        <x:v>SYN0000454</x:v>
      </x:c>
      <x:c r="B455" s="12" t="n">
        <x:v>42025</x:v>
      </x:c>
      <x:c r="C455" s="18" t="n">
        <x:v>13544</x:v>
      </x:c>
      <x:c r="D455" s="18" t="n">
        <x:v>31692</x:v>
      </x:c>
      <x:c r="E455" s="18" t="n">
        <x:v>0</x:v>
      </x:c>
      <x:c r="F455" s="18" t="n">
        <x:v>12.65</x:v>
      </x:c>
      <x:c r="G455" t="n">
        <x:v>36</x:v>
      </x:c>
      <x:c r="H455" t="str">
        <x:v>B</x:v>
      </x:c>
      <x:c r="I455" t="str">
        <x:v>4-6 years</x:v>
      </x:c>
      <x:c r="J455" t="str">
        <x:v>RENT</x:v>
      </x:c>
      <x:c r="K455" t="str">
        <x:v>major_purchase</x:v>
      </x:c>
      <x:c r="L455" t="n">
        <x:v>1</x:v>
      </x:c>
      <x:c r="M455" t="n">
        <x:v>0</x:v>
      </x:c>
      <x:c r="N455" t="str">
        <x:v>Fully Paid</x:v>
      </x:c>
      <x:c r="O455" t="str">
        <x:f>IF(D455="","Unknown",IF(D455&lt;25000,"&lt;$25k",IF(D455&lt;50000,"$25k-$50k",IF(D455&lt;75000,"$50k-$75k",IF(D455&lt;100000,"$75k-$100k","$100k+")))))</x:f>
        <x:v>$25k-$50k</x:v>
      </x:c>
      <x:c r="P455" t="str">
        <x:f>IF(E455="","Unknown",IF(E455&lt;10,"&lt;10",IF(E455&lt;20,"10-&lt;20",IF(E455&lt;25,"20-&lt;25",IF(E455&lt;35,"25-&lt;35","35+")))))</x:f>
        <x:v>Unknown</x:v>
      </x:c>
    </x:row>
    <x:row r="456">
      <x:c r="A456" t="str">
        <x:v>SYN0000455</x:v>
      </x:c>
      <x:c r="B456" s="12" t="n">
        <x:v>43075</x:v>
      </x:c>
      <x:c r="C456" s="18" t="n">
        <x:v>9558</x:v>
      </x:c>
      <x:c r="D456" s="18" t="n">
        <x:v>67355</x:v>
      </x:c>
      <x:c r="E456" s="18" t="n">
        <x:v>3.68</x:v>
      </x:c>
      <x:c r="F456" s="18" t="n">
        <x:v>10.96</x:v>
      </x:c>
      <x:c r="G456" t="n">
        <x:v>60</x:v>
      </x:c>
      <x:c r="H456" t="str">
        <x:v>D</x:v>
      </x:c>
      <x:c r="I456" t="str">
        <x:v>1-3 years</x:v>
      </x:c>
      <x:c r="J456" t="str">
        <x:v>MORTGAGE</x:v>
      </x:c>
      <x:c r="K456" t="str">
        <x:v>debt_consolidation</x:v>
      </x:c>
      <x:c r="L456" t="n">
        <x:v>1</x:v>
      </x:c>
      <x:c r="M456" t="n">
        <x:v>0</x:v>
      </x:c>
      <x:c r="N456" t="str">
        <x:v>Fully Paid</x:v>
      </x:c>
      <x:c r="O456" t="str">
        <x:f>IF(D456="","Unknown",IF(D456&lt;25000,"&lt;$25k",IF(D456&lt;50000,"$25k-$50k",IF(D456&lt;75000,"$50k-$75k",IF(D456&lt;100000,"$75k-$100k","$100k+")))))</x:f>
        <x:v>$50k-$75k</x:v>
      </x:c>
      <x:c r="P456" t="str">
        <x:f>IF(E456="","Unknown",IF(E456&lt;10,"&lt;10",IF(E456&lt;20,"10-&lt;20",IF(E456&lt;25,"20-&lt;25",IF(E456&lt;35,"25-&lt;35","35+")))))</x:f>
        <x:v>&lt;10</x:v>
      </x:c>
    </x:row>
    <x:row r="457">
      <x:c r="A457" t="str">
        <x:v>SYN0000456</x:v>
      </x:c>
      <x:c r="B457" s="12" t="n">
        <x:v>41275</x:v>
      </x:c>
      <x:c r="C457" s="18" t="n">
        <x:v>14849</x:v>
      </x:c>
      <x:c r="D457" s="18" t="n">
        <x:v>99988</x:v>
      </x:c>
      <x:c r="E457" s="18" t="n">
        <x:v>23.62</x:v>
      </x:c>
      <x:c r="F457" s="18" t="n">
        <x:v>10.97</x:v>
      </x:c>
      <x:c r="G457" t="n">
        <x:v>36</x:v>
      </x:c>
      <x:c r="H457" t="str">
        <x:v>D</x:v>
      </x:c>
      <x:c r="I457" t="str">
        <x:v>&lt;1 year</x:v>
      </x:c>
      <x:c r="J457" t="str">
        <x:v>RENT</x:v>
      </x:c>
      <x:c r="K457" t="str">
        <x:v>home_improvement</x:v>
      </x:c>
      <x:c r="L457" t="n">
        <x:v>0</x:v>
      </x:c>
      <x:c r="M457" t="n">
        <x:v>0</x:v>
      </x:c>
      <x:c r="N457" t="str">
        <x:v>Fully Paid</x:v>
      </x:c>
      <x:c r="O457" t="str">
        <x:f>IF(D457="","Unknown",IF(D457&lt;25000,"&lt;$25k",IF(D457&lt;50000,"$25k-$50k",IF(D457&lt;75000,"$50k-$75k",IF(D457&lt;100000,"$75k-$100k","$100k+")))))</x:f>
        <x:v>$75k-$100k</x:v>
      </x:c>
      <x:c r="P457" t="str">
        <x:f>IF(E457="","Unknown",IF(E457&lt;10,"&lt;10",IF(E457&lt;20,"10-&lt;20",IF(E457&lt;25,"20-&lt;25",IF(E457&lt;35,"25-&lt;35","35+")))))</x:f>
        <x:v>20-&lt;25</x:v>
      </x:c>
    </x:row>
    <x:row r="458">
      <x:c r="A458" t="str">
        <x:v>SYN0000457</x:v>
      </x:c>
      <x:c r="B458" s="12" t="n">
        <x:v>41815</x:v>
      </x:c>
      <x:c r="C458" s="18" t="n">
        <x:v>22518</x:v>
      </x:c>
      <x:c r="D458" s="18" t="n">
        <x:v>92824</x:v>
      </x:c>
      <x:c r="E458" s="18" t="n">
        <x:v>5.22</x:v>
      </x:c>
      <x:c r="F458" s="18" t="n">
        <x:v>9.24</x:v>
      </x:c>
      <x:c r="G458" t="n">
        <x:v>60</x:v>
      </x:c>
      <x:c r="H458" t="str">
        <x:v>B</x:v>
      </x:c>
      <x:c r="I458" t="str">
        <x:v>1-3 years</x:v>
      </x:c>
      <x:c r="J458" t="str">
        <x:v>RENT</x:v>
      </x:c>
      <x:c r="K458" t="str">
        <x:v>medical</x:v>
      </x:c>
      <x:c r="L458" t="n">
        <x:v>0</x:v>
      </x:c>
      <x:c r="M458" t="n">
        <x:v>0</x:v>
      </x:c>
      <x:c r="N458" t="str">
        <x:v>Fully Paid</x:v>
      </x:c>
      <x:c r="O458" t="str">
        <x:f>IF(D458="","Unknown",IF(D458&lt;25000,"&lt;$25k",IF(D458&lt;50000,"$25k-$50k",IF(D458&lt;75000,"$50k-$75k",IF(D458&lt;100000,"$75k-$100k","$100k+")))))</x:f>
        <x:v>$75k-$100k</x:v>
      </x:c>
      <x:c r="P458" t="str">
        <x:f>IF(E458="","Unknown",IF(E458&lt;10,"&lt;10",IF(E458&lt;20,"10-&lt;20",IF(E458&lt;25,"20-&lt;25",IF(E458&lt;35,"25-&lt;35","35+")))))</x:f>
        <x:v>&lt;10</x:v>
      </x:c>
    </x:row>
    <x:row r="459">
      <x:c r="A459" t="str">
        <x:v>SYN0000458</x:v>
      </x:c>
      <x:c r="B459" s="12" t="n">
        <x:v>42325</x:v>
      </x:c>
      <x:c r="C459" s="18" t="n">
        <x:v>13696</x:v>
      </x:c>
      <x:c r="D459" s="18" t="n">
        <x:v>12659</x:v>
      </x:c>
      <x:c r="E459" s="18" t="n">
        <x:v>18.31</x:v>
      </x:c>
      <x:c r="F459" s="18" t="n">
        <x:v>16.71</x:v>
      </x:c>
      <x:c r="G459" t="n">
        <x:v>60</x:v>
      </x:c>
      <x:c r="H459" t="str">
        <x:v>D</x:v>
      </x:c>
      <x:c r="I459" t="str">
        <x:v>1-3 years</x:v>
      </x:c>
      <x:c r="J459" t="str">
        <x:v>RENT</x:v>
      </x:c>
      <x:c r="K459" t="str">
        <x:v>credit_card</x:v>
      </x:c>
      <x:c r="L459" t="n">
        <x:v>0</x:v>
      </x:c>
      <x:c r="M459" t="n">
        <x:v>0</x:v>
      </x:c>
      <x:c r="N459" t="str">
        <x:v>Fully Paid</x:v>
      </x:c>
      <x:c r="O459" t="str">
        <x:f>IF(D459="","Unknown",IF(D459&lt;25000,"&lt;$25k",IF(D459&lt;50000,"$25k-$50k",IF(D459&lt;75000,"$50k-$75k",IF(D459&lt;100000,"$75k-$100k","$100k+")))))</x:f>
        <x:v>&lt;$25k</x:v>
      </x:c>
      <x:c r="P459" t="str">
        <x:f>IF(E459="","Unknown",IF(E459&lt;10,"&lt;10",IF(E459&lt;20,"10-&lt;20",IF(E459&lt;25,"20-&lt;25",IF(E459&lt;35,"25-&lt;35","35+")))))</x:f>
        <x:v>10-&lt;20</x:v>
      </x:c>
    </x:row>
    <x:row r="460">
      <x:c r="A460" t="str">
        <x:v>SYN0000459</x:v>
      </x:c>
      <x:c r="B460" s="12" t="n">
        <x:v>42565</x:v>
      </x:c>
      <x:c r="C460" s="18" t="n">
        <x:v>11853</x:v>
      </x:c>
      <x:c r="D460" s="18" t="n">
        <x:v>46633</x:v>
      </x:c>
      <x:c r="E460" s="18" t="n">
        <x:v>14.74</x:v>
      </x:c>
      <x:c r="F460" s="18" t="n">
        <x:v>9.26</x:v>
      </x:c>
      <x:c r="G460" t="n">
        <x:v>36</x:v>
      </x:c>
      <x:c r="H460" t="str">
        <x:v>C</x:v>
      </x:c>
      <x:c r="I460" t="str">
        <x:v>&lt;1 year</x:v>
      </x:c>
      <x:c r="J460" t="str">
        <x:v>MORTGAGE</x:v>
      </x:c>
      <x:c r="K460" t="str">
        <x:v>debt_consolidation</x:v>
      </x:c>
      <x:c r="L460" t="n">
        <x:v>0</x:v>
      </x:c>
      <x:c r="M460" t="n">
        <x:v>0</x:v>
      </x:c>
      <x:c r="N460" t="str">
        <x:v>Fully Paid</x:v>
      </x:c>
      <x:c r="O460" t="str">
        <x:f>IF(D460="","Unknown",IF(D460&lt;25000,"&lt;$25k",IF(D460&lt;50000,"$25k-$50k",IF(D460&lt;75000,"$50k-$75k",IF(D460&lt;100000,"$75k-$100k","$100k+")))))</x:f>
        <x:v>$25k-$50k</x:v>
      </x:c>
      <x:c r="P460" t="str">
        <x:f>IF(E460="","Unknown",IF(E460&lt;10,"&lt;10",IF(E460&lt;20,"10-&lt;20",IF(E460&lt;25,"20-&lt;25",IF(E460&lt;35,"25-&lt;35","35+")))))</x:f>
        <x:v>10-&lt;20</x:v>
      </x:c>
    </x:row>
    <x:row r="461">
      <x:c r="A461" t="str">
        <x:v>SYN0000460</x:v>
      </x:c>
      <x:c r="B461" s="12" t="n">
        <x:v>43075</x:v>
      </x:c>
      <x:c r="C461" s="18" t="n">
        <x:v>22827</x:v>
      </x:c>
      <x:c r="D461" s="18" t="n">
        <x:v>123732</x:v>
      </x:c>
      <x:c r="E461" s="18" t="n">
        <x:v>9.29</x:v>
      </x:c>
      <x:c r="F461" s="18" t="n">
        <x:v>5.98</x:v>
      </x:c>
      <x:c r="G461" t="n">
        <x:v>36</x:v>
      </x:c>
      <x:c r="H461" t="str">
        <x:v>A</x:v>
      </x:c>
      <x:c r="I461" t="str">
        <x:v>4-6 years</x:v>
      </x:c>
      <x:c r="J461" t="str">
        <x:v>OWN</x:v>
      </x:c>
      <x:c r="K461" t="str">
        <x:v>debt_consolidation</x:v>
      </x:c>
      <x:c r="L461" t="n">
        <x:v>0</x:v>
      </x:c>
      <x:c r="M461" t="n">
        <x:v>0</x:v>
      </x:c>
      <x:c r="N461" t="str">
        <x:v>Fully Paid</x:v>
      </x:c>
      <x:c r="O461" t="str">
        <x:f>IF(D461="","Unknown",IF(D461&lt;25000,"&lt;$25k",IF(D461&lt;50000,"$25k-$50k",IF(D461&lt;75000,"$50k-$75k",IF(D461&lt;100000,"$75k-$100k","$100k+")))))</x:f>
        <x:v>$100k+</x:v>
      </x:c>
      <x:c r="P461" t="str">
        <x:f>IF(E461="","Unknown",IF(E461&lt;10,"&lt;10",IF(E461&lt;20,"10-&lt;20",IF(E461&lt;25,"20-&lt;25",IF(E461&lt;35,"25-&lt;35","35+")))))</x:f>
        <x:v>&lt;10</x:v>
      </x:c>
    </x:row>
    <x:row r="462">
      <x:c r="A462" t="str">
        <x:v>SYN0000461</x:v>
      </x:c>
      <x:c r="B462" s="12" t="n">
        <x:v>42655</x:v>
      </x:c>
      <x:c r="C462" s="18" t="n">
        <x:v>9301</x:v>
      </x:c>
      <x:c r="D462" s="18" t="n">
        <x:v>31459</x:v>
      </x:c>
      <x:c r="E462" s="18" t="n">
        <x:v>29.14</x:v>
      </x:c>
      <x:c r="F462" s="18" t="n">
        <x:v>7.25</x:v>
      </x:c>
      <x:c r="G462" t="n">
        <x:v>60</x:v>
      </x:c>
      <x:c r="H462" t="str">
        <x:v>A</x:v>
      </x:c>
      <x:c r="I462" t="str">
        <x:v>1-3 years</x:v>
      </x:c>
      <x:c r="J462" t="str">
        <x:v>RENT</x:v>
      </x:c>
      <x:c r="K462" t="str">
        <x:v>major_purchase</x:v>
      </x:c>
      <x:c r="L462" t="n">
        <x:v>1</x:v>
      </x:c>
      <x:c r="M462" t="n">
        <x:v>0</x:v>
      </x:c>
      <x:c r="N462" t="str">
        <x:v>Fully Paid</x:v>
      </x:c>
      <x:c r="O462" t="str">
        <x:f>IF(D462="","Unknown",IF(D462&lt;25000,"&lt;$25k",IF(D462&lt;50000,"$25k-$50k",IF(D462&lt;75000,"$50k-$75k",IF(D462&lt;100000,"$75k-$100k","$100k+")))))</x:f>
        <x:v>$25k-$50k</x:v>
      </x:c>
      <x:c r="P462" t="str">
        <x:f>IF(E462="","Unknown",IF(E462&lt;10,"&lt;10",IF(E462&lt;20,"10-&lt;20",IF(E462&lt;25,"20-&lt;25",IF(E462&lt;35,"25-&lt;35","35+")))))</x:f>
        <x:v>25-&lt;35</x:v>
      </x:c>
    </x:row>
    <x:row r="463">
      <x:c r="A463" t="str">
        <x:v>SYN0000462</x:v>
      </x:c>
      <x:c r="B463" s="12" t="n">
        <x:v>42355</x:v>
      </x:c>
      <x:c r="C463" s="18" t="n">
        <x:v>10000</x:v>
      </x:c>
      <x:c r="D463" s="18" t="n">
        <x:v>50936</x:v>
      </x:c>
      <x:c r="E463" s="18" t="n">
        <x:v>0</x:v>
      </x:c>
      <x:c r="F463" s="18" t="n">
        <x:v>8.73</x:v>
      </x:c>
      <x:c r="G463" t="n">
        <x:v>36</x:v>
      </x:c>
      <x:c r="H463" t="str">
        <x:v>B</x:v>
      </x:c>
      <x:c r="I463" t="str">
        <x:v>4-6 years</x:v>
      </x:c>
      <x:c r="J463" t="str">
        <x:v>RENT</x:v>
      </x:c>
      <x:c r="K463" t="str">
        <x:v>medical</x:v>
      </x:c>
      <x:c r="L463" t="n">
        <x:v>2</x:v>
      </x:c>
      <x:c r="M463" t="n">
        <x:v>0</x:v>
      </x:c>
      <x:c r="N463" t="str">
        <x:v>Fully Paid</x:v>
      </x:c>
      <x:c r="O463" t="str">
        <x:f>IF(D463="","Unknown",IF(D463&lt;25000,"&lt;$25k",IF(D463&lt;50000,"$25k-$50k",IF(D463&lt;75000,"$50k-$75k",IF(D463&lt;100000,"$75k-$100k","$100k+")))))</x:f>
        <x:v>$50k-$75k</x:v>
      </x:c>
      <x:c r="P463" t="str">
        <x:f>IF(E463="","Unknown",IF(E463&lt;10,"&lt;10",IF(E463&lt;20,"10-&lt;20",IF(E463&lt;25,"20-&lt;25",IF(E463&lt;35,"25-&lt;35","35+")))))</x:f>
        <x:v>Unknown</x:v>
      </x:c>
    </x:row>
    <x:row r="464">
      <x:c r="A464" t="str">
        <x:v>SYN0000463</x:v>
      </x:c>
      <x:c r="B464" s="12" t="n">
        <x:v>41605</x:v>
      </x:c>
      <x:c r="C464" s="18" t="n">
        <x:v>11715</x:v>
      </x:c>
      <x:c r="D464" s="18" t="n">
        <x:v>220310</x:v>
      </x:c>
      <x:c r="E464" s="18" t="n">
        <x:v>25.78</x:v>
      </x:c>
      <x:c r="F464" s="18" t="n">
        <x:v>21.98</x:v>
      </x:c>
      <x:c r="G464" t="n">
        <x:v>36</x:v>
      </x:c>
      <x:c r="H464" t="str">
        <x:v>F</x:v>
      </x:c>
      <x:c r="I464" t="str">
        <x:v>4-6 years</x:v>
      </x:c>
      <x:c r="J464" t="str">
        <x:v>RENT</x:v>
      </x:c>
      <x:c r="K464" t="str">
        <x:v>home_improvement</x:v>
      </x:c>
      <x:c r="L464" t="n">
        <x:v>0</x:v>
      </x:c>
      <x:c r="M464" t="n">
        <x:v>0</x:v>
      </x:c>
      <x:c r="N464" t="str">
        <x:v>Fully Paid</x:v>
      </x:c>
      <x:c r="O464" t="str">
        <x:f>IF(D464="","Unknown",IF(D464&lt;25000,"&lt;$25k",IF(D464&lt;50000,"$25k-$50k",IF(D464&lt;75000,"$50k-$75k",IF(D464&lt;100000,"$75k-$100k","$100k+")))))</x:f>
        <x:v>$100k+</x:v>
      </x:c>
      <x:c r="P464" t="str">
        <x:f>IF(E464="","Unknown",IF(E464&lt;10,"&lt;10",IF(E464&lt;20,"10-&lt;20",IF(E464&lt;25,"20-&lt;25",IF(E464&lt;35,"25-&lt;35","35+")))))</x:f>
        <x:v>25-&lt;35</x:v>
      </x:c>
    </x:row>
    <x:row r="465">
      <x:c r="A465" t="str">
        <x:v>SYN0000464</x:v>
      </x:c>
      <x:c r="B465" s="12" t="n">
        <x:v>41365</x:v>
      </x:c>
      <x:c r="C465" s="18" t="n">
        <x:v>6968</x:v>
      </x:c>
      <x:c r="D465" s="18" t="n">
        <x:v>49487</x:v>
      </x:c>
      <x:c r="E465" s="18" t="n">
        <x:v>31.44</x:v>
      </x:c>
      <x:c r="F465" s="18" t="n">
        <x:v>24.85</x:v>
      </x:c>
      <x:c r="G465" t="n">
        <x:v>60</x:v>
      </x:c>
      <x:c r="H465" t="str">
        <x:v>F</x:v>
      </x:c>
      <x:c r="I465" t="str">
        <x:v>1-3 years</x:v>
      </x:c>
      <x:c r="J465" t="str">
        <x:v>MORTGAGE</x:v>
      </x:c>
      <x:c r="K465" t="str">
        <x:v>debt_consolidation</x:v>
      </x:c>
      <x:c r="L465" t="n">
        <x:v>0</x:v>
      </x:c>
      <x:c r="M465" t="n">
        <x:v>0</x:v>
      </x:c>
      <x:c r="N465" t="str">
        <x:v>Fully Paid</x:v>
      </x:c>
      <x:c r="O465" t="str">
        <x:f>IF(D465="","Unknown",IF(D465&lt;25000,"&lt;$25k",IF(D465&lt;50000,"$25k-$50k",IF(D465&lt;75000,"$50k-$75k",IF(D465&lt;100000,"$75k-$100k","$100k+")))))</x:f>
        <x:v>$25k-$50k</x:v>
      </x:c>
      <x:c r="P465" t="str">
        <x:f>IF(E465="","Unknown",IF(E465&lt;10,"&lt;10",IF(E465&lt;20,"10-&lt;20",IF(E465&lt;25,"20-&lt;25",IF(E465&lt;35,"25-&lt;35","35+")))))</x:f>
        <x:v>25-&lt;35</x:v>
      </x:c>
    </x:row>
    <x:row r="466">
      <x:c r="A466" t="str">
        <x:v>SYN0000465</x:v>
      </x:c>
      <x:c r="B466" s="12" t="n">
        <x:v>42745</x:v>
      </x:c>
      <x:c r="C466" s="18" t="n">
        <x:v>4795</x:v>
      </x:c>
      <x:c r="D466" s="18" t="n">
        <x:v>34750</x:v>
      </x:c>
      <x:c r="E466" s="18" t="n">
        <x:v>21.53</x:v>
      </x:c>
      <x:c r="F466" s="18" t="n">
        <x:v>14.62</x:v>
      </x:c>
      <x:c r="G466" t="n">
        <x:v>36</x:v>
      </x:c>
      <x:c r="H466" t="str">
        <x:v>D</x:v>
      </x:c>
      <x:c r="I466" t="str">
        <x:v>1-3 years</x:v>
      </x:c>
      <x:c r="J466" t="str">
        <x:v>MORTGAGE</x:v>
      </x:c>
      <x:c r="K466" t="str">
        <x:v>other</x:v>
      </x:c>
      <x:c r="L466" t="n">
        <x:v>1</x:v>
      </x:c>
      <x:c r="M466" t="n">
        <x:v>1</x:v>
      </x:c>
      <x:c r="N466" t="str">
        <x:v>Charged Off</x:v>
      </x:c>
      <x:c r="O466" t="str">
        <x:f>IF(D466="","Unknown",IF(D466&lt;25000,"&lt;$25k",IF(D466&lt;50000,"$25k-$50k",IF(D466&lt;75000,"$50k-$75k",IF(D466&lt;100000,"$75k-$100k","$100k+")))))</x:f>
        <x:v>$25k-$50k</x:v>
      </x:c>
      <x:c r="P466" t="str">
        <x:f>IF(E466="","Unknown",IF(E466&lt;10,"&lt;10",IF(E466&lt;20,"10-&lt;20",IF(E466&lt;25,"20-&lt;25",IF(E466&lt;35,"25-&lt;35","35+")))))</x:f>
        <x:v>20-&lt;25</x:v>
      </x:c>
    </x:row>
    <x:row r="467">
      <x:c r="A467" t="str">
        <x:v>SYN0000466</x:v>
      </x:c>
      <x:c r="B467" s="12" t="n">
        <x:v>42955</x:v>
      </x:c>
      <x:c r="C467" s="18" t="n">
        <x:v>7141</x:v>
      </x:c>
      <x:c r="D467" s="18" t="n">
        <x:v>149797</x:v>
      </x:c>
      <x:c r="E467" s="18" t="n">
        <x:v>15.6</x:v>
      </x:c>
      <x:c r="F467" s="18" t="n">
        <x:v>19.7</x:v>
      </x:c>
      <x:c r="G467" t="n">
        <x:v>36</x:v>
      </x:c>
      <x:c r="H467" t="str">
        <x:v>E</x:v>
      </x:c>
      <x:c r="I467" t="str">
        <x:v>1-3 years</x:v>
      </x:c>
      <x:c r="J467" t="str">
        <x:v>RENT</x:v>
      </x:c>
      <x:c r="K467" t="str">
        <x:v>debt_consolidation</x:v>
      </x:c>
      <x:c r="L467" t="n">
        <x:v>0</x:v>
      </x:c>
      <x:c r="M467" t="n">
        <x:v>1</x:v>
      </x:c>
      <x:c r="N467" t="str">
        <x:v>Charged Off</x:v>
      </x:c>
      <x:c r="O467" t="str">
        <x:f>IF(D467="","Unknown",IF(D467&lt;25000,"&lt;$25k",IF(D467&lt;50000,"$25k-$50k",IF(D467&lt;75000,"$50k-$75k",IF(D467&lt;100000,"$75k-$100k","$100k+")))))</x:f>
        <x:v>$100k+</x:v>
      </x:c>
      <x:c r="P467" t="str">
        <x:f>IF(E467="","Unknown",IF(E467&lt;10,"&lt;10",IF(E467&lt;20,"10-&lt;20",IF(E467&lt;25,"20-&lt;25",IF(E467&lt;35,"25-&lt;35","35+")))))</x:f>
        <x:v>10-&lt;20</x:v>
      </x:c>
    </x:row>
    <x:row r="468">
      <x:c r="A468" t="str">
        <x:v>SYN0000467</x:v>
      </x:c>
      <x:c r="B468" s="12" t="n">
        <x:v>42235</x:v>
      </x:c>
      <x:c r="C468" s="18" t="n">
        <x:v>9072</x:v>
      </x:c>
      <x:c r="D468" s="18" t="n">
        <x:v>75579</x:v>
      </x:c>
      <x:c r="E468" s="18" t="n">
        <x:v>24.23</x:v>
      </x:c>
      <x:c r="F468" s="18" t="n">
        <x:v>10.44</x:v>
      </x:c>
      <x:c r="G468" t="n">
        <x:v>36</x:v>
      </x:c>
      <x:c r="H468" t="str">
        <x:v>C</x:v>
      </x:c>
      <x:c r="I468" t="str">
        <x:v>7-9 years</x:v>
      </x:c>
      <x:c r="J468" t="str">
        <x:v>MORTGAGE</x:v>
      </x:c>
      <x:c r="K468" t="str">
        <x:v>other</x:v>
      </x:c>
      <x:c r="L468" t="n">
        <x:v>2</x:v>
      </x:c>
      <x:c r="M468" t="n">
        <x:v>0</x:v>
      </x:c>
      <x:c r="N468" t="str">
        <x:v>Fully Paid</x:v>
      </x:c>
      <x:c r="O468" t="str">
        <x:f>IF(D468="","Unknown",IF(D468&lt;25000,"&lt;$25k",IF(D468&lt;50000,"$25k-$50k",IF(D468&lt;75000,"$50k-$75k",IF(D468&lt;100000,"$75k-$100k","$100k+")))))</x:f>
        <x:v>$75k-$100k</x:v>
      </x:c>
      <x:c r="P468" t="str">
        <x:f>IF(E468="","Unknown",IF(E468&lt;10,"&lt;10",IF(E468&lt;20,"10-&lt;20",IF(E468&lt;25,"20-&lt;25",IF(E468&lt;35,"25-&lt;35","35+")))))</x:f>
        <x:v>20-&lt;25</x:v>
      </x:c>
    </x:row>
    <x:row r="469">
      <x:c r="A469" t="str">
        <x:v>SYN0000468</x:v>
      </x:c>
      <x:c r="B469" s="12" t="n">
        <x:v>41785</x:v>
      </x:c>
      <x:c r="C469" s="18" t="n">
        <x:v>7517</x:v>
      </x:c>
      <x:c r="D469" s="18" t="n">
        <x:v>46319</x:v>
      </x:c>
      <x:c r="E469" s="18" t="n">
        <x:v>24.38</x:v>
      </x:c>
      <x:c r="F469" s="18" t="n">
        <x:v>25.08</x:v>
      </x:c>
      <x:c r="G469" t="n">
        <x:v>36</x:v>
      </x:c>
      <x:c r="H469" t="str">
        <x:v>G</x:v>
      </x:c>
      <x:c r="I469" t="str">
        <x:v>1-3 years</x:v>
      </x:c>
      <x:c r="J469" t="str">
        <x:v>RENT</x:v>
      </x:c>
      <x:c r="K469" t="str">
        <x:v>debt_consolidation</x:v>
      </x:c>
      <x:c r="L469" t="n">
        <x:v>1</x:v>
      </x:c>
      <x:c r="M469" t="n">
        <x:v>0</x:v>
      </x:c>
      <x:c r="N469" t="str">
        <x:v>Fully Paid</x:v>
      </x:c>
      <x:c r="O469" t="str">
        <x:f>IF(D469="","Unknown",IF(D469&lt;25000,"&lt;$25k",IF(D469&lt;50000,"$25k-$50k",IF(D469&lt;75000,"$50k-$75k",IF(D469&lt;100000,"$75k-$100k","$100k+")))))</x:f>
        <x:v>$25k-$50k</x:v>
      </x:c>
      <x:c r="P469" t="str">
        <x:f>IF(E469="","Unknown",IF(E469&lt;10,"&lt;10",IF(E469&lt;20,"10-&lt;20",IF(E469&lt;25,"20-&lt;25",IF(E469&lt;35,"25-&lt;35","35+")))))</x:f>
        <x:v>20-&lt;25</x:v>
      </x:c>
    </x:row>
    <x:row r="470">
      <x:c r="A470" t="str">
        <x:v>SYN0000469</x:v>
      </x:c>
      <x:c r="B470" s="12" t="n">
        <x:v>41725</x:v>
      </x:c>
      <x:c r="C470" s="18" t="n">
        <x:v>9195</x:v>
      </x:c>
      <x:c r="D470" s="18" t="n">
        <x:v>24500</x:v>
      </x:c>
      <x:c r="E470" s="18" t="n">
        <x:v>13.01</x:v>
      </x:c>
      <x:c r="F470" s="18" t="n">
        <x:v>8.3</x:v>
      </x:c>
      <x:c r="G470" t="n">
        <x:v>36</x:v>
      </x:c>
      <x:c r="H470" t="str">
        <x:v>C</x:v>
      </x:c>
      <x:c r="I470" t="str">
        <x:v>1-3 years</x:v>
      </x:c>
      <x:c r="J470" t="str">
        <x:v>RENT</x:v>
      </x:c>
      <x:c r="K470" t="str">
        <x:v>debt_consolidation</x:v>
      </x:c>
      <x:c r="L470" t="n">
        <x:v>1</x:v>
      </x:c>
      <x:c r="M470" t="n">
        <x:v>0</x:v>
      </x:c>
      <x:c r="N470" t="str">
        <x:v>Fully Paid</x:v>
      </x:c>
      <x:c r="O470" t="str">
        <x:f>IF(D470="","Unknown",IF(D470&lt;25000,"&lt;$25k",IF(D470&lt;50000,"$25k-$50k",IF(D470&lt;75000,"$50k-$75k",IF(D470&lt;100000,"$75k-$100k","$100k+")))))</x:f>
        <x:v>&lt;$25k</x:v>
      </x:c>
      <x:c r="P470" t="str">
        <x:f>IF(E470="","Unknown",IF(E470&lt;10,"&lt;10",IF(E470&lt;20,"10-&lt;20",IF(E470&lt;25,"20-&lt;25",IF(E470&lt;35,"25-&lt;35","35+")))))</x:f>
        <x:v>10-&lt;20</x:v>
      </x:c>
    </x:row>
    <x:row r="471">
      <x:c r="A471" t="str">
        <x:v>SYN0000470</x:v>
      </x:c>
      <x:c r="B471" s="12" t="n">
        <x:v>42025</x:v>
      </x:c>
      <x:c r="C471" s="18" t="n">
        <x:v>7527</x:v>
      </x:c>
      <x:c r="D471" s="18" t="n">
        <x:v>79863</x:v>
      </x:c>
      <x:c r="E471" s="18" t="n">
        <x:v>38.99</x:v>
      </x:c>
      <x:c r="F471" s="18" t="n">
        <x:v>24.68</x:v>
      </x:c>
      <x:c r="G471" t="n">
        <x:v>36</x:v>
      </x:c>
      <x:c r="H471" t="str">
        <x:v>G</x:v>
      </x:c>
      <x:c r="I471" t="str">
        <x:v>10+ years</x:v>
      </x:c>
      <x:c r="J471" t="str">
        <x:v>OWN</x:v>
      </x:c>
      <x:c r="K471" t="str">
        <x:v>debt_consolidation</x:v>
      </x:c>
      <x:c r="L471" t="n">
        <x:v>0</x:v>
      </x:c>
      <x:c r="M471" t="n">
        <x:v>1</x:v>
      </x:c>
      <x:c r="N471" t="str">
        <x:v>Charged Off</x:v>
      </x:c>
      <x:c r="O471" t="str">
        <x:f>IF(D471="","Unknown",IF(D471&lt;25000,"&lt;$25k",IF(D471&lt;50000,"$25k-$50k",IF(D471&lt;75000,"$50k-$75k",IF(D471&lt;100000,"$75k-$100k","$100k+")))))</x:f>
        <x:v>$75k-$100k</x:v>
      </x:c>
      <x:c r="P471" t="str">
        <x:f>IF(E471="","Unknown",IF(E471&lt;10,"&lt;10",IF(E471&lt;20,"10-&lt;20",IF(E471&lt;25,"20-&lt;25",IF(E471&lt;35,"25-&lt;35","35+")))))</x:f>
        <x:v>35+</x:v>
      </x:c>
    </x:row>
    <x:row r="472">
      <x:c r="A472" t="str">
        <x:v>SYN0000471</x:v>
      </x:c>
      <x:c r="B472" s="12" t="n">
        <x:v>43315</x:v>
      </x:c>
      <x:c r="C472" s="18" t="n">
        <x:v>27705</x:v>
      </x:c>
      <x:c r="D472" s="18" t="n">
        <x:v>75367</x:v>
      </x:c>
      <x:c r="E472" s="18" t="n">
        <x:v>10.27</x:v>
      </x:c>
      <x:c r="F472" s="18" t="n">
        <x:v>12.45</x:v>
      </x:c>
      <x:c r="G472" t="n">
        <x:v>60</x:v>
      </x:c>
      <x:c r="H472" t="str">
        <x:v>C</x:v>
      </x:c>
      <x:c r="I472" t="str">
        <x:v>10+ years</x:v>
      </x:c>
      <x:c r="J472" t="str">
        <x:v>RENT</x:v>
      </x:c>
      <x:c r="K472" t="str">
        <x:v>credit_card</x:v>
      </x:c>
      <x:c r="L472" t="n">
        <x:v>2</x:v>
      </x:c>
      <x:c r="M472" t="n">
        <x:v>0</x:v>
      </x:c>
      <x:c r="N472" t="str">
        <x:v>Fully Paid</x:v>
      </x:c>
      <x:c r="O472" t="str">
        <x:f>IF(D472="","Unknown",IF(D472&lt;25000,"&lt;$25k",IF(D472&lt;50000,"$25k-$50k",IF(D472&lt;75000,"$50k-$75k",IF(D472&lt;100000,"$75k-$100k","$100k+")))))</x:f>
        <x:v>$75k-$100k</x:v>
      </x:c>
      <x:c r="P472" t="str">
        <x:f>IF(E472="","Unknown",IF(E472&lt;10,"&lt;10",IF(E472&lt;20,"10-&lt;20",IF(E472&lt;25,"20-&lt;25",IF(E472&lt;35,"25-&lt;35","35+")))))</x:f>
        <x:v>10-&lt;20</x:v>
      </x:c>
    </x:row>
    <x:row r="473">
      <x:c r="A473" t="str">
        <x:v>SYN0000472</x:v>
      </x:c>
      <x:c r="B473" s="12" t="n">
        <x:v>42295</x:v>
      </x:c>
      <x:c r="C473" s="18" t="n">
        <x:v>25512</x:v>
      </x:c>
      <x:c r="D473" s="18" t="n">
        <x:v>20405</x:v>
      </x:c>
      <x:c r="E473" s="18" t="n">
        <x:v>0</x:v>
      </x:c>
      <x:c r="F473" s="18" t="n">
        <x:v>10.63</x:v>
      </x:c>
      <x:c r="G473" t="n">
        <x:v>60</x:v>
      </x:c>
      <x:c r="H473" t="str">
        <x:v>B</x:v>
      </x:c>
      <x:c r="I473" t="str">
        <x:v>10+ years</x:v>
      </x:c>
      <x:c r="J473" t="str">
        <x:v>MORTGAGE</x:v>
      </x:c>
      <x:c r="K473" t="str">
        <x:v>credit_card</x:v>
      </x:c>
      <x:c r="L473" t="n">
        <x:v>1</x:v>
      </x:c>
      <x:c r="M473" t="n">
        <x:v>0</x:v>
      </x:c>
      <x:c r="N473" t="str">
        <x:v>Fully Paid</x:v>
      </x:c>
      <x:c r="O473" t="str">
        <x:f>IF(D473="","Unknown",IF(D473&lt;25000,"&lt;$25k",IF(D473&lt;50000,"$25k-$50k",IF(D473&lt;75000,"$50k-$75k",IF(D473&lt;100000,"$75k-$100k","$100k+")))))</x:f>
        <x:v>&lt;$25k</x:v>
      </x:c>
      <x:c r="P473" t="str">
        <x:f>IF(E473="","Unknown",IF(E473&lt;10,"&lt;10",IF(E473&lt;20,"10-&lt;20",IF(E473&lt;25,"20-&lt;25",IF(E473&lt;35,"25-&lt;35","35+")))))</x:f>
        <x:v>Unknown</x:v>
      </x:c>
    </x:row>
    <x:row r="474">
      <x:c r="A474" t="str">
        <x:v>SYN0000473</x:v>
      </x:c>
      <x:c r="B474" s="12" t="n">
        <x:v>43045</x:v>
      </x:c>
      <x:c r="C474" s="18" t="n">
        <x:v>11597</x:v>
      </x:c>
      <x:c r="D474" s="18" t="n">
        <x:v>20321</x:v>
      </x:c>
      <x:c r="E474" s="18" t="n">
        <x:v>11.68</x:v>
      </x:c>
      <x:c r="F474" s="18" t="n">
        <x:v>10.65</x:v>
      </x:c>
      <x:c r="G474" t="n">
        <x:v>36</x:v>
      </x:c>
      <x:c r="H474" t="str">
        <x:v>C</x:v>
      </x:c>
      <x:c r="I474" t="str">
        <x:v>7-9 years</x:v>
      </x:c>
      <x:c r="J474" t="str">
        <x:v>MORTGAGE</x:v>
      </x:c>
      <x:c r="K474" t="str">
        <x:v>debt_consolidation</x:v>
      </x:c>
      <x:c r="L474" t="n">
        <x:v>0</x:v>
      </x:c>
      <x:c r="M474" t="n">
        <x:v>0</x:v>
      </x:c>
      <x:c r="N474" t="str">
        <x:v>Fully Paid</x:v>
      </x:c>
      <x:c r="O474" t="str">
        <x:f>IF(D474="","Unknown",IF(D474&lt;25000,"&lt;$25k",IF(D474&lt;50000,"$25k-$50k",IF(D474&lt;75000,"$50k-$75k",IF(D474&lt;100000,"$75k-$100k","$100k+")))))</x:f>
        <x:v>&lt;$25k</x:v>
      </x:c>
      <x:c r="P474" t="str">
        <x:f>IF(E474="","Unknown",IF(E474&lt;10,"&lt;10",IF(E474&lt;20,"10-&lt;20",IF(E474&lt;25,"20-&lt;25",IF(E474&lt;35,"25-&lt;35","35+")))))</x:f>
        <x:v>10-&lt;20</x:v>
      </x:c>
    </x:row>
    <x:row r="475">
      <x:c r="A475" t="str">
        <x:v>SYN0000474</x:v>
      </x:c>
      <x:c r="B475" s="12" t="n">
        <x:v>42715</x:v>
      </x:c>
      <x:c r="C475" s="18" t="n">
        <x:v>19794</x:v>
      </x:c>
      <x:c r="D475" s="18" t="n">
        <x:v>41669</x:v>
      </x:c>
      <x:c r="E475" s="18" t="n">
        <x:v>3.08</x:v>
      </x:c>
      <x:c r="F475" s="18" t="n">
        <x:v>12.29</x:v>
      </x:c>
      <x:c r="G475" t="n">
        <x:v>60</x:v>
      </x:c>
      <x:c r="H475" t="str">
        <x:v>C</x:v>
      </x:c>
      <x:c r="I475" t="str">
        <x:v>&lt;1 year</x:v>
      </x:c>
      <x:c r="J475" t="str">
        <x:v>MORTGAGE</x:v>
      </x:c>
      <x:c r="K475" t="str">
        <x:v>credit_card</x:v>
      </x:c>
      <x:c r="L475" t="n">
        <x:v>0</x:v>
      </x:c>
      <x:c r="M475" t="n">
        <x:v>0</x:v>
      </x:c>
      <x:c r="N475" t="str">
        <x:v>Fully Paid</x:v>
      </x:c>
      <x:c r="O475" t="str">
        <x:f>IF(D475="","Unknown",IF(D475&lt;25000,"&lt;$25k",IF(D475&lt;50000,"$25k-$50k",IF(D475&lt;75000,"$50k-$75k",IF(D475&lt;100000,"$75k-$100k","$100k+")))))</x:f>
        <x:v>$25k-$50k</x:v>
      </x:c>
      <x:c r="P475" t="str">
        <x:f>IF(E475="","Unknown",IF(E475&lt;10,"&lt;10",IF(E475&lt;20,"10-&lt;20",IF(E475&lt;25,"20-&lt;25",IF(E475&lt;35,"25-&lt;35","35+")))))</x:f>
        <x:v>&lt;10</x:v>
      </x:c>
    </x:row>
    <x:row r="476">
      <x:c r="A476" t="str">
        <x:v>SYN0000475</x:v>
      </x:c>
      <x:c r="B476" s="12" t="n">
        <x:v>42325</x:v>
      </x:c>
      <x:c r="C476" s="18" t="n">
        <x:v>16676</x:v>
      </x:c>
      <x:c r="D476" s="18" t="n">
        <x:v>238828</x:v>
      </x:c>
      <x:c r="E476" s="18" t="n">
        <x:v>17.37</x:v>
      </x:c>
      <x:c r="F476" s="18" t="n">
        <x:v>11.19</x:v>
      </x:c>
      <x:c r="G476" t="n">
        <x:v>60</x:v>
      </x:c>
      <x:c r="H476" t="str">
        <x:v>B</x:v>
      </x:c>
      <x:c r="I476" t="str">
        <x:v>10+ years</x:v>
      </x:c>
      <x:c r="J476" t="str">
        <x:v>MORTGAGE</x:v>
      </x:c>
      <x:c r="K476" t="str">
        <x:v>debt_consolidation</x:v>
      </x:c>
      <x:c r="L476" t="n">
        <x:v>0</x:v>
      </x:c>
      <x:c r="M476" t="n">
        <x:v>0</x:v>
      </x:c>
      <x:c r="N476" t="str">
        <x:v>Fully Paid</x:v>
      </x:c>
      <x:c r="O476" t="str">
        <x:f>IF(D476="","Unknown",IF(D476&lt;25000,"&lt;$25k",IF(D476&lt;50000,"$25k-$50k",IF(D476&lt;75000,"$50k-$75k",IF(D476&lt;100000,"$75k-$100k","$100k+")))))</x:f>
        <x:v>$100k+</x:v>
      </x:c>
      <x:c r="P476" t="str">
        <x:f>IF(E476="","Unknown",IF(E476&lt;10,"&lt;10",IF(E476&lt;20,"10-&lt;20",IF(E476&lt;25,"20-&lt;25",IF(E476&lt;35,"25-&lt;35","35+")))))</x:f>
        <x:v>10-&lt;20</x:v>
      </x:c>
    </x:row>
    <x:row r="477">
      <x:c r="A477" t="str">
        <x:v>SYN0000476</x:v>
      </x:c>
      <x:c r="B477" s="12" t="n">
        <x:v>42355</x:v>
      </x:c>
      <x:c r="C477" s="18" t="n">
        <x:v>28716</x:v>
      </x:c>
      <x:c r="D477" s="18" t="n">
        <x:v>37400</x:v>
      </x:c>
      <x:c r="E477" s="18" t="n">
        <x:v>18.18</x:v>
      </x:c>
      <x:c r="F477" s="18" t="n">
        <x:v>5.73</x:v>
      </x:c>
      <x:c r="G477" t="n">
        <x:v>60</x:v>
      </x:c>
      <x:c r="H477" t="str">
        <x:v>A</x:v>
      </x:c>
      <x:c r="I477" t="str">
        <x:v>10+ years</x:v>
      </x:c>
      <x:c r="J477" t="str">
        <x:v>MORTGAGE</x:v>
      </x:c>
      <x:c r="K477" t="str">
        <x:v>credit_card</x:v>
      </x:c>
      <x:c r="L477" t="n">
        <x:v>0</x:v>
      </x:c>
      <x:c r="M477" t="n">
        <x:v>0</x:v>
      </x:c>
      <x:c r="N477" t="str">
        <x:v>Fully Paid</x:v>
      </x:c>
      <x:c r="O477" t="str">
        <x:f>IF(D477="","Unknown",IF(D477&lt;25000,"&lt;$25k",IF(D477&lt;50000,"$25k-$50k",IF(D477&lt;75000,"$50k-$75k",IF(D477&lt;100000,"$75k-$100k","$100k+")))))</x:f>
        <x:v>$25k-$50k</x:v>
      </x:c>
      <x:c r="P477" t="str">
        <x:f>IF(E477="","Unknown",IF(E477&lt;10,"&lt;10",IF(E477&lt;20,"10-&lt;20",IF(E477&lt;25,"20-&lt;25",IF(E477&lt;35,"25-&lt;35","35+")))))</x:f>
        <x:v>10-&lt;20</x:v>
      </x:c>
    </x:row>
    <x:row r="478">
      <x:c r="A478" t="str">
        <x:v>SYN0000477</x:v>
      </x:c>
      <x:c r="B478" s="12" t="n">
        <x:v>41455</x:v>
      </x:c>
      <x:c r="C478" s="18" t="n">
        <x:v>9905</x:v>
      </x:c>
      <x:c r="D478" s="18" t="n">
        <x:v>75101</x:v>
      </x:c>
      <x:c r="E478" s="18" t="n">
        <x:v>26.27</x:v>
      </x:c>
      <x:c r="F478" s="18" t="n">
        <x:v>13.15</x:v>
      </x:c>
      <x:c r="G478" t="n">
        <x:v>36</x:v>
      </x:c>
      <x:c r="H478" t="str">
        <x:v>C</x:v>
      </x:c>
      <x:c r="I478" t="str">
        <x:v>1-3 years</x:v>
      </x:c>
      <x:c r="J478" t="str">
        <x:v>OWN</x:v>
      </x:c>
      <x:c r="K478" t="str">
        <x:v>credit_card</x:v>
      </x:c>
      <x:c r="L478" t="n">
        <x:v>0</x:v>
      </x:c>
      <x:c r="M478" t="n">
        <x:v>0</x:v>
      </x:c>
      <x:c r="N478" t="str">
        <x:v>Fully Paid</x:v>
      </x:c>
      <x:c r="O478" t="str">
        <x:f>IF(D478="","Unknown",IF(D478&lt;25000,"&lt;$25k",IF(D478&lt;50000,"$25k-$50k",IF(D478&lt;75000,"$50k-$75k",IF(D478&lt;100000,"$75k-$100k","$100k+")))))</x:f>
        <x:v>$75k-$100k</x:v>
      </x:c>
      <x:c r="P478" t="str">
        <x:f>IF(E478="","Unknown",IF(E478&lt;10,"&lt;10",IF(E478&lt;20,"10-&lt;20",IF(E478&lt;25,"20-&lt;25",IF(E478&lt;35,"25-&lt;35","35+")))))</x:f>
        <x:v>25-&lt;35</x:v>
      </x:c>
    </x:row>
    <x:row r="479">
      <x:c r="A479" t="str">
        <x:v>SYN0000478</x:v>
      </x:c>
      <x:c r="B479" s="12" t="n">
        <x:v>43285</x:v>
      </x:c>
      <x:c r="C479" s="18" t="n">
        <x:v>13144</x:v>
      </x:c>
      <x:c r="D479" s="18" t="n">
        <x:v>24819</x:v>
      </x:c>
      <x:c r="E479" s="18" t="n">
        <x:v>9.09</x:v>
      </x:c>
      <x:c r="F479" s="18" t="n">
        <x:v>6.5</x:v>
      </x:c>
      <x:c r="G479" t="n">
        <x:v>60</x:v>
      </x:c>
      <x:c r="H479" t="str">
        <x:v>B</x:v>
      </x:c>
      <x:c r="I479" t="str">
        <x:v>4-6 years</x:v>
      </x:c>
      <x:c r="J479" t="str">
        <x:v>OWN</x:v>
      </x:c>
      <x:c r="K479" t="str">
        <x:v>debt_consolidation</x:v>
      </x:c>
      <x:c r="L479" t="n">
        <x:v>0</x:v>
      </x:c>
      <x:c r="M479" t="n">
        <x:v>0</x:v>
      </x:c>
      <x:c r="N479" t="str">
        <x:v>Fully Paid</x:v>
      </x:c>
      <x:c r="O479" t="str">
        <x:f>IF(D479="","Unknown",IF(D479&lt;25000,"&lt;$25k",IF(D479&lt;50000,"$25k-$50k",IF(D479&lt;75000,"$50k-$75k",IF(D479&lt;100000,"$75k-$100k","$100k+")))))</x:f>
        <x:v>&lt;$25k</x:v>
      </x:c>
      <x:c r="P479" t="str">
        <x:f>IF(E479="","Unknown",IF(E479&lt;10,"&lt;10",IF(E479&lt;20,"10-&lt;20",IF(E479&lt;25,"20-&lt;25",IF(E479&lt;35,"25-&lt;35","35+")))))</x:f>
        <x:v>&lt;10</x:v>
      </x:c>
    </x:row>
    <x:row r="480">
      <x:c r="A480" t="str">
        <x:v>SYN0000479</x:v>
      </x:c>
      <x:c r="B480" s="12" t="n">
        <x:v>43255</x:v>
      </x:c>
      <x:c r="C480" s="18" t="n">
        <x:v>13811</x:v>
      </x:c>
      <x:c r="D480" s="18" t="n">
        <x:v>57828</x:v>
      </x:c>
      <x:c r="E480" s="18" t="n">
        <x:v>16.98</x:v>
      </x:c>
      <x:c r="F480" s="18" t="n">
        <x:v>22.97</x:v>
      </x:c>
      <x:c r="G480" t="n">
        <x:v>60</x:v>
      </x:c>
      <x:c r="H480" t="str">
        <x:v>F</x:v>
      </x:c>
      <x:c r="I480" t="str">
        <x:v>7-9 years</x:v>
      </x:c>
      <x:c r="J480" t="str">
        <x:v>RENT</x:v>
      </x:c>
      <x:c r="K480" t="str">
        <x:v>debt_consolidation</x:v>
      </x:c>
      <x:c r="L480" t="n">
        <x:v>0</x:v>
      </x:c>
      <x:c r="M480" t="n">
        <x:v>0</x:v>
      </x:c>
      <x:c r="N480" t="str">
        <x:v>Fully Paid</x:v>
      </x:c>
      <x:c r="O480" t="str">
        <x:f>IF(D480="","Unknown",IF(D480&lt;25000,"&lt;$25k",IF(D480&lt;50000,"$25k-$50k",IF(D480&lt;75000,"$50k-$75k",IF(D480&lt;100000,"$75k-$100k","$100k+")))))</x:f>
        <x:v>$50k-$75k</x:v>
      </x:c>
      <x:c r="P480" t="str">
        <x:f>IF(E480="","Unknown",IF(E480&lt;10,"&lt;10",IF(E480&lt;20,"10-&lt;20",IF(E480&lt;25,"20-&lt;25",IF(E480&lt;35,"25-&lt;35","35+")))))</x:f>
        <x:v>10-&lt;20</x:v>
      </x:c>
    </x:row>
    <x:row r="481">
      <x:c r="A481" t="str">
        <x:v>SYN0000480</x:v>
      </x:c>
      <x:c r="B481" s="12" t="n">
        <x:v>43135</x:v>
      </x:c>
      <x:c r="C481" s="18" t="n">
        <x:v>8791</x:v>
      </x:c>
      <x:c r="D481" s="18" t="n">
        <x:v>61189</x:v>
      </x:c>
      <x:c r="E481" s="18" t="n">
        <x:v>26.88</x:v>
      </x:c>
      <x:c r="F481" s="18" t="n">
        <x:v>10.13</x:v>
      </x:c>
      <x:c r="G481" t="n">
        <x:v>36</x:v>
      </x:c>
      <x:c r="H481" t="str">
        <x:v>C</x:v>
      </x:c>
      <x:c r="I481" t="str">
        <x:v>4-6 years</x:v>
      </x:c>
      <x:c r="J481" t="str">
        <x:v>RENT</x:v>
      </x:c>
      <x:c r="K481" t="str">
        <x:v>credit_card</x:v>
      </x:c>
      <x:c r="L481" t="n">
        <x:v>1</x:v>
      </x:c>
      <x:c r="M481" t="n">
        <x:v>0</x:v>
      </x:c>
      <x:c r="N481" t="str">
        <x:v>Fully Paid</x:v>
      </x:c>
      <x:c r="O481" t="str">
        <x:f>IF(D481="","Unknown",IF(D481&lt;25000,"&lt;$25k",IF(D481&lt;50000,"$25k-$50k",IF(D481&lt;75000,"$50k-$75k",IF(D481&lt;100000,"$75k-$100k","$100k+")))))</x:f>
        <x:v>$50k-$75k</x:v>
      </x:c>
      <x:c r="P481" t="str">
        <x:f>IF(E481="","Unknown",IF(E481&lt;10,"&lt;10",IF(E481&lt;20,"10-&lt;20",IF(E481&lt;25,"20-&lt;25",IF(E481&lt;35,"25-&lt;35","35+")))))</x:f>
        <x:v>25-&lt;35</x:v>
      </x:c>
    </x:row>
    <x:row r="482">
      <x:c r="A482" t="str">
        <x:v>SYN0000481</x:v>
      </x:c>
      <x:c r="B482" s="12" t="n">
        <x:v>43015</x:v>
      </x:c>
      <x:c r="C482" s="18" t="n">
        <x:v>11897</x:v>
      </x:c>
      <x:c r="D482" s="18" t="n">
        <x:v>57179</x:v>
      </x:c>
      <x:c r="E482" s="18" t="n">
        <x:v>26.53</x:v>
      </x:c>
      <x:c r="F482" s="18" t="n">
        <x:v>25.98</x:v>
      </x:c>
      <x:c r="G482" t="n">
        <x:v>60</x:v>
      </x:c>
      <x:c r="H482" t="str">
        <x:v>G</x:v>
      </x:c>
      <x:c r="I482" t="str">
        <x:v>1-3 years</x:v>
      </x:c>
      <x:c r="J482" t="str">
        <x:v>RENT</x:v>
      </x:c>
      <x:c r="K482" t="str">
        <x:v>other</x:v>
      </x:c>
      <x:c r="L482" t="n">
        <x:v>0</x:v>
      </x:c>
      <x:c r="M482" t="n">
        <x:v>0</x:v>
      </x:c>
      <x:c r="N482" t="str">
        <x:v>Fully Paid</x:v>
      </x:c>
      <x:c r="O482" t="str">
        <x:f>IF(D482="","Unknown",IF(D482&lt;25000,"&lt;$25k",IF(D482&lt;50000,"$25k-$50k",IF(D482&lt;75000,"$50k-$75k",IF(D482&lt;100000,"$75k-$100k","$100k+")))))</x:f>
        <x:v>$50k-$75k</x:v>
      </x:c>
      <x:c r="P482" t="str">
        <x:f>IF(E482="","Unknown",IF(E482&lt;10,"&lt;10",IF(E482&lt;20,"10-&lt;20",IF(E482&lt;25,"20-&lt;25",IF(E482&lt;35,"25-&lt;35","35+")))))</x:f>
        <x:v>25-&lt;35</x:v>
      </x:c>
    </x:row>
    <x:row r="483">
      <x:c r="A483" t="str">
        <x:v>SYN0000482</x:v>
      </x:c>
      <x:c r="B483" s="12" t="n">
        <x:v>41395</x:v>
      </x:c>
      <x:c r="C483" s="18" t="n">
        <x:v>18907</x:v>
      </x:c>
      <x:c r="D483" s="18" t="n">
        <x:v>203038</x:v>
      </x:c>
      <x:c r="E483" s="18" t="n">
        <x:v>2.68</x:v>
      </x:c>
      <x:c r="F483" s="18" t="n">
        <x:v>9.23</x:v>
      </x:c>
      <x:c r="G483" t="n">
        <x:v>36</x:v>
      </x:c>
      <x:c r="H483" t="str">
        <x:v>C</x:v>
      </x:c>
      <x:c r="I483" t="str">
        <x:v>1-3 years</x:v>
      </x:c>
      <x:c r="J483" t="str">
        <x:v>MORTGAGE</x:v>
      </x:c>
      <x:c r="K483" t="str">
        <x:v>major_purchase</x:v>
      </x:c>
      <x:c r="L483" t="n">
        <x:v>0</x:v>
      </x:c>
      <x:c r="M483" t="n">
        <x:v>0</x:v>
      </x:c>
      <x:c r="N483" t="str">
        <x:v>Fully Paid</x:v>
      </x:c>
      <x:c r="O483" t="str">
        <x:f>IF(D483="","Unknown",IF(D483&lt;25000,"&lt;$25k",IF(D483&lt;50000,"$25k-$50k",IF(D483&lt;75000,"$50k-$75k",IF(D483&lt;100000,"$75k-$100k","$100k+")))))</x:f>
        <x:v>$100k+</x:v>
      </x:c>
      <x:c r="P483" t="str">
        <x:f>IF(E483="","Unknown",IF(E483&lt;10,"&lt;10",IF(E483&lt;20,"10-&lt;20",IF(E483&lt;25,"20-&lt;25",IF(E483&lt;35,"25-&lt;35","35+")))))</x:f>
        <x:v>&lt;10</x:v>
      </x:c>
    </x:row>
    <x:row r="484">
      <x:c r="A484" t="str">
        <x:v>SYN0000483</x:v>
      </x:c>
      <x:c r="B484" s="12" t="n">
        <x:v>42115</x:v>
      </x:c>
      <x:c r="C484" s="18" t="n">
        <x:v>19900</x:v>
      </x:c>
      <x:c r="D484" s="18" t="n">
        <x:v>44310</x:v>
      </x:c>
      <x:c r="E484" s="18" t="n">
        <x:v>21.75</x:v>
      </x:c>
      <x:c r="F484" s="18" t="n">
        <x:v>10.14</x:v>
      </x:c>
      <x:c r="G484" t="n">
        <x:v>36</x:v>
      </x:c>
      <x:c r="H484" t="str">
        <x:v>B</x:v>
      </x:c>
      <x:c r="I484" t="str">
        <x:v>7-9 years</x:v>
      </x:c>
      <x:c r="J484" t="str">
        <x:v>OWN</x:v>
      </x:c>
      <x:c r="K484" t="str">
        <x:v>major_purchase</x:v>
      </x:c>
      <x:c r="L484" t="n">
        <x:v>0</x:v>
      </x:c>
      <x:c r="M484" t="n">
        <x:v>0</x:v>
      </x:c>
      <x:c r="N484" t="str">
        <x:v>Fully Paid</x:v>
      </x:c>
      <x:c r="O484" t="str">
        <x:f>IF(D484="","Unknown",IF(D484&lt;25000,"&lt;$25k",IF(D484&lt;50000,"$25k-$50k",IF(D484&lt;75000,"$50k-$75k",IF(D484&lt;100000,"$75k-$100k","$100k+")))))</x:f>
        <x:v>$25k-$50k</x:v>
      </x:c>
      <x:c r="P484" t="str">
        <x:f>IF(E484="","Unknown",IF(E484&lt;10,"&lt;10",IF(E484&lt;20,"10-&lt;20",IF(E484&lt;25,"20-&lt;25",IF(E484&lt;35,"25-&lt;35","35+")))))</x:f>
        <x:v>20-&lt;25</x:v>
      </x:c>
    </x:row>
    <x:row r="485">
      <x:c r="A485" t="str">
        <x:v>SYN0000484</x:v>
      </x:c>
      <x:c r="B485" s="12" t="n">
        <x:v>42925</x:v>
      </x:c>
      <x:c r="C485" s="18" t="n">
        <x:v>13412</x:v>
      </x:c>
      <x:c r="D485" s="18" t="n">
        <x:v>69399</x:v>
      </x:c>
      <x:c r="E485" s="18" t="n">
        <x:v>19.69</x:v>
      </x:c>
      <x:c r="F485" s="18" t="n">
        <x:v>10.86</x:v>
      </x:c>
      <x:c r="G485" t="n">
        <x:v>36</x:v>
      </x:c>
      <x:c r="H485" t="str">
        <x:v>C</x:v>
      </x:c>
      <x:c r="I485" t="str">
        <x:v>10+ years</x:v>
      </x:c>
      <x:c r="J485" t="str">
        <x:v>RENT</x:v>
      </x:c>
      <x:c r="K485" t="str">
        <x:v>debt_consolidation</x:v>
      </x:c>
      <x:c r="L485" t="n">
        <x:v>2</x:v>
      </x:c>
      <x:c r="M485" t="n">
        <x:v>0</x:v>
      </x:c>
      <x:c r="N485" t="str">
        <x:v>Fully Paid</x:v>
      </x:c>
      <x:c r="O485" t="str">
        <x:f>IF(D485="","Unknown",IF(D485&lt;25000,"&lt;$25k",IF(D485&lt;50000,"$25k-$50k",IF(D485&lt;75000,"$50k-$75k",IF(D485&lt;100000,"$75k-$100k","$100k+")))))</x:f>
        <x:v>$50k-$75k</x:v>
      </x:c>
      <x:c r="P485" t="str">
        <x:f>IF(E485="","Unknown",IF(E485&lt;10,"&lt;10",IF(E485&lt;20,"10-&lt;20",IF(E485&lt;25,"20-&lt;25",IF(E485&lt;35,"25-&lt;35","35+")))))</x:f>
        <x:v>10-&lt;20</x:v>
      </x:c>
    </x:row>
    <x:row r="486">
      <x:c r="A486" t="str">
        <x:v>SYN0000485</x:v>
      </x:c>
      <x:c r="B486" s="12" t="n">
        <x:v>43405</x:v>
      </x:c>
      <x:c r="C486" s="18" t="n">
        <x:v>8690</x:v>
      </x:c>
      <x:c r="D486" s="18" t="n">
        <x:v>46532</x:v>
      </x:c>
      <x:c r="E486" s="18" t="n">
        <x:v>26.63</x:v>
      </x:c>
      <x:c r="F486" s="18" t="n">
        <x:v>24.22</x:v>
      </x:c>
      <x:c r="G486" t="n">
        <x:v>36</x:v>
      </x:c>
      <x:c r="H486" t="str">
        <x:v>F</x:v>
      </x:c>
      <x:c r="I486" t="str">
        <x:v>7-9 years</x:v>
      </x:c>
      <x:c r="J486" t="str">
        <x:v>MORTGAGE</x:v>
      </x:c>
      <x:c r="K486" t="str">
        <x:v>debt_consolidation</x:v>
      </x:c>
      <x:c r="L486" t="n">
        <x:v>1</x:v>
      </x:c>
      <x:c r="M486" t="n">
        <x:v>0</x:v>
      </x:c>
      <x:c r="N486" t="str">
        <x:v>Fully Paid</x:v>
      </x:c>
      <x:c r="O486" t="str">
        <x:f>IF(D486="","Unknown",IF(D486&lt;25000,"&lt;$25k",IF(D486&lt;50000,"$25k-$50k",IF(D486&lt;75000,"$50k-$75k",IF(D486&lt;100000,"$75k-$100k","$100k+")))))</x:f>
        <x:v>$25k-$50k</x:v>
      </x:c>
      <x:c r="P486" t="str">
        <x:f>IF(E486="","Unknown",IF(E486&lt;10,"&lt;10",IF(E486&lt;20,"10-&lt;20",IF(E486&lt;25,"20-&lt;25",IF(E486&lt;35,"25-&lt;35","35+")))))</x:f>
        <x:v>25-&lt;35</x:v>
      </x:c>
    </x:row>
    <x:row r="487">
      <x:c r="A487" t="str">
        <x:v>SYN0000486</x:v>
      </x:c>
      <x:c r="B487" s="12" t="n">
        <x:v>42685</x:v>
      </x:c>
      <x:c r="C487" s="18" t="n">
        <x:v>20154</x:v>
      </x:c>
      <x:c r="D487" s="18" t="n">
        <x:v>30616</x:v>
      </x:c>
      <x:c r="E487" s="18" t="n">
        <x:v>21.13</x:v>
      </x:c>
      <x:c r="F487" s="18" t="n">
        <x:v>8.45</x:v>
      </x:c>
      <x:c r="G487" t="n">
        <x:v>36</x:v>
      </x:c>
      <x:c r="H487" t="str">
        <x:v>B</x:v>
      </x:c>
      <x:c r="I487" t="str">
        <x:v>10+ years</x:v>
      </x:c>
      <x:c r="J487" t="str">
        <x:v>MORTGAGE</x:v>
      </x:c>
      <x:c r="K487" t="str">
        <x:v>credit_card</x:v>
      </x:c>
      <x:c r="L487" t="n">
        <x:v>0</x:v>
      </x:c>
      <x:c r="M487" t="n">
        <x:v>0</x:v>
      </x:c>
      <x:c r="N487" t="str">
        <x:v>Fully Paid</x:v>
      </x:c>
      <x:c r="O487" t="str">
        <x:f>IF(D487="","Unknown",IF(D487&lt;25000,"&lt;$25k",IF(D487&lt;50000,"$25k-$50k",IF(D487&lt;75000,"$50k-$75k",IF(D487&lt;100000,"$75k-$100k","$100k+")))))</x:f>
        <x:v>$25k-$50k</x:v>
      </x:c>
      <x:c r="P487" t="str">
        <x:f>IF(E487="","Unknown",IF(E487&lt;10,"&lt;10",IF(E487&lt;20,"10-&lt;20",IF(E487&lt;25,"20-&lt;25",IF(E487&lt;35,"25-&lt;35","35+")))))</x:f>
        <x:v>20-&lt;25</x:v>
      </x:c>
    </x:row>
    <x:row r="488">
      <x:c r="A488" t="str">
        <x:v>SYN0000487</x:v>
      </x:c>
      <x:c r="B488" s="12" t="n">
        <x:v>42685</x:v>
      </x:c>
      <x:c r="C488" s="18" t="n">
        <x:v>12167</x:v>
      </x:c>
      <x:c r="D488" s="18" t="n">
        <x:v>29483</x:v>
      </x:c>
      <x:c r="E488" s="18" t="n">
        <x:v>32.32</x:v>
      </x:c>
      <x:c r="F488" s="18" t="n">
        <x:v>8.38</x:v>
      </x:c>
      <x:c r="G488" t="n">
        <x:v>36</x:v>
      </x:c>
      <x:c r="H488" t="str">
        <x:v>A</x:v>
      </x:c>
      <x:c r="I488" t="str">
        <x:v>10+ years</x:v>
      </x:c>
      <x:c r="J488" t="str">
        <x:v>OWN</x:v>
      </x:c>
      <x:c r="K488" t="str">
        <x:v>debt_consolidation</x:v>
      </x:c>
      <x:c r="L488" t="n">
        <x:v>1</x:v>
      </x:c>
      <x:c r="M488" t="n">
        <x:v>0</x:v>
      </x:c>
      <x:c r="N488" t="str">
        <x:v>Fully Paid</x:v>
      </x:c>
      <x:c r="O488" t="str">
        <x:f>IF(D488="","Unknown",IF(D488&lt;25000,"&lt;$25k",IF(D488&lt;50000,"$25k-$50k",IF(D488&lt;75000,"$50k-$75k",IF(D488&lt;100000,"$75k-$100k","$100k+")))))</x:f>
        <x:v>$25k-$50k</x:v>
      </x:c>
      <x:c r="P488" t="str">
        <x:f>IF(E488="","Unknown",IF(E488&lt;10,"&lt;10",IF(E488&lt;20,"10-&lt;20",IF(E488&lt;25,"20-&lt;25",IF(E488&lt;35,"25-&lt;35","35+")))))</x:f>
        <x:v>25-&lt;35</x:v>
      </x:c>
    </x:row>
    <x:row r="489">
      <x:c r="A489" t="str">
        <x:v>SYN0000488</x:v>
      </x:c>
      <x:c r="B489" s="12" t="n">
        <x:v>41995</x:v>
      </x:c>
      <x:c r="C489" s="18" t="n">
        <x:v>14751</x:v>
      </x:c>
      <x:c r="D489" s="18" t="n">
        <x:v>13031</x:v>
      </x:c>
      <x:c r="E489" s="18" t="n">
        <x:v>30.77</x:v>
      </x:c>
      <x:c r="F489" s="18" t="n">
        <x:v>10.2</x:v>
      </x:c>
      <x:c r="G489" t="n">
        <x:v>36</x:v>
      </x:c>
      <x:c r="H489" t="str">
        <x:v>C</x:v>
      </x:c>
      <x:c r="I489" t="str">
        <x:v>10+ years</x:v>
      </x:c>
      <x:c r="J489" t="str">
        <x:v>MORTGAGE</x:v>
      </x:c>
      <x:c r="K489" t="str">
        <x:v>other</x:v>
      </x:c>
      <x:c r="L489" t="n">
        <x:v>0</x:v>
      </x:c>
      <x:c r="M489" t="n">
        <x:v>0</x:v>
      </x:c>
      <x:c r="N489" t="str">
        <x:v>Fully Paid</x:v>
      </x:c>
      <x:c r="O489" t="str">
        <x:f>IF(D489="","Unknown",IF(D489&lt;25000,"&lt;$25k",IF(D489&lt;50000,"$25k-$50k",IF(D489&lt;75000,"$50k-$75k",IF(D489&lt;100000,"$75k-$100k","$100k+")))))</x:f>
        <x:v>&lt;$25k</x:v>
      </x:c>
      <x:c r="P489" t="str">
        <x:f>IF(E489="","Unknown",IF(E489&lt;10,"&lt;10",IF(E489&lt;20,"10-&lt;20",IF(E489&lt;25,"20-&lt;25",IF(E489&lt;35,"25-&lt;35","35+")))))</x:f>
        <x:v>25-&lt;35</x:v>
      </x:c>
    </x:row>
    <x:row r="490">
      <x:c r="A490" t="str">
        <x:v>SYN0000489</x:v>
      </x:c>
      <x:c r="B490" s="12" t="n">
        <x:v>42325</x:v>
      </x:c>
      <x:c r="C490" s="18" t="n">
        <x:v>7492</x:v>
      </x:c>
      <x:c r="D490" s="18" t="n">
        <x:v>130074</x:v>
      </x:c>
      <x:c r="E490" s="18" t="n">
        <x:v>25.03</x:v>
      </x:c>
      <x:c r="F490" s="18" t="n">
        <x:v>10.61</x:v>
      </x:c>
      <x:c r="G490" t="n">
        <x:v>60</x:v>
      </x:c>
      <x:c r="H490" t="str">
        <x:v>C</x:v>
      </x:c>
      <x:c r="I490" t="str">
        <x:v>4-6 years</x:v>
      </x:c>
      <x:c r="J490" t="str">
        <x:v>MORTGAGE</x:v>
      </x:c>
      <x:c r="K490" t="str">
        <x:v>debt_consolidation</x:v>
      </x:c>
      <x:c r="L490" t="n">
        <x:v>2</x:v>
      </x:c>
      <x:c r="M490" t="n">
        <x:v>1</x:v>
      </x:c>
      <x:c r="N490" t="str">
        <x:v>Charged Off</x:v>
      </x:c>
      <x:c r="O490" t="str">
        <x:f>IF(D490="","Unknown",IF(D490&lt;25000,"&lt;$25k",IF(D490&lt;50000,"$25k-$50k",IF(D490&lt;75000,"$50k-$75k",IF(D490&lt;100000,"$75k-$100k","$100k+")))))</x:f>
        <x:v>$100k+</x:v>
      </x:c>
      <x:c r="P490" t="str">
        <x:f>IF(E490="","Unknown",IF(E490&lt;10,"&lt;10",IF(E490&lt;20,"10-&lt;20",IF(E490&lt;25,"20-&lt;25",IF(E490&lt;35,"25-&lt;35","35+")))))</x:f>
        <x:v>25-&lt;35</x:v>
      </x:c>
    </x:row>
    <x:row r="491">
      <x:c r="A491" t="str">
        <x:v>SYN0000490</x:v>
      </x:c>
      <x:c r="B491" s="12" t="n">
        <x:v>43105</x:v>
      </x:c>
      <x:c r="C491" s="18" t="n">
        <x:v>15931</x:v>
      </x:c>
      <x:c r="D491" s="18" t="n">
        <x:v>86967</x:v>
      </x:c>
      <x:c r="E491" s="18" t="n">
        <x:v>25.84</x:v>
      </x:c>
      <x:c r="F491" s="18" t="n">
        <x:v>12.65</x:v>
      </x:c>
      <x:c r="G491" t="n">
        <x:v>36</x:v>
      </x:c>
      <x:c r="H491" t="str">
        <x:v>D</x:v>
      </x:c>
      <x:c r="I491" t="str">
        <x:v>10+ years</x:v>
      </x:c>
      <x:c r="J491" t="str">
        <x:v>RENT</x:v>
      </x:c>
      <x:c r="K491" t="str">
        <x:v>debt_consolidation</x:v>
      </x:c>
      <x:c r="L491" t="n">
        <x:v>0</x:v>
      </x:c>
      <x:c r="M491" t="n">
        <x:v>0</x:v>
      </x:c>
      <x:c r="N491" t="str">
        <x:v>Fully Paid</x:v>
      </x:c>
      <x:c r="O491" t="str">
        <x:f>IF(D491="","Unknown",IF(D491&lt;25000,"&lt;$25k",IF(D491&lt;50000,"$25k-$50k",IF(D491&lt;75000,"$50k-$75k",IF(D491&lt;100000,"$75k-$100k","$100k+")))))</x:f>
        <x:v>$75k-$100k</x:v>
      </x:c>
      <x:c r="P491" t="str">
        <x:f>IF(E491="","Unknown",IF(E491&lt;10,"&lt;10",IF(E491&lt;20,"10-&lt;20",IF(E491&lt;25,"20-&lt;25",IF(E491&lt;35,"25-&lt;35","35+")))))</x:f>
        <x:v>25-&lt;35</x:v>
      </x:c>
    </x:row>
    <x:row r="492">
      <x:c r="A492" t="str">
        <x:v>SYN0000491</x:v>
      </x:c>
      <x:c r="B492" s="12" t="n">
        <x:v>42025</x:v>
      </x:c>
      <x:c r="C492" s="18" t="n">
        <x:v>19394</x:v>
      </x:c>
      <x:c r="D492" s="18" t="n">
        <x:v>25601</x:v>
      </x:c>
      <x:c r="E492" s="18" t="n">
        <x:v>25.11</x:v>
      </x:c>
      <x:c r="F492" s="18" t="n">
        <x:v>6.96</x:v>
      </x:c>
      <x:c r="G492" t="n">
        <x:v>36</x:v>
      </x:c>
      <x:c r="H492" t="str">
        <x:v>A</x:v>
      </x:c>
      <x:c r="I492" t="str">
        <x:v>&lt;1 year</x:v>
      </x:c>
      <x:c r="J492" t="str">
        <x:v>OWN</x:v>
      </x:c>
      <x:c r="K492" t="str">
        <x:v>credit_card</x:v>
      </x:c>
      <x:c r="L492" t="n">
        <x:v>0</x:v>
      </x:c>
      <x:c r="M492" t="n">
        <x:v>0</x:v>
      </x:c>
      <x:c r="N492" t="str">
        <x:v>Fully Paid</x:v>
      </x:c>
      <x:c r="O492" t="str">
        <x:f>IF(D492="","Unknown",IF(D492&lt;25000,"&lt;$25k",IF(D492&lt;50000,"$25k-$50k",IF(D492&lt;75000,"$50k-$75k",IF(D492&lt;100000,"$75k-$100k","$100k+")))))</x:f>
        <x:v>$25k-$50k</x:v>
      </x:c>
      <x:c r="P492" t="str">
        <x:f>IF(E492="","Unknown",IF(E492&lt;10,"&lt;10",IF(E492&lt;20,"10-&lt;20",IF(E492&lt;25,"20-&lt;25",IF(E492&lt;35,"25-&lt;35","35+")))))</x:f>
        <x:v>25-&lt;35</x:v>
      </x:c>
    </x:row>
    <x:row r="493">
      <x:c r="A493" t="str">
        <x:v>SYN0000492</x:v>
      </x:c>
      <x:c r="B493" s="12" t="n">
        <x:v>41815</x:v>
      </x:c>
      <x:c r="C493" s="18" t="n">
        <x:v>13670</x:v>
      </x:c>
      <x:c r="D493" s="18" t="n">
        <x:v>48984</x:v>
      </x:c>
      <x:c r="E493" s="18" t="n">
        <x:v>17.5</x:v>
      </x:c>
      <x:c r="F493" s="18" t="n">
        <x:v>15.08</x:v>
      </x:c>
      <x:c r="G493" t="n">
        <x:v>36</x:v>
      </x:c>
      <x:c r="H493" t="str">
        <x:v>D</x:v>
      </x:c>
      <x:c r="I493" t="str">
        <x:v>10+ years</x:v>
      </x:c>
      <x:c r="J493" t="str">
        <x:v>RENT</x:v>
      </x:c>
      <x:c r="K493" t="str">
        <x:v>other</x:v>
      </x:c>
      <x:c r="L493" t="n">
        <x:v>0</x:v>
      </x:c>
      <x:c r="M493" t="n">
        <x:v>0</x:v>
      </x:c>
      <x:c r="N493" t="str">
        <x:v>Fully Paid</x:v>
      </x:c>
      <x:c r="O493" t="str">
        <x:f>IF(D493="","Unknown",IF(D493&lt;25000,"&lt;$25k",IF(D493&lt;50000,"$25k-$50k",IF(D493&lt;75000,"$50k-$75k",IF(D493&lt;100000,"$75k-$100k","$100k+")))))</x:f>
        <x:v>$25k-$50k</x:v>
      </x:c>
      <x:c r="P493" t="str">
        <x:f>IF(E493="","Unknown",IF(E493&lt;10,"&lt;10",IF(E493&lt;20,"10-&lt;20",IF(E493&lt;25,"20-&lt;25",IF(E493&lt;35,"25-&lt;35","35+")))))</x:f>
        <x:v>10-&lt;20</x:v>
      </x:c>
    </x:row>
    <x:row r="494">
      <x:c r="A494" t="str">
        <x:v>SYN0000493</x:v>
      </x:c>
      <x:c r="B494" s="12" t="n">
        <x:v>42955</x:v>
      </x:c>
      <x:c r="C494" s="18" t="n">
        <x:v>35965</x:v>
      </x:c>
      <x:c r="D494" s="18" t="n">
        <x:v>36665</x:v>
      </x:c>
      <x:c r="E494" s="18" t="n">
        <x:v>23.5</x:v>
      </x:c>
      <x:c r="F494" s="18" t="n">
        <x:v>10.42</x:v>
      </x:c>
      <x:c r="G494" t="n">
        <x:v>36</x:v>
      </x:c>
      <x:c r="H494" t="str">
        <x:v>C</x:v>
      </x:c>
      <x:c r="I494" t="str">
        <x:v>4-6 years</x:v>
      </x:c>
      <x:c r="J494" t="str">
        <x:v>RENT</x:v>
      </x:c>
      <x:c r="K494" t="str">
        <x:v>debt_consolidation</x:v>
      </x:c>
      <x:c r="L494" t="n">
        <x:v>2</x:v>
      </x:c>
      <x:c r="M494" t="n">
        <x:v>0</x:v>
      </x:c>
      <x:c r="N494" t="str">
        <x:v>Fully Paid</x:v>
      </x:c>
      <x:c r="O494" t="str">
        <x:f>IF(D494="","Unknown",IF(D494&lt;25000,"&lt;$25k",IF(D494&lt;50000,"$25k-$50k",IF(D494&lt;75000,"$50k-$75k",IF(D494&lt;100000,"$75k-$100k","$100k+")))))</x:f>
        <x:v>$25k-$50k</x:v>
      </x:c>
      <x:c r="P494" t="str">
        <x:f>IF(E494="","Unknown",IF(E494&lt;10,"&lt;10",IF(E494&lt;20,"10-&lt;20",IF(E494&lt;25,"20-&lt;25",IF(E494&lt;35,"25-&lt;35","35+")))))</x:f>
        <x:v>20-&lt;25</x:v>
      </x:c>
    </x:row>
    <x:row r="495">
      <x:c r="A495" t="str">
        <x:v>SYN0000494</x:v>
      </x:c>
      <x:c r="B495" s="12" t="n">
        <x:v>42715</x:v>
      </x:c>
      <x:c r="C495" s="18" t="n">
        <x:v>10759</x:v>
      </x:c>
      <x:c r="D495" s="18" t="n">
        <x:v>213028</x:v>
      </x:c>
      <x:c r="E495" s="18" t="n">
        <x:v>22.29</x:v>
      </x:c>
      <x:c r="F495" s="18" t="n">
        <x:v>28.35</x:v>
      </x:c>
      <x:c r="G495" t="n">
        <x:v>36</x:v>
      </x:c>
      <x:c r="H495" t="str">
        <x:v>G</x:v>
      </x:c>
      <x:c r="I495" t="str">
        <x:v>10+ years</x:v>
      </x:c>
      <x:c r="J495" t="str">
        <x:v>OWN</x:v>
      </x:c>
      <x:c r="K495" t="str">
        <x:v>credit_card</x:v>
      </x:c>
      <x:c r="L495" t="n">
        <x:v>1</x:v>
      </x:c>
      <x:c r="M495" t="n">
        <x:v>0</x:v>
      </x:c>
      <x:c r="N495" t="str">
        <x:v>Fully Paid</x:v>
      </x:c>
      <x:c r="O495" t="str">
        <x:f>IF(D495="","Unknown",IF(D495&lt;25000,"&lt;$25k",IF(D495&lt;50000,"$25k-$50k",IF(D495&lt;75000,"$50k-$75k",IF(D495&lt;100000,"$75k-$100k","$100k+")))))</x:f>
        <x:v>$100k+</x:v>
      </x:c>
      <x:c r="P495" t="str">
        <x:f>IF(E495="","Unknown",IF(E495&lt;10,"&lt;10",IF(E495&lt;20,"10-&lt;20",IF(E495&lt;25,"20-&lt;25",IF(E495&lt;35,"25-&lt;35","35+")))))</x:f>
        <x:v>20-&lt;25</x:v>
      </x:c>
    </x:row>
    <x:row r="496">
      <x:c r="A496" t="str">
        <x:v>SYN0000495</x:v>
      </x:c>
      <x:c r="B496" s="12" t="n">
        <x:v>43225</x:v>
      </x:c>
      <x:c r="C496" s="18" t="n">
        <x:v>10632</x:v>
      </x:c>
      <x:c r="D496" s="18" t="n">
        <x:v>156399</x:v>
      </x:c>
      <x:c r="E496" s="18" t="n">
        <x:v>8.4</x:v>
      </x:c>
      <x:c r="F496" s="18" t="n">
        <x:v>5.15</x:v>
      </x:c>
      <x:c r="G496" t="n">
        <x:v>36</x:v>
      </x:c>
      <x:c r="H496" t="str">
        <x:v>A</x:v>
      </x:c>
      <x:c r="I496" t="str">
        <x:v>1-3 years</x:v>
      </x:c>
      <x:c r="J496" t="str">
        <x:v>RENT</x:v>
      </x:c>
      <x:c r="K496" t="str">
        <x:v>debt_consolidation</x:v>
      </x:c>
      <x:c r="L496" t="n">
        <x:v>0</x:v>
      </x:c>
      <x:c r="M496" t="n">
        <x:v>0</x:v>
      </x:c>
      <x:c r="N496" t="str">
        <x:v>Fully Paid</x:v>
      </x:c>
      <x:c r="O496" t="str">
        <x:f>IF(D496="","Unknown",IF(D496&lt;25000,"&lt;$25k",IF(D496&lt;50000,"$25k-$50k",IF(D496&lt;75000,"$50k-$75k",IF(D496&lt;100000,"$75k-$100k","$100k+")))))</x:f>
        <x:v>$100k+</x:v>
      </x:c>
      <x:c r="P496" t="str">
        <x:f>IF(E496="","Unknown",IF(E496&lt;10,"&lt;10",IF(E496&lt;20,"10-&lt;20",IF(E496&lt;25,"20-&lt;25",IF(E496&lt;35,"25-&lt;35","35+")))))</x:f>
        <x:v>&lt;10</x:v>
      </x:c>
    </x:row>
    <x:row r="497">
      <x:c r="A497" t="str">
        <x:v>SYN0000496</x:v>
      </x:c>
      <x:c r="B497" s="12" t="n">
        <x:v>41425</x:v>
      </x:c>
      <x:c r="C497" s="18" t="n">
        <x:v>20937</x:v>
      </x:c>
      <x:c r="D497" s="18" t="n">
        <x:v>87276</x:v>
      </x:c>
      <x:c r="E497" s="18" t="n">
        <x:v>27.5</x:v>
      </x:c>
      <x:c r="F497" s="18" t="n">
        <x:v>10.81</x:v>
      </x:c>
      <x:c r="G497" t="n">
        <x:v>36</x:v>
      </x:c>
      <x:c r="H497" t="str">
        <x:v>C</x:v>
      </x:c>
      <x:c r="I497" t="str">
        <x:v>7-9 years</x:v>
      </x:c>
      <x:c r="J497" t="str">
        <x:v>MORTGAGE</x:v>
      </x:c>
      <x:c r="K497" t="str">
        <x:v>debt_consolidation</x:v>
      </x:c>
      <x:c r="L497" t="n">
        <x:v>0</x:v>
      </x:c>
      <x:c r="M497" t="n">
        <x:v>0</x:v>
      </x:c>
      <x:c r="N497" t="str">
        <x:v>Fully Paid</x:v>
      </x:c>
      <x:c r="O497" t="str">
        <x:f>IF(D497="","Unknown",IF(D497&lt;25000,"&lt;$25k",IF(D497&lt;50000,"$25k-$50k",IF(D497&lt;75000,"$50k-$75k",IF(D497&lt;100000,"$75k-$100k","$100k+")))))</x:f>
        <x:v>$75k-$100k</x:v>
      </x:c>
      <x:c r="P497" t="str">
        <x:f>IF(E497="","Unknown",IF(E497&lt;10,"&lt;10",IF(E497&lt;20,"10-&lt;20",IF(E497&lt;25,"20-&lt;25",IF(E497&lt;35,"25-&lt;35","35+")))))</x:f>
        <x:v>25-&lt;35</x:v>
      </x:c>
    </x:row>
    <x:row r="498">
      <x:c r="A498" t="str">
        <x:v>SYN0000497</x:v>
      </x:c>
      <x:c r="B498" s="12" t="n">
        <x:v>42445</x:v>
      </x:c>
      <x:c r="C498" s="18" t="n">
        <x:v>11734</x:v>
      </x:c>
      <x:c r="D498" s="18" t="n">
        <x:v>75984</x:v>
      </x:c>
      <x:c r="E498" s="18" t="n">
        <x:v>12.24</x:v>
      </x:c>
      <x:c r="F498" s="18" t="n">
        <x:v>6.28</x:v>
      </x:c>
      <x:c r="G498" t="n">
        <x:v>36</x:v>
      </x:c>
      <x:c r="H498" t="str">
        <x:v>A</x:v>
      </x:c>
      <x:c r="I498" t="str">
        <x:v>10+ years</x:v>
      </x:c>
      <x:c r="J498" t="str">
        <x:v>RENT</x:v>
      </x:c>
      <x:c r="K498" t="str">
        <x:v>debt_consolidation</x:v>
      </x:c>
      <x:c r="L498" t="n">
        <x:v>1</x:v>
      </x:c>
      <x:c r="M498" t="n">
        <x:v>0</x:v>
      </x:c>
      <x:c r="N498" t="str">
        <x:v>Fully Paid</x:v>
      </x:c>
      <x:c r="O498" t="str">
        <x:f>IF(D498="","Unknown",IF(D498&lt;25000,"&lt;$25k",IF(D498&lt;50000,"$25k-$50k",IF(D498&lt;75000,"$50k-$75k",IF(D498&lt;100000,"$75k-$100k","$100k+")))))</x:f>
        <x:v>$75k-$100k</x:v>
      </x:c>
      <x:c r="P498" t="str">
        <x:f>IF(E498="","Unknown",IF(E498&lt;10,"&lt;10",IF(E498&lt;20,"10-&lt;20",IF(E498&lt;25,"20-&lt;25",IF(E498&lt;35,"25-&lt;35","35+")))))</x:f>
        <x:v>10-&lt;20</x:v>
      </x:c>
    </x:row>
    <x:row r="499">
      <x:c r="A499" t="str">
        <x:v>SYN0000498</x:v>
      </x:c>
      <x:c r="B499" s="12" t="n">
        <x:v>42085</x:v>
      </x:c>
      <x:c r="C499" s="18" t="n">
        <x:v>14116</x:v>
      </x:c>
      <x:c r="D499" s="18" t="n">
        <x:v>21479</x:v>
      </x:c>
      <x:c r="E499" s="18" t="n">
        <x:v>21.44</x:v>
      </x:c>
      <x:c r="F499" s="18" t="n">
        <x:v>8.03</x:v>
      </x:c>
      <x:c r="G499" t="n">
        <x:v>36</x:v>
      </x:c>
      <x:c r="H499" t="str">
        <x:v>B</x:v>
      </x:c>
      <x:c r="I499" t="str">
        <x:v>7-9 years</x:v>
      </x:c>
      <x:c r="J499" t="str">
        <x:v>RENT</x:v>
      </x:c>
      <x:c r="K499" t="str">
        <x:v>home_improvement</x:v>
      </x:c>
      <x:c r="L499" t="n">
        <x:v>0</x:v>
      </x:c>
      <x:c r="M499" t="n">
        <x:v>0</x:v>
      </x:c>
      <x:c r="N499" t="str">
        <x:v>Fully Paid</x:v>
      </x:c>
      <x:c r="O499" t="str">
        <x:f>IF(D499="","Unknown",IF(D499&lt;25000,"&lt;$25k",IF(D499&lt;50000,"$25k-$50k",IF(D499&lt;75000,"$50k-$75k",IF(D499&lt;100000,"$75k-$100k","$100k+")))))</x:f>
        <x:v>&lt;$25k</x:v>
      </x:c>
      <x:c r="P499" t="str">
        <x:f>IF(E499="","Unknown",IF(E499&lt;10,"&lt;10",IF(E499&lt;20,"10-&lt;20",IF(E499&lt;25,"20-&lt;25",IF(E499&lt;35,"25-&lt;35","35+")))))</x:f>
        <x:v>20-&lt;25</x:v>
      </x:c>
    </x:row>
    <x:row r="500">
      <x:c r="A500" t="str">
        <x:v>SYN0000499</x:v>
      </x:c>
      <x:c r="B500" s="12" t="n">
        <x:v>42175</x:v>
      </x:c>
      <x:c r="C500" s="18" t="n">
        <x:v>27561</x:v>
      </x:c>
      <x:c r="D500" s="18" t="n">
        <x:v>93373</x:v>
      </x:c>
      <x:c r="E500" s="18" t="n">
        <x:v>28.42</x:v>
      </x:c>
      <x:c r="F500" s="18" t="n">
        <x:v>9.79</x:v>
      </x:c>
      <x:c r="G500" t="n">
        <x:v>36</x:v>
      </x:c>
      <x:c r="H500" t="str">
        <x:v>C</x:v>
      </x:c>
      <x:c r="I500" t="str">
        <x:v>&lt;1 year</x:v>
      </x:c>
      <x:c r="J500" t="str">
        <x:v>RENT</x:v>
      </x:c>
      <x:c r="K500" t="str">
        <x:v>debt_consolidation</x:v>
      </x:c>
      <x:c r="L500" t="n">
        <x:v>0</x:v>
      </x:c>
      <x:c r="M500" t="n">
        <x:v>0</x:v>
      </x:c>
      <x:c r="N500" t="str">
        <x:v>Fully Paid</x:v>
      </x:c>
      <x:c r="O500" t="str">
        <x:f>IF(D500="","Unknown",IF(D500&lt;25000,"&lt;$25k",IF(D500&lt;50000,"$25k-$50k",IF(D500&lt;75000,"$50k-$75k",IF(D500&lt;100000,"$75k-$100k","$100k+")))))</x:f>
        <x:v>$75k-$100k</x:v>
      </x:c>
      <x:c r="P500" t="str">
        <x:f>IF(E500="","Unknown",IF(E500&lt;10,"&lt;10",IF(E500&lt;20,"10-&lt;20",IF(E500&lt;25,"20-&lt;25",IF(E500&lt;35,"25-&lt;35","35+")))))</x:f>
        <x:v>25-&lt;35</x:v>
      </x:c>
    </x:row>
    <x:row r="501">
      <x:c r="A501" t="str">
        <x:v>SYN0000500</x:v>
      </x:c>
      <x:c r="B501" s="12" t="n">
        <x:v>42295</x:v>
      </x:c>
      <x:c r="C501" s="18" t="n">
        <x:v>14020</x:v>
      </x:c>
      <x:c r="D501" s="18" t="n">
        <x:v>23290</x:v>
      </x:c>
      <x:c r="E501" s="18" t="n">
        <x:v>28.58</x:v>
      </x:c>
      <x:c r="F501" s="18" t="n">
        <x:v>18.54</x:v>
      </x:c>
      <x:c r="G501" t="n">
        <x:v>36</x:v>
      </x:c>
      <x:c r="H501" t="str">
        <x:v>E</x:v>
      </x:c>
      <x:c r="I501" t="str">
        <x:v>4-6 years</x:v>
      </x:c>
      <x:c r="J501" t="str">
        <x:v>RENT</x:v>
      </x:c>
      <x:c r="K501" t="str">
        <x:v>home_improvement</x:v>
      </x:c>
      <x:c r="L501" t="n">
        <x:v>0</x:v>
      </x:c>
      <x:c r="M501" t="n">
        <x:v>0</x:v>
      </x:c>
      <x:c r="N501" t="str">
        <x:v>Fully Paid</x:v>
      </x:c>
      <x:c r="O501" t="str">
        <x:f>IF(D501="","Unknown",IF(D501&lt;25000,"&lt;$25k",IF(D501&lt;50000,"$25k-$50k",IF(D501&lt;75000,"$50k-$75k",IF(D501&lt;100000,"$75k-$100k","$100k+")))))</x:f>
        <x:v>&lt;$25k</x:v>
      </x:c>
      <x:c r="P501" t="str">
        <x:f>IF(E501="","Unknown",IF(E501&lt;10,"&lt;10",IF(E501&lt;20,"10-&lt;20",IF(E501&lt;25,"20-&lt;25",IF(E501&lt;35,"25-&lt;35","35+")))))</x:f>
        <x:v>25-&lt;35</x:v>
      </x:c>
    </x:row>
    <x:row r="502">
      <x:c r="A502" t="str">
        <x:v>SYN0000501</x:v>
      </x:c>
      <x:c r="B502" s="12" t="n">
        <x:v>43285</x:v>
      </x:c>
      <x:c r="C502" s="18" t="n">
        <x:v>13068</x:v>
      </x:c>
      <x:c r="D502" s="18" t="n">
        <x:v>42396</x:v>
      </x:c>
      <x:c r="E502" s="18" t="n">
        <x:v>12.59</x:v>
      </x:c>
      <x:c r="F502" s="18" t="n">
        <x:v>10.13</x:v>
      </x:c>
      <x:c r="G502" t="n">
        <x:v>36</x:v>
      </x:c>
      <x:c r="H502" t="str">
        <x:v>B</x:v>
      </x:c>
      <x:c r="I502" t="str">
        <x:v>4-6 years</x:v>
      </x:c>
      <x:c r="J502" t="str">
        <x:v>MORTGAGE</x:v>
      </x:c>
      <x:c r="K502" t="str">
        <x:v>major_purchase</x:v>
      </x:c>
      <x:c r="L502" t="n">
        <x:v>0</x:v>
      </x:c>
      <x:c r="M502" t="n">
        <x:v>1</x:v>
      </x:c>
      <x:c r="N502" t="str">
        <x:v>Charged Off</x:v>
      </x:c>
      <x:c r="O502" t="str">
        <x:f>IF(D502="","Unknown",IF(D502&lt;25000,"&lt;$25k",IF(D502&lt;50000,"$25k-$50k",IF(D502&lt;75000,"$50k-$75k",IF(D502&lt;100000,"$75k-$100k","$100k+")))))</x:f>
        <x:v>$25k-$50k</x:v>
      </x:c>
      <x:c r="P502" t="str">
        <x:f>IF(E502="","Unknown",IF(E502&lt;10,"&lt;10",IF(E502&lt;20,"10-&lt;20",IF(E502&lt;25,"20-&lt;25",IF(E502&lt;35,"25-&lt;35","35+")))))</x:f>
        <x:v>10-&lt;20</x:v>
      </x:c>
    </x:row>
    <x:row r="503">
      <x:c r="A503" t="str">
        <x:v>SYN0000502</x:v>
      </x:c>
      <x:c r="B503" s="12" t="n">
        <x:v>41575</x:v>
      </x:c>
      <x:c r="C503" s="18" t="n">
        <x:v>10027</x:v>
      </x:c>
      <x:c r="D503" s="18" t="n">
        <x:v>59239</x:v>
      </x:c>
      <x:c r="E503" s="18" t="n">
        <x:v>33.06</x:v>
      </x:c>
      <x:c r="F503" s="18" t="n">
        <x:v>23.57</x:v>
      </x:c>
      <x:c r="G503" t="n">
        <x:v>60</x:v>
      </x:c>
      <x:c r="H503" t="str">
        <x:v>G</x:v>
      </x:c>
      <x:c r="I503" t="str">
        <x:v>4-6 years</x:v>
      </x:c>
      <x:c r="J503" t="str">
        <x:v>OWN</x:v>
      </x:c>
      <x:c r="K503" t="str">
        <x:v>home_improvement</x:v>
      </x:c>
      <x:c r="L503" t="n">
        <x:v>0</x:v>
      </x:c>
      <x:c r="M503" t="n">
        <x:v>0</x:v>
      </x:c>
      <x:c r="N503" t="str">
        <x:v>Fully Paid</x:v>
      </x:c>
      <x:c r="O503" t="str">
        <x:f>IF(D503="","Unknown",IF(D503&lt;25000,"&lt;$25k",IF(D503&lt;50000,"$25k-$50k",IF(D503&lt;75000,"$50k-$75k",IF(D503&lt;100000,"$75k-$100k","$100k+")))))</x:f>
        <x:v>$50k-$75k</x:v>
      </x:c>
      <x:c r="P503" t="str">
        <x:f>IF(E503="","Unknown",IF(E503&lt;10,"&lt;10",IF(E503&lt;20,"10-&lt;20",IF(E503&lt;25,"20-&lt;25",IF(E503&lt;35,"25-&lt;35","35+")))))</x:f>
        <x:v>25-&lt;35</x:v>
      </x:c>
    </x:row>
    <x:row r="504">
      <x:c r="A504" t="str">
        <x:v>SYN0000503</x:v>
      </x:c>
      <x:c r="B504" s="12" t="n">
        <x:v>42685</x:v>
      </x:c>
      <x:c r="C504" s="18" t="n">
        <x:v>12001</x:v>
      </x:c>
      <x:c r="D504" s="18" t="n">
        <x:v>22551</x:v>
      </x:c>
      <x:c r="E504" s="18" t="n">
        <x:v>17.01</x:v>
      </x:c>
      <x:c r="F504" s="18" t="n">
        <x:v>11.9</x:v>
      </x:c>
      <x:c r="G504" t="n">
        <x:v>36</x:v>
      </x:c>
      <x:c r="H504" t="str">
        <x:v>D</x:v>
      </x:c>
      <x:c r="I504" t="str">
        <x:v>10+ years</x:v>
      </x:c>
      <x:c r="J504" t="str">
        <x:v>RENT</x:v>
      </x:c>
      <x:c r="K504" t="str">
        <x:v>major_purchase</x:v>
      </x:c>
      <x:c r="L504" t="n">
        <x:v>0</x:v>
      </x:c>
      <x:c r="M504" t="n">
        <x:v>0</x:v>
      </x:c>
      <x:c r="N504" t="str">
        <x:v>Fully Paid</x:v>
      </x:c>
      <x:c r="O504" t="str">
        <x:f>IF(D504="","Unknown",IF(D504&lt;25000,"&lt;$25k",IF(D504&lt;50000,"$25k-$50k",IF(D504&lt;75000,"$50k-$75k",IF(D504&lt;100000,"$75k-$100k","$100k+")))))</x:f>
        <x:v>&lt;$25k</x:v>
      </x:c>
      <x:c r="P504" t="str">
        <x:f>IF(E504="","Unknown",IF(E504&lt;10,"&lt;10",IF(E504&lt;20,"10-&lt;20",IF(E504&lt;25,"20-&lt;25",IF(E504&lt;35,"25-&lt;35","35+")))))</x:f>
        <x:v>10-&lt;20</x:v>
      </x:c>
    </x:row>
    <x:row r="505">
      <x:c r="A505" t="str">
        <x:v>SYN0000504</x:v>
      </x:c>
      <x:c r="B505" s="12" t="n">
        <x:v>42625</x:v>
      </x:c>
      <x:c r="C505" s="18" t="n">
        <x:v>14705</x:v>
      </x:c>
      <x:c r="D505" s="18" t="n">
        <x:v>122292</x:v>
      </x:c>
      <x:c r="E505" s="18" t="n">
        <x:v>24.3</x:v>
      </x:c>
      <x:c r="F505" s="18" t="n">
        <x:v>16.32</x:v>
      </x:c>
      <x:c r="G505" t="n">
        <x:v>36</x:v>
      </x:c>
      <x:c r="H505" t="str">
        <x:v>E</x:v>
      </x:c>
      <x:c r="I505" t="str">
        <x:v>4-6 years</x:v>
      </x:c>
      <x:c r="J505" t="str">
        <x:v>MORTGAGE</x:v>
      </x:c>
      <x:c r="K505" t="str">
        <x:v>credit_card</x:v>
      </x:c>
      <x:c r="L505" t="n">
        <x:v>0</x:v>
      </x:c>
      <x:c r="M505" t="n">
        <x:v>0</x:v>
      </x:c>
      <x:c r="N505" t="str">
        <x:v>Fully Paid</x:v>
      </x:c>
      <x:c r="O505" t="str">
        <x:f>IF(D505="","Unknown",IF(D505&lt;25000,"&lt;$25k",IF(D505&lt;50000,"$25k-$50k",IF(D505&lt;75000,"$50k-$75k",IF(D505&lt;100000,"$75k-$100k","$100k+")))))</x:f>
        <x:v>$100k+</x:v>
      </x:c>
      <x:c r="P505" t="str">
        <x:f>IF(E505="","Unknown",IF(E505&lt;10,"&lt;10",IF(E505&lt;20,"10-&lt;20",IF(E505&lt;25,"20-&lt;25",IF(E505&lt;35,"25-&lt;35","35+")))))</x:f>
        <x:v>20-&lt;25</x:v>
      </x:c>
    </x:row>
    <x:row r="506">
      <x:c r="A506" t="str">
        <x:v>SYN0000505</x:v>
      </x:c>
      <x:c r="B506" s="12" t="n">
        <x:v>41275</x:v>
      </x:c>
      <x:c r="C506" s="18" t="n">
        <x:v>11240</x:v>
      </x:c>
      <x:c r="D506" s="18" t="n">
        <x:v>40912</x:v>
      </x:c>
      <x:c r="E506" s="18" t="n">
        <x:v>12.83</x:v>
      </x:c>
      <x:c r="F506" s="18" t="n">
        <x:v>6.37</x:v>
      </x:c>
      <x:c r="G506" t="n">
        <x:v>36</x:v>
      </x:c>
      <x:c r="H506" t="str">
        <x:v>B</x:v>
      </x:c>
      <x:c r="I506" t="str">
        <x:v>1-3 years</x:v>
      </x:c>
      <x:c r="J506" t="str">
        <x:v>MORTGAGE</x:v>
      </x:c>
      <x:c r="K506" t="str">
        <x:v>debt_consolidation</x:v>
      </x:c>
      <x:c r="L506" t="n">
        <x:v>0</x:v>
      </x:c>
      <x:c r="M506" t="n">
        <x:v>0</x:v>
      </x:c>
      <x:c r="N506" t="str">
        <x:v>Fully Paid</x:v>
      </x:c>
      <x:c r="O506" t="str">
        <x:f>IF(D506="","Unknown",IF(D506&lt;25000,"&lt;$25k",IF(D506&lt;50000,"$25k-$50k",IF(D506&lt;75000,"$50k-$75k",IF(D506&lt;100000,"$75k-$100k","$100k+")))))</x:f>
        <x:v>$25k-$50k</x:v>
      </x:c>
      <x:c r="P506" t="str">
        <x:f>IF(E506="","Unknown",IF(E506&lt;10,"&lt;10",IF(E506&lt;20,"10-&lt;20",IF(E506&lt;25,"20-&lt;25",IF(E506&lt;35,"25-&lt;35","35+")))))</x:f>
        <x:v>10-&lt;20</x:v>
      </x:c>
    </x:row>
    <x:row r="507">
      <x:c r="A507" t="str">
        <x:v>SYN0000506</x:v>
      </x:c>
      <x:c r="B507" s="12" t="n">
        <x:v>42355</x:v>
      </x:c>
      <x:c r="C507" s="18" t="n">
        <x:v>12718</x:v>
      </x:c>
      <x:c r="D507" s="18" t="n">
        <x:v>44221</x:v>
      </x:c>
      <x:c r="E507" s="18" t="n">
        <x:v>22.33</x:v>
      </x:c>
      <x:c r="F507" s="18" t="n">
        <x:v>18.13</x:v>
      </x:c>
      <x:c r="G507" t="n">
        <x:v>60</x:v>
      </x:c>
      <x:c r="H507" t="str">
        <x:v>D</x:v>
      </x:c>
      <x:c r="I507" t="str">
        <x:v>1-3 years</x:v>
      </x:c>
      <x:c r="J507" t="str">
        <x:v>OWN</x:v>
      </x:c>
      <x:c r="K507" t="str">
        <x:v>debt_consolidation</x:v>
      </x:c>
      <x:c r="L507" t="n">
        <x:v>2</x:v>
      </x:c>
      <x:c r="M507" t="n">
        <x:v>0</x:v>
      </x:c>
      <x:c r="N507" t="str">
        <x:v>Fully Paid</x:v>
      </x:c>
      <x:c r="O507" t="str">
        <x:f>IF(D507="","Unknown",IF(D507&lt;25000,"&lt;$25k",IF(D507&lt;50000,"$25k-$50k",IF(D507&lt;75000,"$50k-$75k",IF(D507&lt;100000,"$75k-$100k","$100k+")))))</x:f>
        <x:v>$25k-$50k</x:v>
      </x:c>
      <x:c r="P507" t="str">
        <x:f>IF(E507="","Unknown",IF(E507&lt;10,"&lt;10",IF(E507&lt;20,"10-&lt;20",IF(E507&lt;25,"20-&lt;25",IF(E507&lt;35,"25-&lt;35","35+")))))</x:f>
        <x:v>20-&lt;25</x:v>
      </x:c>
    </x:row>
    <x:row r="508">
      <x:c r="A508" t="str">
        <x:v>SYN0000507</x:v>
      </x:c>
      <x:c r="B508" s="12" t="n">
        <x:v>41815</x:v>
      </x:c>
      <x:c r="C508" s="18" t="n">
        <x:v>9145</x:v>
      </x:c>
      <x:c r="D508" s="18" t="n">
        <x:v>22635</x:v>
      </x:c>
      <x:c r="E508" s="18" t="n">
        <x:v>25.1</x:v>
      </x:c>
      <x:c r="F508" s="18" t="n">
        <x:v>15.18</x:v>
      </x:c>
      <x:c r="G508" t="n">
        <x:v>36</x:v>
      </x:c>
      <x:c r="H508" t="str">
        <x:v>E</x:v>
      </x:c>
      <x:c r="I508" t="str">
        <x:v>7-9 years</x:v>
      </x:c>
      <x:c r="J508" t="str">
        <x:v>MORTGAGE</x:v>
      </x:c>
      <x:c r="K508" t="str">
        <x:v>debt_consolidation</x:v>
      </x:c>
      <x:c r="L508" t="n">
        <x:v>1</x:v>
      </x:c>
      <x:c r="M508" t="n">
        <x:v>0</x:v>
      </x:c>
      <x:c r="N508" t="str">
        <x:v>Fully Paid</x:v>
      </x:c>
      <x:c r="O508" t="str">
        <x:f>IF(D508="","Unknown",IF(D508&lt;25000,"&lt;$25k",IF(D508&lt;50000,"$25k-$50k",IF(D508&lt;75000,"$50k-$75k",IF(D508&lt;100000,"$75k-$100k","$100k+")))))</x:f>
        <x:v>&lt;$25k</x:v>
      </x:c>
      <x:c r="P508" t="str">
        <x:f>IF(E508="","Unknown",IF(E508&lt;10,"&lt;10",IF(E508&lt;20,"10-&lt;20",IF(E508&lt;25,"20-&lt;25",IF(E508&lt;35,"25-&lt;35","35+")))))</x:f>
        <x:v>25-&lt;35</x:v>
      </x:c>
    </x:row>
    <x:row r="509">
      <x:c r="A509" t="str">
        <x:v>SYN0000508</x:v>
      </x:c>
      <x:c r="B509" s="12" t="n">
        <x:v>43375</x:v>
      </x:c>
      <x:c r="C509" s="18" t="n">
        <x:v>14978</x:v>
      </x:c>
      <x:c r="D509" s="18" t="n">
        <x:v>21878</x:v>
      </x:c>
      <x:c r="E509" s="18" t="n">
        <x:v>13.26</x:v>
      </x:c>
      <x:c r="F509" s="18" t="n">
        <x:v>8.3</x:v>
      </x:c>
      <x:c r="G509" t="n">
        <x:v>36</x:v>
      </x:c>
      <x:c r="H509" t="str">
        <x:v>A</x:v>
      </x:c>
      <x:c r="I509" t="str">
        <x:v>7-9 years</x:v>
      </x:c>
      <x:c r="J509" t="str">
        <x:v>MORTGAGE</x:v>
      </x:c>
      <x:c r="K509" t="str">
        <x:v>debt_consolidation</x:v>
      </x:c>
      <x:c r="L509" t="n">
        <x:v>0</x:v>
      </x:c>
      <x:c r="M509" t="n">
        <x:v>0</x:v>
      </x:c>
      <x:c r="N509" t="str">
        <x:v>Fully Paid</x:v>
      </x:c>
      <x:c r="O509" t="str">
        <x:f>IF(D509="","Unknown",IF(D509&lt;25000,"&lt;$25k",IF(D509&lt;50000,"$25k-$50k",IF(D509&lt;75000,"$50k-$75k",IF(D509&lt;100000,"$75k-$100k","$100k+")))))</x:f>
        <x:v>&lt;$25k</x:v>
      </x:c>
      <x:c r="P509" t="str">
        <x:f>IF(E509="","Unknown",IF(E509&lt;10,"&lt;10",IF(E509&lt;20,"10-&lt;20",IF(E509&lt;25,"20-&lt;25",IF(E509&lt;35,"25-&lt;35","35+")))))</x:f>
        <x:v>10-&lt;20</x:v>
      </x:c>
    </x:row>
    <x:row r="510">
      <x:c r="A510" t="str">
        <x:v>SYN0000509</x:v>
      </x:c>
      <x:c r="B510" s="12" t="n">
        <x:v>41665</x:v>
      </x:c>
      <x:c r="C510" s="18" t="n">
        <x:v>7751</x:v>
      </x:c>
      <x:c r="D510" s="18" t="n">
        <x:v>95783</x:v>
      </x:c>
      <x:c r="E510" s="18" t="n">
        <x:v>20.66</x:v>
      </x:c>
      <x:c r="F510" s="18" t="n">
        <x:v>16.93</x:v>
      </x:c>
      <x:c r="G510" t="n">
        <x:v>36</x:v>
      </x:c>
      <x:c r="H510" t="str">
        <x:v>D</x:v>
      </x:c>
      <x:c r="I510" t="str">
        <x:v>1-3 years</x:v>
      </x:c>
      <x:c r="J510" t="str">
        <x:v>MORTGAGE</x:v>
      </x:c>
      <x:c r="K510" t="str">
        <x:v>debt_consolidation</x:v>
      </x:c>
      <x:c r="L510" t="n">
        <x:v>1</x:v>
      </x:c>
      <x:c r="M510" t="n">
        <x:v>0</x:v>
      </x:c>
      <x:c r="N510" t="str">
        <x:v>Fully Paid</x:v>
      </x:c>
      <x:c r="O510" t="str">
        <x:f>IF(D510="","Unknown",IF(D510&lt;25000,"&lt;$25k",IF(D510&lt;50000,"$25k-$50k",IF(D510&lt;75000,"$50k-$75k",IF(D510&lt;100000,"$75k-$100k","$100k+")))))</x:f>
        <x:v>$75k-$100k</x:v>
      </x:c>
      <x:c r="P510" t="str">
        <x:f>IF(E510="","Unknown",IF(E510&lt;10,"&lt;10",IF(E510&lt;20,"10-&lt;20",IF(E510&lt;25,"20-&lt;25",IF(E510&lt;35,"25-&lt;35","35+")))))</x:f>
        <x:v>20-&lt;25</x:v>
      </x:c>
    </x:row>
    <x:row r="511">
      <x:c r="A511" t="str">
        <x:v>SYN0000510</x:v>
      </x:c>
      <x:c r="B511" s="12" t="n">
        <x:v>43075</x:v>
      </x:c>
      <x:c r="C511" s="18" t="n">
        <x:v>18857</x:v>
      </x:c>
      <x:c r="D511" s="18" t="n">
        <x:v>39176</x:v>
      </x:c>
      <x:c r="E511" s="18" t="n">
        <x:v>2.52</x:v>
      </x:c>
      <x:c r="F511" s="18" t="n">
        <x:v>14.08</x:v>
      </x:c>
      <x:c r="G511" t="n">
        <x:v>36</x:v>
      </x:c>
      <x:c r="H511" t="str">
        <x:v>C</x:v>
      </x:c>
      <x:c r="I511" t="str">
        <x:v>7-9 years</x:v>
      </x:c>
      <x:c r="J511" t="str">
        <x:v>MORTGAGE</x:v>
      </x:c>
      <x:c r="K511" t="str">
        <x:v>debt_consolidation</x:v>
      </x:c>
      <x:c r="L511" t="n">
        <x:v>1</x:v>
      </x:c>
      <x:c r="M511" t="n">
        <x:v>0</x:v>
      </x:c>
      <x:c r="N511" t="str">
        <x:v>Fully Paid</x:v>
      </x:c>
      <x:c r="O511" t="str">
        <x:f>IF(D511="","Unknown",IF(D511&lt;25000,"&lt;$25k",IF(D511&lt;50000,"$25k-$50k",IF(D511&lt;75000,"$50k-$75k",IF(D511&lt;100000,"$75k-$100k","$100k+")))))</x:f>
        <x:v>$25k-$50k</x:v>
      </x:c>
      <x:c r="P511" t="str">
        <x:f>IF(E511="","Unknown",IF(E511&lt;10,"&lt;10",IF(E511&lt;20,"10-&lt;20",IF(E511&lt;25,"20-&lt;25",IF(E511&lt;35,"25-&lt;35","35+")))))</x:f>
        <x:v>&lt;10</x:v>
      </x:c>
    </x:row>
    <x:row r="512">
      <x:c r="A512" t="str">
        <x:v>SYN0000511</x:v>
      </x:c>
      <x:c r="B512" s="12" t="n">
        <x:v>42565</x:v>
      </x:c>
      <x:c r="C512" s="18" t="n">
        <x:v>10939</x:v>
      </x:c>
      <x:c r="D512" s="18" t="n">
        <x:v>64535</x:v>
      </x:c>
      <x:c r="E512" s="18" t="n">
        <x:v>24.17</x:v>
      </x:c>
      <x:c r="F512" s="18" t="n">
        <x:v>10.23</x:v>
      </x:c>
      <x:c r="G512" t="n">
        <x:v>36</x:v>
      </x:c>
      <x:c r="H512" t="str">
        <x:v>B</x:v>
      </x:c>
      <x:c r="I512" t="str">
        <x:v>1-3 years</x:v>
      </x:c>
      <x:c r="J512" t="str">
        <x:v>MORTGAGE</x:v>
      </x:c>
      <x:c r="K512" t="str">
        <x:v>debt_consolidation</x:v>
      </x:c>
      <x:c r="L512" t="n">
        <x:v>0</x:v>
      </x:c>
      <x:c r="M512" t="n">
        <x:v>0</x:v>
      </x:c>
      <x:c r="N512" t="str">
        <x:v>Fully Paid</x:v>
      </x:c>
      <x:c r="O512" t="str">
        <x:f>IF(D512="","Unknown",IF(D512&lt;25000,"&lt;$25k",IF(D512&lt;50000,"$25k-$50k",IF(D512&lt;75000,"$50k-$75k",IF(D512&lt;100000,"$75k-$100k","$100k+")))))</x:f>
        <x:v>$50k-$75k</x:v>
      </x:c>
      <x:c r="P512" t="str">
        <x:f>IF(E512="","Unknown",IF(E512&lt;10,"&lt;10",IF(E512&lt;20,"10-&lt;20",IF(E512&lt;25,"20-&lt;25",IF(E512&lt;35,"25-&lt;35","35+")))))</x:f>
        <x:v>20-&lt;25</x:v>
      </x:c>
    </x:row>
    <x:row r="513">
      <x:c r="A513" t="str">
        <x:v>SYN0000512</x:v>
      </x:c>
      <x:c r="B513" s="12" t="n">
        <x:v>42145</x:v>
      </x:c>
      <x:c r="C513" s="18" t="n">
        <x:v>8684</x:v>
      </x:c>
      <x:c r="D513" s="18" t="n">
        <x:v>85810</x:v>
      </x:c>
      <x:c r="E513" s="18" t="n">
        <x:v>3.33</x:v>
      </x:c>
      <x:c r="F513" s="18" t="n">
        <x:v>10.93</x:v>
      </x:c>
      <x:c r="G513" t="n">
        <x:v>36</x:v>
      </x:c>
      <x:c r="H513" t="str">
        <x:v>C</x:v>
      </x:c>
      <x:c r="I513" t="str">
        <x:v>7-9 years</x:v>
      </x:c>
      <x:c r="J513" t="str">
        <x:v>OWN</x:v>
      </x:c>
      <x:c r="K513" t="str">
        <x:v>debt_consolidation</x:v>
      </x:c>
      <x:c r="L513" t="n">
        <x:v>0</x:v>
      </x:c>
      <x:c r="M513" t="n">
        <x:v>0</x:v>
      </x:c>
      <x:c r="N513" t="str">
        <x:v>Fully Paid</x:v>
      </x:c>
      <x:c r="O513" t="str">
        <x:f>IF(D513="","Unknown",IF(D513&lt;25000,"&lt;$25k",IF(D513&lt;50000,"$25k-$50k",IF(D513&lt;75000,"$50k-$75k",IF(D513&lt;100000,"$75k-$100k","$100k+")))))</x:f>
        <x:v>$75k-$100k</x:v>
      </x:c>
      <x:c r="P513" t="str">
        <x:f>IF(E513="","Unknown",IF(E513&lt;10,"&lt;10",IF(E513&lt;20,"10-&lt;20",IF(E513&lt;25,"20-&lt;25",IF(E513&lt;35,"25-&lt;35","35+")))))</x:f>
        <x:v>&lt;10</x:v>
      </x:c>
    </x:row>
    <x:row r="514">
      <x:c r="A514" t="str">
        <x:v>SYN0000513</x:v>
      </x:c>
      <x:c r="B514" s="12" t="n">
        <x:v>41485</x:v>
      </x:c>
      <x:c r="C514" s="18" t="n">
        <x:v>4366</x:v>
      </x:c>
      <x:c r="D514" s="18" t="n">
        <x:v>49647</x:v>
      </x:c>
      <x:c r="E514" s="18" t="n">
        <x:v>5.56</x:v>
      </x:c>
      <x:c r="F514" s="18" t="n">
        <x:v>5.29</x:v>
      </x:c>
      <x:c r="G514" t="n">
        <x:v>36</x:v>
      </x:c>
      <x:c r="H514" t="str">
        <x:v>A</x:v>
      </x:c>
      <x:c r="I514" t="str">
        <x:v>10+ years</x:v>
      </x:c>
      <x:c r="J514" t="str">
        <x:v>OWN</x:v>
      </x:c>
      <x:c r="K514" t="str">
        <x:v>major_purchase</x:v>
      </x:c>
      <x:c r="L514" t="n">
        <x:v>0</x:v>
      </x:c>
      <x:c r="M514" t="n">
        <x:v>0</x:v>
      </x:c>
      <x:c r="N514" t="str">
        <x:v>Fully Paid</x:v>
      </x:c>
      <x:c r="O514" t="str">
        <x:f>IF(D514="","Unknown",IF(D514&lt;25000,"&lt;$25k",IF(D514&lt;50000,"$25k-$50k",IF(D514&lt;75000,"$50k-$75k",IF(D514&lt;100000,"$75k-$100k","$100k+")))))</x:f>
        <x:v>$25k-$50k</x:v>
      </x:c>
      <x:c r="P514" t="str">
        <x:f>IF(E514="","Unknown",IF(E514&lt;10,"&lt;10",IF(E514&lt;20,"10-&lt;20",IF(E514&lt;25,"20-&lt;25",IF(E514&lt;35,"25-&lt;35","35+")))))</x:f>
        <x:v>&lt;10</x:v>
      </x:c>
    </x:row>
    <x:row r="515">
      <x:c r="A515" t="str">
        <x:v>SYN0000514</x:v>
      </x:c>
      <x:c r="B515" s="12" t="n">
        <x:v>41665</x:v>
      </x:c>
      <x:c r="C515" s="18" t="n">
        <x:v>26186</x:v>
      </x:c>
      <x:c r="D515" s="18" t="n">
        <x:v>81002</x:v>
      </x:c>
      <x:c r="E515" s="18" t="n">
        <x:v>17.79</x:v>
      </x:c>
      <x:c r="F515" s="18" t="n">
        <x:v>9.22</x:v>
      </x:c>
      <x:c r="G515" t="n">
        <x:v>60</x:v>
      </x:c>
      <x:c r="H515" t="str">
        <x:v>C</x:v>
      </x:c>
      <x:c r="I515" t="str">
        <x:v>1-3 years</x:v>
      </x:c>
      <x:c r="J515" t="str">
        <x:v>MORTGAGE</x:v>
      </x:c>
      <x:c r="K515" t="str">
        <x:v>debt_consolidation</x:v>
      </x:c>
      <x:c r="L515" t="n">
        <x:v>0</x:v>
      </x:c>
      <x:c r="M515" t="n">
        <x:v>0</x:v>
      </x:c>
      <x:c r="N515" t="str">
        <x:v>Fully Paid</x:v>
      </x:c>
      <x:c r="O515" t="str">
        <x:f>IF(D515="","Unknown",IF(D515&lt;25000,"&lt;$25k",IF(D515&lt;50000,"$25k-$50k",IF(D515&lt;75000,"$50k-$75k",IF(D515&lt;100000,"$75k-$100k","$100k+")))))</x:f>
        <x:v>$75k-$100k</x:v>
      </x:c>
      <x:c r="P515" t="str">
        <x:f>IF(E515="","Unknown",IF(E515&lt;10,"&lt;10",IF(E515&lt;20,"10-&lt;20",IF(E515&lt;25,"20-&lt;25",IF(E515&lt;35,"25-&lt;35","35+")))))</x:f>
        <x:v>10-&lt;20</x:v>
      </x:c>
    </x:row>
    <x:row r="516">
      <x:c r="A516" t="str">
        <x:v>SYN0000515</x:v>
      </x:c>
      <x:c r="B516" s="12" t="n">
        <x:v>43345</x:v>
      </x:c>
      <x:c r="C516" s="18" t="n">
        <x:v>12990</x:v>
      </x:c>
      <x:c r="D516" s="18" t="n">
        <x:v>84486</x:v>
      </x:c>
      <x:c r="E516" s="18" t="n">
        <x:v>28.14</x:v>
      </x:c>
      <x:c r="F516" s="18" t="n">
        <x:v>11</x:v>
      </x:c>
      <x:c r="G516" t="n">
        <x:v>60</x:v>
      </x:c>
      <x:c r="H516" t="str">
        <x:v>C</x:v>
      </x:c>
      <x:c r="I516" t="str">
        <x:v>7-9 years</x:v>
      </x:c>
      <x:c r="J516" t="str">
        <x:v>MORTGAGE</x:v>
      </x:c>
      <x:c r="K516" t="str">
        <x:v>debt_consolidation</x:v>
      </x:c>
      <x:c r="L516" t="n">
        <x:v>0</x:v>
      </x:c>
      <x:c r="M516" t="n">
        <x:v>0</x:v>
      </x:c>
      <x:c r="N516" t="str">
        <x:v>Fully Paid</x:v>
      </x:c>
      <x:c r="O516" t="str">
        <x:f>IF(D516="","Unknown",IF(D516&lt;25000,"&lt;$25k",IF(D516&lt;50000,"$25k-$50k",IF(D516&lt;75000,"$50k-$75k",IF(D516&lt;100000,"$75k-$100k","$100k+")))))</x:f>
        <x:v>$75k-$100k</x:v>
      </x:c>
      <x:c r="P516" t="str">
        <x:f>IF(E516="","Unknown",IF(E516&lt;10,"&lt;10",IF(E516&lt;20,"10-&lt;20",IF(E516&lt;25,"20-&lt;25",IF(E516&lt;35,"25-&lt;35","35+")))))</x:f>
        <x:v>25-&lt;35</x:v>
      </x:c>
    </x:row>
    <x:row r="517">
      <x:c r="A517" t="str">
        <x:v>SYN0000516</x:v>
      </x:c>
      <x:c r="B517" s="12" t="n">
        <x:v>41875</x:v>
      </x:c>
      <x:c r="C517" s="18" t="n">
        <x:v>8112</x:v>
      </x:c>
      <x:c r="D517" s="18" t="n">
        <x:v>60722</x:v>
      </x:c>
      <x:c r="E517" s="18" t="n">
        <x:v>28.23</x:v>
      </x:c>
      <x:c r="F517" s="18" t="n">
        <x:v>23.5</x:v>
      </x:c>
      <x:c r="G517" t="n">
        <x:v>36</x:v>
      </x:c>
      <x:c r="H517" t="str">
        <x:v>F</x:v>
      </x:c>
      <x:c r="I517" t="str">
        <x:v>10+ years</x:v>
      </x:c>
      <x:c r="J517" t="str">
        <x:v>MORTGAGE</x:v>
      </x:c>
      <x:c r="K517" t="str">
        <x:v>other</x:v>
      </x:c>
      <x:c r="L517" t="n">
        <x:v>0</x:v>
      </x:c>
      <x:c r="M517" t="n">
        <x:v>1</x:v>
      </x:c>
      <x:c r="N517" t="str">
        <x:v>Charged Off</x:v>
      </x:c>
      <x:c r="O517" t="str">
        <x:f>IF(D517="","Unknown",IF(D517&lt;25000,"&lt;$25k",IF(D517&lt;50000,"$25k-$50k",IF(D517&lt;75000,"$50k-$75k",IF(D517&lt;100000,"$75k-$100k","$100k+")))))</x:f>
        <x:v>$50k-$75k</x:v>
      </x:c>
      <x:c r="P517" t="str">
        <x:f>IF(E517="","Unknown",IF(E517&lt;10,"&lt;10",IF(E517&lt;20,"10-&lt;20",IF(E517&lt;25,"20-&lt;25",IF(E517&lt;35,"25-&lt;35","35+")))))</x:f>
        <x:v>25-&lt;35</x:v>
      </x:c>
    </x:row>
    <x:row r="518">
      <x:c r="A518" t="str">
        <x:v>SYN0000517</x:v>
      </x:c>
      <x:c r="B518" s="12" t="n">
        <x:v>43105</x:v>
      </x:c>
      <x:c r="C518" s="18" t="n">
        <x:v>31960</x:v>
      </x:c>
      <x:c r="D518" s="18" t="n">
        <x:v>105856</x:v>
      </x:c>
      <x:c r="E518" s="18" t="n">
        <x:v>26.15</x:v>
      </x:c>
      <x:c r="F518" s="18" t="n">
        <x:v>9.6</x:v>
      </x:c>
      <x:c r="G518" t="n">
        <x:v>36</x:v>
      </x:c>
      <x:c r="H518" t="str">
        <x:v>B</x:v>
      </x:c>
      <x:c r="I518" t="str">
        <x:v>10+ years</x:v>
      </x:c>
      <x:c r="J518" t="str">
        <x:v>RENT</x:v>
      </x:c>
      <x:c r="K518" t="str">
        <x:v>debt_consolidation</x:v>
      </x:c>
      <x:c r="L518" t="n">
        <x:v>0</x:v>
      </x:c>
      <x:c r="M518" t="n">
        <x:v>0</x:v>
      </x:c>
      <x:c r="N518" t="str">
        <x:v>Fully Paid</x:v>
      </x:c>
      <x:c r="O518" t="str">
        <x:f>IF(D518="","Unknown",IF(D518&lt;25000,"&lt;$25k",IF(D518&lt;50000,"$25k-$50k",IF(D518&lt;75000,"$50k-$75k",IF(D518&lt;100000,"$75k-$100k","$100k+")))))</x:f>
        <x:v>$100k+</x:v>
      </x:c>
      <x:c r="P518" t="str">
        <x:f>IF(E518="","Unknown",IF(E518&lt;10,"&lt;10",IF(E518&lt;20,"10-&lt;20",IF(E518&lt;25,"20-&lt;25",IF(E518&lt;35,"25-&lt;35","35+")))))</x:f>
        <x:v>25-&lt;35</x:v>
      </x:c>
    </x:row>
    <x:row r="519">
      <x:c r="A519" t="str">
        <x:v>SYN0000518</x:v>
      </x:c>
      <x:c r="B519" s="12" t="n">
        <x:v>41485</x:v>
      </x:c>
      <x:c r="C519" s="18" t="n">
        <x:v>27298</x:v>
      </x:c>
      <x:c r="D519" s="18" t="n">
        <x:v>91858</x:v>
      </x:c>
      <x:c r="E519" s="18" t="n">
        <x:v>23.7</x:v>
      </x:c>
      <x:c r="F519" s="18" t="n">
        <x:v>10.01</x:v>
      </x:c>
      <x:c r="G519" t="n">
        <x:v>60</x:v>
      </x:c>
      <x:c r="H519" t="str">
        <x:v>C</x:v>
      </x:c>
      <x:c r="I519" t="str">
        <x:v>7-9 years</x:v>
      </x:c>
      <x:c r="J519" t="str">
        <x:v>RENT</x:v>
      </x:c>
      <x:c r="K519" t="str">
        <x:v>debt_consolidation</x:v>
      </x:c>
      <x:c r="L519" t="n">
        <x:v>1</x:v>
      </x:c>
      <x:c r="M519" t="n">
        <x:v>0</x:v>
      </x:c>
      <x:c r="N519" t="str">
        <x:v>Fully Paid</x:v>
      </x:c>
      <x:c r="O519" t="str">
        <x:f>IF(D519="","Unknown",IF(D519&lt;25000,"&lt;$25k",IF(D519&lt;50000,"$25k-$50k",IF(D519&lt;75000,"$50k-$75k",IF(D519&lt;100000,"$75k-$100k","$100k+")))))</x:f>
        <x:v>$75k-$100k</x:v>
      </x:c>
      <x:c r="P519" t="str">
        <x:f>IF(E519="","Unknown",IF(E519&lt;10,"&lt;10",IF(E519&lt;20,"10-&lt;20",IF(E519&lt;25,"20-&lt;25",IF(E519&lt;35,"25-&lt;35","35+")))))</x:f>
        <x:v>20-&lt;25</x:v>
      </x:c>
    </x:row>
    <x:row r="520">
      <x:c r="A520" t="str">
        <x:v>SYN0000519</x:v>
      </x:c>
      <x:c r="B520" s="12" t="n">
        <x:v>42475</x:v>
      </x:c>
      <x:c r="C520" s="18" t="n">
        <x:v>15891</x:v>
      </x:c>
      <x:c r="D520" s="18" t="n">
        <x:v>41688</x:v>
      </x:c>
      <x:c r="E520" s="18" t="n">
        <x:v>15.39</x:v>
      </x:c>
      <x:c r="F520" s="18" t="n">
        <x:v>16.84</x:v>
      </x:c>
      <x:c r="G520" t="n">
        <x:v>60</x:v>
      </x:c>
      <x:c r="H520" t="str">
        <x:v>E</x:v>
      </x:c>
      <x:c r="I520" t="str">
        <x:v>7-9 years</x:v>
      </x:c>
      <x:c r="J520" t="str">
        <x:v>MORTGAGE</x:v>
      </x:c>
      <x:c r="K520" t="str">
        <x:v>debt_consolidation</x:v>
      </x:c>
      <x:c r="L520" t="n">
        <x:v>2</x:v>
      </x:c>
      <x:c r="M520" t="n">
        <x:v>0</x:v>
      </x:c>
      <x:c r="N520" t="str">
        <x:v>Fully Paid</x:v>
      </x:c>
      <x:c r="O520" t="str">
        <x:f>IF(D520="","Unknown",IF(D520&lt;25000,"&lt;$25k",IF(D520&lt;50000,"$25k-$50k",IF(D520&lt;75000,"$50k-$75k",IF(D520&lt;100000,"$75k-$100k","$100k+")))))</x:f>
        <x:v>$25k-$50k</x:v>
      </x:c>
      <x:c r="P520" t="str">
        <x:f>IF(E520="","Unknown",IF(E520&lt;10,"&lt;10",IF(E520&lt;20,"10-&lt;20",IF(E520&lt;25,"20-&lt;25",IF(E520&lt;35,"25-&lt;35","35+")))))</x:f>
        <x:v>10-&lt;20</x:v>
      </x:c>
    </x:row>
    <x:row r="521">
      <x:c r="A521" t="str">
        <x:v>SYN0000520</x:v>
      </x:c>
      <x:c r="B521" s="12" t="n">
        <x:v>42835</x:v>
      </x:c>
      <x:c r="C521" s="18" t="n">
        <x:v>23442</x:v>
      </x:c>
      <x:c r="D521" s="18" t="n">
        <x:v>12591</x:v>
      </x:c>
      <x:c r="E521" s="18" t="n">
        <x:v>16.38</x:v>
      </x:c>
      <x:c r="F521" s="18" t="n">
        <x:v>20.56</x:v>
      </x:c>
      <x:c r="G521" t="n">
        <x:v>36</x:v>
      </x:c>
      <x:c r="H521" t="str">
        <x:v>E</x:v>
      </x:c>
      <x:c r="I521" t="str">
        <x:v>10+ years</x:v>
      </x:c>
      <x:c r="J521" t="str">
        <x:v>RENT</x:v>
      </x:c>
      <x:c r="K521" t="str">
        <x:v>medical</x:v>
      </x:c>
      <x:c r="L521" t="n">
        <x:v>2</x:v>
      </x:c>
      <x:c r="M521" t="n">
        <x:v>1</x:v>
      </x:c>
      <x:c r="N521" t="str">
        <x:v>Charged Off</x:v>
      </x:c>
      <x:c r="O521" t="str">
        <x:f>IF(D521="","Unknown",IF(D521&lt;25000,"&lt;$25k",IF(D521&lt;50000,"$25k-$50k",IF(D521&lt;75000,"$50k-$75k",IF(D521&lt;100000,"$75k-$100k","$100k+")))))</x:f>
        <x:v>&lt;$25k</x:v>
      </x:c>
      <x:c r="P521" t="str">
        <x:f>IF(E521="","Unknown",IF(E521&lt;10,"&lt;10",IF(E521&lt;20,"10-&lt;20",IF(E521&lt;25,"20-&lt;25",IF(E521&lt;35,"25-&lt;35","35+")))))</x:f>
        <x:v>10-&lt;20</x:v>
      </x:c>
    </x:row>
    <x:row r="522">
      <x:c r="A522" t="str">
        <x:v>SYN0000521</x:v>
      </x:c>
      <x:c r="B522" s="12" t="n">
        <x:v>43135</x:v>
      </x:c>
      <x:c r="C522" s="18" t="n">
        <x:v>14792</x:v>
      </x:c>
      <x:c r="D522" s="18" t="n">
        <x:v>38939</x:v>
      </x:c>
      <x:c r="E522" s="18" t="n">
        <x:v>18.79</x:v>
      </x:c>
      <x:c r="F522" s="18" t="n">
        <x:v>27.39</x:v>
      </x:c>
      <x:c r="G522" t="n">
        <x:v>60</x:v>
      </x:c>
      <x:c r="H522" t="str">
        <x:v>G</x:v>
      </x:c>
      <x:c r="I522" t="str">
        <x:v>10+ years</x:v>
      </x:c>
      <x:c r="J522" t="str">
        <x:v>RENT</x:v>
      </x:c>
      <x:c r="K522" t="str">
        <x:v>debt_consolidation</x:v>
      </x:c>
      <x:c r="L522" t="n">
        <x:v>1</x:v>
      </x:c>
      <x:c r="M522" t="n">
        <x:v>1</x:v>
      </x:c>
      <x:c r="N522" t="str">
        <x:v>Charged Off</x:v>
      </x:c>
      <x:c r="O522" t="str">
        <x:f>IF(D522="","Unknown",IF(D522&lt;25000,"&lt;$25k",IF(D522&lt;50000,"$25k-$50k",IF(D522&lt;75000,"$50k-$75k",IF(D522&lt;100000,"$75k-$100k","$100k+")))))</x:f>
        <x:v>$25k-$50k</x:v>
      </x:c>
      <x:c r="P522" t="str">
        <x:f>IF(E522="","Unknown",IF(E522&lt;10,"&lt;10",IF(E522&lt;20,"10-&lt;20",IF(E522&lt;25,"20-&lt;25",IF(E522&lt;35,"25-&lt;35","35+")))))</x:f>
        <x:v>10-&lt;20</x:v>
      </x:c>
    </x:row>
    <x:row r="523">
      <x:c r="A523" t="str">
        <x:v>SYN0000522</x:v>
      </x:c>
      <x:c r="B523" s="12" t="n">
        <x:v>42205</x:v>
      </x:c>
      <x:c r="C523" s="18" t="n">
        <x:v>7607</x:v>
      </x:c>
      <x:c r="D523" s="18" t="n">
        <x:v>23726</x:v>
      </x:c>
      <x:c r="E523" s="18" t="n">
        <x:v>25.22</x:v>
      </x:c>
      <x:c r="F523" s="18" t="n">
        <x:v>16.04</x:v>
      </x:c>
      <x:c r="G523" t="n">
        <x:v>36</x:v>
      </x:c>
      <x:c r="H523" t="str">
        <x:v>D</x:v>
      </x:c>
      <x:c r="I523" t="str">
        <x:v>10+ years</x:v>
      </x:c>
      <x:c r="J523" t="str">
        <x:v>RENT</x:v>
      </x:c>
      <x:c r="K523" t="str">
        <x:v>home_improvement</x:v>
      </x:c>
      <x:c r="L523" t="n">
        <x:v>1</x:v>
      </x:c>
      <x:c r="M523" t="n">
        <x:v>0</x:v>
      </x:c>
      <x:c r="N523" t="str">
        <x:v>Fully Paid</x:v>
      </x:c>
      <x:c r="O523" t="str">
        <x:f>IF(D523="","Unknown",IF(D523&lt;25000,"&lt;$25k",IF(D523&lt;50000,"$25k-$50k",IF(D523&lt;75000,"$50k-$75k",IF(D523&lt;100000,"$75k-$100k","$100k+")))))</x:f>
        <x:v>&lt;$25k</x:v>
      </x:c>
      <x:c r="P523" t="str">
        <x:f>IF(E523="","Unknown",IF(E523&lt;10,"&lt;10",IF(E523&lt;20,"10-&lt;20",IF(E523&lt;25,"20-&lt;25",IF(E523&lt;35,"25-&lt;35","35+")))))</x:f>
        <x:v>25-&lt;35</x:v>
      </x:c>
    </x:row>
    <x:row r="524">
      <x:c r="A524" t="str">
        <x:v>SYN0000523</x:v>
      </x:c>
      <x:c r="B524" s="12" t="n">
        <x:v>42145</x:v>
      </x:c>
      <x:c r="C524" s="18" t="n">
        <x:v>10901</x:v>
      </x:c>
      <x:c r="D524" s="18" t="n">
        <x:v>100480</x:v>
      </x:c>
      <x:c r="E524" s="18" t="n">
        <x:v>5.83</x:v>
      </x:c>
      <x:c r="F524" s="18" t="n">
        <x:v>20.16</x:v>
      </x:c>
      <x:c r="G524" t="n">
        <x:v>36</x:v>
      </x:c>
      <x:c r="H524" t="str">
        <x:v>E</x:v>
      </x:c>
      <x:c r="I524" t="str">
        <x:v>&lt;1 year</x:v>
      </x:c>
      <x:c r="J524" t="str">
        <x:v>RENT</x:v>
      </x:c>
      <x:c r="K524" t="str">
        <x:v>debt_consolidation</x:v>
      </x:c>
      <x:c r="L524" t="n">
        <x:v>1</x:v>
      </x:c>
      <x:c r="M524" t="n">
        <x:v>0</x:v>
      </x:c>
      <x:c r="N524" t="str">
        <x:v>Fully Paid</x:v>
      </x:c>
      <x:c r="O524" t="str">
        <x:f>IF(D524="","Unknown",IF(D524&lt;25000,"&lt;$25k",IF(D524&lt;50000,"$25k-$50k",IF(D524&lt;75000,"$50k-$75k",IF(D524&lt;100000,"$75k-$100k","$100k+")))))</x:f>
        <x:v>$100k+</x:v>
      </x:c>
      <x:c r="P524" t="str">
        <x:f>IF(E524="","Unknown",IF(E524&lt;10,"&lt;10",IF(E524&lt;20,"10-&lt;20",IF(E524&lt;25,"20-&lt;25",IF(E524&lt;35,"25-&lt;35","35+")))))</x:f>
        <x:v>&lt;10</x:v>
      </x:c>
    </x:row>
    <x:row r="525">
      <x:c r="A525" t="str">
        <x:v>SYN0000524</x:v>
      </x:c>
      <x:c r="B525" s="12" t="n">
        <x:v>42385</x:v>
      </x:c>
      <x:c r="C525" s="18" t="n">
        <x:v>11718</x:v>
      </x:c>
      <x:c r="D525" s="18" t="n">
        <x:v>101607</x:v>
      </x:c>
      <x:c r="E525" s="18" t="n">
        <x:v>6.17</x:v>
      </x:c>
      <x:c r="F525" s="18" t="n">
        <x:v>7.36</x:v>
      </x:c>
      <x:c r="G525" t="n">
        <x:v>36</x:v>
      </x:c>
      <x:c r="H525" t="str">
        <x:v>A</x:v>
      </x:c>
      <x:c r="I525" t="str">
        <x:v>4-6 years</x:v>
      </x:c>
      <x:c r="J525" t="str">
        <x:v>RENT</x:v>
      </x:c>
      <x:c r="K525" t="str">
        <x:v>debt_consolidation</x:v>
      </x:c>
      <x:c r="L525" t="n">
        <x:v>0</x:v>
      </x:c>
      <x:c r="M525" t="n">
        <x:v>0</x:v>
      </x:c>
      <x:c r="N525" t="str">
        <x:v>Fully Paid</x:v>
      </x:c>
      <x:c r="O525" t="str">
        <x:f>IF(D525="","Unknown",IF(D525&lt;25000,"&lt;$25k",IF(D525&lt;50000,"$25k-$50k",IF(D525&lt;75000,"$50k-$75k",IF(D525&lt;100000,"$75k-$100k","$100k+")))))</x:f>
        <x:v>$100k+</x:v>
      </x:c>
      <x:c r="P525" t="str">
        <x:f>IF(E525="","Unknown",IF(E525&lt;10,"&lt;10",IF(E525&lt;20,"10-&lt;20",IF(E525&lt;25,"20-&lt;25",IF(E525&lt;35,"25-&lt;35","35+")))))</x:f>
        <x:v>&lt;10</x:v>
      </x:c>
    </x:row>
    <x:row r="526">
      <x:c r="A526" t="str">
        <x:v>SYN0000525</x:v>
      </x:c>
      <x:c r="B526" s="12" t="n">
        <x:v>41545</x:v>
      </x:c>
      <x:c r="C526" s="18" t="n">
        <x:v>10091</x:v>
      </x:c>
      <x:c r="D526" s="18" t="n">
        <x:v>33539</x:v>
      </x:c>
      <x:c r="E526" s="18" t="n">
        <x:v>26.31</x:v>
      </x:c>
      <x:c r="F526" s="18" t="n">
        <x:v>7.76</x:v>
      </x:c>
      <x:c r="G526" t="n">
        <x:v>60</x:v>
      </x:c>
      <x:c r="H526" t="str">
        <x:v>B</x:v>
      </x:c>
      <x:c r="I526" t="str">
        <x:v>10+ years</x:v>
      </x:c>
      <x:c r="J526" t="str">
        <x:v>MORTGAGE</x:v>
      </x:c>
      <x:c r="K526" t="str">
        <x:v>debt_consolidation</x:v>
      </x:c>
      <x:c r="L526" t="n">
        <x:v>0</x:v>
      </x:c>
      <x:c r="M526" t="n">
        <x:v>0</x:v>
      </x:c>
      <x:c r="N526" t="str">
        <x:v>Fully Paid</x:v>
      </x:c>
      <x:c r="O526" t="str">
        <x:f>IF(D526="","Unknown",IF(D526&lt;25000,"&lt;$25k",IF(D526&lt;50000,"$25k-$50k",IF(D526&lt;75000,"$50k-$75k",IF(D526&lt;100000,"$75k-$100k","$100k+")))))</x:f>
        <x:v>$25k-$50k</x:v>
      </x:c>
      <x:c r="P526" t="str">
        <x:f>IF(E526="","Unknown",IF(E526&lt;10,"&lt;10",IF(E526&lt;20,"10-&lt;20",IF(E526&lt;25,"20-&lt;25",IF(E526&lt;35,"25-&lt;35","35+")))))</x:f>
        <x:v>25-&lt;35</x:v>
      </x:c>
    </x:row>
    <x:row r="527">
      <x:c r="A527" t="str">
        <x:v>SYN0000526</x:v>
      </x:c>
      <x:c r="B527" s="12" t="n">
        <x:v>42535</x:v>
      </x:c>
      <x:c r="C527" s="18" t="n">
        <x:v>21003</x:v>
      </x:c>
      <x:c r="D527" s="18" t="n">
        <x:v>36459</x:v>
      </x:c>
      <x:c r="E527" s="18" t="n">
        <x:v>33.58</x:v>
      </x:c>
      <x:c r="F527" s="18" t="n">
        <x:v>12.85</x:v>
      </x:c>
      <x:c r="G527" t="n">
        <x:v>60</x:v>
      </x:c>
      <x:c r="H527" t="str">
        <x:v>C</x:v>
      </x:c>
      <x:c r="I527" t="str">
        <x:v>4-6 years</x:v>
      </x:c>
      <x:c r="J527" t="str">
        <x:v>RENT</x:v>
      </x:c>
      <x:c r="K527" t="str">
        <x:v>debt_consolidation</x:v>
      </x:c>
      <x:c r="L527" t="n">
        <x:v>0</x:v>
      </x:c>
      <x:c r="M527" t="n">
        <x:v>0</x:v>
      </x:c>
      <x:c r="N527" t="str">
        <x:v>Fully Paid</x:v>
      </x:c>
      <x:c r="O527" t="str">
        <x:f>IF(D527="","Unknown",IF(D527&lt;25000,"&lt;$25k",IF(D527&lt;50000,"$25k-$50k",IF(D527&lt;75000,"$50k-$75k",IF(D527&lt;100000,"$75k-$100k","$100k+")))))</x:f>
        <x:v>$25k-$50k</x:v>
      </x:c>
      <x:c r="P527" t="str">
        <x:f>IF(E527="","Unknown",IF(E527&lt;10,"&lt;10",IF(E527&lt;20,"10-&lt;20",IF(E527&lt;25,"20-&lt;25",IF(E527&lt;35,"25-&lt;35","35+")))))</x:f>
        <x:v>25-&lt;35</x:v>
      </x:c>
    </x:row>
    <x:row r="528">
      <x:c r="A528" t="str">
        <x:v>SYN0000527</x:v>
      </x:c>
      <x:c r="B528" s="12" t="n">
        <x:v>42055</x:v>
      </x:c>
      <x:c r="C528" s="18" t="n">
        <x:v>15250</x:v>
      </x:c>
      <x:c r="D528" s="18" t="n">
        <x:v>52098</x:v>
      </x:c>
      <x:c r="E528" s="18" t="n">
        <x:v>19.75</x:v>
      </x:c>
      <x:c r="F528" s="18" t="n">
        <x:v>5.6</x:v>
      </x:c>
      <x:c r="G528" t="n">
        <x:v>36</x:v>
      </x:c>
      <x:c r="H528" t="str">
        <x:v>A</x:v>
      </x:c>
      <x:c r="I528" t="str">
        <x:v>4-6 years</x:v>
      </x:c>
      <x:c r="J528" t="str">
        <x:v>RENT</x:v>
      </x:c>
      <x:c r="K528" t="str">
        <x:v>credit_card</x:v>
      </x:c>
      <x:c r="L528" t="n">
        <x:v>0</x:v>
      </x:c>
      <x:c r="M528" t="n">
        <x:v>0</x:v>
      </x:c>
      <x:c r="N528" t="str">
        <x:v>Fully Paid</x:v>
      </x:c>
      <x:c r="O528" t="str">
        <x:f>IF(D528="","Unknown",IF(D528&lt;25000,"&lt;$25k",IF(D528&lt;50000,"$25k-$50k",IF(D528&lt;75000,"$50k-$75k",IF(D528&lt;100000,"$75k-$100k","$100k+")))))</x:f>
        <x:v>$50k-$75k</x:v>
      </x:c>
      <x:c r="P528" t="str">
        <x:f>IF(E528="","Unknown",IF(E528&lt;10,"&lt;10",IF(E528&lt;20,"10-&lt;20",IF(E528&lt;25,"20-&lt;25",IF(E528&lt;35,"25-&lt;35","35+")))))</x:f>
        <x:v>10-&lt;20</x:v>
      </x:c>
    </x:row>
    <x:row r="529">
      <x:c r="A529" t="str">
        <x:v>SYN0000528</x:v>
      </x:c>
      <x:c r="B529" s="12" t="n">
        <x:v>42115</x:v>
      </x:c>
      <x:c r="C529" s="18" t="n">
        <x:v>12476</x:v>
      </x:c>
      <x:c r="D529" s="18" t="n">
        <x:v>34633</x:v>
      </x:c>
      <x:c r="E529" s="18" t="n">
        <x:v>0.5</x:v>
      </x:c>
      <x:c r="F529" s="18" t="n">
        <x:v>8.41</x:v>
      </x:c>
      <x:c r="G529" t="n">
        <x:v>60</x:v>
      </x:c>
      <x:c r="H529" t="str">
        <x:v>C</x:v>
      </x:c>
      <x:c r="I529" t="str">
        <x:v>1-3 years</x:v>
      </x:c>
      <x:c r="J529" t="str">
        <x:v>RENT</x:v>
      </x:c>
      <x:c r="K529" t="str">
        <x:v>major_purchase</x:v>
      </x:c>
      <x:c r="L529" t="n">
        <x:v>0</x:v>
      </x:c>
      <x:c r="M529" t="n">
        <x:v>0</x:v>
      </x:c>
      <x:c r="N529" t="str">
        <x:v>Fully Paid</x:v>
      </x:c>
      <x:c r="O529" t="str">
        <x:f>IF(D529="","Unknown",IF(D529&lt;25000,"&lt;$25k",IF(D529&lt;50000,"$25k-$50k",IF(D529&lt;75000,"$50k-$75k",IF(D529&lt;100000,"$75k-$100k","$100k+")))))</x:f>
        <x:v>$25k-$50k</x:v>
      </x:c>
      <x:c r="P529" t="str">
        <x:f>IF(E529="","Unknown",IF(E529&lt;10,"&lt;10",IF(E529&lt;20,"10-&lt;20",IF(E529&lt;25,"20-&lt;25",IF(E529&lt;35,"25-&lt;35","35+")))))</x:f>
        <x:v>&lt;10</x:v>
      </x:c>
    </x:row>
    <x:row r="530">
      <x:c r="A530" t="str">
        <x:v>SYN0000529</x:v>
      </x:c>
      <x:c r="B530" s="12" t="n">
        <x:v>42445</x:v>
      </x:c>
      <x:c r="C530" s="18" t="n">
        <x:v>9056</x:v>
      </x:c>
      <x:c r="D530" s="18" t="n">
        <x:v>86923</x:v>
      </x:c>
      <x:c r="E530" s="18" t="n">
        <x:v>19.74</x:v>
      </x:c>
      <x:c r="F530" s="18" t="n">
        <x:v>10.51</x:v>
      </x:c>
      <x:c r="G530" t="n">
        <x:v>36</x:v>
      </x:c>
      <x:c r="H530" t="str">
        <x:v>B</x:v>
      </x:c>
      <x:c r="I530" t="str">
        <x:v>1-3 years</x:v>
      </x:c>
      <x:c r="J530" t="str">
        <x:v>MORTGAGE</x:v>
      </x:c>
      <x:c r="K530" t="str">
        <x:v>debt_consolidation</x:v>
      </x:c>
      <x:c r="L530" t="n">
        <x:v>0</x:v>
      </x:c>
      <x:c r="M530" t="n">
        <x:v>0</x:v>
      </x:c>
      <x:c r="N530" t="str">
        <x:v>Fully Paid</x:v>
      </x:c>
      <x:c r="O530" t="str">
        <x:f>IF(D530="","Unknown",IF(D530&lt;25000,"&lt;$25k",IF(D530&lt;50000,"$25k-$50k",IF(D530&lt;75000,"$50k-$75k",IF(D530&lt;100000,"$75k-$100k","$100k+")))))</x:f>
        <x:v>$75k-$100k</x:v>
      </x:c>
      <x:c r="P530" t="str">
        <x:f>IF(E530="","Unknown",IF(E530&lt;10,"&lt;10",IF(E530&lt;20,"10-&lt;20",IF(E530&lt;25,"20-&lt;25",IF(E530&lt;35,"25-&lt;35","35+")))))</x:f>
        <x:v>10-&lt;20</x:v>
      </x:c>
    </x:row>
    <x:row r="531">
      <x:c r="A531" t="str">
        <x:v>SYN0000530</x:v>
      </x:c>
      <x:c r="B531" s="12" t="n">
        <x:v>43195</x:v>
      </x:c>
      <x:c r="C531" s="18" t="n">
        <x:v>7867</x:v>
      </x:c>
      <x:c r="D531" s="18" t="n">
        <x:v>34931</x:v>
      </x:c>
      <x:c r="E531" s="18" t="n">
        <x:v>11.86</x:v>
      </x:c>
      <x:c r="F531" s="18" t="n">
        <x:v>26.18</x:v>
      </x:c>
      <x:c r="G531" t="n">
        <x:v>36</x:v>
      </x:c>
      <x:c r="H531" t="str">
        <x:v>G</x:v>
      </x:c>
      <x:c r="I531" t="str">
        <x:v>10+ years</x:v>
      </x:c>
      <x:c r="J531" t="str">
        <x:v>OWN</x:v>
      </x:c>
      <x:c r="K531" t="str">
        <x:v>debt_consolidation</x:v>
      </x:c>
      <x:c r="L531" t="n">
        <x:v>2</x:v>
      </x:c>
      <x:c r="M531" t="n">
        <x:v>1</x:v>
      </x:c>
      <x:c r="N531" t="str">
        <x:v>Charged Off</x:v>
      </x:c>
      <x:c r="O531" t="str">
        <x:f>IF(D531="","Unknown",IF(D531&lt;25000,"&lt;$25k",IF(D531&lt;50000,"$25k-$50k",IF(D531&lt;75000,"$50k-$75k",IF(D531&lt;100000,"$75k-$100k","$100k+")))))</x:f>
        <x:v>$25k-$50k</x:v>
      </x:c>
      <x:c r="P531" t="str">
        <x:f>IF(E531="","Unknown",IF(E531&lt;10,"&lt;10",IF(E531&lt;20,"10-&lt;20",IF(E531&lt;25,"20-&lt;25",IF(E531&lt;35,"25-&lt;35","35+")))))</x:f>
        <x:v>10-&lt;20</x:v>
      </x:c>
    </x:row>
    <x:row r="532">
      <x:c r="A532" t="str">
        <x:v>SYN0000531</x:v>
      </x:c>
      <x:c r="B532" s="12" t="n">
        <x:v>43015</x:v>
      </x:c>
      <x:c r="C532" s="18" t="n">
        <x:v>15710</x:v>
      </x:c>
      <x:c r="D532" s="18" t="n">
        <x:v>34557</x:v>
      </x:c>
      <x:c r="E532" s="18" t="n">
        <x:v>21.57</x:v>
      </x:c>
      <x:c r="F532" s="18" t="n">
        <x:v>9.55</x:v>
      </x:c>
      <x:c r="G532" t="n">
        <x:v>60</x:v>
      </x:c>
      <x:c r="H532" t="str">
        <x:v>B</x:v>
      </x:c>
      <x:c r="I532" t="str">
        <x:v>10+ years</x:v>
      </x:c>
      <x:c r="J532" t="str">
        <x:v>MORTGAGE</x:v>
      </x:c>
      <x:c r="K532" t="str">
        <x:v>major_purchase</x:v>
      </x:c>
      <x:c r="L532" t="n">
        <x:v>0</x:v>
      </x:c>
      <x:c r="M532" t="n">
        <x:v>0</x:v>
      </x:c>
      <x:c r="N532" t="str">
        <x:v>Fully Paid</x:v>
      </x:c>
      <x:c r="O532" t="str">
        <x:f>IF(D532="","Unknown",IF(D532&lt;25000,"&lt;$25k",IF(D532&lt;50000,"$25k-$50k",IF(D532&lt;75000,"$50k-$75k",IF(D532&lt;100000,"$75k-$100k","$100k+")))))</x:f>
        <x:v>$25k-$50k</x:v>
      </x:c>
      <x:c r="P532" t="str">
        <x:f>IF(E532="","Unknown",IF(E532&lt;10,"&lt;10",IF(E532&lt;20,"10-&lt;20",IF(E532&lt;25,"20-&lt;25",IF(E532&lt;35,"25-&lt;35","35+")))))</x:f>
        <x:v>20-&lt;25</x:v>
      </x:c>
    </x:row>
    <x:row r="533">
      <x:c r="A533" t="str">
        <x:v>SYN0000532</x:v>
      </x:c>
      <x:c r="B533" s="12" t="n">
        <x:v>41515</x:v>
      </x:c>
      <x:c r="C533" s="18" t="n">
        <x:v>4915</x:v>
      </x:c>
      <x:c r="D533" s="18" t="n">
        <x:v>31194</x:v>
      </x:c>
      <x:c r="E533" s="18" t="n">
        <x:v>22.98</x:v>
      </x:c>
      <x:c r="F533" s="18" t="n">
        <x:v>6.76</x:v>
      </x:c>
      <x:c r="G533" t="n">
        <x:v>36</x:v>
      </x:c>
      <x:c r="H533" t="str">
        <x:v>B</x:v>
      </x:c>
      <x:c r="I533" t="str">
        <x:v>10+ years</x:v>
      </x:c>
      <x:c r="J533" t="str">
        <x:v>OWN</x:v>
      </x:c>
      <x:c r="K533" t="str">
        <x:v>debt_consolidation</x:v>
      </x:c>
      <x:c r="L533" t="n">
        <x:v>2</x:v>
      </x:c>
      <x:c r="M533" t="n">
        <x:v>0</x:v>
      </x:c>
      <x:c r="N533" t="str">
        <x:v>Fully Paid</x:v>
      </x:c>
      <x:c r="O533" t="str">
        <x:f>IF(D533="","Unknown",IF(D533&lt;25000,"&lt;$25k",IF(D533&lt;50000,"$25k-$50k",IF(D533&lt;75000,"$50k-$75k",IF(D533&lt;100000,"$75k-$100k","$100k+")))))</x:f>
        <x:v>$25k-$50k</x:v>
      </x:c>
      <x:c r="P533" t="str">
        <x:f>IF(E533="","Unknown",IF(E533&lt;10,"&lt;10",IF(E533&lt;20,"10-&lt;20",IF(E533&lt;25,"20-&lt;25",IF(E533&lt;35,"25-&lt;35","35+")))))</x:f>
        <x:v>20-&lt;25</x:v>
      </x:c>
    </x:row>
    <x:row r="534">
      <x:c r="A534" t="str">
        <x:v>SYN0000533</x:v>
      </x:c>
      <x:c r="B534" s="12" t="n">
        <x:v>42625</x:v>
      </x:c>
      <x:c r="C534" s="18" t="n">
        <x:v>11751</x:v>
      </x:c>
      <x:c r="D534" s="18" t="n">
        <x:v>48644</x:v>
      </x:c>
      <x:c r="E534" s="18" t="n">
        <x:v>8.62</x:v>
      </x:c>
      <x:c r="F534" s="18" t="n">
        <x:v>6.54</x:v>
      </x:c>
      <x:c r="G534" t="n">
        <x:v>36</x:v>
      </x:c>
      <x:c r="H534" t="str">
        <x:v>A</x:v>
      </x:c>
      <x:c r="I534" t="str">
        <x:v>1-3 years</x:v>
      </x:c>
      <x:c r="J534" t="str">
        <x:v>RENT</x:v>
      </x:c>
      <x:c r="K534" t="str">
        <x:v>home_improvement</x:v>
      </x:c>
      <x:c r="L534" t="n">
        <x:v>0</x:v>
      </x:c>
      <x:c r="M534" t="n">
        <x:v>0</x:v>
      </x:c>
      <x:c r="N534" t="str">
        <x:v>Fully Paid</x:v>
      </x:c>
      <x:c r="O534" t="str">
        <x:f>IF(D534="","Unknown",IF(D534&lt;25000,"&lt;$25k",IF(D534&lt;50000,"$25k-$50k",IF(D534&lt;75000,"$50k-$75k",IF(D534&lt;100000,"$75k-$100k","$100k+")))))</x:f>
        <x:v>$25k-$50k</x:v>
      </x:c>
      <x:c r="P534" t="str">
        <x:f>IF(E534="","Unknown",IF(E534&lt;10,"&lt;10",IF(E534&lt;20,"10-&lt;20",IF(E534&lt;25,"20-&lt;25",IF(E534&lt;35,"25-&lt;35","35+")))))</x:f>
        <x:v>&lt;10</x:v>
      </x:c>
    </x:row>
    <x:row r="535">
      <x:c r="A535" t="str">
        <x:v>SYN0000534</x:v>
      </x:c>
      <x:c r="B535" s="12" t="n">
        <x:v>43015</x:v>
      </x:c>
      <x:c r="C535" s="18" t="n">
        <x:v>17558</x:v>
      </x:c>
      <x:c r="D535" s="18" t="n">
        <x:v>97644</x:v>
      </x:c>
      <x:c r="E535" s="18" t="n">
        <x:v>15.86</x:v>
      </x:c>
      <x:c r="F535" s="18" t="n">
        <x:v>10.85</x:v>
      </x:c>
      <x:c r="G535" t="n">
        <x:v>36</x:v>
      </x:c>
      <x:c r="H535" t="str">
        <x:v>B</x:v>
      </x:c>
      <x:c r="I535" t="str">
        <x:v>4-6 years</x:v>
      </x:c>
      <x:c r="J535" t="str">
        <x:v>MORTGAGE</x:v>
      </x:c>
      <x:c r="K535" t="str">
        <x:v>debt_consolidation</x:v>
      </x:c>
      <x:c r="L535" t="n">
        <x:v>0</x:v>
      </x:c>
      <x:c r="M535" t="n">
        <x:v>0</x:v>
      </x:c>
      <x:c r="N535" t="str">
        <x:v>Fully Paid</x:v>
      </x:c>
      <x:c r="O535" t="str">
        <x:f>IF(D535="","Unknown",IF(D535&lt;25000,"&lt;$25k",IF(D535&lt;50000,"$25k-$50k",IF(D535&lt;75000,"$50k-$75k",IF(D535&lt;100000,"$75k-$100k","$100k+")))))</x:f>
        <x:v>$75k-$100k</x:v>
      </x:c>
      <x:c r="P535" t="str">
        <x:f>IF(E535="","Unknown",IF(E535&lt;10,"&lt;10",IF(E535&lt;20,"10-&lt;20",IF(E535&lt;25,"20-&lt;25",IF(E535&lt;35,"25-&lt;35","35+")))))</x:f>
        <x:v>10-&lt;20</x:v>
      </x:c>
    </x:row>
    <x:row r="536">
      <x:c r="A536" t="str">
        <x:v>SYN0000535</x:v>
      </x:c>
      <x:c r="B536" s="12" t="n">
        <x:v>41335</x:v>
      </x:c>
      <x:c r="C536" s="18" t="n">
        <x:v>13488</x:v>
      </x:c>
      <x:c r="D536" s="18" t="n">
        <x:v>29768</x:v>
      </x:c>
      <x:c r="E536" s="18" t="n">
        <x:v>32.95</x:v>
      </x:c>
      <x:c r="F536" s="18" t="n">
        <x:v>6.46</x:v>
      </x:c>
      <x:c r="G536" t="n">
        <x:v>36</x:v>
      </x:c>
      <x:c r="H536" t="str">
        <x:v>B</x:v>
      </x:c>
      <x:c r="I536" t="str">
        <x:v>10+ years</x:v>
      </x:c>
      <x:c r="J536" t="str">
        <x:v>MORTGAGE</x:v>
      </x:c>
      <x:c r="K536" t="str">
        <x:v>other</x:v>
      </x:c>
      <x:c r="L536" t="n">
        <x:v>0</x:v>
      </x:c>
      <x:c r="M536" t="n">
        <x:v>0</x:v>
      </x:c>
      <x:c r="N536" t="str">
        <x:v>Fully Paid</x:v>
      </x:c>
      <x:c r="O536" t="str">
        <x:f>IF(D536="","Unknown",IF(D536&lt;25000,"&lt;$25k",IF(D536&lt;50000,"$25k-$50k",IF(D536&lt;75000,"$50k-$75k",IF(D536&lt;100000,"$75k-$100k","$100k+")))))</x:f>
        <x:v>$25k-$50k</x:v>
      </x:c>
      <x:c r="P536" t="str">
        <x:f>IF(E536="","Unknown",IF(E536&lt;10,"&lt;10",IF(E536&lt;20,"10-&lt;20",IF(E536&lt;25,"20-&lt;25",IF(E536&lt;35,"25-&lt;35","35+")))))</x:f>
        <x:v>25-&lt;35</x:v>
      </x:c>
    </x:row>
    <x:row r="537">
      <x:c r="A537" t="str">
        <x:v>SYN0000536</x:v>
      </x:c>
      <x:c r="B537" s="12" t="n">
        <x:v>41545</x:v>
      </x:c>
      <x:c r="C537" s="18" t="n">
        <x:v>19195</x:v>
      </x:c>
      <x:c r="D537" s="18" t="n">
        <x:v>199489</x:v>
      </x:c>
      <x:c r="E537" s="18" t="n">
        <x:v>19.58</x:v>
      </x:c>
      <x:c r="F537" s="18" t="n">
        <x:v>10.15</x:v>
      </x:c>
      <x:c r="G537" t="n">
        <x:v>36</x:v>
      </x:c>
      <x:c r="H537" t="str">
        <x:v>B</x:v>
      </x:c>
      <x:c r="I537" t="str">
        <x:v>&lt;1 year</x:v>
      </x:c>
      <x:c r="J537" t="str">
        <x:v>OWN</x:v>
      </x:c>
      <x:c r="K537" t="str">
        <x:v>debt_consolidation</x:v>
      </x:c>
      <x:c r="L537" t="n">
        <x:v>0</x:v>
      </x:c>
      <x:c r="M537" t="n">
        <x:v>0</x:v>
      </x:c>
      <x:c r="N537" t="str">
        <x:v>Fully Paid</x:v>
      </x:c>
      <x:c r="O537" t="str">
        <x:f>IF(D537="","Unknown",IF(D537&lt;25000,"&lt;$25k",IF(D537&lt;50000,"$25k-$50k",IF(D537&lt;75000,"$50k-$75k",IF(D537&lt;100000,"$75k-$100k","$100k+")))))</x:f>
        <x:v>$100k+</x:v>
      </x:c>
      <x:c r="P537" t="str">
        <x:f>IF(E537="","Unknown",IF(E537&lt;10,"&lt;10",IF(E537&lt;20,"10-&lt;20",IF(E537&lt;25,"20-&lt;25",IF(E537&lt;35,"25-&lt;35","35+")))))</x:f>
        <x:v>10-&lt;20</x:v>
      </x:c>
    </x:row>
    <x:row r="538">
      <x:c r="A538" t="str">
        <x:v>SYN0000537</x:v>
      </x:c>
      <x:c r="B538" s="12" t="n">
        <x:v>43375</x:v>
      </x:c>
      <x:c r="C538" s="18" t="n">
        <x:v>19811</x:v>
      </x:c>
      <x:c r="D538" s="18" t="n">
        <x:v>27004</x:v>
      </x:c>
      <x:c r="E538" s="18" t="n">
        <x:v>15.05</x:v>
      </x:c>
      <x:c r="F538" s="18" t="n">
        <x:v>17.24</x:v>
      </x:c>
      <x:c r="G538" t="n">
        <x:v>36</x:v>
      </x:c>
      <x:c r="H538" t="str">
        <x:v>E</x:v>
      </x:c>
      <x:c r="I538" t="str">
        <x:v>7-9 years</x:v>
      </x:c>
      <x:c r="J538" t="str">
        <x:v>MORTGAGE</x:v>
      </x:c>
      <x:c r="K538" t="str">
        <x:v>credit_card</x:v>
      </x:c>
      <x:c r="L538" t="n">
        <x:v>0</x:v>
      </x:c>
      <x:c r="M538" t="n">
        <x:v>0</x:v>
      </x:c>
      <x:c r="N538" t="str">
        <x:v>Fully Paid</x:v>
      </x:c>
      <x:c r="O538" t="str">
        <x:f>IF(D538="","Unknown",IF(D538&lt;25000,"&lt;$25k",IF(D538&lt;50000,"$25k-$50k",IF(D538&lt;75000,"$50k-$75k",IF(D538&lt;100000,"$75k-$100k","$100k+")))))</x:f>
        <x:v>$25k-$50k</x:v>
      </x:c>
      <x:c r="P538" t="str">
        <x:f>IF(E538="","Unknown",IF(E538&lt;10,"&lt;10",IF(E538&lt;20,"10-&lt;20",IF(E538&lt;25,"20-&lt;25",IF(E538&lt;35,"25-&lt;35","35+")))))</x:f>
        <x:v>10-&lt;20</x:v>
      </x:c>
    </x:row>
    <x:row r="539">
      <x:c r="A539" t="str">
        <x:v>SYN0000538</x:v>
      </x:c>
      <x:c r="B539" s="12" t="n">
        <x:v>41335</x:v>
      </x:c>
      <x:c r="C539" s="18" t="n">
        <x:v>14507</x:v>
      </x:c>
      <x:c r="D539" s="18" t="n">
        <x:v>32200</x:v>
      </x:c>
      <x:c r="E539" s="18" t="n">
        <x:v>19.66</x:v>
      </x:c>
      <x:c r="F539" s="18" t="n">
        <x:v>13.13</x:v>
      </x:c>
      <x:c r="G539" t="n">
        <x:v>60</x:v>
      </x:c>
      <x:c r="H539" t="str">
        <x:v>D</x:v>
      </x:c>
      <x:c r="I539" t="str">
        <x:v>4-6 years</x:v>
      </x:c>
      <x:c r="J539" t="str">
        <x:v>MORTGAGE</x:v>
      </x:c>
      <x:c r="K539" t="str">
        <x:v>debt_consolidation</x:v>
      </x:c>
      <x:c r="L539" t="n">
        <x:v>1</x:v>
      </x:c>
      <x:c r="M539" t="n">
        <x:v>1</x:v>
      </x:c>
      <x:c r="N539" t="str">
        <x:v>Charged Off</x:v>
      </x:c>
      <x:c r="O539" t="str">
        <x:f>IF(D539="","Unknown",IF(D539&lt;25000,"&lt;$25k",IF(D539&lt;50000,"$25k-$50k",IF(D539&lt;75000,"$50k-$75k",IF(D539&lt;100000,"$75k-$100k","$100k+")))))</x:f>
        <x:v>$25k-$50k</x:v>
      </x:c>
      <x:c r="P539" t="str">
        <x:f>IF(E539="","Unknown",IF(E539&lt;10,"&lt;10",IF(E539&lt;20,"10-&lt;20",IF(E539&lt;25,"20-&lt;25",IF(E539&lt;35,"25-&lt;35","35+")))))</x:f>
        <x:v>10-&lt;20</x:v>
      </x:c>
    </x:row>
    <x:row r="540">
      <x:c r="A540" t="str">
        <x:v>SYN0000539</x:v>
      </x:c>
      <x:c r="B540" s="12" t="n">
        <x:v>41425</x:v>
      </x:c>
      <x:c r="C540" s="18" t="n">
        <x:v>8045</x:v>
      </x:c>
      <x:c r="D540" s="18" t="n">
        <x:v>72064</x:v>
      </x:c>
      <x:c r="E540" s="18" t="n">
        <x:v>13.95</x:v>
      </x:c>
      <x:c r="F540" s="18" t="n">
        <x:v>9.86</x:v>
      </x:c>
      <x:c r="G540" t="n">
        <x:v>36</x:v>
      </x:c>
      <x:c r="H540" t="str">
        <x:v>B</x:v>
      </x:c>
      <x:c r="I540" t="str">
        <x:v>&lt;1 year</x:v>
      </x:c>
      <x:c r="J540" t="str">
        <x:v>MORTGAGE</x:v>
      </x:c>
      <x:c r="K540" t="str">
        <x:v>other</x:v>
      </x:c>
      <x:c r="L540" t="n">
        <x:v>1</x:v>
      </x:c>
      <x:c r="M540" t="n">
        <x:v>0</x:v>
      </x:c>
      <x:c r="N540" t="str">
        <x:v>Fully Paid</x:v>
      </x:c>
      <x:c r="O540" t="str">
        <x:f>IF(D540="","Unknown",IF(D540&lt;25000,"&lt;$25k",IF(D540&lt;50000,"$25k-$50k",IF(D540&lt;75000,"$50k-$75k",IF(D540&lt;100000,"$75k-$100k","$100k+")))))</x:f>
        <x:v>$50k-$75k</x:v>
      </x:c>
      <x:c r="P540" t="str">
        <x:f>IF(E540="","Unknown",IF(E540&lt;10,"&lt;10",IF(E540&lt;20,"10-&lt;20",IF(E540&lt;25,"20-&lt;25",IF(E540&lt;35,"25-&lt;35","35+")))))</x:f>
        <x:v>10-&lt;20</x:v>
      </x:c>
    </x:row>
    <x:row r="541">
      <x:c r="A541" t="str">
        <x:v>SYN0000540</x:v>
      </x:c>
      <x:c r="B541" s="12" t="n">
        <x:v>42295</x:v>
      </x:c>
      <x:c r="C541" s="18" t="n">
        <x:v>18023</x:v>
      </x:c>
      <x:c r="D541" s="18" t="n">
        <x:v>35896</x:v>
      </x:c>
      <x:c r="E541" s="18" t="n">
        <x:v>28.34</x:v>
      </x:c>
      <x:c r="F541" s="18" t="n">
        <x:v>6.72</x:v>
      </x:c>
      <x:c r="G541" t="n">
        <x:v>36</x:v>
      </x:c>
      <x:c r="H541" t="str">
        <x:v>B</x:v>
      </x:c>
      <x:c r="I541" t="str">
        <x:v>&lt;1 year</x:v>
      </x:c>
      <x:c r="J541" t="str">
        <x:v>OWN</x:v>
      </x:c>
      <x:c r="K541" t="str">
        <x:v>debt_consolidation</x:v>
      </x:c>
      <x:c r="L541" t="n">
        <x:v>1</x:v>
      </x:c>
      <x:c r="M541" t="n">
        <x:v>0</x:v>
      </x:c>
      <x:c r="N541" t="str">
        <x:v>Fully Paid</x:v>
      </x:c>
      <x:c r="O541" t="str">
        <x:f>IF(D541="","Unknown",IF(D541&lt;25000,"&lt;$25k",IF(D541&lt;50000,"$25k-$50k",IF(D541&lt;75000,"$50k-$75k",IF(D541&lt;100000,"$75k-$100k","$100k+")))))</x:f>
        <x:v>$25k-$50k</x:v>
      </x:c>
      <x:c r="P541" t="str">
        <x:f>IF(E541="","Unknown",IF(E541&lt;10,"&lt;10",IF(E541&lt;20,"10-&lt;20",IF(E541&lt;25,"20-&lt;25",IF(E541&lt;35,"25-&lt;35","35+")))))</x:f>
        <x:v>25-&lt;35</x:v>
      </x:c>
    </x:row>
    <x:row r="542">
      <x:c r="A542" t="str">
        <x:v>SYN0000541</x:v>
      </x:c>
      <x:c r="B542" s="12" t="n">
        <x:v>43075</x:v>
      </x:c>
      <x:c r="C542" s="18" t="n">
        <x:v>23673</x:v>
      </x:c>
      <x:c r="D542" s="18" t="n">
        <x:v>126772</x:v>
      </x:c>
      <x:c r="E542" s="18" t="n">
        <x:v>24.55</x:v>
      </x:c>
      <x:c r="F542" s="18" t="n">
        <x:v>17.08</x:v>
      </x:c>
      <x:c r="G542" t="n">
        <x:v>60</x:v>
      </x:c>
      <x:c r="H542" t="str">
        <x:v>D</x:v>
      </x:c>
      <x:c r="I542" t="str">
        <x:v>10+ years</x:v>
      </x:c>
      <x:c r="J542" t="str">
        <x:v>MORTGAGE</x:v>
      </x:c>
      <x:c r="K542" t="str">
        <x:v>debt_consolidation</x:v>
      </x:c>
      <x:c r="L542" t="n">
        <x:v>0</x:v>
      </x:c>
      <x:c r="M542" t="n">
        <x:v>0</x:v>
      </x:c>
      <x:c r="N542" t="str">
        <x:v>Fully Paid</x:v>
      </x:c>
      <x:c r="O542" t="str">
        <x:f>IF(D542="","Unknown",IF(D542&lt;25000,"&lt;$25k",IF(D542&lt;50000,"$25k-$50k",IF(D542&lt;75000,"$50k-$75k",IF(D542&lt;100000,"$75k-$100k","$100k+")))))</x:f>
        <x:v>$100k+</x:v>
      </x:c>
      <x:c r="P542" t="str">
        <x:f>IF(E542="","Unknown",IF(E542&lt;10,"&lt;10",IF(E542&lt;20,"10-&lt;20",IF(E542&lt;25,"20-&lt;25",IF(E542&lt;35,"25-&lt;35","35+")))))</x:f>
        <x:v>20-&lt;25</x:v>
      </x:c>
    </x:row>
    <x:row r="543">
      <x:c r="A543" t="str">
        <x:v>SYN0000542</x:v>
      </x:c>
      <x:c r="B543" s="12" t="n">
        <x:v>42475</x:v>
      </x:c>
      <x:c r="C543" s="18" t="n">
        <x:v>10656</x:v>
      </x:c>
      <x:c r="D543" s="18" t="n">
        <x:v>60581</x:v>
      </x:c>
      <x:c r="E543" s="18" t="n">
        <x:v>15.38</x:v>
      </x:c>
      <x:c r="F543" s="18" t="n">
        <x:v>7.02</x:v>
      </x:c>
      <x:c r="G543" t="n">
        <x:v>36</x:v>
      </x:c>
      <x:c r="H543" t="str">
        <x:v>A</x:v>
      </x:c>
      <x:c r="I543" t="str">
        <x:v>10+ years</x:v>
      </x:c>
      <x:c r="J543" t="str">
        <x:v>MORTGAGE</x:v>
      </x:c>
      <x:c r="K543" t="str">
        <x:v>credit_card</x:v>
      </x:c>
      <x:c r="L543" t="n">
        <x:v>0</x:v>
      </x:c>
      <x:c r="M543" t="n">
        <x:v>0</x:v>
      </x:c>
      <x:c r="N543" t="str">
        <x:v>Fully Paid</x:v>
      </x:c>
      <x:c r="O543" t="str">
        <x:f>IF(D543="","Unknown",IF(D543&lt;25000,"&lt;$25k",IF(D543&lt;50000,"$25k-$50k",IF(D543&lt;75000,"$50k-$75k",IF(D543&lt;100000,"$75k-$100k","$100k+")))))</x:f>
        <x:v>$50k-$75k</x:v>
      </x:c>
      <x:c r="P543" t="str">
        <x:f>IF(E543="","Unknown",IF(E543&lt;10,"&lt;10",IF(E543&lt;20,"10-&lt;20",IF(E543&lt;25,"20-&lt;25",IF(E543&lt;35,"25-&lt;35","35+")))))</x:f>
        <x:v>10-&lt;20</x:v>
      </x:c>
    </x:row>
    <x:row r="544">
      <x:c r="A544" t="str">
        <x:v>SYN0000543</x:v>
      </x:c>
      <x:c r="B544" s="12" t="n">
        <x:v>41845</x:v>
      </x:c>
      <x:c r="C544" s="18" t="n">
        <x:v>11123</x:v>
      </x:c>
      <x:c r="D544" s="18" t="n">
        <x:v>78976</x:v>
      </x:c>
      <x:c r="E544" s="18" t="n">
        <x:v>26.06</x:v>
      </x:c>
      <x:c r="F544" s="18" t="n">
        <x:v>9.06</x:v>
      </x:c>
      <x:c r="G544" t="n">
        <x:v>36</x:v>
      </x:c>
      <x:c r="H544" t="str">
        <x:v>B</x:v>
      </x:c>
      <x:c r="I544" t="str">
        <x:v>4-6 years</x:v>
      </x:c>
      <x:c r="J544" t="str">
        <x:v>RENT</x:v>
      </x:c>
      <x:c r="K544" t="str">
        <x:v>debt_consolidation</x:v>
      </x:c>
      <x:c r="L544" t="n">
        <x:v>0</x:v>
      </x:c>
      <x:c r="M544" t="n">
        <x:v>0</x:v>
      </x:c>
      <x:c r="N544" t="str">
        <x:v>Fully Paid</x:v>
      </x:c>
      <x:c r="O544" t="str">
        <x:f>IF(D544="","Unknown",IF(D544&lt;25000,"&lt;$25k",IF(D544&lt;50000,"$25k-$50k",IF(D544&lt;75000,"$50k-$75k",IF(D544&lt;100000,"$75k-$100k","$100k+")))))</x:f>
        <x:v>$75k-$100k</x:v>
      </x:c>
      <x:c r="P544" t="str">
        <x:f>IF(E544="","Unknown",IF(E544&lt;10,"&lt;10",IF(E544&lt;20,"10-&lt;20",IF(E544&lt;25,"20-&lt;25",IF(E544&lt;35,"25-&lt;35","35+")))))</x:f>
        <x:v>25-&lt;35</x:v>
      </x:c>
    </x:row>
    <x:row r="545">
      <x:c r="A545" t="str">
        <x:v>SYN0000544</x:v>
      </x:c>
      <x:c r="B545" s="12" t="n">
        <x:v>43375</x:v>
      </x:c>
      <x:c r="C545" s="18" t="n">
        <x:v>6110</x:v>
      </x:c>
      <x:c r="D545" s="18" t="n">
        <x:v>39194</x:v>
      </x:c>
      <x:c r="E545" s="18" t="n">
        <x:v>29.66</x:v>
      </x:c>
      <x:c r="F545" s="18" t="n">
        <x:v>14.52</x:v>
      </x:c>
      <x:c r="G545" t="n">
        <x:v>36</x:v>
      </x:c>
      <x:c r="H545" t="str">
        <x:v>C</x:v>
      </x:c>
      <x:c r="I545" t="str">
        <x:v>4-6 years</x:v>
      </x:c>
      <x:c r="J545" t="str">
        <x:v>MORTGAGE</x:v>
      </x:c>
      <x:c r="K545" t="str">
        <x:v>debt_consolidation</x:v>
      </x:c>
      <x:c r="L545" t="n">
        <x:v>1</x:v>
      </x:c>
      <x:c r="M545" t="n">
        <x:v>0</x:v>
      </x:c>
      <x:c r="N545" t="str">
        <x:v>Fully Paid</x:v>
      </x:c>
      <x:c r="O545" t="str">
        <x:f>IF(D545="","Unknown",IF(D545&lt;25000,"&lt;$25k",IF(D545&lt;50000,"$25k-$50k",IF(D545&lt;75000,"$50k-$75k",IF(D545&lt;100000,"$75k-$100k","$100k+")))))</x:f>
        <x:v>$25k-$50k</x:v>
      </x:c>
      <x:c r="P545" t="str">
        <x:f>IF(E545="","Unknown",IF(E545&lt;10,"&lt;10",IF(E545&lt;20,"10-&lt;20",IF(E545&lt;25,"20-&lt;25",IF(E545&lt;35,"25-&lt;35","35+")))))</x:f>
        <x:v>25-&lt;35</x:v>
      </x:c>
    </x:row>
    <x:row r="546">
      <x:c r="A546" t="str">
        <x:v>SYN0000545</x:v>
      </x:c>
      <x:c r="B546" s="12" t="n">
        <x:v>43285</x:v>
      </x:c>
      <x:c r="C546" s="18" t="n">
        <x:v>16730</x:v>
      </x:c>
      <x:c r="D546" s="18" t="n">
        <x:v>46888</x:v>
      </x:c>
      <x:c r="E546" s="18" t="n">
        <x:v>21.73</x:v>
      </x:c>
      <x:c r="F546" s="18" t="n">
        <x:v>13.95</x:v>
      </x:c>
      <x:c r="G546" t="n">
        <x:v>36</x:v>
      </x:c>
      <x:c r="H546" t="str">
        <x:v>D</x:v>
      </x:c>
      <x:c r="I546" t="str">
        <x:v>10+ years</x:v>
      </x:c>
      <x:c r="J546" t="str">
        <x:v>RENT</x:v>
      </x:c>
      <x:c r="K546" t="str">
        <x:v>debt_consolidation</x:v>
      </x:c>
      <x:c r="L546" t="n">
        <x:v>0</x:v>
      </x:c>
      <x:c r="M546" t="n">
        <x:v>0</x:v>
      </x:c>
      <x:c r="N546" t="str">
        <x:v>Fully Paid</x:v>
      </x:c>
      <x:c r="O546" t="str">
        <x:f>IF(D546="","Unknown",IF(D546&lt;25000,"&lt;$25k",IF(D546&lt;50000,"$25k-$50k",IF(D546&lt;75000,"$50k-$75k",IF(D546&lt;100000,"$75k-$100k","$100k+")))))</x:f>
        <x:v>$25k-$50k</x:v>
      </x:c>
      <x:c r="P546" t="str">
        <x:f>IF(E546="","Unknown",IF(E546&lt;10,"&lt;10",IF(E546&lt;20,"10-&lt;20",IF(E546&lt;25,"20-&lt;25",IF(E546&lt;35,"25-&lt;35","35+")))))</x:f>
        <x:v>20-&lt;25</x:v>
      </x:c>
    </x:row>
    <x:row r="547">
      <x:c r="A547" t="str">
        <x:v>SYN0000546</x:v>
      </x:c>
      <x:c r="B547" s="12" t="n">
        <x:v>42145</x:v>
      </x:c>
      <x:c r="C547" s="18" t="n">
        <x:v>14890</x:v>
      </x:c>
      <x:c r="D547" s="18" t="n">
        <x:v>52067</x:v>
      </x:c>
      <x:c r="E547" s="18" t="n">
        <x:v>30.3</x:v>
      </x:c>
      <x:c r="F547" s="18" t="n">
        <x:v>5.99</x:v>
      </x:c>
      <x:c r="G547" t="n">
        <x:v>36</x:v>
      </x:c>
      <x:c r="H547" t="str">
        <x:v>A</x:v>
      </x:c>
      <x:c r="I547" t="str">
        <x:v>10+ years</x:v>
      </x:c>
      <x:c r="J547" t="str">
        <x:v>RENT</x:v>
      </x:c>
      <x:c r="K547" t="str">
        <x:v>credit_card</x:v>
      </x:c>
      <x:c r="L547" t="n">
        <x:v>0</x:v>
      </x:c>
      <x:c r="M547" t="n">
        <x:v>0</x:v>
      </x:c>
      <x:c r="N547" t="str">
        <x:v>Fully Paid</x:v>
      </x:c>
      <x:c r="O547" t="str">
        <x:f>IF(D547="","Unknown",IF(D547&lt;25000,"&lt;$25k",IF(D547&lt;50000,"$25k-$50k",IF(D547&lt;75000,"$50k-$75k",IF(D547&lt;100000,"$75k-$100k","$100k+")))))</x:f>
        <x:v>$50k-$75k</x:v>
      </x:c>
      <x:c r="P547" t="str">
        <x:f>IF(E547="","Unknown",IF(E547&lt;10,"&lt;10",IF(E547&lt;20,"10-&lt;20",IF(E547&lt;25,"20-&lt;25",IF(E547&lt;35,"25-&lt;35","35+")))))</x:f>
        <x:v>25-&lt;35</x:v>
      </x:c>
    </x:row>
    <x:row r="548">
      <x:c r="A548" t="str">
        <x:v>SYN0000547</x:v>
      </x:c>
      <x:c r="B548" s="12" t="n">
        <x:v>41845</x:v>
      </x:c>
      <x:c r="C548" s="18" t="n">
        <x:v>22306</x:v>
      </x:c>
      <x:c r="D548" s="18" t="n">
        <x:v>97762</x:v>
      </x:c>
      <x:c r="E548" s="18" t="n">
        <x:v>35.18</x:v>
      </x:c>
      <x:c r="F548" s="18" t="n">
        <x:v>13.02</x:v>
      </x:c>
      <x:c r="G548" t="n">
        <x:v>36</x:v>
      </x:c>
      <x:c r="H548" t="str">
        <x:v>D</x:v>
      </x:c>
      <x:c r="I548" t="str">
        <x:v>10+ years</x:v>
      </x:c>
      <x:c r="J548" t="str">
        <x:v>RENT</x:v>
      </x:c>
      <x:c r="K548" t="str">
        <x:v>debt_consolidation</x:v>
      </x:c>
      <x:c r="L548" t="n">
        <x:v>2</x:v>
      </x:c>
      <x:c r="M548" t="n">
        <x:v>0</x:v>
      </x:c>
      <x:c r="N548" t="str">
        <x:v>Fully Paid</x:v>
      </x:c>
      <x:c r="O548" t="str">
        <x:f>IF(D548="","Unknown",IF(D548&lt;25000,"&lt;$25k",IF(D548&lt;50000,"$25k-$50k",IF(D548&lt;75000,"$50k-$75k",IF(D548&lt;100000,"$75k-$100k","$100k+")))))</x:f>
        <x:v>$75k-$100k</x:v>
      </x:c>
      <x:c r="P548" t="str">
        <x:f>IF(E548="","Unknown",IF(E548&lt;10,"&lt;10",IF(E548&lt;20,"10-&lt;20",IF(E548&lt;25,"20-&lt;25",IF(E548&lt;35,"25-&lt;35","35+")))))</x:f>
        <x:v>35+</x:v>
      </x:c>
    </x:row>
    <x:row r="549">
      <x:c r="A549" t="str">
        <x:v>SYN0000548</x:v>
      </x:c>
      <x:c r="B549" s="12" t="n">
        <x:v>42475</x:v>
      </x:c>
      <x:c r="C549" s="18" t="n">
        <x:v>14871</x:v>
      </x:c>
      <x:c r="D549" s="18" t="n">
        <x:v>42845</x:v>
      </x:c>
      <x:c r="E549" s="18" t="n">
        <x:v>17.17</x:v>
      </x:c>
      <x:c r="F549" s="18" t="n">
        <x:v>7.63</x:v>
      </x:c>
      <x:c r="G549" t="n">
        <x:v>60</x:v>
      </x:c>
      <x:c r="H549" t="str">
        <x:v>A</x:v>
      </x:c>
      <x:c r="I549" t="str">
        <x:v>1-3 years</x:v>
      </x:c>
      <x:c r="J549" t="str">
        <x:v>MORTGAGE</x:v>
      </x:c>
      <x:c r="K549" t="str">
        <x:v>debt_consolidation</x:v>
      </x:c>
      <x:c r="L549" t="n">
        <x:v>0</x:v>
      </x:c>
      <x:c r="M549" t="n">
        <x:v>0</x:v>
      </x:c>
      <x:c r="N549" t="str">
        <x:v>Fully Paid</x:v>
      </x:c>
      <x:c r="O549" t="str">
        <x:f>IF(D549="","Unknown",IF(D549&lt;25000,"&lt;$25k",IF(D549&lt;50000,"$25k-$50k",IF(D549&lt;75000,"$50k-$75k",IF(D549&lt;100000,"$75k-$100k","$100k+")))))</x:f>
        <x:v>$25k-$50k</x:v>
      </x:c>
      <x:c r="P549" t="str">
        <x:f>IF(E549="","Unknown",IF(E549&lt;10,"&lt;10",IF(E549&lt;20,"10-&lt;20",IF(E549&lt;25,"20-&lt;25",IF(E549&lt;35,"25-&lt;35","35+")))))</x:f>
        <x:v>10-&lt;20</x:v>
      </x:c>
    </x:row>
    <x:row r="550">
      <x:c r="A550" t="str">
        <x:v>SYN0000549</x:v>
      </x:c>
      <x:c r="B550" s="12" t="n">
        <x:v>42565</x:v>
      </x:c>
      <x:c r="C550" s="18" t="n">
        <x:v>15046</x:v>
      </x:c>
      <x:c r="D550" s="18" t="n">
        <x:v>134938</x:v>
      </x:c>
      <x:c r="E550" s="18" t="n">
        <x:v>9.43</x:v>
      </x:c>
      <x:c r="F550" s="18" t="n">
        <x:v>24.16</x:v>
      </x:c>
      <x:c r="G550" t="n">
        <x:v>36</x:v>
      </x:c>
      <x:c r="H550" t="str">
        <x:v>G</x:v>
      </x:c>
      <x:c r="I550" t="str">
        <x:v>1-3 years</x:v>
      </x:c>
      <x:c r="J550" t="str">
        <x:v>RENT</x:v>
      </x:c>
      <x:c r="K550" t="str">
        <x:v>home_improvement</x:v>
      </x:c>
      <x:c r="L550" t="n">
        <x:v>1</x:v>
      </x:c>
      <x:c r="M550" t="n">
        <x:v>1</x:v>
      </x:c>
      <x:c r="N550" t="str">
        <x:v>Charged Off</x:v>
      </x:c>
      <x:c r="O550" t="str">
        <x:f>IF(D550="","Unknown",IF(D550&lt;25000,"&lt;$25k",IF(D550&lt;50000,"$25k-$50k",IF(D550&lt;75000,"$50k-$75k",IF(D550&lt;100000,"$75k-$100k","$100k+")))))</x:f>
        <x:v>$100k+</x:v>
      </x:c>
      <x:c r="P550" t="str">
        <x:f>IF(E550="","Unknown",IF(E550&lt;10,"&lt;10",IF(E550&lt;20,"10-&lt;20",IF(E550&lt;25,"20-&lt;25",IF(E550&lt;35,"25-&lt;35","35+")))))</x:f>
        <x:v>&lt;10</x:v>
      </x:c>
    </x:row>
    <x:row r="551">
      <x:c r="A551" t="str">
        <x:v>SYN0000550</x:v>
      </x:c>
      <x:c r="B551" s="12" t="n">
        <x:v>42145</x:v>
      </x:c>
      <x:c r="C551" s="18" t="n">
        <x:v>17876</x:v>
      </x:c>
      <x:c r="D551" s="18" t="n">
        <x:v>80202</x:v>
      </x:c>
      <x:c r="E551" s="18" t="n">
        <x:v>16.71</x:v>
      </x:c>
      <x:c r="F551" s="18" t="n">
        <x:v>9.69</x:v>
      </x:c>
      <x:c r="G551" t="n">
        <x:v>36</x:v>
      </x:c>
      <x:c r="H551" t="str">
        <x:v>B</x:v>
      </x:c>
      <x:c r="I551" t="str">
        <x:v>10+ years</x:v>
      </x:c>
      <x:c r="J551" t="str">
        <x:v>RENT</x:v>
      </x:c>
      <x:c r="K551" t="str">
        <x:v>credit_card</x:v>
      </x:c>
      <x:c r="L551" t="n">
        <x:v>1</x:v>
      </x:c>
      <x:c r="M551" t="n">
        <x:v>0</x:v>
      </x:c>
      <x:c r="N551" t="str">
        <x:v>Fully Paid</x:v>
      </x:c>
      <x:c r="O551" t="str">
        <x:f>IF(D551="","Unknown",IF(D551&lt;25000,"&lt;$25k",IF(D551&lt;50000,"$25k-$50k",IF(D551&lt;75000,"$50k-$75k",IF(D551&lt;100000,"$75k-$100k","$100k+")))))</x:f>
        <x:v>$75k-$100k</x:v>
      </x:c>
      <x:c r="P551" t="str">
        <x:f>IF(E551="","Unknown",IF(E551&lt;10,"&lt;10",IF(E551&lt;20,"10-&lt;20",IF(E551&lt;25,"20-&lt;25",IF(E551&lt;35,"25-&lt;35","35+")))))</x:f>
        <x:v>10-&lt;20</x:v>
      </x:c>
    </x:row>
    <x:row r="552">
      <x:c r="A552" t="str">
        <x:v>SYN0000551</x:v>
      </x:c>
      <x:c r="B552" s="12" t="n">
        <x:v>43135</x:v>
      </x:c>
      <x:c r="C552" s="18" t="n">
        <x:v>6993</x:v>
      </x:c>
      <x:c r="D552" s="18" t="n">
        <x:v>65957</x:v>
      </x:c>
      <x:c r="E552" s="18" t="n">
        <x:v>9.48</x:v>
      </x:c>
      <x:c r="F552" s="18" t="n">
        <x:v>8.62</x:v>
      </x:c>
      <x:c r="G552" t="n">
        <x:v>36</x:v>
      </x:c>
      <x:c r="H552" t="str">
        <x:v>B</x:v>
      </x:c>
      <x:c r="I552" t="str">
        <x:v>&lt;1 year</x:v>
      </x:c>
      <x:c r="J552" t="str">
        <x:v>MORTGAGE</x:v>
      </x:c>
      <x:c r="K552" t="str">
        <x:v>credit_card</x:v>
      </x:c>
      <x:c r="L552" t="n">
        <x:v>1</x:v>
      </x:c>
      <x:c r="M552" t="n">
        <x:v>0</x:v>
      </x:c>
      <x:c r="N552" t="str">
        <x:v>Fully Paid</x:v>
      </x:c>
      <x:c r="O552" t="str">
        <x:f>IF(D552="","Unknown",IF(D552&lt;25000,"&lt;$25k",IF(D552&lt;50000,"$25k-$50k",IF(D552&lt;75000,"$50k-$75k",IF(D552&lt;100000,"$75k-$100k","$100k+")))))</x:f>
        <x:v>$50k-$75k</x:v>
      </x:c>
      <x:c r="P552" t="str">
        <x:f>IF(E552="","Unknown",IF(E552&lt;10,"&lt;10",IF(E552&lt;20,"10-&lt;20",IF(E552&lt;25,"20-&lt;25",IF(E552&lt;35,"25-&lt;35","35+")))))</x:f>
        <x:v>&lt;10</x:v>
      </x:c>
    </x:row>
    <x:row r="553">
      <x:c r="A553" t="str">
        <x:v>SYN0000552</x:v>
      </x:c>
      <x:c r="B553" s="12" t="n">
        <x:v>41605</x:v>
      </x:c>
      <x:c r="C553" s="18" t="n">
        <x:v>16223</x:v>
      </x:c>
      <x:c r="D553" s="18" t="n">
        <x:v>83331</x:v>
      </x:c>
      <x:c r="E553" s="18" t="n">
        <x:v>23.16</x:v>
      </x:c>
      <x:c r="F553" s="18" t="n">
        <x:v>15.62</x:v>
      </x:c>
      <x:c r="G553" t="n">
        <x:v>60</x:v>
      </x:c>
      <x:c r="H553" t="str">
        <x:v>D</x:v>
      </x:c>
      <x:c r="I553" t="str">
        <x:v>10+ years</x:v>
      </x:c>
      <x:c r="J553" t="str">
        <x:v>RENT</x:v>
      </x:c>
      <x:c r="K553" t="str">
        <x:v>debt_consolidation</x:v>
      </x:c>
      <x:c r="L553" t="n">
        <x:v>0</x:v>
      </x:c>
      <x:c r="M553" t="n">
        <x:v>0</x:v>
      </x:c>
      <x:c r="N553" t="str">
        <x:v>Fully Paid</x:v>
      </x:c>
      <x:c r="O553" t="str">
        <x:f>IF(D553="","Unknown",IF(D553&lt;25000,"&lt;$25k",IF(D553&lt;50000,"$25k-$50k",IF(D553&lt;75000,"$50k-$75k",IF(D553&lt;100000,"$75k-$100k","$100k+")))))</x:f>
        <x:v>$75k-$100k</x:v>
      </x:c>
      <x:c r="P553" t="str">
        <x:f>IF(E553="","Unknown",IF(E553&lt;10,"&lt;10",IF(E553&lt;20,"10-&lt;20",IF(E553&lt;25,"20-&lt;25",IF(E553&lt;35,"25-&lt;35","35+")))))</x:f>
        <x:v>20-&lt;25</x:v>
      </x:c>
    </x:row>
    <x:row r="554">
      <x:c r="A554" t="str">
        <x:v>SYN0000553</x:v>
      </x:c>
      <x:c r="B554" s="12" t="n">
        <x:v>41635</x:v>
      </x:c>
      <x:c r="C554" s="18" t="n">
        <x:v>10228</x:v>
      </x:c>
      <x:c r="D554" s="18" t="n">
        <x:v>56157</x:v>
      </x:c>
      <x:c r="E554" s="18" t="n">
        <x:v>7.12</x:v>
      </x:c>
      <x:c r="F554" s="18" t="n">
        <x:v>7.37</x:v>
      </x:c>
      <x:c r="G554" t="n">
        <x:v>60</x:v>
      </x:c>
      <x:c r="H554" t="str">
        <x:v>B</x:v>
      </x:c>
      <x:c r="I554" t="str">
        <x:v>10+ years</x:v>
      </x:c>
      <x:c r="J554" t="str">
        <x:v>OTHER</x:v>
      </x:c>
      <x:c r="K554" t="str">
        <x:v>medical</x:v>
      </x:c>
      <x:c r="L554" t="n">
        <x:v>1</x:v>
      </x:c>
      <x:c r="M554" t="n">
        <x:v>0</x:v>
      </x:c>
      <x:c r="N554" t="str">
        <x:v>Fully Paid</x:v>
      </x:c>
      <x:c r="O554" t="str">
        <x:f>IF(D554="","Unknown",IF(D554&lt;25000,"&lt;$25k",IF(D554&lt;50000,"$25k-$50k",IF(D554&lt;75000,"$50k-$75k",IF(D554&lt;100000,"$75k-$100k","$100k+")))))</x:f>
        <x:v>$50k-$75k</x:v>
      </x:c>
      <x:c r="P554" t="str">
        <x:f>IF(E554="","Unknown",IF(E554&lt;10,"&lt;10",IF(E554&lt;20,"10-&lt;20",IF(E554&lt;25,"20-&lt;25",IF(E554&lt;35,"25-&lt;35","35+")))))</x:f>
        <x:v>&lt;10</x:v>
      </x:c>
    </x:row>
    <x:row r="555">
      <x:c r="A555" t="str">
        <x:v>SYN0000554</x:v>
      </x:c>
      <x:c r="B555" s="12" t="n">
        <x:v>41395</x:v>
      </x:c>
      <x:c r="C555" s="18" t="n">
        <x:v>11288</x:v>
      </x:c>
      <x:c r="D555" s="18" t="n">
        <x:v>19214</x:v>
      </x:c>
      <x:c r="E555" s="18" t="n">
        <x:v>24.97</x:v>
      </x:c>
      <x:c r="F555" s="18" t="n">
        <x:v>18.17</x:v>
      </x:c>
      <x:c r="G555" t="n">
        <x:v>36</x:v>
      </x:c>
      <x:c r="H555" t="str">
        <x:v>E</x:v>
      </x:c>
      <x:c r="I555" t="str">
        <x:v>10+ years</x:v>
      </x:c>
      <x:c r="J555" t="str">
        <x:v>RENT</x:v>
      </x:c>
      <x:c r="K555" t="str">
        <x:v>debt_consolidation</x:v>
      </x:c>
      <x:c r="L555" t="n">
        <x:v>1</x:v>
      </x:c>
      <x:c r="M555" t="n">
        <x:v>1</x:v>
      </x:c>
      <x:c r="N555" t="str">
        <x:v>Charged Off</x:v>
      </x:c>
      <x:c r="O555" t="str">
        <x:f>IF(D555="","Unknown",IF(D555&lt;25000,"&lt;$25k",IF(D555&lt;50000,"$25k-$50k",IF(D555&lt;75000,"$50k-$75k",IF(D555&lt;100000,"$75k-$100k","$100k+")))))</x:f>
        <x:v>&lt;$25k</x:v>
      </x:c>
      <x:c r="P555" t="str">
        <x:f>IF(E555="","Unknown",IF(E555&lt;10,"&lt;10",IF(E555&lt;20,"10-&lt;20",IF(E555&lt;25,"20-&lt;25",IF(E555&lt;35,"25-&lt;35","35+")))))</x:f>
        <x:v>20-&lt;25</x:v>
      </x:c>
    </x:row>
    <x:row r="556">
      <x:c r="A556" t="str">
        <x:v>SYN0000555</x:v>
      </x:c>
      <x:c r="B556" s="12" t="n">
        <x:v>42715</x:v>
      </x:c>
      <x:c r="C556" s="18" t="n">
        <x:v>7691</x:v>
      </x:c>
      <x:c r="D556" s="18" t="n">
        <x:v>53896</x:v>
      </x:c>
      <x:c r="E556" s="18" t="n">
        <x:v>13.44</x:v>
      </x:c>
      <x:c r="F556" s="18" t="n">
        <x:v>9.62</x:v>
      </x:c>
      <x:c r="G556" t="n">
        <x:v>60</x:v>
      </x:c>
      <x:c r="H556" t="str">
        <x:v>B</x:v>
      </x:c>
      <x:c r="I556" t="str">
        <x:v>7-9 years</x:v>
      </x:c>
      <x:c r="J556" t="str">
        <x:v>RENT</x:v>
      </x:c>
      <x:c r="K556" t="str">
        <x:v>other</x:v>
      </x:c>
      <x:c r="L556" t="n">
        <x:v>0</x:v>
      </x:c>
      <x:c r="M556" t="n">
        <x:v>0</x:v>
      </x:c>
      <x:c r="N556" t="str">
        <x:v>Fully Paid</x:v>
      </x:c>
      <x:c r="O556" t="str">
        <x:f>IF(D556="","Unknown",IF(D556&lt;25000,"&lt;$25k",IF(D556&lt;50000,"$25k-$50k",IF(D556&lt;75000,"$50k-$75k",IF(D556&lt;100000,"$75k-$100k","$100k+")))))</x:f>
        <x:v>$50k-$75k</x:v>
      </x:c>
      <x:c r="P556" t="str">
        <x:f>IF(E556="","Unknown",IF(E556&lt;10,"&lt;10",IF(E556&lt;20,"10-&lt;20",IF(E556&lt;25,"20-&lt;25",IF(E556&lt;35,"25-&lt;35","35+")))))</x:f>
        <x:v>10-&lt;20</x:v>
      </x:c>
    </x:row>
    <x:row r="557">
      <x:c r="A557" t="str">
        <x:v>SYN0000556</x:v>
      </x:c>
      <x:c r="B557" s="12" t="n">
        <x:v>42955</x:v>
      </x:c>
      <x:c r="C557" s="18" t="n">
        <x:v>13637</x:v>
      </x:c>
      <x:c r="D557" s="18" t="n">
        <x:v>17548</x:v>
      </x:c>
      <x:c r="E557" s="18" t="n">
        <x:v>22.1</x:v>
      </x:c>
      <x:c r="F557" s="18" t="n">
        <x:v>22.41</x:v>
      </x:c>
      <x:c r="G557" t="n">
        <x:v>36</x:v>
      </x:c>
      <x:c r="H557" t="str">
        <x:v>F</x:v>
      </x:c>
      <x:c r="I557" t="str">
        <x:v>10+ years</x:v>
      </x:c>
      <x:c r="J557" t="str">
        <x:v>MORTGAGE</x:v>
      </x:c>
      <x:c r="K557" t="str">
        <x:v>debt_consolidation</x:v>
      </x:c>
      <x:c r="L557" t="n">
        <x:v>1</x:v>
      </x:c>
      <x:c r="M557" t="n">
        <x:v>1</x:v>
      </x:c>
      <x:c r="N557" t="str">
        <x:v>Charged Off</x:v>
      </x:c>
      <x:c r="O557" t="str">
        <x:f>IF(D557="","Unknown",IF(D557&lt;25000,"&lt;$25k",IF(D557&lt;50000,"$25k-$50k",IF(D557&lt;75000,"$50k-$75k",IF(D557&lt;100000,"$75k-$100k","$100k+")))))</x:f>
        <x:v>&lt;$25k</x:v>
      </x:c>
      <x:c r="P557" t="str">
        <x:f>IF(E557="","Unknown",IF(E557&lt;10,"&lt;10",IF(E557&lt;20,"10-&lt;20",IF(E557&lt;25,"20-&lt;25",IF(E557&lt;35,"25-&lt;35","35+")))))</x:f>
        <x:v>20-&lt;25</x:v>
      </x:c>
    </x:row>
    <x:row r="558">
      <x:c r="A558" t="str">
        <x:v>SYN0000557</x:v>
      </x:c>
      <x:c r="B558" s="12" t="n">
        <x:v>42145</x:v>
      </x:c>
      <x:c r="C558" s="18" t="n">
        <x:v>17041</x:v>
      </x:c>
      <x:c r="D558" s="18" t="n">
        <x:v>71438</x:v>
      </x:c>
      <x:c r="E558" s="18" t="n">
        <x:v>8.95</x:v>
      </x:c>
      <x:c r="F558" s="18" t="n">
        <x:v>6.19</x:v>
      </x:c>
      <x:c r="G558" t="n">
        <x:v>36</x:v>
      </x:c>
      <x:c r="H558" t="str">
        <x:v>B</x:v>
      </x:c>
      <x:c r="I558" t="str">
        <x:v>7-9 years</x:v>
      </x:c>
      <x:c r="J558" t="str">
        <x:v>MORTGAGE</x:v>
      </x:c>
      <x:c r="K558" t="str">
        <x:v>debt_consolidation</x:v>
      </x:c>
      <x:c r="L558" t="n">
        <x:v>0</x:v>
      </x:c>
      <x:c r="M558" t="n">
        <x:v>0</x:v>
      </x:c>
      <x:c r="N558" t="str">
        <x:v>Fully Paid</x:v>
      </x:c>
      <x:c r="O558" t="str">
        <x:f>IF(D558="","Unknown",IF(D558&lt;25000,"&lt;$25k",IF(D558&lt;50000,"$25k-$50k",IF(D558&lt;75000,"$50k-$75k",IF(D558&lt;100000,"$75k-$100k","$100k+")))))</x:f>
        <x:v>$50k-$75k</x:v>
      </x:c>
      <x:c r="P558" t="str">
        <x:f>IF(E558="","Unknown",IF(E558&lt;10,"&lt;10",IF(E558&lt;20,"10-&lt;20",IF(E558&lt;25,"20-&lt;25",IF(E558&lt;35,"25-&lt;35","35+")))))</x:f>
        <x:v>&lt;10</x:v>
      </x:c>
    </x:row>
    <x:row r="559">
      <x:c r="A559" t="str">
        <x:v>SYN0000558</x:v>
      </x:c>
      <x:c r="B559" s="12" t="n">
        <x:v>43015</x:v>
      </x:c>
      <x:c r="C559" s="18" t="n">
        <x:v>19368</x:v>
      </x:c>
      <x:c r="D559" s="18" t="n">
        <x:v>34523</x:v>
      </x:c>
      <x:c r="E559" s="18" t="n">
        <x:v>30.03</x:v>
      </x:c>
      <x:c r="F559" s="18" t="n">
        <x:v>23.81</x:v>
      </x:c>
      <x:c r="G559" t="n">
        <x:v>36</x:v>
      </x:c>
      <x:c r="H559" t="str">
        <x:v>F</x:v>
      </x:c>
      <x:c r="I559" t="str">
        <x:v>10+ years</x:v>
      </x:c>
      <x:c r="J559" t="str">
        <x:v>MORTGAGE</x:v>
      </x:c>
      <x:c r="K559" t="str">
        <x:v>home_improvement</x:v>
      </x:c>
      <x:c r="L559" t="n">
        <x:v>1</x:v>
      </x:c>
      <x:c r="M559" t="n">
        <x:v>0</x:v>
      </x:c>
      <x:c r="N559" t="str">
        <x:v>Fully Paid</x:v>
      </x:c>
      <x:c r="O559" t="str">
        <x:f>IF(D559="","Unknown",IF(D559&lt;25000,"&lt;$25k",IF(D559&lt;50000,"$25k-$50k",IF(D559&lt;75000,"$50k-$75k",IF(D559&lt;100000,"$75k-$100k","$100k+")))))</x:f>
        <x:v>$25k-$50k</x:v>
      </x:c>
      <x:c r="P559" t="str">
        <x:f>IF(E559="","Unknown",IF(E559&lt;10,"&lt;10",IF(E559&lt;20,"10-&lt;20",IF(E559&lt;25,"20-&lt;25",IF(E559&lt;35,"25-&lt;35","35+")))))</x:f>
        <x:v>25-&lt;35</x:v>
      </x:c>
    </x:row>
    <x:row r="560">
      <x:c r="A560" t="str">
        <x:v>SYN0000559</x:v>
      </x:c>
      <x:c r="B560" s="12" t="n">
        <x:v>42565</x:v>
      </x:c>
      <x:c r="C560" s="18" t="n">
        <x:v>16858</x:v>
      </x:c>
      <x:c r="D560" s="18" t="n">
        <x:v>28505</x:v>
      </x:c>
      <x:c r="E560" s="18" t="n">
        <x:v>21.11</x:v>
      </x:c>
      <x:c r="F560" s="18" t="n">
        <x:v>26.26</x:v>
      </x:c>
      <x:c r="G560" t="n">
        <x:v>36</x:v>
      </x:c>
      <x:c r="H560" t="str">
        <x:v>G</x:v>
      </x:c>
      <x:c r="I560" t="str">
        <x:v>7-9 years</x:v>
      </x:c>
      <x:c r="J560" t="str">
        <x:v>RENT</x:v>
      </x:c>
      <x:c r="K560" t="str">
        <x:v>debt_consolidation</x:v>
      </x:c>
      <x:c r="L560" t="n">
        <x:v>1</x:v>
      </x:c>
      <x:c r="M560" t="n">
        <x:v>0</x:v>
      </x:c>
      <x:c r="N560" t="str">
        <x:v>Fully Paid</x:v>
      </x:c>
      <x:c r="O560" t="str">
        <x:f>IF(D560="","Unknown",IF(D560&lt;25000,"&lt;$25k",IF(D560&lt;50000,"$25k-$50k",IF(D560&lt;75000,"$50k-$75k",IF(D560&lt;100000,"$75k-$100k","$100k+")))))</x:f>
        <x:v>$25k-$50k</x:v>
      </x:c>
      <x:c r="P560" t="str">
        <x:f>IF(E560="","Unknown",IF(E560&lt;10,"&lt;10",IF(E560&lt;20,"10-&lt;20",IF(E560&lt;25,"20-&lt;25",IF(E560&lt;35,"25-&lt;35","35+")))))</x:f>
        <x:v>20-&lt;25</x:v>
      </x:c>
    </x:row>
    <x:row r="561">
      <x:c r="A561" t="str">
        <x:v>SYN0000560</x:v>
      </x:c>
      <x:c r="B561" s="12" t="n">
        <x:v>41725</x:v>
      </x:c>
      <x:c r="C561" s="18" t="n">
        <x:v>8532</x:v>
      </x:c>
      <x:c r="D561" s="18" t="n">
        <x:v>47307</x:v>
      </x:c>
      <x:c r="E561" s="18" t="n">
        <x:v>25.66</x:v>
      </x:c>
      <x:c r="F561" s="18" t="n">
        <x:v>5.58</x:v>
      </x:c>
      <x:c r="G561" t="n">
        <x:v>60</x:v>
      </x:c>
      <x:c r="H561" t="str">
        <x:v>B</x:v>
      </x:c>
      <x:c r="I561" t="str">
        <x:v>10+ years</x:v>
      </x:c>
      <x:c r="J561" t="str">
        <x:v>MORTGAGE</x:v>
      </x:c>
      <x:c r="K561" t="str">
        <x:v>credit_card</x:v>
      </x:c>
      <x:c r="L561" t="n">
        <x:v>2</x:v>
      </x:c>
      <x:c r="M561" t="n">
        <x:v>0</x:v>
      </x:c>
      <x:c r="N561" t="str">
        <x:v>Fully Paid</x:v>
      </x:c>
      <x:c r="O561" t="str">
        <x:f>IF(D561="","Unknown",IF(D561&lt;25000,"&lt;$25k",IF(D561&lt;50000,"$25k-$50k",IF(D561&lt;75000,"$50k-$75k",IF(D561&lt;100000,"$75k-$100k","$100k+")))))</x:f>
        <x:v>$25k-$50k</x:v>
      </x:c>
      <x:c r="P561" t="str">
        <x:f>IF(E561="","Unknown",IF(E561&lt;10,"&lt;10",IF(E561&lt;20,"10-&lt;20",IF(E561&lt;25,"20-&lt;25",IF(E561&lt;35,"25-&lt;35","35+")))))</x:f>
        <x:v>25-&lt;35</x:v>
      </x:c>
    </x:row>
    <x:row r="562">
      <x:c r="A562" t="str">
        <x:v>SYN0000561</x:v>
      </x:c>
      <x:c r="B562" s="12" t="n">
        <x:v>42145</x:v>
      </x:c>
      <x:c r="C562" s="18" t="n">
        <x:v>11563</x:v>
      </x:c>
      <x:c r="D562" s="18" t="n">
        <x:v>181808</x:v>
      </x:c>
      <x:c r="E562" s="18" t="n">
        <x:v>18.8</x:v>
      </x:c>
      <x:c r="F562" s="18" t="n">
        <x:v>7.1</x:v>
      </x:c>
      <x:c r="G562" t="n">
        <x:v>36</x:v>
      </x:c>
      <x:c r="H562" t="str">
        <x:v>A</x:v>
      </x:c>
      <x:c r="I562" t="str">
        <x:v>7-9 years</x:v>
      </x:c>
      <x:c r="J562" t="str">
        <x:v>RENT</x:v>
      </x:c>
      <x:c r="K562" t="str">
        <x:v>credit_card</x:v>
      </x:c>
      <x:c r="L562" t="n">
        <x:v>1</x:v>
      </x:c>
      <x:c r="M562" t="n">
        <x:v>0</x:v>
      </x:c>
      <x:c r="N562" t="str">
        <x:v>Fully Paid</x:v>
      </x:c>
      <x:c r="O562" t="str">
        <x:f>IF(D562="","Unknown",IF(D562&lt;25000,"&lt;$25k",IF(D562&lt;50000,"$25k-$50k",IF(D562&lt;75000,"$50k-$75k",IF(D562&lt;100000,"$75k-$100k","$100k+")))))</x:f>
        <x:v>$100k+</x:v>
      </x:c>
      <x:c r="P562" t="str">
        <x:f>IF(E562="","Unknown",IF(E562&lt;10,"&lt;10",IF(E562&lt;20,"10-&lt;20",IF(E562&lt;25,"20-&lt;25",IF(E562&lt;35,"25-&lt;35","35+")))))</x:f>
        <x:v>10-&lt;20</x:v>
      </x:c>
    </x:row>
    <x:row r="563">
      <x:c r="A563" t="str">
        <x:v>SYN0000562</x:v>
      </x:c>
      <x:c r="B563" s="12" t="n">
        <x:v>41365</x:v>
      </x:c>
      <x:c r="C563" s="18" t="n">
        <x:v>9190</x:v>
      </x:c>
      <x:c r="D563" s="18" t="n">
        <x:v>52641</x:v>
      </x:c>
      <x:c r="E563" s="18" t="n">
        <x:v>21.5</x:v>
      </x:c>
      <x:c r="F563" s="18" t="n">
        <x:v>7.06</x:v>
      </x:c>
      <x:c r="G563" t="n">
        <x:v>36</x:v>
      </x:c>
      <x:c r="H563" t="str">
        <x:v>B</x:v>
      </x:c>
      <x:c r="I563" t="str">
        <x:v>7-9 years</x:v>
      </x:c>
      <x:c r="J563" t="str">
        <x:v>MORTGAGE</x:v>
      </x:c>
      <x:c r="K563" t="str">
        <x:v>credit_card</x:v>
      </x:c>
      <x:c r="L563" t="n">
        <x:v>1</x:v>
      </x:c>
      <x:c r="M563" t="n">
        <x:v>0</x:v>
      </x:c>
      <x:c r="N563" t="str">
        <x:v>Fully Paid</x:v>
      </x:c>
      <x:c r="O563" t="str">
        <x:f>IF(D563="","Unknown",IF(D563&lt;25000,"&lt;$25k",IF(D563&lt;50000,"$25k-$50k",IF(D563&lt;75000,"$50k-$75k",IF(D563&lt;100000,"$75k-$100k","$100k+")))))</x:f>
        <x:v>$50k-$75k</x:v>
      </x:c>
      <x:c r="P563" t="str">
        <x:f>IF(E563="","Unknown",IF(E563&lt;10,"&lt;10",IF(E563&lt;20,"10-&lt;20",IF(E563&lt;25,"20-&lt;25",IF(E563&lt;35,"25-&lt;35","35+")))))</x:f>
        <x:v>20-&lt;25</x:v>
      </x:c>
    </x:row>
    <x:row r="564">
      <x:c r="A564" t="str">
        <x:v>SYN0000563</x:v>
      </x:c>
      <x:c r="B564" s="12" t="n">
        <x:v>41365</x:v>
      </x:c>
      <x:c r="C564" s="18" t="n">
        <x:v>13392</x:v>
      </x:c>
      <x:c r="D564" s="18" t="n">
        <x:v>92352</x:v>
      </x:c>
      <x:c r="E564" s="18" t="n">
        <x:v>28.42</x:v>
      </x:c>
      <x:c r="F564" s="18" t="n">
        <x:v>18.17</x:v>
      </x:c>
      <x:c r="G564" t="n">
        <x:v>36</x:v>
      </x:c>
      <x:c r="H564" t="str">
        <x:v>D</x:v>
      </x:c>
      <x:c r="I564" t="str">
        <x:v>1-3 years</x:v>
      </x:c>
      <x:c r="J564" t="str">
        <x:v>MORTGAGE</x:v>
      </x:c>
      <x:c r="K564" t="str">
        <x:v>credit_card</x:v>
      </x:c>
      <x:c r="L564" t="n">
        <x:v>0</x:v>
      </x:c>
      <x:c r="M564" t="n">
        <x:v>0</x:v>
      </x:c>
      <x:c r="N564" t="str">
        <x:v>Fully Paid</x:v>
      </x:c>
      <x:c r="O564" t="str">
        <x:f>IF(D564="","Unknown",IF(D564&lt;25000,"&lt;$25k",IF(D564&lt;50000,"$25k-$50k",IF(D564&lt;75000,"$50k-$75k",IF(D564&lt;100000,"$75k-$100k","$100k+")))))</x:f>
        <x:v>$75k-$100k</x:v>
      </x:c>
      <x:c r="P564" t="str">
        <x:f>IF(E564="","Unknown",IF(E564&lt;10,"&lt;10",IF(E564&lt;20,"10-&lt;20",IF(E564&lt;25,"20-&lt;25",IF(E564&lt;35,"25-&lt;35","35+")))))</x:f>
        <x:v>25-&lt;35</x:v>
      </x:c>
    </x:row>
    <x:row r="565">
      <x:c r="A565" t="str">
        <x:v>SYN0000564</x:v>
      </x:c>
      <x:c r="B565" s="12" t="n">
        <x:v>42355</x:v>
      </x:c>
      <x:c r="C565" s="18" t="n">
        <x:v>5273</x:v>
      </x:c>
      <x:c r="D565" s="18" t="n">
        <x:v>63695</x:v>
      </x:c>
      <x:c r="E565" s="18" t="n">
        <x:v>26.02</x:v>
      </x:c>
      <x:c r="F565" s="18" t="n">
        <x:v>11.75</x:v>
      </x:c>
      <x:c r="G565" t="n">
        <x:v>36</x:v>
      </x:c>
      <x:c r="H565" t="str">
        <x:v>C</x:v>
      </x:c>
      <x:c r="I565" t="str">
        <x:v>10+ years</x:v>
      </x:c>
      <x:c r="J565" t="str">
        <x:v>RENT</x:v>
      </x:c>
      <x:c r="K565" t="str">
        <x:v>major_purchase</x:v>
      </x:c>
      <x:c r="L565" t="n">
        <x:v>1</x:v>
      </x:c>
      <x:c r="M565" t="n">
        <x:v>0</x:v>
      </x:c>
      <x:c r="N565" t="str">
        <x:v>Fully Paid</x:v>
      </x:c>
      <x:c r="O565" t="str">
        <x:f>IF(D565="","Unknown",IF(D565&lt;25000,"&lt;$25k",IF(D565&lt;50000,"$25k-$50k",IF(D565&lt;75000,"$50k-$75k",IF(D565&lt;100000,"$75k-$100k","$100k+")))))</x:f>
        <x:v>$50k-$75k</x:v>
      </x:c>
      <x:c r="P565" t="str">
        <x:f>IF(E565="","Unknown",IF(E565&lt;10,"&lt;10",IF(E565&lt;20,"10-&lt;20",IF(E565&lt;25,"20-&lt;25",IF(E565&lt;35,"25-&lt;35","35+")))))</x:f>
        <x:v>25-&lt;35</x:v>
      </x:c>
    </x:row>
    <x:row r="566">
      <x:c r="A566" t="str">
        <x:v>SYN0000565</x:v>
      </x:c>
      <x:c r="B566" s="12" t="n">
        <x:v>42865</x:v>
      </x:c>
      <x:c r="C566" s="18" t="n">
        <x:v>7096</x:v>
      </x:c>
      <x:c r="D566" s="18" t="n">
        <x:v>32271</x:v>
      </x:c>
      <x:c r="E566" s="18" t="n">
        <x:v>14.95</x:v>
      </x:c>
      <x:c r="F566" s="18" t="n">
        <x:v>5.43</x:v>
      </x:c>
      <x:c r="G566" t="n">
        <x:v>36</x:v>
      </x:c>
      <x:c r="H566" t="str">
        <x:v>A</x:v>
      </x:c>
      <x:c r="I566" t="str">
        <x:v>1-3 years</x:v>
      </x:c>
      <x:c r="J566" t="str">
        <x:v>RENT</x:v>
      </x:c>
      <x:c r="K566" t="str">
        <x:v>credit_card</x:v>
      </x:c>
      <x:c r="L566" t="n">
        <x:v>0</x:v>
      </x:c>
      <x:c r="M566" t="n">
        <x:v>0</x:v>
      </x:c>
      <x:c r="N566" t="str">
        <x:v>Fully Paid</x:v>
      </x:c>
      <x:c r="O566" t="str">
        <x:f>IF(D566="","Unknown",IF(D566&lt;25000,"&lt;$25k",IF(D566&lt;50000,"$25k-$50k",IF(D566&lt;75000,"$50k-$75k",IF(D566&lt;100000,"$75k-$100k","$100k+")))))</x:f>
        <x:v>$25k-$50k</x:v>
      </x:c>
      <x:c r="P566" t="str">
        <x:f>IF(E566="","Unknown",IF(E566&lt;10,"&lt;10",IF(E566&lt;20,"10-&lt;20",IF(E566&lt;25,"20-&lt;25",IF(E566&lt;35,"25-&lt;35","35+")))))</x:f>
        <x:v>10-&lt;20</x:v>
      </x:c>
    </x:row>
    <x:row r="567">
      <x:c r="A567" t="str">
        <x:v>SYN0000566</x:v>
      </x:c>
      <x:c r="B567" s="12" t="n">
        <x:v>43405</x:v>
      </x:c>
      <x:c r="C567" s="18" t="n">
        <x:v>14096</x:v>
      </x:c>
      <x:c r="D567" s="18" t="n">
        <x:v>32871</x:v>
      </x:c>
      <x:c r="E567" s="18" t="n">
        <x:v>14.77</x:v>
      </x:c>
      <x:c r="F567" s="18" t="n">
        <x:v>17.37</x:v>
      </x:c>
      <x:c r="G567" t="n">
        <x:v>60</x:v>
      </x:c>
      <x:c r="H567" t="str">
        <x:v>E</x:v>
      </x:c>
      <x:c r="I567" t="str">
        <x:v>7-9 years</x:v>
      </x:c>
      <x:c r="J567" t="str">
        <x:v>OWN</x:v>
      </x:c>
      <x:c r="K567" t="str">
        <x:v>home_improvement</x:v>
      </x:c>
      <x:c r="L567" t="n">
        <x:v>0</x:v>
      </x:c>
      <x:c r="M567" t="n">
        <x:v>0</x:v>
      </x:c>
      <x:c r="N567" t="str">
        <x:v>Fully Paid</x:v>
      </x:c>
      <x:c r="O567" t="str">
        <x:f>IF(D567="","Unknown",IF(D567&lt;25000,"&lt;$25k",IF(D567&lt;50000,"$25k-$50k",IF(D567&lt;75000,"$50k-$75k",IF(D567&lt;100000,"$75k-$100k","$100k+")))))</x:f>
        <x:v>$25k-$50k</x:v>
      </x:c>
      <x:c r="P567" t="str">
        <x:f>IF(E567="","Unknown",IF(E567&lt;10,"&lt;10",IF(E567&lt;20,"10-&lt;20",IF(E567&lt;25,"20-&lt;25",IF(E567&lt;35,"25-&lt;35","35+")))))</x:f>
        <x:v>10-&lt;20</x:v>
      </x:c>
    </x:row>
    <x:row r="568">
      <x:c r="A568" t="str">
        <x:v>SYN0000567</x:v>
      </x:c>
      <x:c r="B568" s="12" t="n">
        <x:v>43165</x:v>
      </x:c>
      <x:c r="C568" s="18" t="n">
        <x:v>8350</x:v>
      </x:c>
      <x:c r="D568" s="18" t="n">
        <x:v>27655</x:v>
      </x:c>
      <x:c r="E568" s="18" t="n">
        <x:v>29.8</x:v>
      </x:c>
      <x:c r="F568" s="18" t="n">
        <x:v>12.67</x:v>
      </x:c>
      <x:c r="G568" t="n">
        <x:v>36</x:v>
      </x:c>
      <x:c r="H568" t="str">
        <x:v>C</x:v>
      </x:c>
      <x:c r="I568" t="str">
        <x:v>10+ years</x:v>
      </x:c>
      <x:c r="J568" t="str">
        <x:v>MORTGAGE</x:v>
      </x:c>
      <x:c r="K568" t="str">
        <x:v>debt_consolidation</x:v>
      </x:c>
      <x:c r="L568" t="n">
        <x:v>0</x:v>
      </x:c>
      <x:c r="M568" t="n">
        <x:v>0</x:v>
      </x:c>
      <x:c r="N568" t="str">
        <x:v>Fully Paid</x:v>
      </x:c>
      <x:c r="O568" t="str">
        <x:f>IF(D568="","Unknown",IF(D568&lt;25000,"&lt;$25k",IF(D568&lt;50000,"$25k-$50k",IF(D568&lt;75000,"$50k-$75k",IF(D568&lt;100000,"$75k-$100k","$100k+")))))</x:f>
        <x:v>$25k-$50k</x:v>
      </x:c>
      <x:c r="P568" t="str">
        <x:f>IF(E568="","Unknown",IF(E568&lt;10,"&lt;10",IF(E568&lt;20,"10-&lt;20",IF(E568&lt;25,"20-&lt;25",IF(E568&lt;35,"25-&lt;35","35+")))))</x:f>
        <x:v>25-&lt;35</x:v>
      </x:c>
    </x:row>
    <x:row r="569">
      <x:c r="A569" t="str">
        <x:v>SYN0000568</x:v>
      </x:c>
      <x:c r="B569" s="12" t="n">
        <x:v>42415</x:v>
      </x:c>
      <x:c r="C569" s="18" t="n">
        <x:v>14502</x:v>
      </x:c>
      <x:c r="D569" s="18" t="n">
        <x:v>15753</x:v>
      </x:c>
      <x:c r="E569" s="18" t="n">
        <x:v>21.36</x:v>
      </x:c>
      <x:c r="F569" s="18" t="n">
        <x:v>15.66</x:v>
      </x:c>
      <x:c r="G569" t="n">
        <x:v>60</x:v>
      </x:c>
      <x:c r="H569" t="str">
        <x:v>D</x:v>
      </x:c>
      <x:c r="I569" t="str">
        <x:v>1-3 years</x:v>
      </x:c>
      <x:c r="J569" t="str">
        <x:v>RENT</x:v>
      </x:c>
      <x:c r="K569" t="str">
        <x:v>major_purchase</x:v>
      </x:c>
      <x:c r="L569" t="n">
        <x:v>0</x:v>
      </x:c>
      <x:c r="M569" t="n">
        <x:v>0</x:v>
      </x:c>
      <x:c r="N569" t="str">
        <x:v>Fully Paid</x:v>
      </x:c>
      <x:c r="O569" t="str">
        <x:f>IF(D569="","Unknown",IF(D569&lt;25000,"&lt;$25k",IF(D569&lt;50000,"$25k-$50k",IF(D569&lt;75000,"$50k-$75k",IF(D569&lt;100000,"$75k-$100k","$100k+")))))</x:f>
        <x:v>&lt;$25k</x:v>
      </x:c>
      <x:c r="P569" t="str">
        <x:f>IF(E569="","Unknown",IF(E569&lt;10,"&lt;10",IF(E569&lt;20,"10-&lt;20",IF(E569&lt;25,"20-&lt;25",IF(E569&lt;35,"25-&lt;35","35+")))))</x:f>
        <x:v>20-&lt;25</x:v>
      </x:c>
    </x:row>
    <x:row r="570">
      <x:c r="A570" t="str">
        <x:v>SYN0000569</x:v>
      </x:c>
      <x:c r="B570" s="12" t="n">
        <x:v>42685</x:v>
      </x:c>
      <x:c r="C570" s="18" t="n">
        <x:v>7546</x:v>
      </x:c>
      <x:c r="D570" s="18" t="n">
        <x:v>30126</x:v>
      </x:c>
      <x:c r="E570" s="18" t="n">
        <x:v>24.7</x:v>
      </x:c>
      <x:c r="F570" s="18" t="n">
        <x:v>11.43</x:v>
      </x:c>
      <x:c r="G570" t="n">
        <x:v>36</x:v>
      </x:c>
      <x:c r="H570" t="str">
        <x:v>D</x:v>
      </x:c>
      <x:c r="I570" t="str">
        <x:v>4-6 years</x:v>
      </x:c>
      <x:c r="J570" t="str">
        <x:v>MORTGAGE</x:v>
      </x:c>
      <x:c r="K570" t="str">
        <x:v>medical</x:v>
      </x:c>
      <x:c r="L570" t="n">
        <x:v>0</x:v>
      </x:c>
      <x:c r="M570" t="n">
        <x:v>0</x:v>
      </x:c>
      <x:c r="N570" t="str">
        <x:v>Fully Paid</x:v>
      </x:c>
      <x:c r="O570" t="str">
        <x:f>IF(D570="","Unknown",IF(D570&lt;25000,"&lt;$25k",IF(D570&lt;50000,"$25k-$50k",IF(D570&lt;75000,"$50k-$75k",IF(D570&lt;100000,"$75k-$100k","$100k+")))))</x:f>
        <x:v>$25k-$50k</x:v>
      </x:c>
      <x:c r="P570" t="str">
        <x:f>IF(E570="","Unknown",IF(E570&lt;10,"&lt;10",IF(E570&lt;20,"10-&lt;20",IF(E570&lt;25,"20-&lt;25",IF(E570&lt;35,"25-&lt;35","35+")))))</x:f>
        <x:v>20-&lt;25</x:v>
      </x:c>
    </x:row>
    <x:row r="571">
      <x:c r="A571" t="str">
        <x:v>SYN0000570</x:v>
      </x:c>
      <x:c r="B571" s="12" t="n">
        <x:v>43345</x:v>
      </x:c>
      <x:c r="C571" s="18" t="n">
        <x:v>31539</x:v>
      </x:c>
      <x:c r="D571" s="18" t="n">
        <x:v>54227</x:v>
      </x:c>
      <x:c r="E571" s="18" t="n">
        <x:v>11.03</x:v>
      </x:c>
      <x:c r="F571" s="18" t="n">
        <x:v>22.28</x:v>
      </x:c>
      <x:c r="G571" t="n">
        <x:v>36</x:v>
      </x:c>
      <x:c r="H571" t="str">
        <x:v>F</x:v>
      </x:c>
      <x:c r="I571" t="str">
        <x:v>10+ years</x:v>
      </x:c>
      <x:c r="J571" t="str">
        <x:v>RENT</x:v>
      </x:c>
      <x:c r="K571" t="str">
        <x:v>debt_consolidation</x:v>
      </x:c>
      <x:c r="L571" t="n">
        <x:v>0</x:v>
      </x:c>
      <x:c r="M571" t="n">
        <x:v>0</x:v>
      </x:c>
      <x:c r="N571" t="str">
        <x:v>Fully Paid</x:v>
      </x:c>
      <x:c r="O571" t="str">
        <x:f>IF(D571="","Unknown",IF(D571&lt;25000,"&lt;$25k",IF(D571&lt;50000,"$25k-$50k",IF(D571&lt;75000,"$50k-$75k",IF(D571&lt;100000,"$75k-$100k","$100k+")))))</x:f>
        <x:v>$50k-$75k</x:v>
      </x:c>
      <x:c r="P571" t="str">
        <x:f>IF(E571="","Unknown",IF(E571&lt;10,"&lt;10",IF(E571&lt;20,"10-&lt;20",IF(E571&lt;25,"20-&lt;25",IF(E571&lt;35,"25-&lt;35","35+")))))</x:f>
        <x:v>10-&lt;20</x:v>
      </x:c>
    </x:row>
    <x:row r="572">
      <x:c r="A572" t="str">
        <x:v>SYN0000571</x:v>
      </x:c>
      <x:c r="B572" s="12" t="n">
        <x:v>41875</x:v>
      </x:c>
      <x:c r="C572" s="18" t="n">
        <x:v>5833</x:v>
      </x:c>
      <x:c r="D572" s="18" t="n">
        <x:v>23857</x:v>
      </x:c>
      <x:c r="E572" s="18" t="n">
        <x:v>5.86</x:v>
      </x:c>
      <x:c r="F572" s="18" t="n">
        <x:v>11.58</x:v>
      </x:c>
      <x:c r="G572" t="n">
        <x:v>36</x:v>
      </x:c>
      <x:c r="H572" t="str">
        <x:v>D</x:v>
      </x:c>
      <x:c r="I572" t="str">
        <x:v>10+ years</x:v>
      </x:c>
      <x:c r="J572" t="str">
        <x:v>MORTGAGE</x:v>
      </x:c>
      <x:c r="K572" t="str">
        <x:v>debt_consolidation</x:v>
      </x:c>
      <x:c r="L572" t="n">
        <x:v>0</x:v>
      </x:c>
      <x:c r="M572" t="n">
        <x:v>0</x:v>
      </x:c>
      <x:c r="N572" t="str">
        <x:v>Fully Paid</x:v>
      </x:c>
      <x:c r="O572" t="str">
        <x:f>IF(D572="","Unknown",IF(D572&lt;25000,"&lt;$25k",IF(D572&lt;50000,"$25k-$50k",IF(D572&lt;75000,"$50k-$75k",IF(D572&lt;100000,"$75k-$100k","$100k+")))))</x:f>
        <x:v>&lt;$25k</x:v>
      </x:c>
      <x:c r="P572" t="str">
        <x:f>IF(E572="","Unknown",IF(E572&lt;10,"&lt;10",IF(E572&lt;20,"10-&lt;20",IF(E572&lt;25,"20-&lt;25",IF(E572&lt;35,"25-&lt;35","35+")))))</x:f>
        <x:v>&lt;10</x:v>
      </x:c>
    </x:row>
    <x:row r="573">
      <x:c r="A573" t="str">
        <x:v>SYN0000572</x:v>
      </x:c>
      <x:c r="B573" s="12" t="n">
        <x:v>42085</x:v>
      </x:c>
      <x:c r="C573" s="18" t="n">
        <x:v>9052</x:v>
      </x:c>
      <x:c r="D573" s="18" t="n">
        <x:v>43466</x:v>
      </x:c>
      <x:c r="E573" s="18" t="n">
        <x:v>19.34</x:v>
      </x:c>
      <x:c r="F573" s="18" t="n">
        <x:v>12.15</x:v>
      </x:c>
      <x:c r="G573" t="n">
        <x:v>36</x:v>
      </x:c>
      <x:c r="H573" t="str">
        <x:v>C</x:v>
      </x:c>
      <x:c r="I573" t="str">
        <x:v>10+ years</x:v>
      </x:c>
      <x:c r="J573" t="str">
        <x:v>MORTGAGE</x:v>
      </x:c>
      <x:c r="K573" t="str">
        <x:v>credit_card</x:v>
      </x:c>
      <x:c r="L573" t="n">
        <x:v>0</x:v>
      </x:c>
      <x:c r="M573" t="n">
        <x:v>0</x:v>
      </x:c>
      <x:c r="N573" t="str">
        <x:v>Fully Paid</x:v>
      </x:c>
      <x:c r="O573" t="str">
        <x:f>IF(D573="","Unknown",IF(D573&lt;25000,"&lt;$25k",IF(D573&lt;50000,"$25k-$50k",IF(D573&lt;75000,"$50k-$75k",IF(D573&lt;100000,"$75k-$100k","$100k+")))))</x:f>
        <x:v>$25k-$50k</x:v>
      </x:c>
      <x:c r="P573" t="str">
        <x:f>IF(E573="","Unknown",IF(E573&lt;10,"&lt;10",IF(E573&lt;20,"10-&lt;20",IF(E573&lt;25,"20-&lt;25",IF(E573&lt;35,"25-&lt;35","35+")))))</x:f>
        <x:v>10-&lt;20</x:v>
      </x:c>
    </x:row>
    <x:row r="574">
      <x:c r="A574" t="str">
        <x:v>SYN0000573</x:v>
      </x:c>
      <x:c r="B574" s="12" t="n">
        <x:v>43105</x:v>
      </x:c>
      <x:c r="C574" s="18" t="n">
        <x:v>7214</x:v>
      </x:c>
      <x:c r="D574" s="18" t="n">
        <x:v>58535</x:v>
      </x:c>
      <x:c r="E574" s="18" t="n">
        <x:v>18.11</x:v>
      </x:c>
      <x:c r="F574" s="18" t="n">
        <x:v>10.78</x:v>
      </x:c>
      <x:c r="G574" t="n">
        <x:v>36</x:v>
      </x:c>
      <x:c r="H574" t="str">
        <x:v>C</x:v>
      </x:c>
      <x:c r="I574" t="str">
        <x:v>1-3 years</x:v>
      </x:c>
      <x:c r="J574" t="str">
        <x:v>OWN</x:v>
      </x:c>
      <x:c r="K574" t="str">
        <x:v>home_improvement</x:v>
      </x:c>
      <x:c r="L574" t="n">
        <x:v>1</x:v>
      </x:c>
      <x:c r="M574" t="n">
        <x:v>0</x:v>
      </x:c>
      <x:c r="N574" t="str">
        <x:v>Fully Paid</x:v>
      </x:c>
      <x:c r="O574" t="str">
        <x:f>IF(D574="","Unknown",IF(D574&lt;25000,"&lt;$25k",IF(D574&lt;50000,"$25k-$50k",IF(D574&lt;75000,"$50k-$75k",IF(D574&lt;100000,"$75k-$100k","$100k+")))))</x:f>
        <x:v>$50k-$75k</x:v>
      </x:c>
      <x:c r="P574" t="str">
        <x:f>IF(E574="","Unknown",IF(E574&lt;10,"&lt;10",IF(E574&lt;20,"10-&lt;20",IF(E574&lt;25,"20-&lt;25",IF(E574&lt;35,"25-&lt;35","35+")))))</x:f>
        <x:v>10-&lt;20</x:v>
      </x:c>
    </x:row>
    <x:row r="575">
      <x:c r="A575" t="str">
        <x:v>SYN0000574</x:v>
      </x:c>
      <x:c r="B575" s="12" t="n">
        <x:v>41575</x:v>
      </x:c>
      <x:c r="C575" s="18" t="n">
        <x:v>23501</x:v>
      </x:c>
      <x:c r="D575" s="18" t="n">
        <x:v>45765</x:v>
      </x:c>
      <x:c r="E575" s="18" t="n">
        <x:v>13.85</x:v>
      </x:c>
      <x:c r="F575" s="18" t="n">
        <x:v>18.7</x:v>
      </x:c>
      <x:c r="G575" t="n">
        <x:v>60</x:v>
      </x:c>
      <x:c r="H575" t="str">
        <x:v>D</x:v>
      </x:c>
      <x:c r="I575" t="str">
        <x:v>1-3 years</x:v>
      </x:c>
      <x:c r="J575" t="str">
        <x:v>OWN</x:v>
      </x:c>
      <x:c r="K575" t="str">
        <x:v>medical</x:v>
      </x:c>
      <x:c r="L575" t="n">
        <x:v>1</x:v>
      </x:c>
      <x:c r="M575" t="n">
        <x:v>0</x:v>
      </x:c>
      <x:c r="N575" t="str">
        <x:v>Fully Paid</x:v>
      </x:c>
      <x:c r="O575" t="str">
        <x:f>IF(D575="","Unknown",IF(D575&lt;25000,"&lt;$25k",IF(D575&lt;50000,"$25k-$50k",IF(D575&lt;75000,"$50k-$75k",IF(D575&lt;100000,"$75k-$100k","$100k+")))))</x:f>
        <x:v>$25k-$50k</x:v>
      </x:c>
      <x:c r="P575" t="str">
        <x:f>IF(E575="","Unknown",IF(E575&lt;10,"&lt;10",IF(E575&lt;20,"10-&lt;20",IF(E575&lt;25,"20-&lt;25",IF(E575&lt;35,"25-&lt;35","35+")))))</x:f>
        <x:v>10-&lt;20</x:v>
      </x:c>
    </x:row>
    <x:row r="576">
      <x:c r="A576" t="str">
        <x:v>SYN0000575</x:v>
      </x:c>
      <x:c r="B576" s="12" t="n">
        <x:v>41335</x:v>
      </x:c>
      <x:c r="C576" s="18" t="n">
        <x:v>3397</x:v>
      </x:c>
      <x:c r="D576" s="18" t="n">
        <x:v>73408</x:v>
      </x:c>
      <x:c r="E576" s="18" t="n">
        <x:v>18.63</x:v>
      </x:c>
      <x:c r="F576" s="18" t="n">
        <x:v>12.2</x:v>
      </x:c>
      <x:c r="G576" t="n">
        <x:v>36</x:v>
      </x:c>
      <x:c r="H576" t="str">
        <x:v>C</x:v>
      </x:c>
      <x:c r="I576" t="str">
        <x:v>1-3 years</x:v>
      </x:c>
      <x:c r="J576" t="str">
        <x:v>OWN</x:v>
      </x:c>
      <x:c r="K576" t="str">
        <x:v>debt_consolidation</x:v>
      </x:c>
      <x:c r="L576" t="n">
        <x:v>0</x:v>
      </x:c>
      <x:c r="M576" t="n">
        <x:v>0</x:v>
      </x:c>
      <x:c r="N576" t="str">
        <x:v>Fully Paid</x:v>
      </x:c>
      <x:c r="O576" t="str">
        <x:f>IF(D576="","Unknown",IF(D576&lt;25000,"&lt;$25k",IF(D576&lt;50000,"$25k-$50k",IF(D576&lt;75000,"$50k-$75k",IF(D576&lt;100000,"$75k-$100k","$100k+")))))</x:f>
        <x:v>$50k-$75k</x:v>
      </x:c>
      <x:c r="P576" t="str">
        <x:f>IF(E576="","Unknown",IF(E576&lt;10,"&lt;10",IF(E576&lt;20,"10-&lt;20",IF(E576&lt;25,"20-&lt;25",IF(E576&lt;35,"25-&lt;35","35+")))))</x:f>
        <x:v>10-&lt;20</x:v>
      </x:c>
    </x:row>
    <x:row r="577">
      <x:c r="A577" t="str">
        <x:v>SYN0000576</x:v>
      </x:c>
      <x:c r="B577" s="12" t="n">
        <x:v>42445</x:v>
      </x:c>
      <x:c r="C577" s="18" t="n">
        <x:v>9726</x:v>
      </x:c>
      <x:c r="D577" s="18" t="n">
        <x:v>131495</x:v>
      </x:c>
      <x:c r="E577" s="18" t="n">
        <x:v>22.48</x:v>
      </x:c>
      <x:c r="F577" s="18" t="n">
        <x:v>11.34</x:v>
      </x:c>
      <x:c r="G577" t="n">
        <x:v>36</x:v>
      </x:c>
      <x:c r="H577" t="str">
        <x:v>C</x:v>
      </x:c>
      <x:c r="I577" t="str">
        <x:v>1-3 years</x:v>
      </x:c>
      <x:c r="J577" t="str">
        <x:v>OTHER</x:v>
      </x:c>
      <x:c r="K577" t="str">
        <x:v>debt_consolidation</x:v>
      </x:c>
      <x:c r="L577" t="n">
        <x:v>0</x:v>
      </x:c>
      <x:c r="M577" t="n">
        <x:v>0</x:v>
      </x:c>
      <x:c r="N577" t="str">
        <x:v>Fully Paid</x:v>
      </x:c>
      <x:c r="O577" t="str">
        <x:f>IF(D577="","Unknown",IF(D577&lt;25000,"&lt;$25k",IF(D577&lt;50000,"$25k-$50k",IF(D577&lt;75000,"$50k-$75k",IF(D577&lt;100000,"$75k-$100k","$100k+")))))</x:f>
        <x:v>$100k+</x:v>
      </x:c>
      <x:c r="P577" t="str">
        <x:f>IF(E577="","Unknown",IF(E577&lt;10,"&lt;10",IF(E577&lt;20,"10-&lt;20",IF(E577&lt;25,"20-&lt;25",IF(E577&lt;35,"25-&lt;35","35+")))))</x:f>
        <x:v>20-&lt;25</x:v>
      </x:c>
    </x:row>
    <x:row r="578">
      <x:c r="A578" t="str">
        <x:v>SYN0000577</x:v>
      </x:c>
      <x:c r="B578" s="12" t="n">
        <x:v>41905</x:v>
      </x:c>
      <x:c r="C578" s="18" t="n">
        <x:v>7700</x:v>
      </x:c>
      <x:c r="D578" s="18" t="n">
        <x:v>27474</x:v>
      </x:c>
      <x:c r="E578" s="18" t="n">
        <x:v>21.56</x:v>
      </x:c>
      <x:c r="F578" s="18" t="n">
        <x:v>6.7</x:v>
      </x:c>
      <x:c r="G578" t="n">
        <x:v>36</x:v>
      </x:c>
      <x:c r="H578" t="str">
        <x:v>A</x:v>
      </x:c>
      <x:c r="I578" t="str">
        <x:v>4-6 years</x:v>
      </x:c>
      <x:c r="J578" t="str">
        <x:v>MORTGAGE</x:v>
      </x:c>
      <x:c r="K578" t="str">
        <x:v>credit_card</x:v>
      </x:c>
      <x:c r="L578" t="n">
        <x:v>0</x:v>
      </x:c>
      <x:c r="M578" t="n">
        <x:v>0</x:v>
      </x:c>
      <x:c r="N578" t="str">
        <x:v>Fully Paid</x:v>
      </x:c>
      <x:c r="O578" t="str">
        <x:f>IF(D578="","Unknown",IF(D578&lt;25000,"&lt;$25k",IF(D578&lt;50000,"$25k-$50k",IF(D578&lt;75000,"$50k-$75k",IF(D578&lt;100000,"$75k-$100k","$100k+")))))</x:f>
        <x:v>$25k-$50k</x:v>
      </x:c>
      <x:c r="P578" t="str">
        <x:f>IF(E578="","Unknown",IF(E578&lt;10,"&lt;10",IF(E578&lt;20,"10-&lt;20",IF(E578&lt;25,"20-&lt;25",IF(E578&lt;35,"25-&lt;35","35+")))))</x:f>
        <x:v>20-&lt;25</x:v>
      </x:c>
    </x:row>
    <x:row r="579">
      <x:c r="A579" t="str">
        <x:v>SYN0000578</x:v>
      </x:c>
      <x:c r="B579" s="12" t="n">
        <x:v>43045</x:v>
      </x:c>
      <x:c r="C579" s="18" t="n">
        <x:v>11145</x:v>
      </x:c>
      <x:c r="D579" s="18" t="n">
        <x:v>39562</x:v>
      </x:c>
      <x:c r="E579" s="18" t="n">
        <x:v>38.15</x:v>
      </x:c>
      <x:c r="F579" s="18" t="n">
        <x:v>15.19</x:v>
      </x:c>
      <x:c r="G579" t="n">
        <x:v>36</x:v>
      </x:c>
      <x:c r="H579" t="str">
        <x:v>D</x:v>
      </x:c>
      <x:c r="I579" t="str">
        <x:v>1-3 years</x:v>
      </x:c>
      <x:c r="J579" t="str">
        <x:v>OWN</x:v>
      </x:c>
      <x:c r="K579" t="str">
        <x:v>debt_consolidation</x:v>
      </x:c>
      <x:c r="L579" t="n">
        <x:v>2</x:v>
      </x:c>
      <x:c r="M579" t="n">
        <x:v>0</x:v>
      </x:c>
      <x:c r="N579" t="str">
        <x:v>Fully Paid</x:v>
      </x:c>
      <x:c r="O579" t="str">
        <x:f>IF(D579="","Unknown",IF(D579&lt;25000,"&lt;$25k",IF(D579&lt;50000,"$25k-$50k",IF(D579&lt;75000,"$50k-$75k",IF(D579&lt;100000,"$75k-$100k","$100k+")))))</x:f>
        <x:v>$25k-$50k</x:v>
      </x:c>
      <x:c r="P579" t="str">
        <x:f>IF(E579="","Unknown",IF(E579&lt;10,"&lt;10",IF(E579&lt;20,"10-&lt;20",IF(E579&lt;25,"20-&lt;25",IF(E579&lt;35,"25-&lt;35","35+")))))</x:f>
        <x:v>35+</x:v>
      </x:c>
    </x:row>
    <x:row r="580">
      <x:c r="A580" t="str">
        <x:v>SYN0000579</x:v>
      </x:c>
      <x:c r="B580" s="12" t="n">
        <x:v>41995</x:v>
      </x:c>
      <x:c r="C580" s="18" t="n">
        <x:v>16969</x:v>
      </x:c>
      <x:c r="D580" s="18" t="n">
        <x:v>31270</x:v>
      </x:c>
      <x:c r="E580" s="18" t="n">
        <x:v>16.95</x:v>
      </x:c>
      <x:c r="F580" s="18" t="n">
        <x:v>14.61</x:v>
      </x:c>
      <x:c r="G580" t="n">
        <x:v>36</x:v>
      </x:c>
      <x:c r="H580" t="str">
        <x:v>D</x:v>
      </x:c>
      <x:c r="I580" t="str">
        <x:v>1-3 years</x:v>
      </x:c>
      <x:c r="J580" t="str">
        <x:v>RENT</x:v>
      </x:c>
      <x:c r="K580" t="str">
        <x:v>credit_card</x:v>
      </x:c>
      <x:c r="L580" t="n">
        <x:v>0</x:v>
      </x:c>
      <x:c r="M580" t="n">
        <x:v>0</x:v>
      </x:c>
      <x:c r="N580" t="str">
        <x:v>Fully Paid</x:v>
      </x:c>
      <x:c r="O580" t="str">
        <x:f>IF(D580="","Unknown",IF(D580&lt;25000,"&lt;$25k",IF(D580&lt;50000,"$25k-$50k",IF(D580&lt;75000,"$50k-$75k",IF(D580&lt;100000,"$75k-$100k","$100k+")))))</x:f>
        <x:v>$25k-$50k</x:v>
      </x:c>
      <x:c r="P580" t="str">
        <x:f>IF(E580="","Unknown",IF(E580&lt;10,"&lt;10",IF(E580&lt;20,"10-&lt;20",IF(E580&lt;25,"20-&lt;25",IF(E580&lt;35,"25-&lt;35","35+")))))</x:f>
        <x:v>10-&lt;20</x:v>
      </x:c>
    </x:row>
    <x:row r="581">
      <x:c r="A581" t="str">
        <x:v>SYN0000580</x:v>
      </x:c>
      <x:c r="B581" s="12" t="n">
        <x:v>41845</x:v>
      </x:c>
      <x:c r="C581" s="18" t="n">
        <x:v>12433</x:v>
      </x:c>
      <x:c r="D581" s="18" t="n">
        <x:v>52125</x:v>
      </x:c>
      <x:c r="E581" s="18" t="n">
        <x:v>28.1</x:v>
      </x:c>
      <x:c r="F581" s="18" t="n">
        <x:v>15.8</x:v>
      </x:c>
      <x:c r="G581" t="n">
        <x:v>60</x:v>
      </x:c>
      <x:c r="H581" t="str">
        <x:v>E</x:v>
      </x:c>
      <x:c r="I581" t="str">
        <x:v>4-6 years</x:v>
      </x:c>
      <x:c r="J581" t="str">
        <x:v>RENT</x:v>
      </x:c>
      <x:c r="K581" t="str">
        <x:v>debt_consolidation</x:v>
      </x:c>
      <x:c r="L581" t="n">
        <x:v>0</x:v>
      </x:c>
      <x:c r="M581" t="n">
        <x:v>0</x:v>
      </x:c>
      <x:c r="N581" t="str">
        <x:v>Fully Paid</x:v>
      </x:c>
      <x:c r="O581" t="str">
        <x:f>IF(D581="","Unknown",IF(D581&lt;25000,"&lt;$25k",IF(D581&lt;50000,"$25k-$50k",IF(D581&lt;75000,"$50k-$75k",IF(D581&lt;100000,"$75k-$100k","$100k+")))))</x:f>
        <x:v>$50k-$75k</x:v>
      </x:c>
      <x:c r="P581" t="str">
        <x:f>IF(E581="","Unknown",IF(E581&lt;10,"&lt;10",IF(E581&lt;20,"10-&lt;20",IF(E581&lt;25,"20-&lt;25",IF(E581&lt;35,"25-&lt;35","35+")))))</x:f>
        <x:v>25-&lt;35</x:v>
      </x:c>
    </x:row>
    <x:row r="582">
      <x:c r="A582" t="str">
        <x:v>SYN0000581</x:v>
      </x:c>
      <x:c r="B582" s="12" t="n">
        <x:v>41635</x:v>
      </x:c>
      <x:c r="C582" s="18" t="n">
        <x:v>11061</x:v>
      </x:c>
      <x:c r="D582" s="18" t="n">
        <x:v>67343</x:v>
      </x:c>
      <x:c r="E582" s="18" t="n">
        <x:v>24.57</x:v>
      </x:c>
      <x:c r="F582" s="18" t="n">
        <x:v>15.21</x:v>
      </x:c>
      <x:c r="G582" t="n">
        <x:v>36</x:v>
      </x:c>
      <x:c r="H582" t="str">
        <x:v>E</x:v>
      </x:c>
      <x:c r="I582" t="str">
        <x:v>7-9 years</x:v>
      </x:c>
      <x:c r="J582" t="str">
        <x:v>MORTGAGE</x:v>
      </x:c>
      <x:c r="K582" t="str">
        <x:v>credit_card</x:v>
      </x:c>
      <x:c r="L582" t="n">
        <x:v>0</x:v>
      </x:c>
      <x:c r="M582" t="n">
        <x:v>0</x:v>
      </x:c>
      <x:c r="N582" t="str">
        <x:v>Fully Paid</x:v>
      </x:c>
      <x:c r="O582" t="str">
        <x:f>IF(D582="","Unknown",IF(D582&lt;25000,"&lt;$25k",IF(D582&lt;50000,"$25k-$50k",IF(D582&lt;75000,"$50k-$75k",IF(D582&lt;100000,"$75k-$100k","$100k+")))))</x:f>
        <x:v>$50k-$75k</x:v>
      </x:c>
      <x:c r="P582" t="str">
        <x:f>IF(E582="","Unknown",IF(E582&lt;10,"&lt;10",IF(E582&lt;20,"10-&lt;20",IF(E582&lt;25,"20-&lt;25",IF(E582&lt;35,"25-&lt;35","35+")))))</x:f>
        <x:v>20-&lt;25</x:v>
      </x:c>
    </x:row>
    <x:row r="583">
      <x:c r="A583" t="str">
        <x:v>SYN0000582</x:v>
      </x:c>
      <x:c r="B583" s="12" t="n">
        <x:v>41455</x:v>
      </x:c>
      <x:c r="C583" s="18" t="n">
        <x:v>6311</x:v>
      </x:c>
      <x:c r="D583" s="18" t="n">
        <x:v>65802</x:v>
      </x:c>
      <x:c r="E583" s="18" t="n">
        <x:v>8</x:v>
      </x:c>
      <x:c r="F583" s="18" t="n">
        <x:v>14.47</x:v>
      </x:c>
      <x:c r="G583" t="n">
        <x:v>36</x:v>
      </x:c>
      <x:c r="H583" t="str">
        <x:v>E</x:v>
      </x:c>
      <x:c r="I583" t="str">
        <x:v>7-9 years</x:v>
      </x:c>
      <x:c r="J583" t="str">
        <x:v>MORTGAGE</x:v>
      </x:c>
      <x:c r="K583" t="str">
        <x:v>credit_card</x:v>
      </x:c>
      <x:c r="L583" t="n">
        <x:v>0</x:v>
      </x:c>
      <x:c r="M583" t="n">
        <x:v>0</x:v>
      </x:c>
      <x:c r="N583" t="str">
        <x:v>Fully Paid</x:v>
      </x:c>
      <x:c r="O583" t="str">
        <x:f>IF(D583="","Unknown",IF(D583&lt;25000,"&lt;$25k",IF(D583&lt;50000,"$25k-$50k",IF(D583&lt;75000,"$50k-$75k",IF(D583&lt;100000,"$75k-$100k","$100k+")))))</x:f>
        <x:v>$50k-$75k</x:v>
      </x:c>
      <x:c r="P583" t="str">
        <x:f>IF(E583="","Unknown",IF(E583&lt;10,"&lt;10",IF(E583&lt;20,"10-&lt;20",IF(E583&lt;25,"20-&lt;25",IF(E583&lt;35,"25-&lt;35","35+")))))</x:f>
        <x:v>&lt;10</x:v>
      </x:c>
    </x:row>
    <x:row r="584">
      <x:c r="A584" t="str">
        <x:v>SYN0000583</x:v>
      </x:c>
      <x:c r="B584" s="12" t="n">
        <x:v>43375</x:v>
      </x:c>
      <x:c r="C584" s="18" t="n">
        <x:v>27029</x:v>
      </x:c>
      <x:c r="D584" s="18" t="n">
        <x:v>57440</x:v>
      </x:c>
      <x:c r="E584" s="18" t="n">
        <x:v>30.25</x:v>
      </x:c>
      <x:c r="F584" s="18" t="n">
        <x:v>23.52</x:v>
      </x:c>
      <x:c r="G584" t="n">
        <x:v>60</x:v>
      </x:c>
      <x:c r="H584" t="str">
        <x:v>F</x:v>
      </x:c>
      <x:c r="I584" t="str">
        <x:v>4-6 years</x:v>
      </x:c>
      <x:c r="J584" t="str">
        <x:v>MORTGAGE</x:v>
      </x:c>
      <x:c r="K584" t="str">
        <x:v>debt_consolidation</x:v>
      </x:c>
      <x:c r="L584" t="n">
        <x:v>0</x:v>
      </x:c>
      <x:c r="M584" t="n">
        <x:v>0</x:v>
      </x:c>
      <x:c r="N584" t="str">
        <x:v>Fully Paid</x:v>
      </x:c>
      <x:c r="O584" t="str">
        <x:f>IF(D584="","Unknown",IF(D584&lt;25000,"&lt;$25k",IF(D584&lt;50000,"$25k-$50k",IF(D584&lt;75000,"$50k-$75k",IF(D584&lt;100000,"$75k-$100k","$100k+")))))</x:f>
        <x:v>$50k-$75k</x:v>
      </x:c>
      <x:c r="P584" t="str">
        <x:f>IF(E584="","Unknown",IF(E584&lt;10,"&lt;10",IF(E584&lt;20,"10-&lt;20",IF(E584&lt;25,"20-&lt;25",IF(E584&lt;35,"25-&lt;35","35+")))))</x:f>
        <x:v>25-&lt;35</x:v>
      </x:c>
    </x:row>
    <x:row r="585">
      <x:c r="A585" t="str">
        <x:v>SYN0000584</x:v>
      </x:c>
      <x:c r="B585" s="12" t="n">
        <x:v>43165</x:v>
      </x:c>
      <x:c r="C585" s="18" t="n">
        <x:v>19930</x:v>
      </x:c>
      <x:c r="D585" s="18" t="n">
        <x:v>60230</x:v>
      </x:c>
      <x:c r="E585" s="18" t="n">
        <x:v>7.5</x:v>
      </x:c>
      <x:c r="F585" s="18" t="n">
        <x:v>17.95</x:v>
      </x:c>
      <x:c r="G585" t="n">
        <x:v>36</x:v>
      </x:c>
      <x:c r="H585" t="str">
        <x:v>E</x:v>
      </x:c>
      <x:c r="I585" t="str">
        <x:v>7-9 years</x:v>
      </x:c>
      <x:c r="J585" t="str">
        <x:v>MORTGAGE</x:v>
      </x:c>
      <x:c r="K585" t="str">
        <x:v>other</x:v>
      </x:c>
      <x:c r="L585" t="n">
        <x:v>1</x:v>
      </x:c>
      <x:c r="M585" t="n">
        <x:v>0</x:v>
      </x:c>
      <x:c r="N585" t="str">
        <x:v>Fully Paid</x:v>
      </x:c>
      <x:c r="O585" t="str">
        <x:f>IF(D585="","Unknown",IF(D585&lt;25000,"&lt;$25k",IF(D585&lt;50000,"$25k-$50k",IF(D585&lt;75000,"$50k-$75k",IF(D585&lt;100000,"$75k-$100k","$100k+")))))</x:f>
        <x:v>$50k-$75k</x:v>
      </x:c>
      <x:c r="P585" t="str">
        <x:f>IF(E585="","Unknown",IF(E585&lt;10,"&lt;10",IF(E585&lt;20,"10-&lt;20",IF(E585&lt;25,"20-&lt;25",IF(E585&lt;35,"25-&lt;35","35+")))))</x:f>
        <x:v>&lt;10</x:v>
      </x:c>
    </x:row>
    <x:row r="586">
      <x:c r="A586" t="str">
        <x:v>SYN0000585</x:v>
      </x:c>
      <x:c r="B586" s="12" t="n">
        <x:v>43375</x:v>
      </x:c>
      <x:c r="C586" s="18" t="n">
        <x:v>10996</x:v>
      </x:c>
      <x:c r="D586" s="18" t="n">
        <x:v>76812</x:v>
      </x:c>
      <x:c r="E586" s="18" t="n">
        <x:v>16.69</x:v>
      </x:c>
      <x:c r="F586" s="18" t="n">
        <x:v>16.74</x:v>
      </x:c>
      <x:c r="G586" t="n">
        <x:v>36</x:v>
      </x:c>
      <x:c r="H586" t="str">
        <x:v>D</x:v>
      </x:c>
      <x:c r="I586" t="str">
        <x:v>10+ years</x:v>
      </x:c>
      <x:c r="J586" t="str">
        <x:v>RENT</x:v>
      </x:c>
      <x:c r="K586" t="str">
        <x:v>home_improvement</x:v>
      </x:c>
      <x:c r="L586" t="n">
        <x:v>0</x:v>
      </x:c>
      <x:c r="M586" t="n">
        <x:v>0</x:v>
      </x:c>
      <x:c r="N586" t="str">
        <x:v>Fully Paid</x:v>
      </x:c>
      <x:c r="O586" t="str">
        <x:f>IF(D586="","Unknown",IF(D586&lt;25000,"&lt;$25k",IF(D586&lt;50000,"$25k-$50k",IF(D586&lt;75000,"$50k-$75k",IF(D586&lt;100000,"$75k-$100k","$100k+")))))</x:f>
        <x:v>$75k-$100k</x:v>
      </x:c>
      <x:c r="P586" t="str">
        <x:f>IF(E586="","Unknown",IF(E586&lt;10,"&lt;10",IF(E586&lt;20,"10-&lt;20",IF(E586&lt;25,"20-&lt;25",IF(E586&lt;35,"25-&lt;35","35+")))))</x:f>
        <x:v>10-&lt;20</x:v>
      </x:c>
    </x:row>
    <x:row r="587">
      <x:c r="A587" t="str">
        <x:v>SYN0000586</x:v>
      </x:c>
      <x:c r="B587" s="12" t="n">
        <x:v>42265</x:v>
      </x:c>
      <x:c r="C587" s="18" t="n">
        <x:v>29257</x:v>
      </x:c>
      <x:c r="D587" s="18" t="n">
        <x:v>19853</x:v>
      </x:c>
      <x:c r="E587" s="18" t="n">
        <x:v>12.8</x:v>
      </x:c>
      <x:c r="F587" s="18" t="n">
        <x:v>6.68</x:v>
      </x:c>
      <x:c r="G587" t="n">
        <x:v>36</x:v>
      </x:c>
      <x:c r="H587" t="str">
        <x:v>A</x:v>
      </x:c>
      <x:c r="I587" t="str">
        <x:v>&lt;1 year</x:v>
      </x:c>
      <x:c r="J587" t="str">
        <x:v>OTHER</x:v>
      </x:c>
      <x:c r="K587" t="str">
        <x:v>medical</x:v>
      </x:c>
      <x:c r="L587" t="n">
        <x:v>0</x:v>
      </x:c>
      <x:c r="M587" t="n">
        <x:v>0</x:v>
      </x:c>
      <x:c r="N587" t="str">
        <x:v>Fully Paid</x:v>
      </x:c>
      <x:c r="O587" t="str">
        <x:f>IF(D587="","Unknown",IF(D587&lt;25000,"&lt;$25k",IF(D587&lt;50000,"$25k-$50k",IF(D587&lt;75000,"$50k-$75k",IF(D587&lt;100000,"$75k-$100k","$100k+")))))</x:f>
        <x:v>&lt;$25k</x:v>
      </x:c>
      <x:c r="P587" t="str">
        <x:f>IF(E587="","Unknown",IF(E587&lt;10,"&lt;10",IF(E587&lt;20,"10-&lt;20",IF(E587&lt;25,"20-&lt;25",IF(E587&lt;35,"25-&lt;35","35+")))))</x:f>
        <x:v>10-&lt;20</x:v>
      </x:c>
    </x:row>
    <x:row r="588">
      <x:c r="A588" t="str">
        <x:v>SYN0000587</x:v>
      </x:c>
      <x:c r="B588" s="12" t="n">
        <x:v>42685</x:v>
      </x:c>
      <x:c r="C588" s="18" t="n">
        <x:v>29065</x:v>
      </x:c>
      <x:c r="D588" s="18" t="n">
        <x:v>28095</x:v>
      </x:c>
      <x:c r="E588" s="18" t="n">
        <x:v>43.87</x:v>
      </x:c>
      <x:c r="F588" s="18" t="n">
        <x:v>25.73</x:v>
      </x:c>
      <x:c r="G588" t="n">
        <x:v>60</x:v>
      </x:c>
      <x:c r="H588" t="str">
        <x:v>G</x:v>
      </x:c>
      <x:c r="I588" t="str">
        <x:v>10+ years</x:v>
      </x:c>
      <x:c r="J588" t="str">
        <x:v>OWN</x:v>
      </x:c>
      <x:c r="K588" t="str">
        <x:v>home_improvement</x:v>
      </x:c>
      <x:c r="L588" t="n">
        <x:v>2</x:v>
      </x:c>
      <x:c r="M588" t="n">
        <x:v>0</x:v>
      </x:c>
      <x:c r="N588" t="str">
        <x:v>Fully Paid</x:v>
      </x:c>
      <x:c r="O588" t="str">
        <x:f>IF(D588="","Unknown",IF(D588&lt;25000,"&lt;$25k",IF(D588&lt;50000,"$25k-$50k",IF(D588&lt;75000,"$50k-$75k",IF(D588&lt;100000,"$75k-$100k","$100k+")))))</x:f>
        <x:v>$25k-$50k</x:v>
      </x:c>
      <x:c r="P588" t="str">
        <x:f>IF(E588="","Unknown",IF(E588&lt;10,"&lt;10",IF(E588&lt;20,"10-&lt;20",IF(E588&lt;25,"20-&lt;25",IF(E588&lt;35,"25-&lt;35","35+")))))</x:f>
        <x:v>35+</x:v>
      </x:c>
    </x:row>
    <x:row r="589">
      <x:c r="A589" t="str">
        <x:v>SYN0000588</x:v>
      </x:c>
      <x:c r="B589" s="12" t="n">
        <x:v>43405</x:v>
      </x:c>
      <x:c r="C589" s="18" t="n">
        <x:v>9730</x:v>
      </x:c>
      <x:c r="D589" s="18" t="n">
        <x:v>76840</x:v>
      </x:c>
      <x:c r="E589" s="18" t="n">
        <x:v>10.66</x:v>
      </x:c>
      <x:c r="F589" s="18" t="n">
        <x:v>10.51</x:v>
      </x:c>
      <x:c r="G589" t="n">
        <x:v>36</x:v>
      </x:c>
      <x:c r="H589" t="str">
        <x:v>C</x:v>
      </x:c>
      <x:c r="I589" t="str">
        <x:v>10+ years</x:v>
      </x:c>
      <x:c r="J589" t="str">
        <x:v>MORTGAGE</x:v>
      </x:c>
      <x:c r="K589" t="str">
        <x:v>other</x:v>
      </x:c>
      <x:c r="L589" t="n">
        <x:v>0</x:v>
      </x:c>
      <x:c r="M589" t="n">
        <x:v>0</x:v>
      </x:c>
      <x:c r="N589" t="str">
        <x:v>Fully Paid</x:v>
      </x:c>
      <x:c r="O589" t="str">
        <x:f>IF(D589="","Unknown",IF(D589&lt;25000,"&lt;$25k",IF(D589&lt;50000,"$25k-$50k",IF(D589&lt;75000,"$50k-$75k",IF(D589&lt;100000,"$75k-$100k","$100k+")))))</x:f>
        <x:v>$75k-$100k</x:v>
      </x:c>
      <x:c r="P589" t="str">
        <x:f>IF(E589="","Unknown",IF(E589&lt;10,"&lt;10",IF(E589&lt;20,"10-&lt;20",IF(E589&lt;25,"20-&lt;25",IF(E589&lt;35,"25-&lt;35","35+")))))</x:f>
        <x:v>10-&lt;20</x:v>
      </x:c>
    </x:row>
    <x:row r="590">
      <x:c r="A590" t="str">
        <x:v>SYN0000589</x:v>
      </x:c>
      <x:c r="B590" s="12" t="n">
        <x:v>42385</x:v>
      </x:c>
      <x:c r="C590" s="18" t="n">
        <x:v>12318</x:v>
      </x:c>
      <x:c r="D590" s="18" t="n">
        <x:v>58726</x:v>
      </x:c>
      <x:c r="E590" s="18" t="n">
        <x:v>28.92</x:v>
      </x:c>
      <x:c r="F590" s="18" t="n">
        <x:v>11.74</x:v>
      </x:c>
      <x:c r="G590" t="n">
        <x:v>36</x:v>
      </x:c>
      <x:c r="H590" t="str">
        <x:v>D</x:v>
      </x:c>
      <x:c r="I590" t="str">
        <x:v>7-9 years</x:v>
      </x:c>
      <x:c r="J590" t="str">
        <x:v>MORTGAGE</x:v>
      </x:c>
      <x:c r="K590" t="str">
        <x:v>debt_consolidation</x:v>
      </x:c>
      <x:c r="L590" t="n">
        <x:v>0</x:v>
      </x:c>
      <x:c r="M590" t="n">
        <x:v>0</x:v>
      </x:c>
      <x:c r="N590" t="str">
        <x:v>Fully Paid</x:v>
      </x:c>
      <x:c r="O590" t="str">
        <x:f>IF(D590="","Unknown",IF(D590&lt;25000,"&lt;$25k",IF(D590&lt;50000,"$25k-$50k",IF(D590&lt;75000,"$50k-$75k",IF(D590&lt;100000,"$75k-$100k","$100k+")))))</x:f>
        <x:v>$50k-$75k</x:v>
      </x:c>
      <x:c r="P590" t="str">
        <x:f>IF(E590="","Unknown",IF(E590&lt;10,"&lt;10",IF(E590&lt;20,"10-&lt;20",IF(E590&lt;25,"20-&lt;25",IF(E590&lt;35,"25-&lt;35","35+")))))</x:f>
        <x:v>25-&lt;35</x:v>
      </x:c>
    </x:row>
    <x:row r="591">
      <x:c r="A591" t="str">
        <x:v>SYN0000590</x:v>
      </x:c>
      <x:c r="B591" s="12" t="n">
        <x:v>43315</x:v>
      </x:c>
      <x:c r="C591" s="18" t="n">
        <x:v>22560</x:v>
      </x:c>
      <x:c r="D591" s="18" t="n">
        <x:v>83355</x:v>
      </x:c>
      <x:c r="E591" s="18" t="n">
        <x:v>35.28</x:v>
      </x:c>
      <x:c r="F591" s="18" t="n">
        <x:v>9.8</x:v>
      </x:c>
      <x:c r="G591" t="n">
        <x:v>36</x:v>
      </x:c>
      <x:c r="H591" t="str">
        <x:v>C</x:v>
      </x:c>
      <x:c r="I591" t="str">
        <x:v>1-3 years</x:v>
      </x:c>
      <x:c r="J591" t="str">
        <x:v>OWN</x:v>
      </x:c>
      <x:c r="K591" t="str">
        <x:v>home_improvement</x:v>
      </x:c>
      <x:c r="L591" t="n">
        <x:v>0</x:v>
      </x:c>
      <x:c r="M591" t="n">
        <x:v>1</x:v>
      </x:c>
      <x:c r="N591" t="str">
        <x:v>Charged Off</x:v>
      </x:c>
      <x:c r="O591" t="str">
        <x:f>IF(D591="","Unknown",IF(D591&lt;25000,"&lt;$25k",IF(D591&lt;50000,"$25k-$50k",IF(D591&lt;75000,"$50k-$75k",IF(D591&lt;100000,"$75k-$100k","$100k+")))))</x:f>
        <x:v>$75k-$100k</x:v>
      </x:c>
      <x:c r="P591" t="str">
        <x:f>IF(E591="","Unknown",IF(E591&lt;10,"&lt;10",IF(E591&lt;20,"10-&lt;20",IF(E591&lt;25,"20-&lt;25",IF(E591&lt;35,"25-&lt;35","35+")))))</x:f>
        <x:v>35+</x:v>
      </x:c>
    </x:row>
    <x:row r="592">
      <x:c r="A592" t="str">
        <x:v>SYN0000591</x:v>
      </x:c>
      <x:c r="B592" s="12" t="n">
        <x:v>42235</x:v>
      </x:c>
      <x:c r="C592" s="18" t="n">
        <x:v>18817</x:v>
      </x:c>
      <x:c r="D592" s="18" t="n">
        <x:v>72425</x:v>
      </x:c>
      <x:c r="E592" s="18" t="n">
        <x:v>26.67</x:v>
      </x:c>
      <x:c r="F592" s="18" t="n">
        <x:v>12.43</x:v>
      </x:c>
      <x:c r="G592" t="n">
        <x:v>36</x:v>
      </x:c>
      <x:c r="H592" t="str">
        <x:v>D</x:v>
      </x:c>
      <x:c r="I592" t="str">
        <x:v>&lt;1 year</x:v>
      </x:c>
      <x:c r="J592" t="str">
        <x:v>RENT</x:v>
      </x:c>
      <x:c r="K592" t="str">
        <x:v>credit_card</x:v>
      </x:c>
      <x:c r="L592" t="n">
        <x:v>0</x:v>
      </x:c>
      <x:c r="M592" t="n">
        <x:v>1</x:v>
      </x:c>
      <x:c r="N592" t="str">
        <x:v>Charged Off</x:v>
      </x:c>
      <x:c r="O592" t="str">
        <x:f>IF(D592="","Unknown",IF(D592&lt;25000,"&lt;$25k",IF(D592&lt;50000,"$25k-$50k",IF(D592&lt;75000,"$50k-$75k",IF(D592&lt;100000,"$75k-$100k","$100k+")))))</x:f>
        <x:v>$50k-$75k</x:v>
      </x:c>
      <x:c r="P592" t="str">
        <x:f>IF(E592="","Unknown",IF(E592&lt;10,"&lt;10",IF(E592&lt;20,"10-&lt;20",IF(E592&lt;25,"20-&lt;25",IF(E592&lt;35,"25-&lt;35","35+")))))</x:f>
        <x:v>25-&lt;35</x:v>
      </x:c>
    </x:row>
    <x:row r="593">
      <x:c r="A593" t="str">
        <x:v>SYN0000592</x:v>
      </x:c>
      <x:c r="B593" s="12" t="n">
        <x:v>41335</x:v>
      </x:c>
      <x:c r="C593" s="18" t="n">
        <x:v>9991</x:v>
      </x:c>
      <x:c r="D593" s="18" t="n">
        <x:v>74842</x:v>
      </x:c>
      <x:c r="E593" s="18" t="n">
        <x:v>21.92</x:v>
      </x:c>
      <x:c r="F593" s="18" t="n">
        <x:v>17.05</x:v>
      </x:c>
      <x:c r="G593" t="n">
        <x:v>36</x:v>
      </x:c>
      <x:c r="H593" t="str">
        <x:v>D</x:v>
      </x:c>
      <x:c r="I593" t="str">
        <x:v>4-6 years</x:v>
      </x:c>
      <x:c r="J593" t="str">
        <x:v>RENT</x:v>
      </x:c>
      <x:c r="K593" t="str">
        <x:v>debt_consolidation</x:v>
      </x:c>
      <x:c r="L593" t="n">
        <x:v>1</x:v>
      </x:c>
      <x:c r="M593" t="n">
        <x:v>0</x:v>
      </x:c>
      <x:c r="N593" t="str">
        <x:v>Fully Paid</x:v>
      </x:c>
      <x:c r="O593" t="str">
        <x:f>IF(D593="","Unknown",IF(D593&lt;25000,"&lt;$25k",IF(D593&lt;50000,"$25k-$50k",IF(D593&lt;75000,"$50k-$75k",IF(D593&lt;100000,"$75k-$100k","$100k+")))))</x:f>
        <x:v>$50k-$75k</x:v>
      </x:c>
      <x:c r="P593" t="str">
        <x:f>IF(E593="","Unknown",IF(E593&lt;10,"&lt;10",IF(E593&lt;20,"10-&lt;20",IF(E593&lt;25,"20-&lt;25",IF(E593&lt;35,"25-&lt;35","35+")))))</x:f>
        <x:v>20-&lt;25</x:v>
      </x:c>
    </x:row>
    <x:row r="594">
      <x:c r="A594" t="str">
        <x:v>SYN0000593</x:v>
      </x:c>
      <x:c r="B594" s="12" t="n">
        <x:v>41575</x:v>
      </x:c>
      <x:c r="C594" s="18" t="n">
        <x:v>8658</x:v>
      </x:c>
      <x:c r="D594" s="18" t="n">
        <x:v>47961</x:v>
      </x:c>
      <x:c r="E594" s="18" t="n">
        <x:v>13.04</x:v>
      </x:c>
      <x:c r="F594" s="18" t="n">
        <x:v>19.12</x:v>
      </x:c>
      <x:c r="G594" t="n">
        <x:v>36</x:v>
      </x:c>
      <x:c r="H594" t="str">
        <x:v>E</x:v>
      </x:c>
      <x:c r="I594" t="str">
        <x:v>7-9 years</x:v>
      </x:c>
      <x:c r="J594" t="str">
        <x:v>RENT</x:v>
      </x:c>
      <x:c r="K594" t="str">
        <x:v>major_purchase</x:v>
      </x:c>
      <x:c r="L594" t="n">
        <x:v>0</x:v>
      </x:c>
      <x:c r="M594" t="n">
        <x:v>1</x:v>
      </x:c>
      <x:c r="N594" t="str">
        <x:v>Charged Off</x:v>
      </x:c>
      <x:c r="O594" t="str">
        <x:f>IF(D594="","Unknown",IF(D594&lt;25000,"&lt;$25k",IF(D594&lt;50000,"$25k-$50k",IF(D594&lt;75000,"$50k-$75k",IF(D594&lt;100000,"$75k-$100k","$100k+")))))</x:f>
        <x:v>$25k-$50k</x:v>
      </x:c>
      <x:c r="P594" t="str">
        <x:f>IF(E594="","Unknown",IF(E594&lt;10,"&lt;10",IF(E594&lt;20,"10-&lt;20",IF(E594&lt;25,"20-&lt;25",IF(E594&lt;35,"25-&lt;35","35+")))))</x:f>
        <x:v>10-&lt;20</x:v>
      </x:c>
    </x:row>
    <x:row r="595">
      <x:c r="A595" t="str">
        <x:v>SYN0000594</x:v>
      </x:c>
      <x:c r="B595" s="12" t="n">
        <x:v>43315</x:v>
      </x:c>
      <x:c r="C595" s="18" t="n">
        <x:v>19399</x:v>
      </x:c>
      <x:c r="D595" s="18" t="n">
        <x:v>43661</x:v>
      </x:c>
      <x:c r="E595" s="18" t="n">
        <x:v>11.98</x:v>
      </x:c>
      <x:c r="F595" s="18" t="n">
        <x:v>6.36</x:v>
      </x:c>
      <x:c r="G595" t="n">
        <x:v>36</x:v>
      </x:c>
      <x:c r="H595" t="str">
        <x:v>A</x:v>
      </x:c>
      <x:c r="I595" t="str">
        <x:v>10+ years</x:v>
      </x:c>
      <x:c r="J595" t="str">
        <x:v>MORTGAGE</x:v>
      </x:c>
      <x:c r="K595" t="str">
        <x:v>debt_consolidation</x:v>
      </x:c>
      <x:c r="L595" t="n">
        <x:v>0</x:v>
      </x:c>
      <x:c r="M595" t="n">
        <x:v>0</x:v>
      </x:c>
      <x:c r="N595" t="str">
        <x:v>Fully Paid</x:v>
      </x:c>
      <x:c r="O595" t="str">
        <x:f>IF(D595="","Unknown",IF(D595&lt;25000,"&lt;$25k",IF(D595&lt;50000,"$25k-$50k",IF(D595&lt;75000,"$50k-$75k",IF(D595&lt;100000,"$75k-$100k","$100k+")))))</x:f>
        <x:v>$25k-$50k</x:v>
      </x:c>
      <x:c r="P595" t="str">
        <x:f>IF(E595="","Unknown",IF(E595&lt;10,"&lt;10",IF(E595&lt;20,"10-&lt;20",IF(E595&lt;25,"20-&lt;25",IF(E595&lt;35,"25-&lt;35","35+")))))</x:f>
        <x:v>10-&lt;20</x:v>
      </x:c>
    </x:row>
    <x:row r="596">
      <x:c r="A596" t="str">
        <x:v>SYN0000595</x:v>
      </x:c>
      <x:c r="B596" s="12" t="n">
        <x:v>41935</x:v>
      </x:c>
      <x:c r="C596" s="18" t="n">
        <x:v>13667</x:v>
      </x:c>
      <x:c r="D596" s="18" t="n">
        <x:v>136668</x:v>
      </x:c>
      <x:c r="E596" s="18" t="n">
        <x:v>33.18</x:v>
      </x:c>
      <x:c r="F596" s="18" t="n">
        <x:v>17.79</x:v>
      </x:c>
      <x:c r="G596" t="n">
        <x:v>60</x:v>
      </x:c>
      <x:c r="H596" t="str">
        <x:v>E</x:v>
      </x:c>
      <x:c r="I596" t="str">
        <x:v>1-3 years</x:v>
      </x:c>
      <x:c r="J596" t="str">
        <x:v>OWN</x:v>
      </x:c>
      <x:c r="K596" t="str">
        <x:v>debt_consolidation</x:v>
      </x:c>
      <x:c r="L596" t="n">
        <x:v>2</x:v>
      </x:c>
      <x:c r="M596" t="n">
        <x:v>1</x:v>
      </x:c>
      <x:c r="N596" t="str">
        <x:v>Charged Off</x:v>
      </x:c>
      <x:c r="O596" t="str">
        <x:f>IF(D596="","Unknown",IF(D596&lt;25000,"&lt;$25k",IF(D596&lt;50000,"$25k-$50k",IF(D596&lt;75000,"$50k-$75k",IF(D596&lt;100000,"$75k-$100k","$100k+")))))</x:f>
        <x:v>$100k+</x:v>
      </x:c>
      <x:c r="P596" t="str">
        <x:f>IF(E596="","Unknown",IF(E596&lt;10,"&lt;10",IF(E596&lt;20,"10-&lt;20",IF(E596&lt;25,"20-&lt;25",IF(E596&lt;35,"25-&lt;35","35+")))))</x:f>
        <x:v>25-&lt;35</x:v>
      </x:c>
    </x:row>
    <x:row r="597">
      <x:c r="A597" t="str">
        <x:v>SYN0000596</x:v>
      </x:c>
      <x:c r="B597" s="12" t="n">
        <x:v>42985</x:v>
      </x:c>
      <x:c r="C597" s="18" t="n">
        <x:v>6469</x:v>
      </x:c>
      <x:c r="D597" s="18" t="n">
        <x:v>27181</x:v>
      </x:c>
      <x:c r="E597" s="18" t="n">
        <x:v>24.26</x:v>
      </x:c>
      <x:c r="F597" s="18" t="n">
        <x:v>17.26</x:v>
      </x:c>
      <x:c r="G597" t="n">
        <x:v>60</x:v>
      </x:c>
      <x:c r="H597" t="str">
        <x:v>E</x:v>
      </x:c>
      <x:c r="I597" t="str">
        <x:v>10+ years</x:v>
      </x:c>
      <x:c r="J597" t="str">
        <x:v>MORTGAGE</x:v>
      </x:c>
      <x:c r="K597" t="str">
        <x:v>debt_consolidation</x:v>
      </x:c>
      <x:c r="L597" t="n">
        <x:v>1</x:v>
      </x:c>
      <x:c r="M597" t="n">
        <x:v>1</x:v>
      </x:c>
      <x:c r="N597" t="str">
        <x:v>Charged Off</x:v>
      </x:c>
      <x:c r="O597" t="str">
        <x:f>IF(D597="","Unknown",IF(D597&lt;25000,"&lt;$25k",IF(D597&lt;50000,"$25k-$50k",IF(D597&lt;75000,"$50k-$75k",IF(D597&lt;100000,"$75k-$100k","$100k+")))))</x:f>
        <x:v>$25k-$50k</x:v>
      </x:c>
      <x:c r="P597" t="str">
        <x:f>IF(E597="","Unknown",IF(E597&lt;10,"&lt;10",IF(E597&lt;20,"10-&lt;20",IF(E597&lt;25,"20-&lt;25",IF(E597&lt;35,"25-&lt;35","35+")))))</x:f>
        <x:v>20-&lt;25</x:v>
      </x:c>
    </x:row>
    <x:row r="598">
      <x:c r="A598" t="str">
        <x:v>SYN0000597</x:v>
      </x:c>
      <x:c r="B598" s="12" t="n">
        <x:v>41665</x:v>
      </x:c>
      <x:c r="C598" s="18" t="n">
        <x:v>30980</x:v>
      </x:c>
      <x:c r="D598" s="18" t="n">
        <x:v>33075</x:v>
      </x:c>
      <x:c r="E598" s="18" t="n">
        <x:v>31.61</x:v>
      </x:c>
      <x:c r="F598" s="18" t="n">
        <x:v>18.98</x:v>
      </x:c>
      <x:c r="G598" t="n">
        <x:v>60</x:v>
      </x:c>
      <x:c r="H598" t="str">
        <x:v>E</x:v>
      </x:c>
      <x:c r="I598" t="str">
        <x:v>10+ years</x:v>
      </x:c>
      <x:c r="J598" t="str">
        <x:v>RENT</x:v>
      </x:c>
      <x:c r="K598" t="str">
        <x:v>debt_consolidation</x:v>
      </x:c>
      <x:c r="L598" t="n">
        <x:v>0</x:v>
      </x:c>
      <x:c r="M598" t="n">
        <x:v>0</x:v>
      </x:c>
      <x:c r="N598" t="str">
        <x:v>Fully Paid</x:v>
      </x:c>
      <x:c r="O598" t="str">
        <x:f>IF(D598="","Unknown",IF(D598&lt;25000,"&lt;$25k",IF(D598&lt;50000,"$25k-$50k",IF(D598&lt;75000,"$50k-$75k",IF(D598&lt;100000,"$75k-$100k","$100k+")))))</x:f>
        <x:v>$25k-$50k</x:v>
      </x:c>
      <x:c r="P598" t="str">
        <x:f>IF(E598="","Unknown",IF(E598&lt;10,"&lt;10",IF(E598&lt;20,"10-&lt;20",IF(E598&lt;25,"20-&lt;25",IF(E598&lt;35,"25-&lt;35","35+")))))</x:f>
        <x:v>25-&lt;35</x:v>
      </x:c>
    </x:row>
    <x:row r="599">
      <x:c r="A599" t="str">
        <x:v>SYN0000598</x:v>
      </x:c>
      <x:c r="B599" s="12" t="n">
        <x:v>41875</x:v>
      </x:c>
      <x:c r="C599" s="18" t="n">
        <x:v>21663</x:v>
      </x:c>
      <x:c r="D599" s="18" t="n">
        <x:v>48346</x:v>
      </x:c>
      <x:c r="E599" s="18" t="n">
        <x:v>32.86</x:v>
      </x:c>
      <x:c r="F599" s="18" t="n">
        <x:v>28.89</x:v>
      </x:c>
      <x:c r="G599" t="n">
        <x:v>36</x:v>
      </x:c>
      <x:c r="H599" t="str">
        <x:v>G</x:v>
      </x:c>
      <x:c r="I599" t="str">
        <x:v>1-3 years</x:v>
      </x:c>
      <x:c r="J599" t="str">
        <x:v>RENT</x:v>
      </x:c>
      <x:c r="K599" t="str">
        <x:v>debt_consolidation</x:v>
      </x:c>
      <x:c r="L599" t="n">
        <x:v>0</x:v>
      </x:c>
      <x:c r="M599" t="n">
        <x:v>1</x:v>
      </x:c>
      <x:c r="N599" t="str">
        <x:v>Charged Off</x:v>
      </x:c>
      <x:c r="O599" t="str">
        <x:f>IF(D599="","Unknown",IF(D599&lt;25000,"&lt;$25k",IF(D599&lt;50000,"$25k-$50k",IF(D599&lt;75000,"$50k-$75k",IF(D599&lt;100000,"$75k-$100k","$100k+")))))</x:f>
        <x:v>$25k-$50k</x:v>
      </x:c>
      <x:c r="P599" t="str">
        <x:f>IF(E599="","Unknown",IF(E599&lt;10,"&lt;10",IF(E599&lt;20,"10-&lt;20",IF(E599&lt;25,"20-&lt;25",IF(E599&lt;35,"25-&lt;35","35+")))))</x:f>
        <x:v>25-&lt;35</x:v>
      </x:c>
    </x:row>
    <x:row r="600">
      <x:c r="A600" t="str">
        <x:v>SYN0000599</x:v>
      </x:c>
      <x:c r="B600" s="12" t="n">
        <x:v>41815</x:v>
      </x:c>
      <x:c r="C600" s="18" t="n">
        <x:v>11468</x:v>
      </x:c>
      <x:c r="D600" s="18" t="n">
        <x:v>67832</x:v>
      </x:c>
      <x:c r="E600" s="18" t="n">
        <x:v>7.2</x:v>
      </x:c>
      <x:c r="F600" s="18" t="n">
        <x:v>6.16</x:v>
      </x:c>
      <x:c r="G600" t="n">
        <x:v>36</x:v>
      </x:c>
      <x:c r="H600" t="str">
        <x:v>A</x:v>
      </x:c>
      <x:c r="I600" t="str">
        <x:v>&lt;1 year</x:v>
      </x:c>
      <x:c r="J600" t="str">
        <x:v>RENT</x:v>
      </x:c>
      <x:c r="K600" t="str">
        <x:v>credit_card</x:v>
      </x:c>
      <x:c r="L600" t="n">
        <x:v>0</x:v>
      </x:c>
      <x:c r="M600" t="n">
        <x:v>0</x:v>
      </x:c>
      <x:c r="N600" t="str">
        <x:v>Fully Paid</x:v>
      </x:c>
      <x:c r="O600" t="str">
        <x:f>IF(D600="","Unknown",IF(D600&lt;25000,"&lt;$25k",IF(D600&lt;50000,"$25k-$50k",IF(D600&lt;75000,"$50k-$75k",IF(D600&lt;100000,"$75k-$100k","$100k+")))))</x:f>
        <x:v>$50k-$75k</x:v>
      </x:c>
      <x:c r="P600" t="str">
        <x:f>IF(E600="","Unknown",IF(E600&lt;10,"&lt;10",IF(E600&lt;20,"10-&lt;20",IF(E600&lt;25,"20-&lt;25",IF(E600&lt;35,"25-&lt;35","35+")))))</x:f>
        <x:v>&lt;10</x:v>
      </x:c>
    </x:row>
    <x:row r="601">
      <x:c r="A601" t="str">
        <x:v>SYN0000600</x:v>
      </x:c>
      <x:c r="B601" s="12" t="n">
        <x:v>42145</x:v>
      </x:c>
      <x:c r="C601" s="18" t="n">
        <x:v>11957</x:v>
      </x:c>
      <x:c r="D601" s="18" t="n">
        <x:v>36500</x:v>
      </x:c>
      <x:c r="E601" s="18" t="n">
        <x:v>12.65</x:v>
      </x:c>
      <x:c r="F601" s="18" t="n">
        <x:v>6.77</x:v>
      </x:c>
      <x:c r="G601" t="n">
        <x:v>60</x:v>
      </x:c>
      <x:c r="H601" t="str">
        <x:v>A</x:v>
      </x:c>
      <x:c r="I601" t="str">
        <x:v>1-3 years</x:v>
      </x:c>
      <x:c r="J601" t="str">
        <x:v>MORTGAGE</x:v>
      </x:c>
      <x:c r="K601" t="str">
        <x:v>debt_consolidation</x:v>
      </x:c>
      <x:c r="L601" t="n">
        <x:v>0</x:v>
      </x:c>
      <x:c r="M601" t="n">
        <x:v>0</x:v>
      </x:c>
      <x:c r="N601" t="str">
        <x:v>Fully Paid</x:v>
      </x:c>
      <x:c r="O601" t="str">
        <x:f>IF(D601="","Unknown",IF(D601&lt;25000,"&lt;$25k",IF(D601&lt;50000,"$25k-$50k",IF(D601&lt;75000,"$50k-$75k",IF(D601&lt;100000,"$75k-$100k","$100k+")))))</x:f>
        <x:v>$25k-$50k</x:v>
      </x:c>
      <x:c r="P601" t="str">
        <x:f>IF(E601="","Unknown",IF(E601&lt;10,"&lt;10",IF(E601&lt;20,"10-&lt;20",IF(E601&lt;25,"20-&lt;25",IF(E601&lt;35,"25-&lt;35","35+")))))</x:f>
        <x:v>10-&lt;20</x:v>
      </x:c>
    </x:row>
    <x:row r="602">
      <x:c r="A602" t="str">
        <x:v>SYN0000601</x:v>
      </x:c>
      <x:c r="B602" s="12" t="n">
        <x:v>41395</x:v>
      </x:c>
      <x:c r="C602" s="18" t="n">
        <x:v>14110</x:v>
      </x:c>
      <x:c r="D602" s="18" t="n">
        <x:v>83487</x:v>
      </x:c>
      <x:c r="E602" s="18" t="n">
        <x:v>35.27</x:v>
      </x:c>
      <x:c r="F602" s="18" t="n">
        <x:v>15.24</x:v>
      </x:c>
      <x:c r="G602" t="n">
        <x:v>60</x:v>
      </x:c>
      <x:c r="H602" t="str">
        <x:v>D</x:v>
      </x:c>
      <x:c r="I602" t="str">
        <x:v>4-6 years</x:v>
      </x:c>
      <x:c r="J602" t="str">
        <x:v>MORTGAGE</x:v>
      </x:c>
      <x:c r="K602" t="str">
        <x:v>debt_consolidation</x:v>
      </x:c>
      <x:c r="L602" t="n">
        <x:v>0</x:v>
      </x:c>
      <x:c r="M602" t="n">
        <x:v>0</x:v>
      </x:c>
      <x:c r="N602" t="str">
        <x:v>Fully Paid</x:v>
      </x:c>
      <x:c r="O602" t="str">
        <x:f>IF(D602="","Unknown",IF(D602&lt;25000,"&lt;$25k",IF(D602&lt;50000,"$25k-$50k",IF(D602&lt;75000,"$50k-$75k",IF(D602&lt;100000,"$75k-$100k","$100k+")))))</x:f>
        <x:v>$75k-$100k</x:v>
      </x:c>
      <x:c r="P602" t="str">
        <x:f>IF(E602="","Unknown",IF(E602&lt;10,"&lt;10",IF(E602&lt;20,"10-&lt;20",IF(E602&lt;25,"20-&lt;25",IF(E602&lt;35,"25-&lt;35","35+")))))</x:f>
        <x:v>35+</x:v>
      </x:c>
    </x:row>
    <x:row r="603">
      <x:c r="A603" t="str">
        <x:v>SYN0000602</x:v>
      </x:c>
      <x:c r="B603" s="12" t="n">
        <x:v>41455</x:v>
      </x:c>
      <x:c r="C603" s="18" t="n">
        <x:v>11124</x:v>
      </x:c>
      <x:c r="D603" s="18" t="n">
        <x:v>96740</x:v>
      </x:c>
      <x:c r="E603" s="18" t="n">
        <x:v>17.91</x:v>
      </x:c>
      <x:c r="F603" s="18" t="n">
        <x:v>17.7</x:v>
      </x:c>
      <x:c r="G603" t="n">
        <x:v>36</x:v>
      </x:c>
      <x:c r="H603" t="str">
        <x:v>E</x:v>
      </x:c>
      <x:c r="I603" t="str">
        <x:v>7-9 years</x:v>
      </x:c>
      <x:c r="J603" t="str">
        <x:v>RENT</x:v>
      </x:c>
      <x:c r="K603" t="str">
        <x:v>debt_consolidation</x:v>
      </x:c>
      <x:c r="L603" t="n">
        <x:v>0</x:v>
      </x:c>
      <x:c r="M603" t="n">
        <x:v>0</x:v>
      </x:c>
      <x:c r="N603" t="str">
        <x:v>Fully Paid</x:v>
      </x:c>
      <x:c r="O603" t="str">
        <x:f>IF(D603="","Unknown",IF(D603&lt;25000,"&lt;$25k",IF(D603&lt;50000,"$25k-$50k",IF(D603&lt;75000,"$50k-$75k",IF(D603&lt;100000,"$75k-$100k","$100k+")))))</x:f>
        <x:v>$75k-$100k</x:v>
      </x:c>
      <x:c r="P603" t="str">
        <x:f>IF(E603="","Unknown",IF(E603&lt;10,"&lt;10",IF(E603&lt;20,"10-&lt;20",IF(E603&lt;25,"20-&lt;25",IF(E603&lt;35,"25-&lt;35","35+")))))</x:f>
        <x:v>10-&lt;20</x:v>
      </x:c>
    </x:row>
    <x:row r="604">
      <x:c r="A604" t="str">
        <x:v>SYN0000603</x:v>
      </x:c>
      <x:c r="B604" s="12" t="n">
        <x:v>42625</x:v>
      </x:c>
      <x:c r="C604" s="18" t="n">
        <x:v>6665</x:v>
      </x:c>
      <x:c r="D604" s="18" t="n">
        <x:v>145706</x:v>
      </x:c>
      <x:c r="E604" s="18" t="n">
        <x:v>24.89</x:v>
      </x:c>
      <x:c r="F604" s="18" t="n">
        <x:v>14.59</x:v>
      </x:c>
      <x:c r="G604" t="n">
        <x:v>36</x:v>
      </x:c>
      <x:c r="H604" t="str">
        <x:v>D</x:v>
      </x:c>
      <x:c r="I604" t="str">
        <x:v>1-3 years</x:v>
      </x:c>
      <x:c r="J604" t="str">
        <x:v>MORTGAGE</x:v>
      </x:c>
      <x:c r="K604" t="str">
        <x:v>other</x:v>
      </x:c>
      <x:c r="L604" t="n">
        <x:v>0</x:v>
      </x:c>
      <x:c r="M604" t="n">
        <x:v>0</x:v>
      </x:c>
      <x:c r="N604" t="str">
        <x:v>Fully Paid</x:v>
      </x:c>
      <x:c r="O604" t="str">
        <x:f>IF(D604="","Unknown",IF(D604&lt;25000,"&lt;$25k",IF(D604&lt;50000,"$25k-$50k",IF(D604&lt;75000,"$50k-$75k",IF(D604&lt;100000,"$75k-$100k","$100k+")))))</x:f>
        <x:v>$100k+</x:v>
      </x:c>
      <x:c r="P604" t="str">
        <x:f>IF(E604="","Unknown",IF(E604&lt;10,"&lt;10",IF(E604&lt;20,"10-&lt;20",IF(E604&lt;25,"20-&lt;25",IF(E604&lt;35,"25-&lt;35","35+")))))</x:f>
        <x:v>20-&lt;25</x:v>
      </x:c>
    </x:row>
    <x:row r="605">
      <x:c r="A605" t="str">
        <x:v>SYN0000604</x:v>
      </x:c>
      <x:c r="B605" s="12" t="n">
        <x:v>42325</x:v>
      </x:c>
      <x:c r="C605" s="18" t="n">
        <x:v>7454</x:v>
      </x:c>
      <x:c r="D605" s="18" t="n">
        <x:v>25542</x:v>
      </x:c>
      <x:c r="E605" s="18" t="n">
        <x:v>14.46</x:v>
      </x:c>
      <x:c r="F605" s="18" t="n">
        <x:v>11.66</x:v>
      </x:c>
      <x:c r="G605" t="n">
        <x:v>60</x:v>
      </x:c>
      <x:c r="H605" t="str">
        <x:v>C</x:v>
      </x:c>
      <x:c r="I605" t="str">
        <x:v>1-3 years</x:v>
      </x:c>
      <x:c r="J605" t="str">
        <x:v>RENT</x:v>
      </x:c>
      <x:c r="K605" t="str">
        <x:v>credit_card</x:v>
      </x:c>
      <x:c r="L605" t="n">
        <x:v>0</x:v>
      </x:c>
      <x:c r="M605" t="n">
        <x:v>0</x:v>
      </x:c>
      <x:c r="N605" t="str">
        <x:v>Fully Paid</x:v>
      </x:c>
      <x:c r="O605" t="str">
        <x:f>IF(D605="","Unknown",IF(D605&lt;25000,"&lt;$25k",IF(D605&lt;50000,"$25k-$50k",IF(D605&lt;75000,"$50k-$75k",IF(D605&lt;100000,"$75k-$100k","$100k+")))))</x:f>
        <x:v>$25k-$50k</x:v>
      </x:c>
      <x:c r="P605" t="str">
        <x:f>IF(E605="","Unknown",IF(E605&lt;10,"&lt;10",IF(E605&lt;20,"10-&lt;20",IF(E605&lt;25,"20-&lt;25",IF(E605&lt;35,"25-&lt;35","35+")))))</x:f>
        <x:v>10-&lt;20</x:v>
      </x:c>
    </x:row>
    <x:row r="606">
      <x:c r="A606" t="str">
        <x:v>SYN0000605</x:v>
      </x:c>
      <x:c r="B606" s="12" t="n">
        <x:v>42115</x:v>
      </x:c>
      <x:c r="C606" s="18" t="n">
        <x:v>3695</x:v>
      </x:c>
      <x:c r="D606" s="18" t="n">
        <x:v>83328</x:v>
      </x:c>
      <x:c r="E606" s="18" t="n">
        <x:v>14.92</x:v>
      </x:c>
      <x:c r="F606" s="18" t="n">
        <x:v>8.17</x:v>
      </x:c>
      <x:c r="G606" t="n">
        <x:v>36</x:v>
      </x:c>
      <x:c r="H606" t="str">
        <x:v>A</x:v>
      </x:c>
      <x:c r="I606" t="str">
        <x:v>7-9 years</x:v>
      </x:c>
      <x:c r="J606" t="str">
        <x:v>OWN</x:v>
      </x:c>
      <x:c r="K606" t="str">
        <x:v>home_improvement</x:v>
      </x:c>
      <x:c r="L606" t="n">
        <x:v>0</x:v>
      </x:c>
      <x:c r="M606" t="n">
        <x:v>0</x:v>
      </x:c>
      <x:c r="N606" t="str">
        <x:v>Fully Paid</x:v>
      </x:c>
      <x:c r="O606" t="str">
        <x:f>IF(D606="","Unknown",IF(D606&lt;25000,"&lt;$25k",IF(D606&lt;50000,"$25k-$50k",IF(D606&lt;75000,"$50k-$75k",IF(D606&lt;100000,"$75k-$100k","$100k+")))))</x:f>
        <x:v>$75k-$100k</x:v>
      </x:c>
      <x:c r="P606" t="str">
        <x:f>IF(E606="","Unknown",IF(E606&lt;10,"&lt;10",IF(E606&lt;20,"10-&lt;20",IF(E606&lt;25,"20-&lt;25",IF(E606&lt;35,"25-&lt;35","35+")))))</x:f>
        <x:v>10-&lt;20</x:v>
      </x:c>
    </x:row>
    <x:row r="607">
      <x:c r="A607" t="str">
        <x:v>SYN0000606</x:v>
      </x:c>
      <x:c r="B607" s="12" t="n">
        <x:v>41365</x:v>
      </x:c>
      <x:c r="C607" s="18" t="n">
        <x:v>9839</x:v>
      </x:c>
      <x:c r="D607" s="18" t="n">
        <x:v>55279</x:v>
      </x:c>
      <x:c r="E607" s="18" t="n">
        <x:v>16.29</x:v>
      </x:c>
      <x:c r="F607" s="18" t="n">
        <x:v>10.83</x:v>
      </x:c>
      <x:c r="G607" t="n">
        <x:v>60</x:v>
      </x:c>
      <x:c r="H607" t="str">
        <x:v>B</x:v>
      </x:c>
      <x:c r="I607" t="str">
        <x:v>7-9 years</x:v>
      </x:c>
      <x:c r="J607" t="str">
        <x:v>MORTGAGE</x:v>
      </x:c>
      <x:c r="K607" t="str">
        <x:v>debt_consolidation</x:v>
      </x:c>
      <x:c r="L607" t="n">
        <x:v>1</x:v>
      </x:c>
      <x:c r="M607" t="n">
        <x:v>0</x:v>
      </x:c>
      <x:c r="N607" t="str">
        <x:v>Fully Paid</x:v>
      </x:c>
      <x:c r="O607" t="str">
        <x:f>IF(D607="","Unknown",IF(D607&lt;25000,"&lt;$25k",IF(D607&lt;50000,"$25k-$50k",IF(D607&lt;75000,"$50k-$75k",IF(D607&lt;100000,"$75k-$100k","$100k+")))))</x:f>
        <x:v>$50k-$75k</x:v>
      </x:c>
      <x:c r="P607" t="str">
        <x:f>IF(E607="","Unknown",IF(E607&lt;10,"&lt;10",IF(E607&lt;20,"10-&lt;20",IF(E607&lt;25,"20-&lt;25",IF(E607&lt;35,"25-&lt;35","35+")))))</x:f>
        <x:v>10-&lt;20</x:v>
      </x:c>
    </x:row>
    <x:row r="608">
      <x:c r="A608" t="str">
        <x:v>SYN0000607</x:v>
      </x:c>
      <x:c r="B608" s="12" t="n">
        <x:v>42205</x:v>
      </x:c>
      <x:c r="C608" s="18" t="n">
        <x:v>8147</x:v>
      </x:c>
      <x:c r="D608" s="18" t="n">
        <x:v>72208</x:v>
      </x:c>
      <x:c r="E608" s="18" t="n">
        <x:v>25.97</x:v>
      </x:c>
      <x:c r="F608" s="18" t="n">
        <x:v>7.21</x:v>
      </x:c>
      <x:c r="G608" t="n">
        <x:v>60</x:v>
      </x:c>
      <x:c r="H608" t="str">
        <x:v>A</x:v>
      </x:c>
      <x:c r="I608" t="str">
        <x:v>1-3 years</x:v>
      </x:c>
      <x:c r="J608" t="str">
        <x:v>RENT</x:v>
      </x:c>
      <x:c r="K608" t="str">
        <x:v>debt_consolidation</x:v>
      </x:c>
      <x:c r="L608" t="n">
        <x:v>1</x:v>
      </x:c>
      <x:c r="M608" t="n">
        <x:v>0</x:v>
      </x:c>
      <x:c r="N608" t="str">
        <x:v>Fully Paid</x:v>
      </x:c>
      <x:c r="O608" t="str">
        <x:f>IF(D608="","Unknown",IF(D608&lt;25000,"&lt;$25k",IF(D608&lt;50000,"$25k-$50k",IF(D608&lt;75000,"$50k-$75k",IF(D608&lt;100000,"$75k-$100k","$100k+")))))</x:f>
        <x:v>$50k-$75k</x:v>
      </x:c>
      <x:c r="P608" t="str">
        <x:f>IF(E608="","Unknown",IF(E608&lt;10,"&lt;10",IF(E608&lt;20,"10-&lt;20",IF(E608&lt;25,"20-&lt;25",IF(E608&lt;35,"25-&lt;35","35+")))))</x:f>
        <x:v>25-&lt;35</x:v>
      </x:c>
    </x:row>
    <x:row r="609">
      <x:c r="A609" t="str">
        <x:v>SYN0000608</x:v>
      </x:c>
      <x:c r="B609" s="12" t="n">
        <x:v>43045</x:v>
      </x:c>
      <x:c r="C609" s="18" t="n">
        <x:v>12655</x:v>
      </x:c>
      <x:c r="D609" s="18" t="n">
        <x:v>84384</x:v>
      </x:c>
      <x:c r="E609" s="18" t="n">
        <x:v>26.96</x:v>
      </x:c>
      <x:c r="F609" s="18" t="n">
        <x:v>8.92</x:v>
      </x:c>
      <x:c r="G609" t="n">
        <x:v>36</x:v>
      </x:c>
      <x:c r="H609" t="str">
        <x:v>B</x:v>
      </x:c>
      <x:c r="I609" t="str">
        <x:v>1-3 years</x:v>
      </x:c>
      <x:c r="J609" t="str">
        <x:v>RENT</x:v>
      </x:c>
      <x:c r="K609" t="str">
        <x:v>debt_consolidation</x:v>
      </x:c>
      <x:c r="L609" t="n">
        <x:v>0</x:v>
      </x:c>
      <x:c r="M609" t="n">
        <x:v>0</x:v>
      </x:c>
      <x:c r="N609" t="str">
        <x:v>Fully Paid</x:v>
      </x:c>
      <x:c r="O609" t="str">
        <x:f>IF(D609="","Unknown",IF(D609&lt;25000,"&lt;$25k",IF(D609&lt;50000,"$25k-$50k",IF(D609&lt;75000,"$50k-$75k",IF(D609&lt;100000,"$75k-$100k","$100k+")))))</x:f>
        <x:v>$75k-$100k</x:v>
      </x:c>
      <x:c r="P609" t="str">
        <x:f>IF(E609="","Unknown",IF(E609&lt;10,"&lt;10",IF(E609&lt;20,"10-&lt;20",IF(E609&lt;25,"20-&lt;25",IF(E609&lt;35,"25-&lt;35","35+")))))</x:f>
        <x:v>25-&lt;35</x:v>
      </x:c>
    </x:row>
    <x:row r="610">
      <x:c r="A610" t="str">
        <x:v>SYN0000609</x:v>
      </x:c>
      <x:c r="B610" s="12" t="n">
        <x:v>41755</x:v>
      </x:c>
      <x:c r="C610" s="18" t="n">
        <x:v>8309</x:v>
      </x:c>
      <x:c r="D610" s="18" t="n">
        <x:v>83016</x:v>
      </x:c>
      <x:c r="E610" s="18" t="n">
        <x:v>20.06</x:v>
      </x:c>
      <x:c r="F610" s="18" t="n">
        <x:v>21.28</x:v>
      </x:c>
      <x:c r="G610" t="n">
        <x:v>36</x:v>
      </x:c>
      <x:c r="H610" t="str">
        <x:v>F</x:v>
      </x:c>
      <x:c r="I610" t="str">
        <x:v>&lt;1 year</x:v>
      </x:c>
      <x:c r="J610" t="str">
        <x:v>MORTGAGE</x:v>
      </x:c>
      <x:c r="K610" t="str">
        <x:v>credit_card</x:v>
      </x:c>
      <x:c r="L610" t="n">
        <x:v>2</x:v>
      </x:c>
      <x:c r="M610" t="n">
        <x:v>0</x:v>
      </x:c>
      <x:c r="N610" t="str">
        <x:v>Fully Paid</x:v>
      </x:c>
      <x:c r="O610" t="str">
        <x:f>IF(D610="","Unknown",IF(D610&lt;25000,"&lt;$25k",IF(D610&lt;50000,"$25k-$50k",IF(D610&lt;75000,"$50k-$75k",IF(D610&lt;100000,"$75k-$100k","$100k+")))))</x:f>
        <x:v>$75k-$100k</x:v>
      </x:c>
      <x:c r="P610" t="str">
        <x:f>IF(E610="","Unknown",IF(E610&lt;10,"&lt;10",IF(E610&lt;20,"10-&lt;20",IF(E610&lt;25,"20-&lt;25",IF(E610&lt;35,"25-&lt;35","35+")))))</x:f>
        <x:v>20-&lt;25</x:v>
      </x:c>
    </x:row>
    <x:row r="611">
      <x:c r="A611" t="str">
        <x:v>SYN0000610</x:v>
      </x:c>
      <x:c r="B611" s="12" t="n">
        <x:v>43015</x:v>
      </x:c>
      <x:c r="C611" s="18" t="n">
        <x:v>7953</x:v>
      </x:c>
      <x:c r="D611" s="18" t="n">
        <x:v>53386</x:v>
      </x:c>
      <x:c r="E611" s="18" t="n">
        <x:v>9.68</x:v>
      </x:c>
      <x:c r="F611" s="18" t="n">
        <x:v>5.94</x:v>
      </x:c>
      <x:c r="G611" t="n">
        <x:v>36</x:v>
      </x:c>
      <x:c r="H611" t="str">
        <x:v>A</x:v>
      </x:c>
      <x:c r="I611" t="str">
        <x:v>4-6 years</x:v>
      </x:c>
      <x:c r="J611" t="str">
        <x:v>MORTGAGE</x:v>
      </x:c>
      <x:c r="K611" t="str">
        <x:v>credit_card</x:v>
      </x:c>
      <x:c r="L611" t="n">
        <x:v>0</x:v>
      </x:c>
      <x:c r="M611" t="n">
        <x:v>0</x:v>
      </x:c>
      <x:c r="N611" t="str">
        <x:v>Fully Paid</x:v>
      </x:c>
      <x:c r="O611" t="str">
        <x:f>IF(D611="","Unknown",IF(D611&lt;25000,"&lt;$25k",IF(D611&lt;50000,"$25k-$50k",IF(D611&lt;75000,"$50k-$75k",IF(D611&lt;100000,"$75k-$100k","$100k+")))))</x:f>
        <x:v>$50k-$75k</x:v>
      </x:c>
      <x:c r="P611" t="str">
        <x:f>IF(E611="","Unknown",IF(E611&lt;10,"&lt;10",IF(E611&lt;20,"10-&lt;20",IF(E611&lt;25,"20-&lt;25",IF(E611&lt;35,"25-&lt;35","35+")))))</x:f>
        <x:v>&lt;10</x:v>
      </x:c>
    </x:row>
    <x:row r="612">
      <x:c r="A612" t="str">
        <x:v>SYN0000611</x:v>
      </x:c>
      <x:c r="B612" s="12" t="n">
        <x:v>41815</x:v>
      </x:c>
      <x:c r="C612" s="18" t="n">
        <x:v>12856</x:v>
      </x:c>
      <x:c r="D612" s="18" t="n">
        <x:v>47119</x:v>
      </x:c>
      <x:c r="E612" s="18" t="n">
        <x:v>34.76</x:v>
      </x:c>
      <x:c r="F612" s="18" t="n">
        <x:v>15.5</x:v>
      </x:c>
      <x:c r="G612" t="n">
        <x:v>60</x:v>
      </x:c>
      <x:c r="H612" t="str">
        <x:v>D</x:v>
      </x:c>
      <x:c r="I612" t="str">
        <x:v>10+ years</x:v>
      </x:c>
      <x:c r="J612" t="str">
        <x:v>OWN</x:v>
      </x:c>
      <x:c r="K612" t="str">
        <x:v>credit_card</x:v>
      </x:c>
      <x:c r="L612" t="n">
        <x:v>0</x:v>
      </x:c>
      <x:c r="M612" t="n">
        <x:v>1</x:v>
      </x:c>
      <x:c r="N612" t="str">
        <x:v>Charged Off</x:v>
      </x:c>
      <x:c r="O612" t="str">
        <x:f>IF(D612="","Unknown",IF(D612&lt;25000,"&lt;$25k",IF(D612&lt;50000,"$25k-$50k",IF(D612&lt;75000,"$50k-$75k",IF(D612&lt;100000,"$75k-$100k","$100k+")))))</x:f>
        <x:v>$25k-$50k</x:v>
      </x:c>
      <x:c r="P612" t="str">
        <x:f>IF(E612="","Unknown",IF(E612&lt;10,"&lt;10",IF(E612&lt;20,"10-&lt;20",IF(E612&lt;25,"20-&lt;25",IF(E612&lt;35,"25-&lt;35","35+")))))</x:f>
        <x:v>25-&lt;35</x:v>
      </x:c>
    </x:row>
    <x:row r="613">
      <x:c r="A613" t="str">
        <x:v>SYN0000612</x:v>
      </x:c>
      <x:c r="B613" s="12" t="n">
        <x:v>42835</x:v>
      </x:c>
      <x:c r="C613" s="18" t="n">
        <x:v>25622</x:v>
      </x:c>
      <x:c r="D613" s="18" t="n">
        <x:v>153482</x:v>
      </x:c>
      <x:c r="E613" s="18" t="n">
        <x:v>27.28</x:v>
      </x:c>
      <x:c r="F613" s="18" t="n">
        <x:v>17.46</x:v>
      </x:c>
      <x:c r="G613" t="n">
        <x:v>60</x:v>
      </x:c>
      <x:c r="H613" t="str">
        <x:v>E</x:v>
      </x:c>
      <x:c r="I613" t="str">
        <x:v>1-3 years</x:v>
      </x:c>
      <x:c r="J613" t="str">
        <x:v>OWN</x:v>
      </x:c>
      <x:c r="K613" t="str">
        <x:v>debt_consolidation</x:v>
      </x:c>
      <x:c r="L613" t="n">
        <x:v>1</x:v>
      </x:c>
      <x:c r="M613" t="n">
        <x:v>0</x:v>
      </x:c>
      <x:c r="N613" t="str">
        <x:v>Fully Paid</x:v>
      </x:c>
      <x:c r="O613" t="str">
        <x:f>IF(D613="","Unknown",IF(D613&lt;25000,"&lt;$25k",IF(D613&lt;50000,"$25k-$50k",IF(D613&lt;75000,"$50k-$75k",IF(D613&lt;100000,"$75k-$100k","$100k+")))))</x:f>
        <x:v>$100k+</x:v>
      </x:c>
      <x:c r="P613" t="str">
        <x:f>IF(E613="","Unknown",IF(E613&lt;10,"&lt;10",IF(E613&lt;20,"10-&lt;20",IF(E613&lt;25,"20-&lt;25",IF(E613&lt;35,"25-&lt;35","35+")))))</x:f>
        <x:v>25-&lt;35</x:v>
      </x:c>
    </x:row>
    <x:row r="614">
      <x:c r="A614" t="str">
        <x:v>SYN0000613</x:v>
      </x:c>
      <x:c r="B614" s="12" t="n">
        <x:v>42235</x:v>
      </x:c>
      <x:c r="C614" s="18" t="n">
        <x:v>9609</x:v>
      </x:c>
      <x:c r="D614" s="18" t="n">
        <x:v>72476</x:v>
      </x:c>
      <x:c r="E614" s="18" t="n">
        <x:v>9.61</x:v>
      </x:c>
      <x:c r="F614" s="18" t="n">
        <x:v>27.27</x:v>
      </x:c>
      <x:c r="G614" t="n">
        <x:v>36</x:v>
      </x:c>
      <x:c r="H614" t="str">
        <x:v>G</x:v>
      </x:c>
      <x:c r="I614" t="str">
        <x:v>&lt;1 year</x:v>
      </x:c>
      <x:c r="J614" t="str">
        <x:v>MORTGAGE</x:v>
      </x:c>
      <x:c r="K614" t="str">
        <x:v>credit_card</x:v>
      </x:c>
      <x:c r="L614" t="n">
        <x:v>4</x:v>
      </x:c>
      <x:c r="M614" t="n">
        <x:v>1</x:v>
      </x:c>
      <x:c r="N614" t="str">
        <x:v>Charged Off</x:v>
      </x:c>
      <x:c r="O614" t="str">
        <x:f>IF(D614="","Unknown",IF(D614&lt;25000,"&lt;$25k",IF(D614&lt;50000,"$25k-$50k",IF(D614&lt;75000,"$50k-$75k",IF(D614&lt;100000,"$75k-$100k","$100k+")))))</x:f>
        <x:v>$50k-$75k</x:v>
      </x:c>
      <x:c r="P614" t="str">
        <x:f>IF(E614="","Unknown",IF(E614&lt;10,"&lt;10",IF(E614&lt;20,"10-&lt;20",IF(E614&lt;25,"20-&lt;25",IF(E614&lt;35,"25-&lt;35","35+")))))</x:f>
        <x:v>&lt;10</x:v>
      </x:c>
    </x:row>
    <x:row r="615">
      <x:c r="A615" t="str">
        <x:v>SYN0000614</x:v>
      </x:c>
      <x:c r="B615" s="12" t="n">
        <x:v>43315</x:v>
      </x:c>
      <x:c r="C615" s="18" t="n">
        <x:v>19511</x:v>
      </x:c>
      <x:c r="D615" s="18" t="n">
        <x:v>40345</x:v>
      </x:c>
      <x:c r="E615" s="18" t="n">
        <x:v>22.15</x:v>
      </x:c>
      <x:c r="F615" s="18" t="n">
        <x:v>5</x:v>
      </x:c>
      <x:c r="G615" t="n">
        <x:v>36</x:v>
      </x:c>
      <x:c r="H615" t="str">
        <x:v>B</x:v>
      </x:c>
      <x:c r="I615" t="str">
        <x:v>4-6 years</x:v>
      </x:c>
      <x:c r="J615" t="str">
        <x:v>MORTGAGE</x:v>
      </x:c>
      <x:c r="K615" t="str">
        <x:v>credit_card</x:v>
      </x:c>
      <x:c r="L615" t="n">
        <x:v>2</x:v>
      </x:c>
      <x:c r="M615" t="n">
        <x:v>0</x:v>
      </x:c>
      <x:c r="N615" t="str">
        <x:v>Fully Paid</x:v>
      </x:c>
      <x:c r="O615" t="str">
        <x:f>IF(D615="","Unknown",IF(D615&lt;25000,"&lt;$25k",IF(D615&lt;50000,"$25k-$50k",IF(D615&lt;75000,"$50k-$75k",IF(D615&lt;100000,"$75k-$100k","$100k+")))))</x:f>
        <x:v>$25k-$50k</x:v>
      </x:c>
      <x:c r="P615" t="str">
        <x:f>IF(E615="","Unknown",IF(E615&lt;10,"&lt;10",IF(E615&lt;20,"10-&lt;20",IF(E615&lt;25,"20-&lt;25",IF(E615&lt;35,"25-&lt;35","35+")))))</x:f>
        <x:v>20-&lt;25</x:v>
      </x:c>
    </x:row>
    <x:row r="616">
      <x:c r="A616" t="str">
        <x:v>SYN0000615</x:v>
      </x:c>
      <x:c r="B616" s="12" t="n">
        <x:v>42445</x:v>
      </x:c>
      <x:c r="C616" s="18" t="n">
        <x:v>3709</x:v>
      </x:c>
      <x:c r="D616" s="18" t="n">
        <x:v>24514</x:v>
      </x:c>
      <x:c r="E616" s="18" t="n">
        <x:v>28.74</x:v>
      </x:c>
      <x:c r="F616" s="18" t="n">
        <x:v>18.1</x:v>
      </x:c>
      <x:c r="G616" t="n">
        <x:v>36</x:v>
      </x:c>
      <x:c r="H616" t="str">
        <x:v>E</x:v>
      </x:c>
      <x:c r="I616" t="str">
        <x:v>&lt;1 year</x:v>
      </x:c>
      <x:c r="J616" t="str">
        <x:v>MORTGAGE</x:v>
      </x:c>
      <x:c r="K616" t="str">
        <x:v>major_purchase</x:v>
      </x:c>
      <x:c r="L616" t="n">
        <x:v>3</x:v>
      </x:c>
      <x:c r="M616" t="n">
        <x:v>0</x:v>
      </x:c>
      <x:c r="N616" t="str">
        <x:v>Fully Paid</x:v>
      </x:c>
      <x:c r="O616" t="str">
        <x:f>IF(D616="","Unknown",IF(D616&lt;25000,"&lt;$25k",IF(D616&lt;50000,"$25k-$50k",IF(D616&lt;75000,"$50k-$75k",IF(D616&lt;100000,"$75k-$100k","$100k+")))))</x:f>
        <x:v>&lt;$25k</x:v>
      </x:c>
      <x:c r="P616" t="str">
        <x:f>IF(E616="","Unknown",IF(E616&lt;10,"&lt;10",IF(E616&lt;20,"10-&lt;20",IF(E616&lt;25,"20-&lt;25",IF(E616&lt;35,"25-&lt;35","35+")))))</x:f>
        <x:v>25-&lt;35</x:v>
      </x:c>
    </x:row>
    <x:row r="617">
      <x:c r="A617" t="str">
        <x:v>SYN0000616</x:v>
      </x:c>
      <x:c r="B617" s="12" t="n">
        <x:v>42475</x:v>
      </x:c>
      <x:c r="C617" s="18" t="n">
        <x:v>10991</x:v>
      </x:c>
      <x:c r="D617" s="18" t="n">
        <x:v>75707</x:v>
      </x:c>
      <x:c r="E617" s="18" t="n">
        <x:v>14.99</x:v>
      </x:c>
      <x:c r="F617" s="18" t="n">
        <x:v>5.11</x:v>
      </x:c>
      <x:c r="G617" t="n">
        <x:v>36</x:v>
      </x:c>
      <x:c r="H617" t="str">
        <x:v>A</x:v>
      </x:c>
      <x:c r="I617" t="str">
        <x:v>7-9 years</x:v>
      </x:c>
      <x:c r="J617" t="str">
        <x:v>RENT</x:v>
      </x:c>
      <x:c r="K617" t="str">
        <x:v>debt_consolidation</x:v>
      </x:c>
      <x:c r="L617" t="n">
        <x:v>0</x:v>
      </x:c>
      <x:c r="M617" t="n">
        <x:v>0</x:v>
      </x:c>
      <x:c r="N617" t="str">
        <x:v>Fully Paid</x:v>
      </x:c>
      <x:c r="O617" t="str">
        <x:f>IF(D617="","Unknown",IF(D617&lt;25000,"&lt;$25k",IF(D617&lt;50000,"$25k-$50k",IF(D617&lt;75000,"$50k-$75k",IF(D617&lt;100000,"$75k-$100k","$100k+")))))</x:f>
        <x:v>$75k-$100k</x:v>
      </x:c>
      <x:c r="P617" t="str">
        <x:f>IF(E617="","Unknown",IF(E617&lt;10,"&lt;10",IF(E617&lt;20,"10-&lt;20",IF(E617&lt;25,"20-&lt;25",IF(E617&lt;35,"25-&lt;35","35+")))))</x:f>
        <x:v>10-&lt;20</x:v>
      </x:c>
    </x:row>
    <x:row r="618">
      <x:c r="A618" t="str">
        <x:v>SYN0000617</x:v>
      </x:c>
      <x:c r="B618" s="12" t="n">
        <x:v>41935</x:v>
      </x:c>
      <x:c r="C618" s="18" t="n">
        <x:v>12578</x:v>
      </x:c>
      <x:c r="D618" s="18" t="n">
        <x:v>23309</x:v>
      </x:c>
      <x:c r="E618" s="18" t="n">
        <x:v>26.25</x:v>
      </x:c>
      <x:c r="F618" s="18" t="n">
        <x:v>15.19</x:v>
      </x:c>
      <x:c r="G618" t="n">
        <x:v>36</x:v>
      </x:c>
      <x:c r="H618" t="str">
        <x:v>D</x:v>
      </x:c>
      <x:c r="I618" t="str">
        <x:v>7-9 years</x:v>
      </x:c>
      <x:c r="J618" t="str">
        <x:v>MORTGAGE</x:v>
      </x:c>
      <x:c r="K618" t="str">
        <x:v>credit_card</x:v>
      </x:c>
      <x:c r="L618" t="n">
        <x:v>0</x:v>
      </x:c>
      <x:c r="M618" t="n">
        <x:v>0</x:v>
      </x:c>
      <x:c r="N618" t="str">
        <x:v>Fully Paid</x:v>
      </x:c>
      <x:c r="O618" t="str">
        <x:f>IF(D618="","Unknown",IF(D618&lt;25000,"&lt;$25k",IF(D618&lt;50000,"$25k-$50k",IF(D618&lt;75000,"$50k-$75k",IF(D618&lt;100000,"$75k-$100k","$100k+")))))</x:f>
        <x:v>&lt;$25k</x:v>
      </x:c>
      <x:c r="P618" t="str">
        <x:f>IF(E618="","Unknown",IF(E618&lt;10,"&lt;10",IF(E618&lt;20,"10-&lt;20",IF(E618&lt;25,"20-&lt;25",IF(E618&lt;35,"25-&lt;35","35+")))))</x:f>
        <x:v>25-&lt;35</x:v>
      </x:c>
    </x:row>
    <x:row r="619">
      <x:c r="A619" t="str">
        <x:v>SYN0000618</x:v>
      </x:c>
      <x:c r="B619" s="12" t="n">
        <x:v>43405</x:v>
      </x:c>
      <x:c r="C619" s="18" t="n">
        <x:v>9553</x:v>
      </x:c>
      <x:c r="D619" s="18" t="n">
        <x:v>31964</x:v>
      </x:c>
      <x:c r="E619" s="18" t="n">
        <x:v>10.81</x:v>
      </x:c>
      <x:c r="F619" s="18" t="n">
        <x:v>12.24</x:v>
      </x:c>
      <x:c r="G619" t="n">
        <x:v>36</x:v>
      </x:c>
      <x:c r="H619" t="str">
        <x:v>C</x:v>
      </x:c>
      <x:c r="I619" t="str">
        <x:v>10+ years</x:v>
      </x:c>
      <x:c r="J619" t="str">
        <x:v>OWN</x:v>
      </x:c>
      <x:c r="K619" t="str">
        <x:v>other</x:v>
      </x:c>
      <x:c r="L619" t="n">
        <x:v>0</x:v>
      </x:c>
      <x:c r="M619" t="n">
        <x:v>0</x:v>
      </x:c>
      <x:c r="N619" t="str">
        <x:v>Fully Paid</x:v>
      </x:c>
      <x:c r="O619" t="str">
        <x:f>IF(D619="","Unknown",IF(D619&lt;25000,"&lt;$25k",IF(D619&lt;50000,"$25k-$50k",IF(D619&lt;75000,"$50k-$75k",IF(D619&lt;100000,"$75k-$100k","$100k+")))))</x:f>
        <x:v>$25k-$50k</x:v>
      </x:c>
      <x:c r="P619" t="str">
        <x:f>IF(E619="","Unknown",IF(E619&lt;10,"&lt;10",IF(E619&lt;20,"10-&lt;20",IF(E619&lt;25,"20-&lt;25",IF(E619&lt;35,"25-&lt;35","35+")))))</x:f>
        <x:v>10-&lt;20</x:v>
      </x:c>
    </x:row>
    <x:row r="620">
      <x:c r="A620" t="str">
        <x:v>SYN0000619</x:v>
      </x:c>
      <x:c r="B620" s="12" t="n">
        <x:v>41365</x:v>
      </x:c>
      <x:c r="C620" s="18" t="n">
        <x:v>15367</x:v>
      </x:c>
      <x:c r="D620" s="18" t="n">
        <x:v>69850</x:v>
      </x:c>
      <x:c r="E620" s="18" t="n">
        <x:v>25.07</x:v>
      </x:c>
      <x:c r="F620" s="18" t="n">
        <x:v>13.14</x:v>
      </x:c>
      <x:c r="G620" t="n">
        <x:v>36</x:v>
      </x:c>
      <x:c r="H620" t="str">
        <x:v>C</x:v>
      </x:c>
      <x:c r="I620" t="str">
        <x:v>1-3 years</x:v>
      </x:c>
      <x:c r="J620" t="str">
        <x:v>MORTGAGE</x:v>
      </x:c>
      <x:c r="K620" t="str">
        <x:v>debt_consolidation</x:v>
      </x:c>
      <x:c r="L620" t="n">
        <x:v>1</x:v>
      </x:c>
      <x:c r="M620" t="n">
        <x:v>0</x:v>
      </x:c>
      <x:c r="N620" t="str">
        <x:v>Fully Paid</x:v>
      </x:c>
      <x:c r="O620" t="str">
        <x:f>IF(D620="","Unknown",IF(D620&lt;25000,"&lt;$25k",IF(D620&lt;50000,"$25k-$50k",IF(D620&lt;75000,"$50k-$75k",IF(D620&lt;100000,"$75k-$100k","$100k+")))))</x:f>
        <x:v>$50k-$75k</x:v>
      </x:c>
      <x:c r="P620" t="str">
        <x:f>IF(E620="","Unknown",IF(E620&lt;10,"&lt;10",IF(E620&lt;20,"10-&lt;20",IF(E620&lt;25,"20-&lt;25",IF(E620&lt;35,"25-&lt;35","35+")))))</x:f>
        <x:v>25-&lt;35</x:v>
      </x:c>
    </x:row>
    <x:row r="621">
      <x:c r="A621" t="str">
        <x:v>SYN0000620</x:v>
      </x:c>
      <x:c r="B621" s="12" t="n">
        <x:v>41605</x:v>
      </x:c>
      <x:c r="C621" s="18" t="n">
        <x:v>23052</x:v>
      </x:c>
      <x:c r="D621" s="18" t="n">
        <x:v>48024</x:v>
      </x:c>
      <x:c r="E621" s="18" t="n">
        <x:v>18.97</x:v>
      </x:c>
      <x:c r="F621" s="18" t="n">
        <x:v>11.56</x:v>
      </x:c>
      <x:c r="G621" t="n">
        <x:v>36</x:v>
      </x:c>
      <x:c r="H621" t="str">
        <x:v>C</x:v>
      </x:c>
      <x:c r="I621" t="str">
        <x:v>&lt;1 year</x:v>
      </x:c>
      <x:c r="J621" t="str">
        <x:v>MORTGAGE</x:v>
      </x:c>
      <x:c r="K621" t="str">
        <x:v>other</x:v>
      </x:c>
      <x:c r="L621" t="n">
        <x:v>1</x:v>
      </x:c>
      <x:c r="M621" t="n">
        <x:v>0</x:v>
      </x:c>
      <x:c r="N621" t="str">
        <x:v>Fully Paid</x:v>
      </x:c>
      <x:c r="O621" t="str">
        <x:f>IF(D621="","Unknown",IF(D621&lt;25000,"&lt;$25k",IF(D621&lt;50000,"$25k-$50k",IF(D621&lt;75000,"$50k-$75k",IF(D621&lt;100000,"$75k-$100k","$100k+")))))</x:f>
        <x:v>$25k-$50k</x:v>
      </x:c>
      <x:c r="P621" t="str">
        <x:f>IF(E621="","Unknown",IF(E621&lt;10,"&lt;10",IF(E621&lt;20,"10-&lt;20",IF(E621&lt;25,"20-&lt;25",IF(E621&lt;35,"25-&lt;35","35+")))))</x:f>
        <x:v>10-&lt;20</x:v>
      </x:c>
    </x:row>
    <x:row r="622">
      <x:c r="A622" t="str">
        <x:v>SYN0000621</x:v>
      </x:c>
      <x:c r="B622" s="12" t="n">
        <x:v>41815</x:v>
      </x:c>
      <x:c r="C622" s="18" t="n">
        <x:v>17082</x:v>
      </x:c>
      <x:c r="D622" s="18" t="n">
        <x:v>79794</x:v>
      </x:c>
      <x:c r="E622" s="18" t="n">
        <x:v>0</x:v>
      </x:c>
      <x:c r="F622" s="18" t="n">
        <x:v>7.93</x:v>
      </x:c>
      <x:c r="G622" t="n">
        <x:v>36</x:v>
      </x:c>
      <x:c r="H622" t="str">
        <x:v>B</x:v>
      </x:c>
      <x:c r="I622" t="str">
        <x:v>4-6 years</x:v>
      </x:c>
      <x:c r="J622" t="str">
        <x:v>MORTGAGE</x:v>
      </x:c>
      <x:c r="K622" t="str">
        <x:v>major_purchase</x:v>
      </x:c>
      <x:c r="L622" t="n">
        <x:v>0</x:v>
      </x:c>
      <x:c r="M622" t="n">
        <x:v>0</x:v>
      </x:c>
      <x:c r="N622" t="str">
        <x:v>Fully Paid</x:v>
      </x:c>
      <x:c r="O622" t="str">
        <x:f>IF(D622="","Unknown",IF(D622&lt;25000,"&lt;$25k",IF(D622&lt;50000,"$25k-$50k",IF(D622&lt;75000,"$50k-$75k",IF(D622&lt;100000,"$75k-$100k","$100k+")))))</x:f>
        <x:v>$75k-$100k</x:v>
      </x:c>
      <x:c r="P622" t="str">
        <x:f>IF(E622="","Unknown",IF(E622&lt;10,"&lt;10",IF(E622&lt;20,"10-&lt;20",IF(E622&lt;25,"20-&lt;25",IF(E622&lt;35,"25-&lt;35","35+")))))</x:f>
        <x:v>Unknown</x:v>
      </x:c>
    </x:row>
    <x:row r="623">
      <x:c r="A623" t="str">
        <x:v>SYN0000622</x:v>
      </x:c>
      <x:c r="B623" s="12" t="n">
        <x:v>42145</x:v>
      </x:c>
      <x:c r="C623" s="18" t="n">
        <x:v>17277</x:v>
      </x:c>
      <x:c r="D623" s="18" t="n">
        <x:v>46773</x:v>
      </x:c>
      <x:c r="E623" s="18" t="n">
        <x:v>19.8</x:v>
      </x:c>
      <x:c r="F623" s="18" t="n">
        <x:v>17.43</x:v>
      </x:c>
      <x:c r="G623" t="n">
        <x:v>60</x:v>
      </x:c>
      <x:c r="H623" t="str">
        <x:v>E</x:v>
      </x:c>
      <x:c r="I623" t="str">
        <x:v>7-9 years</x:v>
      </x:c>
      <x:c r="J623" t="str">
        <x:v>MORTGAGE</x:v>
      </x:c>
      <x:c r="K623" t="str">
        <x:v>major_purchase</x:v>
      </x:c>
      <x:c r="L623" t="n">
        <x:v>1</x:v>
      </x:c>
      <x:c r="M623" t="n">
        <x:v>0</x:v>
      </x:c>
      <x:c r="N623" t="str">
        <x:v>Fully Paid</x:v>
      </x:c>
      <x:c r="O623" t="str">
        <x:f>IF(D623="","Unknown",IF(D623&lt;25000,"&lt;$25k",IF(D623&lt;50000,"$25k-$50k",IF(D623&lt;75000,"$50k-$75k",IF(D623&lt;100000,"$75k-$100k","$100k+")))))</x:f>
        <x:v>$25k-$50k</x:v>
      </x:c>
      <x:c r="P623" t="str">
        <x:f>IF(E623="","Unknown",IF(E623&lt;10,"&lt;10",IF(E623&lt;20,"10-&lt;20",IF(E623&lt;25,"20-&lt;25",IF(E623&lt;35,"25-&lt;35","35+")))))</x:f>
        <x:v>10-&lt;20</x:v>
      </x:c>
    </x:row>
    <x:row r="624">
      <x:c r="A624" t="str">
        <x:v>SYN0000623</x:v>
      </x:c>
      <x:c r="B624" s="12" t="n">
        <x:v>42235</x:v>
      </x:c>
      <x:c r="C624" s="18" t="n">
        <x:v>11048</x:v>
      </x:c>
      <x:c r="D624" s="18" t="n">
        <x:v>51982</x:v>
      </x:c>
      <x:c r="E624" s="18" t="n">
        <x:v>19.82</x:v>
      </x:c>
      <x:c r="F624" s="18" t="n">
        <x:v>14.85</x:v>
      </x:c>
      <x:c r="G624" t="n">
        <x:v>36</x:v>
      </x:c>
      <x:c r="H624" t="str">
        <x:v>D</x:v>
      </x:c>
      <x:c r="I624" t="str">
        <x:v>10+ years</x:v>
      </x:c>
      <x:c r="J624" t="str">
        <x:v>MORTGAGE</x:v>
      </x:c>
      <x:c r="K624" t="str">
        <x:v>other</x:v>
      </x:c>
      <x:c r="L624" t="n">
        <x:v>1</x:v>
      </x:c>
      <x:c r="M624" t="n">
        <x:v>0</x:v>
      </x:c>
      <x:c r="N624" t="str">
        <x:v>Fully Paid</x:v>
      </x:c>
      <x:c r="O624" t="str">
        <x:f>IF(D624="","Unknown",IF(D624&lt;25000,"&lt;$25k",IF(D624&lt;50000,"$25k-$50k",IF(D624&lt;75000,"$50k-$75k",IF(D624&lt;100000,"$75k-$100k","$100k+")))))</x:f>
        <x:v>$50k-$75k</x:v>
      </x:c>
      <x:c r="P624" t="str">
        <x:f>IF(E624="","Unknown",IF(E624&lt;10,"&lt;10",IF(E624&lt;20,"10-&lt;20",IF(E624&lt;25,"20-&lt;25",IF(E624&lt;35,"25-&lt;35","35+")))))</x:f>
        <x:v>10-&lt;20</x:v>
      </x:c>
    </x:row>
    <x:row r="625">
      <x:c r="A625" t="str">
        <x:v>SYN0000624</x:v>
      </x:c>
      <x:c r="B625" s="12" t="n">
        <x:v>42985</x:v>
      </x:c>
      <x:c r="C625" s="18" t="n">
        <x:v>16357</x:v>
      </x:c>
      <x:c r="D625" s="18" t="n">
        <x:v>66804</x:v>
      </x:c>
      <x:c r="E625" s="18" t="n">
        <x:v>33.73</x:v>
      </x:c>
      <x:c r="F625" s="18" t="n">
        <x:v>19.98</x:v>
      </x:c>
      <x:c r="G625" t="n">
        <x:v>36</x:v>
      </x:c>
      <x:c r="H625" t="str">
        <x:v>E</x:v>
      </x:c>
      <x:c r="I625" t="str">
        <x:v>1-3 years</x:v>
      </x:c>
      <x:c r="J625" t="str">
        <x:v>MORTGAGE</x:v>
      </x:c>
      <x:c r="K625" t="str">
        <x:v>medical</x:v>
      </x:c>
      <x:c r="L625" t="n">
        <x:v>0</x:v>
      </x:c>
      <x:c r="M625" t="n">
        <x:v>0</x:v>
      </x:c>
      <x:c r="N625" t="str">
        <x:v>Fully Paid</x:v>
      </x:c>
      <x:c r="O625" t="str">
        <x:f>IF(D625="","Unknown",IF(D625&lt;25000,"&lt;$25k",IF(D625&lt;50000,"$25k-$50k",IF(D625&lt;75000,"$50k-$75k",IF(D625&lt;100000,"$75k-$100k","$100k+")))))</x:f>
        <x:v>$50k-$75k</x:v>
      </x:c>
      <x:c r="P625" t="str">
        <x:f>IF(E625="","Unknown",IF(E625&lt;10,"&lt;10",IF(E625&lt;20,"10-&lt;20",IF(E625&lt;25,"20-&lt;25",IF(E625&lt;35,"25-&lt;35","35+")))))</x:f>
        <x:v>25-&lt;35</x:v>
      </x:c>
    </x:row>
    <x:row r="626">
      <x:c r="A626" t="str">
        <x:v>SYN0000625</x:v>
      </x:c>
      <x:c r="B626" s="12" t="n">
        <x:v>42595</x:v>
      </x:c>
      <x:c r="C626" s="18" t="n">
        <x:v>21158</x:v>
      </x:c>
      <x:c r="D626" s="18" t="n">
        <x:v>75210</x:v>
      </x:c>
      <x:c r="E626" s="18" t="n">
        <x:v>10.5</x:v>
      </x:c>
      <x:c r="F626" s="18" t="n">
        <x:v>5.01</x:v>
      </x:c>
      <x:c r="G626" t="n">
        <x:v>36</x:v>
      </x:c>
      <x:c r="H626" t="str">
        <x:v>A</x:v>
      </x:c>
      <x:c r="I626" t="str">
        <x:v>&lt;1 year</x:v>
      </x:c>
      <x:c r="J626" t="str">
        <x:v>OWN</x:v>
      </x:c>
      <x:c r="K626" t="str">
        <x:v>other</x:v>
      </x:c>
      <x:c r="L626" t="n">
        <x:v>0</x:v>
      </x:c>
      <x:c r="M626" t="n">
        <x:v>0</x:v>
      </x:c>
      <x:c r="N626" t="str">
        <x:v>Fully Paid</x:v>
      </x:c>
      <x:c r="O626" t="str">
        <x:f>IF(D626="","Unknown",IF(D626&lt;25000,"&lt;$25k",IF(D626&lt;50000,"$25k-$50k",IF(D626&lt;75000,"$50k-$75k",IF(D626&lt;100000,"$75k-$100k","$100k+")))))</x:f>
        <x:v>$75k-$100k</x:v>
      </x:c>
      <x:c r="P626" t="str">
        <x:f>IF(E626="","Unknown",IF(E626&lt;10,"&lt;10",IF(E626&lt;20,"10-&lt;20",IF(E626&lt;25,"20-&lt;25",IF(E626&lt;35,"25-&lt;35","35+")))))</x:f>
        <x:v>10-&lt;20</x:v>
      </x:c>
    </x:row>
    <x:row r="627">
      <x:c r="A627" t="str">
        <x:v>SYN0000626</x:v>
      </x:c>
      <x:c r="B627" s="12" t="n">
        <x:v>41455</x:v>
      </x:c>
      <x:c r="C627" s="18" t="n">
        <x:v>23331</x:v>
      </x:c>
      <x:c r="D627" s="18" t="n">
        <x:v>40810</x:v>
      </x:c>
      <x:c r="E627" s="18" t="n">
        <x:v>19.68</x:v>
      </x:c>
      <x:c r="F627" s="18" t="n">
        <x:v>10.38</x:v>
      </x:c>
      <x:c r="G627" t="n">
        <x:v>36</x:v>
      </x:c>
      <x:c r="H627" t="str">
        <x:v>B</x:v>
      </x:c>
      <x:c r="I627" t="str">
        <x:v>10+ years</x:v>
      </x:c>
      <x:c r="J627" t="str">
        <x:v>OTHER</x:v>
      </x:c>
      <x:c r="K627" t="str">
        <x:v>debt_consolidation</x:v>
      </x:c>
      <x:c r="L627" t="n">
        <x:v>0</x:v>
      </x:c>
      <x:c r="M627" t="n">
        <x:v>0</x:v>
      </x:c>
      <x:c r="N627" t="str">
        <x:v>Fully Paid</x:v>
      </x:c>
      <x:c r="O627" t="str">
        <x:f>IF(D627="","Unknown",IF(D627&lt;25000,"&lt;$25k",IF(D627&lt;50000,"$25k-$50k",IF(D627&lt;75000,"$50k-$75k",IF(D627&lt;100000,"$75k-$100k","$100k+")))))</x:f>
        <x:v>$25k-$50k</x:v>
      </x:c>
      <x:c r="P627" t="str">
        <x:f>IF(E627="","Unknown",IF(E627&lt;10,"&lt;10",IF(E627&lt;20,"10-&lt;20",IF(E627&lt;25,"20-&lt;25",IF(E627&lt;35,"25-&lt;35","35+")))))</x:f>
        <x:v>10-&lt;20</x:v>
      </x:c>
    </x:row>
    <x:row r="628">
      <x:c r="A628" t="str">
        <x:v>SYN0000627</x:v>
      </x:c>
      <x:c r="B628" s="12" t="n">
        <x:v>42865</x:v>
      </x:c>
      <x:c r="C628" s="18" t="n">
        <x:v>21416</x:v>
      </x:c>
      <x:c r="D628" s="18" t="n">
        <x:v>36415</x:v>
      </x:c>
      <x:c r="E628" s="18" t="n">
        <x:v>20.97</x:v>
      </x:c>
      <x:c r="F628" s="18" t="n">
        <x:v>16.59</x:v>
      </x:c>
      <x:c r="G628" t="n">
        <x:v>36</x:v>
      </x:c>
      <x:c r="H628" t="str">
        <x:v>D</x:v>
      </x:c>
      <x:c r="I628" t="str">
        <x:v>4-6 years</x:v>
      </x:c>
      <x:c r="J628" t="str">
        <x:v>MORTGAGE</x:v>
      </x:c>
      <x:c r="K628" t="str">
        <x:v>major_purchase</x:v>
      </x:c>
      <x:c r="L628" t="n">
        <x:v>0</x:v>
      </x:c>
      <x:c r="M628" t="n">
        <x:v>0</x:v>
      </x:c>
      <x:c r="N628" t="str">
        <x:v>Fully Paid</x:v>
      </x:c>
      <x:c r="O628" t="str">
        <x:f>IF(D628="","Unknown",IF(D628&lt;25000,"&lt;$25k",IF(D628&lt;50000,"$25k-$50k",IF(D628&lt;75000,"$50k-$75k",IF(D628&lt;100000,"$75k-$100k","$100k+")))))</x:f>
        <x:v>$25k-$50k</x:v>
      </x:c>
      <x:c r="P628" t="str">
        <x:f>IF(E628="","Unknown",IF(E628&lt;10,"&lt;10",IF(E628&lt;20,"10-&lt;20",IF(E628&lt;25,"20-&lt;25",IF(E628&lt;35,"25-&lt;35","35+")))))</x:f>
        <x:v>20-&lt;25</x:v>
      </x:c>
    </x:row>
    <x:row r="629">
      <x:c r="A629" t="str">
        <x:v>SYN0000628</x:v>
      </x:c>
      <x:c r="B629" s="12" t="n">
        <x:v>42835</x:v>
      </x:c>
      <x:c r="C629" s="18" t="n">
        <x:v>7843</x:v>
      </x:c>
      <x:c r="D629" s="18" t="n">
        <x:v>75440</x:v>
      </x:c>
      <x:c r="E629" s="18" t="n">
        <x:v>23.23</x:v>
      </x:c>
      <x:c r="F629" s="18" t="n">
        <x:v>6.98</x:v>
      </x:c>
      <x:c r="G629" t="n">
        <x:v>36</x:v>
      </x:c>
      <x:c r="H629" t="str">
        <x:v>B</x:v>
      </x:c>
      <x:c r="I629" t="str">
        <x:v>7-9 years</x:v>
      </x:c>
      <x:c r="J629" t="str">
        <x:v>RENT</x:v>
      </x:c>
      <x:c r="K629" t="str">
        <x:v>debt_consolidation</x:v>
      </x:c>
      <x:c r="L629" t="n">
        <x:v>0</x:v>
      </x:c>
      <x:c r="M629" t="n">
        <x:v>0</x:v>
      </x:c>
      <x:c r="N629" t="str">
        <x:v>Fully Paid</x:v>
      </x:c>
      <x:c r="O629" t="str">
        <x:f>IF(D629="","Unknown",IF(D629&lt;25000,"&lt;$25k",IF(D629&lt;50000,"$25k-$50k",IF(D629&lt;75000,"$50k-$75k",IF(D629&lt;100000,"$75k-$100k","$100k+")))))</x:f>
        <x:v>$75k-$100k</x:v>
      </x:c>
      <x:c r="P629" t="str">
        <x:f>IF(E629="","Unknown",IF(E629&lt;10,"&lt;10",IF(E629&lt;20,"10-&lt;20",IF(E629&lt;25,"20-&lt;25",IF(E629&lt;35,"25-&lt;35","35+")))))</x:f>
        <x:v>20-&lt;25</x:v>
      </x:c>
    </x:row>
    <x:row r="630">
      <x:c r="A630" t="str">
        <x:v>SYN0000629</x:v>
      </x:c>
      <x:c r="B630" s="12" t="n">
        <x:v>43015</x:v>
      </x:c>
      <x:c r="C630" s="18" t="n">
        <x:v>9156</x:v>
      </x:c>
      <x:c r="D630" s="18" t="n">
        <x:v>62232</x:v>
      </x:c>
      <x:c r="E630" s="18" t="n">
        <x:v>34.93</x:v>
      </x:c>
      <x:c r="F630" s="18" t="n">
        <x:v>11.28</x:v>
      </x:c>
      <x:c r="G630" t="n">
        <x:v>60</x:v>
      </x:c>
      <x:c r="H630" t="str">
        <x:v>C</x:v>
      </x:c>
      <x:c r="I630" t="str">
        <x:v>10+ years</x:v>
      </x:c>
      <x:c r="J630" t="str">
        <x:v>RENT</x:v>
      </x:c>
      <x:c r="K630" t="str">
        <x:v>debt_consolidation</x:v>
      </x:c>
      <x:c r="L630" t="n">
        <x:v>2</x:v>
      </x:c>
      <x:c r="M630" t="n">
        <x:v>0</x:v>
      </x:c>
      <x:c r="N630" t="str">
        <x:v>Fully Paid</x:v>
      </x:c>
      <x:c r="O630" t="str">
        <x:f>IF(D630="","Unknown",IF(D630&lt;25000,"&lt;$25k",IF(D630&lt;50000,"$25k-$50k",IF(D630&lt;75000,"$50k-$75k",IF(D630&lt;100000,"$75k-$100k","$100k+")))))</x:f>
        <x:v>$50k-$75k</x:v>
      </x:c>
      <x:c r="P630" t="str">
        <x:f>IF(E630="","Unknown",IF(E630&lt;10,"&lt;10",IF(E630&lt;20,"10-&lt;20",IF(E630&lt;25,"20-&lt;25",IF(E630&lt;35,"25-&lt;35","35+")))))</x:f>
        <x:v>25-&lt;35</x:v>
      </x:c>
    </x:row>
    <x:row r="631">
      <x:c r="A631" t="str">
        <x:v>SYN0000630</x:v>
      </x:c>
      <x:c r="B631" s="12" t="n">
        <x:v>43195</x:v>
      </x:c>
      <x:c r="C631" s="18" t="n">
        <x:v>13048</x:v>
      </x:c>
      <x:c r="D631" s="18" t="n">
        <x:v>42041</x:v>
      </x:c>
      <x:c r="E631" s="18" t="n">
        <x:v>19.39</x:v>
      </x:c>
      <x:c r="F631" s="18" t="n">
        <x:v>7.32</x:v>
      </x:c>
      <x:c r="G631" t="n">
        <x:v>36</x:v>
      </x:c>
      <x:c r="H631" t="str">
        <x:v>A</x:v>
      </x:c>
      <x:c r="I631" t="str">
        <x:v>7-9 years</x:v>
      </x:c>
      <x:c r="J631" t="str">
        <x:v>OWN</x:v>
      </x:c>
      <x:c r="K631" t="str">
        <x:v>other</x:v>
      </x:c>
      <x:c r="L631" t="n">
        <x:v>0</x:v>
      </x:c>
      <x:c r="M631" t="n">
        <x:v>0</x:v>
      </x:c>
      <x:c r="N631" t="str">
        <x:v>Fully Paid</x:v>
      </x:c>
      <x:c r="O631" t="str">
        <x:f>IF(D631="","Unknown",IF(D631&lt;25000,"&lt;$25k",IF(D631&lt;50000,"$25k-$50k",IF(D631&lt;75000,"$50k-$75k",IF(D631&lt;100000,"$75k-$100k","$100k+")))))</x:f>
        <x:v>$25k-$50k</x:v>
      </x:c>
      <x:c r="P631" t="str">
        <x:f>IF(E631="","Unknown",IF(E631&lt;10,"&lt;10",IF(E631&lt;20,"10-&lt;20",IF(E631&lt;25,"20-&lt;25",IF(E631&lt;35,"25-&lt;35","35+")))))</x:f>
        <x:v>10-&lt;20</x:v>
      </x:c>
    </x:row>
    <x:row r="632">
      <x:c r="A632" t="str">
        <x:v>SYN0000631</x:v>
      </x:c>
      <x:c r="B632" s="12" t="n">
        <x:v>41485</x:v>
      </x:c>
      <x:c r="C632" s="18" t="n">
        <x:v>3723</x:v>
      </x:c>
      <x:c r="D632" s="18" t="n">
        <x:v>78229</x:v>
      </x:c>
      <x:c r="E632" s="18" t="n">
        <x:v>15.59</x:v>
      </x:c>
      <x:c r="F632" s="18" t="n">
        <x:v>18.8</x:v>
      </x:c>
      <x:c r="G632" t="n">
        <x:v>36</x:v>
      </x:c>
      <x:c r="H632" t="str">
        <x:v>D</x:v>
      </x:c>
      <x:c r="I632" t="str">
        <x:v>4-6 years</x:v>
      </x:c>
      <x:c r="J632" t="str">
        <x:v>MORTGAGE</x:v>
      </x:c>
      <x:c r="K632" t="str">
        <x:v>home_improvement</x:v>
      </x:c>
      <x:c r="L632" t="n">
        <x:v>0</x:v>
      </x:c>
      <x:c r="M632" t="n">
        <x:v>0</x:v>
      </x:c>
      <x:c r="N632" t="str">
        <x:v>Fully Paid</x:v>
      </x:c>
      <x:c r="O632" t="str">
        <x:f>IF(D632="","Unknown",IF(D632&lt;25000,"&lt;$25k",IF(D632&lt;50000,"$25k-$50k",IF(D632&lt;75000,"$50k-$75k",IF(D632&lt;100000,"$75k-$100k","$100k+")))))</x:f>
        <x:v>$75k-$100k</x:v>
      </x:c>
      <x:c r="P632" t="str">
        <x:f>IF(E632="","Unknown",IF(E632&lt;10,"&lt;10",IF(E632&lt;20,"10-&lt;20",IF(E632&lt;25,"20-&lt;25",IF(E632&lt;35,"25-&lt;35","35+")))))</x:f>
        <x:v>10-&lt;20</x:v>
      </x:c>
    </x:row>
    <x:row r="633">
      <x:c r="A633" t="str">
        <x:v>SYN0000632</x:v>
      </x:c>
      <x:c r="B633" s="12" t="n">
        <x:v>42205</x:v>
      </x:c>
      <x:c r="C633" s="18" t="n">
        <x:v>7087</x:v>
      </x:c>
      <x:c r="D633" s="18" t="n">
        <x:v>12000</x:v>
      </x:c>
      <x:c r="E633" s="18" t="n">
        <x:v>21.01</x:v>
      </x:c>
      <x:c r="F633" s="18" t="n">
        <x:v>15.53</x:v>
      </x:c>
      <x:c r="G633" t="n">
        <x:v>36</x:v>
      </x:c>
      <x:c r="H633" t="str">
        <x:v>D</x:v>
      </x:c>
      <x:c r="I633" t="str">
        <x:v>1-3 years</x:v>
      </x:c>
      <x:c r="J633" t="str">
        <x:v>MORTGAGE</x:v>
      </x:c>
      <x:c r="K633" t="str">
        <x:v>credit_card</x:v>
      </x:c>
      <x:c r="L633" t="n">
        <x:v>0</x:v>
      </x:c>
      <x:c r="M633" t="n">
        <x:v>0</x:v>
      </x:c>
      <x:c r="N633" t="str">
        <x:v>Fully Paid</x:v>
      </x:c>
      <x:c r="O633" t="str">
        <x:f>IF(D633="","Unknown",IF(D633&lt;25000,"&lt;$25k",IF(D633&lt;50000,"$25k-$50k",IF(D633&lt;75000,"$50k-$75k",IF(D633&lt;100000,"$75k-$100k","$100k+")))))</x:f>
        <x:v>&lt;$25k</x:v>
      </x:c>
      <x:c r="P633" t="str">
        <x:f>IF(E633="","Unknown",IF(E633&lt;10,"&lt;10",IF(E633&lt;20,"10-&lt;20",IF(E633&lt;25,"20-&lt;25",IF(E633&lt;35,"25-&lt;35","35+")))))</x:f>
        <x:v>20-&lt;25</x:v>
      </x:c>
    </x:row>
    <x:row r="634">
      <x:c r="A634" t="str">
        <x:v>SYN0000633</x:v>
      </x:c>
      <x:c r="B634" s="12" t="n">
        <x:v>41545</x:v>
      </x:c>
      <x:c r="C634" s="18" t="n">
        <x:v>4114</x:v>
      </x:c>
      <x:c r="D634" s="18" t="n">
        <x:v>49501</x:v>
      </x:c>
      <x:c r="E634" s="18" t="n">
        <x:v>12.07</x:v>
      </x:c>
      <x:c r="F634" s="18" t="n">
        <x:v>8.56</x:v>
      </x:c>
      <x:c r="G634" t="n">
        <x:v>36</x:v>
      </x:c>
      <x:c r="H634" t="str">
        <x:v>A</x:v>
      </x:c>
      <x:c r="I634" t="str">
        <x:v>7-9 years</x:v>
      </x:c>
      <x:c r="J634" t="str">
        <x:v>MORTGAGE</x:v>
      </x:c>
      <x:c r="K634" t="str">
        <x:v>debt_consolidation</x:v>
      </x:c>
      <x:c r="L634" t="n">
        <x:v>0</x:v>
      </x:c>
      <x:c r="M634" t="n">
        <x:v>0</x:v>
      </x:c>
      <x:c r="N634" t="str">
        <x:v>Fully Paid</x:v>
      </x:c>
      <x:c r="O634" t="str">
        <x:f>IF(D634="","Unknown",IF(D634&lt;25000,"&lt;$25k",IF(D634&lt;50000,"$25k-$50k",IF(D634&lt;75000,"$50k-$75k",IF(D634&lt;100000,"$75k-$100k","$100k+")))))</x:f>
        <x:v>$25k-$50k</x:v>
      </x:c>
      <x:c r="P634" t="str">
        <x:f>IF(E634="","Unknown",IF(E634&lt;10,"&lt;10",IF(E634&lt;20,"10-&lt;20",IF(E634&lt;25,"20-&lt;25",IF(E634&lt;35,"25-&lt;35","35+")))))</x:f>
        <x:v>10-&lt;20</x:v>
      </x:c>
    </x:row>
    <x:row r="635">
      <x:c r="A635" t="str">
        <x:v>SYN0000634</x:v>
      </x:c>
      <x:c r="B635" s="12" t="n">
        <x:v>41935</x:v>
      </x:c>
      <x:c r="C635" s="18" t="n">
        <x:v>10700</x:v>
      </x:c>
      <x:c r="D635" s="18" t="n">
        <x:v>25654</x:v>
      </x:c>
      <x:c r="E635" s="18" t="n">
        <x:v>25.32</x:v>
      </x:c>
      <x:c r="F635" s="18" t="n">
        <x:v>13.06</x:v>
      </x:c>
      <x:c r="G635" t="n">
        <x:v>36</x:v>
      </x:c>
      <x:c r="H635" t="str">
        <x:v>D</x:v>
      </x:c>
      <x:c r="I635" t="str">
        <x:v>4-6 years</x:v>
      </x:c>
      <x:c r="J635" t="str">
        <x:v>RENT</x:v>
      </x:c>
      <x:c r="K635" t="str">
        <x:v>home_improvement</x:v>
      </x:c>
      <x:c r="L635" t="n">
        <x:v>0</x:v>
      </x:c>
      <x:c r="M635" t="n">
        <x:v>0</x:v>
      </x:c>
      <x:c r="N635" t="str">
        <x:v>Fully Paid</x:v>
      </x:c>
      <x:c r="O635" t="str">
        <x:f>IF(D635="","Unknown",IF(D635&lt;25000,"&lt;$25k",IF(D635&lt;50000,"$25k-$50k",IF(D635&lt;75000,"$50k-$75k",IF(D635&lt;100000,"$75k-$100k","$100k+")))))</x:f>
        <x:v>$25k-$50k</x:v>
      </x:c>
      <x:c r="P635" t="str">
        <x:f>IF(E635="","Unknown",IF(E635&lt;10,"&lt;10",IF(E635&lt;20,"10-&lt;20",IF(E635&lt;25,"20-&lt;25",IF(E635&lt;35,"25-&lt;35","35+")))))</x:f>
        <x:v>25-&lt;35</x:v>
      </x:c>
    </x:row>
    <x:row r="636">
      <x:c r="A636" t="str">
        <x:v>SYN0000635</x:v>
      </x:c>
      <x:c r="B636" s="12" t="n">
        <x:v>43405</x:v>
      </x:c>
      <x:c r="C636" s="18" t="n">
        <x:v>14645</x:v>
      </x:c>
      <x:c r="D636" s="18" t="n">
        <x:v>43466</x:v>
      </x:c>
      <x:c r="E636" s="18" t="n">
        <x:v>6.67</x:v>
      </x:c>
      <x:c r="F636" s="18" t="n">
        <x:v>14.49</x:v>
      </x:c>
      <x:c r="G636" t="n">
        <x:v>36</x:v>
      </x:c>
      <x:c r="H636" t="str">
        <x:v>C</x:v>
      </x:c>
      <x:c r="I636" t="str">
        <x:v>10+ years</x:v>
      </x:c>
      <x:c r="J636" t="str">
        <x:v>MORTGAGE</x:v>
      </x:c>
      <x:c r="K636" t="str">
        <x:v>debt_consolidation</x:v>
      </x:c>
      <x:c r="L636" t="n">
        <x:v>2</x:v>
      </x:c>
      <x:c r="M636" t="n">
        <x:v>0</x:v>
      </x:c>
      <x:c r="N636" t="str">
        <x:v>Fully Paid</x:v>
      </x:c>
      <x:c r="O636" t="str">
        <x:f>IF(D636="","Unknown",IF(D636&lt;25000,"&lt;$25k",IF(D636&lt;50000,"$25k-$50k",IF(D636&lt;75000,"$50k-$75k",IF(D636&lt;100000,"$75k-$100k","$100k+")))))</x:f>
        <x:v>$25k-$50k</x:v>
      </x:c>
      <x:c r="P636" t="str">
        <x:f>IF(E636="","Unknown",IF(E636&lt;10,"&lt;10",IF(E636&lt;20,"10-&lt;20",IF(E636&lt;25,"20-&lt;25",IF(E636&lt;35,"25-&lt;35","35+")))))</x:f>
        <x:v>&lt;10</x:v>
      </x:c>
    </x:row>
    <x:row r="637">
      <x:c r="A637" t="str">
        <x:v>SYN0000636</x:v>
      </x:c>
      <x:c r="B637" s="12" t="n">
        <x:v>42685</x:v>
      </x:c>
      <x:c r="C637" s="18" t="n">
        <x:v>12234</x:v>
      </x:c>
      <x:c r="D637" s="18" t="n">
        <x:v>36109</x:v>
      </x:c>
      <x:c r="E637" s="18" t="n">
        <x:v>17.53</x:v>
      </x:c>
      <x:c r="F637" s="18" t="n">
        <x:v>14.28</x:v>
      </x:c>
      <x:c r="G637" t="n">
        <x:v>36</x:v>
      </x:c>
      <x:c r="H637" t="str">
        <x:v>C</x:v>
      </x:c>
      <x:c r="I637" t="str">
        <x:v>&lt;1 year</x:v>
      </x:c>
      <x:c r="J637" t="str">
        <x:v>MORTGAGE</x:v>
      </x:c>
      <x:c r="K637" t="str">
        <x:v>credit_card</x:v>
      </x:c>
      <x:c r="L637" t="n">
        <x:v>0</x:v>
      </x:c>
      <x:c r="M637" t="n">
        <x:v>0</x:v>
      </x:c>
      <x:c r="N637" t="str">
        <x:v>Fully Paid</x:v>
      </x:c>
      <x:c r="O637" t="str">
        <x:f>IF(D637="","Unknown",IF(D637&lt;25000,"&lt;$25k",IF(D637&lt;50000,"$25k-$50k",IF(D637&lt;75000,"$50k-$75k",IF(D637&lt;100000,"$75k-$100k","$100k+")))))</x:f>
        <x:v>$25k-$50k</x:v>
      </x:c>
      <x:c r="P637" t="str">
        <x:f>IF(E637="","Unknown",IF(E637&lt;10,"&lt;10",IF(E637&lt;20,"10-&lt;20",IF(E637&lt;25,"20-&lt;25",IF(E637&lt;35,"25-&lt;35","35+")))))</x:f>
        <x:v>10-&lt;20</x:v>
      </x:c>
    </x:row>
    <x:row r="638">
      <x:c r="A638" t="str">
        <x:v>SYN0000637</x:v>
      </x:c>
      <x:c r="B638" s="12" t="n">
        <x:v>41965</x:v>
      </x:c>
      <x:c r="C638" s="18" t="n">
        <x:v>12000</x:v>
      </x:c>
      <x:c r="D638" s="18" t="n">
        <x:v>16406</x:v>
      </x:c>
      <x:c r="E638" s="18" t="n">
        <x:v>16.08</x:v>
      </x:c>
      <x:c r="F638" s="18" t="n">
        <x:v>11.1</x:v>
      </x:c>
      <x:c r="G638" t="n">
        <x:v>60</x:v>
      </x:c>
      <x:c r="H638" t="str">
        <x:v>C</x:v>
      </x:c>
      <x:c r="I638" t="str">
        <x:v>10+ years</x:v>
      </x:c>
      <x:c r="J638" t="str">
        <x:v>RENT</x:v>
      </x:c>
      <x:c r="K638" t="str">
        <x:v>other</x:v>
      </x:c>
      <x:c r="L638" t="n">
        <x:v>0</x:v>
      </x:c>
      <x:c r="M638" t="n">
        <x:v>0</x:v>
      </x:c>
      <x:c r="N638" t="str">
        <x:v>Fully Paid</x:v>
      </x:c>
      <x:c r="O638" t="str">
        <x:f>IF(D638="","Unknown",IF(D638&lt;25000,"&lt;$25k",IF(D638&lt;50000,"$25k-$50k",IF(D638&lt;75000,"$50k-$75k",IF(D638&lt;100000,"$75k-$100k","$100k+")))))</x:f>
        <x:v>&lt;$25k</x:v>
      </x:c>
      <x:c r="P638" t="str">
        <x:f>IF(E638="","Unknown",IF(E638&lt;10,"&lt;10",IF(E638&lt;20,"10-&lt;20",IF(E638&lt;25,"20-&lt;25",IF(E638&lt;35,"25-&lt;35","35+")))))</x:f>
        <x:v>10-&lt;20</x:v>
      </x:c>
    </x:row>
    <x:row r="639">
      <x:c r="A639" t="str">
        <x:v>SYN0000638</x:v>
      </x:c>
      <x:c r="B639" s="12" t="n">
        <x:v>41305</x:v>
      </x:c>
      <x:c r="C639" s="18" t="n">
        <x:v>20961</x:v>
      </x:c>
      <x:c r="D639" s="18" t="n">
        <x:v>64240</x:v>
      </x:c>
      <x:c r="E639" s="18" t="n">
        <x:v>29.86</x:v>
      </x:c>
      <x:c r="F639" s="18" t="n">
        <x:v>23.81</x:v>
      </x:c>
      <x:c r="G639" t="n">
        <x:v>60</x:v>
      </x:c>
      <x:c r="H639" t="str">
        <x:v>F</x:v>
      </x:c>
      <x:c r="I639" t="str">
        <x:v>4-6 years</x:v>
      </x:c>
      <x:c r="J639" t="str">
        <x:v>RENT</x:v>
      </x:c>
      <x:c r="K639" t="str">
        <x:v>medical</x:v>
      </x:c>
      <x:c r="L639" t="n">
        <x:v>2</x:v>
      </x:c>
      <x:c r="M639" t="n">
        <x:v>0</x:v>
      </x:c>
      <x:c r="N639" t="str">
        <x:v>Fully Paid</x:v>
      </x:c>
      <x:c r="O639" t="str">
        <x:f>IF(D639="","Unknown",IF(D639&lt;25000,"&lt;$25k",IF(D639&lt;50000,"$25k-$50k",IF(D639&lt;75000,"$50k-$75k",IF(D639&lt;100000,"$75k-$100k","$100k+")))))</x:f>
        <x:v>$50k-$75k</x:v>
      </x:c>
      <x:c r="P639" t="str">
        <x:f>IF(E639="","Unknown",IF(E639&lt;10,"&lt;10",IF(E639&lt;20,"10-&lt;20",IF(E639&lt;25,"20-&lt;25",IF(E639&lt;35,"25-&lt;35","35+")))))</x:f>
        <x:v>25-&lt;35</x:v>
      </x:c>
    </x:row>
    <x:row r="640">
      <x:c r="A640" t="str">
        <x:v>SYN0000639</x:v>
      </x:c>
      <x:c r="B640" s="12" t="n">
        <x:v>42865</x:v>
      </x:c>
      <x:c r="C640" s="18" t="n">
        <x:v>8741</x:v>
      </x:c>
      <x:c r="D640" s="18" t="n">
        <x:v>64719</x:v>
      </x:c>
      <x:c r="E640" s="18" t="n">
        <x:v>37.07</x:v>
      </x:c>
      <x:c r="F640" s="18" t="n">
        <x:v>18.35</x:v>
      </x:c>
      <x:c r="G640" t="n">
        <x:v>60</x:v>
      </x:c>
      <x:c r="H640" t="str">
        <x:v>E</x:v>
      </x:c>
      <x:c r="I640" t="str">
        <x:v>7-9 years</x:v>
      </x:c>
      <x:c r="J640" t="str">
        <x:v>MORTGAGE</x:v>
      </x:c>
      <x:c r="K640" t="str">
        <x:v>debt_consolidation</x:v>
      </x:c>
      <x:c r="L640" t="n">
        <x:v>0</x:v>
      </x:c>
      <x:c r="M640" t="n">
        <x:v>0</x:v>
      </x:c>
      <x:c r="N640" t="str">
        <x:v>Fully Paid</x:v>
      </x:c>
      <x:c r="O640" t="str">
        <x:f>IF(D640="","Unknown",IF(D640&lt;25000,"&lt;$25k",IF(D640&lt;50000,"$25k-$50k",IF(D640&lt;75000,"$50k-$75k",IF(D640&lt;100000,"$75k-$100k","$100k+")))))</x:f>
        <x:v>$50k-$75k</x:v>
      </x:c>
      <x:c r="P640" t="str">
        <x:f>IF(E640="","Unknown",IF(E640&lt;10,"&lt;10",IF(E640&lt;20,"10-&lt;20",IF(E640&lt;25,"20-&lt;25",IF(E640&lt;35,"25-&lt;35","35+")))))</x:f>
        <x:v>35+</x:v>
      </x:c>
    </x:row>
    <x:row r="641">
      <x:c r="A641" t="str">
        <x:v>SYN0000640</x:v>
      </x:c>
      <x:c r="B641" s="12" t="n">
        <x:v>42985</x:v>
      </x:c>
      <x:c r="C641" s="18" t="n">
        <x:v>9415</x:v>
      </x:c>
      <x:c r="D641" s="18" t="n">
        <x:v>103919</x:v>
      </x:c>
      <x:c r="E641" s="18" t="n">
        <x:v>30.4</x:v>
      </x:c>
      <x:c r="F641" s="18" t="n">
        <x:v>13.03</x:v>
      </x:c>
      <x:c r="G641" t="n">
        <x:v>36</x:v>
      </x:c>
      <x:c r="H641" t="str">
        <x:v>B</x:v>
      </x:c>
      <x:c r="I641" t="str">
        <x:v>10+ years</x:v>
      </x:c>
      <x:c r="J641" t="str">
        <x:v>MORTGAGE</x:v>
      </x:c>
      <x:c r="K641" t="str">
        <x:v>major_purchase</x:v>
      </x:c>
      <x:c r="L641" t="n">
        <x:v>0</x:v>
      </x:c>
      <x:c r="M641" t="n">
        <x:v>0</x:v>
      </x:c>
      <x:c r="N641" t="str">
        <x:v>Fully Paid</x:v>
      </x:c>
      <x:c r="O641" t="str">
        <x:f>IF(D641="","Unknown",IF(D641&lt;25000,"&lt;$25k",IF(D641&lt;50000,"$25k-$50k",IF(D641&lt;75000,"$50k-$75k",IF(D641&lt;100000,"$75k-$100k","$100k+")))))</x:f>
        <x:v>$100k+</x:v>
      </x:c>
      <x:c r="P641" t="str">
        <x:f>IF(E641="","Unknown",IF(E641&lt;10,"&lt;10",IF(E641&lt;20,"10-&lt;20",IF(E641&lt;25,"20-&lt;25",IF(E641&lt;35,"25-&lt;35","35+")))))</x:f>
        <x:v>25-&lt;35</x:v>
      </x:c>
    </x:row>
    <x:row r="642">
      <x:c r="A642" t="str">
        <x:v>SYN0000641</x:v>
      </x:c>
      <x:c r="B642" s="12" t="n">
        <x:v>43345</x:v>
      </x:c>
      <x:c r="C642" s="18" t="n">
        <x:v>19497</x:v>
      </x:c>
      <x:c r="D642" s="18" t="n">
        <x:v>81601</x:v>
      </x:c>
      <x:c r="E642" s="18" t="n">
        <x:v>31.08</x:v>
      </x:c>
      <x:c r="F642" s="18" t="n">
        <x:v>17.12</x:v>
      </x:c>
      <x:c r="G642" t="n">
        <x:v>36</x:v>
      </x:c>
      <x:c r="H642" t="str">
        <x:v>E</x:v>
      </x:c>
      <x:c r="I642" t="str">
        <x:v>10+ years</x:v>
      </x:c>
      <x:c r="J642" t="str">
        <x:v>MORTGAGE</x:v>
      </x:c>
      <x:c r="K642" t="str">
        <x:v>debt_consolidation</x:v>
      </x:c>
      <x:c r="L642" t="n">
        <x:v>0</x:v>
      </x:c>
      <x:c r="M642" t="n">
        <x:v>0</x:v>
      </x:c>
      <x:c r="N642" t="str">
        <x:v>Fully Paid</x:v>
      </x:c>
      <x:c r="O642" t="str">
        <x:f>IF(D642="","Unknown",IF(D642&lt;25000,"&lt;$25k",IF(D642&lt;50000,"$25k-$50k",IF(D642&lt;75000,"$50k-$75k",IF(D642&lt;100000,"$75k-$100k","$100k+")))))</x:f>
        <x:v>$75k-$100k</x:v>
      </x:c>
      <x:c r="P642" t="str">
        <x:f>IF(E642="","Unknown",IF(E642&lt;10,"&lt;10",IF(E642&lt;20,"10-&lt;20",IF(E642&lt;25,"20-&lt;25",IF(E642&lt;35,"25-&lt;35","35+")))))</x:f>
        <x:v>25-&lt;35</x:v>
      </x:c>
    </x:row>
    <x:row r="643">
      <x:c r="A643" t="str">
        <x:v>SYN0000642</x:v>
      </x:c>
      <x:c r="B643" s="12" t="n">
        <x:v>42835</x:v>
      </x:c>
      <x:c r="C643" s="18" t="n">
        <x:v>10309</x:v>
      </x:c>
      <x:c r="D643" s="18" t="n">
        <x:v>74395</x:v>
      </x:c>
      <x:c r="E643" s="18" t="n">
        <x:v>6.34</x:v>
      </x:c>
      <x:c r="F643" s="18" t="n">
        <x:v>8.02</x:v>
      </x:c>
      <x:c r="G643" t="n">
        <x:v>36</x:v>
      </x:c>
      <x:c r="H643" t="str">
        <x:v>A</x:v>
      </x:c>
      <x:c r="I643" t="str">
        <x:v>1-3 years</x:v>
      </x:c>
      <x:c r="J643" t="str">
        <x:v>MORTGAGE</x:v>
      </x:c>
      <x:c r="K643" t="str">
        <x:v>other</x:v>
      </x:c>
      <x:c r="L643" t="n">
        <x:v>1</x:v>
      </x:c>
      <x:c r="M643" t="n">
        <x:v>0</x:v>
      </x:c>
      <x:c r="N643" t="str">
        <x:v>Fully Paid</x:v>
      </x:c>
      <x:c r="O643" t="str">
        <x:f>IF(D643="","Unknown",IF(D643&lt;25000,"&lt;$25k",IF(D643&lt;50000,"$25k-$50k",IF(D643&lt;75000,"$50k-$75k",IF(D643&lt;100000,"$75k-$100k","$100k+")))))</x:f>
        <x:v>$50k-$75k</x:v>
      </x:c>
      <x:c r="P643" t="str">
        <x:f>IF(E643="","Unknown",IF(E643&lt;10,"&lt;10",IF(E643&lt;20,"10-&lt;20",IF(E643&lt;25,"20-&lt;25",IF(E643&lt;35,"25-&lt;35","35+")))))</x:f>
        <x:v>&lt;10</x:v>
      </x:c>
    </x:row>
    <x:row r="644">
      <x:c r="A644" t="str">
        <x:v>SYN0000643</x:v>
      </x:c>
      <x:c r="B644" s="12" t="n">
        <x:v>42775</x:v>
      </x:c>
      <x:c r="C644" s="18" t="n">
        <x:v>12580</x:v>
      </x:c>
      <x:c r="D644" s="18" t="n">
        <x:v>26037</x:v>
      </x:c>
      <x:c r="E644" s="18" t="n">
        <x:v>21.04</x:v>
      </x:c>
      <x:c r="F644" s="18" t="n">
        <x:v>5</x:v>
      </x:c>
      <x:c r="G644" t="n">
        <x:v>36</x:v>
      </x:c>
      <x:c r="H644" t="str">
        <x:v>B</x:v>
      </x:c>
      <x:c r="I644" t="str">
        <x:v>1-3 years</x:v>
      </x:c>
      <x:c r="J644" t="str">
        <x:v>MORTGAGE</x:v>
      </x:c>
      <x:c r="K644" t="str">
        <x:v>debt_consolidation</x:v>
      </x:c>
      <x:c r="L644" t="n">
        <x:v>0</x:v>
      </x:c>
      <x:c r="M644" t="n">
        <x:v>0</x:v>
      </x:c>
      <x:c r="N644" t="str">
        <x:v>Fully Paid</x:v>
      </x:c>
      <x:c r="O644" t="str">
        <x:f>IF(D644="","Unknown",IF(D644&lt;25000,"&lt;$25k",IF(D644&lt;50000,"$25k-$50k",IF(D644&lt;75000,"$50k-$75k",IF(D644&lt;100000,"$75k-$100k","$100k+")))))</x:f>
        <x:v>$25k-$50k</x:v>
      </x:c>
      <x:c r="P644" t="str">
        <x:f>IF(E644="","Unknown",IF(E644&lt;10,"&lt;10",IF(E644&lt;20,"10-&lt;20",IF(E644&lt;25,"20-&lt;25",IF(E644&lt;35,"25-&lt;35","35+")))))</x:f>
        <x:v>20-&lt;25</x:v>
      </x:c>
    </x:row>
    <x:row r="645">
      <x:c r="A645" t="str">
        <x:v>SYN0000644</x:v>
      </x:c>
      <x:c r="B645" s="12" t="n">
        <x:v>42715</x:v>
      </x:c>
      <x:c r="C645" s="18" t="n">
        <x:v>15426</x:v>
      </x:c>
      <x:c r="D645" s="18" t="n">
        <x:v>54900</x:v>
      </x:c>
      <x:c r="E645" s="18" t="n">
        <x:v>31.49</x:v>
      </x:c>
      <x:c r="F645" s="18" t="n">
        <x:v>10.67</x:v>
      </x:c>
      <x:c r="G645" t="n">
        <x:v>36</x:v>
      </x:c>
      <x:c r="H645" t="str">
        <x:v>C</x:v>
      </x:c>
      <x:c r="I645" t="str">
        <x:v>&lt;1 year</x:v>
      </x:c>
      <x:c r="J645" t="str">
        <x:v>RENT</x:v>
      </x:c>
      <x:c r="K645" t="str">
        <x:v>home_improvement</x:v>
      </x:c>
      <x:c r="L645" t="n">
        <x:v>2</x:v>
      </x:c>
      <x:c r="M645" t="n">
        <x:v>0</x:v>
      </x:c>
      <x:c r="N645" t="str">
        <x:v>Fully Paid</x:v>
      </x:c>
      <x:c r="O645" t="str">
        <x:f>IF(D645="","Unknown",IF(D645&lt;25000,"&lt;$25k",IF(D645&lt;50000,"$25k-$50k",IF(D645&lt;75000,"$50k-$75k",IF(D645&lt;100000,"$75k-$100k","$100k+")))))</x:f>
        <x:v>$50k-$75k</x:v>
      </x:c>
      <x:c r="P645" t="str">
        <x:f>IF(E645="","Unknown",IF(E645&lt;10,"&lt;10",IF(E645&lt;20,"10-&lt;20",IF(E645&lt;25,"20-&lt;25",IF(E645&lt;35,"25-&lt;35","35+")))))</x:f>
        <x:v>25-&lt;35</x:v>
      </x:c>
    </x:row>
    <x:row r="646">
      <x:c r="A646" t="str">
        <x:v>SYN0000645</x:v>
      </x:c>
      <x:c r="B646" s="12" t="n">
        <x:v>42865</x:v>
      </x:c>
      <x:c r="C646" s="18" t="n">
        <x:v>24811</x:v>
      </x:c>
      <x:c r="D646" s="18" t="n">
        <x:v>93321</x:v>
      </x:c>
      <x:c r="E646" s="18" t="n">
        <x:v>26.23</x:v>
      </x:c>
      <x:c r="F646" s="18" t="n">
        <x:v>15.74</x:v>
      </x:c>
      <x:c r="G646" t="n">
        <x:v>36</x:v>
      </x:c>
      <x:c r="H646" t="str">
        <x:v>E</x:v>
      </x:c>
      <x:c r="I646" t="str">
        <x:v>7-9 years</x:v>
      </x:c>
      <x:c r="J646" t="str">
        <x:v>MORTGAGE</x:v>
      </x:c>
      <x:c r="K646" t="str">
        <x:v>home_improvement</x:v>
      </x:c>
      <x:c r="L646" t="n">
        <x:v>1</x:v>
      </x:c>
      <x:c r="M646" t="n">
        <x:v>0</x:v>
      </x:c>
      <x:c r="N646" t="str">
        <x:v>Fully Paid</x:v>
      </x:c>
      <x:c r="O646" t="str">
        <x:f>IF(D646="","Unknown",IF(D646&lt;25000,"&lt;$25k",IF(D646&lt;50000,"$25k-$50k",IF(D646&lt;75000,"$50k-$75k",IF(D646&lt;100000,"$75k-$100k","$100k+")))))</x:f>
        <x:v>$75k-$100k</x:v>
      </x:c>
      <x:c r="P646" t="str">
        <x:f>IF(E646="","Unknown",IF(E646&lt;10,"&lt;10",IF(E646&lt;20,"10-&lt;20",IF(E646&lt;25,"20-&lt;25",IF(E646&lt;35,"25-&lt;35","35+")))))</x:f>
        <x:v>25-&lt;35</x:v>
      </x:c>
    </x:row>
    <x:row r="647">
      <x:c r="A647" t="str">
        <x:v>SYN0000646</x:v>
      </x:c>
      <x:c r="B647" s="12" t="n">
        <x:v>42805</x:v>
      </x:c>
      <x:c r="C647" s="18" t="n">
        <x:v>16538</x:v>
      </x:c>
      <x:c r="D647" s="18" t="n">
        <x:v>55462</x:v>
      </x:c>
      <x:c r="E647" s="18" t="n">
        <x:v>26.46</x:v>
      </x:c>
      <x:c r="F647" s="18" t="n">
        <x:v>12.79</x:v>
      </x:c>
      <x:c r="G647" t="n">
        <x:v>36</x:v>
      </x:c>
      <x:c r="H647" t="str">
        <x:v>C</x:v>
      </x:c>
      <x:c r="I647" t="str">
        <x:v>10+ years</x:v>
      </x:c>
      <x:c r="J647" t="str">
        <x:v>OWN</x:v>
      </x:c>
      <x:c r="K647" t="str">
        <x:v>debt_consolidation</x:v>
      </x:c>
      <x:c r="L647" t="n">
        <x:v>0</x:v>
      </x:c>
      <x:c r="M647" t="n">
        <x:v>0</x:v>
      </x:c>
      <x:c r="N647" t="str">
        <x:v>Fully Paid</x:v>
      </x:c>
      <x:c r="O647" t="str">
        <x:f>IF(D647="","Unknown",IF(D647&lt;25000,"&lt;$25k",IF(D647&lt;50000,"$25k-$50k",IF(D647&lt;75000,"$50k-$75k",IF(D647&lt;100000,"$75k-$100k","$100k+")))))</x:f>
        <x:v>$50k-$75k</x:v>
      </x:c>
      <x:c r="P647" t="str">
        <x:f>IF(E647="","Unknown",IF(E647&lt;10,"&lt;10",IF(E647&lt;20,"10-&lt;20",IF(E647&lt;25,"20-&lt;25",IF(E647&lt;35,"25-&lt;35","35+")))))</x:f>
        <x:v>25-&lt;35</x:v>
      </x:c>
    </x:row>
    <x:row r="648">
      <x:c r="A648" t="str">
        <x:v>SYN0000647</x:v>
      </x:c>
      <x:c r="B648" s="12" t="n">
        <x:v>41305</x:v>
      </x:c>
      <x:c r="C648" s="18" t="n">
        <x:v>9598</x:v>
      </x:c>
      <x:c r="D648" s="18" t="n">
        <x:v>123683</x:v>
      </x:c>
      <x:c r="E648" s="18" t="n">
        <x:v>24.65</x:v>
      </x:c>
      <x:c r="F648" s="18" t="n">
        <x:v>8.55</x:v>
      </x:c>
      <x:c r="G648" t="n">
        <x:v>36</x:v>
      </x:c>
      <x:c r="H648" t="str">
        <x:v>B</x:v>
      </x:c>
      <x:c r="I648" t="str">
        <x:v>10+ years</x:v>
      </x:c>
      <x:c r="J648" t="str">
        <x:v>RENT</x:v>
      </x:c>
      <x:c r="K648" t="str">
        <x:v>home_improvement</x:v>
      </x:c>
      <x:c r="L648" t="n">
        <x:v>0</x:v>
      </x:c>
      <x:c r="M648" t="n">
        <x:v>0</x:v>
      </x:c>
      <x:c r="N648" t="str">
        <x:v>Fully Paid</x:v>
      </x:c>
      <x:c r="O648" t="str">
        <x:f>IF(D648="","Unknown",IF(D648&lt;25000,"&lt;$25k",IF(D648&lt;50000,"$25k-$50k",IF(D648&lt;75000,"$50k-$75k",IF(D648&lt;100000,"$75k-$100k","$100k+")))))</x:f>
        <x:v>$100k+</x:v>
      </x:c>
      <x:c r="P648" t="str">
        <x:f>IF(E648="","Unknown",IF(E648&lt;10,"&lt;10",IF(E648&lt;20,"10-&lt;20",IF(E648&lt;25,"20-&lt;25",IF(E648&lt;35,"25-&lt;35","35+")))))</x:f>
        <x:v>20-&lt;25</x:v>
      </x:c>
    </x:row>
    <x:row r="649">
      <x:c r="A649" t="str">
        <x:v>SYN0000648</x:v>
      </x:c>
      <x:c r="B649" s="12" t="n">
        <x:v>43045</x:v>
      </x:c>
      <x:c r="C649" s="18" t="n">
        <x:v>13890</x:v>
      </x:c>
      <x:c r="D649" s="18" t="n">
        <x:v>65415</x:v>
      </x:c>
      <x:c r="E649" s="18" t="n">
        <x:v>25.04</x:v>
      </x:c>
      <x:c r="F649" s="18" t="n">
        <x:v>15.78</x:v>
      </x:c>
      <x:c r="G649" t="n">
        <x:v>36</x:v>
      </x:c>
      <x:c r="H649" t="str">
        <x:v>D</x:v>
      </x:c>
      <x:c r="I649" t="str">
        <x:v>10+ years</x:v>
      </x:c>
      <x:c r="J649" t="str">
        <x:v>MORTGAGE</x:v>
      </x:c>
      <x:c r="K649" t="str">
        <x:v>credit_card</x:v>
      </x:c>
      <x:c r="L649" t="n">
        <x:v>0</x:v>
      </x:c>
      <x:c r="M649" t="n">
        <x:v>1</x:v>
      </x:c>
      <x:c r="N649" t="str">
        <x:v>Charged Off</x:v>
      </x:c>
      <x:c r="O649" t="str">
        <x:f>IF(D649="","Unknown",IF(D649&lt;25000,"&lt;$25k",IF(D649&lt;50000,"$25k-$50k",IF(D649&lt;75000,"$50k-$75k",IF(D649&lt;100000,"$75k-$100k","$100k+")))))</x:f>
        <x:v>$50k-$75k</x:v>
      </x:c>
      <x:c r="P649" t="str">
        <x:f>IF(E649="","Unknown",IF(E649&lt;10,"&lt;10",IF(E649&lt;20,"10-&lt;20",IF(E649&lt;25,"20-&lt;25",IF(E649&lt;35,"25-&lt;35","35+")))))</x:f>
        <x:v>25-&lt;35</x:v>
      </x:c>
    </x:row>
    <x:row r="650">
      <x:c r="A650" t="str">
        <x:v>SYN0000649</x:v>
      </x:c>
      <x:c r="B650" s="12" t="n">
        <x:v>42925</x:v>
      </x:c>
      <x:c r="C650" s="18" t="n">
        <x:v>16024</x:v>
      </x:c>
      <x:c r="D650" s="18" t="n">
        <x:v>90297</x:v>
      </x:c>
      <x:c r="E650" s="18" t="n">
        <x:v>1.62</x:v>
      </x:c>
      <x:c r="F650" s="18" t="n">
        <x:v>8.33</x:v>
      </x:c>
      <x:c r="G650" t="n">
        <x:v>36</x:v>
      </x:c>
      <x:c r="H650" t="str">
        <x:v>B</x:v>
      </x:c>
      <x:c r="I650" t="str">
        <x:v>1-3 years</x:v>
      </x:c>
      <x:c r="J650" t="str">
        <x:v>MORTGAGE</x:v>
      </x:c>
      <x:c r="K650" t="str">
        <x:v>debt_consolidation</x:v>
      </x:c>
      <x:c r="L650" t="n">
        <x:v>0</x:v>
      </x:c>
      <x:c r="M650" t="n">
        <x:v>0</x:v>
      </x:c>
      <x:c r="N650" t="str">
        <x:v>Fully Paid</x:v>
      </x:c>
      <x:c r="O650" t="str">
        <x:f>IF(D650="","Unknown",IF(D650&lt;25000,"&lt;$25k",IF(D650&lt;50000,"$25k-$50k",IF(D650&lt;75000,"$50k-$75k",IF(D650&lt;100000,"$75k-$100k","$100k+")))))</x:f>
        <x:v>$75k-$100k</x:v>
      </x:c>
      <x:c r="P650" t="str">
        <x:f>IF(E650="","Unknown",IF(E650&lt;10,"&lt;10",IF(E650&lt;20,"10-&lt;20",IF(E650&lt;25,"20-&lt;25",IF(E650&lt;35,"25-&lt;35","35+")))))</x:f>
        <x:v>&lt;10</x:v>
      </x:c>
    </x:row>
    <x:row r="651">
      <x:c r="A651" t="str">
        <x:v>SYN0000650</x:v>
      </x:c>
      <x:c r="B651" s="12" t="n">
        <x:v>42085</x:v>
      </x:c>
      <x:c r="C651" s="18" t="n">
        <x:v>6410</x:v>
      </x:c>
      <x:c r="D651" s="18" t="n">
        <x:v>101642</x:v>
      </x:c>
      <x:c r="E651" s="18" t="n">
        <x:v>22.67</x:v>
      </x:c>
      <x:c r="F651" s="18" t="n">
        <x:v>8.08</x:v>
      </x:c>
      <x:c r="G651" t="n">
        <x:v>60</x:v>
      </x:c>
      <x:c r="H651" t="str">
        <x:v>B</x:v>
      </x:c>
      <x:c r="I651" t="str">
        <x:v>10+ years</x:v>
      </x:c>
      <x:c r="J651" t="str">
        <x:v>RENT</x:v>
      </x:c>
      <x:c r="K651" t="str">
        <x:v>other</x:v>
      </x:c>
      <x:c r="L651" t="n">
        <x:v>0</x:v>
      </x:c>
      <x:c r="M651" t="n">
        <x:v>0</x:v>
      </x:c>
      <x:c r="N651" t="str">
        <x:v>Fully Paid</x:v>
      </x:c>
      <x:c r="O651" t="str">
        <x:f>IF(D651="","Unknown",IF(D651&lt;25000,"&lt;$25k",IF(D651&lt;50000,"$25k-$50k",IF(D651&lt;75000,"$50k-$75k",IF(D651&lt;100000,"$75k-$100k","$100k+")))))</x:f>
        <x:v>$100k+</x:v>
      </x:c>
      <x:c r="P651" t="str">
        <x:f>IF(E651="","Unknown",IF(E651&lt;10,"&lt;10",IF(E651&lt;20,"10-&lt;20",IF(E651&lt;25,"20-&lt;25",IF(E651&lt;35,"25-&lt;35","35+")))))</x:f>
        <x:v>20-&lt;25</x:v>
      </x:c>
    </x:row>
    <x:row r="652">
      <x:c r="A652" t="str">
        <x:v>SYN0000651</x:v>
      </x:c>
      <x:c r="B652" s="12" t="n">
        <x:v>41335</x:v>
      </x:c>
      <x:c r="C652" s="18" t="n">
        <x:v>26415</x:v>
      </x:c>
      <x:c r="D652" s="18" t="n">
        <x:v>58901</x:v>
      </x:c>
      <x:c r="E652" s="18" t="n">
        <x:v>15.3</x:v>
      </x:c>
      <x:c r="F652" s="18" t="n">
        <x:v>6.66</x:v>
      </x:c>
      <x:c r="G652" t="n">
        <x:v>36</x:v>
      </x:c>
      <x:c r="H652" t="str">
        <x:v>B</x:v>
      </x:c>
      <x:c r="I652" t="str">
        <x:v>&lt;1 year</x:v>
      </x:c>
      <x:c r="J652" t="str">
        <x:v>MORTGAGE</x:v>
      </x:c>
      <x:c r="K652" t="str">
        <x:v>debt_consolidation</x:v>
      </x:c>
      <x:c r="L652" t="n">
        <x:v>0</x:v>
      </x:c>
      <x:c r="M652" t="n">
        <x:v>0</x:v>
      </x:c>
      <x:c r="N652" t="str">
        <x:v>Fully Paid</x:v>
      </x:c>
      <x:c r="O652" t="str">
        <x:f>IF(D652="","Unknown",IF(D652&lt;25000,"&lt;$25k",IF(D652&lt;50000,"$25k-$50k",IF(D652&lt;75000,"$50k-$75k",IF(D652&lt;100000,"$75k-$100k","$100k+")))))</x:f>
        <x:v>$50k-$75k</x:v>
      </x:c>
      <x:c r="P652" t="str">
        <x:f>IF(E652="","Unknown",IF(E652&lt;10,"&lt;10",IF(E652&lt;20,"10-&lt;20",IF(E652&lt;25,"20-&lt;25",IF(E652&lt;35,"25-&lt;35","35+")))))</x:f>
        <x:v>10-&lt;20</x:v>
      </x:c>
    </x:row>
    <x:row r="653">
      <x:c r="A653" t="str">
        <x:v>SYN0000652</x:v>
      </x:c>
      <x:c r="B653" s="12" t="n">
        <x:v>42505</x:v>
      </x:c>
      <x:c r="C653" s="18" t="n">
        <x:v>13522</x:v>
      </x:c>
      <x:c r="D653" s="18" t="n">
        <x:v>81976</x:v>
      </x:c>
      <x:c r="E653" s="18" t="n">
        <x:v>21.85</x:v>
      </x:c>
      <x:c r="F653" s="18" t="n">
        <x:v>12.33</x:v>
      </x:c>
      <x:c r="G653" t="n">
        <x:v>36</x:v>
      </x:c>
      <x:c r="H653" t="str">
        <x:v>D</x:v>
      </x:c>
      <x:c r="I653" t="str">
        <x:v>10+ years</x:v>
      </x:c>
      <x:c r="J653" t="str">
        <x:v>RENT</x:v>
      </x:c>
      <x:c r="K653" t="str">
        <x:v>other</x:v>
      </x:c>
      <x:c r="L653" t="n">
        <x:v>0</x:v>
      </x:c>
      <x:c r="M653" t="n">
        <x:v>0</x:v>
      </x:c>
      <x:c r="N653" t="str">
        <x:v>Fully Paid</x:v>
      </x:c>
      <x:c r="O653" t="str">
        <x:f>IF(D653="","Unknown",IF(D653&lt;25000,"&lt;$25k",IF(D653&lt;50000,"$25k-$50k",IF(D653&lt;75000,"$50k-$75k",IF(D653&lt;100000,"$75k-$100k","$100k+")))))</x:f>
        <x:v>$75k-$100k</x:v>
      </x:c>
      <x:c r="P653" t="str">
        <x:f>IF(E653="","Unknown",IF(E653&lt;10,"&lt;10",IF(E653&lt;20,"10-&lt;20",IF(E653&lt;25,"20-&lt;25",IF(E653&lt;35,"25-&lt;35","35+")))))</x:f>
        <x:v>20-&lt;25</x:v>
      </x:c>
    </x:row>
    <x:row r="654">
      <x:c r="A654" t="str">
        <x:v>SYN0000653</x:v>
      </x:c>
      <x:c r="B654" s="12" t="n">
        <x:v>42415</x:v>
      </x:c>
      <x:c r="C654" s="18" t="n">
        <x:v>18120</x:v>
      </x:c>
      <x:c r="D654" s="18" t="n">
        <x:v>43664</x:v>
      </x:c>
      <x:c r="E654" s="18" t="n">
        <x:v>36.19</x:v>
      </x:c>
      <x:c r="F654" s="18" t="n">
        <x:v>20.5</x:v>
      </x:c>
      <x:c r="G654" t="n">
        <x:v>60</x:v>
      </x:c>
      <x:c r="H654" t="str">
        <x:v>E</x:v>
      </x:c>
      <x:c r="I654" t="str">
        <x:v>&lt;1 year</x:v>
      </x:c>
      <x:c r="J654" t="str">
        <x:v>RENT</x:v>
      </x:c>
      <x:c r="K654" t="str">
        <x:v>debt_consolidation</x:v>
      </x:c>
      <x:c r="L654" t="n">
        <x:v>0</x:v>
      </x:c>
      <x:c r="M654" t="n">
        <x:v>0</x:v>
      </x:c>
      <x:c r="N654" t="str">
        <x:v>Fully Paid</x:v>
      </x:c>
      <x:c r="O654" t="str">
        <x:f>IF(D654="","Unknown",IF(D654&lt;25000,"&lt;$25k",IF(D654&lt;50000,"$25k-$50k",IF(D654&lt;75000,"$50k-$75k",IF(D654&lt;100000,"$75k-$100k","$100k+")))))</x:f>
        <x:v>$25k-$50k</x:v>
      </x:c>
      <x:c r="P654" t="str">
        <x:f>IF(E654="","Unknown",IF(E654&lt;10,"&lt;10",IF(E654&lt;20,"10-&lt;20",IF(E654&lt;25,"20-&lt;25",IF(E654&lt;35,"25-&lt;35","35+")))))</x:f>
        <x:v>35+</x:v>
      </x:c>
    </x:row>
    <x:row r="655">
      <x:c r="A655" t="str">
        <x:v>SYN0000654</x:v>
      </x:c>
      <x:c r="B655" s="12" t="n">
        <x:v>42415</x:v>
      </x:c>
      <x:c r="C655" s="18" t="n">
        <x:v>17814</x:v>
      </x:c>
      <x:c r="D655" s="18" t="n">
        <x:v>68444</x:v>
      </x:c>
      <x:c r="E655" s="18" t="n">
        <x:v>31.35</x:v>
      </x:c>
      <x:c r="F655" s="18" t="n">
        <x:v>25.62</x:v>
      </x:c>
      <x:c r="G655" t="n">
        <x:v>36</x:v>
      </x:c>
      <x:c r="H655" t="str">
        <x:v>G</x:v>
      </x:c>
      <x:c r="I655" t="str">
        <x:v>1-3 years</x:v>
      </x:c>
      <x:c r="J655" t="str">
        <x:v>OWN</x:v>
      </x:c>
      <x:c r="K655" t="str">
        <x:v>debt_consolidation</x:v>
      </x:c>
      <x:c r="L655" t="n">
        <x:v>2</x:v>
      </x:c>
      <x:c r="M655" t="n">
        <x:v>0</x:v>
      </x:c>
      <x:c r="N655" t="str">
        <x:v>Fully Paid</x:v>
      </x:c>
      <x:c r="O655" t="str">
        <x:f>IF(D655="","Unknown",IF(D655&lt;25000,"&lt;$25k",IF(D655&lt;50000,"$25k-$50k",IF(D655&lt;75000,"$50k-$75k",IF(D655&lt;100000,"$75k-$100k","$100k+")))))</x:f>
        <x:v>$50k-$75k</x:v>
      </x:c>
      <x:c r="P655" t="str">
        <x:f>IF(E655="","Unknown",IF(E655&lt;10,"&lt;10",IF(E655&lt;20,"10-&lt;20",IF(E655&lt;25,"20-&lt;25",IF(E655&lt;35,"25-&lt;35","35+")))))</x:f>
        <x:v>25-&lt;35</x:v>
      </x:c>
    </x:row>
    <x:row r="656">
      <x:c r="A656" t="str">
        <x:v>SYN0000655</x:v>
      </x:c>
      <x:c r="B656" s="12" t="n">
        <x:v>41575</x:v>
      </x:c>
      <x:c r="C656" s="18" t="n">
        <x:v>8781</x:v>
      </x:c>
      <x:c r="D656" s="18" t="n">
        <x:v>104382</x:v>
      </x:c>
      <x:c r="E656" s="18" t="n">
        <x:v>16.72</x:v>
      </x:c>
      <x:c r="F656" s="18" t="n">
        <x:v>5</x:v>
      </x:c>
      <x:c r="G656" t="n">
        <x:v>36</x:v>
      </x:c>
      <x:c r="H656" t="str">
        <x:v>A</x:v>
      </x:c>
      <x:c r="I656" t="str">
        <x:v>1-3 years</x:v>
      </x:c>
      <x:c r="J656" t="str">
        <x:v>RENT</x:v>
      </x:c>
      <x:c r="K656" t="str">
        <x:v>home_improvement</x:v>
      </x:c>
      <x:c r="L656" t="n">
        <x:v>0</x:v>
      </x:c>
      <x:c r="M656" t="n">
        <x:v>0</x:v>
      </x:c>
      <x:c r="N656" t="str">
        <x:v>Fully Paid</x:v>
      </x:c>
      <x:c r="O656" t="str">
        <x:f>IF(D656="","Unknown",IF(D656&lt;25000,"&lt;$25k",IF(D656&lt;50000,"$25k-$50k",IF(D656&lt;75000,"$50k-$75k",IF(D656&lt;100000,"$75k-$100k","$100k+")))))</x:f>
        <x:v>$100k+</x:v>
      </x:c>
      <x:c r="P656" t="str">
        <x:f>IF(E656="","Unknown",IF(E656&lt;10,"&lt;10",IF(E656&lt;20,"10-&lt;20",IF(E656&lt;25,"20-&lt;25",IF(E656&lt;35,"25-&lt;35","35+")))))</x:f>
        <x:v>10-&lt;20</x:v>
      </x:c>
    </x:row>
    <x:row r="657">
      <x:c r="A657" t="str">
        <x:v>SYN0000656</x:v>
      </x:c>
      <x:c r="B657" s="12" t="n">
        <x:v>42145</x:v>
      </x:c>
      <x:c r="C657" s="18" t="n">
        <x:v>9504</x:v>
      </x:c>
      <x:c r="D657" s="18" t="n">
        <x:v>26576</x:v>
      </x:c>
      <x:c r="E657" s="18" t="n">
        <x:v>9.89</x:v>
      </x:c>
      <x:c r="F657" s="18" t="n">
        <x:v>5</x:v>
      </x:c>
      <x:c r="G657" t="n">
        <x:v>36</x:v>
      </x:c>
      <x:c r="H657" t="str">
        <x:v>A</x:v>
      </x:c>
      <x:c r="I657" t="str">
        <x:v>1-3 years</x:v>
      </x:c>
      <x:c r="J657" t="str">
        <x:v>RENT</x:v>
      </x:c>
      <x:c r="K657" t="str">
        <x:v>debt_consolidation</x:v>
      </x:c>
      <x:c r="L657" t="n">
        <x:v>1</x:v>
      </x:c>
      <x:c r="M657" t="n">
        <x:v>0</x:v>
      </x:c>
      <x:c r="N657" t="str">
        <x:v>Fully Paid</x:v>
      </x:c>
      <x:c r="O657" t="str">
        <x:f>IF(D657="","Unknown",IF(D657&lt;25000,"&lt;$25k",IF(D657&lt;50000,"$25k-$50k",IF(D657&lt;75000,"$50k-$75k",IF(D657&lt;100000,"$75k-$100k","$100k+")))))</x:f>
        <x:v>$25k-$50k</x:v>
      </x:c>
      <x:c r="P657" t="str">
        <x:f>IF(E657="","Unknown",IF(E657&lt;10,"&lt;10",IF(E657&lt;20,"10-&lt;20",IF(E657&lt;25,"20-&lt;25",IF(E657&lt;35,"25-&lt;35","35+")))))</x:f>
        <x:v>&lt;10</x:v>
      </x:c>
    </x:row>
    <x:row r="658">
      <x:c r="A658" t="str">
        <x:v>SYN0000657</x:v>
      </x:c>
      <x:c r="B658" s="12" t="n">
        <x:v>42985</x:v>
      </x:c>
      <x:c r="C658" s="18" t="n">
        <x:v>24267</x:v>
      </x:c>
      <x:c r="D658" s="18" t="n">
        <x:v>42202</x:v>
      </x:c>
      <x:c r="E658" s="18" t="n">
        <x:v>19.87</x:v>
      </x:c>
      <x:c r="F658" s="18" t="n">
        <x:v>5.86</x:v>
      </x:c>
      <x:c r="G658" t="n">
        <x:v>60</x:v>
      </x:c>
      <x:c r="H658" t="str">
        <x:v>A</x:v>
      </x:c>
      <x:c r="I658" t="str">
        <x:v>7-9 years</x:v>
      </x:c>
      <x:c r="J658" t="str">
        <x:v>RENT</x:v>
      </x:c>
      <x:c r="K658" t="str">
        <x:v>debt_consolidation</x:v>
      </x:c>
      <x:c r="L658" t="n">
        <x:v>0</x:v>
      </x:c>
      <x:c r="M658" t="n">
        <x:v>0</x:v>
      </x:c>
      <x:c r="N658" t="str">
        <x:v>Fully Paid</x:v>
      </x:c>
      <x:c r="O658" t="str">
        <x:f>IF(D658="","Unknown",IF(D658&lt;25000,"&lt;$25k",IF(D658&lt;50000,"$25k-$50k",IF(D658&lt;75000,"$50k-$75k",IF(D658&lt;100000,"$75k-$100k","$100k+")))))</x:f>
        <x:v>$25k-$50k</x:v>
      </x:c>
      <x:c r="P658" t="str">
        <x:f>IF(E658="","Unknown",IF(E658&lt;10,"&lt;10",IF(E658&lt;20,"10-&lt;20",IF(E658&lt;25,"20-&lt;25",IF(E658&lt;35,"25-&lt;35","35+")))))</x:f>
        <x:v>10-&lt;20</x:v>
      </x:c>
    </x:row>
    <x:row r="659">
      <x:c r="A659" t="str">
        <x:v>SYN0000658</x:v>
      </x:c>
      <x:c r="B659" s="12" t="n">
        <x:v>42535</x:v>
      </x:c>
      <x:c r="C659" s="18" t="n">
        <x:v>15525</x:v>
      </x:c>
      <x:c r="D659" s="18" t="n">
        <x:v>19409</x:v>
      </x:c>
      <x:c r="E659" s="18" t="n">
        <x:v>30.81</x:v>
      </x:c>
      <x:c r="F659" s="18" t="n">
        <x:v>14.93</x:v>
      </x:c>
      <x:c r="G659" t="n">
        <x:v>36</x:v>
      </x:c>
      <x:c r="H659" t="str">
        <x:v>D</x:v>
      </x:c>
      <x:c r="I659" t="str">
        <x:v>1-3 years</x:v>
      </x:c>
      <x:c r="J659" t="str">
        <x:v>MORTGAGE</x:v>
      </x:c>
      <x:c r="K659" t="str">
        <x:v>home_improvement</x:v>
      </x:c>
      <x:c r="L659" t="n">
        <x:v>1</x:v>
      </x:c>
      <x:c r="M659" t="n">
        <x:v>0</x:v>
      </x:c>
      <x:c r="N659" t="str">
        <x:v>Fully Paid</x:v>
      </x:c>
      <x:c r="O659" t="str">
        <x:f>IF(D659="","Unknown",IF(D659&lt;25000,"&lt;$25k",IF(D659&lt;50000,"$25k-$50k",IF(D659&lt;75000,"$50k-$75k",IF(D659&lt;100000,"$75k-$100k","$100k+")))))</x:f>
        <x:v>&lt;$25k</x:v>
      </x:c>
      <x:c r="P659" t="str">
        <x:f>IF(E659="","Unknown",IF(E659&lt;10,"&lt;10",IF(E659&lt;20,"10-&lt;20",IF(E659&lt;25,"20-&lt;25",IF(E659&lt;35,"25-&lt;35","35+")))))</x:f>
        <x:v>25-&lt;35</x:v>
      </x:c>
    </x:row>
    <x:row r="660">
      <x:c r="A660" t="str">
        <x:v>SYN0000659</x:v>
      </x:c>
      <x:c r="B660" s="12" t="n">
        <x:v>42925</x:v>
      </x:c>
      <x:c r="C660" s="18" t="n">
        <x:v>14196</x:v>
      </x:c>
      <x:c r="D660" s="18" t="n">
        <x:v>38176</x:v>
      </x:c>
      <x:c r="E660" s="18" t="n">
        <x:v>38.03</x:v>
      </x:c>
      <x:c r="F660" s="18" t="n">
        <x:v>12.72</x:v>
      </x:c>
      <x:c r="G660" t="n">
        <x:v>60</x:v>
      </x:c>
      <x:c r="H660" t="str">
        <x:v>C</x:v>
      </x:c>
      <x:c r="I660" t="str">
        <x:v>4-6 years</x:v>
      </x:c>
      <x:c r="J660" t="str">
        <x:v>RENT</x:v>
      </x:c>
      <x:c r="K660" t="str">
        <x:v>medical</x:v>
      </x:c>
      <x:c r="L660" t="n">
        <x:v>0</x:v>
      </x:c>
      <x:c r="M660" t="n">
        <x:v>0</x:v>
      </x:c>
      <x:c r="N660" t="str">
        <x:v>Fully Paid</x:v>
      </x:c>
      <x:c r="O660" t="str">
        <x:f>IF(D660="","Unknown",IF(D660&lt;25000,"&lt;$25k",IF(D660&lt;50000,"$25k-$50k",IF(D660&lt;75000,"$50k-$75k",IF(D660&lt;100000,"$75k-$100k","$100k+")))))</x:f>
        <x:v>$25k-$50k</x:v>
      </x:c>
      <x:c r="P660" t="str">
        <x:f>IF(E660="","Unknown",IF(E660&lt;10,"&lt;10",IF(E660&lt;20,"10-&lt;20",IF(E660&lt;25,"20-&lt;25",IF(E660&lt;35,"25-&lt;35","35+")))))</x:f>
        <x:v>35+</x:v>
      </x:c>
    </x:row>
    <x:row r="661">
      <x:c r="A661" t="str">
        <x:v>SYN0000660</x:v>
      </x:c>
      <x:c r="B661" s="12" t="n">
        <x:v>42685</x:v>
      </x:c>
      <x:c r="C661" s="18" t="n">
        <x:v>5454</x:v>
      </x:c>
      <x:c r="D661" s="18" t="n">
        <x:v>70719</x:v>
      </x:c>
      <x:c r="E661" s="18" t="n">
        <x:v>26.02</x:v>
      </x:c>
      <x:c r="F661" s="18" t="n">
        <x:v>23.82</x:v>
      </x:c>
      <x:c r="G661" t="n">
        <x:v>36</x:v>
      </x:c>
      <x:c r="H661" t="str">
        <x:v>F</x:v>
      </x:c>
      <x:c r="I661" t="str">
        <x:v>10+ years</x:v>
      </x:c>
      <x:c r="J661" t="str">
        <x:v>RENT</x:v>
      </x:c>
      <x:c r="K661" t="str">
        <x:v>debt_consolidation</x:v>
      </x:c>
      <x:c r="L661" t="n">
        <x:v>0</x:v>
      </x:c>
      <x:c r="M661" t="n">
        <x:v>0</x:v>
      </x:c>
      <x:c r="N661" t="str">
        <x:v>Fully Paid</x:v>
      </x:c>
      <x:c r="O661" t="str">
        <x:f>IF(D661="","Unknown",IF(D661&lt;25000,"&lt;$25k",IF(D661&lt;50000,"$25k-$50k",IF(D661&lt;75000,"$50k-$75k",IF(D661&lt;100000,"$75k-$100k","$100k+")))))</x:f>
        <x:v>$50k-$75k</x:v>
      </x:c>
      <x:c r="P661" t="str">
        <x:f>IF(E661="","Unknown",IF(E661&lt;10,"&lt;10",IF(E661&lt;20,"10-&lt;20",IF(E661&lt;25,"20-&lt;25",IF(E661&lt;35,"25-&lt;35","35+")))))</x:f>
        <x:v>25-&lt;35</x:v>
      </x:c>
    </x:row>
    <x:row r="662">
      <x:c r="A662" t="str">
        <x:v>SYN0000661</x:v>
      </x:c>
      <x:c r="B662" s="12" t="n">
        <x:v>42175</x:v>
      </x:c>
      <x:c r="C662" s="18" t="n">
        <x:v>11453</x:v>
      </x:c>
      <x:c r="D662" s="18" t="n">
        <x:v>33092</x:v>
      </x:c>
      <x:c r="E662" s="18" t="n">
        <x:v>24.32</x:v>
      </x:c>
      <x:c r="F662" s="18" t="n">
        <x:v>8.84</x:v>
      </x:c>
      <x:c r="G662" t="n">
        <x:v>36</x:v>
      </x:c>
      <x:c r="H662" t="str">
        <x:v>B</x:v>
      </x:c>
      <x:c r="I662" t="str">
        <x:v>&lt;1 year</x:v>
      </x:c>
      <x:c r="J662" t="str">
        <x:v>RENT</x:v>
      </x:c>
      <x:c r="K662" t="str">
        <x:v>debt_consolidation</x:v>
      </x:c>
      <x:c r="L662" t="n">
        <x:v>0</x:v>
      </x:c>
      <x:c r="M662" t="n">
        <x:v>0</x:v>
      </x:c>
      <x:c r="N662" t="str">
        <x:v>Fully Paid</x:v>
      </x:c>
      <x:c r="O662" t="str">
        <x:f>IF(D662="","Unknown",IF(D662&lt;25000,"&lt;$25k",IF(D662&lt;50000,"$25k-$50k",IF(D662&lt;75000,"$50k-$75k",IF(D662&lt;100000,"$75k-$100k","$100k+")))))</x:f>
        <x:v>$25k-$50k</x:v>
      </x:c>
      <x:c r="P662" t="str">
        <x:f>IF(E662="","Unknown",IF(E662&lt;10,"&lt;10",IF(E662&lt;20,"10-&lt;20",IF(E662&lt;25,"20-&lt;25",IF(E662&lt;35,"25-&lt;35","35+")))))</x:f>
        <x:v>20-&lt;25</x:v>
      </x:c>
    </x:row>
    <x:row r="663">
      <x:c r="A663" t="str">
        <x:v>SYN0000662</x:v>
      </x:c>
      <x:c r="B663" s="12" t="n">
        <x:v>42505</x:v>
      </x:c>
      <x:c r="C663" s="18" t="n">
        <x:v>10899</x:v>
      </x:c>
      <x:c r="D663" s="18" t="n">
        <x:v>161145</x:v>
      </x:c>
      <x:c r="E663" s="18" t="n">
        <x:v>15.44</x:v>
      </x:c>
      <x:c r="F663" s="18" t="n">
        <x:v>9.74</x:v>
      </x:c>
      <x:c r="G663" t="n">
        <x:v>36</x:v>
      </x:c>
      <x:c r="H663" t="str">
        <x:v>B</x:v>
      </x:c>
      <x:c r="I663" t="str">
        <x:v>10+ years</x:v>
      </x:c>
      <x:c r="J663" t="str">
        <x:v>RENT</x:v>
      </x:c>
      <x:c r="K663" t="str">
        <x:v>debt_consolidation</x:v>
      </x:c>
      <x:c r="L663" t="n">
        <x:v>0</x:v>
      </x:c>
      <x:c r="M663" t="n">
        <x:v>0</x:v>
      </x:c>
      <x:c r="N663" t="str">
        <x:v>Fully Paid</x:v>
      </x:c>
      <x:c r="O663" t="str">
        <x:f>IF(D663="","Unknown",IF(D663&lt;25000,"&lt;$25k",IF(D663&lt;50000,"$25k-$50k",IF(D663&lt;75000,"$50k-$75k",IF(D663&lt;100000,"$75k-$100k","$100k+")))))</x:f>
        <x:v>$100k+</x:v>
      </x:c>
      <x:c r="P663" t="str">
        <x:f>IF(E663="","Unknown",IF(E663&lt;10,"&lt;10",IF(E663&lt;20,"10-&lt;20",IF(E663&lt;25,"20-&lt;25",IF(E663&lt;35,"25-&lt;35","35+")))))</x:f>
        <x:v>10-&lt;20</x:v>
      </x:c>
    </x:row>
    <x:row r="664">
      <x:c r="A664" t="str">
        <x:v>SYN0000663</x:v>
      </x:c>
      <x:c r="B664" s="12" t="n">
        <x:v>43285</x:v>
      </x:c>
      <x:c r="C664" s="18" t="n">
        <x:v>7863</x:v>
      </x:c>
      <x:c r="D664" s="18" t="n">
        <x:v>160177</x:v>
      </x:c>
      <x:c r="E664" s="18" t="n">
        <x:v>14.54</x:v>
      </x:c>
      <x:c r="F664" s="18" t="n">
        <x:v>19.17</x:v>
      </x:c>
      <x:c r="G664" t="n">
        <x:v>36</x:v>
      </x:c>
      <x:c r="H664" t="str">
        <x:v>E</x:v>
      </x:c>
      <x:c r="I664" t="str">
        <x:v>1-3 years</x:v>
      </x:c>
      <x:c r="J664" t="str">
        <x:v>MORTGAGE</x:v>
      </x:c>
      <x:c r="K664" t="str">
        <x:v>debt_consolidation</x:v>
      </x:c>
      <x:c r="L664" t="n">
        <x:v>0</x:v>
      </x:c>
      <x:c r="M664" t="n">
        <x:v>0</x:v>
      </x:c>
      <x:c r="N664" t="str">
        <x:v>Fully Paid</x:v>
      </x:c>
      <x:c r="O664" t="str">
        <x:f>IF(D664="","Unknown",IF(D664&lt;25000,"&lt;$25k",IF(D664&lt;50000,"$25k-$50k",IF(D664&lt;75000,"$50k-$75k",IF(D664&lt;100000,"$75k-$100k","$100k+")))))</x:f>
        <x:v>$100k+</x:v>
      </x:c>
      <x:c r="P664" t="str">
        <x:f>IF(E664="","Unknown",IF(E664&lt;10,"&lt;10",IF(E664&lt;20,"10-&lt;20",IF(E664&lt;25,"20-&lt;25",IF(E664&lt;35,"25-&lt;35","35+")))))</x:f>
        <x:v>10-&lt;20</x:v>
      </x:c>
    </x:row>
    <x:row r="665">
      <x:c r="A665" t="str">
        <x:v>SYN0000664</x:v>
      </x:c>
      <x:c r="B665" s="12" t="n">
        <x:v>42625</x:v>
      </x:c>
      <x:c r="C665" s="18" t="n">
        <x:v>10013</x:v>
      </x:c>
      <x:c r="D665" s="18" t="n">
        <x:v>55251</x:v>
      </x:c>
      <x:c r="E665" s="18" t="n">
        <x:v>28.27</x:v>
      </x:c>
      <x:c r="F665" s="18" t="n">
        <x:v>5</x:v>
      </x:c>
      <x:c r="G665" t="n">
        <x:v>60</x:v>
      </x:c>
      <x:c r="H665" t="str">
        <x:v>A</x:v>
      </x:c>
      <x:c r="I665" t="str">
        <x:v>1-3 years</x:v>
      </x:c>
      <x:c r="J665" t="str">
        <x:v>RENT</x:v>
      </x:c>
      <x:c r="K665" t="str">
        <x:v>credit_card</x:v>
      </x:c>
      <x:c r="L665" t="n">
        <x:v>1</x:v>
      </x:c>
      <x:c r="M665" t="n">
        <x:v>0</x:v>
      </x:c>
      <x:c r="N665" t="str">
        <x:v>Fully Paid</x:v>
      </x:c>
      <x:c r="O665" t="str">
        <x:f>IF(D665="","Unknown",IF(D665&lt;25000,"&lt;$25k",IF(D665&lt;50000,"$25k-$50k",IF(D665&lt;75000,"$50k-$75k",IF(D665&lt;100000,"$75k-$100k","$100k+")))))</x:f>
        <x:v>$50k-$75k</x:v>
      </x:c>
      <x:c r="P665" t="str">
        <x:f>IF(E665="","Unknown",IF(E665&lt;10,"&lt;10",IF(E665&lt;20,"10-&lt;20",IF(E665&lt;25,"20-&lt;25",IF(E665&lt;35,"25-&lt;35","35+")))))</x:f>
        <x:v>25-&lt;35</x:v>
      </x:c>
    </x:row>
    <x:row r="666">
      <x:c r="A666" t="str">
        <x:v>SYN0000665</x:v>
      </x:c>
      <x:c r="B666" s="12" t="n">
        <x:v>43045</x:v>
      </x:c>
      <x:c r="C666" s="18" t="n">
        <x:v>9787</x:v>
      </x:c>
      <x:c r="D666" s="18" t="n">
        <x:v>46720</x:v>
      </x:c>
      <x:c r="E666" s="18" t="n">
        <x:v>23.51</x:v>
      </x:c>
      <x:c r="F666" s="18" t="n">
        <x:v>20.11</x:v>
      </x:c>
      <x:c r="G666" t="n">
        <x:v>60</x:v>
      </x:c>
      <x:c r="H666" t="str">
        <x:v>F</x:v>
      </x:c>
      <x:c r="I666" t="str">
        <x:v>4-6 years</x:v>
      </x:c>
      <x:c r="J666" t="str">
        <x:v>OWN</x:v>
      </x:c>
      <x:c r="K666" t="str">
        <x:v>home_improvement</x:v>
      </x:c>
      <x:c r="L666" t="n">
        <x:v>1</x:v>
      </x:c>
      <x:c r="M666" t="n">
        <x:v>0</x:v>
      </x:c>
      <x:c r="N666" t="str">
        <x:v>Fully Paid</x:v>
      </x:c>
      <x:c r="O666" t="str">
        <x:f>IF(D666="","Unknown",IF(D666&lt;25000,"&lt;$25k",IF(D666&lt;50000,"$25k-$50k",IF(D666&lt;75000,"$50k-$75k",IF(D666&lt;100000,"$75k-$100k","$100k+")))))</x:f>
        <x:v>$25k-$50k</x:v>
      </x:c>
      <x:c r="P666" t="str">
        <x:f>IF(E666="","Unknown",IF(E666&lt;10,"&lt;10",IF(E666&lt;20,"10-&lt;20",IF(E666&lt;25,"20-&lt;25",IF(E666&lt;35,"25-&lt;35","35+")))))</x:f>
        <x:v>20-&lt;25</x:v>
      </x:c>
    </x:row>
    <x:row r="667">
      <x:c r="A667" t="str">
        <x:v>SYN0000666</x:v>
      </x:c>
      <x:c r="B667" s="12" t="n">
        <x:v>42295</x:v>
      </x:c>
      <x:c r="C667" s="18" t="n">
        <x:v>7446</x:v>
      </x:c>
      <x:c r="D667" s="18" t="n">
        <x:v>58785</x:v>
      </x:c>
      <x:c r="E667" s="18" t="n">
        <x:v>2.39</x:v>
      </x:c>
      <x:c r="F667" s="18" t="n">
        <x:v>21.27</x:v>
      </x:c>
      <x:c r="G667" t="n">
        <x:v>36</x:v>
      </x:c>
      <x:c r="H667" t="str">
        <x:v>F</x:v>
      </x:c>
      <x:c r="I667" t="str">
        <x:v>4-6 years</x:v>
      </x:c>
      <x:c r="J667" t="str">
        <x:v>OTHER</x:v>
      </x:c>
      <x:c r="K667" t="str">
        <x:v>credit_card</x:v>
      </x:c>
      <x:c r="L667" t="n">
        <x:v>1</x:v>
      </x:c>
      <x:c r="M667" t="n">
        <x:v>0</x:v>
      </x:c>
      <x:c r="N667" t="str">
        <x:v>Fully Paid</x:v>
      </x:c>
      <x:c r="O667" t="str">
        <x:f>IF(D667="","Unknown",IF(D667&lt;25000,"&lt;$25k",IF(D667&lt;50000,"$25k-$50k",IF(D667&lt;75000,"$50k-$75k",IF(D667&lt;100000,"$75k-$100k","$100k+")))))</x:f>
        <x:v>$50k-$75k</x:v>
      </x:c>
      <x:c r="P667" t="str">
        <x:f>IF(E667="","Unknown",IF(E667&lt;10,"&lt;10",IF(E667&lt;20,"10-&lt;20",IF(E667&lt;25,"20-&lt;25",IF(E667&lt;35,"25-&lt;35","35+")))))</x:f>
        <x:v>&lt;10</x:v>
      </x:c>
    </x:row>
    <x:row r="668">
      <x:c r="A668" t="str">
        <x:v>SYN0000667</x:v>
      </x:c>
      <x:c r="B668" s="12" t="n">
        <x:v>42925</x:v>
      </x:c>
      <x:c r="C668" s="18" t="n">
        <x:v>8207</x:v>
      </x:c>
      <x:c r="D668" s="18" t="n">
        <x:v>68616</x:v>
      </x:c>
      <x:c r="E668" s="18" t="n">
        <x:v>19.94</x:v>
      </x:c>
      <x:c r="F668" s="18" t="n">
        <x:v>12.24</x:v>
      </x:c>
      <x:c r="G668" t="n">
        <x:v>60</x:v>
      </x:c>
      <x:c r="H668" t="str">
        <x:v>C</x:v>
      </x:c>
      <x:c r="I668" t="str">
        <x:v>1-3 years</x:v>
      </x:c>
      <x:c r="J668" t="str">
        <x:v>RENT</x:v>
      </x:c>
      <x:c r="K668" t="str">
        <x:v>debt_consolidation</x:v>
      </x:c>
      <x:c r="L668" t="n">
        <x:v>1</x:v>
      </x:c>
      <x:c r="M668" t="n">
        <x:v>0</x:v>
      </x:c>
      <x:c r="N668" t="str">
        <x:v>Fully Paid</x:v>
      </x:c>
      <x:c r="O668" t="str">
        <x:f>IF(D668="","Unknown",IF(D668&lt;25000,"&lt;$25k",IF(D668&lt;50000,"$25k-$50k",IF(D668&lt;75000,"$50k-$75k",IF(D668&lt;100000,"$75k-$100k","$100k+")))))</x:f>
        <x:v>$50k-$75k</x:v>
      </x:c>
      <x:c r="P668" t="str">
        <x:f>IF(E668="","Unknown",IF(E668&lt;10,"&lt;10",IF(E668&lt;20,"10-&lt;20",IF(E668&lt;25,"20-&lt;25",IF(E668&lt;35,"25-&lt;35","35+")))))</x:f>
        <x:v>10-&lt;20</x:v>
      </x:c>
    </x:row>
    <x:row r="669">
      <x:c r="A669" t="str">
        <x:v>SYN0000668</x:v>
      </x:c>
      <x:c r="B669" s="12" t="n">
        <x:v>42805</x:v>
      </x:c>
      <x:c r="C669" s="18" t="n">
        <x:v>17327</x:v>
      </x:c>
      <x:c r="D669" s="18" t="n">
        <x:v>150167</x:v>
      </x:c>
      <x:c r="E669" s="18" t="n">
        <x:v>17.81</x:v>
      </x:c>
      <x:c r="F669" s="18" t="n">
        <x:v>6.4</x:v>
      </x:c>
      <x:c r="G669" t="n">
        <x:v>36</x:v>
      </x:c>
      <x:c r="H669" t="str">
        <x:v>B</x:v>
      </x:c>
      <x:c r="I669" t="str">
        <x:v>7-9 years</x:v>
      </x:c>
      <x:c r="J669" t="str">
        <x:v>OWN</x:v>
      </x:c>
      <x:c r="K669" t="str">
        <x:v>home_improvement</x:v>
      </x:c>
      <x:c r="L669" t="n">
        <x:v>0</x:v>
      </x:c>
      <x:c r="M669" t="n">
        <x:v>0</x:v>
      </x:c>
      <x:c r="N669" t="str">
        <x:v>Fully Paid</x:v>
      </x:c>
      <x:c r="O669" t="str">
        <x:f>IF(D669="","Unknown",IF(D669&lt;25000,"&lt;$25k",IF(D669&lt;50000,"$25k-$50k",IF(D669&lt;75000,"$50k-$75k",IF(D669&lt;100000,"$75k-$100k","$100k+")))))</x:f>
        <x:v>$100k+</x:v>
      </x:c>
      <x:c r="P669" t="str">
        <x:f>IF(E669="","Unknown",IF(E669&lt;10,"&lt;10",IF(E669&lt;20,"10-&lt;20",IF(E669&lt;25,"20-&lt;25",IF(E669&lt;35,"25-&lt;35","35+")))))</x:f>
        <x:v>10-&lt;20</x:v>
      </x:c>
    </x:row>
    <x:row r="670">
      <x:c r="A670" t="str">
        <x:v>SYN0000669</x:v>
      </x:c>
      <x:c r="B670" s="12" t="n">
        <x:v>42085</x:v>
      </x:c>
      <x:c r="C670" s="18" t="n">
        <x:v>8614</x:v>
      </x:c>
      <x:c r="D670" s="18" t="n">
        <x:v>55189</x:v>
      </x:c>
      <x:c r="E670" s="18" t="n">
        <x:v>15.21</x:v>
      </x:c>
      <x:c r="F670" s="18" t="n">
        <x:v>13.35</x:v>
      </x:c>
      <x:c r="G670" t="n">
        <x:v>60</x:v>
      </x:c>
      <x:c r="H670" t="str">
        <x:v>D</x:v>
      </x:c>
      <x:c r="I670" t="str">
        <x:v>10+ years</x:v>
      </x:c>
      <x:c r="J670" t="str">
        <x:v>RENT</x:v>
      </x:c>
      <x:c r="K670" t="str">
        <x:v>home_improvement</x:v>
      </x:c>
      <x:c r="L670" t="n">
        <x:v>0</x:v>
      </x:c>
      <x:c r="M670" t="n">
        <x:v>0</x:v>
      </x:c>
      <x:c r="N670" t="str">
        <x:v>Fully Paid</x:v>
      </x:c>
      <x:c r="O670" t="str">
        <x:f>IF(D670="","Unknown",IF(D670&lt;25000,"&lt;$25k",IF(D670&lt;50000,"$25k-$50k",IF(D670&lt;75000,"$50k-$75k",IF(D670&lt;100000,"$75k-$100k","$100k+")))))</x:f>
        <x:v>$50k-$75k</x:v>
      </x:c>
      <x:c r="P670" t="str">
        <x:f>IF(E670="","Unknown",IF(E670&lt;10,"&lt;10",IF(E670&lt;20,"10-&lt;20",IF(E670&lt;25,"20-&lt;25",IF(E670&lt;35,"25-&lt;35","35+")))))</x:f>
        <x:v>10-&lt;20</x:v>
      </x:c>
    </x:row>
    <x:row r="671">
      <x:c r="A671" t="str">
        <x:v>SYN0000670</x:v>
      </x:c>
      <x:c r="B671" s="12" t="n">
        <x:v>42115</x:v>
      </x:c>
      <x:c r="C671" s="18" t="n">
        <x:v>12909</x:v>
      </x:c>
      <x:c r="D671" s="18" t="n">
        <x:v>67752</x:v>
      </x:c>
      <x:c r="E671" s="18" t="n">
        <x:v>10.97</x:v>
      </x:c>
      <x:c r="F671" s="18" t="n">
        <x:v>5.47</x:v>
      </x:c>
      <x:c r="G671" t="n">
        <x:v>36</x:v>
      </x:c>
      <x:c r="H671" t="str">
        <x:v>A</x:v>
      </x:c>
      <x:c r="I671" t="str">
        <x:v>10+ years</x:v>
      </x:c>
      <x:c r="J671" t="str">
        <x:v>OWN</x:v>
      </x:c>
      <x:c r="K671" t="str">
        <x:v>debt_consolidation</x:v>
      </x:c>
      <x:c r="L671" t="n">
        <x:v>0</x:v>
      </x:c>
      <x:c r="M671" t="n">
        <x:v>0</x:v>
      </x:c>
      <x:c r="N671" t="str">
        <x:v>Fully Paid</x:v>
      </x:c>
      <x:c r="O671" t="str">
        <x:f>IF(D671="","Unknown",IF(D671&lt;25000,"&lt;$25k",IF(D671&lt;50000,"$25k-$50k",IF(D671&lt;75000,"$50k-$75k",IF(D671&lt;100000,"$75k-$100k","$100k+")))))</x:f>
        <x:v>$50k-$75k</x:v>
      </x:c>
      <x:c r="P671" t="str">
        <x:f>IF(E671="","Unknown",IF(E671&lt;10,"&lt;10",IF(E671&lt;20,"10-&lt;20",IF(E671&lt;25,"20-&lt;25",IF(E671&lt;35,"25-&lt;35","35+")))))</x:f>
        <x:v>10-&lt;20</x:v>
      </x:c>
    </x:row>
    <x:row r="672">
      <x:c r="A672" t="str">
        <x:v>SYN0000671</x:v>
      </x:c>
      <x:c r="B672" s="12" t="n">
        <x:v>42955</x:v>
      </x:c>
      <x:c r="C672" s="18" t="n">
        <x:v>11246</x:v>
      </x:c>
      <x:c r="D672" s="18" t="n">
        <x:v>29079</x:v>
      </x:c>
      <x:c r="E672" s="18" t="n">
        <x:v>27.65</x:v>
      </x:c>
      <x:c r="F672" s="18" t="n">
        <x:v>5.59</x:v>
      </x:c>
      <x:c r="G672" t="n">
        <x:v>36</x:v>
      </x:c>
      <x:c r="H672" t="str">
        <x:v>B</x:v>
      </x:c>
      <x:c r="I672" t="str">
        <x:v>10+ years</x:v>
      </x:c>
      <x:c r="J672" t="str">
        <x:v>OWN</x:v>
      </x:c>
      <x:c r="K672" t="str">
        <x:v>debt_consolidation</x:v>
      </x:c>
      <x:c r="L672" t="n">
        <x:v>1</x:v>
      </x:c>
      <x:c r="M672" t="n">
        <x:v>0</x:v>
      </x:c>
      <x:c r="N672" t="str">
        <x:v>Fully Paid</x:v>
      </x:c>
      <x:c r="O672" t="str">
        <x:f>IF(D672="","Unknown",IF(D672&lt;25000,"&lt;$25k",IF(D672&lt;50000,"$25k-$50k",IF(D672&lt;75000,"$50k-$75k",IF(D672&lt;100000,"$75k-$100k","$100k+")))))</x:f>
        <x:v>$25k-$50k</x:v>
      </x:c>
      <x:c r="P672" t="str">
        <x:f>IF(E672="","Unknown",IF(E672&lt;10,"&lt;10",IF(E672&lt;20,"10-&lt;20",IF(E672&lt;25,"20-&lt;25",IF(E672&lt;35,"25-&lt;35","35+")))))</x:f>
        <x:v>25-&lt;35</x:v>
      </x:c>
    </x:row>
    <x:row r="673">
      <x:c r="A673" t="str">
        <x:v>SYN0000672</x:v>
      </x:c>
      <x:c r="B673" s="12" t="n">
        <x:v>42235</x:v>
      </x:c>
      <x:c r="C673" s="18" t="n">
        <x:v>19765</x:v>
      </x:c>
      <x:c r="D673" s="18" t="n">
        <x:v>58465</x:v>
      </x:c>
      <x:c r="E673" s="18" t="n">
        <x:v>21.82</x:v>
      </x:c>
      <x:c r="F673" s="18" t="n">
        <x:v>22.31</x:v>
      </x:c>
      <x:c r="G673" t="n">
        <x:v>36</x:v>
      </x:c>
      <x:c r="H673" t="str">
        <x:v>E</x:v>
      </x:c>
      <x:c r="I673" t="str">
        <x:v>7-9 years</x:v>
      </x:c>
      <x:c r="J673" t="str">
        <x:v>MORTGAGE</x:v>
      </x:c>
      <x:c r="K673" t="str">
        <x:v>debt_consolidation</x:v>
      </x:c>
      <x:c r="L673" t="n">
        <x:v>1</x:v>
      </x:c>
      <x:c r="M673" t="n">
        <x:v>0</x:v>
      </x:c>
      <x:c r="N673" t="str">
        <x:v>Fully Paid</x:v>
      </x:c>
      <x:c r="O673" t="str">
        <x:f>IF(D673="","Unknown",IF(D673&lt;25000,"&lt;$25k",IF(D673&lt;50000,"$25k-$50k",IF(D673&lt;75000,"$50k-$75k",IF(D673&lt;100000,"$75k-$100k","$100k+")))))</x:f>
        <x:v>$50k-$75k</x:v>
      </x:c>
      <x:c r="P673" t="str">
        <x:f>IF(E673="","Unknown",IF(E673&lt;10,"&lt;10",IF(E673&lt;20,"10-&lt;20",IF(E673&lt;25,"20-&lt;25",IF(E673&lt;35,"25-&lt;35","35+")))))</x:f>
        <x:v>20-&lt;25</x:v>
      </x:c>
    </x:row>
    <x:row r="674">
      <x:c r="A674" t="str">
        <x:v>SYN0000673</x:v>
      </x:c>
      <x:c r="B674" s="12" t="n">
        <x:v>41515</x:v>
      </x:c>
      <x:c r="C674" s="18" t="n">
        <x:v>16632</x:v>
      </x:c>
      <x:c r="D674" s="18" t="n">
        <x:v>37813</x:v>
      </x:c>
      <x:c r="E674" s="18" t="n">
        <x:v>15.55</x:v>
      </x:c>
      <x:c r="F674" s="18" t="n">
        <x:v>11.35</x:v>
      </x:c>
      <x:c r="G674" t="n">
        <x:v>36</x:v>
      </x:c>
      <x:c r="H674" t="str">
        <x:v>C</x:v>
      </x:c>
      <x:c r="I674" t="str">
        <x:v>1-3 years</x:v>
      </x:c>
      <x:c r="J674" t="str">
        <x:v>RENT</x:v>
      </x:c>
      <x:c r="K674" t="str">
        <x:v>credit_card</x:v>
      </x:c>
      <x:c r="L674" t="n">
        <x:v>0</x:v>
      </x:c>
      <x:c r="M674" t="n">
        <x:v>0</x:v>
      </x:c>
      <x:c r="N674" t="str">
        <x:v>Fully Paid</x:v>
      </x:c>
      <x:c r="O674" t="str">
        <x:f>IF(D674="","Unknown",IF(D674&lt;25000,"&lt;$25k",IF(D674&lt;50000,"$25k-$50k",IF(D674&lt;75000,"$50k-$75k",IF(D674&lt;100000,"$75k-$100k","$100k+")))))</x:f>
        <x:v>$25k-$50k</x:v>
      </x:c>
      <x:c r="P674" t="str">
        <x:f>IF(E674="","Unknown",IF(E674&lt;10,"&lt;10",IF(E674&lt;20,"10-&lt;20",IF(E674&lt;25,"20-&lt;25",IF(E674&lt;35,"25-&lt;35","35+")))))</x:f>
        <x:v>10-&lt;20</x:v>
      </x:c>
    </x:row>
    <x:row r="675">
      <x:c r="A675" t="str">
        <x:v>SYN0000674</x:v>
      </x:c>
      <x:c r="B675" s="12" t="n">
        <x:v>41785</x:v>
      </x:c>
      <x:c r="C675" s="18" t="n">
        <x:v>21141</x:v>
      </x:c>
      <x:c r="D675" s="18" t="n">
        <x:v>31905</x:v>
      </x:c>
      <x:c r="E675" s="18" t="n">
        <x:v>17.33</x:v>
      </x:c>
      <x:c r="F675" s="18" t="n">
        <x:v>8.3</x:v>
      </x:c>
      <x:c r="G675" t="n">
        <x:v>36</x:v>
      </x:c>
      <x:c r="H675" t="str">
        <x:v>C</x:v>
      </x:c>
      <x:c r="I675" t="str">
        <x:v>1-3 years</x:v>
      </x:c>
      <x:c r="J675" t="str">
        <x:v>MORTGAGE</x:v>
      </x:c>
      <x:c r="K675" t="str">
        <x:v>debt_consolidation</x:v>
      </x:c>
      <x:c r="L675" t="n">
        <x:v>1</x:v>
      </x:c>
      <x:c r="M675" t="n">
        <x:v>1</x:v>
      </x:c>
      <x:c r="N675" t="str">
        <x:v>Charged Off</x:v>
      </x:c>
      <x:c r="O675" t="str">
        <x:f>IF(D675="","Unknown",IF(D675&lt;25000,"&lt;$25k",IF(D675&lt;50000,"$25k-$50k",IF(D675&lt;75000,"$50k-$75k",IF(D675&lt;100000,"$75k-$100k","$100k+")))))</x:f>
        <x:v>$25k-$50k</x:v>
      </x:c>
      <x:c r="P675" t="str">
        <x:f>IF(E675="","Unknown",IF(E675&lt;10,"&lt;10",IF(E675&lt;20,"10-&lt;20",IF(E675&lt;25,"20-&lt;25",IF(E675&lt;35,"25-&lt;35","35+")))))</x:f>
        <x:v>10-&lt;20</x:v>
      </x:c>
    </x:row>
    <x:row r="676">
      <x:c r="A676" t="str">
        <x:v>SYN0000675</x:v>
      </x:c>
      <x:c r="B676" s="12" t="n">
        <x:v>41935</x:v>
      </x:c>
      <x:c r="C676" s="18" t="n">
        <x:v>9006</x:v>
      </x:c>
      <x:c r="D676" s="18" t="n">
        <x:v>82818</x:v>
      </x:c>
      <x:c r="E676" s="18" t="n">
        <x:v>7.85</x:v>
      </x:c>
      <x:c r="F676" s="18" t="n">
        <x:v>11.83</x:v>
      </x:c>
      <x:c r="G676" t="n">
        <x:v>60</x:v>
      </x:c>
      <x:c r="H676" t="str">
        <x:v>B</x:v>
      </x:c>
      <x:c r="I676" t="str">
        <x:v>&lt;1 year</x:v>
      </x:c>
      <x:c r="J676" t="str">
        <x:v>RENT</x:v>
      </x:c>
      <x:c r="K676" t="str">
        <x:v>debt_consolidation</x:v>
      </x:c>
      <x:c r="L676" t="n">
        <x:v>0</x:v>
      </x:c>
      <x:c r="M676" t="n">
        <x:v>0</x:v>
      </x:c>
      <x:c r="N676" t="str">
        <x:v>Fully Paid</x:v>
      </x:c>
      <x:c r="O676" t="str">
        <x:f>IF(D676="","Unknown",IF(D676&lt;25000,"&lt;$25k",IF(D676&lt;50000,"$25k-$50k",IF(D676&lt;75000,"$50k-$75k",IF(D676&lt;100000,"$75k-$100k","$100k+")))))</x:f>
        <x:v>$75k-$100k</x:v>
      </x:c>
      <x:c r="P676" t="str">
        <x:f>IF(E676="","Unknown",IF(E676&lt;10,"&lt;10",IF(E676&lt;20,"10-&lt;20",IF(E676&lt;25,"20-&lt;25",IF(E676&lt;35,"25-&lt;35","35+")))))</x:f>
        <x:v>&lt;10</x:v>
      </x:c>
    </x:row>
    <x:row r="677">
      <x:c r="A677" t="str">
        <x:v>SYN0000676</x:v>
      </x:c>
      <x:c r="B677" s="12" t="n">
        <x:v>42175</x:v>
      </x:c>
      <x:c r="C677" s="18" t="n">
        <x:v>4639</x:v>
      </x:c>
      <x:c r="D677" s="18" t="n">
        <x:v>49476</x:v>
      </x:c>
      <x:c r="E677" s="18" t="n">
        <x:v>7.64</x:v>
      </x:c>
      <x:c r="F677" s="18" t="n">
        <x:v>8.44</x:v>
      </x:c>
      <x:c r="G677" t="n">
        <x:v>36</x:v>
      </x:c>
      <x:c r="H677" t="str">
        <x:v>B</x:v>
      </x:c>
      <x:c r="I677" t="str">
        <x:v>4-6 years</x:v>
      </x:c>
      <x:c r="J677" t="str">
        <x:v>OWN</x:v>
      </x:c>
      <x:c r="K677" t="str">
        <x:v>debt_consolidation</x:v>
      </x:c>
      <x:c r="L677" t="n">
        <x:v>0</x:v>
      </x:c>
      <x:c r="M677" t="n">
        <x:v>0</x:v>
      </x:c>
      <x:c r="N677" t="str">
        <x:v>Fully Paid</x:v>
      </x:c>
      <x:c r="O677" t="str">
        <x:f>IF(D677="","Unknown",IF(D677&lt;25000,"&lt;$25k",IF(D677&lt;50000,"$25k-$50k",IF(D677&lt;75000,"$50k-$75k",IF(D677&lt;100000,"$75k-$100k","$100k+")))))</x:f>
        <x:v>$25k-$50k</x:v>
      </x:c>
      <x:c r="P677" t="str">
        <x:f>IF(E677="","Unknown",IF(E677&lt;10,"&lt;10",IF(E677&lt;20,"10-&lt;20",IF(E677&lt;25,"20-&lt;25",IF(E677&lt;35,"25-&lt;35","35+")))))</x:f>
        <x:v>&lt;10</x:v>
      </x:c>
    </x:row>
    <x:row r="678">
      <x:c r="A678" t="str">
        <x:v>SYN0000677</x:v>
      </x:c>
      <x:c r="B678" s="12" t="n">
        <x:v>43285</x:v>
      </x:c>
      <x:c r="C678" s="18" t="n">
        <x:v>24868</x:v>
      </x:c>
      <x:c r="D678" s="18" t="n">
        <x:v>38172</x:v>
      </x:c>
      <x:c r="E678" s="18" t="n">
        <x:v>25.85</x:v>
      </x:c>
      <x:c r="F678" s="18" t="n">
        <x:v>17.63</x:v>
      </x:c>
      <x:c r="G678" t="n">
        <x:v>36</x:v>
      </x:c>
      <x:c r="H678" t="str">
        <x:v>F</x:v>
      </x:c>
      <x:c r="I678" t="str">
        <x:v>10+ years</x:v>
      </x:c>
      <x:c r="J678" t="str">
        <x:v>MORTGAGE</x:v>
      </x:c>
      <x:c r="K678" t="str">
        <x:v>credit_card</x:v>
      </x:c>
      <x:c r="L678" t="n">
        <x:v>0</x:v>
      </x:c>
      <x:c r="M678" t="n">
        <x:v>0</x:v>
      </x:c>
      <x:c r="N678" t="str">
        <x:v>Fully Paid</x:v>
      </x:c>
      <x:c r="O678" t="str">
        <x:f>IF(D678="","Unknown",IF(D678&lt;25000,"&lt;$25k",IF(D678&lt;50000,"$25k-$50k",IF(D678&lt;75000,"$50k-$75k",IF(D678&lt;100000,"$75k-$100k","$100k+")))))</x:f>
        <x:v>$25k-$50k</x:v>
      </x:c>
      <x:c r="P678" t="str">
        <x:f>IF(E678="","Unknown",IF(E678&lt;10,"&lt;10",IF(E678&lt;20,"10-&lt;20",IF(E678&lt;25,"20-&lt;25",IF(E678&lt;35,"25-&lt;35","35+")))))</x:f>
        <x:v>25-&lt;35</x:v>
      </x:c>
    </x:row>
    <x:row r="679">
      <x:c r="A679" t="str">
        <x:v>SYN0000678</x:v>
      </x:c>
      <x:c r="B679" s="12" t="n">
        <x:v>41635</x:v>
      </x:c>
      <x:c r="C679" s="18" t="n">
        <x:v>19519</x:v>
      </x:c>
      <x:c r="D679" s="18" t="n">
        <x:v>82823</x:v>
      </x:c>
      <x:c r="E679" s="18" t="n">
        <x:v>18.13</x:v>
      </x:c>
      <x:c r="F679" s="18" t="n">
        <x:v>6.63</x:v>
      </x:c>
      <x:c r="G679" t="n">
        <x:v>60</x:v>
      </x:c>
      <x:c r="H679" t="str">
        <x:v>B</x:v>
      </x:c>
      <x:c r="I679" t="str">
        <x:v>10+ years</x:v>
      </x:c>
      <x:c r="J679" t="str">
        <x:v>RENT</x:v>
      </x:c>
      <x:c r="K679" t="str">
        <x:v>home_improvement</x:v>
      </x:c>
      <x:c r="L679" t="n">
        <x:v>0</x:v>
      </x:c>
      <x:c r="M679" t="n">
        <x:v>0</x:v>
      </x:c>
      <x:c r="N679" t="str">
        <x:v>Fully Paid</x:v>
      </x:c>
      <x:c r="O679" t="str">
        <x:f>IF(D679="","Unknown",IF(D679&lt;25000,"&lt;$25k",IF(D679&lt;50000,"$25k-$50k",IF(D679&lt;75000,"$50k-$75k",IF(D679&lt;100000,"$75k-$100k","$100k+")))))</x:f>
        <x:v>$75k-$100k</x:v>
      </x:c>
      <x:c r="P679" t="str">
        <x:f>IF(E679="","Unknown",IF(E679&lt;10,"&lt;10",IF(E679&lt;20,"10-&lt;20",IF(E679&lt;25,"20-&lt;25",IF(E679&lt;35,"25-&lt;35","35+")))))</x:f>
        <x:v>10-&lt;20</x:v>
      </x:c>
    </x:row>
    <x:row r="680">
      <x:c r="A680" t="str">
        <x:v>SYN0000679</x:v>
      </x:c>
      <x:c r="B680" s="12" t="n">
        <x:v>41785</x:v>
      </x:c>
      <x:c r="C680" s="18" t="n">
        <x:v>10830</x:v>
      </x:c>
      <x:c r="D680" s="18" t="n">
        <x:v>42675</x:v>
      </x:c>
      <x:c r="E680" s="18" t="n">
        <x:v>12.79</x:v>
      </x:c>
      <x:c r="F680" s="18" t="n">
        <x:v>10.24</x:v>
      </x:c>
      <x:c r="G680" t="n">
        <x:v>36</x:v>
      </x:c>
      <x:c r="H680" t="str">
        <x:v>B</x:v>
      </x:c>
      <x:c r="I680" t="str">
        <x:v>4-6 years</x:v>
      </x:c>
      <x:c r="J680" t="str">
        <x:v>RENT</x:v>
      </x:c>
      <x:c r="K680" t="str">
        <x:v>credit_card</x:v>
      </x:c>
      <x:c r="L680" t="n">
        <x:v>1</x:v>
      </x:c>
      <x:c r="M680" t="n">
        <x:v>0</x:v>
      </x:c>
      <x:c r="N680" t="str">
        <x:v>Fully Paid</x:v>
      </x:c>
      <x:c r="O680" t="str">
        <x:f>IF(D680="","Unknown",IF(D680&lt;25000,"&lt;$25k",IF(D680&lt;50000,"$25k-$50k",IF(D680&lt;75000,"$50k-$75k",IF(D680&lt;100000,"$75k-$100k","$100k+")))))</x:f>
        <x:v>$25k-$50k</x:v>
      </x:c>
      <x:c r="P680" t="str">
        <x:f>IF(E680="","Unknown",IF(E680&lt;10,"&lt;10",IF(E680&lt;20,"10-&lt;20",IF(E680&lt;25,"20-&lt;25",IF(E680&lt;35,"25-&lt;35","35+")))))</x:f>
        <x:v>10-&lt;20</x:v>
      </x:c>
    </x:row>
    <x:row r="681">
      <x:c r="A681" t="str">
        <x:v>SYN0000680</x:v>
      </x:c>
      <x:c r="B681" s="12" t="n">
        <x:v>43255</x:v>
      </x:c>
      <x:c r="C681" s="18" t="n">
        <x:v>6565</x:v>
      </x:c>
      <x:c r="D681" s="18" t="n">
        <x:v>119671</x:v>
      </x:c>
      <x:c r="E681" s="18" t="n">
        <x:v>18.92</x:v>
      </x:c>
      <x:c r="F681" s="18" t="n">
        <x:v>10.17</x:v>
      </x:c>
      <x:c r="G681" t="n">
        <x:v>36</x:v>
      </x:c>
      <x:c r="H681" t="str">
        <x:v>C</x:v>
      </x:c>
      <x:c r="I681" t="str">
        <x:v>7-9 years</x:v>
      </x:c>
      <x:c r="J681" t="str">
        <x:v>OWN</x:v>
      </x:c>
      <x:c r="K681" t="str">
        <x:v>debt_consolidation</x:v>
      </x:c>
      <x:c r="L681" t="n">
        <x:v>0</x:v>
      </x:c>
      <x:c r="M681" t="n">
        <x:v>0</x:v>
      </x:c>
      <x:c r="N681" t="str">
        <x:v>Fully Paid</x:v>
      </x:c>
      <x:c r="O681" t="str">
        <x:f>IF(D681="","Unknown",IF(D681&lt;25000,"&lt;$25k",IF(D681&lt;50000,"$25k-$50k",IF(D681&lt;75000,"$50k-$75k",IF(D681&lt;100000,"$75k-$100k","$100k+")))))</x:f>
        <x:v>$100k+</x:v>
      </x:c>
      <x:c r="P681" t="str">
        <x:f>IF(E681="","Unknown",IF(E681&lt;10,"&lt;10",IF(E681&lt;20,"10-&lt;20",IF(E681&lt;25,"20-&lt;25",IF(E681&lt;35,"25-&lt;35","35+")))))</x:f>
        <x:v>10-&lt;20</x:v>
      </x:c>
    </x:row>
    <x:row r="682">
      <x:c r="A682" t="str">
        <x:v>SYN0000681</x:v>
      </x:c>
      <x:c r="B682" s="12" t="n">
        <x:v>41785</x:v>
      </x:c>
      <x:c r="C682" s="18" t="n">
        <x:v>19917</x:v>
      </x:c>
      <x:c r="D682" s="18" t="n">
        <x:v>27832</x:v>
      </x:c>
      <x:c r="E682" s="18" t="n">
        <x:v>13.87</x:v>
      </x:c>
      <x:c r="F682" s="18" t="n">
        <x:v>21.6</x:v>
      </x:c>
      <x:c r="G682" t="n">
        <x:v>60</x:v>
      </x:c>
      <x:c r="H682" t="str">
        <x:v>F</x:v>
      </x:c>
      <x:c r="I682" t="str">
        <x:v>4-6 years</x:v>
      </x:c>
      <x:c r="J682" t="str">
        <x:v>OWN</x:v>
      </x:c>
      <x:c r="K682" t="str">
        <x:v>debt_consolidation</x:v>
      </x:c>
      <x:c r="L682" t="n">
        <x:v>2</x:v>
      </x:c>
      <x:c r="M682" t="n">
        <x:v>0</x:v>
      </x:c>
      <x:c r="N682" t="str">
        <x:v>Fully Paid</x:v>
      </x:c>
      <x:c r="O682" t="str">
        <x:f>IF(D682="","Unknown",IF(D682&lt;25000,"&lt;$25k",IF(D682&lt;50000,"$25k-$50k",IF(D682&lt;75000,"$50k-$75k",IF(D682&lt;100000,"$75k-$100k","$100k+")))))</x:f>
        <x:v>$25k-$50k</x:v>
      </x:c>
      <x:c r="P682" t="str">
        <x:f>IF(E682="","Unknown",IF(E682&lt;10,"&lt;10",IF(E682&lt;20,"10-&lt;20",IF(E682&lt;25,"20-&lt;25",IF(E682&lt;35,"25-&lt;35","35+")))))</x:f>
        <x:v>10-&lt;20</x:v>
      </x:c>
    </x:row>
    <x:row r="683">
      <x:c r="A683" t="str">
        <x:v>SYN0000682</x:v>
      </x:c>
      <x:c r="B683" s="12" t="n">
        <x:v>41965</x:v>
      </x:c>
      <x:c r="C683" s="18" t="n">
        <x:v>7581</x:v>
      </x:c>
      <x:c r="D683" s="18" t="n">
        <x:v>72366</x:v>
      </x:c>
      <x:c r="E683" s="18" t="n">
        <x:v>37.02</x:v>
      </x:c>
      <x:c r="F683" s="18" t="n">
        <x:v>27.12</x:v>
      </x:c>
      <x:c r="G683" t="n">
        <x:v>36</x:v>
      </x:c>
      <x:c r="H683" t="str">
        <x:v>G</x:v>
      </x:c>
      <x:c r="I683" t="str">
        <x:v>&lt;1 year</x:v>
      </x:c>
      <x:c r="J683" t="str">
        <x:v>RENT</x:v>
      </x:c>
      <x:c r="K683" t="str">
        <x:v>major_purchase</x:v>
      </x:c>
      <x:c r="L683" t="n">
        <x:v>2</x:v>
      </x:c>
      <x:c r="M683" t="n">
        <x:v>1</x:v>
      </x:c>
      <x:c r="N683" t="str">
        <x:v>Charged Off</x:v>
      </x:c>
      <x:c r="O683" t="str">
        <x:f>IF(D683="","Unknown",IF(D683&lt;25000,"&lt;$25k",IF(D683&lt;50000,"$25k-$50k",IF(D683&lt;75000,"$50k-$75k",IF(D683&lt;100000,"$75k-$100k","$100k+")))))</x:f>
        <x:v>$50k-$75k</x:v>
      </x:c>
      <x:c r="P683" t="str">
        <x:f>IF(E683="","Unknown",IF(E683&lt;10,"&lt;10",IF(E683&lt;20,"10-&lt;20",IF(E683&lt;25,"20-&lt;25",IF(E683&lt;35,"25-&lt;35","35+")))))</x:f>
        <x:v>35+</x:v>
      </x:c>
    </x:row>
    <x:row r="684">
      <x:c r="A684" t="str">
        <x:v>SYN0000683</x:v>
      </x:c>
      <x:c r="B684" s="12" t="n">
        <x:v>43225</x:v>
      </x:c>
      <x:c r="C684" s="18" t="n">
        <x:v>23582</x:v>
      </x:c>
      <x:c r="D684" s="18" t="n">
        <x:v>44110</x:v>
      </x:c>
      <x:c r="E684" s="18" t="n">
        <x:v>23.78</x:v>
      </x:c>
      <x:c r="F684" s="18" t="n">
        <x:v>23.46</x:v>
      </x:c>
      <x:c r="G684" t="n">
        <x:v>36</x:v>
      </x:c>
      <x:c r="H684" t="str">
        <x:v>F</x:v>
      </x:c>
      <x:c r="I684" t="str">
        <x:v>&lt;1 year</x:v>
      </x:c>
      <x:c r="J684" t="str">
        <x:v>RENT</x:v>
      </x:c>
      <x:c r="K684" t="str">
        <x:v>home_improvement</x:v>
      </x:c>
      <x:c r="L684" t="n">
        <x:v>0</x:v>
      </x:c>
      <x:c r="M684" t="n">
        <x:v>0</x:v>
      </x:c>
      <x:c r="N684" t="str">
        <x:v>Fully Paid</x:v>
      </x:c>
      <x:c r="O684" t="str">
        <x:f>IF(D684="","Unknown",IF(D684&lt;25000,"&lt;$25k",IF(D684&lt;50000,"$25k-$50k",IF(D684&lt;75000,"$50k-$75k",IF(D684&lt;100000,"$75k-$100k","$100k+")))))</x:f>
        <x:v>$25k-$50k</x:v>
      </x:c>
      <x:c r="P684" t="str">
        <x:f>IF(E684="","Unknown",IF(E684&lt;10,"&lt;10",IF(E684&lt;20,"10-&lt;20",IF(E684&lt;25,"20-&lt;25",IF(E684&lt;35,"25-&lt;35","35+")))))</x:f>
        <x:v>20-&lt;25</x:v>
      </x:c>
    </x:row>
    <x:row r="685">
      <x:c r="A685" t="str">
        <x:v>SYN0000684</x:v>
      </x:c>
      <x:c r="B685" s="12" t="n">
        <x:v>41755</x:v>
      </x:c>
      <x:c r="C685" s="18" t="n">
        <x:v>9688</x:v>
      </x:c>
      <x:c r="D685" s="18" t="n">
        <x:v>18462</x:v>
      </x:c>
      <x:c r="E685" s="18" t="n">
        <x:v>17.87</x:v>
      </x:c>
      <x:c r="F685" s="18" t="n">
        <x:v>5</x:v>
      </x:c>
      <x:c r="G685" t="n">
        <x:v>36</x:v>
      </x:c>
      <x:c r="H685" t="str">
        <x:v>A</x:v>
      </x:c>
      <x:c r="I685" t="str">
        <x:v>10+ years</x:v>
      </x:c>
      <x:c r="J685" t="str">
        <x:v>MORTGAGE</x:v>
      </x:c>
      <x:c r="K685" t="str">
        <x:v>credit_card</x:v>
      </x:c>
      <x:c r="L685" t="n">
        <x:v>1</x:v>
      </x:c>
      <x:c r="M685" t="n">
        <x:v>0</x:v>
      </x:c>
      <x:c r="N685" t="str">
        <x:v>Fully Paid</x:v>
      </x:c>
      <x:c r="O685" t="str">
        <x:f>IF(D685="","Unknown",IF(D685&lt;25000,"&lt;$25k",IF(D685&lt;50000,"$25k-$50k",IF(D685&lt;75000,"$50k-$75k",IF(D685&lt;100000,"$75k-$100k","$100k+")))))</x:f>
        <x:v>&lt;$25k</x:v>
      </x:c>
      <x:c r="P685" t="str">
        <x:f>IF(E685="","Unknown",IF(E685&lt;10,"&lt;10",IF(E685&lt;20,"10-&lt;20",IF(E685&lt;25,"20-&lt;25",IF(E685&lt;35,"25-&lt;35","35+")))))</x:f>
        <x:v>10-&lt;20</x:v>
      </x:c>
    </x:row>
    <x:row r="686">
      <x:c r="A686" t="str">
        <x:v>SYN0000685</x:v>
      </x:c>
      <x:c r="B686" s="12" t="n">
        <x:v>41665</x:v>
      </x:c>
      <x:c r="C686" s="18" t="n">
        <x:v>3382</x:v>
      </x:c>
      <x:c r="D686" s="18" t="n">
        <x:v>46503</x:v>
      </x:c>
      <x:c r="E686" s="18" t="n">
        <x:v>27.04</x:v>
      </x:c>
      <x:c r="F686" s="18" t="n">
        <x:v>8.8</x:v>
      </x:c>
      <x:c r="G686" t="n">
        <x:v>36</x:v>
      </x:c>
      <x:c r="H686" t="str">
        <x:v>C</x:v>
      </x:c>
      <x:c r="I686" t="str">
        <x:v>10+ years</x:v>
      </x:c>
      <x:c r="J686" t="str">
        <x:v>RENT</x:v>
      </x:c>
      <x:c r="K686" t="str">
        <x:v>debt_consolidation</x:v>
      </x:c>
      <x:c r="L686" t="n">
        <x:v>0</x:v>
      </x:c>
      <x:c r="M686" t="n">
        <x:v>0</x:v>
      </x:c>
      <x:c r="N686" t="str">
        <x:v>Fully Paid</x:v>
      </x:c>
      <x:c r="O686" t="str">
        <x:f>IF(D686="","Unknown",IF(D686&lt;25000,"&lt;$25k",IF(D686&lt;50000,"$25k-$50k",IF(D686&lt;75000,"$50k-$75k",IF(D686&lt;100000,"$75k-$100k","$100k+")))))</x:f>
        <x:v>$25k-$50k</x:v>
      </x:c>
      <x:c r="P686" t="str">
        <x:f>IF(E686="","Unknown",IF(E686&lt;10,"&lt;10",IF(E686&lt;20,"10-&lt;20",IF(E686&lt;25,"20-&lt;25",IF(E686&lt;35,"25-&lt;35","35+")))))</x:f>
        <x:v>25-&lt;35</x:v>
      </x:c>
    </x:row>
    <x:row r="687">
      <x:c r="A687" t="str">
        <x:v>SYN0000686</x:v>
      </x:c>
      <x:c r="B687" s="12" t="n">
        <x:v>43345</x:v>
      </x:c>
      <x:c r="C687" s="18" t="n">
        <x:v>8036</x:v>
      </x:c>
      <x:c r="D687" s="18" t="n">
        <x:v>41617</x:v>
      </x:c>
      <x:c r="E687" s="18" t="n">
        <x:v>31.5</x:v>
      </x:c>
      <x:c r="F687" s="18" t="n">
        <x:v>8.18</x:v>
      </x:c>
      <x:c r="G687" t="n">
        <x:v>60</x:v>
      </x:c>
      <x:c r="H687" t="str">
        <x:v>C</x:v>
      </x:c>
      <x:c r="I687" t="str">
        <x:v>7-9 years</x:v>
      </x:c>
      <x:c r="J687" t="str">
        <x:v>RENT</x:v>
      </x:c>
      <x:c r="K687" t="str">
        <x:v>credit_card</x:v>
      </x:c>
      <x:c r="L687" t="n">
        <x:v>1</x:v>
      </x:c>
      <x:c r="M687" t="n">
        <x:v>0</x:v>
      </x:c>
      <x:c r="N687" t="str">
        <x:v>Fully Paid</x:v>
      </x:c>
      <x:c r="O687" t="str">
        <x:f>IF(D687="","Unknown",IF(D687&lt;25000,"&lt;$25k",IF(D687&lt;50000,"$25k-$50k",IF(D687&lt;75000,"$50k-$75k",IF(D687&lt;100000,"$75k-$100k","$100k+")))))</x:f>
        <x:v>$25k-$50k</x:v>
      </x:c>
      <x:c r="P687" t="str">
        <x:f>IF(E687="","Unknown",IF(E687&lt;10,"&lt;10",IF(E687&lt;20,"10-&lt;20",IF(E687&lt;25,"20-&lt;25",IF(E687&lt;35,"25-&lt;35","35+")))))</x:f>
        <x:v>25-&lt;35</x:v>
      </x:c>
    </x:row>
    <x:row r="688">
      <x:c r="A688" t="str">
        <x:v>SYN0000687</x:v>
      </x:c>
      <x:c r="B688" s="12" t="n">
        <x:v>41635</x:v>
      </x:c>
      <x:c r="C688" s="18" t="n">
        <x:v>19815</x:v>
      </x:c>
      <x:c r="D688" s="18" t="n">
        <x:v>88541</x:v>
      </x:c>
      <x:c r="E688" s="18" t="n">
        <x:v>32.52</x:v>
      </x:c>
      <x:c r="F688" s="18" t="n">
        <x:v>24.46</x:v>
      </x:c>
      <x:c r="G688" t="n">
        <x:v>36</x:v>
      </x:c>
      <x:c r="H688" t="str">
        <x:v>G</x:v>
      </x:c>
      <x:c r="I688" t="str">
        <x:v>4-6 years</x:v>
      </x:c>
      <x:c r="J688" t="str">
        <x:v>RENT</x:v>
      </x:c>
      <x:c r="K688" t="str">
        <x:v>debt_consolidation</x:v>
      </x:c>
      <x:c r="L688" t="n">
        <x:v>0</x:v>
      </x:c>
      <x:c r="M688" t="n">
        <x:v>1</x:v>
      </x:c>
      <x:c r="N688" t="str">
        <x:v>Charged Off</x:v>
      </x:c>
      <x:c r="O688" t="str">
        <x:f>IF(D688="","Unknown",IF(D688&lt;25000,"&lt;$25k",IF(D688&lt;50000,"$25k-$50k",IF(D688&lt;75000,"$50k-$75k",IF(D688&lt;100000,"$75k-$100k","$100k+")))))</x:f>
        <x:v>$75k-$100k</x:v>
      </x:c>
      <x:c r="P688" t="str">
        <x:f>IF(E688="","Unknown",IF(E688&lt;10,"&lt;10",IF(E688&lt;20,"10-&lt;20",IF(E688&lt;25,"20-&lt;25",IF(E688&lt;35,"25-&lt;35","35+")))))</x:f>
        <x:v>25-&lt;35</x:v>
      </x:c>
    </x:row>
    <x:row r="689">
      <x:c r="A689" t="str">
        <x:v>SYN0000688</x:v>
      </x:c>
      <x:c r="B689" s="12" t="n">
        <x:v>42415</x:v>
      </x:c>
      <x:c r="C689" s="18" t="n">
        <x:v>9241</x:v>
      </x:c>
      <x:c r="D689" s="18" t="n">
        <x:v>51607</x:v>
      </x:c>
      <x:c r="E689" s="18" t="n">
        <x:v>20.09</x:v>
      </x:c>
      <x:c r="F689" s="18" t="n">
        <x:v>20.01</x:v>
      </x:c>
      <x:c r="G689" t="n">
        <x:v>60</x:v>
      </x:c>
      <x:c r="H689" t="str">
        <x:v>E</x:v>
      </x:c>
      <x:c r="I689" t="str">
        <x:v>4-6 years</x:v>
      </x:c>
      <x:c r="J689" t="str">
        <x:v>OWN</x:v>
      </x:c>
      <x:c r="K689" t="str">
        <x:v>debt_consolidation</x:v>
      </x:c>
      <x:c r="L689" t="n">
        <x:v>2</x:v>
      </x:c>
      <x:c r="M689" t="n">
        <x:v>0</x:v>
      </x:c>
      <x:c r="N689" t="str">
        <x:v>Fully Paid</x:v>
      </x:c>
      <x:c r="O689" t="str">
        <x:f>IF(D689="","Unknown",IF(D689&lt;25000,"&lt;$25k",IF(D689&lt;50000,"$25k-$50k",IF(D689&lt;75000,"$50k-$75k",IF(D689&lt;100000,"$75k-$100k","$100k+")))))</x:f>
        <x:v>$50k-$75k</x:v>
      </x:c>
      <x:c r="P689" t="str">
        <x:f>IF(E689="","Unknown",IF(E689&lt;10,"&lt;10",IF(E689&lt;20,"10-&lt;20",IF(E689&lt;25,"20-&lt;25",IF(E689&lt;35,"25-&lt;35","35+")))))</x:f>
        <x:v>20-&lt;25</x:v>
      </x:c>
    </x:row>
    <x:row r="690">
      <x:c r="A690" t="str">
        <x:v>SYN0000689</x:v>
      </x:c>
      <x:c r="B690" s="12" t="n">
        <x:v>41755</x:v>
      </x:c>
      <x:c r="C690" s="18" t="n">
        <x:v>20020</x:v>
      </x:c>
      <x:c r="D690" s="18" t="n">
        <x:v>250000</x:v>
      </x:c>
      <x:c r="E690" s="18" t="n">
        <x:v>14.62</x:v>
      </x:c>
      <x:c r="F690" s="18" t="n">
        <x:v>11.02</x:v>
      </x:c>
      <x:c r="G690" t="n">
        <x:v>60</x:v>
      </x:c>
      <x:c r="H690" t="str">
        <x:v>C</x:v>
      </x:c>
      <x:c r="I690" t="str">
        <x:v>4-6 years</x:v>
      </x:c>
      <x:c r="J690" t="str">
        <x:v>MORTGAGE</x:v>
      </x:c>
      <x:c r="K690" t="str">
        <x:v>debt_consolidation</x:v>
      </x:c>
      <x:c r="L690" t="n">
        <x:v>0</x:v>
      </x:c>
      <x:c r="M690" t="n">
        <x:v>0</x:v>
      </x:c>
      <x:c r="N690" t="str">
        <x:v>Fully Paid</x:v>
      </x:c>
      <x:c r="O690" t="str">
        <x:f>IF(D690="","Unknown",IF(D690&lt;25000,"&lt;$25k",IF(D690&lt;50000,"$25k-$50k",IF(D690&lt;75000,"$50k-$75k",IF(D690&lt;100000,"$75k-$100k","$100k+")))))</x:f>
        <x:v>$100k+</x:v>
      </x:c>
      <x:c r="P690" t="str">
        <x:f>IF(E690="","Unknown",IF(E690&lt;10,"&lt;10",IF(E690&lt;20,"10-&lt;20",IF(E690&lt;25,"20-&lt;25",IF(E690&lt;35,"25-&lt;35","35+")))))</x:f>
        <x:v>10-&lt;20</x:v>
      </x:c>
    </x:row>
    <x:row r="691">
      <x:c r="A691" t="str">
        <x:v>SYN0000690</x:v>
      </x:c>
      <x:c r="B691" s="12" t="n">
        <x:v>41335</x:v>
      </x:c>
      <x:c r="C691" s="18" t="n">
        <x:v>5910</x:v>
      </x:c>
      <x:c r="D691" s="18" t="n">
        <x:v>47183</x:v>
      </x:c>
      <x:c r="E691" s="18" t="n">
        <x:v>18.87</x:v>
      </x:c>
      <x:c r="F691" s="18" t="n">
        <x:v>18.37</x:v>
      </x:c>
      <x:c r="G691" t="n">
        <x:v>36</x:v>
      </x:c>
      <x:c r="H691" t="str">
        <x:v>E</x:v>
      </x:c>
      <x:c r="I691" t="str">
        <x:v>1-3 years</x:v>
      </x:c>
      <x:c r="J691" t="str">
        <x:v>MORTGAGE</x:v>
      </x:c>
      <x:c r="K691" t="str">
        <x:v>credit_card</x:v>
      </x:c>
      <x:c r="L691" t="n">
        <x:v>0</x:v>
      </x:c>
      <x:c r="M691" t="n">
        <x:v>0</x:v>
      </x:c>
      <x:c r="N691" t="str">
        <x:v>Fully Paid</x:v>
      </x:c>
      <x:c r="O691" t="str">
        <x:f>IF(D691="","Unknown",IF(D691&lt;25000,"&lt;$25k",IF(D691&lt;50000,"$25k-$50k",IF(D691&lt;75000,"$50k-$75k",IF(D691&lt;100000,"$75k-$100k","$100k+")))))</x:f>
        <x:v>$25k-$50k</x:v>
      </x:c>
      <x:c r="P691" t="str">
        <x:f>IF(E691="","Unknown",IF(E691&lt;10,"&lt;10",IF(E691&lt;20,"10-&lt;20",IF(E691&lt;25,"20-&lt;25",IF(E691&lt;35,"25-&lt;35","35+")))))</x:f>
        <x:v>10-&lt;20</x:v>
      </x:c>
    </x:row>
    <x:row r="692">
      <x:c r="A692" t="str">
        <x:v>SYN0000691</x:v>
      </x:c>
      <x:c r="B692" s="12" t="n">
        <x:v>41425</x:v>
      </x:c>
      <x:c r="C692" s="18" t="n">
        <x:v>3225</x:v>
      </x:c>
      <x:c r="D692" s="18" t="n">
        <x:v>74787</x:v>
      </x:c>
      <x:c r="E692" s="18" t="n">
        <x:v>24.97</x:v>
      </x:c>
      <x:c r="F692" s="18" t="n">
        <x:v>6.62</x:v>
      </x:c>
      <x:c r="G692" t="n">
        <x:v>60</x:v>
      </x:c>
      <x:c r="H692" t="str">
        <x:v>A</x:v>
      </x:c>
      <x:c r="I692" t="str">
        <x:v>&lt;1 year</x:v>
      </x:c>
      <x:c r="J692" t="str">
        <x:v>MORTGAGE</x:v>
      </x:c>
      <x:c r="K692" t="str">
        <x:v>medical</x:v>
      </x:c>
      <x:c r="L692" t="n">
        <x:v>1</x:v>
      </x:c>
      <x:c r="M692" t="n">
        <x:v>0</x:v>
      </x:c>
      <x:c r="N692" t="str">
        <x:v>Fully Paid</x:v>
      </x:c>
      <x:c r="O692" t="str">
        <x:f>IF(D692="","Unknown",IF(D692&lt;25000,"&lt;$25k",IF(D692&lt;50000,"$25k-$50k",IF(D692&lt;75000,"$50k-$75k",IF(D692&lt;100000,"$75k-$100k","$100k+")))))</x:f>
        <x:v>$50k-$75k</x:v>
      </x:c>
      <x:c r="P692" t="str">
        <x:f>IF(E692="","Unknown",IF(E692&lt;10,"&lt;10",IF(E692&lt;20,"10-&lt;20",IF(E692&lt;25,"20-&lt;25",IF(E692&lt;35,"25-&lt;35","35+")))))</x:f>
        <x:v>20-&lt;25</x:v>
      </x:c>
    </x:row>
    <x:row r="693">
      <x:c r="A693" t="str">
        <x:v>SYN0000692</x:v>
      </x:c>
      <x:c r="B693" s="12" t="n">
        <x:v>42385</x:v>
      </x:c>
      <x:c r="C693" s="18" t="n">
        <x:v>17888</x:v>
      </x:c>
      <x:c r="D693" s="18" t="n">
        <x:v>33567</x:v>
      </x:c>
      <x:c r="E693" s="18" t="n">
        <x:v>23.22</x:v>
      </x:c>
      <x:c r="F693" s="18" t="n">
        <x:v>6.89</x:v>
      </x:c>
      <x:c r="G693" t="n">
        <x:v>36</x:v>
      </x:c>
      <x:c r="H693" t="str">
        <x:v>B</x:v>
      </x:c>
      <x:c r="I693" t="str">
        <x:v>10+ years</x:v>
      </x:c>
      <x:c r="J693" t="str">
        <x:v>RENT</x:v>
      </x:c>
      <x:c r="K693" t="str">
        <x:v>major_purchase</x:v>
      </x:c>
      <x:c r="L693" t="n">
        <x:v>0</x:v>
      </x:c>
      <x:c r="M693" t="n">
        <x:v>0</x:v>
      </x:c>
      <x:c r="N693" t="str">
        <x:v>Fully Paid</x:v>
      </x:c>
      <x:c r="O693" t="str">
        <x:f>IF(D693="","Unknown",IF(D693&lt;25000,"&lt;$25k",IF(D693&lt;50000,"$25k-$50k",IF(D693&lt;75000,"$50k-$75k",IF(D693&lt;100000,"$75k-$100k","$100k+")))))</x:f>
        <x:v>$25k-$50k</x:v>
      </x:c>
      <x:c r="P693" t="str">
        <x:f>IF(E693="","Unknown",IF(E693&lt;10,"&lt;10",IF(E693&lt;20,"10-&lt;20",IF(E693&lt;25,"20-&lt;25",IF(E693&lt;35,"25-&lt;35","35+")))))</x:f>
        <x:v>20-&lt;25</x:v>
      </x:c>
    </x:row>
    <x:row r="694">
      <x:c r="A694" t="str">
        <x:v>SYN0000693</x:v>
      </x:c>
      <x:c r="B694" s="12" t="n">
        <x:v>42415</x:v>
      </x:c>
      <x:c r="C694" s="18" t="n">
        <x:v>3275</x:v>
      </x:c>
      <x:c r="D694" s="18" t="n">
        <x:v>93092</x:v>
      </x:c>
      <x:c r="E694" s="18" t="n">
        <x:v>20.57</x:v>
      </x:c>
      <x:c r="F694" s="18" t="n">
        <x:v>9.08</x:v>
      </x:c>
      <x:c r="G694" t="n">
        <x:v>60</x:v>
      </x:c>
      <x:c r="H694" t="str">
        <x:v>C</x:v>
      </x:c>
      <x:c r="I694" t="str">
        <x:v>10+ years</x:v>
      </x:c>
      <x:c r="J694" t="str">
        <x:v>MORTGAGE</x:v>
      </x:c>
      <x:c r="K694" t="str">
        <x:v>major_purchase</x:v>
      </x:c>
      <x:c r="L694" t="n">
        <x:v>1</x:v>
      </x:c>
      <x:c r="M694" t="n">
        <x:v>0</x:v>
      </x:c>
      <x:c r="N694" t="str">
        <x:v>Fully Paid</x:v>
      </x:c>
      <x:c r="O694" t="str">
        <x:f>IF(D694="","Unknown",IF(D694&lt;25000,"&lt;$25k",IF(D694&lt;50000,"$25k-$50k",IF(D694&lt;75000,"$50k-$75k",IF(D694&lt;100000,"$75k-$100k","$100k+")))))</x:f>
        <x:v>$75k-$100k</x:v>
      </x:c>
      <x:c r="P694" t="str">
        <x:f>IF(E694="","Unknown",IF(E694&lt;10,"&lt;10",IF(E694&lt;20,"10-&lt;20",IF(E694&lt;25,"20-&lt;25",IF(E694&lt;35,"25-&lt;35","35+")))))</x:f>
        <x:v>20-&lt;25</x:v>
      </x:c>
    </x:row>
    <x:row r="695">
      <x:c r="A695" t="str">
        <x:v>SYN0000694</x:v>
      </x:c>
      <x:c r="B695" s="12" t="n">
        <x:v>42085</x:v>
      </x:c>
      <x:c r="C695" s="18" t="n">
        <x:v>17699</x:v>
      </x:c>
      <x:c r="D695" s="18" t="n">
        <x:v>100892</x:v>
      </x:c>
      <x:c r="E695" s="18" t="n">
        <x:v>25.6</x:v>
      </x:c>
      <x:c r="F695" s="18" t="n">
        <x:v>7.2</x:v>
      </x:c>
      <x:c r="G695" t="n">
        <x:v>36</x:v>
      </x:c>
      <x:c r="H695" t="str">
        <x:v>B</x:v>
      </x:c>
      <x:c r="I695" t="str">
        <x:v>1-3 years</x:v>
      </x:c>
      <x:c r="J695" t="str">
        <x:v>RENT</x:v>
      </x:c>
      <x:c r="K695" t="str">
        <x:v>debt_consolidation</x:v>
      </x:c>
      <x:c r="L695" t="n">
        <x:v>0</x:v>
      </x:c>
      <x:c r="M695" t="n">
        <x:v>0</x:v>
      </x:c>
      <x:c r="N695" t="str">
        <x:v>Fully Paid</x:v>
      </x:c>
      <x:c r="O695" t="str">
        <x:f>IF(D695="","Unknown",IF(D695&lt;25000,"&lt;$25k",IF(D695&lt;50000,"$25k-$50k",IF(D695&lt;75000,"$50k-$75k",IF(D695&lt;100000,"$75k-$100k","$100k+")))))</x:f>
        <x:v>$100k+</x:v>
      </x:c>
      <x:c r="P695" t="str">
        <x:f>IF(E695="","Unknown",IF(E695&lt;10,"&lt;10",IF(E695&lt;20,"10-&lt;20",IF(E695&lt;25,"20-&lt;25",IF(E695&lt;35,"25-&lt;35","35+")))))</x:f>
        <x:v>25-&lt;35</x:v>
      </x:c>
    </x:row>
    <x:row r="696">
      <x:c r="A696" t="str">
        <x:v>SYN0000695</x:v>
      </x:c>
      <x:c r="B696" s="12" t="n">
        <x:v>43225</x:v>
      </x:c>
      <x:c r="C696" s="18" t="n">
        <x:v>10878</x:v>
      </x:c>
      <x:c r="D696" s="18" t="n">
        <x:v>38801</x:v>
      </x:c>
      <x:c r="E696" s="18" t="n">
        <x:v>21.46</x:v>
      </x:c>
      <x:c r="F696" s="18" t="n">
        <x:v>10.33</x:v>
      </x:c>
      <x:c r="G696" t="n">
        <x:v>36</x:v>
      </x:c>
      <x:c r="H696" t="str">
        <x:v>C</x:v>
      </x:c>
      <x:c r="I696" t="str">
        <x:v>10+ years</x:v>
      </x:c>
      <x:c r="J696" t="str">
        <x:v>MORTGAGE</x:v>
      </x:c>
      <x:c r="K696" t="str">
        <x:v>debt_consolidation</x:v>
      </x:c>
      <x:c r="L696" t="n">
        <x:v>0</x:v>
      </x:c>
      <x:c r="M696" t="n">
        <x:v>0</x:v>
      </x:c>
      <x:c r="N696" t="str">
        <x:v>Fully Paid</x:v>
      </x:c>
      <x:c r="O696" t="str">
        <x:f>IF(D696="","Unknown",IF(D696&lt;25000,"&lt;$25k",IF(D696&lt;50000,"$25k-$50k",IF(D696&lt;75000,"$50k-$75k",IF(D696&lt;100000,"$75k-$100k","$100k+")))))</x:f>
        <x:v>$25k-$50k</x:v>
      </x:c>
      <x:c r="P696" t="str">
        <x:f>IF(E696="","Unknown",IF(E696&lt;10,"&lt;10",IF(E696&lt;20,"10-&lt;20",IF(E696&lt;25,"20-&lt;25",IF(E696&lt;35,"25-&lt;35","35+")))))</x:f>
        <x:v>20-&lt;25</x:v>
      </x:c>
    </x:row>
    <x:row r="697">
      <x:c r="A697" t="str">
        <x:v>SYN0000696</x:v>
      </x:c>
      <x:c r="B697" s="12" t="n">
        <x:v>41905</x:v>
      </x:c>
      <x:c r="C697" s="18" t="n">
        <x:v>21370</x:v>
      </x:c>
      <x:c r="D697" s="18" t="n">
        <x:v>53800</x:v>
      </x:c>
      <x:c r="E697" s="18" t="n">
        <x:v>20.18</x:v>
      </x:c>
      <x:c r="F697" s="18" t="n">
        <x:v>10.39</x:v>
      </x:c>
      <x:c r="G697" t="n">
        <x:v>36</x:v>
      </x:c>
      <x:c r="H697" t="str">
        <x:v>B</x:v>
      </x:c>
      <x:c r="I697" t="str">
        <x:v>1-3 years</x:v>
      </x:c>
      <x:c r="J697" t="str">
        <x:v>RENT</x:v>
      </x:c>
      <x:c r="K697" t="str">
        <x:v>credit_card</x:v>
      </x:c>
      <x:c r="L697" t="n">
        <x:v>0</x:v>
      </x:c>
      <x:c r="M697" t="n">
        <x:v>0</x:v>
      </x:c>
      <x:c r="N697" t="str">
        <x:v>Fully Paid</x:v>
      </x:c>
      <x:c r="O697" t="str">
        <x:f>IF(D697="","Unknown",IF(D697&lt;25000,"&lt;$25k",IF(D697&lt;50000,"$25k-$50k",IF(D697&lt;75000,"$50k-$75k",IF(D697&lt;100000,"$75k-$100k","$100k+")))))</x:f>
        <x:v>$50k-$75k</x:v>
      </x:c>
      <x:c r="P697" t="str">
        <x:f>IF(E697="","Unknown",IF(E697&lt;10,"&lt;10",IF(E697&lt;20,"10-&lt;20",IF(E697&lt;25,"20-&lt;25",IF(E697&lt;35,"25-&lt;35","35+")))))</x:f>
        <x:v>20-&lt;25</x:v>
      </x:c>
    </x:row>
    <x:row r="698">
      <x:c r="A698" t="str">
        <x:v>SYN0000697</x:v>
      </x:c>
      <x:c r="B698" s="12" t="n">
        <x:v>41725</x:v>
      </x:c>
      <x:c r="C698" s="18" t="n">
        <x:v>7060</x:v>
      </x:c>
      <x:c r="D698" s="18" t="n">
        <x:v>123263</x:v>
      </x:c>
      <x:c r="E698" s="18" t="n">
        <x:v>5.82</x:v>
      </x:c>
      <x:c r="F698" s="18" t="n">
        <x:v>11.56</x:v>
      </x:c>
      <x:c r="G698" t="n">
        <x:v>36</x:v>
      </x:c>
      <x:c r="H698" t="str">
        <x:v>D</x:v>
      </x:c>
      <x:c r="I698" t="str">
        <x:v>10+ years</x:v>
      </x:c>
      <x:c r="J698" t="str">
        <x:v>MORTGAGE</x:v>
      </x:c>
      <x:c r="K698" t="str">
        <x:v>medical</x:v>
      </x:c>
      <x:c r="L698" t="n">
        <x:v>0</x:v>
      </x:c>
      <x:c r="M698" t="n">
        <x:v>1</x:v>
      </x:c>
      <x:c r="N698" t="str">
        <x:v>Charged Off</x:v>
      </x:c>
      <x:c r="O698" t="str">
        <x:f>IF(D698="","Unknown",IF(D698&lt;25000,"&lt;$25k",IF(D698&lt;50000,"$25k-$50k",IF(D698&lt;75000,"$50k-$75k",IF(D698&lt;100000,"$75k-$100k","$100k+")))))</x:f>
        <x:v>$100k+</x:v>
      </x:c>
      <x:c r="P698" t="str">
        <x:f>IF(E698="","Unknown",IF(E698&lt;10,"&lt;10",IF(E698&lt;20,"10-&lt;20",IF(E698&lt;25,"20-&lt;25",IF(E698&lt;35,"25-&lt;35","35+")))))</x:f>
        <x:v>&lt;10</x:v>
      </x:c>
    </x:row>
    <x:row r="699">
      <x:c r="A699" t="str">
        <x:v>SYN0000698</x:v>
      </x:c>
      <x:c r="B699" s="12" t="n">
        <x:v>41545</x:v>
      </x:c>
      <x:c r="C699" s="18" t="n">
        <x:v>15615</x:v>
      </x:c>
      <x:c r="D699" s="18" t="n">
        <x:v>221458</x:v>
      </x:c>
      <x:c r="E699" s="18" t="n">
        <x:v>29.88</x:v>
      </x:c>
      <x:c r="F699" s="18" t="n">
        <x:v>5.64</x:v>
      </x:c>
      <x:c r="G699" t="n">
        <x:v>36</x:v>
      </x:c>
      <x:c r="H699" t="str">
        <x:v>B</x:v>
      </x:c>
      <x:c r="I699" t="str">
        <x:v>10+ years</x:v>
      </x:c>
      <x:c r="J699" t="str">
        <x:v>MORTGAGE</x:v>
      </x:c>
      <x:c r="K699" t="str">
        <x:v>debt_consolidation</x:v>
      </x:c>
      <x:c r="L699" t="n">
        <x:v>0</x:v>
      </x:c>
      <x:c r="M699" t="n">
        <x:v>0</x:v>
      </x:c>
      <x:c r="N699" t="str">
        <x:v>Fully Paid</x:v>
      </x:c>
      <x:c r="O699" t="str">
        <x:f>IF(D699="","Unknown",IF(D699&lt;25000,"&lt;$25k",IF(D699&lt;50000,"$25k-$50k",IF(D699&lt;75000,"$50k-$75k",IF(D699&lt;100000,"$75k-$100k","$100k+")))))</x:f>
        <x:v>$100k+</x:v>
      </x:c>
      <x:c r="P699" t="str">
        <x:f>IF(E699="","Unknown",IF(E699&lt;10,"&lt;10",IF(E699&lt;20,"10-&lt;20",IF(E699&lt;25,"20-&lt;25",IF(E699&lt;35,"25-&lt;35","35+")))))</x:f>
        <x:v>25-&lt;35</x:v>
      </x:c>
    </x:row>
    <x:row r="700">
      <x:c r="A700" t="str">
        <x:v>SYN0000699</x:v>
      </x:c>
      <x:c r="B700" s="12" t="n">
        <x:v>42835</x:v>
      </x:c>
      <x:c r="C700" s="18" t="n">
        <x:v>20172</x:v>
      </x:c>
      <x:c r="D700" s="18" t="n">
        <x:v>131107</x:v>
      </x:c>
      <x:c r="E700" s="18" t="n">
        <x:v>3.35</x:v>
      </x:c>
      <x:c r="F700" s="18" t="n">
        <x:v>13.05</x:v>
      </x:c>
      <x:c r="G700" t="n">
        <x:v>60</x:v>
      </x:c>
      <x:c r="H700" t="str">
        <x:v>D</x:v>
      </x:c>
      <x:c r="I700" t="str">
        <x:v>4-6 years</x:v>
      </x:c>
      <x:c r="J700" t="str">
        <x:v>MORTGAGE</x:v>
      </x:c>
      <x:c r="K700" t="str">
        <x:v>credit_card</x:v>
      </x:c>
      <x:c r="L700" t="n">
        <x:v>0</x:v>
      </x:c>
      <x:c r="M700" t="n">
        <x:v>0</x:v>
      </x:c>
      <x:c r="N700" t="str">
        <x:v>Fully Paid</x:v>
      </x:c>
      <x:c r="O700" t="str">
        <x:f>IF(D700="","Unknown",IF(D700&lt;25000,"&lt;$25k",IF(D700&lt;50000,"$25k-$50k",IF(D700&lt;75000,"$50k-$75k",IF(D700&lt;100000,"$75k-$100k","$100k+")))))</x:f>
        <x:v>$100k+</x:v>
      </x:c>
      <x:c r="P700" t="str">
        <x:f>IF(E700="","Unknown",IF(E700&lt;10,"&lt;10",IF(E700&lt;20,"10-&lt;20",IF(E700&lt;25,"20-&lt;25",IF(E700&lt;35,"25-&lt;35","35+")))))</x:f>
        <x:v>&lt;10</x:v>
      </x:c>
    </x:row>
    <x:row r="701">
      <x:c r="A701" t="str">
        <x:v>SYN0000700</x:v>
      </x:c>
      <x:c r="B701" s="12" t="n">
        <x:v>42235</x:v>
      </x:c>
      <x:c r="C701" s="18" t="n">
        <x:v>40000</x:v>
      </x:c>
      <x:c r="D701" s="18" t="n">
        <x:v>15648</x:v>
      </x:c>
      <x:c r="E701" s="18" t="n">
        <x:v>24.3</x:v>
      </x:c>
      <x:c r="F701" s="18" t="n">
        <x:v>18.55</x:v>
      </x:c>
      <x:c r="G701" t="n">
        <x:v>36</x:v>
      </x:c>
      <x:c r="H701" t="str">
        <x:v>E</x:v>
      </x:c>
      <x:c r="I701" t="str">
        <x:v>10+ years</x:v>
      </x:c>
      <x:c r="J701" t="str">
        <x:v>RENT</x:v>
      </x:c>
      <x:c r="K701" t="str">
        <x:v>major_purchase</x:v>
      </x:c>
      <x:c r="L701" t="n">
        <x:v>0</x:v>
      </x:c>
      <x:c r="M701" t="n">
        <x:v>0</x:v>
      </x:c>
      <x:c r="N701" t="str">
        <x:v>Fully Paid</x:v>
      </x:c>
      <x:c r="O701" t="str">
        <x:f>IF(D701="","Unknown",IF(D701&lt;25000,"&lt;$25k",IF(D701&lt;50000,"$25k-$50k",IF(D701&lt;75000,"$50k-$75k",IF(D701&lt;100000,"$75k-$100k","$100k+")))))</x:f>
        <x:v>&lt;$25k</x:v>
      </x:c>
      <x:c r="P701" t="str">
        <x:f>IF(E701="","Unknown",IF(E701&lt;10,"&lt;10",IF(E701&lt;20,"10-&lt;20",IF(E701&lt;25,"20-&lt;25",IF(E701&lt;35,"25-&lt;35","35+")))))</x:f>
        <x:v>20-&lt;25</x:v>
      </x:c>
    </x:row>
    <x:row r="702">
      <x:c r="A702" t="str">
        <x:v>SYN0000701</x:v>
      </x:c>
      <x:c r="B702" s="12" t="n">
        <x:v>41635</x:v>
      </x:c>
      <x:c r="C702" s="18" t="n">
        <x:v>9451</x:v>
      </x:c>
      <x:c r="D702" s="18" t="n">
        <x:v>46972</x:v>
      </x:c>
      <x:c r="E702" s="18" t="n">
        <x:v>19.72</x:v>
      </x:c>
      <x:c r="F702" s="18" t="n">
        <x:v>13.63</x:v>
      </x:c>
      <x:c r="G702" t="n">
        <x:v>36</x:v>
      </x:c>
      <x:c r="H702" t="str">
        <x:v>C</x:v>
      </x:c>
      <x:c r="I702" t="str">
        <x:v>4-6 years</x:v>
      </x:c>
      <x:c r="J702" t="str">
        <x:v>RENT</x:v>
      </x:c>
      <x:c r="K702" t="str">
        <x:v>debt_consolidation</x:v>
      </x:c>
      <x:c r="L702" t="n">
        <x:v>0</x:v>
      </x:c>
      <x:c r="M702" t="n">
        <x:v>0</x:v>
      </x:c>
      <x:c r="N702" t="str">
        <x:v>Fully Paid</x:v>
      </x:c>
      <x:c r="O702" t="str">
        <x:f>IF(D702="","Unknown",IF(D702&lt;25000,"&lt;$25k",IF(D702&lt;50000,"$25k-$50k",IF(D702&lt;75000,"$50k-$75k",IF(D702&lt;100000,"$75k-$100k","$100k+")))))</x:f>
        <x:v>$25k-$50k</x:v>
      </x:c>
      <x:c r="P702" t="str">
        <x:f>IF(E702="","Unknown",IF(E702&lt;10,"&lt;10",IF(E702&lt;20,"10-&lt;20",IF(E702&lt;25,"20-&lt;25",IF(E702&lt;35,"25-&lt;35","35+")))))</x:f>
        <x:v>10-&lt;20</x:v>
      </x:c>
    </x:row>
    <x:row r="703">
      <x:c r="A703" t="str">
        <x:v>SYN0000702</x:v>
      </x:c>
      <x:c r="B703" s="12" t="n">
        <x:v>42625</x:v>
      </x:c>
      <x:c r="C703" s="18" t="n">
        <x:v>15118</x:v>
      </x:c>
      <x:c r="D703" s="18" t="n">
        <x:v>87350</x:v>
      </x:c>
      <x:c r="E703" s="18" t="n">
        <x:v>18.66</x:v>
      </x:c>
      <x:c r="F703" s="18" t="n">
        <x:v>11.44</x:v>
      </x:c>
      <x:c r="G703" t="n">
        <x:v>36</x:v>
      </x:c>
      <x:c r="H703" t="str">
        <x:v>C</x:v>
      </x:c>
      <x:c r="I703" t="str">
        <x:v>4-6 years</x:v>
      </x:c>
      <x:c r="J703" t="str">
        <x:v>OWN</x:v>
      </x:c>
      <x:c r="K703" t="str">
        <x:v>home_improvement</x:v>
      </x:c>
      <x:c r="L703" t="n">
        <x:v>2</x:v>
      </x:c>
      <x:c r="M703" t="n">
        <x:v>0</x:v>
      </x:c>
      <x:c r="N703" t="str">
        <x:v>Fully Paid</x:v>
      </x:c>
      <x:c r="O703" t="str">
        <x:f>IF(D703="","Unknown",IF(D703&lt;25000,"&lt;$25k",IF(D703&lt;50000,"$25k-$50k",IF(D703&lt;75000,"$50k-$75k",IF(D703&lt;100000,"$75k-$100k","$100k+")))))</x:f>
        <x:v>$75k-$100k</x:v>
      </x:c>
      <x:c r="P703" t="str">
        <x:f>IF(E703="","Unknown",IF(E703&lt;10,"&lt;10",IF(E703&lt;20,"10-&lt;20",IF(E703&lt;25,"20-&lt;25",IF(E703&lt;35,"25-&lt;35","35+")))))</x:f>
        <x:v>10-&lt;20</x:v>
      </x:c>
    </x:row>
    <x:row r="704">
      <x:c r="A704" t="str">
        <x:v>SYN0000703</x:v>
      </x:c>
      <x:c r="B704" s="12" t="n">
        <x:v>43375</x:v>
      </x:c>
      <x:c r="C704" s="18" t="n">
        <x:v>8253</x:v>
      </x:c>
      <x:c r="D704" s="18" t="n">
        <x:v>63962</x:v>
      </x:c>
      <x:c r="E704" s="18" t="n">
        <x:v>13.3</x:v>
      </x:c>
      <x:c r="F704" s="18" t="n">
        <x:v>9.69</x:v>
      </x:c>
      <x:c r="G704" t="n">
        <x:v>36</x:v>
      </x:c>
      <x:c r="H704" t="str">
        <x:v>C</x:v>
      </x:c>
      <x:c r="I704" t="str">
        <x:v>4-6 years</x:v>
      </x:c>
      <x:c r="J704" t="str">
        <x:v>RENT</x:v>
      </x:c>
      <x:c r="K704" t="str">
        <x:v>debt_consolidation</x:v>
      </x:c>
      <x:c r="L704" t="n">
        <x:v>1</x:v>
      </x:c>
      <x:c r="M704" t="n">
        <x:v>0</x:v>
      </x:c>
      <x:c r="N704" t="str">
        <x:v>Fully Paid</x:v>
      </x:c>
      <x:c r="O704" t="str">
        <x:f>IF(D704="","Unknown",IF(D704&lt;25000,"&lt;$25k",IF(D704&lt;50000,"$25k-$50k",IF(D704&lt;75000,"$50k-$75k",IF(D704&lt;100000,"$75k-$100k","$100k+")))))</x:f>
        <x:v>$50k-$75k</x:v>
      </x:c>
      <x:c r="P704" t="str">
        <x:f>IF(E704="","Unknown",IF(E704&lt;10,"&lt;10",IF(E704&lt;20,"10-&lt;20",IF(E704&lt;25,"20-&lt;25",IF(E704&lt;35,"25-&lt;35","35+")))))</x:f>
        <x:v>10-&lt;20</x:v>
      </x:c>
    </x:row>
    <x:row r="705">
      <x:c r="A705" t="str">
        <x:v>SYN0000704</x:v>
      </x:c>
      <x:c r="B705" s="12" t="n">
        <x:v>41455</x:v>
      </x:c>
      <x:c r="C705" s="18" t="n">
        <x:v>11980</x:v>
      </x:c>
      <x:c r="D705" s="18" t="n">
        <x:v>18572</x:v>
      </x:c>
      <x:c r="E705" s="18" t="n">
        <x:v>29.76</x:v>
      </x:c>
      <x:c r="F705" s="18" t="n">
        <x:v>16.21</x:v>
      </x:c>
      <x:c r="G705" t="n">
        <x:v>36</x:v>
      </x:c>
      <x:c r="H705" t="str">
        <x:v>D</x:v>
      </x:c>
      <x:c r="I705" t="str">
        <x:v>4-6 years</x:v>
      </x:c>
      <x:c r="J705" t="str">
        <x:v>MORTGAGE</x:v>
      </x:c>
      <x:c r="K705" t="str">
        <x:v>debt_consolidation</x:v>
      </x:c>
      <x:c r="L705" t="n">
        <x:v>0</x:v>
      </x:c>
      <x:c r="M705" t="n">
        <x:v>0</x:v>
      </x:c>
      <x:c r="N705" t="str">
        <x:v>Fully Paid</x:v>
      </x:c>
      <x:c r="O705" t="str">
        <x:f>IF(D705="","Unknown",IF(D705&lt;25000,"&lt;$25k",IF(D705&lt;50000,"$25k-$50k",IF(D705&lt;75000,"$50k-$75k",IF(D705&lt;100000,"$75k-$100k","$100k+")))))</x:f>
        <x:v>&lt;$25k</x:v>
      </x:c>
      <x:c r="P705" t="str">
        <x:f>IF(E705="","Unknown",IF(E705&lt;10,"&lt;10",IF(E705&lt;20,"10-&lt;20",IF(E705&lt;25,"20-&lt;25",IF(E705&lt;35,"25-&lt;35","35+")))))</x:f>
        <x:v>25-&lt;35</x:v>
      </x:c>
    </x:row>
    <x:row r="706">
      <x:c r="A706" t="str">
        <x:v>SYN0000705</x:v>
      </x:c>
      <x:c r="B706" s="12" t="n">
        <x:v>42655</x:v>
      </x:c>
      <x:c r="C706" s="18" t="n">
        <x:v>12714</x:v>
      </x:c>
      <x:c r="D706" s="18" t="n">
        <x:v>19040</x:v>
      </x:c>
      <x:c r="E706" s="18" t="n">
        <x:v>19.77</x:v>
      </x:c>
      <x:c r="F706" s="18" t="n">
        <x:v>13.96</x:v>
      </x:c>
      <x:c r="G706" t="n">
        <x:v>36</x:v>
      </x:c>
      <x:c r="H706" t="str">
        <x:v>C</x:v>
      </x:c>
      <x:c r="I706" t="str">
        <x:v>10+ years</x:v>
      </x:c>
      <x:c r="J706" t="str">
        <x:v>RENT</x:v>
      </x:c>
      <x:c r="K706" t="str">
        <x:v>debt_consolidation</x:v>
      </x:c>
      <x:c r="L706" t="n">
        <x:v>1</x:v>
      </x:c>
      <x:c r="M706" t="n">
        <x:v>0</x:v>
      </x:c>
      <x:c r="N706" t="str">
        <x:v>Fully Paid</x:v>
      </x:c>
      <x:c r="O706" t="str">
        <x:f>IF(D706="","Unknown",IF(D706&lt;25000,"&lt;$25k",IF(D706&lt;50000,"$25k-$50k",IF(D706&lt;75000,"$50k-$75k",IF(D706&lt;100000,"$75k-$100k","$100k+")))))</x:f>
        <x:v>&lt;$25k</x:v>
      </x:c>
      <x:c r="P706" t="str">
        <x:f>IF(E706="","Unknown",IF(E706&lt;10,"&lt;10",IF(E706&lt;20,"10-&lt;20",IF(E706&lt;25,"20-&lt;25",IF(E706&lt;35,"25-&lt;35","35+")))))</x:f>
        <x:v>10-&lt;20</x:v>
      </x:c>
    </x:row>
    <x:row r="707">
      <x:c r="A707" t="str">
        <x:v>SYN0000706</x:v>
      </x:c>
      <x:c r="B707" s="12" t="n">
        <x:v>42265</x:v>
      </x:c>
      <x:c r="C707" s="18" t="n">
        <x:v>12683</x:v>
      </x:c>
      <x:c r="D707" s="18" t="n">
        <x:v>99183</x:v>
      </x:c>
      <x:c r="E707" s="18" t="n">
        <x:v>17.28</x:v>
      </x:c>
      <x:c r="F707" s="18" t="n">
        <x:v>13.47</x:v>
      </x:c>
      <x:c r="G707" t="n">
        <x:v>60</x:v>
      </x:c>
      <x:c r="H707" t="str">
        <x:v>D</x:v>
      </x:c>
      <x:c r="I707" t="str">
        <x:v>&lt;1 year</x:v>
      </x:c>
      <x:c r="J707" t="str">
        <x:v>RENT</x:v>
      </x:c>
      <x:c r="K707" t="str">
        <x:v>debt_consolidation</x:v>
      </x:c>
      <x:c r="L707" t="n">
        <x:v>0</x:v>
      </x:c>
      <x:c r="M707" t="n">
        <x:v>0</x:v>
      </x:c>
      <x:c r="N707" t="str">
        <x:v>Fully Paid</x:v>
      </x:c>
      <x:c r="O707" t="str">
        <x:f>IF(D707="","Unknown",IF(D707&lt;25000,"&lt;$25k",IF(D707&lt;50000,"$25k-$50k",IF(D707&lt;75000,"$50k-$75k",IF(D707&lt;100000,"$75k-$100k","$100k+")))))</x:f>
        <x:v>$75k-$100k</x:v>
      </x:c>
      <x:c r="P707" t="str">
        <x:f>IF(E707="","Unknown",IF(E707&lt;10,"&lt;10",IF(E707&lt;20,"10-&lt;20",IF(E707&lt;25,"20-&lt;25",IF(E707&lt;35,"25-&lt;35","35+")))))</x:f>
        <x:v>10-&lt;20</x:v>
      </x:c>
    </x:row>
    <x:row r="708">
      <x:c r="A708" t="str">
        <x:v>SYN0000707</x:v>
      </x:c>
      <x:c r="B708" s="12" t="n">
        <x:v>41995</x:v>
      </x:c>
      <x:c r="C708" s="18" t="n">
        <x:v>12596</x:v>
      </x:c>
      <x:c r="D708" s="18" t="n">
        <x:v>41963</x:v>
      </x:c>
      <x:c r="E708" s="18" t="n">
        <x:v>14.55</x:v>
      </x:c>
      <x:c r="F708" s="18" t="n">
        <x:v>7.94</x:v>
      </x:c>
      <x:c r="G708" t="n">
        <x:v>60</x:v>
      </x:c>
      <x:c r="H708" t="str">
        <x:v>B</x:v>
      </x:c>
      <x:c r="I708" t="str">
        <x:v>10+ years</x:v>
      </x:c>
      <x:c r="J708" t="str">
        <x:v>RENT</x:v>
      </x:c>
      <x:c r="K708" t="str">
        <x:v>debt_consolidation</x:v>
      </x:c>
      <x:c r="L708" t="n">
        <x:v>1</x:v>
      </x:c>
      <x:c r="M708" t="n">
        <x:v>0</x:v>
      </x:c>
      <x:c r="N708" t="str">
        <x:v>Fully Paid</x:v>
      </x:c>
      <x:c r="O708" t="str">
        <x:f>IF(D708="","Unknown",IF(D708&lt;25000,"&lt;$25k",IF(D708&lt;50000,"$25k-$50k",IF(D708&lt;75000,"$50k-$75k",IF(D708&lt;100000,"$75k-$100k","$100k+")))))</x:f>
        <x:v>$25k-$50k</x:v>
      </x:c>
      <x:c r="P708" t="str">
        <x:f>IF(E708="","Unknown",IF(E708&lt;10,"&lt;10",IF(E708&lt;20,"10-&lt;20",IF(E708&lt;25,"20-&lt;25",IF(E708&lt;35,"25-&lt;35","35+")))))</x:f>
        <x:v>10-&lt;20</x:v>
      </x:c>
    </x:row>
    <x:row r="709">
      <x:c r="A709" t="str">
        <x:v>SYN0000708</x:v>
      </x:c>
      <x:c r="B709" s="12" t="n">
        <x:v>42145</x:v>
      </x:c>
      <x:c r="C709" s="18" t="n">
        <x:v>17577</x:v>
      </x:c>
      <x:c r="D709" s="18" t="n">
        <x:v>24554</x:v>
      </x:c>
      <x:c r="E709" s="18" t="n">
        <x:v>16.38</x:v>
      </x:c>
      <x:c r="F709" s="18" t="n">
        <x:v>21.68</x:v>
      </x:c>
      <x:c r="G709" t="n">
        <x:v>36</x:v>
      </x:c>
      <x:c r="H709" t="str">
        <x:v>E</x:v>
      </x:c>
      <x:c r="I709" t="str">
        <x:v>10+ years</x:v>
      </x:c>
      <x:c r="J709" t="str">
        <x:v>MORTGAGE</x:v>
      </x:c>
      <x:c r="K709" t="str">
        <x:v>credit_card</x:v>
      </x:c>
      <x:c r="L709" t="n">
        <x:v>0</x:v>
      </x:c>
      <x:c r="M709" t="n">
        <x:v>0</x:v>
      </x:c>
      <x:c r="N709" t="str">
        <x:v>Fully Paid</x:v>
      </x:c>
      <x:c r="O709" t="str">
        <x:f>IF(D709="","Unknown",IF(D709&lt;25000,"&lt;$25k",IF(D709&lt;50000,"$25k-$50k",IF(D709&lt;75000,"$50k-$75k",IF(D709&lt;100000,"$75k-$100k","$100k+")))))</x:f>
        <x:v>&lt;$25k</x:v>
      </x:c>
      <x:c r="P709" t="str">
        <x:f>IF(E709="","Unknown",IF(E709&lt;10,"&lt;10",IF(E709&lt;20,"10-&lt;20",IF(E709&lt;25,"20-&lt;25",IF(E709&lt;35,"25-&lt;35","35+")))))</x:f>
        <x:v>10-&lt;20</x:v>
      </x:c>
    </x:row>
    <x:row r="710">
      <x:c r="A710" t="str">
        <x:v>SYN0000709</x:v>
      </x:c>
      <x:c r="B710" s="12" t="n">
        <x:v>43075</x:v>
      </x:c>
      <x:c r="C710" s="18" t="n">
        <x:v>11956</x:v>
      </x:c>
      <x:c r="D710" s="18" t="n">
        <x:v>72907</x:v>
      </x:c>
      <x:c r="E710" s="18" t="n">
        <x:v>6.48</x:v>
      </x:c>
      <x:c r="F710" s="18" t="n">
        <x:v>16.24</x:v>
      </x:c>
      <x:c r="G710" t="n">
        <x:v>60</x:v>
      </x:c>
      <x:c r="H710" t="str">
        <x:v>D</x:v>
      </x:c>
      <x:c r="I710" t="str">
        <x:v>10+ years</x:v>
      </x:c>
      <x:c r="J710" t="str">
        <x:v>RENT</x:v>
      </x:c>
      <x:c r="K710" t="str">
        <x:v>other</x:v>
      </x:c>
      <x:c r="L710" t="n">
        <x:v>0</x:v>
      </x:c>
      <x:c r="M710" t="n">
        <x:v>0</x:v>
      </x:c>
      <x:c r="N710" t="str">
        <x:v>Fully Paid</x:v>
      </x:c>
      <x:c r="O710" t="str">
        <x:f>IF(D710="","Unknown",IF(D710&lt;25000,"&lt;$25k",IF(D710&lt;50000,"$25k-$50k",IF(D710&lt;75000,"$50k-$75k",IF(D710&lt;100000,"$75k-$100k","$100k+")))))</x:f>
        <x:v>$50k-$75k</x:v>
      </x:c>
      <x:c r="P710" t="str">
        <x:f>IF(E710="","Unknown",IF(E710&lt;10,"&lt;10",IF(E710&lt;20,"10-&lt;20",IF(E710&lt;25,"20-&lt;25",IF(E710&lt;35,"25-&lt;35","35+")))))</x:f>
        <x:v>&lt;10</x:v>
      </x:c>
    </x:row>
    <x:row r="711">
      <x:c r="A711" t="str">
        <x:v>SYN0000710</x:v>
      </x:c>
      <x:c r="B711" s="12" t="n">
        <x:v>42865</x:v>
      </x:c>
      <x:c r="C711" s="18" t="n">
        <x:v>20046</x:v>
      </x:c>
      <x:c r="D711" s="18" t="n">
        <x:v>72370</x:v>
      </x:c>
      <x:c r="E711" s="18" t="n">
        <x:v>23.07</x:v>
      </x:c>
      <x:c r="F711" s="18" t="n">
        <x:v>9.19</x:v>
      </x:c>
      <x:c r="G711" t="n">
        <x:v>36</x:v>
      </x:c>
      <x:c r="H711" t="str">
        <x:v>C</x:v>
      </x:c>
      <x:c r="I711" t="str">
        <x:v>4-6 years</x:v>
      </x:c>
      <x:c r="J711" t="str">
        <x:v>RENT</x:v>
      </x:c>
      <x:c r="K711" t="str">
        <x:v>debt_consolidation</x:v>
      </x:c>
      <x:c r="L711" t="n">
        <x:v>0</x:v>
      </x:c>
      <x:c r="M711" t="n">
        <x:v>0</x:v>
      </x:c>
      <x:c r="N711" t="str">
        <x:v>Fully Paid</x:v>
      </x:c>
      <x:c r="O711" t="str">
        <x:f>IF(D711="","Unknown",IF(D711&lt;25000,"&lt;$25k",IF(D711&lt;50000,"$25k-$50k",IF(D711&lt;75000,"$50k-$75k",IF(D711&lt;100000,"$75k-$100k","$100k+")))))</x:f>
        <x:v>$50k-$75k</x:v>
      </x:c>
      <x:c r="P711" t="str">
        <x:f>IF(E711="","Unknown",IF(E711&lt;10,"&lt;10",IF(E711&lt;20,"10-&lt;20",IF(E711&lt;25,"20-&lt;25",IF(E711&lt;35,"25-&lt;35","35+")))))</x:f>
        <x:v>20-&lt;25</x:v>
      </x:c>
    </x:row>
    <x:row r="712">
      <x:c r="A712" t="str">
        <x:v>SYN0000711</x:v>
      </x:c>
      <x:c r="B712" s="12" t="n">
        <x:v>42175</x:v>
      </x:c>
      <x:c r="C712" s="18" t="n">
        <x:v>8648</x:v>
      </x:c>
      <x:c r="D712" s="18" t="n">
        <x:v>191922</x:v>
      </x:c>
      <x:c r="E712" s="18" t="n">
        <x:v>27.01</x:v>
      </x:c>
      <x:c r="F712" s="18" t="n">
        <x:v>7.36</x:v>
      </x:c>
      <x:c r="G712" t="n">
        <x:v>36</x:v>
      </x:c>
      <x:c r="H712" t="str">
        <x:v>B</x:v>
      </x:c>
      <x:c r="I712" t="str">
        <x:v>&lt;1 year</x:v>
      </x:c>
      <x:c r="J712" t="str">
        <x:v>OWN</x:v>
      </x:c>
      <x:c r="K712" t="str">
        <x:v>debt_consolidation</x:v>
      </x:c>
      <x:c r="L712" t="n">
        <x:v>2</x:v>
      </x:c>
      <x:c r="M712" t="n">
        <x:v>0</x:v>
      </x:c>
      <x:c r="N712" t="str">
        <x:v>Fully Paid</x:v>
      </x:c>
      <x:c r="O712" t="str">
        <x:f>IF(D712="","Unknown",IF(D712&lt;25000,"&lt;$25k",IF(D712&lt;50000,"$25k-$50k",IF(D712&lt;75000,"$50k-$75k",IF(D712&lt;100000,"$75k-$100k","$100k+")))))</x:f>
        <x:v>$100k+</x:v>
      </x:c>
      <x:c r="P712" t="str">
        <x:f>IF(E712="","Unknown",IF(E712&lt;10,"&lt;10",IF(E712&lt;20,"10-&lt;20",IF(E712&lt;25,"20-&lt;25",IF(E712&lt;35,"25-&lt;35","35+")))))</x:f>
        <x:v>25-&lt;35</x:v>
      </x:c>
    </x:row>
    <x:row r="713">
      <x:c r="A713" t="str">
        <x:v>SYN0000712</x:v>
      </x:c>
      <x:c r="B713" s="12" t="n">
        <x:v>41515</x:v>
      </x:c>
      <x:c r="C713" s="18" t="n">
        <x:v>13815</x:v>
      </x:c>
      <x:c r="D713" s="18" t="n">
        <x:v>103402</x:v>
      </x:c>
      <x:c r="E713" s="18" t="n">
        <x:v>35.37</x:v>
      </x:c>
      <x:c r="F713" s="18" t="n">
        <x:v>14.23</x:v>
      </x:c>
      <x:c r="G713" t="n">
        <x:v>36</x:v>
      </x:c>
      <x:c r="H713" t="str">
        <x:v>C</x:v>
      </x:c>
      <x:c r="I713" t="str">
        <x:v>10+ years</x:v>
      </x:c>
      <x:c r="J713" t="str">
        <x:v>MORTGAGE</x:v>
      </x:c>
      <x:c r="K713" t="str">
        <x:v>other</x:v>
      </x:c>
      <x:c r="L713" t="n">
        <x:v>0</x:v>
      </x:c>
      <x:c r="M713" t="n">
        <x:v>0</x:v>
      </x:c>
      <x:c r="N713" t="str">
        <x:v>Fully Paid</x:v>
      </x:c>
      <x:c r="O713" t="str">
        <x:f>IF(D713="","Unknown",IF(D713&lt;25000,"&lt;$25k",IF(D713&lt;50000,"$25k-$50k",IF(D713&lt;75000,"$50k-$75k",IF(D713&lt;100000,"$75k-$100k","$100k+")))))</x:f>
        <x:v>$100k+</x:v>
      </x:c>
      <x:c r="P713" t="str">
        <x:f>IF(E713="","Unknown",IF(E713&lt;10,"&lt;10",IF(E713&lt;20,"10-&lt;20",IF(E713&lt;25,"20-&lt;25",IF(E713&lt;35,"25-&lt;35","35+")))))</x:f>
        <x:v>35+</x:v>
      </x:c>
    </x:row>
    <x:row r="714">
      <x:c r="A714" t="str">
        <x:v>SYN0000713</x:v>
      </x:c>
      <x:c r="B714" s="12" t="n">
        <x:v>42775</x:v>
      </x:c>
      <x:c r="C714" s="18" t="n">
        <x:v>12628</x:v>
      </x:c>
      <x:c r="D714" s="18" t="n">
        <x:v>45267</x:v>
      </x:c>
      <x:c r="E714" s="18" t="n">
        <x:v>5.78</x:v>
      </x:c>
      <x:c r="F714" s="18" t="n">
        <x:v>8.44</x:v>
      </x:c>
      <x:c r="G714" t="n">
        <x:v>60</x:v>
      </x:c>
      <x:c r="H714" t="str">
        <x:v>A</x:v>
      </x:c>
      <x:c r="I714" t="str">
        <x:v>&lt;1 year</x:v>
      </x:c>
      <x:c r="J714" t="str">
        <x:v>RENT</x:v>
      </x:c>
      <x:c r="K714" t="str">
        <x:v>debt_consolidation</x:v>
      </x:c>
      <x:c r="L714" t="n">
        <x:v>1</x:v>
      </x:c>
      <x:c r="M714" t="n">
        <x:v>0</x:v>
      </x:c>
      <x:c r="N714" t="str">
        <x:v>Fully Paid</x:v>
      </x:c>
      <x:c r="O714" t="str">
        <x:f>IF(D714="","Unknown",IF(D714&lt;25000,"&lt;$25k",IF(D714&lt;50000,"$25k-$50k",IF(D714&lt;75000,"$50k-$75k",IF(D714&lt;100000,"$75k-$100k","$100k+")))))</x:f>
        <x:v>$25k-$50k</x:v>
      </x:c>
      <x:c r="P714" t="str">
        <x:f>IF(E714="","Unknown",IF(E714&lt;10,"&lt;10",IF(E714&lt;20,"10-&lt;20",IF(E714&lt;25,"20-&lt;25",IF(E714&lt;35,"25-&lt;35","35+")))))</x:f>
        <x:v>&lt;10</x:v>
      </x:c>
    </x:row>
    <x:row r="715">
      <x:c r="A715" t="str">
        <x:v>SYN0000714</x:v>
      </x:c>
      <x:c r="B715" s="12" t="n">
        <x:v>41455</x:v>
      </x:c>
      <x:c r="C715" s="18" t="n">
        <x:v>16322</x:v>
      </x:c>
      <x:c r="D715" s="18" t="n">
        <x:v>88518</x:v>
      </x:c>
      <x:c r="E715" s="18" t="n">
        <x:v>23.62</x:v>
      </x:c>
      <x:c r="F715" s="18" t="n">
        <x:v>6.71</x:v>
      </x:c>
      <x:c r="G715" t="n">
        <x:v>36</x:v>
      </x:c>
      <x:c r="H715" t="str">
        <x:v>A</x:v>
      </x:c>
      <x:c r="I715" t="str">
        <x:v>4-6 years</x:v>
      </x:c>
      <x:c r="J715" t="str">
        <x:v>MORTGAGE</x:v>
      </x:c>
      <x:c r="K715" t="str">
        <x:v>debt_consolidation</x:v>
      </x:c>
      <x:c r="L715" t="n">
        <x:v>0</x:v>
      </x:c>
      <x:c r="M715" t="n">
        <x:v>0</x:v>
      </x:c>
      <x:c r="N715" t="str">
        <x:v>Fully Paid</x:v>
      </x:c>
      <x:c r="O715" t="str">
        <x:f>IF(D715="","Unknown",IF(D715&lt;25000,"&lt;$25k",IF(D715&lt;50000,"$25k-$50k",IF(D715&lt;75000,"$50k-$75k",IF(D715&lt;100000,"$75k-$100k","$100k+")))))</x:f>
        <x:v>$75k-$100k</x:v>
      </x:c>
      <x:c r="P715" t="str">
        <x:f>IF(E715="","Unknown",IF(E715&lt;10,"&lt;10",IF(E715&lt;20,"10-&lt;20",IF(E715&lt;25,"20-&lt;25",IF(E715&lt;35,"25-&lt;35","35+")))))</x:f>
        <x:v>20-&lt;25</x:v>
      </x:c>
    </x:row>
    <x:row r="716">
      <x:c r="A716" t="str">
        <x:v>SYN0000715</x:v>
      </x:c>
      <x:c r="B716" s="12" t="n">
        <x:v>41515</x:v>
      </x:c>
      <x:c r="C716" s="18" t="n">
        <x:v>25870</x:v>
      </x:c>
      <x:c r="D716" s="18" t="n">
        <x:v>41852</x:v>
      </x:c>
      <x:c r="E716" s="18" t="n">
        <x:v>29.22</x:v>
      </x:c>
      <x:c r="F716" s="18" t="n">
        <x:v>22.95</x:v>
      </x:c>
      <x:c r="G716" t="n">
        <x:v>36</x:v>
      </x:c>
      <x:c r="H716" t="str">
        <x:v>F</x:v>
      </x:c>
      <x:c r="I716" t="str">
        <x:v>1-3 years</x:v>
      </x:c>
      <x:c r="J716" t="str">
        <x:v>OWN</x:v>
      </x:c>
      <x:c r="K716" t="str">
        <x:v>debt_consolidation</x:v>
      </x:c>
      <x:c r="L716" t="n">
        <x:v>0</x:v>
      </x:c>
      <x:c r="M716" t="n">
        <x:v>0</x:v>
      </x:c>
      <x:c r="N716" t="str">
        <x:v>Fully Paid</x:v>
      </x:c>
      <x:c r="O716" t="str">
        <x:f>IF(D716="","Unknown",IF(D716&lt;25000,"&lt;$25k",IF(D716&lt;50000,"$25k-$50k",IF(D716&lt;75000,"$50k-$75k",IF(D716&lt;100000,"$75k-$100k","$100k+")))))</x:f>
        <x:v>$25k-$50k</x:v>
      </x:c>
      <x:c r="P716" t="str">
        <x:f>IF(E716="","Unknown",IF(E716&lt;10,"&lt;10",IF(E716&lt;20,"10-&lt;20",IF(E716&lt;25,"20-&lt;25",IF(E716&lt;35,"25-&lt;35","35+")))))</x:f>
        <x:v>25-&lt;35</x:v>
      </x:c>
    </x:row>
    <x:row r="717">
      <x:c r="A717" t="str">
        <x:v>SYN0000716</x:v>
      </x:c>
      <x:c r="B717" s="12" t="n">
        <x:v>41455</x:v>
      </x:c>
      <x:c r="C717" s="18" t="n">
        <x:v>11128</x:v>
      </x:c>
      <x:c r="D717" s="18" t="n">
        <x:v>96320</x:v>
      </x:c>
      <x:c r="E717" s="18" t="n">
        <x:v>22.34</x:v>
      </x:c>
      <x:c r="F717" s="18" t="n">
        <x:v>15.99</x:v>
      </x:c>
      <x:c r="G717" t="n">
        <x:v>36</x:v>
      </x:c>
      <x:c r="H717" t="str">
        <x:v>E</x:v>
      </x:c>
      <x:c r="I717" t="str">
        <x:v>10+ years</x:v>
      </x:c>
      <x:c r="J717" t="str">
        <x:v>RENT</x:v>
      </x:c>
      <x:c r="K717" t="str">
        <x:v>credit_card</x:v>
      </x:c>
      <x:c r="L717" t="n">
        <x:v>1</x:v>
      </x:c>
      <x:c r="M717" t="n">
        <x:v>0</x:v>
      </x:c>
      <x:c r="N717" t="str">
        <x:v>Fully Paid</x:v>
      </x:c>
      <x:c r="O717" t="str">
        <x:f>IF(D717="","Unknown",IF(D717&lt;25000,"&lt;$25k",IF(D717&lt;50000,"$25k-$50k",IF(D717&lt;75000,"$50k-$75k",IF(D717&lt;100000,"$75k-$100k","$100k+")))))</x:f>
        <x:v>$75k-$100k</x:v>
      </x:c>
      <x:c r="P717" t="str">
        <x:f>IF(E717="","Unknown",IF(E717&lt;10,"&lt;10",IF(E717&lt;20,"10-&lt;20",IF(E717&lt;25,"20-&lt;25",IF(E717&lt;35,"25-&lt;35","35+")))))</x:f>
        <x:v>20-&lt;25</x:v>
      </x:c>
    </x:row>
    <x:row r="718">
      <x:c r="A718" t="str">
        <x:v>SYN0000717</x:v>
      </x:c>
      <x:c r="B718" s="12" t="n">
        <x:v>41455</x:v>
      </x:c>
      <x:c r="C718" s="18" t="n">
        <x:v>7699</x:v>
      </x:c>
      <x:c r="D718" s="18" t="n">
        <x:v>111152</x:v>
      </x:c>
      <x:c r="E718" s="18" t="n">
        <x:v>11.45</x:v>
      </x:c>
      <x:c r="F718" s="18" t="n">
        <x:v>7.22</x:v>
      </x:c>
      <x:c r="G718" t="n">
        <x:v>36</x:v>
      </x:c>
      <x:c r="H718" t="str">
        <x:v>A</x:v>
      </x:c>
      <x:c r="I718" t="str">
        <x:v>7-9 years</x:v>
      </x:c>
      <x:c r="J718" t="str">
        <x:v>RENT</x:v>
      </x:c>
      <x:c r="K718" t="str">
        <x:v>credit_card</x:v>
      </x:c>
      <x:c r="L718" t="n">
        <x:v>0</x:v>
      </x:c>
      <x:c r="M718" t="n">
        <x:v>0</x:v>
      </x:c>
      <x:c r="N718" t="str">
        <x:v>Fully Paid</x:v>
      </x:c>
      <x:c r="O718" t="str">
        <x:f>IF(D718="","Unknown",IF(D718&lt;25000,"&lt;$25k",IF(D718&lt;50000,"$25k-$50k",IF(D718&lt;75000,"$50k-$75k",IF(D718&lt;100000,"$75k-$100k","$100k+")))))</x:f>
        <x:v>$100k+</x:v>
      </x:c>
      <x:c r="P718" t="str">
        <x:f>IF(E718="","Unknown",IF(E718&lt;10,"&lt;10",IF(E718&lt;20,"10-&lt;20",IF(E718&lt;25,"20-&lt;25",IF(E718&lt;35,"25-&lt;35","35+")))))</x:f>
        <x:v>10-&lt;20</x:v>
      </x:c>
    </x:row>
    <x:row r="719">
      <x:c r="A719" t="str">
        <x:v>SYN0000718</x:v>
      </x:c>
      <x:c r="B719" s="12" t="n">
        <x:v>42025</x:v>
      </x:c>
      <x:c r="C719" s="18" t="n">
        <x:v>21844</x:v>
      </x:c>
      <x:c r="D719" s="18" t="n">
        <x:v>50029</x:v>
      </x:c>
      <x:c r="E719" s="18" t="n">
        <x:v>23.03</x:v>
      </x:c>
      <x:c r="F719" s="18" t="n">
        <x:v>8.68</x:v>
      </x:c>
      <x:c r="G719" t="n">
        <x:v>60</x:v>
      </x:c>
      <x:c r="H719" t="str">
        <x:v>C</x:v>
      </x:c>
      <x:c r="I719" t="str">
        <x:v>&lt;1 year</x:v>
      </x:c>
      <x:c r="J719" t="str">
        <x:v>RENT</x:v>
      </x:c>
      <x:c r="K719" t="str">
        <x:v>debt_consolidation</x:v>
      </x:c>
      <x:c r="L719" t="n">
        <x:v>0</x:v>
      </x:c>
      <x:c r="M719" t="n">
        <x:v>1</x:v>
      </x:c>
      <x:c r="N719" t="str">
        <x:v>Charged Off</x:v>
      </x:c>
      <x:c r="O719" t="str">
        <x:f>IF(D719="","Unknown",IF(D719&lt;25000,"&lt;$25k",IF(D719&lt;50000,"$25k-$50k",IF(D719&lt;75000,"$50k-$75k",IF(D719&lt;100000,"$75k-$100k","$100k+")))))</x:f>
        <x:v>$50k-$75k</x:v>
      </x:c>
      <x:c r="P719" t="str">
        <x:f>IF(E719="","Unknown",IF(E719&lt;10,"&lt;10",IF(E719&lt;20,"10-&lt;20",IF(E719&lt;25,"20-&lt;25",IF(E719&lt;35,"25-&lt;35","35+")))))</x:f>
        <x:v>20-&lt;25</x:v>
      </x:c>
    </x:row>
    <x:row r="720">
      <x:c r="A720" t="str">
        <x:v>SYN0000719</x:v>
      </x:c>
      <x:c r="B720" s="12" t="n">
        <x:v>42595</x:v>
      </x:c>
      <x:c r="C720" s="18" t="n">
        <x:v>10580</x:v>
      </x:c>
      <x:c r="D720" s="18" t="n">
        <x:v>47479</x:v>
      </x:c>
      <x:c r="E720" s="18" t="n">
        <x:v>24.29</x:v>
      </x:c>
      <x:c r="F720" s="18" t="n">
        <x:v>11.63</x:v>
      </x:c>
      <x:c r="G720" t="n">
        <x:v>60</x:v>
      </x:c>
      <x:c r="H720" t="str">
        <x:v>C</x:v>
      </x:c>
      <x:c r="I720" t="str">
        <x:v>&lt;1 year</x:v>
      </x:c>
      <x:c r="J720" t="str">
        <x:v>RENT</x:v>
      </x:c>
      <x:c r="K720" t="str">
        <x:v>credit_card</x:v>
      </x:c>
      <x:c r="L720" t="n">
        <x:v>0</x:v>
      </x:c>
      <x:c r="M720" t="n">
        <x:v>0</x:v>
      </x:c>
      <x:c r="N720" t="str">
        <x:v>Fully Paid</x:v>
      </x:c>
      <x:c r="O720" t="str">
        <x:f>IF(D720="","Unknown",IF(D720&lt;25000,"&lt;$25k",IF(D720&lt;50000,"$25k-$50k",IF(D720&lt;75000,"$50k-$75k",IF(D720&lt;100000,"$75k-$100k","$100k+")))))</x:f>
        <x:v>$25k-$50k</x:v>
      </x:c>
      <x:c r="P720" t="str">
        <x:f>IF(E720="","Unknown",IF(E720&lt;10,"&lt;10",IF(E720&lt;20,"10-&lt;20",IF(E720&lt;25,"20-&lt;25",IF(E720&lt;35,"25-&lt;35","35+")))))</x:f>
        <x:v>20-&lt;25</x:v>
      </x:c>
    </x:row>
    <x:row r="721">
      <x:c r="A721" t="str">
        <x:v>SYN0000720</x:v>
      </x:c>
      <x:c r="B721" s="12" t="n">
        <x:v>42265</x:v>
      </x:c>
      <x:c r="C721" s="18" t="n">
        <x:v>14104</x:v>
      </x:c>
      <x:c r="D721" s="18" t="n">
        <x:v>12000</x:v>
      </x:c>
      <x:c r="E721" s="18" t="n">
        <x:v>12.28</x:v>
      </x:c>
      <x:c r="F721" s="18" t="n">
        <x:v>5</x:v>
      </x:c>
      <x:c r="G721" t="n">
        <x:v>60</x:v>
      </x:c>
      <x:c r="H721" t="str">
        <x:v>A</x:v>
      </x:c>
      <x:c r="I721" t="str">
        <x:v>10+ years</x:v>
      </x:c>
      <x:c r="J721" t="str">
        <x:v>OWN</x:v>
      </x:c>
      <x:c r="K721" t="str">
        <x:v>debt_consolidation</x:v>
      </x:c>
      <x:c r="L721" t="n">
        <x:v>0</x:v>
      </x:c>
      <x:c r="M721" t="n">
        <x:v>0</x:v>
      </x:c>
      <x:c r="N721" t="str">
        <x:v>Fully Paid</x:v>
      </x:c>
      <x:c r="O721" t="str">
        <x:f>IF(D721="","Unknown",IF(D721&lt;25000,"&lt;$25k",IF(D721&lt;50000,"$25k-$50k",IF(D721&lt;75000,"$50k-$75k",IF(D721&lt;100000,"$75k-$100k","$100k+")))))</x:f>
        <x:v>&lt;$25k</x:v>
      </x:c>
      <x:c r="P721" t="str">
        <x:f>IF(E721="","Unknown",IF(E721&lt;10,"&lt;10",IF(E721&lt;20,"10-&lt;20",IF(E721&lt;25,"20-&lt;25",IF(E721&lt;35,"25-&lt;35","35+")))))</x:f>
        <x:v>10-&lt;20</x:v>
      </x:c>
    </x:row>
    <x:row r="722">
      <x:c r="A722" t="str">
        <x:v>SYN0000721</x:v>
      </x:c>
      <x:c r="B722" s="12" t="n">
        <x:v>42505</x:v>
      </x:c>
      <x:c r="C722" s="18" t="n">
        <x:v>21301</x:v>
      </x:c>
      <x:c r="D722" s="18" t="n">
        <x:v>161331</x:v>
      </x:c>
      <x:c r="E722" s="18" t="n">
        <x:v>3.5</x:v>
      </x:c>
      <x:c r="F722" s="18" t="n">
        <x:v>5</x:v>
      </x:c>
      <x:c r="G722" t="n">
        <x:v>60</x:v>
      </x:c>
      <x:c r="H722" t="str">
        <x:v>A</x:v>
      </x:c>
      <x:c r="I722" t="str">
        <x:v>1-3 years</x:v>
      </x:c>
      <x:c r="J722" t="str">
        <x:v>MORTGAGE</x:v>
      </x:c>
      <x:c r="K722" t="str">
        <x:v>debt_consolidation</x:v>
      </x:c>
      <x:c r="L722" t="n">
        <x:v>0</x:v>
      </x:c>
      <x:c r="M722" t="n">
        <x:v>0</x:v>
      </x:c>
      <x:c r="N722" t="str">
        <x:v>Fully Paid</x:v>
      </x:c>
      <x:c r="O722" t="str">
        <x:f>IF(D722="","Unknown",IF(D722&lt;25000,"&lt;$25k",IF(D722&lt;50000,"$25k-$50k",IF(D722&lt;75000,"$50k-$75k",IF(D722&lt;100000,"$75k-$100k","$100k+")))))</x:f>
        <x:v>$100k+</x:v>
      </x:c>
      <x:c r="P722" t="str">
        <x:f>IF(E722="","Unknown",IF(E722&lt;10,"&lt;10",IF(E722&lt;20,"10-&lt;20",IF(E722&lt;25,"20-&lt;25",IF(E722&lt;35,"25-&lt;35","35+")))))</x:f>
        <x:v>&lt;10</x:v>
      </x:c>
    </x:row>
    <x:row r="723">
      <x:c r="A723" t="str">
        <x:v>SYN0000722</x:v>
      </x:c>
      <x:c r="B723" s="12" t="n">
        <x:v>41695</x:v>
      </x:c>
      <x:c r="C723" s="18" t="n">
        <x:v>20314</x:v>
      </x:c>
      <x:c r="D723" s="18" t="n">
        <x:v>91854</x:v>
      </x:c>
      <x:c r="E723" s="18" t="n">
        <x:v>23.25</x:v>
      </x:c>
      <x:c r="F723" s="18" t="n">
        <x:v>13.19</x:v>
      </x:c>
      <x:c r="G723" t="n">
        <x:v>36</x:v>
      </x:c>
      <x:c r="H723" t="str">
        <x:v>D</x:v>
      </x:c>
      <x:c r="I723" t="str">
        <x:v>1-3 years</x:v>
      </x:c>
      <x:c r="J723" t="str">
        <x:v>OWN</x:v>
      </x:c>
      <x:c r="K723" t="str">
        <x:v>debt_consolidation</x:v>
      </x:c>
      <x:c r="L723" t="n">
        <x:v>0</x:v>
      </x:c>
      <x:c r="M723" t="n">
        <x:v>0</x:v>
      </x:c>
      <x:c r="N723" t="str">
        <x:v>Fully Paid</x:v>
      </x:c>
      <x:c r="O723" t="str">
        <x:f>IF(D723="","Unknown",IF(D723&lt;25000,"&lt;$25k",IF(D723&lt;50000,"$25k-$50k",IF(D723&lt;75000,"$50k-$75k",IF(D723&lt;100000,"$75k-$100k","$100k+")))))</x:f>
        <x:v>$75k-$100k</x:v>
      </x:c>
      <x:c r="P723" t="str">
        <x:f>IF(E723="","Unknown",IF(E723&lt;10,"&lt;10",IF(E723&lt;20,"10-&lt;20",IF(E723&lt;25,"20-&lt;25",IF(E723&lt;35,"25-&lt;35","35+")))))</x:f>
        <x:v>20-&lt;25</x:v>
      </x:c>
    </x:row>
    <x:row r="724">
      <x:c r="A724" t="str">
        <x:v>SYN0000723</x:v>
      </x:c>
      <x:c r="B724" s="12" t="n">
        <x:v>43135</x:v>
      </x:c>
      <x:c r="C724" s="18" t="n">
        <x:v>15930</x:v>
      </x:c>
      <x:c r="D724" s="18" t="n">
        <x:v>103695</x:v>
      </x:c>
      <x:c r="E724" s="18" t="n">
        <x:v>38.38</x:v>
      </x:c>
      <x:c r="F724" s="18" t="n">
        <x:v>22.18</x:v>
      </x:c>
      <x:c r="G724" t="n">
        <x:v>36</x:v>
      </x:c>
      <x:c r="H724" t="str">
        <x:v>F</x:v>
      </x:c>
      <x:c r="I724" t="str">
        <x:v>1-3 years</x:v>
      </x:c>
      <x:c r="J724" t="str">
        <x:v>RENT</x:v>
      </x:c>
      <x:c r="K724" t="str">
        <x:v>major_purchase</x:v>
      </x:c>
      <x:c r="L724" t="n">
        <x:v>0</x:v>
      </x:c>
      <x:c r="M724" t="n">
        <x:v>1</x:v>
      </x:c>
      <x:c r="N724" t="str">
        <x:v>Charged Off</x:v>
      </x:c>
      <x:c r="O724" t="str">
        <x:f>IF(D724="","Unknown",IF(D724&lt;25000,"&lt;$25k",IF(D724&lt;50000,"$25k-$50k",IF(D724&lt;75000,"$50k-$75k",IF(D724&lt;100000,"$75k-$100k","$100k+")))))</x:f>
        <x:v>$100k+</x:v>
      </x:c>
      <x:c r="P724" t="str">
        <x:f>IF(E724="","Unknown",IF(E724&lt;10,"&lt;10",IF(E724&lt;20,"10-&lt;20",IF(E724&lt;25,"20-&lt;25",IF(E724&lt;35,"25-&lt;35","35+")))))</x:f>
        <x:v>35+</x:v>
      </x:c>
    </x:row>
    <x:row r="725">
      <x:c r="A725" t="str">
        <x:v>SYN0000724</x:v>
      </x:c>
      <x:c r="B725" s="12" t="n">
        <x:v>42925</x:v>
      </x:c>
      <x:c r="C725" s="18" t="n">
        <x:v>7119</x:v>
      </x:c>
      <x:c r="D725" s="18" t="n">
        <x:v>35538</x:v>
      </x:c>
      <x:c r="E725" s="18" t="n">
        <x:v>22.44</x:v>
      </x:c>
      <x:c r="F725" s="18" t="n">
        <x:v>8.61</x:v>
      </x:c>
      <x:c r="G725" t="n">
        <x:v>36</x:v>
      </x:c>
      <x:c r="H725" t="str">
        <x:v>B</x:v>
      </x:c>
      <x:c r="I725" t="str">
        <x:v>1-3 years</x:v>
      </x:c>
      <x:c r="J725" t="str">
        <x:v>RENT</x:v>
      </x:c>
      <x:c r="K725" t="str">
        <x:v>other</x:v>
      </x:c>
      <x:c r="L725" t="n">
        <x:v>0</x:v>
      </x:c>
      <x:c r="M725" t="n">
        <x:v>0</x:v>
      </x:c>
      <x:c r="N725" t="str">
        <x:v>Fully Paid</x:v>
      </x:c>
      <x:c r="O725" t="str">
        <x:f>IF(D725="","Unknown",IF(D725&lt;25000,"&lt;$25k",IF(D725&lt;50000,"$25k-$50k",IF(D725&lt;75000,"$50k-$75k",IF(D725&lt;100000,"$75k-$100k","$100k+")))))</x:f>
        <x:v>$25k-$50k</x:v>
      </x:c>
      <x:c r="P725" t="str">
        <x:f>IF(E725="","Unknown",IF(E725&lt;10,"&lt;10",IF(E725&lt;20,"10-&lt;20",IF(E725&lt;25,"20-&lt;25",IF(E725&lt;35,"25-&lt;35","35+")))))</x:f>
        <x:v>20-&lt;25</x:v>
      </x:c>
    </x:row>
    <x:row r="726">
      <x:c r="A726" t="str">
        <x:v>SYN0000725</x:v>
      </x:c>
      <x:c r="B726" s="12" t="n">
        <x:v>42355</x:v>
      </x:c>
      <x:c r="C726" s="18" t="n">
        <x:v>15675</x:v>
      </x:c>
      <x:c r="D726" s="18" t="n">
        <x:v>95507</x:v>
      </x:c>
      <x:c r="E726" s="18" t="n">
        <x:v>18.3</x:v>
      </x:c>
      <x:c r="F726" s="18" t="n">
        <x:v>17.25</x:v>
      </x:c>
      <x:c r="G726" t="n">
        <x:v>36</x:v>
      </x:c>
      <x:c r="H726" t="str">
        <x:v>E</x:v>
      </x:c>
      <x:c r="I726" t="str">
        <x:v>4-6 years</x:v>
      </x:c>
      <x:c r="J726" t="str">
        <x:v>RENT</x:v>
      </x:c>
      <x:c r="K726" t="str">
        <x:v>home_improvement</x:v>
      </x:c>
      <x:c r="L726" t="n">
        <x:v>0</x:v>
      </x:c>
      <x:c r="M726" t="n">
        <x:v>0</x:v>
      </x:c>
      <x:c r="N726" t="str">
        <x:v>Fully Paid</x:v>
      </x:c>
      <x:c r="O726" t="str">
        <x:f>IF(D726="","Unknown",IF(D726&lt;25000,"&lt;$25k",IF(D726&lt;50000,"$25k-$50k",IF(D726&lt;75000,"$50k-$75k",IF(D726&lt;100000,"$75k-$100k","$100k+")))))</x:f>
        <x:v>$75k-$100k</x:v>
      </x:c>
      <x:c r="P726" t="str">
        <x:f>IF(E726="","Unknown",IF(E726&lt;10,"&lt;10",IF(E726&lt;20,"10-&lt;20",IF(E726&lt;25,"20-&lt;25",IF(E726&lt;35,"25-&lt;35","35+")))))</x:f>
        <x:v>10-&lt;20</x:v>
      </x:c>
    </x:row>
    <x:row r="727">
      <x:c r="A727" t="str">
        <x:v>SYN0000726</x:v>
      </x:c>
      <x:c r="B727" s="12" t="n">
        <x:v>42985</x:v>
      </x:c>
      <x:c r="C727" s="18" t="n">
        <x:v>6023</x:v>
      </x:c>
      <x:c r="D727" s="18" t="n">
        <x:v>33358</x:v>
      </x:c>
      <x:c r="E727" s="18" t="n">
        <x:v>26.49</x:v>
      </x:c>
      <x:c r="F727" s="18" t="n">
        <x:v>10.76</x:v>
      </x:c>
      <x:c r="G727" t="n">
        <x:v>60</x:v>
      </x:c>
      <x:c r="H727" t="str">
        <x:v>D</x:v>
      </x:c>
      <x:c r="I727" t="str">
        <x:v>4-6 years</x:v>
      </x:c>
      <x:c r="J727" t="str">
        <x:v>OWN</x:v>
      </x:c>
      <x:c r="K727" t="str">
        <x:v>debt_consolidation</x:v>
      </x:c>
      <x:c r="L727" t="n">
        <x:v>1</x:v>
      </x:c>
      <x:c r="M727" t="n">
        <x:v>0</x:v>
      </x:c>
      <x:c r="N727" t="str">
        <x:v>Fully Paid</x:v>
      </x:c>
      <x:c r="O727" t="str">
        <x:f>IF(D727="","Unknown",IF(D727&lt;25000,"&lt;$25k",IF(D727&lt;50000,"$25k-$50k",IF(D727&lt;75000,"$50k-$75k",IF(D727&lt;100000,"$75k-$100k","$100k+")))))</x:f>
        <x:v>$25k-$50k</x:v>
      </x:c>
      <x:c r="P727" t="str">
        <x:f>IF(E727="","Unknown",IF(E727&lt;10,"&lt;10",IF(E727&lt;20,"10-&lt;20",IF(E727&lt;25,"20-&lt;25",IF(E727&lt;35,"25-&lt;35","35+")))))</x:f>
        <x:v>25-&lt;35</x:v>
      </x:c>
    </x:row>
    <x:row r="728">
      <x:c r="A728" t="str">
        <x:v>SYN0000727</x:v>
      </x:c>
      <x:c r="B728" s="12" t="n">
        <x:v>42565</x:v>
      </x:c>
      <x:c r="C728" s="18" t="n">
        <x:v>12470</x:v>
      </x:c>
      <x:c r="D728" s="18" t="n">
        <x:v>33272</x:v>
      </x:c>
      <x:c r="E728" s="18" t="n">
        <x:v>29.29</x:v>
      </x:c>
      <x:c r="F728" s="18" t="n">
        <x:v>8.25</x:v>
      </x:c>
      <x:c r="G728" t="n">
        <x:v>36</x:v>
      </x:c>
      <x:c r="H728" t="str">
        <x:v>B</x:v>
      </x:c>
      <x:c r="I728" t="str">
        <x:v>4-6 years</x:v>
      </x:c>
      <x:c r="J728" t="str">
        <x:v>MORTGAGE</x:v>
      </x:c>
      <x:c r="K728" t="str">
        <x:v>medical</x:v>
      </x:c>
      <x:c r="L728" t="n">
        <x:v>0</x:v>
      </x:c>
      <x:c r="M728" t="n">
        <x:v>0</x:v>
      </x:c>
      <x:c r="N728" t="str">
        <x:v>Fully Paid</x:v>
      </x:c>
      <x:c r="O728" t="str">
        <x:f>IF(D728="","Unknown",IF(D728&lt;25000,"&lt;$25k",IF(D728&lt;50000,"$25k-$50k",IF(D728&lt;75000,"$50k-$75k",IF(D728&lt;100000,"$75k-$100k","$100k+")))))</x:f>
        <x:v>$25k-$50k</x:v>
      </x:c>
      <x:c r="P728" t="str">
        <x:f>IF(E728="","Unknown",IF(E728&lt;10,"&lt;10",IF(E728&lt;20,"10-&lt;20",IF(E728&lt;25,"20-&lt;25",IF(E728&lt;35,"25-&lt;35","35+")))))</x:f>
        <x:v>25-&lt;35</x:v>
      </x:c>
    </x:row>
    <x:row r="729">
      <x:c r="A729" t="str">
        <x:v>SYN0000728</x:v>
      </x:c>
      <x:c r="B729" s="12" t="n">
        <x:v>41965</x:v>
      </x:c>
      <x:c r="C729" s="18" t="n">
        <x:v>7715</x:v>
      </x:c>
      <x:c r="D729" s="18" t="n">
        <x:v>39764</x:v>
      </x:c>
      <x:c r="E729" s="18" t="n">
        <x:v>7.48</x:v>
      </x:c>
      <x:c r="F729" s="18" t="n">
        <x:v>8.14</x:v>
      </x:c>
      <x:c r="G729" t="n">
        <x:v>36</x:v>
      </x:c>
      <x:c r="H729" t="str">
        <x:v>B</x:v>
      </x:c>
      <x:c r="I729" t="str">
        <x:v>1-3 years</x:v>
      </x:c>
      <x:c r="J729" t="str">
        <x:v>MORTGAGE</x:v>
      </x:c>
      <x:c r="K729" t="str">
        <x:v>major_purchase</x:v>
      </x:c>
      <x:c r="L729" t="n">
        <x:v>0</x:v>
      </x:c>
      <x:c r="M729" t="n">
        <x:v>0</x:v>
      </x:c>
      <x:c r="N729" t="str">
        <x:v>Fully Paid</x:v>
      </x:c>
      <x:c r="O729" t="str">
        <x:f>IF(D729="","Unknown",IF(D729&lt;25000,"&lt;$25k",IF(D729&lt;50000,"$25k-$50k",IF(D729&lt;75000,"$50k-$75k",IF(D729&lt;100000,"$75k-$100k","$100k+")))))</x:f>
        <x:v>$25k-$50k</x:v>
      </x:c>
      <x:c r="P729" t="str">
        <x:f>IF(E729="","Unknown",IF(E729&lt;10,"&lt;10",IF(E729&lt;20,"10-&lt;20",IF(E729&lt;25,"20-&lt;25",IF(E729&lt;35,"25-&lt;35","35+")))))</x:f>
        <x:v>&lt;10</x:v>
      </x:c>
    </x:row>
    <x:row r="730">
      <x:c r="A730" t="str">
        <x:v>SYN0000729</x:v>
      </x:c>
      <x:c r="B730" s="12" t="n">
        <x:v>42685</x:v>
      </x:c>
      <x:c r="C730" s="18" t="n">
        <x:v>17968</x:v>
      </x:c>
      <x:c r="D730" s="18" t="n">
        <x:v>55824</x:v>
      </x:c>
      <x:c r="E730" s="18" t="n">
        <x:v>17.24</x:v>
      </x:c>
      <x:c r="F730" s="18" t="n">
        <x:v>11.94</x:v>
      </x:c>
      <x:c r="G730" t="n">
        <x:v>36</x:v>
      </x:c>
      <x:c r="H730" t="str">
        <x:v>C</x:v>
      </x:c>
      <x:c r="I730" t="str">
        <x:v>7-9 years</x:v>
      </x:c>
      <x:c r="J730" t="str">
        <x:v>MORTGAGE</x:v>
      </x:c>
      <x:c r="K730" t="str">
        <x:v>debt_consolidation</x:v>
      </x:c>
      <x:c r="L730" t="n">
        <x:v>0</x:v>
      </x:c>
      <x:c r="M730" t="n">
        <x:v>0</x:v>
      </x:c>
      <x:c r="N730" t="str">
        <x:v>Fully Paid</x:v>
      </x:c>
      <x:c r="O730" t="str">
        <x:f>IF(D730="","Unknown",IF(D730&lt;25000,"&lt;$25k",IF(D730&lt;50000,"$25k-$50k",IF(D730&lt;75000,"$50k-$75k",IF(D730&lt;100000,"$75k-$100k","$100k+")))))</x:f>
        <x:v>$50k-$75k</x:v>
      </x:c>
      <x:c r="P730" t="str">
        <x:f>IF(E730="","Unknown",IF(E730&lt;10,"&lt;10",IF(E730&lt;20,"10-&lt;20",IF(E730&lt;25,"20-&lt;25",IF(E730&lt;35,"25-&lt;35","35+")))))</x:f>
        <x:v>10-&lt;20</x:v>
      </x:c>
    </x:row>
    <x:row r="731">
      <x:c r="A731" t="str">
        <x:v>SYN0000730</x:v>
      </x:c>
      <x:c r="B731" s="12" t="n">
        <x:v>42925</x:v>
      </x:c>
      <x:c r="C731" s="18" t="n">
        <x:v>5636</x:v>
      </x:c>
      <x:c r="D731" s="18" t="n">
        <x:v>29390</x:v>
      </x:c>
      <x:c r="E731" s="18" t="n">
        <x:v>22.21</x:v>
      </x:c>
      <x:c r="F731" s="18" t="n">
        <x:v>17.15</x:v>
      </x:c>
      <x:c r="G731" t="n">
        <x:v>36</x:v>
      </x:c>
      <x:c r="H731" t="str">
        <x:v>E</x:v>
      </x:c>
      <x:c r="I731" t="str">
        <x:v>10+ years</x:v>
      </x:c>
      <x:c r="J731" t="str">
        <x:v>MORTGAGE</x:v>
      </x:c>
      <x:c r="K731" t="str">
        <x:v>home_improvement</x:v>
      </x:c>
      <x:c r="L731" t="n">
        <x:v>0</x:v>
      </x:c>
      <x:c r="M731" t="n">
        <x:v>0</x:v>
      </x:c>
      <x:c r="N731" t="str">
        <x:v>Fully Paid</x:v>
      </x:c>
      <x:c r="O731" t="str">
        <x:f>IF(D731="","Unknown",IF(D731&lt;25000,"&lt;$25k",IF(D731&lt;50000,"$25k-$50k",IF(D731&lt;75000,"$50k-$75k",IF(D731&lt;100000,"$75k-$100k","$100k+")))))</x:f>
        <x:v>$25k-$50k</x:v>
      </x:c>
      <x:c r="P731" t="str">
        <x:f>IF(E731="","Unknown",IF(E731&lt;10,"&lt;10",IF(E731&lt;20,"10-&lt;20",IF(E731&lt;25,"20-&lt;25",IF(E731&lt;35,"25-&lt;35","35+")))))</x:f>
        <x:v>20-&lt;25</x:v>
      </x:c>
    </x:row>
    <x:row r="732">
      <x:c r="A732" t="str">
        <x:v>SYN0000731</x:v>
      </x:c>
      <x:c r="B732" s="12" t="n">
        <x:v>42505</x:v>
      </x:c>
      <x:c r="C732" s="18" t="n">
        <x:v>11601</x:v>
      </x:c>
      <x:c r="D732" s="18" t="n">
        <x:v>85135</x:v>
      </x:c>
      <x:c r="E732" s="18" t="n">
        <x:v>23.97</x:v>
      </x:c>
      <x:c r="F732" s="18" t="n">
        <x:v>15.14</x:v>
      </x:c>
      <x:c r="G732" t="n">
        <x:v>60</x:v>
      </x:c>
      <x:c r="H732" t="str">
        <x:v>D</x:v>
      </x:c>
      <x:c r="I732" t="str">
        <x:v>7-9 years</x:v>
      </x:c>
      <x:c r="J732" t="str">
        <x:v>MORTGAGE</x:v>
      </x:c>
      <x:c r="K732" t="str">
        <x:v>debt_consolidation</x:v>
      </x:c>
      <x:c r="L732" t="n">
        <x:v>1</x:v>
      </x:c>
      <x:c r="M732" t="n">
        <x:v>0</x:v>
      </x:c>
      <x:c r="N732" t="str">
        <x:v>Fully Paid</x:v>
      </x:c>
      <x:c r="O732" t="str">
        <x:f>IF(D732="","Unknown",IF(D732&lt;25000,"&lt;$25k",IF(D732&lt;50000,"$25k-$50k",IF(D732&lt;75000,"$50k-$75k",IF(D732&lt;100000,"$75k-$100k","$100k+")))))</x:f>
        <x:v>$75k-$100k</x:v>
      </x:c>
      <x:c r="P732" t="str">
        <x:f>IF(E732="","Unknown",IF(E732&lt;10,"&lt;10",IF(E732&lt;20,"10-&lt;20",IF(E732&lt;25,"20-&lt;25",IF(E732&lt;35,"25-&lt;35","35+")))))</x:f>
        <x:v>20-&lt;25</x:v>
      </x:c>
    </x:row>
    <x:row r="733">
      <x:c r="A733" t="str">
        <x:v>SYN0000732</x:v>
      </x:c>
      <x:c r="B733" s="12" t="n">
        <x:v>41515</x:v>
      </x:c>
      <x:c r="C733" s="18" t="n">
        <x:v>13453</x:v>
      </x:c>
      <x:c r="D733" s="18" t="n">
        <x:v>48495</x:v>
      </x:c>
      <x:c r="E733" s="18" t="n">
        <x:v>19.56</x:v>
      </x:c>
      <x:c r="F733" s="18" t="n">
        <x:v>8.45</x:v>
      </x:c>
      <x:c r="G733" t="n">
        <x:v>60</x:v>
      </x:c>
      <x:c r="H733" t="str">
        <x:v>B</x:v>
      </x:c>
      <x:c r="I733" t="str">
        <x:v>&lt;1 year</x:v>
      </x:c>
      <x:c r="J733" t="str">
        <x:v>MORTGAGE</x:v>
      </x:c>
      <x:c r="K733" t="str">
        <x:v>credit_card</x:v>
      </x:c>
      <x:c r="L733" t="n">
        <x:v>0</x:v>
      </x:c>
      <x:c r="M733" t="n">
        <x:v>0</x:v>
      </x:c>
      <x:c r="N733" t="str">
        <x:v>Fully Paid</x:v>
      </x:c>
      <x:c r="O733" t="str">
        <x:f>IF(D733="","Unknown",IF(D733&lt;25000,"&lt;$25k",IF(D733&lt;50000,"$25k-$50k",IF(D733&lt;75000,"$50k-$75k",IF(D733&lt;100000,"$75k-$100k","$100k+")))))</x:f>
        <x:v>$25k-$50k</x:v>
      </x:c>
      <x:c r="P733" t="str">
        <x:f>IF(E733="","Unknown",IF(E733&lt;10,"&lt;10",IF(E733&lt;20,"10-&lt;20",IF(E733&lt;25,"20-&lt;25",IF(E733&lt;35,"25-&lt;35","35+")))))</x:f>
        <x:v>10-&lt;20</x:v>
      </x:c>
    </x:row>
    <x:row r="734">
      <x:c r="A734" t="str">
        <x:v>SYN0000733</x:v>
      </x:c>
      <x:c r="B734" s="12" t="n">
        <x:v>42205</x:v>
      </x:c>
      <x:c r="C734" s="18" t="n">
        <x:v>12074</x:v>
      </x:c>
      <x:c r="D734" s="18" t="n">
        <x:v>115984</x:v>
      </x:c>
      <x:c r="E734" s="18" t="n">
        <x:v>20.04</x:v>
      </x:c>
      <x:c r="F734" s="18" t="n">
        <x:v>27.3</x:v>
      </x:c>
      <x:c r="G734" t="n">
        <x:v>36</x:v>
      </x:c>
      <x:c r="H734" t="str">
        <x:v>G</x:v>
      </x:c>
      <x:c r="I734" t="str">
        <x:v>&lt;1 year</x:v>
      </x:c>
      <x:c r="J734" t="str">
        <x:v>RENT</x:v>
      </x:c>
      <x:c r="K734" t="str">
        <x:v>credit_card</x:v>
      </x:c>
      <x:c r="L734" t="n">
        <x:v>0</x:v>
      </x:c>
      <x:c r="M734" t="n">
        <x:v>0</x:v>
      </x:c>
      <x:c r="N734" t="str">
        <x:v>Fully Paid</x:v>
      </x:c>
      <x:c r="O734" t="str">
        <x:f>IF(D734="","Unknown",IF(D734&lt;25000,"&lt;$25k",IF(D734&lt;50000,"$25k-$50k",IF(D734&lt;75000,"$50k-$75k",IF(D734&lt;100000,"$75k-$100k","$100k+")))))</x:f>
        <x:v>$100k+</x:v>
      </x:c>
      <x:c r="P734" t="str">
        <x:f>IF(E734="","Unknown",IF(E734&lt;10,"&lt;10",IF(E734&lt;20,"10-&lt;20",IF(E734&lt;25,"20-&lt;25",IF(E734&lt;35,"25-&lt;35","35+")))))</x:f>
        <x:v>20-&lt;25</x:v>
      </x:c>
    </x:row>
    <x:row r="735">
      <x:c r="A735" t="str">
        <x:v>SYN0000734</x:v>
      </x:c>
      <x:c r="B735" s="12" t="n">
        <x:v>41755</x:v>
      </x:c>
      <x:c r="C735" s="18" t="n">
        <x:v>29505</x:v>
      </x:c>
      <x:c r="D735" s="18" t="n">
        <x:v>51249</x:v>
      </x:c>
      <x:c r="E735" s="18" t="n">
        <x:v>31.73</x:v>
      </x:c>
      <x:c r="F735" s="18" t="n">
        <x:v>8.02</x:v>
      </x:c>
      <x:c r="G735" t="n">
        <x:v>36</x:v>
      </x:c>
      <x:c r="H735" t="str">
        <x:v>B</x:v>
      </x:c>
      <x:c r="I735" t="str">
        <x:v>1-3 years</x:v>
      </x:c>
      <x:c r="J735" t="str">
        <x:v>OWN</x:v>
      </x:c>
      <x:c r="K735" t="str">
        <x:v>debt_consolidation</x:v>
      </x:c>
      <x:c r="L735" t="n">
        <x:v>1</x:v>
      </x:c>
      <x:c r="M735" t="n">
        <x:v>0</x:v>
      </x:c>
      <x:c r="N735" t="str">
        <x:v>Fully Paid</x:v>
      </x:c>
      <x:c r="O735" t="str">
        <x:f>IF(D735="","Unknown",IF(D735&lt;25000,"&lt;$25k",IF(D735&lt;50000,"$25k-$50k",IF(D735&lt;75000,"$50k-$75k",IF(D735&lt;100000,"$75k-$100k","$100k+")))))</x:f>
        <x:v>$50k-$75k</x:v>
      </x:c>
      <x:c r="P735" t="str">
        <x:f>IF(E735="","Unknown",IF(E735&lt;10,"&lt;10",IF(E735&lt;20,"10-&lt;20",IF(E735&lt;25,"20-&lt;25",IF(E735&lt;35,"25-&lt;35","35+")))))</x:f>
        <x:v>25-&lt;35</x:v>
      </x:c>
    </x:row>
    <x:row r="736">
      <x:c r="A736" t="str">
        <x:v>SYN0000735</x:v>
      </x:c>
      <x:c r="B736" s="12" t="n">
        <x:v>43405</x:v>
      </x:c>
      <x:c r="C736" s="18" t="n">
        <x:v>4308</x:v>
      </x:c>
      <x:c r="D736" s="18" t="n">
        <x:v>74811</x:v>
      </x:c>
      <x:c r="E736" s="18" t="n">
        <x:v>23.33</x:v>
      </x:c>
      <x:c r="F736" s="18" t="n">
        <x:v>10.7</x:v>
      </x:c>
      <x:c r="G736" t="n">
        <x:v>36</x:v>
      </x:c>
      <x:c r="H736" t="str">
        <x:v>C</x:v>
      </x:c>
      <x:c r="I736" t="str">
        <x:v>10+ years</x:v>
      </x:c>
      <x:c r="J736" t="str">
        <x:v>RENT</x:v>
      </x:c>
      <x:c r="K736" t="str">
        <x:v>major_purchase</x:v>
      </x:c>
      <x:c r="L736" t="n">
        <x:v>0</x:v>
      </x:c>
      <x:c r="M736" t="n">
        <x:v>0</x:v>
      </x:c>
      <x:c r="N736" t="str">
        <x:v>Fully Paid</x:v>
      </x:c>
      <x:c r="O736" t="str">
        <x:f>IF(D736="","Unknown",IF(D736&lt;25000,"&lt;$25k",IF(D736&lt;50000,"$25k-$50k",IF(D736&lt;75000,"$50k-$75k",IF(D736&lt;100000,"$75k-$100k","$100k+")))))</x:f>
        <x:v>$50k-$75k</x:v>
      </x:c>
      <x:c r="P736" t="str">
        <x:f>IF(E736="","Unknown",IF(E736&lt;10,"&lt;10",IF(E736&lt;20,"10-&lt;20",IF(E736&lt;25,"20-&lt;25",IF(E736&lt;35,"25-&lt;35","35+")))))</x:f>
        <x:v>20-&lt;25</x:v>
      </x:c>
    </x:row>
    <x:row r="737">
      <x:c r="A737" t="str">
        <x:v>SYN0000736</x:v>
      </x:c>
      <x:c r="B737" s="12" t="n">
        <x:v>41335</x:v>
      </x:c>
      <x:c r="C737" s="18" t="n">
        <x:v>6705</x:v>
      </x:c>
      <x:c r="D737" s="18" t="n">
        <x:v>17077</x:v>
      </x:c>
      <x:c r="E737" s="18" t="n">
        <x:v>12.08</x:v>
      </x:c>
      <x:c r="F737" s="18" t="n">
        <x:v>15.43</x:v>
      </x:c>
      <x:c r="G737" t="n">
        <x:v>36</x:v>
      </x:c>
      <x:c r="H737" t="str">
        <x:v>D</x:v>
      </x:c>
      <x:c r="I737" t="str">
        <x:v>1-3 years</x:v>
      </x:c>
      <x:c r="J737" t="str">
        <x:v>MORTGAGE</x:v>
      </x:c>
      <x:c r="K737" t="str">
        <x:v>other</x:v>
      </x:c>
      <x:c r="L737" t="n">
        <x:v>2</x:v>
      </x:c>
      <x:c r="M737" t="n">
        <x:v>0</x:v>
      </x:c>
      <x:c r="N737" t="str">
        <x:v>Fully Paid</x:v>
      </x:c>
      <x:c r="O737" t="str">
        <x:f>IF(D737="","Unknown",IF(D737&lt;25000,"&lt;$25k",IF(D737&lt;50000,"$25k-$50k",IF(D737&lt;75000,"$50k-$75k",IF(D737&lt;100000,"$75k-$100k","$100k+")))))</x:f>
        <x:v>&lt;$25k</x:v>
      </x:c>
      <x:c r="P737" t="str">
        <x:f>IF(E737="","Unknown",IF(E737&lt;10,"&lt;10",IF(E737&lt;20,"10-&lt;20",IF(E737&lt;25,"20-&lt;25",IF(E737&lt;35,"25-&lt;35","35+")))))</x:f>
        <x:v>10-&lt;20</x:v>
      </x:c>
    </x:row>
    <x:row r="738">
      <x:c r="A738" t="str">
        <x:v>SYN0000737</x:v>
      </x:c>
      <x:c r="B738" s="12" t="n">
        <x:v>43405</x:v>
      </x:c>
      <x:c r="C738" s="18" t="n">
        <x:v>19771</x:v>
      </x:c>
      <x:c r="D738" s="18" t="n">
        <x:v>37523</x:v>
      </x:c>
      <x:c r="E738" s="18" t="n">
        <x:v>16.26</x:v>
      </x:c>
      <x:c r="F738" s="18" t="n">
        <x:v>16.46</x:v>
      </x:c>
      <x:c r="G738" t="n">
        <x:v>36</x:v>
      </x:c>
      <x:c r="H738" t="str">
        <x:v>D</x:v>
      </x:c>
      <x:c r="I738" t="str">
        <x:v>1-3 years</x:v>
      </x:c>
      <x:c r="J738" t="str">
        <x:v>MORTGAGE</x:v>
      </x:c>
      <x:c r="K738" t="str">
        <x:v>credit_card</x:v>
      </x:c>
      <x:c r="L738" t="n">
        <x:v>1</x:v>
      </x:c>
      <x:c r="M738" t="n">
        <x:v>0</x:v>
      </x:c>
      <x:c r="N738" t="str">
        <x:v>Fully Paid</x:v>
      </x:c>
      <x:c r="O738" t="str">
        <x:f>IF(D738="","Unknown",IF(D738&lt;25000,"&lt;$25k",IF(D738&lt;50000,"$25k-$50k",IF(D738&lt;75000,"$50k-$75k",IF(D738&lt;100000,"$75k-$100k","$100k+")))))</x:f>
        <x:v>$25k-$50k</x:v>
      </x:c>
      <x:c r="P738" t="str">
        <x:f>IF(E738="","Unknown",IF(E738&lt;10,"&lt;10",IF(E738&lt;20,"10-&lt;20",IF(E738&lt;25,"20-&lt;25",IF(E738&lt;35,"25-&lt;35","35+")))))</x:f>
        <x:v>10-&lt;20</x:v>
      </x:c>
    </x:row>
    <x:row r="739">
      <x:c r="A739" t="str">
        <x:v>SYN0000738</x:v>
      </x:c>
      <x:c r="B739" s="12" t="n">
        <x:v>42895</x:v>
      </x:c>
      <x:c r="C739" s="18" t="n">
        <x:v>6780</x:v>
      </x:c>
      <x:c r="D739" s="18" t="n">
        <x:v>12000</x:v>
      </x:c>
      <x:c r="E739" s="18" t="n">
        <x:v>14.95</x:v>
      </x:c>
      <x:c r="F739" s="18" t="n">
        <x:v>10.6</x:v>
      </x:c>
      <x:c r="G739" t="n">
        <x:v>36</x:v>
      </x:c>
      <x:c r="H739" t="str">
        <x:v>B</x:v>
      </x:c>
      <x:c r="I739" t="str">
        <x:v>7-9 years</x:v>
      </x:c>
      <x:c r="J739" t="str">
        <x:v>OWN</x:v>
      </x:c>
      <x:c r="K739" t="str">
        <x:v>debt_consolidation</x:v>
      </x:c>
      <x:c r="L739" t="n">
        <x:v>0</x:v>
      </x:c>
      <x:c r="M739" t="n">
        <x:v>0</x:v>
      </x:c>
      <x:c r="N739" t="str">
        <x:v>Fully Paid</x:v>
      </x:c>
      <x:c r="O739" t="str">
        <x:f>IF(D739="","Unknown",IF(D739&lt;25000,"&lt;$25k",IF(D739&lt;50000,"$25k-$50k",IF(D739&lt;75000,"$50k-$75k",IF(D739&lt;100000,"$75k-$100k","$100k+")))))</x:f>
        <x:v>&lt;$25k</x:v>
      </x:c>
      <x:c r="P739" t="str">
        <x:f>IF(E739="","Unknown",IF(E739&lt;10,"&lt;10",IF(E739&lt;20,"10-&lt;20",IF(E739&lt;25,"20-&lt;25",IF(E739&lt;35,"25-&lt;35","35+")))))</x:f>
        <x:v>10-&lt;20</x:v>
      </x:c>
    </x:row>
    <x:row r="740">
      <x:c r="A740" t="str">
        <x:v>SYN0000739</x:v>
      </x:c>
      <x:c r="B740" s="12" t="n">
        <x:v>41485</x:v>
      </x:c>
      <x:c r="C740" s="18" t="n">
        <x:v>7294</x:v>
      </x:c>
      <x:c r="D740" s="18" t="n">
        <x:v>15167</x:v>
      </x:c>
      <x:c r="E740" s="18" t="n">
        <x:v>37.45</x:v>
      </x:c>
      <x:c r="F740" s="18" t="n">
        <x:v>10.69</x:v>
      </x:c>
      <x:c r="G740" t="n">
        <x:v>60</x:v>
      </x:c>
      <x:c r="H740" t="str">
        <x:v>C</x:v>
      </x:c>
      <x:c r="I740" t="str">
        <x:v>&lt;1 year</x:v>
      </x:c>
      <x:c r="J740" t="str">
        <x:v>RENT</x:v>
      </x:c>
      <x:c r="K740" t="str">
        <x:v>debt_consolidation</x:v>
      </x:c>
      <x:c r="L740" t="n">
        <x:v>0</x:v>
      </x:c>
      <x:c r="M740" t="n">
        <x:v>0</x:v>
      </x:c>
      <x:c r="N740" t="str">
        <x:v>Fully Paid</x:v>
      </x:c>
      <x:c r="O740" t="str">
        <x:f>IF(D740="","Unknown",IF(D740&lt;25000,"&lt;$25k",IF(D740&lt;50000,"$25k-$50k",IF(D740&lt;75000,"$50k-$75k",IF(D740&lt;100000,"$75k-$100k","$100k+")))))</x:f>
        <x:v>&lt;$25k</x:v>
      </x:c>
      <x:c r="P740" t="str">
        <x:f>IF(E740="","Unknown",IF(E740&lt;10,"&lt;10",IF(E740&lt;20,"10-&lt;20",IF(E740&lt;25,"20-&lt;25",IF(E740&lt;35,"25-&lt;35","35+")))))</x:f>
        <x:v>35+</x:v>
      </x:c>
    </x:row>
    <x:row r="741">
      <x:c r="A741" t="str">
        <x:v>SYN0000740</x:v>
      </x:c>
      <x:c r="B741" s="12" t="n">
        <x:v>41935</x:v>
      </x:c>
      <x:c r="C741" s="18" t="n">
        <x:v>27824</x:v>
      </x:c>
      <x:c r="D741" s="18" t="n">
        <x:v>30345</x:v>
      </x:c>
      <x:c r="E741" s="18" t="n">
        <x:v>11.57</x:v>
      </x:c>
      <x:c r="F741" s="18" t="n">
        <x:v>17.01</x:v>
      </x:c>
      <x:c r="G741" t="n">
        <x:v>36</x:v>
      </x:c>
      <x:c r="H741" t="str">
        <x:v>E</x:v>
      </x:c>
      <x:c r="I741" t="str">
        <x:v>4-6 years</x:v>
      </x:c>
      <x:c r="J741" t="str">
        <x:v>RENT</x:v>
      </x:c>
      <x:c r="K741" t="str">
        <x:v>other</x:v>
      </x:c>
      <x:c r="L741" t="n">
        <x:v>0</x:v>
      </x:c>
      <x:c r="M741" t="n">
        <x:v>1</x:v>
      </x:c>
      <x:c r="N741" t="str">
        <x:v>Charged Off</x:v>
      </x:c>
      <x:c r="O741" t="str">
        <x:f>IF(D741="","Unknown",IF(D741&lt;25000,"&lt;$25k",IF(D741&lt;50000,"$25k-$50k",IF(D741&lt;75000,"$50k-$75k",IF(D741&lt;100000,"$75k-$100k","$100k+")))))</x:f>
        <x:v>$25k-$50k</x:v>
      </x:c>
      <x:c r="P741" t="str">
        <x:f>IF(E741="","Unknown",IF(E741&lt;10,"&lt;10",IF(E741&lt;20,"10-&lt;20",IF(E741&lt;25,"20-&lt;25",IF(E741&lt;35,"25-&lt;35","35+")))))</x:f>
        <x:v>10-&lt;20</x:v>
      </x:c>
    </x:row>
    <x:row r="742">
      <x:c r="A742" t="str">
        <x:v>SYN0000741</x:v>
      </x:c>
      <x:c r="B742" s="12" t="n">
        <x:v>41785</x:v>
      </x:c>
      <x:c r="C742" s="18" t="n">
        <x:v>11308</x:v>
      </x:c>
      <x:c r="D742" s="18" t="n">
        <x:v>31779</x:v>
      </x:c>
      <x:c r="E742" s="18" t="n">
        <x:v>26.76</x:v>
      </x:c>
      <x:c r="F742" s="18" t="n">
        <x:v>9.73</x:v>
      </x:c>
      <x:c r="G742" t="n">
        <x:v>60</x:v>
      </x:c>
      <x:c r="H742" t="str">
        <x:v>B</x:v>
      </x:c>
      <x:c r="I742" t="str">
        <x:v>7-9 years</x:v>
      </x:c>
      <x:c r="J742" t="str">
        <x:v>RENT</x:v>
      </x:c>
      <x:c r="K742" t="str">
        <x:v>credit_card</x:v>
      </x:c>
      <x:c r="L742" t="n">
        <x:v>0</x:v>
      </x:c>
      <x:c r="M742" t="n">
        <x:v>0</x:v>
      </x:c>
      <x:c r="N742" t="str">
        <x:v>Fully Paid</x:v>
      </x:c>
      <x:c r="O742" t="str">
        <x:f>IF(D742="","Unknown",IF(D742&lt;25000,"&lt;$25k",IF(D742&lt;50000,"$25k-$50k",IF(D742&lt;75000,"$50k-$75k",IF(D742&lt;100000,"$75k-$100k","$100k+")))))</x:f>
        <x:v>$25k-$50k</x:v>
      </x:c>
      <x:c r="P742" t="str">
        <x:f>IF(E742="","Unknown",IF(E742&lt;10,"&lt;10",IF(E742&lt;20,"10-&lt;20",IF(E742&lt;25,"20-&lt;25",IF(E742&lt;35,"25-&lt;35","35+")))))</x:f>
        <x:v>25-&lt;35</x:v>
      </x:c>
    </x:row>
    <x:row r="743">
      <x:c r="A743" t="str">
        <x:v>SYN0000742</x:v>
      </x:c>
      <x:c r="B743" s="12" t="n">
        <x:v>41575</x:v>
      </x:c>
      <x:c r="C743" s="18" t="n">
        <x:v>12968</x:v>
      </x:c>
      <x:c r="D743" s="18" t="n">
        <x:v>55357</x:v>
      </x:c>
      <x:c r="E743" s="18" t="n">
        <x:v>34.17</x:v>
      </x:c>
      <x:c r="F743" s="18" t="n">
        <x:v>9.25</x:v>
      </x:c>
      <x:c r="G743" t="n">
        <x:v>36</x:v>
      </x:c>
      <x:c r="H743" t="str">
        <x:v>B</x:v>
      </x:c>
      <x:c r="I743" t="str">
        <x:v>&lt;1 year</x:v>
      </x:c>
      <x:c r="J743" t="str">
        <x:v>MORTGAGE</x:v>
      </x:c>
      <x:c r="K743" t="str">
        <x:v>credit_card</x:v>
      </x:c>
      <x:c r="L743" t="n">
        <x:v>0</x:v>
      </x:c>
      <x:c r="M743" t="n">
        <x:v>0</x:v>
      </x:c>
      <x:c r="N743" t="str">
        <x:v>Fully Paid</x:v>
      </x:c>
      <x:c r="O743" t="str">
        <x:f>IF(D743="","Unknown",IF(D743&lt;25000,"&lt;$25k",IF(D743&lt;50000,"$25k-$50k",IF(D743&lt;75000,"$50k-$75k",IF(D743&lt;100000,"$75k-$100k","$100k+")))))</x:f>
        <x:v>$50k-$75k</x:v>
      </x:c>
      <x:c r="P743" t="str">
        <x:f>IF(E743="","Unknown",IF(E743&lt;10,"&lt;10",IF(E743&lt;20,"10-&lt;20",IF(E743&lt;25,"20-&lt;25",IF(E743&lt;35,"25-&lt;35","35+")))))</x:f>
        <x:v>25-&lt;35</x:v>
      </x:c>
    </x:row>
    <x:row r="744">
      <x:c r="A744" t="str">
        <x:v>SYN0000743</x:v>
      </x:c>
      <x:c r="B744" s="12" t="n">
        <x:v>41845</x:v>
      </x:c>
      <x:c r="C744" s="18" t="n">
        <x:v>9132</x:v>
      </x:c>
      <x:c r="D744" s="18" t="n">
        <x:v>44977</x:v>
      </x:c>
      <x:c r="E744" s="18" t="n">
        <x:v>17.32</x:v>
      </x:c>
      <x:c r="F744" s="18" t="n">
        <x:v>6.37</x:v>
      </x:c>
      <x:c r="G744" t="n">
        <x:v>60</x:v>
      </x:c>
      <x:c r="H744" t="str">
        <x:v>A</x:v>
      </x:c>
      <x:c r="I744" t="str">
        <x:v>10+ years</x:v>
      </x:c>
      <x:c r="J744" t="str">
        <x:v>MORTGAGE</x:v>
      </x:c>
      <x:c r="K744" t="str">
        <x:v>major_purchase</x:v>
      </x:c>
      <x:c r="L744" t="n">
        <x:v>0</x:v>
      </x:c>
      <x:c r="M744" t="n">
        <x:v>0</x:v>
      </x:c>
      <x:c r="N744" t="str">
        <x:v>Fully Paid</x:v>
      </x:c>
      <x:c r="O744" t="str">
        <x:f>IF(D744="","Unknown",IF(D744&lt;25000,"&lt;$25k",IF(D744&lt;50000,"$25k-$50k",IF(D744&lt;75000,"$50k-$75k",IF(D744&lt;100000,"$75k-$100k","$100k+")))))</x:f>
        <x:v>$25k-$50k</x:v>
      </x:c>
      <x:c r="P744" t="str">
        <x:f>IF(E744="","Unknown",IF(E744&lt;10,"&lt;10",IF(E744&lt;20,"10-&lt;20",IF(E744&lt;25,"20-&lt;25",IF(E744&lt;35,"25-&lt;35","35+")))))</x:f>
        <x:v>10-&lt;20</x:v>
      </x:c>
    </x:row>
    <x:row r="745">
      <x:c r="A745" t="str">
        <x:v>SYN0000744</x:v>
      </x:c>
      <x:c r="B745" s="12" t="n">
        <x:v>43075</x:v>
      </x:c>
      <x:c r="C745" s="18" t="n">
        <x:v>21488</x:v>
      </x:c>
      <x:c r="D745" s="18" t="n">
        <x:v>94388</x:v>
      </x:c>
      <x:c r="E745" s="18" t="n">
        <x:v>9.88</x:v>
      </x:c>
      <x:c r="F745" s="18" t="n">
        <x:v>9.55</x:v>
      </x:c>
      <x:c r="G745" t="n">
        <x:v>60</x:v>
      </x:c>
      <x:c r="H745" t="str">
        <x:v>B</x:v>
      </x:c>
      <x:c r="I745" t="str">
        <x:v>4-6 years</x:v>
      </x:c>
      <x:c r="J745" t="str">
        <x:v>RENT</x:v>
      </x:c>
      <x:c r="K745" t="str">
        <x:v>major_purchase</x:v>
      </x:c>
      <x:c r="L745" t="n">
        <x:v>1</x:v>
      </x:c>
      <x:c r="M745" t="n">
        <x:v>0</x:v>
      </x:c>
      <x:c r="N745" t="str">
        <x:v>Fully Paid</x:v>
      </x:c>
      <x:c r="O745" t="str">
        <x:f>IF(D745="","Unknown",IF(D745&lt;25000,"&lt;$25k",IF(D745&lt;50000,"$25k-$50k",IF(D745&lt;75000,"$50k-$75k",IF(D745&lt;100000,"$75k-$100k","$100k+")))))</x:f>
        <x:v>$75k-$100k</x:v>
      </x:c>
      <x:c r="P745" t="str">
        <x:f>IF(E745="","Unknown",IF(E745&lt;10,"&lt;10",IF(E745&lt;20,"10-&lt;20",IF(E745&lt;25,"20-&lt;25",IF(E745&lt;35,"25-&lt;35","35+")))))</x:f>
        <x:v>&lt;10</x:v>
      </x:c>
    </x:row>
    <x:row r="746">
      <x:c r="A746" t="str">
        <x:v>SYN0000745</x:v>
      </x:c>
      <x:c r="B746" s="12" t="n">
        <x:v>42205</x:v>
      </x:c>
      <x:c r="C746" s="18" t="n">
        <x:v>10159</x:v>
      </x:c>
      <x:c r="D746" s="18" t="n">
        <x:v>26802</x:v>
      </x:c>
      <x:c r="E746" s="18" t="n">
        <x:v>10.91</x:v>
      </x:c>
      <x:c r="F746" s="18" t="n">
        <x:v>20.8</x:v>
      </x:c>
      <x:c r="G746" t="n">
        <x:v>60</x:v>
      </x:c>
      <x:c r="H746" t="str">
        <x:v>F</x:v>
      </x:c>
      <x:c r="I746" t="str">
        <x:v>4-6 years</x:v>
      </x:c>
      <x:c r="J746" t="str">
        <x:v>RENT</x:v>
      </x:c>
      <x:c r="K746" t="str">
        <x:v>debt_consolidation</x:v>
      </x:c>
      <x:c r="L746" t="n">
        <x:v>1</x:v>
      </x:c>
      <x:c r="M746" t="n">
        <x:v>0</x:v>
      </x:c>
      <x:c r="N746" t="str">
        <x:v>Fully Paid</x:v>
      </x:c>
      <x:c r="O746" t="str">
        <x:f>IF(D746="","Unknown",IF(D746&lt;25000,"&lt;$25k",IF(D746&lt;50000,"$25k-$50k",IF(D746&lt;75000,"$50k-$75k",IF(D746&lt;100000,"$75k-$100k","$100k+")))))</x:f>
        <x:v>$25k-$50k</x:v>
      </x:c>
      <x:c r="P746" t="str">
        <x:f>IF(E746="","Unknown",IF(E746&lt;10,"&lt;10",IF(E746&lt;20,"10-&lt;20",IF(E746&lt;25,"20-&lt;25",IF(E746&lt;35,"25-&lt;35","35+")))))</x:f>
        <x:v>10-&lt;20</x:v>
      </x:c>
    </x:row>
    <x:row r="747">
      <x:c r="A747" t="str">
        <x:v>SYN0000746</x:v>
      </x:c>
      <x:c r="B747" s="12" t="n">
        <x:v>42955</x:v>
      </x:c>
      <x:c r="C747" s="18" t="n">
        <x:v>30449</x:v>
      </x:c>
      <x:c r="D747" s="18" t="n">
        <x:v>105608</x:v>
      </x:c>
      <x:c r="E747" s="18" t="n">
        <x:v>18.74</x:v>
      </x:c>
      <x:c r="F747" s="18" t="n">
        <x:v>8.89</x:v>
      </x:c>
      <x:c r="G747" t="n">
        <x:v>36</x:v>
      </x:c>
      <x:c r="H747" t="str">
        <x:v>A</x:v>
      </x:c>
      <x:c r="I747" t="str">
        <x:v>10+ years</x:v>
      </x:c>
      <x:c r="J747" t="str">
        <x:v>MORTGAGE</x:v>
      </x:c>
      <x:c r="K747" t="str">
        <x:v>debt_consolidation</x:v>
      </x:c>
      <x:c r="L747" t="n">
        <x:v>1</x:v>
      </x:c>
      <x:c r="M747" t="n">
        <x:v>0</x:v>
      </x:c>
      <x:c r="N747" t="str">
        <x:v>Fully Paid</x:v>
      </x:c>
      <x:c r="O747" t="str">
        <x:f>IF(D747="","Unknown",IF(D747&lt;25000,"&lt;$25k",IF(D747&lt;50000,"$25k-$50k",IF(D747&lt;75000,"$50k-$75k",IF(D747&lt;100000,"$75k-$100k","$100k+")))))</x:f>
        <x:v>$100k+</x:v>
      </x:c>
      <x:c r="P747" t="str">
        <x:f>IF(E747="","Unknown",IF(E747&lt;10,"&lt;10",IF(E747&lt;20,"10-&lt;20",IF(E747&lt;25,"20-&lt;25",IF(E747&lt;35,"25-&lt;35","35+")))))</x:f>
        <x:v>10-&lt;20</x:v>
      </x:c>
    </x:row>
    <x:row r="748">
      <x:c r="A748" t="str">
        <x:v>SYN0000747</x:v>
      </x:c>
      <x:c r="B748" s="12" t="n">
        <x:v>41935</x:v>
      </x:c>
      <x:c r="C748" s="18" t="n">
        <x:v>30474</x:v>
      </x:c>
      <x:c r="D748" s="18" t="n">
        <x:v>42334</x:v>
      </x:c>
      <x:c r="E748" s="18" t="n">
        <x:v>35.81</x:v>
      </x:c>
      <x:c r="F748" s="18" t="n">
        <x:v>14.41</x:v>
      </x:c>
      <x:c r="G748" t="n">
        <x:v>36</x:v>
      </x:c>
      <x:c r="H748" t="str">
        <x:v>D</x:v>
      </x:c>
      <x:c r="I748" t="str">
        <x:v>4-6 years</x:v>
      </x:c>
      <x:c r="J748" t="str">
        <x:v>MORTGAGE</x:v>
      </x:c>
      <x:c r="K748" t="str">
        <x:v>home_improvement</x:v>
      </x:c>
      <x:c r="L748" t="n">
        <x:v>0</x:v>
      </x:c>
      <x:c r="M748" t="n">
        <x:v>0</x:v>
      </x:c>
      <x:c r="N748" t="str">
        <x:v>Fully Paid</x:v>
      </x:c>
      <x:c r="O748" t="str">
        <x:f>IF(D748="","Unknown",IF(D748&lt;25000,"&lt;$25k",IF(D748&lt;50000,"$25k-$50k",IF(D748&lt;75000,"$50k-$75k",IF(D748&lt;100000,"$75k-$100k","$100k+")))))</x:f>
        <x:v>$25k-$50k</x:v>
      </x:c>
      <x:c r="P748" t="str">
        <x:f>IF(E748="","Unknown",IF(E748&lt;10,"&lt;10",IF(E748&lt;20,"10-&lt;20",IF(E748&lt;25,"20-&lt;25",IF(E748&lt;35,"25-&lt;35","35+")))))</x:f>
        <x:v>35+</x:v>
      </x:c>
    </x:row>
    <x:row r="749">
      <x:c r="A749" t="str">
        <x:v>SYN0000748</x:v>
      </x:c>
      <x:c r="B749" s="12" t="n">
        <x:v>42295</x:v>
      </x:c>
      <x:c r="C749" s="18" t="n">
        <x:v>19250</x:v>
      </x:c>
      <x:c r="D749" s="18" t="n">
        <x:v>138115</x:v>
      </x:c>
      <x:c r="E749" s="18" t="n">
        <x:v>30.27</x:v>
      </x:c>
      <x:c r="F749" s="18" t="n">
        <x:v>9.29</x:v>
      </x:c>
      <x:c r="G749" t="n">
        <x:v>36</x:v>
      </x:c>
      <x:c r="H749" t="str">
        <x:v>C</x:v>
      </x:c>
      <x:c r="I749" t="str">
        <x:v>4-6 years</x:v>
      </x:c>
      <x:c r="J749" t="str">
        <x:v>MORTGAGE</x:v>
      </x:c>
      <x:c r="K749" t="str">
        <x:v>debt_consolidation</x:v>
      </x:c>
      <x:c r="L749" t="n">
        <x:v>0</x:v>
      </x:c>
      <x:c r="M749" t="n">
        <x:v>0</x:v>
      </x:c>
      <x:c r="N749" t="str">
        <x:v>Fully Paid</x:v>
      </x:c>
      <x:c r="O749" t="str">
        <x:f>IF(D749="","Unknown",IF(D749&lt;25000,"&lt;$25k",IF(D749&lt;50000,"$25k-$50k",IF(D749&lt;75000,"$50k-$75k",IF(D749&lt;100000,"$75k-$100k","$100k+")))))</x:f>
        <x:v>$100k+</x:v>
      </x:c>
      <x:c r="P749" t="str">
        <x:f>IF(E749="","Unknown",IF(E749&lt;10,"&lt;10",IF(E749&lt;20,"10-&lt;20",IF(E749&lt;25,"20-&lt;25",IF(E749&lt;35,"25-&lt;35","35+")))))</x:f>
        <x:v>25-&lt;35</x:v>
      </x:c>
    </x:row>
    <x:row r="750">
      <x:c r="A750" t="str">
        <x:v>SYN0000749</x:v>
      </x:c>
      <x:c r="B750" s="12" t="n">
        <x:v>42445</x:v>
      </x:c>
      <x:c r="C750" s="18" t="n">
        <x:v>12254</x:v>
      </x:c>
      <x:c r="D750" s="18" t="n">
        <x:v>31607</x:v>
      </x:c>
      <x:c r="E750" s="18" t="n">
        <x:v>21.35</x:v>
      </x:c>
      <x:c r="F750" s="18" t="n">
        <x:v>22.7</x:v>
      </x:c>
      <x:c r="G750" t="n">
        <x:v>60</x:v>
      </x:c>
      <x:c r="H750" t="str">
        <x:v>F</x:v>
      </x:c>
      <x:c r="I750" t="str">
        <x:v>10+ years</x:v>
      </x:c>
      <x:c r="J750" t="str">
        <x:v>RENT</x:v>
      </x:c>
      <x:c r="K750" t="str">
        <x:v>debt_consolidation</x:v>
      </x:c>
      <x:c r="L750" t="n">
        <x:v>1</x:v>
      </x:c>
      <x:c r="M750" t="n">
        <x:v>1</x:v>
      </x:c>
      <x:c r="N750" t="str">
        <x:v>Charged Off</x:v>
      </x:c>
      <x:c r="O750" t="str">
        <x:f>IF(D750="","Unknown",IF(D750&lt;25000,"&lt;$25k",IF(D750&lt;50000,"$25k-$50k",IF(D750&lt;75000,"$50k-$75k",IF(D750&lt;100000,"$75k-$100k","$100k+")))))</x:f>
        <x:v>$25k-$50k</x:v>
      </x:c>
      <x:c r="P750" t="str">
        <x:f>IF(E750="","Unknown",IF(E750&lt;10,"&lt;10",IF(E750&lt;20,"10-&lt;20",IF(E750&lt;25,"20-&lt;25",IF(E750&lt;35,"25-&lt;35","35+")))))</x:f>
        <x:v>20-&lt;25</x:v>
      </x:c>
    </x:row>
    <x:row r="751">
      <x:c r="A751" t="str">
        <x:v>SYN0000750</x:v>
      </x:c>
      <x:c r="B751" s="12" t="n">
        <x:v>42715</x:v>
      </x:c>
      <x:c r="C751" s="18" t="n">
        <x:v>27392</x:v>
      </x:c>
      <x:c r="D751" s="18" t="n">
        <x:v>80245</x:v>
      </x:c>
      <x:c r="E751" s="18" t="n">
        <x:v>12.47</x:v>
      </x:c>
      <x:c r="F751" s="18" t="n">
        <x:v>11.19</x:v>
      </x:c>
      <x:c r="G751" t="n">
        <x:v>36</x:v>
      </x:c>
      <x:c r="H751" t="str">
        <x:v>C</x:v>
      </x:c>
      <x:c r="I751" t="str">
        <x:v>4-6 years</x:v>
      </x:c>
      <x:c r="J751" t="str">
        <x:v>MORTGAGE</x:v>
      </x:c>
      <x:c r="K751" t="str">
        <x:v>major_purchase</x:v>
      </x:c>
      <x:c r="L751" t="n">
        <x:v>0</x:v>
      </x:c>
      <x:c r="M751" t="n">
        <x:v>1</x:v>
      </x:c>
      <x:c r="N751" t="str">
        <x:v>Charged Off</x:v>
      </x:c>
      <x:c r="O751" t="str">
        <x:f>IF(D751="","Unknown",IF(D751&lt;25000,"&lt;$25k",IF(D751&lt;50000,"$25k-$50k",IF(D751&lt;75000,"$50k-$75k",IF(D751&lt;100000,"$75k-$100k","$100k+")))))</x:f>
        <x:v>$75k-$100k</x:v>
      </x:c>
      <x:c r="P751" t="str">
        <x:f>IF(E751="","Unknown",IF(E751&lt;10,"&lt;10",IF(E751&lt;20,"10-&lt;20",IF(E751&lt;25,"20-&lt;25",IF(E751&lt;35,"25-&lt;35","35+")))))</x:f>
        <x:v>10-&lt;20</x:v>
      </x:c>
    </x:row>
    <x:row r="752">
      <x:c r="A752" t="str">
        <x:v>SYN0000751</x:v>
      </x:c>
      <x:c r="B752" s="12" t="n">
        <x:v>43405</x:v>
      </x:c>
      <x:c r="C752" s="18" t="n">
        <x:v>14429</x:v>
      </x:c>
      <x:c r="D752" s="18" t="n">
        <x:v>78638</x:v>
      </x:c>
      <x:c r="E752" s="18" t="n">
        <x:v>25.72</x:v>
      </x:c>
      <x:c r="F752" s="18" t="n">
        <x:v>6.7</x:v>
      </x:c>
      <x:c r="G752" t="n">
        <x:v>36</x:v>
      </x:c>
      <x:c r="H752" t="str">
        <x:v>A</x:v>
      </x:c>
      <x:c r="I752" t="str">
        <x:v>1-3 years</x:v>
      </x:c>
      <x:c r="J752" t="str">
        <x:v>OWN</x:v>
      </x:c>
      <x:c r="K752" t="str">
        <x:v>debt_consolidation</x:v>
      </x:c>
      <x:c r="L752" t="n">
        <x:v>0</x:v>
      </x:c>
      <x:c r="M752" t="n">
        <x:v>0</x:v>
      </x:c>
      <x:c r="N752" t="str">
        <x:v>Fully Paid</x:v>
      </x:c>
      <x:c r="O752" t="str">
        <x:f>IF(D752="","Unknown",IF(D752&lt;25000,"&lt;$25k",IF(D752&lt;50000,"$25k-$50k",IF(D752&lt;75000,"$50k-$75k",IF(D752&lt;100000,"$75k-$100k","$100k+")))))</x:f>
        <x:v>$75k-$100k</x:v>
      </x:c>
      <x:c r="P752" t="str">
        <x:f>IF(E752="","Unknown",IF(E752&lt;10,"&lt;10",IF(E752&lt;20,"10-&lt;20",IF(E752&lt;25,"20-&lt;25",IF(E752&lt;35,"25-&lt;35","35+")))))</x:f>
        <x:v>25-&lt;35</x:v>
      </x:c>
    </x:row>
    <x:row r="753">
      <x:c r="A753" t="str">
        <x:v>SYN0000752</x:v>
      </x:c>
      <x:c r="B753" s="12" t="n">
        <x:v>42925</x:v>
      </x:c>
      <x:c r="C753" s="18" t="n">
        <x:v>20027</x:v>
      </x:c>
      <x:c r="D753" s="18" t="n">
        <x:v>22529</x:v>
      </x:c>
      <x:c r="E753" s="18" t="n">
        <x:v>20.64</x:v>
      </x:c>
      <x:c r="F753" s="18" t="n">
        <x:v>11.04</x:v>
      </x:c>
      <x:c r="G753" t="n">
        <x:v>36</x:v>
      </x:c>
      <x:c r="H753" t="str">
        <x:v>C</x:v>
      </x:c>
      <x:c r="I753" t="str">
        <x:v>7-9 years</x:v>
      </x:c>
      <x:c r="J753" t="str">
        <x:v>MORTGAGE</x:v>
      </x:c>
      <x:c r="K753" t="str">
        <x:v>debt_consolidation</x:v>
      </x:c>
      <x:c r="L753" t="n">
        <x:v>0</x:v>
      </x:c>
      <x:c r="M753" t="n">
        <x:v>0</x:v>
      </x:c>
      <x:c r="N753" t="str">
        <x:v>Fully Paid</x:v>
      </x:c>
      <x:c r="O753" t="str">
        <x:f>IF(D753="","Unknown",IF(D753&lt;25000,"&lt;$25k",IF(D753&lt;50000,"$25k-$50k",IF(D753&lt;75000,"$50k-$75k",IF(D753&lt;100000,"$75k-$100k","$100k+")))))</x:f>
        <x:v>&lt;$25k</x:v>
      </x:c>
      <x:c r="P753" t="str">
        <x:f>IF(E753="","Unknown",IF(E753&lt;10,"&lt;10",IF(E753&lt;20,"10-&lt;20",IF(E753&lt;25,"20-&lt;25",IF(E753&lt;35,"25-&lt;35","35+")))))</x:f>
        <x:v>20-&lt;25</x:v>
      </x:c>
    </x:row>
    <x:row r="754">
      <x:c r="A754" t="str">
        <x:v>SYN0000753</x:v>
      </x:c>
      <x:c r="B754" s="12" t="n">
        <x:v>43345</x:v>
      </x:c>
      <x:c r="C754" s="18" t="n">
        <x:v>17434</x:v>
      </x:c>
      <x:c r="D754" s="18" t="n">
        <x:v>144239</x:v>
      </x:c>
      <x:c r="E754" s="18" t="n">
        <x:v>9.89</x:v>
      </x:c>
      <x:c r="F754" s="18" t="n">
        <x:v>13.92</x:v>
      </x:c>
      <x:c r="G754" t="n">
        <x:v>60</x:v>
      </x:c>
      <x:c r="H754" t="str">
        <x:v>D</x:v>
      </x:c>
      <x:c r="I754" t="str">
        <x:v>7-9 years</x:v>
      </x:c>
      <x:c r="J754" t="str">
        <x:v>MORTGAGE</x:v>
      </x:c>
      <x:c r="K754" t="str">
        <x:v>major_purchase</x:v>
      </x:c>
      <x:c r="L754" t="n">
        <x:v>1</x:v>
      </x:c>
      <x:c r="M754" t="n">
        <x:v>0</x:v>
      </x:c>
      <x:c r="N754" t="str">
        <x:v>Fully Paid</x:v>
      </x:c>
      <x:c r="O754" t="str">
        <x:f>IF(D754="","Unknown",IF(D754&lt;25000,"&lt;$25k",IF(D754&lt;50000,"$25k-$50k",IF(D754&lt;75000,"$50k-$75k",IF(D754&lt;100000,"$75k-$100k","$100k+")))))</x:f>
        <x:v>$100k+</x:v>
      </x:c>
      <x:c r="P754" t="str">
        <x:f>IF(E754="","Unknown",IF(E754&lt;10,"&lt;10",IF(E754&lt;20,"10-&lt;20",IF(E754&lt;25,"20-&lt;25",IF(E754&lt;35,"25-&lt;35","35+")))))</x:f>
        <x:v>&lt;10</x:v>
      </x:c>
    </x:row>
    <x:row r="755">
      <x:c r="A755" t="str">
        <x:v>SYN0000754</x:v>
      </x:c>
      <x:c r="B755" s="12" t="n">
        <x:v>41365</x:v>
      </x:c>
      <x:c r="C755" s="18" t="n">
        <x:v>13474</x:v>
      </x:c>
      <x:c r="D755" s="18" t="n">
        <x:v>73124</x:v>
      </x:c>
      <x:c r="E755" s="18" t="n">
        <x:v>9.04</x:v>
      </x:c>
      <x:c r="F755" s="18" t="n">
        <x:v>12.4</x:v>
      </x:c>
      <x:c r="G755" t="n">
        <x:v>36</x:v>
      </x:c>
      <x:c r="H755" t="str">
        <x:v>D</x:v>
      </x:c>
      <x:c r="I755" t="str">
        <x:v>4-6 years</x:v>
      </x:c>
      <x:c r="J755" t="str">
        <x:v>OWN</x:v>
      </x:c>
      <x:c r="K755" t="str">
        <x:v>major_purchase</x:v>
      </x:c>
      <x:c r="L755" t="n">
        <x:v>0</x:v>
      </x:c>
      <x:c r="M755" t="n">
        <x:v>1</x:v>
      </x:c>
      <x:c r="N755" t="str">
        <x:v>Charged Off</x:v>
      </x:c>
      <x:c r="O755" t="str">
        <x:f>IF(D755="","Unknown",IF(D755&lt;25000,"&lt;$25k",IF(D755&lt;50000,"$25k-$50k",IF(D755&lt;75000,"$50k-$75k",IF(D755&lt;100000,"$75k-$100k","$100k+")))))</x:f>
        <x:v>$50k-$75k</x:v>
      </x:c>
      <x:c r="P755" t="str">
        <x:f>IF(E755="","Unknown",IF(E755&lt;10,"&lt;10",IF(E755&lt;20,"10-&lt;20",IF(E755&lt;25,"20-&lt;25",IF(E755&lt;35,"25-&lt;35","35+")))))</x:f>
        <x:v>&lt;10</x:v>
      </x:c>
    </x:row>
    <x:row r="756">
      <x:c r="A756" t="str">
        <x:v>SYN0000755</x:v>
      </x:c>
      <x:c r="B756" s="12" t="n">
        <x:v>43105</x:v>
      </x:c>
      <x:c r="C756" s="18" t="n">
        <x:v>12106</x:v>
      </x:c>
      <x:c r="D756" s="18" t="n">
        <x:v>38544</x:v>
      </x:c>
      <x:c r="E756" s="18" t="n">
        <x:v>7.44</x:v>
      </x:c>
      <x:c r="F756" s="18" t="n">
        <x:v>8.2</x:v>
      </x:c>
      <x:c r="G756" t="n">
        <x:v>36</x:v>
      </x:c>
      <x:c r="H756" t="str">
        <x:v>B</x:v>
      </x:c>
      <x:c r="I756" t="str">
        <x:v>4-6 years</x:v>
      </x:c>
      <x:c r="J756" t="str">
        <x:v>MORTGAGE</x:v>
      </x:c>
      <x:c r="K756" t="str">
        <x:v>debt_consolidation</x:v>
      </x:c>
      <x:c r="L756" t="n">
        <x:v>1</x:v>
      </x:c>
      <x:c r="M756" t="n">
        <x:v>0</x:v>
      </x:c>
      <x:c r="N756" t="str">
        <x:v>Fully Paid</x:v>
      </x:c>
      <x:c r="O756" t="str">
        <x:f>IF(D756="","Unknown",IF(D756&lt;25000,"&lt;$25k",IF(D756&lt;50000,"$25k-$50k",IF(D756&lt;75000,"$50k-$75k",IF(D756&lt;100000,"$75k-$100k","$100k+")))))</x:f>
        <x:v>$25k-$50k</x:v>
      </x:c>
      <x:c r="P756" t="str">
        <x:f>IF(E756="","Unknown",IF(E756&lt;10,"&lt;10",IF(E756&lt;20,"10-&lt;20",IF(E756&lt;25,"20-&lt;25",IF(E756&lt;35,"25-&lt;35","35+")))))</x:f>
        <x:v>&lt;10</x:v>
      </x:c>
    </x:row>
    <x:row r="757">
      <x:c r="A757" t="str">
        <x:v>SYN0000756</x:v>
      </x:c>
      <x:c r="B757" s="12" t="n">
        <x:v>43045</x:v>
      </x:c>
      <x:c r="C757" s="18" t="n">
        <x:v>9406</x:v>
      </x:c>
      <x:c r="D757" s="18" t="n">
        <x:v>55447</x:v>
      </x:c>
      <x:c r="E757" s="18" t="n">
        <x:v>21.75</x:v>
      </x:c>
      <x:c r="F757" s="18" t="n">
        <x:v>14.16</x:v>
      </x:c>
      <x:c r="G757" t="n">
        <x:v>36</x:v>
      </x:c>
      <x:c r="H757" t="str">
        <x:v>C</x:v>
      </x:c>
      <x:c r="I757" t="str">
        <x:v>1-3 years</x:v>
      </x:c>
      <x:c r="J757" t="str">
        <x:v>OWN</x:v>
      </x:c>
      <x:c r="K757" t="str">
        <x:v>other</x:v>
      </x:c>
      <x:c r="L757" t="n">
        <x:v>0</x:v>
      </x:c>
      <x:c r="M757" t="n">
        <x:v>1</x:v>
      </x:c>
      <x:c r="N757" t="str">
        <x:v>Charged Off</x:v>
      </x:c>
      <x:c r="O757" t="str">
        <x:f>IF(D757="","Unknown",IF(D757&lt;25000,"&lt;$25k",IF(D757&lt;50000,"$25k-$50k",IF(D757&lt;75000,"$50k-$75k",IF(D757&lt;100000,"$75k-$100k","$100k+")))))</x:f>
        <x:v>$50k-$75k</x:v>
      </x:c>
      <x:c r="P757" t="str">
        <x:f>IF(E757="","Unknown",IF(E757&lt;10,"&lt;10",IF(E757&lt;20,"10-&lt;20",IF(E757&lt;25,"20-&lt;25",IF(E757&lt;35,"25-&lt;35","35+")))))</x:f>
        <x:v>20-&lt;25</x:v>
      </x:c>
    </x:row>
    <x:row r="758">
      <x:c r="A758" t="str">
        <x:v>SYN0000757</x:v>
      </x:c>
      <x:c r="B758" s="12" t="n">
        <x:v>41515</x:v>
      </x:c>
      <x:c r="C758" s="18" t="n">
        <x:v>7737</x:v>
      </x:c>
      <x:c r="D758" s="18" t="n">
        <x:v>19410</x:v>
      </x:c>
      <x:c r="E758" s="18" t="n">
        <x:v>30.58</x:v>
      </x:c>
      <x:c r="F758" s="18" t="n">
        <x:v>16.41</x:v>
      </x:c>
      <x:c r="G758" t="n">
        <x:v>60</x:v>
      </x:c>
      <x:c r="H758" t="str">
        <x:v>D</x:v>
      </x:c>
      <x:c r="I758" t="str">
        <x:v>&lt;1 year</x:v>
      </x:c>
      <x:c r="J758" t="str">
        <x:v>MORTGAGE</x:v>
      </x:c>
      <x:c r="K758" t="str">
        <x:v>debt_consolidation</x:v>
      </x:c>
      <x:c r="L758" t="n">
        <x:v>0</x:v>
      </x:c>
      <x:c r="M758" t="n">
        <x:v>0</x:v>
      </x:c>
      <x:c r="N758" t="str">
        <x:v>Fully Paid</x:v>
      </x:c>
      <x:c r="O758" t="str">
        <x:f>IF(D758="","Unknown",IF(D758&lt;25000,"&lt;$25k",IF(D758&lt;50000,"$25k-$50k",IF(D758&lt;75000,"$50k-$75k",IF(D758&lt;100000,"$75k-$100k","$100k+")))))</x:f>
        <x:v>&lt;$25k</x:v>
      </x:c>
      <x:c r="P758" t="str">
        <x:f>IF(E758="","Unknown",IF(E758&lt;10,"&lt;10",IF(E758&lt;20,"10-&lt;20",IF(E758&lt;25,"20-&lt;25",IF(E758&lt;35,"25-&lt;35","35+")))))</x:f>
        <x:v>25-&lt;35</x:v>
      </x:c>
    </x:row>
    <x:row r="759">
      <x:c r="A759" t="str">
        <x:v>SYN0000758</x:v>
      </x:c>
      <x:c r="B759" s="12" t="n">
        <x:v>42205</x:v>
      </x:c>
      <x:c r="C759" s="18" t="n">
        <x:v>8097</x:v>
      </x:c>
      <x:c r="D759" s="18" t="n">
        <x:v>19495</x:v>
      </x:c>
      <x:c r="E759" s="18" t="n">
        <x:v>32.78</x:v>
      </x:c>
      <x:c r="F759" s="18" t="n">
        <x:v>16.64</x:v>
      </x:c>
      <x:c r="G759" t="n">
        <x:v>36</x:v>
      </x:c>
      <x:c r="H759" t="str">
        <x:v>D</x:v>
      </x:c>
      <x:c r="I759" t="str">
        <x:v>10+ years</x:v>
      </x:c>
      <x:c r="J759" t="str">
        <x:v>OWN</x:v>
      </x:c>
      <x:c r="K759" t="str">
        <x:v>other</x:v>
      </x:c>
      <x:c r="L759" t="n">
        <x:v>1</x:v>
      </x:c>
      <x:c r="M759" t="n">
        <x:v>0</x:v>
      </x:c>
      <x:c r="N759" t="str">
        <x:v>Fully Paid</x:v>
      </x:c>
      <x:c r="O759" t="str">
        <x:f>IF(D759="","Unknown",IF(D759&lt;25000,"&lt;$25k",IF(D759&lt;50000,"$25k-$50k",IF(D759&lt;75000,"$50k-$75k",IF(D759&lt;100000,"$75k-$100k","$100k+")))))</x:f>
        <x:v>&lt;$25k</x:v>
      </x:c>
      <x:c r="P759" t="str">
        <x:f>IF(E759="","Unknown",IF(E759&lt;10,"&lt;10",IF(E759&lt;20,"10-&lt;20",IF(E759&lt;25,"20-&lt;25",IF(E759&lt;35,"25-&lt;35","35+")))))</x:f>
        <x:v>25-&lt;35</x:v>
      </x:c>
    </x:row>
    <x:row r="760">
      <x:c r="A760" t="str">
        <x:v>SYN0000759</x:v>
      </x:c>
      <x:c r="B760" s="12" t="n">
        <x:v>42865</x:v>
      </x:c>
      <x:c r="C760" s="18" t="n">
        <x:v>9428</x:v>
      </x:c>
      <x:c r="D760" s="18" t="n">
        <x:v>37169</x:v>
      </x:c>
      <x:c r="E760" s="18" t="n">
        <x:v>21.15</x:v>
      </x:c>
      <x:c r="F760" s="18" t="n">
        <x:v>11.28</x:v>
      </x:c>
      <x:c r="G760" t="n">
        <x:v>60</x:v>
      </x:c>
      <x:c r="H760" t="str">
        <x:v>C</x:v>
      </x:c>
      <x:c r="I760" t="str">
        <x:v>4-6 years</x:v>
      </x:c>
      <x:c r="J760" t="str">
        <x:v>RENT</x:v>
      </x:c>
      <x:c r="K760" t="str">
        <x:v>credit_card</x:v>
      </x:c>
      <x:c r="L760" t="n">
        <x:v>1</x:v>
      </x:c>
      <x:c r="M760" t="n">
        <x:v>0</x:v>
      </x:c>
      <x:c r="N760" t="str">
        <x:v>Fully Paid</x:v>
      </x:c>
      <x:c r="O760" t="str">
        <x:f>IF(D760="","Unknown",IF(D760&lt;25000,"&lt;$25k",IF(D760&lt;50000,"$25k-$50k",IF(D760&lt;75000,"$50k-$75k",IF(D760&lt;100000,"$75k-$100k","$100k+")))))</x:f>
        <x:v>$25k-$50k</x:v>
      </x:c>
      <x:c r="P760" t="str">
        <x:f>IF(E760="","Unknown",IF(E760&lt;10,"&lt;10",IF(E760&lt;20,"10-&lt;20",IF(E760&lt;25,"20-&lt;25",IF(E760&lt;35,"25-&lt;35","35+")))))</x:f>
        <x:v>20-&lt;25</x:v>
      </x:c>
    </x:row>
    <x:row r="761">
      <x:c r="A761" t="str">
        <x:v>SYN0000760</x:v>
      </x:c>
      <x:c r="B761" s="12" t="n">
        <x:v>41395</x:v>
      </x:c>
      <x:c r="C761" s="18" t="n">
        <x:v>15360</x:v>
      </x:c>
      <x:c r="D761" s="18" t="n">
        <x:v>25377</x:v>
      </x:c>
      <x:c r="E761" s="18" t="n">
        <x:v>17.35</x:v>
      </x:c>
      <x:c r="F761" s="18" t="n">
        <x:v>14.27</x:v>
      </x:c>
      <x:c r="G761" t="n">
        <x:v>36</x:v>
      </x:c>
      <x:c r="H761" t="str">
        <x:v>C</x:v>
      </x:c>
      <x:c r="I761" t="str">
        <x:v>10+ years</x:v>
      </x:c>
      <x:c r="J761" t="str">
        <x:v>RENT</x:v>
      </x:c>
      <x:c r="K761" t="str">
        <x:v>debt_consolidation</x:v>
      </x:c>
      <x:c r="L761" t="n">
        <x:v>0</x:v>
      </x:c>
      <x:c r="M761" t="n">
        <x:v>0</x:v>
      </x:c>
      <x:c r="N761" t="str">
        <x:v>Fully Paid</x:v>
      </x:c>
      <x:c r="O761" t="str">
        <x:f>IF(D761="","Unknown",IF(D761&lt;25000,"&lt;$25k",IF(D761&lt;50000,"$25k-$50k",IF(D761&lt;75000,"$50k-$75k",IF(D761&lt;100000,"$75k-$100k","$100k+")))))</x:f>
        <x:v>$25k-$50k</x:v>
      </x:c>
      <x:c r="P761" t="str">
        <x:f>IF(E761="","Unknown",IF(E761&lt;10,"&lt;10",IF(E761&lt;20,"10-&lt;20",IF(E761&lt;25,"20-&lt;25",IF(E761&lt;35,"25-&lt;35","35+")))))</x:f>
        <x:v>10-&lt;20</x:v>
      </x:c>
    </x:row>
    <x:row r="762">
      <x:c r="A762" t="str">
        <x:v>SYN0000761</x:v>
      </x:c>
      <x:c r="B762" s="12" t="n">
        <x:v>42625</x:v>
      </x:c>
      <x:c r="C762" s="18" t="n">
        <x:v>24006</x:v>
      </x:c>
      <x:c r="D762" s="18" t="n">
        <x:v>47837</x:v>
      </x:c>
      <x:c r="E762" s="18" t="n">
        <x:v>26.54</x:v>
      </x:c>
      <x:c r="F762" s="18" t="n">
        <x:v>7.92</x:v>
      </x:c>
      <x:c r="G762" t="n">
        <x:v>36</x:v>
      </x:c>
      <x:c r="H762" t="str">
        <x:v>B</x:v>
      </x:c>
      <x:c r="I762" t="str">
        <x:v>10+ years</x:v>
      </x:c>
      <x:c r="J762" t="str">
        <x:v>RENT</x:v>
      </x:c>
      <x:c r="K762" t="str">
        <x:v>credit_card</x:v>
      </x:c>
      <x:c r="L762" t="n">
        <x:v>0</x:v>
      </x:c>
      <x:c r="M762" t="n">
        <x:v>0</x:v>
      </x:c>
      <x:c r="N762" t="str">
        <x:v>Fully Paid</x:v>
      </x:c>
      <x:c r="O762" t="str">
        <x:f>IF(D762="","Unknown",IF(D762&lt;25000,"&lt;$25k",IF(D762&lt;50000,"$25k-$50k",IF(D762&lt;75000,"$50k-$75k",IF(D762&lt;100000,"$75k-$100k","$100k+")))))</x:f>
        <x:v>$25k-$50k</x:v>
      </x:c>
      <x:c r="P762" t="str">
        <x:f>IF(E762="","Unknown",IF(E762&lt;10,"&lt;10",IF(E762&lt;20,"10-&lt;20",IF(E762&lt;25,"20-&lt;25",IF(E762&lt;35,"25-&lt;35","35+")))))</x:f>
        <x:v>25-&lt;35</x:v>
      </x:c>
    </x:row>
    <x:row r="763">
      <x:c r="A763" t="str">
        <x:v>SYN0000762</x:v>
      </x:c>
      <x:c r="B763" s="12" t="n">
        <x:v>41455</x:v>
      </x:c>
      <x:c r="C763" s="18" t="n">
        <x:v>12743</x:v>
      </x:c>
      <x:c r="D763" s="18" t="n">
        <x:v>108139</x:v>
      </x:c>
      <x:c r="E763" s="18" t="n">
        <x:v>26.8</x:v>
      </x:c>
      <x:c r="F763" s="18" t="n">
        <x:v>8.94</x:v>
      </x:c>
      <x:c r="G763" t="n">
        <x:v>36</x:v>
      </x:c>
      <x:c r="H763" t="str">
        <x:v>B</x:v>
      </x:c>
      <x:c r="I763" t="str">
        <x:v>&lt;1 year</x:v>
      </x:c>
      <x:c r="J763" t="str">
        <x:v>MORTGAGE</x:v>
      </x:c>
      <x:c r="K763" t="str">
        <x:v>medical</x:v>
      </x:c>
      <x:c r="L763" t="n">
        <x:v>0</x:v>
      </x:c>
      <x:c r="M763" t="n">
        <x:v>0</x:v>
      </x:c>
      <x:c r="N763" t="str">
        <x:v>Fully Paid</x:v>
      </x:c>
      <x:c r="O763" t="str">
        <x:f>IF(D763="","Unknown",IF(D763&lt;25000,"&lt;$25k",IF(D763&lt;50000,"$25k-$50k",IF(D763&lt;75000,"$50k-$75k",IF(D763&lt;100000,"$75k-$100k","$100k+")))))</x:f>
        <x:v>$100k+</x:v>
      </x:c>
      <x:c r="P763" t="str">
        <x:f>IF(E763="","Unknown",IF(E763&lt;10,"&lt;10",IF(E763&lt;20,"10-&lt;20",IF(E763&lt;25,"20-&lt;25",IF(E763&lt;35,"25-&lt;35","35+")))))</x:f>
        <x:v>25-&lt;35</x:v>
      </x:c>
    </x:row>
    <x:row r="764">
      <x:c r="A764" t="str">
        <x:v>SYN0000763</x:v>
      </x:c>
      <x:c r="B764" s="12" t="n">
        <x:v>43375</x:v>
      </x:c>
      <x:c r="C764" s="18" t="n">
        <x:v>19030</x:v>
      </x:c>
      <x:c r="D764" s="18" t="n">
        <x:v>33082</x:v>
      </x:c>
      <x:c r="E764" s="18" t="n">
        <x:v>1.66</x:v>
      </x:c>
      <x:c r="F764" s="18" t="n">
        <x:v>7.55</x:v>
      </x:c>
      <x:c r="G764" t="n">
        <x:v>60</x:v>
      </x:c>
      <x:c r="H764" t="str">
        <x:v>A</x:v>
      </x:c>
      <x:c r="I764" t="str">
        <x:v>7-9 years</x:v>
      </x:c>
      <x:c r="J764" t="str">
        <x:v>OWN</x:v>
      </x:c>
      <x:c r="K764" t="str">
        <x:v>major_purchase</x:v>
      </x:c>
      <x:c r="L764" t="n">
        <x:v>0</x:v>
      </x:c>
      <x:c r="M764" t="n">
        <x:v>0</x:v>
      </x:c>
      <x:c r="N764" t="str">
        <x:v>Fully Paid</x:v>
      </x:c>
      <x:c r="O764" t="str">
        <x:f>IF(D764="","Unknown",IF(D764&lt;25000,"&lt;$25k",IF(D764&lt;50000,"$25k-$50k",IF(D764&lt;75000,"$50k-$75k",IF(D764&lt;100000,"$75k-$100k","$100k+")))))</x:f>
        <x:v>$25k-$50k</x:v>
      </x:c>
      <x:c r="P764" t="str">
        <x:f>IF(E764="","Unknown",IF(E764&lt;10,"&lt;10",IF(E764&lt;20,"10-&lt;20",IF(E764&lt;25,"20-&lt;25",IF(E764&lt;35,"25-&lt;35","35+")))))</x:f>
        <x:v>&lt;10</x:v>
      </x:c>
    </x:row>
    <x:row r="765">
      <x:c r="A765" t="str">
        <x:v>SYN0000764</x:v>
      </x:c>
      <x:c r="B765" s="12" t="n">
        <x:v>42175</x:v>
      </x:c>
      <x:c r="C765" s="18" t="n">
        <x:v>8344</x:v>
      </x:c>
      <x:c r="D765" s="18" t="n">
        <x:v>60725</x:v>
      </x:c>
      <x:c r="E765" s="18" t="n">
        <x:v>26.64</x:v>
      </x:c>
      <x:c r="F765" s="18" t="n">
        <x:v>14.82</x:v>
      </x:c>
      <x:c r="G765" t="n">
        <x:v>36</x:v>
      </x:c>
      <x:c r="H765" t="str">
        <x:v>D</x:v>
      </x:c>
      <x:c r="I765" t="str">
        <x:v>&lt;1 year</x:v>
      </x:c>
      <x:c r="J765" t="str">
        <x:v>MORTGAGE</x:v>
      </x:c>
      <x:c r="K765" t="str">
        <x:v>debt_consolidation</x:v>
      </x:c>
      <x:c r="L765" t="n">
        <x:v>0</x:v>
      </x:c>
      <x:c r="M765" t="n">
        <x:v>0</x:v>
      </x:c>
      <x:c r="N765" t="str">
        <x:v>Fully Paid</x:v>
      </x:c>
      <x:c r="O765" t="str">
        <x:f>IF(D765="","Unknown",IF(D765&lt;25000,"&lt;$25k",IF(D765&lt;50000,"$25k-$50k",IF(D765&lt;75000,"$50k-$75k",IF(D765&lt;100000,"$75k-$100k","$100k+")))))</x:f>
        <x:v>$50k-$75k</x:v>
      </x:c>
      <x:c r="P765" t="str">
        <x:f>IF(E765="","Unknown",IF(E765&lt;10,"&lt;10",IF(E765&lt;20,"10-&lt;20",IF(E765&lt;25,"20-&lt;25",IF(E765&lt;35,"25-&lt;35","35+")))))</x:f>
        <x:v>25-&lt;35</x:v>
      </x:c>
    </x:row>
    <x:row r="766">
      <x:c r="A766" t="str">
        <x:v>SYN0000765</x:v>
      </x:c>
      <x:c r="B766" s="12" t="n">
        <x:v>42355</x:v>
      </x:c>
      <x:c r="C766" s="18" t="n">
        <x:v>9900</x:v>
      </x:c>
      <x:c r="D766" s="18" t="n">
        <x:v>68334</x:v>
      </x:c>
      <x:c r="E766" s="18" t="n">
        <x:v>7.77</x:v>
      </x:c>
      <x:c r="F766" s="18" t="n">
        <x:v>12.53</x:v>
      </x:c>
      <x:c r="G766" t="n">
        <x:v>36</x:v>
      </x:c>
      <x:c r="H766" t="str">
        <x:v>C</x:v>
      </x:c>
      <x:c r="I766" t="str">
        <x:v>1-3 years</x:v>
      </x:c>
      <x:c r="J766" t="str">
        <x:v>OWN</x:v>
      </x:c>
      <x:c r="K766" t="str">
        <x:v>major_purchase</x:v>
      </x:c>
      <x:c r="L766" t="n">
        <x:v>1</x:v>
      </x:c>
      <x:c r="M766" t="n">
        <x:v>0</x:v>
      </x:c>
      <x:c r="N766" t="str">
        <x:v>Fully Paid</x:v>
      </x:c>
      <x:c r="O766" t="str">
        <x:f>IF(D766="","Unknown",IF(D766&lt;25000,"&lt;$25k",IF(D766&lt;50000,"$25k-$50k",IF(D766&lt;75000,"$50k-$75k",IF(D766&lt;100000,"$75k-$100k","$100k+")))))</x:f>
        <x:v>$50k-$75k</x:v>
      </x:c>
      <x:c r="P766" t="str">
        <x:f>IF(E766="","Unknown",IF(E766&lt;10,"&lt;10",IF(E766&lt;20,"10-&lt;20",IF(E766&lt;25,"20-&lt;25",IF(E766&lt;35,"25-&lt;35","35+")))))</x:f>
        <x:v>&lt;10</x:v>
      </x:c>
    </x:row>
    <x:row r="767">
      <x:c r="A767" t="str">
        <x:v>SYN0000766</x:v>
      </x:c>
      <x:c r="B767" s="12" t="n">
        <x:v>42655</x:v>
      </x:c>
      <x:c r="C767" s="18" t="n">
        <x:v>28090</x:v>
      </x:c>
      <x:c r="D767" s="18" t="n">
        <x:v>98601</x:v>
      </x:c>
      <x:c r="E767" s="18" t="n">
        <x:v>20.92</x:v>
      </x:c>
      <x:c r="F767" s="18" t="n">
        <x:v>8.01</x:v>
      </x:c>
      <x:c r="G767" t="n">
        <x:v>36</x:v>
      </x:c>
      <x:c r="H767" t="str">
        <x:v>B</x:v>
      </x:c>
      <x:c r="I767" t="str">
        <x:v>10+ years</x:v>
      </x:c>
      <x:c r="J767" t="str">
        <x:v>MORTGAGE</x:v>
      </x:c>
      <x:c r="K767" t="str">
        <x:v>debt_consolidation</x:v>
      </x:c>
      <x:c r="L767" t="n">
        <x:v>0</x:v>
      </x:c>
      <x:c r="M767" t="n">
        <x:v>0</x:v>
      </x:c>
      <x:c r="N767" t="str">
        <x:v>Fully Paid</x:v>
      </x:c>
      <x:c r="O767" t="str">
        <x:f>IF(D767="","Unknown",IF(D767&lt;25000,"&lt;$25k",IF(D767&lt;50000,"$25k-$50k",IF(D767&lt;75000,"$50k-$75k",IF(D767&lt;100000,"$75k-$100k","$100k+")))))</x:f>
        <x:v>$75k-$100k</x:v>
      </x:c>
      <x:c r="P767" t="str">
        <x:f>IF(E767="","Unknown",IF(E767&lt;10,"&lt;10",IF(E767&lt;20,"10-&lt;20",IF(E767&lt;25,"20-&lt;25",IF(E767&lt;35,"25-&lt;35","35+")))))</x:f>
        <x:v>20-&lt;25</x:v>
      </x:c>
    </x:row>
    <x:row r="768">
      <x:c r="A768" t="str">
        <x:v>SYN0000767</x:v>
      </x:c>
      <x:c r="B768" s="12" t="n">
        <x:v>41965</x:v>
      </x:c>
      <x:c r="C768" s="18" t="n">
        <x:v>19679</x:v>
      </x:c>
      <x:c r="D768" s="18" t="n">
        <x:v>94672</x:v>
      </x:c>
      <x:c r="E768" s="18" t="n">
        <x:v>13.49</x:v>
      </x:c>
      <x:c r="F768" s="18" t="n">
        <x:v>14.32</x:v>
      </x:c>
      <x:c r="G768" t="n">
        <x:v>36</x:v>
      </x:c>
      <x:c r="H768" t="str">
        <x:v>D</x:v>
      </x:c>
      <x:c r="I768" t="str">
        <x:v>10+ years</x:v>
      </x:c>
      <x:c r="J768" t="str">
        <x:v>RENT</x:v>
      </x:c>
      <x:c r="K768" t="str">
        <x:v>major_purchase</x:v>
      </x:c>
      <x:c r="L768" t="n">
        <x:v>0</x:v>
      </x:c>
      <x:c r="M768" t="n">
        <x:v>0</x:v>
      </x:c>
      <x:c r="N768" t="str">
        <x:v>Fully Paid</x:v>
      </x:c>
      <x:c r="O768" t="str">
        <x:f>IF(D768="","Unknown",IF(D768&lt;25000,"&lt;$25k",IF(D768&lt;50000,"$25k-$50k",IF(D768&lt;75000,"$50k-$75k",IF(D768&lt;100000,"$75k-$100k","$100k+")))))</x:f>
        <x:v>$75k-$100k</x:v>
      </x:c>
      <x:c r="P768" t="str">
        <x:f>IF(E768="","Unknown",IF(E768&lt;10,"&lt;10",IF(E768&lt;20,"10-&lt;20",IF(E768&lt;25,"20-&lt;25",IF(E768&lt;35,"25-&lt;35","35+")))))</x:f>
        <x:v>10-&lt;20</x:v>
      </x:c>
    </x:row>
    <x:row r="769">
      <x:c r="A769" t="str">
        <x:v>SYN0000768</x:v>
      </x:c>
      <x:c r="B769" s="12" t="n">
        <x:v>42505</x:v>
      </x:c>
      <x:c r="C769" s="18" t="n">
        <x:v>9051</x:v>
      </x:c>
      <x:c r="D769" s="18" t="n">
        <x:v>82809</x:v>
      </x:c>
      <x:c r="E769" s="18" t="n">
        <x:v>31.84</x:v>
      </x:c>
      <x:c r="F769" s="18" t="n">
        <x:v>7.88</x:v>
      </x:c>
      <x:c r="G769" t="n">
        <x:v>36</x:v>
      </x:c>
      <x:c r="H769" t="str">
        <x:v>A</x:v>
      </x:c>
      <x:c r="I769" t="str">
        <x:v>10+ years</x:v>
      </x:c>
      <x:c r="J769" t="str">
        <x:v>MORTGAGE</x:v>
      </x:c>
      <x:c r="K769" t="str">
        <x:v>other</x:v>
      </x:c>
      <x:c r="L769" t="n">
        <x:v>0</x:v>
      </x:c>
      <x:c r="M769" t="n">
        <x:v>0</x:v>
      </x:c>
      <x:c r="N769" t="str">
        <x:v>Fully Paid</x:v>
      </x:c>
      <x:c r="O769" t="str">
        <x:f>IF(D769="","Unknown",IF(D769&lt;25000,"&lt;$25k",IF(D769&lt;50000,"$25k-$50k",IF(D769&lt;75000,"$50k-$75k",IF(D769&lt;100000,"$75k-$100k","$100k+")))))</x:f>
        <x:v>$75k-$100k</x:v>
      </x:c>
      <x:c r="P769" t="str">
        <x:f>IF(E769="","Unknown",IF(E769&lt;10,"&lt;10",IF(E769&lt;20,"10-&lt;20",IF(E769&lt;25,"20-&lt;25",IF(E769&lt;35,"25-&lt;35","35+")))))</x:f>
        <x:v>25-&lt;35</x:v>
      </x:c>
    </x:row>
    <x:row r="770">
      <x:c r="A770" t="str">
        <x:v>SYN0000769</x:v>
      </x:c>
      <x:c r="B770" s="12" t="n">
        <x:v>41365</x:v>
      </x:c>
      <x:c r="C770" s="18" t="n">
        <x:v>10538</x:v>
      </x:c>
      <x:c r="D770" s="18" t="n">
        <x:v>28035</x:v>
      </x:c>
      <x:c r="E770" s="18" t="n">
        <x:v>19.66</x:v>
      </x:c>
      <x:c r="F770" s="18" t="n">
        <x:v>11.99</x:v>
      </x:c>
      <x:c r="G770" t="n">
        <x:v>36</x:v>
      </x:c>
      <x:c r="H770" t="str">
        <x:v>D</x:v>
      </x:c>
      <x:c r="I770" t="str">
        <x:v>4-6 years</x:v>
      </x:c>
      <x:c r="J770" t="str">
        <x:v>MORTGAGE</x:v>
      </x:c>
      <x:c r="K770" t="str">
        <x:v>debt_consolidation</x:v>
      </x:c>
      <x:c r="L770" t="n">
        <x:v>0</x:v>
      </x:c>
      <x:c r="M770" t="n">
        <x:v>0</x:v>
      </x:c>
      <x:c r="N770" t="str">
        <x:v>Fully Paid</x:v>
      </x:c>
      <x:c r="O770" t="str">
        <x:f>IF(D770="","Unknown",IF(D770&lt;25000,"&lt;$25k",IF(D770&lt;50000,"$25k-$50k",IF(D770&lt;75000,"$50k-$75k",IF(D770&lt;100000,"$75k-$100k","$100k+")))))</x:f>
        <x:v>$25k-$50k</x:v>
      </x:c>
      <x:c r="P770" t="str">
        <x:f>IF(E770="","Unknown",IF(E770&lt;10,"&lt;10",IF(E770&lt;20,"10-&lt;20",IF(E770&lt;25,"20-&lt;25",IF(E770&lt;35,"25-&lt;35","35+")))))</x:f>
        <x:v>10-&lt;20</x:v>
      </x:c>
    </x:row>
    <x:row r="771">
      <x:c r="A771" t="str">
        <x:v>SYN0000770</x:v>
      </x:c>
      <x:c r="B771" s="12" t="n">
        <x:v>41905</x:v>
      </x:c>
      <x:c r="C771" s="18" t="n">
        <x:v>8148</x:v>
      </x:c>
      <x:c r="D771" s="18" t="n">
        <x:v>30651</x:v>
      </x:c>
      <x:c r="E771" s="18" t="n">
        <x:v>22.84</x:v>
      </x:c>
      <x:c r="F771" s="18" t="n">
        <x:v>7.52</x:v>
      </x:c>
      <x:c r="G771" t="n">
        <x:v>36</x:v>
      </x:c>
      <x:c r="H771" t="str">
        <x:v>A</x:v>
      </x:c>
      <x:c r="I771" t="str">
        <x:v>&lt;1 year</x:v>
      </x:c>
      <x:c r="J771" t="str">
        <x:v>RENT</x:v>
      </x:c>
      <x:c r="K771" t="str">
        <x:v>debt_consolidation</x:v>
      </x:c>
      <x:c r="L771" t="n">
        <x:v>0</x:v>
      </x:c>
      <x:c r="M771" t="n">
        <x:v>1</x:v>
      </x:c>
      <x:c r="N771" t="str">
        <x:v>Charged Off</x:v>
      </x:c>
      <x:c r="O771" t="str">
        <x:f>IF(D771="","Unknown",IF(D771&lt;25000,"&lt;$25k",IF(D771&lt;50000,"$25k-$50k",IF(D771&lt;75000,"$50k-$75k",IF(D771&lt;100000,"$75k-$100k","$100k+")))))</x:f>
        <x:v>$25k-$50k</x:v>
      </x:c>
      <x:c r="P771" t="str">
        <x:f>IF(E771="","Unknown",IF(E771&lt;10,"&lt;10",IF(E771&lt;20,"10-&lt;20",IF(E771&lt;25,"20-&lt;25",IF(E771&lt;35,"25-&lt;35","35+")))))</x:f>
        <x:v>20-&lt;25</x:v>
      </x:c>
    </x:row>
    <x:row r="772">
      <x:c r="A772" t="str">
        <x:v>SYN0000771</x:v>
      </x:c>
      <x:c r="B772" s="12" t="n">
        <x:v>42655</x:v>
      </x:c>
      <x:c r="C772" s="18" t="n">
        <x:v>15104</x:v>
      </x:c>
      <x:c r="D772" s="18" t="n">
        <x:v>42809</x:v>
      </x:c>
      <x:c r="E772" s="18" t="n">
        <x:v>32.86</x:v>
      </x:c>
      <x:c r="F772" s="18" t="n">
        <x:v>11.81</x:v>
      </x:c>
      <x:c r="G772" t="n">
        <x:v>60</x:v>
      </x:c>
      <x:c r="H772" t="str">
        <x:v>B</x:v>
      </x:c>
      <x:c r="I772" t="str">
        <x:v>10+ years</x:v>
      </x:c>
      <x:c r="J772" t="str">
        <x:v>MORTGAGE</x:v>
      </x:c>
      <x:c r="K772" t="str">
        <x:v>debt_consolidation</x:v>
      </x:c>
      <x:c r="L772" t="n">
        <x:v>1</x:v>
      </x:c>
      <x:c r="M772" t="n">
        <x:v>0</x:v>
      </x:c>
      <x:c r="N772" t="str">
        <x:v>Fully Paid</x:v>
      </x:c>
      <x:c r="O772" t="str">
        <x:f>IF(D772="","Unknown",IF(D772&lt;25000,"&lt;$25k",IF(D772&lt;50000,"$25k-$50k",IF(D772&lt;75000,"$50k-$75k",IF(D772&lt;100000,"$75k-$100k","$100k+")))))</x:f>
        <x:v>$25k-$50k</x:v>
      </x:c>
      <x:c r="P772" t="str">
        <x:f>IF(E772="","Unknown",IF(E772&lt;10,"&lt;10",IF(E772&lt;20,"10-&lt;20",IF(E772&lt;25,"20-&lt;25",IF(E772&lt;35,"25-&lt;35","35+")))))</x:f>
        <x:v>25-&lt;35</x:v>
      </x:c>
    </x:row>
    <x:row r="773">
      <x:c r="A773" t="str">
        <x:v>SYN0000772</x:v>
      </x:c>
      <x:c r="B773" s="12" t="n">
        <x:v>41425</x:v>
      </x:c>
      <x:c r="C773" s="18" t="n">
        <x:v>13557</x:v>
      </x:c>
      <x:c r="D773" s="18" t="n">
        <x:v>15012</x:v>
      </x:c>
      <x:c r="E773" s="18" t="n">
        <x:v>18.95</x:v>
      </x:c>
      <x:c r="F773" s="18" t="n">
        <x:v>19.41</x:v>
      </x:c>
      <x:c r="G773" t="n">
        <x:v>60</x:v>
      </x:c>
      <x:c r="H773" t="str">
        <x:v>E</x:v>
      </x:c>
      <x:c r="I773" t="str">
        <x:v>1-3 years</x:v>
      </x:c>
      <x:c r="J773" t="str">
        <x:v>MORTGAGE</x:v>
      </x:c>
      <x:c r="K773" t="str">
        <x:v>debt_consolidation</x:v>
      </x:c>
      <x:c r="L773" t="n">
        <x:v>1</x:v>
      </x:c>
      <x:c r="M773" t="n">
        <x:v>0</x:v>
      </x:c>
      <x:c r="N773" t="str">
        <x:v>Fully Paid</x:v>
      </x:c>
      <x:c r="O773" t="str">
        <x:f>IF(D773="","Unknown",IF(D773&lt;25000,"&lt;$25k",IF(D773&lt;50000,"$25k-$50k",IF(D773&lt;75000,"$50k-$75k",IF(D773&lt;100000,"$75k-$100k","$100k+")))))</x:f>
        <x:v>&lt;$25k</x:v>
      </x:c>
      <x:c r="P773" t="str">
        <x:f>IF(E773="","Unknown",IF(E773&lt;10,"&lt;10",IF(E773&lt;20,"10-&lt;20",IF(E773&lt;25,"20-&lt;25",IF(E773&lt;35,"25-&lt;35","35+")))))</x:f>
        <x:v>10-&lt;20</x:v>
      </x:c>
    </x:row>
    <x:row r="774">
      <x:c r="A774" t="str">
        <x:v>SYN0000773</x:v>
      </x:c>
      <x:c r="B774" s="12" t="n">
        <x:v>41665</x:v>
      </x:c>
      <x:c r="C774" s="18" t="n">
        <x:v>21496</x:v>
      </x:c>
      <x:c r="D774" s="18" t="n">
        <x:v>75855</x:v>
      </x:c>
      <x:c r="E774" s="18" t="n">
        <x:v>28.6</x:v>
      </x:c>
      <x:c r="F774" s="18" t="n">
        <x:v>16.27</x:v>
      </x:c>
      <x:c r="G774" t="n">
        <x:v>36</x:v>
      </x:c>
      <x:c r="H774" t="str">
        <x:v>C</x:v>
      </x:c>
      <x:c r="I774" t="str">
        <x:v>7-9 years</x:v>
      </x:c>
      <x:c r="J774" t="str">
        <x:v>RENT</x:v>
      </x:c>
      <x:c r="K774" t="str">
        <x:v>credit_card</x:v>
      </x:c>
      <x:c r="L774" t="n">
        <x:v>0</x:v>
      </x:c>
      <x:c r="M774" t="n">
        <x:v>0</x:v>
      </x:c>
      <x:c r="N774" t="str">
        <x:v>Fully Paid</x:v>
      </x:c>
      <x:c r="O774" t="str">
        <x:f>IF(D774="","Unknown",IF(D774&lt;25000,"&lt;$25k",IF(D774&lt;50000,"$25k-$50k",IF(D774&lt;75000,"$50k-$75k",IF(D774&lt;100000,"$75k-$100k","$100k+")))))</x:f>
        <x:v>$75k-$100k</x:v>
      </x:c>
      <x:c r="P774" t="str">
        <x:f>IF(E774="","Unknown",IF(E774&lt;10,"&lt;10",IF(E774&lt;20,"10-&lt;20",IF(E774&lt;25,"20-&lt;25",IF(E774&lt;35,"25-&lt;35","35+")))))</x:f>
        <x:v>25-&lt;35</x:v>
      </x:c>
    </x:row>
    <x:row r="775">
      <x:c r="A775" t="str">
        <x:v>SYN0000774</x:v>
      </x:c>
      <x:c r="B775" s="12" t="n">
        <x:v>42775</x:v>
      </x:c>
      <x:c r="C775" s="18" t="n">
        <x:v>5186</x:v>
      </x:c>
      <x:c r="D775" s="18" t="n">
        <x:v>13436</x:v>
      </x:c>
      <x:c r="E775" s="18" t="n">
        <x:v>24.04</x:v>
      </x:c>
      <x:c r="F775" s="18" t="n">
        <x:v>11.1</x:v>
      </x:c>
      <x:c r="G775" t="n">
        <x:v>36</x:v>
      </x:c>
      <x:c r="H775" t="str">
        <x:v>C</x:v>
      </x:c>
      <x:c r="I775" t="str">
        <x:v>1-3 years</x:v>
      </x:c>
      <x:c r="J775" t="str">
        <x:v>MORTGAGE</x:v>
      </x:c>
      <x:c r="K775" t="str">
        <x:v>debt_consolidation</x:v>
      </x:c>
      <x:c r="L775" t="n">
        <x:v>0</x:v>
      </x:c>
      <x:c r="M775" t="n">
        <x:v>0</x:v>
      </x:c>
      <x:c r="N775" t="str">
        <x:v>Fully Paid</x:v>
      </x:c>
      <x:c r="O775" t="str">
        <x:f>IF(D775="","Unknown",IF(D775&lt;25000,"&lt;$25k",IF(D775&lt;50000,"$25k-$50k",IF(D775&lt;75000,"$50k-$75k",IF(D775&lt;100000,"$75k-$100k","$100k+")))))</x:f>
        <x:v>&lt;$25k</x:v>
      </x:c>
      <x:c r="P775" t="str">
        <x:f>IF(E775="","Unknown",IF(E775&lt;10,"&lt;10",IF(E775&lt;20,"10-&lt;20",IF(E775&lt;25,"20-&lt;25",IF(E775&lt;35,"25-&lt;35","35+")))))</x:f>
        <x:v>20-&lt;25</x:v>
      </x:c>
    </x:row>
    <x:row r="776">
      <x:c r="A776" t="str">
        <x:v>SYN0000775</x:v>
      </x:c>
      <x:c r="B776" s="12" t="n">
        <x:v>41305</x:v>
      </x:c>
      <x:c r="C776" s="18" t="n">
        <x:v>29690</x:v>
      </x:c>
      <x:c r="D776" s="18" t="n">
        <x:v>71133</x:v>
      </x:c>
      <x:c r="E776" s="18" t="n">
        <x:v>13.29</x:v>
      </x:c>
      <x:c r="F776" s="18" t="n">
        <x:v>6.51</x:v>
      </x:c>
      <x:c r="G776" t="n">
        <x:v>36</x:v>
      </x:c>
      <x:c r="H776" t="str">
        <x:v>B</x:v>
      </x:c>
      <x:c r="I776" t="str">
        <x:v>4-6 years</x:v>
      </x:c>
      <x:c r="J776" t="str">
        <x:v>OWN</x:v>
      </x:c>
      <x:c r="K776" t="str">
        <x:v>debt_consolidation</x:v>
      </x:c>
      <x:c r="L776" t="n">
        <x:v>1</x:v>
      </x:c>
      <x:c r="M776" t="n">
        <x:v>0</x:v>
      </x:c>
      <x:c r="N776" t="str">
        <x:v>Fully Paid</x:v>
      </x:c>
      <x:c r="O776" t="str">
        <x:f>IF(D776="","Unknown",IF(D776&lt;25000,"&lt;$25k",IF(D776&lt;50000,"$25k-$50k",IF(D776&lt;75000,"$50k-$75k",IF(D776&lt;100000,"$75k-$100k","$100k+")))))</x:f>
        <x:v>$50k-$75k</x:v>
      </x:c>
      <x:c r="P776" t="str">
        <x:f>IF(E776="","Unknown",IF(E776&lt;10,"&lt;10",IF(E776&lt;20,"10-&lt;20",IF(E776&lt;25,"20-&lt;25",IF(E776&lt;35,"25-&lt;35","35+")))))</x:f>
        <x:v>10-&lt;20</x:v>
      </x:c>
    </x:row>
    <x:row r="777">
      <x:c r="A777" t="str">
        <x:v>SYN0000776</x:v>
      </x:c>
      <x:c r="B777" s="12" t="n">
        <x:v>41305</x:v>
      </x:c>
      <x:c r="C777" s="18" t="n">
        <x:v>17584</x:v>
      </x:c>
      <x:c r="D777" s="18" t="n">
        <x:v>32197</x:v>
      </x:c>
      <x:c r="E777" s="18" t="n">
        <x:v>5.65</x:v>
      </x:c>
      <x:c r="F777" s="18" t="n">
        <x:v>22.87</x:v>
      </x:c>
      <x:c r="G777" t="n">
        <x:v>60</x:v>
      </x:c>
      <x:c r="H777" t="str">
        <x:v>F</x:v>
      </x:c>
      <x:c r="I777" t="str">
        <x:v>10+ years</x:v>
      </x:c>
      <x:c r="J777" t="str">
        <x:v>MORTGAGE</x:v>
      </x:c>
      <x:c r="K777" t="str">
        <x:v>debt_consolidation</x:v>
      </x:c>
      <x:c r="L777" t="n">
        <x:v>0</x:v>
      </x:c>
      <x:c r="M777" t="n">
        <x:v>0</x:v>
      </x:c>
      <x:c r="N777" t="str">
        <x:v>Fully Paid</x:v>
      </x:c>
      <x:c r="O777" t="str">
        <x:f>IF(D777="","Unknown",IF(D777&lt;25000,"&lt;$25k",IF(D777&lt;50000,"$25k-$50k",IF(D777&lt;75000,"$50k-$75k",IF(D777&lt;100000,"$75k-$100k","$100k+")))))</x:f>
        <x:v>$25k-$50k</x:v>
      </x:c>
      <x:c r="P777" t="str">
        <x:f>IF(E777="","Unknown",IF(E777&lt;10,"&lt;10",IF(E777&lt;20,"10-&lt;20",IF(E777&lt;25,"20-&lt;25",IF(E777&lt;35,"25-&lt;35","35+")))))</x:f>
        <x:v>&lt;10</x:v>
      </x:c>
    </x:row>
    <x:row r="778">
      <x:c r="A778" t="str">
        <x:v>SYN0000777</x:v>
      </x:c>
      <x:c r="B778" s="12" t="n">
        <x:v>42115</x:v>
      </x:c>
      <x:c r="C778" s="18" t="n">
        <x:v>15743</x:v>
      </x:c>
      <x:c r="D778" s="18" t="n">
        <x:v>96681</x:v>
      </x:c>
      <x:c r="E778" s="18" t="n">
        <x:v>28.15</x:v>
      </x:c>
      <x:c r="F778" s="18" t="n">
        <x:v>19.62</x:v>
      </x:c>
      <x:c r="G778" t="n">
        <x:v>36</x:v>
      </x:c>
      <x:c r="H778" t="str">
        <x:v>F</x:v>
      </x:c>
      <x:c r="I778" t="str">
        <x:v>10+ years</x:v>
      </x:c>
      <x:c r="J778" t="str">
        <x:v>MORTGAGE</x:v>
      </x:c>
      <x:c r="K778" t="str">
        <x:v>debt_consolidation</x:v>
      </x:c>
      <x:c r="L778" t="n">
        <x:v>0</x:v>
      </x:c>
      <x:c r="M778" t="n">
        <x:v>1</x:v>
      </x:c>
      <x:c r="N778" t="str">
        <x:v>Charged Off</x:v>
      </x:c>
      <x:c r="O778" t="str">
        <x:f>IF(D778="","Unknown",IF(D778&lt;25000,"&lt;$25k",IF(D778&lt;50000,"$25k-$50k",IF(D778&lt;75000,"$50k-$75k",IF(D778&lt;100000,"$75k-$100k","$100k+")))))</x:f>
        <x:v>$75k-$100k</x:v>
      </x:c>
      <x:c r="P778" t="str">
        <x:f>IF(E778="","Unknown",IF(E778&lt;10,"&lt;10",IF(E778&lt;20,"10-&lt;20",IF(E778&lt;25,"20-&lt;25",IF(E778&lt;35,"25-&lt;35","35+")))))</x:f>
        <x:v>25-&lt;35</x:v>
      </x:c>
    </x:row>
    <x:row r="779">
      <x:c r="A779" t="str">
        <x:v>SYN0000778</x:v>
      </x:c>
      <x:c r="B779" s="12" t="n">
        <x:v>41395</x:v>
      </x:c>
      <x:c r="C779" s="18" t="n">
        <x:v>24729</x:v>
      </x:c>
      <x:c r="D779" s="18" t="n">
        <x:v>35006</x:v>
      </x:c>
      <x:c r="E779" s="18" t="n">
        <x:v>25.5</x:v>
      </x:c>
      <x:c r="F779" s="18" t="n">
        <x:v>10.19</x:v>
      </x:c>
      <x:c r="G779" t="n">
        <x:v>36</x:v>
      </x:c>
      <x:c r="H779" t="str">
        <x:v>C</x:v>
      </x:c>
      <x:c r="I779" t="str">
        <x:v>4-6 years</x:v>
      </x:c>
      <x:c r="J779" t="str">
        <x:v>OWN</x:v>
      </x:c>
      <x:c r="K779" t="str">
        <x:v>credit_card</x:v>
      </x:c>
      <x:c r="L779" t="n">
        <x:v>2</x:v>
      </x:c>
      <x:c r="M779" t="n">
        <x:v>0</x:v>
      </x:c>
      <x:c r="N779" t="str">
        <x:v>Fully Paid</x:v>
      </x:c>
      <x:c r="O779" t="str">
        <x:f>IF(D779="","Unknown",IF(D779&lt;25000,"&lt;$25k",IF(D779&lt;50000,"$25k-$50k",IF(D779&lt;75000,"$50k-$75k",IF(D779&lt;100000,"$75k-$100k","$100k+")))))</x:f>
        <x:v>$25k-$50k</x:v>
      </x:c>
      <x:c r="P779" t="str">
        <x:f>IF(E779="","Unknown",IF(E779&lt;10,"&lt;10",IF(E779&lt;20,"10-&lt;20",IF(E779&lt;25,"20-&lt;25",IF(E779&lt;35,"25-&lt;35","35+")))))</x:f>
        <x:v>25-&lt;35</x:v>
      </x:c>
    </x:row>
    <x:row r="780">
      <x:c r="A780" t="str">
        <x:v>SYN0000779</x:v>
      </x:c>
      <x:c r="B780" s="12" t="n">
        <x:v>41755</x:v>
      </x:c>
      <x:c r="C780" s="18" t="n">
        <x:v>25960</x:v>
      </x:c>
      <x:c r="D780" s="18" t="n">
        <x:v>76899</x:v>
      </x:c>
      <x:c r="E780" s="18" t="n">
        <x:v>25.05</x:v>
      </x:c>
      <x:c r="F780" s="18" t="n">
        <x:v>5.77</x:v>
      </x:c>
      <x:c r="G780" t="n">
        <x:v>60</x:v>
      </x:c>
      <x:c r="H780" t="str">
        <x:v>A</x:v>
      </x:c>
      <x:c r="I780" t="str">
        <x:v>10+ years</x:v>
      </x:c>
      <x:c r="J780" t="str">
        <x:v>MORTGAGE</x:v>
      </x:c>
      <x:c r="K780" t="str">
        <x:v>medical</x:v>
      </x:c>
      <x:c r="L780" t="n">
        <x:v>0</x:v>
      </x:c>
      <x:c r="M780" t="n">
        <x:v>0</x:v>
      </x:c>
      <x:c r="N780" t="str">
        <x:v>Fully Paid</x:v>
      </x:c>
      <x:c r="O780" t="str">
        <x:f>IF(D780="","Unknown",IF(D780&lt;25000,"&lt;$25k",IF(D780&lt;50000,"$25k-$50k",IF(D780&lt;75000,"$50k-$75k",IF(D780&lt;100000,"$75k-$100k","$100k+")))))</x:f>
        <x:v>$75k-$100k</x:v>
      </x:c>
      <x:c r="P780" t="str">
        <x:f>IF(E780="","Unknown",IF(E780&lt;10,"&lt;10",IF(E780&lt;20,"10-&lt;20",IF(E780&lt;25,"20-&lt;25",IF(E780&lt;35,"25-&lt;35","35+")))))</x:f>
        <x:v>25-&lt;35</x:v>
      </x:c>
    </x:row>
    <x:row r="781">
      <x:c r="A781" t="str">
        <x:v>SYN0000780</x:v>
      </x:c>
      <x:c r="B781" s="12" t="n">
        <x:v>41515</x:v>
      </x:c>
      <x:c r="C781" s="18" t="n">
        <x:v>11720</x:v>
      </x:c>
      <x:c r="D781" s="18" t="n">
        <x:v>44343</x:v>
      </x:c>
      <x:c r="E781" s="18" t="n">
        <x:v>31.11</x:v>
      </x:c>
      <x:c r="F781" s="18" t="n">
        <x:v>14.45</x:v>
      </x:c>
      <x:c r="G781" t="n">
        <x:v>36</x:v>
      </x:c>
      <x:c r="H781" t="str">
        <x:v>D</x:v>
      </x:c>
      <x:c r="I781" t="str">
        <x:v>1-3 years</x:v>
      </x:c>
      <x:c r="J781" t="str">
        <x:v>RENT</x:v>
      </x:c>
      <x:c r="K781" t="str">
        <x:v>home_improvement</x:v>
      </x:c>
      <x:c r="L781" t="n">
        <x:v>1</x:v>
      </x:c>
      <x:c r="M781" t="n">
        <x:v>0</x:v>
      </x:c>
      <x:c r="N781" t="str">
        <x:v>Fully Paid</x:v>
      </x:c>
      <x:c r="O781" t="str">
        <x:f>IF(D781="","Unknown",IF(D781&lt;25000,"&lt;$25k",IF(D781&lt;50000,"$25k-$50k",IF(D781&lt;75000,"$50k-$75k",IF(D781&lt;100000,"$75k-$100k","$100k+")))))</x:f>
        <x:v>$25k-$50k</x:v>
      </x:c>
      <x:c r="P781" t="str">
        <x:f>IF(E781="","Unknown",IF(E781&lt;10,"&lt;10",IF(E781&lt;20,"10-&lt;20",IF(E781&lt;25,"20-&lt;25",IF(E781&lt;35,"25-&lt;35","35+")))))</x:f>
        <x:v>25-&lt;35</x:v>
      </x:c>
    </x:row>
    <x:row r="782">
      <x:c r="A782" t="str">
        <x:v>SYN0000781</x:v>
      </x:c>
      <x:c r="B782" s="12" t="n">
        <x:v>41365</x:v>
      </x:c>
      <x:c r="C782" s="18" t="n">
        <x:v>28427</x:v>
      </x:c>
      <x:c r="D782" s="18" t="n">
        <x:v>56697</x:v>
      </x:c>
      <x:c r="E782" s="18" t="n">
        <x:v>20.18</x:v>
      </x:c>
      <x:c r="F782" s="18" t="n">
        <x:v>24.81</x:v>
      </x:c>
      <x:c r="G782" t="n">
        <x:v>36</x:v>
      </x:c>
      <x:c r="H782" t="str">
        <x:v>F</x:v>
      </x:c>
      <x:c r="I782" t="str">
        <x:v>1-3 years</x:v>
      </x:c>
      <x:c r="J782" t="str">
        <x:v>MORTGAGE</x:v>
      </x:c>
      <x:c r="K782" t="str">
        <x:v>debt_consolidation</x:v>
      </x:c>
      <x:c r="L782" t="n">
        <x:v>0</x:v>
      </x:c>
      <x:c r="M782" t="n">
        <x:v>0</x:v>
      </x:c>
      <x:c r="N782" t="str">
        <x:v>Fully Paid</x:v>
      </x:c>
      <x:c r="O782" t="str">
        <x:f>IF(D782="","Unknown",IF(D782&lt;25000,"&lt;$25k",IF(D782&lt;50000,"$25k-$50k",IF(D782&lt;75000,"$50k-$75k",IF(D782&lt;100000,"$75k-$100k","$100k+")))))</x:f>
        <x:v>$50k-$75k</x:v>
      </x:c>
      <x:c r="P782" t="str">
        <x:f>IF(E782="","Unknown",IF(E782&lt;10,"&lt;10",IF(E782&lt;20,"10-&lt;20",IF(E782&lt;25,"20-&lt;25",IF(E782&lt;35,"25-&lt;35","35+")))))</x:f>
        <x:v>20-&lt;25</x:v>
      </x:c>
    </x:row>
    <x:row r="783">
      <x:c r="A783" t="str">
        <x:v>SYN0000782</x:v>
      </x:c>
      <x:c r="B783" s="12" t="n">
        <x:v>41995</x:v>
      </x:c>
      <x:c r="C783" s="18" t="n">
        <x:v>19786</x:v>
      </x:c>
      <x:c r="D783" s="18" t="n">
        <x:v>43109</x:v>
      </x:c>
      <x:c r="E783" s="18" t="n">
        <x:v>13.67</x:v>
      </x:c>
      <x:c r="F783" s="18" t="n">
        <x:v>27.18</x:v>
      </x:c>
      <x:c r="G783" t="n">
        <x:v>36</x:v>
      </x:c>
      <x:c r="H783" t="str">
        <x:v>G</x:v>
      </x:c>
      <x:c r="I783" t="str">
        <x:v>10+ years</x:v>
      </x:c>
      <x:c r="J783" t="str">
        <x:v>MORTGAGE</x:v>
      </x:c>
      <x:c r="K783" t="str">
        <x:v>credit_card</x:v>
      </x:c>
      <x:c r="L783" t="n">
        <x:v>1</x:v>
      </x:c>
      <x:c r="M783" t="n">
        <x:v>0</x:v>
      </x:c>
      <x:c r="N783" t="str">
        <x:v>Fully Paid</x:v>
      </x:c>
      <x:c r="O783" t="str">
        <x:f>IF(D783="","Unknown",IF(D783&lt;25000,"&lt;$25k",IF(D783&lt;50000,"$25k-$50k",IF(D783&lt;75000,"$50k-$75k",IF(D783&lt;100000,"$75k-$100k","$100k+")))))</x:f>
        <x:v>$25k-$50k</x:v>
      </x:c>
      <x:c r="P783" t="str">
        <x:f>IF(E783="","Unknown",IF(E783&lt;10,"&lt;10",IF(E783&lt;20,"10-&lt;20",IF(E783&lt;25,"20-&lt;25",IF(E783&lt;35,"25-&lt;35","35+")))))</x:f>
        <x:v>10-&lt;20</x:v>
      </x:c>
    </x:row>
    <x:row r="784">
      <x:c r="A784" t="str">
        <x:v>SYN0000783</x:v>
      </x:c>
      <x:c r="B784" s="12" t="n">
        <x:v>42175</x:v>
      </x:c>
      <x:c r="C784" s="18" t="n">
        <x:v>8800</x:v>
      </x:c>
      <x:c r="D784" s="18" t="n">
        <x:v>145660</x:v>
      </x:c>
      <x:c r="E784" s="18" t="n">
        <x:v>13.3</x:v>
      </x:c>
      <x:c r="F784" s="18" t="n">
        <x:v>12.18</x:v>
      </x:c>
      <x:c r="G784" t="n">
        <x:v>36</x:v>
      </x:c>
      <x:c r="H784" t="str">
        <x:v>C</x:v>
      </x:c>
      <x:c r="I784" t="str">
        <x:v>1-3 years</x:v>
      </x:c>
      <x:c r="J784" t="str">
        <x:v>MORTGAGE</x:v>
      </x:c>
      <x:c r="K784" t="str">
        <x:v>home_improvement</x:v>
      </x:c>
      <x:c r="L784" t="n">
        <x:v>1</x:v>
      </x:c>
      <x:c r="M784" t="n">
        <x:v>0</x:v>
      </x:c>
      <x:c r="N784" t="str">
        <x:v>Fully Paid</x:v>
      </x:c>
      <x:c r="O784" t="str">
        <x:f>IF(D784="","Unknown",IF(D784&lt;25000,"&lt;$25k",IF(D784&lt;50000,"$25k-$50k",IF(D784&lt;75000,"$50k-$75k",IF(D784&lt;100000,"$75k-$100k","$100k+")))))</x:f>
        <x:v>$100k+</x:v>
      </x:c>
      <x:c r="P784" t="str">
        <x:f>IF(E784="","Unknown",IF(E784&lt;10,"&lt;10",IF(E784&lt;20,"10-&lt;20",IF(E784&lt;25,"20-&lt;25",IF(E784&lt;35,"25-&lt;35","35+")))))</x:f>
        <x:v>10-&lt;20</x:v>
      </x:c>
    </x:row>
    <x:row r="785">
      <x:c r="A785" t="str">
        <x:v>SYN0000784</x:v>
      </x:c>
      <x:c r="B785" s="12" t="n">
        <x:v>42295</x:v>
      </x:c>
      <x:c r="C785" s="18" t="n">
        <x:v>29566</x:v>
      </x:c>
      <x:c r="D785" s="18" t="n">
        <x:v>20108</x:v>
      </x:c>
      <x:c r="E785" s="18" t="n">
        <x:v>13.06</x:v>
      </x:c>
      <x:c r="F785" s="18" t="n">
        <x:v>9.87</x:v>
      </x:c>
      <x:c r="G785" t="n">
        <x:v>36</x:v>
      </x:c>
      <x:c r="H785" t="str">
        <x:v>B</x:v>
      </x:c>
      <x:c r="I785" t="str">
        <x:v>7-9 years</x:v>
      </x:c>
      <x:c r="J785" t="str">
        <x:v>MORTGAGE</x:v>
      </x:c>
      <x:c r="K785" t="str">
        <x:v>credit_card</x:v>
      </x:c>
      <x:c r="L785" t="n">
        <x:v>0</x:v>
      </x:c>
      <x:c r="M785" t="n">
        <x:v>0</x:v>
      </x:c>
      <x:c r="N785" t="str">
        <x:v>Fully Paid</x:v>
      </x:c>
      <x:c r="O785" t="str">
        <x:f>IF(D785="","Unknown",IF(D785&lt;25000,"&lt;$25k",IF(D785&lt;50000,"$25k-$50k",IF(D785&lt;75000,"$50k-$75k",IF(D785&lt;100000,"$75k-$100k","$100k+")))))</x:f>
        <x:v>&lt;$25k</x:v>
      </x:c>
      <x:c r="P785" t="str">
        <x:f>IF(E785="","Unknown",IF(E785&lt;10,"&lt;10",IF(E785&lt;20,"10-&lt;20",IF(E785&lt;25,"20-&lt;25",IF(E785&lt;35,"25-&lt;35","35+")))))</x:f>
        <x:v>10-&lt;20</x:v>
      </x:c>
    </x:row>
    <x:row r="786">
      <x:c r="A786" t="str">
        <x:v>SYN0000785</x:v>
      </x:c>
      <x:c r="B786" s="12" t="n">
        <x:v>43285</x:v>
      </x:c>
      <x:c r="C786" s="18" t="n">
        <x:v>16971</x:v>
      </x:c>
      <x:c r="D786" s="18" t="n">
        <x:v>18023</x:v>
      </x:c>
      <x:c r="E786" s="18" t="n">
        <x:v>26.21</x:v>
      </x:c>
      <x:c r="F786" s="18" t="n">
        <x:v>9.8</x:v>
      </x:c>
      <x:c r="G786" t="n">
        <x:v>36</x:v>
      </x:c>
      <x:c r="H786" t="str">
        <x:v>B</x:v>
      </x:c>
      <x:c r="I786" t="str">
        <x:v>1-3 years</x:v>
      </x:c>
      <x:c r="J786" t="str">
        <x:v>MORTGAGE</x:v>
      </x:c>
      <x:c r="K786" t="str">
        <x:v>medical</x:v>
      </x:c>
      <x:c r="L786" t="n">
        <x:v>0</x:v>
      </x:c>
      <x:c r="M786" t="n">
        <x:v>0</x:v>
      </x:c>
      <x:c r="N786" t="str">
        <x:v>Fully Paid</x:v>
      </x:c>
      <x:c r="O786" t="str">
        <x:f>IF(D786="","Unknown",IF(D786&lt;25000,"&lt;$25k",IF(D786&lt;50000,"$25k-$50k",IF(D786&lt;75000,"$50k-$75k",IF(D786&lt;100000,"$75k-$100k","$100k+")))))</x:f>
        <x:v>&lt;$25k</x:v>
      </x:c>
      <x:c r="P786" t="str">
        <x:f>IF(E786="","Unknown",IF(E786&lt;10,"&lt;10",IF(E786&lt;20,"10-&lt;20",IF(E786&lt;25,"20-&lt;25",IF(E786&lt;35,"25-&lt;35","35+")))))</x:f>
        <x:v>25-&lt;35</x:v>
      </x:c>
    </x:row>
    <x:row r="787">
      <x:c r="A787" t="str">
        <x:v>SYN0000786</x:v>
      </x:c>
      <x:c r="B787" s="12" t="n">
        <x:v>42295</x:v>
      </x:c>
      <x:c r="C787" s="18" t="n">
        <x:v>7765</x:v>
      </x:c>
      <x:c r="D787" s="18" t="n">
        <x:v>45949</x:v>
      </x:c>
      <x:c r="E787" s="18" t="n">
        <x:v>29.46</x:v>
      </x:c>
      <x:c r="F787" s="18" t="n">
        <x:v>26.74</x:v>
      </x:c>
      <x:c r="G787" t="n">
        <x:v>36</x:v>
      </x:c>
      <x:c r="H787" t="str">
        <x:v>G</x:v>
      </x:c>
      <x:c r="I787" t="str">
        <x:v>10+ years</x:v>
      </x:c>
      <x:c r="J787" t="str">
        <x:v>OWN</x:v>
      </x:c>
      <x:c r="K787" t="str">
        <x:v>debt_consolidation</x:v>
      </x:c>
      <x:c r="L787" t="n">
        <x:v>1</x:v>
      </x:c>
      <x:c r="M787" t="n">
        <x:v>0</x:v>
      </x:c>
      <x:c r="N787" t="str">
        <x:v>Fully Paid</x:v>
      </x:c>
      <x:c r="O787" t="str">
        <x:f>IF(D787="","Unknown",IF(D787&lt;25000,"&lt;$25k",IF(D787&lt;50000,"$25k-$50k",IF(D787&lt;75000,"$50k-$75k",IF(D787&lt;100000,"$75k-$100k","$100k+")))))</x:f>
        <x:v>$25k-$50k</x:v>
      </x:c>
      <x:c r="P787" t="str">
        <x:f>IF(E787="","Unknown",IF(E787&lt;10,"&lt;10",IF(E787&lt;20,"10-&lt;20",IF(E787&lt;25,"20-&lt;25",IF(E787&lt;35,"25-&lt;35","35+")))))</x:f>
        <x:v>25-&lt;35</x:v>
      </x:c>
    </x:row>
    <x:row r="788">
      <x:c r="A788" t="str">
        <x:v>SYN0000787</x:v>
      </x:c>
      <x:c r="B788" s="12" t="n">
        <x:v>41995</x:v>
      </x:c>
      <x:c r="C788" s="18" t="n">
        <x:v>17607</x:v>
      </x:c>
      <x:c r="D788" s="18" t="n">
        <x:v>53267</x:v>
      </x:c>
      <x:c r="E788" s="18" t="n">
        <x:v>19.63</x:v>
      </x:c>
      <x:c r="F788" s="18" t="n">
        <x:v>15.55</x:v>
      </x:c>
      <x:c r="G788" t="n">
        <x:v>36</x:v>
      </x:c>
      <x:c r="H788" t="str">
        <x:v>D</x:v>
      </x:c>
      <x:c r="I788" t="str">
        <x:v>&lt;1 year</x:v>
      </x:c>
      <x:c r="J788" t="str">
        <x:v>RENT</x:v>
      </x:c>
      <x:c r="K788" t="str">
        <x:v>debt_consolidation</x:v>
      </x:c>
      <x:c r="L788" t="n">
        <x:v>0</x:v>
      </x:c>
      <x:c r="M788" t="n">
        <x:v>0</x:v>
      </x:c>
      <x:c r="N788" t="str">
        <x:v>Fully Paid</x:v>
      </x:c>
      <x:c r="O788" t="str">
        <x:f>IF(D788="","Unknown",IF(D788&lt;25000,"&lt;$25k",IF(D788&lt;50000,"$25k-$50k",IF(D788&lt;75000,"$50k-$75k",IF(D788&lt;100000,"$75k-$100k","$100k+")))))</x:f>
        <x:v>$50k-$75k</x:v>
      </x:c>
      <x:c r="P788" t="str">
        <x:f>IF(E788="","Unknown",IF(E788&lt;10,"&lt;10",IF(E788&lt;20,"10-&lt;20",IF(E788&lt;25,"20-&lt;25",IF(E788&lt;35,"25-&lt;35","35+")))))</x:f>
        <x:v>10-&lt;20</x:v>
      </x:c>
    </x:row>
    <x:row r="789">
      <x:c r="A789" t="str">
        <x:v>SYN0000788</x:v>
      </x:c>
      <x:c r="B789" s="12" t="n">
        <x:v>42505</x:v>
      </x:c>
      <x:c r="C789" s="18" t="n">
        <x:v>8511</x:v>
      </x:c>
      <x:c r="D789" s="18" t="n">
        <x:v>237874</x:v>
      </x:c>
      <x:c r="E789" s="18" t="n">
        <x:v>1.68</x:v>
      </x:c>
      <x:c r="F789" s="18" t="n">
        <x:v>7.98</x:v>
      </x:c>
      <x:c r="G789" t="n">
        <x:v>60</x:v>
      </x:c>
      <x:c r="H789" t="str">
        <x:v>B</x:v>
      </x:c>
      <x:c r="I789" t="str">
        <x:v>10+ years</x:v>
      </x:c>
      <x:c r="J789" t="str">
        <x:v>MORTGAGE</x:v>
      </x:c>
      <x:c r="K789" t="str">
        <x:v>debt_consolidation</x:v>
      </x:c>
      <x:c r="L789" t="n">
        <x:v>0</x:v>
      </x:c>
      <x:c r="M789" t="n">
        <x:v>0</x:v>
      </x:c>
      <x:c r="N789" t="str">
        <x:v>Fully Paid</x:v>
      </x:c>
      <x:c r="O789" t="str">
        <x:f>IF(D789="","Unknown",IF(D789&lt;25000,"&lt;$25k",IF(D789&lt;50000,"$25k-$50k",IF(D789&lt;75000,"$50k-$75k",IF(D789&lt;100000,"$75k-$100k","$100k+")))))</x:f>
        <x:v>$100k+</x:v>
      </x:c>
      <x:c r="P789" t="str">
        <x:f>IF(E789="","Unknown",IF(E789&lt;10,"&lt;10",IF(E789&lt;20,"10-&lt;20",IF(E789&lt;25,"20-&lt;25",IF(E789&lt;35,"25-&lt;35","35+")))))</x:f>
        <x:v>&lt;10</x:v>
      </x:c>
    </x:row>
    <x:row r="790">
      <x:c r="A790" t="str">
        <x:v>SYN0000789</x:v>
      </x:c>
      <x:c r="B790" s="12" t="n">
        <x:v>42685</x:v>
      </x:c>
      <x:c r="C790" s="18" t="n">
        <x:v>40000</x:v>
      </x:c>
      <x:c r="D790" s="18" t="n">
        <x:v>78147</x:v>
      </x:c>
      <x:c r="E790" s="18" t="n">
        <x:v>16.17</x:v>
      </x:c>
      <x:c r="F790" s="18" t="n">
        <x:v>8.01</x:v>
      </x:c>
      <x:c r="G790" t="n">
        <x:v>36</x:v>
      </x:c>
      <x:c r="H790" t="str">
        <x:v>B</x:v>
      </x:c>
      <x:c r="I790" t="str">
        <x:v>7-9 years</x:v>
      </x:c>
      <x:c r="J790" t="str">
        <x:v>OWN</x:v>
      </x:c>
      <x:c r="K790" t="str">
        <x:v>debt_consolidation</x:v>
      </x:c>
      <x:c r="L790" t="n">
        <x:v>0</x:v>
      </x:c>
      <x:c r="M790" t="n">
        <x:v>1</x:v>
      </x:c>
      <x:c r="N790" t="str">
        <x:v>Charged Off</x:v>
      </x:c>
      <x:c r="O790" t="str">
        <x:f>IF(D790="","Unknown",IF(D790&lt;25000,"&lt;$25k",IF(D790&lt;50000,"$25k-$50k",IF(D790&lt;75000,"$50k-$75k",IF(D790&lt;100000,"$75k-$100k","$100k+")))))</x:f>
        <x:v>$75k-$100k</x:v>
      </x:c>
      <x:c r="P790" t="str">
        <x:f>IF(E790="","Unknown",IF(E790&lt;10,"&lt;10",IF(E790&lt;20,"10-&lt;20",IF(E790&lt;25,"20-&lt;25",IF(E790&lt;35,"25-&lt;35","35+")))))</x:f>
        <x:v>10-&lt;20</x:v>
      </x:c>
    </x:row>
    <x:row r="791">
      <x:c r="A791" t="str">
        <x:v>SYN0000790</x:v>
      </x:c>
      <x:c r="B791" s="12" t="n">
        <x:v>42115</x:v>
      </x:c>
      <x:c r="C791" s="18" t="n">
        <x:v>7592</x:v>
      </x:c>
      <x:c r="D791" s="18" t="n">
        <x:v>45902</x:v>
      </x:c>
      <x:c r="E791" s="18" t="n">
        <x:v>30.14</x:v>
      </x:c>
      <x:c r="F791" s="18" t="n">
        <x:v>10.94</x:v>
      </x:c>
      <x:c r="G791" t="n">
        <x:v>36</x:v>
      </x:c>
      <x:c r="H791" t="str">
        <x:v>C</x:v>
      </x:c>
      <x:c r="I791" t="str">
        <x:v>7-9 years</x:v>
      </x:c>
      <x:c r="J791" t="str">
        <x:v>MORTGAGE</x:v>
      </x:c>
      <x:c r="K791" t="str">
        <x:v>debt_consolidation</x:v>
      </x:c>
      <x:c r="L791" t="n">
        <x:v>0</x:v>
      </x:c>
      <x:c r="M791" t="n">
        <x:v>0</x:v>
      </x:c>
      <x:c r="N791" t="str">
        <x:v>Fully Paid</x:v>
      </x:c>
      <x:c r="O791" t="str">
        <x:f>IF(D791="","Unknown",IF(D791&lt;25000,"&lt;$25k",IF(D791&lt;50000,"$25k-$50k",IF(D791&lt;75000,"$50k-$75k",IF(D791&lt;100000,"$75k-$100k","$100k+")))))</x:f>
        <x:v>$25k-$50k</x:v>
      </x:c>
      <x:c r="P791" t="str">
        <x:f>IF(E791="","Unknown",IF(E791&lt;10,"&lt;10",IF(E791&lt;20,"10-&lt;20",IF(E791&lt;25,"20-&lt;25",IF(E791&lt;35,"25-&lt;35","35+")))))</x:f>
        <x:v>25-&lt;35</x:v>
      </x:c>
    </x:row>
    <x:row r="792">
      <x:c r="A792" t="str">
        <x:v>SYN0000791</x:v>
      </x:c>
      <x:c r="B792" s="12" t="n">
        <x:v>41905</x:v>
      </x:c>
      <x:c r="C792" s="18" t="n">
        <x:v>12316</x:v>
      </x:c>
      <x:c r="D792" s="18" t="n">
        <x:v>14230</x:v>
      </x:c>
      <x:c r="E792" s="18" t="n">
        <x:v>35.51</x:v>
      </x:c>
      <x:c r="F792" s="18" t="n">
        <x:v>19.93</x:v>
      </x:c>
      <x:c r="G792" t="n">
        <x:v>60</x:v>
      </x:c>
      <x:c r="H792" t="str">
        <x:v>F</x:v>
      </x:c>
      <x:c r="I792" t="str">
        <x:v>4-6 years</x:v>
      </x:c>
      <x:c r="J792" t="str">
        <x:v>MORTGAGE</x:v>
      </x:c>
      <x:c r="K792" t="str">
        <x:v>debt_consolidation</x:v>
      </x:c>
      <x:c r="L792" t="n">
        <x:v>2</x:v>
      </x:c>
      <x:c r="M792" t="n">
        <x:v>1</x:v>
      </x:c>
      <x:c r="N792" t="str">
        <x:v>Charged Off</x:v>
      </x:c>
      <x:c r="O792" t="str">
        <x:f>IF(D792="","Unknown",IF(D792&lt;25000,"&lt;$25k",IF(D792&lt;50000,"$25k-$50k",IF(D792&lt;75000,"$50k-$75k",IF(D792&lt;100000,"$75k-$100k","$100k+")))))</x:f>
        <x:v>&lt;$25k</x:v>
      </x:c>
      <x:c r="P792" t="str">
        <x:f>IF(E792="","Unknown",IF(E792&lt;10,"&lt;10",IF(E792&lt;20,"10-&lt;20",IF(E792&lt;25,"20-&lt;25",IF(E792&lt;35,"25-&lt;35","35+")))))</x:f>
        <x:v>35+</x:v>
      </x:c>
    </x:row>
    <x:row r="793">
      <x:c r="A793" t="str">
        <x:v>SYN0000792</x:v>
      </x:c>
      <x:c r="B793" s="12" t="n">
        <x:v>43315</x:v>
      </x:c>
      <x:c r="C793" s="18" t="n">
        <x:v>12369</x:v>
      </x:c>
      <x:c r="D793" s="18" t="n">
        <x:v>62912</x:v>
      </x:c>
      <x:c r="E793" s="18" t="n">
        <x:v>25.26</x:v>
      </x:c>
      <x:c r="F793" s="18" t="n">
        <x:v>13.64</x:v>
      </x:c>
      <x:c r="G793" t="n">
        <x:v>36</x:v>
      </x:c>
      <x:c r="H793" t="str">
        <x:v>C</x:v>
      </x:c>
      <x:c r="I793" t="str">
        <x:v>10+ years</x:v>
      </x:c>
      <x:c r="J793" t="str">
        <x:v>MORTGAGE</x:v>
      </x:c>
      <x:c r="K793" t="str">
        <x:v>credit_card</x:v>
      </x:c>
      <x:c r="L793" t="n">
        <x:v>2</x:v>
      </x:c>
      <x:c r="M793" t="n">
        <x:v>0</x:v>
      </x:c>
      <x:c r="N793" t="str">
        <x:v>Fully Paid</x:v>
      </x:c>
      <x:c r="O793" t="str">
        <x:f>IF(D793="","Unknown",IF(D793&lt;25000,"&lt;$25k",IF(D793&lt;50000,"$25k-$50k",IF(D793&lt;75000,"$50k-$75k",IF(D793&lt;100000,"$75k-$100k","$100k+")))))</x:f>
        <x:v>$50k-$75k</x:v>
      </x:c>
      <x:c r="P793" t="str">
        <x:f>IF(E793="","Unknown",IF(E793&lt;10,"&lt;10",IF(E793&lt;20,"10-&lt;20",IF(E793&lt;25,"20-&lt;25",IF(E793&lt;35,"25-&lt;35","35+")))))</x:f>
        <x:v>25-&lt;35</x:v>
      </x:c>
    </x:row>
    <x:row r="794">
      <x:c r="A794" t="str">
        <x:v>SYN0000793</x:v>
      </x:c>
      <x:c r="B794" s="12" t="n">
        <x:v>43135</x:v>
      </x:c>
      <x:c r="C794" s="18" t="n">
        <x:v>10390</x:v>
      </x:c>
      <x:c r="D794" s="18" t="n">
        <x:v>56898</x:v>
      </x:c>
      <x:c r="E794" s="18" t="n">
        <x:v>19.93</x:v>
      </x:c>
      <x:c r="F794" s="18" t="n">
        <x:v>26.28</x:v>
      </x:c>
      <x:c r="G794" t="n">
        <x:v>60</x:v>
      </x:c>
      <x:c r="H794" t="str">
        <x:v>G</x:v>
      </x:c>
      <x:c r="I794" t="str">
        <x:v>4-6 years</x:v>
      </x:c>
      <x:c r="J794" t="str">
        <x:v>RENT</x:v>
      </x:c>
      <x:c r="K794" t="str">
        <x:v>home_improvement</x:v>
      </x:c>
      <x:c r="L794" t="n">
        <x:v>0</x:v>
      </x:c>
      <x:c r="M794" t="n">
        <x:v>1</x:v>
      </x:c>
      <x:c r="N794" t="str">
        <x:v>Charged Off</x:v>
      </x:c>
      <x:c r="O794" t="str">
        <x:f>IF(D794="","Unknown",IF(D794&lt;25000,"&lt;$25k",IF(D794&lt;50000,"$25k-$50k",IF(D794&lt;75000,"$50k-$75k",IF(D794&lt;100000,"$75k-$100k","$100k+")))))</x:f>
        <x:v>$50k-$75k</x:v>
      </x:c>
      <x:c r="P794" t="str">
        <x:f>IF(E794="","Unknown",IF(E794&lt;10,"&lt;10",IF(E794&lt;20,"10-&lt;20",IF(E794&lt;25,"20-&lt;25",IF(E794&lt;35,"25-&lt;35","35+")))))</x:f>
        <x:v>10-&lt;20</x:v>
      </x:c>
    </x:row>
    <x:row r="795">
      <x:c r="A795" t="str">
        <x:v>SYN0000794</x:v>
      </x:c>
      <x:c r="B795" s="12" t="n">
        <x:v>42415</x:v>
      </x:c>
      <x:c r="C795" s="18" t="n">
        <x:v>6712</x:v>
      </x:c>
      <x:c r="D795" s="18" t="n">
        <x:v>15945</x:v>
      </x:c>
      <x:c r="E795" s="18" t="n">
        <x:v>13.71</x:v>
      </x:c>
      <x:c r="F795" s="18" t="n">
        <x:v>5.45</x:v>
      </x:c>
      <x:c r="G795" t="n">
        <x:v>60</x:v>
      </x:c>
      <x:c r="H795" t="str">
        <x:v>B</x:v>
      </x:c>
      <x:c r="I795" t="str">
        <x:v>&lt;1 year</x:v>
      </x:c>
      <x:c r="J795" t="str">
        <x:v>MORTGAGE</x:v>
      </x:c>
      <x:c r="K795" t="str">
        <x:v>debt_consolidation</x:v>
      </x:c>
      <x:c r="L795" t="n">
        <x:v>1</x:v>
      </x:c>
      <x:c r="M795" t="n">
        <x:v>0</x:v>
      </x:c>
      <x:c r="N795" t="str">
        <x:v>Fully Paid</x:v>
      </x:c>
      <x:c r="O795" t="str">
        <x:f>IF(D795="","Unknown",IF(D795&lt;25000,"&lt;$25k",IF(D795&lt;50000,"$25k-$50k",IF(D795&lt;75000,"$50k-$75k",IF(D795&lt;100000,"$75k-$100k","$100k+")))))</x:f>
        <x:v>&lt;$25k</x:v>
      </x:c>
      <x:c r="P795" t="str">
        <x:f>IF(E795="","Unknown",IF(E795&lt;10,"&lt;10",IF(E795&lt;20,"10-&lt;20",IF(E795&lt;25,"20-&lt;25",IF(E795&lt;35,"25-&lt;35","35+")))))</x:f>
        <x:v>10-&lt;20</x:v>
      </x:c>
    </x:row>
    <x:row r="796">
      <x:c r="A796" t="str">
        <x:v>SYN0000795</x:v>
      </x:c>
      <x:c r="B796" s="12" t="n">
        <x:v>42655</x:v>
      </x:c>
      <x:c r="C796" s="18" t="n">
        <x:v>16308</x:v>
      </x:c>
      <x:c r="D796" s="18" t="n">
        <x:v>91199</x:v>
      </x:c>
      <x:c r="E796" s="18" t="n">
        <x:v>18.02</x:v>
      </x:c>
      <x:c r="F796" s="18" t="n">
        <x:v>5.81</x:v>
      </x:c>
      <x:c r="G796" t="n">
        <x:v>60</x:v>
      </x:c>
      <x:c r="H796" t="str">
        <x:v>A</x:v>
      </x:c>
      <x:c r="I796" t="str">
        <x:v>10+ years</x:v>
      </x:c>
      <x:c r="J796" t="str">
        <x:v>OWN</x:v>
      </x:c>
      <x:c r="K796" t="str">
        <x:v>credit_card</x:v>
      </x:c>
      <x:c r="L796" t="n">
        <x:v>0</x:v>
      </x:c>
      <x:c r="M796" t="n">
        <x:v>0</x:v>
      </x:c>
      <x:c r="N796" t="str">
        <x:v>Fully Paid</x:v>
      </x:c>
      <x:c r="O796" t="str">
        <x:f>IF(D796="","Unknown",IF(D796&lt;25000,"&lt;$25k",IF(D796&lt;50000,"$25k-$50k",IF(D796&lt;75000,"$50k-$75k",IF(D796&lt;100000,"$75k-$100k","$100k+")))))</x:f>
        <x:v>$75k-$100k</x:v>
      </x:c>
      <x:c r="P796" t="str">
        <x:f>IF(E796="","Unknown",IF(E796&lt;10,"&lt;10",IF(E796&lt;20,"10-&lt;20",IF(E796&lt;25,"20-&lt;25",IF(E796&lt;35,"25-&lt;35","35+")))))</x:f>
        <x:v>10-&lt;20</x:v>
      </x:c>
    </x:row>
    <x:row r="797">
      <x:c r="A797" t="str">
        <x:v>SYN0000796</x:v>
      </x:c>
      <x:c r="B797" s="12" t="n">
        <x:v>42085</x:v>
      </x:c>
      <x:c r="C797" s="18" t="n">
        <x:v>18215</x:v>
      </x:c>
      <x:c r="D797" s="18" t="n">
        <x:v>42294</x:v>
      </x:c>
      <x:c r="E797" s="18" t="n">
        <x:v>23.77</x:v>
      </x:c>
      <x:c r="F797" s="18" t="n">
        <x:v>20.79</x:v>
      </x:c>
      <x:c r="G797" t="n">
        <x:v>60</x:v>
      </x:c>
      <x:c r="H797" t="str">
        <x:v>E</x:v>
      </x:c>
      <x:c r="I797" t="str">
        <x:v>1-3 years</x:v>
      </x:c>
      <x:c r="J797" t="str">
        <x:v>RENT</x:v>
      </x:c>
      <x:c r="K797" t="str">
        <x:v>debt_consolidation</x:v>
      </x:c>
      <x:c r="L797" t="n">
        <x:v>0</x:v>
      </x:c>
      <x:c r="M797" t="n">
        <x:v>0</x:v>
      </x:c>
      <x:c r="N797" t="str">
        <x:v>Fully Paid</x:v>
      </x:c>
      <x:c r="O797" t="str">
        <x:f>IF(D797="","Unknown",IF(D797&lt;25000,"&lt;$25k",IF(D797&lt;50000,"$25k-$50k",IF(D797&lt;75000,"$50k-$75k",IF(D797&lt;100000,"$75k-$100k","$100k+")))))</x:f>
        <x:v>$25k-$50k</x:v>
      </x:c>
      <x:c r="P797" t="str">
        <x:f>IF(E797="","Unknown",IF(E797&lt;10,"&lt;10",IF(E797&lt;20,"10-&lt;20",IF(E797&lt;25,"20-&lt;25",IF(E797&lt;35,"25-&lt;35","35+")))))</x:f>
        <x:v>20-&lt;25</x:v>
      </x:c>
    </x:row>
    <x:row r="798">
      <x:c r="A798" t="str">
        <x:v>SYN0000797</x:v>
      </x:c>
      <x:c r="B798" s="12" t="n">
        <x:v>42385</x:v>
      </x:c>
      <x:c r="C798" s="18" t="n">
        <x:v>14336</x:v>
      </x:c>
      <x:c r="D798" s="18" t="n">
        <x:v>40610</x:v>
      </x:c>
      <x:c r="E798" s="18" t="n">
        <x:v>20.84</x:v>
      </x:c>
      <x:c r="F798" s="18" t="n">
        <x:v>14.9</x:v>
      </x:c>
      <x:c r="G798" t="n">
        <x:v>36</x:v>
      </x:c>
      <x:c r="H798" t="str">
        <x:v>D</x:v>
      </x:c>
      <x:c r="I798" t="str">
        <x:v>4-6 years</x:v>
      </x:c>
      <x:c r="J798" t="str">
        <x:v>MORTGAGE</x:v>
      </x:c>
      <x:c r="K798" t="str">
        <x:v>credit_card</x:v>
      </x:c>
      <x:c r="L798" t="n">
        <x:v>0</x:v>
      </x:c>
      <x:c r="M798" t="n">
        <x:v>0</x:v>
      </x:c>
      <x:c r="N798" t="str">
        <x:v>Fully Paid</x:v>
      </x:c>
      <x:c r="O798" t="str">
        <x:f>IF(D798="","Unknown",IF(D798&lt;25000,"&lt;$25k",IF(D798&lt;50000,"$25k-$50k",IF(D798&lt;75000,"$50k-$75k",IF(D798&lt;100000,"$75k-$100k","$100k+")))))</x:f>
        <x:v>$25k-$50k</x:v>
      </x:c>
      <x:c r="P798" t="str">
        <x:f>IF(E798="","Unknown",IF(E798&lt;10,"&lt;10",IF(E798&lt;20,"10-&lt;20",IF(E798&lt;25,"20-&lt;25",IF(E798&lt;35,"25-&lt;35","35+")))))</x:f>
        <x:v>20-&lt;25</x:v>
      </x:c>
    </x:row>
    <x:row r="799">
      <x:c r="A799" t="str">
        <x:v>SYN0000798</x:v>
      </x:c>
      <x:c r="B799" s="12" t="n">
        <x:v>41575</x:v>
      </x:c>
      <x:c r="C799" s="18" t="n">
        <x:v>13768</x:v>
      </x:c>
      <x:c r="D799" s="18" t="n">
        <x:v>19068</x:v>
      </x:c>
      <x:c r="E799" s="18" t="n">
        <x:v>16.09</x:v>
      </x:c>
      <x:c r="F799" s="18" t="n">
        <x:v>8.9</x:v>
      </x:c>
      <x:c r="G799" t="n">
        <x:v>36</x:v>
      </x:c>
      <x:c r="H799" t="str">
        <x:v>C</x:v>
      </x:c>
      <x:c r="I799" t="str">
        <x:v>7-9 years</x:v>
      </x:c>
      <x:c r="J799" t="str">
        <x:v>RENT</x:v>
      </x:c>
      <x:c r="K799" t="str">
        <x:v>debt_consolidation</x:v>
      </x:c>
      <x:c r="L799" t="n">
        <x:v>0</x:v>
      </x:c>
      <x:c r="M799" t="n">
        <x:v>0</x:v>
      </x:c>
      <x:c r="N799" t="str">
        <x:v>Fully Paid</x:v>
      </x:c>
      <x:c r="O799" t="str">
        <x:f>IF(D799="","Unknown",IF(D799&lt;25000,"&lt;$25k",IF(D799&lt;50000,"$25k-$50k",IF(D799&lt;75000,"$50k-$75k",IF(D799&lt;100000,"$75k-$100k","$100k+")))))</x:f>
        <x:v>&lt;$25k</x:v>
      </x:c>
      <x:c r="P799" t="str">
        <x:f>IF(E799="","Unknown",IF(E799&lt;10,"&lt;10",IF(E799&lt;20,"10-&lt;20",IF(E799&lt;25,"20-&lt;25",IF(E799&lt;35,"25-&lt;35","35+")))))</x:f>
        <x:v>10-&lt;20</x:v>
      </x:c>
    </x:row>
    <x:row r="800">
      <x:c r="A800" t="str">
        <x:v>SYN0000799</x:v>
      </x:c>
      <x:c r="B800" s="12" t="n">
        <x:v>42745</x:v>
      </x:c>
      <x:c r="C800" s="18" t="n">
        <x:v>8883</x:v>
      </x:c>
      <x:c r="D800" s="18" t="n">
        <x:v>69218</x:v>
      </x:c>
      <x:c r="E800" s="18" t="n">
        <x:v>17.31</x:v>
      </x:c>
      <x:c r="F800" s="18" t="n">
        <x:v>13.03</x:v>
      </x:c>
      <x:c r="G800" t="n">
        <x:v>60</x:v>
      </x:c>
      <x:c r="H800" t="str">
        <x:v>C</x:v>
      </x:c>
      <x:c r="I800" t="str">
        <x:v>1-3 years</x:v>
      </x:c>
      <x:c r="J800" t="str">
        <x:v>RENT</x:v>
      </x:c>
      <x:c r="K800" t="str">
        <x:v>debt_consolidation</x:v>
      </x:c>
      <x:c r="L800" t="n">
        <x:v>0</x:v>
      </x:c>
      <x:c r="M800" t="n">
        <x:v>0</x:v>
      </x:c>
      <x:c r="N800" t="str">
        <x:v>Fully Paid</x:v>
      </x:c>
      <x:c r="O800" t="str">
        <x:f>IF(D800="","Unknown",IF(D800&lt;25000,"&lt;$25k",IF(D800&lt;50000,"$25k-$50k",IF(D800&lt;75000,"$50k-$75k",IF(D800&lt;100000,"$75k-$100k","$100k+")))))</x:f>
        <x:v>$50k-$75k</x:v>
      </x:c>
      <x:c r="P800" t="str">
        <x:f>IF(E800="","Unknown",IF(E800&lt;10,"&lt;10",IF(E800&lt;20,"10-&lt;20",IF(E800&lt;25,"20-&lt;25",IF(E800&lt;35,"25-&lt;35","35+")))))</x:f>
        <x:v>10-&lt;20</x:v>
      </x:c>
    </x:row>
    <x:row r="801">
      <x:c r="A801" t="str">
        <x:v>SYN0000800</x:v>
      </x:c>
      <x:c r="B801" s="12" t="n">
        <x:v>41605</x:v>
      </x:c>
      <x:c r="C801" s="18" t="n">
        <x:v>6496</x:v>
      </x:c>
      <x:c r="D801" s="18" t="n">
        <x:v>27979</x:v>
      </x:c>
      <x:c r="E801" s="18" t="n">
        <x:v>19.21</x:v>
      </x:c>
      <x:c r="F801" s="18" t="n">
        <x:v>6.27</x:v>
      </x:c>
      <x:c r="G801" t="n">
        <x:v>36</x:v>
      </x:c>
      <x:c r="H801" t="str">
        <x:v>A</x:v>
      </x:c>
      <x:c r="I801" t="str">
        <x:v>1-3 years</x:v>
      </x:c>
      <x:c r="J801" t="str">
        <x:v>RENT</x:v>
      </x:c>
      <x:c r="K801" t="str">
        <x:v>debt_consolidation</x:v>
      </x:c>
      <x:c r="L801" t="n">
        <x:v>0</x:v>
      </x:c>
      <x:c r="M801" t="n">
        <x:v>0</x:v>
      </x:c>
      <x:c r="N801" t="str">
        <x:v>Fully Paid</x:v>
      </x:c>
      <x:c r="O801" t="str">
        <x:f>IF(D801="","Unknown",IF(D801&lt;25000,"&lt;$25k",IF(D801&lt;50000,"$25k-$50k",IF(D801&lt;75000,"$50k-$75k",IF(D801&lt;100000,"$75k-$100k","$100k+")))))</x:f>
        <x:v>$25k-$50k</x:v>
      </x:c>
      <x:c r="P801" t="str">
        <x:f>IF(E801="","Unknown",IF(E801&lt;10,"&lt;10",IF(E801&lt;20,"10-&lt;20",IF(E801&lt;25,"20-&lt;25",IF(E801&lt;35,"25-&lt;35","35+")))))</x:f>
        <x:v>10-&lt;20</x:v>
      </x:c>
    </x:row>
    <x:row r="802">
      <x:c r="A802" t="str">
        <x:v>SYN0000801</x:v>
      </x:c>
      <x:c r="B802" s="12" t="n">
        <x:v>41875</x:v>
      </x:c>
      <x:c r="C802" s="18" t="n">
        <x:v>13773</x:v>
      </x:c>
      <x:c r="D802" s="18" t="n">
        <x:v>142944</x:v>
      </x:c>
      <x:c r="E802" s="18" t="n">
        <x:v>7.29</x:v>
      </x:c>
      <x:c r="F802" s="18" t="n">
        <x:v>15.3</x:v>
      </x:c>
      <x:c r="G802" t="n">
        <x:v>36</x:v>
      </x:c>
      <x:c r="H802" t="str">
        <x:v>D</x:v>
      </x:c>
      <x:c r="I802" t="str">
        <x:v>4-6 years</x:v>
      </x:c>
      <x:c r="J802" t="str">
        <x:v>OWN</x:v>
      </x:c>
      <x:c r="K802" t="str">
        <x:v>debt_consolidation</x:v>
      </x:c>
      <x:c r="L802" t="n">
        <x:v>1</x:v>
      </x:c>
      <x:c r="M802" t="n">
        <x:v>0</x:v>
      </x:c>
      <x:c r="N802" t="str">
        <x:v>Fully Paid</x:v>
      </x:c>
      <x:c r="O802" t="str">
        <x:f>IF(D802="","Unknown",IF(D802&lt;25000,"&lt;$25k",IF(D802&lt;50000,"$25k-$50k",IF(D802&lt;75000,"$50k-$75k",IF(D802&lt;100000,"$75k-$100k","$100k+")))))</x:f>
        <x:v>$100k+</x:v>
      </x:c>
      <x:c r="P802" t="str">
        <x:f>IF(E802="","Unknown",IF(E802&lt;10,"&lt;10",IF(E802&lt;20,"10-&lt;20",IF(E802&lt;25,"20-&lt;25",IF(E802&lt;35,"25-&lt;35","35+")))))</x:f>
        <x:v>&lt;10</x:v>
      </x:c>
    </x:row>
    <x:row r="803">
      <x:c r="A803" t="str">
        <x:v>SYN0000802</x:v>
      </x:c>
      <x:c r="B803" s="12" t="n">
        <x:v>41425</x:v>
      </x:c>
      <x:c r="C803" s="18" t="n">
        <x:v>11604</x:v>
      </x:c>
      <x:c r="D803" s="18" t="n">
        <x:v>33470</x:v>
      </x:c>
      <x:c r="E803" s="18" t="n">
        <x:v>20.49</x:v>
      </x:c>
      <x:c r="F803" s="18" t="n">
        <x:v>24.77</x:v>
      </x:c>
      <x:c r="G803" t="n">
        <x:v>36</x:v>
      </x:c>
      <x:c r="H803" t="str">
        <x:v>F</x:v>
      </x:c>
      <x:c r="I803" t="str">
        <x:v>7-9 years</x:v>
      </x:c>
      <x:c r="J803" t="str">
        <x:v>MORTGAGE</x:v>
      </x:c>
      <x:c r="K803" t="str">
        <x:v>credit_card</x:v>
      </x:c>
      <x:c r="L803" t="n">
        <x:v>1</x:v>
      </x:c>
      <x:c r="M803" t="n">
        <x:v>0</x:v>
      </x:c>
      <x:c r="N803" t="str">
        <x:v>Fully Paid</x:v>
      </x:c>
      <x:c r="O803" t="str">
        <x:f>IF(D803="","Unknown",IF(D803&lt;25000,"&lt;$25k",IF(D803&lt;50000,"$25k-$50k",IF(D803&lt;75000,"$50k-$75k",IF(D803&lt;100000,"$75k-$100k","$100k+")))))</x:f>
        <x:v>$25k-$50k</x:v>
      </x:c>
      <x:c r="P803" t="str">
        <x:f>IF(E803="","Unknown",IF(E803&lt;10,"&lt;10",IF(E803&lt;20,"10-&lt;20",IF(E803&lt;25,"20-&lt;25",IF(E803&lt;35,"25-&lt;35","35+")))))</x:f>
        <x:v>20-&lt;25</x:v>
      </x:c>
    </x:row>
    <x:row r="804">
      <x:c r="A804" t="str">
        <x:v>SYN0000803</x:v>
      </x:c>
      <x:c r="B804" s="12" t="n">
        <x:v>41725</x:v>
      </x:c>
      <x:c r="C804" s="18" t="n">
        <x:v>8027</x:v>
      </x:c>
      <x:c r="D804" s="18" t="n">
        <x:v>17913</x:v>
      </x:c>
      <x:c r="E804" s="18" t="n">
        <x:v>2.53</x:v>
      </x:c>
      <x:c r="F804" s="18" t="n">
        <x:v>9.75</x:v>
      </x:c>
      <x:c r="G804" t="n">
        <x:v>36</x:v>
      </x:c>
      <x:c r="H804" t="str">
        <x:v>B</x:v>
      </x:c>
      <x:c r="I804" t="str">
        <x:v>&lt;1 year</x:v>
      </x:c>
      <x:c r="J804" t="str">
        <x:v>MORTGAGE</x:v>
      </x:c>
      <x:c r="K804" t="str">
        <x:v>other</x:v>
      </x:c>
      <x:c r="L804" t="n">
        <x:v>1</x:v>
      </x:c>
      <x:c r="M804" t="n">
        <x:v>0</x:v>
      </x:c>
      <x:c r="N804" t="str">
        <x:v>Fully Paid</x:v>
      </x:c>
      <x:c r="O804" t="str">
        <x:f>IF(D804="","Unknown",IF(D804&lt;25000,"&lt;$25k",IF(D804&lt;50000,"$25k-$50k",IF(D804&lt;75000,"$50k-$75k",IF(D804&lt;100000,"$75k-$100k","$100k+")))))</x:f>
        <x:v>&lt;$25k</x:v>
      </x:c>
      <x:c r="P804" t="str">
        <x:f>IF(E804="","Unknown",IF(E804&lt;10,"&lt;10",IF(E804&lt;20,"10-&lt;20",IF(E804&lt;25,"20-&lt;25",IF(E804&lt;35,"25-&lt;35","35+")))))</x:f>
        <x:v>&lt;10</x:v>
      </x:c>
    </x:row>
    <x:row r="805">
      <x:c r="A805" t="str">
        <x:v>SYN0000804</x:v>
      </x:c>
      <x:c r="B805" s="12" t="n">
        <x:v>42685</x:v>
      </x:c>
      <x:c r="C805" s="18" t="n">
        <x:v>7988</x:v>
      </x:c>
      <x:c r="D805" s="18" t="n">
        <x:v>47171</x:v>
      </x:c>
      <x:c r="E805" s="18" t="n">
        <x:v>34.6</x:v>
      </x:c>
      <x:c r="F805" s="18" t="n">
        <x:v>22.05</x:v>
      </x:c>
      <x:c r="G805" t="n">
        <x:v>36</x:v>
      </x:c>
      <x:c r="H805" t="str">
        <x:v>F</x:v>
      </x:c>
      <x:c r="I805" t="str">
        <x:v>7-9 years</x:v>
      </x:c>
      <x:c r="J805" t="str">
        <x:v>MORTGAGE</x:v>
      </x:c>
      <x:c r="K805" t="str">
        <x:v>home_improvement</x:v>
      </x:c>
      <x:c r="L805" t="n">
        <x:v>0</x:v>
      </x:c>
      <x:c r="M805" t="n">
        <x:v>1</x:v>
      </x:c>
      <x:c r="N805" t="str">
        <x:v>Charged Off</x:v>
      </x:c>
      <x:c r="O805" t="str">
        <x:f>IF(D805="","Unknown",IF(D805&lt;25000,"&lt;$25k",IF(D805&lt;50000,"$25k-$50k",IF(D805&lt;75000,"$50k-$75k",IF(D805&lt;100000,"$75k-$100k","$100k+")))))</x:f>
        <x:v>$25k-$50k</x:v>
      </x:c>
      <x:c r="P805" t="str">
        <x:f>IF(E805="","Unknown",IF(E805&lt;10,"&lt;10",IF(E805&lt;20,"10-&lt;20",IF(E805&lt;25,"20-&lt;25",IF(E805&lt;35,"25-&lt;35","35+")))))</x:f>
        <x:v>25-&lt;35</x:v>
      </x:c>
    </x:row>
    <x:row r="806">
      <x:c r="A806" t="str">
        <x:v>SYN0000805</x:v>
      </x:c>
      <x:c r="B806" s="12" t="n">
        <x:v>41605</x:v>
      </x:c>
      <x:c r="C806" s="18" t="n">
        <x:v>10396</x:v>
      </x:c>
      <x:c r="D806" s="18" t="n">
        <x:v>19512</x:v>
      </x:c>
      <x:c r="E806" s="18" t="n">
        <x:v>24.81</x:v>
      </x:c>
      <x:c r="F806" s="18" t="n">
        <x:v>5.62</x:v>
      </x:c>
      <x:c r="G806" t="n">
        <x:v>60</x:v>
      </x:c>
      <x:c r="H806" t="str">
        <x:v>B</x:v>
      </x:c>
      <x:c r="I806" t="str">
        <x:v>10+ years</x:v>
      </x:c>
      <x:c r="J806" t="str">
        <x:v>RENT</x:v>
      </x:c>
      <x:c r="K806" t="str">
        <x:v>debt_consolidation</x:v>
      </x:c>
      <x:c r="L806" t="n">
        <x:v>0</x:v>
      </x:c>
      <x:c r="M806" t="n">
        <x:v>0</x:v>
      </x:c>
      <x:c r="N806" t="str">
        <x:v>Fully Paid</x:v>
      </x:c>
      <x:c r="O806" t="str">
        <x:f>IF(D806="","Unknown",IF(D806&lt;25000,"&lt;$25k",IF(D806&lt;50000,"$25k-$50k",IF(D806&lt;75000,"$50k-$75k",IF(D806&lt;100000,"$75k-$100k","$100k+")))))</x:f>
        <x:v>&lt;$25k</x:v>
      </x:c>
      <x:c r="P806" t="str">
        <x:f>IF(E806="","Unknown",IF(E806&lt;10,"&lt;10",IF(E806&lt;20,"10-&lt;20",IF(E806&lt;25,"20-&lt;25",IF(E806&lt;35,"25-&lt;35","35+")))))</x:f>
        <x:v>20-&lt;25</x:v>
      </x:c>
    </x:row>
    <x:row r="807">
      <x:c r="A807" t="str">
        <x:v>SYN0000806</x:v>
      </x:c>
      <x:c r="B807" s="12" t="n">
        <x:v>43195</x:v>
      </x:c>
      <x:c r="C807" s="18" t="n">
        <x:v>9826</x:v>
      </x:c>
      <x:c r="D807" s="18" t="n">
        <x:v>44936</x:v>
      </x:c>
      <x:c r="E807" s="18" t="n">
        <x:v>18.69</x:v>
      </x:c>
      <x:c r="F807" s="18" t="n">
        <x:v>17.4</x:v>
      </x:c>
      <x:c r="G807" t="n">
        <x:v>36</x:v>
      </x:c>
      <x:c r="H807" t="str">
        <x:v>E</x:v>
      </x:c>
      <x:c r="I807" t="str">
        <x:v>1-3 years</x:v>
      </x:c>
      <x:c r="J807" t="str">
        <x:v>RENT</x:v>
      </x:c>
      <x:c r="K807" t="str">
        <x:v>debt_consolidation</x:v>
      </x:c>
      <x:c r="L807" t="n">
        <x:v>1</x:v>
      </x:c>
      <x:c r="M807" t="n">
        <x:v>0</x:v>
      </x:c>
      <x:c r="N807" t="str">
        <x:v>Fully Paid</x:v>
      </x:c>
      <x:c r="O807" t="str">
        <x:f>IF(D807="","Unknown",IF(D807&lt;25000,"&lt;$25k",IF(D807&lt;50000,"$25k-$50k",IF(D807&lt;75000,"$50k-$75k",IF(D807&lt;100000,"$75k-$100k","$100k+")))))</x:f>
        <x:v>$25k-$50k</x:v>
      </x:c>
      <x:c r="P807" t="str">
        <x:f>IF(E807="","Unknown",IF(E807&lt;10,"&lt;10",IF(E807&lt;20,"10-&lt;20",IF(E807&lt;25,"20-&lt;25",IF(E807&lt;35,"25-&lt;35","35+")))))</x:f>
        <x:v>10-&lt;20</x:v>
      </x:c>
    </x:row>
    <x:row r="808">
      <x:c r="A808" t="str">
        <x:v>SYN0000807</x:v>
      </x:c>
      <x:c r="B808" s="12" t="n">
        <x:v>41455</x:v>
      </x:c>
      <x:c r="C808" s="18" t="n">
        <x:v>5714</x:v>
      </x:c>
      <x:c r="D808" s="18" t="n">
        <x:v>33101</x:v>
      </x:c>
      <x:c r="E808" s="18" t="n">
        <x:v>25.03</x:v>
      </x:c>
      <x:c r="F808" s="18" t="n">
        <x:v>13.37</x:v>
      </x:c>
      <x:c r="G808" t="n">
        <x:v>36</x:v>
      </x:c>
      <x:c r="H808" t="str">
        <x:v>D</x:v>
      </x:c>
      <x:c r="I808" t="str">
        <x:v>7-9 years</x:v>
      </x:c>
      <x:c r="J808" t="str">
        <x:v>OWN</x:v>
      </x:c>
      <x:c r="K808" t="str">
        <x:v>debt_consolidation</x:v>
      </x:c>
      <x:c r="L808" t="n">
        <x:v>2</x:v>
      </x:c>
      <x:c r="M808" t="n">
        <x:v>0</x:v>
      </x:c>
      <x:c r="N808" t="str">
        <x:v>Fully Paid</x:v>
      </x:c>
      <x:c r="O808" t="str">
        <x:f>IF(D808="","Unknown",IF(D808&lt;25000,"&lt;$25k",IF(D808&lt;50000,"$25k-$50k",IF(D808&lt;75000,"$50k-$75k",IF(D808&lt;100000,"$75k-$100k","$100k+")))))</x:f>
        <x:v>$25k-$50k</x:v>
      </x:c>
      <x:c r="P808" t="str">
        <x:f>IF(E808="","Unknown",IF(E808&lt;10,"&lt;10",IF(E808&lt;20,"10-&lt;20",IF(E808&lt;25,"20-&lt;25",IF(E808&lt;35,"25-&lt;35","35+")))))</x:f>
        <x:v>25-&lt;35</x:v>
      </x:c>
    </x:row>
    <x:row r="809">
      <x:c r="A809" t="str">
        <x:v>SYN0000808</x:v>
      </x:c>
      <x:c r="B809" s="12" t="n">
        <x:v>42475</x:v>
      </x:c>
      <x:c r="C809" s="18" t="n">
        <x:v>5102</x:v>
      </x:c>
      <x:c r="D809" s="18" t="n">
        <x:v>23303</x:v>
      </x:c>
      <x:c r="E809" s="18" t="n">
        <x:v>15.83</x:v>
      </x:c>
      <x:c r="F809" s="18" t="n">
        <x:v>13.16</x:v>
      </x:c>
      <x:c r="G809" t="n">
        <x:v>36</x:v>
      </x:c>
      <x:c r="H809" t="str">
        <x:v>D</x:v>
      </x:c>
      <x:c r="I809" t="str">
        <x:v>10+ years</x:v>
      </x:c>
      <x:c r="J809" t="str">
        <x:v>RENT</x:v>
      </x:c>
      <x:c r="K809" t="str">
        <x:v>debt_consolidation</x:v>
      </x:c>
      <x:c r="L809" t="n">
        <x:v>0</x:v>
      </x:c>
      <x:c r="M809" t="n">
        <x:v>0</x:v>
      </x:c>
      <x:c r="N809" t="str">
        <x:v>Fully Paid</x:v>
      </x:c>
      <x:c r="O809" t="str">
        <x:f>IF(D809="","Unknown",IF(D809&lt;25000,"&lt;$25k",IF(D809&lt;50000,"$25k-$50k",IF(D809&lt;75000,"$50k-$75k",IF(D809&lt;100000,"$75k-$100k","$100k+")))))</x:f>
        <x:v>&lt;$25k</x:v>
      </x:c>
      <x:c r="P809" t="str">
        <x:f>IF(E809="","Unknown",IF(E809&lt;10,"&lt;10",IF(E809&lt;20,"10-&lt;20",IF(E809&lt;25,"20-&lt;25",IF(E809&lt;35,"25-&lt;35","35+")))))</x:f>
        <x:v>10-&lt;20</x:v>
      </x:c>
    </x:row>
    <x:row r="810">
      <x:c r="A810" t="str">
        <x:v>SYN0000809</x:v>
      </x:c>
      <x:c r="B810" s="12" t="n">
        <x:v>41305</x:v>
      </x:c>
      <x:c r="C810" s="18" t="n">
        <x:v>12008</x:v>
      </x:c>
      <x:c r="D810" s="18" t="n">
        <x:v>39819</x:v>
      </x:c>
      <x:c r="E810" s="18" t="n">
        <x:v>17.42</x:v>
      </x:c>
      <x:c r="F810" s="18" t="n">
        <x:v>13</x:v>
      </x:c>
      <x:c r="G810" t="n">
        <x:v>36</x:v>
      </x:c>
      <x:c r="H810" t="str">
        <x:v>D</x:v>
      </x:c>
      <x:c r="I810" t="str">
        <x:v>1-3 years</x:v>
      </x:c>
      <x:c r="J810" t="str">
        <x:v>MORTGAGE</x:v>
      </x:c>
      <x:c r="K810" t="str">
        <x:v>debt_consolidation</x:v>
      </x:c>
      <x:c r="L810" t="n">
        <x:v>0</x:v>
      </x:c>
      <x:c r="M810" t="n">
        <x:v>0</x:v>
      </x:c>
      <x:c r="N810" t="str">
        <x:v>Fully Paid</x:v>
      </x:c>
      <x:c r="O810" t="str">
        <x:f>IF(D810="","Unknown",IF(D810&lt;25000,"&lt;$25k",IF(D810&lt;50000,"$25k-$50k",IF(D810&lt;75000,"$50k-$75k",IF(D810&lt;100000,"$75k-$100k","$100k+")))))</x:f>
        <x:v>$25k-$50k</x:v>
      </x:c>
      <x:c r="P810" t="str">
        <x:f>IF(E810="","Unknown",IF(E810&lt;10,"&lt;10",IF(E810&lt;20,"10-&lt;20",IF(E810&lt;25,"20-&lt;25",IF(E810&lt;35,"25-&lt;35","35+")))))</x:f>
        <x:v>10-&lt;20</x:v>
      </x:c>
    </x:row>
    <x:row r="811">
      <x:c r="A811" t="str">
        <x:v>SYN0000810</x:v>
      </x:c>
      <x:c r="B811" s="12" t="n">
        <x:v>41875</x:v>
      </x:c>
      <x:c r="C811" s="18" t="n">
        <x:v>7824</x:v>
      </x:c>
      <x:c r="D811" s="18" t="n">
        <x:v>111924</x:v>
      </x:c>
      <x:c r="E811" s="18" t="n">
        <x:v>0</x:v>
      </x:c>
      <x:c r="F811" s="18" t="n">
        <x:v>8.6</x:v>
      </x:c>
      <x:c r="G811" t="n">
        <x:v>36</x:v>
      </x:c>
      <x:c r="H811" t="str">
        <x:v>B</x:v>
      </x:c>
      <x:c r="I811" t="str">
        <x:v>7-9 years</x:v>
      </x:c>
      <x:c r="J811" t="str">
        <x:v>RENT</x:v>
      </x:c>
      <x:c r="K811" t="str">
        <x:v>debt_consolidation</x:v>
      </x:c>
      <x:c r="L811" t="n">
        <x:v>0</x:v>
      </x:c>
      <x:c r="M811" t="n">
        <x:v>0</x:v>
      </x:c>
      <x:c r="N811" t="str">
        <x:v>Fully Paid</x:v>
      </x:c>
      <x:c r="O811" t="str">
        <x:f>IF(D811="","Unknown",IF(D811&lt;25000,"&lt;$25k",IF(D811&lt;50000,"$25k-$50k",IF(D811&lt;75000,"$50k-$75k",IF(D811&lt;100000,"$75k-$100k","$100k+")))))</x:f>
        <x:v>$100k+</x:v>
      </x:c>
      <x:c r="P811" t="str">
        <x:f>IF(E811="","Unknown",IF(E811&lt;10,"&lt;10",IF(E811&lt;20,"10-&lt;20",IF(E811&lt;25,"20-&lt;25",IF(E811&lt;35,"25-&lt;35","35+")))))</x:f>
        <x:v>Unknown</x:v>
      </x:c>
    </x:row>
    <x:row r="812">
      <x:c r="A812" t="str">
        <x:v>SYN0000811</x:v>
      </x:c>
      <x:c r="B812" s="12" t="n">
        <x:v>41905</x:v>
      </x:c>
      <x:c r="C812" s="18" t="n">
        <x:v>20907</x:v>
      </x:c>
      <x:c r="D812" s="18" t="n">
        <x:v>34074</x:v>
      </x:c>
      <x:c r="E812" s="18" t="n">
        <x:v>24.12</x:v>
      </x:c>
      <x:c r="F812" s="18" t="n">
        <x:v>20.21</x:v>
      </x:c>
      <x:c r="G812" t="n">
        <x:v>36</x:v>
      </x:c>
      <x:c r="H812" t="str">
        <x:v>F</x:v>
      </x:c>
      <x:c r="I812" t="str">
        <x:v>10+ years</x:v>
      </x:c>
      <x:c r="J812" t="str">
        <x:v>MORTGAGE</x:v>
      </x:c>
      <x:c r="K812" t="str">
        <x:v>debt_consolidation</x:v>
      </x:c>
      <x:c r="L812" t="n">
        <x:v>0</x:v>
      </x:c>
      <x:c r="M812" t="n">
        <x:v>0</x:v>
      </x:c>
      <x:c r="N812" t="str">
        <x:v>Fully Paid</x:v>
      </x:c>
      <x:c r="O812" t="str">
        <x:f>IF(D812="","Unknown",IF(D812&lt;25000,"&lt;$25k",IF(D812&lt;50000,"$25k-$50k",IF(D812&lt;75000,"$50k-$75k",IF(D812&lt;100000,"$75k-$100k","$100k+")))))</x:f>
        <x:v>$25k-$50k</x:v>
      </x:c>
      <x:c r="P812" t="str">
        <x:f>IF(E812="","Unknown",IF(E812&lt;10,"&lt;10",IF(E812&lt;20,"10-&lt;20",IF(E812&lt;25,"20-&lt;25",IF(E812&lt;35,"25-&lt;35","35+")))))</x:f>
        <x:v>20-&lt;25</x:v>
      </x:c>
    </x:row>
    <x:row r="813">
      <x:c r="A813" t="str">
        <x:v>SYN0000812</x:v>
      </x:c>
      <x:c r="B813" s="12" t="n">
        <x:v>41575</x:v>
      </x:c>
      <x:c r="C813" s="18" t="n">
        <x:v>14955</x:v>
      </x:c>
      <x:c r="D813" s="18" t="n">
        <x:v>50319</x:v>
      </x:c>
      <x:c r="E813" s="18" t="n">
        <x:v>17.27</x:v>
      </x:c>
      <x:c r="F813" s="18" t="n">
        <x:v>8.57</x:v>
      </x:c>
      <x:c r="G813" t="n">
        <x:v>36</x:v>
      </x:c>
      <x:c r="H813" t="str">
        <x:v>C</x:v>
      </x:c>
      <x:c r="I813" t="str">
        <x:v>7-9 years</x:v>
      </x:c>
      <x:c r="J813" t="str">
        <x:v>MORTGAGE</x:v>
      </x:c>
      <x:c r="K813" t="str">
        <x:v>home_improvement</x:v>
      </x:c>
      <x:c r="L813" t="n">
        <x:v>1</x:v>
      </x:c>
      <x:c r="M813" t="n">
        <x:v>0</x:v>
      </x:c>
      <x:c r="N813" t="str">
        <x:v>Fully Paid</x:v>
      </x:c>
      <x:c r="O813" t="str">
        <x:f>IF(D813="","Unknown",IF(D813&lt;25000,"&lt;$25k",IF(D813&lt;50000,"$25k-$50k",IF(D813&lt;75000,"$50k-$75k",IF(D813&lt;100000,"$75k-$100k","$100k+")))))</x:f>
        <x:v>$50k-$75k</x:v>
      </x:c>
      <x:c r="P813" t="str">
        <x:f>IF(E813="","Unknown",IF(E813&lt;10,"&lt;10",IF(E813&lt;20,"10-&lt;20",IF(E813&lt;25,"20-&lt;25",IF(E813&lt;35,"25-&lt;35","35+")))))</x:f>
        <x:v>10-&lt;20</x:v>
      </x:c>
    </x:row>
    <x:row r="814">
      <x:c r="A814" t="str">
        <x:v>SYN0000813</x:v>
      </x:c>
      <x:c r="B814" s="12" t="n">
        <x:v>42655</x:v>
      </x:c>
      <x:c r="C814" s="18" t="n">
        <x:v>9070</x:v>
      </x:c>
      <x:c r="D814" s="18" t="n">
        <x:v>227294</x:v>
      </x:c>
      <x:c r="E814" s="18" t="n">
        <x:v>0</x:v>
      </x:c>
      <x:c r="F814" s="18" t="n">
        <x:v>11.11</x:v>
      </x:c>
      <x:c r="G814" t="n">
        <x:v>36</x:v>
      </x:c>
      <x:c r="H814" t="str">
        <x:v>B</x:v>
      </x:c>
      <x:c r="I814" t="str">
        <x:v>4-6 years</x:v>
      </x:c>
      <x:c r="J814" t="str">
        <x:v>RENT</x:v>
      </x:c>
      <x:c r="K814" t="str">
        <x:v>debt_consolidation</x:v>
      </x:c>
      <x:c r="L814" t="n">
        <x:v>0</x:v>
      </x:c>
      <x:c r="M814" t="n">
        <x:v>0</x:v>
      </x:c>
      <x:c r="N814" t="str">
        <x:v>Fully Paid</x:v>
      </x:c>
      <x:c r="O814" t="str">
        <x:f>IF(D814="","Unknown",IF(D814&lt;25000,"&lt;$25k",IF(D814&lt;50000,"$25k-$50k",IF(D814&lt;75000,"$50k-$75k",IF(D814&lt;100000,"$75k-$100k","$100k+")))))</x:f>
        <x:v>$100k+</x:v>
      </x:c>
      <x:c r="P814" t="str">
        <x:f>IF(E814="","Unknown",IF(E814&lt;10,"&lt;10",IF(E814&lt;20,"10-&lt;20",IF(E814&lt;25,"20-&lt;25",IF(E814&lt;35,"25-&lt;35","35+")))))</x:f>
        <x:v>Unknown</x:v>
      </x:c>
    </x:row>
    <x:row r="815">
      <x:c r="A815" t="str">
        <x:v>SYN0000814</x:v>
      </x:c>
      <x:c r="B815" s="12" t="n">
        <x:v>42235</x:v>
      </x:c>
      <x:c r="C815" s="18" t="n">
        <x:v>20397</x:v>
      </x:c>
      <x:c r="D815" s="18" t="n">
        <x:v>60748</x:v>
      </x:c>
      <x:c r="E815" s="18" t="n">
        <x:v>17.82</x:v>
      </x:c>
      <x:c r="F815" s="18" t="n">
        <x:v>7.45</x:v>
      </x:c>
      <x:c r="G815" t="n">
        <x:v>60</x:v>
      </x:c>
      <x:c r="H815" t="str">
        <x:v>C</x:v>
      </x:c>
      <x:c r="I815" t="str">
        <x:v>7-9 years</x:v>
      </x:c>
      <x:c r="J815" t="str">
        <x:v>RENT</x:v>
      </x:c>
      <x:c r="K815" t="str">
        <x:v>home_improvement</x:v>
      </x:c>
      <x:c r="L815" t="n">
        <x:v>2</x:v>
      </x:c>
      <x:c r="M815" t="n">
        <x:v>0</x:v>
      </x:c>
      <x:c r="N815" t="str">
        <x:v>Fully Paid</x:v>
      </x:c>
      <x:c r="O815" t="str">
        <x:f>IF(D815="","Unknown",IF(D815&lt;25000,"&lt;$25k",IF(D815&lt;50000,"$25k-$50k",IF(D815&lt;75000,"$50k-$75k",IF(D815&lt;100000,"$75k-$100k","$100k+")))))</x:f>
        <x:v>$50k-$75k</x:v>
      </x:c>
      <x:c r="P815" t="str">
        <x:f>IF(E815="","Unknown",IF(E815&lt;10,"&lt;10",IF(E815&lt;20,"10-&lt;20",IF(E815&lt;25,"20-&lt;25",IF(E815&lt;35,"25-&lt;35","35+")))))</x:f>
        <x:v>10-&lt;20</x:v>
      </x:c>
    </x:row>
    <x:row r="816">
      <x:c r="A816" t="str">
        <x:v>SYN0000815</x:v>
      </x:c>
      <x:c r="B816" s="12" t="n">
        <x:v>43015</x:v>
      </x:c>
      <x:c r="C816" s="18" t="n">
        <x:v>11191</x:v>
      </x:c>
      <x:c r="D816" s="18" t="n">
        <x:v>69429</x:v>
      </x:c>
      <x:c r="E816" s="18" t="n">
        <x:v>18.39</x:v>
      </x:c>
      <x:c r="F816" s="18" t="n">
        <x:v>5.41</x:v>
      </x:c>
      <x:c r="G816" t="n">
        <x:v>60</x:v>
      </x:c>
      <x:c r="H816" t="str">
        <x:v>A</x:v>
      </x:c>
      <x:c r="I816" t="str">
        <x:v>10+ years</x:v>
      </x:c>
      <x:c r="J816" t="str">
        <x:v>RENT</x:v>
      </x:c>
      <x:c r="K816" t="str">
        <x:v>debt_consolidation</x:v>
      </x:c>
      <x:c r="L816" t="n">
        <x:v>1</x:v>
      </x:c>
      <x:c r="M816" t="n">
        <x:v>0</x:v>
      </x:c>
      <x:c r="N816" t="str">
        <x:v>Fully Paid</x:v>
      </x:c>
      <x:c r="O816" t="str">
        <x:f>IF(D816="","Unknown",IF(D816&lt;25000,"&lt;$25k",IF(D816&lt;50000,"$25k-$50k",IF(D816&lt;75000,"$50k-$75k",IF(D816&lt;100000,"$75k-$100k","$100k+")))))</x:f>
        <x:v>$50k-$75k</x:v>
      </x:c>
      <x:c r="P816" t="str">
        <x:f>IF(E816="","Unknown",IF(E816&lt;10,"&lt;10",IF(E816&lt;20,"10-&lt;20",IF(E816&lt;25,"20-&lt;25",IF(E816&lt;35,"25-&lt;35","35+")))))</x:f>
        <x:v>10-&lt;20</x:v>
      </x:c>
    </x:row>
    <x:row r="817">
      <x:c r="A817" t="str">
        <x:v>SYN0000816</x:v>
      </x:c>
      <x:c r="B817" s="12" t="n">
        <x:v>41275</x:v>
      </x:c>
      <x:c r="C817" s="18" t="n">
        <x:v>12776</x:v>
      </x:c>
      <x:c r="D817" s="18" t="n">
        <x:v>44392</x:v>
      </x:c>
      <x:c r="E817" s="18" t="n">
        <x:v>30.19</x:v>
      </x:c>
      <x:c r="F817" s="18" t="n">
        <x:v>19.11</x:v>
      </x:c>
      <x:c r="G817" t="n">
        <x:v>36</x:v>
      </x:c>
      <x:c r="H817" t="str">
        <x:v>E</x:v>
      </x:c>
      <x:c r="I817" t="str">
        <x:v>7-9 years</x:v>
      </x:c>
      <x:c r="J817" t="str">
        <x:v>RENT</x:v>
      </x:c>
      <x:c r="K817" t="str">
        <x:v>medical</x:v>
      </x:c>
      <x:c r="L817" t="n">
        <x:v>2</x:v>
      </x:c>
      <x:c r="M817" t="n">
        <x:v>0</x:v>
      </x:c>
      <x:c r="N817" t="str">
        <x:v>Fully Paid</x:v>
      </x:c>
      <x:c r="O817" t="str">
        <x:f>IF(D817="","Unknown",IF(D817&lt;25000,"&lt;$25k",IF(D817&lt;50000,"$25k-$50k",IF(D817&lt;75000,"$50k-$75k",IF(D817&lt;100000,"$75k-$100k","$100k+")))))</x:f>
        <x:v>$25k-$50k</x:v>
      </x:c>
      <x:c r="P817" t="str">
        <x:f>IF(E817="","Unknown",IF(E817&lt;10,"&lt;10",IF(E817&lt;20,"10-&lt;20",IF(E817&lt;25,"20-&lt;25",IF(E817&lt;35,"25-&lt;35","35+")))))</x:f>
        <x:v>25-&lt;35</x:v>
      </x:c>
    </x:row>
    <x:row r="818">
      <x:c r="A818" t="str">
        <x:v>SYN0000817</x:v>
      </x:c>
      <x:c r="B818" s="12" t="n">
        <x:v>42565</x:v>
      </x:c>
      <x:c r="C818" s="18" t="n">
        <x:v>10539</x:v>
      </x:c>
      <x:c r="D818" s="18" t="n">
        <x:v>28626</x:v>
      </x:c>
      <x:c r="E818" s="18" t="n">
        <x:v>12.16</x:v>
      </x:c>
      <x:c r="F818" s="18" t="n">
        <x:v>19.57</x:v>
      </x:c>
      <x:c r="G818" t="n">
        <x:v>36</x:v>
      </x:c>
      <x:c r="H818" t="str">
        <x:v>E</x:v>
      </x:c>
      <x:c r="I818" t="str">
        <x:v>1-3 years</x:v>
      </x:c>
      <x:c r="J818" t="str">
        <x:v>RENT</x:v>
      </x:c>
      <x:c r="K818" t="str">
        <x:v>debt_consolidation</x:v>
      </x:c>
      <x:c r="L818" t="n">
        <x:v>0</x:v>
      </x:c>
      <x:c r="M818" t="n">
        <x:v>1</x:v>
      </x:c>
      <x:c r="N818" t="str">
        <x:v>Charged Off</x:v>
      </x:c>
      <x:c r="O818" t="str">
        <x:f>IF(D818="","Unknown",IF(D818&lt;25000,"&lt;$25k",IF(D818&lt;50000,"$25k-$50k",IF(D818&lt;75000,"$50k-$75k",IF(D818&lt;100000,"$75k-$100k","$100k+")))))</x:f>
        <x:v>$25k-$50k</x:v>
      </x:c>
      <x:c r="P818" t="str">
        <x:f>IF(E818="","Unknown",IF(E818&lt;10,"&lt;10",IF(E818&lt;20,"10-&lt;20",IF(E818&lt;25,"20-&lt;25",IF(E818&lt;35,"25-&lt;35","35+")))))</x:f>
        <x:v>10-&lt;20</x:v>
      </x:c>
    </x:row>
    <x:row r="819">
      <x:c r="A819" t="str">
        <x:v>SYN0000818</x:v>
      </x:c>
      <x:c r="B819" s="12" t="n">
        <x:v>42805</x:v>
      </x:c>
      <x:c r="C819" s="18" t="n">
        <x:v>22153</x:v>
      </x:c>
      <x:c r="D819" s="18" t="n">
        <x:v>95055</x:v>
      </x:c>
      <x:c r="E819" s="18" t="n">
        <x:v>36.37</x:v>
      </x:c>
      <x:c r="F819" s="18" t="n">
        <x:v>23.42</x:v>
      </x:c>
      <x:c r="G819" t="n">
        <x:v>36</x:v>
      </x:c>
      <x:c r="H819" t="str">
        <x:v>F</x:v>
      </x:c>
      <x:c r="I819" t="str">
        <x:v>4-6 years</x:v>
      </x:c>
      <x:c r="J819" t="str">
        <x:v>MORTGAGE</x:v>
      </x:c>
      <x:c r="K819" t="str">
        <x:v>credit_card</x:v>
      </x:c>
      <x:c r="L819" t="n">
        <x:v>0</x:v>
      </x:c>
      <x:c r="M819" t="n">
        <x:v>0</x:v>
      </x:c>
      <x:c r="N819" t="str">
        <x:v>Fully Paid</x:v>
      </x:c>
      <x:c r="O819" t="str">
        <x:f>IF(D819="","Unknown",IF(D819&lt;25000,"&lt;$25k",IF(D819&lt;50000,"$25k-$50k",IF(D819&lt;75000,"$50k-$75k",IF(D819&lt;100000,"$75k-$100k","$100k+")))))</x:f>
        <x:v>$75k-$100k</x:v>
      </x:c>
      <x:c r="P819" t="str">
        <x:f>IF(E819="","Unknown",IF(E819&lt;10,"&lt;10",IF(E819&lt;20,"10-&lt;20",IF(E819&lt;25,"20-&lt;25",IF(E819&lt;35,"25-&lt;35","35+")))))</x:f>
        <x:v>35+</x:v>
      </x:c>
    </x:row>
    <x:row r="820">
      <x:c r="A820" t="str">
        <x:v>SYN0000819</x:v>
      </x:c>
      <x:c r="B820" s="12" t="n">
        <x:v>41305</x:v>
      </x:c>
      <x:c r="C820" s="18" t="n">
        <x:v>5784</x:v>
      </x:c>
      <x:c r="D820" s="18" t="n">
        <x:v>33719</x:v>
      </x:c>
      <x:c r="E820" s="18" t="n">
        <x:v>40.71</x:v>
      </x:c>
      <x:c r="F820" s="18" t="n">
        <x:v>26.36</x:v>
      </x:c>
      <x:c r="G820" t="n">
        <x:v>60</x:v>
      </x:c>
      <x:c r="H820" t="str">
        <x:v>G</x:v>
      </x:c>
      <x:c r="I820" t="str">
        <x:v>1-3 years</x:v>
      </x:c>
      <x:c r="J820" t="str">
        <x:v>RENT</x:v>
      </x:c>
      <x:c r="K820" t="str">
        <x:v>other</x:v>
      </x:c>
      <x:c r="L820" t="n">
        <x:v>0</x:v>
      </x:c>
      <x:c r="M820" t="n">
        <x:v>1</x:v>
      </x:c>
      <x:c r="N820" t="str">
        <x:v>Charged Off</x:v>
      </x:c>
      <x:c r="O820" t="str">
        <x:f>IF(D820="","Unknown",IF(D820&lt;25000,"&lt;$25k",IF(D820&lt;50000,"$25k-$50k",IF(D820&lt;75000,"$50k-$75k",IF(D820&lt;100000,"$75k-$100k","$100k+")))))</x:f>
        <x:v>$25k-$50k</x:v>
      </x:c>
      <x:c r="P820" t="str">
        <x:f>IF(E820="","Unknown",IF(E820&lt;10,"&lt;10",IF(E820&lt;20,"10-&lt;20",IF(E820&lt;25,"20-&lt;25",IF(E820&lt;35,"25-&lt;35","35+")))))</x:f>
        <x:v>35+</x:v>
      </x:c>
    </x:row>
    <x:row r="821">
      <x:c r="A821" t="str">
        <x:v>SYN0000820</x:v>
      </x:c>
      <x:c r="B821" s="12" t="n">
        <x:v>41395</x:v>
      </x:c>
      <x:c r="C821" s="18" t="n">
        <x:v>7638</x:v>
      </x:c>
      <x:c r="D821" s="18" t="n">
        <x:v>23398</x:v>
      </x:c>
      <x:c r="E821" s="18" t="n">
        <x:v>21.23</x:v>
      </x:c>
      <x:c r="F821" s="18" t="n">
        <x:v>11.31</x:v>
      </x:c>
      <x:c r="G821" t="n">
        <x:v>36</x:v>
      </x:c>
      <x:c r="H821" t="str">
        <x:v>C</x:v>
      </x:c>
      <x:c r="I821" t="str">
        <x:v>10+ years</x:v>
      </x:c>
      <x:c r="J821" t="str">
        <x:v>MORTGAGE</x:v>
      </x:c>
      <x:c r="K821" t="str">
        <x:v>other</x:v>
      </x:c>
      <x:c r="L821" t="n">
        <x:v>2</x:v>
      </x:c>
      <x:c r="M821" t="n">
        <x:v>0</x:v>
      </x:c>
      <x:c r="N821" t="str">
        <x:v>Fully Paid</x:v>
      </x:c>
      <x:c r="O821" t="str">
        <x:f>IF(D821="","Unknown",IF(D821&lt;25000,"&lt;$25k",IF(D821&lt;50000,"$25k-$50k",IF(D821&lt;75000,"$50k-$75k",IF(D821&lt;100000,"$75k-$100k","$100k+")))))</x:f>
        <x:v>&lt;$25k</x:v>
      </x:c>
      <x:c r="P821" t="str">
        <x:f>IF(E821="","Unknown",IF(E821&lt;10,"&lt;10",IF(E821&lt;20,"10-&lt;20",IF(E821&lt;25,"20-&lt;25",IF(E821&lt;35,"25-&lt;35","35+")))))</x:f>
        <x:v>20-&lt;25</x:v>
      </x:c>
    </x:row>
    <x:row r="822">
      <x:c r="A822" t="str">
        <x:v>SYN0000821</x:v>
      </x:c>
      <x:c r="B822" s="12" t="n">
        <x:v>43075</x:v>
      </x:c>
      <x:c r="C822" s="18" t="n">
        <x:v>9775</x:v>
      </x:c>
      <x:c r="D822" s="18" t="n">
        <x:v>32959</x:v>
      </x:c>
      <x:c r="E822" s="18" t="n">
        <x:v>15.51</x:v>
      </x:c>
      <x:c r="F822" s="18" t="n">
        <x:v>11.9</x:v>
      </x:c>
      <x:c r="G822" t="n">
        <x:v>36</x:v>
      </x:c>
      <x:c r="H822" t="str">
        <x:v>C</x:v>
      </x:c>
      <x:c r="I822" t="str">
        <x:v>1-3 years</x:v>
      </x:c>
      <x:c r="J822" t="str">
        <x:v>MORTGAGE</x:v>
      </x:c>
      <x:c r="K822" t="str">
        <x:v>home_improvement</x:v>
      </x:c>
      <x:c r="L822" t="n">
        <x:v>0</x:v>
      </x:c>
      <x:c r="M822" t="n">
        <x:v>0</x:v>
      </x:c>
      <x:c r="N822" t="str">
        <x:v>Fully Paid</x:v>
      </x:c>
      <x:c r="O822" t="str">
        <x:f>IF(D822="","Unknown",IF(D822&lt;25000,"&lt;$25k",IF(D822&lt;50000,"$25k-$50k",IF(D822&lt;75000,"$50k-$75k",IF(D822&lt;100000,"$75k-$100k","$100k+")))))</x:f>
        <x:v>$25k-$50k</x:v>
      </x:c>
      <x:c r="P822" t="str">
        <x:f>IF(E822="","Unknown",IF(E822&lt;10,"&lt;10",IF(E822&lt;20,"10-&lt;20",IF(E822&lt;25,"20-&lt;25",IF(E822&lt;35,"25-&lt;35","35+")))))</x:f>
        <x:v>10-&lt;20</x:v>
      </x:c>
    </x:row>
    <x:row r="823">
      <x:c r="A823" t="str">
        <x:v>SYN0000822</x:v>
      </x:c>
      <x:c r="B823" s="12" t="n">
        <x:v>42475</x:v>
      </x:c>
      <x:c r="C823" s="18" t="n">
        <x:v>17881</x:v>
      </x:c>
      <x:c r="D823" s="18" t="n">
        <x:v>47457</x:v>
      </x:c>
      <x:c r="E823" s="18" t="n">
        <x:v>22.26</x:v>
      </x:c>
      <x:c r="F823" s="18" t="n">
        <x:v>12.18</x:v>
      </x:c>
      <x:c r="G823" t="n">
        <x:v>36</x:v>
      </x:c>
      <x:c r="H823" t="str">
        <x:v>C</x:v>
      </x:c>
      <x:c r="I823" t="str">
        <x:v>7-9 years</x:v>
      </x:c>
      <x:c r="J823" t="str">
        <x:v>OWN</x:v>
      </x:c>
      <x:c r="K823" t="str">
        <x:v>debt_consolidation</x:v>
      </x:c>
      <x:c r="L823" t="n">
        <x:v>1</x:v>
      </x:c>
      <x:c r="M823" t="n">
        <x:v>0</x:v>
      </x:c>
      <x:c r="N823" t="str">
        <x:v>Fully Paid</x:v>
      </x:c>
      <x:c r="O823" t="str">
        <x:f>IF(D823="","Unknown",IF(D823&lt;25000,"&lt;$25k",IF(D823&lt;50000,"$25k-$50k",IF(D823&lt;75000,"$50k-$75k",IF(D823&lt;100000,"$75k-$100k","$100k+")))))</x:f>
        <x:v>$25k-$50k</x:v>
      </x:c>
      <x:c r="P823" t="str">
        <x:f>IF(E823="","Unknown",IF(E823&lt;10,"&lt;10",IF(E823&lt;20,"10-&lt;20",IF(E823&lt;25,"20-&lt;25",IF(E823&lt;35,"25-&lt;35","35+")))))</x:f>
        <x:v>20-&lt;25</x:v>
      </x:c>
    </x:row>
    <x:row r="824">
      <x:c r="A824" t="str">
        <x:v>SYN0000823</x:v>
      </x:c>
      <x:c r="B824" s="12" t="n">
        <x:v>42895</x:v>
      </x:c>
      <x:c r="C824" s="18" t="n">
        <x:v>6983</x:v>
      </x:c>
      <x:c r="D824" s="18" t="n">
        <x:v>47034</x:v>
      </x:c>
      <x:c r="E824" s="18" t="n">
        <x:v>15.54</x:v>
      </x:c>
      <x:c r="F824" s="18" t="n">
        <x:v>16.18</x:v>
      </x:c>
      <x:c r="G824" t="n">
        <x:v>36</x:v>
      </x:c>
      <x:c r="H824" t="str">
        <x:v>D</x:v>
      </x:c>
      <x:c r="I824" t="str">
        <x:v>1-3 years</x:v>
      </x:c>
      <x:c r="J824" t="str">
        <x:v>RENT</x:v>
      </x:c>
      <x:c r="K824" t="str">
        <x:v>debt_consolidation</x:v>
      </x:c>
      <x:c r="L824" t="n">
        <x:v>1</x:v>
      </x:c>
      <x:c r="M824" t="n">
        <x:v>1</x:v>
      </x:c>
      <x:c r="N824" t="str">
        <x:v>Charged Off</x:v>
      </x:c>
      <x:c r="O824" t="str">
        <x:f>IF(D824="","Unknown",IF(D824&lt;25000,"&lt;$25k",IF(D824&lt;50000,"$25k-$50k",IF(D824&lt;75000,"$50k-$75k",IF(D824&lt;100000,"$75k-$100k","$100k+")))))</x:f>
        <x:v>$25k-$50k</x:v>
      </x:c>
      <x:c r="P824" t="str">
        <x:f>IF(E824="","Unknown",IF(E824&lt;10,"&lt;10",IF(E824&lt;20,"10-&lt;20",IF(E824&lt;25,"20-&lt;25",IF(E824&lt;35,"25-&lt;35","35+")))))</x:f>
        <x:v>10-&lt;20</x:v>
      </x:c>
    </x:row>
    <x:row r="825">
      <x:c r="A825" t="str">
        <x:v>SYN0000824</x:v>
      </x:c>
      <x:c r="B825" s="12" t="n">
        <x:v>41365</x:v>
      </x:c>
      <x:c r="C825" s="18" t="n">
        <x:v>15906</x:v>
      </x:c>
      <x:c r="D825" s="18" t="n">
        <x:v>53714</x:v>
      </x:c>
      <x:c r="E825" s="18" t="n">
        <x:v>27.4</x:v>
      </x:c>
      <x:c r="F825" s="18" t="n">
        <x:v>6.9</x:v>
      </x:c>
      <x:c r="G825" t="n">
        <x:v>36</x:v>
      </x:c>
      <x:c r="H825" t="str">
        <x:v>B</x:v>
      </x:c>
      <x:c r="I825" t="str">
        <x:v>4-6 years</x:v>
      </x:c>
      <x:c r="J825" t="str">
        <x:v>MORTGAGE</x:v>
      </x:c>
      <x:c r="K825" t="str">
        <x:v>debt_consolidation</x:v>
      </x:c>
      <x:c r="L825" t="n">
        <x:v>1</x:v>
      </x:c>
      <x:c r="M825" t="n">
        <x:v>0</x:v>
      </x:c>
      <x:c r="N825" t="str">
        <x:v>Fully Paid</x:v>
      </x:c>
      <x:c r="O825" t="str">
        <x:f>IF(D825="","Unknown",IF(D825&lt;25000,"&lt;$25k",IF(D825&lt;50000,"$25k-$50k",IF(D825&lt;75000,"$50k-$75k",IF(D825&lt;100000,"$75k-$100k","$100k+")))))</x:f>
        <x:v>$50k-$75k</x:v>
      </x:c>
      <x:c r="P825" t="str">
        <x:f>IF(E825="","Unknown",IF(E825&lt;10,"&lt;10",IF(E825&lt;20,"10-&lt;20",IF(E825&lt;25,"20-&lt;25",IF(E825&lt;35,"25-&lt;35","35+")))))</x:f>
        <x:v>25-&lt;35</x:v>
      </x:c>
    </x:row>
    <x:row r="826">
      <x:c r="A826" t="str">
        <x:v>SYN0000825</x:v>
      </x:c>
      <x:c r="B826" s="12" t="n">
        <x:v>42385</x:v>
      </x:c>
      <x:c r="C826" s="18" t="n">
        <x:v>13437</x:v>
      </x:c>
      <x:c r="D826" s="18" t="n">
        <x:v>72026</x:v>
      </x:c>
      <x:c r="E826" s="18" t="n">
        <x:v>13.88</x:v>
      </x:c>
      <x:c r="F826" s="18" t="n">
        <x:v>10.03</x:v>
      </x:c>
      <x:c r="G826" t="n">
        <x:v>36</x:v>
      </x:c>
      <x:c r="H826" t="str">
        <x:v>B</x:v>
      </x:c>
      <x:c r="I826" t="str">
        <x:v>10+ years</x:v>
      </x:c>
      <x:c r="J826" t="str">
        <x:v>OWN</x:v>
      </x:c>
      <x:c r="K826" t="str">
        <x:v>home_improvement</x:v>
      </x:c>
      <x:c r="L826" t="n">
        <x:v>0</x:v>
      </x:c>
      <x:c r="M826" t="n">
        <x:v>0</x:v>
      </x:c>
      <x:c r="N826" t="str">
        <x:v>Fully Paid</x:v>
      </x:c>
      <x:c r="O826" t="str">
        <x:f>IF(D826="","Unknown",IF(D826&lt;25000,"&lt;$25k",IF(D826&lt;50000,"$25k-$50k",IF(D826&lt;75000,"$50k-$75k",IF(D826&lt;100000,"$75k-$100k","$100k+")))))</x:f>
        <x:v>$50k-$75k</x:v>
      </x:c>
      <x:c r="P826" t="str">
        <x:f>IF(E826="","Unknown",IF(E826&lt;10,"&lt;10",IF(E826&lt;20,"10-&lt;20",IF(E826&lt;25,"20-&lt;25",IF(E826&lt;35,"25-&lt;35","35+")))))</x:f>
        <x:v>10-&lt;20</x:v>
      </x:c>
    </x:row>
    <x:row r="827">
      <x:c r="A827" t="str">
        <x:v>SYN0000826</x:v>
      </x:c>
      <x:c r="B827" s="12" t="n">
        <x:v>41575</x:v>
      </x:c>
      <x:c r="C827" s="18" t="n">
        <x:v>9886</x:v>
      </x:c>
      <x:c r="D827" s="18" t="n">
        <x:v>28655</x:v>
      </x:c>
      <x:c r="E827" s="18" t="n">
        <x:v>11.92</x:v>
      </x:c>
      <x:c r="F827" s="18" t="n">
        <x:v>13.54</x:v>
      </x:c>
      <x:c r="G827" t="n">
        <x:v>36</x:v>
      </x:c>
      <x:c r="H827" t="str">
        <x:v>D</x:v>
      </x:c>
      <x:c r="I827" t="str">
        <x:v>10+ years</x:v>
      </x:c>
      <x:c r="J827" t="str">
        <x:v>MORTGAGE</x:v>
      </x:c>
      <x:c r="K827" t="str">
        <x:v>home_improvement</x:v>
      </x:c>
      <x:c r="L827" t="n">
        <x:v>2</x:v>
      </x:c>
      <x:c r="M827" t="n">
        <x:v>0</x:v>
      </x:c>
      <x:c r="N827" t="str">
        <x:v>Fully Paid</x:v>
      </x:c>
      <x:c r="O827" t="str">
        <x:f>IF(D827="","Unknown",IF(D827&lt;25000,"&lt;$25k",IF(D827&lt;50000,"$25k-$50k",IF(D827&lt;75000,"$50k-$75k",IF(D827&lt;100000,"$75k-$100k","$100k+")))))</x:f>
        <x:v>$25k-$50k</x:v>
      </x:c>
      <x:c r="P827" t="str">
        <x:f>IF(E827="","Unknown",IF(E827&lt;10,"&lt;10",IF(E827&lt;20,"10-&lt;20",IF(E827&lt;25,"20-&lt;25",IF(E827&lt;35,"25-&lt;35","35+")))))</x:f>
        <x:v>10-&lt;20</x:v>
      </x:c>
    </x:row>
    <x:row r="828">
      <x:c r="A828" t="str">
        <x:v>SYN0000827</x:v>
      </x:c>
      <x:c r="B828" s="12" t="n">
        <x:v>42085</x:v>
      </x:c>
      <x:c r="C828" s="18" t="n">
        <x:v>4317</x:v>
      </x:c>
      <x:c r="D828" s="18" t="n">
        <x:v>31137</x:v>
      </x:c>
      <x:c r="E828" s="18" t="n">
        <x:v>8.2</x:v>
      </x:c>
      <x:c r="F828" s="18" t="n">
        <x:v>13.16</x:v>
      </x:c>
      <x:c r="G828" t="n">
        <x:v>36</x:v>
      </x:c>
      <x:c r="H828" t="str">
        <x:v>C</x:v>
      </x:c>
      <x:c r="I828" t="str">
        <x:v>10+ years</x:v>
      </x:c>
      <x:c r="J828" t="str">
        <x:v>RENT</x:v>
      </x:c>
      <x:c r="K828" t="str">
        <x:v>major_purchase</x:v>
      </x:c>
      <x:c r="L828" t="n">
        <x:v>0</x:v>
      </x:c>
      <x:c r="M828" t="n">
        <x:v>0</x:v>
      </x:c>
      <x:c r="N828" t="str">
        <x:v>Fully Paid</x:v>
      </x:c>
      <x:c r="O828" t="str">
        <x:f>IF(D828="","Unknown",IF(D828&lt;25000,"&lt;$25k",IF(D828&lt;50000,"$25k-$50k",IF(D828&lt;75000,"$50k-$75k",IF(D828&lt;100000,"$75k-$100k","$100k+")))))</x:f>
        <x:v>$25k-$50k</x:v>
      </x:c>
      <x:c r="P828" t="str">
        <x:f>IF(E828="","Unknown",IF(E828&lt;10,"&lt;10",IF(E828&lt;20,"10-&lt;20",IF(E828&lt;25,"20-&lt;25",IF(E828&lt;35,"25-&lt;35","35+")))))</x:f>
        <x:v>&lt;10</x:v>
      </x:c>
    </x:row>
    <x:row r="829">
      <x:c r="A829" t="str">
        <x:v>SYN0000828</x:v>
      </x:c>
      <x:c r="B829" s="12" t="n">
        <x:v>43345</x:v>
      </x:c>
      <x:c r="C829" s="18" t="n">
        <x:v>14353</x:v>
      </x:c>
      <x:c r="D829" s="18" t="n">
        <x:v>15391</x:v>
      </x:c>
      <x:c r="E829" s="18" t="n">
        <x:v>13.98</x:v>
      </x:c>
      <x:c r="F829" s="18" t="n">
        <x:v>11.21</x:v>
      </x:c>
      <x:c r="G829" t="n">
        <x:v>36</x:v>
      </x:c>
      <x:c r="H829" t="str">
        <x:v>D</x:v>
      </x:c>
      <x:c r="I829" t="str">
        <x:v>&lt;1 year</x:v>
      </x:c>
      <x:c r="J829" t="str">
        <x:v>RENT</x:v>
      </x:c>
      <x:c r="K829" t="str">
        <x:v>debt_consolidation</x:v>
      </x:c>
      <x:c r="L829" t="n">
        <x:v>2</x:v>
      </x:c>
      <x:c r="M829" t="n">
        <x:v>0</x:v>
      </x:c>
      <x:c r="N829" t="str">
        <x:v>Fully Paid</x:v>
      </x:c>
      <x:c r="O829" t="str">
        <x:f>IF(D829="","Unknown",IF(D829&lt;25000,"&lt;$25k",IF(D829&lt;50000,"$25k-$50k",IF(D829&lt;75000,"$50k-$75k",IF(D829&lt;100000,"$75k-$100k","$100k+")))))</x:f>
        <x:v>&lt;$25k</x:v>
      </x:c>
      <x:c r="P829" t="str">
        <x:f>IF(E829="","Unknown",IF(E829&lt;10,"&lt;10",IF(E829&lt;20,"10-&lt;20",IF(E829&lt;25,"20-&lt;25",IF(E829&lt;35,"25-&lt;35","35+")))))</x:f>
        <x:v>10-&lt;20</x:v>
      </x:c>
    </x:row>
    <x:row r="830">
      <x:c r="A830" t="str">
        <x:v>SYN0000829</x:v>
      </x:c>
      <x:c r="B830" s="12" t="n">
        <x:v>42685</x:v>
      </x:c>
      <x:c r="C830" s="18" t="n">
        <x:v>23668</x:v>
      </x:c>
      <x:c r="D830" s="18" t="n">
        <x:v>13790</x:v>
      </x:c>
      <x:c r="E830" s="18" t="n">
        <x:v>17.86</x:v>
      </x:c>
      <x:c r="F830" s="18" t="n">
        <x:v>9.7</x:v>
      </x:c>
      <x:c r="G830" t="n">
        <x:v>36</x:v>
      </x:c>
      <x:c r="H830" t="str">
        <x:v>C</x:v>
      </x:c>
      <x:c r="I830" t="str">
        <x:v>1-3 years</x:v>
      </x:c>
      <x:c r="J830" t="str">
        <x:v>RENT</x:v>
      </x:c>
      <x:c r="K830" t="str">
        <x:v>debt_consolidation</x:v>
      </x:c>
      <x:c r="L830" t="n">
        <x:v>1</x:v>
      </x:c>
      <x:c r="M830" t="n">
        <x:v>0</x:v>
      </x:c>
      <x:c r="N830" t="str">
        <x:v>Fully Paid</x:v>
      </x:c>
      <x:c r="O830" t="str">
        <x:f>IF(D830="","Unknown",IF(D830&lt;25000,"&lt;$25k",IF(D830&lt;50000,"$25k-$50k",IF(D830&lt;75000,"$50k-$75k",IF(D830&lt;100000,"$75k-$100k","$100k+")))))</x:f>
        <x:v>&lt;$25k</x:v>
      </x:c>
      <x:c r="P830" t="str">
        <x:f>IF(E830="","Unknown",IF(E830&lt;10,"&lt;10",IF(E830&lt;20,"10-&lt;20",IF(E830&lt;25,"20-&lt;25",IF(E830&lt;35,"25-&lt;35","35+")))))</x:f>
        <x:v>10-&lt;20</x:v>
      </x:c>
    </x:row>
    <x:row r="831">
      <x:c r="A831" t="str">
        <x:v>SYN0000830</x:v>
      </x:c>
      <x:c r="B831" s="12" t="n">
        <x:v>42205</x:v>
      </x:c>
      <x:c r="C831" s="18" t="n">
        <x:v>20660</x:v>
      </x:c>
      <x:c r="D831" s="18" t="n">
        <x:v>16240</x:v>
      </x:c>
      <x:c r="E831" s="18" t="n">
        <x:v>17.47</x:v>
      </x:c>
      <x:c r="F831" s="18" t="n">
        <x:v>11.63</x:v>
      </x:c>
      <x:c r="G831" t="n">
        <x:v>60</x:v>
      </x:c>
      <x:c r="H831" t="str">
        <x:v>C</x:v>
      </x:c>
      <x:c r="I831" t="str">
        <x:v>10+ years</x:v>
      </x:c>
      <x:c r="J831" t="str">
        <x:v>RENT</x:v>
      </x:c>
      <x:c r="K831" t="str">
        <x:v>debt_consolidation</x:v>
      </x:c>
      <x:c r="L831" t="n">
        <x:v>0</x:v>
      </x:c>
      <x:c r="M831" t="n">
        <x:v>0</x:v>
      </x:c>
      <x:c r="N831" t="str">
        <x:v>Fully Paid</x:v>
      </x:c>
      <x:c r="O831" t="str">
        <x:f>IF(D831="","Unknown",IF(D831&lt;25000,"&lt;$25k",IF(D831&lt;50000,"$25k-$50k",IF(D831&lt;75000,"$50k-$75k",IF(D831&lt;100000,"$75k-$100k","$100k+")))))</x:f>
        <x:v>&lt;$25k</x:v>
      </x:c>
      <x:c r="P831" t="str">
        <x:f>IF(E831="","Unknown",IF(E831&lt;10,"&lt;10",IF(E831&lt;20,"10-&lt;20",IF(E831&lt;25,"20-&lt;25",IF(E831&lt;35,"25-&lt;35","35+")))))</x:f>
        <x:v>10-&lt;20</x:v>
      </x:c>
    </x:row>
    <x:row r="832">
      <x:c r="A832" t="str">
        <x:v>SYN0000831</x:v>
      </x:c>
      <x:c r="B832" s="12" t="n">
        <x:v>43405</x:v>
      </x:c>
      <x:c r="C832" s="18" t="n">
        <x:v>13693</x:v>
      </x:c>
      <x:c r="D832" s="18" t="n">
        <x:v>25117</x:v>
      </x:c>
      <x:c r="E832" s="18" t="n">
        <x:v>34.31</x:v>
      </x:c>
      <x:c r="F832" s="18" t="n">
        <x:v>12.46</x:v>
      </x:c>
      <x:c r="G832" t="n">
        <x:v>60</x:v>
      </x:c>
      <x:c r="H832" t="str">
        <x:v>C</x:v>
      </x:c>
      <x:c r="I832" t="str">
        <x:v>1-3 years</x:v>
      </x:c>
      <x:c r="J832" t="str">
        <x:v>MORTGAGE</x:v>
      </x:c>
      <x:c r="K832" t="str">
        <x:v>major_purchase</x:v>
      </x:c>
      <x:c r="L832" t="n">
        <x:v>0</x:v>
      </x:c>
      <x:c r="M832" t="n">
        <x:v>0</x:v>
      </x:c>
      <x:c r="N832" t="str">
        <x:v>Fully Paid</x:v>
      </x:c>
      <x:c r="O832" t="str">
        <x:f>IF(D832="","Unknown",IF(D832&lt;25000,"&lt;$25k",IF(D832&lt;50000,"$25k-$50k",IF(D832&lt;75000,"$50k-$75k",IF(D832&lt;100000,"$75k-$100k","$100k+")))))</x:f>
        <x:v>$25k-$50k</x:v>
      </x:c>
      <x:c r="P832" t="str">
        <x:f>IF(E832="","Unknown",IF(E832&lt;10,"&lt;10",IF(E832&lt;20,"10-&lt;20",IF(E832&lt;25,"20-&lt;25",IF(E832&lt;35,"25-&lt;35","35+")))))</x:f>
        <x:v>25-&lt;35</x:v>
      </x:c>
    </x:row>
    <x:row r="833">
      <x:c r="A833" t="str">
        <x:v>SYN0000832</x:v>
      </x:c>
      <x:c r="B833" s="12" t="n">
        <x:v>43195</x:v>
      </x:c>
      <x:c r="C833" s="18" t="n">
        <x:v>15390</x:v>
      </x:c>
      <x:c r="D833" s="18" t="n">
        <x:v>89792</x:v>
      </x:c>
      <x:c r="E833" s="18" t="n">
        <x:v>41.22</x:v>
      </x:c>
      <x:c r="F833" s="18" t="n">
        <x:v>27.02</x:v>
      </x:c>
      <x:c r="G833" t="n">
        <x:v>36</x:v>
      </x:c>
      <x:c r="H833" t="str">
        <x:v>G</x:v>
      </x:c>
      <x:c r="I833" t="str">
        <x:v>10+ years</x:v>
      </x:c>
      <x:c r="J833" t="str">
        <x:v>MORTGAGE</x:v>
      </x:c>
      <x:c r="K833" t="str">
        <x:v>credit_card</x:v>
      </x:c>
      <x:c r="L833" t="n">
        <x:v>1</x:v>
      </x:c>
      <x:c r="M833" t="n">
        <x:v>1</x:v>
      </x:c>
      <x:c r="N833" t="str">
        <x:v>Charged Off</x:v>
      </x:c>
      <x:c r="O833" t="str">
        <x:f>IF(D833="","Unknown",IF(D833&lt;25000,"&lt;$25k",IF(D833&lt;50000,"$25k-$50k",IF(D833&lt;75000,"$50k-$75k",IF(D833&lt;100000,"$75k-$100k","$100k+")))))</x:f>
        <x:v>$75k-$100k</x:v>
      </x:c>
      <x:c r="P833" t="str">
        <x:f>IF(E833="","Unknown",IF(E833&lt;10,"&lt;10",IF(E833&lt;20,"10-&lt;20",IF(E833&lt;25,"20-&lt;25",IF(E833&lt;35,"25-&lt;35","35+")))))</x:f>
        <x:v>35+</x:v>
      </x:c>
    </x:row>
    <x:row r="834">
      <x:c r="A834" t="str">
        <x:v>SYN0000833</x:v>
      </x:c>
      <x:c r="B834" s="12" t="n">
        <x:v>41305</x:v>
      </x:c>
      <x:c r="C834" s="18" t="n">
        <x:v>7636</x:v>
      </x:c>
      <x:c r="D834" s="18" t="n">
        <x:v>55937</x:v>
      </x:c>
      <x:c r="E834" s="18" t="n">
        <x:v>30.56</x:v>
      </x:c>
      <x:c r="F834" s="18" t="n">
        <x:v>15.64</x:v>
      </x:c>
      <x:c r="G834" t="n">
        <x:v>60</x:v>
      </x:c>
      <x:c r="H834" t="str">
        <x:v>D</x:v>
      </x:c>
      <x:c r="I834" t="str">
        <x:v>7-9 years</x:v>
      </x:c>
      <x:c r="J834" t="str">
        <x:v>RENT</x:v>
      </x:c>
      <x:c r="K834" t="str">
        <x:v>debt_consolidation</x:v>
      </x:c>
      <x:c r="L834" t="n">
        <x:v>0</x:v>
      </x:c>
      <x:c r="M834" t="n">
        <x:v>0</x:v>
      </x:c>
      <x:c r="N834" t="str">
        <x:v>Fully Paid</x:v>
      </x:c>
      <x:c r="O834" t="str">
        <x:f>IF(D834="","Unknown",IF(D834&lt;25000,"&lt;$25k",IF(D834&lt;50000,"$25k-$50k",IF(D834&lt;75000,"$50k-$75k",IF(D834&lt;100000,"$75k-$100k","$100k+")))))</x:f>
        <x:v>$50k-$75k</x:v>
      </x:c>
      <x:c r="P834" t="str">
        <x:f>IF(E834="","Unknown",IF(E834&lt;10,"&lt;10",IF(E834&lt;20,"10-&lt;20",IF(E834&lt;25,"20-&lt;25",IF(E834&lt;35,"25-&lt;35","35+")))))</x:f>
        <x:v>25-&lt;35</x:v>
      </x:c>
    </x:row>
    <x:row r="835">
      <x:c r="A835" t="str">
        <x:v>SYN0000834</x:v>
      </x:c>
      <x:c r="B835" s="12" t="n">
        <x:v>41575</x:v>
      </x:c>
      <x:c r="C835" s="18" t="n">
        <x:v>5449</x:v>
      </x:c>
      <x:c r="D835" s="18" t="n">
        <x:v>107747</x:v>
      </x:c>
      <x:c r="E835" s="18" t="n">
        <x:v>6.12</x:v>
      </x:c>
      <x:c r="F835" s="18" t="n">
        <x:v>18.26</x:v>
      </x:c>
      <x:c r="G835" t="n">
        <x:v>36</x:v>
      </x:c>
      <x:c r="H835" t="str">
        <x:v>D</x:v>
      </x:c>
      <x:c r="I835" t="str">
        <x:v>1-3 years</x:v>
      </x:c>
      <x:c r="J835" t="str">
        <x:v>MORTGAGE</x:v>
      </x:c>
      <x:c r="K835" t="str">
        <x:v>major_purchase</x:v>
      </x:c>
      <x:c r="L835" t="n">
        <x:v>1</x:v>
      </x:c>
      <x:c r="M835" t="n">
        <x:v>0</x:v>
      </x:c>
      <x:c r="N835" t="str">
        <x:v>Fully Paid</x:v>
      </x:c>
      <x:c r="O835" t="str">
        <x:f>IF(D835="","Unknown",IF(D835&lt;25000,"&lt;$25k",IF(D835&lt;50000,"$25k-$50k",IF(D835&lt;75000,"$50k-$75k",IF(D835&lt;100000,"$75k-$100k","$100k+")))))</x:f>
        <x:v>$100k+</x:v>
      </x:c>
      <x:c r="P835" t="str">
        <x:f>IF(E835="","Unknown",IF(E835&lt;10,"&lt;10",IF(E835&lt;20,"10-&lt;20",IF(E835&lt;25,"20-&lt;25",IF(E835&lt;35,"25-&lt;35","35+")))))</x:f>
        <x:v>&lt;10</x:v>
      </x:c>
    </x:row>
    <x:row r="836">
      <x:c r="A836" t="str">
        <x:v>SYN0000835</x:v>
      </x:c>
      <x:c r="B836" s="12" t="n">
        <x:v>42775</x:v>
      </x:c>
      <x:c r="C836" s="18" t="n">
        <x:v>7088</x:v>
      </x:c>
      <x:c r="D836" s="18" t="n">
        <x:v>35588</x:v>
      </x:c>
      <x:c r="E836" s="18" t="n">
        <x:v>25.08</x:v>
      </x:c>
      <x:c r="F836" s="18" t="n">
        <x:v>8.61</x:v>
      </x:c>
      <x:c r="G836" t="n">
        <x:v>60</x:v>
      </x:c>
      <x:c r="H836" t="str">
        <x:v>A</x:v>
      </x:c>
      <x:c r="I836" t="str">
        <x:v>4-6 years</x:v>
      </x:c>
      <x:c r="J836" t="str">
        <x:v>RENT</x:v>
      </x:c>
      <x:c r="K836" t="str">
        <x:v>credit_card</x:v>
      </x:c>
      <x:c r="L836" t="n">
        <x:v>1</x:v>
      </x:c>
      <x:c r="M836" t="n">
        <x:v>0</x:v>
      </x:c>
      <x:c r="N836" t="str">
        <x:v>Fully Paid</x:v>
      </x:c>
      <x:c r="O836" t="str">
        <x:f>IF(D836="","Unknown",IF(D836&lt;25000,"&lt;$25k",IF(D836&lt;50000,"$25k-$50k",IF(D836&lt;75000,"$50k-$75k",IF(D836&lt;100000,"$75k-$100k","$100k+")))))</x:f>
        <x:v>$25k-$50k</x:v>
      </x:c>
      <x:c r="P836" t="str">
        <x:f>IF(E836="","Unknown",IF(E836&lt;10,"&lt;10",IF(E836&lt;20,"10-&lt;20",IF(E836&lt;25,"20-&lt;25",IF(E836&lt;35,"25-&lt;35","35+")))))</x:f>
        <x:v>25-&lt;35</x:v>
      </x:c>
    </x:row>
    <x:row r="837">
      <x:c r="A837" t="str">
        <x:v>SYN0000836</x:v>
      </x:c>
      <x:c r="B837" s="12" t="n">
        <x:v>42955</x:v>
      </x:c>
      <x:c r="C837" s="18" t="n">
        <x:v>11283</x:v>
      </x:c>
      <x:c r="D837" s="18" t="n">
        <x:v>39935</x:v>
      </x:c>
      <x:c r="E837" s="18" t="n">
        <x:v>14.25</x:v>
      </x:c>
      <x:c r="F837" s="18" t="n">
        <x:v>21.92</x:v>
      </x:c>
      <x:c r="G837" t="n">
        <x:v>36</x:v>
      </x:c>
      <x:c r="H837" t="str">
        <x:v>F</x:v>
      </x:c>
      <x:c r="I837" t="str">
        <x:v>&lt;1 year</x:v>
      </x:c>
      <x:c r="J837" t="str">
        <x:v>OWN</x:v>
      </x:c>
      <x:c r="K837" t="str">
        <x:v>debt_consolidation</x:v>
      </x:c>
      <x:c r="L837" t="n">
        <x:v>1</x:v>
      </x:c>
      <x:c r="M837" t="n">
        <x:v>0</x:v>
      </x:c>
      <x:c r="N837" t="str">
        <x:v>Fully Paid</x:v>
      </x:c>
      <x:c r="O837" t="str">
        <x:f>IF(D837="","Unknown",IF(D837&lt;25000,"&lt;$25k",IF(D837&lt;50000,"$25k-$50k",IF(D837&lt;75000,"$50k-$75k",IF(D837&lt;100000,"$75k-$100k","$100k+")))))</x:f>
        <x:v>$25k-$50k</x:v>
      </x:c>
      <x:c r="P837" t="str">
        <x:f>IF(E837="","Unknown",IF(E837&lt;10,"&lt;10",IF(E837&lt;20,"10-&lt;20",IF(E837&lt;25,"20-&lt;25",IF(E837&lt;35,"25-&lt;35","35+")))))</x:f>
        <x:v>10-&lt;20</x:v>
      </x:c>
    </x:row>
    <x:row r="838">
      <x:c r="A838" t="str">
        <x:v>SYN0000837</x:v>
      </x:c>
      <x:c r="B838" s="12" t="n">
        <x:v>41485</x:v>
      </x:c>
      <x:c r="C838" s="18" t="n">
        <x:v>14912</x:v>
      </x:c>
      <x:c r="D838" s="18" t="n">
        <x:v>175920</x:v>
      </x:c>
      <x:c r="E838" s="18" t="n">
        <x:v>24.78</x:v>
      </x:c>
      <x:c r="F838" s="18" t="n">
        <x:v>15.2</x:v>
      </x:c>
      <x:c r="G838" t="n">
        <x:v>60</x:v>
      </x:c>
      <x:c r="H838" t="str">
        <x:v>C</x:v>
      </x:c>
      <x:c r="I838" t="str">
        <x:v>1-3 years</x:v>
      </x:c>
      <x:c r="J838" t="str">
        <x:v>OWN</x:v>
      </x:c>
      <x:c r="K838" t="str">
        <x:v>debt_consolidation</x:v>
      </x:c>
      <x:c r="L838" t="n">
        <x:v>0</x:v>
      </x:c>
      <x:c r="M838" t="n">
        <x:v>0</x:v>
      </x:c>
      <x:c r="N838" t="str">
        <x:v>Fully Paid</x:v>
      </x:c>
      <x:c r="O838" t="str">
        <x:f>IF(D838="","Unknown",IF(D838&lt;25000,"&lt;$25k",IF(D838&lt;50000,"$25k-$50k",IF(D838&lt;75000,"$50k-$75k",IF(D838&lt;100000,"$75k-$100k","$100k+")))))</x:f>
        <x:v>$100k+</x:v>
      </x:c>
      <x:c r="P838" t="str">
        <x:f>IF(E838="","Unknown",IF(E838&lt;10,"&lt;10",IF(E838&lt;20,"10-&lt;20",IF(E838&lt;25,"20-&lt;25",IF(E838&lt;35,"25-&lt;35","35+")))))</x:f>
        <x:v>20-&lt;25</x:v>
      </x:c>
    </x:row>
    <x:row r="839">
      <x:c r="A839" t="str">
        <x:v>SYN0000838</x:v>
      </x:c>
      <x:c r="B839" s="12" t="n">
        <x:v>42085</x:v>
      </x:c>
      <x:c r="C839" s="18" t="n">
        <x:v>6492</x:v>
      </x:c>
      <x:c r="D839" s="18" t="n">
        <x:v>30862</x:v>
      </x:c>
      <x:c r="E839" s="18" t="n">
        <x:v>25.46</x:v>
      </x:c>
      <x:c r="F839" s="18" t="n">
        <x:v>6.87</x:v>
      </x:c>
      <x:c r="G839" t="n">
        <x:v>60</x:v>
      </x:c>
      <x:c r="H839" t="str">
        <x:v>A</x:v>
      </x:c>
      <x:c r="I839" t="str">
        <x:v>&lt;1 year</x:v>
      </x:c>
      <x:c r="J839" t="str">
        <x:v>MORTGAGE</x:v>
      </x:c>
      <x:c r="K839" t="str">
        <x:v>debt_consolidation</x:v>
      </x:c>
      <x:c r="L839" t="n">
        <x:v>0</x:v>
      </x:c>
      <x:c r="M839" t="n">
        <x:v>0</x:v>
      </x:c>
      <x:c r="N839" t="str">
        <x:v>Fully Paid</x:v>
      </x:c>
      <x:c r="O839" t="str">
        <x:f>IF(D839="","Unknown",IF(D839&lt;25000,"&lt;$25k",IF(D839&lt;50000,"$25k-$50k",IF(D839&lt;75000,"$50k-$75k",IF(D839&lt;100000,"$75k-$100k","$100k+")))))</x:f>
        <x:v>$25k-$50k</x:v>
      </x:c>
      <x:c r="P839" t="str">
        <x:f>IF(E839="","Unknown",IF(E839&lt;10,"&lt;10",IF(E839&lt;20,"10-&lt;20",IF(E839&lt;25,"20-&lt;25",IF(E839&lt;35,"25-&lt;35","35+")))))</x:f>
        <x:v>25-&lt;35</x:v>
      </x:c>
    </x:row>
    <x:row r="840">
      <x:c r="A840" t="str">
        <x:v>SYN0000839</x:v>
      </x:c>
      <x:c r="B840" s="12" t="n">
        <x:v>41905</x:v>
      </x:c>
      <x:c r="C840" s="18" t="n">
        <x:v>19332</x:v>
      </x:c>
      <x:c r="D840" s="18" t="n">
        <x:v>63293</x:v>
      </x:c>
      <x:c r="E840" s="18" t="n">
        <x:v>21.42</x:v>
      </x:c>
      <x:c r="F840" s="18" t="n">
        <x:v>22.46</x:v>
      </x:c>
      <x:c r="G840" t="n">
        <x:v>36</x:v>
      </x:c>
      <x:c r="H840" t="str">
        <x:v>F</x:v>
      </x:c>
      <x:c r="I840" t="str">
        <x:v>10+ years</x:v>
      </x:c>
      <x:c r="J840" t="str">
        <x:v>MORTGAGE</x:v>
      </x:c>
      <x:c r="K840" t="str">
        <x:v>credit_card</x:v>
      </x:c>
      <x:c r="L840" t="n">
        <x:v>1</x:v>
      </x:c>
      <x:c r="M840" t="n">
        <x:v>1</x:v>
      </x:c>
      <x:c r="N840" t="str">
        <x:v>Charged Off</x:v>
      </x:c>
      <x:c r="O840" t="str">
        <x:f>IF(D840="","Unknown",IF(D840&lt;25000,"&lt;$25k",IF(D840&lt;50000,"$25k-$50k",IF(D840&lt;75000,"$50k-$75k",IF(D840&lt;100000,"$75k-$100k","$100k+")))))</x:f>
        <x:v>$50k-$75k</x:v>
      </x:c>
      <x:c r="P840" t="str">
        <x:f>IF(E840="","Unknown",IF(E840&lt;10,"&lt;10",IF(E840&lt;20,"10-&lt;20",IF(E840&lt;25,"20-&lt;25",IF(E840&lt;35,"25-&lt;35","35+")))))</x:f>
        <x:v>20-&lt;25</x:v>
      </x:c>
    </x:row>
    <x:row r="841">
      <x:c r="A841" t="str">
        <x:v>SYN0000840</x:v>
      </x:c>
      <x:c r="B841" s="12" t="n">
        <x:v>43045</x:v>
      </x:c>
      <x:c r="C841" s="18" t="n">
        <x:v>12076</x:v>
      </x:c>
      <x:c r="D841" s="18" t="n">
        <x:v>75980</x:v>
      </x:c>
      <x:c r="E841" s="18" t="n">
        <x:v>18.36</x:v>
      </x:c>
      <x:c r="F841" s="18" t="n">
        <x:v>10.51</x:v>
      </x:c>
      <x:c r="G841" t="n">
        <x:v>60</x:v>
      </x:c>
      <x:c r="H841" t="str">
        <x:v>C</x:v>
      </x:c>
      <x:c r="I841" t="str">
        <x:v>10+ years</x:v>
      </x:c>
      <x:c r="J841" t="str">
        <x:v>MORTGAGE</x:v>
      </x:c>
      <x:c r="K841" t="str">
        <x:v>debt_consolidation</x:v>
      </x:c>
      <x:c r="L841" t="n">
        <x:v>1</x:v>
      </x:c>
      <x:c r="M841" t="n">
        <x:v>0</x:v>
      </x:c>
      <x:c r="N841" t="str">
        <x:v>Fully Paid</x:v>
      </x:c>
      <x:c r="O841" t="str">
        <x:f>IF(D841="","Unknown",IF(D841&lt;25000,"&lt;$25k",IF(D841&lt;50000,"$25k-$50k",IF(D841&lt;75000,"$50k-$75k",IF(D841&lt;100000,"$75k-$100k","$100k+")))))</x:f>
        <x:v>$75k-$100k</x:v>
      </x:c>
      <x:c r="P841" t="str">
        <x:f>IF(E841="","Unknown",IF(E841&lt;10,"&lt;10",IF(E841&lt;20,"10-&lt;20",IF(E841&lt;25,"20-&lt;25",IF(E841&lt;35,"25-&lt;35","35+")))))</x:f>
        <x:v>10-&lt;20</x:v>
      </x:c>
    </x:row>
    <x:row r="842">
      <x:c r="A842" t="str">
        <x:v>SYN0000841</x:v>
      </x:c>
      <x:c r="B842" s="12" t="n">
        <x:v>41905</x:v>
      </x:c>
      <x:c r="C842" s="18" t="n">
        <x:v>9843</x:v>
      </x:c>
      <x:c r="D842" s="18" t="n">
        <x:v>56160</x:v>
      </x:c>
      <x:c r="E842" s="18" t="n">
        <x:v>8.97</x:v>
      </x:c>
      <x:c r="F842" s="18" t="n">
        <x:v>13.68</x:v>
      </x:c>
      <x:c r="G842" t="n">
        <x:v>36</x:v>
      </x:c>
      <x:c r="H842" t="str">
        <x:v>D</x:v>
      </x:c>
      <x:c r="I842" t="str">
        <x:v>10+ years</x:v>
      </x:c>
      <x:c r="J842" t="str">
        <x:v>OWN</x:v>
      </x:c>
      <x:c r="K842" t="str">
        <x:v>home_improvement</x:v>
      </x:c>
      <x:c r="L842" t="n">
        <x:v>0</x:v>
      </x:c>
      <x:c r="M842" t="n">
        <x:v>0</x:v>
      </x:c>
      <x:c r="N842" t="str">
        <x:v>Fully Paid</x:v>
      </x:c>
      <x:c r="O842" t="str">
        <x:f>IF(D842="","Unknown",IF(D842&lt;25000,"&lt;$25k",IF(D842&lt;50000,"$25k-$50k",IF(D842&lt;75000,"$50k-$75k",IF(D842&lt;100000,"$75k-$100k","$100k+")))))</x:f>
        <x:v>$50k-$75k</x:v>
      </x:c>
      <x:c r="P842" t="str">
        <x:f>IF(E842="","Unknown",IF(E842&lt;10,"&lt;10",IF(E842&lt;20,"10-&lt;20",IF(E842&lt;25,"20-&lt;25",IF(E842&lt;35,"25-&lt;35","35+")))))</x:f>
        <x:v>&lt;10</x:v>
      </x:c>
    </x:row>
    <x:row r="843">
      <x:c r="A843" t="str">
        <x:v>SYN0000842</x:v>
      </x:c>
      <x:c r="B843" s="12" t="n">
        <x:v>42085</x:v>
      </x:c>
      <x:c r="C843" s="18" t="n">
        <x:v>11132</x:v>
      </x:c>
      <x:c r="D843" s="18" t="n">
        <x:v>61060</x:v>
      </x:c>
      <x:c r="E843" s="18" t="n">
        <x:v>26.08</x:v>
      </x:c>
      <x:c r="F843" s="18" t="n">
        <x:v>23.26</x:v>
      </x:c>
      <x:c r="G843" t="n">
        <x:v>36</x:v>
      </x:c>
      <x:c r="H843" t="str">
        <x:v>G</x:v>
      </x:c>
      <x:c r="I843" t="str">
        <x:v>10+ years</x:v>
      </x:c>
      <x:c r="J843" t="str">
        <x:v>RENT</x:v>
      </x:c>
      <x:c r="K843" t="str">
        <x:v>credit_card</x:v>
      </x:c>
      <x:c r="L843" t="n">
        <x:v>1</x:v>
      </x:c>
      <x:c r="M843" t="n">
        <x:v>0</x:v>
      </x:c>
      <x:c r="N843" t="str">
        <x:v>Fully Paid</x:v>
      </x:c>
      <x:c r="O843" t="str">
        <x:f>IF(D843="","Unknown",IF(D843&lt;25000,"&lt;$25k",IF(D843&lt;50000,"$25k-$50k",IF(D843&lt;75000,"$50k-$75k",IF(D843&lt;100000,"$75k-$100k","$100k+")))))</x:f>
        <x:v>$50k-$75k</x:v>
      </x:c>
      <x:c r="P843" t="str">
        <x:f>IF(E843="","Unknown",IF(E843&lt;10,"&lt;10",IF(E843&lt;20,"10-&lt;20",IF(E843&lt;25,"20-&lt;25",IF(E843&lt;35,"25-&lt;35","35+")))))</x:f>
        <x:v>25-&lt;35</x:v>
      </x:c>
    </x:row>
    <x:row r="844">
      <x:c r="A844" t="str">
        <x:v>SYN0000843</x:v>
      </x:c>
      <x:c r="B844" s="12" t="n">
        <x:v>42355</x:v>
      </x:c>
      <x:c r="C844" s="18" t="n">
        <x:v>12739</x:v>
      </x:c>
      <x:c r="D844" s="18" t="n">
        <x:v>16925</x:v>
      </x:c>
      <x:c r="E844" s="18" t="n">
        <x:v>28.1</x:v>
      </x:c>
      <x:c r="F844" s="18" t="n">
        <x:v>17.92</x:v>
      </x:c>
      <x:c r="G844" t="n">
        <x:v>36</x:v>
      </x:c>
      <x:c r="H844" t="str">
        <x:v>E</x:v>
      </x:c>
      <x:c r="I844" t="str">
        <x:v>1-3 years</x:v>
      </x:c>
      <x:c r="J844" t="str">
        <x:v>RENT</x:v>
      </x:c>
      <x:c r="K844" t="str">
        <x:v>debt_consolidation</x:v>
      </x:c>
      <x:c r="L844" t="n">
        <x:v>0</x:v>
      </x:c>
      <x:c r="M844" t="n">
        <x:v>0</x:v>
      </x:c>
      <x:c r="N844" t="str">
        <x:v>Fully Paid</x:v>
      </x:c>
      <x:c r="O844" t="str">
        <x:f>IF(D844="","Unknown",IF(D844&lt;25000,"&lt;$25k",IF(D844&lt;50000,"$25k-$50k",IF(D844&lt;75000,"$50k-$75k",IF(D844&lt;100000,"$75k-$100k","$100k+")))))</x:f>
        <x:v>&lt;$25k</x:v>
      </x:c>
      <x:c r="P844" t="str">
        <x:f>IF(E844="","Unknown",IF(E844&lt;10,"&lt;10",IF(E844&lt;20,"10-&lt;20",IF(E844&lt;25,"20-&lt;25",IF(E844&lt;35,"25-&lt;35","35+")))))</x:f>
        <x:v>25-&lt;35</x:v>
      </x:c>
    </x:row>
    <x:row r="845">
      <x:c r="A845" t="str">
        <x:v>SYN0000844</x:v>
      </x:c>
      <x:c r="B845" s="12" t="n">
        <x:v>41845</x:v>
      </x:c>
      <x:c r="C845" s="18" t="n">
        <x:v>14732</x:v>
      </x:c>
      <x:c r="D845" s="18" t="n">
        <x:v>28572</x:v>
      </x:c>
      <x:c r="E845" s="18" t="n">
        <x:v>21.45</x:v>
      </x:c>
      <x:c r="F845" s="18" t="n">
        <x:v>6.77</x:v>
      </x:c>
      <x:c r="G845" t="n">
        <x:v>60</x:v>
      </x:c>
      <x:c r="H845" t="str">
        <x:v>A</x:v>
      </x:c>
      <x:c r="I845" t="str">
        <x:v>10+ years</x:v>
      </x:c>
      <x:c r="J845" t="str">
        <x:v>MORTGAGE</x:v>
      </x:c>
      <x:c r="K845" t="str">
        <x:v>debt_consolidation</x:v>
      </x:c>
      <x:c r="L845" t="n">
        <x:v>0</x:v>
      </x:c>
      <x:c r="M845" t="n">
        <x:v>0</x:v>
      </x:c>
      <x:c r="N845" t="str">
        <x:v>Fully Paid</x:v>
      </x:c>
      <x:c r="O845" t="str">
        <x:f>IF(D845="","Unknown",IF(D845&lt;25000,"&lt;$25k",IF(D845&lt;50000,"$25k-$50k",IF(D845&lt;75000,"$50k-$75k",IF(D845&lt;100000,"$75k-$100k","$100k+")))))</x:f>
        <x:v>$25k-$50k</x:v>
      </x:c>
      <x:c r="P845" t="str">
        <x:f>IF(E845="","Unknown",IF(E845&lt;10,"&lt;10",IF(E845&lt;20,"10-&lt;20",IF(E845&lt;25,"20-&lt;25",IF(E845&lt;35,"25-&lt;35","35+")))))</x:f>
        <x:v>20-&lt;25</x:v>
      </x:c>
    </x:row>
    <x:row r="846">
      <x:c r="A846" t="str">
        <x:v>SYN0000845</x:v>
      </x:c>
      <x:c r="B846" s="12" t="n">
        <x:v>42205</x:v>
      </x:c>
      <x:c r="C846" s="18" t="n">
        <x:v>4692</x:v>
      </x:c>
      <x:c r="D846" s="18" t="n">
        <x:v>112604</x:v>
      </x:c>
      <x:c r="E846" s="18" t="n">
        <x:v>7.68</x:v>
      </x:c>
      <x:c r="F846" s="18" t="n">
        <x:v>13.27</x:v>
      </x:c>
      <x:c r="G846" t="n">
        <x:v>36</x:v>
      </x:c>
      <x:c r="H846" t="str">
        <x:v>C</x:v>
      </x:c>
      <x:c r="I846" t="str">
        <x:v>&lt;1 year</x:v>
      </x:c>
      <x:c r="J846" t="str">
        <x:v>RENT</x:v>
      </x:c>
      <x:c r="K846" t="str">
        <x:v>debt_consolidation</x:v>
      </x:c>
      <x:c r="L846" t="n">
        <x:v>0</x:v>
      </x:c>
      <x:c r="M846" t="n">
        <x:v>0</x:v>
      </x:c>
      <x:c r="N846" t="str">
        <x:v>Fully Paid</x:v>
      </x:c>
      <x:c r="O846" t="str">
        <x:f>IF(D846="","Unknown",IF(D846&lt;25000,"&lt;$25k",IF(D846&lt;50000,"$25k-$50k",IF(D846&lt;75000,"$50k-$75k",IF(D846&lt;100000,"$75k-$100k","$100k+")))))</x:f>
        <x:v>$100k+</x:v>
      </x:c>
      <x:c r="P846" t="str">
        <x:f>IF(E846="","Unknown",IF(E846&lt;10,"&lt;10",IF(E846&lt;20,"10-&lt;20",IF(E846&lt;25,"20-&lt;25",IF(E846&lt;35,"25-&lt;35","35+")))))</x:f>
        <x:v>&lt;10</x:v>
      </x:c>
    </x:row>
    <x:row r="847">
      <x:c r="A847" t="str">
        <x:v>SYN0000846</x:v>
      </x:c>
      <x:c r="B847" s="12" t="n">
        <x:v>42565</x:v>
      </x:c>
      <x:c r="C847" s="18" t="n">
        <x:v>8948</x:v>
      </x:c>
      <x:c r="D847" s="18" t="n">
        <x:v>54381</x:v>
      </x:c>
      <x:c r="E847" s="18" t="n">
        <x:v>33.34</x:v>
      </x:c>
      <x:c r="F847" s="18" t="n">
        <x:v>25.81</x:v>
      </x:c>
      <x:c r="G847" t="n">
        <x:v>36</x:v>
      </x:c>
      <x:c r="H847" t="str">
        <x:v>G</x:v>
      </x:c>
      <x:c r="I847" t="str">
        <x:v>10+ years</x:v>
      </x:c>
      <x:c r="J847" t="str">
        <x:v>RENT</x:v>
      </x:c>
      <x:c r="K847" t="str">
        <x:v>major_purchase</x:v>
      </x:c>
      <x:c r="L847" t="n">
        <x:v>0</x:v>
      </x:c>
      <x:c r="M847" t="n">
        <x:v>0</x:v>
      </x:c>
      <x:c r="N847" t="str">
        <x:v>Fully Paid</x:v>
      </x:c>
      <x:c r="O847" t="str">
        <x:f>IF(D847="","Unknown",IF(D847&lt;25000,"&lt;$25k",IF(D847&lt;50000,"$25k-$50k",IF(D847&lt;75000,"$50k-$75k",IF(D847&lt;100000,"$75k-$100k","$100k+")))))</x:f>
        <x:v>$50k-$75k</x:v>
      </x:c>
      <x:c r="P847" t="str">
        <x:f>IF(E847="","Unknown",IF(E847&lt;10,"&lt;10",IF(E847&lt;20,"10-&lt;20",IF(E847&lt;25,"20-&lt;25",IF(E847&lt;35,"25-&lt;35","35+")))))</x:f>
        <x:v>25-&lt;35</x:v>
      </x:c>
    </x:row>
    <x:row r="848">
      <x:c r="A848" t="str">
        <x:v>SYN0000847</x:v>
      </x:c>
      <x:c r="B848" s="12" t="n">
        <x:v>41725</x:v>
      </x:c>
      <x:c r="C848" s="18" t="n">
        <x:v>11015</x:v>
      </x:c>
      <x:c r="D848" s="18" t="n">
        <x:v>37046</x:v>
      </x:c>
      <x:c r="E848" s="18" t="n">
        <x:v>15.59</x:v>
      </x:c>
      <x:c r="F848" s="18" t="n">
        <x:v>15.38</x:v>
      </x:c>
      <x:c r="G848" t="n">
        <x:v>36</x:v>
      </x:c>
      <x:c r="H848" t="str">
        <x:v>C</x:v>
      </x:c>
      <x:c r="I848" t="str">
        <x:v>4-6 years</x:v>
      </x:c>
      <x:c r="J848" t="str">
        <x:v>MORTGAGE</x:v>
      </x:c>
      <x:c r="K848" t="str">
        <x:v>credit_card</x:v>
      </x:c>
      <x:c r="L848" t="n">
        <x:v>2</x:v>
      </x:c>
      <x:c r="M848" t="n">
        <x:v>0</x:v>
      </x:c>
      <x:c r="N848" t="str">
        <x:v>Fully Paid</x:v>
      </x:c>
      <x:c r="O848" t="str">
        <x:f>IF(D848="","Unknown",IF(D848&lt;25000,"&lt;$25k",IF(D848&lt;50000,"$25k-$50k",IF(D848&lt;75000,"$50k-$75k",IF(D848&lt;100000,"$75k-$100k","$100k+")))))</x:f>
        <x:v>$25k-$50k</x:v>
      </x:c>
      <x:c r="P848" t="str">
        <x:f>IF(E848="","Unknown",IF(E848&lt;10,"&lt;10",IF(E848&lt;20,"10-&lt;20",IF(E848&lt;25,"20-&lt;25",IF(E848&lt;35,"25-&lt;35","35+")))))</x:f>
        <x:v>10-&lt;20</x:v>
      </x:c>
    </x:row>
    <x:row r="849">
      <x:c r="A849" t="str">
        <x:v>SYN0000848</x:v>
      </x:c>
      <x:c r="B849" s="12" t="n">
        <x:v>41665</x:v>
      </x:c>
      <x:c r="C849" s="18" t="n">
        <x:v>14828</x:v>
      </x:c>
      <x:c r="D849" s="18" t="n">
        <x:v>24759</x:v>
      </x:c>
      <x:c r="E849" s="18" t="n">
        <x:v>26.95</x:v>
      </x:c>
      <x:c r="F849" s="18" t="n">
        <x:v>13.56</x:v>
      </x:c>
      <x:c r="G849" t="n">
        <x:v>36</x:v>
      </x:c>
      <x:c r="H849" t="str">
        <x:v>D</x:v>
      </x:c>
      <x:c r="I849" t="str">
        <x:v>10+ years</x:v>
      </x:c>
      <x:c r="J849" t="str">
        <x:v>RENT</x:v>
      </x:c>
      <x:c r="K849" t="str">
        <x:v>home_improvement</x:v>
      </x:c>
      <x:c r="L849" t="n">
        <x:v>0</x:v>
      </x:c>
      <x:c r="M849" t="n">
        <x:v>0</x:v>
      </x:c>
      <x:c r="N849" t="str">
        <x:v>Fully Paid</x:v>
      </x:c>
      <x:c r="O849" t="str">
        <x:f>IF(D849="","Unknown",IF(D849&lt;25000,"&lt;$25k",IF(D849&lt;50000,"$25k-$50k",IF(D849&lt;75000,"$50k-$75k",IF(D849&lt;100000,"$75k-$100k","$100k+")))))</x:f>
        <x:v>&lt;$25k</x:v>
      </x:c>
      <x:c r="P849" t="str">
        <x:f>IF(E849="","Unknown",IF(E849&lt;10,"&lt;10",IF(E849&lt;20,"10-&lt;20",IF(E849&lt;25,"20-&lt;25",IF(E849&lt;35,"25-&lt;35","35+")))))</x:f>
        <x:v>25-&lt;35</x:v>
      </x:c>
    </x:row>
    <x:row r="850">
      <x:c r="A850" t="str">
        <x:v>SYN0000849</x:v>
      </x:c>
      <x:c r="B850" s="12" t="n">
        <x:v>42865</x:v>
      </x:c>
      <x:c r="C850" s="18" t="n">
        <x:v>28288</x:v>
      </x:c>
      <x:c r="D850" s="18" t="n">
        <x:v>17122</x:v>
      </x:c>
      <x:c r="E850" s="18" t="n">
        <x:v>16.27</x:v>
      </x:c>
      <x:c r="F850" s="18" t="n">
        <x:v>8.54</x:v>
      </x:c>
      <x:c r="G850" t="n">
        <x:v>36</x:v>
      </x:c>
      <x:c r="H850" t="str">
        <x:v>B</x:v>
      </x:c>
      <x:c r="I850" t="str">
        <x:v>10+ years</x:v>
      </x:c>
      <x:c r="J850" t="str">
        <x:v>RENT</x:v>
      </x:c>
      <x:c r="K850" t="str">
        <x:v>debt_consolidation</x:v>
      </x:c>
      <x:c r="L850" t="n">
        <x:v>0</x:v>
      </x:c>
      <x:c r="M850" t="n">
        <x:v>0</x:v>
      </x:c>
      <x:c r="N850" t="str">
        <x:v>Fully Paid</x:v>
      </x:c>
      <x:c r="O850" t="str">
        <x:f>IF(D850="","Unknown",IF(D850&lt;25000,"&lt;$25k",IF(D850&lt;50000,"$25k-$50k",IF(D850&lt;75000,"$50k-$75k",IF(D850&lt;100000,"$75k-$100k","$100k+")))))</x:f>
        <x:v>&lt;$25k</x:v>
      </x:c>
      <x:c r="P850" t="str">
        <x:f>IF(E850="","Unknown",IF(E850&lt;10,"&lt;10",IF(E850&lt;20,"10-&lt;20",IF(E850&lt;25,"20-&lt;25",IF(E850&lt;35,"25-&lt;35","35+")))))</x:f>
        <x:v>10-&lt;20</x:v>
      </x:c>
    </x:row>
    <x:row r="851">
      <x:c r="A851" t="str">
        <x:v>SYN0000850</x:v>
      </x:c>
      <x:c r="B851" s="12" t="n">
        <x:v>41605</x:v>
      </x:c>
      <x:c r="C851" s="18" t="n">
        <x:v>9756</x:v>
      </x:c>
      <x:c r="D851" s="18" t="n">
        <x:v>52015</x:v>
      </x:c>
      <x:c r="E851" s="18" t="n">
        <x:v>20.1</x:v>
      </x:c>
      <x:c r="F851" s="18" t="n">
        <x:v>8.5</x:v>
      </x:c>
      <x:c r="G851" t="n">
        <x:v>36</x:v>
      </x:c>
      <x:c r="H851" t="str">
        <x:v>B</x:v>
      </x:c>
      <x:c r="I851" t="str">
        <x:v>4-6 years</x:v>
      </x:c>
      <x:c r="J851" t="str">
        <x:v>RENT</x:v>
      </x:c>
      <x:c r="K851" t="str">
        <x:v>debt_consolidation</x:v>
      </x:c>
      <x:c r="L851" t="n">
        <x:v>1</x:v>
      </x:c>
      <x:c r="M851" t="n">
        <x:v>0</x:v>
      </x:c>
      <x:c r="N851" t="str">
        <x:v>Fully Paid</x:v>
      </x:c>
      <x:c r="O851" t="str">
        <x:f>IF(D851="","Unknown",IF(D851&lt;25000,"&lt;$25k",IF(D851&lt;50000,"$25k-$50k",IF(D851&lt;75000,"$50k-$75k",IF(D851&lt;100000,"$75k-$100k","$100k+")))))</x:f>
        <x:v>$50k-$75k</x:v>
      </x:c>
      <x:c r="P851" t="str">
        <x:f>IF(E851="","Unknown",IF(E851&lt;10,"&lt;10",IF(E851&lt;20,"10-&lt;20",IF(E851&lt;25,"20-&lt;25",IF(E851&lt;35,"25-&lt;35","35+")))))</x:f>
        <x:v>20-&lt;25</x:v>
      </x:c>
    </x:row>
    <x:row r="852">
      <x:c r="A852" t="str">
        <x:v>SYN0000851</x:v>
      </x:c>
      <x:c r="B852" s="12" t="n">
        <x:v>41815</x:v>
      </x:c>
      <x:c r="C852" s="18" t="n">
        <x:v>22997</x:v>
      </x:c>
      <x:c r="D852" s="18" t="n">
        <x:v>23805</x:v>
      </x:c>
      <x:c r="E852" s="18" t="n">
        <x:v>14.08</x:v>
      </x:c>
      <x:c r="F852" s="18" t="n">
        <x:v>8.77</x:v>
      </x:c>
      <x:c r="G852" t="n">
        <x:v>36</x:v>
      </x:c>
      <x:c r="H852" t="str">
        <x:v>B</x:v>
      </x:c>
      <x:c r="I852" t="str">
        <x:v>10+ years</x:v>
      </x:c>
      <x:c r="J852" t="str">
        <x:v>MORTGAGE</x:v>
      </x:c>
      <x:c r="K852" t="str">
        <x:v>debt_consolidation</x:v>
      </x:c>
      <x:c r="L852" t="n">
        <x:v>0</x:v>
      </x:c>
      <x:c r="M852" t="n">
        <x:v>0</x:v>
      </x:c>
      <x:c r="N852" t="str">
        <x:v>Fully Paid</x:v>
      </x:c>
      <x:c r="O852" t="str">
        <x:f>IF(D852="","Unknown",IF(D852&lt;25000,"&lt;$25k",IF(D852&lt;50000,"$25k-$50k",IF(D852&lt;75000,"$50k-$75k",IF(D852&lt;100000,"$75k-$100k","$100k+")))))</x:f>
        <x:v>&lt;$25k</x:v>
      </x:c>
      <x:c r="P852" t="str">
        <x:f>IF(E852="","Unknown",IF(E852&lt;10,"&lt;10",IF(E852&lt;20,"10-&lt;20",IF(E852&lt;25,"20-&lt;25",IF(E852&lt;35,"25-&lt;35","35+")))))</x:f>
        <x:v>10-&lt;20</x:v>
      </x:c>
    </x:row>
    <x:row r="853">
      <x:c r="A853" t="str">
        <x:v>SYN0000852</x:v>
      </x:c>
      <x:c r="B853" s="12" t="n">
        <x:v>42205</x:v>
      </x:c>
      <x:c r="C853" s="18" t="n">
        <x:v>30456</x:v>
      </x:c>
      <x:c r="D853" s="18" t="n">
        <x:v>26363</x:v>
      </x:c>
      <x:c r="E853" s="18" t="n">
        <x:v>18.7</x:v>
      </x:c>
      <x:c r="F853" s="18" t="n">
        <x:v>9.6</x:v>
      </x:c>
      <x:c r="G853" t="n">
        <x:v>36</x:v>
      </x:c>
      <x:c r="H853" t="str">
        <x:v>B</x:v>
      </x:c>
      <x:c r="I853" t="str">
        <x:v>1-3 years</x:v>
      </x:c>
      <x:c r="J853" t="str">
        <x:v>RENT</x:v>
      </x:c>
      <x:c r="K853" t="str">
        <x:v>debt_consolidation</x:v>
      </x:c>
      <x:c r="L853" t="n">
        <x:v>1</x:v>
      </x:c>
      <x:c r="M853" t="n">
        <x:v>0</x:v>
      </x:c>
      <x:c r="N853" t="str">
        <x:v>Fully Paid</x:v>
      </x:c>
      <x:c r="O853" t="str">
        <x:f>IF(D853="","Unknown",IF(D853&lt;25000,"&lt;$25k",IF(D853&lt;50000,"$25k-$50k",IF(D853&lt;75000,"$50k-$75k",IF(D853&lt;100000,"$75k-$100k","$100k+")))))</x:f>
        <x:v>$25k-$50k</x:v>
      </x:c>
      <x:c r="P853" t="str">
        <x:f>IF(E853="","Unknown",IF(E853&lt;10,"&lt;10",IF(E853&lt;20,"10-&lt;20",IF(E853&lt;25,"20-&lt;25",IF(E853&lt;35,"25-&lt;35","35+")))))</x:f>
        <x:v>10-&lt;20</x:v>
      </x:c>
    </x:row>
    <x:row r="854">
      <x:c r="A854" t="str">
        <x:v>SYN0000853</x:v>
      </x:c>
      <x:c r="B854" s="12" t="n">
        <x:v>42115</x:v>
      </x:c>
      <x:c r="C854" s="18" t="n">
        <x:v>14553</x:v>
      </x:c>
      <x:c r="D854" s="18" t="n">
        <x:v>31424</x:v>
      </x:c>
      <x:c r="E854" s="18" t="n">
        <x:v>27.8</x:v>
      </x:c>
      <x:c r="F854" s="18" t="n">
        <x:v>12.11</x:v>
      </x:c>
      <x:c r="G854" t="n">
        <x:v>36</x:v>
      </x:c>
      <x:c r="H854" t="str">
        <x:v>C</x:v>
      </x:c>
      <x:c r="I854" t="str">
        <x:v>7-9 years</x:v>
      </x:c>
      <x:c r="J854" t="str">
        <x:v>MORTGAGE</x:v>
      </x:c>
      <x:c r="K854" t="str">
        <x:v>debt_consolidation</x:v>
      </x:c>
      <x:c r="L854" t="n">
        <x:v>1</x:v>
      </x:c>
      <x:c r="M854" t="n">
        <x:v>0</x:v>
      </x:c>
      <x:c r="N854" t="str">
        <x:v>Fully Paid</x:v>
      </x:c>
      <x:c r="O854" t="str">
        <x:f>IF(D854="","Unknown",IF(D854&lt;25000,"&lt;$25k",IF(D854&lt;50000,"$25k-$50k",IF(D854&lt;75000,"$50k-$75k",IF(D854&lt;100000,"$75k-$100k","$100k+")))))</x:f>
        <x:v>$25k-$50k</x:v>
      </x:c>
      <x:c r="P854" t="str">
        <x:f>IF(E854="","Unknown",IF(E854&lt;10,"&lt;10",IF(E854&lt;20,"10-&lt;20",IF(E854&lt;25,"20-&lt;25",IF(E854&lt;35,"25-&lt;35","35+")))))</x:f>
        <x:v>25-&lt;35</x:v>
      </x:c>
    </x:row>
    <x:row r="855">
      <x:c r="A855" t="str">
        <x:v>SYN0000854</x:v>
      </x:c>
      <x:c r="B855" s="12" t="n">
        <x:v>41635</x:v>
      </x:c>
      <x:c r="C855" s="18" t="n">
        <x:v>5056</x:v>
      </x:c>
      <x:c r="D855" s="18" t="n">
        <x:v>121823</x:v>
      </x:c>
      <x:c r="E855" s="18" t="n">
        <x:v>26.63</x:v>
      </x:c>
      <x:c r="F855" s="18" t="n">
        <x:v>10.65</x:v>
      </x:c>
      <x:c r="G855" t="n">
        <x:v>36</x:v>
      </x:c>
      <x:c r="H855" t="str">
        <x:v>B</x:v>
      </x:c>
      <x:c r="I855" t="str">
        <x:v>7-9 years</x:v>
      </x:c>
      <x:c r="J855" t="str">
        <x:v>RENT</x:v>
      </x:c>
      <x:c r="K855" t="str">
        <x:v>debt_consolidation</x:v>
      </x:c>
      <x:c r="L855" t="n">
        <x:v>0</x:v>
      </x:c>
      <x:c r="M855" t="n">
        <x:v>0</x:v>
      </x:c>
      <x:c r="N855" t="str">
        <x:v>Fully Paid</x:v>
      </x:c>
      <x:c r="O855" t="str">
        <x:f>IF(D855="","Unknown",IF(D855&lt;25000,"&lt;$25k",IF(D855&lt;50000,"$25k-$50k",IF(D855&lt;75000,"$50k-$75k",IF(D855&lt;100000,"$75k-$100k","$100k+")))))</x:f>
        <x:v>$100k+</x:v>
      </x:c>
      <x:c r="P855" t="str">
        <x:f>IF(E855="","Unknown",IF(E855&lt;10,"&lt;10",IF(E855&lt;20,"10-&lt;20",IF(E855&lt;25,"20-&lt;25",IF(E855&lt;35,"25-&lt;35","35+")))))</x:f>
        <x:v>25-&lt;35</x:v>
      </x:c>
    </x:row>
    <x:row r="856">
      <x:c r="A856" t="str">
        <x:v>SYN0000855</x:v>
      </x:c>
      <x:c r="B856" s="12" t="n">
        <x:v>42865</x:v>
      </x:c>
      <x:c r="C856" s="18" t="n">
        <x:v>30894</x:v>
      </x:c>
      <x:c r="D856" s="18" t="n">
        <x:v>62145</x:v>
      </x:c>
      <x:c r="E856" s="18" t="n">
        <x:v>14.49</x:v>
      </x:c>
      <x:c r="F856" s="18" t="n">
        <x:v>15.16</x:v>
      </x:c>
      <x:c r="G856" t="n">
        <x:v>60</x:v>
      </x:c>
      <x:c r="H856" t="str">
        <x:v>D</x:v>
      </x:c>
      <x:c r="I856" t="str">
        <x:v>10+ years</x:v>
      </x:c>
      <x:c r="J856" t="str">
        <x:v>RENT</x:v>
      </x:c>
      <x:c r="K856" t="str">
        <x:v>credit_card</x:v>
      </x:c>
      <x:c r="L856" t="n">
        <x:v>0</x:v>
      </x:c>
      <x:c r="M856" t="n">
        <x:v>1</x:v>
      </x:c>
      <x:c r="N856" t="str">
        <x:v>Charged Off</x:v>
      </x:c>
      <x:c r="O856" t="str">
        <x:f>IF(D856="","Unknown",IF(D856&lt;25000,"&lt;$25k",IF(D856&lt;50000,"$25k-$50k",IF(D856&lt;75000,"$50k-$75k",IF(D856&lt;100000,"$75k-$100k","$100k+")))))</x:f>
        <x:v>$50k-$75k</x:v>
      </x:c>
      <x:c r="P856" t="str">
        <x:f>IF(E856="","Unknown",IF(E856&lt;10,"&lt;10",IF(E856&lt;20,"10-&lt;20",IF(E856&lt;25,"20-&lt;25",IF(E856&lt;35,"25-&lt;35","35+")))))</x:f>
        <x:v>10-&lt;20</x:v>
      </x:c>
    </x:row>
    <x:row r="857">
      <x:c r="A857" t="str">
        <x:v>SYN0000856</x:v>
      </x:c>
      <x:c r="B857" s="12" t="n">
        <x:v>41755</x:v>
      </x:c>
      <x:c r="C857" s="18" t="n">
        <x:v>6271</x:v>
      </x:c>
      <x:c r="D857" s="18" t="n">
        <x:v>37790</x:v>
      </x:c>
      <x:c r="E857" s="18" t="n">
        <x:v>19.7</x:v>
      </x:c>
      <x:c r="F857" s="18" t="n">
        <x:v>8.8</x:v>
      </x:c>
      <x:c r="G857" t="n">
        <x:v>36</x:v>
      </x:c>
      <x:c r="H857" t="str">
        <x:v>C</x:v>
      </x:c>
      <x:c r="I857" t="str">
        <x:v>4-6 years</x:v>
      </x:c>
      <x:c r="J857" t="str">
        <x:v>RENT</x:v>
      </x:c>
      <x:c r="K857" t="str">
        <x:v>debt_consolidation</x:v>
      </x:c>
      <x:c r="L857" t="n">
        <x:v>0</x:v>
      </x:c>
      <x:c r="M857" t="n">
        <x:v>0</x:v>
      </x:c>
      <x:c r="N857" t="str">
        <x:v>Fully Paid</x:v>
      </x:c>
      <x:c r="O857" t="str">
        <x:f>IF(D857="","Unknown",IF(D857&lt;25000,"&lt;$25k",IF(D857&lt;50000,"$25k-$50k",IF(D857&lt;75000,"$50k-$75k",IF(D857&lt;100000,"$75k-$100k","$100k+")))))</x:f>
        <x:v>$25k-$50k</x:v>
      </x:c>
      <x:c r="P857" t="str">
        <x:f>IF(E857="","Unknown",IF(E857&lt;10,"&lt;10",IF(E857&lt;20,"10-&lt;20",IF(E857&lt;25,"20-&lt;25",IF(E857&lt;35,"25-&lt;35","35+")))))</x:f>
        <x:v>10-&lt;20</x:v>
      </x:c>
    </x:row>
    <x:row r="858">
      <x:c r="A858" t="str">
        <x:v>SYN0000857</x:v>
      </x:c>
      <x:c r="B858" s="12" t="n">
        <x:v>43075</x:v>
      </x:c>
      <x:c r="C858" s="18" t="n">
        <x:v>17388</x:v>
      </x:c>
      <x:c r="D858" s="18" t="n">
        <x:v>95971</x:v>
      </x:c>
      <x:c r="E858" s="18" t="n">
        <x:v>29.03</x:v>
      </x:c>
      <x:c r="F858" s="18" t="n">
        <x:v>10.21</x:v>
      </x:c>
      <x:c r="G858" t="n">
        <x:v>36</x:v>
      </x:c>
      <x:c r="H858" t="str">
        <x:v>C</x:v>
      </x:c>
      <x:c r="I858" t="str">
        <x:v>4-6 years</x:v>
      </x:c>
      <x:c r="J858" t="str">
        <x:v>RENT</x:v>
      </x:c>
      <x:c r="K858" t="str">
        <x:v>debt_consolidation</x:v>
      </x:c>
      <x:c r="L858" t="n">
        <x:v>1</x:v>
      </x:c>
      <x:c r="M858" t="n">
        <x:v>1</x:v>
      </x:c>
      <x:c r="N858" t="str">
        <x:v>Charged Off</x:v>
      </x:c>
      <x:c r="O858" t="str">
        <x:f>IF(D858="","Unknown",IF(D858&lt;25000,"&lt;$25k",IF(D858&lt;50000,"$25k-$50k",IF(D858&lt;75000,"$50k-$75k",IF(D858&lt;100000,"$75k-$100k","$100k+")))))</x:f>
        <x:v>$75k-$100k</x:v>
      </x:c>
      <x:c r="P858" t="str">
        <x:f>IF(E858="","Unknown",IF(E858&lt;10,"&lt;10",IF(E858&lt;20,"10-&lt;20",IF(E858&lt;25,"20-&lt;25",IF(E858&lt;35,"25-&lt;35","35+")))))</x:f>
        <x:v>25-&lt;35</x:v>
      </x:c>
    </x:row>
    <x:row r="859">
      <x:c r="A859" t="str">
        <x:v>SYN0000858</x:v>
      </x:c>
      <x:c r="B859" s="12" t="n">
        <x:v>42865</x:v>
      </x:c>
      <x:c r="C859" s="18" t="n">
        <x:v>23993</x:v>
      </x:c>
      <x:c r="D859" s="18" t="n">
        <x:v>25580</x:v>
      </x:c>
      <x:c r="E859" s="18" t="n">
        <x:v>18.84</x:v>
      </x:c>
      <x:c r="F859" s="18" t="n">
        <x:v>11.74</x:v>
      </x:c>
      <x:c r="G859" t="n">
        <x:v>60</x:v>
      </x:c>
      <x:c r="H859" t="str">
        <x:v>D</x:v>
      </x:c>
      <x:c r="I859" t="str">
        <x:v>4-6 years</x:v>
      </x:c>
      <x:c r="J859" t="str">
        <x:v>RENT</x:v>
      </x:c>
      <x:c r="K859" t="str">
        <x:v>debt_consolidation</x:v>
      </x:c>
      <x:c r="L859" t="n">
        <x:v>2</x:v>
      </x:c>
      <x:c r="M859" t="n">
        <x:v>0</x:v>
      </x:c>
      <x:c r="N859" t="str">
        <x:v>Fully Paid</x:v>
      </x:c>
      <x:c r="O859" t="str">
        <x:f>IF(D859="","Unknown",IF(D859&lt;25000,"&lt;$25k",IF(D859&lt;50000,"$25k-$50k",IF(D859&lt;75000,"$50k-$75k",IF(D859&lt;100000,"$75k-$100k","$100k+")))))</x:f>
        <x:v>$25k-$50k</x:v>
      </x:c>
      <x:c r="P859" t="str">
        <x:f>IF(E859="","Unknown",IF(E859&lt;10,"&lt;10",IF(E859&lt;20,"10-&lt;20",IF(E859&lt;25,"20-&lt;25",IF(E859&lt;35,"25-&lt;35","35+")))))</x:f>
        <x:v>10-&lt;20</x:v>
      </x:c>
    </x:row>
    <x:row r="860">
      <x:c r="A860" t="str">
        <x:v>SYN0000859</x:v>
      </x:c>
      <x:c r="B860" s="12" t="n">
        <x:v>41665</x:v>
      </x:c>
      <x:c r="C860" s="18" t="n">
        <x:v>19253</x:v>
      </x:c>
      <x:c r="D860" s="18" t="n">
        <x:v>53279</x:v>
      </x:c>
      <x:c r="E860" s="18" t="n">
        <x:v>33.03</x:v>
      </x:c>
      <x:c r="F860" s="18" t="n">
        <x:v>10.7</x:v>
      </x:c>
      <x:c r="G860" t="n">
        <x:v>60</x:v>
      </x:c>
      <x:c r="H860" t="str">
        <x:v>C</x:v>
      </x:c>
      <x:c r="I860" t="str">
        <x:v>10+ years</x:v>
      </x:c>
      <x:c r="J860" t="str">
        <x:v>RENT</x:v>
      </x:c>
      <x:c r="K860" t="str">
        <x:v>other</x:v>
      </x:c>
      <x:c r="L860" t="n">
        <x:v>0</x:v>
      </x:c>
      <x:c r="M860" t="n">
        <x:v>0</x:v>
      </x:c>
      <x:c r="N860" t="str">
        <x:v>Fully Paid</x:v>
      </x:c>
      <x:c r="O860" t="str">
        <x:f>IF(D860="","Unknown",IF(D860&lt;25000,"&lt;$25k",IF(D860&lt;50000,"$25k-$50k",IF(D860&lt;75000,"$50k-$75k",IF(D860&lt;100000,"$75k-$100k","$100k+")))))</x:f>
        <x:v>$50k-$75k</x:v>
      </x:c>
      <x:c r="P860" t="str">
        <x:f>IF(E860="","Unknown",IF(E860&lt;10,"&lt;10",IF(E860&lt;20,"10-&lt;20",IF(E860&lt;25,"20-&lt;25",IF(E860&lt;35,"25-&lt;35","35+")))))</x:f>
        <x:v>25-&lt;35</x:v>
      </x:c>
    </x:row>
    <x:row r="861">
      <x:c r="A861" t="str">
        <x:v>SYN0000860</x:v>
      </x:c>
      <x:c r="B861" s="12" t="n">
        <x:v>41845</x:v>
      </x:c>
      <x:c r="C861" s="18" t="n">
        <x:v>10521</x:v>
      </x:c>
      <x:c r="D861" s="18" t="n">
        <x:v>90137</x:v>
      </x:c>
      <x:c r="E861" s="18" t="n">
        <x:v>12.28</x:v>
      </x:c>
      <x:c r="F861" s="18" t="n">
        <x:v>8.76</x:v>
      </x:c>
      <x:c r="G861" t="n">
        <x:v>60</x:v>
      </x:c>
      <x:c r="H861" t="str">
        <x:v>A</x:v>
      </x:c>
      <x:c r="I861" t="str">
        <x:v>7-9 years</x:v>
      </x:c>
      <x:c r="J861" t="str">
        <x:v>RENT</x:v>
      </x:c>
      <x:c r="K861" t="str">
        <x:v>credit_card</x:v>
      </x:c>
      <x:c r="L861" t="n">
        <x:v>1</x:v>
      </x:c>
      <x:c r="M861" t="n">
        <x:v>0</x:v>
      </x:c>
      <x:c r="N861" t="str">
        <x:v>Fully Paid</x:v>
      </x:c>
      <x:c r="O861" t="str">
        <x:f>IF(D861="","Unknown",IF(D861&lt;25000,"&lt;$25k",IF(D861&lt;50000,"$25k-$50k",IF(D861&lt;75000,"$50k-$75k",IF(D861&lt;100000,"$75k-$100k","$100k+")))))</x:f>
        <x:v>$75k-$100k</x:v>
      </x:c>
      <x:c r="P861" t="str">
        <x:f>IF(E861="","Unknown",IF(E861&lt;10,"&lt;10",IF(E861&lt;20,"10-&lt;20",IF(E861&lt;25,"20-&lt;25",IF(E861&lt;35,"25-&lt;35","35+")))))</x:f>
        <x:v>10-&lt;20</x:v>
      </x:c>
    </x:row>
    <x:row r="862">
      <x:c r="A862" t="str">
        <x:v>SYN0000861</x:v>
      </x:c>
      <x:c r="B862" s="12" t="n">
        <x:v>41905</x:v>
      </x:c>
      <x:c r="C862" s="18" t="n">
        <x:v>17923</x:v>
      </x:c>
      <x:c r="D862" s="18" t="n">
        <x:v>45852</x:v>
      </x:c>
      <x:c r="E862" s="18" t="n">
        <x:v>28.47</x:v>
      </x:c>
      <x:c r="F862" s="18" t="n">
        <x:v>19.25</x:v>
      </x:c>
      <x:c r="G862" t="n">
        <x:v>36</x:v>
      </x:c>
      <x:c r="H862" t="str">
        <x:v>E</x:v>
      </x:c>
      <x:c r="I862" t="str">
        <x:v>4-6 years</x:v>
      </x:c>
      <x:c r="J862" t="str">
        <x:v>RENT</x:v>
      </x:c>
      <x:c r="K862" t="str">
        <x:v>home_improvement</x:v>
      </x:c>
      <x:c r="L862" t="n">
        <x:v>1</x:v>
      </x:c>
      <x:c r="M862" t="n">
        <x:v>0</x:v>
      </x:c>
      <x:c r="N862" t="str">
        <x:v>Fully Paid</x:v>
      </x:c>
      <x:c r="O862" t="str">
        <x:f>IF(D862="","Unknown",IF(D862&lt;25000,"&lt;$25k",IF(D862&lt;50000,"$25k-$50k",IF(D862&lt;75000,"$50k-$75k",IF(D862&lt;100000,"$75k-$100k","$100k+")))))</x:f>
        <x:v>$25k-$50k</x:v>
      </x:c>
      <x:c r="P862" t="str">
        <x:f>IF(E862="","Unknown",IF(E862&lt;10,"&lt;10",IF(E862&lt;20,"10-&lt;20",IF(E862&lt;25,"20-&lt;25",IF(E862&lt;35,"25-&lt;35","35+")))))</x:f>
        <x:v>25-&lt;35</x:v>
      </x:c>
    </x:row>
    <x:row r="863">
      <x:c r="A863" t="str">
        <x:v>SYN0000862</x:v>
      </x:c>
      <x:c r="B863" s="12" t="n">
        <x:v>41395</x:v>
      </x:c>
      <x:c r="C863" s="18" t="n">
        <x:v>9558</x:v>
      </x:c>
      <x:c r="D863" s="18" t="n">
        <x:v>25431</x:v>
      </x:c>
      <x:c r="E863" s="18" t="n">
        <x:v>27.15</x:v>
      </x:c>
      <x:c r="F863" s="18" t="n">
        <x:v>25.66</x:v>
      </x:c>
      <x:c r="G863" t="n">
        <x:v>60</x:v>
      </x:c>
      <x:c r="H863" t="str">
        <x:v>G</x:v>
      </x:c>
      <x:c r="I863" t="str">
        <x:v>7-9 years</x:v>
      </x:c>
      <x:c r="J863" t="str">
        <x:v>MORTGAGE</x:v>
      </x:c>
      <x:c r="K863" t="str">
        <x:v>credit_card</x:v>
      </x:c>
      <x:c r="L863" t="n">
        <x:v>2</x:v>
      </x:c>
      <x:c r="M863" t="n">
        <x:v>1</x:v>
      </x:c>
      <x:c r="N863" t="str">
        <x:v>Charged Off</x:v>
      </x:c>
      <x:c r="O863" t="str">
        <x:f>IF(D863="","Unknown",IF(D863&lt;25000,"&lt;$25k",IF(D863&lt;50000,"$25k-$50k",IF(D863&lt;75000,"$50k-$75k",IF(D863&lt;100000,"$75k-$100k","$100k+")))))</x:f>
        <x:v>$25k-$50k</x:v>
      </x:c>
      <x:c r="P863" t="str">
        <x:f>IF(E863="","Unknown",IF(E863&lt;10,"&lt;10",IF(E863&lt;20,"10-&lt;20",IF(E863&lt;25,"20-&lt;25",IF(E863&lt;35,"25-&lt;35","35+")))))</x:f>
        <x:v>25-&lt;35</x:v>
      </x:c>
    </x:row>
    <x:row r="864">
      <x:c r="A864" t="str">
        <x:v>SYN0000863</x:v>
      </x:c>
      <x:c r="B864" s="12" t="n">
        <x:v>42205</x:v>
      </x:c>
      <x:c r="C864" s="18" t="n">
        <x:v>10589</x:v>
      </x:c>
      <x:c r="D864" s="18" t="n">
        <x:v>16508</x:v>
      </x:c>
      <x:c r="E864" s="18" t="n">
        <x:v>22.34</x:v>
      </x:c>
      <x:c r="F864" s="18" t="n">
        <x:v>11</x:v>
      </x:c>
      <x:c r="G864" t="n">
        <x:v>36</x:v>
      </x:c>
      <x:c r="H864" t="str">
        <x:v>C</x:v>
      </x:c>
      <x:c r="I864" t="str">
        <x:v>7-9 years</x:v>
      </x:c>
      <x:c r="J864" t="str">
        <x:v>MORTGAGE</x:v>
      </x:c>
      <x:c r="K864" t="str">
        <x:v>credit_card</x:v>
      </x:c>
      <x:c r="L864" t="n">
        <x:v>0</x:v>
      </x:c>
      <x:c r="M864" t="n">
        <x:v>0</x:v>
      </x:c>
      <x:c r="N864" t="str">
        <x:v>Fully Paid</x:v>
      </x:c>
      <x:c r="O864" t="str">
        <x:f>IF(D864="","Unknown",IF(D864&lt;25000,"&lt;$25k",IF(D864&lt;50000,"$25k-$50k",IF(D864&lt;75000,"$50k-$75k",IF(D864&lt;100000,"$75k-$100k","$100k+")))))</x:f>
        <x:v>&lt;$25k</x:v>
      </x:c>
      <x:c r="P864" t="str">
        <x:f>IF(E864="","Unknown",IF(E864&lt;10,"&lt;10",IF(E864&lt;20,"10-&lt;20",IF(E864&lt;25,"20-&lt;25",IF(E864&lt;35,"25-&lt;35","35+")))))</x:f>
        <x:v>20-&lt;25</x:v>
      </x:c>
    </x:row>
    <x:row r="865">
      <x:c r="A865" t="str">
        <x:v>SYN0000864</x:v>
      </x:c>
      <x:c r="B865" s="12" t="n">
        <x:v>43375</x:v>
      </x:c>
      <x:c r="C865" s="18" t="n">
        <x:v>9762</x:v>
      </x:c>
      <x:c r="D865" s="18" t="n">
        <x:v>30725</x:v>
      </x:c>
      <x:c r="E865" s="18" t="n">
        <x:v>19.08</x:v>
      </x:c>
      <x:c r="F865" s="18" t="n">
        <x:v>9.92</x:v>
      </x:c>
      <x:c r="G865" t="n">
        <x:v>60</x:v>
      </x:c>
      <x:c r="H865" t="str">
        <x:v>C</x:v>
      </x:c>
      <x:c r="I865" t="str">
        <x:v>7-9 years</x:v>
      </x:c>
      <x:c r="J865" t="str">
        <x:v>RENT</x:v>
      </x:c>
      <x:c r="K865" t="str">
        <x:v>debt_consolidation</x:v>
      </x:c>
      <x:c r="L865" t="n">
        <x:v>0</x:v>
      </x:c>
      <x:c r="M865" t="n">
        <x:v>0</x:v>
      </x:c>
      <x:c r="N865" t="str">
        <x:v>Fully Paid</x:v>
      </x:c>
      <x:c r="O865" t="str">
        <x:f>IF(D865="","Unknown",IF(D865&lt;25000,"&lt;$25k",IF(D865&lt;50000,"$25k-$50k",IF(D865&lt;75000,"$50k-$75k",IF(D865&lt;100000,"$75k-$100k","$100k+")))))</x:f>
        <x:v>$25k-$50k</x:v>
      </x:c>
      <x:c r="P865" t="str">
        <x:f>IF(E865="","Unknown",IF(E865&lt;10,"&lt;10",IF(E865&lt;20,"10-&lt;20",IF(E865&lt;25,"20-&lt;25",IF(E865&lt;35,"25-&lt;35","35+")))))</x:f>
        <x:v>10-&lt;20</x:v>
      </x:c>
    </x:row>
    <x:row r="866">
      <x:c r="A866" t="str">
        <x:v>SYN0000865</x:v>
      </x:c>
      <x:c r="B866" s="12" t="n">
        <x:v>43225</x:v>
      </x:c>
      <x:c r="C866" s="18" t="n">
        <x:v>13400</x:v>
      </x:c>
      <x:c r="D866" s="18" t="n">
        <x:v>89019</x:v>
      </x:c>
      <x:c r="E866" s="18" t="n">
        <x:v>27.86</x:v>
      </x:c>
      <x:c r="F866" s="18" t="n">
        <x:v>6.77</x:v>
      </x:c>
      <x:c r="G866" t="n">
        <x:v>36</x:v>
      </x:c>
      <x:c r="H866" t="str">
        <x:v>B</x:v>
      </x:c>
      <x:c r="I866" t="str">
        <x:v>1-3 years</x:v>
      </x:c>
      <x:c r="J866" t="str">
        <x:v>MORTGAGE</x:v>
      </x:c>
      <x:c r="K866" t="str">
        <x:v>credit_card</x:v>
      </x:c>
      <x:c r="L866" t="n">
        <x:v>0</x:v>
      </x:c>
      <x:c r="M866" t="n">
        <x:v>0</x:v>
      </x:c>
      <x:c r="N866" t="str">
        <x:v>Fully Paid</x:v>
      </x:c>
      <x:c r="O866" t="str">
        <x:f>IF(D866="","Unknown",IF(D866&lt;25000,"&lt;$25k",IF(D866&lt;50000,"$25k-$50k",IF(D866&lt;75000,"$50k-$75k",IF(D866&lt;100000,"$75k-$100k","$100k+")))))</x:f>
        <x:v>$75k-$100k</x:v>
      </x:c>
      <x:c r="P866" t="str">
        <x:f>IF(E866="","Unknown",IF(E866&lt;10,"&lt;10",IF(E866&lt;20,"10-&lt;20",IF(E866&lt;25,"20-&lt;25",IF(E866&lt;35,"25-&lt;35","35+")))))</x:f>
        <x:v>25-&lt;35</x:v>
      </x:c>
    </x:row>
    <x:row r="867">
      <x:c r="A867" t="str">
        <x:v>SYN0000866</x:v>
      </x:c>
      <x:c r="B867" s="12" t="n">
        <x:v>41455</x:v>
      </x:c>
      <x:c r="C867" s="18" t="n">
        <x:v>18299</x:v>
      </x:c>
      <x:c r="D867" s="18" t="n">
        <x:v>122504</x:v>
      </x:c>
      <x:c r="E867" s="18" t="n">
        <x:v>8.04</x:v>
      </x:c>
      <x:c r="F867" s="18" t="n">
        <x:v>9.11</x:v>
      </x:c>
      <x:c r="G867" t="n">
        <x:v>36</x:v>
      </x:c>
      <x:c r="H867" t="str">
        <x:v>A</x:v>
      </x:c>
      <x:c r="I867" t="str">
        <x:v>1-3 years</x:v>
      </x:c>
      <x:c r="J867" t="str">
        <x:v>MORTGAGE</x:v>
      </x:c>
      <x:c r="K867" t="str">
        <x:v>other</x:v>
      </x:c>
      <x:c r="L867" t="n">
        <x:v>1</x:v>
      </x:c>
      <x:c r="M867" t="n">
        <x:v>0</x:v>
      </x:c>
      <x:c r="N867" t="str">
        <x:v>Fully Paid</x:v>
      </x:c>
      <x:c r="O867" t="str">
        <x:f>IF(D867="","Unknown",IF(D867&lt;25000,"&lt;$25k",IF(D867&lt;50000,"$25k-$50k",IF(D867&lt;75000,"$50k-$75k",IF(D867&lt;100000,"$75k-$100k","$100k+")))))</x:f>
        <x:v>$100k+</x:v>
      </x:c>
      <x:c r="P867" t="str">
        <x:f>IF(E867="","Unknown",IF(E867&lt;10,"&lt;10",IF(E867&lt;20,"10-&lt;20",IF(E867&lt;25,"20-&lt;25",IF(E867&lt;35,"25-&lt;35","35+")))))</x:f>
        <x:v>&lt;10</x:v>
      </x:c>
    </x:row>
    <x:row r="868">
      <x:c r="A868" t="str">
        <x:v>SYN0000867</x:v>
      </x:c>
      <x:c r="B868" s="12" t="n">
        <x:v>42415</x:v>
      </x:c>
      <x:c r="C868" s="18" t="n">
        <x:v>26096</x:v>
      </x:c>
      <x:c r="D868" s="18" t="n">
        <x:v>60368</x:v>
      </x:c>
      <x:c r="E868" s="18" t="n">
        <x:v>22.03</x:v>
      </x:c>
      <x:c r="F868" s="18" t="n">
        <x:v>22.14</x:v>
      </x:c>
      <x:c r="G868" t="n">
        <x:v>60</x:v>
      </x:c>
      <x:c r="H868" t="str">
        <x:v>F</x:v>
      </x:c>
      <x:c r="I868" t="str">
        <x:v>10+ years</x:v>
      </x:c>
      <x:c r="J868" t="str">
        <x:v>OWN</x:v>
      </x:c>
      <x:c r="K868" t="str">
        <x:v>debt_consolidation</x:v>
      </x:c>
      <x:c r="L868" t="n">
        <x:v>1</x:v>
      </x:c>
      <x:c r="M868" t="n">
        <x:v>0</x:v>
      </x:c>
      <x:c r="N868" t="str">
        <x:v>Fully Paid</x:v>
      </x:c>
      <x:c r="O868" t="str">
        <x:f>IF(D868="","Unknown",IF(D868&lt;25000,"&lt;$25k",IF(D868&lt;50000,"$25k-$50k",IF(D868&lt;75000,"$50k-$75k",IF(D868&lt;100000,"$75k-$100k","$100k+")))))</x:f>
        <x:v>$50k-$75k</x:v>
      </x:c>
      <x:c r="P868" t="str">
        <x:f>IF(E868="","Unknown",IF(E868&lt;10,"&lt;10",IF(E868&lt;20,"10-&lt;20",IF(E868&lt;25,"20-&lt;25",IF(E868&lt;35,"25-&lt;35","35+")))))</x:f>
        <x:v>20-&lt;25</x:v>
      </x:c>
    </x:row>
    <x:row r="869">
      <x:c r="A869" t="str">
        <x:v>SYN0000868</x:v>
      </x:c>
      <x:c r="B869" s="12" t="n">
        <x:v>41605</x:v>
      </x:c>
      <x:c r="C869" s="18" t="n">
        <x:v>10735</x:v>
      </x:c>
      <x:c r="D869" s="18" t="n">
        <x:v>63426</x:v>
      </x:c>
      <x:c r="E869" s="18" t="n">
        <x:v>25.75</x:v>
      </x:c>
      <x:c r="F869" s="18" t="n">
        <x:v>11.49</x:v>
      </x:c>
      <x:c r="G869" t="n">
        <x:v>60</x:v>
      </x:c>
      <x:c r="H869" t="str">
        <x:v>B</x:v>
      </x:c>
      <x:c r="I869" t="str">
        <x:v>4-6 years</x:v>
      </x:c>
      <x:c r="J869" t="str">
        <x:v>RENT</x:v>
      </x:c>
      <x:c r="K869" t="str">
        <x:v>other</x:v>
      </x:c>
      <x:c r="L869" t="n">
        <x:v>1</x:v>
      </x:c>
      <x:c r="M869" t="n">
        <x:v>0</x:v>
      </x:c>
      <x:c r="N869" t="str">
        <x:v>Fully Paid</x:v>
      </x:c>
      <x:c r="O869" t="str">
        <x:f>IF(D869="","Unknown",IF(D869&lt;25000,"&lt;$25k",IF(D869&lt;50000,"$25k-$50k",IF(D869&lt;75000,"$50k-$75k",IF(D869&lt;100000,"$75k-$100k","$100k+")))))</x:f>
        <x:v>$50k-$75k</x:v>
      </x:c>
      <x:c r="P869" t="str">
        <x:f>IF(E869="","Unknown",IF(E869&lt;10,"&lt;10",IF(E869&lt;20,"10-&lt;20",IF(E869&lt;25,"20-&lt;25",IF(E869&lt;35,"25-&lt;35","35+")))))</x:f>
        <x:v>25-&lt;35</x:v>
      </x:c>
    </x:row>
    <x:row r="870">
      <x:c r="A870" t="str">
        <x:v>SYN0000869</x:v>
      </x:c>
      <x:c r="B870" s="12" t="n">
        <x:v>43135</x:v>
      </x:c>
      <x:c r="C870" s="18" t="n">
        <x:v>6853</x:v>
      </x:c>
      <x:c r="D870" s="18" t="n">
        <x:v>83798</x:v>
      </x:c>
      <x:c r="E870" s="18" t="n">
        <x:v>25.09</x:v>
      </x:c>
      <x:c r="F870" s="18" t="n">
        <x:v>25.34</x:v>
      </x:c>
      <x:c r="G870" t="n">
        <x:v>60</x:v>
      </x:c>
      <x:c r="H870" t="str">
        <x:v>G</x:v>
      </x:c>
      <x:c r="I870" t="str">
        <x:v>&lt;1 year</x:v>
      </x:c>
      <x:c r="J870" t="str">
        <x:v>RENT</x:v>
      </x:c>
      <x:c r="K870" t="str">
        <x:v>debt_consolidation</x:v>
      </x:c>
      <x:c r="L870" t="n">
        <x:v>0</x:v>
      </x:c>
      <x:c r="M870" t="n">
        <x:v>1</x:v>
      </x:c>
      <x:c r="N870" t="str">
        <x:v>Charged Off</x:v>
      </x:c>
      <x:c r="O870" t="str">
        <x:f>IF(D870="","Unknown",IF(D870&lt;25000,"&lt;$25k",IF(D870&lt;50000,"$25k-$50k",IF(D870&lt;75000,"$50k-$75k",IF(D870&lt;100000,"$75k-$100k","$100k+")))))</x:f>
        <x:v>$75k-$100k</x:v>
      </x:c>
      <x:c r="P870" t="str">
        <x:f>IF(E870="","Unknown",IF(E870&lt;10,"&lt;10",IF(E870&lt;20,"10-&lt;20",IF(E870&lt;25,"20-&lt;25",IF(E870&lt;35,"25-&lt;35","35+")))))</x:f>
        <x:v>25-&lt;35</x:v>
      </x:c>
    </x:row>
    <x:row r="871">
      <x:c r="A871" t="str">
        <x:v>SYN0000870</x:v>
      </x:c>
      <x:c r="B871" s="12" t="n">
        <x:v>42955</x:v>
      </x:c>
      <x:c r="C871" s="18" t="n">
        <x:v>14197</x:v>
      </x:c>
      <x:c r="D871" s="18" t="n">
        <x:v>47727</x:v>
      </x:c>
      <x:c r="E871" s="18" t="n">
        <x:v>20.73</x:v>
      </x:c>
      <x:c r="F871" s="18" t="n">
        <x:v>10.12</x:v>
      </x:c>
      <x:c r="G871" t="n">
        <x:v>36</x:v>
      </x:c>
      <x:c r="H871" t="str">
        <x:v>C</x:v>
      </x:c>
      <x:c r="I871" t="str">
        <x:v>10+ years</x:v>
      </x:c>
      <x:c r="J871" t="str">
        <x:v>RENT</x:v>
      </x:c>
      <x:c r="K871" t="str">
        <x:v>debt_consolidation</x:v>
      </x:c>
      <x:c r="L871" t="n">
        <x:v>1</x:v>
      </x:c>
      <x:c r="M871" t="n">
        <x:v>0</x:v>
      </x:c>
      <x:c r="N871" t="str">
        <x:v>Fully Paid</x:v>
      </x:c>
      <x:c r="O871" t="str">
        <x:f>IF(D871="","Unknown",IF(D871&lt;25000,"&lt;$25k",IF(D871&lt;50000,"$25k-$50k",IF(D871&lt;75000,"$50k-$75k",IF(D871&lt;100000,"$75k-$100k","$100k+")))))</x:f>
        <x:v>$25k-$50k</x:v>
      </x:c>
      <x:c r="P871" t="str">
        <x:f>IF(E871="","Unknown",IF(E871&lt;10,"&lt;10",IF(E871&lt;20,"10-&lt;20",IF(E871&lt;25,"20-&lt;25",IF(E871&lt;35,"25-&lt;35","35+")))))</x:f>
        <x:v>20-&lt;25</x:v>
      </x:c>
    </x:row>
    <x:row r="872">
      <x:c r="A872" t="str">
        <x:v>SYN0000871</x:v>
      </x:c>
      <x:c r="B872" s="12" t="n">
        <x:v>42205</x:v>
      </x:c>
      <x:c r="C872" s="18" t="n">
        <x:v>14196</x:v>
      </x:c>
      <x:c r="D872" s="18" t="n">
        <x:v>95307</x:v>
      </x:c>
      <x:c r="E872" s="18" t="n">
        <x:v>20.04</x:v>
      </x:c>
      <x:c r="F872" s="18" t="n">
        <x:v>12.7</x:v>
      </x:c>
      <x:c r="G872" t="n">
        <x:v>36</x:v>
      </x:c>
      <x:c r="H872" t="str">
        <x:v>C</x:v>
      </x:c>
      <x:c r="I872" t="str">
        <x:v>1-3 years</x:v>
      </x:c>
      <x:c r="J872" t="str">
        <x:v>MORTGAGE</x:v>
      </x:c>
      <x:c r="K872" t="str">
        <x:v>debt_consolidation</x:v>
      </x:c>
      <x:c r="L872" t="n">
        <x:v>0</x:v>
      </x:c>
      <x:c r="M872" t="n">
        <x:v>0</x:v>
      </x:c>
      <x:c r="N872" t="str">
        <x:v>Fully Paid</x:v>
      </x:c>
      <x:c r="O872" t="str">
        <x:f>IF(D872="","Unknown",IF(D872&lt;25000,"&lt;$25k",IF(D872&lt;50000,"$25k-$50k",IF(D872&lt;75000,"$50k-$75k",IF(D872&lt;100000,"$75k-$100k","$100k+")))))</x:f>
        <x:v>$75k-$100k</x:v>
      </x:c>
      <x:c r="P872" t="str">
        <x:f>IF(E872="","Unknown",IF(E872&lt;10,"&lt;10",IF(E872&lt;20,"10-&lt;20",IF(E872&lt;25,"20-&lt;25",IF(E872&lt;35,"25-&lt;35","35+")))))</x:f>
        <x:v>20-&lt;25</x:v>
      </x:c>
    </x:row>
    <x:row r="873">
      <x:c r="A873" t="str">
        <x:v>SYN0000872</x:v>
      </x:c>
      <x:c r="B873" s="12" t="n">
        <x:v>43405</x:v>
      </x:c>
      <x:c r="C873" s="18" t="n">
        <x:v>17670</x:v>
      </x:c>
      <x:c r="D873" s="18" t="n">
        <x:v>16194</x:v>
      </x:c>
      <x:c r="E873" s="18" t="n">
        <x:v>21.12</x:v>
      </x:c>
      <x:c r="F873" s="18" t="n">
        <x:v>11.33</x:v>
      </x:c>
      <x:c r="G873" t="n">
        <x:v>36</x:v>
      </x:c>
      <x:c r="H873" t="str">
        <x:v>C</x:v>
      </x:c>
      <x:c r="I873" t="str">
        <x:v>4-6 years</x:v>
      </x:c>
      <x:c r="J873" t="str">
        <x:v>MORTGAGE</x:v>
      </x:c>
      <x:c r="K873" t="str">
        <x:v>debt_consolidation</x:v>
      </x:c>
      <x:c r="L873" t="n">
        <x:v>0</x:v>
      </x:c>
      <x:c r="M873" t="n">
        <x:v>0</x:v>
      </x:c>
      <x:c r="N873" t="str">
        <x:v>Fully Paid</x:v>
      </x:c>
      <x:c r="O873" t="str">
        <x:f>IF(D873="","Unknown",IF(D873&lt;25000,"&lt;$25k",IF(D873&lt;50000,"$25k-$50k",IF(D873&lt;75000,"$50k-$75k",IF(D873&lt;100000,"$75k-$100k","$100k+")))))</x:f>
        <x:v>&lt;$25k</x:v>
      </x:c>
      <x:c r="P873" t="str">
        <x:f>IF(E873="","Unknown",IF(E873&lt;10,"&lt;10",IF(E873&lt;20,"10-&lt;20",IF(E873&lt;25,"20-&lt;25",IF(E873&lt;35,"25-&lt;35","35+")))))</x:f>
        <x:v>20-&lt;25</x:v>
      </x:c>
    </x:row>
    <x:row r="874">
      <x:c r="A874" t="str">
        <x:v>SYN0000873</x:v>
      </x:c>
      <x:c r="B874" s="12" t="n">
        <x:v>41935</x:v>
      </x:c>
      <x:c r="C874" s="18" t="n">
        <x:v>8663</x:v>
      </x:c>
      <x:c r="D874" s="18" t="n">
        <x:v>56031</x:v>
      </x:c>
      <x:c r="E874" s="18" t="n">
        <x:v>17.19</x:v>
      </x:c>
      <x:c r="F874" s="18" t="n">
        <x:v>15.38</x:v>
      </x:c>
      <x:c r="G874" t="n">
        <x:v>36</x:v>
      </x:c>
      <x:c r="H874" t="str">
        <x:v>D</x:v>
      </x:c>
      <x:c r="I874" t="str">
        <x:v>1-3 years</x:v>
      </x:c>
      <x:c r="J874" t="str">
        <x:v>RENT</x:v>
      </x:c>
      <x:c r="K874" t="str">
        <x:v>debt_consolidation</x:v>
      </x:c>
      <x:c r="L874" t="n">
        <x:v>0</x:v>
      </x:c>
      <x:c r="M874" t="n">
        <x:v>0</x:v>
      </x:c>
      <x:c r="N874" t="str">
        <x:v>Fully Paid</x:v>
      </x:c>
      <x:c r="O874" t="str">
        <x:f>IF(D874="","Unknown",IF(D874&lt;25000,"&lt;$25k",IF(D874&lt;50000,"$25k-$50k",IF(D874&lt;75000,"$50k-$75k",IF(D874&lt;100000,"$75k-$100k","$100k+")))))</x:f>
        <x:v>$50k-$75k</x:v>
      </x:c>
      <x:c r="P874" t="str">
        <x:f>IF(E874="","Unknown",IF(E874&lt;10,"&lt;10",IF(E874&lt;20,"10-&lt;20",IF(E874&lt;25,"20-&lt;25",IF(E874&lt;35,"25-&lt;35","35+")))))</x:f>
        <x:v>10-&lt;20</x:v>
      </x:c>
    </x:row>
    <x:row r="875">
      <x:c r="A875" t="str">
        <x:v>SYN0000874</x:v>
      </x:c>
      <x:c r="B875" s="12" t="n">
        <x:v>42925</x:v>
      </x:c>
      <x:c r="C875" s="18" t="n">
        <x:v>16706</x:v>
      </x:c>
      <x:c r="D875" s="18" t="n">
        <x:v>58106</x:v>
      </x:c>
      <x:c r="E875" s="18" t="n">
        <x:v>11.04</x:v>
      </x:c>
      <x:c r="F875" s="18" t="n">
        <x:v>16.47</x:v>
      </x:c>
      <x:c r="G875" t="n">
        <x:v>60</x:v>
      </x:c>
      <x:c r="H875" t="str">
        <x:v>E</x:v>
      </x:c>
      <x:c r="I875" t="str">
        <x:v>4-6 years</x:v>
      </x:c>
      <x:c r="J875" t="str">
        <x:v>MORTGAGE</x:v>
      </x:c>
      <x:c r="K875" t="str">
        <x:v>credit_card</x:v>
      </x:c>
      <x:c r="L875" t="n">
        <x:v>0</x:v>
      </x:c>
      <x:c r="M875" t="n">
        <x:v>0</x:v>
      </x:c>
      <x:c r="N875" t="str">
        <x:v>Fully Paid</x:v>
      </x:c>
      <x:c r="O875" t="str">
        <x:f>IF(D875="","Unknown",IF(D875&lt;25000,"&lt;$25k",IF(D875&lt;50000,"$25k-$50k",IF(D875&lt;75000,"$50k-$75k",IF(D875&lt;100000,"$75k-$100k","$100k+")))))</x:f>
        <x:v>$50k-$75k</x:v>
      </x:c>
      <x:c r="P875" t="str">
        <x:f>IF(E875="","Unknown",IF(E875&lt;10,"&lt;10",IF(E875&lt;20,"10-&lt;20",IF(E875&lt;25,"20-&lt;25",IF(E875&lt;35,"25-&lt;35","35+")))))</x:f>
        <x:v>10-&lt;20</x:v>
      </x:c>
    </x:row>
    <x:row r="876">
      <x:c r="A876" t="str">
        <x:v>SYN0000875</x:v>
      </x:c>
      <x:c r="B876" s="12" t="n">
        <x:v>42985</x:v>
      </x:c>
      <x:c r="C876" s="18" t="n">
        <x:v>22106</x:v>
      </x:c>
      <x:c r="D876" s="18" t="n">
        <x:v>56351</x:v>
      </x:c>
      <x:c r="E876" s="18" t="n">
        <x:v>12.57</x:v>
      </x:c>
      <x:c r="F876" s="18" t="n">
        <x:v>5</x:v>
      </x:c>
      <x:c r="G876" t="n">
        <x:v>60</x:v>
      </x:c>
      <x:c r="H876" t="str">
        <x:v>A</x:v>
      </x:c>
      <x:c r="I876" t="str">
        <x:v>1-3 years</x:v>
      </x:c>
      <x:c r="J876" t="str">
        <x:v>MORTGAGE</x:v>
      </x:c>
      <x:c r="K876" t="str">
        <x:v>debt_consolidation</x:v>
      </x:c>
      <x:c r="L876" t="n">
        <x:v>0</x:v>
      </x:c>
      <x:c r="M876" t="n">
        <x:v>0</x:v>
      </x:c>
      <x:c r="N876" t="str">
        <x:v>Fully Paid</x:v>
      </x:c>
      <x:c r="O876" t="str">
        <x:f>IF(D876="","Unknown",IF(D876&lt;25000,"&lt;$25k",IF(D876&lt;50000,"$25k-$50k",IF(D876&lt;75000,"$50k-$75k",IF(D876&lt;100000,"$75k-$100k","$100k+")))))</x:f>
        <x:v>$50k-$75k</x:v>
      </x:c>
      <x:c r="P876" t="str">
        <x:f>IF(E876="","Unknown",IF(E876&lt;10,"&lt;10",IF(E876&lt;20,"10-&lt;20",IF(E876&lt;25,"20-&lt;25",IF(E876&lt;35,"25-&lt;35","35+")))))</x:f>
        <x:v>10-&lt;20</x:v>
      </x:c>
    </x:row>
    <x:row r="877">
      <x:c r="A877" t="str">
        <x:v>SYN0000876</x:v>
      </x:c>
      <x:c r="B877" s="12" t="n">
        <x:v>41635</x:v>
      </x:c>
      <x:c r="C877" s="18" t="n">
        <x:v>7897</x:v>
      </x:c>
      <x:c r="D877" s="18" t="n">
        <x:v>104518</x:v>
      </x:c>
      <x:c r="E877" s="18" t="n">
        <x:v>20.11</x:v>
      </x:c>
      <x:c r="F877" s="18" t="n">
        <x:v>17.3</x:v>
      </x:c>
      <x:c r="G877" t="n">
        <x:v>36</x:v>
      </x:c>
      <x:c r="H877" t="str">
        <x:v>E</x:v>
      </x:c>
      <x:c r="I877" t="str">
        <x:v>10+ years</x:v>
      </x:c>
      <x:c r="J877" t="str">
        <x:v>RENT</x:v>
      </x:c>
      <x:c r="K877" t="str">
        <x:v>other</x:v>
      </x:c>
      <x:c r="L877" t="n">
        <x:v>2</x:v>
      </x:c>
      <x:c r="M877" t="n">
        <x:v>0</x:v>
      </x:c>
      <x:c r="N877" t="str">
        <x:v>Fully Paid</x:v>
      </x:c>
      <x:c r="O877" t="str">
        <x:f>IF(D877="","Unknown",IF(D877&lt;25000,"&lt;$25k",IF(D877&lt;50000,"$25k-$50k",IF(D877&lt;75000,"$50k-$75k",IF(D877&lt;100000,"$75k-$100k","$100k+")))))</x:f>
        <x:v>$100k+</x:v>
      </x:c>
      <x:c r="P877" t="str">
        <x:f>IF(E877="","Unknown",IF(E877&lt;10,"&lt;10",IF(E877&lt;20,"10-&lt;20",IF(E877&lt;25,"20-&lt;25",IF(E877&lt;35,"25-&lt;35","35+")))))</x:f>
        <x:v>20-&lt;25</x:v>
      </x:c>
    </x:row>
    <x:row r="878">
      <x:c r="A878" t="str">
        <x:v>SYN0000877</x:v>
      </x:c>
      <x:c r="B878" s="12" t="n">
        <x:v>42535</x:v>
      </x:c>
      <x:c r="C878" s="18" t="n">
        <x:v>14077</x:v>
      </x:c>
      <x:c r="D878" s="18" t="n">
        <x:v>58180</x:v>
      </x:c>
      <x:c r="E878" s="18" t="n">
        <x:v>26.14</x:v>
      </x:c>
      <x:c r="F878" s="18" t="n">
        <x:v>18.62</x:v>
      </x:c>
      <x:c r="G878" t="n">
        <x:v>60</x:v>
      </x:c>
      <x:c r="H878" t="str">
        <x:v>E</x:v>
      </x:c>
      <x:c r="I878" t="str">
        <x:v>1-3 years</x:v>
      </x:c>
      <x:c r="J878" t="str">
        <x:v>RENT</x:v>
      </x:c>
      <x:c r="K878" t="str">
        <x:v>debt_consolidation</x:v>
      </x:c>
      <x:c r="L878" t="n">
        <x:v>1</x:v>
      </x:c>
      <x:c r="M878" t="n">
        <x:v>1</x:v>
      </x:c>
      <x:c r="N878" t="str">
        <x:v>Charged Off</x:v>
      </x:c>
      <x:c r="O878" t="str">
        <x:f>IF(D878="","Unknown",IF(D878&lt;25000,"&lt;$25k",IF(D878&lt;50000,"$25k-$50k",IF(D878&lt;75000,"$50k-$75k",IF(D878&lt;100000,"$75k-$100k","$100k+")))))</x:f>
        <x:v>$50k-$75k</x:v>
      </x:c>
      <x:c r="P878" t="str">
        <x:f>IF(E878="","Unknown",IF(E878&lt;10,"&lt;10",IF(E878&lt;20,"10-&lt;20",IF(E878&lt;25,"20-&lt;25",IF(E878&lt;35,"25-&lt;35","35+")))))</x:f>
        <x:v>25-&lt;35</x:v>
      </x:c>
    </x:row>
    <x:row r="879">
      <x:c r="A879" t="str">
        <x:v>SYN0000878</x:v>
      </x:c>
      <x:c r="B879" s="12" t="n">
        <x:v>43225</x:v>
      </x:c>
      <x:c r="C879" s="18" t="n">
        <x:v>17537</x:v>
      </x:c>
      <x:c r="D879" s="18" t="n">
        <x:v>34703</x:v>
      </x:c>
      <x:c r="E879" s="18" t="n">
        <x:v>18.65</x:v>
      </x:c>
      <x:c r="F879" s="18" t="n">
        <x:v>5.13</x:v>
      </x:c>
      <x:c r="G879" t="n">
        <x:v>36</x:v>
      </x:c>
      <x:c r="H879" t="str">
        <x:v>A</x:v>
      </x:c>
      <x:c r="I879" t="str">
        <x:v>1-3 years</x:v>
      </x:c>
      <x:c r="J879" t="str">
        <x:v>OWN</x:v>
      </x:c>
      <x:c r="K879" t="str">
        <x:v>debt_consolidation</x:v>
      </x:c>
      <x:c r="L879" t="n">
        <x:v>0</x:v>
      </x:c>
      <x:c r="M879" t="n">
        <x:v>0</x:v>
      </x:c>
      <x:c r="N879" t="str">
        <x:v>Fully Paid</x:v>
      </x:c>
      <x:c r="O879" t="str">
        <x:f>IF(D879="","Unknown",IF(D879&lt;25000,"&lt;$25k",IF(D879&lt;50000,"$25k-$50k",IF(D879&lt;75000,"$50k-$75k",IF(D879&lt;100000,"$75k-$100k","$100k+")))))</x:f>
        <x:v>$25k-$50k</x:v>
      </x:c>
      <x:c r="P879" t="str">
        <x:f>IF(E879="","Unknown",IF(E879&lt;10,"&lt;10",IF(E879&lt;20,"10-&lt;20",IF(E879&lt;25,"20-&lt;25",IF(E879&lt;35,"25-&lt;35","35+")))))</x:f>
        <x:v>10-&lt;20</x:v>
      </x:c>
    </x:row>
    <x:row r="880">
      <x:c r="A880" t="str">
        <x:v>SYN0000879</x:v>
      </x:c>
      <x:c r="B880" s="12" t="n">
        <x:v>42805</x:v>
      </x:c>
      <x:c r="C880" s="18" t="n">
        <x:v>9860</x:v>
      </x:c>
      <x:c r="D880" s="18" t="n">
        <x:v>67588</x:v>
      </x:c>
      <x:c r="E880" s="18" t="n">
        <x:v>12.28</x:v>
      </x:c>
      <x:c r="F880" s="18" t="n">
        <x:v>7.22</x:v>
      </x:c>
      <x:c r="G880" t="n">
        <x:v>36</x:v>
      </x:c>
      <x:c r="H880" t="str">
        <x:v>A</x:v>
      </x:c>
      <x:c r="I880" t="str">
        <x:v>7-9 years</x:v>
      </x:c>
      <x:c r="J880" t="str">
        <x:v>MORTGAGE</x:v>
      </x:c>
      <x:c r="K880" t="str">
        <x:v>other</x:v>
      </x:c>
      <x:c r="L880" t="n">
        <x:v>0</x:v>
      </x:c>
      <x:c r="M880" t="n">
        <x:v>0</x:v>
      </x:c>
      <x:c r="N880" t="str">
        <x:v>Fully Paid</x:v>
      </x:c>
      <x:c r="O880" t="str">
        <x:f>IF(D880="","Unknown",IF(D880&lt;25000,"&lt;$25k",IF(D880&lt;50000,"$25k-$50k",IF(D880&lt;75000,"$50k-$75k",IF(D880&lt;100000,"$75k-$100k","$100k+")))))</x:f>
        <x:v>$50k-$75k</x:v>
      </x:c>
      <x:c r="P880" t="str">
        <x:f>IF(E880="","Unknown",IF(E880&lt;10,"&lt;10",IF(E880&lt;20,"10-&lt;20",IF(E880&lt;25,"20-&lt;25",IF(E880&lt;35,"25-&lt;35","35+")))))</x:f>
        <x:v>10-&lt;20</x:v>
      </x:c>
    </x:row>
    <x:row r="881">
      <x:c r="A881" t="str">
        <x:v>SYN0000880</x:v>
      </x:c>
      <x:c r="B881" s="12" t="n">
        <x:v>42385</x:v>
      </x:c>
      <x:c r="C881" s="18" t="n">
        <x:v>4311</x:v>
      </x:c>
      <x:c r="D881" s="18" t="n">
        <x:v>55131</x:v>
      </x:c>
      <x:c r="E881" s="18" t="n">
        <x:v>34.21</x:v>
      </x:c>
      <x:c r="F881" s="18" t="n">
        <x:v>14.75</x:v>
      </x:c>
      <x:c r="G881" t="n">
        <x:v>36</x:v>
      </x:c>
      <x:c r="H881" t="str">
        <x:v>D</x:v>
      </x:c>
      <x:c r="I881" t="str">
        <x:v>4-6 years</x:v>
      </x:c>
      <x:c r="J881" t="str">
        <x:v>RENT</x:v>
      </x:c>
      <x:c r="K881" t="str">
        <x:v>major_purchase</x:v>
      </x:c>
      <x:c r="L881" t="n">
        <x:v>0</x:v>
      </x:c>
      <x:c r="M881" t="n">
        <x:v>0</x:v>
      </x:c>
      <x:c r="N881" t="str">
        <x:v>Fully Paid</x:v>
      </x:c>
      <x:c r="O881" t="str">
        <x:f>IF(D881="","Unknown",IF(D881&lt;25000,"&lt;$25k",IF(D881&lt;50000,"$25k-$50k",IF(D881&lt;75000,"$50k-$75k",IF(D881&lt;100000,"$75k-$100k","$100k+")))))</x:f>
        <x:v>$50k-$75k</x:v>
      </x:c>
      <x:c r="P881" t="str">
        <x:f>IF(E881="","Unknown",IF(E881&lt;10,"&lt;10",IF(E881&lt;20,"10-&lt;20",IF(E881&lt;25,"20-&lt;25",IF(E881&lt;35,"25-&lt;35","35+")))))</x:f>
        <x:v>25-&lt;35</x:v>
      </x:c>
    </x:row>
    <x:row r="882">
      <x:c r="A882" t="str">
        <x:v>SYN0000881</x:v>
      </x:c>
      <x:c r="B882" s="12" t="n">
        <x:v>41875</x:v>
      </x:c>
      <x:c r="C882" s="18" t="n">
        <x:v>13199</x:v>
      </x:c>
      <x:c r="D882" s="18" t="n">
        <x:v>44086</x:v>
      </x:c>
      <x:c r="E882" s="18" t="n">
        <x:v>30.23</x:v>
      </x:c>
      <x:c r="F882" s="18" t="n">
        <x:v>12.7</x:v>
      </x:c>
      <x:c r="G882" t="n">
        <x:v>36</x:v>
      </x:c>
      <x:c r="H882" t="str">
        <x:v>C</x:v>
      </x:c>
      <x:c r="I882" t="str">
        <x:v>&lt;1 year</x:v>
      </x:c>
      <x:c r="J882" t="str">
        <x:v>MORTGAGE</x:v>
      </x:c>
      <x:c r="K882" t="str">
        <x:v>debt_consolidation</x:v>
      </x:c>
      <x:c r="L882" t="n">
        <x:v>0</x:v>
      </x:c>
      <x:c r="M882" t="n">
        <x:v>0</x:v>
      </x:c>
      <x:c r="N882" t="str">
        <x:v>Fully Paid</x:v>
      </x:c>
      <x:c r="O882" t="str">
        <x:f>IF(D882="","Unknown",IF(D882&lt;25000,"&lt;$25k",IF(D882&lt;50000,"$25k-$50k",IF(D882&lt;75000,"$50k-$75k",IF(D882&lt;100000,"$75k-$100k","$100k+")))))</x:f>
        <x:v>$25k-$50k</x:v>
      </x:c>
      <x:c r="P882" t="str">
        <x:f>IF(E882="","Unknown",IF(E882&lt;10,"&lt;10",IF(E882&lt;20,"10-&lt;20",IF(E882&lt;25,"20-&lt;25",IF(E882&lt;35,"25-&lt;35","35+")))))</x:f>
        <x:v>25-&lt;35</x:v>
      </x:c>
    </x:row>
    <x:row r="883">
      <x:c r="A883" t="str">
        <x:v>SYN0000882</x:v>
      </x:c>
      <x:c r="B883" s="12" t="n">
        <x:v>42925</x:v>
      </x:c>
      <x:c r="C883" s="18" t="n">
        <x:v>15771</x:v>
      </x:c>
      <x:c r="D883" s="18" t="n">
        <x:v>42355</x:v>
      </x:c>
      <x:c r="E883" s="18" t="n">
        <x:v>8.41</x:v>
      </x:c>
      <x:c r="F883" s="18" t="n">
        <x:v>9.04</x:v>
      </x:c>
      <x:c r="G883" t="n">
        <x:v>36</x:v>
      </x:c>
      <x:c r="H883" t="str">
        <x:v>B</x:v>
      </x:c>
      <x:c r="I883" t="str">
        <x:v>1-3 years</x:v>
      </x:c>
      <x:c r="J883" t="str">
        <x:v>RENT</x:v>
      </x:c>
      <x:c r="K883" t="str">
        <x:v>home_improvement</x:v>
      </x:c>
      <x:c r="L883" t="n">
        <x:v>0</x:v>
      </x:c>
      <x:c r="M883" t="n">
        <x:v>0</x:v>
      </x:c>
      <x:c r="N883" t="str">
        <x:v>Fully Paid</x:v>
      </x:c>
      <x:c r="O883" t="str">
        <x:f>IF(D883="","Unknown",IF(D883&lt;25000,"&lt;$25k",IF(D883&lt;50000,"$25k-$50k",IF(D883&lt;75000,"$50k-$75k",IF(D883&lt;100000,"$75k-$100k","$100k+")))))</x:f>
        <x:v>$25k-$50k</x:v>
      </x:c>
      <x:c r="P883" t="str">
        <x:f>IF(E883="","Unknown",IF(E883&lt;10,"&lt;10",IF(E883&lt;20,"10-&lt;20",IF(E883&lt;25,"20-&lt;25",IF(E883&lt;35,"25-&lt;35","35+")))))</x:f>
        <x:v>&lt;10</x:v>
      </x:c>
    </x:row>
    <x:row r="884">
      <x:c r="A884" t="str">
        <x:v>SYN0000883</x:v>
      </x:c>
      <x:c r="B884" s="12" t="n">
        <x:v>41335</x:v>
      </x:c>
      <x:c r="C884" s="18" t="n">
        <x:v>11522</x:v>
      </x:c>
      <x:c r="D884" s="18" t="n">
        <x:v>60910</x:v>
      </x:c>
      <x:c r="E884" s="18" t="n">
        <x:v>20.72</x:v>
      </x:c>
      <x:c r="F884" s="18" t="n">
        <x:v>7.13</x:v>
      </x:c>
      <x:c r="G884" t="n">
        <x:v>36</x:v>
      </x:c>
      <x:c r="H884" t="str">
        <x:v>C</x:v>
      </x:c>
      <x:c r="I884" t="str">
        <x:v>10+ years</x:v>
      </x:c>
      <x:c r="J884" t="str">
        <x:v>RENT</x:v>
      </x:c>
      <x:c r="K884" t="str">
        <x:v>debt_consolidation</x:v>
      </x:c>
      <x:c r="L884" t="n">
        <x:v>0</x:v>
      </x:c>
      <x:c r="M884" t="n">
        <x:v>0</x:v>
      </x:c>
      <x:c r="N884" t="str">
        <x:v>Fully Paid</x:v>
      </x:c>
      <x:c r="O884" t="str">
        <x:f>IF(D884="","Unknown",IF(D884&lt;25000,"&lt;$25k",IF(D884&lt;50000,"$25k-$50k",IF(D884&lt;75000,"$50k-$75k",IF(D884&lt;100000,"$75k-$100k","$100k+")))))</x:f>
        <x:v>$50k-$75k</x:v>
      </x:c>
      <x:c r="P884" t="str">
        <x:f>IF(E884="","Unknown",IF(E884&lt;10,"&lt;10",IF(E884&lt;20,"10-&lt;20",IF(E884&lt;25,"20-&lt;25",IF(E884&lt;35,"25-&lt;35","35+")))))</x:f>
        <x:v>20-&lt;25</x:v>
      </x:c>
    </x:row>
    <x:row r="885">
      <x:c r="A885" t="str">
        <x:v>SYN0000884</x:v>
      </x:c>
      <x:c r="B885" s="12" t="n">
        <x:v>42505</x:v>
      </x:c>
      <x:c r="C885" s="18" t="n">
        <x:v>15883</x:v>
      </x:c>
      <x:c r="D885" s="18" t="n">
        <x:v>152447</x:v>
      </x:c>
      <x:c r="E885" s="18" t="n">
        <x:v>12.29</x:v>
      </x:c>
      <x:c r="F885" s="18" t="n">
        <x:v>16.04</x:v>
      </x:c>
      <x:c r="G885" t="n">
        <x:v>36</x:v>
      </x:c>
      <x:c r="H885" t="str">
        <x:v>C</x:v>
      </x:c>
      <x:c r="I885" t="str">
        <x:v>4-6 years</x:v>
      </x:c>
      <x:c r="J885" t="str">
        <x:v>OWN</x:v>
      </x:c>
      <x:c r="K885" t="str">
        <x:v>home_improvement</x:v>
      </x:c>
      <x:c r="L885" t="n">
        <x:v>0</x:v>
      </x:c>
      <x:c r="M885" t="n">
        <x:v>0</x:v>
      </x:c>
      <x:c r="N885" t="str">
        <x:v>Fully Paid</x:v>
      </x:c>
      <x:c r="O885" t="str">
        <x:f>IF(D885="","Unknown",IF(D885&lt;25000,"&lt;$25k",IF(D885&lt;50000,"$25k-$50k",IF(D885&lt;75000,"$50k-$75k",IF(D885&lt;100000,"$75k-$100k","$100k+")))))</x:f>
        <x:v>$100k+</x:v>
      </x:c>
      <x:c r="P885" t="str">
        <x:f>IF(E885="","Unknown",IF(E885&lt;10,"&lt;10",IF(E885&lt;20,"10-&lt;20",IF(E885&lt;25,"20-&lt;25",IF(E885&lt;35,"25-&lt;35","35+")))))</x:f>
        <x:v>10-&lt;20</x:v>
      </x:c>
    </x:row>
    <x:row r="886">
      <x:c r="A886" t="str">
        <x:v>SYN0000885</x:v>
      </x:c>
      <x:c r="B886" s="12" t="n">
        <x:v>41455</x:v>
      </x:c>
      <x:c r="C886" s="18" t="n">
        <x:v>17699</x:v>
      </x:c>
      <x:c r="D886" s="18" t="n">
        <x:v>27044</x:v>
      </x:c>
      <x:c r="E886" s="18" t="n">
        <x:v>28.46</x:v>
      </x:c>
      <x:c r="F886" s="18" t="n">
        <x:v>17.5</x:v>
      </x:c>
      <x:c r="G886" t="n">
        <x:v>36</x:v>
      </x:c>
      <x:c r="H886" t="str">
        <x:v>E</x:v>
      </x:c>
      <x:c r="I886" t="str">
        <x:v>7-9 years</x:v>
      </x:c>
      <x:c r="J886" t="str">
        <x:v>RENT</x:v>
      </x:c>
      <x:c r="K886" t="str">
        <x:v>debt_consolidation</x:v>
      </x:c>
      <x:c r="L886" t="n">
        <x:v>0</x:v>
      </x:c>
      <x:c r="M886" t="n">
        <x:v>1</x:v>
      </x:c>
      <x:c r="N886" t="str">
        <x:v>Charged Off</x:v>
      </x:c>
      <x:c r="O886" t="str">
        <x:f>IF(D886="","Unknown",IF(D886&lt;25000,"&lt;$25k",IF(D886&lt;50000,"$25k-$50k",IF(D886&lt;75000,"$50k-$75k",IF(D886&lt;100000,"$75k-$100k","$100k+")))))</x:f>
        <x:v>$25k-$50k</x:v>
      </x:c>
      <x:c r="P886" t="str">
        <x:f>IF(E886="","Unknown",IF(E886&lt;10,"&lt;10",IF(E886&lt;20,"10-&lt;20",IF(E886&lt;25,"20-&lt;25",IF(E886&lt;35,"25-&lt;35","35+")))))</x:f>
        <x:v>25-&lt;35</x:v>
      </x:c>
    </x:row>
    <x:row r="887">
      <x:c r="A887" t="str">
        <x:v>SYN0000886</x:v>
      </x:c>
      <x:c r="B887" s="12" t="n">
        <x:v>41485</x:v>
      </x:c>
      <x:c r="C887" s="18" t="n">
        <x:v>15278</x:v>
      </x:c>
      <x:c r="D887" s="18" t="n">
        <x:v>174742</x:v>
      </x:c>
      <x:c r="E887" s="18" t="n">
        <x:v>24.55</x:v>
      </x:c>
      <x:c r="F887" s="18" t="n">
        <x:v>8.36</x:v>
      </x:c>
      <x:c r="G887" t="n">
        <x:v>36</x:v>
      </x:c>
      <x:c r="H887" t="str">
        <x:v>B</x:v>
      </x:c>
      <x:c r="I887" t="str">
        <x:v>4-6 years</x:v>
      </x:c>
      <x:c r="J887" t="str">
        <x:v>RENT</x:v>
      </x:c>
      <x:c r="K887" t="str">
        <x:v>credit_card</x:v>
      </x:c>
      <x:c r="L887" t="n">
        <x:v>0</x:v>
      </x:c>
      <x:c r="M887" t="n">
        <x:v>0</x:v>
      </x:c>
      <x:c r="N887" t="str">
        <x:v>Fully Paid</x:v>
      </x:c>
      <x:c r="O887" t="str">
        <x:f>IF(D887="","Unknown",IF(D887&lt;25000,"&lt;$25k",IF(D887&lt;50000,"$25k-$50k",IF(D887&lt;75000,"$50k-$75k",IF(D887&lt;100000,"$75k-$100k","$100k+")))))</x:f>
        <x:v>$100k+</x:v>
      </x:c>
      <x:c r="P887" t="str">
        <x:f>IF(E887="","Unknown",IF(E887&lt;10,"&lt;10",IF(E887&lt;20,"10-&lt;20",IF(E887&lt;25,"20-&lt;25",IF(E887&lt;35,"25-&lt;35","35+")))))</x:f>
        <x:v>20-&lt;25</x:v>
      </x:c>
    </x:row>
    <x:row r="888">
      <x:c r="A888" t="str">
        <x:v>SYN0000887</x:v>
      </x:c>
      <x:c r="B888" s="12" t="n">
        <x:v>42505</x:v>
      </x:c>
      <x:c r="C888" s="18" t="n">
        <x:v>18612</x:v>
      </x:c>
      <x:c r="D888" s="18" t="n">
        <x:v>113332</x:v>
      </x:c>
      <x:c r="E888" s="18" t="n">
        <x:v>6.13</x:v>
      </x:c>
      <x:c r="F888" s="18" t="n">
        <x:v>5</x:v>
      </x:c>
      <x:c r="G888" t="n">
        <x:v>36</x:v>
      </x:c>
      <x:c r="H888" t="str">
        <x:v>A</x:v>
      </x:c>
      <x:c r="I888" t="str">
        <x:v>4-6 years</x:v>
      </x:c>
      <x:c r="J888" t="str">
        <x:v>RENT</x:v>
      </x:c>
      <x:c r="K888" t="str">
        <x:v>debt_consolidation</x:v>
      </x:c>
      <x:c r="L888" t="n">
        <x:v>0</x:v>
      </x:c>
      <x:c r="M888" t="n">
        <x:v>0</x:v>
      </x:c>
      <x:c r="N888" t="str">
        <x:v>Fully Paid</x:v>
      </x:c>
      <x:c r="O888" t="str">
        <x:f>IF(D888="","Unknown",IF(D888&lt;25000,"&lt;$25k",IF(D888&lt;50000,"$25k-$50k",IF(D888&lt;75000,"$50k-$75k",IF(D888&lt;100000,"$75k-$100k","$100k+")))))</x:f>
        <x:v>$100k+</x:v>
      </x:c>
      <x:c r="P888" t="str">
        <x:f>IF(E888="","Unknown",IF(E888&lt;10,"&lt;10",IF(E888&lt;20,"10-&lt;20",IF(E888&lt;25,"20-&lt;25",IF(E888&lt;35,"25-&lt;35","35+")))))</x:f>
        <x:v>&lt;10</x:v>
      </x:c>
    </x:row>
    <x:row r="889">
      <x:c r="A889" t="str">
        <x:v>SYN0000888</x:v>
      </x:c>
      <x:c r="B889" s="12" t="n">
        <x:v>41815</x:v>
      </x:c>
      <x:c r="C889" s="18" t="n">
        <x:v>16168</x:v>
      </x:c>
      <x:c r="D889" s="18" t="n">
        <x:v>152877</x:v>
      </x:c>
      <x:c r="E889" s="18" t="n">
        <x:v>4.63</x:v>
      </x:c>
      <x:c r="F889" s="18" t="n">
        <x:v>12.79</x:v>
      </x:c>
      <x:c r="G889" t="n">
        <x:v>36</x:v>
      </x:c>
      <x:c r="H889" t="str">
        <x:v>C</x:v>
      </x:c>
      <x:c r="I889" t="str">
        <x:v>10+ years</x:v>
      </x:c>
      <x:c r="J889" t="str">
        <x:v>MORTGAGE</x:v>
      </x:c>
      <x:c r="K889" t="str">
        <x:v>credit_card</x:v>
      </x:c>
      <x:c r="L889" t="n">
        <x:v>0</x:v>
      </x:c>
      <x:c r="M889" t="n">
        <x:v>0</x:v>
      </x:c>
      <x:c r="N889" t="str">
        <x:v>Fully Paid</x:v>
      </x:c>
      <x:c r="O889" t="str">
        <x:f>IF(D889="","Unknown",IF(D889&lt;25000,"&lt;$25k",IF(D889&lt;50000,"$25k-$50k",IF(D889&lt;75000,"$50k-$75k",IF(D889&lt;100000,"$75k-$100k","$100k+")))))</x:f>
        <x:v>$100k+</x:v>
      </x:c>
      <x:c r="P889" t="str">
        <x:f>IF(E889="","Unknown",IF(E889&lt;10,"&lt;10",IF(E889&lt;20,"10-&lt;20",IF(E889&lt;25,"20-&lt;25",IF(E889&lt;35,"25-&lt;35","35+")))))</x:f>
        <x:v>&lt;10</x:v>
      </x:c>
    </x:row>
    <x:row r="890">
      <x:c r="A890" t="str">
        <x:v>SYN0000889</x:v>
      </x:c>
      <x:c r="B890" s="12" t="n">
        <x:v>41785</x:v>
      </x:c>
      <x:c r="C890" s="18" t="n">
        <x:v>12820</x:v>
      </x:c>
      <x:c r="D890" s="18" t="n">
        <x:v>46847</x:v>
      </x:c>
      <x:c r="E890" s="18" t="n">
        <x:v>13.75</x:v>
      </x:c>
      <x:c r="F890" s="18" t="n">
        <x:v>5.71</x:v>
      </x:c>
      <x:c r="G890" t="n">
        <x:v>60</x:v>
      </x:c>
      <x:c r="H890" t="str">
        <x:v>B</x:v>
      </x:c>
      <x:c r="I890" t="str">
        <x:v>1-3 years</x:v>
      </x:c>
      <x:c r="J890" t="str">
        <x:v>OWN</x:v>
      </x:c>
      <x:c r="K890" t="str">
        <x:v>debt_consolidation</x:v>
      </x:c>
      <x:c r="L890" t="n">
        <x:v>0</x:v>
      </x:c>
      <x:c r="M890" t="n">
        <x:v>0</x:v>
      </x:c>
      <x:c r="N890" t="str">
        <x:v>Fully Paid</x:v>
      </x:c>
      <x:c r="O890" t="str">
        <x:f>IF(D890="","Unknown",IF(D890&lt;25000,"&lt;$25k",IF(D890&lt;50000,"$25k-$50k",IF(D890&lt;75000,"$50k-$75k",IF(D890&lt;100000,"$75k-$100k","$100k+")))))</x:f>
        <x:v>$25k-$50k</x:v>
      </x:c>
      <x:c r="P890" t="str">
        <x:f>IF(E890="","Unknown",IF(E890&lt;10,"&lt;10",IF(E890&lt;20,"10-&lt;20",IF(E890&lt;25,"20-&lt;25",IF(E890&lt;35,"25-&lt;35","35+")))))</x:f>
        <x:v>10-&lt;20</x:v>
      </x:c>
    </x:row>
    <x:row r="891">
      <x:c r="A891" t="str">
        <x:v>SYN0000890</x:v>
      </x:c>
      <x:c r="B891" s="12" t="n">
        <x:v>41875</x:v>
      </x:c>
      <x:c r="C891" s="18" t="n">
        <x:v>20995</x:v>
      </x:c>
      <x:c r="D891" s="18" t="n">
        <x:v>83268</x:v>
      </x:c>
      <x:c r="E891" s="18" t="n">
        <x:v>10.52</x:v>
      </x:c>
      <x:c r="F891" s="18" t="n">
        <x:v>7.43</x:v>
      </x:c>
      <x:c r="G891" t="n">
        <x:v>60</x:v>
      </x:c>
      <x:c r="H891" t="str">
        <x:v>B</x:v>
      </x:c>
      <x:c r="I891" t="str">
        <x:v>4-6 years</x:v>
      </x:c>
      <x:c r="J891" t="str">
        <x:v>MORTGAGE</x:v>
      </x:c>
      <x:c r="K891" t="str">
        <x:v>major_purchase</x:v>
      </x:c>
      <x:c r="L891" t="n">
        <x:v>0</x:v>
      </x:c>
      <x:c r="M891" t="n">
        <x:v>0</x:v>
      </x:c>
      <x:c r="N891" t="str">
        <x:v>Fully Paid</x:v>
      </x:c>
      <x:c r="O891" t="str">
        <x:f>IF(D891="","Unknown",IF(D891&lt;25000,"&lt;$25k",IF(D891&lt;50000,"$25k-$50k",IF(D891&lt;75000,"$50k-$75k",IF(D891&lt;100000,"$75k-$100k","$100k+")))))</x:f>
        <x:v>$75k-$100k</x:v>
      </x:c>
      <x:c r="P891" t="str">
        <x:f>IF(E891="","Unknown",IF(E891&lt;10,"&lt;10",IF(E891&lt;20,"10-&lt;20",IF(E891&lt;25,"20-&lt;25",IF(E891&lt;35,"25-&lt;35","35+")))))</x:f>
        <x:v>10-&lt;20</x:v>
      </x:c>
    </x:row>
    <x:row r="892">
      <x:c r="A892" t="str">
        <x:v>SYN0000891</x:v>
      </x:c>
      <x:c r="B892" s="12" t="n">
        <x:v>43165</x:v>
      </x:c>
      <x:c r="C892" s="18" t="n">
        <x:v>14481</x:v>
      </x:c>
      <x:c r="D892" s="18" t="n">
        <x:v>50175</x:v>
      </x:c>
      <x:c r="E892" s="18" t="n">
        <x:v>18.01</x:v>
      </x:c>
      <x:c r="F892" s="18" t="n">
        <x:v>5</x:v>
      </x:c>
      <x:c r="G892" t="n">
        <x:v>36</x:v>
      </x:c>
      <x:c r="H892" t="str">
        <x:v>A</x:v>
      </x:c>
      <x:c r="I892" t="str">
        <x:v>&lt;1 year</x:v>
      </x:c>
      <x:c r="J892" t="str">
        <x:v>MORTGAGE</x:v>
      </x:c>
      <x:c r="K892" t="str">
        <x:v>home_improvement</x:v>
      </x:c>
      <x:c r="L892" t="n">
        <x:v>0</x:v>
      </x:c>
      <x:c r="M892" t="n">
        <x:v>0</x:v>
      </x:c>
      <x:c r="N892" t="str">
        <x:v>Fully Paid</x:v>
      </x:c>
      <x:c r="O892" t="str">
        <x:f>IF(D892="","Unknown",IF(D892&lt;25000,"&lt;$25k",IF(D892&lt;50000,"$25k-$50k",IF(D892&lt;75000,"$50k-$75k",IF(D892&lt;100000,"$75k-$100k","$100k+")))))</x:f>
        <x:v>$50k-$75k</x:v>
      </x:c>
      <x:c r="P892" t="str">
        <x:f>IF(E892="","Unknown",IF(E892&lt;10,"&lt;10",IF(E892&lt;20,"10-&lt;20",IF(E892&lt;25,"20-&lt;25",IF(E892&lt;35,"25-&lt;35","35+")))))</x:f>
        <x:v>10-&lt;20</x:v>
      </x:c>
    </x:row>
    <x:row r="893">
      <x:c r="A893" t="str">
        <x:v>SYN0000892</x:v>
      </x:c>
      <x:c r="B893" s="12" t="n">
        <x:v>42565</x:v>
      </x:c>
      <x:c r="C893" s="18" t="n">
        <x:v>13459</x:v>
      </x:c>
      <x:c r="D893" s="18" t="n">
        <x:v>43299</x:v>
      </x:c>
      <x:c r="E893" s="18" t="n">
        <x:v>34.91</x:v>
      </x:c>
      <x:c r="F893" s="18" t="n">
        <x:v>7.38</x:v>
      </x:c>
      <x:c r="G893" t="n">
        <x:v>36</x:v>
      </x:c>
      <x:c r="H893" t="str">
        <x:v>A</x:v>
      </x:c>
      <x:c r="I893" t="str">
        <x:v>10+ years</x:v>
      </x:c>
      <x:c r="J893" t="str">
        <x:v>MORTGAGE</x:v>
      </x:c>
      <x:c r="K893" t="str">
        <x:v>medical</x:v>
      </x:c>
      <x:c r="L893" t="n">
        <x:v>0</x:v>
      </x:c>
      <x:c r="M893" t="n">
        <x:v>0</x:v>
      </x:c>
      <x:c r="N893" t="str">
        <x:v>Fully Paid</x:v>
      </x:c>
      <x:c r="O893" t="str">
        <x:f>IF(D893="","Unknown",IF(D893&lt;25000,"&lt;$25k",IF(D893&lt;50000,"$25k-$50k",IF(D893&lt;75000,"$50k-$75k",IF(D893&lt;100000,"$75k-$100k","$100k+")))))</x:f>
        <x:v>$25k-$50k</x:v>
      </x:c>
      <x:c r="P893" t="str">
        <x:f>IF(E893="","Unknown",IF(E893&lt;10,"&lt;10",IF(E893&lt;20,"10-&lt;20",IF(E893&lt;25,"20-&lt;25",IF(E893&lt;35,"25-&lt;35","35+")))))</x:f>
        <x:v>25-&lt;35</x:v>
      </x:c>
    </x:row>
    <x:row r="894">
      <x:c r="A894" t="str">
        <x:v>SYN0000893</x:v>
      </x:c>
      <x:c r="B894" s="12" t="n">
        <x:v>41965</x:v>
      </x:c>
      <x:c r="C894" s="18" t="n">
        <x:v>23563</x:v>
      </x:c>
      <x:c r="D894" s="18" t="n">
        <x:v>56512</x:v>
      </x:c>
      <x:c r="E894" s="18" t="n">
        <x:v>23.11</x:v>
      </x:c>
      <x:c r="F894" s="18" t="n">
        <x:v>12.24</x:v>
      </x:c>
      <x:c r="G894" t="n">
        <x:v>36</x:v>
      </x:c>
      <x:c r="H894" t="str">
        <x:v>D</x:v>
      </x:c>
      <x:c r="I894" t="str">
        <x:v>1-3 years</x:v>
      </x:c>
      <x:c r="J894" t="str">
        <x:v>RENT</x:v>
      </x:c>
      <x:c r="K894" t="str">
        <x:v>major_purchase</x:v>
      </x:c>
      <x:c r="L894" t="n">
        <x:v>0</x:v>
      </x:c>
      <x:c r="M894" t="n">
        <x:v>0</x:v>
      </x:c>
      <x:c r="N894" t="str">
        <x:v>Fully Paid</x:v>
      </x:c>
      <x:c r="O894" t="str">
        <x:f>IF(D894="","Unknown",IF(D894&lt;25000,"&lt;$25k",IF(D894&lt;50000,"$25k-$50k",IF(D894&lt;75000,"$50k-$75k",IF(D894&lt;100000,"$75k-$100k","$100k+")))))</x:f>
        <x:v>$50k-$75k</x:v>
      </x:c>
      <x:c r="P894" t="str">
        <x:f>IF(E894="","Unknown",IF(E894&lt;10,"&lt;10",IF(E894&lt;20,"10-&lt;20",IF(E894&lt;25,"20-&lt;25",IF(E894&lt;35,"25-&lt;35","35+")))))</x:f>
        <x:v>20-&lt;25</x:v>
      </x:c>
    </x:row>
    <x:row r="895">
      <x:c r="A895" t="str">
        <x:v>SYN0000894</x:v>
      </x:c>
      <x:c r="B895" s="12" t="n">
        <x:v>42025</x:v>
      </x:c>
      <x:c r="C895" s="18" t="n">
        <x:v>11936</x:v>
      </x:c>
      <x:c r="D895" s="18" t="n">
        <x:v>48676</x:v>
      </x:c>
      <x:c r="E895" s="18" t="n">
        <x:v>21.68</x:v>
      </x:c>
      <x:c r="F895" s="18" t="n">
        <x:v>14.3</x:v>
      </x:c>
      <x:c r="G895" t="n">
        <x:v>36</x:v>
      </x:c>
      <x:c r="H895" t="str">
        <x:v>D</x:v>
      </x:c>
      <x:c r="I895" t="str">
        <x:v>1-3 years</x:v>
      </x:c>
      <x:c r="J895" t="str">
        <x:v>MORTGAGE</x:v>
      </x:c>
      <x:c r="K895" t="str">
        <x:v>home_improvement</x:v>
      </x:c>
      <x:c r="L895" t="n">
        <x:v>1</x:v>
      </x:c>
      <x:c r="M895" t="n">
        <x:v>0</x:v>
      </x:c>
      <x:c r="N895" t="str">
        <x:v>Fully Paid</x:v>
      </x:c>
      <x:c r="O895" t="str">
        <x:f>IF(D895="","Unknown",IF(D895&lt;25000,"&lt;$25k",IF(D895&lt;50000,"$25k-$50k",IF(D895&lt;75000,"$50k-$75k",IF(D895&lt;100000,"$75k-$100k","$100k+")))))</x:f>
        <x:v>$25k-$50k</x:v>
      </x:c>
      <x:c r="P895" t="str">
        <x:f>IF(E895="","Unknown",IF(E895&lt;10,"&lt;10",IF(E895&lt;20,"10-&lt;20",IF(E895&lt;25,"20-&lt;25",IF(E895&lt;35,"25-&lt;35","35+")))))</x:f>
        <x:v>20-&lt;25</x:v>
      </x:c>
    </x:row>
    <x:row r="896">
      <x:c r="A896" t="str">
        <x:v>SYN0000895</x:v>
      </x:c>
      <x:c r="B896" s="12" t="n">
        <x:v>43405</x:v>
      </x:c>
      <x:c r="C896" s="18" t="n">
        <x:v>6611</x:v>
      </x:c>
      <x:c r="D896" s="18" t="n">
        <x:v>38125</x:v>
      </x:c>
      <x:c r="E896" s="18" t="n">
        <x:v>24.96</x:v>
      </x:c>
      <x:c r="F896" s="18" t="n">
        <x:v>11.31</x:v>
      </x:c>
      <x:c r="G896" t="n">
        <x:v>60</x:v>
      </x:c>
      <x:c r="H896" t="str">
        <x:v>C</x:v>
      </x:c>
      <x:c r="I896" t="str">
        <x:v>1-3 years</x:v>
      </x:c>
      <x:c r="J896" t="str">
        <x:v>MORTGAGE</x:v>
      </x:c>
      <x:c r="K896" t="str">
        <x:v>credit_card</x:v>
      </x:c>
      <x:c r="L896" t="n">
        <x:v>0</x:v>
      </x:c>
      <x:c r="M896" t="n">
        <x:v>0</x:v>
      </x:c>
      <x:c r="N896" t="str">
        <x:v>Fully Paid</x:v>
      </x:c>
      <x:c r="O896" t="str">
        <x:f>IF(D896="","Unknown",IF(D896&lt;25000,"&lt;$25k",IF(D896&lt;50000,"$25k-$50k",IF(D896&lt;75000,"$50k-$75k",IF(D896&lt;100000,"$75k-$100k","$100k+")))))</x:f>
        <x:v>$25k-$50k</x:v>
      </x:c>
      <x:c r="P896" t="str">
        <x:f>IF(E896="","Unknown",IF(E896&lt;10,"&lt;10",IF(E896&lt;20,"10-&lt;20",IF(E896&lt;25,"20-&lt;25",IF(E896&lt;35,"25-&lt;35","35+")))))</x:f>
        <x:v>20-&lt;25</x:v>
      </x:c>
    </x:row>
    <x:row r="897">
      <x:c r="A897" t="str">
        <x:v>SYN0000896</x:v>
      </x:c>
      <x:c r="B897" s="12" t="n">
        <x:v>43345</x:v>
      </x:c>
      <x:c r="C897" s="18" t="n">
        <x:v>14535</x:v>
      </x:c>
      <x:c r="D897" s="18" t="n">
        <x:v>58118</x:v>
      </x:c>
      <x:c r="E897" s="18" t="n">
        <x:v>12.87</x:v>
      </x:c>
      <x:c r="F897" s="18" t="n">
        <x:v>7.77</x:v>
      </x:c>
      <x:c r="G897" t="n">
        <x:v>36</x:v>
      </x:c>
      <x:c r="H897" t="str">
        <x:v>B</x:v>
      </x:c>
      <x:c r="I897" t="str">
        <x:v>4-6 years</x:v>
      </x:c>
      <x:c r="J897" t="str">
        <x:v>RENT</x:v>
      </x:c>
      <x:c r="K897" t="str">
        <x:v>major_purchase</x:v>
      </x:c>
      <x:c r="L897" t="n">
        <x:v>0</x:v>
      </x:c>
      <x:c r="M897" t="n">
        <x:v>0</x:v>
      </x:c>
      <x:c r="N897" t="str">
        <x:v>Fully Paid</x:v>
      </x:c>
      <x:c r="O897" t="str">
        <x:f>IF(D897="","Unknown",IF(D897&lt;25000,"&lt;$25k",IF(D897&lt;50000,"$25k-$50k",IF(D897&lt;75000,"$50k-$75k",IF(D897&lt;100000,"$75k-$100k","$100k+")))))</x:f>
        <x:v>$50k-$75k</x:v>
      </x:c>
      <x:c r="P897" t="str">
        <x:f>IF(E897="","Unknown",IF(E897&lt;10,"&lt;10",IF(E897&lt;20,"10-&lt;20",IF(E897&lt;25,"20-&lt;25",IF(E897&lt;35,"25-&lt;35","35+")))))</x:f>
        <x:v>10-&lt;20</x:v>
      </x:c>
    </x:row>
    <x:row r="898">
      <x:c r="A898" t="str">
        <x:v>SYN0000897</x:v>
      </x:c>
      <x:c r="B898" s="12" t="n">
        <x:v>41335</x:v>
      </x:c>
      <x:c r="C898" s="18" t="n">
        <x:v>22436</x:v>
      </x:c>
      <x:c r="D898" s="18" t="n">
        <x:v>53584</x:v>
      </x:c>
      <x:c r="E898" s="18" t="n">
        <x:v>22.97</x:v>
      </x:c>
      <x:c r="F898" s="18" t="n">
        <x:v>7.8</x:v>
      </x:c>
      <x:c r="G898" t="n">
        <x:v>60</x:v>
      </x:c>
      <x:c r="H898" t="str">
        <x:v>C</x:v>
      </x:c>
      <x:c r="I898" t="str">
        <x:v>1-3 years</x:v>
      </x:c>
      <x:c r="J898" t="str">
        <x:v>OWN</x:v>
      </x:c>
      <x:c r="K898" t="str">
        <x:v>debt_consolidation</x:v>
      </x:c>
      <x:c r="L898" t="n">
        <x:v>1</x:v>
      </x:c>
      <x:c r="M898" t="n">
        <x:v>0</x:v>
      </x:c>
      <x:c r="N898" t="str">
        <x:v>Fully Paid</x:v>
      </x:c>
      <x:c r="O898" t="str">
        <x:f>IF(D898="","Unknown",IF(D898&lt;25000,"&lt;$25k",IF(D898&lt;50000,"$25k-$50k",IF(D898&lt;75000,"$50k-$75k",IF(D898&lt;100000,"$75k-$100k","$100k+")))))</x:f>
        <x:v>$50k-$75k</x:v>
      </x:c>
      <x:c r="P898" t="str">
        <x:f>IF(E898="","Unknown",IF(E898&lt;10,"&lt;10",IF(E898&lt;20,"10-&lt;20",IF(E898&lt;25,"20-&lt;25",IF(E898&lt;35,"25-&lt;35","35+")))))</x:f>
        <x:v>20-&lt;25</x:v>
      </x:c>
    </x:row>
    <x:row r="899">
      <x:c r="A899" t="str">
        <x:v>SYN0000898</x:v>
      </x:c>
      <x:c r="B899" s="12" t="n">
        <x:v>41545</x:v>
      </x:c>
      <x:c r="C899" s="18" t="n">
        <x:v>11462</x:v>
      </x:c>
      <x:c r="D899" s="18" t="n">
        <x:v>75872</x:v>
      </x:c>
      <x:c r="E899" s="18" t="n">
        <x:v>16.07</x:v>
      </x:c>
      <x:c r="F899" s="18" t="n">
        <x:v>13.3</x:v>
      </x:c>
      <x:c r="G899" t="n">
        <x:v>36</x:v>
      </x:c>
      <x:c r="H899" t="str">
        <x:v>C</x:v>
      </x:c>
      <x:c r="I899" t="str">
        <x:v>7-9 years</x:v>
      </x:c>
      <x:c r="J899" t="str">
        <x:v>RENT</x:v>
      </x:c>
      <x:c r="K899" t="str">
        <x:v>debt_consolidation</x:v>
      </x:c>
      <x:c r="L899" t="n">
        <x:v>0</x:v>
      </x:c>
      <x:c r="M899" t="n">
        <x:v>0</x:v>
      </x:c>
      <x:c r="N899" t="str">
        <x:v>Fully Paid</x:v>
      </x:c>
      <x:c r="O899" t="str">
        <x:f>IF(D899="","Unknown",IF(D899&lt;25000,"&lt;$25k",IF(D899&lt;50000,"$25k-$50k",IF(D899&lt;75000,"$50k-$75k",IF(D899&lt;100000,"$75k-$100k","$100k+")))))</x:f>
        <x:v>$75k-$100k</x:v>
      </x:c>
      <x:c r="P899" t="str">
        <x:f>IF(E899="","Unknown",IF(E899&lt;10,"&lt;10",IF(E899&lt;20,"10-&lt;20",IF(E899&lt;25,"20-&lt;25",IF(E899&lt;35,"25-&lt;35","35+")))))</x:f>
        <x:v>10-&lt;20</x:v>
      </x:c>
    </x:row>
    <x:row r="900">
      <x:c r="A900" t="str">
        <x:v>SYN0000899</x:v>
      </x:c>
      <x:c r="B900" s="12" t="n">
        <x:v>41905</x:v>
      </x:c>
      <x:c r="C900" s="18" t="n">
        <x:v>17631</x:v>
      </x:c>
      <x:c r="D900" s="18" t="n">
        <x:v>46971</x:v>
      </x:c>
      <x:c r="E900" s="18" t="n">
        <x:v>32.61</x:v>
      </x:c>
      <x:c r="F900" s="18" t="n">
        <x:v>12.76</x:v>
      </x:c>
      <x:c r="G900" t="n">
        <x:v>36</x:v>
      </x:c>
      <x:c r="H900" t="str">
        <x:v>C</x:v>
      </x:c>
      <x:c r="I900" t="str">
        <x:v>4-6 years</x:v>
      </x:c>
      <x:c r="J900" t="str">
        <x:v>MORTGAGE</x:v>
      </x:c>
      <x:c r="K900" t="str">
        <x:v>debt_consolidation</x:v>
      </x:c>
      <x:c r="L900" t="n">
        <x:v>1</x:v>
      </x:c>
      <x:c r="M900" t="n">
        <x:v>0</x:v>
      </x:c>
      <x:c r="N900" t="str">
        <x:v>Fully Paid</x:v>
      </x:c>
      <x:c r="O900" t="str">
        <x:f>IF(D900="","Unknown",IF(D900&lt;25000,"&lt;$25k",IF(D900&lt;50000,"$25k-$50k",IF(D900&lt;75000,"$50k-$75k",IF(D900&lt;100000,"$75k-$100k","$100k+")))))</x:f>
        <x:v>$25k-$50k</x:v>
      </x:c>
      <x:c r="P900" t="str">
        <x:f>IF(E900="","Unknown",IF(E900&lt;10,"&lt;10",IF(E900&lt;20,"10-&lt;20",IF(E900&lt;25,"20-&lt;25",IF(E900&lt;35,"25-&lt;35","35+")))))</x:f>
        <x:v>25-&lt;35</x:v>
      </x:c>
    </x:row>
    <x:row r="901">
      <x:c r="A901" t="str">
        <x:v>SYN0000900</x:v>
      </x:c>
      <x:c r="B901" s="12" t="n">
        <x:v>41455</x:v>
      </x:c>
      <x:c r="C901" s="18" t="n">
        <x:v>7256</x:v>
      </x:c>
      <x:c r="D901" s="18" t="n">
        <x:v>45340</x:v>
      </x:c>
      <x:c r="E901" s="18" t="n">
        <x:v>30.38</x:v>
      </x:c>
      <x:c r="F901" s="18" t="n">
        <x:v>11.04</x:v>
      </x:c>
      <x:c r="G901" t="n">
        <x:v>60</x:v>
      </x:c>
      <x:c r="H901" t="str">
        <x:v>D</x:v>
      </x:c>
      <x:c r="I901" t="str">
        <x:v>4-6 years</x:v>
      </x:c>
      <x:c r="J901" t="str">
        <x:v>RENT</x:v>
      </x:c>
      <x:c r="K901" t="str">
        <x:v>credit_card</x:v>
      </x:c>
      <x:c r="L901" t="n">
        <x:v>0</x:v>
      </x:c>
      <x:c r="M901" t="n">
        <x:v>0</x:v>
      </x:c>
      <x:c r="N901" t="str">
        <x:v>Fully Paid</x:v>
      </x:c>
      <x:c r="O901" t="str">
        <x:f>IF(D901="","Unknown",IF(D901&lt;25000,"&lt;$25k",IF(D901&lt;50000,"$25k-$50k",IF(D901&lt;75000,"$50k-$75k",IF(D901&lt;100000,"$75k-$100k","$100k+")))))</x:f>
        <x:v>$25k-$50k</x:v>
      </x:c>
      <x:c r="P901" t="str">
        <x:f>IF(E901="","Unknown",IF(E901&lt;10,"&lt;10",IF(E901&lt;20,"10-&lt;20",IF(E901&lt;25,"20-&lt;25",IF(E901&lt;35,"25-&lt;35","35+")))))</x:f>
        <x:v>25-&lt;35</x:v>
      </x:c>
    </x:row>
    <x:row r="902">
      <x:c r="A902" t="str">
        <x:v>SYN0000901</x:v>
      </x:c>
      <x:c r="B902" s="12" t="n">
        <x:v>41305</x:v>
      </x:c>
      <x:c r="C902" s="18" t="n">
        <x:v>11020</x:v>
      </x:c>
      <x:c r="D902" s="18" t="n">
        <x:v>61610</x:v>
      </x:c>
      <x:c r="E902" s="18" t="n">
        <x:v>24.38</x:v>
      </x:c>
      <x:c r="F902" s="18" t="n">
        <x:v>6.37</x:v>
      </x:c>
      <x:c r="G902" t="n">
        <x:v>36</x:v>
      </x:c>
      <x:c r="H902" t="str">
        <x:v>A</x:v>
      </x:c>
      <x:c r="I902" t="str">
        <x:v>4-6 years</x:v>
      </x:c>
      <x:c r="J902" t="str">
        <x:v>RENT</x:v>
      </x:c>
      <x:c r="K902" t="str">
        <x:v>debt_consolidation</x:v>
      </x:c>
      <x:c r="L902" t="n">
        <x:v>0</x:v>
      </x:c>
      <x:c r="M902" t="n">
        <x:v>0</x:v>
      </x:c>
      <x:c r="N902" t="str">
        <x:v>Fully Paid</x:v>
      </x:c>
      <x:c r="O902" t="str">
        <x:f>IF(D902="","Unknown",IF(D902&lt;25000,"&lt;$25k",IF(D902&lt;50000,"$25k-$50k",IF(D902&lt;75000,"$50k-$75k",IF(D902&lt;100000,"$75k-$100k","$100k+")))))</x:f>
        <x:v>$50k-$75k</x:v>
      </x:c>
      <x:c r="P902" t="str">
        <x:f>IF(E902="","Unknown",IF(E902&lt;10,"&lt;10",IF(E902&lt;20,"10-&lt;20",IF(E902&lt;25,"20-&lt;25",IF(E902&lt;35,"25-&lt;35","35+")))))</x:f>
        <x:v>20-&lt;25</x:v>
      </x:c>
    </x:row>
    <x:row r="903">
      <x:c r="A903" t="str">
        <x:v>SYN0000902</x:v>
      </x:c>
      <x:c r="B903" s="12" t="n">
        <x:v>43405</x:v>
      </x:c>
      <x:c r="C903" s="18" t="n">
        <x:v>13796</x:v>
      </x:c>
      <x:c r="D903" s="18" t="n">
        <x:v>77890</x:v>
      </x:c>
      <x:c r="E903" s="18" t="n">
        <x:v>34.29</x:v>
      </x:c>
      <x:c r="F903" s="18" t="n">
        <x:v>19.28</x:v>
      </x:c>
      <x:c r="G903" t="n">
        <x:v>60</x:v>
      </x:c>
      <x:c r="H903" t="str">
        <x:v>F</x:v>
      </x:c>
      <x:c r="I903" t="str">
        <x:v>4-6 years</x:v>
      </x:c>
      <x:c r="J903" t="str">
        <x:v>RENT</x:v>
      </x:c>
      <x:c r="K903" t="str">
        <x:v>debt_consolidation</x:v>
      </x:c>
      <x:c r="L903" t="n">
        <x:v>0</x:v>
      </x:c>
      <x:c r="M903" t="n">
        <x:v>0</x:v>
      </x:c>
      <x:c r="N903" t="str">
        <x:v>Fully Paid</x:v>
      </x:c>
      <x:c r="O903" t="str">
        <x:f>IF(D903="","Unknown",IF(D903&lt;25000,"&lt;$25k",IF(D903&lt;50000,"$25k-$50k",IF(D903&lt;75000,"$50k-$75k",IF(D903&lt;100000,"$75k-$100k","$100k+")))))</x:f>
        <x:v>$75k-$100k</x:v>
      </x:c>
      <x:c r="P903" t="str">
        <x:f>IF(E903="","Unknown",IF(E903&lt;10,"&lt;10",IF(E903&lt;20,"10-&lt;20",IF(E903&lt;25,"20-&lt;25",IF(E903&lt;35,"25-&lt;35","35+")))))</x:f>
        <x:v>25-&lt;35</x:v>
      </x:c>
    </x:row>
    <x:row r="904">
      <x:c r="A904" t="str">
        <x:v>SYN0000903</x:v>
      </x:c>
      <x:c r="B904" s="12" t="n">
        <x:v>42205</x:v>
      </x:c>
      <x:c r="C904" s="18" t="n">
        <x:v>8586</x:v>
      </x:c>
      <x:c r="D904" s="18" t="n">
        <x:v>53292</x:v>
      </x:c>
      <x:c r="E904" s="18" t="n">
        <x:v>17.64</x:v>
      </x:c>
      <x:c r="F904" s="18" t="n">
        <x:v>16.58</x:v>
      </x:c>
      <x:c r="G904" t="n">
        <x:v>36</x:v>
      </x:c>
      <x:c r="H904" t="str">
        <x:v>E</x:v>
      </x:c>
      <x:c r="I904" t="str">
        <x:v>7-9 years</x:v>
      </x:c>
      <x:c r="J904" t="str">
        <x:v>RENT</x:v>
      </x:c>
      <x:c r="K904" t="str">
        <x:v>credit_card</x:v>
      </x:c>
      <x:c r="L904" t="n">
        <x:v>0</x:v>
      </x:c>
      <x:c r="M904" t="n">
        <x:v>0</x:v>
      </x:c>
      <x:c r="N904" t="str">
        <x:v>Fully Paid</x:v>
      </x:c>
      <x:c r="O904" t="str">
        <x:f>IF(D904="","Unknown",IF(D904&lt;25000,"&lt;$25k",IF(D904&lt;50000,"$25k-$50k",IF(D904&lt;75000,"$50k-$75k",IF(D904&lt;100000,"$75k-$100k","$100k+")))))</x:f>
        <x:v>$50k-$75k</x:v>
      </x:c>
      <x:c r="P904" t="str">
        <x:f>IF(E904="","Unknown",IF(E904&lt;10,"&lt;10",IF(E904&lt;20,"10-&lt;20",IF(E904&lt;25,"20-&lt;25",IF(E904&lt;35,"25-&lt;35","35+")))))</x:f>
        <x:v>10-&lt;20</x:v>
      </x:c>
    </x:row>
    <x:row r="905">
      <x:c r="A905" t="str">
        <x:v>SYN0000904</x:v>
      </x:c>
      <x:c r="B905" s="12" t="n">
        <x:v>42835</x:v>
      </x:c>
      <x:c r="C905" s="18" t="n">
        <x:v>21008</x:v>
      </x:c>
      <x:c r="D905" s="18" t="n">
        <x:v>108261</x:v>
      </x:c>
      <x:c r="E905" s="18" t="n">
        <x:v>8.61</x:v>
      </x:c>
      <x:c r="F905" s="18" t="n">
        <x:v>6.07</x:v>
      </x:c>
      <x:c r="G905" t="n">
        <x:v>36</x:v>
      </x:c>
      <x:c r="H905" t="str">
        <x:v>B</x:v>
      </x:c>
      <x:c r="I905" t="str">
        <x:v>4-6 years</x:v>
      </x:c>
      <x:c r="J905" t="str">
        <x:v>MORTGAGE</x:v>
      </x:c>
      <x:c r="K905" t="str">
        <x:v>credit_card</x:v>
      </x:c>
      <x:c r="L905" t="n">
        <x:v>0</x:v>
      </x:c>
      <x:c r="M905" t="n">
        <x:v>0</x:v>
      </x:c>
      <x:c r="N905" t="str">
        <x:v>Fully Paid</x:v>
      </x:c>
      <x:c r="O905" t="str">
        <x:f>IF(D905="","Unknown",IF(D905&lt;25000,"&lt;$25k",IF(D905&lt;50000,"$25k-$50k",IF(D905&lt;75000,"$50k-$75k",IF(D905&lt;100000,"$75k-$100k","$100k+")))))</x:f>
        <x:v>$100k+</x:v>
      </x:c>
      <x:c r="P905" t="str">
        <x:f>IF(E905="","Unknown",IF(E905&lt;10,"&lt;10",IF(E905&lt;20,"10-&lt;20",IF(E905&lt;25,"20-&lt;25",IF(E905&lt;35,"25-&lt;35","35+")))))</x:f>
        <x:v>&lt;10</x:v>
      </x:c>
    </x:row>
    <x:row r="906">
      <x:c r="A906" t="str">
        <x:v>SYN0000905</x:v>
      </x:c>
      <x:c r="B906" s="12" t="n">
        <x:v>41455</x:v>
      </x:c>
      <x:c r="C906" s="18" t="n">
        <x:v>8643</x:v>
      </x:c>
      <x:c r="D906" s="18" t="n">
        <x:v>45637</x:v>
      </x:c>
      <x:c r="E906" s="18" t="n">
        <x:v>14.89</x:v>
      </x:c>
      <x:c r="F906" s="18" t="n">
        <x:v>7.93</x:v>
      </x:c>
      <x:c r="G906" t="n">
        <x:v>36</x:v>
      </x:c>
      <x:c r="H906" t="str">
        <x:v>A</x:v>
      </x:c>
      <x:c r="I906" t="str">
        <x:v>4-6 years</x:v>
      </x:c>
      <x:c r="J906" t="str">
        <x:v>RENT</x:v>
      </x:c>
      <x:c r="K906" t="str">
        <x:v>other</x:v>
      </x:c>
      <x:c r="L906" t="n">
        <x:v>0</x:v>
      </x:c>
      <x:c r="M906" t="n">
        <x:v>1</x:v>
      </x:c>
      <x:c r="N906" t="str">
        <x:v>Charged Off</x:v>
      </x:c>
      <x:c r="O906" t="str">
        <x:f>IF(D906="","Unknown",IF(D906&lt;25000,"&lt;$25k",IF(D906&lt;50000,"$25k-$50k",IF(D906&lt;75000,"$50k-$75k",IF(D906&lt;100000,"$75k-$100k","$100k+")))))</x:f>
        <x:v>$25k-$50k</x:v>
      </x:c>
      <x:c r="P906" t="str">
        <x:f>IF(E906="","Unknown",IF(E906&lt;10,"&lt;10",IF(E906&lt;20,"10-&lt;20",IF(E906&lt;25,"20-&lt;25",IF(E906&lt;35,"25-&lt;35","35+")))))</x:f>
        <x:v>10-&lt;20</x:v>
      </x:c>
    </x:row>
    <x:row r="907">
      <x:c r="A907" t="str">
        <x:v>SYN0000906</x:v>
      </x:c>
      <x:c r="B907" s="12" t="n">
        <x:v>41995</x:v>
      </x:c>
      <x:c r="C907" s="18" t="n">
        <x:v>11050</x:v>
      </x:c>
      <x:c r="D907" s="18" t="n">
        <x:v>28324</x:v>
      </x:c>
      <x:c r="E907" s="18" t="n">
        <x:v>20.05</x:v>
      </x:c>
      <x:c r="F907" s="18" t="n">
        <x:v>8.65</x:v>
      </x:c>
      <x:c r="G907" t="n">
        <x:v>60</x:v>
      </x:c>
      <x:c r="H907" t="str">
        <x:v>B</x:v>
      </x:c>
      <x:c r="I907" t="str">
        <x:v>10+ years</x:v>
      </x:c>
      <x:c r="J907" t="str">
        <x:v>MORTGAGE</x:v>
      </x:c>
      <x:c r="K907" t="str">
        <x:v>debt_consolidation</x:v>
      </x:c>
      <x:c r="L907" t="n">
        <x:v>0</x:v>
      </x:c>
      <x:c r="M907" t="n">
        <x:v>0</x:v>
      </x:c>
      <x:c r="N907" t="str">
        <x:v>Fully Paid</x:v>
      </x:c>
      <x:c r="O907" t="str">
        <x:f>IF(D907="","Unknown",IF(D907&lt;25000,"&lt;$25k",IF(D907&lt;50000,"$25k-$50k",IF(D907&lt;75000,"$50k-$75k",IF(D907&lt;100000,"$75k-$100k","$100k+")))))</x:f>
        <x:v>$25k-$50k</x:v>
      </x:c>
      <x:c r="P907" t="str">
        <x:f>IF(E907="","Unknown",IF(E907&lt;10,"&lt;10",IF(E907&lt;20,"10-&lt;20",IF(E907&lt;25,"20-&lt;25",IF(E907&lt;35,"25-&lt;35","35+")))))</x:f>
        <x:v>20-&lt;25</x:v>
      </x:c>
    </x:row>
    <x:row r="908">
      <x:c r="A908" t="str">
        <x:v>SYN0000907</x:v>
      </x:c>
      <x:c r="B908" s="12" t="n">
        <x:v>42175</x:v>
      </x:c>
      <x:c r="C908" s="18" t="n">
        <x:v>21595</x:v>
      </x:c>
      <x:c r="D908" s="18" t="n">
        <x:v>39878</x:v>
      </x:c>
      <x:c r="E908" s="18" t="n">
        <x:v>24.79</x:v>
      </x:c>
      <x:c r="F908" s="18" t="n">
        <x:v>22.82</x:v>
      </x:c>
      <x:c r="G908" t="n">
        <x:v>36</x:v>
      </x:c>
      <x:c r="H908" t="str">
        <x:v>G</x:v>
      </x:c>
      <x:c r="I908" t="str">
        <x:v>10+ years</x:v>
      </x:c>
      <x:c r="J908" t="str">
        <x:v>OTHER</x:v>
      </x:c>
      <x:c r="K908" t="str">
        <x:v>credit_card</x:v>
      </x:c>
      <x:c r="L908" t="n">
        <x:v>1</x:v>
      </x:c>
      <x:c r="M908" t="n">
        <x:v>0</x:v>
      </x:c>
      <x:c r="N908" t="str">
        <x:v>Fully Paid</x:v>
      </x:c>
      <x:c r="O908" t="str">
        <x:f>IF(D908="","Unknown",IF(D908&lt;25000,"&lt;$25k",IF(D908&lt;50000,"$25k-$50k",IF(D908&lt;75000,"$50k-$75k",IF(D908&lt;100000,"$75k-$100k","$100k+")))))</x:f>
        <x:v>$25k-$50k</x:v>
      </x:c>
      <x:c r="P908" t="str">
        <x:f>IF(E908="","Unknown",IF(E908&lt;10,"&lt;10",IF(E908&lt;20,"10-&lt;20",IF(E908&lt;25,"20-&lt;25",IF(E908&lt;35,"25-&lt;35","35+")))))</x:f>
        <x:v>20-&lt;25</x:v>
      </x:c>
    </x:row>
    <x:row r="909">
      <x:c r="A909" t="str">
        <x:v>SYN0000908</x:v>
      </x:c>
      <x:c r="B909" s="12" t="n">
        <x:v>41965</x:v>
      </x:c>
      <x:c r="C909" s="18" t="n">
        <x:v>5967</x:v>
      </x:c>
      <x:c r="D909" s="18" t="n">
        <x:v>21572</x:v>
      </x:c>
      <x:c r="E909" s="18" t="n">
        <x:v>18.55</x:v>
      </x:c>
      <x:c r="F909" s="18" t="n">
        <x:v>7.13</x:v>
      </x:c>
      <x:c r="G909" t="n">
        <x:v>36</x:v>
      </x:c>
      <x:c r="H909" t="str">
        <x:v>A</x:v>
      </x:c>
      <x:c r="I909" t="str">
        <x:v>10+ years</x:v>
      </x:c>
      <x:c r="J909" t="str">
        <x:v>OWN</x:v>
      </x:c>
      <x:c r="K909" t="str">
        <x:v>credit_card</x:v>
      </x:c>
      <x:c r="L909" t="n">
        <x:v>0</x:v>
      </x:c>
      <x:c r="M909" t="n">
        <x:v>0</x:v>
      </x:c>
      <x:c r="N909" t="str">
        <x:v>Fully Paid</x:v>
      </x:c>
      <x:c r="O909" t="str">
        <x:f>IF(D909="","Unknown",IF(D909&lt;25000,"&lt;$25k",IF(D909&lt;50000,"$25k-$50k",IF(D909&lt;75000,"$50k-$75k",IF(D909&lt;100000,"$75k-$100k","$100k+")))))</x:f>
        <x:v>&lt;$25k</x:v>
      </x:c>
      <x:c r="P909" t="str">
        <x:f>IF(E909="","Unknown",IF(E909&lt;10,"&lt;10",IF(E909&lt;20,"10-&lt;20",IF(E909&lt;25,"20-&lt;25",IF(E909&lt;35,"25-&lt;35","35+")))))</x:f>
        <x:v>10-&lt;20</x:v>
      </x:c>
    </x:row>
    <x:row r="910">
      <x:c r="A910" t="str">
        <x:v>SYN0000909</x:v>
      </x:c>
      <x:c r="B910" s="12" t="n">
        <x:v>43195</x:v>
      </x:c>
      <x:c r="C910" s="18" t="n">
        <x:v>9032</x:v>
      </x:c>
      <x:c r="D910" s="18" t="n">
        <x:v>13640</x:v>
      </x:c>
      <x:c r="E910" s="18" t="n">
        <x:v>25.4</x:v>
      </x:c>
      <x:c r="F910" s="18" t="n">
        <x:v>8.67</x:v>
      </x:c>
      <x:c r="G910" t="n">
        <x:v>36</x:v>
      </x:c>
      <x:c r="H910" t="str">
        <x:v>C</x:v>
      </x:c>
      <x:c r="I910" t="str">
        <x:v>10+ years</x:v>
      </x:c>
      <x:c r="J910" t="str">
        <x:v>RENT</x:v>
      </x:c>
      <x:c r="K910" t="str">
        <x:v>debt_consolidation</x:v>
      </x:c>
      <x:c r="L910" t="n">
        <x:v>1</x:v>
      </x:c>
      <x:c r="M910" t="n">
        <x:v>0</x:v>
      </x:c>
      <x:c r="N910" t="str">
        <x:v>Fully Paid</x:v>
      </x:c>
      <x:c r="O910" t="str">
        <x:f>IF(D910="","Unknown",IF(D910&lt;25000,"&lt;$25k",IF(D910&lt;50000,"$25k-$50k",IF(D910&lt;75000,"$50k-$75k",IF(D910&lt;100000,"$75k-$100k","$100k+")))))</x:f>
        <x:v>&lt;$25k</x:v>
      </x:c>
      <x:c r="P910" t="str">
        <x:f>IF(E910="","Unknown",IF(E910&lt;10,"&lt;10",IF(E910&lt;20,"10-&lt;20",IF(E910&lt;25,"20-&lt;25",IF(E910&lt;35,"25-&lt;35","35+")))))</x:f>
        <x:v>25-&lt;35</x:v>
      </x:c>
    </x:row>
    <x:row r="911">
      <x:c r="A911" t="str">
        <x:v>SYN0000910</x:v>
      </x:c>
      <x:c r="B911" s="12" t="n">
        <x:v>42595</x:v>
      </x:c>
      <x:c r="C911" s="18" t="n">
        <x:v>11820</x:v>
      </x:c>
      <x:c r="D911" s="18" t="n">
        <x:v>28029</x:v>
      </x:c>
      <x:c r="E911" s="18" t="n">
        <x:v>19.12</x:v>
      </x:c>
      <x:c r="F911" s="18" t="n">
        <x:v>10.38</x:v>
      </x:c>
      <x:c r="G911" t="n">
        <x:v>36</x:v>
      </x:c>
      <x:c r="H911" t="str">
        <x:v>C</x:v>
      </x:c>
      <x:c r="I911" t="str">
        <x:v>10+ years</x:v>
      </x:c>
      <x:c r="J911" t="str">
        <x:v>RENT</x:v>
      </x:c>
      <x:c r="K911" t="str">
        <x:v>debt_consolidation</x:v>
      </x:c>
      <x:c r="L911" t="n">
        <x:v>0</x:v>
      </x:c>
      <x:c r="M911" t="n">
        <x:v>1</x:v>
      </x:c>
      <x:c r="N911" t="str">
        <x:v>Charged Off</x:v>
      </x:c>
      <x:c r="O911" t="str">
        <x:f>IF(D911="","Unknown",IF(D911&lt;25000,"&lt;$25k",IF(D911&lt;50000,"$25k-$50k",IF(D911&lt;75000,"$50k-$75k",IF(D911&lt;100000,"$75k-$100k","$100k+")))))</x:f>
        <x:v>$25k-$50k</x:v>
      </x:c>
      <x:c r="P911" t="str">
        <x:f>IF(E911="","Unknown",IF(E911&lt;10,"&lt;10",IF(E911&lt;20,"10-&lt;20",IF(E911&lt;25,"20-&lt;25",IF(E911&lt;35,"25-&lt;35","35+")))))</x:f>
        <x:v>10-&lt;20</x:v>
      </x:c>
    </x:row>
    <x:row r="912">
      <x:c r="A912" t="str">
        <x:v>SYN0000911</x:v>
      </x:c>
      <x:c r="B912" s="12" t="n">
        <x:v>42355</x:v>
      </x:c>
      <x:c r="C912" s="18" t="n">
        <x:v>11719</x:v>
      </x:c>
      <x:c r="D912" s="18" t="n">
        <x:v>185630</x:v>
      </x:c>
      <x:c r="E912" s="18" t="n">
        <x:v>35.24</x:v>
      </x:c>
      <x:c r="F912" s="18" t="n">
        <x:v>12.53</x:v>
      </x:c>
      <x:c r="G912" t="n">
        <x:v>60</x:v>
      </x:c>
      <x:c r="H912" t="str">
        <x:v>D</x:v>
      </x:c>
      <x:c r="I912" t="str">
        <x:v>&lt;1 year</x:v>
      </x:c>
      <x:c r="J912" t="str">
        <x:v>MORTGAGE</x:v>
      </x:c>
      <x:c r="K912" t="str">
        <x:v>credit_card</x:v>
      </x:c>
      <x:c r="L912" t="n">
        <x:v>0</x:v>
      </x:c>
      <x:c r="M912" t="n">
        <x:v>1</x:v>
      </x:c>
      <x:c r="N912" t="str">
        <x:v>Charged Off</x:v>
      </x:c>
      <x:c r="O912" t="str">
        <x:f>IF(D912="","Unknown",IF(D912&lt;25000,"&lt;$25k",IF(D912&lt;50000,"$25k-$50k",IF(D912&lt;75000,"$50k-$75k",IF(D912&lt;100000,"$75k-$100k","$100k+")))))</x:f>
        <x:v>$100k+</x:v>
      </x:c>
      <x:c r="P912" t="str">
        <x:f>IF(E912="","Unknown",IF(E912&lt;10,"&lt;10",IF(E912&lt;20,"10-&lt;20",IF(E912&lt;25,"20-&lt;25",IF(E912&lt;35,"25-&lt;35","35+")))))</x:f>
        <x:v>35+</x:v>
      </x:c>
    </x:row>
    <x:row r="913">
      <x:c r="A913" t="str">
        <x:v>SYN0000912</x:v>
      </x:c>
      <x:c r="B913" s="12" t="n">
        <x:v>42565</x:v>
      </x:c>
      <x:c r="C913" s="18" t="n">
        <x:v>20797</x:v>
      </x:c>
      <x:c r="D913" s="18" t="n">
        <x:v>51146</x:v>
      </x:c>
      <x:c r="E913" s="18" t="n">
        <x:v>23.67</x:v>
      </x:c>
      <x:c r="F913" s="18" t="n">
        <x:v>15.23</x:v>
      </x:c>
      <x:c r="G913" t="n">
        <x:v>60</x:v>
      </x:c>
      <x:c r="H913" t="str">
        <x:v>D</x:v>
      </x:c>
      <x:c r="I913" t="str">
        <x:v>10+ years</x:v>
      </x:c>
      <x:c r="J913" t="str">
        <x:v>RENT</x:v>
      </x:c>
      <x:c r="K913" t="str">
        <x:v>medical</x:v>
      </x:c>
      <x:c r="L913" t="n">
        <x:v>0</x:v>
      </x:c>
      <x:c r="M913" t="n">
        <x:v>0</x:v>
      </x:c>
      <x:c r="N913" t="str">
        <x:v>Fully Paid</x:v>
      </x:c>
      <x:c r="O913" t="str">
        <x:f>IF(D913="","Unknown",IF(D913&lt;25000,"&lt;$25k",IF(D913&lt;50000,"$25k-$50k",IF(D913&lt;75000,"$50k-$75k",IF(D913&lt;100000,"$75k-$100k","$100k+")))))</x:f>
        <x:v>$50k-$75k</x:v>
      </x:c>
      <x:c r="P913" t="str">
        <x:f>IF(E913="","Unknown",IF(E913&lt;10,"&lt;10",IF(E913&lt;20,"10-&lt;20",IF(E913&lt;25,"20-&lt;25",IF(E913&lt;35,"25-&lt;35","35+")))))</x:f>
        <x:v>20-&lt;25</x:v>
      </x:c>
    </x:row>
    <x:row r="914">
      <x:c r="A914" t="str">
        <x:v>SYN0000913</x:v>
      </x:c>
      <x:c r="B914" s="12" t="n">
        <x:v>42025</x:v>
      </x:c>
      <x:c r="C914" s="18" t="n">
        <x:v>16594</x:v>
      </x:c>
      <x:c r="D914" s="18" t="n">
        <x:v>127067</x:v>
      </x:c>
      <x:c r="E914" s="18" t="n">
        <x:v>24.7</x:v>
      </x:c>
      <x:c r="F914" s="18" t="n">
        <x:v>20.1</x:v>
      </x:c>
      <x:c r="G914" t="n">
        <x:v>36</x:v>
      </x:c>
      <x:c r="H914" t="str">
        <x:v>E</x:v>
      </x:c>
      <x:c r="I914" t="str">
        <x:v>&lt;1 year</x:v>
      </x:c>
      <x:c r="J914" t="str">
        <x:v>MORTGAGE</x:v>
      </x:c>
      <x:c r="K914" t="str">
        <x:v>debt_consolidation</x:v>
      </x:c>
      <x:c r="L914" t="n">
        <x:v>0</x:v>
      </x:c>
      <x:c r="M914" t="n">
        <x:v>0</x:v>
      </x:c>
      <x:c r="N914" t="str">
        <x:v>Fully Paid</x:v>
      </x:c>
      <x:c r="O914" t="str">
        <x:f>IF(D914="","Unknown",IF(D914&lt;25000,"&lt;$25k",IF(D914&lt;50000,"$25k-$50k",IF(D914&lt;75000,"$50k-$75k",IF(D914&lt;100000,"$75k-$100k","$100k+")))))</x:f>
        <x:v>$100k+</x:v>
      </x:c>
      <x:c r="P914" t="str">
        <x:f>IF(E914="","Unknown",IF(E914&lt;10,"&lt;10",IF(E914&lt;20,"10-&lt;20",IF(E914&lt;25,"20-&lt;25",IF(E914&lt;35,"25-&lt;35","35+")))))</x:f>
        <x:v>20-&lt;25</x:v>
      </x:c>
    </x:row>
    <x:row r="915">
      <x:c r="A915" t="str">
        <x:v>SYN0000914</x:v>
      </x:c>
      <x:c r="B915" s="12" t="n">
        <x:v>41395</x:v>
      </x:c>
      <x:c r="C915" s="18" t="n">
        <x:v>16642</x:v>
      </x:c>
      <x:c r="D915" s="18" t="n">
        <x:v>31974</x:v>
      </x:c>
      <x:c r="E915" s="18" t="n">
        <x:v>25.85</x:v>
      </x:c>
      <x:c r="F915" s="18" t="n">
        <x:v>24.43</x:v>
      </x:c>
      <x:c r="G915" t="n">
        <x:v>60</x:v>
      </x:c>
      <x:c r="H915" t="str">
        <x:v>G</x:v>
      </x:c>
      <x:c r="I915" t="str">
        <x:v>1-3 years</x:v>
      </x:c>
      <x:c r="J915" t="str">
        <x:v>RENT</x:v>
      </x:c>
      <x:c r="K915" t="str">
        <x:v>debt_consolidation</x:v>
      </x:c>
      <x:c r="L915" t="n">
        <x:v>1</x:v>
      </x:c>
      <x:c r="M915" t="n">
        <x:v>1</x:v>
      </x:c>
      <x:c r="N915" t="str">
        <x:v>Charged Off</x:v>
      </x:c>
      <x:c r="O915" t="str">
        <x:f>IF(D915="","Unknown",IF(D915&lt;25000,"&lt;$25k",IF(D915&lt;50000,"$25k-$50k",IF(D915&lt;75000,"$50k-$75k",IF(D915&lt;100000,"$75k-$100k","$100k+")))))</x:f>
        <x:v>$25k-$50k</x:v>
      </x:c>
      <x:c r="P915" t="str">
        <x:f>IF(E915="","Unknown",IF(E915&lt;10,"&lt;10",IF(E915&lt;20,"10-&lt;20",IF(E915&lt;25,"20-&lt;25",IF(E915&lt;35,"25-&lt;35","35+")))))</x:f>
        <x:v>25-&lt;35</x:v>
      </x:c>
    </x:row>
    <x:row r="916">
      <x:c r="A916" t="str">
        <x:v>SYN0000915</x:v>
      </x:c>
      <x:c r="B916" s="12" t="n">
        <x:v>41755</x:v>
      </x:c>
      <x:c r="C916" s="18" t="n">
        <x:v>13076</x:v>
      </x:c>
      <x:c r="D916" s="18" t="n">
        <x:v>16456</x:v>
      </x:c>
      <x:c r="E916" s="18" t="n">
        <x:v>24.99</x:v>
      </x:c>
      <x:c r="F916" s="18" t="n">
        <x:v>5.63</x:v>
      </x:c>
      <x:c r="G916" t="n">
        <x:v>36</x:v>
      </x:c>
      <x:c r="H916" t="str">
        <x:v>A</x:v>
      </x:c>
      <x:c r="I916" t="str">
        <x:v>1-3 years</x:v>
      </x:c>
      <x:c r="J916" t="str">
        <x:v>RENT</x:v>
      </x:c>
      <x:c r="K916" t="str">
        <x:v>debt_consolidation</x:v>
      </x:c>
      <x:c r="L916" t="n">
        <x:v>0</x:v>
      </x:c>
      <x:c r="M916" t="n">
        <x:v>0</x:v>
      </x:c>
      <x:c r="N916" t="str">
        <x:v>Fully Paid</x:v>
      </x:c>
      <x:c r="O916" t="str">
        <x:f>IF(D916="","Unknown",IF(D916&lt;25000,"&lt;$25k",IF(D916&lt;50000,"$25k-$50k",IF(D916&lt;75000,"$50k-$75k",IF(D916&lt;100000,"$75k-$100k","$100k+")))))</x:f>
        <x:v>&lt;$25k</x:v>
      </x:c>
      <x:c r="P916" t="str">
        <x:f>IF(E916="","Unknown",IF(E916&lt;10,"&lt;10",IF(E916&lt;20,"10-&lt;20",IF(E916&lt;25,"20-&lt;25",IF(E916&lt;35,"25-&lt;35","35+")))))</x:f>
        <x:v>20-&lt;25</x:v>
      </x:c>
    </x:row>
    <x:row r="917">
      <x:c r="A917" t="str">
        <x:v>SYN0000916</x:v>
      </x:c>
      <x:c r="B917" s="12" t="n">
        <x:v>41365</x:v>
      </x:c>
      <x:c r="C917" s="18" t="n">
        <x:v>12369</x:v>
      </x:c>
      <x:c r="D917" s="18" t="n">
        <x:v>72999</x:v>
      </x:c>
      <x:c r="E917" s="18" t="n">
        <x:v>16.36</x:v>
      </x:c>
      <x:c r="F917" s="18" t="n">
        <x:v>10.46</x:v>
      </x:c>
      <x:c r="G917" t="n">
        <x:v>36</x:v>
      </x:c>
      <x:c r="H917" t="str">
        <x:v>C</x:v>
      </x:c>
      <x:c r="I917" t="str">
        <x:v>10+ years</x:v>
      </x:c>
      <x:c r="J917" t="str">
        <x:v>RENT</x:v>
      </x:c>
      <x:c r="K917" t="str">
        <x:v>home_improvement</x:v>
      </x:c>
      <x:c r="L917" t="n">
        <x:v>0</x:v>
      </x:c>
      <x:c r="M917" t="n">
        <x:v>0</x:v>
      </x:c>
      <x:c r="N917" t="str">
        <x:v>Fully Paid</x:v>
      </x:c>
      <x:c r="O917" t="str">
        <x:f>IF(D917="","Unknown",IF(D917&lt;25000,"&lt;$25k",IF(D917&lt;50000,"$25k-$50k",IF(D917&lt;75000,"$50k-$75k",IF(D917&lt;100000,"$75k-$100k","$100k+")))))</x:f>
        <x:v>$50k-$75k</x:v>
      </x:c>
      <x:c r="P917" t="str">
        <x:f>IF(E917="","Unknown",IF(E917&lt;10,"&lt;10",IF(E917&lt;20,"10-&lt;20",IF(E917&lt;25,"20-&lt;25",IF(E917&lt;35,"25-&lt;35","35+")))))</x:f>
        <x:v>10-&lt;20</x:v>
      </x:c>
    </x:row>
    <x:row r="918">
      <x:c r="A918" t="str">
        <x:v>SYN0000917</x:v>
      </x:c>
      <x:c r="B918" s="12" t="n">
        <x:v>43135</x:v>
      </x:c>
      <x:c r="C918" s="18" t="n">
        <x:v>16906</x:v>
      </x:c>
      <x:c r="D918" s="18" t="n">
        <x:v>212163</x:v>
      </x:c>
      <x:c r="E918" s="18" t="n">
        <x:v>15.91</x:v>
      </x:c>
      <x:c r="F918" s="18" t="n">
        <x:v>7.63</x:v>
      </x:c>
      <x:c r="G918" t="n">
        <x:v>36</x:v>
      </x:c>
      <x:c r="H918" t="str">
        <x:v>A</x:v>
      </x:c>
      <x:c r="I918" t="str">
        <x:v>&lt;1 year</x:v>
      </x:c>
      <x:c r="J918" t="str">
        <x:v>MORTGAGE</x:v>
      </x:c>
      <x:c r="K918" t="str">
        <x:v>home_improvement</x:v>
      </x:c>
      <x:c r="L918" t="n">
        <x:v>1</x:v>
      </x:c>
      <x:c r="M918" t="n">
        <x:v>0</x:v>
      </x:c>
      <x:c r="N918" t="str">
        <x:v>Fully Paid</x:v>
      </x:c>
      <x:c r="O918" t="str">
        <x:f>IF(D918="","Unknown",IF(D918&lt;25000,"&lt;$25k",IF(D918&lt;50000,"$25k-$50k",IF(D918&lt;75000,"$50k-$75k",IF(D918&lt;100000,"$75k-$100k","$100k+")))))</x:f>
        <x:v>$100k+</x:v>
      </x:c>
      <x:c r="P918" t="str">
        <x:f>IF(E918="","Unknown",IF(E918&lt;10,"&lt;10",IF(E918&lt;20,"10-&lt;20",IF(E918&lt;25,"20-&lt;25",IF(E918&lt;35,"25-&lt;35","35+")))))</x:f>
        <x:v>10-&lt;20</x:v>
      </x:c>
    </x:row>
    <x:row r="919">
      <x:c r="A919" t="str">
        <x:v>SYN0000918</x:v>
      </x:c>
      <x:c r="B919" s="12" t="n">
        <x:v>42715</x:v>
      </x:c>
      <x:c r="C919" s="18" t="n">
        <x:v>15171</x:v>
      </x:c>
      <x:c r="D919" s="18" t="n">
        <x:v>78499</x:v>
      </x:c>
      <x:c r="E919" s="18" t="n">
        <x:v>31.42</x:v>
      </x:c>
      <x:c r="F919" s="18" t="n">
        <x:v>22.63</x:v>
      </x:c>
      <x:c r="G919" t="n">
        <x:v>60</x:v>
      </x:c>
      <x:c r="H919" t="str">
        <x:v>F</x:v>
      </x:c>
      <x:c r="I919" t="str">
        <x:v>10+ years</x:v>
      </x:c>
      <x:c r="J919" t="str">
        <x:v>MORTGAGE</x:v>
      </x:c>
      <x:c r="K919" t="str">
        <x:v>debt_consolidation</x:v>
      </x:c>
      <x:c r="L919" t="n">
        <x:v>0</x:v>
      </x:c>
      <x:c r="M919" t="n">
        <x:v>0</x:v>
      </x:c>
      <x:c r="N919" t="str">
        <x:v>Fully Paid</x:v>
      </x:c>
      <x:c r="O919" t="str">
        <x:f>IF(D919="","Unknown",IF(D919&lt;25000,"&lt;$25k",IF(D919&lt;50000,"$25k-$50k",IF(D919&lt;75000,"$50k-$75k",IF(D919&lt;100000,"$75k-$100k","$100k+")))))</x:f>
        <x:v>$75k-$100k</x:v>
      </x:c>
      <x:c r="P919" t="str">
        <x:f>IF(E919="","Unknown",IF(E919&lt;10,"&lt;10",IF(E919&lt;20,"10-&lt;20",IF(E919&lt;25,"20-&lt;25",IF(E919&lt;35,"25-&lt;35","35+")))))</x:f>
        <x:v>25-&lt;35</x:v>
      </x:c>
    </x:row>
    <x:row r="920">
      <x:c r="A920" t="str">
        <x:v>SYN0000919</x:v>
      </x:c>
      <x:c r="B920" s="12" t="n">
        <x:v>41725</x:v>
      </x:c>
      <x:c r="C920" s="18" t="n">
        <x:v>5726</x:v>
      </x:c>
      <x:c r="D920" s="18" t="n">
        <x:v>69365</x:v>
      </x:c>
      <x:c r="E920" s="18" t="n">
        <x:v>18.39</x:v>
      </x:c>
      <x:c r="F920" s="18" t="n">
        <x:v>12.69</x:v>
      </x:c>
      <x:c r="G920" t="n">
        <x:v>60</x:v>
      </x:c>
      <x:c r="H920" t="str">
        <x:v>D</x:v>
      </x:c>
      <x:c r="I920" t="str">
        <x:v>7-9 years</x:v>
      </x:c>
      <x:c r="J920" t="str">
        <x:v>MORTGAGE</x:v>
      </x:c>
      <x:c r="K920" t="str">
        <x:v>debt_consolidation</x:v>
      </x:c>
      <x:c r="L920" t="n">
        <x:v>0</x:v>
      </x:c>
      <x:c r="M920" t="n">
        <x:v>0</x:v>
      </x:c>
      <x:c r="N920" t="str">
        <x:v>Fully Paid</x:v>
      </x:c>
      <x:c r="O920" t="str">
        <x:f>IF(D920="","Unknown",IF(D920&lt;25000,"&lt;$25k",IF(D920&lt;50000,"$25k-$50k",IF(D920&lt;75000,"$50k-$75k",IF(D920&lt;100000,"$75k-$100k","$100k+")))))</x:f>
        <x:v>$50k-$75k</x:v>
      </x:c>
      <x:c r="P920" t="str">
        <x:f>IF(E920="","Unknown",IF(E920&lt;10,"&lt;10",IF(E920&lt;20,"10-&lt;20",IF(E920&lt;25,"20-&lt;25",IF(E920&lt;35,"25-&lt;35","35+")))))</x:f>
        <x:v>10-&lt;20</x:v>
      </x:c>
    </x:row>
    <x:row r="921">
      <x:c r="A921" t="str">
        <x:v>SYN0000920</x:v>
      </x:c>
      <x:c r="B921" s="12" t="n">
        <x:v>42565</x:v>
      </x:c>
      <x:c r="C921" s="18" t="n">
        <x:v>18372</x:v>
      </x:c>
      <x:c r="D921" s="18" t="n">
        <x:v>27567</x:v>
      </x:c>
      <x:c r="E921" s="18" t="n">
        <x:v>14.58</x:v>
      </x:c>
      <x:c r="F921" s="18" t="n">
        <x:v>12.19</x:v>
      </x:c>
      <x:c r="G921" t="n">
        <x:v>60</x:v>
      </x:c>
      <x:c r="H921" t="str">
        <x:v>C</x:v>
      </x:c>
      <x:c r="I921" t="str">
        <x:v>10+ years</x:v>
      </x:c>
      <x:c r="J921" t="str">
        <x:v>MORTGAGE</x:v>
      </x:c>
      <x:c r="K921" t="str">
        <x:v>debt_consolidation</x:v>
      </x:c>
      <x:c r="L921" t="n">
        <x:v>1</x:v>
      </x:c>
      <x:c r="M921" t="n">
        <x:v>1</x:v>
      </x:c>
      <x:c r="N921" t="str">
        <x:v>Charged Off</x:v>
      </x:c>
      <x:c r="O921" t="str">
        <x:f>IF(D921="","Unknown",IF(D921&lt;25000,"&lt;$25k",IF(D921&lt;50000,"$25k-$50k",IF(D921&lt;75000,"$50k-$75k",IF(D921&lt;100000,"$75k-$100k","$100k+")))))</x:f>
        <x:v>$25k-$50k</x:v>
      </x:c>
      <x:c r="P921" t="str">
        <x:f>IF(E921="","Unknown",IF(E921&lt;10,"&lt;10",IF(E921&lt;20,"10-&lt;20",IF(E921&lt;25,"20-&lt;25",IF(E921&lt;35,"25-&lt;35","35+")))))</x:f>
        <x:v>10-&lt;20</x:v>
      </x:c>
    </x:row>
    <x:row r="922">
      <x:c r="A922" t="str">
        <x:v>SYN0000921</x:v>
      </x:c>
      <x:c r="B922" s="12" t="n">
        <x:v>43255</x:v>
      </x:c>
      <x:c r="C922" s="18" t="n">
        <x:v>8920</x:v>
      </x:c>
      <x:c r="D922" s="18" t="n">
        <x:v>34730</x:v>
      </x:c>
      <x:c r="E922" s="18" t="n">
        <x:v>27.09</x:v>
      </x:c>
      <x:c r="F922" s="18" t="n">
        <x:v>15.8</x:v>
      </x:c>
      <x:c r="G922" t="n">
        <x:v>36</x:v>
      </x:c>
      <x:c r="H922" t="str">
        <x:v>E</x:v>
      </x:c>
      <x:c r="I922" t="str">
        <x:v>7-9 years</x:v>
      </x:c>
      <x:c r="J922" t="str">
        <x:v>RENT</x:v>
      </x:c>
      <x:c r="K922" t="str">
        <x:v>debt_consolidation</x:v>
      </x:c>
      <x:c r="L922" t="n">
        <x:v>0</x:v>
      </x:c>
      <x:c r="M922" t="n">
        <x:v>0</x:v>
      </x:c>
      <x:c r="N922" t="str">
        <x:v>Fully Paid</x:v>
      </x:c>
      <x:c r="O922" t="str">
        <x:f>IF(D922="","Unknown",IF(D922&lt;25000,"&lt;$25k",IF(D922&lt;50000,"$25k-$50k",IF(D922&lt;75000,"$50k-$75k",IF(D922&lt;100000,"$75k-$100k","$100k+")))))</x:f>
        <x:v>$25k-$50k</x:v>
      </x:c>
      <x:c r="P922" t="str">
        <x:f>IF(E922="","Unknown",IF(E922&lt;10,"&lt;10",IF(E922&lt;20,"10-&lt;20",IF(E922&lt;25,"20-&lt;25",IF(E922&lt;35,"25-&lt;35","35+")))))</x:f>
        <x:v>25-&lt;35</x:v>
      </x:c>
    </x:row>
    <x:row r="923">
      <x:c r="A923" t="str">
        <x:v>SYN0000922</x:v>
      </x:c>
      <x:c r="B923" s="12" t="n">
        <x:v>41335</x:v>
      </x:c>
      <x:c r="C923" s="18" t="n">
        <x:v>7903</x:v>
      </x:c>
      <x:c r="D923" s="18" t="n">
        <x:v>47765</x:v>
      </x:c>
      <x:c r="E923" s="18" t="n">
        <x:v>20.87</x:v>
      </x:c>
      <x:c r="F923" s="18" t="n">
        <x:v>9.17</x:v>
      </x:c>
      <x:c r="G923" t="n">
        <x:v>36</x:v>
      </x:c>
      <x:c r="H923" t="str">
        <x:v>A</x:v>
      </x:c>
      <x:c r="I923" t="str">
        <x:v>10+ years</x:v>
      </x:c>
      <x:c r="J923" t="str">
        <x:v>RENT</x:v>
      </x:c>
      <x:c r="K923" t="str">
        <x:v>home_improvement</x:v>
      </x:c>
      <x:c r="L923" t="n">
        <x:v>0</x:v>
      </x:c>
      <x:c r="M923" t="n">
        <x:v>0</x:v>
      </x:c>
      <x:c r="N923" t="str">
        <x:v>Fully Paid</x:v>
      </x:c>
      <x:c r="O923" t="str">
        <x:f>IF(D923="","Unknown",IF(D923&lt;25000,"&lt;$25k",IF(D923&lt;50000,"$25k-$50k",IF(D923&lt;75000,"$50k-$75k",IF(D923&lt;100000,"$75k-$100k","$100k+")))))</x:f>
        <x:v>$25k-$50k</x:v>
      </x:c>
      <x:c r="P923" t="str">
        <x:f>IF(E923="","Unknown",IF(E923&lt;10,"&lt;10",IF(E923&lt;20,"10-&lt;20",IF(E923&lt;25,"20-&lt;25",IF(E923&lt;35,"25-&lt;35","35+")))))</x:f>
        <x:v>20-&lt;25</x:v>
      </x:c>
    </x:row>
    <x:row r="924">
      <x:c r="A924" t="str">
        <x:v>SYN0000923</x:v>
      </x:c>
      <x:c r="B924" s="12" t="n">
        <x:v>41875</x:v>
      </x:c>
      <x:c r="C924" s="18" t="n">
        <x:v>10051</x:v>
      </x:c>
      <x:c r="D924" s="18" t="n">
        <x:v>44114</x:v>
      </x:c>
      <x:c r="E924" s="18" t="n">
        <x:v>30.1</x:v>
      </x:c>
      <x:c r="F924" s="18" t="n">
        <x:v>14.85</x:v>
      </x:c>
      <x:c r="G924" t="n">
        <x:v>36</x:v>
      </x:c>
      <x:c r="H924" t="str">
        <x:v>D</x:v>
      </x:c>
      <x:c r="I924" t="str">
        <x:v>10+ years</x:v>
      </x:c>
      <x:c r="J924" t="str">
        <x:v>OWN</x:v>
      </x:c>
      <x:c r="K924" t="str">
        <x:v>credit_card</x:v>
      </x:c>
      <x:c r="L924" t="n">
        <x:v>0</x:v>
      </x:c>
      <x:c r="M924" t="n">
        <x:v>0</x:v>
      </x:c>
      <x:c r="N924" t="str">
        <x:v>Fully Paid</x:v>
      </x:c>
      <x:c r="O924" t="str">
        <x:f>IF(D924="","Unknown",IF(D924&lt;25000,"&lt;$25k",IF(D924&lt;50000,"$25k-$50k",IF(D924&lt;75000,"$50k-$75k",IF(D924&lt;100000,"$75k-$100k","$100k+")))))</x:f>
        <x:v>$25k-$50k</x:v>
      </x:c>
      <x:c r="P924" t="str">
        <x:f>IF(E924="","Unknown",IF(E924&lt;10,"&lt;10",IF(E924&lt;20,"10-&lt;20",IF(E924&lt;25,"20-&lt;25",IF(E924&lt;35,"25-&lt;35","35+")))))</x:f>
        <x:v>25-&lt;35</x:v>
      </x:c>
    </x:row>
    <x:row r="925">
      <x:c r="A925" t="str">
        <x:v>SYN0000924</x:v>
      </x:c>
      <x:c r="B925" s="12" t="n">
        <x:v>43285</x:v>
      </x:c>
      <x:c r="C925" s="18" t="n">
        <x:v>11290</x:v>
      </x:c>
      <x:c r="D925" s="18" t="n">
        <x:v>78437</x:v>
      </x:c>
      <x:c r="E925" s="18" t="n">
        <x:v>20.14</x:v>
      </x:c>
      <x:c r="F925" s="18" t="n">
        <x:v>22.22</x:v>
      </x:c>
      <x:c r="G925" t="n">
        <x:v>36</x:v>
      </x:c>
      <x:c r="H925" t="str">
        <x:v>F</x:v>
      </x:c>
      <x:c r="I925" t="str">
        <x:v>7-9 years</x:v>
      </x:c>
      <x:c r="J925" t="str">
        <x:v>MORTGAGE</x:v>
      </x:c>
      <x:c r="K925" t="str">
        <x:v>major_purchase</x:v>
      </x:c>
      <x:c r="L925" t="n">
        <x:v>2</x:v>
      </x:c>
      <x:c r="M925" t="n">
        <x:v>1</x:v>
      </x:c>
      <x:c r="N925" t="str">
        <x:v>Charged Off</x:v>
      </x:c>
      <x:c r="O925" t="str">
        <x:f>IF(D925="","Unknown",IF(D925&lt;25000,"&lt;$25k",IF(D925&lt;50000,"$25k-$50k",IF(D925&lt;75000,"$50k-$75k",IF(D925&lt;100000,"$75k-$100k","$100k+")))))</x:f>
        <x:v>$75k-$100k</x:v>
      </x:c>
      <x:c r="P925" t="str">
        <x:f>IF(E925="","Unknown",IF(E925&lt;10,"&lt;10",IF(E925&lt;20,"10-&lt;20",IF(E925&lt;25,"20-&lt;25",IF(E925&lt;35,"25-&lt;35","35+")))))</x:f>
        <x:v>20-&lt;25</x:v>
      </x:c>
    </x:row>
    <x:row r="926">
      <x:c r="A926" t="str">
        <x:v>SYN0000925</x:v>
      </x:c>
      <x:c r="B926" s="12" t="n">
        <x:v>41725</x:v>
      </x:c>
      <x:c r="C926" s="18" t="n">
        <x:v>15063</x:v>
      </x:c>
      <x:c r="D926" s="18" t="n">
        <x:v>112944</x:v>
      </x:c>
      <x:c r="E926" s="18" t="n">
        <x:v>16.79</x:v>
      </x:c>
      <x:c r="F926" s="18" t="n">
        <x:v>13.8</x:v>
      </x:c>
      <x:c r="G926" t="n">
        <x:v>60</x:v>
      </x:c>
      <x:c r="H926" t="str">
        <x:v>C</x:v>
      </x:c>
      <x:c r="I926" t="str">
        <x:v>10+ years</x:v>
      </x:c>
      <x:c r="J926" t="str">
        <x:v>RENT</x:v>
      </x:c>
      <x:c r="K926" t="str">
        <x:v>debt_consolidation</x:v>
      </x:c>
      <x:c r="L926" t="n">
        <x:v>0</x:v>
      </x:c>
      <x:c r="M926" t="n">
        <x:v>0</x:v>
      </x:c>
      <x:c r="N926" t="str">
        <x:v>Fully Paid</x:v>
      </x:c>
      <x:c r="O926" t="str">
        <x:f>IF(D926="","Unknown",IF(D926&lt;25000,"&lt;$25k",IF(D926&lt;50000,"$25k-$50k",IF(D926&lt;75000,"$50k-$75k",IF(D926&lt;100000,"$75k-$100k","$100k+")))))</x:f>
        <x:v>$100k+</x:v>
      </x:c>
      <x:c r="P926" t="str">
        <x:f>IF(E926="","Unknown",IF(E926&lt;10,"&lt;10",IF(E926&lt;20,"10-&lt;20",IF(E926&lt;25,"20-&lt;25",IF(E926&lt;35,"25-&lt;35","35+")))))</x:f>
        <x:v>10-&lt;20</x:v>
      </x:c>
    </x:row>
    <x:row r="927">
      <x:c r="A927" t="str">
        <x:v>SYN0000926</x:v>
      </x:c>
      <x:c r="B927" s="12" t="n">
        <x:v>42535</x:v>
      </x:c>
      <x:c r="C927" s="18" t="n">
        <x:v>15343</x:v>
      </x:c>
      <x:c r="D927" s="18" t="n">
        <x:v>105131</x:v>
      </x:c>
      <x:c r="E927" s="18" t="n">
        <x:v>21.95</x:v>
      </x:c>
      <x:c r="F927" s="18" t="n">
        <x:v>11.01</x:v>
      </x:c>
      <x:c r="G927" t="n">
        <x:v>36</x:v>
      </x:c>
      <x:c r="H927" t="str">
        <x:v>C</x:v>
      </x:c>
      <x:c r="I927" t="str">
        <x:v>10+ years</x:v>
      </x:c>
      <x:c r="J927" t="str">
        <x:v>MORTGAGE</x:v>
      </x:c>
      <x:c r="K927" t="str">
        <x:v>debt_consolidation</x:v>
      </x:c>
      <x:c r="L927" t="n">
        <x:v>0</x:v>
      </x:c>
      <x:c r="M927" t="n">
        <x:v>0</x:v>
      </x:c>
      <x:c r="N927" t="str">
        <x:v>Fully Paid</x:v>
      </x:c>
      <x:c r="O927" t="str">
        <x:f>IF(D927="","Unknown",IF(D927&lt;25000,"&lt;$25k",IF(D927&lt;50000,"$25k-$50k",IF(D927&lt;75000,"$50k-$75k",IF(D927&lt;100000,"$75k-$100k","$100k+")))))</x:f>
        <x:v>$100k+</x:v>
      </x:c>
      <x:c r="P927" t="str">
        <x:f>IF(E927="","Unknown",IF(E927&lt;10,"&lt;10",IF(E927&lt;20,"10-&lt;20",IF(E927&lt;25,"20-&lt;25",IF(E927&lt;35,"25-&lt;35","35+")))))</x:f>
        <x:v>20-&lt;25</x:v>
      </x:c>
    </x:row>
    <x:row r="928">
      <x:c r="A928" t="str">
        <x:v>SYN0000927</x:v>
      </x:c>
      <x:c r="B928" s="12" t="n">
        <x:v>41905</x:v>
      </x:c>
      <x:c r="C928" s="18" t="n">
        <x:v>16101</x:v>
      </x:c>
      <x:c r="D928" s="18" t="n">
        <x:v>45059</x:v>
      </x:c>
      <x:c r="E928" s="18" t="n">
        <x:v>13.12</x:v>
      </x:c>
      <x:c r="F928" s="18" t="n">
        <x:v>13.97</x:v>
      </x:c>
      <x:c r="G928" t="n">
        <x:v>36</x:v>
      </x:c>
      <x:c r="H928" t="str">
        <x:v>C</x:v>
      </x:c>
      <x:c r="I928" t="str">
        <x:v>&lt;1 year</x:v>
      </x:c>
      <x:c r="J928" t="str">
        <x:v>MORTGAGE</x:v>
      </x:c>
      <x:c r="K928" t="str">
        <x:v>major_purchase</x:v>
      </x:c>
      <x:c r="L928" t="n">
        <x:v>2</x:v>
      </x:c>
      <x:c r="M928" t="n">
        <x:v>0</x:v>
      </x:c>
      <x:c r="N928" t="str">
        <x:v>Fully Paid</x:v>
      </x:c>
      <x:c r="O928" t="str">
        <x:f>IF(D928="","Unknown",IF(D928&lt;25000,"&lt;$25k",IF(D928&lt;50000,"$25k-$50k",IF(D928&lt;75000,"$50k-$75k",IF(D928&lt;100000,"$75k-$100k","$100k+")))))</x:f>
        <x:v>$25k-$50k</x:v>
      </x:c>
      <x:c r="P928" t="str">
        <x:f>IF(E928="","Unknown",IF(E928&lt;10,"&lt;10",IF(E928&lt;20,"10-&lt;20",IF(E928&lt;25,"20-&lt;25",IF(E928&lt;35,"25-&lt;35","35+")))))</x:f>
        <x:v>10-&lt;20</x:v>
      </x:c>
    </x:row>
    <x:row r="929">
      <x:c r="A929" t="str">
        <x:v>SYN0000928</x:v>
      </x:c>
      <x:c r="B929" s="12" t="n">
        <x:v>41635</x:v>
      </x:c>
      <x:c r="C929" s="18" t="n">
        <x:v>8784</x:v>
      </x:c>
      <x:c r="D929" s="18" t="n">
        <x:v>48215</x:v>
      </x:c>
      <x:c r="E929" s="18" t="n">
        <x:v>10.17</x:v>
      </x:c>
      <x:c r="F929" s="18" t="n">
        <x:v>7.98</x:v>
      </x:c>
      <x:c r="G929" t="n">
        <x:v>36</x:v>
      </x:c>
      <x:c r="H929" t="str">
        <x:v>B</x:v>
      </x:c>
      <x:c r="I929" t="str">
        <x:v>7-9 years</x:v>
      </x:c>
      <x:c r="J929" t="str">
        <x:v>OWN</x:v>
      </x:c>
      <x:c r="K929" t="str">
        <x:v>debt_consolidation</x:v>
      </x:c>
      <x:c r="L929" t="n">
        <x:v>0</x:v>
      </x:c>
      <x:c r="M929" t="n">
        <x:v>0</x:v>
      </x:c>
      <x:c r="N929" t="str">
        <x:v>Fully Paid</x:v>
      </x:c>
      <x:c r="O929" t="str">
        <x:f>IF(D929="","Unknown",IF(D929&lt;25000,"&lt;$25k",IF(D929&lt;50000,"$25k-$50k",IF(D929&lt;75000,"$50k-$75k",IF(D929&lt;100000,"$75k-$100k","$100k+")))))</x:f>
        <x:v>$25k-$50k</x:v>
      </x:c>
      <x:c r="P929" t="str">
        <x:f>IF(E929="","Unknown",IF(E929&lt;10,"&lt;10",IF(E929&lt;20,"10-&lt;20",IF(E929&lt;25,"20-&lt;25",IF(E929&lt;35,"25-&lt;35","35+")))))</x:f>
        <x:v>10-&lt;20</x:v>
      </x:c>
    </x:row>
    <x:row r="930">
      <x:c r="A930" t="str">
        <x:v>SYN0000929</x:v>
      </x:c>
      <x:c r="B930" s="12" t="n">
        <x:v>42685</x:v>
      </x:c>
      <x:c r="C930" s="18" t="n">
        <x:v>12207</x:v>
      </x:c>
      <x:c r="D930" s="18" t="n">
        <x:v>12393</x:v>
      </x:c>
      <x:c r="E930" s="18" t="n">
        <x:v>15.94</x:v>
      </x:c>
      <x:c r="F930" s="18" t="n">
        <x:v>14.27</x:v>
      </x:c>
      <x:c r="G930" t="n">
        <x:v>60</x:v>
      </x:c>
      <x:c r="H930" t="str">
        <x:v>D</x:v>
      </x:c>
      <x:c r="I930" t="str">
        <x:v>10+ years</x:v>
      </x:c>
      <x:c r="J930" t="str">
        <x:v>RENT</x:v>
      </x:c>
      <x:c r="K930" t="str">
        <x:v>credit_card</x:v>
      </x:c>
      <x:c r="L930" t="n">
        <x:v>1</x:v>
      </x:c>
      <x:c r="M930" t="n">
        <x:v>0</x:v>
      </x:c>
      <x:c r="N930" t="str">
        <x:v>Fully Paid</x:v>
      </x:c>
      <x:c r="O930" t="str">
        <x:f>IF(D930="","Unknown",IF(D930&lt;25000,"&lt;$25k",IF(D930&lt;50000,"$25k-$50k",IF(D930&lt;75000,"$50k-$75k",IF(D930&lt;100000,"$75k-$100k","$100k+")))))</x:f>
        <x:v>&lt;$25k</x:v>
      </x:c>
      <x:c r="P930" t="str">
        <x:f>IF(E930="","Unknown",IF(E930&lt;10,"&lt;10",IF(E930&lt;20,"10-&lt;20",IF(E930&lt;25,"20-&lt;25",IF(E930&lt;35,"25-&lt;35","35+")))))</x:f>
        <x:v>10-&lt;20</x:v>
      </x:c>
    </x:row>
    <x:row r="931">
      <x:c r="A931" t="str">
        <x:v>SYN0000930</x:v>
      </x:c>
      <x:c r="B931" s="12" t="n">
        <x:v>42295</x:v>
      </x:c>
      <x:c r="C931" s="18" t="n">
        <x:v>5911</x:v>
      </x:c>
      <x:c r="D931" s="18" t="n">
        <x:v>136676</x:v>
      </x:c>
      <x:c r="E931" s="18" t="n">
        <x:v>23.47</x:v>
      </x:c>
      <x:c r="F931" s="18" t="n">
        <x:v>9.2</x:v>
      </x:c>
      <x:c r="G931" t="n">
        <x:v>36</x:v>
      </x:c>
      <x:c r="H931" t="str">
        <x:v>B</x:v>
      </x:c>
      <x:c r="I931" t="str">
        <x:v>4-6 years</x:v>
      </x:c>
      <x:c r="J931" t="str">
        <x:v>OTHER</x:v>
      </x:c>
      <x:c r="K931" t="str">
        <x:v>credit_card</x:v>
      </x:c>
      <x:c r="L931" t="n">
        <x:v>2</x:v>
      </x:c>
      <x:c r="M931" t="n">
        <x:v>0</x:v>
      </x:c>
      <x:c r="N931" t="str">
        <x:v>Fully Paid</x:v>
      </x:c>
      <x:c r="O931" t="str">
        <x:f>IF(D931="","Unknown",IF(D931&lt;25000,"&lt;$25k",IF(D931&lt;50000,"$25k-$50k",IF(D931&lt;75000,"$50k-$75k",IF(D931&lt;100000,"$75k-$100k","$100k+")))))</x:f>
        <x:v>$100k+</x:v>
      </x:c>
      <x:c r="P931" t="str">
        <x:f>IF(E931="","Unknown",IF(E931&lt;10,"&lt;10",IF(E931&lt;20,"10-&lt;20",IF(E931&lt;25,"20-&lt;25",IF(E931&lt;35,"25-&lt;35","35+")))))</x:f>
        <x:v>20-&lt;25</x:v>
      </x:c>
    </x:row>
    <x:row r="932">
      <x:c r="A932" t="str">
        <x:v>SYN0000931</x:v>
      </x:c>
      <x:c r="B932" s="12" t="n">
        <x:v>43285</x:v>
      </x:c>
      <x:c r="C932" s="18" t="n">
        <x:v>11394</x:v>
      </x:c>
      <x:c r="D932" s="18" t="n">
        <x:v>28019</x:v>
      </x:c>
      <x:c r="E932" s="18" t="n">
        <x:v>29.22</x:v>
      </x:c>
      <x:c r="F932" s="18" t="n">
        <x:v>7.56</x:v>
      </x:c>
      <x:c r="G932" t="n">
        <x:v>36</x:v>
      </x:c>
      <x:c r="H932" t="str">
        <x:v>B</x:v>
      </x:c>
      <x:c r="I932" t="str">
        <x:v>4-6 years</x:v>
      </x:c>
      <x:c r="J932" t="str">
        <x:v>MORTGAGE</x:v>
      </x:c>
      <x:c r="K932" t="str">
        <x:v>debt_consolidation</x:v>
      </x:c>
      <x:c r="L932" t="n">
        <x:v>0</x:v>
      </x:c>
      <x:c r="M932" t="n">
        <x:v>0</x:v>
      </x:c>
      <x:c r="N932" t="str">
        <x:v>Fully Paid</x:v>
      </x:c>
      <x:c r="O932" t="str">
        <x:f>IF(D932="","Unknown",IF(D932&lt;25000,"&lt;$25k",IF(D932&lt;50000,"$25k-$50k",IF(D932&lt;75000,"$50k-$75k",IF(D932&lt;100000,"$75k-$100k","$100k+")))))</x:f>
        <x:v>$25k-$50k</x:v>
      </x:c>
      <x:c r="P932" t="str">
        <x:f>IF(E932="","Unknown",IF(E932&lt;10,"&lt;10",IF(E932&lt;20,"10-&lt;20",IF(E932&lt;25,"20-&lt;25",IF(E932&lt;35,"25-&lt;35","35+")))))</x:f>
        <x:v>25-&lt;35</x:v>
      </x:c>
    </x:row>
    <x:row r="933">
      <x:c r="A933" t="str">
        <x:v>SYN0000932</x:v>
      </x:c>
      <x:c r="B933" s="12" t="n">
        <x:v>41275</x:v>
      </x:c>
      <x:c r="C933" s="18" t="n">
        <x:v>7798</x:v>
      </x:c>
      <x:c r="D933" s="18" t="n">
        <x:v>49096</x:v>
      </x:c>
      <x:c r="E933" s="18" t="n">
        <x:v>19.38</x:v>
      </x:c>
      <x:c r="F933" s="18" t="n">
        <x:v>10.07</x:v>
      </x:c>
      <x:c r="G933" t="n">
        <x:v>36</x:v>
      </x:c>
      <x:c r="H933" t="str">
        <x:v>C</x:v>
      </x:c>
      <x:c r="I933" t="str">
        <x:v>7-9 years</x:v>
      </x:c>
      <x:c r="J933" t="str">
        <x:v>MORTGAGE</x:v>
      </x:c>
      <x:c r="K933" t="str">
        <x:v>other</x:v>
      </x:c>
      <x:c r="L933" t="n">
        <x:v>0</x:v>
      </x:c>
      <x:c r="M933" t="n">
        <x:v>0</x:v>
      </x:c>
      <x:c r="N933" t="str">
        <x:v>Fully Paid</x:v>
      </x:c>
      <x:c r="O933" t="str">
        <x:f>IF(D933="","Unknown",IF(D933&lt;25000,"&lt;$25k",IF(D933&lt;50000,"$25k-$50k",IF(D933&lt;75000,"$50k-$75k",IF(D933&lt;100000,"$75k-$100k","$100k+")))))</x:f>
        <x:v>$25k-$50k</x:v>
      </x:c>
      <x:c r="P933" t="str">
        <x:f>IF(E933="","Unknown",IF(E933&lt;10,"&lt;10",IF(E933&lt;20,"10-&lt;20",IF(E933&lt;25,"20-&lt;25",IF(E933&lt;35,"25-&lt;35","35+")))))</x:f>
        <x:v>10-&lt;20</x:v>
      </x:c>
    </x:row>
    <x:row r="934">
      <x:c r="A934" t="str">
        <x:v>SYN0000933</x:v>
      </x:c>
      <x:c r="B934" s="12" t="n">
        <x:v>41545</x:v>
      </x:c>
      <x:c r="C934" s="18" t="n">
        <x:v>22660</x:v>
      </x:c>
      <x:c r="D934" s="18" t="n">
        <x:v>56381</x:v>
      </x:c>
      <x:c r="E934" s="18" t="n">
        <x:v>25.75</x:v>
      </x:c>
      <x:c r="F934" s="18" t="n">
        <x:v>9.72</x:v>
      </x:c>
      <x:c r="G934" t="n">
        <x:v>36</x:v>
      </x:c>
      <x:c r="H934" t="str">
        <x:v>C</x:v>
      </x:c>
      <x:c r="I934" t="str">
        <x:v>4-6 years</x:v>
      </x:c>
      <x:c r="J934" t="str">
        <x:v>RENT</x:v>
      </x:c>
      <x:c r="K934" t="str">
        <x:v>debt_consolidation</x:v>
      </x:c>
      <x:c r="L934" t="n">
        <x:v>0</x:v>
      </x:c>
      <x:c r="M934" t="n">
        <x:v>0</x:v>
      </x:c>
      <x:c r="N934" t="str">
        <x:v>Fully Paid</x:v>
      </x:c>
      <x:c r="O934" t="str">
        <x:f>IF(D934="","Unknown",IF(D934&lt;25000,"&lt;$25k",IF(D934&lt;50000,"$25k-$50k",IF(D934&lt;75000,"$50k-$75k",IF(D934&lt;100000,"$75k-$100k","$100k+")))))</x:f>
        <x:v>$50k-$75k</x:v>
      </x:c>
      <x:c r="P934" t="str">
        <x:f>IF(E934="","Unknown",IF(E934&lt;10,"&lt;10",IF(E934&lt;20,"10-&lt;20",IF(E934&lt;25,"20-&lt;25",IF(E934&lt;35,"25-&lt;35","35+")))))</x:f>
        <x:v>25-&lt;35</x:v>
      </x:c>
    </x:row>
    <x:row r="935">
      <x:c r="A935" t="str">
        <x:v>SYN0000934</x:v>
      </x:c>
      <x:c r="B935" s="12" t="n">
        <x:v>43015</x:v>
      </x:c>
      <x:c r="C935" s="18" t="n">
        <x:v>25394</x:v>
      </x:c>
      <x:c r="D935" s="18" t="n">
        <x:v>98462</x:v>
      </x:c>
      <x:c r="E935" s="18" t="n">
        <x:v>16.48</x:v>
      </x:c>
      <x:c r="F935" s="18" t="n">
        <x:v>10.16</x:v>
      </x:c>
      <x:c r="G935" t="n">
        <x:v>36</x:v>
      </x:c>
      <x:c r="H935" t="str">
        <x:v>C</x:v>
      </x:c>
      <x:c r="I935" t="str">
        <x:v>10+ years</x:v>
      </x:c>
      <x:c r="J935" t="str">
        <x:v>MORTGAGE</x:v>
      </x:c>
      <x:c r="K935" t="str">
        <x:v>debt_consolidation</x:v>
      </x:c>
      <x:c r="L935" t="n">
        <x:v>1</x:v>
      </x:c>
      <x:c r="M935" t="n">
        <x:v>0</x:v>
      </x:c>
      <x:c r="N935" t="str">
        <x:v>Fully Paid</x:v>
      </x:c>
      <x:c r="O935" t="str">
        <x:f>IF(D935="","Unknown",IF(D935&lt;25000,"&lt;$25k",IF(D935&lt;50000,"$25k-$50k",IF(D935&lt;75000,"$50k-$75k",IF(D935&lt;100000,"$75k-$100k","$100k+")))))</x:f>
        <x:v>$75k-$100k</x:v>
      </x:c>
      <x:c r="P935" t="str">
        <x:f>IF(E935="","Unknown",IF(E935&lt;10,"&lt;10",IF(E935&lt;20,"10-&lt;20",IF(E935&lt;25,"20-&lt;25",IF(E935&lt;35,"25-&lt;35","35+")))))</x:f>
        <x:v>10-&lt;20</x:v>
      </x:c>
    </x:row>
    <x:row r="936">
      <x:c r="A936" t="str">
        <x:v>SYN0000935</x:v>
      </x:c>
      <x:c r="B936" s="12" t="n">
        <x:v>41635</x:v>
      </x:c>
      <x:c r="C936" s="18" t="n">
        <x:v>21005</x:v>
      </x:c>
      <x:c r="D936" s="18" t="n">
        <x:v>35034</x:v>
      </x:c>
      <x:c r="E936" s="18" t="n">
        <x:v>14.28</x:v>
      </x:c>
      <x:c r="F936" s="18" t="n">
        <x:v>5.79</x:v>
      </x:c>
      <x:c r="G936" t="n">
        <x:v>36</x:v>
      </x:c>
      <x:c r="H936" t="str">
        <x:v>A</x:v>
      </x:c>
      <x:c r="I936" t="str">
        <x:v>10+ years</x:v>
      </x:c>
      <x:c r="J936" t="str">
        <x:v>RENT</x:v>
      </x:c>
      <x:c r="K936" t="str">
        <x:v>credit_card</x:v>
      </x:c>
      <x:c r="L936" t="n">
        <x:v>0</x:v>
      </x:c>
      <x:c r="M936" t="n">
        <x:v>0</x:v>
      </x:c>
      <x:c r="N936" t="str">
        <x:v>Fully Paid</x:v>
      </x:c>
      <x:c r="O936" t="str">
        <x:f>IF(D936="","Unknown",IF(D936&lt;25000,"&lt;$25k",IF(D936&lt;50000,"$25k-$50k",IF(D936&lt;75000,"$50k-$75k",IF(D936&lt;100000,"$75k-$100k","$100k+")))))</x:f>
        <x:v>$25k-$50k</x:v>
      </x:c>
      <x:c r="P936" t="str">
        <x:f>IF(E936="","Unknown",IF(E936&lt;10,"&lt;10",IF(E936&lt;20,"10-&lt;20",IF(E936&lt;25,"20-&lt;25",IF(E936&lt;35,"25-&lt;35","35+")))))</x:f>
        <x:v>10-&lt;20</x:v>
      </x:c>
    </x:row>
    <x:row r="937">
      <x:c r="A937" t="str">
        <x:v>SYN0000936</x:v>
      </x:c>
      <x:c r="B937" s="12" t="n">
        <x:v>42265</x:v>
      </x:c>
      <x:c r="C937" s="18" t="n">
        <x:v>6365</x:v>
      </x:c>
      <x:c r="D937" s="18" t="n">
        <x:v>48437</x:v>
      </x:c>
      <x:c r="E937" s="18" t="n">
        <x:v>17.15</x:v>
      </x:c>
      <x:c r="F937" s="18" t="n">
        <x:v>6.69</x:v>
      </x:c>
      <x:c r="G937" t="n">
        <x:v>36</x:v>
      </x:c>
      <x:c r="H937" t="str">
        <x:v>B</x:v>
      </x:c>
      <x:c r="I937" t="str">
        <x:v>7-9 years</x:v>
      </x:c>
      <x:c r="J937" t="str">
        <x:v>OWN</x:v>
      </x:c>
      <x:c r="K937" t="str">
        <x:v>home_improvement</x:v>
      </x:c>
      <x:c r="L937" t="n">
        <x:v>0</x:v>
      </x:c>
      <x:c r="M937" t="n">
        <x:v>0</x:v>
      </x:c>
      <x:c r="N937" t="str">
        <x:v>Fully Paid</x:v>
      </x:c>
      <x:c r="O937" t="str">
        <x:f>IF(D937="","Unknown",IF(D937&lt;25000,"&lt;$25k",IF(D937&lt;50000,"$25k-$50k",IF(D937&lt;75000,"$50k-$75k",IF(D937&lt;100000,"$75k-$100k","$100k+")))))</x:f>
        <x:v>$25k-$50k</x:v>
      </x:c>
      <x:c r="P937" t="str">
        <x:f>IF(E937="","Unknown",IF(E937&lt;10,"&lt;10",IF(E937&lt;20,"10-&lt;20",IF(E937&lt;25,"20-&lt;25",IF(E937&lt;35,"25-&lt;35","35+")))))</x:f>
        <x:v>10-&lt;20</x:v>
      </x:c>
    </x:row>
    <x:row r="938">
      <x:c r="A938" t="str">
        <x:v>SYN0000937</x:v>
      </x:c>
      <x:c r="B938" s="12" t="n">
        <x:v>41935</x:v>
      </x:c>
      <x:c r="C938" s="18" t="n">
        <x:v>9577</x:v>
      </x:c>
      <x:c r="D938" s="18" t="n">
        <x:v>137311</x:v>
      </x:c>
      <x:c r="E938" s="18" t="n">
        <x:v>27.8</x:v>
      </x:c>
      <x:c r="F938" s="18" t="n">
        <x:v>18.27</x:v>
      </x:c>
      <x:c r="G938" t="n">
        <x:v>36</x:v>
      </x:c>
      <x:c r="H938" t="str">
        <x:v>E</x:v>
      </x:c>
      <x:c r="I938" t="str">
        <x:v>4-6 years</x:v>
      </x:c>
      <x:c r="J938" t="str">
        <x:v>RENT</x:v>
      </x:c>
      <x:c r="K938" t="str">
        <x:v>home_improvement</x:v>
      </x:c>
      <x:c r="L938" t="n">
        <x:v>0</x:v>
      </x:c>
      <x:c r="M938" t="n">
        <x:v>0</x:v>
      </x:c>
      <x:c r="N938" t="str">
        <x:v>Fully Paid</x:v>
      </x:c>
      <x:c r="O938" t="str">
        <x:f>IF(D938="","Unknown",IF(D938&lt;25000,"&lt;$25k",IF(D938&lt;50000,"$25k-$50k",IF(D938&lt;75000,"$50k-$75k",IF(D938&lt;100000,"$75k-$100k","$100k+")))))</x:f>
        <x:v>$100k+</x:v>
      </x:c>
      <x:c r="P938" t="str">
        <x:f>IF(E938="","Unknown",IF(E938&lt;10,"&lt;10",IF(E938&lt;20,"10-&lt;20",IF(E938&lt;25,"20-&lt;25",IF(E938&lt;35,"25-&lt;35","35+")))))</x:f>
        <x:v>25-&lt;35</x:v>
      </x:c>
    </x:row>
    <x:row r="939">
      <x:c r="A939" t="str">
        <x:v>SYN0000938</x:v>
      </x:c>
      <x:c r="B939" s="12" t="n">
        <x:v>42955</x:v>
      </x:c>
      <x:c r="C939" s="18" t="n">
        <x:v>10604</x:v>
      </x:c>
      <x:c r="D939" s="18" t="n">
        <x:v>106131</x:v>
      </x:c>
      <x:c r="E939" s="18" t="n">
        <x:v>19.39</x:v>
      </x:c>
      <x:c r="F939" s="18" t="n">
        <x:v>7.59</x:v>
      </x:c>
      <x:c r="G939" t="n">
        <x:v>36</x:v>
      </x:c>
      <x:c r="H939" t="str">
        <x:v>C</x:v>
      </x:c>
      <x:c r="I939" t="str">
        <x:v>7-9 years</x:v>
      </x:c>
      <x:c r="J939" t="str">
        <x:v>OWN</x:v>
      </x:c>
      <x:c r="K939" t="str">
        <x:v>debt_consolidation</x:v>
      </x:c>
      <x:c r="L939" t="n">
        <x:v>1</x:v>
      </x:c>
      <x:c r="M939" t="n">
        <x:v>0</x:v>
      </x:c>
      <x:c r="N939" t="str">
        <x:v>Fully Paid</x:v>
      </x:c>
      <x:c r="O939" t="str">
        <x:f>IF(D939="","Unknown",IF(D939&lt;25000,"&lt;$25k",IF(D939&lt;50000,"$25k-$50k",IF(D939&lt;75000,"$50k-$75k",IF(D939&lt;100000,"$75k-$100k","$100k+")))))</x:f>
        <x:v>$100k+</x:v>
      </x:c>
      <x:c r="P939" t="str">
        <x:f>IF(E939="","Unknown",IF(E939&lt;10,"&lt;10",IF(E939&lt;20,"10-&lt;20",IF(E939&lt;25,"20-&lt;25",IF(E939&lt;35,"25-&lt;35","35+")))))</x:f>
        <x:v>10-&lt;20</x:v>
      </x:c>
    </x:row>
    <x:row r="940">
      <x:c r="A940" t="str">
        <x:v>SYN0000939</x:v>
      </x:c>
      <x:c r="B940" s="12" t="n">
        <x:v>41665</x:v>
      </x:c>
      <x:c r="C940" s="18" t="n">
        <x:v>9544</x:v>
      </x:c>
      <x:c r="D940" s="18" t="n">
        <x:v>63830</x:v>
      </x:c>
      <x:c r="E940" s="18" t="n">
        <x:v>21.28</x:v>
      </x:c>
      <x:c r="F940" s="18" t="n">
        <x:v>10.29</x:v>
      </x:c>
      <x:c r="G940" t="n">
        <x:v>36</x:v>
      </x:c>
      <x:c r="H940" t="str">
        <x:v>C</x:v>
      </x:c>
      <x:c r="I940" t="str">
        <x:v>4-6 years</x:v>
      </x:c>
      <x:c r="J940" t="str">
        <x:v>OWN</x:v>
      </x:c>
      <x:c r="K940" t="str">
        <x:v>credit_card</x:v>
      </x:c>
      <x:c r="L940" t="n">
        <x:v>1</x:v>
      </x:c>
      <x:c r="M940" t="n">
        <x:v>0</x:v>
      </x:c>
      <x:c r="N940" t="str">
        <x:v>Fully Paid</x:v>
      </x:c>
      <x:c r="O940" t="str">
        <x:f>IF(D940="","Unknown",IF(D940&lt;25000,"&lt;$25k",IF(D940&lt;50000,"$25k-$50k",IF(D940&lt;75000,"$50k-$75k",IF(D940&lt;100000,"$75k-$100k","$100k+")))))</x:f>
        <x:v>$50k-$75k</x:v>
      </x:c>
      <x:c r="P940" t="str">
        <x:f>IF(E940="","Unknown",IF(E940&lt;10,"&lt;10",IF(E940&lt;20,"10-&lt;20",IF(E940&lt;25,"20-&lt;25",IF(E940&lt;35,"25-&lt;35","35+")))))</x:f>
        <x:v>20-&lt;25</x:v>
      </x:c>
    </x:row>
    <x:row r="941">
      <x:c r="A941" t="str">
        <x:v>SYN0000940</x:v>
      </x:c>
      <x:c r="B941" s="12" t="n">
        <x:v>42685</x:v>
      </x:c>
      <x:c r="C941" s="18" t="n">
        <x:v>10795</x:v>
      </x:c>
      <x:c r="D941" s="18" t="n">
        <x:v>37082</x:v>
      </x:c>
      <x:c r="E941" s="18" t="n">
        <x:v>18.83</x:v>
      </x:c>
      <x:c r="F941" s="18" t="n">
        <x:v>8.8</x:v>
      </x:c>
      <x:c r="G941" t="n">
        <x:v>60</x:v>
      </x:c>
      <x:c r="H941" t="str">
        <x:v>B</x:v>
      </x:c>
      <x:c r="I941" t="str">
        <x:v>10+ years</x:v>
      </x:c>
      <x:c r="J941" t="str">
        <x:v>MORTGAGE</x:v>
      </x:c>
      <x:c r="K941" t="str">
        <x:v>debt_consolidation</x:v>
      </x:c>
      <x:c r="L941" t="n">
        <x:v>1</x:v>
      </x:c>
      <x:c r="M941" t="n">
        <x:v>0</x:v>
      </x:c>
      <x:c r="N941" t="str">
        <x:v>Fully Paid</x:v>
      </x:c>
      <x:c r="O941" t="str">
        <x:f>IF(D941="","Unknown",IF(D941&lt;25000,"&lt;$25k",IF(D941&lt;50000,"$25k-$50k",IF(D941&lt;75000,"$50k-$75k",IF(D941&lt;100000,"$75k-$100k","$100k+")))))</x:f>
        <x:v>$25k-$50k</x:v>
      </x:c>
      <x:c r="P941" t="str">
        <x:f>IF(E941="","Unknown",IF(E941&lt;10,"&lt;10",IF(E941&lt;20,"10-&lt;20",IF(E941&lt;25,"20-&lt;25",IF(E941&lt;35,"25-&lt;35","35+")))))</x:f>
        <x:v>10-&lt;20</x:v>
      </x:c>
    </x:row>
    <x:row r="942">
      <x:c r="A942" t="str">
        <x:v>SYN0000941</x:v>
      </x:c>
      <x:c r="B942" s="12" t="n">
        <x:v>42655</x:v>
      </x:c>
      <x:c r="C942" s="18" t="n">
        <x:v>18260</x:v>
      </x:c>
      <x:c r="D942" s="18" t="n">
        <x:v>42485</x:v>
      </x:c>
      <x:c r="E942" s="18" t="n">
        <x:v>28.27</x:v>
      </x:c>
      <x:c r="F942" s="18" t="n">
        <x:v>10.7</x:v>
      </x:c>
      <x:c r="G942" t="n">
        <x:v>36</x:v>
      </x:c>
      <x:c r="H942" t="str">
        <x:v>C</x:v>
      </x:c>
      <x:c r="I942" t="str">
        <x:v>1-3 years</x:v>
      </x:c>
      <x:c r="J942" t="str">
        <x:v>MORTGAGE</x:v>
      </x:c>
      <x:c r="K942" t="str">
        <x:v>other</x:v>
      </x:c>
      <x:c r="L942" t="n">
        <x:v>1</x:v>
      </x:c>
      <x:c r="M942" t="n">
        <x:v>0</x:v>
      </x:c>
      <x:c r="N942" t="str">
        <x:v>Fully Paid</x:v>
      </x:c>
      <x:c r="O942" t="str">
        <x:f>IF(D942="","Unknown",IF(D942&lt;25000,"&lt;$25k",IF(D942&lt;50000,"$25k-$50k",IF(D942&lt;75000,"$50k-$75k",IF(D942&lt;100000,"$75k-$100k","$100k+")))))</x:f>
        <x:v>$25k-$50k</x:v>
      </x:c>
      <x:c r="P942" t="str">
        <x:f>IF(E942="","Unknown",IF(E942&lt;10,"&lt;10",IF(E942&lt;20,"10-&lt;20",IF(E942&lt;25,"20-&lt;25",IF(E942&lt;35,"25-&lt;35","35+")))))</x:f>
        <x:v>25-&lt;35</x:v>
      </x:c>
    </x:row>
    <x:row r="943">
      <x:c r="A943" t="str">
        <x:v>SYN0000942</x:v>
      </x:c>
      <x:c r="B943" s="12" t="n">
        <x:v>41965</x:v>
      </x:c>
      <x:c r="C943" s="18" t="n">
        <x:v>13640</x:v>
      </x:c>
      <x:c r="D943" s="18" t="n">
        <x:v>25404</x:v>
      </x:c>
      <x:c r="E943" s="18" t="n">
        <x:v>11.91</x:v>
      </x:c>
      <x:c r="F943" s="18" t="n">
        <x:v>11.26</x:v>
      </x:c>
      <x:c r="G943" t="n">
        <x:v>60</x:v>
      </x:c>
      <x:c r="H943" t="str">
        <x:v>B</x:v>
      </x:c>
      <x:c r="I943" t="str">
        <x:v>1-3 years</x:v>
      </x:c>
      <x:c r="J943" t="str">
        <x:v>MORTGAGE</x:v>
      </x:c>
      <x:c r="K943" t="str">
        <x:v>debt_consolidation</x:v>
      </x:c>
      <x:c r="L943" t="n">
        <x:v>0</x:v>
      </x:c>
      <x:c r="M943" t="n">
        <x:v>1</x:v>
      </x:c>
      <x:c r="N943" t="str">
        <x:v>Charged Off</x:v>
      </x:c>
      <x:c r="O943" t="str">
        <x:f>IF(D943="","Unknown",IF(D943&lt;25000,"&lt;$25k",IF(D943&lt;50000,"$25k-$50k",IF(D943&lt;75000,"$50k-$75k",IF(D943&lt;100000,"$75k-$100k","$100k+")))))</x:f>
        <x:v>$25k-$50k</x:v>
      </x:c>
      <x:c r="P943" t="str">
        <x:f>IF(E943="","Unknown",IF(E943&lt;10,"&lt;10",IF(E943&lt;20,"10-&lt;20",IF(E943&lt;25,"20-&lt;25",IF(E943&lt;35,"25-&lt;35","35+")))))</x:f>
        <x:v>10-&lt;20</x:v>
      </x:c>
    </x:row>
    <x:row r="944">
      <x:c r="A944" t="str">
        <x:v>SYN0000943</x:v>
      </x:c>
      <x:c r="B944" s="12" t="n">
        <x:v>42415</x:v>
      </x:c>
      <x:c r="C944" s="18" t="n">
        <x:v>10131</x:v>
      </x:c>
      <x:c r="D944" s="18" t="n">
        <x:v>22552</x:v>
      </x:c>
      <x:c r="E944" s="18" t="n">
        <x:v>11.89</x:v>
      </x:c>
      <x:c r="F944" s="18" t="n">
        <x:v>12.57</x:v>
      </x:c>
      <x:c r="G944" t="n">
        <x:v>36</x:v>
      </x:c>
      <x:c r="H944" t="str">
        <x:v>C</x:v>
      </x:c>
      <x:c r="I944" t="str">
        <x:v>7-9 years</x:v>
      </x:c>
      <x:c r="J944" t="str">
        <x:v>OWN</x:v>
      </x:c>
      <x:c r="K944" t="str">
        <x:v>medical</x:v>
      </x:c>
      <x:c r="L944" t="n">
        <x:v>1</x:v>
      </x:c>
      <x:c r="M944" t="n">
        <x:v>0</x:v>
      </x:c>
      <x:c r="N944" t="str">
        <x:v>Fully Paid</x:v>
      </x:c>
      <x:c r="O944" t="str">
        <x:f>IF(D944="","Unknown",IF(D944&lt;25000,"&lt;$25k",IF(D944&lt;50000,"$25k-$50k",IF(D944&lt;75000,"$50k-$75k",IF(D944&lt;100000,"$75k-$100k","$100k+")))))</x:f>
        <x:v>&lt;$25k</x:v>
      </x:c>
      <x:c r="P944" t="str">
        <x:f>IF(E944="","Unknown",IF(E944&lt;10,"&lt;10",IF(E944&lt;20,"10-&lt;20",IF(E944&lt;25,"20-&lt;25",IF(E944&lt;35,"25-&lt;35","35+")))))</x:f>
        <x:v>10-&lt;20</x:v>
      </x:c>
    </x:row>
    <x:row r="945">
      <x:c r="A945" t="str">
        <x:v>SYN0000944</x:v>
      </x:c>
      <x:c r="B945" s="12" t="n">
        <x:v>42175</x:v>
      </x:c>
      <x:c r="C945" s="18" t="n">
        <x:v>23215</x:v>
      </x:c>
      <x:c r="D945" s="18" t="n">
        <x:v>63576</x:v>
      </x:c>
      <x:c r="E945" s="18" t="n">
        <x:v>6.37</x:v>
      </x:c>
      <x:c r="F945" s="18" t="n">
        <x:v>10.59</x:v>
      </x:c>
      <x:c r="G945" t="n">
        <x:v>36</x:v>
      </x:c>
      <x:c r="H945" t="str">
        <x:v>C</x:v>
      </x:c>
      <x:c r="I945" t="str">
        <x:v>4-6 years</x:v>
      </x:c>
      <x:c r="J945" t="str">
        <x:v>RENT</x:v>
      </x:c>
      <x:c r="K945" t="str">
        <x:v>home_improvement</x:v>
      </x:c>
      <x:c r="L945" t="n">
        <x:v>1</x:v>
      </x:c>
      <x:c r="M945" t="n">
        <x:v>0</x:v>
      </x:c>
      <x:c r="N945" t="str">
        <x:v>Fully Paid</x:v>
      </x:c>
      <x:c r="O945" t="str">
        <x:f>IF(D945="","Unknown",IF(D945&lt;25000,"&lt;$25k",IF(D945&lt;50000,"$25k-$50k",IF(D945&lt;75000,"$50k-$75k",IF(D945&lt;100000,"$75k-$100k","$100k+")))))</x:f>
        <x:v>$50k-$75k</x:v>
      </x:c>
      <x:c r="P945" t="str">
        <x:f>IF(E945="","Unknown",IF(E945&lt;10,"&lt;10",IF(E945&lt;20,"10-&lt;20",IF(E945&lt;25,"20-&lt;25",IF(E945&lt;35,"25-&lt;35","35+")))))</x:f>
        <x:v>&lt;10</x:v>
      </x:c>
    </x:row>
    <x:row r="946">
      <x:c r="A946" t="str">
        <x:v>SYN0000945</x:v>
      </x:c>
      <x:c r="B946" s="12" t="n">
        <x:v>41605</x:v>
      </x:c>
      <x:c r="C946" s="18" t="n">
        <x:v>16816</x:v>
      </x:c>
      <x:c r="D946" s="18" t="n">
        <x:v>104295</x:v>
      </x:c>
      <x:c r="E946" s="18" t="n">
        <x:v>13.86</x:v>
      </x:c>
      <x:c r="F946" s="18" t="n">
        <x:v>11.71</x:v>
      </x:c>
      <x:c r="G946" t="n">
        <x:v>36</x:v>
      </x:c>
      <x:c r="H946" t="str">
        <x:v>C</x:v>
      </x:c>
      <x:c r="I946" t="str">
        <x:v>&lt;1 year</x:v>
      </x:c>
      <x:c r="J946" t="str">
        <x:v>MORTGAGE</x:v>
      </x:c>
      <x:c r="K946" t="str">
        <x:v>medical</x:v>
      </x:c>
      <x:c r="L946" t="n">
        <x:v>0</x:v>
      </x:c>
      <x:c r="M946" t="n">
        <x:v>0</x:v>
      </x:c>
      <x:c r="N946" t="str">
        <x:v>Fully Paid</x:v>
      </x:c>
      <x:c r="O946" t="str">
        <x:f>IF(D946="","Unknown",IF(D946&lt;25000,"&lt;$25k",IF(D946&lt;50000,"$25k-$50k",IF(D946&lt;75000,"$50k-$75k",IF(D946&lt;100000,"$75k-$100k","$100k+")))))</x:f>
        <x:v>$100k+</x:v>
      </x:c>
      <x:c r="P946" t="str">
        <x:f>IF(E946="","Unknown",IF(E946&lt;10,"&lt;10",IF(E946&lt;20,"10-&lt;20",IF(E946&lt;25,"20-&lt;25",IF(E946&lt;35,"25-&lt;35","35+")))))</x:f>
        <x:v>10-&lt;20</x:v>
      </x:c>
    </x:row>
    <x:row r="947">
      <x:c r="A947" t="str">
        <x:v>SYN0000946</x:v>
      </x:c>
      <x:c r="B947" s="12" t="n">
        <x:v>41485</x:v>
      </x:c>
      <x:c r="C947" s="18" t="n">
        <x:v>16790</x:v>
      </x:c>
      <x:c r="D947" s="18" t="n">
        <x:v>26859</x:v>
      </x:c>
      <x:c r="E947" s="18" t="n">
        <x:v>21.14</x:v>
      </x:c>
      <x:c r="F947" s="18" t="n">
        <x:v>17.96</x:v>
      </x:c>
      <x:c r="G947" t="n">
        <x:v>60</x:v>
      </x:c>
      <x:c r="H947" t="str">
        <x:v>E</x:v>
      </x:c>
      <x:c r="I947" t="str">
        <x:v>10+ years</x:v>
      </x:c>
      <x:c r="J947" t="str">
        <x:v>MORTGAGE</x:v>
      </x:c>
      <x:c r="K947" t="str">
        <x:v>debt_consolidation</x:v>
      </x:c>
      <x:c r="L947" t="n">
        <x:v>1</x:v>
      </x:c>
      <x:c r="M947" t="n">
        <x:v>0</x:v>
      </x:c>
      <x:c r="N947" t="str">
        <x:v>Fully Paid</x:v>
      </x:c>
      <x:c r="O947" t="str">
        <x:f>IF(D947="","Unknown",IF(D947&lt;25000,"&lt;$25k",IF(D947&lt;50000,"$25k-$50k",IF(D947&lt;75000,"$50k-$75k",IF(D947&lt;100000,"$75k-$100k","$100k+")))))</x:f>
        <x:v>$25k-$50k</x:v>
      </x:c>
      <x:c r="P947" t="str">
        <x:f>IF(E947="","Unknown",IF(E947&lt;10,"&lt;10",IF(E947&lt;20,"10-&lt;20",IF(E947&lt;25,"20-&lt;25",IF(E947&lt;35,"25-&lt;35","35+")))))</x:f>
        <x:v>20-&lt;25</x:v>
      </x:c>
    </x:row>
    <x:row r="948">
      <x:c r="A948" t="str">
        <x:v>SYN0000947</x:v>
      </x:c>
      <x:c r="B948" s="12" t="n">
        <x:v>41815</x:v>
      </x:c>
      <x:c r="C948" s="18" t="n">
        <x:v>13426</x:v>
      </x:c>
      <x:c r="D948" s="18" t="n">
        <x:v>55661</x:v>
      </x:c>
      <x:c r="E948" s="18" t="n">
        <x:v>19.14</x:v>
      </x:c>
      <x:c r="F948" s="18" t="n">
        <x:v>6.08</x:v>
      </x:c>
      <x:c r="G948" t="n">
        <x:v>60</x:v>
      </x:c>
      <x:c r="H948" t="str">
        <x:v>A</x:v>
      </x:c>
      <x:c r="I948" t="str">
        <x:v>7-9 years</x:v>
      </x:c>
      <x:c r="J948" t="str">
        <x:v>RENT</x:v>
      </x:c>
      <x:c r="K948" t="str">
        <x:v>debt_consolidation</x:v>
      </x:c>
      <x:c r="L948" t="n">
        <x:v>1</x:v>
      </x:c>
      <x:c r="M948" t="n">
        <x:v>0</x:v>
      </x:c>
      <x:c r="N948" t="str">
        <x:v>Fully Paid</x:v>
      </x:c>
      <x:c r="O948" t="str">
        <x:f>IF(D948="","Unknown",IF(D948&lt;25000,"&lt;$25k",IF(D948&lt;50000,"$25k-$50k",IF(D948&lt;75000,"$50k-$75k",IF(D948&lt;100000,"$75k-$100k","$100k+")))))</x:f>
        <x:v>$50k-$75k</x:v>
      </x:c>
      <x:c r="P948" t="str">
        <x:f>IF(E948="","Unknown",IF(E948&lt;10,"&lt;10",IF(E948&lt;20,"10-&lt;20",IF(E948&lt;25,"20-&lt;25",IF(E948&lt;35,"25-&lt;35","35+")))))</x:f>
        <x:v>10-&lt;20</x:v>
      </x:c>
    </x:row>
    <x:row r="949">
      <x:c r="A949" t="str">
        <x:v>SYN0000948</x:v>
      </x:c>
      <x:c r="B949" s="12" t="n">
        <x:v>43315</x:v>
      </x:c>
      <x:c r="C949" s="18" t="n">
        <x:v>12250</x:v>
      </x:c>
      <x:c r="D949" s="18" t="n">
        <x:v>61990</x:v>
      </x:c>
      <x:c r="E949" s="18" t="n">
        <x:v>22.68</x:v>
      </x:c>
      <x:c r="F949" s="18" t="n">
        <x:v>8.94</x:v>
      </x:c>
      <x:c r="G949" t="n">
        <x:v>36</x:v>
      </x:c>
      <x:c r="H949" t="str">
        <x:v>B</x:v>
      </x:c>
      <x:c r="I949" t="str">
        <x:v>7-9 years</x:v>
      </x:c>
      <x:c r="J949" t="str">
        <x:v>MORTGAGE</x:v>
      </x:c>
      <x:c r="K949" t="str">
        <x:v>debt_consolidation</x:v>
      </x:c>
      <x:c r="L949" t="n">
        <x:v>0</x:v>
      </x:c>
      <x:c r="M949" t="n">
        <x:v>0</x:v>
      </x:c>
      <x:c r="N949" t="str">
        <x:v>Fully Paid</x:v>
      </x:c>
      <x:c r="O949" t="str">
        <x:f>IF(D949="","Unknown",IF(D949&lt;25000,"&lt;$25k",IF(D949&lt;50000,"$25k-$50k",IF(D949&lt;75000,"$50k-$75k",IF(D949&lt;100000,"$75k-$100k","$100k+")))))</x:f>
        <x:v>$50k-$75k</x:v>
      </x:c>
      <x:c r="P949" t="str">
        <x:f>IF(E949="","Unknown",IF(E949&lt;10,"&lt;10",IF(E949&lt;20,"10-&lt;20",IF(E949&lt;25,"20-&lt;25",IF(E949&lt;35,"25-&lt;35","35+")))))</x:f>
        <x:v>20-&lt;25</x:v>
      </x:c>
    </x:row>
    <x:row r="950">
      <x:c r="A950" t="str">
        <x:v>SYN0000949</x:v>
      </x:c>
      <x:c r="B950" s="12" t="n">
        <x:v>42175</x:v>
      </x:c>
      <x:c r="C950" s="18" t="n">
        <x:v>23186</x:v>
      </x:c>
      <x:c r="D950" s="18" t="n">
        <x:v>52459</x:v>
      </x:c>
      <x:c r="E950" s="18" t="n">
        <x:v>16.91</x:v>
      </x:c>
      <x:c r="F950" s="18" t="n">
        <x:v>14.57</x:v>
      </x:c>
      <x:c r="G950" t="n">
        <x:v>36</x:v>
      </x:c>
      <x:c r="H950" t="str">
        <x:v>D</x:v>
      </x:c>
      <x:c r="I950" t="str">
        <x:v>4-6 years</x:v>
      </x:c>
      <x:c r="J950" t="str">
        <x:v>MORTGAGE</x:v>
      </x:c>
      <x:c r="K950" t="str">
        <x:v>debt_consolidation</x:v>
      </x:c>
      <x:c r="L950" t="n">
        <x:v>4</x:v>
      </x:c>
      <x:c r="M950" t="n">
        <x:v>1</x:v>
      </x:c>
      <x:c r="N950" t="str">
        <x:v>Charged Off</x:v>
      </x:c>
      <x:c r="O950" t="str">
        <x:f>IF(D950="","Unknown",IF(D950&lt;25000,"&lt;$25k",IF(D950&lt;50000,"$25k-$50k",IF(D950&lt;75000,"$50k-$75k",IF(D950&lt;100000,"$75k-$100k","$100k+")))))</x:f>
        <x:v>$50k-$75k</x:v>
      </x:c>
      <x:c r="P950" t="str">
        <x:f>IF(E950="","Unknown",IF(E950&lt;10,"&lt;10",IF(E950&lt;20,"10-&lt;20",IF(E950&lt;25,"20-&lt;25",IF(E950&lt;35,"25-&lt;35","35+")))))</x:f>
        <x:v>10-&lt;20</x:v>
      </x:c>
    </x:row>
    <x:row r="951">
      <x:c r="A951" t="str">
        <x:v>SYN0000950</x:v>
      </x:c>
      <x:c r="B951" s="12" t="n">
        <x:v>42205</x:v>
      </x:c>
      <x:c r="C951" s="18" t="n">
        <x:v>20835</x:v>
      </x:c>
      <x:c r="D951" s="18" t="n">
        <x:v>69118</x:v>
      </x:c>
      <x:c r="E951" s="18" t="n">
        <x:v>22.84</x:v>
      </x:c>
      <x:c r="F951" s="18" t="n">
        <x:v>7.98</x:v>
      </x:c>
      <x:c r="G951" t="n">
        <x:v>36</x:v>
      </x:c>
      <x:c r="H951" t="str">
        <x:v>B</x:v>
      </x:c>
      <x:c r="I951" t="str">
        <x:v>1-3 years</x:v>
      </x:c>
      <x:c r="J951" t="str">
        <x:v>RENT</x:v>
      </x:c>
      <x:c r="K951" t="str">
        <x:v>credit_card</x:v>
      </x:c>
      <x:c r="L951" t="n">
        <x:v>0</x:v>
      </x:c>
      <x:c r="M951" t="n">
        <x:v>0</x:v>
      </x:c>
      <x:c r="N951" t="str">
        <x:v>Fully Paid</x:v>
      </x:c>
      <x:c r="O951" t="str">
        <x:f>IF(D951="","Unknown",IF(D951&lt;25000,"&lt;$25k",IF(D951&lt;50000,"$25k-$50k",IF(D951&lt;75000,"$50k-$75k",IF(D951&lt;100000,"$75k-$100k","$100k+")))))</x:f>
        <x:v>$50k-$75k</x:v>
      </x:c>
      <x:c r="P951" t="str">
        <x:f>IF(E951="","Unknown",IF(E951&lt;10,"&lt;10",IF(E951&lt;20,"10-&lt;20",IF(E951&lt;25,"20-&lt;25",IF(E951&lt;35,"25-&lt;35","35+")))))</x:f>
        <x:v>20-&lt;25</x:v>
      </x:c>
    </x:row>
    <x:row r="952">
      <x:c r="A952" t="str">
        <x:v>SYN0000951</x:v>
      </x:c>
      <x:c r="B952" s="12" t="n">
        <x:v>41725</x:v>
      </x:c>
      <x:c r="C952" s="18" t="n">
        <x:v>22286</x:v>
      </x:c>
      <x:c r="D952" s="18" t="n">
        <x:v>51210</x:v>
      </x:c>
      <x:c r="E952" s="18" t="n">
        <x:v>28.48</x:v>
      </x:c>
      <x:c r="F952" s="18" t="n">
        <x:v>15.87</x:v>
      </x:c>
      <x:c r="G952" t="n">
        <x:v>60</x:v>
      </x:c>
      <x:c r="H952" t="str">
        <x:v>E</x:v>
      </x:c>
      <x:c r="I952" t="str">
        <x:v>7-9 years</x:v>
      </x:c>
      <x:c r="J952" t="str">
        <x:v>MORTGAGE</x:v>
      </x:c>
      <x:c r="K952" t="str">
        <x:v>credit_card</x:v>
      </x:c>
      <x:c r="L952" t="n">
        <x:v>0</x:v>
      </x:c>
      <x:c r="M952" t="n">
        <x:v>0</x:v>
      </x:c>
      <x:c r="N952" t="str">
        <x:v>Fully Paid</x:v>
      </x:c>
      <x:c r="O952" t="str">
        <x:f>IF(D952="","Unknown",IF(D952&lt;25000,"&lt;$25k",IF(D952&lt;50000,"$25k-$50k",IF(D952&lt;75000,"$50k-$75k",IF(D952&lt;100000,"$75k-$100k","$100k+")))))</x:f>
        <x:v>$50k-$75k</x:v>
      </x:c>
      <x:c r="P952" t="str">
        <x:f>IF(E952="","Unknown",IF(E952&lt;10,"&lt;10",IF(E952&lt;20,"10-&lt;20",IF(E952&lt;25,"20-&lt;25",IF(E952&lt;35,"25-&lt;35","35+")))))</x:f>
        <x:v>25-&lt;35</x:v>
      </x:c>
    </x:row>
    <x:row r="953">
      <x:c r="A953" t="str">
        <x:v>SYN0000952</x:v>
      </x:c>
      <x:c r="B953" s="12" t="n">
        <x:v>42775</x:v>
      </x:c>
      <x:c r="C953" s="18" t="n">
        <x:v>14789</x:v>
      </x:c>
      <x:c r="D953" s="18" t="n">
        <x:v>62722</x:v>
      </x:c>
      <x:c r="E953" s="18" t="n">
        <x:v>19.75</x:v>
      </x:c>
      <x:c r="F953" s="18" t="n">
        <x:v>9.06</x:v>
      </x:c>
      <x:c r="G953" t="n">
        <x:v>36</x:v>
      </x:c>
      <x:c r="H953" t="str">
        <x:v>C</x:v>
      </x:c>
      <x:c r="I953" t="str">
        <x:v>10+ years</x:v>
      </x:c>
      <x:c r="J953" t="str">
        <x:v>OWN</x:v>
      </x:c>
      <x:c r="K953" t="str">
        <x:v>debt_consolidation</x:v>
      </x:c>
      <x:c r="L953" t="n">
        <x:v>0</x:v>
      </x:c>
      <x:c r="M953" t="n">
        <x:v>0</x:v>
      </x:c>
      <x:c r="N953" t="str">
        <x:v>Fully Paid</x:v>
      </x:c>
      <x:c r="O953" t="str">
        <x:f>IF(D953="","Unknown",IF(D953&lt;25000,"&lt;$25k",IF(D953&lt;50000,"$25k-$50k",IF(D953&lt;75000,"$50k-$75k",IF(D953&lt;100000,"$75k-$100k","$100k+")))))</x:f>
        <x:v>$50k-$75k</x:v>
      </x:c>
      <x:c r="P953" t="str">
        <x:f>IF(E953="","Unknown",IF(E953&lt;10,"&lt;10",IF(E953&lt;20,"10-&lt;20",IF(E953&lt;25,"20-&lt;25",IF(E953&lt;35,"25-&lt;35","35+")))))</x:f>
        <x:v>10-&lt;20</x:v>
      </x:c>
    </x:row>
    <x:row r="954">
      <x:c r="A954" t="str">
        <x:v>SYN0000953</x:v>
      </x:c>
      <x:c r="B954" s="12" t="n">
        <x:v>43165</x:v>
      </x:c>
      <x:c r="C954" s="18" t="n">
        <x:v>14413</x:v>
      </x:c>
      <x:c r="D954" s="18" t="n">
        <x:v>61943</x:v>
      </x:c>
      <x:c r="E954" s="18" t="n">
        <x:v>19.79</x:v>
      </x:c>
      <x:c r="F954" s="18" t="n">
        <x:v>11.32</x:v>
      </x:c>
      <x:c r="G954" t="n">
        <x:v>36</x:v>
      </x:c>
      <x:c r="H954" t="str">
        <x:v>C</x:v>
      </x:c>
      <x:c r="I954" t="str">
        <x:v>4-6 years</x:v>
      </x:c>
      <x:c r="J954" t="str">
        <x:v>MORTGAGE</x:v>
      </x:c>
      <x:c r="K954" t="str">
        <x:v>debt_consolidation</x:v>
      </x:c>
      <x:c r="L954" t="n">
        <x:v>2</x:v>
      </x:c>
      <x:c r="M954" t="n">
        <x:v>0</x:v>
      </x:c>
      <x:c r="N954" t="str">
        <x:v>Fully Paid</x:v>
      </x:c>
      <x:c r="O954" t="str">
        <x:f>IF(D954="","Unknown",IF(D954&lt;25000,"&lt;$25k",IF(D954&lt;50000,"$25k-$50k",IF(D954&lt;75000,"$50k-$75k",IF(D954&lt;100000,"$75k-$100k","$100k+")))))</x:f>
        <x:v>$50k-$75k</x:v>
      </x:c>
      <x:c r="P954" t="str">
        <x:f>IF(E954="","Unknown",IF(E954&lt;10,"&lt;10",IF(E954&lt;20,"10-&lt;20",IF(E954&lt;25,"20-&lt;25",IF(E954&lt;35,"25-&lt;35","35+")))))</x:f>
        <x:v>10-&lt;20</x:v>
      </x:c>
    </x:row>
    <x:row r="955">
      <x:c r="A955" t="str">
        <x:v>SYN0000954</x:v>
      </x:c>
      <x:c r="B955" s="12" t="n">
        <x:v>41995</x:v>
      </x:c>
      <x:c r="C955" s="18" t="n">
        <x:v>23995</x:v>
      </x:c>
      <x:c r="D955" s="18" t="n">
        <x:v>24569</x:v>
      </x:c>
      <x:c r="E955" s="18" t="n">
        <x:v>16.88</x:v>
      </x:c>
      <x:c r="F955" s="18" t="n">
        <x:v>12.14</x:v>
      </x:c>
      <x:c r="G955" t="n">
        <x:v>36</x:v>
      </x:c>
      <x:c r="H955" t="str">
        <x:v>C</x:v>
      </x:c>
      <x:c r="I955" t="str">
        <x:v>4-6 years</x:v>
      </x:c>
      <x:c r="J955" t="str">
        <x:v>RENT</x:v>
      </x:c>
      <x:c r="K955" t="str">
        <x:v>credit_card</x:v>
      </x:c>
      <x:c r="L955" t="n">
        <x:v>1</x:v>
      </x:c>
      <x:c r="M955" t="n">
        <x:v>0</x:v>
      </x:c>
      <x:c r="N955" t="str">
        <x:v>Fully Paid</x:v>
      </x:c>
      <x:c r="O955" t="str">
        <x:f>IF(D955="","Unknown",IF(D955&lt;25000,"&lt;$25k",IF(D955&lt;50000,"$25k-$50k",IF(D955&lt;75000,"$50k-$75k",IF(D955&lt;100000,"$75k-$100k","$100k+")))))</x:f>
        <x:v>&lt;$25k</x:v>
      </x:c>
      <x:c r="P955" t="str">
        <x:f>IF(E955="","Unknown",IF(E955&lt;10,"&lt;10",IF(E955&lt;20,"10-&lt;20",IF(E955&lt;25,"20-&lt;25",IF(E955&lt;35,"25-&lt;35","35+")))))</x:f>
        <x:v>10-&lt;20</x:v>
      </x:c>
    </x:row>
    <x:row r="956">
      <x:c r="A956" t="str">
        <x:v>SYN0000955</x:v>
      </x:c>
      <x:c r="B956" s="12" t="n">
        <x:v>43015</x:v>
      </x:c>
      <x:c r="C956" s="18" t="n">
        <x:v>33445</x:v>
      </x:c>
      <x:c r="D956" s="18" t="n">
        <x:v>50888</x:v>
      </x:c>
      <x:c r="E956" s="18" t="n">
        <x:v>26.75</x:v>
      </x:c>
      <x:c r="F956" s="18" t="n">
        <x:v>12.99</x:v>
      </x:c>
      <x:c r="G956" t="n">
        <x:v>36</x:v>
      </x:c>
      <x:c r="H956" t="str">
        <x:v>C</x:v>
      </x:c>
      <x:c r="I956" t="str">
        <x:v>7-9 years</x:v>
      </x:c>
      <x:c r="J956" t="str">
        <x:v>OWN</x:v>
      </x:c>
      <x:c r="K956" t="str">
        <x:v>debt_consolidation</x:v>
      </x:c>
      <x:c r="L956" t="n">
        <x:v>0</x:v>
      </x:c>
      <x:c r="M956" t="n">
        <x:v>0</x:v>
      </x:c>
      <x:c r="N956" t="str">
        <x:v>Fully Paid</x:v>
      </x:c>
      <x:c r="O956" t="str">
        <x:f>IF(D956="","Unknown",IF(D956&lt;25000,"&lt;$25k",IF(D956&lt;50000,"$25k-$50k",IF(D956&lt;75000,"$50k-$75k",IF(D956&lt;100000,"$75k-$100k","$100k+")))))</x:f>
        <x:v>$50k-$75k</x:v>
      </x:c>
      <x:c r="P956" t="str">
        <x:f>IF(E956="","Unknown",IF(E956&lt;10,"&lt;10",IF(E956&lt;20,"10-&lt;20",IF(E956&lt;25,"20-&lt;25",IF(E956&lt;35,"25-&lt;35","35+")))))</x:f>
        <x:v>25-&lt;35</x:v>
      </x:c>
    </x:row>
    <x:row r="957">
      <x:c r="A957" t="str">
        <x:v>SYN0000956</x:v>
      </x:c>
      <x:c r="B957" s="12" t="n">
        <x:v>41305</x:v>
      </x:c>
      <x:c r="C957" s="18" t="n">
        <x:v>11482</x:v>
      </x:c>
      <x:c r="D957" s="18" t="n">
        <x:v>50294</x:v>
      </x:c>
      <x:c r="E957" s="18" t="n">
        <x:v>22.89</x:v>
      </x:c>
      <x:c r="F957" s="18" t="n">
        <x:v>22.92</x:v>
      </x:c>
      <x:c r="G957" t="n">
        <x:v>36</x:v>
      </x:c>
      <x:c r="H957" t="str">
        <x:v>F</x:v>
      </x:c>
      <x:c r="I957" t="str">
        <x:v>7-9 years</x:v>
      </x:c>
      <x:c r="J957" t="str">
        <x:v>MORTGAGE</x:v>
      </x:c>
      <x:c r="K957" t="str">
        <x:v>major_purchase</x:v>
      </x:c>
      <x:c r="L957" t="n">
        <x:v>1</x:v>
      </x:c>
      <x:c r="M957" t="n">
        <x:v>0</x:v>
      </x:c>
      <x:c r="N957" t="str">
        <x:v>Fully Paid</x:v>
      </x:c>
      <x:c r="O957" t="str">
        <x:f>IF(D957="","Unknown",IF(D957&lt;25000,"&lt;$25k",IF(D957&lt;50000,"$25k-$50k",IF(D957&lt;75000,"$50k-$75k",IF(D957&lt;100000,"$75k-$100k","$100k+")))))</x:f>
        <x:v>$50k-$75k</x:v>
      </x:c>
      <x:c r="P957" t="str">
        <x:f>IF(E957="","Unknown",IF(E957&lt;10,"&lt;10",IF(E957&lt;20,"10-&lt;20",IF(E957&lt;25,"20-&lt;25",IF(E957&lt;35,"25-&lt;35","35+")))))</x:f>
        <x:v>20-&lt;25</x:v>
      </x:c>
    </x:row>
    <x:row r="958">
      <x:c r="A958" t="str">
        <x:v>SYN0000957</x:v>
      </x:c>
      <x:c r="B958" s="12" t="n">
        <x:v>43195</x:v>
      </x:c>
      <x:c r="C958" s="18" t="n">
        <x:v>7984</x:v>
      </x:c>
      <x:c r="D958" s="18" t="n">
        <x:v>113487</x:v>
      </x:c>
      <x:c r="E958" s="18" t="n">
        <x:v>29.47</x:v>
      </x:c>
      <x:c r="F958" s="18" t="n">
        <x:v>12</x:v>
      </x:c>
      <x:c r="G958" t="n">
        <x:v>60</x:v>
      </x:c>
      <x:c r="H958" t="str">
        <x:v>D</x:v>
      </x:c>
      <x:c r="I958" t="str">
        <x:v>&lt;1 year</x:v>
      </x:c>
      <x:c r="J958" t="str">
        <x:v>RENT</x:v>
      </x:c>
      <x:c r="K958" t="str">
        <x:v>debt_consolidation</x:v>
      </x:c>
      <x:c r="L958" t="n">
        <x:v>1</x:v>
      </x:c>
      <x:c r="M958" t="n">
        <x:v>0</x:v>
      </x:c>
      <x:c r="N958" t="str">
        <x:v>Fully Paid</x:v>
      </x:c>
      <x:c r="O958" t="str">
        <x:f>IF(D958="","Unknown",IF(D958&lt;25000,"&lt;$25k",IF(D958&lt;50000,"$25k-$50k",IF(D958&lt;75000,"$50k-$75k",IF(D958&lt;100000,"$75k-$100k","$100k+")))))</x:f>
        <x:v>$100k+</x:v>
      </x:c>
      <x:c r="P958" t="str">
        <x:f>IF(E958="","Unknown",IF(E958&lt;10,"&lt;10",IF(E958&lt;20,"10-&lt;20",IF(E958&lt;25,"20-&lt;25",IF(E958&lt;35,"25-&lt;35","35+")))))</x:f>
        <x:v>25-&lt;35</x:v>
      </x:c>
    </x:row>
    <x:row r="959">
      <x:c r="A959" t="str">
        <x:v>SYN0000958</x:v>
      </x:c>
      <x:c r="B959" s="12" t="n">
        <x:v>41845</x:v>
      </x:c>
      <x:c r="C959" s="18" t="n">
        <x:v>7980</x:v>
      </x:c>
      <x:c r="D959" s="18" t="n">
        <x:v>106873</x:v>
      </x:c>
      <x:c r="E959" s="18" t="n">
        <x:v>24.8</x:v>
      </x:c>
      <x:c r="F959" s="18" t="n">
        <x:v>22.26</x:v>
      </x:c>
      <x:c r="G959" t="n">
        <x:v>60</x:v>
      </x:c>
      <x:c r="H959" t="str">
        <x:v>G</x:v>
      </x:c>
      <x:c r="I959" t="str">
        <x:v>&lt;1 year</x:v>
      </x:c>
      <x:c r="J959" t="str">
        <x:v>OWN</x:v>
      </x:c>
      <x:c r="K959" t="str">
        <x:v>debt_consolidation</x:v>
      </x:c>
      <x:c r="L959" t="n">
        <x:v>0</x:v>
      </x:c>
      <x:c r="M959" t="n">
        <x:v>0</x:v>
      </x:c>
      <x:c r="N959" t="str">
        <x:v>Fully Paid</x:v>
      </x:c>
      <x:c r="O959" t="str">
        <x:f>IF(D959="","Unknown",IF(D959&lt;25000,"&lt;$25k",IF(D959&lt;50000,"$25k-$50k",IF(D959&lt;75000,"$50k-$75k",IF(D959&lt;100000,"$75k-$100k","$100k+")))))</x:f>
        <x:v>$100k+</x:v>
      </x:c>
      <x:c r="P959" t="str">
        <x:f>IF(E959="","Unknown",IF(E959&lt;10,"&lt;10",IF(E959&lt;20,"10-&lt;20",IF(E959&lt;25,"20-&lt;25",IF(E959&lt;35,"25-&lt;35","35+")))))</x:f>
        <x:v>20-&lt;25</x:v>
      </x:c>
    </x:row>
    <x:row r="960">
      <x:c r="A960" t="str">
        <x:v>SYN0000959</x:v>
      </x:c>
      <x:c r="B960" s="12" t="n">
        <x:v>42865</x:v>
      </x:c>
      <x:c r="C960" s="18" t="n">
        <x:v>20352</x:v>
      </x:c>
      <x:c r="D960" s="18" t="n">
        <x:v>63104</x:v>
      </x:c>
      <x:c r="E960" s="18" t="n">
        <x:v>21.34</x:v>
      </x:c>
      <x:c r="F960" s="18" t="n">
        <x:v>11.47</x:v>
      </x:c>
      <x:c r="G960" t="n">
        <x:v>36</x:v>
      </x:c>
      <x:c r="H960" t="str">
        <x:v>C</x:v>
      </x:c>
      <x:c r="I960" t="str">
        <x:v>7-9 years</x:v>
      </x:c>
      <x:c r="J960" t="str">
        <x:v>MORTGAGE</x:v>
      </x:c>
      <x:c r="K960" t="str">
        <x:v>debt_consolidation</x:v>
      </x:c>
      <x:c r="L960" t="n">
        <x:v>0</x:v>
      </x:c>
      <x:c r="M960" t="n">
        <x:v>0</x:v>
      </x:c>
      <x:c r="N960" t="str">
        <x:v>Fully Paid</x:v>
      </x:c>
      <x:c r="O960" t="str">
        <x:f>IF(D960="","Unknown",IF(D960&lt;25000,"&lt;$25k",IF(D960&lt;50000,"$25k-$50k",IF(D960&lt;75000,"$50k-$75k",IF(D960&lt;100000,"$75k-$100k","$100k+")))))</x:f>
        <x:v>$50k-$75k</x:v>
      </x:c>
      <x:c r="P960" t="str">
        <x:f>IF(E960="","Unknown",IF(E960&lt;10,"&lt;10",IF(E960&lt;20,"10-&lt;20",IF(E960&lt;25,"20-&lt;25",IF(E960&lt;35,"25-&lt;35","35+")))))</x:f>
        <x:v>20-&lt;25</x:v>
      </x:c>
    </x:row>
    <x:row r="961">
      <x:c r="A961" t="str">
        <x:v>SYN0000960</x:v>
      </x:c>
      <x:c r="B961" s="12" t="n">
        <x:v>42655</x:v>
      </x:c>
      <x:c r="C961" s="18" t="n">
        <x:v>16683</x:v>
      </x:c>
      <x:c r="D961" s="18" t="n">
        <x:v>60164</x:v>
      </x:c>
      <x:c r="E961" s="18" t="n">
        <x:v>30.31</x:v>
      </x:c>
      <x:c r="F961" s="18" t="n">
        <x:v>8.38</x:v>
      </x:c>
      <x:c r="G961" t="n">
        <x:v>60</x:v>
      </x:c>
      <x:c r="H961" t="str">
        <x:v>B</x:v>
      </x:c>
      <x:c r="I961" t="str">
        <x:v>1-3 years</x:v>
      </x:c>
      <x:c r="J961" t="str">
        <x:v>MORTGAGE</x:v>
      </x:c>
      <x:c r="K961" t="str">
        <x:v>debt_consolidation</x:v>
      </x:c>
      <x:c r="L961" t="n">
        <x:v>1</x:v>
      </x:c>
      <x:c r="M961" t="n">
        <x:v>0</x:v>
      </x:c>
      <x:c r="N961" t="str">
        <x:v>Fully Paid</x:v>
      </x:c>
      <x:c r="O961" t="str">
        <x:f>IF(D961="","Unknown",IF(D961&lt;25000,"&lt;$25k",IF(D961&lt;50000,"$25k-$50k",IF(D961&lt;75000,"$50k-$75k",IF(D961&lt;100000,"$75k-$100k","$100k+")))))</x:f>
        <x:v>$50k-$75k</x:v>
      </x:c>
      <x:c r="P961" t="str">
        <x:f>IF(E961="","Unknown",IF(E961&lt;10,"&lt;10",IF(E961&lt;20,"10-&lt;20",IF(E961&lt;25,"20-&lt;25",IF(E961&lt;35,"25-&lt;35","35+")))))</x:f>
        <x:v>25-&lt;35</x:v>
      </x:c>
    </x:row>
    <x:row r="962">
      <x:c r="A962" t="str">
        <x:v>SYN0000961</x:v>
      </x:c>
      <x:c r="B962" s="12" t="n">
        <x:v>42385</x:v>
      </x:c>
      <x:c r="C962" s="18" t="n">
        <x:v>12094</x:v>
      </x:c>
      <x:c r="D962" s="18" t="n">
        <x:v>140450</x:v>
      </x:c>
      <x:c r="E962" s="18" t="n">
        <x:v>17.94</x:v>
      </x:c>
      <x:c r="F962" s="18" t="n">
        <x:v>9.6</x:v>
      </x:c>
      <x:c r="G962" t="n">
        <x:v>36</x:v>
      </x:c>
      <x:c r="H962" t="str">
        <x:v>C</x:v>
      </x:c>
      <x:c r="I962" t="str">
        <x:v>1-3 years</x:v>
      </x:c>
      <x:c r="J962" t="str">
        <x:v>MORTGAGE</x:v>
      </x:c>
      <x:c r="K962" t="str">
        <x:v>medical</x:v>
      </x:c>
      <x:c r="L962" t="n">
        <x:v>0</x:v>
      </x:c>
      <x:c r="M962" t="n">
        <x:v>0</x:v>
      </x:c>
      <x:c r="N962" t="str">
        <x:v>Fully Paid</x:v>
      </x:c>
      <x:c r="O962" t="str">
        <x:f>IF(D962="","Unknown",IF(D962&lt;25000,"&lt;$25k",IF(D962&lt;50000,"$25k-$50k",IF(D962&lt;75000,"$50k-$75k",IF(D962&lt;100000,"$75k-$100k","$100k+")))))</x:f>
        <x:v>$100k+</x:v>
      </x:c>
      <x:c r="P962" t="str">
        <x:f>IF(E962="","Unknown",IF(E962&lt;10,"&lt;10",IF(E962&lt;20,"10-&lt;20",IF(E962&lt;25,"20-&lt;25",IF(E962&lt;35,"25-&lt;35","35+")))))</x:f>
        <x:v>10-&lt;20</x:v>
      </x:c>
    </x:row>
    <x:row r="963">
      <x:c r="A963" t="str">
        <x:v>SYN0000962</x:v>
      </x:c>
      <x:c r="B963" s="12" t="n">
        <x:v>42925</x:v>
      </x:c>
      <x:c r="C963" s="18" t="n">
        <x:v>14287</x:v>
      </x:c>
      <x:c r="D963" s="18" t="n">
        <x:v>95207</x:v>
      </x:c>
      <x:c r="E963" s="18" t="n">
        <x:v>12.23</x:v>
      </x:c>
      <x:c r="F963" s="18" t="n">
        <x:v>10.42</x:v>
      </x:c>
      <x:c r="G963" t="n">
        <x:v>60</x:v>
      </x:c>
      <x:c r="H963" t="str">
        <x:v>B</x:v>
      </x:c>
      <x:c r="I963" t="str">
        <x:v>1-3 years</x:v>
      </x:c>
      <x:c r="J963" t="str">
        <x:v>MORTGAGE</x:v>
      </x:c>
      <x:c r="K963" t="str">
        <x:v>home_improvement</x:v>
      </x:c>
      <x:c r="L963" t="n">
        <x:v>0</x:v>
      </x:c>
      <x:c r="M963" t="n">
        <x:v>0</x:v>
      </x:c>
      <x:c r="N963" t="str">
        <x:v>Fully Paid</x:v>
      </x:c>
      <x:c r="O963" t="str">
        <x:f>IF(D963="","Unknown",IF(D963&lt;25000,"&lt;$25k",IF(D963&lt;50000,"$25k-$50k",IF(D963&lt;75000,"$50k-$75k",IF(D963&lt;100000,"$75k-$100k","$100k+")))))</x:f>
        <x:v>$75k-$100k</x:v>
      </x:c>
      <x:c r="P963" t="str">
        <x:f>IF(E963="","Unknown",IF(E963&lt;10,"&lt;10",IF(E963&lt;20,"10-&lt;20",IF(E963&lt;25,"20-&lt;25",IF(E963&lt;35,"25-&lt;35","35+")))))</x:f>
        <x:v>10-&lt;20</x:v>
      </x:c>
    </x:row>
    <x:row r="964">
      <x:c r="A964" t="str">
        <x:v>SYN0000963</x:v>
      </x:c>
      <x:c r="B964" s="12" t="n">
        <x:v>41395</x:v>
      </x:c>
      <x:c r="C964" s="18" t="n">
        <x:v>12034</x:v>
      </x:c>
      <x:c r="D964" s="18" t="n">
        <x:v>63153</x:v>
      </x:c>
      <x:c r="E964" s="18" t="n">
        <x:v>28.07</x:v>
      </x:c>
      <x:c r="F964" s="18" t="n">
        <x:v>19.28</x:v>
      </x:c>
      <x:c r="G964" t="n">
        <x:v>36</x:v>
      </x:c>
      <x:c r="H964" t="str">
        <x:v>E</x:v>
      </x:c>
      <x:c r="I964" t="str">
        <x:v>&lt;1 year</x:v>
      </x:c>
      <x:c r="J964" t="str">
        <x:v>RENT</x:v>
      </x:c>
      <x:c r="K964" t="str">
        <x:v>debt_consolidation</x:v>
      </x:c>
      <x:c r="L964" t="n">
        <x:v>0</x:v>
      </x:c>
      <x:c r="M964" t="n">
        <x:v>0</x:v>
      </x:c>
      <x:c r="N964" t="str">
        <x:v>Fully Paid</x:v>
      </x:c>
      <x:c r="O964" t="str">
        <x:f>IF(D964="","Unknown",IF(D964&lt;25000,"&lt;$25k",IF(D964&lt;50000,"$25k-$50k",IF(D964&lt;75000,"$50k-$75k",IF(D964&lt;100000,"$75k-$100k","$100k+")))))</x:f>
        <x:v>$50k-$75k</x:v>
      </x:c>
      <x:c r="P964" t="str">
        <x:f>IF(E964="","Unknown",IF(E964&lt;10,"&lt;10",IF(E964&lt;20,"10-&lt;20",IF(E964&lt;25,"20-&lt;25",IF(E964&lt;35,"25-&lt;35","35+")))))</x:f>
        <x:v>25-&lt;35</x:v>
      </x:c>
    </x:row>
    <x:row r="965">
      <x:c r="A965" t="str">
        <x:v>SYN0000964</x:v>
      </x:c>
      <x:c r="B965" s="12" t="n">
        <x:v>42865</x:v>
      </x:c>
      <x:c r="C965" s="18" t="n">
        <x:v>17672</x:v>
      </x:c>
      <x:c r="D965" s="18" t="n">
        <x:v>32001</x:v>
      </x:c>
      <x:c r="E965" s="18" t="n">
        <x:v>20.02</x:v>
      </x:c>
      <x:c r="F965" s="18" t="n">
        <x:v>25.93</x:v>
      </x:c>
      <x:c r="G965" t="n">
        <x:v>36</x:v>
      </x:c>
      <x:c r="H965" t="str">
        <x:v>G</x:v>
      </x:c>
      <x:c r="I965" t="str">
        <x:v>7-9 years</x:v>
      </x:c>
      <x:c r="J965" t="str">
        <x:v>MORTGAGE</x:v>
      </x:c>
      <x:c r="K965" t="str">
        <x:v>debt_consolidation</x:v>
      </x:c>
      <x:c r="L965" t="n">
        <x:v>2</x:v>
      </x:c>
      <x:c r="M965" t="n">
        <x:v>1</x:v>
      </x:c>
      <x:c r="N965" t="str">
        <x:v>Charged Off</x:v>
      </x:c>
      <x:c r="O965" t="str">
        <x:f>IF(D965="","Unknown",IF(D965&lt;25000,"&lt;$25k",IF(D965&lt;50000,"$25k-$50k",IF(D965&lt;75000,"$50k-$75k",IF(D965&lt;100000,"$75k-$100k","$100k+")))))</x:f>
        <x:v>$25k-$50k</x:v>
      </x:c>
      <x:c r="P965" t="str">
        <x:f>IF(E965="","Unknown",IF(E965&lt;10,"&lt;10",IF(E965&lt;20,"10-&lt;20",IF(E965&lt;25,"20-&lt;25",IF(E965&lt;35,"25-&lt;35","35+")))))</x:f>
        <x:v>20-&lt;25</x:v>
      </x:c>
    </x:row>
    <x:row r="966">
      <x:c r="A966" t="str">
        <x:v>SYN0000965</x:v>
      </x:c>
      <x:c r="B966" s="12" t="n">
        <x:v>42085</x:v>
      </x:c>
      <x:c r="C966" s="18" t="n">
        <x:v>5492</x:v>
      </x:c>
      <x:c r="D966" s="18" t="n">
        <x:v>58760</x:v>
      </x:c>
      <x:c r="E966" s="18" t="n">
        <x:v>16.99</x:v>
      </x:c>
      <x:c r="F966" s="18" t="n">
        <x:v>11.21</x:v>
      </x:c>
      <x:c r="G966" t="n">
        <x:v>36</x:v>
      </x:c>
      <x:c r="H966" t="str">
        <x:v>C</x:v>
      </x:c>
      <x:c r="I966" t="str">
        <x:v>4-6 years</x:v>
      </x:c>
      <x:c r="J966" t="str">
        <x:v>MORTGAGE</x:v>
      </x:c>
      <x:c r="K966" t="str">
        <x:v>other</x:v>
      </x:c>
      <x:c r="L966" t="n">
        <x:v>0</x:v>
      </x:c>
      <x:c r="M966" t="n">
        <x:v>0</x:v>
      </x:c>
      <x:c r="N966" t="str">
        <x:v>Fully Paid</x:v>
      </x:c>
      <x:c r="O966" t="str">
        <x:f>IF(D966="","Unknown",IF(D966&lt;25000,"&lt;$25k",IF(D966&lt;50000,"$25k-$50k",IF(D966&lt;75000,"$50k-$75k",IF(D966&lt;100000,"$75k-$100k","$100k+")))))</x:f>
        <x:v>$50k-$75k</x:v>
      </x:c>
      <x:c r="P966" t="str">
        <x:f>IF(E966="","Unknown",IF(E966&lt;10,"&lt;10",IF(E966&lt;20,"10-&lt;20",IF(E966&lt;25,"20-&lt;25",IF(E966&lt;35,"25-&lt;35","35+")))))</x:f>
        <x:v>10-&lt;20</x:v>
      </x:c>
    </x:row>
    <x:row r="967">
      <x:c r="A967" t="str">
        <x:v>SYN0000966</x:v>
      </x:c>
      <x:c r="B967" s="12" t="n">
        <x:v>43075</x:v>
      </x:c>
      <x:c r="C967" s="18" t="n">
        <x:v>8106</x:v>
      </x:c>
      <x:c r="D967" s="18" t="n">
        <x:v>12000</x:v>
      </x:c>
      <x:c r="E967" s="18" t="n">
        <x:v>19</x:v>
      </x:c>
      <x:c r="F967" s="18" t="n">
        <x:v>8.31</x:v>
      </x:c>
      <x:c r="G967" t="n">
        <x:v>60</x:v>
      </x:c>
      <x:c r="H967" t="str">
        <x:v>B</x:v>
      </x:c>
      <x:c r="I967" t="str">
        <x:v>4-6 years</x:v>
      </x:c>
      <x:c r="J967" t="str">
        <x:v>RENT</x:v>
      </x:c>
      <x:c r="K967" t="str">
        <x:v>medical</x:v>
      </x:c>
      <x:c r="L967" t="n">
        <x:v>0</x:v>
      </x:c>
      <x:c r="M967" t="n">
        <x:v>0</x:v>
      </x:c>
      <x:c r="N967" t="str">
        <x:v>Fully Paid</x:v>
      </x:c>
      <x:c r="O967" t="str">
        <x:f>IF(D967="","Unknown",IF(D967&lt;25000,"&lt;$25k",IF(D967&lt;50000,"$25k-$50k",IF(D967&lt;75000,"$50k-$75k",IF(D967&lt;100000,"$75k-$100k","$100k+")))))</x:f>
        <x:v>&lt;$25k</x:v>
      </x:c>
      <x:c r="P967" t="str">
        <x:f>IF(E967="","Unknown",IF(E967&lt;10,"&lt;10",IF(E967&lt;20,"10-&lt;20",IF(E967&lt;25,"20-&lt;25",IF(E967&lt;35,"25-&lt;35","35+")))))</x:f>
        <x:v>10-&lt;20</x:v>
      </x:c>
    </x:row>
    <x:row r="968">
      <x:c r="A968" t="str">
        <x:v>SYN0000967</x:v>
      </x:c>
      <x:c r="B968" s="12" t="n">
        <x:v>42685</x:v>
      </x:c>
      <x:c r="C968" s="18" t="n">
        <x:v>14236</x:v>
      </x:c>
      <x:c r="D968" s="18" t="n">
        <x:v>29125</x:v>
      </x:c>
      <x:c r="E968" s="18" t="n">
        <x:v>30.75</x:v>
      </x:c>
      <x:c r="F968" s="18" t="n">
        <x:v>9.49</x:v>
      </x:c>
      <x:c r="G968" t="n">
        <x:v>36</x:v>
      </x:c>
      <x:c r="H968" t="str">
        <x:v>B</x:v>
      </x:c>
      <x:c r="I968" t="str">
        <x:v>1-3 years</x:v>
      </x:c>
      <x:c r="J968" t="str">
        <x:v>RENT</x:v>
      </x:c>
      <x:c r="K968" t="str">
        <x:v>major_purchase</x:v>
      </x:c>
      <x:c r="L968" t="n">
        <x:v>1</x:v>
      </x:c>
      <x:c r="M968" t="n">
        <x:v>1</x:v>
      </x:c>
      <x:c r="N968" t="str">
        <x:v>Charged Off</x:v>
      </x:c>
      <x:c r="O968" t="str">
        <x:f>IF(D968="","Unknown",IF(D968&lt;25000,"&lt;$25k",IF(D968&lt;50000,"$25k-$50k",IF(D968&lt;75000,"$50k-$75k",IF(D968&lt;100000,"$75k-$100k","$100k+")))))</x:f>
        <x:v>$25k-$50k</x:v>
      </x:c>
      <x:c r="P968" t="str">
        <x:f>IF(E968="","Unknown",IF(E968&lt;10,"&lt;10",IF(E968&lt;20,"10-&lt;20",IF(E968&lt;25,"20-&lt;25",IF(E968&lt;35,"25-&lt;35","35+")))))</x:f>
        <x:v>25-&lt;35</x:v>
      </x:c>
    </x:row>
    <x:row r="969">
      <x:c r="A969" t="str">
        <x:v>SYN0000968</x:v>
      </x:c>
      <x:c r="B969" s="12" t="n">
        <x:v>41995</x:v>
      </x:c>
      <x:c r="C969" s="18" t="n">
        <x:v>13767</x:v>
      </x:c>
      <x:c r="D969" s="18" t="n">
        <x:v>67612</x:v>
      </x:c>
      <x:c r="E969" s="18" t="n">
        <x:v>19.87</x:v>
      </x:c>
      <x:c r="F969" s="18" t="n">
        <x:v>17.13</x:v>
      </x:c>
      <x:c r="G969" t="n">
        <x:v>36</x:v>
      </x:c>
      <x:c r="H969" t="str">
        <x:v>D</x:v>
      </x:c>
      <x:c r="I969" t="str">
        <x:v>10+ years</x:v>
      </x:c>
      <x:c r="J969" t="str">
        <x:v>MORTGAGE</x:v>
      </x:c>
      <x:c r="K969" t="str">
        <x:v>other</x:v>
      </x:c>
      <x:c r="L969" t="n">
        <x:v>0</x:v>
      </x:c>
      <x:c r="M969" t="n">
        <x:v>0</x:v>
      </x:c>
      <x:c r="N969" t="str">
        <x:v>Fully Paid</x:v>
      </x:c>
      <x:c r="O969" t="str">
        <x:f>IF(D969="","Unknown",IF(D969&lt;25000,"&lt;$25k",IF(D969&lt;50000,"$25k-$50k",IF(D969&lt;75000,"$50k-$75k",IF(D969&lt;100000,"$75k-$100k","$100k+")))))</x:f>
        <x:v>$50k-$75k</x:v>
      </x:c>
      <x:c r="P969" t="str">
        <x:f>IF(E969="","Unknown",IF(E969&lt;10,"&lt;10",IF(E969&lt;20,"10-&lt;20",IF(E969&lt;25,"20-&lt;25",IF(E969&lt;35,"25-&lt;35","35+")))))</x:f>
        <x:v>10-&lt;20</x:v>
      </x:c>
    </x:row>
    <x:row r="970">
      <x:c r="A970" t="str">
        <x:v>SYN0000969</x:v>
      </x:c>
      <x:c r="B970" s="12" t="n">
        <x:v>41515</x:v>
      </x:c>
      <x:c r="C970" s="18" t="n">
        <x:v>16089</x:v>
      </x:c>
      <x:c r="D970" s="18" t="n">
        <x:v>49960</x:v>
      </x:c>
      <x:c r="E970" s="18" t="n">
        <x:v>18.44</x:v>
      </x:c>
      <x:c r="F970" s="18" t="n">
        <x:v>22.93</x:v>
      </x:c>
      <x:c r="G970" t="n">
        <x:v>36</x:v>
      </x:c>
      <x:c r="H970" t="str">
        <x:v>F</x:v>
      </x:c>
      <x:c r="I970" t="str">
        <x:v>10+ years</x:v>
      </x:c>
      <x:c r="J970" t="str">
        <x:v>RENT</x:v>
      </x:c>
      <x:c r="K970" t="str">
        <x:v>debt_consolidation</x:v>
      </x:c>
      <x:c r="L970" t="n">
        <x:v>1</x:v>
      </x:c>
      <x:c r="M970" t="n">
        <x:v>0</x:v>
      </x:c>
      <x:c r="N970" t="str">
        <x:v>Fully Paid</x:v>
      </x:c>
      <x:c r="O970" t="str">
        <x:f>IF(D970="","Unknown",IF(D970&lt;25000,"&lt;$25k",IF(D970&lt;50000,"$25k-$50k",IF(D970&lt;75000,"$50k-$75k",IF(D970&lt;100000,"$75k-$100k","$100k+")))))</x:f>
        <x:v>$25k-$50k</x:v>
      </x:c>
      <x:c r="P970" t="str">
        <x:f>IF(E970="","Unknown",IF(E970&lt;10,"&lt;10",IF(E970&lt;20,"10-&lt;20",IF(E970&lt;25,"20-&lt;25",IF(E970&lt;35,"25-&lt;35","35+")))))</x:f>
        <x:v>10-&lt;20</x:v>
      </x:c>
    </x:row>
    <x:row r="971">
      <x:c r="A971" t="str">
        <x:v>SYN0000970</x:v>
      </x:c>
      <x:c r="B971" s="12" t="n">
        <x:v>41755</x:v>
      </x:c>
      <x:c r="C971" s="18" t="n">
        <x:v>24824</x:v>
      </x:c>
      <x:c r="D971" s="18" t="n">
        <x:v>34286</x:v>
      </x:c>
      <x:c r="E971" s="18" t="n">
        <x:v>0</x:v>
      </x:c>
      <x:c r="F971" s="18" t="n">
        <x:v>5.3</x:v>
      </x:c>
      <x:c r="G971" t="n">
        <x:v>36</x:v>
      </x:c>
      <x:c r="H971" t="str">
        <x:v>B</x:v>
      </x:c>
      <x:c r="I971" t="str">
        <x:v>7-9 years</x:v>
      </x:c>
      <x:c r="J971" t="str">
        <x:v>OWN</x:v>
      </x:c>
      <x:c r="K971" t="str">
        <x:v>debt_consolidation</x:v>
      </x:c>
      <x:c r="L971" t="n">
        <x:v>0</x:v>
      </x:c>
      <x:c r="M971" t="n">
        <x:v>0</x:v>
      </x:c>
      <x:c r="N971" t="str">
        <x:v>Fully Paid</x:v>
      </x:c>
      <x:c r="O971" t="str">
        <x:f>IF(D971="","Unknown",IF(D971&lt;25000,"&lt;$25k",IF(D971&lt;50000,"$25k-$50k",IF(D971&lt;75000,"$50k-$75k",IF(D971&lt;100000,"$75k-$100k","$100k+")))))</x:f>
        <x:v>$25k-$50k</x:v>
      </x:c>
      <x:c r="P971" t="str">
        <x:f>IF(E971="","Unknown",IF(E971&lt;10,"&lt;10",IF(E971&lt;20,"10-&lt;20",IF(E971&lt;25,"20-&lt;25",IF(E971&lt;35,"25-&lt;35","35+")))))</x:f>
        <x:v>Unknown</x:v>
      </x:c>
    </x:row>
    <x:row r="972">
      <x:c r="A972" t="str">
        <x:v>SYN0000971</x:v>
      </x:c>
      <x:c r="B972" s="12" t="n">
        <x:v>43315</x:v>
      </x:c>
      <x:c r="C972" s="18" t="n">
        <x:v>10238</x:v>
      </x:c>
      <x:c r="D972" s="18" t="n">
        <x:v>71361</x:v>
      </x:c>
      <x:c r="E972" s="18" t="n">
        <x:v>19.15</x:v>
      </x:c>
      <x:c r="F972" s="18" t="n">
        <x:v>8.52</x:v>
      </x:c>
      <x:c r="G972" t="n">
        <x:v>36</x:v>
      </x:c>
      <x:c r="H972" t="str">
        <x:v>B</x:v>
      </x:c>
      <x:c r="I972" t="str">
        <x:v>1-3 years</x:v>
      </x:c>
      <x:c r="J972" t="str">
        <x:v>OWN</x:v>
      </x:c>
      <x:c r="K972" t="str">
        <x:v>debt_consolidation</x:v>
      </x:c>
      <x:c r="L972" t="n">
        <x:v>0</x:v>
      </x:c>
      <x:c r="M972" t="n">
        <x:v>0</x:v>
      </x:c>
      <x:c r="N972" t="str">
        <x:v>Fully Paid</x:v>
      </x:c>
      <x:c r="O972" t="str">
        <x:f>IF(D972="","Unknown",IF(D972&lt;25000,"&lt;$25k",IF(D972&lt;50000,"$25k-$50k",IF(D972&lt;75000,"$50k-$75k",IF(D972&lt;100000,"$75k-$100k","$100k+")))))</x:f>
        <x:v>$50k-$75k</x:v>
      </x:c>
      <x:c r="P972" t="str">
        <x:f>IF(E972="","Unknown",IF(E972&lt;10,"&lt;10",IF(E972&lt;20,"10-&lt;20",IF(E972&lt;25,"20-&lt;25",IF(E972&lt;35,"25-&lt;35","35+")))))</x:f>
        <x:v>10-&lt;20</x:v>
      </x:c>
    </x:row>
    <x:row r="973">
      <x:c r="A973" t="str">
        <x:v>SYN0000972</x:v>
      </x:c>
      <x:c r="B973" s="12" t="n">
        <x:v>42625</x:v>
      </x:c>
      <x:c r="C973" s="18" t="n">
        <x:v>5784</x:v>
      </x:c>
      <x:c r="D973" s="18" t="n">
        <x:v>62121</x:v>
      </x:c>
      <x:c r="E973" s="18" t="n">
        <x:v>27.01</x:v>
      </x:c>
      <x:c r="F973" s="18" t="n">
        <x:v>13.55</x:v>
      </x:c>
      <x:c r="G973" t="n">
        <x:v>36</x:v>
      </x:c>
      <x:c r="H973" t="str">
        <x:v>C</x:v>
      </x:c>
      <x:c r="I973" t="str">
        <x:v>7-9 years</x:v>
      </x:c>
      <x:c r="J973" t="str">
        <x:v>MORTGAGE</x:v>
      </x:c>
      <x:c r="K973" t="str">
        <x:v>debt_consolidation</x:v>
      </x:c>
      <x:c r="L973" t="n">
        <x:v>0</x:v>
      </x:c>
      <x:c r="M973" t="n">
        <x:v>0</x:v>
      </x:c>
      <x:c r="N973" t="str">
        <x:v>Fully Paid</x:v>
      </x:c>
      <x:c r="O973" t="str">
        <x:f>IF(D973="","Unknown",IF(D973&lt;25000,"&lt;$25k",IF(D973&lt;50000,"$25k-$50k",IF(D973&lt;75000,"$50k-$75k",IF(D973&lt;100000,"$75k-$100k","$100k+")))))</x:f>
        <x:v>$50k-$75k</x:v>
      </x:c>
      <x:c r="P973" t="str">
        <x:f>IF(E973="","Unknown",IF(E973&lt;10,"&lt;10",IF(E973&lt;20,"10-&lt;20",IF(E973&lt;25,"20-&lt;25",IF(E973&lt;35,"25-&lt;35","35+")))))</x:f>
        <x:v>25-&lt;35</x:v>
      </x:c>
    </x:row>
    <x:row r="974">
      <x:c r="A974" t="str">
        <x:v>SYN0000973</x:v>
      </x:c>
      <x:c r="B974" s="12" t="n">
        <x:v>42475</x:v>
      </x:c>
      <x:c r="C974" s="18" t="n">
        <x:v>11694</x:v>
      </x:c>
      <x:c r="D974" s="18" t="n">
        <x:v>54791</x:v>
      </x:c>
      <x:c r="E974" s="18" t="n">
        <x:v>27.99</x:v>
      </x:c>
      <x:c r="F974" s="18" t="n">
        <x:v>16.62</x:v>
      </x:c>
      <x:c r="G974" t="n">
        <x:v>36</x:v>
      </x:c>
      <x:c r="H974" t="str">
        <x:v>D</x:v>
      </x:c>
      <x:c r="I974" t="str">
        <x:v>10+ years</x:v>
      </x:c>
      <x:c r="J974" t="str">
        <x:v>RENT</x:v>
      </x:c>
      <x:c r="K974" t="str">
        <x:v>debt_consolidation</x:v>
      </x:c>
      <x:c r="L974" t="n">
        <x:v>0</x:v>
      </x:c>
      <x:c r="M974" t="n">
        <x:v>0</x:v>
      </x:c>
      <x:c r="N974" t="str">
        <x:v>Fully Paid</x:v>
      </x:c>
      <x:c r="O974" t="str">
        <x:f>IF(D974="","Unknown",IF(D974&lt;25000,"&lt;$25k",IF(D974&lt;50000,"$25k-$50k",IF(D974&lt;75000,"$50k-$75k",IF(D974&lt;100000,"$75k-$100k","$100k+")))))</x:f>
        <x:v>$50k-$75k</x:v>
      </x:c>
      <x:c r="P974" t="str">
        <x:f>IF(E974="","Unknown",IF(E974&lt;10,"&lt;10",IF(E974&lt;20,"10-&lt;20",IF(E974&lt;25,"20-&lt;25",IF(E974&lt;35,"25-&lt;35","35+")))))</x:f>
        <x:v>25-&lt;35</x:v>
      </x:c>
    </x:row>
    <x:row r="975">
      <x:c r="A975" t="str">
        <x:v>SYN0000974</x:v>
      </x:c>
      <x:c r="B975" s="12" t="n">
        <x:v>41935</x:v>
      </x:c>
      <x:c r="C975" s="18" t="n">
        <x:v>11530</x:v>
      </x:c>
      <x:c r="D975" s="18" t="n">
        <x:v>35154</x:v>
      </x:c>
      <x:c r="E975" s="18" t="n">
        <x:v>34.66</x:v>
      </x:c>
      <x:c r="F975" s="18" t="n">
        <x:v>24.78</x:v>
      </x:c>
      <x:c r="G975" t="n">
        <x:v>36</x:v>
      </x:c>
      <x:c r="H975" t="str">
        <x:v>G</x:v>
      </x:c>
      <x:c r="I975" t="str">
        <x:v>&lt;1 year</x:v>
      </x:c>
      <x:c r="J975" t="str">
        <x:v>RENT</x:v>
      </x:c>
      <x:c r="K975" t="str">
        <x:v>debt_consolidation</x:v>
      </x:c>
      <x:c r="L975" t="n">
        <x:v>0</x:v>
      </x:c>
      <x:c r="M975" t="n">
        <x:v>0</x:v>
      </x:c>
      <x:c r="N975" t="str">
        <x:v>Fully Paid</x:v>
      </x:c>
      <x:c r="O975" t="str">
        <x:f>IF(D975="","Unknown",IF(D975&lt;25000,"&lt;$25k",IF(D975&lt;50000,"$25k-$50k",IF(D975&lt;75000,"$50k-$75k",IF(D975&lt;100000,"$75k-$100k","$100k+")))))</x:f>
        <x:v>$25k-$50k</x:v>
      </x:c>
      <x:c r="P975" t="str">
        <x:f>IF(E975="","Unknown",IF(E975&lt;10,"&lt;10",IF(E975&lt;20,"10-&lt;20",IF(E975&lt;25,"20-&lt;25",IF(E975&lt;35,"25-&lt;35","35+")))))</x:f>
        <x:v>25-&lt;35</x:v>
      </x:c>
    </x:row>
    <x:row r="976">
      <x:c r="A976" t="str">
        <x:v>SYN0000975</x:v>
      </x:c>
      <x:c r="B976" s="12" t="n">
        <x:v>42025</x:v>
      </x:c>
      <x:c r="C976" s="18" t="n">
        <x:v>13082</x:v>
      </x:c>
      <x:c r="D976" s="18" t="n">
        <x:v>23380</x:v>
      </x:c>
      <x:c r="E976" s="18" t="n">
        <x:v>29.74</x:v>
      </x:c>
      <x:c r="F976" s="18" t="n">
        <x:v>11.09</x:v>
      </x:c>
      <x:c r="G976" t="n">
        <x:v>36</x:v>
      </x:c>
      <x:c r="H976" t="str">
        <x:v>C</x:v>
      </x:c>
      <x:c r="I976" t="str">
        <x:v>10+ years</x:v>
      </x:c>
      <x:c r="J976" t="str">
        <x:v>RENT</x:v>
      </x:c>
      <x:c r="K976" t="str">
        <x:v>debt_consolidation</x:v>
      </x:c>
      <x:c r="L976" t="n">
        <x:v>1</x:v>
      </x:c>
      <x:c r="M976" t="n">
        <x:v>0</x:v>
      </x:c>
      <x:c r="N976" t="str">
        <x:v>Fully Paid</x:v>
      </x:c>
      <x:c r="O976" t="str">
        <x:f>IF(D976="","Unknown",IF(D976&lt;25000,"&lt;$25k",IF(D976&lt;50000,"$25k-$50k",IF(D976&lt;75000,"$50k-$75k",IF(D976&lt;100000,"$75k-$100k","$100k+")))))</x:f>
        <x:v>&lt;$25k</x:v>
      </x:c>
      <x:c r="P976" t="str">
        <x:f>IF(E976="","Unknown",IF(E976&lt;10,"&lt;10",IF(E976&lt;20,"10-&lt;20",IF(E976&lt;25,"20-&lt;25",IF(E976&lt;35,"25-&lt;35","35+")))))</x:f>
        <x:v>25-&lt;35</x:v>
      </x:c>
    </x:row>
    <x:row r="977">
      <x:c r="A977" t="str">
        <x:v>SYN0000976</x:v>
      </x:c>
      <x:c r="B977" s="12" t="n">
        <x:v>41515</x:v>
      </x:c>
      <x:c r="C977" s="18" t="n">
        <x:v>11834</x:v>
      </x:c>
      <x:c r="D977" s="18" t="n">
        <x:v>84244</x:v>
      </x:c>
      <x:c r="E977" s="18" t="n">
        <x:v>10.32</x:v>
      </x:c>
      <x:c r="F977" s="18" t="n">
        <x:v>9.74</x:v>
      </x:c>
      <x:c r="G977" t="n">
        <x:v>60</x:v>
      </x:c>
      <x:c r="H977" t="str">
        <x:v>C</x:v>
      </x:c>
      <x:c r="I977" t="str">
        <x:v>7-9 years</x:v>
      </x:c>
      <x:c r="J977" t="str">
        <x:v>MORTGAGE</x:v>
      </x:c>
      <x:c r="K977" t="str">
        <x:v>debt_consolidation</x:v>
      </x:c>
      <x:c r="L977" t="n">
        <x:v>0</x:v>
      </x:c>
      <x:c r="M977" t="n">
        <x:v>0</x:v>
      </x:c>
      <x:c r="N977" t="str">
        <x:v>Fully Paid</x:v>
      </x:c>
      <x:c r="O977" t="str">
        <x:f>IF(D977="","Unknown",IF(D977&lt;25000,"&lt;$25k",IF(D977&lt;50000,"$25k-$50k",IF(D977&lt;75000,"$50k-$75k",IF(D977&lt;100000,"$75k-$100k","$100k+")))))</x:f>
        <x:v>$75k-$100k</x:v>
      </x:c>
      <x:c r="P977" t="str">
        <x:f>IF(E977="","Unknown",IF(E977&lt;10,"&lt;10",IF(E977&lt;20,"10-&lt;20",IF(E977&lt;25,"20-&lt;25",IF(E977&lt;35,"25-&lt;35","35+")))))</x:f>
        <x:v>10-&lt;20</x:v>
      </x:c>
    </x:row>
    <x:row r="978">
      <x:c r="A978" t="str">
        <x:v>SYN0000977</x:v>
      </x:c>
      <x:c r="B978" s="12" t="n">
        <x:v>41785</x:v>
      </x:c>
      <x:c r="C978" s="18" t="n">
        <x:v>14592</x:v>
      </x:c>
      <x:c r="D978" s="18" t="n">
        <x:v>15468</x:v>
      </x:c>
      <x:c r="E978" s="18" t="n">
        <x:v>6.3</x:v>
      </x:c>
      <x:c r="F978" s="18" t="n">
        <x:v>6.84</x:v>
      </x:c>
      <x:c r="G978" t="n">
        <x:v>36</x:v>
      </x:c>
      <x:c r="H978" t="str">
        <x:v>B</x:v>
      </x:c>
      <x:c r="I978" t="str">
        <x:v>4-6 years</x:v>
      </x:c>
      <x:c r="J978" t="str">
        <x:v>RENT</x:v>
      </x:c>
      <x:c r="K978" t="str">
        <x:v>debt_consolidation</x:v>
      </x:c>
      <x:c r="L978" t="n">
        <x:v>0</x:v>
      </x:c>
      <x:c r="M978" t="n">
        <x:v>0</x:v>
      </x:c>
      <x:c r="N978" t="str">
        <x:v>Fully Paid</x:v>
      </x:c>
      <x:c r="O978" t="str">
        <x:f>IF(D978="","Unknown",IF(D978&lt;25000,"&lt;$25k",IF(D978&lt;50000,"$25k-$50k",IF(D978&lt;75000,"$50k-$75k",IF(D978&lt;100000,"$75k-$100k","$100k+")))))</x:f>
        <x:v>&lt;$25k</x:v>
      </x:c>
      <x:c r="P978" t="str">
        <x:f>IF(E978="","Unknown",IF(E978&lt;10,"&lt;10",IF(E978&lt;20,"10-&lt;20",IF(E978&lt;25,"20-&lt;25",IF(E978&lt;35,"25-&lt;35","35+")))))</x:f>
        <x:v>&lt;10</x:v>
      </x:c>
    </x:row>
    <x:row r="979">
      <x:c r="A979" t="str">
        <x:v>SYN0000978</x:v>
      </x:c>
      <x:c r="B979" s="12" t="n">
        <x:v>42385</x:v>
      </x:c>
      <x:c r="C979" s="18" t="n">
        <x:v>3704</x:v>
      </x:c>
      <x:c r="D979" s="18" t="n">
        <x:v>76626</x:v>
      </x:c>
      <x:c r="E979" s="18" t="n">
        <x:v>3.45</x:v>
      </x:c>
      <x:c r="F979" s="18" t="n">
        <x:v>7.03</x:v>
      </x:c>
      <x:c r="G979" t="n">
        <x:v>36</x:v>
      </x:c>
      <x:c r="H979" t="str">
        <x:v>A</x:v>
      </x:c>
      <x:c r="I979" t="str">
        <x:v>10+ years</x:v>
      </x:c>
      <x:c r="J979" t="str">
        <x:v>RENT</x:v>
      </x:c>
      <x:c r="K979" t="str">
        <x:v>credit_card</x:v>
      </x:c>
      <x:c r="L979" t="n">
        <x:v>0</x:v>
      </x:c>
      <x:c r="M979" t="n">
        <x:v>1</x:v>
      </x:c>
      <x:c r="N979" t="str">
        <x:v>Charged Off</x:v>
      </x:c>
      <x:c r="O979" t="str">
        <x:f>IF(D979="","Unknown",IF(D979&lt;25000,"&lt;$25k",IF(D979&lt;50000,"$25k-$50k",IF(D979&lt;75000,"$50k-$75k",IF(D979&lt;100000,"$75k-$100k","$100k+")))))</x:f>
        <x:v>$75k-$100k</x:v>
      </x:c>
      <x:c r="P979" t="str">
        <x:f>IF(E979="","Unknown",IF(E979&lt;10,"&lt;10",IF(E979&lt;20,"10-&lt;20",IF(E979&lt;25,"20-&lt;25",IF(E979&lt;35,"25-&lt;35","35+")))))</x:f>
        <x:v>&lt;10</x:v>
      </x:c>
    </x:row>
    <x:row r="980">
      <x:c r="A980" t="str">
        <x:v>SYN0000979</x:v>
      </x:c>
      <x:c r="B980" s="12" t="n">
        <x:v>42595</x:v>
      </x:c>
      <x:c r="C980" s="18" t="n">
        <x:v>9108</x:v>
      </x:c>
      <x:c r="D980" s="18" t="n">
        <x:v>123259</x:v>
      </x:c>
      <x:c r="E980" s="18" t="n">
        <x:v>16</x:v>
      </x:c>
      <x:c r="F980" s="18" t="n">
        <x:v>5</x:v>
      </x:c>
      <x:c r="G980" t="n">
        <x:v>36</x:v>
      </x:c>
      <x:c r="H980" t="str">
        <x:v>B</x:v>
      </x:c>
      <x:c r="I980" t="str">
        <x:v>7-9 years</x:v>
      </x:c>
      <x:c r="J980" t="str">
        <x:v>OWN</x:v>
      </x:c>
      <x:c r="K980" t="str">
        <x:v>debt_consolidation</x:v>
      </x:c>
      <x:c r="L980" t="n">
        <x:v>1</x:v>
      </x:c>
      <x:c r="M980" t="n">
        <x:v>0</x:v>
      </x:c>
      <x:c r="N980" t="str">
        <x:v>Fully Paid</x:v>
      </x:c>
      <x:c r="O980" t="str">
        <x:f>IF(D980="","Unknown",IF(D980&lt;25000,"&lt;$25k",IF(D980&lt;50000,"$25k-$50k",IF(D980&lt;75000,"$50k-$75k",IF(D980&lt;100000,"$75k-$100k","$100k+")))))</x:f>
        <x:v>$100k+</x:v>
      </x:c>
      <x:c r="P980" t="str">
        <x:f>IF(E980="","Unknown",IF(E980&lt;10,"&lt;10",IF(E980&lt;20,"10-&lt;20",IF(E980&lt;25,"20-&lt;25",IF(E980&lt;35,"25-&lt;35","35+")))))</x:f>
        <x:v>10-&lt;20</x:v>
      </x:c>
    </x:row>
    <x:row r="981">
      <x:c r="A981" t="str">
        <x:v>SYN0000980</x:v>
      </x:c>
      <x:c r="B981" s="12" t="n">
        <x:v>41635</x:v>
      </x:c>
      <x:c r="C981" s="18" t="n">
        <x:v>6833</x:v>
      </x:c>
      <x:c r="D981" s="18" t="n">
        <x:v>16349</x:v>
      </x:c>
      <x:c r="E981" s="18" t="n">
        <x:v>30.44</x:v>
      </x:c>
      <x:c r="F981" s="18" t="n">
        <x:v>18.87</x:v>
      </x:c>
      <x:c r="G981" t="n">
        <x:v>36</x:v>
      </x:c>
      <x:c r="H981" t="str">
        <x:v>E</x:v>
      </x:c>
      <x:c r="I981" t="str">
        <x:v>10+ years</x:v>
      </x:c>
      <x:c r="J981" t="str">
        <x:v>OWN</x:v>
      </x:c>
      <x:c r="K981" t="str">
        <x:v>debt_consolidation</x:v>
      </x:c>
      <x:c r="L981" t="n">
        <x:v>2</x:v>
      </x:c>
      <x:c r="M981" t="n">
        <x:v>0</x:v>
      </x:c>
      <x:c r="N981" t="str">
        <x:v>Fully Paid</x:v>
      </x:c>
      <x:c r="O981" t="str">
        <x:f>IF(D981="","Unknown",IF(D981&lt;25000,"&lt;$25k",IF(D981&lt;50000,"$25k-$50k",IF(D981&lt;75000,"$50k-$75k",IF(D981&lt;100000,"$75k-$100k","$100k+")))))</x:f>
        <x:v>&lt;$25k</x:v>
      </x:c>
      <x:c r="P981" t="str">
        <x:f>IF(E981="","Unknown",IF(E981&lt;10,"&lt;10",IF(E981&lt;20,"10-&lt;20",IF(E981&lt;25,"20-&lt;25",IF(E981&lt;35,"25-&lt;35","35+")))))</x:f>
        <x:v>25-&lt;35</x:v>
      </x:c>
    </x:row>
    <x:row r="982">
      <x:c r="A982" t="str">
        <x:v>SYN0000981</x:v>
      </x:c>
      <x:c r="B982" s="12" t="n">
        <x:v>43015</x:v>
      </x:c>
      <x:c r="C982" s="18" t="n">
        <x:v>30884</x:v>
      </x:c>
      <x:c r="D982" s="18" t="n">
        <x:v>20695</x:v>
      </x:c>
      <x:c r="E982" s="18" t="n">
        <x:v>17.88</x:v>
      </x:c>
      <x:c r="F982" s="18" t="n">
        <x:v>20.28</x:v>
      </x:c>
      <x:c r="G982" t="n">
        <x:v>36</x:v>
      </x:c>
      <x:c r="H982" t="str">
        <x:v>E</x:v>
      </x:c>
      <x:c r="I982" t="str">
        <x:v>1-3 years</x:v>
      </x:c>
      <x:c r="J982" t="str">
        <x:v>RENT</x:v>
      </x:c>
      <x:c r="K982" t="str">
        <x:v>credit_card</x:v>
      </x:c>
      <x:c r="L982" t="n">
        <x:v>2</x:v>
      </x:c>
      <x:c r="M982" t="n">
        <x:v>0</x:v>
      </x:c>
      <x:c r="N982" t="str">
        <x:v>Fully Paid</x:v>
      </x:c>
      <x:c r="O982" t="str">
        <x:f>IF(D982="","Unknown",IF(D982&lt;25000,"&lt;$25k",IF(D982&lt;50000,"$25k-$50k",IF(D982&lt;75000,"$50k-$75k",IF(D982&lt;100000,"$75k-$100k","$100k+")))))</x:f>
        <x:v>&lt;$25k</x:v>
      </x:c>
      <x:c r="P982" t="str">
        <x:f>IF(E982="","Unknown",IF(E982&lt;10,"&lt;10",IF(E982&lt;20,"10-&lt;20",IF(E982&lt;25,"20-&lt;25",IF(E982&lt;35,"25-&lt;35","35+")))))</x:f>
        <x:v>10-&lt;20</x:v>
      </x:c>
    </x:row>
    <x:row r="983">
      <x:c r="A983" t="str">
        <x:v>SYN0000982</x:v>
      </x:c>
      <x:c r="B983" s="12" t="n">
        <x:v>42355</x:v>
      </x:c>
      <x:c r="C983" s="18" t="n">
        <x:v>9395</x:v>
      </x:c>
      <x:c r="D983" s="18" t="n">
        <x:v>50249</x:v>
      </x:c>
      <x:c r="E983" s="18" t="n">
        <x:v>11.21</x:v>
      </x:c>
      <x:c r="F983" s="18" t="n">
        <x:v>10.13</x:v>
      </x:c>
      <x:c r="G983" t="n">
        <x:v>36</x:v>
      </x:c>
      <x:c r="H983" t="str">
        <x:v>C</x:v>
      </x:c>
      <x:c r="I983" t="str">
        <x:v>10+ years</x:v>
      </x:c>
      <x:c r="J983" t="str">
        <x:v>RENT</x:v>
      </x:c>
      <x:c r="K983" t="str">
        <x:v>credit_card</x:v>
      </x:c>
      <x:c r="L983" t="n">
        <x:v>0</x:v>
      </x:c>
      <x:c r="M983" t="n">
        <x:v>0</x:v>
      </x:c>
      <x:c r="N983" t="str">
        <x:v>Fully Paid</x:v>
      </x:c>
      <x:c r="O983" t="str">
        <x:f>IF(D983="","Unknown",IF(D983&lt;25000,"&lt;$25k",IF(D983&lt;50000,"$25k-$50k",IF(D983&lt;75000,"$50k-$75k",IF(D983&lt;100000,"$75k-$100k","$100k+")))))</x:f>
        <x:v>$50k-$75k</x:v>
      </x:c>
      <x:c r="P983" t="str">
        <x:f>IF(E983="","Unknown",IF(E983&lt;10,"&lt;10",IF(E983&lt;20,"10-&lt;20",IF(E983&lt;25,"20-&lt;25",IF(E983&lt;35,"25-&lt;35","35+")))))</x:f>
        <x:v>10-&lt;20</x:v>
      </x:c>
    </x:row>
    <x:row r="984">
      <x:c r="A984" t="str">
        <x:v>SYN0000983</x:v>
      </x:c>
      <x:c r="B984" s="12" t="n">
        <x:v>42205</x:v>
      </x:c>
      <x:c r="C984" s="18" t="n">
        <x:v>9850</x:v>
      </x:c>
      <x:c r="D984" s="18" t="n">
        <x:v>33719</x:v>
      </x:c>
      <x:c r="E984" s="18" t="n">
        <x:v>18.22</x:v>
      </x:c>
      <x:c r="F984" s="18" t="n">
        <x:v>10.95</x:v>
      </x:c>
      <x:c r="G984" t="n">
        <x:v>60</x:v>
      </x:c>
      <x:c r="H984" t="str">
        <x:v>C</x:v>
      </x:c>
      <x:c r="I984" t="str">
        <x:v>1-3 years</x:v>
      </x:c>
      <x:c r="J984" t="str">
        <x:v>RENT</x:v>
      </x:c>
      <x:c r="K984" t="str">
        <x:v>debt_consolidation</x:v>
      </x:c>
      <x:c r="L984" t="n">
        <x:v>1</x:v>
      </x:c>
      <x:c r="M984" t="n">
        <x:v>0</x:v>
      </x:c>
      <x:c r="N984" t="str">
        <x:v>Fully Paid</x:v>
      </x:c>
      <x:c r="O984" t="str">
        <x:f>IF(D984="","Unknown",IF(D984&lt;25000,"&lt;$25k",IF(D984&lt;50000,"$25k-$50k",IF(D984&lt;75000,"$50k-$75k",IF(D984&lt;100000,"$75k-$100k","$100k+")))))</x:f>
        <x:v>$25k-$50k</x:v>
      </x:c>
      <x:c r="P984" t="str">
        <x:f>IF(E984="","Unknown",IF(E984&lt;10,"&lt;10",IF(E984&lt;20,"10-&lt;20",IF(E984&lt;25,"20-&lt;25",IF(E984&lt;35,"25-&lt;35","35+")))))</x:f>
        <x:v>10-&lt;20</x:v>
      </x:c>
    </x:row>
    <x:row r="985">
      <x:c r="A985" t="str">
        <x:v>SYN0000984</x:v>
      </x:c>
      <x:c r="B985" s="12" t="n">
        <x:v>41515</x:v>
      </x:c>
      <x:c r="C985" s="18" t="n">
        <x:v>6036</x:v>
      </x:c>
      <x:c r="D985" s="18" t="n">
        <x:v>137893</x:v>
      </x:c>
      <x:c r="E985" s="18" t="n">
        <x:v>13.86</x:v>
      </x:c>
      <x:c r="F985" s="18" t="n">
        <x:v>20.51</x:v>
      </x:c>
      <x:c r="G985" t="n">
        <x:v>60</x:v>
      </x:c>
      <x:c r="H985" t="str">
        <x:v>F</x:v>
      </x:c>
      <x:c r="I985" t="str">
        <x:v>1-3 years</x:v>
      </x:c>
      <x:c r="J985" t="str">
        <x:v>MORTGAGE</x:v>
      </x:c>
      <x:c r="K985" t="str">
        <x:v>home_improvement</x:v>
      </x:c>
      <x:c r="L985" t="n">
        <x:v>0</x:v>
      </x:c>
      <x:c r="M985" t="n">
        <x:v>0</x:v>
      </x:c>
      <x:c r="N985" t="str">
        <x:v>Fully Paid</x:v>
      </x:c>
      <x:c r="O985" t="str">
        <x:f>IF(D985="","Unknown",IF(D985&lt;25000,"&lt;$25k",IF(D985&lt;50000,"$25k-$50k",IF(D985&lt;75000,"$50k-$75k",IF(D985&lt;100000,"$75k-$100k","$100k+")))))</x:f>
        <x:v>$100k+</x:v>
      </x:c>
      <x:c r="P985" t="str">
        <x:f>IF(E985="","Unknown",IF(E985&lt;10,"&lt;10",IF(E985&lt;20,"10-&lt;20",IF(E985&lt;25,"20-&lt;25",IF(E985&lt;35,"25-&lt;35","35+")))))</x:f>
        <x:v>10-&lt;20</x:v>
      </x:c>
    </x:row>
    <x:row r="986">
      <x:c r="A986" t="str">
        <x:v>SYN0000985</x:v>
      </x:c>
      <x:c r="B986" s="12" t="n">
        <x:v>41335</x:v>
      </x:c>
      <x:c r="C986" s="18" t="n">
        <x:v>23921</x:v>
      </x:c>
      <x:c r="D986" s="18" t="n">
        <x:v>140812</x:v>
      </x:c>
      <x:c r="E986" s="18" t="n">
        <x:v>19.4</x:v>
      </x:c>
      <x:c r="F986" s="18" t="n">
        <x:v>6.8</x:v>
      </x:c>
      <x:c r="G986" t="n">
        <x:v>36</x:v>
      </x:c>
      <x:c r="H986" t="str">
        <x:v>B</x:v>
      </x:c>
      <x:c r="I986" t="str">
        <x:v>4-6 years</x:v>
      </x:c>
      <x:c r="J986" t="str">
        <x:v>RENT</x:v>
      </x:c>
      <x:c r="K986" t="str">
        <x:v>home_improvement</x:v>
      </x:c>
      <x:c r="L986" t="n">
        <x:v>0</x:v>
      </x:c>
      <x:c r="M986" t="n">
        <x:v>0</x:v>
      </x:c>
      <x:c r="N986" t="str">
        <x:v>Fully Paid</x:v>
      </x:c>
      <x:c r="O986" t="str">
        <x:f>IF(D986="","Unknown",IF(D986&lt;25000,"&lt;$25k",IF(D986&lt;50000,"$25k-$50k",IF(D986&lt;75000,"$50k-$75k",IF(D986&lt;100000,"$75k-$100k","$100k+")))))</x:f>
        <x:v>$100k+</x:v>
      </x:c>
      <x:c r="P986" t="str">
        <x:f>IF(E986="","Unknown",IF(E986&lt;10,"&lt;10",IF(E986&lt;20,"10-&lt;20",IF(E986&lt;25,"20-&lt;25",IF(E986&lt;35,"25-&lt;35","35+")))))</x:f>
        <x:v>10-&lt;20</x:v>
      </x:c>
    </x:row>
    <x:row r="987">
      <x:c r="A987" t="str">
        <x:v>SYN0000986</x:v>
      </x:c>
      <x:c r="B987" s="12" t="n">
        <x:v>42565</x:v>
      </x:c>
      <x:c r="C987" s="18" t="n">
        <x:v>24943</x:v>
      </x:c>
      <x:c r="D987" s="18" t="n">
        <x:v>47845</x:v>
      </x:c>
      <x:c r="E987" s="18" t="n">
        <x:v>9.7</x:v>
      </x:c>
      <x:c r="F987" s="18" t="n">
        <x:v>8.79</x:v>
      </x:c>
      <x:c r="G987" t="n">
        <x:v>36</x:v>
      </x:c>
      <x:c r="H987" t="str">
        <x:v>B</x:v>
      </x:c>
      <x:c r="I987" t="str">
        <x:v>7-9 years</x:v>
      </x:c>
      <x:c r="J987" t="str">
        <x:v>OWN</x:v>
      </x:c>
      <x:c r="K987" t="str">
        <x:v>debt_consolidation</x:v>
      </x:c>
      <x:c r="L987" t="n">
        <x:v>0</x:v>
      </x:c>
      <x:c r="M987" t="n">
        <x:v>0</x:v>
      </x:c>
      <x:c r="N987" t="str">
        <x:v>Fully Paid</x:v>
      </x:c>
      <x:c r="O987" t="str">
        <x:f>IF(D987="","Unknown",IF(D987&lt;25000,"&lt;$25k",IF(D987&lt;50000,"$25k-$50k",IF(D987&lt;75000,"$50k-$75k",IF(D987&lt;100000,"$75k-$100k","$100k+")))))</x:f>
        <x:v>$25k-$50k</x:v>
      </x:c>
      <x:c r="P987" t="str">
        <x:f>IF(E987="","Unknown",IF(E987&lt;10,"&lt;10",IF(E987&lt;20,"10-&lt;20",IF(E987&lt;25,"20-&lt;25",IF(E987&lt;35,"25-&lt;35","35+")))))</x:f>
        <x:v>&lt;10</x:v>
      </x:c>
    </x:row>
    <x:row r="988">
      <x:c r="A988" t="str">
        <x:v>SYN0000987</x:v>
      </x:c>
      <x:c r="B988" s="12" t="n">
        <x:v>41815</x:v>
      </x:c>
      <x:c r="C988" s="18" t="n">
        <x:v>10766</x:v>
      </x:c>
      <x:c r="D988" s="18" t="n">
        <x:v>159820</x:v>
      </x:c>
      <x:c r="E988" s="18" t="n">
        <x:v>20.39</x:v>
      </x:c>
      <x:c r="F988" s="18" t="n">
        <x:v>23.32</x:v>
      </x:c>
      <x:c r="G988" t="n">
        <x:v>36</x:v>
      </x:c>
      <x:c r="H988" t="str">
        <x:v>F</x:v>
      </x:c>
      <x:c r="I988" t="str">
        <x:v>7-9 years</x:v>
      </x:c>
      <x:c r="J988" t="str">
        <x:v>RENT</x:v>
      </x:c>
      <x:c r="K988" t="str">
        <x:v>major_purchase</x:v>
      </x:c>
      <x:c r="L988" t="n">
        <x:v>1</x:v>
      </x:c>
      <x:c r="M988" t="n">
        <x:v>0</x:v>
      </x:c>
      <x:c r="N988" t="str">
        <x:v>Fully Paid</x:v>
      </x:c>
      <x:c r="O988" t="str">
        <x:f>IF(D988="","Unknown",IF(D988&lt;25000,"&lt;$25k",IF(D988&lt;50000,"$25k-$50k",IF(D988&lt;75000,"$50k-$75k",IF(D988&lt;100000,"$75k-$100k","$100k+")))))</x:f>
        <x:v>$100k+</x:v>
      </x:c>
      <x:c r="P988" t="str">
        <x:f>IF(E988="","Unknown",IF(E988&lt;10,"&lt;10",IF(E988&lt;20,"10-&lt;20",IF(E988&lt;25,"20-&lt;25",IF(E988&lt;35,"25-&lt;35","35+")))))</x:f>
        <x:v>20-&lt;25</x:v>
      </x:c>
    </x:row>
    <x:row r="989">
      <x:c r="A989" t="str">
        <x:v>SYN0000988</x:v>
      </x:c>
      <x:c r="B989" s="12" t="n">
        <x:v>43045</x:v>
      </x:c>
      <x:c r="C989" s="18" t="n">
        <x:v>10104</x:v>
      </x:c>
      <x:c r="D989" s="18" t="n">
        <x:v>114246</x:v>
      </x:c>
      <x:c r="E989" s="18" t="n">
        <x:v>15.71</x:v>
      </x:c>
      <x:c r="F989" s="18" t="n">
        <x:v>15.1</x:v>
      </x:c>
      <x:c r="G989" t="n">
        <x:v>36</x:v>
      </x:c>
      <x:c r="H989" t="str">
        <x:v>D</x:v>
      </x:c>
      <x:c r="I989" t="str">
        <x:v>1-3 years</x:v>
      </x:c>
      <x:c r="J989" t="str">
        <x:v>MORTGAGE</x:v>
      </x:c>
      <x:c r="K989" t="str">
        <x:v>credit_card</x:v>
      </x:c>
      <x:c r="L989" t="n">
        <x:v>2</x:v>
      </x:c>
      <x:c r="M989" t="n">
        <x:v>0</x:v>
      </x:c>
      <x:c r="N989" t="str">
        <x:v>Fully Paid</x:v>
      </x:c>
      <x:c r="O989" t="str">
        <x:f>IF(D989="","Unknown",IF(D989&lt;25000,"&lt;$25k",IF(D989&lt;50000,"$25k-$50k",IF(D989&lt;75000,"$50k-$75k",IF(D989&lt;100000,"$75k-$100k","$100k+")))))</x:f>
        <x:v>$100k+</x:v>
      </x:c>
      <x:c r="P989" t="str">
        <x:f>IF(E989="","Unknown",IF(E989&lt;10,"&lt;10",IF(E989&lt;20,"10-&lt;20",IF(E989&lt;25,"20-&lt;25",IF(E989&lt;35,"25-&lt;35","35+")))))</x:f>
        <x:v>10-&lt;20</x:v>
      </x:c>
    </x:row>
    <x:row r="990">
      <x:c r="A990" t="str">
        <x:v>SYN0000989</x:v>
      </x:c>
      <x:c r="B990" s="12" t="n">
        <x:v>42925</x:v>
      </x:c>
      <x:c r="C990" s="18" t="n">
        <x:v>8668</x:v>
      </x:c>
      <x:c r="D990" s="18" t="n">
        <x:v>60991</x:v>
      </x:c>
      <x:c r="E990" s="18" t="n">
        <x:v>14</x:v>
      </x:c>
      <x:c r="F990" s="18" t="n">
        <x:v>7.91</x:v>
      </x:c>
      <x:c r="G990" t="n">
        <x:v>36</x:v>
      </x:c>
      <x:c r="H990" t="str">
        <x:v>A</x:v>
      </x:c>
      <x:c r="I990" t="str">
        <x:v>10+ years</x:v>
      </x:c>
      <x:c r="J990" t="str">
        <x:v>RENT</x:v>
      </x:c>
      <x:c r="K990" t="str">
        <x:v>debt_consolidation</x:v>
      </x:c>
      <x:c r="L990" t="n">
        <x:v>0</x:v>
      </x:c>
      <x:c r="M990" t="n">
        <x:v>0</x:v>
      </x:c>
      <x:c r="N990" t="str">
        <x:v>Fully Paid</x:v>
      </x:c>
      <x:c r="O990" t="str">
        <x:f>IF(D990="","Unknown",IF(D990&lt;25000,"&lt;$25k",IF(D990&lt;50000,"$25k-$50k",IF(D990&lt;75000,"$50k-$75k",IF(D990&lt;100000,"$75k-$100k","$100k+")))))</x:f>
        <x:v>$50k-$75k</x:v>
      </x:c>
      <x:c r="P990" t="str">
        <x:f>IF(E990="","Unknown",IF(E990&lt;10,"&lt;10",IF(E990&lt;20,"10-&lt;20",IF(E990&lt;25,"20-&lt;25",IF(E990&lt;35,"25-&lt;35","35+")))))</x:f>
        <x:v>10-&lt;20</x:v>
      </x:c>
    </x:row>
    <x:row r="991">
      <x:c r="A991" t="str">
        <x:v>SYN0000990</x:v>
      </x:c>
      <x:c r="B991" s="12" t="n">
        <x:v>43315</x:v>
      </x:c>
      <x:c r="C991" s="18" t="n">
        <x:v>18462</x:v>
      </x:c>
      <x:c r="D991" s="18" t="n">
        <x:v>100986</x:v>
      </x:c>
      <x:c r="E991" s="18" t="n">
        <x:v>21.29</x:v>
      </x:c>
      <x:c r="F991" s="18" t="n">
        <x:v>16.47</x:v>
      </x:c>
      <x:c r="G991" t="n">
        <x:v>36</x:v>
      </x:c>
      <x:c r="H991" t="str">
        <x:v>E</x:v>
      </x:c>
      <x:c r="I991" t="str">
        <x:v>1-3 years</x:v>
      </x:c>
      <x:c r="J991" t="str">
        <x:v>OTHER</x:v>
      </x:c>
      <x:c r="K991" t="str">
        <x:v>debt_consolidation</x:v>
      </x:c>
      <x:c r="L991" t="n">
        <x:v>2</x:v>
      </x:c>
      <x:c r="M991" t="n">
        <x:v>1</x:v>
      </x:c>
      <x:c r="N991" t="str">
        <x:v>Charged Off</x:v>
      </x:c>
      <x:c r="O991" t="str">
        <x:f>IF(D991="","Unknown",IF(D991&lt;25000,"&lt;$25k",IF(D991&lt;50000,"$25k-$50k",IF(D991&lt;75000,"$50k-$75k",IF(D991&lt;100000,"$75k-$100k","$100k+")))))</x:f>
        <x:v>$100k+</x:v>
      </x:c>
      <x:c r="P991" t="str">
        <x:f>IF(E991="","Unknown",IF(E991&lt;10,"&lt;10",IF(E991&lt;20,"10-&lt;20",IF(E991&lt;25,"20-&lt;25",IF(E991&lt;35,"25-&lt;35","35+")))))</x:f>
        <x:v>20-&lt;25</x:v>
      </x:c>
    </x:row>
    <x:row r="992">
      <x:c r="A992" t="str">
        <x:v>SYN0000991</x:v>
      </x:c>
      <x:c r="B992" s="12" t="n">
        <x:v>41335</x:v>
      </x:c>
      <x:c r="C992" s="18" t="n">
        <x:v>3950</x:v>
      </x:c>
      <x:c r="D992" s="18" t="n">
        <x:v>52295</x:v>
      </x:c>
      <x:c r="E992" s="18" t="n">
        <x:v>22.69</x:v>
      </x:c>
      <x:c r="F992" s="18" t="n">
        <x:v>8.13</x:v>
      </x:c>
      <x:c r="G992" t="n">
        <x:v>60</x:v>
      </x:c>
      <x:c r="H992" t="str">
        <x:v>C</x:v>
      </x:c>
      <x:c r="I992" t="str">
        <x:v>1-3 years</x:v>
      </x:c>
      <x:c r="J992" t="str">
        <x:v>RENT</x:v>
      </x:c>
      <x:c r="K992" t="str">
        <x:v>debt_consolidation</x:v>
      </x:c>
      <x:c r="L992" t="n">
        <x:v>0</x:v>
      </x:c>
      <x:c r="M992" t="n">
        <x:v>0</x:v>
      </x:c>
      <x:c r="N992" t="str">
        <x:v>Fully Paid</x:v>
      </x:c>
      <x:c r="O992" t="str">
        <x:f>IF(D992="","Unknown",IF(D992&lt;25000,"&lt;$25k",IF(D992&lt;50000,"$25k-$50k",IF(D992&lt;75000,"$50k-$75k",IF(D992&lt;100000,"$75k-$100k","$100k+")))))</x:f>
        <x:v>$50k-$75k</x:v>
      </x:c>
      <x:c r="P992" t="str">
        <x:f>IF(E992="","Unknown",IF(E992&lt;10,"&lt;10",IF(E992&lt;20,"10-&lt;20",IF(E992&lt;25,"20-&lt;25",IF(E992&lt;35,"25-&lt;35","35+")))))</x:f>
        <x:v>20-&lt;25</x:v>
      </x:c>
    </x:row>
    <x:row r="993">
      <x:c r="A993" t="str">
        <x:v>SYN0000992</x:v>
      </x:c>
      <x:c r="B993" s="12" t="n">
        <x:v>42835</x:v>
      </x:c>
      <x:c r="C993" s="18" t="n">
        <x:v>24256</x:v>
      </x:c>
      <x:c r="D993" s="18" t="n">
        <x:v>50382</x:v>
      </x:c>
      <x:c r="E993" s="18" t="n">
        <x:v>23.08</x:v>
      </x:c>
      <x:c r="F993" s="18" t="n">
        <x:v>6.75</x:v>
      </x:c>
      <x:c r="G993" t="n">
        <x:v>36</x:v>
      </x:c>
      <x:c r="H993" t="str">
        <x:v>A</x:v>
      </x:c>
      <x:c r="I993" t="str">
        <x:v>&lt;1 year</x:v>
      </x:c>
      <x:c r="J993" t="str">
        <x:v>OWN</x:v>
      </x:c>
      <x:c r="K993" t="str">
        <x:v>credit_card</x:v>
      </x:c>
      <x:c r="L993" t="n">
        <x:v>0</x:v>
      </x:c>
      <x:c r="M993" t="n">
        <x:v>0</x:v>
      </x:c>
      <x:c r="N993" t="str">
        <x:v>Fully Paid</x:v>
      </x:c>
      <x:c r="O993" t="str">
        <x:f>IF(D993="","Unknown",IF(D993&lt;25000,"&lt;$25k",IF(D993&lt;50000,"$25k-$50k",IF(D993&lt;75000,"$50k-$75k",IF(D993&lt;100000,"$75k-$100k","$100k+")))))</x:f>
        <x:v>$50k-$75k</x:v>
      </x:c>
      <x:c r="P993" t="str">
        <x:f>IF(E993="","Unknown",IF(E993&lt;10,"&lt;10",IF(E993&lt;20,"10-&lt;20",IF(E993&lt;25,"20-&lt;25",IF(E993&lt;35,"25-&lt;35","35+")))))</x:f>
        <x:v>20-&lt;25</x:v>
      </x:c>
    </x:row>
    <x:row r="994">
      <x:c r="A994" t="str">
        <x:v>SYN0000993</x:v>
      </x:c>
      <x:c r="B994" s="12" t="n">
        <x:v>41815</x:v>
      </x:c>
      <x:c r="C994" s="18" t="n">
        <x:v>7695</x:v>
      </x:c>
      <x:c r="D994" s="18" t="n">
        <x:v>123546</x:v>
      </x:c>
      <x:c r="E994" s="18" t="n">
        <x:v>8.16</x:v>
      </x:c>
      <x:c r="F994" s="18" t="n">
        <x:v>9.44</x:v>
      </x:c>
      <x:c r="G994" t="n">
        <x:v>36</x:v>
      </x:c>
      <x:c r="H994" t="str">
        <x:v>B</x:v>
      </x:c>
      <x:c r="I994" t="str">
        <x:v>10+ years</x:v>
      </x:c>
      <x:c r="J994" t="str">
        <x:v>RENT</x:v>
      </x:c>
      <x:c r="K994" t="str">
        <x:v>debt_consolidation</x:v>
      </x:c>
      <x:c r="L994" t="n">
        <x:v>1</x:v>
      </x:c>
      <x:c r="M994" t="n">
        <x:v>0</x:v>
      </x:c>
      <x:c r="N994" t="str">
        <x:v>Fully Paid</x:v>
      </x:c>
      <x:c r="O994" t="str">
        <x:f>IF(D994="","Unknown",IF(D994&lt;25000,"&lt;$25k",IF(D994&lt;50000,"$25k-$50k",IF(D994&lt;75000,"$50k-$75k",IF(D994&lt;100000,"$75k-$100k","$100k+")))))</x:f>
        <x:v>$100k+</x:v>
      </x:c>
      <x:c r="P994" t="str">
        <x:f>IF(E994="","Unknown",IF(E994&lt;10,"&lt;10",IF(E994&lt;20,"10-&lt;20",IF(E994&lt;25,"20-&lt;25",IF(E994&lt;35,"25-&lt;35","35+")))))</x:f>
        <x:v>&lt;10</x:v>
      </x:c>
    </x:row>
    <x:row r="995">
      <x:c r="A995" t="str">
        <x:v>SYN0000994</x:v>
      </x:c>
      <x:c r="B995" s="12" t="n">
        <x:v>42025</x:v>
      </x:c>
      <x:c r="C995" s="18" t="n">
        <x:v>21908</x:v>
      </x:c>
      <x:c r="D995" s="18" t="n">
        <x:v>100869</x:v>
      </x:c>
      <x:c r="E995" s="18" t="n">
        <x:v>20.64</x:v>
      </x:c>
      <x:c r="F995" s="18" t="n">
        <x:v>16.77</x:v>
      </x:c>
      <x:c r="G995" t="n">
        <x:v>36</x:v>
      </x:c>
      <x:c r="H995" t="str">
        <x:v>D</x:v>
      </x:c>
      <x:c r="I995" t="str">
        <x:v>&lt;1 year</x:v>
      </x:c>
      <x:c r="J995" t="str">
        <x:v>RENT</x:v>
      </x:c>
      <x:c r="K995" t="str">
        <x:v>debt_consolidation</x:v>
      </x:c>
      <x:c r="L995" t="n">
        <x:v>0</x:v>
      </x:c>
      <x:c r="M995" t="n">
        <x:v>0</x:v>
      </x:c>
      <x:c r="N995" t="str">
        <x:v>Fully Paid</x:v>
      </x:c>
      <x:c r="O995" t="str">
        <x:f>IF(D995="","Unknown",IF(D995&lt;25000,"&lt;$25k",IF(D995&lt;50000,"$25k-$50k",IF(D995&lt;75000,"$50k-$75k",IF(D995&lt;100000,"$75k-$100k","$100k+")))))</x:f>
        <x:v>$100k+</x:v>
      </x:c>
      <x:c r="P995" t="str">
        <x:f>IF(E995="","Unknown",IF(E995&lt;10,"&lt;10",IF(E995&lt;20,"10-&lt;20",IF(E995&lt;25,"20-&lt;25",IF(E995&lt;35,"25-&lt;35","35+")))))</x:f>
        <x:v>20-&lt;25</x:v>
      </x:c>
    </x:row>
    <x:row r="996">
      <x:c r="A996" t="str">
        <x:v>SYN0000995</x:v>
      </x:c>
      <x:c r="B996" s="12" t="n">
        <x:v>41875</x:v>
      </x:c>
      <x:c r="C996" s="18" t="n">
        <x:v>8793</x:v>
      </x:c>
      <x:c r="D996" s="18" t="n">
        <x:v>55261</x:v>
      </x:c>
      <x:c r="E996" s="18" t="n">
        <x:v>24.85</x:v>
      </x:c>
      <x:c r="F996" s="18" t="n">
        <x:v>10.48</x:v>
      </x:c>
      <x:c r="G996" t="n">
        <x:v>36</x:v>
      </x:c>
      <x:c r="H996" t="str">
        <x:v>C</x:v>
      </x:c>
      <x:c r="I996" t="str">
        <x:v>10+ years</x:v>
      </x:c>
      <x:c r="J996" t="str">
        <x:v>MORTGAGE</x:v>
      </x:c>
      <x:c r="K996" t="str">
        <x:v>debt_consolidation</x:v>
      </x:c>
      <x:c r="L996" t="n">
        <x:v>0</x:v>
      </x:c>
      <x:c r="M996" t="n">
        <x:v>0</x:v>
      </x:c>
      <x:c r="N996" t="str">
        <x:v>Fully Paid</x:v>
      </x:c>
      <x:c r="O996" t="str">
        <x:f>IF(D996="","Unknown",IF(D996&lt;25000,"&lt;$25k",IF(D996&lt;50000,"$25k-$50k",IF(D996&lt;75000,"$50k-$75k",IF(D996&lt;100000,"$75k-$100k","$100k+")))))</x:f>
        <x:v>$50k-$75k</x:v>
      </x:c>
      <x:c r="P996" t="str">
        <x:f>IF(E996="","Unknown",IF(E996&lt;10,"&lt;10",IF(E996&lt;20,"10-&lt;20",IF(E996&lt;25,"20-&lt;25",IF(E996&lt;35,"25-&lt;35","35+")))))</x:f>
        <x:v>20-&lt;25</x:v>
      </x:c>
    </x:row>
    <x:row r="997">
      <x:c r="A997" t="str">
        <x:v>SYN0000996</x:v>
      </x:c>
      <x:c r="B997" s="12" t="n">
        <x:v>43075</x:v>
      </x:c>
      <x:c r="C997" s="18" t="n">
        <x:v>14784</x:v>
      </x:c>
      <x:c r="D997" s="18" t="n">
        <x:v>20117</x:v>
      </x:c>
      <x:c r="E997" s="18" t="n">
        <x:v>20.98</x:v>
      </x:c>
      <x:c r="F997" s="18" t="n">
        <x:v>5</x:v>
      </x:c>
      <x:c r="G997" t="n">
        <x:v>36</x:v>
      </x:c>
      <x:c r="H997" t="str">
        <x:v>A</x:v>
      </x:c>
      <x:c r="I997" t="str">
        <x:v>10+ years</x:v>
      </x:c>
      <x:c r="J997" t="str">
        <x:v>OWN</x:v>
      </x:c>
      <x:c r="K997" t="str">
        <x:v>major_purchase</x:v>
      </x:c>
      <x:c r="L997" t="n">
        <x:v>0</x:v>
      </x:c>
      <x:c r="M997" t="n">
        <x:v>0</x:v>
      </x:c>
      <x:c r="N997" t="str">
        <x:v>Fully Paid</x:v>
      </x:c>
      <x:c r="O997" t="str">
        <x:f>IF(D997="","Unknown",IF(D997&lt;25000,"&lt;$25k",IF(D997&lt;50000,"$25k-$50k",IF(D997&lt;75000,"$50k-$75k",IF(D997&lt;100000,"$75k-$100k","$100k+")))))</x:f>
        <x:v>&lt;$25k</x:v>
      </x:c>
      <x:c r="P997" t="str">
        <x:f>IF(E997="","Unknown",IF(E997&lt;10,"&lt;10",IF(E997&lt;20,"10-&lt;20",IF(E997&lt;25,"20-&lt;25",IF(E997&lt;35,"25-&lt;35","35+")))))</x:f>
        <x:v>20-&lt;25</x:v>
      </x:c>
    </x:row>
    <x:row r="998">
      <x:c r="A998" t="str">
        <x:v>SYN0000997</x:v>
      </x:c>
      <x:c r="B998" s="12" t="n">
        <x:v>41305</x:v>
      </x:c>
      <x:c r="C998" s="18" t="n">
        <x:v>7936</x:v>
      </x:c>
      <x:c r="D998" s="18" t="n">
        <x:v>111273</x:v>
      </x:c>
      <x:c r="E998" s="18" t="n">
        <x:v>17.27</x:v>
      </x:c>
      <x:c r="F998" s="18" t="n">
        <x:v>12.72</x:v>
      </x:c>
      <x:c r="G998" t="n">
        <x:v>36</x:v>
      </x:c>
      <x:c r="H998" t="str">
        <x:v>C</x:v>
      </x:c>
      <x:c r="I998" t="str">
        <x:v>&lt;1 year</x:v>
      </x:c>
      <x:c r="J998" t="str">
        <x:v>MORTGAGE</x:v>
      </x:c>
      <x:c r="K998" t="str">
        <x:v>credit_card</x:v>
      </x:c>
      <x:c r="L998" t="n">
        <x:v>1</x:v>
      </x:c>
      <x:c r="M998" t="n">
        <x:v>0</x:v>
      </x:c>
      <x:c r="N998" t="str">
        <x:v>Fully Paid</x:v>
      </x:c>
      <x:c r="O998" t="str">
        <x:f>IF(D998="","Unknown",IF(D998&lt;25000,"&lt;$25k",IF(D998&lt;50000,"$25k-$50k",IF(D998&lt;75000,"$50k-$75k",IF(D998&lt;100000,"$75k-$100k","$100k+")))))</x:f>
        <x:v>$100k+</x:v>
      </x:c>
      <x:c r="P998" t="str">
        <x:f>IF(E998="","Unknown",IF(E998&lt;10,"&lt;10",IF(E998&lt;20,"10-&lt;20",IF(E998&lt;25,"20-&lt;25",IF(E998&lt;35,"25-&lt;35","35+")))))</x:f>
        <x:v>10-&lt;20</x:v>
      </x:c>
    </x:row>
    <x:row r="999">
      <x:c r="A999" t="str">
        <x:v>SYN0000998</x:v>
      </x:c>
      <x:c r="B999" s="12" t="n">
        <x:v>42175</x:v>
      </x:c>
      <x:c r="C999" s="18" t="n">
        <x:v>16900</x:v>
      </x:c>
      <x:c r="D999" s="18" t="n">
        <x:v>238438</x:v>
      </x:c>
      <x:c r="E999" s="18" t="n">
        <x:v>20.21</x:v>
      </x:c>
      <x:c r="F999" s="18" t="n">
        <x:v>10.56</x:v>
      </x:c>
      <x:c r="G999" t="n">
        <x:v>36</x:v>
      </x:c>
      <x:c r="H999" t="str">
        <x:v>C</x:v>
      </x:c>
      <x:c r="I999" t="str">
        <x:v>&lt;1 year</x:v>
      </x:c>
      <x:c r="J999" t="str">
        <x:v>OWN</x:v>
      </x:c>
      <x:c r="K999" t="str">
        <x:v>debt_consolidation</x:v>
      </x:c>
      <x:c r="L999" t="n">
        <x:v>1</x:v>
      </x:c>
      <x:c r="M999" t="n">
        <x:v>0</x:v>
      </x:c>
      <x:c r="N999" t="str">
        <x:v>Fully Paid</x:v>
      </x:c>
      <x:c r="O999" t="str">
        <x:f>IF(D999="","Unknown",IF(D999&lt;25000,"&lt;$25k",IF(D999&lt;50000,"$25k-$50k",IF(D999&lt;75000,"$50k-$75k",IF(D999&lt;100000,"$75k-$100k","$100k+")))))</x:f>
        <x:v>$100k+</x:v>
      </x:c>
      <x:c r="P999" t="str">
        <x:f>IF(E999="","Unknown",IF(E999&lt;10,"&lt;10",IF(E999&lt;20,"10-&lt;20",IF(E999&lt;25,"20-&lt;25",IF(E999&lt;35,"25-&lt;35","35+")))))</x:f>
        <x:v>20-&lt;25</x:v>
      </x:c>
    </x:row>
    <x:row r="1000">
      <x:c r="A1000" t="str">
        <x:v>SYN0000999</x:v>
      </x:c>
      <x:c r="B1000" s="12" t="n">
        <x:v>41605</x:v>
      </x:c>
      <x:c r="C1000" s="18" t="n">
        <x:v>6664</x:v>
      </x:c>
      <x:c r="D1000" s="18" t="n">
        <x:v>49213</x:v>
      </x:c>
      <x:c r="E1000" s="18" t="n">
        <x:v>26.66</x:v>
      </x:c>
      <x:c r="F1000" s="18" t="n">
        <x:v>16.6</x:v>
      </x:c>
      <x:c r="G1000" t="n">
        <x:v>36</x:v>
      </x:c>
      <x:c r="H1000" t="str">
        <x:v>D</x:v>
      </x:c>
      <x:c r="I1000" t="str">
        <x:v>10+ years</x:v>
      </x:c>
      <x:c r="J1000" t="str">
        <x:v>MORTGAGE</x:v>
      </x:c>
      <x:c r="K1000" t="str">
        <x:v>debt_consolidation</x:v>
      </x:c>
      <x:c r="L1000" t="n">
        <x:v>1</x:v>
      </x:c>
      <x:c r="M1000" t="n">
        <x:v>0</x:v>
      </x:c>
      <x:c r="N1000" t="str">
        <x:v>Fully Paid</x:v>
      </x:c>
      <x:c r="O1000" t="str">
        <x:f>IF(D1000="","Unknown",IF(D1000&lt;25000,"&lt;$25k",IF(D1000&lt;50000,"$25k-$50k",IF(D1000&lt;75000,"$50k-$75k",IF(D1000&lt;100000,"$75k-$100k","$100k+")))))</x:f>
        <x:v>$25k-$50k</x:v>
      </x:c>
      <x:c r="P1000" t="str">
        <x:f>IF(E1000="","Unknown",IF(E1000&lt;10,"&lt;10",IF(E1000&lt;20,"10-&lt;20",IF(E1000&lt;25,"20-&lt;25",IF(E1000&lt;35,"25-&lt;35","35+")))))</x:f>
        <x:v>25-&lt;35</x:v>
      </x:c>
    </x:row>
    <x:row r="1001">
      <x:c r="A1001" t="str">
        <x:v>SYN0001000</x:v>
      </x:c>
      <x:c r="B1001" s="12" t="n">
        <x:v>42295</x:v>
      </x:c>
      <x:c r="C1001" s="18" t="n">
        <x:v>8618</x:v>
      </x:c>
      <x:c r="D1001" s="18" t="n">
        <x:v>87110</x:v>
      </x:c>
      <x:c r="E1001" s="18" t="n">
        <x:v>18.23</x:v>
      </x:c>
      <x:c r="F1001" s="18" t="n">
        <x:v>18.79</x:v>
      </x:c>
      <x:c r="G1001" t="n">
        <x:v>36</x:v>
      </x:c>
      <x:c r="H1001" t="str">
        <x:v>E</x:v>
      </x:c>
      <x:c r="I1001" t="str">
        <x:v>&lt;1 year</x:v>
      </x:c>
      <x:c r="J1001" t="str">
        <x:v>MORTGAGE</x:v>
      </x:c>
      <x:c r="K1001" t="str">
        <x:v>debt_consolidation</x:v>
      </x:c>
      <x:c r="L1001" t="n">
        <x:v>0</x:v>
      </x:c>
      <x:c r="M1001" t="n">
        <x:v>0</x:v>
      </x:c>
      <x:c r="N1001" t="str">
        <x:v>Fully Paid</x:v>
      </x:c>
      <x:c r="O1001" t="str">
        <x:f>IF(D1001="","Unknown",IF(D1001&lt;25000,"&lt;$25k",IF(D1001&lt;50000,"$25k-$50k",IF(D1001&lt;75000,"$50k-$75k",IF(D1001&lt;100000,"$75k-$100k","$100k+")))))</x:f>
        <x:v>$75k-$100k</x:v>
      </x:c>
      <x:c r="P1001" t="str">
        <x:f>IF(E1001="","Unknown",IF(E1001&lt;10,"&lt;10",IF(E1001&lt;20,"10-&lt;20",IF(E1001&lt;25,"20-&lt;25",IF(E1001&lt;35,"25-&lt;35","35+")))))</x:f>
        <x:v>10-&lt;20</x:v>
      </x:c>
    </x:row>
    <x:row r="1002">
      <x:c r="A1002" t="str">
        <x:v>SYN0001001</x:v>
      </x:c>
      <x:c r="B1002" s="12" t="n">
        <x:v>42145</x:v>
      </x:c>
      <x:c r="C1002" s="18" t="n">
        <x:v>3953</x:v>
      </x:c>
      <x:c r="D1002" s="18" t="n">
        <x:v>17322</x:v>
      </x:c>
      <x:c r="E1002" s="18" t="n">
        <x:v>28.32</x:v>
      </x:c>
      <x:c r="F1002" s="18" t="n">
        <x:v>7.74</x:v>
      </x:c>
      <x:c r="G1002" t="n">
        <x:v>36</x:v>
      </x:c>
      <x:c r="H1002" t="str">
        <x:v>B</x:v>
      </x:c>
      <x:c r="I1002" t="str">
        <x:v>10+ years</x:v>
      </x:c>
      <x:c r="J1002" t="str">
        <x:v>MORTGAGE</x:v>
      </x:c>
      <x:c r="K1002" t="str">
        <x:v>credit_card</x:v>
      </x:c>
      <x:c r="L1002" t="n">
        <x:v>0</x:v>
      </x:c>
      <x:c r="M1002" t="n">
        <x:v>0</x:v>
      </x:c>
      <x:c r="N1002" t="str">
        <x:v>Fully Paid</x:v>
      </x:c>
      <x:c r="O1002" t="str">
        <x:f>IF(D1002="","Unknown",IF(D1002&lt;25000,"&lt;$25k",IF(D1002&lt;50000,"$25k-$50k",IF(D1002&lt;75000,"$50k-$75k",IF(D1002&lt;100000,"$75k-$100k","$100k+")))))</x:f>
        <x:v>&lt;$25k</x:v>
      </x:c>
      <x:c r="P1002" t="str">
        <x:f>IF(E1002="","Unknown",IF(E1002&lt;10,"&lt;10",IF(E1002&lt;20,"10-&lt;20",IF(E1002&lt;25,"20-&lt;25",IF(E1002&lt;35,"25-&lt;35","35+")))))</x:f>
        <x:v>25-&lt;35</x:v>
      </x:c>
    </x:row>
    <x:row r="1003">
      <x:c r="A1003" t="str">
        <x:v>SYN0001002</x:v>
      </x:c>
      <x:c r="B1003" s="12" t="n">
        <x:v>42325</x:v>
      </x:c>
      <x:c r="C1003" s="18" t="n">
        <x:v>8861</x:v>
      </x:c>
      <x:c r="D1003" s="18" t="n">
        <x:v>73182</x:v>
      </x:c>
      <x:c r="E1003" s="18" t="n">
        <x:v>21.3</x:v>
      </x:c>
      <x:c r="F1003" s="18" t="n">
        <x:v>9</x:v>
      </x:c>
      <x:c r="G1003" t="n">
        <x:v>60</x:v>
      </x:c>
      <x:c r="H1003" t="str">
        <x:v>A</x:v>
      </x:c>
      <x:c r="I1003" t="str">
        <x:v>10+ years</x:v>
      </x:c>
      <x:c r="J1003" t="str">
        <x:v>MORTGAGE</x:v>
      </x:c>
      <x:c r="K1003" t="str">
        <x:v>credit_card</x:v>
      </x:c>
      <x:c r="L1003" t="n">
        <x:v>0</x:v>
      </x:c>
      <x:c r="M1003" t="n">
        <x:v>0</x:v>
      </x:c>
      <x:c r="N1003" t="str">
        <x:v>Fully Paid</x:v>
      </x:c>
      <x:c r="O1003" t="str">
        <x:f>IF(D1003="","Unknown",IF(D1003&lt;25000,"&lt;$25k",IF(D1003&lt;50000,"$25k-$50k",IF(D1003&lt;75000,"$50k-$75k",IF(D1003&lt;100000,"$75k-$100k","$100k+")))))</x:f>
        <x:v>$50k-$75k</x:v>
      </x:c>
      <x:c r="P1003" t="str">
        <x:f>IF(E1003="","Unknown",IF(E1003&lt;10,"&lt;10",IF(E1003&lt;20,"10-&lt;20",IF(E1003&lt;25,"20-&lt;25",IF(E1003&lt;35,"25-&lt;35","35+")))))</x:f>
        <x:v>20-&lt;25</x:v>
      </x:c>
    </x:row>
    <x:row r="1004">
      <x:c r="A1004" t="str">
        <x:v>SYN0001003</x:v>
      </x:c>
      <x:c r="B1004" s="12" t="n">
        <x:v>42925</x:v>
      </x:c>
      <x:c r="C1004" s="18" t="n">
        <x:v>11160</x:v>
      </x:c>
      <x:c r="D1004" s="18" t="n">
        <x:v>94364</x:v>
      </x:c>
      <x:c r="E1004" s="18" t="n">
        <x:v>13.6</x:v>
      </x:c>
      <x:c r="F1004" s="18" t="n">
        <x:v>7.26</x:v>
      </x:c>
      <x:c r="G1004" t="n">
        <x:v>36</x:v>
      </x:c>
      <x:c r="H1004" t="str">
        <x:v>A</x:v>
      </x:c>
      <x:c r="I1004" t="str">
        <x:v>10+ years</x:v>
      </x:c>
      <x:c r="J1004" t="str">
        <x:v>MORTGAGE</x:v>
      </x:c>
      <x:c r="K1004" t="str">
        <x:v>debt_consolidation</x:v>
      </x:c>
      <x:c r="L1004" t="n">
        <x:v>0</x:v>
      </x:c>
      <x:c r="M1004" t="n">
        <x:v>0</x:v>
      </x:c>
      <x:c r="N1004" t="str">
        <x:v>Fully Paid</x:v>
      </x:c>
      <x:c r="O1004" t="str">
        <x:f>IF(D1004="","Unknown",IF(D1004&lt;25000,"&lt;$25k",IF(D1004&lt;50000,"$25k-$50k",IF(D1004&lt;75000,"$50k-$75k",IF(D1004&lt;100000,"$75k-$100k","$100k+")))))</x:f>
        <x:v>$75k-$100k</x:v>
      </x:c>
      <x:c r="P1004" t="str">
        <x:f>IF(E1004="","Unknown",IF(E1004&lt;10,"&lt;10",IF(E1004&lt;20,"10-&lt;20",IF(E1004&lt;25,"20-&lt;25",IF(E1004&lt;35,"25-&lt;35","35+")))))</x:f>
        <x:v>10-&lt;20</x:v>
      </x:c>
    </x:row>
    <x:row r="1005">
      <x:c r="A1005" t="str">
        <x:v>SYN0001004</x:v>
      </x:c>
      <x:c r="B1005" s="12" t="n">
        <x:v>41485</x:v>
      </x:c>
      <x:c r="C1005" s="18" t="n">
        <x:v>13083</x:v>
      </x:c>
      <x:c r="D1005" s="18" t="n">
        <x:v>55143</x:v>
      </x:c>
      <x:c r="E1005" s="18" t="n">
        <x:v>5.32</x:v>
      </x:c>
      <x:c r="F1005" s="18" t="n">
        <x:v>15.15</x:v>
      </x:c>
      <x:c r="G1005" t="n">
        <x:v>36</x:v>
      </x:c>
      <x:c r="H1005" t="str">
        <x:v>D</x:v>
      </x:c>
      <x:c r="I1005" t="str">
        <x:v>7-9 years</x:v>
      </x:c>
      <x:c r="J1005" t="str">
        <x:v>RENT</x:v>
      </x:c>
      <x:c r="K1005" t="str">
        <x:v>credit_card</x:v>
      </x:c>
      <x:c r="L1005" t="n">
        <x:v>1</x:v>
      </x:c>
      <x:c r="M1005" t="n">
        <x:v>0</x:v>
      </x:c>
      <x:c r="N1005" t="str">
        <x:v>Fully Paid</x:v>
      </x:c>
      <x:c r="O1005" t="str">
        <x:f>IF(D1005="","Unknown",IF(D1005&lt;25000,"&lt;$25k",IF(D1005&lt;50000,"$25k-$50k",IF(D1005&lt;75000,"$50k-$75k",IF(D1005&lt;100000,"$75k-$100k","$100k+")))))</x:f>
        <x:v>$50k-$75k</x:v>
      </x:c>
      <x:c r="P1005" t="str">
        <x:f>IF(E1005="","Unknown",IF(E1005&lt;10,"&lt;10",IF(E1005&lt;20,"10-&lt;20",IF(E1005&lt;25,"20-&lt;25",IF(E1005&lt;35,"25-&lt;35","35+")))))</x:f>
        <x:v>&lt;10</x:v>
      </x:c>
    </x:row>
    <x:row r="1006">
      <x:c r="A1006" t="str">
        <x:v>SYN0001005</x:v>
      </x:c>
      <x:c r="B1006" s="12" t="n">
        <x:v>43015</x:v>
      </x:c>
      <x:c r="C1006" s="18" t="n">
        <x:v>9556</x:v>
      </x:c>
      <x:c r="D1006" s="18" t="n">
        <x:v>39084</x:v>
      </x:c>
      <x:c r="E1006" s="18" t="n">
        <x:v>5.61</x:v>
      </x:c>
      <x:c r="F1006" s="18" t="n">
        <x:v>12.16</x:v>
      </x:c>
      <x:c r="G1006" t="n">
        <x:v>36</x:v>
      </x:c>
      <x:c r="H1006" t="str">
        <x:v>C</x:v>
      </x:c>
      <x:c r="I1006" t="str">
        <x:v>1-3 years</x:v>
      </x:c>
      <x:c r="J1006" t="str">
        <x:v>MORTGAGE</x:v>
      </x:c>
      <x:c r="K1006" t="str">
        <x:v>debt_consolidation</x:v>
      </x:c>
      <x:c r="L1006" t="n">
        <x:v>1</x:v>
      </x:c>
      <x:c r="M1006" t="n">
        <x:v>0</x:v>
      </x:c>
      <x:c r="N1006" t="str">
        <x:v>Fully Paid</x:v>
      </x:c>
      <x:c r="O1006" t="str">
        <x:f>IF(D1006="","Unknown",IF(D1006&lt;25000,"&lt;$25k",IF(D1006&lt;50000,"$25k-$50k",IF(D1006&lt;75000,"$50k-$75k",IF(D1006&lt;100000,"$75k-$100k","$100k+")))))</x:f>
        <x:v>$25k-$50k</x:v>
      </x:c>
      <x:c r="P1006" t="str">
        <x:f>IF(E1006="","Unknown",IF(E1006&lt;10,"&lt;10",IF(E1006&lt;20,"10-&lt;20",IF(E1006&lt;25,"20-&lt;25",IF(E1006&lt;35,"25-&lt;35","35+")))))</x:f>
        <x:v>&lt;10</x:v>
      </x:c>
    </x:row>
    <x:row r="1007">
      <x:c r="A1007" t="str">
        <x:v>SYN0001006</x:v>
      </x:c>
      <x:c r="B1007" s="12" t="n">
        <x:v>43315</x:v>
      </x:c>
      <x:c r="C1007" s="18" t="n">
        <x:v>12940</x:v>
      </x:c>
      <x:c r="D1007" s="18" t="n">
        <x:v>26157</x:v>
      </x:c>
      <x:c r="E1007" s="18" t="n">
        <x:v>9.47</x:v>
      </x:c>
      <x:c r="F1007" s="18" t="n">
        <x:v>7.81</x:v>
      </x:c>
      <x:c r="G1007" t="n">
        <x:v>36</x:v>
      </x:c>
      <x:c r="H1007" t="str">
        <x:v>A</x:v>
      </x:c>
      <x:c r="I1007" t="str">
        <x:v>1-3 years</x:v>
      </x:c>
      <x:c r="J1007" t="str">
        <x:v>OWN</x:v>
      </x:c>
      <x:c r="K1007" t="str">
        <x:v>other</x:v>
      </x:c>
      <x:c r="L1007" t="n">
        <x:v>0</x:v>
      </x:c>
      <x:c r="M1007" t="n">
        <x:v>0</x:v>
      </x:c>
      <x:c r="N1007" t="str">
        <x:v>Fully Paid</x:v>
      </x:c>
      <x:c r="O1007" t="str">
        <x:f>IF(D1007="","Unknown",IF(D1007&lt;25000,"&lt;$25k",IF(D1007&lt;50000,"$25k-$50k",IF(D1007&lt;75000,"$50k-$75k",IF(D1007&lt;100000,"$75k-$100k","$100k+")))))</x:f>
        <x:v>$25k-$50k</x:v>
      </x:c>
      <x:c r="P1007" t="str">
        <x:f>IF(E1007="","Unknown",IF(E1007&lt;10,"&lt;10",IF(E1007&lt;20,"10-&lt;20",IF(E1007&lt;25,"20-&lt;25",IF(E1007&lt;35,"25-&lt;35","35+")))))</x:f>
        <x:v>&lt;10</x:v>
      </x:c>
    </x:row>
    <x:row r="1008">
      <x:c r="A1008" t="str">
        <x:v>SYN0001007</x:v>
      </x:c>
      <x:c r="B1008" s="12" t="n">
        <x:v>43045</x:v>
      </x:c>
      <x:c r="C1008" s="18" t="n">
        <x:v>13946</x:v>
      </x:c>
      <x:c r="D1008" s="18" t="n">
        <x:v>12084</x:v>
      </x:c>
      <x:c r="E1008" s="18" t="n">
        <x:v>10.1</x:v>
      </x:c>
      <x:c r="F1008" s="18" t="n">
        <x:v>5.46</x:v>
      </x:c>
      <x:c r="G1008" t="n">
        <x:v>36</x:v>
      </x:c>
      <x:c r="H1008" t="str">
        <x:v>B</x:v>
      </x:c>
      <x:c r="I1008" t="str">
        <x:v>1-3 years</x:v>
      </x:c>
      <x:c r="J1008" t="str">
        <x:v>RENT</x:v>
      </x:c>
      <x:c r="K1008" t="str">
        <x:v>debt_consolidation</x:v>
      </x:c>
      <x:c r="L1008" t="n">
        <x:v>0</x:v>
      </x:c>
      <x:c r="M1008" t="n">
        <x:v>0</x:v>
      </x:c>
      <x:c r="N1008" t="str">
        <x:v>Fully Paid</x:v>
      </x:c>
      <x:c r="O1008" t="str">
        <x:f>IF(D1008="","Unknown",IF(D1008&lt;25000,"&lt;$25k",IF(D1008&lt;50000,"$25k-$50k",IF(D1008&lt;75000,"$50k-$75k",IF(D1008&lt;100000,"$75k-$100k","$100k+")))))</x:f>
        <x:v>&lt;$25k</x:v>
      </x:c>
      <x:c r="P1008" t="str">
        <x:f>IF(E1008="","Unknown",IF(E1008&lt;10,"&lt;10",IF(E1008&lt;20,"10-&lt;20",IF(E1008&lt;25,"20-&lt;25",IF(E1008&lt;35,"25-&lt;35","35+")))))</x:f>
        <x:v>10-&lt;20</x:v>
      </x:c>
    </x:row>
    <x:row r="1009">
      <x:c r="A1009" t="str">
        <x:v>SYN0001008</x:v>
      </x:c>
      <x:c r="B1009" s="12" t="n">
        <x:v>41635</x:v>
      </x:c>
      <x:c r="C1009" s="18" t="n">
        <x:v>16099</x:v>
      </x:c>
      <x:c r="D1009" s="18" t="n">
        <x:v>38283</x:v>
      </x:c>
      <x:c r="E1009" s="18" t="n">
        <x:v>27.18</x:v>
      </x:c>
      <x:c r="F1009" s="18" t="n">
        <x:v>5.41</x:v>
      </x:c>
      <x:c r="G1009" t="n">
        <x:v>60</x:v>
      </x:c>
      <x:c r="H1009" t="str">
        <x:v>B</x:v>
      </x:c>
      <x:c r="I1009" t="str">
        <x:v>7-9 years</x:v>
      </x:c>
      <x:c r="J1009" t="str">
        <x:v>RENT</x:v>
      </x:c>
      <x:c r="K1009" t="str">
        <x:v>debt_consolidation</x:v>
      </x:c>
      <x:c r="L1009" t="n">
        <x:v>0</x:v>
      </x:c>
      <x:c r="M1009" t="n">
        <x:v>0</x:v>
      </x:c>
      <x:c r="N1009" t="str">
        <x:v>Fully Paid</x:v>
      </x:c>
      <x:c r="O1009" t="str">
        <x:f>IF(D1009="","Unknown",IF(D1009&lt;25000,"&lt;$25k",IF(D1009&lt;50000,"$25k-$50k",IF(D1009&lt;75000,"$50k-$75k",IF(D1009&lt;100000,"$75k-$100k","$100k+")))))</x:f>
        <x:v>$25k-$50k</x:v>
      </x:c>
      <x:c r="P1009" t="str">
        <x:f>IF(E1009="","Unknown",IF(E1009&lt;10,"&lt;10",IF(E1009&lt;20,"10-&lt;20",IF(E1009&lt;25,"20-&lt;25",IF(E1009&lt;35,"25-&lt;35","35+")))))</x:f>
        <x:v>25-&lt;35</x:v>
      </x:c>
    </x:row>
    <x:row r="1010">
      <x:c r="A1010" t="str">
        <x:v>SYN0001009</x:v>
      </x:c>
      <x:c r="B1010" s="12" t="n">
        <x:v>41455</x:v>
      </x:c>
      <x:c r="C1010" s="18" t="n">
        <x:v>14419</x:v>
      </x:c>
      <x:c r="D1010" s="18" t="n">
        <x:v>45685</x:v>
      </x:c>
      <x:c r="E1010" s="18" t="n">
        <x:v>20.08</x:v>
      </x:c>
      <x:c r="F1010" s="18" t="n">
        <x:v>12.1</x:v>
      </x:c>
      <x:c r="G1010" t="n">
        <x:v>60</x:v>
      </x:c>
      <x:c r="H1010" t="str">
        <x:v>C</x:v>
      </x:c>
      <x:c r="I1010" t="str">
        <x:v>10+ years</x:v>
      </x:c>
      <x:c r="J1010" t="str">
        <x:v>MORTGAGE</x:v>
      </x:c>
      <x:c r="K1010" t="str">
        <x:v>major_purchase</x:v>
      </x:c>
      <x:c r="L1010" t="n">
        <x:v>0</x:v>
      </x:c>
      <x:c r="M1010" t="n">
        <x:v>0</x:v>
      </x:c>
      <x:c r="N1010" t="str">
        <x:v>Fully Paid</x:v>
      </x:c>
      <x:c r="O1010" t="str">
        <x:f>IF(D1010="","Unknown",IF(D1010&lt;25000,"&lt;$25k",IF(D1010&lt;50000,"$25k-$50k",IF(D1010&lt;75000,"$50k-$75k",IF(D1010&lt;100000,"$75k-$100k","$100k+")))))</x:f>
        <x:v>$25k-$50k</x:v>
      </x:c>
      <x:c r="P1010" t="str">
        <x:f>IF(E1010="","Unknown",IF(E1010&lt;10,"&lt;10",IF(E1010&lt;20,"10-&lt;20",IF(E1010&lt;25,"20-&lt;25",IF(E1010&lt;35,"25-&lt;35","35+")))))</x:f>
        <x:v>20-&lt;25</x:v>
      </x:c>
    </x:row>
    <x:row r="1011">
      <x:c r="A1011" t="str">
        <x:v>SYN0001010</x:v>
      </x:c>
      <x:c r="B1011" s="12" t="n">
        <x:v>43225</x:v>
      </x:c>
      <x:c r="C1011" s="18" t="n">
        <x:v>11962</x:v>
      </x:c>
      <x:c r="D1011" s="18" t="n">
        <x:v>34233</x:v>
      </x:c>
      <x:c r="E1011" s="18" t="n">
        <x:v>26.79</x:v>
      </x:c>
      <x:c r="F1011" s="18" t="n">
        <x:v>8.63</x:v>
      </x:c>
      <x:c r="G1011" t="n">
        <x:v>36</x:v>
      </x:c>
      <x:c r="H1011" t="str">
        <x:v>A</x:v>
      </x:c>
      <x:c r="I1011" t="str">
        <x:v>1-3 years</x:v>
      </x:c>
      <x:c r="J1011" t="str">
        <x:v>OWN</x:v>
      </x:c>
      <x:c r="K1011" t="str">
        <x:v>debt_consolidation</x:v>
      </x:c>
      <x:c r="L1011" t="n">
        <x:v>0</x:v>
      </x:c>
      <x:c r="M1011" t="n">
        <x:v>0</x:v>
      </x:c>
      <x:c r="N1011" t="str">
        <x:v>Fully Paid</x:v>
      </x:c>
      <x:c r="O1011" t="str">
        <x:f>IF(D1011="","Unknown",IF(D1011&lt;25000,"&lt;$25k",IF(D1011&lt;50000,"$25k-$50k",IF(D1011&lt;75000,"$50k-$75k",IF(D1011&lt;100000,"$75k-$100k","$100k+")))))</x:f>
        <x:v>$25k-$50k</x:v>
      </x:c>
      <x:c r="P1011" t="str">
        <x:f>IF(E1011="","Unknown",IF(E1011&lt;10,"&lt;10",IF(E1011&lt;20,"10-&lt;20",IF(E1011&lt;25,"20-&lt;25",IF(E1011&lt;35,"25-&lt;35","35+")))))</x:f>
        <x:v>25-&lt;35</x:v>
      </x:c>
    </x:row>
    <x:row r="1012">
      <x:c r="A1012" t="str">
        <x:v>SYN0001011</x:v>
      </x:c>
      <x:c r="B1012" s="12" t="n">
        <x:v>42115</x:v>
      </x:c>
      <x:c r="C1012" s="18" t="n">
        <x:v>12689</x:v>
      </x:c>
      <x:c r="D1012" s="18" t="n">
        <x:v>31735</x:v>
      </x:c>
      <x:c r="E1012" s="18" t="n">
        <x:v>30.22</x:v>
      </x:c>
      <x:c r="F1012" s="18" t="n">
        <x:v>8.11</x:v>
      </x:c>
      <x:c r="G1012" t="n">
        <x:v>60</x:v>
      </x:c>
      <x:c r="H1012" t="str">
        <x:v>A</x:v>
      </x:c>
      <x:c r="I1012" t="str">
        <x:v>4-6 years</x:v>
      </x:c>
      <x:c r="J1012" t="str">
        <x:v>MORTGAGE</x:v>
      </x:c>
      <x:c r="K1012" t="str">
        <x:v>debt_consolidation</x:v>
      </x:c>
      <x:c r="L1012" t="n">
        <x:v>0</x:v>
      </x:c>
      <x:c r="M1012" t="n">
        <x:v>0</x:v>
      </x:c>
      <x:c r="N1012" t="str">
        <x:v>Fully Paid</x:v>
      </x:c>
      <x:c r="O1012" t="str">
        <x:f>IF(D1012="","Unknown",IF(D1012&lt;25000,"&lt;$25k",IF(D1012&lt;50000,"$25k-$50k",IF(D1012&lt;75000,"$50k-$75k",IF(D1012&lt;100000,"$75k-$100k","$100k+")))))</x:f>
        <x:v>$25k-$50k</x:v>
      </x:c>
      <x:c r="P1012" t="str">
        <x:f>IF(E1012="","Unknown",IF(E1012&lt;10,"&lt;10",IF(E1012&lt;20,"10-&lt;20",IF(E1012&lt;25,"20-&lt;25",IF(E1012&lt;35,"25-&lt;35","35+")))))</x:f>
        <x:v>25-&lt;35</x:v>
      </x:c>
    </x:row>
    <x:row r="1013">
      <x:c r="A1013" t="str">
        <x:v>SYN0001012</x:v>
      </x:c>
      <x:c r="B1013" s="12" t="n">
        <x:v>42295</x:v>
      </x:c>
      <x:c r="C1013" s="18" t="n">
        <x:v>8990</x:v>
      </x:c>
      <x:c r="D1013" s="18" t="n">
        <x:v>28470</x:v>
      </x:c>
      <x:c r="E1013" s="18" t="n">
        <x:v>35.52</x:v>
      </x:c>
      <x:c r="F1013" s="18" t="n">
        <x:v>22.71</x:v>
      </x:c>
      <x:c r="G1013" t="n">
        <x:v>36</x:v>
      </x:c>
      <x:c r="H1013" t="str">
        <x:v>F</x:v>
      </x:c>
      <x:c r="I1013" t="str">
        <x:v>10+ years</x:v>
      </x:c>
      <x:c r="J1013" t="str">
        <x:v>RENT</x:v>
      </x:c>
      <x:c r="K1013" t="str">
        <x:v>debt_consolidation</x:v>
      </x:c>
      <x:c r="L1013" t="n">
        <x:v>1</x:v>
      </x:c>
      <x:c r="M1013" t="n">
        <x:v>1</x:v>
      </x:c>
      <x:c r="N1013" t="str">
        <x:v>Charged Off</x:v>
      </x:c>
      <x:c r="O1013" t="str">
        <x:f>IF(D1013="","Unknown",IF(D1013&lt;25000,"&lt;$25k",IF(D1013&lt;50000,"$25k-$50k",IF(D1013&lt;75000,"$50k-$75k",IF(D1013&lt;100000,"$75k-$100k","$100k+")))))</x:f>
        <x:v>$25k-$50k</x:v>
      </x:c>
      <x:c r="P1013" t="str">
        <x:f>IF(E1013="","Unknown",IF(E1013&lt;10,"&lt;10",IF(E1013&lt;20,"10-&lt;20",IF(E1013&lt;25,"20-&lt;25",IF(E1013&lt;35,"25-&lt;35","35+")))))</x:f>
        <x:v>35+</x:v>
      </x:c>
    </x:row>
    <x:row r="1014">
      <x:c r="A1014" t="str">
        <x:v>SYN0001013</x:v>
      </x:c>
      <x:c r="B1014" s="12" t="n">
        <x:v>41455</x:v>
      </x:c>
      <x:c r="C1014" s="18" t="n">
        <x:v>12472</x:v>
      </x:c>
      <x:c r="D1014" s="18" t="n">
        <x:v>28304</x:v>
      </x:c>
      <x:c r="E1014" s="18" t="n">
        <x:v>11.72</x:v>
      </x:c>
      <x:c r="F1014" s="18" t="n">
        <x:v>9</x:v>
      </x:c>
      <x:c r="G1014" t="n">
        <x:v>36</x:v>
      </x:c>
      <x:c r="H1014" t="str">
        <x:v>B</x:v>
      </x:c>
      <x:c r="I1014" t="str">
        <x:v>4-6 years</x:v>
      </x:c>
      <x:c r="J1014" t="str">
        <x:v>RENT</x:v>
      </x:c>
      <x:c r="K1014" t="str">
        <x:v>debt_consolidation</x:v>
      </x:c>
      <x:c r="L1014" t="n">
        <x:v>1</x:v>
      </x:c>
      <x:c r="M1014" t="n">
        <x:v>0</x:v>
      </x:c>
      <x:c r="N1014" t="str">
        <x:v>Fully Paid</x:v>
      </x:c>
      <x:c r="O1014" t="str">
        <x:f>IF(D1014="","Unknown",IF(D1014&lt;25000,"&lt;$25k",IF(D1014&lt;50000,"$25k-$50k",IF(D1014&lt;75000,"$50k-$75k",IF(D1014&lt;100000,"$75k-$100k","$100k+")))))</x:f>
        <x:v>$25k-$50k</x:v>
      </x:c>
      <x:c r="P1014" t="str">
        <x:f>IF(E1014="","Unknown",IF(E1014&lt;10,"&lt;10",IF(E1014&lt;20,"10-&lt;20",IF(E1014&lt;25,"20-&lt;25",IF(E1014&lt;35,"25-&lt;35","35+")))))</x:f>
        <x:v>10-&lt;20</x:v>
      </x:c>
    </x:row>
    <x:row r="1015">
      <x:c r="A1015" t="str">
        <x:v>SYN0001014</x:v>
      </x:c>
      <x:c r="B1015" s="12" t="n">
        <x:v>42295</x:v>
      </x:c>
      <x:c r="C1015" s="18" t="n">
        <x:v>17028</x:v>
      </x:c>
      <x:c r="D1015" s="18" t="n">
        <x:v>49785</x:v>
      </x:c>
      <x:c r="E1015" s="18" t="n">
        <x:v>8.37</x:v>
      </x:c>
      <x:c r="F1015" s="18" t="n">
        <x:v>13.74</x:v>
      </x:c>
      <x:c r="G1015" t="n">
        <x:v>36</x:v>
      </x:c>
      <x:c r="H1015" t="str">
        <x:v>D</x:v>
      </x:c>
      <x:c r="I1015" t="str">
        <x:v>7-9 years</x:v>
      </x:c>
      <x:c r="J1015" t="str">
        <x:v>MORTGAGE</x:v>
      </x:c>
      <x:c r="K1015" t="str">
        <x:v>debt_consolidation</x:v>
      </x:c>
      <x:c r="L1015" t="n">
        <x:v>2</x:v>
      </x:c>
      <x:c r="M1015" t="n">
        <x:v>0</x:v>
      </x:c>
      <x:c r="N1015" t="str">
        <x:v>Fully Paid</x:v>
      </x:c>
      <x:c r="O1015" t="str">
        <x:f>IF(D1015="","Unknown",IF(D1015&lt;25000,"&lt;$25k",IF(D1015&lt;50000,"$25k-$50k",IF(D1015&lt;75000,"$50k-$75k",IF(D1015&lt;100000,"$75k-$100k","$100k+")))))</x:f>
        <x:v>$25k-$50k</x:v>
      </x:c>
      <x:c r="P1015" t="str">
        <x:f>IF(E1015="","Unknown",IF(E1015&lt;10,"&lt;10",IF(E1015&lt;20,"10-&lt;20",IF(E1015&lt;25,"20-&lt;25",IF(E1015&lt;35,"25-&lt;35","35+")))))</x:f>
        <x:v>&lt;10</x:v>
      </x:c>
    </x:row>
    <x:row r="1016">
      <x:c r="A1016" t="str">
        <x:v>SYN0001015</x:v>
      </x:c>
      <x:c r="B1016" s="12" t="n">
        <x:v>41905</x:v>
      </x:c>
      <x:c r="C1016" s="18" t="n">
        <x:v>24529</x:v>
      </x:c>
      <x:c r="D1016" s="18" t="n">
        <x:v>49331</x:v>
      </x:c>
      <x:c r="E1016" s="18" t="n">
        <x:v>39.56</x:v>
      </x:c>
      <x:c r="F1016" s="18" t="n">
        <x:v>16.01</x:v>
      </x:c>
      <x:c r="G1016" t="n">
        <x:v>36</x:v>
      </x:c>
      <x:c r="H1016" t="str">
        <x:v>E</x:v>
      </x:c>
      <x:c r="I1016" t="str">
        <x:v>7-9 years</x:v>
      </x:c>
      <x:c r="J1016" t="str">
        <x:v>MORTGAGE</x:v>
      </x:c>
      <x:c r="K1016" t="str">
        <x:v>other</x:v>
      </x:c>
      <x:c r="L1016" t="n">
        <x:v>1</x:v>
      </x:c>
      <x:c r="M1016" t="n">
        <x:v>1</x:v>
      </x:c>
      <x:c r="N1016" t="str">
        <x:v>Charged Off</x:v>
      </x:c>
      <x:c r="O1016" t="str">
        <x:f>IF(D1016="","Unknown",IF(D1016&lt;25000,"&lt;$25k",IF(D1016&lt;50000,"$25k-$50k",IF(D1016&lt;75000,"$50k-$75k",IF(D1016&lt;100000,"$75k-$100k","$100k+")))))</x:f>
        <x:v>$25k-$50k</x:v>
      </x:c>
      <x:c r="P1016" t="str">
        <x:f>IF(E1016="","Unknown",IF(E1016&lt;10,"&lt;10",IF(E1016&lt;20,"10-&lt;20",IF(E1016&lt;25,"20-&lt;25",IF(E1016&lt;35,"25-&lt;35","35+")))))</x:f>
        <x:v>35+</x:v>
      </x:c>
    </x:row>
    <x:row r="1017">
      <x:c r="A1017" t="str">
        <x:v>SYN0001016</x:v>
      </x:c>
      <x:c r="B1017" s="12" t="n">
        <x:v>43135</x:v>
      </x:c>
      <x:c r="C1017" s="18" t="n">
        <x:v>15194</x:v>
      </x:c>
      <x:c r="D1017" s="18" t="n">
        <x:v>102852</x:v>
      </x:c>
      <x:c r="E1017" s="18" t="n">
        <x:v>18.13</x:v>
      </x:c>
      <x:c r="F1017" s="18" t="n">
        <x:v>10.92</x:v>
      </x:c>
      <x:c r="G1017" t="n">
        <x:v>36</x:v>
      </x:c>
      <x:c r="H1017" t="str">
        <x:v>C</x:v>
      </x:c>
      <x:c r="I1017" t="str">
        <x:v>&lt;1 year</x:v>
      </x:c>
      <x:c r="J1017" t="str">
        <x:v>OTHER</x:v>
      </x:c>
      <x:c r="K1017" t="str">
        <x:v>credit_card</x:v>
      </x:c>
      <x:c r="L1017" t="n">
        <x:v>1</x:v>
      </x:c>
      <x:c r="M1017" t="n">
        <x:v>0</x:v>
      </x:c>
      <x:c r="N1017" t="str">
        <x:v>Fully Paid</x:v>
      </x:c>
      <x:c r="O1017" t="str">
        <x:f>IF(D1017="","Unknown",IF(D1017&lt;25000,"&lt;$25k",IF(D1017&lt;50000,"$25k-$50k",IF(D1017&lt;75000,"$50k-$75k",IF(D1017&lt;100000,"$75k-$100k","$100k+")))))</x:f>
        <x:v>$100k+</x:v>
      </x:c>
      <x:c r="P1017" t="str">
        <x:f>IF(E1017="","Unknown",IF(E1017&lt;10,"&lt;10",IF(E1017&lt;20,"10-&lt;20",IF(E1017&lt;25,"20-&lt;25",IF(E1017&lt;35,"25-&lt;35","35+")))))</x:f>
        <x:v>10-&lt;20</x:v>
      </x:c>
    </x:row>
    <x:row r="1018">
      <x:c r="A1018" t="str">
        <x:v>SYN0001017</x:v>
      </x:c>
      <x:c r="B1018" s="12" t="n">
        <x:v>41695</x:v>
      </x:c>
      <x:c r="C1018" s="18" t="n">
        <x:v>7601</x:v>
      </x:c>
      <x:c r="D1018" s="18" t="n">
        <x:v>20271</x:v>
      </x:c>
      <x:c r="E1018" s="18" t="n">
        <x:v>13.43</x:v>
      </x:c>
      <x:c r="F1018" s="18" t="n">
        <x:v>7.88</x:v>
      </x:c>
      <x:c r="G1018" t="n">
        <x:v>36</x:v>
      </x:c>
      <x:c r="H1018" t="str">
        <x:v>C</x:v>
      </x:c>
      <x:c r="I1018" t="str">
        <x:v>10+ years</x:v>
      </x:c>
      <x:c r="J1018" t="str">
        <x:v>RENT</x:v>
      </x:c>
      <x:c r="K1018" t="str">
        <x:v>debt_consolidation</x:v>
      </x:c>
      <x:c r="L1018" t="n">
        <x:v>0</x:v>
      </x:c>
      <x:c r="M1018" t="n">
        <x:v>0</x:v>
      </x:c>
      <x:c r="N1018" t="str">
        <x:v>Fully Paid</x:v>
      </x:c>
      <x:c r="O1018" t="str">
        <x:f>IF(D1018="","Unknown",IF(D1018&lt;25000,"&lt;$25k",IF(D1018&lt;50000,"$25k-$50k",IF(D1018&lt;75000,"$50k-$75k",IF(D1018&lt;100000,"$75k-$100k","$100k+")))))</x:f>
        <x:v>&lt;$25k</x:v>
      </x:c>
      <x:c r="P1018" t="str">
        <x:f>IF(E1018="","Unknown",IF(E1018&lt;10,"&lt;10",IF(E1018&lt;20,"10-&lt;20",IF(E1018&lt;25,"20-&lt;25",IF(E1018&lt;35,"25-&lt;35","35+")))))</x:f>
        <x:v>10-&lt;20</x:v>
      </x:c>
    </x:row>
    <x:row r="1019">
      <x:c r="A1019" t="str">
        <x:v>SYN0001018</x:v>
      </x:c>
      <x:c r="B1019" s="12" t="n">
        <x:v>42055</x:v>
      </x:c>
      <x:c r="C1019" s="18" t="n">
        <x:v>8574</x:v>
      </x:c>
      <x:c r="D1019" s="18" t="n">
        <x:v>73663</x:v>
      </x:c>
      <x:c r="E1019" s="18" t="n">
        <x:v>21.05</x:v>
      </x:c>
      <x:c r="F1019" s="18" t="n">
        <x:v>8.8</x:v>
      </x:c>
      <x:c r="G1019" t="n">
        <x:v>36</x:v>
      </x:c>
      <x:c r="H1019" t="str">
        <x:v>B</x:v>
      </x:c>
      <x:c r="I1019" t="str">
        <x:v>&lt;1 year</x:v>
      </x:c>
      <x:c r="J1019" t="str">
        <x:v>RENT</x:v>
      </x:c>
      <x:c r="K1019" t="str">
        <x:v>major_purchase</x:v>
      </x:c>
      <x:c r="L1019" t="n">
        <x:v>0</x:v>
      </x:c>
      <x:c r="M1019" t="n">
        <x:v>0</x:v>
      </x:c>
      <x:c r="N1019" t="str">
        <x:v>Fully Paid</x:v>
      </x:c>
      <x:c r="O1019" t="str">
        <x:f>IF(D1019="","Unknown",IF(D1019&lt;25000,"&lt;$25k",IF(D1019&lt;50000,"$25k-$50k",IF(D1019&lt;75000,"$50k-$75k",IF(D1019&lt;100000,"$75k-$100k","$100k+")))))</x:f>
        <x:v>$50k-$75k</x:v>
      </x:c>
      <x:c r="P1019" t="str">
        <x:f>IF(E1019="","Unknown",IF(E1019&lt;10,"&lt;10",IF(E1019&lt;20,"10-&lt;20",IF(E1019&lt;25,"20-&lt;25",IF(E1019&lt;35,"25-&lt;35","35+")))))</x:f>
        <x:v>20-&lt;25</x:v>
      </x:c>
    </x:row>
    <x:row r="1020">
      <x:c r="A1020" t="str">
        <x:v>SYN0001019</x:v>
      </x:c>
      <x:c r="B1020" s="12" t="n">
        <x:v>43195</x:v>
      </x:c>
      <x:c r="C1020" s="18" t="n">
        <x:v>25290</x:v>
      </x:c>
      <x:c r="D1020" s="18" t="n">
        <x:v>58666</x:v>
      </x:c>
      <x:c r="E1020" s="18" t="n">
        <x:v>24.34</x:v>
      </x:c>
      <x:c r="F1020" s="18" t="n">
        <x:v>13.32</x:v>
      </x:c>
      <x:c r="G1020" t="n">
        <x:v>36</x:v>
      </x:c>
      <x:c r="H1020" t="str">
        <x:v>D</x:v>
      </x:c>
      <x:c r="I1020" t="str">
        <x:v>10+ years</x:v>
      </x:c>
      <x:c r="J1020" t="str">
        <x:v>MORTGAGE</x:v>
      </x:c>
      <x:c r="K1020" t="str">
        <x:v>debt_consolidation</x:v>
      </x:c>
      <x:c r="L1020" t="n">
        <x:v>1</x:v>
      </x:c>
      <x:c r="M1020" t="n">
        <x:v>0</x:v>
      </x:c>
      <x:c r="N1020" t="str">
        <x:v>Fully Paid</x:v>
      </x:c>
      <x:c r="O1020" t="str">
        <x:f>IF(D1020="","Unknown",IF(D1020&lt;25000,"&lt;$25k",IF(D1020&lt;50000,"$25k-$50k",IF(D1020&lt;75000,"$50k-$75k",IF(D1020&lt;100000,"$75k-$100k","$100k+")))))</x:f>
        <x:v>$50k-$75k</x:v>
      </x:c>
      <x:c r="P1020" t="str">
        <x:f>IF(E1020="","Unknown",IF(E1020&lt;10,"&lt;10",IF(E1020&lt;20,"10-&lt;20",IF(E1020&lt;25,"20-&lt;25",IF(E1020&lt;35,"25-&lt;35","35+")))))</x:f>
        <x:v>20-&lt;25</x:v>
      </x:c>
    </x:row>
    <x:row r="1021">
      <x:c r="A1021" t="str">
        <x:v>SYN0001020</x:v>
      </x:c>
      <x:c r="B1021" s="12" t="n">
        <x:v>43105</x:v>
      </x:c>
      <x:c r="C1021" s="18" t="n">
        <x:v>40000</x:v>
      </x:c>
      <x:c r="D1021" s="18" t="n">
        <x:v>34568</x:v>
      </x:c>
      <x:c r="E1021" s="18" t="n">
        <x:v>12.18</x:v>
      </x:c>
      <x:c r="F1021" s="18" t="n">
        <x:v>18.18</x:v>
      </x:c>
      <x:c r="G1021" t="n">
        <x:v>36</x:v>
      </x:c>
      <x:c r="H1021" t="str">
        <x:v>E</x:v>
      </x:c>
      <x:c r="I1021" t="str">
        <x:v>4-6 years</x:v>
      </x:c>
      <x:c r="J1021" t="str">
        <x:v>RENT</x:v>
      </x:c>
      <x:c r="K1021" t="str">
        <x:v>credit_card</x:v>
      </x:c>
      <x:c r="L1021" t="n">
        <x:v>2</x:v>
      </x:c>
      <x:c r="M1021" t="n">
        <x:v>0</x:v>
      </x:c>
      <x:c r="N1021" t="str">
        <x:v>Fully Paid</x:v>
      </x:c>
      <x:c r="O1021" t="str">
        <x:f>IF(D1021="","Unknown",IF(D1021&lt;25000,"&lt;$25k",IF(D1021&lt;50000,"$25k-$50k",IF(D1021&lt;75000,"$50k-$75k",IF(D1021&lt;100000,"$75k-$100k","$100k+")))))</x:f>
        <x:v>$25k-$50k</x:v>
      </x:c>
      <x:c r="P1021" t="str">
        <x:f>IF(E1021="","Unknown",IF(E1021&lt;10,"&lt;10",IF(E1021&lt;20,"10-&lt;20",IF(E1021&lt;25,"20-&lt;25",IF(E1021&lt;35,"25-&lt;35","35+")))))</x:f>
        <x:v>10-&lt;20</x:v>
      </x:c>
    </x:row>
    <x:row r="1022">
      <x:c r="A1022" t="str">
        <x:v>SYN0001021</x:v>
      </x:c>
      <x:c r="B1022" s="12" t="n">
        <x:v>43225</x:v>
      </x:c>
      <x:c r="C1022" s="18" t="n">
        <x:v>14618</x:v>
      </x:c>
      <x:c r="D1022" s="18" t="n">
        <x:v>20580</x:v>
      </x:c>
      <x:c r="E1022" s="18" t="n">
        <x:v>30.67</x:v>
      </x:c>
      <x:c r="F1022" s="18" t="n">
        <x:v>10.25</x:v>
      </x:c>
      <x:c r="G1022" t="n">
        <x:v>36</x:v>
      </x:c>
      <x:c r="H1022" t="str">
        <x:v>B</x:v>
      </x:c>
      <x:c r="I1022" t="str">
        <x:v>1-3 years</x:v>
      </x:c>
      <x:c r="J1022" t="str">
        <x:v>RENT</x:v>
      </x:c>
      <x:c r="K1022" t="str">
        <x:v>debt_consolidation</x:v>
      </x:c>
      <x:c r="L1022" t="n">
        <x:v>1</x:v>
      </x:c>
      <x:c r="M1022" t="n">
        <x:v>1</x:v>
      </x:c>
      <x:c r="N1022" t="str">
        <x:v>Charged Off</x:v>
      </x:c>
      <x:c r="O1022" t="str">
        <x:f>IF(D1022="","Unknown",IF(D1022&lt;25000,"&lt;$25k",IF(D1022&lt;50000,"$25k-$50k",IF(D1022&lt;75000,"$50k-$75k",IF(D1022&lt;100000,"$75k-$100k","$100k+")))))</x:f>
        <x:v>&lt;$25k</x:v>
      </x:c>
      <x:c r="P1022" t="str">
        <x:f>IF(E1022="","Unknown",IF(E1022&lt;10,"&lt;10",IF(E1022&lt;20,"10-&lt;20",IF(E1022&lt;25,"20-&lt;25",IF(E1022&lt;35,"25-&lt;35","35+")))))</x:f>
        <x:v>25-&lt;35</x:v>
      </x:c>
    </x:row>
    <x:row r="1023">
      <x:c r="A1023" t="str">
        <x:v>SYN0001022</x:v>
      </x:c>
      <x:c r="B1023" s="12" t="n">
        <x:v>42445</x:v>
      </x:c>
      <x:c r="C1023" s="18" t="n">
        <x:v>10216</x:v>
      </x:c>
      <x:c r="D1023" s="18" t="n">
        <x:v>35004</x:v>
      </x:c>
      <x:c r="E1023" s="18" t="n">
        <x:v>21.48</x:v>
      </x:c>
      <x:c r="F1023" s="18" t="n">
        <x:v>18.16</x:v>
      </x:c>
      <x:c r="G1023" t="n">
        <x:v>60</x:v>
      </x:c>
      <x:c r="H1023" t="str">
        <x:v>E</x:v>
      </x:c>
      <x:c r="I1023" t="str">
        <x:v>&lt;1 year</x:v>
      </x:c>
      <x:c r="J1023" t="str">
        <x:v>RENT</x:v>
      </x:c>
      <x:c r="K1023" t="str">
        <x:v>debt_consolidation</x:v>
      </x:c>
      <x:c r="L1023" t="n">
        <x:v>0</x:v>
      </x:c>
      <x:c r="M1023" t="n">
        <x:v>0</x:v>
      </x:c>
      <x:c r="N1023" t="str">
        <x:v>Fully Paid</x:v>
      </x:c>
      <x:c r="O1023" t="str">
        <x:f>IF(D1023="","Unknown",IF(D1023&lt;25000,"&lt;$25k",IF(D1023&lt;50000,"$25k-$50k",IF(D1023&lt;75000,"$50k-$75k",IF(D1023&lt;100000,"$75k-$100k","$100k+")))))</x:f>
        <x:v>$25k-$50k</x:v>
      </x:c>
      <x:c r="P1023" t="str">
        <x:f>IF(E1023="","Unknown",IF(E1023&lt;10,"&lt;10",IF(E1023&lt;20,"10-&lt;20",IF(E1023&lt;25,"20-&lt;25",IF(E1023&lt;35,"25-&lt;35","35+")))))</x:f>
        <x:v>20-&lt;25</x:v>
      </x:c>
    </x:row>
    <x:row r="1024">
      <x:c r="A1024" t="str">
        <x:v>SYN0001023</x:v>
      </x:c>
      <x:c r="B1024" s="12" t="n">
        <x:v>43405</x:v>
      </x:c>
      <x:c r="C1024" s="18" t="n">
        <x:v>40000</x:v>
      </x:c>
      <x:c r="D1024" s="18" t="n">
        <x:v>59978</x:v>
      </x:c>
      <x:c r="E1024" s="18" t="n">
        <x:v>12.05</x:v>
      </x:c>
      <x:c r="F1024" s="18" t="n">
        <x:v>17.28</x:v>
      </x:c>
      <x:c r="G1024" t="n">
        <x:v>36</x:v>
      </x:c>
      <x:c r="H1024" t="str">
        <x:v>E</x:v>
      </x:c>
      <x:c r="I1024" t="str">
        <x:v>7-9 years</x:v>
      </x:c>
      <x:c r="J1024" t="str">
        <x:v>MORTGAGE</x:v>
      </x:c>
      <x:c r="K1024" t="str">
        <x:v>credit_card</x:v>
      </x:c>
      <x:c r="L1024" t="n">
        <x:v>0</x:v>
      </x:c>
      <x:c r="M1024" t="n">
        <x:v>0</x:v>
      </x:c>
      <x:c r="N1024" t="str">
        <x:v>Fully Paid</x:v>
      </x:c>
      <x:c r="O1024" t="str">
        <x:f>IF(D1024="","Unknown",IF(D1024&lt;25000,"&lt;$25k",IF(D1024&lt;50000,"$25k-$50k",IF(D1024&lt;75000,"$50k-$75k",IF(D1024&lt;100000,"$75k-$100k","$100k+")))))</x:f>
        <x:v>$50k-$75k</x:v>
      </x:c>
      <x:c r="P1024" t="str">
        <x:f>IF(E1024="","Unknown",IF(E1024&lt;10,"&lt;10",IF(E1024&lt;20,"10-&lt;20",IF(E1024&lt;25,"20-&lt;25",IF(E1024&lt;35,"25-&lt;35","35+")))))</x:f>
        <x:v>10-&lt;20</x:v>
      </x:c>
    </x:row>
    <x:row r="1025">
      <x:c r="A1025" t="str">
        <x:v>SYN0001024</x:v>
      </x:c>
      <x:c r="B1025" s="12" t="n">
        <x:v>42685</x:v>
      </x:c>
      <x:c r="C1025" s="18" t="n">
        <x:v>14669</x:v>
      </x:c>
      <x:c r="D1025" s="18" t="n">
        <x:v>49734</x:v>
      </x:c>
      <x:c r="E1025" s="18" t="n">
        <x:v>21.13</x:v>
      </x:c>
      <x:c r="F1025" s="18" t="n">
        <x:v>7.14</x:v>
      </x:c>
      <x:c r="G1025" t="n">
        <x:v>36</x:v>
      </x:c>
      <x:c r="H1025" t="str">
        <x:v>B</x:v>
      </x:c>
      <x:c r="I1025" t="str">
        <x:v>1-3 years</x:v>
      </x:c>
      <x:c r="J1025" t="str">
        <x:v>RENT</x:v>
      </x:c>
      <x:c r="K1025" t="str">
        <x:v>home_improvement</x:v>
      </x:c>
      <x:c r="L1025" t="n">
        <x:v>1</x:v>
      </x:c>
      <x:c r="M1025" t="n">
        <x:v>0</x:v>
      </x:c>
      <x:c r="N1025" t="str">
        <x:v>Fully Paid</x:v>
      </x:c>
      <x:c r="O1025" t="str">
        <x:f>IF(D1025="","Unknown",IF(D1025&lt;25000,"&lt;$25k",IF(D1025&lt;50000,"$25k-$50k",IF(D1025&lt;75000,"$50k-$75k",IF(D1025&lt;100000,"$75k-$100k","$100k+")))))</x:f>
        <x:v>$25k-$50k</x:v>
      </x:c>
      <x:c r="P1025" t="str">
        <x:f>IF(E1025="","Unknown",IF(E1025&lt;10,"&lt;10",IF(E1025&lt;20,"10-&lt;20",IF(E1025&lt;25,"20-&lt;25",IF(E1025&lt;35,"25-&lt;35","35+")))))</x:f>
        <x:v>20-&lt;25</x:v>
      </x:c>
    </x:row>
    <x:row r="1026">
      <x:c r="A1026" t="str">
        <x:v>SYN0001025</x:v>
      </x:c>
      <x:c r="B1026" s="12" t="n">
        <x:v>42865</x:v>
      </x:c>
      <x:c r="C1026" s="18" t="n">
        <x:v>7449</x:v>
      </x:c>
      <x:c r="D1026" s="18" t="n">
        <x:v>73072</x:v>
      </x:c>
      <x:c r="E1026" s="18" t="n">
        <x:v>24.72</x:v>
      </x:c>
      <x:c r="F1026" s="18" t="n">
        <x:v>5</x:v>
      </x:c>
      <x:c r="G1026" t="n">
        <x:v>36</x:v>
      </x:c>
      <x:c r="H1026" t="str">
        <x:v>A</x:v>
      </x:c>
      <x:c r="I1026" t="str">
        <x:v>7-9 years</x:v>
      </x:c>
      <x:c r="J1026" t="str">
        <x:v>RENT</x:v>
      </x:c>
      <x:c r="K1026" t="str">
        <x:v>credit_card</x:v>
      </x:c>
      <x:c r="L1026" t="n">
        <x:v>0</x:v>
      </x:c>
      <x:c r="M1026" t="n">
        <x:v>0</x:v>
      </x:c>
      <x:c r="N1026" t="str">
        <x:v>Fully Paid</x:v>
      </x:c>
      <x:c r="O1026" t="str">
        <x:f>IF(D1026="","Unknown",IF(D1026&lt;25000,"&lt;$25k",IF(D1026&lt;50000,"$25k-$50k",IF(D1026&lt;75000,"$50k-$75k",IF(D1026&lt;100000,"$75k-$100k","$100k+")))))</x:f>
        <x:v>$50k-$75k</x:v>
      </x:c>
      <x:c r="P1026" t="str">
        <x:f>IF(E1026="","Unknown",IF(E1026&lt;10,"&lt;10",IF(E1026&lt;20,"10-&lt;20",IF(E1026&lt;25,"20-&lt;25",IF(E1026&lt;35,"25-&lt;35","35+")))))</x:f>
        <x:v>20-&lt;25</x:v>
      </x:c>
    </x:row>
    <x:row r="1027">
      <x:c r="A1027" t="str">
        <x:v>SYN0001026</x:v>
      </x:c>
      <x:c r="B1027" s="12" t="n">
        <x:v>43045</x:v>
      </x:c>
      <x:c r="C1027" s="18" t="n">
        <x:v>8613</x:v>
      </x:c>
      <x:c r="D1027" s="18" t="n">
        <x:v>22199</x:v>
      </x:c>
      <x:c r="E1027" s="18" t="n">
        <x:v>14.9</x:v>
      </x:c>
      <x:c r="F1027" s="18" t="n">
        <x:v>9.43</x:v>
      </x:c>
      <x:c r="G1027" t="n">
        <x:v>36</x:v>
      </x:c>
      <x:c r="H1027" t="str">
        <x:v>B</x:v>
      </x:c>
      <x:c r="I1027" t="str">
        <x:v>4-6 years</x:v>
      </x:c>
      <x:c r="J1027" t="str">
        <x:v>MORTGAGE</x:v>
      </x:c>
      <x:c r="K1027" t="str">
        <x:v>credit_card</x:v>
      </x:c>
      <x:c r="L1027" t="n">
        <x:v>1</x:v>
      </x:c>
      <x:c r="M1027" t="n">
        <x:v>0</x:v>
      </x:c>
      <x:c r="N1027" t="str">
        <x:v>Fully Paid</x:v>
      </x:c>
      <x:c r="O1027" t="str">
        <x:f>IF(D1027="","Unknown",IF(D1027&lt;25000,"&lt;$25k",IF(D1027&lt;50000,"$25k-$50k",IF(D1027&lt;75000,"$50k-$75k",IF(D1027&lt;100000,"$75k-$100k","$100k+")))))</x:f>
        <x:v>&lt;$25k</x:v>
      </x:c>
      <x:c r="P1027" t="str">
        <x:f>IF(E1027="","Unknown",IF(E1027&lt;10,"&lt;10",IF(E1027&lt;20,"10-&lt;20",IF(E1027&lt;25,"20-&lt;25",IF(E1027&lt;35,"25-&lt;35","35+")))))</x:f>
        <x:v>10-&lt;20</x:v>
      </x:c>
    </x:row>
    <x:row r="1028">
      <x:c r="A1028" t="str">
        <x:v>SYN0001027</x:v>
      </x:c>
      <x:c r="B1028" s="12" t="n">
        <x:v>41935</x:v>
      </x:c>
      <x:c r="C1028" s="18" t="n">
        <x:v>17430</x:v>
      </x:c>
      <x:c r="D1028" s="18" t="n">
        <x:v>118817</x:v>
      </x:c>
      <x:c r="E1028" s="18" t="n">
        <x:v>0.83</x:v>
      </x:c>
      <x:c r="F1028" s="18" t="n">
        <x:v>10.47</x:v>
      </x:c>
      <x:c r="G1028" t="n">
        <x:v>36</x:v>
      </x:c>
      <x:c r="H1028" t="str">
        <x:v>C</x:v>
      </x:c>
      <x:c r="I1028" t="str">
        <x:v>7-9 years</x:v>
      </x:c>
      <x:c r="J1028" t="str">
        <x:v>OWN</x:v>
      </x:c>
      <x:c r="K1028" t="str">
        <x:v>debt_consolidation</x:v>
      </x:c>
      <x:c r="L1028" t="n">
        <x:v>1</x:v>
      </x:c>
      <x:c r="M1028" t="n">
        <x:v>0</x:v>
      </x:c>
      <x:c r="N1028" t="str">
        <x:v>Fully Paid</x:v>
      </x:c>
      <x:c r="O1028" t="str">
        <x:f>IF(D1028="","Unknown",IF(D1028&lt;25000,"&lt;$25k",IF(D1028&lt;50000,"$25k-$50k",IF(D1028&lt;75000,"$50k-$75k",IF(D1028&lt;100000,"$75k-$100k","$100k+")))))</x:f>
        <x:v>$100k+</x:v>
      </x:c>
      <x:c r="P1028" t="str">
        <x:f>IF(E1028="","Unknown",IF(E1028&lt;10,"&lt;10",IF(E1028&lt;20,"10-&lt;20",IF(E1028&lt;25,"20-&lt;25",IF(E1028&lt;35,"25-&lt;35","35+")))))</x:f>
        <x:v>&lt;10</x:v>
      </x:c>
    </x:row>
    <x:row r="1029">
      <x:c r="A1029" t="str">
        <x:v>SYN0001028</x:v>
      </x:c>
      <x:c r="B1029" s="12" t="n">
        <x:v>42685</x:v>
      </x:c>
      <x:c r="C1029" s="18" t="n">
        <x:v>9851</x:v>
      </x:c>
      <x:c r="D1029" s="18" t="n">
        <x:v>199351</x:v>
      </x:c>
      <x:c r="E1029" s="18" t="n">
        <x:v>17.74</x:v>
      </x:c>
      <x:c r="F1029" s="18" t="n">
        <x:v>19.27</x:v>
      </x:c>
      <x:c r="G1029" t="n">
        <x:v>36</x:v>
      </x:c>
      <x:c r="H1029" t="str">
        <x:v>E</x:v>
      </x:c>
      <x:c r="I1029" t="str">
        <x:v>&lt;1 year</x:v>
      </x:c>
      <x:c r="J1029" t="str">
        <x:v>MORTGAGE</x:v>
      </x:c>
      <x:c r="K1029" t="str">
        <x:v>credit_card</x:v>
      </x:c>
      <x:c r="L1029" t="n">
        <x:v>1</x:v>
      </x:c>
      <x:c r="M1029" t="n">
        <x:v>0</x:v>
      </x:c>
      <x:c r="N1029" t="str">
        <x:v>Fully Paid</x:v>
      </x:c>
      <x:c r="O1029" t="str">
        <x:f>IF(D1029="","Unknown",IF(D1029&lt;25000,"&lt;$25k",IF(D1029&lt;50000,"$25k-$50k",IF(D1029&lt;75000,"$50k-$75k",IF(D1029&lt;100000,"$75k-$100k","$100k+")))))</x:f>
        <x:v>$100k+</x:v>
      </x:c>
      <x:c r="P1029" t="str">
        <x:f>IF(E1029="","Unknown",IF(E1029&lt;10,"&lt;10",IF(E1029&lt;20,"10-&lt;20",IF(E1029&lt;25,"20-&lt;25",IF(E1029&lt;35,"25-&lt;35","35+")))))</x:f>
        <x:v>10-&lt;20</x:v>
      </x:c>
    </x:row>
    <x:row r="1030">
      <x:c r="A1030" t="str">
        <x:v>SYN0001029</x:v>
      </x:c>
      <x:c r="B1030" s="12" t="n">
        <x:v>42715</x:v>
      </x:c>
      <x:c r="C1030" s="18" t="n">
        <x:v>9668</x:v>
      </x:c>
      <x:c r="D1030" s="18" t="n">
        <x:v>31606</x:v>
      </x:c>
      <x:c r="E1030" s="18" t="n">
        <x:v>19.3</x:v>
      </x:c>
      <x:c r="F1030" s="18" t="n">
        <x:v>13.38</x:v>
      </x:c>
      <x:c r="G1030" t="n">
        <x:v>36</x:v>
      </x:c>
      <x:c r="H1030" t="str">
        <x:v>D</x:v>
      </x:c>
      <x:c r="I1030" t="str">
        <x:v>1-3 years</x:v>
      </x:c>
      <x:c r="J1030" t="str">
        <x:v>RENT</x:v>
      </x:c>
      <x:c r="K1030" t="str">
        <x:v>credit_card</x:v>
      </x:c>
      <x:c r="L1030" t="n">
        <x:v>1</x:v>
      </x:c>
      <x:c r="M1030" t="n">
        <x:v>0</x:v>
      </x:c>
      <x:c r="N1030" t="str">
        <x:v>Fully Paid</x:v>
      </x:c>
      <x:c r="O1030" t="str">
        <x:f>IF(D1030="","Unknown",IF(D1030&lt;25000,"&lt;$25k",IF(D1030&lt;50000,"$25k-$50k",IF(D1030&lt;75000,"$50k-$75k",IF(D1030&lt;100000,"$75k-$100k","$100k+")))))</x:f>
        <x:v>$25k-$50k</x:v>
      </x:c>
      <x:c r="P1030" t="str">
        <x:f>IF(E1030="","Unknown",IF(E1030&lt;10,"&lt;10",IF(E1030&lt;20,"10-&lt;20",IF(E1030&lt;25,"20-&lt;25",IF(E1030&lt;35,"25-&lt;35","35+")))))</x:f>
        <x:v>10-&lt;20</x:v>
      </x:c>
    </x:row>
    <x:row r="1031">
      <x:c r="A1031" t="str">
        <x:v>SYN0001030</x:v>
      </x:c>
      <x:c r="B1031" s="12" t="n">
        <x:v>41305</x:v>
      </x:c>
      <x:c r="C1031" s="18" t="n">
        <x:v>8707</x:v>
      </x:c>
      <x:c r="D1031" s="18" t="n">
        <x:v>60022</x:v>
      </x:c>
      <x:c r="E1031" s="18" t="n">
        <x:v>18.22</x:v>
      </x:c>
      <x:c r="F1031" s="18" t="n">
        <x:v>8.21</x:v>
      </x:c>
      <x:c r="G1031" t="n">
        <x:v>36</x:v>
      </x:c>
      <x:c r="H1031" t="str">
        <x:v>C</x:v>
      </x:c>
      <x:c r="I1031" t="str">
        <x:v>4-6 years</x:v>
      </x:c>
      <x:c r="J1031" t="str">
        <x:v>RENT</x:v>
      </x:c>
      <x:c r="K1031" t="str">
        <x:v>credit_card</x:v>
      </x:c>
      <x:c r="L1031" t="n">
        <x:v>0</x:v>
      </x:c>
      <x:c r="M1031" t="n">
        <x:v>1</x:v>
      </x:c>
      <x:c r="N1031" t="str">
        <x:v>Charged Off</x:v>
      </x:c>
      <x:c r="O1031" t="str">
        <x:f>IF(D1031="","Unknown",IF(D1031&lt;25000,"&lt;$25k",IF(D1031&lt;50000,"$25k-$50k",IF(D1031&lt;75000,"$50k-$75k",IF(D1031&lt;100000,"$75k-$100k","$100k+")))))</x:f>
        <x:v>$50k-$75k</x:v>
      </x:c>
      <x:c r="P1031" t="str">
        <x:f>IF(E1031="","Unknown",IF(E1031&lt;10,"&lt;10",IF(E1031&lt;20,"10-&lt;20",IF(E1031&lt;25,"20-&lt;25",IF(E1031&lt;35,"25-&lt;35","35+")))))</x:f>
        <x:v>10-&lt;20</x:v>
      </x:c>
    </x:row>
    <x:row r="1032">
      <x:c r="A1032" t="str">
        <x:v>SYN0001031</x:v>
      </x:c>
      <x:c r="B1032" s="12" t="n">
        <x:v>42445</x:v>
      </x:c>
      <x:c r="C1032" s="18" t="n">
        <x:v>18782</x:v>
      </x:c>
      <x:c r="D1032" s="18" t="n">
        <x:v>54843</x:v>
      </x:c>
      <x:c r="E1032" s="18" t="n">
        <x:v>26.99</x:v>
      </x:c>
      <x:c r="F1032" s="18" t="n">
        <x:v>9.49</x:v>
      </x:c>
      <x:c r="G1032" t="n">
        <x:v>36</x:v>
      </x:c>
      <x:c r="H1032" t="str">
        <x:v>B</x:v>
      </x:c>
      <x:c r="I1032" t="str">
        <x:v>1-3 years</x:v>
      </x:c>
      <x:c r="J1032" t="str">
        <x:v>MORTGAGE</x:v>
      </x:c>
      <x:c r="K1032" t="str">
        <x:v>other</x:v>
      </x:c>
      <x:c r="L1032" t="n">
        <x:v>0</x:v>
      </x:c>
      <x:c r="M1032" t="n">
        <x:v>0</x:v>
      </x:c>
      <x:c r="N1032" t="str">
        <x:v>Fully Paid</x:v>
      </x:c>
      <x:c r="O1032" t="str">
        <x:f>IF(D1032="","Unknown",IF(D1032&lt;25000,"&lt;$25k",IF(D1032&lt;50000,"$25k-$50k",IF(D1032&lt;75000,"$50k-$75k",IF(D1032&lt;100000,"$75k-$100k","$100k+")))))</x:f>
        <x:v>$50k-$75k</x:v>
      </x:c>
      <x:c r="P1032" t="str">
        <x:f>IF(E1032="","Unknown",IF(E1032&lt;10,"&lt;10",IF(E1032&lt;20,"10-&lt;20",IF(E1032&lt;25,"20-&lt;25",IF(E1032&lt;35,"25-&lt;35","35+")))))</x:f>
        <x:v>25-&lt;35</x:v>
      </x:c>
    </x:row>
    <x:row r="1033">
      <x:c r="A1033" t="str">
        <x:v>SYN0001032</x:v>
      </x:c>
      <x:c r="B1033" s="12" t="n">
        <x:v>42655</x:v>
      </x:c>
      <x:c r="C1033" s="18" t="n">
        <x:v>18235</x:v>
      </x:c>
      <x:c r="D1033" s="18" t="n">
        <x:v>44027</x:v>
      </x:c>
      <x:c r="E1033" s="18" t="n">
        <x:v>31.34</x:v>
      </x:c>
      <x:c r="F1033" s="18" t="n">
        <x:v>16.91</x:v>
      </x:c>
      <x:c r="G1033" t="n">
        <x:v>36</x:v>
      </x:c>
      <x:c r="H1033" t="str">
        <x:v>D</x:v>
      </x:c>
      <x:c r="I1033" t="str">
        <x:v>10+ years</x:v>
      </x:c>
      <x:c r="J1033" t="str">
        <x:v>MORTGAGE</x:v>
      </x:c>
      <x:c r="K1033" t="str">
        <x:v>debt_consolidation</x:v>
      </x:c>
      <x:c r="L1033" t="n">
        <x:v>0</x:v>
      </x:c>
      <x:c r="M1033" t="n">
        <x:v>0</x:v>
      </x:c>
      <x:c r="N1033" t="str">
        <x:v>Fully Paid</x:v>
      </x:c>
      <x:c r="O1033" t="str">
        <x:f>IF(D1033="","Unknown",IF(D1033&lt;25000,"&lt;$25k",IF(D1033&lt;50000,"$25k-$50k",IF(D1033&lt;75000,"$50k-$75k",IF(D1033&lt;100000,"$75k-$100k","$100k+")))))</x:f>
        <x:v>$25k-$50k</x:v>
      </x:c>
      <x:c r="P1033" t="str">
        <x:f>IF(E1033="","Unknown",IF(E1033&lt;10,"&lt;10",IF(E1033&lt;20,"10-&lt;20",IF(E1033&lt;25,"20-&lt;25",IF(E1033&lt;35,"25-&lt;35","35+")))))</x:f>
        <x:v>25-&lt;35</x:v>
      </x:c>
    </x:row>
    <x:row r="1034">
      <x:c r="A1034" t="str">
        <x:v>SYN0001033</x:v>
      </x:c>
      <x:c r="B1034" s="12" t="n">
        <x:v>42655</x:v>
      </x:c>
      <x:c r="C1034" s="18" t="n">
        <x:v>6519</x:v>
      </x:c>
      <x:c r="D1034" s="18" t="n">
        <x:v>96783</x:v>
      </x:c>
      <x:c r="E1034" s="18" t="n">
        <x:v>21.96</x:v>
      </x:c>
      <x:c r="F1034" s="18" t="n">
        <x:v>8.58</x:v>
      </x:c>
      <x:c r="G1034" t="n">
        <x:v>36</x:v>
      </x:c>
      <x:c r="H1034" t="str">
        <x:v>C</x:v>
      </x:c>
      <x:c r="I1034" t="str">
        <x:v>1-3 years</x:v>
      </x:c>
      <x:c r="J1034" t="str">
        <x:v>MORTGAGE</x:v>
      </x:c>
      <x:c r="K1034" t="str">
        <x:v>debt_consolidation</x:v>
      </x:c>
      <x:c r="L1034" t="n">
        <x:v>0</x:v>
      </x:c>
      <x:c r="M1034" t="n">
        <x:v>0</x:v>
      </x:c>
      <x:c r="N1034" t="str">
        <x:v>Fully Paid</x:v>
      </x:c>
      <x:c r="O1034" t="str">
        <x:f>IF(D1034="","Unknown",IF(D1034&lt;25000,"&lt;$25k",IF(D1034&lt;50000,"$25k-$50k",IF(D1034&lt;75000,"$50k-$75k",IF(D1034&lt;100000,"$75k-$100k","$100k+")))))</x:f>
        <x:v>$75k-$100k</x:v>
      </x:c>
      <x:c r="P1034" t="str">
        <x:f>IF(E1034="","Unknown",IF(E1034&lt;10,"&lt;10",IF(E1034&lt;20,"10-&lt;20",IF(E1034&lt;25,"20-&lt;25",IF(E1034&lt;35,"25-&lt;35","35+")))))</x:f>
        <x:v>20-&lt;25</x:v>
      </x:c>
    </x:row>
    <x:row r="1035">
      <x:c r="A1035" t="str">
        <x:v>SYN0001034</x:v>
      </x:c>
      <x:c r="B1035" s="12" t="n">
        <x:v>41965</x:v>
      </x:c>
      <x:c r="C1035" s="18" t="n">
        <x:v>8507</x:v>
      </x:c>
      <x:c r="D1035" s="18" t="n">
        <x:v>47895</x:v>
      </x:c>
      <x:c r="E1035" s="18" t="n">
        <x:v>25.99</x:v>
      </x:c>
      <x:c r="F1035" s="18" t="n">
        <x:v>12.36</x:v>
      </x:c>
      <x:c r="G1035" t="n">
        <x:v>36</x:v>
      </x:c>
      <x:c r="H1035" t="str">
        <x:v>C</x:v>
      </x:c>
      <x:c r="I1035" t="str">
        <x:v>4-6 years</x:v>
      </x:c>
      <x:c r="J1035" t="str">
        <x:v>MORTGAGE</x:v>
      </x:c>
      <x:c r="K1035" t="str">
        <x:v>home_improvement</x:v>
      </x:c>
      <x:c r="L1035" t="n">
        <x:v>2</x:v>
      </x:c>
      <x:c r="M1035" t="n">
        <x:v>0</x:v>
      </x:c>
      <x:c r="N1035" t="str">
        <x:v>Fully Paid</x:v>
      </x:c>
      <x:c r="O1035" t="str">
        <x:f>IF(D1035="","Unknown",IF(D1035&lt;25000,"&lt;$25k",IF(D1035&lt;50000,"$25k-$50k",IF(D1035&lt;75000,"$50k-$75k",IF(D1035&lt;100000,"$75k-$100k","$100k+")))))</x:f>
        <x:v>$25k-$50k</x:v>
      </x:c>
      <x:c r="P1035" t="str">
        <x:f>IF(E1035="","Unknown",IF(E1035&lt;10,"&lt;10",IF(E1035&lt;20,"10-&lt;20",IF(E1035&lt;25,"20-&lt;25",IF(E1035&lt;35,"25-&lt;35","35+")))))</x:f>
        <x:v>25-&lt;35</x:v>
      </x:c>
    </x:row>
    <x:row r="1036">
      <x:c r="A1036" t="str">
        <x:v>SYN0001035</x:v>
      </x:c>
      <x:c r="B1036" s="12" t="n">
        <x:v>41545</x:v>
      </x:c>
      <x:c r="C1036" s="18" t="n">
        <x:v>18241</x:v>
      </x:c>
      <x:c r="D1036" s="18" t="n">
        <x:v>60525</x:v>
      </x:c>
      <x:c r="E1036" s="18" t="n">
        <x:v>19.21</x:v>
      </x:c>
      <x:c r="F1036" s="18" t="n">
        <x:v>13.6</x:v>
      </x:c>
      <x:c r="G1036" t="n">
        <x:v>60</x:v>
      </x:c>
      <x:c r="H1036" t="str">
        <x:v>D</x:v>
      </x:c>
      <x:c r="I1036" t="str">
        <x:v>7-9 years</x:v>
      </x:c>
      <x:c r="J1036" t="str">
        <x:v>RENT</x:v>
      </x:c>
      <x:c r="K1036" t="str">
        <x:v>credit_card</x:v>
      </x:c>
      <x:c r="L1036" t="n">
        <x:v>1</x:v>
      </x:c>
      <x:c r="M1036" t="n">
        <x:v>0</x:v>
      </x:c>
      <x:c r="N1036" t="str">
        <x:v>Fully Paid</x:v>
      </x:c>
      <x:c r="O1036" t="str">
        <x:f>IF(D1036="","Unknown",IF(D1036&lt;25000,"&lt;$25k",IF(D1036&lt;50000,"$25k-$50k",IF(D1036&lt;75000,"$50k-$75k",IF(D1036&lt;100000,"$75k-$100k","$100k+")))))</x:f>
        <x:v>$50k-$75k</x:v>
      </x:c>
      <x:c r="P1036" t="str">
        <x:f>IF(E1036="","Unknown",IF(E1036&lt;10,"&lt;10",IF(E1036&lt;20,"10-&lt;20",IF(E1036&lt;25,"20-&lt;25",IF(E1036&lt;35,"25-&lt;35","35+")))))</x:f>
        <x:v>10-&lt;20</x:v>
      </x:c>
    </x:row>
    <x:row r="1037">
      <x:c r="A1037" t="str">
        <x:v>SYN0001036</x:v>
      </x:c>
      <x:c r="B1037" s="12" t="n">
        <x:v>41485</x:v>
      </x:c>
      <x:c r="C1037" s="18" t="n">
        <x:v>15992</x:v>
      </x:c>
      <x:c r="D1037" s="18" t="n">
        <x:v>91448</x:v>
      </x:c>
      <x:c r="E1037" s="18" t="n">
        <x:v>25.58</x:v>
      </x:c>
      <x:c r="F1037" s="18" t="n">
        <x:v>10.19</x:v>
      </x:c>
      <x:c r="G1037" t="n">
        <x:v>60</x:v>
      </x:c>
      <x:c r="H1037" t="str">
        <x:v>C</x:v>
      </x:c>
      <x:c r="I1037" t="str">
        <x:v>10+ years</x:v>
      </x:c>
      <x:c r="J1037" t="str">
        <x:v>OWN</x:v>
      </x:c>
      <x:c r="K1037" t="str">
        <x:v>debt_consolidation</x:v>
      </x:c>
      <x:c r="L1037" t="n">
        <x:v>0</x:v>
      </x:c>
      <x:c r="M1037" t="n">
        <x:v>0</x:v>
      </x:c>
      <x:c r="N1037" t="str">
        <x:v>Fully Paid</x:v>
      </x:c>
      <x:c r="O1037" t="str">
        <x:f>IF(D1037="","Unknown",IF(D1037&lt;25000,"&lt;$25k",IF(D1037&lt;50000,"$25k-$50k",IF(D1037&lt;75000,"$50k-$75k",IF(D1037&lt;100000,"$75k-$100k","$100k+")))))</x:f>
        <x:v>$75k-$100k</x:v>
      </x:c>
      <x:c r="P1037" t="str">
        <x:f>IF(E1037="","Unknown",IF(E1037&lt;10,"&lt;10",IF(E1037&lt;20,"10-&lt;20",IF(E1037&lt;25,"20-&lt;25",IF(E1037&lt;35,"25-&lt;35","35+")))))</x:f>
        <x:v>25-&lt;35</x:v>
      </x:c>
    </x:row>
    <x:row r="1038">
      <x:c r="A1038" t="str">
        <x:v>SYN0001037</x:v>
      </x:c>
      <x:c r="B1038" s="12" t="n">
        <x:v>43255</x:v>
      </x:c>
      <x:c r="C1038" s="18" t="n">
        <x:v>11162</x:v>
      </x:c>
      <x:c r="D1038" s="18" t="n">
        <x:v>111495</x:v>
      </x:c>
      <x:c r="E1038" s="18" t="n">
        <x:v>33.54</x:v>
      </x:c>
      <x:c r="F1038" s="18" t="n">
        <x:v>12.14</x:v>
      </x:c>
      <x:c r="G1038" t="n">
        <x:v>60</x:v>
      </x:c>
      <x:c r="H1038" t="str">
        <x:v>D</x:v>
      </x:c>
      <x:c r="I1038" t="str">
        <x:v>7-9 years</x:v>
      </x:c>
      <x:c r="J1038" t="str">
        <x:v>RENT</x:v>
      </x:c>
      <x:c r="K1038" t="str">
        <x:v>debt_consolidation</x:v>
      </x:c>
      <x:c r="L1038" t="n">
        <x:v>3</x:v>
      </x:c>
      <x:c r="M1038" t="n">
        <x:v>1</x:v>
      </x:c>
      <x:c r="N1038" t="str">
        <x:v>Charged Off</x:v>
      </x:c>
      <x:c r="O1038" t="str">
        <x:f>IF(D1038="","Unknown",IF(D1038&lt;25000,"&lt;$25k",IF(D1038&lt;50000,"$25k-$50k",IF(D1038&lt;75000,"$50k-$75k",IF(D1038&lt;100000,"$75k-$100k","$100k+")))))</x:f>
        <x:v>$100k+</x:v>
      </x:c>
      <x:c r="P1038" t="str">
        <x:f>IF(E1038="","Unknown",IF(E1038&lt;10,"&lt;10",IF(E1038&lt;20,"10-&lt;20",IF(E1038&lt;25,"20-&lt;25",IF(E1038&lt;35,"25-&lt;35","35+")))))</x:f>
        <x:v>25-&lt;35</x:v>
      </x:c>
    </x:row>
    <x:row r="1039">
      <x:c r="A1039" t="str">
        <x:v>SYN0001038</x:v>
      </x:c>
      <x:c r="B1039" s="12" t="n">
        <x:v>41785</x:v>
      </x:c>
      <x:c r="C1039" s="18" t="n">
        <x:v>13427</x:v>
      </x:c>
      <x:c r="D1039" s="18" t="n">
        <x:v>25455</x:v>
      </x:c>
      <x:c r="E1039" s="18" t="n">
        <x:v>30.67</x:v>
      </x:c>
      <x:c r="F1039" s="18" t="n">
        <x:v>14.13</x:v>
      </x:c>
      <x:c r="G1039" t="n">
        <x:v>36</x:v>
      </x:c>
      <x:c r="H1039" t="str">
        <x:v>D</x:v>
      </x:c>
      <x:c r="I1039" t="str">
        <x:v>1-3 years</x:v>
      </x:c>
      <x:c r="J1039" t="str">
        <x:v>MORTGAGE</x:v>
      </x:c>
      <x:c r="K1039" t="str">
        <x:v>medical</x:v>
      </x:c>
      <x:c r="L1039" t="n">
        <x:v>1</x:v>
      </x:c>
      <x:c r="M1039" t="n">
        <x:v>0</x:v>
      </x:c>
      <x:c r="N1039" t="str">
        <x:v>Fully Paid</x:v>
      </x:c>
      <x:c r="O1039" t="str">
        <x:f>IF(D1039="","Unknown",IF(D1039&lt;25000,"&lt;$25k",IF(D1039&lt;50000,"$25k-$50k",IF(D1039&lt;75000,"$50k-$75k",IF(D1039&lt;100000,"$75k-$100k","$100k+")))))</x:f>
        <x:v>$25k-$50k</x:v>
      </x:c>
      <x:c r="P1039" t="str">
        <x:f>IF(E1039="","Unknown",IF(E1039&lt;10,"&lt;10",IF(E1039&lt;20,"10-&lt;20",IF(E1039&lt;25,"20-&lt;25",IF(E1039&lt;35,"25-&lt;35","35+")))))</x:f>
        <x:v>25-&lt;35</x:v>
      </x:c>
    </x:row>
    <x:row r="1040">
      <x:c r="A1040" t="str">
        <x:v>SYN0001039</x:v>
      </x:c>
      <x:c r="B1040" s="12" t="n">
        <x:v>42565</x:v>
      </x:c>
      <x:c r="C1040" s="18" t="n">
        <x:v>6061</x:v>
      </x:c>
      <x:c r="D1040" s="18" t="n">
        <x:v>56008</x:v>
      </x:c>
      <x:c r="E1040" s="18" t="n">
        <x:v>31.32</x:v>
      </x:c>
      <x:c r="F1040" s="18" t="n">
        <x:v>12.13</x:v>
      </x:c>
      <x:c r="G1040" t="n">
        <x:v>36</x:v>
      </x:c>
      <x:c r="H1040" t="str">
        <x:v>C</x:v>
      </x:c>
      <x:c r="I1040" t="str">
        <x:v>4-6 years</x:v>
      </x:c>
      <x:c r="J1040" t="str">
        <x:v>RENT</x:v>
      </x:c>
      <x:c r="K1040" t="str">
        <x:v>other</x:v>
      </x:c>
      <x:c r="L1040" t="n">
        <x:v>0</x:v>
      </x:c>
      <x:c r="M1040" t="n">
        <x:v>0</x:v>
      </x:c>
      <x:c r="N1040" t="str">
        <x:v>Fully Paid</x:v>
      </x:c>
      <x:c r="O1040" t="str">
        <x:f>IF(D1040="","Unknown",IF(D1040&lt;25000,"&lt;$25k",IF(D1040&lt;50000,"$25k-$50k",IF(D1040&lt;75000,"$50k-$75k",IF(D1040&lt;100000,"$75k-$100k","$100k+")))))</x:f>
        <x:v>$50k-$75k</x:v>
      </x:c>
      <x:c r="P1040" t="str">
        <x:f>IF(E1040="","Unknown",IF(E1040&lt;10,"&lt;10",IF(E1040&lt;20,"10-&lt;20",IF(E1040&lt;25,"20-&lt;25",IF(E1040&lt;35,"25-&lt;35","35+")))))</x:f>
        <x:v>25-&lt;35</x:v>
      </x:c>
    </x:row>
    <x:row r="1041">
      <x:c r="A1041" t="str">
        <x:v>SYN0001040</x:v>
      </x:c>
      <x:c r="B1041" s="12" t="n">
        <x:v>42445</x:v>
      </x:c>
      <x:c r="C1041" s="18" t="n">
        <x:v>27074</x:v>
      </x:c>
      <x:c r="D1041" s="18" t="n">
        <x:v>36477</x:v>
      </x:c>
      <x:c r="E1041" s="18" t="n">
        <x:v>24.31</x:v>
      </x:c>
      <x:c r="F1041" s="18" t="n">
        <x:v>9.66</x:v>
      </x:c>
      <x:c r="G1041" t="n">
        <x:v>36</x:v>
      </x:c>
      <x:c r="H1041" t="str">
        <x:v>B</x:v>
      </x:c>
      <x:c r="I1041" t="str">
        <x:v>&lt;1 year</x:v>
      </x:c>
      <x:c r="J1041" t="str">
        <x:v>MORTGAGE</x:v>
      </x:c>
      <x:c r="K1041" t="str">
        <x:v>debt_consolidation</x:v>
      </x:c>
      <x:c r="L1041" t="n">
        <x:v>0</x:v>
      </x:c>
      <x:c r="M1041" t="n">
        <x:v>0</x:v>
      </x:c>
      <x:c r="N1041" t="str">
        <x:v>Fully Paid</x:v>
      </x:c>
      <x:c r="O1041" t="str">
        <x:f>IF(D1041="","Unknown",IF(D1041&lt;25000,"&lt;$25k",IF(D1041&lt;50000,"$25k-$50k",IF(D1041&lt;75000,"$50k-$75k",IF(D1041&lt;100000,"$75k-$100k","$100k+")))))</x:f>
        <x:v>$25k-$50k</x:v>
      </x:c>
      <x:c r="P1041" t="str">
        <x:f>IF(E1041="","Unknown",IF(E1041&lt;10,"&lt;10",IF(E1041&lt;20,"10-&lt;20",IF(E1041&lt;25,"20-&lt;25",IF(E1041&lt;35,"25-&lt;35","35+")))))</x:f>
        <x:v>20-&lt;25</x:v>
      </x:c>
    </x:row>
    <x:row r="1042">
      <x:c r="A1042" t="str">
        <x:v>SYN0001041</x:v>
      </x:c>
      <x:c r="B1042" s="12" t="n">
        <x:v>42355</x:v>
      </x:c>
      <x:c r="C1042" s="18" t="n">
        <x:v>16531</x:v>
      </x:c>
      <x:c r="D1042" s="18" t="n">
        <x:v>24731</x:v>
      </x:c>
      <x:c r="E1042" s="18" t="n">
        <x:v>23.55</x:v>
      </x:c>
      <x:c r="F1042" s="18" t="n">
        <x:v>16.88</x:v>
      </x:c>
      <x:c r="G1042" t="n">
        <x:v>36</x:v>
      </x:c>
      <x:c r="H1042" t="str">
        <x:v>E</x:v>
      </x:c>
      <x:c r="I1042" t="str">
        <x:v>10+ years</x:v>
      </x:c>
      <x:c r="J1042" t="str">
        <x:v>RENT</x:v>
      </x:c>
      <x:c r="K1042" t="str">
        <x:v>debt_consolidation</x:v>
      </x:c>
      <x:c r="L1042" t="n">
        <x:v>1</x:v>
      </x:c>
      <x:c r="M1042" t="n">
        <x:v>0</x:v>
      </x:c>
      <x:c r="N1042" t="str">
        <x:v>Fully Paid</x:v>
      </x:c>
      <x:c r="O1042" t="str">
        <x:f>IF(D1042="","Unknown",IF(D1042&lt;25000,"&lt;$25k",IF(D1042&lt;50000,"$25k-$50k",IF(D1042&lt;75000,"$50k-$75k",IF(D1042&lt;100000,"$75k-$100k","$100k+")))))</x:f>
        <x:v>&lt;$25k</x:v>
      </x:c>
      <x:c r="P1042" t="str">
        <x:f>IF(E1042="","Unknown",IF(E1042&lt;10,"&lt;10",IF(E1042&lt;20,"10-&lt;20",IF(E1042&lt;25,"20-&lt;25",IF(E1042&lt;35,"25-&lt;35","35+")))))</x:f>
        <x:v>20-&lt;25</x:v>
      </x:c>
    </x:row>
    <x:row r="1043">
      <x:c r="A1043" t="str">
        <x:v>SYN0001042</x:v>
      </x:c>
      <x:c r="B1043" s="12" t="n">
        <x:v>41995</x:v>
      </x:c>
      <x:c r="C1043" s="18" t="n">
        <x:v>13534</x:v>
      </x:c>
      <x:c r="D1043" s="18" t="n">
        <x:v>31921</x:v>
      </x:c>
      <x:c r="E1043" s="18" t="n">
        <x:v>18.64</x:v>
      </x:c>
      <x:c r="F1043" s="18" t="n">
        <x:v>14.56</x:v>
      </x:c>
      <x:c r="G1043" t="n">
        <x:v>60</x:v>
      </x:c>
      <x:c r="H1043" t="str">
        <x:v>D</x:v>
      </x:c>
      <x:c r="I1043" t="str">
        <x:v>1-3 years</x:v>
      </x:c>
      <x:c r="J1043" t="str">
        <x:v>RENT</x:v>
      </x:c>
      <x:c r="K1043" t="str">
        <x:v>debt_consolidation</x:v>
      </x:c>
      <x:c r="L1043" t="n">
        <x:v>0</x:v>
      </x:c>
      <x:c r="M1043" t="n">
        <x:v>1</x:v>
      </x:c>
      <x:c r="N1043" t="str">
        <x:v>Charged Off</x:v>
      </x:c>
      <x:c r="O1043" t="str">
        <x:f>IF(D1043="","Unknown",IF(D1043&lt;25000,"&lt;$25k",IF(D1043&lt;50000,"$25k-$50k",IF(D1043&lt;75000,"$50k-$75k",IF(D1043&lt;100000,"$75k-$100k","$100k+")))))</x:f>
        <x:v>$25k-$50k</x:v>
      </x:c>
      <x:c r="P1043" t="str">
        <x:f>IF(E1043="","Unknown",IF(E1043&lt;10,"&lt;10",IF(E1043&lt;20,"10-&lt;20",IF(E1043&lt;25,"20-&lt;25",IF(E1043&lt;35,"25-&lt;35","35+")))))</x:f>
        <x:v>10-&lt;20</x:v>
      </x:c>
    </x:row>
    <x:row r="1044">
      <x:c r="A1044" t="str">
        <x:v>SYN0001043</x:v>
      </x:c>
      <x:c r="B1044" s="12" t="n">
        <x:v>41665</x:v>
      </x:c>
      <x:c r="C1044" s="18" t="n">
        <x:v>29074</x:v>
      </x:c>
      <x:c r="D1044" s="18" t="n">
        <x:v>54288</x:v>
      </x:c>
      <x:c r="E1044" s="18" t="n">
        <x:v>17.65</x:v>
      </x:c>
      <x:c r="F1044" s="18" t="n">
        <x:v>6.88</x:v>
      </x:c>
      <x:c r="G1044" t="n">
        <x:v>60</x:v>
      </x:c>
      <x:c r="H1044" t="str">
        <x:v>B</x:v>
      </x:c>
      <x:c r="I1044" t="str">
        <x:v>10+ years</x:v>
      </x:c>
      <x:c r="J1044" t="str">
        <x:v>OWN</x:v>
      </x:c>
      <x:c r="K1044" t="str">
        <x:v>debt_consolidation</x:v>
      </x:c>
      <x:c r="L1044" t="n">
        <x:v>0</x:v>
      </x:c>
      <x:c r="M1044" t="n">
        <x:v>0</x:v>
      </x:c>
      <x:c r="N1044" t="str">
        <x:v>Fully Paid</x:v>
      </x:c>
      <x:c r="O1044" t="str">
        <x:f>IF(D1044="","Unknown",IF(D1044&lt;25000,"&lt;$25k",IF(D1044&lt;50000,"$25k-$50k",IF(D1044&lt;75000,"$50k-$75k",IF(D1044&lt;100000,"$75k-$100k","$100k+")))))</x:f>
        <x:v>$50k-$75k</x:v>
      </x:c>
      <x:c r="P1044" t="str">
        <x:f>IF(E1044="","Unknown",IF(E1044&lt;10,"&lt;10",IF(E1044&lt;20,"10-&lt;20",IF(E1044&lt;25,"20-&lt;25",IF(E1044&lt;35,"25-&lt;35","35+")))))</x:f>
        <x:v>10-&lt;20</x:v>
      </x:c>
    </x:row>
    <x:row r="1045">
      <x:c r="A1045" t="str">
        <x:v>SYN0001044</x:v>
      </x:c>
      <x:c r="B1045" s="12" t="n">
        <x:v>41485</x:v>
      </x:c>
      <x:c r="C1045" s="18" t="n">
        <x:v>9649</x:v>
      </x:c>
      <x:c r="D1045" s="18" t="n">
        <x:v>96750</x:v>
      </x:c>
      <x:c r="E1045" s="18" t="n">
        <x:v>12.51</x:v>
      </x:c>
      <x:c r="F1045" s="18" t="n">
        <x:v>7.09</x:v>
      </x:c>
      <x:c r="G1045" t="n">
        <x:v>36</x:v>
      </x:c>
      <x:c r="H1045" t="str">
        <x:v>A</x:v>
      </x:c>
      <x:c r="I1045" t="str">
        <x:v>&lt;1 year</x:v>
      </x:c>
      <x:c r="J1045" t="str">
        <x:v>RENT</x:v>
      </x:c>
      <x:c r="K1045" t="str">
        <x:v>debt_consolidation</x:v>
      </x:c>
      <x:c r="L1045" t="n">
        <x:v>0</x:v>
      </x:c>
      <x:c r="M1045" t="n">
        <x:v>0</x:v>
      </x:c>
      <x:c r="N1045" t="str">
        <x:v>Fully Paid</x:v>
      </x:c>
      <x:c r="O1045" t="str">
        <x:f>IF(D1045="","Unknown",IF(D1045&lt;25000,"&lt;$25k",IF(D1045&lt;50000,"$25k-$50k",IF(D1045&lt;75000,"$50k-$75k",IF(D1045&lt;100000,"$75k-$100k","$100k+")))))</x:f>
        <x:v>$75k-$100k</x:v>
      </x:c>
      <x:c r="P1045" t="str">
        <x:f>IF(E1045="","Unknown",IF(E1045&lt;10,"&lt;10",IF(E1045&lt;20,"10-&lt;20",IF(E1045&lt;25,"20-&lt;25",IF(E1045&lt;35,"25-&lt;35","35+")))))</x:f>
        <x:v>10-&lt;20</x:v>
      </x:c>
    </x:row>
    <x:row r="1046">
      <x:c r="A1046" t="str">
        <x:v>SYN0001045</x:v>
      </x:c>
      <x:c r="B1046" s="12" t="n">
        <x:v>42415</x:v>
      </x:c>
      <x:c r="C1046" s="18" t="n">
        <x:v>23679</x:v>
      </x:c>
      <x:c r="D1046" s="18" t="n">
        <x:v>109462</x:v>
      </x:c>
      <x:c r="E1046" s="18" t="n">
        <x:v>14.16</x:v>
      </x:c>
      <x:c r="F1046" s="18" t="n">
        <x:v>9.43</x:v>
      </x:c>
      <x:c r="G1046" t="n">
        <x:v>36</x:v>
      </x:c>
      <x:c r="H1046" t="str">
        <x:v>C</x:v>
      </x:c>
      <x:c r="I1046" t="str">
        <x:v>7-9 years</x:v>
      </x:c>
      <x:c r="J1046" t="str">
        <x:v>MORTGAGE</x:v>
      </x:c>
      <x:c r="K1046" t="str">
        <x:v>credit_card</x:v>
      </x:c>
      <x:c r="L1046" t="n">
        <x:v>0</x:v>
      </x:c>
      <x:c r="M1046" t="n">
        <x:v>0</x:v>
      </x:c>
      <x:c r="N1046" t="str">
        <x:v>Fully Paid</x:v>
      </x:c>
      <x:c r="O1046" t="str">
        <x:f>IF(D1046="","Unknown",IF(D1046&lt;25000,"&lt;$25k",IF(D1046&lt;50000,"$25k-$50k",IF(D1046&lt;75000,"$50k-$75k",IF(D1046&lt;100000,"$75k-$100k","$100k+")))))</x:f>
        <x:v>$100k+</x:v>
      </x:c>
      <x:c r="P1046" t="str">
        <x:f>IF(E1046="","Unknown",IF(E1046&lt;10,"&lt;10",IF(E1046&lt;20,"10-&lt;20",IF(E1046&lt;25,"20-&lt;25",IF(E1046&lt;35,"25-&lt;35","35+")))))</x:f>
        <x:v>10-&lt;20</x:v>
      </x:c>
    </x:row>
    <x:row r="1047">
      <x:c r="A1047" t="str">
        <x:v>SYN0001046</x:v>
      </x:c>
      <x:c r="B1047" s="12" t="n">
        <x:v>42025</x:v>
      </x:c>
      <x:c r="C1047" s="18" t="n">
        <x:v>5433</x:v>
      </x:c>
      <x:c r="D1047" s="18" t="n">
        <x:v>38548</x:v>
      </x:c>
      <x:c r="E1047" s="18" t="n">
        <x:v>18.53</x:v>
      </x:c>
      <x:c r="F1047" s="18" t="n">
        <x:v>22.05</x:v>
      </x:c>
      <x:c r="G1047" t="n">
        <x:v>36</x:v>
      </x:c>
      <x:c r="H1047" t="str">
        <x:v>F</x:v>
      </x:c>
      <x:c r="I1047" t="str">
        <x:v>7-9 years</x:v>
      </x:c>
      <x:c r="J1047" t="str">
        <x:v>RENT</x:v>
      </x:c>
      <x:c r="K1047" t="str">
        <x:v>debt_consolidation</x:v>
      </x:c>
      <x:c r="L1047" t="n">
        <x:v>0</x:v>
      </x:c>
      <x:c r="M1047" t="n">
        <x:v>0</x:v>
      </x:c>
      <x:c r="N1047" t="str">
        <x:v>Fully Paid</x:v>
      </x:c>
      <x:c r="O1047" t="str">
        <x:f>IF(D1047="","Unknown",IF(D1047&lt;25000,"&lt;$25k",IF(D1047&lt;50000,"$25k-$50k",IF(D1047&lt;75000,"$50k-$75k",IF(D1047&lt;100000,"$75k-$100k","$100k+")))))</x:f>
        <x:v>$25k-$50k</x:v>
      </x:c>
      <x:c r="P1047" t="str">
        <x:f>IF(E1047="","Unknown",IF(E1047&lt;10,"&lt;10",IF(E1047&lt;20,"10-&lt;20",IF(E1047&lt;25,"20-&lt;25",IF(E1047&lt;35,"25-&lt;35","35+")))))</x:f>
        <x:v>10-&lt;20</x:v>
      </x:c>
    </x:row>
    <x:row r="1048">
      <x:c r="A1048" t="str">
        <x:v>SYN0001047</x:v>
      </x:c>
      <x:c r="B1048" s="12" t="n">
        <x:v>42955</x:v>
      </x:c>
      <x:c r="C1048" s="18" t="n">
        <x:v>13034</x:v>
      </x:c>
      <x:c r="D1048" s="18" t="n">
        <x:v>22682</x:v>
      </x:c>
      <x:c r="E1048" s="18" t="n">
        <x:v>24.87</x:v>
      </x:c>
      <x:c r="F1048" s="18" t="n">
        <x:v>14.9</x:v>
      </x:c>
      <x:c r="G1048" t="n">
        <x:v>36</x:v>
      </x:c>
      <x:c r="H1048" t="str">
        <x:v>D</x:v>
      </x:c>
      <x:c r="I1048" t="str">
        <x:v>10+ years</x:v>
      </x:c>
      <x:c r="J1048" t="str">
        <x:v>RENT</x:v>
      </x:c>
      <x:c r="K1048" t="str">
        <x:v>medical</x:v>
      </x:c>
      <x:c r="L1048" t="n">
        <x:v>0</x:v>
      </x:c>
      <x:c r="M1048" t="n">
        <x:v>1</x:v>
      </x:c>
      <x:c r="N1048" t="str">
        <x:v>Charged Off</x:v>
      </x:c>
      <x:c r="O1048" t="str">
        <x:f>IF(D1048="","Unknown",IF(D1048&lt;25000,"&lt;$25k",IF(D1048&lt;50000,"$25k-$50k",IF(D1048&lt;75000,"$50k-$75k",IF(D1048&lt;100000,"$75k-$100k","$100k+")))))</x:f>
        <x:v>&lt;$25k</x:v>
      </x:c>
      <x:c r="P1048" t="str">
        <x:f>IF(E1048="","Unknown",IF(E1048&lt;10,"&lt;10",IF(E1048&lt;20,"10-&lt;20",IF(E1048&lt;25,"20-&lt;25",IF(E1048&lt;35,"25-&lt;35","35+")))))</x:f>
        <x:v>20-&lt;25</x:v>
      </x:c>
    </x:row>
    <x:row r="1049">
      <x:c r="A1049" t="str">
        <x:v>SYN0001048</x:v>
      </x:c>
      <x:c r="B1049" s="12" t="n">
        <x:v>42025</x:v>
      </x:c>
      <x:c r="C1049" s="18" t="n">
        <x:v>20481</x:v>
      </x:c>
      <x:c r="D1049" s="18" t="n">
        <x:v>53370</x:v>
      </x:c>
      <x:c r="E1049" s="18" t="n">
        <x:v>15.91</x:v>
      </x:c>
      <x:c r="F1049" s="18" t="n">
        <x:v>8.09</x:v>
      </x:c>
      <x:c r="G1049" t="n">
        <x:v>60</x:v>
      </x:c>
      <x:c r="H1049" t="str">
        <x:v>A</x:v>
      </x:c>
      <x:c r="I1049" t="str">
        <x:v>7-9 years</x:v>
      </x:c>
      <x:c r="J1049" t="str">
        <x:v>MORTGAGE</x:v>
      </x:c>
      <x:c r="K1049" t="str">
        <x:v>debt_consolidation</x:v>
      </x:c>
      <x:c r="L1049" t="n">
        <x:v>0</x:v>
      </x:c>
      <x:c r="M1049" t="n">
        <x:v>0</x:v>
      </x:c>
      <x:c r="N1049" t="str">
        <x:v>Fully Paid</x:v>
      </x:c>
      <x:c r="O1049" t="str">
        <x:f>IF(D1049="","Unknown",IF(D1049&lt;25000,"&lt;$25k",IF(D1049&lt;50000,"$25k-$50k",IF(D1049&lt;75000,"$50k-$75k",IF(D1049&lt;100000,"$75k-$100k","$100k+")))))</x:f>
        <x:v>$50k-$75k</x:v>
      </x:c>
      <x:c r="P1049" t="str">
        <x:f>IF(E1049="","Unknown",IF(E1049&lt;10,"&lt;10",IF(E1049&lt;20,"10-&lt;20",IF(E1049&lt;25,"20-&lt;25",IF(E1049&lt;35,"25-&lt;35","35+")))))</x:f>
        <x:v>10-&lt;20</x:v>
      </x:c>
    </x:row>
    <x:row r="1050">
      <x:c r="A1050" t="str">
        <x:v>SYN0001049</x:v>
      </x:c>
      <x:c r="B1050" s="12" t="n">
        <x:v>41905</x:v>
      </x:c>
      <x:c r="C1050" s="18" t="n">
        <x:v>14934</x:v>
      </x:c>
      <x:c r="D1050" s="18" t="n">
        <x:v>77745</x:v>
      </x:c>
      <x:c r="E1050" s="18" t="n">
        <x:v>37.09</x:v>
      </x:c>
      <x:c r="F1050" s="18" t="n">
        <x:v>15.85</x:v>
      </x:c>
      <x:c r="G1050" t="n">
        <x:v>36</x:v>
      </x:c>
      <x:c r="H1050" t="str">
        <x:v>E</x:v>
      </x:c>
      <x:c r="I1050" t="str">
        <x:v>4-6 years</x:v>
      </x:c>
      <x:c r="J1050" t="str">
        <x:v>RENT</x:v>
      </x:c>
      <x:c r="K1050" t="str">
        <x:v>credit_card</x:v>
      </x:c>
      <x:c r="L1050" t="n">
        <x:v>0</x:v>
      </x:c>
      <x:c r="M1050" t="n">
        <x:v>1</x:v>
      </x:c>
      <x:c r="N1050" t="str">
        <x:v>Charged Off</x:v>
      </x:c>
      <x:c r="O1050" t="str">
        <x:f>IF(D1050="","Unknown",IF(D1050&lt;25000,"&lt;$25k",IF(D1050&lt;50000,"$25k-$50k",IF(D1050&lt;75000,"$50k-$75k",IF(D1050&lt;100000,"$75k-$100k","$100k+")))))</x:f>
        <x:v>$75k-$100k</x:v>
      </x:c>
      <x:c r="P1050" t="str">
        <x:f>IF(E1050="","Unknown",IF(E1050&lt;10,"&lt;10",IF(E1050&lt;20,"10-&lt;20",IF(E1050&lt;25,"20-&lt;25",IF(E1050&lt;35,"25-&lt;35","35+")))))</x:f>
        <x:v>35+</x:v>
      </x:c>
    </x:row>
    <x:row r="1051">
      <x:c r="A1051" t="str">
        <x:v>SYN0001050</x:v>
      </x:c>
      <x:c r="B1051" s="12" t="n">
        <x:v>42625</x:v>
      </x:c>
      <x:c r="C1051" s="18" t="n">
        <x:v>14646</x:v>
      </x:c>
      <x:c r="D1051" s="18" t="n">
        <x:v>12000</x:v>
      </x:c>
      <x:c r="E1051" s="18" t="n">
        <x:v>25.34</x:v>
      </x:c>
      <x:c r="F1051" s="18" t="n">
        <x:v>16.53</x:v>
      </x:c>
      <x:c r="G1051" t="n">
        <x:v>36</x:v>
      </x:c>
      <x:c r="H1051" t="str">
        <x:v>D</x:v>
      </x:c>
      <x:c r="I1051" t="str">
        <x:v>4-6 years</x:v>
      </x:c>
      <x:c r="J1051" t="str">
        <x:v>MORTGAGE</x:v>
      </x:c>
      <x:c r="K1051" t="str">
        <x:v>home_improvement</x:v>
      </x:c>
      <x:c r="L1051" t="n">
        <x:v>1</x:v>
      </x:c>
      <x:c r="M1051" t="n">
        <x:v>0</x:v>
      </x:c>
      <x:c r="N1051" t="str">
        <x:v>Fully Paid</x:v>
      </x:c>
      <x:c r="O1051" t="str">
        <x:f>IF(D1051="","Unknown",IF(D1051&lt;25000,"&lt;$25k",IF(D1051&lt;50000,"$25k-$50k",IF(D1051&lt;75000,"$50k-$75k",IF(D1051&lt;100000,"$75k-$100k","$100k+")))))</x:f>
        <x:v>&lt;$25k</x:v>
      </x:c>
      <x:c r="P1051" t="str">
        <x:f>IF(E1051="","Unknown",IF(E1051&lt;10,"&lt;10",IF(E1051&lt;20,"10-&lt;20",IF(E1051&lt;25,"20-&lt;25",IF(E1051&lt;35,"25-&lt;35","35+")))))</x:f>
        <x:v>25-&lt;35</x:v>
      </x:c>
    </x:row>
    <x:row r="1052">
      <x:c r="A1052" t="str">
        <x:v>SYN0001051</x:v>
      </x:c>
      <x:c r="B1052" s="12" t="n">
        <x:v>41335</x:v>
      </x:c>
      <x:c r="C1052" s="18" t="n">
        <x:v>14866</x:v>
      </x:c>
      <x:c r="D1052" s="18" t="n">
        <x:v>43210</x:v>
      </x:c>
      <x:c r="E1052" s="18" t="n">
        <x:v>28.57</x:v>
      </x:c>
      <x:c r="F1052" s="18" t="n">
        <x:v>22.06</x:v>
      </x:c>
      <x:c r="G1052" t="n">
        <x:v>60</x:v>
      </x:c>
      <x:c r="H1052" t="str">
        <x:v>F</x:v>
      </x:c>
      <x:c r="I1052" t="str">
        <x:v>7-9 years</x:v>
      </x:c>
      <x:c r="J1052" t="str">
        <x:v>MORTGAGE</x:v>
      </x:c>
      <x:c r="K1052" t="str">
        <x:v>credit_card</x:v>
      </x:c>
      <x:c r="L1052" t="n">
        <x:v>1</x:v>
      </x:c>
      <x:c r="M1052" t="n">
        <x:v>0</x:v>
      </x:c>
      <x:c r="N1052" t="str">
        <x:v>Fully Paid</x:v>
      </x:c>
      <x:c r="O1052" t="str">
        <x:f>IF(D1052="","Unknown",IF(D1052&lt;25000,"&lt;$25k",IF(D1052&lt;50000,"$25k-$50k",IF(D1052&lt;75000,"$50k-$75k",IF(D1052&lt;100000,"$75k-$100k","$100k+")))))</x:f>
        <x:v>$25k-$50k</x:v>
      </x:c>
      <x:c r="P1052" t="str">
        <x:f>IF(E1052="","Unknown",IF(E1052&lt;10,"&lt;10",IF(E1052&lt;20,"10-&lt;20",IF(E1052&lt;25,"20-&lt;25",IF(E1052&lt;35,"25-&lt;35","35+")))))</x:f>
        <x:v>25-&lt;35</x:v>
      </x:c>
    </x:row>
    <x:row r="1053">
      <x:c r="A1053" t="str">
        <x:v>SYN0001052</x:v>
      </x:c>
      <x:c r="B1053" s="12" t="n">
        <x:v>43015</x:v>
      </x:c>
      <x:c r="C1053" s="18" t="n">
        <x:v>34348</x:v>
      </x:c>
      <x:c r="D1053" s="18" t="n">
        <x:v>60585</x:v>
      </x:c>
      <x:c r="E1053" s="18" t="n">
        <x:v>34.66</x:v>
      </x:c>
      <x:c r="F1053" s="18" t="n">
        <x:v>11.18</x:v>
      </x:c>
      <x:c r="G1053" t="n">
        <x:v>36</x:v>
      </x:c>
      <x:c r="H1053" t="str">
        <x:v>C</x:v>
      </x:c>
      <x:c r="I1053" t="str">
        <x:v>1-3 years</x:v>
      </x:c>
      <x:c r="J1053" t="str">
        <x:v>OWN</x:v>
      </x:c>
      <x:c r="K1053" t="str">
        <x:v>debt_consolidation</x:v>
      </x:c>
      <x:c r="L1053" t="n">
        <x:v>0</x:v>
      </x:c>
      <x:c r="M1053" t="n">
        <x:v>0</x:v>
      </x:c>
      <x:c r="N1053" t="str">
        <x:v>Fully Paid</x:v>
      </x:c>
      <x:c r="O1053" t="str">
        <x:f>IF(D1053="","Unknown",IF(D1053&lt;25000,"&lt;$25k",IF(D1053&lt;50000,"$25k-$50k",IF(D1053&lt;75000,"$50k-$75k",IF(D1053&lt;100000,"$75k-$100k","$100k+")))))</x:f>
        <x:v>$50k-$75k</x:v>
      </x:c>
      <x:c r="P1053" t="str">
        <x:f>IF(E1053="","Unknown",IF(E1053&lt;10,"&lt;10",IF(E1053&lt;20,"10-&lt;20",IF(E1053&lt;25,"20-&lt;25",IF(E1053&lt;35,"25-&lt;35","35+")))))</x:f>
        <x:v>25-&lt;35</x:v>
      </x:c>
    </x:row>
    <x:row r="1054">
      <x:c r="A1054" t="str">
        <x:v>SYN0001053</x:v>
      </x:c>
      <x:c r="B1054" s="12" t="n">
        <x:v>42925</x:v>
      </x:c>
      <x:c r="C1054" s="18" t="n">
        <x:v>18388</x:v>
      </x:c>
      <x:c r="D1054" s="18" t="n">
        <x:v>26152</x:v>
      </x:c>
      <x:c r="E1054" s="18" t="n">
        <x:v>17.2</x:v>
      </x:c>
      <x:c r="F1054" s="18" t="n">
        <x:v>15.35</x:v>
      </x:c>
      <x:c r="G1054" t="n">
        <x:v>60</x:v>
      </x:c>
      <x:c r="H1054" t="str">
        <x:v>D</x:v>
      </x:c>
      <x:c r="I1054" t="str">
        <x:v>4-6 years</x:v>
      </x:c>
      <x:c r="J1054" t="str">
        <x:v>MORTGAGE</x:v>
      </x:c>
      <x:c r="K1054" t="str">
        <x:v>debt_consolidation</x:v>
      </x:c>
      <x:c r="L1054" t="n">
        <x:v>1</x:v>
      </x:c>
      <x:c r="M1054" t="n">
        <x:v>0</x:v>
      </x:c>
      <x:c r="N1054" t="str">
        <x:v>Fully Paid</x:v>
      </x:c>
      <x:c r="O1054" t="str">
        <x:f>IF(D1054="","Unknown",IF(D1054&lt;25000,"&lt;$25k",IF(D1054&lt;50000,"$25k-$50k",IF(D1054&lt;75000,"$50k-$75k",IF(D1054&lt;100000,"$75k-$100k","$100k+")))))</x:f>
        <x:v>$25k-$50k</x:v>
      </x:c>
      <x:c r="P1054" t="str">
        <x:f>IF(E1054="","Unknown",IF(E1054&lt;10,"&lt;10",IF(E1054&lt;20,"10-&lt;20",IF(E1054&lt;25,"20-&lt;25",IF(E1054&lt;35,"25-&lt;35","35+")))))</x:f>
        <x:v>10-&lt;20</x:v>
      </x:c>
    </x:row>
    <x:row r="1055">
      <x:c r="A1055" t="str">
        <x:v>SYN0001054</x:v>
      </x:c>
      <x:c r="B1055" s="12" t="n">
        <x:v>41485</x:v>
      </x:c>
      <x:c r="C1055" s="18" t="n">
        <x:v>15994</x:v>
      </x:c>
      <x:c r="D1055" s="18" t="n">
        <x:v>63610</x:v>
      </x:c>
      <x:c r="E1055" s="18" t="n">
        <x:v>28.47</x:v>
      </x:c>
      <x:c r="F1055" s="18" t="n">
        <x:v>20.89</x:v>
      </x:c>
      <x:c r="G1055" t="n">
        <x:v>36</x:v>
      </x:c>
      <x:c r="H1055" t="str">
        <x:v>F</x:v>
      </x:c>
      <x:c r="I1055" t="str">
        <x:v>&lt;1 year</x:v>
      </x:c>
      <x:c r="J1055" t="str">
        <x:v>RENT</x:v>
      </x:c>
      <x:c r="K1055" t="str">
        <x:v>debt_consolidation</x:v>
      </x:c>
      <x:c r="L1055" t="n">
        <x:v>0</x:v>
      </x:c>
      <x:c r="M1055" t="n">
        <x:v>0</x:v>
      </x:c>
      <x:c r="N1055" t="str">
        <x:v>Fully Paid</x:v>
      </x:c>
      <x:c r="O1055" t="str">
        <x:f>IF(D1055="","Unknown",IF(D1055&lt;25000,"&lt;$25k",IF(D1055&lt;50000,"$25k-$50k",IF(D1055&lt;75000,"$50k-$75k",IF(D1055&lt;100000,"$75k-$100k","$100k+")))))</x:f>
        <x:v>$50k-$75k</x:v>
      </x:c>
      <x:c r="P1055" t="str">
        <x:f>IF(E1055="","Unknown",IF(E1055&lt;10,"&lt;10",IF(E1055&lt;20,"10-&lt;20",IF(E1055&lt;25,"20-&lt;25",IF(E1055&lt;35,"25-&lt;35","35+")))))</x:f>
        <x:v>25-&lt;35</x:v>
      </x:c>
    </x:row>
    <x:row r="1056">
      <x:c r="A1056" t="str">
        <x:v>SYN0001055</x:v>
      </x:c>
      <x:c r="B1056" s="12" t="n">
        <x:v>42055</x:v>
      </x:c>
      <x:c r="C1056" s="18" t="n">
        <x:v>10978</x:v>
      </x:c>
      <x:c r="D1056" s="18" t="n">
        <x:v>99984</x:v>
      </x:c>
      <x:c r="E1056" s="18" t="n">
        <x:v>10.73</x:v>
      </x:c>
      <x:c r="F1056" s="18" t="n">
        <x:v>20.75</x:v>
      </x:c>
      <x:c r="G1056" t="n">
        <x:v>36</x:v>
      </x:c>
      <x:c r="H1056" t="str">
        <x:v>F</x:v>
      </x:c>
      <x:c r="I1056" t="str">
        <x:v>7-9 years</x:v>
      </x:c>
      <x:c r="J1056" t="str">
        <x:v>MORTGAGE</x:v>
      </x:c>
      <x:c r="K1056" t="str">
        <x:v>credit_card</x:v>
      </x:c>
      <x:c r="L1056" t="n">
        <x:v>0</x:v>
      </x:c>
      <x:c r="M1056" t="n">
        <x:v>0</x:v>
      </x:c>
      <x:c r="N1056" t="str">
        <x:v>Fully Paid</x:v>
      </x:c>
      <x:c r="O1056" t="str">
        <x:f>IF(D1056="","Unknown",IF(D1056&lt;25000,"&lt;$25k",IF(D1056&lt;50000,"$25k-$50k",IF(D1056&lt;75000,"$50k-$75k",IF(D1056&lt;100000,"$75k-$100k","$100k+")))))</x:f>
        <x:v>$75k-$100k</x:v>
      </x:c>
      <x:c r="P1056" t="str">
        <x:f>IF(E1056="","Unknown",IF(E1056&lt;10,"&lt;10",IF(E1056&lt;20,"10-&lt;20",IF(E1056&lt;25,"20-&lt;25",IF(E1056&lt;35,"25-&lt;35","35+")))))</x:f>
        <x:v>10-&lt;20</x:v>
      </x:c>
    </x:row>
    <x:row r="1057">
      <x:c r="A1057" t="str">
        <x:v>SYN0001056</x:v>
      </x:c>
      <x:c r="B1057" s="12" t="n">
        <x:v>42775</x:v>
      </x:c>
      <x:c r="C1057" s="18" t="n">
        <x:v>5644</x:v>
      </x:c>
      <x:c r="D1057" s="18" t="n">
        <x:v>18384</x:v>
      </x:c>
      <x:c r="E1057" s="18" t="n">
        <x:v>29.34</x:v>
      </x:c>
      <x:c r="F1057" s="18" t="n">
        <x:v>7.09</x:v>
      </x:c>
      <x:c r="G1057" t="n">
        <x:v>36</x:v>
      </x:c>
      <x:c r="H1057" t="str">
        <x:v>A</x:v>
      </x:c>
      <x:c r="I1057" t="str">
        <x:v>10+ years</x:v>
      </x:c>
      <x:c r="J1057" t="str">
        <x:v>MORTGAGE</x:v>
      </x:c>
      <x:c r="K1057" t="str">
        <x:v>debt_consolidation</x:v>
      </x:c>
      <x:c r="L1057" t="n">
        <x:v>0</x:v>
      </x:c>
      <x:c r="M1057" t="n">
        <x:v>0</x:v>
      </x:c>
      <x:c r="N1057" t="str">
        <x:v>Fully Paid</x:v>
      </x:c>
      <x:c r="O1057" t="str">
        <x:f>IF(D1057="","Unknown",IF(D1057&lt;25000,"&lt;$25k",IF(D1057&lt;50000,"$25k-$50k",IF(D1057&lt;75000,"$50k-$75k",IF(D1057&lt;100000,"$75k-$100k","$100k+")))))</x:f>
        <x:v>&lt;$25k</x:v>
      </x:c>
      <x:c r="P1057" t="str">
        <x:f>IF(E1057="","Unknown",IF(E1057&lt;10,"&lt;10",IF(E1057&lt;20,"10-&lt;20",IF(E1057&lt;25,"20-&lt;25",IF(E1057&lt;35,"25-&lt;35","35+")))))</x:f>
        <x:v>25-&lt;35</x:v>
      </x:c>
    </x:row>
    <x:row r="1058">
      <x:c r="A1058" t="str">
        <x:v>SYN0001057</x:v>
      </x:c>
      <x:c r="B1058" s="12" t="n">
        <x:v>41845</x:v>
      </x:c>
      <x:c r="C1058" s="18" t="n">
        <x:v>19582</x:v>
      </x:c>
      <x:c r="D1058" s="18" t="n">
        <x:v>82945</x:v>
      </x:c>
      <x:c r="E1058" s="18" t="n">
        <x:v>19.23</x:v>
      </x:c>
      <x:c r="F1058" s="18" t="n">
        <x:v>10.32</x:v>
      </x:c>
      <x:c r="G1058" t="n">
        <x:v>36</x:v>
      </x:c>
      <x:c r="H1058" t="str">
        <x:v>C</x:v>
      </x:c>
      <x:c r="I1058" t="str">
        <x:v>&lt;1 year</x:v>
      </x:c>
      <x:c r="J1058" t="str">
        <x:v>MORTGAGE</x:v>
      </x:c>
      <x:c r="K1058" t="str">
        <x:v>debt_consolidation</x:v>
      </x:c>
      <x:c r="L1058" t="n">
        <x:v>0</x:v>
      </x:c>
      <x:c r="M1058" t="n">
        <x:v>0</x:v>
      </x:c>
      <x:c r="N1058" t="str">
        <x:v>Fully Paid</x:v>
      </x:c>
      <x:c r="O1058" t="str">
        <x:f>IF(D1058="","Unknown",IF(D1058&lt;25000,"&lt;$25k",IF(D1058&lt;50000,"$25k-$50k",IF(D1058&lt;75000,"$50k-$75k",IF(D1058&lt;100000,"$75k-$100k","$100k+")))))</x:f>
        <x:v>$75k-$100k</x:v>
      </x:c>
      <x:c r="P1058" t="str">
        <x:f>IF(E1058="","Unknown",IF(E1058&lt;10,"&lt;10",IF(E1058&lt;20,"10-&lt;20",IF(E1058&lt;25,"20-&lt;25",IF(E1058&lt;35,"25-&lt;35","35+")))))</x:f>
        <x:v>10-&lt;20</x:v>
      </x:c>
    </x:row>
    <x:row r="1059">
      <x:c r="A1059" t="str">
        <x:v>SYN0001058</x:v>
      </x:c>
      <x:c r="B1059" s="12" t="n">
        <x:v>41395</x:v>
      </x:c>
      <x:c r="C1059" s="18" t="n">
        <x:v>9015</x:v>
      </x:c>
      <x:c r="D1059" s="18" t="n">
        <x:v>40784</x:v>
      </x:c>
      <x:c r="E1059" s="18" t="n">
        <x:v>29.89</x:v>
      </x:c>
      <x:c r="F1059" s="18" t="n">
        <x:v>9.32</x:v>
      </x:c>
      <x:c r="G1059" t="n">
        <x:v>36</x:v>
      </x:c>
      <x:c r="H1059" t="str">
        <x:v>B</x:v>
      </x:c>
      <x:c r="I1059" t="str">
        <x:v>4-6 years</x:v>
      </x:c>
      <x:c r="J1059" t="str">
        <x:v>MORTGAGE</x:v>
      </x:c>
      <x:c r="K1059" t="str">
        <x:v>debt_consolidation</x:v>
      </x:c>
      <x:c r="L1059" t="n">
        <x:v>0</x:v>
      </x:c>
      <x:c r="M1059" t="n">
        <x:v>1</x:v>
      </x:c>
      <x:c r="N1059" t="str">
        <x:v>Charged Off</x:v>
      </x:c>
      <x:c r="O1059" t="str">
        <x:f>IF(D1059="","Unknown",IF(D1059&lt;25000,"&lt;$25k",IF(D1059&lt;50000,"$25k-$50k",IF(D1059&lt;75000,"$50k-$75k",IF(D1059&lt;100000,"$75k-$100k","$100k+")))))</x:f>
        <x:v>$25k-$50k</x:v>
      </x:c>
      <x:c r="P1059" t="str">
        <x:f>IF(E1059="","Unknown",IF(E1059&lt;10,"&lt;10",IF(E1059&lt;20,"10-&lt;20",IF(E1059&lt;25,"20-&lt;25",IF(E1059&lt;35,"25-&lt;35","35+")))))</x:f>
        <x:v>25-&lt;35</x:v>
      </x:c>
    </x:row>
    <x:row r="1060">
      <x:c r="A1060" t="str">
        <x:v>SYN0001059</x:v>
      </x:c>
      <x:c r="B1060" s="12" t="n">
        <x:v>42865</x:v>
      </x:c>
      <x:c r="C1060" s="18" t="n">
        <x:v>15228</x:v>
      </x:c>
      <x:c r="D1060" s="18" t="n">
        <x:v>27198</x:v>
      </x:c>
      <x:c r="E1060" s="18" t="n">
        <x:v>35.92</x:v>
      </x:c>
      <x:c r="F1060" s="18" t="n">
        <x:v>10.69</x:v>
      </x:c>
      <x:c r="G1060" t="n">
        <x:v>36</x:v>
      </x:c>
      <x:c r="H1060" t="str">
        <x:v>D</x:v>
      </x:c>
      <x:c r="I1060" t="str">
        <x:v>4-6 years</x:v>
      </x:c>
      <x:c r="J1060" t="str">
        <x:v>RENT</x:v>
      </x:c>
      <x:c r="K1060" t="str">
        <x:v>credit_card</x:v>
      </x:c>
      <x:c r="L1060" t="n">
        <x:v>0</x:v>
      </x:c>
      <x:c r="M1060" t="n">
        <x:v>0</x:v>
      </x:c>
      <x:c r="N1060" t="str">
        <x:v>Fully Paid</x:v>
      </x:c>
      <x:c r="O1060" t="str">
        <x:f>IF(D1060="","Unknown",IF(D1060&lt;25000,"&lt;$25k",IF(D1060&lt;50000,"$25k-$50k",IF(D1060&lt;75000,"$50k-$75k",IF(D1060&lt;100000,"$75k-$100k","$100k+")))))</x:f>
        <x:v>$25k-$50k</x:v>
      </x:c>
      <x:c r="P1060" t="str">
        <x:f>IF(E1060="","Unknown",IF(E1060&lt;10,"&lt;10",IF(E1060&lt;20,"10-&lt;20",IF(E1060&lt;25,"20-&lt;25",IF(E1060&lt;35,"25-&lt;35","35+")))))</x:f>
        <x:v>35+</x:v>
      </x:c>
    </x:row>
    <x:row r="1061">
      <x:c r="A1061" t="str">
        <x:v>SYN0001060</x:v>
      </x:c>
      <x:c r="B1061" s="12" t="n">
        <x:v>42235</x:v>
      </x:c>
      <x:c r="C1061" s="18" t="n">
        <x:v>25945</x:v>
      </x:c>
      <x:c r="D1061" s="18" t="n">
        <x:v>66819</x:v>
      </x:c>
      <x:c r="E1061" s="18" t="n">
        <x:v>20.75</x:v>
      </x:c>
      <x:c r="F1061" s="18" t="n">
        <x:v>26.52</x:v>
      </x:c>
      <x:c r="G1061" t="n">
        <x:v>60</x:v>
      </x:c>
      <x:c r="H1061" t="str">
        <x:v>G</x:v>
      </x:c>
      <x:c r="I1061" t="str">
        <x:v>10+ years</x:v>
      </x:c>
      <x:c r="J1061" t="str">
        <x:v>MORTGAGE</x:v>
      </x:c>
      <x:c r="K1061" t="str">
        <x:v>debt_consolidation</x:v>
      </x:c>
      <x:c r="L1061" t="n">
        <x:v>1</x:v>
      </x:c>
      <x:c r="M1061" t="n">
        <x:v>0</x:v>
      </x:c>
      <x:c r="N1061" t="str">
        <x:v>Fully Paid</x:v>
      </x:c>
      <x:c r="O1061" t="str">
        <x:f>IF(D1061="","Unknown",IF(D1061&lt;25000,"&lt;$25k",IF(D1061&lt;50000,"$25k-$50k",IF(D1061&lt;75000,"$50k-$75k",IF(D1061&lt;100000,"$75k-$100k","$100k+")))))</x:f>
        <x:v>$50k-$75k</x:v>
      </x:c>
      <x:c r="P1061" t="str">
        <x:f>IF(E1061="","Unknown",IF(E1061&lt;10,"&lt;10",IF(E1061&lt;20,"10-&lt;20",IF(E1061&lt;25,"20-&lt;25",IF(E1061&lt;35,"25-&lt;35","35+")))))</x:f>
        <x:v>20-&lt;25</x:v>
      </x:c>
    </x:row>
    <x:row r="1062">
      <x:c r="A1062" t="str">
        <x:v>SYN0001061</x:v>
      </x:c>
      <x:c r="B1062" s="12" t="n">
        <x:v>42025</x:v>
      </x:c>
      <x:c r="C1062" s="18" t="n">
        <x:v>9886</x:v>
      </x:c>
      <x:c r="D1062" s="18" t="n">
        <x:v>144146</x:v>
      </x:c>
      <x:c r="E1062" s="18" t="n">
        <x:v>9.38</x:v>
      </x:c>
      <x:c r="F1062" s="18" t="n">
        <x:v>16.05</x:v>
      </x:c>
      <x:c r="G1062" t="n">
        <x:v>36</x:v>
      </x:c>
      <x:c r="H1062" t="str">
        <x:v>D</x:v>
      </x:c>
      <x:c r="I1062" t="str">
        <x:v>1-3 years</x:v>
      </x:c>
      <x:c r="J1062" t="str">
        <x:v>RENT</x:v>
      </x:c>
      <x:c r="K1062" t="str">
        <x:v>debt_consolidation</x:v>
      </x:c>
      <x:c r="L1062" t="n">
        <x:v>0</x:v>
      </x:c>
      <x:c r="M1062" t="n">
        <x:v>0</x:v>
      </x:c>
      <x:c r="N1062" t="str">
        <x:v>Fully Paid</x:v>
      </x:c>
      <x:c r="O1062" t="str">
        <x:f>IF(D1062="","Unknown",IF(D1062&lt;25000,"&lt;$25k",IF(D1062&lt;50000,"$25k-$50k",IF(D1062&lt;75000,"$50k-$75k",IF(D1062&lt;100000,"$75k-$100k","$100k+")))))</x:f>
        <x:v>$100k+</x:v>
      </x:c>
      <x:c r="P1062" t="str">
        <x:f>IF(E1062="","Unknown",IF(E1062&lt;10,"&lt;10",IF(E1062&lt;20,"10-&lt;20",IF(E1062&lt;25,"20-&lt;25",IF(E1062&lt;35,"25-&lt;35","35+")))))</x:f>
        <x:v>&lt;10</x:v>
      </x:c>
    </x:row>
    <x:row r="1063">
      <x:c r="A1063" t="str">
        <x:v>SYN0001062</x:v>
      </x:c>
      <x:c r="B1063" s="12" t="n">
        <x:v>41545</x:v>
      </x:c>
      <x:c r="C1063" s="18" t="n">
        <x:v>24587</x:v>
      </x:c>
      <x:c r="D1063" s="18" t="n">
        <x:v>76560</x:v>
      </x:c>
      <x:c r="E1063" s="18" t="n">
        <x:v>32.33</x:v>
      </x:c>
      <x:c r="F1063" s="18" t="n">
        <x:v>7.09</x:v>
      </x:c>
      <x:c r="G1063" t="n">
        <x:v>36</x:v>
      </x:c>
      <x:c r="H1063" t="str">
        <x:v>B</x:v>
      </x:c>
      <x:c r="I1063" t="str">
        <x:v>1-3 years</x:v>
      </x:c>
      <x:c r="J1063" t="str">
        <x:v>RENT</x:v>
      </x:c>
      <x:c r="K1063" t="str">
        <x:v>credit_card</x:v>
      </x:c>
      <x:c r="L1063" t="n">
        <x:v>0</x:v>
      </x:c>
      <x:c r="M1063" t="n">
        <x:v>0</x:v>
      </x:c>
      <x:c r="N1063" t="str">
        <x:v>Fully Paid</x:v>
      </x:c>
      <x:c r="O1063" t="str">
        <x:f>IF(D1063="","Unknown",IF(D1063&lt;25000,"&lt;$25k",IF(D1063&lt;50000,"$25k-$50k",IF(D1063&lt;75000,"$50k-$75k",IF(D1063&lt;100000,"$75k-$100k","$100k+")))))</x:f>
        <x:v>$75k-$100k</x:v>
      </x:c>
      <x:c r="P1063" t="str">
        <x:f>IF(E1063="","Unknown",IF(E1063&lt;10,"&lt;10",IF(E1063&lt;20,"10-&lt;20",IF(E1063&lt;25,"20-&lt;25",IF(E1063&lt;35,"25-&lt;35","35+")))))</x:f>
        <x:v>25-&lt;35</x:v>
      </x:c>
    </x:row>
    <x:row r="1064">
      <x:c r="A1064" t="str">
        <x:v>SYN0001063</x:v>
      </x:c>
      <x:c r="B1064" s="12" t="n">
        <x:v>42295</x:v>
      </x:c>
      <x:c r="C1064" s="18" t="n">
        <x:v>11522</x:v>
      </x:c>
      <x:c r="D1064" s="18" t="n">
        <x:v>17380</x:v>
      </x:c>
      <x:c r="E1064" s="18" t="n">
        <x:v>13.77</x:v>
      </x:c>
      <x:c r="F1064" s="18" t="n">
        <x:v>7.2</x:v>
      </x:c>
      <x:c r="G1064" t="n">
        <x:v>60</x:v>
      </x:c>
      <x:c r="H1064" t="str">
        <x:v>A</x:v>
      </x:c>
      <x:c r="I1064" t="str">
        <x:v>1-3 years</x:v>
      </x:c>
      <x:c r="J1064" t="str">
        <x:v>MORTGAGE</x:v>
      </x:c>
      <x:c r="K1064" t="str">
        <x:v>debt_consolidation</x:v>
      </x:c>
      <x:c r="L1064" t="n">
        <x:v>0</x:v>
      </x:c>
      <x:c r="M1064" t="n">
        <x:v>0</x:v>
      </x:c>
      <x:c r="N1064" t="str">
        <x:v>Fully Paid</x:v>
      </x:c>
      <x:c r="O1064" t="str">
        <x:f>IF(D1064="","Unknown",IF(D1064&lt;25000,"&lt;$25k",IF(D1064&lt;50000,"$25k-$50k",IF(D1064&lt;75000,"$50k-$75k",IF(D1064&lt;100000,"$75k-$100k","$100k+")))))</x:f>
        <x:v>&lt;$25k</x:v>
      </x:c>
      <x:c r="P1064" t="str">
        <x:f>IF(E1064="","Unknown",IF(E1064&lt;10,"&lt;10",IF(E1064&lt;20,"10-&lt;20",IF(E1064&lt;25,"20-&lt;25",IF(E1064&lt;35,"25-&lt;35","35+")))))</x:f>
        <x:v>10-&lt;20</x:v>
      </x:c>
    </x:row>
    <x:row r="1065">
      <x:c r="A1065" t="str">
        <x:v>SYN0001064</x:v>
      </x:c>
      <x:c r="B1065" s="12" t="n">
        <x:v>42925</x:v>
      </x:c>
      <x:c r="C1065" s="18" t="n">
        <x:v>17306</x:v>
      </x:c>
      <x:c r="D1065" s="18" t="n">
        <x:v>93790</x:v>
      </x:c>
      <x:c r="E1065" s="18" t="n">
        <x:v>29.94</x:v>
      </x:c>
      <x:c r="F1065" s="18" t="n">
        <x:v>25.88</x:v>
      </x:c>
      <x:c r="G1065" t="n">
        <x:v>36</x:v>
      </x:c>
      <x:c r="H1065" t="str">
        <x:v>G</x:v>
      </x:c>
      <x:c r="I1065" t="str">
        <x:v>&lt;1 year</x:v>
      </x:c>
      <x:c r="J1065" t="str">
        <x:v>RENT</x:v>
      </x:c>
      <x:c r="K1065" t="str">
        <x:v>credit_card</x:v>
      </x:c>
      <x:c r="L1065" t="n">
        <x:v>4</x:v>
      </x:c>
      <x:c r="M1065" t="n">
        <x:v>1</x:v>
      </x:c>
      <x:c r="N1065" t="str">
        <x:v>Charged Off</x:v>
      </x:c>
      <x:c r="O1065" t="str">
        <x:f>IF(D1065="","Unknown",IF(D1065&lt;25000,"&lt;$25k",IF(D1065&lt;50000,"$25k-$50k",IF(D1065&lt;75000,"$50k-$75k",IF(D1065&lt;100000,"$75k-$100k","$100k+")))))</x:f>
        <x:v>$75k-$100k</x:v>
      </x:c>
      <x:c r="P1065" t="str">
        <x:f>IF(E1065="","Unknown",IF(E1065&lt;10,"&lt;10",IF(E1065&lt;20,"10-&lt;20",IF(E1065&lt;25,"20-&lt;25",IF(E1065&lt;35,"25-&lt;35","35+")))))</x:f>
        <x:v>25-&lt;35</x:v>
      </x:c>
    </x:row>
    <x:row r="1066">
      <x:c r="A1066" t="str">
        <x:v>SYN0001065</x:v>
      </x:c>
      <x:c r="B1066" s="12" t="n">
        <x:v>41305</x:v>
      </x:c>
      <x:c r="C1066" s="18" t="n">
        <x:v>7752</x:v>
      </x:c>
      <x:c r="D1066" s="18" t="n">
        <x:v>38523</x:v>
      </x:c>
      <x:c r="E1066" s="18" t="n">
        <x:v>20.74</x:v>
      </x:c>
      <x:c r="F1066" s="18" t="n">
        <x:v>7.78</x:v>
      </x:c>
      <x:c r="G1066" t="n">
        <x:v>60</x:v>
      </x:c>
      <x:c r="H1066" t="str">
        <x:v>B</x:v>
      </x:c>
      <x:c r="I1066" t="str">
        <x:v>10+ years</x:v>
      </x:c>
      <x:c r="J1066" t="str">
        <x:v>RENT</x:v>
      </x:c>
      <x:c r="K1066" t="str">
        <x:v>credit_card</x:v>
      </x:c>
      <x:c r="L1066" t="n">
        <x:v>1</x:v>
      </x:c>
      <x:c r="M1066" t="n">
        <x:v>0</x:v>
      </x:c>
      <x:c r="N1066" t="str">
        <x:v>Fully Paid</x:v>
      </x:c>
      <x:c r="O1066" t="str">
        <x:f>IF(D1066="","Unknown",IF(D1066&lt;25000,"&lt;$25k",IF(D1066&lt;50000,"$25k-$50k",IF(D1066&lt;75000,"$50k-$75k",IF(D1066&lt;100000,"$75k-$100k","$100k+")))))</x:f>
        <x:v>$25k-$50k</x:v>
      </x:c>
      <x:c r="P1066" t="str">
        <x:f>IF(E1066="","Unknown",IF(E1066&lt;10,"&lt;10",IF(E1066&lt;20,"10-&lt;20",IF(E1066&lt;25,"20-&lt;25",IF(E1066&lt;35,"25-&lt;35","35+")))))</x:f>
        <x:v>20-&lt;25</x:v>
      </x:c>
    </x:row>
    <x:row r="1067">
      <x:c r="A1067" t="str">
        <x:v>SYN0001066</x:v>
      </x:c>
      <x:c r="B1067" s="12" t="n">
        <x:v>41965</x:v>
      </x:c>
      <x:c r="C1067" s="18" t="n">
        <x:v>19277</x:v>
      </x:c>
      <x:c r="D1067" s="18" t="n">
        <x:v>25574</x:v>
      </x:c>
      <x:c r="E1067" s="18" t="n">
        <x:v>15.87</x:v>
      </x:c>
      <x:c r="F1067" s="18" t="n">
        <x:v>12.65</x:v>
      </x:c>
      <x:c r="G1067" t="n">
        <x:v>36</x:v>
      </x:c>
      <x:c r="H1067" t="str">
        <x:v>C</x:v>
      </x:c>
      <x:c r="I1067" t="str">
        <x:v>10+ years</x:v>
      </x:c>
      <x:c r="J1067" t="str">
        <x:v>RENT</x:v>
      </x:c>
      <x:c r="K1067" t="str">
        <x:v>home_improvement</x:v>
      </x:c>
      <x:c r="L1067" t="n">
        <x:v>1</x:v>
      </x:c>
      <x:c r="M1067" t="n">
        <x:v>0</x:v>
      </x:c>
      <x:c r="N1067" t="str">
        <x:v>Fully Paid</x:v>
      </x:c>
      <x:c r="O1067" t="str">
        <x:f>IF(D1067="","Unknown",IF(D1067&lt;25000,"&lt;$25k",IF(D1067&lt;50000,"$25k-$50k",IF(D1067&lt;75000,"$50k-$75k",IF(D1067&lt;100000,"$75k-$100k","$100k+")))))</x:f>
        <x:v>$25k-$50k</x:v>
      </x:c>
      <x:c r="P1067" t="str">
        <x:f>IF(E1067="","Unknown",IF(E1067&lt;10,"&lt;10",IF(E1067&lt;20,"10-&lt;20",IF(E1067&lt;25,"20-&lt;25",IF(E1067&lt;35,"25-&lt;35","35+")))))</x:f>
        <x:v>10-&lt;20</x:v>
      </x:c>
    </x:row>
    <x:row r="1068">
      <x:c r="A1068" t="str">
        <x:v>SYN0001067</x:v>
      </x:c>
      <x:c r="B1068" s="12" t="n">
        <x:v>42445</x:v>
      </x:c>
      <x:c r="C1068" s="18" t="n">
        <x:v>11004</x:v>
      </x:c>
      <x:c r="D1068" s="18" t="n">
        <x:v>136720</x:v>
      </x:c>
      <x:c r="E1068" s="18" t="n">
        <x:v>39.67</x:v>
      </x:c>
      <x:c r="F1068" s="18" t="n">
        <x:v>9.13</x:v>
      </x:c>
      <x:c r="G1068" t="n">
        <x:v>36</x:v>
      </x:c>
      <x:c r="H1068" t="str">
        <x:v>B</x:v>
      </x:c>
      <x:c r="I1068" t="str">
        <x:v>10+ years</x:v>
      </x:c>
      <x:c r="J1068" t="str">
        <x:v>RENT</x:v>
      </x:c>
      <x:c r="K1068" t="str">
        <x:v>home_improvement</x:v>
      </x:c>
      <x:c r="L1068" t="n">
        <x:v>1</x:v>
      </x:c>
      <x:c r="M1068" t="n">
        <x:v>0</x:v>
      </x:c>
      <x:c r="N1068" t="str">
        <x:v>Fully Paid</x:v>
      </x:c>
      <x:c r="O1068" t="str">
        <x:f>IF(D1068="","Unknown",IF(D1068&lt;25000,"&lt;$25k",IF(D1068&lt;50000,"$25k-$50k",IF(D1068&lt;75000,"$50k-$75k",IF(D1068&lt;100000,"$75k-$100k","$100k+")))))</x:f>
        <x:v>$100k+</x:v>
      </x:c>
      <x:c r="P1068" t="str">
        <x:f>IF(E1068="","Unknown",IF(E1068&lt;10,"&lt;10",IF(E1068&lt;20,"10-&lt;20",IF(E1068&lt;25,"20-&lt;25",IF(E1068&lt;35,"25-&lt;35","35+")))))</x:f>
        <x:v>35+</x:v>
      </x:c>
    </x:row>
    <x:row r="1069">
      <x:c r="A1069" t="str">
        <x:v>SYN0001068</x:v>
      </x:c>
      <x:c r="B1069" s="12" t="n">
        <x:v>42715</x:v>
      </x:c>
      <x:c r="C1069" s="18" t="n">
        <x:v>14089</x:v>
      </x:c>
      <x:c r="D1069" s="18" t="n">
        <x:v>54085</x:v>
      </x:c>
      <x:c r="E1069" s="18" t="n">
        <x:v>32.52</x:v>
      </x:c>
      <x:c r="F1069" s="18" t="n">
        <x:v>12.6</x:v>
      </x:c>
      <x:c r="G1069" t="n">
        <x:v>36</x:v>
      </x:c>
      <x:c r="H1069" t="str">
        <x:v>C</x:v>
      </x:c>
      <x:c r="I1069" t="str">
        <x:v>4-6 years</x:v>
      </x:c>
      <x:c r="J1069" t="str">
        <x:v>MORTGAGE</x:v>
      </x:c>
      <x:c r="K1069" t="str">
        <x:v>major_purchase</x:v>
      </x:c>
      <x:c r="L1069" t="n">
        <x:v>0</x:v>
      </x:c>
      <x:c r="M1069" t="n">
        <x:v>0</x:v>
      </x:c>
      <x:c r="N1069" t="str">
        <x:v>Fully Paid</x:v>
      </x:c>
      <x:c r="O1069" t="str">
        <x:f>IF(D1069="","Unknown",IF(D1069&lt;25000,"&lt;$25k",IF(D1069&lt;50000,"$25k-$50k",IF(D1069&lt;75000,"$50k-$75k",IF(D1069&lt;100000,"$75k-$100k","$100k+")))))</x:f>
        <x:v>$50k-$75k</x:v>
      </x:c>
      <x:c r="P1069" t="str">
        <x:f>IF(E1069="","Unknown",IF(E1069&lt;10,"&lt;10",IF(E1069&lt;20,"10-&lt;20",IF(E1069&lt;25,"20-&lt;25",IF(E1069&lt;35,"25-&lt;35","35+")))))</x:f>
        <x:v>25-&lt;35</x:v>
      </x:c>
    </x:row>
    <x:row r="1070">
      <x:c r="A1070" t="str">
        <x:v>SYN0001069</x:v>
      </x:c>
      <x:c r="B1070" s="12" t="n">
        <x:v>42595</x:v>
      </x:c>
      <x:c r="C1070" s="18" t="n">
        <x:v>24723</x:v>
      </x:c>
      <x:c r="D1070" s="18" t="n">
        <x:v>93164</x:v>
      </x:c>
      <x:c r="E1070" s="18" t="n">
        <x:v>32.75</x:v>
      </x:c>
      <x:c r="F1070" s="18" t="n">
        <x:v>23.49</x:v>
      </x:c>
      <x:c r="G1070" t="n">
        <x:v>60</x:v>
      </x:c>
      <x:c r="H1070" t="str">
        <x:v>F</x:v>
      </x:c>
      <x:c r="I1070" t="str">
        <x:v>1-3 years</x:v>
      </x:c>
      <x:c r="J1070" t="str">
        <x:v>OWN</x:v>
      </x:c>
      <x:c r="K1070" t="str">
        <x:v>other</x:v>
      </x:c>
      <x:c r="L1070" t="n">
        <x:v>0</x:v>
      </x:c>
      <x:c r="M1070" t="n">
        <x:v>0</x:v>
      </x:c>
      <x:c r="N1070" t="str">
        <x:v>Fully Paid</x:v>
      </x:c>
      <x:c r="O1070" t="str">
        <x:f>IF(D1070="","Unknown",IF(D1070&lt;25000,"&lt;$25k",IF(D1070&lt;50000,"$25k-$50k",IF(D1070&lt;75000,"$50k-$75k",IF(D1070&lt;100000,"$75k-$100k","$100k+")))))</x:f>
        <x:v>$75k-$100k</x:v>
      </x:c>
      <x:c r="P1070" t="str">
        <x:f>IF(E1070="","Unknown",IF(E1070&lt;10,"&lt;10",IF(E1070&lt;20,"10-&lt;20",IF(E1070&lt;25,"20-&lt;25",IF(E1070&lt;35,"25-&lt;35","35+")))))</x:f>
        <x:v>25-&lt;35</x:v>
      </x:c>
    </x:row>
    <x:row r="1071">
      <x:c r="A1071" t="str">
        <x:v>SYN0001070</x:v>
      </x:c>
      <x:c r="B1071" s="12" t="n">
        <x:v>42745</x:v>
      </x:c>
      <x:c r="C1071" s="18" t="n">
        <x:v>17062</x:v>
      </x:c>
      <x:c r="D1071" s="18" t="n">
        <x:v>28989</x:v>
      </x:c>
      <x:c r="E1071" s="18" t="n">
        <x:v>44.71</x:v>
      </x:c>
      <x:c r="F1071" s="18" t="n">
        <x:v>26.51</x:v>
      </x:c>
      <x:c r="G1071" t="n">
        <x:v>36</x:v>
      </x:c>
      <x:c r="H1071" t="str">
        <x:v>G</x:v>
      </x:c>
      <x:c r="I1071" t="str">
        <x:v>7-9 years</x:v>
      </x:c>
      <x:c r="J1071" t="str">
        <x:v>RENT</x:v>
      </x:c>
      <x:c r="K1071" t="str">
        <x:v>debt_consolidation</x:v>
      </x:c>
      <x:c r="L1071" t="n">
        <x:v>0</x:v>
      </x:c>
      <x:c r="M1071" t="n">
        <x:v>1</x:v>
      </x:c>
      <x:c r="N1071" t="str">
        <x:v>Charged Off</x:v>
      </x:c>
      <x:c r="O1071" t="str">
        <x:f>IF(D1071="","Unknown",IF(D1071&lt;25000,"&lt;$25k",IF(D1071&lt;50000,"$25k-$50k",IF(D1071&lt;75000,"$50k-$75k",IF(D1071&lt;100000,"$75k-$100k","$100k+")))))</x:f>
        <x:v>$25k-$50k</x:v>
      </x:c>
      <x:c r="P1071" t="str">
        <x:f>IF(E1071="","Unknown",IF(E1071&lt;10,"&lt;10",IF(E1071&lt;20,"10-&lt;20",IF(E1071&lt;25,"20-&lt;25",IF(E1071&lt;35,"25-&lt;35","35+")))))</x:f>
        <x:v>35+</x:v>
      </x:c>
    </x:row>
    <x:row r="1072">
      <x:c r="A1072" t="str">
        <x:v>SYN0001071</x:v>
      </x:c>
      <x:c r="B1072" s="12" t="n">
        <x:v>42235</x:v>
      </x:c>
      <x:c r="C1072" s="18" t="n">
        <x:v>14885</x:v>
      </x:c>
      <x:c r="D1072" s="18" t="n">
        <x:v>34305</x:v>
      </x:c>
      <x:c r="E1072" s="18" t="n">
        <x:v>25.45</x:v>
      </x:c>
      <x:c r="F1072" s="18" t="n">
        <x:v>18.98</x:v>
      </x:c>
      <x:c r="G1072" t="n">
        <x:v>36</x:v>
      </x:c>
      <x:c r="H1072" t="str">
        <x:v>E</x:v>
      </x:c>
      <x:c r="I1072" t="str">
        <x:v>10+ years</x:v>
      </x:c>
      <x:c r="J1072" t="str">
        <x:v>MORTGAGE</x:v>
      </x:c>
      <x:c r="K1072" t="str">
        <x:v>home_improvement</x:v>
      </x:c>
      <x:c r="L1072" t="n">
        <x:v>0</x:v>
      </x:c>
      <x:c r="M1072" t="n">
        <x:v>0</x:v>
      </x:c>
      <x:c r="N1072" t="str">
        <x:v>Fully Paid</x:v>
      </x:c>
      <x:c r="O1072" t="str">
        <x:f>IF(D1072="","Unknown",IF(D1072&lt;25000,"&lt;$25k",IF(D1072&lt;50000,"$25k-$50k",IF(D1072&lt;75000,"$50k-$75k",IF(D1072&lt;100000,"$75k-$100k","$100k+")))))</x:f>
        <x:v>$25k-$50k</x:v>
      </x:c>
      <x:c r="P1072" t="str">
        <x:f>IF(E1072="","Unknown",IF(E1072&lt;10,"&lt;10",IF(E1072&lt;20,"10-&lt;20",IF(E1072&lt;25,"20-&lt;25",IF(E1072&lt;35,"25-&lt;35","35+")))))</x:f>
        <x:v>25-&lt;35</x:v>
      </x:c>
    </x:row>
    <x:row r="1073">
      <x:c r="A1073" t="str">
        <x:v>SYN0001072</x:v>
      </x:c>
      <x:c r="B1073" s="12" t="n">
        <x:v>42265</x:v>
      </x:c>
      <x:c r="C1073" s="18" t="n">
        <x:v>12745</x:v>
      </x:c>
      <x:c r="D1073" s="18" t="n">
        <x:v>179094</x:v>
      </x:c>
      <x:c r="E1073" s="18" t="n">
        <x:v>20.68</x:v>
      </x:c>
      <x:c r="F1073" s="18" t="n">
        <x:v>12.55</x:v>
      </x:c>
      <x:c r="G1073" t="n">
        <x:v>36</x:v>
      </x:c>
      <x:c r="H1073" t="str">
        <x:v>D</x:v>
      </x:c>
      <x:c r="I1073" t="str">
        <x:v>7-9 years</x:v>
      </x:c>
      <x:c r="J1073" t="str">
        <x:v>MORTGAGE</x:v>
      </x:c>
      <x:c r="K1073" t="str">
        <x:v>debt_consolidation</x:v>
      </x:c>
      <x:c r="L1073" t="n">
        <x:v>1</x:v>
      </x:c>
      <x:c r="M1073" t="n">
        <x:v>0</x:v>
      </x:c>
      <x:c r="N1073" t="str">
        <x:v>Fully Paid</x:v>
      </x:c>
      <x:c r="O1073" t="str">
        <x:f>IF(D1073="","Unknown",IF(D1073&lt;25000,"&lt;$25k",IF(D1073&lt;50000,"$25k-$50k",IF(D1073&lt;75000,"$50k-$75k",IF(D1073&lt;100000,"$75k-$100k","$100k+")))))</x:f>
        <x:v>$100k+</x:v>
      </x:c>
      <x:c r="P1073" t="str">
        <x:f>IF(E1073="","Unknown",IF(E1073&lt;10,"&lt;10",IF(E1073&lt;20,"10-&lt;20",IF(E1073&lt;25,"20-&lt;25",IF(E1073&lt;35,"25-&lt;35","35+")))))</x:f>
        <x:v>20-&lt;25</x:v>
      </x:c>
    </x:row>
    <x:row r="1074">
      <x:c r="A1074" t="str">
        <x:v>SYN0001073</x:v>
      </x:c>
      <x:c r="B1074" s="12" t="n">
        <x:v>41755</x:v>
      </x:c>
      <x:c r="C1074" s="18" t="n">
        <x:v>15835</x:v>
      </x:c>
      <x:c r="D1074" s="18" t="n">
        <x:v>29400</x:v>
      </x:c>
      <x:c r="E1074" s="18" t="n">
        <x:v>16.33</x:v>
      </x:c>
      <x:c r="F1074" s="18" t="n">
        <x:v>5.12</x:v>
      </x:c>
      <x:c r="G1074" t="n">
        <x:v>36</x:v>
      </x:c>
      <x:c r="H1074" t="str">
        <x:v>A</x:v>
      </x:c>
      <x:c r="I1074" t="str">
        <x:v>1-3 years</x:v>
      </x:c>
      <x:c r="J1074" t="str">
        <x:v>RENT</x:v>
      </x:c>
      <x:c r="K1074" t="str">
        <x:v>major_purchase</x:v>
      </x:c>
      <x:c r="L1074" t="n">
        <x:v>0</x:v>
      </x:c>
      <x:c r="M1074" t="n">
        <x:v>0</x:v>
      </x:c>
      <x:c r="N1074" t="str">
        <x:v>Fully Paid</x:v>
      </x:c>
      <x:c r="O1074" t="str">
        <x:f>IF(D1074="","Unknown",IF(D1074&lt;25000,"&lt;$25k",IF(D1074&lt;50000,"$25k-$50k",IF(D1074&lt;75000,"$50k-$75k",IF(D1074&lt;100000,"$75k-$100k","$100k+")))))</x:f>
        <x:v>$25k-$50k</x:v>
      </x:c>
      <x:c r="P1074" t="str">
        <x:f>IF(E1074="","Unknown",IF(E1074&lt;10,"&lt;10",IF(E1074&lt;20,"10-&lt;20",IF(E1074&lt;25,"20-&lt;25",IF(E1074&lt;35,"25-&lt;35","35+")))))</x:f>
        <x:v>10-&lt;20</x:v>
      </x:c>
    </x:row>
    <x:row r="1075">
      <x:c r="A1075" t="str">
        <x:v>SYN0001074</x:v>
      </x:c>
      <x:c r="B1075" s="12" t="n">
        <x:v>41935</x:v>
      </x:c>
      <x:c r="C1075" s="18" t="n">
        <x:v>10732</x:v>
      </x:c>
      <x:c r="D1075" s="18" t="n">
        <x:v>86496</x:v>
      </x:c>
      <x:c r="E1075" s="18" t="n">
        <x:v>26.35</x:v>
      </x:c>
      <x:c r="F1075" s="18" t="n">
        <x:v>16.89</x:v>
      </x:c>
      <x:c r="G1075" t="n">
        <x:v>36</x:v>
      </x:c>
      <x:c r="H1075" t="str">
        <x:v>D</x:v>
      </x:c>
      <x:c r="I1075" t="str">
        <x:v>&lt;1 year</x:v>
      </x:c>
      <x:c r="J1075" t="str">
        <x:v>MORTGAGE</x:v>
      </x:c>
      <x:c r="K1075" t="str">
        <x:v>other</x:v>
      </x:c>
      <x:c r="L1075" t="n">
        <x:v>0</x:v>
      </x:c>
      <x:c r="M1075" t="n">
        <x:v>0</x:v>
      </x:c>
      <x:c r="N1075" t="str">
        <x:v>Fully Paid</x:v>
      </x:c>
      <x:c r="O1075" t="str">
        <x:f>IF(D1075="","Unknown",IF(D1075&lt;25000,"&lt;$25k",IF(D1075&lt;50000,"$25k-$50k",IF(D1075&lt;75000,"$50k-$75k",IF(D1075&lt;100000,"$75k-$100k","$100k+")))))</x:f>
        <x:v>$75k-$100k</x:v>
      </x:c>
      <x:c r="P1075" t="str">
        <x:f>IF(E1075="","Unknown",IF(E1075&lt;10,"&lt;10",IF(E1075&lt;20,"10-&lt;20",IF(E1075&lt;25,"20-&lt;25",IF(E1075&lt;35,"25-&lt;35","35+")))))</x:f>
        <x:v>25-&lt;35</x:v>
      </x:c>
    </x:row>
    <x:row r="1076">
      <x:c r="A1076" t="str">
        <x:v>SYN0001075</x:v>
      </x:c>
      <x:c r="B1076" s="12" t="n">
        <x:v>43105</x:v>
      </x:c>
      <x:c r="C1076" s="18" t="n">
        <x:v>14216</x:v>
      </x:c>
      <x:c r="D1076" s="18" t="n">
        <x:v>85793</x:v>
      </x:c>
      <x:c r="E1076" s="18" t="n">
        <x:v>24.44</x:v>
      </x:c>
      <x:c r="F1076" s="18" t="n">
        <x:v>8.28</x:v>
      </x:c>
      <x:c r="G1076" t="n">
        <x:v>36</x:v>
      </x:c>
      <x:c r="H1076" t="str">
        <x:v>A</x:v>
      </x:c>
      <x:c r="I1076" t="str">
        <x:v>10+ years</x:v>
      </x:c>
      <x:c r="J1076" t="str">
        <x:v>MORTGAGE</x:v>
      </x:c>
      <x:c r="K1076" t="str">
        <x:v>other</x:v>
      </x:c>
      <x:c r="L1076" t="n">
        <x:v>1</x:v>
      </x:c>
      <x:c r="M1076" t="n">
        <x:v>0</x:v>
      </x:c>
      <x:c r="N1076" t="str">
        <x:v>Fully Paid</x:v>
      </x:c>
      <x:c r="O1076" t="str">
        <x:f>IF(D1076="","Unknown",IF(D1076&lt;25000,"&lt;$25k",IF(D1076&lt;50000,"$25k-$50k",IF(D1076&lt;75000,"$50k-$75k",IF(D1076&lt;100000,"$75k-$100k","$100k+")))))</x:f>
        <x:v>$75k-$100k</x:v>
      </x:c>
      <x:c r="P1076" t="str">
        <x:f>IF(E1076="","Unknown",IF(E1076&lt;10,"&lt;10",IF(E1076&lt;20,"10-&lt;20",IF(E1076&lt;25,"20-&lt;25",IF(E1076&lt;35,"25-&lt;35","35+")))))</x:f>
        <x:v>20-&lt;25</x:v>
      </x:c>
    </x:row>
    <x:row r="1077">
      <x:c r="A1077" t="str">
        <x:v>SYN0001076</x:v>
      </x:c>
      <x:c r="B1077" s="12" t="n">
        <x:v>42055</x:v>
      </x:c>
      <x:c r="C1077" s="18" t="n">
        <x:v>12930</x:v>
      </x:c>
      <x:c r="D1077" s="18" t="n">
        <x:v>17983</x:v>
      </x:c>
      <x:c r="E1077" s="18" t="n">
        <x:v>18.83</x:v>
      </x:c>
      <x:c r="F1077" s="18" t="n">
        <x:v>17.43</x:v>
      </x:c>
      <x:c r="G1077" t="n">
        <x:v>36</x:v>
      </x:c>
      <x:c r="H1077" t="str">
        <x:v>D</x:v>
      </x:c>
      <x:c r="I1077" t="str">
        <x:v>1-3 years</x:v>
      </x:c>
      <x:c r="J1077" t="str">
        <x:v>RENT</x:v>
      </x:c>
      <x:c r="K1077" t="str">
        <x:v>debt_consolidation</x:v>
      </x:c>
      <x:c r="L1077" t="n">
        <x:v>2</x:v>
      </x:c>
      <x:c r="M1077" t="n">
        <x:v>0</x:v>
      </x:c>
      <x:c r="N1077" t="str">
        <x:v>Fully Paid</x:v>
      </x:c>
      <x:c r="O1077" t="str">
        <x:f>IF(D1077="","Unknown",IF(D1077&lt;25000,"&lt;$25k",IF(D1077&lt;50000,"$25k-$50k",IF(D1077&lt;75000,"$50k-$75k",IF(D1077&lt;100000,"$75k-$100k","$100k+")))))</x:f>
        <x:v>&lt;$25k</x:v>
      </x:c>
      <x:c r="P1077" t="str">
        <x:f>IF(E1077="","Unknown",IF(E1077&lt;10,"&lt;10",IF(E1077&lt;20,"10-&lt;20",IF(E1077&lt;25,"20-&lt;25",IF(E1077&lt;35,"25-&lt;35","35+")))))</x:f>
        <x:v>10-&lt;20</x:v>
      </x:c>
    </x:row>
    <x:row r="1078">
      <x:c r="A1078" t="str">
        <x:v>SYN0001077</x:v>
      </x:c>
      <x:c r="B1078" s="12" t="n">
        <x:v>42985</x:v>
      </x:c>
      <x:c r="C1078" s="18" t="n">
        <x:v>9775</x:v>
      </x:c>
      <x:c r="D1078" s="18" t="n">
        <x:v>48473</x:v>
      </x:c>
      <x:c r="E1078" s="18" t="n">
        <x:v>8.5</x:v>
      </x:c>
      <x:c r="F1078" s="18" t="n">
        <x:v>11.23</x:v>
      </x:c>
      <x:c r="G1078" t="n">
        <x:v>60</x:v>
      </x:c>
      <x:c r="H1078" t="str">
        <x:v>B</x:v>
      </x:c>
      <x:c r="I1078" t="str">
        <x:v>1-3 years</x:v>
      </x:c>
      <x:c r="J1078" t="str">
        <x:v>OWN</x:v>
      </x:c>
      <x:c r="K1078" t="str">
        <x:v>debt_consolidation</x:v>
      </x:c>
      <x:c r="L1078" t="n">
        <x:v>0</x:v>
      </x:c>
      <x:c r="M1078" t="n">
        <x:v>0</x:v>
      </x:c>
      <x:c r="N1078" t="str">
        <x:v>Fully Paid</x:v>
      </x:c>
      <x:c r="O1078" t="str">
        <x:f>IF(D1078="","Unknown",IF(D1078&lt;25000,"&lt;$25k",IF(D1078&lt;50000,"$25k-$50k",IF(D1078&lt;75000,"$50k-$75k",IF(D1078&lt;100000,"$75k-$100k","$100k+")))))</x:f>
        <x:v>$25k-$50k</x:v>
      </x:c>
      <x:c r="P1078" t="str">
        <x:f>IF(E1078="","Unknown",IF(E1078&lt;10,"&lt;10",IF(E1078&lt;20,"10-&lt;20",IF(E1078&lt;25,"20-&lt;25",IF(E1078&lt;35,"25-&lt;35","35+")))))</x:f>
        <x:v>&lt;10</x:v>
      </x:c>
    </x:row>
    <x:row r="1079">
      <x:c r="A1079" t="str">
        <x:v>SYN0001078</x:v>
      </x:c>
      <x:c r="B1079" s="12" t="n">
        <x:v>41485</x:v>
      </x:c>
      <x:c r="C1079" s="18" t="n">
        <x:v>16547</x:v>
      </x:c>
      <x:c r="D1079" s="18" t="n">
        <x:v>100504</x:v>
      </x:c>
      <x:c r="E1079" s="18" t="n">
        <x:v>20.81</x:v>
      </x:c>
      <x:c r="F1079" s="18" t="n">
        <x:v>14.53</x:v>
      </x:c>
      <x:c r="G1079" t="n">
        <x:v>36</x:v>
      </x:c>
      <x:c r="H1079" t="str">
        <x:v>D</x:v>
      </x:c>
      <x:c r="I1079" t="str">
        <x:v>4-6 years</x:v>
      </x:c>
      <x:c r="J1079" t="str">
        <x:v>OWN</x:v>
      </x:c>
      <x:c r="K1079" t="str">
        <x:v>credit_card</x:v>
      </x:c>
      <x:c r="L1079" t="n">
        <x:v>0</x:v>
      </x:c>
      <x:c r="M1079" t="n">
        <x:v>0</x:v>
      </x:c>
      <x:c r="N1079" t="str">
        <x:v>Fully Paid</x:v>
      </x:c>
      <x:c r="O1079" t="str">
        <x:f>IF(D1079="","Unknown",IF(D1079&lt;25000,"&lt;$25k",IF(D1079&lt;50000,"$25k-$50k",IF(D1079&lt;75000,"$50k-$75k",IF(D1079&lt;100000,"$75k-$100k","$100k+")))))</x:f>
        <x:v>$100k+</x:v>
      </x:c>
      <x:c r="P1079" t="str">
        <x:f>IF(E1079="","Unknown",IF(E1079&lt;10,"&lt;10",IF(E1079&lt;20,"10-&lt;20",IF(E1079&lt;25,"20-&lt;25",IF(E1079&lt;35,"25-&lt;35","35+")))))</x:f>
        <x:v>20-&lt;25</x:v>
      </x:c>
    </x:row>
    <x:row r="1080">
      <x:c r="A1080" t="str">
        <x:v>SYN0001079</x:v>
      </x:c>
      <x:c r="B1080" s="12" t="n">
        <x:v>42925</x:v>
      </x:c>
      <x:c r="C1080" s="18" t="n">
        <x:v>7057</x:v>
      </x:c>
      <x:c r="D1080" s="18" t="n">
        <x:v>67951</x:v>
      </x:c>
      <x:c r="E1080" s="18" t="n">
        <x:v>14.2</x:v>
      </x:c>
      <x:c r="F1080" s="18" t="n">
        <x:v>8.07</x:v>
      </x:c>
      <x:c r="G1080" t="n">
        <x:v>36</x:v>
      </x:c>
      <x:c r="H1080" t="str">
        <x:v>B</x:v>
      </x:c>
      <x:c r="I1080" t="str">
        <x:v>10+ years</x:v>
      </x:c>
      <x:c r="J1080" t="str">
        <x:v>RENT</x:v>
      </x:c>
      <x:c r="K1080" t="str">
        <x:v>major_purchase</x:v>
      </x:c>
      <x:c r="L1080" t="n">
        <x:v>0</x:v>
      </x:c>
      <x:c r="M1080" t="n">
        <x:v>0</x:v>
      </x:c>
      <x:c r="N1080" t="str">
        <x:v>Fully Paid</x:v>
      </x:c>
      <x:c r="O1080" t="str">
        <x:f>IF(D1080="","Unknown",IF(D1080&lt;25000,"&lt;$25k",IF(D1080&lt;50000,"$25k-$50k",IF(D1080&lt;75000,"$50k-$75k",IF(D1080&lt;100000,"$75k-$100k","$100k+")))))</x:f>
        <x:v>$50k-$75k</x:v>
      </x:c>
      <x:c r="P1080" t="str">
        <x:f>IF(E1080="","Unknown",IF(E1080&lt;10,"&lt;10",IF(E1080&lt;20,"10-&lt;20",IF(E1080&lt;25,"20-&lt;25",IF(E1080&lt;35,"25-&lt;35","35+")))))</x:f>
        <x:v>10-&lt;20</x:v>
      </x:c>
    </x:row>
    <x:row r="1081">
      <x:c r="A1081" t="str">
        <x:v>SYN0001080</x:v>
      </x:c>
      <x:c r="B1081" s="12" t="n">
        <x:v>43225</x:v>
      </x:c>
      <x:c r="C1081" s="18" t="n">
        <x:v>11052</x:v>
      </x:c>
      <x:c r="D1081" s="18" t="n">
        <x:v>105074</x:v>
      </x:c>
      <x:c r="E1081" s="18" t="n">
        <x:v>30.33</x:v>
      </x:c>
      <x:c r="F1081" s="18" t="n">
        <x:v>26.41</x:v>
      </x:c>
      <x:c r="G1081" t="n">
        <x:v>36</x:v>
      </x:c>
      <x:c r="H1081" t="str">
        <x:v>G</x:v>
      </x:c>
      <x:c r="I1081" t="str">
        <x:v>1-3 years</x:v>
      </x:c>
      <x:c r="J1081" t="str">
        <x:v>MORTGAGE</x:v>
      </x:c>
      <x:c r="K1081" t="str">
        <x:v>home_improvement</x:v>
      </x:c>
      <x:c r="L1081" t="n">
        <x:v>4</x:v>
      </x:c>
      <x:c r="M1081" t="n">
        <x:v>0</x:v>
      </x:c>
      <x:c r="N1081" t="str">
        <x:v>Fully Paid</x:v>
      </x:c>
      <x:c r="O1081" t="str">
        <x:f>IF(D1081="","Unknown",IF(D1081&lt;25000,"&lt;$25k",IF(D1081&lt;50000,"$25k-$50k",IF(D1081&lt;75000,"$50k-$75k",IF(D1081&lt;100000,"$75k-$100k","$100k+")))))</x:f>
        <x:v>$100k+</x:v>
      </x:c>
      <x:c r="P1081" t="str">
        <x:f>IF(E1081="","Unknown",IF(E1081&lt;10,"&lt;10",IF(E1081&lt;20,"10-&lt;20",IF(E1081&lt;25,"20-&lt;25",IF(E1081&lt;35,"25-&lt;35","35+")))))</x:f>
        <x:v>25-&lt;35</x:v>
      </x:c>
    </x:row>
    <x:row r="1082">
      <x:c r="A1082" t="str">
        <x:v>SYN0001081</x:v>
      </x:c>
      <x:c r="B1082" s="12" t="n">
        <x:v>42745</x:v>
      </x:c>
      <x:c r="C1082" s="18" t="n">
        <x:v>23221</x:v>
      </x:c>
      <x:c r="D1082" s="18" t="n">
        <x:v>71923</x:v>
      </x:c>
      <x:c r="E1082" s="18" t="n">
        <x:v>20.46</x:v>
      </x:c>
      <x:c r="F1082" s="18" t="n">
        <x:v>7.65</x:v>
      </x:c>
      <x:c r="G1082" t="n">
        <x:v>60</x:v>
      </x:c>
      <x:c r="H1082" t="str">
        <x:v>A</x:v>
      </x:c>
      <x:c r="I1082" t="str">
        <x:v>&lt;1 year</x:v>
      </x:c>
      <x:c r="J1082" t="str">
        <x:v>OWN</x:v>
      </x:c>
      <x:c r="K1082" t="str">
        <x:v>debt_consolidation</x:v>
      </x:c>
      <x:c r="L1082" t="n">
        <x:v>0</x:v>
      </x:c>
      <x:c r="M1082" t="n">
        <x:v>1</x:v>
      </x:c>
      <x:c r="N1082" t="str">
        <x:v>Charged Off</x:v>
      </x:c>
      <x:c r="O1082" t="str">
        <x:f>IF(D1082="","Unknown",IF(D1082&lt;25000,"&lt;$25k",IF(D1082&lt;50000,"$25k-$50k",IF(D1082&lt;75000,"$50k-$75k",IF(D1082&lt;100000,"$75k-$100k","$100k+")))))</x:f>
        <x:v>$50k-$75k</x:v>
      </x:c>
      <x:c r="P1082" t="str">
        <x:f>IF(E1082="","Unknown",IF(E1082&lt;10,"&lt;10",IF(E1082&lt;20,"10-&lt;20",IF(E1082&lt;25,"20-&lt;25",IF(E1082&lt;35,"25-&lt;35","35+")))))</x:f>
        <x:v>20-&lt;25</x:v>
      </x:c>
    </x:row>
    <x:row r="1083">
      <x:c r="A1083" t="str">
        <x:v>SYN0001082</x:v>
      </x:c>
      <x:c r="B1083" s="12" t="n">
        <x:v>41725</x:v>
      </x:c>
      <x:c r="C1083" s="18" t="n">
        <x:v>12404</x:v>
      </x:c>
      <x:c r="D1083" s="18" t="n">
        <x:v>105439</x:v>
      </x:c>
      <x:c r="E1083" s="18" t="n">
        <x:v>15.27</x:v>
      </x:c>
      <x:c r="F1083" s="18" t="n">
        <x:v>8.4</x:v>
      </x:c>
      <x:c r="G1083" t="n">
        <x:v>36</x:v>
      </x:c>
      <x:c r="H1083" t="str">
        <x:v>B</x:v>
      </x:c>
      <x:c r="I1083" t="str">
        <x:v>&lt;1 year</x:v>
      </x:c>
      <x:c r="J1083" t="str">
        <x:v>RENT</x:v>
      </x:c>
      <x:c r="K1083" t="str">
        <x:v>debt_consolidation</x:v>
      </x:c>
      <x:c r="L1083" t="n">
        <x:v>0</x:v>
      </x:c>
      <x:c r="M1083" t="n">
        <x:v>0</x:v>
      </x:c>
      <x:c r="N1083" t="str">
        <x:v>Fully Paid</x:v>
      </x:c>
      <x:c r="O1083" t="str">
        <x:f>IF(D1083="","Unknown",IF(D1083&lt;25000,"&lt;$25k",IF(D1083&lt;50000,"$25k-$50k",IF(D1083&lt;75000,"$50k-$75k",IF(D1083&lt;100000,"$75k-$100k","$100k+")))))</x:f>
        <x:v>$100k+</x:v>
      </x:c>
      <x:c r="P1083" t="str">
        <x:f>IF(E1083="","Unknown",IF(E1083&lt;10,"&lt;10",IF(E1083&lt;20,"10-&lt;20",IF(E1083&lt;25,"20-&lt;25",IF(E1083&lt;35,"25-&lt;35","35+")))))</x:f>
        <x:v>10-&lt;20</x:v>
      </x:c>
    </x:row>
    <x:row r="1084">
      <x:c r="A1084" t="str">
        <x:v>SYN0001083</x:v>
      </x:c>
      <x:c r="B1084" s="12" t="n">
        <x:v>43285</x:v>
      </x:c>
      <x:c r="C1084" s="18" t="n">
        <x:v>9088</x:v>
      </x:c>
      <x:c r="D1084" s="18" t="n">
        <x:v>56818</x:v>
      </x:c>
      <x:c r="E1084" s="18" t="n">
        <x:v>25.99</x:v>
      </x:c>
      <x:c r="F1084" s="18" t="n">
        <x:v>16.97</x:v>
      </x:c>
      <x:c r="G1084" t="n">
        <x:v>36</x:v>
      </x:c>
      <x:c r="H1084" t="str">
        <x:v>D</x:v>
      </x:c>
      <x:c r="I1084" t="str">
        <x:v>&lt;1 year</x:v>
      </x:c>
      <x:c r="J1084" t="str">
        <x:v>RENT</x:v>
      </x:c>
      <x:c r="K1084" t="str">
        <x:v>debt_consolidation</x:v>
      </x:c>
      <x:c r="L1084" t="n">
        <x:v>0</x:v>
      </x:c>
      <x:c r="M1084" t="n">
        <x:v>0</x:v>
      </x:c>
      <x:c r="N1084" t="str">
        <x:v>Fully Paid</x:v>
      </x:c>
      <x:c r="O1084" t="str">
        <x:f>IF(D1084="","Unknown",IF(D1084&lt;25000,"&lt;$25k",IF(D1084&lt;50000,"$25k-$50k",IF(D1084&lt;75000,"$50k-$75k",IF(D1084&lt;100000,"$75k-$100k","$100k+")))))</x:f>
        <x:v>$50k-$75k</x:v>
      </x:c>
      <x:c r="P1084" t="str">
        <x:f>IF(E1084="","Unknown",IF(E1084&lt;10,"&lt;10",IF(E1084&lt;20,"10-&lt;20",IF(E1084&lt;25,"20-&lt;25",IF(E1084&lt;35,"25-&lt;35","35+")))))</x:f>
        <x:v>25-&lt;35</x:v>
      </x:c>
    </x:row>
    <x:row r="1085">
      <x:c r="A1085" t="str">
        <x:v>SYN0001084</x:v>
      </x:c>
      <x:c r="B1085" s="12" t="n">
        <x:v>42205</x:v>
      </x:c>
      <x:c r="C1085" s="18" t="n">
        <x:v>9859</x:v>
      </x:c>
      <x:c r="D1085" s="18" t="n">
        <x:v>99796</x:v>
      </x:c>
      <x:c r="E1085" s="18" t="n">
        <x:v>21.47</x:v>
      </x:c>
      <x:c r="F1085" s="18" t="n">
        <x:v>6.41</x:v>
      </x:c>
      <x:c r="G1085" t="n">
        <x:v>36</x:v>
      </x:c>
      <x:c r="H1085" t="str">
        <x:v>B</x:v>
      </x:c>
      <x:c r="I1085" t="str">
        <x:v>7-9 years</x:v>
      </x:c>
      <x:c r="J1085" t="str">
        <x:v>MORTGAGE</x:v>
      </x:c>
      <x:c r="K1085" t="str">
        <x:v>credit_card</x:v>
      </x:c>
      <x:c r="L1085" t="n">
        <x:v>1</x:v>
      </x:c>
      <x:c r="M1085" t="n">
        <x:v>0</x:v>
      </x:c>
      <x:c r="N1085" t="str">
        <x:v>Fully Paid</x:v>
      </x:c>
      <x:c r="O1085" t="str">
        <x:f>IF(D1085="","Unknown",IF(D1085&lt;25000,"&lt;$25k",IF(D1085&lt;50000,"$25k-$50k",IF(D1085&lt;75000,"$50k-$75k",IF(D1085&lt;100000,"$75k-$100k","$100k+")))))</x:f>
        <x:v>$75k-$100k</x:v>
      </x:c>
      <x:c r="P1085" t="str">
        <x:f>IF(E1085="","Unknown",IF(E1085&lt;10,"&lt;10",IF(E1085&lt;20,"10-&lt;20",IF(E1085&lt;25,"20-&lt;25",IF(E1085&lt;35,"25-&lt;35","35+")))))</x:f>
        <x:v>20-&lt;25</x:v>
      </x:c>
    </x:row>
    <x:row r="1086">
      <x:c r="A1086" t="str">
        <x:v>SYN0001085</x:v>
      </x:c>
      <x:c r="B1086" s="12" t="n">
        <x:v>42895</x:v>
      </x:c>
      <x:c r="C1086" s="18" t="n">
        <x:v>19923</x:v>
      </x:c>
      <x:c r="D1086" s="18" t="n">
        <x:v>45436</x:v>
      </x:c>
      <x:c r="E1086" s="18" t="n">
        <x:v>19.86</x:v>
      </x:c>
      <x:c r="F1086" s="18" t="n">
        <x:v>9.42</x:v>
      </x:c>
      <x:c r="G1086" t="n">
        <x:v>36</x:v>
      </x:c>
      <x:c r="H1086" t="str">
        <x:v>C</x:v>
      </x:c>
      <x:c r="I1086" t="str">
        <x:v>7-9 years</x:v>
      </x:c>
      <x:c r="J1086" t="str">
        <x:v>RENT</x:v>
      </x:c>
      <x:c r="K1086" t="str">
        <x:v>debt_consolidation</x:v>
      </x:c>
      <x:c r="L1086" t="n">
        <x:v>0</x:v>
      </x:c>
      <x:c r="M1086" t="n">
        <x:v>0</x:v>
      </x:c>
      <x:c r="N1086" t="str">
        <x:v>Fully Paid</x:v>
      </x:c>
      <x:c r="O1086" t="str">
        <x:f>IF(D1086="","Unknown",IF(D1086&lt;25000,"&lt;$25k",IF(D1086&lt;50000,"$25k-$50k",IF(D1086&lt;75000,"$50k-$75k",IF(D1086&lt;100000,"$75k-$100k","$100k+")))))</x:f>
        <x:v>$25k-$50k</x:v>
      </x:c>
      <x:c r="P1086" t="str">
        <x:f>IF(E1086="","Unknown",IF(E1086&lt;10,"&lt;10",IF(E1086&lt;20,"10-&lt;20",IF(E1086&lt;25,"20-&lt;25",IF(E1086&lt;35,"25-&lt;35","35+")))))</x:f>
        <x:v>10-&lt;20</x:v>
      </x:c>
    </x:row>
    <x:row r="1087">
      <x:c r="A1087" t="str">
        <x:v>SYN0001086</x:v>
      </x:c>
      <x:c r="B1087" s="12" t="n">
        <x:v>42475</x:v>
      </x:c>
      <x:c r="C1087" s="18" t="n">
        <x:v>7738</x:v>
      </x:c>
      <x:c r="D1087" s="18" t="n">
        <x:v>37285</x:v>
      </x:c>
      <x:c r="E1087" s="18" t="n">
        <x:v>23.83</x:v>
      </x:c>
      <x:c r="F1087" s="18" t="n">
        <x:v>19.87</x:v>
      </x:c>
      <x:c r="G1087" t="n">
        <x:v>36</x:v>
      </x:c>
      <x:c r="H1087" t="str">
        <x:v>F</x:v>
      </x:c>
      <x:c r="I1087" t="str">
        <x:v>4-6 years</x:v>
      </x:c>
      <x:c r="J1087" t="str">
        <x:v>OWN</x:v>
      </x:c>
      <x:c r="K1087" t="str">
        <x:v>credit_card</x:v>
      </x:c>
      <x:c r="L1087" t="n">
        <x:v>1</x:v>
      </x:c>
      <x:c r="M1087" t="n">
        <x:v>0</x:v>
      </x:c>
      <x:c r="N1087" t="str">
        <x:v>Fully Paid</x:v>
      </x:c>
      <x:c r="O1087" t="str">
        <x:f>IF(D1087="","Unknown",IF(D1087&lt;25000,"&lt;$25k",IF(D1087&lt;50000,"$25k-$50k",IF(D1087&lt;75000,"$50k-$75k",IF(D1087&lt;100000,"$75k-$100k","$100k+")))))</x:f>
        <x:v>$25k-$50k</x:v>
      </x:c>
      <x:c r="P1087" t="str">
        <x:f>IF(E1087="","Unknown",IF(E1087&lt;10,"&lt;10",IF(E1087&lt;20,"10-&lt;20",IF(E1087&lt;25,"20-&lt;25",IF(E1087&lt;35,"25-&lt;35","35+")))))</x:f>
        <x:v>20-&lt;25</x:v>
      </x:c>
    </x:row>
    <x:row r="1088">
      <x:c r="A1088" t="str">
        <x:v>SYN0001087</x:v>
      </x:c>
      <x:c r="B1088" s="12" t="n">
        <x:v>43135</x:v>
      </x:c>
      <x:c r="C1088" s="18" t="n">
        <x:v>11455</x:v>
      </x:c>
      <x:c r="D1088" s="18" t="n">
        <x:v>13014</x:v>
      </x:c>
      <x:c r="E1088" s="18" t="n">
        <x:v>10.49</x:v>
      </x:c>
      <x:c r="F1088" s="18" t="n">
        <x:v>15.64</x:v>
      </x:c>
      <x:c r="G1088" t="n">
        <x:v>36</x:v>
      </x:c>
      <x:c r="H1088" t="str">
        <x:v>D</x:v>
      </x:c>
      <x:c r="I1088" t="str">
        <x:v>4-6 years</x:v>
      </x:c>
      <x:c r="J1088" t="str">
        <x:v>RENT</x:v>
      </x:c>
      <x:c r="K1088" t="str">
        <x:v>debt_consolidation</x:v>
      </x:c>
      <x:c r="L1088" t="n">
        <x:v>1</x:v>
      </x:c>
      <x:c r="M1088" t="n">
        <x:v>0</x:v>
      </x:c>
      <x:c r="N1088" t="str">
        <x:v>Fully Paid</x:v>
      </x:c>
      <x:c r="O1088" t="str">
        <x:f>IF(D1088="","Unknown",IF(D1088&lt;25000,"&lt;$25k",IF(D1088&lt;50000,"$25k-$50k",IF(D1088&lt;75000,"$50k-$75k",IF(D1088&lt;100000,"$75k-$100k","$100k+")))))</x:f>
        <x:v>&lt;$25k</x:v>
      </x:c>
      <x:c r="P1088" t="str">
        <x:f>IF(E1088="","Unknown",IF(E1088&lt;10,"&lt;10",IF(E1088&lt;20,"10-&lt;20",IF(E1088&lt;25,"20-&lt;25",IF(E1088&lt;35,"25-&lt;35","35+")))))</x:f>
        <x:v>10-&lt;20</x:v>
      </x:c>
    </x:row>
    <x:row r="1089">
      <x:c r="A1089" t="str">
        <x:v>SYN0001088</x:v>
      </x:c>
      <x:c r="B1089" s="12" t="n">
        <x:v>41335</x:v>
      </x:c>
      <x:c r="C1089" s="18" t="n">
        <x:v>7789</x:v>
      </x:c>
      <x:c r="D1089" s="18" t="n">
        <x:v>28371</x:v>
      </x:c>
      <x:c r="E1089" s="18" t="n">
        <x:v>19.74</x:v>
      </x:c>
      <x:c r="F1089" s="18" t="n">
        <x:v>9.41</x:v>
      </x:c>
      <x:c r="G1089" t="n">
        <x:v>36</x:v>
      </x:c>
      <x:c r="H1089" t="str">
        <x:v>C</x:v>
      </x:c>
      <x:c r="I1089" t="str">
        <x:v>7-9 years</x:v>
      </x:c>
      <x:c r="J1089" t="str">
        <x:v>RENT</x:v>
      </x:c>
      <x:c r="K1089" t="str">
        <x:v>debt_consolidation</x:v>
      </x:c>
      <x:c r="L1089" t="n">
        <x:v>0</x:v>
      </x:c>
      <x:c r="M1089" t="n">
        <x:v>0</x:v>
      </x:c>
      <x:c r="N1089" t="str">
        <x:v>Fully Paid</x:v>
      </x:c>
      <x:c r="O1089" t="str">
        <x:f>IF(D1089="","Unknown",IF(D1089&lt;25000,"&lt;$25k",IF(D1089&lt;50000,"$25k-$50k",IF(D1089&lt;75000,"$50k-$75k",IF(D1089&lt;100000,"$75k-$100k","$100k+")))))</x:f>
        <x:v>$25k-$50k</x:v>
      </x:c>
      <x:c r="P1089" t="str">
        <x:f>IF(E1089="","Unknown",IF(E1089&lt;10,"&lt;10",IF(E1089&lt;20,"10-&lt;20",IF(E1089&lt;25,"20-&lt;25",IF(E1089&lt;35,"25-&lt;35","35+")))))</x:f>
        <x:v>10-&lt;20</x:v>
      </x:c>
    </x:row>
    <x:row r="1090">
      <x:c r="A1090" t="str">
        <x:v>SYN0001089</x:v>
      </x:c>
      <x:c r="B1090" s="12" t="n">
        <x:v>42385</x:v>
      </x:c>
      <x:c r="C1090" s="18" t="n">
        <x:v>23268</x:v>
      </x:c>
      <x:c r="D1090" s="18" t="n">
        <x:v>78452</x:v>
      </x:c>
      <x:c r="E1090" s="18" t="n">
        <x:v>26.28</x:v>
      </x:c>
      <x:c r="F1090" s="18" t="n">
        <x:v>8.67</x:v>
      </x:c>
      <x:c r="G1090" t="n">
        <x:v>36</x:v>
      </x:c>
      <x:c r="H1090" t="str">
        <x:v>A</x:v>
      </x:c>
      <x:c r="I1090" t="str">
        <x:v>1-3 years</x:v>
      </x:c>
      <x:c r="J1090" t="str">
        <x:v>MORTGAGE</x:v>
      </x:c>
      <x:c r="K1090" t="str">
        <x:v>debt_consolidation</x:v>
      </x:c>
      <x:c r="L1090" t="n">
        <x:v>0</x:v>
      </x:c>
      <x:c r="M1090" t="n">
        <x:v>0</x:v>
      </x:c>
      <x:c r="N1090" t="str">
        <x:v>Fully Paid</x:v>
      </x:c>
      <x:c r="O1090" t="str">
        <x:f>IF(D1090="","Unknown",IF(D1090&lt;25000,"&lt;$25k",IF(D1090&lt;50000,"$25k-$50k",IF(D1090&lt;75000,"$50k-$75k",IF(D1090&lt;100000,"$75k-$100k","$100k+")))))</x:f>
        <x:v>$75k-$100k</x:v>
      </x:c>
      <x:c r="P1090" t="str">
        <x:f>IF(E1090="","Unknown",IF(E1090&lt;10,"&lt;10",IF(E1090&lt;20,"10-&lt;20",IF(E1090&lt;25,"20-&lt;25",IF(E1090&lt;35,"25-&lt;35","35+")))))</x:f>
        <x:v>25-&lt;35</x:v>
      </x:c>
    </x:row>
    <x:row r="1091">
      <x:c r="A1091" t="str">
        <x:v>SYN0001090</x:v>
      </x:c>
      <x:c r="B1091" s="12" t="n">
        <x:v>41575</x:v>
      </x:c>
      <x:c r="C1091" s="18" t="n">
        <x:v>19532</x:v>
      </x:c>
      <x:c r="D1091" s="18" t="n">
        <x:v>50435</x:v>
      </x:c>
      <x:c r="E1091" s="18" t="n">
        <x:v>22.42</x:v>
      </x:c>
      <x:c r="F1091" s="18" t="n">
        <x:v>12.94</x:v>
      </x:c>
      <x:c r="G1091" t="n">
        <x:v>36</x:v>
      </x:c>
      <x:c r="H1091" t="str">
        <x:v>D</x:v>
      </x:c>
      <x:c r="I1091" t="str">
        <x:v>4-6 years</x:v>
      </x:c>
      <x:c r="J1091" t="str">
        <x:v>MORTGAGE</x:v>
      </x:c>
      <x:c r="K1091" t="str">
        <x:v>debt_consolidation</x:v>
      </x:c>
      <x:c r="L1091" t="n">
        <x:v>0</x:v>
      </x:c>
      <x:c r="M1091" t="n">
        <x:v>0</x:v>
      </x:c>
      <x:c r="N1091" t="str">
        <x:v>Fully Paid</x:v>
      </x:c>
      <x:c r="O1091" t="str">
        <x:f>IF(D1091="","Unknown",IF(D1091&lt;25000,"&lt;$25k",IF(D1091&lt;50000,"$25k-$50k",IF(D1091&lt;75000,"$50k-$75k",IF(D1091&lt;100000,"$75k-$100k","$100k+")))))</x:f>
        <x:v>$50k-$75k</x:v>
      </x:c>
      <x:c r="P1091" t="str">
        <x:f>IF(E1091="","Unknown",IF(E1091&lt;10,"&lt;10",IF(E1091&lt;20,"10-&lt;20",IF(E1091&lt;25,"20-&lt;25",IF(E1091&lt;35,"25-&lt;35","35+")))))</x:f>
        <x:v>20-&lt;25</x:v>
      </x:c>
    </x:row>
    <x:row r="1092">
      <x:c r="A1092" t="str">
        <x:v>SYN0001091</x:v>
      </x:c>
      <x:c r="B1092" s="12" t="n">
        <x:v>42355</x:v>
      </x:c>
      <x:c r="C1092" s="18" t="n">
        <x:v>6184</x:v>
      </x:c>
      <x:c r="D1092" s="18" t="n">
        <x:v>93641</x:v>
      </x:c>
      <x:c r="E1092" s="18" t="n">
        <x:v>23.63</x:v>
      </x:c>
      <x:c r="F1092" s="18" t="n">
        <x:v>12.67</x:v>
      </x:c>
      <x:c r="G1092" t="n">
        <x:v>60</x:v>
      </x:c>
      <x:c r="H1092" t="str">
        <x:v>C</x:v>
      </x:c>
      <x:c r="I1092" t="str">
        <x:v>4-6 years</x:v>
      </x:c>
      <x:c r="J1092" t="str">
        <x:v>OWN</x:v>
      </x:c>
      <x:c r="K1092" t="str">
        <x:v>debt_consolidation</x:v>
      </x:c>
      <x:c r="L1092" t="n">
        <x:v>0</x:v>
      </x:c>
      <x:c r="M1092" t="n">
        <x:v>0</x:v>
      </x:c>
      <x:c r="N1092" t="str">
        <x:v>Fully Paid</x:v>
      </x:c>
      <x:c r="O1092" t="str">
        <x:f>IF(D1092="","Unknown",IF(D1092&lt;25000,"&lt;$25k",IF(D1092&lt;50000,"$25k-$50k",IF(D1092&lt;75000,"$50k-$75k",IF(D1092&lt;100000,"$75k-$100k","$100k+")))))</x:f>
        <x:v>$75k-$100k</x:v>
      </x:c>
      <x:c r="P1092" t="str">
        <x:f>IF(E1092="","Unknown",IF(E1092&lt;10,"&lt;10",IF(E1092&lt;20,"10-&lt;20",IF(E1092&lt;25,"20-&lt;25",IF(E1092&lt;35,"25-&lt;35","35+")))))</x:f>
        <x:v>20-&lt;25</x:v>
      </x:c>
    </x:row>
    <x:row r="1093">
      <x:c r="A1093" t="str">
        <x:v>SYN0001092</x:v>
      </x:c>
      <x:c r="B1093" s="12" t="n">
        <x:v>43405</x:v>
      </x:c>
      <x:c r="C1093" s="18" t="n">
        <x:v>9683</x:v>
      </x:c>
      <x:c r="D1093" s="18" t="n">
        <x:v>69524</x:v>
      </x:c>
      <x:c r="E1093" s="18" t="n">
        <x:v>22.37</x:v>
      </x:c>
      <x:c r="F1093" s="18" t="n">
        <x:v>11.58</x:v>
      </x:c>
      <x:c r="G1093" t="n">
        <x:v>36</x:v>
      </x:c>
      <x:c r="H1093" t="str">
        <x:v>C</x:v>
      </x:c>
      <x:c r="I1093" t="str">
        <x:v>10+ years</x:v>
      </x:c>
      <x:c r="J1093" t="str">
        <x:v>OWN</x:v>
      </x:c>
      <x:c r="K1093" t="str">
        <x:v>debt_consolidation</x:v>
      </x:c>
      <x:c r="L1093" t="n">
        <x:v>1</x:v>
      </x:c>
      <x:c r="M1093" t="n">
        <x:v>0</x:v>
      </x:c>
      <x:c r="N1093" t="str">
        <x:v>Fully Paid</x:v>
      </x:c>
      <x:c r="O1093" t="str">
        <x:f>IF(D1093="","Unknown",IF(D1093&lt;25000,"&lt;$25k",IF(D1093&lt;50000,"$25k-$50k",IF(D1093&lt;75000,"$50k-$75k",IF(D1093&lt;100000,"$75k-$100k","$100k+")))))</x:f>
        <x:v>$50k-$75k</x:v>
      </x:c>
      <x:c r="P1093" t="str">
        <x:f>IF(E1093="","Unknown",IF(E1093&lt;10,"&lt;10",IF(E1093&lt;20,"10-&lt;20",IF(E1093&lt;25,"20-&lt;25",IF(E1093&lt;35,"25-&lt;35","35+")))))</x:f>
        <x:v>20-&lt;25</x:v>
      </x:c>
    </x:row>
    <x:row r="1094">
      <x:c r="A1094" t="str">
        <x:v>SYN0001093</x:v>
      </x:c>
      <x:c r="B1094" s="12" t="n">
        <x:v>41725</x:v>
      </x:c>
      <x:c r="C1094" s="18" t="n">
        <x:v>12925</x:v>
      </x:c>
      <x:c r="D1094" s="18" t="n">
        <x:v>94822</x:v>
      </x:c>
      <x:c r="E1094" s="18" t="n">
        <x:v>22.87</x:v>
      </x:c>
      <x:c r="F1094" s="18" t="n">
        <x:v>7.38</x:v>
      </x:c>
      <x:c r="G1094" t="n">
        <x:v>36</x:v>
      </x:c>
      <x:c r="H1094" t="str">
        <x:v>B</x:v>
      </x:c>
      <x:c r="I1094" t="str">
        <x:v>4-6 years</x:v>
      </x:c>
      <x:c r="J1094" t="str">
        <x:v>MORTGAGE</x:v>
      </x:c>
      <x:c r="K1094" t="str">
        <x:v>credit_card</x:v>
      </x:c>
      <x:c r="L1094" t="n">
        <x:v>0</x:v>
      </x:c>
      <x:c r="M1094" t="n">
        <x:v>0</x:v>
      </x:c>
      <x:c r="N1094" t="str">
        <x:v>Fully Paid</x:v>
      </x:c>
      <x:c r="O1094" t="str">
        <x:f>IF(D1094="","Unknown",IF(D1094&lt;25000,"&lt;$25k",IF(D1094&lt;50000,"$25k-$50k",IF(D1094&lt;75000,"$50k-$75k",IF(D1094&lt;100000,"$75k-$100k","$100k+")))))</x:f>
        <x:v>$75k-$100k</x:v>
      </x:c>
      <x:c r="P1094" t="str">
        <x:f>IF(E1094="","Unknown",IF(E1094&lt;10,"&lt;10",IF(E1094&lt;20,"10-&lt;20",IF(E1094&lt;25,"20-&lt;25",IF(E1094&lt;35,"25-&lt;35","35+")))))</x:f>
        <x:v>20-&lt;25</x:v>
      </x:c>
    </x:row>
    <x:row r="1095">
      <x:c r="A1095" t="str">
        <x:v>SYN0001094</x:v>
      </x:c>
      <x:c r="B1095" s="12" t="n">
        <x:v>41485</x:v>
      </x:c>
      <x:c r="C1095" s="18" t="n">
        <x:v>14331</x:v>
      </x:c>
      <x:c r="D1095" s="18" t="n">
        <x:v>43946</x:v>
      </x:c>
      <x:c r="E1095" s="18" t="n">
        <x:v>32.61</x:v>
      </x:c>
      <x:c r="F1095" s="18" t="n">
        <x:v>10.12</x:v>
      </x:c>
      <x:c r="G1095" t="n">
        <x:v>36</x:v>
      </x:c>
      <x:c r="H1095" t="str">
        <x:v>B</x:v>
      </x:c>
      <x:c r="I1095" t="str">
        <x:v>1-3 years</x:v>
      </x:c>
      <x:c r="J1095" t="str">
        <x:v>RENT</x:v>
      </x:c>
      <x:c r="K1095" t="str">
        <x:v>credit_card</x:v>
      </x:c>
      <x:c r="L1095" t="n">
        <x:v>0</x:v>
      </x:c>
      <x:c r="M1095" t="n">
        <x:v>0</x:v>
      </x:c>
      <x:c r="N1095" t="str">
        <x:v>Fully Paid</x:v>
      </x:c>
      <x:c r="O1095" t="str">
        <x:f>IF(D1095="","Unknown",IF(D1095&lt;25000,"&lt;$25k",IF(D1095&lt;50000,"$25k-$50k",IF(D1095&lt;75000,"$50k-$75k",IF(D1095&lt;100000,"$75k-$100k","$100k+")))))</x:f>
        <x:v>$25k-$50k</x:v>
      </x:c>
      <x:c r="P1095" t="str">
        <x:f>IF(E1095="","Unknown",IF(E1095&lt;10,"&lt;10",IF(E1095&lt;20,"10-&lt;20",IF(E1095&lt;25,"20-&lt;25",IF(E1095&lt;35,"25-&lt;35","35+")))))</x:f>
        <x:v>25-&lt;35</x:v>
      </x:c>
    </x:row>
    <x:row r="1096">
      <x:c r="A1096" t="str">
        <x:v>SYN0001095</x:v>
      </x:c>
      <x:c r="B1096" s="12" t="n">
        <x:v>42295</x:v>
      </x:c>
      <x:c r="C1096" s="18" t="n">
        <x:v>17155</x:v>
      </x:c>
      <x:c r="D1096" s="18" t="n">
        <x:v>129216</x:v>
      </x:c>
      <x:c r="E1096" s="18" t="n">
        <x:v>23.18</x:v>
      </x:c>
      <x:c r="F1096" s="18" t="n">
        <x:v>11.19</x:v>
      </x:c>
      <x:c r="G1096" t="n">
        <x:v>36</x:v>
      </x:c>
      <x:c r="H1096" t="str">
        <x:v>B</x:v>
      </x:c>
      <x:c r="I1096" t="str">
        <x:v>1-3 years</x:v>
      </x:c>
      <x:c r="J1096" t="str">
        <x:v>OWN</x:v>
      </x:c>
      <x:c r="K1096" t="str">
        <x:v>major_purchase</x:v>
      </x:c>
      <x:c r="L1096" t="n">
        <x:v>0</x:v>
      </x:c>
      <x:c r="M1096" t="n">
        <x:v>0</x:v>
      </x:c>
      <x:c r="N1096" t="str">
        <x:v>Fully Paid</x:v>
      </x:c>
      <x:c r="O1096" t="str">
        <x:f>IF(D1096="","Unknown",IF(D1096&lt;25000,"&lt;$25k",IF(D1096&lt;50000,"$25k-$50k",IF(D1096&lt;75000,"$50k-$75k",IF(D1096&lt;100000,"$75k-$100k","$100k+")))))</x:f>
        <x:v>$100k+</x:v>
      </x:c>
      <x:c r="P1096" t="str">
        <x:f>IF(E1096="","Unknown",IF(E1096&lt;10,"&lt;10",IF(E1096&lt;20,"10-&lt;20",IF(E1096&lt;25,"20-&lt;25",IF(E1096&lt;35,"25-&lt;35","35+")))))</x:f>
        <x:v>20-&lt;25</x:v>
      </x:c>
    </x:row>
    <x:row r="1097">
      <x:c r="A1097" t="str">
        <x:v>SYN0001096</x:v>
      </x:c>
      <x:c r="B1097" s="12" t="n">
        <x:v>41815</x:v>
      </x:c>
      <x:c r="C1097" s="18" t="n">
        <x:v>11735</x:v>
      </x:c>
      <x:c r="D1097" s="18" t="n">
        <x:v>32543</x:v>
      </x:c>
      <x:c r="E1097" s="18" t="n">
        <x:v>31.51</x:v>
      </x:c>
      <x:c r="F1097" s="18" t="n">
        <x:v>6.12</x:v>
      </x:c>
      <x:c r="G1097" t="n">
        <x:v>36</x:v>
      </x:c>
      <x:c r="H1097" t="str">
        <x:v>B</x:v>
      </x:c>
      <x:c r="I1097" t="str">
        <x:v>&lt;1 year</x:v>
      </x:c>
      <x:c r="J1097" t="str">
        <x:v>RENT</x:v>
      </x:c>
      <x:c r="K1097" t="str">
        <x:v>debt_consolidation</x:v>
      </x:c>
      <x:c r="L1097" t="n">
        <x:v>0</x:v>
      </x:c>
      <x:c r="M1097" t="n">
        <x:v>1</x:v>
      </x:c>
      <x:c r="N1097" t="str">
        <x:v>Charged Off</x:v>
      </x:c>
      <x:c r="O1097" t="str">
        <x:f>IF(D1097="","Unknown",IF(D1097&lt;25000,"&lt;$25k",IF(D1097&lt;50000,"$25k-$50k",IF(D1097&lt;75000,"$50k-$75k",IF(D1097&lt;100000,"$75k-$100k","$100k+")))))</x:f>
        <x:v>$25k-$50k</x:v>
      </x:c>
      <x:c r="P1097" t="str">
        <x:f>IF(E1097="","Unknown",IF(E1097&lt;10,"&lt;10",IF(E1097&lt;20,"10-&lt;20",IF(E1097&lt;25,"20-&lt;25",IF(E1097&lt;35,"25-&lt;35","35+")))))</x:f>
        <x:v>25-&lt;35</x:v>
      </x:c>
    </x:row>
    <x:row r="1098">
      <x:c r="A1098" t="str">
        <x:v>SYN0001097</x:v>
      </x:c>
      <x:c r="B1098" s="12" t="n">
        <x:v>42685</x:v>
      </x:c>
      <x:c r="C1098" s="18" t="n">
        <x:v>12340</x:v>
      </x:c>
      <x:c r="D1098" s="18" t="n">
        <x:v>31167</x:v>
      </x:c>
      <x:c r="E1098" s="18" t="n">
        <x:v>14.48</x:v>
      </x:c>
      <x:c r="F1098" s="18" t="n">
        <x:v>14.45</x:v>
      </x:c>
      <x:c r="G1098" t="n">
        <x:v>36</x:v>
      </x:c>
      <x:c r="H1098" t="str">
        <x:v>D</x:v>
      </x:c>
      <x:c r="I1098" t="str">
        <x:v>7-9 years</x:v>
      </x:c>
      <x:c r="J1098" t="str">
        <x:v>RENT</x:v>
      </x:c>
      <x:c r="K1098" t="str">
        <x:v>debt_consolidation</x:v>
      </x:c>
      <x:c r="L1098" t="n">
        <x:v>0</x:v>
      </x:c>
      <x:c r="M1098" t="n">
        <x:v>0</x:v>
      </x:c>
      <x:c r="N1098" t="str">
        <x:v>Fully Paid</x:v>
      </x:c>
      <x:c r="O1098" t="str">
        <x:f>IF(D1098="","Unknown",IF(D1098&lt;25000,"&lt;$25k",IF(D1098&lt;50000,"$25k-$50k",IF(D1098&lt;75000,"$50k-$75k",IF(D1098&lt;100000,"$75k-$100k","$100k+")))))</x:f>
        <x:v>$25k-$50k</x:v>
      </x:c>
      <x:c r="P1098" t="str">
        <x:f>IF(E1098="","Unknown",IF(E1098&lt;10,"&lt;10",IF(E1098&lt;20,"10-&lt;20",IF(E1098&lt;25,"20-&lt;25",IF(E1098&lt;35,"25-&lt;35","35+")))))</x:f>
        <x:v>10-&lt;20</x:v>
      </x:c>
    </x:row>
    <x:row r="1099">
      <x:c r="A1099" t="str">
        <x:v>SYN0001098</x:v>
      </x:c>
      <x:c r="B1099" s="12" t="n">
        <x:v>43255</x:v>
      </x:c>
      <x:c r="C1099" s="18" t="n">
        <x:v>17686</x:v>
      </x:c>
      <x:c r="D1099" s="18" t="n">
        <x:v>56590</x:v>
      </x:c>
      <x:c r="E1099" s="18" t="n">
        <x:v>26.89</x:v>
      </x:c>
      <x:c r="F1099" s="18" t="n">
        <x:v>21.17</x:v>
      </x:c>
      <x:c r="G1099" t="n">
        <x:v>36</x:v>
      </x:c>
      <x:c r="H1099" t="str">
        <x:v>E</x:v>
      </x:c>
      <x:c r="I1099" t="str">
        <x:v>7-9 years</x:v>
      </x:c>
      <x:c r="J1099" t="str">
        <x:v>MORTGAGE</x:v>
      </x:c>
      <x:c r="K1099" t="str">
        <x:v>debt_consolidation</x:v>
      </x:c>
      <x:c r="L1099" t="n">
        <x:v>0</x:v>
      </x:c>
      <x:c r="M1099" t="n">
        <x:v>0</x:v>
      </x:c>
      <x:c r="N1099" t="str">
        <x:v>Fully Paid</x:v>
      </x:c>
      <x:c r="O1099" t="str">
        <x:f>IF(D1099="","Unknown",IF(D1099&lt;25000,"&lt;$25k",IF(D1099&lt;50000,"$25k-$50k",IF(D1099&lt;75000,"$50k-$75k",IF(D1099&lt;100000,"$75k-$100k","$100k+")))))</x:f>
        <x:v>$50k-$75k</x:v>
      </x:c>
      <x:c r="P1099" t="str">
        <x:f>IF(E1099="","Unknown",IF(E1099&lt;10,"&lt;10",IF(E1099&lt;20,"10-&lt;20",IF(E1099&lt;25,"20-&lt;25",IF(E1099&lt;35,"25-&lt;35","35+")))))</x:f>
        <x:v>25-&lt;35</x:v>
      </x:c>
    </x:row>
    <x:row r="1100">
      <x:c r="A1100" t="str">
        <x:v>SYN0001099</x:v>
      </x:c>
      <x:c r="B1100" s="12" t="n">
        <x:v>42505</x:v>
      </x:c>
      <x:c r="C1100" s="18" t="n">
        <x:v>18965</x:v>
      </x:c>
      <x:c r="D1100" s="18" t="n">
        <x:v>23375</x:v>
      </x:c>
      <x:c r="E1100" s="18" t="n">
        <x:v>26.23</x:v>
      </x:c>
      <x:c r="F1100" s="18" t="n">
        <x:v>11.06</x:v>
      </x:c>
      <x:c r="G1100" t="n">
        <x:v>36</x:v>
      </x:c>
      <x:c r="H1100" t="str">
        <x:v>C</x:v>
      </x:c>
      <x:c r="I1100" t="str">
        <x:v>10+ years</x:v>
      </x:c>
      <x:c r="J1100" t="str">
        <x:v>RENT</x:v>
      </x:c>
      <x:c r="K1100" t="str">
        <x:v>home_improvement</x:v>
      </x:c>
      <x:c r="L1100" t="n">
        <x:v>0</x:v>
      </x:c>
      <x:c r="M1100" t="n">
        <x:v>0</x:v>
      </x:c>
      <x:c r="N1100" t="str">
        <x:v>Fully Paid</x:v>
      </x:c>
      <x:c r="O1100" t="str">
        <x:f>IF(D1100="","Unknown",IF(D1100&lt;25000,"&lt;$25k",IF(D1100&lt;50000,"$25k-$50k",IF(D1100&lt;75000,"$50k-$75k",IF(D1100&lt;100000,"$75k-$100k","$100k+")))))</x:f>
        <x:v>&lt;$25k</x:v>
      </x:c>
      <x:c r="P1100" t="str">
        <x:f>IF(E1100="","Unknown",IF(E1100&lt;10,"&lt;10",IF(E1100&lt;20,"10-&lt;20",IF(E1100&lt;25,"20-&lt;25",IF(E1100&lt;35,"25-&lt;35","35+")))))</x:f>
        <x:v>25-&lt;35</x:v>
      </x:c>
    </x:row>
    <x:row r="1101">
      <x:c r="A1101" t="str">
        <x:v>SYN0001100</x:v>
      </x:c>
      <x:c r="B1101" s="12" t="n">
        <x:v>42385</x:v>
      </x:c>
      <x:c r="C1101" s="18" t="n">
        <x:v>13984</x:v>
      </x:c>
      <x:c r="D1101" s="18" t="n">
        <x:v>37027</x:v>
      </x:c>
      <x:c r="E1101" s="18" t="n">
        <x:v>37</x:v>
      </x:c>
      <x:c r="F1101" s="18" t="n">
        <x:v>23.24</x:v>
      </x:c>
      <x:c r="G1101" t="n">
        <x:v>36</x:v>
      </x:c>
      <x:c r="H1101" t="str">
        <x:v>F</x:v>
      </x:c>
      <x:c r="I1101" t="str">
        <x:v>10+ years</x:v>
      </x:c>
      <x:c r="J1101" t="str">
        <x:v>OWN</x:v>
      </x:c>
      <x:c r="K1101" t="str">
        <x:v>debt_consolidation</x:v>
      </x:c>
      <x:c r="L1101" t="n">
        <x:v>2</x:v>
      </x:c>
      <x:c r="M1101" t="n">
        <x:v>0</x:v>
      </x:c>
      <x:c r="N1101" t="str">
        <x:v>Fully Paid</x:v>
      </x:c>
      <x:c r="O1101" t="str">
        <x:f>IF(D1101="","Unknown",IF(D1101&lt;25000,"&lt;$25k",IF(D1101&lt;50000,"$25k-$50k",IF(D1101&lt;75000,"$50k-$75k",IF(D1101&lt;100000,"$75k-$100k","$100k+")))))</x:f>
        <x:v>$25k-$50k</x:v>
      </x:c>
      <x:c r="P1101" t="str">
        <x:f>IF(E1101="","Unknown",IF(E1101&lt;10,"&lt;10",IF(E1101&lt;20,"10-&lt;20",IF(E1101&lt;25,"20-&lt;25",IF(E1101&lt;35,"25-&lt;35","35+")))))</x:f>
        <x:v>35+</x:v>
      </x:c>
    </x:row>
    <x:row r="1102">
      <x:c r="A1102" t="str">
        <x:v>SYN0001101</x:v>
      </x:c>
      <x:c r="B1102" s="12" t="n">
        <x:v>43135</x:v>
      </x:c>
      <x:c r="C1102" s="18" t="n">
        <x:v>11289</x:v>
      </x:c>
      <x:c r="D1102" s="18" t="n">
        <x:v>29849</x:v>
      </x:c>
      <x:c r="E1102" s="18" t="n">
        <x:v>23.39</x:v>
      </x:c>
      <x:c r="F1102" s="18" t="n">
        <x:v>8.91</x:v>
      </x:c>
      <x:c r="G1102" t="n">
        <x:v>36</x:v>
      </x:c>
      <x:c r="H1102" t="str">
        <x:v>A</x:v>
      </x:c>
      <x:c r="I1102" t="str">
        <x:v>4-6 years</x:v>
      </x:c>
      <x:c r="J1102" t="str">
        <x:v>RENT</x:v>
      </x:c>
      <x:c r="K1102" t="str">
        <x:v>credit_card</x:v>
      </x:c>
      <x:c r="L1102" t="n">
        <x:v>1</x:v>
      </x:c>
      <x:c r="M1102" t="n">
        <x:v>0</x:v>
      </x:c>
      <x:c r="N1102" t="str">
        <x:v>Fully Paid</x:v>
      </x:c>
      <x:c r="O1102" t="str">
        <x:f>IF(D1102="","Unknown",IF(D1102&lt;25000,"&lt;$25k",IF(D1102&lt;50000,"$25k-$50k",IF(D1102&lt;75000,"$50k-$75k",IF(D1102&lt;100000,"$75k-$100k","$100k+")))))</x:f>
        <x:v>$25k-$50k</x:v>
      </x:c>
      <x:c r="P1102" t="str">
        <x:f>IF(E1102="","Unknown",IF(E1102&lt;10,"&lt;10",IF(E1102&lt;20,"10-&lt;20",IF(E1102&lt;25,"20-&lt;25",IF(E1102&lt;35,"25-&lt;35","35+")))))</x:f>
        <x:v>20-&lt;25</x:v>
      </x:c>
    </x:row>
    <x:row r="1103">
      <x:c r="A1103" t="str">
        <x:v>SYN0001102</x:v>
      </x:c>
      <x:c r="B1103" s="12" t="n">
        <x:v>42385</x:v>
      </x:c>
      <x:c r="C1103" s="18" t="n">
        <x:v>11116</x:v>
      </x:c>
      <x:c r="D1103" s="18" t="n">
        <x:v>46242</x:v>
      </x:c>
      <x:c r="E1103" s="18" t="n">
        <x:v>14.64</x:v>
      </x:c>
      <x:c r="F1103" s="18" t="n">
        <x:v>13.77</x:v>
      </x:c>
      <x:c r="G1103" t="n">
        <x:v>36</x:v>
      </x:c>
      <x:c r="H1103" t="str">
        <x:v>D</x:v>
      </x:c>
      <x:c r="I1103" t="str">
        <x:v>4-6 years</x:v>
      </x:c>
      <x:c r="J1103" t="str">
        <x:v>MORTGAGE</x:v>
      </x:c>
      <x:c r="K1103" t="str">
        <x:v>home_improvement</x:v>
      </x:c>
      <x:c r="L1103" t="n">
        <x:v>1</x:v>
      </x:c>
      <x:c r="M1103" t="n">
        <x:v>0</x:v>
      </x:c>
      <x:c r="N1103" t="str">
        <x:v>Fully Paid</x:v>
      </x:c>
      <x:c r="O1103" t="str">
        <x:f>IF(D1103="","Unknown",IF(D1103&lt;25000,"&lt;$25k",IF(D1103&lt;50000,"$25k-$50k",IF(D1103&lt;75000,"$50k-$75k",IF(D1103&lt;100000,"$75k-$100k","$100k+")))))</x:f>
        <x:v>$25k-$50k</x:v>
      </x:c>
      <x:c r="P1103" t="str">
        <x:f>IF(E1103="","Unknown",IF(E1103&lt;10,"&lt;10",IF(E1103&lt;20,"10-&lt;20",IF(E1103&lt;25,"20-&lt;25",IF(E1103&lt;35,"25-&lt;35","35+")))))</x:f>
        <x:v>10-&lt;20</x:v>
      </x:c>
    </x:row>
    <x:row r="1104">
      <x:c r="A1104" t="str">
        <x:v>SYN0001103</x:v>
      </x:c>
      <x:c r="B1104" s="12" t="n">
        <x:v>42955</x:v>
      </x:c>
      <x:c r="C1104" s="18" t="n">
        <x:v>10386</x:v>
      </x:c>
      <x:c r="D1104" s="18" t="n">
        <x:v>76511</x:v>
      </x:c>
      <x:c r="E1104" s="18" t="n">
        <x:v>37.14</x:v>
      </x:c>
      <x:c r="F1104" s="18" t="n">
        <x:v>18.55</x:v>
      </x:c>
      <x:c r="G1104" t="n">
        <x:v>60</x:v>
      </x:c>
      <x:c r="H1104" t="str">
        <x:v>D</x:v>
      </x:c>
      <x:c r="I1104" t="str">
        <x:v>7-9 years</x:v>
      </x:c>
      <x:c r="J1104" t="str">
        <x:v>RENT</x:v>
      </x:c>
      <x:c r="K1104" t="str">
        <x:v>debt_consolidation</x:v>
      </x:c>
      <x:c r="L1104" t="n">
        <x:v>0</x:v>
      </x:c>
      <x:c r="M1104" t="n">
        <x:v>0</x:v>
      </x:c>
      <x:c r="N1104" t="str">
        <x:v>Fully Paid</x:v>
      </x:c>
      <x:c r="O1104" t="str">
        <x:f>IF(D1104="","Unknown",IF(D1104&lt;25000,"&lt;$25k",IF(D1104&lt;50000,"$25k-$50k",IF(D1104&lt;75000,"$50k-$75k",IF(D1104&lt;100000,"$75k-$100k","$100k+")))))</x:f>
        <x:v>$75k-$100k</x:v>
      </x:c>
      <x:c r="P1104" t="str">
        <x:f>IF(E1104="","Unknown",IF(E1104&lt;10,"&lt;10",IF(E1104&lt;20,"10-&lt;20",IF(E1104&lt;25,"20-&lt;25",IF(E1104&lt;35,"25-&lt;35","35+")))))</x:f>
        <x:v>35+</x:v>
      </x:c>
    </x:row>
    <x:row r="1105">
      <x:c r="A1105" t="str">
        <x:v>SYN0001104</x:v>
      </x:c>
      <x:c r="B1105" s="12" t="n">
        <x:v>43405</x:v>
      </x:c>
      <x:c r="C1105" s="18" t="n">
        <x:v>16508</x:v>
      </x:c>
      <x:c r="D1105" s="18" t="n">
        <x:v>25490</x:v>
      </x:c>
      <x:c r="E1105" s="18" t="n">
        <x:v>36.34</x:v>
      </x:c>
      <x:c r="F1105" s="18" t="n">
        <x:v>25.17</x:v>
      </x:c>
      <x:c r="G1105" t="n">
        <x:v>36</x:v>
      </x:c>
      <x:c r="H1105" t="str">
        <x:v>F</x:v>
      </x:c>
      <x:c r="I1105" t="str">
        <x:v>&lt;1 year</x:v>
      </x:c>
      <x:c r="J1105" t="str">
        <x:v>MORTGAGE</x:v>
      </x:c>
      <x:c r="K1105" t="str">
        <x:v>other</x:v>
      </x:c>
      <x:c r="L1105" t="n">
        <x:v>0</x:v>
      </x:c>
      <x:c r="M1105" t="n">
        <x:v>1</x:v>
      </x:c>
      <x:c r="N1105" t="str">
        <x:v>Charged Off</x:v>
      </x:c>
      <x:c r="O1105" t="str">
        <x:f>IF(D1105="","Unknown",IF(D1105&lt;25000,"&lt;$25k",IF(D1105&lt;50000,"$25k-$50k",IF(D1105&lt;75000,"$50k-$75k",IF(D1105&lt;100000,"$75k-$100k","$100k+")))))</x:f>
        <x:v>$25k-$50k</x:v>
      </x:c>
      <x:c r="P1105" t="str">
        <x:f>IF(E1105="","Unknown",IF(E1105&lt;10,"&lt;10",IF(E1105&lt;20,"10-&lt;20",IF(E1105&lt;25,"20-&lt;25",IF(E1105&lt;35,"25-&lt;35","35+")))))</x:f>
        <x:v>35+</x:v>
      </x:c>
    </x:row>
    <x:row r="1106">
      <x:c r="A1106" t="str">
        <x:v>SYN0001105</x:v>
      </x:c>
      <x:c r="B1106" s="12" t="n">
        <x:v>42835</x:v>
      </x:c>
      <x:c r="C1106" s="18" t="n">
        <x:v>28141</x:v>
      </x:c>
      <x:c r="D1106" s="18" t="n">
        <x:v>52393</x:v>
      </x:c>
      <x:c r="E1106" s="18" t="n">
        <x:v>26.69</x:v>
      </x:c>
      <x:c r="F1106" s="18" t="n">
        <x:v>5</x:v>
      </x:c>
      <x:c r="G1106" t="n">
        <x:v>36</x:v>
      </x:c>
      <x:c r="H1106" t="str">
        <x:v>A</x:v>
      </x:c>
      <x:c r="I1106" t="str">
        <x:v>4-6 years</x:v>
      </x:c>
      <x:c r="J1106" t="str">
        <x:v>OWN</x:v>
      </x:c>
      <x:c r="K1106" t="str">
        <x:v>debt_consolidation</x:v>
      </x:c>
      <x:c r="L1106" t="n">
        <x:v>0</x:v>
      </x:c>
      <x:c r="M1106" t="n">
        <x:v>0</x:v>
      </x:c>
      <x:c r="N1106" t="str">
        <x:v>Fully Paid</x:v>
      </x:c>
      <x:c r="O1106" t="str">
        <x:f>IF(D1106="","Unknown",IF(D1106&lt;25000,"&lt;$25k",IF(D1106&lt;50000,"$25k-$50k",IF(D1106&lt;75000,"$50k-$75k",IF(D1106&lt;100000,"$75k-$100k","$100k+")))))</x:f>
        <x:v>$50k-$75k</x:v>
      </x:c>
      <x:c r="P1106" t="str">
        <x:f>IF(E1106="","Unknown",IF(E1106&lt;10,"&lt;10",IF(E1106&lt;20,"10-&lt;20",IF(E1106&lt;25,"20-&lt;25",IF(E1106&lt;35,"25-&lt;35","35+")))))</x:f>
        <x:v>25-&lt;35</x:v>
      </x:c>
    </x:row>
    <x:row r="1107">
      <x:c r="A1107" t="str">
        <x:v>SYN0001106</x:v>
      </x:c>
      <x:c r="B1107" s="12" t="n">
        <x:v>42385</x:v>
      </x:c>
      <x:c r="C1107" s="18" t="n">
        <x:v>10713</x:v>
      </x:c>
      <x:c r="D1107" s="18" t="n">
        <x:v>38160</x:v>
      </x:c>
      <x:c r="E1107" s="18" t="n">
        <x:v>18.64</x:v>
      </x:c>
      <x:c r="F1107" s="18" t="n">
        <x:v>9.14</x:v>
      </x:c>
      <x:c r="G1107" t="n">
        <x:v>36</x:v>
      </x:c>
      <x:c r="H1107" t="str">
        <x:v>C</x:v>
      </x:c>
      <x:c r="I1107" t="str">
        <x:v>4-6 years</x:v>
      </x:c>
      <x:c r="J1107" t="str">
        <x:v>RENT</x:v>
      </x:c>
      <x:c r="K1107" t="str">
        <x:v>debt_consolidation</x:v>
      </x:c>
      <x:c r="L1107" t="n">
        <x:v>0</x:v>
      </x:c>
      <x:c r="M1107" t="n">
        <x:v>1</x:v>
      </x:c>
      <x:c r="N1107" t="str">
        <x:v>Charged Off</x:v>
      </x:c>
      <x:c r="O1107" t="str">
        <x:f>IF(D1107="","Unknown",IF(D1107&lt;25000,"&lt;$25k",IF(D1107&lt;50000,"$25k-$50k",IF(D1107&lt;75000,"$50k-$75k",IF(D1107&lt;100000,"$75k-$100k","$100k+")))))</x:f>
        <x:v>$25k-$50k</x:v>
      </x:c>
      <x:c r="P1107" t="str">
        <x:f>IF(E1107="","Unknown",IF(E1107&lt;10,"&lt;10",IF(E1107&lt;20,"10-&lt;20",IF(E1107&lt;25,"20-&lt;25",IF(E1107&lt;35,"25-&lt;35","35+")))))</x:f>
        <x:v>10-&lt;20</x:v>
      </x:c>
    </x:row>
    <x:row r="1108">
      <x:c r="A1108" t="str">
        <x:v>SYN0001107</x:v>
      </x:c>
      <x:c r="B1108" s="12" t="n">
        <x:v>42475</x:v>
      </x:c>
      <x:c r="C1108" s="18" t="n">
        <x:v>4952</x:v>
      </x:c>
      <x:c r="D1108" s="18" t="n">
        <x:v>85822</x:v>
      </x:c>
      <x:c r="E1108" s="18" t="n">
        <x:v>33.85</x:v>
      </x:c>
      <x:c r="F1108" s="18" t="n">
        <x:v>29.68</x:v>
      </x:c>
      <x:c r="G1108" t="n">
        <x:v>60</x:v>
      </x:c>
      <x:c r="H1108" t="str">
        <x:v>G</x:v>
      </x:c>
      <x:c r="I1108" t="str">
        <x:v>&lt;1 year</x:v>
      </x:c>
      <x:c r="J1108" t="str">
        <x:v>OWN</x:v>
      </x:c>
      <x:c r="K1108" t="str">
        <x:v>debt_consolidation</x:v>
      </x:c>
      <x:c r="L1108" t="n">
        <x:v>1</x:v>
      </x:c>
      <x:c r="M1108" t="n">
        <x:v>0</x:v>
      </x:c>
      <x:c r="N1108" t="str">
        <x:v>Fully Paid</x:v>
      </x:c>
      <x:c r="O1108" t="str">
        <x:f>IF(D1108="","Unknown",IF(D1108&lt;25000,"&lt;$25k",IF(D1108&lt;50000,"$25k-$50k",IF(D1108&lt;75000,"$50k-$75k",IF(D1108&lt;100000,"$75k-$100k","$100k+")))))</x:f>
        <x:v>$75k-$100k</x:v>
      </x:c>
      <x:c r="P1108" t="str">
        <x:f>IF(E1108="","Unknown",IF(E1108&lt;10,"&lt;10",IF(E1108&lt;20,"10-&lt;20",IF(E1108&lt;25,"20-&lt;25",IF(E1108&lt;35,"25-&lt;35","35+")))))</x:f>
        <x:v>25-&lt;35</x:v>
      </x:c>
    </x:row>
    <x:row r="1109">
      <x:c r="A1109" t="str">
        <x:v>SYN0001108</x:v>
      </x:c>
      <x:c r="B1109" s="12" t="n">
        <x:v>41395</x:v>
      </x:c>
      <x:c r="C1109" s="18" t="n">
        <x:v>9469</x:v>
      </x:c>
      <x:c r="D1109" s="18" t="n">
        <x:v>102205</x:v>
      </x:c>
      <x:c r="E1109" s="18" t="n">
        <x:v>22.18</x:v>
      </x:c>
      <x:c r="F1109" s="18" t="n">
        <x:v>5.53</x:v>
      </x:c>
      <x:c r="G1109" t="n">
        <x:v>60</x:v>
      </x:c>
      <x:c r="H1109" t="str">
        <x:v>A</x:v>
      </x:c>
      <x:c r="I1109" t="str">
        <x:v>4-6 years</x:v>
      </x:c>
      <x:c r="J1109" t="str">
        <x:v>MORTGAGE</x:v>
      </x:c>
      <x:c r="K1109" t="str">
        <x:v>credit_card</x:v>
      </x:c>
      <x:c r="L1109" t="n">
        <x:v>0</x:v>
      </x:c>
      <x:c r="M1109" t="n">
        <x:v>0</x:v>
      </x:c>
      <x:c r="N1109" t="str">
        <x:v>Fully Paid</x:v>
      </x:c>
      <x:c r="O1109" t="str">
        <x:f>IF(D1109="","Unknown",IF(D1109&lt;25000,"&lt;$25k",IF(D1109&lt;50000,"$25k-$50k",IF(D1109&lt;75000,"$50k-$75k",IF(D1109&lt;100000,"$75k-$100k","$100k+")))))</x:f>
        <x:v>$100k+</x:v>
      </x:c>
      <x:c r="P1109" t="str">
        <x:f>IF(E1109="","Unknown",IF(E1109&lt;10,"&lt;10",IF(E1109&lt;20,"10-&lt;20",IF(E1109&lt;25,"20-&lt;25",IF(E1109&lt;35,"25-&lt;35","35+")))))</x:f>
        <x:v>20-&lt;25</x:v>
      </x:c>
    </x:row>
    <x:row r="1110">
      <x:c r="A1110" t="str">
        <x:v>SYN0001109</x:v>
      </x:c>
      <x:c r="B1110" s="12" t="n">
        <x:v>42235</x:v>
      </x:c>
      <x:c r="C1110" s="18" t="n">
        <x:v>9437</x:v>
      </x:c>
      <x:c r="D1110" s="18" t="n">
        <x:v>34892</x:v>
      </x:c>
      <x:c r="E1110" s="18" t="n">
        <x:v>0</x:v>
      </x:c>
      <x:c r="F1110" s="18" t="n">
        <x:v>10.82</x:v>
      </x:c>
      <x:c r="G1110" t="n">
        <x:v>36</x:v>
      </x:c>
      <x:c r="H1110" t="str">
        <x:v>C</x:v>
      </x:c>
      <x:c r="I1110" t="str">
        <x:v>4-6 years</x:v>
      </x:c>
      <x:c r="J1110" t="str">
        <x:v>RENT</x:v>
      </x:c>
      <x:c r="K1110" t="str">
        <x:v>credit_card</x:v>
      </x:c>
      <x:c r="L1110" t="n">
        <x:v>1</x:v>
      </x:c>
      <x:c r="M1110" t="n">
        <x:v>0</x:v>
      </x:c>
      <x:c r="N1110" t="str">
        <x:v>Fully Paid</x:v>
      </x:c>
      <x:c r="O1110" t="str">
        <x:f>IF(D1110="","Unknown",IF(D1110&lt;25000,"&lt;$25k",IF(D1110&lt;50000,"$25k-$50k",IF(D1110&lt;75000,"$50k-$75k",IF(D1110&lt;100000,"$75k-$100k","$100k+")))))</x:f>
        <x:v>$25k-$50k</x:v>
      </x:c>
      <x:c r="P1110" t="str">
        <x:f>IF(E1110="","Unknown",IF(E1110&lt;10,"&lt;10",IF(E1110&lt;20,"10-&lt;20",IF(E1110&lt;25,"20-&lt;25",IF(E1110&lt;35,"25-&lt;35","35+")))))</x:f>
        <x:v>Unknown</x:v>
      </x:c>
    </x:row>
    <x:row r="1111">
      <x:c r="A1111" t="str">
        <x:v>SYN0001110</x:v>
      </x:c>
      <x:c r="B1111" s="12" t="n">
        <x:v>42055</x:v>
      </x:c>
      <x:c r="C1111" s="18" t="n">
        <x:v>9218</x:v>
      </x:c>
      <x:c r="D1111" s="18" t="n">
        <x:v>24576</x:v>
      </x:c>
      <x:c r="E1111" s="18" t="n">
        <x:v>25.55</x:v>
      </x:c>
      <x:c r="F1111" s="18" t="n">
        <x:v>10.83</x:v>
      </x:c>
      <x:c r="G1111" t="n">
        <x:v>60</x:v>
      </x:c>
      <x:c r="H1111" t="str">
        <x:v>C</x:v>
      </x:c>
      <x:c r="I1111" t="str">
        <x:v>4-6 years</x:v>
      </x:c>
      <x:c r="J1111" t="str">
        <x:v>RENT</x:v>
      </x:c>
      <x:c r="K1111" t="str">
        <x:v>debt_consolidation</x:v>
      </x:c>
      <x:c r="L1111" t="n">
        <x:v>1</x:v>
      </x:c>
      <x:c r="M1111" t="n">
        <x:v>0</x:v>
      </x:c>
      <x:c r="N1111" t="str">
        <x:v>Fully Paid</x:v>
      </x:c>
      <x:c r="O1111" t="str">
        <x:f>IF(D1111="","Unknown",IF(D1111&lt;25000,"&lt;$25k",IF(D1111&lt;50000,"$25k-$50k",IF(D1111&lt;75000,"$50k-$75k",IF(D1111&lt;100000,"$75k-$100k","$100k+")))))</x:f>
        <x:v>&lt;$25k</x:v>
      </x:c>
      <x:c r="P1111" t="str">
        <x:f>IF(E1111="","Unknown",IF(E1111&lt;10,"&lt;10",IF(E1111&lt;20,"10-&lt;20",IF(E1111&lt;25,"20-&lt;25",IF(E1111&lt;35,"25-&lt;35","35+")))))</x:f>
        <x:v>25-&lt;35</x:v>
      </x:c>
    </x:row>
    <x:row r="1112">
      <x:c r="A1112" t="str">
        <x:v>SYN0001111</x:v>
      </x:c>
      <x:c r="B1112" s="12" t="n">
        <x:v>42925</x:v>
      </x:c>
      <x:c r="C1112" s="18" t="n">
        <x:v>25222</x:v>
      </x:c>
      <x:c r="D1112" s="18" t="n">
        <x:v>80729</x:v>
      </x:c>
      <x:c r="E1112" s="18" t="n">
        <x:v>22.39</x:v>
      </x:c>
      <x:c r="F1112" s="18" t="n">
        <x:v>7.3</x:v>
      </x:c>
      <x:c r="G1112" t="n">
        <x:v>60</x:v>
      </x:c>
      <x:c r="H1112" t="str">
        <x:v>A</x:v>
      </x:c>
      <x:c r="I1112" t="str">
        <x:v>4-6 years</x:v>
      </x:c>
      <x:c r="J1112" t="str">
        <x:v>RENT</x:v>
      </x:c>
      <x:c r="K1112" t="str">
        <x:v>debt_consolidation</x:v>
      </x:c>
      <x:c r="L1112" t="n">
        <x:v>0</x:v>
      </x:c>
      <x:c r="M1112" t="n">
        <x:v>1</x:v>
      </x:c>
      <x:c r="N1112" t="str">
        <x:v>Charged Off</x:v>
      </x:c>
      <x:c r="O1112" t="str">
        <x:f>IF(D1112="","Unknown",IF(D1112&lt;25000,"&lt;$25k",IF(D1112&lt;50000,"$25k-$50k",IF(D1112&lt;75000,"$50k-$75k",IF(D1112&lt;100000,"$75k-$100k","$100k+")))))</x:f>
        <x:v>$75k-$100k</x:v>
      </x:c>
      <x:c r="P1112" t="str">
        <x:f>IF(E1112="","Unknown",IF(E1112&lt;10,"&lt;10",IF(E1112&lt;20,"10-&lt;20",IF(E1112&lt;25,"20-&lt;25",IF(E1112&lt;35,"25-&lt;35","35+")))))</x:f>
        <x:v>20-&lt;25</x:v>
      </x:c>
    </x:row>
    <x:row r="1113">
      <x:c r="A1113" t="str">
        <x:v>SYN0001112</x:v>
      </x:c>
      <x:c r="B1113" s="12" t="n">
        <x:v>41275</x:v>
      </x:c>
      <x:c r="C1113" s="18" t="n">
        <x:v>11514</x:v>
      </x:c>
      <x:c r="D1113" s="18" t="n">
        <x:v>87120</x:v>
      </x:c>
      <x:c r="E1113" s="18" t="n">
        <x:v>1.89</x:v>
      </x:c>
      <x:c r="F1113" s="18" t="n">
        <x:v>5</x:v>
      </x:c>
      <x:c r="G1113" t="n">
        <x:v>36</x:v>
      </x:c>
      <x:c r="H1113" t="str">
        <x:v>A</x:v>
      </x:c>
      <x:c r="I1113" t="str">
        <x:v>7-9 years</x:v>
      </x:c>
      <x:c r="J1113" t="str">
        <x:v>OWN</x:v>
      </x:c>
      <x:c r="K1113" t="str">
        <x:v>debt_consolidation</x:v>
      </x:c>
      <x:c r="L1113" t="n">
        <x:v>0</x:v>
      </x:c>
      <x:c r="M1113" t="n">
        <x:v>0</x:v>
      </x:c>
      <x:c r="N1113" t="str">
        <x:v>Fully Paid</x:v>
      </x:c>
      <x:c r="O1113" t="str">
        <x:f>IF(D1113="","Unknown",IF(D1113&lt;25000,"&lt;$25k",IF(D1113&lt;50000,"$25k-$50k",IF(D1113&lt;75000,"$50k-$75k",IF(D1113&lt;100000,"$75k-$100k","$100k+")))))</x:f>
        <x:v>$75k-$100k</x:v>
      </x:c>
      <x:c r="P1113" t="str">
        <x:f>IF(E1113="","Unknown",IF(E1113&lt;10,"&lt;10",IF(E1113&lt;20,"10-&lt;20",IF(E1113&lt;25,"20-&lt;25",IF(E1113&lt;35,"25-&lt;35","35+")))))</x:f>
        <x:v>&lt;10</x:v>
      </x:c>
    </x:row>
    <x:row r="1114">
      <x:c r="A1114" t="str">
        <x:v>SYN0001113</x:v>
      </x:c>
      <x:c r="B1114" s="12" t="n">
        <x:v>43255</x:v>
      </x:c>
      <x:c r="C1114" s="18" t="n">
        <x:v>10254</x:v>
      </x:c>
      <x:c r="D1114" s="18" t="n">
        <x:v>17529</x:v>
      </x:c>
      <x:c r="E1114" s="18" t="n">
        <x:v>10.55</x:v>
      </x:c>
      <x:c r="F1114" s="18" t="n">
        <x:v>26</x:v>
      </x:c>
      <x:c r="G1114" t="n">
        <x:v>60</x:v>
      </x:c>
      <x:c r="H1114" t="str">
        <x:v>G</x:v>
      </x:c>
      <x:c r="I1114" t="str">
        <x:v>7-9 years</x:v>
      </x:c>
      <x:c r="J1114" t="str">
        <x:v>MORTGAGE</x:v>
      </x:c>
      <x:c r="K1114" t="str">
        <x:v>home_improvement</x:v>
      </x:c>
      <x:c r="L1114" t="n">
        <x:v>1</x:v>
      </x:c>
      <x:c r="M1114" t="n">
        <x:v>1</x:v>
      </x:c>
      <x:c r="N1114" t="str">
        <x:v>Charged Off</x:v>
      </x:c>
      <x:c r="O1114" t="str">
        <x:f>IF(D1114="","Unknown",IF(D1114&lt;25000,"&lt;$25k",IF(D1114&lt;50000,"$25k-$50k",IF(D1114&lt;75000,"$50k-$75k",IF(D1114&lt;100000,"$75k-$100k","$100k+")))))</x:f>
        <x:v>&lt;$25k</x:v>
      </x:c>
      <x:c r="P1114" t="str">
        <x:f>IF(E1114="","Unknown",IF(E1114&lt;10,"&lt;10",IF(E1114&lt;20,"10-&lt;20",IF(E1114&lt;25,"20-&lt;25",IF(E1114&lt;35,"25-&lt;35","35+")))))</x:f>
        <x:v>10-&lt;20</x:v>
      </x:c>
    </x:row>
    <x:row r="1115">
      <x:c r="A1115" t="str">
        <x:v>SYN0001114</x:v>
      </x:c>
      <x:c r="B1115" s="12" t="n">
        <x:v>42895</x:v>
      </x:c>
      <x:c r="C1115" s="18" t="n">
        <x:v>23880</x:v>
      </x:c>
      <x:c r="D1115" s="18" t="n">
        <x:v>36123</x:v>
      </x:c>
      <x:c r="E1115" s="18" t="n">
        <x:v>36.84</x:v>
      </x:c>
      <x:c r="F1115" s="18" t="n">
        <x:v>17.25</x:v>
      </x:c>
      <x:c r="G1115" t="n">
        <x:v>36</x:v>
      </x:c>
      <x:c r="H1115" t="str">
        <x:v>E</x:v>
      </x:c>
      <x:c r="I1115" t="str">
        <x:v>10+ years</x:v>
      </x:c>
      <x:c r="J1115" t="str">
        <x:v>OTHER</x:v>
      </x:c>
      <x:c r="K1115" t="str">
        <x:v>debt_consolidation</x:v>
      </x:c>
      <x:c r="L1115" t="n">
        <x:v>0</x:v>
      </x:c>
      <x:c r="M1115" t="n">
        <x:v>0</x:v>
      </x:c>
      <x:c r="N1115" t="str">
        <x:v>Fully Paid</x:v>
      </x:c>
      <x:c r="O1115" t="str">
        <x:f>IF(D1115="","Unknown",IF(D1115&lt;25000,"&lt;$25k",IF(D1115&lt;50000,"$25k-$50k",IF(D1115&lt;75000,"$50k-$75k",IF(D1115&lt;100000,"$75k-$100k","$100k+")))))</x:f>
        <x:v>$25k-$50k</x:v>
      </x:c>
      <x:c r="P1115" t="str">
        <x:f>IF(E1115="","Unknown",IF(E1115&lt;10,"&lt;10",IF(E1115&lt;20,"10-&lt;20",IF(E1115&lt;25,"20-&lt;25",IF(E1115&lt;35,"25-&lt;35","35+")))))</x:f>
        <x:v>35+</x:v>
      </x:c>
    </x:row>
    <x:row r="1116">
      <x:c r="A1116" t="str">
        <x:v>SYN0001115</x:v>
      </x:c>
      <x:c r="B1116" s="12" t="n">
        <x:v>43015</x:v>
      </x:c>
      <x:c r="C1116" s="18" t="n">
        <x:v>6180</x:v>
      </x:c>
      <x:c r="D1116" s="18" t="n">
        <x:v>177054</x:v>
      </x:c>
      <x:c r="E1116" s="18" t="n">
        <x:v>9.75</x:v>
      </x:c>
      <x:c r="F1116" s="18" t="n">
        <x:v>15.08</x:v>
      </x:c>
      <x:c r="G1116" t="n">
        <x:v>36</x:v>
      </x:c>
      <x:c r="H1116" t="str">
        <x:v>D</x:v>
      </x:c>
      <x:c r="I1116" t="str">
        <x:v>7-9 years</x:v>
      </x:c>
      <x:c r="J1116" t="str">
        <x:v>RENT</x:v>
      </x:c>
      <x:c r="K1116" t="str">
        <x:v>other</x:v>
      </x:c>
      <x:c r="L1116" t="n">
        <x:v>1</x:v>
      </x:c>
      <x:c r="M1116" t="n">
        <x:v>0</x:v>
      </x:c>
      <x:c r="N1116" t="str">
        <x:v>Fully Paid</x:v>
      </x:c>
      <x:c r="O1116" t="str">
        <x:f>IF(D1116="","Unknown",IF(D1116&lt;25000,"&lt;$25k",IF(D1116&lt;50000,"$25k-$50k",IF(D1116&lt;75000,"$50k-$75k",IF(D1116&lt;100000,"$75k-$100k","$100k+")))))</x:f>
        <x:v>$100k+</x:v>
      </x:c>
      <x:c r="P1116" t="str">
        <x:f>IF(E1116="","Unknown",IF(E1116&lt;10,"&lt;10",IF(E1116&lt;20,"10-&lt;20",IF(E1116&lt;25,"20-&lt;25",IF(E1116&lt;35,"25-&lt;35","35+")))))</x:f>
        <x:v>&lt;10</x:v>
      </x:c>
    </x:row>
    <x:row r="1117">
      <x:c r="A1117" t="str">
        <x:v>SYN0001116</x:v>
      </x:c>
      <x:c r="B1117" s="12" t="n">
        <x:v>42295</x:v>
      </x:c>
      <x:c r="C1117" s="18" t="n">
        <x:v>13099</x:v>
      </x:c>
      <x:c r="D1117" s="18" t="n">
        <x:v>104024</x:v>
      </x:c>
      <x:c r="E1117" s="18" t="n">
        <x:v>31.2</x:v>
      </x:c>
      <x:c r="F1117" s="18" t="n">
        <x:v>17.16</x:v>
      </x:c>
      <x:c r="G1117" t="n">
        <x:v>36</x:v>
      </x:c>
      <x:c r="H1117" t="str">
        <x:v>D</x:v>
      </x:c>
      <x:c r="I1117" t="str">
        <x:v>10+ years</x:v>
      </x:c>
      <x:c r="J1117" t="str">
        <x:v>OWN</x:v>
      </x:c>
      <x:c r="K1117" t="str">
        <x:v>debt_consolidation</x:v>
      </x:c>
      <x:c r="L1117" t="n">
        <x:v>1</x:v>
      </x:c>
      <x:c r="M1117" t="n">
        <x:v>1</x:v>
      </x:c>
      <x:c r="N1117" t="str">
        <x:v>Charged Off</x:v>
      </x:c>
      <x:c r="O1117" t="str">
        <x:f>IF(D1117="","Unknown",IF(D1117&lt;25000,"&lt;$25k",IF(D1117&lt;50000,"$25k-$50k",IF(D1117&lt;75000,"$50k-$75k",IF(D1117&lt;100000,"$75k-$100k","$100k+")))))</x:f>
        <x:v>$100k+</x:v>
      </x:c>
      <x:c r="P1117" t="str">
        <x:f>IF(E1117="","Unknown",IF(E1117&lt;10,"&lt;10",IF(E1117&lt;20,"10-&lt;20",IF(E1117&lt;25,"20-&lt;25",IF(E1117&lt;35,"25-&lt;35","35+")))))</x:f>
        <x:v>25-&lt;35</x:v>
      </x:c>
    </x:row>
    <x:row r="1118">
      <x:c r="A1118" t="str">
        <x:v>SYN0001117</x:v>
      </x:c>
      <x:c r="B1118" s="12" t="n">
        <x:v>41995</x:v>
      </x:c>
      <x:c r="C1118" s="18" t="n">
        <x:v>10826</x:v>
      </x:c>
      <x:c r="D1118" s="18" t="n">
        <x:v>47312</x:v>
      </x:c>
      <x:c r="E1118" s="18" t="n">
        <x:v>29.16</x:v>
      </x:c>
      <x:c r="F1118" s="18" t="n">
        <x:v>9.68</x:v>
      </x:c>
      <x:c r="G1118" t="n">
        <x:v>36</x:v>
      </x:c>
      <x:c r="H1118" t="str">
        <x:v>C</x:v>
      </x:c>
      <x:c r="I1118" t="str">
        <x:v>1-3 years</x:v>
      </x:c>
      <x:c r="J1118" t="str">
        <x:v>MORTGAGE</x:v>
      </x:c>
      <x:c r="K1118" t="str">
        <x:v>major_purchase</x:v>
      </x:c>
      <x:c r="L1118" t="n">
        <x:v>0</x:v>
      </x:c>
      <x:c r="M1118" t="n">
        <x:v>0</x:v>
      </x:c>
      <x:c r="N1118" t="str">
        <x:v>Fully Paid</x:v>
      </x:c>
      <x:c r="O1118" t="str">
        <x:f>IF(D1118="","Unknown",IF(D1118&lt;25000,"&lt;$25k",IF(D1118&lt;50000,"$25k-$50k",IF(D1118&lt;75000,"$50k-$75k",IF(D1118&lt;100000,"$75k-$100k","$100k+")))))</x:f>
        <x:v>$25k-$50k</x:v>
      </x:c>
      <x:c r="P1118" t="str">
        <x:f>IF(E1118="","Unknown",IF(E1118&lt;10,"&lt;10",IF(E1118&lt;20,"10-&lt;20",IF(E1118&lt;25,"20-&lt;25",IF(E1118&lt;35,"25-&lt;35","35+")))))</x:f>
        <x:v>25-&lt;35</x:v>
      </x:c>
    </x:row>
    <x:row r="1119">
      <x:c r="A1119" t="str">
        <x:v>SYN0001118</x:v>
      </x:c>
      <x:c r="B1119" s="12" t="n">
        <x:v>41275</x:v>
      </x:c>
      <x:c r="C1119" s="18" t="n">
        <x:v>8247</x:v>
      </x:c>
      <x:c r="D1119" s="18" t="n">
        <x:v>29450</x:v>
      </x:c>
      <x:c r="E1119" s="18" t="n">
        <x:v>9.68</x:v>
      </x:c>
      <x:c r="F1119" s="18" t="n">
        <x:v>9.61</x:v>
      </x:c>
      <x:c r="G1119" t="n">
        <x:v>36</x:v>
      </x:c>
      <x:c r="H1119" t="str">
        <x:v>C</x:v>
      </x:c>
      <x:c r="I1119" t="str">
        <x:v>4-6 years</x:v>
      </x:c>
      <x:c r="J1119" t="str">
        <x:v>RENT</x:v>
      </x:c>
      <x:c r="K1119" t="str">
        <x:v>credit_card</x:v>
      </x:c>
      <x:c r="L1119" t="n">
        <x:v>0</x:v>
      </x:c>
      <x:c r="M1119" t="n">
        <x:v>0</x:v>
      </x:c>
      <x:c r="N1119" t="str">
        <x:v>Fully Paid</x:v>
      </x:c>
      <x:c r="O1119" t="str">
        <x:f>IF(D1119="","Unknown",IF(D1119&lt;25000,"&lt;$25k",IF(D1119&lt;50000,"$25k-$50k",IF(D1119&lt;75000,"$50k-$75k",IF(D1119&lt;100000,"$75k-$100k","$100k+")))))</x:f>
        <x:v>$25k-$50k</x:v>
      </x:c>
      <x:c r="P1119" t="str">
        <x:f>IF(E1119="","Unknown",IF(E1119&lt;10,"&lt;10",IF(E1119&lt;20,"10-&lt;20",IF(E1119&lt;25,"20-&lt;25",IF(E1119&lt;35,"25-&lt;35","35+")))))</x:f>
        <x:v>&lt;10</x:v>
      </x:c>
    </x:row>
    <x:row r="1120">
      <x:c r="A1120" t="str">
        <x:v>SYN0001119</x:v>
      </x:c>
      <x:c r="B1120" s="12" t="n">
        <x:v>41815</x:v>
      </x:c>
      <x:c r="C1120" s="18" t="n">
        <x:v>22630</x:v>
      </x:c>
      <x:c r="D1120" s="18" t="n">
        <x:v>62653</x:v>
      </x:c>
      <x:c r="E1120" s="18" t="n">
        <x:v>42.09</x:v>
      </x:c>
      <x:c r="F1120" s="18" t="n">
        <x:v>14.15</x:v>
      </x:c>
      <x:c r="G1120" t="n">
        <x:v>60</x:v>
      </x:c>
      <x:c r="H1120" t="str">
        <x:v>E</x:v>
      </x:c>
      <x:c r="I1120" t="str">
        <x:v>1-3 years</x:v>
      </x:c>
      <x:c r="J1120" t="str">
        <x:v>RENT</x:v>
      </x:c>
      <x:c r="K1120" t="str">
        <x:v>major_purchase</x:v>
      </x:c>
      <x:c r="L1120" t="n">
        <x:v>1</x:v>
      </x:c>
      <x:c r="M1120" t="n">
        <x:v>0</x:v>
      </x:c>
      <x:c r="N1120" t="str">
        <x:v>Fully Paid</x:v>
      </x:c>
      <x:c r="O1120" t="str">
        <x:f>IF(D1120="","Unknown",IF(D1120&lt;25000,"&lt;$25k",IF(D1120&lt;50000,"$25k-$50k",IF(D1120&lt;75000,"$50k-$75k",IF(D1120&lt;100000,"$75k-$100k","$100k+")))))</x:f>
        <x:v>$50k-$75k</x:v>
      </x:c>
      <x:c r="P1120" t="str">
        <x:f>IF(E1120="","Unknown",IF(E1120&lt;10,"&lt;10",IF(E1120&lt;20,"10-&lt;20",IF(E1120&lt;25,"20-&lt;25",IF(E1120&lt;35,"25-&lt;35","35+")))))</x:f>
        <x:v>35+</x:v>
      </x:c>
    </x:row>
    <x:row r="1121">
      <x:c r="A1121" t="str">
        <x:v>SYN0001120</x:v>
      </x:c>
      <x:c r="B1121" s="12" t="n">
        <x:v>42025</x:v>
      </x:c>
      <x:c r="C1121" s="18" t="n">
        <x:v>8111</x:v>
      </x:c>
      <x:c r="D1121" s="18" t="n">
        <x:v>52345</x:v>
      </x:c>
      <x:c r="E1121" s="18" t="n">
        <x:v>15.12</x:v>
      </x:c>
      <x:c r="F1121" s="18" t="n">
        <x:v>9.37</x:v>
      </x:c>
      <x:c r="G1121" t="n">
        <x:v>36</x:v>
      </x:c>
      <x:c r="H1121" t="str">
        <x:v>A</x:v>
      </x:c>
      <x:c r="I1121" t="str">
        <x:v>1-3 years</x:v>
      </x:c>
      <x:c r="J1121" t="str">
        <x:v>OWN</x:v>
      </x:c>
      <x:c r="K1121" t="str">
        <x:v>debt_consolidation</x:v>
      </x:c>
      <x:c r="L1121" t="n">
        <x:v>0</x:v>
      </x:c>
      <x:c r="M1121" t="n">
        <x:v>0</x:v>
      </x:c>
      <x:c r="N1121" t="str">
        <x:v>Fully Paid</x:v>
      </x:c>
      <x:c r="O1121" t="str">
        <x:f>IF(D1121="","Unknown",IF(D1121&lt;25000,"&lt;$25k",IF(D1121&lt;50000,"$25k-$50k",IF(D1121&lt;75000,"$50k-$75k",IF(D1121&lt;100000,"$75k-$100k","$100k+")))))</x:f>
        <x:v>$50k-$75k</x:v>
      </x:c>
      <x:c r="P1121" t="str">
        <x:f>IF(E1121="","Unknown",IF(E1121&lt;10,"&lt;10",IF(E1121&lt;20,"10-&lt;20",IF(E1121&lt;25,"20-&lt;25",IF(E1121&lt;35,"25-&lt;35","35+")))))</x:f>
        <x:v>10-&lt;20</x:v>
      </x:c>
    </x:row>
    <x:row r="1122">
      <x:c r="A1122" t="str">
        <x:v>SYN0001121</x:v>
      </x:c>
      <x:c r="B1122" s="12" t="n">
        <x:v>42025</x:v>
      </x:c>
      <x:c r="C1122" s="18" t="n">
        <x:v>11412</x:v>
      </x:c>
      <x:c r="D1122" s="18" t="n">
        <x:v>79701</x:v>
      </x:c>
      <x:c r="E1122" s="18" t="n">
        <x:v>19.63</x:v>
      </x:c>
      <x:c r="F1122" s="18" t="n">
        <x:v>14.92</x:v>
      </x:c>
      <x:c r="G1122" t="n">
        <x:v>36</x:v>
      </x:c>
      <x:c r="H1122" t="str">
        <x:v>D</x:v>
      </x:c>
      <x:c r="I1122" t="str">
        <x:v>7-9 years</x:v>
      </x:c>
      <x:c r="J1122" t="str">
        <x:v>MORTGAGE</x:v>
      </x:c>
      <x:c r="K1122" t="str">
        <x:v>credit_card</x:v>
      </x:c>
      <x:c r="L1122" t="n">
        <x:v>3</x:v>
      </x:c>
      <x:c r="M1122" t="n">
        <x:v>0</x:v>
      </x:c>
      <x:c r="N1122" t="str">
        <x:v>Fully Paid</x:v>
      </x:c>
      <x:c r="O1122" t="str">
        <x:f>IF(D1122="","Unknown",IF(D1122&lt;25000,"&lt;$25k",IF(D1122&lt;50000,"$25k-$50k",IF(D1122&lt;75000,"$50k-$75k",IF(D1122&lt;100000,"$75k-$100k","$100k+")))))</x:f>
        <x:v>$75k-$100k</x:v>
      </x:c>
      <x:c r="P1122" t="str">
        <x:f>IF(E1122="","Unknown",IF(E1122&lt;10,"&lt;10",IF(E1122&lt;20,"10-&lt;20",IF(E1122&lt;25,"20-&lt;25",IF(E1122&lt;35,"25-&lt;35","35+")))))</x:f>
        <x:v>10-&lt;20</x:v>
      </x:c>
    </x:row>
    <x:row r="1123">
      <x:c r="A1123" t="str">
        <x:v>SYN0001122</x:v>
      </x:c>
      <x:c r="B1123" s="12" t="n">
        <x:v>42715</x:v>
      </x:c>
      <x:c r="C1123" s="18" t="n">
        <x:v>25783</x:v>
      </x:c>
      <x:c r="D1123" s="18" t="n">
        <x:v>19611</x:v>
      </x:c>
      <x:c r="E1123" s="18" t="n">
        <x:v>24.68</x:v>
      </x:c>
      <x:c r="F1123" s="18" t="n">
        <x:v>16.71</x:v>
      </x:c>
      <x:c r="G1123" t="n">
        <x:v>36</x:v>
      </x:c>
      <x:c r="H1123" t="str">
        <x:v>D</x:v>
      </x:c>
      <x:c r="I1123" t="str">
        <x:v>7-9 years</x:v>
      </x:c>
      <x:c r="J1123" t="str">
        <x:v>RENT</x:v>
      </x:c>
      <x:c r="K1123" t="str">
        <x:v>debt_consolidation</x:v>
      </x:c>
      <x:c r="L1123" t="n">
        <x:v>0</x:v>
      </x:c>
      <x:c r="M1123" t="n">
        <x:v>0</x:v>
      </x:c>
      <x:c r="N1123" t="str">
        <x:v>Fully Paid</x:v>
      </x:c>
      <x:c r="O1123" t="str">
        <x:f>IF(D1123="","Unknown",IF(D1123&lt;25000,"&lt;$25k",IF(D1123&lt;50000,"$25k-$50k",IF(D1123&lt;75000,"$50k-$75k",IF(D1123&lt;100000,"$75k-$100k","$100k+")))))</x:f>
        <x:v>&lt;$25k</x:v>
      </x:c>
      <x:c r="P1123" t="str">
        <x:f>IF(E1123="","Unknown",IF(E1123&lt;10,"&lt;10",IF(E1123&lt;20,"10-&lt;20",IF(E1123&lt;25,"20-&lt;25",IF(E1123&lt;35,"25-&lt;35","35+")))))</x:f>
        <x:v>20-&lt;25</x:v>
      </x:c>
    </x:row>
    <x:row r="1124">
      <x:c r="A1124" t="str">
        <x:v>SYN0001123</x:v>
      </x:c>
      <x:c r="B1124" s="12" t="n">
        <x:v>42775</x:v>
      </x:c>
      <x:c r="C1124" s="18" t="n">
        <x:v>9356</x:v>
      </x:c>
      <x:c r="D1124" s="18" t="n">
        <x:v>26347</x:v>
      </x:c>
      <x:c r="E1124" s="18" t="n">
        <x:v>30.62</x:v>
      </x:c>
      <x:c r="F1124" s="18" t="n">
        <x:v>16.07</x:v>
      </x:c>
      <x:c r="G1124" t="n">
        <x:v>36</x:v>
      </x:c>
      <x:c r="H1124" t="str">
        <x:v>D</x:v>
      </x:c>
      <x:c r="I1124" t="str">
        <x:v>&lt;1 year</x:v>
      </x:c>
      <x:c r="J1124" t="str">
        <x:v>RENT</x:v>
      </x:c>
      <x:c r="K1124" t="str">
        <x:v>credit_card</x:v>
      </x:c>
      <x:c r="L1124" t="n">
        <x:v>0</x:v>
      </x:c>
      <x:c r="M1124" t="n">
        <x:v>0</x:v>
      </x:c>
      <x:c r="N1124" t="str">
        <x:v>Fully Paid</x:v>
      </x:c>
      <x:c r="O1124" t="str">
        <x:f>IF(D1124="","Unknown",IF(D1124&lt;25000,"&lt;$25k",IF(D1124&lt;50000,"$25k-$50k",IF(D1124&lt;75000,"$50k-$75k",IF(D1124&lt;100000,"$75k-$100k","$100k+")))))</x:f>
        <x:v>$25k-$50k</x:v>
      </x:c>
      <x:c r="P1124" t="str">
        <x:f>IF(E1124="","Unknown",IF(E1124&lt;10,"&lt;10",IF(E1124&lt;20,"10-&lt;20",IF(E1124&lt;25,"20-&lt;25",IF(E1124&lt;35,"25-&lt;35","35+")))))</x:f>
        <x:v>25-&lt;35</x:v>
      </x:c>
    </x:row>
    <x:row r="1125">
      <x:c r="A1125" t="str">
        <x:v>SYN0001124</x:v>
      </x:c>
      <x:c r="B1125" s="12" t="n">
        <x:v>43165</x:v>
      </x:c>
      <x:c r="C1125" s="18" t="n">
        <x:v>6044</x:v>
      </x:c>
      <x:c r="D1125" s="18" t="n">
        <x:v>69296</x:v>
      </x:c>
      <x:c r="E1125" s="18" t="n">
        <x:v>25.16</x:v>
      </x:c>
      <x:c r="F1125" s="18" t="n">
        <x:v>19.99</x:v>
      </x:c>
      <x:c r="G1125" t="n">
        <x:v>36</x:v>
      </x:c>
      <x:c r="H1125" t="str">
        <x:v>F</x:v>
      </x:c>
      <x:c r="I1125" t="str">
        <x:v>1-3 years</x:v>
      </x:c>
      <x:c r="J1125" t="str">
        <x:v>MORTGAGE</x:v>
      </x:c>
      <x:c r="K1125" t="str">
        <x:v>debt_consolidation</x:v>
      </x:c>
      <x:c r="L1125" t="n">
        <x:v>2</x:v>
      </x:c>
      <x:c r="M1125" t="n">
        <x:v>0</x:v>
      </x:c>
      <x:c r="N1125" t="str">
        <x:v>Fully Paid</x:v>
      </x:c>
      <x:c r="O1125" t="str">
        <x:f>IF(D1125="","Unknown",IF(D1125&lt;25000,"&lt;$25k",IF(D1125&lt;50000,"$25k-$50k",IF(D1125&lt;75000,"$50k-$75k",IF(D1125&lt;100000,"$75k-$100k","$100k+")))))</x:f>
        <x:v>$50k-$75k</x:v>
      </x:c>
      <x:c r="P1125" t="str">
        <x:f>IF(E1125="","Unknown",IF(E1125&lt;10,"&lt;10",IF(E1125&lt;20,"10-&lt;20",IF(E1125&lt;25,"20-&lt;25",IF(E1125&lt;35,"25-&lt;35","35+")))))</x:f>
        <x:v>25-&lt;35</x:v>
      </x:c>
    </x:row>
    <x:row r="1126">
      <x:c r="A1126" t="str">
        <x:v>SYN0001125</x:v>
      </x:c>
      <x:c r="B1126" s="12" t="n">
        <x:v>41665</x:v>
      </x:c>
      <x:c r="C1126" s="18" t="n">
        <x:v>9935</x:v>
      </x:c>
      <x:c r="D1126" s="18" t="n">
        <x:v>92697</x:v>
      </x:c>
      <x:c r="E1126" s="18" t="n">
        <x:v>27.82</x:v>
      </x:c>
      <x:c r="F1126" s="18" t="n">
        <x:v>14.33</x:v>
      </x:c>
      <x:c r="G1126" t="n">
        <x:v>36</x:v>
      </x:c>
      <x:c r="H1126" t="str">
        <x:v>E</x:v>
      </x:c>
      <x:c r="I1126" t="str">
        <x:v>1-3 years</x:v>
      </x:c>
      <x:c r="J1126" t="str">
        <x:v>MORTGAGE</x:v>
      </x:c>
      <x:c r="K1126" t="str">
        <x:v>major_purchase</x:v>
      </x:c>
      <x:c r="L1126" t="n">
        <x:v>0</x:v>
      </x:c>
      <x:c r="M1126" t="n">
        <x:v>0</x:v>
      </x:c>
      <x:c r="N1126" t="str">
        <x:v>Fully Paid</x:v>
      </x:c>
      <x:c r="O1126" t="str">
        <x:f>IF(D1126="","Unknown",IF(D1126&lt;25000,"&lt;$25k",IF(D1126&lt;50000,"$25k-$50k",IF(D1126&lt;75000,"$50k-$75k",IF(D1126&lt;100000,"$75k-$100k","$100k+")))))</x:f>
        <x:v>$75k-$100k</x:v>
      </x:c>
      <x:c r="P1126" t="str">
        <x:f>IF(E1126="","Unknown",IF(E1126&lt;10,"&lt;10",IF(E1126&lt;20,"10-&lt;20",IF(E1126&lt;25,"20-&lt;25",IF(E1126&lt;35,"25-&lt;35","35+")))))</x:f>
        <x:v>25-&lt;35</x:v>
      </x:c>
    </x:row>
    <x:row r="1127">
      <x:c r="A1127" t="str">
        <x:v>SYN0001126</x:v>
      </x:c>
      <x:c r="B1127" s="12" t="n">
        <x:v>42595</x:v>
      </x:c>
      <x:c r="C1127" s="18" t="n">
        <x:v>6700</x:v>
      </x:c>
      <x:c r="D1127" s="18" t="n">
        <x:v>56046</x:v>
      </x:c>
      <x:c r="E1127" s="18" t="n">
        <x:v>13.17</x:v>
      </x:c>
      <x:c r="F1127" s="18" t="n">
        <x:v>9.41</x:v>
      </x:c>
      <x:c r="G1127" t="n">
        <x:v>36</x:v>
      </x:c>
      <x:c r="H1127" t="str">
        <x:v>B</x:v>
      </x:c>
      <x:c r="I1127" t="str">
        <x:v>4-6 years</x:v>
      </x:c>
      <x:c r="J1127" t="str">
        <x:v>RENT</x:v>
      </x:c>
      <x:c r="K1127" t="str">
        <x:v>credit_card</x:v>
      </x:c>
      <x:c r="L1127" t="n">
        <x:v>0</x:v>
      </x:c>
      <x:c r="M1127" t="n">
        <x:v>0</x:v>
      </x:c>
      <x:c r="N1127" t="str">
        <x:v>Fully Paid</x:v>
      </x:c>
      <x:c r="O1127" t="str">
        <x:f>IF(D1127="","Unknown",IF(D1127&lt;25000,"&lt;$25k",IF(D1127&lt;50000,"$25k-$50k",IF(D1127&lt;75000,"$50k-$75k",IF(D1127&lt;100000,"$75k-$100k","$100k+")))))</x:f>
        <x:v>$50k-$75k</x:v>
      </x:c>
      <x:c r="P1127" t="str">
        <x:f>IF(E1127="","Unknown",IF(E1127&lt;10,"&lt;10",IF(E1127&lt;20,"10-&lt;20",IF(E1127&lt;25,"20-&lt;25",IF(E1127&lt;35,"25-&lt;35","35+")))))</x:f>
        <x:v>10-&lt;20</x:v>
      </x:c>
    </x:row>
    <x:row r="1128">
      <x:c r="A1128" t="str">
        <x:v>SYN0001127</x:v>
      </x:c>
      <x:c r="B1128" s="12" t="n">
        <x:v>43345</x:v>
      </x:c>
      <x:c r="C1128" s="18" t="n">
        <x:v>10970</x:v>
      </x:c>
      <x:c r="D1128" s="18" t="n">
        <x:v>36654</x:v>
      </x:c>
      <x:c r="E1128" s="18" t="n">
        <x:v>18.2</x:v>
      </x:c>
      <x:c r="F1128" s="18" t="n">
        <x:v>9.71</x:v>
      </x:c>
      <x:c r="G1128" t="n">
        <x:v>36</x:v>
      </x:c>
      <x:c r="H1128" t="str">
        <x:v>B</x:v>
      </x:c>
      <x:c r="I1128" t="str">
        <x:v>4-6 years</x:v>
      </x:c>
      <x:c r="J1128" t="str">
        <x:v>RENT</x:v>
      </x:c>
      <x:c r="K1128" t="str">
        <x:v>debt_consolidation</x:v>
      </x:c>
      <x:c r="L1128" t="n">
        <x:v>0</x:v>
      </x:c>
      <x:c r="M1128" t="n">
        <x:v>0</x:v>
      </x:c>
      <x:c r="N1128" t="str">
        <x:v>Fully Paid</x:v>
      </x:c>
      <x:c r="O1128" t="str">
        <x:f>IF(D1128="","Unknown",IF(D1128&lt;25000,"&lt;$25k",IF(D1128&lt;50000,"$25k-$50k",IF(D1128&lt;75000,"$50k-$75k",IF(D1128&lt;100000,"$75k-$100k","$100k+")))))</x:f>
        <x:v>$25k-$50k</x:v>
      </x:c>
      <x:c r="P1128" t="str">
        <x:f>IF(E1128="","Unknown",IF(E1128&lt;10,"&lt;10",IF(E1128&lt;20,"10-&lt;20",IF(E1128&lt;25,"20-&lt;25",IF(E1128&lt;35,"25-&lt;35","35+")))))</x:f>
        <x:v>10-&lt;20</x:v>
      </x:c>
    </x:row>
    <x:row r="1129">
      <x:c r="A1129" t="str">
        <x:v>SYN0001128</x:v>
      </x:c>
      <x:c r="B1129" s="12" t="n">
        <x:v>41905</x:v>
      </x:c>
      <x:c r="C1129" s="18" t="n">
        <x:v>5159</x:v>
      </x:c>
      <x:c r="D1129" s="18" t="n">
        <x:v>41248</x:v>
      </x:c>
      <x:c r="E1129" s="18" t="n">
        <x:v>24.66</x:v>
      </x:c>
      <x:c r="F1129" s="18" t="n">
        <x:v>8.9</x:v>
      </x:c>
      <x:c r="G1129" t="n">
        <x:v>36</x:v>
      </x:c>
      <x:c r="H1129" t="str">
        <x:v>C</x:v>
      </x:c>
      <x:c r="I1129" t="str">
        <x:v>10+ years</x:v>
      </x:c>
      <x:c r="J1129" t="str">
        <x:v>MORTGAGE</x:v>
      </x:c>
      <x:c r="K1129" t="str">
        <x:v>credit_card</x:v>
      </x:c>
      <x:c r="L1129" t="n">
        <x:v>0</x:v>
      </x:c>
      <x:c r="M1129" t="n">
        <x:v>0</x:v>
      </x:c>
      <x:c r="N1129" t="str">
        <x:v>Fully Paid</x:v>
      </x:c>
      <x:c r="O1129" t="str">
        <x:f>IF(D1129="","Unknown",IF(D1129&lt;25000,"&lt;$25k",IF(D1129&lt;50000,"$25k-$50k",IF(D1129&lt;75000,"$50k-$75k",IF(D1129&lt;100000,"$75k-$100k","$100k+")))))</x:f>
        <x:v>$25k-$50k</x:v>
      </x:c>
      <x:c r="P1129" t="str">
        <x:f>IF(E1129="","Unknown",IF(E1129&lt;10,"&lt;10",IF(E1129&lt;20,"10-&lt;20",IF(E1129&lt;25,"20-&lt;25",IF(E1129&lt;35,"25-&lt;35","35+")))))</x:f>
        <x:v>20-&lt;25</x:v>
      </x:c>
    </x:row>
    <x:row r="1130">
      <x:c r="A1130" t="str">
        <x:v>SYN0001129</x:v>
      </x:c>
      <x:c r="B1130" s="12" t="n">
        <x:v>43195</x:v>
      </x:c>
      <x:c r="C1130" s="18" t="n">
        <x:v>10979</x:v>
      </x:c>
      <x:c r="D1130" s="18" t="n">
        <x:v>92479</x:v>
      </x:c>
      <x:c r="E1130" s="18" t="n">
        <x:v>8.36</x:v>
      </x:c>
      <x:c r="F1130" s="18" t="n">
        <x:v>10.82</x:v>
      </x:c>
      <x:c r="G1130" t="n">
        <x:v>36</x:v>
      </x:c>
      <x:c r="H1130" t="str">
        <x:v>C</x:v>
      </x:c>
      <x:c r="I1130" t="str">
        <x:v>4-6 years</x:v>
      </x:c>
      <x:c r="J1130" t="str">
        <x:v>RENT</x:v>
      </x:c>
      <x:c r="K1130" t="str">
        <x:v>debt_consolidation</x:v>
      </x:c>
      <x:c r="L1130" t="n">
        <x:v>0</x:v>
      </x:c>
      <x:c r="M1130" t="n">
        <x:v>0</x:v>
      </x:c>
      <x:c r="N1130" t="str">
        <x:v>Fully Paid</x:v>
      </x:c>
      <x:c r="O1130" t="str">
        <x:f>IF(D1130="","Unknown",IF(D1130&lt;25000,"&lt;$25k",IF(D1130&lt;50000,"$25k-$50k",IF(D1130&lt;75000,"$50k-$75k",IF(D1130&lt;100000,"$75k-$100k","$100k+")))))</x:f>
        <x:v>$75k-$100k</x:v>
      </x:c>
      <x:c r="P1130" t="str">
        <x:f>IF(E1130="","Unknown",IF(E1130&lt;10,"&lt;10",IF(E1130&lt;20,"10-&lt;20",IF(E1130&lt;25,"20-&lt;25",IF(E1130&lt;35,"25-&lt;35","35+")))))</x:f>
        <x:v>&lt;10</x:v>
      </x:c>
    </x:row>
    <x:row r="1131">
      <x:c r="A1131" t="str">
        <x:v>SYN0001130</x:v>
      </x:c>
      <x:c r="B1131" s="12" t="n">
        <x:v>43075</x:v>
      </x:c>
      <x:c r="C1131" s="18" t="n">
        <x:v>9587</x:v>
      </x:c>
      <x:c r="D1131" s="18" t="n">
        <x:v>63268</x:v>
      </x:c>
      <x:c r="E1131" s="18" t="n">
        <x:v>15.58</x:v>
      </x:c>
      <x:c r="F1131" s="18" t="n">
        <x:v>10.07</x:v>
      </x:c>
      <x:c r="G1131" t="n">
        <x:v>36</x:v>
      </x:c>
      <x:c r="H1131" t="str">
        <x:v>D</x:v>
      </x:c>
      <x:c r="I1131" t="str">
        <x:v>7-9 years</x:v>
      </x:c>
      <x:c r="J1131" t="str">
        <x:v>RENT</x:v>
      </x:c>
      <x:c r="K1131" t="str">
        <x:v>debt_consolidation</x:v>
      </x:c>
      <x:c r="L1131" t="n">
        <x:v>1</x:v>
      </x:c>
      <x:c r="M1131" t="n">
        <x:v>0</x:v>
      </x:c>
      <x:c r="N1131" t="str">
        <x:v>Fully Paid</x:v>
      </x:c>
      <x:c r="O1131" t="str">
        <x:f>IF(D1131="","Unknown",IF(D1131&lt;25000,"&lt;$25k",IF(D1131&lt;50000,"$25k-$50k",IF(D1131&lt;75000,"$50k-$75k",IF(D1131&lt;100000,"$75k-$100k","$100k+")))))</x:f>
        <x:v>$50k-$75k</x:v>
      </x:c>
      <x:c r="P1131" t="str">
        <x:f>IF(E1131="","Unknown",IF(E1131&lt;10,"&lt;10",IF(E1131&lt;20,"10-&lt;20",IF(E1131&lt;25,"20-&lt;25",IF(E1131&lt;35,"25-&lt;35","35+")))))</x:f>
        <x:v>10-&lt;20</x:v>
      </x:c>
    </x:row>
    <x:row r="1132">
      <x:c r="A1132" t="str">
        <x:v>SYN0001131</x:v>
      </x:c>
      <x:c r="B1132" s="12" t="n">
        <x:v>43015</x:v>
      </x:c>
      <x:c r="C1132" s="18" t="n">
        <x:v>4484</x:v>
      </x:c>
      <x:c r="D1132" s="18" t="n">
        <x:v>120972</x:v>
      </x:c>
      <x:c r="E1132" s="18" t="n">
        <x:v>26.12</x:v>
      </x:c>
      <x:c r="F1132" s="18" t="n">
        <x:v>25.98</x:v>
      </x:c>
      <x:c r="G1132" t="n">
        <x:v>36</x:v>
      </x:c>
      <x:c r="H1132" t="str">
        <x:v>F</x:v>
      </x:c>
      <x:c r="I1132" t="str">
        <x:v>7-9 years</x:v>
      </x:c>
      <x:c r="J1132" t="str">
        <x:v>RENT</x:v>
      </x:c>
      <x:c r="K1132" t="str">
        <x:v>debt_consolidation</x:v>
      </x:c>
      <x:c r="L1132" t="n">
        <x:v>0</x:v>
      </x:c>
      <x:c r="M1132" t="n">
        <x:v>0</x:v>
      </x:c>
      <x:c r="N1132" t="str">
        <x:v>Fully Paid</x:v>
      </x:c>
      <x:c r="O1132" t="str">
        <x:f>IF(D1132="","Unknown",IF(D1132&lt;25000,"&lt;$25k",IF(D1132&lt;50000,"$25k-$50k",IF(D1132&lt;75000,"$50k-$75k",IF(D1132&lt;100000,"$75k-$100k","$100k+")))))</x:f>
        <x:v>$100k+</x:v>
      </x:c>
      <x:c r="P1132" t="str">
        <x:f>IF(E1132="","Unknown",IF(E1132&lt;10,"&lt;10",IF(E1132&lt;20,"10-&lt;20",IF(E1132&lt;25,"20-&lt;25",IF(E1132&lt;35,"25-&lt;35","35+")))))</x:f>
        <x:v>25-&lt;35</x:v>
      </x:c>
    </x:row>
    <x:row r="1133">
      <x:c r="A1133" t="str">
        <x:v>SYN0001132</x:v>
      </x:c>
      <x:c r="B1133" s="12" t="n">
        <x:v>41995</x:v>
      </x:c>
      <x:c r="C1133" s="18" t="n">
        <x:v>8565</x:v>
      </x:c>
      <x:c r="D1133" s="18" t="n">
        <x:v>45061</x:v>
      </x:c>
      <x:c r="E1133" s="18" t="n">
        <x:v>17.78</x:v>
      </x:c>
      <x:c r="F1133" s="18" t="n">
        <x:v>16.16</x:v>
      </x:c>
      <x:c r="G1133" t="n">
        <x:v>60</x:v>
      </x:c>
      <x:c r="H1133" t="str">
        <x:v>E</x:v>
      </x:c>
      <x:c r="I1133" t="str">
        <x:v>1-3 years</x:v>
      </x:c>
      <x:c r="J1133" t="str">
        <x:v>RENT</x:v>
      </x:c>
      <x:c r="K1133" t="str">
        <x:v>debt_consolidation</x:v>
      </x:c>
      <x:c r="L1133" t="n">
        <x:v>0</x:v>
      </x:c>
      <x:c r="M1133" t="n">
        <x:v>0</x:v>
      </x:c>
      <x:c r="N1133" t="str">
        <x:v>Fully Paid</x:v>
      </x:c>
      <x:c r="O1133" t="str">
        <x:f>IF(D1133="","Unknown",IF(D1133&lt;25000,"&lt;$25k",IF(D1133&lt;50000,"$25k-$50k",IF(D1133&lt;75000,"$50k-$75k",IF(D1133&lt;100000,"$75k-$100k","$100k+")))))</x:f>
        <x:v>$25k-$50k</x:v>
      </x:c>
      <x:c r="P1133" t="str">
        <x:f>IF(E1133="","Unknown",IF(E1133&lt;10,"&lt;10",IF(E1133&lt;20,"10-&lt;20",IF(E1133&lt;25,"20-&lt;25",IF(E1133&lt;35,"25-&lt;35","35+")))))</x:f>
        <x:v>10-&lt;20</x:v>
      </x:c>
    </x:row>
    <x:row r="1134">
      <x:c r="A1134" t="str">
        <x:v>SYN0001133</x:v>
      </x:c>
      <x:c r="B1134" s="12" t="n">
        <x:v>41395</x:v>
      </x:c>
      <x:c r="C1134" s="18" t="n">
        <x:v>29478</x:v>
      </x:c>
      <x:c r="D1134" s="18" t="n">
        <x:v>43399</x:v>
      </x:c>
      <x:c r="E1134" s="18" t="n">
        <x:v>32.03</x:v>
      </x:c>
      <x:c r="F1134" s="18" t="n">
        <x:v>24.69</x:v>
      </x:c>
      <x:c r="G1134" t="n">
        <x:v>60</x:v>
      </x:c>
      <x:c r="H1134" t="str">
        <x:v>F</x:v>
      </x:c>
      <x:c r="I1134" t="str">
        <x:v>7-9 years</x:v>
      </x:c>
      <x:c r="J1134" t="str">
        <x:v>OWN</x:v>
      </x:c>
      <x:c r="K1134" t="str">
        <x:v>debt_consolidation</x:v>
      </x:c>
      <x:c r="L1134" t="n">
        <x:v>0</x:v>
      </x:c>
      <x:c r="M1134" t="n">
        <x:v>0</x:v>
      </x:c>
      <x:c r="N1134" t="str">
        <x:v>Fully Paid</x:v>
      </x:c>
      <x:c r="O1134" t="str">
        <x:f>IF(D1134="","Unknown",IF(D1134&lt;25000,"&lt;$25k",IF(D1134&lt;50000,"$25k-$50k",IF(D1134&lt;75000,"$50k-$75k",IF(D1134&lt;100000,"$75k-$100k","$100k+")))))</x:f>
        <x:v>$25k-$50k</x:v>
      </x:c>
      <x:c r="P1134" t="str">
        <x:f>IF(E1134="","Unknown",IF(E1134&lt;10,"&lt;10",IF(E1134&lt;20,"10-&lt;20",IF(E1134&lt;25,"20-&lt;25",IF(E1134&lt;35,"25-&lt;35","35+")))))</x:f>
        <x:v>25-&lt;35</x:v>
      </x:c>
    </x:row>
    <x:row r="1135">
      <x:c r="A1135" t="str">
        <x:v>SYN0001134</x:v>
      </x:c>
      <x:c r="B1135" s="12" t="n">
        <x:v>41695</x:v>
      </x:c>
      <x:c r="C1135" s="18" t="n">
        <x:v>10208</x:v>
      </x:c>
      <x:c r="D1135" s="18" t="n">
        <x:v>14866</x:v>
      </x:c>
      <x:c r="E1135" s="18" t="n">
        <x:v>35.74</x:v>
      </x:c>
      <x:c r="F1135" s="18" t="n">
        <x:v>13.42</x:v>
      </x:c>
      <x:c r="G1135" t="n">
        <x:v>36</x:v>
      </x:c>
      <x:c r="H1135" t="str">
        <x:v>C</x:v>
      </x:c>
      <x:c r="I1135" t="str">
        <x:v>7-9 years</x:v>
      </x:c>
      <x:c r="J1135" t="str">
        <x:v>OTHER</x:v>
      </x:c>
      <x:c r="K1135" t="str">
        <x:v>debt_consolidation</x:v>
      </x:c>
      <x:c r="L1135" t="n">
        <x:v>0</x:v>
      </x:c>
      <x:c r="M1135" t="n">
        <x:v>0</x:v>
      </x:c>
      <x:c r="N1135" t="str">
        <x:v>Fully Paid</x:v>
      </x:c>
      <x:c r="O1135" t="str">
        <x:f>IF(D1135="","Unknown",IF(D1135&lt;25000,"&lt;$25k",IF(D1135&lt;50000,"$25k-$50k",IF(D1135&lt;75000,"$50k-$75k",IF(D1135&lt;100000,"$75k-$100k","$100k+")))))</x:f>
        <x:v>&lt;$25k</x:v>
      </x:c>
      <x:c r="P1135" t="str">
        <x:f>IF(E1135="","Unknown",IF(E1135&lt;10,"&lt;10",IF(E1135&lt;20,"10-&lt;20",IF(E1135&lt;25,"20-&lt;25",IF(E1135&lt;35,"25-&lt;35","35+")))))</x:f>
        <x:v>35+</x:v>
      </x:c>
    </x:row>
    <x:row r="1136">
      <x:c r="A1136" t="str">
        <x:v>SYN0001135</x:v>
      </x:c>
      <x:c r="B1136" s="12" t="n">
        <x:v>43225</x:v>
      </x:c>
      <x:c r="C1136" s="18" t="n">
        <x:v>20072</x:v>
      </x:c>
      <x:c r="D1136" s="18" t="n">
        <x:v>64963</x:v>
      </x:c>
      <x:c r="E1136" s="18" t="n">
        <x:v>30.81</x:v>
      </x:c>
      <x:c r="F1136" s="18" t="n">
        <x:v>17.02</x:v>
      </x:c>
      <x:c r="G1136" t="n">
        <x:v>36</x:v>
      </x:c>
      <x:c r="H1136" t="str">
        <x:v>D</x:v>
      </x:c>
      <x:c r="I1136" t="str">
        <x:v>4-6 years</x:v>
      </x:c>
      <x:c r="J1136" t="str">
        <x:v>RENT</x:v>
      </x:c>
      <x:c r="K1136" t="str">
        <x:v>credit_card</x:v>
      </x:c>
      <x:c r="L1136" t="n">
        <x:v>0</x:v>
      </x:c>
      <x:c r="M1136" t="n">
        <x:v>1</x:v>
      </x:c>
      <x:c r="N1136" t="str">
        <x:v>Charged Off</x:v>
      </x:c>
      <x:c r="O1136" t="str">
        <x:f>IF(D1136="","Unknown",IF(D1136&lt;25000,"&lt;$25k",IF(D1136&lt;50000,"$25k-$50k",IF(D1136&lt;75000,"$50k-$75k",IF(D1136&lt;100000,"$75k-$100k","$100k+")))))</x:f>
        <x:v>$50k-$75k</x:v>
      </x:c>
      <x:c r="P1136" t="str">
        <x:f>IF(E1136="","Unknown",IF(E1136&lt;10,"&lt;10",IF(E1136&lt;20,"10-&lt;20",IF(E1136&lt;25,"20-&lt;25",IF(E1136&lt;35,"25-&lt;35","35+")))))</x:f>
        <x:v>25-&lt;35</x:v>
      </x:c>
    </x:row>
    <x:row r="1137">
      <x:c r="A1137" t="str">
        <x:v>SYN0001136</x:v>
      </x:c>
      <x:c r="B1137" s="12" t="n">
        <x:v>42385</x:v>
      </x:c>
      <x:c r="C1137" s="18" t="n">
        <x:v>11793</x:v>
      </x:c>
      <x:c r="D1137" s="18" t="n">
        <x:v>65326</x:v>
      </x:c>
      <x:c r="E1137" s="18" t="n">
        <x:v>20.24</x:v>
      </x:c>
      <x:c r="F1137" s="18" t="n">
        <x:v>16.06</x:v>
      </x:c>
      <x:c r="G1137" t="n">
        <x:v>36</x:v>
      </x:c>
      <x:c r="H1137" t="str">
        <x:v>D</x:v>
      </x:c>
      <x:c r="I1137" t="str">
        <x:v>1-3 years</x:v>
      </x:c>
      <x:c r="J1137" t="str">
        <x:v>MORTGAGE</x:v>
      </x:c>
      <x:c r="K1137" t="str">
        <x:v>major_purchase</x:v>
      </x:c>
      <x:c r="L1137" t="n">
        <x:v>0</x:v>
      </x:c>
      <x:c r="M1137" t="n">
        <x:v>0</x:v>
      </x:c>
      <x:c r="N1137" t="str">
        <x:v>Fully Paid</x:v>
      </x:c>
      <x:c r="O1137" t="str">
        <x:f>IF(D1137="","Unknown",IF(D1137&lt;25000,"&lt;$25k",IF(D1137&lt;50000,"$25k-$50k",IF(D1137&lt;75000,"$50k-$75k",IF(D1137&lt;100000,"$75k-$100k","$100k+")))))</x:f>
        <x:v>$50k-$75k</x:v>
      </x:c>
      <x:c r="P1137" t="str">
        <x:f>IF(E1137="","Unknown",IF(E1137&lt;10,"&lt;10",IF(E1137&lt;20,"10-&lt;20",IF(E1137&lt;25,"20-&lt;25",IF(E1137&lt;35,"25-&lt;35","35+")))))</x:f>
        <x:v>20-&lt;25</x:v>
      </x:c>
    </x:row>
    <x:row r="1138">
      <x:c r="A1138" t="str">
        <x:v>SYN0001137</x:v>
      </x:c>
      <x:c r="B1138" s="12" t="n">
        <x:v>42955</x:v>
      </x:c>
      <x:c r="C1138" s="18" t="n">
        <x:v>12839</x:v>
      </x:c>
      <x:c r="D1138" s="18" t="n">
        <x:v>39383</x:v>
      </x:c>
      <x:c r="E1138" s="18" t="n">
        <x:v>33.71</x:v>
      </x:c>
      <x:c r="F1138" s="18" t="n">
        <x:v>22.7</x:v>
      </x:c>
      <x:c r="G1138" t="n">
        <x:v>36</x:v>
      </x:c>
      <x:c r="H1138" t="str">
        <x:v>F</x:v>
      </x:c>
      <x:c r="I1138" t="str">
        <x:v>4-6 years</x:v>
      </x:c>
      <x:c r="J1138" t="str">
        <x:v>MORTGAGE</x:v>
      </x:c>
      <x:c r="K1138" t="str">
        <x:v>debt_consolidation</x:v>
      </x:c>
      <x:c r="L1138" t="n">
        <x:v>0</x:v>
      </x:c>
      <x:c r="M1138" t="n">
        <x:v>1</x:v>
      </x:c>
      <x:c r="N1138" t="str">
        <x:v>Charged Off</x:v>
      </x:c>
      <x:c r="O1138" t="str">
        <x:f>IF(D1138="","Unknown",IF(D1138&lt;25000,"&lt;$25k",IF(D1138&lt;50000,"$25k-$50k",IF(D1138&lt;75000,"$50k-$75k",IF(D1138&lt;100000,"$75k-$100k","$100k+")))))</x:f>
        <x:v>$25k-$50k</x:v>
      </x:c>
      <x:c r="P1138" t="str">
        <x:f>IF(E1138="","Unknown",IF(E1138&lt;10,"&lt;10",IF(E1138&lt;20,"10-&lt;20",IF(E1138&lt;25,"20-&lt;25",IF(E1138&lt;35,"25-&lt;35","35+")))))</x:f>
        <x:v>25-&lt;35</x:v>
      </x:c>
    </x:row>
    <x:row r="1139">
      <x:c r="A1139" t="str">
        <x:v>SYN0001138</x:v>
      </x:c>
      <x:c r="B1139" s="12" t="n">
        <x:v>42865</x:v>
      </x:c>
      <x:c r="C1139" s="18" t="n">
        <x:v>7354</x:v>
      </x:c>
      <x:c r="D1139" s="18" t="n">
        <x:v>250000</x:v>
      </x:c>
      <x:c r="E1139" s="18" t="n">
        <x:v>39</x:v>
      </x:c>
      <x:c r="F1139" s="18" t="n">
        <x:v>20.23</x:v>
      </x:c>
      <x:c r="G1139" t="n">
        <x:v>36</x:v>
      </x:c>
      <x:c r="H1139" t="str">
        <x:v>F</x:v>
      </x:c>
      <x:c r="I1139" t="str">
        <x:v>10+ years</x:v>
      </x:c>
      <x:c r="J1139" t="str">
        <x:v>MORTGAGE</x:v>
      </x:c>
      <x:c r="K1139" t="str">
        <x:v>debt_consolidation</x:v>
      </x:c>
      <x:c r="L1139" t="n">
        <x:v>1</x:v>
      </x:c>
      <x:c r="M1139" t="n">
        <x:v>0</x:v>
      </x:c>
      <x:c r="N1139" t="str">
        <x:v>Fully Paid</x:v>
      </x:c>
      <x:c r="O1139" t="str">
        <x:f>IF(D1139="","Unknown",IF(D1139&lt;25000,"&lt;$25k",IF(D1139&lt;50000,"$25k-$50k",IF(D1139&lt;75000,"$50k-$75k",IF(D1139&lt;100000,"$75k-$100k","$100k+")))))</x:f>
        <x:v>$100k+</x:v>
      </x:c>
      <x:c r="P1139" t="str">
        <x:f>IF(E1139="","Unknown",IF(E1139&lt;10,"&lt;10",IF(E1139&lt;20,"10-&lt;20",IF(E1139&lt;25,"20-&lt;25",IF(E1139&lt;35,"25-&lt;35","35+")))))</x:f>
        <x:v>35+</x:v>
      </x:c>
    </x:row>
    <x:row r="1140">
      <x:c r="A1140" t="str">
        <x:v>SYN0001139</x:v>
      </x:c>
      <x:c r="B1140" s="12" t="n">
        <x:v>41575</x:v>
      </x:c>
      <x:c r="C1140" s="18" t="n">
        <x:v>4174</x:v>
      </x:c>
      <x:c r="D1140" s="18" t="n">
        <x:v>21731</x:v>
      </x:c>
      <x:c r="E1140" s="18" t="n">
        <x:v>20.1</x:v>
      </x:c>
      <x:c r="F1140" s="18" t="n">
        <x:v>10.8</x:v>
      </x:c>
      <x:c r="G1140" t="n">
        <x:v>36</x:v>
      </x:c>
      <x:c r="H1140" t="str">
        <x:v>C</x:v>
      </x:c>
      <x:c r="I1140" t="str">
        <x:v>1-3 years</x:v>
      </x:c>
      <x:c r="J1140" t="str">
        <x:v>RENT</x:v>
      </x:c>
      <x:c r="K1140" t="str">
        <x:v>other</x:v>
      </x:c>
      <x:c r="L1140" t="n">
        <x:v>0</x:v>
      </x:c>
      <x:c r="M1140" t="n">
        <x:v>0</x:v>
      </x:c>
      <x:c r="N1140" t="str">
        <x:v>Fully Paid</x:v>
      </x:c>
      <x:c r="O1140" t="str">
        <x:f>IF(D1140="","Unknown",IF(D1140&lt;25000,"&lt;$25k",IF(D1140&lt;50000,"$25k-$50k",IF(D1140&lt;75000,"$50k-$75k",IF(D1140&lt;100000,"$75k-$100k","$100k+")))))</x:f>
        <x:v>&lt;$25k</x:v>
      </x:c>
      <x:c r="P1140" t="str">
        <x:f>IF(E1140="","Unknown",IF(E1140&lt;10,"&lt;10",IF(E1140&lt;20,"10-&lt;20",IF(E1140&lt;25,"20-&lt;25",IF(E1140&lt;35,"25-&lt;35","35+")))))</x:f>
        <x:v>20-&lt;25</x:v>
      </x:c>
    </x:row>
    <x:row r="1141">
      <x:c r="A1141" t="str">
        <x:v>SYN0001140</x:v>
      </x:c>
      <x:c r="B1141" s="12" t="n">
        <x:v>42865</x:v>
      </x:c>
      <x:c r="C1141" s="18" t="n">
        <x:v>11423</x:v>
      </x:c>
      <x:c r="D1141" s="18" t="n">
        <x:v>30671</x:v>
      </x:c>
      <x:c r="E1141" s="18" t="n">
        <x:v>17.57</x:v>
      </x:c>
      <x:c r="F1141" s="18" t="n">
        <x:v>13.01</x:v>
      </x:c>
      <x:c r="G1141" t="n">
        <x:v>60</x:v>
      </x:c>
      <x:c r="H1141" t="str">
        <x:v>C</x:v>
      </x:c>
      <x:c r="I1141" t="str">
        <x:v>1-3 years</x:v>
      </x:c>
      <x:c r="J1141" t="str">
        <x:v>MORTGAGE</x:v>
      </x:c>
      <x:c r="K1141" t="str">
        <x:v>major_purchase</x:v>
      </x:c>
      <x:c r="L1141" t="n">
        <x:v>0</x:v>
      </x:c>
      <x:c r="M1141" t="n">
        <x:v>0</x:v>
      </x:c>
      <x:c r="N1141" t="str">
        <x:v>Fully Paid</x:v>
      </x:c>
      <x:c r="O1141" t="str">
        <x:f>IF(D1141="","Unknown",IF(D1141&lt;25000,"&lt;$25k",IF(D1141&lt;50000,"$25k-$50k",IF(D1141&lt;75000,"$50k-$75k",IF(D1141&lt;100000,"$75k-$100k","$100k+")))))</x:f>
        <x:v>$25k-$50k</x:v>
      </x:c>
      <x:c r="P1141" t="str">
        <x:f>IF(E1141="","Unknown",IF(E1141&lt;10,"&lt;10",IF(E1141&lt;20,"10-&lt;20",IF(E1141&lt;25,"20-&lt;25",IF(E1141&lt;35,"25-&lt;35","35+")))))</x:f>
        <x:v>10-&lt;20</x:v>
      </x:c>
    </x:row>
    <x:row r="1142">
      <x:c r="A1142" t="str">
        <x:v>SYN0001141</x:v>
      </x:c>
      <x:c r="B1142" s="12" t="n">
        <x:v>41605</x:v>
      </x:c>
      <x:c r="C1142" s="18" t="n">
        <x:v>18411</x:v>
      </x:c>
      <x:c r="D1142" s="18" t="n">
        <x:v>114221</x:v>
      </x:c>
      <x:c r="E1142" s="18" t="n">
        <x:v>12.62</x:v>
      </x:c>
      <x:c r="F1142" s="18" t="n">
        <x:v>14.24</x:v>
      </x:c>
      <x:c r="G1142" t="n">
        <x:v>36</x:v>
      </x:c>
      <x:c r="H1142" t="str">
        <x:v>D</x:v>
      </x:c>
      <x:c r="I1142" t="str">
        <x:v>4-6 years</x:v>
      </x:c>
      <x:c r="J1142" t="str">
        <x:v>OWN</x:v>
      </x:c>
      <x:c r="K1142" t="str">
        <x:v>major_purchase</x:v>
      </x:c>
      <x:c r="L1142" t="n">
        <x:v>0</x:v>
      </x:c>
      <x:c r="M1142" t="n">
        <x:v>0</x:v>
      </x:c>
      <x:c r="N1142" t="str">
        <x:v>Fully Paid</x:v>
      </x:c>
      <x:c r="O1142" t="str">
        <x:f>IF(D1142="","Unknown",IF(D1142&lt;25000,"&lt;$25k",IF(D1142&lt;50000,"$25k-$50k",IF(D1142&lt;75000,"$50k-$75k",IF(D1142&lt;100000,"$75k-$100k","$100k+")))))</x:f>
        <x:v>$100k+</x:v>
      </x:c>
      <x:c r="P1142" t="str">
        <x:f>IF(E1142="","Unknown",IF(E1142&lt;10,"&lt;10",IF(E1142&lt;20,"10-&lt;20",IF(E1142&lt;25,"20-&lt;25",IF(E1142&lt;35,"25-&lt;35","35+")))))</x:f>
        <x:v>10-&lt;20</x:v>
      </x:c>
    </x:row>
    <x:row r="1143">
      <x:c r="A1143" t="str">
        <x:v>SYN0001142</x:v>
      </x:c>
      <x:c r="B1143" s="12" t="n">
        <x:v>42145</x:v>
      </x:c>
      <x:c r="C1143" s="18" t="n">
        <x:v>24911</x:v>
      </x:c>
      <x:c r="D1143" s="18" t="n">
        <x:v>44008</x:v>
      </x:c>
      <x:c r="E1143" s="18" t="n">
        <x:v>18.41</x:v>
      </x:c>
      <x:c r="F1143" s="18" t="n">
        <x:v>12.52</x:v>
      </x:c>
      <x:c r="G1143" t="n">
        <x:v>36</x:v>
      </x:c>
      <x:c r="H1143" t="str">
        <x:v>D</x:v>
      </x:c>
      <x:c r="I1143" t="str">
        <x:v>7-9 years</x:v>
      </x:c>
      <x:c r="J1143" t="str">
        <x:v>MORTGAGE</x:v>
      </x:c>
      <x:c r="K1143" t="str">
        <x:v>debt_consolidation</x:v>
      </x:c>
      <x:c r="L1143" t="n">
        <x:v>3</x:v>
      </x:c>
      <x:c r="M1143" t="n">
        <x:v>0</x:v>
      </x:c>
      <x:c r="N1143" t="str">
        <x:v>Fully Paid</x:v>
      </x:c>
      <x:c r="O1143" t="str">
        <x:f>IF(D1143="","Unknown",IF(D1143&lt;25000,"&lt;$25k",IF(D1143&lt;50000,"$25k-$50k",IF(D1143&lt;75000,"$50k-$75k",IF(D1143&lt;100000,"$75k-$100k","$100k+")))))</x:f>
        <x:v>$25k-$50k</x:v>
      </x:c>
      <x:c r="P1143" t="str">
        <x:f>IF(E1143="","Unknown",IF(E1143&lt;10,"&lt;10",IF(E1143&lt;20,"10-&lt;20",IF(E1143&lt;25,"20-&lt;25",IF(E1143&lt;35,"25-&lt;35","35+")))))</x:f>
        <x:v>10-&lt;20</x:v>
      </x:c>
    </x:row>
    <x:row r="1144">
      <x:c r="A1144" t="str">
        <x:v>SYN0001143</x:v>
      </x:c>
      <x:c r="B1144" s="12" t="n">
        <x:v>41455</x:v>
      </x:c>
      <x:c r="C1144" s="18" t="n">
        <x:v>19307</x:v>
      </x:c>
      <x:c r="D1144" s="18" t="n">
        <x:v>96491</x:v>
      </x:c>
      <x:c r="E1144" s="18" t="n">
        <x:v>0</x:v>
      </x:c>
      <x:c r="F1144" s="18" t="n">
        <x:v>7.77</x:v>
      </x:c>
      <x:c r="G1144" t="n">
        <x:v>36</x:v>
      </x:c>
      <x:c r="H1144" t="str">
        <x:v>B</x:v>
      </x:c>
      <x:c r="I1144" t="str">
        <x:v>4-6 years</x:v>
      </x:c>
      <x:c r="J1144" t="str">
        <x:v>MORTGAGE</x:v>
      </x:c>
      <x:c r="K1144" t="str">
        <x:v>other</x:v>
      </x:c>
      <x:c r="L1144" t="n">
        <x:v>1</x:v>
      </x:c>
      <x:c r="M1144" t="n">
        <x:v>0</x:v>
      </x:c>
      <x:c r="N1144" t="str">
        <x:v>Fully Paid</x:v>
      </x:c>
      <x:c r="O1144" t="str">
        <x:f>IF(D1144="","Unknown",IF(D1144&lt;25000,"&lt;$25k",IF(D1144&lt;50000,"$25k-$50k",IF(D1144&lt;75000,"$50k-$75k",IF(D1144&lt;100000,"$75k-$100k","$100k+")))))</x:f>
        <x:v>$75k-$100k</x:v>
      </x:c>
      <x:c r="P1144" t="str">
        <x:f>IF(E1144="","Unknown",IF(E1144&lt;10,"&lt;10",IF(E1144&lt;20,"10-&lt;20",IF(E1144&lt;25,"20-&lt;25",IF(E1144&lt;35,"25-&lt;35","35+")))))</x:f>
        <x:v>Unknown</x:v>
      </x:c>
    </x:row>
    <x:row r="1145">
      <x:c r="A1145" t="str">
        <x:v>SYN0001144</x:v>
      </x:c>
      <x:c r="B1145" s="12" t="n">
        <x:v>41725</x:v>
      </x:c>
      <x:c r="C1145" s="18" t="n">
        <x:v>8077</x:v>
      </x:c>
      <x:c r="D1145" s="18" t="n">
        <x:v>61760</x:v>
      </x:c>
      <x:c r="E1145" s="18" t="n">
        <x:v>19.56</x:v>
      </x:c>
      <x:c r="F1145" s="18" t="n">
        <x:v>6.43</x:v>
      </x:c>
      <x:c r="G1145" t="n">
        <x:v>36</x:v>
      </x:c>
      <x:c r="H1145" t="str">
        <x:v>A</x:v>
      </x:c>
      <x:c r="I1145" t="str">
        <x:v>4-6 years</x:v>
      </x:c>
      <x:c r="J1145" t="str">
        <x:v>OWN</x:v>
      </x:c>
      <x:c r="K1145" t="str">
        <x:v>home_improvement</x:v>
      </x:c>
      <x:c r="L1145" t="n">
        <x:v>0</x:v>
      </x:c>
      <x:c r="M1145" t="n">
        <x:v>0</x:v>
      </x:c>
      <x:c r="N1145" t="str">
        <x:v>Fully Paid</x:v>
      </x:c>
      <x:c r="O1145" t="str">
        <x:f>IF(D1145="","Unknown",IF(D1145&lt;25000,"&lt;$25k",IF(D1145&lt;50000,"$25k-$50k",IF(D1145&lt;75000,"$50k-$75k",IF(D1145&lt;100000,"$75k-$100k","$100k+")))))</x:f>
        <x:v>$50k-$75k</x:v>
      </x:c>
      <x:c r="P1145" t="str">
        <x:f>IF(E1145="","Unknown",IF(E1145&lt;10,"&lt;10",IF(E1145&lt;20,"10-&lt;20",IF(E1145&lt;25,"20-&lt;25",IF(E1145&lt;35,"25-&lt;35","35+")))))</x:f>
        <x:v>10-&lt;20</x:v>
      </x:c>
    </x:row>
    <x:row r="1146">
      <x:c r="A1146" t="str">
        <x:v>SYN0001145</x:v>
      </x:c>
      <x:c r="B1146" s="12" t="n">
        <x:v>43315</x:v>
      </x:c>
      <x:c r="C1146" s="18" t="n">
        <x:v>7414</x:v>
      </x:c>
      <x:c r="D1146" s="18" t="n">
        <x:v>52743</x:v>
      </x:c>
      <x:c r="E1146" s="18" t="n">
        <x:v>7.89</x:v>
      </x:c>
      <x:c r="F1146" s="18" t="n">
        <x:v>15.85</x:v>
      </x:c>
      <x:c r="G1146" t="n">
        <x:v>36</x:v>
      </x:c>
      <x:c r="H1146" t="str">
        <x:v>D</x:v>
      </x:c>
      <x:c r="I1146" t="str">
        <x:v>&lt;1 year</x:v>
      </x:c>
      <x:c r="J1146" t="str">
        <x:v>OTHER</x:v>
      </x:c>
      <x:c r="K1146" t="str">
        <x:v>other</x:v>
      </x:c>
      <x:c r="L1146" t="n">
        <x:v>2</x:v>
      </x:c>
      <x:c r="M1146" t="n">
        <x:v>0</x:v>
      </x:c>
      <x:c r="N1146" t="str">
        <x:v>Fully Paid</x:v>
      </x:c>
      <x:c r="O1146" t="str">
        <x:f>IF(D1146="","Unknown",IF(D1146&lt;25000,"&lt;$25k",IF(D1146&lt;50000,"$25k-$50k",IF(D1146&lt;75000,"$50k-$75k",IF(D1146&lt;100000,"$75k-$100k","$100k+")))))</x:f>
        <x:v>$50k-$75k</x:v>
      </x:c>
      <x:c r="P1146" t="str">
        <x:f>IF(E1146="","Unknown",IF(E1146&lt;10,"&lt;10",IF(E1146&lt;20,"10-&lt;20",IF(E1146&lt;25,"20-&lt;25",IF(E1146&lt;35,"25-&lt;35","35+")))))</x:f>
        <x:v>&lt;10</x:v>
      </x:c>
    </x:row>
    <x:row r="1147">
      <x:c r="A1147" t="str">
        <x:v>SYN0001146</x:v>
      </x:c>
      <x:c r="B1147" s="12" t="n">
        <x:v>43015</x:v>
      </x:c>
      <x:c r="C1147" s="18" t="n">
        <x:v>18385</x:v>
      </x:c>
      <x:c r="D1147" s="18" t="n">
        <x:v>13331</x:v>
      </x:c>
      <x:c r="E1147" s="18" t="n">
        <x:v>22.55</x:v>
      </x:c>
      <x:c r="F1147" s="18" t="n">
        <x:v>13.23</x:v>
      </x:c>
      <x:c r="G1147" t="n">
        <x:v>36</x:v>
      </x:c>
      <x:c r="H1147" t="str">
        <x:v>D</x:v>
      </x:c>
      <x:c r="I1147" t="str">
        <x:v>4-6 years</x:v>
      </x:c>
      <x:c r="J1147" t="str">
        <x:v>RENT</x:v>
      </x:c>
      <x:c r="K1147" t="str">
        <x:v>other</x:v>
      </x:c>
      <x:c r="L1147" t="n">
        <x:v>0</x:v>
      </x:c>
      <x:c r="M1147" t="n">
        <x:v>0</x:v>
      </x:c>
      <x:c r="N1147" t="str">
        <x:v>Fully Paid</x:v>
      </x:c>
      <x:c r="O1147" t="str">
        <x:f>IF(D1147="","Unknown",IF(D1147&lt;25000,"&lt;$25k",IF(D1147&lt;50000,"$25k-$50k",IF(D1147&lt;75000,"$50k-$75k",IF(D1147&lt;100000,"$75k-$100k","$100k+")))))</x:f>
        <x:v>&lt;$25k</x:v>
      </x:c>
      <x:c r="P1147" t="str">
        <x:f>IF(E1147="","Unknown",IF(E1147&lt;10,"&lt;10",IF(E1147&lt;20,"10-&lt;20",IF(E1147&lt;25,"20-&lt;25",IF(E1147&lt;35,"25-&lt;35","35+")))))</x:f>
        <x:v>20-&lt;25</x:v>
      </x:c>
    </x:row>
    <x:row r="1148">
      <x:c r="A1148" t="str">
        <x:v>SYN0001147</x:v>
      </x:c>
      <x:c r="B1148" s="12" t="n">
        <x:v>41605</x:v>
      </x:c>
      <x:c r="C1148" s="18" t="n">
        <x:v>10702</x:v>
      </x:c>
      <x:c r="D1148" s="18" t="n">
        <x:v>45980</x:v>
      </x:c>
      <x:c r="E1148" s="18" t="n">
        <x:v>27.85</x:v>
      </x:c>
      <x:c r="F1148" s="18" t="n">
        <x:v>19.94</x:v>
      </x:c>
      <x:c r="G1148" t="n">
        <x:v>36</x:v>
      </x:c>
      <x:c r="H1148" t="str">
        <x:v>F</x:v>
      </x:c>
      <x:c r="I1148" t="str">
        <x:v>10+ years</x:v>
      </x:c>
      <x:c r="J1148" t="str">
        <x:v>RENT</x:v>
      </x:c>
      <x:c r="K1148" t="str">
        <x:v>major_purchase</x:v>
      </x:c>
      <x:c r="L1148" t="n">
        <x:v>2</x:v>
      </x:c>
      <x:c r="M1148" t="n">
        <x:v>0</x:v>
      </x:c>
      <x:c r="N1148" t="str">
        <x:v>Fully Paid</x:v>
      </x:c>
      <x:c r="O1148" t="str">
        <x:f>IF(D1148="","Unknown",IF(D1148&lt;25000,"&lt;$25k",IF(D1148&lt;50000,"$25k-$50k",IF(D1148&lt;75000,"$50k-$75k",IF(D1148&lt;100000,"$75k-$100k","$100k+")))))</x:f>
        <x:v>$25k-$50k</x:v>
      </x:c>
      <x:c r="P1148" t="str">
        <x:f>IF(E1148="","Unknown",IF(E1148&lt;10,"&lt;10",IF(E1148&lt;20,"10-&lt;20",IF(E1148&lt;25,"20-&lt;25",IF(E1148&lt;35,"25-&lt;35","35+")))))</x:f>
        <x:v>25-&lt;35</x:v>
      </x:c>
    </x:row>
    <x:row r="1149">
      <x:c r="A1149" t="str">
        <x:v>SYN0001148</x:v>
      </x:c>
      <x:c r="B1149" s="12" t="n">
        <x:v>43225</x:v>
      </x:c>
      <x:c r="C1149" s="18" t="n">
        <x:v>25139</x:v>
      </x:c>
      <x:c r="D1149" s="18" t="n">
        <x:v>49482</x:v>
      </x:c>
      <x:c r="E1149" s="18" t="n">
        <x:v>19.26</x:v>
      </x:c>
      <x:c r="F1149" s="18" t="n">
        <x:v>6.03</x:v>
      </x:c>
      <x:c r="G1149" t="n">
        <x:v>36</x:v>
      </x:c>
      <x:c r="H1149" t="str">
        <x:v>A</x:v>
      </x:c>
      <x:c r="I1149" t="str">
        <x:v>10+ years</x:v>
      </x:c>
      <x:c r="J1149" t="str">
        <x:v>MORTGAGE</x:v>
      </x:c>
      <x:c r="K1149" t="str">
        <x:v>home_improvement</x:v>
      </x:c>
      <x:c r="L1149" t="n">
        <x:v>1</x:v>
      </x:c>
      <x:c r="M1149" t="n">
        <x:v>0</x:v>
      </x:c>
      <x:c r="N1149" t="str">
        <x:v>Fully Paid</x:v>
      </x:c>
      <x:c r="O1149" t="str">
        <x:f>IF(D1149="","Unknown",IF(D1149&lt;25000,"&lt;$25k",IF(D1149&lt;50000,"$25k-$50k",IF(D1149&lt;75000,"$50k-$75k",IF(D1149&lt;100000,"$75k-$100k","$100k+")))))</x:f>
        <x:v>$25k-$50k</x:v>
      </x:c>
      <x:c r="P1149" t="str">
        <x:f>IF(E1149="","Unknown",IF(E1149&lt;10,"&lt;10",IF(E1149&lt;20,"10-&lt;20",IF(E1149&lt;25,"20-&lt;25",IF(E1149&lt;35,"25-&lt;35","35+")))))</x:f>
        <x:v>10-&lt;20</x:v>
      </x:c>
    </x:row>
    <x:row r="1150">
      <x:c r="A1150" t="str">
        <x:v>SYN0001149</x:v>
      </x:c>
      <x:c r="B1150" s="12" t="n">
        <x:v>41905</x:v>
      </x:c>
      <x:c r="C1150" s="18" t="n">
        <x:v>13206</x:v>
      </x:c>
      <x:c r="D1150" s="18" t="n">
        <x:v>76279</x:v>
      </x:c>
      <x:c r="E1150" s="18" t="n">
        <x:v>17.04</x:v>
      </x:c>
      <x:c r="F1150" s="18" t="n">
        <x:v>10.84</x:v>
      </x:c>
      <x:c r="G1150" t="n">
        <x:v>36</x:v>
      </x:c>
      <x:c r="H1150" t="str">
        <x:v>C</x:v>
      </x:c>
      <x:c r="I1150" t="str">
        <x:v>1-3 years</x:v>
      </x:c>
      <x:c r="J1150" t="str">
        <x:v>RENT</x:v>
      </x:c>
      <x:c r="K1150" t="str">
        <x:v>debt_consolidation</x:v>
      </x:c>
      <x:c r="L1150" t="n">
        <x:v>2</x:v>
      </x:c>
      <x:c r="M1150" t="n">
        <x:v>0</x:v>
      </x:c>
      <x:c r="N1150" t="str">
        <x:v>Fully Paid</x:v>
      </x:c>
      <x:c r="O1150" t="str">
        <x:f>IF(D1150="","Unknown",IF(D1150&lt;25000,"&lt;$25k",IF(D1150&lt;50000,"$25k-$50k",IF(D1150&lt;75000,"$50k-$75k",IF(D1150&lt;100000,"$75k-$100k","$100k+")))))</x:f>
        <x:v>$75k-$100k</x:v>
      </x:c>
      <x:c r="P1150" t="str">
        <x:f>IF(E1150="","Unknown",IF(E1150&lt;10,"&lt;10",IF(E1150&lt;20,"10-&lt;20",IF(E1150&lt;25,"20-&lt;25",IF(E1150&lt;35,"25-&lt;35","35+")))))</x:f>
        <x:v>10-&lt;20</x:v>
      </x:c>
    </x:row>
    <x:row r="1151">
      <x:c r="A1151" t="str">
        <x:v>SYN0001150</x:v>
      </x:c>
      <x:c r="B1151" s="12" t="n">
        <x:v>42205</x:v>
      </x:c>
      <x:c r="C1151" s="18" t="n">
        <x:v>16272</x:v>
      </x:c>
      <x:c r="D1151" s="18" t="n">
        <x:v>64414</x:v>
      </x:c>
      <x:c r="E1151" s="18" t="n">
        <x:v>20.04</x:v>
      </x:c>
      <x:c r="F1151" s="18" t="n">
        <x:v>9.41</x:v>
      </x:c>
      <x:c r="G1151" t="n">
        <x:v>36</x:v>
      </x:c>
      <x:c r="H1151" t="str">
        <x:v>C</x:v>
      </x:c>
      <x:c r="I1151" t="str">
        <x:v>4-6 years</x:v>
      </x:c>
      <x:c r="J1151" t="str">
        <x:v>RENT</x:v>
      </x:c>
      <x:c r="K1151" t="str">
        <x:v>debt_consolidation</x:v>
      </x:c>
      <x:c r="L1151" t="n">
        <x:v>1</x:v>
      </x:c>
      <x:c r="M1151" t="n">
        <x:v>0</x:v>
      </x:c>
      <x:c r="N1151" t="str">
        <x:v>Fully Paid</x:v>
      </x:c>
      <x:c r="O1151" t="str">
        <x:f>IF(D1151="","Unknown",IF(D1151&lt;25000,"&lt;$25k",IF(D1151&lt;50000,"$25k-$50k",IF(D1151&lt;75000,"$50k-$75k",IF(D1151&lt;100000,"$75k-$100k","$100k+")))))</x:f>
        <x:v>$50k-$75k</x:v>
      </x:c>
      <x:c r="P1151" t="str">
        <x:f>IF(E1151="","Unknown",IF(E1151&lt;10,"&lt;10",IF(E1151&lt;20,"10-&lt;20",IF(E1151&lt;25,"20-&lt;25",IF(E1151&lt;35,"25-&lt;35","35+")))))</x:f>
        <x:v>20-&lt;25</x:v>
      </x:c>
    </x:row>
    <x:row r="1152">
      <x:c r="A1152" t="str">
        <x:v>SYN0001151</x:v>
      </x:c>
      <x:c r="B1152" s="12" t="n">
        <x:v>41935</x:v>
      </x:c>
      <x:c r="C1152" s="18" t="n">
        <x:v>17040</x:v>
      </x:c>
      <x:c r="D1152" s="18" t="n">
        <x:v>37757</x:v>
      </x:c>
      <x:c r="E1152" s="18" t="n">
        <x:v>27.52</x:v>
      </x:c>
      <x:c r="F1152" s="18" t="n">
        <x:v>6.24</x:v>
      </x:c>
      <x:c r="G1152" t="n">
        <x:v>36</x:v>
      </x:c>
      <x:c r="H1152" t="str">
        <x:v>B</x:v>
      </x:c>
      <x:c r="I1152" t="str">
        <x:v>10+ years</x:v>
      </x:c>
      <x:c r="J1152" t="str">
        <x:v>RENT</x:v>
      </x:c>
      <x:c r="K1152" t="str">
        <x:v>debt_consolidation</x:v>
      </x:c>
      <x:c r="L1152" t="n">
        <x:v>2</x:v>
      </x:c>
      <x:c r="M1152" t="n">
        <x:v>0</x:v>
      </x:c>
      <x:c r="N1152" t="str">
        <x:v>Fully Paid</x:v>
      </x:c>
      <x:c r="O1152" t="str">
        <x:f>IF(D1152="","Unknown",IF(D1152&lt;25000,"&lt;$25k",IF(D1152&lt;50000,"$25k-$50k",IF(D1152&lt;75000,"$50k-$75k",IF(D1152&lt;100000,"$75k-$100k","$100k+")))))</x:f>
        <x:v>$25k-$50k</x:v>
      </x:c>
      <x:c r="P1152" t="str">
        <x:f>IF(E1152="","Unknown",IF(E1152&lt;10,"&lt;10",IF(E1152&lt;20,"10-&lt;20",IF(E1152&lt;25,"20-&lt;25",IF(E1152&lt;35,"25-&lt;35","35+")))))</x:f>
        <x:v>25-&lt;35</x:v>
      </x:c>
    </x:row>
    <x:row r="1153">
      <x:c r="A1153" t="str">
        <x:v>SYN0001152</x:v>
      </x:c>
      <x:c r="B1153" s="12" t="n">
        <x:v>42205</x:v>
      </x:c>
      <x:c r="C1153" s="18" t="n">
        <x:v>21282</x:v>
      </x:c>
      <x:c r="D1153" s="18" t="n">
        <x:v>156494</x:v>
      </x:c>
      <x:c r="E1153" s="18" t="n">
        <x:v>9.65</x:v>
      </x:c>
      <x:c r="F1153" s="18" t="n">
        <x:v>6.6</x:v>
      </x:c>
      <x:c r="G1153" t="n">
        <x:v>36</x:v>
      </x:c>
      <x:c r="H1153" t="str">
        <x:v>A</x:v>
      </x:c>
      <x:c r="I1153" t="str">
        <x:v>10+ years</x:v>
      </x:c>
      <x:c r="J1153" t="str">
        <x:v>RENT</x:v>
      </x:c>
      <x:c r="K1153" t="str">
        <x:v>debt_consolidation</x:v>
      </x:c>
      <x:c r="L1153" t="n">
        <x:v>0</x:v>
      </x:c>
      <x:c r="M1153" t="n">
        <x:v>0</x:v>
      </x:c>
      <x:c r="N1153" t="str">
        <x:v>Fully Paid</x:v>
      </x:c>
      <x:c r="O1153" t="str">
        <x:f>IF(D1153="","Unknown",IF(D1153&lt;25000,"&lt;$25k",IF(D1153&lt;50000,"$25k-$50k",IF(D1153&lt;75000,"$50k-$75k",IF(D1153&lt;100000,"$75k-$100k","$100k+")))))</x:f>
        <x:v>$100k+</x:v>
      </x:c>
      <x:c r="P1153" t="str">
        <x:f>IF(E1153="","Unknown",IF(E1153&lt;10,"&lt;10",IF(E1153&lt;20,"10-&lt;20",IF(E1153&lt;25,"20-&lt;25",IF(E1153&lt;35,"25-&lt;35","35+")))))</x:f>
        <x:v>&lt;10</x:v>
      </x:c>
    </x:row>
    <x:row r="1154">
      <x:c r="A1154" t="str">
        <x:v>SYN0001153</x:v>
      </x:c>
      <x:c r="B1154" s="12" t="n">
        <x:v>42565</x:v>
      </x:c>
      <x:c r="C1154" s="18" t="n">
        <x:v>5197</x:v>
      </x:c>
      <x:c r="D1154" s="18" t="n">
        <x:v>40195</x:v>
      </x:c>
      <x:c r="E1154" s="18" t="n">
        <x:v>17.08</x:v>
      </x:c>
      <x:c r="F1154" s="18" t="n">
        <x:v>15</x:v>
      </x:c>
      <x:c r="G1154" t="n">
        <x:v>36</x:v>
      </x:c>
      <x:c r="H1154" t="str">
        <x:v>D</x:v>
      </x:c>
      <x:c r="I1154" t="str">
        <x:v>1-3 years</x:v>
      </x:c>
      <x:c r="J1154" t="str">
        <x:v>RENT</x:v>
      </x:c>
      <x:c r="K1154" t="str">
        <x:v>debt_consolidation</x:v>
      </x:c>
      <x:c r="L1154" t="n">
        <x:v>1</x:v>
      </x:c>
      <x:c r="M1154" t="n">
        <x:v>0</x:v>
      </x:c>
      <x:c r="N1154" t="str">
        <x:v>Fully Paid</x:v>
      </x:c>
      <x:c r="O1154" t="str">
        <x:f>IF(D1154="","Unknown",IF(D1154&lt;25000,"&lt;$25k",IF(D1154&lt;50000,"$25k-$50k",IF(D1154&lt;75000,"$50k-$75k",IF(D1154&lt;100000,"$75k-$100k","$100k+")))))</x:f>
        <x:v>$25k-$50k</x:v>
      </x:c>
      <x:c r="P1154" t="str">
        <x:f>IF(E1154="","Unknown",IF(E1154&lt;10,"&lt;10",IF(E1154&lt;20,"10-&lt;20",IF(E1154&lt;25,"20-&lt;25",IF(E1154&lt;35,"25-&lt;35","35+")))))</x:f>
        <x:v>10-&lt;20</x:v>
      </x:c>
    </x:row>
    <x:row r="1155">
      <x:c r="A1155" t="str">
        <x:v>SYN0001154</x:v>
      </x:c>
      <x:c r="B1155" s="12" t="n">
        <x:v>42895</x:v>
      </x:c>
      <x:c r="C1155" s="18" t="n">
        <x:v>12883</x:v>
      </x:c>
      <x:c r="D1155" s="18" t="n">
        <x:v>35099</x:v>
      </x:c>
      <x:c r="E1155" s="18" t="n">
        <x:v>29.05</x:v>
      </x:c>
      <x:c r="F1155" s="18" t="n">
        <x:v>10.19</x:v>
      </x:c>
      <x:c r="G1155" t="n">
        <x:v>36</x:v>
      </x:c>
      <x:c r="H1155" t="str">
        <x:v>C</x:v>
      </x:c>
      <x:c r="I1155" t="str">
        <x:v>7-9 years</x:v>
      </x:c>
      <x:c r="J1155" t="str">
        <x:v>MORTGAGE</x:v>
      </x:c>
      <x:c r="K1155" t="str">
        <x:v>other</x:v>
      </x:c>
      <x:c r="L1155" t="n">
        <x:v>1</x:v>
      </x:c>
      <x:c r="M1155" t="n">
        <x:v>0</x:v>
      </x:c>
      <x:c r="N1155" t="str">
        <x:v>Fully Paid</x:v>
      </x:c>
      <x:c r="O1155" t="str">
        <x:f>IF(D1155="","Unknown",IF(D1155&lt;25000,"&lt;$25k",IF(D1155&lt;50000,"$25k-$50k",IF(D1155&lt;75000,"$50k-$75k",IF(D1155&lt;100000,"$75k-$100k","$100k+")))))</x:f>
        <x:v>$25k-$50k</x:v>
      </x:c>
      <x:c r="P1155" t="str">
        <x:f>IF(E1155="","Unknown",IF(E1155&lt;10,"&lt;10",IF(E1155&lt;20,"10-&lt;20",IF(E1155&lt;25,"20-&lt;25",IF(E1155&lt;35,"25-&lt;35","35+")))))</x:f>
        <x:v>25-&lt;35</x:v>
      </x:c>
    </x:row>
    <x:row r="1156">
      <x:c r="A1156" t="str">
        <x:v>SYN0001155</x:v>
      </x:c>
      <x:c r="B1156" s="12" t="n">
        <x:v>42445</x:v>
      </x:c>
      <x:c r="C1156" s="18" t="n">
        <x:v>8125</x:v>
      </x:c>
      <x:c r="D1156" s="18" t="n">
        <x:v>168757</x:v>
      </x:c>
      <x:c r="E1156" s="18" t="n">
        <x:v>22.83</x:v>
      </x:c>
      <x:c r="F1156" s="18" t="n">
        <x:v>12.54</x:v>
      </x:c>
      <x:c r="G1156" t="n">
        <x:v>36</x:v>
      </x:c>
      <x:c r="H1156" t="str">
        <x:v>C</x:v>
      </x:c>
      <x:c r="I1156" t="str">
        <x:v>7-9 years</x:v>
      </x:c>
      <x:c r="J1156" t="str">
        <x:v>MORTGAGE</x:v>
      </x:c>
      <x:c r="K1156" t="str">
        <x:v>credit_card</x:v>
      </x:c>
      <x:c r="L1156" t="n">
        <x:v>0</x:v>
      </x:c>
      <x:c r="M1156" t="n">
        <x:v>0</x:v>
      </x:c>
      <x:c r="N1156" t="str">
        <x:v>Fully Paid</x:v>
      </x:c>
      <x:c r="O1156" t="str">
        <x:f>IF(D1156="","Unknown",IF(D1156&lt;25000,"&lt;$25k",IF(D1156&lt;50000,"$25k-$50k",IF(D1156&lt;75000,"$50k-$75k",IF(D1156&lt;100000,"$75k-$100k","$100k+")))))</x:f>
        <x:v>$100k+</x:v>
      </x:c>
      <x:c r="P1156" t="str">
        <x:f>IF(E1156="","Unknown",IF(E1156&lt;10,"&lt;10",IF(E1156&lt;20,"10-&lt;20",IF(E1156&lt;25,"20-&lt;25",IF(E1156&lt;35,"25-&lt;35","35+")))))</x:f>
        <x:v>20-&lt;25</x:v>
      </x:c>
    </x:row>
    <x:row r="1157">
      <x:c r="A1157" t="str">
        <x:v>SYN0001156</x:v>
      </x:c>
      <x:c r="B1157" s="12" t="n">
        <x:v>43015</x:v>
      </x:c>
      <x:c r="C1157" s="18" t="n">
        <x:v>14794</x:v>
      </x:c>
      <x:c r="D1157" s="18" t="n">
        <x:v>63566</x:v>
      </x:c>
      <x:c r="E1157" s="18" t="n">
        <x:v>28.46</x:v>
      </x:c>
      <x:c r="F1157" s="18" t="n">
        <x:v>18.95</x:v>
      </x:c>
      <x:c r="G1157" t="n">
        <x:v>36</x:v>
      </x:c>
      <x:c r="H1157" t="str">
        <x:v>E</x:v>
      </x:c>
      <x:c r="I1157" t="str">
        <x:v>10+ years</x:v>
      </x:c>
      <x:c r="J1157" t="str">
        <x:v>MORTGAGE</x:v>
      </x:c>
      <x:c r="K1157" t="str">
        <x:v>other</x:v>
      </x:c>
      <x:c r="L1157" t="n">
        <x:v>0</x:v>
      </x:c>
      <x:c r="M1157" t="n">
        <x:v>0</x:v>
      </x:c>
      <x:c r="N1157" t="str">
        <x:v>Fully Paid</x:v>
      </x:c>
      <x:c r="O1157" t="str">
        <x:f>IF(D1157="","Unknown",IF(D1157&lt;25000,"&lt;$25k",IF(D1157&lt;50000,"$25k-$50k",IF(D1157&lt;75000,"$50k-$75k",IF(D1157&lt;100000,"$75k-$100k","$100k+")))))</x:f>
        <x:v>$50k-$75k</x:v>
      </x:c>
      <x:c r="P1157" t="str">
        <x:f>IF(E1157="","Unknown",IF(E1157&lt;10,"&lt;10",IF(E1157&lt;20,"10-&lt;20",IF(E1157&lt;25,"20-&lt;25",IF(E1157&lt;35,"25-&lt;35","35+")))))</x:f>
        <x:v>25-&lt;35</x:v>
      </x:c>
    </x:row>
    <x:row r="1158">
      <x:c r="A1158" t="str">
        <x:v>SYN0001157</x:v>
      </x:c>
      <x:c r="B1158" s="12" t="n">
        <x:v>41635</x:v>
      </x:c>
      <x:c r="C1158" s="18" t="n">
        <x:v>25030</x:v>
      </x:c>
      <x:c r="D1158" s="18" t="n">
        <x:v>77349</x:v>
      </x:c>
      <x:c r="E1158" s="18" t="n">
        <x:v>33.09</x:v>
      </x:c>
      <x:c r="F1158" s="18" t="n">
        <x:v>6.54</x:v>
      </x:c>
      <x:c r="G1158" t="n">
        <x:v>36</x:v>
      </x:c>
      <x:c r="H1158" t="str">
        <x:v>B</x:v>
      </x:c>
      <x:c r="I1158" t="str">
        <x:v>7-9 years</x:v>
      </x:c>
      <x:c r="J1158" t="str">
        <x:v>MORTGAGE</x:v>
      </x:c>
      <x:c r="K1158" t="str">
        <x:v>debt_consolidation</x:v>
      </x:c>
      <x:c r="L1158" t="n">
        <x:v>0</x:v>
      </x:c>
      <x:c r="M1158" t="n">
        <x:v>0</x:v>
      </x:c>
      <x:c r="N1158" t="str">
        <x:v>Fully Paid</x:v>
      </x:c>
      <x:c r="O1158" t="str">
        <x:f>IF(D1158="","Unknown",IF(D1158&lt;25000,"&lt;$25k",IF(D1158&lt;50000,"$25k-$50k",IF(D1158&lt;75000,"$50k-$75k",IF(D1158&lt;100000,"$75k-$100k","$100k+")))))</x:f>
        <x:v>$75k-$100k</x:v>
      </x:c>
      <x:c r="P1158" t="str">
        <x:f>IF(E1158="","Unknown",IF(E1158&lt;10,"&lt;10",IF(E1158&lt;20,"10-&lt;20",IF(E1158&lt;25,"20-&lt;25",IF(E1158&lt;35,"25-&lt;35","35+")))))</x:f>
        <x:v>25-&lt;35</x:v>
      </x:c>
    </x:row>
    <x:row r="1159">
      <x:c r="A1159" t="str">
        <x:v>SYN0001158</x:v>
      </x:c>
      <x:c r="B1159" s="12" t="n">
        <x:v>42595</x:v>
      </x:c>
      <x:c r="C1159" s="18" t="n">
        <x:v>18691</x:v>
      </x:c>
      <x:c r="D1159" s="18" t="n">
        <x:v>89844</x:v>
      </x:c>
      <x:c r="E1159" s="18" t="n">
        <x:v>12.42</x:v>
      </x:c>
      <x:c r="F1159" s="18" t="n">
        <x:v>6.7</x:v>
      </x:c>
      <x:c r="G1159" t="n">
        <x:v>36</x:v>
      </x:c>
      <x:c r="H1159" t="str">
        <x:v>A</x:v>
      </x:c>
      <x:c r="I1159" t="str">
        <x:v>10+ years</x:v>
      </x:c>
      <x:c r="J1159" t="str">
        <x:v>MORTGAGE</x:v>
      </x:c>
      <x:c r="K1159" t="str">
        <x:v>medical</x:v>
      </x:c>
      <x:c r="L1159" t="n">
        <x:v>2</x:v>
      </x:c>
      <x:c r="M1159" t="n">
        <x:v>0</x:v>
      </x:c>
      <x:c r="N1159" t="str">
        <x:v>Fully Paid</x:v>
      </x:c>
      <x:c r="O1159" t="str">
        <x:f>IF(D1159="","Unknown",IF(D1159&lt;25000,"&lt;$25k",IF(D1159&lt;50000,"$25k-$50k",IF(D1159&lt;75000,"$50k-$75k",IF(D1159&lt;100000,"$75k-$100k","$100k+")))))</x:f>
        <x:v>$75k-$100k</x:v>
      </x:c>
      <x:c r="P1159" t="str">
        <x:f>IF(E1159="","Unknown",IF(E1159&lt;10,"&lt;10",IF(E1159&lt;20,"10-&lt;20",IF(E1159&lt;25,"20-&lt;25",IF(E1159&lt;35,"25-&lt;35","35+")))))</x:f>
        <x:v>10-&lt;20</x:v>
      </x:c>
    </x:row>
    <x:row r="1160">
      <x:c r="A1160" t="str">
        <x:v>SYN0001159</x:v>
      </x:c>
      <x:c r="B1160" s="12" t="n">
        <x:v>42925</x:v>
      </x:c>
      <x:c r="C1160" s="18" t="n">
        <x:v>8620</x:v>
      </x:c>
      <x:c r="D1160" s="18" t="n">
        <x:v>49046</x:v>
      </x:c>
      <x:c r="E1160" s="18" t="n">
        <x:v>36.27</x:v>
      </x:c>
      <x:c r="F1160" s="18" t="n">
        <x:v>9.18</x:v>
      </x:c>
      <x:c r="G1160" t="n">
        <x:v>36</x:v>
      </x:c>
      <x:c r="H1160" t="str">
        <x:v>B</x:v>
      </x:c>
      <x:c r="I1160" t="str">
        <x:v>10+ years</x:v>
      </x:c>
      <x:c r="J1160" t="str">
        <x:v>OWN</x:v>
      </x:c>
      <x:c r="K1160" t="str">
        <x:v>home_improvement</x:v>
      </x:c>
      <x:c r="L1160" t="n">
        <x:v>0</x:v>
      </x:c>
      <x:c r="M1160" t="n">
        <x:v>0</x:v>
      </x:c>
      <x:c r="N1160" t="str">
        <x:v>Fully Paid</x:v>
      </x:c>
      <x:c r="O1160" t="str">
        <x:f>IF(D1160="","Unknown",IF(D1160&lt;25000,"&lt;$25k",IF(D1160&lt;50000,"$25k-$50k",IF(D1160&lt;75000,"$50k-$75k",IF(D1160&lt;100000,"$75k-$100k","$100k+")))))</x:f>
        <x:v>$25k-$50k</x:v>
      </x:c>
      <x:c r="P1160" t="str">
        <x:f>IF(E1160="","Unknown",IF(E1160&lt;10,"&lt;10",IF(E1160&lt;20,"10-&lt;20",IF(E1160&lt;25,"20-&lt;25",IF(E1160&lt;35,"25-&lt;35","35+")))))</x:f>
        <x:v>35+</x:v>
      </x:c>
    </x:row>
    <x:row r="1161">
      <x:c r="A1161" t="str">
        <x:v>SYN0001160</x:v>
      </x:c>
      <x:c r="B1161" s="12" t="n">
        <x:v>41935</x:v>
      </x:c>
      <x:c r="C1161" s="18" t="n">
        <x:v>13263</x:v>
      </x:c>
      <x:c r="D1161" s="18" t="n">
        <x:v>50521</x:v>
      </x:c>
      <x:c r="E1161" s="18" t="n">
        <x:v>27.38</x:v>
      </x:c>
      <x:c r="F1161" s="18" t="n">
        <x:v>13.64</x:v>
      </x:c>
      <x:c r="G1161" t="n">
        <x:v>36</x:v>
      </x:c>
      <x:c r="H1161" t="str">
        <x:v>D</x:v>
      </x:c>
      <x:c r="I1161" t="str">
        <x:v>1-3 years</x:v>
      </x:c>
      <x:c r="J1161" t="str">
        <x:v>RENT</x:v>
      </x:c>
      <x:c r="K1161" t="str">
        <x:v>home_improvement</x:v>
      </x:c>
      <x:c r="L1161" t="n">
        <x:v>0</x:v>
      </x:c>
      <x:c r="M1161" t="n">
        <x:v>1</x:v>
      </x:c>
      <x:c r="N1161" t="str">
        <x:v>Charged Off</x:v>
      </x:c>
      <x:c r="O1161" t="str">
        <x:f>IF(D1161="","Unknown",IF(D1161&lt;25000,"&lt;$25k",IF(D1161&lt;50000,"$25k-$50k",IF(D1161&lt;75000,"$50k-$75k",IF(D1161&lt;100000,"$75k-$100k","$100k+")))))</x:f>
        <x:v>$50k-$75k</x:v>
      </x:c>
      <x:c r="P1161" t="str">
        <x:f>IF(E1161="","Unknown",IF(E1161&lt;10,"&lt;10",IF(E1161&lt;20,"10-&lt;20",IF(E1161&lt;25,"20-&lt;25",IF(E1161&lt;35,"25-&lt;35","35+")))))</x:f>
        <x:v>25-&lt;35</x:v>
      </x:c>
    </x:row>
    <x:row r="1162">
      <x:c r="A1162" t="str">
        <x:v>SYN0001161</x:v>
      </x:c>
      <x:c r="B1162" s="12" t="n">
        <x:v>42535</x:v>
      </x:c>
      <x:c r="C1162" s="18" t="n">
        <x:v>9349</x:v>
      </x:c>
      <x:c r="D1162" s="18" t="n">
        <x:v>25599</x:v>
      </x:c>
      <x:c r="E1162" s="18" t="n">
        <x:v>42.37</x:v>
      </x:c>
      <x:c r="F1162" s="18" t="n">
        <x:v>10</x:v>
      </x:c>
      <x:c r="G1162" t="n">
        <x:v>36</x:v>
      </x:c>
      <x:c r="H1162" t="str">
        <x:v>D</x:v>
      </x:c>
      <x:c r="I1162" t="str">
        <x:v>10+ years</x:v>
      </x:c>
      <x:c r="J1162" t="str">
        <x:v>MORTGAGE</x:v>
      </x:c>
      <x:c r="K1162" t="str">
        <x:v>credit_card</x:v>
      </x:c>
      <x:c r="L1162" t="n">
        <x:v>1</x:v>
      </x:c>
      <x:c r="M1162" t="n">
        <x:v>0</x:v>
      </x:c>
      <x:c r="N1162" t="str">
        <x:v>Fully Paid</x:v>
      </x:c>
      <x:c r="O1162" t="str">
        <x:f>IF(D1162="","Unknown",IF(D1162&lt;25000,"&lt;$25k",IF(D1162&lt;50000,"$25k-$50k",IF(D1162&lt;75000,"$50k-$75k",IF(D1162&lt;100000,"$75k-$100k","$100k+")))))</x:f>
        <x:v>$25k-$50k</x:v>
      </x:c>
      <x:c r="P1162" t="str">
        <x:f>IF(E1162="","Unknown",IF(E1162&lt;10,"&lt;10",IF(E1162&lt;20,"10-&lt;20",IF(E1162&lt;25,"20-&lt;25",IF(E1162&lt;35,"25-&lt;35","35+")))))</x:f>
        <x:v>35+</x:v>
      </x:c>
    </x:row>
    <x:row r="1163">
      <x:c r="A1163" t="str">
        <x:v>SYN0001162</x:v>
      </x:c>
      <x:c r="B1163" s="12" t="n">
        <x:v>41695</x:v>
      </x:c>
      <x:c r="C1163" s="18" t="n">
        <x:v>19435</x:v>
      </x:c>
      <x:c r="D1163" s="18" t="n">
        <x:v>114989</x:v>
      </x:c>
      <x:c r="E1163" s="18" t="n">
        <x:v>14.3</x:v>
      </x:c>
      <x:c r="F1163" s="18" t="n">
        <x:v>19.28</x:v>
      </x:c>
      <x:c r="G1163" t="n">
        <x:v>36</x:v>
      </x:c>
      <x:c r="H1163" t="str">
        <x:v>E</x:v>
      </x:c>
      <x:c r="I1163" t="str">
        <x:v>7-9 years</x:v>
      </x:c>
      <x:c r="J1163" t="str">
        <x:v>OWN</x:v>
      </x:c>
      <x:c r="K1163" t="str">
        <x:v>credit_card</x:v>
      </x:c>
      <x:c r="L1163" t="n">
        <x:v>2</x:v>
      </x:c>
      <x:c r="M1163" t="n">
        <x:v>1</x:v>
      </x:c>
      <x:c r="N1163" t="str">
        <x:v>Charged Off</x:v>
      </x:c>
      <x:c r="O1163" t="str">
        <x:f>IF(D1163="","Unknown",IF(D1163&lt;25000,"&lt;$25k",IF(D1163&lt;50000,"$25k-$50k",IF(D1163&lt;75000,"$50k-$75k",IF(D1163&lt;100000,"$75k-$100k","$100k+")))))</x:f>
        <x:v>$100k+</x:v>
      </x:c>
      <x:c r="P1163" t="str">
        <x:f>IF(E1163="","Unknown",IF(E1163&lt;10,"&lt;10",IF(E1163&lt;20,"10-&lt;20",IF(E1163&lt;25,"20-&lt;25",IF(E1163&lt;35,"25-&lt;35","35+")))))</x:f>
        <x:v>10-&lt;20</x:v>
      </x:c>
    </x:row>
    <x:row r="1164">
      <x:c r="A1164" t="str">
        <x:v>SYN0001163</x:v>
      </x:c>
      <x:c r="B1164" s="12" t="n">
        <x:v>42925</x:v>
      </x:c>
      <x:c r="C1164" s="18" t="n">
        <x:v>24980</x:v>
      </x:c>
      <x:c r="D1164" s="18" t="n">
        <x:v>63850</x:v>
      </x:c>
      <x:c r="E1164" s="18" t="n">
        <x:v>13.8</x:v>
      </x:c>
      <x:c r="F1164" s="18" t="n">
        <x:v>13.57</x:v>
      </x:c>
      <x:c r="G1164" t="n">
        <x:v>36</x:v>
      </x:c>
      <x:c r="H1164" t="str">
        <x:v>D</x:v>
      </x:c>
      <x:c r="I1164" t="str">
        <x:v>4-6 years</x:v>
      </x:c>
      <x:c r="J1164" t="str">
        <x:v>MORTGAGE</x:v>
      </x:c>
      <x:c r="K1164" t="str">
        <x:v>medical</x:v>
      </x:c>
      <x:c r="L1164" t="n">
        <x:v>1</x:v>
      </x:c>
      <x:c r="M1164" t="n">
        <x:v>0</x:v>
      </x:c>
      <x:c r="N1164" t="str">
        <x:v>Fully Paid</x:v>
      </x:c>
      <x:c r="O1164" t="str">
        <x:f>IF(D1164="","Unknown",IF(D1164&lt;25000,"&lt;$25k",IF(D1164&lt;50000,"$25k-$50k",IF(D1164&lt;75000,"$50k-$75k",IF(D1164&lt;100000,"$75k-$100k","$100k+")))))</x:f>
        <x:v>$50k-$75k</x:v>
      </x:c>
      <x:c r="P1164" t="str">
        <x:f>IF(E1164="","Unknown",IF(E1164&lt;10,"&lt;10",IF(E1164&lt;20,"10-&lt;20",IF(E1164&lt;25,"20-&lt;25",IF(E1164&lt;35,"25-&lt;35","35+")))))</x:f>
        <x:v>10-&lt;20</x:v>
      </x:c>
    </x:row>
    <x:row r="1165">
      <x:c r="A1165" t="str">
        <x:v>SYN0001164</x:v>
      </x:c>
      <x:c r="B1165" s="12" t="n">
        <x:v>42295</x:v>
      </x:c>
      <x:c r="C1165" s="18" t="n">
        <x:v>5963</x:v>
      </x:c>
      <x:c r="D1165" s="18" t="n">
        <x:v>23329</x:v>
      </x:c>
      <x:c r="E1165" s="18" t="n">
        <x:v>29.82</x:v>
      </x:c>
      <x:c r="F1165" s="18" t="n">
        <x:v>12.05</x:v>
      </x:c>
      <x:c r="G1165" t="n">
        <x:v>60</x:v>
      </x:c>
      <x:c r="H1165" t="str">
        <x:v>C</x:v>
      </x:c>
      <x:c r="I1165" t="str">
        <x:v>10+ years</x:v>
      </x:c>
      <x:c r="J1165" t="str">
        <x:v>OWN</x:v>
      </x:c>
      <x:c r="K1165" t="str">
        <x:v>credit_card</x:v>
      </x:c>
      <x:c r="L1165" t="n">
        <x:v>0</x:v>
      </x:c>
      <x:c r="M1165" t="n">
        <x:v>0</x:v>
      </x:c>
      <x:c r="N1165" t="str">
        <x:v>Fully Paid</x:v>
      </x:c>
      <x:c r="O1165" t="str">
        <x:f>IF(D1165="","Unknown",IF(D1165&lt;25000,"&lt;$25k",IF(D1165&lt;50000,"$25k-$50k",IF(D1165&lt;75000,"$50k-$75k",IF(D1165&lt;100000,"$75k-$100k","$100k+")))))</x:f>
        <x:v>&lt;$25k</x:v>
      </x:c>
      <x:c r="P1165" t="str">
        <x:f>IF(E1165="","Unknown",IF(E1165&lt;10,"&lt;10",IF(E1165&lt;20,"10-&lt;20",IF(E1165&lt;25,"20-&lt;25",IF(E1165&lt;35,"25-&lt;35","35+")))))</x:f>
        <x:v>25-&lt;35</x:v>
      </x:c>
    </x:row>
    <x:row r="1166">
      <x:c r="A1166" t="str">
        <x:v>SYN0001165</x:v>
      </x:c>
      <x:c r="B1166" s="12" t="n">
        <x:v>43135</x:v>
      </x:c>
      <x:c r="C1166" s="18" t="n">
        <x:v>10318</x:v>
      </x:c>
      <x:c r="D1166" s="18" t="n">
        <x:v>96808</x:v>
      </x:c>
      <x:c r="E1166" s="18" t="n">
        <x:v>18.28</x:v>
      </x:c>
      <x:c r="F1166" s="18" t="n">
        <x:v>10.87</x:v>
      </x:c>
      <x:c r="G1166" t="n">
        <x:v>60</x:v>
      </x:c>
      <x:c r="H1166" t="str">
        <x:v>C</x:v>
      </x:c>
      <x:c r="I1166" t="str">
        <x:v>7-9 years</x:v>
      </x:c>
      <x:c r="J1166" t="str">
        <x:v>MORTGAGE</x:v>
      </x:c>
      <x:c r="K1166" t="str">
        <x:v>medical</x:v>
      </x:c>
      <x:c r="L1166" t="n">
        <x:v>2</x:v>
      </x:c>
      <x:c r="M1166" t="n">
        <x:v>0</x:v>
      </x:c>
      <x:c r="N1166" t="str">
        <x:v>Fully Paid</x:v>
      </x:c>
      <x:c r="O1166" t="str">
        <x:f>IF(D1166="","Unknown",IF(D1166&lt;25000,"&lt;$25k",IF(D1166&lt;50000,"$25k-$50k",IF(D1166&lt;75000,"$50k-$75k",IF(D1166&lt;100000,"$75k-$100k","$100k+")))))</x:f>
        <x:v>$75k-$100k</x:v>
      </x:c>
      <x:c r="P1166" t="str">
        <x:f>IF(E1166="","Unknown",IF(E1166&lt;10,"&lt;10",IF(E1166&lt;20,"10-&lt;20",IF(E1166&lt;25,"20-&lt;25",IF(E1166&lt;35,"25-&lt;35","35+")))))</x:f>
        <x:v>10-&lt;20</x:v>
      </x:c>
    </x:row>
    <x:row r="1167">
      <x:c r="A1167" t="str">
        <x:v>SYN0001166</x:v>
      </x:c>
      <x:c r="B1167" s="12" t="n">
        <x:v>41785</x:v>
      </x:c>
      <x:c r="C1167" s="18" t="n">
        <x:v>14931</x:v>
      </x:c>
      <x:c r="D1167" s="18" t="n">
        <x:v>113678</x:v>
      </x:c>
      <x:c r="E1167" s="18" t="n">
        <x:v>17.21</x:v>
      </x:c>
      <x:c r="F1167" s="18" t="n">
        <x:v>10.76</x:v>
      </x:c>
      <x:c r="G1167" t="n">
        <x:v>36</x:v>
      </x:c>
      <x:c r="H1167" t="str">
        <x:v>C</x:v>
      </x:c>
      <x:c r="I1167" t="str">
        <x:v>1-3 years</x:v>
      </x:c>
      <x:c r="J1167" t="str">
        <x:v>MORTGAGE</x:v>
      </x:c>
      <x:c r="K1167" t="str">
        <x:v>major_purchase</x:v>
      </x:c>
      <x:c r="L1167" t="n">
        <x:v>0</x:v>
      </x:c>
      <x:c r="M1167" t="n">
        <x:v>0</x:v>
      </x:c>
      <x:c r="N1167" t="str">
        <x:v>Fully Paid</x:v>
      </x:c>
      <x:c r="O1167" t="str">
        <x:f>IF(D1167="","Unknown",IF(D1167&lt;25000,"&lt;$25k",IF(D1167&lt;50000,"$25k-$50k",IF(D1167&lt;75000,"$50k-$75k",IF(D1167&lt;100000,"$75k-$100k","$100k+")))))</x:f>
        <x:v>$100k+</x:v>
      </x:c>
      <x:c r="P1167" t="str">
        <x:f>IF(E1167="","Unknown",IF(E1167&lt;10,"&lt;10",IF(E1167&lt;20,"10-&lt;20",IF(E1167&lt;25,"20-&lt;25",IF(E1167&lt;35,"25-&lt;35","35+")))))</x:f>
        <x:v>10-&lt;20</x:v>
      </x:c>
    </x:row>
    <x:row r="1168">
      <x:c r="A1168" t="str">
        <x:v>SYN0001167</x:v>
      </x:c>
      <x:c r="B1168" s="12" t="n">
        <x:v>41365</x:v>
      </x:c>
      <x:c r="C1168" s="18" t="n">
        <x:v>12218</x:v>
      </x:c>
      <x:c r="D1168" s="18" t="n">
        <x:v>30880</x:v>
      </x:c>
      <x:c r="E1168" s="18" t="n">
        <x:v>29.61</x:v>
      </x:c>
      <x:c r="F1168" s="18" t="n">
        <x:v>19.96</x:v>
      </x:c>
      <x:c r="G1168" t="n">
        <x:v>36</x:v>
      </x:c>
      <x:c r="H1168" t="str">
        <x:v>E</x:v>
      </x:c>
      <x:c r="I1168" t="str">
        <x:v>1-3 years</x:v>
      </x:c>
      <x:c r="J1168" t="str">
        <x:v>RENT</x:v>
      </x:c>
      <x:c r="K1168" t="str">
        <x:v>debt_consolidation</x:v>
      </x:c>
      <x:c r="L1168" t="n">
        <x:v>0</x:v>
      </x:c>
      <x:c r="M1168" t="n">
        <x:v>0</x:v>
      </x:c>
      <x:c r="N1168" t="str">
        <x:v>Fully Paid</x:v>
      </x:c>
      <x:c r="O1168" t="str">
        <x:f>IF(D1168="","Unknown",IF(D1168&lt;25000,"&lt;$25k",IF(D1168&lt;50000,"$25k-$50k",IF(D1168&lt;75000,"$50k-$75k",IF(D1168&lt;100000,"$75k-$100k","$100k+")))))</x:f>
        <x:v>$25k-$50k</x:v>
      </x:c>
      <x:c r="P1168" t="str">
        <x:f>IF(E1168="","Unknown",IF(E1168&lt;10,"&lt;10",IF(E1168&lt;20,"10-&lt;20",IF(E1168&lt;25,"20-&lt;25",IF(E1168&lt;35,"25-&lt;35","35+")))))</x:f>
        <x:v>25-&lt;35</x:v>
      </x:c>
    </x:row>
    <x:row r="1169">
      <x:c r="A1169" t="str">
        <x:v>SYN0001168</x:v>
      </x:c>
      <x:c r="B1169" s="12" t="n">
        <x:v>42805</x:v>
      </x:c>
      <x:c r="C1169" s="18" t="n">
        <x:v>7686</x:v>
      </x:c>
      <x:c r="D1169" s="18" t="n">
        <x:v>35312</x:v>
      </x:c>
      <x:c r="E1169" s="18" t="n">
        <x:v>1.08</x:v>
      </x:c>
      <x:c r="F1169" s="18" t="n">
        <x:v>6.81</x:v>
      </x:c>
      <x:c r="G1169" t="n">
        <x:v>60</x:v>
      </x:c>
      <x:c r="H1169" t="str">
        <x:v>B</x:v>
      </x:c>
      <x:c r="I1169" t="str">
        <x:v>7-9 years</x:v>
      </x:c>
      <x:c r="J1169" t="str">
        <x:v>MORTGAGE</x:v>
      </x:c>
      <x:c r="K1169" t="str">
        <x:v>debt_consolidation</x:v>
      </x:c>
      <x:c r="L1169" t="n">
        <x:v>0</x:v>
      </x:c>
      <x:c r="M1169" t="n">
        <x:v>0</x:v>
      </x:c>
      <x:c r="N1169" t="str">
        <x:v>Fully Paid</x:v>
      </x:c>
      <x:c r="O1169" t="str">
        <x:f>IF(D1169="","Unknown",IF(D1169&lt;25000,"&lt;$25k",IF(D1169&lt;50000,"$25k-$50k",IF(D1169&lt;75000,"$50k-$75k",IF(D1169&lt;100000,"$75k-$100k","$100k+")))))</x:f>
        <x:v>$25k-$50k</x:v>
      </x:c>
      <x:c r="P1169" t="str">
        <x:f>IF(E1169="","Unknown",IF(E1169&lt;10,"&lt;10",IF(E1169&lt;20,"10-&lt;20",IF(E1169&lt;25,"20-&lt;25",IF(E1169&lt;35,"25-&lt;35","35+")))))</x:f>
        <x:v>&lt;10</x:v>
      </x:c>
    </x:row>
    <x:row r="1170">
      <x:c r="A1170" t="str">
        <x:v>SYN0001169</x:v>
      </x:c>
      <x:c r="B1170" s="12" t="n">
        <x:v>42475</x:v>
      </x:c>
      <x:c r="C1170" s="18" t="n">
        <x:v>11633</x:v>
      </x:c>
      <x:c r="D1170" s="18" t="n">
        <x:v>78114</x:v>
      </x:c>
      <x:c r="E1170" s="18" t="n">
        <x:v>32.25</x:v>
      </x:c>
      <x:c r="F1170" s="18" t="n">
        <x:v>18.02</x:v>
      </x:c>
      <x:c r="G1170" t="n">
        <x:v>36</x:v>
      </x:c>
      <x:c r="H1170" t="str">
        <x:v>E</x:v>
      </x:c>
      <x:c r="I1170" t="str">
        <x:v>7-9 years</x:v>
      </x:c>
      <x:c r="J1170" t="str">
        <x:v>OWN</x:v>
      </x:c>
      <x:c r="K1170" t="str">
        <x:v>debt_consolidation</x:v>
      </x:c>
      <x:c r="L1170" t="n">
        <x:v>0</x:v>
      </x:c>
      <x:c r="M1170" t="n">
        <x:v>0</x:v>
      </x:c>
      <x:c r="N1170" t="str">
        <x:v>Fully Paid</x:v>
      </x:c>
      <x:c r="O1170" t="str">
        <x:f>IF(D1170="","Unknown",IF(D1170&lt;25000,"&lt;$25k",IF(D1170&lt;50000,"$25k-$50k",IF(D1170&lt;75000,"$50k-$75k",IF(D1170&lt;100000,"$75k-$100k","$100k+")))))</x:f>
        <x:v>$75k-$100k</x:v>
      </x:c>
      <x:c r="P1170" t="str">
        <x:f>IF(E1170="","Unknown",IF(E1170&lt;10,"&lt;10",IF(E1170&lt;20,"10-&lt;20",IF(E1170&lt;25,"20-&lt;25",IF(E1170&lt;35,"25-&lt;35","35+")))))</x:f>
        <x:v>25-&lt;35</x:v>
      </x:c>
    </x:row>
    <x:row r="1171">
      <x:c r="A1171" t="str">
        <x:v>SYN0001170</x:v>
      </x:c>
      <x:c r="B1171" s="12" t="n">
        <x:v>42925</x:v>
      </x:c>
      <x:c r="C1171" s="18" t="n">
        <x:v>29693</x:v>
      </x:c>
      <x:c r="D1171" s="18" t="n">
        <x:v>190183</x:v>
      </x:c>
      <x:c r="E1171" s="18" t="n">
        <x:v>20.52</x:v>
      </x:c>
      <x:c r="F1171" s="18" t="n">
        <x:v>8.18</x:v>
      </x:c>
      <x:c r="G1171" t="n">
        <x:v>60</x:v>
      </x:c>
      <x:c r="H1171" t="str">
        <x:v>B</x:v>
      </x:c>
      <x:c r="I1171" t="str">
        <x:v>7-9 years</x:v>
      </x:c>
      <x:c r="J1171" t="str">
        <x:v>MORTGAGE</x:v>
      </x:c>
      <x:c r="K1171" t="str">
        <x:v>home_improvement</x:v>
      </x:c>
      <x:c r="L1171" t="n">
        <x:v>0</x:v>
      </x:c>
      <x:c r="M1171" t="n">
        <x:v>0</x:v>
      </x:c>
      <x:c r="N1171" t="str">
        <x:v>Fully Paid</x:v>
      </x:c>
      <x:c r="O1171" t="str">
        <x:f>IF(D1171="","Unknown",IF(D1171&lt;25000,"&lt;$25k",IF(D1171&lt;50000,"$25k-$50k",IF(D1171&lt;75000,"$50k-$75k",IF(D1171&lt;100000,"$75k-$100k","$100k+")))))</x:f>
        <x:v>$100k+</x:v>
      </x:c>
      <x:c r="P1171" t="str">
        <x:f>IF(E1171="","Unknown",IF(E1171&lt;10,"&lt;10",IF(E1171&lt;20,"10-&lt;20",IF(E1171&lt;25,"20-&lt;25",IF(E1171&lt;35,"25-&lt;35","35+")))))</x:f>
        <x:v>20-&lt;25</x:v>
      </x:c>
    </x:row>
    <x:row r="1172">
      <x:c r="A1172" t="str">
        <x:v>SYN0001171</x:v>
      </x:c>
      <x:c r="B1172" s="12" t="n">
        <x:v>43255</x:v>
      </x:c>
      <x:c r="C1172" s="18" t="n">
        <x:v>13714</x:v>
      </x:c>
      <x:c r="D1172" s="18" t="n">
        <x:v>53348</x:v>
      </x:c>
      <x:c r="E1172" s="18" t="n">
        <x:v>9.31</x:v>
      </x:c>
      <x:c r="F1172" s="18" t="n">
        <x:v>5.72</x:v>
      </x:c>
      <x:c r="G1172" t="n">
        <x:v>36</x:v>
      </x:c>
      <x:c r="H1172" t="str">
        <x:v>B</x:v>
      </x:c>
      <x:c r="I1172" t="str">
        <x:v>10+ years</x:v>
      </x:c>
      <x:c r="J1172" t="str">
        <x:v>RENT</x:v>
      </x:c>
      <x:c r="K1172" t="str">
        <x:v>debt_consolidation</x:v>
      </x:c>
      <x:c r="L1172" t="n">
        <x:v>1</x:v>
      </x:c>
      <x:c r="M1172" t="n">
        <x:v>0</x:v>
      </x:c>
      <x:c r="N1172" t="str">
        <x:v>Fully Paid</x:v>
      </x:c>
      <x:c r="O1172" t="str">
        <x:f>IF(D1172="","Unknown",IF(D1172&lt;25000,"&lt;$25k",IF(D1172&lt;50000,"$25k-$50k",IF(D1172&lt;75000,"$50k-$75k",IF(D1172&lt;100000,"$75k-$100k","$100k+")))))</x:f>
        <x:v>$50k-$75k</x:v>
      </x:c>
      <x:c r="P1172" t="str">
        <x:f>IF(E1172="","Unknown",IF(E1172&lt;10,"&lt;10",IF(E1172&lt;20,"10-&lt;20",IF(E1172&lt;25,"20-&lt;25",IF(E1172&lt;35,"25-&lt;35","35+")))))</x:f>
        <x:v>&lt;10</x:v>
      </x:c>
    </x:row>
    <x:row r="1173">
      <x:c r="A1173" t="str">
        <x:v>SYN0001172</x:v>
      </x:c>
      <x:c r="B1173" s="12" t="n">
        <x:v>42415</x:v>
      </x:c>
      <x:c r="C1173" s="18" t="n">
        <x:v>7541</x:v>
      </x:c>
      <x:c r="D1173" s="18" t="n">
        <x:v>100661</x:v>
      </x:c>
      <x:c r="E1173" s="18" t="n">
        <x:v>13.57</x:v>
      </x:c>
      <x:c r="F1173" s="18" t="n">
        <x:v>10.84</x:v>
      </x:c>
      <x:c r="G1173" t="n">
        <x:v>36</x:v>
      </x:c>
      <x:c r="H1173" t="str">
        <x:v>B</x:v>
      </x:c>
      <x:c r="I1173" t="str">
        <x:v>7-9 years</x:v>
      </x:c>
      <x:c r="J1173" t="str">
        <x:v>OWN</x:v>
      </x:c>
      <x:c r="K1173" t="str">
        <x:v>debt_consolidation</x:v>
      </x:c>
      <x:c r="L1173" t="n">
        <x:v>0</x:v>
      </x:c>
      <x:c r="M1173" t="n">
        <x:v>0</x:v>
      </x:c>
      <x:c r="N1173" t="str">
        <x:v>Fully Paid</x:v>
      </x:c>
      <x:c r="O1173" t="str">
        <x:f>IF(D1173="","Unknown",IF(D1173&lt;25000,"&lt;$25k",IF(D1173&lt;50000,"$25k-$50k",IF(D1173&lt;75000,"$50k-$75k",IF(D1173&lt;100000,"$75k-$100k","$100k+")))))</x:f>
        <x:v>$100k+</x:v>
      </x:c>
      <x:c r="P1173" t="str">
        <x:f>IF(E1173="","Unknown",IF(E1173&lt;10,"&lt;10",IF(E1173&lt;20,"10-&lt;20",IF(E1173&lt;25,"20-&lt;25",IF(E1173&lt;35,"25-&lt;35","35+")))))</x:f>
        <x:v>10-&lt;20</x:v>
      </x:c>
    </x:row>
    <x:row r="1174">
      <x:c r="A1174" t="str">
        <x:v>SYN0001173</x:v>
      </x:c>
      <x:c r="B1174" s="12" t="n">
        <x:v>41275</x:v>
      </x:c>
      <x:c r="C1174" s="18" t="n">
        <x:v>40000</x:v>
      </x:c>
      <x:c r="D1174" s="18" t="n">
        <x:v>108504</x:v>
      </x:c>
      <x:c r="E1174" s="18" t="n">
        <x:v>13.65</x:v>
      </x:c>
      <x:c r="F1174" s="18" t="n">
        <x:v>13.34</x:v>
      </x:c>
      <x:c r="G1174" t="n">
        <x:v>36</x:v>
      </x:c>
      <x:c r="H1174" t="str">
        <x:v>C</x:v>
      </x:c>
      <x:c r="I1174" t="str">
        <x:v>4-6 years</x:v>
      </x:c>
      <x:c r="J1174" t="str">
        <x:v>MORTGAGE</x:v>
      </x:c>
      <x:c r="K1174" t="str">
        <x:v>home_improvement</x:v>
      </x:c>
      <x:c r="L1174" t="n">
        <x:v>1</x:v>
      </x:c>
      <x:c r="M1174" t="n">
        <x:v>1</x:v>
      </x:c>
      <x:c r="N1174" t="str">
        <x:v>Charged Off</x:v>
      </x:c>
      <x:c r="O1174" t="str">
        <x:f>IF(D1174="","Unknown",IF(D1174&lt;25000,"&lt;$25k",IF(D1174&lt;50000,"$25k-$50k",IF(D1174&lt;75000,"$50k-$75k",IF(D1174&lt;100000,"$75k-$100k","$100k+")))))</x:f>
        <x:v>$100k+</x:v>
      </x:c>
      <x:c r="P1174" t="str">
        <x:f>IF(E1174="","Unknown",IF(E1174&lt;10,"&lt;10",IF(E1174&lt;20,"10-&lt;20",IF(E1174&lt;25,"20-&lt;25",IF(E1174&lt;35,"25-&lt;35","35+")))))</x:f>
        <x:v>10-&lt;20</x:v>
      </x:c>
    </x:row>
    <x:row r="1175">
      <x:c r="A1175" t="str">
        <x:v>SYN0001174</x:v>
      </x:c>
      <x:c r="B1175" s="12" t="n">
        <x:v>41695</x:v>
      </x:c>
      <x:c r="C1175" s="18" t="n">
        <x:v>10717</x:v>
      </x:c>
      <x:c r="D1175" s="18" t="n">
        <x:v>44172</x:v>
      </x:c>
      <x:c r="E1175" s="18" t="n">
        <x:v>5.09</x:v>
      </x:c>
      <x:c r="F1175" s="18" t="n">
        <x:v>7.79</x:v>
      </x:c>
      <x:c r="G1175" t="n">
        <x:v>36</x:v>
      </x:c>
      <x:c r="H1175" t="str">
        <x:v>B</x:v>
      </x:c>
      <x:c r="I1175" t="str">
        <x:v>10+ years</x:v>
      </x:c>
      <x:c r="J1175" t="str">
        <x:v>RENT</x:v>
      </x:c>
      <x:c r="K1175" t="str">
        <x:v>other</x:v>
      </x:c>
      <x:c r="L1175" t="n">
        <x:v>1</x:v>
      </x:c>
      <x:c r="M1175" t="n">
        <x:v>0</x:v>
      </x:c>
      <x:c r="N1175" t="str">
        <x:v>Fully Paid</x:v>
      </x:c>
      <x:c r="O1175" t="str">
        <x:f>IF(D1175="","Unknown",IF(D1175&lt;25000,"&lt;$25k",IF(D1175&lt;50000,"$25k-$50k",IF(D1175&lt;75000,"$50k-$75k",IF(D1175&lt;100000,"$75k-$100k","$100k+")))))</x:f>
        <x:v>$25k-$50k</x:v>
      </x:c>
      <x:c r="P1175" t="str">
        <x:f>IF(E1175="","Unknown",IF(E1175&lt;10,"&lt;10",IF(E1175&lt;20,"10-&lt;20",IF(E1175&lt;25,"20-&lt;25",IF(E1175&lt;35,"25-&lt;35","35+")))))</x:f>
        <x:v>&lt;10</x:v>
      </x:c>
    </x:row>
    <x:row r="1176">
      <x:c r="A1176" t="str">
        <x:v>SYN0001175</x:v>
      </x:c>
      <x:c r="B1176" s="12" t="n">
        <x:v>41365</x:v>
      </x:c>
      <x:c r="C1176" s="18" t="n">
        <x:v>8210</x:v>
      </x:c>
      <x:c r="D1176" s="18" t="n">
        <x:v>46535</x:v>
      </x:c>
      <x:c r="E1176" s="18" t="n">
        <x:v>18.98</x:v>
      </x:c>
      <x:c r="F1176" s="18" t="n">
        <x:v>12.96</x:v>
      </x:c>
      <x:c r="G1176" t="n">
        <x:v>60</x:v>
      </x:c>
      <x:c r="H1176" t="str">
        <x:v>C</x:v>
      </x:c>
      <x:c r="I1176" t="str">
        <x:v>4-6 years</x:v>
      </x:c>
      <x:c r="J1176" t="str">
        <x:v>OWN</x:v>
      </x:c>
      <x:c r="K1176" t="str">
        <x:v>debt_consolidation</x:v>
      </x:c>
      <x:c r="L1176" t="n">
        <x:v>1</x:v>
      </x:c>
      <x:c r="M1176" t="n">
        <x:v>0</x:v>
      </x:c>
      <x:c r="N1176" t="str">
        <x:v>Fully Paid</x:v>
      </x:c>
      <x:c r="O1176" t="str">
        <x:f>IF(D1176="","Unknown",IF(D1176&lt;25000,"&lt;$25k",IF(D1176&lt;50000,"$25k-$50k",IF(D1176&lt;75000,"$50k-$75k",IF(D1176&lt;100000,"$75k-$100k","$100k+")))))</x:f>
        <x:v>$25k-$50k</x:v>
      </x:c>
      <x:c r="P1176" t="str">
        <x:f>IF(E1176="","Unknown",IF(E1176&lt;10,"&lt;10",IF(E1176&lt;20,"10-&lt;20",IF(E1176&lt;25,"20-&lt;25",IF(E1176&lt;35,"25-&lt;35","35+")))))</x:f>
        <x:v>10-&lt;20</x:v>
      </x:c>
    </x:row>
    <x:row r="1177">
      <x:c r="A1177" t="str">
        <x:v>SYN0001176</x:v>
      </x:c>
      <x:c r="B1177" s="12" t="n">
        <x:v>42775</x:v>
      </x:c>
      <x:c r="C1177" s="18" t="n">
        <x:v>23219</x:v>
      </x:c>
      <x:c r="D1177" s="18" t="n">
        <x:v>22602</x:v>
      </x:c>
      <x:c r="E1177" s="18" t="n">
        <x:v>16.9</x:v>
      </x:c>
      <x:c r="F1177" s="18" t="n">
        <x:v>6.68</x:v>
      </x:c>
      <x:c r="G1177" t="n">
        <x:v>36</x:v>
      </x:c>
      <x:c r="H1177" t="str">
        <x:v>A</x:v>
      </x:c>
      <x:c r="I1177" t="str">
        <x:v>4-6 years</x:v>
      </x:c>
      <x:c r="J1177" t="str">
        <x:v>RENT</x:v>
      </x:c>
      <x:c r="K1177" t="str">
        <x:v>debt_consolidation</x:v>
      </x:c>
      <x:c r="L1177" t="n">
        <x:v>0</x:v>
      </x:c>
      <x:c r="M1177" t="n">
        <x:v>0</x:v>
      </x:c>
      <x:c r="N1177" t="str">
        <x:v>Fully Paid</x:v>
      </x:c>
      <x:c r="O1177" t="str">
        <x:f>IF(D1177="","Unknown",IF(D1177&lt;25000,"&lt;$25k",IF(D1177&lt;50000,"$25k-$50k",IF(D1177&lt;75000,"$50k-$75k",IF(D1177&lt;100000,"$75k-$100k","$100k+")))))</x:f>
        <x:v>&lt;$25k</x:v>
      </x:c>
      <x:c r="P1177" t="str">
        <x:f>IF(E1177="","Unknown",IF(E1177&lt;10,"&lt;10",IF(E1177&lt;20,"10-&lt;20",IF(E1177&lt;25,"20-&lt;25",IF(E1177&lt;35,"25-&lt;35","35+")))))</x:f>
        <x:v>10-&lt;20</x:v>
      </x:c>
    </x:row>
    <x:row r="1178">
      <x:c r="A1178" t="str">
        <x:v>SYN0001177</x:v>
      </x:c>
      <x:c r="B1178" s="12" t="n">
        <x:v>42115</x:v>
      </x:c>
      <x:c r="C1178" s="18" t="n">
        <x:v>10056</x:v>
      </x:c>
      <x:c r="D1178" s="18" t="n">
        <x:v>128888</x:v>
      </x:c>
      <x:c r="E1178" s="18" t="n">
        <x:v>15.37</x:v>
      </x:c>
      <x:c r="F1178" s="18" t="n">
        <x:v>8.29</x:v>
      </x:c>
      <x:c r="G1178" t="n">
        <x:v>60</x:v>
      </x:c>
      <x:c r="H1178" t="str">
        <x:v>B</x:v>
      </x:c>
      <x:c r="I1178" t="str">
        <x:v>10+ years</x:v>
      </x:c>
      <x:c r="J1178" t="str">
        <x:v>MORTGAGE</x:v>
      </x:c>
      <x:c r="K1178" t="str">
        <x:v>home_improvement</x:v>
      </x:c>
      <x:c r="L1178" t="n">
        <x:v>0</x:v>
      </x:c>
      <x:c r="M1178" t="n">
        <x:v>0</x:v>
      </x:c>
      <x:c r="N1178" t="str">
        <x:v>Fully Paid</x:v>
      </x:c>
      <x:c r="O1178" t="str">
        <x:f>IF(D1178="","Unknown",IF(D1178&lt;25000,"&lt;$25k",IF(D1178&lt;50000,"$25k-$50k",IF(D1178&lt;75000,"$50k-$75k",IF(D1178&lt;100000,"$75k-$100k","$100k+")))))</x:f>
        <x:v>$100k+</x:v>
      </x:c>
      <x:c r="P1178" t="str">
        <x:f>IF(E1178="","Unknown",IF(E1178&lt;10,"&lt;10",IF(E1178&lt;20,"10-&lt;20",IF(E1178&lt;25,"20-&lt;25",IF(E1178&lt;35,"25-&lt;35","35+")))))</x:f>
        <x:v>10-&lt;20</x:v>
      </x:c>
    </x:row>
    <x:row r="1179">
      <x:c r="A1179" t="str">
        <x:v>SYN0001178</x:v>
      </x:c>
      <x:c r="B1179" s="12" t="n">
        <x:v>42475</x:v>
      </x:c>
      <x:c r="C1179" s="18" t="n">
        <x:v>27810</x:v>
      </x:c>
      <x:c r="D1179" s="18" t="n">
        <x:v>44389</x:v>
      </x:c>
      <x:c r="E1179" s="18" t="n">
        <x:v>12.97</x:v>
      </x:c>
      <x:c r="F1179" s="18" t="n">
        <x:v>24.38</x:v>
      </x:c>
      <x:c r="G1179" t="n">
        <x:v>36</x:v>
      </x:c>
      <x:c r="H1179" t="str">
        <x:v>F</x:v>
      </x:c>
      <x:c r="I1179" t="str">
        <x:v>7-9 years</x:v>
      </x:c>
      <x:c r="J1179" t="str">
        <x:v>RENT</x:v>
      </x:c>
      <x:c r="K1179" t="str">
        <x:v>credit_card</x:v>
      </x:c>
      <x:c r="L1179" t="n">
        <x:v>2</x:v>
      </x:c>
      <x:c r="M1179" t="n">
        <x:v>1</x:v>
      </x:c>
      <x:c r="N1179" t="str">
        <x:v>Charged Off</x:v>
      </x:c>
      <x:c r="O1179" t="str">
        <x:f>IF(D1179="","Unknown",IF(D1179&lt;25000,"&lt;$25k",IF(D1179&lt;50000,"$25k-$50k",IF(D1179&lt;75000,"$50k-$75k",IF(D1179&lt;100000,"$75k-$100k","$100k+")))))</x:f>
        <x:v>$25k-$50k</x:v>
      </x:c>
      <x:c r="P1179" t="str">
        <x:f>IF(E1179="","Unknown",IF(E1179&lt;10,"&lt;10",IF(E1179&lt;20,"10-&lt;20",IF(E1179&lt;25,"20-&lt;25",IF(E1179&lt;35,"25-&lt;35","35+")))))</x:f>
        <x:v>10-&lt;20</x:v>
      </x:c>
    </x:row>
    <x:row r="1180">
      <x:c r="A1180" t="str">
        <x:v>SYN0001179</x:v>
      </x:c>
      <x:c r="B1180" s="12" t="n">
        <x:v>42985</x:v>
      </x:c>
      <x:c r="C1180" s="18" t="n">
        <x:v>20719</x:v>
      </x:c>
      <x:c r="D1180" s="18" t="n">
        <x:v>76840</x:v>
      </x:c>
      <x:c r="E1180" s="18" t="n">
        <x:v>2.65</x:v>
      </x:c>
      <x:c r="F1180" s="18" t="n">
        <x:v>11.55</x:v>
      </x:c>
      <x:c r="G1180" t="n">
        <x:v>36</x:v>
      </x:c>
      <x:c r="H1180" t="str">
        <x:v>C</x:v>
      </x:c>
      <x:c r="I1180" t="str">
        <x:v>7-9 years</x:v>
      </x:c>
      <x:c r="J1180" t="str">
        <x:v>MORTGAGE</x:v>
      </x:c>
      <x:c r="K1180" t="str">
        <x:v>other</x:v>
      </x:c>
      <x:c r="L1180" t="n">
        <x:v>0</x:v>
      </x:c>
      <x:c r="M1180" t="n">
        <x:v>0</x:v>
      </x:c>
      <x:c r="N1180" t="str">
        <x:v>Fully Paid</x:v>
      </x:c>
      <x:c r="O1180" t="str">
        <x:f>IF(D1180="","Unknown",IF(D1180&lt;25000,"&lt;$25k",IF(D1180&lt;50000,"$25k-$50k",IF(D1180&lt;75000,"$50k-$75k",IF(D1180&lt;100000,"$75k-$100k","$100k+")))))</x:f>
        <x:v>$75k-$100k</x:v>
      </x:c>
      <x:c r="P1180" t="str">
        <x:f>IF(E1180="","Unknown",IF(E1180&lt;10,"&lt;10",IF(E1180&lt;20,"10-&lt;20",IF(E1180&lt;25,"20-&lt;25",IF(E1180&lt;35,"25-&lt;35","35+")))))</x:f>
        <x:v>&lt;10</x:v>
      </x:c>
    </x:row>
    <x:row r="1181">
      <x:c r="A1181" t="str">
        <x:v>SYN0001180</x:v>
      </x:c>
      <x:c r="B1181" s="12" t="n">
        <x:v>42655</x:v>
      </x:c>
      <x:c r="C1181" s="18" t="n">
        <x:v>11612</x:v>
      </x:c>
      <x:c r="D1181" s="18" t="n">
        <x:v>128800</x:v>
      </x:c>
      <x:c r="E1181" s="18" t="n">
        <x:v>21.37</x:v>
      </x:c>
      <x:c r="F1181" s="18" t="n">
        <x:v>17.47</x:v>
      </x:c>
      <x:c r="G1181" t="n">
        <x:v>36</x:v>
      </x:c>
      <x:c r="H1181" t="str">
        <x:v>D</x:v>
      </x:c>
      <x:c r="I1181" t="str">
        <x:v>&lt;1 year</x:v>
      </x:c>
      <x:c r="J1181" t="str">
        <x:v>RENT</x:v>
      </x:c>
      <x:c r="K1181" t="str">
        <x:v>debt_consolidation</x:v>
      </x:c>
      <x:c r="L1181" t="n">
        <x:v>0</x:v>
      </x:c>
      <x:c r="M1181" t="n">
        <x:v>0</x:v>
      </x:c>
      <x:c r="N1181" t="str">
        <x:v>Fully Paid</x:v>
      </x:c>
      <x:c r="O1181" t="str">
        <x:f>IF(D1181="","Unknown",IF(D1181&lt;25000,"&lt;$25k",IF(D1181&lt;50000,"$25k-$50k",IF(D1181&lt;75000,"$50k-$75k",IF(D1181&lt;100000,"$75k-$100k","$100k+")))))</x:f>
        <x:v>$100k+</x:v>
      </x:c>
      <x:c r="P1181" t="str">
        <x:f>IF(E1181="","Unknown",IF(E1181&lt;10,"&lt;10",IF(E1181&lt;20,"10-&lt;20",IF(E1181&lt;25,"20-&lt;25",IF(E1181&lt;35,"25-&lt;35","35+")))))</x:f>
        <x:v>20-&lt;25</x:v>
      </x:c>
    </x:row>
    <x:row r="1182">
      <x:c r="A1182" t="str">
        <x:v>SYN0001181</x:v>
      </x:c>
      <x:c r="B1182" s="12" t="n">
        <x:v>42085</x:v>
      </x:c>
      <x:c r="C1182" s="18" t="n">
        <x:v>14116</x:v>
      </x:c>
      <x:c r="D1182" s="18" t="n">
        <x:v>53413</x:v>
      </x:c>
      <x:c r="E1182" s="18" t="n">
        <x:v>21.51</x:v>
      </x:c>
      <x:c r="F1182" s="18" t="n">
        <x:v>10.41</x:v>
      </x:c>
      <x:c r="G1182" t="n">
        <x:v>36</x:v>
      </x:c>
      <x:c r="H1182" t="str">
        <x:v>C</x:v>
      </x:c>
      <x:c r="I1182" t="str">
        <x:v>10+ years</x:v>
      </x:c>
      <x:c r="J1182" t="str">
        <x:v>OWN</x:v>
      </x:c>
      <x:c r="K1182" t="str">
        <x:v>debt_consolidation</x:v>
      </x:c>
      <x:c r="L1182" t="n">
        <x:v>0</x:v>
      </x:c>
      <x:c r="M1182" t="n">
        <x:v>0</x:v>
      </x:c>
      <x:c r="N1182" t="str">
        <x:v>Fully Paid</x:v>
      </x:c>
      <x:c r="O1182" t="str">
        <x:f>IF(D1182="","Unknown",IF(D1182&lt;25000,"&lt;$25k",IF(D1182&lt;50000,"$25k-$50k",IF(D1182&lt;75000,"$50k-$75k",IF(D1182&lt;100000,"$75k-$100k","$100k+")))))</x:f>
        <x:v>$50k-$75k</x:v>
      </x:c>
      <x:c r="P1182" t="str">
        <x:f>IF(E1182="","Unknown",IF(E1182&lt;10,"&lt;10",IF(E1182&lt;20,"10-&lt;20",IF(E1182&lt;25,"20-&lt;25",IF(E1182&lt;35,"25-&lt;35","35+")))))</x:f>
        <x:v>20-&lt;25</x:v>
      </x:c>
    </x:row>
    <x:row r="1183">
      <x:c r="A1183" t="str">
        <x:v>SYN0001182</x:v>
      </x:c>
      <x:c r="B1183" s="12" t="n">
        <x:v>42415</x:v>
      </x:c>
      <x:c r="C1183" s="18" t="n">
        <x:v>15730</x:v>
      </x:c>
      <x:c r="D1183" s="18" t="n">
        <x:v>55932</x:v>
      </x:c>
      <x:c r="E1183" s="18" t="n">
        <x:v>17.92</x:v>
      </x:c>
      <x:c r="F1183" s="18" t="n">
        <x:v>5.4</x:v>
      </x:c>
      <x:c r="G1183" t="n">
        <x:v>60</x:v>
      </x:c>
      <x:c r="H1183" t="str">
        <x:v>B</x:v>
      </x:c>
      <x:c r="I1183" t="str">
        <x:v>4-6 years</x:v>
      </x:c>
      <x:c r="J1183" t="str">
        <x:v>RENT</x:v>
      </x:c>
      <x:c r="K1183" t="str">
        <x:v>credit_card</x:v>
      </x:c>
      <x:c r="L1183" t="n">
        <x:v>1</x:v>
      </x:c>
      <x:c r="M1183" t="n">
        <x:v>0</x:v>
      </x:c>
      <x:c r="N1183" t="str">
        <x:v>Fully Paid</x:v>
      </x:c>
      <x:c r="O1183" t="str">
        <x:f>IF(D1183="","Unknown",IF(D1183&lt;25000,"&lt;$25k",IF(D1183&lt;50000,"$25k-$50k",IF(D1183&lt;75000,"$50k-$75k",IF(D1183&lt;100000,"$75k-$100k","$100k+")))))</x:f>
        <x:v>$50k-$75k</x:v>
      </x:c>
      <x:c r="P1183" t="str">
        <x:f>IF(E1183="","Unknown",IF(E1183&lt;10,"&lt;10",IF(E1183&lt;20,"10-&lt;20",IF(E1183&lt;25,"20-&lt;25",IF(E1183&lt;35,"25-&lt;35","35+")))))</x:f>
        <x:v>10-&lt;20</x:v>
      </x:c>
    </x:row>
    <x:row r="1184">
      <x:c r="A1184" t="str">
        <x:v>SYN0001183</x:v>
      </x:c>
      <x:c r="B1184" s="12" t="n">
        <x:v>41665</x:v>
      </x:c>
      <x:c r="C1184" s="18" t="n">
        <x:v>2992</x:v>
      </x:c>
      <x:c r="D1184" s="18" t="n">
        <x:v>50815</x:v>
      </x:c>
      <x:c r="E1184" s="18" t="n">
        <x:v>23.65</x:v>
      </x:c>
      <x:c r="F1184" s="18" t="n">
        <x:v>12.22</x:v>
      </x:c>
      <x:c r="G1184" t="n">
        <x:v>60</x:v>
      </x:c>
      <x:c r="H1184" t="str">
        <x:v>C</x:v>
      </x:c>
      <x:c r="I1184" t="str">
        <x:v>4-6 years</x:v>
      </x:c>
      <x:c r="J1184" t="str">
        <x:v>MORTGAGE</x:v>
      </x:c>
      <x:c r="K1184" t="str">
        <x:v>debt_consolidation</x:v>
      </x:c>
      <x:c r="L1184" t="n">
        <x:v>0</x:v>
      </x:c>
      <x:c r="M1184" t="n">
        <x:v>0</x:v>
      </x:c>
      <x:c r="N1184" t="str">
        <x:v>Fully Paid</x:v>
      </x:c>
      <x:c r="O1184" t="str">
        <x:f>IF(D1184="","Unknown",IF(D1184&lt;25000,"&lt;$25k",IF(D1184&lt;50000,"$25k-$50k",IF(D1184&lt;75000,"$50k-$75k",IF(D1184&lt;100000,"$75k-$100k","$100k+")))))</x:f>
        <x:v>$50k-$75k</x:v>
      </x:c>
      <x:c r="P1184" t="str">
        <x:f>IF(E1184="","Unknown",IF(E1184&lt;10,"&lt;10",IF(E1184&lt;20,"10-&lt;20",IF(E1184&lt;25,"20-&lt;25",IF(E1184&lt;35,"25-&lt;35","35+")))))</x:f>
        <x:v>20-&lt;25</x:v>
      </x:c>
    </x:row>
    <x:row r="1185">
      <x:c r="A1185" t="str">
        <x:v>SYN0001184</x:v>
      </x:c>
      <x:c r="B1185" s="12" t="n">
        <x:v>43075</x:v>
      </x:c>
      <x:c r="C1185" s="18" t="n">
        <x:v>10435</x:v>
      </x:c>
      <x:c r="D1185" s="18" t="n">
        <x:v>49399</x:v>
      </x:c>
      <x:c r="E1185" s="18" t="n">
        <x:v>15.08</x:v>
      </x:c>
      <x:c r="F1185" s="18" t="n">
        <x:v>11.14</x:v>
      </x:c>
      <x:c r="G1185" t="n">
        <x:v>60</x:v>
      </x:c>
      <x:c r="H1185" t="str">
        <x:v>B</x:v>
      </x:c>
      <x:c r="I1185" t="str">
        <x:v>4-6 years</x:v>
      </x:c>
      <x:c r="J1185" t="str">
        <x:v>OWN</x:v>
      </x:c>
      <x:c r="K1185" t="str">
        <x:v>credit_card</x:v>
      </x:c>
      <x:c r="L1185" t="n">
        <x:v>0</x:v>
      </x:c>
      <x:c r="M1185" t="n">
        <x:v>0</x:v>
      </x:c>
      <x:c r="N1185" t="str">
        <x:v>Fully Paid</x:v>
      </x:c>
      <x:c r="O1185" t="str">
        <x:f>IF(D1185="","Unknown",IF(D1185&lt;25000,"&lt;$25k",IF(D1185&lt;50000,"$25k-$50k",IF(D1185&lt;75000,"$50k-$75k",IF(D1185&lt;100000,"$75k-$100k","$100k+")))))</x:f>
        <x:v>$25k-$50k</x:v>
      </x:c>
      <x:c r="P1185" t="str">
        <x:f>IF(E1185="","Unknown",IF(E1185&lt;10,"&lt;10",IF(E1185&lt;20,"10-&lt;20",IF(E1185&lt;25,"20-&lt;25",IF(E1185&lt;35,"25-&lt;35","35+")))))</x:f>
        <x:v>10-&lt;20</x:v>
      </x:c>
    </x:row>
    <x:row r="1186">
      <x:c r="A1186" t="str">
        <x:v>SYN0001185</x:v>
      </x:c>
      <x:c r="B1186" s="12" t="n">
        <x:v>42265</x:v>
      </x:c>
      <x:c r="C1186" s="18" t="n">
        <x:v>7614</x:v>
      </x:c>
      <x:c r="D1186" s="18" t="n">
        <x:v>17504</x:v>
      </x:c>
      <x:c r="E1186" s="18" t="n">
        <x:v>20.95</x:v>
      </x:c>
      <x:c r="F1186" s="18" t="n">
        <x:v>7.38</x:v>
      </x:c>
      <x:c r="G1186" t="n">
        <x:v>60</x:v>
      </x:c>
      <x:c r="H1186" t="str">
        <x:v>B</x:v>
      </x:c>
      <x:c r="I1186" t="str">
        <x:v>&lt;1 year</x:v>
      </x:c>
      <x:c r="J1186" t="str">
        <x:v>MORTGAGE</x:v>
      </x:c>
      <x:c r="K1186" t="str">
        <x:v>debt_consolidation</x:v>
      </x:c>
      <x:c r="L1186" t="n">
        <x:v>3</x:v>
      </x:c>
      <x:c r="M1186" t="n">
        <x:v>0</x:v>
      </x:c>
      <x:c r="N1186" t="str">
        <x:v>Fully Paid</x:v>
      </x:c>
      <x:c r="O1186" t="str">
        <x:f>IF(D1186="","Unknown",IF(D1186&lt;25000,"&lt;$25k",IF(D1186&lt;50000,"$25k-$50k",IF(D1186&lt;75000,"$50k-$75k",IF(D1186&lt;100000,"$75k-$100k","$100k+")))))</x:f>
        <x:v>&lt;$25k</x:v>
      </x:c>
      <x:c r="P1186" t="str">
        <x:f>IF(E1186="","Unknown",IF(E1186&lt;10,"&lt;10",IF(E1186&lt;20,"10-&lt;20",IF(E1186&lt;25,"20-&lt;25",IF(E1186&lt;35,"25-&lt;35","35+")))))</x:f>
        <x:v>20-&lt;25</x:v>
      </x:c>
    </x:row>
    <x:row r="1187">
      <x:c r="A1187" t="str">
        <x:v>SYN0001186</x:v>
      </x:c>
      <x:c r="B1187" s="12" t="n">
        <x:v>42415</x:v>
      </x:c>
      <x:c r="C1187" s="18" t="n">
        <x:v>6090</x:v>
      </x:c>
      <x:c r="D1187" s="18" t="n">
        <x:v>113352</x:v>
      </x:c>
      <x:c r="E1187" s="18" t="n">
        <x:v>12.25</x:v>
      </x:c>
      <x:c r="F1187" s="18" t="n">
        <x:v>19.39</x:v>
      </x:c>
      <x:c r="G1187" t="n">
        <x:v>36</x:v>
      </x:c>
      <x:c r="H1187" t="str">
        <x:v>E</x:v>
      </x:c>
      <x:c r="I1187" t="str">
        <x:v>10+ years</x:v>
      </x:c>
      <x:c r="J1187" t="str">
        <x:v>RENT</x:v>
      </x:c>
      <x:c r="K1187" t="str">
        <x:v>debt_consolidation</x:v>
      </x:c>
      <x:c r="L1187" t="n">
        <x:v>1</x:v>
      </x:c>
      <x:c r="M1187" t="n">
        <x:v>1</x:v>
      </x:c>
      <x:c r="N1187" t="str">
        <x:v>Charged Off</x:v>
      </x:c>
      <x:c r="O1187" t="str">
        <x:f>IF(D1187="","Unknown",IF(D1187&lt;25000,"&lt;$25k",IF(D1187&lt;50000,"$25k-$50k",IF(D1187&lt;75000,"$50k-$75k",IF(D1187&lt;100000,"$75k-$100k","$100k+")))))</x:f>
        <x:v>$100k+</x:v>
      </x:c>
      <x:c r="P1187" t="str">
        <x:f>IF(E1187="","Unknown",IF(E1187&lt;10,"&lt;10",IF(E1187&lt;20,"10-&lt;20",IF(E1187&lt;25,"20-&lt;25",IF(E1187&lt;35,"25-&lt;35","35+")))))</x:f>
        <x:v>10-&lt;20</x:v>
      </x:c>
    </x:row>
    <x:row r="1188">
      <x:c r="A1188" t="str">
        <x:v>SYN0001187</x:v>
      </x:c>
      <x:c r="B1188" s="12" t="n">
        <x:v>42835</x:v>
      </x:c>
      <x:c r="C1188" s="18" t="n">
        <x:v>16675</x:v>
      </x:c>
      <x:c r="D1188" s="18" t="n">
        <x:v>24565</x:v>
      </x:c>
      <x:c r="E1188" s="18" t="n">
        <x:v>4.21</x:v>
      </x:c>
      <x:c r="F1188" s="18" t="n">
        <x:v>6.51</x:v>
      </x:c>
      <x:c r="G1188" t="n">
        <x:v>36</x:v>
      </x:c>
      <x:c r="H1188" t="str">
        <x:v>A</x:v>
      </x:c>
      <x:c r="I1188" t="str">
        <x:v>10+ years</x:v>
      </x:c>
      <x:c r="J1188" t="str">
        <x:v>MORTGAGE</x:v>
      </x:c>
      <x:c r="K1188" t="str">
        <x:v>major_purchase</x:v>
      </x:c>
      <x:c r="L1188" t="n">
        <x:v>2</x:v>
      </x:c>
      <x:c r="M1188" t="n">
        <x:v>0</x:v>
      </x:c>
      <x:c r="N1188" t="str">
        <x:v>Fully Paid</x:v>
      </x:c>
      <x:c r="O1188" t="str">
        <x:f>IF(D1188="","Unknown",IF(D1188&lt;25000,"&lt;$25k",IF(D1188&lt;50000,"$25k-$50k",IF(D1188&lt;75000,"$50k-$75k",IF(D1188&lt;100000,"$75k-$100k","$100k+")))))</x:f>
        <x:v>&lt;$25k</x:v>
      </x:c>
      <x:c r="P1188" t="str">
        <x:f>IF(E1188="","Unknown",IF(E1188&lt;10,"&lt;10",IF(E1188&lt;20,"10-&lt;20",IF(E1188&lt;25,"20-&lt;25",IF(E1188&lt;35,"25-&lt;35","35+")))))</x:f>
        <x:v>&lt;10</x:v>
      </x:c>
    </x:row>
    <x:row r="1189">
      <x:c r="A1189" t="str">
        <x:v>SYN0001188</x:v>
      </x:c>
      <x:c r="B1189" s="12" t="n">
        <x:v>41635</x:v>
      </x:c>
      <x:c r="C1189" s="18" t="n">
        <x:v>22165</x:v>
      </x:c>
      <x:c r="D1189" s="18" t="n">
        <x:v>38448</x:v>
      </x:c>
      <x:c r="E1189" s="18" t="n">
        <x:v>16.62</x:v>
      </x:c>
      <x:c r="F1189" s="18" t="n">
        <x:v>10.53</x:v>
      </x:c>
      <x:c r="G1189" t="n">
        <x:v>36</x:v>
      </x:c>
      <x:c r="H1189" t="str">
        <x:v>C</x:v>
      </x:c>
      <x:c r="I1189" t="str">
        <x:v>7-9 years</x:v>
      </x:c>
      <x:c r="J1189" t="str">
        <x:v>RENT</x:v>
      </x:c>
      <x:c r="K1189" t="str">
        <x:v>debt_consolidation</x:v>
      </x:c>
      <x:c r="L1189" t="n">
        <x:v>0</x:v>
      </x:c>
      <x:c r="M1189" t="n">
        <x:v>0</x:v>
      </x:c>
      <x:c r="N1189" t="str">
        <x:v>Fully Paid</x:v>
      </x:c>
      <x:c r="O1189" t="str">
        <x:f>IF(D1189="","Unknown",IF(D1189&lt;25000,"&lt;$25k",IF(D1189&lt;50000,"$25k-$50k",IF(D1189&lt;75000,"$50k-$75k",IF(D1189&lt;100000,"$75k-$100k","$100k+")))))</x:f>
        <x:v>$25k-$50k</x:v>
      </x:c>
      <x:c r="P1189" t="str">
        <x:f>IF(E1189="","Unknown",IF(E1189&lt;10,"&lt;10",IF(E1189&lt;20,"10-&lt;20",IF(E1189&lt;25,"20-&lt;25",IF(E1189&lt;35,"25-&lt;35","35+")))))</x:f>
        <x:v>10-&lt;20</x:v>
      </x:c>
    </x:row>
    <x:row r="1190">
      <x:c r="A1190" t="str">
        <x:v>SYN0001189</x:v>
      </x:c>
      <x:c r="B1190" s="12" t="n">
        <x:v>42685</x:v>
      </x:c>
      <x:c r="C1190" s="18" t="n">
        <x:v>9387</x:v>
      </x:c>
      <x:c r="D1190" s="18" t="n">
        <x:v>51222</x:v>
      </x:c>
      <x:c r="E1190" s="18" t="n">
        <x:v>27.92</x:v>
      </x:c>
      <x:c r="F1190" s="18" t="n">
        <x:v>7.66</x:v>
      </x:c>
      <x:c r="G1190" t="n">
        <x:v>36</x:v>
      </x:c>
      <x:c r="H1190" t="str">
        <x:v>A</x:v>
      </x:c>
      <x:c r="I1190" t="str">
        <x:v>4-6 years</x:v>
      </x:c>
      <x:c r="J1190" t="str">
        <x:v>RENT</x:v>
      </x:c>
      <x:c r="K1190" t="str">
        <x:v>debt_consolidation</x:v>
      </x:c>
      <x:c r="L1190" t="n">
        <x:v>0</x:v>
      </x:c>
      <x:c r="M1190" t="n">
        <x:v>0</x:v>
      </x:c>
      <x:c r="N1190" t="str">
        <x:v>Fully Paid</x:v>
      </x:c>
      <x:c r="O1190" t="str">
        <x:f>IF(D1190="","Unknown",IF(D1190&lt;25000,"&lt;$25k",IF(D1190&lt;50000,"$25k-$50k",IF(D1190&lt;75000,"$50k-$75k",IF(D1190&lt;100000,"$75k-$100k","$100k+")))))</x:f>
        <x:v>$50k-$75k</x:v>
      </x:c>
      <x:c r="P1190" t="str">
        <x:f>IF(E1190="","Unknown",IF(E1190&lt;10,"&lt;10",IF(E1190&lt;20,"10-&lt;20",IF(E1190&lt;25,"20-&lt;25",IF(E1190&lt;35,"25-&lt;35","35+")))))</x:f>
        <x:v>25-&lt;35</x:v>
      </x:c>
    </x:row>
    <x:row r="1191">
      <x:c r="A1191" t="str">
        <x:v>SYN0001190</x:v>
      </x:c>
      <x:c r="B1191" s="12" t="n">
        <x:v>41305</x:v>
      </x:c>
      <x:c r="C1191" s="18" t="n">
        <x:v>9022</x:v>
      </x:c>
      <x:c r="D1191" s="18" t="n">
        <x:v>81792</x:v>
      </x:c>
      <x:c r="E1191" s="18" t="n">
        <x:v>18.55</x:v>
      </x:c>
      <x:c r="F1191" s="18" t="n">
        <x:v>14.52</x:v>
      </x:c>
      <x:c r="G1191" t="n">
        <x:v>60</x:v>
      </x:c>
      <x:c r="H1191" t="str">
        <x:v>C</x:v>
      </x:c>
      <x:c r="I1191" t="str">
        <x:v>4-6 years</x:v>
      </x:c>
      <x:c r="J1191" t="str">
        <x:v>MORTGAGE</x:v>
      </x:c>
      <x:c r="K1191" t="str">
        <x:v>debt_consolidation</x:v>
      </x:c>
      <x:c r="L1191" t="n">
        <x:v>1</x:v>
      </x:c>
      <x:c r="M1191" t="n">
        <x:v>0</x:v>
      </x:c>
      <x:c r="N1191" t="str">
        <x:v>Fully Paid</x:v>
      </x:c>
      <x:c r="O1191" t="str">
        <x:f>IF(D1191="","Unknown",IF(D1191&lt;25000,"&lt;$25k",IF(D1191&lt;50000,"$25k-$50k",IF(D1191&lt;75000,"$50k-$75k",IF(D1191&lt;100000,"$75k-$100k","$100k+")))))</x:f>
        <x:v>$75k-$100k</x:v>
      </x:c>
      <x:c r="P1191" t="str">
        <x:f>IF(E1191="","Unknown",IF(E1191&lt;10,"&lt;10",IF(E1191&lt;20,"10-&lt;20",IF(E1191&lt;25,"20-&lt;25",IF(E1191&lt;35,"25-&lt;35","35+")))))</x:f>
        <x:v>10-&lt;20</x:v>
      </x:c>
    </x:row>
    <x:row r="1192">
      <x:c r="A1192" t="str">
        <x:v>SYN0001191</x:v>
      </x:c>
      <x:c r="B1192" s="12" t="n">
        <x:v>41575</x:v>
      </x:c>
      <x:c r="C1192" s="18" t="n">
        <x:v>11008</x:v>
      </x:c>
      <x:c r="D1192" s="18" t="n">
        <x:v>118481</x:v>
      </x:c>
      <x:c r="E1192" s="18" t="n">
        <x:v>23.5</x:v>
      </x:c>
      <x:c r="F1192" s="18" t="n">
        <x:v>5</x:v>
      </x:c>
      <x:c r="G1192" t="n">
        <x:v>36</x:v>
      </x:c>
      <x:c r="H1192" t="str">
        <x:v>A</x:v>
      </x:c>
      <x:c r="I1192" t="str">
        <x:v>4-6 years</x:v>
      </x:c>
      <x:c r="J1192" t="str">
        <x:v>MORTGAGE</x:v>
      </x:c>
      <x:c r="K1192" t="str">
        <x:v>home_improvement</x:v>
      </x:c>
      <x:c r="L1192" t="n">
        <x:v>0</x:v>
      </x:c>
      <x:c r="M1192" t="n">
        <x:v>0</x:v>
      </x:c>
      <x:c r="N1192" t="str">
        <x:v>Fully Paid</x:v>
      </x:c>
      <x:c r="O1192" t="str">
        <x:f>IF(D1192="","Unknown",IF(D1192&lt;25000,"&lt;$25k",IF(D1192&lt;50000,"$25k-$50k",IF(D1192&lt;75000,"$50k-$75k",IF(D1192&lt;100000,"$75k-$100k","$100k+")))))</x:f>
        <x:v>$100k+</x:v>
      </x:c>
      <x:c r="P1192" t="str">
        <x:f>IF(E1192="","Unknown",IF(E1192&lt;10,"&lt;10",IF(E1192&lt;20,"10-&lt;20",IF(E1192&lt;25,"20-&lt;25",IF(E1192&lt;35,"25-&lt;35","35+")))))</x:f>
        <x:v>20-&lt;25</x:v>
      </x:c>
    </x:row>
    <x:row r="1193">
      <x:c r="A1193" t="str">
        <x:v>SYN0001192</x:v>
      </x:c>
      <x:c r="B1193" s="12" t="n">
        <x:v>41755</x:v>
      </x:c>
      <x:c r="C1193" s="18" t="n">
        <x:v>12202</x:v>
      </x:c>
      <x:c r="D1193" s="18" t="n">
        <x:v>54055</x:v>
      </x:c>
      <x:c r="E1193" s="18" t="n">
        <x:v>12.54</x:v>
      </x:c>
      <x:c r="F1193" s="18" t="n">
        <x:v>11.51</x:v>
      </x:c>
      <x:c r="G1193" t="n">
        <x:v>36</x:v>
      </x:c>
      <x:c r="H1193" t="str">
        <x:v>D</x:v>
      </x:c>
      <x:c r="I1193" t="str">
        <x:v>1-3 years</x:v>
      </x:c>
      <x:c r="J1193" t="str">
        <x:v>MORTGAGE</x:v>
      </x:c>
      <x:c r="K1193" t="str">
        <x:v>credit_card</x:v>
      </x:c>
      <x:c r="L1193" t="n">
        <x:v>0</x:v>
      </x:c>
      <x:c r="M1193" t="n">
        <x:v>1</x:v>
      </x:c>
      <x:c r="N1193" t="str">
        <x:v>Charged Off</x:v>
      </x:c>
      <x:c r="O1193" t="str">
        <x:f>IF(D1193="","Unknown",IF(D1193&lt;25000,"&lt;$25k",IF(D1193&lt;50000,"$25k-$50k",IF(D1193&lt;75000,"$50k-$75k",IF(D1193&lt;100000,"$75k-$100k","$100k+")))))</x:f>
        <x:v>$50k-$75k</x:v>
      </x:c>
      <x:c r="P1193" t="str">
        <x:f>IF(E1193="","Unknown",IF(E1193&lt;10,"&lt;10",IF(E1193&lt;20,"10-&lt;20",IF(E1193&lt;25,"20-&lt;25",IF(E1193&lt;35,"25-&lt;35","35+")))))</x:f>
        <x:v>10-&lt;20</x:v>
      </x:c>
    </x:row>
    <x:row r="1194">
      <x:c r="A1194" t="str">
        <x:v>SYN0001193</x:v>
      </x:c>
      <x:c r="B1194" s="12" t="n">
        <x:v>42955</x:v>
      </x:c>
      <x:c r="C1194" s="18" t="n">
        <x:v>13137</x:v>
      </x:c>
      <x:c r="D1194" s="18" t="n">
        <x:v>35562</x:v>
      </x:c>
      <x:c r="E1194" s="18" t="n">
        <x:v>27.92</x:v>
      </x:c>
      <x:c r="F1194" s="18" t="n">
        <x:v>16.6</x:v>
      </x:c>
      <x:c r="G1194" t="n">
        <x:v>36</x:v>
      </x:c>
      <x:c r="H1194" t="str">
        <x:v>D</x:v>
      </x:c>
      <x:c r="I1194" t="str">
        <x:v>10+ years</x:v>
      </x:c>
      <x:c r="J1194" t="str">
        <x:v>RENT</x:v>
      </x:c>
      <x:c r="K1194" t="str">
        <x:v>debt_consolidation</x:v>
      </x:c>
      <x:c r="L1194" t="n">
        <x:v>1</x:v>
      </x:c>
      <x:c r="M1194" t="n">
        <x:v>0</x:v>
      </x:c>
      <x:c r="N1194" t="str">
        <x:v>Fully Paid</x:v>
      </x:c>
      <x:c r="O1194" t="str">
        <x:f>IF(D1194="","Unknown",IF(D1194&lt;25000,"&lt;$25k",IF(D1194&lt;50000,"$25k-$50k",IF(D1194&lt;75000,"$50k-$75k",IF(D1194&lt;100000,"$75k-$100k","$100k+")))))</x:f>
        <x:v>$25k-$50k</x:v>
      </x:c>
      <x:c r="P1194" t="str">
        <x:f>IF(E1194="","Unknown",IF(E1194&lt;10,"&lt;10",IF(E1194&lt;20,"10-&lt;20",IF(E1194&lt;25,"20-&lt;25",IF(E1194&lt;35,"25-&lt;35","35+")))))</x:f>
        <x:v>25-&lt;35</x:v>
      </x:c>
    </x:row>
    <x:row r="1195">
      <x:c r="A1195" t="str">
        <x:v>SYN0001194</x:v>
      </x:c>
      <x:c r="B1195" s="12" t="n">
        <x:v>41635</x:v>
      </x:c>
      <x:c r="C1195" s="18" t="n">
        <x:v>4563</x:v>
      </x:c>
      <x:c r="D1195" s="18" t="n">
        <x:v>25787</x:v>
      </x:c>
      <x:c r="E1195" s="18" t="n">
        <x:v>13.24</x:v>
      </x:c>
      <x:c r="F1195" s="18" t="n">
        <x:v>8.72</x:v>
      </x:c>
      <x:c r="G1195" t="n">
        <x:v>60</x:v>
      </x:c>
      <x:c r="H1195" t="str">
        <x:v>A</x:v>
      </x:c>
      <x:c r="I1195" t="str">
        <x:v>4-6 years</x:v>
      </x:c>
      <x:c r="J1195" t="str">
        <x:v>RENT</x:v>
      </x:c>
      <x:c r="K1195" t="str">
        <x:v>home_improvement</x:v>
      </x:c>
      <x:c r="L1195" t="n">
        <x:v>0</x:v>
      </x:c>
      <x:c r="M1195" t="n">
        <x:v>0</x:v>
      </x:c>
      <x:c r="N1195" t="str">
        <x:v>Fully Paid</x:v>
      </x:c>
      <x:c r="O1195" t="str">
        <x:f>IF(D1195="","Unknown",IF(D1195&lt;25000,"&lt;$25k",IF(D1195&lt;50000,"$25k-$50k",IF(D1195&lt;75000,"$50k-$75k",IF(D1195&lt;100000,"$75k-$100k","$100k+")))))</x:f>
        <x:v>$25k-$50k</x:v>
      </x:c>
      <x:c r="P1195" t="str">
        <x:f>IF(E1195="","Unknown",IF(E1195&lt;10,"&lt;10",IF(E1195&lt;20,"10-&lt;20",IF(E1195&lt;25,"20-&lt;25",IF(E1195&lt;35,"25-&lt;35","35+")))))</x:f>
        <x:v>10-&lt;20</x:v>
      </x:c>
    </x:row>
    <x:row r="1196">
      <x:c r="A1196" t="str">
        <x:v>SYN0001195</x:v>
      </x:c>
      <x:c r="B1196" s="12" t="n">
        <x:v>42595</x:v>
      </x:c>
      <x:c r="C1196" s="18" t="n">
        <x:v>28114</x:v>
      </x:c>
      <x:c r="D1196" s="18" t="n">
        <x:v>100190</x:v>
      </x:c>
      <x:c r="E1196" s="18" t="n">
        <x:v>19.55</x:v>
      </x:c>
      <x:c r="F1196" s="18" t="n">
        <x:v>6.38</x:v>
      </x:c>
      <x:c r="G1196" t="n">
        <x:v>60</x:v>
      </x:c>
      <x:c r="H1196" t="str">
        <x:v>B</x:v>
      </x:c>
      <x:c r="I1196" t="str">
        <x:v>&lt;1 year</x:v>
      </x:c>
      <x:c r="J1196" t="str">
        <x:v>RENT</x:v>
      </x:c>
      <x:c r="K1196" t="str">
        <x:v>debt_consolidation</x:v>
      </x:c>
      <x:c r="L1196" t="n">
        <x:v>1</x:v>
      </x:c>
      <x:c r="M1196" t="n">
        <x:v>0</x:v>
      </x:c>
      <x:c r="N1196" t="str">
        <x:v>Fully Paid</x:v>
      </x:c>
      <x:c r="O1196" t="str">
        <x:f>IF(D1196="","Unknown",IF(D1196&lt;25000,"&lt;$25k",IF(D1196&lt;50000,"$25k-$50k",IF(D1196&lt;75000,"$50k-$75k",IF(D1196&lt;100000,"$75k-$100k","$100k+")))))</x:f>
        <x:v>$100k+</x:v>
      </x:c>
      <x:c r="P1196" t="str">
        <x:f>IF(E1196="","Unknown",IF(E1196&lt;10,"&lt;10",IF(E1196&lt;20,"10-&lt;20",IF(E1196&lt;25,"20-&lt;25",IF(E1196&lt;35,"25-&lt;35","35+")))))</x:f>
        <x:v>10-&lt;20</x:v>
      </x:c>
    </x:row>
    <x:row r="1197">
      <x:c r="A1197" t="str">
        <x:v>SYN0001196</x:v>
      </x:c>
      <x:c r="B1197" s="12" t="n">
        <x:v>41965</x:v>
      </x:c>
      <x:c r="C1197" s="18" t="n">
        <x:v>12399</x:v>
      </x:c>
      <x:c r="D1197" s="18" t="n">
        <x:v>67230</x:v>
      </x:c>
      <x:c r="E1197" s="18" t="n">
        <x:v>17.98</x:v>
      </x:c>
      <x:c r="F1197" s="18" t="n">
        <x:v>21.82</x:v>
      </x:c>
      <x:c r="G1197" t="n">
        <x:v>36</x:v>
      </x:c>
      <x:c r="H1197" t="str">
        <x:v>F</x:v>
      </x:c>
      <x:c r="I1197" t="str">
        <x:v>1-3 years</x:v>
      </x:c>
      <x:c r="J1197" t="str">
        <x:v>RENT</x:v>
      </x:c>
      <x:c r="K1197" t="str">
        <x:v>debt_consolidation</x:v>
      </x:c>
      <x:c r="L1197" t="n">
        <x:v>3</x:v>
      </x:c>
      <x:c r="M1197" t="n">
        <x:v>0</x:v>
      </x:c>
      <x:c r="N1197" t="str">
        <x:v>Fully Paid</x:v>
      </x:c>
      <x:c r="O1197" t="str">
        <x:f>IF(D1197="","Unknown",IF(D1197&lt;25000,"&lt;$25k",IF(D1197&lt;50000,"$25k-$50k",IF(D1197&lt;75000,"$50k-$75k",IF(D1197&lt;100000,"$75k-$100k","$100k+")))))</x:f>
        <x:v>$50k-$75k</x:v>
      </x:c>
      <x:c r="P1197" t="str">
        <x:f>IF(E1197="","Unknown",IF(E1197&lt;10,"&lt;10",IF(E1197&lt;20,"10-&lt;20",IF(E1197&lt;25,"20-&lt;25",IF(E1197&lt;35,"25-&lt;35","35+")))))</x:f>
        <x:v>10-&lt;20</x:v>
      </x:c>
    </x:row>
    <x:row r="1198">
      <x:c r="A1198" t="str">
        <x:v>SYN0001197</x:v>
      </x:c>
      <x:c r="B1198" s="12" t="n">
        <x:v>41275</x:v>
      </x:c>
      <x:c r="C1198" s="18" t="n">
        <x:v>10395</x:v>
      </x:c>
      <x:c r="D1198" s="18" t="n">
        <x:v>78270</x:v>
      </x:c>
      <x:c r="E1198" s="18" t="n">
        <x:v>21.55</x:v>
      </x:c>
      <x:c r="F1198" s="18" t="n">
        <x:v>8.67</x:v>
      </x:c>
      <x:c r="G1198" t="n">
        <x:v>60</x:v>
      </x:c>
      <x:c r="H1198" t="str">
        <x:v>C</x:v>
      </x:c>
      <x:c r="I1198" t="str">
        <x:v>4-6 years</x:v>
      </x:c>
      <x:c r="J1198" t="str">
        <x:v>RENT</x:v>
      </x:c>
      <x:c r="K1198" t="str">
        <x:v>debt_consolidation</x:v>
      </x:c>
      <x:c r="L1198" t="n">
        <x:v>1</x:v>
      </x:c>
      <x:c r="M1198" t="n">
        <x:v>0</x:v>
      </x:c>
      <x:c r="N1198" t="str">
        <x:v>Fully Paid</x:v>
      </x:c>
      <x:c r="O1198" t="str">
        <x:f>IF(D1198="","Unknown",IF(D1198&lt;25000,"&lt;$25k",IF(D1198&lt;50000,"$25k-$50k",IF(D1198&lt;75000,"$50k-$75k",IF(D1198&lt;100000,"$75k-$100k","$100k+")))))</x:f>
        <x:v>$75k-$100k</x:v>
      </x:c>
      <x:c r="P1198" t="str">
        <x:f>IF(E1198="","Unknown",IF(E1198&lt;10,"&lt;10",IF(E1198&lt;20,"10-&lt;20",IF(E1198&lt;25,"20-&lt;25",IF(E1198&lt;35,"25-&lt;35","35+")))))</x:f>
        <x:v>20-&lt;25</x:v>
      </x:c>
    </x:row>
    <x:row r="1199">
      <x:c r="A1199" t="str">
        <x:v>SYN0001198</x:v>
      </x:c>
      <x:c r="B1199" s="12" t="n">
        <x:v>41665</x:v>
      </x:c>
      <x:c r="C1199" s="18" t="n">
        <x:v>9409</x:v>
      </x:c>
      <x:c r="D1199" s="18" t="n">
        <x:v>119031</x:v>
      </x:c>
      <x:c r="E1199" s="18" t="n">
        <x:v>8.21</x:v>
      </x:c>
      <x:c r="F1199" s="18" t="n">
        <x:v>6.14</x:v>
      </x:c>
      <x:c r="G1199" t="n">
        <x:v>36</x:v>
      </x:c>
      <x:c r="H1199" t="str">
        <x:v>B</x:v>
      </x:c>
      <x:c r="I1199" t="str">
        <x:v>&lt;1 year</x:v>
      </x:c>
      <x:c r="J1199" t="str">
        <x:v>MORTGAGE</x:v>
      </x:c>
      <x:c r="K1199" t="str">
        <x:v>credit_card</x:v>
      </x:c>
      <x:c r="L1199" t="n">
        <x:v>1</x:v>
      </x:c>
      <x:c r="M1199" t="n">
        <x:v>0</x:v>
      </x:c>
      <x:c r="N1199" t="str">
        <x:v>Fully Paid</x:v>
      </x:c>
      <x:c r="O1199" t="str">
        <x:f>IF(D1199="","Unknown",IF(D1199&lt;25000,"&lt;$25k",IF(D1199&lt;50000,"$25k-$50k",IF(D1199&lt;75000,"$50k-$75k",IF(D1199&lt;100000,"$75k-$100k","$100k+")))))</x:f>
        <x:v>$100k+</x:v>
      </x:c>
      <x:c r="P1199" t="str">
        <x:f>IF(E1199="","Unknown",IF(E1199&lt;10,"&lt;10",IF(E1199&lt;20,"10-&lt;20",IF(E1199&lt;25,"20-&lt;25",IF(E1199&lt;35,"25-&lt;35","35+")))))</x:f>
        <x:v>&lt;10</x:v>
      </x:c>
    </x:row>
    <x:row r="1200">
      <x:c r="A1200" t="str">
        <x:v>SYN0001199</x:v>
      </x:c>
      <x:c r="B1200" s="12" t="n">
        <x:v>41905</x:v>
      </x:c>
      <x:c r="C1200" s="18" t="n">
        <x:v>17206</x:v>
      </x:c>
      <x:c r="D1200" s="18" t="n">
        <x:v>54516</x:v>
      </x:c>
      <x:c r="E1200" s="18" t="n">
        <x:v>3.87</x:v>
      </x:c>
      <x:c r="F1200" s="18" t="n">
        <x:v>8.59</x:v>
      </x:c>
      <x:c r="G1200" t="n">
        <x:v>36</x:v>
      </x:c>
      <x:c r="H1200" t="str">
        <x:v>B</x:v>
      </x:c>
      <x:c r="I1200" t="str">
        <x:v>4-6 years</x:v>
      </x:c>
      <x:c r="J1200" t="str">
        <x:v>RENT</x:v>
      </x:c>
      <x:c r="K1200" t="str">
        <x:v>debt_consolidation</x:v>
      </x:c>
      <x:c r="L1200" t="n">
        <x:v>0</x:v>
      </x:c>
      <x:c r="M1200" t="n">
        <x:v>0</x:v>
      </x:c>
      <x:c r="N1200" t="str">
        <x:v>Fully Paid</x:v>
      </x:c>
      <x:c r="O1200" t="str">
        <x:f>IF(D1200="","Unknown",IF(D1200&lt;25000,"&lt;$25k",IF(D1200&lt;50000,"$25k-$50k",IF(D1200&lt;75000,"$50k-$75k",IF(D1200&lt;100000,"$75k-$100k","$100k+")))))</x:f>
        <x:v>$50k-$75k</x:v>
      </x:c>
      <x:c r="P1200" t="str">
        <x:f>IF(E1200="","Unknown",IF(E1200&lt;10,"&lt;10",IF(E1200&lt;20,"10-&lt;20",IF(E1200&lt;25,"20-&lt;25",IF(E1200&lt;35,"25-&lt;35","35+")))))</x:f>
        <x:v>&lt;10</x:v>
      </x:c>
    </x:row>
    <x:row r="1201">
      <x:c r="A1201" t="str">
        <x:v>SYN0001200</x:v>
      </x:c>
      <x:c r="B1201" s="12" t="n">
        <x:v>42145</x:v>
      </x:c>
      <x:c r="C1201" s="18" t="n">
        <x:v>12225</x:v>
      </x:c>
      <x:c r="D1201" s="18" t="n">
        <x:v>96855</x:v>
      </x:c>
      <x:c r="E1201" s="18" t="n">
        <x:v>12.9</x:v>
      </x:c>
      <x:c r="F1201" s="18" t="n">
        <x:v>11.56</x:v>
      </x:c>
      <x:c r="G1201" t="n">
        <x:v>36</x:v>
      </x:c>
      <x:c r="H1201" t="str">
        <x:v>C</x:v>
      </x:c>
      <x:c r="I1201" t="str">
        <x:v>10+ years</x:v>
      </x:c>
      <x:c r="J1201" t="str">
        <x:v>MORTGAGE</x:v>
      </x:c>
      <x:c r="K1201" t="str">
        <x:v>debt_consolidation</x:v>
      </x:c>
      <x:c r="L1201" t="n">
        <x:v>1</x:v>
      </x:c>
      <x:c r="M1201" t="n">
        <x:v>0</x:v>
      </x:c>
      <x:c r="N1201" t="str">
        <x:v>Fully Paid</x:v>
      </x:c>
      <x:c r="O1201" t="str">
        <x:f>IF(D1201="","Unknown",IF(D1201&lt;25000,"&lt;$25k",IF(D1201&lt;50000,"$25k-$50k",IF(D1201&lt;75000,"$50k-$75k",IF(D1201&lt;100000,"$75k-$100k","$100k+")))))</x:f>
        <x:v>$75k-$100k</x:v>
      </x:c>
      <x:c r="P1201" t="str">
        <x:f>IF(E1201="","Unknown",IF(E1201&lt;10,"&lt;10",IF(E1201&lt;20,"10-&lt;20",IF(E1201&lt;25,"20-&lt;25",IF(E1201&lt;35,"25-&lt;35","35+")))))</x:f>
        <x:v>10-&lt;20</x:v>
      </x:c>
    </x:row>
    <x:row r="1202">
      <x:c r="A1202" t="str">
        <x:v>SYN0001201</x:v>
      </x:c>
      <x:c r="B1202" s="12" t="n">
        <x:v>41275</x:v>
      </x:c>
      <x:c r="C1202" s="18" t="n">
        <x:v>13736</x:v>
      </x:c>
      <x:c r="D1202" s="18" t="n">
        <x:v>34461</x:v>
      </x:c>
      <x:c r="E1202" s="18" t="n">
        <x:v>20.07</x:v>
      </x:c>
      <x:c r="F1202" s="18" t="n">
        <x:v>7.59</x:v>
      </x:c>
      <x:c r="G1202" t="n">
        <x:v>60</x:v>
      </x:c>
      <x:c r="H1202" t="str">
        <x:v>A</x:v>
      </x:c>
      <x:c r="I1202" t="str">
        <x:v>1-3 years</x:v>
      </x:c>
      <x:c r="J1202" t="str">
        <x:v>OWN</x:v>
      </x:c>
      <x:c r="K1202" t="str">
        <x:v>credit_card</x:v>
      </x:c>
      <x:c r="L1202" t="n">
        <x:v>0</x:v>
      </x:c>
      <x:c r="M1202" t="n">
        <x:v>0</x:v>
      </x:c>
      <x:c r="N1202" t="str">
        <x:v>Fully Paid</x:v>
      </x:c>
      <x:c r="O1202" t="str">
        <x:f>IF(D1202="","Unknown",IF(D1202&lt;25000,"&lt;$25k",IF(D1202&lt;50000,"$25k-$50k",IF(D1202&lt;75000,"$50k-$75k",IF(D1202&lt;100000,"$75k-$100k","$100k+")))))</x:f>
        <x:v>$25k-$50k</x:v>
      </x:c>
      <x:c r="P1202" t="str">
        <x:f>IF(E1202="","Unknown",IF(E1202&lt;10,"&lt;10",IF(E1202&lt;20,"10-&lt;20",IF(E1202&lt;25,"20-&lt;25",IF(E1202&lt;35,"25-&lt;35","35+")))))</x:f>
        <x:v>20-&lt;25</x:v>
      </x:c>
    </x:row>
    <x:row r="1203">
      <x:c r="A1203" t="str">
        <x:v>SYN0001202</x:v>
      </x:c>
      <x:c r="B1203" s="12" t="n">
        <x:v>43405</x:v>
      </x:c>
      <x:c r="C1203" s="18" t="n">
        <x:v>20502</x:v>
      </x:c>
      <x:c r="D1203" s="18" t="n">
        <x:v>59214</x:v>
      </x:c>
      <x:c r="E1203" s="18" t="n">
        <x:v>15.99</x:v>
      </x:c>
      <x:c r="F1203" s="18" t="n">
        <x:v>15.02</x:v>
      </x:c>
      <x:c r="G1203" t="n">
        <x:v>36</x:v>
      </x:c>
      <x:c r="H1203" t="str">
        <x:v>D</x:v>
      </x:c>
      <x:c r="I1203" t="str">
        <x:v>1-3 years</x:v>
      </x:c>
      <x:c r="J1203" t="str">
        <x:v>RENT</x:v>
      </x:c>
      <x:c r="K1203" t="str">
        <x:v>debt_consolidation</x:v>
      </x:c>
      <x:c r="L1203" t="n">
        <x:v>0</x:v>
      </x:c>
      <x:c r="M1203" t="n">
        <x:v>0</x:v>
      </x:c>
      <x:c r="N1203" t="str">
        <x:v>Fully Paid</x:v>
      </x:c>
      <x:c r="O1203" t="str">
        <x:f>IF(D1203="","Unknown",IF(D1203&lt;25000,"&lt;$25k",IF(D1203&lt;50000,"$25k-$50k",IF(D1203&lt;75000,"$50k-$75k",IF(D1203&lt;100000,"$75k-$100k","$100k+")))))</x:f>
        <x:v>$50k-$75k</x:v>
      </x:c>
      <x:c r="P1203" t="str">
        <x:f>IF(E1203="","Unknown",IF(E1203&lt;10,"&lt;10",IF(E1203&lt;20,"10-&lt;20",IF(E1203&lt;25,"20-&lt;25",IF(E1203&lt;35,"25-&lt;35","35+")))))</x:f>
        <x:v>10-&lt;20</x:v>
      </x:c>
    </x:row>
    <x:row r="1204">
      <x:c r="A1204" t="str">
        <x:v>SYN0001203</x:v>
      </x:c>
      <x:c r="B1204" s="12" t="n">
        <x:v>42175</x:v>
      </x:c>
      <x:c r="C1204" s="18" t="n">
        <x:v>11413</x:v>
      </x:c>
      <x:c r="D1204" s="18" t="n">
        <x:v>30221</x:v>
      </x:c>
      <x:c r="E1204" s="18" t="n">
        <x:v>25.75</x:v>
      </x:c>
      <x:c r="F1204" s="18" t="n">
        <x:v>15.7</x:v>
      </x:c>
      <x:c r="G1204" t="n">
        <x:v>36</x:v>
      </x:c>
      <x:c r="H1204" t="str">
        <x:v>C</x:v>
      </x:c>
      <x:c r="I1204" t="str">
        <x:v>7-9 years</x:v>
      </x:c>
      <x:c r="J1204" t="str">
        <x:v>MORTGAGE</x:v>
      </x:c>
      <x:c r="K1204" t="str">
        <x:v>credit_card</x:v>
      </x:c>
      <x:c r="L1204" t="n">
        <x:v>0</x:v>
      </x:c>
      <x:c r="M1204" t="n">
        <x:v>0</x:v>
      </x:c>
      <x:c r="N1204" t="str">
        <x:v>Fully Paid</x:v>
      </x:c>
      <x:c r="O1204" t="str">
        <x:f>IF(D1204="","Unknown",IF(D1204&lt;25000,"&lt;$25k",IF(D1204&lt;50000,"$25k-$50k",IF(D1204&lt;75000,"$50k-$75k",IF(D1204&lt;100000,"$75k-$100k","$100k+")))))</x:f>
        <x:v>$25k-$50k</x:v>
      </x:c>
      <x:c r="P1204" t="str">
        <x:f>IF(E1204="","Unknown",IF(E1204&lt;10,"&lt;10",IF(E1204&lt;20,"10-&lt;20",IF(E1204&lt;25,"20-&lt;25",IF(E1204&lt;35,"25-&lt;35","35+")))))</x:f>
        <x:v>25-&lt;35</x:v>
      </x:c>
    </x:row>
    <x:row r="1205">
      <x:c r="A1205" t="str">
        <x:v>SYN0001204</x:v>
      </x:c>
      <x:c r="B1205" s="12" t="n">
        <x:v>43135</x:v>
      </x:c>
      <x:c r="C1205" s="18" t="n">
        <x:v>17037</x:v>
      </x:c>
      <x:c r="D1205" s="18" t="n">
        <x:v>58964</x:v>
      </x:c>
      <x:c r="E1205" s="18" t="n">
        <x:v>33.88</x:v>
      </x:c>
      <x:c r="F1205" s="18" t="n">
        <x:v>8.05</x:v>
      </x:c>
      <x:c r="G1205" t="n">
        <x:v>36</x:v>
      </x:c>
      <x:c r="H1205" t="str">
        <x:v>A</x:v>
      </x:c>
      <x:c r="I1205" t="str">
        <x:v>7-9 years</x:v>
      </x:c>
      <x:c r="J1205" t="str">
        <x:v>RENT</x:v>
      </x:c>
      <x:c r="K1205" t="str">
        <x:v>major_purchase</x:v>
      </x:c>
      <x:c r="L1205" t="n">
        <x:v>0</x:v>
      </x:c>
      <x:c r="M1205" t="n">
        <x:v>0</x:v>
      </x:c>
      <x:c r="N1205" t="str">
        <x:v>Fully Paid</x:v>
      </x:c>
      <x:c r="O1205" t="str">
        <x:f>IF(D1205="","Unknown",IF(D1205&lt;25000,"&lt;$25k",IF(D1205&lt;50000,"$25k-$50k",IF(D1205&lt;75000,"$50k-$75k",IF(D1205&lt;100000,"$75k-$100k","$100k+")))))</x:f>
        <x:v>$50k-$75k</x:v>
      </x:c>
      <x:c r="P1205" t="str">
        <x:f>IF(E1205="","Unknown",IF(E1205&lt;10,"&lt;10",IF(E1205&lt;20,"10-&lt;20",IF(E1205&lt;25,"20-&lt;25",IF(E1205&lt;35,"25-&lt;35","35+")))))</x:f>
        <x:v>25-&lt;35</x:v>
      </x:c>
    </x:row>
    <x:row r="1206">
      <x:c r="A1206" t="str">
        <x:v>SYN0001205</x:v>
      </x:c>
      <x:c r="B1206" s="12" t="n">
        <x:v>42745</x:v>
      </x:c>
      <x:c r="C1206" s="18" t="n">
        <x:v>10377</x:v>
      </x:c>
      <x:c r="D1206" s="18" t="n">
        <x:v>62639</x:v>
      </x:c>
      <x:c r="E1206" s="18" t="n">
        <x:v>5.66</x:v>
      </x:c>
      <x:c r="F1206" s="18" t="n">
        <x:v>11.09</x:v>
      </x:c>
      <x:c r="G1206" t="n">
        <x:v>36</x:v>
      </x:c>
      <x:c r="H1206" t="str">
        <x:v>C</x:v>
      </x:c>
      <x:c r="I1206" t="str">
        <x:v>10+ years</x:v>
      </x:c>
      <x:c r="J1206" t="str">
        <x:v>RENT</x:v>
      </x:c>
      <x:c r="K1206" t="str">
        <x:v>debt_consolidation</x:v>
      </x:c>
      <x:c r="L1206" t="n">
        <x:v>0</x:v>
      </x:c>
      <x:c r="M1206" t="n">
        <x:v>0</x:v>
      </x:c>
      <x:c r="N1206" t="str">
        <x:v>Fully Paid</x:v>
      </x:c>
      <x:c r="O1206" t="str">
        <x:f>IF(D1206="","Unknown",IF(D1206&lt;25000,"&lt;$25k",IF(D1206&lt;50000,"$25k-$50k",IF(D1206&lt;75000,"$50k-$75k",IF(D1206&lt;100000,"$75k-$100k","$100k+")))))</x:f>
        <x:v>$50k-$75k</x:v>
      </x:c>
      <x:c r="P1206" t="str">
        <x:f>IF(E1206="","Unknown",IF(E1206&lt;10,"&lt;10",IF(E1206&lt;20,"10-&lt;20",IF(E1206&lt;25,"20-&lt;25",IF(E1206&lt;35,"25-&lt;35","35+")))))</x:f>
        <x:v>&lt;10</x:v>
      </x:c>
    </x:row>
    <x:row r="1207">
      <x:c r="A1207" t="str">
        <x:v>SYN0001206</x:v>
      </x:c>
      <x:c r="B1207" s="12" t="n">
        <x:v>41275</x:v>
      </x:c>
      <x:c r="C1207" s="18" t="n">
        <x:v>20781</x:v>
      </x:c>
      <x:c r="D1207" s="18" t="n">
        <x:v>31570</x:v>
      </x:c>
      <x:c r="E1207" s="18" t="n">
        <x:v>15.71</x:v>
      </x:c>
      <x:c r="F1207" s="18" t="n">
        <x:v>14.05</x:v>
      </x:c>
      <x:c r="G1207" t="n">
        <x:v>60</x:v>
      </x:c>
      <x:c r="H1207" t="str">
        <x:v>D</x:v>
      </x:c>
      <x:c r="I1207" t="str">
        <x:v>&lt;1 year</x:v>
      </x:c>
      <x:c r="J1207" t="str">
        <x:v>RENT</x:v>
      </x:c>
      <x:c r="K1207" t="str">
        <x:v>debt_consolidation</x:v>
      </x:c>
      <x:c r="L1207" t="n">
        <x:v>1</x:v>
      </x:c>
      <x:c r="M1207" t="n">
        <x:v>1</x:v>
      </x:c>
      <x:c r="N1207" t="str">
        <x:v>Charged Off</x:v>
      </x:c>
      <x:c r="O1207" t="str">
        <x:f>IF(D1207="","Unknown",IF(D1207&lt;25000,"&lt;$25k",IF(D1207&lt;50000,"$25k-$50k",IF(D1207&lt;75000,"$50k-$75k",IF(D1207&lt;100000,"$75k-$100k","$100k+")))))</x:f>
        <x:v>$25k-$50k</x:v>
      </x:c>
      <x:c r="P1207" t="str">
        <x:f>IF(E1207="","Unknown",IF(E1207&lt;10,"&lt;10",IF(E1207&lt;20,"10-&lt;20",IF(E1207&lt;25,"20-&lt;25",IF(E1207&lt;35,"25-&lt;35","35+")))))</x:f>
        <x:v>10-&lt;20</x:v>
      </x:c>
    </x:row>
    <x:row r="1208">
      <x:c r="A1208" t="str">
        <x:v>SYN0001207</x:v>
      </x:c>
      <x:c r="B1208" s="12" t="n">
        <x:v>41755</x:v>
      </x:c>
      <x:c r="C1208" s="18" t="n">
        <x:v>10612</x:v>
      </x:c>
      <x:c r="D1208" s="18" t="n">
        <x:v>55236</x:v>
      </x:c>
      <x:c r="E1208" s="18" t="n">
        <x:v>20.14</x:v>
      </x:c>
      <x:c r="F1208" s="18" t="n">
        <x:v>11.55</x:v>
      </x:c>
      <x:c r="G1208" t="n">
        <x:v>36</x:v>
      </x:c>
      <x:c r="H1208" t="str">
        <x:v>D</x:v>
      </x:c>
      <x:c r="I1208" t="str">
        <x:v>1-3 years</x:v>
      </x:c>
      <x:c r="J1208" t="str">
        <x:v>OWN</x:v>
      </x:c>
      <x:c r="K1208" t="str">
        <x:v>credit_card</x:v>
      </x:c>
      <x:c r="L1208" t="n">
        <x:v>1</x:v>
      </x:c>
      <x:c r="M1208" t="n">
        <x:v>0</x:v>
      </x:c>
      <x:c r="N1208" t="str">
        <x:v>Fully Paid</x:v>
      </x:c>
      <x:c r="O1208" t="str">
        <x:f>IF(D1208="","Unknown",IF(D1208&lt;25000,"&lt;$25k",IF(D1208&lt;50000,"$25k-$50k",IF(D1208&lt;75000,"$50k-$75k",IF(D1208&lt;100000,"$75k-$100k","$100k+")))))</x:f>
        <x:v>$50k-$75k</x:v>
      </x:c>
      <x:c r="P1208" t="str">
        <x:f>IF(E1208="","Unknown",IF(E1208&lt;10,"&lt;10",IF(E1208&lt;20,"10-&lt;20",IF(E1208&lt;25,"20-&lt;25",IF(E1208&lt;35,"25-&lt;35","35+")))))</x:f>
        <x:v>20-&lt;25</x:v>
      </x:c>
    </x:row>
    <x:row r="1209">
      <x:c r="A1209" t="str">
        <x:v>SYN0001208</x:v>
      </x:c>
      <x:c r="B1209" s="12" t="n">
        <x:v>42025</x:v>
      </x:c>
      <x:c r="C1209" s="18" t="n">
        <x:v>17201</x:v>
      </x:c>
      <x:c r="D1209" s="18" t="n">
        <x:v>31197</x:v>
      </x:c>
      <x:c r="E1209" s="18" t="n">
        <x:v>22.36</x:v>
      </x:c>
      <x:c r="F1209" s="18" t="n">
        <x:v>6.88</x:v>
      </x:c>
      <x:c r="G1209" t="n">
        <x:v>36</x:v>
      </x:c>
      <x:c r="H1209" t="str">
        <x:v>B</x:v>
      </x:c>
      <x:c r="I1209" t="str">
        <x:v>4-6 years</x:v>
      </x:c>
      <x:c r="J1209" t="str">
        <x:v>MORTGAGE</x:v>
      </x:c>
      <x:c r="K1209" t="str">
        <x:v>credit_card</x:v>
      </x:c>
      <x:c r="L1209" t="n">
        <x:v>2</x:v>
      </x:c>
      <x:c r="M1209" t="n">
        <x:v>0</x:v>
      </x:c>
      <x:c r="N1209" t="str">
        <x:v>Fully Paid</x:v>
      </x:c>
      <x:c r="O1209" t="str">
        <x:f>IF(D1209="","Unknown",IF(D1209&lt;25000,"&lt;$25k",IF(D1209&lt;50000,"$25k-$50k",IF(D1209&lt;75000,"$50k-$75k",IF(D1209&lt;100000,"$75k-$100k","$100k+")))))</x:f>
        <x:v>$25k-$50k</x:v>
      </x:c>
      <x:c r="P1209" t="str">
        <x:f>IF(E1209="","Unknown",IF(E1209&lt;10,"&lt;10",IF(E1209&lt;20,"10-&lt;20",IF(E1209&lt;25,"20-&lt;25",IF(E1209&lt;35,"25-&lt;35","35+")))))</x:f>
        <x:v>20-&lt;25</x:v>
      </x:c>
    </x:row>
    <x:row r="1210">
      <x:c r="A1210" t="str">
        <x:v>SYN0001209</x:v>
      </x:c>
      <x:c r="B1210" s="12" t="n">
        <x:v>41515</x:v>
      </x:c>
      <x:c r="C1210" s="18" t="n">
        <x:v>11775</x:v>
      </x:c>
      <x:c r="D1210" s="18" t="n">
        <x:v>30289</x:v>
      </x:c>
      <x:c r="E1210" s="18" t="n">
        <x:v>20.5</x:v>
      </x:c>
      <x:c r="F1210" s="18" t="n">
        <x:v>15.65</x:v>
      </x:c>
      <x:c r="G1210" t="n">
        <x:v>60</x:v>
      </x:c>
      <x:c r="H1210" t="str">
        <x:v>E</x:v>
      </x:c>
      <x:c r="I1210" t="str">
        <x:v>1-3 years</x:v>
      </x:c>
      <x:c r="J1210" t="str">
        <x:v>RENT</x:v>
      </x:c>
      <x:c r="K1210" t="str">
        <x:v>home_improvement</x:v>
      </x:c>
      <x:c r="L1210" t="n">
        <x:v>1</x:v>
      </x:c>
      <x:c r="M1210" t="n">
        <x:v>0</x:v>
      </x:c>
      <x:c r="N1210" t="str">
        <x:v>Fully Paid</x:v>
      </x:c>
      <x:c r="O1210" t="str">
        <x:f>IF(D1210="","Unknown",IF(D1210&lt;25000,"&lt;$25k",IF(D1210&lt;50000,"$25k-$50k",IF(D1210&lt;75000,"$50k-$75k",IF(D1210&lt;100000,"$75k-$100k","$100k+")))))</x:f>
        <x:v>$25k-$50k</x:v>
      </x:c>
      <x:c r="P1210" t="str">
        <x:f>IF(E1210="","Unknown",IF(E1210&lt;10,"&lt;10",IF(E1210&lt;20,"10-&lt;20",IF(E1210&lt;25,"20-&lt;25",IF(E1210&lt;35,"25-&lt;35","35+")))))</x:f>
        <x:v>20-&lt;25</x:v>
      </x:c>
    </x:row>
    <x:row r="1211">
      <x:c r="A1211" t="str">
        <x:v>SYN0001210</x:v>
      </x:c>
      <x:c r="B1211" s="12" t="n">
        <x:v>41665</x:v>
      </x:c>
      <x:c r="C1211" s="18" t="n">
        <x:v>12044</x:v>
      </x:c>
      <x:c r="D1211" s="18" t="n">
        <x:v>49844</x:v>
      </x:c>
      <x:c r="E1211" s="18" t="n">
        <x:v>24.59</x:v>
      </x:c>
      <x:c r="F1211" s="18" t="n">
        <x:v>7.71</x:v>
      </x:c>
      <x:c r="G1211" t="n">
        <x:v>36</x:v>
      </x:c>
      <x:c r="H1211" t="str">
        <x:v>B</x:v>
      </x:c>
      <x:c r="I1211" t="str">
        <x:v>4-6 years</x:v>
      </x:c>
      <x:c r="J1211" t="str">
        <x:v>MORTGAGE</x:v>
      </x:c>
      <x:c r="K1211" t="str">
        <x:v>debt_consolidation</x:v>
      </x:c>
      <x:c r="L1211" t="n">
        <x:v>1</x:v>
      </x:c>
      <x:c r="M1211" t="n">
        <x:v>1</x:v>
      </x:c>
      <x:c r="N1211" t="str">
        <x:v>Charged Off</x:v>
      </x:c>
      <x:c r="O1211" t="str">
        <x:f>IF(D1211="","Unknown",IF(D1211&lt;25000,"&lt;$25k",IF(D1211&lt;50000,"$25k-$50k",IF(D1211&lt;75000,"$50k-$75k",IF(D1211&lt;100000,"$75k-$100k","$100k+")))))</x:f>
        <x:v>$25k-$50k</x:v>
      </x:c>
      <x:c r="P1211" t="str">
        <x:f>IF(E1211="","Unknown",IF(E1211&lt;10,"&lt;10",IF(E1211&lt;20,"10-&lt;20",IF(E1211&lt;25,"20-&lt;25",IF(E1211&lt;35,"25-&lt;35","35+")))))</x:f>
        <x:v>20-&lt;25</x:v>
      </x:c>
    </x:row>
    <x:row r="1212">
      <x:c r="A1212" t="str">
        <x:v>SYN0001211</x:v>
      </x:c>
      <x:c r="B1212" s="12" t="n">
        <x:v>41545</x:v>
      </x:c>
      <x:c r="C1212" s="18" t="n">
        <x:v>10886</x:v>
      </x:c>
      <x:c r="D1212" s="18" t="n">
        <x:v>33896</x:v>
      </x:c>
      <x:c r="E1212" s="18" t="n">
        <x:v>27.37</x:v>
      </x:c>
      <x:c r="F1212" s="18" t="n">
        <x:v>15.1</x:v>
      </x:c>
      <x:c r="G1212" t="n">
        <x:v>36</x:v>
      </x:c>
      <x:c r="H1212" t="str">
        <x:v>D</x:v>
      </x:c>
      <x:c r="I1212" t="str">
        <x:v>7-9 years</x:v>
      </x:c>
      <x:c r="J1212" t="str">
        <x:v>MORTGAGE</x:v>
      </x:c>
      <x:c r="K1212" t="str">
        <x:v>credit_card</x:v>
      </x:c>
      <x:c r="L1212" t="n">
        <x:v>1</x:v>
      </x:c>
      <x:c r="M1212" t="n">
        <x:v>1</x:v>
      </x:c>
      <x:c r="N1212" t="str">
        <x:v>Charged Off</x:v>
      </x:c>
      <x:c r="O1212" t="str">
        <x:f>IF(D1212="","Unknown",IF(D1212&lt;25000,"&lt;$25k",IF(D1212&lt;50000,"$25k-$50k",IF(D1212&lt;75000,"$50k-$75k",IF(D1212&lt;100000,"$75k-$100k","$100k+")))))</x:f>
        <x:v>$25k-$50k</x:v>
      </x:c>
      <x:c r="P1212" t="str">
        <x:f>IF(E1212="","Unknown",IF(E1212&lt;10,"&lt;10",IF(E1212&lt;20,"10-&lt;20",IF(E1212&lt;25,"20-&lt;25",IF(E1212&lt;35,"25-&lt;35","35+")))))</x:f>
        <x:v>25-&lt;35</x:v>
      </x:c>
    </x:row>
    <x:row r="1213">
      <x:c r="A1213" t="str">
        <x:v>SYN0001212</x:v>
      </x:c>
      <x:c r="B1213" s="12" t="n">
        <x:v>43015</x:v>
      </x:c>
      <x:c r="C1213" s="18" t="n">
        <x:v>8385</x:v>
      </x:c>
      <x:c r="D1213" s="18" t="n">
        <x:v>21794</x:v>
      </x:c>
      <x:c r="E1213" s="18" t="n">
        <x:v>18.44</x:v>
      </x:c>
      <x:c r="F1213" s="18" t="n">
        <x:v>8.21</x:v>
      </x:c>
      <x:c r="G1213" t="n">
        <x:v>36</x:v>
      </x:c>
      <x:c r="H1213" t="str">
        <x:v>B</x:v>
      </x:c>
      <x:c r="I1213" t="str">
        <x:v>4-6 years</x:v>
      </x:c>
      <x:c r="J1213" t="str">
        <x:v>MORTGAGE</x:v>
      </x:c>
      <x:c r="K1213" t="str">
        <x:v>debt_consolidation</x:v>
      </x:c>
      <x:c r="L1213" t="n">
        <x:v>0</x:v>
      </x:c>
      <x:c r="M1213" t="n">
        <x:v>0</x:v>
      </x:c>
      <x:c r="N1213" t="str">
        <x:v>Fully Paid</x:v>
      </x:c>
      <x:c r="O1213" t="str">
        <x:f>IF(D1213="","Unknown",IF(D1213&lt;25000,"&lt;$25k",IF(D1213&lt;50000,"$25k-$50k",IF(D1213&lt;75000,"$50k-$75k",IF(D1213&lt;100000,"$75k-$100k","$100k+")))))</x:f>
        <x:v>&lt;$25k</x:v>
      </x:c>
      <x:c r="P1213" t="str">
        <x:f>IF(E1213="","Unknown",IF(E1213&lt;10,"&lt;10",IF(E1213&lt;20,"10-&lt;20",IF(E1213&lt;25,"20-&lt;25",IF(E1213&lt;35,"25-&lt;35","35+")))))</x:f>
        <x:v>10-&lt;20</x:v>
      </x:c>
    </x:row>
    <x:row r="1214">
      <x:c r="A1214" t="str">
        <x:v>SYN0001213</x:v>
      </x:c>
      <x:c r="B1214" s="12" t="n">
        <x:v>43255</x:v>
      </x:c>
      <x:c r="C1214" s="18" t="n">
        <x:v>19819</x:v>
      </x:c>
      <x:c r="D1214" s="18" t="n">
        <x:v>14909</x:v>
      </x:c>
      <x:c r="E1214" s="18" t="n">
        <x:v>11.82</x:v>
      </x:c>
      <x:c r="F1214" s="18" t="n">
        <x:v>12.15</x:v>
      </x:c>
      <x:c r="G1214" t="n">
        <x:v>60</x:v>
      </x:c>
      <x:c r="H1214" t="str">
        <x:v>C</x:v>
      </x:c>
      <x:c r="I1214" t="str">
        <x:v>7-9 years</x:v>
      </x:c>
      <x:c r="J1214" t="str">
        <x:v>RENT</x:v>
      </x:c>
      <x:c r="K1214" t="str">
        <x:v>home_improvement</x:v>
      </x:c>
      <x:c r="L1214" t="n">
        <x:v>0</x:v>
      </x:c>
      <x:c r="M1214" t="n">
        <x:v>0</x:v>
      </x:c>
      <x:c r="N1214" t="str">
        <x:v>Fully Paid</x:v>
      </x:c>
      <x:c r="O1214" t="str">
        <x:f>IF(D1214="","Unknown",IF(D1214&lt;25000,"&lt;$25k",IF(D1214&lt;50000,"$25k-$50k",IF(D1214&lt;75000,"$50k-$75k",IF(D1214&lt;100000,"$75k-$100k","$100k+")))))</x:f>
        <x:v>&lt;$25k</x:v>
      </x:c>
      <x:c r="P1214" t="str">
        <x:f>IF(E1214="","Unknown",IF(E1214&lt;10,"&lt;10",IF(E1214&lt;20,"10-&lt;20",IF(E1214&lt;25,"20-&lt;25",IF(E1214&lt;35,"25-&lt;35","35+")))))</x:f>
        <x:v>10-&lt;20</x:v>
      </x:c>
    </x:row>
    <x:row r="1215">
      <x:c r="A1215" t="str">
        <x:v>SYN0001214</x:v>
      </x:c>
      <x:c r="B1215" s="12" t="n">
        <x:v>42025</x:v>
      </x:c>
      <x:c r="C1215" s="18" t="n">
        <x:v>8784</x:v>
      </x:c>
      <x:c r="D1215" s="18" t="n">
        <x:v>67992</x:v>
      </x:c>
      <x:c r="E1215" s="18" t="n">
        <x:v>20.03</x:v>
      </x:c>
      <x:c r="F1215" s="18" t="n">
        <x:v>8.86</x:v>
      </x:c>
      <x:c r="G1215" t="n">
        <x:v>36</x:v>
      </x:c>
      <x:c r="H1215" t="str">
        <x:v>C</x:v>
      </x:c>
      <x:c r="I1215" t="str">
        <x:v>10+ years</x:v>
      </x:c>
      <x:c r="J1215" t="str">
        <x:v>RENT</x:v>
      </x:c>
      <x:c r="K1215" t="str">
        <x:v>debt_consolidation</x:v>
      </x:c>
      <x:c r="L1215" t="n">
        <x:v>1</x:v>
      </x:c>
      <x:c r="M1215" t="n">
        <x:v>0</x:v>
      </x:c>
      <x:c r="N1215" t="str">
        <x:v>Fully Paid</x:v>
      </x:c>
      <x:c r="O1215" t="str">
        <x:f>IF(D1215="","Unknown",IF(D1215&lt;25000,"&lt;$25k",IF(D1215&lt;50000,"$25k-$50k",IF(D1215&lt;75000,"$50k-$75k",IF(D1215&lt;100000,"$75k-$100k","$100k+")))))</x:f>
        <x:v>$50k-$75k</x:v>
      </x:c>
      <x:c r="P1215" t="str">
        <x:f>IF(E1215="","Unknown",IF(E1215&lt;10,"&lt;10",IF(E1215&lt;20,"10-&lt;20",IF(E1215&lt;25,"20-&lt;25",IF(E1215&lt;35,"25-&lt;35","35+")))))</x:f>
        <x:v>20-&lt;25</x:v>
      </x:c>
    </x:row>
    <x:row r="1216">
      <x:c r="A1216" t="str">
        <x:v>SYN0001215</x:v>
      </x:c>
      <x:c r="B1216" s="12" t="n">
        <x:v>42775</x:v>
      </x:c>
      <x:c r="C1216" s="18" t="n">
        <x:v>40000</x:v>
      </x:c>
      <x:c r="D1216" s="18" t="n">
        <x:v>40415</x:v>
      </x:c>
      <x:c r="E1216" s="18" t="n">
        <x:v>11.33</x:v>
      </x:c>
      <x:c r="F1216" s="18" t="n">
        <x:v>5</x:v>
      </x:c>
      <x:c r="G1216" t="n">
        <x:v>60</x:v>
      </x:c>
      <x:c r="H1216" t="str">
        <x:v>A</x:v>
      </x:c>
      <x:c r="I1216" t="str">
        <x:v>10+ years</x:v>
      </x:c>
      <x:c r="J1216" t="str">
        <x:v>RENT</x:v>
      </x:c>
      <x:c r="K1216" t="str">
        <x:v>credit_card</x:v>
      </x:c>
      <x:c r="L1216" t="n">
        <x:v>0</x:v>
      </x:c>
      <x:c r="M1216" t="n">
        <x:v>0</x:v>
      </x:c>
      <x:c r="N1216" t="str">
        <x:v>Fully Paid</x:v>
      </x:c>
      <x:c r="O1216" t="str">
        <x:f>IF(D1216="","Unknown",IF(D1216&lt;25000,"&lt;$25k",IF(D1216&lt;50000,"$25k-$50k",IF(D1216&lt;75000,"$50k-$75k",IF(D1216&lt;100000,"$75k-$100k","$100k+")))))</x:f>
        <x:v>$25k-$50k</x:v>
      </x:c>
      <x:c r="P1216" t="str">
        <x:f>IF(E1216="","Unknown",IF(E1216&lt;10,"&lt;10",IF(E1216&lt;20,"10-&lt;20",IF(E1216&lt;25,"20-&lt;25",IF(E1216&lt;35,"25-&lt;35","35+")))))</x:f>
        <x:v>10-&lt;20</x:v>
      </x:c>
    </x:row>
    <x:row r="1217">
      <x:c r="A1217" t="str">
        <x:v>SYN0001216</x:v>
      </x:c>
      <x:c r="B1217" s="12" t="n">
        <x:v>43225</x:v>
      </x:c>
      <x:c r="C1217" s="18" t="n">
        <x:v>27510</x:v>
      </x:c>
      <x:c r="D1217" s="18" t="n">
        <x:v>106098</x:v>
      </x:c>
      <x:c r="E1217" s="18" t="n">
        <x:v>23.26</x:v>
      </x:c>
      <x:c r="F1217" s="18" t="n">
        <x:v>9.22</x:v>
      </x:c>
      <x:c r="G1217" t="n">
        <x:v>36</x:v>
      </x:c>
      <x:c r="H1217" t="str">
        <x:v>B</x:v>
      </x:c>
      <x:c r="I1217" t="str">
        <x:v>&lt;1 year</x:v>
      </x:c>
      <x:c r="J1217" t="str">
        <x:v>RENT</x:v>
      </x:c>
      <x:c r="K1217" t="str">
        <x:v>major_purchase</x:v>
      </x:c>
      <x:c r="L1217" t="n">
        <x:v>0</x:v>
      </x:c>
      <x:c r="M1217" t="n">
        <x:v>0</x:v>
      </x:c>
      <x:c r="N1217" t="str">
        <x:v>Fully Paid</x:v>
      </x:c>
      <x:c r="O1217" t="str">
        <x:f>IF(D1217="","Unknown",IF(D1217&lt;25000,"&lt;$25k",IF(D1217&lt;50000,"$25k-$50k",IF(D1217&lt;75000,"$50k-$75k",IF(D1217&lt;100000,"$75k-$100k","$100k+")))))</x:f>
        <x:v>$100k+</x:v>
      </x:c>
      <x:c r="P1217" t="str">
        <x:f>IF(E1217="","Unknown",IF(E1217&lt;10,"&lt;10",IF(E1217&lt;20,"10-&lt;20",IF(E1217&lt;25,"20-&lt;25",IF(E1217&lt;35,"25-&lt;35","35+")))))</x:f>
        <x:v>20-&lt;25</x:v>
      </x:c>
    </x:row>
    <x:row r="1218">
      <x:c r="A1218" t="str">
        <x:v>SYN0001217</x:v>
      </x:c>
      <x:c r="B1218" s="12" t="n">
        <x:v>42715</x:v>
      </x:c>
      <x:c r="C1218" s="18" t="n">
        <x:v>9950</x:v>
      </x:c>
      <x:c r="D1218" s="18" t="n">
        <x:v>98004</x:v>
      </x:c>
      <x:c r="E1218" s="18" t="n">
        <x:v>21.38</x:v>
      </x:c>
      <x:c r="F1218" s="18" t="n">
        <x:v>7.09</x:v>
      </x:c>
      <x:c r="G1218" t="n">
        <x:v>60</x:v>
      </x:c>
      <x:c r="H1218" t="str">
        <x:v>B</x:v>
      </x:c>
      <x:c r="I1218" t="str">
        <x:v>7-9 years</x:v>
      </x:c>
      <x:c r="J1218" t="str">
        <x:v>MORTGAGE</x:v>
      </x:c>
      <x:c r="K1218" t="str">
        <x:v>other</x:v>
      </x:c>
      <x:c r="L1218" t="n">
        <x:v>0</x:v>
      </x:c>
      <x:c r="M1218" t="n">
        <x:v>0</x:v>
      </x:c>
      <x:c r="N1218" t="str">
        <x:v>Fully Paid</x:v>
      </x:c>
      <x:c r="O1218" t="str">
        <x:f>IF(D1218="","Unknown",IF(D1218&lt;25000,"&lt;$25k",IF(D1218&lt;50000,"$25k-$50k",IF(D1218&lt;75000,"$50k-$75k",IF(D1218&lt;100000,"$75k-$100k","$100k+")))))</x:f>
        <x:v>$75k-$100k</x:v>
      </x:c>
      <x:c r="P1218" t="str">
        <x:f>IF(E1218="","Unknown",IF(E1218&lt;10,"&lt;10",IF(E1218&lt;20,"10-&lt;20",IF(E1218&lt;25,"20-&lt;25",IF(E1218&lt;35,"25-&lt;35","35+")))))</x:f>
        <x:v>20-&lt;25</x:v>
      </x:c>
    </x:row>
    <x:row r="1219">
      <x:c r="A1219" t="str">
        <x:v>SYN0001218</x:v>
      </x:c>
      <x:c r="B1219" s="12" t="n">
        <x:v>41515</x:v>
      </x:c>
      <x:c r="C1219" s="18" t="n">
        <x:v>14496</x:v>
      </x:c>
      <x:c r="D1219" s="18" t="n">
        <x:v>76636</x:v>
      </x:c>
      <x:c r="E1219" s="18" t="n">
        <x:v>25.51</x:v>
      </x:c>
      <x:c r="F1219" s="18" t="n">
        <x:v>9.1</x:v>
      </x:c>
      <x:c r="G1219" t="n">
        <x:v>60</x:v>
      </x:c>
      <x:c r="H1219" t="str">
        <x:v>B</x:v>
      </x:c>
      <x:c r="I1219" t="str">
        <x:v>1-3 years</x:v>
      </x:c>
      <x:c r="J1219" t="str">
        <x:v>MORTGAGE</x:v>
      </x:c>
      <x:c r="K1219" t="str">
        <x:v>debt_consolidation</x:v>
      </x:c>
      <x:c r="L1219" t="n">
        <x:v>0</x:v>
      </x:c>
      <x:c r="M1219" t="n">
        <x:v>0</x:v>
      </x:c>
      <x:c r="N1219" t="str">
        <x:v>Fully Paid</x:v>
      </x:c>
      <x:c r="O1219" t="str">
        <x:f>IF(D1219="","Unknown",IF(D1219&lt;25000,"&lt;$25k",IF(D1219&lt;50000,"$25k-$50k",IF(D1219&lt;75000,"$50k-$75k",IF(D1219&lt;100000,"$75k-$100k","$100k+")))))</x:f>
        <x:v>$75k-$100k</x:v>
      </x:c>
      <x:c r="P1219" t="str">
        <x:f>IF(E1219="","Unknown",IF(E1219&lt;10,"&lt;10",IF(E1219&lt;20,"10-&lt;20",IF(E1219&lt;25,"20-&lt;25",IF(E1219&lt;35,"25-&lt;35","35+")))))</x:f>
        <x:v>25-&lt;35</x:v>
      </x:c>
    </x:row>
    <x:row r="1220">
      <x:c r="A1220" t="str">
        <x:v>SYN0001219</x:v>
      </x:c>
      <x:c r="B1220" s="12" t="n">
        <x:v>42175</x:v>
      </x:c>
      <x:c r="C1220" s="18" t="n">
        <x:v>13203</x:v>
      </x:c>
      <x:c r="D1220" s="18" t="n">
        <x:v>69894</x:v>
      </x:c>
      <x:c r="E1220" s="18" t="n">
        <x:v>42.52</x:v>
      </x:c>
      <x:c r="F1220" s="18" t="n">
        <x:v>12.95</x:v>
      </x:c>
      <x:c r="G1220" t="n">
        <x:v>36</x:v>
      </x:c>
      <x:c r="H1220" t="str">
        <x:v>C</x:v>
      </x:c>
      <x:c r="I1220" t="str">
        <x:v>10+ years</x:v>
      </x:c>
      <x:c r="J1220" t="str">
        <x:v>OWN</x:v>
      </x:c>
      <x:c r="K1220" t="str">
        <x:v>debt_consolidation</x:v>
      </x:c>
      <x:c r="L1220" t="n">
        <x:v>1</x:v>
      </x:c>
      <x:c r="M1220" t="n">
        <x:v>1</x:v>
      </x:c>
      <x:c r="N1220" t="str">
        <x:v>Charged Off</x:v>
      </x:c>
      <x:c r="O1220" t="str">
        <x:f>IF(D1220="","Unknown",IF(D1220&lt;25000,"&lt;$25k",IF(D1220&lt;50000,"$25k-$50k",IF(D1220&lt;75000,"$50k-$75k",IF(D1220&lt;100000,"$75k-$100k","$100k+")))))</x:f>
        <x:v>$50k-$75k</x:v>
      </x:c>
      <x:c r="P1220" t="str">
        <x:f>IF(E1220="","Unknown",IF(E1220&lt;10,"&lt;10",IF(E1220&lt;20,"10-&lt;20",IF(E1220&lt;25,"20-&lt;25",IF(E1220&lt;35,"25-&lt;35","35+")))))</x:f>
        <x:v>35+</x:v>
      </x:c>
    </x:row>
    <x:row r="1221">
      <x:c r="A1221" t="str">
        <x:v>SYN0001220</x:v>
      </x:c>
      <x:c r="B1221" s="12" t="n">
        <x:v>41995</x:v>
      </x:c>
      <x:c r="C1221" s="18" t="n">
        <x:v>10019</x:v>
      </x:c>
      <x:c r="D1221" s="18" t="n">
        <x:v>41585</x:v>
      </x:c>
      <x:c r="E1221" s="18" t="n">
        <x:v>15.08</x:v>
      </x:c>
      <x:c r="F1221" s="18" t="n">
        <x:v>13.22</x:v>
      </x:c>
      <x:c r="G1221" t="n">
        <x:v>36</x:v>
      </x:c>
      <x:c r="H1221" t="str">
        <x:v>C</x:v>
      </x:c>
      <x:c r="I1221" t="str">
        <x:v>1-3 years</x:v>
      </x:c>
      <x:c r="J1221" t="str">
        <x:v>MORTGAGE</x:v>
      </x:c>
      <x:c r="K1221" t="str">
        <x:v>debt_consolidation</x:v>
      </x:c>
      <x:c r="L1221" t="n">
        <x:v>0</x:v>
      </x:c>
      <x:c r="M1221" t="n">
        <x:v>0</x:v>
      </x:c>
      <x:c r="N1221" t="str">
        <x:v>Fully Paid</x:v>
      </x:c>
      <x:c r="O1221" t="str">
        <x:f>IF(D1221="","Unknown",IF(D1221&lt;25000,"&lt;$25k",IF(D1221&lt;50000,"$25k-$50k",IF(D1221&lt;75000,"$50k-$75k",IF(D1221&lt;100000,"$75k-$100k","$100k+")))))</x:f>
        <x:v>$25k-$50k</x:v>
      </x:c>
      <x:c r="P1221" t="str">
        <x:f>IF(E1221="","Unknown",IF(E1221&lt;10,"&lt;10",IF(E1221&lt;20,"10-&lt;20",IF(E1221&lt;25,"20-&lt;25",IF(E1221&lt;35,"25-&lt;35","35+")))))</x:f>
        <x:v>10-&lt;20</x:v>
      </x:c>
    </x:row>
    <x:row r="1222">
      <x:c r="A1222" t="str">
        <x:v>SYN0001221</x:v>
      </x:c>
      <x:c r="B1222" s="12" t="n">
        <x:v>42595</x:v>
      </x:c>
      <x:c r="C1222" s="18" t="n">
        <x:v>12535</x:v>
      </x:c>
      <x:c r="D1222" s="18" t="n">
        <x:v>50491</x:v>
      </x:c>
      <x:c r="E1222" s="18" t="n">
        <x:v>20.33</x:v>
      </x:c>
      <x:c r="F1222" s="18" t="n">
        <x:v>8.38</x:v>
      </x:c>
      <x:c r="G1222" t="n">
        <x:v>36</x:v>
      </x:c>
      <x:c r="H1222" t="str">
        <x:v>B</x:v>
      </x:c>
      <x:c r="I1222" t="str">
        <x:v>4-6 years</x:v>
      </x:c>
      <x:c r="J1222" t="str">
        <x:v>RENT</x:v>
      </x:c>
      <x:c r="K1222" t="str">
        <x:v>debt_consolidation</x:v>
      </x:c>
      <x:c r="L1222" t="n">
        <x:v>0</x:v>
      </x:c>
      <x:c r="M1222" t="n">
        <x:v>0</x:v>
      </x:c>
      <x:c r="N1222" t="str">
        <x:v>Fully Paid</x:v>
      </x:c>
      <x:c r="O1222" t="str">
        <x:f>IF(D1222="","Unknown",IF(D1222&lt;25000,"&lt;$25k",IF(D1222&lt;50000,"$25k-$50k",IF(D1222&lt;75000,"$50k-$75k",IF(D1222&lt;100000,"$75k-$100k","$100k+")))))</x:f>
        <x:v>$50k-$75k</x:v>
      </x:c>
      <x:c r="P1222" t="str">
        <x:f>IF(E1222="","Unknown",IF(E1222&lt;10,"&lt;10",IF(E1222&lt;20,"10-&lt;20",IF(E1222&lt;25,"20-&lt;25",IF(E1222&lt;35,"25-&lt;35","35+")))))</x:f>
        <x:v>20-&lt;25</x:v>
      </x:c>
    </x:row>
    <x:row r="1223">
      <x:c r="A1223" t="str">
        <x:v>SYN0001222</x:v>
      </x:c>
      <x:c r="B1223" s="12" t="n">
        <x:v>41275</x:v>
      </x:c>
      <x:c r="C1223" s="18" t="n">
        <x:v>29185</x:v>
      </x:c>
      <x:c r="D1223" s="18" t="n">
        <x:v>46119</x:v>
      </x:c>
      <x:c r="E1223" s="18" t="n">
        <x:v>4.56</x:v>
      </x:c>
      <x:c r="F1223" s="18" t="n">
        <x:v>7.52</x:v>
      </x:c>
      <x:c r="G1223" t="n">
        <x:v>36</x:v>
      </x:c>
      <x:c r="H1223" t="str">
        <x:v>A</x:v>
      </x:c>
      <x:c r="I1223" t="str">
        <x:v>10+ years</x:v>
      </x:c>
      <x:c r="J1223" t="str">
        <x:v>MORTGAGE</x:v>
      </x:c>
      <x:c r="K1223" t="str">
        <x:v>debt_consolidation</x:v>
      </x:c>
      <x:c r="L1223" t="n">
        <x:v>0</x:v>
      </x:c>
      <x:c r="M1223" t="n">
        <x:v>0</x:v>
      </x:c>
      <x:c r="N1223" t="str">
        <x:v>Fully Paid</x:v>
      </x:c>
      <x:c r="O1223" t="str">
        <x:f>IF(D1223="","Unknown",IF(D1223&lt;25000,"&lt;$25k",IF(D1223&lt;50000,"$25k-$50k",IF(D1223&lt;75000,"$50k-$75k",IF(D1223&lt;100000,"$75k-$100k","$100k+")))))</x:f>
        <x:v>$25k-$50k</x:v>
      </x:c>
      <x:c r="P1223" t="str">
        <x:f>IF(E1223="","Unknown",IF(E1223&lt;10,"&lt;10",IF(E1223&lt;20,"10-&lt;20",IF(E1223&lt;25,"20-&lt;25",IF(E1223&lt;35,"25-&lt;35","35+")))))</x:f>
        <x:v>&lt;10</x:v>
      </x:c>
    </x:row>
    <x:row r="1224">
      <x:c r="A1224" t="str">
        <x:v>SYN0001223</x:v>
      </x:c>
      <x:c r="B1224" s="12" t="n">
        <x:v>42055</x:v>
      </x:c>
      <x:c r="C1224" s="18" t="n">
        <x:v>19382</x:v>
      </x:c>
      <x:c r="D1224" s="18" t="n">
        <x:v>117245</x:v>
      </x:c>
      <x:c r="E1224" s="18" t="n">
        <x:v>36.11</x:v>
      </x:c>
      <x:c r="F1224" s="18" t="n">
        <x:v>17.83</x:v>
      </x:c>
      <x:c r="G1224" t="n">
        <x:v>36</x:v>
      </x:c>
      <x:c r="H1224" t="str">
        <x:v>E</x:v>
      </x:c>
      <x:c r="I1224" t="str">
        <x:v>&lt;1 year</x:v>
      </x:c>
      <x:c r="J1224" t="str">
        <x:v>MORTGAGE</x:v>
      </x:c>
      <x:c r="K1224" t="str">
        <x:v>debt_consolidation</x:v>
      </x:c>
      <x:c r="L1224" t="n">
        <x:v>0</x:v>
      </x:c>
      <x:c r="M1224" t="n">
        <x:v>0</x:v>
      </x:c>
      <x:c r="N1224" t="str">
        <x:v>Fully Paid</x:v>
      </x:c>
      <x:c r="O1224" t="str">
        <x:f>IF(D1224="","Unknown",IF(D1224&lt;25000,"&lt;$25k",IF(D1224&lt;50000,"$25k-$50k",IF(D1224&lt;75000,"$50k-$75k",IF(D1224&lt;100000,"$75k-$100k","$100k+")))))</x:f>
        <x:v>$100k+</x:v>
      </x:c>
      <x:c r="P1224" t="str">
        <x:f>IF(E1224="","Unknown",IF(E1224&lt;10,"&lt;10",IF(E1224&lt;20,"10-&lt;20",IF(E1224&lt;25,"20-&lt;25",IF(E1224&lt;35,"25-&lt;35","35+")))))</x:f>
        <x:v>35+</x:v>
      </x:c>
    </x:row>
    <x:row r="1225">
      <x:c r="A1225" t="str">
        <x:v>SYN0001224</x:v>
      </x:c>
      <x:c r="B1225" s="12" t="n">
        <x:v>42595</x:v>
      </x:c>
      <x:c r="C1225" s="18" t="n">
        <x:v>7457</x:v>
      </x:c>
      <x:c r="D1225" s="18" t="n">
        <x:v>128977</x:v>
      </x:c>
      <x:c r="E1225" s="18" t="n">
        <x:v>18.57</x:v>
      </x:c>
      <x:c r="F1225" s="18" t="n">
        <x:v>10.53</x:v>
      </x:c>
      <x:c r="G1225" t="n">
        <x:v>36</x:v>
      </x:c>
      <x:c r="H1225" t="str">
        <x:v>B</x:v>
      </x:c>
      <x:c r="I1225" t="str">
        <x:v>10+ years</x:v>
      </x:c>
      <x:c r="J1225" t="str">
        <x:v>RENT</x:v>
      </x:c>
      <x:c r="K1225" t="str">
        <x:v>debt_consolidation</x:v>
      </x:c>
      <x:c r="L1225" t="n">
        <x:v>1</x:v>
      </x:c>
      <x:c r="M1225" t="n">
        <x:v>0</x:v>
      </x:c>
      <x:c r="N1225" t="str">
        <x:v>Fully Paid</x:v>
      </x:c>
      <x:c r="O1225" t="str">
        <x:f>IF(D1225="","Unknown",IF(D1225&lt;25000,"&lt;$25k",IF(D1225&lt;50000,"$25k-$50k",IF(D1225&lt;75000,"$50k-$75k",IF(D1225&lt;100000,"$75k-$100k","$100k+")))))</x:f>
        <x:v>$100k+</x:v>
      </x:c>
      <x:c r="P1225" t="str">
        <x:f>IF(E1225="","Unknown",IF(E1225&lt;10,"&lt;10",IF(E1225&lt;20,"10-&lt;20",IF(E1225&lt;25,"20-&lt;25",IF(E1225&lt;35,"25-&lt;35","35+")))))</x:f>
        <x:v>10-&lt;20</x:v>
      </x:c>
    </x:row>
    <x:row r="1226">
      <x:c r="A1226" t="str">
        <x:v>SYN0001225</x:v>
      </x:c>
      <x:c r="B1226" s="12" t="n">
        <x:v>41785</x:v>
      </x:c>
      <x:c r="C1226" s="18" t="n">
        <x:v>12325</x:v>
      </x:c>
      <x:c r="D1226" s="18" t="n">
        <x:v>112481</x:v>
      </x:c>
      <x:c r="E1226" s="18" t="n">
        <x:v>24.06</x:v>
      </x:c>
      <x:c r="F1226" s="18" t="n">
        <x:v>14.06</x:v>
      </x:c>
      <x:c r="G1226" t="n">
        <x:v>36</x:v>
      </x:c>
      <x:c r="H1226" t="str">
        <x:v>D</x:v>
      </x:c>
      <x:c r="I1226" t="str">
        <x:v>1-3 years</x:v>
      </x:c>
      <x:c r="J1226" t="str">
        <x:v>RENT</x:v>
      </x:c>
      <x:c r="K1226" t="str">
        <x:v>home_improvement</x:v>
      </x:c>
      <x:c r="L1226" t="n">
        <x:v>0</x:v>
      </x:c>
      <x:c r="M1226" t="n">
        <x:v>0</x:v>
      </x:c>
      <x:c r="N1226" t="str">
        <x:v>Fully Paid</x:v>
      </x:c>
      <x:c r="O1226" t="str">
        <x:f>IF(D1226="","Unknown",IF(D1226&lt;25000,"&lt;$25k",IF(D1226&lt;50000,"$25k-$50k",IF(D1226&lt;75000,"$50k-$75k",IF(D1226&lt;100000,"$75k-$100k","$100k+")))))</x:f>
        <x:v>$100k+</x:v>
      </x:c>
      <x:c r="P1226" t="str">
        <x:f>IF(E1226="","Unknown",IF(E1226&lt;10,"&lt;10",IF(E1226&lt;20,"10-&lt;20",IF(E1226&lt;25,"20-&lt;25",IF(E1226&lt;35,"25-&lt;35","35+")))))</x:f>
        <x:v>20-&lt;25</x:v>
      </x:c>
    </x:row>
    <x:row r="1227">
      <x:c r="A1227" t="str">
        <x:v>SYN0001226</x:v>
      </x:c>
      <x:c r="B1227" s="12" t="n">
        <x:v>41935</x:v>
      </x:c>
      <x:c r="C1227" s="18" t="n">
        <x:v>6568</x:v>
      </x:c>
      <x:c r="D1227" s="18" t="n">
        <x:v>24786</x:v>
      </x:c>
      <x:c r="E1227" s="18" t="n">
        <x:v>37.39</x:v>
      </x:c>
      <x:c r="F1227" s="18" t="n">
        <x:v>23.02</x:v>
      </x:c>
      <x:c r="G1227" t="n">
        <x:v>60</x:v>
      </x:c>
      <x:c r="H1227" t="str">
        <x:v>F</x:v>
      </x:c>
      <x:c r="I1227" t="str">
        <x:v>10+ years</x:v>
      </x:c>
      <x:c r="J1227" t="str">
        <x:v>OWN</x:v>
      </x:c>
      <x:c r="K1227" t="str">
        <x:v>credit_card</x:v>
      </x:c>
      <x:c r="L1227" t="n">
        <x:v>0</x:v>
      </x:c>
      <x:c r="M1227" t="n">
        <x:v>0</x:v>
      </x:c>
      <x:c r="N1227" t="str">
        <x:v>Fully Paid</x:v>
      </x:c>
      <x:c r="O1227" t="str">
        <x:f>IF(D1227="","Unknown",IF(D1227&lt;25000,"&lt;$25k",IF(D1227&lt;50000,"$25k-$50k",IF(D1227&lt;75000,"$50k-$75k",IF(D1227&lt;100000,"$75k-$100k","$100k+")))))</x:f>
        <x:v>&lt;$25k</x:v>
      </x:c>
      <x:c r="P1227" t="str">
        <x:f>IF(E1227="","Unknown",IF(E1227&lt;10,"&lt;10",IF(E1227&lt;20,"10-&lt;20",IF(E1227&lt;25,"20-&lt;25",IF(E1227&lt;35,"25-&lt;35","35+")))))</x:f>
        <x:v>35+</x:v>
      </x:c>
    </x:row>
    <x:row r="1228">
      <x:c r="A1228" t="str">
        <x:v>SYN0001227</x:v>
      </x:c>
      <x:c r="B1228" s="12" t="n">
        <x:v>42505</x:v>
      </x:c>
      <x:c r="C1228" s="18" t="n">
        <x:v>17282</x:v>
      </x:c>
      <x:c r="D1228" s="18" t="n">
        <x:v>144232</x:v>
      </x:c>
      <x:c r="E1228" s="18" t="n">
        <x:v>18.43</x:v>
      </x:c>
      <x:c r="F1228" s="18" t="n">
        <x:v>27.79</x:v>
      </x:c>
      <x:c r="G1228" t="n">
        <x:v>36</x:v>
      </x:c>
      <x:c r="H1228" t="str">
        <x:v>G</x:v>
      </x:c>
      <x:c r="I1228" t="str">
        <x:v>1-3 years</x:v>
      </x:c>
      <x:c r="J1228" t="str">
        <x:v>OWN</x:v>
      </x:c>
      <x:c r="K1228" t="str">
        <x:v>home_improvement</x:v>
      </x:c>
      <x:c r="L1228" t="n">
        <x:v>2</x:v>
      </x:c>
      <x:c r="M1228" t="n">
        <x:v>1</x:v>
      </x:c>
      <x:c r="N1228" t="str">
        <x:v>Charged Off</x:v>
      </x:c>
      <x:c r="O1228" t="str">
        <x:f>IF(D1228="","Unknown",IF(D1228&lt;25000,"&lt;$25k",IF(D1228&lt;50000,"$25k-$50k",IF(D1228&lt;75000,"$50k-$75k",IF(D1228&lt;100000,"$75k-$100k","$100k+")))))</x:f>
        <x:v>$100k+</x:v>
      </x:c>
      <x:c r="P1228" t="str">
        <x:f>IF(E1228="","Unknown",IF(E1228&lt;10,"&lt;10",IF(E1228&lt;20,"10-&lt;20",IF(E1228&lt;25,"20-&lt;25",IF(E1228&lt;35,"25-&lt;35","35+")))))</x:f>
        <x:v>10-&lt;20</x:v>
      </x:c>
    </x:row>
    <x:row r="1229">
      <x:c r="A1229" t="str">
        <x:v>SYN0001228</x:v>
      </x:c>
      <x:c r="B1229" s="12" t="n">
        <x:v>41365</x:v>
      </x:c>
      <x:c r="C1229" s="18" t="n">
        <x:v>40000</x:v>
      </x:c>
      <x:c r="D1229" s="18" t="n">
        <x:v>28899</x:v>
      </x:c>
      <x:c r="E1229" s="18" t="n">
        <x:v>16.59</x:v>
      </x:c>
      <x:c r="F1229" s="18" t="n">
        <x:v>5.01</x:v>
      </x:c>
      <x:c r="G1229" t="n">
        <x:v>36</x:v>
      </x:c>
      <x:c r="H1229" t="str">
        <x:v>B</x:v>
      </x:c>
      <x:c r="I1229" t="str">
        <x:v>&lt;1 year</x:v>
      </x:c>
      <x:c r="J1229" t="str">
        <x:v>MORTGAGE</x:v>
      </x:c>
      <x:c r="K1229" t="str">
        <x:v>debt_consolidation</x:v>
      </x:c>
      <x:c r="L1229" t="n">
        <x:v>0</x:v>
      </x:c>
      <x:c r="M1229" t="n">
        <x:v>0</x:v>
      </x:c>
      <x:c r="N1229" t="str">
        <x:v>Fully Paid</x:v>
      </x:c>
      <x:c r="O1229" t="str">
        <x:f>IF(D1229="","Unknown",IF(D1229&lt;25000,"&lt;$25k",IF(D1229&lt;50000,"$25k-$50k",IF(D1229&lt;75000,"$50k-$75k",IF(D1229&lt;100000,"$75k-$100k","$100k+")))))</x:f>
        <x:v>$25k-$50k</x:v>
      </x:c>
      <x:c r="P1229" t="str">
        <x:f>IF(E1229="","Unknown",IF(E1229&lt;10,"&lt;10",IF(E1229&lt;20,"10-&lt;20",IF(E1229&lt;25,"20-&lt;25",IF(E1229&lt;35,"25-&lt;35","35+")))))</x:f>
        <x:v>10-&lt;20</x:v>
      </x:c>
    </x:row>
    <x:row r="1230">
      <x:c r="A1230" t="str">
        <x:v>SYN0001229</x:v>
      </x:c>
      <x:c r="B1230" s="12" t="n">
        <x:v>43195</x:v>
      </x:c>
      <x:c r="C1230" s="18" t="n">
        <x:v>20659</x:v>
      </x:c>
      <x:c r="D1230" s="18" t="n">
        <x:v>70371</x:v>
      </x:c>
      <x:c r="E1230" s="18" t="n">
        <x:v>8.08</x:v>
      </x:c>
      <x:c r="F1230" s="18" t="n">
        <x:v>10.69</x:v>
      </x:c>
      <x:c r="G1230" t="n">
        <x:v>36</x:v>
      </x:c>
      <x:c r="H1230" t="str">
        <x:v>A</x:v>
      </x:c>
      <x:c r="I1230" t="str">
        <x:v>10+ years</x:v>
      </x:c>
      <x:c r="J1230" t="str">
        <x:v>RENT</x:v>
      </x:c>
      <x:c r="K1230" t="str">
        <x:v>home_improvement</x:v>
      </x:c>
      <x:c r="L1230" t="n">
        <x:v>0</x:v>
      </x:c>
      <x:c r="M1230" t="n">
        <x:v>0</x:v>
      </x:c>
      <x:c r="N1230" t="str">
        <x:v>Fully Paid</x:v>
      </x:c>
      <x:c r="O1230" t="str">
        <x:f>IF(D1230="","Unknown",IF(D1230&lt;25000,"&lt;$25k",IF(D1230&lt;50000,"$25k-$50k",IF(D1230&lt;75000,"$50k-$75k",IF(D1230&lt;100000,"$75k-$100k","$100k+")))))</x:f>
        <x:v>$50k-$75k</x:v>
      </x:c>
      <x:c r="P1230" t="str">
        <x:f>IF(E1230="","Unknown",IF(E1230&lt;10,"&lt;10",IF(E1230&lt;20,"10-&lt;20",IF(E1230&lt;25,"20-&lt;25",IF(E1230&lt;35,"25-&lt;35","35+")))))</x:f>
        <x:v>&lt;10</x:v>
      </x:c>
    </x:row>
    <x:row r="1231">
      <x:c r="A1231" t="str">
        <x:v>SYN0001230</x:v>
      </x:c>
      <x:c r="B1231" s="12" t="n">
        <x:v>42115</x:v>
      </x:c>
      <x:c r="C1231" s="18" t="n">
        <x:v>12188</x:v>
      </x:c>
      <x:c r="D1231" s="18" t="n">
        <x:v>105965</x:v>
      </x:c>
      <x:c r="E1231" s="18" t="n">
        <x:v>0</x:v>
      </x:c>
      <x:c r="F1231" s="18" t="n">
        <x:v>7.12</x:v>
      </x:c>
      <x:c r="G1231" t="n">
        <x:v>36</x:v>
      </x:c>
      <x:c r="H1231" t="str">
        <x:v>A</x:v>
      </x:c>
      <x:c r="I1231" t="str">
        <x:v>4-6 years</x:v>
      </x:c>
      <x:c r="J1231" t="str">
        <x:v>RENT</x:v>
      </x:c>
      <x:c r="K1231" t="str">
        <x:v>major_purchase</x:v>
      </x:c>
      <x:c r="L1231" t="n">
        <x:v>0</x:v>
      </x:c>
      <x:c r="M1231" t="n">
        <x:v>0</x:v>
      </x:c>
      <x:c r="N1231" t="str">
        <x:v>Fully Paid</x:v>
      </x:c>
      <x:c r="O1231" t="str">
        <x:f>IF(D1231="","Unknown",IF(D1231&lt;25000,"&lt;$25k",IF(D1231&lt;50000,"$25k-$50k",IF(D1231&lt;75000,"$50k-$75k",IF(D1231&lt;100000,"$75k-$100k","$100k+")))))</x:f>
        <x:v>$100k+</x:v>
      </x:c>
      <x:c r="P1231" t="str">
        <x:f>IF(E1231="","Unknown",IF(E1231&lt;10,"&lt;10",IF(E1231&lt;20,"10-&lt;20",IF(E1231&lt;25,"20-&lt;25",IF(E1231&lt;35,"25-&lt;35","35+")))))</x:f>
        <x:v>Unknown</x:v>
      </x:c>
    </x:row>
    <x:row r="1232">
      <x:c r="A1232" t="str">
        <x:v>SYN0001231</x:v>
      </x:c>
      <x:c r="B1232" s="12" t="n">
        <x:v>42715</x:v>
      </x:c>
      <x:c r="C1232" s="18" t="n">
        <x:v>13707</x:v>
      </x:c>
      <x:c r="D1232" s="18" t="n">
        <x:v>139135</x:v>
      </x:c>
      <x:c r="E1232" s="18" t="n">
        <x:v>23</x:v>
      </x:c>
      <x:c r="F1232" s="18" t="n">
        <x:v>12.43</x:v>
      </x:c>
      <x:c r="G1232" t="n">
        <x:v>36</x:v>
      </x:c>
      <x:c r="H1232" t="str">
        <x:v>C</x:v>
      </x:c>
      <x:c r="I1232" t="str">
        <x:v>10+ years</x:v>
      </x:c>
      <x:c r="J1232" t="str">
        <x:v>MORTGAGE</x:v>
      </x:c>
      <x:c r="K1232" t="str">
        <x:v>debt_consolidation</x:v>
      </x:c>
      <x:c r="L1232" t="n">
        <x:v>0</x:v>
      </x:c>
      <x:c r="M1232" t="n">
        <x:v>0</x:v>
      </x:c>
      <x:c r="N1232" t="str">
        <x:v>Fully Paid</x:v>
      </x:c>
      <x:c r="O1232" t="str">
        <x:f>IF(D1232="","Unknown",IF(D1232&lt;25000,"&lt;$25k",IF(D1232&lt;50000,"$25k-$50k",IF(D1232&lt;75000,"$50k-$75k",IF(D1232&lt;100000,"$75k-$100k","$100k+")))))</x:f>
        <x:v>$100k+</x:v>
      </x:c>
      <x:c r="P1232" t="str">
        <x:f>IF(E1232="","Unknown",IF(E1232&lt;10,"&lt;10",IF(E1232&lt;20,"10-&lt;20",IF(E1232&lt;25,"20-&lt;25",IF(E1232&lt;35,"25-&lt;35","35+")))))</x:f>
        <x:v>20-&lt;25</x:v>
      </x:c>
    </x:row>
    <x:row r="1233">
      <x:c r="A1233" t="str">
        <x:v>SYN0001232</x:v>
      </x:c>
      <x:c r="B1233" s="12" t="n">
        <x:v>41275</x:v>
      </x:c>
      <x:c r="C1233" s="18" t="n">
        <x:v>33989</x:v>
      </x:c>
      <x:c r="D1233" s="18" t="n">
        <x:v>51432</x:v>
      </x:c>
      <x:c r="E1233" s="18" t="n">
        <x:v>16.3</x:v>
      </x:c>
      <x:c r="F1233" s="18" t="n">
        <x:v>6.38</x:v>
      </x:c>
      <x:c r="G1233" t="n">
        <x:v>60</x:v>
      </x:c>
      <x:c r="H1233" t="str">
        <x:v>B</x:v>
      </x:c>
      <x:c r="I1233" t="str">
        <x:v>4-6 years</x:v>
      </x:c>
      <x:c r="J1233" t="str">
        <x:v>MORTGAGE</x:v>
      </x:c>
      <x:c r="K1233" t="str">
        <x:v>debt_consolidation</x:v>
      </x:c>
      <x:c r="L1233" t="n">
        <x:v>0</x:v>
      </x:c>
      <x:c r="M1233" t="n">
        <x:v>0</x:v>
      </x:c>
      <x:c r="N1233" t="str">
        <x:v>Fully Paid</x:v>
      </x:c>
      <x:c r="O1233" t="str">
        <x:f>IF(D1233="","Unknown",IF(D1233&lt;25000,"&lt;$25k",IF(D1233&lt;50000,"$25k-$50k",IF(D1233&lt;75000,"$50k-$75k",IF(D1233&lt;100000,"$75k-$100k","$100k+")))))</x:f>
        <x:v>$50k-$75k</x:v>
      </x:c>
      <x:c r="P1233" t="str">
        <x:f>IF(E1233="","Unknown",IF(E1233&lt;10,"&lt;10",IF(E1233&lt;20,"10-&lt;20",IF(E1233&lt;25,"20-&lt;25",IF(E1233&lt;35,"25-&lt;35","35+")))))</x:f>
        <x:v>10-&lt;20</x:v>
      </x:c>
    </x:row>
    <x:row r="1234">
      <x:c r="A1234" t="str">
        <x:v>SYN0001233</x:v>
      </x:c>
      <x:c r="B1234" s="12" t="n">
        <x:v>41905</x:v>
      </x:c>
      <x:c r="C1234" s="18" t="n">
        <x:v>9147</x:v>
      </x:c>
      <x:c r="D1234" s="18" t="n">
        <x:v>31312</x:v>
      </x:c>
      <x:c r="E1234" s="18" t="n">
        <x:v>10.52</x:v>
      </x:c>
      <x:c r="F1234" s="18" t="n">
        <x:v>26.74</x:v>
      </x:c>
      <x:c r="G1234" t="n">
        <x:v>60</x:v>
      </x:c>
      <x:c r="H1234" t="str">
        <x:v>G</x:v>
      </x:c>
      <x:c r="I1234" t="str">
        <x:v>1-3 years</x:v>
      </x:c>
      <x:c r="J1234" t="str">
        <x:v>OWN</x:v>
      </x:c>
      <x:c r="K1234" t="str">
        <x:v>medical</x:v>
      </x:c>
      <x:c r="L1234" t="n">
        <x:v>0</x:v>
      </x:c>
      <x:c r="M1234" t="n">
        <x:v>0</x:v>
      </x:c>
      <x:c r="N1234" t="str">
        <x:v>Fully Paid</x:v>
      </x:c>
      <x:c r="O1234" t="str">
        <x:f>IF(D1234="","Unknown",IF(D1234&lt;25000,"&lt;$25k",IF(D1234&lt;50000,"$25k-$50k",IF(D1234&lt;75000,"$50k-$75k",IF(D1234&lt;100000,"$75k-$100k","$100k+")))))</x:f>
        <x:v>$25k-$50k</x:v>
      </x:c>
      <x:c r="P1234" t="str">
        <x:f>IF(E1234="","Unknown",IF(E1234&lt;10,"&lt;10",IF(E1234&lt;20,"10-&lt;20",IF(E1234&lt;25,"20-&lt;25",IF(E1234&lt;35,"25-&lt;35","35+")))))</x:f>
        <x:v>10-&lt;20</x:v>
      </x:c>
    </x:row>
    <x:row r="1235">
      <x:c r="A1235" t="str">
        <x:v>SYN0001234</x:v>
      </x:c>
      <x:c r="B1235" s="12" t="n">
        <x:v>42235</x:v>
      </x:c>
      <x:c r="C1235" s="18" t="n">
        <x:v>13498</x:v>
      </x:c>
      <x:c r="D1235" s="18" t="n">
        <x:v>132724</x:v>
      </x:c>
      <x:c r="E1235" s="18" t="n">
        <x:v>0</x:v>
      </x:c>
      <x:c r="F1235" s="18" t="n">
        <x:v>13.46</x:v>
      </x:c>
      <x:c r="G1235" t="n">
        <x:v>60</x:v>
      </x:c>
      <x:c r="H1235" t="str">
        <x:v>D</x:v>
      </x:c>
      <x:c r="I1235" t="str">
        <x:v>7-9 years</x:v>
      </x:c>
      <x:c r="J1235" t="str">
        <x:v>MORTGAGE</x:v>
      </x:c>
      <x:c r="K1235" t="str">
        <x:v>home_improvement</x:v>
      </x:c>
      <x:c r="L1235" t="n">
        <x:v>0</x:v>
      </x:c>
      <x:c r="M1235" t="n">
        <x:v>1</x:v>
      </x:c>
      <x:c r="N1235" t="str">
        <x:v>Charged Off</x:v>
      </x:c>
      <x:c r="O1235" t="str">
        <x:f>IF(D1235="","Unknown",IF(D1235&lt;25000,"&lt;$25k",IF(D1235&lt;50000,"$25k-$50k",IF(D1235&lt;75000,"$50k-$75k",IF(D1235&lt;100000,"$75k-$100k","$100k+")))))</x:f>
        <x:v>$100k+</x:v>
      </x:c>
      <x:c r="P1235" t="str">
        <x:f>IF(E1235="","Unknown",IF(E1235&lt;10,"&lt;10",IF(E1235&lt;20,"10-&lt;20",IF(E1235&lt;25,"20-&lt;25",IF(E1235&lt;35,"25-&lt;35","35+")))))</x:f>
        <x:v>Unknown</x:v>
      </x:c>
    </x:row>
    <x:row r="1236">
      <x:c r="A1236" t="str">
        <x:v>SYN0001235</x:v>
      </x:c>
      <x:c r="B1236" s="12" t="n">
        <x:v>42835</x:v>
      </x:c>
      <x:c r="C1236" s="18" t="n">
        <x:v>5709</x:v>
      </x:c>
      <x:c r="D1236" s="18" t="n">
        <x:v>192528</x:v>
      </x:c>
      <x:c r="E1236" s="18" t="n">
        <x:v>14.84</x:v>
      </x:c>
      <x:c r="F1236" s="18" t="n">
        <x:v>14.5</x:v>
      </x:c>
      <x:c r="G1236" t="n">
        <x:v>60</x:v>
      </x:c>
      <x:c r="H1236" t="str">
        <x:v>D</x:v>
      </x:c>
      <x:c r="I1236" t="str">
        <x:v>10+ years</x:v>
      </x:c>
      <x:c r="J1236" t="str">
        <x:v>RENT</x:v>
      </x:c>
      <x:c r="K1236" t="str">
        <x:v>debt_consolidation</x:v>
      </x:c>
      <x:c r="L1236" t="n">
        <x:v>0</x:v>
      </x:c>
      <x:c r="M1236" t="n">
        <x:v>0</x:v>
      </x:c>
      <x:c r="N1236" t="str">
        <x:v>Fully Paid</x:v>
      </x:c>
      <x:c r="O1236" t="str">
        <x:f>IF(D1236="","Unknown",IF(D1236&lt;25000,"&lt;$25k",IF(D1236&lt;50000,"$25k-$50k",IF(D1236&lt;75000,"$50k-$75k",IF(D1236&lt;100000,"$75k-$100k","$100k+")))))</x:f>
        <x:v>$100k+</x:v>
      </x:c>
      <x:c r="P1236" t="str">
        <x:f>IF(E1236="","Unknown",IF(E1236&lt;10,"&lt;10",IF(E1236&lt;20,"10-&lt;20",IF(E1236&lt;25,"20-&lt;25",IF(E1236&lt;35,"25-&lt;35","35+")))))</x:f>
        <x:v>10-&lt;20</x:v>
      </x:c>
    </x:row>
    <x:row r="1237">
      <x:c r="A1237" t="str">
        <x:v>SYN0001236</x:v>
      </x:c>
      <x:c r="B1237" s="12" t="n">
        <x:v>41605</x:v>
      </x:c>
      <x:c r="C1237" s="18" t="n">
        <x:v>8023</x:v>
      </x:c>
      <x:c r="D1237" s="18" t="n">
        <x:v>46643</x:v>
      </x:c>
      <x:c r="E1237" s="18" t="n">
        <x:v>43</x:v>
      </x:c>
      <x:c r="F1237" s="18" t="n">
        <x:v>16.15</x:v>
      </x:c>
      <x:c r="G1237" t="n">
        <x:v>36</x:v>
      </x:c>
      <x:c r="H1237" t="str">
        <x:v>D</x:v>
      </x:c>
      <x:c r="I1237" t="str">
        <x:v>4-6 years</x:v>
      </x:c>
      <x:c r="J1237" t="str">
        <x:v>RENT</x:v>
      </x:c>
      <x:c r="K1237" t="str">
        <x:v>credit_card</x:v>
      </x:c>
      <x:c r="L1237" t="n">
        <x:v>0</x:v>
      </x:c>
      <x:c r="M1237" t="n">
        <x:v>0</x:v>
      </x:c>
      <x:c r="N1237" t="str">
        <x:v>Fully Paid</x:v>
      </x:c>
      <x:c r="O1237" t="str">
        <x:f>IF(D1237="","Unknown",IF(D1237&lt;25000,"&lt;$25k",IF(D1237&lt;50000,"$25k-$50k",IF(D1237&lt;75000,"$50k-$75k",IF(D1237&lt;100000,"$75k-$100k","$100k+")))))</x:f>
        <x:v>$25k-$50k</x:v>
      </x:c>
      <x:c r="P1237" t="str">
        <x:f>IF(E1237="","Unknown",IF(E1237&lt;10,"&lt;10",IF(E1237&lt;20,"10-&lt;20",IF(E1237&lt;25,"20-&lt;25",IF(E1237&lt;35,"25-&lt;35","35+")))))</x:f>
        <x:v>35+</x:v>
      </x:c>
    </x:row>
    <x:row r="1238">
      <x:c r="A1238" t="str">
        <x:v>SYN0001237</x:v>
      </x:c>
      <x:c r="B1238" s="12" t="n">
        <x:v>42775</x:v>
      </x:c>
      <x:c r="C1238" s="18" t="n">
        <x:v>6062</x:v>
      </x:c>
      <x:c r="D1238" s="18" t="n">
        <x:v>25793</x:v>
      </x:c>
      <x:c r="E1238" s="18" t="n">
        <x:v>12.26</x:v>
      </x:c>
      <x:c r="F1238" s="18" t="n">
        <x:v>17.21</x:v>
      </x:c>
      <x:c r="G1238" t="n">
        <x:v>36</x:v>
      </x:c>
      <x:c r="H1238" t="str">
        <x:v>D</x:v>
      </x:c>
      <x:c r="I1238" t="str">
        <x:v>4-6 years</x:v>
      </x:c>
      <x:c r="J1238" t="str">
        <x:v>RENT</x:v>
      </x:c>
      <x:c r="K1238" t="str">
        <x:v>debt_consolidation</x:v>
      </x:c>
      <x:c r="L1238" t="n">
        <x:v>1</x:v>
      </x:c>
      <x:c r="M1238" t="n">
        <x:v>0</x:v>
      </x:c>
      <x:c r="N1238" t="str">
        <x:v>Fully Paid</x:v>
      </x:c>
      <x:c r="O1238" t="str">
        <x:f>IF(D1238="","Unknown",IF(D1238&lt;25000,"&lt;$25k",IF(D1238&lt;50000,"$25k-$50k",IF(D1238&lt;75000,"$50k-$75k",IF(D1238&lt;100000,"$75k-$100k","$100k+")))))</x:f>
        <x:v>$25k-$50k</x:v>
      </x:c>
      <x:c r="P1238" t="str">
        <x:f>IF(E1238="","Unknown",IF(E1238&lt;10,"&lt;10",IF(E1238&lt;20,"10-&lt;20",IF(E1238&lt;25,"20-&lt;25",IF(E1238&lt;35,"25-&lt;35","35+")))))</x:f>
        <x:v>10-&lt;20</x:v>
      </x:c>
    </x:row>
    <x:row r="1239">
      <x:c r="A1239" t="str">
        <x:v>SYN0001238</x:v>
      </x:c>
      <x:c r="B1239" s="12" t="n">
        <x:v>41995</x:v>
      </x:c>
      <x:c r="C1239" s="18" t="n">
        <x:v>16857</x:v>
      </x:c>
      <x:c r="D1239" s="18" t="n">
        <x:v>48719</x:v>
      </x:c>
      <x:c r="E1239" s="18" t="n">
        <x:v>34.85</x:v>
      </x:c>
      <x:c r="F1239" s="18" t="n">
        <x:v>9.57</x:v>
      </x:c>
      <x:c r="G1239" t="n">
        <x:v>36</x:v>
      </x:c>
      <x:c r="H1239" t="str">
        <x:v>C</x:v>
      </x:c>
      <x:c r="I1239" t="str">
        <x:v>4-6 years</x:v>
      </x:c>
      <x:c r="J1239" t="str">
        <x:v>RENT</x:v>
      </x:c>
      <x:c r="K1239" t="str">
        <x:v>debt_consolidation</x:v>
      </x:c>
      <x:c r="L1239" t="n">
        <x:v>0</x:v>
      </x:c>
      <x:c r="M1239" t="n">
        <x:v>0</x:v>
      </x:c>
      <x:c r="N1239" t="str">
        <x:v>Fully Paid</x:v>
      </x:c>
      <x:c r="O1239" t="str">
        <x:f>IF(D1239="","Unknown",IF(D1239&lt;25000,"&lt;$25k",IF(D1239&lt;50000,"$25k-$50k",IF(D1239&lt;75000,"$50k-$75k",IF(D1239&lt;100000,"$75k-$100k","$100k+")))))</x:f>
        <x:v>$25k-$50k</x:v>
      </x:c>
      <x:c r="P1239" t="str">
        <x:f>IF(E1239="","Unknown",IF(E1239&lt;10,"&lt;10",IF(E1239&lt;20,"10-&lt;20",IF(E1239&lt;25,"20-&lt;25",IF(E1239&lt;35,"25-&lt;35","35+")))))</x:f>
        <x:v>25-&lt;35</x:v>
      </x:c>
    </x:row>
    <x:row r="1240">
      <x:c r="A1240" t="str">
        <x:v>SYN0001239</x:v>
      </x:c>
      <x:c r="B1240" s="12" t="n">
        <x:v>41785</x:v>
      </x:c>
      <x:c r="C1240" s="18" t="n">
        <x:v>16395</x:v>
      </x:c>
      <x:c r="D1240" s="18" t="n">
        <x:v>19678</x:v>
      </x:c>
      <x:c r="E1240" s="18" t="n">
        <x:v>16.64</x:v>
      </x:c>
      <x:c r="F1240" s="18" t="n">
        <x:v>20.25</x:v>
      </x:c>
      <x:c r="G1240" t="n">
        <x:v>60</x:v>
      </x:c>
      <x:c r="H1240" t="str">
        <x:v>E</x:v>
      </x:c>
      <x:c r="I1240" t="str">
        <x:v>7-9 years</x:v>
      </x:c>
      <x:c r="J1240" t="str">
        <x:v>RENT</x:v>
      </x:c>
      <x:c r="K1240" t="str">
        <x:v>home_improvement</x:v>
      </x:c>
      <x:c r="L1240" t="n">
        <x:v>0</x:v>
      </x:c>
      <x:c r="M1240" t="n">
        <x:v>0</x:v>
      </x:c>
      <x:c r="N1240" t="str">
        <x:v>Fully Paid</x:v>
      </x:c>
      <x:c r="O1240" t="str">
        <x:f>IF(D1240="","Unknown",IF(D1240&lt;25000,"&lt;$25k",IF(D1240&lt;50000,"$25k-$50k",IF(D1240&lt;75000,"$50k-$75k",IF(D1240&lt;100000,"$75k-$100k","$100k+")))))</x:f>
        <x:v>&lt;$25k</x:v>
      </x:c>
      <x:c r="P1240" t="str">
        <x:f>IF(E1240="","Unknown",IF(E1240&lt;10,"&lt;10",IF(E1240&lt;20,"10-&lt;20",IF(E1240&lt;25,"20-&lt;25",IF(E1240&lt;35,"25-&lt;35","35+")))))</x:f>
        <x:v>10-&lt;20</x:v>
      </x:c>
    </x:row>
    <x:row r="1241">
      <x:c r="A1241" t="str">
        <x:v>SYN0001240</x:v>
      </x:c>
      <x:c r="B1241" s="12" t="n">
        <x:v>42145</x:v>
      </x:c>
      <x:c r="C1241" s="18" t="n">
        <x:v>11819</x:v>
      </x:c>
      <x:c r="D1241" s="18" t="n">
        <x:v>156085</x:v>
      </x:c>
      <x:c r="E1241" s="18" t="n">
        <x:v>13.37</x:v>
      </x:c>
      <x:c r="F1241" s="18" t="n">
        <x:v>25.93</x:v>
      </x:c>
      <x:c r="G1241" t="n">
        <x:v>36</x:v>
      </x:c>
      <x:c r="H1241" t="str">
        <x:v>G</x:v>
      </x:c>
      <x:c r="I1241" t="str">
        <x:v>10+ years</x:v>
      </x:c>
      <x:c r="J1241" t="str">
        <x:v>RENT</x:v>
      </x:c>
      <x:c r="K1241" t="str">
        <x:v>debt_consolidation</x:v>
      </x:c>
      <x:c r="L1241" t="n">
        <x:v>1</x:v>
      </x:c>
      <x:c r="M1241" t="n">
        <x:v>1</x:v>
      </x:c>
      <x:c r="N1241" t="str">
        <x:v>Charged Off</x:v>
      </x:c>
      <x:c r="O1241" t="str">
        <x:f>IF(D1241="","Unknown",IF(D1241&lt;25000,"&lt;$25k",IF(D1241&lt;50000,"$25k-$50k",IF(D1241&lt;75000,"$50k-$75k",IF(D1241&lt;100000,"$75k-$100k","$100k+")))))</x:f>
        <x:v>$100k+</x:v>
      </x:c>
      <x:c r="P1241" t="str">
        <x:f>IF(E1241="","Unknown",IF(E1241&lt;10,"&lt;10",IF(E1241&lt;20,"10-&lt;20",IF(E1241&lt;25,"20-&lt;25",IF(E1241&lt;35,"25-&lt;35","35+")))))</x:f>
        <x:v>10-&lt;20</x:v>
      </x:c>
    </x:row>
    <x:row r="1242">
      <x:c r="A1242" t="str">
        <x:v>SYN0001241</x:v>
      </x:c>
      <x:c r="B1242" s="12" t="n">
        <x:v>42565</x:v>
      </x:c>
      <x:c r="C1242" s="18" t="n">
        <x:v>9922</x:v>
      </x:c>
      <x:c r="D1242" s="18" t="n">
        <x:v>37636</x:v>
      </x:c>
      <x:c r="E1242" s="18" t="n">
        <x:v>16.28</x:v>
      </x:c>
      <x:c r="F1242" s="18" t="n">
        <x:v>10.43</x:v>
      </x:c>
      <x:c r="G1242" t="n">
        <x:v>36</x:v>
      </x:c>
      <x:c r="H1242" t="str">
        <x:v>B</x:v>
      </x:c>
      <x:c r="I1242" t="str">
        <x:v>7-9 years</x:v>
      </x:c>
      <x:c r="J1242" t="str">
        <x:v>RENT</x:v>
      </x:c>
      <x:c r="K1242" t="str">
        <x:v>credit_card</x:v>
      </x:c>
      <x:c r="L1242" t="n">
        <x:v>1</x:v>
      </x:c>
      <x:c r="M1242" t="n">
        <x:v>0</x:v>
      </x:c>
      <x:c r="N1242" t="str">
        <x:v>Fully Paid</x:v>
      </x:c>
      <x:c r="O1242" t="str">
        <x:f>IF(D1242="","Unknown",IF(D1242&lt;25000,"&lt;$25k",IF(D1242&lt;50000,"$25k-$50k",IF(D1242&lt;75000,"$50k-$75k",IF(D1242&lt;100000,"$75k-$100k","$100k+")))))</x:f>
        <x:v>$25k-$50k</x:v>
      </x:c>
      <x:c r="P1242" t="str">
        <x:f>IF(E1242="","Unknown",IF(E1242&lt;10,"&lt;10",IF(E1242&lt;20,"10-&lt;20",IF(E1242&lt;25,"20-&lt;25",IF(E1242&lt;35,"25-&lt;35","35+")))))</x:f>
        <x:v>10-&lt;20</x:v>
      </x:c>
    </x:row>
    <x:row r="1243">
      <x:c r="A1243" t="str">
        <x:v>SYN0001242</x:v>
      </x:c>
      <x:c r="B1243" s="12" t="n">
        <x:v>42085</x:v>
      </x:c>
      <x:c r="C1243" s="18" t="n">
        <x:v>10413</x:v>
      </x:c>
      <x:c r="D1243" s="18" t="n">
        <x:v>32172</x:v>
      </x:c>
      <x:c r="E1243" s="18" t="n">
        <x:v>25.58</x:v>
      </x:c>
      <x:c r="F1243" s="18" t="n">
        <x:v>21.29</x:v>
      </x:c>
      <x:c r="G1243" t="n">
        <x:v>36</x:v>
      </x:c>
      <x:c r="H1243" t="str">
        <x:v>E</x:v>
      </x:c>
      <x:c r="I1243" t="str">
        <x:v>4-6 years</x:v>
      </x:c>
      <x:c r="J1243" t="str">
        <x:v>RENT</x:v>
      </x:c>
      <x:c r="K1243" t="str">
        <x:v>debt_consolidation</x:v>
      </x:c>
      <x:c r="L1243" t="n">
        <x:v>1</x:v>
      </x:c>
      <x:c r="M1243" t="n">
        <x:v>0</x:v>
      </x:c>
      <x:c r="N1243" t="str">
        <x:v>Fully Paid</x:v>
      </x:c>
      <x:c r="O1243" t="str">
        <x:f>IF(D1243="","Unknown",IF(D1243&lt;25000,"&lt;$25k",IF(D1243&lt;50000,"$25k-$50k",IF(D1243&lt;75000,"$50k-$75k",IF(D1243&lt;100000,"$75k-$100k","$100k+")))))</x:f>
        <x:v>$25k-$50k</x:v>
      </x:c>
      <x:c r="P1243" t="str">
        <x:f>IF(E1243="","Unknown",IF(E1243&lt;10,"&lt;10",IF(E1243&lt;20,"10-&lt;20",IF(E1243&lt;25,"20-&lt;25",IF(E1243&lt;35,"25-&lt;35","35+")))))</x:f>
        <x:v>25-&lt;35</x:v>
      </x:c>
    </x:row>
    <x:row r="1244">
      <x:c r="A1244" t="str">
        <x:v>SYN0001243</x:v>
      </x:c>
      <x:c r="B1244" s="12" t="n">
        <x:v>42925</x:v>
      </x:c>
      <x:c r="C1244" s="18" t="n">
        <x:v>5836</x:v>
      </x:c>
      <x:c r="D1244" s="18" t="n">
        <x:v>64328</x:v>
      </x:c>
      <x:c r="E1244" s="18" t="n">
        <x:v>33.44</x:v>
      </x:c>
      <x:c r="F1244" s="18" t="n">
        <x:v>8.57</x:v>
      </x:c>
      <x:c r="G1244" t="n">
        <x:v>36</x:v>
      </x:c>
      <x:c r="H1244" t="str">
        <x:v>A</x:v>
      </x:c>
      <x:c r="I1244" t="str">
        <x:v>1-3 years</x:v>
      </x:c>
      <x:c r="J1244" t="str">
        <x:v>MORTGAGE</x:v>
      </x:c>
      <x:c r="K1244" t="str">
        <x:v>major_purchase</x:v>
      </x:c>
      <x:c r="L1244" t="n">
        <x:v>0</x:v>
      </x:c>
      <x:c r="M1244" t="n">
        <x:v>0</x:v>
      </x:c>
      <x:c r="N1244" t="str">
        <x:v>Fully Paid</x:v>
      </x:c>
      <x:c r="O1244" t="str">
        <x:f>IF(D1244="","Unknown",IF(D1244&lt;25000,"&lt;$25k",IF(D1244&lt;50000,"$25k-$50k",IF(D1244&lt;75000,"$50k-$75k",IF(D1244&lt;100000,"$75k-$100k","$100k+")))))</x:f>
        <x:v>$50k-$75k</x:v>
      </x:c>
      <x:c r="P1244" t="str">
        <x:f>IF(E1244="","Unknown",IF(E1244&lt;10,"&lt;10",IF(E1244&lt;20,"10-&lt;20",IF(E1244&lt;25,"20-&lt;25",IF(E1244&lt;35,"25-&lt;35","35+")))))</x:f>
        <x:v>25-&lt;35</x:v>
      </x:c>
    </x:row>
    <x:row r="1245">
      <x:c r="A1245" t="str">
        <x:v>SYN0001244</x:v>
      </x:c>
      <x:c r="B1245" s="12" t="n">
        <x:v>41905</x:v>
      </x:c>
      <x:c r="C1245" s="18" t="n">
        <x:v>23312</x:v>
      </x:c>
      <x:c r="D1245" s="18" t="n">
        <x:v>55547</x:v>
      </x:c>
      <x:c r="E1245" s="18" t="n">
        <x:v>5.35</x:v>
      </x:c>
      <x:c r="F1245" s="18" t="n">
        <x:v>10.53</x:v>
      </x:c>
      <x:c r="G1245" t="n">
        <x:v>60</x:v>
      </x:c>
      <x:c r="H1245" t="str">
        <x:v>C</x:v>
      </x:c>
      <x:c r="I1245" t="str">
        <x:v>10+ years</x:v>
      </x:c>
      <x:c r="J1245" t="str">
        <x:v>MORTGAGE</x:v>
      </x:c>
      <x:c r="K1245" t="str">
        <x:v>debt_consolidation</x:v>
      </x:c>
      <x:c r="L1245" t="n">
        <x:v>0</x:v>
      </x:c>
      <x:c r="M1245" t="n">
        <x:v>0</x:v>
      </x:c>
      <x:c r="N1245" t="str">
        <x:v>Fully Paid</x:v>
      </x:c>
      <x:c r="O1245" t="str">
        <x:f>IF(D1245="","Unknown",IF(D1245&lt;25000,"&lt;$25k",IF(D1245&lt;50000,"$25k-$50k",IF(D1245&lt;75000,"$50k-$75k",IF(D1245&lt;100000,"$75k-$100k","$100k+")))))</x:f>
        <x:v>$50k-$75k</x:v>
      </x:c>
      <x:c r="P1245" t="str">
        <x:f>IF(E1245="","Unknown",IF(E1245&lt;10,"&lt;10",IF(E1245&lt;20,"10-&lt;20",IF(E1245&lt;25,"20-&lt;25",IF(E1245&lt;35,"25-&lt;35","35+")))))</x:f>
        <x:v>&lt;10</x:v>
      </x:c>
    </x:row>
    <x:row r="1246">
      <x:c r="A1246" t="str">
        <x:v>SYN0001245</x:v>
      </x:c>
      <x:c r="B1246" s="12" t="n">
        <x:v>41665</x:v>
      </x:c>
      <x:c r="C1246" s="18" t="n">
        <x:v>24966</x:v>
      </x:c>
      <x:c r="D1246" s="18" t="n">
        <x:v>78084</x:v>
      </x:c>
      <x:c r="E1246" s="18" t="n">
        <x:v>36.27</x:v>
      </x:c>
      <x:c r="F1246" s="18" t="n">
        <x:v>5.76</x:v>
      </x:c>
      <x:c r="G1246" t="n">
        <x:v>60</x:v>
      </x:c>
      <x:c r="H1246" t="str">
        <x:v>B</x:v>
      </x:c>
      <x:c r="I1246" t="str">
        <x:v>10+ years</x:v>
      </x:c>
      <x:c r="J1246" t="str">
        <x:v>MORTGAGE</x:v>
      </x:c>
      <x:c r="K1246" t="str">
        <x:v>debt_consolidation</x:v>
      </x:c>
      <x:c r="L1246" t="n">
        <x:v>1</x:v>
      </x:c>
      <x:c r="M1246" t="n">
        <x:v>0</x:v>
      </x:c>
      <x:c r="N1246" t="str">
        <x:v>Fully Paid</x:v>
      </x:c>
      <x:c r="O1246" t="str">
        <x:f>IF(D1246="","Unknown",IF(D1246&lt;25000,"&lt;$25k",IF(D1246&lt;50000,"$25k-$50k",IF(D1246&lt;75000,"$50k-$75k",IF(D1246&lt;100000,"$75k-$100k","$100k+")))))</x:f>
        <x:v>$75k-$100k</x:v>
      </x:c>
      <x:c r="P1246" t="str">
        <x:f>IF(E1246="","Unknown",IF(E1246&lt;10,"&lt;10",IF(E1246&lt;20,"10-&lt;20",IF(E1246&lt;25,"20-&lt;25",IF(E1246&lt;35,"25-&lt;35","35+")))))</x:f>
        <x:v>35+</x:v>
      </x:c>
    </x:row>
    <x:row r="1247">
      <x:c r="A1247" t="str">
        <x:v>SYN0001246</x:v>
      </x:c>
      <x:c r="B1247" s="12" t="n">
        <x:v>41455</x:v>
      </x:c>
      <x:c r="C1247" s="18" t="n">
        <x:v>12845</x:v>
      </x:c>
      <x:c r="D1247" s="18" t="n">
        <x:v>47425</x:v>
      </x:c>
      <x:c r="E1247" s="18" t="n">
        <x:v>13.42</x:v>
      </x:c>
      <x:c r="F1247" s="18" t="n">
        <x:v>11.56</x:v>
      </x:c>
      <x:c r="G1247" t="n">
        <x:v>36</x:v>
      </x:c>
      <x:c r="H1247" t="str">
        <x:v>D</x:v>
      </x:c>
      <x:c r="I1247" t="str">
        <x:v>7-9 years</x:v>
      </x:c>
      <x:c r="J1247" t="str">
        <x:v>RENT</x:v>
      </x:c>
      <x:c r="K1247" t="str">
        <x:v>major_purchase</x:v>
      </x:c>
      <x:c r="L1247" t="n">
        <x:v>1</x:v>
      </x:c>
      <x:c r="M1247" t="n">
        <x:v>0</x:v>
      </x:c>
      <x:c r="N1247" t="str">
        <x:v>Fully Paid</x:v>
      </x:c>
      <x:c r="O1247" t="str">
        <x:f>IF(D1247="","Unknown",IF(D1247&lt;25000,"&lt;$25k",IF(D1247&lt;50000,"$25k-$50k",IF(D1247&lt;75000,"$50k-$75k",IF(D1247&lt;100000,"$75k-$100k","$100k+")))))</x:f>
        <x:v>$25k-$50k</x:v>
      </x:c>
      <x:c r="P1247" t="str">
        <x:f>IF(E1247="","Unknown",IF(E1247&lt;10,"&lt;10",IF(E1247&lt;20,"10-&lt;20",IF(E1247&lt;25,"20-&lt;25",IF(E1247&lt;35,"25-&lt;35","35+")))))</x:f>
        <x:v>10-&lt;20</x:v>
      </x:c>
    </x:row>
    <x:row r="1248">
      <x:c r="A1248" t="str">
        <x:v>SYN0001247</x:v>
      </x:c>
      <x:c r="B1248" s="12" t="n">
        <x:v>42235</x:v>
      </x:c>
      <x:c r="C1248" s="18" t="n">
        <x:v>40000</x:v>
      </x:c>
      <x:c r="D1248" s="18" t="n">
        <x:v>70531</x:v>
      </x:c>
      <x:c r="E1248" s="18" t="n">
        <x:v>14.58</x:v>
      </x:c>
      <x:c r="F1248" s="18" t="n">
        <x:v>7.48</x:v>
      </x:c>
      <x:c r="G1248" t="n">
        <x:v>36</x:v>
      </x:c>
      <x:c r="H1248" t="str">
        <x:v>A</x:v>
      </x:c>
      <x:c r="I1248" t="str">
        <x:v>7-9 years</x:v>
      </x:c>
      <x:c r="J1248" t="str">
        <x:v>RENT</x:v>
      </x:c>
      <x:c r="K1248" t="str">
        <x:v>medical</x:v>
      </x:c>
      <x:c r="L1248" t="n">
        <x:v>0</x:v>
      </x:c>
      <x:c r="M1248" t="n">
        <x:v>0</x:v>
      </x:c>
      <x:c r="N1248" t="str">
        <x:v>Fully Paid</x:v>
      </x:c>
      <x:c r="O1248" t="str">
        <x:f>IF(D1248="","Unknown",IF(D1248&lt;25000,"&lt;$25k",IF(D1248&lt;50000,"$25k-$50k",IF(D1248&lt;75000,"$50k-$75k",IF(D1248&lt;100000,"$75k-$100k","$100k+")))))</x:f>
        <x:v>$50k-$75k</x:v>
      </x:c>
      <x:c r="P1248" t="str">
        <x:f>IF(E1248="","Unknown",IF(E1248&lt;10,"&lt;10",IF(E1248&lt;20,"10-&lt;20",IF(E1248&lt;25,"20-&lt;25",IF(E1248&lt;35,"25-&lt;35","35+")))))</x:f>
        <x:v>10-&lt;20</x:v>
      </x:c>
    </x:row>
    <x:row r="1249">
      <x:c r="A1249" t="str">
        <x:v>SYN0001248</x:v>
      </x:c>
      <x:c r="B1249" s="12" t="n">
        <x:v>41875</x:v>
      </x:c>
      <x:c r="C1249" s="18" t="n">
        <x:v>20247</x:v>
      </x:c>
      <x:c r="D1249" s="18" t="n">
        <x:v>39361</x:v>
      </x:c>
      <x:c r="E1249" s="18" t="n">
        <x:v>11.51</x:v>
      </x:c>
      <x:c r="F1249" s="18" t="n">
        <x:v>12.11</x:v>
      </x:c>
      <x:c r="G1249" t="n">
        <x:v>36</x:v>
      </x:c>
      <x:c r="H1249" t="str">
        <x:v>B</x:v>
      </x:c>
      <x:c r="I1249" t="str">
        <x:v>4-6 years</x:v>
      </x:c>
      <x:c r="J1249" t="str">
        <x:v>MORTGAGE</x:v>
      </x:c>
      <x:c r="K1249" t="str">
        <x:v>medical</x:v>
      </x:c>
      <x:c r="L1249" t="n">
        <x:v>1</x:v>
      </x:c>
      <x:c r="M1249" t="n">
        <x:v>0</x:v>
      </x:c>
      <x:c r="N1249" t="str">
        <x:v>Fully Paid</x:v>
      </x:c>
      <x:c r="O1249" t="str">
        <x:f>IF(D1249="","Unknown",IF(D1249&lt;25000,"&lt;$25k",IF(D1249&lt;50000,"$25k-$50k",IF(D1249&lt;75000,"$50k-$75k",IF(D1249&lt;100000,"$75k-$100k","$100k+")))))</x:f>
        <x:v>$25k-$50k</x:v>
      </x:c>
      <x:c r="P1249" t="str">
        <x:f>IF(E1249="","Unknown",IF(E1249&lt;10,"&lt;10",IF(E1249&lt;20,"10-&lt;20",IF(E1249&lt;25,"20-&lt;25",IF(E1249&lt;35,"25-&lt;35","35+")))))</x:f>
        <x:v>10-&lt;20</x:v>
      </x:c>
    </x:row>
    <x:row r="1250">
      <x:c r="A1250" t="str">
        <x:v>SYN0001249</x:v>
      </x:c>
      <x:c r="B1250" s="12" t="n">
        <x:v>41365</x:v>
      </x:c>
      <x:c r="C1250" s="18" t="n">
        <x:v>8622</x:v>
      </x:c>
      <x:c r="D1250" s="18" t="n">
        <x:v>27306</x:v>
      </x:c>
      <x:c r="E1250" s="18" t="n">
        <x:v>27.13</x:v>
      </x:c>
      <x:c r="F1250" s="18" t="n">
        <x:v>16.35</x:v>
      </x:c>
      <x:c r="G1250" t="n">
        <x:v>60</x:v>
      </x:c>
      <x:c r="H1250" t="str">
        <x:v>E</x:v>
      </x:c>
      <x:c r="I1250" t="str">
        <x:v>4-6 years</x:v>
      </x:c>
      <x:c r="J1250" t="str">
        <x:v>MORTGAGE</x:v>
      </x:c>
      <x:c r="K1250" t="str">
        <x:v>debt_consolidation</x:v>
      </x:c>
      <x:c r="L1250" t="n">
        <x:v>1</x:v>
      </x:c>
      <x:c r="M1250" t="n">
        <x:v>1</x:v>
      </x:c>
      <x:c r="N1250" t="str">
        <x:v>Charged Off</x:v>
      </x:c>
      <x:c r="O1250" t="str">
        <x:f>IF(D1250="","Unknown",IF(D1250&lt;25000,"&lt;$25k",IF(D1250&lt;50000,"$25k-$50k",IF(D1250&lt;75000,"$50k-$75k",IF(D1250&lt;100000,"$75k-$100k","$100k+")))))</x:f>
        <x:v>$25k-$50k</x:v>
      </x:c>
      <x:c r="P1250" t="str">
        <x:f>IF(E1250="","Unknown",IF(E1250&lt;10,"&lt;10",IF(E1250&lt;20,"10-&lt;20",IF(E1250&lt;25,"20-&lt;25",IF(E1250&lt;35,"25-&lt;35","35+")))))</x:f>
        <x:v>25-&lt;35</x:v>
      </x:c>
    </x:row>
    <x:row r="1251">
      <x:c r="A1251" t="str">
        <x:v>SYN0001250</x:v>
      </x:c>
      <x:c r="B1251" s="12" t="n">
        <x:v>42655</x:v>
      </x:c>
      <x:c r="C1251" s="18" t="n">
        <x:v>12742</x:v>
      </x:c>
      <x:c r="D1251" s="18" t="n">
        <x:v>37385</x:v>
      </x:c>
      <x:c r="E1251" s="18" t="n">
        <x:v>28.81</x:v>
      </x:c>
      <x:c r="F1251" s="18" t="n">
        <x:v>7.49</x:v>
      </x:c>
      <x:c r="G1251" t="n">
        <x:v>36</x:v>
      </x:c>
      <x:c r="H1251" t="str">
        <x:v>B</x:v>
      </x:c>
      <x:c r="I1251" t="str">
        <x:v>10+ years</x:v>
      </x:c>
      <x:c r="J1251" t="str">
        <x:v>MORTGAGE</x:v>
      </x:c>
      <x:c r="K1251" t="str">
        <x:v>major_purchase</x:v>
      </x:c>
      <x:c r="L1251" t="n">
        <x:v>0</x:v>
      </x:c>
      <x:c r="M1251" t="n">
        <x:v>0</x:v>
      </x:c>
      <x:c r="N1251" t="str">
        <x:v>Fully Paid</x:v>
      </x:c>
      <x:c r="O1251" t="str">
        <x:f>IF(D1251="","Unknown",IF(D1251&lt;25000,"&lt;$25k",IF(D1251&lt;50000,"$25k-$50k",IF(D1251&lt;75000,"$50k-$75k",IF(D1251&lt;100000,"$75k-$100k","$100k+")))))</x:f>
        <x:v>$25k-$50k</x:v>
      </x:c>
      <x:c r="P1251" t="str">
        <x:f>IF(E1251="","Unknown",IF(E1251&lt;10,"&lt;10",IF(E1251&lt;20,"10-&lt;20",IF(E1251&lt;25,"20-&lt;25",IF(E1251&lt;35,"25-&lt;35","35+")))))</x:f>
        <x:v>25-&lt;35</x:v>
      </x:c>
    </x:row>
    <x:row r="1252">
      <x:c r="A1252" t="str">
        <x:v>SYN0001251</x:v>
      </x:c>
      <x:c r="B1252" s="12" t="n">
        <x:v>42835</x:v>
      </x:c>
      <x:c r="C1252" s="18" t="n">
        <x:v>26085</x:v>
      </x:c>
      <x:c r="D1252" s="18" t="n">
        <x:v>167272</x:v>
      </x:c>
      <x:c r="E1252" s="18" t="n">
        <x:v>22.36</x:v>
      </x:c>
      <x:c r="F1252" s="18" t="n">
        <x:v>16.58</x:v>
      </x:c>
      <x:c r="G1252" t="n">
        <x:v>36</x:v>
      </x:c>
      <x:c r="H1252" t="str">
        <x:v>D</x:v>
      </x:c>
      <x:c r="I1252" t="str">
        <x:v>7-9 years</x:v>
      </x:c>
      <x:c r="J1252" t="str">
        <x:v>MORTGAGE</x:v>
      </x:c>
      <x:c r="K1252" t="str">
        <x:v>debt_consolidation</x:v>
      </x:c>
      <x:c r="L1252" t="n">
        <x:v>2</x:v>
      </x:c>
      <x:c r="M1252" t="n">
        <x:v>0</x:v>
      </x:c>
      <x:c r="N1252" t="str">
        <x:v>Fully Paid</x:v>
      </x:c>
      <x:c r="O1252" t="str">
        <x:f>IF(D1252="","Unknown",IF(D1252&lt;25000,"&lt;$25k",IF(D1252&lt;50000,"$25k-$50k",IF(D1252&lt;75000,"$50k-$75k",IF(D1252&lt;100000,"$75k-$100k","$100k+")))))</x:f>
        <x:v>$100k+</x:v>
      </x:c>
      <x:c r="P1252" t="str">
        <x:f>IF(E1252="","Unknown",IF(E1252&lt;10,"&lt;10",IF(E1252&lt;20,"10-&lt;20",IF(E1252&lt;25,"20-&lt;25",IF(E1252&lt;35,"25-&lt;35","35+")))))</x:f>
        <x:v>20-&lt;25</x:v>
      </x:c>
    </x:row>
    <x:row r="1253">
      <x:c r="A1253" t="str">
        <x:v>SYN0001252</x:v>
      </x:c>
      <x:c r="B1253" s="12" t="n">
        <x:v>42925</x:v>
      </x:c>
      <x:c r="C1253" s="18" t="n">
        <x:v>9022</x:v>
      </x:c>
      <x:c r="D1253" s="18" t="n">
        <x:v>229226</x:v>
      </x:c>
      <x:c r="E1253" s="18" t="n">
        <x:v>0</x:v>
      </x:c>
      <x:c r="F1253" s="18" t="n">
        <x:v>9.67</x:v>
      </x:c>
      <x:c r="G1253" t="n">
        <x:v>36</x:v>
      </x:c>
      <x:c r="H1253" t="str">
        <x:v>B</x:v>
      </x:c>
      <x:c r="I1253" t="str">
        <x:v>&lt;1 year</x:v>
      </x:c>
      <x:c r="J1253" t="str">
        <x:v>MORTGAGE</x:v>
      </x:c>
      <x:c r="K1253" t="str">
        <x:v>debt_consolidation</x:v>
      </x:c>
      <x:c r="L1253" t="n">
        <x:v>1</x:v>
      </x:c>
      <x:c r="M1253" t="n">
        <x:v>0</x:v>
      </x:c>
      <x:c r="N1253" t="str">
        <x:v>Fully Paid</x:v>
      </x:c>
      <x:c r="O1253" t="str">
        <x:f>IF(D1253="","Unknown",IF(D1253&lt;25000,"&lt;$25k",IF(D1253&lt;50000,"$25k-$50k",IF(D1253&lt;75000,"$50k-$75k",IF(D1253&lt;100000,"$75k-$100k","$100k+")))))</x:f>
        <x:v>$100k+</x:v>
      </x:c>
      <x:c r="P1253" t="str">
        <x:f>IF(E1253="","Unknown",IF(E1253&lt;10,"&lt;10",IF(E1253&lt;20,"10-&lt;20",IF(E1253&lt;25,"20-&lt;25",IF(E1253&lt;35,"25-&lt;35","35+")))))</x:f>
        <x:v>Unknown</x:v>
      </x:c>
    </x:row>
    <x:row r="1254">
      <x:c r="A1254" t="str">
        <x:v>SYN0001253</x:v>
      </x:c>
      <x:c r="B1254" s="12" t="n">
        <x:v>42535</x:v>
      </x:c>
      <x:c r="C1254" s="18" t="n">
        <x:v>8349</x:v>
      </x:c>
      <x:c r="D1254" s="18" t="n">
        <x:v>88808</x:v>
      </x:c>
      <x:c r="E1254" s="18" t="n">
        <x:v>33.7</x:v>
      </x:c>
      <x:c r="F1254" s="18" t="n">
        <x:v>14.37</x:v>
      </x:c>
      <x:c r="G1254" t="n">
        <x:v>60</x:v>
      </x:c>
      <x:c r="H1254" t="str">
        <x:v>D</x:v>
      </x:c>
      <x:c r="I1254" t="str">
        <x:v>7-9 years</x:v>
      </x:c>
      <x:c r="J1254" t="str">
        <x:v>RENT</x:v>
      </x:c>
      <x:c r="K1254" t="str">
        <x:v>debt_consolidation</x:v>
      </x:c>
      <x:c r="L1254" t="n">
        <x:v>4</x:v>
      </x:c>
      <x:c r="M1254" t="n">
        <x:v>1</x:v>
      </x:c>
      <x:c r="N1254" t="str">
        <x:v>Charged Off</x:v>
      </x:c>
      <x:c r="O1254" t="str">
        <x:f>IF(D1254="","Unknown",IF(D1254&lt;25000,"&lt;$25k",IF(D1254&lt;50000,"$25k-$50k",IF(D1254&lt;75000,"$50k-$75k",IF(D1254&lt;100000,"$75k-$100k","$100k+")))))</x:f>
        <x:v>$75k-$100k</x:v>
      </x:c>
      <x:c r="P1254" t="str">
        <x:f>IF(E1254="","Unknown",IF(E1254&lt;10,"&lt;10",IF(E1254&lt;20,"10-&lt;20",IF(E1254&lt;25,"20-&lt;25",IF(E1254&lt;35,"25-&lt;35","35+")))))</x:f>
        <x:v>25-&lt;35</x:v>
      </x:c>
    </x:row>
    <x:row r="1255">
      <x:c r="A1255" t="str">
        <x:v>SYN0001254</x:v>
      </x:c>
      <x:c r="B1255" s="12" t="n">
        <x:v>42655</x:v>
      </x:c>
      <x:c r="C1255" s="18" t="n">
        <x:v>7028</x:v>
      </x:c>
      <x:c r="D1255" s="18" t="n">
        <x:v>82082</x:v>
      </x:c>
      <x:c r="E1255" s="18" t="n">
        <x:v>27.7</x:v>
      </x:c>
      <x:c r="F1255" s="18" t="n">
        <x:v>7.27</x:v>
      </x:c>
      <x:c r="G1255" t="n">
        <x:v>60</x:v>
      </x:c>
      <x:c r="H1255" t="str">
        <x:v>B</x:v>
      </x:c>
      <x:c r="I1255" t="str">
        <x:v>1-3 years</x:v>
      </x:c>
      <x:c r="J1255" t="str">
        <x:v>RENT</x:v>
      </x:c>
      <x:c r="K1255" t="str">
        <x:v>credit_card</x:v>
      </x:c>
      <x:c r="L1255" t="n">
        <x:v>1</x:v>
      </x:c>
      <x:c r="M1255" t="n">
        <x:v>0</x:v>
      </x:c>
      <x:c r="N1255" t="str">
        <x:v>Fully Paid</x:v>
      </x:c>
      <x:c r="O1255" t="str">
        <x:f>IF(D1255="","Unknown",IF(D1255&lt;25000,"&lt;$25k",IF(D1255&lt;50000,"$25k-$50k",IF(D1255&lt;75000,"$50k-$75k",IF(D1255&lt;100000,"$75k-$100k","$100k+")))))</x:f>
        <x:v>$75k-$100k</x:v>
      </x:c>
      <x:c r="P1255" t="str">
        <x:f>IF(E1255="","Unknown",IF(E1255&lt;10,"&lt;10",IF(E1255&lt;20,"10-&lt;20",IF(E1255&lt;25,"20-&lt;25",IF(E1255&lt;35,"25-&lt;35","35+")))))</x:f>
        <x:v>25-&lt;35</x:v>
      </x:c>
    </x:row>
    <x:row r="1256">
      <x:c r="A1256" t="str">
        <x:v>SYN0001255</x:v>
      </x:c>
      <x:c r="B1256" s="12" t="n">
        <x:v>42745</x:v>
      </x:c>
      <x:c r="C1256" s="18" t="n">
        <x:v>11807</x:v>
      </x:c>
      <x:c r="D1256" s="18" t="n">
        <x:v>134852</x:v>
      </x:c>
      <x:c r="E1256" s="18" t="n">
        <x:v>15.67</x:v>
      </x:c>
      <x:c r="F1256" s="18" t="n">
        <x:v>9.21</x:v>
      </x:c>
      <x:c r="G1256" t="n">
        <x:v>36</x:v>
      </x:c>
      <x:c r="H1256" t="str">
        <x:v>C</x:v>
      </x:c>
      <x:c r="I1256" t="str">
        <x:v>7-9 years</x:v>
      </x:c>
      <x:c r="J1256" t="str">
        <x:v>OWN</x:v>
      </x:c>
      <x:c r="K1256" t="str">
        <x:v>other</x:v>
      </x:c>
      <x:c r="L1256" t="n">
        <x:v>2</x:v>
      </x:c>
      <x:c r="M1256" t="n">
        <x:v>0</x:v>
      </x:c>
      <x:c r="N1256" t="str">
        <x:v>Fully Paid</x:v>
      </x:c>
      <x:c r="O1256" t="str">
        <x:f>IF(D1256="","Unknown",IF(D1256&lt;25000,"&lt;$25k",IF(D1256&lt;50000,"$25k-$50k",IF(D1256&lt;75000,"$50k-$75k",IF(D1256&lt;100000,"$75k-$100k","$100k+")))))</x:f>
        <x:v>$100k+</x:v>
      </x:c>
      <x:c r="P1256" t="str">
        <x:f>IF(E1256="","Unknown",IF(E1256&lt;10,"&lt;10",IF(E1256&lt;20,"10-&lt;20",IF(E1256&lt;25,"20-&lt;25",IF(E1256&lt;35,"25-&lt;35","35+")))))</x:f>
        <x:v>10-&lt;20</x:v>
      </x:c>
    </x:row>
    <x:row r="1257">
      <x:c r="A1257" t="str">
        <x:v>SYN0001256</x:v>
      </x:c>
      <x:c r="B1257" s="12" t="n">
        <x:v>41875</x:v>
      </x:c>
      <x:c r="C1257" s="18" t="n">
        <x:v>7420</x:v>
      </x:c>
      <x:c r="D1257" s="18" t="n">
        <x:v>20540</x:v>
      </x:c>
      <x:c r="E1257" s="18" t="n">
        <x:v>21.26</x:v>
      </x:c>
      <x:c r="F1257" s="18" t="n">
        <x:v>10.39</x:v>
      </x:c>
      <x:c r="G1257" t="n">
        <x:v>36</x:v>
      </x:c>
      <x:c r="H1257" t="str">
        <x:v>B</x:v>
      </x:c>
      <x:c r="I1257" t="str">
        <x:v>4-6 years</x:v>
      </x:c>
      <x:c r="J1257" t="str">
        <x:v>RENT</x:v>
      </x:c>
      <x:c r="K1257" t="str">
        <x:v>debt_consolidation</x:v>
      </x:c>
      <x:c r="L1257" t="n">
        <x:v>1</x:v>
      </x:c>
      <x:c r="M1257" t="n">
        <x:v>0</x:v>
      </x:c>
      <x:c r="N1257" t="str">
        <x:v>Fully Paid</x:v>
      </x:c>
      <x:c r="O1257" t="str">
        <x:f>IF(D1257="","Unknown",IF(D1257&lt;25000,"&lt;$25k",IF(D1257&lt;50000,"$25k-$50k",IF(D1257&lt;75000,"$50k-$75k",IF(D1257&lt;100000,"$75k-$100k","$100k+")))))</x:f>
        <x:v>&lt;$25k</x:v>
      </x:c>
      <x:c r="P1257" t="str">
        <x:f>IF(E1257="","Unknown",IF(E1257&lt;10,"&lt;10",IF(E1257&lt;20,"10-&lt;20",IF(E1257&lt;25,"20-&lt;25",IF(E1257&lt;35,"25-&lt;35","35+")))))</x:f>
        <x:v>20-&lt;25</x:v>
      </x:c>
    </x:row>
    <x:row r="1258">
      <x:c r="A1258" t="str">
        <x:v>SYN0001257</x:v>
      </x:c>
      <x:c r="B1258" s="12" t="n">
        <x:v>41455</x:v>
      </x:c>
      <x:c r="C1258" s="18" t="n">
        <x:v>10986</x:v>
      </x:c>
      <x:c r="D1258" s="18" t="n">
        <x:v>74925</x:v>
      </x:c>
      <x:c r="E1258" s="18" t="n">
        <x:v>21.98</x:v>
      </x:c>
      <x:c r="F1258" s="18" t="n">
        <x:v>14.45</x:v>
      </x:c>
      <x:c r="G1258" t="n">
        <x:v>60</x:v>
      </x:c>
      <x:c r="H1258" t="str">
        <x:v>C</x:v>
      </x:c>
      <x:c r="I1258" t="str">
        <x:v>7-9 years</x:v>
      </x:c>
      <x:c r="J1258" t="str">
        <x:v>OWN</x:v>
      </x:c>
      <x:c r="K1258" t="str">
        <x:v>debt_consolidation</x:v>
      </x:c>
      <x:c r="L1258" t="n">
        <x:v>2</x:v>
      </x:c>
      <x:c r="M1258" t="n">
        <x:v>1</x:v>
      </x:c>
      <x:c r="N1258" t="str">
        <x:v>Charged Off</x:v>
      </x:c>
      <x:c r="O1258" t="str">
        <x:f>IF(D1258="","Unknown",IF(D1258&lt;25000,"&lt;$25k",IF(D1258&lt;50000,"$25k-$50k",IF(D1258&lt;75000,"$50k-$75k",IF(D1258&lt;100000,"$75k-$100k","$100k+")))))</x:f>
        <x:v>$50k-$75k</x:v>
      </x:c>
      <x:c r="P1258" t="str">
        <x:f>IF(E1258="","Unknown",IF(E1258&lt;10,"&lt;10",IF(E1258&lt;20,"10-&lt;20",IF(E1258&lt;25,"20-&lt;25",IF(E1258&lt;35,"25-&lt;35","35+")))))</x:f>
        <x:v>20-&lt;25</x:v>
      </x:c>
    </x:row>
    <x:row r="1259">
      <x:c r="A1259" t="str">
        <x:v>SYN0001258</x:v>
      </x:c>
      <x:c r="B1259" s="12" t="n">
        <x:v>42775</x:v>
      </x:c>
      <x:c r="C1259" s="18" t="n">
        <x:v>17706</x:v>
      </x:c>
      <x:c r="D1259" s="18" t="n">
        <x:v>37561</x:v>
      </x:c>
      <x:c r="E1259" s="18" t="n">
        <x:v>18.42</x:v>
      </x:c>
      <x:c r="F1259" s="18" t="n">
        <x:v>5</x:v>
      </x:c>
      <x:c r="G1259" t="n">
        <x:v>36</x:v>
      </x:c>
      <x:c r="H1259" t="str">
        <x:v>A</x:v>
      </x:c>
      <x:c r="I1259" t="str">
        <x:v>4-6 years</x:v>
      </x:c>
      <x:c r="J1259" t="str">
        <x:v>RENT</x:v>
      </x:c>
      <x:c r="K1259" t="str">
        <x:v>debt_consolidation</x:v>
      </x:c>
      <x:c r="L1259" t="n">
        <x:v>0</x:v>
      </x:c>
      <x:c r="M1259" t="n">
        <x:v>0</x:v>
      </x:c>
      <x:c r="N1259" t="str">
        <x:v>Fully Paid</x:v>
      </x:c>
      <x:c r="O1259" t="str">
        <x:f>IF(D1259="","Unknown",IF(D1259&lt;25000,"&lt;$25k",IF(D1259&lt;50000,"$25k-$50k",IF(D1259&lt;75000,"$50k-$75k",IF(D1259&lt;100000,"$75k-$100k","$100k+")))))</x:f>
        <x:v>$25k-$50k</x:v>
      </x:c>
      <x:c r="P1259" t="str">
        <x:f>IF(E1259="","Unknown",IF(E1259&lt;10,"&lt;10",IF(E1259&lt;20,"10-&lt;20",IF(E1259&lt;25,"20-&lt;25",IF(E1259&lt;35,"25-&lt;35","35+")))))</x:f>
        <x:v>10-&lt;20</x:v>
      </x:c>
    </x:row>
    <x:row r="1260">
      <x:c r="A1260" t="str">
        <x:v>SYN0001259</x:v>
      </x:c>
      <x:c r="B1260" s="12" t="n">
        <x:v>41965</x:v>
      </x:c>
      <x:c r="C1260" s="18" t="n">
        <x:v>10236</x:v>
      </x:c>
      <x:c r="D1260" s="18" t="n">
        <x:v>17397</x:v>
      </x:c>
      <x:c r="E1260" s="18" t="n">
        <x:v>20.52</x:v>
      </x:c>
      <x:c r="F1260" s="18" t="n">
        <x:v>6.72</x:v>
      </x:c>
      <x:c r="G1260" t="n">
        <x:v>36</x:v>
      </x:c>
      <x:c r="H1260" t="str">
        <x:v>A</x:v>
      </x:c>
      <x:c r="I1260" t="str">
        <x:v>10+ years</x:v>
      </x:c>
      <x:c r="J1260" t="str">
        <x:v>OWN</x:v>
      </x:c>
      <x:c r="K1260" t="str">
        <x:v>credit_card</x:v>
      </x:c>
      <x:c r="L1260" t="n">
        <x:v>0</x:v>
      </x:c>
      <x:c r="M1260" t="n">
        <x:v>0</x:v>
      </x:c>
      <x:c r="N1260" t="str">
        <x:v>Fully Paid</x:v>
      </x:c>
      <x:c r="O1260" t="str">
        <x:f>IF(D1260="","Unknown",IF(D1260&lt;25000,"&lt;$25k",IF(D1260&lt;50000,"$25k-$50k",IF(D1260&lt;75000,"$50k-$75k",IF(D1260&lt;100000,"$75k-$100k","$100k+")))))</x:f>
        <x:v>&lt;$25k</x:v>
      </x:c>
      <x:c r="P1260" t="str">
        <x:f>IF(E1260="","Unknown",IF(E1260&lt;10,"&lt;10",IF(E1260&lt;20,"10-&lt;20",IF(E1260&lt;25,"20-&lt;25",IF(E1260&lt;35,"25-&lt;35","35+")))))</x:f>
        <x:v>20-&lt;25</x:v>
      </x:c>
    </x:row>
    <x:row r="1261">
      <x:c r="A1261" t="str">
        <x:v>SYN0001260</x:v>
      </x:c>
      <x:c r="B1261" s="12" t="n">
        <x:v>41995</x:v>
      </x:c>
      <x:c r="C1261" s="18" t="n">
        <x:v>20273</x:v>
      </x:c>
      <x:c r="D1261" s="18" t="n">
        <x:v>78164</x:v>
      </x:c>
      <x:c r="E1261" s="18" t="n">
        <x:v>17.05</x:v>
      </x:c>
      <x:c r="F1261" s="18" t="n">
        <x:v>10.47</x:v>
      </x:c>
      <x:c r="G1261" t="n">
        <x:v>60</x:v>
      </x:c>
      <x:c r="H1261" t="str">
        <x:v>D</x:v>
      </x:c>
      <x:c r="I1261" t="str">
        <x:v>4-6 years</x:v>
      </x:c>
      <x:c r="J1261" t="str">
        <x:v>MORTGAGE</x:v>
      </x:c>
      <x:c r="K1261" t="str">
        <x:v>debt_consolidation</x:v>
      </x:c>
      <x:c r="L1261" t="n">
        <x:v>0</x:v>
      </x:c>
      <x:c r="M1261" t="n">
        <x:v>0</x:v>
      </x:c>
      <x:c r="N1261" t="str">
        <x:v>Fully Paid</x:v>
      </x:c>
      <x:c r="O1261" t="str">
        <x:f>IF(D1261="","Unknown",IF(D1261&lt;25000,"&lt;$25k",IF(D1261&lt;50000,"$25k-$50k",IF(D1261&lt;75000,"$50k-$75k",IF(D1261&lt;100000,"$75k-$100k","$100k+")))))</x:f>
        <x:v>$75k-$100k</x:v>
      </x:c>
      <x:c r="P1261" t="str">
        <x:f>IF(E1261="","Unknown",IF(E1261&lt;10,"&lt;10",IF(E1261&lt;20,"10-&lt;20",IF(E1261&lt;25,"20-&lt;25",IF(E1261&lt;35,"25-&lt;35","35+")))))</x:f>
        <x:v>10-&lt;20</x:v>
      </x:c>
    </x:row>
    <x:row r="1262">
      <x:c r="A1262" t="str">
        <x:v>SYN0001261</x:v>
      </x:c>
      <x:c r="B1262" s="12" t="n">
        <x:v>41605</x:v>
      </x:c>
      <x:c r="C1262" s="18" t="n">
        <x:v>11766</x:v>
      </x:c>
      <x:c r="D1262" s="18" t="n">
        <x:v>77411</x:v>
      </x:c>
      <x:c r="E1262" s="18" t="n">
        <x:v>32.19</x:v>
      </x:c>
      <x:c r="F1262" s="18" t="n">
        <x:v>17.16</x:v>
      </x:c>
      <x:c r="G1262" t="n">
        <x:v>36</x:v>
      </x:c>
      <x:c r="H1262" t="str">
        <x:v>E</x:v>
      </x:c>
      <x:c r="I1262" t="str">
        <x:v>1-3 years</x:v>
      </x:c>
      <x:c r="J1262" t="str">
        <x:v>OWN</x:v>
      </x:c>
      <x:c r="K1262" t="str">
        <x:v>debt_consolidation</x:v>
      </x:c>
      <x:c r="L1262" t="n">
        <x:v>0</x:v>
      </x:c>
      <x:c r="M1262" t="n">
        <x:v>0</x:v>
      </x:c>
      <x:c r="N1262" t="str">
        <x:v>Fully Paid</x:v>
      </x:c>
      <x:c r="O1262" t="str">
        <x:f>IF(D1262="","Unknown",IF(D1262&lt;25000,"&lt;$25k",IF(D1262&lt;50000,"$25k-$50k",IF(D1262&lt;75000,"$50k-$75k",IF(D1262&lt;100000,"$75k-$100k","$100k+")))))</x:f>
        <x:v>$75k-$100k</x:v>
      </x:c>
      <x:c r="P1262" t="str">
        <x:f>IF(E1262="","Unknown",IF(E1262&lt;10,"&lt;10",IF(E1262&lt;20,"10-&lt;20",IF(E1262&lt;25,"20-&lt;25",IF(E1262&lt;35,"25-&lt;35","35+")))))</x:f>
        <x:v>25-&lt;35</x:v>
      </x:c>
    </x:row>
    <x:row r="1263">
      <x:c r="A1263" t="str">
        <x:v>SYN0001262</x:v>
      </x:c>
      <x:c r="B1263" s="12" t="n">
        <x:v>41545</x:v>
      </x:c>
      <x:c r="C1263" s="18" t="n">
        <x:v>11485</x:v>
      </x:c>
      <x:c r="D1263" s="18" t="n">
        <x:v>79027</x:v>
      </x:c>
      <x:c r="E1263" s="18" t="n">
        <x:v>14.97</x:v>
      </x:c>
      <x:c r="F1263" s="18" t="n">
        <x:v>18.79</x:v>
      </x:c>
      <x:c r="G1263" t="n">
        <x:v>36</x:v>
      </x:c>
      <x:c r="H1263" t="str">
        <x:v>E</x:v>
      </x:c>
      <x:c r="I1263" t="str">
        <x:v>&lt;1 year</x:v>
      </x:c>
      <x:c r="J1263" t="str">
        <x:v>RENT</x:v>
      </x:c>
      <x:c r="K1263" t="str">
        <x:v>credit_card</x:v>
      </x:c>
      <x:c r="L1263" t="n">
        <x:v>0</x:v>
      </x:c>
      <x:c r="M1263" t="n">
        <x:v>0</x:v>
      </x:c>
      <x:c r="N1263" t="str">
        <x:v>Fully Paid</x:v>
      </x:c>
      <x:c r="O1263" t="str">
        <x:f>IF(D1263="","Unknown",IF(D1263&lt;25000,"&lt;$25k",IF(D1263&lt;50000,"$25k-$50k",IF(D1263&lt;75000,"$50k-$75k",IF(D1263&lt;100000,"$75k-$100k","$100k+")))))</x:f>
        <x:v>$75k-$100k</x:v>
      </x:c>
      <x:c r="P1263" t="str">
        <x:f>IF(E1263="","Unknown",IF(E1263&lt;10,"&lt;10",IF(E1263&lt;20,"10-&lt;20",IF(E1263&lt;25,"20-&lt;25",IF(E1263&lt;35,"25-&lt;35","35+")))))</x:f>
        <x:v>10-&lt;20</x:v>
      </x:c>
    </x:row>
    <x:row r="1264">
      <x:c r="A1264" t="str">
        <x:v>SYN0001263</x:v>
      </x:c>
      <x:c r="B1264" s="12" t="n">
        <x:v>41965</x:v>
      </x:c>
      <x:c r="C1264" s="18" t="n">
        <x:v>13866</x:v>
      </x:c>
      <x:c r="D1264" s="18" t="n">
        <x:v>86188</x:v>
      </x:c>
      <x:c r="E1264" s="18" t="n">
        <x:v>17.13</x:v>
      </x:c>
      <x:c r="F1264" s="18" t="n">
        <x:v>16.94</x:v>
      </x:c>
      <x:c r="G1264" t="n">
        <x:v>36</x:v>
      </x:c>
      <x:c r="H1264" t="str">
        <x:v>D</x:v>
      </x:c>
      <x:c r="I1264" t="str">
        <x:v>7-9 years</x:v>
      </x:c>
      <x:c r="J1264" t="str">
        <x:v>MORTGAGE</x:v>
      </x:c>
      <x:c r="K1264" t="str">
        <x:v>debt_consolidation</x:v>
      </x:c>
      <x:c r="L1264" t="n">
        <x:v>1</x:v>
      </x:c>
      <x:c r="M1264" t="n">
        <x:v>0</x:v>
      </x:c>
      <x:c r="N1264" t="str">
        <x:v>Fully Paid</x:v>
      </x:c>
      <x:c r="O1264" t="str">
        <x:f>IF(D1264="","Unknown",IF(D1264&lt;25000,"&lt;$25k",IF(D1264&lt;50000,"$25k-$50k",IF(D1264&lt;75000,"$50k-$75k",IF(D1264&lt;100000,"$75k-$100k","$100k+")))))</x:f>
        <x:v>$75k-$100k</x:v>
      </x:c>
      <x:c r="P1264" t="str">
        <x:f>IF(E1264="","Unknown",IF(E1264&lt;10,"&lt;10",IF(E1264&lt;20,"10-&lt;20",IF(E1264&lt;25,"20-&lt;25",IF(E1264&lt;35,"25-&lt;35","35+")))))</x:f>
        <x:v>10-&lt;20</x:v>
      </x:c>
    </x:row>
    <x:row r="1265">
      <x:c r="A1265" t="str">
        <x:v>SYN0001264</x:v>
      </x:c>
      <x:c r="B1265" s="12" t="n">
        <x:v>42535</x:v>
      </x:c>
      <x:c r="C1265" s="18" t="n">
        <x:v>13957</x:v>
      </x:c>
      <x:c r="D1265" s="18" t="n">
        <x:v>40631</x:v>
      </x:c>
      <x:c r="E1265" s="18" t="n">
        <x:v>30.34</x:v>
      </x:c>
      <x:c r="F1265" s="18" t="n">
        <x:v>19.34</x:v>
      </x:c>
      <x:c r="G1265" t="n">
        <x:v>36</x:v>
      </x:c>
      <x:c r="H1265" t="str">
        <x:v>E</x:v>
      </x:c>
      <x:c r="I1265" t="str">
        <x:v>10+ years</x:v>
      </x:c>
      <x:c r="J1265" t="str">
        <x:v>RENT</x:v>
      </x:c>
      <x:c r="K1265" t="str">
        <x:v>home_improvement</x:v>
      </x:c>
      <x:c r="L1265" t="n">
        <x:v>0</x:v>
      </x:c>
      <x:c r="M1265" t="n">
        <x:v>0</x:v>
      </x:c>
      <x:c r="N1265" t="str">
        <x:v>Fully Paid</x:v>
      </x:c>
      <x:c r="O1265" t="str">
        <x:f>IF(D1265="","Unknown",IF(D1265&lt;25000,"&lt;$25k",IF(D1265&lt;50000,"$25k-$50k",IF(D1265&lt;75000,"$50k-$75k",IF(D1265&lt;100000,"$75k-$100k","$100k+")))))</x:f>
        <x:v>$25k-$50k</x:v>
      </x:c>
      <x:c r="P1265" t="str">
        <x:f>IF(E1265="","Unknown",IF(E1265&lt;10,"&lt;10",IF(E1265&lt;20,"10-&lt;20",IF(E1265&lt;25,"20-&lt;25",IF(E1265&lt;35,"25-&lt;35","35+")))))</x:f>
        <x:v>25-&lt;35</x:v>
      </x:c>
    </x:row>
    <x:row r="1266">
      <x:c r="A1266" t="str">
        <x:v>SYN0001265</x:v>
      </x:c>
      <x:c r="B1266" s="12" t="n">
        <x:v>42085</x:v>
      </x:c>
      <x:c r="C1266" s="18" t="n">
        <x:v>11328</x:v>
      </x:c>
      <x:c r="D1266" s="18" t="n">
        <x:v>45507</x:v>
      </x:c>
      <x:c r="E1266" s="18" t="n">
        <x:v>26.56</x:v>
      </x:c>
      <x:c r="F1266" s="18" t="n">
        <x:v>9.49</x:v>
      </x:c>
      <x:c r="G1266" t="n">
        <x:v>36</x:v>
      </x:c>
      <x:c r="H1266" t="str">
        <x:v>B</x:v>
      </x:c>
      <x:c r="I1266" t="str">
        <x:v>1-3 years</x:v>
      </x:c>
      <x:c r="J1266" t="str">
        <x:v>RENT</x:v>
      </x:c>
      <x:c r="K1266" t="str">
        <x:v>other</x:v>
      </x:c>
      <x:c r="L1266" t="n">
        <x:v>0</x:v>
      </x:c>
      <x:c r="M1266" t="n">
        <x:v>0</x:v>
      </x:c>
      <x:c r="N1266" t="str">
        <x:v>Fully Paid</x:v>
      </x:c>
      <x:c r="O1266" t="str">
        <x:f>IF(D1266="","Unknown",IF(D1266&lt;25000,"&lt;$25k",IF(D1266&lt;50000,"$25k-$50k",IF(D1266&lt;75000,"$50k-$75k",IF(D1266&lt;100000,"$75k-$100k","$100k+")))))</x:f>
        <x:v>$25k-$50k</x:v>
      </x:c>
      <x:c r="P1266" t="str">
        <x:f>IF(E1266="","Unknown",IF(E1266&lt;10,"&lt;10",IF(E1266&lt;20,"10-&lt;20",IF(E1266&lt;25,"20-&lt;25",IF(E1266&lt;35,"25-&lt;35","35+")))))</x:f>
        <x:v>25-&lt;35</x:v>
      </x:c>
    </x:row>
    <x:row r="1267">
      <x:c r="A1267" t="str">
        <x:v>SYN0001266</x:v>
      </x:c>
      <x:c r="B1267" s="12" t="n">
        <x:v>43405</x:v>
      </x:c>
      <x:c r="C1267" s="18" t="n">
        <x:v>13722</x:v>
      </x:c>
      <x:c r="D1267" s="18" t="n">
        <x:v>40370</x:v>
      </x:c>
      <x:c r="E1267" s="18" t="n">
        <x:v>16.52</x:v>
      </x:c>
      <x:c r="F1267" s="18" t="n">
        <x:v>19.44</x:v>
      </x:c>
      <x:c r="G1267" t="n">
        <x:v>36</x:v>
      </x:c>
      <x:c r="H1267" t="str">
        <x:v>E</x:v>
      </x:c>
      <x:c r="I1267" t="str">
        <x:v>&lt;1 year</x:v>
      </x:c>
      <x:c r="J1267" t="str">
        <x:v>MORTGAGE</x:v>
      </x:c>
      <x:c r="K1267" t="str">
        <x:v>credit_card</x:v>
      </x:c>
      <x:c r="L1267" t="n">
        <x:v>2</x:v>
      </x:c>
      <x:c r="M1267" t="n">
        <x:v>0</x:v>
      </x:c>
      <x:c r="N1267" t="str">
        <x:v>Fully Paid</x:v>
      </x:c>
      <x:c r="O1267" t="str">
        <x:f>IF(D1267="","Unknown",IF(D1267&lt;25000,"&lt;$25k",IF(D1267&lt;50000,"$25k-$50k",IF(D1267&lt;75000,"$50k-$75k",IF(D1267&lt;100000,"$75k-$100k","$100k+")))))</x:f>
        <x:v>$25k-$50k</x:v>
      </x:c>
      <x:c r="P1267" t="str">
        <x:f>IF(E1267="","Unknown",IF(E1267&lt;10,"&lt;10",IF(E1267&lt;20,"10-&lt;20",IF(E1267&lt;25,"20-&lt;25",IF(E1267&lt;35,"25-&lt;35","35+")))))</x:f>
        <x:v>10-&lt;20</x:v>
      </x:c>
    </x:row>
    <x:row r="1268">
      <x:c r="A1268" t="str">
        <x:v>SYN0001267</x:v>
      </x:c>
      <x:c r="B1268" s="12" t="n">
        <x:v>42925</x:v>
      </x:c>
      <x:c r="C1268" s="18" t="n">
        <x:v>6618</x:v>
      </x:c>
      <x:c r="D1268" s="18" t="n">
        <x:v>67888</x:v>
      </x:c>
      <x:c r="E1268" s="18" t="n">
        <x:v>35.18</x:v>
      </x:c>
      <x:c r="F1268" s="18" t="n">
        <x:v>12.94</x:v>
      </x:c>
      <x:c r="G1268" t="n">
        <x:v>60</x:v>
      </x:c>
      <x:c r="H1268" t="str">
        <x:v>D</x:v>
      </x:c>
      <x:c r="I1268" t="str">
        <x:v>10+ years</x:v>
      </x:c>
      <x:c r="J1268" t="str">
        <x:v>RENT</x:v>
      </x:c>
      <x:c r="K1268" t="str">
        <x:v>debt_consolidation</x:v>
      </x:c>
      <x:c r="L1268" t="n">
        <x:v>1</x:v>
      </x:c>
      <x:c r="M1268" t="n">
        <x:v>0</x:v>
      </x:c>
      <x:c r="N1268" t="str">
        <x:v>Fully Paid</x:v>
      </x:c>
      <x:c r="O1268" t="str">
        <x:f>IF(D1268="","Unknown",IF(D1268&lt;25000,"&lt;$25k",IF(D1268&lt;50000,"$25k-$50k",IF(D1268&lt;75000,"$50k-$75k",IF(D1268&lt;100000,"$75k-$100k","$100k+")))))</x:f>
        <x:v>$50k-$75k</x:v>
      </x:c>
      <x:c r="P1268" t="str">
        <x:f>IF(E1268="","Unknown",IF(E1268&lt;10,"&lt;10",IF(E1268&lt;20,"10-&lt;20",IF(E1268&lt;25,"20-&lt;25",IF(E1268&lt;35,"25-&lt;35","35+")))))</x:f>
        <x:v>35+</x:v>
      </x:c>
    </x:row>
    <x:row r="1269">
      <x:c r="A1269" t="str">
        <x:v>SYN0001268</x:v>
      </x:c>
      <x:c r="B1269" s="12" t="n">
        <x:v>43075</x:v>
      </x:c>
      <x:c r="C1269" s="18" t="n">
        <x:v>34943</x:v>
      </x:c>
      <x:c r="D1269" s="18" t="n">
        <x:v>23752</x:v>
      </x:c>
      <x:c r="E1269" s="18" t="n">
        <x:v>26.52</x:v>
      </x:c>
      <x:c r="F1269" s="18" t="n">
        <x:v>22.53</x:v>
      </x:c>
      <x:c r="G1269" t="n">
        <x:v>36</x:v>
      </x:c>
      <x:c r="H1269" t="str">
        <x:v>F</x:v>
      </x:c>
      <x:c r="I1269" t="str">
        <x:v>&lt;1 year</x:v>
      </x:c>
      <x:c r="J1269" t="str">
        <x:v>MORTGAGE</x:v>
      </x:c>
      <x:c r="K1269" t="str">
        <x:v>credit_card</x:v>
      </x:c>
      <x:c r="L1269" t="n">
        <x:v>1</x:v>
      </x:c>
      <x:c r="M1269" t="n">
        <x:v>0</x:v>
      </x:c>
      <x:c r="N1269" t="str">
        <x:v>Fully Paid</x:v>
      </x:c>
      <x:c r="O1269" t="str">
        <x:f>IF(D1269="","Unknown",IF(D1269&lt;25000,"&lt;$25k",IF(D1269&lt;50000,"$25k-$50k",IF(D1269&lt;75000,"$50k-$75k",IF(D1269&lt;100000,"$75k-$100k","$100k+")))))</x:f>
        <x:v>&lt;$25k</x:v>
      </x:c>
      <x:c r="P1269" t="str">
        <x:f>IF(E1269="","Unknown",IF(E1269&lt;10,"&lt;10",IF(E1269&lt;20,"10-&lt;20",IF(E1269&lt;25,"20-&lt;25",IF(E1269&lt;35,"25-&lt;35","35+")))))</x:f>
        <x:v>25-&lt;35</x:v>
      </x:c>
    </x:row>
    <x:row r="1270">
      <x:c r="A1270" t="str">
        <x:v>SYN0001269</x:v>
      </x:c>
      <x:c r="B1270" s="12" t="n">
        <x:v>42535</x:v>
      </x:c>
      <x:c r="C1270" s="18" t="n">
        <x:v>15959</x:v>
      </x:c>
      <x:c r="D1270" s="18" t="n">
        <x:v>16467</x:v>
      </x:c>
      <x:c r="E1270" s="18" t="n">
        <x:v>15.14</x:v>
      </x:c>
      <x:c r="F1270" s="18" t="n">
        <x:v>6.93</x:v>
      </x:c>
      <x:c r="G1270" t="n">
        <x:v>36</x:v>
      </x:c>
      <x:c r="H1270" t="str">
        <x:v>A</x:v>
      </x:c>
      <x:c r="I1270" t="str">
        <x:v>10+ years</x:v>
      </x:c>
      <x:c r="J1270" t="str">
        <x:v>RENT</x:v>
      </x:c>
      <x:c r="K1270" t="str">
        <x:v>major_purchase</x:v>
      </x:c>
      <x:c r="L1270" t="n">
        <x:v>0</x:v>
      </x:c>
      <x:c r="M1270" t="n">
        <x:v>0</x:v>
      </x:c>
      <x:c r="N1270" t="str">
        <x:v>Fully Paid</x:v>
      </x:c>
      <x:c r="O1270" t="str">
        <x:f>IF(D1270="","Unknown",IF(D1270&lt;25000,"&lt;$25k",IF(D1270&lt;50000,"$25k-$50k",IF(D1270&lt;75000,"$50k-$75k",IF(D1270&lt;100000,"$75k-$100k","$100k+")))))</x:f>
        <x:v>&lt;$25k</x:v>
      </x:c>
      <x:c r="P1270" t="str">
        <x:f>IF(E1270="","Unknown",IF(E1270&lt;10,"&lt;10",IF(E1270&lt;20,"10-&lt;20",IF(E1270&lt;25,"20-&lt;25",IF(E1270&lt;35,"25-&lt;35","35+")))))</x:f>
        <x:v>10-&lt;20</x:v>
      </x:c>
    </x:row>
    <x:row r="1271">
      <x:c r="A1271" t="str">
        <x:v>SYN0001270</x:v>
      </x:c>
      <x:c r="B1271" s="12" t="n">
        <x:v>43195</x:v>
      </x:c>
      <x:c r="C1271" s="18" t="n">
        <x:v>15541</x:v>
      </x:c>
      <x:c r="D1271" s="18" t="n">
        <x:v>27387</x:v>
      </x:c>
      <x:c r="E1271" s="18" t="n">
        <x:v>11.06</x:v>
      </x:c>
      <x:c r="F1271" s="18" t="n">
        <x:v>14.69</x:v>
      </x:c>
      <x:c r="G1271" t="n">
        <x:v>36</x:v>
      </x:c>
      <x:c r="H1271" t="str">
        <x:v>D</x:v>
      </x:c>
      <x:c r="I1271" t="str">
        <x:v>4-6 years</x:v>
      </x:c>
      <x:c r="J1271" t="str">
        <x:v>MORTGAGE</x:v>
      </x:c>
      <x:c r="K1271" t="str">
        <x:v>debt_consolidation</x:v>
      </x:c>
      <x:c r="L1271" t="n">
        <x:v>0</x:v>
      </x:c>
      <x:c r="M1271" t="n">
        <x:v>0</x:v>
      </x:c>
      <x:c r="N1271" t="str">
        <x:v>Fully Paid</x:v>
      </x:c>
      <x:c r="O1271" t="str">
        <x:f>IF(D1271="","Unknown",IF(D1271&lt;25000,"&lt;$25k",IF(D1271&lt;50000,"$25k-$50k",IF(D1271&lt;75000,"$50k-$75k",IF(D1271&lt;100000,"$75k-$100k","$100k+")))))</x:f>
        <x:v>$25k-$50k</x:v>
      </x:c>
      <x:c r="P1271" t="str">
        <x:f>IF(E1271="","Unknown",IF(E1271&lt;10,"&lt;10",IF(E1271&lt;20,"10-&lt;20",IF(E1271&lt;25,"20-&lt;25",IF(E1271&lt;35,"25-&lt;35","35+")))))</x:f>
        <x:v>10-&lt;20</x:v>
      </x:c>
    </x:row>
    <x:row r="1272">
      <x:c r="A1272" t="str">
        <x:v>SYN0001271</x:v>
      </x:c>
      <x:c r="B1272" s="12" t="n">
        <x:v>42925</x:v>
      </x:c>
      <x:c r="C1272" s="18" t="n">
        <x:v>19518</x:v>
      </x:c>
      <x:c r="D1272" s="18" t="n">
        <x:v>78463</x:v>
      </x:c>
      <x:c r="E1272" s="18" t="n">
        <x:v>3.15</x:v>
      </x:c>
      <x:c r="F1272" s="18" t="n">
        <x:v>9.32</x:v>
      </x:c>
      <x:c r="G1272" t="n">
        <x:v>36</x:v>
      </x:c>
      <x:c r="H1272" t="str">
        <x:v>B</x:v>
      </x:c>
      <x:c r="I1272" t="str">
        <x:v>7-9 years</x:v>
      </x:c>
      <x:c r="J1272" t="str">
        <x:v>MORTGAGE</x:v>
      </x:c>
      <x:c r="K1272" t="str">
        <x:v>medical</x:v>
      </x:c>
      <x:c r="L1272" t="n">
        <x:v>1</x:v>
      </x:c>
      <x:c r="M1272" t="n">
        <x:v>0</x:v>
      </x:c>
      <x:c r="N1272" t="str">
        <x:v>Fully Paid</x:v>
      </x:c>
      <x:c r="O1272" t="str">
        <x:f>IF(D1272="","Unknown",IF(D1272&lt;25000,"&lt;$25k",IF(D1272&lt;50000,"$25k-$50k",IF(D1272&lt;75000,"$50k-$75k",IF(D1272&lt;100000,"$75k-$100k","$100k+")))))</x:f>
        <x:v>$75k-$100k</x:v>
      </x:c>
      <x:c r="P1272" t="str">
        <x:f>IF(E1272="","Unknown",IF(E1272&lt;10,"&lt;10",IF(E1272&lt;20,"10-&lt;20",IF(E1272&lt;25,"20-&lt;25",IF(E1272&lt;35,"25-&lt;35","35+")))))</x:f>
        <x:v>&lt;10</x:v>
      </x:c>
    </x:row>
    <x:row r="1273">
      <x:c r="A1273" t="str">
        <x:v>SYN0001272</x:v>
      </x:c>
      <x:c r="B1273" s="12" t="n">
        <x:v>43135</x:v>
      </x:c>
      <x:c r="C1273" s="18" t="n">
        <x:v>26306</x:v>
      </x:c>
      <x:c r="D1273" s="18" t="n">
        <x:v>30864</x:v>
      </x:c>
      <x:c r="E1273" s="18" t="n">
        <x:v>26.88</x:v>
      </x:c>
      <x:c r="F1273" s="18" t="n">
        <x:v>12.83</x:v>
      </x:c>
      <x:c r="G1273" t="n">
        <x:v>60</x:v>
      </x:c>
      <x:c r="H1273" t="str">
        <x:v>D</x:v>
      </x:c>
      <x:c r="I1273" t="str">
        <x:v>10+ years</x:v>
      </x:c>
      <x:c r="J1273" t="str">
        <x:v>MORTGAGE</x:v>
      </x:c>
      <x:c r="K1273" t="str">
        <x:v>debt_consolidation</x:v>
      </x:c>
      <x:c r="L1273" t="n">
        <x:v>1</x:v>
      </x:c>
      <x:c r="M1273" t="n">
        <x:v>1</x:v>
      </x:c>
      <x:c r="N1273" t="str">
        <x:v>Charged Off</x:v>
      </x:c>
      <x:c r="O1273" t="str">
        <x:f>IF(D1273="","Unknown",IF(D1273&lt;25000,"&lt;$25k",IF(D1273&lt;50000,"$25k-$50k",IF(D1273&lt;75000,"$50k-$75k",IF(D1273&lt;100000,"$75k-$100k","$100k+")))))</x:f>
        <x:v>$25k-$50k</x:v>
      </x:c>
      <x:c r="P1273" t="str">
        <x:f>IF(E1273="","Unknown",IF(E1273&lt;10,"&lt;10",IF(E1273&lt;20,"10-&lt;20",IF(E1273&lt;25,"20-&lt;25",IF(E1273&lt;35,"25-&lt;35","35+")))))</x:f>
        <x:v>25-&lt;35</x:v>
      </x:c>
    </x:row>
    <x:row r="1274">
      <x:c r="A1274" t="str">
        <x:v>SYN0001273</x:v>
      </x:c>
      <x:c r="B1274" s="12" t="n">
        <x:v>41605</x:v>
      </x:c>
      <x:c r="C1274" s="18" t="n">
        <x:v>14417</x:v>
      </x:c>
      <x:c r="D1274" s="18" t="n">
        <x:v>111078</x:v>
      </x:c>
      <x:c r="E1274" s="18" t="n">
        <x:v>10.42</x:v>
      </x:c>
      <x:c r="F1274" s="18" t="n">
        <x:v>5.99</x:v>
      </x:c>
      <x:c r="G1274" t="n">
        <x:v>36</x:v>
      </x:c>
      <x:c r="H1274" t="str">
        <x:v>A</x:v>
      </x:c>
      <x:c r="I1274" t="str">
        <x:v>7-9 years</x:v>
      </x:c>
      <x:c r="J1274" t="str">
        <x:v>MORTGAGE</x:v>
      </x:c>
      <x:c r="K1274" t="str">
        <x:v>credit_card</x:v>
      </x:c>
      <x:c r="L1274" t="n">
        <x:v>0</x:v>
      </x:c>
      <x:c r="M1274" t="n">
        <x:v>0</x:v>
      </x:c>
      <x:c r="N1274" t="str">
        <x:v>Fully Paid</x:v>
      </x:c>
      <x:c r="O1274" t="str">
        <x:f>IF(D1274="","Unknown",IF(D1274&lt;25000,"&lt;$25k",IF(D1274&lt;50000,"$25k-$50k",IF(D1274&lt;75000,"$50k-$75k",IF(D1274&lt;100000,"$75k-$100k","$100k+")))))</x:f>
        <x:v>$100k+</x:v>
      </x:c>
      <x:c r="P1274" t="str">
        <x:f>IF(E1274="","Unknown",IF(E1274&lt;10,"&lt;10",IF(E1274&lt;20,"10-&lt;20",IF(E1274&lt;25,"20-&lt;25",IF(E1274&lt;35,"25-&lt;35","35+")))))</x:f>
        <x:v>10-&lt;20</x:v>
      </x:c>
    </x:row>
    <x:row r="1275">
      <x:c r="A1275" t="str">
        <x:v>SYN0001274</x:v>
      </x:c>
      <x:c r="B1275" s="12" t="n">
        <x:v>41365</x:v>
      </x:c>
      <x:c r="C1275" s="18" t="n">
        <x:v>3400</x:v>
      </x:c>
      <x:c r="D1275" s="18" t="n">
        <x:v>50412</x:v>
      </x:c>
      <x:c r="E1275" s="18" t="n">
        <x:v>31.01</x:v>
      </x:c>
      <x:c r="F1275" s="18" t="n">
        <x:v>24.81</x:v>
      </x:c>
      <x:c r="G1275" t="n">
        <x:v>36</x:v>
      </x:c>
      <x:c r="H1275" t="str">
        <x:v>F</x:v>
      </x:c>
      <x:c r="I1275" t="str">
        <x:v>10+ years</x:v>
      </x:c>
      <x:c r="J1275" t="str">
        <x:v>RENT</x:v>
      </x:c>
      <x:c r="K1275" t="str">
        <x:v>credit_card</x:v>
      </x:c>
      <x:c r="L1275" t="n">
        <x:v>2</x:v>
      </x:c>
      <x:c r="M1275" t="n">
        <x:v>0</x:v>
      </x:c>
      <x:c r="N1275" t="str">
        <x:v>Fully Paid</x:v>
      </x:c>
      <x:c r="O1275" t="str">
        <x:f>IF(D1275="","Unknown",IF(D1275&lt;25000,"&lt;$25k",IF(D1275&lt;50000,"$25k-$50k",IF(D1275&lt;75000,"$50k-$75k",IF(D1275&lt;100000,"$75k-$100k","$100k+")))))</x:f>
        <x:v>$50k-$75k</x:v>
      </x:c>
      <x:c r="P1275" t="str">
        <x:f>IF(E1275="","Unknown",IF(E1275&lt;10,"&lt;10",IF(E1275&lt;20,"10-&lt;20",IF(E1275&lt;25,"20-&lt;25",IF(E1275&lt;35,"25-&lt;35","35+")))))</x:f>
        <x:v>25-&lt;35</x:v>
      </x:c>
    </x:row>
    <x:row r="1276">
      <x:c r="A1276" t="str">
        <x:v>SYN0001275</x:v>
      </x:c>
      <x:c r="B1276" s="12" t="n">
        <x:v>43105</x:v>
      </x:c>
      <x:c r="C1276" s="18" t="n">
        <x:v>14880</x:v>
      </x:c>
      <x:c r="D1276" s="18" t="n">
        <x:v>52184</x:v>
      </x:c>
      <x:c r="E1276" s="18" t="n">
        <x:v>5.96</x:v>
      </x:c>
      <x:c r="F1276" s="18" t="n">
        <x:v>8.48</x:v>
      </x:c>
      <x:c r="G1276" t="n">
        <x:v>36</x:v>
      </x:c>
      <x:c r="H1276" t="str">
        <x:v>B</x:v>
      </x:c>
      <x:c r="I1276" t="str">
        <x:v>4-6 years</x:v>
      </x:c>
      <x:c r="J1276" t="str">
        <x:v>RENT</x:v>
      </x:c>
      <x:c r="K1276" t="str">
        <x:v>debt_consolidation</x:v>
      </x:c>
      <x:c r="L1276" t="n">
        <x:v>0</x:v>
      </x:c>
      <x:c r="M1276" t="n">
        <x:v>0</x:v>
      </x:c>
      <x:c r="N1276" t="str">
        <x:v>Fully Paid</x:v>
      </x:c>
      <x:c r="O1276" t="str">
        <x:f>IF(D1276="","Unknown",IF(D1276&lt;25000,"&lt;$25k",IF(D1276&lt;50000,"$25k-$50k",IF(D1276&lt;75000,"$50k-$75k",IF(D1276&lt;100000,"$75k-$100k","$100k+")))))</x:f>
        <x:v>$50k-$75k</x:v>
      </x:c>
      <x:c r="P1276" t="str">
        <x:f>IF(E1276="","Unknown",IF(E1276&lt;10,"&lt;10",IF(E1276&lt;20,"10-&lt;20",IF(E1276&lt;25,"20-&lt;25",IF(E1276&lt;35,"25-&lt;35","35+")))))</x:f>
        <x:v>&lt;10</x:v>
      </x:c>
    </x:row>
    <x:row r="1277">
      <x:c r="A1277" t="str">
        <x:v>SYN0001276</x:v>
      </x:c>
      <x:c r="B1277" s="12" t="n">
        <x:v>43315</x:v>
      </x:c>
      <x:c r="C1277" s="18" t="n">
        <x:v>10047</x:v>
      </x:c>
      <x:c r="D1277" s="18" t="n">
        <x:v>45523</x:v>
      </x:c>
      <x:c r="E1277" s="18" t="n">
        <x:v>10.44</x:v>
      </x:c>
      <x:c r="F1277" s="18" t="n">
        <x:v>12.09</x:v>
      </x:c>
      <x:c r="G1277" t="n">
        <x:v>36</x:v>
      </x:c>
      <x:c r="H1277" t="str">
        <x:v>C</x:v>
      </x:c>
      <x:c r="I1277" t="str">
        <x:v>10+ years</x:v>
      </x:c>
      <x:c r="J1277" t="str">
        <x:v>RENT</x:v>
      </x:c>
      <x:c r="K1277" t="str">
        <x:v>credit_card</x:v>
      </x:c>
      <x:c r="L1277" t="n">
        <x:v>1</x:v>
      </x:c>
      <x:c r="M1277" t="n">
        <x:v>0</x:v>
      </x:c>
      <x:c r="N1277" t="str">
        <x:v>Fully Paid</x:v>
      </x:c>
      <x:c r="O1277" t="str">
        <x:f>IF(D1277="","Unknown",IF(D1277&lt;25000,"&lt;$25k",IF(D1277&lt;50000,"$25k-$50k",IF(D1277&lt;75000,"$50k-$75k",IF(D1277&lt;100000,"$75k-$100k","$100k+")))))</x:f>
        <x:v>$25k-$50k</x:v>
      </x:c>
      <x:c r="P1277" t="str">
        <x:f>IF(E1277="","Unknown",IF(E1277&lt;10,"&lt;10",IF(E1277&lt;20,"10-&lt;20",IF(E1277&lt;25,"20-&lt;25",IF(E1277&lt;35,"25-&lt;35","35+")))))</x:f>
        <x:v>10-&lt;20</x:v>
      </x:c>
    </x:row>
    <x:row r="1278">
      <x:c r="A1278" t="str">
        <x:v>SYN0001277</x:v>
      </x:c>
      <x:c r="B1278" s="12" t="n">
        <x:v>41335</x:v>
      </x:c>
      <x:c r="C1278" s="18" t="n">
        <x:v>9499</x:v>
      </x:c>
      <x:c r="D1278" s="18" t="n">
        <x:v>120401</x:v>
      </x:c>
      <x:c r="E1278" s="18" t="n">
        <x:v>28.2</x:v>
      </x:c>
      <x:c r="F1278" s="18" t="n">
        <x:v>5.59</x:v>
      </x:c>
      <x:c r="G1278" t="n">
        <x:v>36</x:v>
      </x:c>
      <x:c r="H1278" t="str">
        <x:v>B</x:v>
      </x:c>
      <x:c r="I1278" t="str">
        <x:v>10+ years</x:v>
      </x:c>
      <x:c r="J1278" t="str">
        <x:v>RENT</x:v>
      </x:c>
      <x:c r="K1278" t="str">
        <x:v>credit_card</x:v>
      </x:c>
      <x:c r="L1278" t="n">
        <x:v>1</x:v>
      </x:c>
      <x:c r="M1278" t="n">
        <x:v>0</x:v>
      </x:c>
      <x:c r="N1278" t="str">
        <x:v>Fully Paid</x:v>
      </x:c>
      <x:c r="O1278" t="str">
        <x:f>IF(D1278="","Unknown",IF(D1278&lt;25000,"&lt;$25k",IF(D1278&lt;50000,"$25k-$50k",IF(D1278&lt;75000,"$50k-$75k",IF(D1278&lt;100000,"$75k-$100k","$100k+")))))</x:f>
        <x:v>$100k+</x:v>
      </x:c>
      <x:c r="P1278" t="str">
        <x:f>IF(E1278="","Unknown",IF(E1278&lt;10,"&lt;10",IF(E1278&lt;20,"10-&lt;20",IF(E1278&lt;25,"20-&lt;25",IF(E1278&lt;35,"25-&lt;35","35+")))))</x:f>
        <x:v>25-&lt;35</x:v>
      </x:c>
    </x:row>
    <x:row r="1279">
      <x:c r="A1279" t="str">
        <x:v>SYN0001278</x:v>
      </x:c>
      <x:c r="B1279" s="12" t="n">
        <x:v>41545</x:v>
      </x:c>
      <x:c r="C1279" s="18" t="n">
        <x:v>12839</x:v>
      </x:c>
      <x:c r="D1279" s="18" t="n">
        <x:v>64283</x:v>
      </x:c>
      <x:c r="E1279" s="18" t="n">
        <x:v>23.98</x:v>
      </x:c>
      <x:c r="F1279" s="18" t="n">
        <x:v>19.9</x:v>
      </x:c>
      <x:c r="G1279" t="n">
        <x:v>36</x:v>
      </x:c>
      <x:c r="H1279" t="str">
        <x:v>E</x:v>
      </x:c>
      <x:c r="I1279" t="str">
        <x:v>10+ years</x:v>
      </x:c>
      <x:c r="J1279" t="str">
        <x:v>MORTGAGE</x:v>
      </x:c>
      <x:c r="K1279" t="str">
        <x:v>credit_card</x:v>
      </x:c>
      <x:c r="L1279" t="n">
        <x:v>0</x:v>
      </x:c>
      <x:c r="M1279" t="n">
        <x:v>0</x:v>
      </x:c>
      <x:c r="N1279" t="str">
        <x:v>Fully Paid</x:v>
      </x:c>
      <x:c r="O1279" t="str">
        <x:f>IF(D1279="","Unknown",IF(D1279&lt;25000,"&lt;$25k",IF(D1279&lt;50000,"$25k-$50k",IF(D1279&lt;75000,"$50k-$75k",IF(D1279&lt;100000,"$75k-$100k","$100k+")))))</x:f>
        <x:v>$50k-$75k</x:v>
      </x:c>
      <x:c r="P1279" t="str">
        <x:f>IF(E1279="","Unknown",IF(E1279&lt;10,"&lt;10",IF(E1279&lt;20,"10-&lt;20",IF(E1279&lt;25,"20-&lt;25",IF(E1279&lt;35,"25-&lt;35","35+")))))</x:f>
        <x:v>20-&lt;25</x:v>
      </x:c>
    </x:row>
    <x:row r="1280">
      <x:c r="A1280" t="str">
        <x:v>SYN0001279</x:v>
      </x:c>
      <x:c r="B1280" s="12" t="n">
        <x:v>42025</x:v>
      </x:c>
      <x:c r="C1280" s="18" t="n">
        <x:v>2982</x:v>
      </x:c>
      <x:c r="D1280" s="18" t="n">
        <x:v>49747</x:v>
      </x:c>
      <x:c r="E1280" s="18" t="n">
        <x:v>18.08</x:v>
      </x:c>
      <x:c r="F1280" s="18" t="n">
        <x:v>11.77</x:v>
      </x:c>
      <x:c r="G1280" t="n">
        <x:v>36</x:v>
      </x:c>
      <x:c r="H1280" t="str">
        <x:v>B</x:v>
      </x:c>
      <x:c r="I1280" t="str">
        <x:v>7-9 years</x:v>
      </x:c>
      <x:c r="J1280" t="str">
        <x:v>OWN</x:v>
      </x:c>
      <x:c r="K1280" t="str">
        <x:v>home_improvement</x:v>
      </x:c>
      <x:c r="L1280" t="n">
        <x:v>0</x:v>
      </x:c>
      <x:c r="M1280" t="n">
        <x:v>0</x:v>
      </x:c>
      <x:c r="N1280" t="str">
        <x:v>Fully Paid</x:v>
      </x:c>
      <x:c r="O1280" t="str">
        <x:f>IF(D1280="","Unknown",IF(D1280&lt;25000,"&lt;$25k",IF(D1280&lt;50000,"$25k-$50k",IF(D1280&lt;75000,"$50k-$75k",IF(D1280&lt;100000,"$75k-$100k","$100k+")))))</x:f>
        <x:v>$25k-$50k</x:v>
      </x:c>
      <x:c r="P1280" t="str">
        <x:f>IF(E1280="","Unknown",IF(E1280&lt;10,"&lt;10",IF(E1280&lt;20,"10-&lt;20",IF(E1280&lt;25,"20-&lt;25",IF(E1280&lt;35,"25-&lt;35","35+")))))</x:f>
        <x:v>10-&lt;20</x:v>
      </x:c>
    </x:row>
    <x:row r="1281">
      <x:c r="A1281" t="str">
        <x:v>SYN0001280</x:v>
      </x:c>
      <x:c r="B1281" s="12" t="n">
        <x:v>43195</x:v>
      </x:c>
      <x:c r="C1281" s="18" t="n">
        <x:v>23987</x:v>
      </x:c>
      <x:c r="D1281" s="18" t="n">
        <x:v>89137</x:v>
      </x:c>
      <x:c r="E1281" s="18" t="n">
        <x:v>33.74</x:v>
      </x:c>
      <x:c r="F1281" s="18" t="n">
        <x:v>21.92</x:v>
      </x:c>
      <x:c r="G1281" t="n">
        <x:v>36</x:v>
      </x:c>
      <x:c r="H1281" t="str">
        <x:v>F</x:v>
      </x:c>
      <x:c r="I1281" t="str">
        <x:v>7-9 years</x:v>
      </x:c>
      <x:c r="J1281" t="str">
        <x:v>OWN</x:v>
      </x:c>
      <x:c r="K1281" t="str">
        <x:v>debt_consolidation</x:v>
      </x:c>
      <x:c r="L1281" t="n">
        <x:v>1</x:v>
      </x:c>
      <x:c r="M1281" t="n">
        <x:v>0</x:v>
      </x:c>
      <x:c r="N1281" t="str">
        <x:v>Fully Paid</x:v>
      </x:c>
      <x:c r="O1281" t="str">
        <x:f>IF(D1281="","Unknown",IF(D1281&lt;25000,"&lt;$25k",IF(D1281&lt;50000,"$25k-$50k",IF(D1281&lt;75000,"$50k-$75k",IF(D1281&lt;100000,"$75k-$100k","$100k+")))))</x:f>
        <x:v>$75k-$100k</x:v>
      </x:c>
      <x:c r="P1281" t="str">
        <x:f>IF(E1281="","Unknown",IF(E1281&lt;10,"&lt;10",IF(E1281&lt;20,"10-&lt;20",IF(E1281&lt;25,"20-&lt;25",IF(E1281&lt;35,"25-&lt;35","35+")))))</x:f>
        <x:v>25-&lt;35</x:v>
      </x:c>
    </x:row>
    <x:row r="1282">
      <x:c r="A1282" t="str">
        <x:v>SYN0001281</x:v>
      </x:c>
      <x:c r="B1282" s="12" t="n">
        <x:v>42925</x:v>
      </x:c>
      <x:c r="C1282" s="18" t="n">
        <x:v>11999</x:v>
      </x:c>
      <x:c r="D1282" s="18" t="n">
        <x:v>87351</x:v>
      </x:c>
      <x:c r="E1282" s="18" t="n">
        <x:v>15.43</x:v>
      </x:c>
      <x:c r="F1282" s="18" t="n">
        <x:v>8.91</x:v>
      </x:c>
      <x:c r="G1282" t="n">
        <x:v>36</x:v>
      </x:c>
      <x:c r="H1282" t="str">
        <x:v>C</x:v>
      </x:c>
      <x:c r="I1282" t="str">
        <x:v>10+ years</x:v>
      </x:c>
      <x:c r="J1282" t="str">
        <x:v>RENT</x:v>
      </x:c>
      <x:c r="K1282" t="str">
        <x:v>other</x:v>
      </x:c>
      <x:c r="L1282" t="n">
        <x:v>1</x:v>
      </x:c>
      <x:c r="M1282" t="n">
        <x:v>0</x:v>
      </x:c>
      <x:c r="N1282" t="str">
        <x:v>Fully Paid</x:v>
      </x:c>
      <x:c r="O1282" t="str">
        <x:f>IF(D1282="","Unknown",IF(D1282&lt;25000,"&lt;$25k",IF(D1282&lt;50000,"$25k-$50k",IF(D1282&lt;75000,"$50k-$75k",IF(D1282&lt;100000,"$75k-$100k","$100k+")))))</x:f>
        <x:v>$75k-$100k</x:v>
      </x:c>
      <x:c r="P1282" t="str">
        <x:f>IF(E1282="","Unknown",IF(E1282&lt;10,"&lt;10",IF(E1282&lt;20,"10-&lt;20",IF(E1282&lt;25,"20-&lt;25",IF(E1282&lt;35,"25-&lt;35","35+")))))</x:f>
        <x:v>10-&lt;20</x:v>
      </x:c>
    </x:row>
    <x:row r="1283">
      <x:c r="A1283" t="str">
        <x:v>SYN0001282</x:v>
      </x:c>
      <x:c r="B1283" s="12" t="n">
        <x:v>42265</x:v>
      </x:c>
      <x:c r="C1283" s="18" t="n">
        <x:v>40000</x:v>
      </x:c>
      <x:c r="D1283" s="18" t="n">
        <x:v>29059</x:v>
      </x:c>
      <x:c r="E1283" s="18" t="n">
        <x:v>12.48</x:v>
      </x:c>
      <x:c r="F1283" s="18" t="n">
        <x:v>5.45</x:v>
      </x:c>
      <x:c r="G1283" t="n">
        <x:v>60</x:v>
      </x:c>
      <x:c r="H1283" t="str">
        <x:v>B</x:v>
      </x:c>
      <x:c r="I1283" t="str">
        <x:v>10+ years</x:v>
      </x:c>
      <x:c r="J1283" t="str">
        <x:v>RENT</x:v>
      </x:c>
      <x:c r="K1283" t="str">
        <x:v>major_purchase</x:v>
      </x:c>
      <x:c r="L1283" t="n">
        <x:v>2</x:v>
      </x:c>
      <x:c r="M1283" t="n">
        <x:v>0</x:v>
      </x:c>
      <x:c r="N1283" t="str">
        <x:v>Fully Paid</x:v>
      </x:c>
      <x:c r="O1283" t="str">
        <x:f>IF(D1283="","Unknown",IF(D1283&lt;25000,"&lt;$25k",IF(D1283&lt;50000,"$25k-$50k",IF(D1283&lt;75000,"$50k-$75k",IF(D1283&lt;100000,"$75k-$100k","$100k+")))))</x:f>
        <x:v>$25k-$50k</x:v>
      </x:c>
      <x:c r="P1283" t="str">
        <x:f>IF(E1283="","Unknown",IF(E1283&lt;10,"&lt;10",IF(E1283&lt;20,"10-&lt;20",IF(E1283&lt;25,"20-&lt;25",IF(E1283&lt;35,"25-&lt;35","35+")))))</x:f>
        <x:v>10-&lt;20</x:v>
      </x:c>
    </x:row>
    <x:row r="1284">
      <x:c r="A1284" t="str">
        <x:v>SYN0001283</x:v>
      </x:c>
      <x:c r="B1284" s="12" t="n">
        <x:v>42235</x:v>
      </x:c>
      <x:c r="C1284" s="18" t="n">
        <x:v>10827</x:v>
      </x:c>
      <x:c r="D1284" s="18" t="n">
        <x:v>68701</x:v>
      </x:c>
      <x:c r="E1284" s="18" t="n">
        <x:v>24.8</x:v>
      </x:c>
      <x:c r="F1284" s="18" t="n">
        <x:v>22.06</x:v>
      </x:c>
      <x:c r="G1284" t="n">
        <x:v>36</x:v>
      </x:c>
      <x:c r="H1284" t="str">
        <x:v>F</x:v>
      </x:c>
      <x:c r="I1284" t="str">
        <x:v>7-9 years</x:v>
      </x:c>
      <x:c r="J1284" t="str">
        <x:v>MORTGAGE</x:v>
      </x:c>
      <x:c r="K1284" t="str">
        <x:v>debt_consolidation</x:v>
      </x:c>
      <x:c r="L1284" t="n">
        <x:v>0</x:v>
      </x:c>
      <x:c r="M1284" t="n">
        <x:v>1</x:v>
      </x:c>
      <x:c r="N1284" t="str">
        <x:v>Charged Off</x:v>
      </x:c>
      <x:c r="O1284" t="str">
        <x:f>IF(D1284="","Unknown",IF(D1284&lt;25000,"&lt;$25k",IF(D1284&lt;50000,"$25k-$50k",IF(D1284&lt;75000,"$50k-$75k",IF(D1284&lt;100000,"$75k-$100k","$100k+")))))</x:f>
        <x:v>$50k-$75k</x:v>
      </x:c>
      <x:c r="P1284" t="str">
        <x:f>IF(E1284="","Unknown",IF(E1284&lt;10,"&lt;10",IF(E1284&lt;20,"10-&lt;20",IF(E1284&lt;25,"20-&lt;25",IF(E1284&lt;35,"25-&lt;35","35+")))))</x:f>
        <x:v>20-&lt;25</x:v>
      </x:c>
    </x:row>
    <x:row r="1285">
      <x:c r="A1285" t="str">
        <x:v>SYN0001284</x:v>
      </x:c>
      <x:c r="B1285" s="12" t="n">
        <x:v>41965</x:v>
      </x:c>
      <x:c r="C1285" s="18" t="n">
        <x:v>32277</x:v>
      </x:c>
      <x:c r="D1285" s="18" t="n">
        <x:v>50984</x:v>
      </x:c>
      <x:c r="E1285" s="18" t="n">
        <x:v>21.09</x:v>
      </x:c>
      <x:c r="F1285" s="18" t="n">
        <x:v>12.23</x:v>
      </x:c>
      <x:c r="G1285" t="n">
        <x:v>36</x:v>
      </x:c>
      <x:c r="H1285" t="str">
        <x:v>B</x:v>
      </x:c>
      <x:c r="I1285" t="str">
        <x:v>10+ years</x:v>
      </x:c>
      <x:c r="J1285" t="str">
        <x:v>RENT</x:v>
      </x:c>
      <x:c r="K1285" t="str">
        <x:v>debt_consolidation</x:v>
      </x:c>
      <x:c r="L1285" t="n">
        <x:v>0</x:v>
      </x:c>
      <x:c r="M1285" t="n">
        <x:v>0</x:v>
      </x:c>
      <x:c r="N1285" t="str">
        <x:v>Fully Paid</x:v>
      </x:c>
      <x:c r="O1285" t="str">
        <x:f>IF(D1285="","Unknown",IF(D1285&lt;25000,"&lt;$25k",IF(D1285&lt;50000,"$25k-$50k",IF(D1285&lt;75000,"$50k-$75k",IF(D1285&lt;100000,"$75k-$100k","$100k+")))))</x:f>
        <x:v>$50k-$75k</x:v>
      </x:c>
      <x:c r="P1285" t="str">
        <x:f>IF(E1285="","Unknown",IF(E1285&lt;10,"&lt;10",IF(E1285&lt;20,"10-&lt;20",IF(E1285&lt;25,"20-&lt;25",IF(E1285&lt;35,"25-&lt;35","35+")))))</x:f>
        <x:v>20-&lt;25</x:v>
      </x:c>
    </x:row>
    <x:row r="1286">
      <x:c r="A1286" t="str">
        <x:v>SYN0001285</x:v>
      </x:c>
      <x:c r="B1286" s="12" t="n">
        <x:v>42625</x:v>
      </x:c>
      <x:c r="C1286" s="18" t="n">
        <x:v>12068</x:v>
      </x:c>
      <x:c r="D1286" s="18" t="n">
        <x:v>56506</x:v>
      </x:c>
      <x:c r="E1286" s="18" t="n">
        <x:v>22.67</x:v>
      </x:c>
      <x:c r="F1286" s="18" t="n">
        <x:v>9.55</x:v>
      </x:c>
      <x:c r="G1286" t="n">
        <x:v>36</x:v>
      </x:c>
      <x:c r="H1286" t="str">
        <x:v>C</x:v>
      </x:c>
      <x:c r="I1286" t="str">
        <x:v>7-9 years</x:v>
      </x:c>
      <x:c r="J1286" t="str">
        <x:v>MORTGAGE</x:v>
      </x:c>
      <x:c r="K1286" t="str">
        <x:v>debt_consolidation</x:v>
      </x:c>
      <x:c r="L1286" t="n">
        <x:v>0</x:v>
      </x:c>
      <x:c r="M1286" t="n">
        <x:v>0</x:v>
      </x:c>
      <x:c r="N1286" t="str">
        <x:v>Fully Paid</x:v>
      </x:c>
      <x:c r="O1286" t="str">
        <x:f>IF(D1286="","Unknown",IF(D1286&lt;25000,"&lt;$25k",IF(D1286&lt;50000,"$25k-$50k",IF(D1286&lt;75000,"$50k-$75k",IF(D1286&lt;100000,"$75k-$100k","$100k+")))))</x:f>
        <x:v>$50k-$75k</x:v>
      </x:c>
      <x:c r="P1286" t="str">
        <x:f>IF(E1286="","Unknown",IF(E1286&lt;10,"&lt;10",IF(E1286&lt;20,"10-&lt;20",IF(E1286&lt;25,"20-&lt;25",IF(E1286&lt;35,"25-&lt;35","35+")))))</x:f>
        <x:v>20-&lt;25</x:v>
      </x:c>
    </x:row>
    <x:row r="1287">
      <x:c r="A1287" t="str">
        <x:v>SYN0001286</x:v>
      </x:c>
      <x:c r="B1287" s="12" t="n">
        <x:v>43135</x:v>
      </x:c>
      <x:c r="C1287" s="18" t="n">
        <x:v>19610</x:v>
      </x:c>
      <x:c r="D1287" s="18" t="n">
        <x:v>69799</x:v>
      </x:c>
      <x:c r="E1287" s="18" t="n">
        <x:v>25.89</x:v>
      </x:c>
      <x:c r="F1287" s="18" t="n">
        <x:v>13.36</x:v>
      </x:c>
      <x:c r="G1287" t="n">
        <x:v>36</x:v>
      </x:c>
      <x:c r="H1287" t="str">
        <x:v>D</x:v>
      </x:c>
      <x:c r="I1287" t="str">
        <x:v>7-9 years</x:v>
      </x:c>
      <x:c r="J1287" t="str">
        <x:v>MORTGAGE</x:v>
      </x:c>
      <x:c r="K1287" t="str">
        <x:v>credit_card</x:v>
      </x:c>
      <x:c r="L1287" t="n">
        <x:v>1</x:v>
      </x:c>
      <x:c r="M1287" t="n">
        <x:v>0</x:v>
      </x:c>
      <x:c r="N1287" t="str">
        <x:v>Fully Paid</x:v>
      </x:c>
      <x:c r="O1287" t="str">
        <x:f>IF(D1287="","Unknown",IF(D1287&lt;25000,"&lt;$25k",IF(D1287&lt;50000,"$25k-$50k",IF(D1287&lt;75000,"$50k-$75k",IF(D1287&lt;100000,"$75k-$100k","$100k+")))))</x:f>
        <x:v>$50k-$75k</x:v>
      </x:c>
      <x:c r="P1287" t="str">
        <x:f>IF(E1287="","Unknown",IF(E1287&lt;10,"&lt;10",IF(E1287&lt;20,"10-&lt;20",IF(E1287&lt;25,"20-&lt;25",IF(E1287&lt;35,"25-&lt;35","35+")))))</x:f>
        <x:v>25-&lt;35</x:v>
      </x:c>
    </x:row>
    <x:row r="1288">
      <x:c r="A1288" t="str">
        <x:v>SYN0001287</x:v>
      </x:c>
      <x:c r="B1288" s="12" t="n">
        <x:v>43315</x:v>
      </x:c>
      <x:c r="C1288" s="18" t="n">
        <x:v>19216</x:v>
      </x:c>
      <x:c r="D1288" s="18" t="n">
        <x:v>116629</x:v>
      </x:c>
      <x:c r="E1288" s="18" t="n">
        <x:v>11.14</x:v>
      </x:c>
      <x:c r="F1288" s="18" t="n">
        <x:v>16.54</x:v>
      </x:c>
      <x:c r="G1288" t="n">
        <x:v>36</x:v>
      </x:c>
      <x:c r="H1288" t="str">
        <x:v>E</x:v>
      </x:c>
      <x:c r="I1288" t="str">
        <x:v>1-3 years</x:v>
      </x:c>
      <x:c r="J1288" t="str">
        <x:v>OWN</x:v>
      </x:c>
      <x:c r="K1288" t="str">
        <x:v>other</x:v>
      </x:c>
      <x:c r="L1288" t="n">
        <x:v>1</x:v>
      </x:c>
      <x:c r="M1288" t="n">
        <x:v>0</x:v>
      </x:c>
      <x:c r="N1288" t="str">
        <x:v>Fully Paid</x:v>
      </x:c>
      <x:c r="O1288" t="str">
        <x:f>IF(D1288="","Unknown",IF(D1288&lt;25000,"&lt;$25k",IF(D1288&lt;50000,"$25k-$50k",IF(D1288&lt;75000,"$50k-$75k",IF(D1288&lt;100000,"$75k-$100k","$100k+")))))</x:f>
        <x:v>$100k+</x:v>
      </x:c>
      <x:c r="P1288" t="str">
        <x:f>IF(E1288="","Unknown",IF(E1288&lt;10,"&lt;10",IF(E1288&lt;20,"10-&lt;20",IF(E1288&lt;25,"20-&lt;25",IF(E1288&lt;35,"25-&lt;35","35+")))))</x:f>
        <x:v>10-&lt;20</x:v>
      </x:c>
    </x:row>
    <x:row r="1289">
      <x:c r="A1289" t="str">
        <x:v>SYN0001288</x:v>
      </x:c>
      <x:c r="B1289" s="12" t="n">
        <x:v>43105</x:v>
      </x:c>
      <x:c r="C1289" s="18" t="n">
        <x:v>26193</x:v>
      </x:c>
      <x:c r="D1289" s="18" t="n">
        <x:v>43496</x:v>
      </x:c>
      <x:c r="E1289" s="18" t="n">
        <x:v>21.46</x:v>
      </x:c>
      <x:c r="F1289" s="18" t="n">
        <x:v>20.06</x:v>
      </x:c>
      <x:c r="G1289" t="n">
        <x:v>60</x:v>
      </x:c>
      <x:c r="H1289" t="str">
        <x:v>E</x:v>
      </x:c>
      <x:c r="I1289" t="str">
        <x:v>10+ years</x:v>
      </x:c>
      <x:c r="J1289" t="str">
        <x:v>MORTGAGE</x:v>
      </x:c>
      <x:c r="K1289" t="str">
        <x:v>debt_consolidation</x:v>
      </x:c>
      <x:c r="L1289" t="n">
        <x:v>0</x:v>
      </x:c>
      <x:c r="M1289" t="n">
        <x:v>0</x:v>
      </x:c>
      <x:c r="N1289" t="str">
        <x:v>Fully Paid</x:v>
      </x:c>
      <x:c r="O1289" t="str">
        <x:f>IF(D1289="","Unknown",IF(D1289&lt;25000,"&lt;$25k",IF(D1289&lt;50000,"$25k-$50k",IF(D1289&lt;75000,"$50k-$75k",IF(D1289&lt;100000,"$75k-$100k","$100k+")))))</x:f>
        <x:v>$25k-$50k</x:v>
      </x:c>
      <x:c r="P1289" t="str">
        <x:f>IF(E1289="","Unknown",IF(E1289&lt;10,"&lt;10",IF(E1289&lt;20,"10-&lt;20",IF(E1289&lt;25,"20-&lt;25",IF(E1289&lt;35,"25-&lt;35","35+")))))</x:f>
        <x:v>20-&lt;25</x:v>
      </x:c>
    </x:row>
    <x:row r="1290">
      <x:c r="A1290" t="str">
        <x:v>SYN0001289</x:v>
      </x:c>
      <x:c r="B1290" s="12" t="n">
        <x:v>42265</x:v>
      </x:c>
      <x:c r="C1290" s="18" t="n">
        <x:v>8671</x:v>
      </x:c>
      <x:c r="D1290" s="18" t="n">
        <x:v>42832</x:v>
      </x:c>
      <x:c r="E1290" s="18" t="n">
        <x:v>17.05</x:v>
      </x:c>
      <x:c r="F1290" s="18" t="n">
        <x:v>6.01</x:v>
      </x:c>
      <x:c r="G1290" t="n">
        <x:v>36</x:v>
      </x:c>
      <x:c r="H1290" t="str">
        <x:v>B</x:v>
      </x:c>
      <x:c r="I1290" t="str">
        <x:v>1-3 years</x:v>
      </x:c>
      <x:c r="J1290" t="str">
        <x:v>MORTGAGE</x:v>
      </x:c>
      <x:c r="K1290" t="str">
        <x:v>debt_consolidation</x:v>
      </x:c>
      <x:c r="L1290" t="n">
        <x:v>0</x:v>
      </x:c>
      <x:c r="M1290" t="n">
        <x:v>0</x:v>
      </x:c>
      <x:c r="N1290" t="str">
        <x:v>Fully Paid</x:v>
      </x:c>
      <x:c r="O1290" t="str">
        <x:f>IF(D1290="","Unknown",IF(D1290&lt;25000,"&lt;$25k",IF(D1290&lt;50000,"$25k-$50k",IF(D1290&lt;75000,"$50k-$75k",IF(D1290&lt;100000,"$75k-$100k","$100k+")))))</x:f>
        <x:v>$25k-$50k</x:v>
      </x:c>
      <x:c r="P1290" t="str">
        <x:f>IF(E1290="","Unknown",IF(E1290&lt;10,"&lt;10",IF(E1290&lt;20,"10-&lt;20",IF(E1290&lt;25,"20-&lt;25",IF(E1290&lt;35,"25-&lt;35","35+")))))</x:f>
        <x:v>10-&lt;20</x:v>
      </x:c>
    </x:row>
    <x:row r="1291">
      <x:c r="A1291" t="str">
        <x:v>SYN0001290</x:v>
      </x:c>
      <x:c r="B1291" s="12" t="n">
        <x:v>42325</x:v>
      </x:c>
      <x:c r="C1291" s="18" t="n">
        <x:v>20592</x:v>
      </x:c>
      <x:c r="D1291" s="18" t="n">
        <x:v>46689</x:v>
      </x:c>
      <x:c r="E1291" s="18" t="n">
        <x:v>23.6</x:v>
      </x:c>
      <x:c r="F1291" s="18" t="n">
        <x:v>13.88</x:v>
      </x:c>
      <x:c r="G1291" t="n">
        <x:v>36</x:v>
      </x:c>
      <x:c r="H1291" t="str">
        <x:v>D</x:v>
      </x:c>
      <x:c r="I1291" t="str">
        <x:v>1-3 years</x:v>
      </x:c>
      <x:c r="J1291" t="str">
        <x:v>MORTGAGE</x:v>
      </x:c>
      <x:c r="K1291" t="str">
        <x:v>debt_consolidation</x:v>
      </x:c>
      <x:c r="L1291" t="n">
        <x:v>1</x:v>
      </x:c>
      <x:c r="M1291" t="n">
        <x:v>0</x:v>
      </x:c>
      <x:c r="N1291" t="str">
        <x:v>Fully Paid</x:v>
      </x:c>
      <x:c r="O1291" t="str">
        <x:f>IF(D1291="","Unknown",IF(D1291&lt;25000,"&lt;$25k",IF(D1291&lt;50000,"$25k-$50k",IF(D1291&lt;75000,"$50k-$75k",IF(D1291&lt;100000,"$75k-$100k","$100k+")))))</x:f>
        <x:v>$25k-$50k</x:v>
      </x:c>
      <x:c r="P1291" t="str">
        <x:f>IF(E1291="","Unknown",IF(E1291&lt;10,"&lt;10",IF(E1291&lt;20,"10-&lt;20",IF(E1291&lt;25,"20-&lt;25",IF(E1291&lt;35,"25-&lt;35","35+")))))</x:f>
        <x:v>20-&lt;25</x:v>
      </x:c>
    </x:row>
    <x:row r="1292">
      <x:c r="A1292" t="str">
        <x:v>SYN0001291</x:v>
      </x:c>
      <x:c r="B1292" s="12" t="n">
        <x:v>42685</x:v>
      </x:c>
      <x:c r="C1292" s="18" t="n">
        <x:v>18188</x:v>
      </x:c>
      <x:c r="D1292" s="18" t="n">
        <x:v>40114</x:v>
      </x:c>
      <x:c r="E1292" s="18" t="n">
        <x:v>25.33</x:v>
      </x:c>
      <x:c r="F1292" s="18" t="n">
        <x:v>16.78</x:v>
      </x:c>
      <x:c r="G1292" t="n">
        <x:v>36</x:v>
      </x:c>
      <x:c r="H1292" t="str">
        <x:v>E</x:v>
      </x:c>
      <x:c r="I1292" t="str">
        <x:v>1-3 years</x:v>
      </x:c>
      <x:c r="J1292" t="str">
        <x:v>RENT</x:v>
      </x:c>
      <x:c r="K1292" t="str">
        <x:v>debt_consolidation</x:v>
      </x:c>
      <x:c r="L1292" t="n">
        <x:v>1</x:v>
      </x:c>
      <x:c r="M1292" t="n">
        <x:v>0</x:v>
      </x:c>
      <x:c r="N1292" t="str">
        <x:v>Fully Paid</x:v>
      </x:c>
      <x:c r="O1292" t="str">
        <x:f>IF(D1292="","Unknown",IF(D1292&lt;25000,"&lt;$25k",IF(D1292&lt;50000,"$25k-$50k",IF(D1292&lt;75000,"$50k-$75k",IF(D1292&lt;100000,"$75k-$100k","$100k+")))))</x:f>
        <x:v>$25k-$50k</x:v>
      </x:c>
      <x:c r="P1292" t="str">
        <x:f>IF(E1292="","Unknown",IF(E1292&lt;10,"&lt;10",IF(E1292&lt;20,"10-&lt;20",IF(E1292&lt;25,"20-&lt;25",IF(E1292&lt;35,"25-&lt;35","35+")))))</x:f>
        <x:v>25-&lt;35</x:v>
      </x:c>
    </x:row>
    <x:row r="1293">
      <x:c r="A1293" t="str">
        <x:v>SYN0001292</x:v>
      </x:c>
      <x:c r="B1293" s="12" t="n">
        <x:v>43135</x:v>
      </x:c>
      <x:c r="C1293" s="18" t="n">
        <x:v>10732</x:v>
      </x:c>
      <x:c r="D1293" s="18" t="n">
        <x:v>29329</x:v>
      </x:c>
      <x:c r="E1293" s="18" t="n">
        <x:v>25.45</x:v>
      </x:c>
      <x:c r="F1293" s="18" t="n">
        <x:v>13.46</x:v>
      </x:c>
      <x:c r="G1293" t="n">
        <x:v>60</x:v>
      </x:c>
      <x:c r="H1293" t="str">
        <x:v>D</x:v>
      </x:c>
      <x:c r="I1293" t="str">
        <x:v>1-3 years</x:v>
      </x:c>
      <x:c r="J1293" t="str">
        <x:v>MORTGAGE</x:v>
      </x:c>
      <x:c r="K1293" t="str">
        <x:v>debt_consolidation</x:v>
      </x:c>
      <x:c r="L1293" t="n">
        <x:v>1</x:v>
      </x:c>
      <x:c r="M1293" t="n">
        <x:v>0</x:v>
      </x:c>
      <x:c r="N1293" t="str">
        <x:v>Fully Paid</x:v>
      </x:c>
      <x:c r="O1293" t="str">
        <x:f>IF(D1293="","Unknown",IF(D1293&lt;25000,"&lt;$25k",IF(D1293&lt;50000,"$25k-$50k",IF(D1293&lt;75000,"$50k-$75k",IF(D1293&lt;100000,"$75k-$100k","$100k+")))))</x:f>
        <x:v>$25k-$50k</x:v>
      </x:c>
      <x:c r="P1293" t="str">
        <x:f>IF(E1293="","Unknown",IF(E1293&lt;10,"&lt;10",IF(E1293&lt;20,"10-&lt;20",IF(E1293&lt;25,"20-&lt;25",IF(E1293&lt;35,"25-&lt;35","35+")))))</x:f>
        <x:v>25-&lt;35</x:v>
      </x:c>
    </x:row>
    <x:row r="1294">
      <x:c r="A1294" t="str">
        <x:v>SYN0001293</x:v>
      </x:c>
      <x:c r="B1294" s="12" t="n">
        <x:v>42055</x:v>
      </x:c>
      <x:c r="C1294" s="18" t="n">
        <x:v>11430</x:v>
      </x:c>
      <x:c r="D1294" s="18" t="n">
        <x:v>31517</x:v>
      </x:c>
      <x:c r="E1294" s="18" t="n">
        <x:v>20.43</x:v>
      </x:c>
      <x:c r="F1294" s="18" t="n">
        <x:v>8.19</x:v>
      </x:c>
      <x:c r="G1294" t="n">
        <x:v>36</x:v>
      </x:c>
      <x:c r="H1294" t="str">
        <x:v>B</x:v>
      </x:c>
      <x:c r="I1294" t="str">
        <x:v>10+ years</x:v>
      </x:c>
      <x:c r="J1294" t="str">
        <x:v>OWN</x:v>
      </x:c>
      <x:c r="K1294" t="str">
        <x:v>debt_consolidation</x:v>
      </x:c>
      <x:c r="L1294" t="n">
        <x:v>1</x:v>
      </x:c>
      <x:c r="M1294" t="n">
        <x:v>0</x:v>
      </x:c>
      <x:c r="N1294" t="str">
        <x:v>Fully Paid</x:v>
      </x:c>
      <x:c r="O1294" t="str">
        <x:f>IF(D1294="","Unknown",IF(D1294&lt;25000,"&lt;$25k",IF(D1294&lt;50000,"$25k-$50k",IF(D1294&lt;75000,"$50k-$75k",IF(D1294&lt;100000,"$75k-$100k","$100k+")))))</x:f>
        <x:v>$25k-$50k</x:v>
      </x:c>
      <x:c r="P1294" t="str">
        <x:f>IF(E1294="","Unknown",IF(E1294&lt;10,"&lt;10",IF(E1294&lt;20,"10-&lt;20",IF(E1294&lt;25,"20-&lt;25",IF(E1294&lt;35,"25-&lt;35","35+")))))</x:f>
        <x:v>20-&lt;25</x:v>
      </x:c>
    </x:row>
    <x:row r="1295">
      <x:c r="A1295" t="str">
        <x:v>SYN0001294</x:v>
      </x:c>
      <x:c r="B1295" s="12" t="n">
        <x:v>42415</x:v>
      </x:c>
      <x:c r="C1295" s="18" t="n">
        <x:v>22084</x:v>
      </x:c>
      <x:c r="D1295" s="18" t="n">
        <x:v>49766</x:v>
      </x:c>
      <x:c r="E1295" s="18" t="n">
        <x:v>11.85</x:v>
      </x:c>
      <x:c r="F1295" s="18" t="n">
        <x:v>5.18</x:v>
      </x:c>
      <x:c r="G1295" t="n">
        <x:v>36</x:v>
      </x:c>
      <x:c r="H1295" t="str">
        <x:v>A</x:v>
      </x:c>
      <x:c r="I1295" t="str">
        <x:v>7-9 years</x:v>
      </x:c>
      <x:c r="J1295" t="str">
        <x:v>OWN</x:v>
      </x:c>
      <x:c r="K1295" t="str">
        <x:v>credit_card</x:v>
      </x:c>
      <x:c r="L1295" t="n">
        <x:v>0</x:v>
      </x:c>
      <x:c r="M1295" t="n">
        <x:v>0</x:v>
      </x:c>
      <x:c r="N1295" t="str">
        <x:v>Fully Paid</x:v>
      </x:c>
      <x:c r="O1295" t="str">
        <x:f>IF(D1295="","Unknown",IF(D1295&lt;25000,"&lt;$25k",IF(D1295&lt;50000,"$25k-$50k",IF(D1295&lt;75000,"$50k-$75k",IF(D1295&lt;100000,"$75k-$100k","$100k+")))))</x:f>
        <x:v>$25k-$50k</x:v>
      </x:c>
      <x:c r="P1295" t="str">
        <x:f>IF(E1295="","Unknown",IF(E1295&lt;10,"&lt;10",IF(E1295&lt;20,"10-&lt;20",IF(E1295&lt;25,"20-&lt;25",IF(E1295&lt;35,"25-&lt;35","35+")))))</x:f>
        <x:v>10-&lt;20</x:v>
      </x:c>
    </x:row>
    <x:row r="1296">
      <x:c r="A1296" t="str">
        <x:v>SYN0001295</x:v>
      </x:c>
      <x:c r="B1296" s="12" t="n">
        <x:v>41275</x:v>
      </x:c>
      <x:c r="C1296" s="18" t="n">
        <x:v>16608</x:v>
      </x:c>
      <x:c r="D1296" s="18" t="n">
        <x:v>35360</x:v>
      </x:c>
      <x:c r="E1296" s="18" t="n">
        <x:v>28.25</x:v>
      </x:c>
      <x:c r="F1296" s="18" t="n">
        <x:v>8.92</x:v>
      </x:c>
      <x:c r="G1296" t="n">
        <x:v>36</x:v>
      </x:c>
      <x:c r="H1296" t="str">
        <x:v>C</x:v>
      </x:c>
      <x:c r="I1296" t="str">
        <x:v>1-3 years</x:v>
      </x:c>
      <x:c r="J1296" t="str">
        <x:v>MORTGAGE</x:v>
      </x:c>
      <x:c r="K1296" t="str">
        <x:v>credit_card</x:v>
      </x:c>
      <x:c r="L1296" t="n">
        <x:v>0</x:v>
      </x:c>
      <x:c r="M1296" t="n">
        <x:v>1</x:v>
      </x:c>
      <x:c r="N1296" t="str">
        <x:v>Charged Off</x:v>
      </x:c>
      <x:c r="O1296" t="str">
        <x:f>IF(D1296="","Unknown",IF(D1296&lt;25000,"&lt;$25k",IF(D1296&lt;50000,"$25k-$50k",IF(D1296&lt;75000,"$50k-$75k",IF(D1296&lt;100000,"$75k-$100k","$100k+")))))</x:f>
        <x:v>$25k-$50k</x:v>
      </x:c>
      <x:c r="P1296" t="str">
        <x:f>IF(E1296="","Unknown",IF(E1296&lt;10,"&lt;10",IF(E1296&lt;20,"10-&lt;20",IF(E1296&lt;25,"20-&lt;25",IF(E1296&lt;35,"25-&lt;35","35+")))))</x:f>
        <x:v>25-&lt;35</x:v>
      </x:c>
    </x:row>
    <x:row r="1297">
      <x:c r="A1297" t="str">
        <x:v>SYN0001296</x:v>
      </x:c>
      <x:c r="B1297" s="12" t="n">
        <x:v>42325</x:v>
      </x:c>
      <x:c r="C1297" s="18" t="n">
        <x:v>13391</x:v>
      </x:c>
      <x:c r="D1297" s="18" t="n">
        <x:v>12000</x:v>
      </x:c>
      <x:c r="E1297" s="18" t="n">
        <x:v>13.77</x:v>
      </x:c>
      <x:c r="F1297" s="18" t="n">
        <x:v>11.23</x:v>
      </x:c>
      <x:c r="G1297" t="n">
        <x:v>36</x:v>
      </x:c>
      <x:c r="H1297" t="str">
        <x:v>C</x:v>
      </x:c>
      <x:c r="I1297" t="str">
        <x:v>7-9 years</x:v>
      </x:c>
      <x:c r="J1297" t="str">
        <x:v>MORTGAGE</x:v>
      </x:c>
      <x:c r="K1297" t="str">
        <x:v>credit_card</x:v>
      </x:c>
      <x:c r="L1297" t="n">
        <x:v>0</x:v>
      </x:c>
      <x:c r="M1297" t="n">
        <x:v>0</x:v>
      </x:c>
      <x:c r="N1297" t="str">
        <x:v>Fully Paid</x:v>
      </x:c>
      <x:c r="O1297" t="str">
        <x:f>IF(D1297="","Unknown",IF(D1297&lt;25000,"&lt;$25k",IF(D1297&lt;50000,"$25k-$50k",IF(D1297&lt;75000,"$50k-$75k",IF(D1297&lt;100000,"$75k-$100k","$100k+")))))</x:f>
        <x:v>&lt;$25k</x:v>
      </x:c>
      <x:c r="P1297" t="str">
        <x:f>IF(E1297="","Unknown",IF(E1297&lt;10,"&lt;10",IF(E1297&lt;20,"10-&lt;20",IF(E1297&lt;25,"20-&lt;25",IF(E1297&lt;35,"25-&lt;35","35+")))))</x:f>
        <x:v>10-&lt;20</x:v>
      </x:c>
    </x:row>
    <x:row r="1298">
      <x:c r="A1298" t="str">
        <x:v>SYN0001297</x:v>
      </x:c>
      <x:c r="B1298" s="12" t="n">
        <x:v>42295</x:v>
      </x:c>
      <x:c r="C1298" s="18" t="n">
        <x:v>27244</x:v>
      </x:c>
      <x:c r="D1298" s="18" t="n">
        <x:v>71035</x:v>
      </x:c>
      <x:c r="E1298" s="18" t="n">
        <x:v>13.4</x:v>
      </x:c>
      <x:c r="F1298" s="18" t="n">
        <x:v>14.99</x:v>
      </x:c>
      <x:c r="G1298" t="n">
        <x:v>60</x:v>
      </x:c>
      <x:c r="H1298" t="str">
        <x:v>D</x:v>
      </x:c>
      <x:c r="I1298" t="str">
        <x:v>10+ years</x:v>
      </x:c>
      <x:c r="J1298" t="str">
        <x:v>MORTGAGE</x:v>
      </x:c>
      <x:c r="K1298" t="str">
        <x:v>debt_consolidation</x:v>
      </x:c>
      <x:c r="L1298" t="n">
        <x:v>0</x:v>
      </x:c>
      <x:c r="M1298" t="n">
        <x:v>0</x:v>
      </x:c>
      <x:c r="N1298" t="str">
        <x:v>Fully Paid</x:v>
      </x:c>
      <x:c r="O1298" t="str">
        <x:f>IF(D1298="","Unknown",IF(D1298&lt;25000,"&lt;$25k",IF(D1298&lt;50000,"$25k-$50k",IF(D1298&lt;75000,"$50k-$75k",IF(D1298&lt;100000,"$75k-$100k","$100k+")))))</x:f>
        <x:v>$50k-$75k</x:v>
      </x:c>
      <x:c r="P1298" t="str">
        <x:f>IF(E1298="","Unknown",IF(E1298&lt;10,"&lt;10",IF(E1298&lt;20,"10-&lt;20",IF(E1298&lt;25,"20-&lt;25",IF(E1298&lt;35,"25-&lt;35","35+")))))</x:f>
        <x:v>10-&lt;20</x:v>
      </x:c>
    </x:row>
    <x:row r="1299">
      <x:c r="A1299" t="str">
        <x:v>SYN0001298</x:v>
      </x:c>
      <x:c r="B1299" s="12" t="n">
        <x:v>42115</x:v>
      </x:c>
      <x:c r="C1299" s="18" t="n">
        <x:v>34870</x:v>
      </x:c>
      <x:c r="D1299" s="18" t="n">
        <x:v>72278</x:v>
      </x:c>
      <x:c r="E1299" s="18" t="n">
        <x:v>33.8</x:v>
      </x:c>
      <x:c r="F1299" s="18" t="n">
        <x:v>10</x:v>
      </x:c>
      <x:c r="G1299" t="n">
        <x:v>36</x:v>
      </x:c>
      <x:c r="H1299" t="str">
        <x:v>C</x:v>
      </x:c>
      <x:c r="I1299" t="str">
        <x:v>1-3 years</x:v>
      </x:c>
      <x:c r="J1299" t="str">
        <x:v>RENT</x:v>
      </x:c>
      <x:c r="K1299" t="str">
        <x:v>other</x:v>
      </x:c>
      <x:c r="L1299" t="n">
        <x:v>1</x:v>
      </x:c>
      <x:c r="M1299" t="n">
        <x:v>0</x:v>
      </x:c>
      <x:c r="N1299" t="str">
        <x:v>Fully Paid</x:v>
      </x:c>
      <x:c r="O1299" t="str">
        <x:f>IF(D1299="","Unknown",IF(D1299&lt;25000,"&lt;$25k",IF(D1299&lt;50000,"$25k-$50k",IF(D1299&lt;75000,"$50k-$75k",IF(D1299&lt;100000,"$75k-$100k","$100k+")))))</x:f>
        <x:v>$50k-$75k</x:v>
      </x:c>
      <x:c r="P1299" t="str">
        <x:f>IF(E1299="","Unknown",IF(E1299&lt;10,"&lt;10",IF(E1299&lt;20,"10-&lt;20",IF(E1299&lt;25,"20-&lt;25",IF(E1299&lt;35,"25-&lt;35","35+")))))</x:f>
        <x:v>25-&lt;35</x:v>
      </x:c>
    </x:row>
    <x:row r="1300">
      <x:c r="A1300" t="str">
        <x:v>SYN0001299</x:v>
      </x:c>
      <x:c r="B1300" s="12" t="n">
        <x:v>42205</x:v>
      </x:c>
      <x:c r="C1300" s="18" t="n">
        <x:v>11072</x:v>
      </x:c>
      <x:c r="D1300" s="18" t="n">
        <x:v>36423</x:v>
      </x:c>
      <x:c r="E1300" s="18" t="n">
        <x:v>10.94</x:v>
      </x:c>
      <x:c r="F1300" s="18" t="n">
        <x:v>7.34</x:v>
      </x:c>
      <x:c r="G1300" t="n">
        <x:v>60</x:v>
      </x:c>
      <x:c r="H1300" t="str">
        <x:v>B</x:v>
      </x:c>
      <x:c r="I1300" t="str">
        <x:v>1-3 years</x:v>
      </x:c>
      <x:c r="J1300" t="str">
        <x:v>MORTGAGE</x:v>
      </x:c>
      <x:c r="K1300" t="str">
        <x:v>credit_card</x:v>
      </x:c>
      <x:c r="L1300" t="n">
        <x:v>0</x:v>
      </x:c>
      <x:c r="M1300" t="n">
        <x:v>0</x:v>
      </x:c>
      <x:c r="N1300" t="str">
        <x:v>Fully Paid</x:v>
      </x:c>
      <x:c r="O1300" t="str">
        <x:f>IF(D1300="","Unknown",IF(D1300&lt;25000,"&lt;$25k",IF(D1300&lt;50000,"$25k-$50k",IF(D1300&lt;75000,"$50k-$75k",IF(D1300&lt;100000,"$75k-$100k","$100k+")))))</x:f>
        <x:v>$25k-$50k</x:v>
      </x:c>
      <x:c r="P1300" t="str">
        <x:f>IF(E1300="","Unknown",IF(E1300&lt;10,"&lt;10",IF(E1300&lt;20,"10-&lt;20",IF(E1300&lt;25,"20-&lt;25",IF(E1300&lt;35,"25-&lt;35","35+")))))</x:f>
        <x:v>10-&lt;20</x:v>
      </x:c>
    </x:row>
    <x:row r="1301">
      <x:c r="A1301" t="str">
        <x:v>SYN0001300</x:v>
      </x:c>
      <x:c r="B1301" s="12" t="n">
        <x:v>42805</x:v>
      </x:c>
      <x:c r="C1301" s="18" t="n">
        <x:v>12666</x:v>
      </x:c>
      <x:c r="D1301" s="18" t="n">
        <x:v>50100</x:v>
      </x:c>
      <x:c r="E1301" s="18" t="n">
        <x:v>13.09</x:v>
      </x:c>
      <x:c r="F1301" s="18" t="n">
        <x:v>10.78</x:v>
      </x:c>
      <x:c r="G1301" t="n">
        <x:v>36</x:v>
      </x:c>
      <x:c r="H1301" t="str">
        <x:v>C</x:v>
      </x:c>
      <x:c r="I1301" t="str">
        <x:v>1-3 years</x:v>
      </x:c>
      <x:c r="J1301" t="str">
        <x:v>MORTGAGE</x:v>
      </x:c>
      <x:c r="K1301" t="str">
        <x:v>debt_consolidation</x:v>
      </x:c>
      <x:c r="L1301" t="n">
        <x:v>1</x:v>
      </x:c>
      <x:c r="M1301" t="n">
        <x:v>0</x:v>
      </x:c>
      <x:c r="N1301" t="str">
        <x:v>Fully Paid</x:v>
      </x:c>
      <x:c r="O1301" t="str">
        <x:f>IF(D1301="","Unknown",IF(D1301&lt;25000,"&lt;$25k",IF(D1301&lt;50000,"$25k-$50k",IF(D1301&lt;75000,"$50k-$75k",IF(D1301&lt;100000,"$75k-$100k","$100k+")))))</x:f>
        <x:v>$50k-$75k</x:v>
      </x:c>
      <x:c r="P1301" t="str">
        <x:f>IF(E1301="","Unknown",IF(E1301&lt;10,"&lt;10",IF(E1301&lt;20,"10-&lt;20",IF(E1301&lt;25,"20-&lt;25",IF(E1301&lt;35,"25-&lt;35","35+")))))</x:f>
        <x:v>10-&lt;20</x:v>
      </x:c>
    </x:row>
    <x:row r="1302">
      <x:c r="A1302" t="str">
        <x:v>SYN0001301</x:v>
      </x:c>
      <x:c r="B1302" s="12" t="n">
        <x:v>42865</x:v>
      </x:c>
      <x:c r="C1302" s="18" t="n">
        <x:v>11619</x:v>
      </x:c>
      <x:c r="D1302" s="18" t="n">
        <x:v>62016</x:v>
      </x:c>
      <x:c r="E1302" s="18" t="n">
        <x:v>8.14</x:v>
      </x:c>
      <x:c r="F1302" s="18" t="n">
        <x:v>7.51</x:v>
      </x:c>
      <x:c r="G1302" t="n">
        <x:v>36</x:v>
      </x:c>
      <x:c r="H1302" t="str">
        <x:v>B</x:v>
      </x:c>
      <x:c r="I1302" t="str">
        <x:v>7-9 years</x:v>
      </x:c>
      <x:c r="J1302" t="str">
        <x:v>MORTGAGE</x:v>
      </x:c>
      <x:c r="K1302" t="str">
        <x:v>debt_consolidation</x:v>
      </x:c>
      <x:c r="L1302" t="n">
        <x:v>0</x:v>
      </x:c>
      <x:c r="M1302" t="n">
        <x:v>0</x:v>
      </x:c>
      <x:c r="N1302" t="str">
        <x:v>Fully Paid</x:v>
      </x:c>
      <x:c r="O1302" t="str">
        <x:f>IF(D1302="","Unknown",IF(D1302&lt;25000,"&lt;$25k",IF(D1302&lt;50000,"$25k-$50k",IF(D1302&lt;75000,"$50k-$75k",IF(D1302&lt;100000,"$75k-$100k","$100k+")))))</x:f>
        <x:v>$50k-$75k</x:v>
      </x:c>
      <x:c r="P1302" t="str">
        <x:f>IF(E1302="","Unknown",IF(E1302&lt;10,"&lt;10",IF(E1302&lt;20,"10-&lt;20",IF(E1302&lt;25,"20-&lt;25",IF(E1302&lt;35,"25-&lt;35","35+")))))</x:f>
        <x:v>&lt;10</x:v>
      </x:c>
    </x:row>
    <x:row r="1303">
      <x:c r="A1303" t="str">
        <x:v>SYN0001302</x:v>
      </x:c>
      <x:c r="B1303" s="12" t="n">
        <x:v>41935</x:v>
      </x:c>
      <x:c r="C1303" s="18" t="n">
        <x:v>18332</x:v>
      </x:c>
      <x:c r="D1303" s="18" t="n">
        <x:v>65598</x:v>
      </x:c>
      <x:c r="E1303" s="18" t="n">
        <x:v>12.94</x:v>
      </x:c>
      <x:c r="F1303" s="18" t="n">
        <x:v>8.45</x:v>
      </x:c>
      <x:c r="G1303" t="n">
        <x:v>60</x:v>
      </x:c>
      <x:c r="H1303" t="str">
        <x:v>B</x:v>
      </x:c>
      <x:c r="I1303" t="str">
        <x:v>10+ years</x:v>
      </x:c>
      <x:c r="J1303" t="str">
        <x:v>MORTGAGE</x:v>
      </x:c>
      <x:c r="K1303" t="str">
        <x:v>credit_card</x:v>
      </x:c>
      <x:c r="L1303" t="n">
        <x:v>0</x:v>
      </x:c>
      <x:c r="M1303" t="n">
        <x:v>0</x:v>
      </x:c>
      <x:c r="N1303" t="str">
        <x:v>Fully Paid</x:v>
      </x:c>
      <x:c r="O1303" t="str">
        <x:f>IF(D1303="","Unknown",IF(D1303&lt;25000,"&lt;$25k",IF(D1303&lt;50000,"$25k-$50k",IF(D1303&lt;75000,"$50k-$75k",IF(D1303&lt;100000,"$75k-$100k","$100k+")))))</x:f>
        <x:v>$50k-$75k</x:v>
      </x:c>
      <x:c r="P1303" t="str">
        <x:f>IF(E1303="","Unknown",IF(E1303&lt;10,"&lt;10",IF(E1303&lt;20,"10-&lt;20",IF(E1303&lt;25,"20-&lt;25",IF(E1303&lt;35,"25-&lt;35","35+")))))</x:f>
        <x:v>10-&lt;20</x:v>
      </x:c>
    </x:row>
    <x:row r="1304">
      <x:c r="A1304" t="str">
        <x:v>SYN0001303</x:v>
      </x:c>
      <x:c r="B1304" s="12" t="n">
        <x:v>41395</x:v>
      </x:c>
      <x:c r="C1304" s="18" t="n">
        <x:v>6569</x:v>
      </x:c>
      <x:c r="D1304" s="18" t="n">
        <x:v>63189</x:v>
      </x:c>
      <x:c r="E1304" s="18" t="n">
        <x:v>31.11</x:v>
      </x:c>
      <x:c r="F1304" s="18" t="n">
        <x:v>13.65</x:v>
      </x:c>
      <x:c r="G1304" t="n">
        <x:v>60</x:v>
      </x:c>
      <x:c r="H1304" t="str">
        <x:v>D</x:v>
      </x:c>
      <x:c r="I1304" t="str">
        <x:v>10+ years</x:v>
      </x:c>
      <x:c r="J1304" t="str">
        <x:v>MORTGAGE</x:v>
      </x:c>
      <x:c r="K1304" t="str">
        <x:v>other</x:v>
      </x:c>
      <x:c r="L1304" t="n">
        <x:v>0</x:v>
      </x:c>
      <x:c r="M1304" t="n">
        <x:v>0</x:v>
      </x:c>
      <x:c r="N1304" t="str">
        <x:v>Fully Paid</x:v>
      </x:c>
      <x:c r="O1304" t="str">
        <x:f>IF(D1304="","Unknown",IF(D1304&lt;25000,"&lt;$25k",IF(D1304&lt;50000,"$25k-$50k",IF(D1304&lt;75000,"$50k-$75k",IF(D1304&lt;100000,"$75k-$100k","$100k+")))))</x:f>
        <x:v>$50k-$75k</x:v>
      </x:c>
      <x:c r="P1304" t="str">
        <x:f>IF(E1304="","Unknown",IF(E1304&lt;10,"&lt;10",IF(E1304&lt;20,"10-&lt;20",IF(E1304&lt;25,"20-&lt;25",IF(E1304&lt;35,"25-&lt;35","35+")))))</x:f>
        <x:v>25-&lt;35</x:v>
      </x:c>
    </x:row>
    <x:row r="1305">
      <x:c r="A1305" t="str">
        <x:v>SYN0001304</x:v>
      </x:c>
      <x:c r="B1305" s="12" t="n">
        <x:v>42685</x:v>
      </x:c>
      <x:c r="C1305" s="18" t="n">
        <x:v>18871</x:v>
      </x:c>
      <x:c r="D1305" s="18" t="n">
        <x:v>92904</x:v>
      </x:c>
      <x:c r="E1305" s="18" t="n">
        <x:v>24.49</x:v>
      </x:c>
      <x:c r="F1305" s="18" t="n">
        <x:v>13.52</x:v>
      </x:c>
      <x:c r="G1305" t="n">
        <x:v>36</x:v>
      </x:c>
      <x:c r="H1305" t="str">
        <x:v>C</x:v>
      </x:c>
      <x:c r="I1305" t="str">
        <x:v>1-3 years</x:v>
      </x:c>
      <x:c r="J1305" t="str">
        <x:v>MORTGAGE</x:v>
      </x:c>
      <x:c r="K1305" t="str">
        <x:v>debt_consolidation</x:v>
      </x:c>
      <x:c r="L1305" t="n">
        <x:v>0</x:v>
      </x:c>
      <x:c r="M1305" t="n">
        <x:v>0</x:v>
      </x:c>
      <x:c r="N1305" t="str">
        <x:v>Fully Paid</x:v>
      </x:c>
      <x:c r="O1305" t="str">
        <x:f>IF(D1305="","Unknown",IF(D1305&lt;25000,"&lt;$25k",IF(D1305&lt;50000,"$25k-$50k",IF(D1305&lt;75000,"$50k-$75k",IF(D1305&lt;100000,"$75k-$100k","$100k+")))))</x:f>
        <x:v>$75k-$100k</x:v>
      </x:c>
      <x:c r="P1305" t="str">
        <x:f>IF(E1305="","Unknown",IF(E1305&lt;10,"&lt;10",IF(E1305&lt;20,"10-&lt;20",IF(E1305&lt;25,"20-&lt;25",IF(E1305&lt;35,"25-&lt;35","35+")))))</x:f>
        <x:v>20-&lt;25</x:v>
      </x:c>
    </x:row>
    <x:row r="1306">
      <x:c r="A1306" t="str">
        <x:v>SYN0001305</x:v>
      </x:c>
      <x:c r="B1306" s="12" t="n">
        <x:v>43015</x:v>
      </x:c>
      <x:c r="C1306" s="18" t="n">
        <x:v>8096</x:v>
      </x:c>
      <x:c r="D1306" s="18" t="n">
        <x:v>26697</x:v>
      </x:c>
      <x:c r="E1306" s="18" t="n">
        <x:v>15.28</x:v>
      </x:c>
      <x:c r="F1306" s="18" t="n">
        <x:v>9.48</x:v>
      </x:c>
      <x:c r="G1306" t="n">
        <x:v>36</x:v>
      </x:c>
      <x:c r="H1306" t="str">
        <x:v>C</x:v>
      </x:c>
      <x:c r="I1306" t="str">
        <x:v>1-3 years</x:v>
      </x:c>
      <x:c r="J1306" t="str">
        <x:v>MORTGAGE</x:v>
      </x:c>
      <x:c r="K1306" t="str">
        <x:v>debt_consolidation</x:v>
      </x:c>
      <x:c r="L1306" t="n">
        <x:v>0</x:v>
      </x:c>
      <x:c r="M1306" t="n">
        <x:v>0</x:v>
      </x:c>
      <x:c r="N1306" t="str">
        <x:v>Fully Paid</x:v>
      </x:c>
      <x:c r="O1306" t="str">
        <x:f>IF(D1306="","Unknown",IF(D1306&lt;25000,"&lt;$25k",IF(D1306&lt;50000,"$25k-$50k",IF(D1306&lt;75000,"$50k-$75k",IF(D1306&lt;100000,"$75k-$100k","$100k+")))))</x:f>
        <x:v>$25k-$50k</x:v>
      </x:c>
      <x:c r="P1306" t="str">
        <x:f>IF(E1306="","Unknown",IF(E1306&lt;10,"&lt;10",IF(E1306&lt;20,"10-&lt;20",IF(E1306&lt;25,"20-&lt;25",IF(E1306&lt;35,"25-&lt;35","35+")))))</x:f>
        <x:v>10-&lt;20</x:v>
      </x:c>
    </x:row>
    <x:row r="1307">
      <x:c r="A1307" t="str">
        <x:v>SYN0001306</x:v>
      </x:c>
      <x:c r="B1307" s="12" t="n">
        <x:v>42235</x:v>
      </x:c>
      <x:c r="C1307" s="18" t="n">
        <x:v>15641</x:v>
      </x:c>
      <x:c r="D1307" s="18" t="n">
        <x:v>70543</x:v>
      </x:c>
      <x:c r="E1307" s="18" t="n">
        <x:v>22.42</x:v>
      </x:c>
      <x:c r="F1307" s="18" t="n">
        <x:v>16.2</x:v>
      </x:c>
      <x:c r="G1307" t="n">
        <x:v>36</x:v>
      </x:c>
      <x:c r="H1307" t="str">
        <x:v>D</x:v>
      </x:c>
      <x:c r="I1307" t="str">
        <x:v>1-3 years</x:v>
      </x:c>
      <x:c r="J1307" t="str">
        <x:v>RENT</x:v>
      </x:c>
      <x:c r="K1307" t="str">
        <x:v>debt_consolidation</x:v>
      </x:c>
      <x:c r="L1307" t="n">
        <x:v>0</x:v>
      </x:c>
      <x:c r="M1307" t="n">
        <x:v>0</x:v>
      </x:c>
      <x:c r="N1307" t="str">
        <x:v>Fully Paid</x:v>
      </x:c>
      <x:c r="O1307" t="str">
        <x:f>IF(D1307="","Unknown",IF(D1307&lt;25000,"&lt;$25k",IF(D1307&lt;50000,"$25k-$50k",IF(D1307&lt;75000,"$50k-$75k",IF(D1307&lt;100000,"$75k-$100k","$100k+")))))</x:f>
        <x:v>$50k-$75k</x:v>
      </x:c>
      <x:c r="P1307" t="str">
        <x:f>IF(E1307="","Unknown",IF(E1307&lt;10,"&lt;10",IF(E1307&lt;20,"10-&lt;20",IF(E1307&lt;25,"20-&lt;25",IF(E1307&lt;35,"25-&lt;35","35+")))))</x:f>
        <x:v>20-&lt;25</x:v>
      </x:c>
    </x:row>
    <x:row r="1308">
      <x:c r="A1308" t="str">
        <x:v>SYN0001307</x:v>
      </x:c>
      <x:c r="B1308" s="12" t="n">
        <x:v>41395</x:v>
      </x:c>
      <x:c r="C1308" s="18" t="n">
        <x:v>15738</x:v>
      </x:c>
      <x:c r="D1308" s="18" t="n">
        <x:v>70352</x:v>
      </x:c>
      <x:c r="E1308" s="18" t="n">
        <x:v>19.58</x:v>
      </x:c>
      <x:c r="F1308" s="18" t="n">
        <x:v>15.76</x:v>
      </x:c>
      <x:c r="G1308" t="n">
        <x:v>36</x:v>
      </x:c>
      <x:c r="H1308" t="str">
        <x:v>E</x:v>
      </x:c>
      <x:c r="I1308" t="str">
        <x:v>4-6 years</x:v>
      </x:c>
      <x:c r="J1308" t="str">
        <x:v>RENT</x:v>
      </x:c>
      <x:c r="K1308" t="str">
        <x:v>home_improvement</x:v>
      </x:c>
      <x:c r="L1308" t="n">
        <x:v>0</x:v>
      </x:c>
      <x:c r="M1308" t="n">
        <x:v>1</x:v>
      </x:c>
      <x:c r="N1308" t="str">
        <x:v>Charged Off</x:v>
      </x:c>
      <x:c r="O1308" t="str">
        <x:f>IF(D1308="","Unknown",IF(D1308&lt;25000,"&lt;$25k",IF(D1308&lt;50000,"$25k-$50k",IF(D1308&lt;75000,"$50k-$75k",IF(D1308&lt;100000,"$75k-$100k","$100k+")))))</x:f>
        <x:v>$50k-$75k</x:v>
      </x:c>
      <x:c r="P1308" t="str">
        <x:f>IF(E1308="","Unknown",IF(E1308&lt;10,"&lt;10",IF(E1308&lt;20,"10-&lt;20",IF(E1308&lt;25,"20-&lt;25",IF(E1308&lt;35,"25-&lt;35","35+")))))</x:f>
        <x:v>10-&lt;20</x:v>
      </x:c>
    </x:row>
    <x:row r="1309">
      <x:c r="A1309" t="str">
        <x:v>SYN0001308</x:v>
      </x:c>
      <x:c r="B1309" s="12" t="n">
        <x:v>43225</x:v>
      </x:c>
      <x:c r="C1309" s="18" t="n">
        <x:v>15003</x:v>
      </x:c>
      <x:c r="D1309" s="18" t="n">
        <x:v>129993</x:v>
      </x:c>
      <x:c r="E1309" s="18" t="n">
        <x:v>19.5</x:v>
      </x:c>
      <x:c r="F1309" s="18" t="n">
        <x:v>10.63</x:v>
      </x:c>
      <x:c r="G1309" t="n">
        <x:v>60</x:v>
      </x:c>
      <x:c r="H1309" t="str">
        <x:v>C</x:v>
      </x:c>
      <x:c r="I1309" t="str">
        <x:v>7-9 years</x:v>
      </x:c>
      <x:c r="J1309" t="str">
        <x:v>MORTGAGE</x:v>
      </x:c>
      <x:c r="K1309" t="str">
        <x:v>other</x:v>
      </x:c>
      <x:c r="L1309" t="n">
        <x:v>0</x:v>
      </x:c>
      <x:c r="M1309" t="n">
        <x:v>0</x:v>
      </x:c>
      <x:c r="N1309" t="str">
        <x:v>Fully Paid</x:v>
      </x:c>
      <x:c r="O1309" t="str">
        <x:f>IF(D1309="","Unknown",IF(D1309&lt;25000,"&lt;$25k",IF(D1309&lt;50000,"$25k-$50k",IF(D1309&lt;75000,"$50k-$75k",IF(D1309&lt;100000,"$75k-$100k","$100k+")))))</x:f>
        <x:v>$100k+</x:v>
      </x:c>
      <x:c r="P1309" t="str">
        <x:f>IF(E1309="","Unknown",IF(E1309&lt;10,"&lt;10",IF(E1309&lt;20,"10-&lt;20",IF(E1309&lt;25,"20-&lt;25",IF(E1309&lt;35,"25-&lt;35","35+")))))</x:f>
        <x:v>10-&lt;20</x:v>
      </x:c>
    </x:row>
    <x:row r="1310">
      <x:c r="A1310" t="str">
        <x:v>SYN0001309</x:v>
      </x:c>
      <x:c r="B1310" s="12" t="n">
        <x:v>41695</x:v>
      </x:c>
      <x:c r="C1310" s="18" t="n">
        <x:v>29792</x:v>
      </x:c>
      <x:c r="D1310" s="18" t="n">
        <x:v>120973</x:v>
      </x:c>
      <x:c r="E1310" s="18" t="n">
        <x:v>12.96</x:v>
      </x:c>
      <x:c r="F1310" s="18" t="n">
        <x:v>7.66</x:v>
      </x:c>
      <x:c r="G1310" t="n">
        <x:v>36</x:v>
      </x:c>
      <x:c r="H1310" t="str">
        <x:v>B</x:v>
      </x:c>
      <x:c r="I1310" t="str">
        <x:v>1-3 years</x:v>
      </x:c>
      <x:c r="J1310" t="str">
        <x:v>RENT</x:v>
      </x:c>
      <x:c r="K1310" t="str">
        <x:v>medical</x:v>
      </x:c>
      <x:c r="L1310" t="n">
        <x:v>0</x:v>
      </x:c>
      <x:c r="M1310" t="n">
        <x:v>0</x:v>
      </x:c>
      <x:c r="N1310" t="str">
        <x:v>Fully Paid</x:v>
      </x:c>
      <x:c r="O1310" t="str">
        <x:f>IF(D1310="","Unknown",IF(D1310&lt;25000,"&lt;$25k",IF(D1310&lt;50000,"$25k-$50k",IF(D1310&lt;75000,"$50k-$75k",IF(D1310&lt;100000,"$75k-$100k","$100k+")))))</x:f>
        <x:v>$100k+</x:v>
      </x:c>
      <x:c r="P1310" t="str">
        <x:f>IF(E1310="","Unknown",IF(E1310&lt;10,"&lt;10",IF(E1310&lt;20,"10-&lt;20",IF(E1310&lt;25,"20-&lt;25",IF(E1310&lt;35,"25-&lt;35","35+")))))</x:f>
        <x:v>10-&lt;20</x:v>
      </x:c>
    </x:row>
    <x:row r="1311">
      <x:c r="A1311" t="str">
        <x:v>SYN0001310</x:v>
      </x:c>
      <x:c r="B1311" s="12" t="n">
        <x:v>41725</x:v>
      </x:c>
      <x:c r="C1311" s="18" t="n">
        <x:v>11607</x:v>
      </x:c>
      <x:c r="D1311" s="18" t="n">
        <x:v>19217</x:v>
      </x:c>
      <x:c r="E1311" s="18" t="n">
        <x:v>9.12</x:v>
      </x:c>
      <x:c r="F1311" s="18" t="n">
        <x:v>14.37</x:v>
      </x:c>
      <x:c r="G1311" t="n">
        <x:v>36</x:v>
      </x:c>
      <x:c r="H1311" t="str">
        <x:v>C</x:v>
      </x:c>
      <x:c r="I1311" t="str">
        <x:v>4-6 years</x:v>
      </x:c>
      <x:c r="J1311" t="str">
        <x:v>RENT</x:v>
      </x:c>
      <x:c r="K1311" t="str">
        <x:v>debt_consolidation</x:v>
      </x:c>
      <x:c r="L1311" t="n">
        <x:v>0</x:v>
      </x:c>
      <x:c r="M1311" t="n">
        <x:v>0</x:v>
      </x:c>
      <x:c r="N1311" t="str">
        <x:v>Fully Paid</x:v>
      </x:c>
      <x:c r="O1311" t="str">
        <x:f>IF(D1311="","Unknown",IF(D1311&lt;25000,"&lt;$25k",IF(D1311&lt;50000,"$25k-$50k",IF(D1311&lt;75000,"$50k-$75k",IF(D1311&lt;100000,"$75k-$100k","$100k+")))))</x:f>
        <x:v>&lt;$25k</x:v>
      </x:c>
      <x:c r="P1311" t="str">
        <x:f>IF(E1311="","Unknown",IF(E1311&lt;10,"&lt;10",IF(E1311&lt;20,"10-&lt;20",IF(E1311&lt;25,"20-&lt;25",IF(E1311&lt;35,"25-&lt;35","35+")))))</x:f>
        <x:v>&lt;10</x:v>
      </x:c>
    </x:row>
    <x:row r="1312">
      <x:c r="A1312" t="str">
        <x:v>SYN0001311</x:v>
      </x:c>
      <x:c r="B1312" s="12" t="n">
        <x:v>41965</x:v>
      </x:c>
      <x:c r="C1312" s="18" t="n">
        <x:v>9671</x:v>
      </x:c>
      <x:c r="D1312" s="18" t="n">
        <x:v>51186</x:v>
      </x:c>
      <x:c r="E1312" s="18" t="n">
        <x:v>14</x:v>
      </x:c>
      <x:c r="F1312" s="18" t="n">
        <x:v>6.82</x:v>
      </x:c>
      <x:c r="G1312" t="n">
        <x:v>36</x:v>
      </x:c>
      <x:c r="H1312" t="str">
        <x:v>A</x:v>
      </x:c>
      <x:c r="I1312" t="str">
        <x:v>1-3 years</x:v>
      </x:c>
      <x:c r="J1312" t="str">
        <x:v>MORTGAGE</x:v>
      </x:c>
      <x:c r="K1312" t="str">
        <x:v>other</x:v>
      </x:c>
      <x:c r="L1312" t="n">
        <x:v>0</x:v>
      </x:c>
      <x:c r="M1312" t="n">
        <x:v>0</x:v>
      </x:c>
      <x:c r="N1312" t="str">
        <x:v>Fully Paid</x:v>
      </x:c>
      <x:c r="O1312" t="str">
        <x:f>IF(D1312="","Unknown",IF(D1312&lt;25000,"&lt;$25k",IF(D1312&lt;50000,"$25k-$50k",IF(D1312&lt;75000,"$50k-$75k",IF(D1312&lt;100000,"$75k-$100k","$100k+")))))</x:f>
        <x:v>$50k-$75k</x:v>
      </x:c>
      <x:c r="P1312" t="str">
        <x:f>IF(E1312="","Unknown",IF(E1312&lt;10,"&lt;10",IF(E1312&lt;20,"10-&lt;20",IF(E1312&lt;25,"20-&lt;25",IF(E1312&lt;35,"25-&lt;35","35+")))))</x:f>
        <x:v>10-&lt;20</x:v>
      </x:c>
    </x:row>
    <x:row r="1313">
      <x:c r="A1313" t="str">
        <x:v>SYN0001312</x:v>
      </x:c>
      <x:c r="B1313" s="12" t="n">
        <x:v>42715</x:v>
      </x:c>
      <x:c r="C1313" s="18" t="n">
        <x:v>12825</x:v>
      </x:c>
      <x:c r="D1313" s="18" t="n">
        <x:v>54809</x:v>
      </x:c>
      <x:c r="E1313" s="18" t="n">
        <x:v>34.24</x:v>
      </x:c>
      <x:c r="F1313" s="18" t="n">
        <x:v>9.15</x:v>
      </x:c>
      <x:c r="G1313" t="n">
        <x:v>36</x:v>
      </x:c>
      <x:c r="H1313" t="str">
        <x:v>B</x:v>
      </x:c>
      <x:c r="I1313" t="str">
        <x:v>10+ years</x:v>
      </x:c>
      <x:c r="J1313" t="str">
        <x:v>OWN</x:v>
      </x:c>
      <x:c r="K1313" t="str">
        <x:v>debt_consolidation</x:v>
      </x:c>
      <x:c r="L1313" t="n">
        <x:v>0</x:v>
      </x:c>
      <x:c r="M1313" t="n">
        <x:v>0</x:v>
      </x:c>
      <x:c r="N1313" t="str">
        <x:v>Fully Paid</x:v>
      </x:c>
      <x:c r="O1313" t="str">
        <x:f>IF(D1313="","Unknown",IF(D1313&lt;25000,"&lt;$25k",IF(D1313&lt;50000,"$25k-$50k",IF(D1313&lt;75000,"$50k-$75k",IF(D1313&lt;100000,"$75k-$100k","$100k+")))))</x:f>
        <x:v>$50k-$75k</x:v>
      </x:c>
      <x:c r="P1313" t="str">
        <x:f>IF(E1313="","Unknown",IF(E1313&lt;10,"&lt;10",IF(E1313&lt;20,"10-&lt;20",IF(E1313&lt;25,"20-&lt;25",IF(E1313&lt;35,"25-&lt;35","35+")))))</x:f>
        <x:v>25-&lt;35</x:v>
      </x:c>
    </x:row>
    <x:row r="1314">
      <x:c r="A1314" t="str">
        <x:v>SYN0001313</x:v>
      </x:c>
      <x:c r="B1314" s="12" t="n">
        <x:v>41635</x:v>
      </x:c>
      <x:c r="C1314" s="18" t="n">
        <x:v>4023</x:v>
      </x:c>
      <x:c r="D1314" s="18" t="n">
        <x:v>42348</x:v>
      </x:c>
      <x:c r="E1314" s="18" t="n">
        <x:v>26.39</x:v>
      </x:c>
      <x:c r="F1314" s="18" t="n">
        <x:v>6.66</x:v>
      </x:c>
      <x:c r="G1314" t="n">
        <x:v>36</x:v>
      </x:c>
      <x:c r="H1314" t="str">
        <x:v>A</x:v>
      </x:c>
      <x:c r="I1314" t="str">
        <x:v>4-6 years</x:v>
      </x:c>
      <x:c r="J1314" t="str">
        <x:v>RENT</x:v>
      </x:c>
      <x:c r="K1314" t="str">
        <x:v>debt_consolidation</x:v>
      </x:c>
      <x:c r="L1314" t="n">
        <x:v>0</x:v>
      </x:c>
      <x:c r="M1314" t="n">
        <x:v>0</x:v>
      </x:c>
      <x:c r="N1314" t="str">
        <x:v>Fully Paid</x:v>
      </x:c>
      <x:c r="O1314" t="str">
        <x:f>IF(D1314="","Unknown",IF(D1314&lt;25000,"&lt;$25k",IF(D1314&lt;50000,"$25k-$50k",IF(D1314&lt;75000,"$50k-$75k",IF(D1314&lt;100000,"$75k-$100k","$100k+")))))</x:f>
        <x:v>$25k-$50k</x:v>
      </x:c>
      <x:c r="P1314" t="str">
        <x:f>IF(E1314="","Unknown",IF(E1314&lt;10,"&lt;10",IF(E1314&lt;20,"10-&lt;20",IF(E1314&lt;25,"20-&lt;25",IF(E1314&lt;35,"25-&lt;35","35+")))))</x:f>
        <x:v>25-&lt;35</x:v>
      </x:c>
    </x:row>
    <x:row r="1315">
      <x:c r="A1315" t="str">
        <x:v>SYN0001314</x:v>
      </x:c>
      <x:c r="B1315" s="12" t="n">
        <x:v>41395</x:v>
      </x:c>
      <x:c r="C1315" s="18" t="n">
        <x:v>10141</x:v>
      </x:c>
      <x:c r="D1315" s="18" t="n">
        <x:v>61753</x:v>
      </x:c>
      <x:c r="E1315" s="18" t="n">
        <x:v>25.63</x:v>
      </x:c>
      <x:c r="F1315" s="18" t="n">
        <x:v>17.94</x:v>
      </x:c>
      <x:c r="G1315" t="n">
        <x:v>36</x:v>
      </x:c>
      <x:c r="H1315" t="str">
        <x:v>E</x:v>
      </x:c>
      <x:c r="I1315" t="str">
        <x:v>10+ years</x:v>
      </x:c>
      <x:c r="J1315" t="str">
        <x:v>MORTGAGE</x:v>
      </x:c>
      <x:c r="K1315" t="str">
        <x:v>credit_card</x:v>
      </x:c>
      <x:c r="L1315" t="n">
        <x:v>1</x:v>
      </x:c>
      <x:c r="M1315" t="n">
        <x:v>0</x:v>
      </x:c>
      <x:c r="N1315" t="str">
        <x:v>Fully Paid</x:v>
      </x:c>
      <x:c r="O1315" t="str">
        <x:f>IF(D1315="","Unknown",IF(D1315&lt;25000,"&lt;$25k",IF(D1315&lt;50000,"$25k-$50k",IF(D1315&lt;75000,"$50k-$75k",IF(D1315&lt;100000,"$75k-$100k","$100k+")))))</x:f>
        <x:v>$50k-$75k</x:v>
      </x:c>
      <x:c r="P1315" t="str">
        <x:f>IF(E1315="","Unknown",IF(E1315&lt;10,"&lt;10",IF(E1315&lt;20,"10-&lt;20",IF(E1315&lt;25,"20-&lt;25",IF(E1315&lt;35,"25-&lt;35","35+")))))</x:f>
        <x:v>25-&lt;35</x:v>
      </x:c>
    </x:row>
    <x:row r="1316">
      <x:c r="A1316" t="str">
        <x:v>SYN0001315</x:v>
      </x:c>
      <x:c r="B1316" s="12" t="n">
        <x:v>42715</x:v>
      </x:c>
      <x:c r="C1316" s="18" t="n">
        <x:v>11121</x:v>
      </x:c>
      <x:c r="D1316" s="18" t="n">
        <x:v>49817</x:v>
      </x:c>
      <x:c r="E1316" s="18" t="n">
        <x:v>9.69</x:v>
      </x:c>
      <x:c r="F1316" s="18" t="n">
        <x:v>12.7</x:v>
      </x:c>
      <x:c r="G1316" t="n">
        <x:v>36</x:v>
      </x:c>
      <x:c r="H1316" t="str">
        <x:v>D</x:v>
      </x:c>
      <x:c r="I1316" t="str">
        <x:v>7-9 years</x:v>
      </x:c>
      <x:c r="J1316" t="str">
        <x:v>MORTGAGE</x:v>
      </x:c>
      <x:c r="K1316" t="str">
        <x:v>major_purchase</x:v>
      </x:c>
      <x:c r="L1316" t="n">
        <x:v>2</x:v>
      </x:c>
      <x:c r="M1316" t="n">
        <x:v>0</x:v>
      </x:c>
      <x:c r="N1316" t="str">
        <x:v>Fully Paid</x:v>
      </x:c>
      <x:c r="O1316" t="str">
        <x:f>IF(D1316="","Unknown",IF(D1316&lt;25000,"&lt;$25k",IF(D1316&lt;50000,"$25k-$50k",IF(D1316&lt;75000,"$50k-$75k",IF(D1316&lt;100000,"$75k-$100k","$100k+")))))</x:f>
        <x:v>$25k-$50k</x:v>
      </x:c>
      <x:c r="P1316" t="str">
        <x:f>IF(E1316="","Unknown",IF(E1316&lt;10,"&lt;10",IF(E1316&lt;20,"10-&lt;20",IF(E1316&lt;25,"20-&lt;25",IF(E1316&lt;35,"25-&lt;35","35+")))))</x:f>
        <x:v>&lt;10</x:v>
      </x:c>
    </x:row>
    <x:row r="1317">
      <x:c r="A1317" t="str">
        <x:v>SYN0001316</x:v>
      </x:c>
      <x:c r="B1317" s="12" t="n">
        <x:v>42745</x:v>
      </x:c>
      <x:c r="C1317" s="18" t="n">
        <x:v>9245</x:v>
      </x:c>
      <x:c r="D1317" s="18" t="n">
        <x:v>66580</x:v>
      </x:c>
      <x:c r="E1317" s="18" t="n">
        <x:v>23.48</x:v>
      </x:c>
      <x:c r="F1317" s="18" t="n">
        <x:v>20.63</x:v>
      </x:c>
      <x:c r="G1317" t="n">
        <x:v>36</x:v>
      </x:c>
      <x:c r="H1317" t="str">
        <x:v>F</x:v>
      </x:c>
      <x:c r="I1317" t="str">
        <x:v>7-9 years</x:v>
      </x:c>
      <x:c r="J1317" t="str">
        <x:v>RENT</x:v>
      </x:c>
      <x:c r="K1317" t="str">
        <x:v>debt_consolidation</x:v>
      </x:c>
      <x:c r="L1317" t="n">
        <x:v>1</x:v>
      </x:c>
      <x:c r="M1317" t="n">
        <x:v>0</x:v>
      </x:c>
      <x:c r="N1317" t="str">
        <x:v>Fully Paid</x:v>
      </x:c>
      <x:c r="O1317" t="str">
        <x:f>IF(D1317="","Unknown",IF(D1317&lt;25000,"&lt;$25k",IF(D1317&lt;50000,"$25k-$50k",IF(D1317&lt;75000,"$50k-$75k",IF(D1317&lt;100000,"$75k-$100k","$100k+")))))</x:f>
        <x:v>$50k-$75k</x:v>
      </x:c>
      <x:c r="P1317" t="str">
        <x:f>IF(E1317="","Unknown",IF(E1317&lt;10,"&lt;10",IF(E1317&lt;20,"10-&lt;20",IF(E1317&lt;25,"20-&lt;25",IF(E1317&lt;35,"25-&lt;35","35+")))))</x:f>
        <x:v>20-&lt;25</x:v>
      </x:c>
    </x:row>
    <x:row r="1318">
      <x:c r="A1318" t="str">
        <x:v>SYN0001317</x:v>
      </x:c>
      <x:c r="B1318" s="12" t="n">
        <x:v>42835</x:v>
      </x:c>
      <x:c r="C1318" s="18" t="n">
        <x:v>7180</x:v>
      </x:c>
      <x:c r="D1318" s="18" t="n">
        <x:v>87007</x:v>
      </x:c>
      <x:c r="E1318" s="18" t="n">
        <x:v>32.44</x:v>
      </x:c>
      <x:c r="F1318" s="18" t="n">
        <x:v>5</x:v>
      </x:c>
      <x:c r="G1318" t="n">
        <x:v>36</x:v>
      </x:c>
      <x:c r="H1318" t="str">
        <x:v>A</x:v>
      </x:c>
      <x:c r="I1318" t="str">
        <x:v>1-3 years</x:v>
      </x:c>
      <x:c r="J1318" t="str">
        <x:v>MORTGAGE</x:v>
      </x:c>
      <x:c r="K1318" t="str">
        <x:v>debt_consolidation</x:v>
      </x:c>
      <x:c r="L1318" t="n">
        <x:v>2</x:v>
      </x:c>
      <x:c r="M1318" t="n">
        <x:v>0</x:v>
      </x:c>
      <x:c r="N1318" t="str">
        <x:v>Fully Paid</x:v>
      </x:c>
      <x:c r="O1318" t="str">
        <x:f>IF(D1318="","Unknown",IF(D1318&lt;25000,"&lt;$25k",IF(D1318&lt;50000,"$25k-$50k",IF(D1318&lt;75000,"$50k-$75k",IF(D1318&lt;100000,"$75k-$100k","$100k+")))))</x:f>
        <x:v>$75k-$100k</x:v>
      </x:c>
      <x:c r="P1318" t="str">
        <x:f>IF(E1318="","Unknown",IF(E1318&lt;10,"&lt;10",IF(E1318&lt;20,"10-&lt;20",IF(E1318&lt;25,"20-&lt;25",IF(E1318&lt;35,"25-&lt;35","35+")))))</x:f>
        <x:v>25-&lt;35</x:v>
      </x:c>
    </x:row>
    <x:row r="1319">
      <x:c r="A1319" t="str">
        <x:v>SYN0001318</x:v>
      </x:c>
      <x:c r="B1319" s="12" t="n">
        <x:v>43225</x:v>
      </x:c>
      <x:c r="C1319" s="18" t="n">
        <x:v>10040</x:v>
      </x:c>
      <x:c r="D1319" s="18" t="n">
        <x:v>91642</x:v>
      </x:c>
      <x:c r="E1319" s="18" t="n">
        <x:v>25.27</x:v>
      </x:c>
      <x:c r="F1319" s="18" t="n">
        <x:v>28.42</x:v>
      </x:c>
      <x:c r="G1319" t="n">
        <x:v>60</x:v>
      </x:c>
      <x:c r="H1319" t="str">
        <x:v>G</x:v>
      </x:c>
      <x:c r="I1319" t="str">
        <x:v>4-6 years</x:v>
      </x:c>
      <x:c r="J1319" t="str">
        <x:v>OWN</x:v>
      </x:c>
      <x:c r="K1319" t="str">
        <x:v>credit_card</x:v>
      </x:c>
      <x:c r="L1319" t="n">
        <x:v>1</x:v>
      </x:c>
      <x:c r="M1319" t="n">
        <x:v>0</x:v>
      </x:c>
      <x:c r="N1319" t="str">
        <x:v>Fully Paid</x:v>
      </x:c>
      <x:c r="O1319" t="str">
        <x:f>IF(D1319="","Unknown",IF(D1319&lt;25000,"&lt;$25k",IF(D1319&lt;50000,"$25k-$50k",IF(D1319&lt;75000,"$50k-$75k",IF(D1319&lt;100000,"$75k-$100k","$100k+")))))</x:f>
        <x:v>$75k-$100k</x:v>
      </x:c>
      <x:c r="P1319" t="str">
        <x:f>IF(E1319="","Unknown",IF(E1319&lt;10,"&lt;10",IF(E1319&lt;20,"10-&lt;20",IF(E1319&lt;25,"20-&lt;25",IF(E1319&lt;35,"25-&lt;35","35+")))))</x:f>
        <x:v>25-&lt;35</x:v>
      </x:c>
    </x:row>
    <x:row r="1320">
      <x:c r="A1320" t="str">
        <x:v>SYN0001319</x:v>
      </x:c>
      <x:c r="B1320" s="12" t="n">
        <x:v>42415</x:v>
      </x:c>
      <x:c r="C1320" s="18" t="n">
        <x:v>13619</x:v>
      </x:c>
      <x:c r="D1320" s="18" t="n">
        <x:v>32050</x:v>
      </x:c>
      <x:c r="E1320" s="18" t="n">
        <x:v>19.12</x:v>
      </x:c>
      <x:c r="F1320" s="18" t="n">
        <x:v>12.16</x:v>
      </x:c>
      <x:c r="G1320" t="n">
        <x:v>36</x:v>
      </x:c>
      <x:c r="H1320" t="str">
        <x:v>D</x:v>
      </x:c>
      <x:c r="I1320" t="str">
        <x:v>4-6 years</x:v>
      </x:c>
      <x:c r="J1320" t="str">
        <x:v>RENT</x:v>
      </x:c>
      <x:c r="K1320" t="str">
        <x:v>debt_consolidation</x:v>
      </x:c>
      <x:c r="L1320" t="n">
        <x:v>0</x:v>
      </x:c>
      <x:c r="M1320" t="n">
        <x:v>0</x:v>
      </x:c>
      <x:c r="N1320" t="str">
        <x:v>Fully Paid</x:v>
      </x:c>
      <x:c r="O1320" t="str">
        <x:f>IF(D1320="","Unknown",IF(D1320&lt;25000,"&lt;$25k",IF(D1320&lt;50000,"$25k-$50k",IF(D1320&lt;75000,"$50k-$75k",IF(D1320&lt;100000,"$75k-$100k","$100k+")))))</x:f>
        <x:v>$25k-$50k</x:v>
      </x:c>
      <x:c r="P1320" t="str">
        <x:f>IF(E1320="","Unknown",IF(E1320&lt;10,"&lt;10",IF(E1320&lt;20,"10-&lt;20",IF(E1320&lt;25,"20-&lt;25",IF(E1320&lt;35,"25-&lt;35","35+")))))</x:f>
        <x:v>10-&lt;20</x:v>
      </x:c>
    </x:row>
    <x:row r="1321">
      <x:c r="A1321" t="str">
        <x:v>SYN0001320</x:v>
      </x:c>
      <x:c r="B1321" s="12" t="n">
        <x:v>42085</x:v>
      </x:c>
      <x:c r="C1321" s="18" t="n">
        <x:v>30745</x:v>
      </x:c>
      <x:c r="D1321" s="18" t="n">
        <x:v>23856</x:v>
      </x:c>
      <x:c r="E1321" s="18" t="n">
        <x:v>17.58</x:v>
      </x:c>
      <x:c r="F1321" s="18" t="n">
        <x:v>12.21</x:v>
      </x:c>
      <x:c r="G1321" t="n">
        <x:v>36</x:v>
      </x:c>
      <x:c r="H1321" t="str">
        <x:v>C</x:v>
      </x:c>
      <x:c r="I1321" t="str">
        <x:v>&lt;1 year</x:v>
      </x:c>
      <x:c r="J1321" t="str">
        <x:v>RENT</x:v>
      </x:c>
      <x:c r="K1321" t="str">
        <x:v>credit_card</x:v>
      </x:c>
      <x:c r="L1321" t="n">
        <x:v>0</x:v>
      </x:c>
      <x:c r="M1321" t="n">
        <x:v>0</x:v>
      </x:c>
      <x:c r="N1321" t="str">
        <x:v>Fully Paid</x:v>
      </x:c>
      <x:c r="O1321" t="str">
        <x:f>IF(D1321="","Unknown",IF(D1321&lt;25000,"&lt;$25k",IF(D1321&lt;50000,"$25k-$50k",IF(D1321&lt;75000,"$50k-$75k",IF(D1321&lt;100000,"$75k-$100k","$100k+")))))</x:f>
        <x:v>&lt;$25k</x:v>
      </x:c>
      <x:c r="P1321" t="str">
        <x:f>IF(E1321="","Unknown",IF(E1321&lt;10,"&lt;10",IF(E1321&lt;20,"10-&lt;20",IF(E1321&lt;25,"20-&lt;25",IF(E1321&lt;35,"25-&lt;35","35+")))))</x:f>
        <x:v>10-&lt;20</x:v>
      </x:c>
    </x:row>
    <x:row r="1322">
      <x:c r="A1322" t="str">
        <x:v>SYN0001321</x:v>
      </x:c>
      <x:c r="B1322" s="12" t="n">
        <x:v>41275</x:v>
      </x:c>
      <x:c r="C1322" s="18" t="n">
        <x:v>10001</x:v>
      </x:c>
      <x:c r="D1322" s="18" t="n">
        <x:v>75370</x:v>
      </x:c>
      <x:c r="E1322" s="18" t="n">
        <x:v>17.69</x:v>
      </x:c>
      <x:c r="F1322" s="18" t="n">
        <x:v>13.69</x:v>
      </x:c>
      <x:c r="G1322" t="n">
        <x:v>36</x:v>
      </x:c>
      <x:c r="H1322" t="str">
        <x:v>D</x:v>
      </x:c>
      <x:c r="I1322" t="str">
        <x:v>10+ years</x:v>
      </x:c>
      <x:c r="J1322" t="str">
        <x:v>OWN</x:v>
      </x:c>
      <x:c r="K1322" t="str">
        <x:v>debt_consolidation</x:v>
      </x:c>
      <x:c r="L1322" t="n">
        <x:v>0</x:v>
      </x:c>
      <x:c r="M1322" t="n">
        <x:v>0</x:v>
      </x:c>
      <x:c r="N1322" t="str">
        <x:v>Fully Paid</x:v>
      </x:c>
      <x:c r="O1322" t="str">
        <x:f>IF(D1322="","Unknown",IF(D1322&lt;25000,"&lt;$25k",IF(D1322&lt;50000,"$25k-$50k",IF(D1322&lt;75000,"$50k-$75k",IF(D1322&lt;100000,"$75k-$100k","$100k+")))))</x:f>
        <x:v>$75k-$100k</x:v>
      </x:c>
      <x:c r="P1322" t="str">
        <x:f>IF(E1322="","Unknown",IF(E1322&lt;10,"&lt;10",IF(E1322&lt;20,"10-&lt;20",IF(E1322&lt;25,"20-&lt;25",IF(E1322&lt;35,"25-&lt;35","35+")))))</x:f>
        <x:v>10-&lt;20</x:v>
      </x:c>
    </x:row>
    <x:row r="1323">
      <x:c r="A1323" t="str">
        <x:v>SYN0001322</x:v>
      </x:c>
      <x:c r="B1323" s="12" t="n">
        <x:v>41665</x:v>
      </x:c>
      <x:c r="C1323" s="18" t="n">
        <x:v>11460</x:v>
      </x:c>
      <x:c r="D1323" s="18" t="n">
        <x:v>112405</x:v>
      </x:c>
      <x:c r="E1323" s="18" t="n">
        <x:v>20.1</x:v>
      </x:c>
      <x:c r="F1323" s="18" t="n">
        <x:v>16.96</x:v>
      </x:c>
      <x:c r="G1323" t="n">
        <x:v>60</x:v>
      </x:c>
      <x:c r="H1323" t="str">
        <x:v>E</x:v>
      </x:c>
      <x:c r="I1323" t="str">
        <x:v>&lt;1 year</x:v>
      </x:c>
      <x:c r="J1323" t="str">
        <x:v>RENT</x:v>
      </x:c>
      <x:c r="K1323" t="str">
        <x:v>home_improvement</x:v>
      </x:c>
      <x:c r="L1323" t="n">
        <x:v>0</x:v>
      </x:c>
      <x:c r="M1323" t="n">
        <x:v>0</x:v>
      </x:c>
      <x:c r="N1323" t="str">
        <x:v>Fully Paid</x:v>
      </x:c>
      <x:c r="O1323" t="str">
        <x:f>IF(D1323="","Unknown",IF(D1323&lt;25000,"&lt;$25k",IF(D1323&lt;50000,"$25k-$50k",IF(D1323&lt;75000,"$50k-$75k",IF(D1323&lt;100000,"$75k-$100k","$100k+")))))</x:f>
        <x:v>$100k+</x:v>
      </x:c>
      <x:c r="P1323" t="str">
        <x:f>IF(E1323="","Unknown",IF(E1323&lt;10,"&lt;10",IF(E1323&lt;20,"10-&lt;20",IF(E1323&lt;25,"20-&lt;25",IF(E1323&lt;35,"25-&lt;35","35+")))))</x:f>
        <x:v>20-&lt;25</x:v>
      </x:c>
    </x:row>
    <x:row r="1324">
      <x:c r="A1324" t="str">
        <x:v>SYN0001323</x:v>
      </x:c>
      <x:c r="B1324" s="12" t="n">
        <x:v>42895</x:v>
      </x:c>
      <x:c r="C1324" s="18" t="n">
        <x:v>11333</x:v>
      </x:c>
      <x:c r="D1324" s="18" t="n">
        <x:v>89240</x:v>
      </x:c>
      <x:c r="E1324" s="18" t="n">
        <x:v>25.5</x:v>
      </x:c>
      <x:c r="F1324" s="18" t="n">
        <x:v>5</x:v>
      </x:c>
      <x:c r="G1324" t="n">
        <x:v>36</x:v>
      </x:c>
      <x:c r="H1324" t="str">
        <x:v>A</x:v>
      </x:c>
      <x:c r="I1324" t="str">
        <x:v>1-3 years</x:v>
      </x:c>
      <x:c r="J1324" t="str">
        <x:v>MORTGAGE</x:v>
      </x:c>
      <x:c r="K1324" t="str">
        <x:v>other</x:v>
      </x:c>
      <x:c r="L1324" t="n">
        <x:v>1</x:v>
      </x:c>
      <x:c r="M1324" t="n">
        <x:v>0</x:v>
      </x:c>
      <x:c r="N1324" t="str">
        <x:v>Fully Paid</x:v>
      </x:c>
      <x:c r="O1324" t="str">
        <x:f>IF(D1324="","Unknown",IF(D1324&lt;25000,"&lt;$25k",IF(D1324&lt;50000,"$25k-$50k",IF(D1324&lt;75000,"$50k-$75k",IF(D1324&lt;100000,"$75k-$100k","$100k+")))))</x:f>
        <x:v>$75k-$100k</x:v>
      </x:c>
      <x:c r="P1324" t="str">
        <x:f>IF(E1324="","Unknown",IF(E1324&lt;10,"&lt;10",IF(E1324&lt;20,"10-&lt;20",IF(E1324&lt;25,"20-&lt;25",IF(E1324&lt;35,"25-&lt;35","35+")))))</x:f>
        <x:v>25-&lt;35</x:v>
      </x:c>
    </x:row>
    <x:row r="1325">
      <x:c r="A1325" t="str">
        <x:v>SYN0001324</x:v>
      </x:c>
      <x:c r="B1325" s="12" t="n">
        <x:v>41335</x:v>
      </x:c>
      <x:c r="C1325" s="18" t="n">
        <x:v>13648</x:v>
      </x:c>
      <x:c r="D1325" s="18" t="n">
        <x:v>123499</x:v>
      </x:c>
      <x:c r="E1325" s="18" t="n">
        <x:v>30.53</x:v>
      </x:c>
      <x:c r="F1325" s="18" t="n">
        <x:v>10.67</x:v>
      </x:c>
      <x:c r="G1325" t="n">
        <x:v>36</x:v>
      </x:c>
      <x:c r="H1325" t="str">
        <x:v>B</x:v>
      </x:c>
      <x:c r="I1325" t="str">
        <x:v>1-3 years</x:v>
      </x:c>
      <x:c r="J1325" t="str">
        <x:v>MORTGAGE</x:v>
      </x:c>
      <x:c r="K1325" t="str">
        <x:v>debt_consolidation</x:v>
      </x:c>
      <x:c r="L1325" t="n">
        <x:v>0</x:v>
      </x:c>
      <x:c r="M1325" t="n">
        <x:v>0</x:v>
      </x:c>
      <x:c r="N1325" t="str">
        <x:v>Fully Paid</x:v>
      </x:c>
      <x:c r="O1325" t="str">
        <x:f>IF(D1325="","Unknown",IF(D1325&lt;25000,"&lt;$25k",IF(D1325&lt;50000,"$25k-$50k",IF(D1325&lt;75000,"$50k-$75k",IF(D1325&lt;100000,"$75k-$100k","$100k+")))))</x:f>
        <x:v>$100k+</x:v>
      </x:c>
      <x:c r="P1325" t="str">
        <x:f>IF(E1325="","Unknown",IF(E1325&lt;10,"&lt;10",IF(E1325&lt;20,"10-&lt;20",IF(E1325&lt;25,"20-&lt;25",IF(E1325&lt;35,"25-&lt;35","35+")))))</x:f>
        <x:v>25-&lt;35</x:v>
      </x:c>
    </x:row>
    <x:row r="1326">
      <x:c r="A1326" t="str">
        <x:v>SYN0001325</x:v>
      </x:c>
      <x:c r="B1326" s="12" t="n">
        <x:v>42655</x:v>
      </x:c>
      <x:c r="C1326" s="18" t="n">
        <x:v>12746</x:v>
      </x:c>
      <x:c r="D1326" s="18" t="n">
        <x:v>24655</x:v>
      </x:c>
      <x:c r="E1326" s="18" t="n">
        <x:v>18.88</x:v>
      </x:c>
      <x:c r="F1326" s="18" t="n">
        <x:v>19.2</x:v>
      </x:c>
      <x:c r="G1326" t="n">
        <x:v>36</x:v>
      </x:c>
      <x:c r="H1326" t="str">
        <x:v>F</x:v>
      </x:c>
      <x:c r="I1326" t="str">
        <x:v>10+ years</x:v>
      </x:c>
      <x:c r="J1326" t="str">
        <x:v>RENT</x:v>
      </x:c>
      <x:c r="K1326" t="str">
        <x:v>debt_consolidation</x:v>
      </x:c>
      <x:c r="L1326" t="n">
        <x:v>0</x:v>
      </x:c>
      <x:c r="M1326" t="n">
        <x:v>0</x:v>
      </x:c>
      <x:c r="N1326" t="str">
        <x:v>Fully Paid</x:v>
      </x:c>
      <x:c r="O1326" t="str">
        <x:f>IF(D1326="","Unknown",IF(D1326&lt;25000,"&lt;$25k",IF(D1326&lt;50000,"$25k-$50k",IF(D1326&lt;75000,"$50k-$75k",IF(D1326&lt;100000,"$75k-$100k","$100k+")))))</x:f>
        <x:v>&lt;$25k</x:v>
      </x:c>
      <x:c r="P1326" t="str">
        <x:f>IF(E1326="","Unknown",IF(E1326&lt;10,"&lt;10",IF(E1326&lt;20,"10-&lt;20",IF(E1326&lt;25,"20-&lt;25",IF(E1326&lt;35,"25-&lt;35","35+")))))</x:f>
        <x:v>10-&lt;20</x:v>
      </x:c>
    </x:row>
    <x:row r="1327">
      <x:c r="A1327" t="str">
        <x:v>SYN0001326</x:v>
      </x:c>
      <x:c r="B1327" s="12" t="n">
        <x:v>42985</x:v>
      </x:c>
      <x:c r="C1327" s="18" t="n">
        <x:v>10825</x:v>
      </x:c>
      <x:c r="D1327" s="18" t="n">
        <x:v>64507</x:v>
      </x:c>
      <x:c r="E1327" s="18" t="n">
        <x:v>14.37</x:v>
      </x:c>
      <x:c r="F1327" s="18" t="n">
        <x:v>8.86</x:v>
      </x:c>
      <x:c r="G1327" t="n">
        <x:v>60</x:v>
      </x:c>
      <x:c r="H1327" t="str">
        <x:v>B</x:v>
      </x:c>
      <x:c r="I1327" t="str">
        <x:v>10+ years</x:v>
      </x:c>
      <x:c r="J1327" t="str">
        <x:v>OWN</x:v>
      </x:c>
      <x:c r="K1327" t="str">
        <x:v>credit_card</x:v>
      </x:c>
      <x:c r="L1327" t="n">
        <x:v>1</x:v>
      </x:c>
      <x:c r="M1327" t="n">
        <x:v>0</x:v>
      </x:c>
      <x:c r="N1327" t="str">
        <x:v>Fully Paid</x:v>
      </x:c>
      <x:c r="O1327" t="str">
        <x:f>IF(D1327="","Unknown",IF(D1327&lt;25000,"&lt;$25k",IF(D1327&lt;50000,"$25k-$50k",IF(D1327&lt;75000,"$50k-$75k",IF(D1327&lt;100000,"$75k-$100k","$100k+")))))</x:f>
        <x:v>$50k-$75k</x:v>
      </x:c>
      <x:c r="P1327" t="str">
        <x:f>IF(E1327="","Unknown",IF(E1327&lt;10,"&lt;10",IF(E1327&lt;20,"10-&lt;20",IF(E1327&lt;25,"20-&lt;25",IF(E1327&lt;35,"25-&lt;35","35+")))))</x:f>
        <x:v>10-&lt;20</x:v>
      </x:c>
    </x:row>
    <x:row r="1328">
      <x:c r="A1328" t="str">
        <x:v>SYN0001327</x:v>
      </x:c>
      <x:c r="B1328" s="12" t="n">
        <x:v>43345</x:v>
      </x:c>
      <x:c r="C1328" s="18" t="n">
        <x:v>7465</x:v>
      </x:c>
      <x:c r="D1328" s="18" t="n">
        <x:v>94597</x:v>
      </x:c>
      <x:c r="E1328" s="18" t="n">
        <x:v>14.9</x:v>
      </x:c>
      <x:c r="F1328" s="18" t="n">
        <x:v>21.16</x:v>
      </x:c>
      <x:c r="G1328" t="n">
        <x:v>36</x:v>
      </x:c>
      <x:c r="H1328" t="str">
        <x:v>E</x:v>
      </x:c>
      <x:c r="I1328" t="str">
        <x:v>4-6 years</x:v>
      </x:c>
      <x:c r="J1328" t="str">
        <x:v>OTHER</x:v>
      </x:c>
      <x:c r="K1328" t="str">
        <x:v>debt_consolidation</x:v>
      </x:c>
      <x:c r="L1328" t="n">
        <x:v>1</x:v>
      </x:c>
      <x:c r="M1328" t="n">
        <x:v>0</x:v>
      </x:c>
      <x:c r="N1328" t="str">
        <x:v>Fully Paid</x:v>
      </x:c>
      <x:c r="O1328" t="str">
        <x:f>IF(D1328="","Unknown",IF(D1328&lt;25000,"&lt;$25k",IF(D1328&lt;50000,"$25k-$50k",IF(D1328&lt;75000,"$50k-$75k",IF(D1328&lt;100000,"$75k-$100k","$100k+")))))</x:f>
        <x:v>$75k-$100k</x:v>
      </x:c>
      <x:c r="P1328" t="str">
        <x:f>IF(E1328="","Unknown",IF(E1328&lt;10,"&lt;10",IF(E1328&lt;20,"10-&lt;20",IF(E1328&lt;25,"20-&lt;25",IF(E1328&lt;35,"25-&lt;35","35+")))))</x:f>
        <x:v>10-&lt;20</x:v>
      </x:c>
    </x:row>
    <x:row r="1329">
      <x:c r="A1329" t="str">
        <x:v>SYN0001328</x:v>
      </x:c>
      <x:c r="B1329" s="12" t="n">
        <x:v>42325</x:v>
      </x:c>
      <x:c r="C1329" s="18" t="n">
        <x:v>7147</x:v>
      </x:c>
      <x:c r="D1329" s="18" t="n">
        <x:v>82948</x:v>
      </x:c>
      <x:c r="E1329" s="18" t="n">
        <x:v>41.77</x:v>
      </x:c>
      <x:c r="F1329" s="18" t="n">
        <x:v>17.24</x:v>
      </x:c>
      <x:c r="G1329" t="n">
        <x:v>36</x:v>
      </x:c>
      <x:c r="H1329" t="str">
        <x:v>E</x:v>
      </x:c>
      <x:c r="I1329" t="str">
        <x:v>10+ years</x:v>
      </x:c>
      <x:c r="J1329" t="str">
        <x:v>MORTGAGE</x:v>
      </x:c>
      <x:c r="K1329" t="str">
        <x:v>debt_consolidation</x:v>
      </x:c>
      <x:c r="L1329" t="n">
        <x:v>0</x:v>
      </x:c>
      <x:c r="M1329" t="n">
        <x:v>0</x:v>
      </x:c>
      <x:c r="N1329" t="str">
        <x:v>Fully Paid</x:v>
      </x:c>
      <x:c r="O1329" t="str">
        <x:f>IF(D1329="","Unknown",IF(D1329&lt;25000,"&lt;$25k",IF(D1329&lt;50000,"$25k-$50k",IF(D1329&lt;75000,"$50k-$75k",IF(D1329&lt;100000,"$75k-$100k","$100k+")))))</x:f>
        <x:v>$75k-$100k</x:v>
      </x:c>
      <x:c r="P1329" t="str">
        <x:f>IF(E1329="","Unknown",IF(E1329&lt;10,"&lt;10",IF(E1329&lt;20,"10-&lt;20",IF(E1329&lt;25,"20-&lt;25",IF(E1329&lt;35,"25-&lt;35","35+")))))</x:f>
        <x:v>35+</x:v>
      </x:c>
    </x:row>
    <x:row r="1330">
      <x:c r="A1330" t="str">
        <x:v>SYN0001329</x:v>
      </x:c>
      <x:c r="B1330" s="12" t="n">
        <x:v>41935</x:v>
      </x:c>
      <x:c r="C1330" s="18" t="n">
        <x:v>11233</x:v>
      </x:c>
      <x:c r="D1330" s="18" t="n">
        <x:v>65582</x:v>
      </x:c>
      <x:c r="E1330" s="18" t="n">
        <x:v>23.86</x:v>
      </x:c>
      <x:c r="F1330" s="18" t="n">
        <x:v>27.5</x:v>
      </x:c>
      <x:c r="G1330" t="n">
        <x:v>60</x:v>
      </x:c>
      <x:c r="H1330" t="str">
        <x:v>G</x:v>
      </x:c>
      <x:c r="I1330" t="str">
        <x:v>1-3 years</x:v>
      </x:c>
      <x:c r="J1330" t="str">
        <x:v>RENT</x:v>
      </x:c>
      <x:c r="K1330" t="str">
        <x:v>other</x:v>
      </x:c>
      <x:c r="L1330" t="n">
        <x:v>2</x:v>
      </x:c>
      <x:c r="M1330" t="n">
        <x:v>1</x:v>
      </x:c>
      <x:c r="N1330" t="str">
        <x:v>Charged Off</x:v>
      </x:c>
      <x:c r="O1330" t="str">
        <x:f>IF(D1330="","Unknown",IF(D1330&lt;25000,"&lt;$25k",IF(D1330&lt;50000,"$25k-$50k",IF(D1330&lt;75000,"$50k-$75k",IF(D1330&lt;100000,"$75k-$100k","$100k+")))))</x:f>
        <x:v>$50k-$75k</x:v>
      </x:c>
      <x:c r="P1330" t="str">
        <x:f>IF(E1330="","Unknown",IF(E1330&lt;10,"&lt;10",IF(E1330&lt;20,"10-&lt;20",IF(E1330&lt;25,"20-&lt;25",IF(E1330&lt;35,"25-&lt;35","35+")))))</x:f>
        <x:v>20-&lt;25</x:v>
      </x:c>
    </x:row>
    <x:row r="1331">
      <x:c r="A1331" t="str">
        <x:v>SYN0001330</x:v>
      </x:c>
      <x:c r="B1331" s="12" t="n">
        <x:v>41515</x:v>
      </x:c>
      <x:c r="C1331" s="18" t="n">
        <x:v>30199</x:v>
      </x:c>
      <x:c r="D1331" s="18" t="n">
        <x:v>43935</x:v>
      </x:c>
      <x:c r="E1331" s="18" t="n">
        <x:v>14.6</x:v>
      </x:c>
      <x:c r="F1331" s="18" t="n">
        <x:v>10.06</x:v>
      </x:c>
      <x:c r="G1331" t="n">
        <x:v>36</x:v>
      </x:c>
      <x:c r="H1331" t="str">
        <x:v>C</x:v>
      </x:c>
      <x:c r="I1331" t="str">
        <x:v>7-9 years</x:v>
      </x:c>
      <x:c r="J1331" t="str">
        <x:v>RENT</x:v>
      </x:c>
      <x:c r="K1331" t="str">
        <x:v>other</x:v>
      </x:c>
      <x:c r="L1331" t="n">
        <x:v>0</x:v>
      </x:c>
      <x:c r="M1331" t="n">
        <x:v>0</x:v>
      </x:c>
      <x:c r="N1331" t="str">
        <x:v>Fully Paid</x:v>
      </x:c>
      <x:c r="O1331" t="str">
        <x:f>IF(D1331="","Unknown",IF(D1331&lt;25000,"&lt;$25k",IF(D1331&lt;50000,"$25k-$50k",IF(D1331&lt;75000,"$50k-$75k",IF(D1331&lt;100000,"$75k-$100k","$100k+")))))</x:f>
        <x:v>$25k-$50k</x:v>
      </x:c>
      <x:c r="P1331" t="str">
        <x:f>IF(E1331="","Unknown",IF(E1331&lt;10,"&lt;10",IF(E1331&lt;20,"10-&lt;20",IF(E1331&lt;25,"20-&lt;25",IF(E1331&lt;35,"25-&lt;35","35+")))))</x:f>
        <x:v>10-&lt;20</x:v>
      </x:c>
    </x:row>
    <x:row r="1332">
      <x:c r="A1332" t="str">
        <x:v>SYN0001331</x:v>
      </x:c>
      <x:c r="B1332" s="12" t="n">
        <x:v>43345</x:v>
      </x:c>
      <x:c r="C1332" s="18" t="n">
        <x:v>13795</x:v>
      </x:c>
      <x:c r="D1332" s="18" t="n">
        <x:v>20840</x:v>
      </x:c>
      <x:c r="E1332" s="18" t="n">
        <x:v>15.4</x:v>
      </x:c>
      <x:c r="F1332" s="18" t="n">
        <x:v>8.37</x:v>
      </x:c>
      <x:c r="G1332" t="n">
        <x:v>36</x:v>
      </x:c>
      <x:c r="H1332" t="str">
        <x:v>B</x:v>
      </x:c>
      <x:c r="I1332" t="str">
        <x:v>7-9 years</x:v>
      </x:c>
      <x:c r="J1332" t="str">
        <x:v>RENT</x:v>
      </x:c>
      <x:c r="K1332" t="str">
        <x:v>debt_consolidation</x:v>
      </x:c>
      <x:c r="L1332" t="n">
        <x:v>0</x:v>
      </x:c>
      <x:c r="M1332" t="n">
        <x:v>0</x:v>
      </x:c>
      <x:c r="N1332" t="str">
        <x:v>Fully Paid</x:v>
      </x:c>
      <x:c r="O1332" t="str">
        <x:f>IF(D1332="","Unknown",IF(D1332&lt;25000,"&lt;$25k",IF(D1332&lt;50000,"$25k-$50k",IF(D1332&lt;75000,"$50k-$75k",IF(D1332&lt;100000,"$75k-$100k","$100k+")))))</x:f>
        <x:v>&lt;$25k</x:v>
      </x:c>
      <x:c r="P1332" t="str">
        <x:f>IF(E1332="","Unknown",IF(E1332&lt;10,"&lt;10",IF(E1332&lt;20,"10-&lt;20",IF(E1332&lt;25,"20-&lt;25",IF(E1332&lt;35,"25-&lt;35","35+")))))</x:f>
        <x:v>10-&lt;20</x:v>
      </x:c>
    </x:row>
    <x:row r="1333">
      <x:c r="A1333" t="str">
        <x:v>SYN0001332</x:v>
      </x:c>
      <x:c r="B1333" s="12" t="n">
        <x:v>42115</x:v>
      </x:c>
      <x:c r="C1333" s="18" t="n">
        <x:v>14545</x:v>
      </x:c>
      <x:c r="D1333" s="18" t="n">
        <x:v>108613</x:v>
      </x:c>
      <x:c r="E1333" s="18" t="n">
        <x:v>24.7</x:v>
      </x:c>
      <x:c r="F1333" s="18" t="n">
        <x:v>11.59</x:v>
      </x:c>
      <x:c r="G1333" t="n">
        <x:v>36</x:v>
      </x:c>
      <x:c r="H1333" t="str">
        <x:v>B</x:v>
      </x:c>
      <x:c r="I1333" t="str">
        <x:v>10+ years</x:v>
      </x:c>
      <x:c r="J1333" t="str">
        <x:v>RENT</x:v>
      </x:c>
      <x:c r="K1333" t="str">
        <x:v>other</x:v>
      </x:c>
      <x:c r="L1333" t="n">
        <x:v>0</x:v>
      </x:c>
      <x:c r="M1333" t="n">
        <x:v>0</x:v>
      </x:c>
      <x:c r="N1333" t="str">
        <x:v>Fully Paid</x:v>
      </x:c>
      <x:c r="O1333" t="str">
        <x:f>IF(D1333="","Unknown",IF(D1333&lt;25000,"&lt;$25k",IF(D1333&lt;50000,"$25k-$50k",IF(D1333&lt;75000,"$50k-$75k",IF(D1333&lt;100000,"$75k-$100k","$100k+")))))</x:f>
        <x:v>$100k+</x:v>
      </x:c>
      <x:c r="P1333" t="str">
        <x:f>IF(E1333="","Unknown",IF(E1333&lt;10,"&lt;10",IF(E1333&lt;20,"10-&lt;20",IF(E1333&lt;25,"20-&lt;25",IF(E1333&lt;35,"25-&lt;35","35+")))))</x:f>
        <x:v>20-&lt;25</x:v>
      </x:c>
    </x:row>
    <x:row r="1334">
      <x:c r="A1334" t="str">
        <x:v>SYN0001333</x:v>
      </x:c>
      <x:c r="B1334" s="12" t="n">
        <x:v>42085</x:v>
      </x:c>
      <x:c r="C1334" s="18" t="n">
        <x:v>11831</x:v>
      </x:c>
      <x:c r="D1334" s="18" t="n">
        <x:v>60646</x:v>
      </x:c>
      <x:c r="E1334" s="18" t="n">
        <x:v>11.85</x:v>
      </x:c>
      <x:c r="F1334" s="18" t="n">
        <x:v>10.33</x:v>
      </x:c>
      <x:c r="G1334" t="n">
        <x:v>36</x:v>
      </x:c>
      <x:c r="H1334" t="str">
        <x:v>B</x:v>
      </x:c>
      <x:c r="I1334" t="str">
        <x:v>7-9 years</x:v>
      </x:c>
      <x:c r="J1334" t="str">
        <x:v>RENT</x:v>
      </x:c>
      <x:c r="K1334" t="str">
        <x:v>debt_consolidation</x:v>
      </x:c>
      <x:c r="L1334" t="n">
        <x:v>0</x:v>
      </x:c>
      <x:c r="M1334" t="n">
        <x:v>1</x:v>
      </x:c>
      <x:c r="N1334" t="str">
        <x:v>Charged Off</x:v>
      </x:c>
      <x:c r="O1334" t="str">
        <x:f>IF(D1334="","Unknown",IF(D1334&lt;25000,"&lt;$25k",IF(D1334&lt;50000,"$25k-$50k",IF(D1334&lt;75000,"$50k-$75k",IF(D1334&lt;100000,"$75k-$100k","$100k+")))))</x:f>
        <x:v>$50k-$75k</x:v>
      </x:c>
      <x:c r="P1334" t="str">
        <x:f>IF(E1334="","Unknown",IF(E1334&lt;10,"&lt;10",IF(E1334&lt;20,"10-&lt;20",IF(E1334&lt;25,"20-&lt;25",IF(E1334&lt;35,"25-&lt;35","35+")))))</x:f>
        <x:v>10-&lt;20</x:v>
      </x:c>
    </x:row>
    <x:row r="1335">
      <x:c r="A1335" t="str">
        <x:v>SYN0001334</x:v>
      </x:c>
      <x:c r="B1335" s="12" t="n">
        <x:v>43405</x:v>
      </x:c>
      <x:c r="C1335" s="18" t="n">
        <x:v>18221</x:v>
      </x:c>
      <x:c r="D1335" s="18" t="n">
        <x:v>184343</x:v>
      </x:c>
      <x:c r="E1335" s="18" t="n">
        <x:v>29.63</x:v>
      </x:c>
      <x:c r="F1335" s="18" t="n">
        <x:v>25.63</x:v>
      </x:c>
      <x:c r="G1335" t="n">
        <x:v>36</x:v>
      </x:c>
      <x:c r="H1335" t="str">
        <x:v>G</x:v>
      </x:c>
      <x:c r="I1335" t="str">
        <x:v>4-6 years</x:v>
      </x:c>
      <x:c r="J1335" t="str">
        <x:v>RENT</x:v>
      </x:c>
      <x:c r="K1335" t="str">
        <x:v>home_improvement</x:v>
      </x:c>
      <x:c r="L1335" t="n">
        <x:v>2</x:v>
      </x:c>
      <x:c r="M1335" t="n">
        <x:v>0</x:v>
      </x:c>
      <x:c r="N1335" t="str">
        <x:v>Fully Paid</x:v>
      </x:c>
      <x:c r="O1335" t="str">
        <x:f>IF(D1335="","Unknown",IF(D1335&lt;25000,"&lt;$25k",IF(D1335&lt;50000,"$25k-$50k",IF(D1335&lt;75000,"$50k-$75k",IF(D1335&lt;100000,"$75k-$100k","$100k+")))))</x:f>
        <x:v>$100k+</x:v>
      </x:c>
      <x:c r="P1335" t="str">
        <x:f>IF(E1335="","Unknown",IF(E1335&lt;10,"&lt;10",IF(E1335&lt;20,"10-&lt;20",IF(E1335&lt;25,"20-&lt;25",IF(E1335&lt;35,"25-&lt;35","35+")))))</x:f>
        <x:v>25-&lt;35</x:v>
      </x:c>
    </x:row>
    <x:row r="1336">
      <x:c r="A1336" t="str">
        <x:v>SYN0001335</x:v>
      </x:c>
      <x:c r="B1336" s="12" t="n">
        <x:v>42565</x:v>
      </x:c>
      <x:c r="C1336" s="18" t="n">
        <x:v>19446</x:v>
      </x:c>
      <x:c r="D1336" s="18" t="n">
        <x:v>45842</x:v>
      </x:c>
      <x:c r="E1336" s="18" t="n">
        <x:v>20.14</x:v>
      </x:c>
      <x:c r="F1336" s="18" t="n">
        <x:v>15.76</x:v>
      </x:c>
      <x:c r="G1336" t="n">
        <x:v>60</x:v>
      </x:c>
      <x:c r="H1336" t="str">
        <x:v>E</x:v>
      </x:c>
      <x:c r="I1336" t="str">
        <x:v>4-6 years</x:v>
      </x:c>
      <x:c r="J1336" t="str">
        <x:v>OTHER</x:v>
      </x:c>
      <x:c r="K1336" t="str">
        <x:v>debt_consolidation</x:v>
      </x:c>
      <x:c r="L1336" t="n">
        <x:v>0</x:v>
      </x:c>
      <x:c r="M1336" t="n">
        <x:v>0</x:v>
      </x:c>
      <x:c r="N1336" t="str">
        <x:v>Fully Paid</x:v>
      </x:c>
      <x:c r="O1336" t="str">
        <x:f>IF(D1336="","Unknown",IF(D1336&lt;25000,"&lt;$25k",IF(D1336&lt;50000,"$25k-$50k",IF(D1336&lt;75000,"$50k-$75k",IF(D1336&lt;100000,"$75k-$100k","$100k+")))))</x:f>
        <x:v>$25k-$50k</x:v>
      </x:c>
      <x:c r="P1336" t="str">
        <x:f>IF(E1336="","Unknown",IF(E1336&lt;10,"&lt;10",IF(E1336&lt;20,"10-&lt;20",IF(E1336&lt;25,"20-&lt;25",IF(E1336&lt;35,"25-&lt;35","35+")))))</x:f>
        <x:v>20-&lt;25</x:v>
      </x:c>
    </x:row>
    <x:row r="1337">
      <x:c r="A1337" t="str">
        <x:v>SYN0001336</x:v>
      </x:c>
      <x:c r="B1337" s="12" t="n">
        <x:v>41515</x:v>
      </x:c>
      <x:c r="C1337" s="18" t="n">
        <x:v>13788</x:v>
      </x:c>
      <x:c r="D1337" s="18" t="n">
        <x:v>32880</x:v>
      </x:c>
      <x:c r="E1337" s="18" t="n">
        <x:v>15.79</x:v>
      </x:c>
      <x:c r="F1337" s="18" t="n">
        <x:v>10.6</x:v>
      </x:c>
      <x:c r="G1337" t="n">
        <x:v>36</x:v>
      </x:c>
      <x:c r="H1337" t="str">
        <x:v>C</x:v>
      </x:c>
      <x:c r="I1337" t="str">
        <x:v>&lt;1 year</x:v>
      </x:c>
      <x:c r="J1337" t="str">
        <x:v>RENT</x:v>
      </x:c>
      <x:c r="K1337" t="str">
        <x:v>debt_consolidation</x:v>
      </x:c>
      <x:c r="L1337" t="n">
        <x:v>0</x:v>
      </x:c>
      <x:c r="M1337" t="n">
        <x:v>0</x:v>
      </x:c>
      <x:c r="N1337" t="str">
        <x:v>Fully Paid</x:v>
      </x:c>
      <x:c r="O1337" t="str">
        <x:f>IF(D1337="","Unknown",IF(D1337&lt;25000,"&lt;$25k",IF(D1337&lt;50000,"$25k-$50k",IF(D1337&lt;75000,"$50k-$75k",IF(D1337&lt;100000,"$75k-$100k","$100k+")))))</x:f>
        <x:v>$25k-$50k</x:v>
      </x:c>
      <x:c r="P1337" t="str">
        <x:f>IF(E1337="","Unknown",IF(E1337&lt;10,"&lt;10",IF(E1337&lt;20,"10-&lt;20",IF(E1337&lt;25,"20-&lt;25",IF(E1337&lt;35,"25-&lt;35","35+")))))</x:f>
        <x:v>10-&lt;20</x:v>
      </x:c>
    </x:row>
    <x:row r="1338">
      <x:c r="A1338" t="str">
        <x:v>SYN0001337</x:v>
      </x:c>
      <x:c r="B1338" s="12" t="n">
        <x:v>41485</x:v>
      </x:c>
      <x:c r="C1338" s="18" t="n">
        <x:v>17394</x:v>
      </x:c>
      <x:c r="D1338" s="18" t="n">
        <x:v>47072</x:v>
      </x:c>
      <x:c r="E1338" s="18" t="n">
        <x:v>14.23</x:v>
      </x:c>
      <x:c r="F1338" s="18" t="n">
        <x:v>7.25</x:v>
      </x:c>
      <x:c r="G1338" t="n">
        <x:v>36</x:v>
      </x:c>
      <x:c r="H1338" t="str">
        <x:v>A</x:v>
      </x:c>
      <x:c r="I1338" t="str">
        <x:v>7-9 years</x:v>
      </x:c>
      <x:c r="J1338" t="str">
        <x:v>RENT</x:v>
      </x:c>
      <x:c r="K1338" t="str">
        <x:v>other</x:v>
      </x:c>
      <x:c r="L1338" t="n">
        <x:v>0</x:v>
      </x:c>
      <x:c r="M1338" t="n">
        <x:v>0</x:v>
      </x:c>
      <x:c r="N1338" t="str">
        <x:v>Fully Paid</x:v>
      </x:c>
      <x:c r="O1338" t="str">
        <x:f>IF(D1338="","Unknown",IF(D1338&lt;25000,"&lt;$25k",IF(D1338&lt;50000,"$25k-$50k",IF(D1338&lt;75000,"$50k-$75k",IF(D1338&lt;100000,"$75k-$100k","$100k+")))))</x:f>
        <x:v>$25k-$50k</x:v>
      </x:c>
      <x:c r="P1338" t="str">
        <x:f>IF(E1338="","Unknown",IF(E1338&lt;10,"&lt;10",IF(E1338&lt;20,"10-&lt;20",IF(E1338&lt;25,"20-&lt;25",IF(E1338&lt;35,"25-&lt;35","35+")))))</x:f>
        <x:v>10-&lt;20</x:v>
      </x:c>
    </x:row>
    <x:row r="1339">
      <x:c r="A1339" t="str">
        <x:v>SYN0001338</x:v>
      </x:c>
      <x:c r="B1339" s="12" t="n">
        <x:v>42265</x:v>
      </x:c>
      <x:c r="C1339" s="18" t="n">
        <x:v>10208</x:v>
      </x:c>
      <x:c r="D1339" s="18" t="n">
        <x:v>34222</x:v>
      </x:c>
      <x:c r="E1339" s="18" t="n">
        <x:v>20.51</x:v>
      </x:c>
      <x:c r="F1339" s="18" t="n">
        <x:v>5</x:v>
      </x:c>
      <x:c r="G1339" t="n">
        <x:v>36</x:v>
      </x:c>
      <x:c r="H1339" t="str">
        <x:v>A</x:v>
      </x:c>
      <x:c r="I1339" t="str">
        <x:v>10+ years</x:v>
      </x:c>
      <x:c r="J1339" t="str">
        <x:v>MORTGAGE</x:v>
      </x:c>
      <x:c r="K1339" t="str">
        <x:v>debt_consolidation</x:v>
      </x:c>
      <x:c r="L1339" t="n">
        <x:v>0</x:v>
      </x:c>
      <x:c r="M1339" t="n">
        <x:v>0</x:v>
      </x:c>
      <x:c r="N1339" t="str">
        <x:v>Fully Paid</x:v>
      </x:c>
      <x:c r="O1339" t="str">
        <x:f>IF(D1339="","Unknown",IF(D1339&lt;25000,"&lt;$25k",IF(D1339&lt;50000,"$25k-$50k",IF(D1339&lt;75000,"$50k-$75k",IF(D1339&lt;100000,"$75k-$100k","$100k+")))))</x:f>
        <x:v>$25k-$50k</x:v>
      </x:c>
      <x:c r="P1339" t="str">
        <x:f>IF(E1339="","Unknown",IF(E1339&lt;10,"&lt;10",IF(E1339&lt;20,"10-&lt;20",IF(E1339&lt;25,"20-&lt;25",IF(E1339&lt;35,"25-&lt;35","35+")))))</x:f>
        <x:v>20-&lt;25</x:v>
      </x:c>
    </x:row>
    <x:row r="1340">
      <x:c r="A1340" t="str">
        <x:v>SYN0001339</x:v>
      </x:c>
      <x:c r="B1340" s="12" t="n">
        <x:v>41425</x:v>
      </x:c>
      <x:c r="C1340" s="18" t="n">
        <x:v>17602</x:v>
      </x:c>
      <x:c r="D1340" s="18" t="n">
        <x:v>30859</x:v>
      </x:c>
      <x:c r="E1340" s="18" t="n">
        <x:v>24.17</x:v>
      </x:c>
      <x:c r="F1340" s="18" t="n">
        <x:v>7.29</x:v>
      </x:c>
      <x:c r="G1340" t="n">
        <x:v>36</x:v>
      </x:c>
      <x:c r="H1340" t="str">
        <x:v>B</x:v>
      </x:c>
      <x:c r="I1340" t="str">
        <x:v>1-3 years</x:v>
      </x:c>
      <x:c r="J1340" t="str">
        <x:v>RENT</x:v>
      </x:c>
      <x:c r="K1340" t="str">
        <x:v>debt_consolidation</x:v>
      </x:c>
      <x:c r="L1340" t="n">
        <x:v>0</x:v>
      </x:c>
      <x:c r="M1340" t="n">
        <x:v>0</x:v>
      </x:c>
      <x:c r="N1340" t="str">
        <x:v>Fully Paid</x:v>
      </x:c>
      <x:c r="O1340" t="str">
        <x:f>IF(D1340="","Unknown",IF(D1340&lt;25000,"&lt;$25k",IF(D1340&lt;50000,"$25k-$50k",IF(D1340&lt;75000,"$50k-$75k",IF(D1340&lt;100000,"$75k-$100k","$100k+")))))</x:f>
        <x:v>$25k-$50k</x:v>
      </x:c>
      <x:c r="P1340" t="str">
        <x:f>IF(E1340="","Unknown",IF(E1340&lt;10,"&lt;10",IF(E1340&lt;20,"10-&lt;20",IF(E1340&lt;25,"20-&lt;25",IF(E1340&lt;35,"25-&lt;35","35+")))))</x:f>
        <x:v>20-&lt;25</x:v>
      </x:c>
    </x:row>
    <x:row r="1341">
      <x:c r="A1341" t="str">
        <x:v>SYN0001340</x:v>
      </x:c>
      <x:c r="B1341" s="12" t="n">
        <x:v>43135</x:v>
      </x:c>
      <x:c r="C1341" s="18" t="n">
        <x:v>13788</x:v>
      </x:c>
      <x:c r="D1341" s="18" t="n">
        <x:v>29542</x:v>
      </x:c>
      <x:c r="E1341" s="18" t="n">
        <x:v>8.98</x:v>
      </x:c>
      <x:c r="F1341" s="18" t="n">
        <x:v>10.61</x:v>
      </x:c>
      <x:c r="G1341" t="n">
        <x:v>60</x:v>
      </x:c>
      <x:c r="H1341" t="str">
        <x:v>C</x:v>
      </x:c>
      <x:c r="I1341" t="str">
        <x:v>4-6 years</x:v>
      </x:c>
      <x:c r="J1341" t="str">
        <x:v>MORTGAGE</x:v>
      </x:c>
      <x:c r="K1341" t="str">
        <x:v>debt_consolidation</x:v>
      </x:c>
      <x:c r="L1341" t="n">
        <x:v>1</x:v>
      </x:c>
      <x:c r="M1341" t="n">
        <x:v>0</x:v>
      </x:c>
      <x:c r="N1341" t="str">
        <x:v>Fully Paid</x:v>
      </x:c>
      <x:c r="O1341" t="str">
        <x:f>IF(D1341="","Unknown",IF(D1341&lt;25000,"&lt;$25k",IF(D1341&lt;50000,"$25k-$50k",IF(D1341&lt;75000,"$50k-$75k",IF(D1341&lt;100000,"$75k-$100k","$100k+")))))</x:f>
        <x:v>$25k-$50k</x:v>
      </x:c>
      <x:c r="P1341" t="str">
        <x:f>IF(E1341="","Unknown",IF(E1341&lt;10,"&lt;10",IF(E1341&lt;20,"10-&lt;20",IF(E1341&lt;25,"20-&lt;25",IF(E1341&lt;35,"25-&lt;35","35+")))))</x:f>
        <x:v>&lt;10</x:v>
      </x:c>
    </x:row>
    <x:row r="1342">
      <x:c r="A1342" t="str">
        <x:v>SYN0001341</x:v>
      </x:c>
      <x:c r="B1342" s="12" t="n">
        <x:v>43045</x:v>
      </x:c>
      <x:c r="C1342" s="18" t="n">
        <x:v>20934</x:v>
      </x:c>
      <x:c r="D1342" s="18" t="n">
        <x:v>61322</x:v>
      </x:c>
      <x:c r="E1342" s="18" t="n">
        <x:v>18.27</x:v>
      </x:c>
      <x:c r="F1342" s="18" t="n">
        <x:v>10.03</x:v>
      </x:c>
      <x:c r="G1342" t="n">
        <x:v>36</x:v>
      </x:c>
      <x:c r="H1342" t="str">
        <x:v>B</x:v>
      </x:c>
      <x:c r="I1342" t="str">
        <x:v>1-3 years</x:v>
      </x:c>
      <x:c r="J1342" t="str">
        <x:v>RENT</x:v>
      </x:c>
      <x:c r="K1342" t="str">
        <x:v>debt_consolidation</x:v>
      </x:c>
      <x:c r="L1342" t="n">
        <x:v>0</x:v>
      </x:c>
      <x:c r="M1342" t="n">
        <x:v>0</x:v>
      </x:c>
      <x:c r="N1342" t="str">
        <x:v>Fully Paid</x:v>
      </x:c>
      <x:c r="O1342" t="str">
        <x:f>IF(D1342="","Unknown",IF(D1342&lt;25000,"&lt;$25k",IF(D1342&lt;50000,"$25k-$50k",IF(D1342&lt;75000,"$50k-$75k",IF(D1342&lt;100000,"$75k-$100k","$100k+")))))</x:f>
        <x:v>$50k-$75k</x:v>
      </x:c>
      <x:c r="P1342" t="str">
        <x:f>IF(E1342="","Unknown",IF(E1342&lt;10,"&lt;10",IF(E1342&lt;20,"10-&lt;20",IF(E1342&lt;25,"20-&lt;25",IF(E1342&lt;35,"25-&lt;35","35+")))))</x:f>
        <x:v>10-&lt;20</x:v>
      </x:c>
    </x:row>
    <x:row r="1343">
      <x:c r="A1343" t="str">
        <x:v>SYN0001342</x:v>
      </x:c>
      <x:c r="B1343" s="12" t="n">
        <x:v>43315</x:v>
      </x:c>
      <x:c r="C1343" s="18" t="n">
        <x:v>21254</x:v>
      </x:c>
      <x:c r="D1343" s="18" t="n">
        <x:v>53164</x:v>
      </x:c>
      <x:c r="E1343" s="18" t="n">
        <x:v>17.65</x:v>
      </x:c>
      <x:c r="F1343" s="18" t="n">
        <x:v>22.04</x:v>
      </x:c>
      <x:c r="G1343" t="n">
        <x:v>60</x:v>
      </x:c>
      <x:c r="H1343" t="str">
        <x:v>F</x:v>
      </x:c>
      <x:c r="I1343" t="str">
        <x:v>10+ years</x:v>
      </x:c>
      <x:c r="J1343" t="str">
        <x:v>MORTGAGE</x:v>
      </x:c>
      <x:c r="K1343" t="str">
        <x:v>medical</x:v>
      </x:c>
      <x:c r="L1343" t="n">
        <x:v>1</x:v>
      </x:c>
      <x:c r="M1343" t="n">
        <x:v>0</x:v>
      </x:c>
      <x:c r="N1343" t="str">
        <x:v>Fully Paid</x:v>
      </x:c>
      <x:c r="O1343" t="str">
        <x:f>IF(D1343="","Unknown",IF(D1343&lt;25000,"&lt;$25k",IF(D1343&lt;50000,"$25k-$50k",IF(D1343&lt;75000,"$50k-$75k",IF(D1343&lt;100000,"$75k-$100k","$100k+")))))</x:f>
        <x:v>$50k-$75k</x:v>
      </x:c>
      <x:c r="P1343" t="str">
        <x:f>IF(E1343="","Unknown",IF(E1343&lt;10,"&lt;10",IF(E1343&lt;20,"10-&lt;20",IF(E1343&lt;25,"20-&lt;25",IF(E1343&lt;35,"25-&lt;35","35+")))))</x:f>
        <x:v>10-&lt;20</x:v>
      </x:c>
    </x:row>
    <x:row r="1344">
      <x:c r="A1344" t="str">
        <x:v>SYN0001343</x:v>
      </x:c>
      <x:c r="B1344" s="12" t="n">
        <x:v>43255</x:v>
      </x:c>
      <x:c r="C1344" s="18" t="n">
        <x:v>8441</x:v>
      </x:c>
      <x:c r="D1344" s="18" t="n">
        <x:v>89419</x:v>
      </x:c>
      <x:c r="E1344" s="18" t="n">
        <x:v>32</x:v>
      </x:c>
      <x:c r="F1344" s="18" t="n">
        <x:v>18.47</x:v>
      </x:c>
      <x:c r="G1344" t="n">
        <x:v>36</x:v>
      </x:c>
      <x:c r="H1344" t="str">
        <x:v>E</x:v>
      </x:c>
      <x:c r="I1344" t="str">
        <x:v>&lt;1 year</x:v>
      </x:c>
      <x:c r="J1344" t="str">
        <x:v>OWN</x:v>
      </x:c>
      <x:c r="K1344" t="str">
        <x:v>other</x:v>
      </x:c>
      <x:c r="L1344" t="n">
        <x:v>2</x:v>
      </x:c>
      <x:c r="M1344" t="n">
        <x:v>1</x:v>
      </x:c>
      <x:c r="N1344" t="str">
        <x:v>Charged Off</x:v>
      </x:c>
      <x:c r="O1344" t="str">
        <x:f>IF(D1344="","Unknown",IF(D1344&lt;25000,"&lt;$25k",IF(D1344&lt;50000,"$25k-$50k",IF(D1344&lt;75000,"$50k-$75k",IF(D1344&lt;100000,"$75k-$100k","$100k+")))))</x:f>
        <x:v>$75k-$100k</x:v>
      </x:c>
      <x:c r="P1344" t="str">
        <x:f>IF(E1344="","Unknown",IF(E1344&lt;10,"&lt;10",IF(E1344&lt;20,"10-&lt;20",IF(E1344&lt;25,"20-&lt;25",IF(E1344&lt;35,"25-&lt;35","35+")))))</x:f>
        <x:v>25-&lt;35</x:v>
      </x:c>
    </x:row>
    <x:row r="1345">
      <x:c r="A1345" t="str">
        <x:v>SYN0001344</x:v>
      </x:c>
      <x:c r="B1345" s="12" t="n">
        <x:v>42775</x:v>
      </x:c>
      <x:c r="C1345" s="18" t="n">
        <x:v>4610</x:v>
      </x:c>
      <x:c r="D1345" s="18" t="n">
        <x:v>41309</x:v>
      </x:c>
      <x:c r="E1345" s="18" t="n">
        <x:v>20.05</x:v>
      </x:c>
      <x:c r="F1345" s="18" t="n">
        <x:v>10.16</x:v>
      </x:c>
      <x:c r="G1345" t="n">
        <x:v>36</x:v>
      </x:c>
      <x:c r="H1345" t="str">
        <x:v>C</x:v>
      </x:c>
      <x:c r="I1345" t="str">
        <x:v>1-3 years</x:v>
      </x:c>
      <x:c r="J1345" t="str">
        <x:v>RENT</x:v>
      </x:c>
      <x:c r="K1345" t="str">
        <x:v>debt_consolidation</x:v>
      </x:c>
      <x:c r="L1345" t="n">
        <x:v>1</x:v>
      </x:c>
      <x:c r="M1345" t="n">
        <x:v>0</x:v>
      </x:c>
      <x:c r="N1345" t="str">
        <x:v>Fully Paid</x:v>
      </x:c>
      <x:c r="O1345" t="str">
        <x:f>IF(D1345="","Unknown",IF(D1345&lt;25000,"&lt;$25k",IF(D1345&lt;50000,"$25k-$50k",IF(D1345&lt;75000,"$50k-$75k",IF(D1345&lt;100000,"$75k-$100k","$100k+")))))</x:f>
        <x:v>$25k-$50k</x:v>
      </x:c>
      <x:c r="P1345" t="str">
        <x:f>IF(E1345="","Unknown",IF(E1345&lt;10,"&lt;10",IF(E1345&lt;20,"10-&lt;20",IF(E1345&lt;25,"20-&lt;25",IF(E1345&lt;35,"25-&lt;35","35+")))))</x:f>
        <x:v>20-&lt;25</x:v>
      </x:c>
    </x:row>
    <x:row r="1346">
      <x:c r="A1346" t="str">
        <x:v>SYN0001345</x:v>
      </x:c>
      <x:c r="B1346" s="12" t="n">
        <x:v>41875</x:v>
      </x:c>
      <x:c r="C1346" s="18" t="n">
        <x:v>7444</x:v>
      </x:c>
      <x:c r="D1346" s="18" t="n">
        <x:v>115439</x:v>
      </x:c>
      <x:c r="E1346" s="18" t="n">
        <x:v>17.88</x:v>
      </x:c>
      <x:c r="F1346" s="18" t="n">
        <x:v>7.02</x:v>
      </x:c>
      <x:c r="G1346" t="n">
        <x:v>36</x:v>
      </x:c>
      <x:c r="H1346" t="str">
        <x:v>B</x:v>
      </x:c>
      <x:c r="I1346" t="str">
        <x:v>4-6 years</x:v>
      </x:c>
      <x:c r="J1346" t="str">
        <x:v>RENT</x:v>
      </x:c>
      <x:c r="K1346" t="str">
        <x:v>debt_consolidation</x:v>
      </x:c>
      <x:c r="L1346" t="n">
        <x:v>1</x:v>
      </x:c>
      <x:c r="M1346" t="n">
        <x:v>0</x:v>
      </x:c>
      <x:c r="N1346" t="str">
        <x:v>Fully Paid</x:v>
      </x:c>
      <x:c r="O1346" t="str">
        <x:f>IF(D1346="","Unknown",IF(D1346&lt;25000,"&lt;$25k",IF(D1346&lt;50000,"$25k-$50k",IF(D1346&lt;75000,"$50k-$75k",IF(D1346&lt;100000,"$75k-$100k","$100k+")))))</x:f>
        <x:v>$100k+</x:v>
      </x:c>
      <x:c r="P1346" t="str">
        <x:f>IF(E1346="","Unknown",IF(E1346&lt;10,"&lt;10",IF(E1346&lt;20,"10-&lt;20",IF(E1346&lt;25,"20-&lt;25",IF(E1346&lt;35,"25-&lt;35","35+")))))</x:f>
        <x:v>10-&lt;20</x:v>
      </x:c>
    </x:row>
    <x:row r="1347">
      <x:c r="A1347" t="str">
        <x:v>SYN0001346</x:v>
      </x:c>
      <x:c r="B1347" s="12" t="n">
        <x:v>41455</x:v>
      </x:c>
      <x:c r="C1347" s="18" t="n">
        <x:v>16354</x:v>
      </x:c>
      <x:c r="D1347" s="18" t="n">
        <x:v>30699</x:v>
      </x:c>
      <x:c r="E1347" s="18" t="n">
        <x:v>13.41</x:v>
      </x:c>
      <x:c r="F1347" s="18" t="n">
        <x:v>12.59</x:v>
      </x:c>
      <x:c r="G1347" t="n">
        <x:v>60</x:v>
      </x:c>
      <x:c r="H1347" t="str">
        <x:v>C</x:v>
      </x:c>
      <x:c r="I1347" t="str">
        <x:v>1-3 years</x:v>
      </x:c>
      <x:c r="J1347" t="str">
        <x:v>RENT</x:v>
      </x:c>
      <x:c r="K1347" t="str">
        <x:v>debt_consolidation</x:v>
      </x:c>
      <x:c r="L1347" t="n">
        <x:v>0</x:v>
      </x:c>
      <x:c r="M1347" t="n">
        <x:v>0</x:v>
      </x:c>
      <x:c r="N1347" t="str">
        <x:v>Fully Paid</x:v>
      </x:c>
      <x:c r="O1347" t="str">
        <x:f>IF(D1347="","Unknown",IF(D1347&lt;25000,"&lt;$25k",IF(D1347&lt;50000,"$25k-$50k",IF(D1347&lt;75000,"$50k-$75k",IF(D1347&lt;100000,"$75k-$100k","$100k+")))))</x:f>
        <x:v>$25k-$50k</x:v>
      </x:c>
      <x:c r="P1347" t="str">
        <x:f>IF(E1347="","Unknown",IF(E1347&lt;10,"&lt;10",IF(E1347&lt;20,"10-&lt;20",IF(E1347&lt;25,"20-&lt;25",IF(E1347&lt;35,"25-&lt;35","35+")))))</x:f>
        <x:v>10-&lt;20</x:v>
      </x:c>
    </x:row>
    <x:row r="1348">
      <x:c r="A1348" t="str">
        <x:v>SYN0001347</x:v>
      </x:c>
      <x:c r="B1348" s="12" t="n">
        <x:v>43255</x:v>
      </x:c>
      <x:c r="C1348" s="18" t="n">
        <x:v>11580</x:v>
      </x:c>
      <x:c r="D1348" s="18" t="n">
        <x:v>73969</x:v>
      </x:c>
      <x:c r="E1348" s="18" t="n">
        <x:v>24.42</x:v>
      </x:c>
      <x:c r="F1348" s="18" t="n">
        <x:v>6.01</x:v>
      </x:c>
      <x:c r="G1348" t="n">
        <x:v>36</x:v>
      </x:c>
      <x:c r="H1348" t="str">
        <x:v>B</x:v>
      </x:c>
      <x:c r="I1348" t="str">
        <x:v>7-9 years</x:v>
      </x:c>
      <x:c r="J1348" t="str">
        <x:v>MORTGAGE</x:v>
      </x:c>
      <x:c r="K1348" t="str">
        <x:v>medical</x:v>
      </x:c>
      <x:c r="L1348" t="n">
        <x:v>0</x:v>
      </x:c>
      <x:c r="M1348" t="n">
        <x:v>0</x:v>
      </x:c>
      <x:c r="N1348" t="str">
        <x:v>Fully Paid</x:v>
      </x:c>
      <x:c r="O1348" t="str">
        <x:f>IF(D1348="","Unknown",IF(D1348&lt;25000,"&lt;$25k",IF(D1348&lt;50000,"$25k-$50k",IF(D1348&lt;75000,"$50k-$75k",IF(D1348&lt;100000,"$75k-$100k","$100k+")))))</x:f>
        <x:v>$50k-$75k</x:v>
      </x:c>
      <x:c r="P1348" t="str">
        <x:f>IF(E1348="","Unknown",IF(E1348&lt;10,"&lt;10",IF(E1348&lt;20,"10-&lt;20",IF(E1348&lt;25,"20-&lt;25",IF(E1348&lt;35,"25-&lt;35","35+")))))</x:f>
        <x:v>20-&lt;25</x:v>
      </x:c>
    </x:row>
    <x:row r="1349">
      <x:c r="A1349" t="str">
        <x:v>SYN0001348</x:v>
      </x:c>
      <x:c r="B1349" s="12" t="n">
        <x:v>43405</x:v>
      </x:c>
      <x:c r="C1349" s="18" t="n">
        <x:v>21398</x:v>
      </x:c>
      <x:c r="D1349" s="18" t="n">
        <x:v>42863</x:v>
      </x:c>
      <x:c r="E1349" s="18" t="n">
        <x:v>16.86</x:v>
      </x:c>
      <x:c r="F1349" s="18" t="n">
        <x:v>10.69</x:v>
      </x:c>
      <x:c r="G1349" t="n">
        <x:v>36</x:v>
      </x:c>
      <x:c r="H1349" t="str">
        <x:v>C</x:v>
      </x:c>
      <x:c r="I1349" t="str">
        <x:v>4-6 years</x:v>
      </x:c>
      <x:c r="J1349" t="str">
        <x:v>MORTGAGE</x:v>
      </x:c>
      <x:c r="K1349" t="str">
        <x:v>debt_consolidation</x:v>
      </x:c>
      <x:c r="L1349" t="n">
        <x:v>0</x:v>
      </x:c>
      <x:c r="M1349" t="n">
        <x:v>0</x:v>
      </x:c>
      <x:c r="N1349" t="str">
        <x:v>Fully Paid</x:v>
      </x:c>
      <x:c r="O1349" t="str">
        <x:f>IF(D1349="","Unknown",IF(D1349&lt;25000,"&lt;$25k",IF(D1349&lt;50000,"$25k-$50k",IF(D1349&lt;75000,"$50k-$75k",IF(D1349&lt;100000,"$75k-$100k","$100k+")))))</x:f>
        <x:v>$25k-$50k</x:v>
      </x:c>
      <x:c r="P1349" t="str">
        <x:f>IF(E1349="","Unknown",IF(E1349&lt;10,"&lt;10",IF(E1349&lt;20,"10-&lt;20",IF(E1349&lt;25,"20-&lt;25",IF(E1349&lt;35,"25-&lt;35","35+")))))</x:f>
        <x:v>10-&lt;20</x:v>
      </x:c>
    </x:row>
    <x:row r="1350">
      <x:c r="A1350" t="str">
        <x:v>SYN0001349</x:v>
      </x:c>
      <x:c r="B1350" s="12" t="n">
        <x:v>43375</x:v>
      </x:c>
      <x:c r="C1350" s="18" t="n">
        <x:v>6646</x:v>
      </x:c>
      <x:c r="D1350" s="18" t="n">
        <x:v>22599</x:v>
      </x:c>
      <x:c r="E1350" s="18" t="n">
        <x:v>14.17</x:v>
      </x:c>
      <x:c r="F1350" s="18" t="n">
        <x:v>6.65</x:v>
      </x:c>
      <x:c r="G1350" t="n">
        <x:v>60</x:v>
      </x:c>
      <x:c r="H1350" t="str">
        <x:v>B</x:v>
      </x:c>
      <x:c r="I1350" t="str">
        <x:v>7-9 years</x:v>
      </x:c>
      <x:c r="J1350" t="str">
        <x:v>MORTGAGE</x:v>
      </x:c>
      <x:c r="K1350" t="str">
        <x:v>other</x:v>
      </x:c>
      <x:c r="L1350" t="n">
        <x:v>1</x:v>
      </x:c>
      <x:c r="M1350" t="n">
        <x:v>0</x:v>
      </x:c>
      <x:c r="N1350" t="str">
        <x:v>Fully Paid</x:v>
      </x:c>
      <x:c r="O1350" t="str">
        <x:f>IF(D1350="","Unknown",IF(D1350&lt;25000,"&lt;$25k",IF(D1350&lt;50000,"$25k-$50k",IF(D1350&lt;75000,"$50k-$75k",IF(D1350&lt;100000,"$75k-$100k","$100k+")))))</x:f>
        <x:v>&lt;$25k</x:v>
      </x:c>
      <x:c r="P1350" t="str">
        <x:f>IF(E1350="","Unknown",IF(E1350&lt;10,"&lt;10",IF(E1350&lt;20,"10-&lt;20",IF(E1350&lt;25,"20-&lt;25",IF(E1350&lt;35,"25-&lt;35","35+")))))</x:f>
        <x:v>10-&lt;20</x:v>
      </x:c>
    </x:row>
    <x:row r="1351">
      <x:c r="A1351" t="str">
        <x:v>SYN0001350</x:v>
      </x:c>
      <x:c r="B1351" s="12" t="n">
        <x:v>43135</x:v>
      </x:c>
      <x:c r="C1351" s="18" t="n">
        <x:v>15528</x:v>
      </x:c>
      <x:c r="D1351" s="18" t="n">
        <x:v>55878</x:v>
      </x:c>
      <x:c r="E1351" s="18" t="n">
        <x:v>22.66</x:v>
      </x:c>
      <x:c r="F1351" s="18" t="n">
        <x:v>10.6</x:v>
      </x:c>
      <x:c r="G1351" t="n">
        <x:v>36</x:v>
      </x:c>
      <x:c r="H1351" t="str">
        <x:v>C</x:v>
      </x:c>
      <x:c r="I1351" t="str">
        <x:v>4-6 years</x:v>
      </x:c>
      <x:c r="J1351" t="str">
        <x:v>RENT</x:v>
      </x:c>
      <x:c r="K1351" t="str">
        <x:v>credit_card</x:v>
      </x:c>
      <x:c r="L1351" t="n">
        <x:v>0</x:v>
      </x:c>
      <x:c r="M1351" t="n">
        <x:v>0</x:v>
      </x:c>
      <x:c r="N1351" t="str">
        <x:v>Fully Paid</x:v>
      </x:c>
      <x:c r="O1351" t="str">
        <x:f>IF(D1351="","Unknown",IF(D1351&lt;25000,"&lt;$25k",IF(D1351&lt;50000,"$25k-$50k",IF(D1351&lt;75000,"$50k-$75k",IF(D1351&lt;100000,"$75k-$100k","$100k+")))))</x:f>
        <x:v>$50k-$75k</x:v>
      </x:c>
      <x:c r="P1351" t="str">
        <x:f>IF(E1351="","Unknown",IF(E1351&lt;10,"&lt;10",IF(E1351&lt;20,"10-&lt;20",IF(E1351&lt;25,"20-&lt;25",IF(E1351&lt;35,"25-&lt;35","35+")))))</x:f>
        <x:v>20-&lt;25</x:v>
      </x:c>
    </x:row>
    <x:row r="1352">
      <x:c r="A1352" t="str">
        <x:v>SYN0001351</x:v>
      </x:c>
      <x:c r="B1352" s="12" t="n">
        <x:v>43045</x:v>
      </x:c>
      <x:c r="C1352" s="18" t="n">
        <x:v>23042</x:v>
      </x:c>
      <x:c r="D1352" s="18" t="n">
        <x:v>50799</x:v>
      </x:c>
      <x:c r="E1352" s="18" t="n">
        <x:v>24.06</x:v>
      </x:c>
      <x:c r="F1352" s="18" t="n">
        <x:v>12.59</x:v>
      </x:c>
      <x:c r="G1352" t="n">
        <x:v>36</x:v>
      </x:c>
      <x:c r="H1352" t="str">
        <x:v>C</x:v>
      </x:c>
      <x:c r="I1352" t="str">
        <x:v>4-6 years</x:v>
      </x:c>
      <x:c r="J1352" t="str">
        <x:v>RENT</x:v>
      </x:c>
      <x:c r="K1352" t="str">
        <x:v>credit_card</x:v>
      </x:c>
      <x:c r="L1352" t="n">
        <x:v>0</x:v>
      </x:c>
      <x:c r="M1352" t="n">
        <x:v>0</x:v>
      </x:c>
      <x:c r="N1352" t="str">
        <x:v>Fully Paid</x:v>
      </x:c>
      <x:c r="O1352" t="str">
        <x:f>IF(D1352="","Unknown",IF(D1352&lt;25000,"&lt;$25k",IF(D1352&lt;50000,"$25k-$50k",IF(D1352&lt;75000,"$50k-$75k",IF(D1352&lt;100000,"$75k-$100k","$100k+")))))</x:f>
        <x:v>$50k-$75k</x:v>
      </x:c>
      <x:c r="P1352" t="str">
        <x:f>IF(E1352="","Unknown",IF(E1352&lt;10,"&lt;10",IF(E1352&lt;20,"10-&lt;20",IF(E1352&lt;25,"20-&lt;25",IF(E1352&lt;35,"25-&lt;35","35+")))))</x:f>
        <x:v>20-&lt;25</x:v>
      </x:c>
    </x:row>
    <x:row r="1353">
      <x:c r="A1353" t="str">
        <x:v>SYN0001352</x:v>
      </x:c>
      <x:c r="B1353" s="12" t="n">
        <x:v>42535</x:v>
      </x:c>
      <x:c r="C1353" s="18" t="n">
        <x:v>8792</x:v>
      </x:c>
      <x:c r="D1353" s="18" t="n">
        <x:v>29703</x:v>
      </x:c>
      <x:c r="E1353" s="18" t="n">
        <x:v>3.43</x:v>
      </x:c>
      <x:c r="F1353" s="18" t="n">
        <x:v>6.84</x:v>
      </x:c>
      <x:c r="G1353" t="n">
        <x:v>36</x:v>
      </x:c>
      <x:c r="H1353" t="str">
        <x:v>B</x:v>
      </x:c>
      <x:c r="I1353" t="str">
        <x:v>&lt;1 year</x:v>
      </x:c>
      <x:c r="J1353" t="str">
        <x:v>RENT</x:v>
      </x:c>
      <x:c r="K1353" t="str">
        <x:v>debt_consolidation</x:v>
      </x:c>
      <x:c r="L1353" t="n">
        <x:v>0</x:v>
      </x:c>
      <x:c r="M1353" t="n">
        <x:v>0</x:v>
      </x:c>
      <x:c r="N1353" t="str">
        <x:v>Fully Paid</x:v>
      </x:c>
      <x:c r="O1353" t="str">
        <x:f>IF(D1353="","Unknown",IF(D1353&lt;25000,"&lt;$25k",IF(D1353&lt;50000,"$25k-$50k",IF(D1353&lt;75000,"$50k-$75k",IF(D1353&lt;100000,"$75k-$100k","$100k+")))))</x:f>
        <x:v>$25k-$50k</x:v>
      </x:c>
      <x:c r="P1353" t="str">
        <x:f>IF(E1353="","Unknown",IF(E1353&lt;10,"&lt;10",IF(E1353&lt;20,"10-&lt;20",IF(E1353&lt;25,"20-&lt;25",IF(E1353&lt;35,"25-&lt;35","35+")))))</x:f>
        <x:v>&lt;10</x:v>
      </x:c>
    </x:row>
    <x:row r="1354">
      <x:c r="A1354" t="str">
        <x:v>SYN0001353</x:v>
      </x:c>
      <x:c r="B1354" s="12" t="n">
        <x:v>42895</x:v>
      </x:c>
      <x:c r="C1354" s="18" t="n">
        <x:v>11632</x:v>
      </x:c>
      <x:c r="D1354" s="18" t="n">
        <x:v>37882</x:v>
      </x:c>
      <x:c r="E1354" s="18" t="n">
        <x:v>16.83</x:v>
      </x:c>
      <x:c r="F1354" s="18" t="n">
        <x:v>20.19</x:v>
      </x:c>
      <x:c r="G1354" t="n">
        <x:v>36</x:v>
      </x:c>
      <x:c r="H1354" t="str">
        <x:v>F</x:v>
      </x:c>
      <x:c r="I1354" t="str">
        <x:v>1-3 years</x:v>
      </x:c>
      <x:c r="J1354" t="str">
        <x:v>MORTGAGE</x:v>
      </x:c>
      <x:c r="K1354" t="str">
        <x:v>debt_consolidation</x:v>
      </x:c>
      <x:c r="L1354" t="n">
        <x:v>0</x:v>
      </x:c>
      <x:c r="M1354" t="n">
        <x:v>0</x:v>
      </x:c>
      <x:c r="N1354" t="str">
        <x:v>Fully Paid</x:v>
      </x:c>
      <x:c r="O1354" t="str">
        <x:f>IF(D1354="","Unknown",IF(D1354&lt;25000,"&lt;$25k",IF(D1354&lt;50000,"$25k-$50k",IF(D1354&lt;75000,"$50k-$75k",IF(D1354&lt;100000,"$75k-$100k","$100k+")))))</x:f>
        <x:v>$25k-$50k</x:v>
      </x:c>
      <x:c r="P1354" t="str">
        <x:f>IF(E1354="","Unknown",IF(E1354&lt;10,"&lt;10",IF(E1354&lt;20,"10-&lt;20",IF(E1354&lt;25,"20-&lt;25",IF(E1354&lt;35,"25-&lt;35","35+")))))</x:f>
        <x:v>10-&lt;20</x:v>
      </x:c>
    </x:row>
    <x:row r="1355">
      <x:c r="A1355" t="str">
        <x:v>SYN0001354</x:v>
      </x:c>
      <x:c r="B1355" s="12" t="n">
        <x:v>41545</x:v>
      </x:c>
      <x:c r="C1355" s="18" t="n">
        <x:v>7567</x:v>
      </x:c>
      <x:c r="D1355" s="18" t="n">
        <x:v>59318</x:v>
      </x:c>
      <x:c r="E1355" s="18" t="n">
        <x:v>26.06</x:v>
      </x:c>
      <x:c r="F1355" s="18" t="n">
        <x:v>13.28</x:v>
      </x:c>
      <x:c r="G1355" t="n">
        <x:v>36</x:v>
      </x:c>
      <x:c r="H1355" t="str">
        <x:v>D</x:v>
      </x:c>
      <x:c r="I1355" t="str">
        <x:v>10+ years</x:v>
      </x:c>
      <x:c r="J1355" t="str">
        <x:v>RENT</x:v>
      </x:c>
      <x:c r="K1355" t="str">
        <x:v>debt_consolidation</x:v>
      </x:c>
      <x:c r="L1355" t="n">
        <x:v>1</x:v>
      </x:c>
      <x:c r="M1355" t="n">
        <x:v>1</x:v>
      </x:c>
      <x:c r="N1355" t="str">
        <x:v>Charged Off</x:v>
      </x:c>
      <x:c r="O1355" t="str">
        <x:f>IF(D1355="","Unknown",IF(D1355&lt;25000,"&lt;$25k",IF(D1355&lt;50000,"$25k-$50k",IF(D1355&lt;75000,"$50k-$75k",IF(D1355&lt;100000,"$75k-$100k","$100k+")))))</x:f>
        <x:v>$50k-$75k</x:v>
      </x:c>
      <x:c r="P1355" t="str">
        <x:f>IF(E1355="","Unknown",IF(E1355&lt;10,"&lt;10",IF(E1355&lt;20,"10-&lt;20",IF(E1355&lt;25,"20-&lt;25",IF(E1355&lt;35,"25-&lt;35","35+")))))</x:f>
        <x:v>25-&lt;35</x:v>
      </x:c>
    </x:row>
    <x:row r="1356">
      <x:c r="A1356" t="str">
        <x:v>SYN0001355</x:v>
      </x:c>
      <x:c r="B1356" s="12" t="n">
        <x:v>43075</x:v>
      </x:c>
      <x:c r="C1356" s="18" t="n">
        <x:v>13432</x:v>
      </x:c>
      <x:c r="D1356" s="18" t="n">
        <x:v>61001</x:v>
      </x:c>
      <x:c r="E1356" s="18" t="n">
        <x:v>26.79</x:v>
      </x:c>
      <x:c r="F1356" s="18" t="n">
        <x:v>28.73</x:v>
      </x:c>
      <x:c r="G1356" t="n">
        <x:v>36</x:v>
      </x:c>
      <x:c r="H1356" t="str">
        <x:v>G</x:v>
      </x:c>
      <x:c r="I1356" t="str">
        <x:v>4-6 years</x:v>
      </x:c>
      <x:c r="J1356" t="str">
        <x:v>MORTGAGE</x:v>
      </x:c>
      <x:c r="K1356" t="str">
        <x:v>debt_consolidation</x:v>
      </x:c>
      <x:c r="L1356" t="n">
        <x:v>1</x:v>
      </x:c>
      <x:c r="M1356" t="n">
        <x:v>0</x:v>
      </x:c>
      <x:c r="N1356" t="str">
        <x:v>Fully Paid</x:v>
      </x:c>
      <x:c r="O1356" t="str">
        <x:f>IF(D1356="","Unknown",IF(D1356&lt;25000,"&lt;$25k",IF(D1356&lt;50000,"$25k-$50k",IF(D1356&lt;75000,"$50k-$75k",IF(D1356&lt;100000,"$75k-$100k","$100k+")))))</x:f>
        <x:v>$50k-$75k</x:v>
      </x:c>
      <x:c r="P1356" t="str">
        <x:f>IF(E1356="","Unknown",IF(E1356&lt;10,"&lt;10",IF(E1356&lt;20,"10-&lt;20",IF(E1356&lt;25,"20-&lt;25",IF(E1356&lt;35,"25-&lt;35","35+")))))</x:f>
        <x:v>25-&lt;35</x:v>
      </x:c>
    </x:row>
    <x:row r="1357">
      <x:c r="A1357" t="str">
        <x:v>SYN0001356</x:v>
      </x:c>
      <x:c r="B1357" s="12" t="n">
        <x:v>43195</x:v>
      </x:c>
      <x:c r="C1357" s="18" t="n">
        <x:v>8578</x:v>
      </x:c>
      <x:c r="D1357" s="18" t="n">
        <x:v>77379</x:v>
      </x:c>
      <x:c r="E1357" s="18" t="n">
        <x:v>17.03</x:v>
      </x:c>
      <x:c r="F1357" s="18" t="n">
        <x:v>16.84</x:v>
      </x:c>
      <x:c r="G1357" t="n">
        <x:v>36</x:v>
      </x:c>
      <x:c r="H1357" t="str">
        <x:v>E</x:v>
      </x:c>
      <x:c r="I1357" t="str">
        <x:v>7-9 years</x:v>
      </x:c>
      <x:c r="J1357" t="str">
        <x:v>MORTGAGE</x:v>
      </x:c>
      <x:c r="K1357" t="str">
        <x:v>home_improvement</x:v>
      </x:c>
      <x:c r="L1357" t="n">
        <x:v>0</x:v>
      </x:c>
      <x:c r="M1357" t="n">
        <x:v>0</x:v>
      </x:c>
      <x:c r="N1357" t="str">
        <x:v>Fully Paid</x:v>
      </x:c>
      <x:c r="O1357" t="str">
        <x:f>IF(D1357="","Unknown",IF(D1357&lt;25000,"&lt;$25k",IF(D1357&lt;50000,"$25k-$50k",IF(D1357&lt;75000,"$50k-$75k",IF(D1357&lt;100000,"$75k-$100k","$100k+")))))</x:f>
        <x:v>$75k-$100k</x:v>
      </x:c>
      <x:c r="P1357" t="str">
        <x:f>IF(E1357="","Unknown",IF(E1357&lt;10,"&lt;10",IF(E1357&lt;20,"10-&lt;20",IF(E1357&lt;25,"20-&lt;25",IF(E1357&lt;35,"25-&lt;35","35+")))))</x:f>
        <x:v>10-&lt;20</x:v>
      </x:c>
    </x:row>
    <x:row r="1358">
      <x:c r="A1358" t="str">
        <x:v>SYN0001357</x:v>
      </x:c>
      <x:c r="B1358" s="12" t="n">
        <x:v>41515</x:v>
      </x:c>
      <x:c r="C1358" s="18" t="n">
        <x:v>17777</x:v>
      </x:c>
      <x:c r="D1358" s="18" t="n">
        <x:v>12471</x:v>
      </x:c>
      <x:c r="E1358" s="18" t="n">
        <x:v>27.39</x:v>
      </x:c>
      <x:c r="F1358" s="18" t="n">
        <x:v>12.6</x:v>
      </x:c>
      <x:c r="G1358" t="n">
        <x:v>36</x:v>
      </x:c>
      <x:c r="H1358" t="str">
        <x:v>C</x:v>
      </x:c>
      <x:c r="I1358" t="str">
        <x:v>10+ years</x:v>
      </x:c>
      <x:c r="J1358" t="str">
        <x:v>OWN</x:v>
      </x:c>
      <x:c r="K1358" t="str">
        <x:v>debt_consolidation</x:v>
      </x:c>
      <x:c r="L1358" t="n">
        <x:v>0</x:v>
      </x:c>
      <x:c r="M1358" t="n">
        <x:v>0</x:v>
      </x:c>
      <x:c r="N1358" t="str">
        <x:v>Fully Paid</x:v>
      </x:c>
      <x:c r="O1358" t="str">
        <x:f>IF(D1358="","Unknown",IF(D1358&lt;25000,"&lt;$25k",IF(D1358&lt;50000,"$25k-$50k",IF(D1358&lt;75000,"$50k-$75k",IF(D1358&lt;100000,"$75k-$100k","$100k+")))))</x:f>
        <x:v>&lt;$25k</x:v>
      </x:c>
      <x:c r="P1358" t="str">
        <x:f>IF(E1358="","Unknown",IF(E1358&lt;10,"&lt;10",IF(E1358&lt;20,"10-&lt;20",IF(E1358&lt;25,"20-&lt;25",IF(E1358&lt;35,"25-&lt;35","35+")))))</x:f>
        <x:v>25-&lt;35</x:v>
      </x:c>
    </x:row>
    <x:row r="1359">
      <x:c r="A1359" t="str">
        <x:v>SYN0001358</x:v>
      </x:c>
      <x:c r="B1359" s="12" t="n">
        <x:v>41845</x:v>
      </x:c>
      <x:c r="C1359" s="18" t="n">
        <x:v>6965</x:v>
      </x:c>
      <x:c r="D1359" s="18" t="n">
        <x:v>24041</x:v>
      </x:c>
      <x:c r="E1359" s="18" t="n">
        <x:v>30.21</x:v>
      </x:c>
      <x:c r="F1359" s="18" t="n">
        <x:v>18.04</x:v>
      </x:c>
      <x:c r="G1359" t="n">
        <x:v>36</x:v>
      </x:c>
      <x:c r="H1359" t="str">
        <x:v>D</x:v>
      </x:c>
      <x:c r="I1359" t="str">
        <x:v>10+ years</x:v>
      </x:c>
      <x:c r="J1359" t="str">
        <x:v>MORTGAGE</x:v>
      </x:c>
      <x:c r="K1359" t="str">
        <x:v>credit_card</x:v>
      </x:c>
      <x:c r="L1359" t="n">
        <x:v>1</x:v>
      </x:c>
      <x:c r="M1359" t="n">
        <x:v>0</x:v>
      </x:c>
      <x:c r="N1359" t="str">
        <x:v>Fully Paid</x:v>
      </x:c>
      <x:c r="O1359" t="str">
        <x:f>IF(D1359="","Unknown",IF(D1359&lt;25000,"&lt;$25k",IF(D1359&lt;50000,"$25k-$50k",IF(D1359&lt;75000,"$50k-$75k",IF(D1359&lt;100000,"$75k-$100k","$100k+")))))</x:f>
        <x:v>&lt;$25k</x:v>
      </x:c>
      <x:c r="P1359" t="str">
        <x:f>IF(E1359="","Unknown",IF(E1359&lt;10,"&lt;10",IF(E1359&lt;20,"10-&lt;20",IF(E1359&lt;25,"20-&lt;25",IF(E1359&lt;35,"25-&lt;35","35+")))))</x:f>
        <x:v>25-&lt;35</x:v>
      </x:c>
    </x:row>
    <x:row r="1360">
      <x:c r="A1360" t="str">
        <x:v>SYN0001359</x:v>
      </x:c>
      <x:c r="B1360" s="12" t="n">
        <x:v>41785</x:v>
      </x:c>
      <x:c r="C1360" s="18" t="n">
        <x:v>14086</x:v>
      </x:c>
      <x:c r="D1360" s="18" t="n">
        <x:v>67188</x:v>
      </x:c>
      <x:c r="E1360" s="18" t="n">
        <x:v>9.87</x:v>
      </x:c>
      <x:c r="F1360" s="18" t="n">
        <x:v>9.25</x:v>
      </x:c>
      <x:c r="G1360" t="n">
        <x:v>60</x:v>
      </x:c>
      <x:c r="H1360" t="str">
        <x:v>B</x:v>
      </x:c>
      <x:c r="I1360" t="str">
        <x:v>7-9 years</x:v>
      </x:c>
      <x:c r="J1360" t="str">
        <x:v>RENT</x:v>
      </x:c>
      <x:c r="K1360" t="str">
        <x:v>major_purchase</x:v>
      </x:c>
      <x:c r="L1360" t="n">
        <x:v>0</x:v>
      </x:c>
      <x:c r="M1360" t="n">
        <x:v>0</x:v>
      </x:c>
      <x:c r="N1360" t="str">
        <x:v>Fully Paid</x:v>
      </x:c>
      <x:c r="O1360" t="str">
        <x:f>IF(D1360="","Unknown",IF(D1360&lt;25000,"&lt;$25k",IF(D1360&lt;50000,"$25k-$50k",IF(D1360&lt;75000,"$50k-$75k",IF(D1360&lt;100000,"$75k-$100k","$100k+")))))</x:f>
        <x:v>$50k-$75k</x:v>
      </x:c>
      <x:c r="P1360" t="str">
        <x:f>IF(E1360="","Unknown",IF(E1360&lt;10,"&lt;10",IF(E1360&lt;20,"10-&lt;20",IF(E1360&lt;25,"20-&lt;25",IF(E1360&lt;35,"25-&lt;35","35+")))))</x:f>
        <x:v>&lt;10</x:v>
      </x:c>
    </x:row>
    <x:row r="1361">
      <x:c r="A1361" t="str">
        <x:v>SYN0001360</x:v>
      </x:c>
      <x:c r="B1361" s="12" t="n">
        <x:v>41485</x:v>
      </x:c>
      <x:c r="C1361" s="18" t="n">
        <x:v>7481</x:v>
      </x:c>
      <x:c r="D1361" s="18" t="n">
        <x:v>21767</x:v>
      </x:c>
      <x:c r="E1361" s="18" t="n">
        <x:v>21.07</x:v>
      </x:c>
      <x:c r="F1361" s="18" t="n">
        <x:v>13.65</x:v>
      </x:c>
      <x:c r="G1361" t="n">
        <x:v>36</x:v>
      </x:c>
      <x:c r="H1361" t="str">
        <x:v>D</x:v>
      </x:c>
      <x:c r="I1361" t="str">
        <x:v>&lt;1 year</x:v>
      </x:c>
      <x:c r="J1361" t="str">
        <x:v>MORTGAGE</x:v>
      </x:c>
      <x:c r="K1361" t="str">
        <x:v>debt_consolidation</x:v>
      </x:c>
      <x:c r="L1361" t="n">
        <x:v>0</x:v>
      </x:c>
      <x:c r="M1361" t="n">
        <x:v>0</x:v>
      </x:c>
      <x:c r="N1361" t="str">
        <x:v>Fully Paid</x:v>
      </x:c>
      <x:c r="O1361" t="str">
        <x:f>IF(D1361="","Unknown",IF(D1361&lt;25000,"&lt;$25k",IF(D1361&lt;50000,"$25k-$50k",IF(D1361&lt;75000,"$50k-$75k",IF(D1361&lt;100000,"$75k-$100k","$100k+")))))</x:f>
        <x:v>&lt;$25k</x:v>
      </x:c>
      <x:c r="P1361" t="str">
        <x:f>IF(E1361="","Unknown",IF(E1361&lt;10,"&lt;10",IF(E1361&lt;20,"10-&lt;20",IF(E1361&lt;25,"20-&lt;25",IF(E1361&lt;35,"25-&lt;35","35+")))))</x:f>
        <x:v>20-&lt;25</x:v>
      </x:c>
    </x:row>
    <x:row r="1362">
      <x:c r="A1362" t="str">
        <x:v>SYN0001361</x:v>
      </x:c>
      <x:c r="B1362" s="12" t="n">
        <x:v>41365</x:v>
      </x:c>
      <x:c r="C1362" s="18" t="n">
        <x:v>6617</x:v>
      </x:c>
      <x:c r="D1362" s="18" t="n">
        <x:v>19404</x:v>
      </x:c>
      <x:c r="E1362" s="18" t="n">
        <x:v>39.94</x:v>
      </x:c>
      <x:c r="F1362" s="18" t="n">
        <x:v>9.59</x:v>
      </x:c>
      <x:c r="G1362" t="n">
        <x:v>36</x:v>
      </x:c>
      <x:c r="H1362" t="str">
        <x:v>B</x:v>
      </x:c>
      <x:c r="I1362" t="str">
        <x:v>1-3 years</x:v>
      </x:c>
      <x:c r="J1362" t="str">
        <x:v>RENT</x:v>
      </x:c>
      <x:c r="K1362" t="str">
        <x:v>other</x:v>
      </x:c>
      <x:c r="L1362" t="n">
        <x:v>1</x:v>
      </x:c>
      <x:c r="M1362" t="n">
        <x:v>0</x:v>
      </x:c>
      <x:c r="N1362" t="str">
        <x:v>Fully Paid</x:v>
      </x:c>
      <x:c r="O1362" t="str">
        <x:f>IF(D1362="","Unknown",IF(D1362&lt;25000,"&lt;$25k",IF(D1362&lt;50000,"$25k-$50k",IF(D1362&lt;75000,"$50k-$75k",IF(D1362&lt;100000,"$75k-$100k","$100k+")))))</x:f>
        <x:v>&lt;$25k</x:v>
      </x:c>
      <x:c r="P1362" t="str">
        <x:f>IF(E1362="","Unknown",IF(E1362&lt;10,"&lt;10",IF(E1362&lt;20,"10-&lt;20",IF(E1362&lt;25,"20-&lt;25",IF(E1362&lt;35,"25-&lt;35","35+")))))</x:f>
        <x:v>35+</x:v>
      </x:c>
    </x:row>
    <x:row r="1363">
      <x:c r="A1363" t="str">
        <x:v>SYN0001362</x:v>
      </x:c>
      <x:c r="B1363" s="12" t="n">
        <x:v>41785</x:v>
      </x:c>
      <x:c r="C1363" s="18" t="n">
        <x:v>7185</x:v>
      </x:c>
      <x:c r="D1363" s="18" t="n">
        <x:v>35549</x:v>
      </x:c>
      <x:c r="E1363" s="18" t="n">
        <x:v>13.17</x:v>
      </x:c>
      <x:c r="F1363" s="18" t="n">
        <x:v>8.1</x:v>
      </x:c>
      <x:c r="G1363" t="n">
        <x:v>60</x:v>
      </x:c>
      <x:c r="H1363" t="str">
        <x:v>B</x:v>
      </x:c>
      <x:c r="I1363" t="str">
        <x:v>10+ years</x:v>
      </x:c>
      <x:c r="J1363" t="str">
        <x:v>MORTGAGE</x:v>
      </x:c>
      <x:c r="K1363" t="str">
        <x:v>credit_card</x:v>
      </x:c>
      <x:c r="L1363" t="n">
        <x:v>0</x:v>
      </x:c>
      <x:c r="M1363" t="n">
        <x:v>0</x:v>
      </x:c>
      <x:c r="N1363" t="str">
        <x:v>Fully Paid</x:v>
      </x:c>
      <x:c r="O1363" t="str">
        <x:f>IF(D1363="","Unknown",IF(D1363&lt;25000,"&lt;$25k",IF(D1363&lt;50000,"$25k-$50k",IF(D1363&lt;75000,"$50k-$75k",IF(D1363&lt;100000,"$75k-$100k","$100k+")))))</x:f>
        <x:v>$25k-$50k</x:v>
      </x:c>
      <x:c r="P1363" t="str">
        <x:f>IF(E1363="","Unknown",IF(E1363&lt;10,"&lt;10",IF(E1363&lt;20,"10-&lt;20",IF(E1363&lt;25,"20-&lt;25",IF(E1363&lt;35,"25-&lt;35","35+")))))</x:f>
        <x:v>10-&lt;20</x:v>
      </x:c>
    </x:row>
    <x:row r="1364">
      <x:c r="A1364" t="str">
        <x:v>SYN0001363</x:v>
      </x:c>
      <x:c r="B1364" s="12" t="n">
        <x:v>41305</x:v>
      </x:c>
      <x:c r="C1364" s="18" t="n">
        <x:v>7364</x:v>
      </x:c>
      <x:c r="D1364" s="18" t="n">
        <x:v>21696</x:v>
      </x:c>
      <x:c r="E1364" s="18" t="n">
        <x:v>10.22</x:v>
      </x:c>
      <x:c r="F1364" s="18" t="n">
        <x:v>11.81</x:v>
      </x:c>
      <x:c r="G1364" t="n">
        <x:v>60</x:v>
      </x:c>
      <x:c r="H1364" t="str">
        <x:v>C</x:v>
      </x:c>
      <x:c r="I1364" t="str">
        <x:v>4-6 years</x:v>
      </x:c>
      <x:c r="J1364" t="str">
        <x:v>OWN</x:v>
      </x:c>
      <x:c r="K1364" t="str">
        <x:v>debt_consolidation</x:v>
      </x:c>
      <x:c r="L1364" t="n">
        <x:v>1</x:v>
      </x:c>
      <x:c r="M1364" t="n">
        <x:v>0</x:v>
      </x:c>
      <x:c r="N1364" t="str">
        <x:v>Fully Paid</x:v>
      </x:c>
      <x:c r="O1364" t="str">
        <x:f>IF(D1364="","Unknown",IF(D1364&lt;25000,"&lt;$25k",IF(D1364&lt;50000,"$25k-$50k",IF(D1364&lt;75000,"$50k-$75k",IF(D1364&lt;100000,"$75k-$100k","$100k+")))))</x:f>
        <x:v>&lt;$25k</x:v>
      </x:c>
      <x:c r="P1364" t="str">
        <x:f>IF(E1364="","Unknown",IF(E1364&lt;10,"&lt;10",IF(E1364&lt;20,"10-&lt;20",IF(E1364&lt;25,"20-&lt;25",IF(E1364&lt;35,"25-&lt;35","35+")))))</x:f>
        <x:v>10-&lt;20</x:v>
      </x:c>
    </x:row>
    <x:row r="1365">
      <x:c r="A1365" t="str">
        <x:v>SYN0001364</x:v>
      </x:c>
      <x:c r="B1365" s="12" t="n">
        <x:v>41755</x:v>
      </x:c>
      <x:c r="C1365" s="18" t="n">
        <x:v>7281</x:v>
      </x:c>
      <x:c r="D1365" s="18" t="n">
        <x:v>26146</x:v>
      </x:c>
      <x:c r="E1365" s="18" t="n">
        <x:v>8.81</x:v>
      </x:c>
      <x:c r="F1365" s="18" t="n">
        <x:v>15.95</x:v>
      </x:c>
      <x:c r="G1365" t="n">
        <x:v>60</x:v>
      </x:c>
      <x:c r="H1365" t="str">
        <x:v>D</x:v>
      </x:c>
      <x:c r="I1365" t="str">
        <x:v>&lt;1 year</x:v>
      </x:c>
      <x:c r="J1365" t="str">
        <x:v>RENT</x:v>
      </x:c>
      <x:c r="K1365" t="str">
        <x:v>debt_consolidation</x:v>
      </x:c>
      <x:c r="L1365" t="n">
        <x:v>1</x:v>
      </x:c>
      <x:c r="M1365" t="n">
        <x:v>0</x:v>
      </x:c>
      <x:c r="N1365" t="str">
        <x:v>Fully Paid</x:v>
      </x:c>
      <x:c r="O1365" t="str">
        <x:f>IF(D1365="","Unknown",IF(D1365&lt;25000,"&lt;$25k",IF(D1365&lt;50000,"$25k-$50k",IF(D1365&lt;75000,"$50k-$75k",IF(D1365&lt;100000,"$75k-$100k","$100k+")))))</x:f>
        <x:v>$25k-$50k</x:v>
      </x:c>
      <x:c r="P1365" t="str">
        <x:f>IF(E1365="","Unknown",IF(E1365&lt;10,"&lt;10",IF(E1365&lt;20,"10-&lt;20",IF(E1365&lt;25,"20-&lt;25",IF(E1365&lt;35,"25-&lt;35","35+")))))</x:f>
        <x:v>&lt;10</x:v>
      </x:c>
    </x:row>
    <x:row r="1366">
      <x:c r="A1366" t="str">
        <x:v>SYN0001365</x:v>
      </x:c>
      <x:c r="B1366" s="12" t="n">
        <x:v>42865</x:v>
      </x:c>
      <x:c r="C1366" s="18" t="n">
        <x:v>21188</x:v>
      </x:c>
      <x:c r="D1366" s="18" t="n">
        <x:v>31568</x:v>
      </x:c>
      <x:c r="E1366" s="18" t="n">
        <x:v>6.94</x:v>
      </x:c>
      <x:c r="F1366" s="18" t="n">
        <x:v>8.08</x:v>
      </x:c>
      <x:c r="G1366" t="n">
        <x:v>60</x:v>
      </x:c>
      <x:c r="H1366" t="str">
        <x:v>B</x:v>
      </x:c>
      <x:c r="I1366" t="str">
        <x:v>10+ years</x:v>
      </x:c>
      <x:c r="J1366" t="str">
        <x:v>RENT</x:v>
      </x:c>
      <x:c r="K1366" t="str">
        <x:v>home_improvement</x:v>
      </x:c>
      <x:c r="L1366" t="n">
        <x:v>0</x:v>
      </x:c>
      <x:c r="M1366" t="n">
        <x:v>0</x:v>
      </x:c>
      <x:c r="N1366" t="str">
        <x:v>Fully Paid</x:v>
      </x:c>
      <x:c r="O1366" t="str">
        <x:f>IF(D1366="","Unknown",IF(D1366&lt;25000,"&lt;$25k",IF(D1366&lt;50000,"$25k-$50k",IF(D1366&lt;75000,"$50k-$75k",IF(D1366&lt;100000,"$75k-$100k","$100k+")))))</x:f>
        <x:v>$25k-$50k</x:v>
      </x:c>
      <x:c r="P1366" t="str">
        <x:f>IF(E1366="","Unknown",IF(E1366&lt;10,"&lt;10",IF(E1366&lt;20,"10-&lt;20",IF(E1366&lt;25,"20-&lt;25",IF(E1366&lt;35,"25-&lt;35","35+")))))</x:f>
        <x:v>&lt;10</x:v>
      </x:c>
    </x:row>
    <x:row r="1367">
      <x:c r="A1367" t="str">
        <x:v>SYN0001366</x:v>
      </x:c>
      <x:c r="B1367" s="12" t="n">
        <x:v>42505</x:v>
      </x:c>
      <x:c r="C1367" s="18" t="n">
        <x:v>23400</x:v>
      </x:c>
      <x:c r="D1367" s="18" t="n">
        <x:v>28231</x:v>
      </x:c>
      <x:c r="E1367" s="18" t="n">
        <x:v>12.17</x:v>
      </x:c>
      <x:c r="F1367" s="18" t="n">
        <x:v>7.53</x:v>
      </x:c>
      <x:c r="G1367" t="n">
        <x:v>36</x:v>
      </x:c>
      <x:c r="H1367" t="str">
        <x:v>B</x:v>
      </x:c>
      <x:c r="I1367" t="str">
        <x:v>1-3 years</x:v>
      </x:c>
      <x:c r="J1367" t="str">
        <x:v>RENT</x:v>
      </x:c>
      <x:c r="K1367" t="str">
        <x:v>debt_consolidation</x:v>
      </x:c>
      <x:c r="L1367" t="n">
        <x:v>1</x:v>
      </x:c>
      <x:c r="M1367" t="n">
        <x:v>0</x:v>
      </x:c>
      <x:c r="N1367" t="str">
        <x:v>Fully Paid</x:v>
      </x:c>
      <x:c r="O1367" t="str">
        <x:f>IF(D1367="","Unknown",IF(D1367&lt;25000,"&lt;$25k",IF(D1367&lt;50000,"$25k-$50k",IF(D1367&lt;75000,"$50k-$75k",IF(D1367&lt;100000,"$75k-$100k","$100k+")))))</x:f>
        <x:v>$25k-$50k</x:v>
      </x:c>
      <x:c r="P1367" t="str">
        <x:f>IF(E1367="","Unknown",IF(E1367&lt;10,"&lt;10",IF(E1367&lt;20,"10-&lt;20",IF(E1367&lt;25,"20-&lt;25",IF(E1367&lt;35,"25-&lt;35","35+")))))</x:f>
        <x:v>10-&lt;20</x:v>
      </x:c>
    </x:row>
    <x:row r="1368">
      <x:c r="A1368" t="str">
        <x:v>SYN0001367</x:v>
      </x:c>
      <x:c r="B1368" s="12" t="n">
        <x:v>41395</x:v>
      </x:c>
      <x:c r="C1368" s="18" t="n">
        <x:v>8817</x:v>
      </x:c>
      <x:c r="D1368" s="18" t="n">
        <x:v>58117</x:v>
      </x:c>
      <x:c r="E1368" s="18" t="n">
        <x:v>40.54</x:v>
      </x:c>
      <x:c r="F1368" s="18" t="n">
        <x:v>23.5</x:v>
      </x:c>
      <x:c r="G1368" t="n">
        <x:v>36</x:v>
      </x:c>
      <x:c r="H1368" t="str">
        <x:v>F</x:v>
      </x:c>
      <x:c r="I1368" t="str">
        <x:v>10+ years</x:v>
      </x:c>
      <x:c r="J1368" t="str">
        <x:v>RENT</x:v>
      </x:c>
      <x:c r="K1368" t="str">
        <x:v>other</x:v>
      </x:c>
      <x:c r="L1368" t="n">
        <x:v>1</x:v>
      </x:c>
      <x:c r="M1368" t="n">
        <x:v>1</x:v>
      </x:c>
      <x:c r="N1368" t="str">
        <x:v>Charged Off</x:v>
      </x:c>
      <x:c r="O1368" t="str">
        <x:f>IF(D1368="","Unknown",IF(D1368&lt;25000,"&lt;$25k",IF(D1368&lt;50000,"$25k-$50k",IF(D1368&lt;75000,"$50k-$75k",IF(D1368&lt;100000,"$75k-$100k","$100k+")))))</x:f>
        <x:v>$50k-$75k</x:v>
      </x:c>
      <x:c r="P1368" t="str">
        <x:f>IF(E1368="","Unknown",IF(E1368&lt;10,"&lt;10",IF(E1368&lt;20,"10-&lt;20",IF(E1368&lt;25,"20-&lt;25",IF(E1368&lt;35,"25-&lt;35","35+")))))</x:f>
        <x:v>35+</x:v>
      </x:c>
    </x:row>
    <x:row r="1369">
      <x:c r="A1369" t="str">
        <x:v>SYN0001368</x:v>
      </x:c>
      <x:c r="B1369" s="12" t="n">
        <x:v>41965</x:v>
      </x:c>
      <x:c r="C1369" s="18" t="n">
        <x:v>27213</x:v>
      </x:c>
      <x:c r="D1369" s="18" t="n">
        <x:v>52295</x:v>
      </x:c>
      <x:c r="E1369" s="18" t="n">
        <x:v>20.02</x:v>
      </x:c>
      <x:c r="F1369" s="18" t="n">
        <x:v>5.42</x:v>
      </x:c>
      <x:c r="G1369" t="n">
        <x:v>36</x:v>
      </x:c>
      <x:c r="H1369" t="str">
        <x:v>A</x:v>
      </x:c>
      <x:c r="I1369" t="str">
        <x:v>1-3 years</x:v>
      </x:c>
      <x:c r="J1369" t="str">
        <x:v>MORTGAGE</x:v>
      </x:c>
      <x:c r="K1369" t="str">
        <x:v>debt_consolidation</x:v>
      </x:c>
      <x:c r="L1369" t="n">
        <x:v>0</x:v>
      </x:c>
      <x:c r="M1369" t="n">
        <x:v>0</x:v>
      </x:c>
      <x:c r="N1369" t="str">
        <x:v>Fully Paid</x:v>
      </x:c>
      <x:c r="O1369" t="str">
        <x:f>IF(D1369="","Unknown",IF(D1369&lt;25000,"&lt;$25k",IF(D1369&lt;50000,"$25k-$50k",IF(D1369&lt;75000,"$50k-$75k",IF(D1369&lt;100000,"$75k-$100k","$100k+")))))</x:f>
        <x:v>$50k-$75k</x:v>
      </x:c>
      <x:c r="P1369" t="str">
        <x:f>IF(E1369="","Unknown",IF(E1369&lt;10,"&lt;10",IF(E1369&lt;20,"10-&lt;20",IF(E1369&lt;25,"20-&lt;25",IF(E1369&lt;35,"25-&lt;35","35+")))))</x:f>
        <x:v>20-&lt;25</x:v>
      </x:c>
    </x:row>
    <x:row r="1370">
      <x:c r="A1370" t="str">
        <x:v>SYN0001369</x:v>
      </x:c>
      <x:c r="B1370" s="12" t="n">
        <x:v>42865</x:v>
      </x:c>
      <x:c r="C1370" s="18" t="n">
        <x:v>15992</x:v>
      </x:c>
      <x:c r="D1370" s="18" t="n">
        <x:v>78176</x:v>
      </x:c>
      <x:c r="E1370" s="18" t="n">
        <x:v>28.06</x:v>
      </x:c>
      <x:c r="F1370" s="18" t="n">
        <x:v>8.42</x:v>
      </x:c>
      <x:c r="G1370" t="n">
        <x:v>36</x:v>
      </x:c>
      <x:c r="H1370" t="str">
        <x:v>B</x:v>
      </x:c>
      <x:c r="I1370" t="str">
        <x:v>10+ years</x:v>
      </x:c>
      <x:c r="J1370" t="str">
        <x:v>OWN</x:v>
      </x:c>
      <x:c r="K1370" t="str">
        <x:v>debt_consolidation</x:v>
      </x:c>
      <x:c r="L1370" t="n">
        <x:v>1</x:v>
      </x:c>
      <x:c r="M1370" t="n">
        <x:v>0</x:v>
      </x:c>
      <x:c r="N1370" t="str">
        <x:v>Fully Paid</x:v>
      </x:c>
      <x:c r="O1370" t="str">
        <x:f>IF(D1370="","Unknown",IF(D1370&lt;25000,"&lt;$25k",IF(D1370&lt;50000,"$25k-$50k",IF(D1370&lt;75000,"$50k-$75k",IF(D1370&lt;100000,"$75k-$100k","$100k+")))))</x:f>
        <x:v>$75k-$100k</x:v>
      </x:c>
      <x:c r="P1370" t="str">
        <x:f>IF(E1370="","Unknown",IF(E1370&lt;10,"&lt;10",IF(E1370&lt;20,"10-&lt;20",IF(E1370&lt;25,"20-&lt;25",IF(E1370&lt;35,"25-&lt;35","35+")))))</x:f>
        <x:v>25-&lt;35</x:v>
      </x:c>
    </x:row>
    <x:row r="1371">
      <x:c r="A1371" t="str">
        <x:v>SYN0001370</x:v>
      </x:c>
      <x:c r="B1371" s="12" t="n">
        <x:v>43345</x:v>
      </x:c>
      <x:c r="C1371" s="18" t="n">
        <x:v>5357</x:v>
      </x:c>
      <x:c r="D1371" s="18" t="n">
        <x:v>31355</x:v>
      </x:c>
      <x:c r="E1371" s="18" t="n">
        <x:v>10.58</x:v>
      </x:c>
      <x:c r="F1371" s="18" t="n">
        <x:v>22.7</x:v>
      </x:c>
      <x:c r="G1371" t="n">
        <x:v>36</x:v>
      </x:c>
      <x:c r="H1371" t="str">
        <x:v>F</x:v>
      </x:c>
      <x:c r="I1371" t="str">
        <x:v>4-6 years</x:v>
      </x:c>
      <x:c r="J1371" t="str">
        <x:v>MORTGAGE</x:v>
      </x:c>
      <x:c r="K1371" t="str">
        <x:v>debt_consolidation</x:v>
      </x:c>
      <x:c r="L1371" t="n">
        <x:v>2</x:v>
      </x:c>
      <x:c r="M1371" t="n">
        <x:v>0</x:v>
      </x:c>
      <x:c r="N1371" t="str">
        <x:v>Fully Paid</x:v>
      </x:c>
      <x:c r="O1371" t="str">
        <x:f>IF(D1371="","Unknown",IF(D1371&lt;25000,"&lt;$25k",IF(D1371&lt;50000,"$25k-$50k",IF(D1371&lt;75000,"$50k-$75k",IF(D1371&lt;100000,"$75k-$100k","$100k+")))))</x:f>
        <x:v>$25k-$50k</x:v>
      </x:c>
      <x:c r="P1371" t="str">
        <x:f>IF(E1371="","Unknown",IF(E1371&lt;10,"&lt;10",IF(E1371&lt;20,"10-&lt;20",IF(E1371&lt;25,"20-&lt;25",IF(E1371&lt;35,"25-&lt;35","35+")))))</x:f>
        <x:v>10-&lt;20</x:v>
      </x:c>
    </x:row>
    <x:row r="1372">
      <x:c r="A1372" t="str">
        <x:v>SYN0001371</x:v>
      </x:c>
      <x:c r="B1372" s="12" t="n">
        <x:v>41605</x:v>
      </x:c>
      <x:c r="C1372" s="18" t="n">
        <x:v>7945</x:v>
      </x:c>
      <x:c r="D1372" s="18" t="n">
        <x:v>15638</x:v>
      </x:c>
      <x:c r="E1372" s="18" t="n">
        <x:v>19.39</x:v>
      </x:c>
      <x:c r="F1372" s="18" t="n">
        <x:v>8.38</x:v>
      </x:c>
      <x:c r="G1372" t="n">
        <x:v>36</x:v>
      </x:c>
      <x:c r="H1372" t="str">
        <x:v>B</x:v>
      </x:c>
      <x:c r="I1372" t="str">
        <x:v>7-9 years</x:v>
      </x:c>
      <x:c r="J1372" t="str">
        <x:v>MORTGAGE</x:v>
      </x:c>
      <x:c r="K1372" t="str">
        <x:v>debt_consolidation</x:v>
      </x:c>
      <x:c r="L1372" t="n">
        <x:v>0</x:v>
      </x:c>
      <x:c r="M1372" t="n">
        <x:v>1</x:v>
      </x:c>
      <x:c r="N1372" t="str">
        <x:v>Charged Off</x:v>
      </x:c>
      <x:c r="O1372" t="str">
        <x:f>IF(D1372="","Unknown",IF(D1372&lt;25000,"&lt;$25k",IF(D1372&lt;50000,"$25k-$50k",IF(D1372&lt;75000,"$50k-$75k",IF(D1372&lt;100000,"$75k-$100k","$100k+")))))</x:f>
        <x:v>&lt;$25k</x:v>
      </x:c>
      <x:c r="P1372" t="str">
        <x:f>IF(E1372="","Unknown",IF(E1372&lt;10,"&lt;10",IF(E1372&lt;20,"10-&lt;20",IF(E1372&lt;25,"20-&lt;25",IF(E1372&lt;35,"25-&lt;35","35+")))))</x:f>
        <x:v>10-&lt;20</x:v>
      </x:c>
    </x:row>
    <x:row r="1373">
      <x:c r="A1373" t="str">
        <x:v>SYN0001372</x:v>
      </x:c>
      <x:c r="B1373" s="12" t="n">
        <x:v>42115</x:v>
      </x:c>
      <x:c r="C1373" s="18" t="n">
        <x:v>29528</x:v>
      </x:c>
      <x:c r="D1373" s="18" t="n">
        <x:v>46784</x:v>
      </x:c>
      <x:c r="E1373" s="18" t="n">
        <x:v>21.09</x:v>
      </x:c>
      <x:c r="F1373" s="18" t="n">
        <x:v>8.6</x:v>
      </x:c>
      <x:c r="G1373" t="n">
        <x:v>36</x:v>
      </x:c>
      <x:c r="H1373" t="str">
        <x:v>C</x:v>
      </x:c>
      <x:c r="I1373" t="str">
        <x:v>&lt;1 year</x:v>
      </x:c>
      <x:c r="J1373" t="str">
        <x:v>MORTGAGE</x:v>
      </x:c>
      <x:c r="K1373" t="str">
        <x:v>home_improvement</x:v>
      </x:c>
      <x:c r="L1373" t="n">
        <x:v>0</x:v>
      </x:c>
      <x:c r="M1373" t="n">
        <x:v>0</x:v>
      </x:c>
      <x:c r="N1373" t="str">
        <x:v>Fully Paid</x:v>
      </x:c>
      <x:c r="O1373" t="str">
        <x:f>IF(D1373="","Unknown",IF(D1373&lt;25000,"&lt;$25k",IF(D1373&lt;50000,"$25k-$50k",IF(D1373&lt;75000,"$50k-$75k",IF(D1373&lt;100000,"$75k-$100k","$100k+")))))</x:f>
        <x:v>$25k-$50k</x:v>
      </x:c>
      <x:c r="P1373" t="str">
        <x:f>IF(E1373="","Unknown",IF(E1373&lt;10,"&lt;10",IF(E1373&lt;20,"10-&lt;20",IF(E1373&lt;25,"20-&lt;25",IF(E1373&lt;35,"25-&lt;35","35+")))))</x:f>
        <x:v>20-&lt;25</x:v>
      </x:c>
    </x:row>
    <x:row r="1374">
      <x:c r="A1374" t="str">
        <x:v>SYN0001373</x:v>
      </x:c>
      <x:c r="B1374" s="12" t="n">
        <x:v>42805</x:v>
      </x:c>
      <x:c r="C1374" s="18" t="n">
        <x:v>9165</x:v>
      </x:c>
      <x:c r="D1374" s="18" t="n">
        <x:v>47807</x:v>
      </x:c>
      <x:c r="E1374" s="18" t="n">
        <x:v>22</x:v>
      </x:c>
      <x:c r="F1374" s="18" t="n">
        <x:v>8.52</x:v>
      </x:c>
      <x:c r="G1374" t="n">
        <x:v>36</x:v>
      </x:c>
      <x:c r="H1374" t="str">
        <x:v>B</x:v>
      </x:c>
      <x:c r="I1374" t="str">
        <x:v>1-3 years</x:v>
      </x:c>
      <x:c r="J1374" t="str">
        <x:v>MORTGAGE</x:v>
      </x:c>
      <x:c r="K1374" t="str">
        <x:v>debt_consolidation</x:v>
      </x:c>
      <x:c r="L1374" t="n">
        <x:v>1</x:v>
      </x:c>
      <x:c r="M1374" t="n">
        <x:v>1</x:v>
      </x:c>
      <x:c r="N1374" t="str">
        <x:v>Charged Off</x:v>
      </x:c>
      <x:c r="O1374" t="str">
        <x:f>IF(D1374="","Unknown",IF(D1374&lt;25000,"&lt;$25k",IF(D1374&lt;50000,"$25k-$50k",IF(D1374&lt;75000,"$50k-$75k",IF(D1374&lt;100000,"$75k-$100k","$100k+")))))</x:f>
        <x:v>$25k-$50k</x:v>
      </x:c>
      <x:c r="P1374" t="str">
        <x:f>IF(E1374="","Unknown",IF(E1374&lt;10,"&lt;10",IF(E1374&lt;20,"10-&lt;20",IF(E1374&lt;25,"20-&lt;25",IF(E1374&lt;35,"25-&lt;35","35+")))))</x:f>
        <x:v>20-&lt;25</x:v>
      </x:c>
    </x:row>
    <x:row r="1375">
      <x:c r="A1375" t="str">
        <x:v>SYN0001374</x:v>
      </x:c>
      <x:c r="B1375" s="12" t="n">
        <x:v>41965</x:v>
      </x:c>
      <x:c r="C1375" s="18" t="n">
        <x:v>8001</x:v>
      </x:c>
      <x:c r="D1375" s="18" t="n">
        <x:v>132585</x:v>
      </x:c>
      <x:c r="E1375" s="18" t="n">
        <x:v>11.14</x:v>
      </x:c>
      <x:c r="F1375" s="18" t="n">
        <x:v>12.01</x:v>
      </x:c>
      <x:c r="G1375" t="n">
        <x:v>36</x:v>
      </x:c>
      <x:c r="H1375" t="str">
        <x:v>C</x:v>
      </x:c>
      <x:c r="I1375" t="str">
        <x:v>10+ years</x:v>
      </x:c>
      <x:c r="J1375" t="str">
        <x:v>OWN</x:v>
      </x:c>
      <x:c r="K1375" t="str">
        <x:v>debt_consolidation</x:v>
      </x:c>
      <x:c r="L1375" t="n">
        <x:v>1</x:v>
      </x:c>
      <x:c r="M1375" t="n">
        <x:v>0</x:v>
      </x:c>
      <x:c r="N1375" t="str">
        <x:v>Fully Paid</x:v>
      </x:c>
      <x:c r="O1375" t="str">
        <x:f>IF(D1375="","Unknown",IF(D1375&lt;25000,"&lt;$25k",IF(D1375&lt;50000,"$25k-$50k",IF(D1375&lt;75000,"$50k-$75k",IF(D1375&lt;100000,"$75k-$100k","$100k+")))))</x:f>
        <x:v>$100k+</x:v>
      </x:c>
      <x:c r="P1375" t="str">
        <x:f>IF(E1375="","Unknown",IF(E1375&lt;10,"&lt;10",IF(E1375&lt;20,"10-&lt;20",IF(E1375&lt;25,"20-&lt;25",IF(E1375&lt;35,"25-&lt;35","35+")))))</x:f>
        <x:v>10-&lt;20</x:v>
      </x:c>
    </x:row>
    <x:row r="1376">
      <x:c r="A1376" t="str">
        <x:v>SYN0001375</x:v>
      </x:c>
      <x:c r="B1376" s="12" t="n">
        <x:v>41545</x:v>
      </x:c>
      <x:c r="C1376" s="18" t="n">
        <x:v>15280</x:v>
      </x:c>
      <x:c r="D1376" s="18" t="n">
        <x:v>33038</x:v>
      </x:c>
      <x:c r="E1376" s="18" t="n">
        <x:v>21.99</x:v>
      </x:c>
      <x:c r="F1376" s="18" t="n">
        <x:v>14.54</x:v>
      </x:c>
      <x:c r="G1376" t="n">
        <x:v>36</x:v>
      </x:c>
      <x:c r="H1376" t="str">
        <x:v>D</x:v>
      </x:c>
      <x:c r="I1376" t="str">
        <x:v>10+ years</x:v>
      </x:c>
      <x:c r="J1376" t="str">
        <x:v>MORTGAGE</x:v>
      </x:c>
      <x:c r="K1376" t="str">
        <x:v>major_purchase</x:v>
      </x:c>
      <x:c r="L1376" t="n">
        <x:v>1</x:v>
      </x:c>
      <x:c r="M1376" t="n">
        <x:v>1</x:v>
      </x:c>
      <x:c r="N1376" t="str">
        <x:v>Charged Off</x:v>
      </x:c>
      <x:c r="O1376" t="str">
        <x:f>IF(D1376="","Unknown",IF(D1376&lt;25000,"&lt;$25k",IF(D1376&lt;50000,"$25k-$50k",IF(D1376&lt;75000,"$50k-$75k",IF(D1376&lt;100000,"$75k-$100k","$100k+")))))</x:f>
        <x:v>$25k-$50k</x:v>
      </x:c>
      <x:c r="P1376" t="str">
        <x:f>IF(E1376="","Unknown",IF(E1376&lt;10,"&lt;10",IF(E1376&lt;20,"10-&lt;20",IF(E1376&lt;25,"20-&lt;25",IF(E1376&lt;35,"25-&lt;35","35+")))))</x:f>
        <x:v>20-&lt;25</x:v>
      </x:c>
    </x:row>
    <x:row r="1377">
      <x:c r="A1377" t="str">
        <x:v>SYN0001376</x:v>
      </x:c>
      <x:c r="B1377" s="12" t="n">
        <x:v>41995</x:v>
      </x:c>
      <x:c r="C1377" s="18" t="n">
        <x:v>11013</x:v>
      </x:c>
      <x:c r="D1377" s="18" t="n">
        <x:v>26366</x:v>
      </x:c>
      <x:c r="E1377" s="18" t="n">
        <x:v>15.03</x:v>
      </x:c>
      <x:c r="F1377" s="18" t="n">
        <x:v>6.37</x:v>
      </x:c>
      <x:c r="G1377" t="n">
        <x:v>36</x:v>
      </x:c>
      <x:c r="H1377" t="str">
        <x:v>B</x:v>
      </x:c>
      <x:c r="I1377" t="str">
        <x:v>1-3 years</x:v>
      </x:c>
      <x:c r="J1377" t="str">
        <x:v>OWN</x:v>
      </x:c>
      <x:c r="K1377" t="str">
        <x:v>credit_card</x:v>
      </x:c>
      <x:c r="L1377" t="n">
        <x:v>0</x:v>
      </x:c>
      <x:c r="M1377" t="n">
        <x:v>1</x:v>
      </x:c>
      <x:c r="N1377" t="str">
        <x:v>Charged Off</x:v>
      </x:c>
      <x:c r="O1377" t="str">
        <x:f>IF(D1377="","Unknown",IF(D1377&lt;25000,"&lt;$25k",IF(D1377&lt;50000,"$25k-$50k",IF(D1377&lt;75000,"$50k-$75k",IF(D1377&lt;100000,"$75k-$100k","$100k+")))))</x:f>
        <x:v>$25k-$50k</x:v>
      </x:c>
      <x:c r="P1377" t="str">
        <x:f>IF(E1377="","Unknown",IF(E1377&lt;10,"&lt;10",IF(E1377&lt;20,"10-&lt;20",IF(E1377&lt;25,"20-&lt;25",IF(E1377&lt;35,"25-&lt;35","35+")))))</x:f>
        <x:v>10-&lt;20</x:v>
      </x:c>
    </x:row>
    <x:row r="1378">
      <x:c r="A1378" t="str">
        <x:v>SYN0001377</x:v>
      </x:c>
      <x:c r="B1378" s="12" t="n">
        <x:v>42685</x:v>
      </x:c>
      <x:c r="C1378" s="18" t="n">
        <x:v>11524</x:v>
      </x:c>
      <x:c r="D1378" s="18" t="n">
        <x:v>49499</x:v>
      </x:c>
      <x:c r="E1378" s="18" t="n">
        <x:v>11.86</x:v>
      </x:c>
      <x:c r="F1378" s="18" t="n">
        <x:v>13.05</x:v>
      </x:c>
      <x:c r="G1378" t="n">
        <x:v>36</x:v>
      </x:c>
      <x:c r="H1378" t="str">
        <x:v>D</x:v>
      </x:c>
      <x:c r="I1378" t="str">
        <x:v>10+ years</x:v>
      </x:c>
      <x:c r="J1378" t="str">
        <x:v>MORTGAGE</x:v>
      </x:c>
      <x:c r="K1378" t="str">
        <x:v>credit_card</x:v>
      </x:c>
      <x:c r="L1378" t="n">
        <x:v>0</x:v>
      </x:c>
      <x:c r="M1378" t="n">
        <x:v>0</x:v>
      </x:c>
      <x:c r="N1378" t="str">
        <x:v>Fully Paid</x:v>
      </x:c>
      <x:c r="O1378" t="str">
        <x:f>IF(D1378="","Unknown",IF(D1378&lt;25000,"&lt;$25k",IF(D1378&lt;50000,"$25k-$50k",IF(D1378&lt;75000,"$50k-$75k",IF(D1378&lt;100000,"$75k-$100k","$100k+")))))</x:f>
        <x:v>$25k-$50k</x:v>
      </x:c>
      <x:c r="P1378" t="str">
        <x:f>IF(E1378="","Unknown",IF(E1378&lt;10,"&lt;10",IF(E1378&lt;20,"10-&lt;20",IF(E1378&lt;25,"20-&lt;25",IF(E1378&lt;35,"25-&lt;35","35+")))))</x:f>
        <x:v>10-&lt;20</x:v>
      </x:c>
    </x:row>
    <x:row r="1379">
      <x:c r="A1379" t="str">
        <x:v>SYN0001378</x:v>
      </x:c>
      <x:c r="B1379" s="12" t="n">
        <x:v>43285</x:v>
      </x:c>
      <x:c r="C1379" s="18" t="n">
        <x:v>17772</x:v>
      </x:c>
      <x:c r="D1379" s="18" t="n">
        <x:v>83702</x:v>
      </x:c>
      <x:c r="E1379" s="18" t="n">
        <x:v>21.03</x:v>
      </x:c>
      <x:c r="F1379" s="18" t="n">
        <x:v>15.29</x:v>
      </x:c>
      <x:c r="G1379" t="n">
        <x:v>60</x:v>
      </x:c>
      <x:c r="H1379" t="str">
        <x:v>D</x:v>
      </x:c>
      <x:c r="I1379" t="str">
        <x:v>4-6 years</x:v>
      </x:c>
      <x:c r="J1379" t="str">
        <x:v>MORTGAGE</x:v>
      </x:c>
      <x:c r="K1379" t="str">
        <x:v>debt_consolidation</x:v>
      </x:c>
      <x:c r="L1379" t="n">
        <x:v>0</x:v>
      </x:c>
      <x:c r="M1379" t="n">
        <x:v>0</x:v>
      </x:c>
      <x:c r="N1379" t="str">
        <x:v>Fully Paid</x:v>
      </x:c>
      <x:c r="O1379" t="str">
        <x:f>IF(D1379="","Unknown",IF(D1379&lt;25000,"&lt;$25k",IF(D1379&lt;50000,"$25k-$50k",IF(D1379&lt;75000,"$50k-$75k",IF(D1379&lt;100000,"$75k-$100k","$100k+")))))</x:f>
        <x:v>$75k-$100k</x:v>
      </x:c>
      <x:c r="P1379" t="str">
        <x:f>IF(E1379="","Unknown",IF(E1379&lt;10,"&lt;10",IF(E1379&lt;20,"10-&lt;20",IF(E1379&lt;25,"20-&lt;25",IF(E1379&lt;35,"25-&lt;35","35+")))))</x:f>
        <x:v>20-&lt;25</x:v>
      </x:c>
    </x:row>
    <x:row r="1380">
      <x:c r="A1380" t="str">
        <x:v>SYN0001379</x:v>
      </x:c>
      <x:c r="B1380" s="12" t="n">
        <x:v>42475</x:v>
      </x:c>
      <x:c r="C1380" s="18" t="n">
        <x:v>22001</x:v>
      </x:c>
      <x:c r="D1380" s="18" t="n">
        <x:v>250000</x:v>
      </x:c>
      <x:c r="E1380" s="18" t="n">
        <x:v>14.72</x:v>
      </x:c>
      <x:c r="F1380" s="18" t="n">
        <x:v>7.32</x:v>
      </x:c>
      <x:c r="G1380" t="n">
        <x:v>36</x:v>
      </x:c>
      <x:c r="H1380" t="str">
        <x:v>A</x:v>
      </x:c>
      <x:c r="I1380" t="str">
        <x:v>10+ years</x:v>
      </x:c>
      <x:c r="J1380" t="str">
        <x:v>MORTGAGE</x:v>
      </x:c>
      <x:c r="K1380" t="str">
        <x:v>debt_consolidation</x:v>
      </x:c>
      <x:c r="L1380" t="n">
        <x:v>0</x:v>
      </x:c>
      <x:c r="M1380" t="n">
        <x:v>0</x:v>
      </x:c>
      <x:c r="N1380" t="str">
        <x:v>Fully Paid</x:v>
      </x:c>
      <x:c r="O1380" t="str">
        <x:f>IF(D1380="","Unknown",IF(D1380&lt;25000,"&lt;$25k",IF(D1380&lt;50000,"$25k-$50k",IF(D1380&lt;75000,"$50k-$75k",IF(D1380&lt;100000,"$75k-$100k","$100k+")))))</x:f>
        <x:v>$100k+</x:v>
      </x:c>
      <x:c r="P1380" t="str">
        <x:f>IF(E1380="","Unknown",IF(E1380&lt;10,"&lt;10",IF(E1380&lt;20,"10-&lt;20",IF(E1380&lt;25,"20-&lt;25",IF(E1380&lt;35,"25-&lt;35","35+")))))</x:f>
        <x:v>10-&lt;20</x:v>
      </x:c>
    </x:row>
    <x:row r="1381">
      <x:c r="A1381" t="str">
        <x:v>SYN0001380</x:v>
      </x:c>
      <x:c r="B1381" s="12" t="n">
        <x:v>42625</x:v>
      </x:c>
      <x:c r="C1381" s="18" t="n">
        <x:v>13721</x:v>
      </x:c>
      <x:c r="D1381" s="18" t="n">
        <x:v>30628</x:v>
      </x:c>
      <x:c r="E1381" s="18" t="n">
        <x:v>16.88</x:v>
      </x:c>
      <x:c r="F1381" s="18" t="n">
        <x:v>11.41</x:v>
      </x:c>
      <x:c r="G1381" t="n">
        <x:v>36</x:v>
      </x:c>
      <x:c r="H1381" t="str">
        <x:v>C</x:v>
      </x:c>
      <x:c r="I1381" t="str">
        <x:v>10+ years</x:v>
      </x:c>
      <x:c r="J1381" t="str">
        <x:v>OWN</x:v>
      </x:c>
      <x:c r="K1381" t="str">
        <x:v>debt_consolidation</x:v>
      </x:c>
      <x:c r="L1381" t="n">
        <x:v>1</x:v>
      </x:c>
      <x:c r="M1381" t="n">
        <x:v>0</x:v>
      </x:c>
      <x:c r="N1381" t="str">
        <x:v>Fully Paid</x:v>
      </x:c>
      <x:c r="O1381" t="str">
        <x:f>IF(D1381="","Unknown",IF(D1381&lt;25000,"&lt;$25k",IF(D1381&lt;50000,"$25k-$50k",IF(D1381&lt;75000,"$50k-$75k",IF(D1381&lt;100000,"$75k-$100k","$100k+")))))</x:f>
        <x:v>$25k-$50k</x:v>
      </x:c>
      <x:c r="P1381" t="str">
        <x:f>IF(E1381="","Unknown",IF(E1381&lt;10,"&lt;10",IF(E1381&lt;20,"10-&lt;20",IF(E1381&lt;25,"20-&lt;25",IF(E1381&lt;35,"25-&lt;35","35+")))))</x:f>
        <x:v>10-&lt;20</x:v>
      </x:c>
    </x:row>
    <x:row r="1382">
      <x:c r="A1382" t="str">
        <x:v>SYN0001381</x:v>
      </x:c>
      <x:c r="B1382" s="12" t="n">
        <x:v>41455</x:v>
      </x:c>
      <x:c r="C1382" s="18" t="n">
        <x:v>16660</x:v>
      </x:c>
      <x:c r="D1382" s="18" t="n">
        <x:v>17548</x:v>
      </x:c>
      <x:c r="E1382" s="18" t="n">
        <x:v>7.22</x:v>
      </x:c>
      <x:c r="F1382" s="18" t="n">
        <x:v>14.47</x:v>
      </x:c>
      <x:c r="G1382" t="n">
        <x:v>36</x:v>
      </x:c>
      <x:c r="H1382" t="str">
        <x:v>D</x:v>
      </x:c>
      <x:c r="I1382" t="str">
        <x:v>4-6 years</x:v>
      </x:c>
      <x:c r="J1382" t="str">
        <x:v>MORTGAGE</x:v>
      </x:c>
      <x:c r="K1382" t="str">
        <x:v>major_purchase</x:v>
      </x:c>
      <x:c r="L1382" t="n">
        <x:v>1</x:v>
      </x:c>
      <x:c r="M1382" t="n">
        <x:v>0</x:v>
      </x:c>
      <x:c r="N1382" t="str">
        <x:v>Fully Paid</x:v>
      </x:c>
      <x:c r="O1382" t="str">
        <x:f>IF(D1382="","Unknown",IF(D1382&lt;25000,"&lt;$25k",IF(D1382&lt;50000,"$25k-$50k",IF(D1382&lt;75000,"$50k-$75k",IF(D1382&lt;100000,"$75k-$100k","$100k+")))))</x:f>
        <x:v>&lt;$25k</x:v>
      </x:c>
      <x:c r="P1382" t="str">
        <x:f>IF(E1382="","Unknown",IF(E1382&lt;10,"&lt;10",IF(E1382&lt;20,"10-&lt;20",IF(E1382&lt;25,"20-&lt;25",IF(E1382&lt;35,"25-&lt;35","35+")))))</x:f>
        <x:v>&lt;10</x:v>
      </x:c>
    </x:row>
    <x:row r="1383">
      <x:c r="A1383" t="str">
        <x:v>SYN0001382</x:v>
      </x:c>
      <x:c r="B1383" s="12" t="n">
        <x:v>41635</x:v>
      </x:c>
      <x:c r="C1383" s="18" t="n">
        <x:v>15649</x:v>
      </x:c>
      <x:c r="D1383" s="18" t="n">
        <x:v>56802</x:v>
      </x:c>
      <x:c r="E1383" s="18" t="n">
        <x:v>36.74</x:v>
      </x:c>
      <x:c r="F1383" s="18" t="n">
        <x:v>14.51</x:v>
      </x:c>
      <x:c r="G1383" t="n">
        <x:v>36</x:v>
      </x:c>
      <x:c r="H1383" t="str">
        <x:v>D</x:v>
      </x:c>
      <x:c r="I1383" t="str">
        <x:v>1-3 years</x:v>
      </x:c>
      <x:c r="J1383" t="str">
        <x:v>OWN</x:v>
      </x:c>
      <x:c r="K1383" t="str">
        <x:v>home_improvement</x:v>
      </x:c>
      <x:c r="L1383" t="n">
        <x:v>1</x:v>
      </x:c>
      <x:c r="M1383" t="n">
        <x:v>1</x:v>
      </x:c>
      <x:c r="N1383" t="str">
        <x:v>Charged Off</x:v>
      </x:c>
      <x:c r="O1383" t="str">
        <x:f>IF(D1383="","Unknown",IF(D1383&lt;25000,"&lt;$25k",IF(D1383&lt;50000,"$25k-$50k",IF(D1383&lt;75000,"$50k-$75k",IF(D1383&lt;100000,"$75k-$100k","$100k+")))))</x:f>
        <x:v>$50k-$75k</x:v>
      </x:c>
      <x:c r="P1383" t="str">
        <x:f>IF(E1383="","Unknown",IF(E1383&lt;10,"&lt;10",IF(E1383&lt;20,"10-&lt;20",IF(E1383&lt;25,"20-&lt;25",IF(E1383&lt;35,"25-&lt;35","35+")))))</x:f>
        <x:v>35+</x:v>
      </x:c>
    </x:row>
    <x:row r="1384">
      <x:c r="A1384" t="str">
        <x:v>SYN0001383</x:v>
      </x:c>
      <x:c r="B1384" s="12" t="n">
        <x:v>41815</x:v>
      </x:c>
      <x:c r="C1384" s="18" t="n">
        <x:v>15947</x:v>
      </x:c>
      <x:c r="D1384" s="18" t="n">
        <x:v>40717</x:v>
      </x:c>
      <x:c r="E1384" s="18" t="n">
        <x:v>18.96</x:v>
      </x:c>
      <x:c r="F1384" s="18" t="n">
        <x:v>11.27</x:v>
      </x:c>
      <x:c r="G1384" t="n">
        <x:v>36</x:v>
      </x:c>
      <x:c r="H1384" t="str">
        <x:v>B</x:v>
      </x:c>
      <x:c r="I1384" t="str">
        <x:v>4-6 years</x:v>
      </x:c>
      <x:c r="J1384" t="str">
        <x:v>MORTGAGE</x:v>
      </x:c>
      <x:c r="K1384" t="str">
        <x:v>debt_consolidation</x:v>
      </x:c>
      <x:c r="L1384" t="n">
        <x:v>1</x:v>
      </x:c>
      <x:c r="M1384" t="n">
        <x:v>0</x:v>
      </x:c>
      <x:c r="N1384" t="str">
        <x:v>Fully Paid</x:v>
      </x:c>
      <x:c r="O1384" t="str">
        <x:f>IF(D1384="","Unknown",IF(D1384&lt;25000,"&lt;$25k",IF(D1384&lt;50000,"$25k-$50k",IF(D1384&lt;75000,"$50k-$75k",IF(D1384&lt;100000,"$75k-$100k","$100k+")))))</x:f>
        <x:v>$25k-$50k</x:v>
      </x:c>
      <x:c r="P1384" t="str">
        <x:f>IF(E1384="","Unknown",IF(E1384&lt;10,"&lt;10",IF(E1384&lt;20,"10-&lt;20",IF(E1384&lt;25,"20-&lt;25",IF(E1384&lt;35,"25-&lt;35","35+")))))</x:f>
        <x:v>10-&lt;20</x:v>
      </x:c>
    </x:row>
    <x:row r="1385">
      <x:c r="A1385" t="str">
        <x:v>SYN0001384</x:v>
      </x:c>
      <x:c r="B1385" s="12" t="n">
        <x:v>42895</x:v>
      </x:c>
      <x:c r="C1385" s="18" t="n">
        <x:v>19287</x:v>
      </x:c>
      <x:c r="D1385" s="18" t="n">
        <x:v>106297</x:v>
      </x:c>
      <x:c r="E1385" s="18" t="n">
        <x:v>14.42</x:v>
      </x:c>
      <x:c r="F1385" s="18" t="n">
        <x:v>8.87</x:v>
      </x:c>
      <x:c r="G1385" t="n">
        <x:v>36</x:v>
      </x:c>
      <x:c r="H1385" t="str">
        <x:v>B</x:v>
      </x:c>
      <x:c r="I1385" t="str">
        <x:v>7-9 years</x:v>
      </x:c>
      <x:c r="J1385" t="str">
        <x:v>OWN</x:v>
      </x:c>
      <x:c r="K1385" t="str">
        <x:v>debt_consolidation</x:v>
      </x:c>
      <x:c r="L1385" t="n">
        <x:v>0</x:v>
      </x:c>
      <x:c r="M1385" t="n">
        <x:v>0</x:v>
      </x:c>
      <x:c r="N1385" t="str">
        <x:v>Fully Paid</x:v>
      </x:c>
      <x:c r="O1385" t="str">
        <x:f>IF(D1385="","Unknown",IF(D1385&lt;25000,"&lt;$25k",IF(D1385&lt;50000,"$25k-$50k",IF(D1385&lt;75000,"$50k-$75k",IF(D1385&lt;100000,"$75k-$100k","$100k+")))))</x:f>
        <x:v>$100k+</x:v>
      </x:c>
      <x:c r="P1385" t="str">
        <x:f>IF(E1385="","Unknown",IF(E1385&lt;10,"&lt;10",IF(E1385&lt;20,"10-&lt;20",IF(E1385&lt;25,"20-&lt;25",IF(E1385&lt;35,"25-&lt;35","35+")))))</x:f>
        <x:v>10-&lt;20</x:v>
      </x:c>
    </x:row>
    <x:row r="1386">
      <x:c r="A1386" t="str">
        <x:v>SYN0001385</x:v>
      </x:c>
      <x:c r="B1386" s="12" t="n">
        <x:v>43405</x:v>
      </x:c>
      <x:c r="C1386" s="18" t="n">
        <x:v>15221</x:v>
      </x:c>
      <x:c r="D1386" s="18" t="n">
        <x:v>21825</x:v>
      </x:c>
      <x:c r="E1386" s="18" t="n">
        <x:v>13.74</x:v>
      </x:c>
      <x:c r="F1386" s="18" t="n">
        <x:v>10.01</x:v>
      </x:c>
      <x:c r="G1386" t="n">
        <x:v>36</x:v>
      </x:c>
      <x:c r="H1386" t="str">
        <x:v>C</x:v>
      </x:c>
      <x:c r="I1386" t="str">
        <x:v>10+ years</x:v>
      </x:c>
      <x:c r="J1386" t="str">
        <x:v>RENT</x:v>
      </x:c>
      <x:c r="K1386" t="str">
        <x:v>debt_consolidation</x:v>
      </x:c>
      <x:c r="L1386" t="n">
        <x:v>0</x:v>
      </x:c>
      <x:c r="M1386" t="n">
        <x:v>0</x:v>
      </x:c>
      <x:c r="N1386" t="str">
        <x:v>Fully Paid</x:v>
      </x:c>
      <x:c r="O1386" t="str">
        <x:f>IF(D1386="","Unknown",IF(D1386&lt;25000,"&lt;$25k",IF(D1386&lt;50000,"$25k-$50k",IF(D1386&lt;75000,"$50k-$75k",IF(D1386&lt;100000,"$75k-$100k","$100k+")))))</x:f>
        <x:v>&lt;$25k</x:v>
      </x:c>
      <x:c r="P1386" t="str">
        <x:f>IF(E1386="","Unknown",IF(E1386&lt;10,"&lt;10",IF(E1386&lt;20,"10-&lt;20",IF(E1386&lt;25,"20-&lt;25",IF(E1386&lt;35,"25-&lt;35","35+")))))</x:f>
        <x:v>10-&lt;20</x:v>
      </x:c>
    </x:row>
    <x:row r="1387">
      <x:c r="A1387" t="str">
        <x:v>SYN0001386</x:v>
      </x:c>
      <x:c r="B1387" s="12" t="n">
        <x:v>42535</x:v>
      </x:c>
      <x:c r="C1387" s="18" t="n">
        <x:v>11308</x:v>
      </x:c>
      <x:c r="D1387" s="18" t="n">
        <x:v>24659</x:v>
      </x:c>
      <x:c r="E1387" s="18" t="n">
        <x:v>7.13</x:v>
      </x:c>
      <x:c r="F1387" s="18" t="n">
        <x:v>5.62</x:v>
      </x:c>
      <x:c r="G1387" t="n">
        <x:v>36</x:v>
      </x:c>
      <x:c r="H1387" t="str">
        <x:v>A</x:v>
      </x:c>
      <x:c r="I1387" t="str">
        <x:v>1-3 years</x:v>
      </x:c>
      <x:c r="J1387" t="str">
        <x:v>MORTGAGE</x:v>
      </x:c>
      <x:c r="K1387" t="str">
        <x:v>debt_consolidation</x:v>
      </x:c>
      <x:c r="L1387" t="n">
        <x:v>0</x:v>
      </x:c>
      <x:c r="M1387" t="n">
        <x:v>0</x:v>
      </x:c>
      <x:c r="N1387" t="str">
        <x:v>Fully Paid</x:v>
      </x:c>
      <x:c r="O1387" t="str">
        <x:f>IF(D1387="","Unknown",IF(D1387&lt;25000,"&lt;$25k",IF(D1387&lt;50000,"$25k-$50k",IF(D1387&lt;75000,"$50k-$75k",IF(D1387&lt;100000,"$75k-$100k","$100k+")))))</x:f>
        <x:v>&lt;$25k</x:v>
      </x:c>
      <x:c r="P1387" t="str">
        <x:f>IF(E1387="","Unknown",IF(E1387&lt;10,"&lt;10",IF(E1387&lt;20,"10-&lt;20",IF(E1387&lt;25,"20-&lt;25",IF(E1387&lt;35,"25-&lt;35","35+")))))</x:f>
        <x:v>&lt;10</x:v>
      </x:c>
    </x:row>
    <x:row r="1388">
      <x:c r="A1388" t="str">
        <x:v>SYN0001387</x:v>
      </x:c>
      <x:c r="B1388" s="12" t="n">
        <x:v>41635</x:v>
      </x:c>
      <x:c r="C1388" s="18" t="n">
        <x:v>7249</x:v>
      </x:c>
      <x:c r="D1388" s="18" t="n">
        <x:v>72425</x:v>
      </x:c>
      <x:c r="E1388" s="18" t="n">
        <x:v>15.51</x:v>
      </x:c>
      <x:c r="F1388" s="18" t="n">
        <x:v>20.96</x:v>
      </x:c>
      <x:c r="G1388" t="n">
        <x:v>36</x:v>
      </x:c>
      <x:c r="H1388" t="str">
        <x:v>F</x:v>
      </x:c>
      <x:c r="I1388" t="str">
        <x:v>10+ years</x:v>
      </x:c>
      <x:c r="J1388" t="str">
        <x:v>RENT</x:v>
      </x:c>
      <x:c r="K1388" t="str">
        <x:v>home_improvement</x:v>
      </x:c>
      <x:c r="L1388" t="n">
        <x:v>0</x:v>
      </x:c>
      <x:c r="M1388" t="n">
        <x:v>0</x:v>
      </x:c>
      <x:c r="N1388" t="str">
        <x:v>Fully Paid</x:v>
      </x:c>
      <x:c r="O1388" t="str">
        <x:f>IF(D1388="","Unknown",IF(D1388&lt;25000,"&lt;$25k",IF(D1388&lt;50000,"$25k-$50k",IF(D1388&lt;75000,"$50k-$75k",IF(D1388&lt;100000,"$75k-$100k","$100k+")))))</x:f>
        <x:v>$50k-$75k</x:v>
      </x:c>
      <x:c r="P1388" t="str">
        <x:f>IF(E1388="","Unknown",IF(E1388&lt;10,"&lt;10",IF(E1388&lt;20,"10-&lt;20",IF(E1388&lt;25,"20-&lt;25",IF(E1388&lt;35,"25-&lt;35","35+")))))</x:f>
        <x:v>10-&lt;20</x:v>
      </x:c>
    </x:row>
    <x:row r="1389">
      <x:c r="A1389" t="str">
        <x:v>SYN0001388</x:v>
      </x:c>
      <x:c r="B1389" s="12" t="n">
        <x:v>42175</x:v>
      </x:c>
      <x:c r="C1389" s="18" t="n">
        <x:v>21277</x:v>
      </x:c>
      <x:c r="D1389" s="18" t="n">
        <x:v>200493</x:v>
      </x:c>
      <x:c r="E1389" s="18" t="n">
        <x:v>31.94</x:v>
      </x:c>
      <x:c r="F1389" s="18" t="n">
        <x:v>6.23</x:v>
      </x:c>
      <x:c r="G1389" t="n">
        <x:v>36</x:v>
      </x:c>
      <x:c r="H1389" t="str">
        <x:v>B</x:v>
      </x:c>
      <x:c r="I1389" t="str">
        <x:v>7-9 years</x:v>
      </x:c>
      <x:c r="J1389" t="str">
        <x:v>RENT</x:v>
      </x:c>
      <x:c r="K1389" t="str">
        <x:v>debt_consolidation</x:v>
      </x:c>
      <x:c r="L1389" t="n">
        <x:v>0</x:v>
      </x:c>
      <x:c r="M1389" t="n">
        <x:v>0</x:v>
      </x:c>
      <x:c r="N1389" t="str">
        <x:v>Fully Paid</x:v>
      </x:c>
      <x:c r="O1389" t="str">
        <x:f>IF(D1389="","Unknown",IF(D1389&lt;25000,"&lt;$25k",IF(D1389&lt;50000,"$25k-$50k",IF(D1389&lt;75000,"$50k-$75k",IF(D1389&lt;100000,"$75k-$100k","$100k+")))))</x:f>
        <x:v>$100k+</x:v>
      </x:c>
      <x:c r="P1389" t="str">
        <x:f>IF(E1389="","Unknown",IF(E1389&lt;10,"&lt;10",IF(E1389&lt;20,"10-&lt;20",IF(E1389&lt;25,"20-&lt;25",IF(E1389&lt;35,"25-&lt;35","35+")))))</x:f>
        <x:v>25-&lt;35</x:v>
      </x:c>
    </x:row>
    <x:row r="1390">
      <x:c r="A1390" t="str">
        <x:v>SYN0001389</x:v>
      </x:c>
      <x:c r="B1390" s="12" t="n">
        <x:v>42535</x:v>
      </x:c>
      <x:c r="C1390" s="18" t="n">
        <x:v>15972</x:v>
      </x:c>
      <x:c r="D1390" s="18" t="n">
        <x:v>33679</x:v>
      </x:c>
      <x:c r="E1390" s="18" t="n">
        <x:v>13.09</x:v>
      </x:c>
      <x:c r="F1390" s="18" t="n">
        <x:v>7.75</x:v>
      </x:c>
      <x:c r="G1390" t="n">
        <x:v>60</x:v>
      </x:c>
      <x:c r="H1390" t="str">
        <x:v>B</x:v>
      </x:c>
      <x:c r="I1390" t="str">
        <x:v>&lt;1 year</x:v>
      </x:c>
      <x:c r="J1390" t="str">
        <x:v>RENT</x:v>
      </x:c>
      <x:c r="K1390" t="str">
        <x:v>debt_consolidation</x:v>
      </x:c>
      <x:c r="L1390" t="n">
        <x:v>2</x:v>
      </x:c>
      <x:c r="M1390" t="n">
        <x:v>1</x:v>
      </x:c>
      <x:c r="N1390" t="str">
        <x:v>Charged Off</x:v>
      </x:c>
      <x:c r="O1390" t="str">
        <x:f>IF(D1390="","Unknown",IF(D1390&lt;25000,"&lt;$25k",IF(D1390&lt;50000,"$25k-$50k",IF(D1390&lt;75000,"$50k-$75k",IF(D1390&lt;100000,"$75k-$100k","$100k+")))))</x:f>
        <x:v>$25k-$50k</x:v>
      </x:c>
      <x:c r="P1390" t="str">
        <x:f>IF(E1390="","Unknown",IF(E1390&lt;10,"&lt;10",IF(E1390&lt;20,"10-&lt;20",IF(E1390&lt;25,"20-&lt;25",IF(E1390&lt;35,"25-&lt;35","35+")))))</x:f>
        <x:v>10-&lt;20</x:v>
      </x:c>
    </x:row>
    <x:row r="1391">
      <x:c r="A1391" t="str">
        <x:v>SYN0001390</x:v>
      </x:c>
      <x:c r="B1391" s="12" t="n">
        <x:v>42055</x:v>
      </x:c>
      <x:c r="C1391" s="18" t="n">
        <x:v>21669</x:v>
      </x:c>
      <x:c r="D1391" s="18" t="n">
        <x:v>15936</x:v>
      </x:c>
      <x:c r="E1391" s="18" t="n">
        <x:v>27.54</x:v>
      </x:c>
      <x:c r="F1391" s="18" t="n">
        <x:v>10.33</x:v>
      </x:c>
      <x:c r="G1391" t="n">
        <x:v>36</x:v>
      </x:c>
      <x:c r="H1391" t="str">
        <x:v>D</x:v>
      </x:c>
      <x:c r="I1391" t="str">
        <x:v>4-6 years</x:v>
      </x:c>
      <x:c r="J1391" t="str">
        <x:v>MORTGAGE</x:v>
      </x:c>
      <x:c r="K1391" t="str">
        <x:v>home_improvement</x:v>
      </x:c>
      <x:c r="L1391" t="n">
        <x:v>0</x:v>
      </x:c>
      <x:c r="M1391" t="n">
        <x:v>1</x:v>
      </x:c>
      <x:c r="N1391" t="str">
        <x:v>Charged Off</x:v>
      </x:c>
      <x:c r="O1391" t="str">
        <x:f>IF(D1391="","Unknown",IF(D1391&lt;25000,"&lt;$25k",IF(D1391&lt;50000,"$25k-$50k",IF(D1391&lt;75000,"$50k-$75k",IF(D1391&lt;100000,"$75k-$100k","$100k+")))))</x:f>
        <x:v>&lt;$25k</x:v>
      </x:c>
      <x:c r="P1391" t="str">
        <x:f>IF(E1391="","Unknown",IF(E1391&lt;10,"&lt;10",IF(E1391&lt;20,"10-&lt;20",IF(E1391&lt;25,"20-&lt;25",IF(E1391&lt;35,"25-&lt;35","35+")))))</x:f>
        <x:v>25-&lt;35</x:v>
      </x:c>
    </x:row>
    <x:row r="1392">
      <x:c r="A1392" t="str">
        <x:v>SYN0001391</x:v>
      </x:c>
      <x:c r="B1392" s="12" t="n">
        <x:v>42835</x:v>
      </x:c>
      <x:c r="C1392" s="18" t="n">
        <x:v>5176</x:v>
      </x:c>
      <x:c r="D1392" s="18" t="n">
        <x:v>105215</x:v>
      </x:c>
      <x:c r="E1392" s="18" t="n">
        <x:v>26.71</x:v>
      </x:c>
      <x:c r="F1392" s="18" t="n">
        <x:v>8.17</x:v>
      </x:c>
      <x:c r="G1392" t="n">
        <x:v>36</x:v>
      </x:c>
      <x:c r="H1392" t="str">
        <x:v>C</x:v>
      </x:c>
      <x:c r="I1392" t="str">
        <x:v>10+ years</x:v>
      </x:c>
      <x:c r="J1392" t="str">
        <x:v>RENT</x:v>
      </x:c>
      <x:c r="K1392" t="str">
        <x:v>debt_consolidation</x:v>
      </x:c>
      <x:c r="L1392" t="n">
        <x:v>0</x:v>
      </x:c>
      <x:c r="M1392" t="n">
        <x:v>0</x:v>
      </x:c>
      <x:c r="N1392" t="str">
        <x:v>Fully Paid</x:v>
      </x:c>
      <x:c r="O1392" t="str">
        <x:f>IF(D1392="","Unknown",IF(D1392&lt;25000,"&lt;$25k",IF(D1392&lt;50000,"$25k-$50k",IF(D1392&lt;75000,"$50k-$75k",IF(D1392&lt;100000,"$75k-$100k","$100k+")))))</x:f>
        <x:v>$100k+</x:v>
      </x:c>
      <x:c r="P1392" t="str">
        <x:f>IF(E1392="","Unknown",IF(E1392&lt;10,"&lt;10",IF(E1392&lt;20,"10-&lt;20",IF(E1392&lt;25,"20-&lt;25",IF(E1392&lt;35,"25-&lt;35","35+")))))</x:f>
        <x:v>25-&lt;35</x:v>
      </x:c>
    </x:row>
    <x:row r="1393">
      <x:c r="A1393" t="str">
        <x:v>SYN0001392</x:v>
      </x:c>
      <x:c r="B1393" s="12" t="n">
        <x:v>42925</x:v>
      </x:c>
      <x:c r="C1393" s="18" t="n">
        <x:v>9197</x:v>
      </x:c>
      <x:c r="D1393" s="18" t="n">
        <x:v>65361</x:v>
      </x:c>
      <x:c r="E1393" s="18" t="n">
        <x:v>15.29</x:v>
      </x:c>
      <x:c r="F1393" s="18" t="n">
        <x:v>11.45</x:v>
      </x:c>
      <x:c r="G1393" t="n">
        <x:v>36</x:v>
      </x:c>
      <x:c r="H1393" t="str">
        <x:v>C</x:v>
      </x:c>
      <x:c r="I1393" t="str">
        <x:v>10+ years</x:v>
      </x:c>
      <x:c r="J1393" t="str">
        <x:v>MORTGAGE</x:v>
      </x:c>
      <x:c r="K1393" t="str">
        <x:v>credit_card</x:v>
      </x:c>
      <x:c r="L1393" t="n">
        <x:v>0</x:v>
      </x:c>
      <x:c r="M1393" t="n">
        <x:v>0</x:v>
      </x:c>
      <x:c r="N1393" t="str">
        <x:v>Fully Paid</x:v>
      </x:c>
      <x:c r="O1393" t="str">
        <x:f>IF(D1393="","Unknown",IF(D1393&lt;25000,"&lt;$25k",IF(D1393&lt;50000,"$25k-$50k",IF(D1393&lt;75000,"$50k-$75k",IF(D1393&lt;100000,"$75k-$100k","$100k+")))))</x:f>
        <x:v>$50k-$75k</x:v>
      </x:c>
      <x:c r="P1393" t="str">
        <x:f>IF(E1393="","Unknown",IF(E1393&lt;10,"&lt;10",IF(E1393&lt;20,"10-&lt;20",IF(E1393&lt;25,"20-&lt;25",IF(E1393&lt;35,"25-&lt;35","35+")))))</x:f>
        <x:v>10-&lt;20</x:v>
      </x:c>
    </x:row>
    <x:row r="1394">
      <x:c r="A1394" t="str">
        <x:v>SYN0001393</x:v>
      </x:c>
      <x:c r="B1394" s="12" t="n">
        <x:v>41485</x:v>
      </x:c>
      <x:c r="C1394" s="18" t="n">
        <x:v>10810</x:v>
      </x:c>
      <x:c r="D1394" s="18" t="n">
        <x:v>21107</x:v>
      </x:c>
      <x:c r="E1394" s="18" t="n">
        <x:v>29.28</x:v>
      </x:c>
      <x:c r="F1394" s="18" t="n">
        <x:v>24.74</x:v>
      </x:c>
      <x:c r="G1394" t="n">
        <x:v>36</x:v>
      </x:c>
      <x:c r="H1394" t="str">
        <x:v>G</x:v>
      </x:c>
      <x:c r="I1394" t="str">
        <x:v>10+ years</x:v>
      </x:c>
      <x:c r="J1394" t="str">
        <x:v>OWN</x:v>
      </x:c>
      <x:c r="K1394" t="str">
        <x:v>credit_card</x:v>
      </x:c>
      <x:c r="L1394" t="n">
        <x:v>1</x:v>
      </x:c>
      <x:c r="M1394" t="n">
        <x:v>1</x:v>
      </x:c>
      <x:c r="N1394" t="str">
        <x:v>Charged Off</x:v>
      </x:c>
      <x:c r="O1394" t="str">
        <x:f>IF(D1394="","Unknown",IF(D1394&lt;25000,"&lt;$25k",IF(D1394&lt;50000,"$25k-$50k",IF(D1394&lt;75000,"$50k-$75k",IF(D1394&lt;100000,"$75k-$100k","$100k+")))))</x:f>
        <x:v>&lt;$25k</x:v>
      </x:c>
      <x:c r="P1394" t="str">
        <x:f>IF(E1394="","Unknown",IF(E1394&lt;10,"&lt;10",IF(E1394&lt;20,"10-&lt;20",IF(E1394&lt;25,"20-&lt;25",IF(E1394&lt;35,"25-&lt;35","35+")))))</x:f>
        <x:v>25-&lt;35</x:v>
      </x:c>
    </x:row>
    <x:row r="1395">
      <x:c r="A1395" t="str">
        <x:v>SYN0001394</x:v>
      </x:c>
      <x:c r="B1395" s="12" t="n">
        <x:v>41395</x:v>
      </x:c>
      <x:c r="C1395" s="18" t="n">
        <x:v>6649</x:v>
      </x:c>
      <x:c r="D1395" s="18" t="n">
        <x:v>26922</x:v>
      </x:c>
      <x:c r="E1395" s="18" t="n">
        <x:v>11.07</x:v>
      </x:c>
      <x:c r="F1395" s="18" t="n">
        <x:v>9.04</x:v>
      </x:c>
      <x:c r="G1395" t="n">
        <x:v>36</x:v>
      </x:c>
      <x:c r="H1395" t="str">
        <x:v>B</x:v>
      </x:c>
      <x:c r="I1395" t="str">
        <x:v>4-6 years</x:v>
      </x:c>
      <x:c r="J1395" t="str">
        <x:v>MORTGAGE</x:v>
      </x:c>
      <x:c r="K1395" t="str">
        <x:v>debt_consolidation</x:v>
      </x:c>
      <x:c r="L1395" t="n">
        <x:v>0</x:v>
      </x:c>
      <x:c r="M1395" t="n">
        <x:v>0</x:v>
      </x:c>
      <x:c r="N1395" t="str">
        <x:v>Fully Paid</x:v>
      </x:c>
      <x:c r="O1395" t="str">
        <x:f>IF(D1395="","Unknown",IF(D1395&lt;25000,"&lt;$25k",IF(D1395&lt;50000,"$25k-$50k",IF(D1395&lt;75000,"$50k-$75k",IF(D1395&lt;100000,"$75k-$100k","$100k+")))))</x:f>
        <x:v>$25k-$50k</x:v>
      </x:c>
      <x:c r="P1395" t="str">
        <x:f>IF(E1395="","Unknown",IF(E1395&lt;10,"&lt;10",IF(E1395&lt;20,"10-&lt;20",IF(E1395&lt;25,"20-&lt;25",IF(E1395&lt;35,"25-&lt;35","35+")))))</x:f>
        <x:v>10-&lt;20</x:v>
      </x:c>
    </x:row>
    <x:row r="1396">
      <x:c r="A1396" t="str">
        <x:v>SYN0001395</x:v>
      </x:c>
      <x:c r="B1396" s="12" t="n">
        <x:v>41965</x:v>
      </x:c>
      <x:c r="C1396" s="18" t="n">
        <x:v>20179</x:v>
      </x:c>
      <x:c r="D1396" s="18" t="n">
        <x:v>96901</x:v>
      </x:c>
      <x:c r="E1396" s="18" t="n">
        <x:v>22.72</x:v>
      </x:c>
      <x:c r="F1396" s="18" t="n">
        <x:v>25.28</x:v>
      </x:c>
      <x:c r="G1396" t="n">
        <x:v>36</x:v>
      </x:c>
      <x:c r="H1396" t="str">
        <x:v>G</x:v>
      </x:c>
      <x:c r="I1396" t="str">
        <x:v>4-6 years</x:v>
      </x:c>
      <x:c r="J1396" t="str">
        <x:v>MORTGAGE</x:v>
      </x:c>
      <x:c r="K1396" t="str">
        <x:v>credit_card</x:v>
      </x:c>
      <x:c r="L1396" t="n">
        <x:v>0</x:v>
      </x:c>
      <x:c r="M1396" t="n">
        <x:v>0</x:v>
      </x:c>
      <x:c r="N1396" t="str">
        <x:v>Fully Paid</x:v>
      </x:c>
      <x:c r="O1396" t="str">
        <x:f>IF(D1396="","Unknown",IF(D1396&lt;25000,"&lt;$25k",IF(D1396&lt;50000,"$25k-$50k",IF(D1396&lt;75000,"$50k-$75k",IF(D1396&lt;100000,"$75k-$100k","$100k+")))))</x:f>
        <x:v>$75k-$100k</x:v>
      </x:c>
      <x:c r="P1396" t="str">
        <x:f>IF(E1396="","Unknown",IF(E1396&lt;10,"&lt;10",IF(E1396&lt;20,"10-&lt;20",IF(E1396&lt;25,"20-&lt;25",IF(E1396&lt;35,"25-&lt;35","35+")))))</x:f>
        <x:v>20-&lt;25</x:v>
      </x:c>
    </x:row>
    <x:row r="1397">
      <x:c r="A1397" t="str">
        <x:v>SYN0001396</x:v>
      </x:c>
      <x:c r="B1397" s="12" t="n">
        <x:v>41785</x:v>
      </x:c>
      <x:c r="C1397" s="18" t="n">
        <x:v>26377</x:v>
      </x:c>
      <x:c r="D1397" s="18" t="n">
        <x:v>75940</x:v>
      </x:c>
      <x:c r="E1397" s="18" t="n">
        <x:v>17.36</x:v>
      </x:c>
      <x:c r="F1397" s="18" t="n">
        <x:v>26.62</x:v>
      </x:c>
      <x:c r="G1397" t="n">
        <x:v>36</x:v>
      </x:c>
      <x:c r="H1397" t="str">
        <x:v>G</x:v>
      </x:c>
      <x:c r="I1397" t="str">
        <x:v>1-3 years</x:v>
      </x:c>
      <x:c r="J1397" t="str">
        <x:v>MORTGAGE</x:v>
      </x:c>
      <x:c r="K1397" t="str">
        <x:v>credit_card</x:v>
      </x:c>
      <x:c r="L1397" t="n">
        <x:v>0</x:v>
      </x:c>
      <x:c r="M1397" t="n">
        <x:v>0</x:v>
      </x:c>
      <x:c r="N1397" t="str">
        <x:v>Fully Paid</x:v>
      </x:c>
      <x:c r="O1397" t="str">
        <x:f>IF(D1397="","Unknown",IF(D1397&lt;25000,"&lt;$25k",IF(D1397&lt;50000,"$25k-$50k",IF(D1397&lt;75000,"$50k-$75k",IF(D1397&lt;100000,"$75k-$100k","$100k+")))))</x:f>
        <x:v>$75k-$100k</x:v>
      </x:c>
      <x:c r="P1397" t="str">
        <x:f>IF(E1397="","Unknown",IF(E1397&lt;10,"&lt;10",IF(E1397&lt;20,"10-&lt;20",IF(E1397&lt;25,"20-&lt;25",IF(E1397&lt;35,"25-&lt;35","35+")))))</x:f>
        <x:v>10-&lt;20</x:v>
      </x:c>
    </x:row>
    <x:row r="1398">
      <x:c r="A1398" t="str">
        <x:v>SYN0001397</x:v>
      </x:c>
      <x:c r="B1398" s="12" t="n">
        <x:v>41605</x:v>
      </x:c>
      <x:c r="C1398" s="18" t="n">
        <x:v>15014</x:v>
      </x:c>
      <x:c r="D1398" s="18" t="n">
        <x:v>43682</x:v>
      </x:c>
      <x:c r="E1398" s="18" t="n">
        <x:v>16.89</x:v>
      </x:c>
      <x:c r="F1398" s="18" t="n">
        <x:v>9.73</x:v>
      </x:c>
      <x:c r="G1398" t="n">
        <x:v>60</x:v>
      </x:c>
      <x:c r="H1398" t="str">
        <x:v>B</x:v>
      </x:c>
      <x:c r="I1398" t="str">
        <x:v>&lt;1 year</x:v>
      </x:c>
      <x:c r="J1398" t="str">
        <x:v>RENT</x:v>
      </x:c>
      <x:c r="K1398" t="str">
        <x:v>credit_card</x:v>
      </x:c>
      <x:c r="L1398" t="n">
        <x:v>0</x:v>
      </x:c>
      <x:c r="M1398" t="n">
        <x:v>0</x:v>
      </x:c>
      <x:c r="N1398" t="str">
        <x:v>Fully Paid</x:v>
      </x:c>
      <x:c r="O1398" t="str">
        <x:f>IF(D1398="","Unknown",IF(D1398&lt;25000,"&lt;$25k",IF(D1398&lt;50000,"$25k-$50k",IF(D1398&lt;75000,"$50k-$75k",IF(D1398&lt;100000,"$75k-$100k","$100k+")))))</x:f>
        <x:v>$25k-$50k</x:v>
      </x:c>
      <x:c r="P1398" t="str">
        <x:f>IF(E1398="","Unknown",IF(E1398&lt;10,"&lt;10",IF(E1398&lt;20,"10-&lt;20",IF(E1398&lt;25,"20-&lt;25",IF(E1398&lt;35,"25-&lt;35","35+")))))</x:f>
        <x:v>10-&lt;20</x:v>
      </x:c>
    </x:row>
    <x:row r="1399">
      <x:c r="A1399" t="str">
        <x:v>SYN0001398</x:v>
      </x:c>
      <x:c r="B1399" s="12" t="n">
        <x:v>41425</x:v>
      </x:c>
      <x:c r="C1399" s="18" t="n">
        <x:v>4233</x:v>
      </x:c>
      <x:c r="D1399" s="18" t="n">
        <x:v>84337</x:v>
      </x:c>
      <x:c r="E1399" s="18" t="n">
        <x:v>26.79</x:v>
      </x:c>
      <x:c r="F1399" s="18" t="n">
        <x:v>21.71</x:v>
      </x:c>
      <x:c r="G1399" t="n">
        <x:v>36</x:v>
      </x:c>
      <x:c r="H1399" t="str">
        <x:v>F</x:v>
      </x:c>
      <x:c r="I1399" t="str">
        <x:v>1-3 years</x:v>
      </x:c>
      <x:c r="J1399" t="str">
        <x:v>MORTGAGE</x:v>
      </x:c>
      <x:c r="K1399" t="str">
        <x:v>other</x:v>
      </x:c>
      <x:c r="L1399" t="n">
        <x:v>2</x:v>
      </x:c>
      <x:c r="M1399" t="n">
        <x:v>0</x:v>
      </x:c>
      <x:c r="N1399" t="str">
        <x:v>Fully Paid</x:v>
      </x:c>
      <x:c r="O1399" t="str">
        <x:f>IF(D1399="","Unknown",IF(D1399&lt;25000,"&lt;$25k",IF(D1399&lt;50000,"$25k-$50k",IF(D1399&lt;75000,"$50k-$75k",IF(D1399&lt;100000,"$75k-$100k","$100k+")))))</x:f>
        <x:v>$75k-$100k</x:v>
      </x:c>
      <x:c r="P1399" t="str">
        <x:f>IF(E1399="","Unknown",IF(E1399&lt;10,"&lt;10",IF(E1399&lt;20,"10-&lt;20",IF(E1399&lt;25,"20-&lt;25",IF(E1399&lt;35,"25-&lt;35","35+")))))</x:f>
        <x:v>25-&lt;35</x:v>
      </x:c>
    </x:row>
    <x:row r="1400">
      <x:c r="A1400" t="str">
        <x:v>SYN0001399</x:v>
      </x:c>
      <x:c r="B1400" s="12" t="n">
        <x:v>42625</x:v>
      </x:c>
      <x:c r="C1400" s="18" t="n">
        <x:v>14100</x:v>
      </x:c>
      <x:c r="D1400" s="18" t="n">
        <x:v>14490</x:v>
      </x:c>
      <x:c r="E1400" s="18" t="n">
        <x:v>20.39</x:v>
      </x:c>
      <x:c r="F1400" s="18" t="n">
        <x:v>9.54</x:v>
      </x:c>
      <x:c r="G1400" t="n">
        <x:v>36</x:v>
      </x:c>
      <x:c r="H1400" t="str">
        <x:v>C</x:v>
      </x:c>
      <x:c r="I1400" t="str">
        <x:v>4-6 years</x:v>
      </x:c>
      <x:c r="J1400" t="str">
        <x:v>OWN</x:v>
      </x:c>
      <x:c r="K1400" t="str">
        <x:v>debt_consolidation</x:v>
      </x:c>
      <x:c r="L1400" t="n">
        <x:v>1</x:v>
      </x:c>
      <x:c r="M1400" t="n">
        <x:v>0</x:v>
      </x:c>
      <x:c r="N1400" t="str">
        <x:v>Fully Paid</x:v>
      </x:c>
      <x:c r="O1400" t="str">
        <x:f>IF(D1400="","Unknown",IF(D1400&lt;25000,"&lt;$25k",IF(D1400&lt;50000,"$25k-$50k",IF(D1400&lt;75000,"$50k-$75k",IF(D1400&lt;100000,"$75k-$100k","$100k+")))))</x:f>
        <x:v>&lt;$25k</x:v>
      </x:c>
      <x:c r="P1400" t="str">
        <x:f>IF(E1400="","Unknown",IF(E1400&lt;10,"&lt;10",IF(E1400&lt;20,"10-&lt;20",IF(E1400&lt;25,"20-&lt;25",IF(E1400&lt;35,"25-&lt;35","35+")))))</x:f>
        <x:v>20-&lt;25</x:v>
      </x:c>
    </x:row>
    <x:row r="1401">
      <x:c r="A1401" t="str">
        <x:v>SYN0001400</x:v>
      </x:c>
      <x:c r="B1401" s="12" t="n">
        <x:v>43195</x:v>
      </x:c>
      <x:c r="C1401" s="18" t="n">
        <x:v>11204</x:v>
      </x:c>
      <x:c r="D1401" s="18" t="n">
        <x:v>102213</x:v>
      </x:c>
      <x:c r="E1401" s="18" t="n">
        <x:v>24.79</x:v>
      </x:c>
      <x:c r="F1401" s="18" t="n">
        <x:v>7.51</x:v>
      </x:c>
      <x:c r="G1401" t="n">
        <x:v>36</x:v>
      </x:c>
      <x:c r="H1401" t="str">
        <x:v>B</x:v>
      </x:c>
      <x:c r="I1401" t="str">
        <x:v>4-6 years</x:v>
      </x:c>
      <x:c r="J1401" t="str">
        <x:v>RENT</x:v>
      </x:c>
      <x:c r="K1401" t="str">
        <x:v>debt_consolidation</x:v>
      </x:c>
      <x:c r="L1401" t="n">
        <x:v>0</x:v>
      </x:c>
      <x:c r="M1401" t="n">
        <x:v>0</x:v>
      </x:c>
      <x:c r="N1401" t="str">
        <x:v>Fully Paid</x:v>
      </x:c>
      <x:c r="O1401" t="str">
        <x:f>IF(D1401="","Unknown",IF(D1401&lt;25000,"&lt;$25k",IF(D1401&lt;50000,"$25k-$50k",IF(D1401&lt;75000,"$50k-$75k",IF(D1401&lt;100000,"$75k-$100k","$100k+")))))</x:f>
        <x:v>$100k+</x:v>
      </x:c>
      <x:c r="P1401" t="str">
        <x:f>IF(E1401="","Unknown",IF(E1401&lt;10,"&lt;10",IF(E1401&lt;20,"10-&lt;20",IF(E1401&lt;25,"20-&lt;25",IF(E1401&lt;35,"25-&lt;35","35+")))))</x:f>
        <x:v>20-&lt;25</x:v>
      </x:c>
    </x:row>
    <x:row r="1402">
      <x:c r="A1402" t="str">
        <x:v>SYN0001401</x:v>
      </x:c>
      <x:c r="B1402" s="12" t="n">
        <x:v>41635</x:v>
      </x:c>
      <x:c r="C1402" s="18" t="n">
        <x:v>6741</x:v>
      </x:c>
      <x:c r="D1402" s="18" t="n">
        <x:v>37574</x:v>
      </x:c>
      <x:c r="E1402" s="18" t="n">
        <x:v>14.68</x:v>
      </x:c>
      <x:c r="F1402" s="18" t="n">
        <x:v>17.67</x:v>
      </x:c>
      <x:c r="G1402" t="n">
        <x:v>60</x:v>
      </x:c>
      <x:c r="H1402" t="str">
        <x:v>D</x:v>
      </x:c>
      <x:c r="I1402" t="str">
        <x:v>10+ years</x:v>
      </x:c>
      <x:c r="J1402" t="str">
        <x:v>OWN</x:v>
      </x:c>
      <x:c r="K1402" t="str">
        <x:v>credit_card</x:v>
      </x:c>
      <x:c r="L1402" t="n">
        <x:v>0</x:v>
      </x:c>
      <x:c r="M1402" t="n">
        <x:v>0</x:v>
      </x:c>
      <x:c r="N1402" t="str">
        <x:v>Fully Paid</x:v>
      </x:c>
      <x:c r="O1402" t="str">
        <x:f>IF(D1402="","Unknown",IF(D1402&lt;25000,"&lt;$25k",IF(D1402&lt;50000,"$25k-$50k",IF(D1402&lt;75000,"$50k-$75k",IF(D1402&lt;100000,"$75k-$100k","$100k+")))))</x:f>
        <x:v>$25k-$50k</x:v>
      </x:c>
      <x:c r="P1402" t="str">
        <x:f>IF(E1402="","Unknown",IF(E1402&lt;10,"&lt;10",IF(E1402&lt;20,"10-&lt;20",IF(E1402&lt;25,"20-&lt;25",IF(E1402&lt;35,"25-&lt;35","35+")))))</x:f>
        <x:v>10-&lt;20</x:v>
      </x:c>
    </x:row>
    <x:row r="1403">
      <x:c r="A1403" t="str">
        <x:v>SYN0001402</x:v>
      </x:c>
      <x:c r="B1403" s="12" t="n">
        <x:v>41875</x:v>
      </x:c>
      <x:c r="C1403" s="18" t="n">
        <x:v>20250</x:v>
      </x:c>
      <x:c r="D1403" s="18" t="n">
        <x:v>46733</x:v>
      </x:c>
      <x:c r="E1403" s="18" t="n">
        <x:v>28.82</x:v>
      </x:c>
      <x:c r="F1403" s="18" t="n">
        <x:v>21</x:v>
      </x:c>
      <x:c r="G1403" t="n">
        <x:v>36</x:v>
      </x:c>
      <x:c r="H1403" t="str">
        <x:v>F</x:v>
      </x:c>
      <x:c r="I1403" t="str">
        <x:v>1-3 years</x:v>
      </x:c>
      <x:c r="J1403" t="str">
        <x:v>OWN</x:v>
      </x:c>
      <x:c r="K1403" t="str">
        <x:v>home_improvement</x:v>
      </x:c>
      <x:c r="L1403" t="n">
        <x:v>0</x:v>
      </x:c>
      <x:c r="M1403" t="n">
        <x:v>0</x:v>
      </x:c>
      <x:c r="N1403" t="str">
        <x:v>Fully Paid</x:v>
      </x:c>
      <x:c r="O1403" t="str">
        <x:f>IF(D1403="","Unknown",IF(D1403&lt;25000,"&lt;$25k",IF(D1403&lt;50000,"$25k-$50k",IF(D1403&lt;75000,"$50k-$75k",IF(D1403&lt;100000,"$75k-$100k","$100k+")))))</x:f>
        <x:v>$25k-$50k</x:v>
      </x:c>
      <x:c r="P1403" t="str">
        <x:f>IF(E1403="","Unknown",IF(E1403&lt;10,"&lt;10",IF(E1403&lt;20,"10-&lt;20",IF(E1403&lt;25,"20-&lt;25",IF(E1403&lt;35,"25-&lt;35","35+")))))</x:f>
        <x:v>25-&lt;35</x:v>
      </x:c>
    </x:row>
    <x:row r="1404">
      <x:c r="A1404" t="str">
        <x:v>SYN0001403</x:v>
      </x:c>
      <x:c r="B1404" s="12" t="n">
        <x:v>42235</x:v>
      </x:c>
      <x:c r="C1404" s="18" t="n">
        <x:v>14347</x:v>
      </x:c>
      <x:c r="D1404" s="18" t="n">
        <x:v>24371</x:v>
      </x:c>
      <x:c r="E1404" s="18" t="n">
        <x:v>21.82</x:v>
      </x:c>
      <x:c r="F1404" s="18" t="n">
        <x:v>26.2</x:v>
      </x:c>
      <x:c r="G1404" t="n">
        <x:v>36</x:v>
      </x:c>
      <x:c r="H1404" t="str">
        <x:v>G</x:v>
      </x:c>
      <x:c r="I1404" t="str">
        <x:v>1-3 years</x:v>
      </x:c>
      <x:c r="J1404" t="str">
        <x:v>RENT</x:v>
      </x:c>
      <x:c r="K1404" t="str">
        <x:v>home_improvement</x:v>
      </x:c>
      <x:c r="L1404" t="n">
        <x:v>1</x:v>
      </x:c>
      <x:c r="M1404" t="n">
        <x:v>1</x:v>
      </x:c>
      <x:c r="N1404" t="str">
        <x:v>Charged Off</x:v>
      </x:c>
      <x:c r="O1404" t="str">
        <x:f>IF(D1404="","Unknown",IF(D1404&lt;25000,"&lt;$25k",IF(D1404&lt;50000,"$25k-$50k",IF(D1404&lt;75000,"$50k-$75k",IF(D1404&lt;100000,"$75k-$100k","$100k+")))))</x:f>
        <x:v>&lt;$25k</x:v>
      </x:c>
      <x:c r="P1404" t="str">
        <x:f>IF(E1404="","Unknown",IF(E1404&lt;10,"&lt;10",IF(E1404&lt;20,"10-&lt;20",IF(E1404&lt;25,"20-&lt;25",IF(E1404&lt;35,"25-&lt;35","35+")))))</x:f>
        <x:v>20-&lt;25</x:v>
      </x:c>
    </x:row>
    <x:row r="1405">
      <x:c r="A1405" t="str">
        <x:v>SYN0001404</x:v>
      </x:c>
      <x:c r="B1405" s="12" t="n">
        <x:v>42415</x:v>
      </x:c>
      <x:c r="C1405" s="18" t="n">
        <x:v>12350</x:v>
      </x:c>
      <x:c r="D1405" s="18" t="n">
        <x:v>34816</x:v>
      </x:c>
      <x:c r="E1405" s="18" t="n">
        <x:v>0</x:v>
      </x:c>
      <x:c r="F1405" s="18" t="n">
        <x:v>19.83</x:v>
      </x:c>
      <x:c r="G1405" t="n">
        <x:v>36</x:v>
      </x:c>
      <x:c r="H1405" t="str">
        <x:v>E</x:v>
      </x:c>
      <x:c r="I1405" t="str">
        <x:v>7-9 years</x:v>
      </x:c>
      <x:c r="J1405" t="str">
        <x:v>MORTGAGE</x:v>
      </x:c>
      <x:c r="K1405" t="str">
        <x:v>credit_card</x:v>
      </x:c>
      <x:c r="L1405" t="n">
        <x:v>1</x:v>
      </x:c>
      <x:c r="M1405" t="n">
        <x:v>0</x:v>
      </x:c>
      <x:c r="N1405" t="str">
        <x:v>Fully Paid</x:v>
      </x:c>
      <x:c r="O1405" t="str">
        <x:f>IF(D1405="","Unknown",IF(D1405&lt;25000,"&lt;$25k",IF(D1405&lt;50000,"$25k-$50k",IF(D1405&lt;75000,"$50k-$75k",IF(D1405&lt;100000,"$75k-$100k","$100k+")))))</x:f>
        <x:v>$25k-$50k</x:v>
      </x:c>
      <x:c r="P1405" t="str">
        <x:f>IF(E1405="","Unknown",IF(E1405&lt;10,"&lt;10",IF(E1405&lt;20,"10-&lt;20",IF(E1405&lt;25,"20-&lt;25",IF(E1405&lt;35,"25-&lt;35","35+")))))</x:f>
        <x:v>Unknown</x:v>
      </x:c>
    </x:row>
    <x:row r="1406">
      <x:c r="A1406" t="str">
        <x:v>SYN0001405</x:v>
      </x:c>
      <x:c r="B1406" s="12" t="n">
        <x:v>42265</x:v>
      </x:c>
      <x:c r="C1406" s="18" t="n">
        <x:v>3935</x:v>
      </x:c>
      <x:c r="D1406" s="18" t="n">
        <x:v>12000</x:v>
      </x:c>
      <x:c r="E1406" s="18" t="n">
        <x:v>16.67</x:v>
      </x:c>
      <x:c r="F1406" s="18" t="n">
        <x:v>9.99</x:v>
      </x:c>
      <x:c r="G1406" t="n">
        <x:v>36</x:v>
      </x:c>
      <x:c r="H1406" t="str">
        <x:v>C</x:v>
      </x:c>
      <x:c r="I1406" t="str">
        <x:v>10+ years</x:v>
      </x:c>
      <x:c r="J1406" t="str">
        <x:v>RENT</x:v>
      </x:c>
      <x:c r="K1406" t="str">
        <x:v>debt_consolidation</x:v>
      </x:c>
      <x:c r="L1406" t="n">
        <x:v>0</x:v>
      </x:c>
      <x:c r="M1406" t="n">
        <x:v>0</x:v>
      </x:c>
      <x:c r="N1406" t="str">
        <x:v>Fully Paid</x:v>
      </x:c>
      <x:c r="O1406" t="str">
        <x:f>IF(D1406="","Unknown",IF(D1406&lt;25000,"&lt;$25k",IF(D1406&lt;50000,"$25k-$50k",IF(D1406&lt;75000,"$50k-$75k",IF(D1406&lt;100000,"$75k-$100k","$100k+")))))</x:f>
        <x:v>&lt;$25k</x:v>
      </x:c>
      <x:c r="P1406" t="str">
        <x:f>IF(E1406="","Unknown",IF(E1406&lt;10,"&lt;10",IF(E1406&lt;20,"10-&lt;20",IF(E1406&lt;25,"20-&lt;25",IF(E1406&lt;35,"25-&lt;35","35+")))))</x:f>
        <x:v>10-&lt;20</x:v>
      </x:c>
    </x:row>
    <x:row r="1407">
      <x:c r="A1407" t="str">
        <x:v>SYN0001406</x:v>
      </x:c>
      <x:c r="B1407" s="12" t="n">
        <x:v>42415</x:v>
      </x:c>
      <x:c r="C1407" s="18" t="n">
        <x:v>12954</x:v>
      </x:c>
      <x:c r="D1407" s="18" t="n">
        <x:v>58473</x:v>
      </x:c>
      <x:c r="E1407" s="18" t="n">
        <x:v>14.09</x:v>
      </x:c>
      <x:c r="F1407" s="18" t="n">
        <x:v>7.78</x:v>
      </x:c>
      <x:c r="G1407" t="n">
        <x:v>36</x:v>
      </x:c>
      <x:c r="H1407" t="str">
        <x:v>C</x:v>
      </x:c>
      <x:c r="I1407" t="str">
        <x:v>1-3 years</x:v>
      </x:c>
      <x:c r="J1407" t="str">
        <x:v>MORTGAGE</x:v>
      </x:c>
      <x:c r="K1407" t="str">
        <x:v>other</x:v>
      </x:c>
      <x:c r="L1407" t="n">
        <x:v>1</x:v>
      </x:c>
      <x:c r="M1407" t="n">
        <x:v>0</x:v>
      </x:c>
      <x:c r="N1407" t="str">
        <x:v>Fully Paid</x:v>
      </x:c>
      <x:c r="O1407" t="str">
        <x:f>IF(D1407="","Unknown",IF(D1407&lt;25000,"&lt;$25k",IF(D1407&lt;50000,"$25k-$50k",IF(D1407&lt;75000,"$50k-$75k",IF(D1407&lt;100000,"$75k-$100k","$100k+")))))</x:f>
        <x:v>$50k-$75k</x:v>
      </x:c>
      <x:c r="P1407" t="str">
        <x:f>IF(E1407="","Unknown",IF(E1407&lt;10,"&lt;10",IF(E1407&lt;20,"10-&lt;20",IF(E1407&lt;25,"20-&lt;25",IF(E1407&lt;35,"25-&lt;35","35+")))))</x:f>
        <x:v>10-&lt;20</x:v>
      </x:c>
    </x:row>
    <x:row r="1408">
      <x:c r="A1408" t="str">
        <x:v>SYN0001407</x:v>
      </x:c>
      <x:c r="B1408" s="12" t="n">
        <x:v>42595</x:v>
      </x:c>
      <x:c r="C1408" s="18" t="n">
        <x:v>7345</x:v>
      </x:c>
      <x:c r="D1408" s="18" t="n">
        <x:v>21582</x:v>
      </x:c>
      <x:c r="E1408" s="18" t="n">
        <x:v>17.25</x:v>
      </x:c>
      <x:c r="F1408" s="18" t="n">
        <x:v>11.88</x:v>
      </x:c>
      <x:c r="G1408" t="n">
        <x:v>60</x:v>
      </x:c>
      <x:c r="H1408" t="str">
        <x:v>C</x:v>
      </x:c>
      <x:c r="I1408" t="str">
        <x:v>1-3 years</x:v>
      </x:c>
      <x:c r="J1408" t="str">
        <x:v>OWN</x:v>
      </x:c>
      <x:c r="K1408" t="str">
        <x:v>debt_consolidation</x:v>
      </x:c>
      <x:c r="L1408" t="n">
        <x:v>0</x:v>
      </x:c>
      <x:c r="M1408" t="n">
        <x:v>0</x:v>
      </x:c>
      <x:c r="N1408" t="str">
        <x:v>Fully Paid</x:v>
      </x:c>
      <x:c r="O1408" t="str">
        <x:f>IF(D1408="","Unknown",IF(D1408&lt;25000,"&lt;$25k",IF(D1408&lt;50000,"$25k-$50k",IF(D1408&lt;75000,"$50k-$75k",IF(D1408&lt;100000,"$75k-$100k","$100k+")))))</x:f>
        <x:v>&lt;$25k</x:v>
      </x:c>
      <x:c r="P1408" t="str">
        <x:f>IF(E1408="","Unknown",IF(E1408&lt;10,"&lt;10",IF(E1408&lt;20,"10-&lt;20",IF(E1408&lt;25,"20-&lt;25",IF(E1408&lt;35,"25-&lt;35","35+")))))</x:f>
        <x:v>10-&lt;20</x:v>
      </x:c>
    </x:row>
    <x:row r="1409">
      <x:c r="A1409" t="str">
        <x:v>SYN0001408</x:v>
      </x:c>
      <x:c r="B1409" s="12" t="n">
        <x:v>42115</x:v>
      </x:c>
      <x:c r="C1409" s="18" t="n">
        <x:v>6335</x:v>
      </x:c>
      <x:c r="D1409" s="18" t="n">
        <x:v>42030</x:v>
      </x:c>
      <x:c r="E1409" s="18" t="n">
        <x:v>16.64</x:v>
      </x:c>
      <x:c r="F1409" s="18" t="n">
        <x:v>11.2</x:v>
      </x:c>
      <x:c r="G1409" t="n">
        <x:v>36</x:v>
      </x:c>
      <x:c r="H1409" t="str">
        <x:v>B</x:v>
      </x:c>
      <x:c r="I1409" t="str">
        <x:v>1-3 years</x:v>
      </x:c>
      <x:c r="J1409" t="str">
        <x:v>OWN</x:v>
      </x:c>
      <x:c r="K1409" t="str">
        <x:v>debt_consolidation</x:v>
      </x:c>
      <x:c r="L1409" t="n">
        <x:v>1</x:v>
      </x:c>
      <x:c r="M1409" t="n">
        <x:v>0</x:v>
      </x:c>
      <x:c r="N1409" t="str">
        <x:v>Fully Paid</x:v>
      </x:c>
      <x:c r="O1409" t="str">
        <x:f>IF(D1409="","Unknown",IF(D1409&lt;25000,"&lt;$25k",IF(D1409&lt;50000,"$25k-$50k",IF(D1409&lt;75000,"$50k-$75k",IF(D1409&lt;100000,"$75k-$100k","$100k+")))))</x:f>
        <x:v>$25k-$50k</x:v>
      </x:c>
      <x:c r="P1409" t="str">
        <x:f>IF(E1409="","Unknown",IF(E1409&lt;10,"&lt;10",IF(E1409&lt;20,"10-&lt;20",IF(E1409&lt;25,"20-&lt;25",IF(E1409&lt;35,"25-&lt;35","35+")))))</x:f>
        <x:v>10-&lt;20</x:v>
      </x:c>
    </x:row>
    <x:row r="1410">
      <x:c r="A1410" t="str">
        <x:v>SYN0001409</x:v>
      </x:c>
      <x:c r="B1410" s="12" t="n">
        <x:v>43105</x:v>
      </x:c>
      <x:c r="C1410" s="18" t="n">
        <x:v>6503</x:v>
      </x:c>
      <x:c r="D1410" s="18" t="n">
        <x:v>41394</x:v>
      </x:c>
      <x:c r="E1410" s="18" t="n">
        <x:v>25.93</x:v>
      </x:c>
      <x:c r="F1410" s="18" t="n">
        <x:v>16.54</x:v>
      </x:c>
      <x:c r="G1410" t="n">
        <x:v>36</x:v>
      </x:c>
      <x:c r="H1410" t="str">
        <x:v>E</x:v>
      </x:c>
      <x:c r="I1410" t="str">
        <x:v>4-6 years</x:v>
      </x:c>
      <x:c r="J1410" t="str">
        <x:v>OWN</x:v>
      </x:c>
      <x:c r="K1410" t="str">
        <x:v>debt_consolidation</x:v>
      </x:c>
      <x:c r="L1410" t="n">
        <x:v>1</x:v>
      </x:c>
      <x:c r="M1410" t="n">
        <x:v>0</x:v>
      </x:c>
      <x:c r="N1410" t="str">
        <x:v>Fully Paid</x:v>
      </x:c>
      <x:c r="O1410" t="str">
        <x:f>IF(D1410="","Unknown",IF(D1410&lt;25000,"&lt;$25k",IF(D1410&lt;50000,"$25k-$50k",IF(D1410&lt;75000,"$50k-$75k",IF(D1410&lt;100000,"$75k-$100k","$100k+")))))</x:f>
        <x:v>$25k-$50k</x:v>
      </x:c>
      <x:c r="P1410" t="str">
        <x:f>IF(E1410="","Unknown",IF(E1410&lt;10,"&lt;10",IF(E1410&lt;20,"10-&lt;20",IF(E1410&lt;25,"20-&lt;25",IF(E1410&lt;35,"25-&lt;35","35+")))))</x:f>
        <x:v>25-&lt;35</x:v>
      </x:c>
    </x:row>
    <x:row r="1411">
      <x:c r="A1411" t="str">
        <x:v>SYN0001410</x:v>
      </x:c>
      <x:c r="B1411" s="12" t="n">
        <x:v>42835</x:v>
      </x:c>
      <x:c r="C1411" s="18" t="n">
        <x:v>24297</x:v>
      </x:c>
      <x:c r="D1411" s="18" t="n">
        <x:v>151602</x:v>
      </x:c>
      <x:c r="E1411" s="18" t="n">
        <x:v>21.6</x:v>
      </x:c>
      <x:c r="F1411" s="18" t="n">
        <x:v>11.05</x:v>
      </x:c>
      <x:c r="G1411" t="n">
        <x:v>36</x:v>
      </x:c>
      <x:c r="H1411" t="str">
        <x:v>B</x:v>
      </x:c>
      <x:c r="I1411" t="str">
        <x:v>1-3 years</x:v>
      </x:c>
      <x:c r="J1411" t="str">
        <x:v>RENT</x:v>
      </x:c>
      <x:c r="K1411" t="str">
        <x:v>medical</x:v>
      </x:c>
      <x:c r="L1411" t="n">
        <x:v>0</x:v>
      </x:c>
      <x:c r="M1411" t="n">
        <x:v>0</x:v>
      </x:c>
      <x:c r="N1411" t="str">
        <x:v>Fully Paid</x:v>
      </x:c>
      <x:c r="O1411" t="str">
        <x:f>IF(D1411="","Unknown",IF(D1411&lt;25000,"&lt;$25k",IF(D1411&lt;50000,"$25k-$50k",IF(D1411&lt;75000,"$50k-$75k",IF(D1411&lt;100000,"$75k-$100k","$100k+")))))</x:f>
        <x:v>$100k+</x:v>
      </x:c>
      <x:c r="P1411" t="str">
        <x:f>IF(E1411="","Unknown",IF(E1411&lt;10,"&lt;10",IF(E1411&lt;20,"10-&lt;20",IF(E1411&lt;25,"20-&lt;25",IF(E1411&lt;35,"25-&lt;35","35+")))))</x:f>
        <x:v>20-&lt;25</x:v>
      </x:c>
    </x:row>
    <x:row r="1412">
      <x:c r="A1412" t="str">
        <x:v>SYN0001411</x:v>
      </x:c>
      <x:c r="B1412" s="12" t="n">
        <x:v>43285</x:v>
      </x:c>
      <x:c r="C1412" s="18" t="n">
        <x:v>8016</x:v>
      </x:c>
      <x:c r="D1412" s="18" t="n">
        <x:v>93381</x:v>
      </x:c>
      <x:c r="E1412" s="18" t="n">
        <x:v>20.64</x:v>
      </x:c>
      <x:c r="F1412" s="18" t="n">
        <x:v>17.55</x:v>
      </x:c>
      <x:c r="G1412" t="n">
        <x:v>60</x:v>
      </x:c>
      <x:c r="H1412" t="str">
        <x:v>E</x:v>
      </x:c>
      <x:c r="I1412" t="str">
        <x:v>10+ years</x:v>
      </x:c>
      <x:c r="J1412" t="str">
        <x:v>MORTGAGE</x:v>
      </x:c>
      <x:c r="K1412" t="str">
        <x:v>debt_consolidation</x:v>
      </x:c>
      <x:c r="L1412" t="n">
        <x:v>1</x:v>
      </x:c>
      <x:c r="M1412" t="n">
        <x:v>0</x:v>
      </x:c>
      <x:c r="N1412" t="str">
        <x:v>Fully Paid</x:v>
      </x:c>
      <x:c r="O1412" t="str">
        <x:f>IF(D1412="","Unknown",IF(D1412&lt;25000,"&lt;$25k",IF(D1412&lt;50000,"$25k-$50k",IF(D1412&lt;75000,"$50k-$75k",IF(D1412&lt;100000,"$75k-$100k","$100k+")))))</x:f>
        <x:v>$75k-$100k</x:v>
      </x:c>
      <x:c r="P1412" t="str">
        <x:f>IF(E1412="","Unknown",IF(E1412&lt;10,"&lt;10",IF(E1412&lt;20,"10-&lt;20",IF(E1412&lt;25,"20-&lt;25",IF(E1412&lt;35,"25-&lt;35","35+")))))</x:f>
        <x:v>20-&lt;25</x:v>
      </x:c>
    </x:row>
    <x:row r="1413">
      <x:c r="A1413" t="str">
        <x:v>SYN0001412</x:v>
      </x:c>
      <x:c r="B1413" s="12" t="n">
        <x:v>42385</x:v>
      </x:c>
      <x:c r="C1413" s="18" t="n">
        <x:v>6807</x:v>
      </x:c>
      <x:c r="D1413" s="18" t="n">
        <x:v>15611</x:v>
      </x:c>
      <x:c r="E1413" s="18" t="n">
        <x:v>27.6</x:v>
      </x:c>
      <x:c r="F1413" s="18" t="n">
        <x:v>7.83</x:v>
      </x:c>
      <x:c r="G1413" t="n">
        <x:v>36</x:v>
      </x:c>
      <x:c r="H1413" t="str">
        <x:v>B</x:v>
      </x:c>
      <x:c r="I1413" t="str">
        <x:v>1-3 years</x:v>
      </x:c>
      <x:c r="J1413" t="str">
        <x:v>RENT</x:v>
      </x:c>
      <x:c r="K1413" t="str">
        <x:v>debt_consolidation</x:v>
      </x:c>
      <x:c r="L1413" t="n">
        <x:v>0</x:v>
      </x:c>
      <x:c r="M1413" t="n">
        <x:v>0</x:v>
      </x:c>
      <x:c r="N1413" t="str">
        <x:v>Fully Paid</x:v>
      </x:c>
      <x:c r="O1413" t="str">
        <x:f>IF(D1413="","Unknown",IF(D1413&lt;25000,"&lt;$25k",IF(D1413&lt;50000,"$25k-$50k",IF(D1413&lt;75000,"$50k-$75k",IF(D1413&lt;100000,"$75k-$100k","$100k+")))))</x:f>
        <x:v>&lt;$25k</x:v>
      </x:c>
      <x:c r="P1413" t="str">
        <x:f>IF(E1413="","Unknown",IF(E1413&lt;10,"&lt;10",IF(E1413&lt;20,"10-&lt;20",IF(E1413&lt;25,"20-&lt;25",IF(E1413&lt;35,"25-&lt;35","35+")))))</x:f>
        <x:v>25-&lt;35</x:v>
      </x:c>
    </x:row>
    <x:row r="1414">
      <x:c r="A1414" t="str">
        <x:v>SYN0001413</x:v>
      </x:c>
      <x:c r="B1414" s="12" t="n">
        <x:v>42055</x:v>
      </x:c>
      <x:c r="C1414" s="18" t="n">
        <x:v>8754</x:v>
      </x:c>
      <x:c r="D1414" s="18" t="n">
        <x:v>49518</x:v>
      </x:c>
      <x:c r="E1414" s="18" t="n">
        <x:v>23.22</x:v>
      </x:c>
      <x:c r="F1414" s="18" t="n">
        <x:v>5.25</x:v>
      </x:c>
      <x:c r="G1414" t="n">
        <x:v>60</x:v>
      </x:c>
      <x:c r="H1414" t="str">
        <x:v>B</x:v>
      </x:c>
      <x:c r="I1414" t="str">
        <x:v>&lt;1 year</x:v>
      </x:c>
      <x:c r="J1414" t="str">
        <x:v>MORTGAGE</x:v>
      </x:c>
      <x:c r="K1414" t="str">
        <x:v>debt_consolidation</x:v>
      </x:c>
      <x:c r="L1414" t="n">
        <x:v>0</x:v>
      </x:c>
      <x:c r="M1414" t="n">
        <x:v>0</x:v>
      </x:c>
      <x:c r="N1414" t="str">
        <x:v>Fully Paid</x:v>
      </x:c>
      <x:c r="O1414" t="str">
        <x:f>IF(D1414="","Unknown",IF(D1414&lt;25000,"&lt;$25k",IF(D1414&lt;50000,"$25k-$50k",IF(D1414&lt;75000,"$50k-$75k",IF(D1414&lt;100000,"$75k-$100k","$100k+")))))</x:f>
        <x:v>$25k-$50k</x:v>
      </x:c>
      <x:c r="P1414" t="str">
        <x:f>IF(E1414="","Unknown",IF(E1414&lt;10,"&lt;10",IF(E1414&lt;20,"10-&lt;20",IF(E1414&lt;25,"20-&lt;25",IF(E1414&lt;35,"25-&lt;35","35+")))))</x:f>
        <x:v>20-&lt;25</x:v>
      </x:c>
    </x:row>
    <x:row r="1415">
      <x:c r="A1415" t="str">
        <x:v>SYN0001414</x:v>
      </x:c>
      <x:c r="B1415" s="12" t="n">
        <x:v>43375</x:v>
      </x:c>
      <x:c r="C1415" s="18" t="n">
        <x:v>10366</x:v>
      </x:c>
      <x:c r="D1415" s="18" t="n">
        <x:v>94820</x:v>
      </x:c>
      <x:c r="E1415" s="18" t="n">
        <x:v>26.41</x:v>
      </x:c>
      <x:c r="F1415" s="18" t="n">
        <x:v>5.74</x:v>
      </x:c>
      <x:c r="G1415" t="n">
        <x:v>60</x:v>
      </x:c>
      <x:c r="H1415" t="str">
        <x:v>B</x:v>
      </x:c>
      <x:c r="I1415" t="str">
        <x:v>4-6 years</x:v>
      </x:c>
      <x:c r="J1415" t="str">
        <x:v>RENT</x:v>
      </x:c>
      <x:c r="K1415" t="str">
        <x:v>major_purchase</x:v>
      </x:c>
      <x:c r="L1415" t="n">
        <x:v>0</x:v>
      </x:c>
      <x:c r="M1415" t="n">
        <x:v>0</x:v>
      </x:c>
      <x:c r="N1415" t="str">
        <x:v>Fully Paid</x:v>
      </x:c>
      <x:c r="O1415" t="str">
        <x:f>IF(D1415="","Unknown",IF(D1415&lt;25000,"&lt;$25k",IF(D1415&lt;50000,"$25k-$50k",IF(D1415&lt;75000,"$50k-$75k",IF(D1415&lt;100000,"$75k-$100k","$100k+")))))</x:f>
        <x:v>$75k-$100k</x:v>
      </x:c>
      <x:c r="P1415" t="str">
        <x:f>IF(E1415="","Unknown",IF(E1415&lt;10,"&lt;10",IF(E1415&lt;20,"10-&lt;20",IF(E1415&lt;25,"20-&lt;25",IF(E1415&lt;35,"25-&lt;35","35+")))))</x:f>
        <x:v>25-&lt;35</x:v>
      </x:c>
    </x:row>
    <x:row r="1416">
      <x:c r="A1416" t="str">
        <x:v>SYN0001415</x:v>
      </x:c>
      <x:c r="B1416" s="12" t="n">
        <x:v>43075</x:v>
      </x:c>
      <x:c r="C1416" s="18" t="n">
        <x:v>17021</x:v>
      </x:c>
      <x:c r="D1416" s="18" t="n">
        <x:v>29688</x:v>
      </x:c>
      <x:c r="E1416" s="18" t="n">
        <x:v>16.33</x:v>
      </x:c>
      <x:c r="F1416" s="18" t="n">
        <x:v>9.95</x:v>
      </x:c>
      <x:c r="G1416" t="n">
        <x:v>36</x:v>
      </x:c>
      <x:c r="H1416" t="str">
        <x:v>C</x:v>
      </x:c>
      <x:c r="I1416" t="str">
        <x:v>1-3 years</x:v>
      </x:c>
      <x:c r="J1416" t="str">
        <x:v>OWN</x:v>
      </x:c>
      <x:c r="K1416" t="str">
        <x:v>credit_card</x:v>
      </x:c>
      <x:c r="L1416" t="n">
        <x:v>0</x:v>
      </x:c>
      <x:c r="M1416" t="n">
        <x:v>0</x:v>
      </x:c>
      <x:c r="N1416" t="str">
        <x:v>Fully Paid</x:v>
      </x:c>
      <x:c r="O1416" t="str">
        <x:f>IF(D1416="","Unknown",IF(D1416&lt;25000,"&lt;$25k",IF(D1416&lt;50000,"$25k-$50k",IF(D1416&lt;75000,"$50k-$75k",IF(D1416&lt;100000,"$75k-$100k","$100k+")))))</x:f>
        <x:v>$25k-$50k</x:v>
      </x:c>
      <x:c r="P1416" t="str">
        <x:f>IF(E1416="","Unknown",IF(E1416&lt;10,"&lt;10",IF(E1416&lt;20,"10-&lt;20",IF(E1416&lt;25,"20-&lt;25",IF(E1416&lt;35,"25-&lt;35","35+")))))</x:f>
        <x:v>10-&lt;20</x:v>
      </x:c>
    </x:row>
    <x:row r="1417">
      <x:c r="A1417" t="str">
        <x:v>SYN0001416</x:v>
      </x:c>
      <x:c r="B1417" s="12" t="n">
        <x:v>41965</x:v>
      </x:c>
      <x:c r="C1417" s="18" t="n">
        <x:v>18116</x:v>
      </x:c>
      <x:c r="D1417" s="18" t="n">
        <x:v>56683</x:v>
      </x:c>
      <x:c r="E1417" s="18" t="n">
        <x:v>27.32</x:v>
      </x:c>
      <x:c r="F1417" s="18" t="n">
        <x:v>9.44</x:v>
      </x:c>
      <x:c r="G1417" t="n">
        <x:v>36</x:v>
      </x:c>
      <x:c r="H1417" t="str">
        <x:v>B</x:v>
      </x:c>
      <x:c r="I1417" t="str">
        <x:v>1-3 years</x:v>
      </x:c>
      <x:c r="J1417" t="str">
        <x:v>OWN</x:v>
      </x:c>
      <x:c r="K1417" t="str">
        <x:v>debt_consolidation</x:v>
      </x:c>
      <x:c r="L1417" t="n">
        <x:v>0</x:v>
      </x:c>
      <x:c r="M1417" t="n">
        <x:v>0</x:v>
      </x:c>
      <x:c r="N1417" t="str">
        <x:v>Fully Paid</x:v>
      </x:c>
      <x:c r="O1417" t="str">
        <x:f>IF(D1417="","Unknown",IF(D1417&lt;25000,"&lt;$25k",IF(D1417&lt;50000,"$25k-$50k",IF(D1417&lt;75000,"$50k-$75k",IF(D1417&lt;100000,"$75k-$100k","$100k+")))))</x:f>
        <x:v>$50k-$75k</x:v>
      </x:c>
      <x:c r="P1417" t="str">
        <x:f>IF(E1417="","Unknown",IF(E1417&lt;10,"&lt;10",IF(E1417&lt;20,"10-&lt;20",IF(E1417&lt;25,"20-&lt;25",IF(E1417&lt;35,"25-&lt;35","35+")))))</x:f>
        <x:v>25-&lt;35</x:v>
      </x:c>
    </x:row>
    <x:row r="1418">
      <x:c r="A1418" t="str">
        <x:v>SYN0001417</x:v>
      </x:c>
      <x:c r="B1418" s="12" t="n">
        <x:v>43045</x:v>
      </x:c>
      <x:c r="C1418" s="18" t="n">
        <x:v>20909</x:v>
      </x:c>
      <x:c r="D1418" s="18" t="n">
        <x:v>89998</x:v>
      </x:c>
      <x:c r="E1418" s="18" t="n">
        <x:v>21.46</x:v>
      </x:c>
      <x:c r="F1418" s="18" t="n">
        <x:v>12.78</x:v>
      </x:c>
      <x:c r="G1418" t="n">
        <x:v>36</x:v>
      </x:c>
      <x:c r="H1418" t="str">
        <x:v>D</x:v>
      </x:c>
      <x:c r="I1418" t="str">
        <x:v>&lt;1 year</x:v>
      </x:c>
      <x:c r="J1418" t="str">
        <x:v>MORTGAGE</x:v>
      </x:c>
      <x:c r="K1418" t="str">
        <x:v>home_improvement</x:v>
      </x:c>
      <x:c r="L1418" t="n">
        <x:v>2</x:v>
      </x:c>
      <x:c r="M1418" t="n">
        <x:v>0</x:v>
      </x:c>
      <x:c r="N1418" t="str">
        <x:v>Fully Paid</x:v>
      </x:c>
      <x:c r="O1418" t="str">
        <x:f>IF(D1418="","Unknown",IF(D1418&lt;25000,"&lt;$25k",IF(D1418&lt;50000,"$25k-$50k",IF(D1418&lt;75000,"$50k-$75k",IF(D1418&lt;100000,"$75k-$100k","$100k+")))))</x:f>
        <x:v>$75k-$100k</x:v>
      </x:c>
      <x:c r="P1418" t="str">
        <x:f>IF(E1418="","Unknown",IF(E1418&lt;10,"&lt;10",IF(E1418&lt;20,"10-&lt;20",IF(E1418&lt;25,"20-&lt;25",IF(E1418&lt;35,"25-&lt;35","35+")))))</x:f>
        <x:v>20-&lt;25</x:v>
      </x:c>
    </x:row>
    <x:row r="1419">
      <x:c r="A1419" t="str">
        <x:v>SYN0001418</x:v>
      </x:c>
      <x:c r="B1419" s="12" t="n">
        <x:v>41575</x:v>
      </x:c>
      <x:c r="C1419" s="18" t="n">
        <x:v>14797</x:v>
      </x:c>
      <x:c r="D1419" s="18" t="n">
        <x:v>63443</x:v>
      </x:c>
      <x:c r="E1419" s="18" t="n">
        <x:v>9.92</x:v>
      </x:c>
      <x:c r="F1419" s="18" t="n">
        <x:v>8.68</x:v>
      </x:c>
      <x:c r="G1419" t="n">
        <x:v>36</x:v>
      </x:c>
      <x:c r="H1419" t="str">
        <x:v>B</x:v>
      </x:c>
      <x:c r="I1419" t="str">
        <x:v>4-6 years</x:v>
      </x:c>
      <x:c r="J1419" t="str">
        <x:v>MORTGAGE</x:v>
      </x:c>
      <x:c r="K1419" t="str">
        <x:v>credit_card</x:v>
      </x:c>
      <x:c r="L1419" t="n">
        <x:v>0</x:v>
      </x:c>
      <x:c r="M1419" t="n">
        <x:v>0</x:v>
      </x:c>
      <x:c r="N1419" t="str">
        <x:v>Fully Paid</x:v>
      </x:c>
      <x:c r="O1419" t="str">
        <x:f>IF(D1419="","Unknown",IF(D1419&lt;25000,"&lt;$25k",IF(D1419&lt;50000,"$25k-$50k",IF(D1419&lt;75000,"$50k-$75k",IF(D1419&lt;100000,"$75k-$100k","$100k+")))))</x:f>
        <x:v>$50k-$75k</x:v>
      </x:c>
      <x:c r="P1419" t="str">
        <x:f>IF(E1419="","Unknown",IF(E1419&lt;10,"&lt;10",IF(E1419&lt;20,"10-&lt;20",IF(E1419&lt;25,"20-&lt;25",IF(E1419&lt;35,"25-&lt;35","35+")))))</x:f>
        <x:v>&lt;10</x:v>
      </x:c>
    </x:row>
    <x:row r="1420">
      <x:c r="A1420" t="str">
        <x:v>SYN0001419</x:v>
      </x:c>
      <x:c r="B1420" s="12" t="n">
        <x:v>41785</x:v>
      </x:c>
      <x:c r="C1420" s="18" t="n">
        <x:v>6336</x:v>
      </x:c>
      <x:c r="D1420" s="18" t="n">
        <x:v>34660</x:v>
      </x:c>
      <x:c r="E1420" s="18" t="n">
        <x:v>27.01</x:v>
      </x:c>
      <x:c r="F1420" s="18" t="n">
        <x:v>7.08</x:v>
      </x:c>
      <x:c r="G1420" t="n">
        <x:v>36</x:v>
      </x:c>
      <x:c r="H1420" t="str">
        <x:v>B</x:v>
      </x:c>
      <x:c r="I1420" t="str">
        <x:v>&lt;1 year</x:v>
      </x:c>
      <x:c r="J1420" t="str">
        <x:v>MORTGAGE</x:v>
      </x:c>
      <x:c r="K1420" t="str">
        <x:v>medical</x:v>
      </x:c>
      <x:c r="L1420" t="n">
        <x:v>1</x:v>
      </x:c>
      <x:c r="M1420" t="n">
        <x:v>0</x:v>
      </x:c>
      <x:c r="N1420" t="str">
        <x:v>Fully Paid</x:v>
      </x:c>
      <x:c r="O1420" t="str">
        <x:f>IF(D1420="","Unknown",IF(D1420&lt;25000,"&lt;$25k",IF(D1420&lt;50000,"$25k-$50k",IF(D1420&lt;75000,"$50k-$75k",IF(D1420&lt;100000,"$75k-$100k","$100k+")))))</x:f>
        <x:v>$25k-$50k</x:v>
      </x:c>
      <x:c r="P1420" t="str">
        <x:f>IF(E1420="","Unknown",IF(E1420&lt;10,"&lt;10",IF(E1420&lt;20,"10-&lt;20",IF(E1420&lt;25,"20-&lt;25",IF(E1420&lt;35,"25-&lt;35","35+")))))</x:f>
        <x:v>25-&lt;35</x:v>
      </x:c>
    </x:row>
    <x:row r="1421">
      <x:c r="A1421" t="str">
        <x:v>SYN0001420</x:v>
      </x:c>
      <x:c r="B1421" s="12" t="n">
        <x:v>41305</x:v>
      </x:c>
      <x:c r="C1421" s="18" t="n">
        <x:v>10066</x:v>
      </x:c>
      <x:c r="D1421" s="18" t="n">
        <x:v>59800</x:v>
      </x:c>
      <x:c r="E1421" s="18" t="n">
        <x:v>42.33</x:v>
      </x:c>
      <x:c r="F1421" s="18" t="n">
        <x:v>26.07</x:v>
      </x:c>
      <x:c r="G1421" t="n">
        <x:v>36</x:v>
      </x:c>
      <x:c r="H1421" t="str">
        <x:v>G</x:v>
      </x:c>
      <x:c r="I1421" t="str">
        <x:v>10+ years</x:v>
      </x:c>
      <x:c r="J1421" t="str">
        <x:v>MORTGAGE</x:v>
      </x:c>
      <x:c r="K1421" t="str">
        <x:v>debt_consolidation</x:v>
      </x:c>
      <x:c r="L1421" t="n">
        <x:v>0</x:v>
      </x:c>
      <x:c r="M1421" t="n">
        <x:v>0</x:v>
      </x:c>
      <x:c r="N1421" t="str">
        <x:v>Fully Paid</x:v>
      </x:c>
      <x:c r="O1421" t="str">
        <x:f>IF(D1421="","Unknown",IF(D1421&lt;25000,"&lt;$25k",IF(D1421&lt;50000,"$25k-$50k",IF(D1421&lt;75000,"$50k-$75k",IF(D1421&lt;100000,"$75k-$100k","$100k+")))))</x:f>
        <x:v>$50k-$75k</x:v>
      </x:c>
      <x:c r="P1421" t="str">
        <x:f>IF(E1421="","Unknown",IF(E1421&lt;10,"&lt;10",IF(E1421&lt;20,"10-&lt;20",IF(E1421&lt;25,"20-&lt;25",IF(E1421&lt;35,"25-&lt;35","35+")))))</x:f>
        <x:v>35+</x:v>
      </x:c>
    </x:row>
    <x:row r="1422">
      <x:c r="A1422" t="str">
        <x:v>SYN0001421</x:v>
      </x:c>
      <x:c r="B1422" s="12" t="n">
        <x:v>42865</x:v>
      </x:c>
      <x:c r="C1422" s="18" t="n">
        <x:v>11408</x:v>
      </x:c>
      <x:c r="D1422" s="18" t="n">
        <x:v>31008</x:v>
      </x:c>
      <x:c r="E1422" s="18" t="n">
        <x:v>21.74</x:v>
      </x:c>
      <x:c r="F1422" s="18" t="n">
        <x:v>10.74</x:v>
      </x:c>
      <x:c r="G1422" t="n">
        <x:v>36</x:v>
      </x:c>
      <x:c r="H1422" t="str">
        <x:v>C</x:v>
      </x:c>
      <x:c r="I1422" t="str">
        <x:v>1-3 years</x:v>
      </x:c>
      <x:c r="J1422" t="str">
        <x:v>MORTGAGE</x:v>
      </x:c>
      <x:c r="K1422" t="str">
        <x:v>debt_consolidation</x:v>
      </x:c>
      <x:c r="L1422" t="n">
        <x:v>0</x:v>
      </x:c>
      <x:c r="M1422" t="n">
        <x:v>0</x:v>
      </x:c>
      <x:c r="N1422" t="str">
        <x:v>Fully Paid</x:v>
      </x:c>
      <x:c r="O1422" t="str">
        <x:f>IF(D1422="","Unknown",IF(D1422&lt;25000,"&lt;$25k",IF(D1422&lt;50000,"$25k-$50k",IF(D1422&lt;75000,"$50k-$75k",IF(D1422&lt;100000,"$75k-$100k","$100k+")))))</x:f>
        <x:v>$25k-$50k</x:v>
      </x:c>
      <x:c r="P1422" t="str">
        <x:f>IF(E1422="","Unknown",IF(E1422&lt;10,"&lt;10",IF(E1422&lt;20,"10-&lt;20",IF(E1422&lt;25,"20-&lt;25",IF(E1422&lt;35,"25-&lt;35","35+")))))</x:f>
        <x:v>20-&lt;25</x:v>
      </x:c>
    </x:row>
    <x:row r="1423">
      <x:c r="A1423" t="str">
        <x:v>SYN0001422</x:v>
      </x:c>
      <x:c r="B1423" s="12" t="n">
        <x:v>41935</x:v>
      </x:c>
      <x:c r="C1423" s="18" t="n">
        <x:v>13035</x:v>
      </x:c>
      <x:c r="D1423" s="18" t="n">
        <x:v>67175</x:v>
      </x:c>
      <x:c r="E1423" s="18" t="n">
        <x:v>13.03</x:v>
      </x:c>
      <x:c r="F1423" s="18" t="n">
        <x:v>9.88</x:v>
      </x:c>
      <x:c r="G1423" t="n">
        <x:v>60</x:v>
      </x:c>
      <x:c r="H1423" t="str">
        <x:v>C</x:v>
      </x:c>
      <x:c r="I1423" t="str">
        <x:v>7-9 years</x:v>
      </x:c>
      <x:c r="J1423" t="str">
        <x:v>MORTGAGE</x:v>
      </x:c>
      <x:c r="K1423" t="str">
        <x:v>debt_consolidation</x:v>
      </x:c>
      <x:c r="L1423" t="n">
        <x:v>1</x:v>
      </x:c>
      <x:c r="M1423" t="n">
        <x:v>0</x:v>
      </x:c>
      <x:c r="N1423" t="str">
        <x:v>Fully Paid</x:v>
      </x:c>
      <x:c r="O1423" t="str">
        <x:f>IF(D1423="","Unknown",IF(D1423&lt;25000,"&lt;$25k",IF(D1423&lt;50000,"$25k-$50k",IF(D1423&lt;75000,"$50k-$75k",IF(D1423&lt;100000,"$75k-$100k","$100k+")))))</x:f>
        <x:v>$50k-$75k</x:v>
      </x:c>
      <x:c r="P1423" t="str">
        <x:f>IF(E1423="","Unknown",IF(E1423&lt;10,"&lt;10",IF(E1423&lt;20,"10-&lt;20",IF(E1423&lt;25,"20-&lt;25",IF(E1423&lt;35,"25-&lt;35","35+")))))</x:f>
        <x:v>10-&lt;20</x:v>
      </x:c>
    </x:row>
    <x:row r="1424">
      <x:c r="A1424" t="str">
        <x:v>SYN0001423</x:v>
      </x:c>
      <x:c r="B1424" s="12" t="n">
        <x:v>42295</x:v>
      </x:c>
      <x:c r="C1424" s="18" t="n">
        <x:v>5763</x:v>
      </x:c>
      <x:c r="D1424" s="18" t="n">
        <x:v>49209</x:v>
      </x:c>
      <x:c r="E1424" s="18" t="n">
        <x:v>13.26</x:v>
      </x:c>
      <x:c r="F1424" s="18" t="n">
        <x:v>5.89</x:v>
      </x:c>
      <x:c r="G1424" t="n">
        <x:v>36</x:v>
      </x:c>
      <x:c r="H1424" t="str">
        <x:v>A</x:v>
      </x:c>
      <x:c r="I1424" t="str">
        <x:v>7-9 years</x:v>
      </x:c>
      <x:c r="J1424" t="str">
        <x:v>MORTGAGE</x:v>
      </x:c>
      <x:c r="K1424" t="str">
        <x:v>debt_consolidation</x:v>
      </x:c>
      <x:c r="L1424" t="n">
        <x:v>1</x:v>
      </x:c>
      <x:c r="M1424" t="n">
        <x:v>0</x:v>
      </x:c>
      <x:c r="N1424" t="str">
        <x:v>Fully Paid</x:v>
      </x:c>
      <x:c r="O1424" t="str">
        <x:f>IF(D1424="","Unknown",IF(D1424&lt;25000,"&lt;$25k",IF(D1424&lt;50000,"$25k-$50k",IF(D1424&lt;75000,"$50k-$75k",IF(D1424&lt;100000,"$75k-$100k","$100k+")))))</x:f>
        <x:v>$25k-$50k</x:v>
      </x:c>
      <x:c r="P1424" t="str">
        <x:f>IF(E1424="","Unknown",IF(E1424&lt;10,"&lt;10",IF(E1424&lt;20,"10-&lt;20",IF(E1424&lt;25,"20-&lt;25",IF(E1424&lt;35,"25-&lt;35","35+")))))</x:f>
        <x:v>10-&lt;20</x:v>
      </x:c>
    </x:row>
    <x:row r="1425">
      <x:c r="A1425" t="str">
        <x:v>SYN0001424</x:v>
      </x:c>
      <x:c r="B1425" s="12" t="n">
        <x:v>43315</x:v>
      </x:c>
      <x:c r="C1425" s="18" t="n">
        <x:v>10100</x:v>
      </x:c>
      <x:c r="D1425" s="18" t="n">
        <x:v>44331</x:v>
      </x:c>
      <x:c r="E1425" s="18" t="n">
        <x:v>29.71</x:v>
      </x:c>
      <x:c r="F1425" s="18" t="n">
        <x:v>10.85</x:v>
      </x:c>
      <x:c r="G1425" t="n">
        <x:v>36</x:v>
      </x:c>
      <x:c r="H1425" t="str">
        <x:v>C</x:v>
      </x:c>
      <x:c r="I1425" t="str">
        <x:v>10+ years</x:v>
      </x:c>
      <x:c r="J1425" t="str">
        <x:v>MORTGAGE</x:v>
      </x:c>
      <x:c r="K1425" t="str">
        <x:v>major_purchase</x:v>
      </x:c>
      <x:c r="L1425" t="n">
        <x:v>1</x:v>
      </x:c>
      <x:c r="M1425" t="n">
        <x:v>0</x:v>
      </x:c>
      <x:c r="N1425" t="str">
        <x:v>Fully Paid</x:v>
      </x:c>
      <x:c r="O1425" t="str">
        <x:f>IF(D1425="","Unknown",IF(D1425&lt;25000,"&lt;$25k",IF(D1425&lt;50000,"$25k-$50k",IF(D1425&lt;75000,"$50k-$75k",IF(D1425&lt;100000,"$75k-$100k","$100k+")))))</x:f>
        <x:v>$25k-$50k</x:v>
      </x:c>
      <x:c r="P1425" t="str">
        <x:f>IF(E1425="","Unknown",IF(E1425&lt;10,"&lt;10",IF(E1425&lt;20,"10-&lt;20",IF(E1425&lt;25,"20-&lt;25",IF(E1425&lt;35,"25-&lt;35","35+")))))</x:f>
        <x:v>25-&lt;35</x:v>
      </x:c>
    </x:row>
    <x:row r="1426">
      <x:c r="A1426" t="str">
        <x:v>SYN0001425</x:v>
      </x:c>
      <x:c r="B1426" s="12" t="n">
        <x:v>42535</x:v>
      </x:c>
      <x:c r="C1426" s="18" t="n">
        <x:v>8545</x:v>
      </x:c>
      <x:c r="D1426" s="18" t="n">
        <x:v>85558</x:v>
      </x:c>
      <x:c r="E1426" s="18" t="n">
        <x:v>31.72</x:v>
      </x:c>
      <x:c r="F1426" s="18" t="n">
        <x:v>7.08</x:v>
      </x:c>
      <x:c r="G1426" t="n">
        <x:v>36</x:v>
      </x:c>
      <x:c r="H1426" t="str">
        <x:v>B</x:v>
      </x:c>
      <x:c r="I1426" t="str">
        <x:v>7-9 years</x:v>
      </x:c>
      <x:c r="J1426" t="str">
        <x:v>MORTGAGE</x:v>
      </x:c>
      <x:c r="K1426" t="str">
        <x:v>debt_consolidation</x:v>
      </x:c>
      <x:c r="L1426" t="n">
        <x:v>1</x:v>
      </x:c>
      <x:c r="M1426" t="n">
        <x:v>0</x:v>
      </x:c>
      <x:c r="N1426" t="str">
        <x:v>Fully Paid</x:v>
      </x:c>
      <x:c r="O1426" t="str">
        <x:f>IF(D1426="","Unknown",IF(D1426&lt;25000,"&lt;$25k",IF(D1426&lt;50000,"$25k-$50k",IF(D1426&lt;75000,"$50k-$75k",IF(D1426&lt;100000,"$75k-$100k","$100k+")))))</x:f>
        <x:v>$75k-$100k</x:v>
      </x:c>
      <x:c r="P1426" t="str">
        <x:f>IF(E1426="","Unknown",IF(E1426&lt;10,"&lt;10",IF(E1426&lt;20,"10-&lt;20",IF(E1426&lt;25,"20-&lt;25",IF(E1426&lt;35,"25-&lt;35","35+")))))</x:f>
        <x:v>25-&lt;35</x:v>
      </x:c>
    </x:row>
    <x:row r="1427">
      <x:c r="A1427" t="str">
        <x:v>SYN0001426</x:v>
      </x:c>
      <x:c r="B1427" s="12" t="n">
        <x:v>42085</x:v>
      </x:c>
      <x:c r="C1427" s="18" t="n">
        <x:v>12487</x:v>
      </x:c>
      <x:c r="D1427" s="18" t="n">
        <x:v>14892</x:v>
      </x:c>
      <x:c r="E1427" s="18" t="n">
        <x:v>36.64</x:v>
      </x:c>
      <x:c r="F1427" s="18" t="n">
        <x:v>11.85</x:v>
      </x:c>
      <x:c r="G1427" t="n">
        <x:v>36</x:v>
      </x:c>
      <x:c r="H1427" t="str">
        <x:v>C</x:v>
      </x:c>
      <x:c r="I1427" t="str">
        <x:v>1-3 years</x:v>
      </x:c>
      <x:c r="J1427" t="str">
        <x:v>OWN</x:v>
      </x:c>
      <x:c r="K1427" t="str">
        <x:v>major_purchase</x:v>
      </x:c>
      <x:c r="L1427" t="n">
        <x:v>1</x:v>
      </x:c>
      <x:c r="M1427" t="n">
        <x:v>0</x:v>
      </x:c>
      <x:c r="N1427" t="str">
        <x:v>Fully Paid</x:v>
      </x:c>
      <x:c r="O1427" t="str">
        <x:f>IF(D1427="","Unknown",IF(D1427&lt;25000,"&lt;$25k",IF(D1427&lt;50000,"$25k-$50k",IF(D1427&lt;75000,"$50k-$75k",IF(D1427&lt;100000,"$75k-$100k","$100k+")))))</x:f>
        <x:v>&lt;$25k</x:v>
      </x:c>
      <x:c r="P1427" t="str">
        <x:f>IF(E1427="","Unknown",IF(E1427&lt;10,"&lt;10",IF(E1427&lt;20,"10-&lt;20",IF(E1427&lt;25,"20-&lt;25",IF(E1427&lt;35,"25-&lt;35","35+")))))</x:f>
        <x:v>35+</x:v>
      </x:c>
    </x:row>
    <x:row r="1428">
      <x:c r="A1428" t="str">
        <x:v>SYN0001427</x:v>
      </x:c>
      <x:c r="B1428" s="12" t="n">
        <x:v>42115</x:v>
      </x:c>
      <x:c r="C1428" s="18" t="n">
        <x:v>6590</x:v>
      </x:c>
      <x:c r="D1428" s="18" t="n">
        <x:v>16077</x:v>
      </x:c>
      <x:c r="E1428" s="18" t="n">
        <x:v>21.96</x:v>
      </x:c>
      <x:c r="F1428" s="18" t="n">
        <x:v>8.15</x:v>
      </x:c>
      <x:c r="G1428" t="n">
        <x:v>36</x:v>
      </x:c>
      <x:c r="H1428" t="str">
        <x:v>A</x:v>
      </x:c>
      <x:c r="I1428" t="str">
        <x:v>1-3 years</x:v>
      </x:c>
      <x:c r="J1428" t="str">
        <x:v>RENT</x:v>
      </x:c>
      <x:c r="K1428" t="str">
        <x:v>home_improvement</x:v>
      </x:c>
      <x:c r="L1428" t="n">
        <x:v>0</x:v>
      </x:c>
      <x:c r="M1428" t="n">
        <x:v>0</x:v>
      </x:c>
      <x:c r="N1428" t="str">
        <x:v>Fully Paid</x:v>
      </x:c>
      <x:c r="O1428" t="str">
        <x:f>IF(D1428="","Unknown",IF(D1428&lt;25000,"&lt;$25k",IF(D1428&lt;50000,"$25k-$50k",IF(D1428&lt;75000,"$50k-$75k",IF(D1428&lt;100000,"$75k-$100k","$100k+")))))</x:f>
        <x:v>&lt;$25k</x:v>
      </x:c>
      <x:c r="P1428" t="str">
        <x:f>IF(E1428="","Unknown",IF(E1428&lt;10,"&lt;10",IF(E1428&lt;20,"10-&lt;20",IF(E1428&lt;25,"20-&lt;25",IF(E1428&lt;35,"25-&lt;35","35+")))))</x:f>
        <x:v>20-&lt;25</x:v>
      </x:c>
    </x:row>
    <x:row r="1429">
      <x:c r="A1429" t="str">
        <x:v>SYN0001428</x:v>
      </x:c>
      <x:c r="B1429" s="12" t="n">
        <x:v>42685</x:v>
      </x:c>
      <x:c r="C1429" s="18" t="n">
        <x:v>14313</x:v>
      </x:c>
      <x:c r="D1429" s="18" t="n">
        <x:v>70757</x:v>
      </x:c>
      <x:c r="E1429" s="18" t="n">
        <x:v>27.87</x:v>
      </x:c>
      <x:c r="F1429" s="18" t="n">
        <x:v>13.8</x:v>
      </x:c>
      <x:c r="G1429" t="n">
        <x:v>36</x:v>
      </x:c>
      <x:c r="H1429" t="str">
        <x:v>D</x:v>
      </x:c>
      <x:c r="I1429" t="str">
        <x:v>10+ years</x:v>
      </x:c>
      <x:c r="J1429" t="str">
        <x:v>RENT</x:v>
      </x:c>
      <x:c r="K1429" t="str">
        <x:v>credit_card</x:v>
      </x:c>
      <x:c r="L1429" t="n">
        <x:v>1</x:v>
      </x:c>
      <x:c r="M1429" t="n">
        <x:v>0</x:v>
      </x:c>
      <x:c r="N1429" t="str">
        <x:v>Fully Paid</x:v>
      </x:c>
      <x:c r="O1429" t="str">
        <x:f>IF(D1429="","Unknown",IF(D1429&lt;25000,"&lt;$25k",IF(D1429&lt;50000,"$25k-$50k",IF(D1429&lt;75000,"$50k-$75k",IF(D1429&lt;100000,"$75k-$100k","$100k+")))))</x:f>
        <x:v>$50k-$75k</x:v>
      </x:c>
      <x:c r="P1429" t="str">
        <x:f>IF(E1429="","Unknown",IF(E1429&lt;10,"&lt;10",IF(E1429&lt;20,"10-&lt;20",IF(E1429&lt;25,"20-&lt;25",IF(E1429&lt;35,"25-&lt;35","35+")))))</x:f>
        <x:v>25-&lt;35</x:v>
      </x:c>
    </x:row>
    <x:row r="1430">
      <x:c r="A1430" t="str">
        <x:v>SYN0001429</x:v>
      </x:c>
      <x:c r="B1430" s="12" t="n">
        <x:v>41425</x:v>
      </x:c>
      <x:c r="C1430" s="18" t="n">
        <x:v>8815</x:v>
      </x:c>
      <x:c r="D1430" s="18" t="n">
        <x:v>28194</x:v>
      </x:c>
      <x:c r="E1430" s="18" t="n">
        <x:v>25.54</x:v>
      </x:c>
      <x:c r="F1430" s="18" t="n">
        <x:v>9.59</x:v>
      </x:c>
      <x:c r="G1430" t="n">
        <x:v>36</x:v>
      </x:c>
      <x:c r="H1430" t="str">
        <x:v>C</x:v>
      </x:c>
      <x:c r="I1430" t="str">
        <x:v>10+ years</x:v>
      </x:c>
      <x:c r="J1430" t="str">
        <x:v>OWN</x:v>
      </x:c>
      <x:c r="K1430" t="str">
        <x:v>major_purchase</x:v>
      </x:c>
      <x:c r="L1430" t="n">
        <x:v>0</x:v>
      </x:c>
      <x:c r="M1430" t="n">
        <x:v>0</x:v>
      </x:c>
      <x:c r="N1430" t="str">
        <x:v>Fully Paid</x:v>
      </x:c>
      <x:c r="O1430" t="str">
        <x:f>IF(D1430="","Unknown",IF(D1430&lt;25000,"&lt;$25k",IF(D1430&lt;50000,"$25k-$50k",IF(D1430&lt;75000,"$50k-$75k",IF(D1430&lt;100000,"$75k-$100k","$100k+")))))</x:f>
        <x:v>$25k-$50k</x:v>
      </x:c>
      <x:c r="P1430" t="str">
        <x:f>IF(E1430="","Unknown",IF(E1430&lt;10,"&lt;10",IF(E1430&lt;20,"10-&lt;20",IF(E1430&lt;25,"20-&lt;25",IF(E1430&lt;35,"25-&lt;35","35+")))))</x:f>
        <x:v>25-&lt;35</x:v>
      </x:c>
    </x:row>
    <x:row r="1431">
      <x:c r="A1431" t="str">
        <x:v>SYN0001430</x:v>
      </x:c>
      <x:c r="B1431" s="12" t="n">
        <x:v>42985</x:v>
      </x:c>
      <x:c r="C1431" s="18" t="n">
        <x:v>9120</x:v>
      </x:c>
      <x:c r="D1431" s="18" t="n">
        <x:v>34252</x:v>
      </x:c>
      <x:c r="E1431" s="18" t="n">
        <x:v>31.44</x:v>
      </x:c>
      <x:c r="F1431" s="18" t="n">
        <x:v>9.06</x:v>
      </x:c>
      <x:c r="G1431" t="n">
        <x:v>36</x:v>
      </x:c>
      <x:c r="H1431" t="str">
        <x:v>C</x:v>
      </x:c>
      <x:c r="I1431" t="str">
        <x:v>1-3 years</x:v>
      </x:c>
      <x:c r="J1431" t="str">
        <x:v>RENT</x:v>
      </x:c>
      <x:c r="K1431" t="str">
        <x:v>major_purchase</x:v>
      </x:c>
      <x:c r="L1431" t="n">
        <x:v>0</x:v>
      </x:c>
      <x:c r="M1431" t="n">
        <x:v>0</x:v>
      </x:c>
      <x:c r="N1431" t="str">
        <x:v>Fully Paid</x:v>
      </x:c>
      <x:c r="O1431" t="str">
        <x:f>IF(D1431="","Unknown",IF(D1431&lt;25000,"&lt;$25k",IF(D1431&lt;50000,"$25k-$50k",IF(D1431&lt;75000,"$50k-$75k",IF(D1431&lt;100000,"$75k-$100k","$100k+")))))</x:f>
        <x:v>$25k-$50k</x:v>
      </x:c>
      <x:c r="P1431" t="str">
        <x:f>IF(E1431="","Unknown",IF(E1431&lt;10,"&lt;10",IF(E1431&lt;20,"10-&lt;20",IF(E1431&lt;25,"20-&lt;25",IF(E1431&lt;35,"25-&lt;35","35+")))))</x:f>
        <x:v>25-&lt;35</x:v>
      </x:c>
    </x:row>
    <x:row r="1432">
      <x:c r="A1432" t="str">
        <x:v>SYN0001431</x:v>
      </x:c>
      <x:c r="B1432" s="12" t="n">
        <x:v>42565</x:v>
      </x:c>
      <x:c r="C1432" s="18" t="n">
        <x:v>8560</x:v>
      </x:c>
      <x:c r="D1432" s="18" t="n">
        <x:v>24176</x:v>
      </x:c>
      <x:c r="E1432" s="18" t="n">
        <x:v>44.61</x:v>
      </x:c>
      <x:c r="F1432" s="18" t="n">
        <x:v>14.54</x:v>
      </x:c>
      <x:c r="G1432" t="n">
        <x:v>36</x:v>
      </x:c>
      <x:c r="H1432" t="str">
        <x:v>D</x:v>
      </x:c>
      <x:c r="I1432" t="str">
        <x:v>10+ years</x:v>
      </x:c>
      <x:c r="J1432" t="str">
        <x:v>MORTGAGE</x:v>
      </x:c>
      <x:c r="K1432" t="str">
        <x:v>debt_consolidation</x:v>
      </x:c>
      <x:c r="L1432" t="n">
        <x:v>1</x:v>
      </x:c>
      <x:c r="M1432" t="n">
        <x:v>1</x:v>
      </x:c>
      <x:c r="N1432" t="str">
        <x:v>Charged Off</x:v>
      </x:c>
      <x:c r="O1432" t="str">
        <x:f>IF(D1432="","Unknown",IF(D1432&lt;25000,"&lt;$25k",IF(D1432&lt;50000,"$25k-$50k",IF(D1432&lt;75000,"$50k-$75k",IF(D1432&lt;100000,"$75k-$100k","$100k+")))))</x:f>
        <x:v>&lt;$25k</x:v>
      </x:c>
      <x:c r="P1432" t="str">
        <x:f>IF(E1432="","Unknown",IF(E1432&lt;10,"&lt;10",IF(E1432&lt;20,"10-&lt;20",IF(E1432&lt;25,"20-&lt;25",IF(E1432&lt;35,"25-&lt;35","35+")))))</x:f>
        <x:v>35+</x:v>
      </x:c>
    </x:row>
    <x:row r="1433">
      <x:c r="A1433" t="str">
        <x:v>SYN0001432</x:v>
      </x:c>
      <x:c r="B1433" s="12" t="n">
        <x:v>43405</x:v>
      </x:c>
      <x:c r="C1433" s="18" t="n">
        <x:v>11593</x:v>
      </x:c>
      <x:c r="D1433" s="18" t="n">
        <x:v>53503</x:v>
      </x:c>
      <x:c r="E1433" s="18" t="n">
        <x:v>15.55</x:v>
      </x:c>
      <x:c r="F1433" s="18" t="n">
        <x:v>8.02</x:v>
      </x:c>
      <x:c r="G1433" t="n">
        <x:v>60</x:v>
      </x:c>
      <x:c r="H1433" t="str">
        <x:v>B</x:v>
      </x:c>
      <x:c r="I1433" t="str">
        <x:v>1-3 years</x:v>
      </x:c>
      <x:c r="J1433" t="str">
        <x:v>MORTGAGE</x:v>
      </x:c>
      <x:c r="K1433" t="str">
        <x:v>debt_consolidation</x:v>
      </x:c>
      <x:c r="L1433" t="n">
        <x:v>0</x:v>
      </x:c>
      <x:c r="M1433" t="n">
        <x:v>0</x:v>
      </x:c>
      <x:c r="N1433" t="str">
        <x:v>Fully Paid</x:v>
      </x:c>
      <x:c r="O1433" t="str">
        <x:f>IF(D1433="","Unknown",IF(D1433&lt;25000,"&lt;$25k",IF(D1433&lt;50000,"$25k-$50k",IF(D1433&lt;75000,"$50k-$75k",IF(D1433&lt;100000,"$75k-$100k","$100k+")))))</x:f>
        <x:v>$50k-$75k</x:v>
      </x:c>
      <x:c r="P1433" t="str">
        <x:f>IF(E1433="","Unknown",IF(E1433&lt;10,"&lt;10",IF(E1433&lt;20,"10-&lt;20",IF(E1433&lt;25,"20-&lt;25",IF(E1433&lt;35,"25-&lt;35","35+")))))</x:f>
        <x:v>10-&lt;20</x:v>
      </x:c>
    </x:row>
    <x:row r="1434">
      <x:c r="A1434" t="str">
        <x:v>SYN0001433</x:v>
      </x:c>
      <x:c r="B1434" s="12" t="n">
        <x:v>42475</x:v>
      </x:c>
      <x:c r="C1434" s="18" t="n">
        <x:v>17953</x:v>
      </x:c>
      <x:c r="D1434" s="18" t="n">
        <x:v>42045</x:v>
      </x:c>
      <x:c r="E1434" s="18" t="n">
        <x:v>29.86</x:v>
      </x:c>
      <x:c r="F1434" s="18" t="n">
        <x:v>7.47</x:v>
      </x:c>
      <x:c r="G1434" t="n">
        <x:v>36</x:v>
      </x:c>
      <x:c r="H1434" t="str">
        <x:v>B</x:v>
      </x:c>
      <x:c r="I1434" t="str">
        <x:v>4-6 years</x:v>
      </x:c>
      <x:c r="J1434" t="str">
        <x:v>MORTGAGE</x:v>
      </x:c>
      <x:c r="K1434" t="str">
        <x:v>debt_consolidation</x:v>
      </x:c>
      <x:c r="L1434" t="n">
        <x:v>1</x:v>
      </x:c>
      <x:c r="M1434" t="n">
        <x:v>0</x:v>
      </x:c>
      <x:c r="N1434" t="str">
        <x:v>Fully Paid</x:v>
      </x:c>
      <x:c r="O1434" t="str">
        <x:f>IF(D1434="","Unknown",IF(D1434&lt;25000,"&lt;$25k",IF(D1434&lt;50000,"$25k-$50k",IF(D1434&lt;75000,"$50k-$75k",IF(D1434&lt;100000,"$75k-$100k","$100k+")))))</x:f>
        <x:v>$25k-$50k</x:v>
      </x:c>
      <x:c r="P1434" t="str">
        <x:f>IF(E1434="","Unknown",IF(E1434&lt;10,"&lt;10",IF(E1434&lt;20,"10-&lt;20",IF(E1434&lt;25,"20-&lt;25",IF(E1434&lt;35,"25-&lt;35","35+")))))</x:f>
        <x:v>25-&lt;35</x:v>
      </x:c>
    </x:row>
    <x:row r="1435">
      <x:c r="A1435" t="str">
        <x:v>SYN0001434</x:v>
      </x:c>
      <x:c r="B1435" s="12" t="n">
        <x:v>43315</x:v>
      </x:c>
      <x:c r="C1435" s="18" t="n">
        <x:v>5113</x:v>
      </x:c>
      <x:c r="D1435" s="18" t="n">
        <x:v>46665</x:v>
      </x:c>
      <x:c r="E1435" s="18" t="n">
        <x:v>43.49</x:v>
      </x:c>
      <x:c r="F1435" s="18" t="n">
        <x:v>20.65</x:v>
      </x:c>
      <x:c r="G1435" t="n">
        <x:v>36</x:v>
      </x:c>
      <x:c r="H1435" t="str">
        <x:v>F</x:v>
      </x:c>
      <x:c r="I1435" t="str">
        <x:v>10+ years</x:v>
      </x:c>
      <x:c r="J1435" t="str">
        <x:v>MORTGAGE</x:v>
      </x:c>
      <x:c r="K1435" t="str">
        <x:v>debt_consolidation</x:v>
      </x:c>
      <x:c r="L1435" t="n">
        <x:v>0</x:v>
      </x:c>
      <x:c r="M1435" t="n">
        <x:v>0</x:v>
      </x:c>
      <x:c r="N1435" t="str">
        <x:v>Fully Paid</x:v>
      </x:c>
      <x:c r="O1435" t="str">
        <x:f>IF(D1435="","Unknown",IF(D1435&lt;25000,"&lt;$25k",IF(D1435&lt;50000,"$25k-$50k",IF(D1435&lt;75000,"$50k-$75k",IF(D1435&lt;100000,"$75k-$100k","$100k+")))))</x:f>
        <x:v>$25k-$50k</x:v>
      </x:c>
      <x:c r="P1435" t="str">
        <x:f>IF(E1435="","Unknown",IF(E1435&lt;10,"&lt;10",IF(E1435&lt;20,"10-&lt;20",IF(E1435&lt;25,"20-&lt;25",IF(E1435&lt;35,"25-&lt;35","35+")))))</x:f>
        <x:v>35+</x:v>
      </x:c>
    </x:row>
    <x:row r="1436">
      <x:c r="A1436" t="str">
        <x:v>SYN0001435</x:v>
      </x:c>
      <x:c r="B1436" s="12" t="n">
        <x:v>42775</x:v>
      </x:c>
      <x:c r="C1436" s="18" t="n">
        <x:v>4118</x:v>
      </x:c>
      <x:c r="D1436" s="18" t="n">
        <x:v>54193</x:v>
      </x:c>
      <x:c r="E1436" s="18" t="n">
        <x:v>13.25</x:v>
      </x:c>
      <x:c r="F1436" s="18" t="n">
        <x:v>11.69</x:v>
      </x:c>
      <x:c r="G1436" t="n">
        <x:v>36</x:v>
      </x:c>
      <x:c r="H1436" t="str">
        <x:v>D</x:v>
      </x:c>
      <x:c r="I1436" t="str">
        <x:v>7-9 years</x:v>
      </x:c>
      <x:c r="J1436" t="str">
        <x:v>MORTGAGE</x:v>
      </x:c>
      <x:c r="K1436" t="str">
        <x:v>debt_consolidation</x:v>
      </x:c>
      <x:c r="L1436" t="n">
        <x:v>0</x:v>
      </x:c>
      <x:c r="M1436" t="n">
        <x:v>0</x:v>
      </x:c>
      <x:c r="N1436" t="str">
        <x:v>Fully Paid</x:v>
      </x:c>
      <x:c r="O1436" t="str">
        <x:f>IF(D1436="","Unknown",IF(D1436&lt;25000,"&lt;$25k",IF(D1436&lt;50000,"$25k-$50k",IF(D1436&lt;75000,"$50k-$75k",IF(D1436&lt;100000,"$75k-$100k","$100k+")))))</x:f>
        <x:v>$50k-$75k</x:v>
      </x:c>
      <x:c r="P1436" t="str">
        <x:f>IF(E1436="","Unknown",IF(E1436&lt;10,"&lt;10",IF(E1436&lt;20,"10-&lt;20",IF(E1436&lt;25,"20-&lt;25",IF(E1436&lt;35,"25-&lt;35","35+")))))</x:f>
        <x:v>10-&lt;20</x:v>
      </x:c>
    </x:row>
    <x:row r="1437">
      <x:c r="A1437" t="str">
        <x:v>SYN0001436</x:v>
      </x:c>
      <x:c r="B1437" s="12" t="n">
        <x:v>42415</x:v>
      </x:c>
      <x:c r="C1437" s="18" t="n">
        <x:v>11540</x:v>
      </x:c>
      <x:c r="D1437" s="18" t="n">
        <x:v>54368</x:v>
      </x:c>
      <x:c r="E1437" s="18" t="n">
        <x:v>21.46</x:v>
      </x:c>
      <x:c r="F1437" s="18" t="n">
        <x:v>16.26</x:v>
      </x:c>
      <x:c r="G1437" t="n">
        <x:v>36</x:v>
      </x:c>
      <x:c r="H1437" t="str">
        <x:v>E</x:v>
      </x:c>
      <x:c r="I1437" t="str">
        <x:v>&lt;1 year</x:v>
      </x:c>
      <x:c r="J1437" t="str">
        <x:v>MORTGAGE</x:v>
      </x:c>
      <x:c r="K1437" t="str">
        <x:v>debt_consolidation</x:v>
      </x:c>
      <x:c r="L1437" t="n">
        <x:v>2</x:v>
      </x:c>
      <x:c r="M1437" t="n">
        <x:v>0</x:v>
      </x:c>
      <x:c r="N1437" t="str">
        <x:v>Fully Paid</x:v>
      </x:c>
      <x:c r="O1437" t="str">
        <x:f>IF(D1437="","Unknown",IF(D1437&lt;25000,"&lt;$25k",IF(D1437&lt;50000,"$25k-$50k",IF(D1437&lt;75000,"$50k-$75k",IF(D1437&lt;100000,"$75k-$100k","$100k+")))))</x:f>
        <x:v>$50k-$75k</x:v>
      </x:c>
      <x:c r="P1437" t="str">
        <x:f>IF(E1437="","Unknown",IF(E1437&lt;10,"&lt;10",IF(E1437&lt;20,"10-&lt;20",IF(E1437&lt;25,"20-&lt;25",IF(E1437&lt;35,"25-&lt;35","35+")))))</x:f>
        <x:v>20-&lt;25</x:v>
      </x:c>
    </x:row>
    <x:row r="1438">
      <x:c r="A1438" t="str">
        <x:v>SYN0001437</x:v>
      </x:c>
      <x:c r="B1438" s="12" t="n">
        <x:v>42385</x:v>
      </x:c>
      <x:c r="C1438" s="18" t="n">
        <x:v>16369</x:v>
      </x:c>
      <x:c r="D1438" s="18" t="n">
        <x:v>33272</x:v>
      </x:c>
      <x:c r="E1438" s="18" t="n">
        <x:v>33.21</x:v>
      </x:c>
      <x:c r="F1438" s="18" t="n">
        <x:v>7.9</x:v>
      </x:c>
      <x:c r="G1438" t="n">
        <x:v>36</x:v>
      </x:c>
      <x:c r="H1438" t="str">
        <x:v>A</x:v>
      </x:c>
      <x:c r="I1438" t="str">
        <x:v>10+ years</x:v>
      </x:c>
      <x:c r="J1438" t="str">
        <x:v>RENT</x:v>
      </x:c>
      <x:c r="K1438" t="str">
        <x:v>debt_consolidation</x:v>
      </x:c>
      <x:c r="L1438" t="n">
        <x:v>0</x:v>
      </x:c>
      <x:c r="M1438" t="n">
        <x:v>0</x:v>
      </x:c>
      <x:c r="N1438" t="str">
        <x:v>Fully Paid</x:v>
      </x:c>
      <x:c r="O1438" t="str">
        <x:f>IF(D1438="","Unknown",IF(D1438&lt;25000,"&lt;$25k",IF(D1438&lt;50000,"$25k-$50k",IF(D1438&lt;75000,"$50k-$75k",IF(D1438&lt;100000,"$75k-$100k","$100k+")))))</x:f>
        <x:v>$25k-$50k</x:v>
      </x:c>
      <x:c r="P1438" t="str">
        <x:f>IF(E1438="","Unknown",IF(E1438&lt;10,"&lt;10",IF(E1438&lt;20,"10-&lt;20",IF(E1438&lt;25,"20-&lt;25",IF(E1438&lt;35,"25-&lt;35","35+")))))</x:f>
        <x:v>25-&lt;35</x:v>
      </x:c>
    </x:row>
    <x:row r="1439">
      <x:c r="A1439" t="str">
        <x:v>SYN0001438</x:v>
      </x:c>
      <x:c r="B1439" s="12" t="n">
        <x:v>43375</x:v>
      </x:c>
      <x:c r="C1439" s="18" t="n">
        <x:v>19493</x:v>
      </x:c>
      <x:c r="D1439" s="18" t="n">
        <x:v>54270</x:v>
      </x:c>
      <x:c r="E1439" s="18" t="n">
        <x:v>4.23</x:v>
      </x:c>
      <x:c r="F1439" s="18" t="n">
        <x:v>6.64</x:v>
      </x:c>
      <x:c r="G1439" t="n">
        <x:v>36</x:v>
      </x:c>
      <x:c r="H1439" t="str">
        <x:v>A</x:v>
      </x:c>
      <x:c r="I1439" t="str">
        <x:v>4-6 years</x:v>
      </x:c>
      <x:c r="J1439" t="str">
        <x:v>RENT</x:v>
      </x:c>
      <x:c r="K1439" t="str">
        <x:v>other</x:v>
      </x:c>
      <x:c r="L1439" t="n">
        <x:v>0</x:v>
      </x:c>
      <x:c r="M1439" t="n">
        <x:v>0</x:v>
      </x:c>
      <x:c r="N1439" t="str">
        <x:v>Fully Paid</x:v>
      </x:c>
      <x:c r="O1439" t="str">
        <x:f>IF(D1439="","Unknown",IF(D1439&lt;25000,"&lt;$25k",IF(D1439&lt;50000,"$25k-$50k",IF(D1439&lt;75000,"$50k-$75k",IF(D1439&lt;100000,"$75k-$100k","$100k+")))))</x:f>
        <x:v>$50k-$75k</x:v>
      </x:c>
      <x:c r="P1439" t="str">
        <x:f>IF(E1439="","Unknown",IF(E1439&lt;10,"&lt;10",IF(E1439&lt;20,"10-&lt;20",IF(E1439&lt;25,"20-&lt;25",IF(E1439&lt;35,"25-&lt;35","35+")))))</x:f>
        <x:v>&lt;10</x:v>
      </x:c>
    </x:row>
    <x:row r="1440">
      <x:c r="A1440" t="str">
        <x:v>SYN0001439</x:v>
      </x:c>
      <x:c r="B1440" s="12" t="n">
        <x:v>41275</x:v>
      </x:c>
      <x:c r="C1440" s="18" t="n">
        <x:v>8792</x:v>
      </x:c>
      <x:c r="D1440" s="18" t="n">
        <x:v>111693</x:v>
      </x:c>
      <x:c r="E1440" s="18" t="n">
        <x:v>31.88</x:v>
      </x:c>
      <x:c r="F1440" s="18" t="n">
        <x:v>14.87</x:v>
      </x:c>
      <x:c r="G1440" t="n">
        <x:v>36</x:v>
      </x:c>
      <x:c r="H1440" t="str">
        <x:v>D</x:v>
      </x:c>
      <x:c r="I1440" t="str">
        <x:v>10+ years</x:v>
      </x:c>
      <x:c r="J1440" t="str">
        <x:v>RENT</x:v>
      </x:c>
      <x:c r="K1440" t="str">
        <x:v>debt_consolidation</x:v>
      </x:c>
      <x:c r="L1440" t="n">
        <x:v>1</x:v>
      </x:c>
      <x:c r="M1440" t="n">
        <x:v>0</x:v>
      </x:c>
      <x:c r="N1440" t="str">
        <x:v>Fully Paid</x:v>
      </x:c>
      <x:c r="O1440" t="str">
        <x:f>IF(D1440="","Unknown",IF(D1440&lt;25000,"&lt;$25k",IF(D1440&lt;50000,"$25k-$50k",IF(D1440&lt;75000,"$50k-$75k",IF(D1440&lt;100000,"$75k-$100k","$100k+")))))</x:f>
        <x:v>$100k+</x:v>
      </x:c>
      <x:c r="P1440" t="str">
        <x:f>IF(E1440="","Unknown",IF(E1440&lt;10,"&lt;10",IF(E1440&lt;20,"10-&lt;20",IF(E1440&lt;25,"20-&lt;25",IF(E1440&lt;35,"25-&lt;35","35+")))))</x:f>
        <x:v>25-&lt;35</x:v>
      </x:c>
    </x:row>
    <x:row r="1441">
      <x:c r="A1441" t="str">
        <x:v>SYN0001440</x:v>
      </x:c>
      <x:c r="B1441" s="12" t="n">
        <x:v>41275</x:v>
      </x:c>
      <x:c r="C1441" s="18" t="n">
        <x:v>7462</x:v>
      </x:c>
      <x:c r="D1441" s="18" t="n">
        <x:v>16410</x:v>
      </x:c>
      <x:c r="E1441" s="18" t="n">
        <x:v>16.66</x:v>
      </x:c>
      <x:c r="F1441" s="18" t="n">
        <x:v>7.23</x:v>
      </x:c>
      <x:c r="G1441" t="n">
        <x:v>60</x:v>
      </x:c>
      <x:c r="H1441" t="str">
        <x:v>B</x:v>
      </x:c>
      <x:c r="I1441" t="str">
        <x:v>10+ years</x:v>
      </x:c>
      <x:c r="J1441" t="str">
        <x:v>MORTGAGE</x:v>
      </x:c>
      <x:c r="K1441" t="str">
        <x:v>debt_consolidation</x:v>
      </x:c>
      <x:c r="L1441" t="n">
        <x:v>0</x:v>
      </x:c>
      <x:c r="M1441" t="n">
        <x:v>0</x:v>
      </x:c>
      <x:c r="N1441" t="str">
        <x:v>Fully Paid</x:v>
      </x:c>
      <x:c r="O1441" t="str">
        <x:f>IF(D1441="","Unknown",IF(D1441&lt;25000,"&lt;$25k",IF(D1441&lt;50000,"$25k-$50k",IF(D1441&lt;75000,"$50k-$75k",IF(D1441&lt;100000,"$75k-$100k","$100k+")))))</x:f>
        <x:v>&lt;$25k</x:v>
      </x:c>
      <x:c r="P1441" t="str">
        <x:f>IF(E1441="","Unknown",IF(E1441&lt;10,"&lt;10",IF(E1441&lt;20,"10-&lt;20",IF(E1441&lt;25,"20-&lt;25",IF(E1441&lt;35,"25-&lt;35","35+")))))</x:f>
        <x:v>10-&lt;20</x:v>
      </x:c>
    </x:row>
    <x:row r="1442">
      <x:c r="A1442" t="str">
        <x:v>SYN0001441</x:v>
      </x:c>
      <x:c r="B1442" s="12" t="n">
        <x:v>41665</x:v>
      </x:c>
      <x:c r="C1442" s="18" t="n">
        <x:v>4455</x:v>
      </x:c>
      <x:c r="D1442" s="18" t="n">
        <x:v>30096</x:v>
      </x:c>
      <x:c r="E1442" s="18" t="n">
        <x:v>23.91</x:v>
      </x:c>
      <x:c r="F1442" s="18" t="n">
        <x:v>14.79</x:v>
      </x:c>
      <x:c r="G1442" t="n">
        <x:v>36</x:v>
      </x:c>
      <x:c r="H1442" t="str">
        <x:v>D</x:v>
      </x:c>
      <x:c r="I1442" t="str">
        <x:v>4-6 years</x:v>
      </x:c>
      <x:c r="J1442" t="str">
        <x:v>OWN</x:v>
      </x:c>
      <x:c r="K1442" t="str">
        <x:v>home_improvement</x:v>
      </x:c>
      <x:c r="L1442" t="n">
        <x:v>0</x:v>
      </x:c>
      <x:c r="M1442" t="n">
        <x:v>0</x:v>
      </x:c>
      <x:c r="N1442" t="str">
        <x:v>Fully Paid</x:v>
      </x:c>
      <x:c r="O1442" t="str">
        <x:f>IF(D1442="","Unknown",IF(D1442&lt;25000,"&lt;$25k",IF(D1442&lt;50000,"$25k-$50k",IF(D1442&lt;75000,"$50k-$75k",IF(D1442&lt;100000,"$75k-$100k","$100k+")))))</x:f>
        <x:v>$25k-$50k</x:v>
      </x:c>
      <x:c r="P1442" t="str">
        <x:f>IF(E1442="","Unknown",IF(E1442&lt;10,"&lt;10",IF(E1442&lt;20,"10-&lt;20",IF(E1442&lt;25,"20-&lt;25",IF(E1442&lt;35,"25-&lt;35","35+")))))</x:f>
        <x:v>20-&lt;25</x:v>
      </x:c>
    </x:row>
    <x:row r="1443">
      <x:c r="A1443" t="str">
        <x:v>SYN0001442</x:v>
      </x:c>
      <x:c r="B1443" s="12" t="n">
        <x:v>41545</x:v>
      </x:c>
      <x:c r="C1443" s="18" t="n">
        <x:v>6928</x:v>
      </x:c>
      <x:c r="D1443" s="18" t="n">
        <x:v>57698</x:v>
      </x:c>
      <x:c r="E1443" s="18" t="n">
        <x:v>32.8</x:v>
      </x:c>
      <x:c r="F1443" s="18" t="n">
        <x:v>12.8</x:v>
      </x:c>
      <x:c r="G1443" t="n">
        <x:v>60</x:v>
      </x:c>
      <x:c r="H1443" t="str">
        <x:v>C</x:v>
      </x:c>
      <x:c r="I1443" t="str">
        <x:v>4-6 years</x:v>
      </x:c>
      <x:c r="J1443" t="str">
        <x:v>OWN</x:v>
      </x:c>
      <x:c r="K1443" t="str">
        <x:v>home_improvement</x:v>
      </x:c>
      <x:c r="L1443" t="n">
        <x:v>1</x:v>
      </x:c>
      <x:c r="M1443" t="n">
        <x:v>0</x:v>
      </x:c>
      <x:c r="N1443" t="str">
        <x:v>Fully Paid</x:v>
      </x:c>
      <x:c r="O1443" t="str">
        <x:f>IF(D1443="","Unknown",IF(D1443&lt;25000,"&lt;$25k",IF(D1443&lt;50000,"$25k-$50k",IF(D1443&lt;75000,"$50k-$75k",IF(D1443&lt;100000,"$75k-$100k","$100k+")))))</x:f>
        <x:v>$50k-$75k</x:v>
      </x:c>
      <x:c r="P1443" t="str">
        <x:f>IF(E1443="","Unknown",IF(E1443&lt;10,"&lt;10",IF(E1443&lt;20,"10-&lt;20",IF(E1443&lt;25,"20-&lt;25",IF(E1443&lt;35,"25-&lt;35","35+")))))</x:f>
        <x:v>25-&lt;35</x:v>
      </x:c>
    </x:row>
    <x:row r="1444">
      <x:c r="A1444" t="str">
        <x:v>SYN0001443</x:v>
      </x:c>
      <x:c r="B1444" s="12" t="n">
        <x:v>42535</x:v>
      </x:c>
      <x:c r="C1444" s="18" t="n">
        <x:v>14292</x:v>
      </x:c>
      <x:c r="D1444" s="18" t="n">
        <x:v>43208</x:v>
      </x:c>
      <x:c r="E1444" s="18" t="n">
        <x:v>10.5</x:v>
      </x:c>
      <x:c r="F1444" s="18" t="n">
        <x:v>10.84</x:v>
      </x:c>
      <x:c r="G1444" t="n">
        <x:v>36</x:v>
      </x:c>
      <x:c r="H1444" t="str">
        <x:v>C</x:v>
      </x:c>
      <x:c r="I1444" t="str">
        <x:v>7-9 years</x:v>
      </x:c>
      <x:c r="J1444" t="str">
        <x:v>RENT</x:v>
      </x:c>
      <x:c r="K1444" t="str">
        <x:v>credit_card</x:v>
      </x:c>
      <x:c r="L1444" t="n">
        <x:v>1</x:v>
      </x:c>
      <x:c r="M1444" t="n">
        <x:v>0</x:v>
      </x:c>
      <x:c r="N1444" t="str">
        <x:v>Fully Paid</x:v>
      </x:c>
      <x:c r="O1444" t="str">
        <x:f>IF(D1444="","Unknown",IF(D1444&lt;25000,"&lt;$25k",IF(D1444&lt;50000,"$25k-$50k",IF(D1444&lt;75000,"$50k-$75k",IF(D1444&lt;100000,"$75k-$100k","$100k+")))))</x:f>
        <x:v>$25k-$50k</x:v>
      </x:c>
      <x:c r="P1444" t="str">
        <x:f>IF(E1444="","Unknown",IF(E1444&lt;10,"&lt;10",IF(E1444&lt;20,"10-&lt;20",IF(E1444&lt;25,"20-&lt;25",IF(E1444&lt;35,"25-&lt;35","35+")))))</x:f>
        <x:v>10-&lt;20</x:v>
      </x:c>
    </x:row>
    <x:row r="1445">
      <x:c r="A1445" t="str">
        <x:v>SYN0001444</x:v>
      </x:c>
      <x:c r="B1445" s="12" t="n">
        <x:v>43225</x:v>
      </x:c>
      <x:c r="C1445" s="18" t="n">
        <x:v>15323</x:v>
      </x:c>
      <x:c r="D1445" s="18" t="n">
        <x:v>171120</x:v>
      </x:c>
      <x:c r="E1445" s="18" t="n">
        <x:v>7.1</x:v>
      </x:c>
      <x:c r="F1445" s="18" t="n">
        <x:v>11.18</x:v>
      </x:c>
      <x:c r="G1445" t="n">
        <x:v>60</x:v>
      </x:c>
      <x:c r="H1445" t="str">
        <x:v>C</x:v>
      </x:c>
      <x:c r="I1445" t="str">
        <x:v>10+ years</x:v>
      </x:c>
      <x:c r="J1445" t="str">
        <x:v>MORTGAGE</x:v>
      </x:c>
      <x:c r="K1445" t="str">
        <x:v>other</x:v>
      </x:c>
      <x:c r="L1445" t="n">
        <x:v>0</x:v>
      </x:c>
      <x:c r="M1445" t="n">
        <x:v>0</x:v>
      </x:c>
      <x:c r="N1445" t="str">
        <x:v>Fully Paid</x:v>
      </x:c>
      <x:c r="O1445" t="str">
        <x:f>IF(D1445="","Unknown",IF(D1445&lt;25000,"&lt;$25k",IF(D1445&lt;50000,"$25k-$50k",IF(D1445&lt;75000,"$50k-$75k",IF(D1445&lt;100000,"$75k-$100k","$100k+")))))</x:f>
        <x:v>$100k+</x:v>
      </x:c>
      <x:c r="P1445" t="str">
        <x:f>IF(E1445="","Unknown",IF(E1445&lt;10,"&lt;10",IF(E1445&lt;20,"10-&lt;20",IF(E1445&lt;25,"20-&lt;25",IF(E1445&lt;35,"25-&lt;35","35+")))))</x:f>
        <x:v>&lt;10</x:v>
      </x:c>
    </x:row>
    <x:row r="1446">
      <x:c r="A1446" t="str">
        <x:v>SYN0001445</x:v>
      </x:c>
      <x:c r="B1446" s="12" t="n">
        <x:v>43375</x:v>
      </x:c>
      <x:c r="C1446" s="18" t="n">
        <x:v>30055</x:v>
      </x:c>
      <x:c r="D1446" s="18" t="n">
        <x:v>56279</x:v>
      </x:c>
      <x:c r="E1446" s="18" t="n">
        <x:v>36.85</x:v>
      </x:c>
      <x:c r="F1446" s="18" t="n">
        <x:v>9.06</x:v>
      </x:c>
      <x:c r="G1446" t="n">
        <x:v>36</x:v>
      </x:c>
      <x:c r="H1446" t="str">
        <x:v>C</x:v>
      </x:c>
      <x:c r="I1446" t="str">
        <x:v>4-6 years</x:v>
      </x:c>
      <x:c r="J1446" t="str">
        <x:v>MORTGAGE</x:v>
      </x:c>
      <x:c r="K1446" t="str">
        <x:v>other</x:v>
      </x:c>
      <x:c r="L1446" t="n">
        <x:v>0</x:v>
      </x:c>
      <x:c r="M1446" t="n">
        <x:v>0</x:v>
      </x:c>
      <x:c r="N1446" t="str">
        <x:v>Fully Paid</x:v>
      </x:c>
      <x:c r="O1446" t="str">
        <x:f>IF(D1446="","Unknown",IF(D1446&lt;25000,"&lt;$25k",IF(D1446&lt;50000,"$25k-$50k",IF(D1446&lt;75000,"$50k-$75k",IF(D1446&lt;100000,"$75k-$100k","$100k+")))))</x:f>
        <x:v>$50k-$75k</x:v>
      </x:c>
      <x:c r="P1446" t="str">
        <x:f>IF(E1446="","Unknown",IF(E1446&lt;10,"&lt;10",IF(E1446&lt;20,"10-&lt;20",IF(E1446&lt;25,"20-&lt;25",IF(E1446&lt;35,"25-&lt;35","35+")))))</x:f>
        <x:v>35+</x:v>
      </x:c>
    </x:row>
    <x:row r="1447">
      <x:c r="A1447" t="str">
        <x:v>SYN0001446</x:v>
      </x:c>
      <x:c r="B1447" s="12" t="n">
        <x:v>41425</x:v>
      </x:c>
      <x:c r="C1447" s="18" t="n">
        <x:v>10434</x:v>
      </x:c>
      <x:c r="D1447" s="18" t="n">
        <x:v>98187</x:v>
      </x:c>
      <x:c r="E1447" s="18" t="n">
        <x:v>16.76</x:v>
      </x:c>
      <x:c r="F1447" s="18" t="n">
        <x:v>8.44</x:v>
      </x:c>
      <x:c r="G1447" t="n">
        <x:v>36</x:v>
      </x:c>
      <x:c r="H1447" t="str">
        <x:v>B</x:v>
      </x:c>
      <x:c r="I1447" t="str">
        <x:v>1-3 years</x:v>
      </x:c>
      <x:c r="J1447" t="str">
        <x:v>RENT</x:v>
      </x:c>
      <x:c r="K1447" t="str">
        <x:v>home_improvement</x:v>
      </x:c>
      <x:c r="L1447" t="n">
        <x:v>0</x:v>
      </x:c>
      <x:c r="M1447" t="n">
        <x:v>0</x:v>
      </x:c>
      <x:c r="N1447" t="str">
        <x:v>Fully Paid</x:v>
      </x:c>
      <x:c r="O1447" t="str">
        <x:f>IF(D1447="","Unknown",IF(D1447&lt;25000,"&lt;$25k",IF(D1447&lt;50000,"$25k-$50k",IF(D1447&lt;75000,"$50k-$75k",IF(D1447&lt;100000,"$75k-$100k","$100k+")))))</x:f>
        <x:v>$75k-$100k</x:v>
      </x:c>
      <x:c r="P1447" t="str">
        <x:f>IF(E1447="","Unknown",IF(E1447&lt;10,"&lt;10",IF(E1447&lt;20,"10-&lt;20",IF(E1447&lt;25,"20-&lt;25",IF(E1447&lt;35,"25-&lt;35","35+")))))</x:f>
        <x:v>10-&lt;20</x:v>
      </x:c>
    </x:row>
    <x:row r="1448">
      <x:c r="A1448" t="str">
        <x:v>SYN0001447</x:v>
      </x:c>
      <x:c r="B1448" s="12" t="n">
        <x:v>41815</x:v>
      </x:c>
      <x:c r="C1448" s="18" t="n">
        <x:v>37842</x:v>
      </x:c>
      <x:c r="D1448" s="18" t="n">
        <x:v>20995</x:v>
      </x:c>
      <x:c r="E1448" s="18" t="n">
        <x:v>5.77</x:v>
      </x:c>
      <x:c r="F1448" s="18" t="n">
        <x:v>9.15</x:v>
      </x:c>
      <x:c r="G1448" t="n">
        <x:v>36</x:v>
      </x:c>
      <x:c r="H1448" t="str">
        <x:v>A</x:v>
      </x:c>
      <x:c r="I1448" t="str">
        <x:v>7-9 years</x:v>
      </x:c>
      <x:c r="J1448" t="str">
        <x:v>OWN</x:v>
      </x:c>
      <x:c r="K1448" t="str">
        <x:v>debt_consolidation</x:v>
      </x:c>
      <x:c r="L1448" t="n">
        <x:v>0</x:v>
      </x:c>
      <x:c r="M1448" t="n">
        <x:v>1</x:v>
      </x:c>
      <x:c r="N1448" t="str">
        <x:v>Charged Off</x:v>
      </x:c>
      <x:c r="O1448" t="str">
        <x:f>IF(D1448="","Unknown",IF(D1448&lt;25000,"&lt;$25k",IF(D1448&lt;50000,"$25k-$50k",IF(D1448&lt;75000,"$50k-$75k",IF(D1448&lt;100000,"$75k-$100k","$100k+")))))</x:f>
        <x:v>&lt;$25k</x:v>
      </x:c>
      <x:c r="P1448" t="str">
        <x:f>IF(E1448="","Unknown",IF(E1448&lt;10,"&lt;10",IF(E1448&lt;20,"10-&lt;20",IF(E1448&lt;25,"20-&lt;25",IF(E1448&lt;35,"25-&lt;35","35+")))))</x:f>
        <x:v>&lt;10</x:v>
      </x:c>
    </x:row>
    <x:row r="1449">
      <x:c r="A1449" t="str">
        <x:v>SYN0001448</x:v>
      </x:c>
      <x:c r="B1449" s="12" t="n">
        <x:v>41335</x:v>
      </x:c>
      <x:c r="C1449" s="18" t="n">
        <x:v>8448</x:v>
      </x:c>
      <x:c r="D1449" s="18" t="n">
        <x:v>42043</x:v>
      </x:c>
      <x:c r="E1449" s="18" t="n">
        <x:v>20.55</x:v>
      </x:c>
      <x:c r="F1449" s="18" t="n">
        <x:v>18.94</x:v>
      </x:c>
      <x:c r="G1449" t="n">
        <x:v>36</x:v>
      </x:c>
      <x:c r="H1449" t="str">
        <x:v>E</x:v>
      </x:c>
      <x:c r="I1449" t="str">
        <x:v>4-6 years</x:v>
      </x:c>
      <x:c r="J1449" t="str">
        <x:v>MORTGAGE</x:v>
      </x:c>
      <x:c r="K1449" t="str">
        <x:v>medical</x:v>
      </x:c>
      <x:c r="L1449" t="n">
        <x:v>0</x:v>
      </x:c>
      <x:c r="M1449" t="n">
        <x:v>0</x:v>
      </x:c>
      <x:c r="N1449" t="str">
        <x:v>Fully Paid</x:v>
      </x:c>
      <x:c r="O1449" t="str">
        <x:f>IF(D1449="","Unknown",IF(D1449&lt;25000,"&lt;$25k",IF(D1449&lt;50000,"$25k-$50k",IF(D1449&lt;75000,"$50k-$75k",IF(D1449&lt;100000,"$75k-$100k","$100k+")))))</x:f>
        <x:v>$25k-$50k</x:v>
      </x:c>
      <x:c r="P1449" t="str">
        <x:f>IF(E1449="","Unknown",IF(E1449&lt;10,"&lt;10",IF(E1449&lt;20,"10-&lt;20",IF(E1449&lt;25,"20-&lt;25",IF(E1449&lt;35,"25-&lt;35","35+")))))</x:f>
        <x:v>20-&lt;25</x:v>
      </x:c>
    </x:row>
    <x:row r="1450">
      <x:c r="A1450" t="str">
        <x:v>SYN0001449</x:v>
      </x:c>
      <x:c r="B1450" s="12" t="n">
        <x:v>43285</x:v>
      </x:c>
      <x:c r="C1450" s="18" t="n">
        <x:v>40000</x:v>
      </x:c>
      <x:c r="D1450" s="18" t="n">
        <x:v>84494</x:v>
      </x:c>
      <x:c r="E1450" s="18" t="n">
        <x:v>19.95</x:v>
      </x:c>
      <x:c r="F1450" s="18" t="n">
        <x:v>10.49</x:v>
      </x:c>
      <x:c r="G1450" t="n">
        <x:v>36</x:v>
      </x:c>
      <x:c r="H1450" t="str">
        <x:v>B</x:v>
      </x:c>
      <x:c r="I1450" t="str">
        <x:v>7-9 years</x:v>
      </x:c>
      <x:c r="J1450" t="str">
        <x:v>MORTGAGE</x:v>
      </x:c>
      <x:c r="K1450" t="str">
        <x:v>debt_consolidation</x:v>
      </x:c>
      <x:c r="L1450" t="n">
        <x:v>0</x:v>
      </x:c>
      <x:c r="M1450" t="n">
        <x:v>0</x:v>
      </x:c>
      <x:c r="N1450" t="str">
        <x:v>Fully Paid</x:v>
      </x:c>
      <x:c r="O1450" t="str">
        <x:f>IF(D1450="","Unknown",IF(D1450&lt;25000,"&lt;$25k",IF(D1450&lt;50000,"$25k-$50k",IF(D1450&lt;75000,"$50k-$75k",IF(D1450&lt;100000,"$75k-$100k","$100k+")))))</x:f>
        <x:v>$75k-$100k</x:v>
      </x:c>
      <x:c r="P1450" t="str">
        <x:f>IF(E1450="","Unknown",IF(E1450&lt;10,"&lt;10",IF(E1450&lt;20,"10-&lt;20",IF(E1450&lt;25,"20-&lt;25",IF(E1450&lt;35,"25-&lt;35","35+")))))</x:f>
        <x:v>10-&lt;20</x:v>
      </x:c>
    </x:row>
    <x:row r="1451">
      <x:c r="A1451" t="str">
        <x:v>SYN0001450</x:v>
      </x:c>
      <x:c r="B1451" s="12" t="n">
        <x:v>43375</x:v>
      </x:c>
      <x:c r="C1451" s="18" t="n">
        <x:v>8503</x:v>
      </x:c>
      <x:c r="D1451" s="18" t="n">
        <x:v>247372</x:v>
      </x:c>
      <x:c r="E1451" s="18" t="n">
        <x:v>32.09</x:v>
      </x:c>
      <x:c r="F1451" s="18" t="n">
        <x:v>6.14</x:v>
      </x:c>
      <x:c r="G1451" t="n">
        <x:v>36</x:v>
      </x:c>
      <x:c r="H1451" t="str">
        <x:v>A</x:v>
      </x:c>
      <x:c r="I1451" t="str">
        <x:v>10+ years</x:v>
      </x:c>
      <x:c r="J1451" t="str">
        <x:v>RENT</x:v>
      </x:c>
      <x:c r="K1451" t="str">
        <x:v>other</x:v>
      </x:c>
      <x:c r="L1451" t="n">
        <x:v>0</x:v>
      </x:c>
      <x:c r="M1451" t="n">
        <x:v>0</x:v>
      </x:c>
      <x:c r="N1451" t="str">
        <x:v>Fully Paid</x:v>
      </x:c>
      <x:c r="O1451" t="str">
        <x:f>IF(D1451="","Unknown",IF(D1451&lt;25000,"&lt;$25k",IF(D1451&lt;50000,"$25k-$50k",IF(D1451&lt;75000,"$50k-$75k",IF(D1451&lt;100000,"$75k-$100k","$100k+")))))</x:f>
        <x:v>$100k+</x:v>
      </x:c>
      <x:c r="P1451" t="str">
        <x:f>IF(E1451="","Unknown",IF(E1451&lt;10,"&lt;10",IF(E1451&lt;20,"10-&lt;20",IF(E1451&lt;25,"20-&lt;25",IF(E1451&lt;35,"25-&lt;35","35+")))))</x:f>
        <x:v>25-&lt;35</x:v>
      </x:c>
    </x:row>
    <x:row r="1452">
      <x:c r="A1452" t="str">
        <x:v>SYN0001451</x:v>
      </x:c>
      <x:c r="B1452" s="12" t="n">
        <x:v>42595</x:v>
      </x:c>
      <x:c r="C1452" s="18" t="n">
        <x:v>12064</x:v>
      </x:c>
      <x:c r="D1452" s="18" t="n">
        <x:v>72825</x:v>
      </x:c>
      <x:c r="E1452" s="18" t="n">
        <x:v>17.51</x:v>
      </x:c>
      <x:c r="F1452" s="18" t="n">
        <x:v>9.02</x:v>
      </x:c>
      <x:c r="G1452" t="n">
        <x:v>36</x:v>
      </x:c>
      <x:c r="H1452" t="str">
        <x:v>B</x:v>
      </x:c>
      <x:c r="I1452" t="str">
        <x:v>7-9 years</x:v>
      </x:c>
      <x:c r="J1452" t="str">
        <x:v>RENT</x:v>
      </x:c>
      <x:c r="K1452" t="str">
        <x:v>debt_consolidation</x:v>
      </x:c>
      <x:c r="L1452" t="n">
        <x:v>1</x:v>
      </x:c>
      <x:c r="M1452" t="n">
        <x:v>0</x:v>
      </x:c>
      <x:c r="N1452" t="str">
        <x:v>Fully Paid</x:v>
      </x:c>
      <x:c r="O1452" t="str">
        <x:f>IF(D1452="","Unknown",IF(D1452&lt;25000,"&lt;$25k",IF(D1452&lt;50000,"$25k-$50k",IF(D1452&lt;75000,"$50k-$75k",IF(D1452&lt;100000,"$75k-$100k","$100k+")))))</x:f>
        <x:v>$50k-$75k</x:v>
      </x:c>
      <x:c r="P1452" t="str">
        <x:f>IF(E1452="","Unknown",IF(E1452&lt;10,"&lt;10",IF(E1452&lt;20,"10-&lt;20",IF(E1452&lt;25,"20-&lt;25",IF(E1452&lt;35,"25-&lt;35","35+")))))</x:f>
        <x:v>10-&lt;20</x:v>
      </x:c>
    </x:row>
    <x:row r="1453">
      <x:c r="A1453" t="str">
        <x:v>SYN0001452</x:v>
      </x:c>
      <x:c r="B1453" s="12" t="n">
        <x:v>43375</x:v>
      </x:c>
      <x:c r="C1453" s="18" t="n">
        <x:v>7254</x:v>
      </x:c>
      <x:c r="D1453" s="18" t="n">
        <x:v>22086</x:v>
      </x:c>
      <x:c r="E1453" s="18" t="n">
        <x:v>14.42</x:v>
      </x:c>
      <x:c r="F1453" s="18" t="n">
        <x:v>6.02</x:v>
      </x:c>
      <x:c r="G1453" t="n">
        <x:v>60</x:v>
      </x:c>
      <x:c r="H1453" t="str">
        <x:v>B</x:v>
      </x:c>
      <x:c r="I1453" t="str">
        <x:v>7-9 years</x:v>
      </x:c>
      <x:c r="J1453" t="str">
        <x:v>RENT</x:v>
      </x:c>
      <x:c r="K1453" t="str">
        <x:v>medical</x:v>
      </x:c>
      <x:c r="L1453" t="n">
        <x:v>0</x:v>
      </x:c>
      <x:c r="M1453" t="n">
        <x:v>0</x:v>
      </x:c>
      <x:c r="N1453" t="str">
        <x:v>Fully Paid</x:v>
      </x:c>
      <x:c r="O1453" t="str">
        <x:f>IF(D1453="","Unknown",IF(D1453&lt;25000,"&lt;$25k",IF(D1453&lt;50000,"$25k-$50k",IF(D1453&lt;75000,"$50k-$75k",IF(D1453&lt;100000,"$75k-$100k","$100k+")))))</x:f>
        <x:v>&lt;$25k</x:v>
      </x:c>
      <x:c r="P1453" t="str">
        <x:f>IF(E1453="","Unknown",IF(E1453&lt;10,"&lt;10",IF(E1453&lt;20,"10-&lt;20",IF(E1453&lt;25,"20-&lt;25",IF(E1453&lt;35,"25-&lt;35","35+")))))</x:f>
        <x:v>10-&lt;20</x:v>
      </x:c>
    </x:row>
    <x:row r="1454">
      <x:c r="A1454" t="str">
        <x:v>SYN0001453</x:v>
      </x:c>
      <x:c r="B1454" s="12" t="n">
        <x:v>41575</x:v>
      </x:c>
      <x:c r="C1454" s="18" t="n">
        <x:v>8036</x:v>
      </x:c>
      <x:c r="D1454" s="18" t="n">
        <x:v>146035</x:v>
      </x:c>
      <x:c r="E1454" s="18" t="n">
        <x:v>24.7</x:v>
      </x:c>
      <x:c r="F1454" s="18" t="n">
        <x:v>18.31</x:v>
      </x:c>
      <x:c r="G1454" t="n">
        <x:v>60</x:v>
      </x:c>
      <x:c r="H1454" t="str">
        <x:v>E</x:v>
      </x:c>
      <x:c r="I1454" t="str">
        <x:v>4-6 years</x:v>
      </x:c>
      <x:c r="J1454" t="str">
        <x:v>MORTGAGE</x:v>
      </x:c>
      <x:c r="K1454" t="str">
        <x:v>debt_consolidation</x:v>
      </x:c>
      <x:c r="L1454" t="n">
        <x:v>1</x:v>
      </x:c>
      <x:c r="M1454" t="n">
        <x:v>0</x:v>
      </x:c>
      <x:c r="N1454" t="str">
        <x:v>Fully Paid</x:v>
      </x:c>
      <x:c r="O1454" t="str">
        <x:f>IF(D1454="","Unknown",IF(D1454&lt;25000,"&lt;$25k",IF(D1454&lt;50000,"$25k-$50k",IF(D1454&lt;75000,"$50k-$75k",IF(D1454&lt;100000,"$75k-$100k","$100k+")))))</x:f>
        <x:v>$100k+</x:v>
      </x:c>
      <x:c r="P1454" t="str">
        <x:f>IF(E1454="","Unknown",IF(E1454&lt;10,"&lt;10",IF(E1454&lt;20,"10-&lt;20",IF(E1454&lt;25,"20-&lt;25",IF(E1454&lt;35,"25-&lt;35","35+")))))</x:f>
        <x:v>20-&lt;25</x:v>
      </x:c>
    </x:row>
    <x:row r="1455">
      <x:c r="A1455" t="str">
        <x:v>SYN0001454</x:v>
      </x:c>
      <x:c r="B1455" s="12" t="n">
        <x:v>43075</x:v>
      </x:c>
      <x:c r="C1455" s="18" t="n">
        <x:v>11421</x:v>
      </x:c>
      <x:c r="D1455" s="18" t="n">
        <x:v>79288</x:v>
      </x:c>
      <x:c r="E1455" s="18" t="n">
        <x:v>8.41</x:v>
      </x:c>
      <x:c r="F1455" s="18" t="n">
        <x:v>14.05</x:v>
      </x:c>
      <x:c r="G1455" t="n">
        <x:v>36</x:v>
      </x:c>
      <x:c r="H1455" t="str">
        <x:v>C</x:v>
      </x:c>
      <x:c r="I1455" t="str">
        <x:v>1-3 years</x:v>
      </x:c>
      <x:c r="J1455" t="str">
        <x:v>MORTGAGE</x:v>
      </x:c>
      <x:c r="K1455" t="str">
        <x:v>debt_consolidation</x:v>
      </x:c>
      <x:c r="L1455" t="n">
        <x:v>0</x:v>
      </x:c>
      <x:c r="M1455" t="n">
        <x:v>0</x:v>
      </x:c>
      <x:c r="N1455" t="str">
        <x:v>Fully Paid</x:v>
      </x:c>
      <x:c r="O1455" t="str">
        <x:f>IF(D1455="","Unknown",IF(D1455&lt;25000,"&lt;$25k",IF(D1455&lt;50000,"$25k-$50k",IF(D1455&lt;75000,"$50k-$75k",IF(D1455&lt;100000,"$75k-$100k","$100k+")))))</x:f>
        <x:v>$75k-$100k</x:v>
      </x:c>
      <x:c r="P1455" t="str">
        <x:f>IF(E1455="","Unknown",IF(E1455&lt;10,"&lt;10",IF(E1455&lt;20,"10-&lt;20",IF(E1455&lt;25,"20-&lt;25",IF(E1455&lt;35,"25-&lt;35","35+")))))</x:f>
        <x:v>&lt;10</x:v>
      </x:c>
    </x:row>
    <x:row r="1456">
      <x:c r="A1456" t="str">
        <x:v>SYN0001455</x:v>
      </x:c>
      <x:c r="B1456" s="12" t="n">
        <x:v>42835</x:v>
      </x:c>
      <x:c r="C1456" s="18" t="n">
        <x:v>16930</x:v>
      </x:c>
      <x:c r="D1456" s="18" t="n">
        <x:v>170953</x:v>
      </x:c>
      <x:c r="E1456" s="18" t="n">
        <x:v>22.89</x:v>
      </x:c>
      <x:c r="F1456" s="18" t="n">
        <x:v>5</x:v>
      </x:c>
      <x:c r="G1456" t="n">
        <x:v>36</x:v>
      </x:c>
      <x:c r="H1456" t="str">
        <x:v>A</x:v>
      </x:c>
      <x:c r="I1456" t="str">
        <x:v>&lt;1 year</x:v>
      </x:c>
      <x:c r="J1456" t="str">
        <x:v>MORTGAGE</x:v>
      </x:c>
      <x:c r="K1456" t="str">
        <x:v>home_improvement</x:v>
      </x:c>
      <x:c r="L1456" t="n">
        <x:v>0</x:v>
      </x:c>
      <x:c r="M1456" t="n">
        <x:v>0</x:v>
      </x:c>
      <x:c r="N1456" t="str">
        <x:v>Fully Paid</x:v>
      </x:c>
      <x:c r="O1456" t="str">
        <x:f>IF(D1456="","Unknown",IF(D1456&lt;25000,"&lt;$25k",IF(D1456&lt;50000,"$25k-$50k",IF(D1456&lt;75000,"$50k-$75k",IF(D1456&lt;100000,"$75k-$100k","$100k+")))))</x:f>
        <x:v>$100k+</x:v>
      </x:c>
      <x:c r="P1456" t="str">
        <x:f>IF(E1456="","Unknown",IF(E1456&lt;10,"&lt;10",IF(E1456&lt;20,"10-&lt;20",IF(E1456&lt;25,"20-&lt;25",IF(E1456&lt;35,"25-&lt;35","35+")))))</x:f>
        <x:v>20-&lt;25</x:v>
      </x:c>
    </x:row>
    <x:row r="1457">
      <x:c r="A1457" t="str">
        <x:v>SYN0001456</x:v>
      </x:c>
      <x:c r="B1457" s="12" t="n">
        <x:v>41305</x:v>
      </x:c>
      <x:c r="C1457" s="18" t="n">
        <x:v>10032</x:v>
      </x:c>
      <x:c r="D1457" s="18" t="n">
        <x:v>32725</x:v>
      </x:c>
      <x:c r="E1457" s="18" t="n">
        <x:v>25.83</x:v>
      </x:c>
      <x:c r="F1457" s="18" t="n">
        <x:v>19.99</x:v>
      </x:c>
      <x:c r="G1457" t="n">
        <x:v>36</x:v>
      </x:c>
      <x:c r="H1457" t="str">
        <x:v>E</x:v>
      </x:c>
      <x:c r="I1457" t="str">
        <x:v>7-9 years</x:v>
      </x:c>
      <x:c r="J1457" t="str">
        <x:v>MORTGAGE</x:v>
      </x:c>
      <x:c r="K1457" t="str">
        <x:v>credit_card</x:v>
      </x:c>
      <x:c r="L1457" t="n">
        <x:v>0</x:v>
      </x:c>
      <x:c r="M1457" t="n">
        <x:v>1</x:v>
      </x:c>
      <x:c r="N1457" t="str">
        <x:v>Charged Off</x:v>
      </x:c>
      <x:c r="O1457" t="str">
        <x:f>IF(D1457="","Unknown",IF(D1457&lt;25000,"&lt;$25k",IF(D1457&lt;50000,"$25k-$50k",IF(D1457&lt;75000,"$50k-$75k",IF(D1457&lt;100000,"$75k-$100k","$100k+")))))</x:f>
        <x:v>$25k-$50k</x:v>
      </x:c>
      <x:c r="P1457" t="str">
        <x:f>IF(E1457="","Unknown",IF(E1457&lt;10,"&lt;10",IF(E1457&lt;20,"10-&lt;20",IF(E1457&lt;25,"20-&lt;25",IF(E1457&lt;35,"25-&lt;35","35+")))))</x:f>
        <x:v>25-&lt;35</x:v>
      </x:c>
    </x:row>
    <x:row r="1458">
      <x:c r="A1458" t="str">
        <x:v>SYN0001457</x:v>
      </x:c>
      <x:c r="B1458" s="12" t="n">
        <x:v>42265</x:v>
      </x:c>
      <x:c r="C1458" s="18" t="n">
        <x:v>34162</x:v>
      </x:c>
      <x:c r="D1458" s="18" t="n">
        <x:v>33178</x:v>
      </x:c>
      <x:c r="E1458" s="18" t="n">
        <x:v>11.57</x:v>
      </x:c>
      <x:c r="F1458" s="18" t="n">
        <x:v>8.44</x:v>
      </x:c>
      <x:c r="G1458" t="n">
        <x:v>36</x:v>
      </x:c>
      <x:c r="H1458" t="str">
        <x:v>A</x:v>
      </x:c>
      <x:c r="I1458" t="str">
        <x:v>7-9 years</x:v>
      </x:c>
      <x:c r="J1458" t="str">
        <x:v>RENT</x:v>
      </x:c>
      <x:c r="K1458" t="str">
        <x:v>debt_consolidation</x:v>
      </x:c>
      <x:c r="L1458" t="n">
        <x:v>0</x:v>
      </x:c>
      <x:c r="M1458" t="n">
        <x:v>0</x:v>
      </x:c>
      <x:c r="N1458" t="str">
        <x:v>Fully Paid</x:v>
      </x:c>
      <x:c r="O1458" t="str">
        <x:f>IF(D1458="","Unknown",IF(D1458&lt;25000,"&lt;$25k",IF(D1458&lt;50000,"$25k-$50k",IF(D1458&lt;75000,"$50k-$75k",IF(D1458&lt;100000,"$75k-$100k","$100k+")))))</x:f>
        <x:v>$25k-$50k</x:v>
      </x:c>
      <x:c r="P1458" t="str">
        <x:f>IF(E1458="","Unknown",IF(E1458&lt;10,"&lt;10",IF(E1458&lt;20,"10-&lt;20",IF(E1458&lt;25,"20-&lt;25",IF(E1458&lt;35,"25-&lt;35","35+")))))</x:f>
        <x:v>10-&lt;20</x:v>
      </x:c>
    </x:row>
    <x:row r="1459">
      <x:c r="A1459" t="str">
        <x:v>SYN0001458</x:v>
      </x:c>
      <x:c r="B1459" s="12" t="n">
        <x:v>42715</x:v>
      </x:c>
      <x:c r="C1459" s="18" t="n">
        <x:v>8789</x:v>
      </x:c>
      <x:c r="D1459" s="18" t="n">
        <x:v>19360</x:v>
      </x:c>
      <x:c r="E1459" s="18" t="n">
        <x:v>24.59</x:v>
      </x:c>
      <x:c r="F1459" s="18" t="n">
        <x:v>12.74</x:v>
      </x:c>
      <x:c r="G1459" t="n">
        <x:v>36</x:v>
      </x:c>
      <x:c r="H1459" t="str">
        <x:v>C</x:v>
      </x:c>
      <x:c r="I1459" t="str">
        <x:v>7-9 years</x:v>
      </x:c>
      <x:c r="J1459" t="str">
        <x:v>MORTGAGE</x:v>
      </x:c>
      <x:c r="K1459" t="str">
        <x:v>credit_card</x:v>
      </x:c>
      <x:c r="L1459" t="n">
        <x:v>0</x:v>
      </x:c>
      <x:c r="M1459" t="n">
        <x:v>0</x:v>
      </x:c>
      <x:c r="N1459" t="str">
        <x:v>Fully Paid</x:v>
      </x:c>
      <x:c r="O1459" t="str">
        <x:f>IF(D1459="","Unknown",IF(D1459&lt;25000,"&lt;$25k",IF(D1459&lt;50000,"$25k-$50k",IF(D1459&lt;75000,"$50k-$75k",IF(D1459&lt;100000,"$75k-$100k","$100k+")))))</x:f>
        <x:v>&lt;$25k</x:v>
      </x:c>
      <x:c r="P1459" t="str">
        <x:f>IF(E1459="","Unknown",IF(E1459&lt;10,"&lt;10",IF(E1459&lt;20,"10-&lt;20",IF(E1459&lt;25,"20-&lt;25",IF(E1459&lt;35,"25-&lt;35","35+")))))</x:f>
        <x:v>20-&lt;25</x:v>
      </x:c>
    </x:row>
    <x:row r="1460">
      <x:c r="A1460" t="str">
        <x:v>SYN0001459</x:v>
      </x:c>
      <x:c r="B1460" s="12" t="n">
        <x:v>41995</x:v>
      </x:c>
      <x:c r="C1460" s="18" t="n">
        <x:v>5392</x:v>
      </x:c>
      <x:c r="D1460" s="18" t="n">
        <x:v>75727</x:v>
      </x:c>
      <x:c r="E1460" s="18" t="n">
        <x:v>24.53</x:v>
      </x:c>
      <x:c r="F1460" s="18" t="n">
        <x:v>10.49</x:v>
      </x:c>
      <x:c r="G1460" t="n">
        <x:v>36</x:v>
      </x:c>
      <x:c r="H1460" t="str">
        <x:v>B</x:v>
      </x:c>
      <x:c r="I1460" t="str">
        <x:v>&lt;1 year</x:v>
      </x:c>
      <x:c r="J1460" t="str">
        <x:v>OWN</x:v>
      </x:c>
      <x:c r="K1460" t="str">
        <x:v>home_improvement</x:v>
      </x:c>
      <x:c r="L1460" t="n">
        <x:v>1</x:v>
      </x:c>
      <x:c r="M1460" t="n">
        <x:v>0</x:v>
      </x:c>
      <x:c r="N1460" t="str">
        <x:v>Fully Paid</x:v>
      </x:c>
      <x:c r="O1460" t="str">
        <x:f>IF(D1460="","Unknown",IF(D1460&lt;25000,"&lt;$25k",IF(D1460&lt;50000,"$25k-$50k",IF(D1460&lt;75000,"$50k-$75k",IF(D1460&lt;100000,"$75k-$100k","$100k+")))))</x:f>
        <x:v>$75k-$100k</x:v>
      </x:c>
      <x:c r="P1460" t="str">
        <x:f>IF(E1460="","Unknown",IF(E1460&lt;10,"&lt;10",IF(E1460&lt;20,"10-&lt;20",IF(E1460&lt;25,"20-&lt;25",IF(E1460&lt;35,"25-&lt;35","35+")))))</x:f>
        <x:v>20-&lt;25</x:v>
      </x:c>
    </x:row>
    <x:row r="1461">
      <x:c r="A1461" t="str">
        <x:v>SYN0001460</x:v>
      </x:c>
      <x:c r="B1461" s="12" t="n">
        <x:v>41665</x:v>
      </x:c>
      <x:c r="C1461" s="18" t="n">
        <x:v>9974</x:v>
      </x:c>
      <x:c r="D1461" s="18" t="n">
        <x:v>55431</x:v>
      </x:c>
      <x:c r="E1461" s="18" t="n">
        <x:v>17.57</x:v>
      </x:c>
      <x:c r="F1461" s="18" t="n">
        <x:v>13.25</x:v>
      </x:c>
      <x:c r="G1461" t="n">
        <x:v>36</x:v>
      </x:c>
      <x:c r="H1461" t="str">
        <x:v>D</x:v>
      </x:c>
      <x:c r="I1461" t="str">
        <x:v>1-3 years</x:v>
      </x:c>
      <x:c r="J1461" t="str">
        <x:v>MORTGAGE</x:v>
      </x:c>
      <x:c r="K1461" t="str">
        <x:v>other</x:v>
      </x:c>
      <x:c r="L1461" t="n">
        <x:v>0</x:v>
      </x:c>
      <x:c r="M1461" t="n">
        <x:v>0</x:v>
      </x:c>
      <x:c r="N1461" t="str">
        <x:v>Fully Paid</x:v>
      </x:c>
      <x:c r="O1461" t="str">
        <x:f>IF(D1461="","Unknown",IF(D1461&lt;25000,"&lt;$25k",IF(D1461&lt;50000,"$25k-$50k",IF(D1461&lt;75000,"$50k-$75k",IF(D1461&lt;100000,"$75k-$100k","$100k+")))))</x:f>
        <x:v>$50k-$75k</x:v>
      </x:c>
      <x:c r="P1461" t="str">
        <x:f>IF(E1461="","Unknown",IF(E1461&lt;10,"&lt;10",IF(E1461&lt;20,"10-&lt;20",IF(E1461&lt;25,"20-&lt;25",IF(E1461&lt;35,"25-&lt;35","35+")))))</x:f>
        <x:v>10-&lt;20</x:v>
      </x:c>
    </x:row>
    <x:row r="1462">
      <x:c r="A1462" t="str">
        <x:v>SYN0001461</x:v>
      </x:c>
      <x:c r="B1462" s="12" t="n">
        <x:v>41455</x:v>
      </x:c>
      <x:c r="C1462" s="18" t="n">
        <x:v>10045</x:v>
      </x:c>
      <x:c r="D1462" s="18" t="n">
        <x:v>60837</x:v>
      </x:c>
      <x:c r="E1462" s="18" t="n">
        <x:v>10.29</x:v>
      </x:c>
      <x:c r="F1462" s="18" t="n">
        <x:v>8.98</x:v>
      </x:c>
      <x:c r="G1462" t="n">
        <x:v>36</x:v>
      </x:c>
      <x:c r="H1462" t="str">
        <x:v>C</x:v>
      </x:c>
      <x:c r="I1462" t="str">
        <x:v>4-6 years</x:v>
      </x:c>
      <x:c r="J1462" t="str">
        <x:v>MORTGAGE</x:v>
      </x:c>
      <x:c r="K1462" t="str">
        <x:v>major_purchase</x:v>
      </x:c>
      <x:c r="L1462" t="n">
        <x:v>0</x:v>
      </x:c>
      <x:c r="M1462" t="n">
        <x:v>0</x:v>
      </x:c>
      <x:c r="N1462" t="str">
        <x:v>Fully Paid</x:v>
      </x:c>
      <x:c r="O1462" t="str">
        <x:f>IF(D1462="","Unknown",IF(D1462&lt;25000,"&lt;$25k",IF(D1462&lt;50000,"$25k-$50k",IF(D1462&lt;75000,"$50k-$75k",IF(D1462&lt;100000,"$75k-$100k","$100k+")))))</x:f>
        <x:v>$50k-$75k</x:v>
      </x:c>
      <x:c r="P1462" t="str">
        <x:f>IF(E1462="","Unknown",IF(E1462&lt;10,"&lt;10",IF(E1462&lt;20,"10-&lt;20",IF(E1462&lt;25,"20-&lt;25",IF(E1462&lt;35,"25-&lt;35","35+")))))</x:f>
        <x:v>10-&lt;20</x:v>
      </x:c>
    </x:row>
    <x:row r="1463">
      <x:c r="A1463" t="str">
        <x:v>SYN0001462</x:v>
      </x:c>
      <x:c r="B1463" s="12" t="n">
        <x:v>43165</x:v>
      </x:c>
      <x:c r="C1463" s="18" t="n">
        <x:v>6513</x:v>
      </x:c>
      <x:c r="D1463" s="18" t="n">
        <x:v>69809</x:v>
      </x:c>
      <x:c r="E1463" s="18" t="n">
        <x:v>13.84</x:v>
      </x:c>
      <x:c r="F1463" s="18" t="n">
        <x:v>15.43</x:v>
      </x:c>
      <x:c r="G1463" t="n">
        <x:v>36</x:v>
      </x:c>
      <x:c r="H1463" t="str">
        <x:v>E</x:v>
      </x:c>
      <x:c r="I1463" t="str">
        <x:v>10+ years</x:v>
      </x:c>
      <x:c r="J1463" t="str">
        <x:v>RENT</x:v>
      </x:c>
      <x:c r="K1463" t="str">
        <x:v>debt_consolidation</x:v>
      </x:c>
      <x:c r="L1463" t="n">
        <x:v>2</x:v>
      </x:c>
      <x:c r="M1463" t="n">
        <x:v>0</x:v>
      </x:c>
      <x:c r="N1463" t="str">
        <x:v>Fully Paid</x:v>
      </x:c>
      <x:c r="O1463" t="str">
        <x:f>IF(D1463="","Unknown",IF(D1463&lt;25000,"&lt;$25k",IF(D1463&lt;50000,"$25k-$50k",IF(D1463&lt;75000,"$50k-$75k",IF(D1463&lt;100000,"$75k-$100k","$100k+")))))</x:f>
        <x:v>$50k-$75k</x:v>
      </x:c>
      <x:c r="P1463" t="str">
        <x:f>IF(E1463="","Unknown",IF(E1463&lt;10,"&lt;10",IF(E1463&lt;20,"10-&lt;20",IF(E1463&lt;25,"20-&lt;25",IF(E1463&lt;35,"25-&lt;35","35+")))))</x:f>
        <x:v>10-&lt;20</x:v>
      </x:c>
    </x:row>
    <x:row r="1464">
      <x:c r="A1464" t="str">
        <x:v>SYN0001463</x:v>
      </x:c>
      <x:c r="B1464" s="12" t="n">
        <x:v>42805</x:v>
      </x:c>
      <x:c r="C1464" s="18" t="n">
        <x:v>9934</x:v>
      </x:c>
      <x:c r="D1464" s="18" t="n">
        <x:v>58386</x:v>
      </x:c>
      <x:c r="E1464" s="18" t="n">
        <x:v>22.01</x:v>
      </x:c>
      <x:c r="F1464" s="18" t="n">
        <x:v>15.64</x:v>
      </x:c>
      <x:c r="G1464" t="n">
        <x:v>36</x:v>
      </x:c>
      <x:c r="H1464" t="str">
        <x:v>D</x:v>
      </x:c>
      <x:c r="I1464" t="str">
        <x:v>1-3 years</x:v>
      </x:c>
      <x:c r="J1464" t="str">
        <x:v>MORTGAGE</x:v>
      </x:c>
      <x:c r="K1464" t="str">
        <x:v>home_improvement</x:v>
      </x:c>
      <x:c r="L1464" t="n">
        <x:v>0</x:v>
      </x:c>
      <x:c r="M1464" t="n">
        <x:v>0</x:v>
      </x:c>
      <x:c r="N1464" t="str">
        <x:v>Fully Paid</x:v>
      </x:c>
      <x:c r="O1464" t="str">
        <x:f>IF(D1464="","Unknown",IF(D1464&lt;25000,"&lt;$25k",IF(D1464&lt;50000,"$25k-$50k",IF(D1464&lt;75000,"$50k-$75k",IF(D1464&lt;100000,"$75k-$100k","$100k+")))))</x:f>
        <x:v>$50k-$75k</x:v>
      </x:c>
      <x:c r="P1464" t="str">
        <x:f>IF(E1464="","Unknown",IF(E1464&lt;10,"&lt;10",IF(E1464&lt;20,"10-&lt;20",IF(E1464&lt;25,"20-&lt;25",IF(E1464&lt;35,"25-&lt;35","35+")))))</x:f>
        <x:v>20-&lt;25</x:v>
      </x:c>
    </x:row>
    <x:row r="1465">
      <x:c r="A1465" t="str">
        <x:v>SYN0001464</x:v>
      </x:c>
      <x:c r="B1465" s="12" t="n">
        <x:v>42685</x:v>
      </x:c>
      <x:c r="C1465" s="18" t="n">
        <x:v>8972</x:v>
      </x:c>
      <x:c r="D1465" s="18" t="n">
        <x:v>148003</x:v>
      </x:c>
      <x:c r="E1465" s="18" t="n">
        <x:v>26.49</x:v>
      </x:c>
      <x:c r="F1465" s="18" t="n">
        <x:v>12.17</x:v>
      </x:c>
      <x:c r="G1465" t="n">
        <x:v>36</x:v>
      </x:c>
      <x:c r="H1465" t="str">
        <x:v>C</x:v>
      </x:c>
      <x:c r="I1465" t="str">
        <x:v>10+ years</x:v>
      </x:c>
      <x:c r="J1465" t="str">
        <x:v>MORTGAGE</x:v>
      </x:c>
      <x:c r="K1465" t="str">
        <x:v>debt_consolidation</x:v>
      </x:c>
      <x:c r="L1465" t="n">
        <x:v>0</x:v>
      </x:c>
      <x:c r="M1465" t="n">
        <x:v>0</x:v>
      </x:c>
      <x:c r="N1465" t="str">
        <x:v>Fully Paid</x:v>
      </x:c>
      <x:c r="O1465" t="str">
        <x:f>IF(D1465="","Unknown",IF(D1465&lt;25000,"&lt;$25k",IF(D1465&lt;50000,"$25k-$50k",IF(D1465&lt;75000,"$50k-$75k",IF(D1465&lt;100000,"$75k-$100k","$100k+")))))</x:f>
        <x:v>$100k+</x:v>
      </x:c>
      <x:c r="P1465" t="str">
        <x:f>IF(E1465="","Unknown",IF(E1465&lt;10,"&lt;10",IF(E1465&lt;20,"10-&lt;20",IF(E1465&lt;25,"20-&lt;25",IF(E1465&lt;35,"25-&lt;35","35+")))))</x:f>
        <x:v>25-&lt;35</x:v>
      </x:c>
    </x:row>
    <x:row r="1466">
      <x:c r="A1466" t="str">
        <x:v>SYN0001465</x:v>
      </x:c>
      <x:c r="B1466" s="12" t="n">
        <x:v>41365</x:v>
      </x:c>
      <x:c r="C1466" s="18" t="n">
        <x:v>15638</x:v>
      </x:c>
      <x:c r="D1466" s="18" t="n">
        <x:v>25622</x:v>
      </x:c>
      <x:c r="E1466" s="18" t="n">
        <x:v>23.73</x:v>
      </x:c>
      <x:c r="F1466" s="18" t="n">
        <x:v>11.33</x:v>
      </x:c>
      <x:c r="G1466" t="n">
        <x:v>60</x:v>
      </x:c>
      <x:c r="H1466" t="str">
        <x:v>C</x:v>
      </x:c>
      <x:c r="I1466" t="str">
        <x:v>7-9 years</x:v>
      </x:c>
      <x:c r="J1466" t="str">
        <x:v>RENT</x:v>
      </x:c>
      <x:c r="K1466" t="str">
        <x:v>medical</x:v>
      </x:c>
      <x:c r="L1466" t="n">
        <x:v>0</x:v>
      </x:c>
      <x:c r="M1466" t="n">
        <x:v>0</x:v>
      </x:c>
      <x:c r="N1466" t="str">
        <x:v>Fully Paid</x:v>
      </x:c>
      <x:c r="O1466" t="str">
        <x:f>IF(D1466="","Unknown",IF(D1466&lt;25000,"&lt;$25k",IF(D1466&lt;50000,"$25k-$50k",IF(D1466&lt;75000,"$50k-$75k",IF(D1466&lt;100000,"$75k-$100k","$100k+")))))</x:f>
        <x:v>$25k-$50k</x:v>
      </x:c>
      <x:c r="P1466" t="str">
        <x:f>IF(E1466="","Unknown",IF(E1466&lt;10,"&lt;10",IF(E1466&lt;20,"10-&lt;20",IF(E1466&lt;25,"20-&lt;25",IF(E1466&lt;35,"25-&lt;35","35+")))))</x:f>
        <x:v>20-&lt;25</x:v>
      </x:c>
    </x:row>
    <x:row r="1467">
      <x:c r="A1467" t="str">
        <x:v>SYN0001466</x:v>
      </x:c>
      <x:c r="B1467" s="12" t="n">
        <x:v>42865</x:v>
      </x:c>
      <x:c r="C1467" s="18" t="n">
        <x:v>11553</x:v>
      </x:c>
      <x:c r="D1467" s="18" t="n">
        <x:v>65408</x:v>
      </x:c>
      <x:c r="E1467" s="18" t="n">
        <x:v>10.81</x:v>
      </x:c>
      <x:c r="F1467" s="18" t="n">
        <x:v>16.64</x:v>
      </x:c>
      <x:c r="G1467" t="n">
        <x:v>36</x:v>
      </x:c>
      <x:c r="H1467" t="str">
        <x:v>E</x:v>
      </x:c>
      <x:c r="I1467" t="str">
        <x:v>&lt;1 year</x:v>
      </x:c>
      <x:c r="J1467" t="str">
        <x:v>RENT</x:v>
      </x:c>
      <x:c r="K1467" t="str">
        <x:v>credit_card</x:v>
      </x:c>
      <x:c r="L1467" t="n">
        <x:v>1</x:v>
      </x:c>
      <x:c r="M1467" t="n">
        <x:v>0</x:v>
      </x:c>
      <x:c r="N1467" t="str">
        <x:v>Fully Paid</x:v>
      </x:c>
      <x:c r="O1467" t="str">
        <x:f>IF(D1467="","Unknown",IF(D1467&lt;25000,"&lt;$25k",IF(D1467&lt;50000,"$25k-$50k",IF(D1467&lt;75000,"$50k-$75k",IF(D1467&lt;100000,"$75k-$100k","$100k+")))))</x:f>
        <x:v>$50k-$75k</x:v>
      </x:c>
      <x:c r="P1467" t="str">
        <x:f>IF(E1467="","Unknown",IF(E1467&lt;10,"&lt;10",IF(E1467&lt;20,"10-&lt;20",IF(E1467&lt;25,"20-&lt;25",IF(E1467&lt;35,"25-&lt;35","35+")))))</x:f>
        <x:v>10-&lt;20</x:v>
      </x:c>
    </x:row>
    <x:row r="1468">
      <x:c r="A1468" t="str">
        <x:v>SYN0001467</x:v>
      </x:c>
      <x:c r="B1468" s="12" t="n">
        <x:v>42745</x:v>
      </x:c>
      <x:c r="C1468" s="18" t="n">
        <x:v>26714</x:v>
      </x:c>
      <x:c r="D1468" s="18" t="n">
        <x:v>37643</x:v>
      </x:c>
      <x:c r="E1468" s="18" t="n">
        <x:v>18.28</x:v>
      </x:c>
      <x:c r="F1468" s="18" t="n">
        <x:v>17.22</x:v>
      </x:c>
      <x:c r="G1468" t="n">
        <x:v>36</x:v>
      </x:c>
      <x:c r="H1468" t="str">
        <x:v>D</x:v>
      </x:c>
      <x:c r="I1468" t="str">
        <x:v>4-6 years</x:v>
      </x:c>
      <x:c r="J1468" t="str">
        <x:v>MORTGAGE</x:v>
      </x:c>
      <x:c r="K1468" t="str">
        <x:v>debt_consolidation</x:v>
      </x:c>
      <x:c r="L1468" t="n">
        <x:v>0</x:v>
      </x:c>
      <x:c r="M1468" t="n">
        <x:v>0</x:v>
      </x:c>
      <x:c r="N1468" t="str">
        <x:v>Fully Paid</x:v>
      </x:c>
      <x:c r="O1468" t="str">
        <x:f>IF(D1468="","Unknown",IF(D1468&lt;25000,"&lt;$25k",IF(D1468&lt;50000,"$25k-$50k",IF(D1468&lt;75000,"$50k-$75k",IF(D1468&lt;100000,"$75k-$100k","$100k+")))))</x:f>
        <x:v>$25k-$50k</x:v>
      </x:c>
      <x:c r="P1468" t="str">
        <x:f>IF(E1468="","Unknown",IF(E1468&lt;10,"&lt;10",IF(E1468&lt;20,"10-&lt;20",IF(E1468&lt;25,"20-&lt;25",IF(E1468&lt;35,"25-&lt;35","35+")))))</x:f>
        <x:v>10-&lt;20</x:v>
      </x:c>
    </x:row>
    <x:row r="1469">
      <x:c r="A1469" t="str">
        <x:v>SYN0001468</x:v>
      </x:c>
      <x:c r="B1469" s="12" t="n">
        <x:v>43345</x:v>
      </x:c>
      <x:c r="C1469" s="18" t="n">
        <x:v>9751</x:v>
      </x:c>
      <x:c r="D1469" s="18" t="n">
        <x:v>41784</x:v>
      </x:c>
      <x:c r="E1469" s="18" t="n">
        <x:v>11.8</x:v>
      </x:c>
      <x:c r="F1469" s="18" t="n">
        <x:v>14.16</x:v>
      </x:c>
      <x:c r="G1469" t="n">
        <x:v>36</x:v>
      </x:c>
      <x:c r="H1469" t="str">
        <x:v>D</x:v>
      </x:c>
      <x:c r="I1469" t="str">
        <x:v>10+ years</x:v>
      </x:c>
      <x:c r="J1469" t="str">
        <x:v>OWN</x:v>
      </x:c>
      <x:c r="K1469" t="str">
        <x:v>debt_consolidation</x:v>
      </x:c>
      <x:c r="L1469" t="n">
        <x:v>0</x:v>
      </x:c>
      <x:c r="M1469" t="n">
        <x:v>0</x:v>
      </x:c>
      <x:c r="N1469" t="str">
        <x:v>Fully Paid</x:v>
      </x:c>
      <x:c r="O1469" t="str">
        <x:f>IF(D1469="","Unknown",IF(D1469&lt;25000,"&lt;$25k",IF(D1469&lt;50000,"$25k-$50k",IF(D1469&lt;75000,"$50k-$75k",IF(D1469&lt;100000,"$75k-$100k","$100k+")))))</x:f>
        <x:v>$25k-$50k</x:v>
      </x:c>
      <x:c r="P1469" t="str">
        <x:f>IF(E1469="","Unknown",IF(E1469&lt;10,"&lt;10",IF(E1469&lt;20,"10-&lt;20",IF(E1469&lt;25,"20-&lt;25",IF(E1469&lt;35,"25-&lt;35","35+")))))</x:f>
        <x:v>10-&lt;20</x:v>
      </x:c>
    </x:row>
    <x:row r="1470">
      <x:c r="A1470" t="str">
        <x:v>SYN0001469</x:v>
      </x:c>
      <x:c r="B1470" s="12" t="n">
        <x:v>42235</x:v>
      </x:c>
      <x:c r="C1470" s="18" t="n">
        <x:v>12310</x:v>
      </x:c>
      <x:c r="D1470" s="18" t="n">
        <x:v>93936</x:v>
      </x:c>
      <x:c r="E1470" s="18" t="n">
        <x:v>26.31</x:v>
      </x:c>
      <x:c r="F1470" s="18" t="n">
        <x:v>5.16</x:v>
      </x:c>
      <x:c r="G1470" t="n">
        <x:v>36</x:v>
      </x:c>
      <x:c r="H1470" t="str">
        <x:v>B</x:v>
      </x:c>
      <x:c r="I1470" t="str">
        <x:v>10+ years</x:v>
      </x:c>
      <x:c r="J1470" t="str">
        <x:v>MORTGAGE</x:v>
      </x:c>
      <x:c r="K1470" t="str">
        <x:v>credit_card</x:v>
      </x:c>
      <x:c r="L1470" t="n">
        <x:v>0</x:v>
      </x:c>
      <x:c r="M1470" t="n">
        <x:v>0</x:v>
      </x:c>
      <x:c r="N1470" t="str">
        <x:v>Fully Paid</x:v>
      </x:c>
      <x:c r="O1470" t="str">
        <x:f>IF(D1470="","Unknown",IF(D1470&lt;25000,"&lt;$25k",IF(D1470&lt;50000,"$25k-$50k",IF(D1470&lt;75000,"$50k-$75k",IF(D1470&lt;100000,"$75k-$100k","$100k+")))))</x:f>
        <x:v>$75k-$100k</x:v>
      </x:c>
      <x:c r="P1470" t="str">
        <x:f>IF(E1470="","Unknown",IF(E1470&lt;10,"&lt;10",IF(E1470&lt;20,"10-&lt;20",IF(E1470&lt;25,"20-&lt;25",IF(E1470&lt;35,"25-&lt;35","35+")))))</x:f>
        <x:v>25-&lt;35</x:v>
      </x:c>
    </x:row>
    <x:row r="1471">
      <x:c r="A1471" t="str">
        <x:v>SYN0001470</x:v>
      </x:c>
      <x:c r="B1471" s="12" t="n">
        <x:v>41815</x:v>
      </x:c>
      <x:c r="C1471" s="18" t="n">
        <x:v>11032</x:v>
      </x:c>
      <x:c r="D1471" s="18" t="n">
        <x:v>56688</x:v>
      </x:c>
      <x:c r="E1471" s="18" t="n">
        <x:v>10.83</x:v>
      </x:c>
      <x:c r="F1471" s="18" t="n">
        <x:v>20.09</x:v>
      </x:c>
      <x:c r="G1471" t="n">
        <x:v>36</x:v>
      </x:c>
      <x:c r="H1471" t="str">
        <x:v>E</x:v>
      </x:c>
      <x:c r="I1471" t="str">
        <x:v>7-9 years</x:v>
      </x:c>
      <x:c r="J1471" t="str">
        <x:v>RENT</x:v>
      </x:c>
      <x:c r="K1471" t="str">
        <x:v>medical</x:v>
      </x:c>
      <x:c r="L1471" t="n">
        <x:v>2</x:v>
      </x:c>
      <x:c r="M1471" t="n">
        <x:v>0</x:v>
      </x:c>
      <x:c r="N1471" t="str">
        <x:v>Fully Paid</x:v>
      </x:c>
      <x:c r="O1471" t="str">
        <x:f>IF(D1471="","Unknown",IF(D1471&lt;25000,"&lt;$25k",IF(D1471&lt;50000,"$25k-$50k",IF(D1471&lt;75000,"$50k-$75k",IF(D1471&lt;100000,"$75k-$100k","$100k+")))))</x:f>
        <x:v>$50k-$75k</x:v>
      </x:c>
      <x:c r="P1471" t="str">
        <x:f>IF(E1471="","Unknown",IF(E1471&lt;10,"&lt;10",IF(E1471&lt;20,"10-&lt;20",IF(E1471&lt;25,"20-&lt;25",IF(E1471&lt;35,"25-&lt;35","35+")))))</x:f>
        <x:v>10-&lt;20</x:v>
      </x:c>
    </x:row>
    <x:row r="1472">
      <x:c r="A1472" t="str">
        <x:v>SYN0001471</x:v>
      </x:c>
      <x:c r="B1472" s="12" t="n">
        <x:v>43195</x:v>
      </x:c>
      <x:c r="C1472" s="18" t="n">
        <x:v>7362</x:v>
      </x:c>
      <x:c r="D1472" s="18" t="n">
        <x:v>41047</x:v>
      </x:c>
      <x:c r="E1472" s="18" t="n">
        <x:v>16.58</x:v>
      </x:c>
      <x:c r="F1472" s="18" t="n">
        <x:v>14.05</x:v>
      </x:c>
      <x:c r="G1472" t="n">
        <x:v>60</x:v>
      </x:c>
      <x:c r="H1472" t="str">
        <x:v>D</x:v>
      </x:c>
      <x:c r="I1472" t="str">
        <x:v>10+ years</x:v>
      </x:c>
      <x:c r="J1472" t="str">
        <x:v>MORTGAGE</x:v>
      </x:c>
      <x:c r="K1472" t="str">
        <x:v>credit_card</x:v>
      </x:c>
      <x:c r="L1472" t="n">
        <x:v>0</x:v>
      </x:c>
      <x:c r="M1472" t="n">
        <x:v>0</x:v>
      </x:c>
      <x:c r="N1472" t="str">
        <x:v>Fully Paid</x:v>
      </x:c>
      <x:c r="O1472" t="str">
        <x:f>IF(D1472="","Unknown",IF(D1472&lt;25000,"&lt;$25k",IF(D1472&lt;50000,"$25k-$50k",IF(D1472&lt;75000,"$50k-$75k",IF(D1472&lt;100000,"$75k-$100k","$100k+")))))</x:f>
        <x:v>$25k-$50k</x:v>
      </x:c>
      <x:c r="P1472" t="str">
        <x:f>IF(E1472="","Unknown",IF(E1472&lt;10,"&lt;10",IF(E1472&lt;20,"10-&lt;20",IF(E1472&lt;25,"20-&lt;25",IF(E1472&lt;35,"25-&lt;35","35+")))))</x:f>
        <x:v>10-&lt;20</x:v>
      </x:c>
    </x:row>
    <x:row r="1473">
      <x:c r="A1473" t="str">
        <x:v>SYN0001472</x:v>
      </x:c>
      <x:c r="B1473" s="12" t="n">
        <x:v>42505</x:v>
      </x:c>
      <x:c r="C1473" s="18" t="n">
        <x:v>40000</x:v>
      </x:c>
      <x:c r="D1473" s="18" t="n">
        <x:v>48543</x:v>
      </x:c>
      <x:c r="E1473" s="18" t="n">
        <x:v>13.73</x:v>
      </x:c>
      <x:c r="F1473" s="18" t="n">
        <x:v>8.7</x:v>
      </x:c>
      <x:c r="G1473" t="n">
        <x:v>36</x:v>
      </x:c>
      <x:c r="H1473" t="str">
        <x:v>C</x:v>
      </x:c>
      <x:c r="I1473" t="str">
        <x:v>&lt;1 year</x:v>
      </x:c>
      <x:c r="J1473" t="str">
        <x:v>RENT</x:v>
      </x:c>
      <x:c r="K1473" t="str">
        <x:v>medical</x:v>
      </x:c>
      <x:c r="L1473" t="n">
        <x:v>1</x:v>
      </x:c>
      <x:c r="M1473" t="n">
        <x:v>0</x:v>
      </x:c>
      <x:c r="N1473" t="str">
        <x:v>Fully Paid</x:v>
      </x:c>
      <x:c r="O1473" t="str">
        <x:f>IF(D1473="","Unknown",IF(D1473&lt;25000,"&lt;$25k",IF(D1473&lt;50000,"$25k-$50k",IF(D1473&lt;75000,"$50k-$75k",IF(D1473&lt;100000,"$75k-$100k","$100k+")))))</x:f>
        <x:v>$25k-$50k</x:v>
      </x:c>
      <x:c r="P1473" t="str">
        <x:f>IF(E1473="","Unknown",IF(E1473&lt;10,"&lt;10",IF(E1473&lt;20,"10-&lt;20",IF(E1473&lt;25,"20-&lt;25",IF(E1473&lt;35,"25-&lt;35","35+")))))</x:f>
        <x:v>10-&lt;20</x:v>
      </x:c>
    </x:row>
    <x:row r="1474">
      <x:c r="A1474" t="str">
        <x:v>SYN0001473</x:v>
      </x:c>
      <x:c r="B1474" s="12" t="n">
        <x:v>42895</x:v>
      </x:c>
      <x:c r="C1474" s="18" t="n">
        <x:v>10263</x:v>
      </x:c>
      <x:c r="D1474" s="18" t="n">
        <x:v>72536</x:v>
      </x:c>
      <x:c r="E1474" s="18" t="n">
        <x:v>26.35</x:v>
      </x:c>
      <x:c r="F1474" s="18" t="n">
        <x:v>8.35</x:v>
      </x:c>
      <x:c r="G1474" t="n">
        <x:v>36</x:v>
      </x:c>
      <x:c r="H1474" t="str">
        <x:v>B</x:v>
      </x:c>
      <x:c r="I1474" t="str">
        <x:v>1-3 years</x:v>
      </x:c>
      <x:c r="J1474" t="str">
        <x:v>RENT</x:v>
      </x:c>
      <x:c r="K1474" t="str">
        <x:v>major_purchase</x:v>
      </x:c>
      <x:c r="L1474" t="n">
        <x:v>1</x:v>
      </x:c>
      <x:c r="M1474" t="n">
        <x:v>0</x:v>
      </x:c>
      <x:c r="N1474" t="str">
        <x:v>Fully Paid</x:v>
      </x:c>
      <x:c r="O1474" t="str">
        <x:f>IF(D1474="","Unknown",IF(D1474&lt;25000,"&lt;$25k",IF(D1474&lt;50000,"$25k-$50k",IF(D1474&lt;75000,"$50k-$75k",IF(D1474&lt;100000,"$75k-$100k","$100k+")))))</x:f>
        <x:v>$50k-$75k</x:v>
      </x:c>
      <x:c r="P1474" t="str">
        <x:f>IF(E1474="","Unknown",IF(E1474&lt;10,"&lt;10",IF(E1474&lt;20,"10-&lt;20",IF(E1474&lt;25,"20-&lt;25",IF(E1474&lt;35,"25-&lt;35","35+")))))</x:f>
        <x:v>25-&lt;35</x:v>
      </x:c>
    </x:row>
    <x:row r="1475">
      <x:c r="A1475" t="str">
        <x:v>SYN0001474</x:v>
      </x:c>
      <x:c r="B1475" s="12" t="n">
        <x:v>41845</x:v>
      </x:c>
      <x:c r="C1475" s="18" t="n">
        <x:v>11085</x:v>
      </x:c>
      <x:c r="D1475" s="18" t="n">
        <x:v>133516</x:v>
      </x:c>
      <x:c r="E1475" s="18" t="n">
        <x:v>9.01</x:v>
      </x:c>
      <x:c r="F1475" s="18" t="n">
        <x:v>11.93</x:v>
      </x:c>
      <x:c r="G1475" t="n">
        <x:v>36</x:v>
      </x:c>
      <x:c r="H1475" t="str">
        <x:v>B</x:v>
      </x:c>
      <x:c r="I1475" t="str">
        <x:v>&lt;1 year</x:v>
      </x:c>
      <x:c r="J1475" t="str">
        <x:v>OWN</x:v>
      </x:c>
      <x:c r="K1475" t="str">
        <x:v>credit_card</x:v>
      </x:c>
      <x:c r="L1475" t="n">
        <x:v>1</x:v>
      </x:c>
      <x:c r="M1475" t="n">
        <x:v>1</x:v>
      </x:c>
      <x:c r="N1475" t="str">
        <x:v>Charged Off</x:v>
      </x:c>
      <x:c r="O1475" t="str">
        <x:f>IF(D1475="","Unknown",IF(D1475&lt;25000,"&lt;$25k",IF(D1475&lt;50000,"$25k-$50k",IF(D1475&lt;75000,"$50k-$75k",IF(D1475&lt;100000,"$75k-$100k","$100k+")))))</x:f>
        <x:v>$100k+</x:v>
      </x:c>
      <x:c r="P1475" t="str">
        <x:f>IF(E1475="","Unknown",IF(E1475&lt;10,"&lt;10",IF(E1475&lt;20,"10-&lt;20",IF(E1475&lt;25,"20-&lt;25",IF(E1475&lt;35,"25-&lt;35","35+")))))</x:f>
        <x:v>&lt;10</x:v>
      </x:c>
    </x:row>
    <x:row r="1476">
      <x:c r="A1476" t="str">
        <x:v>SYN0001475</x:v>
      </x:c>
      <x:c r="B1476" s="12" t="n">
        <x:v>41365</x:v>
      </x:c>
      <x:c r="C1476" s="18" t="n">
        <x:v>21604</x:v>
      </x:c>
      <x:c r="D1476" s="18" t="n">
        <x:v>70156</x:v>
      </x:c>
      <x:c r="E1476" s="18" t="n">
        <x:v>23.57</x:v>
      </x:c>
      <x:c r="F1476" s="18" t="n">
        <x:v>22.44</x:v>
      </x:c>
      <x:c r="G1476" t="n">
        <x:v>36</x:v>
      </x:c>
      <x:c r="H1476" t="str">
        <x:v>F</x:v>
      </x:c>
      <x:c r="I1476" t="str">
        <x:v>&lt;1 year</x:v>
      </x:c>
      <x:c r="J1476" t="str">
        <x:v>MORTGAGE</x:v>
      </x:c>
      <x:c r="K1476" t="str">
        <x:v>debt_consolidation</x:v>
      </x:c>
      <x:c r="L1476" t="n">
        <x:v>1</x:v>
      </x:c>
      <x:c r="M1476" t="n">
        <x:v>0</x:v>
      </x:c>
      <x:c r="N1476" t="str">
        <x:v>Fully Paid</x:v>
      </x:c>
      <x:c r="O1476" t="str">
        <x:f>IF(D1476="","Unknown",IF(D1476&lt;25000,"&lt;$25k",IF(D1476&lt;50000,"$25k-$50k",IF(D1476&lt;75000,"$50k-$75k",IF(D1476&lt;100000,"$75k-$100k","$100k+")))))</x:f>
        <x:v>$50k-$75k</x:v>
      </x:c>
      <x:c r="P1476" t="str">
        <x:f>IF(E1476="","Unknown",IF(E1476&lt;10,"&lt;10",IF(E1476&lt;20,"10-&lt;20",IF(E1476&lt;25,"20-&lt;25",IF(E1476&lt;35,"25-&lt;35","35+")))))</x:f>
        <x:v>20-&lt;25</x:v>
      </x:c>
    </x:row>
    <x:row r="1477">
      <x:c r="A1477" t="str">
        <x:v>SYN0001476</x:v>
      </x:c>
      <x:c r="B1477" s="12" t="n">
        <x:v>41545</x:v>
      </x:c>
      <x:c r="C1477" s="18" t="n">
        <x:v>7303</x:v>
      </x:c>
      <x:c r="D1477" s="18" t="n">
        <x:v>121651</x:v>
      </x:c>
      <x:c r="E1477" s="18" t="n">
        <x:v>9.33</x:v>
      </x:c>
      <x:c r="F1477" s="18" t="n">
        <x:v>12.14</x:v>
      </x:c>
      <x:c r="G1477" t="n">
        <x:v>36</x:v>
      </x:c>
      <x:c r="H1477" t="str">
        <x:v>C</x:v>
      </x:c>
      <x:c r="I1477" t="str">
        <x:v>7-9 years</x:v>
      </x:c>
      <x:c r="J1477" t="str">
        <x:v>MORTGAGE</x:v>
      </x:c>
      <x:c r="K1477" t="str">
        <x:v>medical</x:v>
      </x:c>
      <x:c r="L1477" t="n">
        <x:v>0</x:v>
      </x:c>
      <x:c r="M1477" t="n">
        <x:v>0</x:v>
      </x:c>
      <x:c r="N1477" t="str">
        <x:v>Fully Paid</x:v>
      </x:c>
      <x:c r="O1477" t="str">
        <x:f>IF(D1477="","Unknown",IF(D1477&lt;25000,"&lt;$25k",IF(D1477&lt;50000,"$25k-$50k",IF(D1477&lt;75000,"$50k-$75k",IF(D1477&lt;100000,"$75k-$100k","$100k+")))))</x:f>
        <x:v>$100k+</x:v>
      </x:c>
      <x:c r="P1477" t="str">
        <x:f>IF(E1477="","Unknown",IF(E1477&lt;10,"&lt;10",IF(E1477&lt;20,"10-&lt;20",IF(E1477&lt;25,"20-&lt;25",IF(E1477&lt;35,"25-&lt;35","35+")))))</x:f>
        <x:v>&lt;10</x:v>
      </x:c>
    </x:row>
    <x:row r="1478">
      <x:c r="A1478" t="str">
        <x:v>SYN0001477</x:v>
      </x:c>
      <x:c r="B1478" s="12" t="n">
        <x:v>41605</x:v>
      </x:c>
      <x:c r="C1478" s="18" t="n">
        <x:v>17926</x:v>
      </x:c>
      <x:c r="D1478" s="18" t="n">
        <x:v>183788</x:v>
      </x:c>
      <x:c r="E1478" s="18" t="n">
        <x:v>22.02</x:v>
      </x:c>
      <x:c r="F1478" s="18" t="n">
        <x:v>9.64</x:v>
      </x:c>
      <x:c r="G1478" t="n">
        <x:v>60</x:v>
      </x:c>
      <x:c r="H1478" t="str">
        <x:v>B</x:v>
      </x:c>
      <x:c r="I1478" t="str">
        <x:v>4-6 years</x:v>
      </x:c>
      <x:c r="J1478" t="str">
        <x:v>OWN</x:v>
      </x:c>
      <x:c r="K1478" t="str">
        <x:v>debt_consolidation</x:v>
      </x:c>
      <x:c r="L1478" t="n">
        <x:v>0</x:v>
      </x:c>
      <x:c r="M1478" t="n">
        <x:v>0</x:v>
      </x:c>
      <x:c r="N1478" t="str">
        <x:v>Fully Paid</x:v>
      </x:c>
      <x:c r="O1478" t="str">
        <x:f>IF(D1478="","Unknown",IF(D1478&lt;25000,"&lt;$25k",IF(D1478&lt;50000,"$25k-$50k",IF(D1478&lt;75000,"$50k-$75k",IF(D1478&lt;100000,"$75k-$100k","$100k+")))))</x:f>
        <x:v>$100k+</x:v>
      </x:c>
      <x:c r="P1478" t="str">
        <x:f>IF(E1478="","Unknown",IF(E1478&lt;10,"&lt;10",IF(E1478&lt;20,"10-&lt;20",IF(E1478&lt;25,"20-&lt;25",IF(E1478&lt;35,"25-&lt;35","35+")))))</x:f>
        <x:v>20-&lt;25</x:v>
      </x:c>
    </x:row>
    <x:row r="1479">
      <x:c r="A1479" t="str">
        <x:v>SYN0001478</x:v>
      </x:c>
      <x:c r="B1479" s="12" t="n">
        <x:v>41545</x:v>
      </x:c>
      <x:c r="C1479" s="18" t="n">
        <x:v>21211</x:v>
      </x:c>
      <x:c r="D1479" s="18" t="n">
        <x:v>25220</x:v>
      </x:c>
      <x:c r="E1479" s="18" t="n">
        <x:v>33.93</x:v>
      </x:c>
      <x:c r="F1479" s="18" t="n">
        <x:v>20.56</x:v>
      </x:c>
      <x:c r="G1479" t="n">
        <x:v>36</x:v>
      </x:c>
      <x:c r="H1479" t="str">
        <x:v>F</x:v>
      </x:c>
      <x:c r="I1479" t="str">
        <x:v>4-6 years</x:v>
      </x:c>
      <x:c r="J1479" t="str">
        <x:v>RENT</x:v>
      </x:c>
      <x:c r="K1479" t="str">
        <x:v>credit_card</x:v>
      </x:c>
      <x:c r="L1479" t="n">
        <x:v>1</x:v>
      </x:c>
      <x:c r="M1479" t="n">
        <x:v>1</x:v>
      </x:c>
      <x:c r="N1479" t="str">
        <x:v>Charged Off</x:v>
      </x:c>
      <x:c r="O1479" t="str">
        <x:f>IF(D1479="","Unknown",IF(D1479&lt;25000,"&lt;$25k",IF(D1479&lt;50000,"$25k-$50k",IF(D1479&lt;75000,"$50k-$75k",IF(D1479&lt;100000,"$75k-$100k","$100k+")))))</x:f>
        <x:v>$25k-$50k</x:v>
      </x:c>
      <x:c r="P1479" t="str">
        <x:f>IF(E1479="","Unknown",IF(E1479&lt;10,"&lt;10",IF(E1479&lt;20,"10-&lt;20",IF(E1479&lt;25,"20-&lt;25",IF(E1479&lt;35,"25-&lt;35","35+")))))</x:f>
        <x:v>25-&lt;35</x:v>
      </x:c>
    </x:row>
    <x:row r="1480">
      <x:c r="A1480" t="str">
        <x:v>SYN0001479</x:v>
      </x:c>
      <x:c r="B1480" s="12" t="n">
        <x:v>42265</x:v>
      </x:c>
      <x:c r="C1480" s="18" t="n">
        <x:v>20138</x:v>
      </x:c>
      <x:c r="D1480" s="18" t="n">
        <x:v>30650</x:v>
      </x:c>
      <x:c r="E1480" s="18" t="n">
        <x:v>22.7</x:v>
      </x:c>
      <x:c r="F1480" s="18" t="n">
        <x:v>8.78</x:v>
      </x:c>
      <x:c r="G1480" t="n">
        <x:v>36</x:v>
      </x:c>
      <x:c r="H1480" t="str">
        <x:v>B</x:v>
      </x:c>
      <x:c r="I1480" t="str">
        <x:v>10+ years</x:v>
      </x:c>
      <x:c r="J1480" t="str">
        <x:v>OWN</x:v>
      </x:c>
      <x:c r="K1480" t="str">
        <x:v>debt_consolidation</x:v>
      </x:c>
      <x:c r="L1480" t="n">
        <x:v>0</x:v>
      </x:c>
      <x:c r="M1480" t="n">
        <x:v>0</x:v>
      </x:c>
      <x:c r="N1480" t="str">
        <x:v>Fully Paid</x:v>
      </x:c>
      <x:c r="O1480" t="str">
        <x:f>IF(D1480="","Unknown",IF(D1480&lt;25000,"&lt;$25k",IF(D1480&lt;50000,"$25k-$50k",IF(D1480&lt;75000,"$50k-$75k",IF(D1480&lt;100000,"$75k-$100k","$100k+")))))</x:f>
        <x:v>$25k-$50k</x:v>
      </x:c>
      <x:c r="P1480" t="str">
        <x:f>IF(E1480="","Unknown",IF(E1480&lt;10,"&lt;10",IF(E1480&lt;20,"10-&lt;20",IF(E1480&lt;25,"20-&lt;25",IF(E1480&lt;35,"25-&lt;35","35+")))))</x:f>
        <x:v>20-&lt;25</x:v>
      </x:c>
    </x:row>
    <x:row r="1481">
      <x:c r="A1481" t="str">
        <x:v>SYN0001480</x:v>
      </x:c>
      <x:c r="B1481" s="12" t="n">
        <x:v>42535</x:v>
      </x:c>
      <x:c r="C1481" s="18" t="n">
        <x:v>10548</x:v>
      </x:c>
      <x:c r="D1481" s="18" t="n">
        <x:v>34222</x:v>
      </x:c>
      <x:c r="E1481" s="18" t="n">
        <x:v>20.81</x:v>
      </x:c>
      <x:c r="F1481" s="18" t="n">
        <x:v>8.11</x:v>
      </x:c>
      <x:c r="G1481" t="n">
        <x:v>36</x:v>
      </x:c>
      <x:c r="H1481" t="str">
        <x:v>B</x:v>
      </x:c>
      <x:c r="I1481" t="str">
        <x:v>1-3 years</x:v>
      </x:c>
      <x:c r="J1481" t="str">
        <x:v>MORTGAGE</x:v>
      </x:c>
      <x:c r="K1481" t="str">
        <x:v>debt_consolidation</x:v>
      </x:c>
      <x:c r="L1481" t="n">
        <x:v>1</x:v>
      </x:c>
      <x:c r="M1481" t="n">
        <x:v>0</x:v>
      </x:c>
      <x:c r="N1481" t="str">
        <x:v>Fully Paid</x:v>
      </x:c>
      <x:c r="O1481" t="str">
        <x:f>IF(D1481="","Unknown",IF(D1481&lt;25000,"&lt;$25k",IF(D1481&lt;50000,"$25k-$50k",IF(D1481&lt;75000,"$50k-$75k",IF(D1481&lt;100000,"$75k-$100k","$100k+")))))</x:f>
        <x:v>$25k-$50k</x:v>
      </x:c>
      <x:c r="P1481" t="str">
        <x:f>IF(E1481="","Unknown",IF(E1481&lt;10,"&lt;10",IF(E1481&lt;20,"10-&lt;20",IF(E1481&lt;25,"20-&lt;25",IF(E1481&lt;35,"25-&lt;35","35+")))))</x:f>
        <x:v>20-&lt;25</x:v>
      </x:c>
    </x:row>
    <x:row r="1482">
      <x:c r="A1482" t="str">
        <x:v>SYN0001481</x:v>
      </x:c>
      <x:c r="B1482" s="12" t="n">
        <x:v>41305</x:v>
      </x:c>
      <x:c r="C1482" s="18" t="n">
        <x:v>6104</x:v>
      </x:c>
      <x:c r="D1482" s="18" t="n">
        <x:v>19160</x:v>
      </x:c>
      <x:c r="E1482" s="18" t="n">
        <x:v>31.09</x:v>
      </x:c>
      <x:c r="F1482" s="18" t="n">
        <x:v>17.95</x:v>
      </x:c>
      <x:c r="G1482" t="n">
        <x:v>36</x:v>
      </x:c>
      <x:c r="H1482" t="str">
        <x:v>E</x:v>
      </x:c>
      <x:c r="I1482" t="str">
        <x:v>10+ years</x:v>
      </x:c>
      <x:c r="J1482" t="str">
        <x:v>OWN</x:v>
      </x:c>
      <x:c r="K1482" t="str">
        <x:v>debt_consolidation</x:v>
      </x:c>
      <x:c r="L1482" t="n">
        <x:v>2</x:v>
      </x:c>
      <x:c r="M1482" t="n">
        <x:v>1</x:v>
      </x:c>
      <x:c r="N1482" t="str">
        <x:v>Charged Off</x:v>
      </x:c>
      <x:c r="O1482" t="str">
        <x:f>IF(D1482="","Unknown",IF(D1482&lt;25000,"&lt;$25k",IF(D1482&lt;50000,"$25k-$50k",IF(D1482&lt;75000,"$50k-$75k",IF(D1482&lt;100000,"$75k-$100k","$100k+")))))</x:f>
        <x:v>&lt;$25k</x:v>
      </x:c>
      <x:c r="P1482" t="str">
        <x:f>IF(E1482="","Unknown",IF(E1482&lt;10,"&lt;10",IF(E1482&lt;20,"10-&lt;20",IF(E1482&lt;25,"20-&lt;25",IF(E1482&lt;35,"25-&lt;35","35+")))))</x:f>
        <x:v>25-&lt;35</x:v>
      </x:c>
    </x:row>
    <x:row r="1483">
      <x:c r="A1483" t="str">
        <x:v>SYN0001482</x:v>
      </x:c>
      <x:c r="B1483" s="12" t="n">
        <x:v>42055</x:v>
      </x:c>
      <x:c r="C1483" s="18" t="n">
        <x:v>5738</x:v>
      </x:c>
      <x:c r="D1483" s="18" t="n">
        <x:v>31915</x:v>
      </x:c>
      <x:c r="E1483" s="18" t="n">
        <x:v>19.6</x:v>
      </x:c>
      <x:c r="F1483" s="18" t="n">
        <x:v>16.24</x:v>
      </x:c>
      <x:c r="G1483" t="n">
        <x:v>36</x:v>
      </x:c>
      <x:c r="H1483" t="str">
        <x:v>D</x:v>
      </x:c>
      <x:c r="I1483" t="str">
        <x:v>10+ years</x:v>
      </x:c>
      <x:c r="J1483" t="str">
        <x:v>OWN</x:v>
      </x:c>
      <x:c r="K1483" t="str">
        <x:v>major_purchase</x:v>
      </x:c>
      <x:c r="L1483" t="n">
        <x:v>1</x:v>
      </x:c>
      <x:c r="M1483" t="n">
        <x:v>0</x:v>
      </x:c>
      <x:c r="N1483" t="str">
        <x:v>Fully Paid</x:v>
      </x:c>
      <x:c r="O1483" t="str">
        <x:f>IF(D1483="","Unknown",IF(D1483&lt;25000,"&lt;$25k",IF(D1483&lt;50000,"$25k-$50k",IF(D1483&lt;75000,"$50k-$75k",IF(D1483&lt;100000,"$75k-$100k","$100k+")))))</x:f>
        <x:v>$25k-$50k</x:v>
      </x:c>
      <x:c r="P1483" t="str">
        <x:f>IF(E1483="","Unknown",IF(E1483&lt;10,"&lt;10",IF(E1483&lt;20,"10-&lt;20",IF(E1483&lt;25,"20-&lt;25",IF(E1483&lt;35,"25-&lt;35","35+")))))</x:f>
        <x:v>10-&lt;20</x:v>
      </x:c>
    </x:row>
    <x:row r="1484">
      <x:c r="A1484" t="str">
        <x:v>SYN0001483</x:v>
      </x:c>
      <x:c r="B1484" s="12" t="n">
        <x:v>41995</x:v>
      </x:c>
      <x:c r="C1484" s="18" t="n">
        <x:v>26004</x:v>
      </x:c>
      <x:c r="D1484" s="18" t="n">
        <x:v>57741</x:v>
      </x:c>
      <x:c r="E1484" s="18" t="n">
        <x:v>11.77</x:v>
      </x:c>
      <x:c r="F1484" s="18" t="n">
        <x:v>8.7</x:v>
      </x:c>
      <x:c r="G1484" t="n">
        <x:v>36</x:v>
      </x:c>
      <x:c r="H1484" t="str">
        <x:v>A</x:v>
      </x:c>
      <x:c r="I1484" t="str">
        <x:v>10+ years</x:v>
      </x:c>
      <x:c r="J1484" t="str">
        <x:v>RENT</x:v>
      </x:c>
      <x:c r="K1484" t="str">
        <x:v>other</x:v>
      </x:c>
      <x:c r="L1484" t="n">
        <x:v>0</x:v>
      </x:c>
      <x:c r="M1484" t="n">
        <x:v>0</x:v>
      </x:c>
      <x:c r="N1484" t="str">
        <x:v>Fully Paid</x:v>
      </x:c>
      <x:c r="O1484" t="str">
        <x:f>IF(D1484="","Unknown",IF(D1484&lt;25000,"&lt;$25k",IF(D1484&lt;50000,"$25k-$50k",IF(D1484&lt;75000,"$50k-$75k",IF(D1484&lt;100000,"$75k-$100k","$100k+")))))</x:f>
        <x:v>$50k-$75k</x:v>
      </x:c>
      <x:c r="P1484" t="str">
        <x:f>IF(E1484="","Unknown",IF(E1484&lt;10,"&lt;10",IF(E1484&lt;20,"10-&lt;20",IF(E1484&lt;25,"20-&lt;25",IF(E1484&lt;35,"25-&lt;35","35+")))))</x:f>
        <x:v>10-&lt;20</x:v>
      </x:c>
    </x:row>
    <x:row r="1485">
      <x:c r="A1485" t="str">
        <x:v>SYN0001484</x:v>
      </x:c>
      <x:c r="B1485" s="12" t="n">
        <x:v>42955</x:v>
      </x:c>
      <x:c r="C1485" s="18" t="n">
        <x:v>11822</x:v>
      </x:c>
      <x:c r="D1485" s="18" t="n">
        <x:v>40530</x:v>
      </x:c>
      <x:c r="E1485" s="18" t="n">
        <x:v>23.16</x:v>
      </x:c>
      <x:c r="F1485" s="18" t="n">
        <x:v>16.09</x:v>
      </x:c>
      <x:c r="G1485" t="n">
        <x:v>36</x:v>
      </x:c>
      <x:c r="H1485" t="str">
        <x:v>D</x:v>
      </x:c>
      <x:c r="I1485" t="str">
        <x:v>10+ years</x:v>
      </x:c>
      <x:c r="J1485" t="str">
        <x:v>RENT</x:v>
      </x:c>
      <x:c r="K1485" t="str">
        <x:v>home_improvement</x:v>
      </x:c>
      <x:c r="L1485" t="n">
        <x:v>0</x:v>
      </x:c>
      <x:c r="M1485" t="n">
        <x:v>0</x:v>
      </x:c>
      <x:c r="N1485" t="str">
        <x:v>Fully Paid</x:v>
      </x:c>
      <x:c r="O1485" t="str">
        <x:f>IF(D1485="","Unknown",IF(D1485&lt;25000,"&lt;$25k",IF(D1485&lt;50000,"$25k-$50k",IF(D1485&lt;75000,"$50k-$75k",IF(D1485&lt;100000,"$75k-$100k","$100k+")))))</x:f>
        <x:v>$25k-$50k</x:v>
      </x:c>
      <x:c r="P1485" t="str">
        <x:f>IF(E1485="","Unknown",IF(E1485&lt;10,"&lt;10",IF(E1485&lt;20,"10-&lt;20",IF(E1485&lt;25,"20-&lt;25",IF(E1485&lt;35,"25-&lt;35","35+")))))</x:f>
        <x:v>20-&lt;25</x:v>
      </x:c>
    </x:row>
    <x:row r="1486">
      <x:c r="A1486" t="str">
        <x:v>SYN0001485</x:v>
      </x:c>
      <x:c r="B1486" s="12" t="n">
        <x:v>41815</x:v>
      </x:c>
      <x:c r="C1486" s="18" t="n">
        <x:v>11468</x:v>
      </x:c>
      <x:c r="D1486" s="18" t="n">
        <x:v>57913</x:v>
      </x:c>
      <x:c r="E1486" s="18" t="n">
        <x:v>26.19</x:v>
      </x:c>
      <x:c r="F1486" s="18" t="n">
        <x:v>26.08</x:v>
      </x:c>
      <x:c r="G1486" t="n">
        <x:v>36</x:v>
      </x:c>
      <x:c r="H1486" t="str">
        <x:v>G</x:v>
      </x:c>
      <x:c r="I1486" t="str">
        <x:v>4-6 years</x:v>
      </x:c>
      <x:c r="J1486" t="str">
        <x:v>RENT</x:v>
      </x:c>
      <x:c r="K1486" t="str">
        <x:v>debt_consolidation</x:v>
      </x:c>
      <x:c r="L1486" t="n">
        <x:v>0</x:v>
      </x:c>
      <x:c r="M1486" t="n">
        <x:v>0</x:v>
      </x:c>
      <x:c r="N1486" t="str">
        <x:v>Fully Paid</x:v>
      </x:c>
      <x:c r="O1486" t="str">
        <x:f>IF(D1486="","Unknown",IF(D1486&lt;25000,"&lt;$25k",IF(D1486&lt;50000,"$25k-$50k",IF(D1486&lt;75000,"$50k-$75k",IF(D1486&lt;100000,"$75k-$100k","$100k+")))))</x:f>
        <x:v>$50k-$75k</x:v>
      </x:c>
      <x:c r="P1486" t="str">
        <x:f>IF(E1486="","Unknown",IF(E1486&lt;10,"&lt;10",IF(E1486&lt;20,"10-&lt;20",IF(E1486&lt;25,"20-&lt;25",IF(E1486&lt;35,"25-&lt;35","35+")))))</x:f>
        <x:v>25-&lt;35</x:v>
      </x:c>
    </x:row>
    <x:row r="1487">
      <x:c r="A1487" t="str">
        <x:v>SYN0001486</x:v>
      </x:c>
      <x:c r="B1487" s="12" t="n">
        <x:v>42985</x:v>
      </x:c>
      <x:c r="C1487" s="18" t="n">
        <x:v>8374</x:v>
      </x:c>
      <x:c r="D1487" s="18" t="n">
        <x:v>18837</x:v>
      </x:c>
      <x:c r="E1487" s="18" t="n">
        <x:v>12.71</x:v>
      </x:c>
      <x:c r="F1487" s="18" t="n">
        <x:v>11.39</x:v>
      </x:c>
      <x:c r="G1487" t="n">
        <x:v>36</x:v>
      </x:c>
      <x:c r="H1487" t="str">
        <x:v>C</x:v>
      </x:c>
      <x:c r="I1487" t="str">
        <x:v>7-9 years</x:v>
      </x:c>
      <x:c r="J1487" t="str">
        <x:v>RENT</x:v>
      </x:c>
      <x:c r="K1487" t="str">
        <x:v>debt_consolidation</x:v>
      </x:c>
      <x:c r="L1487" t="n">
        <x:v>1</x:v>
      </x:c>
      <x:c r="M1487" t="n">
        <x:v>0</x:v>
      </x:c>
      <x:c r="N1487" t="str">
        <x:v>Fully Paid</x:v>
      </x:c>
      <x:c r="O1487" t="str">
        <x:f>IF(D1487="","Unknown",IF(D1487&lt;25000,"&lt;$25k",IF(D1487&lt;50000,"$25k-$50k",IF(D1487&lt;75000,"$50k-$75k",IF(D1487&lt;100000,"$75k-$100k","$100k+")))))</x:f>
        <x:v>&lt;$25k</x:v>
      </x:c>
      <x:c r="P1487" t="str">
        <x:f>IF(E1487="","Unknown",IF(E1487&lt;10,"&lt;10",IF(E1487&lt;20,"10-&lt;20",IF(E1487&lt;25,"20-&lt;25",IF(E1487&lt;35,"25-&lt;35","35+")))))</x:f>
        <x:v>10-&lt;20</x:v>
      </x:c>
    </x:row>
    <x:row r="1488">
      <x:c r="A1488" t="str">
        <x:v>SYN0001487</x:v>
      </x:c>
      <x:c r="B1488" s="12" t="n">
        <x:v>42355</x:v>
      </x:c>
      <x:c r="C1488" s="18" t="n">
        <x:v>18579</x:v>
      </x:c>
      <x:c r="D1488" s="18" t="n">
        <x:v>43497</x:v>
      </x:c>
      <x:c r="E1488" s="18" t="n">
        <x:v>13.92</x:v>
      </x:c>
      <x:c r="F1488" s="18" t="n">
        <x:v>17.79</x:v>
      </x:c>
      <x:c r="G1488" t="n">
        <x:v>36</x:v>
      </x:c>
      <x:c r="H1488" t="str">
        <x:v>E</x:v>
      </x:c>
      <x:c r="I1488" t="str">
        <x:v>7-9 years</x:v>
      </x:c>
      <x:c r="J1488" t="str">
        <x:v>RENT</x:v>
      </x:c>
      <x:c r="K1488" t="str">
        <x:v>credit_card</x:v>
      </x:c>
      <x:c r="L1488" t="n">
        <x:v>0</x:v>
      </x:c>
      <x:c r="M1488" t="n">
        <x:v>0</x:v>
      </x:c>
      <x:c r="N1488" t="str">
        <x:v>Fully Paid</x:v>
      </x:c>
      <x:c r="O1488" t="str">
        <x:f>IF(D1488="","Unknown",IF(D1488&lt;25000,"&lt;$25k",IF(D1488&lt;50000,"$25k-$50k",IF(D1488&lt;75000,"$50k-$75k",IF(D1488&lt;100000,"$75k-$100k","$100k+")))))</x:f>
        <x:v>$25k-$50k</x:v>
      </x:c>
      <x:c r="P1488" t="str">
        <x:f>IF(E1488="","Unknown",IF(E1488&lt;10,"&lt;10",IF(E1488&lt;20,"10-&lt;20",IF(E1488&lt;25,"20-&lt;25",IF(E1488&lt;35,"25-&lt;35","35+")))))</x:f>
        <x:v>10-&lt;20</x:v>
      </x:c>
    </x:row>
    <x:row r="1489">
      <x:c r="A1489" t="str">
        <x:v>SYN0001488</x:v>
      </x:c>
      <x:c r="B1489" s="12" t="n">
        <x:v>41665</x:v>
      </x:c>
      <x:c r="C1489" s="18" t="n">
        <x:v>7217</x:v>
      </x:c>
      <x:c r="D1489" s="18" t="n">
        <x:v>15759</x:v>
      </x:c>
      <x:c r="E1489" s="18" t="n">
        <x:v>14.15</x:v>
      </x:c>
      <x:c r="F1489" s="18" t="n">
        <x:v>18.85</x:v>
      </x:c>
      <x:c r="G1489" t="n">
        <x:v>36</x:v>
      </x:c>
      <x:c r="H1489" t="str">
        <x:v>E</x:v>
      </x:c>
      <x:c r="I1489" t="str">
        <x:v>7-9 years</x:v>
      </x:c>
      <x:c r="J1489" t="str">
        <x:v>RENT</x:v>
      </x:c>
      <x:c r="K1489" t="str">
        <x:v>home_improvement</x:v>
      </x:c>
      <x:c r="L1489" t="n">
        <x:v>0</x:v>
      </x:c>
      <x:c r="M1489" t="n">
        <x:v>1</x:v>
      </x:c>
      <x:c r="N1489" t="str">
        <x:v>Charged Off</x:v>
      </x:c>
      <x:c r="O1489" t="str">
        <x:f>IF(D1489="","Unknown",IF(D1489&lt;25000,"&lt;$25k",IF(D1489&lt;50000,"$25k-$50k",IF(D1489&lt;75000,"$50k-$75k",IF(D1489&lt;100000,"$75k-$100k","$100k+")))))</x:f>
        <x:v>&lt;$25k</x:v>
      </x:c>
      <x:c r="P1489" t="str">
        <x:f>IF(E1489="","Unknown",IF(E1489&lt;10,"&lt;10",IF(E1489&lt;20,"10-&lt;20",IF(E1489&lt;25,"20-&lt;25",IF(E1489&lt;35,"25-&lt;35","35+")))))</x:f>
        <x:v>10-&lt;20</x:v>
      </x:c>
    </x:row>
    <x:row r="1490">
      <x:c r="A1490" t="str">
        <x:v>SYN0001489</x:v>
      </x:c>
      <x:c r="B1490" s="12" t="n">
        <x:v>41515</x:v>
      </x:c>
      <x:c r="C1490" s="18" t="n">
        <x:v>9606</x:v>
      </x:c>
      <x:c r="D1490" s="18" t="n">
        <x:v>54258</x:v>
      </x:c>
      <x:c r="E1490" s="18" t="n">
        <x:v>30.82</x:v>
      </x:c>
      <x:c r="F1490" s="18" t="n">
        <x:v>8.15</x:v>
      </x:c>
      <x:c r="G1490" t="n">
        <x:v>36</x:v>
      </x:c>
      <x:c r="H1490" t="str">
        <x:v>B</x:v>
      </x:c>
      <x:c r="I1490" t="str">
        <x:v>7-9 years</x:v>
      </x:c>
      <x:c r="J1490" t="str">
        <x:v>MORTGAGE</x:v>
      </x:c>
      <x:c r="K1490" t="str">
        <x:v>medical</x:v>
      </x:c>
      <x:c r="L1490" t="n">
        <x:v>0</x:v>
      </x:c>
      <x:c r="M1490" t="n">
        <x:v>0</x:v>
      </x:c>
      <x:c r="N1490" t="str">
        <x:v>Fully Paid</x:v>
      </x:c>
      <x:c r="O1490" t="str">
        <x:f>IF(D1490="","Unknown",IF(D1490&lt;25000,"&lt;$25k",IF(D1490&lt;50000,"$25k-$50k",IF(D1490&lt;75000,"$50k-$75k",IF(D1490&lt;100000,"$75k-$100k","$100k+")))))</x:f>
        <x:v>$50k-$75k</x:v>
      </x:c>
      <x:c r="P1490" t="str">
        <x:f>IF(E1490="","Unknown",IF(E1490&lt;10,"&lt;10",IF(E1490&lt;20,"10-&lt;20",IF(E1490&lt;25,"20-&lt;25",IF(E1490&lt;35,"25-&lt;35","35+")))))</x:f>
        <x:v>25-&lt;35</x:v>
      </x:c>
    </x:row>
    <x:row r="1491">
      <x:c r="A1491" t="str">
        <x:v>SYN0001490</x:v>
      </x:c>
      <x:c r="B1491" s="12" t="n">
        <x:v>43225</x:v>
      </x:c>
      <x:c r="C1491" s="18" t="n">
        <x:v>40000</x:v>
      </x:c>
      <x:c r="D1491" s="18" t="n">
        <x:v>38904</x:v>
      </x:c>
      <x:c r="E1491" s="18" t="n">
        <x:v>31.85</x:v>
      </x:c>
      <x:c r="F1491" s="18" t="n">
        <x:v>12.5</x:v>
      </x:c>
      <x:c r="G1491" t="n">
        <x:v>60</x:v>
      </x:c>
      <x:c r="H1491" t="str">
        <x:v>C</x:v>
      </x:c>
      <x:c r="I1491" t="str">
        <x:v>1-3 years</x:v>
      </x:c>
      <x:c r="J1491" t="str">
        <x:v>MORTGAGE</x:v>
      </x:c>
      <x:c r="K1491" t="str">
        <x:v>debt_consolidation</x:v>
      </x:c>
      <x:c r="L1491" t="n">
        <x:v>1</x:v>
      </x:c>
      <x:c r="M1491" t="n">
        <x:v>0</x:v>
      </x:c>
      <x:c r="N1491" t="str">
        <x:v>Fully Paid</x:v>
      </x:c>
      <x:c r="O1491" t="str">
        <x:f>IF(D1491="","Unknown",IF(D1491&lt;25000,"&lt;$25k",IF(D1491&lt;50000,"$25k-$50k",IF(D1491&lt;75000,"$50k-$75k",IF(D1491&lt;100000,"$75k-$100k","$100k+")))))</x:f>
        <x:v>$25k-$50k</x:v>
      </x:c>
      <x:c r="P1491" t="str">
        <x:f>IF(E1491="","Unknown",IF(E1491&lt;10,"&lt;10",IF(E1491&lt;20,"10-&lt;20",IF(E1491&lt;25,"20-&lt;25",IF(E1491&lt;35,"25-&lt;35","35+")))))</x:f>
        <x:v>25-&lt;35</x:v>
      </x:c>
    </x:row>
    <x:row r="1492">
      <x:c r="A1492" t="str">
        <x:v>SYN0001491</x:v>
      </x:c>
      <x:c r="B1492" s="12" t="n">
        <x:v>42235</x:v>
      </x:c>
      <x:c r="C1492" s="18" t="n">
        <x:v>19704</x:v>
      </x:c>
      <x:c r="D1492" s="18" t="n">
        <x:v>42232</x:v>
      </x:c>
      <x:c r="E1492" s="18" t="n">
        <x:v>9.22</x:v>
      </x:c>
      <x:c r="F1492" s="18" t="n">
        <x:v>22.07</x:v>
      </x:c>
      <x:c r="G1492" t="n">
        <x:v>36</x:v>
      </x:c>
      <x:c r="H1492" t="str">
        <x:v>F</x:v>
      </x:c>
      <x:c r="I1492" t="str">
        <x:v>10+ years</x:v>
      </x:c>
      <x:c r="J1492" t="str">
        <x:v>MORTGAGE</x:v>
      </x:c>
      <x:c r="K1492" t="str">
        <x:v>other</x:v>
      </x:c>
      <x:c r="L1492" t="n">
        <x:v>0</x:v>
      </x:c>
      <x:c r="M1492" t="n">
        <x:v>1</x:v>
      </x:c>
      <x:c r="N1492" t="str">
        <x:v>Charged Off</x:v>
      </x:c>
      <x:c r="O1492" t="str">
        <x:f>IF(D1492="","Unknown",IF(D1492&lt;25000,"&lt;$25k",IF(D1492&lt;50000,"$25k-$50k",IF(D1492&lt;75000,"$50k-$75k",IF(D1492&lt;100000,"$75k-$100k","$100k+")))))</x:f>
        <x:v>$25k-$50k</x:v>
      </x:c>
      <x:c r="P1492" t="str">
        <x:f>IF(E1492="","Unknown",IF(E1492&lt;10,"&lt;10",IF(E1492&lt;20,"10-&lt;20",IF(E1492&lt;25,"20-&lt;25",IF(E1492&lt;35,"25-&lt;35","35+")))))</x:f>
        <x:v>&lt;10</x:v>
      </x:c>
    </x:row>
    <x:row r="1493">
      <x:c r="A1493" t="str">
        <x:v>SYN0001492</x:v>
      </x:c>
      <x:c r="B1493" s="12" t="n">
        <x:v>42175</x:v>
      </x:c>
      <x:c r="C1493" s="18" t="n">
        <x:v>14626</x:v>
      </x:c>
      <x:c r="D1493" s="18" t="n">
        <x:v>12000</x:v>
      </x:c>
      <x:c r="E1493" s="18" t="n">
        <x:v>28.46</x:v>
      </x:c>
      <x:c r="F1493" s="18" t="n">
        <x:v>12.13</x:v>
      </x:c>
      <x:c r="G1493" t="n">
        <x:v>36</x:v>
      </x:c>
      <x:c r="H1493" t="str">
        <x:v>C</x:v>
      </x:c>
      <x:c r="I1493" t="str">
        <x:v>1-3 years</x:v>
      </x:c>
      <x:c r="J1493" t="str">
        <x:v>RENT</x:v>
      </x:c>
      <x:c r="K1493" t="str">
        <x:v>home_improvement</x:v>
      </x:c>
      <x:c r="L1493" t="n">
        <x:v>0</x:v>
      </x:c>
      <x:c r="M1493" t="n">
        <x:v>0</x:v>
      </x:c>
      <x:c r="N1493" t="str">
        <x:v>Fully Paid</x:v>
      </x:c>
      <x:c r="O1493" t="str">
        <x:f>IF(D1493="","Unknown",IF(D1493&lt;25000,"&lt;$25k",IF(D1493&lt;50000,"$25k-$50k",IF(D1493&lt;75000,"$50k-$75k",IF(D1493&lt;100000,"$75k-$100k","$100k+")))))</x:f>
        <x:v>&lt;$25k</x:v>
      </x:c>
      <x:c r="P1493" t="str">
        <x:f>IF(E1493="","Unknown",IF(E1493&lt;10,"&lt;10",IF(E1493&lt;20,"10-&lt;20",IF(E1493&lt;25,"20-&lt;25",IF(E1493&lt;35,"25-&lt;35","35+")))))</x:f>
        <x:v>25-&lt;35</x:v>
      </x:c>
    </x:row>
    <x:row r="1494">
      <x:c r="A1494" t="str">
        <x:v>SYN0001493</x:v>
      </x:c>
      <x:c r="B1494" s="12" t="n">
        <x:v>42685</x:v>
      </x:c>
      <x:c r="C1494" s="18" t="n">
        <x:v>10853</x:v>
      </x:c>
      <x:c r="D1494" s="18" t="n">
        <x:v>54059</x:v>
      </x:c>
      <x:c r="E1494" s="18" t="n">
        <x:v>7.22</x:v>
      </x:c>
      <x:c r="F1494" s="18" t="n">
        <x:v>19.89</x:v>
      </x:c>
      <x:c r="G1494" t="n">
        <x:v>36</x:v>
      </x:c>
      <x:c r="H1494" t="str">
        <x:v>F</x:v>
      </x:c>
      <x:c r="I1494" t="str">
        <x:v>10+ years</x:v>
      </x:c>
      <x:c r="J1494" t="str">
        <x:v>RENT</x:v>
      </x:c>
      <x:c r="K1494" t="str">
        <x:v>debt_consolidation</x:v>
      </x:c>
      <x:c r="L1494" t="n">
        <x:v>0</x:v>
      </x:c>
      <x:c r="M1494" t="n">
        <x:v>0</x:v>
      </x:c>
      <x:c r="N1494" t="str">
        <x:v>Fully Paid</x:v>
      </x:c>
      <x:c r="O1494" t="str">
        <x:f>IF(D1494="","Unknown",IF(D1494&lt;25000,"&lt;$25k",IF(D1494&lt;50000,"$25k-$50k",IF(D1494&lt;75000,"$50k-$75k",IF(D1494&lt;100000,"$75k-$100k","$100k+")))))</x:f>
        <x:v>$50k-$75k</x:v>
      </x:c>
      <x:c r="P1494" t="str">
        <x:f>IF(E1494="","Unknown",IF(E1494&lt;10,"&lt;10",IF(E1494&lt;20,"10-&lt;20",IF(E1494&lt;25,"20-&lt;25",IF(E1494&lt;35,"25-&lt;35","35+")))))</x:f>
        <x:v>&lt;10</x:v>
      </x:c>
    </x:row>
    <x:row r="1495">
      <x:c r="A1495" t="str">
        <x:v>SYN0001494</x:v>
      </x:c>
      <x:c r="B1495" s="12" t="n">
        <x:v>41575</x:v>
      </x:c>
      <x:c r="C1495" s="18" t="n">
        <x:v>21725</x:v>
      </x:c>
      <x:c r="D1495" s="18" t="n">
        <x:v>83299</x:v>
      </x:c>
      <x:c r="E1495" s="18" t="n">
        <x:v>14.49</x:v>
      </x:c>
      <x:c r="F1495" s="18" t="n">
        <x:v>10.16</x:v>
      </x:c>
      <x:c r="G1495" t="n">
        <x:v>36</x:v>
      </x:c>
      <x:c r="H1495" t="str">
        <x:v>B</x:v>
      </x:c>
      <x:c r="I1495" t="str">
        <x:v>1-3 years</x:v>
      </x:c>
      <x:c r="J1495" t="str">
        <x:v>OWN</x:v>
      </x:c>
      <x:c r="K1495" t="str">
        <x:v>major_purchase</x:v>
      </x:c>
      <x:c r="L1495" t="n">
        <x:v>1</x:v>
      </x:c>
      <x:c r="M1495" t="n">
        <x:v>0</x:v>
      </x:c>
      <x:c r="N1495" t="str">
        <x:v>Fully Paid</x:v>
      </x:c>
      <x:c r="O1495" t="str">
        <x:f>IF(D1495="","Unknown",IF(D1495&lt;25000,"&lt;$25k",IF(D1495&lt;50000,"$25k-$50k",IF(D1495&lt;75000,"$50k-$75k",IF(D1495&lt;100000,"$75k-$100k","$100k+")))))</x:f>
        <x:v>$75k-$100k</x:v>
      </x:c>
      <x:c r="P1495" t="str">
        <x:f>IF(E1495="","Unknown",IF(E1495&lt;10,"&lt;10",IF(E1495&lt;20,"10-&lt;20",IF(E1495&lt;25,"20-&lt;25",IF(E1495&lt;35,"25-&lt;35","35+")))))</x:f>
        <x:v>10-&lt;20</x:v>
      </x:c>
    </x:row>
    <x:row r="1496">
      <x:c r="A1496" t="str">
        <x:v>SYN0001495</x:v>
      </x:c>
      <x:c r="B1496" s="12" t="n">
        <x:v>42175</x:v>
      </x:c>
      <x:c r="C1496" s="18" t="n">
        <x:v>15192</x:v>
      </x:c>
      <x:c r="D1496" s="18" t="n">
        <x:v>250000</x:v>
      </x:c>
      <x:c r="E1496" s="18" t="n">
        <x:v>24.29</x:v>
      </x:c>
      <x:c r="F1496" s="18" t="n">
        <x:v>22.67</x:v>
      </x:c>
      <x:c r="G1496" t="n">
        <x:v>36</x:v>
      </x:c>
      <x:c r="H1496" t="str">
        <x:v>F</x:v>
      </x:c>
      <x:c r="I1496" t="str">
        <x:v>1-3 years</x:v>
      </x:c>
      <x:c r="J1496" t="str">
        <x:v>RENT</x:v>
      </x:c>
      <x:c r="K1496" t="str">
        <x:v>debt_consolidation</x:v>
      </x:c>
      <x:c r="L1496" t="n">
        <x:v>0</x:v>
      </x:c>
      <x:c r="M1496" t="n">
        <x:v>1</x:v>
      </x:c>
      <x:c r="N1496" t="str">
        <x:v>Charged Off</x:v>
      </x:c>
      <x:c r="O1496" t="str">
        <x:f>IF(D1496="","Unknown",IF(D1496&lt;25000,"&lt;$25k",IF(D1496&lt;50000,"$25k-$50k",IF(D1496&lt;75000,"$50k-$75k",IF(D1496&lt;100000,"$75k-$100k","$100k+")))))</x:f>
        <x:v>$100k+</x:v>
      </x:c>
      <x:c r="P1496" t="str">
        <x:f>IF(E1496="","Unknown",IF(E1496&lt;10,"&lt;10",IF(E1496&lt;20,"10-&lt;20",IF(E1496&lt;25,"20-&lt;25",IF(E1496&lt;35,"25-&lt;35","35+")))))</x:f>
        <x:v>20-&lt;25</x:v>
      </x:c>
    </x:row>
    <x:row r="1497">
      <x:c r="A1497" t="str">
        <x:v>SYN0001496</x:v>
      </x:c>
      <x:c r="B1497" s="12" t="n">
        <x:v>42805</x:v>
      </x:c>
      <x:c r="C1497" s="18" t="n">
        <x:v>6728</x:v>
      </x:c>
      <x:c r="D1497" s="18" t="n">
        <x:v>34434</x:v>
      </x:c>
      <x:c r="E1497" s="18" t="n">
        <x:v>2.89</x:v>
      </x:c>
      <x:c r="F1497" s="18" t="n">
        <x:v>13.29</x:v>
      </x:c>
      <x:c r="G1497" t="n">
        <x:v>36</x:v>
      </x:c>
      <x:c r="H1497" t="str">
        <x:v>D</x:v>
      </x:c>
      <x:c r="I1497" t="str">
        <x:v>10+ years</x:v>
      </x:c>
      <x:c r="J1497" t="str">
        <x:v>MORTGAGE</x:v>
      </x:c>
      <x:c r="K1497" t="str">
        <x:v>credit_card</x:v>
      </x:c>
      <x:c r="L1497" t="n">
        <x:v>0</x:v>
      </x:c>
      <x:c r="M1497" t="n">
        <x:v>0</x:v>
      </x:c>
      <x:c r="N1497" t="str">
        <x:v>Fully Paid</x:v>
      </x:c>
      <x:c r="O1497" t="str">
        <x:f>IF(D1497="","Unknown",IF(D1497&lt;25000,"&lt;$25k",IF(D1497&lt;50000,"$25k-$50k",IF(D1497&lt;75000,"$50k-$75k",IF(D1497&lt;100000,"$75k-$100k","$100k+")))))</x:f>
        <x:v>$25k-$50k</x:v>
      </x:c>
      <x:c r="P1497" t="str">
        <x:f>IF(E1497="","Unknown",IF(E1497&lt;10,"&lt;10",IF(E1497&lt;20,"10-&lt;20",IF(E1497&lt;25,"20-&lt;25",IF(E1497&lt;35,"25-&lt;35","35+")))))</x:f>
        <x:v>&lt;10</x:v>
      </x:c>
    </x:row>
    <x:row r="1498">
      <x:c r="A1498" t="str">
        <x:v>SYN0001497</x:v>
      </x:c>
      <x:c r="B1498" s="12" t="n">
        <x:v>42805</x:v>
      </x:c>
      <x:c r="C1498" s="18" t="n">
        <x:v>11487</x:v>
      </x:c>
      <x:c r="D1498" s="18" t="n">
        <x:v>93175</x:v>
      </x:c>
      <x:c r="E1498" s="18" t="n">
        <x:v>23.44</x:v>
      </x:c>
      <x:c r="F1498" s="18" t="n">
        <x:v>13.53</x:v>
      </x:c>
      <x:c r="G1498" t="n">
        <x:v>36</x:v>
      </x:c>
      <x:c r="H1498" t="str">
        <x:v>C</x:v>
      </x:c>
      <x:c r="I1498" t="str">
        <x:v>10+ years</x:v>
      </x:c>
      <x:c r="J1498" t="str">
        <x:v>RENT</x:v>
      </x:c>
      <x:c r="K1498" t="str">
        <x:v>debt_consolidation</x:v>
      </x:c>
      <x:c r="L1498" t="n">
        <x:v>0</x:v>
      </x:c>
      <x:c r="M1498" t="n">
        <x:v>0</x:v>
      </x:c>
      <x:c r="N1498" t="str">
        <x:v>Fully Paid</x:v>
      </x:c>
      <x:c r="O1498" t="str">
        <x:f>IF(D1498="","Unknown",IF(D1498&lt;25000,"&lt;$25k",IF(D1498&lt;50000,"$25k-$50k",IF(D1498&lt;75000,"$50k-$75k",IF(D1498&lt;100000,"$75k-$100k","$100k+")))))</x:f>
        <x:v>$75k-$100k</x:v>
      </x:c>
      <x:c r="P1498" t="str">
        <x:f>IF(E1498="","Unknown",IF(E1498&lt;10,"&lt;10",IF(E1498&lt;20,"10-&lt;20",IF(E1498&lt;25,"20-&lt;25",IF(E1498&lt;35,"25-&lt;35","35+")))))</x:f>
        <x:v>20-&lt;25</x:v>
      </x:c>
    </x:row>
    <x:row r="1499">
      <x:c r="A1499" t="str">
        <x:v>SYN0001498</x:v>
      </x:c>
      <x:c r="B1499" s="12" t="n">
        <x:v>43345</x:v>
      </x:c>
      <x:c r="C1499" s="18" t="n">
        <x:v>5594</x:v>
      </x:c>
      <x:c r="D1499" s="18" t="n">
        <x:v>74274</x:v>
      </x:c>
      <x:c r="E1499" s="18" t="n">
        <x:v>5.83</x:v>
      </x:c>
      <x:c r="F1499" s="18" t="n">
        <x:v>9.73</x:v>
      </x:c>
      <x:c r="G1499" t="n">
        <x:v>36</x:v>
      </x:c>
      <x:c r="H1499" t="str">
        <x:v>A</x:v>
      </x:c>
      <x:c r="I1499" t="str">
        <x:v>4-6 years</x:v>
      </x:c>
      <x:c r="J1499" t="str">
        <x:v>RENT</x:v>
      </x:c>
      <x:c r="K1499" t="str">
        <x:v>debt_consolidation</x:v>
      </x:c>
      <x:c r="L1499" t="n">
        <x:v>0</x:v>
      </x:c>
      <x:c r="M1499" t="n">
        <x:v>0</x:v>
      </x:c>
      <x:c r="N1499" t="str">
        <x:v>Fully Paid</x:v>
      </x:c>
      <x:c r="O1499" t="str">
        <x:f>IF(D1499="","Unknown",IF(D1499&lt;25000,"&lt;$25k",IF(D1499&lt;50000,"$25k-$50k",IF(D1499&lt;75000,"$50k-$75k",IF(D1499&lt;100000,"$75k-$100k","$100k+")))))</x:f>
        <x:v>$50k-$75k</x:v>
      </x:c>
      <x:c r="P1499" t="str">
        <x:f>IF(E1499="","Unknown",IF(E1499&lt;10,"&lt;10",IF(E1499&lt;20,"10-&lt;20",IF(E1499&lt;25,"20-&lt;25",IF(E1499&lt;35,"25-&lt;35","35+")))))</x:f>
        <x:v>&lt;10</x:v>
      </x:c>
    </x:row>
    <x:row r="1500">
      <x:c r="A1500" t="str">
        <x:v>SYN0001499</x:v>
      </x:c>
      <x:c r="B1500" s="12" t="n">
        <x:v>42685</x:v>
      </x:c>
      <x:c r="C1500" s="18" t="n">
        <x:v>8704</x:v>
      </x:c>
      <x:c r="D1500" s="18" t="n">
        <x:v>57993</x:v>
      </x:c>
      <x:c r="E1500" s="18" t="n">
        <x:v>26.01</x:v>
      </x:c>
      <x:c r="F1500" s="18" t="n">
        <x:v>10.52</x:v>
      </x:c>
      <x:c r="G1500" t="n">
        <x:v>36</x:v>
      </x:c>
      <x:c r="H1500" t="str">
        <x:v>C</x:v>
      </x:c>
      <x:c r="I1500" t="str">
        <x:v>10+ years</x:v>
      </x:c>
      <x:c r="J1500" t="str">
        <x:v>MORTGAGE</x:v>
      </x:c>
      <x:c r="K1500" t="str">
        <x:v>medical</x:v>
      </x:c>
      <x:c r="L1500" t="n">
        <x:v>0</x:v>
      </x:c>
      <x:c r="M1500" t="n">
        <x:v>0</x:v>
      </x:c>
      <x:c r="N1500" t="str">
        <x:v>Fully Paid</x:v>
      </x:c>
      <x:c r="O1500" t="str">
        <x:f>IF(D1500="","Unknown",IF(D1500&lt;25000,"&lt;$25k",IF(D1500&lt;50000,"$25k-$50k",IF(D1500&lt;75000,"$50k-$75k",IF(D1500&lt;100000,"$75k-$100k","$100k+")))))</x:f>
        <x:v>$50k-$75k</x:v>
      </x:c>
      <x:c r="P1500" t="str">
        <x:f>IF(E1500="","Unknown",IF(E1500&lt;10,"&lt;10",IF(E1500&lt;20,"10-&lt;20",IF(E1500&lt;25,"20-&lt;25",IF(E1500&lt;35,"25-&lt;35","35+")))))</x:f>
        <x:v>25-&lt;35</x:v>
      </x:c>
    </x:row>
    <x:row r="1501">
      <x:c r="A1501" t="str">
        <x:v>SYN0001500</x:v>
      </x:c>
      <x:c r="B1501" s="12" t="n">
        <x:v>42325</x:v>
      </x:c>
      <x:c r="C1501" s="18" t="n">
        <x:v>4508</x:v>
      </x:c>
      <x:c r="D1501" s="18" t="n">
        <x:v>27865</x:v>
      </x:c>
      <x:c r="E1501" s="18" t="n">
        <x:v>32.07</x:v>
      </x:c>
      <x:c r="F1501" s="18" t="n">
        <x:v>13.18</x:v>
      </x:c>
      <x:c r="G1501" t="n">
        <x:v>36</x:v>
      </x:c>
      <x:c r="H1501" t="str">
        <x:v>C</x:v>
      </x:c>
      <x:c r="I1501" t="str">
        <x:v>10+ years</x:v>
      </x:c>
      <x:c r="J1501" t="str">
        <x:v>MORTGAGE</x:v>
      </x:c>
      <x:c r="K1501" t="str">
        <x:v>medical</x:v>
      </x:c>
      <x:c r="L1501" t="n">
        <x:v>0</x:v>
      </x:c>
      <x:c r="M1501" t="n">
        <x:v>0</x:v>
      </x:c>
      <x:c r="N1501" t="str">
        <x:v>Fully Paid</x:v>
      </x:c>
      <x:c r="O1501" t="str">
        <x:f>IF(D1501="","Unknown",IF(D1501&lt;25000,"&lt;$25k",IF(D1501&lt;50000,"$25k-$50k",IF(D1501&lt;75000,"$50k-$75k",IF(D1501&lt;100000,"$75k-$100k","$100k+")))))</x:f>
        <x:v>$25k-$50k</x:v>
      </x:c>
      <x:c r="P1501" t="str">
        <x:f>IF(E1501="","Unknown",IF(E1501&lt;10,"&lt;10",IF(E1501&lt;20,"10-&lt;20",IF(E1501&lt;25,"20-&lt;25",IF(E1501&lt;35,"25-&lt;35","35+")))))</x:f>
        <x:v>25-&lt;35</x:v>
      </x:c>
    </x:row>
    <x:row r="1502">
      <x:c r="A1502" t="str">
        <x:v>SYN0001501</x:v>
      </x:c>
      <x:c r="B1502" s="12" t="n">
        <x:v>41485</x:v>
      </x:c>
      <x:c r="C1502" s="18" t="n">
        <x:v>9822</x:v>
      </x:c>
      <x:c r="D1502" s="18" t="n">
        <x:v>17489</x:v>
      </x:c>
      <x:c r="E1502" s="18" t="n">
        <x:v>28.75</x:v>
      </x:c>
      <x:c r="F1502" s="18" t="n">
        <x:v>20.54</x:v>
      </x:c>
      <x:c r="G1502" t="n">
        <x:v>36</x:v>
      </x:c>
      <x:c r="H1502" t="str">
        <x:v>F</x:v>
      </x:c>
      <x:c r="I1502" t="str">
        <x:v>10+ years</x:v>
      </x:c>
      <x:c r="J1502" t="str">
        <x:v>RENT</x:v>
      </x:c>
      <x:c r="K1502" t="str">
        <x:v>major_purchase</x:v>
      </x:c>
      <x:c r="L1502" t="n">
        <x:v>2</x:v>
      </x:c>
      <x:c r="M1502" t="n">
        <x:v>0</x:v>
      </x:c>
      <x:c r="N1502" t="str">
        <x:v>Fully Paid</x:v>
      </x:c>
      <x:c r="O1502" t="str">
        <x:f>IF(D1502="","Unknown",IF(D1502&lt;25000,"&lt;$25k",IF(D1502&lt;50000,"$25k-$50k",IF(D1502&lt;75000,"$50k-$75k",IF(D1502&lt;100000,"$75k-$100k","$100k+")))))</x:f>
        <x:v>&lt;$25k</x:v>
      </x:c>
      <x:c r="P1502" t="str">
        <x:f>IF(E1502="","Unknown",IF(E1502&lt;10,"&lt;10",IF(E1502&lt;20,"10-&lt;20",IF(E1502&lt;25,"20-&lt;25",IF(E1502&lt;35,"25-&lt;35","35+")))))</x:f>
        <x:v>25-&lt;35</x:v>
      </x:c>
    </x:row>
    <x:row r="1503">
      <x:c r="A1503" t="str">
        <x:v>SYN0001502</x:v>
      </x:c>
      <x:c r="B1503" s="12" t="n">
        <x:v>42325</x:v>
      </x:c>
      <x:c r="C1503" s="18" t="n">
        <x:v>14005</x:v>
      </x:c>
      <x:c r="D1503" s="18" t="n">
        <x:v>59935</x:v>
      </x:c>
      <x:c r="E1503" s="18" t="n">
        <x:v>23.94</x:v>
      </x:c>
      <x:c r="F1503" s="18" t="n">
        <x:v>10.32</x:v>
      </x:c>
      <x:c r="G1503" t="n">
        <x:v>60</x:v>
      </x:c>
      <x:c r="H1503" t="str">
        <x:v>B</x:v>
      </x:c>
      <x:c r="I1503" t="str">
        <x:v>10+ years</x:v>
      </x:c>
      <x:c r="J1503" t="str">
        <x:v>MORTGAGE</x:v>
      </x:c>
      <x:c r="K1503" t="str">
        <x:v>other</x:v>
      </x:c>
      <x:c r="L1503" t="n">
        <x:v>0</x:v>
      </x:c>
      <x:c r="M1503" t="n">
        <x:v>0</x:v>
      </x:c>
      <x:c r="N1503" t="str">
        <x:v>Fully Paid</x:v>
      </x:c>
      <x:c r="O1503" t="str">
        <x:f>IF(D1503="","Unknown",IF(D1503&lt;25000,"&lt;$25k",IF(D1503&lt;50000,"$25k-$50k",IF(D1503&lt;75000,"$50k-$75k",IF(D1503&lt;100000,"$75k-$100k","$100k+")))))</x:f>
        <x:v>$50k-$75k</x:v>
      </x:c>
      <x:c r="P1503" t="str">
        <x:f>IF(E1503="","Unknown",IF(E1503&lt;10,"&lt;10",IF(E1503&lt;20,"10-&lt;20",IF(E1503&lt;25,"20-&lt;25",IF(E1503&lt;35,"25-&lt;35","35+")))))</x:f>
        <x:v>20-&lt;25</x:v>
      </x:c>
    </x:row>
    <x:row r="1504">
      <x:c r="A1504" t="str">
        <x:v>SYN0001503</x:v>
      </x:c>
      <x:c r="B1504" s="12" t="n">
        <x:v>42025</x:v>
      </x:c>
      <x:c r="C1504" s="18" t="n">
        <x:v>11947</x:v>
      </x:c>
      <x:c r="D1504" s="18" t="n">
        <x:v>111242</x:v>
      </x:c>
      <x:c r="E1504" s="18" t="n">
        <x:v>15.36</x:v>
      </x:c>
      <x:c r="F1504" s="18" t="n">
        <x:v>8.23</x:v>
      </x:c>
      <x:c r="G1504" t="n">
        <x:v>36</x:v>
      </x:c>
      <x:c r="H1504" t="str">
        <x:v>A</x:v>
      </x:c>
      <x:c r="I1504" t="str">
        <x:v>1-3 years</x:v>
      </x:c>
      <x:c r="J1504" t="str">
        <x:v>RENT</x:v>
      </x:c>
      <x:c r="K1504" t="str">
        <x:v>home_improvement</x:v>
      </x:c>
      <x:c r="L1504" t="n">
        <x:v>1</x:v>
      </x:c>
      <x:c r="M1504" t="n">
        <x:v>1</x:v>
      </x:c>
      <x:c r="N1504" t="str">
        <x:v>Charged Off</x:v>
      </x:c>
      <x:c r="O1504" t="str">
        <x:f>IF(D1504="","Unknown",IF(D1504&lt;25000,"&lt;$25k",IF(D1504&lt;50000,"$25k-$50k",IF(D1504&lt;75000,"$50k-$75k",IF(D1504&lt;100000,"$75k-$100k","$100k+")))))</x:f>
        <x:v>$100k+</x:v>
      </x:c>
      <x:c r="P1504" t="str">
        <x:f>IF(E1504="","Unknown",IF(E1504&lt;10,"&lt;10",IF(E1504&lt;20,"10-&lt;20",IF(E1504&lt;25,"20-&lt;25",IF(E1504&lt;35,"25-&lt;35","35+")))))</x:f>
        <x:v>10-&lt;20</x:v>
      </x:c>
    </x:row>
    <x:row r="1505">
      <x:c r="A1505" t="str">
        <x:v>SYN0001504</x:v>
      </x:c>
      <x:c r="B1505" s="12" t="n">
        <x:v>42625</x:v>
      </x:c>
      <x:c r="C1505" s="18" t="n">
        <x:v>17992</x:v>
      </x:c>
      <x:c r="D1505" s="18" t="n">
        <x:v>52137</x:v>
      </x:c>
      <x:c r="E1505" s="18" t="n">
        <x:v>24.45</x:v>
      </x:c>
      <x:c r="F1505" s="18" t="n">
        <x:v>10.24</x:v>
      </x:c>
      <x:c r="G1505" t="n">
        <x:v>60</x:v>
      </x:c>
      <x:c r="H1505" t="str">
        <x:v>C</x:v>
      </x:c>
      <x:c r="I1505" t="str">
        <x:v>10+ years</x:v>
      </x:c>
      <x:c r="J1505" t="str">
        <x:v>RENT</x:v>
      </x:c>
      <x:c r="K1505" t="str">
        <x:v>debt_consolidation</x:v>
      </x:c>
      <x:c r="L1505" t="n">
        <x:v>0</x:v>
      </x:c>
      <x:c r="M1505" t="n">
        <x:v>0</x:v>
      </x:c>
      <x:c r="N1505" t="str">
        <x:v>Fully Paid</x:v>
      </x:c>
      <x:c r="O1505" t="str">
        <x:f>IF(D1505="","Unknown",IF(D1505&lt;25000,"&lt;$25k",IF(D1505&lt;50000,"$25k-$50k",IF(D1505&lt;75000,"$50k-$75k",IF(D1505&lt;100000,"$75k-$100k","$100k+")))))</x:f>
        <x:v>$50k-$75k</x:v>
      </x:c>
      <x:c r="P1505" t="str">
        <x:f>IF(E1505="","Unknown",IF(E1505&lt;10,"&lt;10",IF(E1505&lt;20,"10-&lt;20",IF(E1505&lt;25,"20-&lt;25",IF(E1505&lt;35,"25-&lt;35","35+")))))</x:f>
        <x:v>20-&lt;25</x:v>
      </x:c>
    </x:row>
    <x:row r="1506">
      <x:c r="A1506" t="str">
        <x:v>SYN0001505</x:v>
      </x:c>
      <x:c r="B1506" s="12" t="n">
        <x:v>41905</x:v>
      </x:c>
      <x:c r="C1506" s="18" t="n">
        <x:v>9275</x:v>
      </x:c>
      <x:c r="D1506" s="18" t="n">
        <x:v>41406</x:v>
      </x:c>
      <x:c r="E1506" s="18" t="n">
        <x:v>6.92</x:v>
      </x:c>
      <x:c r="F1506" s="18" t="n">
        <x:v>5.58</x:v>
      </x:c>
      <x:c r="G1506" t="n">
        <x:v>60</x:v>
      </x:c>
      <x:c r="H1506" t="str">
        <x:v>A</x:v>
      </x:c>
      <x:c r="I1506" t="str">
        <x:v>7-9 years</x:v>
      </x:c>
      <x:c r="J1506" t="str">
        <x:v>MORTGAGE</x:v>
      </x:c>
      <x:c r="K1506" t="str">
        <x:v>debt_consolidation</x:v>
      </x:c>
      <x:c r="L1506" t="n">
        <x:v>0</x:v>
      </x:c>
      <x:c r="M1506" t="n">
        <x:v>0</x:v>
      </x:c>
      <x:c r="N1506" t="str">
        <x:v>Fully Paid</x:v>
      </x:c>
      <x:c r="O1506" t="str">
        <x:f>IF(D1506="","Unknown",IF(D1506&lt;25000,"&lt;$25k",IF(D1506&lt;50000,"$25k-$50k",IF(D1506&lt;75000,"$50k-$75k",IF(D1506&lt;100000,"$75k-$100k","$100k+")))))</x:f>
        <x:v>$25k-$50k</x:v>
      </x:c>
      <x:c r="P1506" t="str">
        <x:f>IF(E1506="","Unknown",IF(E1506&lt;10,"&lt;10",IF(E1506&lt;20,"10-&lt;20",IF(E1506&lt;25,"20-&lt;25",IF(E1506&lt;35,"25-&lt;35","35+")))))</x:f>
        <x:v>&lt;10</x:v>
      </x:c>
    </x:row>
    <x:row r="1507">
      <x:c r="A1507" t="str">
        <x:v>SYN0001506</x:v>
      </x:c>
      <x:c r="B1507" s="12" t="n">
        <x:v>43255</x:v>
      </x:c>
      <x:c r="C1507" s="18" t="n">
        <x:v>7934</x:v>
      </x:c>
      <x:c r="D1507" s="18" t="n">
        <x:v>26389</x:v>
      </x:c>
      <x:c r="E1507" s="18" t="n">
        <x:v>37.29</x:v>
      </x:c>
      <x:c r="F1507" s="18" t="n">
        <x:v>23.57</x:v>
      </x:c>
      <x:c r="G1507" t="n">
        <x:v>60</x:v>
      </x:c>
      <x:c r="H1507" t="str">
        <x:v>G</x:v>
      </x:c>
      <x:c r="I1507" t="str">
        <x:v>1-3 years</x:v>
      </x:c>
      <x:c r="J1507" t="str">
        <x:v>RENT</x:v>
      </x:c>
      <x:c r="K1507" t="str">
        <x:v>major_purchase</x:v>
      </x:c>
      <x:c r="L1507" t="n">
        <x:v>1</x:v>
      </x:c>
      <x:c r="M1507" t="n">
        <x:v>1</x:v>
      </x:c>
      <x:c r="N1507" t="str">
        <x:v>Charged Off</x:v>
      </x:c>
      <x:c r="O1507" t="str">
        <x:f>IF(D1507="","Unknown",IF(D1507&lt;25000,"&lt;$25k",IF(D1507&lt;50000,"$25k-$50k",IF(D1507&lt;75000,"$50k-$75k",IF(D1507&lt;100000,"$75k-$100k","$100k+")))))</x:f>
        <x:v>$25k-$50k</x:v>
      </x:c>
      <x:c r="P1507" t="str">
        <x:f>IF(E1507="","Unknown",IF(E1507&lt;10,"&lt;10",IF(E1507&lt;20,"10-&lt;20",IF(E1507&lt;25,"20-&lt;25",IF(E1507&lt;35,"25-&lt;35","35+")))))</x:f>
        <x:v>35+</x:v>
      </x:c>
    </x:row>
    <x:row r="1508">
      <x:c r="A1508" t="str">
        <x:v>SYN0001507</x:v>
      </x:c>
      <x:c r="B1508" s="12" t="n">
        <x:v>41485</x:v>
      </x:c>
      <x:c r="C1508" s="18" t="n">
        <x:v>17191</x:v>
      </x:c>
      <x:c r="D1508" s="18" t="n">
        <x:v>90583</x:v>
      </x:c>
      <x:c r="E1508" s="18" t="n">
        <x:v>24.17</x:v>
      </x:c>
      <x:c r="F1508" s="18" t="n">
        <x:v>11.72</x:v>
      </x:c>
      <x:c r="G1508" t="n">
        <x:v>36</x:v>
      </x:c>
      <x:c r="H1508" t="str">
        <x:v>C</x:v>
      </x:c>
      <x:c r="I1508" t="str">
        <x:v>7-9 years</x:v>
      </x:c>
      <x:c r="J1508" t="str">
        <x:v>MORTGAGE</x:v>
      </x:c>
      <x:c r="K1508" t="str">
        <x:v>home_improvement</x:v>
      </x:c>
      <x:c r="L1508" t="n">
        <x:v>0</x:v>
      </x:c>
      <x:c r="M1508" t="n">
        <x:v>0</x:v>
      </x:c>
      <x:c r="N1508" t="str">
        <x:v>Fully Paid</x:v>
      </x:c>
      <x:c r="O1508" t="str">
        <x:f>IF(D1508="","Unknown",IF(D1508&lt;25000,"&lt;$25k",IF(D1508&lt;50000,"$25k-$50k",IF(D1508&lt;75000,"$50k-$75k",IF(D1508&lt;100000,"$75k-$100k","$100k+")))))</x:f>
        <x:v>$75k-$100k</x:v>
      </x:c>
      <x:c r="P1508" t="str">
        <x:f>IF(E1508="","Unknown",IF(E1508&lt;10,"&lt;10",IF(E1508&lt;20,"10-&lt;20",IF(E1508&lt;25,"20-&lt;25",IF(E1508&lt;35,"25-&lt;35","35+")))))</x:f>
        <x:v>20-&lt;25</x:v>
      </x:c>
    </x:row>
    <x:row r="1509">
      <x:c r="A1509" t="str">
        <x:v>SYN0001508</x:v>
      </x:c>
      <x:c r="B1509" s="12" t="n">
        <x:v>41335</x:v>
      </x:c>
      <x:c r="C1509" s="18" t="n">
        <x:v>22297</x:v>
      </x:c>
      <x:c r="D1509" s="18" t="n">
        <x:v>24983</x:v>
      </x:c>
      <x:c r="E1509" s="18" t="n">
        <x:v>30.33</x:v>
      </x:c>
      <x:c r="F1509" s="18" t="n">
        <x:v>10.78</x:v>
      </x:c>
      <x:c r="G1509" t="n">
        <x:v>36</x:v>
      </x:c>
      <x:c r="H1509" t="str">
        <x:v>B</x:v>
      </x:c>
      <x:c r="I1509" t="str">
        <x:v>10+ years</x:v>
      </x:c>
      <x:c r="J1509" t="str">
        <x:v>MORTGAGE</x:v>
      </x:c>
      <x:c r="K1509" t="str">
        <x:v>debt_consolidation</x:v>
      </x:c>
      <x:c r="L1509" t="n">
        <x:v>0</x:v>
      </x:c>
      <x:c r="M1509" t="n">
        <x:v>0</x:v>
      </x:c>
      <x:c r="N1509" t="str">
        <x:v>Fully Paid</x:v>
      </x:c>
      <x:c r="O1509" t="str">
        <x:f>IF(D1509="","Unknown",IF(D1509&lt;25000,"&lt;$25k",IF(D1509&lt;50000,"$25k-$50k",IF(D1509&lt;75000,"$50k-$75k",IF(D1509&lt;100000,"$75k-$100k","$100k+")))))</x:f>
        <x:v>&lt;$25k</x:v>
      </x:c>
      <x:c r="P1509" t="str">
        <x:f>IF(E1509="","Unknown",IF(E1509&lt;10,"&lt;10",IF(E1509&lt;20,"10-&lt;20",IF(E1509&lt;25,"20-&lt;25",IF(E1509&lt;35,"25-&lt;35","35+")))))</x:f>
        <x:v>25-&lt;35</x:v>
      </x:c>
    </x:row>
    <x:row r="1510">
      <x:c r="A1510" t="str">
        <x:v>SYN0001509</x:v>
      </x:c>
      <x:c r="B1510" s="12" t="n">
        <x:v>41545</x:v>
      </x:c>
      <x:c r="C1510" s="18" t="n">
        <x:v>9056</x:v>
      </x:c>
      <x:c r="D1510" s="18" t="n">
        <x:v>90589</x:v>
      </x:c>
      <x:c r="E1510" s="18" t="n">
        <x:v>23.61</x:v>
      </x:c>
      <x:c r="F1510" s="18" t="n">
        <x:v>10.81</x:v>
      </x:c>
      <x:c r="G1510" t="n">
        <x:v>60</x:v>
      </x:c>
      <x:c r="H1510" t="str">
        <x:v>C</x:v>
      </x:c>
      <x:c r="I1510" t="str">
        <x:v>10+ years</x:v>
      </x:c>
      <x:c r="J1510" t="str">
        <x:v>MORTGAGE</x:v>
      </x:c>
      <x:c r="K1510" t="str">
        <x:v>credit_card</x:v>
      </x:c>
      <x:c r="L1510" t="n">
        <x:v>0</x:v>
      </x:c>
      <x:c r="M1510" t="n">
        <x:v>0</x:v>
      </x:c>
      <x:c r="N1510" t="str">
        <x:v>Fully Paid</x:v>
      </x:c>
      <x:c r="O1510" t="str">
        <x:f>IF(D1510="","Unknown",IF(D1510&lt;25000,"&lt;$25k",IF(D1510&lt;50000,"$25k-$50k",IF(D1510&lt;75000,"$50k-$75k",IF(D1510&lt;100000,"$75k-$100k","$100k+")))))</x:f>
        <x:v>$75k-$100k</x:v>
      </x:c>
      <x:c r="P1510" t="str">
        <x:f>IF(E1510="","Unknown",IF(E1510&lt;10,"&lt;10",IF(E1510&lt;20,"10-&lt;20",IF(E1510&lt;25,"20-&lt;25",IF(E1510&lt;35,"25-&lt;35","35+")))))</x:f>
        <x:v>20-&lt;25</x:v>
      </x:c>
    </x:row>
    <x:row r="1511">
      <x:c r="A1511" t="str">
        <x:v>SYN0001510</x:v>
      </x:c>
      <x:c r="B1511" s="12" t="n">
        <x:v>41485</x:v>
      </x:c>
      <x:c r="C1511" s="18" t="n">
        <x:v>15017</x:v>
      </x:c>
      <x:c r="D1511" s="18" t="n">
        <x:v>27459</x:v>
      </x:c>
      <x:c r="E1511" s="18" t="n">
        <x:v>20.48</x:v>
      </x:c>
      <x:c r="F1511" s="18" t="n">
        <x:v>9.71</x:v>
      </x:c>
      <x:c r="G1511" t="n">
        <x:v>36</x:v>
      </x:c>
      <x:c r="H1511" t="str">
        <x:v>C</x:v>
      </x:c>
      <x:c r="I1511" t="str">
        <x:v>1-3 years</x:v>
      </x:c>
      <x:c r="J1511" t="str">
        <x:v>OWN</x:v>
      </x:c>
      <x:c r="K1511" t="str">
        <x:v>credit_card</x:v>
      </x:c>
      <x:c r="L1511" t="n">
        <x:v>1</x:v>
      </x:c>
      <x:c r="M1511" t="n">
        <x:v>0</x:v>
      </x:c>
      <x:c r="N1511" t="str">
        <x:v>Fully Paid</x:v>
      </x:c>
      <x:c r="O1511" t="str">
        <x:f>IF(D1511="","Unknown",IF(D1511&lt;25000,"&lt;$25k",IF(D1511&lt;50000,"$25k-$50k",IF(D1511&lt;75000,"$50k-$75k",IF(D1511&lt;100000,"$75k-$100k","$100k+")))))</x:f>
        <x:v>$25k-$50k</x:v>
      </x:c>
      <x:c r="P1511" t="str">
        <x:f>IF(E1511="","Unknown",IF(E1511&lt;10,"&lt;10",IF(E1511&lt;20,"10-&lt;20",IF(E1511&lt;25,"20-&lt;25",IF(E1511&lt;35,"25-&lt;35","35+")))))</x:f>
        <x:v>20-&lt;25</x:v>
      </x:c>
    </x:row>
    <x:row r="1512">
      <x:c r="A1512" t="str">
        <x:v>SYN0001511</x:v>
      </x:c>
      <x:c r="B1512" s="12" t="n">
        <x:v>42505</x:v>
      </x:c>
      <x:c r="C1512" s="18" t="n">
        <x:v>8257</x:v>
      </x:c>
      <x:c r="D1512" s="18" t="n">
        <x:v>53570</x:v>
      </x:c>
      <x:c r="E1512" s="18" t="n">
        <x:v>37.29</x:v>
      </x:c>
      <x:c r="F1512" s="18" t="n">
        <x:v>22.69</x:v>
      </x:c>
      <x:c r="G1512" t="n">
        <x:v>36</x:v>
      </x:c>
      <x:c r="H1512" t="str">
        <x:v>F</x:v>
      </x:c>
      <x:c r="I1512" t="str">
        <x:v>10+ years</x:v>
      </x:c>
      <x:c r="J1512" t="str">
        <x:v>RENT</x:v>
      </x:c>
      <x:c r="K1512" t="str">
        <x:v>debt_consolidation</x:v>
      </x:c>
      <x:c r="L1512" t="n">
        <x:v>0</x:v>
      </x:c>
      <x:c r="M1512" t="n">
        <x:v>1</x:v>
      </x:c>
      <x:c r="N1512" t="str">
        <x:v>Charged Off</x:v>
      </x:c>
      <x:c r="O1512" t="str">
        <x:f>IF(D1512="","Unknown",IF(D1512&lt;25000,"&lt;$25k",IF(D1512&lt;50000,"$25k-$50k",IF(D1512&lt;75000,"$50k-$75k",IF(D1512&lt;100000,"$75k-$100k","$100k+")))))</x:f>
        <x:v>$50k-$75k</x:v>
      </x:c>
      <x:c r="P1512" t="str">
        <x:f>IF(E1512="","Unknown",IF(E1512&lt;10,"&lt;10",IF(E1512&lt;20,"10-&lt;20",IF(E1512&lt;25,"20-&lt;25",IF(E1512&lt;35,"25-&lt;35","35+")))))</x:f>
        <x:v>35+</x:v>
      </x:c>
    </x:row>
    <x:row r="1513">
      <x:c r="A1513" t="str">
        <x:v>SYN0001512</x:v>
      </x:c>
      <x:c r="B1513" s="12" t="n">
        <x:v>42115</x:v>
      </x:c>
      <x:c r="C1513" s="18" t="n">
        <x:v>24411</x:v>
      </x:c>
      <x:c r="D1513" s="18" t="n">
        <x:v>38206</x:v>
      </x:c>
      <x:c r="E1513" s="18" t="n">
        <x:v>9.28</x:v>
      </x:c>
      <x:c r="F1513" s="18" t="n">
        <x:v>8.08</x:v>
      </x:c>
      <x:c r="G1513" t="n">
        <x:v>36</x:v>
      </x:c>
      <x:c r="H1513" t="str">
        <x:v>B</x:v>
      </x:c>
      <x:c r="I1513" t="str">
        <x:v>4-6 years</x:v>
      </x:c>
      <x:c r="J1513" t="str">
        <x:v>RENT</x:v>
      </x:c>
      <x:c r="K1513" t="str">
        <x:v>debt_consolidation</x:v>
      </x:c>
      <x:c r="L1513" t="n">
        <x:v>0</x:v>
      </x:c>
      <x:c r="M1513" t="n">
        <x:v>0</x:v>
      </x:c>
      <x:c r="N1513" t="str">
        <x:v>Fully Paid</x:v>
      </x:c>
      <x:c r="O1513" t="str">
        <x:f>IF(D1513="","Unknown",IF(D1513&lt;25000,"&lt;$25k",IF(D1513&lt;50000,"$25k-$50k",IF(D1513&lt;75000,"$50k-$75k",IF(D1513&lt;100000,"$75k-$100k","$100k+")))))</x:f>
        <x:v>$25k-$50k</x:v>
      </x:c>
      <x:c r="P1513" t="str">
        <x:f>IF(E1513="","Unknown",IF(E1513&lt;10,"&lt;10",IF(E1513&lt;20,"10-&lt;20",IF(E1513&lt;25,"20-&lt;25",IF(E1513&lt;35,"25-&lt;35","35+")))))</x:f>
        <x:v>&lt;10</x:v>
      </x:c>
    </x:row>
    <x:row r="1514">
      <x:c r="A1514" t="str">
        <x:v>SYN0001513</x:v>
      </x:c>
      <x:c r="B1514" s="12" t="n">
        <x:v>41755</x:v>
      </x:c>
      <x:c r="C1514" s="18" t="n">
        <x:v>8118</x:v>
      </x:c>
      <x:c r="D1514" s="18" t="n">
        <x:v>24676</x:v>
      </x:c>
      <x:c r="E1514" s="18" t="n">
        <x:v>9.08</x:v>
      </x:c>
      <x:c r="F1514" s="18" t="n">
        <x:v>6.85</x:v>
      </x:c>
      <x:c r="G1514" t="n">
        <x:v>36</x:v>
      </x:c>
      <x:c r="H1514" t="str">
        <x:v>B</x:v>
      </x:c>
      <x:c r="I1514" t="str">
        <x:v>7-9 years</x:v>
      </x:c>
      <x:c r="J1514" t="str">
        <x:v>MORTGAGE</x:v>
      </x:c>
      <x:c r="K1514" t="str">
        <x:v>debt_consolidation</x:v>
      </x:c>
      <x:c r="L1514" t="n">
        <x:v>0</x:v>
      </x:c>
      <x:c r="M1514" t="n">
        <x:v>0</x:v>
      </x:c>
      <x:c r="N1514" t="str">
        <x:v>Fully Paid</x:v>
      </x:c>
      <x:c r="O1514" t="str">
        <x:f>IF(D1514="","Unknown",IF(D1514&lt;25000,"&lt;$25k",IF(D1514&lt;50000,"$25k-$50k",IF(D1514&lt;75000,"$50k-$75k",IF(D1514&lt;100000,"$75k-$100k","$100k+")))))</x:f>
        <x:v>&lt;$25k</x:v>
      </x:c>
      <x:c r="P1514" t="str">
        <x:f>IF(E1514="","Unknown",IF(E1514&lt;10,"&lt;10",IF(E1514&lt;20,"10-&lt;20",IF(E1514&lt;25,"20-&lt;25",IF(E1514&lt;35,"25-&lt;35","35+")))))</x:f>
        <x:v>&lt;10</x:v>
      </x:c>
    </x:row>
    <x:row r="1515">
      <x:c r="A1515" t="str">
        <x:v>SYN0001514</x:v>
      </x:c>
      <x:c r="B1515" s="12" t="n">
        <x:v>42985</x:v>
      </x:c>
      <x:c r="C1515" s="18" t="n">
        <x:v>5370</x:v>
      </x:c>
      <x:c r="D1515" s="18" t="n">
        <x:v>182924</x:v>
      </x:c>
      <x:c r="E1515" s="18" t="n">
        <x:v>23.22</x:v>
      </x:c>
      <x:c r="F1515" s="18" t="n">
        <x:v>14.21</x:v>
      </x:c>
      <x:c r="G1515" t="n">
        <x:v>60</x:v>
      </x:c>
      <x:c r="H1515" t="str">
        <x:v>D</x:v>
      </x:c>
      <x:c r="I1515" t="str">
        <x:v>1-3 years</x:v>
      </x:c>
      <x:c r="J1515" t="str">
        <x:v>MORTGAGE</x:v>
      </x:c>
      <x:c r="K1515" t="str">
        <x:v>home_improvement</x:v>
      </x:c>
      <x:c r="L1515" t="n">
        <x:v>1</x:v>
      </x:c>
      <x:c r="M1515" t="n">
        <x:v>0</x:v>
      </x:c>
      <x:c r="N1515" t="str">
        <x:v>Fully Paid</x:v>
      </x:c>
      <x:c r="O1515" t="str">
        <x:f>IF(D1515="","Unknown",IF(D1515&lt;25000,"&lt;$25k",IF(D1515&lt;50000,"$25k-$50k",IF(D1515&lt;75000,"$50k-$75k",IF(D1515&lt;100000,"$75k-$100k","$100k+")))))</x:f>
        <x:v>$100k+</x:v>
      </x:c>
      <x:c r="P1515" t="str">
        <x:f>IF(E1515="","Unknown",IF(E1515&lt;10,"&lt;10",IF(E1515&lt;20,"10-&lt;20",IF(E1515&lt;25,"20-&lt;25",IF(E1515&lt;35,"25-&lt;35","35+")))))</x:f>
        <x:v>20-&lt;25</x:v>
      </x:c>
    </x:row>
    <x:row r="1516">
      <x:c r="A1516" t="str">
        <x:v>SYN0001515</x:v>
      </x:c>
      <x:c r="B1516" s="12" t="n">
        <x:v>42025</x:v>
      </x:c>
      <x:c r="C1516" s="18" t="n">
        <x:v>11473</x:v>
      </x:c>
      <x:c r="D1516" s="18" t="n">
        <x:v>30490</x:v>
      </x:c>
      <x:c r="E1516" s="18" t="n">
        <x:v>8.4</x:v>
      </x:c>
      <x:c r="F1516" s="18" t="n">
        <x:v>6.9</x:v>
      </x:c>
      <x:c r="G1516" t="n">
        <x:v>36</x:v>
      </x:c>
      <x:c r="H1516" t="str">
        <x:v>A</x:v>
      </x:c>
      <x:c r="I1516" t="str">
        <x:v>1-3 years</x:v>
      </x:c>
      <x:c r="J1516" t="str">
        <x:v>OWN</x:v>
      </x:c>
      <x:c r="K1516" t="str">
        <x:v>debt_consolidation</x:v>
      </x:c>
      <x:c r="L1516" t="n">
        <x:v>0</x:v>
      </x:c>
      <x:c r="M1516" t="n">
        <x:v>0</x:v>
      </x:c>
      <x:c r="N1516" t="str">
        <x:v>Fully Paid</x:v>
      </x:c>
      <x:c r="O1516" t="str">
        <x:f>IF(D1516="","Unknown",IF(D1516&lt;25000,"&lt;$25k",IF(D1516&lt;50000,"$25k-$50k",IF(D1516&lt;75000,"$50k-$75k",IF(D1516&lt;100000,"$75k-$100k","$100k+")))))</x:f>
        <x:v>$25k-$50k</x:v>
      </x:c>
      <x:c r="P1516" t="str">
        <x:f>IF(E1516="","Unknown",IF(E1516&lt;10,"&lt;10",IF(E1516&lt;20,"10-&lt;20",IF(E1516&lt;25,"20-&lt;25",IF(E1516&lt;35,"25-&lt;35","35+")))))</x:f>
        <x:v>&lt;10</x:v>
      </x:c>
    </x:row>
    <x:row r="1517">
      <x:c r="A1517" t="str">
        <x:v>SYN0001516</x:v>
      </x:c>
      <x:c r="B1517" s="12" t="n">
        <x:v>41725</x:v>
      </x:c>
      <x:c r="C1517" s="18" t="n">
        <x:v>7474</x:v>
      </x:c>
      <x:c r="D1517" s="18" t="n">
        <x:v>25901</x:v>
      </x:c>
      <x:c r="E1517" s="18" t="n">
        <x:v>27.09</x:v>
      </x:c>
      <x:c r="F1517" s="18" t="n">
        <x:v>26.77</x:v>
      </x:c>
      <x:c r="G1517" t="n">
        <x:v>36</x:v>
      </x:c>
      <x:c r="H1517" t="str">
        <x:v>G</x:v>
      </x:c>
      <x:c r="I1517" t="str">
        <x:v>1-3 years</x:v>
      </x:c>
      <x:c r="J1517" t="str">
        <x:v>RENT</x:v>
      </x:c>
      <x:c r="K1517" t="str">
        <x:v>other</x:v>
      </x:c>
      <x:c r="L1517" t="n">
        <x:v>0</x:v>
      </x:c>
      <x:c r="M1517" t="n">
        <x:v>1</x:v>
      </x:c>
      <x:c r="N1517" t="str">
        <x:v>Charged Off</x:v>
      </x:c>
      <x:c r="O1517" t="str">
        <x:f>IF(D1517="","Unknown",IF(D1517&lt;25000,"&lt;$25k",IF(D1517&lt;50000,"$25k-$50k",IF(D1517&lt;75000,"$50k-$75k",IF(D1517&lt;100000,"$75k-$100k","$100k+")))))</x:f>
        <x:v>$25k-$50k</x:v>
      </x:c>
      <x:c r="P1517" t="str">
        <x:f>IF(E1517="","Unknown",IF(E1517&lt;10,"&lt;10",IF(E1517&lt;20,"10-&lt;20",IF(E1517&lt;25,"20-&lt;25",IF(E1517&lt;35,"25-&lt;35","35+")))))</x:f>
        <x:v>25-&lt;35</x:v>
      </x:c>
    </x:row>
    <x:row r="1518">
      <x:c r="A1518" t="str">
        <x:v>SYN0001517</x:v>
      </x:c>
      <x:c r="B1518" s="12" t="n">
        <x:v>43375</x:v>
      </x:c>
      <x:c r="C1518" s="18" t="n">
        <x:v>11035</x:v>
      </x:c>
      <x:c r="D1518" s="18" t="n">
        <x:v>45455</x:v>
      </x:c>
      <x:c r="E1518" s="18" t="n">
        <x:v>14.63</x:v>
      </x:c>
      <x:c r="F1518" s="18" t="n">
        <x:v>7.94</x:v>
      </x:c>
      <x:c r="G1518" t="n">
        <x:v>60</x:v>
      </x:c>
      <x:c r="H1518" t="str">
        <x:v>A</x:v>
      </x:c>
      <x:c r="I1518" t="str">
        <x:v>7-9 years</x:v>
      </x:c>
      <x:c r="J1518" t="str">
        <x:v>OWN</x:v>
      </x:c>
      <x:c r="K1518" t="str">
        <x:v>debt_consolidation</x:v>
      </x:c>
      <x:c r="L1518" t="n">
        <x:v>0</x:v>
      </x:c>
      <x:c r="M1518" t="n">
        <x:v>0</x:v>
      </x:c>
      <x:c r="N1518" t="str">
        <x:v>Fully Paid</x:v>
      </x:c>
      <x:c r="O1518" t="str">
        <x:f>IF(D1518="","Unknown",IF(D1518&lt;25000,"&lt;$25k",IF(D1518&lt;50000,"$25k-$50k",IF(D1518&lt;75000,"$50k-$75k",IF(D1518&lt;100000,"$75k-$100k","$100k+")))))</x:f>
        <x:v>$25k-$50k</x:v>
      </x:c>
      <x:c r="P1518" t="str">
        <x:f>IF(E1518="","Unknown",IF(E1518&lt;10,"&lt;10",IF(E1518&lt;20,"10-&lt;20",IF(E1518&lt;25,"20-&lt;25",IF(E1518&lt;35,"25-&lt;35","35+")))))</x:f>
        <x:v>10-&lt;20</x:v>
      </x:c>
    </x:row>
    <x:row r="1519">
      <x:c r="A1519" t="str">
        <x:v>SYN0001518</x:v>
      </x:c>
      <x:c r="B1519" s="12" t="n">
        <x:v>42145</x:v>
      </x:c>
      <x:c r="C1519" s="18" t="n">
        <x:v>4713</x:v>
      </x:c>
      <x:c r="D1519" s="18" t="n">
        <x:v>188749</x:v>
      </x:c>
      <x:c r="E1519" s="18" t="n">
        <x:v>28.71</x:v>
      </x:c>
      <x:c r="F1519" s="18" t="n">
        <x:v>17.12</x:v>
      </x:c>
      <x:c r="G1519" t="n">
        <x:v>36</x:v>
      </x:c>
      <x:c r="H1519" t="str">
        <x:v>E</x:v>
      </x:c>
      <x:c r="I1519" t="str">
        <x:v>1-3 years</x:v>
      </x:c>
      <x:c r="J1519" t="str">
        <x:v>MORTGAGE</x:v>
      </x:c>
      <x:c r="K1519" t="str">
        <x:v>debt_consolidation</x:v>
      </x:c>
      <x:c r="L1519" t="n">
        <x:v>1</x:v>
      </x:c>
      <x:c r="M1519" t="n">
        <x:v>0</x:v>
      </x:c>
      <x:c r="N1519" t="str">
        <x:v>Fully Paid</x:v>
      </x:c>
      <x:c r="O1519" t="str">
        <x:f>IF(D1519="","Unknown",IF(D1519&lt;25000,"&lt;$25k",IF(D1519&lt;50000,"$25k-$50k",IF(D1519&lt;75000,"$50k-$75k",IF(D1519&lt;100000,"$75k-$100k","$100k+")))))</x:f>
        <x:v>$100k+</x:v>
      </x:c>
      <x:c r="P1519" t="str">
        <x:f>IF(E1519="","Unknown",IF(E1519&lt;10,"&lt;10",IF(E1519&lt;20,"10-&lt;20",IF(E1519&lt;25,"20-&lt;25",IF(E1519&lt;35,"25-&lt;35","35+")))))</x:f>
        <x:v>25-&lt;35</x:v>
      </x:c>
    </x:row>
    <x:row r="1520">
      <x:c r="A1520" t="str">
        <x:v>SYN0001519</x:v>
      </x:c>
      <x:c r="B1520" s="12" t="n">
        <x:v>43405</x:v>
      </x:c>
      <x:c r="C1520" s="18" t="n">
        <x:v>21339</x:v>
      </x:c>
      <x:c r="D1520" s="18" t="n">
        <x:v>28028</x:v>
      </x:c>
      <x:c r="E1520" s="18" t="n">
        <x:v>27.85</x:v>
      </x:c>
      <x:c r="F1520" s="18" t="n">
        <x:v>23.72</x:v>
      </x:c>
      <x:c r="G1520" t="n">
        <x:v>36</x:v>
      </x:c>
      <x:c r="H1520" t="str">
        <x:v>F</x:v>
      </x:c>
      <x:c r="I1520" t="str">
        <x:v>7-9 years</x:v>
      </x:c>
      <x:c r="J1520" t="str">
        <x:v>MORTGAGE</x:v>
      </x:c>
      <x:c r="K1520" t="str">
        <x:v>debt_consolidation</x:v>
      </x:c>
      <x:c r="L1520" t="n">
        <x:v>1</x:v>
      </x:c>
      <x:c r="M1520" t="n">
        <x:v>0</x:v>
      </x:c>
      <x:c r="N1520" t="str">
        <x:v>Fully Paid</x:v>
      </x:c>
      <x:c r="O1520" t="str">
        <x:f>IF(D1520="","Unknown",IF(D1520&lt;25000,"&lt;$25k",IF(D1520&lt;50000,"$25k-$50k",IF(D1520&lt;75000,"$50k-$75k",IF(D1520&lt;100000,"$75k-$100k","$100k+")))))</x:f>
        <x:v>$25k-$50k</x:v>
      </x:c>
      <x:c r="P1520" t="str">
        <x:f>IF(E1520="","Unknown",IF(E1520&lt;10,"&lt;10",IF(E1520&lt;20,"10-&lt;20",IF(E1520&lt;25,"20-&lt;25",IF(E1520&lt;35,"25-&lt;35","35+")))))</x:f>
        <x:v>25-&lt;35</x:v>
      </x:c>
    </x:row>
    <x:row r="1521">
      <x:c r="A1521" t="str">
        <x:v>SYN0001520</x:v>
      </x:c>
      <x:c r="B1521" s="12" t="n">
        <x:v>42325</x:v>
      </x:c>
      <x:c r="C1521" s="18" t="n">
        <x:v>13341</x:v>
      </x:c>
      <x:c r="D1521" s="18" t="n">
        <x:v>27078</x:v>
      </x:c>
      <x:c r="E1521" s="18" t="n">
        <x:v>30.34</x:v>
      </x:c>
      <x:c r="F1521" s="18" t="n">
        <x:v>10.82</x:v>
      </x:c>
      <x:c r="G1521" t="n">
        <x:v>36</x:v>
      </x:c>
      <x:c r="H1521" t="str">
        <x:v>D</x:v>
      </x:c>
      <x:c r="I1521" t="str">
        <x:v>1-3 years</x:v>
      </x:c>
      <x:c r="J1521" t="str">
        <x:v>MORTGAGE</x:v>
      </x:c>
      <x:c r="K1521" t="str">
        <x:v>major_purchase</x:v>
      </x:c>
      <x:c r="L1521" t="n">
        <x:v>0</x:v>
      </x:c>
      <x:c r="M1521" t="n">
        <x:v>0</x:v>
      </x:c>
      <x:c r="N1521" t="str">
        <x:v>Fully Paid</x:v>
      </x:c>
      <x:c r="O1521" t="str">
        <x:f>IF(D1521="","Unknown",IF(D1521&lt;25000,"&lt;$25k",IF(D1521&lt;50000,"$25k-$50k",IF(D1521&lt;75000,"$50k-$75k",IF(D1521&lt;100000,"$75k-$100k","$100k+")))))</x:f>
        <x:v>$25k-$50k</x:v>
      </x:c>
      <x:c r="P1521" t="str">
        <x:f>IF(E1521="","Unknown",IF(E1521&lt;10,"&lt;10",IF(E1521&lt;20,"10-&lt;20",IF(E1521&lt;25,"20-&lt;25",IF(E1521&lt;35,"25-&lt;35","35+")))))</x:f>
        <x:v>25-&lt;35</x:v>
      </x:c>
    </x:row>
    <x:row r="1522">
      <x:c r="A1522" t="str">
        <x:v>SYN0001521</x:v>
      </x:c>
      <x:c r="B1522" s="12" t="n">
        <x:v>41815</x:v>
      </x:c>
      <x:c r="C1522" s="18" t="n">
        <x:v>7387</x:v>
      </x:c>
      <x:c r="D1522" s="18" t="n">
        <x:v>56564</x:v>
      </x:c>
      <x:c r="E1522" s="18" t="n">
        <x:v>25.37</x:v>
      </x:c>
      <x:c r="F1522" s="18" t="n">
        <x:v>9.92</x:v>
      </x:c>
      <x:c r="G1522" t="n">
        <x:v>60</x:v>
      </x:c>
      <x:c r="H1522" t="str">
        <x:v>B</x:v>
      </x:c>
      <x:c r="I1522" t="str">
        <x:v>10+ years</x:v>
      </x:c>
      <x:c r="J1522" t="str">
        <x:v>RENT</x:v>
      </x:c>
      <x:c r="K1522" t="str">
        <x:v>other</x:v>
      </x:c>
      <x:c r="L1522" t="n">
        <x:v>0</x:v>
      </x:c>
      <x:c r="M1522" t="n">
        <x:v>0</x:v>
      </x:c>
      <x:c r="N1522" t="str">
        <x:v>Fully Paid</x:v>
      </x:c>
      <x:c r="O1522" t="str">
        <x:f>IF(D1522="","Unknown",IF(D1522&lt;25000,"&lt;$25k",IF(D1522&lt;50000,"$25k-$50k",IF(D1522&lt;75000,"$50k-$75k",IF(D1522&lt;100000,"$75k-$100k","$100k+")))))</x:f>
        <x:v>$50k-$75k</x:v>
      </x:c>
      <x:c r="P1522" t="str">
        <x:f>IF(E1522="","Unknown",IF(E1522&lt;10,"&lt;10",IF(E1522&lt;20,"10-&lt;20",IF(E1522&lt;25,"20-&lt;25",IF(E1522&lt;35,"25-&lt;35","35+")))))</x:f>
        <x:v>25-&lt;35</x:v>
      </x:c>
    </x:row>
    <x:row r="1523">
      <x:c r="A1523" t="str">
        <x:v>SYN0001522</x:v>
      </x:c>
      <x:c r="B1523" s="12" t="n">
        <x:v>41695</x:v>
      </x:c>
      <x:c r="C1523" s="18" t="n">
        <x:v>24271</x:v>
      </x:c>
      <x:c r="D1523" s="18" t="n">
        <x:v>43593</x:v>
      </x:c>
      <x:c r="E1523" s="18" t="n">
        <x:v>25.45</x:v>
      </x:c>
      <x:c r="F1523" s="18" t="n">
        <x:v>12.17</x:v>
      </x:c>
      <x:c r="G1523" t="n">
        <x:v>36</x:v>
      </x:c>
      <x:c r="H1523" t="str">
        <x:v>C</x:v>
      </x:c>
      <x:c r="I1523" t="str">
        <x:v>4-6 years</x:v>
      </x:c>
      <x:c r="J1523" t="str">
        <x:v>OTHER</x:v>
      </x:c>
      <x:c r="K1523" t="str">
        <x:v>debt_consolidation</x:v>
      </x:c>
      <x:c r="L1523" t="n">
        <x:v>1</x:v>
      </x:c>
      <x:c r="M1523" t="n">
        <x:v>0</x:v>
      </x:c>
      <x:c r="N1523" t="str">
        <x:v>Fully Paid</x:v>
      </x:c>
      <x:c r="O1523" t="str">
        <x:f>IF(D1523="","Unknown",IF(D1523&lt;25000,"&lt;$25k",IF(D1523&lt;50000,"$25k-$50k",IF(D1523&lt;75000,"$50k-$75k",IF(D1523&lt;100000,"$75k-$100k","$100k+")))))</x:f>
        <x:v>$25k-$50k</x:v>
      </x:c>
      <x:c r="P1523" t="str">
        <x:f>IF(E1523="","Unknown",IF(E1523&lt;10,"&lt;10",IF(E1523&lt;20,"10-&lt;20",IF(E1523&lt;25,"20-&lt;25",IF(E1523&lt;35,"25-&lt;35","35+")))))</x:f>
        <x:v>25-&lt;35</x:v>
      </x:c>
    </x:row>
    <x:row r="1524">
      <x:c r="A1524" t="str">
        <x:v>SYN0001523</x:v>
      </x:c>
      <x:c r="B1524" s="12" t="n">
        <x:v>43405</x:v>
      </x:c>
      <x:c r="C1524" s="18" t="n">
        <x:v>11281</x:v>
      </x:c>
      <x:c r="D1524" s="18" t="n">
        <x:v>116655</x:v>
      </x:c>
      <x:c r="E1524" s="18" t="n">
        <x:v>3.11</x:v>
      </x:c>
      <x:c r="F1524" s="18" t="n">
        <x:v>9.54</x:v>
      </x:c>
      <x:c r="G1524" t="n">
        <x:v>36</x:v>
      </x:c>
      <x:c r="H1524" t="str">
        <x:v>B</x:v>
      </x:c>
      <x:c r="I1524" t="str">
        <x:v>1-3 years</x:v>
      </x:c>
      <x:c r="J1524" t="str">
        <x:v>RENT</x:v>
      </x:c>
      <x:c r="K1524" t="str">
        <x:v>debt_consolidation</x:v>
      </x:c>
      <x:c r="L1524" t="n">
        <x:v>0</x:v>
      </x:c>
      <x:c r="M1524" t="n">
        <x:v>0</x:v>
      </x:c>
      <x:c r="N1524" t="str">
        <x:v>Fully Paid</x:v>
      </x:c>
      <x:c r="O1524" t="str">
        <x:f>IF(D1524="","Unknown",IF(D1524&lt;25000,"&lt;$25k",IF(D1524&lt;50000,"$25k-$50k",IF(D1524&lt;75000,"$50k-$75k",IF(D1524&lt;100000,"$75k-$100k","$100k+")))))</x:f>
        <x:v>$100k+</x:v>
      </x:c>
      <x:c r="P1524" t="str">
        <x:f>IF(E1524="","Unknown",IF(E1524&lt;10,"&lt;10",IF(E1524&lt;20,"10-&lt;20",IF(E1524&lt;25,"20-&lt;25",IF(E1524&lt;35,"25-&lt;35","35+")))))</x:f>
        <x:v>&lt;10</x:v>
      </x:c>
    </x:row>
    <x:row r="1525">
      <x:c r="A1525" t="str">
        <x:v>SYN0001524</x:v>
      </x:c>
      <x:c r="B1525" s="12" t="n">
        <x:v>42655</x:v>
      </x:c>
      <x:c r="C1525" s="18" t="n">
        <x:v>31459</x:v>
      </x:c>
      <x:c r="D1525" s="18" t="n">
        <x:v>38373</x:v>
      </x:c>
      <x:c r="E1525" s="18" t="n">
        <x:v>13.35</x:v>
      </x:c>
      <x:c r="F1525" s="18" t="n">
        <x:v>5.3</x:v>
      </x:c>
      <x:c r="G1525" t="n">
        <x:v>36</x:v>
      </x:c>
      <x:c r="H1525" t="str">
        <x:v>B</x:v>
      </x:c>
      <x:c r="I1525" t="str">
        <x:v>1-3 years</x:v>
      </x:c>
      <x:c r="J1525" t="str">
        <x:v>RENT</x:v>
      </x:c>
      <x:c r="K1525" t="str">
        <x:v>debt_consolidation</x:v>
      </x:c>
      <x:c r="L1525" t="n">
        <x:v>0</x:v>
      </x:c>
      <x:c r="M1525" t="n">
        <x:v>1</x:v>
      </x:c>
      <x:c r="N1525" t="str">
        <x:v>Charged Off</x:v>
      </x:c>
      <x:c r="O1525" t="str">
        <x:f>IF(D1525="","Unknown",IF(D1525&lt;25000,"&lt;$25k",IF(D1525&lt;50000,"$25k-$50k",IF(D1525&lt;75000,"$50k-$75k",IF(D1525&lt;100000,"$75k-$100k","$100k+")))))</x:f>
        <x:v>$25k-$50k</x:v>
      </x:c>
      <x:c r="P1525" t="str">
        <x:f>IF(E1525="","Unknown",IF(E1525&lt;10,"&lt;10",IF(E1525&lt;20,"10-&lt;20",IF(E1525&lt;25,"20-&lt;25",IF(E1525&lt;35,"25-&lt;35","35+")))))</x:f>
        <x:v>10-&lt;20</x:v>
      </x:c>
    </x:row>
    <x:row r="1526">
      <x:c r="A1526" t="str">
        <x:v>SYN0001525</x:v>
      </x:c>
      <x:c r="B1526" s="12" t="n">
        <x:v>41425</x:v>
      </x:c>
      <x:c r="C1526" s="18" t="n">
        <x:v>23691</x:v>
      </x:c>
      <x:c r="D1526" s="18" t="n">
        <x:v>40219</x:v>
      </x:c>
      <x:c r="E1526" s="18" t="n">
        <x:v>40.74</x:v>
      </x:c>
      <x:c r="F1526" s="18" t="n">
        <x:v>25.02</x:v>
      </x:c>
      <x:c r="G1526" t="n">
        <x:v>36</x:v>
      </x:c>
      <x:c r="H1526" t="str">
        <x:v>G</x:v>
      </x:c>
      <x:c r="I1526" t="str">
        <x:v>7-9 years</x:v>
      </x:c>
      <x:c r="J1526" t="str">
        <x:v>OWN</x:v>
      </x:c>
      <x:c r="K1526" t="str">
        <x:v>other</x:v>
      </x:c>
      <x:c r="L1526" t="n">
        <x:v>0</x:v>
      </x:c>
      <x:c r="M1526" t="n">
        <x:v>1</x:v>
      </x:c>
      <x:c r="N1526" t="str">
        <x:v>Charged Off</x:v>
      </x:c>
      <x:c r="O1526" t="str">
        <x:f>IF(D1526="","Unknown",IF(D1526&lt;25000,"&lt;$25k",IF(D1526&lt;50000,"$25k-$50k",IF(D1526&lt;75000,"$50k-$75k",IF(D1526&lt;100000,"$75k-$100k","$100k+")))))</x:f>
        <x:v>$25k-$50k</x:v>
      </x:c>
      <x:c r="P1526" t="str">
        <x:f>IF(E1526="","Unknown",IF(E1526&lt;10,"&lt;10",IF(E1526&lt;20,"10-&lt;20",IF(E1526&lt;25,"20-&lt;25",IF(E1526&lt;35,"25-&lt;35","35+")))))</x:f>
        <x:v>35+</x:v>
      </x:c>
    </x:row>
    <x:row r="1527">
      <x:c r="A1527" t="str">
        <x:v>SYN0001526</x:v>
      </x:c>
      <x:c r="B1527" s="12" t="n">
        <x:v>41545</x:v>
      </x:c>
      <x:c r="C1527" s="18" t="n">
        <x:v>6150</x:v>
      </x:c>
      <x:c r="D1527" s="18" t="n">
        <x:v>112818</x:v>
      </x:c>
      <x:c r="E1527" s="18" t="n">
        <x:v>20.78</x:v>
      </x:c>
      <x:c r="F1527" s="18" t="n">
        <x:v>13.73</x:v>
      </x:c>
      <x:c r="G1527" t="n">
        <x:v>60</x:v>
      </x:c>
      <x:c r="H1527" t="str">
        <x:v>D</x:v>
      </x:c>
      <x:c r="I1527" t="str">
        <x:v>10+ years</x:v>
      </x:c>
      <x:c r="J1527" t="str">
        <x:v>OWN</x:v>
      </x:c>
      <x:c r="K1527" t="str">
        <x:v>debt_consolidation</x:v>
      </x:c>
      <x:c r="L1527" t="n">
        <x:v>0</x:v>
      </x:c>
      <x:c r="M1527" t="n">
        <x:v>0</x:v>
      </x:c>
      <x:c r="N1527" t="str">
        <x:v>Fully Paid</x:v>
      </x:c>
      <x:c r="O1527" t="str">
        <x:f>IF(D1527="","Unknown",IF(D1527&lt;25000,"&lt;$25k",IF(D1527&lt;50000,"$25k-$50k",IF(D1527&lt;75000,"$50k-$75k",IF(D1527&lt;100000,"$75k-$100k","$100k+")))))</x:f>
        <x:v>$100k+</x:v>
      </x:c>
      <x:c r="P1527" t="str">
        <x:f>IF(E1527="","Unknown",IF(E1527&lt;10,"&lt;10",IF(E1527&lt;20,"10-&lt;20",IF(E1527&lt;25,"20-&lt;25",IF(E1527&lt;35,"25-&lt;35","35+")))))</x:f>
        <x:v>20-&lt;25</x:v>
      </x:c>
    </x:row>
    <x:row r="1528">
      <x:c r="A1528" t="str">
        <x:v>SYN0001527</x:v>
      </x:c>
      <x:c r="B1528" s="12" t="n">
        <x:v>42745</x:v>
      </x:c>
      <x:c r="C1528" s="18" t="n">
        <x:v>8058</x:v>
      </x:c>
      <x:c r="D1528" s="18" t="n">
        <x:v>51042</x:v>
      </x:c>
      <x:c r="E1528" s="18" t="n">
        <x:v>31.83</x:v>
      </x:c>
      <x:c r="F1528" s="18" t="n">
        <x:v>10.64</x:v>
      </x:c>
      <x:c r="G1528" t="n">
        <x:v>36</x:v>
      </x:c>
      <x:c r="H1528" t="str">
        <x:v>B</x:v>
      </x:c>
      <x:c r="I1528" t="str">
        <x:v>&lt;1 year</x:v>
      </x:c>
      <x:c r="J1528" t="str">
        <x:v>MORTGAGE</x:v>
      </x:c>
      <x:c r="K1528" t="str">
        <x:v>debt_consolidation</x:v>
      </x:c>
      <x:c r="L1528" t="n">
        <x:v>1</x:v>
      </x:c>
      <x:c r="M1528" t="n">
        <x:v>0</x:v>
      </x:c>
      <x:c r="N1528" t="str">
        <x:v>Fully Paid</x:v>
      </x:c>
      <x:c r="O1528" t="str">
        <x:f>IF(D1528="","Unknown",IF(D1528&lt;25000,"&lt;$25k",IF(D1528&lt;50000,"$25k-$50k",IF(D1528&lt;75000,"$50k-$75k",IF(D1528&lt;100000,"$75k-$100k","$100k+")))))</x:f>
        <x:v>$50k-$75k</x:v>
      </x:c>
      <x:c r="P1528" t="str">
        <x:f>IF(E1528="","Unknown",IF(E1528&lt;10,"&lt;10",IF(E1528&lt;20,"10-&lt;20",IF(E1528&lt;25,"20-&lt;25",IF(E1528&lt;35,"25-&lt;35","35+")))))</x:f>
        <x:v>25-&lt;35</x:v>
      </x:c>
    </x:row>
    <x:row r="1529">
      <x:c r="A1529" t="str">
        <x:v>SYN0001528</x:v>
      </x:c>
      <x:c r="B1529" s="12" t="n">
        <x:v>43405</x:v>
      </x:c>
      <x:c r="C1529" s="18" t="n">
        <x:v>11275</x:v>
      </x:c>
      <x:c r="D1529" s="18" t="n">
        <x:v>43999</x:v>
      </x:c>
      <x:c r="E1529" s="18" t="n">
        <x:v>11.6</x:v>
      </x:c>
      <x:c r="F1529" s="18" t="n">
        <x:v>8.2</x:v>
      </x:c>
      <x:c r="G1529" t="n">
        <x:v>36</x:v>
      </x:c>
      <x:c r="H1529" t="str">
        <x:v>B</x:v>
      </x:c>
      <x:c r="I1529" t="str">
        <x:v>1-3 years</x:v>
      </x:c>
      <x:c r="J1529" t="str">
        <x:v>RENT</x:v>
      </x:c>
      <x:c r="K1529" t="str">
        <x:v>credit_card</x:v>
      </x:c>
      <x:c r="L1529" t="n">
        <x:v>2</x:v>
      </x:c>
      <x:c r="M1529" t="n">
        <x:v>0</x:v>
      </x:c>
      <x:c r="N1529" t="str">
        <x:v>Fully Paid</x:v>
      </x:c>
      <x:c r="O1529" t="str">
        <x:f>IF(D1529="","Unknown",IF(D1529&lt;25000,"&lt;$25k",IF(D1529&lt;50000,"$25k-$50k",IF(D1529&lt;75000,"$50k-$75k",IF(D1529&lt;100000,"$75k-$100k","$100k+")))))</x:f>
        <x:v>$25k-$50k</x:v>
      </x:c>
      <x:c r="P1529" t="str">
        <x:f>IF(E1529="","Unknown",IF(E1529&lt;10,"&lt;10",IF(E1529&lt;20,"10-&lt;20",IF(E1529&lt;25,"20-&lt;25",IF(E1529&lt;35,"25-&lt;35","35+")))))</x:f>
        <x:v>10-&lt;20</x:v>
      </x:c>
    </x:row>
    <x:row r="1530">
      <x:c r="A1530" t="str">
        <x:v>SYN0001529</x:v>
      </x:c>
      <x:c r="B1530" s="12" t="n">
        <x:v>43195</x:v>
      </x:c>
      <x:c r="C1530" s="18" t="n">
        <x:v>9495</x:v>
      </x:c>
      <x:c r="D1530" s="18" t="n">
        <x:v>146865</x:v>
      </x:c>
      <x:c r="E1530" s="18" t="n">
        <x:v>28.88</x:v>
      </x:c>
      <x:c r="F1530" s="18" t="n">
        <x:v>9.97</x:v>
      </x:c>
      <x:c r="G1530" t="n">
        <x:v>36</x:v>
      </x:c>
      <x:c r="H1530" t="str">
        <x:v>C</x:v>
      </x:c>
      <x:c r="I1530" t="str">
        <x:v>1-3 years</x:v>
      </x:c>
      <x:c r="J1530" t="str">
        <x:v>MORTGAGE</x:v>
      </x:c>
      <x:c r="K1530" t="str">
        <x:v>debt_consolidation</x:v>
      </x:c>
      <x:c r="L1530" t="n">
        <x:v>1</x:v>
      </x:c>
      <x:c r="M1530" t="n">
        <x:v>0</x:v>
      </x:c>
      <x:c r="N1530" t="str">
        <x:v>Fully Paid</x:v>
      </x:c>
      <x:c r="O1530" t="str">
        <x:f>IF(D1530="","Unknown",IF(D1530&lt;25000,"&lt;$25k",IF(D1530&lt;50000,"$25k-$50k",IF(D1530&lt;75000,"$50k-$75k",IF(D1530&lt;100000,"$75k-$100k","$100k+")))))</x:f>
        <x:v>$100k+</x:v>
      </x:c>
      <x:c r="P1530" t="str">
        <x:f>IF(E1530="","Unknown",IF(E1530&lt;10,"&lt;10",IF(E1530&lt;20,"10-&lt;20",IF(E1530&lt;25,"20-&lt;25",IF(E1530&lt;35,"25-&lt;35","35+")))))</x:f>
        <x:v>25-&lt;35</x:v>
      </x:c>
    </x:row>
    <x:row r="1531">
      <x:c r="A1531" t="str">
        <x:v>SYN0001530</x:v>
      </x:c>
      <x:c r="B1531" s="12" t="n">
        <x:v>42865</x:v>
      </x:c>
      <x:c r="C1531" s="18" t="n">
        <x:v>18434</x:v>
      </x:c>
      <x:c r="D1531" s="18" t="n">
        <x:v>51225</x:v>
      </x:c>
      <x:c r="E1531" s="18" t="n">
        <x:v>28.25</x:v>
      </x:c>
      <x:c r="F1531" s="18" t="n">
        <x:v>8.58</x:v>
      </x:c>
      <x:c r="G1531" t="n">
        <x:v>36</x:v>
      </x:c>
      <x:c r="H1531" t="str">
        <x:v>A</x:v>
      </x:c>
      <x:c r="I1531" t="str">
        <x:v>1-3 years</x:v>
      </x:c>
      <x:c r="J1531" t="str">
        <x:v>MORTGAGE</x:v>
      </x:c>
      <x:c r="K1531" t="str">
        <x:v>debt_consolidation</x:v>
      </x:c>
      <x:c r="L1531" t="n">
        <x:v>0</x:v>
      </x:c>
      <x:c r="M1531" t="n">
        <x:v>0</x:v>
      </x:c>
      <x:c r="N1531" t="str">
        <x:v>Fully Paid</x:v>
      </x:c>
      <x:c r="O1531" t="str">
        <x:f>IF(D1531="","Unknown",IF(D1531&lt;25000,"&lt;$25k",IF(D1531&lt;50000,"$25k-$50k",IF(D1531&lt;75000,"$50k-$75k",IF(D1531&lt;100000,"$75k-$100k","$100k+")))))</x:f>
        <x:v>$50k-$75k</x:v>
      </x:c>
      <x:c r="P1531" t="str">
        <x:f>IF(E1531="","Unknown",IF(E1531&lt;10,"&lt;10",IF(E1531&lt;20,"10-&lt;20",IF(E1531&lt;25,"20-&lt;25",IF(E1531&lt;35,"25-&lt;35","35+")))))</x:f>
        <x:v>25-&lt;35</x:v>
      </x:c>
    </x:row>
    <x:row r="1532">
      <x:c r="A1532" t="str">
        <x:v>SYN0001531</x:v>
      </x:c>
      <x:c r="B1532" s="12" t="n">
        <x:v>42145</x:v>
      </x:c>
      <x:c r="C1532" s="18" t="n">
        <x:v>5941</x:v>
      </x:c>
      <x:c r="D1532" s="18" t="n">
        <x:v>47299</x:v>
      </x:c>
      <x:c r="E1532" s="18" t="n">
        <x:v>45.39</x:v>
      </x:c>
      <x:c r="F1532" s="18" t="n">
        <x:v>23.46</x:v>
      </x:c>
      <x:c r="G1532" t="n">
        <x:v>36</x:v>
      </x:c>
      <x:c r="H1532" t="str">
        <x:v>G</x:v>
      </x:c>
      <x:c r="I1532" t="str">
        <x:v>10+ years</x:v>
      </x:c>
      <x:c r="J1532" t="str">
        <x:v>RENT</x:v>
      </x:c>
      <x:c r="K1532" t="str">
        <x:v>debt_consolidation</x:v>
      </x:c>
      <x:c r="L1532" t="n">
        <x:v>3</x:v>
      </x:c>
      <x:c r="M1532" t="n">
        <x:v>0</x:v>
      </x:c>
      <x:c r="N1532" t="str">
        <x:v>Fully Paid</x:v>
      </x:c>
      <x:c r="O1532" t="str">
        <x:f>IF(D1532="","Unknown",IF(D1532&lt;25000,"&lt;$25k",IF(D1532&lt;50000,"$25k-$50k",IF(D1532&lt;75000,"$50k-$75k",IF(D1532&lt;100000,"$75k-$100k","$100k+")))))</x:f>
        <x:v>$25k-$50k</x:v>
      </x:c>
      <x:c r="P1532" t="str">
        <x:f>IF(E1532="","Unknown",IF(E1532&lt;10,"&lt;10",IF(E1532&lt;20,"10-&lt;20",IF(E1532&lt;25,"20-&lt;25",IF(E1532&lt;35,"25-&lt;35","35+")))))</x:f>
        <x:v>35+</x:v>
      </x:c>
    </x:row>
    <x:row r="1533">
      <x:c r="A1533" t="str">
        <x:v>SYN0001532</x:v>
      </x:c>
      <x:c r="B1533" s="12" t="n">
        <x:v>42325</x:v>
      </x:c>
      <x:c r="C1533" s="18" t="n">
        <x:v>10757</x:v>
      </x:c>
      <x:c r="D1533" s="18" t="n">
        <x:v>13507</x:v>
      </x:c>
      <x:c r="E1533" s="18" t="n">
        <x:v>16.47</x:v>
      </x:c>
      <x:c r="F1533" s="18" t="n">
        <x:v>11.26</x:v>
      </x:c>
      <x:c r="G1533" t="n">
        <x:v>36</x:v>
      </x:c>
      <x:c r="H1533" t="str">
        <x:v>B</x:v>
      </x:c>
      <x:c r="I1533" t="str">
        <x:v>1-3 years</x:v>
      </x:c>
      <x:c r="J1533" t="str">
        <x:v>RENT</x:v>
      </x:c>
      <x:c r="K1533" t="str">
        <x:v>debt_consolidation</x:v>
      </x:c>
      <x:c r="L1533" t="n">
        <x:v>0</x:v>
      </x:c>
      <x:c r="M1533" t="n">
        <x:v>0</x:v>
      </x:c>
      <x:c r="N1533" t="str">
        <x:v>Fully Paid</x:v>
      </x:c>
      <x:c r="O1533" t="str">
        <x:f>IF(D1533="","Unknown",IF(D1533&lt;25000,"&lt;$25k",IF(D1533&lt;50000,"$25k-$50k",IF(D1533&lt;75000,"$50k-$75k",IF(D1533&lt;100000,"$75k-$100k","$100k+")))))</x:f>
        <x:v>&lt;$25k</x:v>
      </x:c>
      <x:c r="P1533" t="str">
        <x:f>IF(E1533="","Unknown",IF(E1533&lt;10,"&lt;10",IF(E1533&lt;20,"10-&lt;20",IF(E1533&lt;25,"20-&lt;25",IF(E1533&lt;35,"25-&lt;35","35+")))))</x:f>
        <x:v>10-&lt;20</x:v>
      </x:c>
    </x:row>
    <x:row r="1534">
      <x:c r="A1534" t="str">
        <x:v>SYN0001533</x:v>
      </x:c>
      <x:c r="B1534" s="12" t="n">
        <x:v>41395</x:v>
      </x:c>
      <x:c r="C1534" s="18" t="n">
        <x:v>9838</x:v>
      </x:c>
      <x:c r="D1534" s="18" t="n">
        <x:v>43570</x:v>
      </x:c>
      <x:c r="E1534" s="18" t="n">
        <x:v>16</x:v>
      </x:c>
      <x:c r="F1534" s="18" t="n">
        <x:v>8.63</x:v>
      </x:c>
      <x:c r="G1534" t="n">
        <x:v>36</x:v>
      </x:c>
      <x:c r="H1534" t="str">
        <x:v>B</x:v>
      </x:c>
      <x:c r="I1534" t="str">
        <x:v>10+ years</x:v>
      </x:c>
      <x:c r="J1534" t="str">
        <x:v>MORTGAGE</x:v>
      </x:c>
      <x:c r="K1534" t="str">
        <x:v>debt_consolidation</x:v>
      </x:c>
      <x:c r="L1534" t="n">
        <x:v>0</x:v>
      </x:c>
      <x:c r="M1534" t="n">
        <x:v>0</x:v>
      </x:c>
      <x:c r="N1534" t="str">
        <x:v>Fully Paid</x:v>
      </x:c>
      <x:c r="O1534" t="str">
        <x:f>IF(D1534="","Unknown",IF(D1534&lt;25000,"&lt;$25k",IF(D1534&lt;50000,"$25k-$50k",IF(D1534&lt;75000,"$50k-$75k",IF(D1534&lt;100000,"$75k-$100k","$100k+")))))</x:f>
        <x:v>$25k-$50k</x:v>
      </x:c>
      <x:c r="P1534" t="str">
        <x:f>IF(E1534="","Unknown",IF(E1534&lt;10,"&lt;10",IF(E1534&lt;20,"10-&lt;20",IF(E1534&lt;25,"20-&lt;25",IF(E1534&lt;35,"25-&lt;35","35+")))))</x:f>
        <x:v>10-&lt;20</x:v>
      </x:c>
    </x:row>
    <x:row r="1535">
      <x:c r="A1535" t="str">
        <x:v>SYN0001534</x:v>
      </x:c>
      <x:c r="B1535" s="12" t="n">
        <x:v>42535</x:v>
      </x:c>
      <x:c r="C1535" s="18" t="n">
        <x:v>6808</x:v>
      </x:c>
      <x:c r="D1535" s="18" t="n">
        <x:v>63882</x:v>
      </x:c>
      <x:c r="E1535" s="18" t="n">
        <x:v>6.45</x:v>
      </x:c>
      <x:c r="F1535" s="18" t="n">
        <x:v>10.2</x:v>
      </x:c>
      <x:c r="G1535" t="n">
        <x:v>60</x:v>
      </x:c>
      <x:c r="H1535" t="str">
        <x:v>C</x:v>
      </x:c>
      <x:c r="I1535" t="str">
        <x:v>1-3 years</x:v>
      </x:c>
      <x:c r="J1535" t="str">
        <x:v>MORTGAGE</x:v>
      </x:c>
      <x:c r="K1535" t="str">
        <x:v>debt_consolidation</x:v>
      </x:c>
      <x:c r="L1535" t="n">
        <x:v>0</x:v>
      </x:c>
      <x:c r="M1535" t="n">
        <x:v>0</x:v>
      </x:c>
      <x:c r="N1535" t="str">
        <x:v>Fully Paid</x:v>
      </x:c>
      <x:c r="O1535" t="str">
        <x:f>IF(D1535="","Unknown",IF(D1535&lt;25000,"&lt;$25k",IF(D1535&lt;50000,"$25k-$50k",IF(D1535&lt;75000,"$50k-$75k",IF(D1535&lt;100000,"$75k-$100k","$100k+")))))</x:f>
        <x:v>$50k-$75k</x:v>
      </x:c>
      <x:c r="P1535" t="str">
        <x:f>IF(E1535="","Unknown",IF(E1535&lt;10,"&lt;10",IF(E1535&lt;20,"10-&lt;20",IF(E1535&lt;25,"20-&lt;25",IF(E1535&lt;35,"25-&lt;35","35+")))))</x:f>
        <x:v>&lt;10</x:v>
      </x:c>
    </x:row>
    <x:row r="1536">
      <x:c r="A1536" t="str">
        <x:v>SYN0001535</x:v>
      </x:c>
      <x:c r="B1536" s="12" t="n">
        <x:v>41665</x:v>
      </x:c>
      <x:c r="C1536" s="18" t="n">
        <x:v>7973</x:v>
      </x:c>
      <x:c r="D1536" s="18" t="n">
        <x:v>70046</x:v>
      </x:c>
      <x:c r="E1536" s="18" t="n">
        <x:v>27.29</x:v>
      </x:c>
      <x:c r="F1536" s="18" t="n">
        <x:v>14.24</x:v>
      </x:c>
      <x:c r="G1536" t="n">
        <x:v>36</x:v>
      </x:c>
      <x:c r="H1536" t="str">
        <x:v>D</x:v>
      </x:c>
      <x:c r="I1536" t="str">
        <x:v>10+ years</x:v>
      </x:c>
      <x:c r="J1536" t="str">
        <x:v>MORTGAGE</x:v>
      </x:c>
      <x:c r="K1536" t="str">
        <x:v>credit_card</x:v>
      </x:c>
      <x:c r="L1536" t="n">
        <x:v>0</x:v>
      </x:c>
      <x:c r="M1536" t="n">
        <x:v>0</x:v>
      </x:c>
      <x:c r="N1536" t="str">
        <x:v>Fully Paid</x:v>
      </x:c>
      <x:c r="O1536" t="str">
        <x:f>IF(D1536="","Unknown",IF(D1536&lt;25000,"&lt;$25k",IF(D1536&lt;50000,"$25k-$50k",IF(D1536&lt;75000,"$50k-$75k",IF(D1536&lt;100000,"$75k-$100k","$100k+")))))</x:f>
        <x:v>$50k-$75k</x:v>
      </x:c>
      <x:c r="P1536" t="str">
        <x:f>IF(E1536="","Unknown",IF(E1536&lt;10,"&lt;10",IF(E1536&lt;20,"10-&lt;20",IF(E1536&lt;25,"20-&lt;25",IF(E1536&lt;35,"25-&lt;35","35+")))))</x:f>
        <x:v>25-&lt;35</x:v>
      </x:c>
    </x:row>
    <x:row r="1537">
      <x:c r="A1537" t="str">
        <x:v>SYN0001536</x:v>
      </x:c>
      <x:c r="B1537" s="12" t="n">
        <x:v>41485</x:v>
      </x:c>
      <x:c r="C1537" s="18" t="n">
        <x:v>8877</x:v>
      </x:c>
      <x:c r="D1537" s="18" t="n">
        <x:v>80504</x:v>
      </x:c>
      <x:c r="E1537" s="18" t="n">
        <x:v>6.22</x:v>
      </x:c>
      <x:c r="F1537" s="18" t="n">
        <x:v>7.52</x:v>
      </x:c>
      <x:c r="G1537" t="n">
        <x:v>60</x:v>
      </x:c>
      <x:c r="H1537" t="str">
        <x:v>B</x:v>
      </x:c>
      <x:c r="I1537" t="str">
        <x:v>10+ years</x:v>
      </x:c>
      <x:c r="J1537" t="str">
        <x:v>OWN</x:v>
      </x:c>
      <x:c r="K1537" t="str">
        <x:v>major_purchase</x:v>
      </x:c>
      <x:c r="L1537" t="n">
        <x:v>0</x:v>
      </x:c>
      <x:c r="M1537" t="n">
        <x:v>0</x:v>
      </x:c>
      <x:c r="N1537" t="str">
        <x:v>Fully Paid</x:v>
      </x:c>
      <x:c r="O1537" t="str">
        <x:f>IF(D1537="","Unknown",IF(D1537&lt;25000,"&lt;$25k",IF(D1537&lt;50000,"$25k-$50k",IF(D1537&lt;75000,"$50k-$75k",IF(D1537&lt;100000,"$75k-$100k","$100k+")))))</x:f>
        <x:v>$75k-$100k</x:v>
      </x:c>
      <x:c r="P1537" t="str">
        <x:f>IF(E1537="","Unknown",IF(E1537&lt;10,"&lt;10",IF(E1537&lt;20,"10-&lt;20",IF(E1537&lt;25,"20-&lt;25",IF(E1537&lt;35,"25-&lt;35","35+")))))</x:f>
        <x:v>&lt;10</x:v>
      </x:c>
    </x:row>
    <x:row r="1538">
      <x:c r="A1538" t="str">
        <x:v>SYN0001537</x:v>
      </x:c>
      <x:c r="B1538" s="12" t="n">
        <x:v>43255</x:v>
      </x:c>
      <x:c r="C1538" s="18" t="n">
        <x:v>16921</x:v>
      </x:c>
      <x:c r="D1538" s="18" t="n">
        <x:v>101598</x:v>
      </x:c>
      <x:c r="E1538" s="18" t="n">
        <x:v>23.53</x:v>
      </x:c>
      <x:c r="F1538" s="18" t="n">
        <x:v>7.56</x:v>
      </x:c>
      <x:c r="G1538" t="n">
        <x:v>36</x:v>
      </x:c>
      <x:c r="H1538" t="str">
        <x:v>B</x:v>
      </x:c>
      <x:c r="I1538" t="str">
        <x:v>4-6 years</x:v>
      </x:c>
      <x:c r="J1538" t="str">
        <x:v>RENT</x:v>
      </x:c>
      <x:c r="K1538" t="str">
        <x:v>other</x:v>
      </x:c>
      <x:c r="L1538" t="n">
        <x:v>0</x:v>
      </x:c>
      <x:c r="M1538" t="n">
        <x:v>0</x:v>
      </x:c>
      <x:c r="N1538" t="str">
        <x:v>Fully Paid</x:v>
      </x:c>
      <x:c r="O1538" t="str">
        <x:f>IF(D1538="","Unknown",IF(D1538&lt;25000,"&lt;$25k",IF(D1538&lt;50000,"$25k-$50k",IF(D1538&lt;75000,"$50k-$75k",IF(D1538&lt;100000,"$75k-$100k","$100k+")))))</x:f>
        <x:v>$100k+</x:v>
      </x:c>
      <x:c r="P1538" t="str">
        <x:f>IF(E1538="","Unknown",IF(E1538&lt;10,"&lt;10",IF(E1538&lt;20,"10-&lt;20",IF(E1538&lt;25,"20-&lt;25",IF(E1538&lt;35,"25-&lt;35","35+")))))</x:f>
        <x:v>20-&lt;25</x:v>
      </x:c>
    </x:row>
    <x:row r="1539">
      <x:c r="A1539" t="str">
        <x:v>SYN0001538</x:v>
      </x:c>
      <x:c r="B1539" s="12" t="n">
        <x:v>42565</x:v>
      </x:c>
      <x:c r="C1539" s="18" t="n">
        <x:v>20630</x:v>
      </x:c>
      <x:c r="D1539" s="18" t="n">
        <x:v>22751</x:v>
      </x:c>
      <x:c r="E1539" s="18" t="n">
        <x:v>48.92</x:v>
      </x:c>
      <x:c r="F1539" s="18" t="n">
        <x:v>17.18</x:v>
      </x:c>
      <x:c r="G1539" t="n">
        <x:v>60</x:v>
      </x:c>
      <x:c r="H1539" t="str">
        <x:v>E</x:v>
      </x:c>
      <x:c r="I1539" t="str">
        <x:v>10+ years</x:v>
      </x:c>
      <x:c r="J1539" t="str">
        <x:v>MORTGAGE</x:v>
      </x:c>
      <x:c r="K1539" t="str">
        <x:v>debt_consolidation</x:v>
      </x:c>
      <x:c r="L1539" t="n">
        <x:v>1</x:v>
      </x:c>
      <x:c r="M1539" t="n">
        <x:v>0</x:v>
      </x:c>
      <x:c r="N1539" t="str">
        <x:v>Fully Paid</x:v>
      </x:c>
      <x:c r="O1539" t="str">
        <x:f>IF(D1539="","Unknown",IF(D1539&lt;25000,"&lt;$25k",IF(D1539&lt;50000,"$25k-$50k",IF(D1539&lt;75000,"$50k-$75k",IF(D1539&lt;100000,"$75k-$100k","$100k+")))))</x:f>
        <x:v>&lt;$25k</x:v>
      </x:c>
      <x:c r="P1539" t="str">
        <x:f>IF(E1539="","Unknown",IF(E1539&lt;10,"&lt;10",IF(E1539&lt;20,"10-&lt;20",IF(E1539&lt;25,"20-&lt;25",IF(E1539&lt;35,"25-&lt;35","35+")))))</x:f>
        <x:v>35+</x:v>
      </x:c>
    </x:row>
    <x:row r="1540">
      <x:c r="A1540" t="str">
        <x:v>SYN0001539</x:v>
      </x:c>
      <x:c r="B1540" s="12" t="n">
        <x:v>42025</x:v>
      </x:c>
      <x:c r="C1540" s="18" t="n">
        <x:v>5678</x:v>
      </x:c>
      <x:c r="D1540" s="18" t="n">
        <x:v>82535</x:v>
      </x:c>
      <x:c r="E1540" s="18" t="n">
        <x:v>21.01</x:v>
      </x:c>
      <x:c r="F1540" s="18" t="n">
        <x:v>11.64</x:v>
      </x:c>
      <x:c r="G1540" t="n">
        <x:v>36</x:v>
      </x:c>
      <x:c r="H1540" t="str">
        <x:v>C</x:v>
      </x:c>
      <x:c r="I1540" t="str">
        <x:v>10+ years</x:v>
      </x:c>
      <x:c r="J1540" t="str">
        <x:v>MORTGAGE</x:v>
      </x:c>
      <x:c r="K1540" t="str">
        <x:v>debt_consolidation</x:v>
      </x:c>
      <x:c r="L1540" t="n">
        <x:v>1</x:v>
      </x:c>
      <x:c r="M1540" t="n">
        <x:v>0</x:v>
      </x:c>
      <x:c r="N1540" t="str">
        <x:v>Fully Paid</x:v>
      </x:c>
      <x:c r="O1540" t="str">
        <x:f>IF(D1540="","Unknown",IF(D1540&lt;25000,"&lt;$25k",IF(D1540&lt;50000,"$25k-$50k",IF(D1540&lt;75000,"$50k-$75k",IF(D1540&lt;100000,"$75k-$100k","$100k+")))))</x:f>
        <x:v>$75k-$100k</x:v>
      </x:c>
      <x:c r="P1540" t="str">
        <x:f>IF(E1540="","Unknown",IF(E1540&lt;10,"&lt;10",IF(E1540&lt;20,"10-&lt;20",IF(E1540&lt;25,"20-&lt;25",IF(E1540&lt;35,"25-&lt;35","35+")))))</x:f>
        <x:v>20-&lt;25</x:v>
      </x:c>
    </x:row>
    <x:row r="1541">
      <x:c r="A1541" t="str">
        <x:v>SYN0001540</x:v>
      </x:c>
      <x:c r="B1541" s="12" t="n">
        <x:v>42895</x:v>
      </x:c>
      <x:c r="C1541" s="18" t="n">
        <x:v>23285</x:v>
      </x:c>
      <x:c r="D1541" s="18" t="n">
        <x:v>94763</x:v>
      </x:c>
      <x:c r="E1541" s="18" t="n">
        <x:v>22.21</x:v>
      </x:c>
      <x:c r="F1541" s="18" t="n">
        <x:v>5</x:v>
      </x:c>
      <x:c r="G1541" t="n">
        <x:v>36</x:v>
      </x:c>
      <x:c r="H1541" t="str">
        <x:v>C</x:v>
      </x:c>
      <x:c r="I1541" t="str">
        <x:v>1-3 years</x:v>
      </x:c>
      <x:c r="J1541" t="str">
        <x:v>RENT</x:v>
      </x:c>
      <x:c r="K1541" t="str">
        <x:v>medical</x:v>
      </x:c>
      <x:c r="L1541" t="n">
        <x:v>1</x:v>
      </x:c>
      <x:c r="M1541" t="n">
        <x:v>0</x:v>
      </x:c>
      <x:c r="N1541" t="str">
        <x:v>Fully Paid</x:v>
      </x:c>
      <x:c r="O1541" t="str">
        <x:f>IF(D1541="","Unknown",IF(D1541&lt;25000,"&lt;$25k",IF(D1541&lt;50000,"$25k-$50k",IF(D1541&lt;75000,"$50k-$75k",IF(D1541&lt;100000,"$75k-$100k","$100k+")))))</x:f>
        <x:v>$75k-$100k</x:v>
      </x:c>
      <x:c r="P1541" t="str">
        <x:f>IF(E1541="","Unknown",IF(E1541&lt;10,"&lt;10",IF(E1541&lt;20,"10-&lt;20",IF(E1541&lt;25,"20-&lt;25",IF(E1541&lt;35,"25-&lt;35","35+")))))</x:f>
        <x:v>20-&lt;25</x:v>
      </x:c>
    </x:row>
    <x:row r="1542">
      <x:c r="A1542" t="str">
        <x:v>SYN0001541</x:v>
      </x:c>
      <x:c r="B1542" s="12" t="n">
        <x:v>43225</x:v>
      </x:c>
      <x:c r="C1542" s="18" t="n">
        <x:v>15017</x:v>
      </x:c>
      <x:c r="D1542" s="18" t="n">
        <x:v>74578</x:v>
      </x:c>
      <x:c r="E1542" s="18" t="n">
        <x:v>34.28</x:v>
      </x:c>
      <x:c r="F1542" s="18" t="n">
        <x:v>18.94</x:v>
      </x:c>
      <x:c r="G1542" t="n">
        <x:v>36</x:v>
      </x:c>
      <x:c r="H1542" t="str">
        <x:v>E</x:v>
      </x:c>
      <x:c r="I1542" t="str">
        <x:v>&lt;1 year</x:v>
      </x:c>
      <x:c r="J1542" t="str">
        <x:v>MORTGAGE</x:v>
      </x:c>
      <x:c r="K1542" t="str">
        <x:v>debt_consolidation</x:v>
      </x:c>
      <x:c r="L1542" t="n">
        <x:v>3</x:v>
      </x:c>
      <x:c r="M1542" t="n">
        <x:v>1</x:v>
      </x:c>
      <x:c r="N1542" t="str">
        <x:v>Charged Off</x:v>
      </x:c>
      <x:c r="O1542" t="str">
        <x:f>IF(D1542="","Unknown",IF(D1542&lt;25000,"&lt;$25k",IF(D1542&lt;50000,"$25k-$50k",IF(D1542&lt;75000,"$50k-$75k",IF(D1542&lt;100000,"$75k-$100k","$100k+")))))</x:f>
        <x:v>$50k-$75k</x:v>
      </x:c>
      <x:c r="P1542" t="str">
        <x:f>IF(E1542="","Unknown",IF(E1542&lt;10,"&lt;10",IF(E1542&lt;20,"10-&lt;20",IF(E1542&lt;25,"20-&lt;25",IF(E1542&lt;35,"25-&lt;35","35+")))))</x:f>
        <x:v>25-&lt;35</x:v>
      </x:c>
    </x:row>
    <x:row r="1543">
      <x:c r="A1543" t="str">
        <x:v>SYN0001542</x:v>
      </x:c>
      <x:c r="B1543" s="12" t="n">
        <x:v>41515</x:v>
      </x:c>
      <x:c r="C1543" s="18" t="n">
        <x:v>17021</x:v>
      </x:c>
      <x:c r="D1543" s="18" t="n">
        <x:v>39856</x:v>
      </x:c>
      <x:c r="E1543" s="18" t="n">
        <x:v>26.86</x:v>
      </x:c>
      <x:c r="F1543" s="18" t="n">
        <x:v>19.64</x:v>
      </x:c>
      <x:c r="G1543" t="n">
        <x:v>60</x:v>
      </x:c>
      <x:c r="H1543" t="str">
        <x:v>E</x:v>
      </x:c>
      <x:c r="I1543" t="str">
        <x:v>4-6 years</x:v>
      </x:c>
      <x:c r="J1543" t="str">
        <x:v>RENT</x:v>
      </x:c>
      <x:c r="K1543" t="str">
        <x:v>debt_consolidation</x:v>
      </x:c>
      <x:c r="L1543" t="n">
        <x:v>0</x:v>
      </x:c>
      <x:c r="M1543" t="n">
        <x:v>0</x:v>
      </x:c>
      <x:c r="N1543" t="str">
        <x:v>Fully Paid</x:v>
      </x:c>
      <x:c r="O1543" t="str">
        <x:f>IF(D1543="","Unknown",IF(D1543&lt;25000,"&lt;$25k",IF(D1543&lt;50000,"$25k-$50k",IF(D1543&lt;75000,"$50k-$75k",IF(D1543&lt;100000,"$75k-$100k","$100k+")))))</x:f>
        <x:v>$25k-$50k</x:v>
      </x:c>
      <x:c r="P1543" t="str">
        <x:f>IF(E1543="","Unknown",IF(E1543&lt;10,"&lt;10",IF(E1543&lt;20,"10-&lt;20",IF(E1543&lt;25,"20-&lt;25",IF(E1543&lt;35,"25-&lt;35","35+")))))</x:f>
        <x:v>25-&lt;35</x:v>
      </x:c>
    </x:row>
    <x:row r="1544">
      <x:c r="A1544" t="str">
        <x:v>SYN0001543</x:v>
      </x:c>
      <x:c r="B1544" s="12" t="n">
        <x:v>42025</x:v>
      </x:c>
      <x:c r="C1544" s="18" t="n">
        <x:v>9614</x:v>
      </x:c>
      <x:c r="D1544" s="18" t="n">
        <x:v>26419</x:v>
      </x:c>
      <x:c r="E1544" s="18" t="n">
        <x:v>32.52</x:v>
      </x:c>
      <x:c r="F1544" s="18" t="n">
        <x:v>10.13</x:v>
      </x:c>
      <x:c r="G1544" t="n">
        <x:v>36</x:v>
      </x:c>
      <x:c r="H1544" t="str">
        <x:v>C</x:v>
      </x:c>
      <x:c r="I1544" t="str">
        <x:v>4-6 years</x:v>
      </x:c>
      <x:c r="J1544" t="str">
        <x:v>MORTGAGE</x:v>
      </x:c>
      <x:c r="K1544" t="str">
        <x:v>home_improvement</x:v>
      </x:c>
      <x:c r="L1544" t="n">
        <x:v>0</x:v>
      </x:c>
      <x:c r="M1544" t="n">
        <x:v>0</x:v>
      </x:c>
      <x:c r="N1544" t="str">
        <x:v>Fully Paid</x:v>
      </x:c>
      <x:c r="O1544" t="str">
        <x:f>IF(D1544="","Unknown",IF(D1544&lt;25000,"&lt;$25k",IF(D1544&lt;50000,"$25k-$50k",IF(D1544&lt;75000,"$50k-$75k",IF(D1544&lt;100000,"$75k-$100k","$100k+")))))</x:f>
        <x:v>$25k-$50k</x:v>
      </x:c>
      <x:c r="P1544" t="str">
        <x:f>IF(E1544="","Unknown",IF(E1544&lt;10,"&lt;10",IF(E1544&lt;20,"10-&lt;20",IF(E1544&lt;25,"20-&lt;25",IF(E1544&lt;35,"25-&lt;35","35+")))))</x:f>
        <x:v>25-&lt;35</x:v>
      </x:c>
    </x:row>
    <x:row r="1545">
      <x:c r="A1545" t="str">
        <x:v>SYN0001544</x:v>
      </x:c>
      <x:c r="B1545" s="12" t="n">
        <x:v>41425</x:v>
      </x:c>
      <x:c r="C1545" s="18" t="n">
        <x:v>6011</x:v>
      </x:c>
      <x:c r="D1545" s="18" t="n">
        <x:v>26279</x:v>
      </x:c>
      <x:c r="E1545" s="18" t="n">
        <x:v>17.92</x:v>
      </x:c>
      <x:c r="F1545" s="18" t="n">
        <x:v>9.91</x:v>
      </x:c>
      <x:c r="G1545" t="n">
        <x:v>36</x:v>
      </x:c>
      <x:c r="H1545" t="str">
        <x:v>C</x:v>
      </x:c>
      <x:c r="I1545" t="str">
        <x:v>&lt;1 year</x:v>
      </x:c>
      <x:c r="J1545" t="str">
        <x:v>MORTGAGE</x:v>
      </x:c>
      <x:c r="K1545" t="str">
        <x:v>debt_consolidation</x:v>
      </x:c>
      <x:c r="L1545" t="n">
        <x:v>2</x:v>
      </x:c>
      <x:c r="M1545" t="n">
        <x:v>0</x:v>
      </x:c>
      <x:c r="N1545" t="str">
        <x:v>Fully Paid</x:v>
      </x:c>
      <x:c r="O1545" t="str">
        <x:f>IF(D1545="","Unknown",IF(D1545&lt;25000,"&lt;$25k",IF(D1545&lt;50000,"$25k-$50k",IF(D1545&lt;75000,"$50k-$75k",IF(D1545&lt;100000,"$75k-$100k","$100k+")))))</x:f>
        <x:v>$25k-$50k</x:v>
      </x:c>
      <x:c r="P1545" t="str">
        <x:f>IF(E1545="","Unknown",IF(E1545&lt;10,"&lt;10",IF(E1545&lt;20,"10-&lt;20",IF(E1545&lt;25,"20-&lt;25",IF(E1545&lt;35,"25-&lt;35","35+")))))</x:f>
        <x:v>10-&lt;20</x:v>
      </x:c>
    </x:row>
    <x:row r="1546">
      <x:c r="A1546" t="str">
        <x:v>SYN0001545</x:v>
      </x:c>
      <x:c r="B1546" s="12" t="n">
        <x:v>43015</x:v>
      </x:c>
      <x:c r="C1546" s="18" t="n">
        <x:v>21733</x:v>
      </x:c>
      <x:c r="D1546" s="18" t="n">
        <x:v>72934</x:v>
      </x:c>
      <x:c r="E1546" s="18" t="n">
        <x:v>27.71</x:v>
      </x:c>
      <x:c r="F1546" s="18" t="n">
        <x:v>9.2</x:v>
      </x:c>
      <x:c r="G1546" t="n">
        <x:v>36</x:v>
      </x:c>
      <x:c r="H1546" t="str">
        <x:v>B</x:v>
      </x:c>
      <x:c r="I1546" t="str">
        <x:v>7-9 years</x:v>
      </x:c>
      <x:c r="J1546" t="str">
        <x:v>RENT</x:v>
      </x:c>
      <x:c r="K1546" t="str">
        <x:v>home_improvement</x:v>
      </x:c>
      <x:c r="L1546" t="n">
        <x:v>0</x:v>
      </x:c>
      <x:c r="M1546" t="n">
        <x:v>0</x:v>
      </x:c>
      <x:c r="N1546" t="str">
        <x:v>Fully Paid</x:v>
      </x:c>
      <x:c r="O1546" t="str">
        <x:f>IF(D1546="","Unknown",IF(D1546&lt;25000,"&lt;$25k",IF(D1546&lt;50000,"$25k-$50k",IF(D1546&lt;75000,"$50k-$75k",IF(D1546&lt;100000,"$75k-$100k","$100k+")))))</x:f>
        <x:v>$50k-$75k</x:v>
      </x:c>
      <x:c r="P1546" t="str">
        <x:f>IF(E1546="","Unknown",IF(E1546&lt;10,"&lt;10",IF(E1546&lt;20,"10-&lt;20",IF(E1546&lt;25,"20-&lt;25",IF(E1546&lt;35,"25-&lt;35","35+")))))</x:f>
        <x:v>25-&lt;35</x:v>
      </x:c>
    </x:row>
    <x:row r="1547">
      <x:c r="A1547" t="str">
        <x:v>SYN0001546</x:v>
      </x:c>
      <x:c r="B1547" s="12" t="n">
        <x:v>41335</x:v>
      </x:c>
      <x:c r="C1547" s="18" t="n">
        <x:v>13009</x:v>
      </x:c>
      <x:c r="D1547" s="18" t="n">
        <x:v>39709</x:v>
      </x:c>
      <x:c r="E1547" s="18" t="n">
        <x:v>25.56</x:v>
      </x:c>
      <x:c r="F1547" s="18" t="n">
        <x:v>9.06</x:v>
      </x:c>
      <x:c r="G1547" t="n">
        <x:v>36</x:v>
      </x:c>
      <x:c r="H1547" t="str">
        <x:v>C</x:v>
      </x:c>
      <x:c r="I1547" t="str">
        <x:v>7-9 years</x:v>
      </x:c>
      <x:c r="J1547" t="str">
        <x:v>RENT</x:v>
      </x:c>
      <x:c r="K1547" t="str">
        <x:v>debt_consolidation</x:v>
      </x:c>
      <x:c r="L1547" t="n">
        <x:v>0</x:v>
      </x:c>
      <x:c r="M1547" t="n">
        <x:v>0</x:v>
      </x:c>
      <x:c r="N1547" t="str">
        <x:v>Fully Paid</x:v>
      </x:c>
      <x:c r="O1547" t="str">
        <x:f>IF(D1547="","Unknown",IF(D1547&lt;25000,"&lt;$25k",IF(D1547&lt;50000,"$25k-$50k",IF(D1547&lt;75000,"$50k-$75k",IF(D1547&lt;100000,"$75k-$100k","$100k+")))))</x:f>
        <x:v>$25k-$50k</x:v>
      </x:c>
      <x:c r="P1547" t="str">
        <x:f>IF(E1547="","Unknown",IF(E1547&lt;10,"&lt;10",IF(E1547&lt;20,"10-&lt;20",IF(E1547&lt;25,"20-&lt;25",IF(E1547&lt;35,"25-&lt;35","35+")))))</x:f>
        <x:v>25-&lt;35</x:v>
      </x:c>
    </x:row>
    <x:row r="1548">
      <x:c r="A1548" t="str">
        <x:v>SYN0001547</x:v>
      </x:c>
      <x:c r="B1548" s="12" t="n">
        <x:v>41515</x:v>
      </x:c>
      <x:c r="C1548" s="18" t="n">
        <x:v>12678</x:v>
      </x:c>
      <x:c r="D1548" s="18" t="n">
        <x:v>40390</x:v>
      </x:c>
      <x:c r="E1548" s="18" t="n">
        <x:v>22.36</x:v>
      </x:c>
      <x:c r="F1548" s="18" t="n">
        <x:v>5</x:v>
      </x:c>
      <x:c r="G1548" t="n">
        <x:v>60</x:v>
      </x:c>
      <x:c r="H1548" t="str">
        <x:v>A</x:v>
      </x:c>
      <x:c r="I1548" t="str">
        <x:v>&lt;1 year</x:v>
      </x:c>
      <x:c r="J1548" t="str">
        <x:v>RENT</x:v>
      </x:c>
      <x:c r="K1548" t="str">
        <x:v>debt_consolidation</x:v>
      </x:c>
      <x:c r="L1548" t="n">
        <x:v>0</x:v>
      </x:c>
      <x:c r="M1548" t="n">
        <x:v>0</x:v>
      </x:c>
      <x:c r="N1548" t="str">
        <x:v>Fully Paid</x:v>
      </x:c>
      <x:c r="O1548" t="str">
        <x:f>IF(D1548="","Unknown",IF(D1548&lt;25000,"&lt;$25k",IF(D1548&lt;50000,"$25k-$50k",IF(D1548&lt;75000,"$50k-$75k",IF(D1548&lt;100000,"$75k-$100k","$100k+")))))</x:f>
        <x:v>$25k-$50k</x:v>
      </x:c>
      <x:c r="P1548" t="str">
        <x:f>IF(E1548="","Unknown",IF(E1548&lt;10,"&lt;10",IF(E1548&lt;20,"10-&lt;20",IF(E1548&lt;25,"20-&lt;25",IF(E1548&lt;35,"25-&lt;35","35+")))))</x:f>
        <x:v>20-&lt;25</x:v>
      </x:c>
    </x:row>
    <x:row r="1549">
      <x:c r="A1549" t="str">
        <x:v>SYN0001548</x:v>
      </x:c>
      <x:c r="B1549" s="12" t="n">
        <x:v>41845</x:v>
      </x:c>
      <x:c r="C1549" s="18" t="n">
        <x:v>11470</x:v>
      </x:c>
      <x:c r="D1549" s="18" t="n">
        <x:v>59453</x:v>
      </x:c>
      <x:c r="E1549" s="18" t="n">
        <x:v>13.32</x:v>
      </x:c>
      <x:c r="F1549" s="18" t="n">
        <x:v>8.94</x:v>
      </x:c>
      <x:c r="G1549" t="n">
        <x:v>36</x:v>
      </x:c>
      <x:c r="H1549" t="str">
        <x:v>A</x:v>
      </x:c>
      <x:c r="I1549" t="str">
        <x:v>1-3 years</x:v>
      </x:c>
      <x:c r="J1549" t="str">
        <x:v>RENT</x:v>
      </x:c>
      <x:c r="K1549" t="str">
        <x:v>credit_card</x:v>
      </x:c>
      <x:c r="L1549" t="n">
        <x:v>1</x:v>
      </x:c>
      <x:c r="M1549" t="n">
        <x:v>0</x:v>
      </x:c>
      <x:c r="N1549" t="str">
        <x:v>Fully Paid</x:v>
      </x:c>
      <x:c r="O1549" t="str">
        <x:f>IF(D1549="","Unknown",IF(D1549&lt;25000,"&lt;$25k",IF(D1549&lt;50000,"$25k-$50k",IF(D1549&lt;75000,"$50k-$75k",IF(D1549&lt;100000,"$75k-$100k","$100k+")))))</x:f>
        <x:v>$50k-$75k</x:v>
      </x:c>
      <x:c r="P1549" t="str">
        <x:f>IF(E1549="","Unknown",IF(E1549&lt;10,"&lt;10",IF(E1549&lt;20,"10-&lt;20",IF(E1549&lt;25,"20-&lt;25",IF(E1549&lt;35,"25-&lt;35","35+")))))</x:f>
        <x:v>10-&lt;20</x:v>
      </x:c>
    </x:row>
    <x:row r="1550">
      <x:c r="A1550" t="str">
        <x:v>SYN0001549</x:v>
      </x:c>
      <x:c r="B1550" s="12" t="n">
        <x:v>41275</x:v>
      </x:c>
      <x:c r="C1550" s="18" t="n">
        <x:v>14648</x:v>
      </x:c>
      <x:c r="D1550" s="18" t="n">
        <x:v>39641</x:v>
      </x:c>
      <x:c r="E1550" s="18" t="n">
        <x:v>11.04</x:v>
      </x:c>
      <x:c r="F1550" s="18" t="n">
        <x:v>6.84</x:v>
      </x:c>
      <x:c r="G1550" t="n">
        <x:v>36</x:v>
      </x:c>
      <x:c r="H1550" t="str">
        <x:v>B</x:v>
      </x:c>
      <x:c r="I1550" t="str">
        <x:v>1-3 years</x:v>
      </x:c>
      <x:c r="J1550" t="str">
        <x:v>MORTGAGE</x:v>
      </x:c>
      <x:c r="K1550" t="str">
        <x:v>home_improvement</x:v>
      </x:c>
      <x:c r="L1550" t="n">
        <x:v>1</x:v>
      </x:c>
      <x:c r="M1550" t="n">
        <x:v>0</x:v>
      </x:c>
      <x:c r="N1550" t="str">
        <x:v>Fully Paid</x:v>
      </x:c>
      <x:c r="O1550" t="str">
        <x:f>IF(D1550="","Unknown",IF(D1550&lt;25000,"&lt;$25k",IF(D1550&lt;50000,"$25k-$50k",IF(D1550&lt;75000,"$50k-$75k",IF(D1550&lt;100000,"$75k-$100k","$100k+")))))</x:f>
        <x:v>$25k-$50k</x:v>
      </x:c>
      <x:c r="P1550" t="str">
        <x:f>IF(E1550="","Unknown",IF(E1550&lt;10,"&lt;10",IF(E1550&lt;20,"10-&lt;20",IF(E1550&lt;25,"20-&lt;25",IF(E1550&lt;35,"25-&lt;35","35+")))))</x:f>
        <x:v>10-&lt;20</x:v>
      </x:c>
    </x:row>
    <x:row r="1551">
      <x:c r="A1551" t="str">
        <x:v>SYN0001550</x:v>
      </x:c>
      <x:c r="B1551" s="12" t="n">
        <x:v>42295</x:v>
      </x:c>
      <x:c r="C1551" s="18" t="n">
        <x:v>8672</x:v>
      </x:c>
      <x:c r="D1551" s="18" t="n">
        <x:v>47407</x:v>
      </x:c>
      <x:c r="E1551" s="18" t="n">
        <x:v>4.1</x:v>
      </x:c>
      <x:c r="F1551" s="18" t="n">
        <x:v>11.52</x:v>
      </x:c>
      <x:c r="G1551" t="n">
        <x:v>36</x:v>
      </x:c>
      <x:c r="H1551" t="str">
        <x:v>C</x:v>
      </x:c>
      <x:c r="I1551" t="str">
        <x:v>1-3 years</x:v>
      </x:c>
      <x:c r="J1551" t="str">
        <x:v>MORTGAGE</x:v>
      </x:c>
      <x:c r="K1551" t="str">
        <x:v>debt_consolidation</x:v>
      </x:c>
      <x:c r="L1551" t="n">
        <x:v>0</x:v>
      </x:c>
      <x:c r="M1551" t="n">
        <x:v>0</x:v>
      </x:c>
      <x:c r="N1551" t="str">
        <x:v>Fully Paid</x:v>
      </x:c>
      <x:c r="O1551" t="str">
        <x:f>IF(D1551="","Unknown",IF(D1551&lt;25000,"&lt;$25k",IF(D1551&lt;50000,"$25k-$50k",IF(D1551&lt;75000,"$50k-$75k",IF(D1551&lt;100000,"$75k-$100k","$100k+")))))</x:f>
        <x:v>$25k-$50k</x:v>
      </x:c>
      <x:c r="P1551" t="str">
        <x:f>IF(E1551="","Unknown",IF(E1551&lt;10,"&lt;10",IF(E1551&lt;20,"10-&lt;20",IF(E1551&lt;25,"20-&lt;25",IF(E1551&lt;35,"25-&lt;35","35+")))))</x:f>
        <x:v>&lt;10</x:v>
      </x:c>
    </x:row>
    <x:row r="1552">
      <x:c r="A1552" t="str">
        <x:v>SYN0001551</x:v>
      </x:c>
      <x:c r="B1552" s="12" t="n">
        <x:v>42955</x:v>
      </x:c>
      <x:c r="C1552" s="18" t="n">
        <x:v>7921</x:v>
      </x:c>
      <x:c r="D1552" s="18" t="n">
        <x:v>50632</x:v>
      </x:c>
      <x:c r="E1552" s="18" t="n">
        <x:v>4.64</x:v>
      </x:c>
      <x:c r="F1552" s="18" t="n">
        <x:v>11.7</x:v>
      </x:c>
      <x:c r="G1552" t="n">
        <x:v>60</x:v>
      </x:c>
      <x:c r="H1552" t="str">
        <x:v>C</x:v>
      </x:c>
      <x:c r="I1552" t="str">
        <x:v>1-3 years</x:v>
      </x:c>
      <x:c r="J1552" t="str">
        <x:v>MORTGAGE</x:v>
      </x:c>
      <x:c r="K1552" t="str">
        <x:v>credit_card</x:v>
      </x:c>
      <x:c r="L1552" t="n">
        <x:v>0</x:v>
      </x:c>
      <x:c r="M1552" t="n">
        <x:v>0</x:v>
      </x:c>
      <x:c r="N1552" t="str">
        <x:v>Fully Paid</x:v>
      </x:c>
      <x:c r="O1552" t="str">
        <x:f>IF(D1552="","Unknown",IF(D1552&lt;25000,"&lt;$25k",IF(D1552&lt;50000,"$25k-$50k",IF(D1552&lt;75000,"$50k-$75k",IF(D1552&lt;100000,"$75k-$100k","$100k+")))))</x:f>
        <x:v>$50k-$75k</x:v>
      </x:c>
      <x:c r="P1552" t="str">
        <x:f>IF(E1552="","Unknown",IF(E1552&lt;10,"&lt;10",IF(E1552&lt;20,"10-&lt;20",IF(E1552&lt;25,"20-&lt;25",IF(E1552&lt;35,"25-&lt;35","35+")))))</x:f>
        <x:v>&lt;10</x:v>
      </x:c>
    </x:row>
    <x:row r="1553">
      <x:c r="A1553" t="str">
        <x:v>SYN0001552</x:v>
      </x:c>
      <x:c r="B1553" s="12" t="n">
        <x:v>42085</x:v>
      </x:c>
      <x:c r="C1553" s="18" t="n">
        <x:v>10638</x:v>
      </x:c>
      <x:c r="D1553" s="18" t="n">
        <x:v>12000</x:v>
      </x:c>
      <x:c r="E1553" s="18" t="n">
        <x:v>14.29</x:v>
      </x:c>
      <x:c r="F1553" s="18" t="n">
        <x:v>10.34</x:v>
      </x:c>
      <x:c r="G1553" t="n">
        <x:v>36</x:v>
      </x:c>
      <x:c r="H1553" t="str">
        <x:v>B</x:v>
      </x:c>
      <x:c r="I1553" t="str">
        <x:v>10+ years</x:v>
      </x:c>
      <x:c r="J1553" t="str">
        <x:v>MORTGAGE</x:v>
      </x:c>
      <x:c r="K1553" t="str">
        <x:v>other</x:v>
      </x:c>
      <x:c r="L1553" t="n">
        <x:v>0</x:v>
      </x:c>
      <x:c r="M1553" t="n">
        <x:v>0</x:v>
      </x:c>
      <x:c r="N1553" t="str">
        <x:v>Fully Paid</x:v>
      </x:c>
      <x:c r="O1553" t="str">
        <x:f>IF(D1553="","Unknown",IF(D1553&lt;25000,"&lt;$25k",IF(D1553&lt;50000,"$25k-$50k",IF(D1553&lt;75000,"$50k-$75k",IF(D1553&lt;100000,"$75k-$100k","$100k+")))))</x:f>
        <x:v>&lt;$25k</x:v>
      </x:c>
      <x:c r="P1553" t="str">
        <x:f>IF(E1553="","Unknown",IF(E1553&lt;10,"&lt;10",IF(E1553&lt;20,"10-&lt;20",IF(E1553&lt;25,"20-&lt;25",IF(E1553&lt;35,"25-&lt;35","35+")))))</x:f>
        <x:v>10-&lt;20</x:v>
      </x:c>
    </x:row>
    <x:row r="1554">
      <x:c r="A1554" t="str">
        <x:v>SYN0001553</x:v>
      </x:c>
      <x:c r="B1554" s="12" t="n">
        <x:v>41875</x:v>
      </x:c>
      <x:c r="C1554" s="18" t="n">
        <x:v>15110</x:v>
      </x:c>
      <x:c r="D1554" s="18" t="n">
        <x:v>45208</x:v>
      </x:c>
      <x:c r="E1554" s="18" t="n">
        <x:v>27.44</x:v>
      </x:c>
      <x:c r="F1554" s="18" t="n">
        <x:v>21.14</x:v>
      </x:c>
      <x:c r="G1554" t="n">
        <x:v>36</x:v>
      </x:c>
      <x:c r="H1554" t="str">
        <x:v>F</x:v>
      </x:c>
      <x:c r="I1554" t="str">
        <x:v>10+ years</x:v>
      </x:c>
      <x:c r="J1554" t="str">
        <x:v>RENT</x:v>
      </x:c>
      <x:c r="K1554" t="str">
        <x:v>medical</x:v>
      </x:c>
      <x:c r="L1554" t="n">
        <x:v>1</x:v>
      </x:c>
      <x:c r="M1554" t="n">
        <x:v>1</x:v>
      </x:c>
      <x:c r="N1554" t="str">
        <x:v>Charged Off</x:v>
      </x:c>
      <x:c r="O1554" t="str">
        <x:f>IF(D1554="","Unknown",IF(D1554&lt;25000,"&lt;$25k",IF(D1554&lt;50000,"$25k-$50k",IF(D1554&lt;75000,"$50k-$75k",IF(D1554&lt;100000,"$75k-$100k","$100k+")))))</x:f>
        <x:v>$25k-$50k</x:v>
      </x:c>
      <x:c r="P1554" t="str">
        <x:f>IF(E1554="","Unknown",IF(E1554&lt;10,"&lt;10",IF(E1554&lt;20,"10-&lt;20",IF(E1554&lt;25,"20-&lt;25",IF(E1554&lt;35,"25-&lt;35","35+")))))</x:f>
        <x:v>25-&lt;35</x:v>
      </x:c>
    </x:row>
    <x:row r="1555">
      <x:c r="A1555" t="str">
        <x:v>SYN0001554</x:v>
      </x:c>
      <x:c r="B1555" s="12" t="n">
        <x:v>41395</x:v>
      </x:c>
      <x:c r="C1555" s="18" t="n">
        <x:v>7774</x:v>
      </x:c>
      <x:c r="D1555" s="18" t="n">
        <x:v>71249</x:v>
      </x:c>
      <x:c r="E1555" s="18" t="n">
        <x:v>24.41</x:v>
      </x:c>
      <x:c r="F1555" s="18" t="n">
        <x:v>18.04</x:v>
      </x:c>
      <x:c r="G1555" t="n">
        <x:v>36</x:v>
      </x:c>
      <x:c r="H1555" t="str">
        <x:v>E</x:v>
      </x:c>
      <x:c r="I1555" t="str">
        <x:v>1-3 years</x:v>
      </x:c>
      <x:c r="J1555" t="str">
        <x:v>RENT</x:v>
      </x:c>
      <x:c r="K1555" t="str">
        <x:v>credit_card</x:v>
      </x:c>
      <x:c r="L1555" t="n">
        <x:v>2</x:v>
      </x:c>
      <x:c r="M1555" t="n">
        <x:v>0</x:v>
      </x:c>
      <x:c r="N1555" t="str">
        <x:v>Fully Paid</x:v>
      </x:c>
      <x:c r="O1555" t="str">
        <x:f>IF(D1555="","Unknown",IF(D1555&lt;25000,"&lt;$25k",IF(D1555&lt;50000,"$25k-$50k",IF(D1555&lt;75000,"$50k-$75k",IF(D1555&lt;100000,"$75k-$100k","$100k+")))))</x:f>
        <x:v>$50k-$75k</x:v>
      </x:c>
      <x:c r="P1555" t="str">
        <x:f>IF(E1555="","Unknown",IF(E1555&lt;10,"&lt;10",IF(E1555&lt;20,"10-&lt;20",IF(E1555&lt;25,"20-&lt;25",IF(E1555&lt;35,"25-&lt;35","35+")))))</x:f>
        <x:v>20-&lt;25</x:v>
      </x:c>
    </x:row>
    <x:row r="1556">
      <x:c r="A1556" t="str">
        <x:v>SYN0001555</x:v>
      </x:c>
      <x:c r="B1556" s="12" t="n">
        <x:v>42385</x:v>
      </x:c>
      <x:c r="C1556" s="18" t="n">
        <x:v>9157</x:v>
      </x:c>
      <x:c r="D1556" s="18" t="n">
        <x:v>117720</x:v>
      </x:c>
      <x:c r="E1556" s="18" t="n">
        <x:v>30.36</x:v>
      </x:c>
      <x:c r="F1556" s="18" t="n">
        <x:v>15.06</x:v>
      </x:c>
      <x:c r="G1556" t="n">
        <x:v>36</x:v>
      </x:c>
      <x:c r="H1556" t="str">
        <x:v>D</x:v>
      </x:c>
      <x:c r="I1556" t="str">
        <x:v>1-3 years</x:v>
      </x:c>
      <x:c r="J1556" t="str">
        <x:v>MORTGAGE</x:v>
      </x:c>
      <x:c r="K1556" t="str">
        <x:v>credit_card</x:v>
      </x:c>
      <x:c r="L1556" t="n">
        <x:v>0</x:v>
      </x:c>
      <x:c r="M1556" t="n">
        <x:v>1</x:v>
      </x:c>
      <x:c r="N1556" t="str">
        <x:v>Charged Off</x:v>
      </x:c>
      <x:c r="O1556" t="str">
        <x:f>IF(D1556="","Unknown",IF(D1556&lt;25000,"&lt;$25k",IF(D1556&lt;50000,"$25k-$50k",IF(D1556&lt;75000,"$50k-$75k",IF(D1556&lt;100000,"$75k-$100k","$100k+")))))</x:f>
        <x:v>$100k+</x:v>
      </x:c>
      <x:c r="P1556" t="str">
        <x:f>IF(E1556="","Unknown",IF(E1556&lt;10,"&lt;10",IF(E1556&lt;20,"10-&lt;20",IF(E1556&lt;25,"20-&lt;25",IF(E1556&lt;35,"25-&lt;35","35+")))))</x:f>
        <x:v>25-&lt;35</x:v>
      </x:c>
    </x:row>
    <x:row r="1557">
      <x:c r="A1557" t="str">
        <x:v>SYN0001556</x:v>
      </x:c>
      <x:c r="B1557" s="12" t="n">
        <x:v>42145</x:v>
      </x:c>
      <x:c r="C1557" s="18" t="n">
        <x:v>7445</x:v>
      </x:c>
      <x:c r="D1557" s="18" t="n">
        <x:v>53388</x:v>
      </x:c>
      <x:c r="E1557" s="18" t="n">
        <x:v>20.33</x:v>
      </x:c>
      <x:c r="F1557" s="18" t="n">
        <x:v>10.39</x:v>
      </x:c>
      <x:c r="G1557" t="n">
        <x:v>36</x:v>
      </x:c>
      <x:c r="H1557" t="str">
        <x:v>C</x:v>
      </x:c>
      <x:c r="I1557" t="str">
        <x:v>1-3 years</x:v>
      </x:c>
      <x:c r="J1557" t="str">
        <x:v>MORTGAGE</x:v>
      </x:c>
      <x:c r="K1557" t="str">
        <x:v>debt_consolidation</x:v>
      </x:c>
      <x:c r="L1557" t="n">
        <x:v>0</x:v>
      </x:c>
      <x:c r="M1557" t="n">
        <x:v>0</x:v>
      </x:c>
      <x:c r="N1557" t="str">
        <x:v>Fully Paid</x:v>
      </x:c>
      <x:c r="O1557" t="str">
        <x:f>IF(D1557="","Unknown",IF(D1557&lt;25000,"&lt;$25k",IF(D1557&lt;50000,"$25k-$50k",IF(D1557&lt;75000,"$50k-$75k",IF(D1557&lt;100000,"$75k-$100k","$100k+")))))</x:f>
        <x:v>$50k-$75k</x:v>
      </x:c>
      <x:c r="P1557" t="str">
        <x:f>IF(E1557="","Unknown",IF(E1557&lt;10,"&lt;10",IF(E1557&lt;20,"10-&lt;20",IF(E1557&lt;25,"20-&lt;25",IF(E1557&lt;35,"25-&lt;35","35+")))))</x:f>
        <x:v>20-&lt;25</x:v>
      </x:c>
    </x:row>
    <x:row r="1558">
      <x:c r="A1558" t="str">
        <x:v>SYN0001557</x:v>
      </x:c>
      <x:c r="B1558" s="12" t="n">
        <x:v>42445</x:v>
      </x:c>
      <x:c r="C1558" s="18" t="n">
        <x:v>16696</x:v>
      </x:c>
      <x:c r="D1558" s="18" t="n">
        <x:v>12756</x:v>
      </x:c>
      <x:c r="E1558" s="18" t="n">
        <x:v>22.81</x:v>
      </x:c>
      <x:c r="F1558" s="18" t="n">
        <x:v>9.91</x:v>
      </x:c>
      <x:c r="G1558" t="n">
        <x:v>60</x:v>
      </x:c>
      <x:c r="H1558" t="str">
        <x:v>C</x:v>
      </x:c>
      <x:c r="I1558" t="str">
        <x:v>1-3 years</x:v>
      </x:c>
      <x:c r="J1558" t="str">
        <x:v>OWN</x:v>
      </x:c>
      <x:c r="K1558" t="str">
        <x:v>home_improvement</x:v>
      </x:c>
      <x:c r="L1558" t="n">
        <x:v>3</x:v>
      </x:c>
      <x:c r="M1558" t="n">
        <x:v>0</x:v>
      </x:c>
      <x:c r="N1558" t="str">
        <x:v>Fully Paid</x:v>
      </x:c>
      <x:c r="O1558" t="str">
        <x:f>IF(D1558="","Unknown",IF(D1558&lt;25000,"&lt;$25k",IF(D1558&lt;50000,"$25k-$50k",IF(D1558&lt;75000,"$50k-$75k",IF(D1558&lt;100000,"$75k-$100k","$100k+")))))</x:f>
        <x:v>&lt;$25k</x:v>
      </x:c>
      <x:c r="P1558" t="str">
        <x:f>IF(E1558="","Unknown",IF(E1558&lt;10,"&lt;10",IF(E1558&lt;20,"10-&lt;20",IF(E1558&lt;25,"20-&lt;25",IF(E1558&lt;35,"25-&lt;35","35+")))))</x:f>
        <x:v>20-&lt;25</x:v>
      </x:c>
    </x:row>
    <x:row r="1559">
      <x:c r="A1559" t="str">
        <x:v>SYN0001558</x:v>
      </x:c>
      <x:c r="B1559" s="12" t="n">
        <x:v>41515</x:v>
      </x:c>
      <x:c r="C1559" s="18" t="n">
        <x:v>26505</x:v>
      </x:c>
      <x:c r="D1559" s="18" t="n">
        <x:v>25743</x:v>
      </x:c>
      <x:c r="E1559" s="18" t="n">
        <x:v>23.83</x:v>
      </x:c>
      <x:c r="F1559" s="18" t="n">
        <x:v>13.32</x:v>
      </x:c>
      <x:c r="G1559" t="n">
        <x:v>36</x:v>
      </x:c>
      <x:c r="H1559" t="str">
        <x:v>D</x:v>
      </x:c>
      <x:c r="I1559" t="str">
        <x:v>4-6 years</x:v>
      </x:c>
      <x:c r="J1559" t="str">
        <x:v>OWN</x:v>
      </x:c>
      <x:c r="K1559" t="str">
        <x:v>debt_consolidation</x:v>
      </x:c>
      <x:c r="L1559" t="n">
        <x:v>0</x:v>
      </x:c>
      <x:c r="M1559" t="n">
        <x:v>0</x:v>
      </x:c>
      <x:c r="N1559" t="str">
        <x:v>Fully Paid</x:v>
      </x:c>
      <x:c r="O1559" t="str">
        <x:f>IF(D1559="","Unknown",IF(D1559&lt;25000,"&lt;$25k",IF(D1559&lt;50000,"$25k-$50k",IF(D1559&lt;75000,"$50k-$75k",IF(D1559&lt;100000,"$75k-$100k","$100k+")))))</x:f>
        <x:v>$25k-$50k</x:v>
      </x:c>
      <x:c r="P1559" t="str">
        <x:f>IF(E1559="","Unknown",IF(E1559&lt;10,"&lt;10",IF(E1559&lt;20,"10-&lt;20",IF(E1559&lt;25,"20-&lt;25",IF(E1559&lt;35,"25-&lt;35","35+")))))</x:f>
        <x:v>20-&lt;25</x:v>
      </x:c>
    </x:row>
    <x:row r="1560">
      <x:c r="A1560" t="str">
        <x:v>SYN0001559</x:v>
      </x:c>
      <x:c r="B1560" s="12" t="n">
        <x:v>43285</x:v>
      </x:c>
      <x:c r="C1560" s="18" t="n">
        <x:v>15741</x:v>
      </x:c>
      <x:c r="D1560" s="18" t="n">
        <x:v>129314</x:v>
      </x:c>
      <x:c r="E1560" s="18" t="n">
        <x:v>21.34</x:v>
      </x:c>
      <x:c r="F1560" s="18" t="n">
        <x:v>19.28</x:v>
      </x:c>
      <x:c r="G1560" t="n">
        <x:v>60</x:v>
      </x:c>
      <x:c r="H1560" t="str">
        <x:v>E</x:v>
      </x:c>
      <x:c r="I1560" t="str">
        <x:v>10+ years</x:v>
      </x:c>
      <x:c r="J1560" t="str">
        <x:v>RENT</x:v>
      </x:c>
      <x:c r="K1560" t="str">
        <x:v>credit_card</x:v>
      </x:c>
      <x:c r="L1560" t="n">
        <x:v>0</x:v>
      </x:c>
      <x:c r="M1560" t="n">
        <x:v>0</x:v>
      </x:c>
      <x:c r="N1560" t="str">
        <x:v>Fully Paid</x:v>
      </x:c>
      <x:c r="O1560" t="str">
        <x:f>IF(D1560="","Unknown",IF(D1560&lt;25000,"&lt;$25k",IF(D1560&lt;50000,"$25k-$50k",IF(D1560&lt;75000,"$50k-$75k",IF(D1560&lt;100000,"$75k-$100k","$100k+")))))</x:f>
        <x:v>$100k+</x:v>
      </x:c>
      <x:c r="P1560" t="str">
        <x:f>IF(E1560="","Unknown",IF(E1560&lt;10,"&lt;10",IF(E1560&lt;20,"10-&lt;20",IF(E1560&lt;25,"20-&lt;25",IF(E1560&lt;35,"25-&lt;35","35+")))))</x:f>
        <x:v>20-&lt;25</x:v>
      </x:c>
    </x:row>
    <x:row r="1561">
      <x:c r="A1561" t="str">
        <x:v>SYN0001560</x:v>
      </x:c>
      <x:c r="B1561" s="12" t="n">
        <x:v>42715</x:v>
      </x:c>
      <x:c r="C1561" s="18" t="n">
        <x:v>12469</x:v>
      </x:c>
      <x:c r="D1561" s="18" t="n">
        <x:v>45882</x:v>
      </x:c>
      <x:c r="E1561" s="18" t="n">
        <x:v>21.59</x:v>
      </x:c>
      <x:c r="F1561" s="18" t="n">
        <x:v>25.54</x:v>
      </x:c>
      <x:c r="G1561" t="n">
        <x:v>36</x:v>
      </x:c>
      <x:c r="H1561" t="str">
        <x:v>G</x:v>
      </x:c>
      <x:c r="I1561" t="str">
        <x:v>&lt;1 year</x:v>
      </x:c>
      <x:c r="J1561" t="str">
        <x:v>RENT</x:v>
      </x:c>
      <x:c r="K1561" t="str">
        <x:v>other</x:v>
      </x:c>
      <x:c r="L1561" t="n">
        <x:v>0</x:v>
      </x:c>
      <x:c r="M1561" t="n">
        <x:v>0</x:v>
      </x:c>
      <x:c r="N1561" t="str">
        <x:v>Fully Paid</x:v>
      </x:c>
      <x:c r="O1561" t="str">
        <x:f>IF(D1561="","Unknown",IF(D1561&lt;25000,"&lt;$25k",IF(D1561&lt;50000,"$25k-$50k",IF(D1561&lt;75000,"$50k-$75k",IF(D1561&lt;100000,"$75k-$100k","$100k+")))))</x:f>
        <x:v>$25k-$50k</x:v>
      </x:c>
      <x:c r="P1561" t="str">
        <x:f>IF(E1561="","Unknown",IF(E1561&lt;10,"&lt;10",IF(E1561&lt;20,"10-&lt;20",IF(E1561&lt;25,"20-&lt;25",IF(E1561&lt;35,"25-&lt;35","35+")))))</x:f>
        <x:v>20-&lt;25</x:v>
      </x:c>
    </x:row>
    <x:row r="1562">
      <x:c r="A1562" t="str">
        <x:v>SYN0001561</x:v>
      </x:c>
      <x:c r="B1562" s="12" t="n">
        <x:v>41275</x:v>
      </x:c>
      <x:c r="C1562" s="18" t="n">
        <x:v>12646</x:v>
      </x:c>
      <x:c r="D1562" s="18" t="n">
        <x:v>77005</x:v>
      </x:c>
      <x:c r="E1562" s="18" t="n">
        <x:v>24.15</x:v>
      </x:c>
      <x:c r="F1562" s="18" t="n">
        <x:v>8.22</x:v>
      </x:c>
      <x:c r="G1562" t="n">
        <x:v>36</x:v>
      </x:c>
      <x:c r="H1562" t="str">
        <x:v>B</x:v>
      </x:c>
      <x:c r="I1562" t="str">
        <x:v>1-3 years</x:v>
      </x:c>
      <x:c r="J1562" t="str">
        <x:v>RENT</x:v>
      </x:c>
      <x:c r="K1562" t="str">
        <x:v>debt_consolidation</x:v>
      </x:c>
      <x:c r="L1562" t="n">
        <x:v>1</x:v>
      </x:c>
      <x:c r="M1562" t="n">
        <x:v>0</x:v>
      </x:c>
      <x:c r="N1562" t="str">
        <x:v>Fully Paid</x:v>
      </x:c>
      <x:c r="O1562" t="str">
        <x:f>IF(D1562="","Unknown",IF(D1562&lt;25000,"&lt;$25k",IF(D1562&lt;50000,"$25k-$50k",IF(D1562&lt;75000,"$50k-$75k",IF(D1562&lt;100000,"$75k-$100k","$100k+")))))</x:f>
        <x:v>$75k-$100k</x:v>
      </x:c>
      <x:c r="P1562" t="str">
        <x:f>IF(E1562="","Unknown",IF(E1562&lt;10,"&lt;10",IF(E1562&lt;20,"10-&lt;20",IF(E1562&lt;25,"20-&lt;25",IF(E1562&lt;35,"25-&lt;35","35+")))))</x:f>
        <x:v>20-&lt;25</x:v>
      </x:c>
    </x:row>
    <x:row r="1563">
      <x:c r="A1563" t="str">
        <x:v>SYN0001562</x:v>
      </x:c>
      <x:c r="B1563" s="12" t="n">
        <x:v>42595</x:v>
      </x:c>
      <x:c r="C1563" s="18" t="n">
        <x:v>23246</x:v>
      </x:c>
      <x:c r="D1563" s="18" t="n">
        <x:v>27462</x:v>
      </x:c>
      <x:c r="E1563" s="18" t="n">
        <x:v>23.43</x:v>
      </x:c>
      <x:c r="F1563" s="18" t="n">
        <x:v>8.24</x:v>
      </x:c>
      <x:c r="G1563" t="n">
        <x:v>36</x:v>
      </x:c>
      <x:c r="H1563" t="str">
        <x:v>A</x:v>
      </x:c>
      <x:c r="I1563" t="str">
        <x:v>4-6 years</x:v>
      </x:c>
      <x:c r="J1563" t="str">
        <x:v>MORTGAGE</x:v>
      </x:c>
      <x:c r="K1563" t="str">
        <x:v>debt_consolidation</x:v>
      </x:c>
      <x:c r="L1563" t="n">
        <x:v>0</x:v>
      </x:c>
      <x:c r="M1563" t="n">
        <x:v>0</x:v>
      </x:c>
      <x:c r="N1563" t="str">
        <x:v>Fully Paid</x:v>
      </x:c>
      <x:c r="O1563" t="str">
        <x:f>IF(D1563="","Unknown",IF(D1563&lt;25000,"&lt;$25k",IF(D1563&lt;50000,"$25k-$50k",IF(D1563&lt;75000,"$50k-$75k",IF(D1563&lt;100000,"$75k-$100k","$100k+")))))</x:f>
        <x:v>$25k-$50k</x:v>
      </x:c>
      <x:c r="P1563" t="str">
        <x:f>IF(E1563="","Unknown",IF(E1563&lt;10,"&lt;10",IF(E1563&lt;20,"10-&lt;20",IF(E1563&lt;25,"20-&lt;25",IF(E1563&lt;35,"25-&lt;35","35+")))))</x:f>
        <x:v>20-&lt;25</x:v>
      </x:c>
    </x:row>
    <x:row r="1564">
      <x:c r="A1564" t="str">
        <x:v>SYN0001563</x:v>
      </x:c>
      <x:c r="B1564" s="12" t="n">
        <x:v>42865</x:v>
      </x:c>
      <x:c r="C1564" s="18" t="n">
        <x:v>14648</x:v>
      </x:c>
      <x:c r="D1564" s="18" t="n">
        <x:v>50927</x:v>
      </x:c>
      <x:c r="E1564" s="18" t="n">
        <x:v>15.89</x:v>
      </x:c>
      <x:c r="F1564" s="18" t="n">
        <x:v>12.93</x:v>
      </x:c>
      <x:c r="G1564" t="n">
        <x:v>60</x:v>
      </x:c>
      <x:c r="H1564" t="str">
        <x:v>D</x:v>
      </x:c>
      <x:c r="I1564" t="str">
        <x:v>1-3 years</x:v>
      </x:c>
      <x:c r="J1564" t="str">
        <x:v>MORTGAGE</x:v>
      </x:c>
      <x:c r="K1564" t="str">
        <x:v>credit_card</x:v>
      </x:c>
      <x:c r="L1564" t="n">
        <x:v>0</x:v>
      </x:c>
      <x:c r="M1564" t="n">
        <x:v>0</x:v>
      </x:c>
      <x:c r="N1564" t="str">
        <x:v>Fully Paid</x:v>
      </x:c>
      <x:c r="O1564" t="str">
        <x:f>IF(D1564="","Unknown",IF(D1564&lt;25000,"&lt;$25k",IF(D1564&lt;50000,"$25k-$50k",IF(D1564&lt;75000,"$50k-$75k",IF(D1564&lt;100000,"$75k-$100k","$100k+")))))</x:f>
        <x:v>$50k-$75k</x:v>
      </x:c>
      <x:c r="P1564" t="str">
        <x:f>IF(E1564="","Unknown",IF(E1564&lt;10,"&lt;10",IF(E1564&lt;20,"10-&lt;20",IF(E1564&lt;25,"20-&lt;25",IF(E1564&lt;35,"25-&lt;35","35+")))))</x:f>
        <x:v>10-&lt;20</x:v>
      </x:c>
    </x:row>
    <x:row r="1565">
      <x:c r="A1565" t="str">
        <x:v>SYN0001564</x:v>
      </x:c>
      <x:c r="B1565" s="12" t="n">
        <x:v>41875</x:v>
      </x:c>
      <x:c r="C1565" s="18" t="n">
        <x:v>15791</x:v>
      </x:c>
      <x:c r="D1565" s="18" t="n">
        <x:v>59259</x:v>
      </x:c>
      <x:c r="E1565" s="18" t="n">
        <x:v>29.31</x:v>
      </x:c>
      <x:c r="F1565" s="18" t="n">
        <x:v>19.25</x:v>
      </x:c>
      <x:c r="G1565" t="n">
        <x:v>36</x:v>
      </x:c>
      <x:c r="H1565" t="str">
        <x:v>F</x:v>
      </x:c>
      <x:c r="I1565" t="str">
        <x:v>10+ years</x:v>
      </x:c>
      <x:c r="J1565" t="str">
        <x:v>MORTGAGE</x:v>
      </x:c>
      <x:c r="K1565" t="str">
        <x:v>debt_consolidation</x:v>
      </x:c>
      <x:c r="L1565" t="n">
        <x:v>0</x:v>
      </x:c>
      <x:c r="M1565" t="n">
        <x:v>0</x:v>
      </x:c>
      <x:c r="N1565" t="str">
        <x:v>Fully Paid</x:v>
      </x:c>
      <x:c r="O1565" t="str">
        <x:f>IF(D1565="","Unknown",IF(D1565&lt;25000,"&lt;$25k",IF(D1565&lt;50000,"$25k-$50k",IF(D1565&lt;75000,"$50k-$75k",IF(D1565&lt;100000,"$75k-$100k","$100k+")))))</x:f>
        <x:v>$50k-$75k</x:v>
      </x:c>
      <x:c r="P1565" t="str">
        <x:f>IF(E1565="","Unknown",IF(E1565&lt;10,"&lt;10",IF(E1565&lt;20,"10-&lt;20",IF(E1565&lt;25,"20-&lt;25",IF(E1565&lt;35,"25-&lt;35","35+")))))</x:f>
        <x:v>25-&lt;35</x:v>
      </x:c>
    </x:row>
    <x:row r="1566">
      <x:c r="A1566" t="str">
        <x:v>SYN0001565</x:v>
      </x:c>
      <x:c r="B1566" s="12" t="n">
        <x:v>42385</x:v>
      </x:c>
      <x:c r="C1566" s="18" t="n">
        <x:v>16409</x:v>
      </x:c>
      <x:c r="D1566" s="18" t="n">
        <x:v>50810</x:v>
      </x:c>
      <x:c r="E1566" s="18" t="n">
        <x:v>19.72</x:v>
      </x:c>
      <x:c r="F1566" s="18" t="n">
        <x:v>8.94</x:v>
      </x:c>
      <x:c r="G1566" t="n">
        <x:v>36</x:v>
      </x:c>
      <x:c r="H1566" t="str">
        <x:v>B</x:v>
      </x:c>
      <x:c r="I1566" t="str">
        <x:v>10+ years</x:v>
      </x:c>
      <x:c r="J1566" t="str">
        <x:v>OWN</x:v>
      </x:c>
      <x:c r="K1566" t="str">
        <x:v>other</x:v>
      </x:c>
      <x:c r="L1566" t="n">
        <x:v>1</x:v>
      </x:c>
      <x:c r="M1566" t="n">
        <x:v>0</x:v>
      </x:c>
      <x:c r="N1566" t="str">
        <x:v>Fully Paid</x:v>
      </x:c>
      <x:c r="O1566" t="str">
        <x:f>IF(D1566="","Unknown",IF(D1566&lt;25000,"&lt;$25k",IF(D1566&lt;50000,"$25k-$50k",IF(D1566&lt;75000,"$50k-$75k",IF(D1566&lt;100000,"$75k-$100k","$100k+")))))</x:f>
        <x:v>$50k-$75k</x:v>
      </x:c>
      <x:c r="P1566" t="str">
        <x:f>IF(E1566="","Unknown",IF(E1566&lt;10,"&lt;10",IF(E1566&lt;20,"10-&lt;20",IF(E1566&lt;25,"20-&lt;25",IF(E1566&lt;35,"25-&lt;35","35+")))))</x:f>
        <x:v>10-&lt;20</x:v>
      </x:c>
    </x:row>
    <x:row r="1567">
      <x:c r="A1567" t="str">
        <x:v>SYN0001566</x:v>
      </x:c>
      <x:c r="B1567" s="12" t="n">
        <x:v>42145</x:v>
      </x:c>
      <x:c r="C1567" s="18" t="n">
        <x:v>8182</x:v>
      </x:c>
      <x:c r="D1567" s="18" t="n">
        <x:v>14107</x:v>
      </x:c>
      <x:c r="E1567" s="18" t="n">
        <x:v>20.31</x:v>
      </x:c>
      <x:c r="F1567" s="18" t="n">
        <x:v>8.02</x:v>
      </x:c>
      <x:c r="G1567" t="n">
        <x:v>36</x:v>
      </x:c>
      <x:c r="H1567" t="str">
        <x:v>C</x:v>
      </x:c>
      <x:c r="I1567" t="str">
        <x:v>7-9 years</x:v>
      </x:c>
      <x:c r="J1567" t="str">
        <x:v>OWN</x:v>
      </x:c>
      <x:c r="K1567" t="str">
        <x:v>debt_consolidation</x:v>
      </x:c>
      <x:c r="L1567" t="n">
        <x:v>0</x:v>
      </x:c>
      <x:c r="M1567" t="n">
        <x:v>0</x:v>
      </x:c>
      <x:c r="N1567" t="str">
        <x:v>Fully Paid</x:v>
      </x:c>
      <x:c r="O1567" t="str">
        <x:f>IF(D1567="","Unknown",IF(D1567&lt;25000,"&lt;$25k",IF(D1567&lt;50000,"$25k-$50k",IF(D1567&lt;75000,"$50k-$75k",IF(D1567&lt;100000,"$75k-$100k","$100k+")))))</x:f>
        <x:v>&lt;$25k</x:v>
      </x:c>
      <x:c r="P1567" t="str">
        <x:f>IF(E1567="","Unknown",IF(E1567&lt;10,"&lt;10",IF(E1567&lt;20,"10-&lt;20",IF(E1567&lt;25,"20-&lt;25",IF(E1567&lt;35,"25-&lt;35","35+")))))</x:f>
        <x:v>20-&lt;25</x:v>
      </x:c>
    </x:row>
    <x:row r="1568">
      <x:c r="A1568" t="str">
        <x:v>SYN0001567</x:v>
      </x:c>
      <x:c r="B1568" s="12" t="n">
        <x:v>43345</x:v>
      </x:c>
      <x:c r="C1568" s="18" t="n">
        <x:v>5974</x:v>
      </x:c>
      <x:c r="D1568" s="18" t="n">
        <x:v>50628</x:v>
      </x:c>
      <x:c r="E1568" s="18" t="n">
        <x:v>23.01</x:v>
      </x:c>
      <x:c r="F1568" s="18" t="n">
        <x:v>8.14</x:v>
      </x:c>
      <x:c r="G1568" t="n">
        <x:v>60</x:v>
      </x:c>
      <x:c r="H1568" t="str">
        <x:v>B</x:v>
      </x:c>
      <x:c r="I1568" t="str">
        <x:v>10+ years</x:v>
      </x:c>
      <x:c r="J1568" t="str">
        <x:v>MORTGAGE</x:v>
      </x:c>
      <x:c r="K1568" t="str">
        <x:v>other</x:v>
      </x:c>
      <x:c r="L1568" t="n">
        <x:v>0</x:v>
      </x:c>
      <x:c r="M1568" t="n">
        <x:v>0</x:v>
      </x:c>
      <x:c r="N1568" t="str">
        <x:v>Fully Paid</x:v>
      </x:c>
      <x:c r="O1568" t="str">
        <x:f>IF(D1568="","Unknown",IF(D1568&lt;25000,"&lt;$25k",IF(D1568&lt;50000,"$25k-$50k",IF(D1568&lt;75000,"$50k-$75k",IF(D1568&lt;100000,"$75k-$100k","$100k+")))))</x:f>
        <x:v>$50k-$75k</x:v>
      </x:c>
      <x:c r="P1568" t="str">
        <x:f>IF(E1568="","Unknown",IF(E1568&lt;10,"&lt;10",IF(E1568&lt;20,"10-&lt;20",IF(E1568&lt;25,"20-&lt;25",IF(E1568&lt;35,"25-&lt;35","35+")))))</x:f>
        <x:v>20-&lt;25</x:v>
      </x:c>
    </x:row>
    <x:row r="1569">
      <x:c r="A1569" t="str">
        <x:v>SYN0001568</x:v>
      </x:c>
      <x:c r="B1569" s="12" t="n">
        <x:v>41455</x:v>
      </x:c>
      <x:c r="C1569" s="18" t="n">
        <x:v>6498</x:v>
      </x:c>
      <x:c r="D1569" s="18" t="n">
        <x:v>35568</x:v>
      </x:c>
      <x:c r="E1569" s="18" t="n">
        <x:v>17.86</x:v>
      </x:c>
      <x:c r="F1569" s="18" t="n">
        <x:v>16.08</x:v>
      </x:c>
      <x:c r="G1569" t="n">
        <x:v>60</x:v>
      </x:c>
      <x:c r="H1569" t="str">
        <x:v>D</x:v>
      </x:c>
      <x:c r="I1569" t="str">
        <x:v>10+ years</x:v>
      </x:c>
      <x:c r="J1569" t="str">
        <x:v>RENT</x:v>
      </x:c>
      <x:c r="K1569" t="str">
        <x:v>credit_card</x:v>
      </x:c>
      <x:c r="L1569" t="n">
        <x:v>0</x:v>
      </x:c>
      <x:c r="M1569" t="n">
        <x:v>0</x:v>
      </x:c>
      <x:c r="N1569" t="str">
        <x:v>Fully Paid</x:v>
      </x:c>
      <x:c r="O1569" t="str">
        <x:f>IF(D1569="","Unknown",IF(D1569&lt;25000,"&lt;$25k",IF(D1569&lt;50000,"$25k-$50k",IF(D1569&lt;75000,"$50k-$75k",IF(D1569&lt;100000,"$75k-$100k","$100k+")))))</x:f>
        <x:v>$25k-$50k</x:v>
      </x:c>
      <x:c r="P1569" t="str">
        <x:f>IF(E1569="","Unknown",IF(E1569&lt;10,"&lt;10",IF(E1569&lt;20,"10-&lt;20",IF(E1569&lt;25,"20-&lt;25",IF(E1569&lt;35,"25-&lt;35","35+")))))</x:f>
        <x:v>10-&lt;20</x:v>
      </x:c>
    </x:row>
    <x:row r="1570">
      <x:c r="A1570" t="str">
        <x:v>SYN0001569</x:v>
      </x:c>
      <x:c r="B1570" s="12" t="n">
        <x:v>42325</x:v>
      </x:c>
      <x:c r="C1570" s="18" t="n">
        <x:v>6192</x:v>
      </x:c>
      <x:c r="D1570" s="18" t="n">
        <x:v>51570</x:v>
      </x:c>
      <x:c r="E1570" s="18" t="n">
        <x:v>19.16</x:v>
      </x:c>
      <x:c r="F1570" s="18" t="n">
        <x:v>7.22</x:v>
      </x:c>
      <x:c r="G1570" t="n">
        <x:v>36</x:v>
      </x:c>
      <x:c r="H1570" t="str">
        <x:v>B</x:v>
      </x:c>
      <x:c r="I1570" t="str">
        <x:v>7-9 years</x:v>
      </x:c>
      <x:c r="J1570" t="str">
        <x:v>MORTGAGE</x:v>
      </x:c>
      <x:c r="K1570" t="str">
        <x:v>credit_card</x:v>
      </x:c>
      <x:c r="L1570" t="n">
        <x:v>0</x:v>
      </x:c>
      <x:c r="M1570" t="n">
        <x:v>0</x:v>
      </x:c>
      <x:c r="N1570" t="str">
        <x:v>Fully Paid</x:v>
      </x:c>
      <x:c r="O1570" t="str">
        <x:f>IF(D1570="","Unknown",IF(D1570&lt;25000,"&lt;$25k",IF(D1570&lt;50000,"$25k-$50k",IF(D1570&lt;75000,"$50k-$75k",IF(D1570&lt;100000,"$75k-$100k","$100k+")))))</x:f>
        <x:v>$50k-$75k</x:v>
      </x:c>
      <x:c r="P1570" t="str">
        <x:f>IF(E1570="","Unknown",IF(E1570&lt;10,"&lt;10",IF(E1570&lt;20,"10-&lt;20",IF(E1570&lt;25,"20-&lt;25",IF(E1570&lt;35,"25-&lt;35","35+")))))</x:f>
        <x:v>10-&lt;20</x:v>
      </x:c>
    </x:row>
    <x:row r="1571">
      <x:c r="A1571" t="str">
        <x:v>SYN0001570</x:v>
      </x:c>
      <x:c r="B1571" s="12" t="n">
        <x:v>42385</x:v>
      </x:c>
      <x:c r="C1571" s="18" t="n">
        <x:v>8130</x:v>
      </x:c>
      <x:c r="D1571" s="18" t="n">
        <x:v>82381</x:v>
      </x:c>
      <x:c r="E1571" s="18" t="n">
        <x:v>37.06</x:v>
      </x:c>
      <x:c r="F1571" s="18" t="n">
        <x:v>15.98</x:v>
      </x:c>
      <x:c r="G1571" t="n">
        <x:v>60</x:v>
      </x:c>
      <x:c r="H1571" t="str">
        <x:v>D</x:v>
      </x:c>
      <x:c r="I1571" t="str">
        <x:v>&lt;1 year</x:v>
      </x:c>
      <x:c r="J1571" t="str">
        <x:v>RENT</x:v>
      </x:c>
      <x:c r="K1571" t="str">
        <x:v>debt_consolidation</x:v>
      </x:c>
      <x:c r="L1571" t="n">
        <x:v>0</x:v>
      </x:c>
      <x:c r="M1571" t="n">
        <x:v>0</x:v>
      </x:c>
      <x:c r="N1571" t="str">
        <x:v>Fully Paid</x:v>
      </x:c>
      <x:c r="O1571" t="str">
        <x:f>IF(D1571="","Unknown",IF(D1571&lt;25000,"&lt;$25k",IF(D1571&lt;50000,"$25k-$50k",IF(D1571&lt;75000,"$50k-$75k",IF(D1571&lt;100000,"$75k-$100k","$100k+")))))</x:f>
        <x:v>$75k-$100k</x:v>
      </x:c>
      <x:c r="P1571" t="str">
        <x:f>IF(E1571="","Unknown",IF(E1571&lt;10,"&lt;10",IF(E1571&lt;20,"10-&lt;20",IF(E1571&lt;25,"20-&lt;25",IF(E1571&lt;35,"25-&lt;35","35+")))))</x:f>
        <x:v>35+</x:v>
      </x:c>
    </x:row>
    <x:row r="1572">
      <x:c r="A1572" t="str">
        <x:v>SYN0001571</x:v>
      </x:c>
      <x:c r="B1572" s="12" t="n">
        <x:v>42205</x:v>
      </x:c>
      <x:c r="C1572" s="18" t="n">
        <x:v>9404</x:v>
      </x:c>
      <x:c r="D1572" s="18" t="n">
        <x:v>23496</x:v>
      </x:c>
      <x:c r="E1572" s="18" t="n">
        <x:v>4.47</x:v>
      </x:c>
      <x:c r="F1572" s="18" t="n">
        <x:v>14.06</x:v>
      </x:c>
      <x:c r="G1572" t="n">
        <x:v>36</x:v>
      </x:c>
      <x:c r="H1572" t="str">
        <x:v>C</x:v>
      </x:c>
      <x:c r="I1572" t="str">
        <x:v>10+ years</x:v>
      </x:c>
      <x:c r="J1572" t="str">
        <x:v>RENT</x:v>
      </x:c>
      <x:c r="K1572" t="str">
        <x:v>credit_card</x:v>
      </x:c>
      <x:c r="L1572" t="n">
        <x:v>0</x:v>
      </x:c>
      <x:c r="M1572" t="n">
        <x:v>0</x:v>
      </x:c>
      <x:c r="N1572" t="str">
        <x:v>Fully Paid</x:v>
      </x:c>
      <x:c r="O1572" t="str">
        <x:f>IF(D1572="","Unknown",IF(D1572&lt;25000,"&lt;$25k",IF(D1572&lt;50000,"$25k-$50k",IF(D1572&lt;75000,"$50k-$75k",IF(D1572&lt;100000,"$75k-$100k","$100k+")))))</x:f>
        <x:v>&lt;$25k</x:v>
      </x:c>
      <x:c r="P1572" t="str">
        <x:f>IF(E1572="","Unknown",IF(E1572&lt;10,"&lt;10",IF(E1572&lt;20,"10-&lt;20",IF(E1572&lt;25,"20-&lt;25",IF(E1572&lt;35,"25-&lt;35","35+")))))</x:f>
        <x:v>&lt;10</x:v>
      </x:c>
    </x:row>
    <x:row r="1573">
      <x:c r="A1573" t="str">
        <x:v>SYN0001572</x:v>
      </x:c>
      <x:c r="B1573" s="12" t="n">
        <x:v>41575</x:v>
      </x:c>
      <x:c r="C1573" s="18" t="n">
        <x:v>14282</x:v>
      </x:c>
      <x:c r="D1573" s="18" t="n">
        <x:v>240327</x:v>
      </x:c>
      <x:c r="E1573" s="18" t="n">
        <x:v>18.56</x:v>
      </x:c>
      <x:c r="F1573" s="18" t="n">
        <x:v>6.8</x:v>
      </x:c>
      <x:c r="G1573" t="n">
        <x:v>36</x:v>
      </x:c>
      <x:c r="H1573" t="str">
        <x:v>A</x:v>
      </x:c>
      <x:c r="I1573" t="str">
        <x:v>&lt;1 year</x:v>
      </x:c>
      <x:c r="J1573" t="str">
        <x:v>MORTGAGE</x:v>
      </x:c>
      <x:c r="K1573" t="str">
        <x:v>home_improvement</x:v>
      </x:c>
      <x:c r="L1573" t="n">
        <x:v>0</x:v>
      </x:c>
      <x:c r="M1573" t="n">
        <x:v>0</x:v>
      </x:c>
      <x:c r="N1573" t="str">
        <x:v>Fully Paid</x:v>
      </x:c>
      <x:c r="O1573" t="str">
        <x:f>IF(D1573="","Unknown",IF(D1573&lt;25000,"&lt;$25k",IF(D1573&lt;50000,"$25k-$50k",IF(D1573&lt;75000,"$50k-$75k",IF(D1573&lt;100000,"$75k-$100k","$100k+")))))</x:f>
        <x:v>$100k+</x:v>
      </x:c>
      <x:c r="P1573" t="str">
        <x:f>IF(E1573="","Unknown",IF(E1573&lt;10,"&lt;10",IF(E1573&lt;20,"10-&lt;20",IF(E1573&lt;25,"20-&lt;25",IF(E1573&lt;35,"25-&lt;35","35+")))))</x:f>
        <x:v>10-&lt;20</x:v>
      </x:c>
    </x:row>
    <x:row r="1574">
      <x:c r="A1574" t="str">
        <x:v>SYN0001573</x:v>
      </x:c>
      <x:c r="B1574" s="12" t="n">
        <x:v>43405</x:v>
      </x:c>
      <x:c r="C1574" s="18" t="n">
        <x:v>12531</x:v>
      </x:c>
      <x:c r="D1574" s="18" t="n">
        <x:v>43803</x:v>
      </x:c>
      <x:c r="E1574" s="18" t="n">
        <x:v>12</x:v>
      </x:c>
      <x:c r="F1574" s="18" t="n">
        <x:v>7.34</x:v>
      </x:c>
      <x:c r="G1574" t="n">
        <x:v>36</x:v>
      </x:c>
      <x:c r="H1574" t="str">
        <x:v>B</x:v>
      </x:c>
      <x:c r="I1574" t="str">
        <x:v>7-9 years</x:v>
      </x:c>
      <x:c r="J1574" t="str">
        <x:v>MORTGAGE</x:v>
      </x:c>
      <x:c r="K1574" t="str">
        <x:v>credit_card</x:v>
      </x:c>
      <x:c r="L1574" t="n">
        <x:v>1</x:v>
      </x:c>
      <x:c r="M1574" t="n">
        <x:v>0</x:v>
      </x:c>
      <x:c r="N1574" t="str">
        <x:v>Fully Paid</x:v>
      </x:c>
      <x:c r="O1574" t="str">
        <x:f>IF(D1574="","Unknown",IF(D1574&lt;25000,"&lt;$25k",IF(D1574&lt;50000,"$25k-$50k",IF(D1574&lt;75000,"$50k-$75k",IF(D1574&lt;100000,"$75k-$100k","$100k+")))))</x:f>
        <x:v>$25k-$50k</x:v>
      </x:c>
      <x:c r="P1574" t="str">
        <x:f>IF(E1574="","Unknown",IF(E1574&lt;10,"&lt;10",IF(E1574&lt;20,"10-&lt;20",IF(E1574&lt;25,"20-&lt;25",IF(E1574&lt;35,"25-&lt;35","35+")))))</x:f>
        <x:v>10-&lt;20</x:v>
      </x:c>
    </x:row>
    <x:row r="1575">
      <x:c r="A1575" t="str">
        <x:v>SYN0001574</x:v>
      </x:c>
      <x:c r="B1575" s="12" t="n">
        <x:v>42085</x:v>
      </x:c>
      <x:c r="C1575" s="18" t="n">
        <x:v>24463</x:v>
      </x:c>
      <x:c r="D1575" s="18" t="n">
        <x:v>20021</x:v>
      </x:c>
      <x:c r="E1575" s="18" t="n">
        <x:v>29.77</x:v>
      </x:c>
      <x:c r="F1575" s="18" t="n">
        <x:v>10.86</x:v>
      </x:c>
      <x:c r="G1575" t="n">
        <x:v>60</x:v>
      </x:c>
      <x:c r="H1575" t="str">
        <x:v>C</x:v>
      </x:c>
      <x:c r="I1575" t="str">
        <x:v>10+ years</x:v>
      </x:c>
      <x:c r="J1575" t="str">
        <x:v>RENT</x:v>
      </x:c>
      <x:c r="K1575" t="str">
        <x:v>major_purchase</x:v>
      </x:c>
      <x:c r="L1575" t="n">
        <x:v>0</x:v>
      </x:c>
      <x:c r="M1575" t="n">
        <x:v>1</x:v>
      </x:c>
      <x:c r="N1575" t="str">
        <x:v>Charged Off</x:v>
      </x:c>
      <x:c r="O1575" t="str">
        <x:f>IF(D1575="","Unknown",IF(D1575&lt;25000,"&lt;$25k",IF(D1575&lt;50000,"$25k-$50k",IF(D1575&lt;75000,"$50k-$75k",IF(D1575&lt;100000,"$75k-$100k","$100k+")))))</x:f>
        <x:v>&lt;$25k</x:v>
      </x:c>
      <x:c r="P1575" t="str">
        <x:f>IF(E1575="","Unknown",IF(E1575&lt;10,"&lt;10",IF(E1575&lt;20,"10-&lt;20",IF(E1575&lt;25,"20-&lt;25",IF(E1575&lt;35,"25-&lt;35","35+")))))</x:f>
        <x:v>25-&lt;35</x:v>
      </x:c>
    </x:row>
    <x:row r="1576">
      <x:c r="A1576" t="str">
        <x:v>SYN0001575</x:v>
      </x:c>
      <x:c r="B1576" s="12" t="n">
        <x:v>41725</x:v>
      </x:c>
      <x:c r="C1576" s="18" t="n">
        <x:v>9735</x:v>
      </x:c>
      <x:c r="D1576" s="18" t="n">
        <x:v>49534</x:v>
      </x:c>
      <x:c r="E1576" s="18" t="n">
        <x:v>22.24</x:v>
      </x:c>
      <x:c r="F1576" s="18" t="n">
        <x:v>8.87</x:v>
      </x:c>
      <x:c r="G1576" t="n">
        <x:v>36</x:v>
      </x:c>
      <x:c r="H1576" t="str">
        <x:v>B</x:v>
      </x:c>
      <x:c r="I1576" t="str">
        <x:v>&lt;1 year</x:v>
      </x:c>
      <x:c r="J1576" t="str">
        <x:v>RENT</x:v>
      </x:c>
      <x:c r="K1576" t="str">
        <x:v>other</x:v>
      </x:c>
      <x:c r="L1576" t="n">
        <x:v>0</x:v>
      </x:c>
      <x:c r="M1576" t="n">
        <x:v>0</x:v>
      </x:c>
      <x:c r="N1576" t="str">
        <x:v>Fully Paid</x:v>
      </x:c>
      <x:c r="O1576" t="str">
        <x:f>IF(D1576="","Unknown",IF(D1576&lt;25000,"&lt;$25k",IF(D1576&lt;50000,"$25k-$50k",IF(D1576&lt;75000,"$50k-$75k",IF(D1576&lt;100000,"$75k-$100k","$100k+")))))</x:f>
        <x:v>$25k-$50k</x:v>
      </x:c>
      <x:c r="P1576" t="str">
        <x:f>IF(E1576="","Unknown",IF(E1576&lt;10,"&lt;10",IF(E1576&lt;20,"10-&lt;20",IF(E1576&lt;25,"20-&lt;25",IF(E1576&lt;35,"25-&lt;35","35+")))))</x:f>
        <x:v>20-&lt;25</x:v>
      </x:c>
    </x:row>
    <x:row r="1577">
      <x:c r="A1577" t="str">
        <x:v>SYN0001576</x:v>
      </x:c>
      <x:c r="B1577" s="12" t="n">
        <x:v>42055</x:v>
      </x:c>
      <x:c r="C1577" s="18" t="n">
        <x:v>11523</x:v>
      </x:c>
      <x:c r="D1577" s="18" t="n">
        <x:v>35662</x:v>
      </x:c>
      <x:c r="E1577" s="18" t="n">
        <x:v>12.25</x:v>
      </x:c>
      <x:c r="F1577" s="18" t="n">
        <x:v>6.41</x:v>
      </x:c>
      <x:c r="G1577" t="n">
        <x:v>60</x:v>
      </x:c>
      <x:c r="H1577" t="str">
        <x:v>A</x:v>
      </x:c>
      <x:c r="I1577" t="str">
        <x:v>7-9 years</x:v>
      </x:c>
      <x:c r="J1577" t="str">
        <x:v>OWN</x:v>
      </x:c>
      <x:c r="K1577" t="str">
        <x:v>debt_consolidation</x:v>
      </x:c>
      <x:c r="L1577" t="n">
        <x:v>0</x:v>
      </x:c>
      <x:c r="M1577" t="n">
        <x:v>0</x:v>
      </x:c>
      <x:c r="N1577" t="str">
        <x:v>Fully Paid</x:v>
      </x:c>
      <x:c r="O1577" t="str">
        <x:f>IF(D1577="","Unknown",IF(D1577&lt;25000,"&lt;$25k",IF(D1577&lt;50000,"$25k-$50k",IF(D1577&lt;75000,"$50k-$75k",IF(D1577&lt;100000,"$75k-$100k","$100k+")))))</x:f>
        <x:v>$25k-$50k</x:v>
      </x:c>
      <x:c r="P1577" t="str">
        <x:f>IF(E1577="","Unknown",IF(E1577&lt;10,"&lt;10",IF(E1577&lt;20,"10-&lt;20",IF(E1577&lt;25,"20-&lt;25",IF(E1577&lt;35,"25-&lt;35","35+")))))</x:f>
        <x:v>10-&lt;20</x:v>
      </x:c>
    </x:row>
    <x:row r="1578">
      <x:c r="A1578" t="str">
        <x:v>SYN0001577</x:v>
      </x:c>
      <x:c r="B1578" s="12" t="n">
        <x:v>42985</x:v>
      </x:c>
      <x:c r="C1578" s="18" t="n">
        <x:v>5858</x:v>
      </x:c>
      <x:c r="D1578" s="18" t="n">
        <x:v>174218</x:v>
      </x:c>
      <x:c r="E1578" s="18" t="n">
        <x:v>25.74</x:v>
      </x:c>
      <x:c r="F1578" s="18" t="n">
        <x:v>9.9</x:v>
      </x:c>
      <x:c r="G1578" t="n">
        <x:v>60</x:v>
      </x:c>
      <x:c r="H1578" t="str">
        <x:v>C</x:v>
      </x:c>
      <x:c r="I1578" t="str">
        <x:v>4-6 years</x:v>
      </x:c>
      <x:c r="J1578" t="str">
        <x:v>MORTGAGE</x:v>
      </x:c>
      <x:c r="K1578" t="str">
        <x:v>credit_card</x:v>
      </x:c>
      <x:c r="L1578" t="n">
        <x:v>1</x:v>
      </x:c>
      <x:c r="M1578" t="n">
        <x:v>0</x:v>
      </x:c>
      <x:c r="N1578" t="str">
        <x:v>Fully Paid</x:v>
      </x:c>
      <x:c r="O1578" t="str">
        <x:f>IF(D1578="","Unknown",IF(D1578&lt;25000,"&lt;$25k",IF(D1578&lt;50000,"$25k-$50k",IF(D1578&lt;75000,"$50k-$75k",IF(D1578&lt;100000,"$75k-$100k","$100k+")))))</x:f>
        <x:v>$100k+</x:v>
      </x:c>
      <x:c r="P1578" t="str">
        <x:f>IF(E1578="","Unknown",IF(E1578&lt;10,"&lt;10",IF(E1578&lt;20,"10-&lt;20",IF(E1578&lt;25,"20-&lt;25",IF(E1578&lt;35,"25-&lt;35","35+")))))</x:f>
        <x:v>25-&lt;35</x:v>
      </x:c>
    </x:row>
    <x:row r="1579">
      <x:c r="A1579" t="str">
        <x:v>SYN0001578</x:v>
      </x:c>
      <x:c r="B1579" s="12" t="n">
        <x:v>42565</x:v>
      </x:c>
      <x:c r="C1579" s="18" t="n">
        <x:v>8244</x:v>
      </x:c>
      <x:c r="D1579" s="18" t="n">
        <x:v>157650</x:v>
      </x:c>
      <x:c r="E1579" s="18" t="n">
        <x:v>16.01</x:v>
      </x:c>
      <x:c r="F1579" s="18" t="n">
        <x:v>8.59</x:v>
      </x:c>
      <x:c r="G1579" t="n">
        <x:v>36</x:v>
      </x:c>
      <x:c r="H1579" t="str">
        <x:v>B</x:v>
      </x:c>
      <x:c r="I1579" t="str">
        <x:v>&lt;1 year</x:v>
      </x:c>
      <x:c r="J1579" t="str">
        <x:v>RENT</x:v>
      </x:c>
      <x:c r="K1579" t="str">
        <x:v>debt_consolidation</x:v>
      </x:c>
      <x:c r="L1579" t="n">
        <x:v>0</x:v>
      </x:c>
      <x:c r="M1579" t="n">
        <x:v>0</x:v>
      </x:c>
      <x:c r="N1579" t="str">
        <x:v>Fully Paid</x:v>
      </x:c>
      <x:c r="O1579" t="str">
        <x:f>IF(D1579="","Unknown",IF(D1579&lt;25000,"&lt;$25k",IF(D1579&lt;50000,"$25k-$50k",IF(D1579&lt;75000,"$50k-$75k",IF(D1579&lt;100000,"$75k-$100k","$100k+")))))</x:f>
        <x:v>$100k+</x:v>
      </x:c>
      <x:c r="P1579" t="str">
        <x:f>IF(E1579="","Unknown",IF(E1579&lt;10,"&lt;10",IF(E1579&lt;20,"10-&lt;20",IF(E1579&lt;25,"20-&lt;25",IF(E1579&lt;35,"25-&lt;35","35+")))))</x:f>
        <x:v>10-&lt;20</x:v>
      </x:c>
    </x:row>
    <x:row r="1580">
      <x:c r="A1580" t="str">
        <x:v>SYN0001579</x:v>
      </x:c>
      <x:c r="B1580" s="12" t="n">
        <x:v>42505</x:v>
      </x:c>
      <x:c r="C1580" s="18" t="n">
        <x:v>12757</x:v>
      </x:c>
      <x:c r="D1580" s="18" t="n">
        <x:v>40314</x:v>
      </x:c>
      <x:c r="E1580" s="18" t="n">
        <x:v>24.05</x:v>
      </x:c>
      <x:c r="F1580" s="18" t="n">
        <x:v>23.07</x:v>
      </x:c>
      <x:c r="G1580" t="n">
        <x:v>36</x:v>
      </x:c>
      <x:c r="H1580" t="str">
        <x:v>F</x:v>
      </x:c>
      <x:c r="I1580" t="str">
        <x:v>10+ years</x:v>
      </x:c>
      <x:c r="J1580" t="str">
        <x:v>RENT</x:v>
      </x:c>
      <x:c r="K1580" t="str">
        <x:v>debt_consolidation</x:v>
      </x:c>
      <x:c r="L1580" t="n">
        <x:v>1</x:v>
      </x:c>
      <x:c r="M1580" t="n">
        <x:v>0</x:v>
      </x:c>
      <x:c r="N1580" t="str">
        <x:v>Fully Paid</x:v>
      </x:c>
      <x:c r="O1580" t="str">
        <x:f>IF(D1580="","Unknown",IF(D1580&lt;25000,"&lt;$25k",IF(D1580&lt;50000,"$25k-$50k",IF(D1580&lt;75000,"$50k-$75k",IF(D1580&lt;100000,"$75k-$100k","$100k+")))))</x:f>
        <x:v>$25k-$50k</x:v>
      </x:c>
      <x:c r="P1580" t="str">
        <x:f>IF(E1580="","Unknown",IF(E1580&lt;10,"&lt;10",IF(E1580&lt;20,"10-&lt;20",IF(E1580&lt;25,"20-&lt;25",IF(E1580&lt;35,"25-&lt;35","35+")))))</x:f>
        <x:v>20-&lt;25</x:v>
      </x:c>
    </x:row>
    <x:row r="1581">
      <x:c r="A1581" t="str">
        <x:v>SYN0001580</x:v>
      </x:c>
      <x:c r="B1581" s="12" t="n">
        <x:v>41875</x:v>
      </x:c>
      <x:c r="C1581" s="18" t="n">
        <x:v>13982</x:v>
      </x:c>
      <x:c r="D1581" s="18" t="n">
        <x:v>62985</x:v>
      </x:c>
      <x:c r="E1581" s="18" t="n">
        <x:v>27.04</x:v>
      </x:c>
      <x:c r="F1581" s="18" t="n">
        <x:v>14.24</x:v>
      </x:c>
      <x:c r="G1581" t="n">
        <x:v>60</x:v>
      </x:c>
      <x:c r="H1581" t="str">
        <x:v>C</x:v>
      </x:c>
      <x:c r="I1581" t="str">
        <x:v>4-6 years</x:v>
      </x:c>
      <x:c r="J1581" t="str">
        <x:v>MORTGAGE</x:v>
      </x:c>
      <x:c r="K1581" t="str">
        <x:v>debt_consolidation</x:v>
      </x:c>
      <x:c r="L1581" t="n">
        <x:v>1</x:v>
      </x:c>
      <x:c r="M1581" t="n">
        <x:v>0</x:v>
      </x:c>
      <x:c r="N1581" t="str">
        <x:v>Fully Paid</x:v>
      </x:c>
      <x:c r="O1581" t="str">
        <x:f>IF(D1581="","Unknown",IF(D1581&lt;25000,"&lt;$25k",IF(D1581&lt;50000,"$25k-$50k",IF(D1581&lt;75000,"$50k-$75k",IF(D1581&lt;100000,"$75k-$100k","$100k+")))))</x:f>
        <x:v>$50k-$75k</x:v>
      </x:c>
      <x:c r="P1581" t="str">
        <x:f>IF(E1581="","Unknown",IF(E1581&lt;10,"&lt;10",IF(E1581&lt;20,"10-&lt;20",IF(E1581&lt;25,"20-&lt;25",IF(E1581&lt;35,"25-&lt;35","35+")))))</x:f>
        <x:v>25-&lt;35</x:v>
      </x:c>
    </x:row>
    <x:row r="1582">
      <x:c r="A1582" t="str">
        <x:v>SYN0001581</x:v>
      </x:c>
      <x:c r="B1582" s="12" t="n">
        <x:v>41515</x:v>
      </x:c>
      <x:c r="C1582" s="18" t="n">
        <x:v>9674</x:v>
      </x:c>
      <x:c r="D1582" s="18" t="n">
        <x:v>23423</x:v>
      </x:c>
      <x:c r="E1582" s="18" t="n">
        <x:v>16.37</x:v>
      </x:c>
      <x:c r="F1582" s="18" t="n">
        <x:v>8.05</x:v>
      </x:c>
      <x:c r="G1582" t="n">
        <x:v>60</x:v>
      </x:c>
      <x:c r="H1582" t="str">
        <x:v>B</x:v>
      </x:c>
      <x:c r="I1582" t="str">
        <x:v>4-6 years</x:v>
      </x:c>
      <x:c r="J1582" t="str">
        <x:v>RENT</x:v>
      </x:c>
      <x:c r="K1582" t="str">
        <x:v>debt_consolidation</x:v>
      </x:c>
      <x:c r="L1582" t="n">
        <x:v>1</x:v>
      </x:c>
      <x:c r="M1582" t="n">
        <x:v>0</x:v>
      </x:c>
      <x:c r="N1582" t="str">
        <x:v>Fully Paid</x:v>
      </x:c>
      <x:c r="O1582" t="str">
        <x:f>IF(D1582="","Unknown",IF(D1582&lt;25000,"&lt;$25k",IF(D1582&lt;50000,"$25k-$50k",IF(D1582&lt;75000,"$50k-$75k",IF(D1582&lt;100000,"$75k-$100k","$100k+")))))</x:f>
        <x:v>&lt;$25k</x:v>
      </x:c>
      <x:c r="P1582" t="str">
        <x:f>IF(E1582="","Unknown",IF(E1582&lt;10,"&lt;10",IF(E1582&lt;20,"10-&lt;20",IF(E1582&lt;25,"20-&lt;25",IF(E1582&lt;35,"25-&lt;35","35+")))))</x:f>
        <x:v>10-&lt;20</x:v>
      </x:c>
    </x:row>
    <x:row r="1583">
      <x:c r="A1583" t="str">
        <x:v>SYN0001582</x:v>
      </x:c>
      <x:c r="B1583" s="12" t="n">
        <x:v>42865</x:v>
      </x:c>
      <x:c r="C1583" s="18" t="n">
        <x:v>17563</x:v>
      </x:c>
      <x:c r="D1583" s="18" t="n">
        <x:v>100968</x:v>
      </x:c>
      <x:c r="E1583" s="18" t="n">
        <x:v>10.5</x:v>
      </x:c>
      <x:c r="F1583" s="18" t="n">
        <x:v>11.53</x:v>
      </x:c>
      <x:c r="G1583" t="n">
        <x:v>36</x:v>
      </x:c>
      <x:c r="H1583" t="str">
        <x:v>C</x:v>
      </x:c>
      <x:c r="I1583" t="str">
        <x:v>10+ years</x:v>
      </x:c>
      <x:c r="J1583" t="str">
        <x:v>RENT</x:v>
      </x:c>
      <x:c r="K1583" t="str">
        <x:v>home_improvement</x:v>
      </x:c>
      <x:c r="L1583" t="n">
        <x:v>0</x:v>
      </x:c>
      <x:c r="M1583" t="n">
        <x:v>0</x:v>
      </x:c>
      <x:c r="N1583" t="str">
        <x:v>Fully Paid</x:v>
      </x:c>
      <x:c r="O1583" t="str">
        <x:f>IF(D1583="","Unknown",IF(D1583&lt;25000,"&lt;$25k",IF(D1583&lt;50000,"$25k-$50k",IF(D1583&lt;75000,"$50k-$75k",IF(D1583&lt;100000,"$75k-$100k","$100k+")))))</x:f>
        <x:v>$100k+</x:v>
      </x:c>
      <x:c r="P1583" t="str">
        <x:f>IF(E1583="","Unknown",IF(E1583&lt;10,"&lt;10",IF(E1583&lt;20,"10-&lt;20",IF(E1583&lt;25,"20-&lt;25",IF(E1583&lt;35,"25-&lt;35","35+")))))</x:f>
        <x:v>10-&lt;20</x:v>
      </x:c>
    </x:row>
    <x:row r="1584">
      <x:c r="A1584" t="str">
        <x:v>SYN0001583</x:v>
      </x:c>
      <x:c r="B1584" s="12" t="n">
        <x:v>41725</x:v>
      </x:c>
      <x:c r="C1584" s="18" t="n">
        <x:v>18018</x:v>
      </x:c>
      <x:c r="D1584" s="18" t="n">
        <x:v>85438</x:v>
      </x:c>
      <x:c r="E1584" s="18" t="n">
        <x:v>9.42</x:v>
      </x:c>
      <x:c r="F1584" s="18" t="n">
        <x:v>14.13</x:v>
      </x:c>
      <x:c r="G1584" t="n">
        <x:v>60</x:v>
      </x:c>
      <x:c r="H1584" t="str">
        <x:v>D</x:v>
      </x:c>
      <x:c r="I1584" t="str">
        <x:v>10+ years</x:v>
      </x:c>
      <x:c r="J1584" t="str">
        <x:v>MORTGAGE</x:v>
      </x:c>
      <x:c r="K1584" t="str">
        <x:v>credit_card</x:v>
      </x:c>
      <x:c r="L1584" t="n">
        <x:v>2</x:v>
      </x:c>
      <x:c r="M1584" t="n">
        <x:v>1</x:v>
      </x:c>
      <x:c r="N1584" t="str">
        <x:v>Charged Off</x:v>
      </x:c>
      <x:c r="O1584" t="str">
        <x:f>IF(D1584="","Unknown",IF(D1584&lt;25000,"&lt;$25k",IF(D1584&lt;50000,"$25k-$50k",IF(D1584&lt;75000,"$50k-$75k",IF(D1584&lt;100000,"$75k-$100k","$100k+")))))</x:f>
        <x:v>$75k-$100k</x:v>
      </x:c>
      <x:c r="P1584" t="str">
        <x:f>IF(E1584="","Unknown",IF(E1584&lt;10,"&lt;10",IF(E1584&lt;20,"10-&lt;20",IF(E1584&lt;25,"20-&lt;25",IF(E1584&lt;35,"25-&lt;35","35+")))))</x:f>
        <x:v>&lt;10</x:v>
      </x:c>
    </x:row>
    <x:row r="1585">
      <x:c r="A1585" t="str">
        <x:v>SYN0001584</x:v>
      </x:c>
      <x:c r="B1585" s="12" t="n">
        <x:v>43135</x:v>
      </x:c>
      <x:c r="C1585" s="18" t="n">
        <x:v>17709</x:v>
      </x:c>
      <x:c r="D1585" s="18" t="n">
        <x:v>25971</x:v>
      </x:c>
      <x:c r="E1585" s="18" t="n">
        <x:v>26.94</x:v>
      </x:c>
      <x:c r="F1585" s="18" t="n">
        <x:v>6.84</x:v>
      </x:c>
      <x:c r="G1585" t="n">
        <x:v>36</x:v>
      </x:c>
      <x:c r="H1585" t="str">
        <x:v>C</x:v>
      </x:c>
      <x:c r="I1585" t="str">
        <x:v>1-3 years</x:v>
      </x:c>
      <x:c r="J1585" t="str">
        <x:v>MORTGAGE</x:v>
      </x:c>
      <x:c r="K1585" t="str">
        <x:v>debt_consolidation</x:v>
      </x:c>
      <x:c r="L1585" t="n">
        <x:v>0</x:v>
      </x:c>
      <x:c r="M1585" t="n">
        <x:v>0</x:v>
      </x:c>
      <x:c r="N1585" t="str">
        <x:v>Fully Paid</x:v>
      </x:c>
      <x:c r="O1585" t="str">
        <x:f>IF(D1585="","Unknown",IF(D1585&lt;25000,"&lt;$25k",IF(D1585&lt;50000,"$25k-$50k",IF(D1585&lt;75000,"$50k-$75k",IF(D1585&lt;100000,"$75k-$100k","$100k+")))))</x:f>
        <x:v>$25k-$50k</x:v>
      </x:c>
      <x:c r="P1585" t="str">
        <x:f>IF(E1585="","Unknown",IF(E1585&lt;10,"&lt;10",IF(E1585&lt;20,"10-&lt;20",IF(E1585&lt;25,"20-&lt;25",IF(E1585&lt;35,"25-&lt;35","35+")))))</x:f>
        <x:v>25-&lt;35</x:v>
      </x:c>
    </x:row>
    <x:row r="1586">
      <x:c r="A1586" t="str">
        <x:v>SYN0001585</x:v>
      </x:c>
      <x:c r="B1586" s="12" t="n">
        <x:v>43015</x:v>
      </x:c>
      <x:c r="C1586" s="18" t="n">
        <x:v>14737</x:v>
      </x:c>
      <x:c r="D1586" s="18" t="n">
        <x:v>30037</x:v>
      </x:c>
      <x:c r="E1586" s="18" t="n">
        <x:v>21.51</x:v>
      </x:c>
      <x:c r="F1586" s="18" t="n">
        <x:v>5.64</x:v>
      </x:c>
      <x:c r="G1586" t="n">
        <x:v>36</x:v>
      </x:c>
      <x:c r="H1586" t="str">
        <x:v>A</x:v>
      </x:c>
      <x:c r="I1586" t="str">
        <x:v>10+ years</x:v>
      </x:c>
      <x:c r="J1586" t="str">
        <x:v>RENT</x:v>
      </x:c>
      <x:c r="K1586" t="str">
        <x:v>debt_consolidation</x:v>
      </x:c>
      <x:c r="L1586" t="n">
        <x:v>0</x:v>
      </x:c>
      <x:c r="M1586" t="n">
        <x:v>0</x:v>
      </x:c>
      <x:c r="N1586" t="str">
        <x:v>Fully Paid</x:v>
      </x:c>
      <x:c r="O1586" t="str">
        <x:f>IF(D1586="","Unknown",IF(D1586&lt;25000,"&lt;$25k",IF(D1586&lt;50000,"$25k-$50k",IF(D1586&lt;75000,"$50k-$75k",IF(D1586&lt;100000,"$75k-$100k","$100k+")))))</x:f>
        <x:v>$25k-$50k</x:v>
      </x:c>
      <x:c r="P1586" t="str">
        <x:f>IF(E1586="","Unknown",IF(E1586&lt;10,"&lt;10",IF(E1586&lt;20,"10-&lt;20",IF(E1586&lt;25,"20-&lt;25",IF(E1586&lt;35,"25-&lt;35","35+")))))</x:f>
        <x:v>20-&lt;25</x:v>
      </x:c>
    </x:row>
    <x:row r="1587">
      <x:c r="A1587" t="str">
        <x:v>SYN0001586</x:v>
      </x:c>
      <x:c r="B1587" s="12" t="n">
        <x:v>43075</x:v>
      </x:c>
      <x:c r="C1587" s="18" t="n">
        <x:v>4841</x:v>
      </x:c>
      <x:c r="D1587" s="18" t="n">
        <x:v>55700</x:v>
      </x:c>
      <x:c r="E1587" s="18" t="n">
        <x:v>27.36</x:v>
      </x:c>
      <x:c r="F1587" s="18" t="n">
        <x:v>11.08</x:v>
      </x:c>
      <x:c r="G1587" t="n">
        <x:v>60</x:v>
      </x:c>
      <x:c r="H1587" t="str">
        <x:v>C</x:v>
      </x:c>
      <x:c r="I1587" t="str">
        <x:v>10+ years</x:v>
      </x:c>
      <x:c r="J1587" t="str">
        <x:v>MORTGAGE</x:v>
      </x:c>
      <x:c r="K1587" t="str">
        <x:v>debt_consolidation</x:v>
      </x:c>
      <x:c r="L1587" t="n">
        <x:v>2</x:v>
      </x:c>
      <x:c r="M1587" t="n">
        <x:v>0</x:v>
      </x:c>
      <x:c r="N1587" t="str">
        <x:v>Fully Paid</x:v>
      </x:c>
      <x:c r="O1587" t="str">
        <x:f>IF(D1587="","Unknown",IF(D1587&lt;25000,"&lt;$25k",IF(D1587&lt;50000,"$25k-$50k",IF(D1587&lt;75000,"$50k-$75k",IF(D1587&lt;100000,"$75k-$100k","$100k+")))))</x:f>
        <x:v>$50k-$75k</x:v>
      </x:c>
      <x:c r="P1587" t="str">
        <x:f>IF(E1587="","Unknown",IF(E1587&lt;10,"&lt;10",IF(E1587&lt;20,"10-&lt;20",IF(E1587&lt;25,"20-&lt;25",IF(E1587&lt;35,"25-&lt;35","35+")))))</x:f>
        <x:v>25-&lt;35</x:v>
      </x:c>
    </x:row>
    <x:row r="1588">
      <x:c r="A1588" t="str">
        <x:v>SYN0001587</x:v>
      </x:c>
      <x:c r="B1588" s="12" t="n">
        <x:v>42565</x:v>
      </x:c>
      <x:c r="C1588" s="18" t="n">
        <x:v>11795</x:v>
      </x:c>
      <x:c r="D1588" s="18" t="n">
        <x:v>57764</x:v>
      </x:c>
      <x:c r="E1588" s="18" t="n">
        <x:v>14.97</x:v>
      </x:c>
      <x:c r="F1588" s="18" t="n">
        <x:v>17.36</x:v>
      </x:c>
      <x:c r="G1588" t="n">
        <x:v>36</x:v>
      </x:c>
      <x:c r="H1588" t="str">
        <x:v>E</x:v>
      </x:c>
      <x:c r="I1588" t="str">
        <x:v>1-3 years</x:v>
      </x:c>
      <x:c r="J1588" t="str">
        <x:v>MORTGAGE</x:v>
      </x:c>
      <x:c r="K1588" t="str">
        <x:v>credit_card</x:v>
      </x:c>
      <x:c r="L1588" t="n">
        <x:v>1</x:v>
      </x:c>
      <x:c r="M1588" t="n">
        <x:v>0</x:v>
      </x:c>
      <x:c r="N1588" t="str">
        <x:v>Fully Paid</x:v>
      </x:c>
      <x:c r="O1588" t="str">
        <x:f>IF(D1588="","Unknown",IF(D1588&lt;25000,"&lt;$25k",IF(D1588&lt;50000,"$25k-$50k",IF(D1588&lt;75000,"$50k-$75k",IF(D1588&lt;100000,"$75k-$100k","$100k+")))))</x:f>
        <x:v>$50k-$75k</x:v>
      </x:c>
      <x:c r="P1588" t="str">
        <x:f>IF(E1588="","Unknown",IF(E1588&lt;10,"&lt;10",IF(E1588&lt;20,"10-&lt;20",IF(E1588&lt;25,"20-&lt;25",IF(E1588&lt;35,"25-&lt;35","35+")))))</x:f>
        <x:v>10-&lt;20</x:v>
      </x:c>
    </x:row>
    <x:row r="1589">
      <x:c r="A1589" t="str">
        <x:v>SYN0001588</x:v>
      </x:c>
      <x:c r="B1589" s="12" t="n">
        <x:v>41605</x:v>
      </x:c>
      <x:c r="C1589" s="18" t="n">
        <x:v>5271</x:v>
      </x:c>
      <x:c r="D1589" s="18" t="n">
        <x:v>60720</x:v>
      </x:c>
      <x:c r="E1589" s="18" t="n">
        <x:v>5.22</x:v>
      </x:c>
      <x:c r="F1589" s="18" t="n">
        <x:v>15.88</x:v>
      </x:c>
      <x:c r="G1589" t="n">
        <x:v>60</x:v>
      </x:c>
      <x:c r="H1589" t="str">
        <x:v>E</x:v>
      </x:c>
      <x:c r="I1589" t="str">
        <x:v>1-3 years</x:v>
      </x:c>
      <x:c r="J1589" t="str">
        <x:v>OWN</x:v>
      </x:c>
      <x:c r="K1589" t="str">
        <x:v>credit_card</x:v>
      </x:c>
      <x:c r="L1589" t="n">
        <x:v>0</x:v>
      </x:c>
      <x:c r="M1589" t="n">
        <x:v>0</x:v>
      </x:c>
      <x:c r="N1589" t="str">
        <x:v>Fully Paid</x:v>
      </x:c>
      <x:c r="O1589" t="str">
        <x:f>IF(D1589="","Unknown",IF(D1589&lt;25000,"&lt;$25k",IF(D1589&lt;50000,"$25k-$50k",IF(D1589&lt;75000,"$50k-$75k",IF(D1589&lt;100000,"$75k-$100k","$100k+")))))</x:f>
        <x:v>$50k-$75k</x:v>
      </x:c>
      <x:c r="P1589" t="str">
        <x:f>IF(E1589="","Unknown",IF(E1589&lt;10,"&lt;10",IF(E1589&lt;20,"10-&lt;20",IF(E1589&lt;25,"20-&lt;25",IF(E1589&lt;35,"25-&lt;35","35+")))))</x:f>
        <x:v>&lt;10</x:v>
      </x:c>
    </x:row>
    <x:row r="1590">
      <x:c r="A1590" t="str">
        <x:v>SYN0001589</x:v>
      </x:c>
      <x:c r="B1590" s="12" t="n">
        <x:v>41845</x:v>
      </x:c>
      <x:c r="C1590" s="18" t="n">
        <x:v>11297</x:v>
      </x:c>
      <x:c r="D1590" s="18" t="n">
        <x:v>28504</x:v>
      </x:c>
      <x:c r="E1590" s="18" t="n">
        <x:v>20.92</x:v>
      </x:c>
      <x:c r="F1590" s="18" t="n">
        <x:v>7.09</x:v>
      </x:c>
      <x:c r="G1590" t="n">
        <x:v>60</x:v>
      </x:c>
      <x:c r="H1590" t="str">
        <x:v>A</x:v>
      </x:c>
      <x:c r="I1590" t="str">
        <x:v>10+ years</x:v>
      </x:c>
      <x:c r="J1590" t="str">
        <x:v>RENT</x:v>
      </x:c>
      <x:c r="K1590" t="str">
        <x:v>debt_consolidation</x:v>
      </x:c>
      <x:c r="L1590" t="n">
        <x:v>1</x:v>
      </x:c>
      <x:c r="M1590" t="n">
        <x:v>0</x:v>
      </x:c>
      <x:c r="N1590" t="str">
        <x:v>Fully Paid</x:v>
      </x:c>
      <x:c r="O1590" t="str">
        <x:f>IF(D1590="","Unknown",IF(D1590&lt;25000,"&lt;$25k",IF(D1590&lt;50000,"$25k-$50k",IF(D1590&lt;75000,"$50k-$75k",IF(D1590&lt;100000,"$75k-$100k","$100k+")))))</x:f>
        <x:v>$25k-$50k</x:v>
      </x:c>
      <x:c r="P1590" t="str">
        <x:f>IF(E1590="","Unknown",IF(E1590&lt;10,"&lt;10",IF(E1590&lt;20,"10-&lt;20",IF(E1590&lt;25,"20-&lt;25",IF(E1590&lt;35,"25-&lt;35","35+")))))</x:f>
        <x:v>20-&lt;25</x:v>
      </x:c>
    </x:row>
    <x:row r="1591">
      <x:c r="A1591" t="str">
        <x:v>SYN0001590</x:v>
      </x:c>
      <x:c r="B1591" s="12" t="n">
        <x:v>42625</x:v>
      </x:c>
      <x:c r="C1591" s="18" t="n">
        <x:v>12417</x:v>
      </x:c>
      <x:c r="D1591" s="18" t="n">
        <x:v>75687</x:v>
      </x:c>
      <x:c r="E1591" s="18" t="n">
        <x:v>22.2</x:v>
      </x:c>
      <x:c r="F1591" s="18" t="n">
        <x:v>10.74</x:v>
      </x:c>
      <x:c r="G1591" t="n">
        <x:v>36</x:v>
      </x:c>
      <x:c r="H1591" t="str">
        <x:v>C</x:v>
      </x:c>
      <x:c r="I1591" t="str">
        <x:v>&lt;1 year</x:v>
      </x:c>
      <x:c r="J1591" t="str">
        <x:v>RENT</x:v>
      </x:c>
      <x:c r="K1591" t="str">
        <x:v>credit_card</x:v>
      </x:c>
      <x:c r="L1591" t="n">
        <x:v>0</x:v>
      </x:c>
      <x:c r="M1591" t="n">
        <x:v>0</x:v>
      </x:c>
      <x:c r="N1591" t="str">
        <x:v>Fully Paid</x:v>
      </x:c>
      <x:c r="O1591" t="str">
        <x:f>IF(D1591="","Unknown",IF(D1591&lt;25000,"&lt;$25k",IF(D1591&lt;50000,"$25k-$50k",IF(D1591&lt;75000,"$50k-$75k",IF(D1591&lt;100000,"$75k-$100k","$100k+")))))</x:f>
        <x:v>$75k-$100k</x:v>
      </x:c>
      <x:c r="P1591" t="str">
        <x:f>IF(E1591="","Unknown",IF(E1591&lt;10,"&lt;10",IF(E1591&lt;20,"10-&lt;20",IF(E1591&lt;25,"20-&lt;25",IF(E1591&lt;35,"25-&lt;35","35+")))))</x:f>
        <x:v>20-&lt;25</x:v>
      </x:c>
    </x:row>
    <x:row r="1592">
      <x:c r="A1592" t="str">
        <x:v>SYN0001591</x:v>
      </x:c>
      <x:c r="B1592" s="12" t="n">
        <x:v>43075</x:v>
      </x:c>
      <x:c r="C1592" s="18" t="n">
        <x:v>15867</x:v>
      </x:c>
      <x:c r="D1592" s="18" t="n">
        <x:v>77630</x:v>
      </x:c>
      <x:c r="E1592" s="18" t="n">
        <x:v>33.87</x:v>
      </x:c>
      <x:c r="F1592" s="18" t="n">
        <x:v>18.86</x:v>
      </x:c>
      <x:c r="G1592" t="n">
        <x:v>60</x:v>
      </x:c>
      <x:c r="H1592" t="str">
        <x:v>E</x:v>
      </x:c>
      <x:c r="I1592" t="str">
        <x:v>1-3 years</x:v>
      </x:c>
      <x:c r="J1592" t="str">
        <x:v>RENT</x:v>
      </x:c>
      <x:c r="K1592" t="str">
        <x:v>other</x:v>
      </x:c>
      <x:c r="L1592" t="n">
        <x:v>0</x:v>
      </x:c>
      <x:c r="M1592" t="n">
        <x:v>0</x:v>
      </x:c>
      <x:c r="N1592" t="str">
        <x:v>Fully Paid</x:v>
      </x:c>
      <x:c r="O1592" t="str">
        <x:f>IF(D1592="","Unknown",IF(D1592&lt;25000,"&lt;$25k",IF(D1592&lt;50000,"$25k-$50k",IF(D1592&lt;75000,"$50k-$75k",IF(D1592&lt;100000,"$75k-$100k","$100k+")))))</x:f>
        <x:v>$75k-$100k</x:v>
      </x:c>
      <x:c r="P1592" t="str">
        <x:f>IF(E1592="","Unknown",IF(E1592&lt;10,"&lt;10",IF(E1592&lt;20,"10-&lt;20",IF(E1592&lt;25,"20-&lt;25",IF(E1592&lt;35,"25-&lt;35","35+")))))</x:f>
        <x:v>25-&lt;35</x:v>
      </x:c>
    </x:row>
    <x:row r="1593">
      <x:c r="A1593" t="str">
        <x:v>SYN0001592</x:v>
      </x:c>
      <x:c r="B1593" s="12" t="n">
        <x:v>41875</x:v>
      </x:c>
      <x:c r="C1593" s="18" t="n">
        <x:v>28811</x:v>
      </x:c>
      <x:c r="D1593" s="18" t="n">
        <x:v>22445</x:v>
      </x:c>
      <x:c r="E1593" s="18" t="n">
        <x:v>35.89</x:v>
      </x:c>
      <x:c r="F1593" s="18" t="n">
        <x:v>12.86</x:v>
      </x:c>
      <x:c r="G1593" t="n">
        <x:v>36</x:v>
      </x:c>
      <x:c r="H1593" t="str">
        <x:v>C</x:v>
      </x:c>
      <x:c r="I1593" t="str">
        <x:v>4-6 years</x:v>
      </x:c>
      <x:c r="J1593" t="str">
        <x:v>OTHER</x:v>
      </x:c>
      <x:c r="K1593" t="str">
        <x:v>debt_consolidation</x:v>
      </x:c>
      <x:c r="L1593" t="n">
        <x:v>0</x:v>
      </x:c>
      <x:c r="M1593" t="n">
        <x:v>0</x:v>
      </x:c>
      <x:c r="N1593" t="str">
        <x:v>Fully Paid</x:v>
      </x:c>
      <x:c r="O1593" t="str">
        <x:f>IF(D1593="","Unknown",IF(D1593&lt;25000,"&lt;$25k",IF(D1593&lt;50000,"$25k-$50k",IF(D1593&lt;75000,"$50k-$75k",IF(D1593&lt;100000,"$75k-$100k","$100k+")))))</x:f>
        <x:v>&lt;$25k</x:v>
      </x:c>
      <x:c r="P1593" t="str">
        <x:f>IF(E1593="","Unknown",IF(E1593&lt;10,"&lt;10",IF(E1593&lt;20,"10-&lt;20",IF(E1593&lt;25,"20-&lt;25",IF(E1593&lt;35,"25-&lt;35","35+")))))</x:f>
        <x:v>35+</x:v>
      </x:c>
    </x:row>
    <x:row r="1594">
      <x:c r="A1594" t="str">
        <x:v>SYN0001593</x:v>
      </x:c>
      <x:c r="B1594" s="12" t="n">
        <x:v>41965</x:v>
      </x:c>
      <x:c r="C1594" s="18" t="n">
        <x:v>18071</x:v>
      </x:c>
      <x:c r="D1594" s="18" t="n">
        <x:v>29655</x:v>
      </x:c>
      <x:c r="E1594" s="18" t="n">
        <x:v>28.2</x:v>
      </x:c>
      <x:c r="F1594" s="18" t="n">
        <x:v>11.26</x:v>
      </x:c>
      <x:c r="G1594" t="n">
        <x:v>36</x:v>
      </x:c>
      <x:c r="H1594" t="str">
        <x:v>C</x:v>
      </x:c>
      <x:c r="I1594" t="str">
        <x:v>10+ years</x:v>
      </x:c>
      <x:c r="J1594" t="str">
        <x:v>MORTGAGE</x:v>
      </x:c>
      <x:c r="K1594" t="str">
        <x:v>debt_consolidation</x:v>
      </x:c>
      <x:c r="L1594" t="n">
        <x:v>1</x:v>
      </x:c>
      <x:c r="M1594" t="n">
        <x:v>1</x:v>
      </x:c>
      <x:c r="N1594" t="str">
        <x:v>Charged Off</x:v>
      </x:c>
      <x:c r="O1594" t="str">
        <x:f>IF(D1594="","Unknown",IF(D1594&lt;25000,"&lt;$25k",IF(D1594&lt;50000,"$25k-$50k",IF(D1594&lt;75000,"$50k-$75k",IF(D1594&lt;100000,"$75k-$100k","$100k+")))))</x:f>
        <x:v>$25k-$50k</x:v>
      </x:c>
      <x:c r="P1594" t="str">
        <x:f>IF(E1594="","Unknown",IF(E1594&lt;10,"&lt;10",IF(E1594&lt;20,"10-&lt;20",IF(E1594&lt;25,"20-&lt;25",IF(E1594&lt;35,"25-&lt;35","35+")))))</x:f>
        <x:v>25-&lt;35</x:v>
      </x:c>
    </x:row>
    <x:row r="1595">
      <x:c r="A1595" t="str">
        <x:v>SYN0001594</x:v>
      </x:c>
      <x:c r="B1595" s="12" t="n">
        <x:v>41455</x:v>
      </x:c>
      <x:c r="C1595" s="18" t="n">
        <x:v>9251</x:v>
      </x:c>
      <x:c r="D1595" s="18" t="n">
        <x:v>13360</x:v>
      </x:c>
      <x:c r="E1595" s="18" t="n">
        <x:v>31.77</x:v>
      </x:c>
      <x:c r="F1595" s="18" t="n">
        <x:v>25.34</x:v>
      </x:c>
      <x:c r="G1595" t="n">
        <x:v>36</x:v>
      </x:c>
      <x:c r="H1595" t="str">
        <x:v>G</x:v>
      </x:c>
      <x:c r="I1595" t="str">
        <x:v>4-6 years</x:v>
      </x:c>
      <x:c r="J1595" t="str">
        <x:v>MORTGAGE</x:v>
      </x:c>
      <x:c r="K1595" t="str">
        <x:v>credit_card</x:v>
      </x:c>
      <x:c r="L1595" t="n">
        <x:v>1</x:v>
      </x:c>
      <x:c r="M1595" t="n">
        <x:v>1</x:v>
      </x:c>
      <x:c r="N1595" t="str">
        <x:v>Charged Off</x:v>
      </x:c>
      <x:c r="O1595" t="str">
        <x:f>IF(D1595="","Unknown",IF(D1595&lt;25000,"&lt;$25k",IF(D1595&lt;50000,"$25k-$50k",IF(D1595&lt;75000,"$50k-$75k",IF(D1595&lt;100000,"$75k-$100k","$100k+")))))</x:f>
        <x:v>&lt;$25k</x:v>
      </x:c>
      <x:c r="P1595" t="str">
        <x:f>IF(E1595="","Unknown",IF(E1595&lt;10,"&lt;10",IF(E1595&lt;20,"10-&lt;20",IF(E1595&lt;25,"20-&lt;25",IF(E1595&lt;35,"25-&lt;35","35+")))))</x:f>
        <x:v>25-&lt;35</x:v>
      </x:c>
    </x:row>
    <x:row r="1596">
      <x:c r="A1596" t="str">
        <x:v>SYN0001595</x:v>
      </x:c>
      <x:c r="B1596" s="12" t="n">
        <x:v>43045</x:v>
      </x:c>
      <x:c r="C1596" s="18" t="n">
        <x:v>11300</x:v>
      </x:c>
      <x:c r="D1596" s="18" t="n">
        <x:v>111905</x:v>
      </x:c>
      <x:c r="E1596" s="18" t="n">
        <x:v>15.24</x:v>
      </x:c>
      <x:c r="F1596" s="18" t="n">
        <x:v>6.28</x:v>
      </x:c>
      <x:c r="G1596" t="n">
        <x:v>60</x:v>
      </x:c>
      <x:c r="H1596" t="str">
        <x:v>B</x:v>
      </x:c>
      <x:c r="I1596" t="str">
        <x:v>1-3 years</x:v>
      </x:c>
      <x:c r="J1596" t="str">
        <x:v>MORTGAGE</x:v>
      </x:c>
      <x:c r="K1596" t="str">
        <x:v>debt_consolidation</x:v>
      </x:c>
      <x:c r="L1596" t="n">
        <x:v>2</x:v>
      </x:c>
      <x:c r="M1596" t="n">
        <x:v>0</x:v>
      </x:c>
      <x:c r="N1596" t="str">
        <x:v>Fully Paid</x:v>
      </x:c>
      <x:c r="O1596" t="str">
        <x:f>IF(D1596="","Unknown",IF(D1596&lt;25000,"&lt;$25k",IF(D1596&lt;50000,"$25k-$50k",IF(D1596&lt;75000,"$50k-$75k",IF(D1596&lt;100000,"$75k-$100k","$100k+")))))</x:f>
        <x:v>$100k+</x:v>
      </x:c>
      <x:c r="P1596" t="str">
        <x:f>IF(E1596="","Unknown",IF(E1596&lt;10,"&lt;10",IF(E1596&lt;20,"10-&lt;20",IF(E1596&lt;25,"20-&lt;25",IF(E1596&lt;35,"25-&lt;35","35+")))))</x:f>
        <x:v>10-&lt;20</x:v>
      </x:c>
    </x:row>
    <x:row r="1597">
      <x:c r="A1597" t="str">
        <x:v>SYN0001596</x:v>
      </x:c>
      <x:c r="B1597" s="12" t="n">
        <x:v>42805</x:v>
      </x:c>
      <x:c r="C1597" s="18" t="n">
        <x:v>10932</x:v>
      </x:c>
      <x:c r="D1597" s="18" t="n">
        <x:v>19641</x:v>
      </x:c>
      <x:c r="E1597" s="18" t="n">
        <x:v>19.16</x:v>
      </x:c>
      <x:c r="F1597" s="18" t="n">
        <x:v>15.14</x:v>
      </x:c>
      <x:c r="G1597" t="n">
        <x:v>36</x:v>
      </x:c>
      <x:c r="H1597" t="str">
        <x:v>C</x:v>
      </x:c>
      <x:c r="I1597" t="str">
        <x:v>10+ years</x:v>
      </x:c>
      <x:c r="J1597" t="str">
        <x:v>OWN</x:v>
      </x:c>
      <x:c r="K1597" t="str">
        <x:v>debt_consolidation</x:v>
      </x:c>
      <x:c r="L1597" t="n">
        <x:v>0</x:v>
      </x:c>
      <x:c r="M1597" t="n">
        <x:v>0</x:v>
      </x:c>
      <x:c r="N1597" t="str">
        <x:v>Fully Paid</x:v>
      </x:c>
      <x:c r="O1597" t="str">
        <x:f>IF(D1597="","Unknown",IF(D1597&lt;25000,"&lt;$25k",IF(D1597&lt;50000,"$25k-$50k",IF(D1597&lt;75000,"$50k-$75k",IF(D1597&lt;100000,"$75k-$100k","$100k+")))))</x:f>
        <x:v>&lt;$25k</x:v>
      </x:c>
      <x:c r="P1597" t="str">
        <x:f>IF(E1597="","Unknown",IF(E1597&lt;10,"&lt;10",IF(E1597&lt;20,"10-&lt;20",IF(E1597&lt;25,"20-&lt;25",IF(E1597&lt;35,"25-&lt;35","35+")))))</x:f>
        <x:v>10-&lt;20</x:v>
      </x:c>
    </x:row>
    <x:row r="1598">
      <x:c r="A1598" t="str">
        <x:v>SYN0001597</x:v>
      </x:c>
      <x:c r="B1598" s="12" t="n">
        <x:v>42985</x:v>
      </x:c>
      <x:c r="C1598" s="18" t="n">
        <x:v>21896</x:v>
      </x:c>
      <x:c r="D1598" s="18" t="n">
        <x:v>43582</x:v>
      </x:c>
      <x:c r="E1598" s="18" t="n">
        <x:v>32.69</x:v>
      </x:c>
      <x:c r="F1598" s="18" t="n">
        <x:v>15.77</x:v>
      </x:c>
      <x:c r="G1598" t="n">
        <x:v>60</x:v>
      </x:c>
      <x:c r="H1598" t="str">
        <x:v>D</x:v>
      </x:c>
      <x:c r="I1598" t="str">
        <x:v>10+ years</x:v>
      </x:c>
      <x:c r="J1598" t="str">
        <x:v>OWN</x:v>
      </x:c>
      <x:c r="K1598" t="str">
        <x:v>credit_card</x:v>
      </x:c>
      <x:c r="L1598" t="n">
        <x:v>1</x:v>
      </x:c>
      <x:c r="M1598" t="n">
        <x:v>1</x:v>
      </x:c>
      <x:c r="N1598" t="str">
        <x:v>Charged Off</x:v>
      </x:c>
      <x:c r="O1598" t="str">
        <x:f>IF(D1598="","Unknown",IF(D1598&lt;25000,"&lt;$25k",IF(D1598&lt;50000,"$25k-$50k",IF(D1598&lt;75000,"$50k-$75k",IF(D1598&lt;100000,"$75k-$100k","$100k+")))))</x:f>
        <x:v>$25k-$50k</x:v>
      </x:c>
      <x:c r="P1598" t="str">
        <x:f>IF(E1598="","Unknown",IF(E1598&lt;10,"&lt;10",IF(E1598&lt;20,"10-&lt;20",IF(E1598&lt;25,"20-&lt;25",IF(E1598&lt;35,"25-&lt;35","35+")))))</x:f>
        <x:v>25-&lt;35</x:v>
      </x:c>
    </x:row>
    <x:row r="1599">
      <x:c r="A1599" t="str">
        <x:v>SYN0001598</x:v>
      </x:c>
      <x:c r="B1599" s="12" t="n">
        <x:v>41905</x:v>
      </x:c>
      <x:c r="C1599" s="18" t="n">
        <x:v>15260</x:v>
      </x:c>
      <x:c r="D1599" s="18" t="n">
        <x:v>111922</x:v>
      </x:c>
      <x:c r="E1599" s="18" t="n">
        <x:v>18.89</x:v>
      </x:c>
      <x:c r="F1599" s="18" t="n">
        <x:v>11.44</x:v>
      </x:c>
      <x:c r="G1599" t="n">
        <x:v>36</x:v>
      </x:c>
      <x:c r="H1599" t="str">
        <x:v>C</x:v>
      </x:c>
      <x:c r="I1599" t="str">
        <x:v>1-3 years</x:v>
      </x:c>
      <x:c r="J1599" t="str">
        <x:v>MORTGAGE</x:v>
      </x:c>
      <x:c r="K1599" t="str">
        <x:v>credit_card</x:v>
      </x:c>
      <x:c r="L1599" t="n">
        <x:v>0</x:v>
      </x:c>
      <x:c r="M1599" t="n">
        <x:v>0</x:v>
      </x:c>
      <x:c r="N1599" t="str">
        <x:v>Fully Paid</x:v>
      </x:c>
      <x:c r="O1599" t="str">
        <x:f>IF(D1599="","Unknown",IF(D1599&lt;25000,"&lt;$25k",IF(D1599&lt;50000,"$25k-$50k",IF(D1599&lt;75000,"$50k-$75k",IF(D1599&lt;100000,"$75k-$100k","$100k+")))))</x:f>
        <x:v>$100k+</x:v>
      </x:c>
      <x:c r="P1599" t="str">
        <x:f>IF(E1599="","Unknown",IF(E1599&lt;10,"&lt;10",IF(E1599&lt;20,"10-&lt;20",IF(E1599&lt;25,"20-&lt;25",IF(E1599&lt;35,"25-&lt;35","35+")))))</x:f>
        <x:v>10-&lt;20</x:v>
      </x:c>
    </x:row>
    <x:row r="1600">
      <x:c r="A1600" t="str">
        <x:v>SYN0001599</x:v>
      </x:c>
      <x:c r="B1600" s="12" t="n">
        <x:v>42355</x:v>
      </x:c>
      <x:c r="C1600" s="18" t="n">
        <x:v>6913</x:v>
      </x:c>
      <x:c r="D1600" s="18" t="n">
        <x:v>139441</x:v>
      </x:c>
      <x:c r="E1600" s="18" t="n">
        <x:v>12.88</x:v>
      </x:c>
      <x:c r="F1600" s="18" t="n">
        <x:v>14.16</x:v>
      </x:c>
      <x:c r="G1600" t="n">
        <x:v>36</x:v>
      </x:c>
      <x:c r="H1600" t="str">
        <x:v>D</x:v>
      </x:c>
      <x:c r="I1600" t="str">
        <x:v>10+ years</x:v>
      </x:c>
      <x:c r="J1600" t="str">
        <x:v>MORTGAGE</x:v>
      </x:c>
      <x:c r="K1600" t="str">
        <x:v>debt_consolidation</x:v>
      </x:c>
      <x:c r="L1600" t="n">
        <x:v>1</x:v>
      </x:c>
      <x:c r="M1600" t="n">
        <x:v>0</x:v>
      </x:c>
      <x:c r="N1600" t="str">
        <x:v>Fully Paid</x:v>
      </x:c>
      <x:c r="O1600" t="str">
        <x:f>IF(D1600="","Unknown",IF(D1600&lt;25000,"&lt;$25k",IF(D1600&lt;50000,"$25k-$50k",IF(D1600&lt;75000,"$50k-$75k",IF(D1600&lt;100000,"$75k-$100k","$100k+")))))</x:f>
        <x:v>$100k+</x:v>
      </x:c>
      <x:c r="P1600" t="str">
        <x:f>IF(E1600="","Unknown",IF(E1600&lt;10,"&lt;10",IF(E1600&lt;20,"10-&lt;20",IF(E1600&lt;25,"20-&lt;25",IF(E1600&lt;35,"25-&lt;35","35+")))))</x:f>
        <x:v>10-&lt;20</x:v>
      </x:c>
    </x:row>
    <x:row r="1601">
      <x:c r="A1601" t="str">
        <x:v>SYN0001600</x:v>
      </x:c>
      <x:c r="B1601" s="12" t="n">
        <x:v>41875</x:v>
      </x:c>
      <x:c r="C1601" s="18" t="n">
        <x:v>5173</x:v>
      </x:c>
      <x:c r="D1601" s="18" t="n">
        <x:v>13730</x:v>
      </x:c>
      <x:c r="E1601" s="18" t="n">
        <x:v>33.78</x:v>
      </x:c>
      <x:c r="F1601" s="18" t="n">
        <x:v>10.08</x:v>
      </x:c>
      <x:c r="G1601" t="n">
        <x:v>36</x:v>
      </x:c>
      <x:c r="H1601" t="str">
        <x:v>C</x:v>
      </x:c>
      <x:c r="I1601" t="str">
        <x:v>1-3 years</x:v>
      </x:c>
      <x:c r="J1601" t="str">
        <x:v>MORTGAGE</x:v>
      </x:c>
      <x:c r="K1601" t="str">
        <x:v>debt_consolidation</x:v>
      </x:c>
      <x:c r="L1601" t="n">
        <x:v>0</x:v>
      </x:c>
      <x:c r="M1601" t="n">
        <x:v>0</x:v>
      </x:c>
      <x:c r="N1601" t="str">
        <x:v>Fully Paid</x:v>
      </x:c>
      <x:c r="O1601" t="str">
        <x:f>IF(D1601="","Unknown",IF(D1601&lt;25000,"&lt;$25k",IF(D1601&lt;50000,"$25k-$50k",IF(D1601&lt;75000,"$50k-$75k",IF(D1601&lt;100000,"$75k-$100k","$100k+")))))</x:f>
        <x:v>&lt;$25k</x:v>
      </x:c>
      <x:c r="P1601" t="str">
        <x:f>IF(E1601="","Unknown",IF(E1601&lt;10,"&lt;10",IF(E1601&lt;20,"10-&lt;20",IF(E1601&lt;25,"20-&lt;25",IF(E1601&lt;35,"25-&lt;35","35+")))))</x:f>
        <x:v>25-&lt;35</x:v>
      </x:c>
    </x:row>
    <x:row r="1602">
      <x:c r="A1602" t="str">
        <x:v>SYN0001601</x:v>
      </x:c>
      <x:c r="B1602" s="12" t="n">
        <x:v>42895</x:v>
      </x:c>
      <x:c r="C1602" s="18" t="n">
        <x:v>6762</x:v>
      </x:c>
      <x:c r="D1602" s="18" t="n">
        <x:v>56989</x:v>
      </x:c>
      <x:c r="E1602" s="18" t="n">
        <x:v>17.48</x:v>
      </x:c>
      <x:c r="F1602" s="18" t="n">
        <x:v>11.5</x:v>
      </x:c>
      <x:c r="G1602" t="n">
        <x:v>36</x:v>
      </x:c>
      <x:c r="H1602" t="str">
        <x:v>C</x:v>
      </x:c>
      <x:c r="I1602" t="str">
        <x:v>1-3 years</x:v>
      </x:c>
      <x:c r="J1602" t="str">
        <x:v>OWN</x:v>
      </x:c>
      <x:c r="K1602" t="str">
        <x:v>credit_card</x:v>
      </x:c>
      <x:c r="L1602" t="n">
        <x:v>1</x:v>
      </x:c>
      <x:c r="M1602" t="n">
        <x:v>0</x:v>
      </x:c>
      <x:c r="N1602" t="str">
        <x:v>Fully Paid</x:v>
      </x:c>
      <x:c r="O1602" t="str">
        <x:f>IF(D1602="","Unknown",IF(D1602&lt;25000,"&lt;$25k",IF(D1602&lt;50000,"$25k-$50k",IF(D1602&lt;75000,"$50k-$75k",IF(D1602&lt;100000,"$75k-$100k","$100k+")))))</x:f>
        <x:v>$50k-$75k</x:v>
      </x:c>
      <x:c r="P1602" t="str">
        <x:f>IF(E1602="","Unknown",IF(E1602&lt;10,"&lt;10",IF(E1602&lt;20,"10-&lt;20",IF(E1602&lt;25,"20-&lt;25",IF(E1602&lt;35,"25-&lt;35","35+")))))</x:f>
        <x:v>10-&lt;20</x:v>
      </x:c>
    </x:row>
    <x:row r="1603">
      <x:c r="A1603" t="str">
        <x:v>SYN0001602</x:v>
      </x:c>
      <x:c r="B1603" s="12" t="n">
        <x:v>42685</x:v>
      </x:c>
      <x:c r="C1603" s="18" t="n">
        <x:v>7275</x:v>
      </x:c>
      <x:c r="D1603" s="18" t="n">
        <x:v>38304</x:v>
      </x:c>
      <x:c r="E1603" s="18" t="n">
        <x:v>20.38</x:v>
      </x:c>
      <x:c r="F1603" s="18" t="n">
        <x:v>7.4</x:v>
      </x:c>
      <x:c r="G1603" t="n">
        <x:v>60</x:v>
      </x:c>
      <x:c r="H1603" t="str">
        <x:v>B</x:v>
      </x:c>
      <x:c r="I1603" t="str">
        <x:v>10+ years</x:v>
      </x:c>
      <x:c r="J1603" t="str">
        <x:v>RENT</x:v>
      </x:c>
      <x:c r="K1603" t="str">
        <x:v>debt_consolidation</x:v>
      </x:c>
      <x:c r="L1603" t="n">
        <x:v>1</x:v>
      </x:c>
      <x:c r="M1603" t="n">
        <x:v>0</x:v>
      </x:c>
      <x:c r="N1603" t="str">
        <x:v>Fully Paid</x:v>
      </x:c>
      <x:c r="O1603" t="str">
        <x:f>IF(D1603="","Unknown",IF(D1603&lt;25000,"&lt;$25k",IF(D1603&lt;50000,"$25k-$50k",IF(D1603&lt;75000,"$50k-$75k",IF(D1603&lt;100000,"$75k-$100k","$100k+")))))</x:f>
        <x:v>$25k-$50k</x:v>
      </x:c>
      <x:c r="P1603" t="str">
        <x:f>IF(E1603="","Unknown",IF(E1603&lt;10,"&lt;10",IF(E1603&lt;20,"10-&lt;20",IF(E1603&lt;25,"20-&lt;25",IF(E1603&lt;35,"25-&lt;35","35+")))))</x:f>
        <x:v>20-&lt;25</x:v>
      </x:c>
    </x:row>
    <x:row r="1604">
      <x:c r="A1604" t="str">
        <x:v>SYN0001603</x:v>
      </x:c>
      <x:c r="B1604" s="12" t="n">
        <x:v>42835</x:v>
      </x:c>
      <x:c r="C1604" s="18" t="n">
        <x:v>13028</x:v>
      </x:c>
      <x:c r="D1604" s="18" t="n">
        <x:v>12273</x:v>
      </x:c>
      <x:c r="E1604" s="18" t="n">
        <x:v>35.85</x:v>
      </x:c>
      <x:c r="F1604" s="18" t="n">
        <x:v>14.02</x:v>
      </x:c>
      <x:c r="G1604" t="n">
        <x:v>36</x:v>
      </x:c>
      <x:c r="H1604" t="str">
        <x:v>D</x:v>
      </x:c>
      <x:c r="I1604" t="str">
        <x:v>4-6 years</x:v>
      </x:c>
      <x:c r="J1604" t="str">
        <x:v>RENT</x:v>
      </x:c>
      <x:c r="K1604" t="str">
        <x:v>debt_consolidation</x:v>
      </x:c>
      <x:c r="L1604" t="n">
        <x:v>1</x:v>
      </x:c>
      <x:c r="M1604" t="n">
        <x:v>0</x:v>
      </x:c>
      <x:c r="N1604" t="str">
        <x:v>Fully Paid</x:v>
      </x:c>
      <x:c r="O1604" t="str">
        <x:f>IF(D1604="","Unknown",IF(D1604&lt;25000,"&lt;$25k",IF(D1604&lt;50000,"$25k-$50k",IF(D1604&lt;75000,"$50k-$75k",IF(D1604&lt;100000,"$75k-$100k","$100k+")))))</x:f>
        <x:v>&lt;$25k</x:v>
      </x:c>
      <x:c r="P1604" t="str">
        <x:f>IF(E1604="","Unknown",IF(E1604&lt;10,"&lt;10",IF(E1604&lt;20,"10-&lt;20",IF(E1604&lt;25,"20-&lt;25",IF(E1604&lt;35,"25-&lt;35","35+")))))</x:f>
        <x:v>35+</x:v>
      </x:c>
    </x:row>
    <x:row r="1605">
      <x:c r="A1605" t="str">
        <x:v>SYN0001604</x:v>
      </x:c>
      <x:c r="B1605" s="12" t="n">
        <x:v>42025</x:v>
      </x:c>
      <x:c r="C1605" s="18" t="n">
        <x:v>20997</x:v>
      </x:c>
      <x:c r="D1605" s="18" t="n">
        <x:v>26983</x:v>
      </x:c>
      <x:c r="E1605" s="18" t="n">
        <x:v>28.49</x:v>
      </x:c>
      <x:c r="F1605" s="18" t="n">
        <x:v>8.43</x:v>
      </x:c>
      <x:c r="G1605" t="n">
        <x:v>60</x:v>
      </x:c>
      <x:c r="H1605" t="str">
        <x:v>B</x:v>
      </x:c>
      <x:c r="I1605" t="str">
        <x:v>7-9 years</x:v>
      </x:c>
      <x:c r="J1605" t="str">
        <x:v>MORTGAGE</x:v>
      </x:c>
      <x:c r="K1605" t="str">
        <x:v>major_purchase</x:v>
      </x:c>
      <x:c r="L1605" t="n">
        <x:v>0</x:v>
      </x:c>
      <x:c r="M1605" t="n">
        <x:v>0</x:v>
      </x:c>
      <x:c r="N1605" t="str">
        <x:v>Fully Paid</x:v>
      </x:c>
      <x:c r="O1605" t="str">
        <x:f>IF(D1605="","Unknown",IF(D1605&lt;25000,"&lt;$25k",IF(D1605&lt;50000,"$25k-$50k",IF(D1605&lt;75000,"$50k-$75k",IF(D1605&lt;100000,"$75k-$100k","$100k+")))))</x:f>
        <x:v>$25k-$50k</x:v>
      </x:c>
      <x:c r="P1605" t="str">
        <x:f>IF(E1605="","Unknown",IF(E1605&lt;10,"&lt;10",IF(E1605&lt;20,"10-&lt;20",IF(E1605&lt;25,"20-&lt;25",IF(E1605&lt;35,"25-&lt;35","35+")))))</x:f>
        <x:v>25-&lt;35</x:v>
      </x:c>
    </x:row>
    <x:row r="1606">
      <x:c r="A1606" t="str">
        <x:v>SYN0001605</x:v>
      </x:c>
      <x:c r="B1606" s="12" t="n">
        <x:v>42025</x:v>
      </x:c>
      <x:c r="C1606" s="18" t="n">
        <x:v>5588</x:v>
      </x:c>
      <x:c r="D1606" s="18" t="n">
        <x:v>60627</x:v>
      </x:c>
      <x:c r="E1606" s="18" t="n">
        <x:v>30.36</x:v>
      </x:c>
      <x:c r="F1606" s="18" t="n">
        <x:v>5.47</x:v>
      </x:c>
      <x:c r="G1606" t="n">
        <x:v>36</x:v>
      </x:c>
      <x:c r="H1606" t="str">
        <x:v>B</x:v>
      </x:c>
      <x:c r="I1606" t="str">
        <x:v>7-9 years</x:v>
      </x:c>
      <x:c r="J1606" t="str">
        <x:v>OTHER</x:v>
      </x:c>
      <x:c r="K1606" t="str">
        <x:v>debt_consolidation</x:v>
      </x:c>
      <x:c r="L1606" t="n">
        <x:v>1</x:v>
      </x:c>
      <x:c r="M1606" t="n">
        <x:v>0</x:v>
      </x:c>
      <x:c r="N1606" t="str">
        <x:v>Fully Paid</x:v>
      </x:c>
      <x:c r="O1606" t="str">
        <x:f>IF(D1606="","Unknown",IF(D1606&lt;25000,"&lt;$25k",IF(D1606&lt;50000,"$25k-$50k",IF(D1606&lt;75000,"$50k-$75k",IF(D1606&lt;100000,"$75k-$100k","$100k+")))))</x:f>
        <x:v>$50k-$75k</x:v>
      </x:c>
      <x:c r="P1606" t="str">
        <x:f>IF(E1606="","Unknown",IF(E1606&lt;10,"&lt;10",IF(E1606&lt;20,"10-&lt;20",IF(E1606&lt;25,"20-&lt;25",IF(E1606&lt;35,"25-&lt;35","35+")))))</x:f>
        <x:v>25-&lt;35</x:v>
      </x:c>
    </x:row>
    <x:row r="1607">
      <x:c r="A1607" t="str">
        <x:v>SYN0001606</x:v>
      </x:c>
      <x:c r="B1607" s="12" t="n">
        <x:v>42505</x:v>
      </x:c>
      <x:c r="C1607" s="18" t="n">
        <x:v>8427</x:v>
      </x:c>
      <x:c r="D1607" s="18" t="n">
        <x:v>44852</x:v>
      </x:c>
      <x:c r="E1607" s="18" t="n">
        <x:v>30.15</x:v>
      </x:c>
      <x:c r="F1607" s="18" t="n">
        <x:v>13.49</x:v>
      </x:c>
      <x:c r="G1607" t="n">
        <x:v>60</x:v>
      </x:c>
      <x:c r="H1607" t="str">
        <x:v>D</x:v>
      </x:c>
      <x:c r="I1607" t="str">
        <x:v>&lt;1 year</x:v>
      </x:c>
      <x:c r="J1607" t="str">
        <x:v>MORTGAGE</x:v>
      </x:c>
      <x:c r="K1607" t="str">
        <x:v>home_improvement</x:v>
      </x:c>
      <x:c r="L1607" t="n">
        <x:v>0</x:v>
      </x:c>
      <x:c r="M1607" t="n">
        <x:v>0</x:v>
      </x:c>
      <x:c r="N1607" t="str">
        <x:v>Fully Paid</x:v>
      </x:c>
      <x:c r="O1607" t="str">
        <x:f>IF(D1607="","Unknown",IF(D1607&lt;25000,"&lt;$25k",IF(D1607&lt;50000,"$25k-$50k",IF(D1607&lt;75000,"$50k-$75k",IF(D1607&lt;100000,"$75k-$100k","$100k+")))))</x:f>
        <x:v>$25k-$50k</x:v>
      </x:c>
      <x:c r="P1607" t="str">
        <x:f>IF(E1607="","Unknown",IF(E1607&lt;10,"&lt;10",IF(E1607&lt;20,"10-&lt;20",IF(E1607&lt;25,"20-&lt;25",IF(E1607&lt;35,"25-&lt;35","35+")))))</x:f>
        <x:v>25-&lt;35</x:v>
      </x:c>
    </x:row>
    <x:row r="1608">
      <x:c r="A1608" t="str">
        <x:v>SYN0001607</x:v>
      </x:c>
      <x:c r="B1608" s="12" t="n">
        <x:v>43225</x:v>
      </x:c>
      <x:c r="C1608" s="18" t="n">
        <x:v>7988</x:v>
      </x:c>
      <x:c r="D1608" s="18" t="n">
        <x:v>30860</x:v>
      </x:c>
      <x:c r="E1608" s="18" t="n">
        <x:v>17.85</x:v>
      </x:c>
      <x:c r="F1608" s="18" t="n">
        <x:v>10.47</x:v>
      </x:c>
      <x:c r="G1608" t="n">
        <x:v>36</x:v>
      </x:c>
      <x:c r="H1608" t="str">
        <x:v>C</x:v>
      </x:c>
      <x:c r="I1608" t="str">
        <x:v>1-3 years</x:v>
      </x:c>
      <x:c r="J1608" t="str">
        <x:v>MORTGAGE</x:v>
      </x:c>
      <x:c r="K1608" t="str">
        <x:v>debt_consolidation</x:v>
      </x:c>
      <x:c r="L1608" t="n">
        <x:v>0</x:v>
      </x:c>
      <x:c r="M1608" t="n">
        <x:v>0</x:v>
      </x:c>
      <x:c r="N1608" t="str">
        <x:v>Fully Paid</x:v>
      </x:c>
      <x:c r="O1608" t="str">
        <x:f>IF(D1608="","Unknown",IF(D1608&lt;25000,"&lt;$25k",IF(D1608&lt;50000,"$25k-$50k",IF(D1608&lt;75000,"$50k-$75k",IF(D1608&lt;100000,"$75k-$100k","$100k+")))))</x:f>
        <x:v>$25k-$50k</x:v>
      </x:c>
      <x:c r="P1608" t="str">
        <x:f>IF(E1608="","Unknown",IF(E1608&lt;10,"&lt;10",IF(E1608&lt;20,"10-&lt;20",IF(E1608&lt;25,"20-&lt;25",IF(E1608&lt;35,"25-&lt;35","35+")))))</x:f>
        <x:v>10-&lt;20</x:v>
      </x:c>
    </x:row>
    <x:row r="1609">
      <x:c r="A1609" t="str">
        <x:v>SYN0001608</x:v>
      </x:c>
      <x:c r="B1609" s="12" t="n">
        <x:v>42865</x:v>
      </x:c>
      <x:c r="C1609" s="18" t="n">
        <x:v>29099</x:v>
      </x:c>
      <x:c r="D1609" s="18" t="n">
        <x:v>22155</x:v>
      </x:c>
      <x:c r="E1609" s="18" t="n">
        <x:v>16.75</x:v>
      </x:c>
      <x:c r="F1609" s="18" t="n">
        <x:v>13.05</x:v>
      </x:c>
      <x:c r="G1609" t="n">
        <x:v>36</x:v>
      </x:c>
      <x:c r="H1609" t="str">
        <x:v>D</x:v>
      </x:c>
      <x:c r="I1609" t="str">
        <x:v>4-6 years</x:v>
      </x:c>
      <x:c r="J1609" t="str">
        <x:v>MORTGAGE</x:v>
      </x:c>
      <x:c r="K1609" t="str">
        <x:v>home_improvement</x:v>
      </x:c>
      <x:c r="L1609" t="n">
        <x:v>0</x:v>
      </x:c>
      <x:c r="M1609" t="n">
        <x:v>0</x:v>
      </x:c>
      <x:c r="N1609" t="str">
        <x:v>Fully Paid</x:v>
      </x:c>
      <x:c r="O1609" t="str">
        <x:f>IF(D1609="","Unknown",IF(D1609&lt;25000,"&lt;$25k",IF(D1609&lt;50000,"$25k-$50k",IF(D1609&lt;75000,"$50k-$75k",IF(D1609&lt;100000,"$75k-$100k","$100k+")))))</x:f>
        <x:v>&lt;$25k</x:v>
      </x:c>
      <x:c r="P1609" t="str">
        <x:f>IF(E1609="","Unknown",IF(E1609&lt;10,"&lt;10",IF(E1609&lt;20,"10-&lt;20",IF(E1609&lt;25,"20-&lt;25",IF(E1609&lt;35,"25-&lt;35","35+")))))</x:f>
        <x:v>10-&lt;20</x:v>
      </x:c>
    </x:row>
    <x:row r="1610">
      <x:c r="A1610" t="str">
        <x:v>SYN0001609</x:v>
      </x:c>
      <x:c r="B1610" s="12" t="n">
        <x:v>41305</x:v>
      </x:c>
      <x:c r="C1610" s="18" t="n">
        <x:v>11597</x:v>
      </x:c>
      <x:c r="D1610" s="18" t="n">
        <x:v>30200</x:v>
      </x:c>
      <x:c r="E1610" s="18" t="n">
        <x:v>7.77</x:v>
      </x:c>
      <x:c r="F1610" s="18" t="n">
        <x:v>13.66</x:v>
      </x:c>
      <x:c r="G1610" t="n">
        <x:v>36</x:v>
      </x:c>
      <x:c r="H1610" t="str">
        <x:v>C</x:v>
      </x:c>
      <x:c r="I1610" t="str">
        <x:v>1-3 years</x:v>
      </x:c>
      <x:c r="J1610" t="str">
        <x:v>MORTGAGE</x:v>
      </x:c>
      <x:c r="K1610" t="str">
        <x:v>home_improvement</x:v>
      </x:c>
      <x:c r="L1610" t="n">
        <x:v>0</x:v>
      </x:c>
      <x:c r="M1610" t="n">
        <x:v>0</x:v>
      </x:c>
      <x:c r="N1610" t="str">
        <x:v>Fully Paid</x:v>
      </x:c>
      <x:c r="O1610" t="str">
        <x:f>IF(D1610="","Unknown",IF(D1610&lt;25000,"&lt;$25k",IF(D1610&lt;50000,"$25k-$50k",IF(D1610&lt;75000,"$50k-$75k",IF(D1610&lt;100000,"$75k-$100k","$100k+")))))</x:f>
        <x:v>$25k-$50k</x:v>
      </x:c>
      <x:c r="P1610" t="str">
        <x:f>IF(E1610="","Unknown",IF(E1610&lt;10,"&lt;10",IF(E1610&lt;20,"10-&lt;20",IF(E1610&lt;25,"20-&lt;25",IF(E1610&lt;35,"25-&lt;35","35+")))))</x:f>
        <x:v>&lt;10</x:v>
      </x:c>
    </x:row>
    <x:row r="1611">
      <x:c r="A1611" t="str">
        <x:v>SYN0001610</x:v>
      </x:c>
      <x:c r="B1611" s="12" t="n">
        <x:v>43165</x:v>
      </x:c>
      <x:c r="C1611" s="18" t="n">
        <x:v>10286</x:v>
      </x:c>
      <x:c r="D1611" s="18" t="n">
        <x:v>69865</x:v>
      </x:c>
      <x:c r="E1611" s="18" t="n">
        <x:v>23.39</x:v>
      </x:c>
      <x:c r="F1611" s="18" t="n">
        <x:v>10.94</x:v>
      </x:c>
      <x:c r="G1611" t="n">
        <x:v>36</x:v>
      </x:c>
      <x:c r="H1611" t="str">
        <x:v>C</x:v>
      </x:c>
      <x:c r="I1611" t="str">
        <x:v>4-6 years</x:v>
      </x:c>
      <x:c r="J1611" t="str">
        <x:v>MORTGAGE</x:v>
      </x:c>
      <x:c r="K1611" t="str">
        <x:v>debt_consolidation</x:v>
      </x:c>
      <x:c r="L1611" t="n">
        <x:v>0</x:v>
      </x:c>
      <x:c r="M1611" t="n">
        <x:v>0</x:v>
      </x:c>
      <x:c r="N1611" t="str">
        <x:v>Fully Paid</x:v>
      </x:c>
      <x:c r="O1611" t="str">
        <x:f>IF(D1611="","Unknown",IF(D1611&lt;25000,"&lt;$25k",IF(D1611&lt;50000,"$25k-$50k",IF(D1611&lt;75000,"$50k-$75k",IF(D1611&lt;100000,"$75k-$100k","$100k+")))))</x:f>
        <x:v>$50k-$75k</x:v>
      </x:c>
      <x:c r="P1611" t="str">
        <x:f>IF(E1611="","Unknown",IF(E1611&lt;10,"&lt;10",IF(E1611&lt;20,"10-&lt;20",IF(E1611&lt;25,"20-&lt;25",IF(E1611&lt;35,"25-&lt;35","35+")))))</x:f>
        <x:v>20-&lt;25</x:v>
      </x:c>
    </x:row>
    <x:row r="1612">
      <x:c r="A1612" t="str">
        <x:v>SYN0001611</x:v>
      </x:c>
      <x:c r="B1612" s="12" t="n">
        <x:v>43195</x:v>
      </x:c>
      <x:c r="C1612" s="18" t="n">
        <x:v>5335</x:v>
      </x:c>
      <x:c r="D1612" s="18" t="n">
        <x:v>46083</x:v>
      </x:c>
      <x:c r="E1612" s="18" t="n">
        <x:v>14.99</x:v>
      </x:c>
      <x:c r="F1612" s="18" t="n">
        <x:v>8.86</x:v>
      </x:c>
      <x:c r="G1612" t="n">
        <x:v>36</x:v>
      </x:c>
      <x:c r="H1612" t="str">
        <x:v>B</x:v>
      </x:c>
      <x:c r="I1612" t="str">
        <x:v>4-6 years</x:v>
      </x:c>
      <x:c r="J1612" t="str">
        <x:v>MORTGAGE</x:v>
      </x:c>
      <x:c r="K1612" t="str">
        <x:v>debt_consolidation</x:v>
      </x:c>
      <x:c r="L1612" t="n">
        <x:v>0</x:v>
      </x:c>
      <x:c r="M1612" t="n">
        <x:v>1</x:v>
      </x:c>
      <x:c r="N1612" t="str">
        <x:v>Charged Off</x:v>
      </x:c>
      <x:c r="O1612" t="str">
        <x:f>IF(D1612="","Unknown",IF(D1612&lt;25000,"&lt;$25k",IF(D1612&lt;50000,"$25k-$50k",IF(D1612&lt;75000,"$50k-$75k",IF(D1612&lt;100000,"$75k-$100k","$100k+")))))</x:f>
        <x:v>$25k-$50k</x:v>
      </x:c>
      <x:c r="P1612" t="str">
        <x:f>IF(E1612="","Unknown",IF(E1612&lt;10,"&lt;10",IF(E1612&lt;20,"10-&lt;20",IF(E1612&lt;25,"20-&lt;25",IF(E1612&lt;35,"25-&lt;35","35+")))))</x:f>
        <x:v>10-&lt;20</x:v>
      </x:c>
    </x:row>
    <x:row r="1613">
      <x:c r="A1613" t="str">
        <x:v>SYN0001612</x:v>
      </x:c>
      <x:c r="B1613" s="12" t="n">
        <x:v>43165</x:v>
      </x:c>
      <x:c r="C1613" s="18" t="n">
        <x:v>15956</x:v>
      </x:c>
      <x:c r="D1613" s="18" t="n">
        <x:v>46678</x:v>
      </x:c>
      <x:c r="E1613" s="18" t="n">
        <x:v>39.5</x:v>
      </x:c>
      <x:c r="F1613" s="18" t="n">
        <x:v>16</x:v>
      </x:c>
      <x:c r="G1613" t="n">
        <x:v>36</x:v>
      </x:c>
      <x:c r="H1613" t="str">
        <x:v>D</x:v>
      </x:c>
      <x:c r="I1613" t="str">
        <x:v>1-3 years</x:v>
      </x:c>
      <x:c r="J1613" t="str">
        <x:v>RENT</x:v>
      </x:c>
      <x:c r="K1613" t="str">
        <x:v>major_purchase</x:v>
      </x:c>
      <x:c r="L1613" t="n">
        <x:v>0</x:v>
      </x:c>
      <x:c r="M1613" t="n">
        <x:v>0</x:v>
      </x:c>
      <x:c r="N1613" t="str">
        <x:v>Fully Paid</x:v>
      </x:c>
      <x:c r="O1613" t="str">
        <x:f>IF(D1613="","Unknown",IF(D1613&lt;25000,"&lt;$25k",IF(D1613&lt;50000,"$25k-$50k",IF(D1613&lt;75000,"$50k-$75k",IF(D1613&lt;100000,"$75k-$100k","$100k+")))))</x:f>
        <x:v>$25k-$50k</x:v>
      </x:c>
      <x:c r="P1613" t="str">
        <x:f>IF(E1613="","Unknown",IF(E1613&lt;10,"&lt;10",IF(E1613&lt;20,"10-&lt;20",IF(E1613&lt;25,"20-&lt;25",IF(E1613&lt;35,"25-&lt;35","35+")))))</x:f>
        <x:v>35+</x:v>
      </x:c>
    </x:row>
    <x:row r="1614">
      <x:c r="A1614" t="str">
        <x:v>SYN0001613</x:v>
      </x:c>
      <x:c r="B1614" s="12" t="n">
        <x:v>42655</x:v>
      </x:c>
      <x:c r="C1614" s="18" t="n">
        <x:v>13154</x:v>
      </x:c>
      <x:c r="D1614" s="18" t="n">
        <x:v>78036</x:v>
      </x:c>
      <x:c r="E1614" s="18" t="n">
        <x:v>21.55</x:v>
      </x:c>
      <x:c r="F1614" s="18" t="n">
        <x:v>12.41</x:v>
      </x:c>
      <x:c r="G1614" t="n">
        <x:v>60</x:v>
      </x:c>
      <x:c r="H1614" t="str">
        <x:v>D</x:v>
      </x:c>
      <x:c r="I1614" t="str">
        <x:v>4-6 years</x:v>
      </x:c>
      <x:c r="J1614" t="str">
        <x:v>RENT</x:v>
      </x:c>
      <x:c r="K1614" t="str">
        <x:v>debt_consolidation</x:v>
      </x:c>
      <x:c r="L1614" t="n">
        <x:v>0</x:v>
      </x:c>
      <x:c r="M1614" t="n">
        <x:v>0</x:v>
      </x:c>
      <x:c r="N1614" t="str">
        <x:v>Fully Paid</x:v>
      </x:c>
      <x:c r="O1614" t="str">
        <x:f>IF(D1614="","Unknown",IF(D1614&lt;25000,"&lt;$25k",IF(D1614&lt;50000,"$25k-$50k",IF(D1614&lt;75000,"$50k-$75k",IF(D1614&lt;100000,"$75k-$100k","$100k+")))))</x:f>
        <x:v>$75k-$100k</x:v>
      </x:c>
      <x:c r="P1614" t="str">
        <x:f>IF(E1614="","Unknown",IF(E1614&lt;10,"&lt;10",IF(E1614&lt;20,"10-&lt;20",IF(E1614&lt;25,"20-&lt;25",IF(E1614&lt;35,"25-&lt;35","35+")))))</x:f>
        <x:v>20-&lt;25</x:v>
      </x:c>
    </x:row>
    <x:row r="1615">
      <x:c r="A1615" t="str">
        <x:v>SYN0001614</x:v>
      </x:c>
      <x:c r="B1615" s="12" t="n">
        <x:v>42985</x:v>
      </x:c>
      <x:c r="C1615" s="18" t="n">
        <x:v>21902</x:v>
      </x:c>
      <x:c r="D1615" s="18" t="n">
        <x:v>36702</x:v>
      </x:c>
      <x:c r="E1615" s="18" t="n">
        <x:v>36.58</x:v>
      </x:c>
      <x:c r="F1615" s="18" t="n">
        <x:v>13.07</x:v>
      </x:c>
      <x:c r="G1615" t="n">
        <x:v>60</x:v>
      </x:c>
      <x:c r="H1615" t="str">
        <x:v>D</x:v>
      </x:c>
      <x:c r="I1615" t="str">
        <x:v>10+ years</x:v>
      </x:c>
      <x:c r="J1615" t="str">
        <x:v>RENT</x:v>
      </x:c>
      <x:c r="K1615" t="str">
        <x:v>debt_consolidation</x:v>
      </x:c>
      <x:c r="L1615" t="n">
        <x:v>0</x:v>
      </x:c>
      <x:c r="M1615" t="n">
        <x:v>1</x:v>
      </x:c>
      <x:c r="N1615" t="str">
        <x:v>Charged Off</x:v>
      </x:c>
      <x:c r="O1615" t="str">
        <x:f>IF(D1615="","Unknown",IF(D1615&lt;25000,"&lt;$25k",IF(D1615&lt;50000,"$25k-$50k",IF(D1615&lt;75000,"$50k-$75k",IF(D1615&lt;100000,"$75k-$100k","$100k+")))))</x:f>
        <x:v>$25k-$50k</x:v>
      </x:c>
      <x:c r="P1615" t="str">
        <x:f>IF(E1615="","Unknown",IF(E1615&lt;10,"&lt;10",IF(E1615&lt;20,"10-&lt;20",IF(E1615&lt;25,"20-&lt;25",IF(E1615&lt;35,"25-&lt;35","35+")))))</x:f>
        <x:v>35+</x:v>
      </x:c>
    </x:row>
    <x:row r="1616">
      <x:c r="A1616" t="str">
        <x:v>SYN0001615</x:v>
      </x:c>
      <x:c r="B1616" s="12" t="n">
        <x:v>42295</x:v>
      </x:c>
      <x:c r="C1616" s="18" t="n">
        <x:v>7401</x:v>
      </x:c>
      <x:c r="D1616" s="18" t="n">
        <x:v>96753</x:v>
      </x:c>
      <x:c r="E1616" s="18" t="n">
        <x:v>20.18</x:v>
      </x:c>
      <x:c r="F1616" s="18" t="n">
        <x:v>10.72</x:v>
      </x:c>
      <x:c r="G1616" t="n">
        <x:v>36</x:v>
      </x:c>
      <x:c r="H1616" t="str">
        <x:v>D</x:v>
      </x:c>
      <x:c r="I1616" t="str">
        <x:v>1-3 years</x:v>
      </x:c>
      <x:c r="J1616" t="str">
        <x:v>OWN</x:v>
      </x:c>
      <x:c r="K1616" t="str">
        <x:v>medical</x:v>
      </x:c>
      <x:c r="L1616" t="n">
        <x:v>0</x:v>
      </x:c>
      <x:c r="M1616" t="n">
        <x:v>0</x:v>
      </x:c>
      <x:c r="N1616" t="str">
        <x:v>Fully Paid</x:v>
      </x:c>
      <x:c r="O1616" t="str">
        <x:f>IF(D1616="","Unknown",IF(D1616&lt;25000,"&lt;$25k",IF(D1616&lt;50000,"$25k-$50k",IF(D1616&lt;75000,"$50k-$75k",IF(D1616&lt;100000,"$75k-$100k","$100k+")))))</x:f>
        <x:v>$75k-$100k</x:v>
      </x:c>
      <x:c r="P1616" t="str">
        <x:f>IF(E1616="","Unknown",IF(E1616&lt;10,"&lt;10",IF(E1616&lt;20,"10-&lt;20",IF(E1616&lt;25,"20-&lt;25",IF(E1616&lt;35,"25-&lt;35","35+")))))</x:f>
        <x:v>20-&lt;25</x:v>
      </x:c>
    </x:row>
    <x:row r="1617">
      <x:c r="A1617" t="str">
        <x:v>SYN0001616</x:v>
      </x:c>
      <x:c r="B1617" s="12" t="n">
        <x:v>42895</x:v>
      </x:c>
      <x:c r="C1617" s="18" t="n">
        <x:v>10158</x:v>
      </x:c>
      <x:c r="D1617" s="18" t="n">
        <x:v>60164</x:v>
      </x:c>
      <x:c r="E1617" s="18" t="n">
        <x:v>17.08</x:v>
      </x:c>
      <x:c r="F1617" s="18" t="n">
        <x:v>7.9</x:v>
      </x:c>
      <x:c r="G1617" t="n">
        <x:v>60</x:v>
      </x:c>
      <x:c r="H1617" t="str">
        <x:v>B</x:v>
      </x:c>
      <x:c r="I1617" t="str">
        <x:v>10+ years</x:v>
      </x:c>
      <x:c r="J1617" t="str">
        <x:v>RENT</x:v>
      </x:c>
      <x:c r="K1617" t="str">
        <x:v>other</x:v>
      </x:c>
      <x:c r="L1617" t="n">
        <x:v>0</x:v>
      </x:c>
      <x:c r="M1617" t="n">
        <x:v>0</x:v>
      </x:c>
      <x:c r="N1617" t="str">
        <x:v>Fully Paid</x:v>
      </x:c>
      <x:c r="O1617" t="str">
        <x:f>IF(D1617="","Unknown",IF(D1617&lt;25000,"&lt;$25k",IF(D1617&lt;50000,"$25k-$50k",IF(D1617&lt;75000,"$50k-$75k",IF(D1617&lt;100000,"$75k-$100k","$100k+")))))</x:f>
        <x:v>$50k-$75k</x:v>
      </x:c>
      <x:c r="P1617" t="str">
        <x:f>IF(E1617="","Unknown",IF(E1617&lt;10,"&lt;10",IF(E1617&lt;20,"10-&lt;20",IF(E1617&lt;25,"20-&lt;25",IF(E1617&lt;35,"25-&lt;35","35+")))))</x:f>
        <x:v>10-&lt;20</x:v>
      </x:c>
    </x:row>
    <x:row r="1618">
      <x:c r="A1618" t="str">
        <x:v>SYN0001617</x:v>
      </x:c>
      <x:c r="B1618" s="12" t="n">
        <x:v>43285</x:v>
      </x:c>
      <x:c r="C1618" s="18" t="n">
        <x:v>9555</x:v>
      </x:c>
      <x:c r="D1618" s="18" t="n">
        <x:v>24962</x:v>
      </x:c>
      <x:c r="E1618" s="18" t="n">
        <x:v>35.02</x:v>
      </x:c>
      <x:c r="F1618" s="18" t="n">
        <x:v>5.7</x:v>
      </x:c>
      <x:c r="G1618" t="n">
        <x:v>36</x:v>
      </x:c>
      <x:c r="H1618" t="str">
        <x:v>B</x:v>
      </x:c>
      <x:c r="I1618" t="str">
        <x:v>4-6 years</x:v>
      </x:c>
      <x:c r="J1618" t="str">
        <x:v>MORTGAGE</x:v>
      </x:c>
      <x:c r="K1618" t="str">
        <x:v>home_improvement</x:v>
      </x:c>
      <x:c r="L1618" t="n">
        <x:v>2</x:v>
      </x:c>
      <x:c r="M1618" t="n">
        <x:v>0</x:v>
      </x:c>
      <x:c r="N1618" t="str">
        <x:v>Fully Paid</x:v>
      </x:c>
      <x:c r="O1618" t="str">
        <x:f>IF(D1618="","Unknown",IF(D1618&lt;25000,"&lt;$25k",IF(D1618&lt;50000,"$25k-$50k",IF(D1618&lt;75000,"$50k-$75k",IF(D1618&lt;100000,"$75k-$100k","$100k+")))))</x:f>
        <x:v>&lt;$25k</x:v>
      </x:c>
      <x:c r="P1618" t="str">
        <x:f>IF(E1618="","Unknown",IF(E1618&lt;10,"&lt;10",IF(E1618&lt;20,"10-&lt;20",IF(E1618&lt;25,"20-&lt;25",IF(E1618&lt;35,"25-&lt;35","35+")))))</x:f>
        <x:v>35+</x:v>
      </x:c>
    </x:row>
    <x:row r="1619">
      <x:c r="A1619" t="str">
        <x:v>SYN0001618</x:v>
      </x:c>
      <x:c r="B1619" s="12" t="n">
        <x:v>42265</x:v>
      </x:c>
      <x:c r="C1619" s="18" t="n">
        <x:v>17566</x:v>
      </x:c>
      <x:c r="D1619" s="18" t="n">
        <x:v>34970</x:v>
      </x:c>
      <x:c r="E1619" s="18" t="n">
        <x:v>13.11</x:v>
      </x:c>
      <x:c r="F1619" s="18" t="n">
        <x:v>8.87</x:v>
      </x:c>
      <x:c r="G1619" t="n">
        <x:v>60</x:v>
      </x:c>
      <x:c r="H1619" t="str">
        <x:v>A</x:v>
      </x:c>
      <x:c r="I1619" t="str">
        <x:v>7-9 years</x:v>
      </x:c>
      <x:c r="J1619" t="str">
        <x:v>MORTGAGE</x:v>
      </x:c>
      <x:c r="K1619" t="str">
        <x:v>major_purchase</x:v>
      </x:c>
      <x:c r="L1619" t="n">
        <x:v>2</x:v>
      </x:c>
      <x:c r="M1619" t="n">
        <x:v>0</x:v>
      </x:c>
      <x:c r="N1619" t="str">
        <x:v>Fully Paid</x:v>
      </x:c>
      <x:c r="O1619" t="str">
        <x:f>IF(D1619="","Unknown",IF(D1619&lt;25000,"&lt;$25k",IF(D1619&lt;50000,"$25k-$50k",IF(D1619&lt;75000,"$50k-$75k",IF(D1619&lt;100000,"$75k-$100k","$100k+")))))</x:f>
        <x:v>$25k-$50k</x:v>
      </x:c>
      <x:c r="P1619" t="str">
        <x:f>IF(E1619="","Unknown",IF(E1619&lt;10,"&lt;10",IF(E1619&lt;20,"10-&lt;20",IF(E1619&lt;25,"20-&lt;25",IF(E1619&lt;35,"25-&lt;35","35+")))))</x:f>
        <x:v>10-&lt;20</x:v>
      </x:c>
    </x:row>
    <x:row r="1620">
      <x:c r="A1620" t="str">
        <x:v>SYN0001619</x:v>
      </x:c>
      <x:c r="B1620" s="12" t="n">
        <x:v>42595</x:v>
      </x:c>
      <x:c r="C1620" s="18" t="n">
        <x:v>31033</x:v>
      </x:c>
      <x:c r="D1620" s="18" t="n">
        <x:v>68068</x:v>
      </x:c>
      <x:c r="E1620" s="18" t="n">
        <x:v>1.64</x:v>
      </x:c>
      <x:c r="F1620" s="18" t="n">
        <x:v>9.19</x:v>
      </x:c>
      <x:c r="G1620" t="n">
        <x:v>60</x:v>
      </x:c>
      <x:c r="H1620" t="str">
        <x:v>C</x:v>
      </x:c>
      <x:c r="I1620" t="str">
        <x:v>7-9 years</x:v>
      </x:c>
      <x:c r="J1620" t="str">
        <x:v>RENT</x:v>
      </x:c>
      <x:c r="K1620" t="str">
        <x:v>debt_consolidation</x:v>
      </x:c>
      <x:c r="L1620" t="n">
        <x:v>0</x:v>
      </x:c>
      <x:c r="M1620" t="n">
        <x:v>0</x:v>
      </x:c>
      <x:c r="N1620" t="str">
        <x:v>Fully Paid</x:v>
      </x:c>
      <x:c r="O1620" t="str">
        <x:f>IF(D1620="","Unknown",IF(D1620&lt;25000,"&lt;$25k",IF(D1620&lt;50000,"$25k-$50k",IF(D1620&lt;75000,"$50k-$75k",IF(D1620&lt;100000,"$75k-$100k","$100k+")))))</x:f>
        <x:v>$50k-$75k</x:v>
      </x:c>
      <x:c r="P1620" t="str">
        <x:f>IF(E1620="","Unknown",IF(E1620&lt;10,"&lt;10",IF(E1620&lt;20,"10-&lt;20",IF(E1620&lt;25,"20-&lt;25",IF(E1620&lt;35,"25-&lt;35","35+")))))</x:f>
        <x:v>&lt;10</x:v>
      </x:c>
    </x:row>
    <x:row r="1621">
      <x:c r="A1621" t="str">
        <x:v>SYN0001620</x:v>
      </x:c>
      <x:c r="B1621" s="12" t="n">
        <x:v>41305</x:v>
      </x:c>
      <x:c r="C1621" s="18" t="n">
        <x:v>9462</x:v>
      </x:c>
      <x:c r="D1621" s="18" t="n">
        <x:v>50275</x:v>
      </x:c>
      <x:c r="E1621" s="18" t="n">
        <x:v>25.4</x:v>
      </x:c>
      <x:c r="F1621" s="18" t="n">
        <x:v>25.9</x:v>
      </x:c>
      <x:c r="G1621" t="n">
        <x:v>36</x:v>
      </x:c>
      <x:c r="H1621" t="str">
        <x:v>G</x:v>
      </x:c>
      <x:c r="I1621" t="str">
        <x:v>1-3 years</x:v>
      </x:c>
      <x:c r="J1621" t="str">
        <x:v>MORTGAGE</x:v>
      </x:c>
      <x:c r="K1621" t="str">
        <x:v>other</x:v>
      </x:c>
      <x:c r="L1621" t="n">
        <x:v>3</x:v>
      </x:c>
      <x:c r="M1621" t="n">
        <x:v>0</x:v>
      </x:c>
      <x:c r="N1621" t="str">
        <x:v>Fully Paid</x:v>
      </x:c>
      <x:c r="O1621" t="str">
        <x:f>IF(D1621="","Unknown",IF(D1621&lt;25000,"&lt;$25k",IF(D1621&lt;50000,"$25k-$50k",IF(D1621&lt;75000,"$50k-$75k",IF(D1621&lt;100000,"$75k-$100k","$100k+")))))</x:f>
        <x:v>$50k-$75k</x:v>
      </x:c>
      <x:c r="P1621" t="str">
        <x:f>IF(E1621="","Unknown",IF(E1621&lt;10,"&lt;10",IF(E1621&lt;20,"10-&lt;20",IF(E1621&lt;25,"20-&lt;25",IF(E1621&lt;35,"25-&lt;35","35+")))))</x:f>
        <x:v>25-&lt;35</x:v>
      </x:c>
    </x:row>
    <x:row r="1622">
      <x:c r="A1622" t="str">
        <x:v>SYN0001621</x:v>
      </x:c>
      <x:c r="B1622" s="12" t="n">
        <x:v>41785</x:v>
      </x:c>
      <x:c r="C1622" s="18" t="n">
        <x:v>6902</x:v>
      </x:c>
      <x:c r="D1622" s="18" t="n">
        <x:v>50458</x:v>
      </x:c>
      <x:c r="E1622" s="18" t="n">
        <x:v>23.21</x:v>
      </x:c>
      <x:c r="F1622" s="18" t="n">
        <x:v>23.99</x:v>
      </x:c>
      <x:c r="G1622" t="n">
        <x:v>36</x:v>
      </x:c>
      <x:c r="H1622" t="str">
        <x:v>F</x:v>
      </x:c>
      <x:c r="I1622" t="str">
        <x:v>10+ years</x:v>
      </x:c>
      <x:c r="J1622" t="str">
        <x:v>RENT</x:v>
      </x:c>
      <x:c r="K1622" t="str">
        <x:v>other</x:v>
      </x:c>
      <x:c r="L1622" t="n">
        <x:v>1</x:v>
      </x:c>
      <x:c r="M1622" t="n">
        <x:v>0</x:v>
      </x:c>
      <x:c r="N1622" t="str">
        <x:v>Fully Paid</x:v>
      </x:c>
      <x:c r="O1622" t="str">
        <x:f>IF(D1622="","Unknown",IF(D1622&lt;25000,"&lt;$25k",IF(D1622&lt;50000,"$25k-$50k",IF(D1622&lt;75000,"$50k-$75k",IF(D1622&lt;100000,"$75k-$100k","$100k+")))))</x:f>
        <x:v>$50k-$75k</x:v>
      </x:c>
      <x:c r="P1622" t="str">
        <x:f>IF(E1622="","Unknown",IF(E1622&lt;10,"&lt;10",IF(E1622&lt;20,"10-&lt;20",IF(E1622&lt;25,"20-&lt;25",IF(E1622&lt;35,"25-&lt;35","35+")))))</x:f>
        <x:v>20-&lt;25</x:v>
      </x:c>
    </x:row>
    <x:row r="1623">
      <x:c r="A1623" t="str">
        <x:v>SYN0001622</x:v>
      </x:c>
      <x:c r="B1623" s="12" t="n">
        <x:v>42835</x:v>
      </x:c>
      <x:c r="C1623" s="18" t="n">
        <x:v>19889</x:v>
      </x:c>
      <x:c r="D1623" s="18" t="n">
        <x:v>22456</x:v>
      </x:c>
      <x:c r="E1623" s="18" t="n">
        <x:v>18.6</x:v>
      </x:c>
      <x:c r="F1623" s="18" t="n">
        <x:v>14.21</x:v>
      </x:c>
      <x:c r="G1623" t="n">
        <x:v>36</x:v>
      </x:c>
      <x:c r="H1623" t="str">
        <x:v>D</x:v>
      </x:c>
      <x:c r="I1623" t="str">
        <x:v>4-6 years</x:v>
      </x:c>
      <x:c r="J1623" t="str">
        <x:v>RENT</x:v>
      </x:c>
      <x:c r="K1623" t="str">
        <x:v>home_improvement</x:v>
      </x:c>
      <x:c r="L1623" t="n">
        <x:v>0</x:v>
      </x:c>
      <x:c r="M1623" t="n">
        <x:v>0</x:v>
      </x:c>
      <x:c r="N1623" t="str">
        <x:v>Fully Paid</x:v>
      </x:c>
      <x:c r="O1623" t="str">
        <x:f>IF(D1623="","Unknown",IF(D1623&lt;25000,"&lt;$25k",IF(D1623&lt;50000,"$25k-$50k",IF(D1623&lt;75000,"$50k-$75k",IF(D1623&lt;100000,"$75k-$100k","$100k+")))))</x:f>
        <x:v>&lt;$25k</x:v>
      </x:c>
      <x:c r="P1623" t="str">
        <x:f>IF(E1623="","Unknown",IF(E1623&lt;10,"&lt;10",IF(E1623&lt;20,"10-&lt;20",IF(E1623&lt;25,"20-&lt;25",IF(E1623&lt;35,"25-&lt;35","35+")))))</x:f>
        <x:v>10-&lt;20</x:v>
      </x:c>
    </x:row>
    <x:row r="1624">
      <x:c r="A1624" t="str">
        <x:v>SYN0001623</x:v>
      </x:c>
      <x:c r="B1624" s="12" t="n">
        <x:v>41635</x:v>
      </x:c>
      <x:c r="C1624" s="18" t="n">
        <x:v>11239</x:v>
      </x:c>
      <x:c r="D1624" s="18" t="n">
        <x:v>71312</x:v>
      </x:c>
      <x:c r="E1624" s="18" t="n">
        <x:v>12</x:v>
      </x:c>
      <x:c r="F1624" s="18" t="n">
        <x:v>6.28</x:v>
      </x:c>
      <x:c r="G1624" t="n">
        <x:v>36</x:v>
      </x:c>
      <x:c r="H1624" t="str">
        <x:v>C</x:v>
      </x:c>
      <x:c r="I1624" t="str">
        <x:v>4-6 years</x:v>
      </x:c>
      <x:c r="J1624" t="str">
        <x:v>RENT</x:v>
      </x:c>
      <x:c r="K1624" t="str">
        <x:v>credit_card</x:v>
      </x:c>
      <x:c r="L1624" t="n">
        <x:v>0</x:v>
      </x:c>
      <x:c r="M1624" t="n">
        <x:v>0</x:v>
      </x:c>
      <x:c r="N1624" t="str">
        <x:v>Fully Paid</x:v>
      </x:c>
      <x:c r="O1624" t="str">
        <x:f>IF(D1624="","Unknown",IF(D1624&lt;25000,"&lt;$25k",IF(D1624&lt;50000,"$25k-$50k",IF(D1624&lt;75000,"$50k-$75k",IF(D1624&lt;100000,"$75k-$100k","$100k+")))))</x:f>
        <x:v>$50k-$75k</x:v>
      </x:c>
      <x:c r="P1624" t="str">
        <x:f>IF(E1624="","Unknown",IF(E1624&lt;10,"&lt;10",IF(E1624&lt;20,"10-&lt;20",IF(E1624&lt;25,"20-&lt;25",IF(E1624&lt;35,"25-&lt;35","35+")))))</x:f>
        <x:v>10-&lt;20</x:v>
      </x:c>
    </x:row>
    <x:row r="1625">
      <x:c r="A1625" t="str">
        <x:v>SYN0001624</x:v>
      </x:c>
      <x:c r="B1625" s="12" t="n">
        <x:v>43045</x:v>
      </x:c>
      <x:c r="C1625" s="18" t="n">
        <x:v>20582</x:v>
      </x:c>
      <x:c r="D1625" s="18" t="n">
        <x:v>138121</x:v>
      </x:c>
      <x:c r="E1625" s="18" t="n">
        <x:v>15.66</x:v>
      </x:c>
      <x:c r="F1625" s="18" t="n">
        <x:v>8.18</x:v>
      </x:c>
      <x:c r="G1625" t="n">
        <x:v>36</x:v>
      </x:c>
      <x:c r="H1625" t="str">
        <x:v>B</x:v>
      </x:c>
      <x:c r="I1625" t="str">
        <x:v>1-3 years</x:v>
      </x:c>
      <x:c r="J1625" t="str">
        <x:v>OWN</x:v>
      </x:c>
      <x:c r="K1625" t="str">
        <x:v>debt_consolidation</x:v>
      </x:c>
      <x:c r="L1625" t="n">
        <x:v>0</x:v>
      </x:c>
      <x:c r="M1625" t="n">
        <x:v>1</x:v>
      </x:c>
      <x:c r="N1625" t="str">
        <x:v>Charged Off</x:v>
      </x:c>
      <x:c r="O1625" t="str">
        <x:f>IF(D1625="","Unknown",IF(D1625&lt;25000,"&lt;$25k",IF(D1625&lt;50000,"$25k-$50k",IF(D1625&lt;75000,"$50k-$75k",IF(D1625&lt;100000,"$75k-$100k","$100k+")))))</x:f>
        <x:v>$100k+</x:v>
      </x:c>
      <x:c r="P1625" t="str">
        <x:f>IF(E1625="","Unknown",IF(E1625&lt;10,"&lt;10",IF(E1625&lt;20,"10-&lt;20",IF(E1625&lt;25,"20-&lt;25",IF(E1625&lt;35,"25-&lt;35","35+")))))</x:f>
        <x:v>10-&lt;20</x:v>
      </x:c>
    </x:row>
    <x:row r="1626">
      <x:c r="A1626" t="str">
        <x:v>SYN0001625</x:v>
      </x:c>
      <x:c r="B1626" s="12" t="n">
        <x:v>42295</x:v>
      </x:c>
      <x:c r="C1626" s="18" t="n">
        <x:v>9318</x:v>
      </x:c>
      <x:c r="D1626" s="18" t="n">
        <x:v>14577</x:v>
      </x:c>
      <x:c r="E1626" s="18" t="n">
        <x:v>38.2</x:v>
      </x:c>
      <x:c r="F1626" s="18" t="n">
        <x:v>19.68</x:v>
      </x:c>
      <x:c r="G1626" t="n">
        <x:v>36</x:v>
      </x:c>
      <x:c r="H1626" t="str">
        <x:v>E</x:v>
      </x:c>
      <x:c r="I1626" t="str">
        <x:v>4-6 years</x:v>
      </x:c>
      <x:c r="J1626" t="str">
        <x:v>MORTGAGE</x:v>
      </x:c>
      <x:c r="K1626" t="str">
        <x:v>credit_card</x:v>
      </x:c>
      <x:c r="L1626" t="n">
        <x:v>2</x:v>
      </x:c>
      <x:c r="M1626" t="n">
        <x:v>0</x:v>
      </x:c>
      <x:c r="N1626" t="str">
        <x:v>Fully Paid</x:v>
      </x:c>
      <x:c r="O1626" t="str">
        <x:f>IF(D1626="","Unknown",IF(D1626&lt;25000,"&lt;$25k",IF(D1626&lt;50000,"$25k-$50k",IF(D1626&lt;75000,"$50k-$75k",IF(D1626&lt;100000,"$75k-$100k","$100k+")))))</x:f>
        <x:v>&lt;$25k</x:v>
      </x:c>
      <x:c r="P1626" t="str">
        <x:f>IF(E1626="","Unknown",IF(E1626&lt;10,"&lt;10",IF(E1626&lt;20,"10-&lt;20",IF(E1626&lt;25,"20-&lt;25",IF(E1626&lt;35,"25-&lt;35","35+")))))</x:f>
        <x:v>35+</x:v>
      </x:c>
    </x:row>
    <x:row r="1627">
      <x:c r="A1627" t="str">
        <x:v>SYN0001626</x:v>
      </x:c>
      <x:c r="B1627" s="12" t="n">
        <x:v>42235</x:v>
      </x:c>
      <x:c r="C1627" s="18" t="n">
        <x:v>8547</x:v>
      </x:c>
      <x:c r="D1627" s="18" t="n">
        <x:v>62804</x:v>
      </x:c>
      <x:c r="E1627" s="18" t="n">
        <x:v>23.33</x:v>
      </x:c>
      <x:c r="F1627" s="18" t="n">
        <x:v>10.58</x:v>
      </x:c>
      <x:c r="G1627" t="n">
        <x:v>36</x:v>
      </x:c>
      <x:c r="H1627" t="str">
        <x:v>C</x:v>
      </x:c>
      <x:c r="I1627" t="str">
        <x:v>1-3 years</x:v>
      </x:c>
      <x:c r="J1627" t="str">
        <x:v>RENT</x:v>
      </x:c>
      <x:c r="K1627" t="str">
        <x:v>credit_card</x:v>
      </x:c>
      <x:c r="L1627" t="n">
        <x:v>1</x:v>
      </x:c>
      <x:c r="M1627" t="n">
        <x:v>0</x:v>
      </x:c>
      <x:c r="N1627" t="str">
        <x:v>Fully Paid</x:v>
      </x:c>
      <x:c r="O1627" t="str">
        <x:f>IF(D1627="","Unknown",IF(D1627&lt;25000,"&lt;$25k",IF(D1627&lt;50000,"$25k-$50k",IF(D1627&lt;75000,"$50k-$75k",IF(D1627&lt;100000,"$75k-$100k","$100k+")))))</x:f>
        <x:v>$50k-$75k</x:v>
      </x:c>
      <x:c r="P1627" t="str">
        <x:f>IF(E1627="","Unknown",IF(E1627&lt;10,"&lt;10",IF(E1627&lt;20,"10-&lt;20",IF(E1627&lt;25,"20-&lt;25",IF(E1627&lt;35,"25-&lt;35","35+")))))</x:f>
        <x:v>20-&lt;25</x:v>
      </x:c>
    </x:row>
    <x:row r="1628">
      <x:c r="A1628" t="str">
        <x:v>SYN0001627</x:v>
      </x:c>
      <x:c r="B1628" s="12" t="n">
        <x:v>41785</x:v>
      </x:c>
      <x:c r="C1628" s="18" t="n">
        <x:v>7002</x:v>
      </x:c>
      <x:c r="D1628" s="18" t="n">
        <x:v>41207</x:v>
      </x:c>
      <x:c r="E1628" s="18" t="n">
        <x:v>30.47</x:v>
      </x:c>
      <x:c r="F1628" s="18" t="n">
        <x:v>8.12</x:v>
      </x:c>
      <x:c r="G1628" t="n">
        <x:v>36</x:v>
      </x:c>
      <x:c r="H1628" t="str">
        <x:v>A</x:v>
      </x:c>
      <x:c r="I1628" t="str">
        <x:v>10+ years</x:v>
      </x:c>
      <x:c r="J1628" t="str">
        <x:v>MORTGAGE</x:v>
      </x:c>
      <x:c r="K1628" t="str">
        <x:v>credit_card</x:v>
      </x:c>
      <x:c r="L1628" t="n">
        <x:v>0</x:v>
      </x:c>
      <x:c r="M1628" t="n">
        <x:v>0</x:v>
      </x:c>
      <x:c r="N1628" t="str">
        <x:v>Fully Paid</x:v>
      </x:c>
      <x:c r="O1628" t="str">
        <x:f>IF(D1628="","Unknown",IF(D1628&lt;25000,"&lt;$25k",IF(D1628&lt;50000,"$25k-$50k",IF(D1628&lt;75000,"$50k-$75k",IF(D1628&lt;100000,"$75k-$100k","$100k+")))))</x:f>
        <x:v>$25k-$50k</x:v>
      </x:c>
      <x:c r="P1628" t="str">
        <x:f>IF(E1628="","Unknown",IF(E1628&lt;10,"&lt;10",IF(E1628&lt;20,"10-&lt;20",IF(E1628&lt;25,"20-&lt;25",IF(E1628&lt;35,"25-&lt;35","35+")))))</x:f>
        <x:v>25-&lt;35</x:v>
      </x:c>
    </x:row>
    <x:row r="1629">
      <x:c r="A1629" t="str">
        <x:v>SYN0001628</x:v>
      </x:c>
      <x:c r="B1629" s="12" t="n">
        <x:v>42565</x:v>
      </x:c>
      <x:c r="C1629" s="18" t="n">
        <x:v>13568</x:v>
      </x:c>
      <x:c r="D1629" s="18" t="n">
        <x:v>19656</x:v>
      </x:c>
      <x:c r="E1629" s="18" t="n">
        <x:v>2.02</x:v>
      </x:c>
      <x:c r="F1629" s="18" t="n">
        <x:v>6.7</x:v>
      </x:c>
      <x:c r="G1629" t="n">
        <x:v>36</x:v>
      </x:c>
      <x:c r="H1629" t="str">
        <x:v>A</x:v>
      </x:c>
      <x:c r="I1629" t="str">
        <x:v>7-9 years</x:v>
      </x:c>
      <x:c r="J1629" t="str">
        <x:v>OWN</x:v>
      </x:c>
      <x:c r="K1629" t="str">
        <x:v>major_purchase</x:v>
      </x:c>
      <x:c r="L1629" t="n">
        <x:v>0</x:v>
      </x:c>
      <x:c r="M1629" t="n">
        <x:v>0</x:v>
      </x:c>
      <x:c r="N1629" t="str">
        <x:v>Fully Paid</x:v>
      </x:c>
      <x:c r="O1629" t="str">
        <x:f>IF(D1629="","Unknown",IF(D1629&lt;25000,"&lt;$25k",IF(D1629&lt;50000,"$25k-$50k",IF(D1629&lt;75000,"$50k-$75k",IF(D1629&lt;100000,"$75k-$100k","$100k+")))))</x:f>
        <x:v>&lt;$25k</x:v>
      </x:c>
      <x:c r="P1629" t="str">
        <x:f>IF(E1629="","Unknown",IF(E1629&lt;10,"&lt;10",IF(E1629&lt;20,"10-&lt;20",IF(E1629&lt;25,"20-&lt;25",IF(E1629&lt;35,"25-&lt;35","35+")))))</x:f>
        <x:v>&lt;10</x:v>
      </x:c>
    </x:row>
    <x:row r="1630">
      <x:c r="A1630" t="str">
        <x:v>SYN0001629</x:v>
      </x:c>
      <x:c r="B1630" s="12" t="n">
        <x:v>43405</x:v>
      </x:c>
      <x:c r="C1630" s="18" t="n">
        <x:v>7515</x:v>
      </x:c>
      <x:c r="D1630" s="18" t="n">
        <x:v>80039</x:v>
      </x:c>
      <x:c r="E1630" s="18" t="n">
        <x:v>18.77</x:v>
      </x:c>
      <x:c r="F1630" s="18" t="n">
        <x:v>10.35</x:v>
      </x:c>
      <x:c r="G1630" t="n">
        <x:v>60</x:v>
      </x:c>
      <x:c r="H1630" t="str">
        <x:v>B</x:v>
      </x:c>
      <x:c r="I1630" t="str">
        <x:v>10+ years</x:v>
      </x:c>
      <x:c r="J1630" t="str">
        <x:v>RENT</x:v>
      </x:c>
      <x:c r="K1630" t="str">
        <x:v>credit_card</x:v>
      </x:c>
      <x:c r="L1630" t="n">
        <x:v>0</x:v>
      </x:c>
      <x:c r="M1630" t="n">
        <x:v>0</x:v>
      </x:c>
      <x:c r="N1630" t="str">
        <x:v>Fully Paid</x:v>
      </x:c>
      <x:c r="O1630" t="str">
        <x:f>IF(D1630="","Unknown",IF(D1630&lt;25000,"&lt;$25k",IF(D1630&lt;50000,"$25k-$50k",IF(D1630&lt;75000,"$50k-$75k",IF(D1630&lt;100000,"$75k-$100k","$100k+")))))</x:f>
        <x:v>$75k-$100k</x:v>
      </x:c>
      <x:c r="P1630" t="str">
        <x:f>IF(E1630="","Unknown",IF(E1630&lt;10,"&lt;10",IF(E1630&lt;20,"10-&lt;20",IF(E1630&lt;25,"20-&lt;25",IF(E1630&lt;35,"25-&lt;35","35+")))))</x:f>
        <x:v>10-&lt;20</x:v>
      </x:c>
    </x:row>
    <x:row r="1631">
      <x:c r="A1631" t="str">
        <x:v>SYN0001630</x:v>
      </x:c>
      <x:c r="B1631" s="12" t="n">
        <x:v>42055</x:v>
      </x:c>
      <x:c r="C1631" s="18" t="n">
        <x:v>9523</x:v>
      </x:c>
      <x:c r="D1631" s="18" t="n">
        <x:v>37675</x:v>
      </x:c>
      <x:c r="E1631" s="18" t="n">
        <x:v>21.75</x:v>
      </x:c>
      <x:c r="F1631" s="18" t="n">
        <x:v>14.34</x:v>
      </x:c>
      <x:c r="G1631" t="n">
        <x:v>36</x:v>
      </x:c>
      <x:c r="H1631" t="str">
        <x:v>D</x:v>
      </x:c>
      <x:c r="I1631" t="str">
        <x:v>10+ years</x:v>
      </x:c>
      <x:c r="J1631" t="str">
        <x:v>MORTGAGE</x:v>
      </x:c>
      <x:c r="K1631" t="str">
        <x:v>major_purchase</x:v>
      </x:c>
      <x:c r="L1631" t="n">
        <x:v>0</x:v>
      </x:c>
      <x:c r="M1631" t="n">
        <x:v>0</x:v>
      </x:c>
      <x:c r="N1631" t="str">
        <x:v>Fully Paid</x:v>
      </x:c>
      <x:c r="O1631" t="str">
        <x:f>IF(D1631="","Unknown",IF(D1631&lt;25000,"&lt;$25k",IF(D1631&lt;50000,"$25k-$50k",IF(D1631&lt;75000,"$50k-$75k",IF(D1631&lt;100000,"$75k-$100k","$100k+")))))</x:f>
        <x:v>$25k-$50k</x:v>
      </x:c>
      <x:c r="P1631" t="str">
        <x:f>IF(E1631="","Unknown",IF(E1631&lt;10,"&lt;10",IF(E1631&lt;20,"10-&lt;20",IF(E1631&lt;25,"20-&lt;25",IF(E1631&lt;35,"25-&lt;35","35+")))))</x:f>
        <x:v>20-&lt;25</x:v>
      </x:c>
    </x:row>
    <x:row r="1632">
      <x:c r="A1632" t="str">
        <x:v>SYN0001631</x:v>
      </x:c>
      <x:c r="B1632" s="12" t="n">
        <x:v>41845</x:v>
      </x:c>
      <x:c r="C1632" s="18" t="n">
        <x:v>4718</x:v>
      </x:c>
      <x:c r="D1632" s="18" t="n">
        <x:v>27638</x:v>
      </x:c>
      <x:c r="E1632" s="18" t="n">
        <x:v>26</x:v>
      </x:c>
      <x:c r="F1632" s="18" t="n">
        <x:v>10.97</x:v>
      </x:c>
      <x:c r="G1632" t="n">
        <x:v>36</x:v>
      </x:c>
      <x:c r="H1632" t="str">
        <x:v>C</x:v>
      </x:c>
      <x:c r="I1632" t="str">
        <x:v>&lt;1 year</x:v>
      </x:c>
      <x:c r="J1632" t="str">
        <x:v>OWN</x:v>
      </x:c>
      <x:c r="K1632" t="str">
        <x:v>debt_consolidation</x:v>
      </x:c>
      <x:c r="L1632" t="n">
        <x:v>0</x:v>
      </x:c>
      <x:c r="M1632" t="n">
        <x:v>0</x:v>
      </x:c>
      <x:c r="N1632" t="str">
        <x:v>Fully Paid</x:v>
      </x:c>
      <x:c r="O1632" t="str">
        <x:f>IF(D1632="","Unknown",IF(D1632&lt;25000,"&lt;$25k",IF(D1632&lt;50000,"$25k-$50k",IF(D1632&lt;75000,"$50k-$75k",IF(D1632&lt;100000,"$75k-$100k","$100k+")))))</x:f>
        <x:v>$25k-$50k</x:v>
      </x:c>
      <x:c r="P1632" t="str">
        <x:f>IF(E1632="","Unknown",IF(E1632&lt;10,"&lt;10",IF(E1632&lt;20,"10-&lt;20",IF(E1632&lt;25,"20-&lt;25",IF(E1632&lt;35,"25-&lt;35","35+")))))</x:f>
        <x:v>25-&lt;35</x:v>
      </x:c>
    </x:row>
    <x:row r="1633">
      <x:c r="A1633" t="str">
        <x:v>SYN0001632</x:v>
      </x:c>
      <x:c r="B1633" s="12" t="n">
        <x:v>42385</x:v>
      </x:c>
      <x:c r="C1633" s="18" t="n">
        <x:v>15967</x:v>
      </x:c>
      <x:c r="D1633" s="18" t="n">
        <x:v>33510</x:v>
      </x:c>
      <x:c r="E1633" s="18" t="n">
        <x:v>27.05</x:v>
      </x:c>
      <x:c r="F1633" s="18" t="n">
        <x:v>14.46</x:v>
      </x:c>
      <x:c r="G1633" t="n">
        <x:v>36</x:v>
      </x:c>
      <x:c r="H1633" t="str">
        <x:v>D</x:v>
      </x:c>
      <x:c r="I1633" t="str">
        <x:v>10+ years</x:v>
      </x:c>
      <x:c r="J1633" t="str">
        <x:v>RENT</x:v>
      </x:c>
      <x:c r="K1633" t="str">
        <x:v>credit_card</x:v>
      </x:c>
      <x:c r="L1633" t="n">
        <x:v>0</x:v>
      </x:c>
      <x:c r="M1633" t="n">
        <x:v>0</x:v>
      </x:c>
      <x:c r="N1633" t="str">
        <x:v>Fully Paid</x:v>
      </x:c>
      <x:c r="O1633" t="str">
        <x:f>IF(D1633="","Unknown",IF(D1633&lt;25000,"&lt;$25k",IF(D1633&lt;50000,"$25k-$50k",IF(D1633&lt;75000,"$50k-$75k",IF(D1633&lt;100000,"$75k-$100k","$100k+")))))</x:f>
        <x:v>$25k-$50k</x:v>
      </x:c>
      <x:c r="P1633" t="str">
        <x:f>IF(E1633="","Unknown",IF(E1633&lt;10,"&lt;10",IF(E1633&lt;20,"10-&lt;20",IF(E1633&lt;25,"20-&lt;25",IF(E1633&lt;35,"25-&lt;35","35+")))))</x:f>
        <x:v>25-&lt;35</x:v>
      </x:c>
    </x:row>
    <x:row r="1634">
      <x:c r="A1634" t="str">
        <x:v>SYN0001633</x:v>
      </x:c>
      <x:c r="B1634" s="12" t="n">
        <x:v>42685</x:v>
      </x:c>
      <x:c r="C1634" s="18" t="n">
        <x:v>21574</x:v>
      </x:c>
      <x:c r="D1634" s="18" t="n">
        <x:v>70125</x:v>
      </x:c>
      <x:c r="E1634" s="18" t="n">
        <x:v>13.03</x:v>
      </x:c>
      <x:c r="F1634" s="18" t="n">
        <x:v>5.86</x:v>
      </x:c>
      <x:c r="G1634" t="n">
        <x:v>60</x:v>
      </x:c>
      <x:c r="H1634" t="str">
        <x:v>A</x:v>
      </x:c>
      <x:c r="I1634" t="str">
        <x:v>4-6 years</x:v>
      </x:c>
      <x:c r="J1634" t="str">
        <x:v>MORTGAGE</x:v>
      </x:c>
      <x:c r="K1634" t="str">
        <x:v>debt_consolidation</x:v>
      </x:c>
      <x:c r="L1634" t="n">
        <x:v>0</x:v>
      </x:c>
      <x:c r="M1634" t="n">
        <x:v>0</x:v>
      </x:c>
      <x:c r="N1634" t="str">
        <x:v>Fully Paid</x:v>
      </x:c>
      <x:c r="O1634" t="str">
        <x:f>IF(D1634="","Unknown",IF(D1634&lt;25000,"&lt;$25k",IF(D1634&lt;50000,"$25k-$50k",IF(D1634&lt;75000,"$50k-$75k",IF(D1634&lt;100000,"$75k-$100k","$100k+")))))</x:f>
        <x:v>$50k-$75k</x:v>
      </x:c>
      <x:c r="P1634" t="str">
        <x:f>IF(E1634="","Unknown",IF(E1634&lt;10,"&lt;10",IF(E1634&lt;20,"10-&lt;20",IF(E1634&lt;25,"20-&lt;25",IF(E1634&lt;35,"25-&lt;35","35+")))))</x:f>
        <x:v>10-&lt;20</x:v>
      </x:c>
    </x:row>
    <x:row r="1635">
      <x:c r="A1635" t="str">
        <x:v>SYN0001634</x:v>
      </x:c>
      <x:c r="B1635" s="12" t="n">
        <x:v>42565</x:v>
      </x:c>
      <x:c r="C1635" s="18" t="n">
        <x:v>37209</x:v>
      </x:c>
      <x:c r="D1635" s="18" t="n">
        <x:v>112456</x:v>
      </x:c>
      <x:c r="E1635" s="18" t="n">
        <x:v>32.55</x:v>
      </x:c>
      <x:c r="F1635" s="18" t="n">
        <x:v>22.84</x:v>
      </x:c>
      <x:c r="G1635" t="n">
        <x:v>36</x:v>
      </x:c>
      <x:c r="H1635" t="str">
        <x:v>F</x:v>
      </x:c>
      <x:c r="I1635" t="str">
        <x:v>4-6 years</x:v>
      </x:c>
      <x:c r="J1635" t="str">
        <x:v>MORTGAGE</x:v>
      </x:c>
      <x:c r="K1635" t="str">
        <x:v>debt_consolidation</x:v>
      </x:c>
      <x:c r="L1635" t="n">
        <x:v>1</x:v>
      </x:c>
      <x:c r="M1635" t="n">
        <x:v>0</x:v>
      </x:c>
      <x:c r="N1635" t="str">
        <x:v>Fully Paid</x:v>
      </x:c>
      <x:c r="O1635" t="str">
        <x:f>IF(D1635="","Unknown",IF(D1635&lt;25000,"&lt;$25k",IF(D1635&lt;50000,"$25k-$50k",IF(D1635&lt;75000,"$50k-$75k",IF(D1635&lt;100000,"$75k-$100k","$100k+")))))</x:f>
        <x:v>$100k+</x:v>
      </x:c>
      <x:c r="P1635" t="str">
        <x:f>IF(E1635="","Unknown",IF(E1635&lt;10,"&lt;10",IF(E1635&lt;20,"10-&lt;20",IF(E1635&lt;25,"20-&lt;25",IF(E1635&lt;35,"25-&lt;35","35+")))))</x:f>
        <x:v>25-&lt;35</x:v>
      </x:c>
    </x:row>
    <x:row r="1636">
      <x:c r="A1636" t="str">
        <x:v>SYN0001635</x:v>
      </x:c>
      <x:c r="B1636" s="12" t="n">
        <x:v>42715</x:v>
      </x:c>
      <x:c r="C1636" s="18" t="n">
        <x:v>11427</x:v>
      </x:c>
      <x:c r="D1636" s="18" t="n">
        <x:v>36691</x:v>
      </x:c>
      <x:c r="E1636" s="18" t="n">
        <x:v>3.95</x:v>
      </x:c>
      <x:c r="F1636" s="18" t="n">
        <x:v>5.93</x:v>
      </x:c>
      <x:c r="G1636" t="n">
        <x:v>36</x:v>
      </x:c>
      <x:c r="H1636" t="str">
        <x:v>B</x:v>
      </x:c>
      <x:c r="I1636" t="str">
        <x:v>10+ years</x:v>
      </x:c>
      <x:c r="J1636" t="str">
        <x:v>MORTGAGE</x:v>
      </x:c>
      <x:c r="K1636" t="str">
        <x:v>credit_card</x:v>
      </x:c>
      <x:c r="L1636" t="n">
        <x:v>0</x:v>
      </x:c>
      <x:c r="M1636" t="n">
        <x:v>0</x:v>
      </x:c>
      <x:c r="N1636" t="str">
        <x:v>Fully Paid</x:v>
      </x:c>
      <x:c r="O1636" t="str">
        <x:f>IF(D1636="","Unknown",IF(D1636&lt;25000,"&lt;$25k",IF(D1636&lt;50000,"$25k-$50k",IF(D1636&lt;75000,"$50k-$75k",IF(D1636&lt;100000,"$75k-$100k","$100k+")))))</x:f>
        <x:v>$25k-$50k</x:v>
      </x:c>
      <x:c r="P1636" t="str">
        <x:f>IF(E1636="","Unknown",IF(E1636&lt;10,"&lt;10",IF(E1636&lt;20,"10-&lt;20",IF(E1636&lt;25,"20-&lt;25",IF(E1636&lt;35,"25-&lt;35","35+")))))</x:f>
        <x:v>&lt;10</x:v>
      </x:c>
    </x:row>
    <x:row r="1637">
      <x:c r="A1637" t="str">
        <x:v>SYN0001636</x:v>
      </x:c>
      <x:c r="B1637" s="12" t="n">
        <x:v>41695</x:v>
      </x:c>
      <x:c r="C1637" s="18" t="n">
        <x:v>22869</x:v>
      </x:c>
      <x:c r="D1637" s="18" t="n">
        <x:v>110109</x:v>
      </x:c>
      <x:c r="E1637" s="18" t="n">
        <x:v>39.03</x:v>
      </x:c>
      <x:c r="F1637" s="18" t="n">
        <x:v>13.6</x:v>
      </x:c>
      <x:c r="G1637" t="n">
        <x:v>36</x:v>
      </x:c>
      <x:c r="H1637" t="str">
        <x:v>D</x:v>
      </x:c>
      <x:c r="I1637" t="str">
        <x:v>4-6 years</x:v>
      </x:c>
      <x:c r="J1637" t="str">
        <x:v>RENT</x:v>
      </x:c>
      <x:c r="K1637" t="str">
        <x:v>home_improvement</x:v>
      </x:c>
      <x:c r="L1637" t="n">
        <x:v>0</x:v>
      </x:c>
      <x:c r="M1637" t="n">
        <x:v>0</x:v>
      </x:c>
      <x:c r="N1637" t="str">
        <x:v>Fully Paid</x:v>
      </x:c>
      <x:c r="O1637" t="str">
        <x:f>IF(D1637="","Unknown",IF(D1637&lt;25000,"&lt;$25k",IF(D1637&lt;50000,"$25k-$50k",IF(D1637&lt;75000,"$50k-$75k",IF(D1637&lt;100000,"$75k-$100k","$100k+")))))</x:f>
        <x:v>$100k+</x:v>
      </x:c>
      <x:c r="P1637" t="str">
        <x:f>IF(E1637="","Unknown",IF(E1637&lt;10,"&lt;10",IF(E1637&lt;20,"10-&lt;20",IF(E1637&lt;25,"20-&lt;25",IF(E1637&lt;35,"25-&lt;35","35+")))))</x:f>
        <x:v>35+</x:v>
      </x:c>
    </x:row>
    <x:row r="1638">
      <x:c r="A1638" t="str">
        <x:v>SYN0001637</x:v>
      </x:c>
      <x:c r="B1638" s="12" t="n">
        <x:v>43375</x:v>
      </x:c>
      <x:c r="C1638" s="18" t="n">
        <x:v>17922</x:v>
      </x:c>
      <x:c r="D1638" s="18" t="n">
        <x:v>50047</x:v>
      </x:c>
      <x:c r="E1638" s="18" t="n">
        <x:v>24.33</x:v>
      </x:c>
      <x:c r="F1638" s="18" t="n">
        <x:v>10.66</x:v>
      </x:c>
      <x:c r="G1638" t="n">
        <x:v>60</x:v>
      </x:c>
      <x:c r="H1638" t="str">
        <x:v>C</x:v>
      </x:c>
      <x:c r="I1638" t="str">
        <x:v>4-6 years</x:v>
      </x:c>
      <x:c r="J1638" t="str">
        <x:v>RENT</x:v>
      </x:c>
      <x:c r="K1638" t="str">
        <x:v>debt_consolidation</x:v>
      </x:c>
      <x:c r="L1638" t="n">
        <x:v>2</x:v>
      </x:c>
      <x:c r="M1638" t="n">
        <x:v>0</x:v>
      </x:c>
      <x:c r="N1638" t="str">
        <x:v>Fully Paid</x:v>
      </x:c>
      <x:c r="O1638" t="str">
        <x:f>IF(D1638="","Unknown",IF(D1638&lt;25000,"&lt;$25k",IF(D1638&lt;50000,"$25k-$50k",IF(D1638&lt;75000,"$50k-$75k",IF(D1638&lt;100000,"$75k-$100k","$100k+")))))</x:f>
        <x:v>$50k-$75k</x:v>
      </x:c>
      <x:c r="P1638" t="str">
        <x:f>IF(E1638="","Unknown",IF(E1638&lt;10,"&lt;10",IF(E1638&lt;20,"10-&lt;20",IF(E1638&lt;25,"20-&lt;25",IF(E1638&lt;35,"25-&lt;35","35+")))))</x:f>
        <x:v>20-&lt;25</x:v>
      </x:c>
    </x:row>
    <x:row r="1639">
      <x:c r="A1639" t="str">
        <x:v>SYN0001638</x:v>
      </x:c>
      <x:c r="B1639" s="12" t="n">
        <x:v>41365</x:v>
      </x:c>
      <x:c r="C1639" s="18" t="n">
        <x:v>13885</x:v>
      </x:c>
      <x:c r="D1639" s="18" t="n">
        <x:v>109922</x:v>
      </x:c>
      <x:c r="E1639" s="18" t="n">
        <x:v>24.28</x:v>
      </x:c>
      <x:c r="F1639" s="18" t="n">
        <x:v>25.08</x:v>
      </x:c>
      <x:c r="G1639" t="n">
        <x:v>36</x:v>
      </x:c>
      <x:c r="H1639" t="str">
        <x:v>F</x:v>
      </x:c>
      <x:c r="I1639" t="str">
        <x:v>7-9 years</x:v>
      </x:c>
      <x:c r="J1639" t="str">
        <x:v>MORTGAGE</x:v>
      </x:c>
      <x:c r="K1639" t="str">
        <x:v>debt_consolidation</x:v>
      </x:c>
      <x:c r="L1639" t="n">
        <x:v>2</x:v>
      </x:c>
      <x:c r="M1639" t="n">
        <x:v>0</x:v>
      </x:c>
      <x:c r="N1639" t="str">
        <x:v>Fully Paid</x:v>
      </x:c>
      <x:c r="O1639" t="str">
        <x:f>IF(D1639="","Unknown",IF(D1639&lt;25000,"&lt;$25k",IF(D1639&lt;50000,"$25k-$50k",IF(D1639&lt;75000,"$50k-$75k",IF(D1639&lt;100000,"$75k-$100k","$100k+")))))</x:f>
        <x:v>$100k+</x:v>
      </x:c>
      <x:c r="P1639" t="str">
        <x:f>IF(E1639="","Unknown",IF(E1639&lt;10,"&lt;10",IF(E1639&lt;20,"10-&lt;20",IF(E1639&lt;25,"20-&lt;25",IF(E1639&lt;35,"25-&lt;35","35+")))))</x:f>
        <x:v>20-&lt;25</x:v>
      </x:c>
    </x:row>
    <x:row r="1640">
      <x:c r="A1640" t="str">
        <x:v>SYN0001639</x:v>
      </x:c>
      <x:c r="B1640" s="12" t="n">
        <x:v>43315</x:v>
      </x:c>
      <x:c r="C1640" s="18" t="n">
        <x:v>6073</x:v>
      </x:c>
      <x:c r="D1640" s="18" t="n">
        <x:v>26183</x:v>
      </x:c>
      <x:c r="E1640" s="18" t="n">
        <x:v>16.92</x:v>
      </x:c>
      <x:c r="F1640" s="18" t="n">
        <x:v>9.67</x:v>
      </x:c>
      <x:c r="G1640" t="n">
        <x:v>36</x:v>
      </x:c>
      <x:c r="H1640" t="str">
        <x:v>B</x:v>
      </x:c>
      <x:c r="I1640" t="str">
        <x:v>10+ years</x:v>
      </x:c>
      <x:c r="J1640" t="str">
        <x:v>MORTGAGE</x:v>
      </x:c>
      <x:c r="K1640" t="str">
        <x:v>debt_consolidation</x:v>
      </x:c>
      <x:c r="L1640" t="n">
        <x:v>0</x:v>
      </x:c>
      <x:c r="M1640" t="n">
        <x:v>0</x:v>
      </x:c>
      <x:c r="N1640" t="str">
        <x:v>Fully Paid</x:v>
      </x:c>
      <x:c r="O1640" t="str">
        <x:f>IF(D1640="","Unknown",IF(D1640&lt;25000,"&lt;$25k",IF(D1640&lt;50000,"$25k-$50k",IF(D1640&lt;75000,"$50k-$75k",IF(D1640&lt;100000,"$75k-$100k","$100k+")))))</x:f>
        <x:v>$25k-$50k</x:v>
      </x:c>
      <x:c r="P1640" t="str">
        <x:f>IF(E1640="","Unknown",IF(E1640&lt;10,"&lt;10",IF(E1640&lt;20,"10-&lt;20",IF(E1640&lt;25,"20-&lt;25",IF(E1640&lt;35,"25-&lt;35","35+")))))</x:f>
        <x:v>10-&lt;20</x:v>
      </x:c>
    </x:row>
    <x:row r="1641">
      <x:c r="A1641" t="str">
        <x:v>SYN0001640</x:v>
      </x:c>
      <x:c r="B1641" s="12" t="n">
        <x:v>42385</x:v>
      </x:c>
      <x:c r="C1641" s="18" t="n">
        <x:v>30030</x:v>
      </x:c>
      <x:c r="D1641" s="18" t="n">
        <x:v>45434</x:v>
      </x:c>
      <x:c r="E1641" s="18" t="n">
        <x:v>10.88</x:v>
      </x:c>
      <x:c r="F1641" s="18" t="n">
        <x:v>13.92</x:v>
      </x:c>
      <x:c r="G1641" t="n">
        <x:v>36</x:v>
      </x:c>
      <x:c r="H1641" t="str">
        <x:v>D</x:v>
      </x:c>
      <x:c r="I1641" t="str">
        <x:v>10+ years</x:v>
      </x:c>
      <x:c r="J1641" t="str">
        <x:v>MORTGAGE</x:v>
      </x:c>
      <x:c r="K1641" t="str">
        <x:v>debt_consolidation</x:v>
      </x:c>
      <x:c r="L1641" t="n">
        <x:v>1</x:v>
      </x:c>
      <x:c r="M1641" t="n">
        <x:v>0</x:v>
      </x:c>
      <x:c r="N1641" t="str">
        <x:v>Fully Paid</x:v>
      </x:c>
      <x:c r="O1641" t="str">
        <x:f>IF(D1641="","Unknown",IF(D1641&lt;25000,"&lt;$25k",IF(D1641&lt;50000,"$25k-$50k",IF(D1641&lt;75000,"$50k-$75k",IF(D1641&lt;100000,"$75k-$100k","$100k+")))))</x:f>
        <x:v>$25k-$50k</x:v>
      </x:c>
      <x:c r="P1641" t="str">
        <x:f>IF(E1641="","Unknown",IF(E1641&lt;10,"&lt;10",IF(E1641&lt;20,"10-&lt;20",IF(E1641&lt;25,"20-&lt;25",IF(E1641&lt;35,"25-&lt;35","35+")))))</x:f>
        <x:v>10-&lt;20</x:v>
      </x:c>
    </x:row>
    <x:row r="1642">
      <x:c r="A1642" t="str">
        <x:v>SYN0001641</x:v>
      </x:c>
      <x:c r="B1642" s="12" t="n">
        <x:v>43375</x:v>
      </x:c>
      <x:c r="C1642" s="18" t="n">
        <x:v>10660</x:v>
      </x:c>
      <x:c r="D1642" s="18" t="n">
        <x:v>61032</x:v>
      </x:c>
      <x:c r="E1642" s="18" t="n">
        <x:v>16.07</x:v>
      </x:c>
      <x:c r="F1642" s="18" t="n">
        <x:v>11.97</x:v>
      </x:c>
      <x:c r="G1642" t="n">
        <x:v>36</x:v>
      </x:c>
      <x:c r="H1642" t="str">
        <x:v>C</x:v>
      </x:c>
      <x:c r="I1642" t="str">
        <x:v>7-9 years</x:v>
      </x:c>
      <x:c r="J1642" t="str">
        <x:v>MORTGAGE</x:v>
      </x:c>
      <x:c r="K1642" t="str">
        <x:v>medical</x:v>
      </x:c>
      <x:c r="L1642" t="n">
        <x:v>0</x:v>
      </x:c>
      <x:c r="M1642" t="n">
        <x:v>0</x:v>
      </x:c>
      <x:c r="N1642" t="str">
        <x:v>Fully Paid</x:v>
      </x:c>
      <x:c r="O1642" t="str">
        <x:f>IF(D1642="","Unknown",IF(D1642&lt;25000,"&lt;$25k",IF(D1642&lt;50000,"$25k-$50k",IF(D1642&lt;75000,"$50k-$75k",IF(D1642&lt;100000,"$75k-$100k","$100k+")))))</x:f>
        <x:v>$50k-$75k</x:v>
      </x:c>
      <x:c r="P1642" t="str">
        <x:f>IF(E1642="","Unknown",IF(E1642&lt;10,"&lt;10",IF(E1642&lt;20,"10-&lt;20",IF(E1642&lt;25,"20-&lt;25",IF(E1642&lt;35,"25-&lt;35","35+")))))</x:f>
        <x:v>10-&lt;20</x:v>
      </x:c>
    </x:row>
    <x:row r="1643">
      <x:c r="A1643" t="str">
        <x:v>SYN0001642</x:v>
      </x:c>
      <x:c r="B1643" s="12" t="n">
        <x:v>41365</x:v>
      </x:c>
      <x:c r="C1643" s="18" t="n">
        <x:v>12932</x:v>
      </x:c>
      <x:c r="D1643" s="18" t="n">
        <x:v>141976</x:v>
      </x:c>
      <x:c r="E1643" s="18" t="n">
        <x:v>28.28</x:v>
      </x:c>
      <x:c r="F1643" s="18" t="n">
        <x:v>7.71</x:v>
      </x:c>
      <x:c r="G1643" t="n">
        <x:v>36</x:v>
      </x:c>
      <x:c r="H1643" t="str">
        <x:v>B</x:v>
      </x:c>
      <x:c r="I1643" t="str">
        <x:v>4-6 years</x:v>
      </x:c>
      <x:c r="J1643" t="str">
        <x:v>RENT</x:v>
      </x:c>
      <x:c r="K1643" t="str">
        <x:v>debt_consolidation</x:v>
      </x:c>
      <x:c r="L1643" t="n">
        <x:v>0</x:v>
      </x:c>
      <x:c r="M1643" t="n">
        <x:v>0</x:v>
      </x:c>
      <x:c r="N1643" t="str">
        <x:v>Fully Paid</x:v>
      </x:c>
      <x:c r="O1643" t="str">
        <x:f>IF(D1643="","Unknown",IF(D1643&lt;25000,"&lt;$25k",IF(D1643&lt;50000,"$25k-$50k",IF(D1643&lt;75000,"$50k-$75k",IF(D1643&lt;100000,"$75k-$100k","$100k+")))))</x:f>
        <x:v>$100k+</x:v>
      </x:c>
      <x:c r="P1643" t="str">
        <x:f>IF(E1643="","Unknown",IF(E1643&lt;10,"&lt;10",IF(E1643&lt;20,"10-&lt;20",IF(E1643&lt;25,"20-&lt;25",IF(E1643&lt;35,"25-&lt;35","35+")))))</x:f>
        <x:v>25-&lt;35</x:v>
      </x:c>
    </x:row>
    <x:row r="1644">
      <x:c r="A1644" t="str">
        <x:v>SYN0001643</x:v>
      </x:c>
      <x:c r="B1644" s="12" t="n">
        <x:v>42505</x:v>
      </x:c>
      <x:c r="C1644" s="18" t="n">
        <x:v>14980</x:v>
      </x:c>
      <x:c r="D1644" s="18" t="n">
        <x:v>30812</x:v>
      </x:c>
      <x:c r="E1644" s="18" t="n">
        <x:v>8.5</x:v>
      </x:c>
      <x:c r="F1644" s="18" t="n">
        <x:v>20.37</x:v>
      </x:c>
      <x:c r="G1644" t="n">
        <x:v>36</x:v>
      </x:c>
      <x:c r="H1644" t="str">
        <x:v>F</x:v>
      </x:c>
      <x:c r="I1644" t="str">
        <x:v>4-6 years</x:v>
      </x:c>
      <x:c r="J1644" t="str">
        <x:v>RENT</x:v>
      </x:c>
      <x:c r="K1644" t="str">
        <x:v>home_improvement</x:v>
      </x:c>
      <x:c r="L1644" t="n">
        <x:v>0</x:v>
      </x:c>
      <x:c r="M1644" t="n">
        <x:v>0</x:v>
      </x:c>
      <x:c r="N1644" t="str">
        <x:v>Fully Paid</x:v>
      </x:c>
      <x:c r="O1644" t="str">
        <x:f>IF(D1644="","Unknown",IF(D1644&lt;25000,"&lt;$25k",IF(D1644&lt;50000,"$25k-$50k",IF(D1644&lt;75000,"$50k-$75k",IF(D1644&lt;100000,"$75k-$100k","$100k+")))))</x:f>
        <x:v>$25k-$50k</x:v>
      </x:c>
      <x:c r="P1644" t="str">
        <x:f>IF(E1644="","Unknown",IF(E1644&lt;10,"&lt;10",IF(E1644&lt;20,"10-&lt;20",IF(E1644&lt;25,"20-&lt;25",IF(E1644&lt;35,"25-&lt;35","35+")))))</x:f>
        <x:v>&lt;10</x:v>
      </x:c>
    </x:row>
    <x:row r="1645">
      <x:c r="A1645" t="str">
        <x:v>SYN0001644</x:v>
      </x:c>
      <x:c r="B1645" s="12" t="n">
        <x:v>43225</x:v>
      </x:c>
      <x:c r="C1645" s="18" t="n">
        <x:v>36135</x:v>
      </x:c>
      <x:c r="D1645" s="18" t="n">
        <x:v>49025</x:v>
      </x:c>
      <x:c r="E1645" s="18" t="n">
        <x:v>11.75</x:v>
      </x:c>
      <x:c r="F1645" s="18" t="n">
        <x:v>10.5</x:v>
      </x:c>
      <x:c r="G1645" t="n">
        <x:v>36</x:v>
      </x:c>
      <x:c r="H1645" t="str">
        <x:v>B</x:v>
      </x:c>
      <x:c r="I1645" t="str">
        <x:v>7-9 years</x:v>
      </x:c>
      <x:c r="J1645" t="str">
        <x:v>RENT</x:v>
      </x:c>
      <x:c r="K1645" t="str">
        <x:v>debt_consolidation</x:v>
      </x:c>
      <x:c r="L1645" t="n">
        <x:v>0</x:v>
      </x:c>
      <x:c r="M1645" t="n">
        <x:v>0</x:v>
      </x:c>
      <x:c r="N1645" t="str">
        <x:v>Fully Paid</x:v>
      </x:c>
      <x:c r="O1645" t="str">
        <x:f>IF(D1645="","Unknown",IF(D1645&lt;25000,"&lt;$25k",IF(D1645&lt;50000,"$25k-$50k",IF(D1645&lt;75000,"$50k-$75k",IF(D1645&lt;100000,"$75k-$100k","$100k+")))))</x:f>
        <x:v>$25k-$50k</x:v>
      </x:c>
      <x:c r="P1645" t="str">
        <x:f>IF(E1645="","Unknown",IF(E1645&lt;10,"&lt;10",IF(E1645&lt;20,"10-&lt;20",IF(E1645&lt;25,"20-&lt;25",IF(E1645&lt;35,"25-&lt;35","35+")))))</x:f>
        <x:v>10-&lt;20</x:v>
      </x:c>
    </x:row>
    <x:row r="1646">
      <x:c r="A1646" t="str">
        <x:v>SYN0001645</x:v>
      </x:c>
      <x:c r="B1646" s="12" t="n">
        <x:v>41545</x:v>
      </x:c>
      <x:c r="C1646" s="18" t="n">
        <x:v>15443</x:v>
      </x:c>
      <x:c r="D1646" s="18" t="n">
        <x:v>100781</x:v>
      </x:c>
      <x:c r="E1646" s="18" t="n">
        <x:v>15.9</x:v>
      </x:c>
      <x:c r="F1646" s="18" t="n">
        <x:v>22.32</x:v>
      </x:c>
      <x:c r="G1646" t="n">
        <x:v>36</x:v>
      </x:c>
      <x:c r="H1646" t="str">
        <x:v>F</x:v>
      </x:c>
      <x:c r="I1646" t="str">
        <x:v>10+ years</x:v>
      </x:c>
      <x:c r="J1646" t="str">
        <x:v>OWN</x:v>
      </x:c>
      <x:c r="K1646" t="str">
        <x:v>other</x:v>
      </x:c>
      <x:c r="L1646" t="n">
        <x:v>0</x:v>
      </x:c>
      <x:c r="M1646" t="n">
        <x:v>0</x:v>
      </x:c>
      <x:c r="N1646" t="str">
        <x:v>Fully Paid</x:v>
      </x:c>
      <x:c r="O1646" t="str">
        <x:f>IF(D1646="","Unknown",IF(D1646&lt;25000,"&lt;$25k",IF(D1646&lt;50000,"$25k-$50k",IF(D1646&lt;75000,"$50k-$75k",IF(D1646&lt;100000,"$75k-$100k","$100k+")))))</x:f>
        <x:v>$100k+</x:v>
      </x:c>
      <x:c r="P1646" t="str">
        <x:f>IF(E1646="","Unknown",IF(E1646&lt;10,"&lt;10",IF(E1646&lt;20,"10-&lt;20",IF(E1646&lt;25,"20-&lt;25",IF(E1646&lt;35,"25-&lt;35","35+")))))</x:f>
        <x:v>10-&lt;20</x:v>
      </x:c>
    </x:row>
    <x:row r="1647">
      <x:c r="A1647" t="str">
        <x:v>SYN0001646</x:v>
      </x:c>
      <x:c r="B1647" s="12" t="n">
        <x:v>42955</x:v>
      </x:c>
      <x:c r="C1647" s="18" t="n">
        <x:v>12166</x:v>
      </x:c>
      <x:c r="D1647" s="18" t="n">
        <x:v>52378</x:v>
      </x:c>
      <x:c r="E1647" s="18" t="n">
        <x:v>29.3</x:v>
      </x:c>
      <x:c r="F1647" s="18" t="n">
        <x:v>5.8</x:v>
      </x:c>
      <x:c r="G1647" t="n">
        <x:v>60</x:v>
      </x:c>
      <x:c r="H1647" t="str">
        <x:v>B</x:v>
      </x:c>
      <x:c r="I1647" t="str">
        <x:v>7-9 years</x:v>
      </x:c>
      <x:c r="J1647" t="str">
        <x:v>RENT</x:v>
      </x:c>
      <x:c r="K1647" t="str">
        <x:v>credit_card</x:v>
      </x:c>
      <x:c r="L1647" t="n">
        <x:v>1</x:v>
      </x:c>
      <x:c r="M1647" t="n">
        <x:v>0</x:v>
      </x:c>
      <x:c r="N1647" t="str">
        <x:v>Fully Paid</x:v>
      </x:c>
      <x:c r="O1647" t="str">
        <x:f>IF(D1647="","Unknown",IF(D1647&lt;25000,"&lt;$25k",IF(D1647&lt;50000,"$25k-$50k",IF(D1647&lt;75000,"$50k-$75k",IF(D1647&lt;100000,"$75k-$100k","$100k+")))))</x:f>
        <x:v>$50k-$75k</x:v>
      </x:c>
      <x:c r="P1647" t="str">
        <x:f>IF(E1647="","Unknown",IF(E1647&lt;10,"&lt;10",IF(E1647&lt;20,"10-&lt;20",IF(E1647&lt;25,"20-&lt;25",IF(E1647&lt;35,"25-&lt;35","35+")))))</x:f>
        <x:v>25-&lt;35</x:v>
      </x:c>
    </x:row>
    <x:row r="1648">
      <x:c r="A1648" t="str">
        <x:v>SYN0001647</x:v>
      </x:c>
      <x:c r="B1648" s="12" t="n">
        <x:v>42355</x:v>
      </x:c>
      <x:c r="C1648" s="18" t="n">
        <x:v>11435</x:v>
      </x:c>
      <x:c r="D1648" s="18" t="n">
        <x:v>53250</x:v>
      </x:c>
      <x:c r="E1648" s="18" t="n">
        <x:v>9.53</x:v>
      </x:c>
      <x:c r="F1648" s="18" t="n">
        <x:v>12.46</x:v>
      </x:c>
      <x:c r="G1648" t="n">
        <x:v>36</x:v>
      </x:c>
      <x:c r="H1648" t="str">
        <x:v>D</x:v>
      </x:c>
      <x:c r="I1648" t="str">
        <x:v>10+ years</x:v>
      </x:c>
      <x:c r="J1648" t="str">
        <x:v>RENT</x:v>
      </x:c>
      <x:c r="K1648" t="str">
        <x:v>credit_card</x:v>
      </x:c>
      <x:c r="L1648" t="n">
        <x:v>0</x:v>
      </x:c>
      <x:c r="M1648" t="n">
        <x:v>0</x:v>
      </x:c>
      <x:c r="N1648" t="str">
        <x:v>Fully Paid</x:v>
      </x:c>
      <x:c r="O1648" t="str">
        <x:f>IF(D1648="","Unknown",IF(D1648&lt;25000,"&lt;$25k",IF(D1648&lt;50000,"$25k-$50k",IF(D1648&lt;75000,"$50k-$75k",IF(D1648&lt;100000,"$75k-$100k","$100k+")))))</x:f>
        <x:v>$50k-$75k</x:v>
      </x:c>
      <x:c r="P1648" t="str">
        <x:f>IF(E1648="","Unknown",IF(E1648&lt;10,"&lt;10",IF(E1648&lt;20,"10-&lt;20",IF(E1648&lt;25,"20-&lt;25",IF(E1648&lt;35,"25-&lt;35","35+")))))</x:f>
        <x:v>&lt;10</x:v>
      </x:c>
    </x:row>
    <x:row r="1649">
      <x:c r="A1649" t="str">
        <x:v>SYN0001648</x:v>
      </x:c>
      <x:c r="B1649" s="12" t="n">
        <x:v>41455</x:v>
      </x:c>
      <x:c r="C1649" s="18" t="n">
        <x:v>11187</x:v>
      </x:c>
      <x:c r="D1649" s="18" t="n">
        <x:v>31336</x:v>
      </x:c>
      <x:c r="E1649" s="18" t="n">
        <x:v>18.98</x:v>
      </x:c>
      <x:c r="F1649" s="18" t="n">
        <x:v>15.28</x:v>
      </x:c>
      <x:c r="G1649" t="n">
        <x:v>36</x:v>
      </x:c>
      <x:c r="H1649" t="str">
        <x:v>D</x:v>
      </x:c>
      <x:c r="I1649" t="str">
        <x:v>10+ years</x:v>
      </x:c>
      <x:c r="J1649" t="str">
        <x:v>MORTGAGE</x:v>
      </x:c>
      <x:c r="K1649" t="str">
        <x:v>other</x:v>
      </x:c>
      <x:c r="L1649" t="n">
        <x:v>0</x:v>
      </x:c>
      <x:c r="M1649" t="n">
        <x:v>0</x:v>
      </x:c>
      <x:c r="N1649" t="str">
        <x:v>Fully Paid</x:v>
      </x:c>
      <x:c r="O1649" t="str">
        <x:f>IF(D1649="","Unknown",IF(D1649&lt;25000,"&lt;$25k",IF(D1649&lt;50000,"$25k-$50k",IF(D1649&lt;75000,"$50k-$75k",IF(D1649&lt;100000,"$75k-$100k","$100k+")))))</x:f>
        <x:v>$25k-$50k</x:v>
      </x:c>
      <x:c r="P1649" t="str">
        <x:f>IF(E1649="","Unknown",IF(E1649&lt;10,"&lt;10",IF(E1649&lt;20,"10-&lt;20",IF(E1649&lt;25,"20-&lt;25",IF(E1649&lt;35,"25-&lt;35","35+")))))</x:f>
        <x:v>10-&lt;20</x:v>
      </x:c>
    </x:row>
    <x:row r="1650">
      <x:c r="A1650" t="str">
        <x:v>SYN0001649</x:v>
      </x:c>
      <x:c r="B1650" s="12" t="n">
        <x:v>43075</x:v>
      </x:c>
      <x:c r="C1650" s="18" t="n">
        <x:v>12860</x:v>
      </x:c>
      <x:c r="D1650" s="18" t="n">
        <x:v>57903</x:v>
      </x:c>
      <x:c r="E1650" s="18" t="n">
        <x:v>28.96</x:v>
      </x:c>
      <x:c r="F1650" s="18" t="n">
        <x:v>27.54</x:v>
      </x:c>
      <x:c r="G1650" t="n">
        <x:v>60</x:v>
      </x:c>
      <x:c r="H1650" t="str">
        <x:v>G</x:v>
      </x:c>
      <x:c r="I1650" t="str">
        <x:v>1-3 years</x:v>
      </x:c>
      <x:c r="J1650" t="str">
        <x:v>OWN</x:v>
      </x:c>
      <x:c r="K1650" t="str">
        <x:v>debt_consolidation</x:v>
      </x:c>
      <x:c r="L1650" t="n">
        <x:v>1</x:v>
      </x:c>
      <x:c r="M1650" t="n">
        <x:v>1</x:v>
      </x:c>
      <x:c r="N1650" t="str">
        <x:v>Charged Off</x:v>
      </x:c>
      <x:c r="O1650" t="str">
        <x:f>IF(D1650="","Unknown",IF(D1650&lt;25000,"&lt;$25k",IF(D1650&lt;50000,"$25k-$50k",IF(D1650&lt;75000,"$50k-$75k",IF(D1650&lt;100000,"$75k-$100k","$100k+")))))</x:f>
        <x:v>$50k-$75k</x:v>
      </x:c>
      <x:c r="P1650" t="str">
        <x:f>IF(E1650="","Unknown",IF(E1650&lt;10,"&lt;10",IF(E1650&lt;20,"10-&lt;20",IF(E1650&lt;25,"20-&lt;25",IF(E1650&lt;35,"25-&lt;35","35+")))))</x:f>
        <x:v>25-&lt;35</x:v>
      </x:c>
    </x:row>
    <x:row r="1651">
      <x:c r="A1651" t="str">
        <x:v>SYN0001650</x:v>
      </x:c>
      <x:c r="B1651" s="12" t="n">
        <x:v>41755</x:v>
      </x:c>
      <x:c r="C1651" s="18" t="n">
        <x:v>15030</x:v>
      </x:c>
      <x:c r="D1651" s="18" t="n">
        <x:v>33951</x:v>
      </x:c>
      <x:c r="E1651" s="18" t="n">
        <x:v>18.53</x:v>
      </x:c>
      <x:c r="F1651" s="18" t="n">
        <x:v>8.79</x:v>
      </x:c>
      <x:c r="G1651" t="n">
        <x:v>36</x:v>
      </x:c>
      <x:c r="H1651" t="str">
        <x:v>A</x:v>
      </x:c>
      <x:c r="I1651" t="str">
        <x:v>1-3 years</x:v>
      </x:c>
      <x:c r="J1651" t="str">
        <x:v>OWN</x:v>
      </x:c>
      <x:c r="K1651" t="str">
        <x:v>debt_consolidation</x:v>
      </x:c>
      <x:c r="L1651" t="n">
        <x:v>0</x:v>
      </x:c>
      <x:c r="M1651" t="n">
        <x:v>0</x:v>
      </x:c>
      <x:c r="N1651" t="str">
        <x:v>Fully Paid</x:v>
      </x:c>
      <x:c r="O1651" t="str">
        <x:f>IF(D1651="","Unknown",IF(D1651&lt;25000,"&lt;$25k",IF(D1651&lt;50000,"$25k-$50k",IF(D1651&lt;75000,"$50k-$75k",IF(D1651&lt;100000,"$75k-$100k","$100k+")))))</x:f>
        <x:v>$25k-$50k</x:v>
      </x:c>
      <x:c r="P1651" t="str">
        <x:f>IF(E1651="","Unknown",IF(E1651&lt;10,"&lt;10",IF(E1651&lt;20,"10-&lt;20",IF(E1651&lt;25,"20-&lt;25",IF(E1651&lt;35,"25-&lt;35","35+")))))</x:f>
        <x:v>10-&lt;20</x:v>
      </x:c>
    </x:row>
    <x:row r="1652">
      <x:c r="A1652" t="str">
        <x:v>SYN0001651</x:v>
      </x:c>
      <x:c r="B1652" s="12" t="n">
        <x:v>43165</x:v>
      </x:c>
      <x:c r="C1652" s="18" t="n">
        <x:v>21461</x:v>
      </x:c>
      <x:c r="D1652" s="18" t="n">
        <x:v>21239</x:v>
      </x:c>
      <x:c r="E1652" s="18" t="n">
        <x:v>21.77</x:v>
      </x:c>
      <x:c r="F1652" s="18" t="n">
        <x:v>10.99</x:v>
      </x:c>
      <x:c r="G1652" t="n">
        <x:v>36</x:v>
      </x:c>
      <x:c r="H1652" t="str">
        <x:v>C</x:v>
      </x:c>
      <x:c r="I1652" t="str">
        <x:v>10+ years</x:v>
      </x:c>
      <x:c r="J1652" t="str">
        <x:v>OWN</x:v>
      </x:c>
      <x:c r="K1652" t="str">
        <x:v>home_improvement</x:v>
      </x:c>
      <x:c r="L1652" t="n">
        <x:v>0</x:v>
      </x:c>
      <x:c r="M1652" t="n">
        <x:v>0</x:v>
      </x:c>
      <x:c r="N1652" t="str">
        <x:v>Fully Paid</x:v>
      </x:c>
      <x:c r="O1652" t="str">
        <x:f>IF(D1652="","Unknown",IF(D1652&lt;25000,"&lt;$25k",IF(D1652&lt;50000,"$25k-$50k",IF(D1652&lt;75000,"$50k-$75k",IF(D1652&lt;100000,"$75k-$100k","$100k+")))))</x:f>
        <x:v>&lt;$25k</x:v>
      </x:c>
      <x:c r="P1652" t="str">
        <x:f>IF(E1652="","Unknown",IF(E1652&lt;10,"&lt;10",IF(E1652&lt;20,"10-&lt;20",IF(E1652&lt;25,"20-&lt;25",IF(E1652&lt;35,"25-&lt;35","35+")))))</x:f>
        <x:v>20-&lt;25</x:v>
      </x:c>
    </x:row>
    <x:row r="1653">
      <x:c r="A1653" t="str">
        <x:v>SYN0001652</x:v>
      </x:c>
      <x:c r="B1653" s="12" t="n">
        <x:v>41275</x:v>
      </x:c>
      <x:c r="C1653" s="18" t="n">
        <x:v>26219</x:v>
      </x:c>
      <x:c r="D1653" s="18" t="n">
        <x:v>65798</x:v>
      </x:c>
      <x:c r="E1653" s="18" t="n">
        <x:v>24.71</x:v>
      </x:c>
      <x:c r="F1653" s="18" t="n">
        <x:v>9.22</x:v>
      </x:c>
      <x:c r="G1653" t="n">
        <x:v>60</x:v>
      </x:c>
      <x:c r="H1653" t="str">
        <x:v>C</x:v>
      </x:c>
      <x:c r="I1653" t="str">
        <x:v>7-9 years</x:v>
      </x:c>
      <x:c r="J1653" t="str">
        <x:v>RENT</x:v>
      </x:c>
      <x:c r="K1653" t="str">
        <x:v>debt_consolidation</x:v>
      </x:c>
      <x:c r="L1653" t="n">
        <x:v>0</x:v>
      </x:c>
      <x:c r="M1653" t="n">
        <x:v>0</x:v>
      </x:c>
      <x:c r="N1653" t="str">
        <x:v>Fully Paid</x:v>
      </x:c>
      <x:c r="O1653" t="str">
        <x:f>IF(D1653="","Unknown",IF(D1653&lt;25000,"&lt;$25k",IF(D1653&lt;50000,"$25k-$50k",IF(D1653&lt;75000,"$50k-$75k",IF(D1653&lt;100000,"$75k-$100k","$100k+")))))</x:f>
        <x:v>$50k-$75k</x:v>
      </x:c>
      <x:c r="P1653" t="str">
        <x:f>IF(E1653="","Unknown",IF(E1653&lt;10,"&lt;10",IF(E1653&lt;20,"10-&lt;20",IF(E1653&lt;25,"20-&lt;25",IF(E1653&lt;35,"25-&lt;35","35+")))))</x:f>
        <x:v>20-&lt;25</x:v>
      </x:c>
    </x:row>
    <x:row r="1654">
      <x:c r="A1654" t="str">
        <x:v>SYN0001653</x:v>
      </x:c>
      <x:c r="B1654" s="12" t="n">
        <x:v>42745</x:v>
      </x:c>
      <x:c r="C1654" s="18" t="n">
        <x:v>17336</x:v>
      </x:c>
      <x:c r="D1654" s="18" t="n">
        <x:v>68387</x:v>
      </x:c>
      <x:c r="E1654" s="18" t="n">
        <x:v>20.63</x:v>
      </x:c>
      <x:c r="F1654" s="18" t="n">
        <x:v>10.88</x:v>
      </x:c>
      <x:c r="G1654" t="n">
        <x:v>36</x:v>
      </x:c>
      <x:c r="H1654" t="str">
        <x:v>B</x:v>
      </x:c>
      <x:c r="I1654" t="str">
        <x:v>1-3 years</x:v>
      </x:c>
      <x:c r="J1654" t="str">
        <x:v>OWN</x:v>
      </x:c>
      <x:c r="K1654" t="str">
        <x:v>credit_card</x:v>
      </x:c>
      <x:c r="L1654" t="n">
        <x:v>0</x:v>
      </x:c>
      <x:c r="M1654" t="n">
        <x:v>0</x:v>
      </x:c>
      <x:c r="N1654" t="str">
        <x:v>Fully Paid</x:v>
      </x:c>
      <x:c r="O1654" t="str">
        <x:f>IF(D1654="","Unknown",IF(D1654&lt;25000,"&lt;$25k",IF(D1654&lt;50000,"$25k-$50k",IF(D1654&lt;75000,"$50k-$75k",IF(D1654&lt;100000,"$75k-$100k","$100k+")))))</x:f>
        <x:v>$50k-$75k</x:v>
      </x:c>
      <x:c r="P1654" t="str">
        <x:f>IF(E1654="","Unknown",IF(E1654&lt;10,"&lt;10",IF(E1654&lt;20,"10-&lt;20",IF(E1654&lt;25,"20-&lt;25",IF(E1654&lt;35,"25-&lt;35","35+")))))</x:f>
        <x:v>20-&lt;25</x:v>
      </x:c>
    </x:row>
    <x:row r="1655">
      <x:c r="A1655" t="str">
        <x:v>SYN0001654</x:v>
      </x:c>
      <x:c r="B1655" s="12" t="n">
        <x:v>41875</x:v>
      </x:c>
      <x:c r="C1655" s="18" t="n">
        <x:v>15023</x:v>
      </x:c>
      <x:c r="D1655" s="18" t="n">
        <x:v>28969</x:v>
      </x:c>
      <x:c r="E1655" s="18" t="n">
        <x:v>14.46</x:v>
      </x:c>
      <x:c r="F1655" s="18" t="n">
        <x:v>5.77</x:v>
      </x:c>
      <x:c r="G1655" t="n">
        <x:v>36</x:v>
      </x:c>
      <x:c r="H1655" t="str">
        <x:v>B</x:v>
      </x:c>
      <x:c r="I1655" t="str">
        <x:v>&lt;1 year</x:v>
      </x:c>
      <x:c r="J1655" t="str">
        <x:v>MORTGAGE</x:v>
      </x:c>
      <x:c r="K1655" t="str">
        <x:v>debt_consolidation</x:v>
      </x:c>
      <x:c r="L1655" t="n">
        <x:v>2</x:v>
      </x:c>
      <x:c r="M1655" t="n">
        <x:v>0</x:v>
      </x:c>
      <x:c r="N1655" t="str">
        <x:v>Fully Paid</x:v>
      </x:c>
      <x:c r="O1655" t="str">
        <x:f>IF(D1655="","Unknown",IF(D1655&lt;25000,"&lt;$25k",IF(D1655&lt;50000,"$25k-$50k",IF(D1655&lt;75000,"$50k-$75k",IF(D1655&lt;100000,"$75k-$100k","$100k+")))))</x:f>
        <x:v>$25k-$50k</x:v>
      </x:c>
      <x:c r="P1655" t="str">
        <x:f>IF(E1655="","Unknown",IF(E1655&lt;10,"&lt;10",IF(E1655&lt;20,"10-&lt;20",IF(E1655&lt;25,"20-&lt;25",IF(E1655&lt;35,"25-&lt;35","35+")))))</x:f>
        <x:v>10-&lt;20</x:v>
      </x:c>
    </x:row>
    <x:row r="1656">
      <x:c r="A1656" t="str">
        <x:v>SYN0001655</x:v>
      </x:c>
      <x:c r="B1656" s="12" t="n">
        <x:v>42625</x:v>
      </x:c>
      <x:c r="C1656" s="18" t="n">
        <x:v>16578</x:v>
      </x:c>
      <x:c r="D1656" s="18" t="n">
        <x:v>38183</x:v>
      </x:c>
      <x:c r="E1656" s="18" t="n">
        <x:v>11.37</x:v>
      </x:c>
      <x:c r="F1656" s="18" t="n">
        <x:v>8.57</x:v>
      </x:c>
      <x:c r="G1656" t="n">
        <x:v>36</x:v>
      </x:c>
      <x:c r="H1656" t="str">
        <x:v>C</x:v>
      </x:c>
      <x:c r="I1656" t="str">
        <x:v>7-9 years</x:v>
      </x:c>
      <x:c r="J1656" t="str">
        <x:v>MORTGAGE</x:v>
      </x:c>
      <x:c r="K1656" t="str">
        <x:v>debt_consolidation</x:v>
      </x:c>
      <x:c r="L1656" t="n">
        <x:v>1</x:v>
      </x:c>
      <x:c r="M1656" t="n">
        <x:v>0</x:v>
      </x:c>
      <x:c r="N1656" t="str">
        <x:v>Fully Paid</x:v>
      </x:c>
      <x:c r="O1656" t="str">
        <x:f>IF(D1656="","Unknown",IF(D1656&lt;25000,"&lt;$25k",IF(D1656&lt;50000,"$25k-$50k",IF(D1656&lt;75000,"$50k-$75k",IF(D1656&lt;100000,"$75k-$100k","$100k+")))))</x:f>
        <x:v>$25k-$50k</x:v>
      </x:c>
      <x:c r="P1656" t="str">
        <x:f>IF(E1656="","Unknown",IF(E1656&lt;10,"&lt;10",IF(E1656&lt;20,"10-&lt;20",IF(E1656&lt;25,"20-&lt;25",IF(E1656&lt;35,"25-&lt;35","35+")))))</x:f>
        <x:v>10-&lt;20</x:v>
      </x:c>
    </x:row>
    <x:row r="1657">
      <x:c r="A1657" t="str">
        <x:v>SYN0001656</x:v>
      </x:c>
      <x:c r="B1657" s="12" t="n">
        <x:v>41785</x:v>
      </x:c>
      <x:c r="C1657" s="18" t="n">
        <x:v>10435</x:v>
      </x:c>
      <x:c r="D1657" s="18" t="n">
        <x:v>47043</x:v>
      </x:c>
      <x:c r="E1657" s="18" t="n">
        <x:v>0</x:v>
      </x:c>
      <x:c r="F1657" s="18" t="n">
        <x:v>9.01</x:v>
      </x:c>
      <x:c r="G1657" t="n">
        <x:v>36</x:v>
      </x:c>
      <x:c r="H1657" t="str">
        <x:v>C</x:v>
      </x:c>
      <x:c r="I1657" t="str">
        <x:v>&lt;1 year</x:v>
      </x:c>
      <x:c r="J1657" t="str">
        <x:v>MORTGAGE</x:v>
      </x:c>
      <x:c r="K1657" t="str">
        <x:v>medical</x:v>
      </x:c>
      <x:c r="L1657" t="n">
        <x:v>0</x:v>
      </x:c>
      <x:c r="M1657" t="n">
        <x:v>0</x:v>
      </x:c>
      <x:c r="N1657" t="str">
        <x:v>Fully Paid</x:v>
      </x:c>
      <x:c r="O1657" t="str">
        <x:f>IF(D1657="","Unknown",IF(D1657&lt;25000,"&lt;$25k",IF(D1657&lt;50000,"$25k-$50k",IF(D1657&lt;75000,"$50k-$75k",IF(D1657&lt;100000,"$75k-$100k","$100k+")))))</x:f>
        <x:v>$25k-$50k</x:v>
      </x:c>
      <x:c r="P1657" t="str">
        <x:f>IF(E1657="","Unknown",IF(E1657&lt;10,"&lt;10",IF(E1657&lt;20,"10-&lt;20",IF(E1657&lt;25,"20-&lt;25",IF(E1657&lt;35,"25-&lt;35","35+")))))</x:f>
        <x:v>Unknown</x:v>
      </x:c>
    </x:row>
    <x:row r="1658">
      <x:c r="A1658" t="str">
        <x:v>SYN0001657</x:v>
      </x:c>
      <x:c r="B1658" s="12" t="n">
        <x:v>42505</x:v>
      </x:c>
      <x:c r="C1658" s="18" t="n">
        <x:v>16197</x:v>
      </x:c>
      <x:c r="D1658" s="18" t="n">
        <x:v>84208</x:v>
      </x:c>
      <x:c r="E1658" s="18" t="n">
        <x:v>27.39</x:v>
      </x:c>
      <x:c r="F1658" s="18" t="n">
        <x:v>22.43</x:v>
      </x:c>
      <x:c r="G1658" t="n">
        <x:v>36</x:v>
      </x:c>
      <x:c r="H1658" t="str">
        <x:v>F</x:v>
      </x:c>
      <x:c r="I1658" t="str">
        <x:v>4-6 years</x:v>
      </x:c>
      <x:c r="J1658" t="str">
        <x:v>OWN</x:v>
      </x:c>
      <x:c r="K1658" t="str">
        <x:v>debt_consolidation</x:v>
      </x:c>
      <x:c r="L1658" t="n">
        <x:v>1</x:v>
      </x:c>
      <x:c r="M1658" t="n">
        <x:v>0</x:v>
      </x:c>
      <x:c r="N1658" t="str">
        <x:v>Fully Paid</x:v>
      </x:c>
      <x:c r="O1658" t="str">
        <x:f>IF(D1658="","Unknown",IF(D1658&lt;25000,"&lt;$25k",IF(D1658&lt;50000,"$25k-$50k",IF(D1658&lt;75000,"$50k-$75k",IF(D1658&lt;100000,"$75k-$100k","$100k+")))))</x:f>
        <x:v>$75k-$100k</x:v>
      </x:c>
      <x:c r="P1658" t="str">
        <x:f>IF(E1658="","Unknown",IF(E1658&lt;10,"&lt;10",IF(E1658&lt;20,"10-&lt;20",IF(E1658&lt;25,"20-&lt;25",IF(E1658&lt;35,"25-&lt;35","35+")))))</x:f>
        <x:v>25-&lt;35</x:v>
      </x:c>
    </x:row>
    <x:row r="1659">
      <x:c r="A1659" t="str">
        <x:v>SYN0001658</x:v>
      </x:c>
      <x:c r="B1659" s="12" t="n">
        <x:v>41785</x:v>
      </x:c>
      <x:c r="C1659" s="18" t="n">
        <x:v>16045</x:v>
      </x:c>
      <x:c r="D1659" s="18" t="n">
        <x:v>18338</x:v>
      </x:c>
      <x:c r="E1659" s="18" t="n">
        <x:v>12.81</x:v>
      </x:c>
      <x:c r="F1659" s="18" t="n">
        <x:v>8.07</x:v>
      </x:c>
      <x:c r="G1659" t="n">
        <x:v>60</x:v>
      </x:c>
      <x:c r="H1659" t="str">
        <x:v>A</x:v>
      </x:c>
      <x:c r="I1659" t="str">
        <x:v>1-3 years</x:v>
      </x:c>
      <x:c r="J1659" t="str">
        <x:v>MORTGAGE</x:v>
      </x:c>
      <x:c r="K1659" t="str">
        <x:v>debt_consolidation</x:v>
      </x:c>
      <x:c r="L1659" t="n">
        <x:v>0</x:v>
      </x:c>
      <x:c r="M1659" t="n">
        <x:v>0</x:v>
      </x:c>
      <x:c r="N1659" t="str">
        <x:v>Fully Paid</x:v>
      </x:c>
      <x:c r="O1659" t="str">
        <x:f>IF(D1659="","Unknown",IF(D1659&lt;25000,"&lt;$25k",IF(D1659&lt;50000,"$25k-$50k",IF(D1659&lt;75000,"$50k-$75k",IF(D1659&lt;100000,"$75k-$100k","$100k+")))))</x:f>
        <x:v>&lt;$25k</x:v>
      </x:c>
      <x:c r="P1659" t="str">
        <x:f>IF(E1659="","Unknown",IF(E1659&lt;10,"&lt;10",IF(E1659&lt;20,"10-&lt;20",IF(E1659&lt;25,"20-&lt;25",IF(E1659&lt;35,"25-&lt;35","35+")))))</x:f>
        <x:v>10-&lt;20</x:v>
      </x:c>
    </x:row>
    <x:row r="1660">
      <x:c r="A1660" t="str">
        <x:v>SYN0001659</x:v>
      </x:c>
      <x:c r="B1660" s="12" t="n">
        <x:v>43105</x:v>
      </x:c>
      <x:c r="C1660" s="18" t="n">
        <x:v>19825</x:v>
      </x:c>
      <x:c r="D1660" s="18" t="n">
        <x:v>36058</x:v>
      </x:c>
      <x:c r="E1660" s="18" t="n">
        <x:v>27.56</x:v>
      </x:c>
      <x:c r="F1660" s="18" t="n">
        <x:v>9.35</x:v>
      </x:c>
      <x:c r="G1660" t="n">
        <x:v>60</x:v>
      </x:c>
      <x:c r="H1660" t="str">
        <x:v>B</x:v>
      </x:c>
      <x:c r="I1660" t="str">
        <x:v>4-6 years</x:v>
      </x:c>
      <x:c r="J1660" t="str">
        <x:v>RENT</x:v>
      </x:c>
      <x:c r="K1660" t="str">
        <x:v>credit_card</x:v>
      </x:c>
      <x:c r="L1660" t="n">
        <x:v>0</x:v>
      </x:c>
      <x:c r="M1660" t="n">
        <x:v>0</x:v>
      </x:c>
      <x:c r="N1660" t="str">
        <x:v>Fully Paid</x:v>
      </x:c>
      <x:c r="O1660" t="str">
        <x:f>IF(D1660="","Unknown",IF(D1660&lt;25000,"&lt;$25k",IF(D1660&lt;50000,"$25k-$50k",IF(D1660&lt;75000,"$50k-$75k",IF(D1660&lt;100000,"$75k-$100k","$100k+")))))</x:f>
        <x:v>$25k-$50k</x:v>
      </x:c>
      <x:c r="P1660" t="str">
        <x:f>IF(E1660="","Unknown",IF(E1660&lt;10,"&lt;10",IF(E1660&lt;20,"10-&lt;20",IF(E1660&lt;25,"20-&lt;25",IF(E1660&lt;35,"25-&lt;35","35+")))))</x:f>
        <x:v>25-&lt;35</x:v>
      </x:c>
    </x:row>
    <x:row r="1661">
      <x:c r="A1661" t="str">
        <x:v>SYN0001660</x:v>
      </x:c>
      <x:c r="B1661" s="12" t="n">
        <x:v>41305</x:v>
      </x:c>
      <x:c r="C1661" s="18" t="n">
        <x:v>7169</x:v>
      </x:c>
      <x:c r="D1661" s="18" t="n">
        <x:v>23448</x:v>
      </x:c>
      <x:c r="E1661" s="18" t="n">
        <x:v>19.86</x:v>
      </x:c>
      <x:c r="F1661" s="18" t="n">
        <x:v>15.24</x:v>
      </x:c>
      <x:c r="G1661" t="n">
        <x:v>36</x:v>
      </x:c>
      <x:c r="H1661" t="str">
        <x:v>E</x:v>
      </x:c>
      <x:c r="I1661" t="str">
        <x:v>1-3 years</x:v>
      </x:c>
      <x:c r="J1661" t="str">
        <x:v>RENT</x:v>
      </x:c>
      <x:c r="K1661" t="str">
        <x:v>credit_card</x:v>
      </x:c>
      <x:c r="L1661" t="n">
        <x:v>0</x:v>
      </x:c>
      <x:c r="M1661" t="n">
        <x:v>0</x:v>
      </x:c>
      <x:c r="N1661" t="str">
        <x:v>Fully Paid</x:v>
      </x:c>
      <x:c r="O1661" t="str">
        <x:f>IF(D1661="","Unknown",IF(D1661&lt;25000,"&lt;$25k",IF(D1661&lt;50000,"$25k-$50k",IF(D1661&lt;75000,"$50k-$75k",IF(D1661&lt;100000,"$75k-$100k","$100k+")))))</x:f>
        <x:v>&lt;$25k</x:v>
      </x:c>
      <x:c r="P1661" t="str">
        <x:f>IF(E1661="","Unknown",IF(E1661&lt;10,"&lt;10",IF(E1661&lt;20,"10-&lt;20",IF(E1661&lt;25,"20-&lt;25",IF(E1661&lt;35,"25-&lt;35","35+")))))</x:f>
        <x:v>10-&lt;20</x:v>
      </x:c>
    </x:row>
    <x:row r="1662">
      <x:c r="A1662" t="str">
        <x:v>SYN0001661</x:v>
      </x:c>
      <x:c r="B1662" s="12" t="n">
        <x:v>42745</x:v>
      </x:c>
      <x:c r="C1662" s="18" t="n">
        <x:v>16340</x:v>
      </x:c>
      <x:c r="D1662" s="18" t="n">
        <x:v>52668</x:v>
      </x:c>
      <x:c r="E1662" s="18" t="n">
        <x:v>27.25</x:v>
      </x:c>
      <x:c r="F1662" s="18" t="n">
        <x:v>10.93</x:v>
      </x:c>
      <x:c r="G1662" t="n">
        <x:v>60</x:v>
      </x:c>
      <x:c r="H1662" t="str">
        <x:v>C</x:v>
      </x:c>
      <x:c r="I1662" t="str">
        <x:v>4-6 years</x:v>
      </x:c>
      <x:c r="J1662" t="str">
        <x:v>RENT</x:v>
      </x:c>
      <x:c r="K1662" t="str">
        <x:v>credit_card</x:v>
      </x:c>
      <x:c r="L1662" t="n">
        <x:v>0</x:v>
      </x:c>
      <x:c r="M1662" t="n">
        <x:v>0</x:v>
      </x:c>
      <x:c r="N1662" t="str">
        <x:v>Fully Paid</x:v>
      </x:c>
      <x:c r="O1662" t="str">
        <x:f>IF(D1662="","Unknown",IF(D1662&lt;25000,"&lt;$25k",IF(D1662&lt;50000,"$25k-$50k",IF(D1662&lt;75000,"$50k-$75k",IF(D1662&lt;100000,"$75k-$100k","$100k+")))))</x:f>
        <x:v>$50k-$75k</x:v>
      </x:c>
      <x:c r="P1662" t="str">
        <x:f>IF(E1662="","Unknown",IF(E1662&lt;10,"&lt;10",IF(E1662&lt;20,"10-&lt;20",IF(E1662&lt;25,"20-&lt;25",IF(E1662&lt;35,"25-&lt;35","35+")))))</x:f>
        <x:v>25-&lt;35</x:v>
      </x:c>
    </x:row>
    <x:row r="1663">
      <x:c r="A1663" t="str">
        <x:v>SYN0001662</x:v>
      </x:c>
      <x:c r="B1663" s="12" t="n">
        <x:v>41695</x:v>
      </x:c>
      <x:c r="C1663" s="18" t="n">
        <x:v>8647</x:v>
      </x:c>
      <x:c r="D1663" s="18" t="n">
        <x:v>93782</x:v>
      </x:c>
      <x:c r="E1663" s="18" t="n">
        <x:v>17.29</x:v>
      </x:c>
      <x:c r="F1663" s="18" t="n">
        <x:v>20.3</x:v>
      </x:c>
      <x:c r="G1663" t="n">
        <x:v>60</x:v>
      </x:c>
      <x:c r="H1663" t="str">
        <x:v>E</x:v>
      </x:c>
      <x:c r="I1663" t="str">
        <x:v>10+ years</x:v>
      </x:c>
      <x:c r="J1663" t="str">
        <x:v>RENT</x:v>
      </x:c>
      <x:c r="K1663" t="str">
        <x:v>home_improvement</x:v>
      </x:c>
      <x:c r="L1663" t="n">
        <x:v>2</x:v>
      </x:c>
      <x:c r="M1663" t="n">
        <x:v>0</x:v>
      </x:c>
      <x:c r="N1663" t="str">
        <x:v>Fully Paid</x:v>
      </x:c>
      <x:c r="O1663" t="str">
        <x:f>IF(D1663="","Unknown",IF(D1663&lt;25000,"&lt;$25k",IF(D1663&lt;50000,"$25k-$50k",IF(D1663&lt;75000,"$50k-$75k",IF(D1663&lt;100000,"$75k-$100k","$100k+")))))</x:f>
        <x:v>$75k-$100k</x:v>
      </x:c>
      <x:c r="P1663" t="str">
        <x:f>IF(E1663="","Unknown",IF(E1663&lt;10,"&lt;10",IF(E1663&lt;20,"10-&lt;20",IF(E1663&lt;25,"20-&lt;25",IF(E1663&lt;35,"25-&lt;35","35+")))))</x:f>
        <x:v>10-&lt;20</x:v>
      </x:c>
    </x:row>
    <x:row r="1664">
      <x:c r="A1664" t="str">
        <x:v>SYN0001663</x:v>
      </x:c>
      <x:c r="B1664" s="12" t="n">
        <x:v>41635</x:v>
      </x:c>
      <x:c r="C1664" s="18" t="n">
        <x:v>13132</x:v>
      </x:c>
      <x:c r="D1664" s="18" t="n">
        <x:v>50868</x:v>
      </x:c>
      <x:c r="E1664" s="18" t="n">
        <x:v>18.85</x:v>
      </x:c>
      <x:c r="F1664" s="18" t="n">
        <x:v>10.84</x:v>
      </x:c>
      <x:c r="G1664" t="n">
        <x:v>60</x:v>
      </x:c>
      <x:c r="H1664" t="str">
        <x:v>C</x:v>
      </x:c>
      <x:c r="I1664" t="str">
        <x:v>10+ years</x:v>
      </x:c>
      <x:c r="J1664" t="str">
        <x:v>OWN</x:v>
      </x:c>
      <x:c r="K1664" t="str">
        <x:v>other</x:v>
      </x:c>
      <x:c r="L1664" t="n">
        <x:v>0</x:v>
      </x:c>
      <x:c r="M1664" t="n">
        <x:v>0</x:v>
      </x:c>
      <x:c r="N1664" t="str">
        <x:v>Fully Paid</x:v>
      </x:c>
      <x:c r="O1664" t="str">
        <x:f>IF(D1664="","Unknown",IF(D1664&lt;25000,"&lt;$25k",IF(D1664&lt;50000,"$25k-$50k",IF(D1664&lt;75000,"$50k-$75k",IF(D1664&lt;100000,"$75k-$100k","$100k+")))))</x:f>
        <x:v>$50k-$75k</x:v>
      </x:c>
      <x:c r="P1664" t="str">
        <x:f>IF(E1664="","Unknown",IF(E1664&lt;10,"&lt;10",IF(E1664&lt;20,"10-&lt;20",IF(E1664&lt;25,"20-&lt;25",IF(E1664&lt;35,"25-&lt;35","35+")))))</x:f>
        <x:v>10-&lt;20</x:v>
      </x:c>
    </x:row>
    <x:row r="1665">
      <x:c r="A1665" t="str">
        <x:v>SYN0001664</x:v>
      </x:c>
      <x:c r="B1665" s="12" t="n">
        <x:v>41815</x:v>
      </x:c>
      <x:c r="C1665" s="18" t="n">
        <x:v>13070</x:v>
      </x:c>
      <x:c r="D1665" s="18" t="n">
        <x:v>33168</x:v>
      </x:c>
      <x:c r="E1665" s="18" t="n">
        <x:v>19.79</x:v>
      </x:c>
      <x:c r="F1665" s="18" t="n">
        <x:v>18.56</x:v>
      </x:c>
      <x:c r="G1665" t="n">
        <x:v>36</x:v>
      </x:c>
      <x:c r="H1665" t="str">
        <x:v>D</x:v>
      </x:c>
      <x:c r="I1665" t="str">
        <x:v>10+ years</x:v>
      </x:c>
      <x:c r="J1665" t="str">
        <x:v>MORTGAGE</x:v>
      </x:c>
      <x:c r="K1665" t="str">
        <x:v>home_improvement</x:v>
      </x:c>
      <x:c r="L1665" t="n">
        <x:v>0</x:v>
      </x:c>
      <x:c r="M1665" t="n">
        <x:v>0</x:v>
      </x:c>
      <x:c r="N1665" t="str">
        <x:v>Fully Paid</x:v>
      </x:c>
      <x:c r="O1665" t="str">
        <x:f>IF(D1665="","Unknown",IF(D1665&lt;25000,"&lt;$25k",IF(D1665&lt;50000,"$25k-$50k",IF(D1665&lt;75000,"$50k-$75k",IF(D1665&lt;100000,"$75k-$100k","$100k+")))))</x:f>
        <x:v>$25k-$50k</x:v>
      </x:c>
      <x:c r="P1665" t="str">
        <x:f>IF(E1665="","Unknown",IF(E1665&lt;10,"&lt;10",IF(E1665&lt;20,"10-&lt;20",IF(E1665&lt;25,"20-&lt;25",IF(E1665&lt;35,"25-&lt;35","35+")))))</x:f>
        <x:v>10-&lt;20</x:v>
      </x:c>
    </x:row>
    <x:row r="1666">
      <x:c r="A1666" t="str">
        <x:v>SYN0001665</x:v>
      </x:c>
      <x:c r="B1666" s="12" t="n">
        <x:v>41815</x:v>
      </x:c>
      <x:c r="C1666" s="18" t="n">
        <x:v>11266</x:v>
      </x:c>
      <x:c r="D1666" s="18" t="n">
        <x:v>67194</x:v>
      </x:c>
      <x:c r="E1666" s="18" t="n">
        <x:v>26.43</x:v>
      </x:c>
      <x:c r="F1666" s="18" t="n">
        <x:v>11.44</x:v>
      </x:c>
      <x:c r="G1666" t="n">
        <x:v>36</x:v>
      </x:c>
      <x:c r="H1666" t="str">
        <x:v>C</x:v>
      </x:c>
      <x:c r="I1666" t="str">
        <x:v>10+ years</x:v>
      </x:c>
      <x:c r="J1666" t="str">
        <x:v>RENT</x:v>
      </x:c>
      <x:c r="K1666" t="str">
        <x:v>major_purchase</x:v>
      </x:c>
      <x:c r="L1666" t="n">
        <x:v>0</x:v>
      </x:c>
      <x:c r="M1666" t="n">
        <x:v>0</x:v>
      </x:c>
      <x:c r="N1666" t="str">
        <x:v>Fully Paid</x:v>
      </x:c>
      <x:c r="O1666" t="str">
        <x:f>IF(D1666="","Unknown",IF(D1666&lt;25000,"&lt;$25k",IF(D1666&lt;50000,"$25k-$50k",IF(D1666&lt;75000,"$50k-$75k",IF(D1666&lt;100000,"$75k-$100k","$100k+")))))</x:f>
        <x:v>$50k-$75k</x:v>
      </x:c>
      <x:c r="P1666" t="str">
        <x:f>IF(E1666="","Unknown",IF(E1666&lt;10,"&lt;10",IF(E1666&lt;20,"10-&lt;20",IF(E1666&lt;25,"20-&lt;25",IF(E1666&lt;35,"25-&lt;35","35+")))))</x:f>
        <x:v>25-&lt;35</x:v>
      </x:c>
    </x:row>
    <x:row r="1667">
      <x:c r="A1667" t="str">
        <x:v>SYN0001666</x:v>
      </x:c>
      <x:c r="B1667" s="12" t="n">
        <x:v>41455</x:v>
      </x:c>
      <x:c r="C1667" s="18" t="n">
        <x:v>12956</x:v>
      </x:c>
      <x:c r="D1667" s="18" t="n">
        <x:v>42332</x:v>
      </x:c>
      <x:c r="E1667" s="18" t="n">
        <x:v>7.82</x:v>
      </x:c>
      <x:c r="F1667" s="18" t="n">
        <x:v>8.33</x:v>
      </x:c>
      <x:c r="G1667" t="n">
        <x:v>36</x:v>
      </x:c>
      <x:c r="H1667" t="str">
        <x:v>A</x:v>
      </x:c>
      <x:c r="I1667" t="str">
        <x:v>7-9 years</x:v>
      </x:c>
      <x:c r="J1667" t="str">
        <x:v>RENT</x:v>
      </x:c>
      <x:c r="K1667" t="str">
        <x:v>debt_consolidation</x:v>
      </x:c>
      <x:c r="L1667" t="n">
        <x:v>0</x:v>
      </x:c>
      <x:c r="M1667" t="n">
        <x:v>0</x:v>
      </x:c>
      <x:c r="N1667" t="str">
        <x:v>Fully Paid</x:v>
      </x:c>
      <x:c r="O1667" t="str">
        <x:f>IF(D1667="","Unknown",IF(D1667&lt;25000,"&lt;$25k",IF(D1667&lt;50000,"$25k-$50k",IF(D1667&lt;75000,"$50k-$75k",IF(D1667&lt;100000,"$75k-$100k","$100k+")))))</x:f>
        <x:v>$25k-$50k</x:v>
      </x:c>
      <x:c r="P1667" t="str">
        <x:f>IF(E1667="","Unknown",IF(E1667&lt;10,"&lt;10",IF(E1667&lt;20,"10-&lt;20",IF(E1667&lt;25,"20-&lt;25",IF(E1667&lt;35,"25-&lt;35","35+")))))</x:f>
        <x:v>&lt;10</x:v>
      </x:c>
    </x:row>
    <x:row r="1668">
      <x:c r="A1668" t="str">
        <x:v>SYN0001667</x:v>
      </x:c>
      <x:c r="B1668" s="12" t="n">
        <x:v>43135</x:v>
      </x:c>
      <x:c r="C1668" s="18" t="n">
        <x:v>17602</x:v>
      </x:c>
      <x:c r="D1668" s="18" t="n">
        <x:v>70633</x:v>
      </x:c>
      <x:c r="E1668" s="18" t="n">
        <x:v>31.73</x:v>
      </x:c>
      <x:c r="F1668" s="18" t="n">
        <x:v>18.77</x:v>
      </x:c>
      <x:c r="G1668" t="n">
        <x:v>36</x:v>
      </x:c>
      <x:c r="H1668" t="str">
        <x:v>E</x:v>
      </x:c>
      <x:c r="I1668" t="str">
        <x:v>7-9 years</x:v>
      </x:c>
      <x:c r="J1668" t="str">
        <x:v>MORTGAGE</x:v>
      </x:c>
      <x:c r="K1668" t="str">
        <x:v>debt_consolidation</x:v>
      </x:c>
      <x:c r="L1668" t="n">
        <x:v>1</x:v>
      </x:c>
      <x:c r="M1668" t="n">
        <x:v>0</x:v>
      </x:c>
      <x:c r="N1668" t="str">
        <x:v>Fully Paid</x:v>
      </x:c>
      <x:c r="O1668" t="str">
        <x:f>IF(D1668="","Unknown",IF(D1668&lt;25000,"&lt;$25k",IF(D1668&lt;50000,"$25k-$50k",IF(D1668&lt;75000,"$50k-$75k",IF(D1668&lt;100000,"$75k-$100k","$100k+")))))</x:f>
        <x:v>$50k-$75k</x:v>
      </x:c>
      <x:c r="P1668" t="str">
        <x:f>IF(E1668="","Unknown",IF(E1668&lt;10,"&lt;10",IF(E1668&lt;20,"10-&lt;20",IF(E1668&lt;25,"20-&lt;25",IF(E1668&lt;35,"25-&lt;35","35+")))))</x:f>
        <x:v>25-&lt;35</x:v>
      </x:c>
    </x:row>
    <x:row r="1669">
      <x:c r="A1669" t="str">
        <x:v>SYN0001668</x:v>
      </x:c>
      <x:c r="B1669" s="12" t="n">
        <x:v>41935</x:v>
      </x:c>
      <x:c r="C1669" s="18" t="n">
        <x:v>3436</x:v>
      </x:c>
      <x:c r="D1669" s="18" t="n">
        <x:v>65393</x:v>
      </x:c>
      <x:c r="E1669" s="18" t="n">
        <x:v>16.43</x:v>
      </x:c>
      <x:c r="F1669" s="18" t="n">
        <x:v>9.82</x:v>
      </x:c>
      <x:c r="G1669" t="n">
        <x:v>36</x:v>
      </x:c>
      <x:c r="H1669" t="str">
        <x:v>B</x:v>
      </x:c>
      <x:c r="I1669" t="str">
        <x:v>7-9 years</x:v>
      </x:c>
      <x:c r="J1669" t="str">
        <x:v>RENT</x:v>
      </x:c>
      <x:c r="K1669" t="str">
        <x:v>home_improvement</x:v>
      </x:c>
      <x:c r="L1669" t="n">
        <x:v>1</x:v>
      </x:c>
      <x:c r="M1669" t="n">
        <x:v>0</x:v>
      </x:c>
      <x:c r="N1669" t="str">
        <x:v>Fully Paid</x:v>
      </x:c>
      <x:c r="O1669" t="str">
        <x:f>IF(D1669="","Unknown",IF(D1669&lt;25000,"&lt;$25k",IF(D1669&lt;50000,"$25k-$50k",IF(D1669&lt;75000,"$50k-$75k",IF(D1669&lt;100000,"$75k-$100k","$100k+")))))</x:f>
        <x:v>$50k-$75k</x:v>
      </x:c>
      <x:c r="P1669" t="str">
        <x:f>IF(E1669="","Unknown",IF(E1669&lt;10,"&lt;10",IF(E1669&lt;20,"10-&lt;20",IF(E1669&lt;25,"20-&lt;25",IF(E1669&lt;35,"25-&lt;35","35+")))))</x:f>
        <x:v>10-&lt;20</x:v>
      </x:c>
    </x:row>
    <x:row r="1670">
      <x:c r="A1670" t="str">
        <x:v>SYN0001669</x:v>
      </x:c>
      <x:c r="B1670" s="12" t="n">
        <x:v>42955</x:v>
      </x:c>
      <x:c r="C1670" s="18" t="n">
        <x:v>15264</x:v>
      </x:c>
      <x:c r="D1670" s="18" t="n">
        <x:v>53899</x:v>
      </x:c>
      <x:c r="E1670" s="18" t="n">
        <x:v>30.3</x:v>
      </x:c>
      <x:c r="F1670" s="18" t="n">
        <x:v>8.3</x:v>
      </x:c>
      <x:c r="G1670" t="n">
        <x:v>36</x:v>
      </x:c>
      <x:c r="H1670" t="str">
        <x:v>B</x:v>
      </x:c>
      <x:c r="I1670" t="str">
        <x:v>10+ years</x:v>
      </x:c>
      <x:c r="J1670" t="str">
        <x:v>RENT</x:v>
      </x:c>
      <x:c r="K1670" t="str">
        <x:v>home_improvement</x:v>
      </x:c>
      <x:c r="L1670" t="n">
        <x:v>0</x:v>
      </x:c>
      <x:c r="M1670" t="n">
        <x:v>0</x:v>
      </x:c>
      <x:c r="N1670" t="str">
        <x:v>Fully Paid</x:v>
      </x:c>
      <x:c r="O1670" t="str">
        <x:f>IF(D1670="","Unknown",IF(D1670&lt;25000,"&lt;$25k",IF(D1670&lt;50000,"$25k-$50k",IF(D1670&lt;75000,"$50k-$75k",IF(D1670&lt;100000,"$75k-$100k","$100k+")))))</x:f>
        <x:v>$50k-$75k</x:v>
      </x:c>
      <x:c r="P1670" t="str">
        <x:f>IF(E1670="","Unknown",IF(E1670&lt;10,"&lt;10",IF(E1670&lt;20,"10-&lt;20",IF(E1670&lt;25,"20-&lt;25",IF(E1670&lt;35,"25-&lt;35","35+")))))</x:f>
        <x:v>25-&lt;35</x:v>
      </x:c>
    </x:row>
    <x:row r="1671">
      <x:c r="A1671" t="str">
        <x:v>SYN0001670</x:v>
      </x:c>
      <x:c r="B1671" s="12" t="n">
        <x:v>43195</x:v>
      </x:c>
      <x:c r="C1671" s="18" t="n">
        <x:v>10065</x:v>
      </x:c>
      <x:c r="D1671" s="18" t="n">
        <x:v>39618</x:v>
      </x:c>
      <x:c r="E1671" s="18" t="n">
        <x:v>18.95</x:v>
      </x:c>
      <x:c r="F1671" s="18" t="n">
        <x:v>14.7</x:v>
      </x:c>
      <x:c r="G1671" t="n">
        <x:v>60</x:v>
      </x:c>
      <x:c r="H1671" t="str">
        <x:v>D</x:v>
      </x:c>
      <x:c r="I1671" t="str">
        <x:v>&lt;1 year</x:v>
      </x:c>
      <x:c r="J1671" t="str">
        <x:v>RENT</x:v>
      </x:c>
      <x:c r="K1671" t="str">
        <x:v>debt_consolidation</x:v>
      </x:c>
      <x:c r="L1671" t="n">
        <x:v>1</x:v>
      </x:c>
      <x:c r="M1671" t="n">
        <x:v>0</x:v>
      </x:c>
      <x:c r="N1671" t="str">
        <x:v>Fully Paid</x:v>
      </x:c>
      <x:c r="O1671" t="str">
        <x:f>IF(D1671="","Unknown",IF(D1671&lt;25000,"&lt;$25k",IF(D1671&lt;50000,"$25k-$50k",IF(D1671&lt;75000,"$50k-$75k",IF(D1671&lt;100000,"$75k-$100k","$100k+")))))</x:f>
        <x:v>$25k-$50k</x:v>
      </x:c>
      <x:c r="P1671" t="str">
        <x:f>IF(E1671="","Unknown",IF(E1671&lt;10,"&lt;10",IF(E1671&lt;20,"10-&lt;20",IF(E1671&lt;25,"20-&lt;25",IF(E1671&lt;35,"25-&lt;35","35+")))))</x:f>
        <x:v>10-&lt;20</x:v>
      </x:c>
    </x:row>
    <x:row r="1672">
      <x:c r="A1672" t="str">
        <x:v>SYN0001671</x:v>
      </x:c>
      <x:c r="B1672" s="12" t="n">
        <x:v>41995</x:v>
      </x:c>
      <x:c r="C1672" s="18" t="n">
        <x:v>13641</x:v>
      </x:c>
      <x:c r="D1672" s="18" t="n">
        <x:v>59260</x:v>
      </x:c>
      <x:c r="E1672" s="18" t="n">
        <x:v>18.88</x:v>
      </x:c>
      <x:c r="F1672" s="18" t="n">
        <x:v>12.22</x:v>
      </x:c>
      <x:c r="G1672" t="n">
        <x:v>60</x:v>
      </x:c>
      <x:c r="H1672" t="str">
        <x:v>D</x:v>
      </x:c>
      <x:c r="I1672" t="str">
        <x:v>4-6 years</x:v>
      </x:c>
      <x:c r="J1672" t="str">
        <x:v>RENT</x:v>
      </x:c>
      <x:c r="K1672" t="str">
        <x:v>debt_consolidation</x:v>
      </x:c>
      <x:c r="L1672" t="n">
        <x:v>1</x:v>
      </x:c>
      <x:c r="M1672" t="n">
        <x:v>0</x:v>
      </x:c>
      <x:c r="N1672" t="str">
        <x:v>Fully Paid</x:v>
      </x:c>
      <x:c r="O1672" t="str">
        <x:f>IF(D1672="","Unknown",IF(D1672&lt;25000,"&lt;$25k",IF(D1672&lt;50000,"$25k-$50k",IF(D1672&lt;75000,"$50k-$75k",IF(D1672&lt;100000,"$75k-$100k","$100k+")))))</x:f>
        <x:v>$50k-$75k</x:v>
      </x:c>
      <x:c r="P1672" t="str">
        <x:f>IF(E1672="","Unknown",IF(E1672&lt;10,"&lt;10",IF(E1672&lt;20,"10-&lt;20",IF(E1672&lt;25,"20-&lt;25",IF(E1672&lt;35,"25-&lt;35","35+")))))</x:f>
        <x:v>10-&lt;20</x:v>
      </x:c>
    </x:row>
    <x:row r="1673">
      <x:c r="A1673" t="str">
        <x:v>SYN0001672</x:v>
      </x:c>
      <x:c r="B1673" s="12" t="n">
        <x:v>41605</x:v>
      </x:c>
      <x:c r="C1673" s="18" t="n">
        <x:v>27229</x:v>
      </x:c>
      <x:c r="D1673" s="18" t="n">
        <x:v>29264</x:v>
      </x:c>
      <x:c r="E1673" s="18" t="n">
        <x:v>31.56</x:v>
      </x:c>
      <x:c r="F1673" s="18" t="n">
        <x:v>24.93</x:v>
      </x:c>
      <x:c r="G1673" t="n">
        <x:v>60</x:v>
      </x:c>
      <x:c r="H1673" t="str">
        <x:v>G</x:v>
      </x:c>
      <x:c r="I1673" t="str">
        <x:v>10+ years</x:v>
      </x:c>
      <x:c r="J1673" t="str">
        <x:v>RENT</x:v>
      </x:c>
      <x:c r="K1673" t="str">
        <x:v>other</x:v>
      </x:c>
      <x:c r="L1673" t="n">
        <x:v>0</x:v>
      </x:c>
      <x:c r="M1673" t="n">
        <x:v>1</x:v>
      </x:c>
      <x:c r="N1673" t="str">
        <x:v>Charged Off</x:v>
      </x:c>
      <x:c r="O1673" t="str">
        <x:f>IF(D1673="","Unknown",IF(D1673&lt;25000,"&lt;$25k",IF(D1673&lt;50000,"$25k-$50k",IF(D1673&lt;75000,"$50k-$75k",IF(D1673&lt;100000,"$75k-$100k","$100k+")))))</x:f>
        <x:v>$25k-$50k</x:v>
      </x:c>
      <x:c r="P1673" t="str">
        <x:f>IF(E1673="","Unknown",IF(E1673&lt;10,"&lt;10",IF(E1673&lt;20,"10-&lt;20",IF(E1673&lt;25,"20-&lt;25",IF(E1673&lt;35,"25-&lt;35","35+")))))</x:f>
        <x:v>25-&lt;35</x:v>
      </x:c>
    </x:row>
    <x:row r="1674">
      <x:c r="A1674" t="str">
        <x:v>SYN0001673</x:v>
      </x:c>
      <x:c r="B1674" s="12" t="n">
        <x:v>41575</x:v>
      </x:c>
      <x:c r="C1674" s="18" t="n">
        <x:v>12986</x:v>
      </x:c>
      <x:c r="D1674" s="18" t="n">
        <x:v>33548</x:v>
      </x:c>
      <x:c r="E1674" s="18" t="n">
        <x:v>11.58</x:v>
      </x:c>
      <x:c r="F1674" s="18" t="n">
        <x:v>11.06</x:v>
      </x:c>
      <x:c r="G1674" t="n">
        <x:v>36</x:v>
      </x:c>
      <x:c r="H1674" t="str">
        <x:v>B</x:v>
      </x:c>
      <x:c r="I1674" t="str">
        <x:v>7-9 years</x:v>
      </x:c>
      <x:c r="J1674" t="str">
        <x:v>OWN</x:v>
      </x:c>
      <x:c r="K1674" t="str">
        <x:v>home_improvement</x:v>
      </x:c>
      <x:c r="L1674" t="n">
        <x:v>0</x:v>
      </x:c>
      <x:c r="M1674" t="n">
        <x:v>0</x:v>
      </x:c>
      <x:c r="N1674" t="str">
        <x:v>Fully Paid</x:v>
      </x:c>
      <x:c r="O1674" t="str">
        <x:f>IF(D1674="","Unknown",IF(D1674&lt;25000,"&lt;$25k",IF(D1674&lt;50000,"$25k-$50k",IF(D1674&lt;75000,"$50k-$75k",IF(D1674&lt;100000,"$75k-$100k","$100k+")))))</x:f>
        <x:v>$25k-$50k</x:v>
      </x:c>
      <x:c r="P1674" t="str">
        <x:f>IF(E1674="","Unknown",IF(E1674&lt;10,"&lt;10",IF(E1674&lt;20,"10-&lt;20",IF(E1674&lt;25,"20-&lt;25",IF(E1674&lt;35,"25-&lt;35","35+")))))</x:f>
        <x:v>10-&lt;20</x:v>
      </x:c>
    </x:row>
    <x:row r="1675">
      <x:c r="A1675" t="str">
        <x:v>SYN0001674</x:v>
      </x:c>
      <x:c r="B1675" s="12" t="n">
        <x:v>42205</x:v>
      </x:c>
      <x:c r="C1675" s="18" t="n">
        <x:v>21252</x:v>
      </x:c>
      <x:c r="D1675" s="18" t="n">
        <x:v>51221</x:v>
      </x:c>
      <x:c r="E1675" s="18" t="n">
        <x:v>4.12</x:v>
      </x:c>
      <x:c r="F1675" s="18" t="n">
        <x:v>9.76</x:v>
      </x:c>
      <x:c r="G1675" t="n">
        <x:v>60</x:v>
      </x:c>
      <x:c r="H1675" t="str">
        <x:v>B</x:v>
      </x:c>
      <x:c r="I1675" t="str">
        <x:v>7-9 years</x:v>
      </x:c>
      <x:c r="J1675" t="str">
        <x:v>RENT</x:v>
      </x:c>
      <x:c r="K1675" t="str">
        <x:v>credit_card</x:v>
      </x:c>
      <x:c r="L1675" t="n">
        <x:v>0</x:v>
      </x:c>
      <x:c r="M1675" t="n">
        <x:v>0</x:v>
      </x:c>
      <x:c r="N1675" t="str">
        <x:v>Fully Paid</x:v>
      </x:c>
      <x:c r="O1675" t="str">
        <x:f>IF(D1675="","Unknown",IF(D1675&lt;25000,"&lt;$25k",IF(D1675&lt;50000,"$25k-$50k",IF(D1675&lt;75000,"$50k-$75k",IF(D1675&lt;100000,"$75k-$100k","$100k+")))))</x:f>
        <x:v>$50k-$75k</x:v>
      </x:c>
      <x:c r="P1675" t="str">
        <x:f>IF(E1675="","Unknown",IF(E1675&lt;10,"&lt;10",IF(E1675&lt;20,"10-&lt;20",IF(E1675&lt;25,"20-&lt;25",IF(E1675&lt;35,"25-&lt;35","35+")))))</x:f>
        <x:v>&lt;10</x:v>
      </x:c>
    </x:row>
    <x:row r="1676">
      <x:c r="A1676" t="str">
        <x:v>SYN0001675</x:v>
      </x:c>
      <x:c r="B1676" s="12" t="n">
        <x:v>42415</x:v>
      </x:c>
      <x:c r="C1676" s="18" t="n">
        <x:v>15953</x:v>
      </x:c>
      <x:c r="D1676" s="18" t="n">
        <x:v>72843</x:v>
      </x:c>
      <x:c r="E1676" s="18" t="n">
        <x:v>15.15</x:v>
      </x:c>
      <x:c r="F1676" s="18" t="n">
        <x:v>17.75</x:v>
      </x:c>
      <x:c r="G1676" t="n">
        <x:v>60</x:v>
      </x:c>
      <x:c r="H1676" t="str">
        <x:v>E</x:v>
      </x:c>
      <x:c r="I1676" t="str">
        <x:v>10+ years</x:v>
      </x:c>
      <x:c r="J1676" t="str">
        <x:v>RENT</x:v>
      </x:c>
      <x:c r="K1676" t="str">
        <x:v>other</x:v>
      </x:c>
      <x:c r="L1676" t="n">
        <x:v>0</x:v>
      </x:c>
      <x:c r="M1676" t="n">
        <x:v>0</x:v>
      </x:c>
      <x:c r="N1676" t="str">
        <x:v>Fully Paid</x:v>
      </x:c>
      <x:c r="O1676" t="str">
        <x:f>IF(D1676="","Unknown",IF(D1676&lt;25000,"&lt;$25k",IF(D1676&lt;50000,"$25k-$50k",IF(D1676&lt;75000,"$50k-$75k",IF(D1676&lt;100000,"$75k-$100k","$100k+")))))</x:f>
        <x:v>$50k-$75k</x:v>
      </x:c>
      <x:c r="P1676" t="str">
        <x:f>IF(E1676="","Unknown",IF(E1676&lt;10,"&lt;10",IF(E1676&lt;20,"10-&lt;20",IF(E1676&lt;25,"20-&lt;25",IF(E1676&lt;35,"25-&lt;35","35+")))))</x:f>
        <x:v>10-&lt;20</x:v>
      </x:c>
    </x:row>
    <x:row r="1677">
      <x:c r="A1677" t="str">
        <x:v>SYN0001676</x:v>
      </x:c>
      <x:c r="B1677" s="12" t="n">
        <x:v>41365</x:v>
      </x:c>
      <x:c r="C1677" s="18" t="n">
        <x:v>23319</x:v>
      </x:c>
      <x:c r="D1677" s="18" t="n">
        <x:v>44365</x:v>
      </x:c>
      <x:c r="E1677" s="18" t="n">
        <x:v>27.38</x:v>
      </x:c>
      <x:c r="F1677" s="18" t="n">
        <x:v>12.52</x:v>
      </x:c>
      <x:c r="G1677" t="n">
        <x:v>36</x:v>
      </x:c>
      <x:c r="H1677" t="str">
        <x:v>D</x:v>
      </x:c>
      <x:c r="I1677" t="str">
        <x:v>&lt;1 year</x:v>
      </x:c>
      <x:c r="J1677" t="str">
        <x:v>MORTGAGE</x:v>
      </x:c>
      <x:c r="K1677" t="str">
        <x:v>home_improvement</x:v>
      </x:c>
      <x:c r="L1677" t="n">
        <x:v>1</x:v>
      </x:c>
      <x:c r="M1677" t="n">
        <x:v>0</x:v>
      </x:c>
      <x:c r="N1677" t="str">
        <x:v>Fully Paid</x:v>
      </x:c>
      <x:c r="O1677" t="str">
        <x:f>IF(D1677="","Unknown",IF(D1677&lt;25000,"&lt;$25k",IF(D1677&lt;50000,"$25k-$50k",IF(D1677&lt;75000,"$50k-$75k",IF(D1677&lt;100000,"$75k-$100k","$100k+")))))</x:f>
        <x:v>$25k-$50k</x:v>
      </x:c>
      <x:c r="P1677" t="str">
        <x:f>IF(E1677="","Unknown",IF(E1677&lt;10,"&lt;10",IF(E1677&lt;20,"10-&lt;20",IF(E1677&lt;25,"20-&lt;25",IF(E1677&lt;35,"25-&lt;35","35+")))))</x:f>
        <x:v>25-&lt;35</x:v>
      </x:c>
    </x:row>
    <x:row r="1678">
      <x:c r="A1678" t="str">
        <x:v>SYN0001677</x:v>
      </x:c>
      <x:c r="B1678" s="12" t="n">
        <x:v>43375</x:v>
      </x:c>
      <x:c r="C1678" s="18" t="n">
        <x:v>10091</x:v>
      </x:c>
      <x:c r="D1678" s="18" t="n">
        <x:v>40233</x:v>
      </x:c>
      <x:c r="E1678" s="18" t="n">
        <x:v>21.78</x:v>
      </x:c>
      <x:c r="F1678" s="18" t="n">
        <x:v>6.9</x:v>
      </x:c>
      <x:c r="G1678" t="n">
        <x:v>36</x:v>
      </x:c>
      <x:c r="H1678" t="str">
        <x:v>B</x:v>
      </x:c>
      <x:c r="I1678" t="str">
        <x:v>7-9 years</x:v>
      </x:c>
      <x:c r="J1678" t="str">
        <x:v>RENT</x:v>
      </x:c>
      <x:c r="K1678" t="str">
        <x:v>credit_card</x:v>
      </x:c>
      <x:c r="L1678" t="n">
        <x:v>0</x:v>
      </x:c>
      <x:c r="M1678" t="n">
        <x:v>0</x:v>
      </x:c>
      <x:c r="N1678" t="str">
        <x:v>Fully Paid</x:v>
      </x:c>
      <x:c r="O1678" t="str">
        <x:f>IF(D1678="","Unknown",IF(D1678&lt;25000,"&lt;$25k",IF(D1678&lt;50000,"$25k-$50k",IF(D1678&lt;75000,"$50k-$75k",IF(D1678&lt;100000,"$75k-$100k","$100k+")))))</x:f>
        <x:v>$25k-$50k</x:v>
      </x:c>
      <x:c r="P1678" t="str">
        <x:f>IF(E1678="","Unknown",IF(E1678&lt;10,"&lt;10",IF(E1678&lt;20,"10-&lt;20",IF(E1678&lt;25,"20-&lt;25",IF(E1678&lt;35,"25-&lt;35","35+")))))</x:f>
        <x:v>20-&lt;25</x:v>
      </x:c>
    </x:row>
    <x:row r="1679">
      <x:c r="A1679" t="str">
        <x:v>SYN0001678</x:v>
      </x:c>
      <x:c r="B1679" s="12" t="n">
        <x:v>42415</x:v>
      </x:c>
      <x:c r="C1679" s="18" t="n">
        <x:v>8098</x:v>
      </x:c>
      <x:c r="D1679" s="18" t="n">
        <x:v>27379</x:v>
      </x:c>
      <x:c r="E1679" s="18" t="n">
        <x:v>12.48</x:v>
      </x:c>
      <x:c r="F1679" s="18" t="n">
        <x:v>18.68</x:v>
      </x:c>
      <x:c r="G1679" t="n">
        <x:v>60</x:v>
      </x:c>
      <x:c r="H1679" t="str">
        <x:v>E</x:v>
      </x:c>
      <x:c r="I1679" t="str">
        <x:v>7-9 years</x:v>
      </x:c>
      <x:c r="J1679" t="str">
        <x:v>OTHER</x:v>
      </x:c>
      <x:c r="K1679" t="str">
        <x:v>major_purchase</x:v>
      </x:c>
      <x:c r="L1679" t="n">
        <x:v>1</x:v>
      </x:c>
      <x:c r="M1679" t="n">
        <x:v>1</x:v>
      </x:c>
      <x:c r="N1679" t="str">
        <x:v>Charged Off</x:v>
      </x:c>
      <x:c r="O1679" t="str">
        <x:f>IF(D1679="","Unknown",IF(D1679&lt;25000,"&lt;$25k",IF(D1679&lt;50000,"$25k-$50k",IF(D1679&lt;75000,"$50k-$75k",IF(D1679&lt;100000,"$75k-$100k","$100k+")))))</x:f>
        <x:v>$25k-$50k</x:v>
      </x:c>
      <x:c r="P1679" t="str">
        <x:f>IF(E1679="","Unknown",IF(E1679&lt;10,"&lt;10",IF(E1679&lt;20,"10-&lt;20",IF(E1679&lt;25,"20-&lt;25",IF(E1679&lt;35,"25-&lt;35","35+")))))</x:f>
        <x:v>10-&lt;20</x:v>
      </x:c>
    </x:row>
    <x:row r="1680">
      <x:c r="A1680" t="str">
        <x:v>SYN0001679</x:v>
      </x:c>
      <x:c r="B1680" s="12" t="n">
        <x:v>42475</x:v>
      </x:c>
      <x:c r="C1680" s="18" t="n">
        <x:v>8538</x:v>
      </x:c>
      <x:c r="D1680" s="18" t="n">
        <x:v>75779</x:v>
      </x:c>
      <x:c r="E1680" s="18" t="n">
        <x:v>14.09</x:v>
      </x:c>
      <x:c r="F1680" s="18" t="n">
        <x:v>10.32</x:v>
      </x:c>
      <x:c r="G1680" t="n">
        <x:v>36</x:v>
      </x:c>
      <x:c r="H1680" t="str">
        <x:v>C</x:v>
      </x:c>
      <x:c r="I1680" t="str">
        <x:v>10+ years</x:v>
      </x:c>
      <x:c r="J1680" t="str">
        <x:v>OWN</x:v>
      </x:c>
      <x:c r="K1680" t="str">
        <x:v>debt_consolidation</x:v>
      </x:c>
      <x:c r="L1680" t="n">
        <x:v>0</x:v>
      </x:c>
      <x:c r="M1680" t="n">
        <x:v>0</x:v>
      </x:c>
      <x:c r="N1680" t="str">
        <x:v>Fully Paid</x:v>
      </x:c>
      <x:c r="O1680" t="str">
        <x:f>IF(D1680="","Unknown",IF(D1680&lt;25000,"&lt;$25k",IF(D1680&lt;50000,"$25k-$50k",IF(D1680&lt;75000,"$50k-$75k",IF(D1680&lt;100000,"$75k-$100k","$100k+")))))</x:f>
        <x:v>$75k-$100k</x:v>
      </x:c>
      <x:c r="P1680" t="str">
        <x:f>IF(E1680="","Unknown",IF(E1680&lt;10,"&lt;10",IF(E1680&lt;20,"10-&lt;20",IF(E1680&lt;25,"20-&lt;25",IF(E1680&lt;35,"25-&lt;35","35+")))))</x:f>
        <x:v>10-&lt;20</x:v>
      </x:c>
    </x:row>
    <x:row r="1681">
      <x:c r="A1681" t="str">
        <x:v>SYN0001680</x:v>
      </x:c>
      <x:c r="B1681" s="12" t="n">
        <x:v>41545</x:v>
      </x:c>
      <x:c r="C1681" s="18" t="n">
        <x:v>17132</x:v>
      </x:c>
      <x:c r="D1681" s="18" t="n">
        <x:v>12000</x:v>
      </x:c>
      <x:c r="E1681" s="18" t="n">
        <x:v>0</x:v>
      </x:c>
      <x:c r="F1681" s="18" t="n">
        <x:v>5.46</x:v>
      </x:c>
      <x:c r="G1681" t="n">
        <x:v>36</x:v>
      </x:c>
      <x:c r="H1681" t="str">
        <x:v>A</x:v>
      </x:c>
      <x:c r="I1681" t="str">
        <x:v>1-3 years</x:v>
      </x:c>
      <x:c r="J1681" t="str">
        <x:v>MORTGAGE</x:v>
      </x:c>
      <x:c r="K1681" t="str">
        <x:v>other</x:v>
      </x:c>
      <x:c r="L1681" t="n">
        <x:v>0</x:v>
      </x:c>
      <x:c r="M1681" t="n">
        <x:v>0</x:v>
      </x:c>
      <x:c r="N1681" t="str">
        <x:v>Fully Paid</x:v>
      </x:c>
      <x:c r="O1681" t="str">
        <x:f>IF(D1681="","Unknown",IF(D1681&lt;25000,"&lt;$25k",IF(D1681&lt;50000,"$25k-$50k",IF(D1681&lt;75000,"$50k-$75k",IF(D1681&lt;100000,"$75k-$100k","$100k+")))))</x:f>
        <x:v>&lt;$25k</x:v>
      </x:c>
      <x:c r="P1681" t="str">
        <x:f>IF(E1681="","Unknown",IF(E1681&lt;10,"&lt;10",IF(E1681&lt;20,"10-&lt;20",IF(E1681&lt;25,"20-&lt;25",IF(E1681&lt;35,"25-&lt;35","35+")))))</x:f>
        <x:v>Unknown</x:v>
      </x:c>
    </x:row>
    <x:row r="1682">
      <x:c r="A1682" t="str">
        <x:v>SYN0001681</x:v>
      </x:c>
      <x:c r="B1682" s="12" t="n">
        <x:v>42115</x:v>
      </x:c>
      <x:c r="C1682" s="18" t="n">
        <x:v>13881</x:v>
      </x:c>
      <x:c r="D1682" s="18" t="n">
        <x:v>42472</x:v>
      </x:c>
      <x:c r="E1682" s="18" t="n">
        <x:v>8.14</x:v>
      </x:c>
      <x:c r="F1682" s="18" t="n">
        <x:v>5</x:v>
      </x:c>
      <x:c r="G1682" t="n">
        <x:v>36</x:v>
      </x:c>
      <x:c r="H1682" t="str">
        <x:v>A</x:v>
      </x:c>
      <x:c r="I1682" t="str">
        <x:v>&lt;1 year</x:v>
      </x:c>
      <x:c r="J1682" t="str">
        <x:v>RENT</x:v>
      </x:c>
      <x:c r="K1682" t="str">
        <x:v>debt_consolidation</x:v>
      </x:c>
      <x:c r="L1682" t="n">
        <x:v>0</x:v>
      </x:c>
      <x:c r="M1682" t="n">
        <x:v>0</x:v>
      </x:c>
      <x:c r="N1682" t="str">
        <x:v>Fully Paid</x:v>
      </x:c>
      <x:c r="O1682" t="str">
        <x:f>IF(D1682="","Unknown",IF(D1682&lt;25000,"&lt;$25k",IF(D1682&lt;50000,"$25k-$50k",IF(D1682&lt;75000,"$50k-$75k",IF(D1682&lt;100000,"$75k-$100k","$100k+")))))</x:f>
        <x:v>$25k-$50k</x:v>
      </x:c>
      <x:c r="P1682" t="str">
        <x:f>IF(E1682="","Unknown",IF(E1682&lt;10,"&lt;10",IF(E1682&lt;20,"10-&lt;20",IF(E1682&lt;25,"20-&lt;25",IF(E1682&lt;35,"25-&lt;35","35+")))))</x:f>
        <x:v>&lt;10</x:v>
      </x:c>
    </x:row>
    <x:row r="1683">
      <x:c r="A1683" t="str">
        <x:v>SYN0001682</x:v>
      </x:c>
      <x:c r="B1683" s="12" t="n">
        <x:v>41605</x:v>
      </x:c>
      <x:c r="C1683" s="18" t="n">
        <x:v>13530</x:v>
      </x:c>
      <x:c r="D1683" s="18" t="n">
        <x:v>19334</x:v>
      </x:c>
      <x:c r="E1683" s="18" t="n">
        <x:v>27.95</x:v>
      </x:c>
      <x:c r="F1683" s="18" t="n">
        <x:v>16.56</x:v>
      </x:c>
      <x:c r="G1683" t="n">
        <x:v>60</x:v>
      </x:c>
      <x:c r="H1683" t="str">
        <x:v>E</x:v>
      </x:c>
      <x:c r="I1683" t="str">
        <x:v>10+ years</x:v>
      </x:c>
      <x:c r="J1683" t="str">
        <x:v>RENT</x:v>
      </x:c>
      <x:c r="K1683" t="str">
        <x:v>credit_card</x:v>
      </x:c>
      <x:c r="L1683" t="n">
        <x:v>0</x:v>
      </x:c>
      <x:c r="M1683" t="n">
        <x:v>0</x:v>
      </x:c>
      <x:c r="N1683" t="str">
        <x:v>Fully Paid</x:v>
      </x:c>
      <x:c r="O1683" t="str">
        <x:f>IF(D1683="","Unknown",IF(D1683&lt;25000,"&lt;$25k",IF(D1683&lt;50000,"$25k-$50k",IF(D1683&lt;75000,"$50k-$75k",IF(D1683&lt;100000,"$75k-$100k","$100k+")))))</x:f>
        <x:v>&lt;$25k</x:v>
      </x:c>
      <x:c r="P1683" t="str">
        <x:f>IF(E1683="","Unknown",IF(E1683&lt;10,"&lt;10",IF(E1683&lt;20,"10-&lt;20",IF(E1683&lt;25,"20-&lt;25",IF(E1683&lt;35,"25-&lt;35","35+")))))</x:f>
        <x:v>25-&lt;35</x:v>
      </x:c>
    </x:row>
    <x:row r="1684">
      <x:c r="A1684" t="str">
        <x:v>SYN0001683</x:v>
      </x:c>
      <x:c r="B1684" s="12" t="n">
        <x:v>41785</x:v>
      </x:c>
      <x:c r="C1684" s="18" t="n">
        <x:v>16386</x:v>
      </x:c>
      <x:c r="D1684" s="18" t="n">
        <x:v>77642</x:v>
      </x:c>
      <x:c r="E1684" s="18" t="n">
        <x:v>12.29</x:v>
      </x:c>
      <x:c r="F1684" s="18" t="n">
        <x:v>12.56</x:v>
      </x:c>
      <x:c r="G1684" t="n">
        <x:v>36</x:v>
      </x:c>
      <x:c r="H1684" t="str">
        <x:v>D</x:v>
      </x:c>
      <x:c r="I1684" t="str">
        <x:v>7-9 years</x:v>
      </x:c>
      <x:c r="J1684" t="str">
        <x:v>MORTGAGE</x:v>
      </x:c>
      <x:c r="K1684" t="str">
        <x:v>debt_consolidation</x:v>
      </x:c>
      <x:c r="L1684" t="n">
        <x:v>0</x:v>
      </x:c>
      <x:c r="M1684" t="n">
        <x:v>0</x:v>
      </x:c>
      <x:c r="N1684" t="str">
        <x:v>Fully Paid</x:v>
      </x:c>
      <x:c r="O1684" t="str">
        <x:f>IF(D1684="","Unknown",IF(D1684&lt;25000,"&lt;$25k",IF(D1684&lt;50000,"$25k-$50k",IF(D1684&lt;75000,"$50k-$75k",IF(D1684&lt;100000,"$75k-$100k","$100k+")))))</x:f>
        <x:v>$75k-$100k</x:v>
      </x:c>
      <x:c r="P1684" t="str">
        <x:f>IF(E1684="","Unknown",IF(E1684&lt;10,"&lt;10",IF(E1684&lt;20,"10-&lt;20",IF(E1684&lt;25,"20-&lt;25",IF(E1684&lt;35,"25-&lt;35","35+")))))</x:f>
        <x:v>10-&lt;20</x:v>
      </x:c>
    </x:row>
    <x:row r="1685">
      <x:c r="A1685" t="str">
        <x:v>SYN0001684</x:v>
      </x:c>
      <x:c r="B1685" s="12" t="n">
        <x:v>42655</x:v>
      </x:c>
      <x:c r="C1685" s="18" t="n">
        <x:v>26181</x:v>
      </x:c>
      <x:c r="D1685" s="18" t="n">
        <x:v>139107</x:v>
      </x:c>
      <x:c r="E1685" s="18" t="n">
        <x:v>15.25</x:v>
      </x:c>
      <x:c r="F1685" s="18" t="n">
        <x:v>5</x:v>
      </x:c>
      <x:c r="G1685" t="n">
        <x:v>36</x:v>
      </x:c>
      <x:c r="H1685" t="str">
        <x:v>B</x:v>
      </x:c>
      <x:c r="I1685" t="str">
        <x:v>10+ years</x:v>
      </x:c>
      <x:c r="J1685" t="str">
        <x:v>OWN</x:v>
      </x:c>
      <x:c r="K1685" t="str">
        <x:v>home_improvement</x:v>
      </x:c>
      <x:c r="L1685" t="n">
        <x:v>0</x:v>
      </x:c>
      <x:c r="M1685" t="n">
        <x:v>0</x:v>
      </x:c>
      <x:c r="N1685" t="str">
        <x:v>Fully Paid</x:v>
      </x:c>
      <x:c r="O1685" t="str">
        <x:f>IF(D1685="","Unknown",IF(D1685&lt;25000,"&lt;$25k",IF(D1685&lt;50000,"$25k-$50k",IF(D1685&lt;75000,"$50k-$75k",IF(D1685&lt;100000,"$75k-$100k","$100k+")))))</x:f>
        <x:v>$100k+</x:v>
      </x:c>
      <x:c r="P1685" t="str">
        <x:f>IF(E1685="","Unknown",IF(E1685&lt;10,"&lt;10",IF(E1685&lt;20,"10-&lt;20",IF(E1685&lt;25,"20-&lt;25",IF(E1685&lt;35,"25-&lt;35","35+")))))</x:f>
        <x:v>10-&lt;20</x:v>
      </x:c>
    </x:row>
    <x:row r="1686">
      <x:c r="A1686" t="str">
        <x:v>SYN0001685</x:v>
      </x:c>
      <x:c r="B1686" s="12" t="n">
        <x:v>42745</x:v>
      </x:c>
      <x:c r="C1686" s="18" t="n">
        <x:v>9977</x:v>
      </x:c>
      <x:c r="D1686" s="18" t="n">
        <x:v>46194</x:v>
      </x:c>
      <x:c r="E1686" s="18" t="n">
        <x:v>28.81</x:v>
      </x:c>
      <x:c r="F1686" s="18" t="n">
        <x:v>10</x:v>
      </x:c>
      <x:c r="G1686" t="n">
        <x:v>36</x:v>
      </x:c>
      <x:c r="H1686" t="str">
        <x:v>B</x:v>
      </x:c>
      <x:c r="I1686" t="str">
        <x:v>7-9 years</x:v>
      </x:c>
      <x:c r="J1686" t="str">
        <x:v>MORTGAGE</x:v>
      </x:c>
      <x:c r="K1686" t="str">
        <x:v>credit_card</x:v>
      </x:c>
      <x:c r="L1686" t="n">
        <x:v>1</x:v>
      </x:c>
      <x:c r="M1686" t="n">
        <x:v>0</x:v>
      </x:c>
      <x:c r="N1686" t="str">
        <x:v>Fully Paid</x:v>
      </x:c>
      <x:c r="O1686" t="str">
        <x:f>IF(D1686="","Unknown",IF(D1686&lt;25000,"&lt;$25k",IF(D1686&lt;50000,"$25k-$50k",IF(D1686&lt;75000,"$50k-$75k",IF(D1686&lt;100000,"$75k-$100k","$100k+")))))</x:f>
        <x:v>$25k-$50k</x:v>
      </x:c>
      <x:c r="P1686" t="str">
        <x:f>IF(E1686="","Unknown",IF(E1686&lt;10,"&lt;10",IF(E1686&lt;20,"10-&lt;20",IF(E1686&lt;25,"20-&lt;25",IF(E1686&lt;35,"25-&lt;35","35+")))))</x:f>
        <x:v>25-&lt;35</x:v>
      </x:c>
    </x:row>
    <x:row r="1687">
      <x:c r="A1687" t="str">
        <x:v>SYN0001686</x:v>
      </x:c>
      <x:c r="B1687" s="12" t="n">
        <x:v>42535</x:v>
      </x:c>
      <x:c r="C1687" s="18" t="n">
        <x:v>18566</x:v>
      </x:c>
      <x:c r="D1687" s="18" t="n">
        <x:v>69111</x:v>
      </x:c>
      <x:c r="E1687" s="18" t="n">
        <x:v>8.25</x:v>
      </x:c>
      <x:c r="F1687" s="18" t="n">
        <x:v>7.96</x:v>
      </x:c>
      <x:c r="G1687" t="n">
        <x:v>36</x:v>
      </x:c>
      <x:c r="H1687" t="str">
        <x:v>B</x:v>
      </x:c>
      <x:c r="I1687" t="str">
        <x:v>1-3 years</x:v>
      </x:c>
      <x:c r="J1687" t="str">
        <x:v>MORTGAGE</x:v>
      </x:c>
      <x:c r="K1687" t="str">
        <x:v>credit_card</x:v>
      </x:c>
      <x:c r="L1687" t="n">
        <x:v>0</x:v>
      </x:c>
      <x:c r="M1687" t="n">
        <x:v>0</x:v>
      </x:c>
      <x:c r="N1687" t="str">
        <x:v>Fully Paid</x:v>
      </x:c>
      <x:c r="O1687" t="str">
        <x:f>IF(D1687="","Unknown",IF(D1687&lt;25000,"&lt;$25k",IF(D1687&lt;50000,"$25k-$50k",IF(D1687&lt;75000,"$50k-$75k",IF(D1687&lt;100000,"$75k-$100k","$100k+")))))</x:f>
        <x:v>$50k-$75k</x:v>
      </x:c>
      <x:c r="P1687" t="str">
        <x:f>IF(E1687="","Unknown",IF(E1687&lt;10,"&lt;10",IF(E1687&lt;20,"10-&lt;20",IF(E1687&lt;25,"20-&lt;25",IF(E1687&lt;35,"25-&lt;35","35+")))))</x:f>
        <x:v>&lt;10</x:v>
      </x:c>
    </x:row>
    <x:row r="1688">
      <x:c r="A1688" t="str">
        <x:v>SYN0001687</x:v>
      </x:c>
      <x:c r="B1688" s="12" t="n">
        <x:v>42685</x:v>
      </x:c>
      <x:c r="C1688" s="18" t="n">
        <x:v>5750</x:v>
      </x:c>
      <x:c r="D1688" s="18" t="n">
        <x:v>104548</x:v>
      </x:c>
      <x:c r="E1688" s="18" t="n">
        <x:v>27.13</x:v>
      </x:c>
      <x:c r="F1688" s="18" t="n">
        <x:v>13.07</x:v>
      </x:c>
      <x:c r="G1688" t="n">
        <x:v>60</x:v>
      </x:c>
      <x:c r="H1688" t="str">
        <x:v>C</x:v>
      </x:c>
      <x:c r="I1688" t="str">
        <x:v>10+ years</x:v>
      </x:c>
      <x:c r="J1688" t="str">
        <x:v>MORTGAGE</x:v>
      </x:c>
      <x:c r="K1688" t="str">
        <x:v>credit_card</x:v>
      </x:c>
      <x:c r="L1688" t="n">
        <x:v>0</x:v>
      </x:c>
      <x:c r="M1688" t="n">
        <x:v>0</x:v>
      </x:c>
      <x:c r="N1688" t="str">
        <x:v>Fully Paid</x:v>
      </x:c>
      <x:c r="O1688" t="str">
        <x:f>IF(D1688="","Unknown",IF(D1688&lt;25000,"&lt;$25k",IF(D1688&lt;50000,"$25k-$50k",IF(D1688&lt;75000,"$50k-$75k",IF(D1688&lt;100000,"$75k-$100k","$100k+")))))</x:f>
        <x:v>$100k+</x:v>
      </x:c>
      <x:c r="P1688" t="str">
        <x:f>IF(E1688="","Unknown",IF(E1688&lt;10,"&lt;10",IF(E1688&lt;20,"10-&lt;20",IF(E1688&lt;25,"20-&lt;25",IF(E1688&lt;35,"25-&lt;35","35+")))))</x:f>
        <x:v>25-&lt;35</x:v>
      </x:c>
    </x:row>
    <x:row r="1689">
      <x:c r="A1689" t="str">
        <x:v>SYN0001688</x:v>
      </x:c>
      <x:c r="B1689" s="12" t="n">
        <x:v>42565</x:v>
      </x:c>
      <x:c r="C1689" s="18" t="n">
        <x:v>10464</x:v>
      </x:c>
      <x:c r="D1689" s="18" t="n">
        <x:v>136198</x:v>
      </x:c>
      <x:c r="E1689" s="18" t="n">
        <x:v>19.99</x:v>
      </x:c>
      <x:c r="F1689" s="18" t="n">
        <x:v>10.63</x:v>
      </x:c>
      <x:c r="G1689" t="n">
        <x:v>36</x:v>
      </x:c>
      <x:c r="H1689" t="str">
        <x:v>C</x:v>
      </x:c>
      <x:c r="I1689" t="str">
        <x:v>10+ years</x:v>
      </x:c>
      <x:c r="J1689" t="str">
        <x:v>RENT</x:v>
      </x:c>
      <x:c r="K1689" t="str">
        <x:v>debt_consolidation</x:v>
      </x:c>
      <x:c r="L1689" t="n">
        <x:v>0</x:v>
      </x:c>
      <x:c r="M1689" t="n">
        <x:v>0</x:v>
      </x:c>
      <x:c r="N1689" t="str">
        <x:v>Fully Paid</x:v>
      </x:c>
      <x:c r="O1689" t="str">
        <x:f>IF(D1689="","Unknown",IF(D1689&lt;25000,"&lt;$25k",IF(D1689&lt;50000,"$25k-$50k",IF(D1689&lt;75000,"$50k-$75k",IF(D1689&lt;100000,"$75k-$100k","$100k+")))))</x:f>
        <x:v>$100k+</x:v>
      </x:c>
      <x:c r="P1689" t="str">
        <x:f>IF(E1689="","Unknown",IF(E1689&lt;10,"&lt;10",IF(E1689&lt;20,"10-&lt;20",IF(E1689&lt;25,"20-&lt;25",IF(E1689&lt;35,"25-&lt;35","35+")))))</x:f>
        <x:v>10-&lt;20</x:v>
      </x:c>
    </x:row>
    <x:row r="1690">
      <x:c r="A1690" t="str">
        <x:v>SYN0001689</x:v>
      </x:c>
      <x:c r="B1690" s="12" t="n">
        <x:v>42805</x:v>
      </x:c>
      <x:c r="C1690" s="18" t="n">
        <x:v>10532</x:v>
      </x:c>
      <x:c r="D1690" s="18" t="n">
        <x:v>59734</x:v>
      </x:c>
      <x:c r="E1690" s="18" t="n">
        <x:v>15.87</x:v>
      </x:c>
      <x:c r="F1690" s="18" t="n">
        <x:v>10.49</x:v>
      </x:c>
      <x:c r="G1690" t="n">
        <x:v>36</x:v>
      </x:c>
      <x:c r="H1690" t="str">
        <x:v>C</x:v>
      </x:c>
      <x:c r="I1690" t="str">
        <x:v>4-6 years</x:v>
      </x:c>
      <x:c r="J1690" t="str">
        <x:v>OWN</x:v>
      </x:c>
      <x:c r="K1690" t="str">
        <x:v>debt_consolidation</x:v>
      </x:c>
      <x:c r="L1690" t="n">
        <x:v>0</x:v>
      </x:c>
      <x:c r="M1690" t="n">
        <x:v>0</x:v>
      </x:c>
      <x:c r="N1690" t="str">
        <x:v>Fully Paid</x:v>
      </x:c>
      <x:c r="O1690" t="str">
        <x:f>IF(D1690="","Unknown",IF(D1690&lt;25000,"&lt;$25k",IF(D1690&lt;50000,"$25k-$50k",IF(D1690&lt;75000,"$50k-$75k",IF(D1690&lt;100000,"$75k-$100k","$100k+")))))</x:f>
        <x:v>$50k-$75k</x:v>
      </x:c>
      <x:c r="P1690" t="str">
        <x:f>IF(E1690="","Unknown",IF(E1690&lt;10,"&lt;10",IF(E1690&lt;20,"10-&lt;20",IF(E1690&lt;25,"20-&lt;25",IF(E1690&lt;35,"25-&lt;35","35+")))))</x:f>
        <x:v>10-&lt;20</x:v>
      </x:c>
    </x:row>
    <x:row r="1691">
      <x:c r="A1691" t="str">
        <x:v>SYN0001690</x:v>
      </x:c>
      <x:c r="B1691" s="12" t="n">
        <x:v>41665</x:v>
      </x:c>
      <x:c r="C1691" s="18" t="n">
        <x:v>14947</x:v>
      </x:c>
      <x:c r="D1691" s="18" t="n">
        <x:v>46205</x:v>
      </x:c>
      <x:c r="E1691" s="18" t="n">
        <x:v>12.13</x:v>
      </x:c>
      <x:c r="F1691" s="18" t="n">
        <x:v>16.58</x:v>
      </x:c>
      <x:c r="G1691" t="n">
        <x:v>36</x:v>
      </x:c>
      <x:c r="H1691" t="str">
        <x:v>D</x:v>
      </x:c>
      <x:c r="I1691" t="str">
        <x:v>1-3 years</x:v>
      </x:c>
      <x:c r="J1691" t="str">
        <x:v>MORTGAGE</x:v>
      </x:c>
      <x:c r="K1691" t="str">
        <x:v>debt_consolidation</x:v>
      </x:c>
      <x:c r="L1691" t="n">
        <x:v>0</x:v>
      </x:c>
      <x:c r="M1691" t="n">
        <x:v>0</x:v>
      </x:c>
      <x:c r="N1691" t="str">
        <x:v>Fully Paid</x:v>
      </x:c>
      <x:c r="O1691" t="str">
        <x:f>IF(D1691="","Unknown",IF(D1691&lt;25000,"&lt;$25k",IF(D1691&lt;50000,"$25k-$50k",IF(D1691&lt;75000,"$50k-$75k",IF(D1691&lt;100000,"$75k-$100k","$100k+")))))</x:f>
        <x:v>$25k-$50k</x:v>
      </x:c>
      <x:c r="P1691" t="str">
        <x:f>IF(E1691="","Unknown",IF(E1691&lt;10,"&lt;10",IF(E1691&lt;20,"10-&lt;20",IF(E1691&lt;25,"20-&lt;25",IF(E1691&lt;35,"25-&lt;35","35+")))))</x:f>
        <x:v>10-&lt;20</x:v>
      </x:c>
    </x:row>
    <x:row r="1692">
      <x:c r="A1692" t="str">
        <x:v>SYN0001691</x:v>
      </x:c>
      <x:c r="B1692" s="12" t="n">
        <x:v>41605</x:v>
      </x:c>
      <x:c r="C1692" s="18" t="n">
        <x:v>7678</x:v>
      </x:c>
      <x:c r="D1692" s="18" t="n">
        <x:v>63439</x:v>
      </x:c>
      <x:c r="E1692" s="18" t="n">
        <x:v>14.31</x:v>
      </x:c>
      <x:c r="F1692" s="18" t="n">
        <x:v>8.45</x:v>
      </x:c>
      <x:c r="G1692" t="n">
        <x:v>60</x:v>
      </x:c>
      <x:c r="H1692" t="str">
        <x:v>B</x:v>
      </x:c>
      <x:c r="I1692" t="str">
        <x:v>7-9 years</x:v>
      </x:c>
      <x:c r="J1692" t="str">
        <x:v>MORTGAGE</x:v>
      </x:c>
      <x:c r="K1692" t="str">
        <x:v>debt_consolidation</x:v>
      </x:c>
      <x:c r="L1692" t="n">
        <x:v>1</x:v>
      </x:c>
      <x:c r="M1692" t="n">
        <x:v>0</x:v>
      </x:c>
      <x:c r="N1692" t="str">
        <x:v>Fully Paid</x:v>
      </x:c>
      <x:c r="O1692" t="str">
        <x:f>IF(D1692="","Unknown",IF(D1692&lt;25000,"&lt;$25k",IF(D1692&lt;50000,"$25k-$50k",IF(D1692&lt;75000,"$50k-$75k",IF(D1692&lt;100000,"$75k-$100k","$100k+")))))</x:f>
        <x:v>$50k-$75k</x:v>
      </x:c>
      <x:c r="P1692" t="str">
        <x:f>IF(E1692="","Unknown",IF(E1692&lt;10,"&lt;10",IF(E1692&lt;20,"10-&lt;20",IF(E1692&lt;25,"20-&lt;25",IF(E1692&lt;35,"25-&lt;35","35+")))))</x:f>
        <x:v>10-&lt;20</x:v>
      </x:c>
    </x:row>
    <x:row r="1693">
      <x:c r="A1693" t="str">
        <x:v>SYN0001692</x:v>
      </x:c>
      <x:c r="B1693" s="12" t="n">
        <x:v>42835</x:v>
      </x:c>
      <x:c r="C1693" s="18" t="n">
        <x:v>6098</x:v>
      </x:c>
      <x:c r="D1693" s="18" t="n">
        <x:v>210566</x:v>
      </x:c>
      <x:c r="E1693" s="18" t="n">
        <x:v>29.54</x:v>
      </x:c>
      <x:c r="F1693" s="18" t="n">
        <x:v>7.57</x:v>
      </x:c>
      <x:c r="G1693" t="n">
        <x:v>60</x:v>
      </x:c>
      <x:c r="H1693" t="str">
        <x:v>B</x:v>
      </x:c>
      <x:c r="I1693" t="str">
        <x:v>10+ years</x:v>
      </x:c>
      <x:c r="J1693" t="str">
        <x:v>MORTGAGE</x:v>
      </x:c>
      <x:c r="K1693" t="str">
        <x:v>debt_consolidation</x:v>
      </x:c>
      <x:c r="L1693" t="n">
        <x:v>0</x:v>
      </x:c>
      <x:c r="M1693" t="n">
        <x:v>0</x:v>
      </x:c>
      <x:c r="N1693" t="str">
        <x:v>Fully Paid</x:v>
      </x:c>
      <x:c r="O1693" t="str">
        <x:f>IF(D1693="","Unknown",IF(D1693&lt;25000,"&lt;$25k",IF(D1693&lt;50000,"$25k-$50k",IF(D1693&lt;75000,"$50k-$75k",IF(D1693&lt;100000,"$75k-$100k","$100k+")))))</x:f>
        <x:v>$100k+</x:v>
      </x:c>
      <x:c r="P1693" t="str">
        <x:f>IF(E1693="","Unknown",IF(E1693&lt;10,"&lt;10",IF(E1693&lt;20,"10-&lt;20",IF(E1693&lt;25,"20-&lt;25",IF(E1693&lt;35,"25-&lt;35","35+")))))</x:f>
        <x:v>25-&lt;35</x:v>
      </x:c>
    </x:row>
    <x:row r="1694">
      <x:c r="A1694" t="str">
        <x:v>SYN0001693</x:v>
      </x:c>
      <x:c r="B1694" s="12" t="n">
        <x:v>41545</x:v>
      </x:c>
      <x:c r="C1694" s="18" t="n">
        <x:v>40000</x:v>
      </x:c>
      <x:c r="D1694" s="18" t="n">
        <x:v>73059</x:v>
      </x:c>
      <x:c r="E1694" s="18" t="n">
        <x:v>42.59</x:v>
      </x:c>
      <x:c r="F1694" s="18" t="n">
        <x:v>25.97</x:v>
      </x:c>
      <x:c r="G1694" t="n">
        <x:v>60</x:v>
      </x:c>
      <x:c r="H1694" t="str">
        <x:v>G</x:v>
      </x:c>
      <x:c r="I1694" t="str">
        <x:v>10+ years</x:v>
      </x:c>
      <x:c r="J1694" t="str">
        <x:v>RENT</x:v>
      </x:c>
      <x:c r="K1694" t="str">
        <x:v>debt_consolidation</x:v>
      </x:c>
      <x:c r="L1694" t="n">
        <x:v>1</x:v>
      </x:c>
      <x:c r="M1694" t="n">
        <x:v>1</x:v>
      </x:c>
      <x:c r="N1694" t="str">
        <x:v>Charged Off</x:v>
      </x:c>
      <x:c r="O1694" t="str">
        <x:f>IF(D1694="","Unknown",IF(D1694&lt;25000,"&lt;$25k",IF(D1694&lt;50000,"$25k-$50k",IF(D1694&lt;75000,"$50k-$75k",IF(D1694&lt;100000,"$75k-$100k","$100k+")))))</x:f>
        <x:v>$50k-$75k</x:v>
      </x:c>
      <x:c r="P1694" t="str">
        <x:f>IF(E1694="","Unknown",IF(E1694&lt;10,"&lt;10",IF(E1694&lt;20,"10-&lt;20",IF(E1694&lt;25,"20-&lt;25",IF(E1694&lt;35,"25-&lt;35","35+")))))</x:f>
        <x:v>35+</x:v>
      </x:c>
    </x:row>
    <x:row r="1695">
      <x:c r="A1695" t="str">
        <x:v>SYN0001694</x:v>
      </x:c>
      <x:c r="B1695" s="12" t="n">
        <x:v>43105</x:v>
      </x:c>
      <x:c r="C1695" s="18" t="n">
        <x:v>25115</x:v>
      </x:c>
      <x:c r="D1695" s="18" t="n">
        <x:v>40474</x:v>
      </x:c>
      <x:c r="E1695" s="18" t="n">
        <x:v>38.91</x:v>
      </x:c>
      <x:c r="F1695" s="18" t="n">
        <x:v>23.74</x:v>
      </x:c>
      <x:c r="G1695" t="n">
        <x:v>36</x:v>
      </x:c>
      <x:c r="H1695" t="str">
        <x:v>F</x:v>
      </x:c>
      <x:c r="I1695" t="str">
        <x:v>10+ years</x:v>
      </x:c>
      <x:c r="J1695" t="str">
        <x:v>MORTGAGE</x:v>
      </x:c>
      <x:c r="K1695" t="str">
        <x:v>debt_consolidation</x:v>
      </x:c>
      <x:c r="L1695" t="n">
        <x:v>1</x:v>
      </x:c>
      <x:c r="M1695" t="n">
        <x:v>0</x:v>
      </x:c>
      <x:c r="N1695" t="str">
        <x:v>Fully Paid</x:v>
      </x:c>
      <x:c r="O1695" t="str">
        <x:f>IF(D1695="","Unknown",IF(D1695&lt;25000,"&lt;$25k",IF(D1695&lt;50000,"$25k-$50k",IF(D1695&lt;75000,"$50k-$75k",IF(D1695&lt;100000,"$75k-$100k","$100k+")))))</x:f>
        <x:v>$25k-$50k</x:v>
      </x:c>
      <x:c r="P1695" t="str">
        <x:f>IF(E1695="","Unknown",IF(E1695&lt;10,"&lt;10",IF(E1695&lt;20,"10-&lt;20",IF(E1695&lt;25,"20-&lt;25",IF(E1695&lt;35,"25-&lt;35","35+")))))</x:f>
        <x:v>35+</x:v>
      </x:c>
    </x:row>
    <x:row r="1696">
      <x:c r="A1696" t="str">
        <x:v>SYN0001695</x:v>
      </x:c>
      <x:c r="B1696" s="12" t="n">
        <x:v>42025</x:v>
      </x:c>
      <x:c r="C1696" s="18" t="n">
        <x:v>12314</x:v>
      </x:c>
      <x:c r="D1696" s="18" t="n">
        <x:v>73676</x:v>
      </x:c>
      <x:c r="E1696" s="18" t="n">
        <x:v>22.38</x:v>
      </x:c>
      <x:c r="F1696" s="18" t="n">
        <x:v>26.83</x:v>
      </x:c>
      <x:c r="G1696" t="n">
        <x:v>36</x:v>
      </x:c>
      <x:c r="H1696" t="str">
        <x:v>G</x:v>
      </x:c>
      <x:c r="I1696" t="str">
        <x:v>10+ years</x:v>
      </x:c>
      <x:c r="J1696" t="str">
        <x:v>OWN</x:v>
      </x:c>
      <x:c r="K1696" t="str">
        <x:v>credit_card</x:v>
      </x:c>
      <x:c r="L1696" t="n">
        <x:v>1</x:v>
      </x:c>
      <x:c r="M1696" t="n">
        <x:v>0</x:v>
      </x:c>
      <x:c r="N1696" t="str">
        <x:v>Fully Paid</x:v>
      </x:c>
      <x:c r="O1696" t="str">
        <x:f>IF(D1696="","Unknown",IF(D1696&lt;25000,"&lt;$25k",IF(D1696&lt;50000,"$25k-$50k",IF(D1696&lt;75000,"$50k-$75k",IF(D1696&lt;100000,"$75k-$100k","$100k+")))))</x:f>
        <x:v>$50k-$75k</x:v>
      </x:c>
      <x:c r="P1696" t="str">
        <x:f>IF(E1696="","Unknown",IF(E1696&lt;10,"&lt;10",IF(E1696&lt;20,"10-&lt;20",IF(E1696&lt;25,"20-&lt;25",IF(E1696&lt;35,"25-&lt;35","35+")))))</x:f>
        <x:v>20-&lt;25</x:v>
      </x:c>
    </x:row>
    <x:row r="1697">
      <x:c r="A1697" t="str">
        <x:v>SYN0001696</x:v>
      </x:c>
      <x:c r="B1697" s="12" t="n">
        <x:v>41815</x:v>
      </x:c>
      <x:c r="C1697" s="18" t="n">
        <x:v>14266</x:v>
      </x:c>
      <x:c r="D1697" s="18" t="n">
        <x:v>27250</x:v>
      </x:c>
      <x:c r="E1697" s="18" t="n">
        <x:v>0</x:v>
      </x:c>
      <x:c r="F1697" s="18" t="n">
        <x:v>9.99</x:v>
      </x:c>
      <x:c r="G1697" t="n">
        <x:v>36</x:v>
      </x:c>
      <x:c r="H1697" t="str">
        <x:v>B</x:v>
      </x:c>
      <x:c r="I1697" t="str">
        <x:v>10+ years</x:v>
      </x:c>
      <x:c r="J1697" t="str">
        <x:v>OWN</x:v>
      </x:c>
      <x:c r="K1697" t="str">
        <x:v>home_improvement</x:v>
      </x:c>
      <x:c r="L1697" t="n">
        <x:v>0</x:v>
      </x:c>
      <x:c r="M1697" t="n">
        <x:v>0</x:v>
      </x:c>
      <x:c r="N1697" t="str">
        <x:v>Fully Paid</x:v>
      </x:c>
      <x:c r="O1697" t="str">
        <x:f>IF(D1697="","Unknown",IF(D1697&lt;25000,"&lt;$25k",IF(D1697&lt;50000,"$25k-$50k",IF(D1697&lt;75000,"$50k-$75k",IF(D1697&lt;100000,"$75k-$100k","$100k+")))))</x:f>
        <x:v>$25k-$50k</x:v>
      </x:c>
      <x:c r="P1697" t="str">
        <x:f>IF(E1697="","Unknown",IF(E1697&lt;10,"&lt;10",IF(E1697&lt;20,"10-&lt;20",IF(E1697&lt;25,"20-&lt;25",IF(E1697&lt;35,"25-&lt;35","35+")))))</x:f>
        <x:v>Unknown</x:v>
      </x:c>
    </x:row>
    <x:row r="1698">
      <x:c r="A1698" t="str">
        <x:v>SYN0001697</x:v>
      </x:c>
      <x:c r="B1698" s="12" t="n">
        <x:v>43285</x:v>
      </x:c>
      <x:c r="C1698" s="18" t="n">
        <x:v>9172</x:v>
      </x:c>
      <x:c r="D1698" s="18" t="n">
        <x:v>20385</x:v>
      </x:c>
      <x:c r="E1698" s="18" t="n">
        <x:v>3.18</x:v>
      </x:c>
      <x:c r="F1698" s="18" t="n">
        <x:v>11.54</x:v>
      </x:c>
      <x:c r="G1698" t="n">
        <x:v>36</x:v>
      </x:c>
      <x:c r="H1698" t="str">
        <x:v>B</x:v>
      </x:c>
      <x:c r="I1698" t="str">
        <x:v>10+ years</x:v>
      </x:c>
      <x:c r="J1698" t="str">
        <x:v>MORTGAGE</x:v>
      </x:c>
      <x:c r="K1698" t="str">
        <x:v>debt_consolidation</x:v>
      </x:c>
      <x:c r="L1698" t="n">
        <x:v>0</x:v>
      </x:c>
      <x:c r="M1698" t="n">
        <x:v>0</x:v>
      </x:c>
      <x:c r="N1698" t="str">
        <x:v>Fully Paid</x:v>
      </x:c>
      <x:c r="O1698" t="str">
        <x:f>IF(D1698="","Unknown",IF(D1698&lt;25000,"&lt;$25k",IF(D1698&lt;50000,"$25k-$50k",IF(D1698&lt;75000,"$50k-$75k",IF(D1698&lt;100000,"$75k-$100k","$100k+")))))</x:f>
        <x:v>&lt;$25k</x:v>
      </x:c>
      <x:c r="P1698" t="str">
        <x:f>IF(E1698="","Unknown",IF(E1698&lt;10,"&lt;10",IF(E1698&lt;20,"10-&lt;20",IF(E1698&lt;25,"20-&lt;25",IF(E1698&lt;35,"25-&lt;35","35+")))))</x:f>
        <x:v>&lt;10</x:v>
      </x:c>
    </x:row>
    <x:row r="1699">
      <x:c r="A1699" t="str">
        <x:v>SYN0001698</x:v>
      </x:c>
      <x:c r="B1699" s="12" t="n">
        <x:v>42955</x:v>
      </x:c>
      <x:c r="C1699" s="18" t="n">
        <x:v>6201</x:v>
      </x:c>
      <x:c r="D1699" s="18" t="n">
        <x:v>26287</x:v>
      </x:c>
      <x:c r="E1699" s="18" t="n">
        <x:v>12.76</x:v>
      </x:c>
      <x:c r="F1699" s="18" t="n">
        <x:v>17.16</x:v>
      </x:c>
      <x:c r="G1699" t="n">
        <x:v>36</x:v>
      </x:c>
      <x:c r="H1699" t="str">
        <x:v>D</x:v>
      </x:c>
      <x:c r="I1699" t="str">
        <x:v>1-3 years</x:v>
      </x:c>
      <x:c r="J1699" t="str">
        <x:v>MORTGAGE</x:v>
      </x:c>
      <x:c r="K1699" t="str">
        <x:v>major_purchase</x:v>
      </x:c>
      <x:c r="L1699" t="n">
        <x:v>1</x:v>
      </x:c>
      <x:c r="M1699" t="n">
        <x:v>0</x:v>
      </x:c>
      <x:c r="N1699" t="str">
        <x:v>Fully Paid</x:v>
      </x:c>
      <x:c r="O1699" t="str">
        <x:f>IF(D1699="","Unknown",IF(D1699&lt;25000,"&lt;$25k",IF(D1699&lt;50000,"$25k-$50k",IF(D1699&lt;75000,"$50k-$75k",IF(D1699&lt;100000,"$75k-$100k","$100k+")))))</x:f>
        <x:v>$25k-$50k</x:v>
      </x:c>
      <x:c r="P1699" t="str">
        <x:f>IF(E1699="","Unknown",IF(E1699&lt;10,"&lt;10",IF(E1699&lt;20,"10-&lt;20",IF(E1699&lt;25,"20-&lt;25",IF(E1699&lt;35,"25-&lt;35","35+")))))</x:f>
        <x:v>10-&lt;20</x:v>
      </x:c>
    </x:row>
    <x:row r="1700">
      <x:c r="A1700" t="str">
        <x:v>SYN0001699</x:v>
      </x:c>
      <x:c r="B1700" s="12" t="n">
        <x:v>42565</x:v>
      </x:c>
      <x:c r="C1700" s="18" t="n">
        <x:v>16445</x:v>
      </x:c>
      <x:c r="D1700" s="18" t="n">
        <x:v>35299</x:v>
      </x:c>
      <x:c r="E1700" s="18" t="n">
        <x:v>16.14</x:v>
      </x:c>
      <x:c r="F1700" s="18" t="n">
        <x:v>27.4</x:v>
      </x:c>
      <x:c r="G1700" t="n">
        <x:v>36</x:v>
      </x:c>
      <x:c r="H1700" t="str">
        <x:v>G</x:v>
      </x:c>
      <x:c r="I1700" t="str">
        <x:v>4-6 years</x:v>
      </x:c>
      <x:c r="J1700" t="str">
        <x:v>OTHER</x:v>
      </x:c>
      <x:c r="K1700" t="str">
        <x:v>credit_card</x:v>
      </x:c>
      <x:c r="L1700" t="n">
        <x:v>0</x:v>
      </x:c>
      <x:c r="M1700" t="n">
        <x:v>0</x:v>
      </x:c>
      <x:c r="N1700" t="str">
        <x:v>Fully Paid</x:v>
      </x:c>
      <x:c r="O1700" t="str">
        <x:f>IF(D1700="","Unknown",IF(D1700&lt;25000,"&lt;$25k",IF(D1700&lt;50000,"$25k-$50k",IF(D1700&lt;75000,"$50k-$75k",IF(D1700&lt;100000,"$75k-$100k","$100k+")))))</x:f>
        <x:v>$25k-$50k</x:v>
      </x:c>
      <x:c r="P1700" t="str">
        <x:f>IF(E1700="","Unknown",IF(E1700&lt;10,"&lt;10",IF(E1700&lt;20,"10-&lt;20",IF(E1700&lt;25,"20-&lt;25",IF(E1700&lt;35,"25-&lt;35","35+")))))</x:f>
        <x:v>10-&lt;20</x:v>
      </x:c>
    </x:row>
    <x:row r="1701">
      <x:c r="A1701" t="str">
        <x:v>SYN0001700</x:v>
      </x:c>
      <x:c r="B1701" s="12" t="n">
        <x:v>43165</x:v>
      </x:c>
      <x:c r="C1701" s="18" t="n">
        <x:v>15342</x:v>
      </x:c>
      <x:c r="D1701" s="18" t="n">
        <x:v>193820</x:v>
      </x:c>
      <x:c r="E1701" s="18" t="n">
        <x:v>31.29</x:v>
      </x:c>
      <x:c r="F1701" s="18" t="n">
        <x:v>21.6</x:v>
      </x:c>
      <x:c r="G1701" t="n">
        <x:v>36</x:v>
      </x:c>
      <x:c r="H1701" t="str">
        <x:v>F</x:v>
      </x:c>
      <x:c r="I1701" t="str">
        <x:v>4-6 years</x:v>
      </x:c>
      <x:c r="J1701" t="str">
        <x:v>MORTGAGE</x:v>
      </x:c>
      <x:c r="K1701" t="str">
        <x:v>debt_consolidation</x:v>
      </x:c>
      <x:c r="L1701" t="n">
        <x:v>4</x:v>
      </x:c>
      <x:c r="M1701" t="n">
        <x:v>0</x:v>
      </x:c>
      <x:c r="N1701" t="str">
        <x:v>Fully Paid</x:v>
      </x:c>
      <x:c r="O1701" t="str">
        <x:f>IF(D1701="","Unknown",IF(D1701&lt;25000,"&lt;$25k",IF(D1701&lt;50000,"$25k-$50k",IF(D1701&lt;75000,"$50k-$75k",IF(D1701&lt;100000,"$75k-$100k","$100k+")))))</x:f>
        <x:v>$100k+</x:v>
      </x:c>
      <x:c r="P1701" t="str">
        <x:f>IF(E1701="","Unknown",IF(E1701&lt;10,"&lt;10",IF(E1701&lt;20,"10-&lt;20",IF(E1701&lt;25,"20-&lt;25",IF(E1701&lt;35,"25-&lt;35","35+")))))</x:f>
        <x:v>25-&lt;35</x:v>
      </x:c>
    </x:row>
    <x:row r="1702">
      <x:c r="A1702" t="str">
        <x:v>SYN0001701</x:v>
      </x:c>
      <x:c r="B1702" s="12" t="n">
        <x:v>42775</x:v>
      </x:c>
      <x:c r="C1702" s="18" t="n">
        <x:v>10974</x:v>
      </x:c>
      <x:c r="D1702" s="18" t="n">
        <x:v>109957</x:v>
      </x:c>
      <x:c r="E1702" s="18" t="n">
        <x:v>30.27</x:v>
      </x:c>
      <x:c r="F1702" s="18" t="n">
        <x:v>5</x:v>
      </x:c>
      <x:c r="G1702" t="n">
        <x:v>60</x:v>
      </x:c>
      <x:c r="H1702" t="str">
        <x:v>A</x:v>
      </x:c>
      <x:c r="I1702" t="str">
        <x:v>10+ years</x:v>
      </x:c>
      <x:c r="J1702" t="str">
        <x:v>RENT</x:v>
      </x:c>
      <x:c r="K1702" t="str">
        <x:v>debt_consolidation</x:v>
      </x:c>
      <x:c r="L1702" t="n">
        <x:v>0</x:v>
      </x:c>
      <x:c r="M1702" t="n">
        <x:v>0</x:v>
      </x:c>
      <x:c r="N1702" t="str">
        <x:v>Fully Paid</x:v>
      </x:c>
      <x:c r="O1702" t="str">
        <x:f>IF(D1702="","Unknown",IF(D1702&lt;25000,"&lt;$25k",IF(D1702&lt;50000,"$25k-$50k",IF(D1702&lt;75000,"$50k-$75k",IF(D1702&lt;100000,"$75k-$100k","$100k+")))))</x:f>
        <x:v>$100k+</x:v>
      </x:c>
      <x:c r="P1702" t="str">
        <x:f>IF(E1702="","Unknown",IF(E1702&lt;10,"&lt;10",IF(E1702&lt;20,"10-&lt;20",IF(E1702&lt;25,"20-&lt;25",IF(E1702&lt;35,"25-&lt;35","35+")))))</x:f>
        <x:v>25-&lt;35</x:v>
      </x:c>
    </x:row>
    <x:row r="1703">
      <x:c r="A1703" t="str">
        <x:v>SYN0001702</x:v>
      </x:c>
      <x:c r="B1703" s="12" t="n">
        <x:v>41845</x:v>
      </x:c>
      <x:c r="C1703" s="18" t="n">
        <x:v>10932</x:v>
      </x:c>
      <x:c r="D1703" s="18" t="n">
        <x:v>107050</x:v>
      </x:c>
      <x:c r="E1703" s="18" t="n">
        <x:v>19.93</x:v>
      </x:c>
      <x:c r="F1703" s="18" t="n">
        <x:v>26.26</x:v>
      </x:c>
      <x:c r="G1703" t="n">
        <x:v>36</x:v>
      </x:c>
      <x:c r="H1703" t="str">
        <x:v>G</x:v>
      </x:c>
      <x:c r="I1703" t="str">
        <x:v>7-9 years</x:v>
      </x:c>
      <x:c r="J1703" t="str">
        <x:v>MORTGAGE</x:v>
      </x:c>
      <x:c r="K1703" t="str">
        <x:v>home_improvement</x:v>
      </x:c>
      <x:c r="L1703" t="n">
        <x:v>1</x:v>
      </x:c>
      <x:c r="M1703" t="n">
        <x:v>1</x:v>
      </x:c>
      <x:c r="N1703" t="str">
        <x:v>Charged Off</x:v>
      </x:c>
      <x:c r="O1703" t="str">
        <x:f>IF(D1703="","Unknown",IF(D1703&lt;25000,"&lt;$25k",IF(D1703&lt;50000,"$25k-$50k",IF(D1703&lt;75000,"$50k-$75k",IF(D1703&lt;100000,"$75k-$100k","$100k+")))))</x:f>
        <x:v>$100k+</x:v>
      </x:c>
      <x:c r="P1703" t="str">
        <x:f>IF(E1703="","Unknown",IF(E1703&lt;10,"&lt;10",IF(E1703&lt;20,"10-&lt;20",IF(E1703&lt;25,"20-&lt;25",IF(E1703&lt;35,"25-&lt;35","35+")))))</x:f>
        <x:v>10-&lt;20</x:v>
      </x:c>
    </x:row>
    <x:row r="1704">
      <x:c r="A1704" t="str">
        <x:v>SYN0001703</x:v>
      </x:c>
      <x:c r="B1704" s="12" t="n">
        <x:v>42175</x:v>
      </x:c>
      <x:c r="C1704" s="18" t="n">
        <x:v>19169</x:v>
      </x:c>
      <x:c r="D1704" s="18" t="n">
        <x:v>51054</x:v>
      </x:c>
      <x:c r="E1704" s="18" t="n">
        <x:v>11.95</x:v>
      </x:c>
      <x:c r="F1704" s="18" t="n">
        <x:v>7.13</x:v>
      </x:c>
      <x:c r="G1704" t="n">
        <x:v>36</x:v>
      </x:c>
      <x:c r="H1704" t="str">
        <x:v>A</x:v>
      </x:c>
      <x:c r="I1704" t="str">
        <x:v>1-3 years</x:v>
      </x:c>
      <x:c r="J1704" t="str">
        <x:v>RENT</x:v>
      </x:c>
      <x:c r="K1704" t="str">
        <x:v>debt_consolidation</x:v>
      </x:c>
      <x:c r="L1704" t="n">
        <x:v>1</x:v>
      </x:c>
      <x:c r="M1704" t="n">
        <x:v>0</x:v>
      </x:c>
      <x:c r="N1704" t="str">
        <x:v>Fully Paid</x:v>
      </x:c>
      <x:c r="O1704" t="str">
        <x:f>IF(D1704="","Unknown",IF(D1704&lt;25000,"&lt;$25k",IF(D1704&lt;50000,"$25k-$50k",IF(D1704&lt;75000,"$50k-$75k",IF(D1704&lt;100000,"$75k-$100k","$100k+")))))</x:f>
        <x:v>$50k-$75k</x:v>
      </x:c>
      <x:c r="P1704" t="str">
        <x:f>IF(E1704="","Unknown",IF(E1704&lt;10,"&lt;10",IF(E1704&lt;20,"10-&lt;20",IF(E1704&lt;25,"20-&lt;25",IF(E1704&lt;35,"25-&lt;35","35+")))))</x:f>
        <x:v>10-&lt;20</x:v>
      </x:c>
    </x:row>
    <x:row r="1705">
      <x:c r="A1705" t="str">
        <x:v>SYN0001704</x:v>
      </x:c>
      <x:c r="B1705" s="12" t="n">
        <x:v>42835</x:v>
      </x:c>
      <x:c r="C1705" s="18" t="n">
        <x:v>10881</x:v>
      </x:c>
      <x:c r="D1705" s="18" t="n">
        <x:v>74784</x:v>
      </x:c>
      <x:c r="E1705" s="18" t="n">
        <x:v>16.9</x:v>
      </x:c>
      <x:c r="F1705" s="18" t="n">
        <x:v>13.22</x:v>
      </x:c>
      <x:c r="G1705" t="n">
        <x:v>36</x:v>
      </x:c>
      <x:c r="H1705" t="str">
        <x:v>C</x:v>
      </x:c>
      <x:c r="I1705" t="str">
        <x:v>10+ years</x:v>
      </x:c>
      <x:c r="J1705" t="str">
        <x:v>MORTGAGE</x:v>
      </x:c>
      <x:c r="K1705" t="str">
        <x:v>debt_consolidation</x:v>
      </x:c>
      <x:c r="L1705" t="n">
        <x:v>0</x:v>
      </x:c>
      <x:c r="M1705" t="n">
        <x:v>0</x:v>
      </x:c>
      <x:c r="N1705" t="str">
        <x:v>Fully Paid</x:v>
      </x:c>
      <x:c r="O1705" t="str">
        <x:f>IF(D1705="","Unknown",IF(D1705&lt;25000,"&lt;$25k",IF(D1705&lt;50000,"$25k-$50k",IF(D1705&lt;75000,"$50k-$75k",IF(D1705&lt;100000,"$75k-$100k","$100k+")))))</x:f>
        <x:v>$50k-$75k</x:v>
      </x:c>
      <x:c r="P1705" t="str">
        <x:f>IF(E1705="","Unknown",IF(E1705&lt;10,"&lt;10",IF(E1705&lt;20,"10-&lt;20",IF(E1705&lt;25,"20-&lt;25",IF(E1705&lt;35,"25-&lt;35","35+")))))</x:f>
        <x:v>10-&lt;20</x:v>
      </x:c>
    </x:row>
    <x:row r="1706">
      <x:c r="A1706" t="str">
        <x:v>SYN0001705</x:v>
      </x:c>
      <x:c r="B1706" s="12" t="n">
        <x:v>42085</x:v>
      </x:c>
      <x:c r="C1706" s="18" t="n">
        <x:v>18285</x:v>
      </x:c>
      <x:c r="D1706" s="18" t="n">
        <x:v>47993</x:v>
      </x:c>
      <x:c r="E1706" s="18" t="n">
        <x:v>15.33</x:v>
      </x:c>
      <x:c r="F1706" s="18" t="n">
        <x:v>5.04</x:v>
      </x:c>
      <x:c r="G1706" t="n">
        <x:v>36</x:v>
      </x:c>
      <x:c r="H1706" t="str">
        <x:v>A</x:v>
      </x:c>
      <x:c r="I1706" t="str">
        <x:v>4-6 years</x:v>
      </x:c>
      <x:c r="J1706" t="str">
        <x:v>RENT</x:v>
      </x:c>
      <x:c r="K1706" t="str">
        <x:v>home_improvement</x:v>
      </x:c>
      <x:c r="L1706" t="n">
        <x:v>1</x:v>
      </x:c>
      <x:c r="M1706" t="n">
        <x:v>0</x:v>
      </x:c>
      <x:c r="N1706" t="str">
        <x:v>Fully Paid</x:v>
      </x:c>
      <x:c r="O1706" t="str">
        <x:f>IF(D1706="","Unknown",IF(D1706&lt;25000,"&lt;$25k",IF(D1706&lt;50000,"$25k-$50k",IF(D1706&lt;75000,"$50k-$75k",IF(D1706&lt;100000,"$75k-$100k","$100k+")))))</x:f>
        <x:v>$25k-$50k</x:v>
      </x:c>
      <x:c r="P1706" t="str">
        <x:f>IF(E1706="","Unknown",IF(E1706&lt;10,"&lt;10",IF(E1706&lt;20,"10-&lt;20",IF(E1706&lt;25,"20-&lt;25",IF(E1706&lt;35,"25-&lt;35","35+")))))</x:f>
        <x:v>10-&lt;20</x:v>
      </x:c>
    </x:row>
    <x:row r="1707">
      <x:c r="A1707" t="str">
        <x:v>SYN0001706</x:v>
      </x:c>
      <x:c r="B1707" s="12" t="n">
        <x:v>42325</x:v>
      </x:c>
      <x:c r="C1707" s="18" t="n">
        <x:v>19093</x:v>
      </x:c>
      <x:c r="D1707" s="18" t="n">
        <x:v>64962</x:v>
      </x:c>
      <x:c r="E1707" s="18" t="n">
        <x:v>31.38</x:v>
      </x:c>
      <x:c r="F1707" s="18" t="n">
        <x:v>7.31</x:v>
      </x:c>
      <x:c r="G1707" t="n">
        <x:v>36</x:v>
      </x:c>
      <x:c r="H1707" t="str">
        <x:v>B</x:v>
      </x:c>
      <x:c r="I1707" t="str">
        <x:v>10+ years</x:v>
      </x:c>
      <x:c r="J1707" t="str">
        <x:v>MORTGAGE</x:v>
      </x:c>
      <x:c r="K1707" t="str">
        <x:v>debt_consolidation</x:v>
      </x:c>
      <x:c r="L1707" t="n">
        <x:v>0</x:v>
      </x:c>
      <x:c r="M1707" t="n">
        <x:v>0</x:v>
      </x:c>
      <x:c r="N1707" t="str">
        <x:v>Fully Paid</x:v>
      </x:c>
      <x:c r="O1707" t="str">
        <x:f>IF(D1707="","Unknown",IF(D1707&lt;25000,"&lt;$25k",IF(D1707&lt;50000,"$25k-$50k",IF(D1707&lt;75000,"$50k-$75k",IF(D1707&lt;100000,"$75k-$100k","$100k+")))))</x:f>
        <x:v>$50k-$75k</x:v>
      </x:c>
      <x:c r="P1707" t="str">
        <x:f>IF(E1707="","Unknown",IF(E1707&lt;10,"&lt;10",IF(E1707&lt;20,"10-&lt;20",IF(E1707&lt;25,"20-&lt;25",IF(E1707&lt;35,"25-&lt;35","35+")))))</x:f>
        <x:v>25-&lt;35</x:v>
      </x:c>
    </x:row>
    <x:row r="1708">
      <x:c r="A1708" t="str">
        <x:v>SYN0001707</x:v>
      </x:c>
      <x:c r="B1708" s="12" t="n">
        <x:v>42775</x:v>
      </x:c>
      <x:c r="C1708" s="18" t="n">
        <x:v>17393</x:v>
      </x:c>
      <x:c r="D1708" s="18" t="n">
        <x:v>64616</x:v>
      </x:c>
      <x:c r="E1708" s="18" t="n">
        <x:v>5.73</x:v>
      </x:c>
      <x:c r="F1708" s="18" t="n">
        <x:v>7.27</x:v>
      </x:c>
      <x:c r="G1708" t="n">
        <x:v>36</x:v>
      </x:c>
      <x:c r="H1708" t="str">
        <x:v>B</x:v>
      </x:c>
      <x:c r="I1708" t="str">
        <x:v>&lt;1 year</x:v>
      </x:c>
      <x:c r="J1708" t="str">
        <x:v>OWN</x:v>
      </x:c>
      <x:c r="K1708" t="str">
        <x:v>debt_consolidation</x:v>
      </x:c>
      <x:c r="L1708" t="n">
        <x:v>0</x:v>
      </x:c>
      <x:c r="M1708" t="n">
        <x:v>0</x:v>
      </x:c>
      <x:c r="N1708" t="str">
        <x:v>Fully Paid</x:v>
      </x:c>
      <x:c r="O1708" t="str">
        <x:f>IF(D1708="","Unknown",IF(D1708&lt;25000,"&lt;$25k",IF(D1708&lt;50000,"$25k-$50k",IF(D1708&lt;75000,"$50k-$75k",IF(D1708&lt;100000,"$75k-$100k","$100k+")))))</x:f>
        <x:v>$50k-$75k</x:v>
      </x:c>
      <x:c r="P1708" t="str">
        <x:f>IF(E1708="","Unknown",IF(E1708&lt;10,"&lt;10",IF(E1708&lt;20,"10-&lt;20",IF(E1708&lt;25,"20-&lt;25",IF(E1708&lt;35,"25-&lt;35","35+")))))</x:f>
        <x:v>&lt;10</x:v>
      </x:c>
    </x:row>
    <x:row r="1709">
      <x:c r="A1709" t="str">
        <x:v>SYN0001708</x:v>
      </x:c>
      <x:c r="B1709" s="12" t="n">
        <x:v>42475</x:v>
      </x:c>
      <x:c r="C1709" s="18" t="n">
        <x:v>8583</x:v>
      </x:c>
      <x:c r="D1709" s="18" t="n">
        <x:v>92680</x:v>
      </x:c>
      <x:c r="E1709" s="18" t="n">
        <x:v>38.85</x:v>
      </x:c>
      <x:c r="F1709" s="18" t="n">
        <x:v>22.4</x:v>
      </x:c>
      <x:c r="G1709" t="n">
        <x:v>60</x:v>
      </x:c>
      <x:c r="H1709" t="str">
        <x:v>F</x:v>
      </x:c>
      <x:c r="I1709" t="str">
        <x:v>1-3 years</x:v>
      </x:c>
      <x:c r="J1709" t="str">
        <x:v>MORTGAGE</x:v>
      </x:c>
      <x:c r="K1709" t="str">
        <x:v>credit_card</x:v>
      </x:c>
      <x:c r="L1709" t="n">
        <x:v>1</x:v>
      </x:c>
      <x:c r="M1709" t="n">
        <x:v>0</x:v>
      </x:c>
      <x:c r="N1709" t="str">
        <x:v>Fully Paid</x:v>
      </x:c>
      <x:c r="O1709" t="str">
        <x:f>IF(D1709="","Unknown",IF(D1709&lt;25000,"&lt;$25k",IF(D1709&lt;50000,"$25k-$50k",IF(D1709&lt;75000,"$50k-$75k",IF(D1709&lt;100000,"$75k-$100k","$100k+")))))</x:f>
        <x:v>$75k-$100k</x:v>
      </x:c>
      <x:c r="P1709" t="str">
        <x:f>IF(E1709="","Unknown",IF(E1709&lt;10,"&lt;10",IF(E1709&lt;20,"10-&lt;20",IF(E1709&lt;25,"20-&lt;25",IF(E1709&lt;35,"25-&lt;35","35+")))))</x:f>
        <x:v>35+</x:v>
      </x:c>
    </x:row>
    <x:row r="1710">
      <x:c r="A1710" t="str">
        <x:v>SYN0001709</x:v>
      </x:c>
      <x:c r="B1710" s="12" t="n">
        <x:v>43405</x:v>
      </x:c>
      <x:c r="C1710" s="18" t="n">
        <x:v>13372</x:v>
      </x:c>
      <x:c r="D1710" s="18" t="n">
        <x:v>45576</x:v>
      </x:c>
      <x:c r="E1710" s="18" t="n">
        <x:v>15.68</x:v>
      </x:c>
      <x:c r="F1710" s="18" t="n">
        <x:v>9.46</x:v>
      </x:c>
      <x:c r="G1710" t="n">
        <x:v>36</x:v>
      </x:c>
      <x:c r="H1710" t="str">
        <x:v>C</x:v>
      </x:c>
      <x:c r="I1710" t="str">
        <x:v>10+ years</x:v>
      </x:c>
      <x:c r="J1710" t="str">
        <x:v>OWN</x:v>
      </x:c>
      <x:c r="K1710" t="str">
        <x:v>medical</x:v>
      </x:c>
      <x:c r="L1710" t="n">
        <x:v>0</x:v>
      </x:c>
      <x:c r="M1710" t="n">
        <x:v>1</x:v>
      </x:c>
      <x:c r="N1710" t="str">
        <x:v>Charged Off</x:v>
      </x:c>
      <x:c r="O1710" t="str">
        <x:f>IF(D1710="","Unknown",IF(D1710&lt;25000,"&lt;$25k",IF(D1710&lt;50000,"$25k-$50k",IF(D1710&lt;75000,"$50k-$75k",IF(D1710&lt;100000,"$75k-$100k","$100k+")))))</x:f>
        <x:v>$25k-$50k</x:v>
      </x:c>
      <x:c r="P1710" t="str">
        <x:f>IF(E1710="","Unknown",IF(E1710&lt;10,"&lt;10",IF(E1710&lt;20,"10-&lt;20",IF(E1710&lt;25,"20-&lt;25",IF(E1710&lt;35,"25-&lt;35","35+")))))</x:f>
        <x:v>10-&lt;20</x:v>
      </x:c>
    </x:row>
    <x:row r="1711">
      <x:c r="A1711" t="str">
        <x:v>SYN0001710</x:v>
      </x:c>
      <x:c r="B1711" s="12" t="n">
        <x:v>43045</x:v>
      </x:c>
      <x:c r="C1711" s="18" t="n">
        <x:v>11488</x:v>
      </x:c>
      <x:c r="D1711" s="18" t="n">
        <x:v>49698</x:v>
      </x:c>
      <x:c r="E1711" s="18" t="n">
        <x:v>19.22</x:v>
      </x:c>
      <x:c r="F1711" s="18" t="n">
        <x:v>9.37</x:v>
      </x:c>
      <x:c r="G1711" t="n">
        <x:v>36</x:v>
      </x:c>
      <x:c r="H1711" t="str">
        <x:v>B</x:v>
      </x:c>
      <x:c r="I1711" t="str">
        <x:v>10+ years</x:v>
      </x:c>
      <x:c r="J1711" t="str">
        <x:v>OWN</x:v>
      </x:c>
      <x:c r="K1711" t="str">
        <x:v>debt_consolidation</x:v>
      </x:c>
      <x:c r="L1711" t="n">
        <x:v>0</x:v>
      </x:c>
      <x:c r="M1711" t="n">
        <x:v>0</x:v>
      </x:c>
      <x:c r="N1711" t="str">
        <x:v>Fully Paid</x:v>
      </x:c>
      <x:c r="O1711" t="str">
        <x:f>IF(D1711="","Unknown",IF(D1711&lt;25000,"&lt;$25k",IF(D1711&lt;50000,"$25k-$50k",IF(D1711&lt;75000,"$50k-$75k",IF(D1711&lt;100000,"$75k-$100k","$100k+")))))</x:f>
        <x:v>$25k-$50k</x:v>
      </x:c>
      <x:c r="P1711" t="str">
        <x:f>IF(E1711="","Unknown",IF(E1711&lt;10,"&lt;10",IF(E1711&lt;20,"10-&lt;20",IF(E1711&lt;25,"20-&lt;25",IF(E1711&lt;35,"25-&lt;35","35+")))))</x:f>
        <x:v>10-&lt;20</x:v>
      </x:c>
    </x:row>
    <x:row r="1712">
      <x:c r="A1712" t="str">
        <x:v>SYN0001711</x:v>
      </x:c>
      <x:c r="B1712" s="12" t="n">
        <x:v>42925</x:v>
      </x:c>
      <x:c r="C1712" s="18" t="n">
        <x:v>20537</x:v>
      </x:c>
      <x:c r="D1712" s="18" t="n">
        <x:v>57712</x:v>
      </x:c>
      <x:c r="E1712" s="18" t="n">
        <x:v>24.94</x:v>
      </x:c>
      <x:c r="F1712" s="18" t="n">
        <x:v>10.67</x:v>
      </x:c>
      <x:c r="G1712" t="n">
        <x:v>36</x:v>
      </x:c>
      <x:c r="H1712" t="str">
        <x:v>C</x:v>
      </x:c>
      <x:c r="I1712" t="str">
        <x:v>&lt;1 year</x:v>
      </x:c>
      <x:c r="J1712" t="str">
        <x:v>OWN</x:v>
      </x:c>
      <x:c r="K1712" t="str">
        <x:v>debt_consolidation</x:v>
      </x:c>
      <x:c r="L1712" t="n">
        <x:v>0</x:v>
      </x:c>
      <x:c r="M1712" t="n">
        <x:v>0</x:v>
      </x:c>
      <x:c r="N1712" t="str">
        <x:v>Fully Paid</x:v>
      </x:c>
      <x:c r="O1712" t="str">
        <x:f>IF(D1712="","Unknown",IF(D1712&lt;25000,"&lt;$25k",IF(D1712&lt;50000,"$25k-$50k",IF(D1712&lt;75000,"$50k-$75k",IF(D1712&lt;100000,"$75k-$100k","$100k+")))))</x:f>
        <x:v>$50k-$75k</x:v>
      </x:c>
      <x:c r="P1712" t="str">
        <x:f>IF(E1712="","Unknown",IF(E1712&lt;10,"&lt;10",IF(E1712&lt;20,"10-&lt;20",IF(E1712&lt;25,"20-&lt;25",IF(E1712&lt;35,"25-&lt;35","35+")))))</x:f>
        <x:v>20-&lt;25</x:v>
      </x:c>
    </x:row>
    <x:row r="1713">
      <x:c r="A1713" t="str">
        <x:v>SYN0001712</x:v>
      </x:c>
      <x:c r="B1713" s="12" t="n">
        <x:v>41305</x:v>
      </x:c>
      <x:c r="C1713" s="18" t="n">
        <x:v>11382</x:v>
      </x:c>
      <x:c r="D1713" s="18" t="n">
        <x:v>18516</x:v>
      </x:c>
      <x:c r="E1713" s="18" t="n">
        <x:v>20.65</x:v>
      </x:c>
      <x:c r="F1713" s="18" t="n">
        <x:v>18.82</x:v>
      </x:c>
      <x:c r="G1713" t="n">
        <x:v>36</x:v>
      </x:c>
      <x:c r="H1713" t="str">
        <x:v>D</x:v>
      </x:c>
      <x:c r="I1713" t="str">
        <x:v>1-3 years</x:v>
      </x:c>
      <x:c r="J1713" t="str">
        <x:v>MORTGAGE</x:v>
      </x:c>
      <x:c r="K1713" t="str">
        <x:v>debt_consolidation</x:v>
      </x:c>
      <x:c r="L1713" t="n">
        <x:v>1</x:v>
      </x:c>
      <x:c r="M1713" t="n">
        <x:v>0</x:v>
      </x:c>
      <x:c r="N1713" t="str">
        <x:v>Fully Paid</x:v>
      </x:c>
      <x:c r="O1713" t="str">
        <x:f>IF(D1713="","Unknown",IF(D1713&lt;25000,"&lt;$25k",IF(D1713&lt;50000,"$25k-$50k",IF(D1713&lt;75000,"$50k-$75k",IF(D1713&lt;100000,"$75k-$100k","$100k+")))))</x:f>
        <x:v>&lt;$25k</x:v>
      </x:c>
      <x:c r="P1713" t="str">
        <x:f>IF(E1713="","Unknown",IF(E1713&lt;10,"&lt;10",IF(E1713&lt;20,"10-&lt;20",IF(E1713&lt;25,"20-&lt;25",IF(E1713&lt;35,"25-&lt;35","35+")))))</x:f>
        <x:v>20-&lt;25</x:v>
      </x:c>
    </x:row>
    <x:row r="1714">
      <x:c r="A1714" t="str">
        <x:v>SYN0001713</x:v>
      </x:c>
      <x:c r="B1714" s="12" t="n">
        <x:v>42325</x:v>
      </x:c>
      <x:c r="C1714" s="18" t="n">
        <x:v>12498</x:v>
      </x:c>
      <x:c r="D1714" s="18" t="n">
        <x:v>42551</x:v>
      </x:c>
      <x:c r="E1714" s="18" t="n">
        <x:v>32.07</x:v>
      </x:c>
      <x:c r="F1714" s="18" t="n">
        <x:v>14.23</x:v>
      </x:c>
      <x:c r="G1714" t="n">
        <x:v>36</x:v>
      </x:c>
      <x:c r="H1714" t="str">
        <x:v>D</x:v>
      </x:c>
      <x:c r="I1714" t="str">
        <x:v>4-6 years</x:v>
      </x:c>
      <x:c r="J1714" t="str">
        <x:v>MORTGAGE</x:v>
      </x:c>
      <x:c r="K1714" t="str">
        <x:v>credit_card</x:v>
      </x:c>
      <x:c r="L1714" t="n">
        <x:v>1</x:v>
      </x:c>
      <x:c r="M1714" t="n">
        <x:v>0</x:v>
      </x:c>
      <x:c r="N1714" t="str">
        <x:v>Fully Paid</x:v>
      </x:c>
      <x:c r="O1714" t="str">
        <x:f>IF(D1714="","Unknown",IF(D1714&lt;25000,"&lt;$25k",IF(D1714&lt;50000,"$25k-$50k",IF(D1714&lt;75000,"$50k-$75k",IF(D1714&lt;100000,"$75k-$100k","$100k+")))))</x:f>
        <x:v>$25k-$50k</x:v>
      </x:c>
      <x:c r="P1714" t="str">
        <x:f>IF(E1714="","Unknown",IF(E1714&lt;10,"&lt;10",IF(E1714&lt;20,"10-&lt;20",IF(E1714&lt;25,"20-&lt;25",IF(E1714&lt;35,"25-&lt;35","35+")))))</x:f>
        <x:v>25-&lt;35</x:v>
      </x:c>
    </x:row>
    <x:row r="1715">
      <x:c r="A1715" t="str">
        <x:v>SYN0001714</x:v>
      </x:c>
      <x:c r="B1715" s="12" t="n">
        <x:v>42955</x:v>
      </x:c>
      <x:c r="C1715" s="18" t="n">
        <x:v>12680</x:v>
      </x:c>
      <x:c r="D1715" s="18" t="n">
        <x:v>37385</x:v>
      </x:c>
      <x:c r="E1715" s="18" t="n">
        <x:v>23.28</x:v>
      </x:c>
      <x:c r="F1715" s="18" t="n">
        <x:v>18.25</x:v>
      </x:c>
      <x:c r="G1715" t="n">
        <x:v>36</x:v>
      </x:c>
      <x:c r="H1715" t="str">
        <x:v>E</x:v>
      </x:c>
      <x:c r="I1715" t="str">
        <x:v>10+ years</x:v>
      </x:c>
      <x:c r="J1715" t="str">
        <x:v>MORTGAGE</x:v>
      </x:c>
      <x:c r="K1715" t="str">
        <x:v>major_purchase</x:v>
      </x:c>
      <x:c r="L1715" t="n">
        <x:v>1</x:v>
      </x:c>
      <x:c r="M1715" t="n">
        <x:v>1</x:v>
      </x:c>
      <x:c r="N1715" t="str">
        <x:v>Charged Off</x:v>
      </x:c>
      <x:c r="O1715" t="str">
        <x:f>IF(D1715="","Unknown",IF(D1715&lt;25000,"&lt;$25k",IF(D1715&lt;50000,"$25k-$50k",IF(D1715&lt;75000,"$50k-$75k",IF(D1715&lt;100000,"$75k-$100k","$100k+")))))</x:f>
        <x:v>$25k-$50k</x:v>
      </x:c>
      <x:c r="P1715" t="str">
        <x:f>IF(E1715="","Unknown",IF(E1715&lt;10,"&lt;10",IF(E1715&lt;20,"10-&lt;20",IF(E1715&lt;25,"20-&lt;25",IF(E1715&lt;35,"25-&lt;35","35+")))))</x:f>
        <x:v>20-&lt;25</x:v>
      </x:c>
    </x:row>
    <x:row r="1716">
      <x:c r="A1716" t="str">
        <x:v>SYN0001715</x:v>
      </x:c>
      <x:c r="B1716" s="12" t="n">
        <x:v>42475</x:v>
      </x:c>
      <x:c r="C1716" s="18" t="n">
        <x:v>7260</x:v>
      </x:c>
      <x:c r="D1716" s="18" t="n">
        <x:v>45379</x:v>
      </x:c>
      <x:c r="E1716" s="18" t="n">
        <x:v>29.27</x:v>
      </x:c>
      <x:c r="F1716" s="18" t="n">
        <x:v>23.75</x:v>
      </x:c>
      <x:c r="G1716" t="n">
        <x:v>60</x:v>
      </x:c>
      <x:c r="H1716" t="str">
        <x:v>G</x:v>
      </x:c>
      <x:c r="I1716" t="str">
        <x:v>4-6 years</x:v>
      </x:c>
      <x:c r="J1716" t="str">
        <x:v>MORTGAGE</x:v>
      </x:c>
      <x:c r="K1716" t="str">
        <x:v>credit_card</x:v>
      </x:c>
      <x:c r="L1716" t="n">
        <x:v>0</x:v>
      </x:c>
      <x:c r="M1716" t="n">
        <x:v>1</x:v>
      </x:c>
      <x:c r="N1716" t="str">
        <x:v>Charged Off</x:v>
      </x:c>
      <x:c r="O1716" t="str">
        <x:f>IF(D1716="","Unknown",IF(D1716&lt;25000,"&lt;$25k",IF(D1716&lt;50000,"$25k-$50k",IF(D1716&lt;75000,"$50k-$75k",IF(D1716&lt;100000,"$75k-$100k","$100k+")))))</x:f>
        <x:v>$25k-$50k</x:v>
      </x:c>
      <x:c r="P1716" t="str">
        <x:f>IF(E1716="","Unknown",IF(E1716&lt;10,"&lt;10",IF(E1716&lt;20,"10-&lt;20",IF(E1716&lt;25,"20-&lt;25",IF(E1716&lt;35,"25-&lt;35","35+")))))</x:f>
        <x:v>25-&lt;35</x:v>
      </x:c>
    </x:row>
    <x:row r="1717">
      <x:c r="A1717" t="str">
        <x:v>SYN0001716</x:v>
      </x:c>
      <x:c r="B1717" s="12" t="n">
        <x:v>41485</x:v>
      </x:c>
      <x:c r="C1717" s="18" t="n">
        <x:v>15650</x:v>
      </x:c>
      <x:c r="D1717" s="18" t="n">
        <x:v>29694</x:v>
      </x:c>
      <x:c r="E1717" s="18" t="n">
        <x:v>6.45</x:v>
      </x:c>
      <x:c r="F1717" s="18" t="n">
        <x:v>8.11</x:v>
      </x:c>
      <x:c r="G1717" t="n">
        <x:v>36</x:v>
      </x:c>
      <x:c r="H1717" t="str">
        <x:v>A</x:v>
      </x:c>
      <x:c r="I1717" t="str">
        <x:v>10+ years</x:v>
      </x:c>
      <x:c r="J1717" t="str">
        <x:v>OWN</x:v>
      </x:c>
      <x:c r="K1717" t="str">
        <x:v>debt_consolidation</x:v>
      </x:c>
      <x:c r="L1717" t="n">
        <x:v>1</x:v>
      </x:c>
      <x:c r="M1717" t="n">
        <x:v>0</x:v>
      </x:c>
      <x:c r="N1717" t="str">
        <x:v>Fully Paid</x:v>
      </x:c>
      <x:c r="O1717" t="str">
        <x:f>IF(D1717="","Unknown",IF(D1717&lt;25000,"&lt;$25k",IF(D1717&lt;50000,"$25k-$50k",IF(D1717&lt;75000,"$50k-$75k",IF(D1717&lt;100000,"$75k-$100k","$100k+")))))</x:f>
        <x:v>$25k-$50k</x:v>
      </x:c>
      <x:c r="P1717" t="str">
        <x:f>IF(E1717="","Unknown",IF(E1717&lt;10,"&lt;10",IF(E1717&lt;20,"10-&lt;20",IF(E1717&lt;25,"20-&lt;25",IF(E1717&lt;35,"25-&lt;35","35+")))))</x:f>
        <x:v>&lt;10</x:v>
      </x:c>
    </x:row>
    <x:row r="1718">
      <x:c r="A1718" t="str">
        <x:v>SYN0001717</x:v>
      </x:c>
      <x:c r="B1718" s="12" t="n">
        <x:v>42505</x:v>
      </x:c>
      <x:c r="C1718" s="18" t="n">
        <x:v>21004</x:v>
      </x:c>
      <x:c r="D1718" s="18" t="n">
        <x:v>189305</x:v>
      </x:c>
      <x:c r="E1718" s="18" t="n">
        <x:v>32.81</x:v>
      </x:c>
      <x:c r="F1718" s="18" t="n">
        <x:v>21.75</x:v>
      </x:c>
      <x:c r="G1718" t="n">
        <x:v>36</x:v>
      </x:c>
      <x:c r="H1718" t="str">
        <x:v>F</x:v>
      </x:c>
      <x:c r="I1718" t="str">
        <x:v>4-6 years</x:v>
      </x:c>
      <x:c r="J1718" t="str">
        <x:v>MORTGAGE</x:v>
      </x:c>
      <x:c r="K1718" t="str">
        <x:v>debt_consolidation</x:v>
      </x:c>
      <x:c r="L1718" t="n">
        <x:v>0</x:v>
      </x:c>
      <x:c r="M1718" t="n">
        <x:v>0</x:v>
      </x:c>
      <x:c r="N1718" t="str">
        <x:v>Fully Paid</x:v>
      </x:c>
      <x:c r="O1718" t="str">
        <x:f>IF(D1718="","Unknown",IF(D1718&lt;25000,"&lt;$25k",IF(D1718&lt;50000,"$25k-$50k",IF(D1718&lt;75000,"$50k-$75k",IF(D1718&lt;100000,"$75k-$100k","$100k+")))))</x:f>
        <x:v>$100k+</x:v>
      </x:c>
      <x:c r="P1718" t="str">
        <x:f>IF(E1718="","Unknown",IF(E1718&lt;10,"&lt;10",IF(E1718&lt;20,"10-&lt;20",IF(E1718&lt;25,"20-&lt;25",IF(E1718&lt;35,"25-&lt;35","35+")))))</x:f>
        <x:v>25-&lt;35</x:v>
      </x:c>
    </x:row>
    <x:row r="1719">
      <x:c r="A1719" t="str">
        <x:v>SYN0001718</x:v>
      </x:c>
      <x:c r="B1719" s="12" t="n">
        <x:v>41365</x:v>
      </x:c>
      <x:c r="C1719" s="18" t="n">
        <x:v>5298</x:v>
      </x:c>
      <x:c r="D1719" s="18" t="n">
        <x:v>28524</x:v>
      </x:c>
      <x:c r="E1719" s="18" t="n">
        <x:v>10.7</x:v>
      </x:c>
      <x:c r="F1719" s="18" t="n">
        <x:v>16.16</x:v>
      </x:c>
      <x:c r="G1719" t="n">
        <x:v>36</x:v>
      </x:c>
      <x:c r="H1719" t="str">
        <x:v>E</x:v>
      </x:c>
      <x:c r="I1719" t="str">
        <x:v>4-6 years</x:v>
      </x:c>
      <x:c r="J1719" t="str">
        <x:v>RENT</x:v>
      </x:c>
      <x:c r="K1719" t="str">
        <x:v>debt_consolidation</x:v>
      </x:c>
      <x:c r="L1719" t="n">
        <x:v>0</x:v>
      </x:c>
      <x:c r="M1719" t="n">
        <x:v>0</x:v>
      </x:c>
      <x:c r="N1719" t="str">
        <x:v>Fully Paid</x:v>
      </x:c>
      <x:c r="O1719" t="str">
        <x:f>IF(D1719="","Unknown",IF(D1719&lt;25000,"&lt;$25k",IF(D1719&lt;50000,"$25k-$50k",IF(D1719&lt;75000,"$50k-$75k",IF(D1719&lt;100000,"$75k-$100k","$100k+")))))</x:f>
        <x:v>$25k-$50k</x:v>
      </x:c>
      <x:c r="P1719" t="str">
        <x:f>IF(E1719="","Unknown",IF(E1719&lt;10,"&lt;10",IF(E1719&lt;20,"10-&lt;20",IF(E1719&lt;25,"20-&lt;25",IF(E1719&lt;35,"25-&lt;35","35+")))))</x:f>
        <x:v>10-&lt;20</x:v>
      </x:c>
    </x:row>
    <x:row r="1720">
      <x:c r="A1720" t="str">
        <x:v>SYN0001719</x:v>
      </x:c>
      <x:c r="B1720" s="12" t="n">
        <x:v>42235</x:v>
      </x:c>
      <x:c r="C1720" s="18" t="n">
        <x:v>12265</x:v>
      </x:c>
      <x:c r="D1720" s="18" t="n">
        <x:v>46392</x:v>
      </x:c>
      <x:c r="E1720" s="18" t="n">
        <x:v>13.78</x:v>
      </x:c>
      <x:c r="F1720" s="18" t="n">
        <x:v>6.2</x:v>
      </x:c>
      <x:c r="G1720" t="n">
        <x:v>36</x:v>
      </x:c>
      <x:c r="H1720" t="str">
        <x:v>B</x:v>
      </x:c>
      <x:c r="I1720" t="str">
        <x:v>&lt;1 year</x:v>
      </x:c>
      <x:c r="J1720" t="str">
        <x:v>RENT</x:v>
      </x:c>
      <x:c r="K1720" t="str">
        <x:v>debt_consolidation</x:v>
      </x:c>
      <x:c r="L1720" t="n">
        <x:v>1</x:v>
      </x:c>
      <x:c r="M1720" t="n">
        <x:v>0</x:v>
      </x:c>
      <x:c r="N1720" t="str">
        <x:v>Fully Paid</x:v>
      </x:c>
      <x:c r="O1720" t="str">
        <x:f>IF(D1720="","Unknown",IF(D1720&lt;25000,"&lt;$25k",IF(D1720&lt;50000,"$25k-$50k",IF(D1720&lt;75000,"$50k-$75k",IF(D1720&lt;100000,"$75k-$100k","$100k+")))))</x:f>
        <x:v>$25k-$50k</x:v>
      </x:c>
      <x:c r="P1720" t="str">
        <x:f>IF(E1720="","Unknown",IF(E1720&lt;10,"&lt;10",IF(E1720&lt;20,"10-&lt;20",IF(E1720&lt;25,"20-&lt;25",IF(E1720&lt;35,"25-&lt;35","35+")))))</x:f>
        <x:v>10-&lt;20</x:v>
      </x:c>
    </x:row>
    <x:row r="1721">
      <x:c r="A1721" t="str">
        <x:v>SYN0001720</x:v>
      </x:c>
      <x:c r="B1721" s="12" t="n">
        <x:v>41335</x:v>
      </x:c>
      <x:c r="C1721" s="18" t="n">
        <x:v>19184</x:v>
      </x:c>
      <x:c r="D1721" s="18" t="n">
        <x:v>40396</x:v>
      </x:c>
      <x:c r="E1721" s="18" t="n">
        <x:v>22.43</x:v>
      </x:c>
      <x:c r="F1721" s="18" t="n">
        <x:v>12.15</x:v>
      </x:c>
      <x:c r="G1721" t="n">
        <x:v>60</x:v>
      </x:c>
      <x:c r="H1721" t="str">
        <x:v>C</x:v>
      </x:c>
      <x:c r="I1721" t="str">
        <x:v>4-6 years</x:v>
      </x:c>
      <x:c r="J1721" t="str">
        <x:v>MORTGAGE</x:v>
      </x:c>
      <x:c r="K1721" t="str">
        <x:v>credit_card</x:v>
      </x:c>
      <x:c r="L1721" t="n">
        <x:v>0</x:v>
      </x:c>
      <x:c r="M1721" t="n">
        <x:v>0</x:v>
      </x:c>
      <x:c r="N1721" t="str">
        <x:v>Fully Paid</x:v>
      </x:c>
      <x:c r="O1721" t="str">
        <x:f>IF(D1721="","Unknown",IF(D1721&lt;25000,"&lt;$25k",IF(D1721&lt;50000,"$25k-$50k",IF(D1721&lt;75000,"$50k-$75k",IF(D1721&lt;100000,"$75k-$100k","$100k+")))))</x:f>
        <x:v>$25k-$50k</x:v>
      </x:c>
      <x:c r="P1721" t="str">
        <x:f>IF(E1721="","Unknown",IF(E1721&lt;10,"&lt;10",IF(E1721&lt;20,"10-&lt;20",IF(E1721&lt;25,"20-&lt;25",IF(E1721&lt;35,"25-&lt;35","35+")))))</x:f>
        <x:v>20-&lt;25</x:v>
      </x:c>
    </x:row>
    <x:row r="1722">
      <x:c r="A1722" t="str">
        <x:v>SYN0001721</x:v>
      </x:c>
      <x:c r="B1722" s="12" t="n">
        <x:v>42385</x:v>
      </x:c>
      <x:c r="C1722" s="18" t="n">
        <x:v>28175</x:v>
      </x:c>
      <x:c r="D1722" s="18" t="n">
        <x:v>108451</x:v>
      </x:c>
      <x:c r="E1722" s="18" t="n">
        <x:v>19.45</x:v>
      </x:c>
      <x:c r="F1722" s="18" t="n">
        <x:v>16.96</x:v>
      </x:c>
      <x:c r="G1722" t="n">
        <x:v>36</x:v>
      </x:c>
      <x:c r="H1722" t="str">
        <x:v>D</x:v>
      </x:c>
      <x:c r="I1722" t="str">
        <x:v>4-6 years</x:v>
      </x:c>
      <x:c r="J1722" t="str">
        <x:v>RENT</x:v>
      </x:c>
      <x:c r="K1722" t="str">
        <x:v>debt_consolidation</x:v>
      </x:c>
      <x:c r="L1722" t="n">
        <x:v>1</x:v>
      </x:c>
      <x:c r="M1722" t="n">
        <x:v>0</x:v>
      </x:c>
      <x:c r="N1722" t="str">
        <x:v>Fully Paid</x:v>
      </x:c>
      <x:c r="O1722" t="str">
        <x:f>IF(D1722="","Unknown",IF(D1722&lt;25000,"&lt;$25k",IF(D1722&lt;50000,"$25k-$50k",IF(D1722&lt;75000,"$50k-$75k",IF(D1722&lt;100000,"$75k-$100k","$100k+")))))</x:f>
        <x:v>$100k+</x:v>
      </x:c>
      <x:c r="P1722" t="str">
        <x:f>IF(E1722="","Unknown",IF(E1722&lt;10,"&lt;10",IF(E1722&lt;20,"10-&lt;20",IF(E1722&lt;25,"20-&lt;25",IF(E1722&lt;35,"25-&lt;35","35+")))))</x:f>
        <x:v>10-&lt;20</x:v>
      </x:c>
    </x:row>
    <x:row r="1723">
      <x:c r="A1723" t="str">
        <x:v>SYN0001722</x:v>
      </x:c>
      <x:c r="B1723" s="12" t="n">
        <x:v>42745</x:v>
      </x:c>
      <x:c r="C1723" s="18" t="n">
        <x:v>10614</x:v>
      </x:c>
      <x:c r="D1723" s="18" t="n">
        <x:v>24037</x:v>
      </x:c>
      <x:c r="E1723" s="18" t="n">
        <x:v>32.89</x:v>
      </x:c>
      <x:c r="F1723" s="18" t="n">
        <x:v>5</x:v>
      </x:c>
      <x:c r="G1723" t="n">
        <x:v>36</x:v>
      </x:c>
      <x:c r="H1723" t="str">
        <x:v>B</x:v>
      </x:c>
      <x:c r="I1723" t="str">
        <x:v>4-6 years</x:v>
      </x:c>
      <x:c r="J1723" t="str">
        <x:v>RENT</x:v>
      </x:c>
      <x:c r="K1723" t="str">
        <x:v>credit_card</x:v>
      </x:c>
      <x:c r="L1723" t="n">
        <x:v>0</x:v>
      </x:c>
      <x:c r="M1723" t="n">
        <x:v>0</x:v>
      </x:c>
      <x:c r="N1723" t="str">
        <x:v>Fully Paid</x:v>
      </x:c>
      <x:c r="O1723" t="str">
        <x:f>IF(D1723="","Unknown",IF(D1723&lt;25000,"&lt;$25k",IF(D1723&lt;50000,"$25k-$50k",IF(D1723&lt;75000,"$50k-$75k",IF(D1723&lt;100000,"$75k-$100k","$100k+")))))</x:f>
        <x:v>&lt;$25k</x:v>
      </x:c>
      <x:c r="P1723" t="str">
        <x:f>IF(E1723="","Unknown",IF(E1723&lt;10,"&lt;10",IF(E1723&lt;20,"10-&lt;20",IF(E1723&lt;25,"20-&lt;25",IF(E1723&lt;35,"25-&lt;35","35+")))))</x:f>
        <x:v>25-&lt;35</x:v>
      </x:c>
    </x:row>
    <x:row r="1724">
      <x:c r="A1724" t="str">
        <x:v>SYN0001723</x:v>
      </x:c>
      <x:c r="B1724" s="12" t="n">
        <x:v>42055</x:v>
      </x:c>
      <x:c r="C1724" s="18" t="n">
        <x:v>12458</x:v>
      </x:c>
      <x:c r="D1724" s="18" t="n">
        <x:v>50664</x:v>
      </x:c>
      <x:c r="E1724" s="18" t="n">
        <x:v>29.31</x:v>
      </x:c>
      <x:c r="F1724" s="18" t="n">
        <x:v>16.68</x:v>
      </x:c>
      <x:c r="G1724" t="n">
        <x:v>60</x:v>
      </x:c>
      <x:c r="H1724" t="str">
        <x:v>D</x:v>
      </x:c>
      <x:c r="I1724" t="str">
        <x:v>10+ years</x:v>
      </x:c>
      <x:c r="J1724" t="str">
        <x:v>OWN</x:v>
      </x:c>
      <x:c r="K1724" t="str">
        <x:v>home_improvement</x:v>
      </x:c>
      <x:c r="L1724" t="n">
        <x:v>0</x:v>
      </x:c>
      <x:c r="M1724" t="n">
        <x:v>0</x:v>
      </x:c>
      <x:c r="N1724" t="str">
        <x:v>Fully Paid</x:v>
      </x:c>
      <x:c r="O1724" t="str">
        <x:f>IF(D1724="","Unknown",IF(D1724&lt;25000,"&lt;$25k",IF(D1724&lt;50000,"$25k-$50k",IF(D1724&lt;75000,"$50k-$75k",IF(D1724&lt;100000,"$75k-$100k","$100k+")))))</x:f>
        <x:v>$50k-$75k</x:v>
      </x:c>
      <x:c r="P1724" t="str">
        <x:f>IF(E1724="","Unknown",IF(E1724&lt;10,"&lt;10",IF(E1724&lt;20,"10-&lt;20",IF(E1724&lt;25,"20-&lt;25",IF(E1724&lt;35,"25-&lt;35","35+")))))</x:f>
        <x:v>25-&lt;35</x:v>
      </x:c>
    </x:row>
    <x:row r="1725">
      <x:c r="A1725" t="str">
        <x:v>SYN0001724</x:v>
      </x:c>
      <x:c r="B1725" s="12" t="n">
        <x:v>41935</x:v>
      </x:c>
      <x:c r="C1725" s="18" t="n">
        <x:v>10422</x:v>
      </x:c>
      <x:c r="D1725" s="18" t="n">
        <x:v>55406</x:v>
      </x:c>
      <x:c r="E1725" s="18" t="n">
        <x:v>3.62</x:v>
      </x:c>
      <x:c r="F1725" s="18" t="n">
        <x:v>8.46</x:v>
      </x:c>
      <x:c r="G1725" t="n">
        <x:v>36</x:v>
      </x:c>
      <x:c r="H1725" t="str">
        <x:v>A</x:v>
      </x:c>
      <x:c r="I1725" t="str">
        <x:v>&lt;1 year</x:v>
      </x:c>
      <x:c r="J1725" t="str">
        <x:v>RENT</x:v>
      </x:c>
      <x:c r="K1725" t="str">
        <x:v>other</x:v>
      </x:c>
      <x:c r="L1725" t="n">
        <x:v>0</x:v>
      </x:c>
      <x:c r="M1725" t="n">
        <x:v>0</x:v>
      </x:c>
      <x:c r="N1725" t="str">
        <x:v>Fully Paid</x:v>
      </x:c>
      <x:c r="O1725" t="str">
        <x:f>IF(D1725="","Unknown",IF(D1725&lt;25000,"&lt;$25k",IF(D1725&lt;50000,"$25k-$50k",IF(D1725&lt;75000,"$50k-$75k",IF(D1725&lt;100000,"$75k-$100k","$100k+")))))</x:f>
        <x:v>$50k-$75k</x:v>
      </x:c>
      <x:c r="P1725" t="str">
        <x:f>IF(E1725="","Unknown",IF(E1725&lt;10,"&lt;10",IF(E1725&lt;20,"10-&lt;20",IF(E1725&lt;25,"20-&lt;25",IF(E1725&lt;35,"25-&lt;35","35+")))))</x:f>
        <x:v>&lt;10</x:v>
      </x:c>
    </x:row>
    <x:row r="1726">
      <x:c r="A1726" t="str">
        <x:v>SYN0001725</x:v>
      </x:c>
      <x:c r="B1726" s="12" t="n">
        <x:v>41695</x:v>
      </x:c>
      <x:c r="C1726" s="18" t="n">
        <x:v>15063</x:v>
      </x:c>
      <x:c r="D1726" s="18" t="n">
        <x:v>58237</x:v>
      </x:c>
      <x:c r="E1726" s="18" t="n">
        <x:v>37.96</x:v>
      </x:c>
      <x:c r="F1726" s="18" t="n">
        <x:v>21.4</x:v>
      </x:c>
      <x:c r="G1726" t="n">
        <x:v>36</x:v>
      </x:c>
      <x:c r="H1726" t="str">
        <x:v>F</x:v>
      </x:c>
      <x:c r="I1726" t="str">
        <x:v>7-9 years</x:v>
      </x:c>
      <x:c r="J1726" t="str">
        <x:v>OWN</x:v>
      </x:c>
      <x:c r="K1726" t="str">
        <x:v>home_improvement</x:v>
      </x:c>
      <x:c r="L1726" t="n">
        <x:v>0</x:v>
      </x:c>
      <x:c r="M1726" t="n">
        <x:v>0</x:v>
      </x:c>
      <x:c r="N1726" t="str">
        <x:v>Fully Paid</x:v>
      </x:c>
      <x:c r="O1726" t="str">
        <x:f>IF(D1726="","Unknown",IF(D1726&lt;25000,"&lt;$25k",IF(D1726&lt;50000,"$25k-$50k",IF(D1726&lt;75000,"$50k-$75k",IF(D1726&lt;100000,"$75k-$100k","$100k+")))))</x:f>
        <x:v>$50k-$75k</x:v>
      </x:c>
      <x:c r="P1726" t="str">
        <x:f>IF(E1726="","Unknown",IF(E1726&lt;10,"&lt;10",IF(E1726&lt;20,"10-&lt;20",IF(E1726&lt;25,"20-&lt;25",IF(E1726&lt;35,"25-&lt;35","35+")))))</x:f>
        <x:v>35+</x:v>
      </x:c>
    </x:row>
    <x:row r="1727">
      <x:c r="A1727" t="str">
        <x:v>SYN0001726</x:v>
      </x:c>
      <x:c r="B1727" s="12" t="n">
        <x:v>41485</x:v>
      </x:c>
      <x:c r="C1727" s="18" t="n">
        <x:v>8383</x:v>
      </x:c>
      <x:c r="D1727" s="18" t="n">
        <x:v>17340</x:v>
      </x:c>
      <x:c r="E1727" s="18" t="n">
        <x:v>43.22</x:v>
      </x:c>
      <x:c r="F1727" s="18" t="n">
        <x:v>14.63</x:v>
      </x:c>
      <x:c r="G1727" t="n">
        <x:v>36</x:v>
      </x:c>
      <x:c r="H1727" t="str">
        <x:v>D</x:v>
      </x:c>
      <x:c r="I1727" t="str">
        <x:v>4-6 years</x:v>
      </x:c>
      <x:c r="J1727" t="str">
        <x:v>OWN</x:v>
      </x:c>
      <x:c r="K1727" t="str">
        <x:v>debt_consolidation</x:v>
      </x:c>
      <x:c r="L1727" t="n">
        <x:v>0</x:v>
      </x:c>
      <x:c r="M1727" t="n">
        <x:v>0</x:v>
      </x:c>
      <x:c r="N1727" t="str">
        <x:v>Fully Paid</x:v>
      </x:c>
      <x:c r="O1727" t="str">
        <x:f>IF(D1727="","Unknown",IF(D1727&lt;25000,"&lt;$25k",IF(D1727&lt;50000,"$25k-$50k",IF(D1727&lt;75000,"$50k-$75k",IF(D1727&lt;100000,"$75k-$100k","$100k+")))))</x:f>
        <x:v>&lt;$25k</x:v>
      </x:c>
      <x:c r="P1727" t="str">
        <x:f>IF(E1727="","Unknown",IF(E1727&lt;10,"&lt;10",IF(E1727&lt;20,"10-&lt;20",IF(E1727&lt;25,"20-&lt;25",IF(E1727&lt;35,"25-&lt;35","35+")))))</x:f>
        <x:v>35+</x:v>
      </x:c>
    </x:row>
    <x:row r="1728">
      <x:c r="A1728" t="str">
        <x:v>SYN0001727</x:v>
      </x:c>
      <x:c r="B1728" s="12" t="n">
        <x:v>42505</x:v>
      </x:c>
      <x:c r="C1728" s="18" t="n">
        <x:v>7997</x:v>
      </x:c>
      <x:c r="D1728" s="18" t="n">
        <x:v>15415</x:v>
      </x:c>
      <x:c r="E1728" s="18" t="n">
        <x:v>23.2</x:v>
      </x:c>
      <x:c r="F1728" s="18" t="n">
        <x:v>11.82</x:v>
      </x:c>
      <x:c r="G1728" t="n">
        <x:v>36</x:v>
      </x:c>
      <x:c r="H1728" t="str">
        <x:v>C</x:v>
      </x:c>
      <x:c r="I1728" t="str">
        <x:v>1-3 years</x:v>
      </x:c>
      <x:c r="J1728" t="str">
        <x:v>OWN</x:v>
      </x:c>
      <x:c r="K1728" t="str">
        <x:v>debt_consolidation</x:v>
      </x:c>
      <x:c r="L1728" t="n">
        <x:v>0</x:v>
      </x:c>
      <x:c r="M1728" t="n">
        <x:v>0</x:v>
      </x:c>
      <x:c r="N1728" t="str">
        <x:v>Fully Paid</x:v>
      </x:c>
      <x:c r="O1728" t="str">
        <x:f>IF(D1728="","Unknown",IF(D1728&lt;25000,"&lt;$25k",IF(D1728&lt;50000,"$25k-$50k",IF(D1728&lt;75000,"$50k-$75k",IF(D1728&lt;100000,"$75k-$100k","$100k+")))))</x:f>
        <x:v>&lt;$25k</x:v>
      </x:c>
      <x:c r="P1728" t="str">
        <x:f>IF(E1728="","Unknown",IF(E1728&lt;10,"&lt;10",IF(E1728&lt;20,"10-&lt;20",IF(E1728&lt;25,"20-&lt;25",IF(E1728&lt;35,"25-&lt;35","35+")))))</x:f>
        <x:v>20-&lt;25</x:v>
      </x:c>
    </x:row>
    <x:row r="1729">
      <x:c r="A1729" t="str">
        <x:v>SYN0001728</x:v>
      </x:c>
      <x:c r="B1729" s="12" t="n">
        <x:v>41785</x:v>
      </x:c>
      <x:c r="C1729" s="18" t="n">
        <x:v>21446</x:v>
      </x:c>
      <x:c r="D1729" s="18" t="n">
        <x:v>88218</x:v>
      </x:c>
      <x:c r="E1729" s="18" t="n">
        <x:v>24.18</x:v>
      </x:c>
      <x:c r="F1729" s="18" t="n">
        <x:v>10.06</x:v>
      </x:c>
      <x:c r="G1729" t="n">
        <x:v>60</x:v>
      </x:c>
      <x:c r="H1729" t="str">
        <x:v>B</x:v>
      </x:c>
      <x:c r="I1729" t="str">
        <x:v>4-6 years</x:v>
      </x:c>
      <x:c r="J1729" t="str">
        <x:v>MORTGAGE</x:v>
      </x:c>
      <x:c r="K1729" t="str">
        <x:v>credit_card</x:v>
      </x:c>
      <x:c r="L1729" t="n">
        <x:v>0</x:v>
      </x:c>
      <x:c r="M1729" t="n">
        <x:v>0</x:v>
      </x:c>
      <x:c r="N1729" t="str">
        <x:v>Fully Paid</x:v>
      </x:c>
      <x:c r="O1729" t="str">
        <x:f>IF(D1729="","Unknown",IF(D1729&lt;25000,"&lt;$25k",IF(D1729&lt;50000,"$25k-$50k",IF(D1729&lt;75000,"$50k-$75k",IF(D1729&lt;100000,"$75k-$100k","$100k+")))))</x:f>
        <x:v>$75k-$100k</x:v>
      </x:c>
      <x:c r="P1729" t="str">
        <x:f>IF(E1729="","Unknown",IF(E1729&lt;10,"&lt;10",IF(E1729&lt;20,"10-&lt;20",IF(E1729&lt;25,"20-&lt;25",IF(E1729&lt;35,"25-&lt;35","35+")))))</x:f>
        <x:v>20-&lt;25</x:v>
      </x:c>
    </x:row>
    <x:row r="1730">
      <x:c r="A1730" t="str">
        <x:v>SYN0001729</x:v>
      </x:c>
      <x:c r="B1730" s="12" t="n">
        <x:v>42625</x:v>
      </x:c>
      <x:c r="C1730" s="18" t="n">
        <x:v>5467</x:v>
      </x:c>
      <x:c r="D1730" s="18" t="n">
        <x:v>43893</x:v>
      </x:c>
      <x:c r="E1730" s="18" t="n">
        <x:v>24.3</x:v>
      </x:c>
      <x:c r="F1730" s="18" t="n">
        <x:v>9.08</x:v>
      </x:c>
      <x:c r="G1730" t="n">
        <x:v>60</x:v>
      </x:c>
      <x:c r="H1730" t="str">
        <x:v>B</x:v>
      </x:c>
      <x:c r="I1730" t="str">
        <x:v>1-3 years</x:v>
      </x:c>
      <x:c r="J1730" t="str">
        <x:v>OWN</x:v>
      </x:c>
      <x:c r="K1730" t="str">
        <x:v>debt_consolidation</x:v>
      </x:c>
      <x:c r="L1730" t="n">
        <x:v>1</x:v>
      </x:c>
      <x:c r="M1730" t="n">
        <x:v>0</x:v>
      </x:c>
      <x:c r="N1730" t="str">
        <x:v>Fully Paid</x:v>
      </x:c>
      <x:c r="O1730" t="str">
        <x:f>IF(D1730="","Unknown",IF(D1730&lt;25000,"&lt;$25k",IF(D1730&lt;50000,"$25k-$50k",IF(D1730&lt;75000,"$50k-$75k",IF(D1730&lt;100000,"$75k-$100k","$100k+")))))</x:f>
        <x:v>$25k-$50k</x:v>
      </x:c>
      <x:c r="P1730" t="str">
        <x:f>IF(E1730="","Unknown",IF(E1730&lt;10,"&lt;10",IF(E1730&lt;20,"10-&lt;20",IF(E1730&lt;25,"20-&lt;25",IF(E1730&lt;35,"25-&lt;35","35+")))))</x:f>
        <x:v>20-&lt;25</x:v>
      </x:c>
    </x:row>
    <x:row r="1731">
      <x:c r="A1731" t="str">
        <x:v>SYN0001730</x:v>
      </x:c>
      <x:c r="B1731" s="12" t="n">
        <x:v>43225</x:v>
      </x:c>
      <x:c r="C1731" s="18" t="n">
        <x:v>4296</x:v>
      </x:c>
      <x:c r="D1731" s="18" t="n">
        <x:v>147344</x:v>
      </x:c>
      <x:c r="E1731" s="18" t="n">
        <x:v>14.44</x:v>
      </x:c>
      <x:c r="F1731" s="18" t="n">
        <x:v>14.03</x:v>
      </x:c>
      <x:c r="G1731" t="n">
        <x:v>36</x:v>
      </x:c>
      <x:c r="H1731" t="str">
        <x:v>D</x:v>
      </x:c>
      <x:c r="I1731" t="str">
        <x:v>1-3 years</x:v>
      </x:c>
      <x:c r="J1731" t="str">
        <x:v>RENT</x:v>
      </x:c>
      <x:c r="K1731" t="str">
        <x:v>debt_consolidation</x:v>
      </x:c>
      <x:c r="L1731" t="n">
        <x:v>2</x:v>
      </x:c>
      <x:c r="M1731" t="n">
        <x:v>0</x:v>
      </x:c>
      <x:c r="N1731" t="str">
        <x:v>Fully Paid</x:v>
      </x:c>
      <x:c r="O1731" t="str">
        <x:f>IF(D1731="","Unknown",IF(D1731&lt;25000,"&lt;$25k",IF(D1731&lt;50000,"$25k-$50k",IF(D1731&lt;75000,"$50k-$75k",IF(D1731&lt;100000,"$75k-$100k","$100k+")))))</x:f>
        <x:v>$100k+</x:v>
      </x:c>
      <x:c r="P1731" t="str">
        <x:f>IF(E1731="","Unknown",IF(E1731&lt;10,"&lt;10",IF(E1731&lt;20,"10-&lt;20",IF(E1731&lt;25,"20-&lt;25",IF(E1731&lt;35,"25-&lt;35","35+")))))</x:f>
        <x:v>10-&lt;20</x:v>
      </x:c>
    </x:row>
    <x:row r="1732">
      <x:c r="A1732" t="str">
        <x:v>SYN0001731</x:v>
      </x:c>
      <x:c r="B1732" s="12" t="n">
        <x:v>41455</x:v>
      </x:c>
      <x:c r="C1732" s="18" t="n">
        <x:v>10551</x:v>
      </x:c>
      <x:c r="D1732" s="18" t="n">
        <x:v>19845</x:v>
      </x:c>
      <x:c r="E1732" s="18" t="n">
        <x:v>22.8</x:v>
      </x:c>
      <x:c r="F1732" s="18" t="n">
        <x:v>7.86</x:v>
      </x:c>
      <x:c r="G1732" t="n">
        <x:v>36</x:v>
      </x:c>
      <x:c r="H1732" t="str">
        <x:v>B</x:v>
      </x:c>
      <x:c r="I1732" t="str">
        <x:v>7-9 years</x:v>
      </x:c>
      <x:c r="J1732" t="str">
        <x:v>OWN</x:v>
      </x:c>
      <x:c r="K1732" t="str">
        <x:v>debt_consolidation</x:v>
      </x:c>
      <x:c r="L1732" t="n">
        <x:v>0</x:v>
      </x:c>
      <x:c r="M1732" t="n">
        <x:v>0</x:v>
      </x:c>
      <x:c r="N1732" t="str">
        <x:v>Fully Paid</x:v>
      </x:c>
      <x:c r="O1732" t="str">
        <x:f>IF(D1732="","Unknown",IF(D1732&lt;25000,"&lt;$25k",IF(D1732&lt;50000,"$25k-$50k",IF(D1732&lt;75000,"$50k-$75k",IF(D1732&lt;100000,"$75k-$100k","$100k+")))))</x:f>
        <x:v>&lt;$25k</x:v>
      </x:c>
      <x:c r="P1732" t="str">
        <x:f>IF(E1732="","Unknown",IF(E1732&lt;10,"&lt;10",IF(E1732&lt;20,"10-&lt;20",IF(E1732&lt;25,"20-&lt;25",IF(E1732&lt;35,"25-&lt;35","35+")))))</x:f>
        <x:v>20-&lt;25</x:v>
      </x:c>
    </x:row>
    <x:row r="1733">
      <x:c r="A1733" t="str">
        <x:v>SYN0001732</x:v>
      </x:c>
      <x:c r="B1733" s="12" t="n">
        <x:v>42235</x:v>
      </x:c>
      <x:c r="C1733" s="18" t="n">
        <x:v>16431</x:v>
      </x:c>
      <x:c r="D1733" s="18" t="n">
        <x:v>57178</x:v>
      </x:c>
      <x:c r="E1733" s="18" t="n">
        <x:v>31.61</x:v>
      </x:c>
      <x:c r="F1733" s="18" t="n">
        <x:v>5</x:v>
      </x:c>
      <x:c r="G1733" t="n">
        <x:v>36</x:v>
      </x:c>
      <x:c r="H1733" t="str">
        <x:v>B</x:v>
      </x:c>
      <x:c r="I1733" t="str">
        <x:v>4-6 years</x:v>
      </x:c>
      <x:c r="J1733" t="str">
        <x:v>RENT</x:v>
      </x:c>
      <x:c r="K1733" t="str">
        <x:v>debt_consolidation</x:v>
      </x:c>
      <x:c r="L1733" t="n">
        <x:v>1</x:v>
      </x:c>
      <x:c r="M1733" t="n">
        <x:v>0</x:v>
      </x:c>
      <x:c r="N1733" t="str">
        <x:v>Fully Paid</x:v>
      </x:c>
      <x:c r="O1733" t="str">
        <x:f>IF(D1733="","Unknown",IF(D1733&lt;25000,"&lt;$25k",IF(D1733&lt;50000,"$25k-$50k",IF(D1733&lt;75000,"$50k-$75k",IF(D1733&lt;100000,"$75k-$100k","$100k+")))))</x:f>
        <x:v>$50k-$75k</x:v>
      </x:c>
      <x:c r="P1733" t="str">
        <x:f>IF(E1733="","Unknown",IF(E1733&lt;10,"&lt;10",IF(E1733&lt;20,"10-&lt;20",IF(E1733&lt;25,"20-&lt;25",IF(E1733&lt;35,"25-&lt;35","35+")))))</x:f>
        <x:v>25-&lt;35</x:v>
      </x:c>
    </x:row>
    <x:row r="1734">
      <x:c r="A1734" t="str">
        <x:v>SYN0001733</x:v>
      </x:c>
      <x:c r="B1734" s="12" t="n">
        <x:v>41335</x:v>
      </x:c>
      <x:c r="C1734" s="18" t="n">
        <x:v>18592</x:v>
      </x:c>
      <x:c r="D1734" s="18" t="n">
        <x:v>118578</x:v>
      </x:c>
      <x:c r="E1734" s="18" t="n">
        <x:v>9.91</x:v>
      </x:c>
      <x:c r="F1734" s="18" t="n">
        <x:v>15.35</x:v>
      </x:c>
      <x:c r="G1734" t="n">
        <x:v>36</x:v>
      </x:c>
      <x:c r="H1734" t="str">
        <x:v>D</x:v>
      </x:c>
      <x:c r="I1734" t="str">
        <x:v>10+ years</x:v>
      </x:c>
      <x:c r="J1734" t="str">
        <x:v>RENT</x:v>
      </x:c>
      <x:c r="K1734" t="str">
        <x:v>major_purchase</x:v>
      </x:c>
      <x:c r="L1734" t="n">
        <x:v>1</x:v>
      </x:c>
      <x:c r="M1734" t="n">
        <x:v>0</x:v>
      </x:c>
      <x:c r="N1734" t="str">
        <x:v>Fully Paid</x:v>
      </x:c>
      <x:c r="O1734" t="str">
        <x:f>IF(D1734="","Unknown",IF(D1734&lt;25000,"&lt;$25k",IF(D1734&lt;50000,"$25k-$50k",IF(D1734&lt;75000,"$50k-$75k",IF(D1734&lt;100000,"$75k-$100k","$100k+")))))</x:f>
        <x:v>$100k+</x:v>
      </x:c>
      <x:c r="P1734" t="str">
        <x:f>IF(E1734="","Unknown",IF(E1734&lt;10,"&lt;10",IF(E1734&lt;20,"10-&lt;20",IF(E1734&lt;25,"20-&lt;25",IF(E1734&lt;35,"25-&lt;35","35+")))))</x:f>
        <x:v>&lt;10</x:v>
      </x:c>
    </x:row>
    <x:row r="1735">
      <x:c r="A1735" t="str">
        <x:v>SYN0001734</x:v>
      </x:c>
      <x:c r="B1735" s="12" t="n">
        <x:v>41365</x:v>
      </x:c>
      <x:c r="C1735" s="18" t="n">
        <x:v>6877</x:v>
      </x:c>
      <x:c r="D1735" s="18" t="n">
        <x:v>66007</x:v>
      </x:c>
      <x:c r="E1735" s="18" t="n">
        <x:v>18.96</x:v>
      </x:c>
      <x:c r="F1735" s="18" t="n">
        <x:v>9.18</x:v>
      </x:c>
      <x:c r="G1735" t="n">
        <x:v>60</x:v>
      </x:c>
      <x:c r="H1735" t="str">
        <x:v>C</x:v>
      </x:c>
      <x:c r="I1735" t="str">
        <x:v>10+ years</x:v>
      </x:c>
      <x:c r="J1735" t="str">
        <x:v>RENT</x:v>
      </x:c>
      <x:c r="K1735" t="str">
        <x:v>major_purchase</x:v>
      </x:c>
      <x:c r="L1735" t="n">
        <x:v>3</x:v>
      </x:c>
      <x:c r="M1735" t="n">
        <x:v>0</x:v>
      </x:c>
      <x:c r="N1735" t="str">
        <x:v>Fully Paid</x:v>
      </x:c>
      <x:c r="O1735" t="str">
        <x:f>IF(D1735="","Unknown",IF(D1735&lt;25000,"&lt;$25k",IF(D1735&lt;50000,"$25k-$50k",IF(D1735&lt;75000,"$50k-$75k",IF(D1735&lt;100000,"$75k-$100k","$100k+")))))</x:f>
        <x:v>$50k-$75k</x:v>
      </x:c>
      <x:c r="P1735" t="str">
        <x:f>IF(E1735="","Unknown",IF(E1735&lt;10,"&lt;10",IF(E1735&lt;20,"10-&lt;20",IF(E1735&lt;25,"20-&lt;25",IF(E1735&lt;35,"25-&lt;35","35+")))))</x:f>
        <x:v>10-&lt;20</x:v>
      </x:c>
    </x:row>
    <x:row r="1736">
      <x:c r="A1736" t="str">
        <x:v>SYN0001735</x:v>
      </x:c>
      <x:c r="B1736" s="12" t="n">
        <x:v>41845</x:v>
      </x:c>
      <x:c r="C1736" s="18" t="n">
        <x:v>6528</x:v>
      </x:c>
      <x:c r="D1736" s="18" t="n">
        <x:v>67888</x:v>
      </x:c>
      <x:c r="E1736" s="18" t="n">
        <x:v>17.69</x:v>
      </x:c>
      <x:c r="F1736" s="18" t="n">
        <x:v>12.56</x:v>
      </x:c>
      <x:c r="G1736" t="n">
        <x:v>36</x:v>
      </x:c>
      <x:c r="H1736" t="str">
        <x:v>D</x:v>
      </x:c>
      <x:c r="I1736" t="str">
        <x:v>4-6 years</x:v>
      </x:c>
      <x:c r="J1736" t="str">
        <x:v>RENT</x:v>
      </x:c>
      <x:c r="K1736" t="str">
        <x:v>debt_consolidation</x:v>
      </x:c>
      <x:c r="L1736" t="n">
        <x:v>0</x:v>
      </x:c>
      <x:c r="M1736" t="n">
        <x:v>1</x:v>
      </x:c>
      <x:c r="N1736" t="str">
        <x:v>Charged Off</x:v>
      </x:c>
      <x:c r="O1736" t="str">
        <x:f>IF(D1736="","Unknown",IF(D1736&lt;25000,"&lt;$25k",IF(D1736&lt;50000,"$25k-$50k",IF(D1736&lt;75000,"$50k-$75k",IF(D1736&lt;100000,"$75k-$100k","$100k+")))))</x:f>
        <x:v>$50k-$75k</x:v>
      </x:c>
      <x:c r="P1736" t="str">
        <x:f>IF(E1736="","Unknown",IF(E1736&lt;10,"&lt;10",IF(E1736&lt;20,"10-&lt;20",IF(E1736&lt;25,"20-&lt;25",IF(E1736&lt;35,"25-&lt;35","35+")))))</x:f>
        <x:v>10-&lt;20</x:v>
      </x:c>
    </x:row>
    <x:row r="1737">
      <x:c r="A1737" t="str">
        <x:v>SYN0001736</x:v>
      </x:c>
      <x:c r="B1737" s="12" t="n">
        <x:v>41785</x:v>
      </x:c>
      <x:c r="C1737" s="18" t="n">
        <x:v>7453</x:v>
      </x:c>
      <x:c r="D1737" s="18" t="n">
        <x:v>75696</x:v>
      </x:c>
      <x:c r="E1737" s="18" t="n">
        <x:v>26.22</x:v>
      </x:c>
      <x:c r="F1737" s="18" t="n">
        <x:v>8.65</x:v>
      </x:c>
      <x:c r="G1737" t="n">
        <x:v>36</x:v>
      </x:c>
      <x:c r="H1737" t="str">
        <x:v>C</x:v>
      </x:c>
      <x:c r="I1737" t="str">
        <x:v>7-9 years</x:v>
      </x:c>
      <x:c r="J1737" t="str">
        <x:v>OWN</x:v>
      </x:c>
      <x:c r="K1737" t="str">
        <x:v>major_purchase</x:v>
      </x:c>
      <x:c r="L1737" t="n">
        <x:v>1</x:v>
      </x:c>
      <x:c r="M1737" t="n">
        <x:v>0</x:v>
      </x:c>
      <x:c r="N1737" t="str">
        <x:v>Fully Paid</x:v>
      </x:c>
      <x:c r="O1737" t="str">
        <x:f>IF(D1737="","Unknown",IF(D1737&lt;25000,"&lt;$25k",IF(D1737&lt;50000,"$25k-$50k",IF(D1737&lt;75000,"$50k-$75k",IF(D1737&lt;100000,"$75k-$100k","$100k+")))))</x:f>
        <x:v>$75k-$100k</x:v>
      </x:c>
      <x:c r="P1737" t="str">
        <x:f>IF(E1737="","Unknown",IF(E1737&lt;10,"&lt;10",IF(E1737&lt;20,"10-&lt;20",IF(E1737&lt;25,"20-&lt;25",IF(E1737&lt;35,"25-&lt;35","35+")))))</x:f>
        <x:v>25-&lt;35</x:v>
      </x:c>
    </x:row>
    <x:row r="1738">
      <x:c r="A1738" t="str">
        <x:v>SYN0001737</x:v>
      </x:c>
      <x:c r="B1738" s="12" t="n">
        <x:v>43285</x:v>
      </x:c>
      <x:c r="C1738" s="18" t="n">
        <x:v>22245</x:v>
      </x:c>
      <x:c r="D1738" s="18" t="n">
        <x:v>88972</x:v>
      </x:c>
      <x:c r="E1738" s="18" t="n">
        <x:v>29.97</x:v>
      </x:c>
      <x:c r="F1738" s="18" t="n">
        <x:v>5</x:v>
      </x:c>
      <x:c r="G1738" t="n">
        <x:v>36</x:v>
      </x:c>
      <x:c r="H1738" t="str">
        <x:v>A</x:v>
      </x:c>
      <x:c r="I1738" t="str">
        <x:v>1-3 years</x:v>
      </x:c>
      <x:c r="J1738" t="str">
        <x:v>RENT</x:v>
      </x:c>
      <x:c r="K1738" t="str">
        <x:v>debt_consolidation</x:v>
      </x:c>
      <x:c r="L1738" t="n">
        <x:v>0</x:v>
      </x:c>
      <x:c r="M1738" t="n">
        <x:v>0</x:v>
      </x:c>
      <x:c r="N1738" t="str">
        <x:v>Fully Paid</x:v>
      </x:c>
      <x:c r="O1738" t="str">
        <x:f>IF(D1738="","Unknown",IF(D1738&lt;25000,"&lt;$25k",IF(D1738&lt;50000,"$25k-$50k",IF(D1738&lt;75000,"$50k-$75k",IF(D1738&lt;100000,"$75k-$100k","$100k+")))))</x:f>
        <x:v>$75k-$100k</x:v>
      </x:c>
      <x:c r="P1738" t="str">
        <x:f>IF(E1738="","Unknown",IF(E1738&lt;10,"&lt;10",IF(E1738&lt;20,"10-&lt;20",IF(E1738&lt;25,"20-&lt;25",IF(E1738&lt;35,"25-&lt;35","35+")))))</x:f>
        <x:v>25-&lt;35</x:v>
      </x:c>
    </x:row>
    <x:row r="1739">
      <x:c r="A1739" t="str">
        <x:v>SYN0001738</x:v>
      </x:c>
      <x:c r="B1739" s="12" t="n">
        <x:v>41665</x:v>
      </x:c>
      <x:c r="C1739" s="18" t="n">
        <x:v>12698</x:v>
      </x:c>
      <x:c r="D1739" s="18" t="n">
        <x:v>39428</x:v>
      </x:c>
      <x:c r="E1739" s="18" t="n">
        <x:v>21.56</x:v>
      </x:c>
      <x:c r="F1739" s="18" t="n">
        <x:v>11.4</x:v>
      </x:c>
      <x:c r="G1739" t="n">
        <x:v>36</x:v>
      </x:c>
      <x:c r="H1739" t="str">
        <x:v>D</x:v>
      </x:c>
      <x:c r="I1739" t="str">
        <x:v>4-6 years</x:v>
      </x:c>
      <x:c r="J1739" t="str">
        <x:v>RENT</x:v>
      </x:c>
      <x:c r="K1739" t="str">
        <x:v>debt_consolidation</x:v>
      </x:c>
      <x:c r="L1739" t="n">
        <x:v>1</x:v>
      </x:c>
      <x:c r="M1739" t="n">
        <x:v>0</x:v>
      </x:c>
      <x:c r="N1739" t="str">
        <x:v>Fully Paid</x:v>
      </x:c>
      <x:c r="O1739" t="str">
        <x:f>IF(D1739="","Unknown",IF(D1739&lt;25000,"&lt;$25k",IF(D1739&lt;50000,"$25k-$50k",IF(D1739&lt;75000,"$50k-$75k",IF(D1739&lt;100000,"$75k-$100k","$100k+")))))</x:f>
        <x:v>$25k-$50k</x:v>
      </x:c>
      <x:c r="P1739" t="str">
        <x:f>IF(E1739="","Unknown",IF(E1739&lt;10,"&lt;10",IF(E1739&lt;20,"10-&lt;20",IF(E1739&lt;25,"20-&lt;25",IF(E1739&lt;35,"25-&lt;35","35+")))))</x:f>
        <x:v>20-&lt;25</x:v>
      </x:c>
    </x:row>
    <x:row r="1740">
      <x:c r="A1740" t="str">
        <x:v>SYN0001739</x:v>
      </x:c>
      <x:c r="B1740" s="12" t="n">
        <x:v>43345</x:v>
      </x:c>
      <x:c r="C1740" s="18" t="n">
        <x:v>24521</x:v>
      </x:c>
      <x:c r="D1740" s="18" t="n">
        <x:v>34791</x:v>
      </x:c>
      <x:c r="E1740" s="18" t="n">
        <x:v>23</x:v>
      </x:c>
      <x:c r="F1740" s="18" t="n">
        <x:v>17.43</x:v>
      </x:c>
      <x:c r="G1740" t="n">
        <x:v>36</x:v>
      </x:c>
      <x:c r="H1740" t="str">
        <x:v>D</x:v>
      </x:c>
      <x:c r="I1740" t="str">
        <x:v>7-9 years</x:v>
      </x:c>
      <x:c r="J1740" t="str">
        <x:v>RENT</x:v>
      </x:c>
      <x:c r="K1740" t="str">
        <x:v>debt_consolidation</x:v>
      </x:c>
      <x:c r="L1740" t="n">
        <x:v>0</x:v>
      </x:c>
      <x:c r="M1740" t="n">
        <x:v>0</x:v>
      </x:c>
      <x:c r="N1740" t="str">
        <x:v>Fully Paid</x:v>
      </x:c>
      <x:c r="O1740" t="str">
        <x:f>IF(D1740="","Unknown",IF(D1740&lt;25000,"&lt;$25k",IF(D1740&lt;50000,"$25k-$50k",IF(D1740&lt;75000,"$50k-$75k",IF(D1740&lt;100000,"$75k-$100k","$100k+")))))</x:f>
        <x:v>$25k-$50k</x:v>
      </x:c>
      <x:c r="P1740" t="str">
        <x:f>IF(E1740="","Unknown",IF(E1740&lt;10,"&lt;10",IF(E1740&lt;20,"10-&lt;20",IF(E1740&lt;25,"20-&lt;25",IF(E1740&lt;35,"25-&lt;35","35+")))))</x:f>
        <x:v>20-&lt;25</x:v>
      </x:c>
    </x:row>
    <x:row r="1741">
      <x:c r="A1741" t="str">
        <x:v>SYN0001740</x:v>
      </x:c>
      <x:c r="B1741" s="12" t="n">
        <x:v>41425</x:v>
      </x:c>
      <x:c r="C1741" s="18" t="n">
        <x:v>22290</x:v>
      </x:c>
      <x:c r="D1741" s="18" t="n">
        <x:v>46790</x:v>
      </x:c>
      <x:c r="E1741" s="18" t="n">
        <x:v>14.76</x:v>
      </x:c>
      <x:c r="F1741" s="18" t="n">
        <x:v>7.28</x:v>
      </x:c>
      <x:c r="G1741" t="n">
        <x:v>60</x:v>
      </x:c>
      <x:c r="H1741" t="str">
        <x:v>A</x:v>
      </x:c>
      <x:c r="I1741" t="str">
        <x:v>7-9 years</x:v>
      </x:c>
      <x:c r="J1741" t="str">
        <x:v>MORTGAGE</x:v>
      </x:c>
      <x:c r="K1741" t="str">
        <x:v>debt_consolidation</x:v>
      </x:c>
      <x:c r="L1741" t="n">
        <x:v>0</x:v>
      </x:c>
      <x:c r="M1741" t="n">
        <x:v>0</x:v>
      </x:c>
      <x:c r="N1741" t="str">
        <x:v>Fully Paid</x:v>
      </x:c>
      <x:c r="O1741" t="str">
        <x:f>IF(D1741="","Unknown",IF(D1741&lt;25000,"&lt;$25k",IF(D1741&lt;50000,"$25k-$50k",IF(D1741&lt;75000,"$50k-$75k",IF(D1741&lt;100000,"$75k-$100k","$100k+")))))</x:f>
        <x:v>$25k-$50k</x:v>
      </x:c>
      <x:c r="P1741" t="str">
        <x:f>IF(E1741="","Unknown",IF(E1741&lt;10,"&lt;10",IF(E1741&lt;20,"10-&lt;20",IF(E1741&lt;25,"20-&lt;25",IF(E1741&lt;35,"25-&lt;35","35+")))))</x:f>
        <x:v>10-&lt;20</x:v>
      </x:c>
    </x:row>
    <x:row r="1742">
      <x:c r="A1742" t="str">
        <x:v>SYN0001741</x:v>
      </x:c>
      <x:c r="B1742" s="12" t="n">
        <x:v>41545</x:v>
      </x:c>
      <x:c r="C1742" s="18" t="n">
        <x:v>16896</x:v>
      </x:c>
      <x:c r="D1742" s="18" t="n">
        <x:v>59724</x:v>
      </x:c>
      <x:c r="E1742" s="18" t="n">
        <x:v>21.91</x:v>
      </x:c>
      <x:c r="F1742" s="18" t="n">
        <x:v>19.56</x:v>
      </x:c>
      <x:c r="G1742" t="n">
        <x:v>60</x:v>
      </x:c>
      <x:c r="H1742" t="str">
        <x:v>E</x:v>
      </x:c>
      <x:c r="I1742" t="str">
        <x:v>1-3 years</x:v>
      </x:c>
      <x:c r="J1742" t="str">
        <x:v>MORTGAGE</x:v>
      </x:c>
      <x:c r="K1742" t="str">
        <x:v>credit_card</x:v>
      </x:c>
      <x:c r="L1742" t="n">
        <x:v>0</x:v>
      </x:c>
      <x:c r="M1742" t="n">
        <x:v>0</x:v>
      </x:c>
      <x:c r="N1742" t="str">
        <x:v>Fully Paid</x:v>
      </x:c>
      <x:c r="O1742" t="str">
        <x:f>IF(D1742="","Unknown",IF(D1742&lt;25000,"&lt;$25k",IF(D1742&lt;50000,"$25k-$50k",IF(D1742&lt;75000,"$50k-$75k",IF(D1742&lt;100000,"$75k-$100k","$100k+")))))</x:f>
        <x:v>$50k-$75k</x:v>
      </x:c>
      <x:c r="P1742" t="str">
        <x:f>IF(E1742="","Unknown",IF(E1742&lt;10,"&lt;10",IF(E1742&lt;20,"10-&lt;20",IF(E1742&lt;25,"20-&lt;25",IF(E1742&lt;35,"25-&lt;35","35+")))))</x:f>
        <x:v>20-&lt;25</x:v>
      </x:c>
    </x:row>
    <x:row r="1743">
      <x:c r="A1743" t="str">
        <x:v>SYN0001742</x:v>
      </x:c>
      <x:c r="B1743" s="12" t="n">
        <x:v>41575</x:v>
      </x:c>
      <x:c r="C1743" s="18" t="n">
        <x:v>20576</x:v>
      </x:c>
      <x:c r="D1743" s="18" t="n">
        <x:v>82211</x:v>
      </x:c>
      <x:c r="E1743" s="18" t="n">
        <x:v>17.12</x:v>
      </x:c>
      <x:c r="F1743" s="18" t="n">
        <x:v>13.75</x:v>
      </x:c>
      <x:c r="G1743" t="n">
        <x:v>36</x:v>
      </x:c>
      <x:c r="H1743" t="str">
        <x:v>D</x:v>
      </x:c>
      <x:c r="I1743" t="str">
        <x:v>1-3 years</x:v>
      </x:c>
      <x:c r="J1743" t="str">
        <x:v>RENT</x:v>
      </x:c>
      <x:c r="K1743" t="str">
        <x:v>debt_consolidation</x:v>
      </x:c>
      <x:c r="L1743" t="n">
        <x:v>0</x:v>
      </x:c>
      <x:c r="M1743" t="n">
        <x:v>0</x:v>
      </x:c>
      <x:c r="N1743" t="str">
        <x:v>Fully Paid</x:v>
      </x:c>
      <x:c r="O1743" t="str">
        <x:f>IF(D1743="","Unknown",IF(D1743&lt;25000,"&lt;$25k",IF(D1743&lt;50000,"$25k-$50k",IF(D1743&lt;75000,"$50k-$75k",IF(D1743&lt;100000,"$75k-$100k","$100k+")))))</x:f>
        <x:v>$75k-$100k</x:v>
      </x:c>
      <x:c r="P1743" t="str">
        <x:f>IF(E1743="","Unknown",IF(E1743&lt;10,"&lt;10",IF(E1743&lt;20,"10-&lt;20",IF(E1743&lt;25,"20-&lt;25",IF(E1743&lt;35,"25-&lt;35","35+")))))</x:f>
        <x:v>10-&lt;20</x:v>
      </x:c>
    </x:row>
    <x:row r="1744">
      <x:c r="A1744" t="str">
        <x:v>SYN0001743</x:v>
      </x:c>
      <x:c r="B1744" s="12" t="n">
        <x:v>41845</x:v>
      </x:c>
      <x:c r="C1744" s="18" t="n">
        <x:v>6362</x:v>
      </x:c>
      <x:c r="D1744" s="18" t="n">
        <x:v>46806</x:v>
      </x:c>
      <x:c r="E1744" s="18" t="n">
        <x:v>20.71</x:v>
      </x:c>
      <x:c r="F1744" s="18" t="n">
        <x:v>5</x:v>
      </x:c>
      <x:c r="G1744" t="n">
        <x:v>36</x:v>
      </x:c>
      <x:c r="H1744" t="str">
        <x:v>A</x:v>
      </x:c>
      <x:c r="I1744" t="str">
        <x:v>7-9 years</x:v>
      </x:c>
      <x:c r="J1744" t="str">
        <x:v>RENT</x:v>
      </x:c>
      <x:c r="K1744" t="str">
        <x:v>home_improvement</x:v>
      </x:c>
      <x:c r="L1744" t="n">
        <x:v>0</x:v>
      </x:c>
      <x:c r="M1744" t="n">
        <x:v>0</x:v>
      </x:c>
      <x:c r="N1744" t="str">
        <x:v>Fully Paid</x:v>
      </x:c>
      <x:c r="O1744" t="str">
        <x:f>IF(D1744="","Unknown",IF(D1744&lt;25000,"&lt;$25k",IF(D1744&lt;50000,"$25k-$50k",IF(D1744&lt;75000,"$50k-$75k",IF(D1744&lt;100000,"$75k-$100k","$100k+")))))</x:f>
        <x:v>$25k-$50k</x:v>
      </x:c>
      <x:c r="P1744" t="str">
        <x:f>IF(E1744="","Unknown",IF(E1744&lt;10,"&lt;10",IF(E1744&lt;20,"10-&lt;20",IF(E1744&lt;25,"20-&lt;25",IF(E1744&lt;35,"25-&lt;35","35+")))))</x:f>
        <x:v>20-&lt;25</x:v>
      </x:c>
    </x:row>
    <x:row r="1745">
      <x:c r="A1745" t="str">
        <x:v>SYN0001744</x:v>
      </x:c>
      <x:c r="B1745" s="12" t="n">
        <x:v>42955</x:v>
      </x:c>
      <x:c r="C1745" s="18" t="n">
        <x:v>35123</x:v>
      </x:c>
      <x:c r="D1745" s="18" t="n">
        <x:v>31484</x:v>
      </x:c>
      <x:c r="E1745" s="18" t="n">
        <x:v>24.39</x:v>
      </x:c>
      <x:c r="F1745" s="18" t="n">
        <x:v>9.96</x:v>
      </x:c>
      <x:c r="G1745" t="n">
        <x:v>36</x:v>
      </x:c>
      <x:c r="H1745" t="str">
        <x:v>C</x:v>
      </x:c>
      <x:c r="I1745" t="str">
        <x:v>1-3 years</x:v>
      </x:c>
      <x:c r="J1745" t="str">
        <x:v>MORTGAGE</x:v>
      </x:c>
      <x:c r="K1745" t="str">
        <x:v>home_improvement</x:v>
      </x:c>
      <x:c r="L1745" t="n">
        <x:v>1</x:v>
      </x:c>
      <x:c r="M1745" t="n">
        <x:v>0</x:v>
      </x:c>
      <x:c r="N1745" t="str">
        <x:v>Fully Paid</x:v>
      </x:c>
      <x:c r="O1745" t="str">
        <x:f>IF(D1745="","Unknown",IF(D1745&lt;25000,"&lt;$25k",IF(D1745&lt;50000,"$25k-$50k",IF(D1745&lt;75000,"$50k-$75k",IF(D1745&lt;100000,"$75k-$100k","$100k+")))))</x:f>
        <x:v>$25k-$50k</x:v>
      </x:c>
      <x:c r="P1745" t="str">
        <x:f>IF(E1745="","Unknown",IF(E1745&lt;10,"&lt;10",IF(E1745&lt;20,"10-&lt;20",IF(E1745&lt;25,"20-&lt;25",IF(E1745&lt;35,"25-&lt;35","35+")))))</x:f>
        <x:v>20-&lt;25</x:v>
      </x:c>
    </x:row>
    <x:row r="1746">
      <x:c r="A1746" t="str">
        <x:v>SYN0001745</x:v>
      </x:c>
      <x:c r="B1746" s="12" t="n">
        <x:v>41485</x:v>
      </x:c>
      <x:c r="C1746" s="18" t="n">
        <x:v>12263</x:v>
      </x:c>
      <x:c r="D1746" s="18" t="n">
        <x:v>44824</x:v>
      </x:c>
      <x:c r="E1746" s="18" t="n">
        <x:v>36.44</x:v>
      </x:c>
      <x:c r="F1746" s="18" t="n">
        <x:v>15.18</x:v>
      </x:c>
      <x:c r="G1746" t="n">
        <x:v>36</x:v>
      </x:c>
      <x:c r="H1746" t="str">
        <x:v>E</x:v>
      </x:c>
      <x:c r="I1746" t="str">
        <x:v>1-3 years</x:v>
      </x:c>
      <x:c r="J1746" t="str">
        <x:v>RENT</x:v>
      </x:c>
      <x:c r="K1746" t="str">
        <x:v>medical</x:v>
      </x:c>
      <x:c r="L1746" t="n">
        <x:v>1</x:v>
      </x:c>
      <x:c r="M1746" t="n">
        <x:v>1</x:v>
      </x:c>
      <x:c r="N1746" t="str">
        <x:v>Charged Off</x:v>
      </x:c>
      <x:c r="O1746" t="str">
        <x:f>IF(D1746="","Unknown",IF(D1746&lt;25000,"&lt;$25k",IF(D1746&lt;50000,"$25k-$50k",IF(D1746&lt;75000,"$50k-$75k",IF(D1746&lt;100000,"$75k-$100k","$100k+")))))</x:f>
        <x:v>$25k-$50k</x:v>
      </x:c>
      <x:c r="P1746" t="str">
        <x:f>IF(E1746="","Unknown",IF(E1746&lt;10,"&lt;10",IF(E1746&lt;20,"10-&lt;20",IF(E1746&lt;25,"20-&lt;25",IF(E1746&lt;35,"25-&lt;35","35+")))))</x:f>
        <x:v>35+</x:v>
      </x:c>
    </x:row>
    <x:row r="1747">
      <x:c r="A1747" t="str">
        <x:v>SYN0001746</x:v>
      </x:c>
      <x:c r="B1747" s="12" t="n">
        <x:v>41965</x:v>
      </x:c>
      <x:c r="C1747" s="18" t="n">
        <x:v>21462</x:v>
      </x:c>
      <x:c r="D1747" s="18" t="n">
        <x:v>100432</x:v>
      </x:c>
      <x:c r="E1747" s="18" t="n">
        <x:v>24.63</x:v>
      </x:c>
      <x:c r="F1747" s="18" t="n">
        <x:v>16.27</x:v>
      </x:c>
      <x:c r="G1747" t="n">
        <x:v>36</x:v>
      </x:c>
      <x:c r="H1747" t="str">
        <x:v>D</x:v>
      </x:c>
      <x:c r="I1747" t="str">
        <x:v>1-3 years</x:v>
      </x:c>
      <x:c r="J1747" t="str">
        <x:v>MORTGAGE</x:v>
      </x:c>
      <x:c r="K1747" t="str">
        <x:v>credit_card</x:v>
      </x:c>
      <x:c r="L1747" t="n">
        <x:v>1</x:v>
      </x:c>
      <x:c r="M1747" t="n">
        <x:v>1</x:v>
      </x:c>
      <x:c r="N1747" t="str">
        <x:v>Charged Off</x:v>
      </x:c>
      <x:c r="O1747" t="str">
        <x:f>IF(D1747="","Unknown",IF(D1747&lt;25000,"&lt;$25k",IF(D1747&lt;50000,"$25k-$50k",IF(D1747&lt;75000,"$50k-$75k",IF(D1747&lt;100000,"$75k-$100k","$100k+")))))</x:f>
        <x:v>$100k+</x:v>
      </x:c>
      <x:c r="P1747" t="str">
        <x:f>IF(E1747="","Unknown",IF(E1747&lt;10,"&lt;10",IF(E1747&lt;20,"10-&lt;20",IF(E1747&lt;25,"20-&lt;25",IF(E1747&lt;35,"25-&lt;35","35+")))))</x:f>
        <x:v>20-&lt;25</x:v>
      </x:c>
    </x:row>
    <x:row r="1748">
      <x:c r="A1748" t="str">
        <x:v>SYN0001747</x:v>
      </x:c>
      <x:c r="B1748" s="12" t="n">
        <x:v>41605</x:v>
      </x:c>
      <x:c r="C1748" s="18" t="n">
        <x:v>20045</x:v>
      </x:c>
      <x:c r="D1748" s="18" t="n">
        <x:v>62227</x:v>
      </x:c>
      <x:c r="E1748" s="18" t="n">
        <x:v>12.09</x:v>
      </x:c>
      <x:c r="F1748" s="18" t="n">
        <x:v>14.28</x:v>
      </x:c>
      <x:c r="G1748" t="n">
        <x:v>36</x:v>
      </x:c>
      <x:c r="H1748" t="str">
        <x:v>D</x:v>
      </x:c>
      <x:c r="I1748" t="str">
        <x:v>10+ years</x:v>
      </x:c>
      <x:c r="J1748" t="str">
        <x:v>RENT</x:v>
      </x:c>
      <x:c r="K1748" t="str">
        <x:v>debt_consolidation</x:v>
      </x:c>
      <x:c r="L1748" t="n">
        <x:v>1</x:v>
      </x:c>
      <x:c r="M1748" t="n">
        <x:v>0</x:v>
      </x:c>
      <x:c r="N1748" t="str">
        <x:v>Fully Paid</x:v>
      </x:c>
      <x:c r="O1748" t="str">
        <x:f>IF(D1748="","Unknown",IF(D1748&lt;25000,"&lt;$25k",IF(D1748&lt;50000,"$25k-$50k",IF(D1748&lt;75000,"$50k-$75k",IF(D1748&lt;100000,"$75k-$100k","$100k+")))))</x:f>
        <x:v>$50k-$75k</x:v>
      </x:c>
      <x:c r="P1748" t="str">
        <x:f>IF(E1748="","Unknown",IF(E1748&lt;10,"&lt;10",IF(E1748&lt;20,"10-&lt;20",IF(E1748&lt;25,"20-&lt;25",IF(E1748&lt;35,"25-&lt;35","35+")))))</x:f>
        <x:v>10-&lt;20</x:v>
      </x:c>
    </x:row>
    <x:row r="1749">
      <x:c r="A1749" t="str">
        <x:v>SYN0001748</x:v>
      </x:c>
      <x:c r="B1749" s="12" t="n">
        <x:v>42055</x:v>
      </x:c>
      <x:c r="C1749" s="18" t="n">
        <x:v>9779</x:v>
      </x:c>
      <x:c r="D1749" s="18" t="n">
        <x:v>53270</x:v>
      </x:c>
      <x:c r="E1749" s="18" t="n">
        <x:v>18.85</x:v>
      </x:c>
      <x:c r="F1749" s="18" t="n">
        <x:v>23.8</x:v>
      </x:c>
      <x:c r="G1749" t="n">
        <x:v>36</x:v>
      </x:c>
      <x:c r="H1749" t="str">
        <x:v>G</x:v>
      </x:c>
      <x:c r="I1749" t="str">
        <x:v>1-3 years</x:v>
      </x:c>
      <x:c r="J1749" t="str">
        <x:v>OWN</x:v>
      </x:c>
      <x:c r="K1749" t="str">
        <x:v>credit_card</x:v>
      </x:c>
      <x:c r="L1749" t="n">
        <x:v>2</x:v>
      </x:c>
      <x:c r="M1749" t="n">
        <x:v>0</x:v>
      </x:c>
      <x:c r="N1749" t="str">
        <x:v>Fully Paid</x:v>
      </x:c>
      <x:c r="O1749" t="str">
        <x:f>IF(D1749="","Unknown",IF(D1749&lt;25000,"&lt;$25k",IF(D1749&lt;50000,"$25k-$50k",IF(D1749&lt;75000,"$50k-$75k",IF(D1749&lt;100000,"$75k-$100k","$100k+")))))</x:f>
        <x:v>$50k-$75k</x:v>
      </x:c>
      <x:c r="P1749" t="str">
        <x:f>IF(E1749="","Unknown",IF(E1749&lt;10,"&lt;10",IF(E1749&lt;20,"10-&lt;20",IF(E1749&lt;25,"20-&lt;25",IF(E1749&lt;35,"25-&lt;35","35+")))))</x:f>
        <x:v>10-&lt;20</x:v>
      </x:c>
    </x:row>
    <x:row r="1750">
      <x:c r="A1750" t="str">
        <x:v>SYN0001749</x:v>
      </x:c>
      <x:c r="B1750" s="12" t="n">
        <x:v>42175</x:v>
      </x:c>
      <x:c r="C1750" s="18" t="n">
        <x:v>17867</x:v>
      </x:c>
      <x:c r="D1750" s="18" t="n">
        <x:v>72093</x:v>
      </x:c>
      <x:c r="E1750" s="18" t="n">
        <x:v>6.38</x:v>
      </x:c>
      <x:c r="F1750" s="18" t="n">
        <x:v>6.63</x:v>
      </x:c>
      <x:c r="G1750" t="n">
        <x:v>60</x:v>
      </x:c>
      <x:c r="H1750" t="str">
        <x:v>A</x:v>
      </x:c>
      <x:c r="I1750" t="str">
        <x:v>10+ years</x:v>
      </x:c>
      <x:c r="J1750" t="str">
        <x:v>MORTGAGE</x:v>
      </x:c>
      <x:c r="K1750" t="str">
        <x:v>debt_consolidation</x:v>
      </x:c>
      <x:c r="L1750" t="n">
        <x:v>1</x:v>
      </x:c>
      <x:c r="M1750" t="n">
        <x:v>0</x:v>
      </x:c>
      <x:c r="N1750" t="str">
        <x:v>Fully Paid</x:v>
      </x:c>
      <x:c r="O1750" t="str">
        <x:f>IF(D1750="","Unknown",IF(D1750&lt;25000,"&lt;$25k",IF(D1750&lt;50000,"$25k-$50k",IF(D1750&lt;75000,"$50k-$75k",IF(D1750&lt;100000,"$75k-$100k","$100k+")))))</x:f>
        <x:v>$50k-$75k</x:v>
      </x:c>
      <x:c r="P1750" t="str">
        <x:f>IF(E1750="","Unknown",IF(E1750&lt;10,"&lt;10",IF(E1750&lt;20,"10-&lt;20",IF(E1750&lt;25,"20-&lt;25",IF(E1750&lt;35,"25-&lt;35","35+")))))</x:f>
        <x:v>&lt;10</x:v>
      </x:c>
    </x:row>
    <x:row r="1751">
      <x:c r="A1751" t="str">
        <x:v>SYN0001750</x:v>
      </x:c>
      <x:c r="B1751" s="12" t="n">
        <x:v>43015</x:v>
      </x:c>
      <x:c r="C1751" s="18" t="n">
        <x:v>10138</x:v>
      </x:c>
      <x:c r="D1751" s="18" t="n">
        <x:v>47136</x:v>
      </x:c>
      <x:c r="E1751" s="18" t="n">
        <x:v>24.56</x:v>
      </x:c>
      <x:c r="F1751" s="18" t="n">
        <x:v>10.83</x:v>
      </x:c>
      <x:c r="G1751" t="n">
        <x:v>36</x:v>
      </x:c>
      <x:c r="H1751" t="str">
        <x:v>B</x:v>
      </x:c>
      <x:c r="I1751" t="str">
        <x:v>&lt;1 year</x:v>
      </x:c>
      <x:c r="J1751" t="str">
        <x:v>MORTGAGE</x:v>
      </x:c>
      <x:c r="K1751" t="str">
        <x:v>debt_consolidation</x:v>
      </x:c>
      <x:c r="L1751" t="n">
        <x:v>1</x:v>
      </x:c>
      <x:c r="M1751" t="n">
        <x:v>0</x:v>
      </x:c>
      <x:c r="N1751" t="str">
        <x:v>Fully Paid</x:v>
      </x:c>
      <x:c r="O1751" t="str">
        <x:f>IF(D1751="","Unknown",IF(D1751&lt;25000,"&lt;$25k",IF(D1751&lt;50000,"$25k-$50k",IF(D1751&lt;75000,"$50k-$75k",IF(D1751&lt;100000,"$75k-$100k","$100k+")))))</x:f>
        <x:v>$25k-$50k</x:v>
      </x:c>
      <x:c r="P1751" t="str">
        <x:f>IF(E1751="","Unknown",IF(E1751&lt;10,"&lt;10",IF(E1751&lt;20,"10-&lt;20",IF(E1751&lt;25,"20-&lt;25",IF(E1751&lt;35,"25-&lt;35","35+")))))</x:f>
        <x:v>20-&lt;25</x:v>
      </x:c>
    </x:row>
    <x:row r="1752">
      <x:c r="A1752" t="str">
        <x:v>SYN0001751</x:v>
      </x:c>
      <x:c r="B1752" s="12" t="n">
        <x:v>42925</x:v>
      </x:c>
      <x:c r="C1752" s="18" t="n">
        <x:v>11667</x:v>
      </x:c>
      <x:c r="D1752" s="18" t="n">
        <x:v>23615</x:v>
      </x:c>
      <x:c r="E1752" s="18" t="n">
        <x:v>11.56</x:v>
      </x:c>
      <x:c r="F1752" s="18" t="n">
        <x:v>8.76</x:v>
      </x:c>
      <x:c r="G1752" t="n">
        <x:v>60</x:v>
      </x:c>
      <x:c r="H1752" t="str">
        <x:v>B</x:v>
      </x:c>
      <x:c r="I1752" t="str">
        <x:v>7-9 years</x:v>
      </x:c>
      <x:c r="J1752" t="str">
        <x:v>MORTGAGE</x:v>
      </x:c>
      <x:c r="K1752" t="str">
        <x:v>debt_consolidation</x:v>
      </x:c>
      <x:c r="L1752" t="n">
        <x:v>0</x:v>
      </x:c>
      <x:c r="M1752" t="n">
        <x:v>1</x:v>
      </x:c>
      <x:c r="N1752" t="str">
        <x:v>Charged Off</x:v>
      </x:c>
      <x:c r="O1752" t="str">
        <x:f>IF(D1752="","Unknown",IF(D1752&lt;25000,"&lt;$25k",IF(D1752&lt;50000,"$25k-$50k",IF(D1752&lt;75000,"$50k-$75k",IF(D1752&lt;100000,"$75k-$100k","$100k+")))))</x:f>
        <x:v>&lt;$25k</x:v>
      </x:c>
      <x:c r="P1752" t="str">
        <x:f>IF(E1752="","Unknown",IF(E1752&lt;10,"&lt;10",IF(E1752&lt;20,"10-&lt;20",IF(E1752&lt;25,"20-&lt;25",IF(E1752&lt;35,"25-&lt;35","35+")))))</x:f>
        <x:v>10-&lt;20</x:v>
      </x:c>
    </x:row>
    <x:row r="1753">
      <x:c r="A1753" t="str">
        <x:v>SYN0001752</x:v>
      </x:c>
      <x:c r="B1753" s="12" t="n">
        <x:v>42415</x:v>
      </x:c>
      <x:c r="C1753" s="18" t="n">
        <x:v>40000</x:v>
      </x:c>
      <x:c r="D1753" s="18" t="n">
        <x:v>41583</x:v>
      </x:c>
      <x:c r="E1753" s="18" t="n">
        <x:v>31.48</x:v>
      </x:c>
      <x:c r="F1753" s="18" t="n">
        <x:v>14.27</x:v>
      </x:c>
      <x:c r="G1753" t="n">
        <x:v>60</x:v>
      </x:c>
      <x:c r="H1753" t="str">
        <x:v>D</x:v>
      </x:c>
      <x:c r="I1753" t="str">
        <x:v>7-9 years</x:v>
      </x:c>
      <x:c r="J1753" t="str">
        <x:v>MORTGAGE</x:v>
      </x:c>
      <x:c r="K1753" t="str">
        <x:v>credit_card</x:v>
      </x:c>
      <x:c r="L1753" t="n">
        <x:v>1</x:v>
      </x:c>
      <x:c r="M1753" t="n">
        <x:v>0</x:v>
      </x:c>
      <x:c r="N1753" t="str">
        <x:v>Fully Paid</x:v>
      </x:c>
      <x:c r="O1753" t="str">
        <x:f>IF(D1753="","Unknown",IF(D1753&lt;25000,"&lt;$25k",IF(D1753&lt;50000,"$25k-$50k",IF(D1753&lt;75000,"$50k-$75k",IF(D1753&lt;100000,"$75k-$100k","$100k+")))))</x:f>
        <x:v>$25k-$50k</x:v>
      </x:c>
      <x:c r="P1753" t="str">
        <x:f>IF(E1753="","Unknown",IF(E1753&lt;10,"&lt;10",IF(E1753&lt;20,"10-&lt;20",IF(E1753&lt;25,"20-&lt;25",IF(E1753&lt;35,"25-&lt;35","35+")))))</x:f>
        <x:v>25-&lt;35</x:v>
      </x:c>
    </x:row>
    <x:row r="1754">
      <x:c r="A1754" t="str">
        <x:v>SYN0001753</x:v>
      </x:c>
      <x:c r="B1754" s="12" t="n">
        <x:v>42235</x:v>
      </x:c>
      <x:c r="C1754" s="18" t="n">
        <x:v>11131</x:v>
      </x:c>
      <x:c r="D1754" s="18" t="n">
        <x:v>16559</x:v>
      </x:c>
      <x:c r="E1754" s="18" t="n">
        <x:v>0.52</x:v>
      </x:c>
      <x:c r="F1754" s="18" t="n">
        <x:v>9.64</x:v>
      </x:c>
      <x:c r="G1754" t="n">
        <x:v>36</x:v>
      </x:c>
      <x:c r="H1754" t="str">
        <x:v>B</x:v>
      </x:c>
      <x:c r="I1754" t="str">
        <x:v>4-6 years</x:v>
      </x:c>
      <x:c r="J1754" t="str">
        <x:v>OWN</x:v>
      </x:c>
      <x:c r="K1754" t="str">
        <x:v>home_improvement</x:v>
      </x:c>
      <x:c r="L1754" t="n">
        <x:v>0</x:v>
      </x:c>
      <x:c r="M1754" t="n">
        <x:v>0</x:v>
      </x:c>
      <x:c r="N1754" t="str">
        <x:v>Fully Paid</x:v>
      </x:c>
      <x:c r="O1754" t="str">
        <x:f>IF(D1754="","Unknown",IF(D1754&lt;25000,"&lt;$25k",IF(D1754&lt;50000,"$25k-$50k",IF(D1754&lt;75000,"$50k-$75k",IF(D1754&lt;100000,"$75k-$100k","$100k+")))))</x:f>
        <x:v>&lt;$25k</x:v>
      </x:c>
      <x:c r="P1754" t="str">
        <x:f>IF(E1754="","Unknown",IF(E1754&lt;10,"&lt;10",IF(E1754&lt;20,"10-&lt;20",IF(E1754&lt;25,"20-&lt;25",IF(E1754&lt;35,"25-&lt;35","35+")))))</x:f>
        <x:v>&lt;10</x:v>
      </x:c>
    </x:row>
    <x:row r="1755">
      <x:c r="A1755" t="str">
        <x:v>SYN0001754</x:v>
      </x:c>
      <x:c r="B1755" s="12" t="n">
        <x:v>43285</x:v>
      </x:c>
      <x:c r="C1755" s="18" t="n">
        <x:v>11400</x:v>
      </x:c>
      <x:c r="D1755" s="18" t="n">
        <x:v>118563</x:v>
      </x:c>
      <x:c r="E1755" s="18" t="n">
        <x:v>23.29</x:v>
      </x:c>
      <x:c r="F1755" s="18" t="n">
        <x:v>17.21</x:v>
      </x:c>
      <x:c r="G1755" t="n">
        <x:v>36</x:v>
      </x:c>
      <x:c r="H1755" t="str">
        <x:v>D</x:v>
      </x:c>
      <x:c r="I1755" t="str">
        <x:v>10+ years</x:v>
      </x:c>
      <x:c r="J1755" t="str">
        <x:v>RENT</x:v>
      </x:c>
      <x:c r="K1755" t="str">
        <x:v>debt_consolidation</x:v>
      </x:c>
      <x:c r="L1755" t="n">
        <x:v>1</x:v>
      </x:c>
      <x:c r="M1755" t="n">
        <x:v>0</x:v>
      </x:c>
      <x:c r="N1755" t="str">
        <x:v>Fully Paid</x:v>
      </x:c>
      <x:c r="O1755" t="str">
        <x:f>IF(D1755="","Unknown",IF(D1755&lt;25000,"&lt;$25k",IF(D1755&lt;50000,"$25k-$50k",IF(D1755&lt;75000,"$50k-$75k",IF(D1755&lt;100000,"$75k-$100k","$100k+")))))</x:f>
        <x:v>$100k+</x:v>
      </x:c>
      <x:c r="P1755" t="str">
        <x:f>IF(E1755="","Unknown",IF(E1755&lt;10,"&lt;10",IF(E1755&lt;20,"10-&lt;20",IF(E1755&lt;25,"20-&lt;25",IF(E1755&lt;35,"25-&lt;35","35+")))))</x:f>
        <x:v>20-&lt;25</x:v>
      </x:c>
    </x:row>
    <x:row r="1756">
      <x:c r="A1756" t="str">
        <x:v>SYN0001755</x:v>
      </x:c>
      <x:c r="B1756" s="12" t="n">
        <x:v>41365</x:v>
      </x:c>
      <x:c r="C1756" s="18" t="n">
        <x:v>12542</x:v>
      </x:c>
      <x:c r="D1756" s="18" t="n">
        <x:v>38964</x:v>
      </x:c>
      <x:c r="E1756" s="18" t="n">
        <x:v>25.49</x:v>
      </x:c>
      <x:c r="F1756" s="18" t="n">
        <x:v>13.58</x:v>
      </x:c>
      <x:c r="G1756" t="n">
        <x:v>36</x:v>
      </x:c>
      <x:c r="H1756" t="str">
        <x:v>E</x:v>
      </x:c>
      <x:c r="I1756" t="str">
        <x:v>10+ years</x:v>
      </x:c>
      <x:c r="J1756" t="str">
        <x:v>RENT</x:v>
      </x:c>
      <x:c r="K1756" t="str">
        <x:v>credit_card</x:v>
      </x:c>
      <x:c r="L1756" t="n">
        <x:v>0</x:v>
      </x:c>
      <x:c r="M1756" t="n">
        <x:v>1</x:v>
      </x:c>
      <x:c r="N1756" t="str">
        <x:v>Charged Off</x:v>
      </x:c>
      <x:c r="O1756" t="str">
        <x:f>IF(D1756="","Unknown",IF(D1756&lt;25000,"&lt;$25k",IF(D1756&lt;50000,"$25k-$50k",IF(D1756&lt;75000,"$50k-$75k",IF(D1756&lt;100000,"$75k-$100k","$100k+")))))</x:f>
        <x:v>$25k-$50k</x:v>
      </x:c>
      <x:c r="P1756" t="str">
        <x:f>IF(E1756="","Unknown",IF(E1756&lt;10,"&lt;10",IF(E1756&lt;20,"10-&lt;20",IF(E1756&lt;25,"20-&lt;25",IF(E1756&lt;35,"25-&lt;35","35+")))))</x:f>
        <x:v>25-&lt;35</x:v>
      </x:c>
    </x:row>
    <x:row r="1757">
      <x:c r="A1757" t="str">
        <x:v>SYN0001756</x:v>
      </x:c>
      <x:c r="B1757" s="12" t="n">
        <x:v>42685</x:v>
      </x:c>
      <x:c r="C1757" s="18" t="n">
        <x:v>8641</x:v>
      </x:c>
      <x:c r="D1757" s="18" t="n">
        <x:v>250000</x:v>
      </x:c>
      <x:c r="E1757" s="18" t="n">
        <x:v>28</x:v>
      </x:c>
      <x:c r="F1757" s="18" t="n">
        <x:v>7.9</x:v>
      </x:c>
      <x:c r="G1757" t="n">
        <x:v>36</x:v>
      </x:c>
      <x:c r="H1757" t="str">
        <x:v>B</x:v>
      </x:c>
      <x:c r="I1757" t="str">
        <x:v>4-6 years</x:v>
      </x:c>
      <x:c r="J1757" t="str">
        <x:v>RENT</x:v>
      </x:c>
      <x:c r="K1757" t="str">
        <x:v>credit_card</x:v>
      </x:c>
      <x:c r="L1757" t="n">
        <x:v>0</x:v>
      </x:c>
      <x:c r="M1757" t="n">
        <x:v>1</x:v>
      </x:c>
      <x:c r="N1757" t="str">
        <x:v>Charged Off</x:v>
      </x:c>
      <x:c r="O1757" t="str">
        <x:f>IF(D1757="","Unknown",IF(D1757&lt;25000,"&lt;$25k",IF(D1757&lt;50000,"$25k-$50k",IF(D1757&lt;75000,"$50k-$75k",IF(D1757&lt;100000,"$75k-$100k","$100k+")))))</x:f>
        <x:v>$100k+</x:v>
      </x:c>
      <x:c r="P1757" t="str">
        <x:f>IF(E1757="","Unknown",IF(E1757&lt;10,"&lt;10",IF(E1757&lt;20,"10-&lt;20",IF(E1757&lt;25,"20-&lt;25",IF(E1757&lt;35,"25-&lt;35","35+")))))</x:f>
        <x:v>25-&lt;35</x:v>
      </x:c>
    </x:row>
    <x:row r="1758">
      <x:c r="A1758" t="str">
        <x:v>SYN0001757</x:v>
      </x:c>
      <x:c r="B1758" s="12" t="n">
        <x:v>41665</x:v>
      </x:c>
      <x:c r="C1758" s="18" t="n">
        <x:v>26617</x:v>
      </x:c>
      <x:c r="D1758" s="18" t="n">
        <x:v>41128</x:v>
      </x:c>
      <x:c r="E1758" s="18" t="n">
        <x:v>22.03</x:v>
      </x:c>
      <x:c r="F1758" s="18" t="n">
        <x:v>18.04</x:v>
      </x:c>
      <x:c r="G1758" t="n">
        <x:v>36</x:v>
      </x:c>
      <x:c r="H1758" t="str">
        <x:v>E</x:v>
      </x:c>
      <x:c r="I1758" t="str">
        <x:v>4-6 years</x:v>
      </x:c>
      <x:c r="J1758" t="str">
        <x:v>OWN</x:v>
      </x:c>
      <x:c r="K1758" t="str">
        <x:v>other</x:v>
      </x:c>
      <x:c r="L1758" t="n">
        <x:v>0</x:v>
      </x:c>
      <x:c r="M1758" t="n">
        <x:v>0</x:v>
      </x:c>
      <x:c r="N1758" t="str">
        <x:v>Fully Paid</x:v>
      </x:c>
      <x:c r="O1758" t="str">
        <x:f>IF(D1758="","Unknown",IF(D1758&lt;25000,"&lt;$25k",IF(D1758&lt;50000,"$25k-$50k",IF(D1758&lt;75000,"$50k-$75k",IF(D1758&lt;100000,"$75k-$100k","$100k+")))))</x:f>
        <x:v>$25k-$50k</x:v>
      </x:c>
      <x:c r="P1758" t="str">
        <x:f>IF(E1758="","Unknown",IF(E1758&lt;10,"&lt;10",IF(E1758&lt;20,"10-&lt;20",IF(E1758&lt;25,"20-&lt;25",IF(E1758&lt;35,"25-&lt;35","35+")))))</x:f>
        <x:v>20-&lt;25</x:v>
      </x:c>
    </x:row>
    <x:row r="1759">
      <x:c r="A1759" t="str">
        <x:v>SYN0001758</x:v>
      </x:c>
      <x:c r="B1759" s="12" t="n">
        <x:v>42565</x:v>
      </x:c>
      <x:c r="C1759" s="18" t="n">
        <x:v>11614</x:v>
      </x:c>
      <x:c r="D1759" s="18" t="n">
        <x:v>12665</x:v>
      </x:c>
      <x:c r="E1759" s="18" t="n">
        <x:v>21.59</x:v>
      </x:c>
      <x:c r="F1759" s="18" t="n">
        <x:v>12.76</x:v>
      </x:c>
      <x:c r="G1759" t="n">
        <x:v>36</x:v>
      </x:c>
      <x:c r="H1759" t="str">
        <x:v>C</x:v>
      </x:c>
      <x:c r="I1759" t="str">
        <x:v>10+ years</x:v>
      </x:c>
      <x:c r="J1759" t="str">
        <x:v>MORTGAGE</x:v>
      </x:c>
      <x:c r="K1759" t="str">
        <x:v>home_improvement</x:v>
      </x:c>
      <x:c r="L1759" t="n">
        <x:v>1</x:v>
      </x:c>
      <x:c r="M1759" t="n">
        <x:v>0</x:v>
      </x:c>
      <x:c r="N1759" t="str">
        <x:v>Fully Paid</x:v>
      </x:c>
      <x:c r="O1759" t="str">
        <x:f>IF(D1759="","Unknown",IF(D1759&lt;25000,"&lt;$25k",IF(D1759&lt;50000,"$25k-$50k",IF(D1759&lt;75000,"$50k-$75k",IF(D1759&lt;100000,"$75k-$100k","$100k+")))))</x:f>
        <x:v>&lt;$25k</x:v>
      </x:c>
      <x:c r="P1759" t="str">
        <x:f>IF(E1759="","Unknown",IF(E1759&lt;10,"&lt;10",IF(E1759&lt;20,"10-&lt;20",IF(E1759&lt;25,"20-&lt;25",IF(E1759&lt;35,"25-&lt;35","35+")))))</x:f>
        <x:v>20-&lt;25</x:v>
      </x:c>
    </x:row>
    <x:row r="1760">
      <x:c r="A1760" t="str">
        <x:v>SYN0001759</x:v>
      </x:c>
      <x:c r="B1760" s="12" t="n">
        <x:v>41635</x:v>
      </x:c>
      <x:c r="C1760" s="18" t="n">
        <x:v>9080</x:v>
      </x:c>
      <x:c r="D1760" s="18" t="n">
        <x:v>42583</x:v>
      </x:c>
      <x:c r="E1760" s="18" t="n">
        <x:v>9.32</x:v>
      </x:c>
      <x:c r="F1760" s="18" t="n">
        <x:v>20.33</x:v>
      </x:c>
      <x:c r="G1760" t="n">
        <x:v>60</x:v>
      </x:c>
      <x:c r="H1760" t="str">
        <x:v>F</x:v>
      </x:c>
      <x:c r="I1760" t="str">
        <x:v>10+ years</x:v>
      </x:c>
      <x:c r="J1760" t="str">
        <x:v>MORTGAGE</x:v>
      </x:c>
      <x:c r="K1760" t="str">
        <x:v>home_improvement</x:v>
      </x:c>
      <x:c r="L1760" t="n">
        <x:v>3</x:v>
      </x:c>
      <x:c r="M1760" t="n">
        <x:v>0</x:v>
      </x:c>
      <x:c r="N1760" t="str">
        <x:v>Fully Paid</x:v>
      </x:c>
      <x:c r="O1760" t="str">
        <x:f>IF(D1760="","Unknown",IF(D1760&lt;25000,"&lt;$25k",IF(D1760&lt;50000,"$25k-$50k",IF(D1760&lt;75000,"$50k-$75k",IF(D1760&lt;100000,"$75k-$100k","$100k+")))))</x:f>
        <x:v>$25k-$50k</x:v>
      </x:c>
      <x:c r="P1760" t="str">
        <x:f>IF(E1760="","Unknown",IF(E1760&lt;10,"&lt;10",IF(E1760&lt;20,"10-&lt;20",IF(E1760&lt;25,"20-&lt;25",IF(E1760&lt;35,"25-&lt;35","35+")))))</x:f>
        <x:v>&lt;10</x:v>
      </x:c>
    </x:row>
    <x:row r="1761">
      <x:c r="A1761" t="str">
        <x:v>SYN0001760</x:v>
      </x:c>
      <x:c r="B1761" s="12" t="n">
        <x:v>42055</x:v>
      </x:c>
      <x:c r="C1761" s="18" t="n">
        <x:v>9847</x:v>
      </x:c>
      <x:c r="D1761" s="18" t="n">
        <x:v>99147</x:v>
      </x:c>
      <x:c r="E1761" s="18" t="n">
        <x:v>19.21</x:v>
      </x:c>
      <x:c r="F1761" s="18" t="n">
        <x:v>8.17</x:v>
      </x:c>
      <x:c r="G1761" t="n">
        <x:v>60</x:v>
      </x:c>
      <x:c r="H1761" t="str">
        <x:v>B</x:v>
      </x:c>
      <x:c r="I1761" t="str">
        <x:v>4-6 years</x:v>
      </x:c>
      <x:c r="J1761" t="str">
        <x:v>RENT</x:v>
      </x:c>
      <x:c r="K1761" t="str">
        <x:v>debt_consolidation</x:v>
      </x:c>
      <x:c r="L1761" t="n">
        <x:v>0</x:v>
      </x:c>
      <x:c r="M1761" t="n">
        <x:v>0</x:v>
      </x:c>
      <x:c r="N1761" t="str">
        <x:v>Fully Paid</x:v>
      </x:c>
      <x:c r="O1761" t="str">
        <x:f>IF(D1761="","Unknown",IF(D1761&lt;25000,"&lt;$25k",IF(D1761&lt;50000,"$25k-$50k",IF(D1761&lt;75000,"$50k-$75k",IF(D1761&lt;100000,"$75k-$100k","$100k+")))))</x:f>
        <x:v>$75k-$100k</x:v>
      </x:c>
      <x:c r="P1761" t="str">
        <x:f>IF(E1761="","Unknown",IF(E1761&lt;10,"&lt;10",IF(E1761&lt;20,"10-&lt;20",IF(E1761&lt;25,"20-&lt;25",IF(E1761&lt;35,"25-&lt;35","35+")))))</x:f>
        <x:v>10-&lt;20</x:v>
      </x:c>
    </x:row>
    <x:row r="1762">
      <x:c r="A1762" t="str">
        <x:v>SYN0001761</x:v>
      </x:c>
      <x:c r="B1762" s="12" t="n">
        <x:v>41965</x:v>
      </x:c>
      <x:c r="C1762" s="18" t="n">
        <x:v>18333</x:v>
      </x:c>
      <x:c r="D1762" s="18" t="n">
        <x:v>45783</x:v>
      </x:c>
      <x:c r="E1762" s="18" t="n">
        <x:v>18.73</x:v>
      </x:c>
      <x:c r="F1762" s="18" t="n">
        <x:v>12.4</x:v>
      </x:c>
      <x:c r="G1762" t="n">
        <x:v>36</x:v>
      </x:c>
      <x:c r="H1762" t="str">
        <x:v>C</x:v>
      </x:c>
      <x:c r="I1762" t="str">
        <x:v>10+ years</x:v>
      </x:c>
      <x:c r="J1762" t="str">
        <x:v>RENT</x:v>
      </x:c>
      <x:c r="K1762" t="str">
        <x:v>debt_consolidation</x:v>
      </x:c>
      <x:c r="L1762" t="n">
        <x:v>1</x:v>
      </x:c>
      <x:c r="M1762" t="n">
        <x:v>1</x:v>
      </x:c>
      <x:c r="N1762" t="str">
        <x:v>Charged Off</x:v>
      </x:c>
      <x:c r="O1762" t="str">
        <x:f>IF(D1762="","Unknown",IF(D1762&lt;25000,"&lt;$25k",IF(D1762&lt;50000,"$25k-$50k",IF(D1762&lt;75000,"$50k-$75k",IF(D1762&lt;100000,"$75k-$100k","$100k+")))))</x:f>
        <x:v>$25k-$50k</x:v>
      </x:c>
      <x:c r="P1762" t="str">
        <x:f>IF(E1762="","Unknown",IF(E1762&lt;10,"&lt;10",IF(E1762&lt;20,"10-&lt;20",IF(E1762&lt;25,"20-&lt;25",IF(E1762&lt;35,"25-&lt;35","35+")))))</x:f>
        <x:v>10-&lt;20</x:v>
      </x:c>
    </x:row>
    <x:row r="1763">
      <x:c r="A1763" t="str">
        <x:v>SYN0001762</x:v>
      </x:c>
      <x:c r="B1763" s="12" t="n">
        <x:v>41995</x:v>
      </x:c>
      <x:c r="C1763" s="18" t="n">
        <x:v>14779</x:v>
      </x:c>
      <x:c r="D1763" s="18" t="n">
        <x:v>17635</x:v>
      </x:c>
      <x:c r="E1763" s="18" t="n">
        <x:v>27.45</x:v>
      </x:c>
      <x:c r="F1763" s="18" t="n">
        <x:v>12.84</x:v>
      </x:c>
      <x:c r="G1763" t="n">
        <x:v>36</x:v>
      </x:c>
      <x:c r="H1763" t="str">
        <x:v>C</x:v>
      </x:c>
      <x:c r="I1763" t="str">
        <x:v>4-6 years</x:v>
      </x:c>
      <x:c r="J1763" t="str">
        <x:v>MORTGAGE</x:v>
      </x:c>
      <x:c r="K1763" t="str">
        <x:v>credit_card</x:v>
      </x:c>
      <x:c r="L1763" t="n">
        <x:v>0</x:v>
      </x:c>
      <x:c r="M1763" t="n">
        <x:v>0</x:v>
      </x:c>
      <x:c r="N1763" t="str">
        <x:v>Fully Paid</x:v>
      </x:c>
      <x:c r="O1763" t="str">
        <x:f>IF(D1763="","Unknown",IF(D1763&lt;25000,"&lt;$25k",IF(D1763&lt;50000,"$25k-$50k",IF(D1763&lt;75000,"$50k-$75k",IF(D1763&lt;100000,"$75k-$100k","$100k+")))))</x:f>
        <x:v>&lt;$25k</x:v>
      </x:c>
      <x:c r="P1763" t="str">
        <x:f>IF(E1763="","Unknown",IF(E1763&lt;10,"&lt;10",IF(E1763&lt;20,"10-&lt;20",IF(E1763&lt;25,"20-&lt;25",IF(E1763&lt;35,"25-&lt;35","35+")))))</x:f>
        <x:v>25-&lt;35</x:v>
      </x:c>
    </x:row>
    <x:row r="1764">
      <x:c r="A1764" t="str">
        <x:v>SYN0001763</x:v>
      </x:c>
      <x:c r="B1764" s="12" t="n">
        <x:v>42145</x:v>
      </x:c>
      <x:c r="C1764" s="18" t="n">
        <x:v>7123</x:v>
      </x:c>
      <x:c r="D1764" s="18" t="n">
        <x:v>133952</x:v>
      </x:c>
      <x:c r="E1764" s="18" t="n">
        <x:v>23.54</x:v>
      </x:c>
      <x:c r="F1764" s="18" t="n">
        <x:v>5.99</x:v>
      </x:c>
      <x:c r="G1764" t="n">
        <x:v>36</x:v>
      </x:c>
      <x:c r="H1764" t="str">
        <x:v>A</x:v>
      </x:c>
      <x:c r="I1764" t="str">
        <x:v>&lt;1 year</x:v>
      </x:c>
      <x:c r="J1764" t="str">
        <x:v>MORTGAGE</x:v>
      </x:c>
      <x:c r="K1764" t="str">
        <x:v>debt_consolidation</x:v>
      </x:c>
      <x:c r="L1764" t="n">
        <x:v>0</x:v>
      </x:c>
      <x:c r="M1764" t="n">
        <x:v>0</x:v>
      </x:c>
      <x:c r="N1764" t="str">
        <x:v>Fully Paid</x:v>
      </x:c>
      <x:c r="O1764" t="str">
        <x:f>IF(D1764="","Unknown",IF(D1764&lt;25000,"&lt;$25k",IF(D1764&lt;50000,"$25k-$50k",IF(D1764&lt;75000,"$50k-$75k",IF(D1764&lt;100000,"$75k-$100k","$100k+")))))</x:f>
        <x:v>$100k+</x:v>
      </x:c>
      <x:c r="P1764" t="str">
        <x:f>IF(E1764="","Unknown",IF(E1764&lt;10,"&lt;10",IF(E1764&lt;20,"10-&lt;20",IF(E1764&lt;25,"20-&lt;25",IF(E1764&lt;35,"25-&lt;35","35+")))))</x:f>
        <x:v>20-&lt;25</x:v>
      </x:c>
    </x:row>
    <x:row r="1765">
      <x:c r="A1765" t="str">
        <x:v>SYN0001764</x:v>
      </x:c>
      <x:c r="B1765" s="12" t="n">
        <x:v>43195</x:v>
      </x:c>
      <x:c r="C1765" s="18" t="n">
        <x:v>4370</x:v>
      </x:c>
      <x:c r="D1765" s="18" t="n">
        <x:v>130999</x:v>
      </x:c>
      <x:c r="E1765" s="18" t="n">
        <x:v>28.46</x:v>
      </x:c>
      <x:c r="F1765" s="18" t="n">
        <x:v>11.27</x:v>
      </x:c>
      <x:c r="G1765" t="n">
        <x:v>60</x:v>
      </x:c>
      <x:c r="H1765" t="str">
        <x:v>C</x:v>
      </x:c>
      <x:c r="I1765" t="str">
        <x:v>1-3 years</x:v>
      </x:c>
      <x:c r="J1765" t="str">
        <x:v>OWN</x:v>
      </x:c>
      <x:c r="K1765" t="str">
        <x:v>credit_card</x:v>
      </x:c>
      <x:c r="L1765" t="n">
        <x:v>0</x:v>
      </x:c>
      <x:c r="M1765" t="n">
        <x:v>0</x:v>
      </x:c>
      <x:c r="N1765" t="str">
        <x:v>Fully Paid</x:v>
      </x:c>
      <x:c r="O1765" t="str">
        <x:f>IF(D1765="","Unknown",IF(D1765&lt;25000,"&lt;$25k",IF(D1765&lt;50000,"$25k-$50k",IF(D1765&lt;75000,"$50k-$75k",IF(D1765&lt;100000,"$75k-$100k","$100k+")))))</x:f>
        <x:v>$100k+</x:v>
      </x:c>
      <x:c r="P1765" t="str">
        <x:f>IF(E1765="","Unknown",IF(E1765&lt;10,"&lt;10",IF(E1765&lt;20,"10-&lt;20",IF(E1765&lt;25,"20-&lt;25",IF(E1765&lt;35,"25-&lt;35","35+")))))</x:f>
        <x:v>25-&lt;35</x:v>
      </x:c>
    </x:row>
    <x:row r="1766">
      <x:c r="A1766" t="str">
        <x:v>SYN0001765</x:v>
      </x:c>
      <x:c r="B1766" s="12" t="n">
        <x:v>43315</x:v>
      </x:c>
      <x:c r="C1766" s="18" t="n">
        <x:v>15918</x:v>
      </x:c>
      <x:c r="D1766" s="18" t="n">
        <x:v>83090</x:v>
      </x:c>
      <x:c r="E1766" s="18" t="n">
        <x:v>26.64</x:v>
      </x:c>
      <x:c r="F1766" s="18" t="n">
        <x:v>19.47</x:v>
      </x:c>
      <x:c r="G1766" t="n">
        <x:v>36</x:v>
      </x:c>
      <x:c r="H1766" t="str">
        <x:v>E</x:v>
      </x:c>
      <x:c r="I1766" t="str">
        <x:v>10+ years</x:v>
      </x:c>
      <x:c r="J1766" t="str">
        <x:v>MORTGAGE</x:v>
      </x:c>
      <x:c r="K1766" t="str">
        <x:v>other</x:v>
      </x:c>
      <x:c r="L1766" t="n">
        <x:v>1</x:v>
      </x:c>
      <x:c r="M1766" t="n">
        <x:v>0</x:v>
      </x:c>
      <x:c r="N1766" t="str">
        <x:v>Fully Paid</x:v>
      </x:c>
      <x:c r="O1766" t="str">
        <x:f>IF(D1766="","Unknown",IF(D1766&lt;25000,"&lt;$25k",IF(D1766&lt;50000,"$25k-$50k",IF(D1766&lt;75000,"$50k-$75k",IF(D1766&lt;100000,"$75k-$100k","$100k+")))))</x:f>
        <x:v>$75k-$100k</x:v>
      </x:c>
      <x:c r="P1766" t="str">
        <x:f>IF(E1766="","Unknown",IF(E1766&lt;10,"&lt;10",IF(E1766&lt;20,"10-&lt;20",IF(E1766&lt;25,"20-&lt;25",IF(E1766&lt;35,"25-&lt;35","35+")))))</x:f>
        <x:v>25-&lt;35</x:v>
      </x:c>
    </x:row>
    <x:row r="1767">
      <x:c r="A1767" t="str">
        <x:v>SYN0001766</x:v>
      </x:c>
      <x:c r="B1767" s="12" t="n">
        <x:v>42535</x:v>
      </x:c>
      <x:c r="C1767" s="18" t="n">
        <x:v>27556</x:v>
      </x:c>
      <x:c r="D1767" s="18" t="n">
        <x:v>31479</x:v>
      </x:c>
      <x:c r="E1767" s="18" t="n">
        <x:v>14.56</x:v>
      </x:c>
      <x:c r="F1767" s="18" t="n">
        <x:v>5.8</x:v>
      </x:c>
      <x:c r="G1767" t="n">
        <x:v>36</x:v>
      </x:c>
      <x:c r="H1767" t="str">
        <x:v>A</x:v>
      </x:c>
      <x:c r="I1767" t="str">
        <x:v>1-3 years</x:v>
      </x:c>
      <x:c r="J1767" t="str">
        <x:v>RENT</x:v>
      </x:c>
      <x:c r="K1767" t="str">
        <x:v>credit_card</x:v>
      </x:c>
      <x:c r="L1767" t="n">
        <x:v>0</x:v>
      </x:c>
      <x:c r="M1767" t="n">
        <x:v>0</x:v>
      </x:c>
      <x:c r="N1767" t="str">
        <x:v>Fully Paid</x:v>
      </x:c>
      <x:c r="O1767" t="str">
        <x:f>IF(D1767="","Unknown",IF(D1767&lt;25000,"&lt;$25k",IF(D1767&lt;50000,"$25k-$50k",IF(D1767&lt;75000,"$50k-$75k",IF(D1767&lt;100000,"$75k-$100k","$100k+")))))</x:f>
        <x:v>$25k-$50k</x:v>
      </x:c>
      <x:c r="P1767" t="str">
        <x:f>IF(E1767="","Unknown",IF(E1767&lt;10,"&lt;10",IF(E1767&lt;20,"10-&lt;20",IF(E1767&lt;25,"20-&lt;25",IF(E1767&lt;35,"25-&lt;35","35+")))))</x:f>
        <x:v>10-&lt;20</x:v>
      </x:c>
    </x:row>
    <x:row r="1768">
      <x:c r="A1768" t="str">
        <x:v>SYN0001767</x:v>
      </x:c>
      <x:c r="B1768" s="12" t="n">
        <x:v>41845</x:v>
      </x:c>
      <x:c r="C1768" s="18" t="n">
        <x:v>12090</x:v>
      </x:c>
      <x:c r="D1768" s="18" t="n">
        <x:v>51734</x:v>
      </x:c>
      <x:c r="E1768" s="18" t="n">
        <x:v>23.74</x:v>
      </x:c>
      <x:c r="F1768" s="18" t="n">
        <x:v>16.7</x:v>
      </x:c>
      <x:c r="G1768" t="n">
        <x:v>36</x:v>
      </x:c>
      <x:c r="H1768" t="str">
        <x:v>D</x:v>
      </x:c>
      <x:c r="I1768" t="str">
        <x:v>&lt;1 year</x:v>
      </x:c>
      <x:c r="J1768" t="str">
        <x:v>MORTGAGE</x:v>
      </x:c>
      <x:c r="K1768" t="str">
        <x:v>home_improvement</x:v>
      </x:c>
      <x:c r="L1768" t="n">
        <x:v>1</x:v>
      </x:c>
      <x:c r="M1768" t="n">
        <x:v>1</x:v>
      </x:c>
      <x:c r="N1768" t="str">
        <x:v>Charged Off</x:v>
      </x:c>
      <x:c r="O1768" t="str">
        <x:f>IF(D1768="","Unknown",IF(D1768&lt;25000,"&lt;$25k",IF(D1768&lt;50000,"$25k-$50k",IF(D1768&lt;75000,"$50k-$75k",IF(D1768&lt;100000,"$75k-$100k","$100k+")))))</x:f>
        <x:v>$50k-$75k</x:v>
      </x:c>
      <x:c r="P1768" t="str">
        <x:f>IF(E1768="","Unknown",IF(E1768&lt;10,"&lt;10",IF(E1768&lt;20,"10-&lt;20",IF(E1768&lt;25,"20-&lt;25",IF(E1768&lt;35,"25-&lt;35","35+")))))</x:f>
        <x:v>20-&lt;25</x:v>
      </x:c>
    </x:row>
    <x:row r="1769">
      <x:c r="A1769" t="str">
        <x:v>SYN0001768</x:v>
      </x:c>
      <x:c r="B1769" s="12" t="n">
        <x:v>42235</x:v>
      </x:c>
      <x:c r="C1769" s="18" t="n">
        <x:v>11229</x:v>
      </x:c>
      <x:c r="D1769" s="18" t="n">
        <x:v>95470</x:v>
      </x:c>
      <x:c r="E1769" s="18" t="n">
        <x:v>24.31</x:v>
      </x:c>
      <x:c r="F1769" s="18" t="n">
        <x:v>5.46</x:v>
      </x:c>
      <x:c r="G1769" t="n">
        <x:v>36</x:v>
      </x:c>
      <x:c r="H1769" t="str">
        <x:v>A</x:v>
      </x:c>
      <x:c r="I1769" t="str">
        <x:v>10+ years</x:v>
      </x:c>
      <x:c r="J1769" t="str">
        <x:v>RENT</x:v>
      </x:c>
      <x:c r="K1769" t="str">
        <x:v>credit_card</x:v>
      </x:c>
      <x:c r="L1769" t="n">
        <x:v>0</x:v>
      </x:c>
      <x:c r="M1769" t="n">
        <x:v>0</x:v>
      </x:c>
      <x:c r="N1769" t="str">
        <x:v>Fully Paid</x:v>
      </x:c>
      <x:c r="O1769" t="str">
        <x:f>IF(D1769="","Unknown",IF(D1769&lt;25000,"&lt;$25k",IF(D1769&lt;50000,"$25k-$50k",IF(D1769&lt;75000,"$50k-$75k",IF(D1769&lt;100000,"$75k-$100k","$100k+")))))</x:f>
        <x:v>$75k-$100k</x:v>
      </x:c>
      <x:c r="P1769" t="str">
        <x:f>IF(E1769="","Unknown",IF(E1769&lt;10,"&lt;10",IF(E1769&lt;20,"10-&lt;20",IF(E1769&lt;25,"20-&lt;25",IF(E1769&lt;35,"25-&lt;35","35+")))))</x:f>
        <x:v>20-&lt;25</x:v>
      </x:c>
    </x:row>
    <x:row r="1770">
      <x:c r="A1770" t="str">
        <x:v>SYN0001769</x:v>
      </x:c>
      <x:c r="B1770" s="12" t="n">
        <x:v>41545</x:v>
      </x:c>
      <x:c r="C1770" s="18" t="n">
        <x:v>16921</x:v>
      </x:c>
      <x:c r="D1770" s="18" t="n">
        <x:v>14444</x:v>
      </x:c>
      <x:c r="E1770" s="18" t="n">
        <x:v>25.45</x:v>
      </x:c>
      <x:c r="F1770" s="18" t="n">
        <x:v>7.29</x:v>
      </x:c>
      <x:c r="G1770" t="n">
        <x:v>36</x:v>
      </x:c>
      <x:c r="H1770" t="str">
        <x:v>B</x:v>
      </x:c>
      <x:c r="I1770" t="str">
        <x:v>7-9 years</x:v>
      </x:c>
      <x:c r="J1770" t="str">
        <x:v>MORTGAGE</x:v>
      </x:c>
      <x:c r="K1770" t="str">
        <x:v>other</x:v>
      </x:c>
      <x:c r="L1770" t="n">
        <x:v>0</x:v>
      </x:c>
      <x:c r="M1770" t="n">
        <x:v>1</x:v>
      </x:c>
      <x:c r="N1770" t="str">
        <x:v>Charged Off</x:v>
      </x:c>
      <x:c r="O1770" t="str">
        <x:f>IF(D1770="","Unknown",IF(D1770&lt;25000,"&lt;$25k",IF(D1770&lt;50000,"$25k-$50k",IF(D1770&lt;75000,"$50k-$75k",IF(D1770&lt;100000,"$75k-$100k","$100k+")))))</x:f>
        <x:v>&lt;$25k</x:v>
      </x:c>
      <x:c r="P1770" t="str">
        <x:f>IF(E1770="","Unknown",IF(E1770&lt;10,"&lt;10",IF(E1770&lt;20,"10-&lt;20",IF(E1770&lt;25,"20-&lt;25",IF(E1770&lt;35,"25-&lt;35","35+")))))</x:f>
        <x:v>25-&lt;35</x:v>
      </x:c>
    </x:row>
    <x:row r="1771">
      <x:c r="A1771" t="str">
        <x:v>SYN0001770</x:v>
      </x:c>
      <x:c r="B1771" s="12" t="n">
        <x:v>42655</x:v>
      </x:c>
      <x:c r="C1771" s="18" t="n">
        <x:v>18817</x:v>
      </x:c>
      <x:c r="D1771" s="18" t="n">
        <x:v>66563</x:v>
      </x:c>
      <x:c r="E1771" s="18" t="n">
        <x:v>14.49</x:v>
      </x:c>
      <x:c r="F1771" s="18" t="n">
        <x:v>16.46</x:v>
      </x:c>
      <x:c r="G1771" t="n">
        <x:v>60</x:v>
      </x:c>
      <x:c r="H1771" t="str">
        <x:v>D</x:v>
      </x:c>
      <x:c r="I1771" t="str">
        <x:v>&lt;1 year</x:v>
      </x:c>
      <x:c r="J1771" t="str">
        <x:v>MORTGAGE</x:v>
      </x:c>
      <x:c r="K1771" t="str">
        <x:v>home_improvement</x:v>
      </x:c>
      <x:c r="L1771" t="n">
        <x:v>0</x:v>
      </x:c>
      <x:c r="M1771" t="n">
        <x:v>0</x:v>
      </x:c>
      <x:c r="N1771" t="str">
        <x:v>Fully Paid</x:v>
      </x:c>
      <x:c r="O1771" t="str">
        <x:f>IF(D1771="","Unknown",IF(D1771&lt;25000,"&lt;$25k",IF(D1771&lt;50000,"$25k-$50k",IF(D1771&lt;75000,"$50k-$75k",IF(D1771&lt;100000,"$75k-$100k","$100k+")))))</x:f>
        <x:v>$50k-$75k</x:v>
      </x:c>
      <x:c r="P1771" t="str">
        <x:f>IF(E1771="","Unknown",IF(E1771&lt;10,"&lt;10",IF(E1771&lt;20,"10-&lt;20",IF(E1771&lt;25,"20-&lt;25",IF(E1771&lt;35,"25-&lt;35","35+")))))</x:f>
        <x:v>10-&lt;20</x:v>
      </x:c>
    </x:row>
    <x:row r="1772">
      <x:c r="A1772" t="str">
        <x:v>SYN0001771</x:v>
      </x:c>
      <x:c r="B1772" s="12" t="n">
        <x:v>42265</x:v>
      </x:c>
      <x:c r="C1772" s="18" t="n">
        <x:v>31406</x:v>
      </x:c>
      <x:c r="D1772" s="18" t="n">
        <x:v>83728</x:v>
      </x:c>
      <x:c r="E1772" s="18" t="n">
        <x:v>28.03</x:v>
      </x:c>
      <x:c r="F1772" s="18" t="n">
        <x:v>5.1</x:v>
      </x:c>
      <x:c r="G1772" t="n">
        <x:v>36</x:v>
      </x:c>
      <x:c r="H1772" t="str">
        <x:v>A</x:v>
      </x:c>
      <x:c r="I1772" t="str">
        <x:v>1-3 years</x:v>
      </x:c>
      <x:c r="J1772" t="str">
        <x:v>RENT</x:v>
      </x:c>
      <x:c r="K1772" t="str">
        <x:v>debt_consolidation</x:v>
      </x:c>
      <x:c r="L1772" t="n">
        <x:v>0</x:v>
      </x:c>
      <x:c r="M1772" t="n">
        <x:v>0</x:v>
      </x:c>
      <x:c r="N1772" t="str">
        <x:v>Fully Paid</x:v>
      </x:c>
      <x:c r="O1772" t="str">
        <x:f>IF(D1772="","Unknown",IF(D1772&lt;25000,"&lt;$25k",IF(D1772&lt;50000,"$25k-$50k",IF(D1772&lt;75000,"$50k-$75k",IF(D1772&lt;100000,"$75k-$100k","$100k+")))))</x:f>
        <x:v>$75k-$100k</x:v>
      </x:c>
      <x:c r="P1772" t="str">
        <x:f>IF(E1772="","Unknown",IF(E1772&lt;10,"&lt;10",IF(E1772&lt;20,"10-&lt;20",IF(E1772&lt;25,"20-&lt;25",IF(E1772&lt;35,"25-&lt;35","35+")))))</x:f>
        <x:v>25-&lt;35</x:v>
      </x:c>
    </x:row>
    <x:row r="1773">
      <x:c r="A1773" t="str">
        <x:v>SYN0001772</x:v>
      </x:c>
      <x:c r="B1773" s="12" t="n">
        <x:v>41575</x:v>
      </x:c>
      <x:c r="C1773" s="18" t="n">
        <x:v>10245</x:v>
      </x:c>
      <x:c r="D1773" s="18" t="n">
        <x:v>30899</x:v>
      </x:c>
      <x:c r="E1773" s="18" t="n">
        <x:v>22.81</x:v>
      </x:c>
      <x:c r="F1773" s="18" t="n">
        <x:v>11.31</x:v>
      </x:c>
      <x:c r="G1773" t="n">
        <x:v>36</x:v>
      </x:c>
      <x:c r="H1773" t="str">
        <x:v>C</x:v>
      </x:c>
      <x:c r="I1773" t="str">
        <x:v>4-6 years</x:v>
      </x:c>
      <x:c r="J1773" t="str">
        <x:v>RENT</x:v>
      </x:c>
      <x:c r="K1773" t="str">
        <x:v>medical</x:v>
      </x:c>
      <x:c r="L1773" t="n">
        <x:v>1</x:v>
      </x:c>
      <x:c r="M1773" t="n">
        <x:v>0</x:v>
      </x:c>
      <x:c r="N1773" t="str">
        <x:v>Fully Paid</x:v>
      </x:c>
      <x:c r="O1773" t="str">
        <x:f>IF(D1773="","Unknown",IF(D1773&lt;25000,"&lt;$25k",IF(D1773&lt;50000,"$25k-$50k",IF(D1773&lt;75000,"$50k-$75k",IF(D1773&lt;100000,"$75k-$100k","$100k+")))))</x:f>
        <x:v>$25k-$50k</x:v>
      </x:c>
      <x:c r="P1773" t="str">
        <x:f>IF(E1773="","Unknown",IF(E1773&lt;10,"&lt;10",IF(E1773&lt;20,"10-&lt;20",IF(E1773&lt;25,"20-&lt;25",IF(E1773&lt;35,"25-&lt;35","35+")))))</x:f>
        <x:v>20-&lt;25</x:v>
      </x:c>
    </x:row>
    <x:row r="1774">
      <x:c r="A1774" t="str">
        <x:v>SYN0001773</x:v>
      </x:c>
      <x:c r="B1774" s="12" t="n">
        <x:v>42745</x:v>
      </x:c>
      <x:c r="C1774" s="18" t="n">
        <x:v>21170</x:v>
      </x:c>
      <x:c r="D1774" s="18" t="n">
        <x:v>65401</x:v>
      </x:c>
      <x:c r="E1774" s="18" t="n">
        <x:v>11.61</x:v>
      </x:c>
      <x:c r="F1774" s="18" t="n">
        <x:v>14.51</x:v>
      </x:c>
      <x:c r="G1774" t="n">
        <x:v>60</x:v>
      </x:c>
      <x:c r="H1774" t="str">
        <x:v>D</x:v>
      </x:c>
      <x:c r="I1774" t="str">
        <x:v>&lt;1 year</x:v>
      </x:c>
      <x:c r="J1774" t="str">
        <x:v>OWN</x:v>
      </x:c>
      <x:c r="K1774" t="str">
        <x:v>debt_consolidation</x:v>
      </x:c>
      <x:c r="L1774" t="n">
        <x:v>0</x:v>
      </x:c>
      <x:c r="M1774" t="n">
        <x:v>1</x:v>
      </x:c>
      <x:c r="N1774" t="str">
        <x:v>Charged Off</x:v>
      </x:c>
      <x:c r="O1774" t="str">
        <x:f>IF(D1774="","Unknown",IF(D1774&lt;25000,"&lt;$25k",IF(D1774&lt;50000,"$25k-$50k",IF(D1774&lt;75000,"$50k-$75k",IF(D1774&lt;100000,"$75k-$100k","$100k+")))))</x:f>
        <x:v>$50k-$75k</x:v>
      </x:c>
      <x:c r="P1774" t="str">
        <x:f>IF(E1774="","Unknown",IF(E1774&lt;10,"&lt;10",IF(E1774&lt;20,"10-&lt;20",IF(E1774&lt;25,"20-&lt;25",IF(E1774&lt;35,"25-&lt;35","35+")))))</x:f>
        <x:v>10-&lt;20</x:v>
      </x:c>
    </x:row>
    <x:row r="1775">
      <x:c r="A1775" t="str">
        <x:v>SYN0001774</x:v>
      </x:c>
      <x:c r="B1775" s="12" t="n">
        <x:v>41875</x:v>
      </x:c>
      <x:c r="C1775" s="18" t="n">
        <x:v>14484</x:v>
      </x:c>
      <x:c r="D1775" s="18" t="n">
        <x:v>18172</x:v>
      </x:c>
      <x:c r="E1775" s="18" t="n">
        <x:v>17.85</x:v>
      </x:c>
      <x:c r="F1775" s="18" t="n">
        <x:v>9.71</x:v>
      </x:c>
      <x:c r="G1775" t="n">
        <x:v>60</x:v>
      </x:c>
      <x:c r="H1775" t="str">
        <x:v>C</x:v>
      </x:c>
      <x:c r="I1775" t="str">
        <x:v>1-3 years</x:v>
      </x:c>
      <x:c r="J1775" t="str">
        <x:v>OTHER</x:v>
      </x:c>
      <x:c r="K1775" t="str">
        <x:v>credit_card</x:v>
      </x:c>
      <x:c r="L1775" t="n">
        <x:v>1</x:v>
      </x:c>
      <x:c r="M1775" t="n">
        <x:v>0</x:v>
      </x:c>
      <x:c r="N1775" t="str">
        <x:v>Fully Paid</x:v>
      </x:c>
      <x:c r="O1775" t="str">
        <x:f>IF(D1775="","Unknown",IF(D1775&lt;25000,"&lt;$25k",IF(D1775&lt;50000,"$25k-$50k",IF(D1775&lt;75000,"$50k-$75k",IF(D1775&lt;100000,"$75k-$100k","$100k+")))))</x:f>
        <x:v>&lt;$25k</x:v>
      </x:c>
      <x:c r="P1775" t="str">
        <x:f>IF(E1775="","Unknown",IF(E1775&lt;10,"&lt;10",IF(E1775&lt;20,"10-&lt;20",IF(E1775&lt;25,"20-&lt;25",IF(E1775&lt;35,"25-&lt;35","35+")))))</x:f>
        <x:v>10-&lt;20</x:v>
      </x:c>
    </x:row>
    <x:row r="1776">
      <x:c r="A1776" t="str">
        <x:v>SYN0001775</x:v>
      </x:c>
      <x:c r="B1776" s="12" t="n">
        <x:v>41845</x:v>
      </x:c>
      <x:c r="C1776" s="18" t="n">
        <x:v>25261</x:v>
      </x:c>
      <x:c r="D1776" s="18" t="n">
        <x:v>13492</x:v>
      </x:c>
      <x:c r="E1776" s="18" t="n">
        <x:v>11.33</x:v>
      </x:c>
      <x:c r="F1776" s="18" t="n">
        <x:v>16.72</x:v>
      </x:c>
      <x:c r="G1776" t="n">
        <x:v>36</x:v>
      </x:c>
      <x:c r="H1776" t="str">
        <x:v>D</x:v>
      </x:c>
      <x:c r="I1776" t="str">
        <x:v>1-3 years</x:v>
      </x:c>
      <x:c r="J1776" t="str">
        <x:v>MORTGAGE</x:v>
      </x:c>
      <x:c r="K1776" t="str">
        <x:v>medical</x:v>
      </x:c>
      <x:c r="L1776" t="n">
        <x:v>1</x:v>
      </x:c>
      <x:c r="M1776" t="n">
        <x:v>0</x:v>
      </x:c>
      <x:c r="N1776" t="str">
        <x:v>Fully Paid</x:v>
      </x:c>
      <x:c r="O1776" t="str">
        <x:f>IF(D1776="","Unknown",IF(D1776&lt;25000,"&lt;$25k",IF(D1776&lt;50000,"$25k-$50k",IF(D1776&lt;75000,"$50k-$75k",IF(D1776&lt;100000,"$75k-$100k","$100k+")))))</x:f>
        <x:v>&lt;$25k</x:v>
      </x:c>
      <x:c r="P1776" t="str">
        <x:f>IF(E1776="","Unknown",IF(E1776&lt;10,"&lt;10",IF(E1776&lt;20,"10-&lt;20",IF(E1776&lt;25,"20-&lt;25",IF(E1776&lt;35,"25-&lt;35","35+")))))</x:f>
        <x:v>10-&lt;20</x:v>
      </x:c>
    </x:row>
    <x:row r="1777">
      <x:c r="A1777" t="str">
        <x:v>SYN0001776</x:v>
      </x:c>
      <x:c r="B1777" s="12" t="n">
        <x:v>41635</x:v>
      </x:c>
      <x:c r="C1777" s="18" t="n">
        <x:v>12526</x:v>
      </x:c>
      <x:c r="D1777" s="18" t="n">
        <x:v>58502</x:v>
      </x:c>
      <x:c r="E1777" s="18" t="n">
        <x:v>33.96</x:v>
      </x:c>
      <x:c r="F1777" s="18" t="n">
        <x:v>16.69</x:v>
      </x:c>
      <x:c r="G1777" t="n">
        <x:v>36</x:v>
      </x:c>
      <x:c r="H1777" t="str">
        <x:v>E</x:v>
      </x:c>
      <x:c r="I1777" t="str">
        <x:v>1-3 years</x:v>
      </x:c>
      <x:c r="J1777" t="str">
        <x:v>RENT</x:v>
      </x:c>
      <x:c r="K1777" t="str">
        <x:v>credit_card</x:v>
      </x:c>
      <x:c r="L1777" t="n">
        <x:v>0</x:v>
      </x:c>
      <x:c r="M1777" t="n">
        <x:v>0</x:v>
      </x:c>
      <x:c r="N1777" t="str">
        <x:v>Fully Paid</x:v>
      </x:c>
      <x:c r="O1777" t="str">
        <x:f>IF(D1777="","Unknown",IF(D1777&lt;25000,"&lt;$25k",IF(D1777&lt;50000,"$25k-$50k",IF(D1777&lt;75000,"$50k-$75k",IF(D1777&lt;100000,"$75k-$100k","$100k+")))))</x:f>
        <x:v>$50k-$75k</x:v>
      </x:c>
      <x:c r="P1777" t="str">
        <x:f>IF(E1777="","Unknown",IF(E1777&lt;10,"&lt;10",IF(E1777&lt;20,"10-&lt;20",IF(E1777&lt;25,"20-&lt;25",IF(E1777&lt;35,"25-&lt;35","35+")))))</x:f>
        <x:v>25-&lt;35</x:v>
      </x:c>
    </x:row>
    <x:row r="1778">
      <x:c r="A1778" t="str">
        <x:v>SYN0001777</x:v>
      </x:c>
      <x:c r="B1778" s="12" t="n">
        <x:v>42955</x:v>
      </x:c>
      <x:c r="C1778" s="18" t="n">
        <x:v>14158</x:v>
      </x:c>
      <x:c r="D1778" s="18" t="n">
        <x:v>34569</x:v>
      </x:c>
      <x:c r="E1778" s="18" t="n">
        <x:v>17.35</x:v>
      </x:c>
      <x:c r="F1778" s="18" t="n">
        <x:v>7.64</x:v>
      </x:c>
      <x:c r="G1778" t="n">
        <x:v>60</x:v>
      </x:c>
      <x:c r="H1778" t="str">
        <x:v>A</x:v>
      </x:c>
      <x:c r="I1778" t="str">
        <x:v>4-6 years</x:v>
      </x:c>
      <x:c r="J1778" t="str">
        <x:v>RENT</x:v>
      </x:c>
      <x:c r="K1778" t="str">
        <x:v>other</x:v>
      </x:c>
      <x:c r="L1778" t="n">
        <x:v>0</x:v>
      </x:c>
      <x:c r="M1778" t="n">
        <x:v>0</x:v>
      </x:c>
      <x:c r="N1778" t="str">
        <x:v>Fully Paid</x:v>
      </x:c>
      <x:c r="O1778" t="str">
        <x:f>IF(D1778="","Unknown",IF(D1778&lt;25000,"&lt;$25k",IF(D1778&lt;50000,"$25k-$50k",IF(D1778&lt;75000,"$50k-$75k",IF(D1778&lt;100000,"$75k-$100k","$100k+")))))</x:f>
        <x:v>$25k-$50k</x:v>
      </x:c>
      <x:c r="P1778" t="str">
        <x:f>IF(E1778="","Unknown",IF(E1778&lt;10,"&lt;10",IF(E1778&lt;20,"10-&lt;20",IF(E1778&lt;25,"20-&lt;25",IF(E1778&lt;35,"25-&lt;35","35+")))))</x:f>
        <x:v>10-&lt;20</x:v>
      </x:c>
    </x:row>
    <x:row r="1779">
      <x:c r="A1779" t="str">
        <x:v>SYN0001778</x:v>
      </x:c>
      <x:c r="B1779" s="12" t="n">
        <x:v>42955</x:v>
      </x:c>
      <x:c r="C1779" s="18" t="n">
        <x:v>10155</x:v>
      </x:c>
      <x:c r="D1779" s="18" t="n">
        <x:v>43902</x:v>
      </x:c>
      <x:c r="E1779" s="18" t="n">
        <x:v>31.2</x:v>
      </x:c>
      <x:c r="F1779" s="18" t="n">
        <x:v>20.82</x:v>
      </x:c>
      <x:c r="G1779" t="n">
        <x:v>36</x:v>
      </x:c>
      <x:c r="H1779" t="str">
        <x:v>F</x:v>
      </x:c>
      <x:c r="I1779" t="str">
        <x:v>&lt;1 year</x:v>
      </x:c>
      <x:c r="J1779" t="str">
        <x:v>MORTGAGE</x:v>
      </x:c>
      <x:c r="K1779" t="str">
        <x:v>credit_card</x:v>
      </x:c>
      <x:c r="L1779" t="n">
        <x:v>0</x:v>
      </x:c>
      <x:c r="M1779" t="n">
        <x:v>1</x:v>
      </x:c>
      <x:c r="N1779" t="str">
        <x:v>Charged Off</x:v>
      </x:c>
      <x:c r="O1779" t="str">
        <x:f>IF(D1779="","Unknown",IF(D1779&lt;25000,"&lt;$25k",IF(D1779&lt;50000,"$25k-$50k",IF(D1779&lt;75000,"$50k-$75k",IF(D1779&lt;100000,"$75k-$100k","$100k+")))))</x:f>
        <x:v>$25k-$50k</x:v>
      </x:c>
      <x:c r="P1779" t="str">
        <x:f>IF(E1779="","Unknown",IF(E1779&lt;10,"&lt;10",IF(E1779&lt;20,"10-&lt;20",IF(E1779&lt;25,"20-&lt;25",IF(E1779&lt;35,"25-&lt;35","35+")))))</x:f>
        <x:v>25-&lt;35</x:v>
      </x:c>
    </x:row>
    <x:row r="1780">
      <x:c r="A1780" t="str">
        <x:v>SYN0001779</x:v>
      </x:c>
      <x:c r="B1780" s="12" t="n">
        <x:v>42085</x:v>
      </x:c>
      <x:c r="C1780" s="18" t="n">
        <x:v>17795</x:v>
      </x:c>
      <x:c r="D1780" s="18" t="n">
        <x:v>40224</x:v>
      </x:c>
      <x:c r="E1780" s="18" t="n">
        <x:v>23.57</x:v>
      </x:c>
      <x:c r="F1780" s="18" t="n">
        <x:v>11.18</x:v>
      </x:c>
      <x:c r="G1780" t="n">
        <x:v>36</x:v>
      </x:c>
      <x:c r="H1780" t="str">
        <x:v>C</x:v>
      </x:c>
      <x:c r="I1780" t="str">
        <x:v>&lt;1 year</x:v>
      </x:c>
      <x:c r="J1780" t="str">
        <x:v>RENT</x:v>
      </x:c>
      <x:c r="K1780" t="str">
        <x:v>debt_consolidation</x:v>
      </x:c>
      <x:c r="L1780" t="n">
        <x:v>0</x:v>
      </x:c>
      <x:c r="M1780" t="n">
        <x:v>0</x:v>
      </x:c>
      <x:c r="N1780" t="str">
        <x:v>Fully Paid</x:v>
      </x:c>
      <x:c r="O1780" t="str">
        <x:f>IF(D1780="","Unknown",IF(D1780&lt;25000,"&lt;$25k",IF(D1780&lt;50000,"$25k-$50k",IF(D1780&lt;75000,"$50k-$75k",IF(D1780&lt;100000,"$75k-$100k","$100k+")))))</x:f>
        <x:v>$25k-$50k</x:v>
      </x:c>
      <x:c r="P1780" t="str">
        <x:f>IF(E1780="","Unknown",IF(E1780&lt;10,"&lt;10",IF(E1780&lt;20,"10-&lt;20",IF(E1780&lt;25,"20-&lt;25",IF(E1780&lt;35,"25-&lt;35","35+")))))</x:f>
        <x:v>20-&lt;25</x:v>
      </x:c>
    </x:row>
    <x:row r="1781">
      <x:c r="A1781" t="str">
        <x:v>SYN0001780</x:v>
      </x:c>
      <x:c r="B1781" s="12" t="n">
        <x:v>42565</x:v>
      </x:c>
      <x:c r="C1781" s="18" t="n">
        <x:v>12085</x:v>
      </x:c>
      <x:c r="D1781" s="18" t="n">
        <x:v>30905</x:v>
      </x:c>
      <x:c r="E1781" s="18" t="n">
        <x:v>21.62</x:v>
      </x:c>
      <x:c r="F1781" s="18" t="n">
        <x:v>16.58</x:v>
      </x:c>
      <x:c r="G1781" t="n">
        <x:v>36</x:v>
      </x:c>
      <x:c r="H1781" t="str">
        <x:v>E</x:v>
      </x:c>
      <x:c r="I1781" t="str">
        <x:v>4-6 years</x:v>
      </x:c>
      <x:c r="J1781" t="str">
        <x:v>MORTGAGE</x:v>
      </x:c>
      <x:c r="K1781" t="str">
        <x:v>debt_consolidation</x:v>
      </x:c>
      <x:c r="L1781" t="n">
        <x:v>2</x:v>
      </x:c>
      <x:c r="M1781" t="n">
        <x:v>0</x:v>
      </x:c>
      <x:c r="N1781" t="str">
        <x:v>Fully Paid</x:v>
      </x:c>
      <x:c r="O1781" t="str">
        <x:f>IF(D1781="","Unknown",IF(D1781&lt;25000,"&lt;$25k",IF(D1781&lt;50000,"$25k-$50k",IF(D1781&lt;75000,"$50k-$75k",IF(D1781&lt;100000,"$75k-$100k","$100k+")))))</x:f>
        <x:v>$25k-$50k</x:v>
      </x:c>
      <x:c r="P1781" t="str">
        <x:f>IF(E1781="","Unknown",IF(E1781&lt;10,"&lt;10",IF(E1781&lt;20,"10-&lt;20",IF(E1781&lt;25,"20-&lt;25",IF(E1781&lt;35,"25-&lt;35","35+")))))</x:f>
        <x:v>20-&lt;25</x:v>
      </x:c>
    </x:row>
    <x:row r="1782">
      <x:c r="A1782" t="str">
        <x:v>SYN0001781</x:v>
      </x:c>
      <x:c r="B1782" s="12" t="n">
        <x:v>41995</x:v>
      </x:c>
      <x:c r="C1782" s="18" t="n">
        <x:v>6464</x:v>
      </x:c>
      <x:c r="D1782" s="18" t="n">
        <x:v>59770</x:v>
      </x:c>
      <x:c r="E1782" s="18" t="n">
        <x:v>8.15</x:v>
      </x:c>
      <x:c r="F1782" s="18" t="n">
        <x:v>5.45</x:v>
      </x:c>
      <x:c r="G1782" t="n">
        <x:v>36</x:v>
      </x:c>
      <x:c r="H1782" t="str">
        <x:v>A</x:v>
      </x:c>
      <x:c r="I1782" t="str">
        <x:v>4-6 years</x:v>
      </x:c>
      <x:c r="J1782" t="str">
        <x:v>OWN</x:v>
      </x:c>
      <x:c r="K1782" t="str">
        <x:v>other</x:v>
      </x:c>
      <x:c r="L1782" t="n">
        <x:v>0</x:v>
      </x:c>
      <x:c r="M1782" t="n">
        <x:v>0</x:v>
      </x:c>
      <x:c r="N1782" t="str">
        <x:v>Fully Paid</x:v>
      </x:c>
      <x:c r="O1782" t="str">
        <x:f>IF(D1782="","Unknown",IF(D1782&lt;25000,"&lt;$25k",IF(D1782&lt;50000,"$25k-$50k",IF(D1782&lt;75000,"$50k-$75k",IF(D1782&lt;100000,"$75k-$100k","$100k+")))))</x:f>
        <x:v>$50k-$75k</x:v>
      </x:c>
      <x:c r="P1782" t="str">
        <x:f>IF(E1782="","Unknown",IF(E1782&lt;10,"&lt;10",IF(E1782&lt;20,"10-&lt;20",IF(E1782&lt;25,"20-&lt;25",IF(E1782&lt;35,"25-&lt;35","35+")))))</x:f>
        <x:v>&lt;10</x:v>
      </x:c>
    </x:row>
    <x:row r="1783">
      <x:c r="A1783" t="str">
        <x:v>SYN0001782</x:v>
      </x:c>
      <x:c r="B1783" s="12" t="n">
        <x:v>42925</x:v>
      </x:c>
      <x:c r="C1783" s="18" t="n">
        <x:v>17752</x:v>
      </x:c>
      <x:c r="D1783" s="18" t="n">
        <x:v>129144</x:v>
      </x:c>
      <x:c r="E1783" s="18" t="n">
        <x:v>26.18</x:v>
      </x:c>
      <x:c r="F1783" s="18" t="n">
        <x:v>21.04</x:v>
      </x:c>
      <x:c r="G1783" t="n">
        <x:v>36</x:v>
      </x:c>
      <x:c r="H1783" t="str">
        <x:v>F</x:v>
      </x:c>
      <x:c r="I1783" t="str">
        <x:v>1-3 years</x:v>
      </x:c>
      <x:c r="J1783" t="str">
        <x:v>MORTGAGE</x:v>
      </x:c>
      <x:c r="K1783" t="str">
        <x:v>other</x:v>
      </x:c>
      <x:c r="L1783" t="n">
        <x:v>0</x:v>
      </x:c>
      <x:c r="M1783" t="n">
        <x:v>0</x:v>
      </x:c>
      <x:c r="N1783" t="str">
        <x:v>Fully Paid</x:v>
      </x:c>
      <x:c r="O1783" t="str">
        <x:f>IF(D1783="","Unknown",IF(D1783&lt;25000,"&lt;$25k",IF(D1783&lt;50000,"$25k-$50k",IF(D1783&lt;75000,"$50k-$75k",IF(D1783&lt;100000,"$75k-$100k","$100k+")))))</x:f>
        <x:v>$100k+</x:v>
      </x:c>
      <x:c r="P1783" t="str">
        <x:f>IF(E1783="","Unknown",IF(E1783&lt;10,"&lt;10",IF(E1783&lt;20,"10-&lt;20",IF(E1783&lt;25,"20-&lt;25",IF(E1783&lt;35,"25-&lt;35","35+")))))</x:f>
        <x:v>25-&lt;35</x:v>
      </x:c>
    </x:row>
    <x:row r="1784">
      <x:c r="A1784" t="str">
        <x:v>SYN0001783</x:v>
      </x:c>
      <x:c r="B1784" s="12" t="n">
        <x:v>43105</x:v>
      </x:c>
      <x:c r="C1784" s="18" t="n">
        <x:v>22782</x:v>
      </x:c>
      <x:c r="D1784" s="18" t="n">
        <x:v>96599</x:v>
      </x:c>
      <x:c r="E1784" s="18" t="n">
        <x:v>19.21</x:v>
      </x:c>
      <x:c r="F1784" s="18" t="n">
        <x:v>10.8</x:v>
      </x:c>
      <x:c r="G1784" t="n">
        <x:v>60</x:v>
      </x:c>
      <x:c r="H1784" t="str">
        <x:v>B</x:v>
      </x:c>
      <x:c r="I1784" t="str">
        <x:v>4-6 years</x:v>
      </x:c>
      <x:c r="J1784" t="str">
        <x:v>RENT</x:v>
      </x:c>
      <x:c r="K1784" t="str">
        <x:v>debt_consolidation</x:v>
      </x:c>
      <x:c r="L1784" t="n">
        <x:v>0</x:v>
      </x:c>
      <x:c r="M1784" t="n">
        <x:v>0</x:v>
      </x:c>
      <x:c r="N1784" t="str">
        <x:v>Fully Paid</x:v>
      </x:c>
      <x:c r="O1784" t="str">
        <x:f>IF(D1784="","Unknown",IF(D1784&lt;25000,"&lt;$25k",IF(D1784&lt;50000,"$25k-$50k",IF(D1784&lt;75000,"$50k-$75k",IF(D1784&lt;100000,"$75k-$100k","$100k+")))))</x:f>
        <x:v>$75k-$100k</x:v>
      </x:c>
      <x:c r="P1784" t="str">
        <x:f>IF(E1784="","Unknown",IF(E1784&lt;10,"&lt;10",IF(E1784&lt;20,"10-&lt;20",IF(E1784&lt;25,"20-&lt;25",IF(E1784&lt;35,"25-&lt;35","35+")))))</x:f>
        <x:v>10-&lt;20</x:v>
      </x:c>
    </x:row>
    <x:row r="1785">
      <x:c r="A1785" t="str">
        <x:v>SYN0001784</x:v>
      </x:c>
      <x:c r="B1785" s="12" t="n">
        <x:v>43405</x:v>
      </x:c>
      <x:c r="C1785" s="18" t="n">
        <x:v>20047</x:v>
      </x:c>
      <x:c r="D1785" s="18" t="n">
        <x:v>67391</x:v>
      </x:c>
      <x:c r="E1785" s="18" t="n">
        <x:v>4.68</x:v>
      </x:c>
      <x:c r="F1785" s="18" t="n">
        <x:v>6.72</x:v>
      </x:c>
      <x:c r="G1785" t="n">
        <x:v>60</x:v>
      </x:c>
      <x:c r="H1785" t="str">
        <x:v>B</x:v>
      </x:c>
      <x:c r="I1785" t="str">
        <x:v>10+ years</x:v>
      </x:c>
      <x:c r="J1785" t="str">
        <x:v>RENT</x:v>
      </x:c>
      <x:c r="K1785" t="str">
        <x:v>home_improvement</x:v>
      </x:c>
      <x:c r="L1785" t="n">
        <x:v>0</x:v>
      </x:c>
      <x:c r="M1785" t="n">
        <x:v>0</x:v>
      </x:c>
      <x:c r="N1785" t="str">
        <x:v>Fully Paid</x:v>
      </x:c>
      <x:c r="O1785" t="str">
        <x:f>IF(D1785="","Unknown",IF(D1785&lt;25000,"&lt;$25k",IF(D1785&lt;50000,"$25k-$50k",IF(D1785&lt;75000,"$50k-$75k",IF(D1785&lt;100000,"$75k-$100k","$100k+")))))</x:f>
        <x:v>$50k-$75k</x:v>
      </x:c>
      <x:c r="P1785" t="str">
        <x:f>IF(E1785="","Unknown",IF(E1785&lt;10,"&lt;10",IF(E1785&lt;20,"10-&lt;20",IF(E1785&lt;25,"20-&lt;25",IF(E1785&lt;35,"25-&lt;35","35+")))))</x:f>
        <x:v>&lt;10</x:v>
      </x:c>
    </x:row>
    <x:row r="1786">
      <x:c r="A1786" t="str">
        <x:v>SYN0001785</x:v>
      </x:c>
      <x:c r="B1786" s="12" t="n">
        <x:v>43285</x:v>
      </x:c>
      <x:c r="C1786" s="18" t="n">
        <x:v>9451</x:v>
      </x:c>
      <x:c r="D1786" s="18" t="n">
        <x:v>37301</x:v>
      </x:c>
      <x:c r="E1786" s="18" t="n">
        <x:v>18.13</x:v>
      </x:c>
      <x:c r="F1786" s="18" t="n">
        <x:v>20.55</x:v>
      </x:c>
      <x:c r="G1786" t="n">
        <x:v>36</x:v>
      </x:c>
      <x:c r="H1786" t="str">
        <x:v>F</x:v>
      </x:c>
      <x:c r="I1786" t="str">
        <x:v>1-3 years</x:v>
      </x:c>
      <x:c r="J1786" t="str">
        <x:v>RENT</x:v>
      </x:c>
      <x:c r="K1786" t="str">
        <x:v>debt_consolidation</x:v>
      </x:c>
      <x:c r="L1786" t="n">
        <x:v>2</x:v>
      </x:c>
      <x:c r="M1786" t="n">
        <x:v>1</x:v>
      </x:c>
      <x:c r="N1786" t="str">
        <x:v>Charged Off</x:v>
      </x:c>
      <x:c r="O1786" t="str">
        <x:f>IF(D1786="","Unknown",IF(D1786&lt;25000,"&lt;$25k",IF(D1786&lt;50000,"$25k-$50k",IF(D1786&lt;75000,"$50k-$75k",IF(D1786&lt;100000,"$75k-$100k","$100k+")))))</x:f>
        <x:v>$25k-$50k</x:v>
      </x:c>
      <x:c r="P1786" t="str">
        <x:f>IF(E1786="","Unknown",IF(E1786&lt;10,"&lt;10",IF(E1786&lt;20,"10-&lt;20",IF(E1786&lt;25,"20-&lt;25",IF(E1786&lt;35,"25-&lt;35","35+")))))</x:f>
        <x:v>10-&lt;20</x:v>
      </x:c>
    </x:row>
    <x:row r="1787">
      <x:c r="A1787" t="str">
        <x:v>SYN0001786</x:v>
      </x:c>
      <x:c r="B1787" s="12" t="n">
        <x:v>42295</x:v>
      </x:c>
      <x:c r="C1787" s="18" t="n">
        <x:v>20353</x:v>
      </x:c>
      <x:c r="D1787" s="18" t="n">
        <x:v>53601</x:v>
      </x:c>
      <x:c r="E1787" s="18" t="n">
        <x:v>11.1</x:v>
      </x:c>
      <x:c r="F1787" s="18" t="n">
        <x:v>6.93</x:v>
      </x:c>
      <x:c r="G1787" t="n">
        <x:v>36</x:v>
      </x:c>
      <x:c r="H1787" t="str">
        <x:v>B</x:v>
      </x:c>
      <x:c r="I1787" t="str">
        <x:v>&lt;1 year</x:v>
      </x:c>
      <x:c r="J1787" t="str">
        <x:v>RENT</x:v>
      </x:c>
      <x:c r="K1787" t="str">
        <x:v>major_purchase</x:v>
      </x:c>
      <x:c r="L1787" t="n">
        <x:v>1</x:v>
      </x:c>
      <x:c r="M1787" t="n">
        <x:v>0</x:v>
      </x:c>
      <x:c r="N1787" t="str">
        <x:v>Fully Paid</x:v>
      </x:c>
      <x:c r="O1787" t="str">
        <x:f>IF(D1787="","Unknown",IF(D1787&lt;25000,"&lt;$25k",IF(D1787&lt;50000,"$25k-$50k",IF(D1787&lt;75000,"$50k-$75k",IF(D1787&lt;100000,"$75k-$100k","$100k+")))))</x:f>
        <x:v>$50k-$75k</x:v>
      </x:c>
      <x:c r="P1787" t="str">
        <x:f>IF(E1787="","Unknown",IF(E1787&lt;10,"&lt;10",IF(E1787&lt;20,"10-&lt;20",IF(E1787&lt;25,"20-&lt;25",IF(E1787&lt;35,"25-&lt;35","35+")))))</x:f>
        <x:v>10-&lt;20</x:v>
      </x:c>
    </x:row>
    <x:row r="1788">
      <x:c r="A1788" t="str">
        <x:v>SYN0001787</x:v>
      </x:c>
      <x:c r="B1788" s="12" t="n">
        <x:v>42055</x:v>
      </x:c>
      <x:c r="C1788" s="18" t="n">
        <x:v>9887</x:v>
      </x:c>
      <x:c r="D1788" s="18" t="n">
        <x:v>36912</x:v>
      </x:c>
      <x:c r="E1788" s="18" t="n">
        <x:v>17.89</x:v>
      </x:c>
      <x:c r="F1788" s="18" t="n">
        <x:v>27.12</x:v>
      </x:c>
      <x:c r="G1788" t="n">
        <x:v>36</x:v>
      </x:c>
      <x:c r="H1788" t="str">
        <x:v>G</x:v>
      </x:c>
      <x:c r="I1788" t="str">
        <x:v>&lt;1 year</x:v>
      </x:c>
      <x:c r="J1788" t="str">
        <x:v>RENT</x:v>
      </x:c>
      <x:c r="K1788" t="str">
        <x:v>medical</x:v>
      </x:c>
      <x:c r="L1788" t="n">
        <x:v>3</x:v>
      </x:c>
      <x:c r="M1788" t="n">
        <x:v>1</x:v>
      </x:c>
      <x:c r="N1788" t="str">
        <x:v>Charged Off</x:v>
      </x:c>
      <x:c r="O1788" t="str">
        <x:f>IF(D1788="","Unknown",IF(D1788&lt;25000,"&lt;$25k",IF(D1788&lt;50000,"$25k-$50k",IF(D1788&lt;75000,"$50k-$75k",IF(D1788&lt;100000,"$75k-$100k","$100k+")))))</x:f>
        <x:v>$25k-$50k</x:v>
      </x:c>
      <x:c r="P1788" t="str">
        <x:f>IF(E1788="","Unknown",IF(E1788&lt;10,"&lt;10",IF(E1788&lt;20,"10-&lt;20",IF(E1788&lt;25,"20-&lt;25",IF(E1788&lt;35,"25-&lt;35","35+")))))</x:f>
        <x:v>10-&lt;20</x:v>
      </x:c>
    </x:row>
    <x:row r="1789">
      <x:c r="A1789" t="str">
        <x:v>SYN0001788</x:v>
      </x:c>
      <x:c r="B1789" s="12" t="n">
        <x:v>43195</x:v>
      </x:c>
      <x:c r="C1789" s="18" t="n">
        <x:v>22362</x:v>
      </x:c>
      <x:c r="D1789" s="18" t="n">
        <x:v>71421</x:v>
      </x:c>
      <x:c r="E1789" s="18" t="n">
        <x:v>25.03</x:v>
      </x:c>
      <x:c r="F1789" s="18" t="n">
        <x:v>14.81</x:v>
      </x:c>
      <x:c r="G1789" t="n">
        <x:v>60</x:v>
      </x:c>
      <x:c r="H1789" t="str">
        <x:v>D</x:v>
      </x:c>
      <x:c r="I1789" t="str">
        <x:v>7-9 years</x:v>
      </x:c>
      <x:c r="J1789" t="str">
        <x:v>RENT</x:v>
      </x:c>
      <x:c r="K1789" t="str">
        <x:v>home_improvement</x:v>
      </x:c>
      <x:c r="L1789" t="n">
        <x:v>0</x:v>
      </x:c>
      <x:c r="M1789" t="n">
        <x:v>0</x:v>
      </x:c>
      <x:c r="N1789" t="str">
        <x:v>Fully Paid</x:v>
      </x:c>
      <x:c r="O1789" t="str">
        <x:f>IF(D1789="","Unknown",IF(D1789&lt;25000,"&lt;$25k",IF(D1789&lt;50000,"$25k-$50k",IF(D1789&lt;75000,"$50k-$75k",IF(D1789&lt;100000,"$75k-$100k","$100k+")))))</x:f>
        <x:v>$50k-$75k</x:v>
      </x:c>
      <x:c r="P1789" t="str">
        <x:f>IF(E1789="","Unknown",IF(E1789&lt;10,"&lt;10",IF(E1789&lt;20,"10-&lt;20",IF(E1789&lt;25,"20-&lt;25",IF(E1789&lt;35,"25-&lt;35","35+")))))</x:f>
        <x:v>25-&lt;35</x:v>
      </x:c>
    </x:row>
    <x:row r="1790">
      <x:c r="A1790" t="str">
        <x:v>SYN0001789</x:v>
      </x:c>
      <x:c r="B1790" s="12" t="n">
        <x:v>41785</x:v>
      </x:c>
      <x:c r="C1790" s="18" t="n">
        <x:v>30287</x:v>
      </x:c>
      <x:c r="D1790" s="18" t="n">
        <x:v>24877</x:v>
      </x:c>
      <x:c r="E1790" s="18" t="n">
        <x:v>17.26</x:v>
      </x:c>
      <x:c r="F1790" s="18" t="n">
        <x:v>9.02</x:v>
      </x:c>
      <x:c r="G1790" t="n">
        <x:v>36</x:v>
      </x:c>
      <x:c r="H1790" t="str">
        <x:v>C</x:v>
      </x:c>
      <x:c r="I1790" t="str">
        <x:v>4-6 years</x:v>
      </x:c>
      <x:c r="J1790" t="str">
        <x:v>MORTGAGE</x:v>
      </x:c>
      <x:c r="K1790" t="str">
        <x:v>credit_card</x:v>
      </x:c>
      <x:c r="L1790" t="n">
        <x:v>0</x:v>
      </x:c>
      <x:c r="M1790" t="n">
        <x:v>1</x:v>
      </x:c>
      <x:c r="N1790" t="str">
        <x:v>Charged Off</x:v>
      </x:c>
      <x:c r="O1790" t="str">
        <x:f>IF(D1790="","Unknown",IF(D1790&lt;25000,"&lt;$25k",IF(D1790&lt;50000,"$25k-$50k",IF(D1790&lt;75000,"$50k-$75k",IF(D1790&lt;100000,"$75k-$100k","$100k+")))))</x:f>
        <x:v>&lt;$25k</x:v>
      </x:c>
      <x:c r="P1790" t="str">
        <x:f>IF(E1790="","Unknown",IF(E1790&lt;10,"&lt;10",IF(E1790&lt;20,"10-&lt;20",IF(E1790&lt;25,"20-&lt;25",IF(E1790&lt;35,"25-&lt;35","35+")))))</x:f>
        <x:v>10-&lt;20</x:v>
      </x:c>
    </x:row>
    <x:row r="1791">
      <x:c r="A1791" t="str">
        <x:v>SYN0001790</x:v>
      </x:c>
      <x:c r="B1791" s="12" t="n">
        <x:v>41305</x:v>
      </x:c>
      <x:c r="C1791" s="18" t="n">
        <x:v>12383</x:v>
      </x:c>
      <x:c r="D1791" s="18" t="n">
        <x:v>21503</x:v>
      </x:c>
      <x:c r="E1791" s="18" t="n">
        <x:v>26.43</x:v>
      </x:c>
      <x:c r="F1791" s="18" t="n">
        <x:v>6.23</x:v>
      </x:c>
      <x:c r="G1791" t="n">
        <x:v>36</x:v>
      </x:c>
      <x:c r="H1791" t="str">
        <x:v>B</x:v>
      </x:c>
      <x:c r="I1791" t="str">
        <x:v>1-3 years</x:v>
      </x:c>
      <x:c r="J1791" t="str">
        <x:v>RENT</x:v>
      </x:c>
      <x:c r="K1791" t="str">
        <x:v>debt_consolidation</x:v>
      </x:c>
      <x:c r="L1791" t="n">
        <x:v>0</x:v>
      </x:c>
      <x:c r="M1791" t="n">
        <x:v>0</x:v>
      </x:c>
      <x:c r="N1791" t="str">
        <x:v>Fully Paid</x:v>
      </x:c>
      <x:c r="O1791" t="str">
        <x:f>IF(D1791="","Unknown",IF(D1791&lt;25000,"&lt;$25k",IF(D1791&lt;50000,"$25k-$50k",IF(D1791&lt;75000,"$50k-$75k",IF(D1791&lt;100000,"$75k-$100k","$100k+")))))</x:f>
        <x:v>&lt;$25k</x:v>
      </x:c>
      <x:c r="P1791" t="str">
        <x:f>IF(E1791="","Unknown",IF(E1791&lt;10,"&lt;10",IF(E1791&lt;20,"10-&lt;20",IF(E1791&lt;25,"20-&lt;25",IF(E1791&lt;35,"25-&lt;35","35+")))))</x:f>
        <x:v>25-&lt;35</x:v>
      </x:c>
    </x:row>
    <x:row r="1792">
      <x:c r="A1792" t="str">
        <x:v>SYN0001791</x:v>
      </x:c>
      <x:c r="B1792" s="12" t="n">
        <x:v>43045</x:v>
      </x:c>
      <x:c r="C1792" s="18" t="n">
        <x:v>8968</x:v>
      </x:c>
      <x:c r="D1792" s="18" t="n">
        <x:v>30981</x:v>
      </x:c>
      <x:c r="E1792" s="18" t="n">
        <x:v>25.89</x:v>
      </x:c>
      <x:c r="F1792" s="18" t="n">
        <x:v>16.89</x:v>
      </x:c>
      <x:c r="G1792" t="n">
        <x:v>36</x:v>
      </x:c>
      <x:c r="H1792" t="str">
        <x:v>E</x:v>
      </x:c>
      <x:c r="I1792" t="str">
        <x:v>10+ years</x:v>
      </x:c>
      <x:c r="J1792" t="str">
        <x:v>RENT</x:v>
      </x:c>
      <x:c r="K1792" t="str">
        <x:v>other</x:v>
      </x:c>
      <x:c r="L1792" t="n">
        <x:v>1</x:v>
      </x:c>
      <x:c r="M1792" t="n">
        <x:v>0</x:v>
      </x:c>
      <x:c r="N1792" t="str">
        <x:v>Fully Paid</x:v>
      </x:c>
      <x:c r="O1792" t="str">
        <x:f>IF(D1792="","Unknown",IF(D1792&lt;25000,"&lt;$25k",IF(D1792&lt;50000,"$25k-$50k",IF(D1792&lt;75000,"$50k-$75k",IF(D1792&lt;100000,"$75k-$100k","$100k+")))))</x:f>
        <x:v>$25k-$50k</x:v>
      </x:c>
      <x:c r="P1792" t="str">
        <x:f>IF(E1792="","Unknown",IF(E1792&lt;10,"&lt;10",IF(E1792&lt;20,"10-&lt;20",IF(E1792&lt;25,"20-&lt;25",IF(E1792&lt;35,"25-&lt;35","35+")))))</x:f>
        <x:v>25-&lt;35</x:v>
      </x:c>
    </x:row>
    <x:row r="1793">
      <x:c r="A1793" t="str">
        <x:v>SYN0001792</x:v>
      </x:c>
      <x:c r="B1793" s="12" t="n">
        <x:v>42415</x:v>
      </x:c>
      <x:c r="C1793" s="18" t="n">
        <x:v>6696</x:v>
      </x:c>
      <x:c r="D1793" s="18" t="n">
        <x:v>98891</x:v>
      </x:c>
      <x:c r="E1793" s="18" t="n">
        <x:v>29.85</x:v>
      </x:c>
      <x:c r="F1793" s="18" t="n">
        <x:v>6.42</x:v>
      </x:c>
      <x:c r="G1793" t="n">
        <x:v>36</x:v>
      </x:c>
      <x:c r="H1793" t="str">
        <x:v>A</x:v>
      </x:c>
      <x:c r="I1793" t="str">
        <x:v>7-9 years</x:v>
      </x:c>
      <x:c r="J1793" t="str">
        <x:v>MORTGAGE</x:v>
      </x:c>
      <x:c r="K1793" t="str">
        <x:v>credit_card</x:v>
      </x:c>
      <x:c r="L1793" t="n">
        <x:v>0</x:v>
      </x:c>
      <x:c r="M1793" t="n">
        <x:v>0</x:v>
      </x:c>
      <x:c r="N1793" t="str">
        <x:v>Fully Paid</x:v>
      </x:c>
      <x:c r="O1793" t="str">
        <x:f>IF(D1793="","Unknown",IF(D1793&lt;25000,"&lt;$25k",IF(D1793&lt;50000,"$25k-$50k",IF(D1793&lt;75000,"$50k-$75k",IF(D1793&lt;100000,"$75k-$100k","$100k+")))))</x:f>
        <x:v>$75k-$100k</x:v>
      </x:c>
      <x:c r="P1793" t="str">
        <x:f>IF(E1793="","Unknown",IF(E1793&lt;10,"&lt;10",IF(E1793&lt;20,"10-&lt;20",IF(E1793&lt;25,"20-&lt;25",IF(E1793&lt;35,"25-&lt;35","35+")))))</x:f>
        <x:v>25-&lt;35</x:v>
      </x:c>
    </x:row>
    <x:row r="1794">
      <x:c r="A1794" t="str">
        <x:v>SYN0001793</x:v>
      </x:c>
      <x:c r="B1794" s="12" t="n">
        <x:v>41485</x:v>
      </x:c>
      <x:c r="C1794" s="18" t="n">
        <x:v>14491</x:v>
      </x:c>
      <x:c r="D1794" s="18" t="n">
        <x:v>44005</x:v>
      </x:c>
      <x:c r="E1794" s="18" t="n">
        <x:v>25.84</x:v>
      </x:c>
      <x:c r="F1794" s="18" t="n">
        <x:v>5</x:v>
      </x:c>
      <x:c r="G1794" t="n">
        <x:v>60</x:v>
      </x:c>
      <x:c r="H1794" t="str">
        <x:v>A</x:v>
      </x:c>
      <x:c r="I1794" t="str">
        <x:v>4-6 years</x:v>
      </x:c>
      <x:c r="J1794" t="str">
        <x:v>MORTGAGE</x:v>
      </x:c>
      <x:c r="K1794" t="str">
        <x:v>home_improvement</x:v>
      </x:c>
      <x:c r="L1794" t="n">
        <x:v>0</x:v>
      </x:c>
      <x:c r="M1794" t="n">
        <x:v>0</x:v>
      </x:c>
      <x:c r="N1794" t="str">
        <x:v>Fully Paid</x:v>
      </x:c>
      <x:c r="O1794" t="str">
        <x:f>IF(D1794="","Unknown",IF(D1794&lt;25000,"&lt;$25k",IF(D1794&lt;50000,"$25k-$50k",IF(D1794&lt;75000,"$50k-$75k",IF(D1794&lt;100000,"$75k-$100k","$100k+")))))</x:f>
        <x:v>$25k-$50k</x:v>
      </x:c>
      <x:c r="P1794" t="str">
        <x:f>IF(E1794="","Unknown",IF(E1794&lt;10,"&lt;10",IF(E1794&lt;20,"10-&lt;20",IF(E1794&lt;25,"20-&lt;25",IF(E1794&lt;35,"25-&lt;35","35+")))))</x:f>
        <x:v>25-&lt;35</x:v>
      </x:c>
    </x:row>
    <x:row r="1795">
      <x:c r="A1795" t="str">
        <x:v>SYN0001794</x:v>
      </x:c>
      <x:c r="B1795" s="12" t="n">
        <x:v>41695</x:v>
      </x:c>
      <x:c r="C1795" s="18" t="n">
        <x:v>7773</x:v>
      </x:c>
      <x:c r="D1795" s="18" t="n">
        <x:v>46796</x:v>
      </x:c>
      <x:c r="E1795" s="18" t="n">
        <x:v>28.09</x:v>
      </x:c>
      <x:c r="F1795" s="18" t="n">
        <x:v>14.4</x:v>
      </x:c>
      <x:c r="G1795" t="n">
        <x:v>36</x:v>
      </x:c>
      <x:c r="H1795" t="str">
        <x:v>D</x:v>
      </x:c>
      <x:c r="I1795" t="str">
        <x:v>7-9 years</x:v>
      </x:c>
      <x:c r="J1795" t="str">
        <x:v>RENT</x:v>
      </x:c>
      <x:c r="K1795" t="str">
        <x:v>other</x:v>
      </x:c>
      <x:c r="L1795" t="n">
        <x:v>0</x:v>
      </x:c>
      <x:c r="M1795" t="n">
        <x:v>0</x:v>
      </x:c>
      <x:c r="N1795" t="str">
        <x:v>Fully Paid</x:v>
      </x:c>
      <x:c r="O1795" t="str">
        <x:f>IF(D1795="","Unknown",IF(D1795&lt;25000,"&lt;$25k",IF(D1795&lt;50000,"$25k-$50k",IF(D1795&lt;75000,"$50k-$75k",IF(D1795&lt;100000,"$75k-$100k","$100k+")))))</x:f>
        <x:v>$25k-$50k</x:v>
      </x:c>
      <x:c r="P1795" t="str">
        <x:f>IF(E1795="","Unknown",IF(E1795&lt;10,"&lt;10",IF(E1795&lt;20,"10-&lt;20",IF(E1795&lt;25,"20-&lt;25",IF(E1795&lt;35,"25-&lt;35","35+")))))</x:f>
        <x:v>25-&lt;35</x:v>
      </x:c>
    </x:row>
    <x:row r="1796">
      <x:c r="A1796" t="str">
        <x:v>SYN0001795</x:v>
      </x:c>
      <x:c r="B1796" s="12" t="n">
        <x:v>42895</x:v>
      </x:c>
      <x:c r="C1796" s="18" t="n">
        <x:v>34139</x:v>
      </x:c>
      <x:c r="D1796" s="18" t="n">
        <x:v>42247</x:v>
      </x:c>
      <x:c r="E1796" s="18" t="n">
        <x:v>20.85</x:v>
      </x:c>
      <x:c r="F1796" s="18" t="n">
        <x:v>22.45</x:v>
      </x:c>
      <x:c r="G1796" t="n">
        <x:v>36</x:v>
      </x:c>
      <x:c r="H1796" t="str">
        <x:v>F</x:v>
      </x:c>
      <x:c r="I1796" t="str">
        <x:v>1-3 years</x:v>
      </x:c>
      <x:c r="J1796" t="str">
        <x:v>MORTGAGE</x:v>
      </x:c>
      <x:c r="K1796" t="str">
        <x:v>credit_card</x:v>
      </x:c>
      <x:c r="L1796" t="n">
        <x:v>2</x:v>
      </x:c>
      <x:c r="M1796" t="n">
        <x:v>0</x:v>
      </x:c>
      <x:c r="N1796" t="str">
        <x:v>Fully Paid</x:v>
      </x:c>
      <x:c r="O1796" t="str">
        <x:f>IF(D1796="","Unknown",IF(D1796&lt;25000,"&lt;$25k",IF(D1796&lt;50000,"$25k-$50k",IF(D1796&lt;75000,"$50k-$75k",IF(D1796&lt;100000,"$75k-$100k","$100k+")))))</x:f>
        <x:v>$25k-$50k</x:v>
      </x:c>
      <x:c r="P1796" t="str">
        <x:f>IF(E1796="","Unknown",IF(E1796&lt;10,"&lt;10",IF(E1796&lt;20,"10-&lt;20",IF(E1796&lt;25,"20-&lt;25",IF(E1796&lt;35,"25-&lt;35","35+")))))</x:f>
        <x:v>20-&lt;25</x:v>
      </x:c>
    </x:row>
    <x:row r="1797">
      <x:c r="A1797" t="str">
        <x:v>SYN0001796</x:v>
      </x:c>
      <x:c r="B1797" s="12" t="n">
        <x:v>43285</x:v>
      </x:c>
      <x:c r="C1797" s="18" t="n">
        <x:v>9128</x:v>
      </x:c>
      <x:c r="D1797" s="18" t="n">
        <x:v>29391</x:v>
      </x:c>
      <x:c r="E1797" s="18" t="n">
        <x:v>26.39</x:v>
      </x:c>
      <x:c r="F1797" s="18" t="n">
        <x:v>9.95</x:v>
      </x:c>
      <x:c r="G1797" t="n">
        <x:v>60</x:v>
      </x:c>
      <x:c r="H1797" t="str">
        <x:v>B</x:v>
      </x:c>
      <x:c r="I1797" t="str">
        <x:v>4-6 years</x:v>
      </x:c>
      <x:c r="J1797" t="str">
        <x:v>RENT</x:v>
      </x:c>
      <x:c r="K1797" t="str">
        <x:v>debt_consolidation</x:v>
      </x:c>
      <x:c r="L1797" t="n">
        <x:v>0</x:v>
      </x:c>
      <x:c r="M1797" t="n">
        <x:v>0</x:v>
      </x:c>
      <x:c r="N1797" t="str">
        <x:v>Fully Paid</x:v>
      </x:c>
      <x:c r="O1797" t="str">
        <x:f>IF(D1797="","Unknown",IF(D1797&lt;25000,"&lt;$25k",IF(D1797&lt;50000,"$25k-$50k",IF(D1797&lt;75000,"$50k-$75k",IF(D1797&lt;100000,"$75k-$100k","$100k+")))))</x:f>
        <x:v>$25k-$50k</x:v>
      </x:c>
      <x:c r="P1797" t="str">
        <x:f>IF(E1797="","Unknown",IF(E1797&lt;10,"&lt;10",IF(E1797&lt;20,"10-&lt;20",IF(E1797&lt;25,"20-&lt;25",IF(E1797&lt;35,"25-&lt;35","35+")))))</x:f>
        <x:v>25-&lt;35</x:v>
      </x:c>
    </x:row>
    <x:row r="1798">
      <x:c r="A1798" t="str">
        <x:v>SYN0001797</x:v>
      </x:c>
      <x:c r="B1798" s="12" t="n">
        <x:v>43405</x:v>
      </x:c>
      <x:c r="C1798" s="18" t="n">
        <x:v>33529</x:v>
      </x:c>
      <x:c r="D1798" s="18" t="n">
        <x:v>32703</x:v>
      </x:c>
      <x:c r="E1798" s="18" t="n">
        <x:v>32.37</x:v>
      </x:c>
      <x:c r="F1798" s="18" t="n">
        <x:v>10.52</x:v>
      </x:c>
      <x:c r="G1798" t="n">
        <x:v>36</x:v>
      </x:c>
      <x:c r="H1798" t="str">
        <x:v>B</x:v>
      </x:c>
      <x:c r="I1798" t="str">
        <x:v>4-6 years</x:v>
      </x:c>
      <x:c r="J1798" t="str">
        <x:v>RENT</x:v>
      </x:c>
      <x:c r="K1798" t="str">
        <x:v>medical</x:v>
      </x:c>
      <x:c r="L1798" t="n">
        <x:v>1</x:v>
      </x:c>
      <x:c r="M1798" t="n">
        <x:v>1</x:v>
      </x:c>
      <x:c r="N1798" t="str">
        <x:v>Charged Off</x:v>
      </x:c>
      <x:c r="O1798" t="str">
        <x:f>IF(D1798="","Unknown",IF(D1798&lt;25000,"&lt;$25k",IF(D1798&lt;50000,"$25k-$50k",IF(D1798&lt;75000,"$50k-$75k",IF(D1798&lt;100000,"$75k-$100k","$100k+")))))</x:f>
        <x:v>$25k-$50k</x:v>
      </x:c>
      <x:c r="P1798" t="str">
        <x:f>IF(E1798="","Unknown",IF(E1798&lt;10,"&lt;10",IF(E1798&lt;20,"10-&lt;20",IF(E1798&lt;25,"20-&lt;25",IF(E1798&lt;35,"25-&lt;35","35+")))))</x:f>
        <x:v>25-&lt;35</x:v>
      </x:c>
    </x:row>
    <x:row r="1799">
      <x:c r="A1799" t="str">
        <x:v>SYN0001798</x:v>
      </x:c>
      <x:c r="B1799" s="12" t="n">
        <x:v>42925</x:v>
      </x:c>
      <x:c r="C1799" s="18" t="n">
        <x:v>10829</x:v>
      </x:c>
      <x:c r="D1799" s="18" t="n">
        <x:v>24801</x:v>
      </x:c>
      <x:c r="E1799" s="18" t="n">
        <x:v>2.62</x:v>
      </x:c>
      <x:c r="F1799" s="18" t="n">
        <x:v>10.23</x:v>
      </x:c>
      <x:c r="G1799" t="n">
        <x:v>60</x:v>
      </x:c>
      <x:c r="H1799" t="str">
        <x:v>B</x:v>
      </x:c>
      <x:c r="I1799" t="str">
        <x:v>&lt;1 year</x:v>
      </x:c>
      <x:c r="J1799" t="str">
        <x:v>RENT</x:v>
      </x:c>
      <x:c r="K1799" t="str">
        <x:v>debt_consolidation</x:v>
      </x:c>
      <x:c r="L1799" t="n">
        <x:v>1</x:v>
      </x:c>
      <x:c r="M1799" t="n">
        <x:v>0</x:v>
      </x:c>
      <x:c r="N1799" t="str">
        <x:v>Fully Paid</x:v>
      </x:c>
      <x:c r="O1799" t="str">
        <x:f>IF(D1799="","Unknown",IF(D1799&lt;25000,"&lt;$25k",IF(D1799&lt;50000,"$25k-$50k",IF(D1799&lt;75000,"$50k-$75k",IF(D1799&lt;100000,"$75k-$100k","$100k+")))))</x:f>
        <x:v>&lt;$25k</x:v>
      </x:c>
      <x:c r="P1799" t="str">
        <x:f>IF(E1799="","Unknown",IF(E1799&lt;10,"&lt;10",IF(E1799&lt;20,"10-&lt;20",IF(E1799&lt;25,"20-&lt;25",IF(E1799&lt;35,"25-&lt;35","35+")))))</x:f>
        <x:v>&lt;10</x:v>
      </x:c>
    </x:row>
    <x:row r="1800">
      <x:c r="A1800" t="str">
        <x:v>SYN0001799</x:v>
      </x:c>
      <x:c r="B1800" s="12" t="n">
        <x:v>41725</x:v>
      </x:c>
      <x:c r="C1800" s="18" t="n">
        <x:v>10402</x:v>
      </x:c>
      <x:c r="D1800" s="18" t="n">
        <x:v>68143</x:v>
      </x:c>
      <x:c r="E1800" s="18" t="n">
        <x:v>20.76</x:v>
      </x:c>
      <x:c r="F1800" s="18" t="n">
        <x:v>6.48</x:v>
      </x:c>
      <x:c r="G1800" t="n">
        <x:v>60</x:v>
      </x:c>
      <x:c r="H1800" t="str">
        <x:v>A</x:v>
      </x:c>
      <x:c r="I1800" t="str">
        <x:v>7-9 years</x:v>
      </x:c>
      <x:c r="J1800" t="str">
        <x:v>MORTGAGE</x:v>
      </x:c>
      <x:c r="K1800" t="str">
        <x:v>debt_consolidation</x:v>
      </x:c>
      <x:c r="L1800" t="n">
        <x:v>0</x:v>
      </x:c>
      <x:c r="M1800" t="n">
        <x:v>0</x:v>
      </x:c>
      <x:c r="N1800" t="str">
        <x:v>Fully Paid</x:v>
      </x:c>
      <x:c r="O1800" t="str">
        <x:f>IF(D1800="","Unknown",IF(D1800&lt;25000,"&lt;$25k",IF(D1800&lt;50000,"$25k-$50k",IF(D1800&lt;75000,"$50k-$75k",IF(D1800&lt;100000,"$75k-$100k","$100k+")))))</x:f>
        <x:v>$50k-$75k</x:v>
      </x:c>
      <x:c r="P1800" t="str">
        <x:f>IF(E1800="","Unknown",IF(E1800&lt;10,"&lt;10",IF(E1800&lt;20,"10-&lt;20",IF(E1800&lt;25,"20-&lt;25",IF(E1800&lt;35,"25-&lt;35","35+")))))</x:f>
        <x:v>20-&lt;25</x:v>
      </x:c>
    </x:row>
    <x:row r="1801">
      <x:c r="A1801" t="str">
        <x:v>SYN0001800</x:v>
      </x:c>
      <x:c r="B1801" s="12" t="n">
        <x:v>42385</x:v>
      </x:c>
      <x:c r="C1801" s="18" t="n">
        <x:v>18085</x:v>
      </x:c>
      <x:c r="D1801" s="18" t="n">
        <x:v>48864</x:v>
      </x:c>
      <x:c r="E1801" s="18" t="n">
        <x:v>25.06</x:v>
      </x:c>
      <x:c r="F1801" s="18" t="n">
        <x:v>22.64</x:v>
      </x:c>
      <x:c r="G1801" t="n">
        <x:v>36</x:v>
      </x:c>
      <x:c r="H1801" t="str">
        <x:v>F</x:v>
      </x:c>
      <x:c r="I1801" t="str">
        <x:v>&lt;1 year</x:v>
      </x:c>
      <x:c r="J1801" t="str">
        <x:v>MORTGAGE</x:v>
      </x:c>
      <x:c r="K1801" t="str">
        <x:v>debt_consolidation</x:v>
      </x:c>
      <x:c r="L1801" t="n">
        <x:v>1</x:v>
      </x:c>
      <x:c r="M1801" t="n">
        <x:v>0</x:v>
      </x:c>
      <x:c r="N1801" t="str">
        <x:v>Fully Paid</x:v>
      </x:c>
      <x:c r="O1801" t="str">
        <x:f>IF(D1801="","Unknown",IF(D1801&lt;25000,"&lt;$25k",IF(D1801&lt;50000,"$25k-$50k",IF(D1801&lt;75000,"$50k-$75k",IF(D1801&lt;100000,"$75k-$100k","$100k+")))))</x:f>
        <x:v>$25k-$50k</x:v>
      </x:c>
      <x:c r="P1801" t="str">
        <x:f>IF(E1801="","Unknown",IF(E1801&lt;10,"&lt;10",IF(E1801&lt;20,"10-&lt;20",IF(E1801&lt;25,"20-&lt;25",IF(E1801&lt;35,"25-&lt;35","35+")))))</x:f>
        <x:v>25-&lt;35</x:v>
      </x:c>
    </x:row>
    <x:row r="1802">
      <x:c r="A1802" t="str">
        <x:v>SYN0001801</x:v>
      </x:c>
      <x:c r="B1802" s="12" t="n">
        <x:v>43375</x:v>
      </x:c>
      <x:c r="C1802" s="18" t="n">
        <x:v>9341</x:v>
      </x:c>
      <x:c r="D1802" s="18" t="n">
        <x:v>36901</x:v>
      </x:c>
      <x:c r="E1802" s="18" t="n">
        <x:v>19.72</x:v>
      </x:c>
      <x:c r="F1802" s="18" t="n">
        <x:v>18.38</x:v>
      </x:c>
      <x:c r="G1802" t="n">
        <x:v>36</x:v>
      </x:c>
      <x:c r="H1802" t="str">
        <x:v>E</x:v>
      </x:c>
      <x:c r="I1802" t="str">
        <x:v>10+ years</x:v>
      </x:c>
      <x:c r="J1802" t="str">
        <x:v>OWN</x:v>
      </x:c>
      <x:c r="K1802" t="str">
        <x:v>debt_consolidation</x:v>
      </x:c>
      <x:c r="L1802" t="n">
        <x:v>0</x:v>
      </x:c>
      <x:c r="M1802" t="n">
        <x:v>0</x:v>
      </x:c>
      <x:c r="N1802" t="str">
        <x:v>Fully Paid</x:v>
      </x:c>
      <x:c r="O1802" t="str">
        <x:f>IF(D1802="","Unknown",IF(D1802&lt;25000,"&lt;$25k",IF(D1802&lt;50000,"$25k-$50k",IF(D1802&lt;75000,"$50k-$75k",IF(D1802&lt;100000,"$75k-$100k","$100k+")))))</x:f>
        <x:v>$25k-$50k</x:v>
      </x:c>
      <x:c r="P1802" t="str">
        <x:f>IF(E1802="","Unknown",IF(E1802&lt;10,"&lt;10",IF(E1802&lt;20,"10-&lt;20",IF(E1802&lt;25,"20-&lt;25",IF(E1802&lt;35,"25-&lt;35","35+")))))</x:f>
        <x:v>10-&lt;20</x:v>
      </x:c>
    </x:row>
    <x:row r="1803">
      <x:c r="A1803" t="str">
        <x:v>SYN0001802</x:v>
      </x:c>
      <x:c r="B1803" s="12" t="n">
        <x:v>41575</x:v>
      </x:c>
      <x:c r="C1803" s="18" t="n">
        <x:v>30662</x:v>
      </x:c>
      <x:c r="D1803" s="18" t="n">
        <x:v>105083</x:v>
      </x:c>
      <x:c r="E1803" s="18" t="n">
        <x:v>23.23</x:v>
      </x:c>
      <x:c r="F1803" s="18" t="n">
        <x:v>10.39</x:v>
      </x:c>
      <x:c r="G1803" t="n">
        <x:v>36</x:v>
      </x:c>
      <x:c r="H1803" t="str">
        <x:v>C</x:v>
      </x:c>
      <x:c r="I1803" t="str">
        <x:v>1-3 years</x:v>
      </x:c>
      <x:c r="J1803" t="str">
        <x:v>RENT</x:v>
      </x:c>
      <x:c r="K1803" t="str">
        <x:v>other</x:v>
      </x:c>
      <x:c r="L1803" t="n">
        <x:v>0</x:v>
      </x:c>
      <x:c r="M1803" t="n">
        <x:v>0</x:v>
      </x:c>
      <x:c r="N1803" t="str">
        <x:v>Fully Paid</x:v>
      </x:c>
      <x:c r="O1803" t="str">
        <x:f>IF(D1803="","Unknown",IF(D1803&lt;25000,"&lt;$25k",IF(D1803&lt;50000,"$25k-$50k",IF(D1803&lt;75000,"$50k-$75k",IF(D1803&lt;100000,"$75k-$100k","$100k+")))))</x:f>
        <x:v>$100k+</x:v>
      </x:c>
      <x:c r="P1803" t="str">
        <x:f>IF(E1803="","Unknown",IF(E1803&lt;10,"&lt;10",IF(E1803&lt;20,"10-&lt;20",IF(E1803&lt;25,"20-&lt;25",IF(E1803&lt;35,"25-&lt;35","35+")))))</x:f>
        <x:v>20-&lt;25</x:v>
      </x:c>
    </x:row>
    <x:row r="1804">
      <x:c r="A1804" t="str">
        <x:v>SYN0001803</x:v>
      </x:c>
      <x:c r="B1804" s="12" t="n">
        <x:v>42505</x:v>
      </x:c>
      <x:c r="C1804" s="18" t="n">
        <x:v>17987</x:v>
      </x:c>
      <x:c r="D1804" s="18" t="n">
        <x:v>40271</x:v>
      </x:c>
      <x:c r="E1804" s="18" t="n">
        <x:v>19.33</x:v>
      </x:c>
      <x:c r="F1804" s="18" t="n">
        <x:v>9.38</x:v>
      </x:c>
      <x:c r="G1804" t="n">
        <x:v>36</x:v>
      </x:c>
      <x:c r="H1804" t="str">
        <x:v>C</x:v>
      </x:c>
      <x:c r="I1804" t="str">
        <x:v>1-3 years</x:v>
      </x:c>
      <x:c r="J1804" t="str">
        <x:v>RENT</x:v>
      </x:c>
      <x:c r="K1804" t="str">
        <x:v>debt_consolidation</x:v>
      </x:c>
      <x:c r="L1804" t="n">
        <x:v>0</x:v>
      </x:c>
      <x:c r="M1804" t="n">
        <x:v>0</x:v>
      </x:c>
      <x:c r="N1804" t="str">
        <x:v>Fully Paid</x:v>
      </x:c>
      <x:c r="O1804" t="str">
        <x:f>IF(D1804="","Unknown",IF(D1804&lt;25000,"&lt;$25k",IF(D1804&lt;50000,"$25k-$50k",IF(D1804&lt;75000,"$50k-$75k",IF(D1804&lt;100000,"$75k-$100k","$100k+")))))</x:f>
        <x:v>$25k-$50k</x:v>
      </x:c>
      <x:c r="P1804" t="str">
        <x:f>IF(E1804="","Unknown",IF(E1804&lt;10,"&lt;10",IF(E1804&lt;20,"10-&lt;20",IF(E1804&lt;25,"20-&lt;25",IF(E1804&lt;35,"25-&lt;35","35+")))))</x:f>
        <x:v>10-&lt;20</x:v>
      </x:c>
    </x:row>
    <x:row r="1805">
      <x:c r="A1805" t="str">
        <x:v>SYN0001804</x:v>
      </x:c>
      <x:c r="B1805" s="12" t="n">
        <x:v>41755</x:v>
      </x:c>
      <x:c r="C1805" s="18" t="n">
        <x:v>27329</x:v>
      </x:c>
      <x:c r="D1805" s="18" t="n">
        <x:v>70870</x:v>
      </x:c>
      <x:c r="E1805" s="18" t="n">
        <x:v>21.27</x:v>
      </x:c>
      <x:c r="F1805" s="18" t="n">
        <x:v>16.9</x:v>
      </x:c>
      <x:c r="G1805" t="n">
        <x:v>36</x:v>
      </x:c>
      <x:c r="H1805" t="str">
        <x:v>D</x:v>
      </x:c>
      <x:c r="I1805" t="str">
        <x:v>1-3 years</x:v>
      </x:c>
      <x:c r="J1805" t="str">
        <x:v>RENT</x:v>
      </x:c>
      <x:c r="K1805" t="str">
        <x:v>credit_card</x:v>
      </x:c>
      <x:c r="L1805" t="n">
        <x:v>0</x:v>
      </x:c>
      <x:c r="M1805" t="n">
        <x:v>0</x:v>
      </x:c>
      <x:c r="N1805" t="str">
        <x:v>Fully Paid</x:v>
      </x:c>
      <x:c r="O1805" t="str">
        <x:f>IF(D1805="","Unknown",IF(D1805&lt;25000,"&lt;$25k",IF(D1805&lt;50000,"$25k-$50k",IF(D1805&lt;75000,"$50k-$75k",IF(D1805&lt;100000,"$75k-$100k","$100k+")))))</x:f>
        <x:v>$50k-$75k</x:v>
      </x:c>
      <x:c r="P1805" t="str">
        <x:f>IF(E1805="","Unknown",IF(E1805&lt;10,"&lt;10",IF(E1805&lt;20,"10-&lt;20",IF(E1805&lt;25,"20-&lt;25",IF(E1805&lt;35,"25-&lt;35","35+")))))</x:f>
        <x:v>20-&lt;25</x:v>
      </x:c>
    </x:row>
    <x:row r="1806">
      <x:c r="A1806" t="str">
        <x:v>SYN0001805</x:v>
      </x:c>
      <x:c r="B1806" s="12" t="n">
        <x:v>42805</x:v>
      </x:c>
      <x:c r="C1806" s="18" t="n">
        <x:v>15414</x:v>
      </x:c>
      <x:c r="D1806" s="18" t="n">
        <x:v>45882</x:v>
      </x:c>
      <x:c r="E1806" s="18" t="n">
        <x:v>27.63</x:v>
      </x:c>
      <x:c r="F1806" s="18" t="n">
        <x:v>16.97</x:v>
      </x:c>
      <x:c r="G1806" t="n">
        <x:v>36</x:v>
      </x:c>
      <x:c r="H1806" t="str">
        <x:v>D</x:v>
      </x:c>
      <x:c r="I1806" t="str">
        <x:v>4-6 years</x:v>
      </x:c>
      <x:c r="J1806" t="str">
        <x:v>RENT</x:v>
      </x:c>
      <x:c r="K1806" t="str">
        <x:v>debt_consolidation</x:v>
      </x:c>
      <x:c r="L1806" t="n">
        <x:v>0</x:v>
      </x:c>
      <x:c r="M1806" t="n">
        <x:v>0</x:v>
      </x:c>
      <x:c r="N1806" t="str">
        <x:v>Fully Paid</x:v>
      </x:c>
      <x:c r="O1806" t="str">
        <x:f>IF(D1806="","Unknown",IF(D1806&lt;25000,"&lt;$25k",IF(D1806&lt;50000,"$25k-$50k",IF(D1806&lt;75000,"$50k-$75k",IF(D1806&lt;100000,"$75k-$100k","$100k+")))))</x:f>
        <x:v>$25k-$50k</x:v>
      </x:c>
      <x:c r="P1806" t="str">
        <x:f>IF(E1806="","Unknown",IF(E1806&lt;10,"&lt;10",IF(E1806&lt;20,"10-&lt;20",IF(E1806&lt;25,"20-&lt;25",IF(E1806&lt;35,"25-&lt;35","35+")))))</x:f>
        <x:v>25-&lt;35</x:v>
      </x:c>
    </x:row>
    <x:row r="1807">
      <x:c r="A1807" t="str">
        <x:v>SYN0001806</x:v>
      </x:c>
      <x:c r="B1807" s="12" t="n">
        <x:v>42415</x:v>
      </x:c>
      <x:c r="C1807" s="18" t="n">
        <x:v>12422</x:v>
      </x:c>
      <x:c r="D1807" s="18" t="n">
        <x:v>63911</x:v>
      </x:c>
      <x:c r="E1807" s="18" t="n">
        <x:v>8.1</x:v>
      </x:c>
      <x:c r="F1807" s="18" t="n">
        <x:v>5</x:v>
      </x:c>
      <x:c r="G1807" t="n">
        <x:v>36</x:v>
      </x:c>
      <x:c r="H1807" t="str">
        <x:v>A</x:v>
      </x:c>
      <x:c r="I1807" t="str">
        <x:v>&lt;1 year</x:v>
      </x:c>
      <x:c r="J1807" t="str">
        <x:v>MORTGAGE</x:v>
      </x:c>
      <x:c r="K1807" t="str">
        <x:v>major_purchase</x:v>
      </x:c>
      <x:c r="L1807" t="n">
        <x:v>1</x:v>
      </x:c>
      <x:c r="M1807" t="n">
        <x:v>0</x:v>
      </x:c>
      <x:c r="N1807" t="str">
        <x:v>Fully Paid</x:v>
      </x:c>
      <x:c r="O1807" t="str">
        <x:f>IF(D1807="","Unknown",IF(D1807&lt;25000,"&lt;$25k",IF(D1807&lt;50000,"$25k-$50k",IF(D1807&lt;75000,"$50k-$75k",IF(D1807&lt;100000,"$75k-$100k","$100k+")))))</x:f>
        <x:v>$50k-$75k</x:v>
      </x:c>
      <x:c r="P1807" t="str">
        <x:f>IF(E1807="","Unknown",IF(E1807&lt;10,"&lt;10",IF(E1807&lt;20,"10-&lt;20",IF(E1807&lt;25,"20-&lt;25",IF(E1807&lt;35,"25-&lt;35","35+")))))</x:f>
        <x:v>&lt;10</x:v>
      </x:c>
    </x:row>
    <x:row r="1808">
      <x:c r="A1808" t="str">
        <x:v>SYN0001807</x:v>
      </x:c>
      <x:c r="B1808" s="12" t="n">
        <x:v>42415</x:v>
      </x:c>
      <x:c r="C1808" s="18" t="n">
        <x:v>32711</x:v>
      </x:c>
      <x:c r="D1808" s="18" t="n">
        <x:v>90872</x:v>
      </x:c>
      <x:c r="E1808" s="18" t="n">
        <x:v>24.73</x:v>
      </x:c>
      <x:c r="F1808" s="18" t="n">
        <x:v>28.68</x:v>
      </x:c>
      <x:c r="G1808" t="n">
        <x:v>36</x:v>
      </x:c>
      <x:c r="H1808" t="str">
        <x:v>G</x:v>
      </x:c>
      <x:c r="I1808" t="str">
        <x:v>4-6 years</x:v>
      </x:c>
      <x:c r="J1808" t="str">
        <x:v>MORTGAGE</x:v>
      </x:c>
      <x:c r="K1808" t="str">
        <x:v>medical</x:v>
      </x:c>
      <x:c r="L1808" t="n">
        <x:v>1</x:v>
      </x:c>
      <x:c r="M1808" t="n">
        <x:v>0</x:v>
      </x:c>
      <x:c r="N1808" t="str">
        <x:v>Fully Paid</x:v>
      </x:c>
      <x:c r="O1808" t="str">
        <x:f>IF(D1808="","Unknown",IF(D1808&lt;25000,"&lt;$25k",IF(D1808&lt;50000,"$25k-$50k",IF(D1808&lt;75000,"$50k-$75k",IF(D1808&lt;100000,"$75k-$100k","$100k+")))))</x:f>
        <x:v>$75k-$100k</x:v>
      </x:c>
      <x:c r="P1808" t="str">
        <x:f>IF(E1808="","Unknown",IF(E1808&lt;10,"&lt;10",IF(E1808&lt;20,"10-&lt;20",IF(E1808&lt;25,"20-&lt;25",IF(E1808&lt;35,"25-&lt;35","35+")))))</x:f>
        <x:v>20-&lt;25</x:v>
      </x:c>
    </x:row>
    <x:row r="1809">
      <x:c r="A1809" t="str">
        <x:v>SYN0001808</x:v>
      </x:c>
      <x:c r="B1809" s="12" t="n">
        <x:v>42535</x:v>
      </x:c>
      <x:c r="C1809" s="18" t="n">
        <x:v>35457</x:v>
      </x:c>
      <x:c r="D1809" s="18" t="n">
        <x:v>181276</x:v>
      </x:c>
      <x:c r="E1809" s="18" t="n">
        <x:v>31.81</x:v>
      </x:c>
      <x:c r="F1809" s="18" t="n">
        <x:v>9.39</x:v>
      </x:c>
      <x:c r="G1809" t="n">
        <x:v>36</x:v>
      </x:c>
      <x:c r="H1809" t="str">
        <x:v>B</x:v>
      </x:c>
      <x:c r="I1809" t="str">
        <x:v>1-3 years</x:v>
      </x:c>
      <x:c r="J1809" t="str">
        <x:v>MORTGAGE</x:v>
      </x:c>
      <x:c r="K1809" t="str">
        <x:v>home_improvement</x:v>
      </x:c>
      <x:c r="L1809" t="n">
        <x:v>1</x:v>
      </x:c>
      <x:c r="M1809" t="n">
        <x:v>0</x:v>
      </x:c>
      <x:c r="N1809" t="str">
        <x:v>Fully Paid</x:v>
      </x:c>
      <x:c r="O1809" t="str">
        <x:f>IF(D1809="","Unknown",IF(D1809&lt;25000,"&lt;$25k",IF(D1809&lt;50000,"$25k-$50k",IF(D1809&lt;75000,"$50k-$75k",IF(D1809&lt;100000,"$75k-$100k","$100k+")))))</x:f>
        <x:v>$100k+</x:v>
      </x:c>
      <x:c r="P1809" t="str">
        <x:f>IF(E1809="","Unknown",IF(E1809&lt;10,"&lt;10",IF(E1809&lt;20,"10-&lt;20",IF(E1809&lt;25,"20-&lt;25",IF(E1809&lt;35,"25-&lt;35","35+")))))</x:f>
        <x:v>25-&lt;35</x:v>
      </x:c>
    </x:row>
    <x:row r="1810">
      <x:c r="A1810" t="str">
        <x:v>SYN0001809</x:v>
      </x:c>
      <x:c r="B1810" s="12" t="n">
        <x:v>42295</x:v>
      </x:c>
      <x:c r="C1810" s="18" t="n">
        <x:v>11003</x:v>
      </x:c>
      <x:c r="D1810" s="18" t="n">
        <x:v>35600</x:v>
      </x:c>
      <x:c r="E1810" s="18" t="n">
        <x:v>22.84</x:v>
      </x:c>
      <x:c r="F1810" s="18" t="n">
        <x:v>26.34</x:v>
      </x:c>
      <x:c r="G1810" t="n">
        <x:v>36</x:v>
      </x:c>
      <x:c r="H1810" t="str">
        <x:v>G</x:v>
      </x:c>
      <x:c r="I1810" t="str">
        <x:v>4-6 years</x:v>
      </x:c>
      <x:c r="J1810" t="str">
        <x:v>RENT</x:v>
      </x:c>
      <x:c r="K1810" t="str">
        <x:v>major_purchase</x:v>
      </x:c>
      <x:c r="L1810" t="n">
        <x:v>2</x:v>
      </x:c>
      <x:c r="M1810" t="n">
        <x:v>0</x:v>
      </x:c>
      <x:c r="N1810" t="str">
        <x:v>Fully Paid</x:v>
      </x:c>
      <x:c r="O1810" t="str">
        <x:f>IF(D1810="","Unknown",IF(D1810&lt;25000,"&lt;$25k",IF(D1810&lt;50000,"$25k-$50k",IF(D1810&lt;75000,"$50k-$75k",IF(D1810&lt;100000,"$75k-$100k","$100k+")))))</x:f>
        <x:v>$25k-$50k</x:v>
      </x:c>
      <x:c r="P1810" t="str">
        <x:f>IF(E1810="","Unknown",IF(E1810&lt;10,"&lt;10",IF(E1810&lt;20,"10-&lt;20",IF(E1810&lt;25,"20-&lt;25",IF(E1810&lt;35,"25-&lt;35","35+")))))</x:f>
        <x:v>20-&lt;25</x:v>
      </x:c>
    </x:row>
    <x:row r="1811">
      <x:c r="A1811" t="str">
        <x:v>SYN0001810</x:v>
      </x:c>
      <x:c r="B1811" s="12" t="n">
        <x:v>42055</x:v>
      </x:c>
      <x:c r="C1811" s="18" t="n">
        <x:v>7054</x:v>
      </x:c>
      <x:c r="D1811" s="18" t="n">
        <x:v>74846</x:v>
      </x:c>
      <x:c r="E1811" s="18" t="n">
        <x:v>45.49</x:v>
      </x:c>
      <x:c r="F1811" s="18" t="n">
        <x:v>24.34</x:v>
      </x:c>
      <x:c r="G1811" t="n">
        <x:v>36</x:v>
      </x:c>
      <x:c r="H1811" t="str">
        <x:v>G</x:v>
      </x:c>
      <x:c r="I1811" t="str">
        <x:v>1-3 years</x:v>
      </x:c>
      <x:c r="J1811" t="str">
        <x:v>OTHER</x:v>
      </x:c>
      <x:c r="K1811" t="str">
        <x:v>medical</x:v>
      </x:c>
      <x:c r="L1811" t="n">
        <x:v>0</x:v>
      </x:c>
      <x:c r="M1811" t="n">
        <x:v>0</x:v>
      </x:c>
      <x:c r="N1811" t="str">
        <x:v>Fully Paid</x:v>
      </x:c>
      <x:c r="O1811" t="str">
        <x:f>IF(D1811="","Unknown",IF(D1811&lt;25000,"&lt;$25k",IF(D1811&lt;50000,"$25k-$50k",IF(D1811&lt;75000,"$50k-$75k",IF(D1811&lt;100000,"$75k-$100k","$100k+")))))</x:f>
        <x:v>$50k-$75k</x:v>
      </x:c>
      <x:c r="P1811" t="str">
        <x:f>IF(E1811="","Unknown",IF(E1811&lt;10,"&lt;10",IF(E1811&lt;20,"10-&lt;20",IF(E1811&lt;25,"20-&lt;25",IF(E1811&lt;35,"25-&lt;35","35+")))))</x:f>
        <x:v>35+</x:v>
      </x:c>
    </x:row>
    <x:row r="1812">
      <x:c r="A1812" t="str">
        <x:v>SYN0001811</x:v>
      </x:c>
      <x:c r="B1812" s="12" t="n">
        <x:v>41605</x:v>
      </x:c>
      <x:c r="C1812" s="18" t="n">
        <x:v>4324</x:v>
      </x:c>
      <x:c r="D1812" s="18" t="n">
        <x:v>57287</x:v>
      </x:c>
      <x:c r="E1812" s="18" t="n">
        <x:v>14.78</x:v>
      </x:c>
      <x:c r="F1812" s="18" t="n">
        <x:v>13.29</x:v>
      </x:c>
      <x:c r="G1812" t="n">
        <x:v>60</x:v>
      </x:c>
      <x:c r="H1812" t="str">
        <x:v>D</x:v>
      </x:c>
      <x:c r="I1812" t="str">
        <x:v>10+ years</x:v>
      </x:c>
      <x:c r="J1812" t="str">
        <x:v>MORTGAGE</x:v>
      </x:c>
      <x:c r="K1812" t="str">
        <x:v>home_improvement</x:v>
      </x:c>
      <x:c r="L1812" t="n">
        <x:v>1</x:v>
      </x:c>
      <x:c r="M1812" t="n">
        <x:v>0</x:v>
      </x:c>
      <x:c r="N1812" t="str">
        <x:v>Fully Paid</x:v>
      </x:c>
      <x:c r="O1812" t="str">
        <x:f>IF(D1812="","Unknown",IF(D1812&lt;25000,"&lt;$25k",IF(D1812&lt;50000,"$25k-$50k",IF(D1812&lt;75000,"$50k-$75k",IF(D1812&lt;100000,"$75k-$100k","$100k+")))))</x:f>
        <x:v>$50k-$75k</x:v>
      </x:c>
      <x:c r="P1812" t="str">
        <x:f>IF(E1812="","Unknown",IF(E1812&lt;10,"&lt;10",IF(E1812&lt;20,"10-&lt;20",IF(E1812&lt;25,"20-&lt;25",IF(E1812&lt;35,"25-&lt;35","35+")))))</x:f>
        <x:v>10-&lt;20</x:v>
      </x:c>
    </x:row>
    <x:row r="1813">
      <x:c r="A1813" t="str">
        <x:v>SYN0001812</x:v>
      </x:c>
      <x:c r="B1813" s="12" t="n">
        <x:v>41755</x:v>
      </x:c>
      <x:c r="C1813" s="18" t="n">
        <x:v>12822</x:v>
      </x:c>
      <x:c r="D1813" s="18" t="n">
        <x:v>18888</x:v>
      </x:c>
      <x:c r="E1813" s="18" t="n">
        <x:v>29.19</x:v>
      </x:c>
      <x:c r="F1813" s="18" t="n">
        <x:v>8.36</x:v>
      </x:c>
      <x:c r="G1813" t="n">
        <x:v>60</x:v>
      </x:c>
      <x:c r="H1813" t="str">
        <x:v>B</x:v>
      </x:c>
      <x:c r="I1813" t="str">
        <x:v>1-3 years</x:v>
      </x:c>
      <x:c r="J1813" t="str">
        <x:v>MORTGAGE</x:v>
      </x:c>
      <x:c r="K1813" t="str">
        <x:v>credit_card</x:v>
      </x:c>
      <x:c r="L1813" t="n">
        <x:v>1</x:v>
      </x:c>
      <x:c r="M1813" t="n">
        <x:v>0</x:v>
      </x:c>
      <x:c r="N1813" t="str">
        <x:v>Fully Paid</x:v>
      </x:c>
      <x:c r="O1813" t="str">
        <x:f>IF(D1813="","Unknown",IF(D1813&lt;25000,"&lt;$25k",IF(D1813&lt;50000,"$25k-$50k",IF(D1813&lt;75000,"$50k-$75k",IF(D1813&lt;100000,"$75k-$100k","$100k+")))))</x:f>
        <x:v>&lt;$25k</x:v>
      </x:c>
      <x:c r="P1813" t="str">
        <x:f>IF(E1813="","Unknown",IF(E1813&lt;10,"&lt;10",IF(E1813&lt;20,"10-&lt;20",IF(E1813&lt;25,"20-&lt;25",IF(E1813&lt;35,"25-&lt;35","35+")))))</x:f>
        <x:v>25-&lt;35</x:v>
      </x:c>
    </x:row>
    <x:row r="1814">
      <x:c r="A1814" t="str">
        <x:v>SYN0001813</x:v>
      </x:c>
      <x:c r="B1814" s="12" t="n">
        <x:v>42295</x:v>
      </x:c>
      <x:c r="C1814" s="18" t="n">
        <x:v>13028</x:v>
      </x:c>
      <x:c r="D1814" s="18" t="n">
        <x:v>82709</x:v>
      </x:c>
      <x:c r="E1814" s="18" t="n">
        <x:v>23.91</x:v>
      </x:c>
      <x:c r="F1814" s="18" t="n">
        <x:v>13.08</x:v>
      </x:c>
      <x:c r="G1814" t="n">
        <x:v>36</x:v>
      </x:c>
      <x:c r="H1814" t="str">
        <x:v>C</x:v>
      </x:c>
      <x:c r="I1814" t="str">
        <x:v>1-3 years</x:v>
      </x:c>
      <x:c r="J1814" t="str">
        <x:v>MORTGAGE</x:v>
      </x:c>
      <x:c r="K1814" t="str">
        <x:v>home_improvement</x:v>
      </x:c>
      <x:c r="L1814" t="n">
        <x:v>0</x:v>
      </x:c>
      <x:c r="M1814" t="n">
        <x:v>0</x:v>
      </x:c>
      <x:c r="N1814" t="str">
        <x:v>Fully Paid</x:v>
      </x:c>
      <x:c r="O1814" t="str">
        <x:f>IF(D1814="","Unknown",IF(D1814&lt;25000,"&lt;$25k",IF(D1814&lt;50000,"$25k-$50k",IF(D1814&lt;75000,"$50k-$75k",IF(D1814&lt;100000,"$75k-$100k","$100k+")))))</x:f>
        <x:v>$75k-$100k</x:v>
      </x:c>
      <x:c r="P1814" t="str">
        <x:f>IF(E1814="","Unknown",IF(E1814&lt;10,"&lt;10",IF(E1814&lt;20,"10-&lt;20",IF(E1814&lt;25,"20-&lt;25",IF(E1814&lt;35,"25-&lt;35","35+")))))</x:f>
        <x:v>20-&lt;25</x:v>
      </x:c>
    </x:row>
    <x:row r="1815">
      <x:c r="A1815" t="str">
        <x:v>SYN0001814</x:v>
      </x:c>
      <x:c r="B1815" s="12" t="n">
        <x:v>42475</x:v>
      </x:c>
      <x:c r="C1815" s="18" t="n">
        <x:v>20522</x:v>
      </x:c>
      <x:c r="D1815" s="18" t="n">
        <x:v>53339</x:v>
      </x:c>
      <x:c r="E1815" s="18" t="n">
        <x:v>17.01</x:v>
      </x:c>
      <x:c r="F1815" s="18" t="n">
        <x:v>10.06</x:v>
      </x:c>
      <x:c r="G1815" t="n">
        <x:v>36</x:v>
      </x:c>
      <x:c r="H1815" t="str">
        <x:v>B</x:v>
      </x:c>
      <x:c r="I1815" t="str">
        <x:v>4-6 years</x:v>
      </x:c>
      <x:c r="J1815" t="str">
        <x:v>MORTGAGE</x:v>
      </x:c>
      <x:c r="K1815" t="str">
        <x:v>home_improvement</x:v>
      </x:c>
      <x:c r="L1815" t="n">
        <x:v>1</x:v>
      </x:c>
      <x:c r="M1815" t="n">
        <x:v>0</x:v>
      </x:c>
      <x:c r="N1815" t="str">
        <x:v>Fully Paid</x:v>
      </x:c>
      <x:c r="O1815" t="str">
        <x:f>IF(D1815="","Unknown",IF(D1815&lt;25000,"&lt;$25k",IF(D1815&lt;50000,"$25k-$50k",IF(D1815&lt;75000,"$50k-$75k",IF(D1815&lt;100000,"$75k-$100k","$100k+")))))</x:f>
        <x:v>$50k-$75k</x:v>
      </x:c>
      <x:c r="P1815" t="str">
        <x:f>IF(E1815="","Unknown",IF(E1815&lt;10,"&lt;10",IF(E1815&lt;20,"10-&lt;20",IF(E1815&lt;25,"20-&lt;25",IF(E1815&lt;35,"25-&lt;35","35+")))))</x:f>
        <x:v>10-&lt;20</x:v>
      </x:c>
    </x:row>
    <x:row r="1816">
      <x:c r="A1816" t="str">
        <x:v>SYN0001815</x:v>
      </x:c>
      <x:c r="B1816" s="12" t="n">
        <x:v>41755</x:v>
      </x:c>
      <x:c r="C1816" s="18" t="n">
        <x:v>7669</x:v>
      </x:c>
      <x:c r="D1816" s="18" t="n">
        <x:v>69896</x:v>
      </x:c>
      <x:c r="E1816" s="18" t="n">
        <x:v>1.1</x:v>
      </x:c>
      <x:c r="F1816" s="18" t="n">
        <x:v>19.8</x:v>
      </x:c>
      <x:c r="G1816" t="n">
        <x:v>60</x:v>
      </x:c>
      <x:c r="H1816" t="str">
        <x:v>E</x:v>
      </x:c>
      <x:c r="I1816" t="str">
        <x:v>4-6 years</x:v>
      </x:c>
      <x:c r="J1816" t="str">
        <x:v>OWN</x:v>
      </x:c>
      <x:c r="K1816" t="str">
        <x:v>credit_card</x:v>
      </x:c>
      <x:c r="L1816" t="n">
        <x:v>0</x:v>
      </x:c>
      <x:c r="M1816" t="n">
        <x:v>0</x:v>
      </x:c>
      <x:c r="N1816" t="str">
        <x:v>Fully Paid</x:v>
      </x:c>
      <x:c r="O1816" t="str">
        <x:f>IF(D1816="","Unknown",IF(D1816&lt;25000,"&lt;$25k",IF(D1816&lt;50000,"$25k-$50k",IF(D1816&lt;75000,"$50k-$75k",IF(D1816&lt;100000,"$75k-$100k","$100k+")))))</x:f>
        <x:v>$50k-$75k</x:v>
      </x:c>
      <x:c r="P1816" t="str">
        <x:f>IF(E1816="","Unknown",IF(E1816&lt;10,"&lt;10",IF(E1816&lt;20,"10-&lt;20",IF(E1816&lt;25,"20-&lt;25",IF(E1816&lt;35,"25-&lt;35","35+")))))</x:f>
        <x:v>&lt;10</x:v>
      </x:c>
    </x:row>
    <x:row r="1817">
      <x:c r="A1817" t="str">
        <x:v>SYN0001816</x:v>
      </x:c>
      <x:c r="B1817" s="12" t="n">
        <x:v>42445</x:v>
      </x:c>
      <x:c r="C1817" s="18" t="n">
        <x:v>32313</x:v>
      </x:c>
      <x:c r="D1817" s="18" t="n">
        <x:v>15064</x:v>
      </x:c>
      <x:c r="E1817" s="18" t="n">
        <x:v>13.23</x:v>
      </x:c>
      <x:c r="F1817" s="18" t="n">
        <x:v>7.4</x:v>
      </x:c>
      <x:c r="G1817" t="n">
        <x:v>36</x:v>
      </x:c>
      <x:c r="H1817" t="str">
        <x:v>A</x:v>
      </x:c>
      <x:c r="I1817" t="str">
        <x:v>1-3 years</x:v>
      </x:c>
      <x:c r="J1817" t="str">
        <x:v>OWN</x:v>
      </x:c>
      <x:c r="K1817" t="str">
        <x:v>debt_consolidation</x:v>
      </x:c>
      <x:c r="L1817" t="n">
        <x:v>0</x:v>
      </x:c>
      <x:c r="M1817" t="n">
        <x:v>0</x:v>
      </x:c>
      <x:c r="N1817" t="str">
        <x:v>Fully Paid</x:v>
      </x:c>
      <x:c r="O1817" t="str">
        <x:f>IF(D1817="","Unknown",IF(D1817&lt;25000,"&lt;$25k",IF(D1817&lt;50000,"$25k-$50k",IF(D1817&lt;75000,"$50k-$75k",IF(D1817&lt;100000,"$75k-$100k","$100k+")))))</x:f>
        <x:v>&lt;$25k</x:v>
      </x:c>
      <x:c r="P1817" t="str">
        <x:f>IF(E1817="","Unknown",IF(E1817&lt;10,"&lt;10",IF(E1817&lt;20,"10-&lt;20",IF(E1817&lt;25,"20-&lt;25",IF(E1817&lt;35,"25-&lt;35","35+")))))</x:f>
        <x:v>10-&lt;20</x:v>
      </x:c>
    </x:row>
    <x:row r="1818">
      <x:c r="A1818" t="str">
        <x:v>SYN0001817</x:v>
      </x:c>
      <x:c r="B1818" s="12" t="n">
        <x:v>42415</x:v>
      </x:c>
      <x:c r="C1818" s="18" t="n">
        <x:v>11760</x:v>
      </x:c>
      <x:c r="D1818" s="18" t="n">
        <x:v>35140</x:v>
      </x:c>
      <x:c r="E1818" s="18" t="n">
        <x:v>28.21</x:v>
      </x:c>
      <x:c r="F1818" s="18" t="n">
        <x:v>6.39</x:v>
      </x:c>
      <x:c r="G1818" t="n">
        <x:v>36</x:v>
      </x:c>
      <x:c r="H1818" t="str">
        <x:v>A</x:v>
      </x:c>
      <x:c r="I1818" t="str">
        <x:v>1-3 years</x:v>
      </x:c>
      <x:c r="J1818" t="str">
        <x:v>RENT</x:v>
      </x:c>
      <x:c r="K1818" t="str">
        <x:v>major_purchase</x:v>
      </x:c>
      <x:c r="L1818" t="n">
        <x:v>0</x:v>
      </x:c>
      <x:c r="M1818" t="n">
        <x:v>0</x:v>
      </x:c>
      <x:c r="N1818" t="str">
        <x:v>Fully Paid</x:v>
      </x:c>
      <x:c r="O1818" t="str">
        <x:f>IF(D1818="","Unknown",IF(D1818&lt;25000,"&lt;$25k",IF(D1818&lt;50000,"$25k-$50k",IF(D1818&lt;75000,"$50k-$75k",IF(D1818&lt;100000,"$75k-$100k","$100k+")))))</x:f>
        <x:v>$25k-$50k</x:v>
      </x:c>
      <x:c r="P1818" t="str">
        <x:f>IF(E1818="","Unknown",IF(E1818&lt;10,"&lt;10",IF(E1818&lt;20,"10-&lt;20",IF(E1818&lt;25,"20-&lt;25",IF(E1818&lt;35,"25-&lt;35","35+")))))</x:f>
        <x:v>25-&lt;35</x:v>
      </x:c>
    </x:row>
    <x:row r="1819">
      <x:c r="A1819" t="str">
        <x:v>SYN0001818</x:v>
      </x:c>
      <x:c r="B1819" s="12" t="n">
        <x:v>42265</x:v>
      </x:c>
      <x:c r="C1819" s="18" t="n">
        <x:v>7194</x:v>
      </x:c>
      <x:c r="D1819" s="18" t="n">
        <x:v>25625</x:v>
      </x:c>
      <x:c r="E1819" s="18" t="n">
        <x:v>14.84</x:v>
      </x:c>
      <x:c r="F1819" s="18" t="n">
        <x:v>6.06</x:v>
      </x:c>
      <x:c r="G1819" t="n">
        <x:v>60</x:v>
      </x:c>
      <x:c r="H1819" t="str">
        <x:v>A</x:v>
      </x:c>
      <x:c r="I1819" t="str">
        <x:v>10+ years</x:v>
      </x:c>
      <x:c r="J1819" t="str">
        <x:v>RENT</x:v>
      </x:c>
      <x:c r="K1819" t="str">
        <x:v>home_improvement</x:v>
      </x:c>
      <x:c r="L1819" t="n">
        <x:v>0</x:v>
      </x:c>
      <x:c r="M1819" t="n">
        <x:v>0</x:v>
      </x:c>
      <x:c r="N1819" t="str">
        <x:v>Fully Paid</x:v>
      </x:c>
      <x:c r="O1819" t="str">
        <x:f>IF(D1819="","Unknown",IF(D1819&lt;25000,"&lt;$25k",IF(D1819&lt;50000,"$25k-$50k",IF(D1819&lt;75000,"$50k-$75k",IF(D1819&lt;100000,"$75k-$100k","$100k+")))))</x:f>
        <x:v>$25k-$50k</x:v>
      </x:c>
      <x:c r="P1819" t="str">
        <x:f>IF(E1819="","Unknown",IF(E1819&lt;10,"&lt;10",IF(E1819&lt;20,"10-&lt;20",IF(E1819&lt;25,"20-&lt;25",IF(E1819&lt;35,"25-&lt;35","35+")))))</x:f>
        <x:v>10-&lt;20</x:v>
      </x:c>
    </x:row>
    <x:row r="1820">
      <x:c r="A1820" t="str">
        <x:v>SYN0001819</x:v>
      </x:c>
      <x:c r="B1820" s="12" t="n">
        <x:v>43285</x:v>
      </x:c>
      <x:c r="C1820" s="18" t="n">
        <x:v>13285</x:v>
      </x:c>
      <x:c r="D1820" s="18" t="n">
        <x:v>26247</x:v>
      </x:c>
      <x:c r="E1820" s="18" t="n">
        <x:v>16.49</x:v>
      </x:c>
      <x:c r="F1820" s="18" t="n">
        <x:v>9.56</x:v>
      </x:c>
      <x:c r="G1820" t="n">
        <x:v>36</x:v>
      </x:c>
      <x:c r="H1820" t="str">
        <x:v>B</x:v>
      </x:c>
      <x:c r="I1820" t="str">
        <x:v>7-9 years</x:v>
      </x:c>
      <x:c r="J1820" t="str">
        <x:v>RENT</x:v>
      </x:c>
      <x:c r="K1820" t="str">
        <x:v>other</x:v>
      </x:c>
      <x:c r="L1820" t="n">
        <x:v>0</x:v>
      </x:c>
      <x:c r="M1820" t="n">
        <x:v>0</x:v>
      </x:c>
      <x:c r="N1820" t="str">
        <x:v>Fully Paid</x:v>
      </x:c>
      <x:c r="O1820" t="str">
        <x:f>IF(D1820="","Unknown",IF(D1820&lt;25000,"&lt;$25k",IF(D1820&lt;50000,"$25k-$50k",IF(D1820&lt;75000,"$50k-$75k",IF(D1820&lt;100000,"$75k-$100k","$100k+")))))</x:f>
        <x:v>$25k-$50k</x:v>
      </x:c>
      <x:c r="P1820" t="str">
        <x:f>IF(E1820="","Unknown",IF(E1820&lt;10,"&lt;10",IF(E1820&lt;20,"10-&lt;20",IF(E1820&lt;25,"20-&lt;25",IF(E1820&lt;35,"25-&lt;35","35+")))))</x:f>
        <x:v>10-&lt;20</x:v>
      </x:c>
    </x:row>
    <x:row r="1821">
      <x:c r="A1821" t="str">
        <x:v>SYN0001820</x:v>
      </x:c>
      <x:c r="B1821" s="12" t="n">
        <x:v>43405</x:v>
      </x:c>
      <x:c r="C1821" s="18" t="n">
        <x:v>15283</x:v>
      </x:c>
      <x:c r="D1821" s="18" t="n">
        <x:v>129136</x:v>
      </x:c>
      <x:c r="E1821" s="18" t="n">
        <x:v>32.66</x:v>
      </x:c>
      <x:c r="F1821" s="18" t="n">
        <x:v>17.57</x:v>
      </x:c>
      <x:c r="G1821" t="n">
        <x:v>36</x:v>
      </x:c>
      <x:c r="H1821" t="str">
        <x:v>E</x:v>
      </x:c>
      <x:c r="I1821" t="str">
        <x:v>10+ years</x:v>
      </x:c>
      <x:c r="J1821" t="str">
        <x:v>RENT</x:v>
      </x:c>
      <x:c r="K1821" t="str">
        <x:v>debt_consolidation</x:v>
      </x:c>
      <x:c r="L1821" t="n">
        <x:v>1</x:v>
      </x:c>
      <x:c r="M1821" t="n">
        <x:v>0</x:v>
      </x:c>
      <x:c r="N1821" t="str">
        <x:v>Fully Paid</x:v>
      </x:c>
      <x:c r="O1821" t="str">
        <x:f>IF(D1821="","Unknown",IF(D1821&lt;25000,"&lt;$25k",IF(D1821&lt;50000,"$25k-$50k",IF(D1821&lt;75000,"$50k-$75k",IF(D1821&lt;100000,"$75k-$100k","$100k+")))))</x:f>
        <x:v>$100k+</x:v>
      </x:c>
      <x:c r="P1821" t="str">
        <x:f>IF(E1821="","Unknown",IF(E1821&lt;10,"&lt;10",IF(E1821&lt;20,"10-&lt;20",IF(E1821&lt;25,"20-&lt;25",IF(E1821&lt;35,"25-&lt;35","35+")))))</x:f>
        <x:v>25-&lt;35</x:v>
      </x:c>
    </x:row>
    <x:row r="1822">
      <x:c r="A1822" t="str">
        <x:v>SYN0001821</x:v>
      </x:c>
      <x:c r="B1822" s="12" t="n">
        <x:v>42565</x:v>
      </x:c>
      <x:c r="C1822" s="18" t="n">
        <x:v>12651</x:v>
      </x:c>
      <x:c r="D1822" s="18" t="n">
        <x:v>55406</x:v>
      </x:c>
      <x:c r="E1822" s="18" t="n">
        <x:v>8.32</x:v>
      </x:c>
      <x:c r="F1822" s="18" t="n">
        <x:v>11.09</x:v>
      </x:c>
      <x:c r="G1822" t="n">
        <x:v>36</x:v>
      </x:c>
      <x:c r="H1822" t="str">
        <x:v>C</x:v>
      </x:c>
      <x:c r="I1822" t="str">
        <x:v>10+ years</x:v>
      </x:c>
      <x:c r="J1822" t="str">
        <x:v>OWN</x:v>
      </x:c>
      <x:c r="K1822" t="str">
        <x:v>debt_consolidation</x:v>
      </x:c>
      <x:c r="L1822" t="n">
        <x:v>1</x:v>
      </x:c>
      <x:c r="M1822" t="n">
        <x:v>0</x:v>
      </x:c>
      <x:c r="N1822" t="str">
        <x:v>Fully Paid</x:v>
      </x:c>
      <x:c r="O1822" t="str">
        <x:f>IF(D1822="","Unknown",IF(D1822&lt;25000,"&lt;$25k",IF(D1822&lt;50000,"$25k-$50k",IF(D1822&lt;75000,"$50k-$75k",IF(D1822&lt;100000,"$75k-$100k","$100k+")))))</x:f>
        <x:v>$50k-$75k</x:v>
      </x:c>
      <x:c r="P1822" t="str">
        <x:f>IF(E1822="","Unknown",IF(E1822&lt;10,"&lt;10",IF(E1822&lt;20,"10-&lt;20",IF(E1822&lt;25,"20-&lt;25",IF(E1822&lt;35,"25-&lt;35","35+")))))</x:f>
        <x:v>&lt;10</x:v>
      </x:c>
    </x:row>
    <x:row r="1823">
      <x:c r="A1823" t="str">
        <x:v>SYN0001822</x:v>
      </x:c>
      <x:c r="B1823" s="12" t="n">
        <x:v>42895</x:v>
      </x:c>
      <x:c r="C1823" s="18" t="n">
        <x:v>34436</x:v>
      </x:c>
      <x:c r="D1823" s="18" t="n">
        <x:v>52376</x:v>
      </x:c>
      <x:c r="E1823" s="18" t="n">
        <x:v>9.81</x:v>
      </x:c>
      <x:c r="F1823" s="18" t="n">
        <x:v>9.13</x:v>
      </x:c>
      <x:c r="G1823" t="n">
        <x:v>60</x:v>
      </x:c>
      <x:c r="H1823" t="str">
        <x:v>B</x:v>
      </x:c>
      <x:c r="I1823" t="str">
        <x:v>4-6 years</x:v>
      </x:c>
      <x:c r="J1823" t="str">
        <x:v>MORTGAGE</x:v>
      </x:c>
      <x:c r="K1823" t="str">
        <x:v>medical</x:v>
      </x:c>
      <x:c r="L1823" t="n">
        <x:v>0</x:v>
      </x:c>
      <x:c r="M1823" t="n">
        <x:v>0</x:v>
      </x:c>
      <x:c r="N1823" t="str">
        <x:v>Fully Paid</x:v>
      </x:c>
      <x:c r="O1823" t="str">
        <x:f>IF(D1823="","Unknown",IF(D1823&lt;25000,"&lt;$25k",IF(D1823&lt;50000,"$25k-$50k",IF(D1823&lt;75000,"$50k-$75k",IF(D1823&lt;100000,"$75k-$100k","$100k+")))))</x:f>
        <x:v>$50k-$75k</x:v>
      </x:c>
      <x:c r="P1823" t="str">
        <x:f>IF(E1823="","Unknown",IF(E1823&lt;10,"&lt;10",IF(E1823&lt;20,"10-&lt;20",IF(E1823&lt;25,"20-&lt;25",IF(E1823&lt;35,"25-&lt;35","35+")))))</x:f>
        <x:v>&lt;10</x:v>
      </x:c>
    </x:row>
    <x:row r="1824">
      <x:c r="A1824" t="str">
        <x:v>SYN0001823</x:v>
      </x:c>
      <x:c r="B1824" s="12" t="n">
        <x:v>42445</x:v>
      </x:c>
      <x:c r="C1824" s="18" t="n">
        <x:v>28319</x:v>
      </x:c>
      <x:c r="D1824" s="18" t="n">
        <x:v>36918</x:v>
      </x:c>
      <x:c r="E1824" s="18" t="n">
        <x:v>25.92</x:v>
      </x:c>
      <x:c r="F1824" s="18" t="n">
        <x:v>10.35</x:v>
      </x:c>
      <x:c r="G1824" t="n">
        <x:v>36</x:v>
      </x:c>
      <x:c r="H1824" t="str">
        <x:v>B</x:v>
      </x:c>
      <x:c r="I1824" t="str">
        <x:v>7-9 years</x:v>
      </x:c>
      <x:c r="J1824" t="str">
        <x:v>RENT</x:v>
      </x:c>
      <x:c r="K1824" t="str">
        <x:v>debt_consolidation</x:v>
      </x:c>
      <x:c r="L1824" t="n">
        <x:v>2</x:v>
      </x:c>
      <x:c r="M1824" t="n">
        <x:v>0</x:v>
      </x:c>
      <x:c r="N1824" t="str">
        <x:v>Fully Paid</x:v>
      </x:c>
      <x:c r="O1824" t="str">
        <x:f>IF(D1824="","Unknown",IF(D1824&lt;25000,"&lt;$25k",IF(D1824&lt;50000,"$25k-$50k",IF(D1824&lt;75000,"$50k-$75k",IF(D1824&lt;100000,"$75k-$100k","$100k+")))))</x:f>
        <x:v>$25k-$50k</x:v>
      </x:c>
      <x:c r="P1824" t="str">
        <x:f>IF(E1824="","Unknown",IF(E1824&lt;10,"&lt;10",IF(E1824&lt;20,"10-&lt;20",IF(E1824&lt;25,"20-&lt;25",IF(E1824&lt;35,"25-&lt;35","35+")))))</x:f>
        <x:v>25-&lt;35</x:v>
      </x:c>
    </x:row>
    <x:row r="1825">
      <x:c r="A1825" t="str">
        <x:v>SYN0001824</x:v>
      </x:c>
      <x:c r="B1825" s="12" t="n">
        <x:v>43075</x:v>
      </x:c>
      <x:c r="C1825" s="18" t="n">
        <x:v>10620</x:v>
      </x:c>
      <x:c r="D1825" s="18" t="n">
        <x:v>102378</x:v>
      </x:c>
      <x:c r="E1825" s="18" t="n">
        <x:v>18.87</x:v>
      </x:c>
      <x:c r="F1825" s="18" t="n">
        <x:v>10.09</x:v>
      </x:c>
      <x:c r="G1825" t="n">
        <x:v>60</x:v>
      </x:c>
      <x:c r="H1825" t="str">
        <x:v>B</x:v>
      </x:c>
      <x:c r="I1825" t="str">
        <x:v>1-3 years</x:v>
      </x:c>
      <x:c r="J1825" t="str">
        <x:v>OWN</x:v>
      </x:c>
      <x:c r="K1825" t="str">
        <x:v>other</x:v>
      </x:c>
      <x:c r="L1825" t="n">
        <x:v>0</x:v>
      </x:c>
      <x:c r="M1825" t="n">
        <x:v>0</x:v>
      </x:c>
      <x:c r="N1825" t="str">
        <x:v>Fully Paid</x:v>
      </x:c>
      <x:c r="O1825" t="str">
        <x:f>IF(D1825="","Unknown",IF(D1825&lt;25000,"&lt;$25k",IF(D1825&lt;50000,"$25k-$50k",IF(D1825&lt;75000,"$50k-$75k",IF(D1825&lt;100000,"$75k-$100k","$100k+")))))</x:f>
        <x:v>$100k+</x:v>
      </x:c>
      <x:c r="P1825" t="str">
        <x:f>IF(E1825="","Unknown",IF(E1825&lt;10,"&lt;10",IF(E1825&lt;20,"10-&lt;20",IF(E1825&lt;25,"20-&lt;25",IF(E1825&lt;35,"25-&lt;35","35+")))))</x:f>
        <x:v>10-&lt;20</x:v>
      </x:c>
    </x:row>
    <x:row r="1826">
      <x:c r="A1826" t="str">
        <x:v>SYN0001825</x:v>
      </x:c>
      <x:c r="B1826" s="12" t="n">
        <x:v>41425</x:v>
      </x:c>
      <x:c r="C1826" s="18" t="n">
        <x:v>14080</x:v>
      </x:c>
      <x:c r="D1826" s="18" t="n">
        <x:v>155835</x:v>
      </x:c>
      <x:c r="E1826" s="18" t="n">
        <x:v>16.2</x:v>
      </x:c>
      <x:c r="F1826" s="18" t="n">
        <x:v>17.07</x:v>
      </x:c>
      <x:c r="G1826" t="n">
        <x:v>36</x:v>
      </x:c>
      <x:c r="H1826" t="str">
        <x:v>E</x:v>
      </x:c>
      <x:c r="I1826" t="str">
        <x:v>4-6 years</x:v>
      </x:c>
      <x:c r="J1826" t="str">
        <x:v>MORTGAGE</x:v>
      </x:c>
      <x:c r="K1826" t="str">
        <x:v>home_improvement</x:v>
      </x:c>
      <x:c r="L1826" t="n">
        <x:v>0</x:v>
      </x:c>
      <x:c r="M1826" t="n">
        <x:v>0</x:v>
      </x:c>
      <x:c r="N1826" t="str">
        <x:v>Fully Paid</x:v>
      </x:c>
      <x:c r="O1826" t="str">
        <x:f>IF(D1826="","Unknown",IF(D1826&lt;25000,"&lt;$25k",IF(D1826&lt;50000,"$25k-$50k",IF(D1826&lt;75000,"$50k-$75k",IF(D1826&lt;100000,"$75k-$100k","$100k+")))))</x:f>
        <x:v>$100k+</x:v>
      </x:c>
      <x:c r="P1826" t="str">
        <x:f>IF(E1826="","Unknown",IF(E1826&lt;10,"&lt;10",IF(E1826&lt;20,"10-&lt;20",IF(E1826&lt;25,"20-&lt;25",IF(E1826&lt;35,"25-&lt;35","35+")))))</x:f>
        <x:v>10-&lt;20</x:v>
      </x:c>
    </x:row>
    <x:row r="1827">
      <x:c r="A1827" t="str">
        <x:v>SYN0001826</x:v>
      </x:c>
      <x:c r="B1827" s="12" t="n">
        <x:v>41305</x:v>
      </x:c>
      <x:c r="C1827" s="18" t="n">
        <x:v>25714</x:v>
      </x:c>
      <x:c r="D1827" s="18" t="n">
        <x:v>37195</x:v>
      </x:c>
      <x:c r="E1827" s="18" t="n">
        <x:v>26.88</x:v>
      </x:c>
      <x:c r="F1827" s="18" t="n">
        <x:v>18.4</x:v>
      </x:c>
      <x:c r="G1827" t="n">
        <x:v>36</x:v>
      </x:c>
      <x:c r="H1827" t="str">
        <x:v>E</x:v>
      </x:c>
      <x:c r="I1827" t="str">
        <x:v>1-3 years</x:v>
      </x:c>
      <x:c r="J1827" t="str">
        <x:v>RENT</x:v>
      </x:c>
      <x:c r="K1827" t="str">
        <x:v>debt_consolidation</x:v>
      </x:c>
      <x:c r="L1827" t="n">
        <x:v>2</x:v>
      </x:c>
      <x:c r="M1827" t="n">
        <x:v>0</x:v>
      </x:c>
      <x:c r="N1827" t="str">
        <x:v>Fully Paid</x:v>
      </x:c>
      <x:c r="O1827" t="str">
        <x:f>IF(D1827="","Unknown",IF(D1827&lt;25000,"&lt;$25k",IF(D1827&lt;50000,"$25k-$50k",IF(D1827&lt;75000,"$50k-$75k",IF(D1827&lt;100000,"$75k-$100k","$100k+")))))</x:f>
        <x:v>$25k-$50k</x:v>
      </x:c>
      <x:c r="P1827" t="str">
        <x:f>IF(E1827="","Unknown",IF(E1827&lt;10,"&lt;10",IF(E1827&lt;20,"10-&lt;20",IF(E1827&lt;25,"20-&lt;25",IF(E1827&lt;35,"25-&lt;35","35+")))))</x:f>
        <x:v>25-&lt;35</x:v>
      </x:c>
    </x:row>
    <x:row r="1828">
      <x:c r="A1828" t="str">
        <x:v>SYN0001827</x:v>
      </x:c>
      <x:c r="B1828" s="12" t="n">
        <x:v>41905</x:v>
      </x:c>
      <x:c r="C1828" s="18" t="n">
        <x:v>22136</x:v>
      </x:c>
      <x:c r="D1828" s="18" t="n">
        <x:v>34493</x:v>
      </x:c>
      <x:c r="E1828" s="18" t="n">
        <x:v>17.05</x:v>
      </x:c>
      <x:c r="F1828" s="18" t="n">
        <x:v>23.3</x:v>
      </x:c>
      <x:c r="G1828" t="n">
        <x:v>36</x:v>
      </x:c>
      <x:c r="H1828" t="str">
        <x:v>G</x:v>
      </x:c>
      <x:c r="I1828" t="str">
        <x:v>10+ years</x:v>
      </x:c>
      <x:c r="J1828" t="str">
        <x:v>MORTGAGE</x:v>
      </x:c>
      <x:c r="K1828" t="str">
        <x:v>other</x:v>
      </x:c>
      <x:c r="L1828" t="n">
        <x:v>0</x:v>
      </x:c>
      <x:c r="M1828" t="n">
        <x:v>0</x:v>
      </x:c>
      <x:c r="N1828" t="str">
        <x:v>Fully Paid</x:v>
      </x:c>
      <x:c r="O1828" t="str">
        <x:f>IF(D1828="","Unknown",IF(D1828&lt;25000,"&lt;$25k",IF(D1828&lt;50000,"$25k-$50k",IF(D1828&lt;75000,"$50k-$75k",IF(D1828&lt;100000,"$75k-$100k","$100k+")))))</x:f>
        <x:v>$25k-$50k</x:v>
      </x:c>
      <x:c r="P1828" t="str">
        <x:f>IF(E1828="","Unknown",IF(E1828&lt;10,"&lt;10",IF(E1828&lt;20,"10-&lt;20",IF(E1828&lt;25,"20-&lt;25",IF(E1828&lt;35,"25-&lt;35","35+")))))</x:f>
        <x:v>10-&lt;20</x:v>
      </x:c>
    </x:row>
    <x:row r="1829">
      <x:c r="A1829" t="str">
        <x:v>SYN0001828</x:v>
      </x:c>
      <x:c r="B1829" s="12" t="n">
        <x:v>43075</x:v>
      </x:c>
      <x:c r="C1829" s="18" t="n">
        <x:v>15263</x:v>
      </x:c>
      <x:c r="D1829" s="18" t="n">
        <x:v>16128</x:v>
      </x:c>
      <x:c r="E1829" s="18" t="n">
        <x:v>22.16</x:v>
      </x:c>
      <x:c r="F1829" s="18" t="n">
        <x:v>17.41</x:v>
      </x:c>
      <x:c r="G1829" t="n">
        <x:v>36</x:v>
      </x:c>
      <x:c r="H1829" t="str">
        <x:v>E</x:v>
      </x:c>
      <x:c r="I1829" t="str">
        <x:v>4-6 years</x:v>
      </x:c>
      <x:c r="J1829" t="str">
        <x:v>RENT</x:v>
      </x:c>
      <x:c r="K1829" t="str">
        <x:v>debt_consolidation</x:v>
      </x:c>
      <x:c r="L1829" t="n">
        <x:v>0</x:v>
      </x:c>
      <x:c r="M1829" t="n">
        <x:v>0</x:v>
      </x:c>
      <x:c r="N1829" t="str">
        <x:v>Fully Paid</x:v>
      </x:c>
      <x:c r="O1829" t="str">
        <x:f>IF(D1829="","Unknown",IF(D1829&lt;25000,"&lt;$25k",IF(D1829&lt;50000,"$25k-$50k",IF(D1829&lt;75000,"$50k-$75k",IF(D1829&lt;100000,"$75k-$100k","$100k+")))))</x:f>
        <x:v>&lt;$25k</x:v>
      </x:c>
      <x:c r="P1829" t="str">
        <x:f>IF(E1829="","Unknown",IF(E1829&lt;10,"&lt;10",IF(E1829&lt;20,"10-&lt;20",IF(E1829&lt;25,"20-&lt;25",IF(E1829&lt;35,"25-&lt;35","35+")))))</x:f>
        <x:v>20-&lt;25</x:v>
      </x:c>
    </x:row>
    <x:row r="1830">
      <x:c r="A1830" t="str">
        <x:v>SYN0001829</x:v>
      </x:c>
      <x:c r="B1830" s="12" t="n">
        <x:v>42055</x:v>
      </x:c>
      <x:c r="C1830" s="18" t="n">
        <x:v>8585</x:v>
      </x:c>
      <x:c r="D1830" s="18" t="n">
        <x:v>50484</x:v>
      </x:c>
      <x:c r="E1830" s="18" t="n">
        <x:v>25.51</x:v>
      </x:c>
      <x:c r="F1830" s="18" t="n">
        <x:v>9.19</x:v>
      </x:c>
      <x:c r="G1830" t="n">
        <x:v>36</x:v>
      </x:c>
      <x:c r="H1830" t="str">
        <x:v>C</x:v>
      </x:c>
      <x:c r="I1830" t="str">
        <x:v>10+ years</x:v>
      </x:c>
      <x:c r="J1830" t="str">
        <x:v>MORTGAGE</x:v>
      </x:c>
      <x:c r="K1830" t="str">
        <x:v>major_purchase</x:v>
      </x:c>
      <x:c r="L1830" t="n">
        <x:v>0</x:v>
      </x:c>
      <x:c r="M1830" t="n">
        <x:v>0</x:v>
      </x:c>
      <x:c r="N1830" t="str">
        <x:v>Fully Paid</x:v>
      </x:c>
      <x:c r="O1830" t="str">
        <x:f>IF(D1830="","Unknown",IF(D1830&lt;25000,"&lt;$25k",IF(D1830&lt;50000,"$25k-$50k",IF(D1830&lt;75000,"$50k-$75k",IF(D1830&lt;100000,"$75k-$100k","$100k+")))))</x:f>
        <x:v>$50k-$75k</x:v>
      </x:c>
      <x:c r="P1830" t="str">
        <x:f>IF(E1830="","Unknown",IF(E1830&lt;10,"&lt;10",IF(E1830&lt;20,"10-&lt;20",IF(E1830&lt;25,"20-&lt;25",IF(E1830&lt;35,"25-&lt;35","35+")))))</x:f>
        <x:v>25-&lt;35</x:v>
      </x:c>
    </x:row>
    <x:row r="1831">
      <x:c r="A1831" t="str">
        <x:v>SYN0001830</x:v>
      </x:c>
      <x:c r="B1831" s="12" t="n">
        <x:v>42775</x:v>
      </x:c>
      <x:c r="C1831" s="18" t="n">
        <x:v>7920</x:v>
      </x:c>
      <x:c r="D1831" s="18" t="n">
        <x:v>48151</x:v>
      </x:c>
      <x:c r="E1831" s="18" t="n">
        <x:v>4.25</x:v>
      </x:c>
      <x:c r="F1831" s="18" t="n">
        <x:v>13.47</x:v>
      </x:c>
      <x:c r="G1831" t="n">
        <x:v>36</x:v>
      </x:c>
      <x:c r="H1831" t="str">
        <x:v>D</x:v>
      </x:c>
      <x:c r="I1831" t="str">
        <x:v>&lt;1 year</x:v>
      </x:c>
      <x:c r="J1831" t="str">
        <x:v>RENT</x:v>
      </x:c>
      <x:c r="K1831" t="str">
        <x:v>home_improvement</x:v>
      </x:c>
      <x:c r="L1831" t="n">
        <x:v>1</x:v>
      </x:c>
      <x:c r="M1831" t="n">
        <x:v>0</x:v>
      </x:c>
      <x:c r="N1831" t="str">
        <x:v>Fully Paid</x:v>
      </x:c>
      <x:c r="O1831" t="str">
        <x:f>IF(D1831="","Unknown",IF(D1831&lt;25000,"&lt;$25k",IF(D1831&lt;50000,"$25k-$50k",IF(D1831&lt;75000,"$50k-$75k",IF(D1831&lt;100000,"$75k-$100k","$100k+")))))</x:f>
        <x:v>$25k-$50k</x:v>
      </x:c>
      <x:c r="P1831" t="str">
        <x:f>IF(E1831="","Unknown",IF(E1831&lt;10,"&lt;10",IF(E1831&lt;20,"10-&lt;20",IF(E1831&lt;25,"20-&lt;25",IF(E1831&lt;35,"25-&lt;35","35+")))))</x:f>
        <x:v>&lt;10</x:v>
      </x:c>
    </x:row>
    <x:row r="1832">
      <x:c r="A1832" t="str">
        <x:v>SYN0001831</x:v>
      </x:c>
      <x:c r="B1832" s="12" t="n">
        <x:v>42475</x:v>
      </x:c>
      <x:c r="C1832" s="18" t="n">
        <x:v>13672</x:v>
      </x:c>
      <x:c r="D1832" s="18" t="n">
        <x:v>64298</x:v>
      </x:c>
      <x:c r="E1832" s="18" t="n">
        <x:v>22.02</x:v>
      </x:c>
      <x:c r="F1832" s="18" t="n">
        <x:v>13.37</x:v>
      </x:c>
      <x:c r="G1832" t="n">
        <x:v>36</x:v>
      </x:c>
      <x:c r="H1832" t="str">
        <x:v>C</x:v>
      </x:c>
      <x:c r="I1832" t="str">
        <x:v>1-3 years</x:v>
      </x:c>
      <x:c r="J1832" t="str">
        <x:v>OTHER</x:v>
      </x:c>
      <x:c r="K1832" t="str">
        <x:v>major_purchase</x:v>
      </x:c>
      <x:c r="L1832" t="n">
        <x:v>2</x:v>
      </x:c>
      <x:c r="M1832" t="n">
        <x:v>0</x:v>
      </x:c>
      <x:c r="N1832" t="str">
        <x:v>Fully Paid</x:v>
      </x:c>
      <x:c r="O1832" t="str">
        <x:f>IF(D1832="","Unknown",IF(D1832&lt;25000,"&lt;$25k",IF(D1832&lt;50000,"$25k-$50k",IF(D1832&lt;75000,"$50k-$75k",IF(D1832&lt;100000,"$75k-$100k","$100k+")))))</x:f>
        <x:v>$50k-$75k</x:v>
      </x:c>
      <x:c r="P1832" t="str">
        <x:f>IF(E1832="","Unknown",IF(E1832&lt;10,"&lt;10",IF(E1832&lt;20,"10-&lt;20",IF(E1832&lt;25,"20-&lt;25",IF(E1832&lt;35,"25-&lt;35","35+")))))</x:f>
        <x:v>20-&lt;25</x:v>
      </x:c>
    </x:row>
    <x:row r="1833">
      <x:c r="A1833" t="str">
        <x:v>SYN0001832</x:v>
      </x:c>
      <x:c r="B1833" s="12" t="n">
        <x:v>43285</x:v>
      </x:c>
      <x:c r="C1833" s="18" t="n">
        <x:v>24573</x:v>
      </x:c>
      <x:c r="D1833" s="18" t="n">
        <x:v>41188</x:v>
      </x:c>
      <x:c r="E1833" s="18" t="n">
        <x:v>16.25</x:v>
      </x:c>
      <x:c r="F1833" s="18" t="n">
        <x:v>14.55</x:v>
      </x:c>
      <x:c r="G1833" t="n">
        <x:v>36</x:v>
      </x:c>
      <x:c r="H1833" t="str">
        <x:v>C</x:v>
      </x:c>
      <x:c r="I1833" t="str">
        <x:v>7-9 years</x:v>
      </x:c>
      <x:c r="J1833" t="str">
        <x:v>RENT</x:v>
      </x:c>
      <x:c r="K1833" t="str">
        <x:v>home_improvement</x:v>
      </x:c>
      <x:c r="L1833" t="n">
        <x:v>1</x:v>
      </x:c>
      <x:c r="M1833" t="n">
        <x:v>0</x:v>
      </x:c>
      <x:c r="N1833" t="str">
        <x:v>Fully Paid</x:v>
      </x:c>
      <x:c r="O1833" t="str">
        <x:f>IF(D1833="","Unknown",IF(D1833&lt;25000,"&lt;$25k",IF(D1833&lt;50000,"$25k-$50k",IF(D1833&lt;75000,"$50k-$75k",IF(D1833&lt;100000,"$75k-$100k","$100k+")))))</x:f>
        <x:v>$25k-$50k</x:v>
      </x:c>
      <x:c r="P1833" t="str">
        <x:f>IF(E1833="","Unknown",IF(E1833&lt;10,"&lt;10",IF(E1833&lt;20,"10-&lt;20",IF(E1833&lt;25,"20-&lt;25",IF(E1833&lt;35,"25-&lt;35","35+")))))</x:f>
        <x:v>10-&lt;20</x:v>
      </x:c>
    </x:row>
    <x:row r="1834">
      <x:c r="A1834" t="str">
        <x:v>SYN0001833</x:v>
      </x:c>
      <x:c r="B1834" s="12" t="n">
        <x:v>41515</x:v>
      </x:c>
      <x:c r="C1834" s="18" t="n">
        <x:v>22817</x:v>
      </x:c>
      <x:c r="D1834" s="18" t="n">
        <x:v>30695</x:v>
      </x:c>
      <x:c r="E1834" s="18" t="n">
        <x:v>19.59</x:v>
      </x:c>
      <x:c r="F1834" s="18" t="n">
        <x:v>9.79</x:v>
      </x:c>
      <x:c r="G1834" t="n">
        <x:v>36</x:v>
      </x:c>
      <x:c r="H1834" t="str">
        <x:v>A</x:v>
      </x:c>
      <x:c r="I1834" t="str">
        <x:v>10+ years</x:v>
      </x:c>
      <x:c r="J1834" t="str">
        <x:v>OWN</x:v>
      </x:c>
      <x:c r="K1834" t="str">
        <x:v>medical</x:v>
      </x:c>
      <x:c r="L1834" t="n">
        <x:v>0</x:v>
      </x:c>
      <x:c r="M1834" t="n">
        <x:v>0</x:v>
      </x:c>
      <x:c r="N1834" t="str">
        <x:v>Fully Paid</x:v>
      </x:c>
      <x:c r="O1834" t="str">
        <x:f>IF(D1834="","Unknown",IF(D1834&lt;25000,"&lt;$25k",IF(D1834&lt;50000,"$25k-$50k",IF(D1834&lt;75000,"$50k-$75k",IF(D1834&lt;100000,"$75k-$100k","$100k+")))))</x:f>
        <x:v>$25k-$50k</x:v>
      </x:c>
      <x:c r="P1834" t="str">
        <x:f>IF(E1834="","Unknown",IF(E1834&lt;10,"&lt;10",IF(E1834&lt;20,"10-&lt;20",IF(E1834&lt;25,"20-&lt;25",IF(E1834&lt;35,"25-&lt;35","35+")))))</x:f>
        <x:v>10-&lt;20</x:v>
      </x:c>
    </x:row>
    <x:row r="1835">
      <x:c r="A1835" t="str">
        <x:v>SYN0001834</x:v>
      </x:c>
      <x:c r="B1835" s="12" t="n">
        <x:v>41995</x:v>
      </x:c>
      <x:c r="C1835" s="18" t="n">
        <x:v>11289</x:v>
      </x:c>
      <x:c r="D1835" s="18" t="n">
        <x:v>129096</x:v>
      </x:c>
      <x:c r="E1835" s="18" t="n">
        <x:v>31.81</x:v>
      </x:c>
      <x:c r="F1835" s="18" t="n">
        <x:v>8.85</x:v>
      </x:c>
      <x:c r="G1835" t="n">
        <x:v>36</x:v>
      </x:c>
      <x:c r="H1835" t="str">
        <x:v>C</x:v>
      </x:c>
      <x:c r="I1835" t="str">
        <x:v>4-6 years</x:v>
      </x:c>
      <x:c r="J1835" t="str">
        <x:v>RENT</x:v>
      </x:c>
      <x:c r="K1835" t="str">
        <x:v>home_improvement</x:v>
      </x:c>
      <x:c r="L1835" t="n">
        <x:v>0</x:v>
      </x:c>
      <x:c r="M1835" t="n">
        <x:v>0</x:v>
      </x:c>
      <x:c r="N1835" t="str">
        <x:v>Fully Paid</x:v>
      </x:c>
      <x:c r="O1835" t="str">
        <x:f>IF(D1835="","Unknown",IF(D1835&lt;25000,"&lt;$25k",IF(D1835&lt;50000,"$25k-$50k",IF(D1835&lt;75000,"$50k-$75k",IF(D1835&lt;100000,"$75k-$100k","$100k+")))))</x:f>
        <x:v>$100k+</x:v>
      </x:c>
      <x:c r="P1835" t="str">
        <x:f>IF(E1835="","Unknown",IF(E1835&lt;10,"&lt;10",IF(E1835&lt;20,"10-&lt;20",IF(E1835&lt;25,"20-&lt;25",IF(E1835&lt;35,"25-&lt;35","35+")))))</x:f>
        <x:v>25-&lt;35</x:v>
      </x:c>
    </x:row>
    <x:row r="1836">
      <x:c r="A1836" t="str">
        <x:v>SYN0001835</x:v>
      </x:c>
      <x:c r="B1836" s="12" t="n">
        <x:v>42835</x:v>
      </x:c>
      <x:c r="C1836" s="18" t="n">
        <x:v>12816</x:v>
      </x:c>
      <x:c r="D1836" s="18" t="n">
        <x:v>26304</x:v>
      </x:c>
      <x:c r="E1836" s="18" t="n">
        <x:v>14.72</x:v>
      </x:c>
      <x:c r="F1836" s="18" t="n">
        <x:v>14.48</x:v>
      </x:c>
      <x:c r="G1836" t="n">
        <x:v>60</x:v>
      </x:c>
      <x:c r="H1836" t="str">
        <x:v>D</x:v>
      </x:c>
      <x:c r="I1836" t="str">
        <x:v>10+ years</x:v>
      </x:c>
      <x:c r="J1836" t="str">
        <x:v>OWN</x:v>
      </x:c>
      <x:c r="K1836" t="str">
        <x:v>credit_card</x:v>
      </x:c>
      <x:c r="L1836" t="n">
        <x:v>1</x:v>
      </x:c>
      <x:c r="M1836" t="n">
        <x:v>0</x:v>
      </x:c>
      <x:c r="N1836" t="str">
        <x:v>Fully Paid</x:v>
      </x:c>
      <x:c r="O1836" t="str">
        <x:f>IF(D1836="","Unknown",IF(D1836&lt;25000,"&lt;$25k",IF(D1836&lt;50000,"$25k-$50k",IF(D1836&lt;75000,"$50k-$75k",IF(D1836&lt;100000,"$75k-$100k","$100k+")))))</x:f>
        <x:v>$25k-$50k</x:v>
      </x:c>
      <x:c r="P1836" t="str">
        <x:f>IF(E1836="","Unknown",IF(E1836&lt;10,"&lt;10",IF(E1836&lt;20,"10-&lt;20",IF(E1836&lt;25,"20-&lt;25",IF(E1836&lt;35,"25-&lt;35","35+")))))</x:f>
        <x:v>10-&lt;20</x:v>
      </x:c>
    </x:row>
    <x:row r="1837">
      <x:c r="A1837" t="str">
        <x:v>SYN0001836</x:v>
      </x:c>
      <x:c r="B1837" s="12" t="n">
        <x:v>42355</x:v>
      </x:c>
      <x:c r="C1837" s="18" t="n">
        <x:v>4365</x:v>
      </x:c>
      <x:c r="D1837" s="18" t="n">
        <x:v>29762</x:v>
      </x:c>
      <x:c r="E1837" s="18" t="n">
        <x:v>18.23</x:v>
      </x:c>
      <x:c r="F1837" s="18" t="n">
        <x:v>25.47</x:v>
      </x:c>
      <x:c r="G1837" t="n">
        <x:v>36</x:v>
      </x:c>
      <x:c r="H1837" t="str">
        <x:v>G</x:v>
      </x:c>
      <x:c r="I1837" t="str">
        <x:v>4-6 years</x:v>
      </x:c>
      <x:c r="J1837" t="str">
        <x:v>RENT</x:v>
      </x:c>
      <x:c r="K1837" t="str">
        <x:v>credit_card</x:v>
      </x:c>
      <x:c r="L1837" t="n">
        <x:v>1</x:v>
      </x:c>
      <x:c r="M1837" t="n">
        <x:v>0</x:v>
      </x:c>
      <x:c r="N1837" t="str">
        <x:v>Fully Paid</x:v>
      </x:c>
      <x:c r="O1837" t="str">
        <x:f>IF(D1837="","Unknown",IF(D1837&lt;25000,"&lt;$25k",IF(D1837&lt;50000,"$25k-$50k",IF(D1837&lt;75000,"$50k-$75k",IF(D1837&lt;100000,"$75k-$100k","$100k+")))))</x:f>
        <x:v>$25k-$50k</x:v>
      </x:c>
      <x:c r="P1837" t="str">
        <x:f>IF(E1837="","Unknown",IF(E1837&lt;10,"&lt;10",IF(E1837&lt;20,"10-&lt;20",IF(E1837&lt;25,"20-&lt;25",IF(E1837&lt;35,"25-&lt;35","35+")))))</x:f>
        <x:v>10-&lt;20</x:v>
      </x:c>
    </x:row>
    <x:row r="1838">
      <x:c r="A1838" t="str">
        <x:v>SYN0001837</x:v>
      </x:c>
      <x:c r="B1838" s="12" t="n">
        <x:v>41395</x:v>
      </x:c>
      <x:c r="C1838" s="18" t="n">
        <x:v>12305</x:v>
      </x:c>
      <x:c r="D1838" s="18" t="n">
        <x:v>97859</x:v>
      </x:c>
      <x:c r="E1838" s="18" t="n">
        <x:v>22.25</x:v>
      </x:c>
      <x:c r="F1838" s="18" t="n">
        <x:v>20.59</x:v>
      </x:c>
      <x:c r="G1838" t="n">
        <x:v>60</x:v>
      </x:c>
      <x:c r="H1838" t="str">
        <x:v>E</x:v>
      </x:c>
      <x:c r="I1838" t="str">
        <x:v>7-9 years</x:v>
      </x:c>
      <x:c r="J1838" t="str">
        <x:v>MORTGAGE</x:v>
      </x:c>
      <x:c r="K1838" t="str">
        <x:v>credit_card</x:v>
      </x:c>
      <x:c r="L1838" t="n">
        <x:v>0</x:v>
      </x:c>
      <x:c r="M1838" t="n">
        <x:v>1</x:v>
      </x:c>
      <x:c r="N1838" t="str">
        <x:v>Charged Off</x:v>
      </x:c>
      <x:c r="O1838" t="str">
        <x:f>IF(D1838="","Unknown",IF(D1838&lt;25000,"&lt;$25k",IF(D1838&lt;50000,"$25k-$50k",IF(D1838&lt;75000,"$50k-$75k",IF(D1838&lt;100000,"$75k-$100k","$100k+")))))</x:f>
        <x:v>$75k-$100k</x:v>
      </x:c>
      <x:c r="P1838" t="str">
        <x:f>IF(E1838="","Unknown",IF(E1838&lt;10,"&lt;10",IF(E1838&lt;20,"10-&lt;20",IF(E1838&lt;25,"20-&lt;25",IF(E1838&lt;35,"25-&lt;35","35+")))))</x:f>
        <x:v>20-&lt;25</x:v>
      </x:c>
    </x:row>
    <x:row r="1839">
      <x:c r="A1839" t="str">
        <x:v>SYN0001838</x:v>
      </x:c>
      <x:c r="B1839" s="12" t="n">
        <x:v>41485</x:v>
      </x:c>
      <x:c r="C1839" s="18" t="n">
        <x:v>12044</x:v>
      </x:c>
      <x:c r="D1839" s="18" t="n">
        <x:v>60275</x:v>
      </x:c>
      <x:c r="E1839" s="18" t="n">
        <x:v>19.48</x:v>
      </x:c>
      <x:c r="F1839" s="18" t="n">
        <x:v>9.97</x:v>
      </x:c>
      <x:c r="G1839" t="n">
        <x:v>36</x:v>
      </x:c>
      <x:c r="H1839" t="str">
        <x:v>C</x:v>
      </x:c>
      <x:c r="I1839" t="str">
        <x:v>4-6 years</x:v>
      </x:c>
      <x:c r="J1839" t="str">
        <x:v>RENT</x:v>
      </x:c>
      <x:c r="K1839" t="str">
        <x:v>debt_consolidation</x:v>
      </x:c>
      <x:c r="L1839" t="n">
        <x:v>0</x:v>
      </x:c>
      <x:c r="M1839" t="n">
        <x:v>0</x:v>
      </x:c>
      <x:c r="N1839" t="str">
        <x:v>Fully Paid</x:v>
      </x:c>
      <x:c r="O1839" t="str">
        <x:f>IF(D1839="","Unknown",IF(D1839&lt;25000,"&lt;$25k",IF(D1839&lt;50000,"$25k-$50k",IF(D1839&lt;75000,"$50k-$75k",IF(D1839&lt;100000,"$75k-$100k","$100k+")))))</x:f>
        <x:v>$50k-$75k</x:v>
      </x:c>
      <x:c r="P1839" t="str">
        <x:f>IF(E1839="","Unknown",IF(E1839&lt;10,"&lt;10",IF(E1839&lt;20,"10-&lt;20",IF(E1839&lt;25,"20-&lt;25",IF(E1839&lt;35,"25-&lt;35","35+")))))</x:f>
        <x:v>10-&lt;20</x:v>
      </x:c>
    </x:row>
    <x:row r="1840">
      <x:c r="A1840" t="str">
        <x:v>SYN0001839</x:v>
      </x:c>
      <x:c r="B1840" s="12" t="n">
        <x:v>41455</x:v>
      </x:c>
      <x:c r="C1840" s="18" t="n">
        <x:v>21853</x:v>
      </x:c>
      <x:c r="D1840" s="18" t="n">
        <x:v>73947</x:v>
      </x:c>
      <x:c r="E1840" s="18" t="n">
        <x:v>13.67</x:v>
      </x:c>
      <x:c r="F1840" s="18" t="n">
        <x:v>11.11</x:v>
      </x:c>
      <x:c r="G1840" t="n">
        <x:v>36</x:v>
      </x:c>
      <x:c r="H1840" t="str">
        <x:v>C</x:v>
      </x:c>
      <x:c r="I1840" t="str">
        <x:v>7-9 years</x:v>
      </x:c>
      <x:c r="J1840" t="str">
        <x:v>RENT</x:v>
      </x:c>
      <x:c r="K1840" t="str">
        <x:v>debt_consolidation</x:v>
      </x:c>
      <x:c r="L1840" t="n">
        <x:v>0</x:v>
      </x:c>
      <x:c r="M1840" t="n">
        <x:v>0</x:v>
      </x:c>
      <x:c r="N1840" t="str">
        <x:v>Fully Paid</x:v>
      </x:c>
      <x:c r="O1840" t="str">
        <x:f>IF(D1840="","Unknown",IF(D1840&lt;25000,"&lt;$25k",IF(D1840&lt;50000,"$25k-$50k",IF(D1840&lt;75000,"$50k-$75k",IF(D1840&lt;100000,"$75k-$100k","$100k+")))))</x:f>
        <x:v>$50k-$75k</x:v>
      </x:c>
      <x:c r="P1840" t="str">
        <x:f>IF(E1840="","Unknown",IF(E1840&lt;10,"&lt;10",IF(E1840&lt;20,"10-&lt;20",IF(E1840&lt;25,"20-&lt;25",IF(E1840&lt;35,"25-&lt;35","35+")))))</x:f>
        <x:v>10-&lt;20</x:v>
      </x:c>
    </x:row>
    <x:row r="1841">
      <x:c r="A1841" t="str">
        <x:v>SYN0001840</x:v>
      </x:c>
      <x:c r="B1841" s="12" t="n">
        <x:v>43375</x:v>
      </x:c>
      <x:c r="C1841" s="18" t="n">
        <x:v>11262</x:v>
      </x:c>
      <x:c r="D1841" s="18" t="n">
        <x:v>88124</x:v>
      </x:c>
      <x:c r="E1841" s="18" t="n">
        <x:v>14.19</x:v>
      </x:c>
      <x:c r="F1841" s="18" t="n">
        <x:v>6.6</x:v>
      </x:c>
      <x:c r="G1841" t="n">
        <x:v>36</x:v>
      </x:c>
      <x:c r="H1841" t="str">
        <x:v>B</x:v>
      </x:c>
      <x:c r="I1841" t="str">
        <x:v>10+ years</x:v>
      </x:c>
      <x:c r="J1841" t="str">
        <x:v>RENT</x:v>
      </x:c>
      <x:c r="K1841" t="str">
        <x:v>debt_consolidation</x:v>
      </x:c>
      <x:c r="L1841" t="n">
        <x:v>0</x:v>
      </x:c>
      <x:c r="M1841" t="n">
        <x:v>0</x:v>
      </x:c>
      <x:c r="N1841" t="str">
        <x:v>Fully Paid</x:v>
      </x:c>
      <x:c r="O1841" t="str">
        <x:f>IF(D1841="","Unknown",IF(D1841&lt;25000,"&lt;$25k",IF(D1841&lt;50000,"$25k-$50k",IF(D1841&lt;75000,"$50k-$75k",IF(D1841&lt;100000,"$75k-$100k","$100k+")))))</x:f>
        <x:v>$75k-$100k</x:v>
      </x:c>
      <x:c r="P1841" t="str">
        <x:f>IF(E1841="","Unknown",IF(E1841&lt;10,"&lt;10",IF(E1841&lt;20,"10-&lt;20",IF(E1841&lt;25,"20-&lt;25",IF(E1841&lt;35,"25-&lt;35","35+")))))</x:f>
        <x:v>10-&lt;20</x:v>
      </x:c>
    </x:row>
    <x:row r="1842">
      <x:c r="A1842" t="str">
        <x:v>SYN0001841</x:v>
      </x:c>
      <x:c r="B1842" s="12" t="n">
        <x:v>43045</x:v>
      </x:c>
      <x:c r="C1842" s="18" t="n">
        <x:v>7943</x:v>
      </x:c>
      <x:c r="D1842" s="18" t="n">
        <x:v>52004</x:v>
      </x:c>
      <x:c r="E1842" s="18" t="n">
        <x:v>11.16</x:v>
      </x:c>
      <x:c r="F1842" s="18" t="n">
        <x:v>8.16</x:v>
      </x:c>
      <x:c r="G1842" t="n">
        <x:v>60</x:v>
      </x:c>
      <x:c r="H1842" t="str">
        <x:v>A</x:v>
      </x:c>
      <x:c r="I1842" t="str">
        <x:v>1-3 years</x:v>
      </x:c>
      <x:c r="J1842" t="str">
        <x:v>OWN</x:v>
      </x:c>
      <x:c r="K1842" t="str">
        <x:v>major_purchase</x:v>
      </x:c>
      <x:c r="L1842" t="n">
        <x:v>0</x:v>
      </x:c>
      <x:c r="M1842" t="n">
        <x:v>0</x:v>
      </x:c>
      <x:c r="N1842" t="str">
        <x:v>Fully Paid</x:v>
      </x:c>
      <x:c r="O1842" t="str">
        <x:f>IF(D1842="","Unknown",IF(D1842&lt;25000,"&lt;$25k",IF(D1842&lt;50000,"$25k-$50k",IF(D1842&lt;75000,"$50k-$75k",IF(D1842&lt;100000,"$75k-$100k","$100k+")))))</x:f>
        <x:v>$50k-$75k</x:v>
      </x:c>
      <x:c r="P1842" t="str">
        <x:f>IF(E1842="","Unknown",IF(E1842&lt;10,"&lt;10",IF(E1842&lt;20,"10-&lt;20",IF(E1842&lt;25,"20-&lt;25",IF(E1842&lt;35,"25-&lt;35","35+")))))</x:f>
        <x:v>10-&lt;20</x:v>
      </x:c>
    </x:row>
    <x:row r="1843">
      <x:c r="A1843" t="str">
        <x:v>SYN0001842</x:v>
      </x:c>
      <x:c r="B1843" s="12" t="n">
        <x:v>42265</x:v>
      </x:c>
      <x:c r="C1843" s="18" t="n">
        <x:v>5577</x:v>
      </x:c>
      <x:c r="D1843" s="18" t="n">
        <x:v>37315</x:v>
      </x:c>
      <x:c r="E1843" s="18" t="n">
        <x:v>26.42</x:v>
      </x:c>
      <x:c r="F1843" s="18" t="n">
        <x:v>7.8</x:v>
      </x:c>
      <x:c r="G1843" t="n">
        <x:v>36</x:v>
      </x:c>
      <x:c r="H1843" t="str">
        <x:v>A</x:v>
      </x:c>
      <x:c r="I1843" t="str">
        <x:v>1-3 years</x:v>
      </x:c>
      <x:c r="J1843" t="str">
        <x:v>MORTGAGE</x:v>
      </x:c>
      <x:c r="K1843" t="str">
        <x:v>credit_card</x:v>
      </x:c>
      <x:c r="L1843" t="n">
        <x:v>0</x:v>
      </x:c>
      <x:c r="M1843" t="n">
        <x:v>0</x:v>
      </x:c>
      <x:c r="N1843" t="str">
        <x:v>Fully Paid</x:v>
      </x:c>
      <x:c r="O1843" t="str">
        <x:f>IF(D1843="","Unknown",IF(D1843&lt;25000,"&lt;$25k",IF(D1843&lt;50000,"$25k-$50k",IF(D1843&lt;75000,"$50k-$75k",IF(D1843&lt;100000,"$75k-$100k","$100k+")))))</x:f>
        <x:v>$25k-$50k</x:v>
      </x:c>
      <x:c r="P1843" t="str">
        <x:f>IF(E1843="","Unknown",IF(E1843&lt;10,"&lt;10",IF(E1843&lt;20,"10-&lt;20",IF(E1843&lt;25,"20-&lt;25",IF(E1843&lt;35,"25-&lt;35","35+")))))</x:f>
        <x:v>25-&lt;35</x:v>
      </x:c>
    </x:row>
    <x:row r="1844">
      <x:c r="A1844" t="str">
        <x:v>SYN0001843</x:v>
      </x:c>
      <x:c r="B1844" s="12" t="n">
        <x:v>42715</x:v>
      </x:c>
      <x:c r="C1844" s="18" t="n">
        <x:v>5823</x:v>
      </x:c>
      <x:c r="D1844" s="18" t="n">
        <x:v>42693</x:v>
      </x:c>
      <x:c r="E1844" s="18" t="n">
        <x:v>3.1</x:v>
      </x:c>
      <x:c r="F1844" s="18" t="n">
        <x:v>8.84</x:v>
      </x:c>
      <x:c r="G1844" t="n">
        <x:v>36</x:v>
      </x:c>
      <x:c r="H1844" t="str">
        <x:v>B</x:v>
      </x:c>
      <x:c r="I1844" t="str">
        <x:v>7-9 years</x:v>
      </x:c>
      <x:c r="J1844" t="str">
        <x:v>RENT</x:v>
      </x:c>
      <x:c r="K1844" t="str">
        <x:v>debt_consolidation</x:v>
      </x:c>
      <x:c r="L1844" t="n">
        <x:v>0</x:v>
      </x:c>
      <x:c r="M1844" t="n">
        <x:v>0</x:v>
      </x:c>
      <x:c r="N1844" t="str">
        <x:v>Fully Paid</x:v>
      </x:c>
      <x:c r="O1844" t="str">
        <x:f>IF(D1844="","Unknown",IF(D1844&lt;25000,"&lt;$25k",IF(D1844&lt;50000,"$25k-$50k",IF(D1844&lt;75000,"$50k-$75k",IF(D1844&lt;100000,"$75k-$100k","$100k+")))))</x:f>
        <x:v>$25k-$50k</x:v>
      </x:c>
      <x:c r="P1844" t="str">
        <x:f>IF(E1844="","Unknown",IF(E1844&lt;10,"&lt;10",IF(E1844&lt;20,"10-&lt;20",IF(E1844&lt;25,"20-&lt;25",IF(E1844&lt;35,"25-&lt;35","35+")))))</x:f>
        <x:v>&lt;10</x:v>
      </x:c>
    </x:row>
    <x:row r="1845">
      <x:c r="A1845" t="str">
        <x:v>SYN0001844</x:v>
      </x:c>
      <x:c r="B1845" s="12" t="n">
        <x:v>41425</x:v>
      </x:c>
      <x:c r="C1845" s="18" t="n">
        <x:v>11809</x:v>
      </x:c>
      <x:c r="D1845" s="18" t="n">
        <x:v>28366</x:v>
      </x:c>
      <x:c r="E1845" s="18" t="n">
        <x:v>35.14</x:v>
      </x:c>
      <x:c r="F1845" s="18" t="n">
        <x:v>13.87</x:v>
      </x:c>
      <x:c r="G1845" t="n">
        <x:v>60</x:v>
      </x:c>
      <x:c r="H1845" t="str">
        <x:v>D</x:v>
      </x:c>
      <x:c r="I1845" t="str">
        <x:v>1-3 years</x:v>
      </x:c>
      <x:c r="J1845" t="str">
        <x:v>OWN</x:v>
      </x:c>
      <x:c r="K1845" t="str">
        <x:v>other</x:v>
      </x:c>
      <x:c r="L1845" t="n">
        <x:v>0</x:v>
      </x:c>
      <x:c r="M1845" t="n">
        <x:v>0</x:v>
      </x:c>
      <x:c r="N1845" t="str">
        <x:v>Fully Paid</x:v>
      </x:c>
      <x:c r="O1845" t="str">
        <x:f>IF(D1845="","Unknown",IF(D1845&lt;25000,"&lt;$25k",IF(D1845&lt;50000,"$25k-$50k",IF(D1845&lt;75000,"$50k-$75k",IF(D1845&lt;100000,"$75k-$100k","$100k+")))))</x:f>
        <x:v>$25k-$50k</x:v>
      </x:c>
      <x:c r="P1845" t="str">
        <x:f>IF(E1845="","Unknown",IF(E1845&lt;10,"&lt;10",IF(E1845&lt;20,"10-&lt;20",IF(E1845&lt;25,"20-&lt;25",IF(E1845&lt;35,"25-&lt;35","35+")))))</x:f>
        <x:v>35+</x:v>
      </x:c>
    </x:row>
    <x:row r="1846">
      <x:c r="A1846" t="str">
        <x:v>SYN0001845</x:v>
      </x:c>
      <x:c r="B1846" s="12" t="n">
        <x:v>41965</x:v>
      </x:c>
      <x:c r="C1846" s="18" t="n">
        <x:v>18198</x:v>
      </x:c>
      <x:c r="D1846" s="18" t="n">
        <x:v>83938</x:v>
      </x:c>
      <x:c r="E1846" s="18" t="n">
        <x:v>24.58</x:v>
      </x:c>
      <x:c r="F1846" s="18" t="n">
        <x:v>11.32</x:v>
      </x:c>
      <x:c r="G1846" t="n">
        <x:v>36</x:v>
      </x:c>
      <x:c r="H1846" t="str">
        <x:v>C</x:v>
      </x:c>
      <x:c r="I1846" t="str">
        <x:v>10+ years</x:v>
      </x:c>
      <x:c r="J1846" t="str">
        <x:v>RENT</x:v>
      </x:c>
      <x:c r="K1846" t="str">
        <x:v>credit_card</x:v>
      </x:c>
      <x:c r="L1846" t="n">
        <x:v>0</x:v>
      </x:c>
      <x:c r="M1846" t="n">
        <x:v>0</x:v>
      </x:c>
      <x:c r="N1846" t="str">
        <x:v>Fully Paid</x:v>
      </x:c>
      <x:c r="O1846" t="str">
        <x:f>IF(D1846="","Unknown",IF(D1846&lt;25000,"&lt;$25k",IF(D1846&lt;50000,"$25k-$50k",IF(D1846&lt;75000,"$50k-$75k",IF(D1846&lt;100000,"$75k-$100k","$100k+")))))</x:f>
        <x:v>$75k-$100k</x:v>
      </x:c>
      <x:c r="P1846" t="str">
        <x:f>IF(E1846="","Unknown",IF(E1846&lt;10,"&lt;10",IF(E1846&lt;20,"10-&lt;20",IF(E1846&lt;25,"20-&lt;25",IF(E1846&lt;35,"25-&lt;35","35+")))))</x:f>
        <x:v>20-&lt;25</x:v>
      </x:c>
    </x:row>
    <x:row r="1847">
      <x:c r="A1847" t="str">
        <x:v>SYN0001846</x:v>
      </x:c>
      <x:c r="B1847" s="12" t="n">
        <x:v>41425</x:v>
      </x:c>
      <x:c r="C1847" s="18" t="n">
        <x:v>15068</x:v>
      </x:c>
      <x:c r="D1847" s="18" t="n">
        <x:v>154718</x:v>
      </x:c>
      <x:c r="E1847" s="18" t="n">
        <x:v>29.21</x:v>
      </x:c>
      <x:c r="F1847" s="18" t="n">
        <x:v>17.26</x:v>
      </x:c>
      <x:c r="G1847" t="n">
        <x:v>36</x:v>
      </x:c>
      <x:c r="H1847" t="str">
        <x:v>E</x:v>
      </x:c>
      <x:c r="I1847" t="str">
        <x:v>7-9 years</x:v>
      </x:c>
      <x:c r="J1847" t="str">
        <x:v>OWN</x:v>
      </x:c>
      <x:c r="K1847" t="str">
        <x:v>debt_consolidation</x:v>
      </x:c>
      <x:c r="L1847" t="n">
        <x:v>0</x:v>
      </x:c>
      <x:c r="M1847" t="n">
        <x:v>0</x:v>
      </x:c>
      <x:c r="N1847" t="str">
        <x:v>Fully Paid</x:v>
      </x:c>
      <x:c r="O1847" t="str">
        <x:f>IF(D1847="","Unknown",IF(D1847&lt;25000,"&lt;$25k",IF(D1847&lt;50000,"$25k-$50k",IF(D1847&lt;75000,"$50k-$75k",IF(D1847&lt;100000,"$75k-$100k","$100k+")))))</x:f>
        <x:v>$100k+</x:v>
      </x:c>
      <x:c r="P1847" t="str">
        <x:f>IF(E1847="","Unknown",IF(E1847&lt;10,"&lt;10",IF(E1847&lt;20,"10-&lt;20",IF(E1847&lt;25,"20-&lt;25",IF(E1847&lt;35,"25-&lt;35","35+")))))</x:f>
        <x:v>25-&lt;35</x:v>
      </x:c>
    </x:row>
    <x:row r="1848">
      <x:c r="A1848" t="str">
        <x:v>SYN0001847</x:v>
      </x:c>
      <x:c r="B1848" s="12" t="n">
        <x:v>41275</x:v>
      </x:c>
      <x:c r="C1848" s="18" t="n">
        <x:v>15493</x:v>
      </x:c>
      <x:c r="D1848" s="18" t="n">
        <x:v>46609</x:v>
      </x:c>
      <x:c r="E1848" s="18" t="n">
        <x:v>18.97</x:v>
      </x:c>
      <x:c r="F1848" s="18" t="n">
        <x:v>14.32</x:v>
      </x:c>
      <x:c r="G1848" t="n">
        <x:v>36</x:v>
      </x:c>
      <x:c r="H1848" t="str">
        <x:v>D</x:v>
      </x:c>
      <x:c r="I1848" t="str">
        <x:v>4-6 years</x:v>
      </x:c>
      <x:c r="J1848" t="str">
        <x:v>MORTGAGE</x:v>
      </x:c>
      <x:c r="K1848" t="str">
        <x:v>debt_consolidation</x:v>
      </x:c>
      <x:c r="L1848" t="n">
        <x:v>2</x:v>
      </x:c>
      <x:c r="M1848" t="n">
        <x:v>0</x:v>
      </x:c>
      <x:c r="N1848" t="str">
        <x:v>Fully Paid</x:v>
      </x:c>
      <x:c r="O1848" t="str">
        <x:f>IF(D1848="","Unknown",IF(D1848&lt;25000,"&lt;$25k",IF(D1848&lt;50000,"$25k-$50k",IF(D1848&lt;75000,"$50k-$75k",IF(D1848&lt;100000,"$75k-$100k","$100k+")))))</x:f>
        <x:v>$25k-$50k</x:v>
      </x:c>
      <x:c r="P1848" t="str">
        <x:f>IF(E1848="","Unknown",IF(E1848&lt;10,"&lt;10",IF(E1848&lt;20,"10-&lt;20",IF(E1848&lt;25,"20-&lt;25",IF(E1848&lt;35,"25-&lt;35","35+")))))</x:f>
        <x:v>10-&lt;20</x:v>
      </x:c>
    </x:row>
    <x:row r="1849">
      <x:c r="A1849" t="str">
        <x:v>SYN0001848</x:v>
      </x:c>
      <x:c r="B1849" s="12" t="n">
        <x:v>41335</x:v>
      </x:c>
      <x:c r="C1849" s="18" t="n">
        <x:v>17710</x:v>
      </x:c>
      <x:c r="D1849" s="18" t="n">
        <x:v>26114</x:v>
      </x:c>
      <x:c r="E1849" s="18" t="n">
        <x:v>16.49</x:v>
      </x:c>
      <x:c r="F1849" s="18" t="n">
        <x:v>6.49</x:v>
      </x:c>
      <x:c r="G1849" t="n">
        <x:v>60</x:v>
      </x:c>
      <x:c r="H1849" t="str">
        <x:v>B</x:v>
      </x:c>
      <x:c r="I1849" t="str">
        <x:v>10+ years</x:v>
      </x:c>
      <x:c r="J1849" t="str">
        <x:v>RENT</x:v>
      </x:c>
      <x:c r="K1849" t="str">
        <x:v>debt_consolidation</x:v>
      </x:c>
      <x:c r="L1849" t="n">
        <x:v>0</x:v>
      </x:c>
      <x:c r="M1849" t="n">
        <x:v>0</x:v>
      </x:c>
      <x:c r="N1849" t="str">
        <x:v>Fully Paid</x:v>
      </x:c>
      <x:c r="O1849" t="str">
        <x:f>IF(D1849="","Unknown",IF(D1849&lt;25000,"&lt;$25k",IF(D1849&lt;50000,"$25k-$50k",IF(D1849&lt;75000,"$50k-$75k",IF(D1849&lt;100000,"$75k-$100k","$100k+")))))</x:f>
        <x:v>$25k-$50k</x:v>
      </x:c>
      <x:c r="P1849" t="str">
        <x:f>IF(E1849="","Unknown",IF(E1849&lt;10,"&lt;10",IF(E1849&lt;20,"10-&lt;20",IF(E1849&lt;25,"20-&lt;25",IF(E1849&lt;35,"25-&lt;35","35+")))))</x:f>
        <x:v>10-&lt;20</x:v>
      </x:c>
    </x:row>
    <x:row r="1850">
      <x:c r="A1850" t="str">
        <x:v>SYN0001849</x:v>
      </x:c>
      <x:c r="B1850" s="12" t="n">
        <x:v>42985</x:v>
      </x:c>
      <x:c r="C1850" s="18" t="n">
        <x:v>17235</x:v>
      </x:c>
      <x:c r="D1850" s="18" t="n">
        <x:v>24075</x:v>
      </x:c>
      <x:c r="E1850" s="18" t="n">
        <x:v>16.67</x:v>
      </x:c>
      <x:c r="F1850" s="18" t="n">
        <x:v>21.32</x:v>
      </x:c>
      <x:c r="G1850" t="n">
        <x:v>36</x:v>
      </x:c>
      <x:c r="H1850" t="str">
        <x:v>F</x:v>
      </x:c>
      <x:c r="I1850" t="str">
        <x:v>10+ years</x:v>
      </x:c>
      <x:c r="J1850" t="str">
        <x:v>RENT</x:v>
      </x:c>
      <x:c r="K1850" t="str">
        <x:v>major_purchase</x:v>
      </x:c>
      <x:c r="L1850" t="n">
        <x:v>1</x:v>
      </x:c>
      <x:c r="M1850" t="n">
        <x:v>0</x:v>
      </x:c>
      <x:c r="N1850" t="str">
        <x:v>Fully Paid</x:v>
      </x:c>
      <x:c r="O1850" t="str">
        <x:f>IF(D1850="","Unknown",IF(D1850&lt;25000,"&lt;$25k",IF(D1850&lt;50000,"$25k-$50k",IF(D1850&lt;75000,"$50k-$75k",IF(D1850&lt;100000,"$75k-$100k","$100k+")))))</x:f>
        <x:v>&lt;$25k</x:v>
      </x:c>
      <x:c r="P1850" t="str">
        <x:f>IF(E1850="","Unknown",IF(E1850&lt;10,"&lt;10",IF(E1850&lt;20,"10-&lt;20",IF(E1850&lt;25,"20-&lt;25",IF(E1850&lt;35,"25-&lt;35","35+")))))</x:f>
        <x:v>10-&lt;20</x:v>
      </x:c>
    </x:row>
    <x:row r="1851">
      <x:c r="A1851" t="str">
        <x:v>SYN0001850</x:v>
      </x:c>
      <x:c r="B1851" s="12" t="n">
        <x:v>41275</x:v>
      </x:c>
      <x:c r="C1851" s="18" t="n">
        <x:v>8195</x:v>
      </x:c>
      <x:c r="D1851" s="18" t="n">
        <x:v>50123</x:v>
      </x:c>
      <x:c r="E1851" s="18" t="n">
        <x:v>18.95</x:v>
      </x:c>
      <x:c r="F1851" s="18" t="n">
        <x:v>11.38</x:v>
      </x:c>
      <x:c r="G1851" t="n">
        <x:v>60</x:v>
      </x:c>
      <x:c r="H1851" t="str">
        <x:v>C</x:v>
      </x:c>
      <x:c r="I1851" t="str">
        <x:v>10+ years</x:v>
      </x:c>
      <x:c r="J1851" t="str">
        <x:v>OWN</x:v>
      </x:c>
      <x:c r="K1851" t="str">
        <x:v>other</x:v>
      </x:c>
      <x:c r="L1851" t="n">
        <x:v>1</x:v>
      </x:c>
      <x:c r="M1851" t="n">
        <x:v>0</x:v>
      </x:c>
      <x:c r="N1851" t="str">
        <x:v>Fully Paid</x:v>
      </x:c>
      <x:c r="O1851" t="str">
        <x:f>IF(D1851="","Unknown",IF(D1851&lt;25000,"&lt;$25k",IF(D1851&lt;50000,"$25k-$50k",IF(D1851&lt;75000,"$50k-$75k",IF(D1851&lt;100000,"$75k-$100k","$100k+")))))</x:f>
        <x:v>$50k-$75k</x:v>
      </x:c>
      <x:c r="P1851" t="str">
        <x:f>IF(E1851="","Unknown",IF(E1851&lt;10,"&lt;10",IF(E1851&lt;20,"10-&lt;20",IF(E1851&lt;25,"20-&lt;25",IF(E1851&lt;35,"25-&lt;35","35+")))))</x:f>
        <x:v>10-&lt;20</x:v>
      </x:c>
    </x:row>
    <x:row r="1852">
      <x:c r="A1852" t="str">
        <x:v>SYN0001851</x:v>
      </x:c>
      <x:c r="B1852" s="12" t="n">
        <x:v>42415</x:v>
      </x:c>
      <x:c r="C1852" s="18" t="n">
        <x:v>10653</x:v>
      </x:c>
      <x:c r="D1852" s="18" t="n">
        <x:v>52879</x:v>
      </x:c>
      <x:c r="E1852" s="18" t="n">
        <x:v>15.38</x:v>
      </x:c>
      <x:c r="F1852" s="18" t="n">
        <x:v>7.83</x:v>
      </x:c>
      <x:c r="G1852" t="n">
        <x:v>36</x:v>
      </x:c>
      <x:c r="H1852" t="str">
        <x:v>A</x:v>
      </x:c>
      <x:c r="I1852" t="str">
        <x:v>4-6 years</x:v>
      </x:c>
      <x:c r="J1852" t="str">
        <x:v>RENT</x:v>
      </x:c>
      <x:c r="K1852" t="str">
        <x:v>home_improvement</x:v>
      </x:c>
      <x:c r="L1852" t="n">
        <x:v>1</x:v>
      </x:c>
      <x:c r="M1852" t="n">
        <x:v>0</x:v>
      </x:c>
      <x:c r="N1852" t="str">
        <x:v>Fully Paid</x:v>
      </x:c>
      <x:c r="O1852" t="str">
        <x:f>IF(D1852="","Unknown",IF(D1852&lt;25000,"&lt;$25k",IF(D1852&lt;50000,"$25k-$50k",IF(D1852&lt;75000,"$50k-$75k",IF(D1852&lt;100000,"$75k-$100k","$100k+")))))</x:f>
        <x:v>$50k-$75k</x:v>
      </x:c>
      <x:c r="P1852" t="str">
        <x:f>IF(E1852="","Unknown",IF(E1852&lt;10,"&lt;10",IF(E1852&lt;20,"10-&lt;20",IF(E1852&lt;25,"20-&lt;25",IF(E1852&lt;35,"25-&lt;35","35+")))))</x:f>
        <x:v>10-&lt;20</x:v>
      </x:c>
    </x:row>
    <x:row r="1853">
      <x:c r="A1853" t="str">
        <x:v>SYN0001852</x:v>
      </x:c>
      <x:c r="B1853" s="12" t="n">
        <x:v>42145</x:v>
      </x:c>
      <x:c r="C1853" s="18" t="n">
        <x:v>27182</x:v>
      </x:c>
      <x:c r="D1853" s="18" t="n">
        <x:v>21206</x:v>
      </x:c>
      <x:c r="E1853" s="18" t="n">
        <x:v>25.9</x:v>
      </x:c>
      <x:c r="F1853" s="18" t="n">
        <x:v>16.03</x:v>
      </x:c>
      <x:c r="G1853" t="n">
        <x:v>36</x:v>
      </x:c>
      <x:c r="H1853" t="str">
        <x:v>E</x:v>
      </x:c>
      <x:c r="I1853" t="str">
        <x:v>10+ years</x:v>
      </x:c>
      <x:c r="J1853" t="str">
        <x:v>MORTGAGE</x:v>
      </x:c>
      <x:c r="K1853" t="str">
        <x:v>other</x:v>
      </x:c>
      <x:c r="L1853" t="n">
        <x:v>2</x:v>
      </x:c>
      <x:c r="M1853" t="n">
        <x:v>1</x:v>
      </x:c>
      <x:c r="N1853" t="str">
        <x:v>Charged Off</x:v>
      </x:c>
      <x:c r="O1853" t="str">
        <x:f>IF(D1853="","Unknown",IF(D1853&lt;25000,"&lt;$25k",IF(D1853&lt;50000,"$25k-$50k",IF(D1853&lt;75000,"$50k-$75k",IF(D1853&lt;100000,"$75k-$100k","$100k+")))))</x:f>
        <x:v>&lt;$25k</x:v>
      </x:c>
      <x:c r="P1853" t="str">
        <x:f>IF(E1853="","Unknown",IF(E1853&lt;10,"&lt;10",IF(E1853&lt;20,"10-&lt;20",IF(E1853&lt;25,"20-&lt;25",IF(E1853&lt;35,"25-&lt;35","35+")))))</x:f>
        <x:v>25-&lt;35</x:v>
      </x:c>
    </x:row>
    <x:row r="1854">
      <x:c r="A1854" t="str">
        <x:v>SYN0001853</x:v>
      </x:c>
      <x:c r="B1854" s="12" t="n">
        <x:v>41545</x:v>
      </x:c>
      <x:c r="C1854" s="18" t="n">
        <x:v>18627</x:v>
      </x:c>
      <x:c r="D1854" s="18" t="n">
        <x:v>33860</x:v>
      </x:c>
      <x:c r="E1854" s="18" t="n">
        <x:v>10.87</x:v>
      </x:c>
      <x:c r="F1854" s="18" t="n">
        <x:v>10.59</x:v>
      </x:c>
      <x:c r="G1854" t="n">
        <x:v>60</x:v>
      </x:c>
      <x:c r="H1854" t="str">
        <x:v>C</x:v>
      </x:c>
      <x:c r="I1854" t="str">
        <x:v>10+ years</x:v>
      </x:c>
      <x:c r="J1854" t="str">
        <x:v>RENT</x:v>
      </x:c>
      <x:c r="K1854" t="str">
        <x:v>debt_consolidation</x:v>
      </x:c>
      <x:c r="L1854" t="n">
        <x:v>1</x:v>
      </x:c>
      <x:c r="M1854" t="n">
        <x:v>0</x:v>
      </x:c>
      <x:c r="N1854" t="str">
        <x:v>Fully Paid</x:v>
      </x:c>
      <x:c r="O1854" t="str">
        <x:f>IF(D1854="","Unknown",IF(D1854&lt;25000,"&lt;$25k",IF(D1854&lt;50000,"$25k-$50k",IF(D1854&lt;75000,"$50k-$75k",IF(D1854&lt;100000,"$75k-$100k","$100k+")))))</x:f>
        <x:v>$25k-$50k</x:v>
      </x:c>
      <x:c r="P1854" t="str">
        <x:f>IF(E1854="","Unknown",IF(E1854&lt;10,"&lt;10",IF(E1854&lt;20,"10-&lt;20",IF(E1854&lt;25,"20-&lt;25",IF(E1854&lt;35,"25-&lt;35","35+")))))</x:f>
        <x:v>10-&lt;20</x:v>
      </x:c>
    </x:row>
    <x:row r="1855">
      <x:c r="A1855" t="str">
        <x:v>SYN0001854</x:v>
      </x:c>
      <x:c r="B1855" s="12" t="n">
        <x:v>42175</x:v>
      </x:c>
      <x:c r="C1855" s="18" t="n">
        <x:v>14504</x:v>
      </x:c>
      <x:c r="D1855" s="18" t="n">
        <x:v>27937</x:v>
      </x:c>
      <x:c r="E1855" s="18" t="n">
        <x:v>17.16</x:v>
      </x:c>
      <x:c r="F1855" s="18" t="n">
        <x:v>11.84</x:v>
      </x:c>
      <x:c r="G1855" t="n">
        <x:v>36</x:v>
      </x:c>
      <x:c r="H1855" t="str">
        <x:v>C</x:v>
      </x:c>
      <x:c r="I1855" t="str">
        <x:v>10+ years</x:v>
      </x:c>
      <x:c r="J1855" t="str">
        <x:v>OWN</x:v>
      </x:c>
      <x:c r="K1855" t="str">
        <x:v>debt_consolidation</x:v>
      </x:c>
      <x:c r="L1855" t="n">
        <x:v>0</x:v>
      </x:c>
      <x:c r="M1855" t="n">
        <x:v>0</x:v>
      </x:c>
      <x:c r="N1855" t="str">
        <x:v>Fully Paid</x:v>
      </x:c>
      <x:c r="O1855" t="str">
        <x:f>IF(D1855="","Unknown",IF(D1855&lt;25000,"&lt;$25k",IF(D1855&lt;50000,"$25k-$50k",IF(D1855&lt;75000,"$50k-$75k",IF(D1855&lt;100000,"$75k-$100k","$100k+")))))</x:f>
        <x:v>$25k-$50k</x:v>
      </x:c>
      <x:c r="P1855" t="str">
        <x:f>IF(E1855="","Unknown",IF(E1855&lt;10,"&lt;10",IF(E1855&lt;20,"10-&lt;20",IF(E1855&lt;25,"20-&lt;25",IF(E1855&lt;35,"25-&lt;35","35+")))))</x:f>
        <x:v>10-&lt;20</x:v>
      </x:c>
    </x:row>
    <x:row r="1856">
      <x:c r="A1856" t="str">
        <x:v>SYN0001855</x:v>
      </x:c>
      <x:c r="B1856" s="12" t="n">
        <x:v>42145</x:v>
      </x:c>
      <x:c r="C1856" s="18" t="n">
        <x:v>32454</x:v>
      </x:c>
      <x:c r="D1856" s="18" t="n">
        <x:v>36708</x:v>
      </x:c>
      <x:c r="E1856" s="18" t="n">
        <x:v>7.14</x:v>
      </x:c>
      <x:c r="F1856" s="18" t="n">
        <x:v>17.11</x:v>
      </x:c>
      <x:c r="G1856" t="n">
        <x:v>36</x:v>
      </x:c>
      <x:c r="H1856" t="str">
        <x:v>D</x:v>
      </x:c>
      <x:c r="I1856" t="str">
        <x:v>1-3 years</x:v>
      </x:c>
      <x:c r="J1856" t="str">
        <x:v>OTHER</x:v>
      </x:c>
      <x:c r="K1856" t="str">
        <x:v>debt_consolidation</x:v>
      </x:c>
      <x:c r="L1856" t="n">
        <x:v>2</x:v>
      </x:c>
      <x:c r="M1856" t="n">
        <x:v>0</x:v>
      </x:c>
      <x:c r="N1856" t="str">
        <x:v>Fully Paid</x:v>
      </x:c>
      <x:c r="O1856" t="str">
        <x:f>IF(D1856="","Unknown",IF(D1856&lt;25000,"&lt;$25k",IF(D1856&lt;50000,"$25k-$50k",IF(D1856&lt;75000,"$50k-$75k",IF(D1856&lt;100000,"$75k-$100k","$100k+")))))</x:f>
        <x:v>$25k-$50k</x:v>
      </x:c>
      <x:c r="P1856" t="str">
        <x:f>IF(E1856="","Unknown",IF(E1856&lt;10,"&lt;10",IF(E1856&lt;20,"10-&lt;20",IF(E1856&lt;25,"20-&lt;25",IF(E1856&lt;35,"25-&lt;35","35+")))))</x:f>
        <x:v>&lt;10</x:v>
      </x:c>
    </x:row>
    <x:row r="1857">
      <x:c r="A1857" t="str">
        <x:v>SYN0001856</x:v>
      </x:c>
      <x:c r="B1857" s="12" t="n">
        <x:v>41305</x:v>
      </x:c>
      <x:c r="C1857" s="18" t="n">
        <x:v>12369</x:v>
      </x:c>
      <x:c r="D1857" s="18" t="n">
        <x:v>91046</x:v>
      </x:c>
      <x:c r="E1857" s="18" t="n">
        <x:v>16.2</x:v>
      </x:c>
      <x:c r="F1857" s="18" t="n">
        <x:v>20.13</x:v>
      </x:c>
      <x:c r="G1857" t="n">
        <x:v>36</x:v>
      </x:c>
      <x:c r="H1857" t="str">
        <x:v>E</x:v>
      </x:c>
      <x:c r="I1857" t="str">
        <x:v>10+ years</x:v>
      </x:c>
      <x:c r="J1857" t="str">
        <x:v>MORTGAGE</x:v>
      </x:c>
      <x:c r="K1857" t="str">
        <x:v>debt_consolidation</x:v>
      </x:c>
      <x:c r="L1857" t="n">
        <x:v>1</x:v>
      </x:c>
      <x:c r="M1857" t="n">
        <x:v>0</x:v>
      </x:c>
      <x:c r="N1857" t="str">
        <x:v>Fully Paid</x:v>
      </x:c>
      <x:c r="O1857" t="str">
        <x:f>IF(D1857="","Unknown",IF(D1857&lt;25000,"&lt;$25k",IF(D1857&lt;50000,"$25k-$50k",IF(D1857&lt;75000,"$50k-$75k",IF(D1857&lt;100000,"$75k-$100k","$100k+")))))</x:f>
        <x:v>$75k-$100k</x:v>
      </x:c>
      <x:c r="P1857" t="str">
        <x:f>IF(E1857="","Unknown",IF(E1857&lt;10,"&lt;10",IF(E1857&lt;20,"10-&lt;20",IF(E1857&lt;25,"20-&lt;25",IF(E1857&lt;35,"25-&lt;35","35+")))))</x:f>
        <x:v>10-&lt;20</x:v>
      </x:c>
    </x:row>
    <x:row r="1858">
      <x:c r="A1858" t="str">
        <x:v>SYN0001857</x:v>
      </x:c>
      <x:c r="B1858" s="12" t="n">
        <x:v>42565</x:v>
      </x:c>
      <x:c r="C1858" s="18" t="n">
        <x:v>16921</x:v>
      </x:c>
      <x:c r="D1858" s="18" t="n">
        <x:v>13367</x:v>
      </x:c>
      <x:c r="E1858" s="18" t="n">
        <x:v>9.5</x:v>
      </x:c>
      <x:c r="F1858" s="18" t="n">
        <x:v>12.55</x:v>
      </x:c>
      <x:c r="G1858" t="n">
        <x:v>60</x:v>
      </x:c>
      <x:c r="H1858" t="str">
        <x:v>C</x:v>
      </x:c>
      <x:c r="I1858" t="str">
        <x:v>7-9 years</x:v>
      </x:c>
      <x:c r="J1858" t="str">
        <x:v>MORTGAGE</x:v>
      </x:c>
      <x:c r="K1858" t="str">
        <x:v>credit_card</x:v>
      </x:c>
      <x:c r="L1858" t="n">
        <x:v>0</x:v>
      </x:c>
      <x:c r="M1858" t="n">
        <x:v>0</x:v>
      </x:c>
      <x:c r="N1858" t="str">
        <x:v>Fully Paid</x:v>
      </x:c>
      <x:c r="O1858" t="str">
        <x:f>IF(D1858="","Unknown",IF(D1858&lt;25000,"&lt;$25k",IF(D1858&lt;50000,"$25k-$50k",IF(D1858&lt;75000,"$50k-$75k",IF(D1858&lt;100000,"$75k-$100k","$100k+")))))</x:f>
        <x:v>&lt;$25k</x:v>
      </x:c>
      <x:c r="P1858" t="str">
        <x:f>IF(E1858="","Unknown",IF(E1858&lt;10,"&lt;10",IF(E1858&lt;20,"10-&lt;20",IF(E1858&lt;25,"20-&lt;25",IF(E1858&lt;35,"25-&lt;35","35+")))))</x:f>
        <x:v>&lt;10</x:v>
      </x:c>
    </x:row>
    <x:row r="1859">
      <x:c r="A1859" t="str">
        <x:v>SYN0001858</x:v>
      </x:c>
      <x:c r="B1859" s="12" t="n">
        <x:v>41335</x:v>
      </x:c>
      <x:c r="C1859" s="18" t="n">
        <x:v>5115</x:v>
      </x:c>
      <x:c r="D1859" s="18" t="n">
        <x:v>54672</x:v>
      </x:c>
      <x:c r="E1859" s="18" t="n">
        <x:v>17.19</x:v>
      </x:c>
      <x:c r="F1859" s="18" t="n">
        <x:v>14.68</x:v>
      </x:c>
      <x:c r="G1859" t="n">
        <x:v>36</x:v>
      </x:c>
      <x:c r="H1859" t="str">
        <x:v>D</x:v>
      </x:c>
      <x:c r="I1859" t="str">
        <x:v>7-9 years</x:v>
      </x:c>
      <x:c r="J1859" t="str">
        <x:v>RENT</x:v>
      </x:c>
      <x:c r="K1859" t="str">
        <x:v>debt_consolidation</x:v>
      </x:c>
      <x:c r="L1859" t="n">
        <x:v>1</x:v>
      </x:c>
      <x:c r="M1859" t="n">
        <x:v>0</x:v>
      </x:c>
      <x:c r="N1859" t="str">
        <x:v>Fully Paid</x:v>
      </x:c>
      <x:c r="O1859" t="str">
        <x:f>IF(D1859="","Unknown",IF(D1859&lt;25000,"&lt;$25k",IF(D1859&lt;50000,"$25k-$50k",IF(D1859&lt;75000,"$50k-$75k",IF(D1859&lt;100000,"$75k-$100k","$100k+")))))</x:f>
        <x:v>$50k-$75k</x:v>
      </x:c>
      <x:c r="P1859" t="str">
        <x:f>IF(E1859="","Unknown",IF(E1859&lt;10,"&lt;10",IF(E1859&lt;20,"10-&lt;20",IF(E1859&lt;25,"20-&lt;25",IF(E1859&lt;35,"25-&lt;35","35+")))))</x:f>
        <x:v>10-&lt;20</x:v>
      </x:c>
    </x:row>
    <x:row r="1860">
      <x:c r="A1860" t="str">
        <x:v>SYN0001859</x:v>
      </x:c>
      <x:c r="B1860" s="12" t="n">
        <x:v>43405</x:v>
      </x:c>
      <x:c r="C1860" s="18" t="n">
        <x:v>9276</x:v>
      </x:c>
      <x:c r="D1860" s="18" t="n">
        <x:v>110152</x:v>
      </x:c>
      <x:c r="E1860" s="18" t="n">
        <x:v>24.11</x:v>
      </x:c>
      <x:c r="F1860" s="18" t="n">
        <x:v>9.7</x:v>
      </x:c>
      <x:c r="G1860" t="n">
        <x:v>36</x:v>
      </x:c>
      <x:c r="H1860" t="str">
        <x:v>C</x:v>
      </x:c>
      <x:c r="I1860" t="str">
        <x:v>10+ years</x:v>
      </x:c>
      <x:c r="J1860" t="str">
        <x:v>OWN</x:v>
      </x:c>
      <x:c r="K1860" t="str">
        <x:v>debt_consolidation</x:v>
      </x:c>
      <x:c r="L1860" t="n">
        <x:v>0</x:v>
      </x:c>
      <x:c r="M1860" t="n">
        <x:v>0</x:v>
      </x:c>
      <x:c r="N1860" t="str">
        <x:v>Fully Paid</x:v>
      </x:c>
      <x:c r="O1860" t="str">
        <x:f>IF(D1860="","Unknown",IF(D1860&lt;25000,"&lt;$25k",IF(D1860&lt;50000,"$25k-$50k",IF(D1860&lt;75000,"$50k-$75k",IF(D1860&lt;100000,"$75k-$100k","$100k+")))))</x:f>
        <x:v>$100k+</x:v>
      </x:c>
      <x:c r="P1860" t="str">
        <x:f>IF(E1860="","Unknown",IF(E1860&lt;10,"&lt;10",IF(E1860&lt;20,"10-&lt;20",IF(E1860&lt;25,"20-&lt;25",IF(E1860&lt;35,"25-&lt;35","35+")))))</x:f>
        <x:v>20-&lt;25</x:v>
      </x:c>
    </x:row>
    <x:row r="1861">
      <x:c r="A1861" t="str">
        <x:v>SYN0001860</x:v>
      </x:c>
      <x:c r="B1861" s="12" t="n">
        <x:v>42745</x:v>
      </x:c>
      <x:c r="C1861" s="18" t="n">
        <x:v>8501</x:v>
      </x:c>
      <x:c r="D1861" s="18" t="n">
        <x:v>69999</x:v>
      </x:c>
      <x:c r="E1861" s="18" t="n">
        <x:v>16.99</x:v>
      </x:c>
      <x:c r="F1861" s="18" t="n">
        <x:v>9.59</x:v>
      </x:c>
      <x:c r="G1861" t="n">
        <x:v>36</x:v>
      </x:c>
      <x:c r="H1861" t="str">
        <x:v>C</x:v>
      </x:c>
      <x:c r="I1861" t="str">
        <x:v>&lt;1 year</x:v>
      </x:c>
      <x:c r="J1861" t="str">
        <x:v>RENT</x:v>
      </x:c>
      <x:c r="K1861" t="str">
        <x:v>debt_consolidation</x:v>
      </x:c>
      <x:c r="L1861" t="n">
        <x:v>1</x:v>
      </x:c>
      <x:c r="M1861" t="n">
        <x:v>0</x:v>
      </x:c>
      <x:c r="N1861" t="str">
        <x:v>Fully Paid</x:v>
      </x:c>
      <x:c r="O1861" t="str">
        <x:f>IF(D1861="","Unknown",IF(D1861&lt;25000,"&lt;$25k",IF(D1861&lt;50000,"$25k-$50k",IF(D1861&lt;75000,"$50k-$75k",IF(D1861&lt;100000,"$75k-$100k","$100k+")))))</x:f>
        <x:v>$50k-$75k</x:v>
      </x:c>
      <x:c r="P1861" t="str">
        <x:f>IF(E1861="","Unknown",IF(E1861&lt;10,"&lt;10",IF(E1861&lt;20,"10-&lt;20",IF(E1861&lt;25,"20-&lt;25",IF(E1861&lt;35,"25-&lt;35","35+")))))</x:f>
        <x:v>10-&lt;20</x:v>
      </x:c>
    </x:row>
    <x:row r="1862">
      <x:c r="A1862" t="str">
        <x:v>SYN0001861</x:v>
      </x:c>
      <x:c r="B1862" s="12" t="n">
        <x:v>42775</x:v>
      </x:c>
      <x:c r="C1862" s="18" t="n">
        <x:v>23628</x:v>
      </x:c>
      <x:c r="D1862" s="18" t="n">
        <x:v>12000</x:v>
      </x:c>
      <x:c r="E1862" s="18" t="n">
        <x:v>9.6</x:v>
      </x:c>
      <x:c r="F1862" s="18" t="n">
        <x:v>9.94</x:v>
      </x:c>
      <x:c r="G1862" t="n">
        <x:v>36</x:v>
      </x:c>
      <x:c r="H1862" t="str">
        <x:v>B</x:v>
      </x:c>
      <x:c r="I1862" t="str">
        <x:v>10+ years</x:v>
      </x:c>
      <x:c r="J1862" t="str">
        <x:v>RENT</x:v>
      </x:c>
      <x:c r="K1862" t="str">
        <x:v>debt_consolidation</x:v>
      </x:c>
      <x:c r="L1862" t="n">
        <x:v>0</x:v>
      </x:c>
      <x:c r="M1862" t="n">
        <x:v>1</x:v>
      </x:c>
      <x:c r="N1862" t="str">
        <x:v>Charged Off</x:v>
      </x:c>
      <x:c r="O1862" t="str">
        <x:f>IF(D1862="","Unknown",IF(D1862&lt;25000,"&lt;$25k",IF(D1862&lt;50000,"$25k-$50k",IF(D1862&lt;75000,"$50k-$75k",IF(D1862&lt;100000,"$75k-$100k","$100k+")))))</x:f>
        <x:v>&lt;$25k</x:v>
      </x:c>
      <x:c r="P1862" t="str">
        <x:f>IF(E1862="","Unknown",IF(E1862&lt;10,"&lt;10",IF(E1862&lt;20,"10-&lt;20",IF(E1862&lt;25,"20-&lt;25",IF(E1862&lt;35,"25-&lt;35","35+")))))</x:f>
        <x:v>&lt;10</x:v>
      </x:c>
    </x:row>
    <x:row r="1863">
      <x:c r="A1863" t="str">
        <x:v>SYN0001862</x:v>
      </x:c>
      <x:c r="B1863" s="12" t="n">
        <x:v>41815</x:v>
      </x:c>
      <x:c r="C1863" s="18" t="n">
        <x:v>3468</x:v>
      </x:c>
      <x:c r="D1863" s="18" t="n">
        <x:v>39477</x:v>
      </x:c>
      <x:c r="E1863" s="18" t="n">
        <x:v>16.69</x:v>
      </x:c>
      <x:c r="F1863" s="18" t="n">
        <x:v>11.78</x:v>
      </x:c>
      <x:c r="G1863" t="n">
        <x:v>36</x:v>
      </x:c>
      <x:c r="H1863" t="str">
        <x:v>C</x:v>
      </x:c>
      <x:c r="I1863" t="str">
        <x:v>7-9 years</x:v>
      </x:c>
      <x:c r="J1863" t="str">
        <x:v>RENT</x:v>
      </x:c>
      <x:c r="K1863" t="str">
        <x:v>credit_card</x:v>
      </x:c>
      <x:c r="L1863" t="n">
        <x:v>1</x:v>
      </x:c>
      <x:c r="M1863" t="n">
        <x:v>0</x:v>
      </x:c>
      <x:c r="N1863" t="str">
        <x:v>Fully Paid</x:v>
      </x:c>
      <x:c r="O1863" t="str">
        <x:f>IF(D1863="","Unknown",IF(D1863&lt;25000,"&lt;$25k",IF(D1863&lt;50000,"$25k-$50k",IF(D1863&lt;75000,"$50k-$75k",IF(D1863&lt;100000,"$75k-$100k","$100k+")))))</x:f>
        <x:v>$25k-$50k</x:v>
      </x:c>
      <x:c r="P1863" t="str">
        <x:f>IF(E1863="","Unknown",IF(E1863&lt;10,"&lt;10",IF(E1863&lt;20,"10-&lt;20",IF(E1863&lt;25,"20-&lt;25",IF(E1863&lt;35,"25-&lt;35","35+")))))</x:f>
        <x:v>10-&lt;20</x:v>
      </x:c>
    </x:row>
    <x:row r="1864">
      <x:c r="A1864" t="str">
        <x:v>SYN0001863</x:v>
      </x:c>
      <x:c r="B1864" s="12" t="n">
        <x:v>42685</x:v>
      </x:c>
      <x:c r="C1864" s="18" t="n">
        <x:v>26799</x:v>
      </x:c>
      <x:c r="D1864" s="18" t="n">
        <x:v>90434</x:v>
      </x:c>
      <x:c r="E1864" s="18" t="n">
        <x:v>28.91</x:v>
      </x:c>
      <x:c r="F1864" s="18" t="n">
        <x:v>7.2</x:v>
      </x:c>
      <x:c r="G1864" t="n">
        <x:v>60</x:v>
      </x:c>
      <x:c r="H1864" t="str">
        <x:v>B</x:v>
      </x:c>
      <x:c r="I1864" t="str">
        <x:v>1-3 years</x:v>
      </x:c>
      <x:c r="J1864" t="str">
        <x:v>RENT</x:v>
      </x:c>
      <x:c r="K1864" t="str">
        <x:v>medical</x:v>
      </x:c>
      <x:c r="L1864" t="n">
        <x:v>0</x:v>
      </x:c>
      <x:c r="M1864" t="n">
        <x:v>0</x:v>
      </x:c>
      <x:c r="N1864" t="str">
        <x:v>Fully Paid</x:v>
      </x:c>
      <x:c r="O1864" t="str">
        <x:f>IF(D1864="","Unknown",IF(D1864&lt;25000,"&lt;$25k",IF(D1864&lt;50000,"$25k-$50k",IF(D1864&lt;75000,"$50k-$75k",IF(D1864&lt;100000,"$75k-$100k","$100k+")))))</x:f>
        <x:v>$75k-$100k</x:v>
      </x:c>
      <x:c r="P1864" t="str">
        <x:f>IF(E1864="","Unknown",IF(E1864&lt;10,"&lt;10",IF(E1864&lt;20,"10-&lt;20",IF(E1864&lt;25,"20-&lt;25",IF(E1864&lt;35,"25-&lt;35","35+")))))</x:f>
        <x:v>25-&lt;35</x:v>
      </x:c>
    </x:row>
    <x:row r="1865">
      <x:c r="A1865" t="str">
        <x:v>SYN0001864</x:v>
      </x:c>
      <x:c r="B1865" s="12" t="n">
        <x:v>42085</x:v>
      </x:c>
      <x:c r="C1865" s="18" t="n">
        <x:v>15332</x:v>
      </x:c>
      <x:c r="D1865" s="18" t="n">
        <x:v>27405</x:v>
      </x:c>
      <x:c r="E1865" s="18" t="n">
        <x:v>34.32</x:v>
      </x:c>
      <x:c r="F1865" s="18" t="n">
        <x:v>5</x:v>
      </x:c>
      <x:c r="G1865" t="n">
        <x:v>60</x:v>
      </x:c>
      <x:c r="H1865" t="str">
        <x:v>A</x:v>
      </x:c>
      <x:c r="I1865" t="str">
        <x:v>10+ years</x:v>
      </x:c>
      <x:c r="J1865" t="str">
        <x:v>MORTGAGE</x:v>
      </x:c>
      <x:c r="K1865" t="str">
        <x:v>debt_consolidation</x:v>
      </x:c>
      <x:c r="L1865" t="n">
        <x:v>0</x:v>
      </x:c>
      <x:c r="M1865" t="n">
        <x:v>0</x:v>
      </x:c>
      <x:c r="N1865" t="str">
        <x:v>Fully Paid</x:v>
      </x:c>
      <x:c r="O1865" t="str">
        <x:f>IF(D1865="","Unknown",IF(D1865&lt;25000,"&lt;$25k",IF(D1865&lt;50000,"$25k-$50k",IF(D1865&lt;75000,"$50k-$75k",IF(D1865&lt;100000,"$75k-$100k","$100k+")))))</x:f>
        <x:v>$25k-$50k</x:v>
      </x:c>
      <x:c r="P1865" t="str">
        <x:f>IF(E1865="","Unknown",IF(E1865&lt;10,"&lt;10",IF(E1865&lt;20,"10-&lt;20",IF(E1865&lt;25,"20-&lt;25",IF(E1865&lt;35,"25-&lt;35","35+")))))</x:f>
        <x:v>25-&lt;35</x:v>
      </x:c>
    </x:row>
    <x:row r="1866">
      <x:c r="A1866" t="str">
        <x:v>SYN0001865</x:v>
      </x:c>
      <x:c r="B1866" s="12" t="n">
        <x:v>41815</x:v>
      </x:c>
      <x:c r="C1866" s="18" t="n">
        <x:v>11430</x:v>
      </x:c>
      <x:c r="D1866" s="18" t="n">
        <x:v>100673</x:v>
      </x:c>
      <x:c r="E1866" s="18" t="n">
        <x:v>21.69</x:v>
      </x:c>
      <x:c r="F1866" s="18" t="n">
        <x:v>8.22</x:v>
      </x:c>
      <x:c r="G1866" t="n">
        <x:v>36</x:v>
      </x:c>
      <x:c r="H1866" t="str">
        <x:v>B</x:v>
      </x:c>
      <x:c r="I1866" t="str">
        <x:v>4-6 years</x:v>
      </x:c>
      <x:c r="J1866" t="str">
        <x:v>OWN</x:v>
      </x:c>
      <x:c r="K1866" t="str">
        <x:v>credit_card</x:v>
      </x:c>
      <x:c r="L1866" t="n">
        <x:v>1</x:v>
      </x:c>
      <x:c r="M1866" t="n">
        <x:v>0</x:v>
      </x:c>
      <x:c r="N1866" t="str">
        <x:v>Fully Paid</x:v>
      </x:c>
      <x:c r="O1866" t="str">
        <x:f>IF(D1866="","Unknown",IF(D1866&lt;25000,"&lt;$25k",IF(D1866&lt;50000,"$25k-$50k",IF(D1866&lt;75000,"$50k-$75k",IF(D1866&lt;100000,"$75k-$100k","$100k+")))))</x:f>
        <x:v>$100k+</x:v>
      </x:c>
      <x:c r="P1866" t="str">
        <x:f>IF(E1866="","Unknown",IF(E1866&lt;10,"&lt;10",IF(E1866&lt;20,"10-&lt;20",IF(E1866&lt;25,"20-&lt;25",IF(E1866&lt;35,"25-&lt;35","35+")))))</x:f>
        <x:v>20-&lt;25</x:v>
      </x:c>
    </x:row>
    <x:row r="1867">
      <x:c r="A1867" t="str">
        <x:v>SYN0001866</x:v>
      </x:c>
      <x:c r="B1867" s="12" t="n">
        <x:v>43075</x:v>
      </x:c>
      <x:c r="C1867" s="18" t="n">
        <x:v>8598</x:v>
      </x:c>
      <x:c r="D1867" s="18" t="n">
        <x:v>60364</x:v>
      </x:c>
      <x:c r="E1867" s="18" t="n">
        <x:v>26.09</x:v>
      </x:c>
      <x:c r="F1867" s="18" t="n">
        <x:v>7.06</x:v>
      </x:c>
      <x:c r="G1867" t="n">
        <x:v>60</x:v>
      </x:c>
      <x:c r="H1867" t="str">
        <x:v>B</x:v>
      </x:c>
      <x:c r="I1867" t="str">
        <x:v>7-9 years</x:v>
      </x:c>
      <x:c r="J1867" t="str">
        <x:v>RENT</x:v>
      </x:c>
      <x:c r="K1867" t="str">
        <x:v>credit_card</x:v>
      </x:c>
      <x:c r="L1867" t="n">
        <x:v>0</x:v>
      </x:c>
      <x:c r="M1867" t="n">
        <x:v>0</x:v>
      </x:c>
      <x:c r="N1867" t="str">
        <x:v>Fully Paid</x:v>
      </x:c>
      <x:c r="O1867" t="str">
        <x:f>IF(D1867="","Unknown",IF(D1867&lt;25000,"&lt;$25k",IF(D1867&lt;50000,"$25k-$50k",IF(D1867&lt;75000,"$50k-$75k",IF(D1867&lt;100000,"$75k-$100k","$100k+")))))</x:f>
        <x:v>$50k-$75k</x:v>
      </x:c>
      <x:c r="P1867" t="str">
        <x:f>IF(E1867="","Unknown",IF(E1867&lt;10,"&lt;10",IF(E1867&lt;20,"10-&lt;20",IF(E1867&lt;25,"20-&lt;25",IF(E1867&lt;35,"25-&lt;35","35+")))))</x:f>
        <x:v>25-&lt;35</x:v>
      </x:c>
    </x:row>
    <x:row r="1868">
      <x:c r="A1868" t="str">
        <x:v>SYN0001867</x:v>
      </x:c>
      <x:c r="B1868" s="12" t="n">
        <x:v>43345</x:v>
      </x:c>
      <x:c r="C1868" s="18" t="n">
        <x:v>6967</x:v>
      </x:c>
      <x:c r="D1868" s="18" t="n">
        <x:v>44576</x:v>
      </x:c>
      <x:c r="E1868" s="18" t="n">
        <x:v>33.18</x:v>
      </x:c>
      <x:c r="F1868" s="18" t="n">
        <x:v>13.63</x:v>
      </x:c>
      <x:c r="G1868" t="n">
        <x:v>60</x:v>
      </x:c>
      <x:c r="H1868" t="str">
        <x:v>C</x:v>
      </x:c>
      <x:c r="I1868" t="str">
        <x:v>4-6 years</x:v>
      </x:c>
      <x:c r="J1868" t="str">
        <x:v>OWN</x:v>
      </x:c>
      <x:c r="K1868" t="str">
        <x:v>debt_consolidation</x:v>
      </x:c>
      <x:c r="L1868" t="n">
        <x:v>0</x:v>
      </x:c>
      <x:c r="M1868" t="n">
        <x:v>0</x:v>
      </x:c>
      <x:c r="N1868" t="str">
        <x:v>Fully Paid</x:v>
      </x:c>
      <x:c r="O1868" t="str">
        <x:f>IF(D1868="","Unknown",IF(D1868&lt;25000,"&lt;$25k",IF(D1868&lt;50000,"$25k-$50k",IF(D1868&lt;75000,"$50k-$75k",IF(D1868&lt;100000,"$75k-$100k","$100k+")))))</x:f>
        <x:v>$25k-$50k</x:v>
      </x:c>
      <x:c r="P1868" t="str">
        <x:f>IF(E1868="","Unknown",IF(E1868&lt;10,"&lt;10",IF(E1868&lt;20,"10-&lt;20",IF(E1868&lt;25,"20-&lt;25",IF(E1868&lt;35,"25-&lt;35","35+")))))</x:f>
        <x:v>25-&lt;35</x:v>
      </x:c>
    </x:row>
    <x:row r="1869">
      <x:c r="A1869" t="str">
        <x:v>SYN0001868</x:v>
      </x:c>
      <x:c r="B1869" s="12" t="n">
        <x:v>41575</x:v>
      </x:c>
      <x:c r="C1869" s="18" t="n">
        <x:v>7108</x:v>
      </x:c>
      <x:c r="D1869" s="18" t="n">
        <x:v>26593</x:v>
      </x:c>
      <x:c r="E1869" s="18" t="n">
        <x:v>7.35</x:v>
      </x:c>
      <x:c r="F1869" s="18" t="n">
        <x:v>15.74</x:v>
      </x:c>
      <x:c r="G1869" t="n">
        <x:v>36</x:v>
      </x:c>
      <x:c r="H1869" t="str">
        <x:v>D</x:v>
      </x:c>
      <x:c r="I1869" t="str">
        <x:v>7-9 years</x:v>
      </x:c>
      <x:c r="J1869" t="str">
        <x:v>MORTGAGE</x:v>
      </x:c>
      <x:c r="K1869" t="str">
        <x:v>debt_consolidation</x:v>
      </x:c>
      <x:c r="L1869" t="n">
        <x:v>0</x:v>
      </x:c>
      <x:c r="M1869" t="n">
        <x:v>0</x:v>
      </x:c>
      <x:c r="N1869" t="str">
        <x:v>Fully Paid</x:v>
      </x:c>
      <x:c r="O1869" t="str">
        <x:f>IF(D1869="","Unknown",IF(D1869&lt;25000,"&lt;$25k",IF(D1869&lt;50000,"$25k-$50k",IF(D1869&lt;75000,"$50k-$75k",IF(D1869&lt;100000,"$75k-$100k","$100k+")))))</x:f>
        <x:v>$25k-$50k</x:v>
      </x:c>
      <x:c r="P1869" t="str">
        <x:f>IF(E1869="","Unknown",IF(E1869&lt;10,"&lt;10",IF(E1869&lt;20,"10-&lt;20",IF(E1869&lt;25,"20-&lt;25",IF(E1869&lt;35,"25-&lt;35","35+")))))</x:f>
        <x:v>&lt;10</x:v>
      </x:c>
    </x:row>
    <x:row r="1870">
      <x:c r="A1870" t="str">
        <x:v>SYN0001869</x:v>
      </x:c>
      <x:c r="B1870" s="12" t="n">
        <x:v>43375</x:v>
      </x:c>
      <x:c r="C1870" s="18" t="n">
        <x:v>19763</x:v>
      </x:c>
      <x:c r="D1870" s="18" t="n">
        <x:v>38535</x:v>
      </x:c>
      <x:c r="E1870" s="18" t="n">
        <x:v>19.31</x:v>
      </x:c>
      <x:c r="F1870" s="18" t="n">
        <x:v>8.04</x:v>
      </x:c>
      <x:c r="G1870" t="n">
        <x:v>36</x:v>
      </x:c>
      <x:c r="H1870" t="str">
        <x:v>B</x:v>
      </x:c>
      <x:c r="I1870" t="str">
        <x:v>1-3 years</x:v>
      </x:c>
      <x:c r="J1870" t="str">
        <x:v>MORTGAGE</x:v>
      </x:c>
      <x:c r="K1870" t="str">
        <x:v>debt_consolidation</x:v>
      </x:c>
      <x:c r="L1870" t="n">
        <x:v>0</x:v>
      </x:c>
      <x:c r="M1870" t="n">
        <x:v>0</x:v>
      </x:c>
      <x:c r="N1870" t="str">
        <x:v>Fully Paid</x:v>
      </x:c>
      <x:c r="O1870" t="str">
        <x:f>IF(D1870="","Unknown",IF(D1870&lt;25000,"&lt;$25k",IF(D1870&lt;50000,"$25k-$50k",IF(D1870&lt;75000,"$50k-$75k",IF(D1870&lt;100000,"$75k-$100k","$100k+")))))</x:f>
        <x:v>$25k-$50k</x:v>
      </x:c>
      <x:c r="P1870" t="str">
        <x:f>IF(E1870="","Unknown",IF(E1870&lt;10,"&lt;10",IF(E1870&lt;20,"10-&lt;20",IF(E1870&lt;25,"20-&lt;25",IF(E1870&lt;35,"25-&lt;35","35+")))))</x:f>
        <x:v>10-&lt;20</x:v>
      </x:c>
    </x:row>
    <x:row r="1871">
      <x:c r="A1871" t="str">
        <x:v>SYN0001870</x:v>
      </x:c>
      <x:c r="B1871" s="12" t="n">
        <x:v>41365</x:v>
      </x:c>
      <x:c r="C1871" s="18" t="n">
        <x:v>10850</x:v>
      </x:c>
      <x:c r="D1871" s="18" t="n">
        <x:v>34690</x:v>
      </x:c>
      <x:c r="E1871" s="18" t="n">
        <x:v>9.63</x:v>
      </x:c>
      <x:c r="F1871" s="18" t="n">
        <x:v>5</x:v>
      </x:c>
      <x:c r="G1871" t="n">
        <x:v>60</x:v>
      </x:c>
      <x:c r="H1871" t="str">
        <x:v>A</x:v>
      </x:c>
      <x:c r="I1871" t="str">
        <x:v>1-3 years</x:v>
      </x:c>
      <x:c r="J1871" t="str">
        <x:v>MORTGAGE</x:v>
      </x:c>
      <x:c r="K1871" t="str">
        <x:v>credit_card</x:v>
      </x:c>
      <x:c r="L1871" t="n">
        <x:v>0</x:v>
      </x:c>
      <x:c r="M1871" t="n">
        <x:v>0</x:v>
      </x:c>
      <x:c r="N1871" t="str">
        <x:v>Fully Paid</x:v>
      </x:c>
      <x:c r="O1871" t="str">
        <x:f>IF(D1871="","Unknown",IF(D1871&lt;25000,"&lt;$25k",IF(D1871&lt;50000,"$25k-$50k",IF(D1871&lt;75000,"$50k-$75k",IF(D1871&lt;100000,"$75k-$100k","$100k+")))))</x:f>
        <x:v>$25k-$50k</x:v>
      </x:c>
      <x:c r="P1871" t="str">
        <x:f>IF(E1871="","Unknown",IF(E1871&lt;10,"&lt;10",IF(E1871&lt;20,"10-&lt;20",IF(E1871&lt;25,"20-&lt;25",IF(E1871&lt;35,"25-&lt;35","35+")))))</x:f>
        <x:v>&lt;10</x:v>
      </x:c>
    </x:row>
    <x:row r="1872">
      <x:c r="A1872" t="str">
        <x:v>SYN0001871</x:v>
      </x:c>
      <x:c r="B1872" s="12" t="n">
        <x:v>43315</x:v>
      </x:c>
      <x:c r="C1872" s="18" t="n">
        <x:v>19893</x:v>
      </x:c>
      <x:c r="D1872" s="18" t="n">
        <x:v>104851</x:v>
      </x:c>
      <x:c r="E1872" s="18" t="n">
        <x:v>6.56</x:v>
      </x:c>
      <x:c r="F1872" s="18" t="n">
        <x:v>11.3</x:v>
      </x:c>
      <x:c r="G1872" t="n">
        <x:v>36</x:v>
      </x:c>
      <x:c r="H1872" t="str">
        <x:v>C</x:v>
      </x:c>
      <x:c r="I1872" t="str">
        <x:v>4-6 years</x:v>
      </x:c>
      <x:c r="J1872" t="str">
        <x:v>OWN</x:v>
      </x:c>
      <x:c r="K1872" t="str">
        <x:v>credit_card</x:v>
      </x:c>
      <x:c r="L1872" t="n">
        <x:v>0</x:v>
      </x:c>
      <x:c r="M1872" t="n">
        <x:v>0</x:v>
      </x:c>
      <x:c r="N1872" t="str">
        <x:v>Fully Paid</x:v>
      </x:c>
      <x:c r="O1872" t="str">
        <x:f>IF(D1872="","Unknown",IF(D1872&lt;25000,"&lt;$25k",IF(D1872&lt;50000,"$25k-$50k",IF(D1872&lt;75000,"$50k-$75k",IF(D1872&lt;100000,"$75k-$100k","$100k+")))))</x:f>
        <x:v>$100k+</x:v>
      </x:c>
      <x:c r="P1872" t="str">
        <x:f>IF(E1872="","Unknown",IF(E1872&lt;10,"&lt;10",IF(E1872&lt;20,"10-&lt;20",IF(E1872&lt;25,"20-&lt;25",IF(E1872&lt;35,"25-&lt;35","35+")))))</x:f>
        <x:v>&lt;10</x:v>
      </x:c>
    </x:row>
    <x:row r="1873">
      <x:c r="A1873" t="str">
        <x:v>SYN0001872</x:v>
      </x:c>
      <x:c r="B1873" s="12" t="n">
        <x:v>42415</x:v>
      </x:c>
      <x:c r="C1873" s="18" t="n">
        <x:v>17060</x:v>
      </x:c>
      <x:c r="D1873" s="18" t="n">
        <x:v>51772</x:v>
      </x:c>
      <x:c r="E1873" s="18" t="n">
        <x:v>5.29</x:v>
      </x:c>
      <x:c r="F1873" s="18" t="n">
        <x:v>12.44</x:v>
      </x:c>
      <x:c r="G1873" t="n">
        <x:v>60</x:v>
      </x:c>
      <x:c r="H1873" t="str">
        <x:v>B</x:v>
      </x:c>
      <x:c r="I1873" t="str">
        <x:v>1-3 years</x:v>
      </x:c>
      <x:c r="J1873" t="str">
        <x:v>RENT</x:v>
      </x:c>
      <x:c r="K1873" t="str">
        <x:v>debt_consolidation</x:v>
      </x:c>
      <x:c r="L1873" t="n">
        <x:v>1</x:v>
      </x:c>
      <x:c r="M1873" t="n">
        <x:v>0</x:v>
      </x:c>
      <x:c r="N1873" t="str">
        <x:v>Fully Paid</x:v>
      </x:c>
      <x:c r="O1873" t="str">
        <x:f>IF(D1873="","Unknown",IF(D1873&lt;25000,"&lt;$25k",IF(D1873&lt;50000,"$25k-$50k",IF(D1873&lt;75000,"$50k-$75k",IF(D1873&lt;100000,"$75k-$100k","$100k+")))))</x:f>
        <x:v>$50k-$75k</x:v>
      </x:c>
      <x:c r="P1873" t="str">
        <x:f>IF(E1873="","Unknown",IF(E1873&lt;10,"&lt;10",IF(E1873&lt;20,"10-&lt;20",IF(E1873&lt;25,"20-&lt;25",IF(E1873&lt;35,"25-&lt;35","35+")))))</x:f>
        <x:v>&lt;10</x:v>
      </x:c>
    </x:row>
    <x:row r="1874">
      <x:c r="A1874" t="str">
        <x:v>SYN0001873</x:v>
      </x:c>
      <x:c r="B1874" s="12" t="n">
        <x:v>41605</x:v>
      </x:c>
      <x:c r="C1874" s="18" t="n">
        <x:v>11897</x:v>
      </x:c>
      <x:c r="D1874" s="18" t="n">
        <x:v>22610</x:v>
      </x:c>
      <x:c r="E1874" s="18" t="n">
        <x:v>29.19</x:v>
      </x:c>
      <x:c r="F1874" s="18" t="n">
        <x:v>11.06</x:v>
      </x:c>
      <x:c r="G1874" t="n">
        <x:v>60</x:v>
      </x:c>
      <x:c r="H1874" t="str">
        <x:v>D</x:v>
      </x:c>
      <x:c r="I1874" t="str">
        <x:v>10+ years</x:v>
      </x:c>
      <x:c r="J1874" t="str">
        <x:v>MORTGAGE</x:v>
      </x:c>
      <x:c r="K1874" t="str">
        <x:v>major_purchase</x:v>
      </x:c>
      <x:c r="L1874" t="n">
        <x:v>1</x:v>
      </x:c>
      <x:c r="M1874" t="n">
        <x:v>0</x:v>
      </x:c>
      <x:c r="N1874" t="str">
        <x:v>Fully Paid</x:v>
      </x:c>
      <x:c r="O1874" t="str">
        <x:f>IF(D1874="","Unknown",IF(D1874&lt;25000,"&lt;$25k",IF(D1874&lt;50000,"$25k-$50k",IF(D1874&lt;75000,"$50k-$75k",IF(D1874&lt;100000,"$75k-$100k","$100k+")))))</x:f>
        <x:v>&lt;$25k</x:v>
      </x:c>
      <x:c r="P1874" t="str">
        <x:f>IF(E1874="","Unknown",IF(E1874&lt;10,"&lt;10",IF(E1874&lt;20,"10-&lt;20",IF(E1874&lt;25,"20-&lt;25",IF(E1874&lt;35,"25-&lt;35","35+")))))</x:f>
        <x:v>25-&lt;35</x:v>
      </x:c>
    </x:row>
    <x:row r="1875">
      <x:c r="A1875" t="str">
        <x:v>SYN0001874</x:v>
      </x:c>
      <x:c r="B1875" s="12" t="n">
        <x:v>43075</x:v>
      </x:c>
      <x:c r="C1875" s="18" t="n">
        <x:v>20219</x:v>
      </x:c>
      <x:c r="D1875" s="18" t="n">
        <x:v>12120</x:v>
      </x:c>
      <x:c r="E1875" s="18" t="n">
        <x:v>11.15</x:v>
      </x:c>
      <x:c r="F1875" s="18" t="n">
        <x:v>9.33</x:v>
      </x:c>
      <x:c r="G1875" t="n">
        <x:v>60</x:v>
      </x:c>
      <x:c r="H1875" t="str">
        <x:v>B</x:v>
      </x:c>
      <x:c r="I1875" t="str">
        <x:v>1-3 years</x:v>
      </x:c>
      <x:c r="J1875" t="str">
        <x:v>RENT</x:v>
      </x:c>
      <x:c r="K1875" t="str">
        <x:v>debt_consolidation</x:v>
      </x:c>
      <x:c r="L1875" t="n">
        <x:v>0</x:v>
      </x:c>
      <x:c r="M1875" t="n">
        <x:v>0</x:v>
      </x:c>
      <x:c r="N1875" t="str">
        <x:v>Fully Paid</x:v>
      </x:c>
      <x:c r="O1875" t="str">
        <x:f>IF(D1875="","Unknown",IF(D1875&lt;25000,"&lt;$25k",IF(D1875&lt;50000,"$25k-$50k",IF(D1875&lt;75000,"$50k-$75k",IF(D1875&lt;100000,"$75k-$100k","$100k+")))))</x:f>
        <x:v>&lt;$25k</x:v>
      </x:c>
      <x:c r="P1875" t="str">
        <x:f>IF(E1875="","Unknown",IF(E1875&lt;10,"&lt;10",IF(E1875&lt;20,"10-&lt;20",IF(E1875&lt;25,"20-&lt;25",IF(E1875&lt;35,"25-&lt;35","35+")))))</x:f>
        <x:v>10-&lt;20</x:v>
      </x:c>
    </x:row>
    <x:row r="1876">
      <x:c r="A1876" t="str">
        <x:v>SYN0001875</x:v>
      </x:c>
      <x:c r="B1876" s="12" t="n">
        <x:v>42145</x:v>
      </x:c>
      <x:c r="C1876" s="18" t="n">
        <x:v>5557</x:v>
      </x:c>
      <x:c r="D1876" s="18" t="n">
        <x:v>13641</x:v>
      </x:c>
      <x:c r="E1876" s="18" t="n">
        <x:v>28.34</x:v>
      </x:c>
      <x:c r="F1876" s="18" t="n">
        <x:v>6.16</x:v>
      </x:c>
      <x:c r="G1876" t="n">
        <x:v>60</x:v>
      </x:c>
      <x:c r="H1876" t="str">
        <x:v>B</x:v>
      </x:c>
      <x:c r="I1876" t="str">
        <x:v>1-3 years</x:v>
      </x:c>
      <x:c r="J1876" t="str">
        <x:v>RENT</x:v>
      </x:c>
      <x:c r="K1876" t="str">
        <x:v>debt_consolidation</x:v>
      </x:c>
      <x:c r="L1876" t="n">
        <x:v>0</x:v>
      </x:c>
      <x:c r="M1876" t="n">
        <x:v>0</x:v>
      </x:c>
      <x:c r="N1876" t="str">
        <x:v>Fully Paid</x:v>
      </x:c>
      <x:c r="O1876" t="str">
        <x:f>IF(D1876="","Unknown",IF(D1876&lt;25000,"&lt;$25k",IF(D1876&lt;50000,"$25k-$50k",IF(D1876&lt;75000,"$50k-$75k",IF(D1876&lt;100000,"$75k-$100k","$100k+")))))</x:f>
        <x:v>&lt;$25k</x:v>
      </x:c>
      <x:c r="P1876" t="str">
        <x:f>IF(E1876="","Unknown",IF(E1876&lt;10,"&lt;10",IF(E1876&lt;20,"10-&lt;20",IF(E1876&lt;25,"20-&lt;25",IF(E1876&lt;35,"25-&lt;35","35+")))))</x:f>
        <x:v>25-&lt;35</x:v>
      </x:c>
    </x:row>
    <x:row r="1877">
      <x:c r="A1877" t="str">
        <x:v>SYN0001876</x:v>
      </x:c>
      <x:c r="B1877" s="12" t="n">
        <x:v>41995</x:v>
      </x:c>
      <x:c r="C1877" s="18" t="n">
        <x:v>15817</x:v>
      </x:c>
      <x:c r="D1877" s="18" t="n">
        <x:v>40904</x:v>
      </x:c>
      <x:c r="E1877" s="18" t="n">
        <x:v>17.13</x:v>
      </x:c>
      <x:c r="F1877" s="18" t="n">
        <x:v>10.53</x:v>
      </x:c>
      <x:c r="G1877" t="n">
        <x:v>36</x:v>
      </x:c>
      <x:c r="H1877" t="str">
        <x:v>B</x:v>
      </x:c>
      <x:c r="I1877" t="str">
        <x:v>4-6 years</x:v>
      </x:c>
      <x:c r="J1877" t="str">
        <x:v>MORTGAGE</x:v>
      </x:c>
      <x:c r="K1877" t="str">
        <x:v>debt_consolidation</x:v>
      </x:c>
      <x:c r="L1877" t="n">
        <x:v>1</x:v>
      </x:c>
      <x:c r="M1877" t="n">
        <x:v>0</x:v>
      </x:c>
      <x:c r="N1877" t="str">
        <x:v>Fully Paid</x:v>
      </x:c>
      <x:c r="O1877" t="str">
        <x:f>IF(D1877="","Unknown",IF(D1877&lt;25000,"&lt;$25k",IF(D1877&lt;50000,"$25k-$50k",IF(D1877&lt;75000,"$50k-$75k",IF(D1877&lt;100000,"$75k-$100k","$100k+")))))</x:f>
        <x:v>$25k-$50k</x:v>
      </x:c>
      <x:c r="P1877" t="str">
        <x:f>IF(E1877="","Unknown",IF(E1877&lt;10,"&lt;10",IF(E1877&lt;20,"10-&lt;20",IF(E1877&lt;25,"20-&lt;25",IF(E1877&lt;35,"25-&lt;35","35+")))))</x:f>
        <x:v>10-&lt;20</x:v>
      </x:c>
    </x:row>
    <x:row r="1878">
      <x:c r="A1878" t="str">
        <x:v>SYN0001877</x:v>
      </x:c>
      <x:c r="B1878" s="12" t="n">
        <x:v>42805</x:v>
      </x:c>
      <x:c r="C1878" s="18" t="n">
        <x:v>3321</x:v>
      </x:c>
      <x:c r="D1878" s="18" t="n">
        <x:v>68247</x:v>
      </x:c>
      <x:c r="E1878" s="18" t="n">
        <x:v>16.63</x:v>
      </x:c>
      <x:c r="F1878" s="18" t="n">
        <x:v>6.69</x:v>
      </x:c>
      <x:c r="G1878" t="n">
        <x:v>36</x:v>
      </x:c>
      <x:c r="H1878" t="str">
        <x:v>A</x:v>
      </x:c>
      <x:c r="I1878" t="str">
        <x:v>1-3 years</x:v>
      </x:c>
      <x:c r="J1878" t="str">
        <x:v>RENT</x:v>
      </x:c>
      <x:c r="K1878" t="str">
        <x:v>other</x:v>
      </x:c>
      <x:c r="L1878" t="n">
        <x:v>0</x:v>
      </x:c>
      <x:c r="M1878" t="n">
        <x:v>0</x:v>
      </x:c>
      <x:c r="N1878" t="str">
        <x:v>Fully Paid</x:v>
      </x:c>
      <x:c r="O1878" t="str">
        <x:f>IF(D1878="","Unknown",IF(D1878&lt;25000,"&lt;$25k",IF(D1878&lt;50000,"$25k-$50k",IF(D1878&lt;75000,"$50k-$75k",IF(D1878&lt;100000,"$75k-$100k","$100k+")))))</x:f>
        <x:v>$50k-$75k</x:v>
      </x:c>
      <x:c r="P1878" t="str">
        <x:f>IF(E1878="","Unknown",IF(E1878&lt;10,"&lt;10",IF(E1878&lt;20,"10-&lt;20",IF(E1878&lt;25,"20-&lt;25",IF(E1878&lt;35,"25-&lt;35","35+")))))</x:f>
        <x:v>10-&lt;20</x:v>
      </x:c>
    </x:row>
    <x:row r="1879">
      <x:c r="A1879" t="str">
        <x:v>SYN0001878</x:v>
      </x:c>
      <x:c r="B1879" s="12" t="n">
        <x:v>42865</x:v>
      </x:c>
      <x:c r="C1879" s="18" t="n">
        <x:v>10594</x:v>
      </x:c>
      <x:c r="D1879" s="18" t="n">
        <x:v>178307</x:v>
      </x:c>
      <x:c r="E1879" s="18" t="n">
        <x:v>17.57</x:v>
      </x:c>
      <x:c r="F1879" s="18" t="n">
        <x:v>11.39</x:v>
      </x:c>
      <x:c r="G1879" t="n">
        <x:v>36</x:v>
      </x:c>
      <x:c r="H1879" t="str">
        <x:v>C</x:v>
      </x:c>
      <x:c r="I1879" t="str">
        <x:v>10+ years</x:v>
      </x:c>
      <x:c r="J1879" t="str">
        <x:v>RENT</x:v>
      </x:c>
      <x:c r="K1879" t="str">
        <x:v>debt_consolidation</x:v>
      </x:c>
      <x:c r="L1879" t="n">
        <x:v>0</x:v>
      </x:c>
      <x:c r="M1879" t="n">
        <x:v>0</x:v>
      </x:c>
      <x:c r="N1879" t="str">
        <x:v>Fully Paid</x:v>
      </x:c>
      <x:c r="O1879" t="str">
        <x:f>IF(D1879="","Unknown",IF(D1879&lt;25000,"&lt;$25k",IF(D1879&lt;50000,"$25k-$50k",IF(D1879&lt;75000,"$50k-$75k",IF(D1879&lt;100000,"$75k-$100k","$100k+")))))</x:f>
        <x:v>$100k+</x:v>
      </x:c>
      <x:c r="P1879" t="str">
        <x:f>IF(E1879="","Unknown",IF(E1879&lt;10,"&lt;10",IF(E1879&lt;20,"10-&lt;20",IF(E1879&lt;25,"20-&lt;25",IF(E1879&lt;35,"25-&lt;35","35+")))))</x:f>
        <x:v>10-&lt;20</x:v>
      </x:c>
    </x:row>
    <x:row r="1880">
      <x:c r="A1880" t="str">
        <x:v>SYN0001879</x:v>
      </x:c>
      <x:c r="B1880" s="12" t="n">
        <x:v>42925</x:v>
      </x:c>
      <x:c r="C1880" s="18" t="n">
        <x:v>13440</x:v>
      </x:c>
      <x:c r="D1880" s="18" t="n">
        <x:v>25670</x:v>
      </x:c>
      <x:c r="E1880" s="18" t="n">
        <x:v>0</x:v>
      </x:c>
      <x:c r="F1880" s="18" t="n">
        <x:v>12.72</x:v>
      </x:c>
      <x:c r="G1880" t="n">
        <x:v>36</x:v>
      </x:c>
      <x:c r="H1880" t="str">
        <x:v>C</x:v>
      </x:c>
      <x:c r="I1880" t="str">
        <x:v>7-9 years</x:v>
      </x:c>
      <x:c r="J1880" t="str">
        <x:v>RENT</x:v>
      </x:c>
      <x:c r="K1880" t="str">
        <x:v>debt_consolidation</x:v>
      </x:c>
      <x:c r="L1880" t="n">
        <x:v>0</x:v>
      </x:c>
      <x:c r="M1880" t="n">
        <x:v>0</x:v>
      </x:c>
      <x:c r="N1880" t="str">
        <x:v>Fully Paid</x:v>
      </x:c>
      <x:c r="O1880" t="str">
        <x:f>IF(D1880="","Unknown",IF(D1880&lt;25000,"&lt;$25k",IF(D1880&lt;50000,"$25k-$50k",IF(D1880&lt;75000,"$50k-$75k",IF(D1880&lt;100000,"$75k-$100k","$100k+")))))</x:f>
        <x:v>$25k-$50k</x:v>
      </x:c>
      <x:c r="P1880" t="str">
        <x:f>IF(E1880="","Unknown",IF(E1880&lt;10,"&lt;10",IF(E1880&lt;20,"10-&lt;20",IF(E1880&lt;25,"20-&lt;25",IF(E1880&lt;35,"25-&lt;35","35+")))))</x:f>
        <x:v>Unknown</x:v>
      </x:c>
    </x:row>
    <x:row r="1881">
      <x:c r="A1881" t="str">
        <x:v>SYN0001880</x:v>
      </x:c>
      <x:c r="B1881" s="12" t="n">
        <x:v>41965</x:v>
      </x:c>
      <x:c r="C1881" s="18" t="n">
        <x:v>12012</x:v>
      </x:c>
      <x:c r="D1881" s="18" t="n">
        <x:v>43050</x:v>
      </x:c>
      <x:c r="E1881" s="18" t="n">
        <x:v>29.89</x:v>
      </x:c>
      <x:c r="F1881" s="18" t="n">
        <x:v>12.71</x:v>
      </x:c>
      <x:c r="G1881" t="n">
        <x:v>36</x:v>
      </x:c>
      <x:c r="H1881" t="str">
        <x:v>D</x:v>
      </x:c>
      <x:c r="I1881" t="str">
        <x:v>1-3 years</x:v>
      </x:c>
      <x:c r="J1881" t="str">
        <x:v>RENT</x:v>
      </x:c>
      <x:c r="K1881" t="str">
        <x:v>debt_consolidation</x:v>
      </x:c>
      <x:c r="L1881" t="n">
        <x:v>0</x:v>
      </x:c>
      <x:c r="M1881" t="n">
        <x:v>0</x:v>
      </x:c>
      <x:c r="N1881" t="str">
        <x:v>Fully Paid</x:v>
      </x:c>
      <x:c r="O1881" t="str">
        <x:f>IF(D1881="","Unknown",IF(D1881&lt;25000,"&lt;$25k",IF(D1881&lt;50000,"$25k-$50k",IF(D1881&lt;75000,"$50k-$75k",IF(D1881&lt;100000,"$75k-$100k","$100k+")))))</x:f>
        <x:v>$25k-$50k</x:v>
      </x:c>
      <x:c r="P1881" t="str">
        <x:f>IF(E1881="","Unknown",IF(E1881&lt;10,"&lt;10",IF(E1881&lt;20,"10-&lt;20",IF(E1881&lt;25,"20-&lt;25",IF(E1881&lt;35,"25-&lt;35","35+")))))</x:f>
        <x:v>25-&lt;35</x:v>
      </x:c>
    </x:row>
    <x:row r="1882">
      <x:c r="A1882" t="str">
        <x:v>SYN0001881</x:v>
      </x:c>
      <x:c r="B1882" s="12" t="n">
        <x:v>43045</x:v>
      </x:c>
      <x:c r="C1882" s="18" t="n">
        <x:v>16871</x:v>
      </x:c>
      <x:c r="D1882" s="18" t="n">
        <x:v>82731</x:v>
      </x:c>
      <x:c r="E1882" s="18" t="n">
        <x:v>1.79</x:v>
      </x:c>
      <x:c r="F1882" s="18" t="n">
        <x:v>8.85</x:v>
      </x:c>
      <x:c r="G1882" t="n">
        <x:v>36</x:v>
      </x:c>
      <x:c r="H1882" t="str">
        <x:v>A</x:v>
      </x:c>
      <x:c r="I1882" t="str">
        <x:v>1-3 years</x:v>
      </x:c>
      <x:c r="J1882" t="str">
        <x:v>MORTGAGE</x:v>
      </x:c>
      <x:c r="K1882" t="str">
        <x:v>debt_consolidation</x:v>
      </x:c>
      <x:c r="L1882" t="n">
        <x:v>0</x:v>
      </x:c>
      <x:c r="M1882" t="n">
        <x:v>0</x:v>
      </x:c>
      <x:c r="N1882" t="str">
        <x:v>Fully Paid</x:v>
      </x:c>
      <x:c r="O1882" t="str">
        <x:f>IF(D1882="","Unknown",IF(D1882&lt;25000,"&lt;$25k",IF(D1882&lt;50000,"$25k-$50k",IF(D1882&lt;75000,"$50k-$75k",IF(D1882&lt;100000,"$75k-$100k","$100k+")))))</x:f>
        <x:v>$75k-$100k</x:v>
      </x:c>
      <x:c r="P1882" t="str">
        <x:f>IF(E1882="","Unknown",IF(E1882&lt;10,"&lt;10",IF(E1882&lt;20,"10-&lt;20",IF(E1882&lt;25,"20-&lt;25",IF(E1882&lt;35,"25-&lt;35","35+")))))</x:f>
        <x:v>&lt;10</x:v>
      </x:c>
    </x:row>
    <x:row r="1883">
      <x:c r="A1883" t="str">
        <x:v>SYN0001882</x:v>
      </x:c>
      <x:c r="B1883" s="12" t="n">
        <x:v>43375</x:v>
      </x:c>
      <x:c r="C1883" s="18" t="n">
        <x:v>20329</x:v>
      </x:c>
      <x:c r="D1883" s="18" t="n">
        <x:v>63565</x:v>
      </x:c>
      <x:c r="E1883" s="18" t="n">
        <x:v>0.04</x:v>
      </x:c>
      <x:c r="F1883" s="18" t="n">
        <x:v>8.06</x:v>
      </x:c>
      <x:c r="G1883" t="n">
        <x:v>36</x:v>
      </x:c>
      <x:c r="H1883" t="str">
        <x:v>B</x:v>
      </x:c>
      <x:c r="I1883" t="str">
        <x:v>7-9 years</x:v>
      </x:c>
      <x:c r="J1883" t="str">
        <x:v>RENT</x:v>
      </x:c>
      <x:c r="K1883" t="str">
        <x:v>debt_consolidation</x:v>
      </x:c>
      <x:c r="L1883" t="n">
        <x:v>1</x:v>
      </x:c>
      <x:c r="M1883" t="n">
        <x:v>0</x:v>
      </x:c>
      <x:c r="N1883" t="str">
        <x:v>Fully Paid</x:v>
      </x:c>
      <x:c r="O1883" t="str">
        <x:f>IF(D1883="","Unknown",IF(D1883&lt;25000,"&lt;$25k",IF(D1883&lt;50000,"$25k-$50k",IF(D1883&lt;75000,"$50k-$75k",IF(D1883&lt;100000,"$75k-$100k","$100k+")))))</x:f>
        <x:v>$50k-$75k</x:v>
      </x:c>
      <x:c r="P1883" t="str">
        <x:f>IF(E1883="","Unknown",IF(E1883&lt;10,"&lt;10",IF(E1883&lt;20,"10-&lt;20",IF(E1883&lt;25,"20-&lt;25",IF(E1883&lt;35,"25-&lt;35","35+")))))</x:f>
        <x:v>&lt;10</x:v>
      </x:c>
    </x:row>
    <x:row r="1884">
      <x:c r="A1884" t="str">
        <x:v>SYN0001883</x:v>
      </x:c>
      <x:c r="B1884" s="12" t="n">
        <x:v>41305</x:v>
      </x:c>
      <x:c r="C1884" s="18" t="n">
        <x:v>21073</x:v>
      </x:c>
      <x:c r="D1884" s="18" t="n">
        <x:v>48425</x:v>
      </x:c>
      <x:c r="E1884" s="18" t="n">
        <x:v>10.21</x:v>
      </x:c>
      <x:c r="F1884" s="18" t="n">
        <x:v>12.92</x:v>
      </x:c>
      <x:c r="G1884" t="n">
        <x:v>60</x:v>
      </x:c>
      <x:c r="H1884" t="str">
        <x:v>C</x:v>
      </x:c>
      <x:c r="I1884" t="str">
        <x:v>7-9 years</x:v>
      </x:c>
      <x:c r="J1884" t="str">
        <x:v>RENT</x:v>
      </x:c>
      <x:c r="K1884" t="str">
        <x:v>debt_consolidation</x:v>
      </x:c>
      <x:c r="L1884" t="n">
        <x:v>1</x:v>
      </x:c>
      <x:c r="M1884" t="n">
        <x:v>0</x:v>
      </x:c>
      <x:c r="N1884" t="str">
        <x:v>Fully Paid</x:v>
      </x:c>
      <x:c r="O1884" t="str">
        <x:f>IF(D1884="","Unknown",IF(D1884&lt;25000,"&lt;$25k",IF(D1884&lt;50000,"$25k-$50k",IF(D1884&lt;75000,"$50k-$75k",IF(D1884&lt;100000,"$75k-$100k","$100k+")))))</x:f>
        <x:v>$25k-$50k</x:v>
      </x:c>
      <x:c r="P1884" t="str">
        <x:f>IF(E1884="","Unknown",IF(E1884&lt;10,"&lt;10",IF(E1884&lt;20,"10-&lt;20",IF(E1884&lt;25,"20-&lt;25",IF(E1884&lt;35,"25-&lt;35","35+")))))</x:f>
        <x:v>10-&lt;20</x:v>
      </x:c>
    </x:row>
    <x:row r="1885">
      <x:c r="A1885" t="str">
        <x:v>SYN0001884</x:v>
      </x:c>
      <x:c r="B1885" s="12" t="n">
        <x:v>41275</x:v>
      </x:c>
      <x:c r="C1885" s="18" t="n">
        <x:v>19613</x:v>
      </x:c>
      <x:c r="D1885" s="18" t="n">
        <x:v>29314</x:v>
      </x:c>
      <x:c r="E1885" s="18" t="n">
        <x:v>28</x:v>
      </x:c>
      <x:c r="F1885" s="18" t="n">
        <x:v>10.06</x:v>
      </x:c>
      <x:c r="G1885" t="n">
        <x:v>36</x:v>
      </x:c>
      <x:c r="H1885" t="str">
        <x:v>C</x:v>
      </x:c>
      <x:c r="I1885" t="str">
        <x:v>7-9 years</x:v>
      </x:c>
      <x:c r="J1885" t="str">
        <x:v>MORTGAGE</x:v>
      </x:c>
      <x:c r="K1885" t="str">
        <x:v>debt_consolidation</x:v>
      </x:c>
      <x:c r="L1885" t="n">
        <x:v>0</x:v>
      </x:c>
      <x:c r="M1885" t="n">
        <x:v>0</x:v>
      </x:c>
      <x:c r="N1885" t="str">
        <x:v>Fully Paid</x:v>
      </x:c>
      <x:c r="O1885" t="str">
        <x:f>IF(D1885="","Unknown",IF(D1885&lt;25000,"&lt;$25k",IF(D1885&lt;50000,"$25k-$50k",IF(D1885&lt;75000,"$50k-$75k",IF(D1885&lt;100000,"$75k-$100k","$100k+")))))</x:f>
        <x:v>$25k-$50k</x:v>
      </x:c>
      <x:c r="P1885" t="str">
        <x:f>IF(E1885="","Unknown",IF(E1885&lt;10,"&lt;10",IF(E1885&lt;20,"10-&lt;20",IF(E1885&lt;25,"20-&lt;25",IF(E1885&lt;35,"25-&lt;35","35+")))))</x:f>
        <x:v>25-&lt;35</x:v>
      </x:c>
    </x:row>
    <x:row r="1886">
      <x:c r="A1886" t="str">
        <x:v>SYN0001885</x:v>
      </x:c>
      <x:c r="B1886" s="12" t="n">
        <x:v>43405</x:v>
      </x:c>
      <x:c r="C1886" s="18" t="n">
        <x:v>7005</x:v>
      </x:c>
      <x:c r="D1886" s="18" t="n">
        <x:v>21303</x:v>
      </x:c>
      <x:c r="E1886" s="18" t="n">
        <x:v>24.75</x:v>
      </x:c>
      <x:c r="F1886" s="18" t="n">
        <x:v>6.76</x:v>
      </x:c>
      <x:c r="G1886" t="n">
        <x:v>60</x:v>
      </x:c>
      <x:c r="H1886" t="str">
        <x:v>A</x:v>
      </x:c>
      <x:c r="I1886" t="str">
        <x:v>&lt;1 year</x:v>
      </x:c>
      <x:c r="J1886" t="str">
        <x:v>RENT</x:v>
      </x:c>
      <x:c r="K1886" t="str">
        <x:v>debt_consolidation</x:v>
      </x:c>
      <x:c r="L1886" t="n">
        <x:v>0</x:v>
      </x:c>
      <x:c r="M1886" t="n">
        <x:v>0</x:v>
      </x:c>
      <x:c r="N1886" t="str">
        <x:v>Fully Paid</x:v>
      </x:c>
      <x:c r="O1886" t="str">
        <x:f>IF(D1886="","Unknown",IF(D1886&lt;25000,"&lt;$25k",IF(D1886&lt;50000,"$25k-$50k",IF(D1886&lt;75000,"$50k-$75k",IF(D1886&lt;100000,"$75k-$100k","$100k+")))))</x:f>
        <x:v>&lt;$25k</x:v>
      </x:c>
      <x:c r="P1886" t="str">
        <x:f>IF(E1886="","Unknown",IF(E1886&lt;10,"&lt;10",IF(E1886&lt;20,"10-&lt;20",IF(E1886&lt;25,"20-&lt;25",IF(E1886&lt;35,"25-&lt;35","35+")))))</x:f>
        <x:v>20-&lt;25</x:v>
      </x:c>
    </x:row>
    <x:row r="1887">
      <x:c r="A1887" t="str">
        <x:v>SYN0001886</x:v>
      </x:c>
      <x:c r="B1887" s="12" t="n">
        <x:v>41455</x:v>
      </x:c>
      <x:c r="C1887" s="18" t="n">
        <x:v>15110</x:v>
      </x:c>
      <x:c r="D1887" s="18" t="n">
        <x:v>123161</x:v>
      </x:c>
      <x:c r="E1887" s="18" t="n">
        <x:v>32.3</x:v>
      </x:c>
      <x:c r="F1887" s="18" t="n">
        <x:v>5.3</x:v>
      </x:c>
      <x:c r="G1887" t="n">
        <x:v>60</x:v>
      </x:c>
      <x:c r="H1887" t="str">
        <x:v>A</x:v>
      </x:c>
      <x:c r="I1887" t="str">
        <x:v>1-3 years</x:v>
      </x:c>
      <x:c r="J1887" t="str">
        <x:v>MORTGAGE</x:v>
      </x:c>
      <x:c r="K1887" t="str">
        <x:v>debt_consolidation</x:v>
      </x:c>
      <x:c r="L1887" t="n">
        <x:v>0</x:v>
      </x:c>
      <x:c r="M1887" t="n">
        <x:v>0</x:v>
      </x:c>
      <x:c r="N1887" t="str">
        <x:v>Fully Paid</x:v>
      </x:c>
      <x:c r="O1887" t="str">
        <x:f>IF(D1887="","Unknown",IF(D1887&lt;25000,"&lt;$25k",IF(D1887&lt;50000,"$25k-$50k",IF(D1887&lt;75000,"$50k-$75k",IF(D1887&lt;100000,"$75k-$100k","$100k+")))))</x:f>
        <x:v>$100k+</x:v>
      </x:c>
      <x:c r="P1887" t="str">
        <x:f>IF(E1887="","Unknown",IF(E1887&lt;10,"&lt;10",IF(E1887&lt;20,"10-&lt;20",IF(E1887&lt;25,"20-&lt;25",IF(E1887&lt;35,"25-&lt;35","35+")))))</x:f>
        <x:v>25-&lt;35</x:v>
      </x:c>
    </x:row>
    <x:row r="1888">
      <x:c r="A1888" t="str">
        <x:v>SYN0001887</x:v>
      </x:c>
      <x:c r="B1888" s="12" t="n">
        <x:v>42325</x:v>
      </x:c>
      <x:c r="C1888" s="18" t="n">
        <x:v>11773</x:v>
      </x:c>
      <x:c r="D1888" s="18" t="n">
        <x:v>54712</x:v>
      </x:c>
      <x:c r="E1888" s="18" t="n">
        <x:v>0</x:v>
      </x:c>
      <x:c r="F1888" s="18" t="n">
        <x:v>5</x:v>
      </x:c>
      <x:c r="G1888" t="n">
        <x:v>36</x:v>
      </x:c>
      <x:c r="H1888" t="str">
        <x:v>A</x:v>
      </x:c>
      <x:c r="I1888" t="str">
        <x:v>7-9 years</x:v>
      </x:c>
      <x:c r="J1888" t="str">
        <x:v>MORTGAGE</x:v>
      </x:c>
      <x:c r="K1888" t="str">
        <x:v>credit_card</x:v>
      </x:c>
      <x:c r="L1888" t="n">
        <x:v>0</x:v>
      </x:c>
      <x:c r="M1888" t="n">
        <x:v>0</x:v>
      </x:c>
      <x:c r="N1888" t="str">
        <x:v>Fully Paid</x:v>
      </x:c>
      <x:c r="O1888" t="str">
        <x:f>IF(D1888="","Unknown",IF(D1888&lt;25000,"&lt;$25k",IF(D1888&lt;50000,"$25k-$50k",IF(D1888&lt;75000,"$50k-$75k",IF(D1888&lt;100000,"$75k-$100k","$100k+")))))</x:f>
        <x:v>$50k-$75k</x:v>
      </x:c>
      <x:c r="P1888" t="str">
        <x:f>IF(E1888="","Unknown",IF(E1888&lt;10,"&lt;10",IF(E1888&lt;20,"10-&lt;20",IF(E1888&lt;25,"20-&lt;25",IF(E1888&lt;35,"25-&lt;35","35+")))))</x:f>
        <x:v>Unknown</x:v>
      </x:c>
    </x:row>
    <x:row r="1889">
      <x:c r="A1889" t="str">
        <x:v>SYN0001888</x:v>
      </x:c>
      <x:c r="B1889" s="12" t="n">
        <x:v>41815</x:v>
      </x:c>
      <x:c r="C1889" s="18" t="n">
        <x:v>6467</x:v>
      </x:c>
      <x:c r="D1889" s="18" t="n">
        <x:v>67424</x:v>
      </x:c>
      <x:c r="E1889" s="18" t="n">
        <x:v>22.78</x:v>
      </x:c>
      <x:c r="F1889" s="18" t="n">
        <x:v>6.23</x:v>
      </x:c>
      <x:c r="G1889" t="n">
        <x:v>36</x:v>
      </x:c>
      <x:c r="H1889" t="str">
        <x:v>A</x:v>
      </x:c>
      <x:c r="I1889" t="str">
        <x:v>7-9 years</x:v>
      </x:c>
      <x:c r="J1889" t="str">
        <x:v>MORTGAGE</x:v>
      </x:c>
      <x:c r="K1889" t="str">
        <x:v>home_improvement</x:v>
      </x:c>
      <x:c r="L1889" t="n">
        <x:v>0</x:v>
      </x:c>
      <x:c r="M1889" t="n">
        <x:v>0</x:v>
      </x:c>
      <x:c r="N1889" t="str">
        <x:v>Fully Paid</x:v>
      </x:c>
      <x:c r="O1889" t="str">
        <x:f>IF(D1889="","Unknown",IF(D1889&lt;25000,"&lt;$25k",IF(D1889&lt;50000,"$25k-$50k",IF(D1889&lt;75000,"$50k-$75k",IF(D1889&lt;100000,"$75k-$100k","$100k+")))))</x:f>
        <x:v>$50k-$75k</x:v>
      </x:c>
      <x:c r="P1889" t="str">
        <x:f>IF(E1889="","Unknown",IF(E1889&lt;10,"&lt;10",IF(E1889&lt;20,"10-&lt;20",IF(E1889&lt;25,"20-&lt;25",IF(E1889&lt;35,"25-&lt;35","35+")))))</x:f>
        <x:v>20-&lt;25</x:v>
      </x:c>
    </x:row>
    <x:row r="1890">
      <x:c r="A1890" t="str">
        <x:v>SYN0001889</x:v>
      </x:c>
      <x:c r="B1890" s="12" t="n">
        <x:v>42445</x:v>
      </x:c>
      <x:c r="C1890" s="18" t="n">
        <x:v>13499</x:v>
      </x:c>
      <x:c r="D1890" s="18" t="n">
        <x:v>18044</x:v>
      </x:c>
      <x:c r="E1890" s="18" t="n">
        <x:v>23.43</x:v>
      </x:c>
      <x:c r="F1890" s="18" t="n">
        <x:v>7.63</x:v>
      </x:c>
      <x:c r="G1890" t="n">
        <x:v>60</x:v>
      </x:c>
      <x:c r="H1890" t="str">
        <x:v>B</x:v>
      </x:c>
      <x:c r="I1890" t="str">
        <x:v>10+ years</x:v>
      </x:c>
      <x:c r="J1890" t="str">
        <x:v>RENT</x:v>
      </x:c>
      <x:c r="K1890" t="str">
        <x:v>debt_consolidation</x:v>
      </x:c>
      <x:c r="L1890" t="n">
        <x:v>0</x:v>
      </x:c>
      <x:c r="M1890" t="n">
        <x:v>0</x:v>
      </x:c>
      <x:c r="N1890" t="str">
        <x:v>Fully Paid</x:v>
      </x:c>
      <x:c r="O1890" t="str">
        <x:f>IF(D1890="","Unknown",IF(D1890&lt;25000,"&lt;$25k",IF(D1890&lt;50000,"$25k-$50k",IF(D1890&lt;75000,"$50k-$75k",IF(D1890&lt;100000,"$75k-$100k","$100k+")))))</x:f>
        <x:v>&lt;$25k</x:v>
      </x:c>
      <x:c r="P1890" t="str">
        <x:f>IF(E1890="","Unknown",IF(E1890&lt;10,"&lt;10",IF(E1890&lt;20,"10-&lt;20",IF(E1890&lt;25,"20-&lt;25",IF(E1890&lt;35,"25-&lt;35","35+")))))</x:f>
        <x:v>20-&lt;25</x:v>
      </x:c>
    </x:row>
    <x:row r="1891">
      <x:c r="A1891" t="str">
        <x:v>SYN0001890</x:v>
      </x:c>
      <x:c r="B1891" s="12" t="n">
        <x:v>42295</x:v>
      </x:c>
      <x:c r="C1891" s="18" t="n">
        <x:v>23073</x:v>
      </x:c>
      <x:c r="D1891" s="18" t="n">
        <x:v>30488</x:v>
      </x:c>
      <x:c r="E1891" s="18" t="n">
        <x:v>29.5</x:v>
      </x:c>
      <x:c r="F1891" s="18" t="n">
        <x:v>13.68</x:v>
      </x:c>
      <x:c r="G1891" t="n">
        <x:v>36</x:v>
      </x:c>
      <x:c r="H1891" t="str">
        <x:v>D</x:v>
      </x:c>
      <x:c r="I1891" t="str">
        <x:v>1-3 years</x:v>
      </x:c>
      <x:c r="J1891" t="str">
        <x:v>OWN</x:v>
      </x:c>
      <x:c r="K1891" t="str">
        <x:v>home_improvement</x:v>
      </x:c>
      <x:c r="L1891" t="n">
        <x:v>0</x:v>
      </x:c>
      <x:c r="M1891" t="n">
        <x:v>0</x:v>
      </x:c>
      <x:c r="N1891" t="str">
        <x:v>Fully Paid</x:v>
      </x:c>
      <x:c r="O1891" t="str">
        <x:f>IF(D1891="","Unknown",IF(D1891&lt;25000,"&lt;$25k",IF(D1891&lt;50000,"$25k-$50k",IF(D1891&lt;75000,"$50k-$75k",IF(D1891&lt;100000,"$75k-$100k","$100k+")))))</x:f>
        <x:v>$25k-$50k</x:v>
      </x:c>
      <x:c r="P1891" t="str">
        <x:f>IF(E1891="","Unknown",IF(E1891&lt;10,"&lt;10",IF(E1891&lt;20,"10-&lt;20",IF(E1891&lt;25,"20-&lt;25",IF(E1891&lt;35,"25-&lt;35","35+")))))</x:f>
        <x:v>25-&lt;35</x:v>
      </x:c>
    </x:row>
    <x:row r="1892">
      <x:c r="A1892" t="str">
        <x:v>SYN0001891</x:v>
      </x:c>
      <x:c r="B1892" s="12" t="n">
        <x:v>41425</x:v>
      </x:c>
      <x:c r="C1892" s="18" t="n">
        <x:v>11142</x:v>
      </x:c>
      <x:c r="D1892" s="18" t="n">
        <x:v>39627</x:v>
      </x:c>
      <x:c r="E1892" s="18" t="n">
        <x:v>12.16</x:v>
      </x:c>
      <x:c r="F1892" s="18" t="n">
        <x:v>6.66</x:v>
      </x:c>
      <x:c r="G1892" t="n">
        <x:v>36</x:v>
      </x:c>
      <x:c r="H1892" t="str">
        <x:v>A</x:v>
      </x:c>
      <x:c r="I1892" t="str">
        <x:v>4-6 years</x:v>
      </x:c>
      <x:c r="J1892" t="str">
        <x:v>MORTGAGE</x:v>
      </x:c>
      <x:c r="K1892" t="str">
        <x:v>debt_consolidation</x:v>
      </x:c>
      <x:c r="L1892" t="n">
        <x:v>0</x:v>
      </x:c>
      <x:c r="M1892" t="n">
        <x:v>0</x:v>
      </x:c>
      <x:c r="N1892" t="str">
        <x:v>Fully Paid</x:v>
      </x:c>
      <x:c r="O1892" t="str">
        <x:f>IF(D1892="","Unknown",IF(D1892&lt;25000,"&lt;$25k",IF(D1892&lt;50000,"$25k-$50k",IF(D1892&lt;75000,"$50k-$75k",IF(D1892&lt;100000,"$75k-$100k","$100k+")))))</x:f>
        <x:v>$25k-$50k</x:v>
      </x:c>
      <x:c r="P1892" t="str">
        <x:f>IF(E1892="","Unknown",IF(E1892&lt;10,"&lt;10",IF(E1892&lt;20,"10-&lt;20",IF(E1892&lt;25,"20-&lt;25",IF(E1892&lt;35,"25-&lt;35","35+")))))</x:f>
        <x:v>10-&lt;20</x:v>
      </x:c>
    </x:row>
    <x:row r="1893">
      <x:c r="A1893" t="str">
        <x:v>SYN0001892</x:v>
      </x:c>
      <x:c r="B1893" s="12" t="n">
        <x:v>42445</x:v>
      </x:c>
      <x:c r="C1893" s="18" t="n">
        <x:v>12892</x:v>
      </x:c>
      <x:c r="D1893" s="18" t="n">
        <x:v>54664</x:v>
      </x:c>
      <x:c r="E1893" s="18" t="n">
        <x:v>22.32</x:v>
      </x:c>
      <x:c r="F1893" s="18" t="n">
        <x:v>15.59</x:v>
      </x:c>
      <x:c r="G1893" t="n">
        <x:v>36</x:v>
      </x:c>
      <x:c r="H1893" t="str">
        <x:v>D</x:v>
      </x:c>
      <x:c r="I1893" t="str">
        <x:v>10+ years</x:v>
      </x:c>
      <x:c r="J1893" t="str">
        <x:v>MORTGAGE</x:v>
      </x:c>
      <x:c r="K1893" t="str">
        <x:v>credit_card</x:v>
      </x:c>
      <x:c r="L1893" t="n">
        <x:v>1</x:v>
      </x:c>
      <x:c r="M1893" t="n">
        <x:v>0</x:v>
      </x:c>
      <x:c r="N1893" t="str">
        <x:v>Fully Paid</x:v>
      </x:c>
      <x:c r="O1893" t="str">
        <x:f>IF(D1893="","Unknown",IF(D1893&lt;25000,"&lt;$25k",IF(D1893&lt;50000,"$25k-$50k",IF(D1893&lt;75000,"$50k-$75k",IF(D1893&lt;100000,"$75k-$100k","$100k+")))))</x:f>
        <x:v>$50k-$75k</x:v>
      </x:c>
      <x:c r="P1893" t="str">
        <x:f>IF(E1893="","Unknown",IF(E1893&lt;10,"&lt;10",IF(E1893&lt;20,"10-&lt;20",IF(E1893&lt;25,"20-&lt;25",IF(E1893&lt;35,"25-&lt;35","35+")))))</x:f>
        <x:v>20-&lt;25</x:v>
      </x:c>
    </x:row>
    <x:row r="1894">
      <x:c r="A1894" t="str">
        <x:v>SYN0001893</x:v>
      </x:c>
      <x:c r="B1894" s="12" t="n">
        <x:v>41965</x:v>
      </x:c>
      <x:c r="C1894" s="18" t="n">
        <x:v>14498</x:v>
      </x:c>
      <x:c r="D1894" s="18" t="n">
        <x:v>61959</x:v>
      </x:c>
      <x:c r="E1894" s="18" t="n">
        <x:v>9.28</x:v>
      </x:c>
      <x:c r="F1894" s="18" t="n">
        <x:v>5</x:v>
      </x:c>
      <x:c r="G1894" t="n">
        <x:v>36</x:v>
      </x:c>
      <x:c r="H1894" t="str">
        <x:v>A</x:v>
      </x:c>
      <x:c r="I1894" t="str">
        <x:v>&lt;1 year</x:v>
      </x:c>
      <x:c r="J1894" t="str">
        <x:v>RENT</x:v>
      </x:c>
      <x:c r="K1894" t="str">
        <x:v>major_purchase</x:v>
      </x:c>
      <x:c r="L1894" t="n">
        <x:v>0</x:v>
      </x:c>
      <x:c r="M1894" t="n">
        <x:v>0</x:v>
      </x:c>
      <x:c r="N1894" t="str">
        <x:v>Fully Paid</x:v>
      </x:c>
      <x:c r="O1894" t="str">
        <x:f>IF(D1894="","Unknown",IF(D1894&lt;25000,"&lt;$25k",IF(D1894&lt;50000,"$25k-$50k",IF(D1894&lt;75000,"$50k-$75k",IF(D1894&lt;100000,"$75k-$100k","$100k+")))))</x:f>
        <x:v>$50k-$75k</x:v>
      </x:c>
      <x:c r="P1894" t="str">
        <x:f>IF(E1894="","Unknown",IF(E1894&lt;10,"&lt;10",IF(E1894&lt;20,"10-&lt;20",IF(E1894&lt;25,"20-&lt;25",IF(E1894&lt;35,"25-&lt;35","35+")))))</x:f>
        <x:v>&lt;10</x:v>
      </x:c>
    </x:row>
    <x:row r="1895">
      <x:c r="A1895" t="str">
        <x:v>SYN0001894</x:v>
      </x:c>
      <x:c r="B1895" s="12" t="n">
        <x:v>41935</x:v>
      </x:c>
      <x:c r="C1895" s="18" t="n">
        <x:v>7228</x:v>
      </x:c>
      <x:c r="D1895" s="18" t="n">
        <x:v>250000</x:v>
      </x:c>
      <x:c r="E1895" s="18" t="n">
        <x:v>16.17</x:v>
      </x:c>
      <x:c r="F1895" s="18" t="n">
        <x:v>11.53</x:v>
      </x:c>
      <x:c r="G1895" t="n">
        <x:v>60</x:v>
      </x:c>
      <x:c r="H1895" t="str">
        <x:v>A</x:v>
      </x:c>
      <x:c r="I1895" t="str">
        <x:v>4-6 years</x:v>
      </x:c>
      <x:c r="J1895" t="str">
        <x:v>OTHER</x:v>
      </x:c>
      <x:c r="K1895" t="str">
        <x:v>credit_card</x:v>
      </x:c>
      <x:c r="L1895" t="n">
        <x:v>0</x:v>
      </x:c>
      <x:c r="M1895" t="n">
        <x:v>0</x:v>
      </x:c>
      <x:c r="N1895" t="str">
        <x:v>Fully Paid</x:v>
      </x:c>
      <x:c r="O1895" t="str">
        <x:f>IF(D1895="","Unknown",IF(D1895&lt;25000,"&lt;$25k",IF(D1895&lt;50000,"$25k-$50k",IF(D1895&lt;75000,"$50k-$75k",IF(D1895&lt;100000,"$75k-$100k","$100k+")))))</x:f>
        <x:v>$100k+</x:v>
      </x:c>
      <x:c r="P1895" t="str">
        <x:f>IF(E1895="","Unknown",IF(E1895&lt;10,"&lt;10",IF(E1895&lt;20,"10-&lt;20",IF(E1895&lt;25,"20-&lt;25",IF(E1895&lt;35,"25-&lt;35","35+")))))</x:f>
        <x:v>10-&lt;20</x:v>
      </x:c>
    </x:row>
    <x:row r="1896">
      <x:c r="A1896" t="str">
        <x:v>SYN0001895</x:v>
      </x:c>
      <x:c r="B1896" s="12" t="n">
        <x:v>41785</x:v>
      </x:c>
      <x:c r="C1896" s="18" t="n">
        <x:v>14728</x:v>
      </x:c>
      <x:c r="D1896" s="18" t="n">
        <x:v>64876</x:v>
      </x:c>
      <x:c r="E1896" s="18" t="n">
        <x:v>22.18</x:v>
      </x:c>
      <x:c r="F1896" s="18" t="n">
        <x:v>9.35</x:v>
      </x:c>
      <x:c r="G1896" t="n">
        <x:v>36</x:v>
      </x:c>
      <x:c r="H1896" t="str">
        <x:v>B</x:v>
      </x:c>
      <x:c r="I1896" t="str">
        <x:v>1-3 years</x:v>
      </x:c>
      <x:c r="J1896" t="str">
        <x:v>RENT</x:v>
      </x:c>
      <x:c r="K1896" t="str">
        <x:v>credit_card</x:v>
      </x:c>
      <x:c r="L1896" t="n">
        <x:v>1</x:v>
      </x:c>
      <x:c r="M1896" t="n">
        <x:v>0</x:v>
      </x:c>
      <x:c r="N1896" t="str">
        <x:v>Fully Paid</x:v>
      </x:c>
      <x:c r="O1896" t="str">
        <x:f>IF(D1896="","Unknown",IF(D1896&lt;25000,"&lt;$25k",IF(D1896&lt;50000,"$25k-$50k",IF(D1896&lt;75000,"$50k-$75k",IF(D1896&lt;100000,"$75k-$100k","$100k+")))))</x:f>
        <x:v>$50k-$75k</x:v>
      </x:c>
      <x:c r="P1896" t="str">
        <x:f>IF(E1896="","Unknown",IF(E1896&lt;10,"&lt;10",IF(E1896&lt;20,"10-&lt;20",IF(E1896&lt;25,"20-&lt;25",IF(E1896&lt;35,"25-&lt;35","35+")))))</x:f>
        <x:v>20-&lt;25</x:v>
      </x:c>
    </x:row>
    <x:row r="1897">
      <x:c r="A1897" t="str">
        <x:v>SYN0001896</x:v>
      </x:c>
      <x:c r="B1897" s="12" t="n">
        <x:v>42145</x:v>
      </x:c>
      <x:c r="C1897" s="18" t="n">
        <x:v>12160</x:v>
      </x:c>
      <x:c r="D1897" s="18" t="n">
        <x:v>45546</x:v>
      </x:c>
      <x:c r="E1897" s="18" t="n">
        <x:v>40.25</x:v>
      </x:c>
      <x:c r="F1897" s="18" t="n">
        <x:v>19.21</x:v>
      </x:c>
      <x:c r="G1897" t="n">
        <x:v>60</x:v>
      </x:c>
      <x:c r="H1897" t="str">
        <x:v>E</x:v>
      </x:c>
      <x:c r="I1897" t="str">
        <x:v>10+ years</x:v>
      </x:c>
      <x:c r="J1897" t="str">
        <x:v>MORTGAGE</x:v>
      </x:c>
      <x:c r="K1897" t="str">
        <x:v>medical</x:v>
      </x:c>
      <x:c r="L1897" t="n">
        <x:v>0</x:v>
      </x:c>
      <x:c r="M1897" t="n">
        <x:v>1</x:v>
      </x:c>
      <x:c r="N1897" t="str">
        <x:v>Charged Off</x:v>
      </x:c>
      <x:c r="O1897" t="str">
        <x:f>IF(D1897="","Unknown",IF(D1897&lt;25000,"&lt;$25k",IF(D1897&lt;50000,"$25k-$50k",IF(D1897&lt;75000,"$50k-$75k",IF(D1897&lt;100000,"$75k-$100k","$100k+")))))</x:f>
        <x:v>$25k-$50k</x:v>
      </x:c>
      <x:c r="P1897" t="str">
        <x:f>IF(E1897="","Unknown",IF(E1897&lt;10,"&lt;10",IF(E1897&lt;20,"10-&lt;20",IF(E1897&lt;25,"20-&lt;25",IF(E1897&lt;35,"25-&lt;35","35+")))))</x:f>
        <x:v>35+</x:v>
      </x:c>
    </x:row>
    <x:row r="1898">
      <x:c r="A1898" t="str">
        <x:v>SYN0001897</x:v>
      </x:c>
      <x:c r="B1898" s="12" t="n">
        <x:v>42505</x:v>
      </x:c>
      <x:c r="C1898" s="18" t="n">
        <x:v>19734</x:v>
      </x:c>
      <x:c r="D1898" s="18" t="n">
        <x:v>34767</x:v>
      </x:c>
      <x:c r="E1898" s="18" t="n">
        <x:v>18.28</x:v>
      </x:c>
      <x:c r="F1898" s="18" t="n">
        <x:v>14.47</x:v>
      </x:c>
      <x:c r="G1898" t="n">
        <x:v>36</x:v>
      </x:c>
      <x:c r="H1898" t="str">
        <x:v>D</x:v>
      </x:c>
      <x:c r="I1898" t="str">
        <x:v>10+ years</x:v>
      </x:c>
      <x:c r="J1898" t="str">
        <x:v>OTHER</x:v>
      </x:c>
      <x:c r="K1898" t="str">
        <x:v>home_improvement</x:v>
      </x:c>
      <x:c r="L1898" t="n">
        <x:v>0</x:v>
      </x:c>
      <x:c r="M1898" t="n">
        <x:v>1</x:v>
      </x:c>
      <x:c r="N1898" t="str">
        <x:v>Charged Off</x:v>
      </x:c>
      <x:c r="O1898" t="str">
        <x:f>IF(D1898="","Unknown",IF(D1898&lt;25000,"&lt;$25k",IF(D1898&lt;50000,"$25k-$50k",IF(D1898&lt;75000,"$50k-$75k",IF(D1898&lt;100000,"$75k-$100k","$100k+")))))</x:f>
        <x:v>$25k-$50k</x:v>
      </x:c>
      <x:c r="P1898" t="str">
        <x:f>IF(E1898="","Unknown",IF(E1898&lt;10,"&lt;10",IF(E1898&lt;20,"10-&lt;20",IF(E1898&lt;25,"20-&lt;25",IF(E1898&lt;35,"25-&lt;35","35+")))))</x:f>
        <x:v>10-&lt;20</x:v>
      </x:c>
    </x:row>
    <x:row r="1899">
      <x:c r="A1899" t="str">
        <x:v>SYN0001898</x:v>
      </x:c>
      <x:c r="B1899" s="12" t="n">
        <x:v>41365</x:v>
      </x:c>
      <x:c r="C1899" s="18" t="n">
        <x:v>19144</x:v>
      </x:c>
      <x:c r="D1899" s="18" t="n">
        <x:v>44343</x:v>
      </x:c>
      <x:c r="E1899" s="18" t="n">
        <x:v>9.89</x:v>
      </x:c>
      <x:c r="F1899" s="18" t="n">
        <x:v>6.68</x:v>
      </x:c>
      <x:c r="G1899" t="n">
        <x:v>36</x:v>
      </x:c>
      <x:c r="H1899" t="str">
        <x:v>B</x:v>
      </x:c>
      <x:c r="I1899" t="str">
        <x:v>4-6 years</x:v>
      </x:c>
      <x:c r="J1899" t="str">
        <x:v>MORTGAGE</x:v>
      </x:c>
      <x:c r="K1899" t="str">
        <x:v>debt_consolidation</x:v>
      </x:c>
      <x:c r="L1899" t="n">
        <x:v>0</x:v>
      </x:c>
      <x:c r="M1899" t="n">
        <x:v>0</x:v>
      </x:c>
      <x:c r="N1899" t="str">
        <x:v>Fully Paid</x:v>
      </x:c>
      <x:c r="O1899" t="str">
        <x:f>IF(D1899="","Unknown",IF(D1899&lt;25000,"&lt;$25k",IF(D1899&lt;50000,"$25k-$50k",IF(D1899&lt;75000,"$50k-$75k",IF(D1899&lt;100000,"$75k-$100k","$100k+")))))</x:f>
        <x:v>$25k-$50k</x:v>
      </x:c>
      <x:c r="P1899" t="str">
        <x:f>IF(E1899="","Unknown",IF(E1899&lt;10,"&lt;10",IF(E1899&lt;20,"10-&lt;20",IF(E1899&lt;25,"20-&lt;25",IF(E1899&lt;35,"25-&lt;35","35+")))))</x:f>
        <x:v>&lt;10</x:v>
      </x:c>
    </x:row>
    <x:row r="1900">
      <x:c r="A1900" t="str">
        <x:v>SYN0001899</x:v>
      </x:c>
      <x:c r="B1900" s="12" t="n">
        <x:v>42955</x:v>
      </x:c>
      <x:c r="C1900" s="18" t="n">
        <x:v>9427</x:v>
      </x:c>
      <x:c r="D1900" s="18" t="n">
        <x:v>60307</x:v>
      </x:c>
      <x:c r="E1900" s="18" t="n">
        <x:v>34.53</x:v>
      </x:c>
      <x:c r="F1900" s="18" t="n">
        <x:v>14.75</x:v>
      </x:c>
      <x:c r="G1900" t="n">
        <x:v>60</x:v>
      </x:c>
      <x:c r="H1900" t="str">
        <x:v>D</x:v>
      </x:c>
      <x:c r="I1900" t="str">
        <x:v>1-3 years</x:v>
      </x:c>
      <x:c r="J1900" t="str">
        <x:v>MORTGAGE</x:v>
      </x:c>
      <x:c r="K1900" t="str">
        <x:v>major_purchase</x:v>
      </x:c>
      <x:c r="L1900" t="n">
        <x:v>0</x:v>
      </x:c>
      <x:c r="M1900" t="n">
        <x:v>1</x:v>
      </x:c>
      <x:c r="N1900" t="str">
        <x:v>Charged Off</x:v>
      </x:c>
      <x:c r="O1900" t="str">
        <x:f>IF(D1900="","Unknown",IF(D1900&lt;25000,"&lt;$25k",IF(D1900&lt;50000,"$25k-$50k",IF(D1900&lt;75000,"$50k-$75k",IF(D1900&lt;100000,"$75k-$100k","$100k+")))))</x:f>
        <x:v>$50k-$75k</x:v>
      </x:c>
      <x:c r="P1900" t="str">
        <x:f>IF(E1900="","Unknown",IF(E1900&lt;10,"&lt;10",IF(E1900&lt;20,"10-&lt;20",IF(E1900&lt;25,"20-&lt;25",IF(E1900&lt;35,"25-&lt;35","35+")))))</x:f>
        <x:v>25-&lt;35</x:v>
      </x:c>
    </x:row>
    <x:row r="1901">
      <x:c r="A1901" t="str">
        <x:v>SYN0001900</x:v>
      </x:c>
      <x:c r="B1901" s="12" t="n">
        <x:v>41845</x:v>
      </x:c>
      <x:c r="C1901" s="18" t="n">
        <x:v>14176</x:v>
      </x:c>
      <x:c r="D1901" s="18" t="n">
        <x:v>33458</x:v>
      </x:c>
      <x:c r="E1901" s="18" t="n">
        <x:v>23.58</x:v>
      </x:c>
      <x:c r="F1901" s="18" t="n">
        <x:v>11.58</x:v>
      </x:c>
      <x:c r="G1901" t="n">
        <x:v>36</x:v>
      </x:c>
      <x:c r="H1901" t="str">
        <x:v>C</x:v>
      </x:c>
      <x:c r="I1901" t="str">
        <x:v>&lt;1 year</x:v>
      </x:c>
      <x:c r="J1901" t="str">
        <x:v>MORTGAGE</x:v>
      </x:c>
      <x:c r="K1901" t="str">
        <x:v>debt_consolidation</x:v>
      </x:c>
      <x:c r="L1901" t="n">
        <x:v>0</x:v>
      </x:c>
      <x:c r="M1901" t="n">
        <x:v>0</x:v>
      </x:c>
      <x:c r="N1901" t="str">
        <x:v>Fully Paid</x:v>
      </x:c>
      <x:c r="O1901" t="str">
        <x:f>IF(D1901="","Unknown",IF(D1901&lt;25000,"&lt;$25k",IF(D1901&lt;50000,"$25k-$50k",IF(D1901&lt;75000,"$50k-$75k",IF(D1901&lt;100000,"$75k-$100k","$100k+")))))</x:f>
        <x:v>$25k-$50k</x:v>
      </x:c>
      <x:c r="P1901" t="str">
        <x:f>IF(E1901="","Unknown",IF(E1901&lt;10,"&lt;10",IF(E1901&lt;20,"10-&lt;20",IF(E1901&lt;25,"20-&lt;25",IF(E1901&lt;35,"25-&lt;35","35+")))))</x:f>
        <x:v>20-&lt;25</x:v>
      </x:c>
    </x:row>
    <x:row r="1902">
      <x:c r="A1902" t="str">
        <x:v>SYN0001901</x:v>
      </x:c>
      <x:c r="B1902" s="12" t="n">
        <x:v>41275</x:v>
      </x:c>
      <x:c r="C1902" s="18" t="n">
        <x:v>10741</x:v>
      </x:c>
      <x:c r="D1902" s="18" t="n">
        <x:v>40679</x:v>
      </x:c>
      <x:c r="E1902" s="18" t="n">
        <x:v>28.4</x:v>
      </x:c>
      <x:c r="F1902" s="18" t="n">
        <x:v>6.53</x:v>
      </x:c>
      <x:c r="G1902" t="n">
        <x:v>36</x:v>
      </x:c>
      <x:c r="H1902" t="str">
        <x:v>A</x:v>
      </x:c>
      <x:c r="I1902" t="str">
        <x:v>10+ years</x:v>
      </x:c>
      <x:c r="J1902" t="str">
        <x:v>MORTGAGE</x:v>
      </x:c>
      <x:c r="K1902" t="str">
        <x:v>credit_card</x:v>
      </x:c>
      <x:c r="L1902" t="n">
        <x:v>0</x:v>
      </x:c>
      <x:c r="M1902" t="n">
        <x:v>0</x:v>
      </x:c>
      <x:c r="N1902" t="str">
        <x:v>Fully Paid</x:v>
      </x:c>
      <x:c r="O1902" t="str">
        <x:f>IF(D1902="","Unknown",IF(D1902&lt;25000,"&lt;$25k",IF(D1902&lt;50000,"$25k-$50k",IF(D1902&lt;75000,"$50k-$75k",IF(D1902&lt;100000,"$75k-$100k","$100k+")))))</x:f>
        <x:v>$25k-$50k</x:v>
      </x:c>
      <x:c r="P1902" t="str">
        <x:f>IF(E1902="","Unknown",IF(E1902&lt;10,"&lt;10",IF(E1902&lt;20,"10-&lt;20",IF(E1902&lt;25,"20-&lt;25",IF(E1902&lt;35,"25-&lt;35","35+")))))</x:f>
        <x:v>25-&lt;35</x:v>
      </x:c>
    </x:row>
    <x:row r="1903">
      <x:c r="A1903" t="str">
        <x:v>SYN0001902</x:v>
      </x:c>
      <x:c r="B1903" s="12" t="n">
        <x:v>41635</x:v>
      </x:c>
      <x:c r="C1903" s="18" t="n">
        <x:v>40000</x:v>
      </x:c>
      <x:c r="D1903" s="18" t="n">
        <x:v>15740</x:v>
      </x:c>
      <x:c r="E1903" s="18" t="n">
        <x:v>31.35</x:v>
      </x:c>
      <x:c r="F1903" s="18" t="n">
        <x:v>9.42</x:v>
      </x:c>
      <x:c r="G1903" t="n">
        <x:v>36</x:v>
      </x:c>
      <x:c r="H1903" t="str">
        <x:v>C</x:v>
      </x:c>
      <x:c r="I1903" t="str">
        <x:v>&lt;1 year</x:v>
      </x:c>
      <x:c r="J1903" t="str">
        <x:v>RENT</x:v>
      </x:c>
      <x:c r="K1903" t="str">
        <x:v>debt_consolidation</x:v>
      </x:c>
      <x:c r="L1903" t="n">
        <x:v>0</x:v>
      </x:c>
      <x:c r="M1903" t="n">
        <x:v>0</x:v>
      </x:c>
      <x:c r="N1903" t="str">
        <x:v>Fully Paid</x:v>
      </x:c>
      <x:c r="O1903" t="str">
        <x:f>IF(D1903="","Unknown",IF(D1903&lt;25000,"&lt;$25k",IF(D1903&lt;50000,"$25k-$50k",IF(D1903&lt;75000,"$50k-$75k",IF(D1903&lt;100000,"$75k-$100k","$100k+")))))</x:f>
        <x:v>&lt;$25k</x:v>
      </x:c>
      <x:c r="P1903" t="str">
        <x:f>IF(E1903="","Unknown",IF(E1903&lt;10,"&lt;10",IF(E1903&lt;20,"10-&lt;20",IF(E1903&lt;25,"20-&lt;25",IF(E1903&lt;35,"25-&lt;35","35+")))))</x:f>
        <x:v>25-&lt;35</x:v>
      </x:c>
    </x:row>
    <x:row r="1904">
      <x:c r="A1904" t="str">
        <x:v>SYN0001903</x:v>
      </x:c>
      <x:c r="B1904" s="12" t="n">
        <x:v>43375</x:v>
      </x:c>
      <x:c r="C1904" s="18" t="n">
        <x:v>18849</x:v>
      </x:c>
      <x:c r="D1904" s="18" t="n">
        <x:v>63346</x:v>
      </x:c>
      <x:c r="E1904" s="18" t="n">
        <x:v>17.27</x:v>
      </x:c>
      <x:c r="F1904" s="18" t="n">
        <x:v>6.94</x:v>
      </x:c>
      <x:c r="G1904" t="n">
        <x:v>36</x:v>
      </x:c>
      <x:c r="H1904" t="str">
        <x:v>A</x:v>
      </x:c>
      <x:c r="I1904" t="str">
        <x:v>10+ years</x:v>
      </x:c>
      <x:c r="J1904" t="str">
        <x:v>RENT</x:v>
      </x:c>
      <x:c r="K1904" t="str">
        <x:v>debt_consolidation</x:v>
      </x:c>
      <x:c r="L1904" t="n">
        <x:v>0</x:v>
      </x:c>
      <x:c r="M1904" t="n">
        <x:v>0</x:v>
      </x:c>
      <x:c r="N1904" t="str">
        <x:v>Fully Paid</x:v>
      </x:c>
      <x:c r="O1904" t="str">
        <x:f>IF(D1904="","Unknown",IF(D1904&lt;25000,"&lt;$25k",IF(D1904&lt;50000,"$25k-$50k",IF(D1904&lt;75000,"$50k-$75k",IF(D1904&lt;100000,"$75k-$100k","$100k+")))))</x:f>
        <x:v>$50k-$75k</x:v>
      </x:c>
      <x:c r="P1904" t="str">
        <x:f>IF(E1904="","Unknown",IF(E1904&lt;10,"&lt;10",IF(E1904&lt;20,"10-&lt;20",IF(E1904&lt;25,"20-&lt;25",IF(E1904&lt;35,"25-&lt;35","35+")))))</x:f>
        <x:v>10-&lt;20</x:v>
      </x:c>
    </x:row>
    <x:row r="1905">
      <x:c r="A1905" t="str">
        <x:v>SYN0001904</x:v>
      </x:c>
      <x:c r="B1905" s="12" t="n">
        <x:v>41935</x:v>
      </x:c>
      <x:c r="C1905" s="18" t="n">
        <x:v>17654</x:v>
      </x:c>
      <x:c r="D1905" s="18" t="n">
        <x:v>51897</x:v>
      </x:c>
      <x:c r="E1905" s="18" t="n">
        <x:v>19.89</x:v>
      </x:c>
      <x:c r="F1905" s="18" t="n">
        <x:v>7.11</x:v>
      </x:c>
      <x:c r="G1905" t="n">
        <x:v>36</x:v>
      </x:c>
      <x:c r="H1905" t="str">
        <x:v>A</x:v>
      </x:c>
      <x:c r="I1905" t="str">
        <x:v>1-3 years</x:v>
      </x:c>
      <x:c r="J1905" t="str">
        <x:v>RENT</x:v>
      </x:c>
      <x:c r="K1905" t="str">
        <x:v>home_improvement</x:v>
      </x:c>
      <x:c r="L1905" t="n">
        <x:v>0</x:v>
      </x:c>
      <x:c r="M1905" t="n">
        <x:v>0</x:v>
      </x:c>
      <x:c r="N1905" t="str">
        <x:v>Fully Paid</x:v>
      </x:c>
      <x:c r="O1905" t="str">
        <x:f>IF(D1905="","Unknown",IF(D1905&lt;25000,"&lt;$25k",IF(D1905&lt;50000,"$25k-$50k",IF(D1905&lt;75000,"$50k-$75k",IF(D1905&lt;100000,"$75k-$100k","$100k+")))))</x:f>
        <x:v>$50k-$75k</x:v>
      </x:c>
      <x:c r="P1905" t="str">
        <x:f>IF(E1905="","Unknown",IF(E1905&lt;10,"&lt;10",IF(E1905&lt;20,"10-&lt;20",IF(E1905&lt;25,"20-&lt;25",IF(E1905&lt;35,"25-&lt;35","35+")))))</x:f>
        <x:v>10-&lt;20</x:v>
      </x:c>
    </x:row>
    <x:row r="1906">
      <x:c r="A1906" t="str">
        <x:v>SYN0001905</x:v>
      </x:c>
      <x:c r="B1906" s="12" t="n">
        <x:v>42625</x:v>
      </x:c>
      <x:c r="C1906" s="18" t="n">
        <x:v>10045</x:v>
      </x:c>
      <x:c r="D1906" s="18" t="n">
        <x:v>32889</x:v>
      </x:c>
      <x:c r="E1906" s="18" t="n">
        <x:v>38.41</x:v>
      </x:c>
      <x:c r="F1906" s="18" t="n">
        <x:v>13</x:v>
      </x:c>
      <x:c r="G1906" t="n">
        <x:v>36</x:v>
      </x:c>
      <x:c r="H1906" t="str">
        <x:v>D</x:v>
      </x:c>
      <x:c r="I1906" t="str">
        <x:v>10+ years</x:v>
      </x:c>
      <x:c r="J1906" t="str">
        <x:v>RENT</x:v>
      </x:c>
      <x:c r="K1906" t="str">
        <x:v>other</x:v>
      </x:c>
      <x:c r="L1906" t="n">
        <x:v>0</x:v>
      </x:c>
      <x:c r="M1906" t="n">
        <x:v>0</x:v>
      </x:c>
      <x:c r="N1906" t="str">
        <x:v>Fully Paid</x:v>
      </x:c>
      <x:c r="O1906" t="str">
        <x:f>IF(D1906="","Unknown",IF(D1906&lt;25000,"&lt;$25k",IF(D1906&lt;50000,"$25k-$50k",IF(D1906&lt;75000,"$50k-$75k",IF(D1906&lt;100000,"$75k-$100k","$100k+")))))</x:f>
        <x:v>$25k-$50k</x:v>
      </x:c>
      <x:c r="P1906" t="str">
        <x:f>IF(E1906="","Unknown",IF(E1906&lt;10,"&lt;10",IF(E1906&lt;20,"10-&lt;20",IF(E1906&lt;25,"20-&lt;25",IF(E1906&lt;35,"25-&lt;35","35+")))))</x:f>
        <x:v>35+</x:v>
      </x:c>
    </x:row>
    <x:row r="1907">
      <x:c r="A1907" t="str">
        <x:v>SYN0001906</x:v>
      </x:c>
      <x:c r="B1907" s="12" t="n">
        <x:v>41935</x:v>
      </x:c>
      <x:c r="C1907" s="18" t="n">
        <x:v>27505</x:v>
      </x:c>
      <x:c r="D1907" s="18" t="n">
        <x:v>36510</x:v>
      </x:c>
      <x:c r="E1907" s="18" t="n">
        <x:v>29.21</x:v>
      </x:c>
      <x:c r="F1907" s="18" t="n">
        <x:v>8.1</x:v>
      </x:c>
      <x:c r="G1907" t="n">
        <x:v>36</x:v>
      </x:c>
      <x:c r="H1907" t="str">
        <x:v>B</x:v>
      </x:c>
      <x:c r="I1907" t="str">
        <x:v>7-9 years</x:v>
      </x:c>
      <x:c r="J1907" t="str">
        <x:v>RENT</x:v>
      </x:c>
      <x:c r="K1907" t="str">
        <x:v>home_improvement</x:v>
      </x:c>
      <x:c r="L1907" t="n">
        <x:v>0</x:v>
      </x:c>
      <x:c r="M1907" t="n">
        <x:v>0</x:v>
      </x:c>
      <x:c r="N1907" t="str">
        <x:v>Fully Paid</x:v>
      </x:c>
      <x:c r="O1907" t="str">
        <x:f>IF(D1907="","Unknown",IF(D1907&lt;25000,"&lt;$25k",IF(D1907&lt;50000,"$25k-$50k",IF(D1907&lt;75000,"$50k-$75k",IF(D1907&lt;100000,"$75k-$100k","$100k+")))))</x:f>
        <x:v>$25k-$50k</x:v>
      </x:c>
      <x:c r="P1907" t="str">
        <x:f>IF(E1907="","Unknown",IF(E1907&lt;10,"&lt;10",IF(E1907&lt;20,"10-&lt;20",IF(E1907&lt;25,"20-&lt;25",IF(E1907&lt;35,"25-&lt;35","35+")))))</x:f>
        <x:v>25-&lt;35</x:v>
      </x:c>
    </x:row>
    <x:row r="1908">
      <x:c r="A1908" t="str">
        <x:v>SYN0001907</x:v>
      </x:c>
      <x:c r="B1908" s="12" t="n">
        <x:v>42415</x:v>
      </x:c>
      <x:c r="C1908" s="18" t="n">
        <x:v>14209</x:v>
      </x:c>
      <x:c r="D1908" s="18" t="n">
        <x:v>51954</x:v>
      </x:c>
      <x:c r="E1908" s="18" t="n">
        <x:v>32.47</x:v>
      </x:c>
      <x:c r="F1908" s="18" t="n">
        <x:v>5.6</x:v>
      </x:c>
      <x:c r="G1908" t="n">
        <x:v>36</x:v>
      </x:c>
      <x:c r="H1908" t="str">
        <x:v>B</x:v>
      </x:c>
      <x:c r="I1908" t="str">
        <x:v>7-9 years</x:v>
      </x:c>
      <x:c r="J1908" t="str">
        <x:v>RENT</x:v>
      </x:c>
      <x:c r="K1908" t="str">
        <x:v>medical</x:v>
      </x:c>
      <x:c r="L1908" t="n">
        <x:v>0</x:v>
      </x:c>
      <x:c r="M1908" t="n">
        <x:v>0</x:v>
      </x:c>
      <x:c r="N1908" t="str">
        <x:v>Fully Paid</x:v>
      </x:c>
      <x:c r="O1908" t="str">
        <x:f>IF(D1908="","Unknown",IF(D1908&lt;25000,"&lt;$25k",IF(D1908&lt;50000,"$25k-$50k",IF(D1908&lt;75000,"$50k-$75k",IF(D1908&lt;100000,"$75k-$100k","$100k+")))))</x:f>
        <x:v>$50k-$75k</x:v>
      </x:c>
      <x:c r="P1908" t="str">
        <x:f>IF(E1908="","Unknown",IF(E1908&lt;10,"&lt;10",IF(E1908&lt;20,"10-&lt;20",IF(E1908&lt;25,"20-&lt;25",IF(E1908&lt;35,"25-&lt;35","35+")))))</x:f>
        <x:v>25-&lt;35</x:v>
      </x:c>
    </x:row>
    <x:row r="1909">
      <x:c r="A1909" t="str">
        <x:v>SYN0001908</x:v>
      </x:c>
      <x:c r="B1909" s="12" t="n">
        <x:v>42115</x:v>
      </x:c>
      <x:c r="C1909" s="18" t="n">
        <x:v>11308</x:v>
      </x:c>
      <x:c r="D1909" s="18" t="n">
        <x:v>37184</x:v>
      </x:c>
      <x:c r="E1909" s="18" t="n">
        <x:v>11.4</x:v>
      </x:c>
      <x:c r="F1909" s="18" t="n">
        <x:v>5</x:v>
      </x:c>
      <x:c r="G1909" t="n">
        <x:v>36</x:v>
      </x:c>
      <x:c r="H1909" t="str">
        <x:v>A</x:v>
      </x:c>
      <x:c r="I1909" t="str">
        <x:v>4-6 years</x:v>
      </x:c>
      <x:c r="J1909" t="str">
        <x:v>RENT</x:v>
      </x:c>
      <x:c r="K1909" t="str">
        <x:v>home_improvement</x:v>
      </x:c>
      <x:c r="L1909" t="n">
        <x:v>0</x:v>
      </x:c>
      <x:c r="M1909" t="n">
        <x:v>0</x:v>
      </x:c>
      <x:c r="N1909" t="str">
        <x:v>Fully Paid</x:v>
      </x:c>
      <x:c r="O1909" t="str">
        <x:f>IF(D1909="","Unknown",IF(D1909&lt;25000,"&lt;$25k",IF(D1909&lt;50000,"$25k-$50k",IF(D1909&lt;75000,"$50k-$75k",IF(D1909&lt;100000,"$75k-$100k","$100k+")))))</x:f>
        <x:v>$25k-$50k</x:v>
      </x:c>
      <x:c r="P1909" t="str">
        <x:f>IF(E1909="","Unknown",IF(E1909&lt;10,"&lt;10",IF(E1909&lt;20,"10-&lt;20",IF(E1909&lt;25,"20-&lt;25",IF(E1909&lt;35,"25-&lt;35","35+")))))</x:f>
        <x:v>10-&lt;20</x:v>
      </x:c>
    </x:row>
    <x:row r="1910">
      <x:c r="A1910" t="str">
        <x:v>SYN0001909</x:v>
      </x:c>
      <x:c r="B1910" s="12" t="n">
        <x:v>41425</x:v>
      </x:c>
      <x:c r="C1910" s="18" t="n">
        <x:v>18723</x:v>
      </x:c>
      <x:c r="D1910" s="18" t="n">
        <x:v>99684</x:v>
      </x:c>
      <x:c r="E1910" s="18" t="n">
        <x:v>9.36</x:v>
      </x:c>
      <x:c r="F1910" s="18" t="n">
        <x:v>15.81</x:v>
      </x:c>
      <x:c r="G1910" t="n">
        <x:v>60</x:v>
      </x:c>
      <x:c r="H1910" t="str">
        <x:v>E</x:v>
      </x:c>
      <x:c r="I1910" t="str">
        <x:v>10+ years</x:v>
      </x:c>
      <x:c r="J1910" t="str">
        <x:v>RENT</x:v>
      </x:c>
      <x:c r="K1910" t="str">
        <x:v>home_improvement</x:v>
      </x:c>
      <x:c r="L1910" t="n">
        <x:v>1</x:v>
      </x:c>
      <x:c r="M1910" t="n">
        <x:v>0</x:v>
      </x:c>
      <x:c r="N1910" t="str">
        <x:v>Fully Paid</x:v>
      </x:c>
      <x:c r="O1910" t="str">
        <x:f>IF(D1910="","Unknown",IF(D1910&lt;25000,"&lt;$25k",IF(D1910&lt;50000,"$25k-$50k",IF(D1910&lt;75000,"$50k-$75k",IF(D1910&lt;100000,"$75k-$100k","$100k+")))))</x:f>
        <x:v>$75k-$100k</x:v>
      </x:c>
      <x:c r="P1910" t="str">
        <x:f>IF(E1910="","Unknown",IF(E1910&lt;10,"&lt;10",IF(E1910&lt;20,"10-&lt;20",IF(E1910&lt;25,"20-&lt;25",IF(E1910&lt;35,"25-&lt;35","35+")))))</x:f>
        <x:v>&lt;10</x:v>
      </x:c>
    </x:row>
    <x:row r="1911">
      <x:c r="A1911" t="str">
        <x:v>SYN0001910</x:v>
      </x:c>
      <x:c r="B1911" s="12" t="n">
        <x:v>42865</x:v>
      </x:c>
      <x:c r="C1911" s="18" t="n">
        <x:v>19069</x:v>
      </x:c>
      <x:c r="D1911" s="18" t="n">
        <x:v>74890</x:v>
      </x:c>
      <x:c r="E1911" s="18" t="n">
        <x:v>42.61</x:v>
      </x:c>
      <x:c r="F1911" s="18" t="n">
        <x:v>16.84</x:v>
      </x:c>
      <x:c r="G1911" t="n">
        <x:v>36</x:v>
      </x:c>
      <x:c r="H1911" t="str">
        <x:v>E</x:v>
      </x:c>
      <x:c r="I1911" t="str">
        <x:v>4-6 years</x:v>
      </x:c>
      <x:c r="J1911" t="str">
        <x:v>MORTGAGE</x:v>
      </x:c>
      <x:c r="K1911" t="str">
        <x:v>home_improvement</x:v>
      </x:c>
      <x:c r="L1911" t="n">
        <x:v>1</x:v>
      </x:c>
      <x:c r="M1911" t="n">
        <x:v>1</x:v>
      </x:c>
      <x:c r="N1911" t="str">
        <x:v>Charged Off</x:v>
      </x:c>
      <x:c r="O1911" t="str">
        <x:f>IF(D1911="","Unknown",IF(D1911&lt;25000,"&lt;$25k",IF(D1911&lt;50000,"$25k-$50k",IF(D1911&lt;75000,"$50k-$75k",IF(D1911&lt;100000,"$75k-$100k","$100k+")))))</x:f>
        <x:v>$50k-$75k</x:v>
      </x:c>
      <x:c r="P1911" t="str">
        <x:f>IF(E1911="","Unknown",IF(E1911&lt;10,"&lt;10",IF(E1911&lt;20,"10-&lt;20",IF(E1911&lt;25,"20-&lt;25",IF(E1911&lt;35,"25-&lt;35","35+")))))</x:f>
        <x:v>35+</x:v>
      </x:c>
    </x:row>
    <x:row r="1912">
      <x:c r="A1912" t="str">
        <x:v>SYN0001911</x:v>
      </x:c>
      <x:c r="B1912" s="12" t="n">
        <x:v>41275</x:v>
      </x:c>
      <x:c r="C1912" s="18" t="n">
        <x:v>7076</x:v>
      </x:c>
      <x:c r="D1912" s="18" t="n">
        <x:v>33559</x:v>
      </x:c>
      <x:c r="E1912" s="18" t="n">
        <x:v>11.23</x:v>
      </x:c>
      <x:c r="F1912" s="18" t="n">
        <x:v>10.71</x:v>
      </x:c>
      <x:c r="G1912" t="n">
        <x:v>36</x:v>
      </x:c>
      <x:c r="H1912" t="str">
        <x:v>C</x:v>
      </x:c>
      <x:c r="I1912" t="str">
        <x:v>7-9 years</x:v>
      </x:c>
      <x:c r="J1912" t="str">
        <x:v>MORTGAGE</x:v>
      </x:c>
      <x:c r="K1912" t="str">
        <x:v>debt_consolidation</x:v>
      </x:c>
      <x:c r="L1912" t="n">
        <x:v>0</x:v>
      </x:c>
      <x:c r="M1912" t="n">
        <x:v>0</x:v>
      </x:c>
      <x:c r="N1912" t="str">
        <x:v>Fully Paid</x:v>
      </x:c>
      <x:c r="O1912" t="str">
        <x:f>IF(D1912="","Unknown",IF(D1912&lt;25000,"&lt;$25k",IF(D1912&lt;50000,"$25k-$50k",IF(D1912&lt;75000,"$50k-$75k",IF(D1912&lt;100000,"$75k-$100k","$100k+")))))</x:f>
        <x:v>$25k-$50k</x:v>
      </x:c>
      <x:c r="P1912" t="str">
        <x:f>IF(E1912="","Unknown",IF(E1912&lt;10,"&lt;10",IF(E1912&lt;20,"10-&lt;20",IF(E1912&lt;25,"20-&lt;25",IF(E1912&lt;35,"25-&lt;35","35+")))))</x:f>
        <x:v>10-&lt;20</x:v>
      </x:c>
    </x:row>
    <x:row r="1913">
      <x:c r="A1913" t="str">
        <x:v>SYN0001912</x:v>
      </x:c>
      <x:c r="B1913" s="12" t="n">
        <x:v>41635</x:v>
      </x:c>
      <x:c r="C1913" s="18" t="n">
        <x:v>7156</x:v>
      </x:c>
      <x:c r="D1913" s="18" t="n">
        <x:v>66944</x:v>
      </x:c>
      <x:c r="E1913" s="18" t="n">
        <x:v>23.78</x:v>
      </x:c>
      <x:c r="F1913" s="18" t="n">
        <x:v>18.25</x:v>
      </x:c>
      <x:c r="G1913" t="n">
        <x:v>36</x:v>
      </x:c>
      <x:c r="H1913" t="str">
        <x:v>E</x:v>
      </x:c>
      <x:c r="I1913" t="str">
        <x:v>7-9 years</x:v>
      </x:c>
      <x:c r="J1913" t="str">
        <x:v>OWN</x:v>
      </x:c>
      <x:c r="K1913" t="str">
        <x:v>credit_card</x:v>
      </x:c>
      <x:c r="L1913" t="n">
        <x:v>3</x:v>
      </x:c>
      <x:c r="M1913" t="n">
        <x:v>1</x:v>
      </x:c>
      <x:c r="N1913" t="str">
        <x:v>Charged Off</x:v>
      </x:c>
      <x:c r="O1913" t="str">
        <x:f>IF(D1913="","Unknown",IF(D1913&lt;25000,"&lt;$25k",IF(D1913&lt;50000,"$25k-$50k",IF(D1913&lt;75000,"$50k-$75k",IF(D1913&lt;100000,"$75k-$100k","$100k+")))))</x:f>
        <x:v>$50k-$75k</x:v>
      </x:c>
      <x:c r="P1913" t="str">
        <x:f>IF(E1913="","Unknown",IF(E1913&lt;10,"&lt;10",IF(E1913&lt;20,"10-&lt;20",IF(E1913&lt;25,"20-&lt;25",IF(E1913&lt;35,"25-&lt;35","35+")))))</x:f>
        <x:v>20-&lt;25</x:v>
      </x:c>
    </x:row>
    <x:row r="1914">
      <x:c r="A1914" t="str">
        <x:v>SYN0001913</x:v>
      </x:c>
      <x:c r="B1914" s="12" t="n">
        <x:v>42655</x:v>
      </x:c>
      <x:c r="C1914" s="18" t="n">
        <x:v>8736</x:v>
      </x:c>
      <x:c r="D1914" s="18" t="n">
        <x:v>40970</x:v>
      </x:c>
      <x:c r="E1914" s="18" t="n">
        <x:v>16.33</x:v>
      </x:c>
      <x:c r="F1914" s="18" t="n">
        <x:v>14.95</x:v>
      </x:c>
      <x:c r="G1914" t="n">
        <x:v>36</x:v>
      </x:c>
      <x:c r="H1914" t="str">
        <x:v>D</x:v>
      </x:c>
      <x:c r="I1914" t="str">
        <x:v>4-6 years</x:v>
      </x:c>
      <x:c r="J1914" t="str">
        <x:v>RENT</x:v>
      </x:c>
      <x:c r="K1914" t="str">
        <x:v>debt_consolidation</x:v>
      </x:c>
      <x:c r="L1914" t="n">
        <x:v>0</x:v>
      </x:c>
      <x:c r="M1914" t="n">
        <x:v>0</x:v>
      </x:c>
      <x:c r="N1914" t="str">
        <x:v>Fully Paid</x:v>
      </x:c>
      <x:c r="O1914" t="str">
        <x:f>IF(D1914="","Unknown",IF(D1914&lt;25000,"&lt;$25k",IF(D1914&lt;50000,"$25k-$50k",IF(D1914&lt;75000,"$50k-$75k",IF(D1914&lt;100000,"$75k-$100k","$100k+")))))</x:f>
        <x:v>$25k-$50k</x:v>
      </x:c>
      <x:c r="P1914" t="str">
        <x:f>IF(E1914="","Unknown",IF(E1914&lt;10,"&lt;10",IF(E1914&lt;20,"10-&lt;20",IF(E1914&lt;25,"20-&lt;25",IF(E1914&lt;35,"25-&lt;35","35+")))))</x:f>
        <x:v>10-&lt;20</x:v>
      </x:c>
    </x:row>
    <x:row r="1915">
      <x:c r="A1915" t="str">
        <x:v>SYN0001914</x:v>
      </x:c>
      <x:c r="B1915" s="12" t="n">
        <x:v>41755</x:v>
      </x:c>
      <x:c r="C1915" s="18" t="n">
        <x:v>24447</x:v>
      </x:c>
      <x:c r="D1915" s="18" t="n">
        <x:v>20765</x:v>
      </x:c>
      <x:c r="E1915" s="18" t="n">
        <x:v>19.72</x:v>
      </x:c>
      <x:c r="F1915" s="18" t="n">
        <x:v>18.07</x:v>
      </x:c>
      <x:c r="G1915" t="n">
        <x:v>36</x:v>
      </x:c>
      <x:c r="H1915" t="str">
        <x:v>E</x:v>
      </x:c>
      <x:c r="I1915" t="str">
        <x:v>1-3 years</x:v>
      </x:c>
      <x:c r="J1915" t="str">
        <x:v>MORTGAGE</x:v>
      </x:c>
      <x:c r="K1915" t="str">
        <x:v>medical</x:v>
      </x:c>
      <x:c r="L1915" t="n">
        <x:v>0</x:v>
      </x:c>
      <x:c r="M1915" t="n">
        <x:v>0</x:v>
      </x:c>
      <x:c r="N1915" t="str">
        <x:v>Fully Paid</x:v>
      </x:c>
      <x:c r="O1915" t="str">
        <x:f>IF(D1915="","Unknown",IF(D1915&lt;25000,"&lt;$25k",IF(D1915&lt;50000,"$25k-$50k",IF(D1915&lt;75000,"$50k-$75k",IF(D1915&lt;100000,"$75k-$100k","$100k+")))))</x:f>
        <x:v>&lt;$25k</x:v>
      </x:c>
      <x:c r="P1915" t="str">
        <x:f>IF(E1915="","Unknown",IF(E1915&lt;10,"&lt;10",IF(E1915&lt;20,"10-&lt;20",IF(E1915&lt;25,"20-&lt;25",IF(E1915&lt;35,"25-&lt;35","35+")))))</x:f>
        <x:v>10-&lt;20</x:v>
      </x:c>
    </x:row>
    <x:row r="1916">
      <x:c r="A1916" t="str">
        <x:v>SYN0001915</x:v>
      </x:c>
      <x:c r="B1916" s="12" t="n">
        <x:v>41485</x:v>
      </x:c>
      <x:c r="C1916" s="18" t="n">
        <x:v>9240</x:v>
      </x:c>
      <x:c r="D1916" s="18" t="n">
        <x:v>42947</x:v>
      </x:c>
      <x:c r="E1916" s="18" t="n">
        <x:v>13.26</x:v>
      </x:c>
      <x:c r="F1916" s="18" t="n">
        <x:v>10.03</x:v>
      </x:c>
      <x:c r="G1916" t="n">
        <x:v>36</x:v>
      </x:c>
      <x:c r="H1916" t="str">
        <x:v>C</x:v>
      </x:c>
      <x:c r="I1916" t="str">
        <x:v>1-3 years</x:v>
      </x:c>
      <x:c r="J1916" t="str">
        <x:v>RENT</x:v>
      </x:c>
      <x:c r="K1916" t="str">
        <x:v>debt_consolidation</x:v>
      </x:c>
      <x:c r="L1916" t="n">
        <x:v>1</x:v>
      </x:c>
      <x:c r="M1916" t="n">
        <x:v>0</x:v>
      </x:c>
      <x:c r="N1916" t="str">
        <x:v>Fully Paid</x:v>
      </x:c>
      <x:c r="O1916" t="str">
        <x:f>IF(D1916="","Unknown",IF(D1916&lt;25000,"&lt;$25k",IF(D1916&lt;50000,"$25k-$50k",IF(D1916&lt;75000,"$50k-$75k",IF(D1916&lt;100000,"$75k-$100k","$100k+")))))</x:f>
        <x:v>$25k-$50k</x:v>
      </x:c>
      <x:c r="P1916" t="str">
        <x:f>IF(E1916="","Unknown",IF(E1916&lt;10,"&lt;10",IF(E1916&lt;20,"10-&lt;20",IF(E1916&lt;25,"20-&lt;25",IF(E1916&lt;35,"25-&lt;35","35+")))))</x:f>
        <x:v>10-&lt;20</x:v>
      </x:c>
    </x:row>
    <x:row r="1917">
      <x:c r="A1917" t="str">
        <x:v>SYN0001916</x:v>
      </x:c>
      <x:c r="B1917" s="12" t="n">
        <x:v>42655</x:v>
      </x:c>
      <x:c r="C1917" s="18" t="n">
        <x:v>15071</x:v>
      </x:c>
      <x:c r="D1917" s="18" t="n">
        <x:v>70886</x:v>
      </x:c>
      <x:c r="E1917" s="18" t="n">
        <x:v>16.8</x:v>
      </x:c>
      <x:c r="F1917" s="18" t="n">
        <x:v>5</x:v>
      </x:c>
      <x:c r="G1917" t="n">
        <x:v>60</x:v>
      </x:c>
      <x:c r="H1917" t="str">
        <x:v>A</x:v>
      </x:c>
      <x:c r="I1917" t="str">
        <x:v>10+ years</x:v>
      </x:c>
      <x:c r="J1917" t="str">
        <x:v>RENT</x:v>
      </x:c>
      <x:c r="K1917" t="str">
        <x:v>debt_consolidation</x:v>
      </x:c>
      <x:c r="L1917" t="n">
        <x:v>0</x:v>
      </x:c>
      <x:c r="M1917" t="n">
        <x:v>0</x:v>
      </x:c>
      <x:c r="N1917" t="str">
        <x:v>Fully Paid</x:v>
      </x:c>
      <x:c r="O1917" t="str">
        <x:f>IF(D1917="","Unknown",IF(D1917&lt;25000,"&lt;$25k",IF(D1917&lt;50000,"$25k-$50k",IF(D1917&lt;75000,"$50k-$75k",IF(D1917&lt;100000,"$75k-$100k","$100k+")))))</x:f>
        <x:v>$50k-$75k</x:v>
      </x:c>
      <x:c r="P1917" t="str">
        <x:f>IF(E1917="","Unknown",IF(E1917&lt;10,"&lt;10",IF(E1917&lt;20,"10-&lt;20",IF(E1917&lt;25,"20-&lt;25",IF(E1917&lt;35,"25-&lt;35","35+")))))</x:f>
        <x:v>10-&lt;20</x:v>
      </x:c>
    </x:row>
    <x:row r="1918">
      <x:c r="A1918" t="str">
        <x:v>SYN0001917</x:v>
      </x:c>
      <x:c r="B1918" s="12" t="n">
        <x:v>41305</x:v>
      </x:c>
      <x:c r="C1918" s="18" t="n">
        <x:v>15767</x:v>
      </x:c>
      <x:c r="D1918" s="18" t="n">
        <x:v>124178</x:v>
      </x:c>
      <x:c r="E1918" s="18" t="n">
        <x:v>17.96</x:v>
      </x:c>
      <x:c r="F1918" s="18" t="n">
        <x:v>5</x:v>
      </x:c>
      <x:c r="G1918" t="n">
        <x:v>36</x:v>
      </x:c>
      <x:c r="H1918" t="str">
        <x:v>A</x:v>
      </x:c>
      <x:c r="I1918" t="str">
        <x:v>4-6 years</x:v>
      </x:c>
      <x:c r="J1918" t="str">
        <x:v>RENT</x:v>
      </x:c>
      <x:c r="K1918" t="str">
        <x:v>major_purchase</x:v>
      </x:c>
      <x:c r="L1918" t="n">
        <x:v>1</x:v>
      </x:c>
      <x:c r="M1918" t="n">
        <x:v>0</x:v>
      </x:c>
      <x:c r="N1918" t="str">
        <x:v>Fully Paid</x:v>
      </x:c>
      <x:c r="O1918" t="str">
        <x:f>IF(D1918="","Unknown",IF(D1918&lt;25000,"&lt;$25k",IF(D1918&lt;50000,"$25k-$50k",IF(D1918&lt;75000,"$50k-$75k",IF(D1918&lt;100000,"$75k-$100k","$100k+")))))</x:f>
        <x:v>$100k+</x:v>
      </x:c>
      <x:c r="P1918" t="str">
        <x:f>IF(E1918="","Unknown",IF(E1918&lt;10,"&lt;10",IF(E1918&lt;20,"10-&lt;20",IF(E1918&lt;25,"20-&lt;25",IF(E1918&lt;35,"25-&lt;35","35+")))))</x:f>
        <x:v>10-&lt;20</x:v>
      </x:c>
    </x:row>
    <x:row r="1919">
      <x:c r="A1919" t="str">
        <x:v>SYN0001918</x:v>
      </x:c>
      <x:c r="B1919" s="12" t="n">
        <x:v>42385</x:v>
      </x:c>
      <x:c r="C1919" s="18" t="n">
        <x:v>11940</x:v>
      </x:c>
      <x:c r="D1919" s="18" t="n">
        <x:v>59959</x:v>
      </x:c>
      <x:c r="E1919" s="18" t="n">
        <x:v>25.44</x:v>
      </x:c>
      <x:c r="F1919" s="18" t="n">
        <x:v>25.13</x:v>
      </x:c>
      <x:c r="G1919" t="n">
        <x:v>36</x:v>
      </x:c>
      <x:c r="H1919" t="str">
        <x:v>G</x:v>
      </x:c>
      <x:c r="I1919" t="str">
        <x:v>10+ years</x:v>
      </x:c>
      <x:c r="J1919" t="str">
        <x:v>MORTGAGE</x:v>
      </x:c>
      <x:c r="K1919" t="str">
        <x:v>debt_consolidation</x:v>
      </x:c>
      <x:c r="L1919" t="n">
        <x:v>0</x:v>
      </x:c>
      <x:c r="M1919" t="n">
        <x:v>0</x:v>
      </x:c>
      <x:c r="N1919" t="str">
        <x:v>Fully Paid</x:v>
      </x:c>
      <x:c r="O1919" t="str">
        <x:f>IF(D1919="","Unknown",IF(D1919&lt;25000,"&lt;$25k",IF(D1919&lt;50000,"$25k-$50k",IF(D1919&lt;75000,"$50k-$75k",IF(D1919&lt;100000,"$75k-$100k","$100k+")))))</x:f>
        <x:v>$50k-$75k</x:v>
      </x:c>
      <x:c r="P1919" t="str">
        <x:f>IF(E1919="","Unknown",IF(E1919&lt;10,"&lt;10",IF(E1919&lt;20,"10-&lt;20",IF(E1919&lt;25,"20-&lt;25",IF(E1919&lt;35,"25-&lt;35","35+")))))</x:f>
        <x:v>25-&lt;35</x:v>
      </x:c>
    </x:row>
    <x:row r="1920">
      <x:c r="A1920" t="str">
        <x:v>SYN0001919</x:v>
      </x:c>
      <x:c r="B1920" s="12" t="n">
        <x:v>43015</x:v>
      </x:c>
      <x:c r="C1920" s="18" t="n">
        <x:v>23759</x:v>
      </x:c>
      <x:c r="D1920" s="18" t="n">
        <x:v>61237</x:v>
      </x:c>
      <x:c r="E1920" s="18" t="n">
        <x:v>36.22</x:v>
      </x:c>
      <x:c r="F1920" s="18" t="n">
        <x:v>20.01</x:v>
      </x:c>
      <x:c r="G1920" t="n">
        <x:v>36</x:v>
      </x:c>
      <x:c r="H1920" t="str">
        <x:v>E</x:v>
      </x:c>
      <x:c r="I1920" t="str">
        <x:v>7-9 years</x:v>
      </x:c>
      <x:c r="J1920" t="str">
        <x:v>RENT</x:v>
      </x:c>
      <x:c r="K1920" t="str">
        <x:v>debt_consolidation</x:v>
      </x:c>
      <x:c r="L1920" t="n">
        <x:v>0</x:v>
      </x:c>
      <x:c r="M1920" t="n">
        <x:v>0</x:v>
      </x:c>
      <x:c r="N1920" t="str">
        <x:v>Fully Paid</x:v>
      </x:c>
      <x:c r="O1920" t="str">
        <x:f>IF(D1920="","Unknown",IF(D1920&lt;25000,"&lt;$25k",IF(D1920&lt;50000,"$25k-$50k",IF(D1920&lt;75000,"$50k-$75k",IF(D1920&lt;100000,"$75k-$100k","$100k+")))))</x:f>
        <x:v>$50k-$75k</x:v>
      </x:c>
      <x:c r="P1920" t="str">
        <x:f>IF(E1920="","Unknown",IF(E1920&lt;10,"&lt;10",IF(E1920&lt;20,"10-&lt;20",IF(E1920&lt;25,"20-&lt;25",IF(E1920&lt;35,"25-&lt;35","35+")))))</x:f>
        <x:v>35+</x:v>
      </x:c>
    </x:row>
    <x:row r="1921">
      <x:c r="A1921" t="str">
        <x:v>SYN0001920</x:v>
      </x:c>
      <x:c r="B1921" s="12" t="n">
        <x:v>43285</x:v>
      </x:c>
      <x:c r="C1921" s="18" t="n">
        <x:v>26210</x:v>
      </x:c>
      <x:c r="D1921" s="18" t="n">
        <x:v>39565</x:v>
      </x:c>
      <x:c r="E1921" s="18" t="n">
        <x:v>18.41</x:v>
      </x:c>
      <x:c r="F1921" s="18" t="n">
        <x:v>14.42</x:v>
      </x:c>
      <x:c r="G1921" t="n">
        <x:v>60</x:v>
      </x:c>
      <x:c r="H1921" t="str">
        <x:v>D</x:v>
      </x:c>
      <x:c r="I1921" t="str">
        <x:v>1-3 years</x:v>
      </x:c>
      <x:c r="J1921" t="str">
        <x:v>MORTGAGE</x:v>
      </x:c>
      <x:c r="K1921" t="str">
        <x:v>other</x:v>
      </x:c>
      <x:c r="L1921" t="n">
        <x:v>0</x:v>
      </x:c>
      <x:c r="M1921" t="n">
        <x:v>0</x:v>
      </x:c>
      <x:c r="N1921" t="str">
        <x:v>Fully Paid</x:v>
      </x:c>
      <x:c r="O1921" t="str">
        <x:f>IF(D1921="","Unknown",IF(D1921&lt;25000,"&lt;$25k",IF(D1921&lt;50000,"$25k-$50k",IF(D1921&lt;75000,"$50k-$75k",IF(D1921&lt;100000,"$75k-$100k","$100k+")))))</x:f>
        <x:v>$25k-$50k</x:v>
      </x:c>
      <x:c r="P1921" t="str">
        <x:f>IF(E1921="","Unknown",IF(E1921&lt;10,"&lt;10",IF(E1921&lt;20,"10-&lt;20",IF(E1921&lt;25,"20-&lt;25",IF(E1921&lt;35,"25-&lt;35","35+")))))</x:f>
        <x:v>10-&lt;20</x:v>
      </x:c>
    </x:row>
    <x:row r="1922">
      <x:c r="A1922" t="str">
        <x:v>SYN0001921</x:v>
      </x:c>
      <x:c r="B1922" s="12" t="n">
        <x:v>43405</x:v>
      </x:c>
      <x:c r="C1922" s="18" t="n">
        <x:v>12575</x:v>
      </x:c>
      <x:c r="D1922" s="18" t="n">
        <x:v>26998</x:v>
      </x:c>
      <x:c r="E1922" s="18" t="n">
        <x:v>4.12</x:v>
      </x:c>
      <x:c r="F1922" s="18" t="n">
        <x:v>5.28</x:v>
      </x:c>
      <x:c r="G1922" t="n">
        <x:v>36</x:v>
      </x:c>
      <x:c r="H1922" t="str">
        <x:v>A</x:v>
      </x:c>
      <x:c r="I1922" t="str">
        <x:v>&lt;1 year</x:v>
      </x:c>
      <x:c r="J1922" t="str">
        <x:v>RENT</x:v>
      </x:c>
      <x:c r="K1922" t="str">
        <x:v>debt_consolidation</x:v>
      </x:c>
      <x:c r="L1922" t="n">
        <x:v>0</x:v>
      </x:c>
      <x:c r="M1922" t="n">
        <x:v>0</x:v>
      </x:c>
      <x:c r="N1922" t="str">
        <x:v>Fully Paid</x:v>
      </x:c>
      <x:c r="O1922" t="str">
        <x:f>IF(D1922="","Unknown",IF(D1922&lt;25000,"&lt;$25k",IF(D1922&lt;50000,"$25k-$50k",IF(D1922&lt;75000,"$50k-$75k",IF(D1922&lt;100000,"$75k-$100k","$100k+")))))</x:f>
        <x:v>$25k-$50k</x:v>
      </x:c>
      <x:c r="P1922" t="str">
        <x:f>IF(E1922="","Unknown",IF(E1922&lt;10,"&lt;10",IF(E1922&lt;20,"10-&lt;20",IF(E1922&lt;25,"20-&lt;25",IF(E1922&lt;35,"25-&lt;35","35+")))))</x:f>
        <x:v>&lt;10</x:v>
      </x:c>
    </x:row>
    <x:row r="1923">
      <x:c r="A1923" t="str">
        <x:v>SYN0001922</x:v>
      </x:c>
      <x:c r="B1923" s="12" t="n">
        <x:v>43405</x:v>
      </x:c>
      <x:c r="C1923" s="18" t="n">
        <x:v>21499</x:v>
      </x:c>
      <x:c r="D1923" s="18" t="n">
        <x:v>67545</x:v>
      </x:c>
      <x:c r="E1923" s="18" t="n">
        <x:v>23.37</x:v>
      </x:c>
      <x:c r="F1923" s="18" t="n">
        <x:v>13.07</x:v>
      </x:c>
      <x:c r="G1923" t="n">
        <x:v>60</x:v>
      </x:c>
      <x:c r="H1923" t="str">
        <x:v>D</x:v>
      </x:c>
      <x:c r="I1923" t="str">
        <x:v>&lt;1 year</x:v>
      </x:c>
      <x:c r="J1923" t="str">
        <x:v>RENT</x:v>
      </x:c>
      <x:c r="K1923" t="str">
        <x:v>credit_card</x:v>
      </x:c>
      <x:c r="L1923" t="n">
        <x:v>0</x:v>
      </x:c>
      <x:c r="M1923" t="n">
        <x:v>0</x:v>
      </x:c>
      <x:c r="N1923" t="str">
        <x:v>Fully Paid</x:v>
      </x:c>
      <x:c r="O1923" t="str">
        <x:f>IF(D1923="","Unknown",IF(D1923&lt;25000,"&lt;$25k",IF(D1923&lt;50000,"$25k-$50k",IF(D1923&lt;75000,"$50k-$75k",IF(D1923&lt;100000,"$75k-$100k","$100k+")))))</x:f>
        <x:v>$50k-$75k</x:v>
      </x:c>
      <x:c r="P1923" t="str">
        <x:f>IF(E1923="","Unknown",IF(E1923&lt;10,"&lt;10",IF(E1923&lt;20,"10-&lt;20",IF(E1923&lt;25,"20-&lt;25",IF(E1923&lt;35,"25-&lt;35","35+")))))</x:f>
        <x:v>20-&lt;25</x:v>
      </x:c>
    </x:row>
    <x:row r="1924">
      <x:c r="A1924" t="str">
        <x:v>SYN0001923</x:v>
      </x:c>
      <x:c r="B1924" s="12" t="n">
        <x:v>43375</x:v>
      </x:c>
      <x:c r="C1924" s="18" t="n">
        <x:v>4617</x:v>
      </x:c>
      <x:c r="D1924" s="18" t="n">
        <x:v>25344</x:v>
      </x:c>
      <x:c r="E1924" s="18" t="n">
        <x:v>24.85</x:v>
      </x:c>
      <x:c r="F1924" s="18" t="n">
        <x:v>14.06</x:v>
      </x:c>
      <x:c r="G1924" t="n">
        <x:v>36</x:v>
      </x:c>
      <x:c r="H1924" t="str">
        <x:v>E</x:v>
      </x:c>
      <x:c r="I1924" t="str">
        <x:v>1-3 years</x:v>
      </x:c>
      <x:c r="J1924" t="str">
        <x:v>OWN</x:v>
      </x:c>
      <x:c r="K1924" t="str">
        <x:v>home_improvement</x:v>
      </x:c>
      <x:c r="L1924" t="n">
        <x:v>1</x:v>
      </x:c>
      <x:c r="M1924" t="n">
        <x:v>0</x:v>
      </x:c>
      <x:c r="N1924" t="str">
        <x:v>Fully Paid</x:v>
      </x:c>
      <x:c r="O1924" t="str">
        <x:f>IF(D1924="","Unknown",IF(D1924&lt;25000,"&lt;$25k",IF(D1924&lt;50000,"$25k-$50k",IF(D1924&lt;75000,"$50k-$75k",IF(D1924&lt;100000,"$75k-$100k","$100k+")))))</x:f>
        <x:v>$25k-$50k</x:v>
      </x:c>
      <x:c r="P1924" t="str">
        <x:f>IF(E1924="","Unknown",IF(E1924&lt;10,"&lt;10",IF(E1924&lt;20,"10-&lt;20",IF(E1924&lt;25,"20-&lt;25",IF(E1924&lt;35,"25-&lt;35","35+")))))</x:f>
        <x:v>20-&lt;25</x:v>
      </x:c>
    </x:row>
    <x:row r="1925">
      <x:c r="A1925" t="str">
        <x:v>SYN0001924</x:v>
      </x:c>
      <x:c r="B1925" s="12" t="n">
        <x:v>42835</x:v>
      </x:c>
      <x:c r="C1925" s="18" t="n">
        <x:v>21813</x:v>
      </x:c>
      <x:c r="D1925" s="18" t="n">
        <x:v>58092</x:v>
      </x:c>
      <x:c r="E1925" s="18" t="n">
        <x:v>35.24</x:v>
      </x:c>
      <x:c r="F1925" s="18" t="n">
        <x:v>21.89</x:v>
      </x:c>
      <x:c r="G1925" t="n">
        <x:v>36</x:v>
      </x:c>
      <x:c r="H1925" t="str">
        <x:v>F</x:v>
      </x:c>
      <x:c r="I1925" t="str">
        <x:v>7-9 years</x:v>
      </x:c>
      <x:c r="J1925" t="str">
        <x:v>MORTGAGE</x:v>
      </x:c>
      <x:c r="K1925" t="str">
        <x:v>other</x:v>
      </x:c>
      <x:c r="L1925" t="n">
        <x:v>2</x:v>
      </x:c>
      <x:c r="M1925" t="n">
        <x:v>1</x:v>
      </x:c>
      <x:c r="N1925" t="str">
        <x:v>Charged Off</x:v>
      </x:c>
      <x:c r="O1925" t="str">
        <x:f>IF(D1925="","Unknown",IF(D1925&lt;25000,"&lt;$25k",IF(D1925&lt;50000,"$25k-$50k",IF(D1925&lt;75000,"$50k-$75k",IF(D1925&lt;100000,"$75k-$100k","$100k+")))))</x:f>
        <x:v>$50k-$75k</x:v>
      </x:c>
      <x:c r="P1925" t="str">
        <x:f>IF(E1925="","Unknown",IF(E1925&lt;10,"&lt;10",IF(E1925&lt;20,"10-&lt;20",IF(E1925&lt;25,"20-&lt;25",IF(E1925&lt;35,"25-&lt;35","35+")))))</x:f>
        <x:v>35+</x:v>
      </x:c>
    </x:row>
    <x:row r="1926">
      <x:c r="A1926" t="str">
        <x:v>SYN0001925</x:v>
      </x:c>
      <x:c r="B1926" s="12" t="n">
        <x:v>42355</x:v>
      </x:c>
      <x:c r="C1926" s="18" t="n">
        <x:v>8418</x:v>
      </x:c>
      <x:c r="D1926" s="18" t="n">
        <x:v>113896</x:v>
      </x:c>
      <x:c r="E1926" s="18" t="n">
        <x:v>24.72</x:v>
      </x:c>
      <x:c r="F1926" s="18" t="n">
        <x:v>9.55</x:v>
      </x:c>
      <x:c r="G1926" t="n">
        <x:v>60</x:v>
      </x:c>
      <x:c r="H1926" t="str">
        <x:v>C</x:v>
      </x:c>
      <x:c r="I1926" t="str">
        <x:v>1-3 years</x:v>
      </x:c>
      <x:c r="J1926" t="str">
        <x:v>MORTGAGE</x:v>
      </x:c>
      <x:c r="K1926" t="str">
        <x:v>debt_consolidation</x:v>
      </x:c>
      <x:c r="L1926" t="n">
        <x:v>0</x:v>
      </x:c>
      <x:c r="M1926" t="n">
        <x:v>1</x:v>
      </x:c>
      <x:c r="N1926" t="str">
        <x:v>Charged Off</x:v>
      </x:c>
      <x:c r="O1926" t="str">
        <x:f>IF(D1926="","Unknown",IF(D1926&lt;25000,"&lt;$25k",IF(D1926&lt;50000,"$25k-$50k",IF(D1926&lt;75000,"$50k-$75k",IF(D1926&lt;100000,"$75k-$100k","$100k+")))))</x:f>
        <x:v>$100k+</x:v>
      </x:c>
      <x:c r="P1926" t="str">
        <x:f>IF(E1926="","Unknown",IF(E1926&lt;10,"&lt;10",IF(E1926&lt;20,"10-&lt;20",IF(E1926&lt;25,"20-&lt;25",IF(E1926&lt;35,"25-&lt;35","35+")))))</x:f>
        <x:v>20-&lt;25</x:v>
      </x:c>
    </x:row>
    <x:row r="1927">
      <x:c r="A1927" t="str">
        <x:v>SYN0001926</x:v>
      </x:c>
      <x:c r="B1927" s="12" t="n">
        <x:v>41815</x:v>
      </x:c>
      <x:c r="C1927" s="18" t="n">
        <x:v>15105</x:v>
      </x:c>
      <x:c r="D1927" s="18" t="n">
        <x:v>135448</x:v>
      </x:c>
      <x:c r="E1927" s="18" t="n">
        <x:v>20.38</x:v>
      </x:c>
      <x:c r="F1927" s="18" t="n">
        <x:v>6.37</x:v>
      </x:c>
      <x:c r="G1927" t="n">
        <x:v>60</x:v>
      </x:c>
      <x:c r="H1927" t="str">
        <x:v>B</x:v>
      </x:c>
      <x:c r="I1927" t="str">
        <x:v>10+ years</x:v>
      </x:c>
      <x:c r="J1927" t="str">
        <x:v>RENT</x:v>
      </x:c>
      <x:c r="K1927" t="str">
        <x:v>credit_card</x:v>
      </x:c>
      <x:c r="L1927" t="n">
        <x:v>0</x:v>
      </x:c>
      <x:c r="M1927" t="n">
        <x:v>0</x:v>
      </x:c>
      <x:c r="N1927" t="str">
        <x:v>Fully Paid</x:v>
      </x:c>
      <x:c r="O1927" t="str">
        <x:f>IF(D1927="","Unknown",IF(D1927&lt;25000,"&lt;$25k",IF(D1927&lt;50000,"$25k-$50k",IF(D1927&lt;75000,"$50k-$75k",IF(D1927&lt;100000,"$75k-$100k","$100k+")))))</x:f>
        <x:v>$100k+</x:v>
      </x:c>
      <x:c r="P1927" t="str">
        <x:f>IF(E1927="","Unknown",IF(E1927&lt;10,"&lt;10",IF(E1927&lt;20,"10-&lt;20",IF(E1927&lt;25,"20-&lt;25",IF(E1927&lt;35,"25-&lt;35","35+")))))</x:f>
        <x:v>20-&lt;25</x:v>
      </x:c>
    </x:row>
    <x:row r="1928">
      <x:c r="A1928" t="str">
        <x:v>SYN0001927</x:v>
      </x:c>
      <x:c r="B1928" s="12" t="n">
        <x:v>43405</x:v>
      </x:c>
      <x:c r="C1928" s="18" t="n">
        <x:v>11368</x:v>
      </x:c>
      <x:c r="D1928" s="18" t="n">
        <x:v>21556</x:v>
      </x:c>
      <x:c r="E1928" s="18" t="n">
        <x:v>28.94</x:v>
      </x:c>
      <x:c r="F1928" s="18" t="n">
        <x:v>20.36</x:v>
      </x:c>
      <x:c r="G1928" t="n">
        <x:v>36</x:v>
      </x:c>
      <x:c r="H1928" t="str">
        <x:v>E</x:v>
      </x:c>
      <x:c r="I1928" t="str">
        <x:v>4-6 years</x:v>
      </x:c>
      <x:c r="J1928" t="str">
        <x:v>OWN</x:v>
      </x:c>
      <x:c r="K1928" t="str">
        <x:v>credit_card</x:v>
      </x:c>
      <x:c r="L1928" t="n">
        <x:v>1</x:v>
      </x:c>
      <x:c r="M1928" t="n">
        <x:v>0</x:v>
      </x:c>
      <x:c r="N1928" t="str">
        <x:v>Fully Paid</x:v>
      </x:c>
      <x:c r="O1928" t="str">
        <x:f>IF(D1928="","Unknown",IF(D1928&lt;25000,"&lt;$25k",IF(D1928&lt;50000,"$25k-$50k",IF(D1928&lt;75000,"$50k-$75k",IF(D1928&lt;100000,"$75k-$100k","$100k+")))))</x:f>
        <x:v>&lt;$25k</x:v>
      </x:c>
      <x:c r="P1928" t="str">
        <x:f>IF(E1928="","Unknown",IF(E1928&lt;10,"&lt;10",IF(E1928&lt;20,"10-&lt;20",IF(E1928&lt;25,"20-&lt;25",IF(E1928&lt;35,"25-&lt;35","35+")))))</x:f>
        <x:v>25-&lt;35</x:v>
      </x:c>
    </x:row>
    <x:row r="1929">
      <x:c r="A1929" t="str">
        <x:v>SYN0001928</x:v>
      </x:c>
      <x:c r="B1929" s="12" t="n">
        <x:v>42685</x:v>
      </x:c>
      <x:c r="C1929" s="18" t="n">
        <x:v>10390</x:v>
      </x:c>
      <x:c r="D1929" s="18" t="n">
        <x:v>37846</x:v>
      </x:c>
      <x:c r="E1929" s="18" t="n">
        <x:v>21.39</x:v>
      </x:c>
      <x:c r="F1929" s="18" t="n">
        <x:v>7.88</x:v>
      </x:c>
      <x:c r="G1929" t="n">
        <x:v>60</x:v>
      </x:c>
      <x:c r="H1929" t="str">
        <x:v>B</x:v>
      </x:c>
      <x:c r="I1929" t="str">
        <x:v>1-3 years</x:v>
      </x:c>
      <x:c r="J1929" t="str">
        <x:v>RENT</x:v>
      </x:c>
      <x:c r="K1929" t="str">
        <x:v>debt_consolidation</x:v>
      </x:c>
      <x:c r="L1929" t="n">
        <x:v>1</x:v>
      </x:c>
      <x:c r="M1929" t="n">
        <x:v>1</x:v>
      </x:c>
      <x:c r="N1929" t="str">
        <x:v>Charged Off</x:v>
      </x:c>
      <x:c r="O1929" t="str">
        <x:f>IF(D1929="","Unknown",IF(D1929&lt;25000,"&lt;$25k",IF(D1929&lt;50000,"$25k-$50k",IF(D1929&lt;75000,"$50k-$75k",IF(D1929&lt;100000,"$75k-$100k","$100k+")))))</x:f>
        <x:v>$25k-$50k</x:v>
      </x:c>
      <x:c r="P1929" t="str">
        <x:f>IF(E1929="","Unknown",IF(E1929&lt;10,"&lt;10",IF(E1929&lt;20,"10-&lt;20",IF(E1929&lt;25,"20-&lt;25",IF(E1929&lt;35,"25-&lt;35","35+")))))</x:f>
        <x:v>20-&lt;25</x:v>
      </x:c>
    </x:row>
    <x:row r="1930">
      <x:c r="A1930" t="str">
        <x:v>SYN0001929</x:v>
      </x:c>
      <x:c r="B1930" s="12" t="n">
        <x:v>41785</x:v>
      </x:c>
      <x:c r="C1930" s="18" t="n">
        <x:v>14238</x:v>
      </x:c>
      <x:c r="D1930" s="18" t="n">
        <x:v>141262</x:v>
      </x:c>
      <x:c r="E1930" s="18" t="n">
        <x:v>12.89</x:v>
      </x:c>
      <x:c r="F1930" s="18" t="n">
        <x:v>9.64</x:v>
      </x:c>
      <x:c r="G1930" t="n">
        <x:v>36</x:v>
      </x:c>
      <x:c r="H1930" t="str">
        <x:v>C</x:v>
      </x:c>
      <x:c r="I1930" t="str">
        <x:v>4-6 years</x:v>
      </x:c>
      <x:c r="J1930" t="str">
        <x:v>MORTGAGE</x:v>
      </x:c>
      <x:c r="K1930" t="str">
        <x:v>debt_consolidation</x:v>
      </x:c>
      <x:c r="L1930" t="n">
        <x:v>1</x:v>
      </x:c>
      <x:c r="M1930" t="n">
        <x:v>0</x:v>
      </x:c>
      <x:c r="N1930" t="str">
        <x:v>Fully Paid</x:v>
      </x:c>
      <x:c r="O1930" t="str">
        <x:f>IF(D1930="","Unknown",IF(D1930&lt;25000,"&lt;$25k",IF(D1930&lt;50000,"$25k-$50k",IF(D1930&lt;75000,"$50k-$75k",IF(D1930&lt;100000,"$75k-$100k","$100k+")))))</x:f>
        <x:v>$100k+</x:v>
      </x:c>
      <x:c r="P1930" t="str">
        <x:f>IF(E1930="","Unknown",IF(E1930&lt;10,"&lt;10",IF(E1930&lt;20,"10-&lt;20",IF(E1930&lt;25,"20-&lt;25",IF(E1930&lt;35,"25-&lt;35","35+")))))</x:f>
        <x:v>10-&lt;20</x:v>
      </x:c>
    </x:row>
    <x:row r="1931">
      <x:c r="A1931" t="str">
        <x:v>SYN0001930</x:v>
      </x:c>
      <x:c r="B1931" s="12" t="n">
        <x:v>42925</x:v>
      </x:c>
      <x:c r="C1931" s="18" t="n">
        <x:v>14294</x:v>
      </x:c>
      <x:c r="D1931" s="18" t="n">
        <x:v>59881</x:v>
      </x:c>
      <x:c r="E1931" s="18" t="n">
        <x:v>24.52</x:v>
      </x:c>
      <x:c r="F1931" s="18" t="n">
        <x:v>18.57</x:v>
      </x:c>
      <x:c r="G1931" t="n">
        <x:v>60</x:v>
      </x:c>
      <x:c r="H1931" t="str">
        <x:v>E</x:v>
      </x:c>
      <x:c r="I1931" t="str">
        <x:v>7-9 years</x:v>
      </x:c>
      <x:c r="J1931" t="str">
        <x:v>RENT</x:v>
      </x:c>
      <x:c r="K1931" t="str">
        <x:v>debt_consolidation</x:v>
      </x:c>
      <x:c r="L1931" t="n">
        <x:v>0</x:v>
      </x:c>
      <x:c r="M1931" t="n">
        <x:v>0</x:v>
      </x:c>
      <x:c r="N1931" t="str">
        <x:v>Fully Paid</x:v>
      </x:c>
      <x:c r="O1931" t="str">
        <x:f>IF(D1931="","Unknown",IF(D1931&lt;25000,"&lt;$25k",IF(D1931&lt;50000,"$25k-$50k",IF(D1931&lt;75000,"$50k-$75k",IF(D1931&lt;100000,"$75k-$100k","$100k+")))))</x:f>
        <x:v>$50k-$75k</x:v>
      </x:c>
      <x:c r="P1931" t="str">
        <x:f>IF(E1931="","Unknown",IF(E1931&lt;10,"&lt;10",IF(E1931&lt;20,"10-&lt;20",IF(E1931&lt;25,"20-&lt;25",IF(E1931&lt;35,"25-&lt;35","35+")))))</x:f>
        <x:v>20-&lt;25</x:v>
      </x:c>
    </x:row>
    <x:row r="1932">
      <x:c r="A1932" t="str">
        <x:v>SYN0001931</x:v>
      </x:c>
      <x:c r="B1932" s="12" t="n">
        <x:v>43285</x:v>
      </x:c>
      <x:c r="C1932" s="18" t="n">
        <x:v>14677</x:v>
      </x:c>
      <x:c r="D1932" s="18" t="n">
        <x:v>39690</x:v>
      </x:c>
      <x:c r="E1932" s="18" t="n">
        <x:v>25.34</x:v>
      </x:c>
      <x:c r="F1932" s="18" t="n">
        <x:v>14.42</x:v>
      </x:c>
      <x:c r="G1932" t="n">
        <x:v>36</x:v>
      </x:c>
      <x:c r="H1932" t="str">
        <x:v>E</x:v>
      </x:c>
      <x:c r="I1932" t="str">
        <x:v>10+ years</x:v>
      </x:c>
      <x:c r="J1932" t="str">
        <x:v>RENT</x:v>
      </x:c>
      <x:c r="K1932" t="str">
        <x:v>credit_card</x:v>
      </x:c>
      <x:c r="L1932" t="n">
        <x:v>2</x:v>
      </x:c>
      <x:c r="M1932" t="n">
        <x:v>0</x:v>
      </x:c>
      <x:c r="N1932" t="str">
        <x:v>Fully Paid</x:v>
      </x:c>
      <x:c r="O1932" t="str">
        <x:f>IF(D1932="","Unknown",IF(D1932&lt;25000,"&lt;$25k",IF(D1932&lt;50000,"$25k-$50k",IF(D1932&lt;75000,"$50k-$75k",IF(D1932&lt;100000,"$75k-$100k","$100k+")))))</x:f>
        <x:v>$25k-$50k</x:v>
      </x:c>
      <x:c r="P1932" t="str">
        <x:f>IF(E1932="","Unknown",IF(E1932&lt;10,"&lt;10",IF(E1932&lt;20,"10-&lt;20",IF(E1932&lt;25,"20-&lt;25",IF(E1932&lt;35,"25-&lt;35","35+")))))</x:f>
        <x:v>25-&lt;35</x:v>
      </x:c>
    </x:row>
    <x:row r="1933">
      <x:c r="A1933" t="str">
        <x:v>SYN0001932</x:v>
      </x:c>
      <x:c r="B1933" s="12" t="n">
        <x:v>41605</x:v>
      </x:c>
      <x:c r="C1933" s="18" t="n">
        <x:v>13127</x:v>
      </x:c>
      <x:c r="D1933" s="18" t="n">
        <x:v>54332</x:v>
      </x:c>
      <x:c r="E1933" s="18" t="n">
        <x:v>17.86</x:v>
      </x:c>
      <x:c r="F1933" s="18" t="n">
        <x:v>13.43</x:v>
      </x:c>
      <x:c r="G1933" t="n">
        <x:v>60</x:v>
      </x:c>
      <x:c r="H1933" t="str">
        <x:v>E</x:v>
      </x:c>
      <x:c r="I1933" t="str">
        <x:v>7-9 years</x:v>
      </x:c>
      <x:c r="J1933" t="str">
        <x:v>MORTGAGE</x:v>
      </x:c>
      <x:c r="K1933" t="str">
        <x:v>major_purchase</x:v>
      </x:c>
      <x:c r="L1933" t="n">
        <x:v>0</x:v>
      </x:c>
      <x:c r="M1933" t="n">
        <x:v>0</x:v>
      </x:c>
      <x:c r="N1933" t="str">
        <x:v>Fully Paid</x:v>
      </x:c>
      <x:c r="O1933" t="str">
        <x:f>IF(D1933="","Unknown",IF(D1933&lt;25000,"&lt;$25k",IF(D1933&lt;50000,"$25k-$50k",IF(D1933&lt;75000,"$50k-$75k",IF(D1933&lt;100000,"$75k-$100k","$100k+")))))</x:f>
        <x:v>$50k-$75k</x:v>
      </x:c>
      <x:c r="P1933" t="str">
        <x:f>IF(E1933="","Unknown",IF(E1933&lt;10,"&lt;10",IF(E1933&lt;20,"10-&lt;20",IF(E1933&lt;25,"20-&lt;25",IF(E1933&lt;35,"25-&lt;35","35+")))))</x:f>
        <x:v>10-&lt;20</x:v>
      </x:c>
    </x:row>
    <x:row r="1934">
      <x:c r="A1934" t="str">
        <x:v>SYN0001933</x:v>
      </x:c>
      <x:c r="B1934" s="12" t="n">
        <x:v>42895</x:v>
      </x:c>
      <x:c r="C1934" s="18" t="n">
        <x:v>12584</x:v>
      </x:c>
      <x:c r="D1934" s="18" t="n">
        <x:v>81707</x:v>
      </x:c>
      <x:c r="E1934" s="18" t="n">
        <x:v>19.35</x:v>
      </x:c>
      <x:c r="F1934" s="18" t="n">
        <x:v>7.43</x:v>
      </x:c>
      <x:c r="G1934" t="n">
        <x:v>36</x:v>
      </x:c>
      <x:c r="H1934" t="str">
        <x:v>B</x:v>
      </x:c>
      <x:c r="I1934" t="str">
        <x:v>10+ years</x:v>
      </x:c>
      <x:c r="J1934" t="str">
        <x:v>RENT</x:v>
      </x:c>
      <x:c r="K1934" t="str">
        <x:v>credit_card</x:v>
      </x:c>
      <x:c r="L1934" t="n">
        <x:v>0</x:v>
      </x:c>
      <x:c r="M1934" t="n">
        <x:v>0</x:v>
      </x:c>
      <x:c r="N1934" t="str">
        <x:v>Fully Paid</x:v>
      </x:c>
      <x:c r="O1934" t="str">
        <x:f>IF(D1934="","Unknown",IF(D1934&lt;25000,"&lt;$25k",IF(D1934&lt;50000,"$25k-$50k",IF(D1934&lt;75000,"$50k-$75k",IF(D1934&lt;100000,"$75k-$100k","$100k+")))))</x:f>
        <x:v>$75k-$100k</x:v>
      </x:c>
      <x:c r="P1934" t="str">
        <x:f>IF(E1934="","Unknown",IF(E1934&lt;10,"&lt;10",IF(E1934&lt;20,"10-&lt;20",IF(E1934&lt;25,"20-&lt;25",IF(E1934&lt;35,"25-&lt;35","35+")))))</x:f>
        <x:v>10-&lt;20</x:v>
      </x:c>
    </x:row>
    <x:row r="1935">
      <x:c r="A1935" t="str">
        <x:v>SYN0001934</x:v>
      </x:c>
      <x:c r="B1935" s="12" t="n">
        <x:v>42115</x:v>
      </x:c>
      <x:c r="C1935" s="18" t="n">
        <x:v>17328</x:v>
      </x:c>
      <x:c r="D1935" s="18" t="n">
        <x:v>40917</x:v>
      </x:c>
      <x:c r="E1935" s="18" t="n">
        <x:v>10.29</x:v>
      </x:c>
      <x:c r="F1935" s="18" t="n">
        <x:v>8.27</x:v>
      </x:c>
      <x:c r="G1935" t="n">
        <x:v>36</x:v>
      </x:c>
      <x:c r="H1935" t="str">
        <x:v>C</x:v>
      </x:c>
      <x:c r="I1935" t="str">
        <x:v>10+ years</x:v>
      </x:c>
      <x:c r="J1935" t="str">
        <x:v>MORTGAGE</x:v>
      </x:c>
      <x:c r="K1935" t="str">
        <x:v>debt_consolidation</x:v>
      </x:c>
      <x:c r="L1935" t="n">
        <x:v>1</x:v>
      </x:c>
      <x:c r="M1935" t="n">
        <x:v>1</x:v>
      </x:c>
      <x:c r="N1935" t="str">
        <x:v>Charged Off</x:v>
      </x:c>
      <x:c r="O1935" t="str">
        <x:f>IF(D1935="","Unknown",IF(D1935&lt;25000,"&lt;$25k",IF(D1935&lt;50000,"$25k-$50k",IF(D1935&lt;75000,"$50k-$75k",IF(D1935&lt;100000,"$75k-$100k","$100k+")))))</x:f>
        <x:v>$25k-$50k</x:v>
      </x:c>
      <x:c r="P1935" t="str">
        <x:f>IF(E1935="","Unknown",IF(E1935&lt;10,"&lt;10",IF(E1935&lt;20,"10-&lt;20",IF(E1935&lt;25,"20-&lt;25",IF(E1935&lt;35,"25-&lt;35","35+")))))</x:f>
        <x:v>10-&lt;20</x:v>
      </x:c>
    </x:row>
    <x:row r="1936">
      <x:c r="A1936" t="str">
        <x:v>SYN0001935</x:v>
      </x:c>
      <x:c r="B1936" s="12" t="n">
        <x:v>43045</x:v>
      </x:c>
      <x:c r="C1936" s="18" t="n">
        <x:v>9287</x:v>
      </x:c>
      <x:c r="D1936" s="18" t="n">
        <x:v>22447</x:v>
      </x:c>
      <x:c r="E1936" s="18" t="n">
        <x:v>19.21</x:v>
      </x:c>
      <x:c r="F1936" s="18" t="n">
        <x:v>10.13</x:v>
      </x:c>
      <x:c r="G1936" t="n">
        <x:v>36</x:v>
      </x:c>
      <x:c r="H1936" t="str">
        <x:v>B</x:v>
      </x:c>
      <x:c r="I1936" t="str">
        <x:v>4-6 years</x:v>
      </x:c>
      <x:c r="J1936" t="str">
        <x:v>OWN</x:v>
      </x:c>
      <x:c r="K1936" t="str">
        <x:v>debt_consolidation</x:v>
      </x:c>
      <x:c r="L1936" t="n">
        <x:v>0</x:v>
      </x:c>
      <x:c r="M1936" t="n">
        <x:v>0</x:v>
      </x:c>
      <x:c r="N1936" t="str">
        <x:v>Fully Paid</x:v>
      </x:c>
      <x:c r="O1936" t="str">
        <x:f>IF(D1936="","Unknown",IF(D1936&lt;25000,"&lt;$25k",IF(D1936&lt;50000,"$25k-$50k",IF(D1936&lt;75000,"$50k-$75k",IF(D1936&lt;100000,"$75k-$100k","$100k+")))))</x:f>
        <x:v>&lt;$25k</x:v>
      </x:c>
      <x:c r="P1936" t="str">
        <x:f>IF(E1936="","Unknown",IF(E1936&lt;10,"&lt;10",IF(E1936&lt;20,"10-&lt;20",IF(E1936&lt;25,"20-&lt;25",IF(E1936&lt;35,"25-&lt;35","35+")))))</x:f>
        <x:v>10-&lt;20</x:v>
      </x:c>
    </x:row>
    <x:row r="1937">
      <x:c r="A1937" t="str">
        <x:v>SYN0001936</x:v>
      </x:c>
      <x:c r="B1937" s="12" t="n">
        <x:v>42415</x:v>
      </x:c>
      <x:c r="C1937" s="18" t="n">
        <x:v>9160</x:v>
      </x:c>
      <x:c r="D1937" s="18" t="n">
        <x:v>25117</x:v>
      </x:c>
      <x:c r="E1937" s="18" t="n">
        <x:v>26.52</x:v>
      </x:c>
      <x:c r="F1937" s="18" t="n">
        <x:v>10.41</x:v>
      </x:c>
      <x:c r="G1937" t="n">
        <x:v>36</x:v>
      </x:c>
      <x:c r="H1937" t="str">
        <x:v>B</x:v>
      </x:c>
      <x:c r="I1937" t="str">
        <x:v>7-9 years</x:v>
      </x:c>
      <x:c r="J1937" t="str">
        <x:v>MORTGAGE</x:v>
      </x:c>
      <x:c r="K1937" t="str">
        <x:v>home_improvement</x:v>
      </x:c>
      <x:c r="L1937" t="n">
        <x:v>0</x:v>
      </x:c>
      <x:c r="M1937" t="n">
        <x:v>0</x:v>
      </x:c>
      <x:c r="N1937" t="str">
        <x:v>Fully Paid</x:v>
      </x:c>
      <x:c r="O1937" t="str">
        <x:f>IF(D1937="","Unknown",IF(D1937&lt;25000,"&lt;$25k",IF(D1937&lt;50000,"$25k-$50k",IF(D1937&lt;75000,"$50k-$75k",IF(D1937&lt;100000,"$75k-$100k","$100k+")))))</x:f>
        <x:v>$25k-$50k</x:v>
      </x:c>
      <x:c r="P1937" t="str">
        <x:f>IF(E1937="","Unknown",IF(E1937&lt;10,"&lt;10",IF(E1937&lt;20,"10-&lt;20",IF(E1937&lt;25,"20-&lt;25",IF(E1937&lt;35,"25-&lt;35","35+")))))</x:f>
        <x:v>25-&lt;35</x:v>
      </x:c>
    </x:row>
    <x:row r="1938">
      <x:c r="A1938" t="str">
        <x:v>SYN0001937</x:v>
      </x:c>
      <x:c r="B1938" s="12" t="n">
        <x:v>43075</x:v>
      </x:c>
      <x:c r="C1938" s="18" t="n">
        <x:v>13529</x:v>
      </x:c>
      <x:c r="D1938" s="18" t="n">
        <x:v>29052</x:v>
      </x:c>
      <x:c r="E1938" s="18" t="n">
        <x:v>25.02</x:v>
      </x:c>
      <x:c r="F1938" s="18" t="n">
        <x:v>11.76</x:v>
      </x:c>
      <x:c r="G1938" t="n">
        <x:v>36</x:v>
      </x:c>
      <x:c r="H1938" t="str">
        <x:v>C</x:v>
      </x:c>
      <x:c r="I1938" t="str">
        <x:v>10+ years</x:v>
      </x:c>
      <x:c r="J1938" t="str">
        <x:v>OTHER</x:v>
      </x:c>
      <x:c r="K1938" t="str">
        <x:v>credit_card</x:v>
      </x:c>
      <x:c r="L1938" t="n">
        <x:v>1</x:v>
      </x:c>
      <x:c r="M1938" t="n">
        <x:v>0</x:v>
      </x:c>
      <x:c r="N1938" t="str">
        <x:v>Fully Paid</x:v>
      </x:c>
      <x:c r="O1938" t="str">
        <x:f>IF(D1938="","Unknown",IF(D1938&lt;25000,"&lt;$25k",IF(D1938&lt;50000,"$25k-$50k",IF(D1938&lt;75000,"$50k-$75k",IF(D1938&lt;100000,"$75k-$100k","$100k+")))))</x:f>
        <x:v>$25k-$50k</x:v>
      </x:c>
      <x:c r="P1938" t="str">
        <x:f>IF(E1938="","Unknown",IF(E1938&lt;10,"&lt;10",IF(E1938&lt;20,"10-&lt;20",IF(E1938&lt;25,"20-&lt;25",IF(E1938&lt;35,"25-&lt;35","35+")))))</x:f>
        <x:v>25-&lt;35</x:v>
      </x:c>
    </x:row>
    <x:row r="1939">
      <x:c r="A1939" t="str">
        <x:v>SYN0001938</x:v>
      </x:c>
      <x:c r="B1939" s="12" t="n">
        <x:v>41425</x:v>
      </x:c>
      <x:c r="C1939" s="18" t="n">
        <x:v>9928</x:v>
      </x:c>
      <x:c r="D1939" s="18" t="n">
        <x:v>49835</x:v>
      </x:c>
      <x:c r="E1939" s="18" t="n">
        <x:v>12.72</x:v>
      </x:c>
      <x:c r="F1939" s="18" t="n">
        <x:v>10.61</x:v>
      </x:c>
      <x:c r="G1939" t="n">
        <x:v>36</x:v>
      </x:c>
      <x:c r="H1939" t="str">
        <x:v>B</x:v>
      </x:c>
      <x:c r="I1939" t="str">
        <x:v>1-3 years</x:v>
      </x:c>
      <x:c r="J1939" t="str">
        <x:v>MORTGAGE</x:v>
      </x:c>
      <x:c r="K1939" t="str">
        <x:v>debt_consolidation</x:v>
      </x:c>
      <x:c r="L1939" t="n">
        <x:v>1</x:v>
      </x:c>
      <x:c r="M1939" t="n">
        <x:v>0</x:v>
      </x:c>
      <x:c r="N1939" t="str">
        <x:v>Fully Paid</x:v>
      </x:c>
      <x:c r="O1939" t="str">
        <x:f>IF(D1939="","Unknown",IF(D1939&lt;25000,"&lt;$25k",IF(D1939&lt;50000,"$25k-$50k",IF(D1939&lt;75000,"$50k-$75k",IF(D1939&lt;100000,"$75k-$100k","$100k+")))))</x:f>
        <x:v>$25k-$50k</x:v>
      </x:c>
      <x:c r="P1939" t="str">
        <x:f>IF(E1939="","Unknown",IF(E1939&lt;10,"&lt;10",IF(E1939&lt;20,"10-&lt;20",IF(E1939&lt;25,"20-&lt;25",IF(E1939&lt;35,"25-&lt;35","35+")))))</x:f>
        <x:v>10-&lt;20</x:v>
      </x:c>
    </x:row>
    <x:row r="1940">
      <x:c r="A1940" t="str">
        <x:v>SYN0001939</x:v>
      </x:c>
      <x:c r="B1940" s="12" t="n">
        <x:v>42115</x:v>
      </x:c>
      <x:c r="C1940" s="18" t="n">
        <x:v>11711</x:v>
      </x:c>
      <x:c r="D1940" s="18" t="n">
        <x:v>111421</x:v>
      </x:c>
      <x:c r="E1940" s="18" t="n">
        <x:v>4.87</x:v>
      </x:c>
      <x:c r="F1940" s="18" t="n">
        <x:v>8.82</x:v>
      </x:c>
      <x:c r="G1940" t="n">
        <x:v>36</x:v>
      </x:c>
      <x:c r="H1940" t="str">
        <x:v>B</x:v>
      </x:c>
      <x:c r="I1940" t="str">
        <x:v>7-9 years</x:v>
      </x:c>
      <x:c r="J1940" t="str">
        <x:v>MORTGAGE</x:v>
      </x:c>
      <x:c r="K1940" t="str">
        <x:v>debt_consolidation</x:v>
      </x:c>
      <x:c r="L1940" t="n">
        <x:v>0</x:v>
      </x:c>
      <x:c r="M1940" t="n">
        <x:v>0</x:v>
      </x:c>
      <x:c r="N1940" t="str">
        <x:v>Fully Paid</x:v>
      </x:c>
      <x:c r="O1940" t="str">
        <x:f>IF(D1940="","Unknown",IF(D1940&lt;25000,"&lt;$25k",IF(D1940&lt;50000,"$25k-$50k",IF(D1940&lt;75000,"$50k-$75k",IF(D1940&lt;100000,"$75k-$100k","$100k+")))))</x:f>
        <x:v>$100k+</x:v>
      </x:c>
      <x:c r="P1940" t="str">
        <x:f>IF(E1940="","Unknown",IF(E1940&lt;10,"&lt;10",IF(E1940&lt;20,"10-&lt;20",IF(E1940&lt;25,"20-&lt;25",IF(E1940&lt;35,"25-&lt;35","35+")))))</x:f>
        <x:v>&lt;10</x:v>
      </x:c>
    </x:row>
    <x:row r="1941">
      <x:c r="A1941" t="str">
        <x:v>SYN0001940</x:v>
      </x:c>
      <x:c r="B1941" s="12" t="n">
        <x:v>41575</x:v>
      </x:c>
      <x:c r="C1941" s="18" t="n">
        <x:v>9194</x:v>
      </x:c>
      <x:c r="D1941" s="18" t="n">
        <x:v>77788</x:v>
      </x:c>
      <x:c r="E1941" s="18" t="n">
        <x:v>18.8</x:v>
      </x:c>
      <x:c r="F1941" s="18" t="n">
        <x:v>10.49</x:v>
      </x:c>
      <x:c r="G1941" t="n">
        <x:v>36</x:v>
      </x:c>
      <x:c r="H1941" t="str">
        <x:v>C</x:v>
      </x:c>
      <x:c r="I1941" t="str">
        <x:v>1-3 years</x:v>
      </x:c>
      <x:c r="J1941" t="str">
        <x:v>MORTGAGE</x:v>
      </x:c>
      <x:c r="K1941" t="str">
        <x:v>credit_card</x:v>
      </x:c>
      <x:c r="L1941" t="n">
        <x:v>1</x:v>
      </x:c>
      <x:c r="M1941" t="n">
        <x:v>0</x:v>
      </x:c>
      <x:c r="N1941" t="str">
        <x:v>Fully Paid</x:v>
      </x:c>
      <x:c r="O1941" t="str">
        <x:f>IF(D1941="","Unknown",IF(D1941&lt;25000,"&lt;$25k",IF(D1941&lt;50000,"$25k-$50k",IF(D1941&lt;75000,"$50k-$75k",IF(D1941&lt;100000,"$75k-$100k","$100k+")))))</x:f>
        <x:v>$75k-$100k</x:v>
      </x:c>
      <x:c r="P1941" t="str">
        <x:f>IF(E1941="","Unknown",IF(E1941&lt;10,"&lt;10",IF(E1941&lt;20,"10-&lt;20",IF(E1941&lt;25,"20-&lt;25",IF(E1941&lt;35,"25-&lt;35","35+")))))</x:f>
        <x:v>10-&lt;20</x:v>
      </x:c>
    </x:row>
    <x:row r="1942">
      <x:c r="A1942" t="str">
        <x:v>SYN0001941</x:v>
      </x:c>
      <x:c r="B1942" s="12" t="n">
        <x:v>42715</x:v>
      </x:c>
      <x:c r="C1942" s="18" t="n">
        <x:v>12969</x:v>
      </x:c>
      <x:c r="D1942" s="18" t="n">
        <x:v>95413</x:v>
      </x:c>
      <x:c r="E1942" s="18" t="n">
        <x:v>10.14</x:v>
      </x:c>
      <x:c r="F1942" s="18" t="n">
        <x:v>10.47</x:v>
      </x:c>
      <x:c r="G1942" t="n">
        <x:v>36</x:v>
      </x:c>
      <x:c r="H1942" t="str">
        <x:v>B</x:v>
      </x:c>
      <x:c r="I1942" t="str">
        <x:v>7-9 years</x:v>
      </x:c>
      <x:c r="J1942" t="str">
        <x:v>MORTGAGE</x:v>
      </x:c>
      <x:c r="K1942" t="str">
        <x:v>credit_card</x:v>
      </x:c>
      <x:c r="L1942" t="n">
        <x:v>0</x:v>
      </x:c>
      <x:c r="M1942" t="n">
        <x:v>0</x:v>
      </x:c>
      <x:c r="N1942" t="str">
        <x:v>Fully Paid</x:v>
      </x:c>
      <x:c r="O1942" t="str">
        <x:f>IF(D1942="","Unknown",IF(D1942&lt;25000,"&lt;$25k",IF(D1942&lt;50000,"$25k-$50k",IF(D1942&lt;75000,"$50k-$75k",IF(D1942&lt;100000,"$75k-$100k","$100k+")))))</x:f>
        <x:v>$75k-$100k</x:v>
      </x:c>
      <x:c r="P1942" t="str">
        <x:f>IF(E1942="","Unknown",IF(E1942&lt;10,"&lt;10",IF(E1942&lt;20,"10-&lt;20",IF(E1942&lt;25,"20-&lt;25",IF(E1942&lt;35,"25-&lt;35","35+")))))</x:f>
        <x:v>10-&lt;20</x:v>
      </x:c>
    </x:row>
    <x:row r="1943">
      <x:c r="A1943" t="str">
        <x:v>SYN0001942</x:v>
      </x:c>
      <x:c r="B1943" s="12" t="n">
        <x:v>43345</x:v>
      </x:c>
      <x:c r="C1943" s="18" t="n">
        <x:v>14233</x:v>
      </x:c>
      <x:c r="D1943" s="18" t="n">
        <x:v>88015</x:v>
      </x:c>
      <x:c r="E1943" s="18" t="n">
        <x:v>19.47</x:v>
      </x:c>
      <x:c r="F1943" s="18" t="n">
        <x:v>17.92</x:v>
      </x:c>
      <x:c r="G1943" t="n">
        <x:v>36</x:v>
      </x:c>
      <x:c r="H1943" t="str">
        <x:v>E</x:v>
      </x:c>
      <x:c r="I1943" t="str">
        <x:v>7-9 years</x:v>
      </x:c>
      <x:c r="J1943" t="str">
        <x:v>RENT</x:v>
      </x:c>
      <x:c r="K1943" t="str">
        <x:v>credit_card</x:v>
      </x:c>
      <x:c r="L1943" t="n">
        <x:v>1</x:v>
      </x:c>
      <x:c r="M1943" t="n">
        <x:v>1</x:v>
      </x:c>
      <x:c r="N1943" t="str">
        <x:v>Charged Off</x:v>
      </x:c>
      <x:c r="O1943" t="str">
        <x:f>IF(D1943="","Unknown",IF(D1943&lt;25000,"&lt;$25k",IF(D1943&lt;50000,"$25k-$50k",IF(D1943&lt;75000,"$50k-$75k",IF(D1943&lt;100000,"$75k-$100k","$100k+")))))</x:f>
        <x:v>$75k-$100k</x:v>
      </x:c>
      <x:c r="P1943" t="str">
        <x:f>IF(E1943="","Unknown",IF(E1943&lt;10,"&lt;10",IF(E1943&lt;20,"10-&lt;20",IF(E1943&lt;25,"20-&lt;25",IF(E1943&lt;35,"25-&lt;35","35+")))))</x:f>
        <x:v>10-&lt;20</x:v>
      </x:c>
    </x:row>
    <x:row r="1944">
      <x:c r="A1944" t="str">
        <x:v>SYN0001943</x:v>
      </x:c>
      <x:c r="B1944" s="12" t="n">
        <x:v>41485</x:v>
      </x:c>
      <x:c r="C1944" s="18" t="n">
        <x:v>10018</x:v>
      </x:c>
      <x:c r="D1944" s="18" t="n">
        <x:v>105570</x:v>
      </x:c>
      <x:c r="E1944" s="18" t="n">
        <x:v>24.84</x:v>
      </x:c>
      <x:c r="F1944" s="18" t="n">
        <x:v>7.98</x:v>
      </x:c>
      <x:c r="G1944" t="n">
        <x:v>36</x:v>
      </x:c>
      <x:c r="H1944" t="str">
        <x:v>A</x:v>
      </x:c>
      <x:c r="I1944" t="str">
        <x:v>4-6 years</x:v>
      </x:c>
      <x:c r="J1944" t="str">
        <x:v>RENT</x:v>
      </x:c>
      <x:c r="K1944" t="str">
        <x:v>debt_consolidation</x:v>
      </x:c>
      <x:c r="L1944" t="n">
        <x:v>0</x:v>
      </x:c>
      <x:c r="M1944" t="n">
        <x:v>0</x:v>
      </x:c>
      <x:c r="N1944" t="str">
        <x:v>Fully Paid</x:v>
      </x:c>
      <x:c r="O1944" t="str">
        <x:f>IF(D1944="","Unknown",IF(D1944&lt;25000,"&lt;$25k",IF(D1944&lt;50000,"$25k-$50k",IF(D1944&lt;75000,"$50k-$75k",IF(D1944&lt;100000,"$75k-$100k","$100k+")))))</x:f>
        <x:v>$100k+</x:v>
      </x:c>
      <x:c r="P1944" t="str">
        <x:f>IF(E1944="","Unknown",IF(E1944&lt;10,"&lt;10",IF(E1944&lt;20,"10-&lt;20",IF(E1944&lt;25,"20-&lt;25",IF(E1944&lt;35,"25-&lt;35","35+")))))</x:f>
        <x:v>20-&lt;25</x:v>
      </x:c>
    </x:row>
    <x:row r="1945">
      <x:c r="A1945" t="str">
        <x:v>SYN0001944</x:v>
      </x:c>
      <x:c r="B1945" s="12" t="n">
        <x:v>41755</x:v>
      </x:c>
      <x:c r="C1945" s="18" t="n">
        <x:v>23792</x:v>
      </x:c>
      <x:c r="D1945" s="18" t="n">
        <x:v>137269</x:v>
      </x:c>
      <x:c r="E1945" s="18" t="n">
        <x:v>31.76</x:v>
      </x:c>
      <x:c r="F1945" s="18" t="n">
        <x:v>9.06</x:v>
      </x:c>
      <x:c r="G1945" t="n">
        <x:v>60</x:v>
      </x:c>
      <x:c r="H1945" t="str">
        <x:v>B</x:v>
      </x:c>
      <x:c r="I1945" t="str">
        <x:v>1-3 years</x:v>
      </x:c>
      <x:c r="J1945" t="str">
        <x:v>MORTGAGE</x:v>
      </x:c>
      <x:c r="K1945" t="str">
        <x:v>debt_consolidation</x:v>
      </x:c>
      <x:c r="L1945" t="n">
        <x:v>0</x:v>
      </x:c>
      <x:c r="M1945" t="n">
        <x:v>0</x:v>
      </x:c>
      <x:c r="N1945" t="str">
        <x:v>Fully Paid</x:v>
      </x:c>
      <x:c r="O1945" t="str">
        <x:f>IF(D1945="","Unknown",IF(D1945&lt;25000,"&lt;$25k",IF(D1945&lt;50000,"$25k-$50k",IF(D1945&lt;75000,"$50k-$75k",IF(D1945&lt;100000,"$75k-$100k","$100k+")))))</x:f>
        <x:v>$100k+</x:v>
      </x:c>
      <x:c r="P1945" t="str">
        <x:f>IF(E1945="","Unknown",IF(E1945&lt;10,"&lt;10",IF(E1945&lt;20,"10-&lt;20",IF(E1945&lt;25,"20-&lt;25",IF(E1945&lt;35,"25-&lt;35","35+")))))</x:f>
        <x:v>25-&lt;35</x:v>
      </x:c>
    </x:row>
    <x:row r="1946">
      <x:c r="A1946" t="str">
        <x:v>SYN0001945</x:v>
      </x:c>
      <x:c r="B1946" s="12" t="n">
        <x:v>42955</x:v>
      </x:c>
      <x:c r="C1946" s="18" t="n">
        <x:v>26758</x:v>
      </x:c>
      <x:c r="D1946" s="18" t="n">
        <x:v>25314</x:v>
      </x:c>
      <x:c r="E1946" s="18" t="n">
        <x:v>24.77</x:v>
      </x:c>
      <x:c r="F1946" s="18" t="n">
        <x:v>10.3</x:v>
      </x:c>
      <x:c r="G1946" t="n">
        <x:v>60</x:v>
      </x:c>
      <x:c r="H1946" t="str">
        <x:v>C</x:v>
      </x:c>
      <x:c r="I1946" t="str">
        <x:v>10+ years</x:v>
      </x:c>
      <x:c r="J1946" t="str">
        <x:v>RENT</x:v>
      </x:c>
      <x:c r="K1946" t="str">
        <x:v>debt_consolidation</x:v>
      </x:c>
      <x:c r="L1946" t="n">
        <x:v>0</x:v>
      </x:c>
      <x:c r="M1946" t="n">
        <x:v>0</x:v>
      </x:c>
      <x:c r="N1946" t="str">
        <x:v>Fully Paid</x:v>
      </x:c>
      <x:c r="O1946" t="str">
        <x:f>IF(D1946="","Unknown",IF(D1946&lt;25000,"&lt;$25k",IF(D1946&lt;50000,"$25k-$50k",IF(D1946&lt;75000,"$50k-$75k",IF(D1946&lt;100000,"$75k-$100k","$100k+")))))</x:f>
        <x:v>$25k-$50k</x:v>
      </x:c>
      <x:c r="P1946" t="str">
        <x:f>IF(E1946="","Unknown",IF(E1946&lt;10,"&lt;10",IF(E1946&lt;20,"10-&lt;20",IF(E1946&lt;25,"20-&lt;25",IF(E1946&lt;35,"25-&lt;35","35+")))))</x:f>
        <x:v>20-&lt;25</x:v>
      </x:c>
    </x:row>
    <x:row r="1947">
      <x:c r="A1947" t="str">
        <x:v>SYN0001946</x:v>
      </x:c>
      <x:c r="B1947" s="12" t="n">
        <x:v>42625</x:v>
      </x:c>
      <x:c r="C1947" s="18" t="n">
        <x:v>31410</x:v>
      </x:c>
      <x:c r="D1947" s="18" t="n">
        <x:v>124050</x:v>
      </x:c>
      <x:c r="E1947" s="18" t="n">
        <x:v>23.6</x:v>
      </x:c>
      <x:c r="F1947" s="18" t="n">
        <x:v>9.95</x:v>
      </x:c>
      <x:c r="G1947" t="n">
        <x:v>60</x:v>
      </x:c>
      <x:c r="H1947" t="str">
        <x:v>B</x:v>
      </x:c>
      <x:c r="I1947" t="str">
        <x:v>1-3 years</x:v>
      </x:c>
      <x:c r="J1947" t="str">
        <x:v>RENT</x:v>
      </x:c>
      <x:c r="K1947" t="str">
        <x:v>debt_consolidation</x:v>
      </x:c>
      <x:c r="L1947" t="n">
        <x:v>1</x:v>
      </x:c>
      <x:c r="M1947" t="n">
        <x:v>1</x:v>
      </x:c>
      <x:c r="N1947" t="str">
        <x:v>Charged Off</x:v>
      </x:c>
      <x:c r="O1947" t="str">
        <x:f>IF(D1947="","Unknown",IF(D1947&lt;25000,"&lt;$25k",IF(D1947&lt;50000,"$25k-$50k",IF(D1947&lt;75000,"$50k-$75k",IF(D1947&lt;100000,"$75k-$100k","$100k+")))))</x:f>
        <x:v>$100k+</x:v>
      </x:c>
      <x:c r="P1947" t="str">
        <x:f>IF(E1947="","Unknown",IF(E1947&lt;10,"&lt;10",IF(E1947&lt;20,"10-&lt;20",IF(E1947&lt;25,"20-&lt;25",IF(E1947&lt;35,"25-&lt;35","35+")))))</x:f>
        <x:v>20-&lt;25</x:v>
      </x:c>
    </x:row>
    <x:row r="1948">
      <x:c r="A1948" t="str">
        <x:v>SYN0001947</x:v>
      </x:c>
      <x:c r="B1948" s="12" t="n">
        <x:v>41425</x:v>
      </x:c>
      <x:c r="C1948" s="18" t="n">
        <x:v>8368</x:v>
      </x:c>
      <x:c r="D1948" s="18" t="n">
        <x:v>36077</x:v>
      </x:c>
      <x:c r="E1948" s="18" t="n">
        <x:v>6.4</x:v>
      </x:c>
      <x:c r="F1948" s="18" t="n">
        <x:v>20.42</x:v>
      </x:c>
      <x:c r="G1948" t="n">
        <x:v>36</x:v>
      </x:c>
      <x:c r="H1948" t="str">
        <x:v>E</x:v>
      </x:c>
      <x:c r="I1948" t="str">
        <x:v>4-6 years</x:v>
      </x:c>
      <x:c r="J1948" t="str">
        <x:v>MORTGAGE</x:v>
      </x:c>
      <x:c r="K1948" t="str">
        <x:v>debt_consolidation</x:v>
      </x:c>
      <x:c r="L1948" t="n">
        <x:v>2</x:v>
      </x:c>
      <x:c r="M1948" t="n">
        <x:v>0</x:v>
      </x:c>
      <x:c r="N1948" t="str">
        <x:v>Fully Paid</x:v>
      </x:c>
      <x:c r="O1948" t="str">
        <x:f>IF(D1948="","Unknown",IF(D1948&lt;25000,"&lt;$25k",IF(D1948&lt;50000,"$25k-$50k",IF(D1948&lt;75000,"$50k-$75k",IF(D1948&lt;100000,"$75k-$100k","$100k+")))))</x:f>
        <x:v>$25k-$50k</x:v>
      </x:c>
      <x:c r="P1948" t="str">
        <x:f>IF(E1948="","Unknown",IF(E1948&lt;10,"&lt;10",IF(E1948&lt;20,"10-&lt;20",IF(E1948&lt;25,"20-&lt;25",IF(E1948&lt;35,"25-&lt;35","35+")))))</x:f>
        <x:v>&lt;10</x:v>
      </x:c>
    </x:row>
    <x:row r="1949">
      <x:c r="A1949" t="str">
        <x:v>SYN0001948</x:v>
      </x:c>
      <x:c r="B1949" s="12" t="n">
        <x:v>42745</x:v>
      </x:c>
      <x:c r="C1949" s="18" t="n">
        <x:v>22199</x:v>
      </x:c>
      <x:c r="D1949" s="18" t="n">
        <x:v>36056</x:v>
      </x:c>
      <x:c r="E1949" s="18" t="n">
        <x:v>14.62</x:v>
      </x:c>
      <x:c r="F1949" s="18" t="n">
        <x:v>13.74</x:v>
      </x:c>
      <x:c r="G1949" t="n">
        <x:v>60</x:v>
      </x:c>
      <x:c r="H1949" t="str">
        <x:v>E</x:v>
      </x:c>
      <x:c r="I1949" t="str">
        <x:v>7-9 years</x:v>
      </x:c>
      <x:c r="J1949" t="str">
        <x:v>OWN</x:v>
      </x:c>
      <x:c r="K1949" t="str">
        <x:v>debt_consolidation</x:v>
      </x:c>
      <x:c r="L1949" t="n">
        <x:v>0</x:v>
      </x:c>
      <x:c r="M1949" t="n">
        <x:v>0</x:v>
      </x:c>
      <x:c r="N1949" t="str">
        <x:v>Fully Paid</x:v>
      </x:c>
      <x:c r="O1949" t="str">
        <x:f>IF(D1949="","Unknown",IF(D1949&lt;25000,"&lt;$25k",IF(D1949&lt;50000,"$25k-$50k",IF(D1949&lt;75000,"$50k-$75k",IF(D1949&lt;100000,"$75k-$100k","$100k+")))))</x:f>
        <x:v>$25k-$50k</x:v>
      </x:c>
      <x:c r="P1949" t="str">
        <x:f>IF(E1949="","Unknown",IF(E1949&lt;10,"&lt;10",IF(E1949&lt;20,"10-&lt;20",IF(E1949&lt;25,"20-&lt;25",IF(E1949&lt;35,"25-&lt;35","35+")))))</x:f>
        <x:v>10-&lt;20</x:v>
      </x:c>
    </x:row>
    <x:row r="1950">
      <x:c r="A1950" t="str">
        <x:v>SYN0001949</x:v>
      </x:c>
      <x:c r="B1950" s="12" t="n">
        <x:v>42325</x:v>
      </x:c>
      <x:c r="C1950" s="18" t="n">
        <x:v>6800</x:v>
      </x:c>
      <x:c r="D1950" s="18" t="n">
        <x:v>43762</x:v>
      </x:c>
      <x:c r="E1950" s="18" t="n">
        <x:v>6.53</x:v>
      </x:c>
      <x:c r="F1950" s="18" t="n">
        <x:v>7.23</x:v>
      </x:c>
      <x:c r="G1950" t="n">
        <x:v>36</x:v>
      </x:c>
      <x:c r="H1950" t="str">
        <x:v>A</x:v>
      </x:c>
      <x:c r="I1950" t="str">
        <x:v>1-3 years</x:v>
      </x:c>
      <x:c r="J1950" t="str">
        <x:v>RENT</x:v>
      </x:c>
      <x:c r="K1950" t="str">
        <x:v>credit_card</x:v>
      </x:c>
      <x:c r="L1950" t="n">
        <x:v>0</x:v>
      </x:c>
      <x:c r="M1950" t="n">
        <x:v>0</x:v>
      </x:c>
      <x:c r="N1950" t="str">
        <x:v>Fully Paid</x:v>
      </x:c>
      <x:c r="O1950" t="str">
        <x:f>IF(D1950="","Unknown",IF(D1950&lt;25000,"&lt;$25k",IF(D1950&lt;50000,"$25k-$50k",IF(D1950&lt;75000,"$50k-$75k",IF(D1950&lt;100000,"$75k-$100k","$100k+")))))</x:f>
        <x:v>$25k-$50k</x:v>
      </x:c>
      <x:c r="P1950" t="str">
        <x:f>IF(E1950="","Unknown",IF(E1950&lt;10,"&lt;10",IF(E1950&lt;20,"10-&lt;20",IF(E1950&lt;25,"20-&lt;25",IF(E1950&lt;35,"25-&lt;35","35+")))))</x:f>
        <x:v>&lt;10</x:v>
      </x:c>
    </x:row>
    <x:row r="1951">
      <x:c r="A1951" t="str">
        <x:v>SYN0001950</x:v>
      </x:c>
      <x:c r="B1951" s="12" t="n">
        <x:v>43255</x:v>
      </x:c>
      <x:c r="C1951" s="18" t="n">
        <x:v>5516</x:v>
      </x:c>
      <x:c r="D1951" s="18" t="n">
        <x:v>60300</x:v>
      </x:c>
      <x:c r="E1951" s="18" t="n">
        <x:v>19.58</x:v>
      </x:c>
      <x:c r="F1951" s="18" t="n">
        <x:v>16.78</x:v>
      </x:c>
      <x:c r="G1951" t="n">
        <x:v>60</x:v>
      </x:c>
      <x:c r="H1951" t="str">
        <x:v>D</x:v>
      </x:c>
      <x:c r="I1951" t="str">
        <x:v>10+ years</x:v>
      </x:c>
      <x:c r="J1951" t="str">
        <x:v>MORTGAGE</x:v>
      </x:c>
      <x:c r="K1951" t="str">
        <x:v>debt_consolidation</x:v>
      </x:c>
      <x:c r="L1951" t="n">
        <x:v>1</x:v>
      </x:c>
      <x:c r="M1951" t="n">
        <x:v>0</x:v>
      </x:c>
      <x:c r="N1951" t="str">
        <x:v>Fully Paid</x:v>
      </x:c>
      <x:c r="O1951" t="str">
        <x:f>IF(D1951="","Unknown",IF(D1951&lt;25000,"&lt;$25k",IF(D1951&lt;50000,"$25k-$50k",IF(D1951&lt;75000,"$50k-$75k",IF(D1951&lt;100000,"$75k-$100k","$100k+")))))</x:f>
        <x:v>$50k-$75k</x:v>
      </x:c>
      <x:c r="P1951" t="str">
        <x:f>IF(E1951="","Unknown",IF(E1951&lt;10,"&lt;10",IF(E1951&lt;20,"10-&lt;20",IF(E1951&lt;25,"20-&lt;25",IF(E1951&lt;35,"25-&lt;35","35+")))))</x:f>
        <x:v>10-&lt;20</x:v>
      </x:c>
    </x:row>
    <x:row r="1952">
      <x:c r="A1952" t="str">
        <x:v>SYN0001951</x:v>
      </x:c>
      <x:c r="B1952" s="12" t="n">
        <x:v>41845</x:v>
      </x:c>
      <x:c r="C1952" s="18" t="n">
        <x:v>15892</x:v>
      </x:c>
      <x:c r="D1952" s="18" t="n">
        <x:v>17479</x:v>
      </x:c>
      <x:c r="E1952" s="18" t="n">
        <x:v>29.07</x:v>
      </x:c>
      <x:c r="F1952" s="18" t="n">
        <x:v>16.74</x:v>
      </x:c>
      <x:c r="G1952" t="n">
        <x:v>36</x:v>
      </x:c>
      <x:c r="H1952" t="str">
        <x:v>E</x:v>
      </x:c>
      <x:c r="I1952" t="str">
        <x:v>10+ years</x:v>
      </x:c>
      <x:c r="J1952" t="str">
        <x:v>OWN</x:v>
      </x:c>
      <x:c r="K1952" t="str">
        <x:v>other</x:v>
      </x:c>
      <x:c r="L1952" t="n">
        <x:v>0</x:v>
      </x:c>
      <x:c r="M1952" t="n">
        <x:v>1</x:v>
      </x:c>
      <x:c r="N1952" t="str">
        <x:v>Charged Off</x:v>
      </x:c>
      <x:c r="O1952" t="str">
        <x:f>IF(D1952="","Unknown",IF(D1952&lt;25000,"&lt;$25k",IF(D1952&lt;50000,"$25k-$50k",IF(D1952&lt;75000,"$50k-$75k",IF(D1952&lt;100000,"$75k-$100k","$100k+")))))</x:f>
        <x:v>&lt;$25k</x:v>
      </x:c>
      <x:c r="P1952" t="str">
        <x:f>IF(E1952="","Unknown",IF(E1952&lt;10,"&lt;10",IF(E1952&lt;20,"10-&lt;20",IF(E1952&lt;25,"20-&lt;25",IF(E1952&lt;35,"25-&lt;35","35+")))))</x:f>
        <x:v>25-&lt;35</x:v>
      </x:c>
    </x:row>
    <x:row r="1953">
      <x:c r="A1953" t="str">
        <x:v>SYN0001952</x:v>
      </x:c>
      <x:c r="B1953" s="12" t="n">
        <x:v>42895</x:v>
      </x:c>
      <x:c r="C1953" s="18" t="n">
        <x:v>21340</x:v>
      </x:c>
      <x:c r="D1953" s="18" t="n">
        <x:v>26990</x:v>
      </x:c>
      <x:c r="E1953" s="18" t="n">
        <x:v>17.22</x:v>
      </x:c>
      <x:c r="F1953" s="18" t="n">
        <x:v>5</x:v>
      </x:c>
      <x:c r="G1953" t="n">
        <x:v>36</x:v>
      </x:c>
      <x:c r="H1953" t="str">
        <x:v>A</x:v>
      </x:c>
      <x:c r="I1953" t="str">
        <x:v>1-3 years</x:v>
      </x:c>
      <x:c r="J1953" t="str">
        <x:v>OWN</x:v>
      </x:c>
      <x:c r="K1953" t="str">
        <x:v>debt_consolidation</x:v>
      </x:c>
      <x:c r="L1953" t="n">
        <x:v>0</x:v>
      </x:c>
      <x:c r="M1953" t="n">
        <x:v>0</x:v>
      </x:c>
      <x:c r="N1953" t="str">
        <x:v>Fully Paid</x:v>
      </x:c>
      <x:c r="O1953" t="str">
        <x:f>IF(D1953="","Unknown",IF(D1953&lt;25000,"&lt;$25k",IF(D1953&lt;50000,"$25k-$50k",IF(D1953&lt;75000,"$50k-$75k",IF(D1953&lt;100000,"$75k-$100k","$100k+")))))</x:f>
        <x:v>$25k-$50k</x:v>
      </x:c>
      <x:c r="P1953" t="str">
        <x:f>IF(E1953="","Unknown",IF(E1953&lt;10,"&lt;10",IF(E1953&lt;20,"10-&lt;20",IF(E1953&lt;25,"20-&lt;25",IF(E1953&lt;35,"25-&lt;35","35+")))))</x:f>
        <x:v>10-&lt;20</x:v>
      </x:c>
    </x:row>
    <x:row r="1954">
      <x:c r="A1954" t="str">
        <x:v>SYN0001953</x:v>
      </x:c>
      <x:c r="B1954" s="12" t="n">
        <x:v>41905</x:v>
      </x:c>
      <x:c r="C1954" s="18" t="n">
        <x:v>19013</x:v>
      </x:c>
      <x:c r="D1954" s="18" t="n">
        <x:v>71803</x:v>
      </x:c>
      <x:c r="E1954" s="18" t="n">
        <x:v>24.3</x:v>
      </x:c>
      <x:c r="F1954" s="18" t="n">
        <x:v>5.16</x:v>
      </x:c>
      <x:c r="G1954" t="n">
        <x:v>36</x:v>
      </x:c>
      <x:c r="H1954" t="str">
        <x:v>A</x:v>
      </x:c>
      <x:c r="I1954" t="str">
        <x:v>1-3 years</x:v>
      </x:c>
      <x:c r="J1954" t="str">
        <x:v>RENT</x:v>
      </x:c>
      <x:c r="K1954" t="str">
        <x:v>debt_consolidation</x:v>
      </x:c>
      <x:c r="L1954" t="n">
        <x:v>0</x:v>
      </x:c>
      <x:c r="M1954" t="n">
        <x:v>0</x:v>
      </x:c>
      <x:c r="N1954" t="str">
        <x:v>Fully Paid</x:v>
      </x:c>
      <x:c r="O1954" t="str">
        <x:f>IF(D1954="","Unknown",IF(D1954&lt;25000,"&lt;$25k",IF(D1954&lt;50000,"$25k-$50k",IF(D1954&lt;75000,"$50k-$75k",IF(D1954&lt;100000,"$75k-$100k","$100k+")))))</x:f>
        <x:v>$50k-$75k</x:v>
      </x:c>
      <x:c r="P1954" t="str">
        <x:f>IF(E1954="","Unknown",IF(E1954&lt;10,"&lt;10",IF(E1954&lt;20,"10-&lt;20",IF(E1954&lt;25,"20-&lt;25",IF(E1954&lt;35,"25-&lt;35","35+")))))</x:f>
        <x:v>20-&lt;25</x:v>
      </x:c>
    </x:row>
    <x:row r="1955">
      <x:c r="A1955" t="str">
        <x:v>SYN0001954</x:v>
      </x:c>
      <x:c r="B1955" s="12" t="n">
        <x:v>41635</x:v>
      </x:c>
      <x:c r="C1955" s="18" t="n">
        <x:v>6565</x:v>
      </x:c>
      <x:c r="D1955" s="18" t="n">
        <x:v>37533</x:v>
      </x:c>
      <x:c r="E1955" s="18" t="n">
        <x:v>30.19</x:v>
      </x:c>
      <x:c r="F1955" s="18" t="n">
        <x:v>5.79</x:v>
      </x:c>
      <x:c r="G1955" t="n">
        <x:v>36</x:v>
      </x:c>
      <x:c r="H1955" t="str">
        <x:v>A</x:v>
      </x:c>
      <x:c r="I1955" t="str">
        <x:v>10+ years</x:v>
      </x:c>
      <x:c r="J1955" t="str">
        <x:v>MORTGAGE</x:v>
      </x:c>
      <x:c r="K1955" t="str">
        <x:v>major_purchase</x:v>
      </x:c>
      <x:c r="L1955" t="n">
        <x:v>0</x:v>
      </x:c>
      <x:c r="M1955" t="n">
        <x:v>0</x:v>
      </x:c>
      <x:c r="N1955" t="str">
        <x:v>Fully Paid</x:v>
      </x:c>
      <x:c r="O1955" t="str">
        <x:f>IF(D1955="","Unknown",IF(D1955&lt;25000,"&lt;$25k",IF(D1955&lt;50000,"$25k-$50k",IF(D1955&lt;75000,"$50k-$75k",IF(D1955&lt;100000,"$75k-$100k","$100k+")))))</x:f>
        <x:v>$25k-$50k</x:v>
      </x:c>
      <x:c r="P1955" t="str">
        <x:f>IF(E1955="","Unknown",IF(E1955&lt;10,"&lt;10",IF(E1955&lt;20,"10-&lt;20",IF(E1955&lt;25,"20-&lt;25",IF(E1955&lt;35,"25-&lt;35","35+")))))</x:f>
        <x:v>25-&lt;35</x:v>
      </x:c>
    </x:row>
    <x:row r="1956">
      <x:c r="A1956" t="str">
        <x:v>SYN0001955</x:v>
      </x:c>
      <x:c r="B1956" s="12" t="n">
        <x:v>41455</x:v>
      </x:c>
      <x:c r="C1956" s="18" t="n">
        <x:v>20105</x:v>
      </x:c>
      <x:c r="D1956" s="18" t="n">
        <x:v>18386</x:v>
      </x:c>
      <x:c r="E1956" s="18" t="n">
        <x:v>31.62</x:v>
      </x:c>
      <x:c r="F1956" s="18" t="n">
        <x:v>22.63</x:v>
      </x:c>
      <x:c r="G1956" t="n">
        <x:v>60</x:v>
      </x:c>
      <x:c r="H1956" t="str">
        <x:v>F</x:v>
      </x:c>
      <x:c r="I1956" t="str">
        <x:v>7-9 years</x:v>
      </x:c>
      <x:c r="J1956" t="str">
        <x:v>MORTGAGE</x:v>
      </x:c>
      <x:c r="K1956" t="str">
        <x:v>credit_card</x:v>
      </x:c>
      <x:c r="L1956" t="n">
        <x:v>0</x:v>
      </x:c>
      <x:c r="M1956" t="n">
        <x:v>1</x:v>
      </x:c>
      <x:c r="N1956" t="str">
        <x:v>Charged Off</x:v>
      </x:c>
      <x:c r="O1956" t="str">
        <x:f>IF(D1956="","Unknown",IF(D1956&lt;25000,"&lt;$25k",IF(D1956&lt;50000,"$25k-$50k",IF(D1956&lt;75000,"$50k-$75k",IF(D1956&lt;100000,"$75k-$100k","$100k+")))))</x:f>
        <x:v>&lt;$25k</x:v>
      </x:c>
      <x:c r="P1956" t="str">
        <x:f>IF(E1956="","Unknown",IF(E1956&lt;10,"&lt;10",IF(E1956&lt;20,"10-&lt;20",IF(E1956&lt;25,"20-&lt;25",IF(E1956&lt;35,"25-&lt;35","35+")))))</x:f>
        <x:v>25-&lt;35</x:v>
      </x:c>
    </x:row>
    <x:row r="1957">
      <x:c r="A1957" t="str">
        <x:v>SYN0001956</x:v>
      </x:c>
      <x:c r="B1957" s="12" t="n">
        <x:v>42865</x:v>
      </x:c>
      <x:c r="C1957" s="18" t="n">
        <x:v>19475</x:v>
      </x:c>
      <x:c r="D1957" s="18" t="n">
        <x:v>46303</x:v>
      </x:c>
      <x:c r="E1957" s="18" t="n">
        <x:v>38.11</x:v>
      </x:c>
      <x:c r="F1957" s="18" t="n">
        <x:v>14.16</x:v>
      </x:c>
      <x:c r="G1957" t="n">
        <x:v>36</x:v>
      </x:c>
      <x:c r="H1957" t="str">
        <x:v>D</x:v>
      </x:c>
      <x:c r="I1957" t="str">
        <x:v>4-6 years</x:v>
      </x:c>
      <x:c r="J1957" t="str">
        <x:v>OWN</x:v>
      </x:c>
      <x:c r="K1957" t="str">
        <x:v>debt_consolidation</x:v>
      </x:c>
      <x:c r="L1957" t="n">
        <x:v>1</x:v>
      </x:c>
      <x:c r="M1957" t="n">
        <x:v>0</x:v>
      </x:c>
      <x:c r="N1957" t="str">
        <x:v>Fully Paid</x:v>
      </x:c>
      <x:c r="O1957" t="str">
        <x:f>IF(D1957="","Unknown",IF(D1957&lt;25000,"&lt;$25k",IF(D1957&lt;50000,"$25k-$50k",IF(D1957&lt;75000,"$50k-$75k",IF(D1957&lt;100000,"$75k-$100k","$100k+")))))</x:f>
        <x:v>$25k-$50k</x:v>
      </x:c>
      <x:c r="P1957" t="str">
        <x:f>IF(E1957="","Unknown",IF(E1957&lt;10,"&lt;10",IF(E1957&lt;20,"10-&lt;20",IF(E1957&lt;25,"20-&lt;25",IF(E1957&lt;35,"25-&lt;35","35+")))))</x:f>
        <x:v>35+</x:v>
      </x:c>
    </x:row>
    <x:row r="1958">
      <x:c r="A1958" t="str">
        <x:v>SYN0001957</x:v>
      </x:c>
      <x:c r="B1958" s="12" t="n">
        <x:v>41365</x:v>
      </x:c>
      <x:c r="C1958" s="18" t="n">
        <x:v>14073</x:v>
      </x:c>
      <x:c r="D1958" s="18" t="n">
        <x:v>34733</x:v>
      </x:c>
      <x:c r="E1958" s="18" t="n">
        <x:v>23.64</x:v>
      </x:c>
      <x:c r="F1958" s="18" t="n">
        <x:v>7.58</x:v>
      </x:c>
      <x:c r="G1958" t="n">
        <x:v>60</x:v>
      </x:c>
      <x:c r="H1958" t="str">
        <x:v>A</x:v>
      </x:c>
      <x:c r="I1958" t="str">
        <x:v>10+ years</x:v>
      </x:c>
      <x:c r="J1958" t="str">
        <x:v>MORTGAGE</x:v>
      </x:c>
      <x:c r="K1958" t="str">
        <x:v>other</x:v>
      </x:c>
      <x:c r="L1958" t="n">
        <x:v>1</x:v>
      </x:c>
      <x:c r="M1958" t="n">
        <x:v>0</x:v>
      </x:c>
      <x:c r="N1958" t="str">
        <x:v>Fully Paid</x:v>
      </x:c>
      <x:c r="O1958" t="str">
        <x:f>IF(D1958="","Unknown",IF(D1958&lt;25000,"&lt;$25k",IF(D1958&lt;50000,"$25k-$50k",IF(D1958&lt;75000,"$50k-$75k",IF(D1958&lt;100000,"$75k-$100k","$100k+")))))</x:f>
        <x:v>$25k-$50k</x:v>
      </x:c>
      <x:c r="P1958" t="str">
        <x:f>IF(E1958="","Unknown",IF(E1958&lt;10,"&lt;10",IF(E1958&lt;20,"10-&lt;20",IF(E1958&lt;25,"20-&lt;25",IF(E1958&lt;35,"25-&lt;35","35+")))))</x:f>
        <x:v>20-&lt;25</x:v>
      </x:c>
    </x:row>
    <x:row r="1959">
      <x:c r="A1959" t="str">
        <x:v>SYN0001958</x:v>
      </x:c>
      <x:c r="B1959" s="12" t="n">
        <x:v>42595</x:v>
      </x:c>
      <x:c r="C1959" s="18" t="n">
        <x:v>11082</x:v>
      </x:c>
      <x:c r="D1959" s="18" t="n">
        <x:v>37313</x:v>
      </x:c>
      <x:c r="E1959" s="18" t="n">
        <x:v>24.77</x:v>
      </x:c>
      <x:c r="F1959" s="18" t="n">
        <x:v>5.62</x:v>
      </x:c>
      <x:c r="G1959" t="n">
        <x:v>36</x:v>
      </x:c>
      <x:c r="H1959" t="str">
        <x:v>B</x:v>
      </x:c>
      <x:c r="I1959" t="str">
        <x:v>7-9 years</x:v>
      </x:c>
      <x:c r="J1959" t="str">
        <x:v>MORTGAGE</x:v>
      </x:c>
      <x:c r="K1959" t="str">
        <x:v>home_improvement</x:v>
      </x:c>
      <x:c r="L1959" t="n">
        <x:v>1</x:v>
      </x:c>
      <x:c r="M1959" t="n">
        <x:v>0</x:v>
      </x:c>
      <x:c r="N1959" t="str">
        <x:v>Fully Paid</x:v>
      </x:c>
      <x:c r="O1959" t="str">
        <x:f>IF(D1959="","Unknown",IF(D1959&lt;25000,"&lt;$25k",IF(D1959&lt;50000,"$25k-$50k",IF(D1959&lt;75000,"$50k-$75k",IF(D1959&lt;100000,"$75k-$100k","$100k+")))))</x:f>
        <x:v>$25k-$50k</x:v>
      </x:c>
      <x:c r="P1959" t="str">
        <x:f>IF(E1959="","Unknown",IF(E1959&lt;10,"&lt;10",IF(E1959&lt;20,"10-&lt;20",IF(E1959&lt;25,"20-&lt;25",IF(E1959&lt;35,"25-&lt;35","35+")))))</x:f>
        <x:v>20-&lt;25</x:v>
      </x:c>
    </x:row>
    <x:row r="1960">
      <x:c r="A1960" t="str">
        <x:v>SYN0001959</x:v>
      </x:c>
      <x:c r="B1960" s="12" t="n">
        <x:v>41275</x:v>
      </x:c>
      <x:c r="C1960" s="18" t="n">
        <x:v>10399</x:v>
      </x:c>
      <x:c r="D1960" s="18" t="n">
        <x:v>40105</x:v>
      </x:c>
      <x:c r="E1960" s="18" t="n">
        <x:v>26.12</x:v>
      </x:c>
      <x:c r="F1960" s="18" t="n">
        <x:v>10.27</x:v>
      </x:c>
      <x:c r="G1960" t="n">
        <x:v>36</x:v>
      </x:c>
      <x:c r="H1960" t="str">
        <x:v>B</x:v>
      </x:c>
      <x:c r="I1960" t="str">
        <x:v>10+ years</x:v>
      </x:c>
      <x:c r="J1960" t="str">
        <x:v>MORTGAGE</x:v>
      </x:c>
      <x:c r="K1960" t="str">
        <x:v>debt_consolidation</x:v>
      </x:c>
      <x:c r="L1960" t="n">
        <x:v>0</x:v>
      </x:c>
      <x:c r="M1960" t="n">
        <x:v>0</x:v>
      </x:c>
      <x:c r="N1960" t="str">
        <x:v>Fully Paid</x:v>
      </x:c>
      <x:c r="O1960" t="str">
        <x:f>IF(D1960="","Unknown",IF(D1960&lt;25000,"&lt;$25k",IF(D1960&lt;50000,"$25k-$50k",IF(D1960&lt;75000,"$50k-$75k",IF(D1960&lt;100000,"$75k-$100k","$100k+")))))</x:f>
        <x:v>$25k-$50k</x:v>
      </x:c>
      <x:c r="P1960" t="str">
        <x:f>IF(E1960="","Unknown",IF(E1960&lt;10,"&lt;10",IF(E1960&lt;20,"10-&lt;20",IF(E1960&lt;25,"20-&lt;25",IF(E1960&lt;35,"25-&lt;35","35+")))))</x:f>
        <x:v>25-&lt;35</x:v>
      </x:c>
    </x:row>
    <x:row r="1961">
      <x:c r="A1961" t="str">
        <x:v>SYN0001960</x:v>
      </x:c>
      <x:c r="B1961" s="12" t="n">
        <x:v>43075</x:v>
      </x:c>
      <x:c r="C1961" s="18" t="n">
        <x:v>22017</x:v>
      </x:c>
      <x:c r="D1961" s="18" t="n">
        <x:v>77182</x:v>
      </x:c>
      <x:c r="E1961" s="18" t="n">
        <x:v>12.14</x:v>
      </x:c>
      <x:c r="F1961" s="18" t="n">
        <x:v>11.7</x:v>
      </x:c>
      <x:c r="G1961" t="n">
        <x:v>36</x:v>
      </x:c>
      <x:c r="H1961" t="str">
        <x:v>C</x:v>
      </x:c>
      <x:c r="I1961" t="str">
        <x:v>7-9 years</x:v>
      </x:c>
      <x:c r="J1961" t="str">
        <x:v>RENT</x:v>
      </x:c>
      <x:c r="K1961" t="str">
        <x:v>debt_consolidation</x:v>
      </x:c>
      <x:c r="L1961" t="n">
        <x:v>0</x:v>
      </x:c>
      <x:c r="M1961" t="n">
        <x:v>0</x:v>
      </x:c>
      <x:c r="N1961" t="str">
        <x:v>Fully Paid</x:v>
      </x:c>
      <x:c r="O1961" t="str">
        <x:f>IF(D1961="","Unknown",IF(D1961&lt;25000,"&lt;$25k",IF(D1961&lt;50000,"$25k-$50k",IF(D1961&lt;75000,"$50k-$75k",IF(D1961&lt;100000,"$75k-$100k","$100k+")))))</x:f>
        <x:v>$75k-$100k</x:v>
      </x:c>
      <x:c r="P1961" t="str">
        <x:f>IF(E1961="","Unknown",IF(E1961&lt;10,"&lt;10",IF(E1961&lt;20,"10-&lt;20",IF(E1961&lt;25,"20-&lt;25",IF(E1961&lt;35,"25-&lt;35","35+")))))</x:f>
        <x:v>10-&lt;20</x:v>
      </x:c>
    </x:row>
    <x:row r="1962">
      <x:c r="A1962" t="str">
        <x:v>SYN0001961</x:v>
      </x:c>
      <x:c r="B1962" s="12" t="n">
        <x:v>41755</x:v>
      </x:c>
      <x:c r="C1962" s="18" t="n">
        <x:v>18840</x:v>
      </x:c>
      <x:c r="D1962" s="18" t="n">
        <x:v>39197</x:v>
      </x:c>
      <x:c r="E1962" s="18" t="n">
        <x:v>15.23</x:v>
      </x:c>
      <x:c r="F1962" s="18" t="n">
        <x:v>10.26</x:v>
      </x:c>
      <x:c r="G1962" t="n">
        <x:v>36</x:v>
      </x:c>
      <x:c r="H1962" t="str">
        <x:v>C</x:v>
      </x:c>
      <x:c r="I1962" t="str">
        <x:v>1-3 years</x:v>
      </x:c>
      <x:c r="J1962" t="str">
        <x:v>MORTGAGE</x:v>
      </x:c>
      <x:c r="K1962" t="str">
        <x:v>other</x:v>
      </x:c>
      <x:c r="L1962" t="n">
        <x:v>0</x:v>
      </x:c>
      <x:c r="M1962" t="n">
        <x:v>0</x:v>
      </x:c>
      <x:c r="N1962" t="str">
        <x:v>Fully Paid</x:v>
      </x:c>
      <x:c r="O1962" t="str">
        <x:f>IF(D1962="","Unknown",IF(D1962&lt;25000,"&lt;$25k",IF(D1962&lt;50000,"$25k-$50k",IF(D1962&lt;75000,"$50k-$75k",IF(D1962&lt;100000,"$75k-$100k","$100k+")))))</x:f>
        <x:v>$25k-$50k</x:v>
      </x:c>
      <x:c r="P1962" t="str">
        <x:f>IF(E1962="","Unknown",IF(E1962&lt;10,"&lt;10",IF(E1962&lt;20,"10-&lt;20",IF(E1962&lt;25,"20-&lt;25",IF(E1962&lt;35,"25-&lt;35","35+")))))</x:f>
        <x:v>10-&lt;20</x:v>
      </x:c>
    </x:row>
    <x:row r="1963">
      <x:c r="A1963" t="str">
        <x:v>SYN0001962</x:v>
      </x:c>
      <x:c r="B1963" s="12" t="n">
        <x:v>42445</x:v>
      </x:c>
      <x:c r="C1963" s="18" t="n">
        <x:v>10264</x:v>
      </x:c>
      <x:c r="D1963" s="18" t="n">
        <x:v>63740</x:v>
      </x:c>
      <x:c r="E1963" s="18" t="n">
        <x:v>19.35</x:v>
      </x:c>
      <x:c r="F1963" s="18" t="n">
        <x:v>10.57</x:v>
      </x:c>
      <x:c r="G1963" t="n">
        <x:v>36</x:v>
      </x:c>
      <x:c r="H1963" t="str">
        <x:v>B</x:v>
      </x:c>
      <x:c r="I1963" t="str">
        <x:v>&lt;1 year</x:v>
      </x:c>
      <x:c r="J1963" t="str">
        <x:v>MORTGAGE</x:v>
      </x:c>
      <x:c r="K1963" t="str">
        <x:v>other</x:v>
      </x:c>
      <x:c r="L1963" t="n">
        <x:v>0</x:v>
      </x:c>
      <x:c r="M1963" t="n">
        <x:v>0</x:v>
      </x:c>
      <x:c r="N1963" t="str">
        <x:v>Fully Paid</x:v>
      </x:c>
      <x:c r="O1963" t="str">
        <x:f>IF(D1963="","Unknown",IF(D1963&lt;25000,"&lt;$25k",IF(D1963&lt;50000,"$25k-$50k",IF(D1963&lt;75000,"$50k-$75k",IF(D1963&lt;100000,"$75k-$100k","$100k+")))))</x:f>
        <x:v>$50k-$75k</x:v>
      </x:c>
      <x:c r="P1963" t="str">
        <x:f>IF(E1963="","Unknown",IF(E1963&lt;10,"&lt;10",IF(E1963&lt;20,"10-&lt;20",IF(E1963&lt;25,"20-&lt;25",IF(E1963&lt;35,"25-&lt;35","35+")))))</x:f>
        <x:v>10-&lt;20</x:v>
      </x:c>
    </x:row>
    <x:row r="1964">
      <x:c r="A1964" t="str">
        <x:v>SYN0001963</x:v>
      </x:c>
      <x:c r="B1964" s="12" t="n">
        <x:v>42655</x:v>
      </x:c>
      <x:c r="C1964" s="18" t="n">
        <x:v>6618</x:v>
      </x:c>
      <x:c r="D1964" s="18" t="n">
        <x:v>17846</x:v>
      </x:c>
      <x:c r="E1964" s="18" t="n">
        <x:v>18.39</x:v>
      </x:c>
      <x:c r="F1964" s="18" t="n">
        <x:v>9.41</x:v>
      </x:c>
      <x:c r="G1964" t="n">
        <x:v>36</x:v>
      </x:c>
      <x:c r="H1964" t="str">
        <x:v>B</x:v>
      </x:c>
      <x:c r="I1964" t="str">
        <x:v>&lt;1 year</x:v>
      </x:c>
      <x:c r="J1964" t="str">
        <x:v>RENT</x:v>
      </x:c>
      <x:c r="K1964" t="str">
        <x:v>debt_consolidation</x:v>
      </x:c>
      <x:c r="L1964" t="n">
        <x:v>0</x:v>
      </x:c>
      <x:c r="M1964" t="n">
        <x:v>0</x:v>
      </x:c>
      <x:c r="N1964" t="str">
        <x:v>Fully Paid</x:v>
      </x:c>
      <x:c r="O1964" t="str">
        <x:f>IF(D1964="","Unknown",IF(D1964&lt;25000,"&lt;$25k",IF(D1964&lt;50000,"$25k-$50k",IF(D1964&lt;75000,"$50k-$75k",IF(D1964&lt;100000,"$75k-$100k","$100k+")))))</x:f>
        <x:v>&lt;$25k</x:v>
      </x:c>
      <x:c r="P1964" t="str">
        <x:f>IF(E1964="","Unknown",IF(E1964&lt;10,"&lt;10",IF(E1964&lt;20,"10-&lt;20",IF(E1964&lt;25,"20-&lt;25",IF(E1964&lt;35,"25-&lt;35","35+")))))</x:f>
        <x:v>10-&lt;20</x:v>
      </x:c>
    </x:row>
    <x:row r="1965">
      <x:c r="A1965" t="str">
        <x:v>SYN0001964</x:v>
      </x:c>
      <x:c r="B1965" s="12" t="n">
        <x:v>41845</x:v>
      </x:c>
      <x:c r="C1965" s="18" t="n">
        <x:v>13795</x:v>
      </x:c>
      <x:c r="D1965" s="18" t="n">
        <x:v>36025</x:v>
      </x:c>
      <x:c r="E1965" s="18" t="n">
        <x:v>26.79</x:v>
      </x:c>
      <x:c r="F1965" s="18" t="n">
        <x:v>13.79</x:v>
      </x:c>
      <x:c r="G1965" t="n">
        <x:v>60</x:v>
      </x:c>
      <x:c r="H1965" t="str">
        <x:v>D</x:v>
      </x:c>
      <x:c r="I1965" t="str">
        <x:v>10+ years</x:v>
      </x:c>
      <x:c r="J1965" t="str">
        <x:v>RENT</x:v>
      </x:c>
      <x:c r="K1965" t="str">
        <x:v>credit_card</x:v>
      </x:c>
      <x:c r="L1965" t="n">
        <x:v>0</x:v>
      </x:c>
      <x:c r="M1965" t="n">
        <x:v>1</x:v>
      </x:c>
      <x:c r="N1965" t="str">
        <x:v>Charged Off</x:v>
      </x:c>
      <x:c r="O1965" t="str">
        <x:f>IF(D1965="","Unknown",IF(D1965&lt;25000,"&lt;$25k",IF(D1965&lt;50000,"$25k-$50k",IF(D1965&lt;75000,"$50k-$75k",IF(D1965&lt;100000,"$75k-$100k","$100k+")))))</x:f>
        <x:v>$25k-$50k</x:v>
      </x:c>
      <x:c r="P1965" t="str">
        <x:f>IF(E1965="","Unknown",IF(E1965&lt;10,"&lt;10",IF(E1965&lt;20,"10-&lt;20",IF(E1965&lt;25,"20-&lt;25",IF(E1965&lt;35,"25-&lt;35","35+")))))</x:f>
        <x:v>25-&lt;35</x:v>
      </x:c>
    </x:row>
    <x:row r="1966">
      <x:c r="A1966" t="str">
        <x:v>SYN0001965</x:v>
      </x:c>
      <x:c r="B1966" s="12" t="n">
        <x:v>42175</x:v>
      </x:c>
      <x:c r="C1966" s="18" t="n">
        <x:v>15953</x:v>
      </x:c>
      <x:c r="D1966" s="18" t="n">
        <x:v>37228</x:v>
      </x:c>
      <x:c r="E1966" s="18" t="n">
        <x:v>10.03</x:v>
      </x:c>
      <x:c r="F1966" s="18" t="n">
        <x:v>7.72</x:v>
      </x:c>
      <x:c r="G1966" t="n">
        <x:v>36</x:v>
      </x:c>
      <x:c r="H1966" t="str">
        <x:v>A</x:v>
      </x:c>
      <x:c r="I1966" t="str">
        <x:v>10+ years</x:v>
      </x:c>
      <x:c r="J1966" t="str">
        <x:v>MORTGAGE</x:v>
      </x:c>
      <x:c r="K1966" t="str">
        <x:v>credit_card</x:v>
      </x:c>
      <x:c r="L1966" t="n">
        <x:v>0</x:v>
      </x:c>
      <x:c r="M1966" t="n">
        <x:v>0</x:v>
      </x:c>
      <x:c r="N1966" t="str">
        <x:v>Fully Paid</x:v>
      </x:c>
      <x:c r="O1966" t="str">
        <x:f>IF(D1966="","Unknown",IF(D1966&lt;25000,"&lt;$25k",IF(D1966&lt;50000,"$25k-$50k",IF(D1966&lt;75000,"$50k-$75k",IF(D1966&lt;100000,"$75k-$100k","$100k+")))))</x:f>
        <x:v>$25k-$50k</x:v>
      </x:c>
      <x:c r="P1966" t="str">
        <x:f>IF(E1966="","Unknown",IF(E1966&lt;10,"&lt;10",IF(E1966&lt;20,"10-&lt;20",IF(E1966&lt;25,"20-&lt;25",IF(E1966&lt;35,"25-&lt;35","35+")))))</x:f>
        <x:v>10-&lt;20</x:v>
      </x:c>
    </x:row>
    <x:row r="1967">
      <x:c r="A1967" t="str">
        <x:v>SYN0001966</x:v>
      </x:c>
      <x:c r="B1967" s="12" t="n">
        <x:v>42445</x:v>
      </x:c>
      <x:c r="C1967" s="18" t="n">
        <x:v>15598</x:v>
      </x:c>
      <x:c r="D1967" s="18" t="n">
        <x:v>72262</x:v>
      </x:c>
      <x:c r="E1967" s="18" t="n">
        <x:v>26.09</x:v>
      </x:c>
      <x:c r="F1967" s="18" t="n">
        <x:v>11.85</x:v>
      </x:c>
      <x:c r="G1967" t="n">
        <x:v>36</x:v>
      </x:c>
      <x:c r="H1967" t="str">
        <x:v>C</x:v>
      </x:c>
      <x:c r="I1967" t="str">
        <x:v>1-3 years</x:v>
      </x:c>
      <x:c r="J1967" t="str">
        <x:v>MORTGAGE</x:v>
      </x:c>
      <x:c r="K1967" t="str">
        <x:v>debt_consolidation</x:v>
      </x:c>
      <x:c r="L1967" t="n">
        <x:v>0</x:v>
      </x:c>
      <x:c r="M1967" t="n">
        <x:v>0</x:v>
      </x:c>
      <x:c r="N1967" t="str">
        <x:v>Fully Paid</x:v>
      </x:c>
      <x:c r="O1967" t="str">
        <x:f>IF(D1967="","Unknown",IF(D1967&lt;25000,"&lt;$25k",IF(D1967&lt;50000,"$25k-$50k",IF(D1967&lt;75000,"$50k-$75k",IF(D1967&lt;100000,"$75k-$100k","$100k+")))))</x:f>
        <x:v>$50k-$75k</x:v>
      </x:c>
      <x:c r="P1967" t="str">
        <x:f>IF(E1967="","Unknown",IF(E1967&lt;10,"&lt;10",IF(E1967&lt;20,"10-&lt;20",IF(E1967&lt;25,"20-&lt;25",IF(E1967&lt;35,"25-&lt;35","35+")))))</x:f>
        <x:v>25-&lt;35</x:v>
      </x:c>
    </x:row>
    <x:row r="1968">
      <x:c r="A1968" t="str">
        <x:v>SYN0001967</x:v>
      </x:c>
      <x:c r="B1968" s="12" t="n">
        <x:v>43105</x:v>
      </x:c>
      <x:c r="C1968" s="18" t="n">
        <x:v>18410</x:v>
      </x:c>
      <x:c r="D1968" s="18" t="n">
        <x:v>51292</x:v>
      </x:c>
      <x:c r="E1968" s="18" t="n">
        <x:v>5.76</x:v>
      </x:c>
      <x:c r="F1968" s="18" t="n">
        <x:v>20.27</x:v>
      </x:c>
      <x:c r="G1968" t="n">
        <x:v>36</x:v>
      </x:c>
      <x:c r="H1968" t="str">
        <x:v>E</x:v>
      </x:c>
      <x:c r="I1968" t="str">
        <x:v>7-9 years</x:v>
      </x:c>
      <x:c r="J1968" t="str">
        <x:v>MORTGAGE</x:v>
      </x:c>
      <x:c r="K1968" t="str">
        <x:v>debt_consolidation</x:v>
      </x:c>
      <x:c r="L1968" t="n">
        <x:v>0</x:v>
      </x:c>
      <x:c r="M1968" t="n">
        <x:v>0</x:v>
      </x:c>
      <x:c r="N1968" t="str">
        <x:v>Fully Paid</x:v>
      </x:c>
      <x:c r="O1968" t="str">
        <x:f>IF(D1968="","Unknown",IF(D1968&lt;25000,"&lt;$25k",IF(D1968&lt;50000,"$25k-$50k",IF(D1968&lt;75000,"$50k-$75k",IF(D1968&lt;100000,"$75k-$100k","$100k+")))))</x:f>
        <x:v>$50k-$75k</x:v>
      </x:c>
      <x:c r="P1968" t="str">
        <x:f>IF(E1968="","Unknown",IF(E1968&lt;10,"&lt;10",IF(E1968&lt;20,"10-&lt;20",IF(E1968&lt;25,"20-&lt;25",IF(E1968&lt;35,"25-&lt;35","35+")))))</x:f>
        <x:v>&lt;10</x:v>
      </x:c>
    </x:row>
    <x:row r="1969">
      <x:c r="A1969" t="str">
        <x:v>SYN0001968</x:v>
      </x:c>
      <x:c r="B1969" s="12" t="n">
        <x:v>43105</x:v>
      </x:c>
      <x:c r="C1969" s="18" t="n">
        <x:v>5631</x:v>
      </x:c>
      <x:c r="D1969" s="18" t="n">
        <x:v>90307</x:v>
      </x:c>
      <x:c r="E1969" s="18" t="n">
        <x:v>10.23</x:v>
      </x:c>
      <x:c r="F1969" s="18" t="n">
        <x:v>14.09</x:v>
      </x:c>
      <x:c r="G1969" t="n">
        <x:v>60</x:v>
      </x:c>
      <x:c r="H1969" t="str">
        <x:v>D</x:v>
      </x:c>
      <x:c r="I1969" t="str">
        <x:v>10+ years</x:v>
      </x:c>
      <x:c r="J1969" t="str">
        <x:v>RENT</x:v>
      </x:c>
      <x:c r="K1969" t="str">
        <x:v>debt_consolidation</x:v>
      </x:c>
      <x:c r="L1969" t="n">
        <x:v>1</x:v>
      </x:c>
      <x:c r="M1969" t="n">
        <x:v>0</x:v>
      </x:c>
      <x:c r="N1969" t="str">
        <x:v>Fully Paid</x:v>
      </x:c>
      <x:c r="O1969" t="str">
        <x:f>IF(D1969="","Unknown",IF(D1969&lt;25000,"&lt;$25k",IF(D1969&lt;50000,"$25k-$50k",IF(D1969&lt;75000,"$50k-$75k",IF(D1969&lt;100000,"$75k-$100k","$100k+")))))</x:f>
        <x:v>$75k-$100k</x:v>
      </x:c>
      <x:c r="P1969" t="str">
        <x:f>IF(E1969="","Unknown",IF(E1969&lt;10,"&lt;10",IF(E1969&lt;20,"10-&lt;20",IF(E1969&lt;25,"20-&lt;25",IF(E1969&lt;35,"25-&lt;35","35+")))))</x:f>
        <x:v>10-&lt;20</x:v>
      </x:c>
    </x:row>
    <x:row r="1970">
      <x:c r="A1970" t="str">
        <x:v>SYN0001969</x:v>
      </x:c>
      <x:c r="B1970" s="12" t="n">
        <x:v>42985</x:v>
      </x:c>
      <x:c r="C1970" s="18" t="n">
        <x:v>10664</x:v>
      </x:c>
      <x:c r="D1970" s="18" t="n">
        <x:v>34911</x:v>
      </x:c>
      <x:c r="E1970" s="18" t="n">
        <x:v>27.09</x:v>
      </x:c>
      <x:c r="F1970" s="18" t="n">
        <x:v>9.79</x:v>
      </x:c>
      <x:c r="G1970" t="n">
        <x:v>36</x:v>
      </x:c>
      <x:c r="H1970" t="str">
        <x:v>C</x:v>
      </x:c>
      <x:c r="I1970" t="str">
        <x:v>1-3 years</x:v>
      </x:c>
      <x:c r="J1970" t="str">
        <x:v>MORTGAGE</x:v>
      </x:c>
      <x:c r="K1970" t="str">
        <x:v>other</x:v>
      </x:c>
      <x:c r="L1970" t="n">
        <x:v>0</x:v>
      </x:c>
      <x:c r="M1970" t="n">
        <x:v>0</x:v>
      </x:c>
      <x:c r="N1970" t="str">
        <x:v>Fully Paid</x:v>
      </x:c>
      <x:c r="O1970" t="str">
        <x:f>IF(D1970="","Unknown",IF(D1970&lt;25000,"&lt;$25k",IF(D1970&lt;50000,"$25k-$50k",IF(D1970&lt;75000,"$50k-$75k",IF(D1970&lt;100000,"$75k-$100k","$100k+")))))</x:f>
        <x:v>$25k-$50k</x:v>
      </x:c>
      <x:c r="P1970" t="str">
        <x:f>IF(E1970="","Unknown",IF(E1970&lt;10,"&lt;10",IF(E1970&lt;20,"10-&lt;20",IF(E1970&lt;25,"20-&lt;25",IF(E1970&lt;35,"25-&lt;35","35+")))))</x:f>
        <x:v>25-&lt;35</x:v>
      </x:c>
    </x:row>
    <x:row r="1971">
      <x:c r="A1971" t="str">
        <x:v>SYN0001970</x:v>
      </x:c>
      <x:c r="B1971" s="12" t="n">
        <x:v>42175</x:v>
      </x:c>
      <x:c r="C1971" s="18" t="n">
        <x:v>9338</x:v>
      </x:c>
      <x:c r="D1971" s="18" t="n">
        <x:v>91872</x:v>
      </x:c>
      <x:c r="E1971" s="18" t="n">
        <x:v>18.1</x:v>
      </x:c>
      <x:c r="F1971" s="18" t="n">
        <x:v>16.24</x:v>
      </x:c>
      <x:c r="G1971" t="n">
        <x:v>36</x:v>
      </x:c>
      <x:c r="H1971" t="str">
        <x:v>D</x:v>
      </x:c>
      <x:c r="I1971" t="str">
        <x:v>&lt;1 year</x:v>
      </x:c>
      <x:c r="J1971" t="str">
        <x:v>RENT</x:v>
      </x:c>
      <x:c r="K1971" t="str">
        <x:v>other</x:v>
      </x:c>
      <x:c r="L1971" t="n">
        <x:v>1</x:v>
      </x:c>
      <x:c r="M1971" t="n">
        <x:v>0</x:v>
      </x:c>
      <x:c r="N1971" t="str">
        <x:v>Fully Paid</x:v>
      </x:c>
      <x:c r="O1971" t="str">
        <x:f>IF(D1971="","Unknown",IF(D1971&lt;25000,"&lt;$25k",IF(D1971&lt;50000,"$25k-$50k",IF(D1971&lt;75000,"$50k-$75k",IF(D1971&lt;100000,"$75k-$100k","$100k+")))))</x:f>
        <x:v>$75k-$100k</x:v>
      </x:c>
      <x:c r="P1971" t="str">
        <x:f>IF(E1971="","Unknown",IF(E1971&lt;10,"&lt;10",IF(E1971&lt;20,"10-&lt;20",IF(E1971&lt;25,"20-&lt;25",IF(E1971&lt;35,"25-&lt;35","35+")))))</x:f>
        <x:v>10-&lt;20</x:v>
      </x:c>
    </x:row>
    <x:row r="1972">
      <x:c r="A1972" t="str">
        <x:v>SYN0001971</x:v>
      </x:c>
      <x:c r="B1972" s="12" t="n">
        <x:v>41635</x:v>
      </x:c>
      <x:c r="C1972" s="18" t="n">
        <x:v>8864</x:v>
      </x:c>
      <x:c r="D1972" s="18" t="n">
        <x:v>85271</x:v>
      </x:c>
      <x:c r="E1972" s="18" t="n">
        <x:v>26.45</x:v>
      </x:c>
      <x:c r="F1972" s="18" t="n">
        <x:v>10.83</x:v>
      </x:c>
      <x:c r="G1972" t="n">
        <x:v>36</x:v>
      </x:c>
      <x:c r="H1972" t="str">
        <x:v>C</x:v>
      </x:c>
      <x:c r="I1972" t="str">
        <x:v>4-6 years</x:v>
      </x:c>
      <x:c r="J1972" t="str">
        <x:v>MORTGAGE</x:v>
      </x:c>
      <x:c r="K1972" t="str">
        <x:v>debt_consolidation</x:v>
      </x:c>
      <x:c r="L1972" t="n">
        <x:v>1</x:v>
      </x:c>
      <x:c r="M1972" t="n">
        <x:v>1</x:v>
      </x:c>
      <x:c r="N1972" t="str">
        <x:v>Charged Off</x:v>
      </x:c>
      <x:c r="O1972" t="str">
        <x:f>IF(D1972="","Unknown",IF(D1972&lt;25000,"&lt;$25k",IF(D1972&lt;50000,"$25k-$50k",IF(D1972&lt;75000,"$50k-$75k",IF(D1972&lt;100000,"$75k-$100k","$100k+")))))</x:f>
        <x:v>$75k-$100k</x:v>
      </x:c>
      <x:c r="P1972" t="str">
        <x:f>IF(E1972="","Unknown",IF(E1972&lt;10,"&lt;10",IF(E1972&lt;20,"10-&lt;20",IF(E1972&lt;25,"20-&lt;25",IF(E1972&lt;35,"25-&lt;35","35+")))))</x:f>
        <x:v>25-&lt;35</x:v>
      </x:c>
    </x:row>
    <x:row r="1973">
      <x:c r="A1973" t="str">
        <x:v>SYN0001972</x:v>
      </x:c>
      <x:c r="B1973" s="12" t="n">
        <x:v>42205</x:v>
      </x:c>
      <x:c r="C1973" s="18" t="n">
        <x:v>6635</x:v>
      </x:c>
      <x:c r="D1973" s="18" t="n">
        <x:v>17345</x:v>
      </x:c>
      <x:c r="E1973" s="18" t="n">
        <x:v>19.34</x:v>
      </x:c>
      <x:c r="F1973" s="18" t="n">
        <x:v>8.16</x:v>
      </x:c>
      <x:c r="G1973" t="n">
        <x:v>36</x:v>
      </x:c>
      <x:c r="H1973" t="str">
        <x:v>B</x:v>
      </x:c>
      <x:c r="I1973" t="str">
        <x:v>10+ years</x:v>
      </x:c>
      <x:c r="J1973" t="str">
        <x:v>RENT</x:v>
      </x:c>
      <x:c r="K1973" t="str">
        <x:v>debt_consolidation</x:v>
      </x:c>
      <x:c r="L1973" t="n">
        <x:v>0</x:v>
      </x:c>
      <x:c r="M1973" t="n">
        <x:v>0</x:v>
      </x:c>
      <x:c r="N1973" t="str">
        <x:v>Fully Paid</x:v>
      </x:c>
      <x:c r="O1973" t="str">
        <x:f>IF(D1973="","Unknown",IF(D1973&lt;25000,"&lt;$25k",IF(D1973&lt;50000,"$25k-$50k",IF(D1973&lt;75000,"$50k-$75k",IF(D1973&lt;100000,"$75k-$100k","$100k+")))))</x:f>
        <x:v>&lt;$25k</x:v>
      </x:c>
      <x:c r="P1973" t="str">
        <x:f>IF(E1973="","Unknown",IF(E1973&lt;10,"&lt;10",IF(E1973&lt;20,"10-&lt;20",IF(E1973&lt;25,"20-&lt;25",IF(E1973&lt;35,"25-&lt;35","35+")))))</x:f>
        <x:v>10-&lt;20</x:v>
      </x:c>
    </x:row>
    <x:row r="1974">
      <x:c r="A1974" t="str">
        <x:v>SYN0001973</x:v>
      </x:c>
      <x:c r="B1974" s="12" t="n">
        <x:v>42685</x:v>
      </x:c>
      <x:c r="C1974" s="18" t="n">
        <x:v>13416</x:v>
      </x:c>
      <x:c r="D1974" s="18" t="n">
        <x:v>21791</x:v>
      </x:c>
      <x:c r="E1974" s="18" t="n">
        <x:v>17.88</x:v>
      </x:c>
      <x:c r="F1974" s="18" t="n">
        <x:v>21.24</x:v>
      </x:c>
      <x:c r="G1974" t="n">
        <x:v>36</x:v>
      </x:c>
      <x:c r="H1974" t="str">
        <x:v>E</x:v>
      </x:c>
      <x:c r="I1974" t="str">
        <x:v>1-3 years</x:v>
      </x:c>
      <x:c r="J1974" t="str">
        <x:v>RENT</x:v>
      </x:c>
      <x:c r="K1974" t="str">
        <x:v>debt_consolidation</x:v>
      </x:c>
      <x:c r="L1974" t="n">
        <x:v>0</x:v>
      </x:c>
      <x:c r="M1974" t="n">
        <x:v>0</x:v>
      </x:c>
      <x:c r="N1974" t="str">
        <x:v>Fully Paid</x:v>
      </x:c>
      <x:c r="O1974" t="str">
        <x:f>IF(D1974="","Unknown",IF(D1974&lt;25000,"&lt;$25k",IF(D1974&lt;50000,"$25k-$50k",IF(D1974&lt;75000,"$50k-$75k",IF(D1974&lt;100000,"$75k-$100k","$100k+")))))</x:f>
        <x:v>&lt;$25k</x:v>
      </x:c>
      <x:c r="P1974" t="str">
        <x:f>IF(E1974="","Unknown",IF(E1974&lt;10,"&lt;10",IF(E1974&lt;20,"10-&lt;20",IF(E1974&lt;25,"20-&lt;25",IF(E1974&lt;35,"25-&lt;35","35+")))))</x:f>
        <x:v>10-&lt;20</x:v>
      </x:c>
    </x:row>
    <x:row r="1975">
      <x:c r="A1975" t="str">
        <x:v>SYN0001974</x:v>
      </x:c>
      <x:c r="B1975" s="12" t="n">
        <x:v>43375</x:v>
      </x:c>
      <x:c r="C1975" s="18" t="n">
        <x:v>20748</x:v>
      </x:c>
      <x:c r="D1975" s="18" t="n">
        <x:v>57801</x:v>
      </x:c>
      <x:c r="E1975" s="18" t="n">
        <x:v>11.47</x:v>
      </x:c>
      <x:c r="F1975" s="18" t="n">
        <x:v>6.78</x:v>
      </x:c>
      <x:c r="G1975" t="n">
        <x:v>60</x:v>
      </x:c>
      <x:c r="H1975" t="str">
        <x:v>B</x:v>
      </x:c>
      <x:c r="I1975" t="str">
        <x:v>7-9 years</x:v>
      </x:c>
      <x:c r="J1975" t="str">
        <x:v>MORTGAGE</x:v>
      </x:c>
      <x:c r="K1975" t="str">
        <x:v>debt_consolidation</x:v>
      </x:c>
      <x:c r="L1975" t="n">
        <x:v>1</x:v>
      </x:c>
      <x:c r="M1975" t="n">
        <x:v>0</x:v>
      </x:c>
      <x:c r="N1975" t="str">
        <x:v>Fully Paid</x:v>
      </x:c>
      <x:c r="O1975" t="str">
        <x:f>IF(D1975="","Unknown",IF(D1975&lt;25000,"&lt;$25k",IF(D1975&lt;50000,"$25k-$50k",IF(D1975&lt;75000,"$50k-$75k",IF(D1975&lt;100000,"$75k-$100k","$100k+")))))</x:f>
        <x:v>$50k-$75k</x:v>
      </x:c>
      <x:c r="P1975" t="str">
        <x:f>IF(E1975="","Unknown",IF(E1975&lt;10,"&lt;10",IF(E1975&lt;20,"10-&lt;20",IF(E1975&lt;25,"20-&lt;25",IF(E1975&lt;35,"25-&lt;35","35+")))))</x:f>
        <x:v>10-&lt;20</x:v>
      </x:c>
    </x:row>
    <x:row r="1976">
      <x:c r="A1976" t="str">
        <x:v>SYN0001975</x:v>
      </x:c>
      <x:c r="B1976" s="12" t="n">
        <x:v>41275</x:v>
      </x:c>
      <x:c r="C1976" s="18" t="n">
        <x:v>5177</x:v>
      </x:c>
      <x:c r="D1976" s="18" t="n">
        <x:v>88214</x:v>
      </x:c>
      <x:c r="E1976" s="18" t="n">
        <x:v>25.93</x:v>
      </x:c>
      <x:c r="F1976" s="18" t="n">
        <x:v>13.42</x:v>
      </x:c>
      <x:c r="G1976" t="n">
        <x:v>36</x:v>
      </x:c>
      <x:c r="H1976" t="str">
        <x:v>D</x:v>
      </x:c>
      <x:c r="I1976" t="str">
        <x:v>4-6 years</x:v>
      </x:c>
      <x:c r="J1976" t="str">
        <x:v>RENT</x:v>
      </x:c>
      <x:c r="K1976" t="str">
        <x:v>credit_card</x:v>
      </x:c>
      <x:c r="L1976" t="n">
        <x:v>0</x:v>
      </x:c>
      <x:c r="M1976" t="n">
        <x:v>1</x:v>
      </x:c>
      <x:c r="N1976" t="str">
        <x:v>Charged Off</x:v>
      </x:c>
      <x:c r="O1976" t="str">
        <x:f>IF(D1976="","Unknown",IF(D1976&lt;25000,"&lt;$25k",IF(D1976&lt;50000,"$25k-$50k",IF(D1976&lt;75000,"$50k-$75k",IF(D1976&lt;100000,"$75k-$100k","$100k+")))))</x:f>
        <x:v>$75k-$100k</x:v>
      </x:c>
      <x:c r="P1976" t="str">
        <x:f>IF(E1976="","Unknown",IF(E1976&lt;10,"&lt;10",IF(E1976&lt;20,"10-&lt;20",IF(E1976&lt;25,"20-&lt;25",IF(E1976&lt;35,"25-&lt;35","35+")))))</x:f>
        <x:v>25-&lt;35</x:v>
      </x:c>
    </x:row>
    <x:row r="1977">
      <x:c r="A1977" t="str">
        <x:v>SYN0001976</x:v>
      </x:c>
      <x:c r="B1977" s="12" t="n">
        <x:v>42805</x:v>
      </x:c>
      <x:c r="C1977" s="18" t="n">
        <x:v>26566</x:v>
      </x:c>
      <x:c r="D1977" s="18" t="n">
        <x:v>49028</x:v>
      </x:c>
      <x:c r="E1977" s="18" t="n">
        <x:v>22.1</x:v>
      </x:c>
      <x:c r="F1977" s="18" t="n">
        <x:v>11.85</x:v>
      </x:c>
      <x:c r="G1977" t="n">
        <x:v>36</x:v>
      </x:c>
      <x:c r="H1977" t="str">
        <x:v>C</x:v>
      </x:c>
      <x:c r="I1977" t="str">
        <x:v>4-6 years</x:v>
      </x:c>
      <x:c r="J1977" t="str">
        <x:v>OWN</x:v>
      </x:c>
      <x:c r="K1977" t="str">
        <x:v>other</x:v>
      </x:c>
      <x:c r="L1977" t="n">
        <x:v>1</x:v>
      </x:c>
      <x:c r="M1977" t="n">
        <x:v>0</x:v>
      </x:c>
      <x:c r="N1977" t="str">
        <x:v>Fully Paid</x:v>
      </x:c>
      <x:c r="O1977" t="str">
        <x:f>IF(D1977="","Unknown",IF(D1977&lt;25000,"&lt;$25k",IF(D1977&lt;50000,"$25k-$50k",IF(D1977&lt;75000,"$50k-$75k",IF(D1977&lt;100000,"$75k-$100k","$100k+")))))</x:f>
        <x:v>$25k-$50k</x:v>
      </x:c>
      <x:c r="P1977" t="str">
        <x:f>IF(E1977="","Unknown",IF(E1977&lt;10,"&lt;10",IF(E1977&lt;20,"10-&lt;20",IF(E1977&lt;25,"20-&lt;25",IF(E1977&lt;35,"25-&lt;35","35+")))))</x:f>
        <x:v>20-&lt;25</x:v>
      </x:c>
    </x:row>
    <x:row r="1978">
      <x:c r="A1978" t="str">
        <x:v>SYN0001977</x:v>
      </x:c>
      <x:c r="B1978" s="12" t="n">
        <x:v>42175</x:v>
      </x:c>
      <x:c r="C1978" s="18" t="n">
        <x:v>11795</x:v>
      </x:c>
      <x:c r="D1978" s="18" t="n">
        <x:v>49134</x:v>
      </x:c>
      <x:c r="E1978" s="18" t="n">
        <x:v>28.17</x:v>
      </x:c>
      <x:c r="F1978" s="18" t="n">
        <x:v>17.6</x:v>
      </x:c>
      <x:c r="G1978" t="n">
        <x:v>36</x:v>
      </x:c>
      <x:c r="H1978" t="str">
        <x:v>E</x:v>
      </x:c>
      <x:c r="I1978" t="str">
        <x:v>1-3 years</x:v>
      </x:c>
      <x:c r="J1978" t="str">
        <x:v>OWN</x:v>
      </x:c>
      <x:c r="K1978" t="str">
        <x:v>credit_card</x:v>
      </x:c>
      <x:c r="L1978" t="n">
        <x:v>0</x:v>
      </x:c>
      <x:c r="M1978" t="n">
        <x:v>0</x:v>
      </x:c>
      <x:c r="N1978" t="str">
        <x:v>Fully Paid</x:v>
      </x:c>
      <x:c r="O1978" t="str">
        <x:f>IF(D1978="","Unknown",IF(D1978&lt;25000,"&lt;$25k",IF(D1978&lt;50000,"$25k-$50k",IF(D1978&lt;75000,"$50k-$75k",IF(D1978&lt;100000,"$75k-$100k","$100k+")))))</x:f>
        <x:v>$25k-$50k</x:v>
      </x:c>
      <x:c r="P1978" t="str">
        <x:f>IF(E1978="","Unknown",IF(E1978&lt;10,"&lt;10",IF(E1978&lt;20,"10-&lt;20",IF(E1978&lt;25,"20-&lt;25",IF(E1978&lt;35,"25-&lt;35","35+")))))</x:f>
        <x:v>25-&lt;35</x:v>
      </x:c>
    </x:row>
    <x:row r="1979">
      <x:c r="A1979" t="str">
        <x:v>SYN0001978</x:v>
      </x:c>
      <x:c r="B1979" s="12" t="n">
        <x:v>42205</x:v>
      </x:c>
      <x:c r="C1979" s="18" t="n">
        <x:v>15715</x:v>
      </x:c>
      <x:c r="D1979" s="18" t="n">
        <x:v>56750</x:v>
      </x:c>
      <x:c r="E1979" s="18" t="n">
        <x:v>20.59</x:v>
      </x:c>
      <x:c r="F1979" s="18" t="n">
        <x:v>11.17</x:v>
      </x:c>
      <x:c r="G1979" t="n">
        <x:v>36</x:v>
      </x:c>
      <x:c r="H1979" t="str">
        <x:v>C</x:v>
      </x:c>
      <x:c r="I1979" t="str">
        <x:v>1-3 years</x:v>
      </x:c>
      <x:c r="J1979" t="str">
        <x:v>MORTGAGE</x:v>
      </x:c>
      <x:c r="K1979" t="str">
        <x:v>major_purchase</x:v>
      </x:c>
      <x:c r="L1979" t="n">
        <x:v>0</x:v>
      </x:c>
      <x:c r="M1979" t="n">
        <x:v>0</x:v>
      </x:c>
      <x:c r="N1979" t="str">
        <x:v>Fully Paid</x:v>
      </x:c>
      <x:c r="O1979" t="str">
        <x:f>IF(D1979="","Unknown",IF(D1979&lt;25000,"&lt;$25k",IF(D1979&lt;50000,"$25k-$50k",IF(D1979&lt;75000,"$50k-$75k",IF(D1979&lt;100000,"$75k-$100k","$100k+")))))</x:f>
        <x:v>$50k-$75k</x:v>
      </x:c>
      <x:c r="P1979" t="str">
        <x:f>IF(E1979="","Unknown",IF(E1979&lt;10,"&lt;10",IF(E1979&lt;20,"10-&lt;20",IF(E1979&lt;25,"20-&lt;25",IF(E1979&lt;35,"25-&lt;35","35+")))))</x:f>
        <x:v>20-&lt;25</x:v>
      </x:c>
    </x:row>
    <x:row r="1980">
      <x:c r="A1980" t="str">
        <x:v>SYN0001979</x:v>
      </x:c>
      <x:c r="B1980" s="12" t="n">
        <x:v>42385</x:v>
      </x:c>
      <x:c r="C1980" s="18" t="n">
        <x:v>8667</x:v>
      </x:c>
      <x:c r="D1980" s="18" t="n">
        <x:v>55175</x:v>
      </x:c>
      <x:c r="E1980" s="18" t="n">
        <x:v>32.65</x:v>
      </x:c>
      <x:c r="F1980" s="18" t="n">
        <x:v>17.22</x:v>
      </x:c>
      <x:c r="G1980" t="n">
        <x:v>36</x:v>
      </x:c>
      <x:c r="H1980" t="str">
        <x:v>E</x:v>
      </x:c>
      <x:c r="I1980" t="str">
        <x:v>1-3 years</x:v>
      </x:c>
      <x:c r="J1980" t="str">
        <x:v>RENT</x:v>
      </x:c>
      <x:c r="K1980" t="str">
        <x:v>home_improvement</x:v>
      </x:c>
      <x:c r="L1980" t="n">
        <x:v>0</x:v>
      </x:c>
      <x:c r="M1980" t="n">
        <x:v>0</x:v>
      </x:c>
      <x:c r="N1980" t="str">
        <x:v>Fully Paid</x:v>
      </x:c>
      <x:c r="O1980" t="str">
        <x:f>IF(D1980="","Unknown",IF(D1980&lt;25000,"&lt;$25k",IF(D1980&lt;50000,"$25k-$50k",IF(D1980&lt;75000,"$50k-$75k",IF(D1980&lt;100000,"$75k-$100k","$100k+")))))</x:f>
        <x:v>$50k-$75k</x:v>
      </x:c>
      <x:c r="P1980" t="str">
        <x:f>IF(E1980="","Unknown",IF(E1980&lt;10,"&lt;10",IF(E1980&lt;20,"10-&lt;20",IF(E1980&lt;25,"20-&lt;25",IF(E1980&lt;35,"25-&lt;35","35+")))))</x:f>
        <x:v>25-&lt;35</x:v>
      </x:c>
    </x:row>
    <x:row r="1981">
      <x:c r="A1981" t="str">
        <x:v>SYN0001980</x:v>
      </x:c>
      <x:c r="B1981" s="12" t="n">
        <x:v>42685</x:v>
      </x:c>
      <x:c r="C1981" s="18" t="n">
        <x:v>10585</x:v>
      </x:c>
      <x:c r="D1981" s="18" t="n">
        <x:v>65573</x:v>
      </x:c>
      <x:c r="E1981" s="18" t="n">
        <x:v>5.37</x:v>
      </x:c>
      <x:c r="F1981" s="18" t="n">
        <x:v>18.82</x:v>
      </x:c>
      <x:c r="G1981" t="n">
        <x:v>60</x:v>
      </x:c>
      <x:c r="H1981" t="str">
        <x:v>E</x:v>
      </x:c>
      <x:c r="I1981" t="str">
        <x:v>&lt;1 year</x:v>
      </x:c>
      <x:c r="J1981" t="str">
        <x:v>OWN</x:v>
      </x:c>
      <x:c r="K1981" t="str">
        <x:v>other</x:v>
      </x:c>
      <x:c r="L1981" t="n">
        <x:v>0</x:v>
      </x:c>
      <x:c r="M1981" t="n">
        <x:v>1</x:v>
      </x:c>
      <x:c r="N1981" t="str">
        <x:v>Charged Off</x:v>
      </x:c>
      <x:c r="O1981" t="str">
        <x:f>IF(D1981="","Unknown",IF(D1981&lt;25000,"&lt;$25k",IF(D1981&lt;50000,"$25k-$50k",IF(D1981&lt;75000,"$50k-$75k",IF(D1981&lt;100000,"$75k-$100k","$100k+")))))</x:f>
        <x:v>$50k-$75k</x:v>
      </x:c>
      <x:c r="P1981" t="str">
        <x:f>IF(E1981="","Unknown",IF(E1981&lt;10,"&lt;10",IF(E1981&lt;20,"10-&lt;20",IF(E1981&lt;25,"20-&lt;25",IF(E1981&lt;35,"25-&lt;35","35+")))))</x:f>
        <x:v>&lt;10</x:v>
      </x:c>
    </x:row>
    <x:row r="1982">
      <x:c r="A1982" t="str">
        <x:v>SYN0001981</x:v>
      </x:c>
      <x:c r="B1982" s="12" t="n">
        <x:v>42325</x:v>
      </x:c>
      <x:c r="C1982" s="18" t="n">
        <x:v>6107</x:v>
      </x:c>
      <x:c r="D1982" s="18" t="n">
        <x:v>69209</x:v>
      </x:c>
      <x:c r="E1982" s="18" t="n">
        <x:v>18.91</x:v>
      </x:c>
      <x:c r="F1982" s="18" t="n">
        <x:v>12.69</x:v>
      </x:c>
      <x:c r="G1982" t="n">
        <x:v>36</x:v>
      </x:c>
      <x:c r="H1982" t="str">
        <x:v>C</x:v>
      </x:c>
      <x:c r="I1982" t="str">
        <x:v>1-3 years</x:v>
      </x:c>
      <x:c r="J1982" t="str">
        <x:v>MORTGAGE</x:v>
      </x:c>
      <x:c r="K1982" t="str">
        <x:v>home_improvement</x:v>
      </x:c>
      <x:c r="L1982" t="n">
        <x:v>0</x:v>
      </x:c>
      <x:c r="M1982" t="n">
        <x:v>0</x:v>
      </x:c>
      <x:c r="N1982" t="str">
        <x:v>Fully Paid</x:v>
      </x:c>
      <x:c r="O1982" t="str">
        <x:f>IF(D1982="","Unknown",IF(D1982&lt;25000,"&lt;$25k",IF(D1982&lt;50000,"$25k-$50k",IF(D1982&lt;75000,"$50k-$75k",IF(D1982&lt;100000,"$75k-$100k","$100k+")))))</x:f>
        <x:v>$50k-$75k</x:v>
      </x:c>
      <x:c r="P1982" t="str">
        <x:f>IF(E1982="","Unknown",IF(E1982&lt;10,"&lt;10",IF(E1982&lt;20,"10-&lt;20",IF(E1982&lt;25,"20-&lt;25",IF(E1982&lt;35,"25-&lt;35","35+")))))</x:f>
        <x:v>10-&lt;20</x:v>
      </x:c>
    </x:row>
    <x:row r="1983">
      <x:c r="A1983" t="str">
        <x:v>SYN0001982</x:v>
      </x:c>
      <x:c r="B1983" s="12" t="n">
        <x:v>42145</x:v>
      </x:c>
      <x:c r="C1983" s="18" t="n">
        <x:v>13869</x:v>
      </x:c>
      <x:c r="D1983" s="18" t="n">
        <x:v>12000</x:v>
      </x:c>
      <x:c r="E1983" s="18" t="n">
        <x:v>30.01</x:v>
      </x:c>
      <x:c r="F1983" s="18" t="n">
        <x:v>9.35</x:v>
      </x:c>
      <x:c r="G1983" t="n">
        <x:v>36</x:v>
      </x:c>
      <x:c r="H1983" t="str">
        <x:v>B</x:v>
      </x:c>
      <x:c r="I1983" t="str">
        <x:v>10+ years</x:v>
      </x:c>
      <x:c r="J1983" t="str">
        <x:v>MORTGAGE</x:v>
      </x:c>
      <x:c r="K1983" t="str">
        <x:v>debt_consolidation</x:v>
      </x:c>
      <x:c r="L1983" t="n">
        <x:v>0</x:v>
      </x:c>
      <x:c r="M1983" t="n">
        <x:v>0</x:v>
      </x:c>
      <x:c r="N1983" t="str">
        <x:v>Fully Paid</x:v>
      </x:c>
      <x:c r="O1983" t="str">
        <x:f>IF(D1983="","Unknown",IF(D1983&lt;25000,"&lt;$25k",IF(D1983&lt;50000,"$25k-$50k",IF(D1983&lt;75000,"$50k-$75k",IF(D1983&lt;100000,"$75k-$100k","$100k+")))))</x:f>
        <x:v>&lt;$25k</x:v>
      </x:c>
      <x:c r="P1983" t="str">
        <x:f>IF(E1983="","Unknown",IF(E1983&lt;10,"&lt;10",IF(E1983&lt;20,"10-&lt;20",IF(E1983&lt;25,"20-&lt;25",IF(E1983&lt;35,"25-&lt;35","35+")))))</x:f>
        <x:v>25-&lt;35</x:v>
      </x:c>
    </x:row>
    <x:row r="1984">
      <x:c r="A1984" t="str">
        <x:v>SYN0001983</x:v>
      </x:c>
      <x:c r="B1984" s="12" t="n">
        <x:v>41425</x:v>
      </x:c>
      <x:c r="C1984" s="18" t="n">
        <x:v>4335</x:v>
      </x:c>
      <x:c r="D1984" s="18" t="n">
        <x:v>60982</x:v>
      </x:c>
      <x:c r="E1984" s="18" t="n">
        <x:v>4.19</x:v>
      </x:c>
      <x:c r="F1984" s="18" t="n">
        <x:v>6.47</x:v>
      </x:c>
      <x:c r="G1984" t="n">
        <x:v>36</x:v>
      </x:c>
      <x:c r="H1984" t="str">
        <x:v>A</x:v>
      </x:c>
      <x:c r="I1984" t="str">
        <x:v>7-9 years</x:v>
      </x:c>
      <x:c r="J1984" t="str">
        <x:v>RENT</x:v>
      </x:c>
      <x:c r="K1984" t="str">
        <x:v>credit_card</x:v>
      </x:c>
      <x:c r="L1984" t="n">
        <x:v>0</x:v>
      </x:c>
      <x:c r="M1984" t="n">
        <x:v>0</x:v>
      </x:c>
      <x:c r="N1984" t="str">
        <x:v>Fully Paid</x:v>
      </x:c>
      <x:c r="O1984" t="str">
        <x:f>IF(D1984="","Unknown",IF(D1984&lt;25000,"&lt;$25k",IF(D1984&lt;50000,"$25k-$50k",IF(D1984&lt;75000,"$50k-$75k",IF(D1984&lt;100000,"$75k-$100k","$100k+")))))</x:f>
        <x:v>$50k-$75k</x:v>
      </x:c>
      <x:c r="P1984" t="str">
        <x:f>IF(E1984="","Unknown",IF(E1984&lt;10,"&lt;10",IF(E1984&lt;20,"10-&lt;20",IF(E1984&lt;25,"20-&lt;25",IF(E1984&lt;35,"25-&lt;35","35+")))))</x:f>
        <x:v>&lt;10</x:v>
      </x:c>
    </x:row>
    <x:row r="1985">
      <x:c r="A1985" t="str">
        <x:v>SYN0001984</x:v>
      </x:c>
      <x:c r="B1985" s="12" t="n">
        <x:v>41455</x:v>
      </x:c>
      <x:c r="C1985" s="18" t="n">
        <x:v>13051</x:v>
      </x:c>
      <x:c r="D1985" s="18" t="n">
        <x:v>81549</x:v>
      </x:c>
      <x:c r="E1985" s="18" t="n">
        <x:v>20.48</x:v>
      </x:c>
      <x:c r="F1985" s="18" t="n">
        <x:v>17.32</x:v>
      </x:c>
      <x:c r="G1985" t="n">
        <x:v>36</x:v>
      </x:c>
      <x:c r="H1985" t="str">
        <x:v>E</x:v>
      </x:c>
      <x:c r="I1985" t="str">
        <x:v>4-6 years</x:v>
      </x:c>
      <x:c r="J1985" t="str">
        <x:v>RENT</x:v>
      </x:c>
      <x:c r="K1985" t="str">
        <x:v>credit_card</x:v>
      </x:c>
      <x:c r="L1985" t="n">
        <x:v>0</x:v>
      </x:c>
      <x:c r="M1985" t="n">
        <x:v>0</x:v>
      </x:c>
      <x:c r="N1985" t="str">
        <x:v>Fully Paid</x:v>
      </x:c>
      <x:c r="O1985" t="str">
        <x:f>IF(D1985="","Unknown",IF(D1985&lt;25000,"&lt;$25k",IF(D1985&lt;50000,"$25k-$50k",IF(D1985&lt;75000,"$50k-$75k",IF(D1985&lt;100000,"$75k-$100k","$100k+")))))</x:f>
        <x:v>$75k-$100k</x:v>
      </x:c>
      <x:c r="P1985" t="str">
        <x:f>IF(E1985="","Unknown",IF(E1985&lt;10,"&lt;10",IF(E1985&lt;20,"10-&lt;20",IF(E1985&lt;25,"20-&lt;25",IF(E1985&lt;35,"25-&lt;35","35+")))))</x:f>
        <x:v>20-&lt;25</x:v>
      </x:c>
    </x:row>
    <x:row r="1986">
      <x:c r="A1986" t="str">
        <x:v>SYN0001985</x:v>
      </x:c>
      <x:c r="B1986" s="12" t="n">
        <x:v>42385</x:v>
      </x:c>
      <x:c r="C1986" s="18" t="n">
        <x:v>8817</x:v>
      </x:c>
      <x:c r="D1986" s="18" t="n">
        <x:v>151853</x:v>
      </x:c>
      <x:c r="E1986" s="18" t="n">
        <x:v>33.44</x:v>
      </x:c>
      <x:c r="F1986" s="18" t="n">
        <x:v>24.57</x:v>
      </x:c>
      <x:c r="G1986" t="n">
        <x:v>36</x:v>
      </x:c>
      <x:c r="H1986" t="str">
        <x:v>F</x:v>
      </x:c>
      <x:c r="I1986" t="str">
        <x:v>&lt;1 year</x:v>
      </x:c>
      <x:c r="J1986" t="str">
        <x:v>RENT</x:v>
      </x:c>
      <x:c r="K1986" t="str">
        <x:v>debt_consolidation</x:v>
      </x:c>
      <x:c r="L1986" t="n">
        <x:v>4</x:v>
      </x:c>
      <x:c r="M1986" t="n">
        <x:v>0</x:v>
      </x:c>
      <x:c r="N1986" t="str">
        <x:v>Fully Paid</x:v>
      </x:c>
      <x:c r="O1986" t="str">
        <x:f>IF(D1986="","Unknown",IF(D1986&lt;25000,"&lt;$25k",IF(D1986&lt;50000,"$25k-$50k",IF(D1986&lt;75000,"$50k-$75k",IF(D1986&lt;100000,"$75k-$100k","$100k+")))))</x:f>
        <x:v>$100k+</x:v>
      </x:c>
      <x:c r="P1986" t="str">
        <x:f>IF(E1986="","Unknown",IF(E1986&lt;10,"&lt;10",IF(E1986&lt;20,"10-&lt;20",IF(E1986&lt;25,"20-&lt;25",IF(E1986&lt;35,"25-&lt;35","35+")))))</x:f>
        <x:v>25-&lt;35</x:v>
      </x:c>
    </x:row>
    <x:row r="1987">
      <x:c r="A1987" t="str">
        <x:v>SYN0001986</x:v>
      </x:c>
      <x:c r="B1987" s="12" t="n">
        <x:v>43045</x:v>
      </x:c>
      <x:c r="C1987" s="18" t="n">
        <x:v>17865</x:v>
      </x:c>
      <x:c r="D1987" s="18" t="n">
        <x:v>52514</x:v>
      </x:c>
      <x:c r="E1987" s="18" t="n">
        <x:v>20.82</x:v>
      </x:c>
      <x:c r="F1987" s="18" t="n">
        <x:v>11.17</x:v>
      </x:c>
      <x:c r="G1987" t="n">
        <x:v>60</x:v>
      </x:c>
      <x:c r="H1987" t="str">
        <x:v>C</x:v>
      </x:c>
      <x:c r="I1987" t="str">
        <x:v>7-9 years</x:v>
      </x:c>
      <x:c r="J1987" t="str">
        <x:v>MORTGAGE</x:v>
      </x:c>
      <x:c r="K1987" t="str">
        <x:v>home_improvement</x:v>
      </x:c>
      <x:c r="L1987" t="n">
        <x:v>0</x:v>
      </x:c>
      <x:c r="M1987" t="n">
        <x:v>0</x:v>
      </x:c>
      <x:c r="N1987" t="str">
        <x:v>Fully Paid</x:v>
      </x:c>
      <x:c r="O1987" t="str">
        <x:f>IF(D1987="","Unknown",IF(D1987&lt;25000,"&lt;$25k",IF(D1987&lt;50000,"$25k-$50k",IF(D1987&lt;75000,"$50k-$75k",IF(D1987&lt;100000,"$75k-$100k","$100k+")))))</x:f>
        <x:v>$50k-$75k</x:v>
      </x:c>
      <x:c r="P1987" t="str">
        <x:f>IF(E1987="","Unknown",IF(E1987&lt;10,"&lt;10",IF(E1987&lt;20,"10-&lt;20",IF(E1987&lt;25,"20-&lt;25",IF(E1987&lt;35,"25-&lt;35","35+")))))</x:f>
        <x:v>20-&lt;25</x:v>
      </x:c>
    </x:row>
    <x:row r="1988">
      <x:c r="A1988" t="str">
        <x:v>SYN0001987</x:v>
      </x:c>
      <x:c r="B1988" s="12" t="n">
        <x:v>42385</x:v>
      </x:c>
      <x:c r="C1988" s="18" t="n">
        <x:v>9322</x:v>
      </x:c>
      <x:c r="D1988" s="18" t="n">
        <x:v>50610</x:v>
      </x:c>
      <x:c r="E1988" s="18" t="n">
        <x:v>19.21</x:v>
      </x:c>
      <x:c r="F1988" s="18" t="n">
        <x:v>19.65</x:v>
      </x:c>
      <x:c r="G1988" t="n">
        <x:v>36</x:v>
      </x:c>
      <x:c r="H1988" t="str">
        <x:v>E</x:v>
      </x:c>
      <x:c r="I1988" t="str">
        <x:v>4-6 years</x:v>
      </x:c>
      <x:c r="J1988" t="str">
        <x:v>RENT</x:v>
      </x:c>
      <x:c r="K1988" t="str">
        <x:v>home_improvement</x:v>
      </x:c>
      <x:c r="L1988" t="n">
        <x:v>0</x:v>
      </x:c>
      <x:c r="M1988" t="n">
        <x:v>1</x:v>
      </x:c>
      <x:c r="N1988" t="str">
        <x:v>Charged Off</x:v>
      </x:c>
      <x:c r="O1988" t="str">
        <x:f>IF(D1988="","Unknown",IF(D1988&lt;25000,"&lt;$25k",IF(D1988&lt;50000,"$25k-$50k",IF(D1988&lt;75000,"$50k-$75k",IF(D1988&lt;100000,"$75k-$100k","$100k+")))))</x:f>
        <x:v>$50k-$75k</x:v>
      </x:c>
      <x:c r="P1988" t="str">
        <x:f>IF(E1988="","Unknown",IF(E1988&lt;10,"&lt;10",IF(E1988&lt;20,"10-&lt;20",IF(E1988&lt;25,"20-&lt;25",IF(E1988&lt;35,"25-&lt;35","35+")))))</x:f>
        <x:v>10-&lt;20</x:v>
      </x:c>
    </x:row>
    <x:row r="1989">
      <x:c r="A1989" t="str">
        <x:v>SYN0001988</x:v>
      </x:c>
      <x:c r="B1989" s="12" t="n">
        <x:v>41605</x:v>
      </x:c>
      <x:c r="C1989" s="18" t="n">
        <x:v>8473</x:v>
      </x:c>
      <x:c r="D1989" s="18" t="n">
        <x:v>76924</x:v>
      </x:c>
      <x:c r="E1989" s="18" t="n">
        <x:v>29.18</x:v>
      </x:c>
      <x:c r="F1989" s="18" t="n">
        <x:v>17.79</x:v>
      </x:c>
      <x:c r="G1989" t="n">
        <x:v>36</x:v>
      </x:c>
      <x:c r="H1989" t="str">
        <x:v>E</x:v>
      </x:c>
      <x:c r="I1989" t="str">
        <x:v>10+ years</x:v>
      </x:c>
      <x:c r="J1989" t="str">
        <x:v>RENT</x:v>
      </x:c>
      <x:c r="K1989" t="str">
        <x:v>debt_consolidation</x:v>
      </x:c>
      <x:c r="L1989" t="n">
        <x:v>0</x:v>
      </x:c>
      <x:c r="M1989" t="n">
        <x:v>0</x:v>
      </x:c>
      <x:c r="N1989" t="str">
        <x:v>Fully Paid</x:v>
      </x:c>
      <x:c r="O1989" t="str">
        <x:f>IF(D1989="","Unknown",IF(D1989&lt;25000,"&lt;$25k",IF(D1989&lt;50000,"$25k-$50k",IF(D1989&lt;75000,"$50k-$75k",IF(D1989&lt;100000,"$75k-$100k","$100k+")))))</x:f>
        <x:v>$75k-$100k</x:v>
      </x:c>
      <x:c r="P1989" t="str">
        <x:f>IF(E1989="","Unknown",IF(E1989&lt;10,"&lt;10",IF(E1989&lt;20,"10-&lt;20",IF(E1989&lt;25,"20-&lt;25",IF(E1989&lt;35,"25-&lt;35","35+")))))</x:f>
        <x:v>25-&lt;35</x:v>
      </x:c>
    </x:row>
    <x:row r="1990">
      <x:c r="A1990" t="str">
        <x:v>SYN0001989</x:v>
      </x:c>
      <x:c r="B1990" s="12" t="n">
        <x:v>42745</x:v>
      </x:c>
      <x:c r="C1990" s="18" t="n">
        <x:v>19481</x:v>
      </x:c>
      <x:c r="D1990" s="18" t="n">
        <x:v>30787</x:v>
      </x:c>
      <x:c r="E1990" s="18" t="n">
        <x:v>18.98</x:v>
      </x:c>
      <x:c r="F1990" s="18" t="n">
        <x:v>17.92</x:v>
      </x:c>
      <x:c r="G1990" t="n">
        <x:v>36</x:v>
      </x:c>
      <x:c r="H1990" t="str">
        <x:v>E</x:v>
      </x:c>
      <x:c r="I1990" t="str">
        <x:v>1-3 years</x:v>
      </x:c>
      <x:c r="J1990" t="str">
        <x:v>RENT</x:v>
      </x:c>
      <x:c r="K1990" t="str">
        <x:v>home_improvement</x:v>
      </x:c>
      <x:c r="L1990" t="n">
        <x:v>3</x:v>
      </x:c>
      <x:c r="M1990" t="n">
        <x:v>0</x:v>
      </x:c>
      <x:c r="N1990" t="str">
        <x:v>Fully Paid</x:v>
      </x:c>
      <x:c r="O1990" t="str">
        <x:f>IF(D1990="","Unknown",IF(D1990&lt;25000,"&lt;$25k",IF(D1990&lt;50000,"$25k-$50k",IF(D1990&lt;75000,"$50k-$75k",IF(D1990&lt;100000,"$75k-$100k","$100k+")))))</x:f>
        <x:v>$25k-$50k</x:v>
      </x:c>
      <x:c r="P1990" t="str">
        <x:f>IF(E1990="","Unknown",IF(E1990&lt;10,"&lt;10",IF(E1990&lt;20,"10-&lt;20",IF(E1990&lt;25,"20-&lt;25",IF(E1990&lt;35,"25-&lt;35","35+")))))</x:f>
        <x:v>10-&lt;20</x:v>
      </x:c>
    </x:row>
    <x:row r="1991">
      <x:c r="A1991" t="str">
        <x:v>SYN0001990</x:v>
      </x:c>
      <x:c r="B1991" s="12" t="n">
        <x:v>42835</x:v>
      </x:c>
      <x:c r="C1991" s="18" t="n">
        <x:v>14993</x:v>
      </x:c>
      <x:c r="D1991" s="18" t="n">
        <x:v>54158</x:v>
      </x:c>
      <x:c r="E1991" s="18" t="n">
        <x:v>24.43</x:v>
      </x:c>
      <x:c r="F1991" s="18" t="n">
        <x:v>5</x:v>
      </x:c>
      <x:c r="G1991" t="n">
        <x:v>36</x:v>
      </x:c>
      <x:c r="H1991" t="str">
        <x:v>B</x:v>
      </x:c>
      <x:c r="I1991" t="str">
        <x:v>10+ years</x:v>
      </x:c>
      <x:c r="J1991" t="str">
        <x:v>RENT</x:v>
      </x:c>
      <x:c r="K1991" t="str">
        <x:v>debt_consolidation</x:v>
      </x:c>
      <x:c r="L1991" t="n">
        <x:v>0</x:v>
      </x:c>
      <x:c r="M1991" t="n">
        <x:v>0</x:v>
      </x:c>
      <x:c r="N1991" t="str">
        <x:v>Fully Paid</x:v>
      </x:c>
      <x:c r="O1991" t="str">
        <x:f>IF(D1991="","Unknown",IF(D1991&lt;25000,"&lt;$25k",IF(D1991&lt;50000,"$25k-$50k",IF(D1991&lt;75000,"$50k-$75k",IF(D1991&lt;100000,"$75k-$100k","$100k+")))))</x:f>
        <x:v>$50k-$75k</x:v>
      </x:c>
      <x:c r="P1991" t="str">
        <x:f>IF(E1991="","Unknown",IF(E1991&lt;10,"&lt;10",IF(E1991&lt;20,"10-&lt;20",IF(E1991&lt;25,"20-&lt;25",IF(E1991&lt;35,"25-&lt;35","35+")))))</x:f>
        <x:v>20-&lt;25</x:v>
      </x:c>
    </x:row>
    <x:row r="1992">
      <x:c r="A1992" t="str">
        <x:v>SYN0001991</x:v>
      </x:c>
      <x:c r="B1992" s="12" t="n">
        <x:v>42715</x:v>
      </x:c>
      <x:c r="C1992" s="18" t="n">
        <x:v>14801</x:v>
      </x:c>
      <x:c r="D1992" s="18" t="n">
        <x:v>37584</x:v>
      </x:c>
      <x:c r="E1992" s="18" t="n">
        <x:v>21.91</x:v>
      </x:c>
      <x:c r="F1992" s="18" t="n">
        <x:v>19.54</x:v>
      </x:c>
      <x:c r="G1992" t="n">
        <x:v>60</x:v>
      </x:c>
      <x:c r="H1992" t="str">
        <x:v>F</x:v>
      </x:c>
      <x:c r="I1992" t="str">
        <x:v>1-3 years</x:v>
      </x:c>
      <x:c r="J1992" t="str">
        <x:v>RENT</x:v>
      </x:c>
      <x:c r="K1992" t="str">
        <x:v>debt_consolidation</x:v>
      </x:c>
      <x:c r="L1992" t="n">
        <x:v>0</x:v>
      </x:c>
      <x:c r="M1992" t="n">
        <x:v>0</x:v>
      </x:c>
      <x:c r="N1992" t="str">
        <x:v>Fully Paid</x:v>
      </x:c>
      <x:c r="O1992" t="str">
        <x:f>IF(D1992="","Unknown",IF(D1992&lt;25000,"&lt;$25k",IF(D1992&lt;50000,"$25k-$50k",IF(D1992&lt;75000,"$50k-$75k",IF(D1992&lt;100000,"$75k-$100k","$100k+")))))</x:f>
        <x:v>$25k-$50k</x:v>
      </x:c>
      <x:c r="P1992" t="str">
        <x:f>IF(E1992="","Unknown",IF(E1992&lt;10,"&lt;10",IF(E1992&lt;20,"10-&lt;20",IF(E1992&lt;25,"20-&lt;25",IF(E1992&lt;35,"25-&lt;35","35+")))))</x:f>
        <x:v>20-&lt;25</x:v>
      </x:c>
    </x:row>
    <x:row r="1993">
      <x:c r="A1993" t="str">
        <x:v>SYN0001992</x:v>
      </x:c>
      <x:c r="B1993" s="12" t="n">
        <x:v>43045</x:v>
      </x:c>
      <x:c r="C1993" s="18" t="n">
        <x:v>12511</x:v>
      </x:c>
      <x:c r="D1993" s="18" t="n">
        <x:v>44949</x:v>
      </x:c>
      <x:c r="E1993" s="18" t="n">
        <x:v>19.29</x:v>
      </x:c>
      <x:c r="F1993" s="18" t="n">
        <x:v>11.28</x:v>
      </x:c>
      <x:c r="G1993" t="n">
        <x:v>36</x:v>
      </x:c>
      <x:c r="H1993" t="str">
        <x:v>C</x:v>
      </x:c>
      <x:c r="I1993" t="str">
        <x:v>7-9 years</x:v>
      </x:c>
      <x:c r="J1993" t="str">
        <x:v>RENT</x:v>
      </x:c>
      <x:c r="K1993" t="str">
        <x:v>medical</x:v>
      </x:c>
      <x:c r="L1993" t="n">
        <x:v>0</x:v>
      </x:c>
      <x:c r="M1993" t="n">
        <x:v>0</x:v>
      </x:c>
      <x:c r="N1993" t="str">
        <x:v>Fully Paid</x:v>
      </x:c>
      <x:c r="O1993" t="str">
        <x:f>IF(D1993="","Unknown",IF(D1993&lt;25000,"&lt;$25k",IF(D1993&lt;50000,"$25k-$50k",IF(D1993&lt;75000,"$50k-$75k",IF(D1993&lt;100000,"$75k-$100k","$100k+")))))</x:f>
        <x:v>$25k-$50k</x:v>
      </x:c>
      <x:c r="P1993" t="str">
        <x:f>IF(E1993="","Unknown",IF(E1993&lt;10,"&lt;10",IF(E1993&lt;20,"10-&lt;20",IF(E1993&lt;25,"20-&lt;25",IF(E1993&lt;35,"25-&lt;35","35+")))))</x:f>
        <x:v>10-&lt;20</x:v>
      </x:c>
    </x:row>
    <x:row r="1994">
      <x:c r="A1994" t="str">
        <x:v>SYN0001993</x:v>
      </x:c>
      <x:c r="B1994" s="12" t="n">
        <x:v>42385</x:v>
      </x:c>
      <x:c r="C1994" s="18" t="n">
        <x:v>15304</x:v>
      </x:c>
      <x:c r="D1994" s="18" t="n">
        <x:v>13349</x:v>
      </x:c>
      <x:c r="E1994" s="18" t="n">
        <x:v>26.5</x:v>
      </x:c>
      <x:c r="F1994" s="18" t="n">
        <x:v>7.09</x:v>
      </x:c>
      <x:c r="G1994" t="n">
        <x:v>36</x:v>
      </x:c>
      <x:c r="H1994" t="str">
        <x:v>A</x:v>
      </x:c>
      <x:c r="I1994" t="str">
        <x:v>4-6 years</x:v>
      </x:c>
      <x:c r="J1994" t="str">
        <x:v>OTHER</x:v>
      </x:c>
      <x:c r="K1994" t="str">
        <x:v>credit_card</x:v>
      </x:c>
      <x:c r="L1994" t="n">
        <x:v>0</x:v>
      </x:c>
      <x:c r="M1994" t="n">
        <x:v>0</x:v>
      </x:c>
      <x:c r="N1994" t="str">
        <x:v>Fully Paid</x:v>
      </x:c>
      <x:c r="O1994" t="str">
        <x:f>IF(D1994="","Unknown",IF(D1994&lt;25000,"&lt;$25k",IF(D1994&lt;50000,"$25k-$50k",IF(D1994&lt;75000,"$50k-$75k",IF(D1994&lt;100000,"$75k-$100k","$100k+")))))</x:f>
        <x:v>&lt;$25k</x:v>
      </x:c>
      <x:c r="P1994" t="str">
        <x:f>IF(E1994="","Unknown",IF(E1994&lt;10,"&lt;10",IF(E1994&lt;20,"10-&lt;20",IF(E1994&lt;25,"20-&lt;25",IF(E1994&lt;35,"25-&lt;35","35+")))))</x:f>
        <x:v>25-&lt;35</x:v>
      </x:c>
    </x:row>
    <x:row r="1995">
      <x:c r="A1995" t="str">
        <x:v>SYN0001994</x:v>
      </x:c>
      <x:c r="B1995" s="12" t="n">
        <x:v>43285</x:v>
      </x:c>
      <x:c r="C1995" s="18" t="n">
        <x:v>11731</x:v>
      </x:c>
      <x:c r="D1995" s="18" t="n">
        <x:v>133360</x:v>
      </x:c>
      <x:c r="E1995" s="18" t="n">
        <x:v>35.54</x:v>
      </x:c>
      <x:c r="F1995" s="18" t="n">
        <x:v>6.71</x:v>
      </x:c>
      <x:c r="G1995" t="n">
        <x:v>36</x:v>
      </x:c>
      <x:c r="H1995" t="str">
        <x:v>C</x:v>
      </x:c>
      <x:c r="I1995" t="str">
        <x:v>&lt;1 year</x:v>
      </x:c>
      <x:c r="J1995" t="str">
        <x:v>RENT</x:v>
      </x:c>
      <x:c r="K1995" t="str">
        <x:v>debt_consolidation</x:v>
      </x:c>
      <x:c r="L1995" t="n">
        <x:v>0</x:v>
      </x:c>
      <x:c r="M1995" t="n">
        <x:v>0</x:v>
      </x:c>
      <x:c r="N1995" t="str">
        <x:v>Fully Paid</x:v>
      </x:c>
      <x:c r="O1995" t="str">
        <x:f>IF(D1995="","Unknown",IF(D1995&lt;25000,"&lt;$25k",IF(D1995&lt;50000,"$25k-$50k",IF(D1995&lt;75000,"$50k-$75k",IF(D1995&lt;100000,"$75k-$100k","$100k+")))))</x:f>
        <x:v>$100k+</x:v>
      </x:c>
      <x:c r="P1995" t="str">
        <x:f>IF(E1995="","Unknown",IF(E1995&lt;10,"&lt;10",IF(E1995&lt;20,"10-&lt;20",IF(E1995&lt;25,"20-&lt;25",IF(E1995&lt;35,"25-&lt;35","35+")))))</x:f>
        <x:v>35+</x:v>
      </x:c>
    </x:row>
    <x:row r="1996">
      <x:c r="A1996" t="str">
        <x:v>SYN0001995</x:v>
      </x:c>
      <x:c r="B1996" s="12" t="n">
        <x:v>43225</x:v>
      </x:c>
      <x:c r="C1996" s="18" t="n">
        <x:v>9488</x:v>
      </x:c>
      <x:c r="D1996" s="18" t="n">
        <x:v>50170</x:v>
      </x:c>
      <x:c r="E1996" s="18" t="n">
        <x:v>12.67</x:v>
      </x:c>
      <x:c r="F1996" s="18" t="n">
        <x:v>13.73</x:v>
      </x:c>
      <x:c r="G1996" t="n">
        <x:v>60</x:v>
      </x:c>
      <x:c r="H1996" t="str">
        <x:v>C</x:v>
      </x:c>
      <x:c r="I1996" t="str">
        <x:v>4-6 years</x:v>
      </x:c>
      <x:c r="J1996" t="str">
        <x:v>MORTGAGE</x:v>
      </x:c>
      <x:c r="K1996" t="str">
        <x:v>credit_card</x:v>
      </x:c>
      <x:c r="L1996" t="n">
        <x:v>1</x:v>
      </x:c>
      <x:c r="M1996" t="n">
        <x:v>0</x:v>
      </x:c>
      <x:c r="N1996" t="str">
        <x:v>Fully Paid</x:v>
      </x:c>
      <x:c r="O1996" t="str">
        <x:f>IF(D1996="","Unknown",IF(D1996&lt;25000,"&lt;$25k",IF(D1996&lt;50000,"$25k-$50k",IF(D1996&lt;75000,"$50k-$75k",IF(D1996&lt;100000,"$75k-$100k","$100k+")))))</x:f>
        <x:v>$50k-$75k</x:v>
      </x:c>
      <x:c r="P1996" t="str">
        <x:f>IF(E1996="","Unknown",IF(E1996&lt;10,"&lt;10",IF(E1996&lt;20,"10-&lt;20",IF(E1996&lt;25,"20-&lt;25",IF(E1996&lt;35,"25-&lt;35","35+")))))</x:f>
        <x:v>10-&lt;20</x:v>
      </x:c>
    </x:row>
    <x:row r="1997">
      <x:c r="A1997" t="str">
        <x:v>SYN0001996</x:v>
      </x:c>
      <x:c r="B1997" s="12" t="n">
        <x:v>42235</x:v>
      </x:c>
      <x:c r="C1997" s="18" t="n">
        <x:v>16578</x:v>
      </x:c>
      <x:c r="D1997" s="18" t="n">
        <x:v>51691</x:v>
      </x:c>
      <x:c r="E1997" s="18" t="n">
        <x:v>14.64</x:v>
      </x:c>
      <x:c r="F1997" s="18" t="n">
        <x:v>10.67</x:v>
      </x:c>
      <x:c r="G1997" t="n">
        <x:v>36</x:v>
      </x:c>
      <x:c r="H1997" t="str">
        <x:v>B</x:v>
      </x:c>
      <x:c r="I1997" t="str">
        <x:v>4-6 years</x:v>
      </x:c>
      <x:c r="J1997" t="str">
        <x:v>RENT</x:v>
      </x:c>
      <x:c r="K1997" t="str">
        <x:v>major_purchase</x:v>
      </x:c>
      <x:c r="L1997" t="n">
        <x:v>0</x:v>
      </x:c>
      <x:c r="M1997" t="n">
        <x:v>0</x:v>
      </x:c>
      <x:c r="N1997" t="str">
        <x:v>Fully Paid</x:v>
      </x:c>
      <x:c r="O1997" t="str">
        <x:f>IF(D1997="","Unknown",IF(D1997&lt;25000,"&lt;$25k",IF(D1997&lt;50000,"$25k-$50k",IF(D1997&lt;75000,"$50k-$75k",IF(D1997&lt;100000,"$75k-$100k","$100k+")))))</x:f>
        <x:v>$50k-$75k</x:v>
      </x:c>
      <x:c r="P1997" t="str">
        <x:f>IF(E1997="","Unknown",IF(E1997&lt;10,"&lt;10",IF(E1997&lt;20,"10-&lt;20",IF(E1997&lt;25,"20-&lt;25",IF(E1997&lt;35,"25-&lt;35","35+")))))</x:f>
        <x:v>10-&lt;20</x:v>
      </x:c>
    </x:row>
    <x:row r="1998">
      <x:c r="A1998" t="str">
        <x:v>SYN0001997</x:v>
      </x:c>
      <x:c r="B1998" s="12" t="n">
        <x:v>42475</x:v>
      </x:c>
      <x:c r="C1998" s="18" t="n">
        <x:v>25888</x:v>
      </x:c>
      <x:c r="D1998" s="18" t="n">
        <x:v>41448</x:v>
      </x:c>
      <x:c r="E1998" s="18" t="n">
        <x:v>19</x:v>
      </x:c>
      <x:c r="F1998" s="18" t="n">
        <x:v>9.35</x:v>
      </x:c>
      <x:c r="G1998" t="n">
        <x:v>36</x:v>
      </x:c>
      <x:c r="H1998" t="str">
        <x:v>B</x:v>
      </x:c>
      <x:c r="I1998" t="str">
        <x:v>10+ years</x:v>
      </x:c>
      <x:c r="J1998" t="str">
        <x:v>MORTGAGE</x:v>
      </x:c>
      <x:c r="K1998" t="str">
        <x:v>debt_consolidation</x:v>
      </x:c>
      <x:c r="L1998" t="n">
        <x:v>0</x:v>
      </x:c>
      <x:c r="M1998" t="n">
        <x:v>0</x:v>
      </x:c>
      <x:c r="N1998" t="str">
        <x:v>Fully Paid</x:v>
      </x:c>
      <x:c r="O1998" t="str">
        <x:f>IF(D1998="","Unknown",IF(D1998&lt;25000,"&lt;$25k",IF(D1998&lt;50000,"$25k-$50k",IF(D1998&lt;75000,"$50k-$75k",IF(D1998&lt;100000,"$75k-$100k","$100k+")))))</x:f>
        <x:v>$25k-$50k</x:v>
      </x:c>
      <x:c r="P1998" t="str">
        <x:f>IF(E1998="","Unknown",IF(E1998&lt;10,"&lt;10",IF(E1998&lt;20,"10-&lt;20",IF(E1998&lt;25,"20-&lt;25",IF(E1998&lt;35,"25-&lt;35","35+")))))</x:f>
        <x:v>10-&lt;20</x:v>
      </x:c>
    </x:row>
    <x:row r="1999">
      <x:c r="A1999" t="str">
        <x:v>SYN0001998</x:v>
      </x:c>
      <x:c r="B1999" s="12" t="n">
        <x:v>41995</x:v>
      </x:c>
      <x:c r="C1999" s="18" t="n">
        <x:v>12026</x:v>
      </x:c>
      <x:c r="D1999" s="18" t="n">
        <x:v>34953</x:v>
      </x:c>
      <x:c r="E1999" s="18" t="n">
        <x:v>13.38</x:v>
      </x:c>
      <x:c r="F1999" s="18" t="n">
        <x:v>14.45</x:v>
      </x:c>
      <x:c r="G1999" t="n">
        <x:v>36</x:v>
      </x:c>
      <x:c r="H1999" t="str">
        <x:v>D</x:v>
      </x:c>
      <x:c r="I1999" t="str">
        <x:v>1-3 years</x:v>
      </x:c>
      <x:c r="J1999" t="str">
        <x:v>RENT</x:v>
      </x:c>
      <x:c r="K1999" t="str">
        <x:v>debt_consolidation</x:v>
      </x:c>
      <x:c r="L1999" t="n">
        <x:v>0</x:v>
      </x:c>
      <x:c r="M1999" t="n">
        <x:v>0</x:v>
      </x:c>
      <x:c r="N1999" t="str">
        <x:v>Fully Paid</x:v>
      </x:c>
      <x:c r="O1999" t="str">
        <x:f>IF(D1999="","Unknown",IF(D1999&lt;25000,"&lt;$25k",IF(D1999&lt;50000,"$25k-$50k",IF(D1999&lt;75000,"$50k-$75k",IF(D1999&lt;100000,"$75k-$100k","$100k+")))))</x:f>
        <x:v>$25k-$50k</x:v>
      </x:c>
      <x:c r="P1999" t="str">
        <x:f>IF(E1999="","Unknown",IF(E1999&lt;10,"&lt;10",IF(E1999&lt;20,"10-&lt;20",IF(E1999&lt;25,"20-&lt;25",IF(E1999&lt;35,"25-&lt;35","35+")))))</x:f>
        <x:v>10-&lt;20</x:v>
      </x:c>
    </x:row>
    <x:row r="2000">
      <x:c r="A2000" t="str">
        <x:v>SYN0001999</x:v>
      </x:c>
      <x:c r="B2000" s="12" t="n">
        <x:v>42655</x:v>
      </x:c>
      <x:c r="C2000" s="18" t="n">
        <x:v>8197</x:v>
      </x:c>
      <x:c r="D2000" s="18" t="n">
        <x:v>19221</x:v>
      </x:c>
      <x:c r="E2000" s="18" t="n">
        <x:v>26.32</x:v>
      </x:c>
      <x:c r="F2000" s="18" t="n">
        <x:v>28.29</x:v>
      </x:c>
      <x:c r="G2000" t="n">
        <x:v>36</x:v>
      </x:c>
      <x:c r="H2000" t="str">
        <x:v>G</x:v>
      </x:c>
      <x:c r="I2000" t="str">
        <x:v>10+ years</x:v>
      </x:c>
      <x:c r="J2000" t="str">
        <x:v>RENT</x:v>
      </x:c>
      <x:c r="K2000" t="str">
        <x:v>debt_consolidation</x:v>
      </x:c>
      <x:c r="L2000" t="n">
        <x:v>0</x:v>
      </x:c>
      <x:c r="M2000" t="n">
        <x:v>0</x:v>
      </x:c>
      <x:c r="N2000" t="str">
        <x:v>Fully Paid</x:v>
      </x:c>
      <x:c r="O2000" t="str">
        <x:f>IF(D2000="","Unknown",IF(D2000&lt;25000,"&lt;$25k",IF(D2000&lt;50000,"$25k-$50k",IF(D2000&lt;75000,"$50k-$75k",IF(D2000&lt;100000,"$75k-$100k","$100k+")))))</x:f>
        <x:v>&lt;$25k</x:v>
      </x:c>
      <x:c r="P2000" t="str">
        <x:f>IF(E2000="","Unknown",IF(E2000&lt;10,"&lt;10",IF(E2000&lt;20,"10-&lt;20",IF(E2000&lt;25,"20-&lt;25",IF(E2000&lt;35,"25-&lt;35","35+")))))</x:f>
        <x:v>25-&lt;35</x:v>
      </x:c>
    </x:row>
    <x:row r="2001">
      <x:c r="A2001" t="str">
        <x:v>SYN0002000</x:v>
      </x:c>
      <x:c r="B2001" s="12" t="n">
        <x:v>41755</x:v>
      </x:c>
      <x:c r="C2001" s="18" t="n">
        <x:v>15280</x:v>
      </x:c>
      <x:c r="D2001" s="18" t="n">
        <x:v>26612</x:v>
      </x:c>
      <x:c r="E2001" s="18" t="n">
        <x:v>19.87</x:v>
      </x:c>
      <x:c r="F2001" s="18" t="n">
        <x:v>8.5</x:v>
      </x:c>
      <x:c r="G2001" t="n">
        <x:v>60</x:v>
      </x:c>
      <x:c r="H2001" t="str">
        <x:v>A</x:v>
      </x:c>
      <x:c r="I2001" t="str">
        <x:v>7-9 years</x:v>
      </x:c>
      <x:c r="J2001" t="str">
        <x:v>MORTGAGE</x:v>
      </x:c>
      <x:c r="K2001" t="str">
        <x:v>other</x:v>
      </x:c>
      <x:c r="L2001" t="n">
        <x:v>0</x:v>
      </x:c>
      <x:c r="M2001" t="n">
        <x:v>0</x:v>
      </x:c>
      <x:c r="N2001" t="str">
        <x:v>Fully Paid</x:v>
      </x:c>
      <x:c r="O2001" t="str">
        <x:f>IF(D2001="","Unknown",IF(D2001&lt;25000,"&lt;$25k",IF(D2001&lt;50000,"$25k-$50k",IF(D2001&lt;75000,"$50k-$75k",IF(D2001&lt;100000,"$75k-$100k","$100k+")))))</x:f>
        <x:v>$25k-$50k</x:v>
      </x:c>
      <x:c r="P2001" t="str">
        <x:f>IF(E2001="","Unknown",IF(E2001&lt;10,"&lt;10",IF(E2001&lt;20,"10-&lt;20",IF(E2001&lt;25,"20-&lt;25",IF(E2001&lt;35,"25-&lt;35","35+")))))</x:f>
        <x:v>10-&lt;20</x:v>
      </x:c>
    </x:row>
    <x:row r="2002">
      <x:c r="A2002" t="str">
        <x:v>SYN0002001</x:v>
      </x:c>
      <x:c r="B2002" s="12" t="n">
        <x:v>42985</x:v>
      </x:c>
      <x:c r="C2002" s="18" t="n">
        <x:v>10039</x:v>
      </x:c>
      <x:c r="D2002" s="18" t="n">
        <x:v>28638</x:v>
      </x:c>
      <x:c r="E2002" s="18" t="n">
        <x:v>20.27</x:v>
      </x:c>
      <x:c r="F2002" s="18" t="n">
        <x:v>12.4</x:v>
      </x:c>
      <x:c r="G2002" t="n">
        <x:v>60</x:v>
      </x:c>
      <x:c r="H2002" t="str">
        <x:v>C</x:v>
      </x:c>
      <x:c r="I2002" t="str">
        <x:v>7-9 years</x:v>
      </x:c>
      <x:c r="J2002" t="str">
        <x:v>RENT</x:v>
      </x:c>
      <x:c r="K2002" t="str">
        <x:v>debt_consolidation</x:v>
      </x:c>
      <x:c r="L2002" t="n">
        <x:v>2</x:v>
      </x:c>
      <x:c r="M2002" t="n">
        <x:v>0</x:v>
      </x:c>
      <x:c r="N2002" t="str">
        <x:v>Fully Paid</x:v>
      </x:c>
      <x:c r="O2002" t="str">
        <x:f>IF(D2002="","Unknown",IF(D2002&lt;25000,"&lt;$25k",IF(D2002&lt;50000,"$25k-$50k",IF(D2002&lt;75000,"$50k-$75k",IF(D2002&lt;100000,"$75k-$100k","$100k+")))))</x:f>
        <x:v>$25k-$50k</x:v>
      </x:c>
      <x:c r="P2002" t="str">
        <x:f>IF(E2002="","Unknown",IF(E2002&lt;10,"&lt;10",IF(E2002&lt;20,"10-&lt;20",IF(E2002&lt;25,"20-&lt;25",IF(E2002&lt;35,"25-&lt;35","35+")))))</x:f>
        <x:v>20-&lt;25</x:v>
      </x:c>
    </x:row>
    <x:row r="2003">
      <x:c r="A2003" t="str">
        <x:v>SYN0002002</x:v>
      </x:c>
      <x:c r="B2003" s="12" t="n">
        <x:v>42025</x:v>
      </x:c>
      <x:c r="C2003" s="18" t="n">
        <x:v>40000</x:v>
      </x:c>
      <x:c r="D2003" s="18" t="n">
        <x:v>33502</x:v>
      </x:c>
      <x:c r="E2003" s="18" t="n">
        <x:v>36.17</x:v>
      </x:c>
      <x:c r="F2003" s="18" t="n">
        <x:v>6.71</x:v>
      </x:c>
      <x:c r="G2003" t="n">
        <x:v>36</x:v>
      </x:c>
      <x:c r="H2003" t="str">
        <x:v>A</x:v>
      </x:c>
      <x:c r="I2003" t="str">
        <x:v>7-9 years</x:v>
      </x:c>
      <x:c r="J2003" t="str">
        <x:v>RENT</x:v>
      </x:c>
      <x:c r="K2003" t="str">
        <x:v>debt_consolidation</x:v>
      </x:c>
      <x:c r="L2003" t="n">
        <x:v>0</x:v>
      </x:c>
      <x:c r="M2003" t="n">
        <x:v>0</x:v>
      </x:c>
      <x:c r="N2003" t="str">
        <x:v>Fully Paid</x:v>
      </x:c>
      <x:c r="O2003" t="str">
        <x:f>IF(D2003="","Unknown",IF(D2003&lt;25000,"&lt;$25k",IF(D2003&lt;50000,"$25k-$50k",IF(D2003&lt;75000,"$50k-$75k",IF(D2003&lt;100000,"$75k-$100k","$100k+")))))</x:f>
        <x:v>$25k-$50k</x:v>
      </x:c>
      <x:c r="P2003" t="str">
        <x:f>IF(E2003="","Unknown",IF(E2003&lt;10,"&lt;10",IF(E2003&lt;20,"10-&lt;20",IF(E2003&lt;25,"20-&lt;25",IF(E2003&lt;35,"25-&lt;35","35+")))))</x:f>
        <x:v>35+</x:v>
      </x:c>
    </x:row>
    <x:row r="2004">
      <x:c r="A2004" t="str">
        <x:v>SYN0002003</x:v>
      </x:c>
      <x:c r="B2004" s="12" t="n">
        <x:v>41845</x:v>
      </x:c>
      <x:c r="C2004" s="18" t="n">
        <x:v>21030</x:v>
      </x:c>
      <x:c r="D2004" s="18" t="n">
        <x:v>33462</x:v>
      </x:c>
      <x:c r="E2004" s="18" t="n">
        <x:v>15.87</x:v>
      </x:c>
      <x:c r="F2004" s="18" t="n">
        <x:v>12.99</x:v>
      </x:c>
      <x:c r="G2004" t="n">
        <x:v>36</x:v>
      </x:c>
      <x:c r="H2004" t="str">
        <x:v>C</x:v>
      </x:c>
      <x:c r="I2004" t="str">
        <x:v>4-6 years</x:v>
      </x:c>
      <x:c r="J2004" t="str">
        <x:v>RENT</x:v>
      </x:c>
      <x:c r="K2004" t="str">
        <x:v>credit_card</x:v>
      </x:c>
      <x:c r="L2004" t="n">
        <x:v>0</x:v>
      </x:c>
      <x:c r="M2004" t="n">
        <x:v>0</x:v>
      </x:c>
      <x:c r="N2004" t="str">
        <x:v>Fully Paid</x:v>
      </x:c>
      <x:c r="O2004" t="str">
        <x:f>IF(D2004="","Unknown",IF(D2004&lt;25000,"&lt;$25k",IF(D2004&lt;50000,"$25k-$50k",IF(D2004&lt;75000,"$50k-$75k",IF(D2004&lt;100000,"$75k-$100k","$100k+")))))</x:f>
        <x:v>$25k-$50k</x:v>
      </x:c>
      <x:c r="P2004" t="str">
        <x:f>IF(E2004="","Unknown",IF(E2004&lt;10,"&lt;10",IF(E2004&lt;20,"10-&lt;20",IF(E2004&lt;25,"20-&lt;25",IF(E2004&lt;35,"25-&lt;35","35+")))))</x:f>
        <x:v>10-&lt;20</x:v>
      </x:c>
    </x:row>
    <x:row r="2005">
      <x:c r="A2005" t="str">
        <x:v>SYN0002004</x:v>
      </x:c>
      <x:c r="B2005" s="12" t="n">
        <x:v>42745</x:v>
      </x:c>
      <x:c r="C2005" s="18" t="n">
        <x:v>8513</x:v>
      </x:c>
      <x:c r="D2005" s="18" t="n">
        <x:v>67185</x:v>
      </x:c>
      <x:c r="E2005" s="18" t="n">
        <x:v>16.11</x:v>
      </x:c>
      <x:c r="F2005" s="18" t="n">
        <x:v>12.65</x:v>
      </x:c>
      <x:c r="G2005" t="n">
        <x:v>36</x:v>
      </x:c>
      <x:c r="H2005" t="str">
        <x:v>C</x:v>
      </x:c>
      <x:c r="I2005" t="str">
        <x:v>4-6 years</x:v>
      </x:c>
      <x:c r="J2005" t="str">
        <x:v>MORTGAGE</x:v>
      </x:c>
      <x:c r="K2005" t="str">
        <x:v>debt_consolidation</x:v>
      </x:c>
      <x:c r="L2005" t="n">
        <x:v>0</x:v>
      </x:c>
      <x:c r="M2005" t="n">
        <x:v>0</x:v>
      </x:c>
      <x:c r="N2005" t="str">
        <x:v>Fully Paid</x:v>
      </x:c>
      <x:c r="O2005" t="str">
        <x:f>IF(D2005="","Unknown",IF(D2005&lt;25000,"&lt;$25k",IF(D2005&lt;50000,"$25k-$50k",IF(D2005&lt;75000,"$50k-$75k",IF(D2005&lt;100000,"$75k-$100k","$100k+")))))</x:f>
        <x:v>$50k-$75k</x:v>
      </x:c>
      <x:c r="P2005" t="str">
        <x:f>IF(E2005="","Unknown",IF(E2005&lt;10,"&lt;10",IF(E2005&lt;20,"10-&lt;20",IF(E2005&lt;25,"20-&lt;25",IF(E2005&lt;35,"25-&lt;35","35+")))))</x:f>
        <x:v>10-&lt;20</x:v>
      </x:c>
    </x:row>
    <x:row r="2006">
      <x:c r="A2006" t="str">
        <x:v>SYN0002005</x:v>
      </x:c>
      <x:c r="B2006" s="12" t="n">
        <x:v>42715</x:v>
      </x:c>
      <x:c r="C2006" s="18" t="n">
        <x:v>9719</x:v>
      </x:c>
      <x:c r="D2006" s="18" t="n">
        <x:v>54525</x:v>
      </x:c>
      <x:c r="E2006" s="18" t="n">
        <x:v>16.35</x:v>
      </x:c>
      <x:c r="F2006" s="18" t="n">
        <x:v>8.19</x:v>
      </x:c>
      <x:c r="G2006" t="n">
        <x:v>60</x:v>
      </x:c>
      <x:c r="H2006" t="str">
        <x:v>B</x:v>
      </x:c>
      <x:c r="I2006" t="str">
        <x:v>7-9 years</x:v>
      </x:c>
      <x:c r="J2006" t="str">
        <x:v>OWN</x:v>
      </x:c>
      <x:c r="K2006" t="str">
        <x:v>debt_consolidation</x:v>
      </x:c>
      <x:c r="L2006" t="n">
        <x:v>0</x:v>
      </x:c>
      <x:c r="M2006" t="n">
        <x:v>1</x:v>
      </x:c>
      <x:c r="N2006" t="str">
        <x:v>Charged Off</x:v>
      </x:c>
      <x:c r="O2006" t="str">
        <x:f>IF(D2006="","Unknown",IF(D2006&lt;25000,"&lt;$25k",IF(D2006&lt;50000,"$25k-$50k",IF(D2006&lt;75000,"$50k-$75k",IF(D2006&lt;100000,"$75k-$100k","$100k+")))))</x:f>
        <x:v>$50k-$75k</x:v>
      </x:c>
      <x:c r="P2006" t="str">
        <x:f>IF(E2006="","Unknown",IF(E2006&lt;10,"&lt;10",IF(E2006&lt;20,"10-&lt;20",IF(E2006&lt;25,"20-&lt;25",IF(E2006&lt;35,"25-&lt;35","35+")))))</x:f>
        <x:v>10-&lt;20</x:v>
      </x:c>
    </x:row>
    <x:row r="2007">
      <x:c r="A2007" t="str">
        <x:v>SYN0002006</x:v>
      </x:c>
      <x:c r="B2007" s="12" t="n">
        <x:v>41935</x:v>
      </x:c>
      <x:c r="C2007" s="18" t="n">
        <x:v>7305</x:v>
      </x:c>
      <x:c r="D2007" s="18" t="n">
        <x:v>26469</x:v>
      </x:c>
      <x:c r="E2007" s="18" t="n">
        <x:v>20.12</x:v>
      </x:c>
      <x:c r="F2007" s="18" t="n">
        <x:v>14.79</x:v>
      </x:c>
      <x:c r="G2007" t="n">
        <x:v>60</x:v>
      </x:c>
      <x:c r="H2007" t="str">
        <x:v>D</x:v>
      </x:c>
      <x:c r="I2007" t="str">
        <x:v>7-9 years</x:v>
      </x:c>
      <x:c r="J2007" t="str">
        <x:v>RENT</x:v>
      </x:c>
      <x:c r="K2007" t="str">
        <x:v>debt_consolidation</x:v>
      </x:c>
      <x:c r="L2007" t="n">
        <x:v>0</x:v>
      </x:c>
      <x:c r="M2007" t="n">
        <x:v>0</x:v>
      </x:c>
      <x:c r="N2007" t="str">
        <x:v>Fully Paid</x:v>
      </x:c>
      <x:c r="O2007" t="str">
        <x:f>IF(D2007="","Unknown",IF(D2007&lt;25000,"&lt;$25k",IF(D2007&lt;50000,"$25k-$50k",IF(D2007&lt;75000,"$50k-$75k",IF(D2007&lt;100000,"$75k-$100k","$100k+")))))</x:f>
        <x:v>$25k-$50k</x:v>
      </x:c>
      <x:c r="P2007" t="str">
        <x:f>IF(E2007="","Unknown",IF(E2007&lt;10,"&lt;10",IF(E2007&lt;20,"10-&lt;20",IF(E2007&lt;25,"20-&lt;25",IF(E2007&lt;35,"25-&lt;35","35+")))))</x:f>
        <x:v>20-&lt;25</x:v>
      </x:c>
    </x:row>
    <x:row r="2008">
      <x:c r="A2008" t="str">
        <x:v>SYN0002007</x:v>
      </x:c>
      <x:c r="B2008" s="12" t="n">
        <x:v>41545</x:v>
      </x:c>
      <x:c r="C2008" s="18" t="n">
        <x:v>11760</x:v>
      </x:c>
      <x:c r="D2008" s="18" t="n">
        <x:v>59460</x:v>
      </x:c>
      <x:c r="E2008" s="18" t="n">
        <x:v>28.17</x:v>
      </x:c>
      <x:c r="F2008" s="18" t="n">
        <x:v>23.45</x:v>
      </x:c>
      <x:c r="G2008" t="n">
        <x:v>60</x:v>
      </x:c>
      <x:c r="H2008" t="str">
        <x:v>F</x:v>
      </x:c>
      <x:c r="I2008" t="str">
        <x:v>10+ years</x:v>
      </x:c>
      <x:c r="J2008" t="str">
        <x:v>MORTGAGE</x:v>
      </x:c>
      <x:c r="K2008" t="str">
        <x:v>debt_consolidation</x:v>
      </x:c>
      <x:c r="L2008" t="n">
        <x:v>0</x:v>
      </x:c>
      <x:c r="M2008" t="n">
        <x:v>0</x:v>
      </x:c>
      <x:c r="N2008" t="str">
        <x:v>Fully Paid</x:v>
      </x:c>
      <x:c r="O2008" t="str">
        <x:f>IF(D2008="","Unknown",IF(D2008&lt;25000,"&lt;$25k",IF(D2008&lt;50000,"$25k-$50k",IF(D2008&lt;75000,"$50k-$75k",IF(D2008&lt;100000,"$75k-$100k","$100k+")))))</x:f>
        <x:v>$50k-$75k</x:v>
      </x:c>
      <x:c r="P2008" t="str">
        <x:f>IF(E2008="","Unknown",IF(E2008&lt;10,"&lt;10",IF(E2008&lt;20,"10-&lt;20",IF(E2008&lt;25,"20-&lt;25",IF(E2008&lt;35,"25-&lt;35","35+")))))</x:f>
        <x:v>25-&lt;35</x:v>
      </x:c>
    </x:row>
    <x:row r="2009">
      <x:c r="A2009" t="str">
        <x:v>SYN0002008</x:v>
      </x:c>
      <x:c r="B2009" s="12" t="n">
        <x:v>41665</x:v>
      </x:c>
      <x:c r="C2009" s="18" t="n">
        <x:v>6033</x:v>
      </x:c>
      <x:c r="D2009" s="18" t="n">
        <x:v>148058</x:v>
      </x:c>
      <x:c r="E2009" s="18" t="n">
        <x:v>16.76</x:v>
      </x:c>
      <x:c r="F2009" s="18" t="n">
        <x:v>5</x:v>
      </x:c>
      <x:c r="G2009" t="n">
        <x:v>60</x:v>
      </x:c>
      <x:c r="H2009" t="str">
        <x:v>A</x:v>
      </x:c>
      <x:c r="I2009" t="str">
        <x:v>10+ years</x:v>
      </x:c>
      <x:c r="J2009" t="str">
        <x:v>MORTGAGE</x:v>
      </x:c>
      <x:c r="K2009" t="str">
        <x:v>credit_card</x:v>
      </x:c>
      <x:c r="L2009" t="n">
        <x:v>3</x:v>
      </x:c>
      <x:c r="M2009" t="n">
        <x:v>0</x:v>
      </x:c>
      <x:c r="N2009" t="str">
        <x:v>Fully Paid</x:v>
      </x:c>
      <x:c r="O2009" t="str">
        <x:f>IF(D2009="","Unknown",IF(D2009&lt;25000,"&lt;$25k",IF(D2009&lt;50000,"$25k-$50k",IF(D2009&lt;75000,"$50k-$75k",IF(D2009&lt;100000,"$75k-$100k","$100k+")))))</x:f>
        <x:v>$100k+</x:v>
      </x:c>
      <x:c r="P2009" t="str">
        <x:f>IF(E2009="","Unknown",IF(E2009&lt;10,"&lt;10",IF(E2009&lt;20,"10-&lt;20",IF(E2009&lt;25,"20-&lt;25",IF(E2009&lt;35,"25-&lt;35","35+")))))</x:f>
        <x:v>10-&lt;20</x:v>
      </x:c>
    </x:row>
    <x:row r="2010">
      <x:c r="A2010" t="str">
        <x:v>SYN0002009</x:v>
      </x:c>
      <x:c r="B2010" s="12" t="n">
        <x:v>41635</x:v>
      </x:c>
      <x:c r="C2010" s="18" t="n">
        <x:v>22942</x:v>
      </x:c>
      <x:c r="D2010" s="18" t="n">
        <x:v>29367</x:v>
      </x:c>
      <x:c r="E2010" s="18" t="n">
        <x:v>21.36</x:v>
      </x:c>
      <x:c r="F2010" s="18" t="n">
        <x:v>8.68</x:v>
      </x:c>
      <x:c r="G2010" t="n">
        <x:v>36</x:v>
      </x:c>
      <x:c r="H2010" t="str">
        <x:v>B</x:v>
      </x:c>
      <x:c r="I2010" t="str">
        <x:v>1-3 years</x:v>
      </x:c>
      <x:c r="J2010" t="str">
        <x:v>MORTGAGE</x:v>
      </x:c>
      <x:c r="K2010" t="str">
        <x:v>home_improvement</x:v>
      </x:c>
      <x:c r="L2010" t="n">
        <x:v>0</x:v>
      </x:c>
      <x:c r="M2010" t="n">
        <x:v>0</x:v>
      </x:c>
      <x:c r="N2010" t="str">
        <x:v>Fully Paid</x:v>
      </x:c>
      <x:c r="O2010" t="str">
        <x:f>IF(D2010="","Unknown",IF(D2010&lt;25000,"&lt;$25k",IF(D2010&lt;50000,"$25k-$50k",IF(D2010&lt;75000,"$50k-$75k",IF(D2010&lt;100000,"$75k-$100k","$100k+")))))</x:f>
        <x:v>$25k-$50k</x:v>
      </x:c>
      <x:c r="P2010" t="str">
        <x:f>IF(E2010="","Unknown",IF(E2010&lt;10,"&lt;10",IF(E2010&lt;20,"10-&lt;20",IF(E2010&lt;25,"20-&lt;25",IF(E2010&lt;35,"25-&lt;35","35+")))))</x:f>
        <x:v>20-&lt;25</x:v>
      </x:c>
    </x:row>
    <x:row r="2011">
      <x:c r="A2011" t="str">
        <x:v>SYN0002010</x:v>
      </x:c>
      <x:c r="B2011" s="12" t="n">
        <x:v>43045</x:v>
      </x:c>
      <x:c r="C2011" s="18" t="n">
        <x:v>15894</x:v>
      </x:c>
      <x:c r="D2011" s="18" t="n">
        <x:v>15955</x:v>
      </x:c>
      <x:c r="E2011" s="18" t="n">
        <x:v>21.82</x:v>
      </x:c>
      <x:c r="F2011" s="18" t="n">
        <x:v>12.18</x:v>
      </x:c>
      <x:c r="G2011" t="n">
        <x:v>36</x:v>
      </x:c>
      <x:c r="H2011" t="str">
        <x:v>C</x:v>
      </x:c>
      <x:c r="I2011" t="str">
        <x:v>10+ years</x:v>
      </x:c>
      <x:c r="J2011" t="str">
        <x:v>RENT</x:v>
      </x:c>
      <x:c r="K2011" t="str">
        <x:v>debt_consolidation</x:v>
      </x:c>
      <x:c r="L2011" t="n">
        <x:v>0</x:v>
      </x:c>
      <x:c r="M2011" t="n">
        <x:v>0</x:v>
      </x:c>
      <x:c r="N2011" t="str">
        <x:v>Fully Paid</x:v>
      </x:c>
      <x:c r="O2011" t="str">
        <x:f>IF(D2011="","Unknown",IF(D2011&lt;25000,"&lt;$25k",IF(D2011&lt;50000,"$25k-$50k",IF(D2011&lt;75000,"$50k-$75k",IF(D2011&lt;100000,"$75k-$100k","$100k+")))))</x:f>
        <x:v>&lt;$25k</x:v>
      </x:c>
      <x:c r="P2011" t="str">
        <x:f>IF(E2011="","Unknown",IF(E2011&lt;10,"&lt;10",IF(E2011&lt;20,"10-&lt;20",IF(E2011&lt;25,"20-&lt;25",IF(E2011&lt;35,"25-&lt;35","35+")))))</x:f>
        <x:v>20-&lt;25</x:v>
      </x:c>
    </x:row>
    <x:row r="2012">
      <x:c r="A2012" t="str">
        <x:v>SYN0002011</x:v>
      </x:c>
      <x:c r="B2012" s="12" t="n">
        <x:v>42565</x:v>
      </x:c>
      <x:c r="C2012" s="18" t="n">
        <x:v>10305</x:v>
      </x:c>
      <x:c r="D2012" s="18" t="n">
        <x:v>52399</x:v>
      </x:c>
      <x:c r="E2012" s="18" t="n">
        <x:v>25.38</x:v>
      </x:c>
      <x:c r="F2012" s="18" t="n">
        <x:v>7.41</x:v>
      </x:c>
      <x:c r="G2012" t="n">
        <x:v>36</x:v>
      </x:c>
      <x:c r="H2012" t="str">
        <x:v>B</x:v>
      </x:c>
      <x:c r="I2012" t="str">
        <x:v>4-6 years</x:v>
      </x:c>
      <x:c r="J2012" t="str">
        <x:v>OWN</x:v>
      </x:c>
      <x:c r="K2012" t="str">
        <x:v>debt_consolidation</x:v>
      </x:c>
      <x:c r="L2012" t="n">
        <x:v>0</x:v>
      </x:c>
      <x:c r="M2012" t="n">
        <x:v>0</x:v>
      </x:c>
      <x:c r="N2012" t="str">
        <x:v>Fully Paid</x:v>
      </x:c>
      <x:c r="O2012" t="str">
        <x:f>IF(D2012="","Unknown",IF(D2012&lt;25000,"&lt;$25k",IF(D2012&lt;50000,"$25k-$50k",IF(D2012&lt;75000,"$50k-$75k",IF(D2012&lt;100000,"$75k-$100k","$100k+")))))</x:f>
        <x:v>$50k-$75k</x:v>
      </x:c>
      <x:c r="P2012" t="str">
        <x:f>IF(E2012="","Unknown",IF(E2012&lt;10,"&lt;10",IF(E2012&lt;20,"10-&lt;20",IF(E2012&lt;25,"20-&lt;25",IF(E2012&lt;35,"25-&lt;35","35+")))))</x:f>
        <x:v>25-&lt;35</x:v>
      </x:c>
    </x:row>
    <x:row r="2013">
      <x:c r="A2013" t="str">
        <x:v>SYN0002012</x:v>
      </x:c>
      <x:c r="B2013" s="12" t="n">
        <x:v>41695</x:v>
      </x:c>
      <x:c r="C2013" s="18" t="n">
        <x:v>8676</x:v>
      </x:c>
      <x:c r="D2013" s="18" t="n">
        <x:v>36285</x:v>
      </x:c>
      <x:c r="E2013" s="18" t="n">
        <x:v>13.03</x:v>
      </x:c>
      <x:c r="F2013" s="18" t="n">
        <x:v>6.57</x:v>
      </x:c>
      <x:c r="G2013" t="n">
        <x:v>60</x:v>
      </x:c>
      <x:c r="H2013" t="str">
        <x:v>A</x:v>
      </x:c>
      <x:c r="I2013" t="str">
        <x:v>1-3 years</x:v>
      </x:c>
      <x:c r="J2013" t="str">
        <x:v>MORTGAGE</x:v>
      </x:c>
      <x:c r="K2013" t="str">
        <x:v>home_improvement</x:v>
      </x:c>
      <x:c r="L2013" t="n">
        <x:v>0</x:v>
      </x:c>
      <x:c r="M2013" t="n">
        <x:v>0</x:v>
      </x:c>
      <x:c r="N2013" t="str">
        <x:v>Fully Paid</x:v>
      </x:c>
      <x:c r="O2013" t="str">
        <x:f>IF(D2013="","Unknown",IF(D2013&lt;25000,"&lt;$25k",IF(D2013&lt;50000,"$25k-$50k",IF(D2013&lt;75000,"$50k-$75k",IF(D2013&lt;100000,"$75k-$100k","$100k+")))))</x:f>
        <x:v>$25k-$50k</x:v>
      </x:c>
      <x:c r="P2013" t="str">
        <x:f>IF(E2013="","Unknown",IF(E2013&lt;10,"&lt;10",IF(E2013&lt;20,"10-&lt;20",IF(E2013&lt;25,"20-&lt;25",IF(E2013&lt;35,"25-&lt;35","35+")))))</x:f>
        <x:v>10-&lt;20</x:v>
      </x:c>
    </x:row>
    <x:row r="2014">
      <x:c r="A2014" t="str">
        <x:v>SYN0002013</x:v>
      </x:c>
      <x:c r="B2014" s="12" t="n">
        <x:v>42775</x:v>
      </x:c>
      <x:c r="C2014" s="18" t="n">
        <x:v>20221</x:v>
      </x:c>
      <x:c r="D2014" s="18" t="n">
        <x:v>222948</x:v>
      </x:c>
      <x:c r="E2014" s="18" t="n">
        <x:v>19.3</x:v>
      </x:c>
      <x:c r="F2014" s="18" t="n">
        <x:v>17.49</x:v>
      </x:c>
      <x:c r="G2014" t="n">
        <x:v>60</x:v>
      </x:c>
      <x:c r="H2014" t="str">
        <x:v>E</x:v>
      </x:c>
      <x:c r="I2014" t="str">
        <x:v>4-6 years</x:v>
      </x:c>
      <x:c r="J2014" t="str">
        <x:v>OWN</x:v>
      </x:c>
      <x:c r="K2014" t="str">
        <x:v>debt_consolidation</x:v>
      </x:c>
      <x:c r="L2014" t="n">
        <x:v>0</x:v>
      </x:c>
      <x:c r="M2014" t="n">
        <x:v>0</x:v>
      </x:c>
      <x:c r="N2014" t="str">
        <x:v>Fully Paid</x:v>
      </x:c>
      <x:c r="O2014" t="str">
        <x:f>IF(D2014="","Unknown",IF(D2014&lt;25000,"&lt;$25k",IF(D2014&lt;50000,"$25k-$50k",IF(D2014&lt;75000,"$50k-$75k",IF(D2014&lt;100000,"$75k-$100k","$100k+")))))</x:f>
        <x:v>$100k+</x:v>
      </x:c>
      <x:c r="P2014" t="str">
        <x:f>IF(E2014="","Unknown",IF(E2014&lt;10,"&lt;10",IF(E2014&lt;20,"10-&lt;20",IF(E2014&lt;25,"20-&lt;25",IF(E2014&lt;35,"25-&lt;35","35+")))))</x:f>
        <x:v>10-&lt;20</x:v>
      </x:c>
    </x:row>
    <x:row r="2015">
      <x:c r="A2015" t="str">
        <x:v>SYN0002014</x:v>
      </x:c>
      <x:c r="B2015" s="12" t="n">
        <x:v>41965</x:v>
      </x:c>
      <x:c r="C2015" s="18" t="n">
        <x:v>7889</x:v>
      </x:c>
      <x:c r="D2015" s="18" t="n">
        <x:v>87645</x:v>
      </x:c>
      <x:c r="E2015" s="18" t="n">
        <x:v>0</x:v>
      </x:c>
      <x:c r="F2015" s="18" t="n">
        <x:v>5</x:v>
      </x:c>
      <x:c r="G2015" t="n">
        <x:v>36</x:v>
      </x:c>
      <x:c r="H2015" t="str">
        <x:v>A</x:v>
      </x:c>
      <x:c r="I2015" t="str">
        <x:v>1-3 years</x:v>
      </x:c>
      <x:c r="J2015" t="str">
        <x:v>RENT</x:v>
      </x:c>
      <x:c r="K2015" t="str">
        <x:v>credit_card</x:v>
      </x:c>
      <x:c r="L2015" t="n">
        <x:v>1</x:v>
      </x:c>
      <x:c r="M2015" t="n">
        <x:v>0</x:v>
      </x:c>
      <x:c r="N2015" t="str">
        <x:v>Fully Paid</x:v>
      </x:c>
      <x:c r="O2015" t="str">
        <x:f>IF(D2015="","Unknown",IF(D2015&lt;25000,"&lt;$25k",IF(D2015&lt;50000,"$25k-$50k",IF(D2015&lt;75000,"$50k-$75k",IF(D2015&lt;100000,"$75k-$100k","$100k+")))))</x:f>
        <x:v>$75k-$100k</x:v>
      </x:c>
      <x:c r="P2015" t="str">
        <x:f>IF(E2015="","Unknown",IF(E2015&lt;10,"&lt;10",IF(E2015&lt;20,"10-&lt;20",IF(E2015&lt;25,"20-&lt;25",IF(E2015&lt;35,"25-&lt;35","35+")))))</x:f>
        <x:v>Unknown</x:v>
      </x:c>
    </x:row>
    <x:row r="2016">
      <x:c r="A2016" t="str">
        <x:v>SYN0002015</x:v>
      </x:c>
      <x:c r="B2016" s="12" t="n">
        <x:v>42565</x:v>
      </x:c>
      <x:c r="C2016" s="18" t="n">
        <x:v>30886</x:v>
      </x:c>
      <x:c r="D2016" s="18" t="n">
        <x:v>41620</x:v>
      </x:c>
      <x:c r="E2016" s="18" t="n">
        <x:v>17.97</x:v>
      </x:c>
      <x:c r="F2016" s="18" t="n">
        <x:v>16.45</x:v>
      </x:c>
      <x:c r="G2016" t="n">
        <x:v>36</x:v>
      </x:c>
      <x:c r="H2016" t="str">
        <x:v>E</x:v>
      </x:c>
      <x:c r="I2016" t="str">
        <x:v>7-9 years</x:v>
      </x:c>
      <x:c r="J2016" t="str">
        <x:v>MORTGAGE</x:v>
      </x:c>
      <x:c r="K2016" t="str">
        <x:v>home_improvement</x:v>
      </x:c>
      <x:c r="L2016" t="n">
        <x:v>0</x:v>
      </x:c>
      <x:c r="M2016" t="n">
        <x:v>0</x:v>
      </x:c>
      <x:c r="N2016" t="str">
        <x:v>Fully Paid</x:v>
      </x:c>
      <x:c r="O2016" t="str">
        <x:f>IF(D2016="","Unknown",IF(D2016&lt;25000,"&lt;$25k",IF(D2016&lt;50000,"$25k-$50k",IF(D2016&lt;75000,"$50k-$75k",IF(D2016&lt;100000,"$75k-$100k","$100k+")))))</x:f>
        <x:v>$25k-$50k</x:v>
      </x:c>
      <x:c r="P2016" t="str">
        <x:f>IF(E2016="","Unknown",IF(E2016&lt;10,"&lt;10",IF(E2016&lt;20,"10-&lt;20",IF(E2016&lt;25,"20-&lt;25",IF(E2016&lt;35,"25-&lt;35","35+")))))</x:f>
        <x:v>10-&lt;20</x:v>
      </x:c>
    </x:row>
    <x:row r="2017">
      <x:c r="A2017" t="str">
        <x:v>SYN0002016</x:v>
      </x:c>
      <x:c r="B2017" s="12" t="n">
        <x:v>42115</x:v>
      </x:c>
      <x:c r="C2017" s="18" t="n">
        <x:v>26031</x:v>
      </x:c>
      <x:c r="D2017" s="18" t="n">
        <x:v>60931</x:v>
      </x:c>
      <x:c r="E2017" s="18" t="n">
        <x:v>0</x:v>
      </x:c>
      <x:c r="F2017" s="18" t="n">
        <x:v>13.16</x:v>
      </x:c>
      <x:c r="G2017" t="n">
        <x:v>36</x:v>
      </x:c>
      <x:c r="H2017" t="str">
        <x:v>C</x:v>
      </x:c>
      <x:c r="I2017" t="str">
        <x:v>10+ years</x:v>
      </x:c>
      <x:c r="J2017" t="str">
        <x:v>RENT</x:v>
      </x:c>
      <x:c r="K2017" t="str">
        <x:v>other</x:v>
      </x:c>
      <x:c r="L2017" t="n">
        <x:v>1</x:v>
      </x:c>
      <x:c r="M2017" t="n">
        <x:v>0</x:v>
      </x:c>
      <x:c r="N2017" t="str">
        <x:v>Fully Paid</x:v>
      </x:c>
      <x:c r="O2017" t="str">
        <x:f>IF(D2017="","Unknown",IF(D2017&lt;25000,"&lt;$25k",IF(D2017&lt;50000,"$25k-$50k",IF(D2017&lt;75000,"$50k-$75k",IF(D2017&lt;100000,"$75k-$100k","$100k+")))))</x:f>
        <x:v>$50k-$75k</x:v>
      </x:c>
      <x:c r="P2017" t="str">
        <x:f>IF(E2017="","Unknown",IF(E2017&lt;10,"&lt;10",IF(E2017&lt;20,"10-&lt;20",IF(E2017&lt;25,"20-&lt;25",IF(E2017&lt;35,"25-&lt;35","35+")))))</x:f>
        <x:v>Unknown</x:v>
      </x:c>
    </x:row>
    <x:row r="2018">
      <x:c r="A2018" t="str">
        <x:v>SYN0002017</x:v>
      </x:c>
      <x:c r="B2018" s="12" t="n">
        <x:v>42655</x:v>
      </x:c>
      <x:c r="C2018" s="18" t="n">
        <x:v>18942</x:v>
      </x:c>
      <x:c r="D2018" s="18" t="n">
        <x:v>34183</x:v>
      </x:c>
      <x:c r="E2018" s="18" t="n">
        <x:v>14.5</x:v>
      </x:c>
      <x:c r="F2018" s="18" t="n">
        <x:v>17</x:v>
      </x:c>
      <x:c r="G2018" t="n">
        <x:v>60</x:v>
      </x:c>
      <x:c r="H2018" t="str">
        <x:v>E</x:v>
      </x:c>
      <x:c r="I2018" t="str">
        <x:v>10+ years</x:v>
      </x:c>
      <x:c r="J2018" t="str">
        <x:v>MORTGAGE</x:v>
      </x:c>
      <x:c r="K2018" t="str">
        <x:v>credit_card</x:v>
      </x:c>
      <x:c r="L2018" t="n">
        <x:v>1</x:v>
      </x:c>
      <x:c r="M2018" t="n">
        <x:v>0</x:v>
      </x:c>
      <x:c r="N2018" t="str">
        <x:v>Fully Paid</x:v>
      </x:c>
      <x:c r="O2018" t="str">
        <x:f>IF(D2018="","Unknown",IF(D2018&lt;25000,"&lt;$25k",IF(D2018&lt;50000,"$25k-$50k",IF(D2018&lt;75000,"$50k-$75k",IF(D2018&lt;100000,"$75k-$100k","$100k+")))))</x:f>
        <x:v>$25k-$50k</x:v>
      </x:c>
      <x:c r="P2018" t="str">
        <x:f>IF(E2018="","Unknown",IF(E2018&lt;10,"&lt;10",IF(E2018&lt;20,"10-&lt;20",IF(E2018&lt;25,"20-&lt;25",IF(E2018&lt;35,"25-&lt;35","35+")))))</x:f>
        <x:v>10-&lt;20</x:v>
      </x:c>
    </x:row>
    <x:row r="2019">
      <x:c r="A2019" t="str">
        <x:v>SYN0002018</x:v>
      </x:c>
      <x:c r="B2019" s="12" t="n">
        <x:v>43405</x:v>
      </x:c>
      <x:c r="C2019" s="18" t="n">
        <x:v>10695</x:v>
      </x:c>
      <x:c r="D2019" s="18" t="n">
        <x:v>78737</x:v>
      </x:c>
      <x:c r="E2019" s="18" t="n">
        <x:v>20.76</x:v>
      </x:c>
      <x:c r="F2019" s="18" t="n">
        <x:v>7.16</x:v>
      </x:c>
      <x:c r="G2019" t="n">
        <x:v>36</x:v>
      </x:c>
      <x:c r="H2019" t="str">
        <x:v>A</x:v>
      </x:c>
      <x:c r="I2019" t="str">
        <x:v>4-6 years</x:v>
      </x:c>
      <x:c r="J2019" t="str">
        <x:v>OWN</x:v>
      </x:c>
      <x:c r="K2019" t="str">
        <x:v>credit_card</x:v>
      </x:c>
      <x:c r="L2019" t="n">
        <x:v>1</x:v>
      </x:c>
      <x:c r="M2019" t="n">
        <x:v>0</x:v>
      </x:c>
      <x:c r="N2019" t="str">
        <x:v>Fully Paid</x:v>
      </x:c>
      <x:c r="O2019" t="str">
        <x:f>IF(D2019="","Unknown",IF(D2019&lt;25000,"&lt;$25k",IF(D2019&lt;50000,"$25k-$50k",IF(D2019&lt;75000,"$50k-$75k",IF(D2019&lt;100000,"$75k-$100k","$100k+")))))</x:f>
        <x:v>$75k-$100k</x:v>
      </x:c>
      <x:c r="P2019" t="str">
        <x:f>IF(E2019="","Unknown",IF(E2019&lt;10,"&lt;10",IF(E2019&lt;20,"10-&lt;20",IF(E2019&lt;25,"20-&lt;25",IF(E2019&lt;35,"25-&lt;35","35+")))))</x:f>
        <x:v>20-&lt;25</x:v>
      </x:c>
    </x:row>
    <x:row r="2020">
      <x:c r="A2020" t="str">
        <x:v>SYN0002019</x:v>
      </x:c>
      <x:c r="B2020" s="12" t="n">
        <x:v>42985</x:v>
      </x:c>
      <x:c r="C2020" s="18" t="n">
        <x:v>23147</x:v>
      </x:c>
      <x:c r="D2020" s="18" t="n">
        <x:v>102326</x:v>
      </x:c>
      <x:c r="E2020" s="18" t="n">
        <x:v>33.51</x:v>
      </x:c>
      <x:c r="F2020" s="18" t="n">
        <x:v>15.42</x:v>
      </x:c>
      <x:c r="G2020" t="n">
        <x:v>60</x:v>
      </x:c>
      <x:c r="H2020" t="str">
        <x:v>E</x:v>
      </x:c>
      <x:c r="I2020" t="str">
        <x:v>4-6 years</x:v>
      </x:c>
      <x:c r="J2020" t="str">
        <x:v>MORTGAGE</x:v>
      </x:c>
      <x:c r="K2020" t="str">
        <x:v>debt_consolidation</x:v>
      </x:c>
      <x:c r="L2020" t="n">
        <x:v>2</x:v>
      </x:c>
      <x:c r="M2020" t="n">
        <x:v>0</x:v>
      </x:c>
      <x:c r="N2020" t="str">
        <x:v>Fully Paid</x:v>
      </x:c>
      <x:c r="O2020" t="str">
        <x:f>IF(D2020="","Unknown",IF(D2020&lt;25000,"&lt;$25k",IF(D2020&lt;50000,"$25k-$50k",IF(D2020&lt;75000,"$50k-$75k",IF(D2020&lt;100000,"$75k-$100k","$100k+")))))</x:f>
        <x:v>$100k+</x:v>
      </x:c>
      <x:c r="P2020" t="str">
        <x:f>IF(E2020="","Unknown",IF(E2020&lt;10,"&lt;10",IF(E2020&lt;20,"10-&lt;20",IF(E2020&lt;25,"20-&lt;25",IF(E2020&lt;35,"25-&lt;35","35+")))))</x:f>
        <x:v>25-&lt;35</x:v>
      </x:c>
    </x:row>
    <x:row r="2021">
      <x:c r="A2021" t="str">
        <x:v>SYN0002020</x:v>
      </x:c>
      <x:c r="B2021" s="12" t="n">
        <x:v>42505</x:v>
      </x:c>
      <x:c r="C2021" s="18" t="n">
        <x:v>9092</x:v>
      </x:c>
      <x:c r="D2021" s="18" t="n">
        <x:v>151581</x:v>
      </x:c>
      <x:c r="E2021" s="18" t="n">
        <x:v>12.7</x:v>
      </x:c>
      <x:c r="F2021" s="18" t="n">
        <x:v>11.82</x:v>
      </x:c>
      <x:c r="G2021" t="n">
        <x:v>60</x:v>
      </x:c>
      <x:c r="H2021" t="str">
        <x:v>C</x:v>
      </x:c>
      <x:c r="I2021" t="str">
        <x:v>7-9 years</x:v>
      </x:c>
      <x:c r="J2021" t="str">
        <x:v>RENT</x:v>
      </x:c>
      <x:c r="K2021" t="str">
        <x:v>credit_card</x:v>
      </x:c>
      <x:c r="L2021" t="n">
        <x:v>3</x:v>
      </x:c>
      <x:c r="M2021" t="n">
        <x:v>0</x:v>
      </x:c>
      <x:c r="N2021" t="str">
        <x:v>Fully Paid</x:v>
      </x:c>
      <x:c r="O2021" t="str">
        <x:f>IF(D2021="","Unknown",IF(D2021&lt;25000,"&lt;$25k",IF(D2021&lt;50000,"$25k-$50k",IF(D2021&lt;75000,"$50k-$75k",IF(D2021&lt;100000,"$75k-$100k","$100k+")))))</x:f>
        <x:v>$100k+</x:v>
      </x:c>
      <x:c r="P2021" t="str">
        <x:f>IF(E2021="","Unknown",IF(E2021&lt;10,"&lt;10",IF(E2021&lt;20,"10-&lt;20",IF(E2021&lt;25,"20-&lt;25",IF(E2021&lt;35,"25-&lt;35","35+")))))</x:f>
        <x:v>10-&lt;20</x:v>
      </x:c>
    </x:row>
    <x:row r="2022">
      <x:c r="A2022" t="str">
        <x:v>SYN0002021</x:v>
      </x:c>
      <x:c r="B2022" s="12" t="n">
        <x:v>42865</x:v>
      </x:c>
      <x:c r="C2022" s="18" t="n">
        <x:v>21848</x:v>
      </x:c>
      <x:c r="D2022" s="18" t="n">
        <x:v>37160</x:v>
      </x:c>
      <x:c r="E2022" s="18" t="n">
        <x:v>16.47</x:v>
      </x:c>
      <x:c r="F2022" s="18" t="n">
        <x:v>6.55</x:v>
      </x:c>
      <x:c r="G2022" t="n">
        <x:v>60</x:v>
      </x:c>
      <x:c r="H2022" t="str">
        <x:v>A</x:v>
      </x:c>
      <x:c r="I2022" t="str">
        <x:v>4-6 years</x:v>
      </x:c>
      <x:c r="J2022" t="str">
        <x:v>MORTGAGE</x:v>
      </x:c>
      <x:c r="K2022" t="str">
        <x:v>credit_card</x:v>
      </x:c>
      <x:c r="L2022" t="n">
        <x:v>0</x:v>
      </x:c>
      <x:c r="M2022" t="n">
        <x:v>0</x:v>
      </x:c>
      <x:c r="N2022" t="str">
        <x:v>Fully Paid</x:v>
      </x:c>
      <x:c r="O2022" t="str">
        <x:f>IF(D2022="","Unknown",IF(D2022&lt;25000,"&lt;$25k",IF(D2022&lt;50000,"$25k-$50k",IF(D2022&lt;75000,"$50k-$75k",IF(D2022&lt;100000,"$75k-$100k","$100k+")))))</x:f>
        <x:v>$25k-$50k</x:v>
      </x:c>
      <x:c r="P2022" t="str">
        <x:f>IF(E2022="","Unknown",IF(E2022&lt;10,"&lt;10",IF(E2022&lt;20,"10-&lt;20",IF(E2022&lt;25,"20-&lt;25",IF(E2022&lt;35,"25-&lt;35","35+")))))</x:f>
        <x:v>10-&lt;20</x:v>
      </x:c>
    </x:row>
    <x:row r="2023">
      <x:c r="A2023" t="str">
        <x:v>SYN0002022</x:v>
      </x:c>
      <x:c r="B2023" s="12" t="n">
        <x:v>42805</x:v>
      </x:c>
      <x:c r="C2023" s="18" t="n">
        <x:v>16606</x:v>
      </x:c>
      <x:c r="D2023" s="18" t="n">
        <x:v>66341</x:v>
      </x:c>
      <x:c r="E2023" s="18" t="n">
        <x:v>11.13</x:v>
      </x:c>
      <x:c r="F2023" s="18" t="n">
        <x:v>12.29</x:v>
      </x:c>
      <x:c r="G2023" t="n">
        <x:v>36</x:v>
      </x:c>
      <x:c r="H2023" t="str">
        <x:v>D</x:v>
      </x:c>
      <x:c r="I2023" t="str">
        <x:v>1-3 years</x:v>
      </x:c>
      <x:c r="J2023" t="str">
        <x:v>MORTGAGE</x:v>
      </x:c>
      <x:c r="K2023" t="str">
        <x:v>credit_card</x:v>
      </x:c>
      <x:c r="L2023" t="n">
        <x:v>1</x:v>
      </x:c>
      <x:c r="M2023" t="n">
        <x:v>0</x:v>
      </x:c>
      <x:c r="N2023" t="str">
        <x:v>Fully Paid</x:v>
      </x:c>
      <x:c r="O2023" t="str">
        <x:f>IF(D2023="","Unknown",IF(D2023&lt;25000,"&lt;$25k",IF(D2023&lt;50000,"$25k-$50k",IF(D2023&lt;75000,"$50k-$75k",IF(D2023&lt;100000,"$75k-$100k","$100k+")))))</x:f>
        <x:v>$50k-$75k</x:v>
      </x:c>
      <x:c r="P2023" t="str">
        <x:f>IF(E2023="","Unknown",IF(E2023&lt;10,"&lt;10",IF(E2023&lt;20,"10-&lt;20",IF(E2023&lt;25,"20-&lt;25",IF(E2023&lt;35,"25-&lt;35","35+")))))</x:f>
        <x:v>10-&lt;20</x:v>
      </x:c>
    </x:row>
    <x:row r="2024">
      <x:c r="A2024" t="str">
        <x:v>SYN0002023</x:v>
      </x:c>
      <x:c r="B2024" s="12" t="n">
        <x:v>41815</x:v>
      </x:c>
      <x:c r="C2024" s="18" t="n">
        <x:v>12761</x:v>
      </x:c>
      <x:c r="D2024" s="18" t="n">
        <x:v>76541</x:v>
      </x:c>
      <x:c r="E2024" s="18" t="n">
        <x:v>19.65</x:v>
      </x:c>
      <x:c r="F2024" s="18" t="n">
        <x:v>10.01</x:v>
      </x:c>
      <x:c r="G2024" t="n">
        <x:v>36</x:v>
      </x:c>
      <x:c r="H2024" t="str">
        <x:v>C</x:v>
      </x:c>
      <x:c r="I2024" t="str">
        <x:v>7-9 years</x:v>
      </x:c>
      <x:c r="J2024" t="str">
        <x:v>RENT</x:v>
      </x:c>
      <x:c r="K2024" t="str">
        <x:v>other</x:v>
      </x:c>
      <x:c r="L2024" t="n">
        <x:v>2</x:v>
      </x:c>
      <x:c r="M2024" t="n">
        <x:v>0</x:v>
      </x:c>
      <x:c r="N2024" t="str">
        <x:v>Fully Paid</x:v>
      </x:c>
      <x:c r="O2024" t="str">
        <x:f>IF(D2024="","Unknown",IF(D2024&lt;25000,"&lt;$25k",IF(D2024&lt;50000,"$25k-$50k",IF(D2024&lt;75000,"$50k-$75k",IF(D2024&lt;100000,"$75k-$100k","$100k+")))))</x:f>
        <x:v>$75k-$100k</x:v>
      </x:c>
      <x:c r="P2024" t="str">
        <x:f>IF(E2024="","Unknown",IF(E2024&lt;10,"&lt;10",IF(E2024&lt;20,"10-&lt;20",IF(E2024&lt;25,"20-&lt;25",IF(E2024&lt;35,"25-&lt;35","35+")))))</x:f>
        <x:v>10-&lt;20</x:v>
      </x:c>
    </x:row>
    <x:row r="2025">
      <x:c r="A2025" t="str">
        <x:v>SYN0002024</x:v>
      </x:c>
      <x:c r="B2025" s="12" t="n">
        <x:v>43195</x:v>
      </x:c>
      <x:c r="C2025" s="18" t="n">
        <x:v>7721</x:v>
      </x:c>
      <x:c r="D2025" s="18" t="n">
        <x:v>70839</x:v>
      </x:c>
      <x:c r="E2025" s="18" t="n">
        <x:v>32.07</x:v>
      </x:c>
      <x:c r="F2025" s="18" t="n">
        <x:v>25.01</x:v>
      </x:c>
      <x:c r="G2025" t="n">
        <x:v>36</x:v>
      </x:c>
      <x:c r="H2025" t="str">
        <x:v>F</x:v>
      </x:c>
      <x:c r="I2025" t="str">
        <x:v>1-3 years</x:v>
      </x:c>
      <x:c r="J2025" t="str">
        <x:v>OWN</x:v>
      </x:c>
      <x:c r="K2025" t="str">
        <x:v>debt_consolidation</x:v>
      </x:c>
      <x:c r="L2025" t="n">
        <x:v>1</x:v>
      </x:c>
      <x:c r="M2025" t="n">
        <x:v>0</x:v>
      </x:c>
      <x:c r="N2025" t="str">
        <x:v>Fully Paid</x:v>
      </x:c>
      <x:c r="O2025" t="str">
        <x:f>IF(D2025="","Unknown",IF(D2025&lt;25000,"&lt;$25k",IF(D2025&lt;50000,"$25k-$50k",IF(D2025&lt;75000,"$50k-$75k",IF(D2025&lt;100000,"$75k-$100k","$100k+")))))</x:f>
        <x:v>$50k-$75k</x:v>
      </x:c>
      <x:c r="P2025" t="str">
        <x:f>IF(E2025="","Unknown",IF(E2025&lt;10,"&lt;10",IF(E2025&lt;20,"10-&lt;20",IF(E2025&lt;25,"20-&lt;25",IF(E2025&lt;35,"25-&lt;35","35+")))))</x:f>
        <x:v>25-&lt;35</x:v>
      </x:c>
    </x:row>
    <x:row r="2026">
      <x:c r="A2026" t="str">
        <x:v>SYN0002025</x:v>
      </x:c>
      <x:c r="B2026" s="12" t="n">
        <x:v>43225</x:v>
      </x:c>
      <x:c r="C2026" s="18" t="n">
        <x:v>15052</x:v>
      </x:c>
      <x:c r="D2026" s="18" t="n">
        <x:v>45031</x:v>
      </x:c>
      <x:c r="E2026" s="18" t="n">
        <x:v>16.65</x:v>
      </x:c>
      <x:c r="F2026" s="18" t="n">
        <x:v>20.75</x:v>
      </x:c>
      <x:c r="G2026" t="n">
        <x:v>36</x:v>
      </x:c>
      <x:c r="H2026" t="str">
        <x:v>E</x:v>
      </x:c>
      <x:c r="I2026" t="str">
        <x:v>4-6 years</x:v>
      </x:c>
      <x:c r="J2026" t="str">
        <x:v>MORTGAGE</x:v>
      </x:c>
      <x:c r="K2026" t="str">
        <x:v>credit_card</x:v>
      </x:c>
      <x:c r="L2026" t="n">
        <x:v>0</x:v>
      </x:c>
      <x:c r="M2026" t="n">
        <x:v>0</x:v>
      </x:c>
      <x:c r="N2026" t="str">
        <x:v>Fully Paid</x:v>
      </x:c>
      <x:c r="O2026" t="str">
        <x:f>IF(D2026="","Unknown",IF(D2026&lt;25000,"&lt;$25k",IF(D2026&lt;50000,"$25k-$50k",IF(D2026&lt;75000,"$50k-$75k",IF(D2026&lt;100000,"$75k-$100k","$100k+")))))</x:f>
        <x:v>$25k-$50k</x:v>
      </x:c>
      <x:c r="P2026" t="str">
        <x:f>IF(E2026="","Unknown",IF(E2026&lt;10,"&lt;10",IF(E2026&lt;20,"10-&lt;20",IF(E2026&lt;25,"20-&lt;25",IF(E2026&lt;35,"25-&lt;35","35+")))))</x:f>
        <x:v>10-&lt;20</x:v>
      </x:c>
    </x:row>
    <x:row r="2027">
      <x:c r="A2027" t="str">
        <x:v>SYN0002026</x:v>
      </x:c>
      <x:c r="B2027" s="12" t="n">
        <x:v>42445</x:v>
      </x:c>
      <x:c r="C2027" s="18" t="n">
        <x:v>8866</x:v>
      </x:c>
      <x:c r="D2027" s="18" t="n">
        <x:v>70160</x:v>
      </x:c>
      <x:c r="E2027" s="18" t="n">
        <x:v>21.07</x:v>
      </x:c>
      <x:c r="F2027" s="18" t="n">
        <x:v>7.97</x:v>
      </x:c>
      <x:c r="G2027" t="n">
        <x:v>36</x:v>
      </x:c>
      <x:c r="H2027" t="str">
        <x:v>B</x:v>
      </x:c>
      <x:c r="I2027" t="str">
        <x:v>7-9 years</x:v>
      </x:c>
      <x:c r="J2027" t="str">
        <x:v>MORTGAGE</x:v>
      </x:c>
      <x:c r="K2027" t="str">
        <x:v>home_improvement</x:v>
      </x:c>
      <x:c r="L2027" t="n">
        <x:v>0</x:v>
      </x:c>
      <x:c r="M2027" t="n">
        <x:v>0</x:v>
      </x:c>
      <x:c r="N2027" t="str">
        <x:v>Fully Paid</x:v>
      </x:c>
      <x:c r="O2027" t="str">
        <x:f>IF(D2027="","Unknown",IF(D2027&lt;25000,"&lt;$25k",IF(D2027&lt;50000,"$25k-$50k",IF(D2027&lt;75000,"$50k-$75k",IF(D2027&lt;100000,"$75k-$100k","$100k+")))))</x:f>
        <x:v>$50k-$75k</x:v>
      </x:c>
      <x:c r="P2027" t="str">
        <x:f>IF(E2027="","Unknown",IF(E2027&lt;10,"&lt;10",IF(E2027&lt;20,"10-&lt;20",IF(E2027&lt;25,"20-&lt;25",IF(E2027&lt;35,"25-&lt;35","35+")))))</x:f>
        <x:v>20-&lt;25</x:v>
      </x:c>
    </x:row>
    <x:row r="2028">
      <x:c r="A2028" t="str">
        <x:v>SYN0002027</x:v>
      </x:c>
      <x:c r="B2028" s="12" t="n">
        <x:v>42805</x:v>
      </x:c>
      <x:c r="C2028" s="18" t="n">
        <x:v>14649</x:v>
      </x:c>
      <x:c r="D2028" s="18" t="n">
        <x:v>58935</x:v>
      </x:c>
      <x:c r="E2028" s="18" t="n">
        <x:v>19.57</x:v>
      </x:c>
      <x:c r="F2028" s="18" t="n">
        <x:v>10.61</x:v>
      </x:c>
      <x:c r="G2028" t="n">
        <x:v>36</x:v>
      </x:c>
      <x:c r="H2028" t="str">
        <x:v>B</x:v>
      </x:c>
      <x:c r="I2028" t="str">
        <x:v>7-9 years</x:v>
      </x:c>
      <x:c r="J2028" t="str">
        <x:v>MORTGAGE</x:v>
      </x:c>
      <x:c r="K2028" t="str">
        <x:v>medical</x:v>
      </x:c>
      <x:c r="L2028" t="n">
        <x:v>0</x:v>
      </x:c>
      <x:c r="M2028" t="n">
        <x:v>0</x:v>
      </x:c>
      <x:c r="N2028" t="str">
        <x:v>Fully Paid</x:v>
      </x:c>
      <x:c r="O2028" t="str">
        <x:f>IF(D2028="","Unknown",IF(D2028&lt;25000,"&lt;$25k",IF(D2028&lt;50000,"$25k-$50k",IF(D2028&lt;75000,"$50k-$75k",IF(D2028&lt;100000,"$75k-$100k","$100k+")))))</x:f>
        <x:v>$50k-$75k</x:v>
      </x:c>
      <x:c r="P2028" t="str">
        <x:f>IF(E2028="","Unknown",IF(E2028&lt;10,"&lt;10",IF(E2028&lt;20,"10-&lt;20",IF(E2028&lt;25,"20-&lt;25",IF(E2028&lt;35,"25-&lt;35","35+")))))</x:f>
        <x:v>10-&lt;20</x:v>
      </x:c>
    </x:row>
    <x:row r="2029">
      <x:c r="A2029" t="str">
        <x:v>SYN0002028</x:v>
      </x:c>
      <x:c r="B2029" s="12" t="n">
        <x:v>41545</x:v>
      </x:c>
      <x:c r="C2029" s="18" t="n">
        <x:v>7369</x:v>
      </x:c>
      <x:c r="D2029" s="18" t="n">
        <x:v>26907</x:v>
      </x:c>
      <x:c r="E2029" s="18" t="n">
        <x:v>20.52</x:v>
      </x:c>
      <x:c r="F2029" s="18" t="n">
        <x:v>24.44</x:v>
      </x:c>
      <x:c r="G2029" t="n">
        <x:v>36</x:v>
      </x:c>
      <x:c r="H2029" t="str">
        <x:v>F</x:v>
      </x:c>
      <x:c r="I2029" t="str">
        <x:v>1-3 years</x:v>
      </x:c>
      <x:c r="J2029" t="str">
        <x:v>OWN</x:v>
      </x:c>
      <x:c r="K2029" t="str">
        <x:v>credit_card</x:v>
      </x:c>
      <x:c r="L2029" t="n">
        <x:v>0</x:v>
      </x:c>
      <x:c r="M2029" t="n">
        <x:v>1</x:v>
      </x:c>
      <x:c r="N2029" t="str">
        <x:v>Charged Off</x:v>
      </x:c>
      <x:c r="O2029" t="str">
        <x:f>IF(D2029="","Unknown",IF(D2029&lt;25000,"&lt;$25k",IF(D2029&lt;50000,"$25k-$50k",IF(D2029&lt;75000,"$50k-$75k",IF(D2029&lt;100000,"$75k-$100k","$100k+")))))</x:f>
        <x:v>$25k-$50k</x:v>
      </x:c>
      <x:c r="P2029" t="str">
        <x:f>IF(E2029="","Unknown",IF(E2029&lt;10,"&lt;10",IF(E2029&lt;20,"10-&lt;20",IF(E2029&lt;25,"20-&lt;25",IF(E2029&lt;35,"25-&lt;35","35+")))))</x:f>
        <x:v>20-&lt;25</x:v>
      </x:c>
    </x:row>
    <x:row r="2030">
      <x:c r="A2030" t="str">
        <x:v>SYN0002029</x:v>
      </x:c>
      <x:c r="B2030" s="12" t="n">
        <x:v>42595</x:v>
      </x:c>
      <x:c r="C2030" s="18" t="n">
        <x:v>7673</x:v>
      </x:c>
      <x:c r="D2030" s="18" t="n">
        <x:v>70877</x:v>
      </x:c>
      <x:c r="E2030" s="18" t="n">
        <x:v>8.88</x:v>
      </x:c>
      <x:c r="F2030" s="18" t="n">
        <x:v>10.2</x:v>
      </x:c>
      <x:c r="G2030" t="n">
        <x:v>36</x:v>
      </x:c>
      <x:c r="H2030" t="str">
        <x:v>B</x:v>
      </x:c>
      <x:c r="I2030" t="str">
        <x:v>4-6 years</x:v>
      </x:c>
      <x:c r="J2030" t="str">
        <x:v>MORTGAGE</x:v>
      </x:c>
      <x:c r="K2030" t="str">
        <x:v>debt_consolidation</x:v>
      </x:c>
      <x:c r="L2030" t="n">
        <x:v>1</x:v>
      </x:c>
      <x:c r="M2030" t="n">
        <x:v>0</x:v>
      </x:c>
      <x:c r="N2030" t="str">
        <x:v>Fully Paid</x:v>
      </x:c>
      <x:c r="O2030" t="str">
        <x:f>IF(D2030="","Unknown",IF(D2030&lt;25000,"&lt;$25k",IF(D2030&lt;50000,"$25k-$50k",IF(D2030&lt;75000,"$50k-$75k",IF(D2030&lt;100000,"$75k-$100k","$100k+")))))</x:f>
        <x:v>$50k-$75k</x:v>
      </x:c>
      <x:c r="P2030" t="str">
        <x:f>IF(E2030="","Unknown",IF(E2030&lt;10,"&lt;10",IF(E2030&lt;20,"10-&lt;20",IF(E2030&lt;25,"20-&lt;25",IF(E2030&lt;35,"25-&lt;35","35+")))))</x:f>
        <x:v>&lt;10</x:v>
      </x:c>
    </x:row>
    <x:row r="2031">
      <x:c r="A2031" t="str">
        <x:v>SYN0002030</x:v>
      </x:c>
      <x:c r="B2031" s="12" t="n">
        <x:v>41815</x:v>
      </x:c>
      <x:c r="C2031" s="18" t="n">
        <x:v>12985</x:v>
      </x:c>
      <x:c r="D2031" s="18" t="n">
        <x:v>44225</x:v>
      </x:c>
      <x:c r="E2031" s="18" t="n">
        <x:v>34.55</x:v>
      </x:c>
      <x:c r="F2031" s="18" t="n">
        <x:v>5.25</x:v>
      </x:c>
      <x:c r="G2031" t="n">
        <x:v>36</x:v>
      </x:c>
      <x:c r="H2031" t="str">
        <x:v>B</x:v>
      </x:c>
      <x:c r="I2031" t="str">
        <x:v>7-9 years</x:v>
      </x:c>
      <x:c r="J2031" t="str">
        <x:v>MORTGAGE</x:v>
      </x:c>
      <x:c r="K2031" t="str">
        <x:v>major_purchase</x:v>
      </x:c>
      <x:c r="L2031" t="n">
        <x:v>1</x:v>
      </x:c>
      <x:c r="M2031" t="n">
        <x:v>1</x:v>
      </x:c>
      <x:c r="N2031" t="str">
        <x:v>Charged Off</x:v>
      </x:c>
      <x:c r="O2031" t="str">
        <x:f>IF(D2031="","Unknown",IF(D2031&lt;25000,"&lt;$25k",IF(D2031&lt;50000,"$25k-$50k",IF(D2031&lt;75000,"$50k-$75k",IF(D2031&lt;100000,"$75k-$100k","$100k+")))))</x:f>
        <x:v>$25k-$50k</x:v>
      </x:c>
      <x:c r="P2031" t="str">
        <x:f>IF(E2031="","Unknown",IF(E2031&lt;10,"&lt;10",IF(E2031&lt;20,"10-&lt;20",IF(E2031&lt;25,"20-&lt;25",IF(E2031&lt;35,"25-&lt;35","35+")))))</x:f>
        <x:v>25-&lt;35</x:v>
      </x:c>
    </x:row>
    <x:row r="2032">
      <x:c r="A2032" t="str">
        <x:v>SYN0002031</x:v>
      </x:c>
      <x:c r="B2032" s="12" t="n">
        <x:v>42865</x:v>
      </x:c>
      <x:c r="C2032" s="18" t="n">
        <x:v>3373</x:v>
      </x:c>
      <x:c r="D2032" s="18" t="n">
        <x:v>122968</x:v>
      </x:c>
      <x:c r="E2032" s="18" t="n">
        <x:v>19.57</x:v>
      </x:c>
      <x:c r="F2032" s="18" t="n">
        <x:v>7.23</x:v>
      </x:c>
      <x:c r="G2032" t="n">
        <x:v>36</x:v>
      </x:c>
      <x:c r="H2032" t="str">
        <x:v>C</x:v>
      </x:c>
      <x:c r="I2032" t="str">
        <x:v>&lt;1 year</x:v>
      </x:c>
      <x:c r="J2032" t="str">
        <x:v>MORTGAGE</x:v>
      </x:c>
      <x:c r="K2032" t="str">
        <x:v>credit_card</x:v>
      </x:c>
      <x:c r="L2032" t="n">
        <x:v>0</x:v>
      </x:c>
      <x:c r="M2032" t="n">
        <x:v>0</x:v>
      </x:c>
      <x:c r="N2032" t="str">
        <x:v>Fully Paid</x:v>
      </x:c>
      <x:c r="O2032" t="str">
        <x:f>IF(D2032="","Unknown",IF(D2032&lt;25000,"&lt;$25k",IF(D2032&lt;50000,"$25k-$50k",IF(D2032&lt;75000,"$50k-$75k",IF(D2032&lt;100000,"$75k-$100k","$100k+")))))</x:f>
        <x:v>$100k+</x:v>
      </x:c>
      <x:c r="P2032" t="str">
        <x:f>IF(E2032="","Unknown",IF(E2032&lt;10,"&lt;10",IF(E2032&lt;20,"10-&lt;20",IF(E2032&lt;25,"20-&lt;25",IF(E2032&lt;35,"25-&lt;35","35+")))))</x:f>
        <x:v>10-&lt;20</x:v>
      </x:c>
    </x:row>
    <x:row r="2033">
      <x:c r="A2033" t="str">
        <x:v>SYN0002032</x:v>
      </x:c>
      <x:c r="B2033" s="12" t="n">
        <x:v>42325</x:v>
      </x:c>
      <x:c r="C2033" s="18" t="n">
        <x:v>10623</x:v>
      </x:c>
      <x:c r="D2033" s="18" t="n">
        <x:v>57119</x:v>
      </x:c>
      <x:c r="E2033" s="18" t="n">
        <x:v>15.02</x:v>
      </x:c>
      <x:c r="F2033" s="18" t="n">
        <x:v>7.31</x:v>
      </x:c>
      <x:c r="G2033" t="n">
        <x:v>36</x:v>
      </x:c>
      <x:c r="H2033" t="str">
        <x:v>B</x:v>
      </x:c>
      <x:c r="I2033" t="str">
        <x:v>7-9 years</x:v>
      </x:c>
      <x:c r="J2033" t="str">
        <x:v>MORTGAGE</x:v>
      </x:c>
      <x:c r="K2033" t="str">
        <x:v>debt_consolidation</x:v>
      </x:c>
      <x:c r="L2033" t="n">
        <x:v>1</x:v>
      </x:c>
      <x:c r="M2033" t="n">
        <x:v>0</x:v>
      </x:c>
      <x:c r="N2033" t="str">
        <x:v>Fully Paid</x:v>
      </x:c>
      <x:c r="O2033" t="str">
        <x:f>IF(D2033="","Unknown",IF(D2033&lt;25000,"&lt;$25k",IF(D2033&lt;50000,"$25k-$50k",IF(D2033&lt;75000,"$50k-$75k",IF(D2033&lt;100000,"$75k-$100k","$100k+")))))</x:f>
        <x:v>$50k-$75k</x:v>
      </x:c>
      <x:c r="P2033" t="str">
        <x:f>IF(E2033="","Unknown",IF(E2033&lt;10,"&lt;10",IF(E2033&lt;20,"10-&lt;20",IF(E2033&lt;25,"20-&lt;25",IF(E2033&lt;35,"25-&lt;35","35+")))))</x:f>
        <x:v>10-&lt;20</x:v>
      </x:c>
    </x:row>
    <x:row r="2034">
      <x:c r="A2034" t="str">
        <x:v>SYN0002033</x:v>
      </x:c>
      <x:c r="B2034" s="12" t="n">
        <x:v>42625</x:v>
      </x:c>
      <x:c r="C2034" s="18" t="n">
        <x:v>18002</x:v>
      </x:c>
      <x:c r="D2034" s="18" t="n">
        <x:v>42077</x:v>
      </x:c>
      <x:c r="E2034" s="18" t="n">
        <x:v>7.92</x:v>
      </x:c>
      <x:c r="F2034" s="18" t="n">
        <x:v>14.42</x:v>
      </x:c>
      <x:c r="G2034" t="n">
        <x:v>36</x:v>
      </x:c>
      <x:c r="H2034" t="str">
        <x:v>D</x:v>
      </x:c>
      <x:c r="I2034" t="str">
        <x:v>1-3 years</x:v>
      </x:c>
      <x:c r="J2034" t="str">
        <x:v>RENT</x:v>
      </x:c>
      <x:c r="K2034" t="str">
        <x:v>debt_consolidation</x:v>
      </x:c>
      <x:c r="L2034" t="n">
        <x:v>1</x:v>
      </x:c>
      <x:c r="M2034" t="n">
        <x:v>0</x:v>
      </x:c>
      <x:c r="N2034" t="str">
        <x:v>Fully Paid</x:v>
      </x:c>
      <x:c r="O2034" t="str">
        <x:f>IF(D2034="","Unknown",IF(D2034&lt;25000,"&lt;$25k",IF(D2034&lt;50000,"$25k-$50k",IF(D2034&lt;75000,"$50k-$75k",IF(D2034&lt;100000,"$75k-$100k","$100k+")))))</x:f>
        <x:v>$25k-$50k</x:v>
      </x:c>
      <x:c r="P2034" t="str">
        <x:f>IF(E2034="","Unknown",IF(E2034&lt;10,"&lt;10",IF(E2034&lt;20,"10-&lt;20",IF(E2034&lt;25,"20-&lt;25",IF(E2034&lt;35,"25-&lt;35","35+")))))</x:f>
        <x:v>&lt;10</x:v>
      </x:c>
    </x:row>
    <x:row r="2035">
      <x:c r="A2035" t="str">
        <x:v>SYN0002034</x:v>
      </x:c>
      <x:c r="B2035" s="12" t="n">
        <x:v>41845</x:v>
      </x:c>
      <x:c r="C2035" s="18" t="n">
        <x:v>14229</x:v>
      </x:c>
      <x:c r="D2035" s="18" t="n">
        <x:v>21200</x:v>
      </x:c>
      <x:c r="E2035" s="18" t="n">
        <x:v>28.54</x:v>
      </x:c>
      <x:c r="F2035" s="18" t="n">
        <x:v>15.7</x:v>
      </x:c>
      <x:c r="G2035" t="n">
        <x:v>36</x:v>
      </x:c>
      <x:c r="H2035" t="str">
        <x:v>E</x:v>
      </x:c>
      <x:c r="I2035" t="str">
        <x:v>1-3 years</x:v>
      </x:c>
      <x:c r="J2035" t="str">
        <x:v>OWN</x:v>
      </x:c>
      <x:c r="K2035" t="str">
        <x:v>debt_consolidation</x:v>
      </x:c>
      <x:c r="L2035" t="n">
        <x:v>0</x:v>
      </x:c>
      <x:c r="M2035" t="n">
        <x:v>0</x:v>
      </x:c>
      <x:c r="N2035" t="str">
        <x:v>Fully Paid</x:v>
      </x:c>
      <x:c r="O2035" t="str">
        <x:f>IF(D2035="","Unknown",IF(D2035&lt;25000,"&lt;$25k",IF(D2035&lt;50000,"$25k-$50k",IF(D2035&lt;75000,"$50k-$75k",IF(D2035&lt;100000,"$75k-$100k","$100k+")))))</x:f>
        <x:v>&lt;$25k</x:v>
      </x:c>
      <x:c r="P2035" t="str">
        <x:f>IF(E2035="","Unknown",IF(E2035&lt;10,"&lt;10",IF(E2035&lt;20,"10-&lt;20",IF(E2035&lt;25,"20-&lt;25",IF(E2035&lt;35,"25-&lt;35","35+")))))</x:f>
        <x:v>25-&lt;35</x:v>
      </x:c>
    </x:row>
    <x:row r="2036">
      <x:c r="A2036" t="str">
        <x:v>SYN0002035</x:v>
      </x:c>
      <x:c r="B2036" s="12" t="n">
        <x:v>42085</x:v>
      </x:c>
      <x:c r="C2036" s="18" t="n">
        <x:v>5158</x:v>
      </x:c>
      <x:c r="D2036" s="18" t="n">
        <x:v>19173</x:v>
      </x:c>
      <x:c r="E2036" s="18" t="n">
        <x:v>25.77</x:v>
      </x:c>
      <x:c r="F2036" s="18" t="n">
        <x:v>11.66</x:v>
      </x:c>
      <x:c r="G2036" t="n">
        <x:v>36</x:v>
      </x:c>
      <x:c r="H2036" t="str">
        <x:v>B</x:v>
      </x:c>
      <x:c r="I2036" t="str">
        <x:v>10+ years</x:v>
      </x:c>
      <x:c r="J2036" t="str">
        <x:v>MORTGAGE</x:v>
      </x:c>
      <x:c r="K2036" t="str">
        <x:v>debt_consolidation</x:v>
      </x:c>
      <x:c r="L2036" t="n">
        <x:v>1</x:v>
      </x:c>
      <x:c r="M2036" t="n">
        <x:v>0</x:v>
      </x:c>
      <x:c r="N2036" t="str">
        <x:v>Fully Paid</x:v>
      </x:c>
      <x:c r="O2036" t="str">
        <x:f>IF(D2036="","Unknown",IF(D2036&lt;25000,"&lt;$25k",IF(D2036&lt;50000,"$25k-$50k",IF(D2036&lt;75000,"$50k-$75k",IF(D2036&lt;100000,"$75k-$100k","$100k+")))))</x:f>
        <x:v>&lt;$25k</x:v>
      </x:c>
      <x:c r="P2036" t="str">
        <x:f>IF(E2036="","Unknown",IF(E2036&lt;10,"&lt;10",IF(E2036&lt;20,"10-&lt;20",IF(E2036&lt;25,"20-&lt;25",IF(E2036&lt;35,"25-&lt;35","35+")))))</x:f>
        <x:v>25-&lt;35</x:v>
      </x:c>
    </x:row>
    <x:row r="2037">
      <x:c r="A2037" t="str">
        <x:v>SYN0002036</x:v>
      </x:c>
      <x:c r="B2037" s="12" t="n">
        <x:v>42685</x:v>
      </x:c>
      <x:c r="C2037" s="18" t="n">
        <x:v>16028</x:v>
      </x:c>
      <x:c r="D2037" s="18" t="n">
        <x:v>47599</x:v>
      </x:c>
      <x:c r="E2037" s="18" t="n">
        <x:v>17.15</x:v>
      </x:c>
      <x:c r="F2037" s="18" t="n">
        <x:v>8.05</x:v>
      </x:c>
      <x:c r="G2037" t="n">
        <x:v>60</x:v>
      </x:c>
      <x:c r="H2037" t="str">
        <x:v>B</x:v>
      </x:c>
      <x:c r="I2037" t="str">
        <x:v>1-3 years</x:v>
      </x:c>
      <x:c r="J2037" t="str">
        <x:v>RENT</x:v>
      </x:c>
      <x:c r="K2037" t="str">
        <x:v>debt_consolidation</x:v>
      </x:c>
      <x:c r="L2037" t="n">
        <x:v>0</x:v>
      </x:c>
      <x:c r="M2037" t="n">
        <x:v>0</x:v>
      </x:c>
      <x:c r="N2037" t="str">
        <x:v>Fully Paid</x:v>
      </x:c>
      <x:c r="O2037" t="str">
        <x:f>IF(D2037="","Unknown",IF(D2037&lt;25000,"&lt;$25k",IF(D2037&lt;50000,"$25k-$50k",IF(D2037&lt;75000,"$50k-$75k",IF(D2037&lt;100000,"$75k-$100k","$100k+")))))</x:f>
        <x:v>$25k-$50k</x:v>
      </x:c>
      <x:c r="P2037" t="str">
        <x:f>IF(E2037="","Unknown",IF(E2037&lt;10,"&lt;10",IF(E2037&lt;20,"10-&lt;20",IF(E2037&lt;25,"20-&lt;25",IF(E2037&lt;35,"25-&lt;35","35+")))))</x:f>
        <x:v>10-&lt;20</x:v>
      </x:c>
    </x:row>
    <x:row r="2038">
      <x:c r="A2038" t="str">
        <x:v>SYN0002037</x:v>
      </x:c>
      <x:c r="B2038" s="12" t="n">
        <x:v>41935</x:v>
      </x:c>
      <x:c r="C2038" s="18" t="n">
        <x:v>16723</x:v>
      </x:c>
      <x:c r="D2038" s="18" t="n">
        <x:v>30815</x:v>
      </x:c>
      <x:c r="E2038" s="18" t="n">
        <x:v>29.2</x:v>
      </x:c>
      <x:c r="F2038" s="18" t="n">
        <x:v>12.33</x:v>
      </x:c>
      <x:c r="G2038" t="n">
        <x:v>36</x:v>
      </x:c>
      <x:c r="H2038" t="str">
        <x:v>C</x:v>
      </x:c>
      <x:c r="I2038" t="str">
        <x:v>4-6 years</x:v>
      </x:c>
      <x:c r="J2038" t="str">
        <x:v>MORTGAGE</x:v>
      </x:c>
      <x:c r="K2038" t="str">
        <x:v>credit_card</x:v>
      </x:c>
      <x:c r="L2038" t="n">
        <x:v>0</x:v>
      </x:c>
      <x:c r="M2038" t="n">
        <x:v>1</x:v>
      </x:c>
      <x:c r="N2038" t="str">
        <x:v>Charged Off</x:v>
      </x:c>
      <x:c r="O2038" t="str">
        <x:f>IF(D2038="","Unknown",IF(D2038&lt;25000,"&lt;$25k",IF(D2038&lt;50000,"$25k-$50k",IF(D2038&lt;75000,"$50k-$75k",IF(D2038&lt;100000,"$75k-$100k","$100k+")))))</x:f>
        <x:v>$25k-$50k</x:v>
      </x:c>
      <x:c r="P2038" t="str">
        <x:f>IF(E2038="","Unknown",IF(E2038&lt;10,"&lt;10",IF(E2038&lt;20,"10-&lt;20",IF(E2038&lt;25,"20-&lt;25",IF(E2038&lt;35,"25-&lt;35","35+")))))</x:f>
        <x:v>25-&lt;35</x:v>
      </x:c>
    </x:row>
    <x:row r="2039">
      <x:c r="A2039" t="str">
        <x:v>SYN0002038</x:v>
      </x:c>
      <x:c r="B2039" s="12" t="n">
        <x:v>42505</x:v>
      </x:c>
      <x:c r="C2039" s="18" t="n">
        <x:v>5947</x:v>
      </x:c>
      <x:c r="D2039" s="18" t="n">
        <x:v>19549</x:v>
      </x:c>
      <x:c r="E2039" s="18" t="n">
        <x:v>19.65</x:v>
      </x:c>
      <x:c r="F2039" s="18" t="n">
        <x:v>13.14</x:v>
      </x:c>
      <x:c r="G2039" t="n">
        <x:v>60</x:v>
      </x:c>
      <x:c r="H2039" t="str">
        <x:v>C</x:v>
      </x:c>
      <x:c r="I2039" t="str">
        <x:v>1-3 years</x:v>
      </x:c>
      <x:c r="J2039" t="str">
        <x:v>MORTGAGE</x:v>
      </x:c>
      <x:c r="K2039" t="str">
        <x:v>credit_card</x:v>
      </x:c>
      <x:c r="L2039" t="n">
        <x:v>3</x:v>
      </x:c>
      <x:c r="M2039" t="n">
        <x:v>0</x:v>
      </x:c>
      <x:c r="N2039" t="str">
        <x:v>Fully Paid</x:v>
      </x:c>
      <x:c r="O2039" t="str">
        <x:f>IF(D2039="","Unknown",IF(D2039&lt;25000,"&lt;$25k",IF(D2039&lt;50000,"$25k-$50k",IF(D2039&lt;75000,"$50k-$75k",IF(D2039&lt;100000,"$75k-$100k","$100k+")))))</x:f>
        <x:v>&lt;$25k</x:v>
      </x:c>
      <x:c r="P2039" t="str">
        <x:f>IF(E2039="","Unknown",IF(E2039&lt;10,"&lt;10",IF(E2039&lt;20,"10-&lt;20",IF(E2039&lt;25,"20-&lt;25",IF(E2039&lt;35,"25-&lt;35","35+")))))</x:f>
        <x:v>10-&lt;20</x:v>
      </x:c>
    </x:row>
    <x:row r="2040">
      <x:c r="A2040" t="str">
        <x:v>SYN0002039</x:v>
      </x:c>
      <x:c r="B2040" s="12" t="n">
        <x:v>42865</x:v>
      </x:c>
      <x:c r="C2040" s="18" t="n">
        <x:v>8962</x:v>
      </x:c>
      <x:c r="D2040" s="18" t="n">
        <x:v>80744</x:v>
      </x:c>
      <x:c r="E2040" s="18" t="n">
        <x:v>27.77</x:v>
      </x:c>
      <x:c r="F2040" s="18" t="n">
        <x:v>15.41</x:v>
      </x:c>
      <x:c r="G2040" t="n">
        <x:v>36</x:v>
      </x:c>
      <x:c r="H2040" t="str">
        <x:v>D</x:v>
      </x:c>
      <x:c r="I2040" t="str">
        <x:v>10+ years</x:v>
      </x:c>
      <x:c r="J2040" t="str">
        <x:v>MORTGAGE</x:v>
      </x:c>
      <x:c r="K2040" t="str">
        <x:v>debt_consolidation</x:v>
      </x:c>
      <x:c r="L2040" t="n">
        <x:v>0</x:v>
      </x:c>
      <x:c r="M2040" t="n">
        <x:v>0</x:v>
      </x:c>
      <x:c r="N2040" t="str">
        <x:v>Fully Paid</x:v>
      </x:c>
      <x:c r="O2040" t="str">
        <x:f>IF(D2040="","Unknown",IF(D2040&lt;25000,"&lt;$25k",IF(D2040&lt;50000,"$25k-$50k",IF(D2040&lt;75000,"$50k-$75k",IF(D2040&lt;100000,"$75k-$100k","$100k+")))))</x:f>
        <x:v>$75k-$100k</x:v>
      </x:c>
      <x:c r="P2040" t="str">
        <x:f>IF(E2040="","Unknown",IF(E2040&lt;10,"&lt;10",IF(E2040&lt;20,"10-&lt;20",IF(E2040&lt;25,"20-&lt;25",IF(E2040&lt;35,"25-&lt;35","35+")))))</x:f>
        <x:v>25-&lt;35</x:v>
      </x:c>
    </x:row>
    <x:row r="2041">
      <x:c r="A2041" t="str">
        <x:v>SYN0002040</x:v>
      </x:c>
      <x:c r="B2041" s="12" t="n">
        <x:v>42025</x:v>
      </x:c>
      <x:c r="C2041" s="18" t="n">
        <x:v>29102</x:v>
      </x:c>
      <x:c r="D2041" s="18" t="n">
        <x:v>12000</x:v>
      </x:c>
      <x:c r="E2041" s="18" t="n">
        <x:v>19.47</x:v>
      </x:c>
      <x:c r="F2041" s="18" t="n">
        <x:v>7.02</x:v>
      </x:c>
      <x:c r="G2041" t="n">
        <x:v>60</x:v>
      </x:c>
      <x:c r="H2041" t="str">
        <x:v>B</x:v>
      </x:c>
      <x:c r="I2041" t="str">
        <x:v>1-3 years</x:v>
      </x:c>
      <x:c r="J2041" t="str">
        <x:v>MORTGAGE</x:v>
      </x:c>
      <x:c r="K2041" t="str">
        <x:v>major_purchase</x:v>
      </x:c>
      <x:c r="L2041" t="n">
        <x:v>0</x:v>
      </x:c>
      <x:c r="M2041" t="n">
        <x:v>0</x:v>
      </x:c>
      <x:c r="N2041" t="str">
        <x:v>Fully Paid</x:v>
      </x:c>
      <x:c r="O2041" t="str">
        <x:f>IF(D2041="","Unknown",IF(D2041&lt;25000,"&lt;$25k",IF(D2041&lt;50000,"$25k-$50k",IF(D2041&lt;75000,"$50k-$75k",IF(D2041&lt;100000,"$75k-$100k","$100k+")))))</x:f>
        <x:v>&lt;$25k</x:v>
      </x:c>
      <x:c r="P2041" t="str">
        <x:f>IF(E2041="","Unknown",IF(E2041&lt;10,"&lt;10",IF(E2041&lt;20,"10-&lt;20",IF(E2041&lt;25,"20-&lt;25",IF(E2041&lt;35,"25-&lt;35","35+")))))</x:f>
        <x:v>10-&lt;20</x:v>
      </x:c>
    </x:row>
    <x:row r="2042">
      <x:c r="A2042" t="str">
        <x:v>SYN0002041</x:v>
      </x:c>
      <x:c r="B2042" s="12" t="n">
        <x:v>43285</x:v>
      </x:c>
      <x:c r="C2042" s="18" t="n">
        <x:v>8836</x:v>
      </x:c>
      <x:c r="D2042" s="18" t="n">
        <x:v>37934</x:v>
      </x:c>
      <x:c r="E2042" s="18" t="n">
        <x:v>23.83</x:v>
      </x:c>
      <x:c r="F2042" s="18" t="n">
        <x:v>16.02</x:v>
      </x:c>
      <x:c r="G2042" t="n">
        <x:v>60</x:v>
      </x:c>
      <x:c r="H2042" t="str">
        <x:v>D</x:v>
      </x:c>
      <x:c r="I2042" t="str">
        <x:v>10+ years</x:v>
      </x:c>
      <x:c r="J2042" t="str">
        <x:v>RENT</x:v>
      </x:c>
      <x:c r="K2042" t="str">
        <x:v>major_purchase</x:v>
      </x:c>
      <x:c r="L2042" t="n">
        <x:v>0</x:v>
      </x:c>
      <x:c r="M2042" t="n">
        <x:v>0</x:v>
      </x:c>
      <x:c r="N2042" t="str">
        <x:v>Fully Paid</x:v>
      </x:c>
      <x:c r="O2042" t="str">
        <x:f>IF(D2042="","Unknown",IF(D2042&lt;25000,"&lt;$25k",IF(D2042&lt;50000,"$25k-$50k",IF(D2042&lt;75000,"$50k-$75k",IF(D2042&lt;100000,"$75k-$100k","$100k+")))))</x:f>
        <x:v>$25k-$50k</x:v>
      </x:c>
      <x:c r="P2042" t="str">
        <x:f>IF(E2042="","Unknown",IF(E2042&lt;10,"&lt;10",IF(E2042&lt;20,"10-&lt;20",IF(E2042&lt;25,"20-&lt;25",IF(E2042&lt;35,"25-&lt;35","35+")))))</x:f>
        <x:v>20-&lt;25</x:v>
      </x:c>
    </x:row>
    <x:row r="2043">
      <x:c r="A2043" t="str">
        <x:v>SYN0002042</x:v>
      </x:c>
      <x:c r="B2043" s="12" t="n">
        <x:v>42895</x:v>
      </x:c>
      <x:c r="C2043" s="18" t="n">
        <x:v>27236</x:v>
      </x:c>
      <x:c r="D2043" s="18" t="n">
        <x:v>35107</x:v>
      </x:c>
      <x:c r="E2043" s="18" t="n">
        <x:v>11.3</x:v>
      </x:c>
      <x:c r="F2043" s="18" t="n">
        <x:v>7.39</x:v>
      </x:c>
      <x:c r="G2043" t="n">
        <x:v>36</x:v>
      </x:c>
      <x:c r="H2043" t="str">
        <x:v>B</x:v>
      </x:c>
      <x:c r="I2043" t="str">
        <x:v>7-9 years</x:v>
      </x:c>
      <x:c r="J2043" t="str">
        <x:v>MORTGAGE</x:v>
      </x:c>
      <x:c r="K2043" t="str">
        <x:v>other</x:v>
      </x:c>
      <x:c r="L2043" t="n">
        <x:v>1</x:v>
      </x:c>
      <x:c r="M2043" t="n">
        <x:v>0</x:v>
      </x:c>
      <x:c r="N2043" t="str">
        <x:v>Fully Paid</x:v>
      </x:c>
      <x:c r="O2043" t="str">
        <x:f>IF(D2043="","Unknown",IF(D2043&lt;25000,"&lt;$25k",IF(D2043&lt;50000,"$25k-$50k",IF(D2043&lt;75000,"$50k-$75k",IF(D2043&lt;100000,"$75k-$100k","$100k+")))))</x:f>
        <x:v>$25k-$50k</x:v>
      </x:c>
      <x:c r="P2043" t="str">
        <x:f>IF(E2043="","Unknown",IF(E2043&lt;10,"&lt;10",IF(E2043&lt;20,"10-&lt;20",IF(E2043&lt;25,"20-&lt;25",IF(E2043&lt;35,"25-&lt;35","35+")))))</x:f>
        <x:v>10-&lt;20</x:v>
      </x:c>
    </x:row>
    <x:row r="2044">
      <x:c r="A2044" t="str">
        <x:v>SYN0002043</x:v>
      </x:c>
      <x:c r="B2044" s="12" t="n">
        <x:v>41425</x:v>
      </x:c>
      <x:c r="C2044" s="18" t="n">
        <x:v>4196</x:v>
      </x:c>
      <x:c r="D2044" s="18" t="n">
        <x:v>33868</x:v>
      </x:c>
      <x:c r="E2044" s="18" t="n">
        <x:v>8.25</x:v>
      </x:c>
      <x:c r="F2044" s="18" t="n">
        <x:v>8.7</x:v>
      </x:c>
      <x:c r="G2044" t="n">
        <x:v>36</x:v>
      </x:c>
      <x:c r="H2044" t="str">
        <x:v>B</x:v>
      </x:c>
      <x:c r="I2044" t="str">
        <x:v>10+ years</x:v>
      </x:c>
      <x:c r="J2044" t="str">
        <x:v>RENT</x:v>
      </x:c>
      <x:c r="K2044" t="str">
        <x:v>debt_consolidation</x:v>
      </x:c>
      <x:c r="L2044" t="n">
        <x:v>0</x:v>
      </x:c>
      <x:c r="M2044" t="n">
        <x:v>0</x:v>
      </x:c>
      <x:c r="N2044" t="str">
        <x:v>Fully Paid</x:v>
      </x:c>
      <x:c r="O2044" t="str">
        <x:f>IF(D2044="","Unknown",IF(D2044&lt;25000,"&lt;$25k",IF(D2044&lt;50000,"$25k-$50k",IF(D2044&lt;75000,"$50k-$75k",IF(D2044&lt;100000,"$75k-$100k","$100k+")))))</x:f>
        <x:v>$25k-$50k</x:v>
      </x:c>
      <x:c r="P2044" t="str">
        <x:f>IF(E2044="","Unknown",IF(E2044&lt;10,"&lt;10",IF(E2044&lt;20,"10-&lt;20",IF(E2044&lt;25,"20-&lt;25",IF(E2044&lt;35,"25-&lt;35","35+")))))</x:f>
        <x:v>&lt;10</x:v>
      </x:c>
    </x:row>
    <x:row r="2045">
      <x:c r="A2045" t="str">
        <x:v>SYN0002044</x:v>
      </x:c>
      <x:c r="B2045" s="12" t="n">
        <x:v>42955</x:v>
      </x:c>
      <x:c r="C2045" s="18" t="n">
        <x:v>12344</x:v>
      </x:c>
      <x:c r="D2045" s="18" t="n">
        <x:v>15623</x:v>
      </x:c>
      <x:c r="E2045" s="18" t="n">
        <x:v>16.06</x:v>
      </x:c>
      <x:c r="F2045" s="18" t="n">
        <x:v>6.01</x:v>
      </x:c>
      <x:c r="G2045" t="n">
        <x:v>36</x:v>
      </x:c>
      <x:c r="H2045" t="str">
        <x:v>A</x:v>
      </x:c>
      <x:c r="I2045" t="str">
        <x:v>10+ years</x:v>
      </x:c>
      <x:c r="J2045" t="str">
        <x:v>MORTGAGE</x:v>
      </x:c>
      <x:c r="K2045" t="str">
        <x:v>debt_consolidation</x:v>
      </x:c>
      <x:c r="L2045" t="n">
        <x:v>1</x:v>
      </x:c>
      <x:c r="M2045" t="n">
        <x:v>0</x:v>
      </x:c>
      <x:c r="N2045" t="str">
        <x:v>Fully Paid</x:v>
      </x:c>
      <x:c r="O2045" t="str">
        <x:f>IF(D2045="","Unknown",IF(D2045&lt;25000,"&lt;$25k",IF(D2045&lt;50000,"$25k-$50k",IF(D2045&lt;75000,"$50k-$75k",IF(D2045&lt;100000,"$75k-$100k","$100k+")))))</x:f>
        <x:v>&lt;$25k</x:v>
      </x:c>
      <x:c r="P2045" t="str">
        <x:f>IF(E2045="","Unknown",IF(E2045&lt;10,"&lt;10",IF(E2045&lt;20,"10-&lt;20",IF(E2045&lt;25,"20-&lt;25",IF(E2045&lt;35,"25-&lt;35","35+")))))</x:f>
        <x:v>10-&lt;20</x:v>
      </x:c>
    </x:row>
    <x:row r="2046">
      <x:c r="A2046" t="str">
        <x:v>SYN0002045</x:v>
      </x:c>
      <x:c r="B2046" s="12" t="n">
        <x:v>42205</x:v>
      </x:c>
      <x:c r="C2046" s="18" t="n">
        <x:v>18761</x:v>
      </x:c>
      <x:c r="D2046" s="18" t="n">
        <x:v>63447</x:v>
      </x:c>
      <x:c r="E2046" s="18" t="n">
        <x:v>18.66</x:v>
      </x:c>
      <x:c r="F2046" s="18" t="n">
        <x:v>5.53</x:v>
      </x:c>
      <x:c r="G2046" t="n">
        <x:v>60</x:v>
      </x:c>
      <x:c r="H2046" t="str">
        <x:v>A</x:v>
      </x:c>
      <x:c r="I2046" t="str">
        <x:v>10+ years</x:v>
      </x:c>
      <x:c r="J2046" t="str">
        <x:v>OWN</x:v>
      </x:c>
      <x:c r="K2046" t="str">
        <x:v>other</x:v>
      </x:c>
      <x:c r="L2046" t="n">
        <x:v>0</x:v>
      </x:c>
      <x:c r="M2046" t="n">
        <x:v>0</x:v>
      </x:c>
      <x:c r="N2046" t="str">
        <x:v>Fully Paid</x:v>
      </x:c>
      <x:c r="O2046" t="str">
        <x:f>IF(D2046="","Unknown",IF(D2046&lt;25000,"&lt;$25k",IF(D2046&lt;50000,"$25k-$50k",IF(D2046&lt;75000,"$50k-$75k",IF(D2046&lt;100000,"$75k-$100k","$100k+")))))</x:f>
        <x:v>$50k-$75k</x:v>
      </x:c>
      <x:c r="P2046" t="str">
        <x:f>IF(E2046="","Unknown",IF(E2046&lt;10,"&lt;10",IF(E2046&lt;20,"10-&lt;20",IF(E2046&lt;25,"20-&lt;25",IF(E2046&lt;35,"25-&lt;35","35+")))))</x:f>
        <x:v>10-&lt;20</x:v>
      </x:c>
    </x:row>
    <x:row r="2047">
      <x:c r="A2047" t="str">
        <x:v>SYN0002046</x:v>
      </x:c>
      <x:c r="B2047" s="12" t="n">
        <x:v>43405</x:v>
      </x:c>
      <x:c r="C2047" s="18" t="n">
        <x:v>19740</x:v>
      </x:c>
      <x:c r="D2047" s="18" t="n">
        <x:v>48938</x:v>
      </x:c>
      <x:c r="E2047" s="18" t="n">
        <x:v>16.67</x:v>
      </x:c>
      <x:c r="F2047" s="18" t="n">
        <x:v>11.96</x:v>
      </x:c>
      <x:c r="G2047" t="n">
        <x:v>60</x:v>
      </x:c>
      <x:c r="H2047" t="str">
        <x:v>C</x:v>
      </x:c>
      <x:c r="I2047" t="str">
        <x:v>10+ years</x:v>
      </x:c>
      <x:c r="J2047" t="str">
        <x:v>OTHER</x:v>
      </x:c>
      <x:c r="K2047" t="str">
        <x:v>home_improvement</x:v>
      </x:c>
      <x:c r="L2047" t="n">
        <x:v>0</x:v>
      </x:c>
      <x:c r="M2047" t="n">
        <x:v>0</x:v>
      </x:c>
      <x:c r="N2047" t="str">
        <x:v>Fully Paid</x:v>
      </x:c>
      <x:c r="O2047" t="str">
        <x:f>IF(D2047="","Unknown",IF(D2047&lt;25000,"&lt;$25k",IF(D2047&lt;50000,"$25k-$50k",IF(D2047&lt;75000,"$50k-$75k",IF(D2047&lt;100000,"$75k-$100k","$100k+")))))</x:f>
        <x:v>$25k-$50k</x:v>
      </x:c>
      <x:c r="P2047" t="str">
        <x:f>IF(E2047="","Unknown",IF(E2047&lt;10,"&lt;10",IF(E2047&lt;20,"10-&lt;20",IF(E2047&lt;25,"20-&lt;25",IF(E2047&lt;35,"25-&lt;35","35+")))))</x:f>
        <x:v>10-&lt;20</x:v>
      </x:c>
    </x:row>
    <x:row r="2048">
      <x:c r="A2048" t="str">
        <x:v>SYN0002047</x:v>
      </x:c>
      <x:c r="B2048" s="12" t="n">
        <x:v>41635</x:v>
      </x:c>
      <x:c r="C2048" s="18" t="n">
        <x:v>7584</x:v>
      </x:c>
      <x:c r="D2048" s="18" t="n">
        <x:v>64468</x:v>
      </x:c>
      <x:c r="E2048" s="18" t="n">
        <x:v>29.33</x:v>
      </x:c>
      <x:c r="F2048" s="18" t="n">
        <x:v>17.83</x:v>
      </x:c>
      <x:c r="G2048" t="n">
        <x:v>36</x:v>
      </x:c>
      <x:c r="H2048" t="str">
        <x:v>E</x:v>
      </x:c>
      <x:c r="I2048" t="str">
        <x:v>4-6 years</x:v>
      </x:c>
      <x:c r="J2048" t="str">
        <x:v>MORTGAGE</x:v>
      </x:c>
      <x:c r="K2048" t="str">
        <x:v>credit_card</x:v>
      </x:c>
      <x:c r="L2048" t="n">
        <x:v>4</x:v>
      </x:c>
      <x:c r="M2048" t="n">
        <x:v>1</x:v>
      </x:c>
      <x:c r="N2048" t="str">
        <x:v>Charged Off</x:v>
      </x:c>
      <x:c r="O2048" t="str">
        <x:f>IF(D2048="","Unknown",IF(D2048&lt;25000,"&lt;$25k",IF(D2048&lt;50000,"$25k-$50k",IF(D2048&lt;75000,"$50k-$75k",IF(D2048&lt;100000,"$75k-$100k","$100k+")))))</x:f>
        <x:v>$50k-$75k</x:v>
      </x:c>
      <x:c r="P2048" t="str">
        <x:f>IF(E2048="","Unknown",IF(E2048&lt;10,"&lt;10",IF(E2048&lt;20,"10-&lt;20",IF(E2048&lt;25,"20-&lt;25",IF(E2048&lt;35,"25-&lt;35","35+")))))</x:f>
        <x:v>25-&lt;35</x:v>
      </x:c>
    </x:row>
    <x:row r="2049">
      <x:c r="A2049" t="str">
        <x:v>SYN0002048</x:v>
      </x:c>
      <x:c r="B2049" s="12" t="n">
        <x:v>43315</x:v>
      </x:c>
      <x:c r="C2049" s="18" t="n">
        <x:v>9264</x:v>
      </x:c>
      <x:c r="D2049" s="18" t="n">
        <x:v>46974</x:v>
      </x:c>
      <x:c r="E2049" s="18" t="n">
        <x:v>19.77</x:v>
      </x:c>
      <x:c r="F2049" s="18" t="n">
        <x:v>11.85</x:v>
      </x:c>
      <x:c r="G2049" t="n">
        <x:v>36</x:v>
      </x:c>
      <x:c r="H2049" t="str">
        <x:v>C</x:v>
      </x:c>
      <x:c r="I2049" t="str">
        <x:v>1-3 years</x:v>
      </x:c>
      <x:c r="J2049" t="str">
        <x:v>RENT</x:v>
      </x:c>
      <x:c r="K2049" t="str">
        <x:v>home_improvement</x:v>
      </x:c>
      <x:c r="L2049" t="n">
        <x:v>1</x:v>
      </x:c>
      <x:c r="M2049" t="n">
        <x:v>0</x:v>
      </x:c>
      <x:c r="N2049" t="str">
        <x:v>Fully Paid</x:v>
      </x:c>
      <x:c r="O2049" t="str">
        <x:f>IF(D2049="","Unknown",IF(D2049&lt;25000,"&lt;$25k",IF(D2049&lt;50000,"$25k-$50k",IF(D2049&lt;75000,"$50k-$75k",IF(D2049&lt;100000,"$75k-$100k","$100k+")))))</x:f>
        <x:v>$25k-$50k</x:v>
      </x:c>
      <x:c r="P2049" t="str">
        <x:f>IF(E2049="","Unknown",IF(E2049&lt;10,"&lt;10",IF(E2049&lt;20,"10-&lt;20",IF(E2049&lt;25,"20-&lt;25",IF(E2049&lt;35,"25-&lt;35","35+")))))</x:f>
        <x:v>10-&lt;20</x:v>
      </x:c>
    </x:row>
    <x:row r="2050">
      <x:c r="A2050" t="str">
        <x:v>SYN0002049</x:v>
      </x:c>
      <x:c r="B2050" s="12" t="n">
        <x:v>42175</x:v>
      </x:c>
      <x:c r="C2050" s="18" t="n">
        <x:v>8907</x:v>
      </x:c>
      <x:c r="D2050" s="18" t="n">
        <x:v>195823</x:v>
      </x:c>
      <x:c r="E2050" s="18" t="n">
        <x:v>8.49</x:v>
      </x:c>
      <x:c r="F2050" s="18" t="n">
        <x:v>7.47</x:v>
      </x:c>
      <x:c r="G2050" t="n">
        <x:v>36</x:v>
      </x:c>
      <x:c r="H2050" t="str">
        <x:v>B</x:v>
      </x:c>
      <x:c r="I2050" t="str">
        <x:v>10+ years</x:v>
      </x:c>
      <x:c r="J2050" t="str">
        <x:v>MORTGAGE</x:v>
      </x:c>
      <x:c r="K2050" t="str">
        <x:v>debt_consolidation</x:v>
      </x:c>
      <x:c r="L2050" t="n">
        <x:v>1</x:v>
      </x:c>
      <x:c r="M2050" t="n">
        <x:v>0</x:v>
      </x:c>
      <x:c r="N2050" t="str">
        <x:v>Fully Paid</x:v>
      </x:c>
      <x:c r="O2050" t="str">
        <x:f>IF(D2050="","Unknown",IF(D2050&lt;25000,"&lt;$25k",IF(D2050&lt;50000,"$25k-$50k",IF(D2050&lt;75000,"$50k-$75k",IF(D2050&lt;100000,"$75k-$100k","$100k+")))))</x:f>
        <x:v>$100k+</x:v>
      </x:c>
      <x:c r="P2050" t="str">
        <x:f>IF(E2050="","Unknown",IF(E2050&lt;10,"&lt;10",IF(E2050&lt;20,"10-&lt;20",IF(E2050&lt;25,"20-&lt;25",IF(E2050&lt;35,"25-&lt;35","35+")))))</x:f>
        <x:v>&lt;10</x:v>
      </x:c>
    </x:row>
    <x:row r="2051">
      <x:c r="A2051" t="str">
        <x:v>SYN0002050</x:v>
      </x:c>
      <x:c r="B2051" s="12" t="n">
        <x:v>43405</x:v>
      </x:c>
      <x:c r="C2051" s="18" t="n">
        <x:v>5121</x:v>
      </x:c>
      <x:c r="D2051" s="18" t="n">
        <x:v>61534</x:v>
      </x:c>
      <x:c r="E2051" s="18" t="n">
        <x:v>14.53</x:v>
      </x:c>
      <x:c r="F2051" s="18" t="n">
        <x:v>8.82</x:v>
      </x:c>
      <x:c r="G2051" t="n">
        <x:v>36</x:v>
      </x:c>
      <x:c r="H2051" t="str">
        <x:v>A</x:v>
      </x:c>
      <x:c r="I2051" t="str">
        <x:v>10+ years</x:v>
      </x:c>
      <x:c r="J2051" t="str">
        <x:v>RENT</x:v>
      </x:c>
      <x:c r="K2051" t="str">
        <x:v>debt_consolidation</x:v>
      </x:c>
      <x:c r="L2051" t="n">
        <x:v>0</x:v>
      </x:c>
      <x:c r="M2051" t="n">
        <x:v>0</x:v>
      </x:c>
      <x:c r="N2051" t="str">
        <x:v>Fully Paid</x:v>
      </x:c>
      <x:c r="O2051" t="str">
        <x:f>IF(D2051="","Unknown",IF(D2051&lt;25000,"&lt;$25k",IF(D2051&lt;50000,"$25k-$50k",IF(D2051&lt;75000,"$50k-$75k",IF(D2051&lt;100000,"$75k-$100k","$100k+")))))</x:f>
        <x:v>$50k-$75k</x:v>
      </x:c>
      <x:c r="P2051" t="str">
        <x:f>IF(E2051="","Unknown",IF(E2051&lt;10,"&lt;10",IF(E2051&lt;20,"10-&lt;20",IF(E2051&lt;25,"20-&lt;25",IF(E2051&lt;35,"25-&lt;35","35+")))))</x:f>
        <x:v>10-&lt;20</x:v>
      </x:c>
    </x:row>
    <x:row r="2052">
      <x:c r="A2052" t="str">
        <x:v>SYN0002051</x:v>
      </x:c>
      <x:c r="B2052" s="12" t="n">
        <x:v>42355</x:v>
      </x:c>
      <x:c r="C2052" s="18" t="n">
        <x:v>13975</x:v>
      </x:c>
      <x:c r="D2052" s="18" t="n">
        <x:v>152099</x:v>
      </x:c>
      <x:c r="E2052" s="18" t="n">
        <x:v>6.12</x:v>
      </x:c>
      <x:c r="F2052" s="18" t="n">
        <x:v>6.67</x:v>
      </x:c>
      <x:c r="G2052" t="n">
        <x:v>36</x:v>
      </x:c>
      <x:c r="H2052" t="str">
        <x:v>A</x:v>
      </x:c>
      <x:c r="I2052" t="str">
        <x:v>4-6 years</x:v>
      </x:c>
      <x:c r="J2052" t="str">
        <x:v>OWN</x:v>
      </x:c>
      <x:c r="K2052" t="str">
        <x:v>debt_consolidation</x:v>
      </x:c>
      <x:c r="L2052" t="n">
        <x:v>0</x:v>
      </x:c>
      <x:c r="M2052" t="n">
        <x:v>0</x:v>
      </x:c>
      <x:c r="N2052" t="str">
        <x:v>Fully Paid</x:v>
      </x:c>
      <x:c r="O2052" t="str">
        <x:f>IF(D2052="","Unknown",IF(D2052&lt;25000,"&lt;$25k",IF(D2052&lt;50000,"$25k-$50k",IF(D2052&lt;75000,"$50k-$75k",IF(D2052&lt;100000,"$75k-$100k","$100k+")))))</x:f>
        <x:v>$100k+</x:v>
      </x:c>
      <x:c r="P2052" t="str">
        <x:f>IF(E2052="","Unknown",IF(E2052&lt;10,"&lt;10",IF(E2052&lt;20,"10-&lt;20",IF(E2052&lt;25,"20-&lt;25",IF(E2052&lt;35,"25-&lt;35","35+")))))</x:f>
        <x:v>&lt;10</x:v>
      </x:c>
    </x:row>
    <x:row r="2053">
      <x:c r="A2053" t="str">
        <x:v>SYN0002052</x:v>
      </x:c>
      <x:c r="B2053" s="12" t="n">
        <x:v>42265</x:v>
      </x:c>
      <x:c r="C2053" s="18" t="n">
        <x:v>3902</x:v>
      </x:c>
      <x:c r="D2053" s="18" t="n">
        <x:v>38768</x:v>
      </x:c>
      <x:c r="E2053" s="18" t="n">
        <x:v>38.98</x:v>
      </x:c>
      <x:c r="F2053" s="18" t="n">
        <x:v>13.46</x:v>
      </x:c>
      <x:c r="G2053" t="n">
        <x:v>36</x:v>
      </x:c>
      <x:c r="H2053" t="str">
        <x:v>C</x:v>
      </x:c>
      <x:c r="I2053" t="str">
        <x:v>7-9 years</x:v>
      </x:c>
      <x:c r="J2053" t="str">
        <x:v>RENT</x:v>
      </x:c>
      <x:c r="K2053" t="str">
        <x:v>debt_consolidation</x:v>
      </x:c>
      <x:c r="L2053" t="n">
        <x:v>2</x:v>
      </x:c>
      <x:c r="M2053" t="n">
        <x:v>0</x:v>
      </x:c>
      <x:c r="N2053" t="str">
        <x:v>Fully Paid</x:v>
      </x:c>
      <x:c r="O2053" t="str">
        <x:f>IF(D2053="","Unknown",IF(D2053&lt;25000,"&lt;$25k",IF(D2053&lt;50000,"$25k-$50k",IF(D2053&lt;75000,"$50k-$75k",IF(D2053&lt;100000,"$75k-$100k","$100k+")))))</x:f>
        <x:v>$25k-$50k</x:v>
      </x:c>
      <x:c r="P2053" t="str">
        <x:f>IF(E2053="","Unknown",IF(E2053&lt;10,"&lt;10",IF(E2053&lt;20,"10-&lt;20",IF(E2053&lt;25,"20-&lt;25",IF(E2053&lt;35,"25-&lt;35","35+")))))</x:f>
        <x:v>35+</x:v>
      </x:c>
    </x:row>
    <x:row r="2054">
      <x:c r="A2054" t="str">
        <x:v>SYN0002053</x:v>
      </x:c>
      <x:c r="B2054" s="12" t="n">
        <x:v>42835</x:v>
      </x:c>
      <x:c r="C2054" s="18" t="n">
        <x:v>11697</x:v>
      </x:c>
      <x:c r="D2054" s="18" t="n">
        <x:v>96874</x:v>
      </x:c>
      <x:c r="E2054" s="18" t="n">
        <x:v>22.31</x:v>
      </x:c>
      <x:c r="F2054" s="18" t="n">
        <x:v>26.9</x:v>
      </x:c>
      <x:c r="G2054" t="n">
        <x:v>60</x:v>
      </x:c>
      <x:c r="H2054" t="str">
        <x:v>G</x:v>
      </x:c>
      <x:c r="I2054" t="str">
        <x:v>10+ years</x:v>
      </x:c>
      <x:c r="J2054" t="str">
        <x:v>MORTGAGE</x:v>
      </x:c>
      <x:c r="K2054" t="str">
        <x:v>debt_consolidation</x:v>
      </x:c>
      <x:c r="L2054" t="n">
        <x:v>0</x:v>
      </x:c>
      <x:c r="M2054" t="n">
        <x:v>1</x:v>
      </x:c>
      <x:c r="N2054" t="str">
        <x:v>Charged Off</x:v>
      </x:c>
      <x:c r="O2054" t="str">
        <x:f>IF(D2054="","Unknown",IF(D2054&lt;25000,"&lt;$25k",IF(D2054&lt;50000,"$25k-$50k",IF(D2054&lt;75000,"$50k-$75k",IF(D2054&lt;100000,"$75k-$100k","$100k+")))))</x:f>
        <x:v>$75k-$100k</x:v>
      </x:c>
      <x:c r="P2054" t="str">
        <x:f>IF(E2054="","Unknown",IF(E2054&lt;10,"&lt;10",IF(E2054&lt;20,"10-&lt;20",IF(E2054&lt;25,"20-&lt;25",IF(E2054&lt;35,"25-&lt;35","35+")))))</x:f>
        <x:v>20-&lt;25</x:v>
      </x:c>
    </x:row>
    <x:row r="2055">
      <x:c r="A2055" t="str">
        <x:v>SYN0002054</x:v>
      </x:c>
      <x:c r="B2055" s="12" t="n">
        <x:v>42145</x:v>
      </x:c>
      <x:c r="C2055" s="18" t="n">
        <x:v>17403</x:v>
      </x:c>
      <x:c r="D2055" s="18" t="n">
        <x:v>21696</x:v>
      </x:c>
      <x:c r="E2055" s="18" t="n">
        <x:v>15.95</x:v>
      </x:c>
      <x:c r="F2055" s="18" t="n">
        <x:v>7.9</x:v>
      </x:c>
      <x:c r="G2055" t="n">
        <x:v>36</x:v>
      </x:c>
      <x:c r="H2055" t="str">
        <x:v>B</x:v>
      </x:c>
      <x:c r="I2055" t="str">
        <x:v>7-9 years</x:v>
      </x:c>
      <x:c r="J2055" t="str">
        <x:v>RENT</x:v>
      </x:c>
      <x:c r="K2055" t="str">
        <x:v>debt_consolidation</x:v>
      </x:c>
      <x:c r="L2055" t="n">
        <x:v>0</x:v>
      </x:c>
      <x:c r="M2055" t="n">
        <x:v>0</x:v>
      </x:c>
      <x:c r="N2055" t="str">
        <x:v>Fully Paid</x:v>
      </x:c>
      <x:c r="O2055" t="str">
        <x:f>IF(D2055="","Unknown",IF(D2055&lt;25000,"&lt;$25k",IF(D2055&lt;50000,"$25k-$50k",IF(D2055&lt;75000,"$50k-$75k",IF(D2055&lt;100000,"$75k-$100k","$100k+")))))</x:f>
        <x:v>&lt;$25k</x:v>
      </x:c>
      <x:c r="P2055" t="str">
        <x:f>IF(E2055="","Unknown",IF(E2055&lt;10,"&lt;10",IF(E2055&lt;20,"10-&lt;20",IF(E2055&lt;25,"20-&lt;25",IF(E2055&lt;35,"25-&lt;35","35+")))))</x:f>
        <x:v>10-&lt;20</x:v>
      </x:c>
    </x:row>
    <x:row r="2056">
      <x:c r="A2056" t="str">
        <x:v>SYN0002055</x:v>
      </x:c>
      <x:c r="B2056" s="12" t="n">
        <x:v>41995</x:v>
      </x:c>
      <x:c r="C2056" s="18" t="n">
        <x:v>18957</x:v>
      </x:c>
      <x:c r="D2056" s="18" t="n">
        <x:v>78982</x:v>
      </x:c>
      <x:c r="E2056" s="18" t="n">
        <x:v>10.4</x:v>
      </x:c>
      <x:c r="F2056" s="18" t="n">
        <x:v>11.5</x:v>
      </x:c>
      <x:c r="G2056" t="n">
        <x:v>36</x:v>
      </x:c>
      <x:c r="H2056" t="str">
        <x:v>C</x:v>
      </x:c>
      <x:c r="I2056" t="str">
        <x:v>7-9 years</x:v>
      </x:c>
      <x:c r="J2056" t="str">
        <x:v>OWN</x:v>
      </x:c>
      <x:c r="K2056" t="str">
        <x:v>debt_consolidation</x:v>
      </x:c>
      <x:c r="L2056" t="n">
        <x:v>2</x:v>
      </x:c>
      <x:c r="M2056" t="n">
        <x:v>0</x:v>
      </x:c>
      <x:c r="N2056" t="str">
        <x:v>Fully Paid</x:v>
      </x:c>
      <x:c r="O2056" t="str">
        <x:f>IF(D2056="","Unknown",IF(D2056&lt;25000,"&lt;$25k",IF(D2056&lt;50000,"$25k-$50k",IF(D2056&lt;75000,"$50k-$75k",IF(D2056&lt;100000,"$75k-$100k","$100k+")))))</x:f>
        <x:v>$75k-$100k</x:v>
      </x:c>
      <x:c r="P2056" t="str">
        <x:f>IF(E2056="","Unknown",IF(E2056&lt;10,"&lt;10",IF(E2056&lt;20,"10-&lt;20",IF(E2056&lt;25,"20-&lt;25",IF(E2056&lt;35,"25-&lt;35","35+")))))</x:f>
        <x:v>10-&lt;20</x:v>
      </x:c>
    </x:row>
    <x:row r="2057">
      <x:c r="A2057" t="str">
        <x:v>SYN0002056</x:v>
      </x:c>
      <x:c r="B2057" s="12" t="n">
        <x:v>41635</x:v>
      </x:c>
      <x:c r="C2057" s="18" t="n">
        <x:v>8558</x:v>
      </x:c>
      <x:c r="D2057" s="18" t="n">
        <x:v>19270</x:v>
      </x:c>
      <x:c r="E2057" s="18" t="n">
        <x:v>21.45</x:v>
      </x:c>
      <x:c r="F2057" s="18" t="n">
        <x:v>14.85</x:v>
      </x:c>
      <x:c r="G2057" t="n">
        <x:v>36</x:v>
      </x:c>
      <x:c r="H2057" t="str">
        <x:v>D</x:v>
      </x:c>
      <x:c r="I2057" t="str">
        <x:v>&lt;1 year</x:v>
      </x:c>
      <x:c r="J2057" t="str">
        <x:v>MORTGAGE</x:v>
      </x:c>
      <x:c r="K2057" t="str">
        <x:v>debt_consolidation</x:v>
      </x:c>
      <x:c r="L2057" t="n">
        <x:v>0</x:v>
      </x:c>
      <x:c r="M2057" t="n">
        <x:v>0</x:v>
      </x:c>
      <x:c r="N2057" t="str">
        <x:v>Fully Paid</x:v>
      </x:c>
      <x:c r="O2057" t="str">
        <x:f>IF(D2057="","Unknown",IF(D2057&lt;25000,"&lt;$25k",IF(D2057&lt;50000,"$25k-$50k",IF(D2057&lt;75000,"$50k-$75k",IF(D2057&lt;100000,"$75k-$100k","$100k+")))))</x:f>
        <x:v>&lt;$25k</x:v>
      </x:c>
      <x:c r="P2057" t="str">
        <x:f>IF(E2057="","Unknown",IF(E2057&lt;10,"&lt;10",IF(E2057&lt;20,"10-&lt;20",IF(E2057&lt;25,"20-&lt;25",IF(E2057&lt;35,"25-&lt;35","35+")))))</x:f>
        <x:v>20-&lt;25</x:v>
      </x:c>
    </x:row>
    <x:row r="2058">
      <x:c r="A2058" t="str">
        <x:v>SYN0002057</x:v>
      </x:c>
      <x:c r="B2058" s="12" t="n">
        <x:v>41515</x:v>
      </x:c>
      <x:c r="C2058" s="18" t="n">
        <x:v>25135</x:v>
      </x:c>
      <x:c r="D2058" s="18" t="n">
        <x:v>20888</x:v>
      </x:c>
      <x:c r="E2058" s="18" t="n">
        <x:v>13.38</x:v>
      </x:c>
      <x:c r="F2058" s="18" t="n">
        <x:v>18</x:v>
      </x:c>
      <x:c r="G2058" t="n">
        <x:v>36</x:v>
      </x:c>
      <x:c r="H2058" t="str">
        <x:v>D</x:v>
      </x:c>
      <x:c r="I2058" t="str">
        <x:v>10+ years</x:v>
      </x:c>
      <x:c r="J2058" t="str">
        <x:v>RENT</x:v>
      </x:c>
      <x:c r="K2058" t="str">
        <x:v>debt_consolidation</x:v>
      </x:c>
      <x:c r="L2058" t="n">
        <x:v>2</x:v>
      </x:c>
      <x:c r="M2058" t="n">
        <x:v>0</x:v>
      </x:c>
      <x:c r="N2058" t="str">
        <x:v>Fully Paid</x:v>
      </x:c>
      <x:c r="O2058" t="str">
        <x:f>IF(D2058="","Unknown",IF(D2058&lt;25000,"&lt;$25k",IF(D2058&lt;50000,"$25k-$50k",IF(D2058&lt;75000,"$50k-$75k",IF(D2058&lt;100000,"$75k-$100k","$100k+")))))</x:f>
        <x:v>&lt;$25k</x:v>
      </x:c>
      <x:c r="P2058" t="str">
        <x:f>IF(E2058="","Unknown",IF(E2058&lt;10,"&lt;10",IF(E2058&lt;20,"10-&lt;20",IF(E2058&lt;25,"20-&lt;25",IF(E2058&lt;35,"25-&lt;35","35+")))))</x:f>
        <x:v>10-&lt;20</x:v>
      </x:c>
    </x:row>
    <x:row r="2059">
      <x:c r="A2059" t="str">
        <x:v>SYN0002058</x:v>
      </x:c>
      <x:c r="B2059" s="12" t="n">
        <x:v>42775</x:v>
      </x:c>
      <x:c r="C2059" s="18" t="n">
        <x:v>6978</x:v>
      </x:c>
      <x:c r="D2059" s="18" t="n">
        <x:v>116648</x:v>
      </x:c>
      <x:c r="E2059" s="18" t="n">
        <x:v>18.27</x:v>
      </x:c>
      <x:c r="F2059" s="18" t="n">
        <x:v>14.04</x:v>
      </x:c>
      <x:c r="G2059" t="n">
        <x:v>36</x:v>
      </x:c>
      <x:c r="H2059" t="str">
        <x:v>D</x:v>
      </x:c>
      <x:c r="I2059" t="str">
        <x:v>10+ years</x:v>
      </x:c>
      <x:c r="J2059" t="str">
        <x:v>RENT</x:v>
      </x:c>
      <x:c r="K2059" t="str">
        <x:v>home_improvement</x:v>
      </x:c>
      <x:c r="L2059" t="n">
        <x:v>0</x:v>
      </x:c>
      <x:c r="M2059" t="n">
        <x:v>0</x:v>
      </x:c>
      <x:c r="N2059" t="str">
        <x:v>Fully Paid</x:v>
      </x:c>
      <x:c r="O2059" t="str">
        <x:f>IF(D2059="","Unknown",IF(D2059&lt;25000,"&lt;$25k",IF(D2059&lt;50000,"$25k-$50k",IF(D2059&lt;75000,"$50k-$75k",IF(D2059&lt;100000,"$75k-$100k","$100k+")))))</x:f>
        <x:v>$100k+</x:v>
      </x:c>
      <x:c r="P2059" t="str">
        <x:f>IF(E2059="","Unknown",IF(E2059&lt;10,"&lt;10",IF(E2059&lt;20,"10-&lt;20",IF(E2059&lt;25,"20-&lt;25",IF(E2059&lt;35,"25-&lt;35","35+")))))</x:f>
        <x:v>10-&lt;20</x:v>
      </x:c>
    </x:row>
    <x:row r="2060">
      <x:c r="A2060" t="str">
        <x:v>SYN0002059</x:v>
      </x:c>
      <x:c r="B2060" s="12" t="n">
        <x:v>42595</x:v>
      </x:c>
      <x:c r="C2060" s="18" t="n">
        <x:v>15019</x:v>
      </x:c>
      <x:c r="D2060" s="18" t="n">
        <x:v>47467</x:v>
      </x:c>
      <x:c r="E2060" s="18" t="n">
        <x:v>30.85</x:v>
      </x:c>
      <x:c r="F2060" s="18" t="n">
        <x:v>12.6</x:v>
      </x:c>
      <x:c r="G2060" t="n">
        <x:v>60</x:v>
      </x:c>
      <x:c r="H2060" t="str">
        <x:v>D</x:v>
      </x:c>
      <x:c r="I2060" t="str">
        <x:v>7-9 years</x:v>
      </x:c>
      <x:c r="J2060" t="str">
        <x:v>OWN</x:v>
      </x:c>
      <x:c r="K2060" t="str">
        <x:v>debt_consolidation</x:v>
      </x:c>
      <x:c r="L2060" t="n">
        <x:v>0</x:v>
      </x:c>
      <x:c r="M2060" t="n">
        <x:v>0</x:v>
      </x:c>
      <x:c r="N2060" t="str">
        <x:v>Fully Paid</x:v>
      </x:c>
      <x:c r="O2060" t="str">
        <x:f>IF(D2060="","Unknown",IF(D2060&lt;25000,"&lt;$25k",IF(D2060&lt;50000,"$25k-$50k",IF(D2060&lt;75000,"$50k-$75k",IF(D2060&lt;100000,"$75k-$100k","$100k+")))))</x:f>
        <x:v>$25k-$50k</x:v>
      </x:c>
      <x:c r="P2060" t="str">
        <x:f>IF(E2060="","Unknown",IF(E2060&lt;10,"&lt;10",IF(E2060&lt;20,"10-&lt;20",IF(E2060&lt;25,"20-&lt;25",IF(E2060&lt;35,"25-&lt;35","35+")))))</x:f>
        <x:v>25-&lt;35</x:v>
      </x:c>
    </x:row>
    <x:row r="2061">
      <x:c r="A2061" t="str">
        <x:v>SYN0002060</x:v>
      </x:c>
      <x:c r="B2061" s="12" t="n">
        <x:v>42865</x:v>
      </x:c>
      <x:c r="C2061" s="18" t="n">
        <x:v>7236</x:v>
      </x:c>
      <x:c r="D2061" s="18" t="n">
        <x:v>67723</x:v>
      </x:c>
      <x:c r="E2061" s="18" t="n">
        <x:v>25.74</x:v>
      </x:c>
      <x:c r="F2061" s="18" t="n">
        <x:v>10.42</x:v>
      </x:c>
      <x:c r="G2061" t="n">
        <x:v>60</x:v>
      </x:c>
      <x:c r="H2061" t="str">
        <x:v>C</x:v>
      </x:c>
      <x:c r="I2061" t="str">
        <x:v>7-9 years</x:v>
      </x:c>
      <x:c r="J2061" t="str">
        <x:v>MORTGAGE</x:v>
      </x:c>
      <x:c r="K2061" t="str">
        <x:v>major_purchase</x:v>
      </x:c>
      <x:c r="L2061" t="n">
        <x:v>0</x:v>
      </x:c>
      <x:c r="M2061" t="n">
        <x:v>1</x:v>
      </x:c>
      <x:c r="N2061" t="str">
        <x:v>Charged Off</x:v>
      </x:c>
      <x:c r="O2061" t="str">
        <x:f>IF(D2061="","Unknown",IF(D2061&lt;25000,"&lt;$25k",IF(D2061&lt;50000,"$25k-$50k",IF(D2061&lt;75000,"$50k-$75k",IF(D2061&lt;100000,"$75k-$100k","$100k+")))))</x:f>
        <x:v>$50k-$75k</x:v>
      </x:c>
      <x:c r="P2061" t="str">
        <x:f>IF(E2061="","Unknown",IF(E2061&lt;10,"&lt;10",IF(E2061&lt;20,"10-&lt;20",IF(E2061&lt;25,"20-&lt;25",IF(E2061&lt;35,"25-&lt;35","35+")))))</x:f>
        <x:v>25-&lt;35</x:v>
      </x:c>
    </x:row>
    <x:row r="2062">
      <x:c r="A2062" t="str">
        <x:v>SYN0002061</x:v>
      </x:c>
      <x:c r="B2062" s="12" t="n">
        <x:v>42475</x:v>
      </x:c>
      <x:c r="C2062" s="18" t="n">
        <x:v>11572</x:v>
      </x:c>
      <x:c r="D2062" s="18" t="n">
        <x:v>41658</x:v>
      </x:c>
      <x:c r="E2062" s="18" t="n">
        <x:v>5.64</x:v>
      </x:c>
      <x:c r="F2062" s="18" t="n">
        <x:v>10.16</x:v>
      </x:c>
      <x:c r="G2062" t="n">
        <x:v>36</x:v>
      </x:c>
      <x:c r="H2062" t="str">
        <x:v>B</x:v>
      </x:c>
      <x:c r="I2062" t="str">
        <x:v>7-9 years</x:v>
      </x:c>
      <x:c r="J2062" t="str">
        <x:v>MORTGAGE</x:v>
      </x:c>
      <x:c r="K2062" t="str">
        <x:v>debt_consolidation</x:v>
      </x:c>
      <x:c r="L2062" t="n">
        <x:v>1</x:v>
      </x:c>
      <x:c r="M2062" t="n">
        <x:v>0</x:v>
      </x:c>
      <x:c r="N2062" t="str">
        <x:v>Fully Paid</x:v>
      </x:c>
      <x:c r="O2062" t="str">
        <x:f>IF(D2062="","Unknown",IF(D2062&lt;25000,"&lt;$25k",IF(D2062&lt;50000,"$25k-$50k",IF(D2062&lt;75000,"$50k-$75k",IF(D2062&lt;100000,"$75k-$100k","$100k+")))))</x:f>
        <x:v>$25k-$50k</x:v>
      </x:c>
      <x:c r="P2062" t="str">
        <x:f>IF(E2062="","Unknown",IF(E2062&lt;10,"&lt;10",IF(E2062&lt;20,"10-&lt;20",IF(E2062&lt;25,"20-&lt;25",IF(E2062&lt;35,"25-&lt;35","35+")))))</x:f>
        <x:v>&lt;10</x:v>
      </x:c>
    </x:row>
    <x:row r="2063">
      <x:c r="A2063" t="str">
        <x:v>SYN0002062</x:v>
      </x:c>
      <x:c r="B2063" s="12" t="n">
        <x:v>41395</x:v>
      </x:c>
      <x:c r="C2063" s="18" t="n">
        <x:v>11050</x:v>
      </x:c>
      <x:c r="D2063" s="18" t="n">
        <x:v>70378</x:v>
      </x:c>
      <x:c r="E2063" s="18" t="n">
        <x:v>25.23</x:v>
      </x:c>
      <x:c r="F2063" s="18" t="n">
        <x:v>24.12</x:v>
      </x:c>
      <x:c r="G2063" t="n">
        <x:v>36</x:v>
      </x:c>
      <x:c r="H2063" t="str">
        <x:v>F</x:v>
      </x:c>
      <x:c r="I2063" t="str">
        <x:v>10+ years</x:v>
      </x:c>
      <x:c r="J2063" t="str">
        <x:v>RENT</x:v>
      </x:c>
      <x:c r="K2063" t="str">
        <x:v>debt_consolidation</x:v>
      </x:c>
      <x:c r="L2063" t="n">
        <x:v>4</x:v>
      </x:c>
      <x:c r="M2063" t="n">
        <x:v>0</x:v>
      </x:c>
      <x:c r="N2063" t="str">
        <x:v>Fully Paid</x:v>
      </x:c>
      <x:c r="O2063" t="str">
        <x:f>IF(D2063="","Unknown",IF(D2063&lt;25000,"&lt;$25k",IF(D2063&lt;50000,"$25k-$50k",IF(D2063&lt;75000,"$50k-$75k",IF(D2063&lt;100000,"$75k-$100k","$100k+")))))</x:f>
        <x:v>$50k-$75k</x:v>
      </x:c>
      <x:c r="P2063" t="str">
        <x:f>IF(E2063="","Unknown",IF(E2063&lt;10,"&lt;10",IF(E2063&lt;20,"10-&lt;20",IF(E2063&lt;25,"20-&lt;25",IF(E2063&lt;35,"25-&lt;35","35+")))))</x:f>
        <x:v>25-&lt;35</x:v>
      </x:c>
    </x:row>
    <x:row r="2064">
      <x:c r="A2064" t="str">
        <x:v>SYN0002063</x:v>
      </x:c>
      <x:c r="B2064" s="12" t="n">
        <x:v>41725</x:v>
      </x:c>
      <x:c r="C2064" s="18" t="n">
        <x:v>22296</x:v>
      </x:c>
      <x:c r="D2064" s="18" t="n">
        <x:v>45048</x:v>
      </x:c>
      <x:c r="E2064" s="18" t="n">
        <x:v>13.38</x:v>
      </x:c>
      <x:c r="F2064" s="18" t="n">
        <x:v>7.98</x:v>
      </x:c>
      <x:c r="G2064" t="n">
        <x:v>36</x:v>
      </x:c>
      <x:c r="H2064" t="str">
        <x:v>B</x:v>
      </x:c>
      <x:c r="I2064" t="str">
        <x:v>4-6 years</x:v>
      </x:c>
      <x:c r="J2064" t="str">
        <x:v>RENT</x:v>
      </x:c>
      <x:c r="K2064" t="str">
        <x:v>debt_consolidation</x:v>
      </x:c>
      <x:c r="L2064" t="n">
        <x:v>0</x:v>
      </x:c>
      <x:c r="M2064" t="n">
        <x:v>0</x:v>
      </x:c>
      <x:c r="N2064" t="str">
        <x:v>Fully Paid</x:v>
      </x:c>
      <x:c r="O2064" t="str">
        <x:f>IF(D2064="","Unknown",IF(D2064&lt;25000,"&lt;$25k",IF(D2064&lt;50000,"$25k-$50k",IF(D2064&lt;75000,"$50k-$75k",IF(D2064&lt;100000,"$75k-$100k","$100k+")))))</x:f>
        <x:v>$25k-$50k</x:v>
      </x:c>
      <x:c r="P2064" t="str">
        <x:f>IF(E2064="","Unknown",IF(E2064&lt;10,"&lt;10",IF(E2064&lt;20,"10-&lt;20",IF(E2064&lt;25,"20-&lt;25",IF(E2064&lt;35,"25-&lt;35","35+")))))</x:f>
        <x:v>10-&lt;20</x:v>
      </x:c>
    </x:row>
    <x:row r="2065">
      <x:c r="A2065" t="str">
        <x:v>SYN0002064</x:v>
      </x:c>
      <x:c r="B2065" s="12" t="n">
        <x:v>41545</x:v>
      </x:c>
      <x:c r="C2065" s="18" t="n">
        <x:v>20364</x:v>
      </x:c>
      <x:c r="D2065" s="18" t="n">
        <x:v>23074</x:v>
      </x:c>
      <x:c r="E2065" s="18" t="n">
        <x:v>20.53</x:v>
      </x:c>
      <x:c r="F2065" s="18" t="n">
        <x:v>7.8</x:v>
      </x:c>
      <x:c r="G2065" t="n">
        <x:v>36</x:v>
      </x:c>
      <x:c r="H2065" t="str">
        <x:v>B</x:v>
      </x:c>
      <x:c r="I2065" t="str">
        <x:v>10+ years</x:v>
      </x:c>
      <x:c r="J2065" t="str">
        <x:v>RENT</x:v>
      </x:c>
      <x:c r="K2065" t="str">
        <x:v>credit_card</x:v>
      </x:c>
      <x:c r="L2065" t="n">
        <x:v>0</x:v>
      </x:c>
      <x:c r="M2065" t="n">
        <x:v>0</x:v>
      </x:c>
      <x:c r="N2065" t="str">
        <x:v>Fully Paid</x:v>
      </x:c>
      <x:c r="O2065" t="str">
        <x:f>IF(D2065="","Unknown",IF(D2065&lt;25000,"&lt;$25k",IF(D2065&lt;50000,"$25k-$50k",IF(D2065&lt;75000,"$50k-$75k",IF(D2065&lt;100000,"$75k-$100k","$100k+")))))</x:f>
        <x:v>&lt;$25k</x:v>
      </x:c>
      <x:c r="P2065" t="str">
        <x:f>IF(E2065="","Unknown",IF(E2065&lt;10,"&lt;10",IF(E2065&lt;20,"10-&lt;20",IF(E2065&lt;25,"20-&lt;25",IF(E2065&lt;35,"25-&lt;35","35+")))))</x:f>
        <x:v>20-&lt;25</x:v>
      </x:c>
    </x:row>
    <x:row r="2066">
      <x:c r="A2066" t="str">
        <x:v>SYN0002065</x:v>
      </x:c>
      <x:c r="B2066" s="12" t="n">
        <x:v>41635</x:v>
      </x:c>
      <x:c r="C2066" s="18" t="n">
        <x:v>5283</x:v>
      </x:c>
      <x:c r="D2066" s="18" t="n">
        <x:v>19428</x:v>
      </x:c>
      <x:c r="E2066" s="18" t="n">
        <x:v>25.95</x:v>
      </x:c>
      <x:c r="F2066" s="18" t="n">
        <x:v>12.85</x:v>
      </x:c>
      <x:c r="G2066" t="n">
        <x:v>36</x:v>
      </x:c>
      <x:c r="H2066" t="str">
        <x:v>D</x:v>
      </x:c>
      <x:c r="I2066" t="str">
        <x:v>10+ years</x:v>
      </x:c>
      <x:c r="J2066" t="str">
        <x:v>MORTGAGE</x:v>
      </x:c>
      <x:c r="K2066" t="str">
        <x:v>home_improvement</x:v>
      </x:c>
      <x:c r="L2066" t="n">
        <x:v>1</x:v>
      </x:c>
      <x:c r="M2066" t="n">
        <x:v>0</x:v>
      </x:c>
      <x:c r="N2066" t="str">
        <x:v>Fully Paid</x:v>
      </x:c>
      <x:c r="O2066" t="str">
        <x:f>IF(D2066="","Unknown",IF(D2066&lt;25000,"&lt;$25k",IF(D2066&lt;50000,"$25k-$50k",IF(D2066&lt;75000,"$50k-$75k",IF(D2066&lt;100000,"$75k-$100k","$100k+")))))</x:f>
        <x:v>&lt;$25k</x:v>
      </x:c>
      <x:c r="P2066" t="str">
        <x:f>IF(E2066="","Unknown",IF(E2066&lt;10,"&lt;10",IF(E2066&lt;20,"10-&lt;20",IF(E2066&lt;25,"20-&lt;25",IF(E2066&lt;35,"25-&lt;35","35+")))))</x:f>
        <x:v>25-&lt;35</x:v>
      </x:c>
    </x:row>
    <x:row r="2067">
      <x:c r="A2067" t="str">
        <x:v>SYN0002066</x:v>
      </x:c>
      <x:c r="B2067" s="12" t="n">
        <x:v>42625</x:v>
      </x:c>
      <x:c r="C2067" s="18" t="n">
        <x:v>16057</x:v>
      </x:c>
      <x:c r="D2067" s="18" t="n">
        <x:v>36477</x:v>
      </x:c>
      <x:c r="E2067" s="18" t="n">
        <x:v>16.07</x:v>
      </x:c>
      <x:c r="F2067" s="18" t="n">
        <x:v>9.82</x:v>
      </x:c>
      <x:c r="G2067" t="n">
        <x:v>36</x:v>
      </x:c>
      <x:c r="H2067" t="str">
        <x:v>B</x:v>
      </x:c>
      <x:c r="I2067" t="str">
        <x:v>10+ years</x:v>
      </x:c>
      <x:c r="J2067" t="str">
        <x:v>MORTGAGE</x:v>
      </x:c>
      <x:c r="K2067" t="str">
        <x:v>medical</x:v>
      </x:c>
      <x:c r="L2067" t="n">
        <x:v>1</x:v>
      </x:c>
      <x:c r="M2067" t="n">
        <x:v>0</x:v>
      </x:c>
      <x:c r="N2067" t="str">
        <x:v>Fully Paid</x:v>
      </x:c>
      <x:c r="O2067" t="str">
        <x:f>IF(D2067="","Unknown",IF(D2067&lt;25000,"&lt;$25k",IF(D2067&lt;50000,"$25k-$50k",IF(D2067&lt;75000,"$50k-$75k",IF(D2067&lt;100000,"$75k-$100k","$100k+")))))</x:f>
        <x:v>$25k-$50k</x:v>
      </x:c>
      <x:c r="P2067" t="str">
        <x:f>IF(E2067="","Unknown",IF(E2067&lt;10,"&lt;10",IF(E2067&lt;20,"10-&lt;20",IF(E2067&lt;25,"20-&lt;25",IF(E2067&lt;35,"25-&lt;35","35+")))))</x:f>
        <x:v>10-&lt;20</x:v>
      </x:c>
    </x:row>
    <x:row r="2068">
      <x:c r="A2068" t="str">
        <x:v>SYN0002067</x:v>
      </x:c>
      <x:c r="B2068" s="12" t="n">
        <x:v>41395</x:v>
      </x:c>
      <x:c r="C2068" s="18" t="n">
        <x:v>5609</x:v>
      </x:c>
      <x:c r="D2068" s="18" t="n">
        <x:v>12000</x:v>
      </x:c>
      <x:c r="E2068" s="18" t="n">
        <x:v>17.24</x:v>
      </x:c>
      <x:c r="F2068" s="18" t="n">
        <x:v>11.63</x:v>
      </x:c>
      <x:c r="G2068" t="n">
        <x:v>60</x:v>
      </x:c>
      <x:c r="H2068" t="str">
        <x:v>C</x:v>
      </x:c>
      <x:c r="I2068" t="str">
        <x:v>1-3 years</x:v>
      </x:c>
      <x:c r="J2068" t="str">
        <x:v>OWN</x:v>
      </x:c>
      <x:c r="K2068" t="str">
        <x:v>major_purchase</x:v>
      </x:c>
      <x:c r="L2068" t="n">
        <x:v>0</x:v>
      </x:c>
      <x:c r="M2068" t="n">
        <x:v>0</x:v>
      </x:c>
      <x:c r="N2068" t="str">
        <x:v>Fully Paid</x:v>
      </x:c>
      <x:c r="O2068" t="str">
        <x:f>IF(D2068="","Unknown",IF(D2068&lt;25000,"&lt;$25k",IF(D2068&lt;50000,"$25k-$50k",IF(D2068&lt;75000,"$50k-$75k",IF(D2068&lt;100000,"$75k-$100k","$100k+")))))</x:f>
        <x:v>&lt;$25k</x:v>
      </x:c>
      <x:c r="P2068" t="str">
        <x:f>IF(E2068="","Unknown",IF(E2068&lt;10,"&lt;10",IF(E2068&lt;20,"10-&lt;20",IF(E2068&lt;25,"20-&lt;25",IF(E2068&lt;35,"25-&lt;35","35+")))))</x:f>
        <x:v>10-&lt;20</x:v>
      </x:c>
    </x:row>
    <x:row r="2069">
      <x:c r="A2069" t="str">
        <x:v>SYN0002068</x:v>
      </x:c>
      <x:c r="B2069" s="12" t="n">
        <x:v>42025</x:v>
      </x:c>
      <x:c r="C2069" s="18" t="n">
        <x:v>10765</x:v>
      </x:c>
      <x:c r="D2069" s="18" t="n">
        <x:v>122245</x:v>
      </x:c>
      <x:c r="E2069" s="18" t="n">
        <x:v>17.13</x:v>
      </x:c>
      <x:c r="F2069" s="18" t="n">
        <x:v>10.32</x:v>
      </x:c>
      <x:c r="G2069" t="n">
        <x:v>36</x:v>
      </x:c>
      <x:c r="H2069" t="str">
        <x:v>C</x:v>
      </x:c>
      <x:c r="I2069" t="str">
        <x:v>&lt;1 year</x:v>
      </x:c>
      <x:c r="J2069" t="str">
        <x:v>RENT</x:v>
      </x:c>
      <x:c r="K2069" t="str">
        <x:v>other</x:v>
      </x:c>
      <x:c r="L2069" t="n">
        <x:v>0</x:v>
      </x:c>
      <x:c r="M2069" t="n">
        <x:v>0</x:v>
      </x:c>
      <x:c r="N2069" t="str">
        <x:v>Fully Paid</x:v>
      </x:c>
      <x:c r="O2069" t="str">
        <x:f>IF(D2069="","Unknown",IF(D2069&lt;25000,"&lt;$25k",IF(D2069&lt;50000,"$25k-$50k",IF(D2069&lt;75000,"$50k-$75k",IF(D2069&lt;100000,"$75k-$100k","$100k+")))))</x:f>
        <x:v>$100k+</x:v>
      </x:c>
      <x:c r="P2069" t="str">
        <x:f>IF(E2069="","Unknown",IF(E2069&lt;10,"&lt;10",IF(E2069&lt;20,"10-&lt;20",IF(E2069&lt;25,"20-&lt;25",IF(E2069&lt;35,"25-&lt;35","35+")))))</x:f>
        <x:v>10-&lt;20</x:v>
      </x:c>
    </x:row>
    <x:row r="2070">
      <x:c r="A2070" t="str">
        <x:v>SYN0002069</x:v>
      </x:c>
      <x:c r="B2070" s="12" t="n">
        <x:v>42235</x:v>
      </x:c>
      <x:c r="C2070" s="18" t="n">
        <x:v>21154</x:v>
      </x:c>
      <x:c r="D2070" s="18" t="n">
        <x:v>34266</x:v>
      </x:c>
      <x:c r="E2070" s="18" t="n">
        <x:v>28.65</x:v>
      </x:c>
      <x:c r="F2070" s="18" t="n">
        <x:v>5</x:v>
      </x:c>
      <x:c r="G2070" t="n">
        <x:v>60</x:v>
      </x:c>
      <x:c r="H2070" t="str">
        <x:v>B</x:v>
      </x:c>
      <x:c r="I2070" t="str">
        <x:v>10+ years</x:v>
      </x:c>
      <x:c r="J2070" t="str">
        <x:v>RENT</x:v>
      </x:c>
      <x:c r="K2070" t="str">
        <x:v>medical</x:v>
      </x:c>
      <x:c r="L2070" t="n">
        <x:v>1</x:v>
      </x:c>
      <x:c r="M2070" t="n">
        <x:v>0</x:v>
      </x:c>
      <x:c r="N2070" t="str">
        <x:v>Fully Paid</x:v>
      </x:c>
      <x:c r="O2070" t="str">
        <x:f>IF(D2070="","Unknown",IF(D2070&lt;25000,"&lt;$25k",IF(D2070&lt;50000,"$25k-$50k",IF(D2070&lt;75000,"$50k-$75k",IF(D2070&lt;100000,"$75k-$100k","$100k+")))))</x:f>
        <x:v>$25k-$50k</x:v>
      </x:c>
      <x:c r="P2070" t="str">
        <x:f>IF(E2070="","Unknown",IF(E2070&lt;10,"&lt;10",IF(E2070&lt;20,"10-&lt;20",IF(E2070&lt;25,"20-&lt;25",IF(E2070&lt;35,"25-&lt;35","35+")))))</x:f>
        <x:v>25-&lt;35</x:v>
      </x:c>
    </x:row>
    <x:row r="2071">
      <x:c r="A2071" t="str">
        <x:v>SYN0002070</x:v>
      </x:c>
      <x:c r="B2071" s="12" t="n">
        <x:v>43135</x:v>
      </x:c>
      <x:c r="C2071" s="18" t="n">
        <x:v>15604</x:v>
      </x:c>
      <x:c r="D2071" s="18" t="n">
        <x:v>27161</x:v>
      </x:c>
      <x:c r="E2071" s="18" t="n">
        <x:v>24.27</x:v>
      </x:c>
      <x:c r="F2071" s="18" t="n">
        <x:v>10.49</x:v>
      </x:c>
      <x:c r="G2071" t="n">
        <x:v>36</x:v>
      </x:c>
      <x:c r="H2071" t="str">
        <x:v>D</x:v>
      </x:c>
      <x:c r="I2071" t="str">
        <x:v>7-9 years</x:v>
      </x:c>
      <x:c r="J2071" t="str">
        <x:v>RENT</x:v>
      </x:c>
      <x:c r="K2071" t="str">
        <x:v>debt_consolidation</x:v>
      </x:c>
      <x:c r="L2071" t="n">
        <x:v>0</x:v>
      </x:c>
      <x:c r="M2071" t="n">
        <x:v>0</x:v>
      </x:c>
      <x:c r="N2071" t="str">
        <x:v>Fully Paid</x:v>
      </x:c>
      <x:c r="O2071" t="str">
        <x:f>IF(D2071="","Unknown",IF(D2071&lt;25000,"&lt;$25k",IF(D2071&lt;50000,"$25k-$50k",IF(D2071&lt;75000,"$50k-$75k",IF(D2071&lt;100000,"$75k-$100k","$100k+")))))</x:f>
        <x:v>$25k-$50k</x:v>
      </x:c>
      <x:c r="P2071" t="str">
        <x:f>IF(E2071="","Unknown",IF(E2071&lt;10,"&lt;10",IF(E2071&lt;20,"10-&lt;20",IF(E2071&lt;25,"20-&lt;25",IF(E2071&lt;35,"25-&lt;35","35+")))))</x:f>
        <x:v>20-&lt;25</x:v>
      </x:c>
    </x:row>
    <x:row r="2072">
      <x:c r="A2072" t="str">
        <x:v>SYN0002071</x:v>
      </x:c>
      <x:c r="B2072" s="12" t="n">
        <x:v>41575</x:v>
      </x:c>
      <x:c r="C2072" s="18" t="n">
        <x:v>8068</x:v>
      </x:c>
      <x:c r="D2072" s="18" t="n">
        <x:v>175876</x:v>
      </x:c>
      <x:c r="E2072" s="18" t="n">
        <x:v>26.67</x:v>
      </x:c>
      <x:c r="F2072" s="18" t="n">
        <x:v>17.04</x:v>
      </x:c>
      <x:c r="G2072" t="n">
        <x:v>60</x:v>
      </x:c>
      <x:c r="H2072" t="str">
        <x:v>D</x:v>
      </x:c>
      <x:c r="I2072" t="str">
        <x:v>4-6 years</x:v>
      </x:c>
      <x:c r="J2072" t="str">
        <x:v>OWN</x:v>
      </x:c>
      <x:c r="K2072" t="str">
        <x:v>debt_consolidation</x:v>
      </x:c>
      <x:c r="L2072" t="n">
        <x:v>2</x:v>
      </x:c>
      <x:c r="M2072" t="n">
        <x:v>0</x:v>
      </x:c>
      <x:c r="N2072" t="str">
        <x:v>Fully Paid</x:v>
      </x:c>
      <x:c r="O2072" t="str">
        <x:f>IF(D2072="","Unknown",IF(D2072&lt;25000,"&lt;$25k",IF(D2072&lt;50000,"$25k-$50k",IF(D2072&lt;75000,"$50k-$75k",IF(D2072&lt;100000,"$75k-$100k","$100k+")))))</x:f>
        <x:v>$100k+</x:v>
      </x:c>
      <x:c r="P2072" t="str">
        <x:f>IF(E2072="","Unknown",IF(E2072&lt;10,"&lt;10",IF(E2072&lt;20,"10-&lt;20",IF(E2072&lt;25,"20-&lt;25",IF(E2072&lt;35,"25-&lt;35","35+")))))</x:f>
        <x:v>25-&lt;35</x:v>
      </x:c>
    </x:row>
    <x:row r="2073">
      <x:c r="A2073" t="str">
        <x:v>SYN0002072</x:v>
      </x:c>
      <x:c r="B2073" s="12" t="n">
        <x:v>42595</x:v>
      </x:c>
      <x:c r="C2073" s="18" t="n">
        <x:v>29540</x:v>
      </x:c>
      <x:c r="D2073" s="18" t="n">
        <x:v>52060</x:v>
      </x:c>
      <x:c r="E2073" s="18" t="n">
        <x:v>30</x:v>
      </x:c>
      <x:c r="F2073" s="18" t="n">
        <x:v>20.79</x:v>
      </x:c>
      <x:c r="G2073" t="n">
        <x:v>36</x:v>
      </x:c>
      <x:c r="H2073" t="str">
        <x:v>F</x:v>
      </x:c>
      <x:c r="I2073" t="str">
        <x:v>7-9 years</x:v>
      </x:c>
      <x:c r="J2073" t="str">
        <x:v>RENT</x:v>
      </x:c>
      <x:c r="K2073" t="str">
        <x:v>other</x:v>
      </x:c>
      <x:c r="L2073" t="n">
        <x:v>0</x:v>
      </x:c>
      <x:c r="M2073" t="n">
        <x:v>0</x:v>
      </x:c>
      <x:c r="N2073" t="str">
        <x:v>Fully Paid</x:v>
      </x:c>
      <x:c r="O2073" t="str">
        <x:f>IF(D2073="","Unknown",IF(D2073&lt;25000,"&lt;$25k",IF(D2073&lt;50000,"$25k-$50k",IF(D2073&lt;75000,"$50k-$75k",IF(D2073&lt;100000,"$75k-$100k","$100k+")))))</x:f>
        <x:v>$50k-$75k</x:v>
      </x:c>
      <x:c r="P2073" t="str">
        <x:f>IF(E2073="","Unknown",IF(E2073&lt;10,"&lt;10",IF(E2073&lt;20,"10-&lt;20",IF(E2073&lt;25,"20-&lt;25",IF(E2073&lt;35,"25-&lt;35","35+")))))</x:f>
        <x:v>25-&lt;35</x:v>
      </x:c>
    </x:row>
    <x:row r="2074">
      <x:c r="A2074" t="str">
        <x:v>SYN0002073</x:v>
      </x:c>
      <x:c r="B2074" s="12" t="n">
        <x:v>42535</x:v>
      </x:c>
      <x:c r="C2074" s="18" t="n">
        <x:v>7748</x:v>
      </x:c>
      <x:c r="D2074" s="18" t="n">
        <x:v>218201</x:v>
      </x:c>
      <x:c r="E2074" s="18" t="n">
        <x:v>23.58</x:v>
      </x:c>
      <x:c r="F2074" s="18" t="n">
        <x:v>15.18</x:v>
      </x:c>
      <x:c r="G2074" t="n">
        <x:v>36</x:v>
      </x:c>
      <x:c r="H2074" t="str">
        <x:v>D</x:v>
      </x:c>
      <x:c r="I2074" t="str">
        <x:v>10+ years</x:v>
      </x:c>
      <x:c r="J2074" t="str">
        <x:v>MORTGAGE</x:v>
      </x:c>
      <x:c r="K2074" t="str">
        <x:v>debt_consolidation</x:v>
      </x:c>
      <x:c r="L2074" t="n">
        <x:v>0</x:v>
      </x:c>
      <x:c r="M2074" t="n">
        <x:v>1</x:v>
      </x:c>
      <x:c r="N2074" t="str">
        <x:v>Charged Off</x:v>
      </x:c>
      <x:c r="O2074" t="str">
        <x:f>IF(D2074="","Unknown",IF(D2074&lt;25000,"&lt;$25k",IF(D2074&lt;50000,"$25k-$50k",IF(D2074&lt;75000,"$50k-$75k",IF(D2074&lt;100000,"$75k-$100k","$100k+")))))</x:f>
        <x:v>$100k+</x:v>
      </x:c>
      <x:c r="P2074" t="str">
        <x:f>IF(E2074="","Unknown",IF(E2074&lt;10,"&lt;10",IF(E2074&lt;20,"10-&lt;20",IF(E2074&lt;25,"20-&lt;25",IF(E2074&lt;35,"25-&lt;35","35+")))))</x:f>
        <x:v>20-&lt;25</x:v>
      </x:c>
    </x:row>
    <x:row r="2075">
      <x:c r="A2075" t="str">
        <x:v>SYN0002074</x:v>
      </x:c>
      <x:c r="B2075" s="12" t="n">
        <x:v>43045</x:v>
      </x:c>
      <x:c r="C2075" s="18" t="n">
        <x:v>13074</x:v>
      </x:c>
      <x:c r="D2075" s="18" t="n">
        <x:v>65917</x:v>
      </x:c>
      <x:c r="E2075" s="18" t="n">
        <x:v>9.53</x:v>
      </x:c>
      <x:c r="F2075" s="18" t="n">
        <x:v>9.95</x:v>
      </x:c>
      <x:c r="G2075" t="n">
        <x:v>36</x:v>
      </x:c>
      <x:c r="H2075" t="str">
        <x:v>B</x:v>
      </x:c>
      <x:c r="I2075" t="str">
        <x:v>10+ years</x:v>
      </x:c>
      <x:c r="J2075" t="str">
        <x:v>OWN</x:v>
      </x:c>
      <x:c r="K2075" t="str">
        <x:v>medical</x:v>
      </x:c>
      <x:c r="L2075" t="n">
        <x:v>0</x:v>
      </x:c>
      <x:c r="M2075" t="n">
        <x:v>0</x:v>
      </x:c>
      <x:c r="N2075" t="str">
        <x:v>Fully Paid</x:v>
      </x:c>
      <x:c r="O2075" t="str">
        <x:f>IF(D2075="","Unknown",IF(D2075&lt;25000,"&lt;$25k",IF(D2075&lt;50000,"$25k-$50k",IF(D2075&lt;75000,"$50k-$75k",IF(D2075&lt;100000,"$75k-$100k","$100k+")))))</x:f>
        <x:v>$50k-$75k</x:v>
      </x:c>
      <x:c r="P2075" t="str">
        <x:f>IF(E2075="","Unknown",IF(E2075&lt;10,"&lt;10",IF(E2075&lt;20,"10-&lt;20",IF(E2075&lt;25,"20-&lt;25",IF(E2075&lt;35,"25-&lt;35","35+")))))</x:f>
        <x:v>&lt;10</x:v>
      </x:c>
    </x:row>
    <x:row r="2076">
      <x:c r="A2076" t="str">
        <x:v>SYN0002075</x:v>
      </x:c>
      <x:c r="B2076" s="12" t="n">
        <x:v>41395</x:v>
      </x:c>
      <x:c r="C2076" s="18" t="n">
        <x:v>6875</x:v>
      </x:c>
      <x:c r="D2076" s="18" t="n">
        <x:v>55367</x:v>
      </x:c>
      <x:c r="E2076" s="18" t="n">
        <x:v>9.41</x:v>
      </x:c>
      <x:c r="F2076" s="18" t="n">
        <x:v>18.45</x:v>
      </x:c>
      <x:c r="G2076" t="n">
        <x:v>60</x:v>
      </x:c>
      <x:c r="H2076" t="str">
        <x:v>E</x:v>
      </x:c>
      <x:c r="I2076" t="str">
        <x:v>7-9 years</x:v>
      </x:c>
      <x:c r="J2076" t="str">
        <x:v>RENT</x:v>
      </x:c>
      <x:c r="K2076" t="str">
        <x:v>debt_consolidation</x:v>
      </x:c>
      <x:c r="L2076" t="n">
        <x:v>1</x:v>
      </x:c>
      <x:c r="M2076" t="n">
        <x:v>0</x:v>
      </x:c>
      <x:c r="N2076" t="str">
        <x:v>Fully Paid</x:v>
      </x:c>
      <x:c r="O2076" t="str">
        <x:f>IF(D2076="","Unknown",IF(D2076&lt;25000,"&lt;$25k",IF(D2076&lt;50000,"$25k-$50k",IF(D2076&lt;75000,"$50k-$75k",IF(D2076&lt;100000,"$75k-$100k","$100k+")))))</x:f>
        <x:v>$50k-$75k</x:v>
      </x:c>
      <x:c r="P2076" t="str">
        <x:f>IF(E2076="","Unknown",IF(E2076&lt;10,"&lt;10",IF(E2076&lt;20,"10-&lt;20",IF(E2076&lt;25,"20-&lt;25",IF(E2076&lt;35,"25-&lt;35","35+")))))</x:f>
        <x:v>&lt;10</x:v>
      </x:c>
    </x:row>
    <x:row r="2077">
      <x:c r="A2077" t="str">
        <x:v>SYN0002076</x:v>
      </x:c>
      <x:c r="B2077" s="12" t="n">
        <x:v>42535</x:v>
      </x:c>
      <x:c r="C2077" s="18" t="n">
        <x:v>10486</x:v>
      </x:c>
      <x:c r="D2077" s="18" t="n">
        <x:v>119553</x:v>
      </x:c>
      <x:c r="E2077" s="18" t="n">
        <x:v>26.45</x:v>
      </x:c>
      <x:c r="F2077" s="18" t="n">
        <x:v>11.21</x:v>
      </x:c>
      <x:c r="G2077" t="n">
        <x:v>60</x:v>
      </x:c>
      <x:c r="H2077" t="str">
        <x:v>C</x:v>
      </x:c>
      <x:c r="I2077" t="str">
        <x:v>7-9 years</x:v>
      </x:c>
      <x:c r="J2077" t="str">
        <x:v>RENT</x:v>
      </x:c>
      <x:c r="K2077" t="str">
        <x:v>debt_consolidation</x:v>
      </x:c>
      <x:c r="L2077" t="n">
        <x:v>0</x:v>
      </x:c>
      <x:c r="M2077" t="n">
        <x:v>0</x:v>
      </x:c>
      <x:c r="N2077" t="str">
        <x:v>Fully Paid</x:v>
      </x:c>
      <x:c r="O2077" t="str">
        <x:f>IF(D2077="","Unknown",IF(D2077&lt;25000,"&lt;$25k",IF(D2077&lt;50000,"$25k-$50k",IF(D2077&lt;75000,"$50k-$75k",IF(D2077&lt;100000,"$75k-$100k","$100k+")))))</x:f>
        <x:v>$100k+</x:v>
      </x:c>
      <x:c r="P2077" t="str">
        <x:f>IF(E2077="","Unknown",IF(E2077&lt;10,"&lt;10",IF(E2077&lt;20,"10-&lt;20",IF(E2077&lt;25,"20-&lt;25",IF(E2077&lt;35,"25-&lt;35","35+")))))</x:f>
        <x:v>25-&lt;35</x:v>
      </x:c>
    </x:row>
    <x:row r="2078">
      <x:c r="A2078" t="str">
        <x:v>SYN0002077</x:v>
      </x:c>
      <x:c r="B2078" s="12" t="n">
        <x:v>43135</x:v>
      </x:c>
      <x:c r="C2078" s="18" t="n">
        <x:v>23590</x:v>
      </x:c>
      <x:c r="D2078" s="18" t="n">
        <x:v>25869</x:v>
      </x:c>
      <x:c r="E2078" s="18" t="n">
        <x:v>23.48</x:v>
      </x:c>
      <x:c r="F2078" s="18" t="n">
        <x:v>6.16</x:v>
      </x:c>
      <x:c r="G2078" t="n">
        <x:v>36</x:v>
      </x:c>
      <x:c r="H2078" t="str">
        <x:v>A</x:v>
      </x:c>
      <x:c r="I2078" t="str">
        <x:v>4-6 years</x:v>
      </x:c>
      <x:c r="J2078" t="str">
        <x:v>RENT</x:v>
      </x:c>
      <x:c r="K2078" t="str">
        <x:v>credit_card</x:v>
      </x:c>
      <x:c r="L2078" t="n">
        <x:v>0</x:v>
      </x:c>
      <x:c r="M2078" t="n">
        <x:v>0</x:v>
      </x:c>
      <x:c r="N2078" t="str">
        <x:v>Fully Paid</x:v>
      </x:c>
      <x:c r="O2078" t="str">
        <x:f>IF(D2078="","Unknown",IF(D2078&lt;25000,"&lt;$25k",IF(D2078&lt;50000,"$25k-$50k",IF(D2078&lt;75000,"$50k-$75k",IF(D2078&lt;100000,"$75k-$100k","$100k+")))))</x:f>
        <x:v>$25k-$50k</x:v>
      </x:c>
      <x:c r="P2078" t="str">
        <x:f>IF(E2078="","Unknown",IF(E2078&lt;10,"&lt;10",IF(E2078&lt;20,"10-&lt;20",IF(E2078&lt;25,"20-&lt;25",IF(E2078&lt;35,"25-&lt;35","35+")))))</x:f>
        <x:v>20-&lt;25</x:v>
      </x:c>
    </x:row>
    <x:row r="2079">
      <x:c r="A2079" t="str">
        <x:v>SYN0002078</x:v>
      </x:c>
      <x:c r="B2079" s="12" t="n">
        <x:v>42355</x:v>
      </x:c>
      <x:c r="C2079" s="18" t="n">
        <x:v>8887</x:v>
      </x:c>
      <x:c r="D2079" s="18" t="n">
        <x:v>16141</x:v>
      </x:c>
      <x:c r="E2079" s="18" t="n">
        <x:v>21.26</x:v>
      </x:c>
      <x:c r="F2079" s="18" t="n">
        <x:v>6.64</x:v>
      </x:c>
      <x:c r="G2079" t="n">
        <x:v>36</x:v>
      </x:c>
      <x:c r="H2079" t="str">
        <x:v>A</x:v>
      </x:c>
      <x:c r="I2079" t="str">
        <x:v>&lt;1 year</x:v>
      </x:c>
      <x:c r="J2079" t="str">
        <x:v>MORTGAGE</x:v>
      </x:c>
      <x:c r="K2079" t="str">
        <x:v>major_purchase</x:v>
      </x:c>
      <x:c r="L2079" t="n">
        <x:v>0</x:v>
      </x:c>
      <x:c r="M2079" t="n">
        <x:v>0</x:v>
      </x:c>
      <x:c r="N2079" t="str">
        <x:v>Fully Paid</x:v>
      </x:c>
      <x:c r="O2079" t="str">
        <x:f>IF(D2079="","Unknown",IF(D2079&lt;25000,"&lt;$25k",IF(D2079&lt;50000,"$25k-$50k",IF(D2079&lt;75000,"$50k-$75k",IF(D2079&lt;100000,"$75k-$100k","$100k+")))))</x:f>
        <x:v>&lt;$25k</x:v>
      </x:c>
      <x:c r="P2079" t="str">
        <x:f>IF(E2079="","Unknown",IF(E2079&lt;10,"&lt;10",IF(E2079&lt;20,"10-&lt;20",IF(E2079&lt;25,"20-&lt;25",IF(E2079&lt;35,"25-&lt;35","35+")))))</x:f>
        <x:v>20-&lt;25</x:v>
      </x:c>
    </x:row>
    <x:row r="2080">
      <x:c r="A2080" t="str">
        <x:v>SYN0002079</x:v>
      </x:c>
      <x:c r="B2080" s="12" t="n">
        <x:v>41425</x:v>
      </x:c>
      <x:c r="C2080" s="18" t="n">
        <x:v>10774</x:v>
      </x:c>
      <x:c r="D2080" s="18" t="n">
        <x:v>51814</x:v>
      </x:c>
      <x:c r="E2080" s="18" t="n">
        <x:v>3.74</x:v>
      </x:c>
      <x:c r="F2080" s="18" t="n">
        <x:v>14.38</x:v>
      </x:c>
      <x:c r="G2080" t="n">
        <x:v>36</x:v>
      </x:c>
      <x:c r="H2080" t="str">
        <x:v>C</x:v>
      </x:c>
      <x:c r="I2080" t="str">
        <x:v>4-6 years</x:v>
      </x:c>
      <x:c r="J2080" t="str">
        <x:v>MORTGAGE</x:v>
      </x:c>
      <x:c r="K2080" t="str">
        <x:v>home_improvement</x:v>
      </x:c>
      <x:c r="L2080" t="n">
        <x:v>1</x:v>
      </x:c>
      <x:c r="M2080" t="n">
        <x:v>0</x:v>
      </x:c>
      <x:c r="N2080" t="str">
        <x:v>Fully Paid</x:v>
      </x:c>
      <x:c r="O2080" t="str">
        <x:f>IF(D2080="","Unknown",IF(D2080&lt;25000,"&lt;$25k",IF(D2080&lt;50000,"$25k-$50k",IF(D2080&lt;75000,"$50k-$75k",IF(D2080&lt;100000,"$75k-$100k","$100k+")))))</x:f>
        <x:v>$50k-$75k</x:v>
      </x:c>
      <x:c r="P2080" t="str">
        <x:f>IF(E2080="","Unknown",IF(E2080&lt;10,"&lt;10",IF(E2080&lt;20,"10-&lt;20",IF(E2080&lt;25,"20-&lt;25",IF(E2080&lt;35,"25-&lt;35","35+")))))</x:f>
        <x:v>&lt;10</x:v>
      </x:c>
    </x:row>
    <x:row r="2081">
      <x:c r="A2081" t="str">
        <x:v>SYN0002080</x:v>
      </x:c>
      <x:c r="B2081" s="12" t="n">
        <x:v>42355</x:v>
      </x:c>
      <x:c r="C2081" s="18" t="n">
        <x:v>18408</x:v>
      </x:c>
      <x:c r="D2081" s="18" t="n">
        <x:v>59185</x:v>
      </x:c>
      <x:c r="E2081" s="18" t="n">
        <x:v>18.72</x:v>
      </x:c>
      <x:c r="F2081" s="18" t="n">
        <x:v>16.54</x:v>
      </x:c>
      <x:c r="G2081" t="n">
        <x:v>36</x:v>
      </x:c>
      <x:c r="H2081" t="str">
        <x:v>E</x:v>
      </x:c>
      <x:c r="I2081" t="str">
        <x:v>4-6 years</x:v>
      </x:c>
      <x:c r="J2081" t="str">
        <x:v>MORTGAGE</x:v>
      </x:c>
      <x:c r="K2081" t="str">
        <x:v>debt_consolidation</x:v>
      </x:c>
      <x:c r="L2081" t="n">
        <x:v>0</x:v>
      </x:c>
      <x:c r="M2081" t="n">
        <x:v>0</x:v>
      </x:c>
      <x:c r="N2081" t="str">
        <x:v>Fully Paid</x:v>
      </x:c>
      <x:c r="O2081" t="str">
        <x:f>IF(D2081="","Unknown",IF(D2081&lt;25000,"&lt;$25k",IF(D2081&lt;50000,"$25k-$50k",IF(D2081&lt;75000,"$50k-$75k",IF(D2081&lt;100000,"$75k-$100k","$100k+")))))</x:f>
        <x:v>$50k-$75k</x:v>
      </x:c>
      <x:c r="P2081" t="str">
        <x:f>IF(E2081="","Unknown",IF(E2081&lt;10,"&lt;10",IF(E2081&lt;20,"10-&lt;20",IF(E2081&lt;25,"20-&lt;25",IF(E2081&lt;35,"25-&lt;35","35+")))))</x:f>
        <x:v>10-&lt;20</x:v>
      </x:c>
    </x:row>
    <x:row r="2082">
      <x:c r="A2082" t="str">
        <x:v>SYN0002081</x:v>
      </x:c>
      <x:c r="B2082" s="12" t="n">
        <x:v>42055</x:v>
      </x:c>
      <x:c r="C2082" s="18" t="n">
        <x:v>23583</x:v>
      </x:c>
      <x:c r="D2082" s="18" t="n">
        <x:v>45720</x:v>
      </x:c>
      <x:c r="E2082" s="18" t="n">
        <x:v>19.74</x:v>
      </x:c>
      <x:c r="F2082" s="18" t="n">
        <x:v>5</x:v>
      </x:c>
      <x:c r="G2082" t="n">
        <x:v>60</x:v>
      </x:c>
      <x:c r="H2082" t="str">
        <x:v>A</x:v>
      </x:c>
      <x:c r="I2082" t="str">
        <x:v>10+ years</x:v>
      </x:c>
      <x:c r="J2082" t="str">
        <x:v>RENT</x:v>
      </x:c>
      <x:c r="K2082" t="str">
        <x:v>home_improvement</x:v>
      </x:c>
      <x:c r="L2082" t="n">
        <x:v>1</x:v>
      </x:c>
      <x:c r="M2082" t="n">
        <x:v>0</x:v>
      </x:c>
      <x:c r="N2082" t="str">
        <x:v>Fully Paid</x:v>
      </x:c>
      <x:c r="O2082" t="str">
        <x:f>IF(D2082="","Unknown",IF(D2082&lt;25000,"&lt;$25k",IF(D2082&lt;50000,"$25k-$50k",IF(D2082&lt;75000,"$50k-$75k",IF(D2082&lt;100000,"$75k-$100k","$100k+")))))</x:f>
        <x:v>$25k-$50k</x:v>
      </x:c>
      <x:c r="P2082" t="str">
        <x:f>IF(E2082="","Unknown",IF(E2082&lt;10,"&lt;10",IF(E2082&lt;20,"10-&lt;20",IF(E2082&lt;25,"20-&lt;25",IF(E2082&lt;35,"25-&lt;35","35+")))))</x:f>
        <x:v>10-&lt;20</x:v>
      </x:c>
    </x:row>
    <x:row r="2083">
      <x:c r="A2083" t="str">
        <x:v>SYN0002082</x:v>
      </x:c>
      <x:c r="B2083" s="12" t="n">
        <x:v>41575</x:v>
      </x:c>
      <x:c r="C2083" s="18" t="n">
        <x:v>30918</x:v>
      </x:c>
      <x:c r="D2083" s="18" t="n">
        <x:v>96902</x:v>
      </x:c>
      <x:c r="E2083" s="18" t="n">
        <x:v>8.04</x:v>
      </x:c>
      <x:c r="F2083" s="18" t="n">
        <x:v>9.4</x:v>
      </x:c>
      <x:c r="G2083" t="n">
        <x:v>36</x:v>
      </x:c>
      <x:c r="H2083" t="str">
        <x:v>B</x:v>
      </x:c>
      <x:c r="I2083" t="str">
        <x:v>1-3 years</x:v>
      </x:c>
      <x:c r="J2083" t="str">
        <x:v>RENT</x:v>
      </x:c>
      <x:c r="K2083" t="str">
        <x:v>debt_consolidation</x:v>
      </x:c>
      <x:c r="L2083" t="n">
        <x:v>1</x:v>
      </x:c>
      <x:c r="M2083" t="n">
        <x:v>0</x:v>
      </x:c>
      <x:c r="N2083" t="str">
        <x:v>Fully Paid</x:v>
      </x:c>
      <x:c r="O2083" t="str">
        <x:f>IF(D2083="","Unknown",IF(D2083&lt;25000,"&lt;$25k",IF(D2083&lt;50000,"$25k-$50k",IF(D2083&lt;75000,"$50k-$75k",IF(D2083&lt;100000,"$75k-$100k","$100k+")))))</x:f>
        <x:v>$75k-$100k</x:v>
      </x:c>
      <x:c r="P2083" t="str">
        <x:f>IF(E2083="","Unknown",IF(E2083&lt;10,"&lt;10",IF(E2083&lt;20,"10-&lt;20",IF(E2083&lt;25,"20-&lt;25",IF(E2083&lt;35,"25-&lt;35","35+")))))</x:f>
        <x:v>&lt;10</x:v>
      </x:c>
    </x:row>
    <x:row r="2084">
      <x:c r="A2084" t="str">
        <x:v>SYN0002083</x:v>
      </x:c>
      <x:c r="B2084" s="12" t="n">
        <x:v>42145</x:v>
      </x:c>
      <x:c r="C2084" s="18" t="n">
        <x:v>12650</x:v>
      </x:c>
      <x:c r="D2084" s="18" t="n">
        <x:v>27389</x:v>
      </x:c>
      <x:c r="E2084" s="18" t="n">
        <x:v>6.63</x:v>
      </x:c>
      <x:c r="F2084" s="18" t="n">
        <x:v>18.5</x:v>
      </x:c>
      <x:c r="G2084" t="n">
        <x:v>36</x:v>
      </x:c>
      <x:c r="H2084" t="str">
        <x:v>E</x:v>
      </x:c>
      <x:c r="I2084" t="str">
        <x:v>10+ years</x:v>
      </x:c>
      <x:c r="J2084" t="str">
        <x:v>OWN</x:v>
      </x:c>
      <x:c r="K2084" t="str">
        <x:v>credit_card</x:v>
      </x:c>
      <x:c r="L2084" t="n">
        <x:v>0</x:v>
      </x:c>
      <x:c r="M2084" t="n">
        <x:v>0</x:v>
      </x:c>
      <x:c r="N2084" t="str">
        <x:v>Fully Paid</x:v>
      </x:c>
      <x:c r="O2084" t="str">
        <x:f>IF(D2084="","Unknown",IF(D2084&lt;25000,"&lt;$25k",IF(D2084&lt;50000,"$25k-$50k",IF(D2084&lt;75000,"$50k-$75k",IF(D2084&lt;100000,"$75k-$100k","$100k+")))))</x:f>
        <x:v>$25k-$50k</x:v>
      </x:c>
      <x:c r="P2084" t="str">
        <x:f>IF(E2084="","Unknown",IF(E2084&lt;10,"&lt;10",IF(E2084&lt;20,"10-&lt;20",IF(E2084&lt;25,"20-&lt;25",IF(E2084&lt;35,"25-&lt;35","35+")))))</x:f>
        <x:v>&lt;10</x:v>
      </x:c>
    </x:row>
    <x:row r="2085">
      <x:c r="A2085" t="str">
        <x:v>SYN0002084</x:v>
      </x:c>
      <x:c r="B2085" s="12" t="n">
        <x:v>42295</x:v>
      </x:c>
      <x:c r="C2085" s="18" t="n">
        <x:v>33523</x:v>
      </x:c>
      <x:c r="D2085" s="18" t="n">
        <x:v>25531</x:v>
      </x:c>
      <x:c r="E2085" s="18" t="n">
        <x:v>33.45</x:v>
      </x:c>
      <x:c r="F2085" s="18" t="n">
        <x:v>12.62</x:v>
      </x:c>
      <x:c r="G2085" t="n">
        <x:v>36</x:v>
      </x:c>
      <x:c r="H2085" t="str">
        <x:v>E</x:v>
      </x:c>
      <x:c r="I2085" t="str">
        <x:v>1-3 years</x:v>
      </x:c>
      <x:c r="J2085" t="str">
        <x:v>MORTGAGE</x:v>
      </x:c>
      <x:c r="K2085" t="str">
        <x:v>debt_consolidation</x:v>
      </x:c>
      <x:c r="L2085" t="n">
        <x:v>0</x:v>
      </x:c>
      <x:c r="M2085" t="n">
        <x:v>0</x:v>
      </x:c>
      <x:c r="N2085" t="str">
        <x:v>Fully Paid</x:v>
      </x:c>
      <x:c r="O2085" t="str">
        <x:f>IF(D2085="","Unknown",IF(D2085&lt;25000,"&lt;$25k",IF(D2085&lt;50000,"$25k-$50k",IF(D2085&lt;75000,"$50k-$75k",IF(D2085&lt;100000,"$75k-$100k","$100k+")))))</x:f>
        <x:v>$25k-$50k</x:v>
      </x:c>
      <x:c r="P2085" t="str">
        <x:f>IF(E2085="","Unknown",IF(E2085&lt;10,"&lt;10",IF(E2085&lt;20,"10-&lt;20",IF(E2085&lt;25,"20-&lt;25",IF(E2085&lt;35,"25-&lt;35","35+")))))</x:f>
        <x:v>25-&lt;35</x:v>
      </x:c>
    </x:row>
    <x:row r="2086">
      <x:c r="A2086" t="str">
        <x:v>SYN0002085</x:v>
      </x:c>
      <x:c r="B2086" s="12" t="n">
        <x:v>42415</x:v>
      </x:c>
      <x:c r="C2086" s="18" t="n">
        <x:v>6712</x:v>
      </x:c>
      <x:c r="D2086" s="18" t="n">
        <x:v>38185</x:v>
      </x:c>
      <x:c r="E2086" s="18" t="n">
        <x:v>31.43</x:v>
      </x:c>
      <x:c r="F2086" s="18" t="n">
        <x:v>11.11</x:v>
      </x:c>
      <x:c r="G2086" t="n">
        <x:v>36</x:v>
      </x:c>
      <x:c r="H2086" t="str">
        <x:v>C</x:v>
      </x:c>
      <x:c r="I2086" t="str">
        <x:v>7-9 years</x:v>
      </x:c>
      <x:c r="J2086" t="str">
        <x:v>RENT</x:v>
      </x:c>
      <x:c r="K2086" t="str">
        <x:v>credit_card</x:v>
      </x:c>
      <x:c r="L2086" t="n">
        <x:v>0</x:v>
      </x:c>
      <x:c r="M2086" t="n">
        <x:v>0</x:v>
      </x:c>
      <x:c r="N2086" t="str">
        <x:v>Fully Paid</x:v>
      </x:c>
      <x:c r="O2086" t="str">
        <x:f>IF(D2086="","Unknown",IF(D2086&lt;25000,"&lt;$25k",IF(D2086&lt;50000,"$25k-$50k",IF(D2086&lt;75000,"$50k-$75k",IF(D2086&lt;100000,"$75k-$100k","$100k+")))))</x:f>
        <x:v>$25k-$50k</x:v>
      </x:c>
      <x:c r="P2086" t="str">
        <x:f>IF(E2086="","Unknown",IF(E2086&lt;10,"&lt;10",IF(E2086&lt;20,"10-&lt;20",IF(E2086&lt;25,"20-&lt;25",IF(E2086&lt;35,"25-&lt;35","35+")))))</x:f>
        <x:v>25-&lt;35</x:v>
      </x:c>
    </x:row>
    <x:row r="2087">
      <x:c r="A2087" t="str">
        <x:v>SYN0002086</x:v>
      </x:c>
      <x:c r="B2087" s="12" t="n">
        <x:v>41815</x:v>
      </x:c>
      <x:c r="C2087" s="18" t="n">
        <x:v>9981</x:v>
      </x:c>
      <x:c r="D2087" s="18" t="n">
        <x:v>188115</x:v>
      </x:c>
      <x:c r="E2087" s="18" t="n">
        <x:v>21.17</x:v>
      </x:c>
      <x:c r="F2087" s="18" t="n">
        <x:v>9.12</x:v>
      </x:c>
      <x:c r="G2087" t="n">
        <x:v>60</x:v>
      </x:c>
      <x:c r="H2087" t="str">
        <x:v>C</x:v>
      </x:c>
      <x:c r="I2087" t="str">
        <x:v>10+ years</x:v>
      </x:c>
      <x:c r="J2087" t="str">
        <x:v>MORTGAGE</x:v>
      </x:c>
      <x:c r="K2087" t="str">
        <x:v>debt_consolidation</x:v>
      </x:c>
      <x:c r="L2087" t="n">
        <x:v>1</x:v>
      </x:c>
      <x:c r="M2087" t="n">
        <x:v>0</x:v>
      </x:c>
      <x:c r="N2087" t="str">
        <x:v>Fully Paid</x:v>
      </x:c>
      <x:c r="O2087" t="str">
        <x:f>IF(D2087="","Unknown",IF(D2087&lt;25000,"&lt;$25k",IF(D2087&lt;50000,"$25k-$50k",IF(D2087&lt;75000,"$50k-$75k",IF(D2087&lt;100000,"$75k-$100k","$100k+")))))</x:f>
        <x:v>$100k+</x:v>
      </x:c>
      <x:c r="P2087" t="str">
        <x:f>IF(E2087="","Unknown",IF(E2087&lt;10,"&lt;10",IF(E2087&lt;20,"10-&lt;20",IF(E2087&lt;25,"20-&lt;25",IF(E2087&lt;35,"25-&lt;35","35+")))))</x:f>
        <x:v>20-&lt;25</x:v>
      </x:c>
    </x:row>
    <x:row r="2088">
      <x:c r="A2088" t="str">
        <x:v>SYN0002087</x:v>
      </x:c>
      <x:c r="B2088" s="12" t="n">
        <x:v>41275</x:v>
      </x:c>
      <x:c r="C2088" s="18" t="n">
        <x:v>13703</x:v>
      </x:c>
      <x:c r="D2088" s="18" t="n">
        <x:v>42395</x:v>
      </x:c>
      <x:c r="E2088" s="18" t="n">
        <x:v>14.73</x:v>
      </x:c>
      <x:c r="F2088" s="18" t="n">
        <x:v>17.06</x:v>
      </x:c>
      <x:c r="G2088" t="n">
        <x:v>36</x:v>
      </x:c>
      <x:c r="H2088" t="str">
        <x:v>E</x:v>
      </x:c>
      <x:c r="I2088" t="str">
        <x:v>1-3 years</x:v>
      </x:c>
      <x:c r="J2088" t="str">
        <x:v>RENT</x:v>
      </x:c>
      <x:c r="K2088" t="str">
        <x:v>major_purchase</x:v>
      </x:c>
      <x:c r="L2088" t="n">
        <x:v>1</x:v>
      </x:c>
      <x:c r="M2088" t="n">
        <x:v>1</x:v>
      </x:c>
      <x:c r="N2088" t="str">
        <x:v>Charged Off</x:v>
      </x:c>
      <x:c r="O2088" t="str">
        <x:f>IF(D2088="","Unknown",IF(D2088&lt;25000,"&lt;$25k",IF(D2088&lt;50000,"$25k-$50k",IF(D2088&lt;75000,"$50k-$75k",IF(D2088&lt;100000,"$75k-$100k","$100k+")))))</x:f>
        <x:v>$25k-$50k</x:v>
      </x:c>
      <x:c r="P2088" t="str">
        <x:f>IF(E2088="","Unknown",IF(E2088&lt;10,"&lt;10",IF(E2088&lt;20,"10-&lt;20",IF(E2088&lt;25,"20-&lt;25",IF(E2088&lt;35,"25-&lt;35","35+")))))</x:f>
        <x:v>10-&lt;20</x:v>
      </x:c>
    </x:row>
    <x:row r="2089">
      <x:c r="A2089" t="str">
        <x:v>SYN0002088</x:v>
      </x:c>
      <x:c r="B2089" s="12" t="n">
        <x:v>42685</x:v>
      </x:c>
      <x:c r="C2089" s="18" t="n">
        <x:v>8055</x:v>
      </x:c>
      <x:c r="D2089" s="18" t="n">
        <x:v>148872</x:v>
      </x:c>
      <x:c r="E2089" s="18" t="n">
        <x:v>31.88</x:v>
      </x:c>
      <x:c r="F2089" s="18" t="n">
        <x:v>12.13</x:v>
      </x:c>
      <x:c r="G2089" t="n">
        <x:v>60</x:v>
      </x:c>
      <x:c r="H2089" t="str">
        <x:v>C</x:v>
      </x:c>
      <x:c r="I2089" t="str">
        <x:v>7-9 years</x:v>
      </x:c>
      <x:c r="J2089" t="str">
        <x:v>MORTGAGE</x:v>
      </x:c>
      <x:c r="K2089" t="str">
        <x:v>major_purchase</x:v>
      </x:c>
      <x:c r="L2089" t="n">
        <x:v>2</x:v>
      </x:c>
      <x:c r="M2089" t="n">
        <x:v>0</x:v>
      </x:c>
      <x:c r="N2089" t="str">
        <x:v>Fully Paid</x:v>
      </x:c>
      <x:c r="O2089" t="str">
        <x:f>IF(D2089="","Unknown",IF(D2089&lt;25000,"&lt;$25k",IF(D2089&lt;50000,"$25k-$50k",IF(D2089&lt;75000,"$50k-$75k",IF(D2089&lt;100000,"$75k-$100k","$100k+")))))</x:f>
        <x:v>$100k+</x:v>
      </x:c>
      <x:c r="P2089" t="str">
        <x:f>IF(E2089="","Unknown",IF(E2089&lt;10,"&lt;10",IF(E2089&lt;20,"10-&lt;20",IF(E2089&lt;25,"20-&lt;25",IF(E2089&lt;35,"25-&lt;35","35+")))))</x:f>
        <x:v>25-&lt;35</x:v>
      </x:c>
    </x:row>
    <x:row r="2090">
      <x:c r="A2090" t="str">
        <x:v>SYN0002089</x:v>
      </x:c>
      <x:c r="B2090" s="12" t="n">
        <x:v>41965</x:v>
      </x:c>
      <x:c r="C2090" s="18" t="n">
        <x:v>13893</x:v>
      </x:c>
      <x:c r="D2090" s="18" t="n">
        <x:v>68951</x:v>
      </x:c>
      <x:c r="E2090" s="18" t="n">
        <x:v>23.01</x:v>
      </x:c>
      <x:c r="F2090" s="18" t="n">
        <x:v>7.4</x:v>
      </x:c>
      <x:c r="G2090" t="n">
        <x:v>60</x:v>
      </x:c>
      <x:c r="H2090" t="str">
        <x:v>B</x:v>
      </x:c>
      <x:c r="I2090" t="str">
        <x:v>10+ years</x:v>
      </x:c>
      <x:c r="J2090" t="str">
        <x:v>MORTGAGE</x:v>
      </x:c>
      <x:c r="K2090" t="str">
        <x:v>credit_card</x:v>
      </x:c>
      <x:c r="L2090" t="n">
        <x:v>0</x:v>
      </x:c>
      <x:c r="M2090" t="n">
        <x:v>0</x:v>
      </x:c>
      <x:c r="N2090" t="str">
        <x:v>Fully Paid</x:v>
      </x:c>
      <x:c r="O2090" t="str">
        <x:f>IF(D2090="","Unknown",IF(D2090&lt;25000,"&lt;$25k",IF(D2090&lt;50000,"$25k-$50k",IF(D2090&lt;75000,"$50k-$75k",IF(D2090&lt;100000,"$75k-$100k","$100k+")))))</x:f>
        <x:v>$50k-$75k</x:v>
      </x:c>
      <x:c r="P2090" t="str">
        <x:f>IF(E2090="","Unknown",IF(E2090&lt;10,"&lt;10",IF(E2090&lt;20,"10-&lt;20",IF(E2090&lt;25,"20-&lt;25",IF(E2090&lt;35,"25-&lt;35","35+")))))</x:f>
        <x:v>20-&lt;25</x:v>
      </x:c>
    </x:row>
    <x:row r="2091">
      <x:c r="A2091" t="str">
        <x:v>SYN0002090</x:v>
      </x:c>
      <x:c r="B2091" s="12" t="n">
        <x:v>41335</x:v>
      </x:c>
      <x:c r="C2091" s="18" t="n">
        <x:v>16485</x:v>
      </x:c>
      <x:c r="D2091" s="18" t="n">
        <x:v>117840</x:v>
      </x:c>
      <x:c r="E2091" s="18" t="n">
        <x:v>26.82</x:v>
      </x:c>
      <x:c r="F2091" s="18" t="n">
        <x:v>22.72</x:v>
      </x:c>
      <x:c r="G2091" t="n">
        <x:v>60</x:v>
      </x:c>
      <x:c r="H2091" t="str">
        <x:v>F</x:v>
      </x:c>
      <x:c r="I2091" t="str">
        <x:v>1-3 years</x:v>
      </x:c>
      <x:c r="J2091" t="str">
        <x:v>MORTGAGE</x:v>
      </x:c>
      <x:c r="K2091" t="str">
        <x:v>major_purchase</x:v>
      </x:c>
      <x:c r="L2091" t="n">
        <x:v>1</x:v>
      </x:c>
      <x:c r="M2091" t="n">
        <x:v>0</x:v>
      </x:c>
      <x:c r="N2091" t="str">
        <x:v>Fully Paid</x:v>
      </x:c>
      <x:c r="O2091" t="str">
        <x:f>IF(D2091="","Unknown",IF(D2091&lt;25000,"&lt;$25k",IF(D2091&lt;50000,"$25k-$50k",IF(D2091&lt;75000,"$50k-$75k",IF(D2091&lt;100000,"$75k-$100k","$100k+")))))</x:f>
        <x:v>$100k+</x:v>
      </x:c>
      <x:c r="P2091" t="str">
        <x:f>IF(E2091="","Unknown",IF(E2091&lt;10,"&lt;10",IF(E2091&lt;20,"10-&lt;20",IF(E2091&lt;25,"20-&lt;25",IF(E2091&lt;35,"25-&lt;35","35+")))))</x:f>
        <x:v>25-&lt;35</x:v>
      </x:c>
    </x:row>
    <x:row r="2092">
      <x:c r="A2092" t="str">
        <x:v>SYN0002091</x:v>
      </x:c>
      <x:c r="B2092" s="12" t="n">
        <x:v>41785</x:v>
      </x:c>
      <x:c r="C2092" s="18" t="n">
        <x:v>7769</x:v>
      </x:c>
      <x:c r="D2092" s="18" t="n">
        <x:v>38540</x:v>
      </x:c>
      <x:c r="E2092" s="18" t="n">
        <x:v>11.21</x:v>
      </x:c>
      <x:c r="F2092" s="18" t="n">
        <x:v>8.93</x:v>
      </x:c>
      <x:c r="G2092" t="n">
        <x:v>36</x:v>
      </x:c>
      <x:c r="H2092" t="str">
        <x:v>A</x:v>
      </x:c>
      <x:c r="I2092" t="str">
        <x:v>10+ years</x:v>
      </x:c>
      <x:c r="J2092" t="str">
        <x:v>OWN</x:v>
      </x:c>
      <x:c r="K2092" t="str">
        <x:v>credit_card</x:v>
      </x:c>
      <x:c r="L2092" t="n">
        <x:v>0</x:v>
      </x:c>
      <x:c r="M2092" t="n">
        <x:v>0</x:v>
      </x:c>
      <x:c r="N2092" t="str">
        <x:v>Fully Paid</x:v>
      </x:c>
      <x:c r="O2092" t="str">
        <x:f>IF(D2092="","Unknown",IF(D2092&lt;25000,"&lt;$25k",IF(D2092&lt;50000,"$25k-$50k",IF(D2092&lt;75000,"$50k-$75k",IF(D2092&lt;100000,"$75k-$100k","$100k+")))))</x:f>
        <x:v>$25k-$50k</x:v>
      </x:c>
      <x:c r="P2092" t="str">
        <x:f>IF(E2092="","Unknown",IF(E2092&lt;10,"&lt;10",IF(E2092&lt;20,"10-&lt;20",IF(E2092&lt;25,"20-&lt;25",IF(E2092&lt;35,"25-&lt;35","35+")))))</x:f>
        <x:v>10-&lt;20</x:v>
      </x:c>
    </x:row>
    <x:row r="2093">
      <x:c r="A2093" t="str">
        <x:v>SYN0002092</x:v>
      </x:c>
      <x:c r="B2093" s="12" t="n">
        <x:v>42055</x:v>
      </x:c>
      <x:c r="C2093" s="18" t="n">
        <x:v>12528</x:v>
      </x:c>
      <x:c r="D2093" s="18" t="n">
        <x:v>144006</x:v>
      </x:c>
      <x:c r="E2093" s="18" t="n">
        <x:v>19.8</x:v>
      </x:c>
      <x:c r="F2093" s="18" t="n">
        <x:v>12.08</x:v>
      </x:c>
      <x:c r="G2093" t="n">
        <x:v>36</x:v>
      </x:c>
      <x:c r="H2093" t="str">
        <x:v>C</x:v>
      </x:c>
      <x:c r="I2093" t="str">
        <x:v>4-6 years</x:v>
      </x:c>
      <x:c r="J2093" t="str">
        <x:v>RENT</x:v>
      </x:c>
      <x:c r="K2093" t="str">
        <x:v>debt_consolidation</x:v>
      </x:c>
      <x:c r="L2093" t="n">
        <x:v>0</x:v>
      </x:c>
      <x:c r="M2093" t="n">
        <x:v>0</x:v>
      </x:c>
      <x:c r="N2093" t="str">
        <x:v>Fully Paid</x:v>
      </x:c>
      <x:c r="O2093" t="str">
        <x:f>IF(D2093="","Unknown",IF(D2093&lt;25000,"&lt;$25k",IF(D2093&lt;50000,"$25k-$50k",IF(D2093&lt;75000,"$50k-$75k",IF(D2093&lt;100000,"$75k-$100k","$100k+")))))</x:f>
        <x:v>$100k+</x:v>
      </x:c>
      <x:c r="P2093" t="str">
        <x:f>IF(E2093="","Unknown",IF(E2093&lt;10,"&lt;10",IF(E2093&lt;20,"10-&lt;20",IF(E2093&lt;25,"20-&lt;25",IF(E2093&lt;35,"25-&lt;35","35+")))))</x:f>
        <x:v>10-&lt;20</x:v>
      </x:c>
    </x:row>
    <x:row r="2094">
      <x:c r="A2094" t="str">
        <x:v>SYN0002093</x:v>
      </x:c>
      <x:c r="B2094" s="12" t="n">
        <x:v>42385</x:v>
      </x:c>
      <x:c r="C2094" s="18" t="n">
        <x:v>17425</x:v>
      </x:c>
      <x:c r="D2094" s="18" t="n">
        <x:v>75690</x:v>
      </x:c>
      <x:c r="E2094" s="18" t="n">
        <x:v>17.29</x:v>
      </x:c>
      <x:c r="F2094" s="18" t="n">
        <x:v>14.12</x:v>
      </x:c>
      <x:c r="G2094" t="n">
        <x:v>36</x:v>
      </x:c>
      <x:c r="H2094" t="str">
        <x:v>D</x:v>
      </x:c>
      <x:c r="I2094" t="str">
        <x:v>10+ years</x:v>
      </x:c>
      <x:c r="J2094" t="str">
        <x:v>RENT</x:v>
      </x:c>
      <x:c r="K2094" t="str">
        <x:v>credit_card</x:v>
      </x:c>
      <x:c r="L2094" t="n">
        <x:v>3</x:v>
      </x:c>
      <x:c r="M2094" t="n">
        <x:v>0</x:v>
      </x:c>
      <x:c r="N2094" t="str">
        <x:v>Fully Paid</x:v>
      </x:c>
      <x:c r="O2094" t="str">
        <x:f>IF(D2094="","Unknown",IF(D2094&lt;25000,"&lt;$25k",IF(D2094&lt;50000,"$25k-$50k",IF(D2094&lt;75000,"$50k-$75k",IF(D2094&lt;100000,"$75k-$100k","$100k+")))))</x:f>
        <x:v>$75k-$100k</x:v>
      </x:c>
      <x:c r="P2094" t="str">
        <x:f>IF(E2094="","Unknown",IF(E2094&lt;10,"&lt;10",IF(E2094&lt;20,"10-&lt;20",IF(E2094&lt;25,"20-&lt;25",IF(E2094&lt;35,"25-&lt;35","35+")))))</x:f>
        <x:v>10-&lt;20</x:v>
      </x:c>
    </x:row>
    <x:row r="2095">
      <x:c r="A2095" t="str">
        <x:v>SYN0002094</x:v>
      </x:c>
      <x:c r="B2095" s="12" t="n">
        <x:v>42505</x:v>
      </x:c>
      <x:c r="C2095" s="18" t="n">
        <x:v>20178</x:v>
      </x:c>
      <x:c r="D2095" s="18" t="n">
        <x:v>32782</x:v>
      </x:c>
      <x:c r="E2095" s="18" t="n">
        <x:v>34.1</x:v>
      </x:c>
      <x:c r="F2095" s="18" t="n">
        <x:v>27.94</x:v>
      </x:c>
      <x:c r="G2095" t="n">
        <x:v>36</x:v>
      </x:c>
      <x:c r="H2095" t="str">
        <x:v>G</x:v>
      </x:c>
      <x:c r="I2095" t="str">
        <x:v>7-9 years</x:v>
      </x:c>
      <x:c r="J2095" t="str">
        <x:v>MORTGAGE</x:v>
      </x:c>
      <x:c r="K2095" t="str">
        <x:v>home_improvement</x:v>
      </x:c>
      <x:c r="L2095" t="n">
        <x:v>0</x:v>
      </x:c>
      <x:c r="M2095" t="n">
        <x:v>1</x:v>
      </x:c>
      <x:c r="N2095" t="str">
        <x:v>Charged Off</x:v>
      </x:c>
      <x:c r="O2095" t="str">
        <x:f>IF(D2095="","Unknown",IF(D2095&lt;25000,"&lt;$25k",IF(D2095&lt;50000,"$25k-$50k",IF(D2095&lt;75000,"$50k-$75k",IF(D2095&lt;100000,"$75k-$100k","$100k+")))))</x:f>
        <x:v>$25k-$50k</x:v>
      </x:c>
      <x:c r="P2095" t="str">
        <x:f>IF(E2095="","Unknown",IF(E2095&lt;10,"&lt;10",IF(E2095&lt;20,"10-&lt;20",IF(E2095&lt;25,"20-&lt;25",IF(E2095&lt;35,"25-&lt;35","35+")))))</x:f>
        <x:v>25-&lt;35</x:v>
      </x:c>
    </x:row>
    <x:row r="2096">
      <x:c r="A2096" t="str">
        <x:v>SYN0002095</x:v>
      </x:c>
      <x:c r="B2096" s="12" t="n">
        <x:v>41695</x:v>
      </x:c>
      <x:c r="C2096" s="18" t="n">
        <x:v>11455</x:v>
      </x:c>
      <x:c r="D2096" s="18" t="n">
        <x:v>61057</x:v>
      </x:c>
      <x:c r="E2096" s="18" t="n">
        <x:v>21.77</x:v>
      </x:c>
      <x:c r="F2096" s="18" t="n">
        <x:v>7.27</x:v>
      </x:c>
      <x:c r="G2096" t="n">
        <x:v>36</x:v>
      </x:c>
      <x:c r="H2096" t="str">
        <x:v>A</x:v>
      </x:c>
      <x:c r="I2096" t="str">
        <x:v>10+ years</x:v>
      </x:c>
      <x:c r="J2096" t="str">
        <x:v>MORTGAGE</x:v>
      </x:c>
      <x:c r="K2096" t="str">
        <x:v>home_improvement</x:v>
      </x:c>
      <x:c r="L2096" t="n">
        <x:v>0</x:v>
      </x:c>
      <x:c r="M2096" t="n">
        <x:v>0</x:v>
      </x:c>
      <x:c r="N2096" t="str">
        <x:v>Fully Paid</x:v>
      </x:c>
      <x:c r="O2096" t="str">
        <x:f>IF(D2096="","Unknown",IF(D2096&lt;25000,"&lt;$25k",IF(D2096&lt;50000,"$25k-$50k",IF(D2096&lt;75000,"$50k-$75k",IF(D2096&lt;100000,"$75k-$100k","$100k+")))))</x:f>
        <x:v>$50k-$75k</x:v>
      </x:c>
      <x:c r="P2096" t="str">
        <x:f>IF(E2096="","Unknown",IF(E2096&lt;10,"&lt;10",IF(E2096&lt;20,"10-&lt;20",IF(E2096&lt;25,"20-&lt;25",IF(E2096&lt;35,"25-&lt;35","35+")))))</x:f>
        <x:v>20-&lt;25</x:v>
      </x:c>
    </x:row>
    <x:row r="2097">
      <x:c r="A2097" t="str">
        <x:v>SYN0002096</x:v>
      </x:c>
      <x:c r="B2097" s="12" t="n">
        <x:v>43225</x:v>
      </x:c>
      <x:c r="C2097" s="18" t="n">
        <x:v>20648</x:v>
      </x:c>
      <x:c r="D2097" s="18" t="n">
        <x:v>26969</x:v>
      </x:c>
      <x:c r="E2097" s="18" t="n">
        <x:v>24.09</x:v>
      </x:c>
      <x:c r="F2097" s="18" t="n">
        <x:v>18.67</x:v>
      </x:c>
      <x:c r="G2097" t="n">
        <x:v>36</x:v>
      </x:c>
      <x:c r="H2097" t="str">
        <x:v>E</x:v>
      </x:c>
      <x:c r="I2097" t="str">
        <x:v>10+ years</x:v>
      </x:c>
      <x:c r="J2097" t="str">
        <x:v>RENT</x:v>
      </x:c>
      <x:c r="K2097" t="str">
        <x:v>debt_consolidation</x:v>
      </x:c>
      <x:c r="L2097" t="n">
        <x:v>1</x:v>
      </x:c>
      <x:c r="M2097" t="n">
        <x:v>0</x:v>
      </x:c>
      <x:c r="N2097" t="str">
        <x:v>Fully Paid</x:v>
      </x:c>
      <x:c r="O2097" t="str">
        <x:f>IF(D2097="","Unknown",IF(D2097&lt;25000,"&lt;$25k",IF(D2097&lt;50000,"$25k-$50k",IF(D2097&lt;75000,"$50k-$75k",IF(D2097&lt;100000,"$75k-$100k","$100k+")))))</x:f>
        <x:v>$25k-$50k</x:v>
      </x:c>
      <x:c r="P2097" t="str">
        <x:f>IF(E2097="","Unknown",IF(E2097&lt;10,"&lt;10",IF(E2097&lt;20,"10-&lt;20",IF(E2097&lt;25,"20-&lt;25",IF(E2097&lt;35,"25-&lt;35","35+")))))</x:f>
        <x:v>20-&lt;25</x:v>
      </x:c>
    </x:row>
    <x:row r="2098">
      <x:c r="A2098" t="str">
        <x:v>SYN0002097</x:v>
      </x:c>
      <x:c r="B2098" s="12" t="n">
        <x:v>41815</x:v>
      </x:c>
      <x:c r="C2098" s="18" t="n">
        <x:v>8999</x:v>
      </x:c>
      <x:c r="D2098" s="18" t="n">
        <x:v>31069</x:v>
      </x:c>
      <x:c r="E2098" s="18" t="n">
        <x:v>26.04</x:v>
      </x:c>
      <x:c r="F2098" s="18" t="n">
        <x:v>24.74</x:v>
      </x:c>
      <x:c r="G2098" t="n">
        <x:v>36</x:v>
      </x:c>
      <x:c r="H2098" t="str">
        <x:v>G</x:v>
      </x:c>
      <x:c r="I2098" t="str">
        <x:v>4-6 years</x:v>
      </x:c>
      <x:c r="J2098" t="str">
        <x:v>RENT</x:v>
      </x:c>
      <x:c r="K2098" t="str">
        <x:v>credit_card</x:v>
      </x:c>
      <x:c r="L2098" t="n">
        <x:v>1</x:v>
      </x:c>
      <x:c r="M2098" t="n">
        <x:v>1</x:v>
      </x:c>
      <x:c r="N2098" t="str">
        <x:v>Charged Off</x:v>
      </x:c>
      <x:c r="O2098" t="str">
        <x:f>IF(D2098="","Unknown",IF(D2098&lt;25000,"&lt;$25k",IF(D2098&lt;50000,"$25k-$50k",IF(D2098&lt;75000,"$50k-$75k",IF(D2098&lt;100000,"$75k-$100k","$100k+")))))</x:f>
        <x:v>$25k-$50k</x:v>
      </x:c>
      <x:c r="P2098" t="str">
        <x:f>IF(E2098="","Unknown",IF(E2098&lt;10,"&lt;10",IF(E2098&lt;20,"10-&lt;20",IF(E2098&lt;25,"20-&lt;25",IF(E2098&lt;35,"25-&lt;35","35+")))))</x:f>
        <x:v>25-&lt;35</x:v>
      </x:c>
    </x:row>
    <x:row r="2099">
      <x:c r="A2099" t="str">
        <x:v>SYN0002098</x:v>
      </x:c>
      <x:c r="B2099" s="12" t="n">
        <x:v>41545</x:v>
      </x:c>
      <x:c r="C2099" s="18" t="n">
        <x:v>24935</x:v>
      </x:c>
      <x:c r="D2099" s="18" t="n">
        <x:v>69453</x:v>
      </x:c>
      <x:c r="E2099" s="18" t="n">
        <x:v>25.21</x:v>
      </x:c>
      <x:c r="F2099" s="18" t="n">
        <x:v>17.18</x:v>
      </x:c>
      <x:c r="G2099" t="n">
        <x:v>36</x:v>
      </x:c>
      <x:c r="H2099" t="str">
        <x:v>E</x:v>
      </x:c>
      <x:c r="I2099" t="str">
        <x:v>4-6 years</x:v>
      </x:c>
      <x:c r="J2099" t="str">
        <x:v>OWN</x:v>
      </x:c>
      <x:c r="K2099" t="str">
        <x:v>credit_card</x:v>
      </x:c>
      <x:c r="L2099" t="n">
        <x:v>2</x:v>
      </x:c>
      <x:c r="M2099" t="n">
        <x:v>1</x:v>
      </x:c>
      <x:c r="N2099" t="str">
        <x:v>Charged Off</x:v>
      </x:c>
      <x:c r="O2099" t="str">
        <x:f>IF(D2099="","Unknown",IF(D2099&lt;25000,"&lt;$25k",IF(D2099&lt;50000,"$25k-$50k",IF(D2099&lt;75000,"$50k-$75k",IF(D2099&lt;100000,"$75k-$100k","$100k+")))))</x:f>
        <x:v>$50k-$75k</x:v>
      </x:c>
      <x:c r="P2099" t="str">
        <x:f>IF(E2099="","Unknown",IF(E2099&lt;10,"&lt;10",IF(E2099&lt;20,"10-&lt;20",IF(E2099&lt;25,"20-&lt;25",IF(E2099&lt;35,"25-&lt;35","35+")))))</x:f>
        <x:v>25-&lt;35</x:v>
      </x:c>
    </x:row>
    <x:row r="2100">
      <x:c r="A2100" t="str">
        <x:v>SYN0002099</x:v>
      </x:c>
      <x:c r="B2100" s="12" t="n">
        <x:v>42505</x:v>
      </x:c>
      <x:c r="C2100" s="18" t="n">
        <x:v>9211</x:v>
      </x:c>
      <x:c r="D2100" s="18" t="n">
        <x:v>75817</x:v>
      </x:c>
      <x:c r="E2100" s="18" t="n">
        <x:v>25.56</x:v>
      </x:c>
      <x:c r="F2100" s="18" t="n">
        <x:v>14.05</x:v>
      </x:c>
      <x:c r="G2100" t="n">
        <x:v>36</x:v>
      </x:c>
      <x:c r="H2100" t="str">
        <x:v>C</x:v>
      </x:c>
      <x:c r="I2100" t="str">
        <x:v>&lt;1 year</x:v>
      </x:c>
      <x:c r="J2100" t="str">
        <x:v>MORTGAGE</x:v>
      </x:c>
      <x:c r="K2100" t="str">
        <x:v>credit_card</x:v>
      </x:c>
      <x:c r="L2100" t="n">
        <x:v>0</x:v>
      </x:c>
      <x:c r="M2100" t="n">
        <x:v>0</x:v>
      </x:c>
      <x:c r="N2100" t="str">
        <x:v>Fully Paid</x:v>
      </x:c>
      <x:c r="O2100" t="str">
        <x:f>IF(D2100="","Unknown",IF(D2100&lt;25000,"&lt;$25k",IF(D2100&lt;50000,"$25k-$50k",IF(D2100&lt;75000,"$50k-$75k",IF(D2100&lt;100000,"$75k-$100k","$100k+")))))</x:f>
        <x:v>$75k-$100k</x:v>
      </x:c>
      <x:c r="P2100" t="str">
        <x:f>IF(E2100="","Unknown",IF(E2100&lt;10,"&lt;10",IF(E2100&lt;20,"10-&lt;20",IF(E2100&lt;25,"20-&lt;25",IF(E2100&lt;35,"25-&lt;35","35+")))))</x:f>
        <x:v>25-&lt;35</x:v>
      </x:c>
    </x:row>
    <x:row r="2101">
      <x:c r="A2101" t="str">
        <x:v>SYN0002100</x:v>
      </x:c>
      <x:c r="B2101" s="12" t="n">
        <x:v>41515</x:v>
      </x:c>
      <x:c r="C2101" s="18" t="n">
        <x:v>12314</x:v>
      </x:c>
      <x:c r="D2101" s="18" t="n">
        <x:v>29142</x:v>
      </x:c>
      <x:c r="E2101" s="18" t="n">
        <x:v>19.57</x:v>
      </x:c>
      <x:c r="F2101" s="18" t="n">
        <x:v>10.47</x:v>
      </x:c>
      <x:c r="G2101" t="n">
        <x:v>60</x:v>
      </x:c>
      <x:c r="H2101" t="str">
        <x:v>C</x:v>
      </x:c>
      <x:c r="I2101" t="str">
        <x:v>4-6 years</x:v>
      </x:c>
      <x:c r="J2101" t="str">
        <x:v>OWN</x:v>
      </x:c>
      <x:c r="K2101" t="str">
        <x:v>debt_consolidation</x:v>
      </x:c>
      <x:c r="L2101" t="n">
        <x:v>0</x:v>
      </x:c>
      <x:c r="M2101" t="n">
        <x:v>0</x:v>
      </x:c>
      <x:c r="N2101" t="str">
        <x:v>Fully Paid</x:v>
      </x:c>
      <x:c r="O2101" t="str">
        <x:f>IF(D2101="","Unknown",IF(D2101&lt;25000,"&lt;$25k",IF(D2101&lt;50000,"$25k-$50k",IF(D2101&lt;75000,"$50k-$75k",IF(D2101&lt;100000,"$75k-$100k","$100k+")))))</x:f>
        <x:v>$25k-$50k</x:v>
      </x:c>
      <x:c r="P2101" t="str">
        <x:f>IF(E2101="","Unknown",IF(E2101&lt;10,"&lt;10",IF(E2101&lt;20,"10-&lt;20",IF(E2101&lt;25,"20-&lt;25",IF(E2101&lt;35,"25-&lt;35","35+")))))</x:f>
        <x:v>10-&lt;20</x:v>
      </x:c>
    </x:row>
    <x:row r="2102">
      <x:c r="A2102" t="str">
        <x:v>SYN0002101</x:v>
      </x:c>
      <x:c r="B2102" s="12" t="n">
        <x:v>42385</x:v>
      </x:c>
      <x:c r="C2102" s="18" t="n">
        <x:v>11777</x:v>
      </x:c>
      <x:c r="D2102" s="18" t="n">
        <x:v>40977</x:v>
      </x:c>
      <x:c r="E2102" s="18" t="n">
        <x:v>15.78</x:v>
      </x:c>
      <x:c r="F2102" s="18" t="n">
        <x:v>11.19</x:v>
      </x:c>
      <x:c r="G2102" t="n">
        <x:v>36</x:v>
      </x:c>
      <x:c r="H2102" t="str">
        <x:v>C</x:v>
      </x:c>
      <x:c r="I2102" t="str">
        <x:v>1-3 years</x:v>
      </x:c>
      <x:c r="J2102" t="str">
        <x:v>OWN</x:v>
      </x:c>
      <x:c r="K2102" t="str">
        <x:v>home_improvement</x:v>
      </x:c>
      <x:c r="L2102" t="n">
        <x:v>0</x:v>
      </x:c>
      <x:c r="M2102" t="n">
        <x:v>0</x:v>
      </x:c>
      <x:c r="N2102" t="str">
        <x:v>Fully Paid</x:v>
      </x:c>
      <x:c r="O2102" t="str">
        <x:f>IF(D2102="","Unknown",IF(D2102&lt;25000,"&lt;$25k",IF(D2102&lt;50000,"$25k-$50k",IF(D2102&lt;75000,"$50k-$75k",IF(D2102&lt;100000,"$75k-$100k","$100k+")))))</x:f>
        <x:v>$25k-$50k</x:v>
      </x:c>
      <x:c r="P2102" t="str">
        <x:f>IF(E2102="","Unknown",IF(E2102&lt;10,"&lt;10",IF(E2102&lt;20,"10-&lt;20",IF(E2102&lt;25,"20-&lt;25",IF(E2102&lt;35,"25-&lt;35","35+")))))</x:f>
        <x:v>10-&lt;20</x:v>
      </x:c>
    </x:row>
    <x:row r="2103">
      <x:c r="A2103" t="str">
        <x:v>SYN0002102</x:v>
      </x:c>
      <x:c r="B2103" s="12" t="n">
        <x:v>42025</x:v>
      </x:c>
      <x:c r="C2103" s="18" t="n">
        <x:v>9884</x:v>
      </x:c>
      <x:c r="D2103" s="18" t="n">
        <x:v>12000</x:v>
      </x:c>
      <x:c r="E2103" s="18" t="n">
        <x:v>21.77</x:v>
      </x:c>
      <x:c r="F2103" s="18" t="n">
        <x:v>12.91</x:v>
      </x:c>
      <x:c r="G2103" t="n">
        <x:v>36</x:v>
      </x:c>
      <x:c r="H2103" t="str">
        <x:v>D</x:v>
      </x:c>
      <x:c r="I2103" t="str">
        <x:v>4-6 years</x:v>
      </x:c>
      <x:c r="J2103" t="str">
        <x:v>OWN</x:v>
      </x:c>
      <x:c r="K2103" t="str">
        <x:v>debt_consolidation</x:v>
      </x:c>
      <x:c r="L2103" t="n">
        <x:v>1</x:v>
      </x:c>
      <x:c r="M2103" t="n">
        <x:v>0</x:v>
      </x:c>
      <x:c r="N2103" t="str">
        <x:v>Fully Paid</x:v>
      </x:c>
      <x:c r="O2103" t="str">
        <x:f>IF(D2103="","Unknown",IF(D2103&lt;25000,"&lt;$25k",IF(D2103&lt;50000,"$25k-$50k",IF(D2103&lt;75000,"$50k-$75k",IF(D2103&lt;100000,"$75k-$100k","$100k+")))))</x:f>
        <x:v>&lt;$25k</x:v>
      </x:c>
      <x:c r="P2103" t="str">
        <x:f>IF(E2103="","Unknown",IF(E2103&lt;10,"&lt;10",IF(E2103&lt;20,"10-&lt;20",IF(E2103&lt;25,"20-&lt;25",IF(E2103&lt;35,"25-&lt;35","35+")))))</x:f>
        <x:v>20-&lt;25</x:v>
      </x:c>
    </x:row>
    <x:row r="2104">
      <x:c r="A2104" t="str">
        <x:v>SYN0002103</x:v>
      </x:c>
      <x:c r="B2104" s="12" t="n">
        <x:v>41425</x:v>
      </x:c>
      <x:c r="C2104" s="18" t="n">
        <x:v>5849</x:v>
      </x:c>
      <x:c r="D2104" s="18" t="n">
        <x:v>56176</x:v>
      </x:c>
      <x:c r="E2104" s="18" t="n">
        <x:v>37.04</x:v>
      </x:c>
      <x:c r="F2104" s="18" t="n">
        <x:v>11.06</x:v>
      </x:c>
      <x:c r="G2104" t="n">
        <x:v>36</x:v>
      </x:c>
      <x:c r="H2104" t="str">
        <x:v>A</x:v>
      </x:c>
      <x:c r="I2104" t="str">
        <x:v>10+ years</x:v>
      </x:c>
      <x:c r="J2104" t="str">
        <x:v>MORTGAGE</x:v>
      </x:c>
      <x:c r="K2104" t="str">
        <x:v>other</x:v>
      </x:c>
      <x:c r="L2104" t="n">
        <x:v>0</x:v>
      </x:c>
      <x:c r="M2104" t="n">
        <x:v>0</x:v>
      </x:c>
      <x:c r="N2104" t="str">
        <x:v>Fully Paid</x:v>
      </x:c>
      <x:c r="O2104" t="str">
        <x:f>IF(D2104="","Unknown",IF(D2104&lt;25000,"&lt;$25k",IF(D2104&lt;50000,"$25k-$50k",IF(D2104&lt;75000,"$50k-$75k",IF(D2104&lt;100000,"$75k-$100k","$100k+")))))</x:f>
        <x:v>$50k-$75k</x:v>
      </x:c>
      <x:c r="P2104" t="str">
        <x:f>IF(E2104="","Unknown",IF(E2104&lt;10,"&lt;10",IF(E2104&lt;20,"10-&lt;20",IF(E2104&lt;25,"20-&lt;25",IF(E2104&lt;35,"25-&lt;35","35+")))))</x:f>
        <x:v>35+</x:v>
      </x:c>
    </x:row>
    <x:row r="2105">
      <x:c r="A2105" t="str">
        <x:v>SYN0002104</x:v>
      </x:c>
      <x:c r="B2105" s="12" t="n">
        <x:v>42745</x:v>
      </x:c>
      <x:c r="C2105" s="18" t="n">
        <x:v>11741</x:v>
      </x:c>
      <x:c r="D2105" s="18" t="n">
        <x:v>47284</x:v>
      </x:c>
      <x:c r="E2105" s="18" t="n">
        <x:v>27.89</x:v>
      </x:c>
      <x:c r="F2105" s="18" t="n">
        <x:v>9.13</x:v>
      </x:c>
      <x:c r="G2105" t="n">
        <x:v>36</x:v>
      </x:c>
      <x:c r="H2105" t="str">
        <x:v>C</x:v>
      </x:c>
      <x:c r="I2105" t="str">
        <x:v>10+ years</x:v>
      </x:c>
      <x:c r="J2105" t="str">
        <x:v>MORTGAGE</x:v>
      </x:c>
      <x:c r="K2105" t="str">
        <x:v>home_improvement</x:v>
      </x:c>
      <x:c r="L2105" t="n">
        <x:v>1</x:v>
      </x:c>
      <x:c r="M2105" t="n">
        <x:v>0</x:v>
      </x:c>
      <x:c r="N2105" t="str">
        <x:v>Fully Paid</x:v>
      </x:c>
      <x:c r="O2105" t="str">
        <x:f>IF(D2105="","Unknown",IF(D2105&lt;25000,"&lt;$25k",IF(D2105&lt;50000,"$25k-$50k",IF(D2105&lt;75000,"$50k-$75k",IF(D2105&lt;100000,"$75k-$100k","$100k+")))))</x:f>
        <x:v>$25k-$50k</x:v>
      </x:c>
      <x:c r="P2105" t="str">
        <x:f>IF(E2105="","Unknown",IF(E2105&lt;10,"&lt;10",IF(E2105&lt;20,"10-&lt;20",IF(E2105&lt;25,"20-&lt;25",IF(E2105&lt;35,"25-&lt;35","35+")))))</x:f>
        <x:v>25-&lt;35</x:v>
      </x:c>
    </x:row>
    <x:row r="2106">
      <x:c r="A2106" t="str">
        <x:v>SYN0002105</x:v>
      </x:c>
      <x:c r="B2106" s="12" t="n">
        <x:v>42625</x:v>
      </x:c>
      <x:c r="C2106" s="18" t="n">
        <x:v>14684</x:v>
      </x:c>
      <x:c r="D2106" s="18" t="n">
        <x:v>189098</x:v>
      </x:c>
      <x:c r="E2106" s="18" t="n">
        <x:v>22.62</x:v>
      </x:c>
      <x:c r="F2106" s="18" t="n">
        <x:v>8.75</x:v>
      </x:c>
      <x:c r="G2106" t="n">
        <x:v>36</x:v>
      </x:c>
      <x:c r="H2106" t="str">
        <x:v>B</x:v>
      </x:c>
      <x:c r="I2106" t="str">
        <x:v>7-9 years</x:v>
      </x:c>
      <x:c r="J2106" t="str">
        <x:v>MORTGAGE</x:v>
      </x:c>
      <x:c r="K2106" t="str">
        <x:v>home_improvement</x:v>
      </x:c>
      <x:c r="L2106" t="n">
        <x:v>0</x:v>
      </x:c>
      <x:c r="M2106" t="n">
        <x:v>0</x:v>
      </x:c>
      <x:c r="N2106" t="str">
        <x:v>Fully Paid</x:v>
      </x:c>
      <x:c r="O2106" t="str">
        <x:f>IF(D2106="","Unknown",IF(D2106&lt;25000,"&lt;$25k",IF(D2106&lt;50000,"$25k-$50k",IF(D2106&lt;75000,"$50k-$75k",IF(D2106&lt;100000,"$75k-$100k","$100k+")))))</x:f>
        <x:v>$100k+</x:v>
      </x:c>
      <x:c r="P2106" t="str">
        <x:f>IF(E2106="","Unknown",IF(E2106&lt;10,"&lt;10",IF(E2106&lt;20,"10-&lt;20",IF(E2106&lt;25,"20-&lt;25",IF(E2106&lt;35,"25-&lt;35","35+")))))</x:f>
        <x:v>20-&lt;25</x:v>
      </x:c>
    </x:row>
    <x:row r="2107">
      <x:c r="A2107" t="str">
        <x:v>SYN0002106</x:v>
      </x:c>
      <x:c r="B2107" s="12" t="n">
        <x:v>42295</x:v>
      </x:c>
      <x:c r="C2107" s="18" t="n">
        <x:v>15092</x:v>
      </x:c>
      <x:c r="D2107" s="18" t="n">
        <x:v>23923</x:v>
      </x:c>
      <x:c r="E2107" s="18" t="n">
        <x:v>11.18</x:v>
      </x:c>
      <x:c r="F2107" s="18" t="n">
        <x:v>6.06</x:v>
      </x:c>
      <x:c r="G2107" t="n">
        <x:v>36</x:v>
      </x:c>
      <x:c r="H2107" t="str">
        <x:v>B</x:v>
      </x:c>
      <x:c r="I2107" t="str">
        <x:v>4-6 years</x:v>
      </x:c>
      <x:c r="J2107" t="str">
        <x:v>RENT</x:v>
      </x:c>
      <x:c r="K2107" t="str">
        <x:v>home_improvement</x:v>
      </x:c>
      <x:c r="L2107" t="n">
        <x:v>0</x:v>
      </x:c>
      <x:c r="M2107" t="n">
        <x:v>0</x:v>
      </x:c>
      <x:c r="N2107" t="str">
        <x:v>Fully Paid</x:v>
      </x:c>
      <x:c r="O2107" t="str">
        <x:f>IF(D2107="","Unknown",IF(D2107&lt;25000,"&lt;$25k",IF(D2107&lt;50000,"$25k-$50k",IF(D2107&lt;75000,"$50k-$75k",IF(D2107&lt;100000,"$75k-$100k","$100k+")))))</x:f>
        <x:v>&lt;$25k</x:v>
      </x:c>
      <x:c r="P2107" t="str">
        <x:f>IF(E2107="","Unknown",IF(E2107&lt;10,"&lt;10",IF(E2107&lt;20,"10-&lt;20",IF(E2107&lt;25,"20-&lt;25",IF(E2107&lt;35,"25-&lt;35","35+")))))</x:f>
        <x:v>10-&lt;20</x:v>
      </x:c>
    </x:row>
    <x:row r="2108">
      <x:c r="A2108" t="str">
        <x:v>SYN0002107</x:v>
      </x:c>
      <x:c r="B2108" s="12" t="n">
        <x:v>42955</x:v>
      </x:c>
      <x:c r="C2108" s="18" t="n">
        <x:v>14553</x:v>
      </x:c>
      <x:c r="D2108" s="18" t="n">
        <x:v>23696</x:v>
      </x:c>
      <x:c r="E2108" s="18" t="n">
        <x:v>25.99</x:v>
      </x:c>
      <x:c r="F2108" s="18" t="n">
        <x:v>10.92</x:v>
      </x:c>
      <x:c r="G2108" t="n">
        <x:v>36</x:v>
      </x:c>
      <x:c r="H2108" t="str">
        <x:v>C</x:v>
      </x:c>
      <x:c r="I2108" t="str">
        <x:v>4-6 years</x:v>
      </x:c>
      <x:c r="J2108" t="str">
        <x:v>RENT</x:v>
      </x:c>
      <x:c r="K2108" t="str">
        <x:v>debt_consolidation</x:v>
      </x:c>
      <x:c r="L2108" t="n">
        <x:v>0</x:v>
      </x:c>
      <x:c r="M2108" t="n">
        <x:v>0</x:v>
      </x:c>
      <x:c r="N2108" t="str">
        <x:v>Fully Paid</x:v>
      </x:c>
      <x:c r="O2108" t="str">
        <x:f>IF(D2108="","Unknown",IF(D2108&lt;25000,"&lt;$25k",IF(D2108&lt;50000,"$25k-$50k",IF(D2108&lt;75000,"$50k-$75k",IF(D2108&lt;100000,"$75k-$100k","$100k+")))))</x:f>
        <x:v>&lt;$25k</x:v>
      </x:c>
      <x:c r="P2108" t="str">
        <x:f>IF(E2108="","Unknown",IF(E2108&lt;10,"&lt;10",IF(E2108&lt;20,"10-&lt;20",IF(E2108&lt;25,"20-&lt;25",IF(E2108&lt;35,"25-&lt;35","35+")))))</x:f>
        <x:v>25-&lt;35</x:v>
      </x:c>
    </x:row>
    <x:row r="2109">
      <x:c r="A2109" t="str">
        <x:v>SYN0002108</x:v>
      </x:c>
      <x:c r="B2109" s="12" t="n">
        <x:v>43015</x:v>
      </x:c>
      <x:c r="C2109" s="18" t="n">
        <x:v>6305</x:v>
      </x:c>
      <x:c r="D2109" s="18" t="n">
        <x:v>52625</x:v>
      </x:c>
      <x:c r="E2109" s="18" t="n">
        <x:v>14.21</x:v>
      </x:c>
      <x:c r="F2109" s="18" t="n">
        <x:v>9.65</x:v>
      </x:c>
      <x:c r="G2109" t="n">
        <x:v>36</x:v>
      </x:c>
      <x:c r="H2109" t="str">
        <x:v>B</x:v>
      </x:c>
      <x:c r="I2109" t="str">
        <x:v>1-3 years</x:v>
      </x:c>
      <x:c r="J2109" t="str">
        <x:v>OTHER</x:v>
      </x:c>
      <x:c r="K2109" t="str">
        <x:v>debt_consolidation</x:v>
      </x:c>
      <x:c r="L2109" t="n">
        <x:v>0</x:v>
      </x:c>
      <x:c r="M2109" t="n">
        <x:v>0</x:v>
      </x:c>
      <x:c r="N2109" t="str">
        <x:v>Fully Paid</x:v>
      </x:c>
      <x:c r="O2109" t="str">
        <x:f>IF(D2109="","Unknown",IF(D2109&lt;25000,"&lt;$25k",IF(D2109&lt;50000,"$25k-$50k",IF(D2109&lt;75000,"$50k-$75k",IF(D2109&lt;100000,"$75k-$100k","$100k+")))))</x:f>
        <x:v>$50k-$75k</x:v>
      </x:c>
      <x:c r="P2109" t="str">
        <x:f>IF(E2109="","Unknown",IF(E2109&lt;10,"&lt;10",IF(E2109&lt;20,"10-&lt;20",IF(E2109&lt;25,"20-&lt;25",IF(E2109&lt;35,"25-&lt;35","35+")))))</x:f>
        <x:v>10-&lt;20</x:v>
      </x:c>
    </x:row>
    <x:row r="2110">
      <x:c r="A2110" t="str">
        <x:v>SYN0002109</x:v>
      </x:c>
      <x:c r="B2110" s="12" t="n">
        <x:v>42325</x:v>
      </x:c>
      <x:c r="C2110" s="18" t="n">
        <x:v>4340</x:v>
      </x:c>
      <x:c r="D2110" s="18" t="n">
        <x:v>226799</x:v>
      </x:c>
      <x:c r="E2110" s="18" t="n">
        <x:v>20.75</x:v>
      </x:c>
      <x:c r="F2110" s="18" t="n">
        <x:v>9.66</x:v>
      </x:c>
      <x:c r="G2110" t="n">
        <x:v>36</x:v>
      </x:c>
      <x:c r="H2110" t="str">
        <x:v>A</x:v>
      </x:c>
      <x:c r="I2110" t="str">
        <x:v>1-3 years</x:v>
      </x:c>
      <x:c r="J2110" t="str">
        <x:v>MORTGAGE</x:v>
      </x:c>
      <x:c r="K2110" t="str">
        <x:v>home_improvement</x:v>
      </x:c>
      <x:c r="L2110" t="n">
        <x:v>0</x:v>
      </x:c>
      <x:c r="M2110" t="n">
        <x:v>0</x:v>
      </x:c>
      <x:c r="N2110" t="str">
        <x:v>Fully Paid</x:v>
      </x:c>
      <x:c r="O2110" t="str">
        <x:f>IF(D2110="","Unknown",IF(D2110&lt;25000,"&lt;$25k",IF(D2110&lt;50000,"$25k-$50k",IF(D2110&lt;75000,"$50k-$75k",IF(D2110&lt;100000,"$75k-$100k","$100k+")))))</x:f>
        <x:v>$100k+</x:v>
      </x:c>
      <x:c r="P2110" t="str">
        <x:f>IF(E2110="","Unknown",IF(E2110&lt;10,"&lt;10",IF(E2110&lt;20,"10-&lt;20",IF(E2110&lt;25,"20-&lt;25",IF(E2110&lt;35,"25-&lt;35","35+")))))</x:f>
        <x:v>20-&lt;25</x:v>
      </x:c>
    </x:row>
    <x:row r="2111">
      <x:c r="A2111" t="str">
        <x:v>SYN0002110</x:v>
      </x:c>
      <x:c r="B2111" s="12" t="n">
        <x:v>42295</x:v>
      </x:c>
      <x:c r="C2111" s="18" t="n">
        <x:v>6672</x:v>
      </x:c>
      <x:c r="D2111" s="18" t="n">
        <x:v>60540</x:v>
      </x:c>
      <x:c r="E2111" s="18" t="n">
        <x:v>28.86</x:v>
      </x:c>
      <x:c r="F2111" s="18" t="n">
        <x:v>15.57</x:v>
      </x:c>
      <x:c r="G2111" t="n">
        <x:v>36</x:v>
      </x:c>
      <x:c r="H2111" t="str">
        <x:v>E</x:v>
      </x:c>
      <x:c r="I2111" t="str">
        <x:v>1-3 years</x:v>
      </x:c>
      <x:c r="J2111" t="str">
        <x:v>MORTGAGE</x:v>
      </x:c>
      <x:c r="K2111" t="str">
        <x:v>debt_consolidation</x:v>
      </x:c>
      <x:c r="L2111" t="n">
        <x:v>0</x:v>
      </x:c>
      <x:c r="M2111" t="n">
        <x:v>0</x:v>
      </x:c>
      <x:c r="N2111" t="str">
        <x:v>Fully Paid</x:v>
      </x:c>
      <x:c r="O2111" t="str">
        <x:f>IF(D2111="","Unknown",IF(D2111&lt;25000,"&lt;$25k",IF(D2111&lt;50000,"$25k-$50k",IF(D2111&lt;75000,"$50k-$75k",IF(D2111&lt;100000,"$75k-$100k","$100k+")))))</x:f>
        <x:v>$50k-$75k</x:v>
      </x:c>
      <x:c r="P2111" t="str">
        <x:f>IF(E2111="","Unknown",IF(E2111&lt;10,"&lt;10",IF(E2111&lt;20,"10-&lt;20",IF(E2111&lt;25,"20-&lt;25",IF(E2111&lt;35,"25-&lt;35","35+")))))</x:f>
        <x:v>25-&lt;35</x:v>
      </x:c>
    </x:row>
    <x:row r="2112">
      <x:c r="A2112" t="str">
        <x:v>SYN0002111</x:v>
      </x:c>
      <x:c r="B2112" s="12" t="n">
        <x:v>41845</x:v>
      </x:c>
      <x:c r="C2112" s="18" t="n">
        <x:v>20173</x:v>
      </x:c>
      <x:c r="D2112" s="18" t="n">
        <x:v>102636</x:v>
      </x:c>
      <x:c r="E2112" s="18" t="n">
        <x:v>11.49</x:v>
      </x:c>
      <x:c r="F2112" s="18" t="n">
        <x:v>11.25</x:v>
      </x:c>
      <x:c r="G2112" t="n">
        <x:v>36</x:v>
      </x:c>
      <x:c r="H2112" t="str">
        <x:v>C</x:v>
      </x:c>
      <x:c r="I2112" t="str">
        <x:v>10+ years</x:v>
      </x:c>
      <x:c r="J2112" t="str">
        <x:v>OWN</x:v>
      </x:c>
      <x:c r="K2112" t="str">
        <x:v>credit_card</x:v>
      </x:c>
      <x:c r="L2112" t="n">
        <x:v>1</x:v>
      </x:c>
      <x:c r="M2112" t="n">
        <x:v>0</x:v>
      </x:c>
      <x:c r="N2112" t="str">
        <x:v>Fully Paid</x:v>
      </x:c>
      <x:c r="O2112" t="str">
        <x:f>IF(D2112="","Unknown",IF(D2112&lt;25000,"&lt;$25k",IF(D2112&lt;50000,"$25k-$50k",IF(D2112&lt;75000,"$50k-$75k",IF(D2112&lt;100000,"$75k-$100k","$100k+")))))</x:f>
        <x:v>$100k+</x:v>
      </x:c>
      <x:c r="P2112" t="str">
        <x:f>IF(E2112="","Unknown",IF(E2112&lt;10,"&lt;10",IF(E2112&lt;20,"10-&lt;20",IF(E2112&lt;25,"20-&lt;25",IF(E2112&lt;35,"25-&lt;35","35+")))))</x:f>
        <x:v>10-&lt;20</x:v>
      </x:c>
    </x:row>
    <x:row r="2113">
      <x:c r="A2113" t="str">
        <x:v>SYN0002112</x:v>
      </x:c>
      <x:c r="B2113" s="12" t="n">
        <x:v>41695</x:v>
      </x:c>
      <x:c r="C2113" s="18" t="n">
        <x:v>8933</x:v>
      </x:c>
      <x:c r="D2113" s="18" t="n">
        <x:v>31137</x:v>
      </x:c>
      <x:c r="E2113" s="18" t="n">
        <x:v>27.77</x:v>
      </x:c>
      <x:c r="F2113" s="18" t="n">
        <x:v>7.82</x:v>
      </x:c>
      <x:c r="G2113" t="n">
        <x:v>36</x:v>
      </x:c>
      <x:c r="H2113" t="str">
        <x:v>B</x:v>
      </x:c>
      <x:c r="I2113" t="str">
        <x:v>7-9 years</x:v>
      </x:c>
      <x:c r="J2113" t="str">
        <x:v>RENT</x:v>
      </x:c>
      <x:c r="K2113" t="str">
        <x:v>major_purchase</x:v>
      </x:c>
      <x:c r="L2113" t="n">
        <x:v>0</x:v>
      </x:c>
      <x:c r="M2113" t="n">
        <x:v>1</x:v>
      </x:c>
      <x:c r="N2113" t="str">
        <x:v>Charged Off</x:v>
      </x:c>
      <x:c r="O2113" t="str">
        <x:f>IF(D2113="","Unknown",IF(D2113&lt;25000,"&lt;$25k",IF(D2113&lt;50000,"$25k-$50k",IF(D2113&lt;75000,"$50k-$75k",IF(D2113&lt;100000,"$75k-$100k","$100k+")))))</x:f>
        <x:v>$25k-$50k</x:v>
      </x:c>
      <x:c r="P2113" t="str">
        <x:f>IF(E2113="","Unknown",IF(E2113&lt;10,"&lt;10",IF(E2113&lt;20,"10-&lt;20",IF(E2113&lt;25,"20-&lt;25",IF(E2113&lt;35,"25-&lt;35","35+")))))</x:f>
        <x:v>25-&lt;35</x:v>
      </x:c>
    </x:row>
    <x:row r="2114">
      <x:c r="A2114" t="str">
        <x:v>SYN0002113</x:v>
      </x:c>
      <x:c r="B2114" s="12" t="n">
        <x:v>42445</x:v>
      </x:c>
      <x:c r="C2114" s="18" t="n">
        <x:v>9442</x:v>
      </x:c>
      <x:c r="D2114" s="18" t="n">
        <x:v>35419</x:v>
      </x:c>
      <x:c r="E2114" s="18" t="n">
        <x:v>27.28</x:v>
      </x:c>
      <x:c r="F2114" s="18" t="n">
        <x:v>18.1</x:v>
      </x:c>
      <x:c r="G2114" t="n">
        <x:v>60</x:v>
      </x:c>
      <x:c r="H2114" t="str">
        <x:v>E</x:v>
      </x:c>
      <x:c r="I2114" t="str">
        <x:v>4-6 years</x:v>
      </x:c>
      <x:c r="J2114" t="str">
        <x:v>RENT</x:v>
      </x:c>
      <x:c r="K2114" t="str">
        <x:v>major_purchase</x:v>
      </x:c>
      <x:c r="L2114" t="n">
        <x:v>0</x:v>
      </x:c>
      <x:c r="M2114" t="n">
        <x:v>0</x:v>
      </x:c>
      <x:c r="N2114" t="str">
        <x:v>Fully Paid</x:v>
      </x:c>
      <x:c r="O2114" t="str">
        <x:f>IF(D2114="","Unknown",IF(D2114&lt;25000,"&lt;$25k",IF(D2114&lt;50000,"$25k-$50k",IF(D2114&lt;75000,"$50k-$75k",IF(D2114&lt;100000,"$75k-$100k","$100k+")))))</x:f>
        <x:v>$25k-$50k</x:v>
      </x:c>
      <x:c r="P2114" t="str">
        <x:f>IF(E2114="","Unknown",IF(E2114&lt;10,"&lt;10",IF(E2114&lt;20,"10-&lt;20",IF(E2114&lt;25,"20-&lt;25",IF(E2114&lt;35,"25-&lt;35","35+")))))</x:f>
        <x:v>25-&lt;35</x:v>
      </x:c>
    </x:row>
    <x:row r="2115">
      <x:c r="A2115" t="str">
        <x:v>SYN0002114</x:v>
      </x:c>
      <x:c r="B2115" s="12" t="n">
        <x:v>43015</x:v>
      </x:c>
      <x:c r="C2115" s="18" t="n">
        <x:v>9456</x:v>
      </x:c>
      <x:c r="D2115" s="18" t="n">
        <x:v>36918</x:v>
      </x:c>
      <x:c r="E2115" s="18" t="n">
        <x:v>17.15</x:v>
      </x:c>
      <x:c r="F2115" s="18" t="n">
        <x:v>9.89</x:v>
      </x:c>
      <x:c r="G2115" t="n">
        <x:v>36</x:v>
      </x:c>
      <x:c r="H2115" t="str">
        <x:v>C</x:v>
      </x:c>
      <x:c r="I2115" t="str">
        <x:v>&lt;1 year</x:v>
      </x:c>
      <x:c r="J2115" t="str">
        <x:v>MORTGAGE</x:v>
      </x:c>
      <x:c r="K2115" t="str">
        <x:v>debt_consolidation</x:v>
      </x:c>
      <x:c r="L2115" t="n">
        <x:v>1</x:v>
      </x:c>
      <x:c r="M2115" t="n">
        <x:v>0</x:v>
      </x:c>
      <x:c r="N2115" t="str">
        <x:v>Fully Paid</x:v>
      </x:c>
      <x:c r="O2115" t="str">
        <x:f>IF(D2115="","Unknown",IF(D2115&lt;25000,"&lt;$25k",IF(D2115&lt;50000,"$25k-$50k",IF(D2115&lt;75000,"$50k-$75k",IF(D2115&lt;100000,"$75k-$100k","$100k+")))))</x:f>
        <x:v>$25k-$50k</x:v>
      </x:c>
      <x:c r="P2115" t="str">
        <x:f>IF(E2115="","Unknown",IF(E2115&lt;10,"&lt;10",IF(E2115&lt;20,"10-&lt;20",IF(E2115&lt;25,"20-&lt;25",IF(E2115&lt;35,"25-&lt;35","35+")))))</x:f>
        <x:v>10-&lt;20</x:v>
      </x:c>
    </x:row>
    <x:row r="2116">
      <x:c r="A2116" t="str">
        <x:v>SYN0002115</x:v>
      </x:c>
      <x:c r="B2116" s="12" t="n">
        <x:v>42865</x:v>
      </x:c>
      <x:c r="C2116" s="18" t="n">
        <x:v>13000</x:v>
      </x:c>
      <x:c r="D2116" s="18" t="n">
        <x:v>36475</x:v>
      </x:c>
      <x:c r="E2116" s="18" t="n">
        <x:v>12.34</x:v>
      </x:c>
      <x:c r="F2116" s="18" t="n">
        <x:v>8.83</x:v>
      </x:c>
      <x:c r="G2116" t="n">
        <x:v>36</x:v>
      </x:c>
      <x:c r="H2116" t="str">
        <x:v>B</x:v>
      </x:c>
      <x:c r="I2116" t="str">
        <x:v>4-6 years</x:v>
      </x:c>
      <x:c r="J2116" t="str">
        <x:v>MORTGAGE</x:v>
      </x:c>
      <x:c r="K2116" t="str">
        <x:v>debt_consolidation</x:v>
      </x:c>
      <x:c r="L2116" t="n">
        <x:v>0</x:v>
      </x:c>
      <x:c r="M2116" t="n">
        <x:v>0</x:v>
      </x:c>
      <x:c r="N2116" t="str">
        <x:v>Fully Paid</x:v>
      </x:c>
      <x:c r="O2116" t="str">
        <x:f>IF(D2116="","Unknown",IF(D2116&lt;25000,"&lt;$25k",IF(D2116&lt;50000,"$25k-$50k",IF(D2116&lt;75000,"$50k-$75k",IF(D2116&lt;100000,"$75k-$100k","$100k+")))))</x:f>
        <x:v>$25k-$50k</x:v>
      </x:c>
      <x:c r="P2116" t="str">
        <x:f>IF(E2116="","Unknown",IF(E2116&lt;10,"&lt;10",IF(E2116&lt;20,"10-&lt;20",IF(E2116&lt;25,"20-&lt;25",IF(E2116&lt;35,"25-&lt;35","35+")))))</x:f>
        <x:v>10-&lt;20</x:v>
      </x:c>
    </x:row>
    <x:row r="2117">
      <x:c r="A2117" t="str">
        <x:v>SYN0002116</x:v>
      </x:c>
      <x:c r="B2117" s="12" t="n">
        <x:v>42565</x:v>
      </x:c>
      <x:c r="C2117" s="18" t="n">
        <x:v>13446</x:v>
      </x:c>
      <x:c r="D2117" s="18" t="n">
        <x:v>90800</x:v>
      </x:c>
      <x:c r="E2117" s="18" t="n">
        <x:v>18.16</x:v>
      </x:c>
      <x:c r="F2117" s="18" t="n">
        <x:v>5</x:v>
      </x:c>
      <x:c r="G2117" t="n">
        <x:v>36</x:v>
      </x:c>
      <x:c r="H2117" t="str">
        <x:v>A</x:v>
      </x:c>
      <x:c r="I2117" t="str">
        <x:v>4-6 years</x:v>
      </x:c>
      <x:c r="J2117" t="str">
        <x:v>MORTGAGE</x:v>
      </x:c>
      <x:c r="K2117" t="str">
        <x:v>home_improvement</x:v>
      </x:c>
      <x:c r="L2117" t="n">
        <x:v>1</x:v>
      </x:c>
      <x:c r="M2117" t="n">
        <x:v>0</x:v>
      </x:c>
      <x:c r="N2117" t="str">
        <x:v>Fully Paid</x:v>
      </x:c>
      <x:c r="O2117" t="str">
        <x:f>IF(D2117="","Unknown",IF(D2117&lt;25000,"&lt;$25k",IF(D2117&lt;50000,"$25k-$50k",IF(D2117&lt;75000,"$50k-$75k",IF(D2117&lt;100000,"$75k-$100k","$100k+")))))</x:f>
        <x:v>$75k-$100k</x:v>
      </x:c>
      <x:c r="P2117" t="str">
        <x:f>IF(E2117="","Unknown",IF(E2117&lt;10,"&lt;10",IF(E2117&lt;20,"10-&lt;20",IF(E2117&lt;25,"20-&lt;25",IF(E2117&lt;35,"25-&lt;35","35+")))))</x:f>
        <x:v>10-&lt;20</x:v>
      </x:c>
    </x:row>
    <x:row r="2118">
      <x:c r="A2118" t="str">
        <x:v>SYN0002117</x:v>
      </x:c>
      <x:c r="B2118" s="12" t="n">
        <x:v>41605</x:v>
      </x:c>
      <x:c r="C2118" s="18" t="n">
        <x:v>11754</x:v>
      </x:c>
      <x:c r="D2118" s="18" t="n">
        <x:v>52454</x:v>
      </x:c>
      <x:c r="E2118" s="18" t="n">
        <x:v>24.29</x:v>
      </x:c>
      <x:c r="F2118" s="18" t="n">
        <x:v>9.2</x:v>
      </x:c>
      <x:c r="G2118" t="n">
        <x:v>36</x:v>
      </x:c>
      <x:c r="H2118" t="str">
        <x:v>B</x:v>
      </x:c>
      <x:c r="I2118" t="str">
        <x:v>4-6 years</x:v>
      </x:c>
      <x:c r="J2118" t="str">
        <x:v>RENT</x:v>
      </x:c>
      <x:c r="K2118" t="str">
        <x:v>credit_card</x:v>
      </x:c>
      <x:c r="L2118" t="n">
        <x:v>0</x:v>
      </x:c>
      <x:c r="M2118" t="n">
        <x:v>0</x:v>
      </x:c>
      <x:c r="N2118" t="str">
        <x:v>Fully Paid</x:v>
      </x:c>
      <x:c r="O2118" t="str">
        <x:f>IF(D2118="","Unknown",IF(D2118&lt;25000,"&lt;$25k",IF(D2118&lt;50000,"$25k-$50k",IF(D2118&lt;75000,"$50k-$75k",IF(D2118&lt;100000,"$75k-$100k","$100k+")))))</x:f>
        <x:v>$50k-$75k</x:v>
      </x:c>
      <x:c r="P2118" t="str">
        <x:f>IF(E2118="","Unknown",IF(E2118&lt;10,"&lt;10",IF(E2118&lt;20,"10-&lt;20",IF(E2118&lt;25,"20-&lt;25",IF(E2118&lt;35,"25-&lt;35","35+")))))</x:f>
        <x:v>20-&lt;25</x:v>
      </x:c>
    </x:row>
    <x:row r="2119">
      <x:c r="A2119" t="str">
        <x:v>SYN0002118</x:v>
      </x:c>
      <x:c r="B2119" s="12" t="n">
        <x:v>41455</x:v>
      </x:c>
      <x:c r="C2119" s="18" t="n">
        <x:v>15562</x:v>
      </x:c>
      <x:c r="D2119" s="18" t="n">
        <x:v>26984</x:v>
      </x:c>
      <x:c r="E2119" s="18" t="n">
        <x:v>17.55</x:v>
      </x:c>
      <x:c r="F2119" s="18" t="n">
        <x:v>6.83</x:v>
      </x:c>
      <x:c r="G2119" t="n">
        <x:v>60</x:v>
      </x:c>
      <x:c r="H2119" t="str">
        <x:v>A</x:v>
      </x:c>
      <x:c r="I2119" t="str">
        <x:v>10+ years</x:v>
      </x:c>
      <x:c r="J2119" t="str">
        <x:v>RENT</x:v>
      </x:c>
      <x:c r="K2119" t="str">
        <x:v>credit_card</x:v>
      </x:c>
      <x:c r="L2119" t="n">
        <x:v>0</x:v>
      </x:c>
      <x:c r="M2119" t="n">
        <x:v>0</x:v>
      </x:c>
      <x:c r="N2119" t="str">
        <x:v>Fully Paid</x:v>
      </x:c>
      <x:c r="O2119" t="str">
        <x:f>IF(D2119="","Unknown",IF(D2119&lt;25000,"&lt;$25k",IF(D2119&lt;50000,"$25k-$50k",IF(D2119&lt;75000,"$50k-$75k",IF(D2119&lt;100000,"$75k-$100k","$100k+")))))</x:f>
        <x:v>$25k-$50k</x:v>
      </x:c>
      <x:c r="P2119" t="str">
        <x:f>IF(E2119="","Unknown",IF(E2119&lt;10,"&lt;10",IF(E2119&lt;20,"10-&lt;20",IF(E2119&lt;25,"20-&lt;25",IF(E2119&lt;35,"25-&lt;35","35+")))))</x:f>
        <x:v>10-&lt;20</x:v>
      </x:c>
    </x:row>
    <x:row r="2120">
      <x:c r="A2120" t="str">
        <x:v>SYN0002119</x:v>
      </x:c>
      <x:c r="B2120" s="12" t="n">
        <x:v>41335</x:v>
      </x:c>
      <x:c r="C2120" s="18" t="n">
        <x:v>26974</x:v>
      </x:c>
      <x:c r="D2120" s="18" t="n">
        <x:v>36373</x:v>
      </x:c>
      <x:c r="E2120" s="18" t="n">
        <x:v>4.63</x:v>
      </x:c>
      <x:c r="F2120" s="18" t="n">
        <x:v>15.3</x:v>
      </x:c>
      <x:c r="G2120" t="n">
        <x:v>60</x:v>
      </x:c>
      <x:c r="H2120" t="str">
        <x:v>D</x:v>
      </x:c>
      <x:c r="I2120" t="str">
        <x:v>10+ years</x:v>
      </x:c>
      <x:c r="J2120" t="str">
        <x:v>RENT</x:v>
      </x:c>
      <x:c r="K2120" t="str">
        <x:v>major_purchase</x:v>
      </x:c>
      <x:c r="L2120" t="n">
        <x:v>1</x:v>
      </x:c>
      <x:c r="M2120" t="n">
        <x:v>0</x:v>
      </x:c>
      <x:c r="N2120" t="str">
        <x:v>Fully Paid</x:v>
      </x:c>
      <x:c r="O2120" t="str">
        <x:f>IF(D2120="","Unknown",IF(D2120&lt;25000,"&lt;$25k",IF(D2120&lt;50000,"$25k-$50k",IF(D2120&lt;75000,"$50k-$75k",IF(D2120&lt;100000,"$75k-$100k","$100k+")))))</x:f>
        <x:v>$25k-$50k</x:v>
      </x:c>
      <x:c r="P2120" t="str">
        <x:f>IF(E2120="","Unknown",IF(E2120&lt;10,"&lt;10",IF(E2120&lt;20,"10-&lt;20",IF(E2120&lt;25,"20-&lt;25",IF(E2120&lt;35,"25-&lt;35","35+")))))</x:f>
        <x:v>&lt;10</x:v>
      </x:c>
    </x:row>
    <x:row r="2121">
      <x:c r="A2121" t="str">
        <x:v>SYN0002120</x:v>
      </x:c>
      <x:c r="B2121" s="12" t="n">
        <x:v>41905</x:v>
      </x:c>
      <x:c r="C2121" s="18" t="n">
        <x:v>13075</x:v>
      </x:c>
      <x:c r="D2121" s="18" t="n">
        <x:v>51178</x:v>
      </x:c>
      <x:c r="E2121" s="18" t="n">
        <x:v>17.01</x:v>
      </x:c>
      <x:c r="F2121" s="18" t="n">
        <x:v>11.37</x:v>
      </x:c>
      <x:c r="G2121" t="n">
        <x:v>36</x:v>
      </x:c>
      <x:c r="H2121" t="str">
        <x:v>C</x:v>
      </x:c>
      <x:c r="I2121" t="str">
        <x:v>7-9 years</x:v>
      </x:c>
      <x:c r="J2121" t="str">
        <x:v>RENT</x:v>
      </x:c>
      <x:c r="K2121" t="str">
        <x:v>credit_card</x:v>
      </x:c>
      <x:c r="L2121" t="n">
        <x:v>0</x:v>
      </x:c>
      <x:c r="M2121" t="n">
        <x:v>0</x:v>
      </x:c>
      <x:c r="N2121" t="str">
        <x:v>Fully Paid</x:v>
      </x:c>
      <x:c r="O2121" t="str">
        <x:f>IF(D2121="","Unknown",IF(D2121&lt;25000,"&lt;$25k",IF(D2121&lt;50000,"$25k-$50k",IF(D2121&lt;75000,"$50k-$75k",IF(D2121&lt;100000,"$75k-$100k","$100k+")))))</x:f>
        <x:v>$50k-$75k</x:v>
      </x:c>
      <x:c r="P2121" t="str">
        <x:f>IF(E2121="","Unknown",IF(E2121&lt;10,"&lt;10",IF(E2121&lt;20,"10-&lt;20",IF(E2121&lt;25,"20-&lt;25",IF(E2121&lt;35,"25-&lt;35","35+")))))</x:f>
        <x:v>10-&lt;20</x:v>
      </x:c>
    </x:row>
    <x:row r="2122">
      <x:c r="A2122" t="str">
        <x:v>SYN0002121</x:v>
      </x:c>
      <x:c r="B2122" s="12" t="n">
        <x:v>43165</x:v>
      </x:c>
      <x:c r="C2122" s="18" t="n">
        <x:v>4719</x:v>
      </x:c>
      <x:c r="D2122" s="18" t="n">
        <x:v>152327</x:v>
      </x:c>
      <x:c r="E2122" s="18" t="n">
        <x:v>11.89</x:v>
      </x:c>
      <x:c r="F2122" s="18" t="n">
        <x:v>20.71</x:v>
      </x:c>
      <x:c r="G2122" t="n">
        <x:v>36</x:v>
      </x:c>
      <x:c r="H2122" t="str">
        <x:v>E</x:v>
      </x:c>
      <x:c r="I2122" t="str">
        <x:v>&lt;1 year</x:v>
      </x:c>
      <x:c r="J2122" t="str">
        <x:v>RENT</x:v>
      </x:c>
      <x:c r="K2122" t="str">
        <x:v>debt_consolidation</x:v>
      </x:c>
      <x:c r="L2122" t="n">
        <x:v>1</x:v>
      </x:c>
      <x:c r="M2122" t="n">
        <x:v>1</x:v>
      </x:c>
      <x:c r="N2122" t="str">
        <x:v>Charged Off</x:v>
      </x:c>
      <x:c r="O2122" t="str">
        <x:f>IF(D2122="","Unknown",IF(D2122&lt;25000,"&lt;$25k",IF(D2122&lt;50000,"$25k-$50k",IF(D2122&lt;75000,"$50k-$75k",IF(D2122&lt;100000,"$75k-$100k","$100k+")))))</x:f>
        <x:v>$100k+</x:v>
      </x:c>
      <x:c r="P2122" t="str">
        <x:f>IF(E2122="","Unknown",IF(E2122&lt;10,"&lt;10",IF(E2122&lt;20,"10-&lt;20",IF(E2122&lt;25,"20-&lt;25",IF(E2122&lt;35,"25-&lt;35","35+")))))</x:f>
        <x:v>10-&lt;20</x:v>
      </x:c>
    </x:row>
    <x:row r="2123">
      <x:c r="A2123" t="str">
        <x:v>SYN0002122</x:v>
      </x:c>
      <x:c r="B2123" s="12" t="n">
        <x:v>41395</x:v>
      </x:c>
      <x:c r="C2123" s="18" t="n">
        <x:v>12266</x:v>
      </x:c>
      <x:c r="D2123" s="18" t="n">
        <x:v>117844</x:v>
      </x:c>
      <x:c r="E2123" s="18" t="n">
        <x:v>26.92</x:v>
      </x:c>
      <x:c r="F2123" s="18" t="n">
        <x:v>18.85</x:v>
      </x:c>
      <x:c r="G2123" t="n">
        <x:v>36</x:v>
      </x:c>
      <x:c r="H2123" t="str">
        <x:v>E</x:v>
      </x:c>
      <x:c r="I2123" t="str">
        <x:v>7-9 years</x:v>
      </x:c>
      <x:c r="J2123" t="str">
        <x:v>RENT</x:v>
      </x:c>
      <x:c r="K2123" t="str">
        <x:v>major_purchase</x:v>
      </x:c>
      <x:c r="L2123" t="n">
        <x:v>1</x:v>
      </x:c>
      <x:c r="M2123" t="n">
        <x:v>0</x:v>
      </x:c>
      <x:c r="N2123" t="str">
        <x:v>Fully Paid</x:v>
      </x:c>
      <x:c r="O2123" t="str">
        <x:f>IF(D2123="","Unknown",IF(D2123&lt;25000,"&lt;$25k",IF(D2123&lt;50000,"$25k-$50k",IF(D2123&lt;75000,"$50k-$75k",IF(D2123&lt;100000,"$75k-$100k","$100k+")))))</x:f>
        <x:v>$100k+</x:v>
      </x:c>
      <x:c r="P2123" t="str">
        <x:f>IF(E2123="","Unknown",IF(E2123&lt;10,"&lt;10",IF(E2123&lt;20,"10-&lt;20",IF(E2123&lt;25,"20-&lt;25",IF(E2123&lt;35,"25-&lt;35","35+")))))</x:f>
        <x:v>25-&lt;35</x:v>
      </x:c>
    </x:row>
    <x:row r="2124">
      <x:c r="A2124" t="str">
        <x:v>SYN0002123</x:v>
      </x:c>
      <x:c r="B2124" s="12" t="n">
        <x:v>42775</x:v>
      </x:c>
      <x:c r="C2124" s="18" t="n">
        <x:v>11914</x:v>
      </x:c>
      <x:c r="D2124" s="18" t="n">
        <x:v>46727</x:v>
      </x:c>
      <x:c r="E2124" s="18" t="n">
        <x:v>12.17</x:v>
      </x:c>
      <x:c r="F2124" s="18" t="n">
        <x:v>11.62</x:v>
      </x:c>
      <x:c r="G2124" t="n">
        <x:v>36</x:v>
      </x:c>
      <x:c r="H2124" t="str">
        <x:v>B</x:v>
      </x:c>
      <x:c r="I2124" t="str">
        <x:v>7-9 years</x:v>
      </x:c>
      <x:c r="J2124" t="str">
        <x:v>RENT</x:v>
      </x:c>
      <x:c r="K2124" t="str">
        <x:v>credit_card</x:v>
      </x:c>
      <x:c r="L2124" t="n">
        <x:v>1</x:v>
      </x:c>
      <x:c r="M2124" t="n">
        <x:v>0</x:v>
      </x:c>
      <x:c r="N2124" t="str">
        <x:v>Fully Paid</x:v>
      </x:c>
      <x:c r="O2124" t="str">
        <x:f>IF(D2124="","Unknown",IF(D2124&lt;25000,"&lt;$25k",IF(D2124&lt;50000,"$25k-$50k",IF(D2124&lt;75000,"$50k-$75k",IF(D2124&lt;100000,"$75k-$100k","$100k+")))))</x:f>
        <x:v>$25k-$50k</x:v>
      </x:c>
      <x:c r="P2124" t="str">
        <x:f>IF(E2124="","Unknown",IF(E2124&lt;10,"&lt;10",IF(E2124&lt;20,"10-&lt;20",IF(E2124&lt;25,"20-&lt;25",IF(E2124&lt;35,"25-&lt;35","35+")))))</x:f>
        <x:v>10-&lt;20</x:v>
      </x:c>
    </x:row>
    <x:row r="2125">
      <x:c r="A2125" t="str">
        <x:v>SYN0002124</x:v>
      </x:c>
      <x:c r="B2125" s="12" t="n">
        <x:v>42235</x:v>
      </x:c>
      <x:c r="C2125" s="18" t="n">
        <x:v>18259</x:v>
      </x:c>
      <x:c r="D2125" s="18" t="n">
        <x:v>71592</x:v>
      </x:c>
      <x:c r="E2125" s="18" t="n">
        <x:v>14.34</x:v>
      </x:c>
      <x:c r="F2125" s="18" t="n">
        <x:v>26.75</x:v>
      </x:c>
      <x:c r="G2125" t="n">
        <x:v>36</x:v>
      </x:c>
      <x:c r="H2125" t="str">
        <x:v>G</x:v>
      </x:c>
      <x:c r="I2125" t="str">
        <x:v>10+ years</x:v>
      </x:c>
      <x:c r="J2125" t="str">
        <x:v>OWN</x:v>
      </x:c>
      <x:c r="K2125" t="str">
        <x:v>home_improvement</x:v>
      </x:c>
      <x:c r="L2125" t="n">
        <x:v>2</x:v>
      </x:c>
      <x:c r="M2125" t="n">
        <x:v>1</x:v>
      </x:c>
      <x:c r="N2125" t="str">
        <x:v>Charged Off</x:v>
      </x:c>
      <x:c r="O2125" t="str">
        <x:f>IF(D2125="","Unknown",IF(D2125&lt;25000,"&lt;$25k",IF(D2125&lt;50000,"$25k-$50k",IF(D2125&lt;75000,"$50k-$75k",IF(D2125&lt;100000,"$75k-$100k","$100k+")))))</x:f>
        <x:v>$50k-$75k</x:v>
      </x:c>
      <x:c r="P2125" t="str">
        <x:f>IF(E2125="","Unknown",IF(E2125&lt;10,"&lt;10",IF(E2125&lt;20,"10-&lt;20",IF(E2125&lt;25,"20-&lt;25",IF(E2125&lt;35,"25-&lt;35","35+")))))</x:f>
        <x:v>10-&lt;20</x:v>
      </x:c>
    </x:row>
    <x:row r="2126">
      <x:c r="A2126" t="str">
        <x:v>SYN0002125</x:v>
      </x:c>
      <x:c r="B2126" s="12" t="n">
        <x:v>42295</x:v>
      </x:c>
      <x:c r="C2126" s="18" t="n">
        <x:v>17591</x:v>
      </x:c>
      <x:c r="D2126" s="18" t="n">
        <x:v>72752</x:v>
      </x:c>
      <x:c r="E2126" s="18" t="n">
        <x:v>22.46</x:v>
      </x:c>
      <x:c r="F2126" s="18" t="n">
        <x:v>6.57</x:v>
      </x:c>
      <x:c r="G2126" t="n">
        <x:v>60</x:v>
      </x:c>
      <x:c r="H2126" t="str">
        <x:v>A</x:v>
      </x:c>
      <x:c r="I2126" t="str">
        <x:v>10+ years</x:v>
      </x:c>
      <x:c r="J2126" t="str">
        <x:v>MORTGAGE</x:v>
      </x:c>
      <x:c r="K2126" t="str">
        <x:v>debt_consolidation</x:v>
      </x:c>
      <x:c r="L2126" t="n">
        <x:v>0</x:v>
      </x:c>
      <x:c r="M2126" t="n">
        <x:v>0</x:v>
      </x:c>
      <x:c r="N2126" t="str">
        <x:v>Fully Paid</x:v>
      </x:c>
      <x:c r="O2126" t="str">
        <x:f>IF(D2126="","Unknown",IF(D2126&lt;25000,"&lt;$25k",IF(D2126&lt;50000,"$25k-$50k",IF(D2126&lt;75000,"$50k-$75k",IF(D2126&lt;100000,"$75k-$100k","$100k+")))))</x:f>
        <x:v>$50k-$75k</x:v>
      </x:c>
      <x:c r="P2126" t="str">
        <x:f>IF(E2126="","Unknown",IF(E2126&lt;10,"&lt;10",IF(E2126&lt;20,"10-&lt;20",IF(E2126&lt;25,"20-&lt;25",IF(E2126&lt;35,"25-&lt;35","35+")))))</x:f>
        <x:v>20-&lt;25</x:v>
      </x:c>
    </x:row>
    <x:row r="2127">
      <x:c r="A2127" t="str">
        <x:v>SYN0002126</x:v>
      </x:c>
      <x:c r="B2127" s="12" t="n">
        <x:v>41965</x:v>
      </x:c>
      <x:c r="C2127" s="18" t="n">
        <x:v>11362</x:v>
      </x:c>
      <x:c r="D2127" s="18" t="n">
        <x:v>29303</x:v>
      </x:c>
      <x:c r="E2127" s="18" t="n">
        <x:v>8.94</x:v>
      </x:c>
      <x:c r="F2127" s="18" t="n">
        <x:v>12.24</x:v>
      </x:c>
      <x:c r="G2127" t="n">
        <x:v>36</x:v>
      </x:c>
      <x:c r="H2127" t="str">
        <x:v>B</x:v>
      </x:c>
      <x:c r="I2127" t="str">
        <x:v>10+ years</x:v>
      </x:c>
      <x:c r="J2127" t="str">
        <x:v>MORTGAGE</x:v>
      </x:c>
      <x:c r="K2127" t="str">
        <x:v>other</x:v>
      </x:c>
      <x:c r="L2127" t="n">
        <x:v>0</x:v>
      </x:c>
      <x:c r="M2127" t="n">
        <x:v>0</x:v>
      </x:c>
      <x:c r="N2127" t="str">
        <x:v>Fully Paid</x:v>
      </x:c>
      <x:c r="O2127" t="str">
        <x:f>IF(D2127="","Unknown",IF(D2127&lt;25000,"&lt;$25k",IF(D2127&lt;50000,"$25k-$50k",IF(D2127&lt;75000,"$50k-$75k",IF(D2127&lt;100000,"$75k-$100k","$100k+")))))</x:f>
        <x:v>$25k-$50k</x:v>
      </x:c>
      <x:c r="P2127" t="str">
        <x:f>IF(E2127="","Unknown",IF(E2127&lt;10,"&lt;10",IF(E2127&lt;20,"10-&lt;20",IF(E2127&lt;25,"20-&lt;25",IF(E2127&lt;35,"25-&lt;35","35+")))))</x:f>
        <x:v>&lt;10</x:v>
      </x:c>
    </x:row>
    <x:row r="2128">
      <x:c r="A2128" t="str">
        <x:v>SYN0002127</x:v>
      </x:c>
      <x:c r="B2128" s="12" t="n">
        <x:v>42295</x:v>
      </x:c>
      <x:c r="C2128" s="18" t="n">
        <x:v>22646</x:v>
      </x:c>
      <x:c r="D2128" s="18" t="n">
        <x:v>44441</x:v>
      </x:c>
      <x:c r="E2128" s="18" t="n">
        <x:v>7.48</x:v>
      </x:c>
      <x:c r="F2128" s="18" t="n">
        <x:v>6.48</x:v>
      </x:c>
      <x:c r="G2128" t="n">
        <x:v>60</x:v>
      </x:c>
      <x:c r="H2128" t="str">
        <x:v>A</x:v>
      </x:c>
      <x:c r="I2128" t="str">
        <x:v>10+ years</x:v>
      </x:c>
      <x:c r="J2128" t="str">
        <x:v>MORTGAGE</x:v>
      </x:c>
      <x:c r="K2128" t="str">
        <x:v>credit_card</x:v>
      </x:c>
      <x:c r="L2128" t="n">
        <x:v>0</x:v>
      </x:c>
      <x:c r="M2128" t="n">
        <x:v>1</x:v>
      </x:c>
      <x:c r="N2128" t="str">
        <x:v>Charged Off</x:v>
      </x:c>
      <x:c r="O2128" t="str">
        <x:f>IF(D2128="","Unknown",IF(D2128&lt;25000,"&lt;$25k",IF(D2128&lt;50000,"$25k-$50k",IF(D2128&lt;75000,"$50k-$75k",IF(D2128&lt;100000,"$75k-$100k","$100k+")))))</x:f>
        <x:v>$25k-$50k</x:v>
      </x:c>
      <x:c r="P2128" t="str">
        <x:f>IF(E2128="","Unknown",IF(E2128&lt;10,"&lt;10",IF(E2128&lt;20,"10-&lt;20",IF(E2128&lt;25,"20-&lt;25",IF(E2128&lt;35,"25-&lt;35","35+")))))</x:f>
        <x:v>&lt;10</x:v>
      </x:c>
    </x:row>
    <x:row r="2129">
      <x:c r="A2129" t="str">
        <x:v>SYN0002128</x:v>
      </x:c>
      <x:c r="B2129" s="12" t="n">
        <x:v>42565</x:v>
      </x:c>
      <x:c r="C2129" s="18" t="n">
        <x:v>18188</x:v>
      </x:c>
      <x:c r="D2129" s="18" t="n">
        <x:v>49504</x:v>
      </x:c>
      <x:c r="E2129" s="18" t="n">
        <x:v>32.34</x:v>
      </x:c>
      <x:c r="F2129" s="18" t="n">
        <x:v>10.54</x:v>
      </x:c>
      <x:c r="G2129" t="n">
        <x:v>60</x:v>
      </x:c>
      <x:c r="H2129" t="str">
        <x:v>C</x:v>
      </x:c>
      <x:c r="I2129" t="str">
        <x:v>4-6 years</x:v>
      </x:c>
      <x:c r="J2129" t="str">
        <x:v>RENT</x:v>
      </x:c>
      <x:c r="K2129" t="str">
        <x:v>credit_card</x:v>
      </x:c>
      <x:c r="L2129" t="n">
        <x:v>0</x:v>
      </x:c>
      <x:c r="M2129" t="n">
        <x:v>1</x:v>
      </x:c>
      <x:c r="N2129" t="str">
        <x:v>Charged Off</x:v>
      </x:c>
      <x:c r="O2129" t="str">
        <x:f>IF(D2129="","Unknown",IF(D2129&lt;25000,"&lt;$25k",IF(D2129&lt;50000,"$25k-$50k",IF(D2129&lt;75000,"$50k-$75k",IF(D2129&lt;100000,"$75k-$100k","$100k+")))))</x:f>
        <x:v>$25k-$50k</x:v>
      </x:c>
      <x:c r="P2129" t="str">
        <x:f>IF(E2129="","Unknown",IF(E2129&lt;10,"&lt;10",IF(E2129&lt;20,"10-&lt;20",IF(E2129&lt;25,"20-&lt;25",IF(E2129&lt;35,"25-&lt;35","35+")))))</x:f>
        <x:v>25-&lt;35</x:v>
      </x:c>
    </x:row>
    <x:row r="2130">
      <x:c r="A2130" t="str">
        <x:v>SYN0002129</x:v>
      </x:c>
      <x:c r="B2130" s="12" t="n">
        <x:v>43375</x:v>
      </x:c>
      <x:c r="C2130" s="18" t="n">
        <x:v>15584</x:v>
      </x:c>
      <x:c r="D2130" s="18" t="n">
        <x:v>48187</x:v>
      </x:c>
      <x:c r="E2130" s="18" t="n">
        <x:v>25.93</x:v>
      </x:c>
      <x:c r="F2130" s="18" t="n">
        <x:v>17.44</x:v>
      </x:c>
      <x:c r="G2130" t="n">
        <x:v>60</x:v>
      </x:c>
      <x:c r="H2130" t="str">
        <x:v>D</x:v>
      </x:c>
      <x:c r="I2130" t="str">
        <x:v>4-6 years</x:v>
      </x:c>
      <x:c r="J2130" t="str">
        <x:v>MORTGAGE</x:v>
      </x:c>
      <x:c r="K2130" t="str">
        <x:v>debt_consolidation</x:v>
      </x:c>
      <x:c r="L2130" t="n">
        <x:v>0</x:v>
      </x:c>
      <x:c r="M2130" t="n">
        <x:v>0</x:v>
      </x:c>
      <x:c r="N2130" t="str">
        <x:v>Fully Paid</x:v>
      </x:c>
      <x:c r="O2130" t="str">
        <x:f>IF(D2130="","Unknown",IF(D2130&lt;25000,"&lt;$25k",IF(D2130&lt;50000,"$25k-$50k",IF(D2130&lt;75000,"$50k-$75k",IF(D2130&lt;100000,"$75k-$100k","$100k+")))))</x:f>
        <x:v>$25k-$50k</x:v>
      </x:c>
      <x:c r="P2130" t="str">
        <x:f>IF(E2130="","Unknown",IF(E2130&lt;10,"&lt;10",IF(E2130&lt;20,"10-&lt;20",IF(E2130&lt;25,"20-&lt;25",IF(E2130&lt;35,"25-&lt;35","35+")))))</x:f>
        <x:v>25-&lt;35</x:v>
      </x:c>
    </x:row>
    <x:row r="2131">
      <x:c r="A2131" t="str">
        <x:v>SYN0002130</x:v>
      </x:c>
      <x:c r="B2131" s="12" t="n">
        <x:v>42385</x:v>
      </x:c>
      <x:c r="C2131" s="18" t="n">
        <x:v>9751</x:v>
      </x:c>
      <x:c r="D2131" s="18" t="n">
        <x:v>32659</x:v>
      </x:c>
      <x:c r="E2131" s="18" t="n">
        <x:v>11.88</x:v>
      </x:c>
      <x:c r="F2131" s="18" t="n">
        <x:v>9.04</x:v>
      </x:c>
      <x:c r="G2131" t="n">
        <x:v>36</x:v>
      </x:c>
      <x:c r="H2131" t="str">
        <x:v>B</x:v>
      </x:c>
      <x:c r="I2131" t="str">
        <x:v>10+ years</x:v>
      </x:c>
      <x:c r="J2131" t="str">
        <x:v>RENT</x:v>
      </x:c>
      <x:c r="K2131" t="str">
        <x:v>home_improvement</x:v>
      </x:c>
      <x:c r="L2131" t="n">
        <x:v>0</x:v>
      </x:c>
      <x:c r="M2131" t="n">
        <x:v>0</x:v>
      </x:c>
      <x:c r="N2131" t="str">
        <x:v>Fully Paid</x:v>
      </x:c>
      <x:c r="O2131" t="str">
        <x:f>IF(D2131="","Unknown",IF(D2131&lt;25000,"&lt;$25k",IF(D2131&lt;50000,"$25k-$50k",IF(D2131&lt;75000,"$50k-$75k",IF(D2131&lt;100000,"$75k-$100k","$100k+")))))</x:f>
        <x:v>$25k-$50k</x:v>
      </x:c>
      <x:c r="P2131" t="str">
        <x:f>IF(E2131="","Unknown",IF(E2131&lt;10,"&lt;10",IF(E2131&lt;20,"10-&lt;20",IF(E2131&lt;25,"20-&lt;25",IF(E2131&lt;35,"25-&lt;35","35+")))))</x:f>
        <x:v>10-&lt;20</x:v>
      </x:c>
    </x:row>
    <x:row r="2132">
      <x:c r="A2132" t="str">
        <x:v>SYN0002131</x:v>
      </x:c>
      <x:c r="B2132" s="12" t="n">
        <x:v>41605</x:v>
      </x:c>
      <x:c r="C2132" s="18" t="n">
        <x:v>24980</x:v>
      </x:c>
      <x:c r="D2132" s="18" t="n">
        <x:v>115457</x:v>
      </x:c>
      <x:c r="E2132" s="18" t="n">
        <x:v>0.46</x:v>
      </x:c>
      <x:c r="F2132" s="18" t="n">
        <x:v>5</x:v>
      </x:c>
      <x:c r="G2132" t="n">
        <x:v>60</x:v>
      </x:c>
      <x:c r="H2132" t="str">
        <x:v>A</x:v>
      </x:c>
      <x:c r="I2132" t="str">
        <x:v>4-6 years</x:v>
      </x:c>
      <x:c r="J2132" t="str">
        <x:v>MORTGAGE</x:v>
      </x:c>
      <x:c r="K2132" t="str">
        <x:v>debt_consolidation</x:v>
      </x:c>
      <x:c r="L2132" t="n">
        <x:v>1</x:v>
      </x:c>
      <x:c r="M2132" t="n">
        <x:v>0</x:v>
      </x:c>
      <x:c r="N2132" t="str">
        <x:v>Fully Paid</x:v>
      </x:c>
      <x:c r="O2132" t="str">
        <x:f>IF(D2132="","Unknown",IF(D2132&lt;25000,"&lt;$25k",IF(D2132&lt;50000,"$25k-$50k",IF(D2132&lt;75000,"$50k-$75k",IF(D2132&lt;100000,"$75k-$100k","$100k+")))))</x:f>
        <x:v>$100k+</x:v>
      </x:c>
      <x:c r="P2132" t="str">
        <x:f>IF(E2132="","Unknown",IF(E2132&lt;10,"&lt;10",IF(E2132&lt;20,"10-&lt;20",IF(E2132&lt;25,"20-&lt;25",IF(E2132&lt;35,"25-&lt;35","35+")))))</x:f>
        <x:v>&lt;10</x:v>
      </x:c>
    </x:row>
    <x:row r="2133">
      <x:c r="A2133" t="str">
        <x:v>SYN0002132</x:v>
      </x:c>
      <x:c r="B2133" s="12" t="n">
        <x:v>42775</x:v>
      </x:c>
      <x:c r="C2133" s="18" t="n">
        <x:v>20098</x:v>
      </x:c>
      <x:c r="D2133" s="18" t="n">
        <x:v>128047</x:v>
      </x:c>
      <x:c r="E2133" s="18" t="n">
        <x:v>14.42</x:v>
      </x:c>
      <x:c r="F2133" s="18" t="n">
        <x:v>11.55</x:v>
      </x:c>
      <x:c r="G2133" t="n">
        <x:v>60</x:v>
      </x:c>
      <x:c r="H2133" t="str">
        <x:v>C</x:v>
      </x:c>
      <x:c r="I2133" t="str">
        <x:v>10+ years</x:v>
      </x:c>
      <x:c r="J2133" t="str">
        <x:v>MORTGAGE</x:v>
      </x:c>
      <x:c r="K2133" t="str">
        <x:v>credit_card</x:v>
      </x:c>
      <x:c r="L2133" t="n">
        <x:v>0</x:v>
      </x:c>
      <x:c r="M2133" t="n">
        <x:v>0</x:v>
      </x:c>
      <x:c r="N2133" t="str">
        <x:v>Fully Paid</x:v>
      </x:c>
      <x:c r="O2133" t="str">
        <x:f>IF(D2133="","Unknown",IF(D2133&lt;25000,"&lt;$25k",IF(D2133&lt;50000,"$25k-$50k",IF(D2133&lt;75000,"$50k-$75k",IF(D2133&lt;100000,"$75k-$100k","$100k+")))))</x:f>
        <x:v>$100k+</x:v>
      </x:c>
      <x:c r="P2133" t="str">
        <x:f>IF(E2133="","Unknown",IF(E2133&lt;10,"&lt;10",IF(E2133&lt;20,"10-&lt;20",IF(E2133&lt;25,"20-&lt;25",IF(E2133&lt;35,"25-&lt;35","35+")))))</x:f>
        <x:v>10-&lt;20</x:v>
      </x:c>
    </x:row>
    <x:row r="2134">
      <x:c r="A2134" t="str">
        <x:v>SYN0002133</x:v>
      </x:c>
      <x:c r="B2134" s="12" t="n">
        <x:v>42535</x:v>
      </x:c>
      <x:c r="C2134" s="18" t="n">
        <x:v>4574</x:v>
      </x:c>
      <x:c r="D2134" s="18" t="n">
        <x:v>124246</x:v>
      </x:c>
      <x:c r="E2134" s="18" t="n">
        <x:v>14.15</x:v>
      </x:c>
      <x:c r="F2134" s="18" t="n">
        <x:v>7.77</x:v>
      </x:c>
      <x:c r="G2134" t="n">
        <x:v>60</x:v>
      </x:c>
      <x:c r="H2134" t="str">
        <x:v>B</x:v>
      </x:c>
      <x:c r="I2134" t="str">
        <x:v>10+ years</x:v>
      </x:c>
      <x:c r="J2134" t="str">
        <x:v>MORTGAGE</x:v>
      </x:c>
      <x:c r="K2134" t="str">
        <x:v>other</x:v>
      </x:c>
      <x:c r="L2134" t="n">
        <x:v>1</x:v>
      </x:c>
      <x:c r="M2134" t="n">
        <x:v>0</x:v>
      </x:c>
      <x:c r="N2134" t="str">
        <x:v>Fully Paid</x:v>
      </x:c>
      <x:c r="O2134" t="str">
        <x:f>IF(D2134="","Unknown",IF(D2134&lt;25000,"&lt;$25k",IF(D2134&lt;50000,"$25k-$50k",IF(D2134&lt;75000,"$50k-$75k",IF(D2134&lt;100000,"$75k-$100k","$100k+")))))</x:f>
        <x:v>$100k+</x:v>
      </x:c>
      <x:c r="P2134" t="str">
        <x:f>IF(E2134="","Unknown",IF(E2134&lt;10,"&lt;10",IF(E2134&lt;20,"10-&lt;20",IF(E2134&lt;25,"20-&lt;25",IF(E2134&lt;35,"25-&lt;35","35+")))))</x:f>
        <x:v>10-&lt;20</x:v>
      </x:c>
    </x:row>
    <x:row r="2135">
      <x:c r="A2135" t="str">
        <x:v>SYN0002134</x:v>
      </x:c>
      <x:c r="B2135" s="12" t="n">
        <x:v>42505</x:v>
      </x:c>
      <x:c r="C2135" s="18" t="n">
        <x:v>18876</x:v>
      </x:c>
      <x:c r="D2135" s="18" t="n">
        <x:v>24009</x:v>
      </x:c>
      <x:c r="E2135" s="18" t="n">
        <x:v>1.96</x:v>
      </x:c>
      <x:c r="F2135" s="18" t="n">
        <x:v>6.04</x:v>
      </x:c>
      <x:c r="G2135" t="n">
        <x:v>36</x:v>
      </x:c>
      <x:c r="H2135" t="str">
        <x:v>A</x:v>
      </x:c>
      <x:c r="I2135" t="str">
        <x:v>4-6 years</x:v>
      </x:c>
      <x:c r="J2135" t="str">
        <x:v>MORTGAGE</x:v>
      </x:c>
      <x:c r="K2135" t="str">
        <x:v>debt_consolidation</x:v>
      </x:c>
      <x:c r="L2135" t="n">
        <x:v>0</x:v>
      </x:c>
      <x:c r="M2135" t="n">
        <x:v>0</x:v>
      </x:c>
      <x:c r="N2135" t="str">
        <x:v>Fully Paid</x:v>
      </x:c>
      <x:c r="O2135" t="str">
        <x:f>IF(D2135="","Unknown",IF(D2135&lt;25000,"&lt;$25k",IF(D2135&lt;50000,"$25k-$50k",IF(D2135&lt;75000,"$50k-$75k",IF(D2135&lt;100000,"$75k-$100k","$100k+")))))</x:f>
        <x:v>&lt;$25k</x:v>
      </x:c>
      <x:c r="P2135" t="str">
        <x:f>IF(E2135="","Unknown",IF(E2135&lt;10,"&lt;10",IF(E2135&lt;20,"10-&lt;20",IF(E2135&lt;25,"20-&lt;25",IF(E2135&lt;35,"25-&lt;35","35+")))))</x:f>
        <x:v>&lt;10</x:v>
      </x:c>
    </x:row>
    <x:row r="2136">
      <x:c r="A2136" t="str">
        <x:v>SYN0002135</x:v>
      </x:c>
      <x:c r="B2136" s="12" t="n">
        <x:v>42115</x:v>
      </x:c>
      <x:c r="C2136" s="18" t="n">
        <x:v>8319</x:v>
      </x:c>
      <x:c r="D2136" s="18" t="n">
        <x:v>89647</x:v>
      </x:c>
      <x:c r="E2136" s="18" t="n">
        <x:v>19.53</x:v>
      </x:c>
      <x:c r="F2136" s="18" t="n">
        <x:v>30.22</x:v>
      </x:c>
      <x:c r="G2136" t="n">
        <x:v>36</x:v>
      </x:c>
      <x:c r="H2136" t="str">
        <x:v>G</x:v>
      </x:c>
      <x:c r="I2136" t="str">
        <x:v>4-6 years</x:v>
      </x:c>
      <x:c r="J2136" t="str">
        <x:v>RENT</x:v>
      </x:c>
      <x:c r="K2136" t="str">
        <x:v>debt_consolidation</x:v>
      </x:c>
      <x:c r="L2136" t="n">
        <x:v>0</x:v>
      </x:c>
      <x:c r="M2136" t="n">
        <x:v>0</x:v>
      </x:c>
      <x:c r="N2136" t="str">
        <x:v>Fully Paid</x:v>
      </x:c>
      <x:c r="O2136" t="str">
        <x:f>IF(D2136="","Unknown",IF(D2136&lt;25000,"&lt;$25k",IF(D2136&lt;50000,"$25k-$50k",IF(D2136&lt;75000,"$50k-$75k",IF(D2136&lt;100000,"$75k-$100k","$100k+")))))</x:f>
        <x:v>$75k-$100k</x:v>
      </x:c>
      <x:c r="P2136" t="str">
        <x:f>IF(E2136="","Unknown",IF(E2136&lt;10,"&lt;10",IF(E2136&lt;20,"10-&lt;20",IF(E2136&lt;25,"20-&lt;25",IF(E2136&lt;35,"25-&lt;35","35+")))))</x:f>
        <x:v>10-&lt;20</x:v>
      </x:c>
    </x:row>
    <x:row r="2137">
      <x:c r="A2137" t="str">
        <x:v>SYN0002136</x:v>
      </x:c>
      <x:c r="B2137" s="12" t="n">
        <x:v>41635</x:v>
      </x:c>
      <x:c r="C2137" s="18" t="n">
        <x:v>6907</x:v>
      </x:c>
      <x:c r="D2137" s="18" t="n">
        <x:v>23005</x:v>
      </x:c>
      <x:c r="E2137" s="18" t="n">
        <x:v>39.53</x:v>
      </x:c>
      <x:c r="F2137" s="18" t="n">
        <x:v>24.17</x:v>
      </x:c>
      <x:c r="G2137" t="n">
        <x:v>60</x:v>
      </x:c>
      <x:c r="H2137" t="str">
        <x:v>F</x:v>
      </x:c>
      <x:c r="I2137" t="str">
        <x:v>4-6 years</x:v>
      </x:c>
      <x:c r="J2137" t="str">
        <x:v>RENT</x:v>
      </x:c>
      <x:c r="K2137" t="str">
        <x:v>debt_consolidation</x:v>
      </x:c>
      <x:c r="L2137" t="n">
        <x:v>1</x:v>
      </x:c>
      <x:c r="M2137" t="n">
        <x:v>1</x:v>
      </x:c>
      <x:c r="N2137" t="str">
        <x:v>Charged Off</x:v>
      </x:c>
      <x:c r="O2137" t="str">
        <x:f>IF(D2137="","Unknown",IF(D2137&lt;25000,"&lt;$25k",IF(D2137&lt;50000,"$25k-$50k",IF(D2137&lt;75000,"$50k-$75k",IF(D2137&lt;100000,"$75k-$100k","$100k+")))))</x:f>
        <x:v>&lt;$25k</x:v>
      </x:c>
      <x:c r="P2137" t="str">
        <x:f>IF(E2137="","Unknown",IF(E2137&lt;10,"&lt;10",IF(E2137&lt;20,"10-&lt;20",IF(E2137&lt;25,"20-&lt;25",IF(E2137&lt;35,"25-&lt;35","35+")))))</x:f>
        <x:v>35+</x:v>
      </x:c>
    </x:row>
    <x:row r="2138">
      <x:c r="A2138" t="str">
        <x:v>SYN0002137</x:v>
      </x:c>
      <x:c r="B2138" s="12" t="n">
        <x:v>42865</x:v>
      </x:c>
      <x:c r="C2138" s="18" t="n">
        <x:v>10311</x:v>
      </x:c>
      <x:c r="D2138" s="18" t="n">
        <x:v>61210</x:v>
      </x:c>
      <x:c r="E2138" s="18" t="n">
        <x:v>9.69</x:v>
      </x:c>
      <x:c r="F2138" s="18" t="n">
        <x:v>17.93</x:v>
      </x:c>
      <x:c r="G2138" t="n">
        <x:v>36</x:v>
      </x:c>
      <x:c r="H2138" t="str">
        <x:v>E</x:v>
      </x:c>
      <x:c r="I2138" t="str">
        <x:v>10+ years</x:v>
      </x:c>
      <x:c r="J2138" t="str">
        <x:v>MORTGAGE</x:v>
      </x:c>
      <x:c r="K2138" t="str">
        <x:v>debt_consolidation</x:v>
      </x:c>
      <x:c r="L2138" t="n">
        <x:v>0</x:v>
      </x:c>
      <x:c r="M2138" t="n">
        <x:v>0</x:v>
      </x:c>
      <x:c r="N2138" t="str">
        <x:v>Fully Paid</x:v>
      </x:c>
      <x:c r="O2138" t="str">
        <x:f>IF(D2138="","Unknown",IF(D2138&lt;25000,"&lt;$25k",IF(D2138&lt;50000,"$25k-$50k",IF(D2138&lt;75000,"$50k-$75k",IF(D2138&lt;100000,"$75k-$100k","$100k+")))))</x:f>
        <x:v>$50k-$75k</x:v>
      </x:c>
      <x:c r="P2138" t="str">
        <x:f>IF(E2138="","Unknown",IF(E2138&lt;10,"&lt;10",IF(E2138&lt;20,"10-&lt;20",IF(E2138&lt;25,"20-&lt;25",IF(E2138&lt;35,"25-&lt;35","35+")))))</x:f>
        <x:v>&lt;10</x:v>
      </x:c>
    </x:row>
    <x:row r="2139">
      <x:c r="A2139" t="str">
        <x:v>SYN0002138</x:v>
      </x:c>
      <x:c r="B2139" s="12" t="n">
        <x:v>42175</x:v>
      </x:c>
      <x:c r="C2139" s="18" t="n">
        <x:v>8829</x:v>
      </x:c>
      <x:c r="D2139" s="18" t="n">
        <x:v>59847</x:v>
      </x:c>
      <x:c r="E2139" s="18" t="n">
        <x:v>23.81</x:v>
      </x:c>
      <x:c r="F2139" s="18" t="n">
        <x:v>18.36</x:v>
      </x:c>
      <x:c r="G2139" t="n">
        <x:v>60</x:v>
      </x:c>
      <x:c r="H2139" t="str">
        <x:v>E</x:v>
      </x:c>
      <x:c r="I2139" t="str">
        <x:v>&lt;1 year</x:v>
      </x:c>
      <x:c r="J2139" t="str">
        <x:v>MORTGAGE</x:v>
      </x:c>
      <x:c r="K2139" t="str">
        <x:v>debt_consolidation</x:v>
      </x:c>
      <x:c r="L2139" t="n">
        <x:v>2</x:v>
      </x:c>
      <x:c r="M2139" t="n">
        <x:v>0</x:v>
      </x:c>
      <x:c r="N2139" t="str">
        <x:v>Fully Paid</x:v>
      </x:c>
      <x:c r="O2139" t="str">
        <x:f>IF(D2139="","Unknown",IF(D2139&lt;25000,"&lt;$25k",IF(D2139&lt;50000,"$25k-$50k",IF(D2139&lt;75000,"$50k-$75k",IF(D2139&lt;100000,"$75k-$100k","$100k+")))))</x:f>
        <x:v>$50k-$75k</x:v>
      </x:c>
      <x:c r="P2139" t="str">
        <x:f>IF(E2139="","Unknown",IF(E2139&lt;10,"&lt;10",IF(E2139&lt;20,"10-&lt;20",IF(E2139&lt;25,"20-&lt;25",IF(E2139&lt;35,"25-&lt;35","35+")))))</x:f>
        <x:v>20-&lt;25</x:v>
      </x:c>
    </x:row>
    <x:row r="2140">
      <x:c r="A2140" t="str">
        <x:v>SYN0002139</x:v>
      </x:c>
      <x:c r="B2140" s="12" t="n">
        <x:v>42055</x:v>
      </x:c>
      <x:c r="C2140" s="18" t="n">
        <x:v>9847</x:v>
      </x:c>
      <x:c r="D2140" s="18" t="n">
        <x:v>167958</x:v>
      </x:c>
      <x:c r="E2140" s="18" t="n">
        <x:v>21.46</x:v>
      </x:c>
      <x:c r="F2140" s="18" t="n">
        <x:v>7.34</x:v>
      </x:c>
      <x:c r="G2140" t="n">
        <x:v>60</x:v>
      </x:c>
      <x:c r="H2140" t="str">
        <x:v>A</x:v>
      </x:c>
      <x:c r="I2140" t="str">
        <x:v>&lt;1 year</x:v>
      </x:c>
      <x:c r="J2140" t="str">
        <x:v>RENT</x:v>
      </x:c>
      <x:c r="K2140" t="str">
        <x:v>debt_consolidation</x:v>
      </x:c>
      <x:c r="L2140" t="n">
        <x:v>0</x:v>
      </x:c>
      <x:c r="M2140" t="n">
        <x:v>0</x:v>
      </x:c>
      <x:c r="N2140" t="str">
        <x:v>Fully Paid</x:v>
      </x:c>
      <x:c r="O2140" t="str">
        <x:f>IF(D2140="","Unknown",IF(D2140&lt;25000,"&lt;$25k",IF(D2140&lt;50000,"$25k-$50k",IF(D2140&lt;75000,"$50k-$75k",IF(D2140&lt;100000,"$75k-$100k","$100k+")))))</x:f>
        <x:v>$100k+</x:v>
      </x:c>
      <x:c r="P2140" t="str">
        <x:f>IF(E2140="","Unknown",IF(E2140&lt;10,"&lt;10",IF(E2140&lt;20,"10-&lt;20",IF(E2140&lt;25,"20-&lt;25",IF(E2140&lt;35,"25-&lt;35","35+")))))</x:f>
        <x:v>20-&lt;25</x:v>
      </x:c>
    </x:row>
    <x:row r="2141">
      <x:c r="A2141" t="str">
        <x:v>SYN0002140</x:v>
      </x:c>
      <x:c r="B2141" s="12" t="n">
        <x:v>41605</x:v>
      </x:c>
      <x:c r="C2141" s="18" t="n">
        <x:v>5906</x:v>
      </x:c>
      <x:c r="D2141" s="18" t="n">
        <x:v>46668</x:v>
      </x:c>
      <x:c r="E2141" s="18" t="n">
        <x:v>17.16</x:v>
      </x:c>
      <x:c r="F2141" s="18" t="n">
        <x:v>5.88</x:v>
      </x:c>
      <x:c r="G2141" t="n">
        <x:v>60</x:v>
      </x:c>
      <x:c r="H2141" t="str">
        <x:v>B</x:v>
      </x:c>
      <x:c r="I2141" t="str">
        <x:v>4-6 years</x:v>
      </x:c>
      <x:c r="J2141" t="str">
        <x:v>MORTGAGE</x:v>
      </x:c>
      <x:c r="K2141" t="str">
        <x:v>debt_consolidation</x:v>
      </x:c>
      <x:c r="L2141" t="n">
        <x:v>0</x:v>
      </x:c>
      <x:c r="M2141" t="n">
        <x:v>0</x:v>
      </x:c>
      <x:c r="N2141" t="str">
        <x:v>Fully Paid</x:v>
      </x:c>
      <x:c r="O2141" t="str">
        <x:f>IF(D2141="","Unknown",IF(D2141&lt;25000,"&lt;$25k",IF(D2141&lt;50000,"$25k-$50k",IF(D2141&lt;75000,"$50k-$75k",IF(D2141&lt;100000,"$75k-$100k","$100k+")))))</x:f>
        <x:v>$25k-$50k</x:v>
      </x:c>
      <x:c r="P2141" t="str">
        <x:f>IF(E2141="","Unknown",IF(E2141&lt;10,"&lt;10",IF(E2141&lt;20,"10-&lt;20",IF(E2141&lt;25,"20-&lt;25",IF(E2141&lt;35,"25-&lt;35","35+")))))</x:f>
        <x:v>10-&lt;20</x:v>
      </x:c>
    </x:row>
    <x:row r="2142">
      <x:c r="A2142" t="str">
        <x:v>SYN0002141</x:v>
      </x:c>
      <x:c r="B2142" s="12" t="n">
        <x:v>42205</x:v>
      </x:c>
      <x:c r="C2142" s="18" t="n">
        <x:v>9131</x:v>
      </x:c>
      <x:c r="D2142" s="18" t="n">
        <x:v>68872</x:v>
      </x:c>
      <x:c r="E2142" s="18" t="n">
        <x:v>24.25</x:v>
      </x:c>
      <x:c r="F2142" s="18" t="n">
        <x:v>7.98</x:v>
      </x:c>
      <x:c r="G2142" t="n">
        <x:v>36</x:v>
      </x:c>
      <x:c r="H2142" t="str">
        <x:v>B</x:v>
      </x:c>
      <x:c r="I2142" t="str">
        <x:v>1-3 years</x:v>
      </x:c>
      <x:c r="J2142" t="str">
        <x:v>RENT</x:v>
      </x:c>
      <x:c r="K2142" t="str">
        <x:v>debt_consolidation</x:v>
      </x:c>
      <x:c r="L2142" t="n">
        <x:v>0</x:v>
      </x:c>
      <x:c r="M2142" t="n">
        <x:v>0</x:v>
      </x:c>
      <x:c r="N2142" t="str">
        <x:v>Fully Paid</x:v>
      </x:c>
      <x:c r="O2142" t="str">
        <x:f>IF(D2142="","Unknown",IF(D2142&lt;25000,"&lt;$25k",IF(D2142&lt;50000,"$25k-$50k",IF(D2142&lt;75000,"$50k-$75k",IF(D2142&lt;100000,"$75k-$100k","$100k+")))))</x:f>
        <x:v>$50k-$75k</x:v>
      </x:c>
      <x:c r="P2142" t="str">
        <x:f>IF(E2142="","Unknown",IF(E2142&lt;10,"&lt;10",IF(E2142&lt;20,"10-&lt;20",IF(E2142&lt;25,"20-&lt;25",IF(E2142&lt;35,"25-&lt;35","35+")))))</x:f>
        <x:v>20-&lt;25</x:v>
      </x:c>
    </x:row>
    <x:row r="2143">
      <x:c r="A2143" t="str">
        <x:v>SYN0002142</x:v>
      </x:c>
      <x:c r="B2143" s="12" t="n">
        <x:v>42235</x:v>
      </x:c>
      <x:c r="C2143" s="18" t="n">
        <x:v>4400</x:v>
      </x:c>
      <x:c r="D2143" s="18" t="n">
        <x:v>90839</x:v>
      </x:c>
      <x:c r="E2143" s="18" t="n">
        <x:v>2.79</x:v>
      </x:c>
      <x:c r="F2143" s="18" t="n">
        <x:v>5</x:v>
      </x:c>
      <x:c r="G2143" t="n">
        <x:v>36</x:v>
      </x:c>
      <x:c r="H2143" t="str">
        <x:v>A</x:v>
      </x:c>
      <x:c r="I2143" t="str">
        <x:v>10+ years</x:v>
      </x:c>
      <x:c r="J2143" t="str">
        <x:v>OWN</x:v>
      </x:c>
      <x:c r="K2143" t="str">
        <x:v>debt_consolidation</x:v>
      </x:c>
      <x:c r="L2143" t="n">
        <x:v>0</x:v>
      </x:c>
      <x:c r="M2143" t="n">
        <x:v>0</x:v>
      </x:c>
      <x:c r="N2143" t="str">
        <x:v>Fully Paid</x:v>
      </x:c>
      <x:c r="O2143" t="str">
        <x:f>IF(D2143="","Unknown",IF(D2143&lt;25000,"&lt;$25k",IF(D2143&lt;50000,"$25k-$50k",IF(D2143&lt;75000,"$50k-$75k",IF(D2143&lt;100000,"$75k-$100k","$100k+")))))</x:f>
        <x:v>$75k-$100k</x:v>
      </x:c>
      <x:c r="P2143" t="str">
        <x:f>IF(E2143="","Unknown",IF(E2143&lt;10,"&lt;10",IF(E2143&lt;20,"10-&lt;20",IF(E2143&lt;25,"20-&lt;25",IF(E2143&lt;35,"25-&lt;35","35+")))))</x:f>
        <x:v>&lt;10</x:v>
      </x:c>
    </x:row>
    <x:row r="2144">
      <x:c r="A2144" t="str">
        <x:v>SYN0002143</x:v>
      </x:c>
      <x:c r="B2144" s="12" t="n">
        <x:v>43135</x:v>
      </x:c>
      <x:c r="C2144" s="18" t="n">
        <x:v>12389</x:v>
      </x:c>
      <x:c r="D2144" s="18" t="n">
        <x:v>129298</x:v>
      </x:c>
      <x:c r="E2144" s="18" t="n">
        <x:v>14.79</x:v>
      </x:c>
      <x:c r="F2144" s="18" t="n">
        <x:v>6.73</x:v>
      </x:c>
      <x:c r="G2144" t="n">
        <x:v>36</x:v>
      </x:c>
      <x:c r="H2144" t="str">
        <x:v>A</x:v>
      </x:c>
      <x:c r="I2144" t="str">
        <x:v>10+ years</x:v>
      </x:c>
      <x:c r="J2144" t="str">
        <x:v>RENT</x:v>
      </x:c>
      <x:c r="K2144" t="str">
        <x:v>home_improvement</x:v>
      </x:c>
      <x:c r="L2144" t="n">
        <x:v>0</x:v>
      </x:c>
      <x:c r="M2144" t="n">
        <x:v>0</x:v>
      </x:c>
      <x:c r="N2144" t="str">
        <x:v>Fully Paid</x:v>
      </x:c>
      <x:c r="O2144" t="str">
        <x:f>IF(D2144="","Unknown",IF(D2144&lt;25000,"&lt;$25k",IF(D2144&lt;50000,"$25k-$50k",IF(D2144&lt;75000,"$50k-$75k",IF(D2144&lt;100000,"$75k-$100k","$100k+")))))</x:f>
        <x:v>$100k+</x:v>
      </x:c>
      <x:c r="P2144" t="str">
        <x:f>IF(E2144="","Unknown",IF(E2144&lt;10,"&lt;10",IF(E2144&lt;20,"10-&lt;20",IF(E2144&lt;25,"20-&lt;25",IF(E2144&lt;35,"25-&lt;35","35+")))))</x:f>
        <x:v>10-&lt;20</x:v>
      </x:c>
    </x:row>
    <x:row r="2145">
      <x:c r="A2145" t="str">
        <x:v>SYN0002144</x:v>
      </x:c>
      <x:c r="B2145" s="12" t="n">
        <x:v>43165</x:v>
      </x:c>
      <x:c r="C2145" s="18" t="n">
        <x:v>9356</x:v>
      </x:c>
      <x:c r="D2145" s="18" t="n">
        <x:v>81383</x:v>
      </x:c>
      <x:c r="E2145" s="18" t="n">
        <x:v>9.81</x:v>
      </x:c>
      <x:c r="F2145" s="18" t="n">
        <x:v>10.13</x:v>
      </x:c>
      <x:c r="G2145" t="n">
        <x:v>36</x:v>
      </x:c>
      <x:c r="H2145" t="str">
        <x:v>C</x:v>
      </x:c>
      <x:c r="I2145" t="str">
        <x:v>&lt;1 year</x:v>
      </x:c>
      <x:c r="J2145" t="str">
        <x:v>OWN</x:v>
      </x:c>
      <x:c r="K2145" t="str">
        <x:v>credit_card</x:v>
      </x:c>
      <x:c r="L2145" t="n">
        <x:v>1</x:v>
      </x:c>
      <x:c r="M2145" t="n">
        <x:v>0</x:v>
      </x:c>
      <x:c r="N2145" t="str">
        <x:v>Fully Paid</x:v>
      </x:c>
      <x:c r="O2145" t="str">
        <x:f>IF(D2145="","Unknown",IF(D2145&lt;25000,"&lt;$25k",IF(D2145&lt;50000,"$25k-$50k",IF(D2145&lt;75000,"$50k-$75k",IF(D2145&lt;100000,"$75k-$100k","$100k+")))))</x:f>
        <x:v>$75k-$100k</x:v>
      </x:c>
      <x:c r="P2145" t="str">
        <x:f>IF(E2145="","Unknown",IF(E2145&lt;10,"&lt;10",IF(E2145&lt;20,"10-&lt;20",IF(E2145&lt;25,"20-&lt;25",IF(E2145&lt;35,"25-&lt;35","35+")))))</x:f>
        <x:v>&lt;10</x:v>
      </x:c>
    </x:row>
    <x:row r="2146">
      <x:c r="A2146" t="str">
        <x:v>SYN0002145</x:v>
      </x:c>
      <x:c r="B2146" s="12" t="n">
        <x:v>43075</x:v>
      </x:c>
      <x:c r="C2146" s="18" t="n">
        <x:v>17875</x:v>
      </x:c>
      <x:c r="D2146" s="18" t="n">
        <x:v>23235</x:v>
      </x:c>
      <x:c r="E2146" s="18" t="n">
        <x:v>32.52</x:v>
      </x:c>
      <x:c r="F2146" s="18" t="n">
        <x:v>5</x:v>
      </x:c>
      <x:c r="G2146" t="n">
        <x:v>36</x:v>
      </x:c>
      <x:c r="H2146" t="str">
        <x:v>A</x:v>
      </x:c>
      <x:c r="I2146" t="str">
        <x:v>7-9 years</x:v>
      </x:c>
      <x:c r="J2146" t="str">
        <x:v>RENT</x:v>
      </x:c>
      <x:c r="K2146" t="str">
        <x:v>debt_consolidation</x:v>
      </x:c>
      <x:c r="L2146" t="n">
        <x:v>0</x:v>
      </x:c>
      <x:c r="M2146" t="n">
        <x:v>0</x:v>
      </x:c>
      <x:c r="N2146" t="str">
        <x:v>Fully Paid</x:v>
      </x:c>
      <x:c r="O2146" t="str">
        <x:f>IF(D2146="","Unknown",IF(D2146&lt;25000,"&lt;$25k",IF(D2146&lt;50000,"$25k-$50k",IF(D2146&lt;75000,"$50k-$75k",IF(D2146&lt;100000,"$75k-$100k","$100k+")))))</x:f>
        <x:v>&lt;$25k</x:v>
      </x:c>
      <x:c r="P2146" t="str">
        <x:f>IF(E2146="","Unknown",IF(E2146&lt;10,"&lt;10",IF(E2146&lt;20,"10-&lt;20",IF(E2146&lt;25,"20-&lt;25",IF(E2146&lt;35,"25-&lt;35","35+")))))</x:f>
        <x:v>25-&lt;35</x:v>
      </x:c>
    </x:row>
    <x:row r="2147">
      <x:c r="A2147" t="str">
        <x:v>SYN0002146</x:v>
      </x:c>
      <x:c r="B2147" s="12" t="n">
        <x:v>42475</x:v>
      </x:c>
      <x:c r="C2147" s="18" t="n">
        <x:v>14920</x:v>
      </x:c>
      <x:c r="D2147" s="18" t="n">
        <x:v>49346</x:v>
      </x:c>
      <x:c r="E2147" s="18" t="n">
        <x:v>20.81</x:v>
      </x:c>
      <x:c r="F2147" s="18" t="n">
        <x:v>13.3</x:v>
      </x:c>
      <x:c r="G2147" t="n">
        <x:v>36</x:v>
      </x:c>
      <x:c r="H2147" t="str">
        <x:v>D</x:v>
      </x:c>
      <x:c r="I2147" t="str">
        <x:v>&lt;1 year</x:v>
      </x:c>
      <x:c r="J2147" t="str">
        <x:v>RENT</x:v>
      </x:c>
      <x:c r="K2147" t="str">
        <x:v>debt_consolidation</x:v>
      </x:c>
      <x:c r="L2147" t="n">
        <x:v>0</x:v>
      </x:c>
      <x:c r="M2147" t="n">
        <x:v>0</x:v>
      </x:c>
      <x:c r="N2147" t="str">
        <x:v>Fully Paid</x:v>
      </x:c>
      <x:c r="O2147" t="str">
        <x:f>IF(D2147="","Unknown",IF(D2147&lt;25000,"&lt;$25k",IF(D2147&lt;50000,"$25k-$50k",IF(D2147&lt;75000,"$50k-$75k",IF(D2147&lt;100000,"$75k-$100k","$100k+")))))</x:f>
        <x:v>$25k-$50k</x:v>
      </x:c>
      <x:c r="P2147" t="str">
        <x:f>IF(E2147="","Unknown",IF(E2147&lt;10,"&lt;10",IF(E2147&lt;20,"10-&lt;20",IF(E2147&lt;25,"20-&lt;25",IF(E2147&lt;35,"25-&lt;35","35+")))))</x:f>
        <x:v>20-&lt;25</x:v>
      </x:c>
    </x:row>
    <x:row r="2148">
      <x:c r="A2148" t="str">
        <x:v>SYN0002147</x:v>
      </x:c>
      <x:c r="B2148" s="12" t="n">
        <x:v>41875</x:v>
      </x:c>
      <x:c r="C2148" s="18" t="n">
        <x:v>16629</x:v>
      </x:c>
      <x:c r="D2148" s="18" t="n">
        <x:v>17231</x:v>
      </x:c>
      <x:c r="E2148" s="18" t="n">
        <x:v>13.32</x:v>
      </x:c>
      <x:c r="F2148" s="18" t="n">
        <x:v>11.12</x:v>
      </x:c>
      <x:c r="G2148" t="n">
        <x:v>36</x:v>
      </x:c>
      <x:c r="H2148" t="str">
        <x:v>C</x:v>
      </x:c>
      <x:c r="I2148" t="str">
        <x:v>&lt;1 year</x:v>
      </x:c>
      <x:c r="J2148" t="str">
        <x:v>MORTGAGE</x:v>
      </x:c>
      <x:c r="K2148" t="str">
        <x:v>debt_consolidation</x:v>
      </x:c>
      <x:c r="L2148" t="n">
        <x:v>2</x:v>
      </x:c>
      <x:c r="M2148" t="n">
        <x:v>0</x:v>
      </x:c>
      <x:c r="N2148" t="str">
        <x:v>Fully Paid</x:v>
      </x:c>
      <x:c r="O2148" t="str">
        <x:f>IF(D2148="","Unknown",IF(D2148&lt;25000,"&lt;$25k",IF(D2148&lt;50000,"$25k-$50k",IF(D2148&lt;75000,"$50k-$75k",IF(D2148&lt;100000,"$75k-$100k","$100k+")))))</x:f>
        <x:v>&lt;$25k</x:v>
      </x:c>
      <x:c r="P2148" t="str">
        <x:f>IF(E2148="","Unknown",IF(E2148&lt;10,"&lt;10",IF(E2148&lt;20,"10-&lt;20",IF(E2148&lt;25,"20-&lt;25",IF(E2148&lt;35,"25-&lt;35","35+")))))</x:f>
        <x:v>10-&lt;20</x:v>
      </x:c>
    </x:row>
    <x:row r="2149">
      <x:c r="A2149" t="str">
        <x:v>SYN0002148</x:v>
      </x:c>
      <x:c r="B2149" s="12" t="n">
        <x:v>42805</x:v>
      </x:c>
      <x:c r="C2149" s="18" t="n">
        <x:v>8171</x:v>
      </x:c>
      <x:c r="D2149" s="18" t="n">
        <x:v>39255</x:v>
      </x:c>
      <x:c r="E2149" s="18" t="n">
        <x:v>34.86</x:v>
      </x:c>
      <x:c r="F2149" s="18" t="n">
        <x:v>7.06</x:v>
      </x:c>
      <x:c r="G2149" t="n">
        <x:v>36</x:v>
      </x:c>
      <x:c r="H2149" t="str">
        <x:v>B</x:v>
      </x:c>
      <x:c r="I2149" t="str">
        <x:v>4-6 years</x:v>
      </x:c>
      <x:c r="J2149" t="str">
        <x:v>MORTGAGE</x:v>
      </x:c>
      <x:c r="K2149" t="str">
        <x:v>debt_consolidation</x:v>
      </x:c>
      <x:c r="L2149" t="n">
        <x:v>1</x:v>
      </x:c>
      <x:c r="M2149" t="n">
        <x:v>0</x:v>
      </x:c>
      <x:c r="N2149" t="str">
        <x:v>Fully Paid</x:v>
      </x:c>
      <x:c r="O2149" t="str">
        <x:f>IF(D2149="","Unknown",IF(D2149&lt;25000,"&lt;$25k",IF(D2149&lt;50000,"$25k-$50k",IF(D2149&lt;75000,"$50k-$75k",IF(D2149&lt;100000,"$75k-$100k","$100k+")))))</x:f>
        <x:v>$25k-$50k</x:v>
      </x:c>
      <x:c r="P2149" t="str">
        <x:f>IF(E2149="","Unknown",IF(E2149&lt;10,"&lt;10",IF(E2149&lt;20,"10-&lt;20",IF(E2149&lt;25,"20-&lt;25",IF(E2149&lt;35,"25-&lt;35","35+")))))</x:f>
        <x:v>25-&lt;35</x:v>
      </x:c>
    </x:row>
    <x:row r="2150">
      <x:c r="A2150" t="str">
        <x:v>SYN0002149</x:v>
      </x:c>
      <x:c r="B2150" s="12" t="n">
        <x:v>41635</x:v>
      </x:c>
      <x:c r="C2150" s="18" t="n">
        <x:v>10985</x:v>
      </x:c>
      <x:c r="D2150" s="18" t="n">
        <x:v>131429</x:v>
      </x:c>
      <x:c r="E2150" s="18" t="n">
        <x:v>14.63</x:v>
      </x:c>
      <x:c r="F2150" s="18" t="n">
        <x:v>5.83</x:v>
      </x:c>
      <x:c r="G2150" t="n">
        <x:v>60</x:v>
      </x:c>
      <x:c r="H2150" t="str">
        <x:v>B</x:v>
      </x:c>
      <x:c r="I2150" t="str">
        <x:v>10+ years</x:v>
      </x:c>
      <x:c r="J2150" t="str">
        <x:v>MORTGAGE</x:v>
      </x:c>
      <x:c r="K2150" t="str">
        <x:v>other</x:v>
      </x:c>
      <x:c r="L2150" t="n">
        <x:v>1</x:v>
      </x:c>
      <x:c r="M2150" t="n">
        <x:v>0</x:v>
      </x:c>
      <x:c r="N2150" t="str">
        <x:v>Fully Paid</x:v>
      </x:c>
      <x:c r="O2150" t="str">
        <x:f>IF(D2150="","Unknown",IF(D2150&lt;25000,"&lt;$25k",IF(D2150&lt;50000,"$25k-$50k",IF(D2150&lt;75000,"$50k-$75k",IF(D2150&lt;100000,"$75k-$100k","$100k+")))))</x:f>
        <x:v>$100k+</x:v>
      </x:c>
      <x:c r="P2150" t="str">
        <x:f>IF(E2150="","Unknown",IF(E2150&lt;10,"&lt;10",IF(E2150&lt;20,"10-&lt;20",IF(E2150&lt;25,"20-&lt;25",IF(E2150&lt;35,"25-&lt;35","35+")))))</x:f>
        <x:v>10-&lt;20</x:v>
      </x:c>
    </x:row>
    <x:row r="2151">
      <x:c r="A2151" t="str">
        <x:v>SYN0002150</x:v>
      </x:c>
      <x:c r="B2151" s="12" t="n">
        <x:v>42265</x:v>
      </x:c>
      <x:c r="C2151" s="18" t="n">
        <x:v>22342</x:v>
      </x:c>
      <x:c r="D2151" s="18" t="n">
        <x:v>77146</x:v>
      </x:c>
      <x:c r="E2151" s="18" t="n">
        <x:v>18.16</x:v>
      </x:c>
      <x:c r="F2151" s="18" t="n">
        <x:v>22.4</x:v>
      </x:c>
      <x:c r="G2151" t="n">
        <x:v>36</x:v>
      </x:c>
      <x:c r="H2151" t="str">
        <x:v>G</x:v>
      </x:c>
      <x:c r="I2151" t="str">
        <x:v>4-6 years</x:v>
      </x:c>
      <x:c r="J2151" t="str">
        <x:v>OWN</x:v>
      </x:c>
      <x:c r="K2151" t="str">
        <x:v>debt_consolidation</x:v>
      </x:c>
      <x:c r="L2151" t="n">
        <x:v>1</x:v>
      </x:c>
      <x:c r="M2151" t="n">
        <x:v>0</x:v>
      </x:c>
      <x:c r="N2151" t="str">
        <x:v>Fully Paid</x:v>
      </x:c>
      <x:c r="O2151" t="str">
        <x:f>IF(D2151="","Unknown",IF(D2151&lt;25000,"&lt;$25k",IF(D2151&lt;50000,"$25k-$50k",IF(D2151&lt;75000,"$50k-$75k",IF(D2151&lt;100000,"$75k-$100k","$100k+")))))</x:f>
        <x:v>$75k-$100k</x:v>
      </x:c>
      <x:c r="P2151" t="str">
        <x:f>IF(E2151="","Unknown",IF(E2151&lt;10,"&lt;10",IF(E2151&lt;20,"10-&lt;20",IF(E2151&lt;25,"20-&lt;25",IF(E2151&lt;35,"25-&lt;35","35+")))))</x:f>
        <x:v>10-&lt;20</x:v>
      </x:c>
    </x:row>
    <x:row r="2152">
      <x:c r="A2152" t="str">
        <x:v>SYN0002151</x:v>
      </x:c>
      <x:c r="B2152" s="12" t="n">
        <x:v>41995</x:v>
      </x:c>
      <x:c r="C2152" s="18" t="n">
        <x:v>22375</x:v>
      </x:c>
      <x:c r="D2152" s="18" t="n">
        <x:v>26933</x:v>
      </x:c>
      <x:c r="E2152" s="18" t="n">
        <x:v>12.89</x:v>
      </x:c>
      <x:c r="F2152" s="18" t="n">
        <x:v>14.75</x:v>
      </x:c>
      <x:c r="G2152" t="n">
        <x:v>60</x:v>
      </x:c>
      <x:c r="H2152" t="str">
        <x:v>D</x:v>
      </x:c>
      <x:c r="I2152" t="str">
        <x:v>1-3 years</x:v>
      </x:c>
      <x:c r="J2152" t="str">
        <x:v>RENT</x:v>
      </x:c>
      <x:c r="K2152" t="str">
        <x:v>debt_consolidation</x:v>
      </x:c>
      <x:c r="L2152" t="n">
        <x:v>0</x:v>
      </x:c>
      <x:c r="M2152" t="n">
        <x:v>0</x:v>
      </x:c>
      <x:c r="N2152" t="str">
        <x:v>Fully Paid</x:v>
      </x:c>
      <x:c r="O2152" t="str">
        <x:f>IF(D2152="","Unknown",IF(D2152&lt;25000,"&lt;$25k",IF(D2152&lt;50000,"$25k-$50k",IF(D2152&lt;75000,"$50k-$75k",IF(D2152&lt;100000,"$75k-$100k","$100k+")))))</x:f>
        <x:v>$25k-$50k</x:v>
      </x:c>
      <x:c r="P2152" t="str">
        <x:f>IF(E2152="","Unknown",IF(E2152&lt;10,"&lt;10",IF(E2152&lt;20,"10-&lt;20",IF(E2152&lt;25,"20-&lt;25",IF(E2152&lt;35,"25-&lt;35","35+")))))</x:f>
        <x:v>10-&lt;20</x:v>
      </x:c>
    </x:row>
    <x:row r="2153">
      <x:c r="A2153" t="str">
        <x:v>SYN0002152</x:v>
      </x:c>
      <x:c r="B2153" s="12" t="n">
        <x:v>42625</x:v>
      </x:c>
      <x:c r="C2153" s="18" t="n">
        <x:v>10065</x:v>
      </x:c>
      <x:c r="D2153" s="18" t="n">
        <x:v>49520</x:v>
      </x:c>
      <x:c r="E2153" s="18" t="n">
        <x:v>9.22</x:v>
      </x:c>
      <x:c r="F2153" s="18" t="n">
        <x:v>25.8</x:v>
      </x:c>
      <x:c r="G2153" t="n">
        <x:v>60</x:v>
      </x:c>
      <x:c r="H2153" t="str">
        <x:v>G</x:v>
      </x:c>
      <x:c r="I2153" t="str">
        <x:v>7-9 years</x:v>
      </x:c>
      <x:c r="J2153" t="str">
        <x:v>MORTGAGE</x:v>
      </x:c>
      <x:c r="K2153" t="str">
        <x:v>debt_consolidation</x:v>
      </x:c>
      <x:c r="L2153" t="n">
        <x:v>1</x:v>
      </x:c>
      <x:c r="M2153" t="n">
        <x:v>1</x:v>
      </x:c>
      <x:c r="N2153" t="str">
        <x:v>Charged Off</x:v>
      </x:c>
      <x:c r="O2153" t="str">
        <x:f>IF(D2153="","Unknown",IF(D2153&lt;25000,"&lt;$25k",IF(D2153&lt;50000,"$25k-$50k",IF(D2153&lt;75000,"$50k-$75k",IF(D2153&lt;100000,"$75k-$100k","$100k+")))))</x:f>
        <x:v>$25k-$50k</x:v>
      </x:c>
      <x:c r="P2153" t="str">
        <x:f>IF(E2153="","Unknown",IF(E2153&lt;10,"&lt;10",IF(E2153&lt;20,"10-&lt;20",IF(E2153&lt;25,"20-&lt;25",IF(E2153&lt;35,"25-&lt;35","35+")))))</x:f>
        <x:v>&lt;10</x:v>
      </x:c>
    </x:row>
    <x:row r="2154">
      <x:c r="A2154" t="str">
        <x:v>SYN0002153</x:v>
      </x:c>
      <x:c r="B2154" s="12" t="n">
        <x:v>43315</x:v>
      </x:c>
      <x:c r="C2154" s="18" t="n">
        <x:v>32211</x:v>
      </x:c>
      <x:c r="D2154" s="18" t="n">
        <x:v>189875</x:v>
      </x:c>
      <x:c r="E2154" s="18" t="n">
        <x:v>13.86</x:v>
      </x:c>
      <x:c r="F2154" s="18" t="n">
        <x:v>14.3</x:v>
      </x:c>
      <x:c r="G2154" t="n">
        <x:v>36</x:v>
      </x:c>
      <x:c r="H2154" t="str">
        <x:v>C</x:v>
      </x:c>
      <x:c r="I2154" t="str">
        <x:v>1-3 years</x:v>
      </x:c>
      <x:c r="J2154" t="str">
        <x:v>RENT</x:v>
      </x:c>
      <x:c r="K2154" t="str">
        <x:v>credit_card</x:v>
      </x:c>
      <x:c r="L2154" t="n">
        <x:v>0</x:v>
      </x:c>
      <x:c r="M2154" t="n">
        <x:v>0</x:v>
      </x:c>
      <x:c r="N2154" t="str">
        <x:v>Fully Paid</x:v>
      </x:c>
      <x:c r="O2154" t="str">
        <x:f>IF(D2154="","Unknown",IF(D2154&lt;25000,"&lt;$25k",IF(D2154&lt;50000,"$25k-$50k",IF(D2154&lt;75000,"$50k-$75k",IF(D2154&lt;100000,"$75k-$100k","$100k+")))))</x:f>
        <x:v>$100k+</x:v>
      </x:c>
      <x:c r="P2154" t="str">
        <x:f>IF(E2154="","Unknown",IF(E2154&lt;10,"&lt;10",IF(E2154&lt;20,"10-&lt;20",IF(E2154&lt;25,"20-&lt;25",IF(E2154&lt;35,"25-&lt;35","35+")))))</x:f>
        <x:v>10-&lt;20</x:v>
      </x:c>
    </x:row>
    <x:row r="2155">
      <x:c r="A2155" t="str">
        <x:v>SYN0002154</x:v>
      </x:c>
      <x:c r="B2155" s="12" t="n">
        <x:v>43315</x:v>
      </x:c>
      <x:c r="C2155" s="18" t="n">
        <x:v>15124</x:v>
      </x:c>
      <x:c r="D2155" s="18" t="n">
        <x:v>53545</x:v>
      </x:c>
      <x:c r="E2155" s="18" t="n">
        <x:v>23.92</x:v>
      </x:c>
      <x:c r="F2155" s="18" t="n">
        <x:v>22.59</x:v>
      </x:c>
      <x:c r="G2155" t="n">
        <x:v>36</x:v>
      </x:c>
      <x:c r="H2155" t="str">
        <x:v>F</x:v>
      </x:c>
      <x:c r="I2155" t="str">
        <x:v>10+ years</x:v>
      </x:c>
      <x:c r="J2155" t="str">
        <x:v>RENT</x:v>
      </x:c>
      <x:c r="K2155" t="str">
        <x:v>home_improvement</x:v>
      </x:c>
      <x:c r="L2155" t="n">
        <x:v>0</x:v>
      </x:c>
      <x:c r="M2155" t="n">
        <x:v>0</x:v>
      </x:c>
      <x:c r="N2155" t="str">
        <x:v>Fully Paid</x:v>
      </x:c>
      <x:c r="O2155" t="str">
        <x:f>IF(D2155="","Unknown",IF(D2155&lt;25000,"&lt;$25k",IF(D2155&lt;50000,"$25k-$50k",IF(D2155&lt;75000,"$50k-$75k",IF(D2155&lt;100000,"$75k-$100k","$100k+")))))</x:f>
        <x:v>$50k-$75k</x:v>
      </x:c>
      <x:c r="P2155" t="str">
        <x:f>IF(E2155="","Unknown",IF(E2155&lt;10,"&lt;10",IF(E2155&lt;20,"10-&lt;20",IF(E2155&lt;25,"20-&lt;25",IF(E2155&lt;35,"25-&lt;35","35+")))))</x:f>
        <x:v>20-&lt;25</x:v>
      </x:c>
    </x:row>
    <x:row r="2156">
      <x:c r="A2156" t="str">
        <x:v>SYN0002155</x:v>
      </x:c>
      <x:c r="B2156" s="12" t="n">
        <x:v>41485</x:v>
      </x:c>
      <x:c r="C2156" s="18" t="n">
        <x:v>8922</x:v>
      </x:c>
      <x:c r="D2156" s="18" t="n">
        <x:v>75524</x:v>
      </x:c>
      <x:c r="E2156" s="18" t="n">
        <x:v>17.36</x:v>
      </x:c>
      <x:c r="F2156" s="18" t="n">
        <x:v>11.24</x:v>
      </x:c>
      <x:c r="G2156" t="n">
        <x:v>36</x:v>
      </x:c>
      <x:c r="H2156" t="str">
        <x:v>D</x:v>
      </x:c>
      <x:c r="I2156" t="str">
        <x:v>4-6 years</x:v>
      </x:c>
      <x:c r="J2156" t="str">
        <x:v>RENT</x:v>
      </x:c>
      <x:c r="K2156" t="str">
        <x:v>other</x:v>
      </x:c>
      <x:c r="L2156" t="n">
        <x:v>0</x:v>
      </x:c>
      <x:c r="M2156" t="n">
        <x:v>0</x:v>
      </x:c>
      <x:c r="N2156" t="str">
        <x:v>Fully Paid</x:v>
      </x:c>
      <x:c r="O2156" t="str">
        <x:f>IF(D2156="","Unknown",IF(D2156&lt;25000,"&lt;$25k",IF(D2156&lt;50000,"$25k-$50k",IF(D2156&lt;75000,"$50k-$75k",IF(D2156&lt;100000,"$75k-$100k","$100k+")))))</x:f>
        <x:v>$75k-$100k</x:v>
      </x:c>
      <x:c r="P2156" t="str">
        <x:f>IF(E2156="","Unknown",IF(E2156&lt;10,"&lt;10",IF(E2156&lt;20,"10-&lt;20",IF(E2156&lt;25,"20-&lt;25",IF(E2156&lt;35,"25-&lt;35","35+")))))</x:f>
        <x:v>10-&lt;20</x:v>
      </x:c>
    </x:row>
    <x:row r="2157">
      <x:c r="A2157" t="str">
        <x:v>SYN0002156</x:v>
      </x:c>
      <x:c r="B2157" s="12" t="n">
        <x:v>42625</x:v>
      </x:c>
      <x:c r="C2157" s="18" t="n">
        <x:v>19098</x:v>
      </x:c>
      <x:c r="D2157" s="18" t="n">
        <x:v>76018</x:v>
      </x:c>
      <x:c r="E2157" s="18" t="n">
        <x:v>18.76</x:v>
      </x:c>
      <x:c r="F2157" s="18" t="n">
        <x:v>12.92</x:v>
      </x:c>
      <x:c r="G2157" t="n">
        <x:v>60</x:v>
      </x:c>
      <x:c r="H2157" t="str">
        <x:v>C</x:v>
      </x:c>
      <x:c r="I2157" t="str">
        <x:v>1-3 years</x:v>
      </x:c>
      <x:c r="J2157" t="str">
        <x:v>MORTGAGE</x:v>
      </x:c>
      <x:c r="K2157" t="str">
        <x:v>credit_card</x:v>
      </x:c>
      <x:c r="L2157" t="n">
        <x:v>0</x:v>
      </x:c>
      <x:c r="M2157" t="n">
        <x:v>0</x:v>
      </x:c>
      <x:c r="N2157" t="str">
        <x:v>Fully Paid</x:v>
      </x:c>
      <x:c r="O2157" t="str">
        <x:f>IF(D2157="","Unknown",IF(D2157&lt;25000,"&lt;$25k",IF(D2157&lt;50000,"$25k-$50k",IF(D2157&lt;75000,"$50k-$75k",IF(D2157&lt;100000,"$75k-$100k","$100k+")))))</x:f>
        <x:v>$75k-$100k</x:v>
      </x:c>
      <x:c r="P2157" t="str">
        <x:f>IF(E2157="","Unknown",IF(E2157&lt;10,"&lt;10",IF(E2157&lt;20,"10-&lt;20",IF(E2157&lt;25,"20-&lt;25",IF(E2157&lt;35,"25-&lt;35","35+")))))</x:f>
        <x:v>10-&lt;20</x:v>
      </x:c>
    </x:row>
    <x:row r="2158">
      <x:c r="A2158" t="str">
        <x:v>SYN0002157</x:v>
      </x:c>
      <x:c r="B2158" s="12" t="n">
        <x:v>42505</x:v>
      </x:c>
      <x:c r="C2158" s="18" t="n">
        <x:v>19626</x:v>
      </x:c>
      <x:c r="D2158" s="18" t="n">
        <x:v>61164</x:v>
      </x:c>
      <x:c r="E2158" s="18" t="n">
        <x:v>27.18</x:v>
      </x:c>
      <x:c r="F2158" s="18" t="n">
        <x:v>6.81</x:v>
      </x:c>
      <x:c r="G2158" t="n">
        <x:v>60</x:v>
      </x:c>
      <x:c r="H2158" t="str">
        <x:v>A</x:v>
      </x:c>
      <x:c r="I2158" t="str">
        <x:v>10+ years</x:v>
      </x:c>
      <x:c r="J2158" t="str">
        <x:v>RENT</x:v>
      </x:c>
      <x:c r="K2158" t="str">
        <x:v>home_improvement</x:v>
      </x:c>
      <x:c r="L2158" t="n">
        <x:v>0</x:v>
      </x:c>
      <x:c r="M2158" t="n">
        <x:v>0</x:v>
      </x:c>
      <x:c r="N2158" t="str">
        <x:v>Fully Paid</x:v>
      </x:c>
      <x:c r="O2158" t="str">
        <x:f>IF(D2158="","Unknown",IF(D2158&lt;25000,"&lt;$25k",IF(D2158&lt;50000,"$25k-$50k",IF(D2158&lt;75000,"$50k-$75k",IF(D2158&lt;100000,"$75k-$100k","$100k+")))))</x:f>
        <x:v>$50k-$75k</x:v>
      </x:c>
      <x:c r="P2158" t="str">
        <x:f>IF(E2158="","Unknown",IF(E2158&lt;10,"&lt;10",IF(E2158&lt;20,"10-&lt;20",IF(E2158&lt;25,"20-&lt;25",IF(E2158&lt;35,"25-&lt;35","35+")))))</x:f>
        <x:v>25-&lt;35</x:v>
      </x:c>
    </x:row>
    <x:row r="2159">
      <x:c r="A2159" t="str">
        <x:v>SYN0002158</x:v>
      </x:c>
      <x:c r="B2159" s="12" t="n">
        <x:v>43315</x:v>
      </x:c>
      <x:c r="C2159" s="18" t="n">
        <x:v>22279</x:v>
      </x:c>
      <x:c r="D2159" s="18" t="n">
        <x:v>37876</x:v>
      </x:c>
      <x:c r="E2159" s="18" t="n">
        <x:v>11.41</x:v>
      </x:c>
      <x:c r="F2159" s="18" t="n">
        <x:v>11.14</x:v>
      </x:c>
      <x:c r="G2159" t="n">
        <x:v>60</x:v>
      </x:c>
      <x:c r="H2159" t="str">
        <x:v>B</x:v>
      </x:c>
      <x:c r="I2159" t="str">
        <x:v>1-3 years</x:v>
      </x:c>
      <x:c r="J2159" t="str">
        <x:v>MORTGAGE</x:v>
      </x:c>
      <x:c r="K2159" t="str">
        <x:v>debt_consolidation</x:v>
      </x:c>
      <x:c r="L2159" t="n">
        <x:v>0</x:v>
      </x:c>
      <x:c r="M2159" t="n">
        <x:v>0</x:v>
      </x:c>
      <x:c r="N2159" t="str">
        <x:v>Fully Paid</x:v>
      </x:c>
      <x:c r="O2159" t="str">
        <x:f>IF(D2159="","Unknown",IF(D2159&lt;25000,"&lt;$25k",IF(D2159&lt;50000,"$25k-$50k",IF(D2159&lt;75000,"$50k-$75k",IF(D2159&lt;100000,"$75k-$100k","$100k+")))))</x:f>
        <x:v>$25k-$50k</x:v>
      </x:c>
      <x:c r="P2159" t="str">
        <x:f>IF(E2159="","Unknown",IF(E2159&lt;10,"&lt;10",IF(E2159&lt;20,"10-&lt;20",IF(E2159&lt;25,"20-&lt;25",IF(E2159&lt;35,"25-&lt;35","35+")))))</x:f>
        <x:v>10-&lt;20</x:v>
      </x:c>
    </x:row>
    <x:row r="2160">
      <x:c r="A2160" t="str">
        <x:v>SYN0002159</x:v>
      </x:c>
      <x:c r="B2160" s="12" t="n">
        <x:v>41875</x:v>
      </x:c>
      <x:c r="C2160" s="18" t="n">
        <x:v>8267</x:v>
      </x:c>
      <x:c r="D2160" s="18" t="n">
        <x:v>41856</x:v>
      </x:c>
      <x:c r="E2160" s="18" t="n">
        <x:v>13.77</x:v>
      </x:c>
      <x:c r="F2160" s="18" t="n">
        <x:v>10.89</x:v>
      </x:c>
      <x:c r="G2160" t="n">
        <x:v>36</x:v>
      </x:c>
      <x:c r="H2160" t="str">
        <x:v>C</x:v>
      </x:c>
      <x:c r="I2160" t="str">
        <x:v>1-3 years</x:v>
      </x:c>
      <x:c r="J2160" t="str">
        <x:v>RENT</x:v>
      </x:c>
      <x:c r="K2160" t="str">
        <x:v>credit_card</x:v>
      </x:c>
      <x:c r="L2160" t="n">
        <x:v>1</x:v>
      </x:c>
      <x:c r="M2160" t="n">
        <x:v>0</x:v>
      </x:c>
      <x:c r="N2160" t="str">
        <x:v>Fully Paid</x:v>
      </x:c>
      <x:c r="O2160" t="str">
        <x:f>IF(D2160="","Unknown",IF(D2160&lt;25000,"&lt;$25k",IF(D2160&lt;50000,"$25k-$50k",IF(D2160&lt;75000,"$50k-$75k",IF(D2160&lt;100000,"$75k-$100k","$100k+")))))</x:f>
        <x:v>$25k-$50k</x:v>
      </x:c>
      <x:c r="P2160" t="str">
        <x:f>IF(E2160="","Unknown",IF(E2160&lt;10,"&lt;10",IF(E2160&lt;20,"10-&lt;20",IF(E2160&lt;25,"20-&lt;25",IF(E2160&lt;35,"25-&lt;35","35+")))))</x:f>
        <x:v>10-&lt;20</x:v>
      </x:c>
    </x:row>
    <x:row r="2161">
      <x:c r="A2161" t="str">
        <x:v>SYN0002160</x:v>
      </x:c>
      <x:c r="B2161" s="12" t="n">
        <x:v>42205</x:v>
      </x:c>
      <x:c r="C2161" s="18" t="n">
        <x:v>30186</x:v>
      </x:c>
      <x:c r="D2161" s="18" t="n">
        <x:v>119833</x:v>
      </x:c>
      <x:c r="E2161" s="18" t="n">
        <x:v>16.81</x:v>
      </x:c>
      <x:c r="F2161" s="18" t="n">
        <x:v>15.78</x:v>
      </x:c>
      <x:c r="G2161" t="n">
        <x:v>60</x:v>
      </x:c>
      <x:c r="H2161" t="str">
        <x:v>E</x:v>
      </x:c>
      <x:c r="I2161" t="str">
        <x:v>4-6 years</x:v>
      </x:c>
      <x:c r="J2161" t="str">
        <x:v>RENT</x:v>
      </x:c>
      <x:c r="K2161" t="str">
        <x:v>debt_consolidation</x:v>
      </x:c>
      <x:c r="L2161" t="n">
        <x:v>1</x:v>
      </x:c>
      <x:c r="M2161" t="n">
        <x:v>0</x:v>
      </x:c>
      <x:c r="N2161" t="str">
        <x:v>Fully Paid</x:v>
      </x:c>
      <x:c r="O2161" t="str">
        <x:f>IF(D2161="","Unknown",IF(D2161&lt;25000,"&lt;$25k",IF(D2161&lt;50000,"$25k-$50k",IF(D2161&lt;75000,"$50k-$75k",IF(D2161&lt;100000,"$75k-$100k","$100k+")))))</x:f>
        <x:v>$100k+</x:v>
      </x:c>
      <x:c r="P2161" t="str">
        <x:f>IF(E2161="","Unknown",IF(E2161&lt;10,"&lt;10",IF(E2161&lt;20,"10-&lt;20",IF(E2161&lt;25,"20-&lt;25",IF(E2161&lt;35,"25-&lt;35","35+")))))</x:f>
        <x:v>10-&lt;20</x:v>
      </x:c>
    </x:row>
    <x:row r="2162">
      <x:c r="A2162" t="str">
        <x:v>SYN0002161</x:v>
      </x:c>
      <x:c r="B2162" s="12" t="n">
        <x:v>42505</x:v>
      </x:c>
      <x:c r="C2162" s="18" t="n">
        <x:v>20477</x:v>
      </x:c>
      <x:c r="D2162" s="18" t="n">
        <x:v>215369</x:v>
      </x:c>
      <x:c r="E2162" s="18" t="n">
        <x:v>14.49</x:v>
      </x:c>
      <x:c r="F2162" s="18" t="n">
        <x:v>9.58</x:v>
      </x:c>
      <x:c r="G2162" t="n">
        <x:v>36</x:v>
      </x:c>
      <x:c r="H2162" t="str">
        <x:v>B</x:v>
      </x:c>
      <x:c r="I2162" t="str">
        <x:v>4-6 years</x:v>
      </x:c>
      <x:c r="J2162" t="str">
        <x:v>MORTGAGE</x:v>
      </x:c>
      <x:c r="K2162" t="str">
        <x:v>debt_consolidation</x:v>
      </x:c>
      <x:c r="L2162" t="n">
        <x:v>0</x:v>
      </x:c>
      <x:c r="M2162" t="n">
        <x:v>0</x:v>
      </x:c>
      <x:c r="N2162" t="str">
        <x:v>Fully Paid</x:v>
      </x:c>
      <x:c r="O2162" t="str">
        <x:f>IF(D2162="","Unknown",IF(D2162&lt;25000,"&lt;$25k",IF(D2162&lt;50000,"$25k-$50k",IF(D2162&lt;75000,"$50k-$75k",IF(D2162&lt;100000,"$75k-$100k","$100k+")))))</x:f>
        <x:v>$100k+</x:v>
      </x:c>
      <x:c r="P2162" t="str">
        <x:f>IF(E2162="","Unknown",IF(E2162&lt;10,"&lt;10",IF(E2162&lt;20,"10-&lt;20",IF(E2162&lt;25,"20-&lt;25",IF(E2162&lt;35,"25-&lt;35","35+")))))</x:f>
        <x:v>10-&lt;20</x:v>
      </x:c>
    </x:row>
    <x:row r="2163">
      <x:c r="A2163" t="str">
        <x:v>SYN0002162</x:v>
      </x:c>
      <x:c r="B2163" s="12" t="n">
        <x:v>41965</x:v>
      </x:c>
      <x:c r="C2163" s="18" t="n">
        <x:v>13065</x:v>
      </x:c>
      <x:c r="D2163" s="18" t="n">
        <x:v>49437</x:v>
      </x:c>
      <x:c r="E2163" s="18" t="n">
        <x:v>12.32</x:v>
      </x:c>
      <x:c r="F2163" s="18" t="n">
        <x:v>5.97</x:v>
      </x:c>
      <x:c r="G2163" t="n">
        <x:v>36</x:v>
      </x:c>
      <x:c r="H2163" t="str">
        <x:v>A</x:v>
      </x:c>
      <x:c r="I2163" t="str">
        <x:v>4-6 years</x:v>
      </x:c>
      <x:c r="J2163" t="str">
        <x:v>OWN</x:v>
      </x:c>
      <x:c r="K2163" t="str">
        <x:v>debt_consolidation</x:v>
      </x:c>
      <x:c r="L2163" t="n">
        <x:v>0</x:v>
      </x:c>
      <x:c r="M2163" t="n">
        <x:v>0</x:v>
      </x:c>
      <x:c r="N2163" t="str">
        <x:v>Fully Paid</x:v>
      </x:c>
      <x:c r="O2163" t="str">
        <x:f>IF(D2163="","Unknown",IF(D2163&lt;25000,"&lt;$25k",IF(D2163&lt;50000,"$25k-$50k",IF(D2163&lt;75000,"$50k-$75k",IF(D2163&lt;100000,"$75k-$100k","$100k+")))))</x:f>
        <x:v>$25k-$50k</x:v>
      </x:c>
      <x:c r="P2163" t="str">
        <x:f>IF(E2163="","Unknown",IF(E2163&lt;10,"&lt;10",IF(E2163&lt;20,"10-&lt;20",IF(E2163&lt;25,"20-&lt;25",IF(E2163&lt;35,"25-&lt;35","35+")))))</x:f>
        <x:v>10-&lt;20</x:v>
      </x:c>
    </x:row>
    <x:row r="2164">
      <x:c r="A2164" t="str">
        <x:v>SYN0002163</x:v>
      </x:c>
      <x:c r="B2164" s="12" t="n">
        <x:v>42865</x:v>
      </x:c>
      <x:c r="C2164" s="18" t="n">
        <x:v>7863</x:v>
      </x:c>
      <x:c r="D2164" s="18" t="n">
        <x:v>39274</x:v>
      </x:c>
      <x:c r="E2164" s="18" t="n">
        <x:v>23.59</x:v>
      </x:c>
      <x:c r="F2164" s="18" t="n">
        <x:v>14.25</x:v>
      </x:c>
      <x:c r="G2164" t="n">
        <x:v>36</x:v>
      </x:c>
      <x:c r="H2164" t="str">
        <x:v>D</x:v>
      </x:c>
      <x:c r="I2164" t="str">
        <x:v>10+ years</x:v>
      </x:c>
      <x:c r="J2164" t="str">
        <x:v>OTHER</x:v>
      </x:c>
      <x:c r="K2164" t="str">
        <x:v>credit_card</x:v>
      </x:c>
      <x:c r="L2164" t="n">
        <x:v>1</x:v>
      </x:c>
      <x:c r="M2164" t="n">
        <x:v>0</x:v>
      </x:c>
      <x:c r="N2164" t="str">
        <x:v>Fully Paid</x:v>
      </x:c>
      <x:c r="O2164" t="str">
        <x:f>IF(D2164="","Unknown",IF(D2164&lt;25000,"&lt;$25k",IF(D2164&lt;50000,"$25k-$50k",IF(D2164&lt;75000,"$50k-$75k",IF(D2164&lt;100000,"$75k-$100k","$100k+")))))</x:f>
        <x:v>$25k-$50k</x:v>
      </x:c>
      <x:c r="P2164" t="str">
        <x:f>IF(E2164="","Unknown",IF(E2164&lt;10,"&lt;10",IF(E2164&lt;20,"10-&lt;20",IF(E2164&lt;25,"20-&lt;25",IF(E2164&lt;35,"25-&lt;35","35+")))))</x:f>
        <x:v>20-&lt;25</x:v>
      </x:c>
    </x:row>
    <x:row r="2165">
      <x:c r="A2165" t="str">
        <x:v>SYN0002164</x:v>
      </x:c>
      <x:c r="B2165" s="12" t="n">
        <x:v>42055</x:v>
      </x:c>
      <x:c r="C2165" s="18" t="n">
        <x:v>12766</x:v>
      </x:c>
      <x:c r="D2165" s="18" t="n">
        <x:v>116247</x:v>
      </x:c>
      <x:c r="E2165" s="18" t="n">
        <x:v>10.93</x:v>
      </x:c>
      <x:c r="F2165" s="18" t="n">
        <x:v>6.21</x:v>
      </x:c>
      <x:c r="G2165" t="n">
        <x:v>36</x:v>
      </x:c>
      <x:c r="H2165" t="str">
        <x:v>A</x:v>
      </x:c>
      <x:c r="I2165" t="str">
        <x:v>4-6 years</x:v>
      </x:c>
      <x:c r="J2165" t="str">
        <x:v>OWN</x:v>
      </x:c>
      <x:c r="K2165" t="str">
        <x:v>credit_card</x:v>
      </x:c>
      <x:c r="L2165" t="n">
        <x:v>0</x:v>
      </x:c>
      <x:c r="M2165" t="n">
        <x:v>0</x:v>
      </x:c>
      <x:c r="N2165" t="str">
        <x:v>Fully Paid</x:v>
      </x:c>
      <x:c r="O2165" t="str">
        <x:f>IF(D2165="","Unknown",IF(D2165&lt;25000,"&lt;$25k",IF(D2165&lt;50000,"$25k-$50k",IF(D2165&lt;75000,"$50k-$75k",IF(D2165&lt;100000,"$75k-$100k","$100k+")))))</x:f>
        <x:v>$100k+</x:v>
      </x:c>
      <x:c r="P2165" t="str">
        <x:f>IF(E2165="","Unknown",IF(E2165&lt;10,"&lt;10",IF(E2165&lt;20,"10-&lt;20",IF(E2165&lt;25,"20-&lt;25",IF(E2165&lt;35,"25-&lt;35","35+")))))</x:f>
        <x:v>10-&lt;20</x:v>
      </x:c>
    </x:row>
    <x:row r="2166">
      <x:c r="A2166" t="str">
        <x:v>SYN0002165</x:v>
      </x:c>
      <x:c r="B2166" s="12" t="n">
        <x:v>42535</x:v>
      </x:c>
      <x:c r="C2166" s="18" t="n">
        <x:v>9735</x:v>
      </x:c>
      <x:c r="D2166" s="18" t="n">
        <x:v>46857</x:v>
      </x:c>
      <x:c r="E2166" s="18" t="n">
        <x:v>24.44</x:v>
      </x:c>
      <x:c r="F2166" s="18" t="n">
        <x:v>26.47</x:v>
      </x:c>
      <x:c r="G2166" t="n">
        <x:v>60</x:v>
      </x:c>
      <x:c r="H2166" t="str">
        <x:v>G</x:v>
      </x:c>
      <x:c r="I2166" t="str">
        <x:v>&lt;1 year</x:v>
      </x:c>
      <x:c r="J2166" t="str">
        <x:v>MORTGAGE</x:v>
      </x:c>
      <x:c r="K2166" t="str">
        <x:v>debt_consolidation</x:v>
      </x:c>
      <x:c r="L2166" t="n">
        <x:v>0</x:v>
      </x:c>
      <x:c r="M2166" t="n">
        <x:v>0</x:v>
      </x:c>
      <x:c r="N2166" t="str">
        <x:v>Fully Paid</x:v>
      </x:c>
      <x:c r="O2166" t="str">
        <x:f>IF(D2166="","Unknown",IF(D2166&lt;25000,"&lt;$25k",IF(D2166&lt;50000,"$25k-$50k",IF(D2166&lt;75000,"$50k-$75k",IF(D2166&lt;100000,"$75k-$100k","$100k+")))))</x:f>
        <x:v>$25k-$50k</x:v>
      </x:c>
      <x:c r="P2166" t="str">
        <x:f>IF(E2166="","Unknown",IF(E2166&lt;10,"&lt;10",IF(E2166&lt;20,"10-&lt;20",IF(E2166&lt;25,"20-&lt;25",IF(E2166&lt;35,"25-&lt;35","35+")))))</x:f>
        <x:v>20-&lt;25</x:v>
      </x:c>
    </x:row>
    <x:row r="2167">
      <x:c r="A2167" t="str">
        <x:v>SYN0002166</x:v>
      </x:c>
      <x:c r="B2167" s="12" t="n">
        <x:v>43345</x:v>
      </x:c>
      <x:c r="C2167" s="18" t="n">
        <x:v>6572</x:v>
      </x:c>
      <x:c r="D2167" s="18" t="n">
        <x:v>50078</x:v>
      </x:c>
      <x:c r="E2167" s="18" t="n">
        <x:v>12.98</x:v>
      </x:c>
      <x:c r="F2167" s="18" t="n">
        <x:v>6.65</x:v>
      </x:c>
      <x:c r="G2167" t="n">
        <x:v>60</x:v>
      </x:c>
      <x:c r="H2167" t="str">
        <x:v>A</x:v>
      </x:c>
      <x:c r="I2167" t="str">
        <x:v>10+ years</x:v>
      </x:c>
      <x:c r="J2167" t="str">
        <x:v>MORTGAGE</x:v>
      </x:c>
      <x:c r="K2167" t="str">
        <x:v>major_purchase</x:v>
      </x:c>
      <x:c r="L2167" t="n">
        <x:v>1</x:v>
      </x:c>
      <x:c r="M2167" t="n">
        <x:v>0</x:v>
      </x:c>
      <x:c r="N2167" t="str">
        <x:v>Fully Paid</x:v>
      </x:c>
      <x:c r="O2167" t="str">
        <x:f>IF(D2167="","Unknown",IF(D2167&lt;25000,"&lt;$25k",IF(D2167&lt;50000,"$25k-$50k",IF(D2167&lt;75000,"$50k-$75k",IF(D2167&lt;100000,"$75k-$100k","$100k+")))))</x:f>
        <x:v>$50k-$75k</x:v>
      </x:c>
      <x:c r="P2167" t="str">
        <x:f>IF(E2167="","Unknown",IF(E2167&lt;10,"&lt;10",IF(E2167&lt;20,"10-&lt;20",IF(E2167&lt;25,"20-&lt;25",IF(E2167&lt;35,"25-&lt;35","35+")))))</x:f>
        <x:v>10-&lt;20</x:v>
      </x:c>
    </x:row>
    <x:row r="2168">
      <x:c r="A2168" t="str">
        <x:v>SYN0002167</x:v>
      </x:c>
      <x:c r="B2168" s="12" t="n">
        <x:v>42565</x:v>
      </x:c>
      <x:c r="C2168" s="18" t="n">
        <x:v>10865</x:v>
      </x:c>
      <x:c r="D2168" s="18" t="n">
        <x:v>64402</x:v>
      </x:c>
      <x:c r="E2168" s="18" t="n">
        <x:v>26</x:v>
      </x:c>
      <x:c r="F2168" s="18" t="n">
        <x:v>23.61</x:v>
      </x:c>
      <x:c r="G2168" t="n">
        <x:v>60</x:v>
      </x:c>
      <x:c r="H2168" t="str">
        <x:v>G</x:v>
      </x:c>
      <x:c r="I2168" t="str">
        <x:v>10+ years</x:v>
      </x:c>
      <x:c r="J2168" t="str">
        <x:v>MORTGAGE</x:v>
      </x:c>
      <x:c r="K2168" t="str">
        <x:v>debt_consolidation</x:v>
      </x:c>
      <x:c r="L2168" t="n">
        <x:v>0</x:v>
      </x:c>
      <x:c r="M2168" t="n">
        <x:v>1</x:v>
      </x:c>
      <x:c r="N2168" t="str">
        <x:v>Charged Off</x:v>
      </x:c>
      <x:c r="O2168" t="str">
        <x:f>IF(D2168="","Unknown",IF(D2168&lt;25000,"&lt;$25k",IF(D2168&lt;50000,"$25k-$50k",IF(D2168&lt;75000,"$50k-$75k",IF(D2168&lt;100000,"$75k-$100k","$100k+")))))</x:f>
        <x:v>$50k-$75k</x:v>
      </x:c>
      <x:c r="P2168" t="str">
        <x:f>IF(E2168="","Unknown",IF(E2168&lt;10,"&lt;10",IF(E2168&lt;20,"10-&lt;20",IF(E2168&lt;25,"20-&lt;25",IF(E2168&lt;35,"25-&lt;35","35+")))))</x:f>
        <x:v>25-&lt;35</x:v>
      </x:c>
    </x:row>
    <x:row r="2169">
      <x:c r="A2169" t="str">
        <x:v>SYN0002168</x:v>
      </x:c>
      <x:c r="B2169" s="12" t="n">
        <x:v>42025</x:v>
      </x:c>
      <x:c r="C2169" s="18" t="n">
        <x:v>14140</x:v>
      </x:c>
      <x:c r="D2169" s="18" t="n">
        <x:v>34410</x:v>
      </x:c>
      <x:c r="E2169" s="18" t="n">
        <x:v>2.52</x:v>
      </x:c>
      <x:c r="F2169" s="18" t="n">
        <x:v>17.38</x:v>
      </x:c>
      <x:c r="G2169" t="n">
        <x:v>60</x:v>
      </x:c>
      <x:c r="H2169" t="str">
        <x:v>D</x:v>
      </x:c>
      <x:c r="I2169" t="str">
        <x:v>7-9 years</x:v>
      </x:c>
      <x:c r="J2169" t="str">
        <x:v>OWN</x:v>
      </x:c>
      <x:c r="K2169" t="str">
        <x:v>credit_card</x:v>
      </x:c>
      <x:c r="L2169" t="n">
        <x:v>0</x:v>
      </x:c>
      <x:c r="M2169" t="n">
        <x:v>0</x:v>
      </x:c>
      <x:c r="N2169" t="str">
        <x:v>Fully Paid</x:v>
      </x:c>
      <x:c r="O2169" t="str">
        <x:f>IF(D2169="","Unknown",IF(D2169&lt;25000,"&lt;$25k",IF(D2169&lt;50000,"$25k-$50k",IF(D2169&lt;75000,"$50k-$75k",IF(D2169&lt;100000,"$75k-$100k","$100k+")))))</x:f>
        <x:v>$25k-$50k</x:v>
      </x:c>
      <x:c r="P2169" t="str">
        <x:f>IF(E2169="","Unknown",IF(E2169&lt;10,"&lt;10",IF(E2169&lt;20,"10-&lt;20",IF(E2169&lt;25,"20-&lt;25",IF(E2169&lt;35,"25-&lt;35","35+")))))</x:f>
        <x:v>&lt;10</x:v>
      </x:c>
    </x:row>
    <x:row r="2170">
      <x:c r="A2170" t="str">
        <x:v>SYN0002169</x:v>
      </x:c>
      <x:c r="B2170" s="12" t="n">
        <x:v>42025</x:v>
      </x:c>
      <x:c r="C2170" s="18" t="n">
        <x:v>11279</x:v>
      </x:c>
      <x:c r="D2170" s="18" t="n">
        <x:v>26714</x:v>
      </x:c>
      <x:c r="E2170" s="18" t="n">
        <x:v>20.59</x:v>
      </x:c>
      <x:c r="F2170" s="18" t="n">
        <x:v>18.42</x:v>
      </x:c>
      <x:c r="G2170" t="n">
        <x:v>36</x:v>
      </x:c>
      <x:c r="H2170" t="str">
        <x:v>E</x:v>
      </x:c>
      <x:c r="I2170" t="str">
        <x:v>10+ years</x:v>
      </x:c>
      <x:c r="J2170" t="str">
        <x:v>RENT</x:v>
      </x:c>
      <x:c r="K2170" t="str">
        <x:v>debt_consolidation</x:v>
      </x:c>
      <x:c r="L2170" t="n">
        <x:v>1</x:v>
      </x:c>
      <x:c r="M2170" t="n">
        <x:v>1</x:v>
      </x:c>
      <x:c r="N2170" t="str">
        <x:v>Charged Off</x:v>
      </x:c>
      <x:c r="O2170" t="str">
        <x:f>IF(D2170="","Unknown",IF(D2170&lt;25000,"&lt;$25k",IF(D2170&lt;50000,"$25k-$50k",IF(D2170&lt;75000,"$50k-$75k",IF(D2170&lt;100000,"$75k-$100k","$100k+")))))</x:f>
        <x:v>$25k-$50k</x:v>
      </x:c>
      <x:c r="P2170" t="str">
        <x:f>IF(E2170="","Unknown",IF(E2170&lt;10,"&lt;10",IF(E2170&lt;20,"10-&lt;20",IF(E2170&lt;25,"20-&lt;25",IF(E2170&lt;35,"25-&lt;35","35+")))))</x:f>
        <x:v>20-&lt;25</x:v>
      </x:c>
    </x:row>
    <x:row r="2171">
      <x:c r="A2171" t="str">
        <x:v>SYN0002170</x:v>
      </x:c>
      <x:c r="B2171" s="12" t="n">
        <x:v>41455</x:v>
      </x:c>
      <x:c r="C2171" s="18" t="n">
        <x:v>16394</x:v>
      </x:c>
      <x:c r="D2171" s="18" t="n">
        <x:v>61380</x:v>
      </x:c>
      <x:c r="E2171" s="18" t="n">
        <x:v>16.41</x:v>
      </x:c>
      <x:c r="F2171" s="18" t="n">
        <x:v>27.29</x:v>
      </x:c>
      <x:c r="G2171" t="n">
        <x:v>36</x:v>
      </x:c>
      <x:c r="H2171" t="str">
        <x:v>G</x:v>
      </x:c>
      <x:c r="I2171" t="str">
        <x:v>7-9 years</x:v>
      </x:c>
      <x:c r="J2171" t="str">
        <x:v>MORTGAGE</x:v>
      </x:c>
      <x:c r="K2171" t="str">
        <x:v>debt_consolidation</x:v>
      </x:c>
      <x:c r="L2171" t="n">
        <x:v>1</x:v>
      </x:c>
      <x:c r="M2171" t="n">
        <x:v>1</x:v>
      </x:c>
      <x:c r="N2171" t="str">
        <x:v>Charged Off</x:v>
      </x:c>
      <x:c r="O2171" t="str">
        <x:f>IF(D2171="","Unknown",IF(D2171&lt;25000,"&lt;$25k",IF(D2171&lt;50000,"$25k-$50k",IF(D2171&lt;75000,"$50k-$75k",IF(D2171&lt;100000,"$75k-$100k","$100k+")))))</x:f>
        <x:v>$50k-$75k</x:v>
      </x:c>
      <x:c r="P2171" t="str">
        <x:f>IF(E2171="","Unknown",IF(E2171&lt;10,"&lt;10",IF(E2171&lt;20,"10-&lt;20",IF(E2171&lt;25,"20-&lt;25",IF(E2171&lt;35,"25-&lt;35","35+")))))</x:f>
        <x:v>10-&lt;20</x:v>
      </x:c>
    </x:row>
    <x:row r="2172">
      <x:c r="A2172" t="str">
        <x:v>SYN0002171</x:v>
      </x:c>
      <x:c r="B2172" s="12" t="n">
        <x:v>41515</x:v>
      </x:c>
      <x:c r="C2172" s="18" t="n">
        <x:v>21342</x:v>
      </x:c>
      <x:c r="D2172" s="18" t="n">
        <x:v>67221</x:v>
      </x:c>
      <x:c r="E2172" s="18" t="n">
        <x:v>12.39</x:v>
      </x:c>
      <x:c r="F2172" s="18" t="n">
        <x:v>12.21</x:v>
      </x:c>
      <x:c r="G2172" t="n">
        <x:v>36</x:v>
      </x:c>
      <x:c r="H2172" t="str">
        <x:v>C</x:v>
      </x:c>
      <x:c r="I2172" t="str">
        <x:v>4-6 years</x:v>
      </x:c>
      <x:c r="J2172" t="str">
        <x:v>MORTGAGE</x:v>
      </x:c>
      <x:c r="K2172" t="str">
        <x:v>credit_card</x:v>
      </x:c>
      <x:c r="L2172" t="n">
        <x:v>1</x:v>
      </x:c>
      <x:c r="M2172" t="n">
        <x:v>0</x:v>
      </x:c>
      <x:c r="N2172" t="str">
        <x:v>Fully Paid</x:v>
      </x:c>
      <x:c r="O2172" t="str">
        <x:f>IF(D2172="","Unknown",IF(D2172&lt;25000,"&lt;$25k",IF(D2172&lt;50000,"$25k-$50k",IF(D2172&lt;75000,"$50k-$75k",IF(D2172&lt;100000,"$75k-$100k","$100k+")))))</x:f>
        <x:v>$50k-$75k</x:v>
      </x:c>
      <x:c r="P2172" t="str">
        <x:f>IF(E2172="","Unknown",IF(E2172&lt;10,"&lt;10",IF(E2172&lt;20,"10-&lt;20",IF(E2172&lt;25,"20-&lt;25",IF(E2172&lt;35,"25-&lt;35","35+")))))</x:f>
        <x:v>10-&lt;20</x:v>
      </x:c>
    </x:row>
    <x:row r="2173">
      <x:c r="A2173" t="str">
        <x:v>SYN0002172</x:v>
      </x:c>
      <x:c r="B2173" s="12" t="n">
        <x:v>41305</x:v>
      </x:c>
      <x:c r="C2173" s="18" t="n">
        <x:v>9432</x:v>
      </x:c>
      <x:c r="D2173" s="18" t="n">
        <x:v>48483</x:v>
      </x:c>
      <x:c r="E2173" s="18" t="n">
        <x:v>35.02</x:v>
      </x:c>
      <x:c r="F2173" s="18" t="n">
        <x:v>11.51</x:v>
      </x:c>
      <x:c r="G2173" t="n">
        <x:v>36</x:v>
      </x:c>
      <x:c r="H2173" t="str">
        <x:v>D</x:v>
      </x:c>
      <x:c r="I2173" t="str">
        <x:v>4-6 years</x:v>
      </x:c>
      <x:c r="J2173" t="str">
        <x:v>MORTGAGE</x:v>
      </x:c>
      <x:c r="K2173" t="str">
        <x:v>credit_card</x:v>
      </x:c>
      <x:c r="L2173" t="n">
        <x:v>0</x:v>
      </x:c>
      <x:c r="M2173" t="n">
        <x:v>0</x:v>
      </x:c>
      <x:c r="N2173" t="str">
        <x:v>Fully Paid</x:v>
      </x:c>
      <x:c r="O2173" t="str">
        <x:f>IF(D2173="","Unknown",IF(D2173&lt;25000,"&lt;$25k",IF(D2173&lt;50000,"$25k-$50k",IF(D2173&lt;75000,"$50k-$75k",IF(D2173&lt;100000,"$75k-$100k","$100k+")))))</x:f>
        <x:v>$25k-$50k</x:v>
      </x:c>
      <x:c r="P2173" t="str">
        <x:f>IF(E2173="","Unknown",IF(E2173&lt;10,"&lt;10",IF(E2173&lt;20,"10-&lt;20",IF(E2173&lt;25,"20-&lt;25",IF(E2173&lt;35,"25-&lt;35","35+")))))</x:f>
        <x:v>35+</x:v>
      </x:c>
    </x:row>
    <x:row r="2174">
      <x:c r="A2174" t="str">
        <x:v>SYN0002173</x:v>
      </x:c>
      <x:c r="B2174" s="12" t="n">
        <x:v>41845</x:v>
      </x:c>
      <x:c r="C2174" s="18" t="n">
        <x:v>16150</x:v>
      </x:c>
      <x:c r="D2174" s="18" t="n">
        <x:v>60978</x:v>
      </x:c>
      <x:c r="E2174" s="18" t="n">
        <x:v>31.59</x:v>
      </x:c>
      <x:c r="F2174" s="18" t="n">
        <x:v>11.51</x:v>
      </x:c>
      <x:c r="G2174" t="n">
        <x:v>36</x:v>
      </x:c>
      <x:c r="H2174" t="str">
        <x:v>C</x:v>
      </x:c>
      <x:c r="I2174" t="str">
        <x:v>10+ years</x:v>
      </x:c>
      <x:c r="J2174" t="str">
        <x:v>RENT</x:v>
      </x:c>
      <x:c r="K2174" t="str">
        <x:v>home_improvement</x:v>
      </x:c>
      <x:c r="L2174" t="n">
        <x:v>0</x:v>
      </x:c>
      <x:c r="M2174" t="n">
        <x:v>1</x:v>
      </x:c>
      <x:c r="N2174" t="str">
        <x:v>Charged Off</x:v>
      </x:c>
      <x:c r="O2174" t="str">
        <x:f>IF(D2174="","Unknown",IF(D2174&lt;25000,"&lt;$25k",IF(D2174&lt;50000,"$25k-$50k",IF(D2174&lt;75000,"$50k-$75k",IF(D2174&lt;100000,"$75k-$100k","$100k+")))))</x:f>
        <x:v>$50k-$75k</x:v>
      </x:c>
      <x:c r="P2174" t="str">
        <x:f>IF(E2174="","Unknown",IF(E2174&lt;10,"&lt;10",IF(E2174&lt;20,"10-&lt;20",IF(E2174&lt;25,"20-&lt;25",IF(E2174&lt;35,"25-&lt;35","35+")))))</x:f>
        <x:v>25-&lt;35</x:v>
      </x:c>
    </x:row>
    <x:row r="2175">
      <x:c r="A2175" t="str">
        <x:v>SYN0002174</x:v>
      </x:c>
      <x:c r="B2175" s="12" t="n">
        <x:v>42115</x:v>
      </x:c>
      <x:c r="C2175" s="18" t="n">
        <x:v>31027</x:v>
      </x:c>
      <x:c r="D2175" s="18" t="n">
        <x:v>62082</x:v>
      </x:c>
      <x:c r="E2175" s="18" t="n">
        <x:v>33.59</x:v>
      </x:c>
      <x:c r="F2175" s="18" t="n">
        <x:v>15.19</x:v>
      </x:c>
      <x:c r="G2175" t="n">
        <x:v>36</x:v>
      </x:c>
      <x:c r="H2175" t="str">
        <x:v>D</x:v>
      </x:c>
      <x:c r="I2175" t="str">
        <x:v>4-6 years</x:v>
      </x:c>
      <x:c r="J2175" t="str">
        <x:v>RENT</x:v>
      </x:c>
      <x:c r="K2175" t="str">
        <x:v>credit_card</x:v>
      </x:c>
      <x:c r="L2175" t="n">
        <x:v>0</x:v>
      </x:c>
      <x:c r="M2175" t="n">
        <x:v>0</x:v>
      </x:c>
      <x:c r="N2175" t="str">
        <x:v>Fully Paid</x:v>
      </x:c>
      <x:c r="O2175" t="str">
        <x:f>IF(D2175="","Unknown",IF(D2175&lt;25000,"&lt;$25k",IF(D2175&lt;50000,"$25k-$50k",IF(D2175&lt;75000,"$50k-$75k",IF(D2175&lt;100000,"$75k-$100k","$100k+")))))</x:f>
        <x:v>$50k-$75k</x:v>
      </x:c>
      <x:c r="P2175" t="str">
        <x:f>IF(E2175="","Unknown",IF(E2175&lt;10,"&lt;10",IF(E2175&lt;20,"10-&lt;20",IF(E2175&lt;25,"20-&lt;25",IF(E2175&lt;35,"25-&lt;35","35+")))))</x:f>
        <x:v>25-&lt;35</x:v>
      </x:c>
    </x:row>
    <x:row r="2176">
      <x:c r="A2176" t="str">
        <x:v>SYN0002175</x:v>
      </x:c>
      <x:c r="B2176" s="12" t="n">
        <x:v>41635</x:v>
      </x:c>
      <x:c r="C2176" s="18" t="n">
        <x:v>24502</x:v>
      </x:c>
      <x:c r="D2176" s="18" t="n">
        <x:v>59586</x:v>
      </x:c>
      <x:c r="E2176" s="18" t="n">
        <x:v>16.01</x:v>
      </x:c>
      <x:c r="F2176" s="18" t="n">
        <x:v>9.71</x:v>
      </x:c>
      <x:c r="G2176" t="n">
        <x:v>36</x:v>
      </x:c>
      <x:c r="H2176" t="str">
        <x:v>B</x:v>
      </x:c>
      <x:c r="I2176" t="str">
        <x:v>4-6 years</x:v>
      </x:c>
      <x:c r="J2176" t="str">
        <x:v>MORTGAGE</x:v>
      </x:c>
      <x:c r="K2176" t="str">
        <x:v>debt_consolidation</x:v>
      </x:c>
      <x:c r="L2176" t="n">
        <x:v>0</x:v>
      </x:c>
      <x:c r="M2176" t="n">
        <x:v>0</x:v>
      </x:c>
      <x:c r="N2176" t="str">
        <x:v>Fully Paid</x:v>
      </x:c>
      <x:c r="O2176" t="str">
        <x:f>IF(D2176="","Unknown",IF(D2176&lt;25000,"&lt;$25k",IF(D2176&lt;50000,"$25k-$50k",IF(D2176&lt;75000,"$50k-$75k",IF(D2176&lt;100000,"$75k-$100k","$100k+")))))</x:f>
        <x:v>$50k-$75k</x:v>
      </x:c>
      <x:c r="P2176" t="str">
        <x:f>IF(E2176="","Unknown",IF(E2176&lt;10,"&lt;10",IF(E2176&lt;20,"10-&lt;20",IF(E2176&lt;25,"20-&lt;25",IF(E2176&lt;35,"25-&lt;35","35+")))))</x:f>
        <x:v>10-&lt;20</x:v>
      </x:c>
    </x:row>
    <x:row r="2177">
      <x:c r="A2177" t="str">
        <x:v>SYN0002176</x:v>
      </x:c>
      <x:c r="B2177" s="12" t="n">
        <x:v>42805</x:v>
      </x:c>
      <x:c r="C2177" s="18" t="n">
        <x:v>14653</x:v>
      </x:c>
      <x:c r="D2177" s="18" t="n">
        <x:v>30188</x:v>
      </x:c>
      <x:c r="E2177" s="18" t="n">
        <x:v>26.12</x:v>
      </x:c>
      <x:c r="F2177" s="18" t="n">
        <x:v>9.93</x:v>
      </x:c>
      <x:c r="G2177" t="n">
        <x:v>36</x:v>
      </x:c>
      <x:c r="H2177" t="str">
        <x:v>B</x:v>
      </x:c>
      <x:c r="I2177" t="str">
        <x:v>4-6 years</x:v>
      </x:c>
      <x:c r="J2177" t="str">
        <x:v>OTHER</x:v>
      </x:c>
      <x:c r="K2177" t="str">
        <x:v>debt_consolidation</x:v>
      </x:c>
      <x:c r="L2177" t="n">
        <x:v>0</x:v>
      </x:c>
      <x:c r="M2177" t="n">
        <x:v>0</x:v>
      </x:c>
      <x:c r="N2177" t="str">
        <x:v>Fully Paid</x:v>
      </x:c>
      <x:c r="O2177" t="str">
        <x:f>IF(D2177="","Unknown",IF(D2177&lt;25000,"&lt;$25k",IF(D2177&lt;50000,"$25k-$50k",IF(D2177&lt;75000,"$50k-$75k",IF(D2177&lt;100000,"$75k-$100k","$100k+")))))</x:f>
        <x:v>$25k-$50k</x:v>
      </x:c>
      <x:c r="P2177" t="str">
        <x:f>IF(E2177="","Unknown",IF(E2177&lt;10,"&lt;10",IF(E2177&lt;20,"10-&lt;20",IF(E2177&lt;25,"20-&lt;25",IF(E2177&lt;35,"25-&lt;35","35+")))))</x:f>
        <x:v>25-&lt;35</x:v>
      </x:c>
    </x:row>
    <x:row r="2178">
      <x:c r="A2178" t="str">
        <x:v>SYN0002177</x:v>
      </x:c>
      <x:c r="B2178" s="12" t="n">
        <x:v>41815</x:v>
      </x:c>
      <x:c r="C2178" s="18" t="n">
        <x:v>18772</x:v>
      </x:c>
      <x:c r="D2178" s="18" t="n">
        <x:v>76866</x:v>
      </x:c>
      <x:c r="E2178" s="18" t="n">
        <x:v>13.07</x:v>
      </x:c>
      <x:c r="F2178" s="18" t="n">
        <x:v>6.37</x:v>
      </x:c>
      <x:c r="G2178" t="n">
        <x:v>36</x:v>
      </x:c>
      <x:c r="H2178" t="str">
        <x:v>A</x:v>
      </x:c>
      <x:c r="I2178" t="str">
        <x:v>7-9 years</x:v>
      </x:c>
      <x:c r="J2178" t="str">
        <x:v>MORTGAGE</x:v>
      </x:c>
      <x:c r="K2178" t="str">
        <x:v>debt_consolidation</x:v>
      </x:c>
      <x:c r="L2178" t="n">
        <x:v>0</x:v>
      </x:c>
      <x:c r="M2178" t="n">
        <x:v>0</x:v>
      </x:c>
      <x:c r="N2178" t="str">
        <x:v>Fully Paid</x:v>
      </x:c>
      <x:c r="O2178" t="str">
        <x:f>IF(D2178="","Unknown",IF(D2178&lt;25000,"&lt;$25k",IF(D2178&lt;50000,"$25k-$50k",IF(D2178&lt;75000,"$50k-$75k",IF(D2178&lt;100000,"$75k-$100k","$100k+")))))</x:f>
        <x:v>$75k-$100k</x:v>
      </x:c>
      <x:c r="P2178" t="str">
        <x:f>IF(E2178="","Unknown",IF(E2178&lt;10,"&lt;10",IF(E2178&lt;20,"10-&lt;20",IF(E2178&lt;25,"20-&lt;25",IF(E2178&lt;35,"25-&lt;35","35+")))))</x:f>
        <x:v>10-&lt;20</x:v>
      </x:c>
    </x:row>
    <x:row r="2179">
      <x:c r="A2179" t="str">
        <x:v>SYN0002178</x:v>
      </x:c>
      <x:c r="B2179" s="12" t="n">
        <x:v>42115</x:v>
      </x:c>
      <x:c r="C2179" s="18" t="n">
        <x:v>8992</x:v>
      </x:c>
      <x:c r="D2179" s="18" t="n">
        <x:v>39045</x:v>
      </x:c>
      <x:c r="E2179" s="18" t="n">
        <x:v>17.61</x:v>
      </x:c>
      <x:c r="F2179" s="18" t="n">
        <x:v>14.56</x:v>
      </x:c>
      <x:c r="G2179" t="n">
        <x:v>36</x:v>
      </x:c>
      <x:c r="H2179" t="str">
        <x:v>D</x:v>
      </x:c>
      <x:c r="I2179" t="str">
        <x:v>7-9 years</x:v>
      </x:c>
      <x:c r="J2179" t="str">
        <x:v>OWN</x:v>
      </x:c>
      <x:c r="K2179" t="str">
        <x:v>credit_card</x:v>
      </x:c>
      <x:c r="L2179" t="n">
        <x:v>0</x:v>
      </x:c>
      <x:c r="M2179" t="n">
        <x:v>0</x:v>
      </x:c>
      <x:c r="N2179" t="str">
        <x:v>Fully Paid</x:v>
      </x:c>
      <x:c r="O2179" t="str">
        <x:f>IF(D2179="","Unknown",IF(D2179&lt;25000,"&lt;$25k",IF(D2179&lt;50000,"$25k-$50k",IF(D2179&lt;75000,"$50k-$75k",IF(D2179&lt;100000,"$75k-$100k","$100k+")))))</x:f>
        <x:v>$25k-$50k</x:v>
      </x:c>
      <x:c r="P2179" t="str">
        <x:f>IF(E2179="","Unknown",IF(E2179&lt;10,"&lt;10",IF(E2179&lt;20,"10-&lt;20",IF(E2179&lt;25,"20-&lt;25",IF(E2179&lt;35,"25-&lt;35","35+")))))</x:f>
        <x:v>10-&lt;20</x:v>
      </x:c>
    </x:row>
    <x:row r="2180">
      <x:c r="A2180" t="str">
        <x:v>SYN0002179</x:v>
      </x:c>
      <x:c r="B2180" s="12" t="n">
        <x:v>42085</x:v>
      </x:c>
      <x:c r="C2180" s="18" t="n">
        <x:v>14808</x:v>
      </x:c>
      <x:c r="D2180" s="18" t="n">
        <x:v>27339</x:v>
      </x:c>
      <x:c r="E2180" s="18" t="n">
        <x:v>16.94</x:v>
      </x:c>
      <x:c r="F2180" s="18" t="n">
        <x:v>6.22</x:v>
      </x:c>
      <x:c r="G2180" t="n">
        <x:v>60</x:v>
      </x:c>
      <x:c r="H2180" t="str">
        <x:v>A</x:v>
      </x:c>
      <x:c r="I2180" t="str">
        <x:v>10+ years</x:v>
      </x:c>
      <x:c r="J2180" t="str">
        <x:v>MORTGAGE</x:v>
      </x:c>
      <x:c r="K2180" t="str">
        <x:v>debt_consolidation</x:v>
      </x:c>
      <x:c r="L2180" t="n">
        <x:v>0</x:v>
      </x:c>
      <x:c r="M2180" t="n">
        <x:v>0</x:v>
      </x:c>
      <x:c r="N2180" t="str">
        <x:v>Fully Paid</x:v>
      </x:c>
      <x:c r="O2180" t="str">
        <x:f>IF(D2180="","Unknown",IF(D2180&lt;25000,"&lt;$25k",IF(D2180&lt;50000,"$25k-$50k",IF(D2180&lt;75000,"$50k-$75k",IF(D2180&lt;100000,"$75k-$100k","$100k+")))))</x:f>
        <x:v>$25k-$50k</x:v>
      </x:c>
      <x:c r="P2180" t="str">
        <x:f>IF(E2180="","Unknown",IF(E2180&lt;10,"&lt;10",IF(E2180&lt;20,"10-&lt;20",IF(E2180&lt;25,"20-&lt;25",IF(E2180&lt;35,"25-&lt;35","35+")))))</x:f>
        <x:v>10-&lt;20</x:v>
      </x:c>
    </x:row>
    <x:row r="2181">
      <x:c r="A2181" t="str">
        <x:v>SYN0002180</x:v>
      </x:c>
      <x:c r="B2181" s="12" t="n">
        <x:v>41335</x:v>
      </x:c>
      <x:c r="C2181" s="18" t="n">
        <x:v>26304</x:v>
      </x:c>
      <x:c r="D2181" s="18" t="n">
        <x:v>60785</x:v>
      </x:c>
      <x:c r="E2181" s="18" t="n">
        <x:v>20.83</x:v>
      </x:c>
      <x:c r="F2181" s="18" t="n">
        <x:v>9.83</x:v>
      </x:c>
      <x:c r="G2181" t="n">
        <x:v>36</x:v>
      </x:c>
      <x:c r="H2181" t="str">
        <x:v>B</x:v>
      </x:c>
      <x:c r="I2181" t="str">
        <x:v>7-9 years</x:v>
      </x:c>
      <x:c r="J2181" t="str">
        <x:v>RENT</x:v>
      </x:c>
      <x:c r="K2181" t="str">
        <x:v>debt_consolidation</x:v>
      </x:c>
      <x:c r="L2181" t="n">
        <x:v>1</x:v>
      </x:c>
      <x:c r="M2181" t="n">
        <x:v>0</x:v>
      </x:c>
      <x:c r="N2181" t="str">
        <x:v>Fully Paid</x:v>
      </x:c>
      <x:c r="O2181" t="str">
        <x:f>IF(D2181="","Unknown",IF(D2181&lt;25000,"&lt;$25k",IF(D2181&lt;50000,"$25k-$50k",IF(D2181&lt;75000,"$50k-$75k",IF(D2181&lt;100000,"$75k-$100k","$100k+")))))</x:f>
        <x:v>$50k-$75k</x:v>
      </x:c>
      <x:c r="P2181" t="str">
        <x:f>IF(E2181="","Unknown",IF(E2181&lt;10,"&lt;10",IF(E2181&lt;20,"10-&lt;20",IF(E2181&lt;25,"20-&lt;25",IF(E2181&lt;35,"25-&lt;35","35+")))))</x:f>
        <x:v>20-&lt;25</x:v>
      </x:c>
    </x:row>
    <x:row r="2182">
      <x:c r="A2182" t="str">
        <x:v>SYN0002181</x:v>
      </x:c>
      <x:c r="B2182" s="12" t="n">
        <x:v>41845</x:v>
      </x:c>
      <x:c r="C2182" s="18" t="n">
        <x:v>6673</x:v>
      </x:c>
      <x:c r="D2182" s="18" t="n">
        <x:v>19418</x:v>
      </x:c>
      <x:c r="E2182" s="18" t="n">
        <x:v>11.9</x:v>
      </x:c>
      <x:c r="F2182" s="18" t="n">
        <x:v>5</x:v>
      </x:c>
      <x:c r="G2182" t="n">
        <x:v>36</x:v>
      </x:c>
      <x:c r="H2182" t="str">
        <x:v>A</x:v>
      </x:c>
      <x:c r="I2182" t="str">
        <x:v>10+ years</x:v>
      </x:c>
      <x:c r="J2182" t="str">
        <x:v>OTHER</x:v>
      </x:c>
      <x:c r="K2182" t="str">
        <x:v>debt_consolidation</x:v>
      </x:c>
      <x:c r="L2182" t="n">
        <x:v>0</x:v>
      </x:c>
      <x:c r="M2182" t="n">
        <x:v>0</x:v>
      </x:c>
      <x:c r="N2182" t="str">
        <x:v>Fully Paid</x:v>
      </x:c>
      <x:c r="O2182" t="str">
        <x:f>IF(D2182="","Unknown",IF(D2182&lt;25000,"&lt;$25k",IF(D2182&lt;50000,"$25k-$50k",IF(D2182&lt;75000,"$50k-$75k",IF(D2182&lt;100000,"$75k-$100k","$100k+")))))</x:f>
        <x:v>&lt;$25k</x:v>
      </x:c>
      <x:c r="P2182" t="str">
        <x:f>IF(E2182="","Unknown",IF(E2182&lt;10,"&lt;10",IF(E2182&lt;20,"10-&lt;20",IF(E2182&lt;25,"20-&lt;25",IF(E2182&lt;35,"25-&lt;35","35+")))))</x:f>
        <x:v>10-&lt;20</x:v>
      </x:c>
    </x:row>
    <x:row r="2183">
      <x:c r="A2183" t="str">
        <x:v>SYN0002182</x:v>
      </x:c>
      <x:c r="B2183" s="12" t="n">
        <x:v>43375</x:v>
      </x:c>
      <x:c r="C2183" s="18" t="n">
        <x:v>18020</x:v>
      </x:c>
      <x:c r="D2183" s="18" t="n">
        <x:v>16175</x:v>
      </x:c>
      <x:c r="E2183" s="18" t="n">
        <x:v>27.32</x:v>
      </x:c>
      <x:c r="F2183" s="18" t="n">
        <x:v>6.44</x:v>
      </x:c>
      <x:c r="G2183" t="n">
        <x:v>36</x:v>
      </x:c>
      <x:c r="H2183" t="str">
        <x:v>A</x:v>
      </x:c>
      <x:c r="I2183" t="str">
        <x:v>7-9 years</x:v>
      </x:c>
      <x:c r="J2183" t="str">
        <x:v>MORTGAGE</x:v>
      </x:c>
      <x:c r="K2183" t="str">
        <x:v>debt_consolidation</x:v>
      </x:c>
      <x:c r="L2183" t="n">
        <x:v>1</x:v>
      </x:c>
      <x:c r="M2183" t="n">
        <x:v>0</x:v>
      </x:c>
      <x:c r="N2183" t="str">
        <x:v>Fully Paid</x:v>
      </x:c>
      <x:c r="O2183" t="str">
        <x:f>IF(D2183="","Unknown",IF(D2183&lt;25000,"&lt;$25k",IF(D2183&lt;50000,"$25k-$50k",IF(D2183&lt;75000,"$50k-$75k",IF(D2183&lt;100000,"$75k-$100k","$100k+")))))</x:f>
        <x:v>&lt;$25k</x:v>
      </x:c>
      <x:c r="P2183" t="str">
        <x:f>IF(E2183="","Unknown",IF(E2183&lt;10,"&lt;10",IF(E2183&lt;20,"10-&lt;20",IF(E2183&lt;25,"20-&lt;25",IF(E2183&lt;35,"25-&lt;35","35+")))))</x:f>
        <x:v>25-&lt;35</x:v>
      </x:c>
    </x:row>
    <x:row r="2184">
      <x:c r="A2184" t="str">
        <x:v>SYN0002183</x:v>
      </x:c>
      <x:c r="B2184" s="12" t="n">
        <x:v>42535</x:v>
      </x:c>
      <x:c r="C2184" s="18" t="n">
        <x:v>15963</x:v>
      </x:c>
      <x:c r="D2184" s="18" t="n">
        <x:v>45564</x:v>
      </x:c>
      <x:c r="E2184" s="18" t="n">
        <x:v>6.01</x:v>
      </x:c>
      <x:c r="F2184" s="18" t="n">
        <x:v>13.31</x:v>
      </x:c>
      <x:c r="G2184" t="n">
        <x:v>60</x:v>
      </x:c>
      <x:c r="H2184" t="str">
        <x:v>C</x:v>
      </x:c>
      <x:c r="I2184" t="str">
        <x:v>10+ years</x:v>
      </x:c>
      <x:c r="J2184" t="str">
        <x:v>MORTGAGE</x:v>
      </x:c>
      <x:c r="K2184" t="str">
        <x:v>debt_consolidation</x:v>
      </x:c>
      <x:c r="L2184" t="n">
        <x:v>0</x:v>
      </x:c>
      <x:c r="M2184" t="n">
        <x:v>0</x:v>
      </x:c>
      <x:c r="N2184" t="str">
        <x:v>Fully Paid</x:v>
      </x:c>
      <x:c r="O2184" t="str">
        <x:f>IF(D2184="","Unknown",IF(D2184&lt;25000,"&lt;$25k",IF(D2184&lt;50000,"$25k-$50k",IF(D2184&lt;75000,"$50k-$75k",IF(D2184&lt;100000,"$75k-$100k","$100k+")))))</x:f>
        <x:v>$25k-$50k</x:v>
      </x:c>
      <x:c r="P2184" t="str">
        <x:f>IF(E2184="","Unknown",IF(E2184&lt;10,"&lt;10",IF(E2184&lt;20,"10-&lt;20",IF(E2184&lt;25,"20-&lt;25",IF(E2184&lt;35,"25-&lt;35","35+")))))</x:f>
        <x:v>&lt;10</x:v>
      </x:c>
    </x:row>
    <x:row r="2185">
      <x:c r="A2185" t="str">
        <x:v>SYN0002184</x:v>
      </x:c>
      <x:c r="B2185" s="12" t="n">
        <x:v>43105</x:v>
      </x:c>
      <x:c r="C2185" s="18" t="n">
        <x:v>15841</x:v>
      </x:c>
      <x:c r="D2185" s="18" t="n">
        <x:v>87878</x:v>
      </x:c>
      <x:c r="E2185" s="18" t="n">
        <x:v>25.59</x:v>
      </x:c>
      <x:c r="F2185" s="18" t="n">
        <x:v>12.47</x:v>
      </x:c>
      <x:c r="G2185" t="n">
        <x:v>60</x:v>
      </x:c>
      <x:c r="H2185" t="str">
        <x:v>D</x:v>
      </x:c>
      <x:c r="I2185" t="str">
        <x:v>7-9 years</x:v>
      </x:c>
      <x:c r="J2185" t="str">
        <x:v>OWN</x:v>
      </x:c>
      <x:c r="K2185" t="str">
        <x:v>major_purchase</x:v>
      </x:c>
      <x:c r="L2185" t="n">
        <x:v>0</x:v>
      </x:c>
      <x:c r="M2185" t="n">
        <x:v>0</x:v>
      </x:c>
      <x:c r="N2185" t="str">
        <x:v>Fully Paid</x:v>
      </x:c>
      <x:c r="O2185" t="str">
        <x:f>IF(D2185="","Unknown",IF(D2185&lt;25000,"&lt;$25k",IF(D2185&lt;50000,"$25k-$50k",IF(D2185&lt;75000,"$50k-$75k",IF(D2185&lt;100000,"$75k-$100k","$100k+")))))</x:f>
        <x:v>$75k-$100k</x:v>
      </x:c>
      <x:c r="P2185" t="str">
        <x:f>IF(E2185="","Unknown",IF(E2185&lt;10,"&lt;10",IF(E2185&lt;20,"10-&lt;20",IF(E2185&lt;25,"20-&lt;25",IF(E2185&lt;35,"25-&lt;35","35+")))))</x:f>
        <x:v>25-&lt;35</x:v>
      </x:c>
    </x:row>
    <x:row r="2186">
      <x:c r="A2186" t="str">
        <x:v>SYN0002185</x:v>
      </x:c>
      <x:c r="B2186" s="12" t="n">
        <x:v>41515</x:v>
      </x:c>
      <x:c r="C2186" s="18" t="n">
        <x:v>10737</x:v>
      </x:c>
      <x:c r="D2186" s="18" t="n">
        <x:v>42533</x:v>
      </x:c>
      <x:c r="E2186" s="18" t="n">
        <x:v>20.39</x:v>
      </x:c>
      <x:c r="F2186" s="18" t="n">
        <x:v>15.3</x:v>
      </x:c>
      <x:c r="G2186" t="n">
        <x:v>60</x:v>
      </x:c>
      <x:c r="H2186" t="str">
        <x:v>D</x:v>
      </x:c>
      <x:c r="I2186" t="str">
        <x:v>4-6 years</x:v>
      </x:c>
      <x:c r="J2186" t="str">
        <x:v>RENT</x:v>
      </x:c>
      <x:c r="K2186" t="str">
        <x:v>debt_consolidation</x:v>
      </x:c>
      <x:c r="L2186" t="n">
        <x:v>2</x:v>
      </x:c>
      <x:c r="M2186" t="n">
        <x:v>0</x:v>
      </x:c>
      <x:c r="N2186" t="str">
        <x:v>Fully Paid</x:v>
      </x:c>
      <x:c r="O2186" t="str">
        <x:f>IF(D2186="","Unknown",IF(D2186&lt;25000,"&lt;$25k",IF(D2186&lt;50000,"$25k-$50k",IF(D2186&lt;75000,"$50k-$75k",IF(D2186&lt;100000,"$75k-$100k","$100k+")))))</x:f>
        <x:v>$25k-$50k</x:v>
      </x:c>
      <x:c r="P2186" t="str">
        <x:f>IF(E2186="","Unknown",IF(E2186&lt;10,"&lt;10",IF(E2186&lt;20,"10-&lt;20",IF(E2186&lt;25,"20-&lt;25",IF(E2186&lt;35,"25-&lt;35","35+")))))</x:f>
        <x:v>20-&lt;25</x:v>
      </x:c>
    </x:row>
    <x:row r="2187">
      <x:c r="A2187" t="str">
        <x:v>SYN0002186</x:v>
      </x:c>
      <x:c r="B2187" s="12" t="n">
        <x:v>41545</x:v>
      </x:c>
      <x:c r="C2187" s="18" t="n">
        <x:v>19991</x:v>
      </x:c>
      <x:c r="D2187" s="18" t="n">
        <x:v>56999</x:v>
      </x:c>
      <x:c r="E2187" s="18" t="n">
        <x:v>30.62</x:v>
      </x:c>
      <x:c r="F2187" s="18" t="n">
        <x:v>16.9</x:v>
      </x:c>
      <x:c r="G2187" t="n">
        <x:v>36</x:v>
      </x:c>
      <x:c r="H2187" t="str">
        <x:v>D</x:v>
      </x:c>
      <x:c r="I2187" t="str">
        <x:v>4-6 years</x:v>
      </x:c>
      <x:c r="J2187" t="str">
        <x:v>MORTGAGE</x:v>
      </x:c>
      <x:c r="K2187" t="str">
        <x:v>medical</x:v>
      </x:c>
      <x:c r="L2187" t="n">
        <x:v>0</x:v>
      </x:c>
      <x:c r="M2187" t="n">
        <x:v>0</x:v>
      </x:c>
      <x:c r="N2187" t="str">
        <x:v>Fully Paid</x:v>
      </x:c>
      <x:c r="O2187" t="str">
        <x:f>IF(D2187="","Unknown",IF(D2187&lt;25000,"&lt;$25k",IF(D2187&lt;50000,"$25k-$50k",IF(D2187&lt;75000,"$50k-$75k",IF(D2187&lt;100000,"$75k-$100k","$100k+")))))</x:f>
        <x:v>$50k-$75k</x:v>
      </x:c>
      <x:c r="P2187" t="str">
        <x:f>IF(E2187="","Unknown",IF(E2187&lt;10,"&lt;10",IF(E2187&lt;20,"10-&lt;20",IF(E2187&lt;25,"20-&lt;25",IF(E2187&lt;35,"25-&lt;35","35+")))))</x:f>
        <x:v>25-&lt;35</x:v>
      </x:c>
    </x:row>
    <x:row r="2188">
      <x:c r="A2188" t="str">
        <x:v>SYN0002187</x:v>
      </x:c>
      <x:c r="B2188" s="12" t="n">
        <x:v>42415</x:v>
      </x:c>
      <x:c r="C2188" s="18" t="n">
        <x:v>7917</x:v>
      </x:c>
      <x:c r="D2188" s="18" t="n">
        <x:v>250000</x:v>
      </x:c>
      <x:c r="E2188" s="18" t="n">
        <x:v>0.93</x:v>
      </x:c>
      <x:c r="F2188" s="18" t="n">
        <x:v>12.42</x:v>
      </x:c>
      <x:c r="G2188" t="n">
        <x:v>36</x:v>
      </x:c>
      <x:c r="H2188" t="str">
        <x:v>C</x:v>
      </x:c>
      <x:c r="I2188" t="str">
        <x:v>4-6 years</x:v>
      </x:c>
      <x:c r="J2188" t="str">
        <x:v>RENT</x:v>
      </x:c>
      <x:c r="K2188" t="str">
        <x:v>debt_consolidation</x:v>
      </x:c>
      <x:c r="L2188" t="n">
        <x:v>0</x:v>
      </x:c>
      <x:c r="M2188" t="n">
        <x:v>0</x:v>
      </x:c>
      <x:c r="N2188" t="str">
        <x:v>Fully Paid</x:v>
      </x:c>
      <x:c r="O2188" t="str">
        <x:f>IF(D2188="","Unknown",IF(D2188&lt;25000,"&lt;$25k",IF(D2188&lt;50000,"$25k-$50k",IF(D2188&lt;75000,"$50k-$75k",IF(D2188&lt;100000,"$75k-$100k","$100k+")))))</x:f>
        <x:v>$100k+</x:v>
      </x:c>
      <x:c r="P2188" t="str">
        <x:f>IF(E2188="","Unknown",IF(E2188&lt;10,"&lt;10",IF(E2188&lt;20,"10-&lt;20",IF(E2188&lt;25,"20-&lt;25",IF(E2188&lt;35,"25-&lt;35","35+")))))</x:f>
        <x:v>&lt;10</x:v>
      </x:c>
    </x:row>
    <x:row r="2189">
      <x:c r="A2189" t="str">
        <x:v>SYN0002188</x:v>
      </x:c>
      <x:c r="B2189" s="12" t="n">
        <x:v>43255</x:v>
      </x:c>
      <x:c r="C2189" s="18" t="n">
        <x:v>5883</x:v>
      </x:c>
      <x:c r="D2189" s="18" t="n">
        <x:v>34592</x:v>
      </x:c>
      <x:c r="E2189" s="18" t="n">
        <x:v>29.24</x:v>
      </x:c>
      <x:c r="F2189" s="18" t="n">
        <x:v>13.58</x:v>
      </x:c>
      <x:c r="G2189" t="n">
        <x:v>36</x:v>
      </x:c>
      <x:c r="H2189" t="str">
        <x:v>C</x:v>
      </x:c>
      <x:c r="I2189" t="str">
        <x:v>10+ years</x:v>
      </x:c>
      <x:c r="J2189" t="str">
        <x:v>MORTGAGE</x:v>
      </x:c>
      <x:c r="K2189" t="str">
        <x:v>credit_card</x:v>
      </x:c>
      <x:c r="L2189" t="n">
        <x:v>0</x:v>
      </x:c>
      <x:c r="M2189" t="n">
        <x:v>0</x:v>
      </x:c>
      <x:c r="N2189" t="str">
        <x:v>Fully Paid</x:v>
      </x:c>
      <x:c r="O2189" t="str">
        <x:f>IF(D2189="","Unknown",IF(D2189&lt;25000,"&lt;$25k",IF(D2189&lt;50000,"$25k-$50k",IF(D2189&lt;75000,"$50k-$75k",IF(D2189&lt;100000,"$75k-$100k","$100k+")))))</x:f>
        <x:v>$25k-$50k</x:v>
      </x:c>
      <x:c r="P2189" t="str">
        <x:f>IF(E2189="","Unknown",IF(E2189&lt;10,"&lt;10",IF(E2189&lt;20,"10-&lt;20",IF(E2189&lt;25,"20-&lt;25",IF(E2189&lt;35,"25-&lt;35","35+")))))</x:f>
        <x:v>25-&lt;35</x:v>
      </x:c>
    </x:row>
    <x:row r="2190">
      <x:c r="A2190" t="str">
        <x:v>SYN0002189</x:v>
      </x:c>
      <x:c r="B2190" s="12" t="n">
        <x:v>41425</x:v>
      </x:c>
      <x:c r="C2190" s="18" t="n">
        <x:v>19367</x:v>
      </x:c>
      <x:c r="D2190" s="18" t="n">
        <x:v>63325</x:v>
      </x:c>
      <x:c r="E2190" s="18" t="n">
        <x:v>32.03</x:v>
      </x:c>
      <x:c r="F2190" s="18" t="n">
        <x:v>20.37</x:v>
      </x:c>
      <x:c r="G2190" t="n">
        <x:v>36</x:v>
      </x:c>
      <x:c r="H2190" t="str">
        <x:v>E</x:v>
      </x:c>
      <x:c r="I2190" t="str">
        <x:v>4-6 years</x:v>
      </x:c>
      <x:c r="J2190" t="str">
        <x:v>RENT</x:v>
      </x:c>
      <x:c r="K2190" t="str">
        <x:v>debt_consolidation</x:v>
      </x:c>
      <x:c r="L2190" t="n">
        <x:v>0</x:v>
      </x:c>
      <x:c r="M2190" t="n">
        <x:v>0</x:v>
      </x:c>
      <x:c r="N2190" t="str">
        <x:v>Fully Paid</x:v>
      </x:c>
      <x:c r="O2190" t="str">
        <x:f>IF(D2190="","Unknown",IF(D2190&lt;25000,"&lt;$25k",IF(D2190&lt;50000,"$25k-$50k",IF(D2190&lt;75000,"$50k-$75k",IF(D2190&lt;100000,"$75k-$100k","$100k+")))))</x:f>
        <x:v>$50k-$75k</x:v>
      </x:c>
      <x:c r="P2190" t="str">
        <x:f>IF(E2190="","Unknown",IF(E2190&lt;10,"&lt;10",IF(E2190&lt;20,"10-&lt;20",IF(E2190&lt;25,"20-&lt;25",IF(E2190&lt;35,"25-&lt;35","35+")))))</x:f>
        <x:v>25-&lt;35</x:v>
      </x:c>
    </x:row>
    <x:row r="2191">
      <x:c r="A2191" t="str">
        <x:v>SYN0002190</x:v>
      </x:c>
      <x:c r="B2191" s="12" t="n">
        <x:v>42445</x:v>
      </x:c>
      <x:c r="C2191" s="18" t="n">
        <x:v>12156</x:v>
      </x:c>
      <x:c r="D2191" s="18" t="n">
        <x:v>23325</x:v>
      </x:c>
      <x:c r="E2191" s="18" t="n">
        <x:v>21.21</x:v>
      </x:c>
      <x:c r="F2191" s="18" t="n">
        <x:v>14.53</x:v>
      </x:c>
      <x:c r="G2191" t="n">
        <x:v>36</x:v>
      </x:c>
      <x:c r="H2191" t="str">
        <x:v>D</x:v>
      </x:c>
      <x:c r="I2191" t="str">
        <x:v>10+ years</x:v>
      </x:c>
      <x:c r="J2191" t="str">
        <x:v>RENT</x:v>
      </x:c>
      <x:c r="K2191" t="str">
        <x:v>credit_card</x:v>
      </x:c>
      <x:c r="L2191" t="n">
        <x:v>0</x:v>
      </x:c>
      <x:c r="M2191" t="n">
        <x:v>0</x:v>
      </x:c>
      <x:c r="N2191" t="str">
        <x:v>Fully Paid</x:v>
      </x:c>
      <x:c r="O2191" t="str">
        <x:f>IF(D2191="","Unknown",IF(D2191&lt;25000,"&lt;$25k",IF(D2191&lt;50000,"$25k-$50k",IF(D2191&lt;75000,"$50k-$75k",IF(D2191&lt;100000,"$75k-$100k","$100k+")))))</x:f>
        <x:v>&lt;$25k</x:v>
      </x:c>
      <x:c r="P2191" t="str">
        <x:f>IF(E2191="","Unknown",IF(E2191&lt;10,"&lt;10",IF(E2191&lt;20,"10-&lt;20",IF(E2191&lt;25,"20-&lt;25",IF(E2191&lt;35,"25-&lt;35","35+")))))</x:f>
        <x:v>20-&lt;25</x:v>
      </x:c>
    </x:row>
    <x:row r="2192">
      <x:c r="A2192" t="str">
        <x:v>SYN0002191</x:v>
      </x:c>
      <x:c r="B2192" s="12" t="n">
        <x:v>41665</x:v>
      </x:c>
      <x:c r="C2192" s="18" t="n">
        <x:v>15464</x:v>
      </x:c>
      <x:c r="D2192" s="18" t="n">
        <x:v>71014</x:v>
      </x:c>
      <x:c r="E2192" s="18" t="n">
        <x:v>17.01</x:v>
      </x:c>
      <x:c r="F2192" s="18" t="n">
        <x:v>5.19</x:v>
      </x:c>
      <x:c r="G2192" t="n">
        <x:v>36</x:v>
      </x:c>
      <x:c r="H2192" t="str">
        <x:v>A</x:v>
      </x:c>
      <x:c r="I2192" t="str">
        <x:v>&lt;1 year</x:v>
      </x:c>
      <x:c r="J2192" t="str">
        <x:v>OWN</x:v>
      </x:c>
      <x:c r="K2192" t="str">
        <x:v>major_purchase</x:v>
      </x:c>
      <x:c r="L2192" t="n">
        <x:v>1</x:v>
      </x:c>
      <x:c r="M2192" t="n">
        <x:v>0</x:v>
      </x:c>
      <x:c r="N2192" t="str">
        <x:v>Fully Paid</x:v>
      </x:c>
      <x:c r="O2192" t="str">
        <x:f>IF(D2192="","Unknown",IF(D2192&lt;25000,"&lt;$25k",IF(D2192&lt;50000,"$25k-$50k",IF(D2192&lt;75000,"$50k-$75k",IF(D2192&lt;100000,"$75k-$100k","$100k+")))))</x:f>
        <x:v>$50k-$75k</x:v>
      </x:c>
      <x:c r="P2192" t="str">
        <x:f>IF(E2192="","Unknown",IF(E2192&lt;10,"&lt;10",IF(E2192&lt;20,"10-&lt;20",IF(E2192&lt;25,"20-&lt;25",IF(E2192&lt;35,"25-&lt;35","35+")))))</x:f>
        <x:v>10-&lt;20</x:v>
      </x:c>
    </x:row>
    <x:row r="2193">
      <x:c r="A2193" t="str">
        <x:v>SYN0002192</x:v>
      </x:c>
      <x:c r="B2193" s="12" t="n">
        <x:v>41575</x:v>
      </x:c>
      <x:c r="C2193" s="18" t="n">
        <x:v>6329</x:v>
      </x:c>
      <x:c r="D2193" s="18" t="n">
        <x:v>38904</x:v>
      </x:c>
      <x:c r="E2193" s="18" t="n">
        <x:v>26.15</x:v>
      </x:c>
      <x:c r="F2193" s="18" t="n">
        <x:v>7.96</x:v>
      </x:c>
      <x:c r="G2193" t="n">
        <x:v>36</x:v>
      </x:c>
      <x:c r="H2193" t="str">
        <x:v>B</x:v>
      </x:c>
      <x:c r="I2193" t="str">
        <x:v>7-9 years</x:v>
      </x:c>
      <x:c r="J2193" t="str">
        <x:v>RENT</x:v>
      </x:c>
      <x:c r="K2193" t="str">
        <x:v>debt_consolidation</x:v>
      </x:c>
      <x:c r="L2193" t="n">
        <x:v>1</x:v>
      </x:c>
      <x:c r="M2193" t="n">
        <x:v>0</x:v>
      </x:c>
      <x:c r="N2193" t="str">
        <x:v>Fully Paid</x:v>
      </x:c>
      <x:c r="O2193" t="str">
        <x:f>IF(D2193="","Unknown",IF(D2193&lt;25000,"&lt;$25k",IF(D2193&lt;50000,"$25k-$50k",IF(D2193&lt;75000,"$50k-$75k",IF(D2193&lt;100000,"$75k-$100k","$100k+")))))</x:f>
        <x:v>$25k-$50k</x:v>
      </x:c>
      <x:c r="P2193" t="str">
        <x:f>IF(E2193="","Unknown",IF(E2193&lt;10,"&lt;10",IF(E2193&lt;20,"10-&lt;20",IF(E2193&lt;25,"20-&lt;25",IF(E2193&lt;35,"25-&lt;35","35+")))))</x:f>
        <x:v>25-&lt;35</x:v>
      </x:c>
    </x:row>
    <x:row r="2194">
      <x:c r="A2194" t="str">
        <x:v>SYN0002193</x:v>
      </x:c>
      <x:c r="B2194" s="12" t="n">
        <x:v>43015</x:v>
      </x:c>
      <x:c r="C2194" s="18" t="n">
        <x:v>24465</x:v>
      </x:c>
      <x:c r="D2194" s="18" t="n">
        <x:v>16003</x:v>
      </x:c>
      <x:c r="E2194" s="18" t="n">
        <x:v>26.32</x:v>
      </x:c>
      <x:c r="F2194" s="18" t="n">
        <x:v>9.93</x:v>
      </x:c>
      <x:c r="G2194" t="n">
        <x:v>60</x:v>
      </x:c>
      <x:c r="H2194" t="str">
        <x:v>C</x:v>
      </x:c>
      <x:c r="I2194" t="str">
        <x:v>4-6 years</x:v>
      </x:c>
      <x:c r="J2194" t="str">
        <x:v>RENT</x:v>
      </x:c>
      <x:c r="K2194" t="str">
        <x:v>debt_consolidation</x:v>
      </x:c>
      <x:c r="L2194" t="n">
        <x:v>1</x:v>
      </x:c>
      <x:c r="M2194" t="n">
        <x:v>0</x:v>
      </x:c>
      <x:c r="N2194" t="str">
        <x:v>Fully Paid</x:v>
      </x:c>
      <x:c r="O2194" t="str">
        <x:f>IF(D2194="","Unknown",IF(D2194&lt;25000,"&lt;$25k",IF(D2194&lt;50000,"$25k-$50k",IF(D2194&lt;75000,"$50k-$75k",IF(D2194&lt;100000,"$75k-$100k","$100k+")))))</x:f>
        <x:v>&lt;$25k</x:v>
      </x:c>
      <x:c r="P2194" t="str">
        <x:f>IF(E2194="","Unknown",IF(E2194&lt;10,"&lt;10",IF(E2194&lt;20,"10-&lt;20",IF(E2194&lt;25,"20-&lt;25",IF(E2194&lt;35,"25-&lt;35","35+")))))</x:f>
        <x:v>25-&lt;35</x:v>
      </x:c>
    </x:row>
    <x:row r="2195">
      <x:c r="A2195" t="str">
        <x:v>SYN0002194</x:v>
      </x:c>
      <x:c r="B2195" s="12" t="n">
        <x:v>41635</x:v>
      </x:c>
      <x:c r="C2195" s="18" t="n">
        <x:v>21229</x:v>
      </x:c>
      <x:c r="D2195" s="18" t="n">
        <x:v>70043</x:v>
      </x:c>
      <x:c r="E2195" s="18" t="n">
        <x:v>15.16</x:v>
      </x:c>
      <x:c r="F2195" s="18" t="n">
        <x:v>9.24</x:v>
      </x:c>
      <x:c r="G2195" t="n">
        <x:v>36</x:v>
      </x:c>
      <x:c r="H2195" t="str">
        <x:v>C</x:v>
      </x:c>
      <x:c r="I2195" t="str">
        <x:v>10+ years</x:v>
      </x:c>
      <x:c r="J2195" t="str">
        <x:v>MORTGAGE</x:v>
      </x:c>
      <x:c r="K2195" t="str">
        <x:v>debt_consolidation</x:v>
      </x:c>
      <x:c r="L2195" t="n">
        <x:v>1</x:v>
      </x:c>
      <x:c r="M2195" t="n">
        <x:v>0</x:v>
      </x:c>
      <x:c r="N2195" t="str">
        <x:v>Fully Paid</x:v>
      </x:c>
      <x:c r="O2195" t="str">
        <x:f>IF(D2195="","Unknown",IF(D2195&lt;25000,"&lt;$25k",IF(D2195&lt;50000,"$25k-$50k",IF(D2195&lt;75000,"$50k-$75k",IF(D2195&lt;100000,"$75k-$100k","$100k+")))))</x:f>
        <x:v>$50k-$75k</x:v>
      </x:c>
      <x:c r="P2195" t="str">
        <x:f>IF(E2195="","Unknown",IF(E2195&lt;10,"&lt;10",IF(E2195&lt;20,"10-&lt;20",IF(E2195&lt;25,"20-&lt;25",IF(E2195&lt;35,"25-&lt;35","35+")))))</x:f>
        <x:v>10-&lt;20</x:v>
      </x:c>
    </x:row>
    <x:row r="2196">
      <x:c r="A2196" t="str">
        <x:v>SYN0002195</x:v>
      </x:c>
      <x:c r="B2196" s="12" t="n">
        <x:v>42625</x:v>
      </x:c>
      <x:c r="C2196" s="18" t="n">
        <x:v>7836</x:v>
      </x:c>
      <x:c r="D2196" s="18" t="n">
        <x:v>35003</x:v>
      </x:c>
      <x:c r="E2196" s="18" t="n">
        <x:v>26.77</x:v>
      </x:c>
      <x:c r="F2196" s="18" t="n">
        <x:v>17.1</x:v>
      </x:c>
      <x:c r="G2196" t="n">
        <x:v>36</x:v>
      </x:c>
      <x:c r="H2196" t="str">
        <x:v>D</x:v>
      </x:c>
      <x:c r="I2196" t="str">
        <x:v>&lt;1 year</x:v>
      </x:c>
      <x:c r="J2196" t="str">
        <x:v>RENT</x:v>
      </x:c>
      <x:c r="K2196" t="str">
        <x:v>debt_consolidation</x:v>
      </x:c>
      <x:c r="L2196" t="n">
        <x:v>1</x:v>
      </x:c>
      <x:c r="M2196" t="n">
        <x:v>0</x:v>
      </x:c>
      <x:c r="N2196" t="str">
        <x:v>Fully Paid</x:v>
      </x:c>
      <x:c r="O2196" t="str">
        <x:f>IF(D2196="","Unknown",IF(D2196&lt;25000,"&lt;$25k",IF(D2196&lt;50000,"$25k-$50k",IF(D2196&lt;75000,"$50k-$75k",IF(D2196&lt;100000,"$75k-$100k","$100k+")))))</x:f>
        <x:v>$25k-$50k</x:v>
      </x:c>
      <x:c r="P2196" t="str">
        <x:f>IF(E2196="","Unknown",IF(E2196&lt;10,"&lt;10",IF(E2196&lt;20,"10-&lt;20",IF(E2196&lt;25,"20-&lt;25",IF(E2196&lt;35,"25-&lt;35","35+")))))</x:f>
        <x:v>25-&lt;35</x:v>
      </x:c>
    </x:row>
    <x:row r="2197">
      <x:c r="A2197" t="str">
        <x:v>SYN0002196</x:v>
      </x:c>
      <x:c r="B2197" s="12" t="n">
        <x:v>42565</x:v>
      </x:c>
      <x:c r="C2197" s="18" t="n">
        <x:v>9755</x:v>
      </x:c>
      <x:c r="D2197" s="18" t="n">
        <x:v>59777</x:v>
      </x:c>
      <x:c r="E2197" s="18" t="n">
        <x:v>0</x:v>
      </x:c>
      <x:c r="F2197" s="18" t="n">
        <x:v>10.59</x:v>
      </x:c>
      <x:c r="G2197" t="n">
        <x:v>36</x:v>
      </x:c>
      <x:c r="H2197" t="str">
        <x:v>B</x:v>
      </x:c>
      <x:c r="I2197" t="str">
        <x:v>10+ years</x:v>
      </x:c>
      <x:c r="J2197" t="str">
        <x:v>RENT</x:v>
      </x:c>
      <x:c r="K2197" t="str">
        <x:v>other</x:v>
      </x:c>
      <x:c r="L2197" t="n">
        <x:v>0</x:v>
      </x:c>
      <x:c r="M2197" t="n">
        <x:v>0</x:v>
      </x:c>
      <x:c r="N2197" t="str">
        <x:v>Fully Paid</x:v>
      </x:c>
      <x:c r="O2197" t="str">
        <x:f>IF(D2197="","Unknown",IF(D2197&lt;25000,"&lt;$25k",IF(D2197&lt;50000,"$25k-$50k",IF(D2197&lt;75000,"$50k-$75k",IF(D2197&lt;100000,"$75k-$100k","$100k+")))))</x:f>
        <x:v>$50k-$75k</x:v>
      </x:c>
      <x:c r="P2197" t="str">
        <x:f>IF(E2197="","Unknown",IF(E2197&lt;10,"&lt;10",IF(E2197&lt;20,"10-&lt;20",IF(E2197&lt;25,"20-&lt;25",IF(E2197&lt;35,"25-&lt;35","35+")))))</x:f>
        <x:v>Unknown</x:v>
      </x:c>
    </x:row>
    <x:row r="2198">
      <x:c r="A2198" t="str">
        <x:v>SYN0002197</x:v>
      </x:c>
      <x:c r="B2198" s="12" t="n">
        <x:v>41815</x:v>
      </x:c>
      <x:c r="C2198" s="18" t="n">
        <x:v>11529</x:v>
      </x:c>
      <x:c r="D2198" s="18" t="n">
        <x:v>68862</x:v>
      </x:c>
      <x:c r="E2198" s="18" t="n">
        <x:v>8.66</x:v>
      </x:c>
      <x:c r="F2198" s="18" t="n">
        <x:v>9.64</x:v>
      </x:c>
      <x:c r="G2198" t="n">
        <x:v>60</x:v>
      </x:c>
      <x:c r="H2198" t="str">
        <x:v>C</x:v>
      </x:c>
      <x:c r="I2198" t="str">
        <x:v>10+ years</x:v>
      </x:c>
      <x:c r="J2198" t="str">
        <x:v>MORTGAGE</x:v>
      </x:c>
      <x:c r="K2198" t="str">
        <x:v>credit_card</x:v>
      </x:c>
      <x:c r="L2198" t="n">
        <x:v>0</x:v>
      </x:c>
      <x:c r="M2198" t="n">
        <x:v>0</x:v>
      </x:c>
      <x:c r="N2198" t="str">
        <x:v>Fully Paid</x:v>
      </x:c>
      <x:c r="O2198" t="str">
        <x:f>IF(D2198="","Unknown",IF(D2198&lt;25000,"&lt;$25k",IF(D2198&lt;50000,"$25k-$50k",IF(D2198&lt;75000,"$50k-$75k",IF(D2198&lt;100000,"$75k-$100k","$100k+")))))</x:f>
        <x:v>$50k-$75k</x:v>
      </x:c>
      <x:c r="P2198" t="str">
        <x:f>IF(E2198="","Unknown",IF(E2198&lt;10,"&lt;10",IF(E2198&lt;20,"10-&lt;20",IF(E2198&lt;25,"20-&lt;25",IF(E2198&lt;35,"25-&lt;35","35+")))))</x:f>
        <x:v>&lt;10</x:v>
      </x:c>
    </x:row>
    <x:row r="2199">
      <x:c r="A2199" t="str">
        <x:v>SYN0002198</x:v>
      </x:c>
      <x:c r="B2199" s="12" t="n">
        <x:v>41965</x:v>
      </x:c>
      <x:c r="C2199" s="18" t="n">
        <x:v>13125</x:v>
      </x:c>
      <x:c r="D2199" s="18" t="n">
        <x:v>20673</x:v>
      </x:c>
      <x:c r="E2199" s="18" t="n">
        <x:v>20.96</x:v>
      </x:c>
      <x:c r="F2199" s="18" t="n">
        <x:v>12.3</x:v>
      </x:c>
      <x:c r="G2199" t="n">
        <x:v>60</x:v>
      </x:c>
      <x:c r="H2199" t="str">
        <x:v>C</x:v>
      </x:c>
      <x:c r="I2199" t="str">
        <x:v>1-3 years</x:v>
      </x:c>
      <x:c r="J2199" t="str">
        <x:v>MORTGAGE</x:v>
      </x:c>
      <x:c r="K2199" t="str">
        <x:v>debt_consolidation</x:v>
      </x:c>
      <x:c r="L2199" t="n">
        <x:v>0</x:v>
      </x:c>
      <x:c r="M2199" t="n">
        <x:v>0</x:v>
      </x:c>
      <x:c r="N2199" t="str">
        <x:v>Fully Paid</x:v>
      </x:c>
      <x:c r="O2199" t="str">
        <x:f>IF(D2199="","Unknown",IF(D2199&lt;25000,"&lt;$25k",IF(D2199&lt;50000,"$25k-$50k",IF(D2199&lt;75000,"$50k-$75k",IF(D2199&lt;100000,"$75k-$100k","$100k+")))))</x:f>
        <x:v>&lt;$25k</x:v>
      </x:c>
      <x:c r="P2199" t="str">
        <x:f>IF(E2199="","Unknown",IF(E2199&lt;10,"&lt;10",IF(E2199&lt;20,"10-&lt;20",IF(E2199&lt;25,"20-&lt;25",IF(E2199&lt;35,"25-&lt;35","35+")))))</x:f>
        <x:v>20-&lt;25</x:v>
      </x:c>
    </x:row>
    <x:row r="2200">
      <x:c r="A2200" t="str">
        <x:v>SYN0002199</x:v>
      </x:c>
      <x:c r="B2200" s="12" t="n">
        <x:v>42595</x:v>
      </x:c>
      <x:c r="C2200" s="18" t="n">
        <x:v>15626</x:v>
      </x:c>
      <x:c r="D2200" s="18" t="n">
        <x:v>35054</x:v>
      </x:c>
      <x:c r="E2200" s="18" t="n">
        <x:v>13.83</x:v>
      </x:c>
      <x:c r="F2200" s="18" t="n">
        <x:v>16.14</x:v>
      </x:c>
      <x:c r="G2200" t="n">
        <x:v>60</x:v>
      </x:c>
      <x:c r="H2200" t="str">
        <x:v>D</x:v>
      </x:c>
      <x:c r="I2200" t="str">
        <x:v>1-3 years</x:v>
      </x:c>
      <x:c r="J2200" t="str">
        <x:v>RENT</x:v>
      </x:c>
      <x:c r="K2200" t="str">
        <x:v>home_improvement</x:v>
      </x:c>
      <x:c r="L2200" t="n">
        <x:v>0</x:v>
      </x:c>
      <x:c r="M2200" t="n">
        <x:v>0</x:v>
      </x:c>
      <x:c r="N2200" t="str">
        <x:v>Fully Paid</x:v>
      </x:c>
      <x:c r="O2200" t="str">
        <x:f>IF(D2200="","Unknown",IF(D2200&lt;25000,"&lt;$25k",IF(D2200&lt;50000,"$25k-$50k",IF(D2200&lt;75000,"$50k-$75k",IF(D2200&lt;100000,"$75k-$100k","$100k+")))))</x:f>
        <x:v>$25k-$50k</x:v>
      </x:c>
      <x:c r="P2200" t="str">
        <x:f>IF(E2200="","Unknown",IF(E2200&lt;10,"&lt;10",IF(E2200&lt;20,"10-&lt;20",IF(E2200&lt;25,"20-&lt;25",IF(E2200&lt;35,"25-&lt;35","35+")))))</x:f>
        <x:v>10-&lt;20</x:v>
      </x:c>
    </x:row>
    <x:row r="2201">
      <x:c r="A2201" t="str">
        <x:v>SYN0002200</x:v>
      </x:c>
      <x:c r="B2201" s="12" t="n">
        <x:v>42385</x:v>
      </x:c>
      <x:c r="C2201" s="18" t="n">
        <x:v>10776</x:v>
      </x:c>
      <x:c r="D2201" s="18" t="n">
        <x:v>133099</x:v>
      </x:c>
      <x:c r="E2201" s="18" t="n">
        <x:v>30.57</x:v>
      </x:c>
      <x:c r="F2201" s="18" t="n">
        <x:v>10.85</x:v>
      </x:c>
      <x:c r="G2201" t="n">
        <x:v>60</x:v>
      </x:c>
      <x:c r="H2201" t="str">
        <x:v>C</x:v>
      </x:c>
      <x:c r="I2201" t="str">
        <x:v>&lt;1 year</x:v>
      </x:c>
      <x:c r="J2201" t="str">
        <x:v>MORTGAGE</x:v>
      </x:c>
      <x:c r="K2201" t="str">
        <x:v>debt_consolidation</x:v>
      </x:c>
      <x:c r="L2201" t="n">
        <x:v>1</x:v>
      </x:c>
      <x:c r="M2201" t="n">
        <x:v>0</x:v>
      </x:c>
      <x:c r="N2201" t="str">
        <x:v>Fully Paid</x:v>
      </x:c>
      <x:c r="O2201" t="str">
        <x:f>IF(D2201="","Unknown",IF(D2201&lt;25000,"&lt;$25k",IF(D2201&lt;50000,"$25k-$50k",IF(D2201&lt;75000,"$50k-$75k",IF(D2201&lt;100000,"$75k-$100k","$100k+")))))</x:f>
        <x:v>$100k+</x:v>
      </x:c>
      <x:c r="P2201" t="str">
        <x:f>IF(E2201="","Unknown",IF(E2201&lt;10,"&lt;10",IF(E2201&lt;20,"10-&lt;20",IF(E2201&lt;25,"20-&lt;25",IF(E2201&lt;35,"25-&lt;35","35+")))))</x:f>
        <x:v>25-&lt;35</x:v>
      </x:c>
    </x:row>
    <x:row r="2202">
      <x:c r="A2202" t="str">
        <x:v>SYN0002201</x:v>
      </x:c>
      <x:c r="B2202" s="12" t="n">
        <x:v>41455</x:v>
      </x:c>
      <x:c r="C2202" s="18" t="n">
        <x:v>9380</x:v>
      </x:c>
      <x:c r="D2202" s="18" t="n">
        <x:v>32069</x:v>
      </x:c>
      <x:c r="E2202" s="18" t="n">
        <x:v>0</x:v>
      </x:c>
      <x:c r="F2202" s="18" t="n">
        <x:v>11.23</x:v>
      </x:c>
      <x:c r="G2202" t="n">
        <x:v>36</x:v>
      </x:c>
      <x:c r="H2202" t="str">
        <x:v>C</x:v>
      </x:c>
      <x:c r="I2202" t="str">
        <x:v>4-6 years</x:v>
      </x:c>
      <x:c r="J2202" t="str">
        <x:v>RENT</x:v>
      </x:c>
      <x:c r="K2202" t="str">
        <x:v>other</x:v>
      </x:c>
      <x:c r="L2202" t="n">
        <x:v>1</x:v>
      </x:c>
      <x:c r="M2202" t="n">
        <x:v>0</x:v>
      </x:c>
      <x:c r="N2202" t="str">
        <x:v>Fully Paid</x:v>
      </x:c>
      <x:c r="O2202" t="str">
        <x:f>IF(D2202="","Unknown",IF(D2202&lt;25000,"&lt;$25k",IF(D2202&lt;50000,"$25k-$50k",IF(D2202&lt;75000,"$50k-$75k",IF(D2202&lt;100000,"$75k-$100k","$100k+")))))</x:f>
        <x:v>$25k-$50k</x:v>
      </x:c>
      <x:c r="P2202" t="str">
        <x:f>IF(E2202="","Unknown",IF(E2202&lt;10,"&lt;10",IF(E2202&lt;20,"10-&lt;20",IF(E2202&lt;25,"20-&lt;25",IF(E2202&lt;35,"25-&lt;35","35+")))))</x:f>
        <x:v>Unknown</x:v>
      </x:c>
    </x:row>
    <x:row r="2203">
      <x:c r="A2203" t="str">
        <x:v>SYN0002202</x:v>
      </x:c>
      <x:c r="B2203" s="12" t="n">
        <x:v>42775</x:v>
      </x:c>
      <x:c r="C2203" s="18" t="n">
        <x:v>7185</x:v>
      </x:c>
      <x:c r="D2203" s="18" t="n">
        <x:v>116032</x:v>
      </x:c>
      <x:c r="E2203" s="18" t="n">
        <x:v>17.38</x:v>
      </x:c>
      <x:c r="F2203" s="18" t="n">
        <x:v>5.7</x:v>
      </x:c>
      <x:c r="G2203" t="n">
        <x:v>36</x:v>
      </x:c>
      <x:c r="H2203" t="str">
        <x:v>A</x:v>
      </x:c>
      <x:c r="I2203" t="str">
        <x:v>4-6 years</x:v>
      </x:c>
      <x:c r="J2203" t="str">
        <x:v>OTHER</x:v>
      </x:c>
      <x:c r="K2203" t="str">
        <x:v>credit_card</x:v>
      </x:c>
      <x:c r="L2203" t="n">
        <x:v>0</x:v>
      </x:c>
      <x:c r="M2203" t="n">
        <x:v>0</x:v>
      </x:c>
      <x:c r="N2203" t="str">
        <x:v>Fully Paid</x:v>
      </x:c>
      <x:c r="O2203" t="str">
        <x:f>IF(D2203="","Unknown",IF(D2203&lt;25000,"&lt;$25k",IF(D2203&lt;50000,"$25k-$50k",IF(D2203&lt;75000,"$50k-$75k",IF(D2203&lt;100000,"$75k-$100k","$100k+")))))</x:f>
        <x:v>$100k+</x:v>
      </x:c>
      <x:c r="P2203" t="str">
        <x:f>IF(E2203="","Unknown",IF(E2203&lt;10,"&lt;10",IF(E2203&lt;20,"10-&lt;20",IF(E2203&lt;25,"20-&lt;25",IF(E2203&lt;35,"25-&lt;35","35+")))))</x:f>
        <x:v>10-&lt;20</x:v>
      </x:c>
    </x:row>
    <x:row r="2204">
      <x:c r="A2204" t="str">
        <x:v>SYN0002203</x:v>
      </x:c>
      <x:c r="B2204" s="12" t="n">
        <x:v>41275</x:v>
      </x:c>
      <x:c r="C2204" s="18" t="n">
        <x:v>16208</x:v>
      </x:c>
      <x:c r="D2204" s="18" t="n">
        <x:v>102574</x:v>
      </x:c>
      <x:c r="E2204" s="18" t="n">
        <x:v>22.93</x:v>
      </x:c>
      <x:c r="F2204" s="18" t="n">
        <x:v>9.74</x:v>
      </x:c>
      <x:c r="G2204" t="n">
        <x:v>60</x:v>
      </x:c>
      <x:c r="H2204" t="str">
        <x:v>C</x:v>
      </x:c>
      <x:c r="I2204" t="str">
        <x:v>4-6 years</x:v>
      </x:c>
      <x:c r="J2204" t="str">
        <x:v>OWN</x:v>
      </x:c>
      <x:c r="K2204" t="str">
        <x:v>credit_card</x:v>
      </x:c>
      <x:c r="L2204" t="n">
        <x:v>0</x:v>
      </x:c>
      <x:c r="M2204" t="n">
        <x:v>1</x:v>
      </x:c>
      <x:c r="N2204" t="str">
        <x:v>Charged Off</x:v>
      </x:c>
      <x:c r="O2204" t="str">
        <x:f>IF(D2204="","Unknown",IF(D2204&lt;25000,"&lt;$25k",IF(D2204&lt;50000,"$25k-$50k",IF(D2204&lt;75000,"$50k-$75k",IF(D2204&lt;100000,"$75k-$100k","$100k+")))))</x:f>
        <x:v>$100k+</x:v>
      </x:c>
      <x:c r="P2204" t="str">
        <x:f>IF(E2204="","Unknown",IF(E2204&lt;10,"&lt;10",IF(E2204&lt;20,"10-&lt;20",IF(E2204&lt;25,"20-&lt;25",IF(E2204&lt;35,"25-&lt;35","35+")))))</x:f>
        <x:v>20-&lt;25</x:v>
      </x:c>
    </x:row>
    <x:row r="2205">
      <x:c r="A2205" t="str">
        <x:v>SYN0002204</x:v>
      </x:c>
      <x:c r="B2205" s="12" t="n">
        <x:v>42295</x:v>
      </x:c>
      <x:c r="C2205" s="18" t="n">
        <x:v>27173</x:v>
      </x:c>
      <x:c r="D2205" s="18" t="n">
        <x:v>19692</x:v>
      </x:c>
      <x:c r="E2205" s="18" t="n">
        <x:v>33.15</x:v>
      </x:c>
      <x:c r="F2205" s="18" t="n">
        <x:v>17.16</x:v>
      </x:c>
      <x:c r="G2205" t="n">
        <x:v>36</x:v>
      </x:c>
      <x:c r="H2205" t="str">
        <x:v>D</x:v>
      </x:c>
      <x:c r="I2205" t="str">
        <x:v>4-6 years</x:v>
      </x:c>
      <x:c r="J2205" t="str">
        <x:v>RENT</x:v>
      </x:c>
      <x:c r="K2205" t="str">
        <x:v>debt_consolidation</x:v>
      </x:c>
      <x:c r="L2205" t="n">
        <x:v>1</x:v>
      </x:c>
      <x:c r="M2205" t="n">
        <x:v>1</x:v>
      </x:c>
      <x:c r="N2205" t="str">
        <x:v>Charged Off</x:v>
      </x:c>
      <x:c r="O2205" t="str">
        <x:f>IF(D2205="","Unknown",IF(D2205&lt;25000,"&lt;$25k",IF(D2205&lt;50000,"$25k-$50k",IF(D2205&lt;75000,"$50k-$75k",IF(D2205&lt;100000,"$75k-$100k","$100k+")))))</x:f>
        <x:v>&lt;$25k</x:v>
      </x:c>
      <x:c r="P2205" t="str">
        <x:f>IF(E2205="","Unknown",IF(E2205&lt;10,"&lt;10",IF(E2205&lt;20,"10-&lt;20",IF(E2205&lt;25,"20-&lt;25",IF(E2205&lt;35,"25-&lt;35","35+")))))</x:f>
        <x:v>25-&lt;35</x:v>
      </x:c>
    </x:row>
    <x:row r="2206">
      <x:c r="A2206" t="str">
        <x:v>SYN0002205</x:v>
      </x:c>
      <x:c r="B2206" s="12" t="n">
        <x:v>43165</x:v>
      </x:c>
      <x:c r="C2206" s="18" t="n">
        <x:v>7808</x:v>
      </x:c>
      <x:c r="D2206" s="18" t="n">
        <x:v>43486</x:v>
      </x:c>
      <x:c r="E2206" s="18" t="n">
        <x:v>25.43</x:v>
      </x:c>
      <x:c r="F2206" s="18" t="n">
        <x:v>15.81</x:v>
      </x:c>
      <x:c r="G2206" t="n">
        <x:v>36</x:v>
      </x:c>
      <x:c r="H2206" t="str">
        <x:v>D</x:v>
      </x:c>
      <x:c r="I2206" t="str">
        <x:v>7-9 years</x:v>
      </x:c>
      <x:c r="J2206" t="str">
        <x:v>RENT</x:v>
      </x:c>
      <x:c r="K2206" t="str">
        <x:v>debt_consolidation</x:v>
      </x:c>
      <x:c r="L2206" t="n">
        <x:v>1</x:v>
      </x:c>
      <x:c r="M2206" t="n">
        <x:v>0</x:v>
      </x:c>
      <x:c r="N2206" t="str">
        <x:v>Fully Paid</x:v>
      </x:c>
      <x:c r="O2206" t="str">
        <x:f>IF(D2206="","Unknown",IF(D2206&lt;25000,"&lt;$25k",IF(D2206&lt;50000,"$25k-$50k",IF(D2206&lt;75000,"$50k-$75k",IF(D2206&lt;100000,"$75k-$100k","$100k+")))))</x:f>
        <x:v>$25k-$50k</x:v>
      </x:c>
      <x:c r="P2206" t="str">
        <x:f>IF(E2206="","Unknown",IF(E2206&lt;10,"&lt;10",IF(E2206&lt;20,"10-&lt;20",IF(E2206&lt;25,"20-&lt;25",IF(E2206&lt;35,"25-&lt;35","35+")))))</x:f>
        <x:v>25-&lt;35</x:v>
      </x:c>
    </x:row>
    <x:row r="2207">
      <x:c r="A2207" t="str">
        <x:v>SYN0002206</x:v>
      </x:c>
      <x:c r="B2207" s="12" t="n">
        <x:v>43375</x:v>
      </x:c>
      <x:c r="C2207" s="18" t="n">
        <x:v>15045</x:v>
      </x:c>
      <x:c r="D2207" s="18" t="n">
        <x:v>171871</x:v>
      </x:c>
      <x:c r="E2207" s="18" t="n">
        <x:v>1.31</x:v>
      </x:c>
      <x:c r="F2207" s="18" t="n">
        <x:v>7.78</x:v>
      </x:c>
      <x:c r="G2207" t="n">
        <x:v>36</x:v>
      </x:c>
      <x:c r="H2207" t="str">
        <x:v>A</x:v>
      </x:c>
      <x:c r="I2207" t="str">
        <x:v>1-3 years</x:v>
      </x:c>
      <x:c r="J2207" t="str">
        <x:v>MORTGAGE</x:v>
      </x:c>
      <x:c r="K2207" t="str">
        <x:v>other</x:v>
      </x:c>
      <x:c r="L2207" t="n">
        <x:v>1</x:v>
      </x:c>
      <x:c r="M2207" t="n">
        <x:v>0</x:v>
      </x:c>
      <x:c r="N2207" t="str">
        <x:v>Fully Paid</x:v>
      </x:c>
      <x:c r="O2207" t="str">
        <x:f>IF(D2207="","Unknown",IF(D2207&lt;25000,"&lt;$25k",IF(D2207&lt;50000,"$25k-$50k",IF(D2207&lt;75000,"$50k-$75k",IF(D2207&lt;100000,"$75k-$100k","$100k+")))))</x:f>
        <x:v>$100k+</x:v>
      </x:c>
      <x:c r="P2207" t="str">
        <x:f>IF(E2207="","Unknown",IF(E2207&lt;10,"&lt;10",IF(E2207&lt;20,"10-&lt;20",IF(E2207&lt;25,"20-&lt;25",IF(E2207&lt;35,"25-&lt;35","35+")))))</x:f>
        <x:v>&lt;10</x:v>
      </x:c>
    </x:row>
    <x:row r="2208">
      <x:c r="A2208" t="str">
        <x:v>SYN0002207</x:v>
      </x:c>
      <x:c r="B2208" s="12" t="n">
        <x:v>42505</x:v>
      </x:c>
      <x:c r="C2208" s="18" t="n">
        <x:v>30649</x:v>
      </x:c>
      <x:c r="D2208" s="18" t="n">
        <x:v>57953</x:v>
      </x:c>
      <x:c r="E2208" s="18" t="n">
        <x:v>23.73</x:v>
      </x:c>
      <x:c r="F2208" s="18" t="n">
        <x:v>6.26</x:v>
      </x:c>
      <x:c r="G2208" t="n">
        <x:v>36</x:v>
      </x:c>
      <x:c r="H2208" t="str">
        <x:v>A</x:v>
      </x:c>
      <x:c r="I2208" t="str">
        <x:v>4-6 years</x:v>
      </x:c>
      <x:c r="J2208" t="str">
        <x:v>RENT</x:v>
      </x:c>
      <x:c r="K2208" t="str">
        <x:v>debt_consolidation</x:v>
      </x:c>
      <x:c r="L2208" t="n">
        <x:v>1</x:v>
      </x:c>
      <x:c r="M2208" t="n">
        <x:v>0</x:v>
      </x:c>
      <x:c r="N2208" t="str">
        <x:v>Fully Paid</x:v>
      </x:c>
      <x:c r="O2208" t="str">
        <x:f>IF(D2208="","Unknown",IF(D2208&lt;25000,"&lt;$25k",IF(D2208&lt;50000,"$25k-$50k",IF(D2208&lt;75000,"$50k-$75k",IF(D2208&lt;100000,"$75k-$100k","$100k+")))))</x:f>
        <x:v>$50k-$75k</x:v>
      </x:c>
      <x:c r="P2208" t="str">
        <x:f>IF(E2208="","Unknown",IF(E2208&lt;10,"&lt;10",IF(E2208&lt;20,"10-&lt;20",IF(E2208&lt;25,"20-&lt;25",IF(E2208&lt;35,"25-&lt;35","35+")))))</x:f>
        <x:v>20-&lt;25</x:v>
      </x:c>
    </x:row>
    <x:row r="2209">
      <x:c r="A2209" t="str">
        <x:v>SYN0002208</x:v>
      </x:c>
      <x:c r="B2209" s="12" t="n">
        <x:v>41395</x:v>
      </x:c>
      <x:c r="C2209" s="18" t="n">
        <x:v>8908</x:v>
      </x:c>
      <x:c r="D2209" s="18" t="n">
        <x:v>12056</x:v>
      </x:c>
      <x:c r="E2209" s="18" t="n">
        <x:v>31.54</x:v>
      </x:c>
      <x:c r="F2209" s="18" t="n">
        <x:v>11.3</x:v>
      </x:c>
      <x:c r="G2209" t="n">
        <x:v>36</x:v>
      </x:c>
      <x:c r="H2209" t="str">
        <x:v>C</x:v>
      </x:c>
      <x:c r="I2209" t="str">
        <x:v>4-6 years</x:v>
      </x:c>
      <x:c r="J2209" t="str">
        <x:v>MORTGAGE</x:v>
      </x:c>
      <x:c r="K2209" t="str">
        <x:v>debt_consolidation</x:v>
      </x:c>
      <x:c r="L2209" t="n">
        <x:v>1</x:v>
      </x:c>
      <x:c r="M2209" t="n">
        <x:v>0</x:v>
      </x:c>
      <x:c r="N2209" t="str">
        <x:v>Fully Paid</x:v>
      </x:c>
      <x:c r="O2209" t="str">
        <x:f>IF(D2209="","Unknown",IF(D2209&lt;25000,"&lt;$25k",IF(D2209&lt;50000,"$25k-$50k",IF(D2209&lt;75000,"$50k-$75k",IF(D2209&lt;100000,"$75k-$100k","$100k+")))))</x:f>
        <x:v>&lt;$25k</x:v>
      </x:c>
      <x:c r="P2209" t="str">
        <x:f>IF(E2209="","Unknown",IF(E2209&lt;10,"&lt;10",IF(E2209&lt;20,"10-&lt;20",IF(E2209&lt;25,"20-&lt;25",IF(E2209&lt;35,"25-&lt;35","35+")))))</x:f>
        <x:v>25-&lt;35</x:v>
      </x:c>
    </x:row>
    <x:row r="2210">
      <x:c r="A2210" t="str">
        <x:v>SYN0002209</x:v>
      </x:c>
      <x:c r="B2210" s="12" t="n">
        <x:v>41935</x:v>
      </x:c>
      <x:c r="C2210" s="18" t="n">
        <x:v>19215</x:v>
      </x:c>
      <x:c r="D2210" s="18" t="n">
        <x:v>52005</x:v>
      </x:c>
      <x:c r="E2210" s="18" t="n">
        <x:v>32.78</x:v>
      </x:c>
      <x:c r="F2210" s="18" t="n">
        <x:v>10.29</x:v>
      </x:c>
      <x:c r="G2210" t="n">
        <x:v>60</x:v>
      </x:c>
      <x:c r="H2210" t="str">
        <x:v>C</x:v>
      </x:c>
      <x:c r="I2210" t="str">
        <x:v>10+ years</x:v>
      </x:c>
      <x:c r="J2210" t="str">
        <x:v>MORTGAGE</x:v>
      </x:c>
      <x:c r="K2210" t="str">
        <x:v>credit_card</x:v>
      </x:c>
      <x:c r="L2210" t="n">
        <x:v>2</x:v>
      </x:c>
      <x:c r="M2210" t="n">
        <x:v>0</x:v>
      </x:c>
      <x:c r="N2210" t="str">
        <x:v>Fully Paid</x:v>
      </x:c>
      <x:c r="O2210" t="str">
        <x:f>IF(D2210="","Unknown",IF(D2210&lt;25000,"&lt;$25k",IF(D2210&lt;50000,"$25k-$50k",IF(D2210&lt;75000,"$50k-$75k",IF(D2210&lt;100000,"$75k-$100k","$100k+")))))</x:f>
        <x:v>$50k-$75k</x:v>
      </x:c>
      <x:c r="P2210" t="str">
        <x:f>IF(E2210="","Unknown",IF(E2210&lt;10,"&lt;10",IF(E2210&lt;20,"10-&lt;20",IF(E2210&lt;25,"20-&lt;25",IF(E2210&lt;35,"25-&lt;35","35+")))))</x:f>
        <x:v>25-&lt;35</x:v>
      </x:c>
    </x:row>
    <x:row r="2211">
      <x:c r="A2211" t="str">
        <x:v>SYN0002210</x:v>
      </x:c>
      <x:c r="B2211" s="12" t="n">
        <x:v>42235</x:v>
      </x:c>
      <x:c r="C2211" s="18" t="n">
        <x:v>13254</x:v>
      </x:c>
      <x:c r="D2211" s="18" t="n">
        <x:v>46641</x:v>
      </x:c>
      <x:c r="E2211" s="18" t="n">
        <x:v>13.43</x:v>
      </x:c>
      <x:c r="F2211" s="18" t="n">
        <x:v>10.01</x:v>
      </x:c>
      <x:c r="G2211" t="n">
        <x:v>60</x:v>
      </x:c>
      <x:c r="H2211" t="str">
        <x:v>A</x:v>
      </x:c>
      <x:c r="I2211" t="str">
        <x:v>7-9 years</x:v>
      </x:c>
      <x:c r="J2211" t="str">
        <x:v>OTHER</x:v>
      </x:c>
      <x:c r="K2211" t="str">
        <x:v>debt_consolidation</x:v>
      </x:c>
      <x:c r="L2211" t="n">
        <x:v>0</x:v>
      </x:c>
      <x:c r="M2211" t="n">
        <x:v>1</x:v>
      </x:c>
      <x:c r="N2211" t="str">
        <x:v>Charged Off</x:v>
      </x:c>
      <x:c r="O2211" t="str">
        <x:f>IF(D2211="","Unknown",IF(D2211&lt;25000,"&lt;$25k",IF(D2211&lt;50000,"$25k-$50k",IF(D2211&lt;75000,"$50k-$75k",IF(D2211&lt;100000,"$75k-$100k","$100k+")))))</x:f>
        <x:v>$25k-$50k</x:v>
      </x:c>
      <x:c r="P2211" t="str">
        <x:f>IF(E2211="","Unknown",IF(E2211&lt;10,"&lt;10",IF(E2211&lt;20,"10-&lt;20",IF(E2211&lt;25,"20-&lt;25",IF(E2211&lt;35,"25-&lt;35","35+")))))</x:f>
        <x:v>10-&lt;20</x:v>
      </x:c>
    </x:row>
    <x:row r="2212">
      <x:c r="A2212" t="str">
        <x:v>SYN0002211</x:v>
      </x:c>
      <x:c r="B2212" s="12" t="n">
        <x:v>43015</x:v>
      </x:c>
      <x:c r="C2212" s="18" t="n">
        <x:v>12202</x:v>
      </x:c>
      <x:c r="D2212" s="18" t="n">
        <x:v>98950</x:v>
      </x:c>
      <x:c r="E2212" s="18" t="n">
        <x:v>11.58</x:v>
      </x:c>
      <x:c r="F2212" s="18" t="n">
        <x:v>9.38</x:v>
      </x:c>
      <x:c r="G2212" t="n">
        <x:v>60</x:v>
      </x:c>
      <x:c r="H2212" t="str">
        <x:v>A</x:v>
      </x:c>
      <x:c r="I2212" t="str">
        <x:v>&lt;1 year</x:v>
      </x:c>
      <x:c r="J2212" t="str">
        <x:v>RENT</x:v>
      </x:c>
      <x:c r="K2212" t="str">
        <x:v>home_improvement</x:v>
      </x:c>
      <x:c r="L2212" t="n">
        <x:v>0</x:v>
      </x:c>
      <x:c r="M2212" t="n">
        <x:v>0</x:v>
      </x:c>
      <x:c r="N2212" t="str">
        <x:v>Fully Paid</x:v>
      </x:c>
      <x:c r="O2212" t="str">
        <x:f>IF(D2212="","Unknown",IF(D2212&lt;25000,"&lt;$25k",IF(D2212&lt;50000,"$25k-$50k",IF(D2212&lt;75000,"$50k-$75k",IF(D2212&lt;100000,"$75k-$100k","$100k+")))))</x:f>
        <x:v>$75k-$100k</x:v>
      </x:c>
      <x:c r="P2212" t="str">
        <x:f>IF(E2212="","Unknown",IF(E2212&lt;10,"&lt;10",IF(E2212&lt;20,"10-&lt;20",IF(E2212&lt;25,"20-&lt;25",IF(E2212&lt;35,"25-&lt;35","35+")))))</x:f>
        <x:v>10-&lt;20</x:v>
      </x:c>
    </x:row>
    <x:row r="2213">
      <x:c r="A2213" t="str">
        <x:v>SYN0002212</x:v>
      </x:c>
      <x:c r="B2213" s="12" t="n">
        <x:v>43255</x:v>
      </x:c>
      <x:c r="C2213" s="18" t="n">
        <x:v>18791</x:v>
      </x:c>
      <x:c r="D2213" s="18" t="n">
        <x:v>108196</x:v>
      </x:c>
      <x:c r="E2213" s="18" t="n">
        <x:v>15.5</x:v>
      </x:c>
      <x:c r="F2213" s="18" t="n">
        <x:v>12.19</x:v>
      </x:c>
      <x:c r="G2213" t="n">
        <x:v>36</x:v>
      </x:c>
      <x:c r="H2213" t="str">
        <x:v>C</x:v>
      </x:c>
      <x:c r="I2213" t="str">
        <x:v>1-3 years</x:v>
      </x:c>
      <x:c r="J2213" t="str">
        <x:v>RENT</x:v>
      </x:c>
      <x:c r="K2213" t="str">
        <x:v>home_improvement</x:v>
      </x:c>
      <x:c r="L2213" t="n">
        <x:v>0</x:v>
      </x:c>
      <x:c r="M2213" t="n">
        <x:v>0</x:v>
      </x:c>
      <x:c r="N2213" t="str">
        <x:v>Fully Paid</x:v>
      </x:c>
      <x:c r="O2213" t="str">
        <x:f>IF(D2213="","Unknown",IF(D2213&lt;25000,"&lt;$25k",IF(D2213&lt;50000,"$25k-$50k",IF(D2213&lt;75000,"$50k-$75k",IF(D2213&lt;100000,"$75k-$100k","$100k+")))))</x:f>
        <x:v>$100k+</x:v>
      </x:c>
      <x:c r="P2213" t="str">
        <x:f>IF(E2213="","Unknown",IF(E2213&lt;10,"&lt;10",IF(E2213&lt;20,"10-&lt;20",IF(E2213&lt;25,"20-&lt;25",IF(E2213&lt;35,"25-&lt;35","35+")))))</x:f>
        <x:v>10-&lt;20</x:v>
      </x:c>
    </x:row>
    <x:row r="2214">
      <x:c r="A2214" t="str">
        <x:v>SYN0002213</x:v>
      </x:c>
      <x:c r="B2214" s="12" t="n">
        <x:v>42715</x:v>
      </x:c>
      <x:c r="C2214" s="18" t="n">
        <x:v>16574</x:v>
      </x:c>
      <x:c r="D2214" s="18" t="n">
        <x:v>38708</x:v>
      </x:c>
      <x:c r="E2214" s="18" t="n">
        <x:v>33.96</x:v>
      </x:c>
      <x:c r="F2214" s="18" t="n">
        <x:v>11.98</x:v>
      </x:c>
      <x:c r="G2214" t="n">
        <x:v>60</x:v>
      </x:c>
      <x:c r="H2214" t="str">
        <x:v>D</x:v>
      </x:c>
      <x:c r="I2214" t="str">
        <x:v>4-6 years</x:v>
      </x:c>
      <x:c r="J2214" t="str">
        <x:v>MORTGAGE</x:v>
      </x:c>
      <x:c r="K2214" t="str">
        <x:v>debt_consolidation</x:v>
      </x:c>
      <x:c r="L2214" t="n">
        <x:v>2</x:v>
      </x:c>
      <x:c r="M2214" t="n">
        <x:v>0</x:v>
      </x:c>
      <x:c r="N2214" t="str">
        <x:v>Fully Paid</x:v>
      </x:c>
      <x:c r="O2214" t="str">
        <x:f>IF(D2214="","Unknown",IF(D2214&lt;25000,"&lt;$25k",IF(D2214&lt;50000,"$25k-$50k",IF(D2214&lt;75000,"$50k-$75k",IF(D2214&lt;100000,"$75k-$100k","$100k+")))))</x:f>
        <x:v>$25k-$50k</x:v>
      </x:c>
      <x:c r="P2214" t="str">
        <x:f>IF(E2214="","Unknown",IF(E2214&lt;10,"&lt;10",IF(E2214&lt;20,"10-&lt;20",IF(E2214&lt;25,"20-&lt;25",IF(E2214&lt;35,"25-&lt;35","35+")))))</x:f>
        <x:v>25-&lt;35</x:v>
      </x:c>
    </x:row>
    <x:row r="2215">
      <x:c r="A2215" t="str">
        <x:v>SYN0002214</x:v>
      </x:c>
      <x:c r="B2215" s="12" t="n">
        <x:v>42985</x:v>
      </x:c>
      <x:c r="C2215" s="18" t="n">
        <x:v>5244</x:v>
      </x:c>
      <x:c r="D2215" s="18" t="n">
        <x:v>31163</x:v>
      </x:c>
      <x:c r="E2215" s="18" t="n">
        <x:v>22.95</x:v>
      </x:c>
      <x:c r="F2215" s="18" t="n">
        <x:v>7.81</x:v>
      </x:c>
      <x:c r="G2215" t="n">
        <x:v>36</x:v>
      </x:c>
      <x:c r="H2215" t="str">
        <x:v>B</x:v>
      </x:c>
      <x:c r="I2215" t="str">
        <x:v>&lt;1 year</x:v>
      </x:c>
      <x:c r="J2215" t="str">
        <x:v>MORTGAGE</x:v>
      </x:c>
      <x:c r="K2215" t="str">
        <x:v>credit_card</x:v>
      </x:c>
      <x:c r="L2215" t="n">
        <x:v>1</x:v>
      </x:c>
      <x:c r="M2215" t="n">
        <x:v>0</x:v>
      </x:c>
      <x:c r="N2215" t="str">
        <x:v>Fully Paid</x:v>
      </x:c>
      <x:c r="O2215" t="str">
        <x:f>IF(D2215="","Unknown",IF(D2215&lt;25000,"&lt;$25k",IF(D2215&lt;50000,"$25k-$50k",IF(D2215&lt;75000,"$50k-$75k",IF(D2215&lt;100000,"$75k-$100k","$100k+")))))</x:f>
        <x:v>$25k-$50k</x:v>
      </x:c>
      <x:c r="P2215" t="str">
        <x:f>IF(E2215="","Unknown",IF(E2215&lt;10,"&lt;10",IF(E2215&lt;20,"10-&lt;20",IF(E2215&lt;25,"20-&lt;25",IF(E2215&lt;35,"25-&lt;35","35+")))))</x:f>
        <x:v>20-&lt;25</x:v>
      </x:c>
    </x:row>
    <x:row r="2216">
      <x:c r="A2216" t="str">
        <x:v>SYN0002215</x:v>
      </x:c>
      <x:c r="B2216" s="12" t="n">
        <x:v>41905</x:v>
      </x:c>
      <x:c r="C2216" s="18" t="n">
        <x:v>12524</x:v>
      </x:c>
      <x:c r="D2216" s="18" t="n">
        <x:v>74438</x:v>
      </x:c>
      <x:c r="E2216" s="18" t="n">
        <x:v>0</x:v>
      </x:c>
      <x:c r="F2216" s="18" t="n">
        <x:v>5.7</x:v>
      </x:c>
      <x:c r="G2216" t="n">
        <x:v>36</x:v>
      </x:c>
      <x:c r="H2216" t="str">
        <x:v>B</x:v>
      </x:c>
      <x:c r="I2216" t="str">
        <x:v>7-9 years</x:v>
      </x:c>
      <x:c r="J2216" t="str">
        <x:v>MORTGAGE</x:v>
      </x:c>
      <x:c r="K2216" t="str">
        <x:v>credit_card</x:v>
      </x:c>
      <x:c r="L2216" t="n">
        <x:v>0</x:v>
      </x:c>
      <x:c r="M2216" t="n">
        <x:v>0</x:v>
      </x:c>
      <x:c r="N2216" t="str">
        <x:v>Fully Paid</x:v>
      </x:c>
      <x:c r="O2216" t="str">
        <x:f>IF(D2216="","Unknown",IF(D2216&lt;25000,"&lt;$25k",IF(D2216&lt;50000,"$25k-$50k",IF(D2216&lt;75000,"$50k-$75k",IF(D2216&lt;100000,"$75k-$100k","$100k+")))))</x:f>
        <x:v>$50k-$75k</x:v>
      </x:c>
      <x:c r="P2216" t="str">
        <x:f>IF(E2216="","Unknown",IF(E2216&lt;10,"&lt;10",IF(E2216&lt;20,"10-&lt;20",IF(E2216&lt;25,"20-&lt;25",IF(E2216&lt;35,"25-&lt;35","35+")))))</x:f>
        <x:v>Unknown</x:v>
      </x:c>
    </x:row>
    <x:row r="2217">
      <x:c r="A2217" t="str">
        <x:v>SYN0002216</x:v>
      </x:c>
      <x:c r="B2217" s="12" t="n">
        <x:v>42085</x:v>
      </x:c>
      <x:c r="C2217" s="18" t="n">
        <x:v>10162</x:v>
      </x:c>
      <x:c r="D2217" s="18" t="n">
        <x:v>33199</x:v>
      </x:c>
      <x:c r="E2217" s="18" t="n">
        <x:v>27.27</x:v>
      </x:c>
      <x:c r="F2217" s="18" t="n">
        <x:v>25.49</x:v>
      </x:c>
      <x:c r="G2217" t="n">
        <x:v>36</x:v>
      </x:c>
      <x:c r="H2217" t="str">
        <x:v>G</x:v>
      </x:c>
      <x:c r="I2217" t="str">
        <x:v>10+ years</x:v>
      </x:c>
      <x:c r="J2217" t="str">
        <x:v>OWN</x:v>
      </x:c>
      <x:c r="K2217" t="str">
        <x:v>debt_consolidation</x:v>
      </x:c>
      <x:c r="L2217" t="n">
        <x:v>0</x:v>
      </x:c>
      <x:c r="M2217" t="n">
        <x:v>0</x:v>
      </x:c>
      <x:c r="N2217" t="str">
        <x:v>Fully Paid</x:v>
      </x:c>
      <x:c r="O2217" t="str">
        <x:f>IF(D2217="","Unknown",IF(D2217&lt;25000,"&lt;$25k",IF(D2217&lt;50000,"$25k-$50k",IF(D2217&lt;75000,"$50k-$75k",IF(D2217&lt;100000,"$75k-$100k","$100k+")))))</x:f>
        <x:v>$25k-$50k</x:v>
      </x:c>
      <x:c r="P2217" t="str">
        <x:f>IF(E2217="","Unknown",IF(E2217&lt;10,"&lt;10",IF(E2217&lt;20,"10-&lt;20",IF(E2217&lt;25,"20-&lt;25",IF(E2217&lt;35,"25-&lt;35","35+")))))</x:f>
        <x:v>25-&lt;35</x:v>
      </x:c>
    </x:row>
    <x:row r="2218">
      <x:c r="A2218" t="str">
        <x:v>SYN0002217</x:v>
      </x:c>
      <x:c r="B2218" s="12" t="n">
        <x:v>41395</x:v>
      </x:c>
      <x:c r="C2218" s="18" t="n">
        <x:v>9473</x:v>
      </x:c>
      <x:c r="D2218" s="18" t="n">
        <x:v>31978</x:v>
      </x:c>
      <x:c r="E2218" s="18" t="n">
        <x:v>18.79</x:v>
      </x:c>
      <x:c r="F2218" s="18" t="n">
        <x:v>18.36</x:v>
      </x:c>
      <x:c r="G2218" t="n">
        <x:v>60</x:v>
      </x:c>
      <x:c r="H2218" t="str">
        <x:v>E</x:v>
      </x:c>
      <x:c r="I2218" t="str">
        <x:v>4-6 years</x:v>
      </x:c>
      <x:c r="J2218" t="str">
        <x:v>MORTGAGE</x:v>
      </x:c>
      <x:c r="K2218" t="str">
        <x:v>debt_consolidation</x:v>
      </x:c>
      <x:c r="L2218" t="n">
        <x:v>0</x:v>
      </x:c>
      <x:c r="M2218" t="n">
        <x:v>0</x:v>
      </x:c>
      <x:c r="N2218" t="str">
        <x:v>Fully Paid</x:v>
      </x:c>
      <x:c r="O2218" t="str">
        <x:f>IF(D2218="","Unknown",IF(D2218&lt;25000,"&lt;$25k",IF(D2218&lt;50000,"$25k-$50k",IF(D2218&lt;75000,"$50k-$75k",IF(D2218&lt;100000,"$75k-$100k","$100k+")))))</x:f>
        <x:v>$25k-$50k</x:v>
      </x:c>
      <x:c r="P2218" t="str">
        <x:f>IF(E2218="","Unknown",IF(E2218&lt;10,"&lt;10",IF(E2218&lt;20,"10-&lt;20",IF(E2218&lt;25,"20-&lt;25",IF(E2218&lt;35,"25-&lt;35","35+")))))</x:f>
        <x:v>10-&lt;20</x:v>
      </x:c>
    </x:row>
    <x:row r="2219">
      <x:c r="A2219" t="str">
        <x:v>SYN0002218</x:v>
      </x:c>
      <x:c r="B2219" s="12" t="n">
        <x:v>42295</x:v>
      </x:c>
      <x:c r="C2219" s="18" t="n">
        <x:v>13281</x:v>
      </x:c>
      <x:c r="D2219" s="18" t="n">
        <x:v>250000</x:v>
      </x:c>
      <x:c r="E2219" s="18" t="n">
        <x:v>26.45</x:v>
      </x:c>
      <x:c r="F2219" s="18" t="n">
        <x:v>25.74</x:v>
      </x:c>
      <x:c r="G2219" t="n">
        <x:v>36</x:v>
      </x:c>
      <x:c r="H2219" t="str">
        <x:v>G</x:v>
      </x:c>
      <x:c r="I2219" t="str">
        <x:v>10+ years</x:v>
      </x:c>
      <x:c r="J2219" t="str">
        <x:v>RENT</x:v>
      </x:c>
      <x:c r="K2219" t="str">
        <x:v>debt_consolidation</x:v>
      </x:c>
      <x:c r="L2219" t="n">
        <x:v>1</x:v>
      </x:c>
      <x:c r="M2219" t="n">
        <x:v>1</x:v>
      </x:c>
      <x:c r="N2219" t="str">
        <x:v>Charged Off</x:v>
      </x:c>
      <x:c r="O2219" t="str">
        <x:f>IF(D2219="","Unknown",IF(D2219&lt;25000,"&lt;$25k",IF(D2219&lt;50000,"$25k-$50k",IF(D2219&lt;75000,"$50k-$75k",IF(D2219&lt;100000,"$75k-$100k","$100k+")))))</x:f>
        <x:v>$100k+</x:v>
      </x:c>
      <x:c r="P2219" t="str">
        <x:f>IF(E2219="","Unknown",IF(E2219&lt;10,"&lt;10",IF(E2219&lt;20,"10-&lt;20",IF(E2219&lt;25,"20-&lt;25",IF(E2219&lt;35,"25-&lt;35","35+")))))</x:f>
        <x:v>25-&lt;35</x:v>
      </x:c>
    </x:row>
    <x:row r="2220">
      <x:c r="A2220" t="str">
        <x:v>SYN0002219</x:v>
      </x:c>
      <x:c r="B2220" s="12" t="n">
        <x:v>41875</x:v>
      </x:c>
      <x:c r="C2220" s="18" t="n">
        <x:v>22806</x:v>
      </x:c>
      <x:c r="D2220" s="18" t="n">
        <x:v>66997</x:v>
      </x:c>
      <x:c r="E2220" s="18" t="n">
        <x:v>15.54</x:v>
      </x:c>
      <x:c r="F2220" s="18" t="n">
        <x:v>5</x:v>
      </x:c>
      <x:c r="G2220" t="n">
        <x:v>36</x:v>
      </x:c>
      <x:c r="H2220" t="str">
        <x:v>A</x:v>
      </x:c>
      <x:c r="I2220" t="str">
        <x:v>10+ years</x:v>
      </x:c>
      <x:c r="J2220" t="str">
        <x:v>MORTGAGE</x:v>
      </x:c>
      <x:c r="K2220" t="str">
        <x:v>debt_consolidation</x:v>
      </x:c>
      <x:c r="L2220" t="n">
        <x:v>1</x:v>
      </x:c>
      <x:c r="M2220" t="n">
        <x:v>0</x:v>
      </x:c>
      <x:c r="N2220" t="str">
        <x:v>Fully Paid</x:v>
      </x:c>
      <x:c r="O2220" t="str">
        <x:f>IF(D2220="","Unknown",IF(D2220&lt;25000,"&lt;$25k",IF(D2220&lt;50000,"$25k-$50k",IF(D2220&lt;75000,"$50k-$75k",IF(D2220&lt;100000,"$75k-$100k","$100k+")))))</x:f>
        <x:v>$50k-$75k</x:v>
      </x:c>
      <x:c r="P2220" t="str">
        <x:f>IF(E2220="","Unknown",IF(E2220&lt;10,"&lt;10",IF(E2220&lt;20,"10-&lt;20",IF(E2220&lt;25,"20-&lt;25",IF(E2220&lt;35,"25-&lt;35","35+")))))</x:f>
        <x:v>10-&lt;20</x:v>
      </x:c>
    </x:row>
    <x:row r="2221">
      <x:c r="A2221" t="str">
        <x:v>SYN0002220</x:v>
      </x:c>
      <x:c r="B2221" s="12" t="n">
        <x:v>41575</x:v>
      </x:c>
      <x:c r="C2221" s="18" t="n">
        <x:v>11863</x:v>
      </x:c>
      <x:c r="D2221" s="18" t="n">
        <x:v>133165</x:v>
      </x:c>
      <x:c r="E2221" s="18" t="n">
        <x:v>16.67</x:v>
      </x:c>
      <x:c r="F2221" s="18" t="n">
        <x:v>7.09</x:v>
      </x:c>
      <x:c r="G2221" t="n">
        <x:v>36</x:v>
      </x:c>
      <x:c r="H2221" t="str">
        <x:v>A</x:v>
      </x:c>
      <x:c r="I2221" t="str">
        <x:v>7-9 years</x:v>
      </x:c>
      <x:c r="J2221" t="str">
        <x:v>RENT</x:v>
      </x:c>
      <x:c r="K2221" t="str">
        <x:v>debt_consolidation</x:v>
      </x:c>
      <x:c r="L2221" t="n">
        <x:v>0</x:v>
      </x:c>
      <x:c r="M2221" t="n">
        <x:v>0</x:v>
      </x:c>
      <x:c r="N2221" t="str">
        <x:v>Fully Paid</x:v>
      </x:c>
      <x:c r="O2221" t="str">
        <x:f>IF(D2221="","Unknown",IF(D2221&lt;25000,"&lt;$25k",IF(D2221&lt;50000,"$25k-$50k",IF(D2221&lt;75000,"$50k-$75k",IF(D2221&lt;100000,"$75k-$100k","$100k+")))))</x:f>
        <x:v>$100k+</x:v>
      </x:c>
      <x:c r="P2221" t="str">
        <x:f>IF(E2221="","Unknown",IF(E2221&lt;10,"&lt;10",IF(E2221&lt;20,"10-&lt;20",IF(E2221&lt;25,"20-&lt;25",IF(E2221&lt;35,"25-&lt;35","35+")))))</x:f>
        <x:v>10-&lt;20</x:v>
      </x:c>
    </x:row>
    <x:row r="2222">
      <x:c r="A2222" t="str">
        <x:v>SYN0002221</x:v>
      </x:c>
      <x:c r="B2222" s="12" t="n">
        <x:v>41995</x:v>
      </x:c>
      <x:c r="C2222" s="18" t="n">
        <x:v>12127</x:v>
      </x:c>
      <x:c r="D2222" s="18" t="n">
        <x:v>39585</x:v>
      </x:c>
      <x:c r="E2222" s="18" t="n">
        <x:v>22.91</x:v>
      </x:c>
      <x:c r="F2222" s="18" t="n">
        <x:v>9.8</x:v>
      </x:c>
      <x:c r="G2222" t="n">
        <x:v>36</x:v>
      </x:c>
      <x:c r="H2222" t="str">
        <x:v>A</x:v>
      </x:c>
      <x:c r="I2222" t="str">
        <x:v>&lt;1 year</x:v>
      </x:c>
      <x:c r="J2222" t="str">
        <x:v>MORTGAGE</x:v>
      </x:c>
      <x:c r="K2222" t="str">
        <x:v>other</x:v>
      </x:c>
      <x:c r="L2222" t="n">
        <x:v>0</x:v>
      </x:c>
      <x:c r="M2222" t="n">
        <x:v>0</x:v>
      </x:c>
      <x:c r="N2222" t="str">
        <x:v>Fully Paid</x:v>
      </x:c>
      <x:c r="O2222" t="str">
        <x:f>IF(D2222="","Unknown",IF(D2222&lt;25000,"&lt;$25k",IF(D2222&lt;50000,"$25k-$50k",IF(D2222&lt;75000,"$50k-$75k",IF(D2222&lt;100000,"$75k-$100k","$100k+")))))</x:f>
        <x:v>$25k-$50k</x:v>
      </x:c>
      <x:c r="P2222" t="str">
        <x:f>IF(E2222="","Unknown",IF(E2222&lt;10,"&lt;10",IF(E2222&lt;20,"10-&lt;20",IF(E2222&lt;25,"20-&lt;25",IF(E2222&lt;35,"25-&lt;35","35+")))))</x:f>
        <x:v>20-&lt;25</x:v>
      </x:c>
    </x:row>
    <x:row r="2223">
      <x:c r="A2223" t="str">
        <x:v>SYN0002222</x:v>
      </x:c>
      <x:c r="B2223" s="12" t="n">
        <x:v>43015</x:v>
      </x:c>
      <x:c r="C2223" s="18" t="n">
        <x:v>12595</x:v>
      </x:c>
      <x:c r="D2223" s="18" t="n">
        <x:v>39759</x:v>
      </x:c>
      <x:c r="E2223" s="18" t="n">
        <x:v>27.12</x:v>
      </x:c>
      <x:c r="F2223" s="18" t="n">
        <x:v>8.54</x:v>
      </x:c>
      <x:c r="G2223" t="n">
        <x:v>60</x:v>
      </x:c>
      <x:c r="H2223" t="str">
        <x:v>B</x:v>
      </x:c>
      <x:c r="I2223" t="str">
        <x:v>7-9 years</x:v>
      </x:c>
      <x:c r="J2223" t="str">
        <x:v>RENT</x:v>
      </x:c>
      <x:c r="K2223" t="str">
        <x:v>debt_consolidation</x:v>
      </x:c>
      <x:c r="L2223" t="n">
        <x:v>0</x:v>
      </x:c>
      <x:c r="M2223" t="n">
        <x:v>0</x:v>
      </x:c>
      <x:c r="N2223" t="str">
        <x:v>Fully Paid</x:v>
      </x:c>
      <x:c r="O2223" t="str">
        <x:f>IF(D2223="","Unknown",IF(D2223&lt;25000,"&lt;$25k",IF(D2223&lt;50000,"$25k-$50k",IF(D2223&lt;75000,"$50k-$75k",IF(D2223&lt;100000,"$75k-$100k","$100k+")))))</x:f>
        <x:v>$25k-$50k</x:v>
      </x:c>
      <x:c r="P2223" t="str">
        <x:f>IF(E2223="","Unknown",IF(E2223&lt;10,"&lt;10",IF(E2223&lt;20,"10-&lt;20",IF(E2223&lt;25,"20-&lt;25",IF(E2223&lt;35,"25-&lt;35","35+")))))</x:f>
        <x:v>25-&lt;35</x:v>
      </x:c>
    </x:row>
    <x:row r="2224">
      <x:c r="A2224" t="str">
        <x:v>SYN0002223</x:v>
      </x:c>
      <x:c r="B2224" s="12" t="n">
        <x:v>43015</x:v>
      </x:c>
      <x:c r="C2224" s="18" t="n">
        <x:v>24508</x:v>
      </x:c>
      <x:c r="D2224" s="18" t="n">
        <x:v>30812</x:v>
      </x:c>
      <x:c r="E2224" s="18" t="n">
        <x:v>24.9</x:v>
      </x:c>
      <x:c r="F2224" s="18" t="n">
        <x:v>14.53</x:v>
      </x:c>
      <x:c r="G2224" t="n">
        <x:v>36</x:v>
      </x:c>
      <x:c r="H2224" t="str">
        <x:v>C</x:v>
      </x:c>
      <x:c r="I2224" t="str">
        <x:v>10+ years</x:v>
      </x:c>
      <x:c r="J2224" t="str">
        <x:v>MORTGAGE</x:v>
      </x:c>
      <x:c r="K2224" t="str">
        <x:v>debt_consolidation</x:v>
      </x:c>
      <x:c r="L2224" t="n">
        <x:v>1</x:v>
      </x:c>
      <x:c r="M2224" t="n">
        <x:v>0</x:v>
      </x:c>
      <x:c r="N2224" t="str">
        <x:v>Fully Paid</x:v>
      </x:c>
      <x:c r="O2224" t="str">
        <x:f>IF(D2224="","Unknown",IF(D2224&lt;25000,"&lt;$25k",IF(D2224&lt;50000,"$25k-$50k",IF(D2224&lt;75000,"$50k-$75k",IF(D2224&lt;100000,"$75k-$100k","$100k+")))))</x:f>
        <x:v>$25k-$50k</x:v>
      </x:c>
      <x:c r="P2224" t="str">
        <x:f>IF(E2224="","Unknown",IF(E2224&lt;10,"&lt;10",IF(E2224&lt;20,"10-&lt;20",IF(E2224&lt;25,"20-&lt;25",IF(E2224&lt;35,"25-&lt;35","35+")))))</x:f>
        <x:v>20-&lt;25</x:v>
      </x:c>
    </x:row>
    <x:row r="2225">
      <x:c r="A2225" t="str">
        <x:v>SYN0002224</x:v>
      </x:c>
      <x:c r="B2225" s="12" t="n">
        <x:v>41935</x:v>
      </x:c>
      <x:c r="C2225" s="18" t="n">
        <x:v>6229</x:v>
      </x:c>
      <x:c r="D2225" s="18" t="n">
        <x:v>54060</x:v>
      </x:c>
      <x:c r="E2225" s="18" t="n">
        <x:v>19.54</x:v>
      </x:c>
      <x:c r="F2225" s="18" t="n">
        <x:v>7.63</x:v>
      </x:c>
      <x:c r="G2225" t="n">
        <x:v>36</x:v>
      </x:c>
      <x:c r="H2225" t="str">
        <x:v>A</x:v>
      </x:c>
      <x:c r="I2225" t="str">
        <x:v>7-9 years</x:v>
      </x:c>
      <x:c r="J2225" t="str">
        <x:v>MORTGAGE</x:v>
      </x:c>
      <x:c r="K2225" t="str">
        <x:v>debt_consolidation</x:v>
      </x:c>
      <x:c r="L2225" t="n">
        <x:v>1</x:v>
      </x:c>
      <x:c r="M2225" t="n">
        <x:v>0</x:v>
      </x:c>
      <x:c r="N2225" t="str">
        <x:v>Fully Paid</x:v>
      </x:c>
      <x:c r="O2225" t="str">
        <x:f>IF(D2225="","Unknown",IF(D2225&lt;25000,"&lt;$25k",IF(D2225&lt;50000,"$25k-$50k",IF(D2225&lt;75000,"$50k-$75k",IF(D2225&lt;100000,"$75k-$100k","$100k+")))))</x:f>
        <x:v>$50k-$75k</x:v>
      </x:c>
      <x:c r="P2225" t="str">
        <x:f>IF(E2225="","Unknown",IF(E2225&lt;10,"&lt;10",IF(E2225&lt;20,"10-&lt;20",IF(E2225&lt;25,"20-&lt;25",IF(E2225&lt;35,"25-&lt;35","35+")))))</x:f>
        <x:v>10-&lt;20</x:v>
      </x:c>
    </x:row>
    <x:row r="2226">
      <x:c r="A2226" t="str">
        <x:v>SYN0002225</x:v>
      </x:c>
      <x:c r="B2226" s="12" t="n">
        <x:v>41785</x:v>
      </x:c>
      <x:c r="C2226" s="18" t="n">
        <x:v>4146</x:v>
      </x:c>
      <x:c r="D2226" s="18" t="n">
        <x:v>47751</x:v>
      </x:c>
      <x:c r="E2226" s="18" t="n">
        <x:v>20.92</x:v>
      </x:c>
      <x:c r="F2226" s="18" t="n">
        <x:v>14.02</x:v>
      </x:c>
      <x:c r="G2226" t="n">
        <x:v>36</x:v>
      </x:c>
      <x:c r="H2226" t="str">
        <x:v>D</x:v>
      </x:c>
      <x:c r="I2226" t="str">
        <x:v>10+ years</x:v>
      </x:c>
      <x:c r="J2226" t="str">
        <x:v>MORTGAGE</x:v>
      </x:c>
      <x:c r="K2226" t="str">
        <x:v>other</x:v>
      </x:c>
      <x:c r="L2226" t="n">
        <x:v>0</x:v>
      </x:c>
      <x:c r="M2226" t="n">
        <x:v>0</x:v>
      </x:c>
      <x:c r="N2226" t="str">
        <x:v>Fully Paid</x:v>
      </x:c>
      <x:c r="O2226" t="str">
        <x:f>IF(D2226="","Unknown",IF(D2226&lt;25000,"&lt;$25k",IF(D2226&lt;50000,"$25k-$50k",IF(D2226&lt;75000,"$50k-$75k",IF(D2226&lt;100000,"$75k-$100k","$100k+")))))</x:f>
        <x:v>$25k-$50k</x:v>
      </x:c>
      <x:c r="P2226" t="str">
        <x:f>IF(E2226="","Unknown",IF(E2226&lt;10,"&lt;10",IF(E2226&lt;20,"10-&lt;20",IF(E2226&lt;25,"20-&lt;25",IF(E2226&lt;35,"25-&lt;35","35+")))))</x:f>
        <x:v>20-&lt;25</x:v>
      </x:c>
    </x:row>
    <x:row r="2227">
      <x:c r="A2227" t="str">
        <x:v>SYN0002226</x:v>
      </x:c>
      <x:c r="B2227" s="12" t="n">
        <x:v>41875</x:v>
      </x:c>
      <x:c r="C2227" s="18" t="n">
        <x:v>8333</x:v>
      </x:c>
      <x:c r="D2227" s="18" t="n">
        <x:v>46475</x:v>
      </x:c>
      <x:c r="E2227" s="18" t="n">
        <x:v>24.29</x:v>
      </x:c>
      <x:c r="F2227" s="18" t="n">
        <x:v>17.71</x:v>
      </x:c>
      <x:c r="G2227" t="n">
        <x:v>36</x:v>
      </x:c>
      <x:c r="H2227" t="str">
        <x:v>E</x:v>
      </x:c>
      <x:c r="I2227" t="str">
        <x:v>4-6 years</x:v>
      </x:c>
      <x:c r="J2227" t="str">
        <x:v>OWN</x:v>
      </x:c>
      <x:c r="K2227" t="str">
        <x:v>other</x:v>
      </x:c>
      <x:c r="L2227" t="n">
        <x:v>0</x:v>
      </x:c>
      <x:c r="M2227" t="n">
        <x:v>0</x:v>
      </x:c>
      <x:c r="N2227" t="str">
        <x:v>Fully Paid</x:v>
      </x:c>
      <x:c r="O2227" t="str">
        <x:f>IF(D2227="","Unknown",IF(D2227&lt;25000,"&lt;$25k",IF(D2227&lt;50000,"$25k-$50k",IF(D2227&lt;75000,"$50k-$75k",IF(D2227&lt;100000,"$75k-$100k","$100k+")))))</x:f>
        <x:v>$25k-$50k</x:v>
      </x:c>
      <x:c r="P2227" t="str">
        <x:f>IF(E2227="","Unknown",IF(E2227&lt;10,"&lt;10",IF(E2227&lt;20,"10-&lt;20",IF(E2227&lt;25,"20-&lt;25",IF(E2227&lt;35,"25-&lt;35","35+")))))</x:f>
        <x:v>20-&lt;25</x:v>
      </x:c>
    </x:row>
    <x:row r="2228">
      <x:c r="A2228" t="str">
        <x:v>SYN0002227</x:v>
      </x:c>
      <x:c r="B2228" s="12" t="n">
        <x:v>41965</x:v>
      </x:c>
      <x:c r="C2228" s="18" t="n">
        <x:v>6067</x:v>
      </x:c>
      <x:c r="D2228" s="18" t="n">
        <x:v>32788</x:v>
      </x:c>
      <x:c r="E2228" s="18" t="n">
        <x:v>22.23</x:v>
      </x:c>
      <x:c r="F2228" s="18" t="n">
        <x:v>10.57</x:v>
      </x:c>
      <x:c r="G2228" t="n">
        <x:v>60</x:v>
      </x:c>
      <x:c r="H2228" t="str">
        <x:v>B</x:v>
      </x:c>
      <x:c r="I2228" t="str">
        <x:v>7-9 years</x:v>
      </x:c>
      <x:c r="J2228" t="str">
        <x:v>RENT</x:v>
      </x:c>
      <x:c r="K2228" t="str">
        <x:v>debt_consolidation</x:v>
      </x:c>
      <x:c r="L2228" t="n">
        <x:v>1</x:v>
      </x:c>
      <x:c r="M2228" t="n">
        <x:v>0</x:v>
      </x:c>
      <x:c r="N2228" t="str">
        <x:v>Fully Paid</x:v>
      </x:c>
      <x:c r="O2228" t="str">
        <x:f>IF(D2228="","Unknown",IF(D2228&lt;25000,"&lt;$25k",IF(D2228&lt;50000,"$25k-$50k",IF(D2228&lt;75000,"$50k-$75k",IF(D2228&lt;100000,"$75k-$100k","$100k+")))))</x:f>
        <x:v>$25k-$50k</x:v>
      </x:c>
      <x:c r="P2228" t="str">
        <x:f>IF(E2228="","Unknown",IF(E2228&lt;10,"&lt;10",IF(E2228&lt;20,"10-&lt;20",IF(E2228&lt;25,"20-&lt;25",IF(E2228&lt;35,"25-&lt;35","35+")))))</x:f>
        <x:v>20-&lt;25</x:v>
      </x:c>
    </x:row>
    <x:row r="2229">
      <x:c r="A2229" t="str">
        <x:v>SYN0002228</x:v>
      </x:c>
      <x:c r="B2229" s="12" t="n">
        <x:v>43375</x:v>
      </x:c>
      <x:c r="C2229" s="18" t="n">
        <x:v>12941</x:v>
      </x:c>
      <x:c r="D2229" s="18" t="n">
        <x:v>41224</x:v>
      </x:c>
      <x:c r="E2229" s="18" t="n">
        <x:v>11.24</x:v>
      </x:c>
      <x:c r="F2229" s="18" t="n">
        <x:v>8.52</x:v>
      </x:c>
      <x:c r="G2229" t="n">
        <x:v>60</x:v>
      </x:c>
      <x:c r="H2229" t="str">
        <x:v>C</x:v>
      </x:c>
      <x:c r="I2229" t="str">
        <x:v>10+ years</x:v>
      </x:c>
      <x:c r="J2229" t="str">
        <x:v>OWN</x:v>
      </x:c>
      <x:c r="K2229" t="str">
        <x:v>medical</x:v>
      </x:c>
      <x:c r="L2229" t="n">
        <x:v>3</x:v>
      </x:c>
      <x:c r="M2229" t="n">
        <x:v>0</x:v>
      </x:c>
      <x:c r="N2229" t="str">
        <x:v>Fully Paid</x:v>
      </x:c>
      <x:c r="O2229" t="str">
        <x:f>IF(D2229="","Unknown",IF(D2229&lt;25000,"&lt;$25k",IF(D2229&lt;50000,"$25k-$50k",IF(D2229&lt;75000,"$50k-$75k",IF(D2229&lt;100000,"$75k-$100k","$100k+")))))</x:f>
        <x:v>$25k-$50k</x:v>
      </x:c>
      <x:c r="P2229" t="str">
        <x:f>IF(E2229="","Unknown",IF(E2229&lt;10,"&lt;10",IF(E2229&lt;20,"10-&lt;20",IF(E2229&lt;25,"20-&lt;25",IF(E2229&lt;35,"25-&lt;35","35+")))))</x:f>
        <x:v>10-&lt;20</x:v>
      </x:c>
    </x:row>
    <x:row r="2230">
      <x:c r="A2230" t="str">
        <x:v>SYN0002229</x:v>
      </x:c>
      <x:c r="B2230" s="12" t="n">
        <x:v>42115</x:v>
      </x:c>
      <x:c r="C2230" s="18" t="n">
        <x:v>11835</x:v>
      </x:c>
      <x:c r="D2230" s="18" t="n">
        <x:v>24897</x:v>
      </x:c>
      <x:c r="E2230" s="18" t="n">
        <x:v>17.65</x:v>
      </x:c>
      <x:c r="F2230" s="18" t="n">
        <x:v>18.32</x:v>
      </x:c>
      <x:c r="G2230" t="n">
        <x:v>36</x:v>
      </x:c>
      <x:c r="H2230" t="str">
        <x:v>E</x:v>
      </x:c>
      <x:c r="I2230" t="str">
        <x:v>1-3 years</x:v>
      </x:c>
      <x:c r="J2230" t="str">
        <x:v>OWN</x:v>
      </x:c>
      <x:c r="K2230" t="str">
        <x:v>debt_consolidation</x:v>
      </x:c>
      <x:c r="L2230" t="n">
        <x:v>1</x:v>
      </x:c>
      <x:c r="M2230" t="n">
        <x:v>0</x:v>
      </x:c>
      <x:c r="N2230" t="str">
        <x:v>Fully Paid</x:v>
      </x:c>
      <x:c r="O2230" t="str">
        <x:f>IF(D2230="","Unknown",IF(D2230&lt;25000,"&lt;$25k",IF(D2230&lt;50000,"$25k-$50k",IF(D2230&lt;75000,"$50k-$75k",IF(D2230&lt;100000,"$75k-$100k","$100k+")))))</x:f>
        <x:v>&lt;$25k</x:v>
      </x:c>
      <x:c r="P2230" t="str">
        <x:f>IF(E2230="","Unknown",IF(E2230&lt;10,"&lt;10",IF(E2230&lt;20,"10-&lt;20",IF(E2230&lt;25,"20-&lt;25",IF(E2230&lt;35,"25-&lt;35","35+")))))</x:f>
        <x:v>10-&lt;20</x:v>
      </x:c>
    </x:row>
    <x:row r="2231">
      <x:c r="A2231" t="str">
        <x:v>SYN0002230</x:v>
      </x:c>
      <x:c r="B2231" s="12" t="n">
        <x:v>41545</x:v>
      </x:c>
      <x:c r="C2231" s="18" t="n">
        <x:v>17615</x:v>
      </x:c>
      <x:c r="D2231" s="18" t="n">
        <x:v>44995</x:v>
      </x:c>
      <x:c r="E2231" s="18" t="n">
        <x:v>26.65</x:v>
      </x:c>
      <x:c r="F2231" s="18" t="n">
        <x:v>12.05</x:v>
      </x:c>
      <x:c r="G2231" t="n">
        <x:v>36</x:v>
      </x:c>
      <x:c r="H2231" t="str">
        <x:v>D</x:v>
      </x:c>
      <x:c r="I2231" t="str">
        <x:v>1-3 years</x:v>
      </x:c>
      <x:c r="J2231" t="str">
        <x:v>RENT</x:v>
      </x:c>
      <x:c r="K2231" t="str">
        <x:v>debt_consolidation</x:v>
      </x:c>
      <x:c r="L2231" t="n">
        <x:v>0</x:v>
      </x:c>
      <x:c r="M2231" t="n">
        <x:v>0</x:v>
      </x:c>
      <x:c r="N2231" t="str">
        <x:v>Fully Paid</x:v>
      </x:c>
      <x:c r="O2231" t="str">
        <x:f>IF(D2231="","Unknown",IF(D2231&lt;25000,"&lt;$25k",IF(D2231&lt;50000,"$25k-$50k",IF(D2231&lt;75000,"$50k-$75k",IF(D2231&lt;100000,"$75k-$100k","$100k+")))))</x:f>
        <x:v>$25k-$50k</x:v>
      </x:c>
      <x:c r="P2231" t="str">
        <x:f>IF(E2231="","Unknown",IF(E2231&lt;10,"&lt;10",IF(E2231&lt;20,"10-&lt;20",IF(E2231&lt;25,"20-&lt;25",IF(E2231&lt;35,"25-&lt;35","35+")))))</x:f>
        <x:v>25-&lt;35</x:v>
      </x:c>
    </x:row>
    <x:row r="2232">
      <x:c r="A2232" t="str">
        <x:v>SYN0002231</x:v>
      </x:c>
      <x:c r="B2232" s="12" t="n">
        <x:v>43345</x:v>
      </x:c>
      <x:c r="C2232" s="18" t="n">
        <x:v>12921</x:v>
      </x:c>
      <x:c r="D2232" s="18" t="n">
        <x:v>53365</x:v>
      </x:c>
      <x:c r="E2232" s="18" t="n">
        <x:v>11.66</x:v>
      </x:c>
      <x:c r="F2232" s="18" t="n">
        <x:v>8.26</x:v>
      </x:c>
      <x:c r="G2232" t="n">
        <x:v>36</x:v>
      </x:c>
      <x:c r="H2232" t="str">
        <x:v>B</x:v>
      </x:c>
      <x:c r="I2232" t="str">
        <x:v>4-6 years</x:v>
      </x:c>
      <x:c r="J2232" t="str">
        <x:v>RENT</x:v>
      </x:c>
      <x:c r="K2232" t="str">
        <x:v>home_improvement</x:v>
      </x:c>
      <x:c r="L2232" t="n">
        <x:v>2</x:v>
      </x:c>
      <x:c r="M2232" t="n">
        <x:v>0</x:v>
      </x:c>
      <x:c r="N2232" t="str">
        <x:v>Fully Paid</x:v>
      </x:c>
      <x:c r="O2232" t="str">
        <x:f>IF(D2232="","Unknown",IF(D2232&lt;25000,"&lt;$25k",IF(D2232&lt;50000,"$25k-$50k",IF(D2232&lt;75000,"$50k-$75k",IF(D2232&lt;100000,"$75k-$100k","$100k+")))))</x:f>
        <x:v>$50k-$75k</x:v>
      </x:c>
      <x:c r="P2232" t="str">
        <x:f>IF(E2232="","Unknown",IF(E2232&lt;10,"&lt;10",IF(E2232&lt;20,"10-&lt;20",IF(E2232&lt;25,"20-&lt;25",IF(E2232&lt;35,"25-&lt;35","35+")))))</x:f>
        <x:v>10-&lt;20</x:v>
      </x:c>
    </x:row>
    <x:row r="2233">
      <x:c r="A2233" t="str">
        <x:v>SYN0002232</x:v>
      </x:c>
      <x:c r="B2233" s="12" t="n">
        <x:v>42535</x:v>
      </x:c>
      <x:c r="C2233" s="18" t="n">
        <x:v>9951</x:v>
      </x:c>
      <x:c r="D2233" s="18" t="n">
        <x:v>43448</x:v>
      </x:c>
      <x:c r="E2233" s="18" t="n">
        <x:v>34.98</x:v>
      </x:c>
      <x:c r="F2233" s="18" t="n">
        <x:v>16.46</x:v>
      </x:c>
      <x:c r="G2233" t="n">
        <x:v>36</x:v>
      </x:c>
      <x:c r="H2233" t="str">
        <x:v>D</x:v>
      </x:c>
      <x:c r="I2233" t="str">
        <x:v>4-6 years</x:v>
      </x:c>
      <x:c r="J2233" t="str">
        <x:v>RENT</x:v>
      </x:c>
      <x:c r="K2233" t="str">
        <x:v>medical</x:v>
      </x:c>
      <x:c r="L2233" t="n">
        <x:v>0</x:v>
      </x:c>
      <x:c r="M2233" t="n">
        <x:v>0</x:v>
      </x:c>
      <x:c r="N2233" t="str">
        <x:v>Fully Paid</x:v>
      </x:c>
      <x:c r="O2233" t="str">
        <x:f>IF(D2233="","Unknown",IF(D2233&lt;25000,"&lt;$25k",IF(D2233&lt;50000,"$25k-$50k",IF(D2233&lt;75000,"$50k-$75k",IF(D2233&lt;100000,"$75k-$100k","$100k+")))))</x:f>
        <x:v>$25k-$50k</x:v>
      </x:c>
      <x:c r="P2233" t="str">
        <x:f>IF(E2233="","Unknown",IF(E2233&lt;10,"&lt;10",IF(E2233&lt;20,"10-&lt;20",IF(E2233&lt;25,"20-&lt;25",IF(E2233&lt;35,"25-&lt;35","35+")))))</x:f>
        <x:v>25-&lt;35</x:v>
      </x:c>
    </x:row>
    <x:row r="2234">
      <x:c r="A2234" t="str">
        <x:v>SYN0002233</x:v>
      </x:c>
      <x:c r="B2234" s="12" t="n">
        <x:v>43165</x:v>
      </x:c>
      <x:c r="C2234" s="18" t="n">
        <x:v>24709</x:v>
      </x:c>
      <x:c r="D2234" s="18" t="n">
        <x:v>216602</x:v>
      </x:c>
      <x:c r="E2234" s="18" t="n">
        <x:v>5.43</x:v>
      </x:c>
      <x:c r="F2234" s="18" t="n">
        <x:v>6.24</x:v>
      </x:c>
      <x:c r="G2234" t="n">
        <x:v>36</x:v>
      </x:c>
      <x:c r="H2234" t="str">
        <x:v>A</x:v>
      </x:c>
      <x:c r="I2234" t="str">
        <x:v>1-3 years</x:v>
      </x:c>
      <x:c r="J2234" t="str">
        <x:v>OTHER</x:v>
      </x:c>
      <x:c r="K2234" t="str">
        <x:v>debt_consolidation</x:v>
      </x:c>
      <x:c r="L2234" t="n">
        <x:v>1</x:v>
      </x:c>
      <x:c r="M2234" t="n">
        <x:v>0</x:v>
      </x:c>
      <x:c r="N2234" t="str">
        <x:v>Fully Paid</x:v>
      </x:c>
      <x:c r="O2234" t="str">
        <x:f>IF(D2234="","Unknown",IF(D2234&lt;25000,"&lt;$25k",IF(D2234&lt;50000,"$25k-$50k",IF(D2234&lt;75000,"$50k-$75k",IF(D2234&lt;100000,"$75k-$100k","$100k+")))))</x:f>
        <x:v>$100k+</x:v>
      </x:c>
      <x:c r="P2234" t="str">
        <x:f>IF(E2234="","Unknown",IF(E2234&lt;10,"&lt;10",IF(E2234&lt;20,"10-&lt;20",IF(E2234&lt;25,"20-&lt;25",IF(E2234&lt;35,"25-&lt;35","35+")))))</x:f>
        <x:v>&lt;10</x:v>
      </x:c>
    </x:row>
    <x:row r="2235">
      <x:c r="A2235" t="str">
        <x:v>SYN0002234</x:v>
      </x:c>
      <x:c r="B2235" s="12" t="n">
        <x:v>42505</x:v>
      </x:c>
      <x:c r="C2235" s="18" t="n">
        <x:v>8329</x:v>
      </x:c>
      <x:c r="D2235" s="18" t="n">
        <x:v>50889</x:v>
      </x:c>
      <x:c r="E2235" s="18" t="n">
        <x:v>19.78</x:v>
      </x:c>
      <x:c r="F2235" s="18" t="n">
        <x:v>11.48</x:v>
      </x:c>
      <x:c r="G2235" t="n">
        <x:v>36</x:v>
      </x:c>
      <x:c r="H2235" t="str">
        <x:v>B</x:v>
      </x:c>
      <x:c r="I2235" t="str">
        <x:v>7-9 years</x:v>
      </x:c>
      <x:c r="J2235" t="str">
        <x:v>MORTGAGE</x:v>
      </x:c>
      <x:c r="K2235" t="str">
        <x:v>major_purchase</x:v>
      </x:c>
      <x:c r="L2235" t="n">
        <x:v>1</x:v>
      </x:c>
      <x:c r="M2235" t="n">
        <x:v>0</x:v>
      </x:c>
      <x:c r="N2235" t="str">
        <x:v>Fully Paid</x:v>
      </x:c>
      <x:c r="O2235" t="str">
        <x:f>IF(D2235="","Unknown",IF(D2235&lt;25000,"&lt;$25k",IF(D2235&lt;50000,"$25k-$50k",IF(D2235&lt;75000,"$50k-$75k",IF(D2235&lt;100000,"$75k-$100k","$100k+")))))</x:f>
        <x:v>$50k-$75k</x:v>
      </x:c>
      <x:c r="P2235" t="str">
        <x:f>IF(E2235="","Unknown",IF(E2235&lt;10,"&lt;10",IF(E2235&lt;20,"10-&lt;20",IF(E2235&lt;25,"20-&lt;25",IF(E2235&lt;35,"25-&lt;35","35+")))))</x:f>
        <x:v>10-&lt;20</x:v>
      </x:c>
    </x:row>
    <x:row r="2236">
      <x:c r="A2236" t="str">
        <x:v>SYN0002235</x:v>
      </x:c>
      <x:c r="B2236" s="12" t="n">
        <x:v>42145</x:v>
      </x:c>
      <x:c r="C2236" s="18" t="n">
        <x:v>5910</x:v>
      </x:c>
      <x:c r="D2236" s="18" t="n">
        <x:v>43046</x:v>
      </x:c>
      <x:c r="E2236" s="18" t="n">
        <x:v>0</x:v>
      </x:c>
      <x:c r="F2236" s="18" t="n">
        <x:v>11</x:v>
      </x:c>
      <x:c r="G2236" t="n">
        <x:v>36</x:v>
      </x:c>
      <x:c r="H2236" t="str">
        <x:v>B</x:v>
      </x:c>
      <x:c r="I2236" t="str">
        <x:v>10+ years</x:v>
      </x:c>
      <x:c r="J2236" t="str">
        <x:v>OWN</x:v>
      </x:c>
      <x:c r="K2236" t="str">
        <x:v>credit_card</x:v>
      </x:c>
      <x:c r="L2236" t="n">
        <x:v>0</x:v>
      </x:c>
      <x:c r="M2236" t="n">
        <x:v>1</x:v>
      </x:c>
      <x:c r="N2236" t="str">
        <x:v>Charged Off</x:v>
      </x:c>
      <x:c r="O2236" t="str">
        <x:f>IF(D2236="","Unknown",IF(D2236&lt;25000,"&lt;$25k",IF(D2236&lt;50000,"$25k-$50k",IF(D2236&lt;75000,"$50k-$75k",IF(D2236&lt;100000,"$75k-$100k","$100k+")))))</x:f>
        <x:v>$25k-$50k</x:v>
      </x:c>
      <x:c r="P2236" t="str">
        <x:f>IF(E2236="","Unknown",IF(E2236&lt;10,"&lt;10",IF(E2236&lt;20,"10-&lt;20",IF(E2236&lt;25,"20-&lt;25",IF(E2236&lt;35,"25-&lt;35","35+")))))</x:f>
        <x:v>Unknown</x:v>
      </x:c>
    </x:row>
    <x:row r="2237">
      <x:c r="A2237" t="str">
        <x:v>SYN0002236</x:v>
      </x:c>
      <x:c r="B2237" s="12" t="n">
        <x:v>42145</x:v>
      </x:c>
      <x:c r="C2237" s="18" t="n">
        <x:v>16769</x:v>
      </x:c>
      <x:c r="D2237" s="18" t="n">
        <x:v>64068</x:v>
      </x:c>
      <x:c r="E2237" s="18" t="n">
        <x:v>22.18</x:v>
      </x:c>
      <x:c r="F2237" s="18" t="n">
        <x:v>8.01</x:v>
      </x:c>
      <x:c r="G2237" t="n">
        <x:v>60</x:v>
      </x:c>
      <x:c r="H2237" t="str">
        <x:v>B</x:v>
      </x:c>
      <x:c r="I2237" t="str">
        <x:v>7-9 years</x:v>
      </x:c>
      <x:c r="J2237" t="str">
        <x:v>RENT</x:v>
      </x:c>
      <x:c r="K2237" t="str">
        <x:v>debt_consolidation</x:v>
      </x:c>
      <x:c r="L2237" t="n">
        <x:v>0</x:v>
      </x:c>
      <x:c r="M2237" t="n">
        <x:v>0</x:v>
      </x:c>
      <x:c r="N2237" t="str">
        <x:v>Fully Paid</x:v>
      </x:c>
      <x:c r="O2237" t="str">
        <x:f>IF(D2237="","Unknown",IF(D2237&lt;25000,"&lt;$25k",IF(D2237&lt;50000,"$25k-$50k",IF(D2237&lt;75000,"$50k-$75k",IF(D2237&lt;100000,"$75k-$100k","$100k+")))))</x:f>
        <x:v>$50k-$75k</x:v>
      </x:c>
      <x:c r="P2237" t="str">
        <x:f>IF(E2237="","Unknown",IF(E2237&lt;10,"&lt;10",IF(E2237&lt;20,"10-&lt;20",IF(E2237&lt;25,"20-&lt;25",IF(E2237&lt;35,"25-&lt;35","35+")))))</x:f>
        <x:v>20-&lt;25</x:v>
      </x:c>
    </x:row>
    <x:row r="2238">
      <x:c r="A2238" t="str">
        <x:v>SYN0002237</x:v>
      </x:c>
      <x:c r="B2238" s="12" t="n">
        <x:v>41305</x:v>
      </x:c>
      <x:c r="C2238" s="18" t="n">
        <x:v>8804</x:v>
      </x:c>
      <x:c r="D2238" s="18" t="n">
        <x:v>32711</x:v>
      </x:c>
      <x:c r="E2238" s="18" t="n">
        <x:v>24.67</x:v>
      </x:c>
      <x:c r="F2238" s="18" t="n">
        <x:v>6.26</x:v>
      </x:c>
      <x:c r="G2238" t="n">
        <x:v>36</x:v>
      </x:c>
      <x:c r="H2238" t="str">
        <x:v>A</x:v>
      </x:c>
      <x:c r="I2238" t="str">
        <x:v>4-6 years</x:v>
      </x:c>
      <x:c r="J2238" t="str">
        <x:v>MORTGAGE</x:v>
      </x:c>
      <x:c r="K2238" t="str">
        <x:v>debt_consolidation</x:v>
      </x:c>
      <x:c r="L2238" t="n">
        <x:v>2</x:v>
      </x:c>
      <x:c r="M2238" t="n">
        <x:v>0</x:v>
      </x:c>
      <x:c r="N2238" t="str">
        <x:v>Fully Paid</x:v>
      </x:c>
      <x:c r="O2238" t="str">
        <x:f>IF(D2238="","Unknown",IF(D2238&lt;25000,"&lt;$25k",IF(D2238&lt;50000,"$25k-$50k",IF(D2238&lt;75000,"$50k-$75k",IF(D2238&lt;100000,"$75k-$100k","$100k+")))))</x:f>
        <x:v>$25k-$50k</x:v>
      </x:c>
      <x:c r="P2238" t="str">
        <x:f>IF(E2238="","Unknown",IF(E2238&lt;10,"&lt;10",IF(E2238&lt;20,"10-&lt;20",IF(E2238&lt;25,"20-&lt;25",IF(E2238&lt;35,"25-&lt;35","35+")))))</x:f>
        <x:v>20-&lt;25</x:v>
      </x:c>
    </x:row>
    <x:row r="2239">
      <x:c r="A2239" t="str">
        <x:v>SYN0002238</x:v>
      </x:c>
      <x:c r="B2239" s="12" t="n">
        <x:v>41995</x:v>
      </x:c>
      <x:c r="C2239" s="18" t="n">
        <x:v>8467</x:v>
      </x:c>
      <x:c r="D2239" s="18" t="n">
        <x:v>60916</x:v>
      </x:c>
      <x:c r="E2239" s="18" t="n">
        <x:v>9.14</x:v>
      </x:c>
      <x:c r="F2239" s="18" t="n">
        <x:v>19.94</x:v>
      </x:c>
      <x:c r="G2239" t="n">
        <x:v>60</x:v>
      </x:c>
      <x:c r="H2239" t="str">
        <x:v>F</x:v>
      </x:c>
      <x:c r="I2239" t="str">
        <x:v>1-3 years</x:v>
      </x:c>
      <x:c r="J2239" t="str">
        <x:v>RENT</x:v>
      </x:c>
      <x:c r="K2239" t="str">
        <x:v>major_purchase</x:v>
      </x:c>
      <x:c r="L2239" t="n">
        <x:v>1</x:v>
      </x:c>
      <x:c r="M2239" t="n">
        <x:v>0</x:v>
      </x:c>
      <x:c r="N2239" t="str">
        <x:v>Fully Paid</x:v>
      </x:c>
      <x:c r="O2239" t="str">
        <x:f>IF(D2239="","Unknown",IF(D2239&lt;25000,"&lt;$25k",IF(D2239&lt;50000,"$25k-$50k",IF(D2239&lt;75000,"$50k-$75k",IF(D2239&lt;100000,"$75k-$100k","$100k+")))))</x:f>
        <x:v>$50k-$75k</x:v>
      </x:c>
      <x:c r="P2239" t="str">
        <x:f>IF(E2239="","Unknown",IF(E2239&lt;10,"&lt;10",IF(E2239&lt;20,"10-&lt;20",IF(E2239&lt;25,"20-&lt;25",IF(E2239&lt;35,"25-&lt;35","35+")))))</x:f>
        <x:v>&lt;10</x:v>
      </x:c>
    </x:row>
    <x:row r="2240">
      <x:c r="A2240" t="str">
        <x:v>SYN0002239</x:v>
      </x:c>
      <x:c r="B2240" s="12" t="n">
        <x:v>41275</x:v>
      </x:c>
      <x:c r="C2240" s="18" t="n">
        <x:v>5701</x:v>
      </x:c>
      <x:c r="D2240" s="18" t="n">
        <x:v>30235</x:v>
      </x:c>
      <x:c r="E2240" s="18" t="n">
        <x:v>9.75</x:v>
      </x:c>
      <x:c r="F2240" s="18" t="n">
        <x:v>8.37</x:v>
      </x:c>
      <x:c r="G2240" t="n">
        <x:v>60</x:v>
      </x:c>
      <x:c r="H2240" t="str">
        <x:v>B</x:v>
      </x:c>
      <x:c r="I2240" t="str">
        <x:v>1-3 years</x:v>
      </x:c>
      <x:c r="J2240" t="str">
        <x:v>MORTGAGE</x:v>
      </x:c>
      <x:c r="K2240" t="str">
        <x:v>debt_consolidation</x:v>
      </x:c>
      <x:c r="L2240" t="n">
        <x:v>1</x:v>
      </x:c>
      <x:c r="M2240" t="n">
        <x:v>0</x:v>
      </x:c>
      <x:c r="N2240" t="str">
        <x:v>Fully Paid</x:v>
      </x:c>
      <x:c r="O2240" t="str">
        <x:f>IF(D2240="","Unknown",IF(D2240&lt;25000,"&lt;$25k",IF(D2240&lt;50000,"$25k-$50k",IF(D2240&lt;75000,"$50k-$75k",IF(D2240&lt;100000,"$75k-$100k","$100k+")))))</x:f>
        <x:v>$25k-$50k</x:v>
      </x:c>
      <x:c r="P2240" t="str">
        <x:f>IF(E2240="","Unknown",IF(E2240&lt;10,"&lt;10",IF(E2240&lt;20,"10-&lt;20",IF(E2240&lt;25,"20-&lt;25",IF(E2240&lt;35,"25-&lt;35","35+")))))</x:f>
        <x:v>&lt;10</x:v>
      </x:c>
    </x:row>
    <x:row r="2241">
      <x:c r="A2241" t="str">
        <x:v>SYN0002240</x:v>
      </x:c>
      <x:c r="B2241" s="12" t="n">
        <x:v>41785</x:v>
      </x:c>
      <x:c r="C2241" s="18" t="n">
        <x:v>9796</x:v>
      </x:c>
      <x:c r="D2241" s="18" t="n">
        <x:v>89212</x:v>
      </x:c>
      <x:c r="E2241" s="18" t="n">
        <x:v>9.4</x:v>
      </x:c>
      <x:c r="F2241" s="18" t="n">
        <x:v>18.89</x:v>
      </x:c>
      <x:c r="G2241" t="n">
        <x:v>36</x:v>
      </x:c>
      <x:c r="H2241" t="str">
        <x:v>E</x:v>
      </x:c>
      <x:c r="I2241" t="str">
        <x:v>10+ years</x:v>
      </x:c>
      <x:c r="J2241" t="str">
        <x:v>MORTGAGE</x:v>
      </x:c>
      <x:c r="K2241" t="str">
        <x:v>debt_consolidation</x:v>
      </x:c>
      <x:c r="L2241" t="n">
        <x:v>0</x:v>
      </x:c>
      <x:c r="M2241" t="n">
        <x:v>0</x:v>
      </x:c>
      <x:c r="N2241" t="str">
        <x:v>Fully Paid</x:v>
      </x:c>
      <x:c r="O2241" t="str">
        <x:f>IF(D2241="","Unknown",IF(D2241&lt;25000,"&lt;$25k",IF(D2241&lt;50000,"$25k-$50k",IF(D2241&lt;75000,"$50k-$75k",IF(D2241&lt;100000,"$75k-$100k","$100k+")))))</x:f>
        <x:v>$75k-$100k</x:v>
      </x:c>
      <x:c r="P2241" t="str">
        <x:f>IF(E2241="","Unknown",IF(E2241&lt;10,"&lt;10",IF(E2241&lt;20,"10-&lt;20",IF(E2241&lt;25,"20-&lt;25",IF(E2241&lt;35,"25-&lt;35","35+")))))</x:f>
        <x:v>&lt;10</x:v>
      </x:c>
    </x:row>
    <x:row r="2242">
      <x:c r="A2242" t="str">
        <x:v>SYN0002241</x:v>
      </x:c>
      <x:c r="B2242" s="12" t="n">
        <x:v>42475</x:v>
      </x:c>
      <x:c r="C2242" s="18" t="n">
        <x:v>20077</x:v>
      </x:c>
      <x:c r="D2242" s="18" t="n">
        <x:v>85607</x:v>
      </x:c>
      <x:c r="E2242" s="18" t="n">
        <x:v>31.11</x:v>
      </x:c>
      <x:c r="F2242" s="18" t="n">
        <x:v>8.07</x:v>
      </x:c>
      <x:c r="G2242" t="n">
        <x:v>60</x:v>
      </x:c>
      <x:c r="H2242" t="str">
        <x:v>B</x:v>
      </x:c>
      <x:c r="I2242" t="str">
        <x:v>7-9 years</x:v>
      </x:c>
      <x:c r="J2242" t="str">
        <x:v>OTHER</x:v>
      </x:c>
      <x:c r="K2242" t="str">
        <x:v>home_improvement</x:v>
      </x:c>
      <x:c r="L2242" t="n">
        <x:v>0</x:v>
      </x:c>
      <x:c r="M2242" t="n">
        <x:v>0</x:v>
      </x:c>
      <x:c r="N2242" t="str">
        <x:v>Fully Paid</x:v>
      </x:c>
      <x:c r="O2242" t="str">
        <x:f>IF(D2242="","Unknown",IF(D2242&lt;25000,"&lt;$25k",IF(D2242&lt;50000,"$25k-$50k",IF(D2242&lt;75000,"$50k-$75k",IF(D2242&lt;100000,"$75k-$100k","$100k+")))))</x:f>
        <x:v>$75k-$100k</x:v>
      </x:c>
      <x:c r="P2242" t="str">
        <x:f>IF(E2242="","Unknown",IF(E2242&lt;10,"&lt;10",IF(E2242&lt;20,"10-&lt;20",IF(E2242&lt;25,"20-&lt;25",IF(E2242&lt;35,"25-&lt;35","35+")))))</x:f>
        <x:v>25-&lt;35</x:v>
      </x:c>
    </x:row>
    <x:row r="2243">
      <x:c r="A2243" t="str">
        <x:v>SYN0002242</x:v>
      </x:c>
      <x:c r="B2243" s="12" t="n">
        <x:v>43105</x:v>
      </x:c>
      <x:c r="C2243" s="18" t="n">
        <x:v>4976</x:v>
      </x:c>
      <x:c r="D2243" s="18" t="n">
        <x:v>57358</x:v>
      </x:c>
      <x:c r="E2243" s="18" t="n">
        <x:v>23.33</x:v>
      </x:c>
      <x:c r="F2243" s="18" t="n">
        <x:v>8.43</x:v>
      </x:c>
      <x:c r="G2243" t="n">
        <x:v>60</x:v>
      </x:c>
      <x:c r="H2243" t="str">
        <x:v>B</x:v>
      </x:c>
      <x:c r="I2243" t="str">
        <x:v>10+ years</x:v>
      </x:c>
      <x:c r="J2243" t="str">
        <x:v>OWN</x:v>
      </x:c>
      <x:c r="K2243" t="str">
        <x:v>debt_consolidation</x:v>
      </x:c>
      <x:c r="L2243" t="n">
        <x:v>0</x:v>
      </x:c>
      <x:c r="M2243" t="n">
        <x:v>0</x:v>
      </x:c>
      <x:c r="N2243" t="str">
        <x:v>Fully Paid</x:v>
      </x:c>
      <x:c r="O2243" t="str">
        <x:f>IF(D2243="","Unknown",IF(D2243&lt;25000,"&lt;$25k",IF(D2243&lt;50000,"$25k-$50k",IF(D2243&lt;75000,"$50k-$75k",IF(D2243&lt;100000,"$75k-$100k","$100k+")))))</x:f>
        <x:v>$50k-$75k</x:v>
      </x:c>
      <x:c r="P2243" t="str">
        <x:f>IF(E2243="","Unknown",IF(E2243&lt;10,"&lt;10",IF(E2243&lt;20,"10-&lt;20",IF(E2243&lt;25,"20-&lt;25",IF(E2243&lt;35,"25-&lt;35","35+")))))</x:f>
        <x:v>20-&lt;25</x:v>
      </x:c>
    </x:row>
    <x:row r="2244">
      <x:c r="A2244" t="str">
        <x:v>SYN0002243</x:v>
      </x:c>
      <x:c r="B2244" s="12" t="n">
        <x:v>42385</x:v>
      </x:c>
      <x:c r="C2244" s="18" t="n">
        <x:v>8555</x:v>
      </x:c>
      <x:c r="D2244" s="18" t="n">
        <x:v>61182</x:v>
      </x:c>
      <x:c r="E2244" s="18" t="n">
        <x:v>6.85</x:v>
      </x:c>
      <x:c r="F2244" s="18" t="n">
        <x:v>7.58</x:v>
      </x:c>
      <x:c r="G2244" t="n">
        <x:v>36</x:v>
      </x:c>
      <x:c r="H2244" t="str">
        <x:v>A</x:v>
      </x:c>
      <x:c r="I2244" t="str">
        <x:v>10+ years</x:v>
      </x:c>
      <x:c r="J2244" t="str">
        <x:v>RENT</x:v>
      </x:c>
      <x:c r="K2244" t="str">
        <x:v>other</x:v>
      </x:c>
      <x:c r="L2244" t="n">
        <x:v>0</x:v>
      </x:c>
      <x:c r="M2244" t="n">
        <x:v>0</x:v>
      </x:c>
      <x:c r="N2244" t="str">
        <x:v>Fully Paid</x:v>
      </x:c>
      <x:c r="O2244" t="str">
        <x:f>IF(D2244="","Unknown",IF(D2244&lt;25000,"&lt;$25k",IF(D2244&lt;50000,"$25k-$50k",IF(D2244&lt;75000,"$50k-$75k",IF(D2244&lt;100000,"$75k-$100k","$100k+")))))</x:f>
        <x:v>$50k-$75k</x:v>
      </x:c>
      <x:c r="P2244" t="str">
        <x:f>IF(E2244="","Unknown",IF(E2244&lt;10,"&lt;10",IF(E2244&lt;20,"10-&lt;20",IF(E2244&lt;25,"20-&lt;25",IF(E2244&lt;35,"25-&lt;35","35+")))))</x:f>
        <x:v>&lt;10</x:v>
      </x:c>
    </x:row>
    <x:row r="2245">
      <x:c r="A2245" t="str">
        <x:v>SYN0002244</x:v>
      </x:c>
      <x:c r="B2245" s="12" t="n">
        <x:v>42235</x:v>
      </x:c>
      <x:c r="C2245" s="18" t="n">
        <x:v>12667</x:v>
      </x:c>
      <x:c r="D2245" s="18" t="n">
        <x:v>64428</x:v>
      </x:c>
      <x:c r="E2245" s="18" t="n">
        <x:v>14.36</x:v>
      </x:c>
      <x:c r="F2245" s="18" t="n">
        <x:v>7.93</x:v>
      </x:c>
      <x:c r="G2245" t="n">
        <x:v>36</x:v>
      </x:c>
      <x:c r="H2245" t="str">
        <x:v>A</x:v>
      </x:c>
      <x:c r="I2245" t="str">
        <x:v>4-6 years</x:v>
      </x:c>
      <x:c r="J2245" t="str">
        <x:v>MORTGAGE</x:v>
      </x:c>
      <x:c r="K2245" t="str">
        <x:v>other</x:v>
      </x:c>
      <x:c r="L2245" t="n">
        <x:v>0</x:v>
      </x:c>
      <x:c r="M2245" t="n">
        <x:v>0</x:v>
      </x:c>
      <x:c r="N2245" t="str">
        <x:v>Fully Paid</x:v>
      </x:c>
      <x:c r="O2245" t="str">
        <x:f>IF(D2245="","Unknown",IF(D2245&lt;25000,"&lt;$25k",IF(D2245&lt;50000,"$25k-$50k",IF(D2245&lt;75000,"$50k-$75k",IF(D2245&lt;100000,"$75k-$100k","$100k+")))))</x:f>
        <x:v>$50k-$75k</x:v>
      </x:c>
      <x:c r="P2245" t="str">
        <x:f>IF(E2245="","Unknown",IF(E2245&lt;10,"&lt;10",IF(E2245&lt;20,"10-&lt;20",IF(E2245&lt;25,"20-&lt;25",IF(E2245&lt;35,"25-&lt;35","35+")))))</x:f>
        <x:v>10-&lt;20</x:v>
      </x:c>
    </x:row>
    <x:row r="2246">
      <x:c r="A2246" t="str">
        <x:v>SYN0002245</x:v>
      </x:c>
      <x:c r="B2246" s="12" t="n">
        <x:v>41665</x:v>
      </x:c>
      <x:c r="C2246" s="18" t="n">
        <x:v>39691</x:v>
      </x:c>
      <x:c r="D2246" s="18" t="n">
        <x:v>93517</x:v>
      </x:c>
      <x:c r="E2246" s="18" t="n">
        <x:v>13.03</x:v>
      </x:c>
      <x:c r="F2246" s="18" t="n">
        <x:v>11.65</x:v>
      </x:c>
      <x:c r="G2246" t="n">
        <x:v>36</x:v>
      </x:c>
      <x:c r="H2246" t="str">
        <x:v>C</x:v>
      </x:c>
      <x:c r="I2246" t="str">
        <x:v>7-9 years</x:v>
      </x:c>
      <x:c r="J2246" t="str">
        <x:v>RENT</x:v>
      </x:c>
      <x:c r="K2246" t="str">
        <x:v>debt_consolidation</x:v>
      </x:c>
      <x:c r="L2246" t="n">
        <x:v>1</x:v>
      </x:c>
      <x:c r="M2246" t="n">
        <x:v>0</x:v>
      </x:c>
      <x:c r="N2246" t="str">
        <x:v>Fully Paid</x:v>
      </x:c>
      <x:c r="O2246" t="str">
        <x:f>IF(D2246="","Unknown",IF(D2246&lt;25000,"&lt;$25k",IF(D2246&lt;50000,"$25k-$50k",IF(D2246&lt;75000,"$50k-$75k",IF(D2246&lt;100000,"$75k-$100k","$100k+")))))</x:f>
        <x:v>$75k-$100k</x:v>
      </x:c>
      <x:c r="P2246" t="str">
        <x:f>IF(E2246="","Unknown",IF(E2246&lt;10,"&lt;10",IF(E2246&lt;20,"10-&lt;20",IF(E2246&lt;25,"20-&lt;25",IF(E2246&lt;35,"25-&lt;35","35+")))))</x:f>
        <x:v>10-&lt;20</x:v>
      </x:c>
    </x:row>
    <x:row r="2247">
      <x:c r="A2247" t="str">
        <x:v>SYN0002246</x:v>
      </x:c>
      <x:c r="B2247" s="12" t="n">
        <x:v>42715</x:v>
      </x:c>
      <x:c r="C2247" s="18" t="n">
        <x:v>7960</x:v>
      </x:c>
      <x:c r="D2247" s="18" t="n">
        <x:v>79086</x:v>
      </x:c>
      <x:c r="E2247" s="18" t="n">
        <x:v>25.31</x:v>
      </x:c>
      <x:c r="F2247" s="18" t="n">
        <x:v>27.26</x:v>
      </x:c>
      <x:c r="G2247" t="n">
        <x:v>36</x:v>
      </x:c>
      <x:c r="H2247" t="str">
        <x:v>G</x:v>
      </x:c>
      <x:c r="I2247" t="str">
        <x:v>7-9 years</x:v>
      </x:c>
      <x:c r="J2247" t="str">
        <x:v>MORTGAGE</x:v>
      </x:c>
      <x:c r="K2247" t="str">
        <x:v>debt_consolidation</x:v>
      </x:c>
      <x:c r="L2247" t="n">
        <x:v>0</x:v>
      </x:c>
      <x:c r="M2247" t="n">
        <x:v>0</x:v>
      </x:c>
      <x:c r="N2247" t="str">
        <x:v>Fully Paid</x:v>
      </x:c>
      <x:c r="O2247" t="str">
        <x:f>IF(D2247="","Unknown",IF(D2247&lt;25000,"&lt;$25k",IF(D2247&lt;50000,"$25k-$50k",IF(D2247&lt;75000,"$50k-$75k",IF(D2247&lt;100000,"$75k-$100k","$100k+")))))</x:f>
        <x:v>$75k-$100k</x:v>
      </x:c>
      <x:c r="P2247" t="str">
        <x:f>IF(E2247="","Unknown",IF(E2247&lt;10,"&lt;10",IF(E2247&lt;20,"10-&lt;20",IF(E2247&lt;25,"20-&lt;25",IF(E2247&lt;35,"25-&lt;35","35+")))))</x:f>
        <x:v>25-&lt;35</x:v>
      </x:c>
    </x:row>
    <x:row r="2248">
      <x:c r="A2248" t="str">
        <x:v>SYN0002247</x:v>
      </x:c>
      <x:c r="B2248" s="12" t="n">
        <x:v>42925</x:v>
      </x:c>
      <x:c r="C2248" s="18" t="n">
        <x:v>11202</x:v>
      </x:c>
      <x:c r="D2248" s="18" t="n">
        <x:v>94915</x:v>
      </x:c>
      <x:c r="E2248" s="18" t="n">
        <x:v>9.46</x:v>
      </x:c>
      <x:c r="F2248" s="18" t="n">
        <x:v>7.97</x:v>
      </x:c>
      <x:c r="G2248" t="n">
        <x:v>36</x:v>
      </x:c>
      <x:c r="H2248" t="str">
        <x:v>A</x:v>
      </x:c>
      <x:c r="I2248" t="str">
        <x:v>10+ years</x:v>
      </x:c>
      <x:c r="J2248" t="str">
        <x:v>MORTGAGE</x:v>
      </x:c>
      <x:c r="K2248" t="str">
        <x:v>debt_consolidation</x:v>
      </x:c>
      <x:c r="L2248" t="n">
        <x:v>0</x:v>
      </x:c>
      <x:c r="M2248" t="n">
        <x:v>0</x:v>
      </x:c>
      <x:c r="N2248" t="str">
        <x:v>Fully Paid</x:v>
      </x:c>
      <x:c r="O2248" t="str">
        <x:f>IF(D2248="","Unknown",IF(D2248&lt;25000,"&lt;$25k",IF(D2248&lt;50000,"$25k-$50k",IF(D2248&lt;75000,"$50k-$75k",IF(D2248&lt;100000,"$75k-$100k","$100k+")))))</x:f>
        <x:v>$75k-$100k</x:v>
      </x:c>
      <x:c r="P2248" t="str">
        <x:f>IF(E2248="","Unknown",IF(E2248&lt;10,"&lt;10",IF(E2248&lt;20,"10-&lt;20",IF(E2248&lt;25,"20-&lt;25",IF(E2248&lt;35,"25-&lt;35","35+")))))</x:f>
        <x:v>&lt;10</x:v>
      </x:c>
    </x:row>
    <x:row r="2249">
      <x:c r="A2249" t="str">
        <x:v>SYN0002248</x:v>
      </x:c>
      <x:c r="B2249" s="12" t="n">
        <x:v>41845</x:v>
      </x:c>
      <x:c r="C2249" s="18" t="n">
        <x:v>12750</x:v>
      </x:c>
      <x:c r="D2249" s="18" t="n">
        <x:v>38334</x:v>
      </x:c>
      <x:c r="E2249" s="18" t="n">
        <x:v>40.92</x:v>
      </x:c>
      <x:c r="F2249" s="18" t="n">
        <x:v>7.65</x:v>
      </x:c>
      <x:c r="G2249" t="n">
        <x:v>36</x:v>
      </x:c>
      <x:c r="H2249" t="str">
        <x:v>A</x:v>
      </x:c>
      <x:c r="I2249" t="str">
        <x:v>10+ years</x:v>
      </x:c>
      <x:c r="J2249" t="str">
        <x:v>RENT</x:v>
      </x:c>
      <x:c r="K2249" t="str">
        <x:v>home_improvement</x:v>
      </x:c>
      <x:c r="L2249" t="n">
        <x:v>0</x:v>
      </x:c>
      <x:c r="M2249" t="n">
        <x:v>0</x:v>
      </x:c>
      <x:c r="N2249" t="str">
        <x:v>Fully Paid</x:v>
      </x:c>
      <x:c r="O2249" t="str">
        <x:f>IF(D2249="","Unknown",IF(D2249&lt;25000,"&lt;$25k",IF(D2249&lt;50000,"$25k-$50k",IF(D2249&lt;75000,"$50k-$75k",IF(D2249&lt;100000,"$75k-$100k","$100k+")))))</x:f>
        <x:v>$25k-$50k</x:v>
      </x:c>
      <x:c r="P2249" t="str">
        <x:f>IF(E2249="","Unknown",IF(E2249&lt;10,"&lt;10",IF(E2249&lt;20,"10-&lt;20",IF(E2249&lt;25,"20-&lt;25",IF(E2249&lt;35,"25-&lt;35","35+")))))</x:f>
        <x:v>35+</x:v>
      </x:c>
    </x:row>
    <x:row r="2250">
      <x:c r="A2250" t="str">
        <x:v>SYN0002249</x:v>
      </x:c>
      <x:c r="B2250" s="12" t="n">
        <x:v>42205</x:v>
      </x:c>
      <x:c r="C2250" s="18" t="n">
        <x:v>10781</x:v>
      </x:c>
      <x:c r="D2250" s="18" t="n">
        <x:v>30441</x:v>
      </x:c>
      <x:c r="E2250" s="18" t="n">
        <x:v>22.19</x:v>
      </x:c>
      <x:c r="F2250" s="18" t="n">
        <x:v>9.07</x:v>
      </x:c>
      <x:c r="G2250" t="n">
        <x:v>36</x:v>
      </x:c>
      <x:c r="H2250" t="str">
        <x:v>B</x:v>
      </x:c>
      <x:c r="I2250" t="str">
        <x:v>1-3 years</x:v>
      </x:c>
      <x:c r="J2250" t="str">
        <x:v>MORTGAGE</x:v>
      </x:c>
      <x:c r="K2250" t="str">
        <x:v>debt_consolidation</x:v>
      </x:c>
      <x:c r="L2250" t="n">
        <x:v>1</x:v>
      </x:c>
      <x:c r="M2250" t="n">
        <x:v>0</x:v>
      </x:c>
      <x:c r="N2250" t="str">
        <x:v>Fully Paid</x:v>
      </x:c>
      <x:c r="O2250" t="str">
        <x:f>IF(D2250="","Unknown",IF(D2250&lt;25000,"&lt;$25k",IF(D2250&lt;50000,"$25k-$50k",IF(D2250&lt;75000,"$50k-$75k",IF(D2250&lt;100000,"$75k-$100k","$100k+")))))</x:f>
        <x:v>$25k-$50k</x:v>
      </x:c>
      <x:c r="P2250" t="str">
        <x:f>IF(E2250="","Unknown",IF(E2250&lt;10,"&lt;10",IF(E2250&lt;20,"10-&lt;20",IF(E2250&lt;25,"20-&lt;25",IF(E2250&lt;35,"25-&lt;35","35+")))))</x:f>
        <x:v>20-&lt;25</x:v>
      </x:c>
    </x:row>
    <x:row r="2251">
      <x:c r="A2251" t="str">
        <x:v>SYN0002250</x:v>
      </x:c>
      <x:c r="B2251" s="12" t="n">
        <x:v>41605</x:v>
      </x:c>
      <x:c r="C2251" s="18" t="n">
        <x:v>9795</x:v>
      </x:c>
      <x:c r="D2251" s="18" t="n">
        <x:v>12000</x:v>
      </x:c>
      <x:c r="E2251" s="18" t="n">
        <x:v>6.84</x:v>
      </x:c>
      <x:c r="F2251" s="18" t="n">
        <x:v>11.56</x:v>
      </x:c>
      <x:c r="G2251" t="n">
        <x:v>36</x:v>
      </x:c>
      <x:c r="H2251" t="str">
        <x:v>C</x:v>
      </x:c>
      <x:c r="I2251" t="str">
        <x:v>4-6 years</x:v>
      </x:c>
      <x:c r="J2251" t="str">
        <x:v>OWN</x:v>
      </x:c>
      <x:c r="K2251" t="str">
        <x:v>credit_card</x:v>
      </x:c>
      <x:c r="L2251" t="n">
        <x:v>1</x:v>
      </x:c>
      <x:c r="M2251" t="n">
        <x:v>0</x:v>
      </x:c>
      <x:c r="N2251" t="str">
        <x:v>Fully Paid</x:v>
      </x:c>
      <x:c r="O2251" t="str">
        <x:f>IF(D2251="","Unknown",IF(D2251&lt;25000,"&lt;$25k",IF(D2251&lt;50000,"$25k-$50k",IF(D2251&lt;75000,"$50k-$75k",IF(D2251&lt;100000,"$75k-$100k","$100k+")))))</x:f>
        <x:v>&lt;$25k</x:v>
      </x:c>
      <x:c r="P2251" t="str">
        <x:f>IF(E2251="","Unknown",IF(E2251&lt;10,"&lt;10",IF(E2251&lt;20,"10-&lt;20",IF(E2251&lt;25,"20-&lt;25",IF(E2251&lt;35,"25-&lt;35","35+")))))</x:f>
        <x:v>&lt;10</x:v>
      </x:c>
    </x:row>
    <x:row r="2252">
      <x:c r="A2252" t="str">
        <x:v>SYN0002251</x:v>
      </x:c>
      <x:c r="B2252" s="12" t="n">
        <x:v>42085</x:v>
      </x:c>
      <x:c r="C2252" s="18" t="n">
        <x:v>8745</x:v>
      </x:c>
      <x:c r="D2252" s="18" t="n">
        <x:v>93163</x:v>
      </x:c>
      <x:c r="E2252" s="18" t="n">
        <x:v>15.67</x:v>
      </x:c>
      <x:c r="F2252" s="18" t="n">
        <x:v>17.74</x:v>
      </x:c>
      <x:c r="G2252" t="n">
        <x:v>60</x:v>
      </x:c>
      <x:c r="H2252" t="str">
        <x:v>E</x:v>
      </x:c>
      <x:c r="I2252" t="str">
        <x:v>10+ years</x:v>
      </x:c>
      <x:c r="J2252" t="str">
        <x:v>MORTGAGE</x:v>
      </x:c>
      <x:c r="K2252" t="str">
        <x:v>medical</x:v>
      </x:c>
      <x:c r="L2252" t="n">
        <x:v>1</x:v>
      </x:c>
      <x:c r="M2252" t="n">
        <x:v>0</x:v>
      </x:c>
      <x:c r="N2252" t="str">
        <x:v>Fully Paid</x:v>
      </x:c>
      <x:c r="O2252" t="str">
        <x:f>IF(D2252="","Unknown",IF(D2252&lt;25000,"&lt;$25k",IF(D2252&lt;50000,"$25k-$50k",IF(D2252&lt;75000,"$50k-$75k",IF(D2252&lt;100000,"$75k-$100k","$100k+")))))</x:f>
        <x:v>$75k-$100k</x:v>
      </x:c>
      <x:c r="P2252" t="str">
        <x:f>IF(E2252="","Unknown",IF(E2252&lt;10,"&lt;10",IF(E2252&lt;20,"10-&lt;20",IF(E2252&lt;25,"20-&lt;25",IF(E2252&lt;35,"25-&lt;35","35+")))))</x:f>
        <x:v>10-&lt;20</x:v>
      </x:c>
    </x:row>
    <x:row r="2253">
      <x:c r="A2253" t="str">
        <x:v>SYN0002252</x:v>
      </x:c>
      <x:c r="B2253" s="12" t="n">
        <x:v>41275</x:v>
      </x:c>
      <x:c r="C2253" s="18" t="n">
        <x:v>13209</x:v>
      </x:c>
      <x:c r="D2253" s="18" t="n">
        <x:v>124505</x:v>
      </x:c>
      <x:c r="E2253" s="18" t="n">
        <x:v>0.15</x:v>
      </x:c>
      <x:c r="F2253" s="18" t="n">
        <x:v>5</x:v>
      </x:c>
      <x:c r="G2253" t="n">
        <x:v>36</x:v>
      </x:c>
      <x:c r="H2253" t="str">
        <x:v>A</x:v>
      </x:c>
      <x:c r="I2253" t="str">
        <x:v>10+ years</x:v>
      </x:c>
      <x:c r="J2253" t="str">
        <x:v>MORTGAGE</x:v>
      </x:c>
      <x:c r="K2253" t="str">
        <x:v>other</x:v>
      </x:c>
      <x:c r="L2253" t="n">
        <x:v>0</x:v>
      </x:c>
      <x:c r="M2253" t="n">
        <x:v>0</x:v>
      </x:c>
      <x:c r="N2253" t="str">
        <x:v>Fully Paid</x:v>
      </x:c>
      <x:c r="O2253" t="str">
        <x:f>IF(D2253="","Unknown",IF(D2253&lt;25000,"&lt;$25k",IF(D2253&lt;50000,"$25k-$50k",IF(D2253&lt;75000,"$50k-$75k",IF(D2253&lt;100000,"$75k-$100k","$100k+")))))</x:f>
        <x:v>$100k+</x:v>
      </x:c>
      <x:c r="P2253" t="str">
        <x:f>IF(E2253="","Unknown",IF(E2253&lt;10,"&lt;10",IF(E2253&lt;20,"10-&lt;20",IF(E2253&lt;25,"20-&lt;25",IF(E2253&lt;35,"25-&lt;35","35+")))))</x:f>
        <x:v>&lt;10</x:v>
      </x:c>
    </x:row>
    <x:row r="2254">
      <x:c r="A2254" t="str">
        <x:v>SYN0002253</x:v>
      </x:c>
      <x:c r="B2254" s="12" t="n">
        <x:v>42415</x:v>
      </x:c>
      <x:c r="C2254" s="18" t="n">
        <x:v>33386</x:v>
      </x:c>
      <x:c r="D2254" s="18" t="n">
        <x:v>44500</x:v>
      </x:c>
      <x:c r="E2254" s="18" t="n">
        <x:v>21.12</x:v>
      </x:c>
      <x:c r="F2254" s="18" t="n">
        <x:v>15.47</x:v>
      </x:c>
      <x:c r="G2254" t="n">
        <x:v>36</x:v>
      </x:c>
      <x:c r="H2254" t="str">
        <x:v>D</x:v>
      </x:c>
      <x:c r="I2254" t="str">
        <x:v>7-9 years</x:v>
      </x:c>
      <x:c r="J2254" t="str">
        <x:v>MORTGAGE</x:v>
      </x:c>
      <x:c r="K2254" t="str">
        <x:v>debt_consolidation</x:v>
      </x:c>
      <x:c r="L2254" t="n">
        <x:v>1</x:v>
      </x:c>
      <x:c r="M2254" t="n">
        <x:v>0</x:v>
      </x:c>
      <x:c r="N2254" t="str">
        <x:v>Fully Paid</x:v>
      </x:c>
      <x:c r="O2254" t="str">
        <x:f>IF(D2254="","Unknown",IF(D2254&lt;25000,"&lt;$25k",IF(D2254&lt;50000,"$25k-$50k",IF(D2254&lt;75000,"$50k-$75k",IF(D2254&lt;100000,"$75k-$100k","$100k+")))))</x:f>
        <x:v>$25k-$50k</x:v>
      </x:c>
      <x:c r="P2254" t="str">
        <x:f>IF(E2254="","Unknown",IF(E2254&lt;10,"&lt;10",IF(E2254&lt;20,"10-&lt;20",IF(E2254&lt;25,"20-&lt;25",IF(E2254&lt;35,"25-&lt;35","35+")))))</x:f>
        <x:v>20-&lt;25</x:v>
      </x:c>
    </x:row>
    <x:row r="2255">
      <x:c r="A2255" t="str">
        <x:v>SYN0002254</x:v>
      </x:c>
      <x:c r="B2255" s="12" t="n">
        <x:v>42325</x:v>
      </x:c>
      <x:c r="C2255" s="18" t="n">
        <x:v>9156</x:v>
      </x:c>
      <x:c r="D2255" s="18" t="n">
        <x:v>19308</x:v>
      </x:c>
      <x:c r="E2255" s="18" t="n">
        <x:v>14.15</x:v>
      </x:c>
      <x:c r="F2255" s="18" t="n">
        <x:v>11.69</x:v>
      </x:c>
      <x:c r="G2255" t="n">
        <x:v>36</x:v>
      </x:c>
      <x:c r="H2255" t="str">
        <x:v>C</x:v>
      </x:c>
      <x:c r="I2255" t="str">
        <x:v>10+ years</x:v>
      </x:c>
      <x:c r="J2255" t="str">
        <x:v>MORTGAGE</x:v>
      </x:c>
      <x:c r="K2255" t="str">
        <x:v>debt_consolidation</x:v>
      </x:c>
      <x:c r="L2255" t="n">
        <x:v>2</x:v>
      </x:c>
      <x:c r="M2255" t="n">
        <x:v>0</x:v>
      </x:c>
      <x:c r="N2255" t="str">
        <x:v>Fully Paid</x:v>
      </x:c>
      <x:c r="O2255" t="str">
        <x:f>IF(D2255="","Unknown",IF(D2255&lt;25000,"&lt;$25k",IF(D2255&lt;50000,"$25k-$50k",IF(D2255&lt;75000,"$50k-$75k",IF(D2255&lt;100000,"$75k-$100k","$100k+")))))</x:f>
        <x:v>&lt;$25k</x:v>
      </x:c>
      <x:c r="P2255" t="str">
        <x:f>IF(E2255="","Unknown",IF(E2255&lt;10,"&lt;10",IF(E2255&lt;20,"10-&lt;20",IF(E2255&lt;25,"20-&lt;25",IF(E2255&lt;35,"25-&lt;35","35+")))))</x:f>
        <x:v>10-&lt;20</x:v>
      </x:c>
    </x:row>
    <x:row r="2256">
      <x:c r="A2256" t="str">
        <x:v>SYN0002255</x:v>
      </x:c>
      <x:c r="B2256" s="12" t="n">
        <x:v>43195</x:v>
      </x:c>
      <x:c r="C2256" s="18" t="n">
        <x:v>14498</x:v>
      </x:c>
      <x:c r="D2256" s="18" t="n">
        <x:v>78825</x:v>
      </x:c>
      <x:c r="E2256" s="18" t="n">
        <x:v>30.7</x:v>
      </x:c>
      <x:c r="F2256" s="18" t="n">
        <x:v>25.01</x:v>
      </x:c>
      <x:c r="G2256" t="n">
        <x:v>36</x:v>
      </x:c>
      <x:c r="H2256" t="str">
        <x:v>G</x:v>
      </x:c>
      <x:c r="I2256" t="str">
        <x:v>7-9 years</x:v>
      </x:c>
      <x:c r="J2256" t="str">
        <x:v>RENT</x:v>
      </x:c>
      <x:c r="K2256" t="str">
        <x:v>other</x:v>
      </x:c>
      <x:c r="L2256" t="n">
        <x:v>3</x:v>
      </x:c>
      <x:c r="M2256" t="n">
        <x:v>0</x:v>
      </x:c>
      <x:c r="N2256" t="str">
        <x:v>Fully Paid</x:v>
      </x:c>
      <x:c r="O2256" t="str">
        <x:f>IF(D2256="","Unknown",IF(D2256&lt;25000,"&lt;$25k",IF(D2256&lt;50000,"$25k-$50k",IF(D2256&lt;75000,"$50k-$75k",IF(D2256&lt;100000,"$75k-$100k","$100k+")))))</x:f>
        <x:v>$75k-$100k</x:v>
      </x:c>
      <x:c r="P2256" t="str">
        <x:f>IF(E2256="","Unknown",IF(E2256&lt;10,"&lt;10",IF(E2256&lt;20,"10-&lt;20",IF(E2256&lt;25,"20-&lt;25",IF(E2256&lt;35,"25-&lt;35","35+")))))</x:f>
        <x:v>25-&lt;35</x:v>
      </x:c>
    </x:row>
    <x:row r="2257">
      <x:c r="A2257" t="str">
        <x:v>SYN0002256</x:v>
      </x:c>
      <x:c r="B2257" s="12" t="n">
        <x:v>42445</x:v>
      </x:c>
      <x:c r="C2257" s="18" t="n">
        <x:v>5847</x:v>
      </x:c>
      <x:c r="D2257" s="18" t="n">
        <x:v>154618</x:v>
      </x:c>
      <x:c r="E2257" s="18" t="n">
        <x:v>24.07</x:v>
      </x:c>
      <x:c r="F2257" s="18" t="n">
        <x:v>23.71</x:v>
      </x:c>
      <x:c r="G2257" t="n">
        <x:v>36</x:v>
      </x:c>
      <x:c r="H2257" t="str">
        <x:v>F</x:v>
      </x:c>
      <x:c r="I2257" t="str">
        <x:v>10+ years</x:v>
      </x:c>
      <x:c r="J2257" t="str">
        <x:v>RENT</x:v>
      </x:c>
      <x:c r="K2257" t="str">
        <x:v>credit_card</x:v>
      </x:c>
      <x:c r="L2257" t="n">
        <x:v>0</x:v>
      </x:c>
      <x:c r="M2257" t="n">
        <x:v>0</x:v>
      </x:c>
      <x:c r="N2257" t="str">
        <x:v>Fully Paid</x:v>
      </x:c>
      <x:c r="O2257" t="str">
        <x:f>IF(D2257="","Unknown",IF(D2257&lt;25000,"&lt;$25k",IF(D2257&lt;50000,"$25k-$50k",IF(D2257&lt;75000,"$50k-$75k",IF(D2257&lt;100000,"$75k-$100k","$100k+")))))</x:f>
        <x:v>$100k+</x:v>
      </x:c>
      <x:c r="P2257" t="str">
        <x:f>IF(E2257="","Unknown",IF(E2257&lt;10,"&lt;10",IF(E2257&lt;20,"10-&lt;20",IF(E2257&lt;25,"20-&lt;25",IF(E2257&lt;35,"25-&lt;35","35+")))))</x:f>
        <x:v>20-&lt;25</x:v>
      </x:c>
    </x:row>
    <x:row r="2258">
      <x:c r="A2258" t="str">
        <x:v>SYN0002257</x:v>
      </x:c>
      <x:c r="B2258" s="12" t="n">
        <x:v>41935</x:v>
      </x:c>
      <x:c r="C2258" s="18" t="n">
        <x:v>5234</x:v>
      </x:c>
      <x:c r="D2258" s="18" t="n">
        <x:v>43662</x:v>
      </x:c>
      <x:c r="E2258" s="18" t="n">
        <x:v>10.07</x:v>
      </x:c>
      <x:c r="F2258" s="18" t="n">
        <x:v>10.48</x:v>
      </x:c>
      <x:c r="G2258" t="n">
        <x:v>36</x:v>
      </x:c>
      <x:c r="H2258" t="str">
        <x:v>C</x:v>
      </x:c>
      <x:c r="I2258" t="str">
        <x:v>&lt;1 year</x:v>
      </x:c>
      <x:c r="J2258" t="str">
        <x:v>MORTGAGE</x:v>
      </x:c>
      <x:c r="K2258" t="str">
        <x:v>major_purchase</x:v>
      </x:c>
      <x:c r="L2258" t="n">
        <x:v>1</x:v>
      </x:c>
      <x:c r="M2258" t="n">
        <x:v>0</x:v>
      </x:c>
      <x:c r="N2258" t="str">
        <x:v>Fully Paid</x:v>
      </x:c>
      <x:c r="O2258" t="str">
        <x:f>IF(D2258="","Unknown",IF(D2258&lt;25000,"&lt;$25k",IF(D2258&lt;50000,"$25k-$50k",IF(D2258&lt;75000,"$50k-$75k",IF(D2258&lt;100000,"$75k-$100k","$100k+")))))</x:f>
        <x:v>$25k-$50k</x:v>
      </x:c>
      <x:c r="P2258" t="str">
        <x:f>IF(E2258="","Unknown",IF(E2258&lt;10,"&lt;10",IF(E2258&lt;20,"10-&lt;20",IF(E2258&lt;25,"20-&lt;25",IF(E2258&lt;35,"25-&lt;35","35+")))))</x:f>
        <x:v>10-&lt;20</x:v>
      </x:c>
    </x:row>
    <x:row r="2259">
      <x:c r="A2259" t="str">
        <x:v>SYN0002258</x:v>
      </x:c>
      <x:c r="B2259" s="12" t="n">
        <x:v>42385</x:v>
      </x:c>
      <x:c r="C2259" s="18" t="n">
        <x:v>10627</x:v>
      </x:c>
      <x:c r="D2259" s="18" t="n">
        <x:v>80748</x:v>
      </x:c>
      <x:c r="E2259" s="18" t="n">
        <x:v>6.76</x:v>
      </x:c>
      <x:c r="F2259" s="18" t="n">
        <x:v>15.83</x:v>
      </x:c>
      <x:c r="G2259" t="n">
        <x:v>36</x:v>
      </x:c>
      <x:c r="H2259" t="str">
        <x:v>D</x:v>
      </x:c>
      <x:c r="I2259" t="str">
        <x:v>7-9 years</x:v>
      </x:c>
      <x:c r="J2259" t="str">
        <x:v>RENT</x:v>
      </x:c>
      <x:c r="K2259" t="str">
        <x:v>debt_consolidation</x:v>
      </x:c>
      <x:c r="L2259" t="n">
        <x:v>0</x:v>
      </x:c>
      <x:c r="M2259" t="n">
        <x:v>0</x:v>
      </x:c>
      <x:c r="N2259" t="str">
        <x:v>Fully Paid</x:v>
      </x:c>
      <x:c r="O2259" t="str">
        <x:f>IF(D2259="","Unknown",IF(D2259&lt;25000,"&lt;$25k",IF(D2259&lt;50000,"$25k-$50k",IF(D2259&lt;75000,"$50k-$75k",IF(D2259&lt;100000,"$75k-$100k","$100k+")))))</x:f>
        <x:v>$75k-$100k</x:v>
      </x:c>
      <x:c r="P2259" t="str">
        <x:f>IF(E2259="","Unknown",IF(E2259&lt;10,"&lt;10",IF(E2259&lt;20,"10-&lt;20",IF(E2259&lt;25,"20-&lt;25",IF(E2259&lt;35,"25-&lt;35","35+")))))</x:f>
        <x:v>&lt;10</x:v>
      </x:c>
    </x:row>
    <x:row r="2260">
      <x:c r="A2260" t="str">
        <x:v>SYN0002259</x:v>
      </x:c>
      <x:c r="B2260" s="12" t="n">
        <x:v>43285</x:v>
      </x:c>
      <x:c r="C2260" s="18" t="n">
        <x:v>13313</x:v>
      </x:c>
      <x:c r="D2260" s="18" t="n">
        <x:v>20861</x:v>
      </x:c>
      <x:c r="E2260" s="18" t="n">
        <x:v>11.49</x:v>
      </x:c>
      <x:c r="F2260" s="18" t="n">
        <x:v>9.56</x:v>
      </x:c>
      <x:c r="G2260" t="n">
        <x:v>36</x:v>
      </x:c>
      <x:c r="H2260" t="str">
        <x:v>B</x:v>
      </x:c>
      <x:c r="I2260" t="str">
        <x:v>4-6 years</x:v>
      </x:c>
      <x:c r="J2260" t="str">
        <x:v>RENT</x:v>
      </x:c>
      <x:c r="K2260" t="str">
        <x:v>debt_consolidation</x:v>
      </x:c>
      <x:c r="L2260" t="n">
        <x:v>0</x:v>
      </x:c>
      <x:c r="M2260" t="n">
        <x:v>0</x:v>
      </x:c>
      <x:c r="N2260" t="str">
        <x:v>Fully Paid</x:v>
      </x:c>
      <x:c r="O2260" t="str">
        <x:f>IF(D2260="","Unknown",IF(D2260&lt;25000,"&lt;$25k",IF(D2260&lt;50000,"$25k-$50k",IF(D2260&lt;75000,"$50k-$75k",IF(D2260&lt;100000,"$75k-$100k","$100k+")))))</x:f>
        <x:v>&lt;$25k</x:v>
      </x:c>
      <x:c r="P2260" t="str">
        <x:f>IF(E2260="","Unknown",IF(E2260&lt;10,"&lt;10",IF(E2260&lt;20,"10-&lt;20",IF(E2260&lt;25,"20-&lt;25",IF(E2260&lt;35,"25-&lt;35","35+")))))</x:f>
        <x:v>10-&lt;20</x:v>
      </x:c>
    </x:row>
    <x:row r="2261">
      <x:c r="A2261" t="str">
        <x:v>SYN0002260</x:v>
      </x:c>
      <x:c r="B2261" s="12" t="n">
        <x:v>41815</x:v>
      </x:c>
      <x:c r="C2261" s="18" t="n">
        <x:v>22597</x:v>
      </x:c>
      <x:c r="D2261" s="18" t="n">
        <x:v>67315</x:v>
      </x:c>
      <x:c r="E2261" s="18" t="n">
        <x:v>22.29</x:v>
      </x:c>
      <x:c r="F2261" s="18" t="n">
        <x:v>5.03</x:v>
      </x:c>
      <x:c r="G2261" t="n">
        <x:v>36</x:v>
      </x:c>
      <x:c r="H2261" t="str">
        <x:v>A</x:v>
      </x:c>
      <x:c r="I2261" t="str">
        <x:v>4-6 years</x:v>
      </x:c>
      <x:c r="J2261" t="str">
        <x:v>MORTGAGE</x:v>
      </x:c>
      <x:c r="K2261" t="str">
        <x:v>major_purchase</x:v>
      </x:c>
      <x:c r="L2261" t="n">
        <x:v>0</x:v>
      </x:c>
      <x:c r="M2261" t="n">
        <x:v>0</x:v>
      </x:c>
      <x:c r="N2261" t="str">
        <x:v>Fully Paid</x:v>
      </x:c>
      <x:c r="O2261" t="str">
        <x:f>IF(D2261="","Unknown",IF(D2261&lt;25000,"&lt;$25k",IF(D2261&lt;50000,"$25k-$50k",IF(D2261&lt;75000,"$50k-$75k",IF(D2261&lt;100000,"$75k-$100k","$100k+")))))</x:f>
        <x:v>$50k-$75k</x:v>
      </x:c>
      <x:c r="P2261" t="str">
        <x:f>IF(E2261="","Unknown",IF(E2261&lt;10,"&lt;10",IF(E2261&lt;20,"10-&lt;20",IF(E2261&lt;25,"20-&lt;25",IF(E2261&lt;35,"25-&lt;35","35+")))))</x:f>
        <x:v>20-&lt;25</x:v>
      </x:c>
    </x:row>
    <x:row r="2262">
      <x:c r="A2262" t="str">
        <x:v>SYN0002261</x:v>
      </x:c>
      <x:c r="B2262" s="12" t="n">
        <x:v>42115</x:v>
      </x:c>
      <x:c r="C2262" s="18" t="n">
        <x:v>8077</x:v>
      </x:c>
      <x:c r="D2262" s="18" t="n">
        <x:v>44687</x:v>
      </x:c>
      <x:c r="E2262" s="18" t="n">
        <x:v>8.43</x:v>
      </x:c>
      <x:c r="F2262" s="18" t="n">
        <x:v>15.86</x:v>
      </x:c>
      <x:c r="G2262" t="n">
        <x:v>36</x:v>
      </x:c>
      <x:c r="H2262" t="str">
        <x:v>E</x:v>
      </x:c>
      <x:c r="I2262" t="str">
        <x:v>1-3 years</x:v>
      </x:c>
      <x:c r="J2262" t="str">
        <x:v>RENT</x:v>
      </x:c>
      <x:c r="K2262" t="str">
        <x:v>debt_consolidation</x:v>
      </x:c>
      <x:c r="L2262" t="n">
        <x:v>2</x:v>
      </x:c>
      <x:c r="M2262" t="n">
        <x:v>0</x:v>
      </x:c>
      <x:c r="N2262" t="str">
        <x:v>Fully Paid</x:v>
      </x:c>
      <x:c r="O2262" t="str">
        <x:f>IF(D2262="","Unknown",IF(D2262&lt;25000,"&lt;$25k",IF(D2262&lt;50000,"$25k-$50k",IF(D2262&lt;75000,"$50k-$75k",IF(D2262&lt;100000,"$75k-$100k","$100k+")))))</x:f>
        <x:v>$25k-$50k</x:v>
      </x:c>
      <x:c r="P2262" t="str">
        <x:f>IF(E2262="","Unknown",IF(E2262&lt;10,"&lt;10",IF(E2262&lt;20,"10-&lt;20",IF(E2262&lt;25,"20-&lt;25",IF(E2262&lt;35,"25-&lt;35","35+")))))</x:f>
        <x:v>&lt;10</x:v>
      </x:c>
    </x:row>
    <x:row r="2263">
      <x:c r="A2263" t="str">
        <x:v>SYN0002262</x:v>
      </x:c>
      <x:c r="B2263" s="12" t="n">
        <x:v>42085</x:v>
      </x:c>
      <x:c r="C2263" s="18" t="n">
        <x:v>40000</x:v>
      </x:c>
      <x:c r="D2263" s="18" t="n">
        <x:v>47037</x:v>
      </x:c>
      <x:c r="E2263" s="18" t="n">
        <x:v>22.88</x:v>
      </x:c>
      <x:c r="F2263" s="18" t="n">
        <x:v>13.54</x:v>
      </x:c>
      <x:c r="G2263" t="n">
        <x:v>36</x:v>
      </x:c>
      <x:c r="H2263" t="str">
        <x:v>C</x:v>
      </x:c>
      <x:c r="I2263" t="str">
        <x:v>10+ years</x:v>
      </x:c>
      <x:c r="J2263" t="str">
        <x:v>MORTGAGE</x:v>
      </x:c>
      <x:c r="K2263" t="str">
        <x:v>major_purchase</x:v>
      </x:c>
      <x:c r="L2263" t="n">
        <x:v>0</x:v>
      </x:c>
      <x:c r="M2263" t="n">
        <x:v>0</x:v>
      </x:c>
      <x:c r="N2263" t="str">
        <x:v>Fully Paid</x:v>
      </x:c>
      <x:c r="O2263" t="str">
        <x:f>IF(D2263="","Unknown",IF(D2263&lt;25000,"&lt;$25k",IF(D2263&lt;50000,"$25k-$50k",IF(D2263&lt;75000,"$50k-$75k",IF(D2263&lt;100000,"$75k-$100k","$100k+")))))</x:f>
        <x:v>$25k-$50k</x:v>
      </x:c>
      <x:c r="P2263" t="str">
        <x:f>IF(E2263="","Unknown",IF(E2263&lt;10,"&lt;10",IF(E2263&lt;20,"10-&lt;20",IF(E2263&lt;25,"20-&lt;25",IF(E2263&lt;35,"25-&lt;35","35+")))))</x:f>
        <x:v>20-&lt;25</x:v>
      </x:c>
    </x:row>
    <x:row r="2264">
      <x:c r="A2264" t="str">
        <x:v>SYN0002263</x:v>
      </x:c>
      <x:c r="B2264" s="12" t="n">
        <x:v>41575</x:v>
      </x:c>
      <x:c r="C2264" s="18" t="n">
        <x:v>7453</x:v>
      </x:c>
      <x:c r="D2264" s="18" t="n">
        <x:v>76260</x:v>
      </x:c>
      <x:c r="E2264" s="18" t="n">
        <x:v>34.07</x:v>
      </x:c>
      <x:c r="F2264" s="18" t="n">
        <x:v>6.12</x:v>
      </x:c>
      <x:c r="G2264" t="n">
        <x:v>36</x:v>
      </x:c>
      <x:c r="H2264" t="str">
        <x:v>A</x:v>
      </x:c>
      <x:c r="I2264" t="str">
        <x:v>10+ years</x:v>
      </x:c>
      <x:c r="J2264" t="str">
        <x:v>RENT</x:v>
      </x:c>
      <x:c r="K2264" t="str">
        <x:v>home_improvement</x:v>
      </x:c>
      <x:c r="L2264" t="n">
        <x:v>0</x:v>
      </x:c>
      <x:c r="M2264" t="n">
        <x:v>0</x:v>
      </x:c>
      <x:c r="N2264" t="str">
        <x:v>Fully Paid</x:v>
      </x:c>
      <x:c r="O2264" t="str">
        <x:f>IF(D2264="","Unknown",IF(D2264&lt;25000,"&lt;$25k",IF(D2264&lt;50000,"$25k-$50k",IF(D2264&lt;75000,"$50k-$75k",IF(D2264&lt;100000,"$75k-$100k","$100k+")))))</x:f>
        <x:v>$75k-$100k</x:v>
      </x:c>
      <x:c r="P2264" t="str">
        <x:f>IF(E2264="","Unknown",IF(E2264&lt;10,"&lt;10",IF(E2264&lt;20,"10-&lt;20",IF(E2264&lt;25,"20-&lt;25",IF(E2264&lt;35,"25-&lt;35","35+")))))</x:f>
        <x:v>25-&lt;35</x:v>
      </x:c>
    </x:row>
    <x:row r="2265">
      <x:c r="A2265" t="str">
        <x:v>SYN0002264</x:v>
      </x:c>
      <x:c r="B2265" s="12" t="n">
        <x:v>41605</x:v>
      </x:c>
      <x:c r="C2265" s="18" t="n">
        <x:v>25177</x:v>
      </x:c>
      <x:c r="D2265" s="18" t="n">
        <x:v>46028</x:v>
      </x:c>
      <x:c r="E2265" s="18" t="n">
        <x:v>12.51</x:v>
      </x:c>
      <x:c r="F2265" s="18" t="n">
        <x:v>10.8</x:v>
      </x:c>
      <x:c r="G2265" t="n">
        <x:v>60</x:v>
      </x:c>
      <x:c r="H2265" t="str">
        <x:v>C</x:v>
      </x:c>
      <x:c r="I2265" t="str">
        <x:v>&lt;1 year</x:v>
      </x:c>
      <x:c r="J2265" t="str">
        <x:v>MORTGAGE</x:v>
      </x:c>
      <x:c r="K2265" t="str">
        <x:v>debt_consolidation</x:v>
      </x:c>
      <x:c r="L2265" t="n">
        <x:v>2</x:v>
      </x:c>
      <x:c r="M2265" t="n">
        <x:v>1</x:v>
      </x:c>
      <x:c r="N2265" t="str">
        <x:v>Charged Off</x:v>
      </x:c>
      <x:c r="O2265" t="str">
        <x:f>IF(D2265="","Unknown",IF(D2265&lt;25000,"&lt;$25k",IF(D2265&lt;50000,"$25k-$50k",IF(D2265&lt;75000,"$50k-$75k",IF(D2265&lt;100000,"$75k-$100k","$100k+")))))</x:f>
        <x:v>$25k-$50k</x:v>
      </x:c>
      <x:c r="P2265" t="str">
        <x:f>IF(E2265="","Unknown",IF(E2265&lt;10,"&lt;10",IF(E2265&lt;20,"10-&lt;20",IF(E2265&lt;25,"20-&lt;25",IF(E2265&lt;35,"25-&lt;35","35+")))))</x:f>
        <x:v>10-&lt;20</x:v>
      </x:c>
    </x:row>
    <x:row r="2266">
      <x:c r="A2266" t="str">
        <x:v>SYN0002265</x:v>
      </x:c>
      <x:c r="B2266" s="12" t="n">
        <x:v>43345</x:v>
      </x:c>
      <x:c r="C2266" s="18" t="n">
        <x:v>5775</x:v>
      </x:c>
      <x:c r="D2266" s="18" t="n">
        <x:v>87010</x:v>
      </x:c>
      <x:c r="E2266" s="18" t="n">
        <x:v>21.66</x:v>
      </x:c>
      <x:c r="F2266" s="18" t="n">
        <x:v>8.79</x:v>
      </x:c>
      <x:c r="G2266" t="n">
        <x:v>60</x:v>
      </x:c>
      <x:c r="H2266" t="str">
        <x:v>A</x:v>
      </x:c>
      <x:c r="I2266" t="str">
        <x:v>10+ years</x:v>
      </x:c>
      <x:c r="J2266" t="str">
        <x:v>MORTGAGE</x:v>
      </x:c>
      <x:c r="K2266" t="str">
        <x:v>debt_consolidation</x:v>
      </x:c>
      <x:c r="L2266" t="n">
        <x:v>1</x:v>
      </x:c>
      <x:c r="M2266" t="n">
        <x:v>1</x:v>
      </x:c>
      <x:c r="N2266" t="str">
        <x:v>Charged Off</x:v>
      </x:c>
      <x:c r="O2266" t="str">
        <x:f>IF(D2266="","Unknown",IF(D2266&lt;25000,"&lt;$25k",IF(D2266&lt;50000,"$25k-$50k",IF(D2266&lt;75000,"$50k-$75k",IF(D2266&lt;100000,"$75k-$100k","$100k+")))))</x:f>
        <x:v>$75k-$100k</x:v>
      </x:c>
      <x:c r="P2266" t="str">
        <x:f>IF(E2266="","Unknown",IF(E2266&lt;10,"&lt;10",IF(E2266&lt;20,"10-&lt;20",IF(E2266&lt;25,"20-&lt;25",IF(E2266&lt;35,"25-&lt;35","35+")))))</x:f>
        <x:v>20-&lt;25</x:v>
      </x:c>
    </x:row>
    <x:row r="2267">
      <x:c r="A2267" t="str">
        <x:v>SYN0002266</x:v>
      </x:c>
      <x:c r="B2267" s="12" t="n">
        <x:v>41965</x:v>
      </x:c>
      <x:c r="C2267" s="18" t="n">
        <x:v>18811</x:v>
      </x:c>
      <x:c r="D2267" s="18" t="n">
        <x:v>18517</x:v>
      </x:c>
      <x:c r="E2267" s="18" t="n">
        <x:v>12.61</x:v>
      </x:c>
      <x:c r="F2267" s="18" t="n">
        <x:v>11.7</x:v>
      </x:c>
      <x:c r="G2267" t="n">
        <x:v>36</x:v>
      </x:c>
      <x:c r="H2267" t="str">
        <x:v>C</x:v>
      </x:c>
      <x:c r="I2267" t="str">
        <x:v>4-6 years</x:v>
      </x:c>
      <x:c r="J2267" t="str">
        <x:v>RENT</x:v>
      </x:c>
      <x:c r="K2267" t="str">
        <x:v>home_improvement</x:v>
      </x:c>
      <x:c r="L2267" t="n">
        <x:v>2</x:v>
      </x:c>
      <x:c r="M2267" t="n">
        <x:v>0</x:v>
      </x:c>
      <x:c r="N2267" t="str">
        <x:v>Fully Paid</x:v>
      </x:c>
      <x:c r="O2267" t="str">
        <x:f>IF(D2267="","Unknown",IF(D2267&lt;25000,"&lt;$25k",IF(D2267&lt;50000,"$25k-$50k",IF(D2267&lt;75000,"$50k-$75k",IF(D2267&lt;100000,"$75k-$100k","$100k+")))))</x:f>
        <x:v>&lt;$25k</x:v>
      </x:c>
      <x:c r="P2267" t="str">
        <x:f>IF(E2267="","Unknown",IF(E2267&lt;10,"&lt;10",IF(E2267&lt;20,"10-&lt;20",IF(E2267&lt;25,"20-&lt;25",IF(E2267&lt;35,"25-&lt;35","35+")))))</x:f>
        <x:v>10-&lt;20</x:v>
      </x:c>
    </x:row>
    <x:row r="2268">
      <x:c r="A2268" t="str">
        <x:v>SYN0002267</x:v>
      </x:c>
      <x:c r="B2268" s="12" t="n">
        <x:v>41275</x:v>
      </x:c>
      <x:c r="C2268" s="18" t="n">
        <x:v>19070</x:v>
      </x:c>
      <x:c r="D2268" s="18" t="n">
        <x:v>19391</x:v>
      </x:c>
      <x:c r="E2268" s="18" t="n">
        <x:v>11.87</x:v>
      </x:c>
      <x:c r="F2268" s="18" t="n">
        <x:v>16.29</x:v>
      </x:c>
      <x:c r="G2268" t="n">
        <x:v>60</x:v>
      </x:c>
      <x:c r="H2268" t="str">
        <x:v>D</x:v>
      </x:c>
      <x:c r="I2268" t="str">
        <x:v>7-9 years</x:v>
      </x:c>
      <x:c r="J2268" t="str">
        <x:v>OWN</x:v>
      </x:c>
      <x:c r="K2268" t="str">
        <x:v>major_purchase</x:v>
      </x:c>
      <x:c r="L2268" t="n">
        <x:v>0</x:v>
      </x:c>
      <x:c r="M2268" t="n">
        <x:v>0</x:v>
      </x:c>
      <x:c r="N2268" t="str">
        <x:v>Fully Paid</x:v>
      </x:c>
      <x:c r="O2268" t="str">
        <x:f>IF(D2268="","Unknown",IF(D2268&lt;25000,"&lt;$25k",IF(D2268&lt;50000,"$25k-$50k",IF(D2268&lt;75000,"$50k-$75k",IF(D2268&lt;100000,"$75k-$100k","$100k+")))))</x:f>
        <x:v>&lt;$25k</x:v>
      </x:c>
      <x:c r="P2268" t="str">
        <x:f>IF(E2268="","Unknown",IF(E2268&lt;10,"&lt;10",IF(E2268&lt;20,"10-&lt;20",IF(E2268&lt;25,"20-&lt;25",IF(E2268&lt;35,"25-&lt;35","35+")))))</x:f>
        <x:v>10-&lt;20</x:v>
      </x:c>
    </x:row>
    <x:row r="2269">
      <x:c r="A2269" t="str">
        <x:v>SYN0002268</x:v>
      </x:c>
      <x:c r="B2269" s="12" t="n">
        <x:v>43315</x:v>
      </x:c>
      <x:c r="C2269" s="18" t="n">
        <x:v>16560</x:v>
      </x:c>
      <x:c r="D2269" s="18" t="n">
        <x:v>176679</x:v>
      </x:c>
      <x:c r="E2269" s="18" t="n">
        <x:v>18.17</x:v>
      </x:c>
      <x:c r="F2269" s="18" t="n">
        <x:v>11.69</x:v>
      </x:c>
      <x:c r="G2269" t="n">
        <x:v>36</x:v>
      </x:c>
      <x:c r="H2269" t="str">
        <x:v>C</x:v>
      </x:c>
      <x:c r="I2269" t="str">
        <x:v>1-3 years</x:v>
      </x:c>
      <x:c r="J2269" t="str">
        <x:v>RENT</x:v>
      </x:c>
      <x:c r="K2269" t="str">
        <x:v>debt_consolidation</x:v>
      </x:c>
      <x:c r="L2269" t="n">
        <x:v>0</x:v>
      </x:c>
      <x:c r="M2269" t="n">
        <x:v>0</x:v>
      </x:c>
      <x:c r="N2269" t="str">
        <x:v>Fully Paid</x:v>
      </x:c>
      <x:c r="O2269" t="str">
        <x:f>IF(D2269="","Unknown",IF(D2269&lt;25000,"&lt;$25k",IF(D2269&lt;50000,"$25k-$50k",IF(D2269&lt;75000,"$50k-$75k",IF(D2269&lt;100000,"$75k-$100k","$100k+")))))</x:f>
        <x:v>$100k+</x:v>
      </x:c>
      <x:c r="P2269" t="str">
        <x:f>IF(E2269="","Unknown",IF(E2269&lt;10,"&lt;10",IF(E2269&lt;20,"10-&lt;20",IF(E2269&lt;25,"20-&lt;25",IF(E2269&lt;35,"25-&lt;35","35+")))))</x:f>
        <x:v>10-&lt;20</x:v>
      </x:c>
    </x:row>
    <x:row r="2270">
      <x:c r="A2270" t="str">
        <x:v>SYN0002269</x:v>
      </x:c>
      <x:c r="B2270" s="12" t="n">
        <x:v>42145</x:v>
      </x:c>
      <x:c r="C2270" s="18" t="n">
        <x:v>13118</x:v>
      </x:c>
      <x:c r="D2270" s="18" t="n">
        <x:v>46073</x:v>
      </x:c>
      <x:c r="E2270" s="18" t="n">
        <x:v>10.21</x:v>
      </x:c>
      <x:c r="F2270" s="18" t="n">
        <x:v>9.45</x:v>
      </x:c>
      <x:c r="G2270" t="n">
        <x:v>36</x:v>
      </x:c>
      <x:c r="H2270" t="str">
        <x:v>B</x:v>
      </x:c>
      <x:c r="I2270" t="str">
        <x:v>1-3 years</x:v>
      </x:c>
      <x:c r="J2270" t="str">
        <x:v>RENT</x:v>
      </x:c>
      <x:c r="K2270" t="str">
        <x:v>home_improvement</x:v>
      </x:c>
      <x:c r="L2270" t="n">
        <x:v>0</x:v>
      </x:c>
      <x:c r="M2270" t="n">
        <x:v>0</x:v>
      </x:c>
      <x:c r="N2270" t="str">
        <x:v>Fully Paid</x:v>
      </x:c>
      <x:c r="O2270" t="str">
        <x:f>IF(D2270="","Unknown",IF(D2270&lt;25000,"&lt;$25k",IF(D2270&lt;50000,"$25k-$50k",IF(D2270&lt;75000,"$50k-$75k",IF(D2270&lt;100000,"$75k-$100k","$100k+")))))</x:f>
        <x:v>$25k-$50k</x:v>
      </x:c>
      <x:c r="P2270" t="str">
        <x:f>IF(E2270="","Unknown",IF(E2270&lt;10,"&lt;10",IF(E2270&lt;20,"10-&lt;20",IF(E2270&lt;25,"20-&lt;25",IF(E2270&lt;35,"25-&lt;35","35+")))))</x:f>
        <x:v>10-&lt;20</x:v>
      </x:c>
    </x:row>
    <x:row r="2271">
      <x:c r="A2271" t="str">
        <x:v>SYN0002270</x:v>
      </x:c>
      <x:c r="B2271" s="12" t="n">
        <x:v>43285</x:v>
      </x:c>
      <x:c r="C2271" s="18" t="n">
        <x:v>16808</x:v>
      </x:c>
      <x:c r="D2271" s="18" t="n">
        <x:v>180565</x:v>
      </x:c>
      <x:c r="E2271" s="18" t="n">
        <x:v>28.7</x:v>
      </x:c>
      <x:c r="F2271" s="18" t="n">
        <x:v>12.59</x:v>
      </x:c>
      <x:c r="G2271" t="n">
        <x:v>60</x:v>
      </x:c>
      <x:c r="H2271" t="str">
        <x:v>C</x:v>
      </x:c>
      <x:c r="I2271" t="str">
        <x:v>1-3 years</x:v>
      </x:c>
      <x:c r="J2271" t="str">
        <x:v>MORTGAGE</x:v>
      </x:c>
      <x:c r="K2271" t="str">
        <x:v>credit_card</x:v>
      </x:c>
      <x:c r="L2271" t="n">
        <x:v>1</x:v>
      </x:c>
      <x:c r="M2271" t="n">
        <x:v>0</x:v>
      </x:c>
      <x:c r="N2271" t="str">
        <x:v>Fully Paid</x:v>
      </x:c>
      <x:c r="O2271" t="str">
        <x:f>IF(D2271="","Unknown",IF(D2271&lt;25000,"&lt;$25k",IF(D2271&lt;50000,"$25k-$50k",IF(D2271&lt;75000,"$50k-$75k",IF(D2271&lt;100000,"$75k-$100k","$100k+")))))</x:f>
        <x:v>$100k+</x:v>
      </x:c>
      <x:c r="P2271" t="str">
        <x:f>IF(E2271="","Unknown",IF(E2271&lt;10,"&lt;10",IF(E2271&lt;20,"10-&lt;20",IF(E2271&lt;25,"20-&lt;25",IF(E2271&lt;35,"25-&lt;35","35+")))))</x:f>
        <x:v>25-&lt;35</x:v>
      </x:c>
    </x:row>
    <x:row r="2272">
      <x:c r="A2272" t="str">
        <x:v>SYN0002271</x:v>
      </x:c>
      <x:c r="B2272" s="12" t="n">
        <x:v>42775</x:v>
      </x:c>
      <x:c r="C2272" s="18" t="n">
        <x:v>10714</x:v>
      </x:c>
      <x:c r="D2272" s="18" t="n">
        <x:v>67720</x:v>
      </x:c>
      <x:c r="E2272" s="18" t="n">
        <x:v>12.85</x:v>
      </x:c>
      <x:c r="F2272" s="18" t="n">
        <x:v>15.94</x:v>
      </x:c>
      <x:c r="G2272" t="n">
        <x:v>60</x:v>
      </x:c>
      <x:c r="H2272" t="str">
        <x:v>D</x:v>
      </x:c>
      <x:c r="I2272" t="str">
        <x:v>4-6 years</x:v>
      </x:c>
      <x:c r="J2272" t="str">
        <x:v>OTHER</x:v>
      </x:c>
      <x:c r="K2272" t="str">
        <x:v>debt_consolidation</x:v>
      </x:c>
      <x:c r="L2272" t="n">
        <x:v>1</x:v>
      </x:c>
      <x:c r="M2272" t="n">
        <x:v>0</x:v>
      </x:c>
      <x:c r="N2272" t="str">
        <x:v>Fully Paid</x:v>
      </x:c>
      <x:c r="O2272" t="str">
        <x:f>IF(D2272="","Unknown",IF(D2272&lt;25000,"&lt;$25k",IF(D2272&lt;50000,"$25k-$50k",IF(D2272&lt;75000,"$50k-$75k",IF(D2272&lt;100000,"$75k-$100k","$100k+")))))</x:f>
        <x:v>$50k-$75k</x:v>
      </x:c>
      <x:c r="P2272" t="str">
        <x:f>IF(E2272="","Unknown",IF(E2272&lt;10,"&lt;10",IF(E2272&lt;20,"10-&lt;20",IF(E2272&lt;25,"20-&lt;25",IF(E2272&lt;35,"25-&lt;35","35+")))))</x:f>
        <x:v>10-&lt;20</x:v>
      </x:c>
    </x:row>
    <x:row r="2273">
      <x:c r="A2273" t="str">
        <x:v>SYN0002272</x:v>
      </x:c>
      <x:c r="B2273" s="12" t="n">
        <x:v>41455</x:v>
      </x:c>
      <x:c r="C2273" s="18" t="n">
        <x:v>11751</x:v>
      </x:c>
      <x:c r="D2273" s="18" t="n">
        <x:v>48535</x:v>
      </x:c>
      <x:c r="E2273" s="18" t="n">
        <x:v>26.64</x:v>
      </x:c>
      <x:c r="F2273" s="18" t="n">
        <x:v>8.29</x:v>
      </x:c>
      <x:c r="G2273" t="n">
        <x:v>36</x:v>
      </x:c>
      <x:c r="H2273" t="str">
        <x:v>B</x:v>
      </x:c>
      <x:c r="I2273" t="str">
        <x:v>7-9 years</x:v>
      </x:c>
      <x:c r="J2273" t="str">
        <x:v>MORTGAGE</x:v>
      </x:c>
      <x:c r="K2273" t="str">
        <x:v>credit_card</x:v>
      </x:c>
      <x:c r="L2273" t="n">
        <x:v>1</x:v>
      </x:c>
      <x:c r="M2273" t="n">
        <x:v>0</x:v>
      </x:c>
      <x:c r="N2273" t="str">
        <x:v>Fully Paid</x:v>
      </x:c>
      <x:c r="O2273" t="str">
        <x:f>IF(D2273="","Unknown",IF(D2273&lt;25000,"&lt;$25k",IF(D2273&lt;50000,"$25k-$50k",IF(D2273&lt;75000,"$50k-$75k",IF(D2273&lt;100000,"$75k-$100k","$100k+")))))</x:f>
        <x:v>$25k-$50k</x:v>
      </x:c>
      <x:c r="P2273" t="str">
        <x:f>IF(E2273="","Unknown",IF(E2273&lt;10,"&lt;10",IF(E2273&lt;20,"10-&lt;20",IF(E2273&lt;25,"20-&lt;25",IF(E2273&lt;35,"25-&lt;35","35+")))))</x:f>
        <x:v>25-&lt;35</x:v>
      </x:c>
    </x:row>
    <x:row r="2274">
      <x:c r="A2274" t="str">
        <x:v>SYN0002273</x:v>
      </x:c>
      <x:c r="B2274" s="12" t="n">
        <x:v>42805</x:v>
      </x:c>
      <x:c r="C2274" s="18" t="n">
        <x:v>11909</x:v>
      </x:c>
      <x:c r="D2274" s="18" t="n">
        <x:v>58588</x:v>
      </x:c>
      <x:c r="E2274" s="18" t="n">
        <x:v>35.15</x:v>
      </x:c>
      <x:c r="F2274" s="18" t="n">
        <x:v>18</x:v>
      </x:c>
      <x:c r="G2274" t="n">
        <x:v>60</x:v>
      </x:c>
      <x:c r="H2274" t="str">
        <x:v>E</x:v>
      </x:c>
      <x:c r="I2274" t="str">
        <x:v>10+ years</x:v>
      </x:c>
      <x:c r="J2274" t="str">
        <x:v>RENT</x:v>
      </x:c>
      <x:c r="K2274" t="str">
        <x:v>debt_consolidation</x:v>
      </x:c>
      <x:c r="L2274" t="n">
        <x:v>0</x:v>
      </x:c>
      <x:c r="M2274" t="n">
        <x:v>0</x:v>
      </x:c>
      <x:c r="N2274" t="str">
        <x:v>Fully Paid</x:v>
      </x:c>
      <x:c r="O2274" t="str">
        <x:f>IF(D2274="","Unknown",IF(D2274&lt;25000,"&lt;$25k",IF(D2274&lt;50000,"$25k-$50k",IF(D2274&lt;75000,"$50k-$75k",IF(D2274&lt;100000,"$75k-$100k","$100k+")))))</x:f>
        <x:v>$50k-$75k</x:v>
      </x:c>
      <x:c r="P2274" t="str">
        <x:f>IF(E2274="","Unknown",IF(E2274&lt;10,"&lt;10",IF(E2274&lt;20,"10-&lt;20",IF(E2274&lt;25,"20-&lt;25",IF(E2274&lt;35,"25-&lt;35","35+")))))</x:f>
        <x:v>35+</x:v>
      </x:c>
    </x:row>
    <x:row r="2275">
      <x:c r="A2275" t="str">
        <x:v>SYN0002274</x:v>
      </x:c>
      <x:c r="B2275" s="12" t="n">
        <x:v>42625</x:v>
      </x:c>
      <x:c r="C2275" s="18" t="n">
        <x:v>21941</x:v>
      </x:c>
      <x:c r="D2275" s="18" t="n">
        <x:v>19172</x:v>
      </x:c>
      <x:c r="E2275" s="18" t="n">
        <x:v>33.53</x:v>
      </x:c>
      <x:c r="F2275" s="18" t="n">
        <x:v>7.23</x:v>
      </x:c>
      <x:c r="G2275" t="n">
        <x:v>60</x:v>
      </x:c>
      <x:c r="H2275" t="str">
        <x:v>B</x:v>
      </x:c>
      <x:c r="I2275" t="str">
        <x:v>10+ years</x:v>
      </x:c>
      <x:c r="J2275" t="str">
        <x:v>MORTGAGE</x:v>
      </x:c>
      <x:c r="K2275" t="str">
        <x:v>medical</x:v>
      </x:c>
      <x:c r="L2275" t="n">
        <x:v>0</x:v>
      </x:c>
      <x:c r="M2275" t="n">
        <x:v>0</x:v>
      </x:c>
      <x:c r="N2275" t="str">
        <x:v>Fully Paid</x:v>
      </x:c>
      <x:c r="O2275" t="str">
        <x:f>IF(D2275="","Unknown",IF(D2275&lt;25000,"&lt;$25k",IF(D2275&lt;50000,"$25k-$50k",IF(D2275&lt;75000,"$50k-$75k",IF(D2275&lt;100000,"$75k-$100k","$100k+")))))</x:f>
        <x:v>&lt;$25k</x:v>
      </x:c>
      <x:c r="P2275" t="str">
        <x:f>IF(E2275="","Unknown",IF(E2275&lt;10,"&lt;10",IF(E2275&lt;20,"10-&lt;20",IF(E2275&lt;25,"20-&lt;25",IF(E2275&lt;35,"25-&lt;35","35+")))))</x:f>
        <x:v>25-&lt;35</x:v>
      </x:c>
    </x:row>
    <x:row r="2276">
      <x:c r="A2276" t="str">
        <x:v>SYN0002275</x:v>
      </x:c>
      <x:c r="B2276" s="12" t="n">
        <x:v>42385</x:v>
      </x:c>
      <x:c r="C2276" s="18" t="n">
        <x:v>18002</x:v>
      </x:c>
      <x:c r="D2276" s="18" t="n">
        <x:v>20575</x:v>
      </x:c>
      <x:c r="E2276" s="18" t="n">
        <x:v>16.24</x:v>
      </x:c>
      <x:c r="F2276" s="18" t="n">
        <x:v>5</x:v>
      </x:c>
      <x:c r="G2276" t="n">
        <x:v>36</x:v>
      </x:c>
      <x:c r="H2276" t="str">
        <x:v>A</x:v>
      </x:c>
      <x:c r="I2276" t="str">
        <x:v>10+ years</x:v>
      </x:c>
      <x:c r="J2276" t="str">
        <x:v>MORTGAGE</x:v>
      </x:c>
      <x:c r="K2276" t="str">
        <x:v>debt_consolidation</x:v>
      </x:c>
      <x:c r="L2276" t="n">
        <x:v>0</x:v>
      </x:c>
      <x:c r="M2276" t="n">
        <x:v>0</x:v>
      </x:c>
      <x:c r="N2276" t="str">
        <x:v>Fully Paid</x:v>
      </x:c>
      <x:c r="O2276" t="str">
        <x:f>IF(D2276="","Unknown",IF(D2276&lt;25000,"&lt;$25k",IF(D2276&lt;50000,"$25k-$50k",IF(D2276&lt;75000,"$50k-$75k",IF(D2276&lt;100000,"$75k-$100k","$100k+")))))</x:f>
        <x:v>&lt;$25k</x:v>
      </x:c>
      <x:c r="P2276" t="str">
        <x:f>IF(E2276="","Unknown",IF(E2276&lt;10,"&lt;10",IF(E2276&lt;20,"10-&lt;20",IF(E2276&lt;25,"20-&lt;25",IF(E2276&lt;35,"25-&lt;35","35+")))))</x:f>
        <x:v>10-&lt;20</x:v>
      </x:c>
    </x:row>
    <x:row r="2277">
      <x:c r="A2277" t="str">
        <x:v>SYN0002276</x:v>
      </x:c>
      <x:c r="B2277" s="12" t="n">
        <x:v>42565</x:v>
      </x:c>
      <x:c r="C2277" s="18" t="n">
        <x:v>14332</x:v>
      </x:c>
      <x:c r="D2277" s="18" t="n">
        <x:v>44323</x:v>
      </x:c>
      <x:c r="E2277" s="18" t="n">
        <x:v>23.55</x:v>
      </x:c>
      <x:c r="F2277" s="18" t="n">
        <x:v>19.45</x:v>
      </x:c>
      <x:c r="G2277" t="n">
        <x:v>36</x:v>
      </x:c>
      <x:c r="H2277" t="str">
        <x:v>E</x:v>
      </x:c>
      <x:c r="I2277" t="str">
        <x:v>1-3 years</x:v>
      </x:c>
      <x:c r="J2277" t="str">
        <x:v>OWN</x:v>
      </x:c>
      <x:c r="K2277" t="str">
        <x:v>medical</x:v>
      </x:c>
      <x:c r="L2277" t="n">
        <x:v>1</x:v>
      </x:c>
      <x:c r="M2277" t="n">
        <x:v>0</x:v>
      </x:c>
      <x:c r="N2277" t="str">
        <x:v>Fully Paid</x:v>
      </x:c>
      <x:c r="O2277" t="str">
        <x:f>IF(D2277="","Unknown",IF(D2277&lt;25000,"&lt;$25k",IF(D2277&lt;50000,"$25k-$50k",IF(D2277&lt;75000,"$50k-$75k",IF(D2277&lt;100000,"$75k-$100k","$100k+")))))</x:f>
        <x:v>$25k-$50k</x:v>
      </x:c>
      <x:c r="P2277" t="str">
        <x:f>IF(E2277="","Unknown",IF(E2277&lt;10,"&lt;10",IF(E2277&lt;20,"10-&lt;20",IF(E2277&lt;25,"20-&lt;25",IF(E2277&lt;35,"25-&lt;35","35+")))))</x:f>
        <x:v>20-&lt;25</x:v>
      </x:c>
    </x:row>
    <x:row r="2278">
      <x:c r="A2278" t="str">
        <x:v>SYN0002277</x:v>
      </x:c>
      <x:c r="B2278" s="12" t="n">
        <x:v>42175</x:v>
      </x:c>
      <x:c r="C2278" s="18" t="n">
        <x:v>8679</x:v>
      </x:c>
      <x:c r="D2278" s="18" t="n">
        <x:v>41149</x:v>
      </x:c>
      <x:c r="E2278" s="18" t="n">
        <x:v>31.17</x:v>
      </x:c>
      <x:c r="F2278" s="18" t="n">
        <x:v>14.81</x:v>
      </x:c>
      <x:c r="G2278" t="n">
        <x:v>36</x:v>
      </x:c>
      <x:c r="H2278" t="str">
        <x:v>E</x:v>
      </x:c>
      <x:c r="I2278" t="str">
        <x:v>7-9 years</x:v>
      </x:c>
      <x:c r="J2278" t="str">
        <x:v>RENT</x:v>
      </x:c>
      <x:c r="K2278" t="str">
        <x:v>major_purchase</x:v>
      </x:c>
      <x:c r="L2278" t="n">
        <x:v>0</x:v>
      </x:c>
      <x:c r="M2278" t="n">
        <x:v>1</x:v>
      </x:c>
      <x:c r="N2278" t="str">
        <x:v>Charged Off</x:v>
      </x:c>
      <x:c r="O2278" t="str">
        <x:f>IF(D2278="","Unknown",IF(D2278&lt;25000,"&lt;$25k",IF(D2278&lt;50000,"$25k-$50k",IF(D2278&lt;75000,"$50k-$75k",IF(D2278&lt;100000,"$75k-$100k","$100k+")))))</x:f>
        <x:v>$25k-$50k</x:v>
      </x:c>
      <x:c r="P2278" t="str">
        <x:f>IF(E2278="","Unknown",IF(E2278&lt;10,"&lt;10",IF(E2278&lt;20,"10-&lt;20",IF(E2278&lt;25,"20-&lt;25",IF(E2278&lt;35,"25-&lt;35","35+")))))</x:f>
        <x:v>25-&lt;35</x:v>
      </x:c>
    </x:row>
    <x:row r="2279">
      <x:c r="A2279" t="str">
        <x:v>SYN0002278</x:v>
      </x:c>
      <x:c r="B2279" s="12" t="n">
        <x:v>43285</x:v>
      </x:c>
      <x:c r="C2279" s="18" t="n">
        <x:v>16948</x:v>
      </x:c>
      <x:c r="D2279" s="18" t="n">
        <x:v>94067</x:v>
      </x:c>
      <x:c r="E2279" s="18" t="n">
        <x:v>30.76</x:v>
      </x:c>
      <x:c r="F2279" s="18" t="n">
        <x:v>12.52</x:v>
      </x:c>
      <x:c r="G2279" t="n">
        <x:v>60</x:v>
      </x:c>
      <x:c r="H2279" t="str">
        <x:v>D</x:v>
      </x:c>
      <x:c r="I2279" t="str">
        <x:v>10+ years</x:v>
      </x:c>
      <x:c r="J2279" t="str">
        <x:v>RENT</x:v>
      </x:c>
      <x:c r="K2279" t="str">
        <x:v>major_purchase</x:v>
      </x:c>
      <x:c r="L2279" t="n">
        <x:v>1</x:v>
      </x:c>
      <x:c r="M2279" t="n">
        <x:v>0</x:v>
      </x:c>
      <x:c r="N2279" t="str">
        <x:v>Fully Paid</x:v>
      </x:c>
      <x:c r="O2279" t="str">
        <x:f>IF(D2279="","Unknown",IF(D2279&lt;25000,"&lt;$25k",IF(D2279&lt;50000,"$25k-$50k",IF(D2279&lt;75000,"$50k-$75k",IF(D2279&lt;100000,"$75k-$100k","$100k+")))))</x:f>
        <x:v>$75k-$100k</x:v>
      </x:c>
      <x:c r="P2279" t="str">
        <x:f>IF(E2279="","Unknown",IF(E2279&lt;10,"&lt;10",IF(E2279&lt;20,"10-&lt;20",IF(E2279&lt;25,"20-&lt;25",IF(E2279&lt;35,"25-&lt;35","35+")))))</x:f>
        <x:v>25-&lt;35</x:v>
      </x:c>
    </x:row>
    <x:row r="2280">
      <x:c r="A2280" t="str">
        <x:v>SYN0002279</x:v>
      </x:c>
      <x:c r="B2280" s="12" t="n">
        <x:v>43105</x:v>
      </x:c>
      <x:c r="C2280" s="18" t="n">
        <x:v>16258</x:v>
      </x:c>
      <x:c r="D2280" s="18" t="n">
        <x:v>84899</x:v>
      </x:c>
      <x:c r="E2280" s="18" t="n">
        <x:v>19.6</x:v>
      </x:c>
      <x:c r="F2280" s="18" t="n">
        <x:v>9.42</x:v>
      </x:c>
      <x:c r="G2280" t="n">
        <x:v>36</x:v>
      </x:c>
      <x:c r="H2280" t="str">
        <x:v>C</x:v>
      </x:c>
      <x:c r="I2280" t="str">
        <x:v>&lt;1 year</x:v>
      </x:c>
      <x:c r="J2280" t="str">
        <x:v>MORTGAGE</x:v>
      </x:c>
      <x:c r="K2280" t="str">
        <x:v>debt_consolidation</x:v>
      </x:c>
      <x:c r="L2280" t="n">
        <x:v>1</x:v>
      </x:c>
      <x:c r="M2280" t="n">
        <x:v>0</x:v>
      </x:c>
      <x:c r="N2280" t="str">
        <x:v>Fully Paid</x:v>
      </x:c>
      <x:c r="O2280" t="str">
        <x:f>IF(D2280="","Unknown",IF(D2280&lt;25000,"&lt;$25k",IF(D2280&lt;50000,"$25k-$50k",IF(D2280&lt;75000,"$50k-$75k",IF(D2280&lt;100000,"$75k-$100k","$100k+")))))</x:f>
        <x:v>$75k-$100k</x:v>
      </x:c>
      <x:c r="P2280" t="str">
        <x:f>IF(E2280="","Unknown",IF(E2280&lt;10,"&lt;10",IF(E2280&lt;20,"10-&lt;20",IF(E2280&lt;25,"20-&lt;25",IF(E2280&lt;35,"25-&lt;35","35+")))))</x:f>
        <x:v>10-&lt;20</x:v>
      </x:c>
    </x:row>
    <x:row r="2281">
      <x:c r="A2281" t="str">
        <x:v>SYN0002280</x:v>
      </x:c>
      <x:c r="B2281" s="12" t="n">
        <x:v>42145</x:v>
      </x:c>
      <x:c r="C2281" s="18" t="n">
        <x:v>21582</x:v>
      </x:c>
      <x:c r="D2281" s="18" t="n">
        <x:v>21531</x:v>
      </x:c>
      <x:c r="E2281" s="18" t="n">
        <x:v>27.31</x:v>
      </x:c>
      <x:c r="F2281" s="18" t="n">
        <x:v>18.27</x:v>
      </x:c>
      <x:c r="G2281" t="n">
        <x:v>36</x:v>
      </x:c>
      <x:c r="H2281" t="str">
        <x:v>D</x:v>
      </x:c>
      <x:c r="I2281" t="str">
        <x:v>7-9 years</x:v>
      </x:c>
      <x:c r="J2281" t="str">
        <x:v>OWN</x:v>
      </x:c>
      <x:c r="K2281" t="str">
        <x:v>debt_consolidation</x:v>
      </x:c>
      <x:c r="L2281" t="n">
        <x:v>2</x:v>
      </x:c>
      <x:c r="M2281" t="n">
        <x:v>0</x:v>
      </x:c>
      <x:c r="N2281" t="str">
        <x:v>Fully Paid</x:v>
      </x:c>
      <x:c r="O2281" t="str">
        <x:f>IF(D2281="","Unknown",IF(D2281&lt;25000,"&lt;$25k",IF(D2281&lt;50000,"$25k-$50k",IF(D2281&lt;75000,"$50k-$75k",IF(D2281&lt;100000,"$75k-$100k","$100k+")))))</x:f>
        <x:v>&lt;$25k</x:v>
      </x:c>
      <x:c r="P2281" t="str">
        <x:f>IF(E2281="","Unknown",IF(E2281&lt;10,"&lt;10",IF(E2281&lt;20,"10-&lt;20",IF(E2281&lt;25,"20-&lt;25",IF(E2281&lt;35,"25-&lt;35","35+")))))</x:f>
        <x:v>25-&lt;35</x:v>
      </x:c>
    </x:row>
    <x:row r="2282">
      <x:c r="A2282" t="str">
        <x:v>SYN0002281</x:v>
      </x:c>
      <x:c r="B2282" s="12" t="n">
        <x:v>41635</x:v>
      </x:c>
      <x:c r="C2282" s="18" t="n">
        <x:v>6601</x:v>
      </x:c>
      <x:c r="D2282" s="18" t="n">
        <x:v>55911</x:v>
      </x:c>
      <x:c r="E2282" s="18" t="n">
        <x:v>13.39</x:v>
      </x:c>
      <x:c r="F2282" s="18" t="n">
        <x:v>7.65</x:v>
      </x:c>
      <x:c r="G2282" t="n">
        <x:v>36</x:v>
      </x:c>
      <x:c r="H2282" t="str">
        <x:v>B</x:v>
      </x:c>
      <x:c r="I2282" t="str">
        <x:v>4-6 years</x:v>
      </x:c>
      <x:c r="J2282" t="str">
        <x:v>MORTGAGE</x:v>
      </x:c>
      <x:c r="K2282" t="str">
        <x:v>major_purchase</x:v>
      </x:c>
      <x:c r="L2282" t="n">
        <x:v>0</x:v>
      </x:c>
      <x:c r="M2282" t="n">
        <x:v>0</x:v>
      </x:c>
      <x:c r="N2282" t="str">
        <x:v>Fully Paid</x:v>
      </x:c>
      <x:c r="O2282" t="str">
        <x:f>IF(D2282="","Unknown",IF(D2282&lt;25000,"&lt;$25k",IF(D2282&lt;50000,"$25k-$50k",IF(D2282&lt;75000,"$50k-$75k",IF(D2282&lt;100000,"$75k-$100k","$100k+")))))</x:f>
        <x:v>$50k-$75k</x:v>
      </x:c>
      <x:c r="P2282" t="str">
        <x:f>IF(E2282="","Unknown",IF(E2282&lt;10,"&lt;10",IF(E2282&lt;20,"10-&lt;20",IF(E2282&lt;25,"20-&lt;25",IF(E2282&lt;35,"25-&lt;35","35+")))))</x:f>
        <x:v>10-&lt;20</x:v>
      </x:c>
    </x:row>
    <x:row r="2283">
      <x:c r="A2283" t="str">
        <x:v>SYN0002282</x:v>
      </x:c>
      <x:c r="B2283" s="12" t="n">
        <x:v>41935</x:v>
      </x:c>
      <x:c r="C2283" s="18" t="n">
        <x:v>19676</x:v>
      </x:c>
      <x:c r="D2283" s="18" t="n">
        <x:v>51595</x:v>
      </x:c>
      <x:c r="E2283" s="18" t="n">
        <x:v>30.72</x:v>
      </x:c>
      <x:c r="F2283" s="18" t="n">
        <x:v>6.92</x:v>
      </x:c>
      <x:c r="G2283" t="n">
        <x:v>36</x:v>
      </x:c>
      <x:c r="H2283" t="str">
        <x:v>B</x:v>
      </x:c>
      <x:c r="I2283" t="str">
        <x:v>&lt;1 year</x:v>
      </x:c>
      <x:c r="J2283" t="str">
        <x:v>OTHER</x:v>
      </x:c>
      <x:c r="K2283" t="str">
        <x:v>credit_card</x:v>
      </x:c>
      <x:c r="L2283" t="n">
        <x:v>0</x:v>
      </x:c>
      <x:c r="M2283" t="n">
        <x:v>0</x:v>
      </x:c>
      <x:c r="N2283" t="str">
        <x:v>Fully Paid</x:v>
      </x:c>
      <x:c r="O2283" t="str">
        <x:f>IF(D2283="","Unknown",IF(D2283&lt;25000,"&lt;$25k",IF(D2283&lt;50000,"$25k-$50k",IF(D2283&lt;75000,"$50k-$75k",IF(D2283&lt;100000,"$75k-$100k","$100k+")))))</x:f>
        <x:v>$50k-$75k</x:v>
      </x:c>
      <x:c r="P2283" t="str">
        <x:f>IF(E2283="","Unknown",IF(E2283&lt;10,"&lt;10",IF(E2283&lt;20,"10-&lt;20",IF(E2283&lt;25,"20-&lt;25",IF(E2283&lt;35,"25-&lt;35","35+")))))</x:f>
        <x:v>25-&lt;35</x:v>
      </x:c>
    </x:row>
    <x:row r="2284">
      <x:c r="A2284" t="str">
        <x:v>SYN0002283</x:v>
      </x:c>
      <x:c r="B2284" s="12" t="n">
        <x:v>42775</x:v>
      </x:c>
      <x:c r="C2284" s="18" t="n">
        <x:v>20888</x:v>
      </x:c>
      <x:c r="D2284" s="18" t="n">
        <x:v>21173</x:v>
      </x:c>
      <x:c r="E2284" s="18" t="n">
        <x:v>18.44</x:v>
      </x:c>
      <x:c r="F2284" s="18" t="n">
        <x:v>11.93</x:v>
      </x:c>
      <x:c r="G2284" t="n">
        <x:v>36</x:v>
      </x:c>
      <x:c r="H2284" t="str">
        <x:v>D</x:v>
      </x:c>
      <x:c r="I2284" t="str">
        <x:v>1-3 years</x:v>
      </x:c>
      <x:c r="J2284" t="str">
        <x:v>RENT</x:v>
      </x:c>
      <x:c r="K2284" t="str">
        <x:v>credit_card</x:v>
      </x:c>
      <x:c r="L2284" t="n">
        <x:v>1</x:v>
      </x:c>
      <x:c r="M2284" t="n">
        <x:v>0</x:v>
      </x:c>
      <x:c r="N2284" t="str">
        <x:v>Fully Paid</x:v>
      </x:c>
      <x:c r="O2284" t="str">
        <x:f>IF(D2284="","Unknown",IF(D2284&lt;25000,"&lt;$25k",IF(D2284&lt;50000,"$25k-$50k",IF(D2284&lt;75000,"$50k-$75k",IF(D2284&lt;100000,"$75k-$100k","$100k+")))))</x:f>
        <x:v>&lt;$25k</x:v>
      </x:c>
      <x:c r="P2284" t="str">
        <x:f>IF(E2284="","Unknown",IF(E2284&lt;10,"&lt;10",IF(E2284&lt;20,"10-&lt;20",IF(E2284&lt;25,"20-&lt;25",IF(E2284&lt;35,"25-&lt;35","35+")))))</x:f>
        <x:v>10-&lt;20</x:v>
      </x:c>
    </x:row>
    <x:row r="2285">
      <x:c r="A2285" t="str">
        <x:v>SYN0002284</x:v>
      </x:c>
      <x:c r="B2285" s="12" t="n">
        <x:v>43375</x:v>
      </x:c>
      <x:c r="C2285" s="18" t="n">
        <x:v>6895</x:v>
      </x:c>
      <x:c r="D2285" s="18" t="n">
        <x:v>32705</x:v>
      </x:c>
      <x:c r="E2285" s="18" t="n">
        <x:v>27.4</x:v>
      </x:c>
      <x:c r="F2285" s="18" t="n">
        <x:v>20.72</x:v>
      </x:c>
      <x:c r="G2285" t="n">
        <x:v>60</x:v>
      </x:c>
      <x:c r="H2285" t="str">
        <x:v>E</x:v>
      </x:c>
      <x:c r="I2285" t="str">
        <x:v>&lt;1 year</x:v>
      </x:c>
      <x:c r="J2285" t="str">
        <x:v>RENT</x:v>
      </x:c>
      <x:c r="K2285" t="str">
        <x:v>debt_consolidation</x:v>
      </x:c>
      <x:c r="L2285" t="n">
        <x:v>1</x:v>
      </x:c>
      <x:c r="M2285" t="n">
        <x:v>0</x:v>
      </x:c>
      <x:c r="N2285" t="str">
        <x:v>Fully Paid</x:v>
      </x:c>
      <x:c r="O2285" t="str">
        <x:f>IF(D2285="","Unknown",IF(D2285&lt;25000,"&lt;$25k",IF(D2285&lt;50000,"$25k-$50k",IF(D2285&lt;75000,"$50k-$75k",IF(D2285&lt;100000,"$75k-$100k","$100k+")))))</x:f>
        <x:v>$25k-$50k</x:v>
      </x:c>
      <x:c r="P2285" t="str">
        <x:f>IF(E2285="","Unknown",IF(E2285&lt;10,"&lt;10",IF(E2285&lt;20,"10-&lt;20",IF(E2285&lt;25,"20-&lt;25",IF(E2285&lt;35,"25-&lt;35","35+")))))</x:f>
        <x:v>25-&lt;35</x:v>
      </x:c>
    </x:row>
    <x:row r="2286">
      <x:c r="A2286" t="str">
        <x:v>SYN0002285</x:v>
      </x:c>
      <x:c r="B2286" s="12" t="n">
        <x:v>42355</x:v>
      </x:c>
      <x:c r="C2286" s="18" t="n">
        <x:v>11642</x:v>
      </x:c>
      <x:c r="D2286" s="18" t="n">
        <x:v>109611</x:v>
      </x:c>
      <x:c r="E2286" s="18" t="n">
        <x:v>35.86</x:v>
      </x:c>
      <x:c r="F2286" s="18" t="n">
        <x:v>13.73</x:v>
      </x:c>
      <x:c r="G2286" t="n">
        <x:v>36</x:v>
      </x:c>
      <x:c r="H2286" t="str">
        <x:v>D</x:v>
      </x:c>
      <x:c r="I2286" t="str">
        <x:v>10+ years</x:v>
      </x:c>
      <x:c r="J2286" t="str">
        <x:v>RENT</x:v>
      </x:c>
      <x:c r="K2286" t="str">
        <x:v>debt_consolidation</x:v>
      </x:c>
      <x:c r="L2286" t="n">
        <x:v>0</x:v>
      </x:c>
      <x:c r="M2286" t="n">
        <x:v>0</x:v>
      </x:c>
      <x:c r="N2286" t="str">
        <x:v>Fully Paid</x:v>
      </x:c>
      <x:c r="O2286" t="str">
        <x:f>IF(D2286="","Unknown",IF(D2286&lt;25000,"&lt;$25k",IF(D2286&lt;50000,"$25k-$50k",IF(D2286&lt;75000,"$50k-$75k",IF(D2286&lt;100000,"$75k-$100k","$100k+")))))</x:f>
        <x:v>$100k+</x:v>
      </x:c>
      <x:c r="P2286" t="str">
        <x:f>IF(E2286="","Unknown",IF(E2286&lt;10,"&lt;10",IF(E2286&lt;20,"10-&lt;20",IF(E2286&lt;25,"20-&lt;25",IF(E2286&lt;35,"25-&lt;35","35+")))))</x:f>
        <x:v>35+</x:v>
      </x:c>
    </x:row>
    <x:row r="2287">
      <x:c r="A2287" t="str">
        <x:v>SYN0002286</x:v>
      </x:c>
      <x:c r="B2287" s="12" t="n">
        <x:v>41455</x:v>
      </x:c>
      <x:c r="C2287" s="18" t="n">
        <x:v>10324</x:v>
      </x:c>
      <x:c r="D2287" s="18" t="n">
        <x:v>17946</x:v>
      </x:c>
      <x:c r="E2287" s="18" t="n">
        <x:v>20.39</x:v>
      </x:c>
      <x:c r="F2287" s="18" t="n">
        <x:v>10.72</x:v>
      </x:c>
      <x:c r="G2287" t="n">
        <x:v>36</x:v>
      </x:c>
      <x:c r="H2287" t="str">
        <x:v>C</x:v>
      </x:c>
      <x:c r="I2287" t="str">
        <x:v>10+ years</x:v>
      </x:c>
      <x:c r="J2287" t="str">
        <x:v>RENT</x:v>
      </x:c>
      <x:c r="K2287" t="str">
        <x:v>debt_consolidation</x:v>
      </x:c>
      <x:c r="L2287" t="n">
        <x:v>0</x:v>
      </x:c>
      <x:c r="M2287" t="n">
        <x:v>0</x:v>
      </x:c>
      <x:c r="N2287" t="str">
        <x:v>Fully Paid</x:v>
      </x:c>
      <x:c r="O2287" t="str">
        <x:f>IF(D2287="","Unknown",IF(D2287&lt;25000,"&lt;$25k",IF(D2287&lt;50000,"$25k-$50k",IF(D2287&lt;75000,"$50k-$75k",IF(D2287&lt;100000,"$75k-$100k","$100k+")))))</x:f>
        <x:v>&lt;$25k</x:v>
      </x:c>
      <x:c r="P2287" t="str">
        <x:f>IF(E2287="","Unknown",IF(E2287&lt;10,"&lt;10",IF(E2287&lt;20,"10-&lt;20",IF(E2287&lt;25,"20-&lt;25",IF(E2287&lt;35,"25-&lt;35","35+")))))</x:f>
        <x:v>20-&lt;25</x:v>
      </x:c>
    </x:row>
    <x:row r="2288">
      <x:c r="A2288" t="str">
        <x:v>SYN0002287</x:v>
      </x:c>
      <x:c r="B2288" s="12" t="n">
        <x:v>41575</x:v>
      </x:c>
      <x:c r="C2288" s="18" t="n">
        <x:v>4324</x:v>
      </x:c>
      <x:c r="D2288" s="18" t="n">
        <x:v>86975</x:v>
      </x:c>
      <x:c r="E2288" s="18" t="n">
        <x:v>31.25</x:v>
      </x:c>
      <x:c r="F2288" s="18" t="n">
        <x:v>13.47</x:v>
      </x:c>
      <x:c r="G2288" t="n">
        <x:v>36</x:v>
      </x:c>
      <x:c r="H2288" t="str">
        <x:v>C</x:v>
      </x:c>
      <x:c r="I2288" t="str">
        <x:v>1-3 years</x:v>
      </x:c>
      <x:c r="J2288" t="str">
        <x:v>RENT</x:v>
      </x:c>
      <x:c r="K2288" t="str">
        <x:v>home_improvement</x:v>
      </x:c>
      <x:c r="L2288" t="n">
        <x:v>1</x:v>
      </x:c>
      <x:c r="M2288" t="n">
        <x:v>0</x:v>
      </x:c>
      <x:c r="N2288" t="str">
        <x:v>Fully Paid</x:v>
      </x:c>
      <x:c r="O2288" t="str">
        <x:f>IF(D2288="","Unknown",IF(D2288&lt;25000,"&lt;$25k",IF(D2288&lt;50000,"$25k-$50k",IF(D2288&lt;75000,"$50k-$75k",IF(D2288&lt;100000,"$75k-$100k","$100k+")))))</x:f>
        <x:v>$75k-$100k</x:v>
      </x:c>
      <x:c r="P2288" t="str">
        <x:f>IF(E2288="","Unknown",IF(E2288&lt;10,"&lt;10",IF(E2288&lt;20,"10-&lt;20",IF(E2288&lt;25,"20-&lt;25",IF(E2288&lt;35,"25-&lt;35","35+")))))</x:f>
        <x:v>25-&lt;35</x:v>
      </x:c>
    </x:row>
    <x:row r="2289">
      <x:c r="A2289" t="str">
        <x:v>SYN0002288</x:v>
      </x:c>
      <x:c r="B2289" s="12" t="n">
        <x:v>41575</x:v>
      </x:c>
      <x:c r="C2289" s="18" t="n">
        <x:v>9746</x:v>
      </x:c>
      <x:c r="D2289" s="18" t="n">
        <x:v>37232</x:v>
      </x:c>
      <x:c r="E2289" s="18" t="n">
        <x:v>9.96</x:v>
      </x:c>
      <x:c r="F2289" s="18" t="n">
        <x:v>10.01</x:v>
      </x:c>
      <x:c r="G2289" t="n">
        <x:v>60</x:v>
      </x:c>
      <x:c r="H2289" t="str">
        <x:v>B</x:v>
      </x:c>
      <x:c r="I2289" t="str">
        <x:v>4-6 years</x:v>
      </x:c>
      <x:c r="J2289" t="str">
        <x:v>RENT</x:v>
      </x:c>
      <x:c r="K2289" t="str">
        <x:v>debt_consolidation</x:v>
      </x:c>
      <x:c r="L2289" t="n">
        <x:v>0</x:v>
      </x:c>
      <x:c r="M2289" t="n">
        <x:v>0</x:v>
      </x:c>
      <x:c r="N2289" t="str">
        <x:v>Fully Paid</x:v>
      </x:c>
      <x:c r="O2289" t="str">
        <x:f>IF(D2289="","Unknown",IF(D2289&lt;25000,"&lt;$25k",IF(D2289&lt;50000,"$25k-$50k",IF(D2289&lt;75000,"$50k-$75k",IF(D2289&lt;100000,"$75k-$100k","$100k+")))))</x:f>
        <x:v>$25k-$50k</x:v>
      </x:c>
      <x:c r="P2289" t="str">
        <x:f>IF(E2289="","Unknown",IF(E2289&lt;10,"&lt;10",IF(E2289&lt;20,"10-&lt;20",IF(E2289&lt;25,"20-&lt;25",IF(E2289&lt;35,"25-&lt;35","35+")))))</x:f>
        <x:v>&lt;10</x:v>
      </x:c>
    </x:row>
    <x:row r="2290">
      <x:c r="A2290" t="str">
        <x:v>SYN0002289</x:v>
      </x:c>
      <x:c r="B2290" s="12" t="n">
        <x:v>43375</x:v>
      </x:c>
      <x:c r="C2290" s="18" t="n">
        <x:v>18058</x:v>
      </x:c>
      <x:c r="D2290" s="18" t="n">
        <x:v>66668</x:v>
      </x:c>
      <x:c r="E2290" s="18" t="n">
        <x:v>10.45</x:v>
      </x:c>
      <x:c r="F2290" s="18" t="n">
        <x:v>11.42</x:v>
      </x:c>
      <x:c r="G2290" t="n">
        <x:v>60</x:v>
      </x:c>
      <x:c r="H2290" t="str">
        <x:v>C</x:v>
      </x:c>
      <x:c r="I2290" t="str">
        <x:v>1-3 years</x:v>
      </x:c>
      <x:c r="J2290" t="str">
        <x:v>RENT</x:v>
      </x:c>
      <x:c r="K2290" t="str">
        <x:v>credit_card</x:v>
      </x:c>
      <x:c r="L2290" t="n">
        <x:v>2</x:v>
      </x:c>
      <x:c r="M2290" t="n">
        <x:v>0</x:v>
      </x:c>
      <x:c r="N2290" t="str">
        <x:v>Fully Paid</x:v>
      </x:c>
      <x:c r="O2290" t="str">
        <x:f>IF(D2290="","Unknown",IF(D2290&lt;25000,"&lt;$25k",IF(D2290&lt;50000,"$25k-$50k",IF(D2290&lt;75000,"$50k-$75k",IF(D2290&lt;100000,"$75k-$100k","$100k+")))))</x:f>
        <x:v>$50k-$75k</x:v>
      </x:c>
      <x:c r="P2290" t="str">
        <x:f>IF(E2290="","Unknown",IF(E2290&lt;10,"&lt;10",IF(E2290&lt;20,"10-&lt;20",IF(E2290&lt;25,"20-&lt;25",IF(E2290&lt;35,"25-&lt;35","35+")))))</x:f>
        <x:v>10-&lt;20</x:v>
      </x:c>
    </x:row>
    <x:row r="2291">
      <x:c r="A2291" t="str">
        <x:v>SYN0002290</x:v>
      </x:c>
      <x:c r="B2291" s="12" t="n">
        <x:v>43105</x:v>
      </x:c>
      <x:c r="C2291" s="18" t="n">
        <x:v>6173</x:v>
      </x:c>
      <x:c r="D2291" s="18" t="n">
        <x:v>180283</x:v>
      </x:c>
      <x:c r="E2291" s="18" t="n">
        <x:v>38.4</x:v>
      </x:c>
      <x:c r="F2291" s="18" t="n">
        <x:v>10.6</x:v>
      </x:c>
      <x:c r="G2291" t="n">
        <x:v>36</x:v>
      </x:c>
      <x:c r="H2291" t="str">
        <x:v>D</x:v>
      </x:c>
      <x:c r="I2291" t="str">
        <x:v>7-9 years</x:v>
      </x:c>
      <x:c r="J2291" t="str">
        <x:v>RENT</x:v>
      </x:c>
      <x:c r="K2291" t="str">
        <x:v>debt_consolidation</x:v>
      </x:c>
      <x:c r="L2291" t="n">
        <x:v>0</x:v>
      </x:c>
      <x:c r="M2291" t="n">
        <x:v>0</x:v>
      </x:c>
      <x:c r="N2291" t="str">
        <x:v>Fully Paid</x:v>
      </x:c>
      <x:c r="O2291" t="str">
        <x:f>IF(D2291="","Unknown",IF(D2291&lt;25000,"&lt;$25k",IF(D2291&lt;50000,"$25k-$50k",IF(D2291&lt;75000,"$50k-$75k",IF(D2291&lt;100000,"$75k-$100k","$100k+")))))</x:f>
        <x:v>$100k+</x:v>
      </x:c>
      <x:c r="P2291" t="str">
        <x:f>IF(E2291="","Unknown",IF(E2291&lt;10,"&lt;10",IF(E2291&lt;20,"10-&lt;20",IF(E2291&lt;25,"20-&lt;25",IF(E2291&lt;35,"25-&lt;35","35+")))))</x:f>
        <x:v>35+</x:v>
      </x:c>
    </x:row>
    <x:row r="2292">
      <x:c r="A2292" t="str">
        <x:v>SYN0002291</x:v>
      </x:c>
      <x:c r="B2292" s="12" t="n">
        <x:v>43105</x:v>
      </x:c>
      <x:c r="C2292" s="18" t="n">
        <x:v>14570</x:v>
      </x:c>
      <x:c r="D2292" s="18" t="n">
        <x:v>42538</x:v>
      </x:c>
      <x:c r="E2292" s="18" t="n">
        <x:v>17.38</x:v>
      </x:c>
      <x:c r="F2292" s="18" t="n">
        <x:v>7.21</x:v>
      </x:c>
      <x:c r="G2292" t="n">
        <x:v>36</x:v>
      </x:c>
      <x:c r="H2292" t="str">
        <x:v>B</x:v>
      </x:c>
      <x:c r="I2292" t="str">
        <x:v>10+ years</x:v>
      </x:c>
      <x:c r="J2292" t="str">
        <x:v>RENT</x:v>
      </x:c>
      <x:c r="K2292" t="str">
        <x:v>debt_consolidation</x:v>
      </x:c>
      <x:c r="L2292" t="n">
        <x:v>0</x:v>
      </x:c>
      <x:c r="M2292" t="n">
        <x:v>0</x:v>
      </x:c>
      <x:c r="N2292" t="str">
        <x:v>Fully Paid</x:v>
      </x:c>
      <x:c r="O2292" t="str">
        <x:f>IF(D2292="","Unknown",IF(D2292&lt;25000,"&lt;$25k",IF(D2292&lt;50000,"$25k-$50k",IF(D2292&lt;75000,"$50k-$75k",IF(D2292&lt;100000,"$75k-$100k","$100k+")))))</x:f>
        <x:v>$25k-$50k</x:v>
      </x:c>
      <x:c r="P2292" t="str">
        <x:f>IF(E2292="","Unknown",IF(E2292&lt;10,"&lt;10",IF(E2292&lt;20,"10-&lt;20",IF(E2292&lt;25,"20-&lt;25",IF(E2292&lt;35,"25-&lt;35","35+")))))</x:f>
        <x:v>10-&lt;20</x:v>
      </x:c>
    </x:row>
    <x:row r="2293">
      <x:c r="A2293" t="str">
        <x:v>SYN0002292</x:v>
      </x:c>
      <x:c r="B2293" s="12" t="n">
        <x:v>41695</x:v>
      </x:c>
      <x:c r="C2293" s="18" t="n">
        <x:v>11249</x:v>
      </x:c>
      <x:c r="D2293" s="18" t="n">
        <x:v>20026</x:v>
      </x:c>
      <x:c r="E2293" s="18" t="n">
        <x:v>13.82</x:v>
      </x:c>
      <x:c r="F2293" s="18" t="n">
        <x:v>5.42</x:v>
      </x:c>
      <x:c r="G2293" t="n">
        <x:v>36</x:v>
      </x:c>
      <x:c r="H2293" t="str">
        <x:v>B</x:v>
      </x:c>
      <x:c r="I2293" t="str">
        <x:v>1-3 years</x:v>
      </x:c>
      <x:c r="J2293" t="str">
        <x:v>MORTGAGE</x:v>
      </x:c>
      <x:c r="K2293" t="str">
        <x:v>medical</x:v>
      </x:c>
      <x:c r="L2293" t="n">
        <x:v>0</x:v>
      </x:c>
      <x:c r="M2293" t="n">
        <x:v>0</x:v>
      </x:c>
      <x:c r="N2293" t="str">
        <x:v>Fully Paid</x:v>
      </x:c>
      <x:c r="O2293" t="str">
        <x:f>IF(D2293="","Unknown",IF(D2293&lt;25000,"&lt;$25k",IF(D2293&lt;50000,"$25k-$50k",IF(D2293&lt;75000,"$50k-$75k",IF(D2293&lt;100000,"$75k-$100k","$100k+")))))</x:f>
        <x:v>&lt;$25k</x:v>
      </x:c>
      <x:c r="P2293" t="str">
        <x:f>IF(E2293="","Unknown",IF(E2293&lt;10,"&lt;10",IF(E2293&lt;20,"10-&lt;20",IF(E2293&lt;25,"20-&lt;25",IF(E2293&lt;35,"25-&lt;35","35+")))))</x:f>
        <x:v>10-&lt;20</x:v>
      </x:c>
    </x:row>
    <x:row r="2294">
      <x:c r="A2294" t="str">
        <x:v>SYN0002293</x:v>
      </x:c>
      <x:c r="B2294" s="12" t="n">
        <x:v>42775</x:v>
      </x:c>
      <x:c r="C2294" s="18" t="n">
        <x:v>33027</x:v>
      </x:c>
      <x:c r="D2294" s="18" t="n">
        <x:v>40328</x:v>
      </x:c>
      <x:c r="E2294" s="18" t="n">
        <x:v>29.38</x:v>
      </x:c>
      <x:c r="F2294" s="18" t="n">
        <x:v>13.1</x:v>
      </x:c>
      <x:c r="G2294" t="n">
        <x:v>60</x:v>
      </x:c>
      <x:c r="H2294" t="str">
        <x:v>E</x:v>
      </x:c>
      <x:c r="I2294" t="str">
        <x:v>1-3 years</x:v>
      </x:c>
      <x:c r="J2294" t="str">
        <x:v>RENT</x:v>
      </x:c>
      <x:c r="K2294" t="str">
        <x:v>major_purchase</x:v>
      </x:c>
      <x:c r="L2294" t="n">
        <x:v>1</x:v>
      </x:c>
      <x:c r="M2294" t="n">
        <x:v>0</x:v>
      </x:c>
      <x:c r="N2294" t="str">
        <x:v>Fully Paid</x:v>
      </x:c>
      <x:c r="O2294" t="str">
        <x:f>IF(D2294="","Unknown",IF(D2294&lt;25000,"&lt;$25k",IF(D2294&lt;50000,"$25k-$50k",IF(D2294&lt;75000,"$50k-$75k",IF(D2294&lt;100000,"$75k-$100k","$100k+")))))</x:f>
        <x:v>$25k-$50k</x:v>
      </x:c>
      <x:c r="P2294" t="str">
        <x:f>IF(E2294="","Unknown",IF(E2294&lt;10,"&lt;10",IF(E2294&lt;20,"10-&lt;20",IF(E2294&lt;25,"20-&lt;25",IF(E2294&lt;35,"25-&lt;35","35+")))))</x:f>
        <x:v>25-&lt;35</x:v>
      </x:c>
    </x:row>
    <x:row r="2295">
      <x:c r="A2295" t="str">
        <x:v>SYN0002294</x:v>
      </x:c>
      <x:c r="B2295" s="12" t="n">
        <x:v>41395</x:v>
      </x:c>
      <x:c r="C2295" s="18" t="n">
        <x:v>12303</x:v>
      </x:c>
      <x:c r="D2295" s="18" t="n">
        <x:v>56513</x:v>
      </x:c>
      <x:c r="E2295" s="18" t="n">
        <x:v>5.37</x:v>
      </x:c>
      <x:c r="F2295" s="18" t="n">
        <x:v>16.37</x:v>
      </x:c>
      <x:c r="G2295" t="n">
        <x:v>60</x:v>
      </x:c>
      <x:c r="H2295" t="str">
        <x:v>E</x:v>
      </x:c>
      <x:c r="I2295" t="str">
        <x:v>4-6 years</x:v>
      </x:c>
      <x:c r="J2295" t="str">
        <x:v>RENT</x:v>
      </x:c>
      <x:c r="K2295" t="str">
        <x:v>home_improvement</x:v>
      </x:c>
      <x:c r="L2295" t="n">
        <x:v>1</x:v>
      </x:c>
      <x:c r="M2295" t="n">
        <x:v>0</x:v>
      </x:c>
      <x:c r="N2295" t="str">
        <x:v>Fully Paid</x:v>
      </x:c>
      <x:c r="O2295" t="str">
        <x:f>IF(D2295="","Unknown",IF(D2295&lt;25000,"&lt;$25k",IF(D2295&lt;50000,"$25k-$50k",IF(D2295&lt;75000,"$50k-$75k",IF(D2295&lt;100000,"$75k-$100k","$100k+")))))</x:f>
        <x:v>$50k-$75k</x:v>
      </x:c>
      <x:c r="P2295" t="str">
        <x:f>IF(E2295="","Unknown",IF(E2295&lt;10,"&lt;10",IF(E2295&lt;20,"10-&lt;20",IF(E2295&lt;25,"20-&lt;25",IF(E2295&lt;35,"25-&lt;35","35+")))))</x:f>
        <x:v>&lt;10</x:v>
      </x:c>
    </x:row>
    <x:row r="2296">
      <x:c r="A2296" t="str">
        <x:v>SYN0002295</x:v>
      </x:c>
      <x:c r="B2296" s="12" t="n">
        <x:v>41875</x:v>
      </x:c>
      <x:c r="C2296" s="18" t="n">
        <x:v>12279</x:v>
      </x:c>
      <x:c r="D2296" s="18" t="n">
        <x:v>49360</x:v>
      </x:c>
      <x:c r="E2296" s="18" t="n">
        <x:v>26.05</x:v>
      </x:c>
      <x:c r="F2296" s="18" t="n">
        <x:v>7.58</x:v>
      </x:c>
      <x:c r="G2296" t="n">
        <x:v>36</x:v>
      </x:c>
      <x:c r="H2296" t="str">
        <x:v>A</x:v>
      </x:c>
      <x:c r="I2296" t="str">
        <x:v>10+ years</x:v>
      </x:c>
      <x:c r="J2296" t="str">
        <x:v>MORTGAGE</x:v>
      </x:c>
      <x:c r="K2296" t="str">
        <x:v>credit_card</x:v>
      </x:c>
      <x:c r="L2296" t="n">
        <x:v>1</x:v>
      </x:c>
      <x:c r="M2296" t="n">
        <x:v>0</x:v>
      </x:c>
      <x:c r="N2296" t="str">
        <x:v>Fully Paid</x:v>
      </x:c>
      <x:c r="O2296" t="str">
        <x:f>IF(D2296="","Unknown",IF(D2296&lt;25000,"&lt;$25k",IF(D2296&lt;50000,"$25k-$50k",IF(D2296&lt;75000,"$50k-$75k",IF(D2296&lt;100000,"$75k-$100k","$100k+")))))</x:f>
        <x:v>$25k-$50k</x:v>
      </x:c>
      <x:c r="P2296" t="str">
        <x:f>IF(E2296="","Unknown",IF(E2296&lt;10,"&lt;10",IF(E2296&lt;20,"10-&lt;20",IF(E2296&lt;25,"20-&lt;25",IF(E2296&lt;35,"25-&lt;35","35+")))))</x:f>
        <x:v>25-&lt;35</x:v>
      </x:c>
    </x:row>
    <x:row r="2297">
      <x:c r="A2297" t="str">
        <x:v>SYN0002296</x:v>
      </x:c>
      <x:c r="B2297" s="12" t="n">
        <x:v>42025</x:v>
      </x:c>
      <x:c r="C2297" s="18" t="n">
        <x:v>6374</x:v>
      </x:c>
      <x:c r="D2297" s="18" t="n">
        <x:v>36490</x:v>
      </x:c>
      <x:c r="E2297" s="18" t="n">
        <x:v>19.13</x:v>
      </x:c>
      <x:c r="F2297" s="18" t="n">
        <x:v>10.21</x:v>
      </x:c>
      <x:c r="G2297" t="n">
        <x:v>60</x:v>
      </x:c>
      <x:c r="H2297" t="str">
        <x:v>B</x:v>
      </x:c>
      <x:c r="I2297" t="str">
        <x:v>4-6 years</x:v>
      </x:c>
      <x:c r="J2297" t="str">
        <x:v>OWN</x:v>
      </x:c>
      <x:c r="K2297" t="str">
        <x:v>debt_consolidation</x:v>
      </x:c>
      <x:c r="L2297" t="n">
        <x:v>1</x:v>
      </x:c>
      <x:c r="M2297" t="n">
        <x:v>0</x:v>
      </x:c>
      <x:c r="N2297" t="str">
        <x:v>Fully Paid</x:v>
      </x:c>
      <x:c r="O2297" t="str">
        <x:f>IF(D2297="","Unknown",IF(D2297&lt;25000,"&lt;$25k",IF(D2297&lt;50000,"$25k-$50k",IF(D2297&lt;75000,"$50k-$75k",IF(D2297&lt;100000,"$75k-$100k","$100k+")))))</x:f>
        <x:v>$25k-$50k</x:v>
      </x:c>
      <x:c r="P2297" t="str">
        <x:f>IF(E2297="","Unknown",IF(E2297&lt;10,"&lt;10",IF(E2297&lt;20,"10-&lt;20",IF(E2297&lt;25,"20-&lt;25",IF(E2297&lt;35,"25-&lt;35","35+")))))</x:f>
        <x:v>10-&lt;20</x:v>
      </x:c>
    </x:row>
    <x:row r="2298">
      <x:c r="A2298" t="str">
        <x:v>SYN0002297</x:v>
      </x:c>
      <x:c r="B2298" s="12" t="n">
        <x:v>42685</x:v>
      </x:c>
      <x:c r="C2298" s="18" t="n">
        <x:v>14990</x:v>
      </x:c>
      <x:c r="D2298" s="18" t="n">
        <x:v>26097</x:v>
      </x:c>
      <x:c r="E2298" s="18" t="n">
        <x:v>17.34</x:v>
      </x:c>
      <x:c r="F2298" s="18" t="n">
        <x:v>17.2</x:v>
      </x:c>
      <x:c r="G2298" t="n">
        <x:v>36</x:v>
      </x:c>
      <x:c r="H2298" t="str">
        <x:v>E</x:v>
      </x:c>
      <x:c r="I2298" t="str">
        <x:v>1-3 years</x:v>
      </x:c>
      <x:c r="J2298" t="str">
        <x:v>MORTGAGE</x:v>
      </x:c>
      <x:c r="K2298" t="str">
        <x:v>debt_consolidation</x:v>
      </x:c>
      <x:c r="L2298" t="n">
        <x:v>0</x:v>
      </x:c>
      <x:c r="M2298" t="n">
        <x:v>0</x:v>
      </x:c>
      <x:c r="N2298" t="str">
        <x:v>Fully Paid</x:v>
      </x:c>
      <x:c r="O2298" t="str">
        <x:f>IF(D2298="","Unknown",IF(D2298&lt;25000,"&lt;$25k",IF(D2298&lt;50000,"$25k-$50k",IF(D2298&lt;75000,"$50k-$75k",IF(D2298&lt;100000,"$75k-$100k","$100k+")))))</x:f>
        <x:v>$25k-$50k</x:v>
      </x:c>
      <x:c r="P2298" t="str">
        <x:f>IF(E2298="","Unknown",IF(E2298&lt;10,"&lt;10",IF(E2298&lt;20,"10-&lt;20",IF(E2298&lt;25,"20-&lt;25",IF(E2298&lt;35,"25-&lt;35","35+")))))</x:f>
        <x:v>10-&lt;20</x:v>
      </x:c>
    </x:row>
    <x:row r="2299">
      <x:c r="A2299" t="str">
        <x:v>SYN0002298</x:v>
      </x:c>
      <x:c r="B2299" s="12" t="n">
        <x:v>41485</x:v>
      </x:c>
      <x:c r="C2299" s="18" t="n">
        <x:v>17177</x:v>
      </x:c>
      <x:c r="D2299" s="18" t="n">
        <x:v>66096</x:v>
      </x:c>
      <x:c r="E2299" s="18" t="n">
        <x:v>13.97</x:v>
      </x:c>
      <x:c r="F2299" s="18" t="n">
        <x:v>11.24</x:v>
      </x:c>
      <x:c r="G2299" t="n">
        <x:v>60</x:v>
      </x:c>
      <x:c r="H2299" t="str">
        <x:v>C</x:v>
      </x:c>
      <x:c r="I2299" t="str">
        <x:v>4-6 years</x:v>
      </x:c>
      <x:c r="J2299" t="str">
        <x:v>RENT</x:v>
      </x:c>
      <x:c r="K2299" t="str">
        <x:v>debt_consolidation</x:v>
      </x:c>
      <x:c r="L2299" t="n">
        <x:v>0</x:v>
      </x:c>
      <x:c r="M2299" t="n">
        <x:v>0</x:v>
      </x:c>
      <x:c r="N2299" t="str">
        <x:v>Fully Paid</x:v>
      </x:c>
      <x:c r="O2299" t="str">
        <x:f>IF(D2299="","Unknown",IF(D2299&lt;25000,"&lt;$25k",IF(D2299&lt;50000,"$25k-$50k",IF(D2299&lt;75000,"$50k-$75k",IF(D2299&lt;100000,"$75k-$100k","$100k+")))))</x:f>
        <x:v>$50k-$75k</x:v>
      </x:c>
      <x:c r="P2299" t="str">
        <x:f>IF(E2299="","Unknown",IF(E2299&lt;10,"&lt;10",IF(E2299&lt;20,"10-&lt;20",IF(E2299&lt;25,"20-&lt;25",IF(E2299&lt;35,"25-&lt;35","35+")))))</x:f>
        <x:v>10-&lt;20</x:v>
      </x:c>
    </x:row>
    <x:row r="2300">
      <x:c r="A2300" t="str">
        <x:v>SYN0002299</x:v>
      </x:c>
      <x:c r="B2300" s="12" t="n">
        <x:v>42985</x:v>
      </x:c>
      <x:c r="C2300" s="18" t="n">
        <x:v>37162</x:v>
      </x:c>
      <x:c r="D2300" s="18" t="n">
        <x:v>19201</x:v>
      </x:c>
      <x:c r="E2300" s="18" t="n">
        <x:v>10.43</x:v>
      </x:c>
      <x:c r="F2300" s="18" t="n">
        <x:v>7.79</x:v>
      </x:c>
      <x:c r="G2300" t="n">
        <x:v>36</x:v>
      </x:c>
      <x:c r="H2300" t="str">
        <x:v>A</x:v>
      </x:c>
      <x:c r="I2300" t="str">
        <x:v>10+ years</x:v>
      </x:c>
      <x:c r="J2300" t="str">
        <x:v>RENT</x:v>
      </x:c>
      <x:c r="K2300" t="str">
        <x:v>debt_consolidation</x:v>
      </x:c>
      <x:c r="L2300" t="n">
        <x:v>0</x:v>
      </x:c>
      <x:c r="M2300" t="n">
        <x:v>0</x:v>
      </x:c>
      <x:c r="N2300" t="str">
        <x:v>Fully Paid</x:v>
      </x:c>
      <x:c r="O2300" t="str">
        <x:f>IF(D2300="","Unknown",IF(D2300&lt;25000,"&lt;$25k",IF(D2300&lt;50000,"$25k-$50k",IF(D2300&lt;75000,"$50k-$75k",IF(D2300&lt;100000,"$75k-$100k","$100k+")))))</x:f>
        <x:v>&lt;$25k</x:v>
      </x:c>
      <x:c r="P2300" t="str">
        <x:f>IF(E2300="","Unknown",IF(E2300&lt;10,"&lt;10",IF(E2300&lt;20,"10-&lt;20",IF(E2300&lt;25,"20-&lt;25",IF(E2300&lt;35,"25-&lt;35","35+")))))</x:f>
        <x:v>10-&lt;20</x:v>
      </x:c>
    </x:row>
    <x:row r="2301">
      <x:c r="A2301" t="str">
        <x:v>SYN0002300</x:v>
      </x:c>
      <x:c r="B2301" s="12" t="n">
        <x:v>42925</x:v>
      </x:c>
      <x:c r="C2301" s="18" t="n">
        <x:v>22093</x:v>
      </x:c>
      <x:c r="D2301" s="18" t="n">
        <x:v>36716</x:v>
      </x:c>
      <x:c r="E2301" s="18" t="n">
        <x:v>16.28</x:v>
      </x:c>
      <x:c r="F2301" s="18" t="n">
        <x:v>8.77</x:v>
      </x:c>
      <x:c r="G2301" t="n">
        <x:v>36</x:v>
      </x:c>
      <x:c r="H2301" t="str">
        <x:v>B</x:v>
      </x:c>
      <x:c r="I2301" t="str">
        <x:v>7-9 years</x:v>
      </x:c>
      <x:c r="J2301" t="str">
        <x:v>OTHER</x:v>
      </x:c>
      <x:c r="K2301" t="str">
        <x:v>credit_card</x:v>
      </x:c>
      <x:c r="L2301" t="n">
        <x:v>1</x:v>
      </x:c>
      <x:c r="M2301" t="n">
        <x:v>0</x:v>
      </x:c>
      <x:c r="N2301" t="str">
        <x:v>Fully Paid</x:v>
      </x:c>
      <x:c r="O2301" t="str">
        <x:f>IF(D2301="","Unknown",IF(D2301&lt;25000,"&lt;$25k",IF(D2301&lt;50000,"$25k-$50k",IF(D2301&lt;75000,"$50k-$75k",IF(D2301&lt;100000,"$75k-$100k","$100k+")))))</x:f>
        <x:v>$25k-$50k</x:v>
      </x:c>
      <x:c r="P2301" t="str">
        <x:f>IF(E2301="","Unknown",IF(E2301&lt;10,"&lt;10",IF(E2301&lt;20,"10-&lt;20",IF(E2301&lt;25,"20-&lt;25",IF(E2301&lt;35,"25-&lt;35","35+")))))</x:f>
        <x:v>10-&lt;20</x:v>
      </x:c>
    </x:row>
    <x:row r="2302">
      <x:c r="A2302" t="str">
        <x:v>SYN0002301</x:v>
      </x:c>
      <x:c r="B2302" s="12" t="n">
        <x:v>43165</x:v>
      </x:c>
      <x:c r="C2302" s="18" t="n">
        <x:v>13158</x:v>
      </x:c>
      <x:c r="D2302" s="18" t="n">
        <x:v>61305</x:v>
      </x:c>
      <x:c r="E2302" s="18" t="n">
        <x:v>17.79</x:v>
      </x:c>
      <x:c r="F2302" s="18" t="n">
        <x:v>9.83</x:v>
      </x:c>
      <x:c r="G2302" t="n">
        <x:v>36</x:v>
      </x:c>
      <x:c r="H2302" t="str">
        <x:v>B</x:v>
      </x:c>
      <x:c r="I2302" t="str">
        <x:v>&lt;1 year</x:v>
      </x:c>
      <x:c r="J2302" t="str">
        <x:v>RENT</x:v>
      </x:c>
      <x:c r="K2302" t="str">
        <x:v>debt_consolidation</x:v>
      </x:c>
      <x:c r="L2302" t="n">
        <x:v>1</x:v>
      </x:c>
      <x:c r="M2302" t="n">
        <x:v>0</x:v>
      </x:c>
      <x:c r="N2302" t="str">
        <x:v>Fully Paid</x:v>
      </x:c>
      <x:c r="O2302" t="str">
        <x:f>IF(D2302="","Unknown",IF(D2302&lt;25000,"&lt;$25k",IF(D2302&lt;50000,"$25k-$50k",IF(D2302&lt;75000,"$50k-$75k",IF(D2302&lt;100000,"$75k-$100k","$100k+")))))</x:f>
        <x:v>$50k-$75k</x:v>
      </x:c>
      <x:c r="P2302" t="str">
        <x:f>IF(E2302="","Unknown",IF(E2302&lt;10,"&lt;10",IF(E2302&lt;20,"10-&lt;20",IF(E2302&lt;25,"20-&lt;25",IF(E2302&lt;35,"25-&lt;35","35+")))))</x:f>
        <x:v>10-&lt;20</x:v>
      </x:c>
    </x:row>
    <x:row r="2303">
      <x:c r="A2303" t="str">
        <x:v>SYN0002302</x:v>
      </x:c>
      <x:c r="B2303" s="12" t="n">
        <x:v>43345</x:v>
      </x:c>
      <x:c r="C2303" s="18" t="n">
        <x:v>8474</x:v>
      </x:c>
      <x:c r="D2303" s="18" t="n">
        <x:v>68859</x:v>
      </x:c>
      <x:c r="E2303" s="18" t="n">
        <x:v>11.41</x:v>
      </x:c>
      <x:c r="F2303" s="18" t="n">
        <x:v>10.57</x:v>
      </x:c>
      <x:c r="G2303" t="n">
        <x:v>36</x:v>
      </x:c>
      <x:c r="H2303" t="str">
        <x:v>C</x:v>
      </x:c>
      <x:c r="I2303" t="str">
        <x:v>10+ years</x:v>
      </x:c>
      <x:c r="J2303" t="str">
        <x:v>MORTGAGE</x:v>
      </x:c>
      <x:c r="K2303" t="str">
        <x:v>credit_card</x:v>
      </x:c>
      <x:c r="L2303" t="n">
        <x:v>0</x:v>
      </x:c>
      <x:c r="M2303" t="n">
        <x:v>0</x:v>
      </x:c>
      <x:c r="N2303" t="str">
        <x:v>Fully Paid</x:v>
      </x:c>
      <x:c r="O2303" t="str">
        <x:f>IF(D2303="","Unknown",IF(D2303&lt;25000,"&lt;$25k",IF(D2303&lt;50000,"$25k-$50k",IF(D2303&lt;75000,"$50k-$75k",IF(D2303&lt;100000,"$75k-$100k","$100k+")))))</x:f>
        <x:v>$50k-$75k</x:v>
      </x:c>
      <x:c r="P2303" t="str">
        <x:f>IF(E2303="","Unknown",IF(E2303&lt;10,"&lt;10",IF(E2303&lt;20,"10-&lt;20",IF(E2303&lt;25,"20-&lt;25",IF(E2303&lt;35,"25-&lt;35","35+")))))</x:f>
        <x:v>10-&lt;20</x:v>
      </x:c>
    </x:row>
    <x:row r="2304">
      <x:c r="A2304" t="str">
        <x:v>SYN0002303</x:v>
      </x:c>
      <x:c r="B2304" s="12" t="n">
        <x:v>43405</x:v>
      </x:c>
      <x:c r="C2304" s="18" t="n">
        <x:v>19146</x:v>
      </x:c>
      <x:c r="D2304" s="18" t="n">
        <x:v>33721</x:v>
      </x:c>
      <x:c r="E2304" s="18" t="n">
        <x:v>13.94</x:v>
      </x:c>
      <x:c r="F2304" s="18" t="n">
        <x:v>8.64</x:v>
      </x:c>
      <x:c r="G2304" t="n">
        <x:v>60</x:v>
      </x:c>
      <x:c r="H2304" t="str">
        <x:v>B</x:v>
      </x:c>
      <x:c r="I2304" t="str">
        <x:v>4-6 years</x:v>
      </x:c>
      <x:c r="J2304" t="str">
        <x:v>MORTGAGE</x:v>
      </x:c>
      <x:c r="K2304" t="str">
        <x:v>major_purchase</x:v>
      </x:c>
      <x:c r="L2304" t="n">
        <x:v>0</x:v>
      </x:c>
      <x:c r="M2304" t="n">
        <x:v>0</x:v>
      </x:c>
      <x:c r="N2304" t="str">
        <x:v>Fully Paid</x:v>
      </x:c>
      <x:c r="O2304" t="str">
        <x:f>IF(D2304="","Unknown",IF(D2304&lt;25000,"&lt;$25k",IF(D2304&lt;50000,"$25k-$50k",IF(D2304&lt;75000,"$50k-$75k",IF(D2304&lt;100000,"$75k-$100k","$100k+")))))</x:f>
        <x:v>$25k-$50k</x:v>
      </x:c>
      <x:c r="P2304" t="str">
        <x:f>IF(E2304="","Unknown",IF(E2304&lt;10,"&lt;10",IF(E2304&lt;20,"10-&lt;20",IF(E2304&lt;25,"20-&lt;25",IF(E2304&lt;35,"25-&lt;35","35+")))))</x:f>
        <x:v>10-&lt;20</x:v>
      </x:c>
    </x:row>
    <x:row r="2305">
      <x:c r="A2305" t="str">
        <x:v>SYN0002304</x:v>
      </x:c>
      <x:c r="B2305" s="12" t="n">
        <x:v>42505</x:v>
      </x:c>
      <x:c r="C2305" s="18" t="n">
        <x:v>11962</x:v>
      </x:c>
      <x:c r="D2305" s="18" t="n">
        <x:v>44193</x:v>
      </x:c>
      <x:c r="E2305" s="18" t="n">
        <x:v>7.98</x:v>
      </x:c>
      <x:c r="F2305" s="18" t="n">
        <x:v>10.16</x:v>
      </x:c>
      <x:c r="G2305" t="n">
        <x:v>36</x:v>
      </x:c>
      <x:c r="H2305" t="str">
        <x:v>C</x:v>
      </x:c>
      <x:c r="I2305" t="str">
        <x:v>7-9 years</x:v>
      </x:c>
      <x:c r="J2305" t="str">
        <x:v>MORTGAGE</x:v>
      </x:c>
      <x:c r="K2305" t="str">
        <x:v>other</x:v>
      </x:c>
      <x:c r="L2305" t="n">
        <x:v>0</x:v>
      </x:c>
      <x:c r="M2305" t="n">
        <x:v>0</x:v>
      </x:c>
      <x:c r="N2305" t="str">
        <x:v>Fully Paid</x:v>
      </x:c>
      <x:c r="O2305" t="str">
        <x:f>IF(D2305="","Unknown",IF(D2305&lt;25000,"&lt;$25k",IF(D2305&lt;50000,"$25k-$50k",IF(D2305&lt;75000,"$50k-$75k",IF(D2305&lt;100000,"$75k-$100k","$100k+")))))</x:f>
        <x:v>$25k-$50k</x:v>
      </x:c>
      <x:c r="P2305" t="str">
        <x:f>IF(E2305="","Unknown",IF(E2305&lt;10,"&lt;10",IF(E2305&lt;20,"10-&lt;20",IF(E2305&lt;25,"20-&lt;25",IF(E2305&lt;35,"25-&lt;35","35+")))))</x:f>
        <x:v>&lt;10</x:v>
      </x:c>
    </x:row>
    <x:row r="2306">
      <x:c r="A2306" t="str">
        <x:v>SYN0002305</x:v>
      </x:c>
      <x:c r="B2306" s="12" t="n">
        <x:v>43315</x:v>
      </x:c>
      <x:c r="C2306" s="18" t="n">
        <x:v>18858</x:v>
      </x:c>
      <x:c r="D2306" s="18" t="n">
        <x:v>49827</x:v>
      </x:c>
      <x:c r="E2306" s="18" t="n">
        <x:v>15.67</x:v>
      </x:c>
      <x:c r="F2306" s="18" t="n">
        <x:v>18.44</x:v>
      </x:c>
      <x:c r="G2306" t="n">
        <x:v>36</x:v>
      </x:c>
      <x:c r="H2306" t="str">
        <x:v>E</x:v>
      </x:c>
      <x:c r="I2306" t="str">
        <x:v>4-6 years</x:v>
      </x:c>
      <x:c r="J2306" t="str">
        <x:v>OWN</x:v>
      </x:c>
      <x:c r="K2306" t="str">
        <x:v>home_improvement</x:v>
      </x:c>
      <x:c r="L2306" t="n">
        <x:v>1</x:v>
      </x:c>
      <x:c r="M2306" t="n">
        <x:v>1</x:v>
      </x:c>
      <x:c r="N2306" t="str">
        <x:v>Charged Off</x:v>
      </x:c>
      <x:c r="O2306" t="str">
        <x:f>IF(D2306="","Unknown",IF(D2306&lt;25000,"&lt;$25k",IF(D2306&lt;50000,"$25k-$50k",IF(D2306&lt;75000,"$50k-$75k",IF(D2306&lt;100000,"$75k-$100k","$100k+")))))</x:f>
        <x:v>$25k-$50k</x:v>
      </x:c>
      <x:c r="P2306" t="str">
        <x:f>IF(E2306="","Unknown",IF(E2306&lt;10,"&lt;10",IF(E2306&lt;20,"10-&lt;20",IF(E2306&lt;25,"20-&lt;25",IF(E2306&lt;35,"25-&lt;35","35+")))))</x:f>
        <x:v>10-&lt;20</x:v>
      </x:c>
    </x:row>
    <x:row r="2307">
      <x:c r="A2307" t="str">
        <x:v>SYN0002306</x:v>
      </x:c>
      <x:c r="B2307" s="12" t="n">
        <x:v>43075</x:v>
      </x:c>
      <x:c r="C2307" s="18" t="n">
        <x:v>29830</x:v>
      </x:c>
      <x:c r="D2307" s="18" t="n">
        <x:v>65281</x:v>
      </x:c>
      <x:c r="E2307" s="18" t="n">
        <x:v>20.33</x:v>
      </x:c>
      <x:c r="F2307" s="18" t="n">
        <x:v>8</x:v>
      </x:c>
      <x:c r="G2307" t="n">
        <x:v>36</x:v>
      </x:c>
      <x:c r="H2307" t="str">
        <x:v>B</x:v>
      </x:c>
      <x:c r="I2307" t="str">
        <x:v>7-9 years</x:v>
      </x:c>
      <x:c r="J2307" t="str">
        <x:v>RENT</x:v>
      </x:c>
      <x:c r="K2307" t="str">
        <x:v>debt_consolidation</x:v>
      </x:c>
      <x:c r="L2307" t="n">
        <x:v>1</x:v>
      </x:c>
      <x:c r="M2307" t="n">
        <x:v>0</x:v>
      </x:c>
      <x:c r="N2307" t="str">
        <x:v>Fully Paid</x:v>
      </x:c>
      <x:c r="O2307" t="str">
        <x:f>IF(D2307="","Unknown",IF(D2307&lt;25000,"&lt;$25k",IF(D2307&lt;50000,"$25k-$50k",IF(D2307&lt;75000,"$50k-$75k",IF(D2307&lt;100000,"$75k-$100k","$100k+")))))</x:f>
        <x:v>$50k-$75k</x:v>
      </x:c>
      <x:c r="P2307" t="str">
        <x:f>IF(E2307="","Unknown",IF(E2307&lt;10,"&lt;10",IF(E2307&lt;20,"10-&lt;20",IF(E2307&lt;25,"20-&lt;25",IF(E2307&lt;35,"25-&lt;35","35+")))))</x:f>
        <x:v>20-&lt;25</x:v>
      </x:c>
    </x:row>
    <x:row r="2308">
      <x:c r="A2308" t="str">
        <x:v>SYN0002307</x:v>
      </x:c>
      <x:c r="B2308" s="12" t="n">
        <x:v>41845</x:v>
      </x:c>
      <x:c r="C2308" s="18" t="n">
        <x:v>12379</x:v>
      </x:c>
      <x:c r="D2308" s="18" t="n">
        <x:v>39943</x:v>
      </x:c>
      <x:c r="E2308" s="18" t="n">
        <x:v>11.52</x:v>
      </x:c>
      <x:c r="F2308" s="18" t="n">
        <x:v>5</x:v>
      </x:c>
      <x:c r="G2308" t="n">
        <x:v>36</x:v>
      </x:c>
      <x:c r="H2308" t="str">
        <x:v>A</x:v>
      </x:c>
      <x:c r="I2308" t="str">
        <x:v>1-3 years</x:v>
      </x:c>
      <x:c r="J2308" t="str">
        <x:v>RENT</x:v>
      </x:c>
      <x:c r="K2308" t="str">
        <x:v>credit_card</x:v>
      </x:c>
      <x:c r="L2308" t="n">
        <x:v>0</x:v>
      </x:c>
      <x:c r="M2308" t="n">
        <x:v>0</x:v>
      </x:c>
      <x:c r="N2308" t="str">
        <x:v>Fully Paid</x:v>
      </x:c>
      <x:c r="O2308" t="str">
        <x:f>IF(D2308="","Unknown",IF(D2308&lt;25000,"&lt;$25k",IF(D2308&lt;50000,"$25k-$50k",IF(D2308&lt;75000,"$50k-$75k",IF(D2308&lt;100000,"$75k-$100k","$100k+")))))</x:f>
        <x:v>$25k-$50k</x:v>
      </x:c>
      <x:c r="P2308" t="str">
        <x:f>IF(E2308="","Unknown",IF(E2308&lt;10,"&lt;10",IF(E2308&lt;20,"10-&lt;20",IF(E2308&lt;25,"20-&lt;25",IF(E2308&lt;35,"25-&lt;35","35+")))))</x:f>
        <x:v>10-&lt;20</x:v>
      </x:c>
    </x:row>
    <x:row r="2309">
      <x:c r="A2309" t="str">
        <x:v>SYN0002308</x:v>
      </x:c>
      <x:c r="B2309" s="12" t="n">
        <x:v>41965</x:v>
      </x:c>
      <x:c r="C2309" s="18" t="n">
        <x:v>5968</x:v>
      </x:c>
      <x:c r="D2309" s="18" t="n">
        <x:v>26667</x:v>
      </x:c>
      <x:c r="E2309" s="18" t="n">
        <x:v>14.87</x:v>
      </x:c>
      <x:c r="F2309" s="18" t="n">
        <x:v>5.43</x:v>
      </x:c>
      <x:c r="G2309" t="n">
        <x:v>36</x:v>
      </x:c>
      <x:c r="H2309" t="str">
        <x:v>A</x:v>
      </x:c>
      <x:c r="I2309" t="str">
        <x:v>4-6 years</x:v>
      </x:c>
      <x:c r="J2309" t="str">
        <x:v>OTHER</x:v>
      </x:c>
      <x:c r="K2309" t="str">
        <x:v>home_improvement</x:v>
      </x:c>
      <x:c r="L2309" t="n">
        <x:v>0</x:v>
      </x:c>
      <x:c r="M2309" t="n">
        <x:v>0</x:v>
      </x:c>
      <x:c r="N2309" t="str">
        <x:v>Fully Paid</x:v>
      </x:c>
      <x:c r="O2309" t="str">
        <x:f>IF(D2309="","Unknown",IF(D2309&lt;25000,"&lt;$25k",IF(D2309&lt;50000,"$25k-$50k",IF(D2309&lt;75000,"$50k-$75k",IF(D2309&lt;100000,"$75k-$100k","$100k+")))))</x:f>
        <x:v>$25k-$50k</x:v>
      </x:c>
      <x:c r="P2309" t="str">
        <x:f>IF(E2309="","Unknown",IF(E2309&lt;10,"&lt;10",IF(E2309&lt;20,"10-&lt;20",IF(E2309&lt;25,"20-&lt;25",IF(E2309&lt;35,"25-&lt;35","35+")))))</x:f>
        <x:v>10-&lt;20</x:v>
      </x:c>
    </x:row>
    <x:row r="2310">
      <x:c r="A2310" t="str">
        <x:v>SYN0002309</x:v>
      </x:c>
      <x:c r="B2310" s="12" t="n">
        <x:v>41935</x:v>
      </x:c>
      <x:c r="C2310" s="18" t="n">
        <x:v>5293</x:v>
      </x:c>
      <x:c r="D2310" s="18" t="n">
        <x:v>120163</x:v>
      </x:c>
      <x:c r="E2310" s="18" t="n">
        <x:v>17.02</x:v>
      </x:c>
      <x:c r="F2310" s="18" t="n">
        <x:v>14.4</x:v>
      </x:c>
      <x:c r="G2310" t="n">
        <x:v>36</x:v>
      </x:c>
      <x:c r="H2310" t="str">
        <x:v>D</x:v>
      </x:c>
      <x:c r="I2310" t="str">
        <x:v>1-3 years</x:v>
      </x:c>
      <x:c r="J2310" t="str">
        <x:v>MORTGAGE</x:v>
      </x:c>
      <x:c r="K2310" t="str">
        <x:v>debt_consolidation</x:v>
      </x:c>
      <x:c r="L2310" t="n">
        <x:v>0</x:v>
      </x:c>
      <x:c r="M2310" t="n">
        <x:v>0</x:v>
      </x:c>
      <x:c r="N2310" t="str">
        <x:v>Fully Paid</x:v>
      </x:c>
      <x:c r="O2310" t="str">
        <x:f>IF(D2310="","Unknown",IF(D2310&lt;25000,"&lt;$25k",IF(D2310&lt;50000,"$25k-$50k",IF(D2310&lt;75000,"$50k-$75k",IF(D2310&lt;100000,"$75k-$100k","$100k+")))))</x:f>
        <x:v>$100k+</x:v>
      </x:c>
      <x:c r="P2310" t="str">
        <x:f>IF(E2310="","Unknown",IF(E2310&lt;10,"&lt;10",IF(E2310&lt;20,"10-&lt;20",IF(E2310&lt;25,"20-&lt;25",IF(E2310&lt;35,"25-&lt;35","35+")))))</x:f>
        <x:v>10-&lt;20</x:v>
      </x:c>
    </x:row>
    <x:row r="2311">
      <x:c r="A2311" t="str">
        <x:v>SYN0002310</x:v>
      </x:c>
      <x:c r="B2311" s="12" t="n">
        <x:v>41935</x:v>
      </x:c>
      <x:c r="C2311" s="18" t="n">
        <x:v>8031</x:v>
      </x:c>
      <x:c r="D2311" s="18" t="n">
        <x:v>53716</x:v>
      </x:c>
      <x:c r="E2311" s="18" t="n">
        <x:v>28.38</x:v>
      </x:c>
      <x:c r="F2311" s="18" t="n">
        <x:v>10.74</x:v>
      </x:c>
      <x:c r="G2311" t="n">
        <x:v>36</x:v>
      </x:c>
      <x:c r="H2311" t="str">
        <x:v>C</x:v>
      </x:c>
      <x:c r="I2311" t="str">
        <x:v>10+ years</x:v>
      </x:c>
      <x:c r="J2311" t="str">
        <x:v>RENT</x:v>
      </x:c>
      <x:c r="K2311" t="str">
        <x:v>debt_consolidation</x:v>
      </x:c>
      <x:c r="L2311" t="n">
        <x:v>0</x:v>
      </x:c>
      <x:c r="M2311" t="n">
        <x:v>0</x:v>
      </x:c>
      <x:c r="N2311" t="str">
        <x:v>Fully Paid</x:v>
      </x:c>
      <x:c r="O2311" t="str">
        <x:f>IF(D2311="","Unknown",IF(D2311&lt;25000,"&lt;$25k",IF(D2311&lt;50000,"$25k-$50k",IF(D2311&lt;75000,"$50k-$75k",IF(D2311&lt;100000,"$75k-$100k","$100k+")))))</x:f>
        <x:v>$50k-$75k</x:v>
      </x:c>
      <x:c r="P2311" t="str">
        <x:f>IF(E2311="","Unknown",IF(E2311&lt;10,"&lt;10",IF(E2311&lt;20,"10-&lt;20",IF(E2311&lt;25,"20-&lt;25",IF(E2311&lt;35,"25-&lt;35","35+")))))</x:f>
        <x:v>25-&lt;35</x:v>
      </x:c>
    </x:row>
    <x:row r="2312">
      <x:c r="A2312" t="str">
        <x:v>SYN0002311</x:v>
      </x:c>
      <x:c r="B2312" s="12" t="n">
        <x:v>41725</x:v>
      </x:c>
      <x:c r="C2312" s="18" t="n">
        <x:v>22404</x:v>
      </x:c>
      <x:c r="D2312" s="18" t="n">
        <x:v>84882</x:v>
      </x:c>
      <x:c r="E2312" s="18" t="n">
        <x:v>25.44</x:v>
      </x:c>
      <x:c r="F2312" s="18" t="n">
        <x:v>7.61</x:v>
      </x:c>
      <x:c r="G2312" t="n">
        <x:v>36</x:v>
      </x:c>
      <x:c r="H2312" t="str">
        <x:v>A</x:v>
      </x:c>
      <x:c r="I2312" t="str">
        <x:v>1-3 years</x:v>
      </x:c>
      <x:c r="J2312" t="str">
        <x:v>MORTGAGE</x:v>
      </x:c>
      <x:c r="K2312" t="str">
        <x:v>debt_consolidation</x:v>
      </x:c>
      <x:c r="L2312" t="n">
        <x:v>1</x:v>
      </x:c>
      <x:c r="M2312" t="n">
        <x:v>0</x:v>
      </x:c>
      <x:c r="N2312" t="str">
        <x:v>Fully Paid</x:v>
      </x:c>
      <x:c r="O2312" t="str">
        <x:f>IF(D2312="","Unknown",IF(D2312&lt;25000,"&lt;$25k",IF(D2312&lt;50000,"$25k-$50k",IF(D2312&lt;75000,"$50k-$75k",IF(D2312&lt;100000,"$75k-$100k","$100k+")))))</x:f>
        <x:v>$75k-$100k</x:v>
      </x:c>
      <x:c r="P2312" t="str">
        <x:f>IF(E2312="","Unknown",IF(E2312&lt;10,"&lt;10",IF(E2312&lt;20,"10-&lt;20",IF(E2312&lt;25,"20-&lt;25",IF(E2312&lt;35,"25-&lt;35","35+")))))</x:f>
        <x:v>25-&lt;35</x:v>
      </x:c>
    </x:row>
    <x:row r="2313">
      <x:c r="A2313" t="str">
        <x:v>SYN0002312</x:v>
      </x:c>
      <x:c r="B2313" s="12" t="n">
        <x:v>43075</x:v>
      </x:c>
      <x:c r="C2313" s="18" t="n">
        <x:v>5813</x:v>
      </x:c>
      <x:c r="D2313" s="18" t="n">
        <x:v>65921</x:v>
      </x:c>
      <x:c r="E2313" s="18" t="n">
        <x:v>15.57</x:v>
      </x:c>
      <x:c r="F2313" s="18" t="n">
        <x:v>15.23</x:v>
      </x:c>
      <x:c r="G2313" t="n">
        <x:v>36</x:v>
      </x:c>
      <x:c r="H2313" t="str">
        <x:v>D</x:v>
      </x:c>
      <x:c r="I2313" t="str">
        <x:v>1-3 years</x:v>
      </x:c>
      <x:c r="J2313" t="str">
        <x:v>RENT</x:v>
      </x:c>
      <x:c r="K2313" t="str">
        <x:v>debt_consolidation</x:v>
      </x:c>
      <x:c r="L2313" t="n">
        <x:v>1</x:v>
      </x:c>
      <x:c r="M2313" t="n">
        <x:v>0</x:v>
      </x:c>
      <x:c r="N2313" t="str">
        <x:v>Fully Paid</x:v>
      </x:c>
      <x:c r="O2313" t="str">
        <x:f>IF(D2313="","Unknown",IF(D2313&lt;25000,"&lt;$25k",IF(D2313&lt;50000,"$25k-$50k",IF(D2313&lt;75000,"$50k-$75k",IF(D2313&lt;100000,"$75k-$100k","$100k+")))))</x:f>
        <x:v>$50k-$75k</x:v>
      </x:c>
      <x:c r="P2313" t="str">
        <x:f>IF(E2313="","Unknown",IF(E2313&lt;10,"&lt;10",IF(E2313&lt;20,"10-&lt;20",IF(E2313&lt;25,"20-&lt;25",IF(E2313&lt;35,"25-&lt;35","35+")))))</x:f>
        <x:v>10-&lt;20</x:v>
      </x:c>
    </x:row>
    <x:row r="2314">
      <x:c r="A2314" t="str">
        <x:v>SYN0002313</x:v>
      </x:c>
      <x:c r="B2314" s="12" t="n">
        <x:v>42145</x:v>
      </x:c>
      <x:c r="C2314" s="18" t="n">
        <x:v>9753</x:v>
      </x:c>
      <x:c r="D2314" s="18" t="n">
        <x:v>94802</x:v>
      </x:c>
      <x:c r="E2314" s="18" t="n">
        <x:v>6.96</x:v>
      </x:c>
      <x:c r="F2314" s="18" t="n">
        <x:v>18.88</x:v>
      </x:c>
      <x:c r="G2314" t="n">
        <x:v>60</x:v>
      </x:c>
      <x:c r="H2314" t="str">
        <x:v>E</x:v>
      </x:c>
      <x:c r="I2314" t="str">
        <x:v>10+ years</x:v>
      </x:c>
      <x:c r="J2314" t="str">
        <x:v>OTHER</x:v>
      </x:c>
      <x:c r="K2314" t="str">
        <x:v>debt_consolidation</x:v>
      </x:c>
      <x:c r="L2314" t="n">
        <x:v>1</x:v>
      </x:c>
      <x:c r="M2314" t="n">
        <x:v>0</x:v>
      </x:c>
      <x:c r="N2314" t="str">
        <x:v>Fully Paid</x:v>
      </x:c>
      <x:c r="O2314" t="str">
        <x:f>IF(D2314="","Unknown",IF(D2314&lt;25000,"&lt;$25k",IF(D2314&lt;50000,"$25k-$50k",IF(D2314&lt;75000,"$50k-$75k",IF(D2314&lt;100000,"$75k-$100k","$100k+")))))</x:f>
        <x:v>$75k-$100k</x:v>
      </x:c>
      <x:c r="P2314" t="str">
        <x:f>IF(E2314="","Unknown",IF(E2314&lt;10,"&lt;10",IF(E2314&lt;20,"10-&lt;20",IF(E2314&lt;25,"20-&lt;25",IF(E2314&lt;35,"25-&lt;35","35+")))))</x:f>
        <x:v>&lt;10</x:v>
      </x:c>
    </x:row>
    <x:row r="2315">
      <x:c r="A2315" t="str">
        <x:v>SYN0002314</x:v>
      </x:c>
      <x:c r="B2315" s="12" t="n">
        <x:v>43075</x:v>
      </x:c>
      <x:c r="C2315" s="18" t="n">
        <x:v>16506</x:v>
      </x:c>
      <x:c r="D2315" s="18" t="n">
        <x:v>121998</x:v>
      </x:c>
      <x:c r="E2315" s="18" t="n">
        <x:v>18.88</x:v>
      </x:c>
      <x:c r="F2315" s="18" t="n">
        <x:v>8.5</x:v>
      </x:c>
      <x:c r="G2315" t="n">
        <x:v>36</x:v>
      </x:c>
      <x:c r="H2315" t="str">
        <x:v>B</x:v>
      </x:c>
      <x:c r="I2315" t="str">
        <x:v>10+ years</x:v>
      </x:c>
      <x:c r="J2315" t="str">
        <x:v>MORTGAGE</x:v>
      </x:c>
      <x:c r="K2315" t="str">
        <x:v>debt_consolidation</x:v>
      </x:c>
      <x:c r="L2315" t="n">
        <x:v>2</x:v>
      </x:c>
      <x:c r="M2315" t="n">
        <x:v>0</x:v>
      </x:c>
      <x:c r="N2315" t="str">
        <x:v>Fully Paid</x:v>
      </x:c>
      <x:c r="O2315" t="str">
        <x:f>IF(D2315="","Unknown",IF(D2315&lt;25000,"&lt;$25k",IF(D2315&lt;50000,"$25k-$50k",IF(D2315&lt;75000,"$50k-$75k",IF(D2315&lt;100000,"$75k-$100k","$100k+")))))</x:f>
        <x:v>$100k+</x:v>
      </x:c>
      <x:c r="P2315" t="str">
        <x:f>IF(E2315="","Unknown",IF(E2315&lt;10,"&lt;10",IF(E2315&lt;20,"10-&lt;20",IF(E2315&lt;25,"20-&lt;25",IF(E2315&lt;35,"25-&lt;35","35+")))))</x:f>
        <x:v>10-&lt;20</x:v>
      </x:c>
    </x:row>
    <x:row r="2316">
      <x:c r="A2316" t="str">
        <x:v>SYN0002315</x:v>
      </x:c>
      <x:c r="B2316" s="12" t="n">
        <x:v>42535</x:v>
      </x:c>
      <x:c r="C2316" s="18" t="n">
        <x:v>6873</x:v>
      </x:c>
      <x:c r="D2316" s="18" t="n">
        <x:v>30846</x:v>
      </x:c>
      <x:c r="E2316" s="18" t="n">
        <x:v>21.85</x:v>
      </x:c>
      <x:c r="F2316" s="18" t="n">
        <x:v>21.08</x:v>
      </x:c>
      <x:c r="G2316" t="n">
        <x:v>60</x:v>
      </x:c>
      <x:c r="H2316" t="str">
        <x:v>E</x:v>
      </x:c>
      <x:c r="I2316" t="str">
        <x:v>4-6 years</x:v>
      </x:c>
      <x:c r="J2316" t="str">
        <x:v>MORTGAGE</x:v>
      </x:c>
      <x:c r="K2316" t="str">
        <x:v>debt_consolidation</x:v>
      </x:c>
      <x:c r="L2316" t="n">
        <x:v>2</x:v>
      </x:c>
      <x:c r="M2316" t="n">
        <x:v>0</x:v>
      </x:c>
      <x:c r="N2316" t="str">
        <x:v>Fully Paid</x:v>
      </x:c>
      <x:c r="O2316" t="str">
        <x:f>IF(D2316="","Unknown",IF(D2316&lt;25000,"&lt;$25k",IF(D2316&lt;50000,"$25k-$50k",IF(D2316&lt;75000,"$50k-$75k",IF(D2316&lt;100000,"$75k-$100k","$100k+")))))</x:f>
        <x:v>$25k-$50k</x:v>
      </x:c>
      <x:c r="P2316" t="str">
        <x:f>IF(E2316="","Unknown",IF(E2316&lt;10,"&lt;10",IF(E2316&lt;20,"10-&lt;20",IF(E2316&lt;25,"20-&lt;25",IF(E2316&lt;35,"25-&lt;35","35+")))))</x:f>
        <x:v>20-&lt;25</x:v>
      </x:c>
    </x:row>
    <x:row r="2317">
      <x:c r="A2317" t="str">
        <x:v>SYN0002316</x:v>
      </x:c>
      <x:c r="B2317" s="12" t="n">
        <x:v>41875</x:v>
      </x:c>
      <x:c r="C2317" s="18" t="n">
        <x:v>12739</x:v>
      </x:c>
      <x:c r="D2317" s="18" t="n">
        <x:v>35260</x:v>
      </x:c>
      <x:c r="E2317" s="18" t="n">
        <x:v>31.13</x:v>
      </x:c>
      <x:c r="F2317" s="18" t="n">
        <x:v>17.69</x:v>
      </x:c>
      <x:c r="G2317" t="n">
        <x:v>36</x:v>
      </x:c>
      <x:c r="H2317" t="str">
        <x:v>E</x:v>
      </x:c>
      <x:c r="I2317" t="str">
        <x:v>4-6 years</x:v>
      </x:c>
      <x:c r="J2317" t="str">
        <x:v>MORTGAGE</x:v>
      </x:c>
      <x:c r="K2317" t="str">
        <x:v>debt_consolidation</x:v>
      </x:c>
      <x:c r="L2317" t="n">
        <x:v>0</x:v>
      </x:c>
      <x:c r="M2317" t="n">
        <x:v>0</x:v>
      </x:c>
      <x:c r="N2317" t="str">
        <x:v>Fully Paid</x:v>
      </x:c>
      <x:c r="O2317" t="str">
        <x:f>IF(D2317="","Unknown",IF(D2317&lt;25000,"&lt;$25k",IF(D2317&lt;50000,"$25k-$50k",IF(D2317&lt;75000,"$50k-$75k",IF(D2317&lt;100000,"$75k-$100k","$100k+")))))</x:f>
        <x:v>$25k-$50k</x:v>
      </x:c>
      <x:c r="P2317" t="str">
        <x:f>IF(E2317="","Unknown",IF(E2317&lt;10,"&lt;10",IF(E2317&lt;20,"10-&lt;20",IF(E2317&lt;25,"20-&lt;25",IF(E2317&lt;35,"25-&lt;35","35+")))))</x:f>
        <x:v>25-&lt;35</x:v>
      </x:c>
    </x:row>
    <x:row r="2318">
      <x:c r="A2318" t="str">
        <x:v>SYN0002317</x:v>
      </x:c>
      <x:c r="B2318" s="12" t="n">
        <x:v>42175</x:v>
      </x:c>
      <x:c r="C2318" s="18" t="n">
        <x:v>11572</x:v>
      </x:c>
      <x:c r="D2318" s="18" t="n">
        <x:v>30761</x:v>
      </x:c>
      <x:c r="E2318" s="18" t="n">
        <x:v>25.93</x:v>
      </x:c>
      <x:c r="F2318" s="18" t="n">
        <x:v>8.42</x:v>
      </x:c>
      <x:c r="G2318" t="n">
        <x:v>36</x:v>
      </x:c>
      <x:c r="H2318" t="str">
        <x:v>A</x:v>
      </x:c>
      <x:c r="I2318" t="str">
        <x:v>10+ years</x:v>
      </x:c>
      <x:c r="J2318" t="str">
        <x:v>OWN</x:v>
      </x:c>
      <x:c r="K2318" t="str">
        <x:v>major_purchase</x:v>
      </x:c>
      <x:c r="L2318" t="n">
        <x:v>0</x:v>
      </x:c>
      <x:c r="M2318" t="n">
        <x:v>1</x:v>
      </x:c>
      <x:c r="N2318" t="str">
        <x:v>Charged Off</x:v>
      </x:c>
      <x:c r="O2318" t="str">
        <x:f>IF(D2318="","Unknown",IF(D2318&lt;25000,"&lt;$25k",IF(D2318&lt;50000,"$25k-$50k",IF(D2318&lt;75000,"$50k-$75k",IF(D2318&lt;100000,"$75k-$100k","$100k+")))))</x:f>
        <x:v>$25k-$50k</x:v>
      </x:c>
      <x:c r="P2318" t="str">
        <x:f>IF(E2318="","Unknown",IF(E2318&lt;10,"&lt;10",IF(E2318&lt;20,"10-&lt;20",IF(E2318&lt;25,"20-&lt;25",IF(E2318&lt;35,"25-&lt;35","35+")))))</x:f>
        <x:v>25-&lt;35</x:v>
      </x:c>
    </x:row>
    <x:row r="2319">
      <x:c r="A2319" t="str">
        <x:v>SYN0002318</x:v>
      </x:c>
      <x:c r="B2319" s="12" t="n">
        <x:v>42745</x:v>
      </x:c>
      <x:c r="C2319" s="18" t="n">
        <x:v>13164</x:v>
      </x:c>
      <x:c r="D2319" s="18" t="n">
        <x:v>35878</x:v>
      </x:c>
      <x:c r="E2319" s="18" t="n">
        <x:v>17.08</x:v>
      </x:c>
      <x:c r="F2319" s="18" t="n">
        <x:v>7.41</x:v>
      </x:c>
      <x:c r="G2319" t="n">
        <x:v>60</x:v>
      </x:c>
      <x:c r="H2319" t="str">
        <x:v>B</x:v>
      </x:c>
      <x:c r="I2319" t="str">
        <x:v>1-3 years</x:v>
      </x:c>
      <x:c r="J2319" t="str">
        <x:v>RENT</x:v>
      </x:c>
      <x:c r="K2319" t="str">
        <x:v>credit_card</x:v>
      </x:c>
      <x:c r="L2319" t="n">
        <x:v>1</x:v>
      </x:c>
      <x:c r="M2319" t="n">
        <x:v>0</x:v>
      </x:c>
      <x:c r="N2319" t="str">
        <x:v>Fully Paid</x:v>
      </x:c>
      <x:c r="O2319" t="str">
        <x:f>IF(D2319="","Unknown",IF(D2319&lt;25000,"&lt;$25k",IF(D2319&lt;50000,"$25k-$50k",IF(D2319&lt;75000,"$50k-$75k",IF(D2319&lt;100000,"$75k-$100k","$100k+")))))</x:f>
        <x:v>$25k-$50k</x:v>
      </x:c>
      <x:c r="P2319" t="str">
        <x:f>IF(E2319="","Unknown",IF(E2319&lt;10,"&lt;10",IF(E2319&lt;20,"10-&lt;20",IF(E2319&lt;25,"20-&lt;25",IF(E2319&lt;35,"25-&lt;35","35+")))))</x:f>
        <x:v>10-&lt;20</x:v>
      </x:c>
    </x:row>
    <x:row r="2320">
      <x:c r="A2320" t="str">
        <x:v>SYN0002319</x:v>
      </x:c>
      <x:c r="B2320" s="12" t="n">
        <x:v>42835</x:v>
      </x:c>
      <x:c r="C2320" s="18" t="n">
        <x:v>9601</x:v>
      </x:c>
      <x:c r="D2320" s="18" t="n">
        <x:v>56614</x:v>
      </x:c>
      <x:c r="E2320" s="18" t="n">
        <x:v>17.63</x:v>
      </x:c>
      <x:c r="F2320" s="18" t="n">
        <x:v>7.43</x:v>
      </x:c>
      <x:c r="G2320" t="n">
        <x:v>60</x:v>
      </x:c>
      <x:c r="H2320" t="str">
        <x:v>B</x:v>
      </x:c>
      <x:c r="I2320" t="str">
        <x:v>7-9 years</x:v>
      </x:c>
      <x:c r="J2320" t="str">
        <x:v>MORTGAGE</x:v>
      </x:c>
      <x:c r="K2320" t="str">
        <x:v>debt_consolidation</x:v>
      </x:c>
      <x:c r="L2320" t="n">
        <x:v>0</x:v>
      </x:c>
      <x:c r="M2320" t="n">
        <x:v>0</x:v>
      </x:c>
      <x:c r="N2320" t="str">
        <x:v>Fully Paid</x:v>
      </x:c>
      <x:c r="O2320" t="str">
        <x:f>IF(D2320="","Unknown",IF(D2320&lt;25000,"&lt;$25k",IF(D2320&lt;50000,"$25k-$50k",IF(D2320&lt;75000,"$50k-$75k",IF(D2320&lt;100000,"$75k-$100k","$100k+")))))</x:f>
        <x:v>$50k-$75k</x:v>
      </x:c>
      <x:c r="P2320" t="str">
        <x:f>IF(E2320="","Unknown",IF(E2320&lt;10,"&lt;10",IF(E2320&lt;20,"10-&lt;20",IF(E2320&lt;25,"20-&lt;25",IF(E2320&lt;35,"25-&lt;35","35+")))))</x:f>
        <x:v>10-&lt;20</x:v>
      </x:c>
    </x:row>
    <x:row r="2321">
      <x:c r="A2321" t="str">
        <x:v>SYN0002320</x:v>
      </x:c>
      <x:c r="B2321" s="12" t="n">
        <x:v>42535</x:v>
      </x:c>
      <x:c r="C2321" s="18" t="n">
        <x:v>8179</x:v>
      </x:c>
      <x:c r="D2321" s="18" t="n">
        <x:v>40814</x:v>
      </x:c>
      <x:c r="E2321" s="18" t="n">
        <x:v>24</x:v>
      </x:c>
      <x:c r="F2321" s="18" t="n">
        <x:v>21.12</x:v>
      </x:c>
      <x:c r="G2321" t="n">
        <x:v>60</x:v>
      </x:c>
      <x:c r="H2321" t="str">
        <x:v>F</x:v>
      </x:c>
      <x:c r="I2321" t="str">
        <x:v>7-9 years</x:v>
      </x:c>
      <x:c r="J2321" t="str">
        <x:v>MORTGAGE</x:v>
      </x:c>
      <x:c r="K2321" t="str">
        <x:v>home_improvement</x:v>
      </x:c>
      <x:c r="L2321" t="n">
        <x:v>0</x:v>
      </x:c>
      <x:c r="M2321" t="n">
        <x:v>1</x:v>
      </x:c>
      <x:c r="N2321" t="str">
        <x:v>Charged Off</x:v>
      </x:c>
      <x:c r="O2321" t="str">
        <x:f>IF(D2321="","Unknown",IF(D2321&lt;25000,"&lt;$25k",IF(D2321&lt;50000,"$25k-$50k",IF(D2321&lt;75000,"$50k-$75k",IF(D2321&lt;100000,"$75k-$100k","$100k+")))))</x:f>
        <x:v>$25k-$50k</x:v>
      </x:c>
      <x:c r="P2321" t="str">
        <x:f>IF(E2321="","Unknown",IF(E2321&lt;10,"&lt;10",IF(E2321&lt;20,"10-&lt;20",IF(E2321&lt;25,"20-&lt;25",IF(E2321&lt;35,"25-&lt;35","35+")))))</x:f>
        <x:v>20-&lt;25</x:v>
      </x:c>
    </x:row>
    <x:row r="2322">
      <x:c r="A2322" t="str">
        <x:v>SYN0002321</x:v>
      </x:c>
      <x:c r="B2322" s="12" t="n">
        <x:v>43285</x:v>
      </x:c>
      <x:c r="C2322" s="18" t="n">
        <x:v>19943</x:v>
      </x:c>
      <x:c r="D2322" s="18" t="n">
        <x:v>155306</x:v>
      </x:c>
      <x:c r="E2322" s="18" t="n">
        <x:v>27.95</x:v>
      </x:c>
      <x:c r="F2322" s="18" t="n">
        <x:v>10.79</x:v>
      </x:c>
      <x:c r="G2322" t="n">
        <x:v>36</x:v>
      </x:c>
      <x:c r="H2322" t="str">
        <x:v>C</x:v>
      </x:c>
      <x:c r="I2322" t="str">
        <x:v>10+ years</x:v>
      </x:c>
      <x:c r="J2322" t="str">
        <x:v>MORTGAGE</x:v>
      </x:c>
      <x:c r="K2322" t="str">
        <x:v>debt_consolidation</x:v>
      </x:c>
      <x:c r="L2322" t="n">
        <x:v>0</x:v>
      </x:c>
      <x:c r="M2322" t="n">
        <x:v>0</x:v>
      </x:c>
      <x:c r="N2322" t="str">
        <x:v>Fully Paid</x:v>
      </x:c>
      <x:c r="O2322" t="str">
        <x:f>IF(D2322="","Unknown",IF(D2322&lt;25000,"&lt;$25k",IF(D2322&lt;50000,"$25k-$50k",IF(D2322&lt;75000,"$50k-$75k",IF(D2322&lt;100000,"$75k-$100k","$100k+")))))</x:f>
        <x:v>$100k+</x:v>
      </x:c>
      <x:c r="P2322" t="str">
        <x:f>IF(E2322="","Unknown",IF(E2322&lt;10,"&lt;10",IF(E2322&lt;20,"10-&lt;20",IF(E2322&lt;25,"20-&lt;25",IF(E2322&lt;35,"25-&lt;35","35+")))))</x:f>
        <x:v>25-&lt;35</x:v>
      </x:c>
    </x:row>
    <x:row r="2323">
      <x:c r="A2323" t="str">
        <x:v>SYN0002322</x:v>
      </x:c>
      <x:c r="B2323" s="12" t="n">
        <x:v>43135</x:v>
      </x:c>
      <x:c r="C2323" s="18" t="n">
        <x:v>16393</x:v>
      </x:c>
      <x:c r="D2323" s="18" t="n">
        <x:v>37103</x:v>
      </x:c>
      <x:c r="E2323" s="18" t="n">
        <x:v>9.75</x:v>
      </x:c>
      <x:c r="F2323" s="18" t="n">
        <x:v>10.95</x:v>
      </x:c>
      <x:c r="G2323" t="n">
        <x:v>36</x:v>
      </x:c>
      <x:c r="H2323" t="str">
        <x:v>D</x:v>
      </x:c>
      <x:c r="I2323" t="str">
        <x:v>4-6 years</x:v>
      </x:c>
      <x:c r="J2323" t="str">
        <x:v>MORTGAGE</x:v>
      </x:c>
      <x:c r="K2323" t="str">
        <x:v>medical</x:v>
      </x:c>
      <x:c r="L2323" t="n">
        <x:v>0</x:v>
      </x:c>
      <x:c r="M2323" t="n">
        <x:v>1</x:v>
      </x:c>
      <x:c r="N2323" t="str">
        <x:v>Charged Off</x:v>
      </x:c>
      <x:c r="O2323" t="str">
        <x:f>IF(D2323="","Unknown",IF(D2323&lt;25000,"&lt;$25k",IF(D2323&lt;50000,"$25k-$50k",IF(D2323&lt;75000,"$50k-$75k",IF(D2323&lt;100000,"$75k-$100k","$100k+")))))</x:f>
        <x:v>$25k-$50k</x:v>
      </x:c>
      <x:c r="P2323" t="str">
        <x:f>IF(E2323="","Unknown",IF(E2323&lt;10,"&lt;10",IF(E2323&lt;20,"10-&lt;20",IF(E2323&lt;25,"20-&lt;25",IF(E2323&lt;35,"25-&lt;35","35+")))))</x:f>
        <x:v>&lt;10</x:v>
      </x:c>
    </x:row>
    <x:row r="2324">
      <x:c r="A2324" t="str">
        <x:v>SYN0002323</x:v>
      </x:c>
      <x:c r="B2324" s="12" t="n">
        <x:v>41575</x:v>
      </x:c>
      <x:c r="C2324" s="18" t="n">
        <x:v>31432</x:v>
      </x:c>
      <x:c r="D2324" s="18" t="n">
        <x:v>27288</x:v>
      </x:c>
      <x:c r="E2324" s="18" t="n">
        <x:v>22.16</x:v>
      </x:c>
      <x:c r="F2324" s="18" t="n">
        <x:v>19</x:v>
      </x:c>
      <x:c r="G2324" t="n">
        <x:v>36</x:v>
      </x:c>
      <x:c r="H2324" t="str">
        <x:v>F</x:v>
      </x:c>
      <x:c r="I2324" t="str">
        <x:v>7-9 years</x:v>
      </x:c>
      <x:c r="J2324" t="str">
        <x:v>RENT</x:v>
      </x:c>
      <x:c r="K2324" t="str">
        <x:v>home_improvement</x:v>
      </x:c>
      <x:c r="L2324" t="n">
        <x:v>1</x:v>
      </x:c>
      <x:c r="M2324" t="n">
        <x:v>0</x:v>
      </x:c>
      <x:c r="N2324" t="str">
        <x:v>Fully Paid</x:v>
      </x:c>
      <x:c r="O2324" t="str">
        <x:f>IF(D2324="","Unknown",IF(D2324&lt;25000,"&lt;$25k",IF(D2324&lt;50000,"$25k-$50k",IF(D2324&lt;75000,"$50k-$75k",IF(D2324&lt;100000,"$75k-$100k","$100k+")))))</x:f>
        <x:v>$25k-$50k</x:v>
      </x:c>
      <x:c r="P2324" t="str">
        <x:f>IF(E2324="","Unknown",IF(E2324&lt;10,"&lt;10",IF(E2324&lt;20,"10-&lt;20",IF(E2324&lt;25,"20-&lt;25",IF(E2324&lt;35,"25-&lt;35","35+")))))</x:f>
        <x:v>20-&lt;25</x:v>
      </x:c>
    </x:row>
    <x:row r="2325">
      <x:c r="A2325" t="str">
        <x:v>SYN0002324</x:v>
      </x:c>
      <x:c r="B2325" s="12" t="n">
        <x:v>43345</x:v>
      </x:c>
      <x:c r="C2325" s="18" t="n">
        <x:v>11113</x:v>
      </x:c>
      <x:c r="D2325" s="18" t="n">
        <x:v>53404</x:v>
      </x:c>
      <x:c r="E2325" s="18" t="n">
        <x:v>15.02</x:v>
      </x:c>
      <x:c r="F2325" s="18" t="n">
        <x:v>15.48</x:v>
      </x:c>
      <x:c r="G2325" t="n">
        <x:v>36</x:v>
      </x:c>
      <x:c r="H2325" t="str">
        <x:v>D</x:v>
      </x:c>
      <x:c r="I2325" t="str">
        <x:v>1-3 years</x:v>
      </x:c>
      <x:c r="J2325" t="str">
        <x:v>MORTGAGE</x:v>
      </x:c>
      <x:c r="K2325" t="str">
        <x:v>home_improvement</x:v>
      </x:c>
      <x:c r="L2325" t="n">
        <x:v>1</x:v>
      </x:c>
      <x:c r="M2325" t="n">
        <x:v>0</x:v>
      </x:c>
      <x:c r="N2325" t="str">
        <x:v>Fully Paid</x:v>
      </x:c>
      <x:c r="O2325" t="str">
        <x:f>IF(D2325="","Unknown",IF(D2325&lt;25000,"&lt;$25k",IF(D2325&lt;50000,"$25k-$50k",IF(D2325&lt;75000,"$50k-$75k",IF(D2325&lt;100000,"$75k-$100k","$100k+")))))</x:f>
        <x:v>$50k-$75k</x:v>
      </x:c>
      <x:c r="P2325" t="str">
        <x:f>IF(E2325="","Unknown",IF(E2325&lt;10,"&lt;10",IF(E2325&lt;20,"10-&lt;20",IF(E2325&lt;25,"20-&lt;25",IF(E2325&lt;35,"25-&lt;35","35+")))))</x:f>
        <x:v>10-&lt;20</x:v>
      </x:c>
    </x:row>
    <x:row r="2326">
      <x:c r="A2326" t="str">
        <x:v>SYN0002325</x:v>
      </x:c>
      <x:c r="B2326" s="12" t="n">
        <x:v>41545</x:v>
      </x:c>
      <x:c r="C2326" s="18" t="n">
        <x:v>11531</x:v>
      </x:c>
      <x:c r="D2326" s="18" t="n">
        <x:v>92992</x:v>
      </x:c>
      <x:c r="E2326" s="18" t="n">
        <x:v>12.6</x:v>
      </x:c>
      <x:c r="F2326" s="18" t="n">
        <x:v>12.27</x:v>
      </x:c>
      <x:c r="G2326" t="n">
        <x:v>36</x:v>
      </x:c>
      <x:c r="H2326" t="str">
        <x:v>D</x:v>
      </x:c>
      <x:c r="I2326" t="str">
        <x:v>10+ years</x:v>
      </x:c>
      <x:c r="J2326" t="str">
        <x:v>MORTGAGE</x:v>
      </x:c>
      <x:c r="K2326" t="str">
        <x:v>major_purchase</x:v>
      </x:c>
      <x:c r="L2326" t="n">
        <x:v>1</x:v>
      </x:c>
      <x:c r="M2326" t="n">
        <x:v>0</x:v>
      </x:c>
      <x:c r="N2326" t="str">
        <x:v>Fully Paid</x:v>
      </x:c>
      <x:c r="O2326" t="str">
        <x:f>IF(D2326="","Unknown",IF(D2326&lt;25000,"&lt;$25k",IF(D2326&lt;50000,"$25k-$50k",IF(D2326&lt;75000,"$50k-$75k",IF(D2326&lt;100000,"$75k-$100k","$100k+")))))</x:f>
        <x:v>$75k-$100k</x:v>
      </x:c>
      <x:c r="P2326" t="str">
        <x:f>IF(E2326="","Unknown",IF(E2326&lt;10,"&lt;10",IF(E2326&lt;20,"10-&lt;20",IF(E2326&lt;25,"20-&lt;25",IF(E2326&lt;35,"25-&lt;35","35+")))))</x:f>
        <x:v>10-&lt;20</x:v>
      </x:c>
    </x:row>
    <x:row r="2327">
      <x:c r="A2327" t="str">
        <x:v>SYN0002326</x:v>
      </x:c>
      <x:c r="B2327" s="12" t="n">
        <x:v>41815</x:v>
      </x:c>
      <x:c r="C2327" s="18" t="n">
        <x:v>12383</x:v>
      </x:c>
      <x:c r="D2327" s="18" t="n">
        <x:v>23722</x:v>
      </x:c>
      <x:c r="E2327" s="18" t="n">
        <x:v>25.63</x:v>
      </x:c>
      <x:c r="F2327" s="18" t="n">
        <x:v>22.23</x:v>
      </x:c>
      <x:c r="G2327" t="n">
        <x:v>36</x:v>
      </x:c>
      <x:c r="H2327" t="str">
        <x:v>F</x:v>
      </x:c>
      <x:c r="I2327" t="str">
        <x:v>10+ years</x:v>
      </x:c>
      <x:c r="J2327" t="str">
        <x:v>MORTGAGE</x:v>
      </x:c>
      <x:c r="K2327" t="str">
        <x:v>home_improvement</x:v>
      </x:c>
      <x:c r="L2327" t="n">
        <x:v>0</x:v>
      </x:c>
      <x:c r="M2327" t="n">
        <x:v>0</x:v>
      </x:c>
      <x:c r="N2327" t="str">
        <x:v>Fully Paid</x:v>
      </x:c>
      <x:c r="O2327" t="str">
        <x:f>IF(D2327="","Unknown",IF(D2327&lt;25000,"&lt;$25k",IF(D2327&lt;50000,"$25k-$50k",IF(D2327&lt;75000,"$50k-$75k",IF(D2327&lt;100000,"$75k-$100k","$100k+")))))</x:f>
        <x:v>&lt;$25k</x:v>
      </x:c>
      <x:c r="P2327" t="str">
        <x:f>IF(E2327="","Unknown",IF(E2327&lt;10,"&lt;10",IF(E2327&lt;20,"10-&lt;20",IF(E2327&lt;25,"20-&lt;25",IF(E2327&lt;35,"25-&lt;35","35+")))))</x:f>
        <x:v>25-&lt;35</x:v>
      </x:c>
    </x:row>
    <x:row r="2328">
      <x:c r="A2328" t="str">
        <x:v>SYN0002327</x:v>
      </x:c>
      <x:c r="B2328" s="12" t="n">
        <x:v>42355</x:v>
      </x:c>
      <x:c r="C2328" s="18" t="n">
        <x:v>8770</x:v>
      </x:c>
      <x:c r="D2328" s="18" t="n">
        <x:v>28479</x:v>
      </x:c>
      <x:c r="E2328" s="18" t="n">
        <x:v>29.63</x:v>
      </x:c>
      <x:c r="F2328" s="18" t="n">
        <x:v>10.6</x:v>
      </x:c>
      <x:c r="G2328" t="n">
        <x:v>36</x:v>
      </x:c>
      <x:c r="H2328" t="str">
        <x:v>C</x:v>
      </x:c>
      <x:c r="I2328" t="str">
        <x:v>7-9 years</x:v>
      </x:c>
      <x:c r="J2328" t="str">
        <x:v>OWN</x:v>
      </x:c>
      <x:c r="K2328" t="str">
        <x:v>credit_card</x:v>
      </x:c>
      <x:c r="L2328" t="n">
        <x:v>1</x:v>
      </x:c>
      <x:c r="M2328" t="n">
        <x:v>1</x:v>
      </x:c>
      <x:c r="N2328" t="str">
        <x:v>Charged Off</x:v>
      </x:c>
      <x:c r="O2328" t="str">
        <x:f>IF(D2328="","Unknown",IF(D2328&lt;25000,"&lt;$25k",IF(D2328&lt;50000,"$25k-$50k",IF(D2328&lt;75000,"$50k-$75k",IF(D2328&lt;100000,"$75k-$100k","$100k+")))))</x:f>
        <x:v>$25k-$50k</x:v>
      </x:c>
      <x:c r="P2328" t="str">
        <x:f>IF(E2328="","Unknown",IF(E2328&lt;10,"&lt;10",IF(E2328&lt;20,"10-&lt;20",IF(E2328&lt;25,"20-&lt;25",IF(E2328&lt;35,"25-&lt;35","35+")))))</x:f>
        <x:v>25-&lt;35</x:v>
      </x:c>
    </x:row>
    <x:row r="2329">
      <x:c r="A2329" t="str">
        <x:v>SYN0002328</x:v>
      </x:c>
      <x:c r="B2329" s="12" t="n">
        <x:v>43195</x:v>
      </x:c>
      <x:c r="C2329" s="18" t="n">
        <x:v>19323</x:v>
      </x:c>
      <x:c r="D2329" s="18" t="n">
        <x:v>46835</x:v>
      </x:c>
      <x:c r="E2329" s="18" t="n">
        <x:v>18.09</x:v>
      </x:c>
      <x:c r="F2329" s="18" t="n">
        <x:v>10.8</x:v>
      </x:c>
      <x:c r="G2329" t="n">
        <x:v>36</x:v>
      </x:c>
      <x:c r="H2329" t="str">
        <x:v>B</x:v>
      </x:c>
      <x:c r="I2329" t="str">
        <x:v>4-6 years</x:v>
      </x:c>
      <x:c r="J2329" t="str">
        <x:v>MORTGAGE</x:v>
      </x:c>
      <x:c r="K2329" t="str">
        <x:v>credit_card</x:v>
      </x:c>
      <x:c r="L2329" t="n">
        <x:v>0</x:v>
      </x:c>
      <x:c r="M2329" t="n">
        <x:v>0</x:v>
      </x:c>
      <x:c r="N2329" t="str">
        <x:v>Fully Paid</x:v>
      </x:c>
      <x:c r="O2329" t="str">
        <x:f>IF(D2329="","Unknown",IF(D2329&lt;25000,"&lt;$25k",IF(D2329&lt;50000,"$25k-$50k",IF(D2329&lt;75000,"$50k-$75k",IF(D2329&lt;100000,"$75k-$100k","$100k+")))))</x:f>
        <x:v>$25k-$50k</x:v>
      </x:c>
      <x:c r="P2329" t="str">
        <x:f>IF(E2329="","Unknown",IF(E2329&lt;10,"&lt;10",IF(E2329&lt;20,"10-&lt;20",IF(E2329&lt;25,"20-&lt;25",IF(E2329&lt;35,"25-&lt;35","35+")))))</x:f>
        <x:v>10-&lt;20</x:v>
      </x:c>
    </x:row>
    <x:row r="2330">
      <x:c r="A2330" t="str">
        <x:v>SYN0002329</x:v>
      </x:c>
      <x:c r="B2330" s="12" t="n">
        <x:v>41995</x:v>
      </x:c>
      <x:c r="C2330" s="18" t="n">
        <x:v>9378</x:v>
      </x:c>
      <x:c r="D2330" s="18" t="n">
        <x:v>29440</x:v>
      </x:c>
      <x:c r="E2330" s="18" t="n">
        <x:v>24.43</x:v>
      </x:c>
      <x:c r="F2330" s="18" t="n">
        <x:v>16.57</x:v>
      </x:c>
      <x:c r="G2330" t="n">
        <x:v>60</x:v>
      </x:c>
      <x:c r="H2330" t="str">
        <x:v>D</x:v>
      </x:c>
      <x:c r="I2330" t="str">
        <x:v>7-9 years</x:v>
      </x:c>
      <x:c r="J2330" t="str">
        <x:v>OWN</x:v>
      </x:c>
      <x:c r="K2330" t="str">
        <x:v>debt_consolidation</x:v>
      </x:c>
      <x:c r="L2330" t="n">
        <x:v>0</x:v>
      </x:c>
      <x:c r="M2330" t="n">
        <x:v>1</x:v>
      </x:c>
      <x:c r="N2330" t="str">
        <x:v>Charged Off</x:v>
      </x:c>
      <x:c r="O2330" t="str">
        <x:f>IF(D2330="","Unknown",IF(D2330&lt;25000,"&lt;$25k",IF(D2330&lt;50000,"$25k-$50k",IF(D2330&lt;75000,"$50k-$75k",IF(D2330&lt;100000,"$75k-$100k","$100k+")))))</x:f>
        <x:v>$25k-$50k</x:v>
      </x:c>
      <x:c r="P2330" t="str">
        <x:f>IF(E2330="","Unknown",IF(E2330&lt;10,"&lt;10",IF(E2330&lt;20,"10-&lt;20",IF(E2330&lt;25,"20-&lt;25",IF(E2330&lt;35,"25-&lt;35","35+")))))</x:f>
        <x:v>20-&lt;25</x:v>
      </x:c>
    </x:row>
    <x:row r="2331">
      <x:c r="A2331" t="str">
        <x:v>SYN0002330</x:v>
      </x:c>
      <x:c r="B2331" s="12" t="n">
        <x:v>42025</x:v>
      </x:c>
      <x:c r="C2331" s="18" t="n">
        <x:v>16368</x:v>
      </x:c>
      <x:c r="D2331" s="18" t="n">
        <x:v>35126</x:v>
      </x:c>
      <x:c r="E2331" s="18" t="n">
        <x:v>23.75</x:v>
      </x:c>
      <x:c r="F2331" s="18" t="n">
        <x:v>8.4</x:v>
      </x:c>
      <x:c r="G2331" t="n">
        <x:v>36</x:v>
      </x:c>
      <x:c r="H2331" t="str">
        <x:v>B</x:v>
      </x:c>
      <x:c r="I2331" t="str">
        <x:v>7-9 years</x:v>
      </x:c>
      <x:c r="J2331" t="str">
        <x:v>OWN</x:v>
      </x:c>
      <x:c r="K2331" t="str">
        <x:v>other</x:v>
      </x:c>
      <x:c r="L2331" t="n">
        <x:v>0</x:v>
      </x:c>
      <x:c r="M2331" t="n">
        <x:v>0</x:v>
      </x:c>
      <x:c r="N2331" t="str">
        <x:v>Fully Paid</x:v>
      </x:c>
      <x:c r="O2331" t="str">
        <x:f>IF(D2331="","Unknown",IF(D2331&lt;25000,"&lt;$25k",IF(D2331&lt;50000,"$25k-$50k",IF(D2331&lt;75000,"$50k-$75k",IF(D2331&lt;100000,"$75k-$100k","$100k+")))))</x:f>
        <x:v>$25k-$50k</x:v>
      </x:c>
      <x:c r="P2331" t="str">
        <x:f>IF(E2331="","Unknown",IF(E2331&lt;10,"&lt;10",IF(E2331&lt;20,"10-&lt;20",IF(E2331&lt;25,"20-&lt;25",IF(E2331&lt;35,"25-&lt;35","35+")))))</x:f>
        <x:v>20-&lt;25</x:v>
      </x:c>
    </x:row>
    <x:row r="2332">
      <x:c r="A2332" t="str">
        <x:v>SYN0002331</x:v>
      </x:c>
      <x:c r="B2332" s="12" t="n">
        <x:v>41275</x:v>
      </x:c>
      <x:c r="C2332" s="18" t="n">
        <x:v>9009</x:v>
      </x:c>
      <x:c r="D2332" s="18" t="n">
        <x:v>60010</x:v>
      </x:c>
      <x:c r="E2332" s="18" t="n">
        <x:v>3.18</x:v>
      </x:c>
      <x:c r="F2332" s="18" t="n">
        <x:v>5</x:v>
      </x:c>
      <x:c r="G2332" t="n">
        <x:v>36</x:v>
      </x:c>
      <x:c r="H2332" t="str">
        <x:v>A</x:v>
      </x:c>
      <x:c r="I2332" t="str">
        <x:v>10+ years</x:v>
      </x:c>
      <x:c r="J2332" t="str">
        <x:v>MORTGAGE</x:v>
      </x:c>
      <x:c r="K2332" t="str">
        <x:v>credit_card</x:v>
      </x:c>
      <x:c r="L2332" t="n">
        <x:v>0</x:v>
      </x:c>
      <x:c r="M2332" t="n">
        <x:v>0</x:v>
      </x:c>
      <x:c r="N2332" t="str">
        <x:v>Fully Paid</x:v>
      </x:c>
      <x:c r="O2332" t="str">
        <x:f>IF(D2332="","Unknown",IF(D2332&lt;25000,"&lt;$25k",IF(D2332&lt;50000,"$25k-$50k",IF(D2332&lt;75000,"$50k-$75k",IF(D2332&lt;100000,"$75k-$100k","$100k+")))))</x:f>
        <x:v>$50k-$75k</x:v>
      </x:c>
      <x:c r="P2332" t="str">
        <x:f>IF(E2332="","Unknown",IF(E2332&lt;10,"&lt;10",IF(E2332&lt;20,"10-&lt;20",IF(E2332&lt;25,"20-&lt;25",IF(E2332&lt;35,"25-&lt;35","35+")))))</x:f>
        <x:v>&lt;10</x:v>
      </x:c>
    </x:row>
    <x:row r="2333">
      <x:c r="A2333" t="str">
        <x:v>SYN0002332</x:v>
      </x:c>
      <x:c r="B2333" s="12" t="n">
        <x:v>42355</x:v>
      </x:c>
      <x:c r="C2333" s="18" t="n">
        <x:v>14753</x:v>
      </x:c>
      <x:c r="D2333" s="18" t="n">
        <x:v>52213</x:v>
      </x:c>
      <x:c r="E2333" s="18" t="n">
        <x:v>18.01</x:v>
      </x:c>
      <x:c r="F2333" s="18" t="n">
        <x:v>12.87</x:v>
      </x:c>
      <x:c r="G2333" t="n">
        <x:v>60</x:v>
      </x:c>
      <x:c r="H2333" t="str">
        <x:v>B</x:v>
      </x:c>
      <x:c r="I2333" t="str">
        <x:v>7-9 years</x:v>
      </x:c>
      <x:c r="J2333" t="str">
        <x:v>MORTGAGE</x:v>
      </x:c>
      <x:c r="K2333" t="str">
        <x:v>other</x:v>
      </x:c>
      <x:c r="L2333" t="n">
        <x:v>0</x:v>
      </x:c>
      <x:c r="M2333" t="n">
        <x:v>0</x:v>
      </x:c>
      <x:c r="N2333" t="str">
        <x:v>Fully Paid</x:v>
      </x:c>
      <x:c r="O2333" t="str">
        <x:f>IF(D2333="","Unknown",IF(D2333&lt;25000,"&lt;$25k",IF(D2333&lt;50000,"$25k-$50k",IF(D2333&lt;75000,"$50k-$75k",IF(D2333&lt;100000,"$75k-$100k","$100k+")))))</x:f>
        <x:v>$50k-$75k</x:v>
      </x:c>
      <x:c r="P2333" t="str">
        <x:f>IF(E2333="","Unknown",IF(E2333&lt;10,"&lt;10",IF(E2333&lt;20,"10-&lt;20",IF(E2333&lt;25,"20-&lt;25",IF(E2333&lt;35,"25-&lt;35","35+")))))</x:f>
        <x:v>10-&lt;20</x:v>
      </x:c>
    </x:row>
    <x:row r="2334">
      <x:c r="A2334" t="str">
        <x:v>SYN0002333</x:v>
      </x:c>
      <x:c r="B2334" s="12" t="n">
        <x:v>42745</x:v>
      </x:c>
      <x:c r="C2334" s="18" t="n">
        <x:v>20931</x:v>
      </x:c>
      <x:c r="D2334" s="18" t="n">
        <x:v>74122</x:v>
      </x:c>
      <x:c r="E2334" s="18" t="n">
        <x:v>20.86</x:v>
      </x:c>
      <x:c r="F2334" s="18" t="n">
        <x:v>9.43</x:v>
      </x:c>
      <x:c r="G2334" t="n">
        <x:v>60</x:v>
      </x:c>
      <x:c r="H2334" t="str">
        <x:v>B</x:v>
      </x:c>
      <x:c r="I2334" t="str">
        <x:v>4-6 years</x:v>
      </x:c>
      <x:c r="J2334" t="str">
        <x:v>OWN</x:v>
      </x:c>
      <x:c r="K2334" t="str">
        <x:v>medical</x:v>
      </x:c>
      <x:c r="L2334" t="n">
        <x:v>0</x:v>
      </x:c>
      <x:c r="M2334" t="n">
        <x:v>0</x:v>
      </x:c>
      <x:c r="N2334" t="str">
        <x:v>Fully Paid</x:v>
      </x:c>
      <x:c r="O2334" t="str">
        <x:f>IF(D2334="","Unknown",IF(D2334&lt;25000,"&lt;$25k",IF(D2334&lt;50000,"$25k-$50k",IF(D2334&lt;75000,"$50k-$75k",IF(D2334&lt;100000,"$75k-$100k","$100k+")))))</x:f>
        <x:v>$50k-$75k</x:v>
      </x:c>
      <x:c r="P2334" t="str">
        <x:f>IF(E2334="","Unknown",IF(E2334&lt;10,"&lt;10",IF(E2334&lt;20,"10-&lt;20",IF(E2334&lt;25,"20-&lt;25",IF(E2334&lt;35,"25-&lt;35","35+")))))</x:f>
        <x:v>20-&lt;25</x:v>
      </x:c>
    </x:row>
    <x:row r="2335">
      <x:c r="A2335" t="str">
        <x:v>SYN0002334</x:v>
      </x:c>
      <x:c r="B2335" s="12" t="n">
        <x:v>43195</x:v>
      </x:c>
      <x:c r="C2335" s="18" t="n">
        <x:v>13061</x:v>
      </x:c>
      <x:c r="D2335" s="18" t="n">
        <x:v>37752</x:v>
      </x:c>
      <x:c r="E2335" s="18" t="n">
        <x:v>7.98</x:v>
      </x:c>
      <x:c r="F2335" s="18" t="n">
        <x:v>6.82</x:v>
      </x:c>
      <x:c r="G2335" t="n">
        <x:v>36</x:v>
      </x:c>
      <x:c r="H2335" t="str">
        <x:v>B</x:v>
      </x:c>
      <x:c r="I2335" t="str">
        <x:v>10+ years</x:v>
      </x:c>
      <x:c r="J2335" t="str">
        <x:v>RENT</x:v>
      </x:c>
      <x:c r="K2335" t="str">
        <x:v>major_purchase</x:v>
      </x:c>
      <x:c r="L2335" t="n">
        <x:v>0</x:v>
      </x:c>
      <x:c r="M2335" t="n">
        <x:v>0</x:v>
      </x:c>
      <x:c r="N2335" t="str">
        <x:v>Fully Paid</x:v>
      </x:c>
      <x:c r="O2335" t="str">
        <x:f>IF(D2335="","Unknown",IF(D2335&lt;25000,"&lt;$25k",IF(D2335&lt;50000,"$25k-$50k",IF(D2335&lt;75000,"$50k-$75k",IF(D2335&lt;100000,"$75k-$100k","$100k+")))))</x:f>
        <x:v>$25k-$50k</x:v>
      </x:c>
      <x:c r="P2335" t="str">
        <x:f>IF(E2335="","Unknown",IF(E2335&lt;10,"&lt;10",IF(E2335&lt;20,"10-&lt;20",IF(E2335&lt;25,"20-&lt;25",IF(E2335&lt;35,"25-&lt;35","35+")))))</x:f>
        <x:v>&lt;10</x:v>
      </x:c>
    </x:row>
    <x:row r="2336">
      <x:c r="A2336" t="str">
        <x:v>SYN0002335</x:v>
      </x:c>
      <x:c r="B2336" s="12" t="n">
        <x:v>41905</x:v>
      </x:c>
      <x:c r="C2336" s="18" t="n">
        <x:v>11215</x:v>
      </x:c>
      <x:c r="D2336" s="18" t="n">
        <x:v>40201</x:v>
      </x:c>
      <x:c r="E2336" s="18" t="n">
        <x:v>32.4</x:v>
      </x:c>
      <x:c r="F2336" s="18" t="n">
        <x:v>13.73</x:v>
      </x:c>
      <x:c r="G2336" t="n">
        <x:v>36</x:v>
      </x:c>
      <x:c r="H2336" t="str">
        <x:v>C</x:v>
      </x:c>
      <x:c r="I2336" t="str">
        <x:v>4-6 years</x:v>
      </x:c>
      <x:c r="J2336" t="str">
        <x:v>MORTGAGE</x:v>
      </x:c>
      <x:c r="K2336" t="str">
        <x:v>debt_consolidation</x:v>
      </x:c>
      <x:c r="L2336" t="n">
        <x:v>0</x:v>
      </x:c>
      <x:c r="M2336" t="n">
        <x:v>0</x:v>
      </x:c>
      <x:c r="N2336" t="str">
        <x:v>Fully Paid</x:v>
      </x:c>
      <x:c r="O2336" t="str">
        <x:f>IF(D2336="","Unknown",IF(D2336&lt;25000,"&lt;$25k",IF(D2336&lt;50000,"$25k-$50k",IF(D2336&lt;75000,"$50k-$75k",IF(D2336&lt;100000,"$75k-$100k","$100k+")))))</x:f>
        <x:v>$25k-$50k</x:v>
      </x:c>
      <x:c r="P2336" t="str">
        <x:f>IF(E2336="","Unknown",IF(E2336&lt;10,"&lt;10",IF(E2336&lt;20,"10-&lt;20",IF(E2336&lt;25,"20-&lt;25",IF(E2336&lt;35,"25-&lt;35","35+")))))</x:f>
        <x:v>25-&lt;35</x:v>
      </x:c>
    </x:row>
    <x:row r="2337">
      <x:c r="A2337" t="str">
        <x:v>SYN0002336</x:v>
      </x:c>
      <x:c r="B2337" s="12" t="n">
        <x:v>42205</x:v>
      </x:c>
      <x:c r="C2337" s="18" t="n">
        <x:v>24403</x:v>
      </x:c>
      <x:c r="D2337" s="18" t="n">
        <x:v>40227</x:v>
      </x:c>
      <x:c r="E2337" s="18" t="n">
        <x:v>11.59</x:v>
      </x:c>
      <x:c r="F2337" s="18" t="n">
        <x:v>15.77</x:v>
      </x:c>
      <x:c r="G2337" t="n">
        <x:v>36</x:v>
      </x:c>
      <x:c r="H2337" t="str">
        <x:v>C</x:v>
      </x:c>
      <x:c r="I2337" t="str">
        <x:v>7-9 years</x:v>
      </x:c>
      <x:c r="J2337" t="str">
        <x:v>MORTGAGE</x:v>
      </x:c>
      <x:c r="K2337" t="str">
        <x:v>credit_card</x:v>
      </x:c>
      <x:c r="L2337" t="n">
        <x:v>1</x:v>
      </x:c>
      <x:c r="M2337" t="n">
        <x:v>0</x:v>
      </x:c>
      <x:c r="N2337" t="str">
        <x:v>Fully Paid</x:v>
      </x:c>
      <x:c r="O2337" t="str">
        <x:f>IF(D2337="","Unknown",IF(D2337&lt;25000,"&lt;$25k",IF(D2337&lt;50000,"$25k-$50k",IF(D2337&lt;75000,"$50k-$75k",IF(D2337&lt;100000,"$75k-$100k","$100k+")))))</x:f>
        <x:v>$25k-$50k</x:v>
      </x:c>
      <x:c r="P2337" t="str">
        <x:f>IF(E2337="","Unknown",IF(E2337&lt;10,"&lt;10",IF(E2337&lt;20,"10-&lt;20",IF(E2337&lt;25,"20-&lt;25",IF(E2337&lt;35,"25-&lt;35","35+")))))</x:f>
        <x:v>10-&lt;20</x:v>
      </x:c>
    </x:row>
    <x:row r="2338">
      <x:c r="A2338" t="str">
        <x:v>SYN0002337</x:v>
      </x:c>
      <x:c r="B2338" s="12" t="n">
        <x:v>42055</x:v>
      </x:c>
      <x:c r="C2338" s="18" t="n">
        <x:v>36781</x:v>
      </x:c>
      <x:c r="D2338" s="18" t="n">
        <x:v>53380</x:v>
      </x:c>
      <x:c r="E2338" s="18" t="n">
        <x:v>20.34</x:v>
      </x:c>
      <x:c r="F2338" s="18" t="n">
        <x:v>12.63</x:v>
      </x:c>
      <x:c r="G2338" t="n">
        <x:v>36</x:v>
      </x:c>
      <x:c r="H2338" t="str">
        <x:v>D</x:v>
      </x:c>
      <x:c r="I2338" t="str">
        <x:v>10+ years</x:v>
      </x:c>
      <x:c r="J2338" t="str">
        <x:v>MORTGAGE</x:v>
      </x:c>
      <x:c r="K2338" t="str">
        <x:v>debt_consolidation</x:v>
      </x:c>
      <x:c r="L2338" t="n">
        <x:v>0</x:v>
      </x:c>
      <x:c r="M2338" t="n">
        <x:v>0</x:v>
      </x:c>
      <x:c r="N2338" t="str">
        <x:v>Fully Paid</x:v>
      </x:c>
      <x:c r="O2338" t="str">
        <x:f>IF(D2338="","Unknown",IF(D2338&lt;25000,"&lt;$25k",IF(D2338&lt;50000,"$25k-$50k",IF(D2338&lt;75000,"$50k-$75k",IF(D2338&lt;100000,"$75k-$100k","$100k+")))))</x:f>
        <x:v>$50k-$75k</x:v>
      </x:c>
      <x:c r="P2338" t="str">
        <x:f>IF(E2338="","Unknown",IF(E2338&lt;10,"&lt;10",IF(E2338&lt;20,"10-&lt;20",IF(E2338&lt;25,"20-&lt;25",IF(E2338&lt;35,"25-&lt;35","35+")))))</x:f>
        <x:v>20-&lt;25</x:v>
      </x:c>
    </x:row>
    <x:row r="2339">
      <x:c r="A2339" t="str">
        <x:v>SYN0002338</x:v>
      </x:c>
      <x:c r="B2339" s="12" t="n">
        <x:v>43315</x:v>
      </x:c>
      <x:c r="C2339" s="18" t="n">
        <x:v>11136</x:v>
      </x:c>
      <x:c r="D2339" s="18" t="n">
        <x:v>34191</x:v>
      </x:c>
      <x:c r="E2339" s="18" t="n">
        <x:v>24.59</x:v>
      </x:c>
      <x:c r="F2339" s="18" t="n">
        <x:v>24.18</x:v>
      </x:c>
      <x:c r="G2339" t="n">
        <x:v>36</x:v>
      </x:c>
      <x:c r="H2339" t="str">
        <x:v>G</x:v>
      </x:c>
      <x:c r="I2339" t="str">
        <x:v>4-6 years</x:v>
      </x:c>
      <x:c r="J2339" t="str">
        <x:v>RENT</x:v>
      </x:c>
      <x:c r="K2339" t="str">
        <x:v>home_improvement</x:v>
      </x:c>
      <x:c r="L2339" t="n">
        <x:v>3</x:v>
      </x:c>
      <x:c r="M2339" t="n">
        <x:v>1</x:v>
      </x:c>
      <x:c r="N2339" t="str">
        <x:v>Charged Off</x:v>
      </x:c>
      <x:c r="O2339" t="str">
        <x:f>IF(D2339="","Unknown",IF(D2339&lt;25000,"&lt;$25k",IF(D2339&lt;50000,"$25k-$50k",IF(D2339&lt;75000,"$50k-$75k",IF(D2339&lt;100000,"$75k-$100k","$100k+")))))</x:f>
        <x:v>$25k-$50k</x:v>
      </x:c>
      <x:c r="P2339" t="str">
        <x:f>IF(E2339="","Unknown",IF(E2339&lt;10,"&lt;10",IF(E2339&lt;20,"10-&lt;20",IF(E2339&lt;25,"20-&lt;25",IF(E2339&lt;35,"25-&lt;35","35+")))))</x:f>
        <x:v>20-&lt;25</x:v>
      </x:c>
    </x:row>
    <x:row r="2340">
      <x:c r="A2340" t="str">
        <x:v>SYN0002339</x:v>
      </x:c>
      <x:c r="B2340" s="12" t="n">
        <x:v>42985</x:v>
      </x:c>
      <x:c r="C2340" s="18" t="n">
        <x:v>15755</x:v>
      </x:c>
      <x:c r="D2340" s="18" t="n">
        <x:v>47708</x:v>
      </x:c>
      <x:c r="E2340" s="18" t="n">
        <x:v>11.83</x:v>
      </x:c>
      <x:c r="F2340" s="18" t="n">
        <x:v>11.59</x:v>
      </x:c>
      <x:c r="G2340" t="n">
        <x:v>60</x:v>
      </x:c>
      <x:c r="H2340" t="str">
        <x:v>C</x:v>
      </x:c>
      <x:c r="I2340" t="str">
        <x:v>4-6 years</x:v>
      </x:c>
      <x:c r="J2340" t="str">
        <x:v>MORTGAGE</x:v>
      </x:c>
      <x:c r="K2340" t="str">
        <x:v>other</x:v>
      </x:c>
      <x:c r="L2340" t="n">
        <x:v>0</x:v>
      </x:c>
      <x:c r="M2340" t="n">
        <x:v>0</x:v>
      </x:c>
      <x:c r="N2340" t="str">
        <x:v>Fully Paid</x:v>
      </x:c>
      <x:c r="O2340" t="str">
        <x:f>IF(D2340="","Unknown",IF(D2340&lt;25000,"&lt;$25k",IF(D2340&lt;50000,"$25k-$50k",IF(D2340&lt;75000,"$50k-$75k",IF(D2340&lt;100000,"$75k-$100k","$100k+")))))</x:f>
        <x:v>$25k-$50k</x:v>
      </x:c>
      <x:c r="P2340" t="str">
        <x:f>IF(E2340="","Unknown",IF(E2340&lt;10,"&lt;10",IF(E2340&lt;20,"10-&lt;20",IF(E2340&lt;25,"20-&lt;25",IF(E2340&lt;35,"25-&lt;35","35+")))))</x:f>
        <x:v>10-&lt;20</x:v>
      </x:c>
    </x:row>
    <x:row r="2341">
      <x:c r="A2341" t="str">
        <x:v>SYN0002340</x:v>
      </x:c>
      <x:c r="B2341" s="12" t="n">
        <x:v>42985</x:v>
      </x:c>
      <x:c r="C2341" s="18" t="n">
        <x:v>6177</x:v>
      </x:c>
      <x:c r="D2341" s="18" t="n">
        <x:v>45126</x:v>
      </x:c>
      <x:c r="E2341" s="18" t="n">
        <x:v>32.32</x:v>
      </x:c>
      <x:c r="F2341" s="18" t="n">
        <x:v>22.07</x:v>
      </x:c>
      <x:c r="G2341" t="n">
        <x:v>60</x:v>
      </x:c>
      <x:c r="H2341" t="str">
        <x:v>F</x:v>
      </x:c>
      <x:c r="I2341" t="str">
        <x:v>1-3 years</x:v>
      </x:c>
      <x:c r="J2341" t="str">
        <x:v>MORTGAGE</x:v>
      </x:c>
      <x:c r="K2341" t="str">
        <x:v>debt_consolidation</x:v>
      </x:c>
      <x:c r="L2341" t="n">
        <x:v>1</x:v>
      </x:c>
      <x:c r="M2341" t="n">
        <x:v>0</x:v>
      </x:c>
      <x:c r="N2341" t="str">
        <x:v>Fully Paid</x:v>
      </x:c>
      <x:c r="O2341" t="str">
        <x:f>IF(D2341="","Unknown",IF(D2341&lt;25000,"&lt;$25k",IF(D2341&lt;50000,"$25k-$50k",IF(D2341&lt;75000,"$50k-$75k",IF(D2341&lt;100000,"$75k-$100k","$100k+")))))</x:f>
        <x:v>$25k-$50k</x:v>
      </x:c>
      <x:c r="P2341" t="str">
        <x:f>IF(E2341="","Unknown",IF(E2341&lt;10,"&lt;10",IF(E2341&lt;20,"10-&lt;20",IF(E2341&lt;25,"20-&lt;25",IF(E2341&lt;35,"25-&lt;35","35+")))))</x:f>
        <x:v>25-&lt;35</x:v>
      </x:c>
    </x:row>
    <x:row r="2342">
      <x:c r="A2342" t="str">
        <x:v>SYN0002341</x:v>
      </x:c>
      <x:c r="B2342" s="12" t="n">
        <x:v>43165</x:v>
      </x:c>
      <x:c r="C2342" s="18" t="n">
        <x:v>23709</x:v>
      </x:c>
      <x:c r="D2342" s="18" t="n">
        <x:v>22868</x:v>
      </x:c>
      <x:c r="E2342" s="18" t="n">
        <x:v>26.97</x:v>
      </x:c>
      <x:c r="F2342" s="18" t="n">
        <x:v>5.66</x:v>
      </x:c>
      <x:c r="G2342" t="n">
        <x:v>60</x:v>
      </x:c>
      <x:c r="H2342" t="str">
        <x:v>A</x:v>
      </x:c>
      <x:c r="I2342" t="str">
        <x:v>4-6 years</x:v>
      </x:c>
      <x:c r="J2342" t="str">
        <x:v>RENT</x:v>
      </x:c>
      <x:c r="K2342" t="str">
        <x:v>debt_consolidation</x:v>
      </x:c>
      <x:c r="L2342" t="n">
        <x:v>0</x:v>
      </x:c>
      <x:c r="M2342" t="n">
        <x:v>0</x:v>
      </x:c>
      <x:c r="N2342" t="str">
        <x:v>Fully Paid</x:v>
      </x:c>
      <x:c r="O2342" t="str">
        <x:f>IF(D2342="","Unknown",IF(D2342&lt;25000,"&lt;$25k",IF(D2342&lt;50000,"$25k-$50k",IF(D2342&lt;75000,"$50k-$75k",IF(D2342&lt;100000,"$75k-$100k","$100k+")))))</x:f>
        <x:v>&lt;$25k</x:v>
      </x:c>
      <x:c r="P2342" t="str">
        <x:f>IF(E2342="","Unknown",IF(E2342&lt;10,"&lt;10",IF(E2342&lt;20,"10-&lt;20",IF(E2342&lt;25,"20-&lt;25",IF(E2342&lt;35,"25-&lt;35","35+")))))</x:f>
        <x:v>25-&lt;35</x:v>
      </x:c>
    </x:row>
    <x:row r="2343">
      <x:c r="A2343" t="str">
        <x:v>SYN0002342</x:v>
      </x:c>
      <x:c r="B2343" s="12" t="n">
        <x:v>42445</x:v>
      </x:c>
      <x:c r="C2343" s="18" t="n">
        <x:v>26706</x:v>
      </x:c>
      <x:c r="D2343" s="18" t="n">
        <x:v>29032</x:v>
      </x:c>
      <x:c r="E2343" s="18" t="n">
        <x:v>22.58</x:v>
      </x:c>
      <x:c r="F2343" s="18" t="n">
        <x:v>20.44</x:v>
      </x:c>
      <x:c r="G2343" t="n">
        <x:v>36</x:v>
      </x:c>
      <x:c r="H2343" t="str">
        <x:v>F</x:v>
      </x:c>
      <x:c r="I2343" t="str">
        <x:v>4-6 years</x:v>
      </x:c>
      <x:c r="J2343" t="str">
        <x:v>RENT</x:v>
      </x:c>
      <x:c r="K2343" t="str">
        <x:v>debt_consolidation</x:v>
      </x:c>
      <x:c r="L2343" t="n">
        <x:v>2</x:v>
      </x:c>
      <x:c r="M2343" t="n">
        <x:v>0</x:v>
      </x:c>
      <x:c r="N2343" t="str">
        <x:v>Fully Paid</x:v>
      </x:c>
      <x:c r="O2343" t="str">
        <x:f>IF(D2343="","Unknown",IF(D2343&lt;25000,"&lt;$25k",IF(D2343&lt;50000,"$25k-$50k",IF(D2343&lt;75000,"$50k-$75k",IF(D2343&lt;100000,"$75k-$100k","$100k+")))))</x:f>
        <x:v>$25k-$50k</x:v>
      </x:c>
      <x:c r="P2343" t="str">
        <x:f>IF(E2343="","Unknown",IF(E2343&lt;10,"&lt;10",IF(E2343&lt;20,"10-&lt;20",IF(E2343&lt;25,"20-&lt;25",IF(E2343&lt;35,"25-&lt;35","35+")))))</x:f>
        <x:v>20-&lt;25</x:v>
      </x:c>
    </x:row>
    <x:row r="2344">
      <x:c r="A2344" t="str">
        <x:v>SYN0002343</x:v>
      </x:c>
      <x:c r="B2344" s="12" t="n">
        <x:v>41845</x:v>
      </x:c>
      <x:c r="C2344" s="18" t="n">
        <x:v>40000</x:v>
      </x:c>
      <x:c r="D2344" s="18" t="n">
        <x:v>116264</x:v>
      </x:c>
      <x:c r="E2344" s="18" t="n">
        <x:v>40.75</x:v>
      </x:c>
      <x:c r="F2344" s="18" t="n">
        <x:v>18.28</x:v>
      </x:c>
      <x:c r="G2344" t="n">
        <x:v>60</x:v>
      </x:c>
      <x:c r="H2344" t="str">
        <x:v>E</x:v>
      </x:c>
      <x:c r="I2344" t="str">
        <x:v>1-3 years</x:v>
      </x:c>
      <x:c r="J2344" t="str">
        <x:v>RENT</x:v>
      </x:c>
      <x:c r="K2344" t="str">
        <x:v>credit_card</x:v>
      </x:c>
      <x:c r="L2344" t="n">
        <x:v>1</x:v>
      </x:c>
      <x:c r="M2344" t="n">
        <x:v>0</x:v>
      </x:c>
      <x:c r="N2344" t="str">
        <x:v>Fully Paid</x:v>
      </x:c>
      <x:c r="O2344" t="str">
        <x:f>IF(D2344="","Unknown",IF(D2344&lt;25000,"&lt;$25k",IF(D2344&lt;50000,"$25k-$50k",IF(D2344&lt;75000,"$50k-$75k",IF(D2344&lt;100000,"$75k-$100k","$100k+")))))</x:f>
        <x:v>$100k+</x:v>
      </x:c>
      <x:c r="P2344" t="str">
        <x:f>IF(E2344="","Unknown",IF(E2344&lt;10,"&lt;10",IF(E2344&lt;20,"10-&lt;20",IF(E2344&lt;25,"20-&lt;25",IF(E2344&lt;35,"25-&lt;35","35+")))))</x:f>
        <x:v>35+</x:v>
      </x:c>
    </x:row>
    <x:row r="2345">
      <x:c r="A2345" t="str">
        <x:v>SYN0002344</x:v>
      </x:c>
      <x:c r="B2345" s="12" t="n">
        <x:v>41275</x:v>
      </x:c>
      <x:c r="C2345" s="18" t="n">
        <x:v>12761</x:v>
      </x:c>
      <x:c r="D2345" s="18" t="n">
        <x:v>169020</x:v>
      </x:c>
      <x:c r="E2345" s="18" t="n">
        <x:v>10.47</x:v>
      </x:c>
      <x:c r="F2345" s="18" t="n">
        <x:v>8.58</x:v>
      </x:c>
      <x:c r="G2345" t="n">
        <x:v>36</x:v>
      </x:c>
      <x:c r="H2345" t="str">
        <x:v>C</x:v>
      </x:c>
      <x:c r="I2345" t="str">
        <x:v>10+ years</x:v>
      </x:c>
      <x:c r="J2345" t="str">
        <x:v>MORTGAGE</x:v>
      </x:c>
      <x:c r="K2345" t="str">
        <x:v>other</x:v>
      </x:c>
      <x:c r="L2345" t="n">
        <x:v>0</x:v>
      </x:c>
      <x:c r="M2345" t="n">
        <x:v>0</x:v>
      </x:c>
      <x:c r="N2345" t="str">
        <x:v>Fully Paid</x:v>
      </x:c>
      <x:c r="O2345" t="str">
        <x:f>IF(D2345="","Unknown",IF(D2345&lt;25000,"&lt;$25k",IF(D2345&lt;50000,"$25k-$50k",IF(D2345&lt;75000,"$50k-$75k",IF(D2345&lt;100000,"$75k-$100k","$100k+")))))</x:f>
        <x:v>$100k+</x:v>
      </x:c>
      <x:c r="P2345" t="str">
        <x:f>IF(E2345="","Unknown",IF(E2345&lt;10,"&lt;10",IF(E2345&lt;20,"10-&lt;20",IF(E2345&lt;25,"20-&lt;25",IF(E2345&lt;35,"25-&lt;35","35+")))))</x:f>
        <x:v>10-&lt;20</x:v>
      </x:c>
    </x:row>
    <x:row r="2346">
      <x:c r="A2346" t="str">
        <x:v>SYN0002345</x:v>
      </x:c>
      <x:c r="B2346" s="12" t="n">
        <x:v>42505</x:v>
      </x:c>
      <x:c r="C2346" s="18" t="n">
        <x:v>14480</x:v>
      </x:c>
      <x:c r="D2346" s="18" t="n">
        <x:v>25625</x:v>
      </x:c>
      <x:c r="E2346" s="18" t="n">
        <x:v>20.18</x:v>
      </x:c>
      <x:c r="F2346" s="18" t="n">
        <x:v>12.89</x:v>
      </x:c>
      <x:c r="G2346" t="n">
        <x:v>36</x:v>
      </x:c>
      <x:c r="H2346" t="str">
        <x:v>B</x:v>
      </x:c>
      <x:c r="I2346" t="str">
        <x:v>&lt;1 year</x:v>
      </x:c>
      <x:c r="J2346" t="str">
        <x:v>RENT</x:v>
      </x:c>
      <x:c r="K2346" t="str">
        <x:v>other</x:v>
      </x:c>
      <x:c r="L2346" t="n">
        <x:v>0</x:v>
      </x:c>
      <x:c r="M2346" t="n">
        <x:v>0</x:v>
      </x:c>
      <x:c r="N2346" t="str">
        <x:v>Fully Paid</x:v>
      </x:c>
      <x:c r="O2346" t="str">
        <x:f>IF(D2346="","Unknown",IF(D2346&lt;25000,"&lt;$25k",IF(D2346&lt;50000,"$25k-$50k",IF(D2346&lt;75000,"$50k-$75k",IF(D2346&lt;100000,"$75k-$100k","$100k+")))))</x:f>
        <x:v>$25k-$50k</x:v>
      </x:c>
      <x:c r="P2346" t="str">
        <x:f>IF(E2346="","Unknown",IF(E2346&lt;10,"&lt;10",IF(E2346&lt;20,"10-&lt;20",IF(E2346&lt;25,"20-&lt;25",IF(E2346&lt;35,"25-&lt;35","35+")))))</x:f>
        <x:v>20-&lt;25</x:v>
      </x:c>
    </x:row>
    <x:row r="2347">
      <x:c r="A2347" t="str">
        <x:v>SYN0002346</x:v>
      </x:c>
      <x:c r="B2347" s="12" t="n">
        <x:v>42655</x:v>
      </x:c>
      <x:c r="C2347" s="18" t="n">
        <x:v>6692</x:v>
      </x:c>
      <x:c r="D2347" s="18" t="n">
        <x:v>159440</x:v>
      </x:c>
      <x:c r="E2347" s="18" t="n">
        <x:v>32.06</x:v>
      </x:c>
      <x:c r="F2347" s="18" t="n">
        <x:v>14.93</x:v>
      </x:c>
      <x:c r="G2347" t="n">
        <x:v>36</x:v>
      </x:c>
      <x:c r="H2347" t="str">
        <x:v>D</x:v>
      </x:c>
      <x:c r="I2347" t="str">
        <x:v>10+ years</x:v>
      </x:c>
      <x:c r="J2347" t="str">
        <x:v>RENT</x:v>
      </x:c>
      <x:c r="K2347" t="str">
        <x:v>debt_consolidation</x:v>
      </x:c>
      <x:c r="L2347" t="n">
        <x:v>0</x:v>
      </x:c>
      <x:c r="M2347" t="n">
        <x:v>0</x:v>
      </x:c>
      <x:c r="N2347" t="str">
        <x:v>Fully Paid</x:v>
      </x:c>
      <x:c r="O2347" t="str">
        <x:f>IF(D2347="","Unknown",IF(D2347&lt;25000,"&lt;$25k",IF(D2347&lt;50000,"$25k-$50k",IF(D2347&lt;75000,"$50k-$75k",IF(D2347&lt;100000,"$75k-$100k","$100k+")))))</x:f>
        <x:v>$100k+</x:v>
      </x:c>
      <x:c r="P2347" t="str">
        <x:f>IF(E2347="","Unknown",IF(E2347&lt;10,"&lt;10",IF(E2347&lt;20,"10-&lt;20",IF(E2347&lt;25,"20-&lt;25",IF(E2347&lt;35,"25-&lt;35","35+")))))</x:f>
        <x:v>25-&lt;35</x:v>
      </x:c>
    </x:row>
    <x:row r="2348">
      <x:c r="A2348" t="str">
        <x:v>SYN0002347</x:v>
      </x:c>
      <x:c r="B2348" s="12" t="n">
        <x:v>42175</x:v>
      </x:c>
      <x:c r="C2348" s="18" t="n">
        <x:v>12311</x:v>
      </x:c>
      <x:c r="D2348" s="18" t="n">
        <x:v>28688</x:v>
      </x:c>
      <x:c r="E2348" s="18" t="n">
        <x:v>31.67</x:v>
      </x:c>
      <x:c r="F2348" s="18" t="n">
        <x:v>6.34</x:v>
      </x:c>
      <x:c r="G2348" t="n">
        <x:v>36</x:v>
      </x:c>
      <x:c r="H2348" t="str">
        <x:v>A</x:v>
      </x:c>
      <x:c r="I2348" t="str">
        <x:v>10+ years</x:v>
      </x:c>
      <x:c r="J2348" t="str">
        <x:v>OWN</x:v>
      </x:c>
      <x:c r="K2348" t="str">
        <x:v>credit_card</x:v>
      </x:c>
      <x:c r="L2348" t="n">
        <x:v>0</x:v>
      </x:c>
      <x:c r="M2348" t="n">
        <x:v>0</x:v>
      </x:c>
      <x:c r="N2348" t="str">
        <x:v>Fully Paid</x:v>
      </x:c>
      <x:c r="O2348" t="str">
        <x:f>IF(D2348="","Unknown",IF(D2348&lt;25000,"&lt;$25k",IF(D2348&lt;50000,"$25k-$50k",IF(D2348&lt;75000,"$50k-$75k",IF(D2348&lt;100000,"$75k-$100k","$100k+")))))</x:f>
        <x:v>$25k-$50k</x:v>
      </x:c>
      <x:c r="P2348" t="str">
        <x:f>IF(E2348="","Unknown",IF(E2348&lt;10,"&lt;10",IF(E2348&lt;20,"10-&lt;20",IF(E2348&lt;25,"20-&lt;25",IF(E2348&lt;35,"25-&lt;35","35+")))))</x:f>
        <x:v>25-&lt;35</x:v>
      </x:c>
    </x:row>
    <x:row r="2349">
      <x:c r="A2349" t="str">
        <x:v>SYN0002348</x:v>
      </x:c>
      <x:c r="B2349" s="12" t="n">
        <x:v>42685</x:v>
      </x:c>
      <x:c r="C2349" s="18" t="n">
        <x:v>9237</x:v>
      </x:c>
      <x:c r="D2349" s="18" t="n">
        <x:v>59457</x:v>
      </x:c>
      <x:c r="E2349" s="18" t="n">
        <x:v>22.61</x:v>
      </x:c>
      <x:c r="F2349" s="18" t="n">
        <x:v>25.69</x:v>
      </x:c>
      <x:c r="G2349" t="n">
        <x:v>36</x:v>
      </x:c>
      <x:c r="H2349" t="str">
        <x:v>G</x:v>
      </x:c>
      <x:c r="I2349" t="str">
        <x:v>7-9 years</x:v>
      </x:c>
      <x:c r="J2349" t="str">
        <x:v>RENT</x:v>
      </x:c>
      <x:c r="K2349" t="str">
        <x:v>debt_consolidation</x:v>
      </x:c>
      <x:c r="L2349" t="n">
        <x:v>2</x:v>
      </x:c>
      <x:c r="M2349" t="n">
        <x:v>0</x:v>
      </x:c>
      <x:c r="N2349" t="str">
        <x:v>Fully Paid</x:v>
      </x:c>
      <x:c r="O2349" t="str">
        <x:f>IF(D2349="","Unknown",IF(D2349&lt;25000,"&lt;$25k",IF(D2349&lt;50000,"$25k-$50k",IF(D2349&lt;75000,"$50k-$75k",IF(D2349&lt;100000,"$75k-$100k","$100k+")))))</x:f>
        <x:v>$50k-$75k</x:v>
      </x:c>
      <x:c r="P2349" t="str">
        <x:f>IF(E2349="","Unknown",IF(E2349&lt;10,"&lt;10",IF(E2349&lt;20,"10-&lt;20",IF(E2349&lt;25,"20-&lt;25",IF(E2349&lt;35,"25-&lt;35","35+")))))</x:f>
        <x:v>20-&lt;25</x:v>
      </x:c>
    </x:row>
    <x:row r="2350">
      <x:c r="A2350" t="str">
        <x:v>SYN0002349</x:v>
      </x:c>
      <x:c r="B2350" s="12" t="n">
        <x:v>42775</x:v>
      </x:c>
      <x:c r="C2350" s="18" t="n">
        <x:v>15969</x:v>
      </x:c>
      <x:c r="D2350" s="18" t="n">
        <x:v>77365</x:v>
      </x:c>
      <x:c r="E2350" s="18" t="n">
        <x:v>23.38</x:v>
      </x:c>
      <x:c r="F2350" s="18" t="n">
        <x:v>20.22</x:v>
      </x:c>
      <x:c r="G2350" t="n">
        <x:v>36</x:v>
      </x:c>
      <x:c r="H2350" t="str">
        <x:v>E</x:v>
      </x:c>
      <x:c r="I2350" t="str">
        <x:v>4-6 years</x:v>
      </x:c>
      <x:c r="J2350" t="str">
        <x:v>RENT</x:v>
      </x:c>
      <x:c r="K2350" t="str">
        <x:v>debt_consolidation</x:v>
      </x:c>
      <x:c r="L2350" t="n">
        <x:v>0</x:v>
      </x:c>
      <x:c r="M2350" t="n">
        <x:v>1</x:v>
      </x:c>
      <x:c r="N2350" t="str">
        <x:v>Charged Off</x:v>
      </x:c>
      <x:c r="O2350" t="str">
        <x:f>IF(D2350="","Unknown",IF(D2350&lt;25000,"&lt;$25k",IF(D2350&lt;50000,"$25k-$50k",IF(D2350&lt;75000,"$50k-$75k",IF(D2350&lt;100000,"$75k-$100k","$100k+")))))</x:f>
        <x:v>$75k-$100k</x:v>
      </x:c>
      <x:c r="P2350" t="str">
        <x:f>IF(E2350="","Unknown",IF(E2350&lt;10,"&lt;10",IF(E2350&lt;20,"10-&lt;20",IF(E2350&lt;25,"20-&lt;25",IF(E2350&lt;35,"25-&lt;35","35+")))))</x:f>
        <x:v>20-&lt;25</x:v>
      </x:c>
    </x:row>
    <x:row r="2351">
      <x:c r="A2351" t="str">
        <x:v>SYN0002350</x:v>
      </x:c>
      <x:c r="B2351" s="12" t="n">
        <x:v>41695</x:v>
      </x:c>
      <x:c r="C2351" s="18" t="n">
        <x:v>12111</x:v>
      </x:c>
      <x:c r="D2351" s="18" t="n">
        <x:v>123975</x:v>
      </x:c>
      <x:c r="E2351" s="18" t="n">
        <x:v>15.65</x:v>
      </x:c>
      <x:c r="F2351" s="18" t="n">
        <x:v>6.92</x:v>
      </x:c>
      <x:c r="G2351" t="n">
        <x:v>60</x:v>
      </x:c>
      <x:c r="H2351" t="str">
        <x:v>B</x:v>
      </x:c>
      <x:c r="I2351" t="str">
        <x:v>7-9 years</x:v>
      </x:c>
      <x:c r="J2351" t="str">
        <x:v>RENT</x:v>
      </x:c>
      <x:c r="K2351" t="str">
        <x:v>debt_consolidation</x:v>
      </x:c>
      <x:c r="L2351" t="n">
        <x:v>0</x:v>
      </x:c>
      <x:c r="M2351" t="n">
        <x:v>1</x:v>
      </x:c>
      <x:c r="N2351" t="str">
        <x:v>Charged Off</x:v>
      </x:c>
      <x:c r="O2351" t="str">
        <x:f>IF(D2351="","Unknown",IF(D2351&lt;25000,"&lt;$25k",IF(D2351&lt;50000,"$25k-$50k",IF(D2351&lt;75000,"$50k-$75k",IF(D2351&lt;100000,"$75k-$100k","$100k+")))))</x:f>
        <x:v>$100k+</x:v>
      </x:c>
      <x:c r="P2351" t="str">
        <x:f>IF(E2351="","Unknown",IF(E2351&lt;10,"&lt;10",IF(E2351&lt;20,"10-&lt;20",IF(E2351&lt;25,"20-&lt;25",IF(E2351&lt;35,"25-&lt;35","35+")))))</x:f>
        <x:v>10-&lt;20</x:v>
      </x:c>
    </x:row>
    <x:row r="2352">
      <x:c r="A2352" t="str">
        <x:v>SYN0002351</x:v>
      </x:c>
      <x:c r="B2352" s="12" t="n">
        <x:v>43345</x:v>
      </x:c>
      <x:c r="C2352" s="18" t="n">
        <x:v>14618</x:v>
      </x:c>
      <x:c r="D2352" s="18" t="n">
        <x:v>40915</x:v>
      </x:c>
      <x:c r="E2352" s="18" t="n">
        <x:v>2.01</x:v>
      </x:c>
      <x:c r="F2352" s="18" t="n">
        <x:v>9.86</x:v>
      </x:c>
      <x:c r="G2352" t="n">
        <x:v>36</x:v>
      </x:c>
      <x:c r="H2352" t="str">
        <x:v>B</x:v>
      </x:c>
      <x:c r="I2352" t="str">
        <x:v>1-3 years</x:v>
      </x:c>
      <x:c r="J2352" t="str">
        <x:v>MORTGAGE</x:v>
      </x:c>
      <x:c r="K2352" t="str">
        <x:v>home_improvement</x:v>
      </x:c>
      <x:c r="L2352" t="n">
        <x:v>0</x:v>
      </x:c>
      <x:c r="M2352" t="n">
        <x:v>0</x:v>
      </x:c>
      <x:c r="N2352" t="str">
        <x:v>Fully Paid</x:v>
      </x:c>
      <x:c r="O2352" t="str">
        <x:f>IF(D2352="","Unknown",IF(D2352&lt;25000,"&lt;$25k",IF(D2352&lt;50000,"$25k-$50k",IF(D2352&lt;75000,"$50k-$75k",IF(D2352&lt;100000,"$75k-$100k","$100k+")))))</x:f>
        <x:v>$25k-$50k</x:v>
      </x:c>
      <x:c r="P2352" t="str">
        <x:f>IF(E2352="","Unknown",IF(E2352&lt;10,"&lt;10",IF(E2352&lt;20,"10-&lt;20",IF(E2352&lt;25,"20-&lt;25",IF(E2352&lt;35,"25-&lt;35","35+")))))</x:f>
        <x:v>&lt;10</x:v>
      </x:c>
    </x:row>
    <x:row r="2353">
      <x:c r="A2353" t="str">
        <x:v>SYN0002352</x:v>
      </x:c>
      <x:c r="B2353" s="12" t="n">
        <x:v>41275</x:v>
      </x:c>
      <x:c r="C2353" s="18" t="n">
        <x:v>7275</x:v>
      </x:c>
      <x:c r="D2353" s="18" t="n">
        <x:v>12000</x:v>
      </x:c>
      <x:c r="E2353" s="18" t="n">
        <x:v>7.57</x:v>
      </x:c>
      <x:c r="F2353" s="18" t="n">
        <x:v>5</x:v>
      </x:c>
      <x:c r="G2353" t="n">
        <x:v>36</x:v>
      </x:c>
      <x:c r="H2353" t="str">
        <x:v>A</x:v>
      </x:c>
      <x:c r="I2353" t="str">
        <x:v>10+ years</x:v>
      </x:c>
      <x:c r="J2353" t="str">
        <x:v>RENT</x:v>
      </x:c>
      <x:c r="K2353" t="str">
        <x:v>other</x:v>
      </x:c>
      <x:c r="L2353" t="n">
        <x:v>0</x:v>
      </x:c>
      <x:c r="M2353" t="n">
        <x:v>0</x:v>
      </x:c>
      <x:c r="N2353" t="str">
        <x:v>Fully Paid</x:v>
      </x:c>
      <x:c r="O2353" t="str">
        <x:f>IF(D2353="","Unknown",IF(D2353&lt;25000,"&lt;$25k",IF(D2353&lt;50000,"$25k-$50k",IF(D2353&lt;75000,"$50k-$75k",IF(D2353&lt;100000,"$75k-$100k","$100k+")))))</x:f>
        <x:v>&lt;$25k</x:v>
      </x:c>
      <x:c r="P2353" t="str">
        <x:f>IF(E2353="","Unknown",IF(E2353&lt;10,"&lt;10",IF(E2353&lt;20,"10-&lt;20",IF(E2353&lt;25,"20-&lt;25",IF(E2353&lt;35,"25-&lt;35","35+")))))</x:f>
        <x:v>&lt;10</x:v>
      </x:c>
    </x:row>
    <x:row r="2354">
      <x:c r="A2354" t="str">
        <x:v>SYN0002353</x:v>
      </x:c>
      <x:c r="B2354" s="12" t="n">
        <x:v>42355</x:v>
      </x:c>
      <x:c r="C2354" s="18" t="n">
        <x:v>6741</x:v>
      </x:c>
      <x:c r="D2354" s="18" t="n">
        <x:v>18820</x:v>
      </x:c>
      <x:c r="E2354" s="18" t="n">
        <x:v>10.59</x:v>
      </x:c>
      <x:c r="F2354" s="18" t="n">
        <x:v>12.38</x:v>
      </x:c>
      <x:c r="G2354" t="n">
        <x:v>60</x:v>
      </x:c>
      <x:c r="H2354" t="str">
        <x:v>C</x:v>
      </x:c>
      <x:c r="I2354" t="str">
        <x:v>1-3 years</x:v>
      </x:c>
      <x:c r="J2354" t="str">
        <x:v>MORTGAGE</x:v>
      </x:c>
      <x:c r="K2354" t="str">
        <x:v>debt_consolidation</x:v>
      </x:c>
      <x:c r="L2354" t="n">
        <x:v>1</x:v>
      </x:c>
      <x:c r="M2354" t="n">
        <x:v>0</x:v>
      </x:c>
      <x:c r="N2354" t="str">
        <x:v>Fully Paid</x:v>
      </x:c>
      <x:c r="O2354" t="str">
        <x:f>IF(D2354="","Unknown",IF(D2354&lt;25000,"&lt;$25k",IF(D2354&lt;50000,"$25k-$50k",IF(D2354&lt;75000,"$50k-$75k",IF(D2354&lt;100000,"$75k-$100k","$100k+")))))</x:f>
        <x:v>&lt;$25k</x:v>
      </x:c>
      <x:c r="P2354" t="str">
        <x:f>IF(E2354="","Unknown",IF(E2354&lt;10,"&lt;10",IF(E2354&lt;20,"10-&lt;20",IF(E2354&lt;25,"20-&lt;25",IF(E2354&lt;35,"25-&lt;35","35+")))))</x:f>
        <x:v>10-&lt;20</x:v>
      </x:c>
    </x:row>
    <x:row r="2355">
      <x:c r="A2355" t="str">
        <x:v>SYN0002354</x:v>
      </x:c>
      <x:c r="B2355" s="12" t="n">
        <x:v>42565</x:v>
      </x:c>
      <x:c r="C2355" s="18" t="n">
        <x:v>17732</x:v>
      </x:c>
      <x:c r="D2355" s="18" t="n">
        <x:v>24576</x:v>
      </x:c>
      <x:c r="E2355" s="18" t="n">
        <x:v>10.75</x:v>
      </x:c>
      <x:c r="F2355" s="18" t="n">
        <x:v>18</x:v>
      </x:c>
      <x:c r="G2355" t="n">
        <x:v>36</x:v>
      </x:c>
      <x:c r="H2355" t="str">
        <x:v>D</x:v>
      </x:c>
      <x:c r="I2355" t="str">
        <x:v>4-6 years</x:v>
      </x:c>
      <x:c r="J2355" t="str">
        <x:v>MORTGAGE</x:v>
      </x:c>
      <x:c r="K2355" t="str">
        <x:v>medical</x:v>
      </x:c>
      <x:c r="L2355" t="n">
        <x:v>1</x:v>
      </x:c>
      <x:c r="M2355" t="n">
        <x:v>0</x:v>
      </x:c>
      <x:c r="N2355" t="str">
        <x:v>Fully Paid</x:v>
      </x:c>
      <x:c r="O2355" t="str">
        <x:f>IF(D2355="","Unknown",IF(D2355&lt;25000,"&lt;$25k",IF(D2355&lt;50000,"$25k-$50k",IF(D2355&lt;75000,"$50k-$75k",IF(D2355&lt;100000,"$75k-$100k","$100k+")))))</x:f>
        <x:v>&lt;$25k</x:v>
      </x:c>
      <x:c r="P2355" t="str">
        <x:f>IF(E2355="","Unknown",IF(E2355&lt;10,"&lt;10",IF(E2355&lt;20,"10-&lt;20",IF(E2355&lt;25,"20-&lt;25",IF(E2355&lt;35,"25-&lt;35","35+")))))</x:f>
        <x:v>10-&lt;20</x:v>
      </x:c>
    </x:row>
    <x:row r="2356">
      <x:c r="A2356" t="str">
        <x:v>SYN0002355</x:v>
      </x:c>
      <x:c r="B2356" s="12" t="n">
        <x:v>43285</x:v>
      </x:c>
      <x:c r="C2356" s="18" t="n">
        <x:v>7685</x:v>
      </x:c>
      <x:c r="D2356" s="18" t="n">
        <x:v>36431</x:v>
      </x:c>
      <x:c r="E2356" s="18" t="n">
        <x:v>23.51</x:v>
      </x:c>
      <x:c r="F2356" s="18" t="n">
        <x:v>11.32</x:v>
      </x:c>
      <x:c r="G2356" t="n">
        <x:v>36</x:v>
      </x:c>
      <x:c r="H2356" t="str">
        <x:v>B</x:v>
      </x:c>
      <x:c r="I2356" t="str">
        <x:v>7-9 years</x:v>
      </x:c>
      <x:c r="J2356" t="str">
        <x:v>MORTGAGE</x:v>
      </x:c>
      <x:c r="K2356" t="str">
        <x:v>other</x:v>
      </x:c>
      <x:c r="L2356" t="n">
        <x:v>0</x:v>
      </x:c>
      <x:c r="M2356" t="n">
        <x:v>0</x:v>
      </x:c>
      <x:c r="N2356" t="str">
        <x:v>Fully Paid</x:v>
      </x:c>
      <x:c r="O2356" t="str">
        <x:f>IF(D2356="","Unknown",IF(D2356&lt;25000,"&lt;$25k",IF(D2356&lt;50000,"$25k-$50k",IF(D2356&lt;75000,"$50k-$75k",IF(D2356&lt;100000,"$75k-$100k","$100k+")))))</x:f>
        <x:v>$25k-$50k</x:v>
      </x:c>
      <x:c r="P2356" t="str">
        <x:f>IF(E2356="","Unknown",IF(E2356&lt;10,"&lt;10",IF(E2356&lt;20,"10-&lt;20",IF(E2356&lt;25,"20-&lt;25",IF(E2356&lt;35,"25-&lt;35","35+")))))</x:f>
        <x:v>20-&lt;25</x:v>
      </x:c>
    </x:row>
    <x:row r="2357">
      <x:c r="A2357" t="str">
        <x:v>SYN0002356</x:v>
      </x:c>
      <x:c r="B2357" s="12" t="n">
        <x:v>41395</x:v>
      </x:c>
      <x:c r="C2357" s="18" t="n">
        <x:v>17130</x:v>
      </x:c>
      <x:c r="D2357" s="18" t="n">
        <x:v>39606</x:v>
      </x:c>
      <x:c r="E2357" s="18" t="n">
        <x:v>8.95</x:v>
      </x:c>
      <x:c r="F2357" s="18" t="n">
        <x:v>12.02</x:v>
      </x:c>
      <x:c r="G2357" t="n">
        <x:v>60</x:v>
      </x:c>
      <x:c r="H2357" t="str">
        <x:v>C</x:v>
      </x:c>
      <x:c r="I2357" t="str">
        <x:v>4-6 years</x:v>
      </x:c>
      <x:c r="J2357" t="str">
        <x:v>MORTGAGE</x:v>
      </x:c>
      <x:c r="K2357" t="str">
        <x:v>major_purchase</x:v>
      </x:c>
      <x:c r="L2357" t="n">
        <x:v>0</x:v>
      </x:c>
      <x:c r="M2357" t="n">
        <x:v>0</x:v>
      </x:c>
      <x:c r="N2357" t="str">
        <x:v>Fully Paid</x:v>
      </x:c>
      <x:c r="O2357" t="str">
        <x:f>IF(D2357="","Unknown",IF(D2357&lt;25000,"&lt;$25k",IF(D2357&lt;50000,"$25k-$50k",IF(D2357&lt;75000,"$50k-$75k",IF(D2357&lt;100000,"$75k-$100k","$100k+")))))</x:f>
        <x:v>$25k-$50k</x:v>
      </x:c>
      <x:c r="P2357" t="str">
        <x:f>IF(E2357="","Unknown",IF(E2357&lt;10,"&lt;10",IF(E2357&lt;20,"10-&lt;20",IF(E2357&lt;25,"20-&lt;25",IF(E2357&lt;35,"25-&lt;35","35+")))))</x:f>
        <x:v>&lt;10</x:v>
      </x:c>
    </x:row>
    <x:row r="2358">
      <x:c r="A2358" t="str">
        <x:v>SYN0002357</x:v>
      </x:c>
      <x:c r="B2358" s="12" t="n">
        <x:v>42565</x:v>
      </x:c>
      <x:c r="C2358" s="18" t="n">
        <x:v>19403</x:v>
      </x:c>
      <x:c r="D2358" s="18" t="n">
        <x:v>42163</x:v>
      </x:c>
      <x:c r="E2358" s="18" t="n">
        <x:v>31.17</x:v>
      </x:c>
      <x:c r="F2358" s="18" t="n">
        <x:v>16.63</x:v>
      </x:c>
      <x:c r="G2358" t="n">
        <x:v>36</x:v>
      </x:c>
      <x:c r="H2358" t="str">
        <x:v>E</x:v>
      </x:c>
      <x:c r="I2358" t="str">
        <x:v>10+ years</x:v>
      </x:c>
      <x:c r="J2358" t="str">
        <x:v>RENT</x:v>
      </x:c>
      <x:c r="K2358" t="str">
        <x:v>debt_consolidation</x:v>
      </x:c>
      <x:c r="L2358" t="n">
        <x:v>0</x:v>
      </x:c>
      <x:c r="M2358" t="n">
        <x:v>1</x:v>
      </x:c>
      <x:c r="N2358" t="str">
        <x:v>Charged Off</x:v>
      </x:c>
      <x:c r="O2358" t="str">
        <x:f>IF(D2358="","Unknown",IF(D2358&lt;25000,"&lt;$25k",IF(D2358&lt;50000,"$25k-$50k",IF(D2358&lt;75000,"$50k-$75k",IF(D2358&lt;100000,"$75k-$100k","$100k+")))))</x:f>
        <x:v>$25k-$50k</x:v>
      </x:c>
      <x:c r="P2358" t="str">
        <x:f>IF(E2358="","Unknown",IF(E2358&lt;10,"&lt;10",IF(E2358&lt;20,"10-&lt;20",IF(E2358&lt;25,"20-&lt;25",IF(E2358&lt;35,"25-&lt;35","35+")))))</x:f>
        <x:v>25-&lt;35</x:v>
      </x:c>
    </x:row>
    <x:row r="2359">
      <x:c r="A2359" t="str">
        <x:v>SYN0002358</x:v>
      </x:c>
      <x:c r="B2359" s="12" t="n">
        <x:v>42895</x:v>
      </x:c>
      <x:c r="C2359" s="18" t="n">
        <x:v>10598</x:v>
      </x:c>
      <x:c r="D2359" s="18" t="n">
        <x:v>94431</x:v>
      </x:c>
      <x:c r="E2359" s="18" t="n">
        <x:v>11.47</x:v>
      </x:c>
      <x:c r="F2359" s="18" t="n">
        <x:v>8.58</x:v>
      </x:c>
      <x:c r="G2359" t="n">
        <x:v>36</x:v>
      </x:c>
      <x:c r="H2359" t="str">
        <x:v>B</x:v>
      </x:c>
      <x:c r="I2359" t="str">
        <x:v>4-6 years</x:v>
      </x:c>
      <x:c r="J2359" t="str">
        <x:v>RENT</x:v>
      </x:c>
      <x:c r="K2359" t="str">
        <x:v>other</x:v>
      </x:c>
      <x:c r="L2359" t="n">
        <x:v>0</x:v>
      </x:c>
      <x:c r="M2359" t="n">
        <x:v>0</x:v>
      </x:c>
      <x:c r="N2359" t="str">
        <x:v>Fully Paid</x:v>
      </x:c>
      <x:c r="O2359" t="str">
        <x:f>IF(D2359="","Unknown",IF(D2359&lt;25000,"&lt;$25k",IF(D2359&lt;50000,"$25k-$50k",IF(D2359&lt;75000,"$50k-$75k",IF(D2359&lt;100000,"$75k-$100k","$100k+")))))</x:f>
        <x:v>$75k-$100k</x:v>
      </x:c>
      <x:c r="P2359" t="str">
        <x:f>IF(E2359="","Unknown",IF(E2359&lt;10,"&lt;10",IF(E2359&lt;20,"10-&lt;20",IF(E2359&lt;25,"20-&lt;25",IF(E2359&lt;35,"25-&lt;35","35+")))))</x:f>
        <x:v>10-&lt;20</x:v>
      </x:c>
    </x:row>
    <x:row r="2360">
      <x:c r="A2360" t="str">
        <x:v>SYN0002359</x:v>
      </x:c>
      <x:c r="B2360" s="12" t="n">
        <x:v>41305</x:v>
      </x:c>
      <x:c r="C2360" s="18" t="n">
        <x:v>16322</x:v>
      </x:c>
      <x:c r="D2360" s="18" t="n">
        <x:v>73448</x:v>
      </x:c>
      <x:c r="E2360" s="18" t="n">
        <x:v>6.03</x:v>
      </x:c>
      <x:c r="F2360" s="18" t="n">
        <x:v>10.76</x:v>
      </x:c>
      <x:c r="G2360" t="n">
        <x:v>36</x:v>
      </x:c>
      <x:c r="H2360" t="str">
        <x:v>C</x:v>
      </x:c>
      <x:c r="I2360" t="str">
        <x:v>7-9 years</x:v>
      </x:c>
      <x:c r="J2360" t="str">
        <x:v>RENT</x:v>
      </x:c>
      <x:c r="K2360" t="str">
        <x:v>home_improvement</x:v>
      </x:c>
      <x:c r="L2360" t="n">
        <x:v>0</x:v>
      </x:c>
      <x:c r="M2360" t="n">
        <x:v>0</x:v>
      </x:c>
      <x:c r="N2360" t="str">
        <x:v>Fully Paid</x:v>
      </x:c>
      <x:c r="O2360" t="str">
        <x:f>IF(D2360="","Unknown",IF(D2360&lt;25000,"&lt;$25k",IF(D2360&lt;50000,"$25k-$50k",IF(D2360&lt;75000,"$50k-$75k",IF(D2360&lt;100000,"$75k-$100k","$100k+")))))</x:f>
        <x:v>$50k-$75k</x:v>
      </x:c>
      <x:c r="P2360" t="str">
        <x:f>IF(E2360="","Unknown",IF(E2360&lt;10,"&lt;10",IF(E2360&lt;20,"10-&lt;20",IF(E2360&lt;25,"20-&lt;25",IF(E2360&lt;35,"25-&lt;35","35+")))))</x:f>
        <x:v>&lt;10</x:v>
      </x:c>
    </x:row>
    <x:row r="2361">
      <x:c r="A2361" t="str">
        <x:v>SYN0002360</x:v>
      </x:c>
      <x:c r="B2361" s="12" t="n">
        <x:v>43135</x:v>
      </x:c>
      <x:c r="C2361" s="18" t="n">
        <x:v>11632</x:v>
      </x:c>
      <x:c r="D2361" s="18" t="n">
        <x:v>27875</x:v>
      </x:c>
      <x:c r="E2361" s="18" t="n">
        <x:v>1.24</x:v>
      </x:c>
      <x:c r="F2361" s="18" t="n">
        <x:v>5.89</x:v>
      </x:c>
      <x:c r="G2361" t="n">
        <x:v>60</x:v>
      </x:c>
      <x:c r="H2361" t="str">
        <x:v>A</x:v>
      </x:c>
      <x:c r="I2361" t="str">
        <x:v>1-3 years</x:v>
      </x:c>
      <x:c r="J2361" t="str">
        <x:v>OTHER</x:v>
      </x:c>
      <x:c r="K2361" t="str">
        <x:v>credit_card</x:v>
      </x:c>
      <x:c r="L2361" t="n">
        <x:v>0</x:v>
      </x:c>
      <x:c r="M2361" t="n">
        <x:v>0</x:v>
      </x:c>
      <x:c r="N2361" t="str">
        <x:v>Fully Paid</x:v>
      </x:c>
      <x:c r="O2361" t="str">
        <x:f>IF(D2361="","Unknown",IF(D2361&lt;25000,"&lt;$25k",IF(D2361&lt;50000,"$25k-$50k",IF(D2361&lt;75000,"$50k-$75k",IF(D2361&lt;100000,"$75k-$100k","$100k+")))))</x:f>
        <x:v>$25k-$50k</x:v>
      </x:c>
      <x:c r="P2361" t="str">
        <x:f>IF(E2361="","Unknown",IF(E2361&lt;10,"&lt;10",IF(E2361&lt;20,"10-&lt;20",IF(E2361&lt;25,"20-&lt;25",IF(E2361&lt;35,"25-&lt;35","35+")))))</x:f>
        <x:v>&lt;10</x:v>
      </x:c>
    </x:row>
    <x:row r="2362">
      <x:c r="A2362" t="str">
        <x:v>SYN0002361</x:v>
      </x:c>
      <x:c r="B2362" s="12" t="n">
        <x:v>41815</x:v>
      </x:c>
      <x:c r="C2362" s="18" t="n">
        <x:v>31118</x:v>
      </x:c>
      <x:c r="D2362" s="18" t="n">
        <x:v>97298</x:v>
      </x:c>
      <x:c r="E2362" s="18" t="n">
        <x:v>40.24</x:v>
      </x:c>
      <x:c r="F2362" s="18" t="n">
        <x:v>20.15</x:v>
      </x:c>
      <x:c r="G2362" t="n">
        <x:v>36</x:v>
      </x:c>
      <x:c r="H2362" t="str">
        <x:v>F</x:v>
      </x:c>
      <x:c r="I2362" t="str">
        <x:v>7-9 years</x:v>
      </x:c>
      <x:c r="J2362" t="str">
        <x:v>RENT</x:v>
      </x:c>
      <x:c r="K2362" t="str">
        <x:v>home_improvement</x:v>
      </x:c>
      <x:c r="L2362" t="n">
        <x:v>0</x:v>
      </x:c>
      <x:c r="M2362" t="n">
        <x:v>0</x:v>
      </x:c>
      <x:c r="N2362" t="str">
        <x:v>Fully Paid</x:v>
      </x:c>
      <x:c r="O2362" t="str">
        <x:f>IF(D2362="","Unknown",IF(D2362&lt;25000,"&lt;$25k",IF(D2362&lt;50000,"$25k-$50k",IF(D2362&lt;75000,"$50k-$75k",IF(D2362&lt;100000,"$75k-$100k","$100k+")))))</x:f>
        <x:v>$75k-$100k</x:v>
      </x:c>
      <x:c r="P2362" t="str">
        <x:f>IF(E2362="","Unknown",IF(E2362&lt;10,"&lt;10",IF(E2362&lt;20,"10-&lt;20",IF(E2362&lt;25,"20-&lt;25",IF(E2362&lt;35,"25-&lt;35","35+")))))</x:f>
        <x:v>35+</x:v>
      </x:c>
    </x:row>
    <x:row r="2363">
      <x:c r="A2363" t="str">
        <x:v>SYN0002362</x:v>
      </x:c>
      <x:c r="B2363" s="12" t="n">
        <x:v>42835</x:v>
      </x:c>
      <x:c r="C2363" s="18" t="n">
        <x:v>14668</x:v>
      </x:c>
      <x:c r="D2363" s="18" t="n">
        <x:v>32297</x:v>
      </x:c>
      <x:c r="E2363" s="18" t="n">
        <x:v>16.15</x:v>
      </x:c>
      <x:c r="F2363" s="18" t="n">
        <x:v>21.37</x:v>
      </x:c>
      <x:c r="G2363" t="n">
        <x:v>36</x:v>
      </x:c>
      <x:c r="H2363" t="str">
        <x:v>F</x:v>
      </x:c>
      <x:c r="I2363" t="str">
        <x:v>4-6 years</x:v>
      </x:c>
      <x:c r="J2363" t="str">
        <x:v>MORTGAGE</x:v>
      </x:c>
      <x:c r="K2363" t="str">
        <x:v>other</x:v>
      </x:c>
      <x:c r="L2363" t="n">
        <x:v>0</x:v>
      </x:c>
      <x:c r="M2363" t="n">
        <x:v>0</x:v>
      </x:c>
      <x:c r="N2363" t="str">
        <x:v>Fully Paid</x:v>
      </x:c>
      <x:c r="O2363" t="str">
        <x:f>IF(D2363="","Unknown",IF(D2363&lt;25000,"&lt;$25k",IF(D2363&lt;50000,"$25k-$50k",IF(D2363&lt;75000,"$50k-$75k",IF(D2363&lt;100000,"$75k-$100k","$100k+")))))</x:f>
        <x:v>$25k-$50k</x:v>
      </x:c>
      <x:c r="P2363" t="str">
        <x:f>IF(E2363="","Unknown",IF(E2363&lt;10,"&lt;10",IF(E2363&lt;20,"10-&lt;20",IF(E2363&lt;25,"20-&lt;25",IF(E2363&lt;35,"25-&lt;35","35+")))))</x:f>
        <x:v>10-&lt;20</x:v>
      </x:c>
    </x:row>
    <x:row r="2364">
      <x:c r="A2364" t="str">
        <x:v>SYN0002363</x:v>
      </x:c>
      <x:c r="B2364" s="12" t="n">
        <x:v>43135</x:v>
      </x:c>
      <x:c r="C2364" s="18" t="n">
        <x:v>13346</x:v>
      </x:c>
      <x:c r="D2364" s="18" t="n">
        <x:v>150241</x:v>
      </x:c>
      <x:c r="E2364" s="18" t="n">
        <x:v>24.55</x:v>
      </x:c>
      <x:c r="F2364" s="18" t="n">
        <x:v>10.38</x:v>
      </x:c>
      <x:c r="G2364" t="n">
        <x:v>36</x:v>
      </x:c>
      <x:c r="H2364" t="str">
        <x:v>C</x:v>
      </x:c>
      <x:c r="I2364" t="str">
        <x:v>10+ years</x:v>
      </x:c>
      <x:c r="J2364" t="str">
        <x:v>OWN</x:v>
      </x:c>
      <x:c r="K2364" t="str">
        <x:v>other</x:v>
      </x:c>
      <x:c r="L2364" t="n">
        <x:v>0</x:v>
      </x:c>
      <x:c r="M2364" t="n">
        <x:v>0</x:v>
      </x:c>
      <x:c r="N2364" t="str">
        <x:v>Fully Paid</x:v>
      </x:c>
      <x:c r="O2364" t="str">
        <x:f>IF(D2364="","Unknown",IF(D2364&lt;25000,"&lt;$25k",IF(D2364&lt;50000,"$25k-$50k",IF(D2364&lt;75000,"$50k-$75k",IF(D2364&lt;100000,"$75k-$100k","$100k+")))))</x:f>
        <x:v>$100k+</x:v>
      </x:c>
      <x:c r="P2364" t="str">
        <x:f>IF(E2364="","Unknown",IF(E2364&lt;10,"&lt;10",IF(E2364&lt;20,"10-&lt;20",IF(E2364&lt;25,"20-&lt;25",IF(E2364&lt;35,"25-&lt;35","35+")))))</x:f>
        <x:v>20-&lt;25</x:v>
      </x:c>
    </x:row>
    <x:row r="2365">
      <x:c r="A2365" t="str">
        <x:v>SYN0002364</x:v>
      </x:c>
      <x:c r="B2365" s="12" t="n">
        <x:v>42085</x:v>
      </x:c>
      <x:c r="C2365" s="18" t="n">
        <x:v>19864</x:v>
      </x:c>
      <x:c r="D2365" s="18" t="n">
        <x:v>51393</x:v>
      </x:c>
      <x:c r="E2365" s="18" t="n">
        <x:v>19.37</x:v>
      </x:c>
      <x:c r="F2365" s="18" t="n">
        <x:v>9.78</x:v>
      </x:c>
      <x:c r="G2365" t="n">
        <x:v>60</x:v>
      </x:c>
      <x:c r="H2365" t="str">
        <x:v>C</x:v>
      </x:c>
      <x:c r="I2365" t="str">
        <x:v>&lt;1 year</x:v>
      </x:c>
      <x:c r="J2365" t="str">
        <x:v>OWN</x:v>
      </x:c>
      <x:c r="K2365" t="str">
        <x:v>debt_consolidation</x:v>
      </x:c>
      <x:c r="L2365" t="n">
        <x:v>0</x:v>
      </x:c>
      <x:c r="M2365" t="n">
        <x:v>0</x:v>
      </x:c>
      <x:c r="N2365" t="str">
        <x:v>Fully Paid</x:v>
      </x:c>
      <x:c r="O2365" t="str">
        <x:f>IF(D2365="","Unknown",IF(D2365&lt;25000,"&lt;$25k",IF(D2365&lt;50000,"$25k-$50k",IF(D2365&lt;75000,"$50k-$75k",IF(D2365&lt;100000,"$75k-$100k","$100k+")))))</x:f>
        <x:v>$50k-$75k</x:v>
      </x:c>
      <x:c r="P2365" t="str">
        <x:f>IF(E2365="","Unknown",IF(E2365&lt;10,"&lt;10",IF(E2365&lt;20,"10-&lt;20",IF(E2365&lt;25,"20-&lt;25",IF(E2365&lt;35,"25-&lt;35","35+")))))</x:f>
        <x:v>10-&lt;20</x:v>
      </x:c>
    </x:row>
    <x:row r="2366">
      <x:c r="A2366" t="str">
        <x:v>SYN0002365</x:v>
      </x:c>
      <x:c r="B2366" s="12" t="n">
        <x:v>42085</x:v>
      </x:c>
      <x:c r="C2366" s="18" t="n">
        <x:v>20204</x:v>
      </x:c>
      <x:c r="D2366" s="18" t="n">
        <x:v>78717</x:v>
      </x:c>
      <x:c r="E2366" s="18" t="n">
        <x:v>24.54</x:v>
      </x:c>
      <x:c r="F2366" s="18" t="n">
        <x:v>6.83</x:v>
      </x:c>
      <x:c r="G2366" t="n">
        <x:v>36</x:v>
      </x:c>
      <x:c r="H2366" t="str">
        <x:v>A</x:v>
      </x:c>
      <x:c r="I2366" t="str">
        <x:v>4-6 years</x:v>
      </x:c>
      <x:c r="J2366" t="str">
        <x:v>MORTGAGE</x:v>
      </x:c>
      <x:c r="K2366" t="str">
        <x:v>debt_consolidation</x:v>
      </x:c>
      <x:c r="L2366" t="n">
        <x:v>0</x:v>
      </x:c>
      <x:c r="M2366" t="n">
        <x:v>0</x:v>
      </x:c>
      <x:c r="N2366" t="str">
        <x:v>Fully Paid</x:v>
      </x:c>
      <x:c r="O2366" t="str">
        <x:f>IF(D2366="","Unknown",IF(D2366&lt;25000,"&lt;$25k",IF(D2366&lt;50000,"$25k-$50k",IF(D2366&lt;75000,"$50k-$75k",IF(D2366&lt;100000,"$75k-$100k","$100k+")))))</x:f>
        <x:v>$75k-$100k</x:v>
      </x:c>
      <x:c r="P2366" t="str">
        <x:f>IF(E2366="","Unknown",IF(E2366&lt;10,"&lt;10",IF(E2366&lt;20,"10-&lt;20",IF(E2366&lt;25,"20-&lt;25",IF(E2366&lt;35,"25-&lt;35","35+")))))</x:f>
        <x:v>20-&lt;25</x:v>
      </x:c>
    </x:row>
    <x:row r="2367">
      <x:c r="A2367" t="str">
        <x:v>SYN0002366</x:v>
      </x:c>
      <x:c r="B2367" s="12" t="n">
        <x:v>41515</x:v>
      </x:c>
      <x:c r="C2367" s="18" t="n">
        <x:v>12717</x:v>
      </x:c>
      <x:c r="D2367" s="18" t="n">
        <x:v>76497</x:v>
      </x:c>
      <x:c r="E2367" s="18" t="n">
        <x:v>8.69</x:v>
      </x:c>
      <x:c r="F2367" s="18" t="n">
        <x:v>23</x:v>
      </x:c>
      <x:c r="G2367" t="n">
        <x:v>60</x:v>
      </x:c>
      <x:c r="H2367" t="str">
        <x:v>F</x:v>
      </x:c>
      <x:c r="I2367" t="str">
        <x:v>10+ years</x:v>
      </x:c>
      <x:c r="J2367" t="str">
        <x:v>OWN</x:v>
      </x:c>
      <x:c r="K2367" t="str">
        <x:v>credit_card</x:v>
      </x:c>
      <x:c r="L2367" t="n">
        <x:v>1</x:v>
      </x:c>
      <x:c r="M2367" t="n">
        <x:v>1</x:v>
      </x:c>
      <x:c r="N2367" t="str">
        <x:v>Charged Off</x:v>
      </x:c>
      <x:c r="O2367" t="str">
        <x:f>IF(D2367="","Unknown",IF(D2367&lt;25000,"&lt;$25k",IF(D2367&lt;50000,"$25k-$50k",IF(D2367&lt;75000,"$50k-$75k",IF(D2367&lt;100000,"$75k-$100k","$100k+")))))</x:f>
        <x:v>$75k-$100k</x:v>
      </x:c>
      <x:c r="P2367" t="str">
        <x:f>IF(E2367="","Unknown",IF(E2367&lt;10,"&lt;10",IF(E2367&lt;20,"10-&lt;20",IF(E2367&lt;25,"20-&lt;25",IF(E2367&lt;35,"25-&lt;35","35+")))))</x:f>
        <x:v>&lt;10</x:v>
      </x:c>
    </x:row>
    <x:row r="2368">
      <x:c r="A2368" t="str">
        <x:v>SYN0002367</x:v>
      </x:c>
      <x:c r="B2368" s="12" t="n">
        <x:v>42595</x:v>
      </x:c>
      <x:c r="C2368" s="18" t="n">
        <x:v>11519</x:v>
      </x:c>
      <x:c r="D2368" s="18" t="n">
        <x:v>98008</x:v>
      </x:c>
      <x:c r="E2368" s="18" t="n">
        <x:v>34.49</x:v>
      </x:c>
      <x:c r="F2368" s="18" t="n">
        <x:v>14.78</x:v>
      </x:c>
      <x:c r="G2368" t="n">
        <x:v>36</x:v>
      </x:c>
      <x:c r="H2368" t="str">
        <x:v>D</x:v>
      </x:c>
      <x:c r="I2368" t="str">
        <x:v>7-9 years</x:v>
      </x:c>
      <x:c r="J2368" t="str">
        <x:v>MORTGAGE</x:v>
      </x:c>
      <x:c r="K2368" t="str">
        <x:v>home_improvement</x:v>
      </x:c>
      <x:c r="L2368" t="n">
        <x:v>0</x:v>
      </x:c>
      <x:c r="M2368" t="n">
        <x:v>0</x:v>
      </x:c>
      <x:c r="N2368" t="str">
        <x:v>Fully Paid</x:v>
      </x:c>
      <x:c r="O2368" t="str">
        <x:f>IF(D2368="","Unknown",IF(D2368&lt;25000,"&lt;$25k",IF(D2368&lt;50000,"$25k-$50k",IF(D2368&lt;75000,"$50k-$75k",IF(D2368&lt;100000,"$75k-$100k","$100k+")))))</x:f>
        <x:v>$75k-$100k</x:v>
      </x:c>
      <x:c r="P2368" t="str">
        <x:f>IF(E2368="","Unknown",IF(E2368&lt;10,"&lt;10",IF(E2368&lt;20,"10-&lt;20",IF(E2368&lt;25,"20-&lt;25",IF(E2368&lt;35,"25-&lt;35","35+")))))</x:f>
        <x:v>25-&lt;35</x:v>
      </x:c>
    </x:row>
    <x:row r="2369">
      <x:c r="A2369" t="str">
        <x:v>SYN0002368</x:v>
      </x:c>
      <x:c r="B2369" s="12" t="n">
        <x:v>43165</x:v>
      </x:c>
      <x:c r="C2369" s="18" t="n">
        <x:v>24585</x:v>
      </x:c>
      <x:c r="D2369" s="18" t="n">
        <x:v>54711</x:v>
      </x:c>
      <x:c r="E2369" s="18" t="n">
        <x:v>37.43</x:v>
      </x:c>
      <x:c r="F2369" s="18" t="n">
        <x:v>17.82</x:v>
      </x:c>
      <x:c r="G2369" t="n">
        <x:v>60</x:v>
      </x:c>
      <x:c r="H2369" t="str">
        <x:v>E</x:v>
      </x:c>
      <x:c r="I2369" t="str">
        <x:v>4-6 years</x:v>
      </x:c>
      <x:c r="J2369" t="str">
        <x:v>RENT</x:v>
      </x:c>
      <x:c r="K2369" t="str">
        <x:v>credit_card</x:v>
      </x:c>
      <x:c r="L2369" t="n">
        <x:v>0</x:v>
      </x:c>
      <x:c r="M2369" t="n">
        <x:v>0</x:v>
      </x:c>
      <x:c r="N2369" t="str">
        <x:v>Fully Paid</x:v>
      </x:c>
      <x:c r="O2369" t="str">
        <x:f>IF(D2369="","Unknown",IF(D2369&lt;25000,"&lt;$25k",IF(D2369&lt;50000,"$25k-$50k",IF(D2369&lt;75000,"$50k-$75k",IF(D2369&lt;100000,"$75k-$100k","$100k+")))))</x:f>
        <x:v>$50k-$75k</x:v>
      </x:c>
      <x:c r="P2369" t="str">
        <x:f>IF(E2369="","Unknown",IF(E2369&lt;10,"&lt;10",IF(E2369&lt;20,"10-&lt;20",IF(E2369&lt;25,"20-&lt;25",IF(E2369&lt;35,"25-&lt;35","35+")))))</x:f>
        <x:v>35+</x:v>
      </x:c>
    </x:row>
    <x:row r="2370">
      <x:c r="A2370" t="str">
        <x:v>SYN0002369</x:v>
      </x:c>
      <x:c r="B2370" s="12" t="n">
        <x:v>42715</x:v>
      </x:c>
      <x:c r="C2370" s="18" t="n">
        <x:v>8221</x:v>
      </x:c>
      <x:c r="D2370" s="18" t="n">
        <x:v>23890</x:v>
      </x:c>
      <x:c r="E2370" s="18" t="n">
        <x:v>27.31</x:v>
      </x:c>
      <x:c r="F2370" s="18" t="n">
        <x:v>14.63</x:v>
      </x:c>
      <x:c r="G2370" t="n">
        <x:v>36</x:v>
      </x:c>
      <x:c r="H2370" t="str">
        <x:v>D</x:v>
      </x:c>
      <x:c r="I2370" t="str">
        <x:v>7-9 years</x:v>
      </x:c>
      <x:c r="J2370" t="str">
        <x:v>MORTGAGE</x:v>
      </x:c>
      <x:c r="K2370" t="str">
        <x:v>home_improvement</x:v>
      </x:c>
      <x:c r="L2370" t="n">
        <x:v>0</x:v>
      </x:c>
      <x:c r="M2370" t="n">
        <x:v>0</x:v>
      </x:c>
      <x:c r="N2370" t="str">
        <x:v>Fully Paid</x:v>
      </x:c>
      <x:c r="O2370" t="str">
        <x:f>IF(D2370="","Unknown",IF(D2370&lt;25000,"&lt;$25k",IF(D2370&lt;50000,"$25k-$50k",IF(D2370&lt;75000,"$50k-$75k",IF(D2370&lt;100000,"$75k-$100k","$100k+")))))</x:f>
        <x:v>&lt;$25k</x:v>
      </x:c>
      <x:c r="P2370" t="str">
        <x:f>IF(E2370="","Unknown",IF(E2370&lt;10,"&lt;10",IF(E2370&lt;20,"10-&lt;20",IF(E2370&lt;25,"20-&lt;25",IF(E2370&lt;35,"25-&lt;35","35+")))))</x:f>
        <x:v>25-&lt;35</x:v>
      </x:c>
    </x:row>
    <x:row r="2371">
      <x:c r="A2371" t="str">
        <x:v>SYN0002370</x:v>
      </x:c>
      <x:c r="B2371" s="12" t="n">
        <x:v>41965</x:v>
      </x:c>
      <x:c r="C2371" s="18" t="n">
        <x:v>16683</x:v>
      </x:c>
      <x:c r="D2371" s="18" t="n">
        <x:v>92137</x:v>
      </x:c>
      <x:c r="E2371" s="18" t="n">
        <x:v>26.59</x:v>
      </x:c>
      <x:c r="F2371" s="18" t="n">
        <x:v>7.42</x:v>
      </x:c>
      <x:c r="G2371" t="n">
        <x:v>36</x:v>
      </x:c>
      <x:c r="H2371" t="str">
        <x:v>B</x:v>
      </x:c>
      <x:c r="I2371" t="str">
        <x:v>10+ years</x:v>
      </x:c>
      <x:c r="J2371" t="str">
        <x:v>OWN</x:v>
      </x:c>
      <x:c r="K2371" t="str">
        <x:v>credit_card</x:v>
      </x:c>
      <x:c r="L2371" t="n">
        <x:v>1</x:v>
      </x:c>
      <x:c r="M2371" t="n">
        <x:v>0</x:v>
      </x:c>
      <x:c r="N2371" t="str">
        <x:v>Fully Paid</x:v>
      </x:c>
      <x:c r="O2371" t="str">
        <x:f>IF(D2371="","Unknown",IF(D2371&lt;25000,"&lt;$25k",IF(D2371&lt;50000,"$25k-$50k",IF(D2371&lt;75000,"$50k-$75k",IF(D2371&lt;100000,"$75k-$100k","$100k+")))))</x:f>
        <x:v>$75k-$100k</x:v>
      </x:c>
      <x:c r="P2371" t="str">
        <x:f>IF(E2371="","Unknown",IF(E2371&lt;10,"&lt;10",IF(E2371&lt;20,"10-&lt;20",IF(E2371&lt;25,"20-&lt;25",IF(E2371&lt;35,"25-&lt;35","35+")))))</x:f>
        <x:v>25-&lt;35</x:v>
      </x:c>
    </x:row>
    <x:row r="2372">
      <x:c r="A2372" t="str">
        <x:v>SYN0002371</x:v>
      </x:c>
      <x:c r="B2372" s="12" t="n">
        <x:v>43135</x:v>
      </x:c>
      <x:c r="C2372" s="18" t="n">
        <x:v>12926</x:v>
      </x:c>
      <x:c r="D2372" s="18" t="n">
        <x:v>48262</x:v>
      </x:c>
      <x:c r="E2372" s="18" t="n">
        <x:v>22.03</x:v>
      </x:c>
      <x:c r="F2372" s="18" t="n">
        <x:v>11.51</x:v>
      </x:c>
      <x:c r="G2372" t="n">
        <x:v>36</x:v>
      </x:c>
      <x:c r="H2372" t="str">
        <x:v>C</x:v>
      </x:c>
      <x:c r="I2372" t="str">
        <x:v>7-9 years</x:v>
      </x:c>
      <x:c r="J2372" t="str">
        <x:v>MORTGAGE</x:v>
      </x:c>
      <x:c r="K2372" t="str">
        <x:v>debt_consolidation</x:v>
      </x:c>
      <x:c r="L2372" t="n">
        <x:v>0</x:v>
      </x:c>
      <x:c r="M2372" t="n">
        <x:v>0</x:v>
      </x:c>
      <x:c r="N2372" t="str">
        <x:v>Fully Paid</x:v>
      </x:c>
      <x:c r="O2372" t="str">
        <x:f>IF(D2372="","Unknown",IF(D2372&lt;25000,"&lt;$25k",IF(D2372&lt;50000,"$25k-$50k",IF(D2372&lt;75000,"$50k-$75k",IF(D2372&lt;100000,"$75k-$100k","$100k+")))))</x:f>
        <x:v>$25k-$50k</x:v>
      </x:c>
      <x:c r="P2372" t="str">
        <x:f>IF(E2372="","Unknown",IF(E2372&lt;10,"&lt;10",IF(E2372&lt;20,"10-&lt;20",IF(E2372&lt;25,"20-&lt;25",IF(E2372&lt;35,"25-&lt;35","35+")))))</x:f>
        <x:v>20-&lt;25</x:v>
      </x:c>
    </x:row>
    <x:row r="2373">
      <x:c r="A2373" t="str">
        <x:v>SYN0002372</x:v>
      </x:c>
      <x:c r="B2373" s="12" t="n">
        <x:v>42745</x:v>
      </x:c>
      <x:c r="C2373" s="18" t="n">
        <x:v>17374</x:v>
      </x:c>
      <x:c r="D2373" s="18" t="n">
        <x:v>77011</x:v>
      </x:c>
      <x:c r="E2373" s="18" t="n">
        <x:v>33.23</x:v>
      </x:c>
      <x:c r="F2373" s="18" t="n">
        <x:v>7.3</x:v>
      </x:c>
      <x:c r="G2373" t="n">
        <x:v>36</x:v>
      </x:c>
      <x:c r="H2373" t="str">
        <x:v>B</x:v>
      </x:c>
      <x:c r="I2373" t="str">
        <x:v>10+ years</x:v>
      </x:c>
      <x:c r="J2373" t="str">
        <x:v>MORTGAGE</x:v>
      </x:c>
      <x:c r="K2373" t="str">
        <x:v>debt_consolidation</x:v>
      </x:c>
      <x:c r="L2373" t="n">
        <x:v>0</x:v>
      </x:c>
      <x:c r="M2373" t="n">
        <x:v>0</x:v>
      </x:c>
      <x:c r="N2373" t="str">
        <x:v>Fully Paid</x:v>
      </x:c>
      <x:c r="O2373" t="str">
        <x:f>IF(D2373="","Unknown",IF(D2373&lt;25000,"&lt;$25k",IF(D2373&lt;50000,"$25k-$50k",IF(D2373&lt;75000,"$50k-$75k",IF(D2373&lt;100000,"$75k-$100k","$100k+")))))</x:f>
        <x:v>$75k-$100k</x:v>
      </x:c>
      <x:c r="P2373" t="str">
        <x:f>IF(E2373="","Unknown",IF(E2373&lt;10,"&lt;10",IF(E2373&lt;20,"10-&lt;20",IF(E2373&lt;25,"20-&lt;25",IF(E2373&lt;35,"25-&lt;35","35+")))))</x:f>
        <x:v>25-&lt;35</x:v>
      </x:c>
    </x:row>
    <x:row r="2374">
      <x:c r="A2374" t="str">
        <x:v>SYN0002373</x:v>
      </x:c>
      <x:c r="B2374" s="12" t="n">
        <x:v>41575</x:v>
      </x:c>
      <x:c r="C2374" s="18" t="n">
        <x:v>9941</x:v>
      </x:c>
      <x:c r="D2374" s="18" t="n">
        <x:v>75975</x:v>
      </x:c>
      <x:c r="E2374" s="18" t="n">
        <x:v>14.71</x:v>
      </x:c>
      <x:c r="F2374" s="18" t="n">
        <x:v>5.32</x:v>
      </x:c>
      <x:c r="G2374" t="n">
        <x:v>36</x:v>
      </x:c>
      <x:c r="H2374" t="str">
        <x:v>A</x:v>
      </x:c>
      <x:c r="I2374" t="str">
        <x:v>10+ years</x:v>
      </x:c>
      <x:c r="J2374" t="str">
        <x:v>RENT</x:v>
      </x:c>
      <x:c r="K2374" t="str">
        <x:v>home_improvement</x:v>
      </x:c>
      <x:c r="L2374" t="n">
        <x:v>0</x:v>
      </x:c>
      <x:c r="M2374" t="n">
        <x:v>0</x:v>
      </x:c>
      <x:c r="N2374" t="str">
        <x:v>Fully Paid</x:v>
      </x:c>
      <x:c r="O2374" t="str">
        <x:f>IF(D2374="","Unknown",IF(D2374&lt;25000,"&lt;$25k",IF(D2374&lt;50000,"$25k-$50k",IF(D2374&lt;75000,"$50k-$75k",IF(D2374&lt;100000,"$75k-$100k","$100k+")))))</x:f>
        <x:v>$75k-$100k</x:v>
      </x:c>
      <x:c r="P2374" t="str">
        <x:f>IF(E2374="","Unknown",IF(E2374&lt;10,"&lt;10",IF(E2374&lt;20,"10-&lt;20",IF(E2374&lt;25,"20-&lt;25",IF(E2374&lt;35,"25-&lt;35","35+")))))</x:f>
        <x:v>10-&lt;20</x:v>
      </x:c>
    </x:row>
    <x:row r="2375">
      <x:c r="A2375" t="str">
        <x:v>SYN0002374</x:v>
      </x:c>
      <x:c r="B2375" s="12" t="n">
        <x:v>42505</x:v>
      </x:c>
      <x:c r="C2375" s="18" t="n">
        <x:v>12366</x:v>
      </x:c>
      <x:c r="D2375" s="18" t="n">
        <x:v>46434</x:v>
      </x:c>
      <x:c r="E2375" s="18" t="n">
        <x:v>18.19</x:v>
      </x:c>
      <x:c r="F2375" s="18" t="n">
        <x:v>10.24</x:v>
      </x:c>
      <x:c r="G2375" t="n">
        <x:v>36</x:v>
      </x:c>
      <x:c r="H2375" t="str">
        <x:v>B</x:v>
      </x:c>
      <x:c r="I2375" t="str">
        <x:v>10+ years</x:v>
      </x:c>
      <x:c r="J2375" t="str">
        <x:v>MORTGAGE</x:v>
      </x:c>
      <x:c r="K2375" t="str">
        <x:v>debt_consolidation</x:v>
      </x:c>
      <x:c r="L2375" t="n">
        <x:v>0</x:v>
      </x:c>
      <x:c r="M2375" t="n">
        <x:v>0</x:v>
      </x:c>
      <x:c r="N2375" t="str">
        <x:v>Fully Paid</x:v>
      </x:c>
      <x:c r="O2375" t="str">
        <x:f>IF(D2375="","Unknown",IF(D2375&lt;25000,"&lt;$25k",IF(D2375&lt;50000,"$25k-$50k",IF(D2375&lt;75000,"$50k-$75k",IF(D2375&lt;100000,"$75k-$100k","$100k+")))))</x:f>
        <x:v>$25k-$50k</x:v>
      </x:c>
      <x:c r="P2375" t="str">
        <x:f>IF(E2375="","Unknown",IF(E2375&lt;10,"&lt;10",IF(E2375&lt;20,"10-&lt;20",IF(E2375&lt;25,"20-&lt;25",IF(E2375&lt;35,"25-&lt;35","35+")))))</x:f>
        <x:v>10-&lt;20</x:v>
      </x:c>
    </x:row>
    <x:row r="2376">
      <x:c r="A2376" t="str">
        <x:v>SYN0002375</x:v>
      </x:c>
      <x:c r="B2376" s="12" t="n">
        <x:v>42955</x:v>
      </x:c>
      <x:c r="C2376" s="18" t="n">
        <x:v>10871</x:v>
      </x:c>
      <x:c r="D2376" s="18" t="n">
        <x:v>95125</x:v>
      </x:c>
      <x:c r="E2376" s="18" t="n">
        <x:v>27.55</x:v>
      </x:c>
      <x:c r="F2376" s="18" t="n">
        <x:v>5</x:v>
      </x:c>
      <x:c r="G2376" t="n">
        <x:v>60</x:v>
      </x:c>
      <x:c r="H2376" t="str">
        <x:v>A</x:v>
      </x:c>
      <x:c r="I2376" t="str">
        <x:v>&lt;1 year</x:v>
      </x:c>
      <x:c r="J2376" t="str">
        <x:v>MORTGAGE</x:v>
      </x:c>
      <x:c r="K2376" t="str">
        <x:v>debt_consolidation</x:v>
      </x:c>
      <x:c r="L2376" t="n">
        <x:v>0</x:v>
      </x:c>
      <x:c r="M2376" t="n">
        <x:v>0</x:v>
      </x:c>
      <x:c r="N2376" t="str">
        <x:v>Fully Paid</x:v>
      </x:c>
      <x:c r="O2376" t="str">
        <x:f>IF(D2376="","Unknown",IF(D2376&lt;25000,"&lt;$25k",IF(D2376&lt;50000,"$25k-$50k",IF(D2376&lt;75000,"$50k-$75k",IF(D2376&lt;100000,"$75k-$100k","$100k+")))))</x:f>
        <x:v>$75k-$100k</x:v>
      </x:c>
      <x:c r="P2376" t="str">
        <x:f>IF(E2376="","Unknown",IF(E2376&lt;10,"&lt;10",IF(E2376&lt;20,"10-&lt;20",IF(E2376&lt;25,"20-&lt;25",IF(E2376&lt;35,"25-&lt;35","35+")))))</x:f>
        <x:v>25-&lt;35</x:v>
      </x:c>
    </x:row>
    <x:row r="2377">
      <x:c r="A2377" t="str">
        <x:v>SYN0002376</x:v>
      </x:c>
      <x:c r="B2377" s="12" t="n">
        <x:v>42055</x:v>
      </x:c>
      <x:c r="C2377" s="18" t="n">
        <x:v>12656</x:v>
      </x:c>
      <x:c r="D2377" s="18" t="n">
        <x:v>44672</x:v>
      </x:c>
      <x:c r="E2377" s="18" t="n">
        <x:v>8.83</x:v>
      </x:c>
      <x:c r="F2377" s="18" t="n">
        <x:v>8.88</x:v>
      </x:c>
      <x:c r="G2377" t="n">
        <x:v>36</x:v>
      </x:c>
      <x:c r="H2377" t="str">
        <x:v>C</x:v>
      </x:c>
      <x:c r="I2377" t="str">
        <x:v>4-6 years</x:v>
      </x:c>
      <x:c r="J2377" t="str">
        <x:v>RENT</x:v>
      </x:c>
      <x:c r="K2377" t="str">
        <x:v>debt_consolidation</x:v>
      </x:c>
      <x:c r="L2377" t="n">
        <x:v>1</x:v>
      </x:c>
      <x:c r="M2377" t="n">
        <x:v>0</x:v>
      </x:c>
      <x:c r="N2377" t="str">
        <x:v>Fully Paid</x:v>
      </x:c>
      <x:c r="O2377" t="str">
        <x:f>IF(D2377="","Unknown",IF(D2377&lt;25000,"&lt;$25k",IF(D2377&lt;50000,"$25k-$50k",IF(D2377&lt;75000,"$50k-$75k",IF(D2377&lt;100000,"$75k-$100k","$100k+")))))</x:f>
        <x:v>$25k-$50k</x:v>
      </x:c>
      <x:c r="P2377" t="str">
        <x:f>IF(E2377="","Unknown",IF(E2377&lt;10,"&lt;10",IF(E2377&lt;20,"10-&lt;20",IF(E2377&lt;25,"20-&lt;25",IF(E2377&lt;35,"25-&lt;35","35+")))))</x:f>
        <x:v>&lt;10</x:v>
      </x:c>
    </x:row>
    <x:row r="2378">
      <x:c r="A2378" t="str">
        <x:v>SYN0002377</x:v>
      </x:c>
      <x:c r="B2378" s="12" t="n">
        <x:v>43075</x:v>
      </x:c>
      <x:c r="C2378" s="18" t="n">
        <x:v>9129</x:v>
      </x:c>
      <x:c r="D2378" s="18" t="n">
        <x:v>23455</x:v>
      </x:c>
      <x:c r="E2378" s="18" t="n">
        <x:v>31.83</x:v>
      </x:c>
      <x:c r="F2378" s="18" t="n">
        <x:v>13.51</x:v>
      </x:c>
      <x:c r="G2378" t="n">
        <x:v>60</x:v>
      </x:c>
      <x:c r="H2378" t="str">
        <x:v>D</x:v>
      </x:c>
      <x:c r="I2378" t="str">
        <x:v>4-6 years</x:v>
      </x:c>
      <x:c r="J2378" t="str">
        <x:v>MORTGAGE</x:v>
      </x:c>
      <x:c r="K2378" t="str">
        <x:v>debt_consolidation</x:v>
      </x:c>
      <x:c r="L2378" t="n">
        <x:v>3</x:v>
      </x:c>
      <x:c r="M2378" t="n">
        <x:v>0</x:v>
      </x:c>
      <x:c r="N2378" t="str">
        <x:v>Fully Paid</x:v>
      </x:c>
      <x:c r="O2378" t="str">
        <x:f>IF(D2378="","Unknown",IF(D2378&lt;25000,"&lt;$25k",IF(D2378&lt;50000,"$25k-$50k",IF(D2378&lt;75000,"$50k-$75k",IF(D2378&lt;100000,"$75k-$100k","$100k+")))))</x:f>
        <x:v>&lt;$25k</x:v>
      </x:c>
      <x:c r="P2378" t="str">
        <x:f>IF(E2378="","Unknown",IF(E2378&lt;10,"&lt;10",IF(E2378&lt;20,"10-&lt;20",IF(E2378&lt;25,"20-&lt;25",IF(E2378&lt;35,"25-&lt;35","35+")))))</x:f>
        <x:v>25-&lt;35</x:v>
      </x:c>
    </x:row>
    <x:row r="2379">
      <x:c r="A2379" t="str">
        <x:v>SYN0002378</x:v>
      </x:c>
      <x:c r="B2379" s="12" t="n">
        <x:v>41485</x:v>
      </x:c>
      <x:c r="C2379" s="18" t="n">
        <x:v>16366</x:v>
      </x:c>
      <x:c r="D2379" s="18" t="n">
        <x:v>79651</x:v>
      </x:c>
      <x:c r="E2379" s="18" t="n">
        <x:v>20.59</x:v>
      </x:c>
      <x:c r="F2379" s="18" t="n">
        <x:v>11.32</x:v>
      </x:c>
      <x:c r="G2379" t="n">
        <x:v>36</x:v>
      </x:c>
      <x:c r="H2379" t="str">
        <x:v>C</x:v>
      </x:c>
      <x:c r="I2379" t="str">
        <x:v>10+ years</x:v>
      </x:c>
      <x:c r="J2379" t="str">
        <x:v>MORTGAGE</x:v>
      </x:c>
      <x:c r="K2379" t="str">
        <x:v>debt_consolidation</x:v>
      </x:c>
      <x:c r="L2379" t="n">
        <x:v>0</x:v>
      </x:c>
      <x:c r="M2379" t="n">
        <x:v>0</x:v>
      </x:c>
      <x:c r="N2379" t="str">
        <x:v>Fully Paid</x:v>
      </x:c>
      <x:c r="O2379" t="str">
        <x:f>IF(D2379="","Unknown",IF(D2379&lt;25000,"&lt;$25k",IF(D2379&lt;50000,"$25k-$50k",IF(D2379&lt;75000,"$50k-$75k",IF(D2379&lt;100000,"$75k-$100k","$100k+")))))</x:f>
        <x:v>$75k-$100k</x:v>
      </x:c>
      <x:c r="P2379" t="str">
        <x:f>IF(E2379="","Unknown",IF(E2379&lt;10,"&lt;10",IF(E2379&lt;20,"10-&lt;20",IF(E2379&lt;25,"20-&lt;25",IF(E2379&lt;35,"25-&lt;35","35+")))))</x:f>
        <x:v>20-&lt;25</x:v>
      </x:c>
    </x:row>
    <x:row r="2380">
      <x:c r="A2380" t="str">
        <x:v>SYN0002379</x:v>
      </x:c>
      <x:c r="B2380" s="12" t="n">
        <x:v>42325</x:v>
      </x:c>
      <x:c r="C2380" s="18" t="n">
        <x:v>19071</x:v>
      </x:c>
      <x:c r="D2380" s="18" t="n">
        <x:v>56760</x:v>
      </x:c>
      <x:c r="E2380" s="18" t="n">
        <x:v>15.3</x:v>
      </x:c>
      <x:c r="F2380" s="18" t="n">
        <x:v>10.71</x:v>
      </x:c>
      <x:c r="G2380" t="n">
        <x:v>36</x:v>
      </x:c>
      <x:c r="H2380" t="str">
        <x:v>C</x:v>
      </x:c>
      <x:c r="I2380" t="str">
        <x:v>1-3 years</x:v>
      </x:c>
      <x:c r="J2380" t="str">
        <x:v>OWN</x:v>
      </x:c>
      <x:c r="K2380" t="str">
        <x:v>other</x:v>
      </x:c>
      <x:c r="L2380" t="n">
        <x:v>0</x:v>
      </x:c>
      <x:c r="M2380" t="n">
        <x:v>0</x:v>
      </x:c>
      <x:c r="N2380" t="str">
        <x:v>Fully Paid</x:v>
      </x:c>
      <x:c r="O2380" t="str">
        <x:f>IF(D2380="","Unknown",IF(D2380&lt;25000,"&lt;$25k",IF(D2380&lt;50000,"$25k-$50k",IF(D2380&lt;75000,"$50k-$75k",IF(D2380&lt;100000,"$75k-$100k","$100k+")))))</x:f>
        <x:v>$50k-$75k</x:v>
      </x:c>
      <x:c r="P2380" t="str">
        <x:f>IF(E2380="","Unknown",IF(E2380&lt;10,"&lt;10",IF(E2380&lt;20,"10-&lt;20",IF(E2380&lt;25,"20-&lt;25",IF(E2380&lt;35,"25-&lt;35","35+")))))</x:f>
        <x:v>10-&lt;20</x:v>
      </x:c>
    </x:row>
    <x:row r="2381">
      <x:c r="A2381" t="str">
        <x:v>SYN0002380</x:v>
      </x:c>
      <x:c r="B2381" s="12" t="n">
        <x:v>41695</x:v>
      </x:c>
      <x:c r="C2381" s="18" t="n">
        <x:v>20286</x:v>
      </x:c>
      <x:c r="D2381" s="18" t="n">
        <x:v>46063</x:v>
      </x:c>
      <x:c r="E2381" s="18" t="n">
        <x:v>11.63</x:v>
      </x:c>
      <x:c r="F2381" s="18" t="n">
        <x:v>8.53</x:v>
      </x:c>
      <x:c r="G2381" t="n">
        <x:v>36</x:v>
      </x:c>
      <x:c r="H2381" t="str">
        <x:v>C</x:v>
      </x:c>
      <x:c r="I2381" t="str">
        <x:v>4-6 years</x:v>
      </x:c>
      <x:c r="J2381" t="str">
        <x:v>OWN</x:v>
      </x:c>
      <x:c r="K2381" t="str">
        <x:v>debt_consolidation</x:v>
      </x:c>
      <x:c r="L2381" t="n">
        <x:v>0</x:v>
      </x:c>
      <x:c r="M2381" t="n">
        <x:v>0</x:v>
      </x:c>
      <x:c r="N2381" t="str">
        <x:v>Fully Paid</x:v>
      </x:c>
      <x:c r="O2381" t="str">
        <x:f>IF(D2381="","Unknown",IF(D2381&lt;25000,"&lt;$25k",IF(D2381&lt;50000,"$25k-$50k",IF(D2381&lt;75000,"$50k-$75k",IF(D2381&lt;100000,"$75k-$100k","$100k+")))))</x:f>
        <x:v>$25k-$50k</x:v>
      </x:c>
      <x:c r="P2381" t="str">
        <x:f>IF(E2381="","Unknown",IF(E2381&lt;10,"&lt;10",IF(E2381&lt;20,"10-&lt;20",IF(E2381&lt;25,"20-&lt;25",IF(E2381&lt;35,"25-&lt;35","35+")))))</x:f>
        <x:v>10-&lt;20</x:v>
      </x:c>
    </x:row>
    <x:row r="2382">
      <x:c r="A2382" t="str">
        <x:v>SYN0002381</x:v>
      </x:c>
      <x:c r="B2382" s="12" t="n">
        <x:v>43315</x:v>
      </x:c>
      <x:c r="C2382" s="18" t="n">
        <x:v>9725</x:v>
      </x:c>
      <x:c r="D2382" s="18" t="n">
        <x:v>105411</x:v>
      </x:c>
      <x:c r="E2382" s="18" t="n">
        <x:v>13.21</x:v>
      </x:c>
      <x:c r="F2382" s="18" t="n">
        <x:v>14.42</x:v>
      </x:c>
      <x:c r="G2382" t="n">
        <x:v>36</x:v>
      </x:c>
      <x:c r="H2382" t="str">
        <x:v>C</x:v>
      </x:c>
      <x:c r="I2382" t="str">
        <x:v>4-6 years</x:v>
      </x:c>
      <x:c r="J2382" t="str">
        <x:v>MORTGAGE</x:v>
      </x:c>
      <x:c r="K2382" t="str">
        <x:v>debt_consolidation</x:v>
      </x:c>
      <x:c r="L2382" t="n">
        <x:v>1</x:v>
      </x:c>
      <x:c r="M2382" t="n">
        <x:v>1</x:v>
      </x:c>
      <x:c r="N2382" t="str">
        <x:v>Charged Off</x:v>
      </x:c>
      <x:c r="O2382" t="str">
        <x:f>IF(D2382="","Unknown",IF(D2382&lt;25000,"&lt;$25k",IF(D2382&lt;50000,"$25k-$50k",IF(D2382&lt;75000,"$50k-$75k",IF(D2382&lt;100000,"$75k-$100k","$100k+")))))</x:f>
        <x:v>$100k+</x:v>
      </x:c>
      <x:c r="P2382" t="str">
        <x:f>IF(E2382="","Unknown",IF(E2382&lt;10,"&lt;10",IF(E2382&lt;20,"10-&lt;20",IF(E2382&lt;25,"20-&lt;25",IF(E2382&lt;35,"25-&lt;35","35+")))))</x:f>
        <x:v>10-&lt;20</x:v>
      </x:c>
    </x:row>
    <x:row r="2383">
      <x:c r="A2383" t="str">
        <x:v>SYN0002382</x:v>
      </x:c>
      <x:c r="B2383" s="12" t="n">
        <x:v>41905</x:v>
      </x:c>
      <x:c r="C2383" s="18" t="n">
        <x:v>8204</x:v>
      </x:c>
      <x:c r="D2383" s="18" t="n">
        <x:v>119926</x:v>
      </x:c>
      <x:c r="E2383" s="18" t="n">
        <x:v>12.97</x:v>
      </x:c>
      <x:c r="F2383" s="18" t="n">
        <x:v>9.43</x:v>
      </x:c>
      <x:c r="G2383" t="n">
        <x:v>60</x:v>
      </x:c>
      <x:c r="H2383" t="str">
        <x:v>C</x:v>
      </x:c>
      <x:c r="I2383" t="str">
        <x:v>7-9 years</x:v>
      </x:c>
      <x:c r="J2383" t="str">
        <x:v>OTHER</x:v>
      </x:c>
      <x:c r="K2383" t="str">
        <x:v>home_improvement</x:v>
      </x:c>
      <x:c r="L2383" t="n">
        <x:v>1</x:v>
      </x:c>
      <x:c r="M2383" t="n">
        <x:v>0</x:v>
      </x:c>
      <x:c r="N2383" t="str">
        <x:v>Fully Paid</x:v>
      </x:c>
      <x:c r="O2383" t="str">
        <x:f>IF(D2383="","Unknown",IF(D2383&lt;25000,"&lt;$25k",IF(D2383&lt;50000,"$25k-$50k",IF(D2383&lt;75000,"$50k-$75k",IF(D2383&lt;100000,"$75k-$100k","$100k+")))))</x:f>
        <x:v>$100k+</x:v>
      </x:c>
      <x:c r="P2383" t="str">
        <x:f>IF(E2383="","Unknown",IF(E2383&lt;10,"&lt;10",IF(E2383&lt;20,"10-&lt;20",IF(E2383&lt;25,"20-&lt;25",IF(E2383&lt;35,"25-&lt;35","35+")))))</x:f>
        <x:v>10-&lt;20</x:v>
      </x:c>
    </x:row>
    <x:row r="2384">
      <x:c r="A2384" t="str">
        <x:v>SYN0002383</x:v>
      </x:c>
      <x:c r="B2384" s="12" t="n">
        <x:v>41935</x:v>
      </x:c>
      <x:c r="C2384" s="18" t="n">
        <x:v>12190</x:v>
      </x:c>
      <x:c r="D2384" s="18" t="n">
        <x:v>17752</x:v>
      </x:c>
      <x:c r="E2384" s="18" t="n">
        <x:v>23.86</x:v>
      </x:c>
      <x:c r="F2384" s="18" t="n">
        <x:v>12.3</x:v>
      </x:c>
      <x:c r="G2384" t="n">
        <x:v>36</x:v>
      </x:c>
      <x:c r="H2384" t="str">
        <x:v>C</x:v>
      </x:c>
      <x:c r="I2384" t="str">
        <x:v>4-6 years</x:v>
      </x:c>
      <x:c r="J2384" t="str">
        <x:v>MORTGAGE</x:v>
      </x:c>
      <x:c r="K2384" t="str">
        <x:v>home_improvement</x:v>
      </x:c>
      <x:c r="L2384" t="n">
        <x:v>0</x:v>
      </x:c>
      <x:c r="M2384" t="n">
        <x:v>1</x:v>
      </x:c>
      <x:c r="N2384" t="str">
        <x:v>Charged Off</x:v>
      </x:c>
      <x:c r="O2384" t="str">
        <x:f>IF(D2384="","Unknown",IF(D2384&lt;25000,"&lt;$25k",IF(D2384&lt;50000,"$25k-$50k",IF(D2384&lt;75000,"$50k-$75k",IF(D2384&lt;100000,"$75k-$100k","$100k+")))))</x:f>
        <x:v>&lt;$25k</x:v>
      </x:c>
      <x:c r="P2384" t="str">
        <x:f>IF(E2384="","Unknown",IF(E2384&lt;10,"&lt;10",IF(E2384&lt;20,"10-&lt;20",IF(E2384&lt;25,"20-&lt;25",IF(E2384&lt;35,"25-&lt;35","35+")))))</x:f>
        <x:v>20-&lt;25</x:v>
      </x:c>
    </x:row>
    <x:row r="2385">
      <x:c r="A2385" t="str">
        <x:v>SYN0002384</x:v>
      </x:c>
      <x:c r="B2385" s="12" t="n">
        <x:v>42265</x:v>
      </x:c>
      <x:c r="C2385" s="18" t="n">
        <x:v>12253</x:v>
      </x:c>
      <x:c r="D2385" s="18" t="n">
        <x:v>192513</x:v>
      </x:c>
      <x:c r="E2385" s="18" t="n">
        <x:v>31.35</x:v>
      </x:c>
      <x:c r="F2385" s="18" t="n">
        <x:v>7.4</x:v>
      </x:c>
      <x:c r="G2385" t="n">
        <x:v>36</x:v>
      </x:c>
      <x:c r="H2385" t="str">
        <x:v>B</x:v>
      </x:c>
      <x:c r="I2385" t="str">
        <x:v>&lt;1 year</x:v>
      </x:c>
      <x:c r="J2385" t="str">
        <x:v>MORTGAGE</x:v>
      </x:c>
      <x:c r="K2385" t="str">
        <x:v>debt_consolidation</x:v>
      </x:c>
      <x:c r="L2385" t="n">
        <x:v>0</x:v>
      </x:c>
      <x:c r="M2385" t="n">
        <x:v>0</x:v>
      </x:c>
      <x:c r="N2385" t="str">
        <x:v>Fully Paid</x:v>
      </x:c>
      <x:c r="O2385" t="str">
        <x:f>IF(D2385="","Unknown",IF(D2385&lt;25000,"&lt;$25k",IF(D2385&lt;50000,"$25k-$50k",IF(D2385&lt;75000,"$50k-$75k",IF(D2385&lt;100000,"$75k-$100k","$100k+")))))</x:f>
        <x:v>$100k+</x:v>
      </x:c>
      <x:c r="P2385" t="str">
        <x:f>IF(E2385="","Unknown",IF(E2385&lt;10,"&lt;10",IF(E2385&lt;20,"10-&lt;20",IF(E2385&lt;25,"20-&lt;25",IF(E2385&lt;35,"25-&lt;35","35+")))))</x:f>
        <x:v>25-&lt;35</x:v>
      </x:c>
    </x:row>
    <x:row r="2386">
      <x:c r="A2386" t="str">
        <x:v>SYN0002385</x:v>
      </x:c>
      <x:c r="B2386" s="12" t="n">
        <x:v>41995</x:v>
      </x:c>
      <x:c r="C2386" s="18" t="n">
        <x:v>19980</x:v>
      </x:c>
      <x:c r="D2386" s="18" t="n">
        <x:v>40588</x:v>
      </x:c>
      <x:c r="E2386" s="18" t="n">
        <x:v>20.08</x:v>
      </x:c>
      <x:c r="F2386" s="18" t="n">
        <x:v>5.34</x:v>
      </x:c>
      <x:c r="G2386" t="n">
        <x:v>60</x:v>
      </x:c>
      <x:c r="H2386" t="str">
        <x:v>A</x:v>
      </x:c>
      <x:c r="I2386" t="str">
        <x:v>4-6 years</x:v>
      </x:c>
      <x:c r="J2386" t="str">
        <x:v>MORTGAGE</x:v>
      </x:c>
      <x:c r="K2386" t="str">
        <x:v>debt_consolidation</x:v>
      </x:c>
      <x:c r="L2386" t="n">
        <x:v>0</x:v>
      </x:c>
      <x:c r="M2386" t="n">
        <x:v>0</x:v>
      </x:c>
      <x:c r="N2386" t="str">
        <x:v>Fully Paid</x:v>
      </x:c>
      <x:c r="O2386" t="str">
        <x:f>IF(D2386="","Unknown",IF(D2386&lt;25000,"&lt;$25k",IF(D2386&lt;50000,"$25k-$50k",IF(D2386&lt;75000,"$50k-$75k",IF(D2386&lt;100000,"$75k-$100k","$100k+")))))</x:f>
        <x:v>$25k-$50k</x:v>
      </x:c>
      <x:c r="P2386" t="str">
        <x:f>IF(E2386="","Unknown",IF(E2386&lt;10,"&lt;10",IF(E2386&lt;20,"10-&lt;20",IF(E2386&lt;25,"20-&lt;25",IF(E2386&lt;35,"25-&lt;35","35+")))))</x:f>
        <x:v>20-&lt;25</x:v>
      </x:c>
    </x:row>
    <x:row r="2387">
      <x:c r="A2387" t="str">
        <x:v>SYN0002386</x:v>
      </x:c>
      <x:c r="B2387" s="12" t="n">
        <x:v>43315</x:v>
      </x:c>
      <x:c r="C2387" s="18" t="n">
        <x:v>22422</x:v>
      </x:c>
      <x:c r="D2387" s="18" t="n">
        <x:v>132158</x:v>
      </x:c>
      <x:c r="E2387" s="18" t="n">
        <x:v>2.15</x:v>
      </x:c>
      <x:c r="F2387" s="18" t="n">
        <x:v>7.16</x:v>
      </x:c>
      <x:c r="G2387" t="n">
        <x:v>36</x:v>
      </x:c>
      <x:c r="H2387" t="str">
        <x:v>A</x:v>
      </x:c>
      <x:c r="I2387" t="str">
        <x:v>7-9 years</x:v>
      </x:c>
      <x:c r="J2387" t="str">
        <x:v>RENT</x:v>
      </x:c>
      <x:c r="K2387" t="str">
        <x:v>other</x:v>
      </x:c>
      <x:c r="L2387" t="n">
        <x:v>0</x:v>
      </x:c>
      <x:c r="M2387" t="n">
        <x:v>0</x:v>
      </x:c>
      <x:c r="N2387" t="str">
        <x:v>Fully Paid</x:v>
      </x:c>
      <x:c r="O2387" t="str">
        <x:f>IF(D2387="","Unknown",IF(D2387&lt;25000,"&lt;$25k",IF(D2387&lt;50000,"$25k-$50k",IF(D2387&lt;75000,"$50k-$75k",IF(D2387&lt;100000,"$75k-$100k","$100k+")))))</x:f>
        <x:v>$100k+</x:v>
      </x:c>
      <x:c r="P2387" t="str">
        <x:f>IF(E2387="","Unknown",IF(E2387&lt;10,"&lt;10",IF(E2387&lt;20,"10-&lt;20",IF(E2387&lt;25,"20-&lt;25",IF(E2387&lt;35,"25-&lt;35","35+")))))</x:f>
        <x:v>&lt;10</x:v>
      </x:c>
    </x:row>
    <x:row r="2388">
      <x:c r="A2388" t="str">
        <x:v>SYN0002387</x:v>
      </x:c>
      <x:c r="B2388" s="12" t="n">
        <x:v>41605</x:v>
      </x:c>
      <x:c r="C2388" s="18" t="n">
        <x:v>10540</x:v>
      </x:c>
      <x:c r="D2388" s="18" t="n">
        <x:v>43889</x:v>
      </x:c>
      <x:c r="E2388" s="18" t="n">
        <x:v>34.51</x:v>
      </x:c>
      <x:c r="F2388" s="18" t="n">
        <x:v>24.36</x:v>
      </x:c>
      <x:c r="G2388" t="n">
        <x:v>36</x:v>
      </x:c>
      <x:c r="H2388" t="str">
        <x:v>F</x:v>
      </x:c>
      <x:c r="I2388" t="str">
        <x:v>1-3 years</x:v>
      </x:c>
      <x:c r="J2388" t="str">
        <x:v>OWN</x:v>
      </x:c>
      <x:c r="K2388" t="str">
        <x:v>debt_consolidation</x:v>
      </x:c>
      <x:c r="L2388" t="n">
        <x:v>0</x:v>
      </x:c>
      <x:c r="M2388" t="n">
        <x:v>0</x:v>
      </x:c>
      <x:c r="N2388" t="str">
        <x:v>Fully Paid</x:v>
      </x:c>
      <x:c r="O2388" t="str">
        <x:f>IF(D2388="","Unknown",IF(D2388&lt;25000,"&lt;$25k",IF(D2388&lt;50000,"$25k-$50k",IF(D2388&lt;75000,"$50k-$75k",IF(D2388&lt;100000,"$75k-$100k","$100k+")))))</x:f>
        <x:v>$25k-$50k</x:v>
      </x:c>
      <x:c r="P2388" t="str">
        <x:f>IF(E2388="","Unknown",IF(E2388&lt;10,"&lt;10",IF(E2388&lt;20,"10-&lt;20",IF(E2388&lt;25,"20-&lt;25",IF(E2388&lt;35,"25-&lt;35","35+")))))</x:f>
        <x:v>25-&lt;35</x:v>
      </x:c>
    </x:row>
    <x:row r="2389">
      <x:c r="A2389" t="str">
        <x:v>SYN0002388</x:v>
      </x:c>
      <x:c r="B2389" s="12" t="n">
        <x:v>43315</x:v>
      </x:c>
      <x:c r="C2389" s="18" t="n">
        <x:v>13962</x:v>
      </x:c>
      <x:c r="D2389" s="18" t="n">
        <x:v>28987</x:v>
      </x:c>
      <x:c r="E2389" s="18" t="n">
        <x:v>7.39</x:v>
      </x:c>
      <x:c r="F2389" s="18" t="n">
        <x:v>6.12</x:v>
      </x:c>
      <x:c r="G2389" t="n">
        <x:v>36</x:v>
      </x:c>
      <x:c r="H2389" t="str">
        <x:v>B</x:v>
      </x:c>
      <x:c r="I2389" t="str">
        <x:v>1-3 years</x:v>
      </x:c>
      <x:c r="J2389" t="str">
        <x:v>RENT</x:v>
      </x:c>
      <x:c r="K2389" t="str">
        <x:v>credit_card</x:v>
      </x:c>
      <x:c r="L2389" t="n">
        <x:v>1</x:v>
      </x:c>
      <x:c r="M2389" t="n">
        <x:v>0</x:v>
      </x:c>
      <x:c r="N2389" t="str">
        <x:v>Fully Paid</x:v>
      </x:c>
      <x:c r="O2389" t="str">
        <x:f>IF(D2389="","Unknown",IF(D2389&lt;25000,"&lt;$25k",IF(D2389&lt;50000,"$25k-$50k",IF(D2389&lt;75000,"$50k-$75k",IF(D2389&lt;100000,"$75k-$100k","$100k+")))))</x:f>
        <x:v>$25k-$50k</x:v>
      </x:c>
      <x:c r="P2389" t="str">
        <x:f>IF(E2389="","Unknown",IF(E2389&lt;10,"&lt;10",IF(E2389&lt;20,"10-&lt;20",IF(E2389&lt;25,"20-&lt;25",IF(E2389&lt;35,"25-&lt;35","35+")))))</x:f>
        <x:v>&lt;10</x:v>
      </x:c>
    </x:row>
    <x:row r="2390">
      <x:c r="A2390" t="str">
        <x:v>SYN0002389</x:v>
      </x:c>
      <x:c r="B2390" s="12" t="n">
        <x:v>42655</x:v>
      </x:c>
      <x:c r="C2390" s="18" t="n">
        <x:v>32521</x:v>
      </x:c>
      <x:c r="D2390" s="18" t="n">
        <x:v>43458</x:v>
      </x:c>
      <x:c r="E2390" s="18" t="n">
        <x:v>11.31</x:v>
      </x:c>
      <x:c r="F2390" s="18" t="n">
        <x:v>9.69</x:v>
      </x:c>
      <x:c r="G2390" t="n">
        <x:v>36</x:v>
      </x:c>
      <x:c r="H2390" t="str">
        <x:v>C</x:v>
      </x:c>
      <x:c r="I2390" t="str">
        <x:v>1-3 years</x:v>
      </x:c>
      <x:c r="J2390" t="str">
        <x:v>RENT</x:v>
      </x:c>
      <x:c r="K2390" t="str">
        <x:v>debt_consolidation</x:v>
      </x:c>
      <x:c r="L2390" t="n">
        <x:v>0</x:v>
      </x:c>
      <x:c r="M2390" t="n">
        <x:v>0</x:v>
      </x:c>
      <x:c r="N2390" t="str">
        <x:v>Fully Paid</x:v>
      </x:c>
      <x:c r="O2390" t="str">
        <x:f>IF(D2390="","Unknown",IF(D2390&lt;25000,"&lt;$25k",IF(D2390&lt;50000,"$25k-$50k",IF(D2390&lt;75000,"$50k-$75k",IF(D2390&lt;100000,"$75k-$100k","$100k+")))))</x:f>
        <x:v>$25k-$50k</x:v>
      </x:c>
      <x:c r="P2390" t="str">
        <x:f>IF(E2390="","Unknown",IF(E2390&lt;10,"&lt;10",IF(E2390&lt;20,"10-&lt;20",IF(E2390&lt;25,"20-&lt;25",IF(E2390&lt;35,"25-&lt;35","35+")))))</x:f>
        <x:v>10-&lt;20</x:v>
      </x:c>
    </x:row>
    <x:row r="2391">
      <x:c r="A2391" t="str">
        <x:v>SYN0002390</x:v>
      </x:c>
      <x:c r="B2391" s="12" t="n">
        <x:v>41275</x:v>
      </x:c>
      <x:c r="C2391" s="18" t="n">
        <x:v>21202</x:v>
      </x:c>
      <x:c r="D2391" s="18" t="n">
        <x:v>53720</x:v>
      </x:c>
      <x:c r="E2391" s="18" t="n">
        <x:v>19.04</x:v>
      </x:c>
      <x:c r="F2391" s="18" t="n">
        <x:v>7.75</x:v>
      </x:c>
      <x:c r="G2391" t="n">
        <x:v>36</x:v>
      </x:c>
      <x:c r="H2391" t="str">
        <x:v>A</x:v>
      </x:c>
      <x:c r="I2391" t="str">
        <x:v>7-9 years</x:v>
      </x:c>
      <x:c r="J2391" t="str">
        <x:v>MORTGAGE</x:v>
      </x:c>
      <x:c r="K2391" t="str">
        <x:v>other</x:v>
      </x:c>
      <x:c r="L2391" t="n">
        <x:v>1</x:v>
      </x:c>
      <x:c r="M2391" t="n">
        <x:v>0</x:v>
      </x:c>
      <x:c r="N2391" t="str">
        <x:v>Fully Paid</x:v>
      </x:c>
      <x:c r="O2391" t="str">
        <x:f>IF(D2391="","Unknown",IF(D2391&lt;25000,"&lt;$25k",IF(D2391&lt;50000,"$25k-$50k",IF(D2391&lt;75000,"$50k-$75k",IF(D2391&lt;100000,"$75k-$100k","$100k+")))))</x:f>
        <x:v>$50k-$75k</x:v>
      </x:c>
      <x:c r="P2391" t="str">
        <x:f>IF(E2391="","Unknown",IF(E2391&lt;10,"&lt;10",IF(E2391&lt;20,"10-&lt;20",IF(E2391&lt;25,"20-&lt;25",IF(E2391&lt;35,"25-&lt;35","35+")))))</x:f>
        <x:v>10-&lt;20</x:v>
      </x:c>
    </x:row>
    <x:row r="2392">
      <x:c r="A2392" t="str">
        <x:v>SYN0002391</x:v>
      </x:c>
      <x:c r="B2392" s="12" t="n">
        <x:v>42415</x:v>
      </x:c>
      <x:c r="C2392" s="18" t="n">
        <x:v>10335</x:v>
      </x:c>
      <x:c r="D2392" s="18" t="n">
        <x:v>55992</x:v>
      </x:c>
      <x:c r="E2392" s="18" t="n">
        <x:v>14.23</x:v>
      </x:c>
      <x:c r="F2392" s="18" t="n">
        <x:v>9.95</x:v>
      </x:c>
      <x:c r="G2392" t="n">
        <x:v>36</x:v>
      </x:c>
      <x:c r="H2392" t="str">
        <x:v>C</x:v>
      </x:c>
      <x:c r="I2392" t="str">
        <x:v>1-3 years</x:v>
      </x:c>
      <x:c r="J2392" t="str">
        <x:v>RENT</x:v>
      </x:c>
      <x:c r="K2392" t="str">
        <x:v>debt_consolidation</x:v>
      </x:c>
      <x:c r="L2392" t="n">
        <x:v>1</x:v>
      </x:c>
      <x:c r="M2392" t="n">
        <x:v>0</x:v>
      </x:c>
      <x:c r="N2392" t="str">
        <x:v>Fully Paid</x:v>
      </x:c>
      <x:c r="O2392" t="str">
        <x:f>IF(D2392="","Unknown",IF(D2392&lt;25000,"&lt;$25k",IF(D2392&lt;50000,"$25k-$50k",IF(D2392&lt;75000,"$50k-$75k",IF(D2392&lt;100000,"$75k-$100k","$100k+")))))</x:f>
        <x:v>$50k-$75k</x:v>
      </x:c>
      <x:c r="P2392" t="str">
        <x:f>IF(E2392="","Unknown",IF(E2392&lt;10,"&lt;10",IF(E2392&lt;20,"10-&lt;20",IF(E2392&lt;25,"20-&lt;25",IF(E2392&lt;35,"25-&lt;35","35+")))))</x:f>
        <x:v>10-&lt;20</x:v>
      </x:c>
    </x:row>
    <x:row r="2393">
      <x:c r="A2393" t="str">
        <x:v>SYN0002392</x:v>
      </x:c>
      <x:c r="B2393" s="12" t="n">
        <x:v>41785</x:v>
      </x:c>
      <x:c r="C2393" s="18" t="n">
        <x:v>5627</x:v>
      </x:c>
      <x:c r="D2393" s="18" t="n">
        <x:v>71309</x:v>
      </x:c>
      <x:c r="E2393" s="18" t="n">
        <x:v>9.83</x:v>
      </x:c>
      <x:c r="F2393" s="18" t="n">
        <x:v>10.7</x:v>
      </x:c>
      <x:c r="G2393" t="n">
        <x:v>36</x:v>
      </x:c>
      <x:c r="H2393" t="str">
        <x:v>B</x:v>
      </x:c>
      <x:c r="I2393" t="str">
        <x:v>10+ years</x:v>
      </x:c>
      <x:c r="J2393" t="str">
        <x:v>RENT</x:v>
      </x:c>
      <x:c r="K2393" t="str">
        <x:v>debt_consolidation</x:v>
      </x:c>
      <x:c r="L2393" t="n">
        <x:v>1</x:v>
      </x:c>
      <x:c r="M2393" t="n">
        <x:v>0</x:v>
      </x:c>
      <x:c r="N2393" t="str">
        <x:v>Fully Paid</x:v>
      </x:c>
      <x:c r="O2393" t="str">
        <x:f>IF(D2393="","Unknown",IF(D2393&lt;25000,"&lt;$25k",IF(D2393&lt;50000,"$25k-$50k",IF(D2393&lt;75000,"$50k-$75k",IF(D2393&lt;100000,"$75k-$100k","$100k+")))))</x:f>
        <x:v>$50k-$75k</x:v>
      </x:c>
      <x:c r="P2393" t="str">
        <x:f>IF(E2393="","Unknown",IF(E2393&lt;10,"&lt;10",IF(E2393&lt;20,"10-&lt;20",IF(E2393&lt;25,"20-&lt;25",IF(E2393&lt;35,"25-&lt;35","35+")))))</x:f>
        <x:v>&lt;10</x:v>
      </x:c>
    </x:row>
    <x:row r="2394">
      <x:c r="A2394" t="str">
        <x:v>SYN0002393</x:v>
      </x:c>
      <x:c r="B2394" s="12" t="n">
        <x:v>42475</x:v>
      </x:c>
      <x:c r="C2394" s="18" t="n">
        <x:v>11607</x:v>
      </x:c>
      <x:c r="D2394" s="18" t="n">
        <x:v>54567</x:v>
      </x:c>
      <x:c r="E2394" s="18" t="n">
        <x:v>29.7</x:v>
      </x:c>
      <x:c r="F2394" s="18" t="n">
        <x:v>16.03</x:v>
      </x:c>
      <x:c r="G2394" t="n">
        <x:v>36</x:v>
      </x:c>
      <x:c r="H2394" t="str">
        <x:v>D</x:v>
      </x:c>
      <x:c r="I2394" t="str">
        <x:v>4-6 years</x:v>
      </x:c>
      <x:c r="J2394" t="str">
        <x:v>RENT</x:v>
      </x:c>
      <x:c r="K2394" t="str">
        <x:v>debt_consolidation</x:v>
      </x:c>
      <x:c r="L2394" t="n">
        <x:v>0</x:v>
      </x:c>
      <x:c r="M2394" t="n">
        <x:v>0</x:v>
      </x:c>
      <x:c r="N2394" t="str">
        <x:v>Fully Paid</x:v>
      </x:c>
      <x:c r="O2394" t="str">
        <x:f>IF(D2394="","Unknown",IF(D2394&lt;25000,"&lt;$25k",IF(D2394&lt;50000,"$25k-$50k",IF(D2394&lt;75000,"$50k-$75k",IF(D2394&lt;100000,"$75k-$100k","$100k+")))))</x:f>
        <x:v>$50k-$75k</x:v>
      </x:c>
      <x:c r="P2394" t="str">
        <x:f>IF(E2394="","Unknown",IF(E2394&lt;10,"&lt;10",IF(E2394&lt;20,"10-&lt;20",IF(E2394&lt;25,"20-&lt;25",IF(E2394&lt;35,"25-&lt;35","35+")))))</x:f>
        <x:v>25-&lt;35</x:v>
      </x:c>
    </x:row>
    <x:row r="2395">
      <x:c r="A2395" t="str">
        <x:v>SYN0002394</x:v>
      </x:c>
      <x:c r="B2395" s="12" t="n">
        <x:v>42955</x:v>
      </x:c>
      <x:c r="C2395" s="18" t="n">
        <x:v>10033</x:v>
      </x:c>
      <x:c r="D2395" s="18" t="n">
        <x:v>48033</x:v>
      </x:c>
      <x:c r="E2395" s="18" t="n">
        <x:v>17.4</x:v>
      </x:c>
      <x:c r="F2395" s="18" t="n">
        <x:v>16.06</x:v>
      </x:c>
      <x:c r="G2395" t="n">
        <x:v>36</x:v>
      </x:c>
      <x:c r="H2395" t="str">
        <x:v>D</x:v>
      </x:c>
      <x:c r="I2395" t="str">
        <x:v>7-9 years</x:v>
      </x:c>
      <x:c r="J2395" t="str">
        <x:v>RENT</x:v>
      </x:c>
      <x:c r="K2395" t="str">
        <x:v>credit_card</x:v>
      </x:c>
      <x:c r="L2395" t="n">
        <x:v>1</x:v>
      </x:c>
      <x:c r="M2395" t="n">
        <x:v>1</x:v>
      </x:c>
      <x:c r="N2395" t="str">
        <x:v>Charged Off</x:v>
      </x:c>
      <x:c r="O2395" t="str">
        <x:f>IF(D2395="","Unknown",IF(D2395&lt;25000,"&lt;$25k",IF(D2395&lt;50000,"$25k-$50k",IF(D2395&lt;75000,"$50k-$75k",IF(D2395&lt;100000,"$75k-$100k","$100k+")))))</x:f>
        <x:v>$25k-$50k</x:v>
      </x:c>
      <x:c r="P2395" t="str">
        <x:f>IF(E2395="","Unknown",IF(E2395&lt;10,"&lt;10",IF(E2395&lt;20,"10-&lt;20",IF(E2395&lt;25,"20-&lt;25",IF(E2395&lt;35,"25-&lt;35","35+")))))</x:f>
        <x:v>10-&lt;20</x:v>
      </x:c>
    </x:row>
    <x:row r="2396">
      <x:c r="A2396" t="str">
        <x:v>SYN0002395</x:v>
      </x:c>
      <x:c r="B2396" s="12" t="n">
        <x:v>42985</x:v>
      </x:c>
      <x:c r="C2396" s="18" t="n">
        <x:v>21209</x:v>
      </x:c>
      <x:c r="D2396" s="18" t="n">
        <x:v>22390</x:v>
      </x:c>
      <x:c r="E2396" s="18" t="n">
        <x:v>18.1</x:v>
      </x:c>
      <x:c r="F2396" s="18" t="n">
        <x:v>9.2</x:v>
      </x:c>
      <x:c r="G2396" t="n">
        <x:v>36</x:v>
      </x:c>
      <x:c r="H2396" t="str">
        <x:v>B</x:v>
      </x:c>
      <x:c r="I2396" t="str">
        <x:v>1-3 years</x:v>
      </x:c>
      <x:c r="J2396" t="str">
        <x:v>RENT</x:v>
      </x:c>
      <x:c r="K2396" t="str">
        <x:v>debt_consolidation</x:v>
      </x:c>
      <x:c r="L2396" t="n">
        <x:v>1</x:v>
      </x:c>
      <x:c r="M2396" t="n">
        <x:v>0</x:v>
      </x:c>
      <x:c r="N2396" t="str">
        <x:v>Fully Paid</x:v>
      </x:c>
      <x:c r="O2396" t="str">
        <x:f>IF(D2396="","Unknown",IF(D2396&lt;25000,"&lt;$25k",IF(D2396&lt;50000,"$25k-$50k",IF(D2396&lt;75000,"$50k-$75k",IF(D2396&lt;100000,"$75k-$100k","$100k+")))))</x:f>
        <x:v>&lt;$25k</x:v>
      </x:c>
      <x:c r="P2396" t="str">
        <x:f>IF(E2396="","Unknown",IF(E2396&lt;10,"&lt;10",IF(E2396&lt;20,"10-&lt;20",IF(E2396&lt;25,"20-&lt;25",IF(E2396&lt;35,"25-&lt;35","35+")))))</x:f>
        <x:v>10-&lt;20</x:v>
      </x:c>
    </x:row>
    <x:row r="2397">
      <x:c r="A2397" t="str">
        <x:v>SYN0002396</x:v>
      </x:c>
      <x:c r="B2397" s="12" t="n">
        <x:v>43195</x:v>
      </x:c>
      <x:c r="C2397" s="18" t="n">
        <x:v>13034</x:v>
      </x:c>
      <x:c r="D2397" s="18" t="n">
        <x:v>38729</x:v>
      </x:c>
      <x:c r="E2397" s="18" t="n">
        <x:v>14.92</x:v>
      </x:c>
      <x:c r="F2397" s="18" t="n">
        <x:v>15.54</x:v>
      </x:c>
      <x:c r="G2397" t="n">
        <x:v>36</x:v>
      </x:c>
      <x:c r="H2397" t="str">
        <x:v>C</x:v>
      </x:c>
      <x:c r="I2397" t="str">
        <x:v>10+ years</x:v>
      </x:c>
      <x:c r="J2397" t="str">
        <x:v>OWN</x:v>
      </x:c>
      <x:c r="K2397" t="str">
        <x:v>major_purchase</x:v>
      </x:c>
      <x:c r="L2397" t="n">
        <x:v>1</x:v>
      </x:c>
      <x:c r="M2397" t="n">
        <x:v>0</x:v>
      </x:c>
      <x:c r="N2397" t="str">
        <x:v>Fully Paid</x:v>
      </x:c>
      <x:c r="O2397" t="str">
        <x:f>IF(D2397="","Unknown",IF(D2397&lt;25000,"&lt;$25k",IF(D2397&lt;50000,"$25k-$50k",IF(D2397&lt;75000,"$50k-$75k",IF(D2397&lt;100000,"$75k-$100k","$100k+")))))</x:f>
        <x:v>$25k-$50k</x:v>
      </x:c>
      <x:c r="P2397" t="str">
        <x:f>IF(E2397="","Unknown",IF(E2397&lt;10,"&lt;10",IF(E2397&lt;20,"10-&lt;20",IF(E2397&lt;25,"20-&lt;25",IF(E2397&lt;35,"25-&lt;35","35+")))))</x:f>
        <x:v>10-&lt;20</x:v>
      </x:c>
    </x:row>
    <x:row r="2398">
      <x:c r="A2398" t="str">
        <x:v>SYN0002397</x:v>
      </x:c>
      <x:c r="B2398" s="12" t="n">
        <x:v>42505</x:v>
      </x:c>
      <x:c r="C2398" s="18" t="n">
        <x:v>9373</x:v>
      </x:c>
      <x:c r="D2398" s="18" t="n">
        <x:v>105344</x:v>
      </x:c>
      <x:c r="E2398" s="18" t="n">
        <x:v>26.03</x:v>
      </x:c>
      <x:c r="F2398" s="18" t="n">
        <x:v>23.17</x:v>
      </x:c>
      <x:c r="G2398" t="n">
        <x:v>36</x:v>
      </x:c>
      <x:c r="H2398" t="str">
        <x:v>F</x:v>
      </x:c>
      <x:c r="I2398" t="str">
        <x:v>4-6 years</x:v>
      </x:c>
      <x:c r="J2398" t="str">
        <x:v>RENT</x:v>
      </x:c>
      <x:c r="K2398" t="str">
        <x:v>major_purchase</x:v>
      </x:c>
      <x:c r="L2398" t="n">
        <x:v>0</x:v>
      </x:c>
      <x:c r="M2398" t="n">
        <x:v>0</x:v>
      </x:c>
      <x:c r="N2398" t="str">
        <x:v>Fully Paid</x:v>
      </x:c>
      <x:c r="O2398" t="str">
        <x:f>IF(D2398="","Unknown",IF(D2398&lt;25000,"&lt;$25k",IF(D2398&lt;50000,"$25k-$50k",IF(D2398&lt;75000,"$50k-$75k",IF(D2398&lt;100000,"$75k-$100k","$100k+")))))</x:f>
        <x:v>$100k+</x:v>
      </x:c>
      <x:c r="P2398" t="str">
        <x:f>IF(E2398="","Unknown",IF(E2398&lt;10,"&lt;10",IF(E2398&lt;20,"10-&lt;20",IF(E2398&lt;25,"20-&lt;25",IF(E2398&lt;35,"25-&lt;35","35+")))))</x:f>
        <x:v>25-&lt;35</x:v>
      </x:c>
    </x:row>
    <x:row r="2399">
      <x:c r="A2399" t="str">
        <x:v>SYN0002398</x:v>
      </x:c>
      <x:c r="B2399" s="12" t="n">
        <x:v>43345</x:v>
      </x:c>
      <x:c r="C2399" s="18" t="n">
        <x:v>7628</x:v>
      </x:c>
      <x:c r="D2399" s="18" t="n">
        <x:v>66277</x:v>
      </x:c>
      <x:c r="E2399" s="18" t="n">
        <x:v>16.48</x:v>
      </x:c>
      <x:c r="F2399" s="18" t="n">
        <x:v>14.51</x:v>
      </x:c>
      <x:c r="G2399" t="n">
        <x:v>60</x:v>
      </x:c>
      <x:c r="H2399" t="str">
        <x:v>D</x:v>
      </x:c>
      <x:c r="I2399" t="str">
        <x:v>7-9 years</x:v>
      </x:c>
      <x:c r="J2399" t="str">
        <x:v>MORTGAGE</x:v>
      </x:c>
      <x:c r="K2399" t="str">
        <x:v>other</x:v>
      </x:c>
      <x:c r="L2399" t="n">
        <x:v>0</x:v>
      </x:c>
      <x:c r="M2399" t="n">
        <x:v>1</x:v>
      </x:c>
      <x:c r="N2399" t="str">
        <x:v>Charged Off</x:v>
      </x:c>
      <x:c r="O2399" t="str">
        <x:f>IF(D2399="","Unknown",IF(D2399&lt;25000,"&lt;$25k",IF(D2399&lt;50000,"$25k-$50k",IF(D2399&lt;75000,"$50k-$75k",IF(D2399&lt;100000,"$75k-$100k","$100k+")))))</x:f>
        <x:v>$50k-$75k</x:v>
      </x:c>
      <x:c r="P2399" t="str">
        <x:f>IF(E2399="","Unknown",IF(E2399&lt;10,"&lt;10",IF(E2399&lt;20,"10-&lt;20",IF(E2399&lt;25,"20-&lt;25",IF(E2399&lt;35,"25-&lt;35","35+")))))</x:f>
        <x:v>10-&lt;20</x:v>
      </x:c>
    </x:row>
    <x:row r="2400">
      <x:c r="A2400" t="str">
        <x:v>SYN0002399</x:v>
      </x:c>
      <x:c r="B2400" s="12" t="n">
        <x:v>42145</x:v>
      </x:c>
      <x:c r="C2400" s="18" t="n">
        <x:v>10333</x:v>
      </x:c>
      <x:c r="D2400" s="18" t="n">
        <x:v>51354</x:v>
      </x:c>
      <x:c r="E2400" s="18" t="n">
        <x:v>13.86</x:v>
      </x:c>
      <x:c r="F2400" s="18" t="n">
        <x:v>19.69</x:v>
      </x:c>
      <x:c r="G2400" t="n">
        <x:v>60</x:v>
      </x:c>
      <x:c r="H2400" t="str">
        <x:v>E</x:v>
      </x:c>
      <x:c r="I2400" t="str">
        <x:v>4-6 years</x:v>
      </x:c>
      <x:c r="J2400" t="str">
        <x:v>RENT</x:v>
      </x:c>
      <x:c r="K2400" t="str">
        <x:v>home_improvement</x:v>
      </x:c>
      <x:c r="L2400" t="n">
        <x:v>0</x:v>
      </x:c>
      <x:c r="M2400" t="n">
        <x:v>0</x:v>
      </x:c>
      <x:c r="N2400" t="str">
        <x:v>Fully Paid</x:v>
      </x:c>
      <x:c r="O2400" t="str">
        <x:f>IF(D2400="","Unknown",IF(D2400&lt;25000,"&lt;$25k",IF(D2400&lt;50000,"$25k-$50k",IF(D2400&lt;75000,"$50k-$75k",IF(D2400&lt;100000,"$75k-$100k","$100k+")))))</x:f>
        <x:v>$50k-$75k</x:v>
      </x:c>
      <x:c r="P2400" t="str">
        <x:f>IF(E2400="","Unknown",IF(E2400&lt;10,"&lt;10",IF(E2400&lt;20,"10-&lt;20",IF(E2400&lt;25,"20-&lt;25",IF(E2400&lt;35,"25-&lt;35","35+")))))</x:f>
        <x:v>10-&lt;20</x:v>
      </x:c>
    </x:row>
    <x:row r="2401">
      <x:c r="A2401" t="str">
        <x:v>SYN0002400</x:v>
      </x:c>
      <x:c r="B2401" s="12" t="n">
        <x:v>41365</x:v>
      </x:c>
      <x:c r="C2401" s="18" t="n">
        <x:v>8848</x:v>
      </x:c>
      <x:c r="D2401" s="18" t="n">
        <x:v>43959</x:v>
      </x:c>
      <x:c r="E2401" s="18" t="n">
        <x:v>12.39</x:v>
      </x:c>
      <x:c r="F2401" s="18" t="n">
        <x:v>6.14</x:v>
      </x:c>
      <x:c r="G2401" t="n">
        <x:v>36</x:v>
      </x:c>
      <x:c r="H2401" t="str">
        <x:v>B</x:v>
      </x:c>
      <x:c r="I2401" t="str">
        <x:v>&lt;1 year</x:v>
      </x:c>
      <x:c r="J2401" t="str">
        <x:v>RENT</x:v>
      </x:c>
      <x:c r="K2401" t="str">
        <x:v>debt_consolidation</x:v>
      </x:c>
      <x:c r="L2401" t="n">
        <x:v>0</x:v>
      </x:c>
      <x:c r="M2401" t="n">
        <x:v>0</x:v>
      </x:c>
      <x:c r="N2401" t="str">
        <x:v>Fully Paid</x:v>
      </x:c>
      <x:c r="O2401" t="str">
        <x:f>IF(D2401="","Unknown",IF(D2401&lt;25000,"&lt;$25k",IF(D2401&lt;50000,"$25k-$50k",IF(D2401&lt;75000,"$50k-$75k",IF(D2401&lt;100000,"$75k-$100k","$100k+")))))</x:f>
        <x:v>$25k-$50k</x:v>
      </x:c>
      <x:c r="P2401" t="str">
        <x:f>IF(E2401="","Unknown",IF(E2401&lt;10,"&lt;10",IF(E2401&lt;20,"10-&lt;20",IF(E2401&lt;25,"20-&lt;25",IF(E2401&lt;35,"25-&lt;35","35+")))))</x:f>
        <x:v>10-&lt;20</x:v>
      </x:c>
    </x:row>
    <x:row r="2402">
      <x:c r="A2402" t="str">
        <x:v>SYN0002401</x:v>
      </x:c>
      <x:c r="B2402" s="12" t="n">
        <x:v>41545</x:v>
      </x:c>
      <x:c r="C2402" s="18" t="n">
        <x:v>7574</x:v>
      </x:c>
      <x:c r="D2402" s="18" t="n">
        <x:v>38413</x:v>
      </x:c>
      <x:c r="E2402" s="18" t="n">
        <x:v>16.13</x:v>
      </x:c>
      <x:c r="F2402" s="18" t="n">
        <x:v>25.45</x:v>
      </x:c>
      <x:c r="G2402" t="n">
        <x:v>36</x:v>
      </x:c>
      <x:c r="H2402" t="str">
        <x:v>G</x:v>
      </x:c>
      <x:c r="I2402" t="str">
        <x:v>10+ years</x:v>
      </x:c>
      <x:c r="J2402" t="str">
        <x:v>RENT</x:v>
      </x:c>
      <x:c r="K2402" t="str">
        <x:v>home_improvement</x:v>
      </x:c>
      <x:c r="L2402" t="n">
        <x:v>0</x:v>
      </x:c>
      <x:c r="M2402" t="n">
        <x:v>0</x:v>
      </x:c>
      <x:c r="N2402" t="str">
        <x:v>Fully Paid</x:v>
      </x:c>
      <x:c r="O2402" t="str">
        <x:f>IF(D2402="","Unknown",IF(D2402&lt;25000,"&lt;$25k",IF(D2402&lt;50000,"$25k-$50k",IF(D2402&lt;75000,"$50k-$75k",IF(D2402&lt;100000,"$75k-$100k","$100k+")))))</x:f>
        <x:v>$25k-$50k</x:v>
      </x:c>
      <x:c r="P2402" t="str">
        <x:f>IF(E2402="","Unknown",IF(E2402&lt;10,"&lt;10",IF(E2402&lt;20,"10-&lt;20",IF(E2402&lt;25,"20-&lt;25",IF(E2402&lt;35,"25-&lt;35","35+")))))</x:f>
        <x:v>10-&lt;20</x:v>
      </x:c>
    </x:row>
    <x:row r="2403">
      <x:c r="A2403" t="str">
        <x:v>SYN0002402</x:v>
      </x:c>
      <x:c r="B2403" s="12" t="n">
        <x:v>41395</x:v>
      </x:c>
      <x:c r="C2403" s="18" t="n">
        <x:v>14138</x:v>
      </x:c>
      <x:c r="D2403" s="18" t="n">
        <x:v>30716</x:v>
      </x:c>
      <x:c r="E2403" s="18" t="n">
        <x:v>18.45</x:v>
      </x:c>
      <x:c r="F2403" s="18" t="n">
        <x:v>17.3</x:v>
      </x:c>
      <x:c r="G2403" t="n">
        <x:v>36</x:v>
      </x:c>
      <x:c r="H2403" t="str">
        <x:v>D</x:v>
      </x:c>
      <x:c r="I2403" t="str">
        <x:v>&lt;1 year</x:v>
      </x:c>
      <x:c r="J2403" t="str">
        <x:v>RENT</x:v>
      </x:c>
      <x:c r="K2403" t="str">
        <x:v>credit_card</x:v>
      </x:c>
      <x:c r="L2403" t="n">
        <x:v>1</x:v>
      </x:c>
      <x:c r="M2403" t="n">
        <x:v>0</x:v>
      </x:c>
      <x:c r="N2403" t="str">
        <x:v>Fully Paid</x:v>
      </x:c>
      <x:c r="O2403" t="str">
        <x:f>IF(D2403="","Unknown",IF(D2403&lt;25000,"&lt;$25k",IF(D2403&lt;50000,"$25k-$50k",IF(D2403&lt;75000,"$50k-$75k",IF(D2403&lt;100000,"$75k-$100k","$100k+")))))</x:f>
        <x:v>$25k-$50k</x:v>
      </x:c>
      <x:c r="P2403" t="str">
        <x:f>IF(E2403="","Unknown",IF(E2403&lt;10,"&lt;10",IF(E2403&lt;20,"10-&lt;20",IF(E2403&lt;25,"20-&lt;25",IF(E2403&lt;35,"25-&lt;35","35+")))))</x:f>
        <x:v>10-&lt;20</x:v>
      </x:c>
    </x:row>
    <x:row r="2404">
      <x:c r="A2404" t="str">
        <x:v>SYN0002403</x:v>
      </x:c>
      <x:c r="B2404" s="12" t="n">
        <x:v>42595</x:v>
      </x:c>
      <x:c r="C2404" s="18" t="n">
        <x:v>25646</x:v>
      </x:c>
      <x:c r="D2404" s="18" t="n">
        <x:v>74228</x:v>
      </x:c>
      <x:c r="E2404" s="18" t="n">
        <x:v>17.66</x:v>
      </x:c>
      <x:c r="F2404" s="18" t="n">
        <x:v>15.25</x:v>
      </x:c>
      <x:c r="G2404" t="n">
        <x:v>36</x:v>
      </x:c>
      <x:c r="H2404" t="str">
        <x:v>D</x:v>
      </x:c>
      <x:c r="I2404" t="str">
        <x:v>7-9 years</x:v>
      </x:c>
      <x:c r="J2404" t="str">
        <x:v>MORTGAGE</x:v>
      </x:c>
      <x:c r="K2404" t="str">
        <x:v>credit_card</x:v>
      </x:c>
      <x:c r="L2404" t="n">
        <x:v>1</x:v>
      </x:c>
      <x:c r="M2404" t="n">
        <x:v>0</x:v>
      </x:c>
      <x:c r="N2404" t="str">
        <x:v>Fully Paid</x:v>
      </x:c>
      <x:c r="O2404" t="str">
        <x:f>IF(D2404="","Unknown",IF(D2404&lt;25000,"&lt;$25k",IF(D2404&lt;50000,"$25k-$50k",IF(D2404&lt;75000,"$50k-$75k",IF(D2404&lt;100000,"$75k-$100k","$100k+")))))</x:f>
        <x:v>$50k-$75k</x:v>
      </x:c>
      <x:c r="P2404" t="str">
        <x:f>IF(E2404="","Unknown",IF(E2404&lt;10,"&lt;10",IF(E2404&lt;20,"10-&lt;20",IF(E2404&lt;25,"20-&lt;25",IF(E2404&lt;35,"25-&lt;35","35+")))))</x:f>
        <x:v>10-&lt;20</x:v>
      </x:c>
    </x:row>
    <x:row r="2405">
      <x:c r="A2405" t="str">
        <x:v>SYN0002404</x:v>
      </x:c>
      <x:c r="B2405" s="12" t="n">
        <x:v>42145</x:v>
      </x:c>
      <x:c r="C2405" s="18" t="n">
        <x:v>8375</x:v>
      </x:c>
      <x:c r="D2405" s="18" t="n">
        <x:v>12000</x:v>
      </x:c>
      <x:c r="E2405" s="18" t="n">
        <x:v>12.69</x:v>
      </x:c>
      <x:c r="F2405" s="18" t="n">
        <x:v>5.72</x:v>
      </x:c>
      <x:c r="G2405" t="n">
        <x:v>36</x:v>
      </x:c>
      <x:c r="H2405" t="str">
        <x:v>A</x:v>
      </x:c>
      <x:c r="I2405" t="str">
        <x:v>10+ years</x:v>
      </x:c>
      <x:c r="J2405" t="str">
        <x:v>MORTGAGE</x:v>
      </x:c>
      <x:c r="K2405" t="str">
        <x:v>debt_consolidation</x:v>
      </x:c>
      <x:c r="L2405" t="n">
        <x:v>0</x:v>
      </x:c>
      <x:c r="M2405" t="n">
        <x:v>0</x:v>
      </x:c>
      <x:c r="N2405" t="str">
        <x:v>Fully Paid</x:v>
      </x:c>
      <x:c r="O2405" t="str">
        <x:f>IF(D2405="","Unknown",IF(D2405&lt;25000,"&lt;$25k",IF(D2405&lt;50000,"$25k-$50k",IF(D2405&lt;75000,"$50k-$75k",IF(D2405&lt;100000,"$75k-$100k","$100k+")))))</x:f>
        <x:v>&lt;$25k</x:v>
      </x:c>
      <x:c r="P2405" t="str">
        <x:f>IF(E2405="","Unknown",IF(E2405&lt;10,"&lt;10",IF(E2405&lt;20,"10-&lt;20",IF(E2405&lt;25,"20-&lt;25",IF(E2405&lt;35,"25-&lt;35","35+")))))</x:f>
        <x:v>10-&lt;20</x:v>
      </x:c>
    </x:row>
    <x:row r="2406">
      <x:c r="A2406" t="str">
        <x:v>SYN0002405</x:v>
      </x:c>
      <x:c r="B2406" s="12" t="n">
        <x:v>42625</x:v>
      </x:c>
      <x:c r="C2406" s="18" t="n">
        <x:v>14537</x:v>
      </x:c>
      <x:c r="D2406" s="18" t="n">
        <x:v>108692</x:v>
      </x:c>
      <x:c r="E2406" s="18" t="n">
        <x:v>22.68</x:v>
      </x:c>
      <x:c r="F2406" s="18" t="n">
        <x:v>17.64</x:v>
      </x:c>
      <x:c r="G2406" t="n">
        <x:v>36</x:v>
      </x:c>
      <x:c r="H2406" t="str">
        <x:v>E</x:v>
      </x:c>
      <x:c r="I2406" t="str">
        <x:v>10+ years</x:v>
      </x:c>
      <x:c r="J2406" t="str">
        <x:v>RENT</x:v>
      </x:c>
      <x:c r="K2406" t="str">
        <x:v>debt_consolidation</x:v>
      </x:c>
      <x:c r="L2406" t="n">
        <x:v>1</x:v>
      </x:c>
      <x:c r="M2406" t="n">
        <x:v>0</x:v>
      </x:c>
      <x:c r="N2406" t="str">
        <x:v>Fully Paid</x:v>
      </x:c>
      <x:c r="O2406" t="str">
        <x:f>IF(D2406="","Unknown",IF(D2406&lt;25000,"&lt;$25k",IF(D2406&lt;50000,"$25k-$50k",IF(D2406&lt;75000,"$50k-$75k",IF(D2406&lt;100000,"$75k-$100k","$100k+")))))</x:f>
        <x:v>$100k+</x:v>
      </x:c>
      <x:c r="P2406" t="str">
        <x:f>IF(E2406="","Unknown",IF(E2406&lt;10,"&lt;10",IF(E2406&lt;20,"10-&lt;20",IF(E2406&lt;25,"20-&lt;25",IF(E2406&lt;35,"25-&lt;35","35+")))))</x:f>
        <x:v>20-&lt;25</x:v>
      </x:c>
    </x:row>
    <x:row r="2407">
      <x:c r="A2407" t="str">
        <x:v>SYN0002406</x:v>
      </x:c>
      <x:c r="B2407" s="12" t="n">
        <x:v>42115</x:v>
      </x:c>
      <x:c r="C2407" s="18" t="n">
        <x:v>15258</x:v>
      </x:c>
      <x:c r="D2407" s="18" t="n">
        <x:v>48066</x:v>
      </x:c>
      <x:c r="E2407" s="18" t="n">
        <x:v>16.92</x:v>
      </x:c>
      <x:c r="F2407" s="18" t="n">
        <x:v>11</x:v>
      </x:c>
      <x:c r="G2407" t="n">
        <x:v>36</x:v>
      </x:c>
      <x:c r="H2407" t="str">
        <x:v>C</x:v>
      </x:c>
      <x:c r="I2407" t="str">
        <x:v>7-9 years</x:v>
      </x:c>
      <x:c r="J2407" t="str">
        <x:v>MORTGAGE</x:v>
      </x:c>
      <x:c r="K2407" t="str">
        <x:v>debt_consolidation</x:v>
      </x:c>
      <x:c r="L2407" t="n">
        <x:v>1</x:v>
      </x:c>
      <x:c r="M2407" t="n">
        <x:v>0</x:v>
      </x:c>
      <x:c r="N2407" t="str">
        <x:v>Fully Paid</x:v>
      </x:c>
      <x:c r="O2407" t="str">
        <x:f>IF(D2407="","Unknown",IF(D2407&lt;25000,"&lt;$25k",IF(D2407&lt;50000,"$25k-$50k",IF(D2407&lt;75000,"$50k-$75k",IF(D2407&lt;100000,"$75k-$100k","$100k+")))))</x:f>
        <x:v>$25k-$50k</x:v>
      </x:c>
      <x:c r="P2407" t="str">
        <x:f>IF(E2407="","Unknown",IF(E2407&lt;10,"&lt;10",IF(E2407&lt;20,"10-&lt;20",IF(E2407&lt;25,"20-&lt;25",IF(E2407&lt;35,"25-&lt;35","35+")))))</x:f>
        <x:v>10-&lt;20</x:v>
      </x:c>
    </x:row>
    <x:row r="2408">
      <x:c r="A2408" t="str">
        <x:v>SYN0002407</x:v>
      </x:c>
      <x:c r="B2408" s="12" t="n">
        <x:v>41305</x:v>
      </x:c>
      <x:c r="C2408" s="18" t="n">
        <x:v>12952</x:v>
      </x:c>
      <x:c r="D2408" s="18" t="n">
        <x:v>21881</x:v>
      </x:c>
      <x:c r="E2408" s="18" t="n">
        <x:v>2.54</x:v>
      </x:c>
      <x:c r="F2408" s="18" t="n">
        <x:v>15.23</x:v>
      </x:c>
      <x:c r="G2408" t="n">
        <x:v>60</x:v>
      </x:c>
      <x:c r="H2408" t="str">
        <x:v>D</x:v>
      </x:c>
      <x:c r="I2408" t="str">
        <x:v>4-6 years</x:v>
      </x:c>
      <x:c r="J2408" t="str">
        <x:v>RENT</x:v>
      </x:c>
      <x:c r="K2408" t="str">
        <x:v>debt_consolidation</x:v>
      </x:c>
      <x:c r="L2408" t="n">
        <x:v>1</x:v>
      </x:c>
      <x:c r="M2408" t="n">
        <x:v>0</x:v>
      </x:c>
      <x:c r="N2408" t="str">
        <x:v>Fully Paid</x:v>
      </x:c>
      <x:c r="O2408" t="str">
        <x:f>IF(D2408="","Unknown",IF(D2408&lt;25000,"&lt;$25k",IF(D2408&lt;50000,"$25k-$50k",IF(D2408&lt;75000,"$50k-$75k",IF(D2408&lt;100000,"$75k-$100k","$100k+")))))</x:f>
        <x:v>&lt;$25k</x:v>
      </x:c>
      <x:c r="P2408" t="str">
        <x:f>IF(E2408="","Unknown",IF(E2408&lt;10,"&lt;10",IF(E2408&lt;20,"10-&lt;20",IF(E2408&lt;25,"20-&lt;25",IF(E2408&lt;35,"25-&lt;35","35+")))))</x:f>
        <x:v>&lt;10</x:v>
      </x:c>
    </x:row>
    <x:row r="2409">
      <x:c r="A2409" t="str">
        <x:v>SYN0002408</x:v>
      </x:c>
      <x:c r="B2409" s="12" t="n">
        <x:v>41665</x:v>
      </x:c>
      <x:c r="C2409" s="18" t="n">
        <x:v>17219</x:v>
      </x:c>
      <x:c r="D2409" s="18" t="n">
        <x:v>50431</x:v>
      </x:c>
      <x:c r="E2409" s="18" t="n">
        <x:v>8.94</x:v>
      </x:c>
      <x:c r="F2409" s="18" t="n">
        <x:v>9.63</x:v>
      </x:c>
      <x:c r="G2409" t="n">
        <x:v>36</x:v>
      </x:c>
      <x:c r="H2409" t="str">
        <x:v>B</x:v>
      </x:c>
      <x:c r="I2409" t="str">
        <x:v>10+ years</x:v>
      </x:c>
      <x:c r="J2409" t="str">
        <x:v>RENT</x:v>
      </x:c>
      <x:c r="K2409" t="str">
        <x:v>credit_card</x:v>
      </x:c>
      <x:c r="L2409" t="n">
        <x:v>0</x:v>
      </x:c>
      <x:c r="M2409" t="n">
        <x:v>0</x:v>
      </x:c>
      <x:c r="N2409" t="str">
        <x:v>Fully Paid</x:v>
      </x:c>
      <x:c r="O2409" t="str">
        <x:f>IF(D2409="","Unknown",IF(D2409&lt;25000,"&lt;$25k",IF(D2409&lt;50000,"$25k-$50k",IF(D2409&lt;75000,"$50k-$75k",IF(D2409&lt;100000,"$75k-$100k","$100k+")))))</x:f>
        <x:v>$50k-$75k</x:v>
      </x:c>
      <x:c r="P2409" t="str">
        <x:f>IF(E2409="","Unknown",IF(E2409&lt;10,"&lt;10",IF(E2409&lt;20,"10-&lt;20",IF(E2409&lt;25,"20-&lt;25",IF(E2409&lt;35,"25-&lt;35","35+")))))</x:f>
        <x:v>&lt;10</x:v>
      </x:c>
    </x:row>
    <x:row r="2410">
      <x:c r="A2410" t="str">
        <x:v>SYN0002409</x:v>
      </x:c>
      <x:c r="B2410" s="12" t="n">
        <x:v>42295</x:v>
      </x:c>
      <x:c r="C2410" s="18" t="n">
        <x:v>10040</x:v>
      </x:c>
      <x:c r="D2410" s="18" t="n">
        <x:v>124824</x:v>
      </x:c>
      <x:c r="E2410" s="18" t="n">
        <x:v>6.64</x:v>
      </x:c>
      <x:c r="F2410" s="18" t="n">
        <x:v>11.66</x:v>
      </x:c>
      <x:c r="G2410" t="n">
        <x:v>36</x:v>
      </x:c>
      <x:c r="H2410" t="str">
        <x:v>C</x:v>
      </x:c>
      <x:c r="I2410" t="str">
        <x:v>1-3 years</x:v>
      </x:c>
      <x:c r="J2410" t="str">
        <x:v>RENT</x:v>
      </x:c>
      <x:c r="K2410" t="str">
        <x:v>credit_card</x:v>
      </x:c>
      <x:c r="L2410" t="n">
        <x:v>0</x:v>
      </x:c>
      <x:c r="M2410" t="n">
        <x:v>0</x:v>
      </x:c>
      <x:c r="N2410" t="str">
        <x:v>Fully Paid</x:v>
      </x:c>
      <x:c r="O2410" t="str">
        <x:f>IF(D2410="","Unknown",IF(D2410&lt;25000,"&lt;$25k",IF(D2410&lt;50000,"$25k-$50k",IF(D2410&lt;75000,"$50k-$75k",IF(D2410&lt;100000,"$75k-$100k","$100k+")))))</x:f>
        <x:v>$100k+</x:v>
      </x:c>
      <x:c r="P2410" t="str">
        <x:f>IF(E2410="","Unknown",IF(E2410&lt;10,"&lt;10",IF(E2410&lt;20,"10-&lt;20",IF(E2410&lt;25,"20-&lt;25",IF(E2410&lt;35,"25-&lt;35","35+")))))</x:f>
        <x:v>&lt;10</x:v>
      </x:c>
    </x:row>
    <x:row r="2411">
      <x:c r="A2411" t="str">
        <x:v>SYN0002410</x:v>
      </x:c>
      <x:c r="B2411" s="12" t="n">
        <x:v>42265</x:v>
      </x:c>
      <x:c r="C2411" s="18" t="n">
        <x:v>12484</x:v>
      </x:c>
      <x:c r="D2411" s="18" t="n">
        <x:v>38362</x:v>
      </x:c>
      <x:c r="E2411" s="18" t="n">
        <x:v>24.86</x:v>
      </x:c>
      <x:c r="F2411" s="18" t="n">
        <x:v>12.73</x:v>
      </x:c>
      <x:c r="G2411" t="n">
        <x:v>36</x:v>
      </x:c>
      <x:c r="H2411" t="str">
        <x:v>D</x:v>
      </x:c>
      <x:c r="I2411" t="str">
        <x:v>7-9 years</x:v>
      </x:c>
      <x:c r="J2411" t="str">
        <x:v>MORTGAGE</x:v>
      </x:c>
      <x:c r="K2411" t="str">
        <x:v>credit_card</x:v>
      </x:c>
      <x:c r="L2411" t="n">
        <x:v>0</x:v>
      </x:c>
      <x:c r="M2411" t="n">
        <x:v>0</x:v>
      </x:c>
      <x:c r="N2411" t="str">
        <x:v>Fully Paid</x:v>
      </x:c>
      <x:c r="O2411" t="str">
        <x:f>IF(D2411="","Unknown",IF(D2411&lt;25000,"&lt;$25k",IF(D2411&lt;50000,"$25k-$50k",IF(D2411&lt;75000,"$50k-$75k",IF(D2411&lt;100000,"$75k-$100k","$100k+")))))</x:f>
        <x:v>$25k-$50k</x:v>
      </x:c>
      <x:c r="P2411" t="str">
        <x:f>IF(E2411="","Unknown",IF(E2411&lt;10,"&lt;10",IF(E2411&lt;20,"10-&lt;20",IF(E2411&lt;25,"20-&lt;25",IF(E2411&lt;35,"25-&lt;35","35+")))))</x:f>
        <x:v>20-&lt;25</x:v>
      </x:c>
    </x:row>
    <x:row r="2412">
      <x:c r="A2412" t="str">
        <x:v>SYN0002411</x:v>
      </x:c>
      <x:c r="B2412" s="12" t="n">
        <x:v>43135</x:v>
      </x:c>
      <x:c r="C2412" s="18" t="n">
        <x:v>8915</x:v>
      </x:c>
      <x:c r="D2412" s="18" t="n">
        <x:v>57190</x:v>
      </x:c>
      <x:c r="E2412" s="18" t="n">
        <x:v>26.21</x:v>
      </x:c>
      <x:c r="F2412" s="18" t="n">
        <x:v>15.73</x:v>
      </x:c>
      <x:c r="G2412" t="n">
        <x:v>36</x:v>
      </x:c>
      <x:c r="H2412" t="str">
        <x:v>E</x:v>
      </x:c>
      <x:c r="I2412" t="str">
        <x:v>4-6 years</x:v>
      </x:c>
      <x:c r="J2412" t="str">
        <x:v>RENT</x:v>
      </x:c>
      <x:c r="K2412" t="str">
        <x:v>debt_consolidation</x:v>
      </x:c>
      <x:c r="L2412" t="n">
        <x:v>0</x:v>
      </x:c>
      <x:c r="M2412" t="n">
        <x:v>0</x:v>
      </x:c>
      <x:c r="N2412" t="str">
        <x:v>Fully Paid</x:v>
      </x:c>
      <x:c r="O2412" t="str">
        <x:f>IF(D2412="","Unknown",IF(D2412&lt;25000,"&lt;$25k",IF(D2412&lt;50000,"$25k-$50k",IF(D2412&lt;75000,"$50k-$75k",IF(D2412&lt;100000,"$75k-$100k","$100k+")))))</x:f>
        <x:v>$50k-$75k</x:v>
      </x:c>
      <x:c r="P2412" t="str">
        <x:f>IF(E2412="","Unknown",IF(E2412&lt;10,"&lt;10",IF(E2412&lt;20,"10-&lt;20",IF(E2412&lt;25,"20-&lt;25",IF(E2412&lt;35,"25-&lt;35","35+")))))</x:f>
        <x:v>25-&lt;35</x:v>
      </x:c>
    </x:row>
    <x:row r="2413">
      <x:c r="A2413" t="str">
        <x:v>SYN0002412</x:v>
      </x:c>
      <x:c r="B2413" s="12" t="n">
        <x:v>41935</x:v>
      </x:c>
      <x:c r="C2413" s="18" t="n">
        <x:v>14586</x:v>
      </x:c>
      <x:c r="D2413" s="18" t="n">
        <x:v>171184</x:v>
      </x:c>
      <x:c r="E2413" s="18" t="n">
        <x:v>21.46</x:v>
      </x:c>
      <x:c r="F2413" s="18" t="n">
        <x:v>8.78</x:v>
      </x:c>
      <x:c r="G2413" t="n">
        <x:v>36</x:v>
      </x:c>
      <x:c r="H2413" t="str">
        <x:v>B</x:v>
      </x:c>
      <x:c r="I2413" t="str">
        <x:v>4-6 years</x:v>
      </x:c>
      <x:c r="J2413" t="str">
        <x:v>MORTGAGE</x:v>
      </x:c>
      <x:c r="K2413" t="str">
        <x:v>debt_consolidation</x:v>
      </x:c>
      <x:c r="L2413" t="n">
        <x:v>1</x:v>
      </x:c>
      <x:c r="M2413" t="n">
        <x:v>0</x:v>
      </x:c>
      <x:c r="N2413" t="str">
        <x:v>Fully Paid</x:v>
      </x:c>
      <x:c r="O2413" t="str">
        <x:f>IF(D2413="","Unknown",IF(D2413&lt;25000,"&lt;$25k",IF(D2413&lt;50000,"$25k-$50k",IF(D2413&lt;75000,"$50k-$75k",IF(D2413&lt;100000,"$75k-$100k","$100k+")))))</x:f>
        <x:v>$100k+</x:v>
      </x:c>
      <x:c r="P2413" t="str">
        <x:f>IF(E2413="","Unknown",IF(E2413&lt;10,"&lt;10",IF(E2413&lt;20,"10-&lt;20",IF(E2413&lt;25,"20-&lt;25",IF(E2413&lt;35,"25-&lt;35","35+")))))</x:f>
        <x:v>20-&lt;25</x:v>
      </x:c>
    </x:row>
    <x:row r="2414">
      <x:c r="A2414" t="str">
        <x:v>SYN0002413</x:v>
      </x:c>
      <x:c r="B2414" s="12" t="n">
        <x:v>41635</x:v>
      </x:c>
      <x:c r="C2414" s="18" t="n">
        <x:v>14045</x:v>
      </x:c>
      <x:c r="D2414" s="18" t="n">
        <x:v>91073</x:v>
      </x:c>
      <x:c r="E2414" s="18" t="n">
        <x:v>4.16</x:v>
      </x:c>
      <x:c r="F2414" s="18" t="n">
        <x:v>6.74</x:v>
      </x:c>
      <x:c r="G2414" t="n">
        <x:v>36</x:v>
      </x:c>
      <x:c r="H2414" t="str">
        <x:v>A</x:v>
      </x:c>
      <x:c r="I2414" t="str">
        <x:v>4-6 years</x:v>
      </x:c>
      <x:c r="J2414" t="str">
        <x:v>OWN</x:v>
      </x:c>
      <x:c r="K2414" t="str">
        <x:v>debt_consolidation</x:v>
      </x:c>
      <x:c r="L2414" t="n">
        <x:v>0</x:v>
      </x:c>
      <x:c r="M2414" t="n">
        <x:v>0</x:v>
      </x:c>
      <x:c r="N2414" t="str">
        <x:v>Fully Paid</x:v>
      </x:c>
      <x:c r="O2414" t="str">
        <x:f>IF(D2414="","Unknown",IF(D2414&lt;25000,"&lt;$25k",IF(D2414&lt;50000,"$25k-$50k",IF(D2414&lt;75000,"$50k-$75k",IF(D2414&lt;100000,"$75k-$100k","$100k+")))))</x:f>
        <x:v>$75k-$100k</x:v>
      </x:c>
      <x:c r="P2414" t="str">
        <x:f>IF(E2414="","Unknown",IF(E2414&lt;10,"&lt;10",IF(E2414&lt;20,"10-&lt;20",IF(E2414&lt;25,"20-&lt;25",IF(E2414&lt;35,"25-&lt;35","35+")))))</x:f>
        <x:v>&lt;10</x:v>
      </x:c>
    </x:row>
    <x:row r="2415">
      <x:c r="A2415" t="str">
        <x:v>SYN0002414</x:v>
      </x:c>
      <x:c r="B2415" s="12" t="n">
        <x:v>41305</x:v>
      </x:c>
      <x:c r="C2415" s="18" t="n">
        <x:v>10591</x:v>
      </x:c>
      <x:c r="D2415" s="18" t="n">
        <x:v>67718</x:v>
      </x:c>
      <x:c r="E2415" s="18" t="n">
        <x:v>8.81</x:v>
      </x:c>
      <x:c r="F2415" s="18" t="n">
        <x:v>10.98</x:v>
      </x:c>
      <x:c r="G2415" t="n">
        <x:v>60</x:v>
      </x:c>
      <x:c r="H2415" t="str">
        <x:v>C</x:v>
      </x:c>
      <x:c r="I2415" t="str">
        <x:v>10+ years</x:v>
      </x:c>
      <x:c r="J2415" t="str">
        <x:v>RENT</x:v>
      </x:c>
      <x:c r="K2415" t="str">
        <x:v>major_purchase</x:v>
      </x:c>
      <x:c r="L2415" t="n">
        <x:v>1</x:v>
      </x:c>
      <x:c r="M2415" t="n">
        <x:v>1</x:v>
      </x:c>
      <x:c r="N2415" t="str">
        <x:v>Charged Off</x:v>
      </x:c>
      <x:c r="O2415" t="str">
        <x:f>IF(D2415="","Unknown",IF(D2415&lt;25000,"&lt;$25k",IF(D2415&lt;50000,"$25k-$50k",IF(D2415&lt;75000,"$50k-$75k",IF(D2415&lt;100000,"$75k-$100k","$100k+")))))</x:f>
        <x:v>$50k-$75k</x:v>
      </x:c>
      <x:c r="P2415" t="str">
        <x:f>IF(E2415="","Unknown",IF(E2415&lt;10,"&lt;10",IF(E2415&lt;20,"10-&lt;20",IF(E2415&lt;25,"20-&lt;25",IF(E2415&lt;35,"25-&lt;35","35+")))))</x:f>
        <x:v>&lt;10</x:v>
      </x:c>
    </x:row>
    <x:row r="2416">
      <x:c r="A2416" t="str">
        <x:v>SYN0002415</x:v>
      </x:c>
      <x:c r="B2416" s="12" t="n">
        <x:v>41905</x:v>
      </x:c>
      <x:c r="C2416" s="18" t="n">
        <x:v>9067</x:v>
      </x:c>
      <x:c r="D2416" s="18" t="n">
        <x:v>118550</x:v>
      </x:c>
      <x:c r="E2416" s="18" t="n">
        <x:v>26.1</x:v>
      </x:c>
      <x:c r="F2416" s="18" t="n">
        <x:v>11.5</x:v>
      </x:c>
      <x:c r="G2416" t="n">
        <x:v>36</x:v>
      </x:c>
      <x:c r="H2416" t="str">
        <x:v>C</x:v>
      </x:c>
      <x:c r="I2416" t="str">
        <x:v>1-3 years</x:v>
      </x:c>
      <x:c r="J2416" t="str">
        <x:v>OWN</x:v>
      </x:c>
      <x:c r="K2416" t="str">
        <x:v>home_improvement</x:v>
      </x:c>
      <x:c r="L2416" t="n">
        <x:v>0</x:v>
      </x:c>
      <x:c r="M2416" t="n">
        <x:v>1</x:v>
      </x:c>
      <x:c r="N2416" t="str">
        <x:v>Charged Off</x:v>
      </x:c>
      <x:c r="O2416" t="str">
        <x:f>IF(D2416="","Unknown",IF(D2416&lt;25000,"&lt;$25k",IF(D2416&lt;50000,"$25k-$50k",IF(D2416&lt;75000,"$50k-$75k",IF(D2416&lt;100000,"$75k-$100k","$100k+")))))</x:f>
        <x:v>$100k+</x:v>
      </x:c>
      <x:c r="P2416" t="str">
        <x:f>IF(E2416="","Unknown",IF(E2416&lt;10,"&lt;10",IF(E2416&lt;20,"10-&lt;20",IF(E2416&lt;25,"20-&lt;25",IF(E2416&lt;35,"25-&lt;35","35+")))))</x:f>
        <x:v>25-&lt;35</x:v>
      </x:c>
    </x:row>
    <x:row r="2417">
      <x:c r="A2417" t="str">
        <x:v>SYN0002416</x:v>
      </x:c>
      <x:c r="B2417" s="12" t="n">
        <x:v>42745</x:v>
      </x:c>
      <x:c r="C2417" s="18" t="n">
        <x:v>9106</x:v>
      </x:c>
      <x:c r="D2417" s="18" t="n">
        <x:v>49927</x:v>
      </x:c>
      <x:c r="E2417" s="18" t="n">
        <x:v>21.01</x:v>
      </x:c>
      <x:c r="F2417" s="18" t="n">
        <x:v>13.16</x:v>
      </x:c>
      <x:c r="G2417" t="n">
        <x:v>36</x:v>
      </x:c>
      <x:c r="H2417" t="str">
        <x:v>D</x:v>
      </x:c>
      <x:c r="I2417" t="str">
        <x:v>&lt;1 year</x:v>
      </x:c>
      <x:c r="J2417" t="str">
        <x:v>RENT</x:v>
      </x:c>
      <x:c r="K2417" t="str">
        <x:v>home_improvement</x:v>
      </x:c>
      <x:c r="L2417" t="n">
        <x:v>1</x:v>
      </x:c>
      <x:c r="M2417" t="n">
        <x:v>0</x:v>
      </x:c>
      <x:c r="N2417" t="str">
        <x:v>Fully Paid</x:v>
      </x:c>
      <x:c r="O2417" t="str">
        <x:f>IF(D2417="","Unknown",IF(D2417&lt;25000,"&lt;$25k",IF(D2417&lt;50000,"$25k-$50k",IF(D2417&lt;75000,"$50k-$75k",IF(D2417&lt;100000,"$75k-$100k","$100k+")))))</x:f>
        <x:v>$25k-$50k</x:v>
      </x:c>
      <x:c r="P2417" t="str">
        <x:f>IF(E2417="","Unknown",IF(E2417&lt;10,"&lt;10",IF(E2417&lt;20,"10-&lt;20",IF(E2417&lt;25,"20-&lt;25",IF(E2417&lt;35,"25-&lt;35","35+")))))</x:f>
        <x:v>20-&lt;25</x:v>
      </x:c>
    </x:row>
    <x:row r="2418">
      <x:c r="A2418" t="str">
        <x:v>SYN0002417</x:v>
      </x:c>
      <x:c r="B2418" s="12" t="n">
        <x:v>43315</x:v>
      </x:c>
      <x:c r="C2418" s="18" t="n">
        <x:v>6324</x:v>
      </x:c>
      <x:c r="D2418" s="18" t="n">
        <x:v>46598</x:v>
      </x:c>
      <x:c r="E2418" s="18" t="n">
        <x:v>0</x:v>
      </x:c>
      <x:c r="F2418" s="18" t="n">
        <x:v>5.98</x:v>
      </x:c>
      <x:c r="G2418" t="n">
        <x:v>60</x:v>
      </x:c>
      <x:c r="H2418" t="str">
        <x:v>A</x:v>
      </x:c>
      <x:c r="I2418" t="str">
        <x:v>7-9 years</x:v>
      </x:c>
      <x:c r="J2418" t="str">
        <x:v>MORTGAGE</x:v>
      </x:c>
      <x:c r="K2418" t="str">
        <x:v>debt_consolidation</x:v>
      </x:c>
      <x:c r="L2418" t="n">
        <x:v>0</x:v>
      </x:c>
      <x:c r="M2418" t="n">
        <x:v>0</x:v>
      </x:c>
      <x:c r="N2418" t="str">
        <x:v>Fully Paid</x:v>
      </x:c>
      <x:c r="O2418" t="str">
        <x:f>IF(D2418="","Unknown",IF(D2418&lt;25000,"&lt;$25k",IF(D2418&lt;50000,"$25k-$50k",IF(D2418&lt;75000,"$50k-$75k",IF(D2418&lt;100000,"$75k-$100k","$100k+")))))</x:f>
        <x:v>$25k-$50k</x:v>
      </x:c>
      <x:c r="P2418" t="str">
        <x:f>IF(E2418="","Unknown",IF(E2418&lt;10,"&lt;10",IF(E2418&lt;20,"10-&lt;20",IF(E2418&lt;25,"20-&lt;25",IF(E2418&lt;35,"25-&lt;35","35+")))))</x:f>
        <x:v>Unknown</x:v>
      </x:c>
    </x:row>
    <x:row r="2419">
      <x:c r="A2419" t="str">
        <x:v>SYN0002418</x:v>
      </x:c>
      <x:c r="B2419" s="12" t="n">
        <x:v>43045</x:v>
      </x:c>
      <x:c r="C2419" s="18" t="n">
        <x:v>40000</x:v>
      </x:c>
      <x:c r="D2419" s="18" t="n">
        <x:v>128256</x:v>
      </x:c>
      <x:c r="E2419" s="18" t="n">
        <x:v>7.95</x:v>
      </x:c>
      <x:c r="F2419" s="18" t="n">
        <x:v>10.16</x:v>
      </x:c>
      <x:c r="G2419" t="n">
        <x:v>36</x:v>
      </x:c>
      <x:c r="H2419" t="str">
        <x:v>B</x:v>
      </x:c>
      <x:c r="I2419" t="str">
        <x:v>1-3 years</x:v>
      </x:c>
      <x:c r="J2419" t="str">
        <x:v>MORTGAGE</x:v>
      </x:c>
      <x:c r="K2419" t="str">
        <x:v>debt_consolidation</x:v>
      </x:c>
      <x:c r="L2419" t="n">
        <x:v>1</x:v>
      </x:c>
      <x:c r="M2419" t="n">
        <x:v>0</x:v>
      </x:c>
      <x:c r="N2419" t="str">
        <x:v>Fully Paid</x:v>
      </x:c>
      <x:c r="O2419" t="str">
        <x:f>IF(D2419="","Unknown",IF(D2419&lt;25000,"&lt;$25k",IF(D2419&lt;50000,"$25k-$50k",IF(D2419&lt;75000,"$50k-$75k",IF(D2419&lt;100000,"$75k-$100k","$100k+")))))</x:f>
        <x:v>$100k+</x:v>
      </x:c>
      <x:c r="P2419" t="str">
        <x:f>IF(E2419="","Unknown",IF(E2419&lt;10,"&lt;10",IF(E2419&lt;20,"10-&lt;20",IF(E2419&lt;25,"20-&lt;25",IF(E2419&lt;35,"25-&lt;35","35+")))))</x:f>
        <x:v>&lt;10</x:v>
      </x:c>
    </x:row>
    <x:row r="2420">
      <x:c r="A2420" t="str">
        <x:v>SYN0002419</x:v>
      </x:c>
      <x:c r="B2420" s="12" t="n">
        <x:v>42895</x:v>
      </x:c>
      <x:c r="C2420" s="18" t="n">
        <x:v>20974</x:v>
      </x:c>
      <x:c r="D2420" s="18" t="n">
        <x:v>27763</x:v>
      </x:c>
      <x:c r="E2420" s="18" t="n">
        <x:v>18.22</x:v>
      </x:c>
      <x:c r="F2420" s="18" t="n">
        <x:v>5.97</x:v>
      </x:c>
      <x:c r="G2420" t="n">
        <x:v>36</x:v>
      </x:c>
      <x:c r="H2420" t="str">
        <x:v>A</x:v>
      </x:c>
      <x:c r="I2420" t="str">
        <x:v>10+ years</x:v>
      </x:c>
      <x:c r="J2420" t="str">
        <x:v>RENT</x:v>
      </x:c>
      <x:c r="K2420" t="str">
        <x:v>major_purchase</x:v>
      </x:c>
      <x:c r="L2420" t="n">
        <x:v>1</x:v>
      </x:c>
      <x:c r="M2420" t="n">
        <x:v>0</x:v>
      </x:c>
      <x:c r="N2420" t="str">
        <x:v>Fully Paid</x:v>
      </x:c>
      <x:c r="O2420" t="str">
        <x:f>IF(D2420="","Unknown",IF(D2420&lt;25000,"&lt;$25k",IF(D2420&lt;50000,"$25k-$50k",IF(D2420&lt;75000,"$50k-$75k",IF(D2420&lt;100000,"$75k-$100k","$100k+")))))</x:f>
        <x:v>$25k-$50k</x:v>
      </x:c>
      <x:c r="P2420" t="str">
        <x:f>IF(E2420="","Unknown",IF(E2420&lt;10,"&lt;10",IF(E2420&lt;20,"10-&lt;20",IF(E2420&lt;25,"20-&lt;25",IF(E2420&lt;35,"25-&lt;35","35+")))))</x:f>
        <x:v>10-&lt;20</x:v>
      </x:c>
    </x:row>
    <x:row r="2421">
      <x:c r="A2421" t="str">
        <x:v>SYN0002420</x:v>
      </x:c>
      <x:c r="B2421" s="12" t="n">
        <x:v>41485</x:v>
      </x:c>
      <x:c r="C2421" s="18" t="n">
        <x:v>8173</x:v>
      </x:c>
      <x:c r="D2421" s="18" t="n">
        <x:v>71889</x:v>
      </x:c>
      <x:c r="E2421" s="18" t="n">
        <x:v>25.46</x:v>
      </x:c>
      <x:c r="F2421" s="18" t="n">
        <x:v>17.31</x:v>
      </x:c>
      <x:c r="G2421" t="n">
        <x:v>60</x:v>
      </x:c>
      <x:c r="H2421" t="str">
        <x:v>D</x:v>
      </x:c>
      <x:c r="I2421" t="str">
        <x:v>4-6 years</x:v>
      </x:c>
      <x:c r="J2421" t="str">
        <x:v>RENT</x:v>
      </x:c>
      <x:c r="K2421" t="str">
        <x:v>major_purchase</x:v>
      </x:c>
      <x:c r="L2421" t="n">
        <x:v>0</x:v>
      </x:c>
      <x:c r="M2421" t="n">
        <x:v>0</x:v>
      </x:c>
      <x:c r="N2421" t="str">
        <x:v>Fully Paid</x:v>
      </x:c>
      <x:c r="O2421" t="str">
        <x:f>IF(D2421="","Unknown",IF(D2421&lt;25000,"&lt;$25k",IF(D2421&lt;50000,"$25k-$50k",IF(D2421&lt;75000,"$50k-$75k",IF(D2421&lt;100000,"$75k-$100k","$100k+")))))</x:f>
        <x:v>$50k-$75k</x:v>
      </x:c>
      <x:c r="P2421" t="str">
        <x:f>IF(E2421="","Unknown",IF(E2421&lt;10,"&lt;10",IF(E2421&lt;20,"10-&lt;20",IF(E2421&lt;25,"20-&lt;25",IF(E2421&lt;35,"25-&lt;35","35+")))))</x:f>
        <x:v>25-&lt;35</x:v>
      </x:c>
    </x:row>
    <x:row r="2422">
      <x:c r="A2422" t="str">
        <x:v>SYN0002421</x:v>
      </x:c>
      <x:c r="B2422" s="12" t="n">
        <x:v>42835</x:v>
      </x:c>
      <x:c r="C2422" s="18" t="n">
        <x:v>24403</x:v>
      </x:c>
      <x:c r="D2422" s="18" t="n">
        <x:v>22796</x:v>
      </x:c>
      <x:c r="E2422" s="18" t="n">
        <x:v>3.92</x:v>
      </x:c>
      <x:c r="F2422" s="18" t="n">
        <x:v>7.77</x:v>
      </x:c>
      <x:c r="G2422" t="n">
        <x:v>60</x:v>
      </x:c>
      <x:c r="H2422" t="str">
        <x:v>B</x:v>
      </x:c>
      <x:c r="I2422" t="str">
        <x:v>10+ years</x:v>
      </x:c>
      <x:c r="J2422" t="str">
        <x:v>RENT</x:v>
      </x:c>
      <x:c r="K2422" t="str">
        <x:v>credit_card</x:v>
      </x:c>
      <x:c r="L2422" t="n">
        <x:v>0</x:v>
      </x:c>
      <x:c r="M2422" t="n">
        <x:v>0</x:v>
      </x:c>
      <x:c r="N2422" t="str">
        <x:v>Fully Paid</x:v>
      </x:c>
      <x:c r="O2422" t="str">
        <x:f>IF(D2422="","Unknown",IF(D2422&lt;25000,"&lt;$25k",IF(D2422&lt;50000,"$25k-$50k",IF(D2422&lt;75000,"$50k-$75k",IF(D2422&lt;100000,"$75k-$100k","$100k+")))))</x:f>
        <x:v>&lt;$25k</x:v>
      </x:c>
      <x:c r="P2422" t="str">
        <x:f>IF(E2422="","Unknown",IF(E2422&lt;10,"&lt;10",IF(E2422&lt;20,"10-&lt;20",IF(E2422&lt;25,"20-&lt;25",IF(E2422&lt;35,"25-&lt;35","35+")))))</x:f>
        <x:v>&lt;10</x:v>
      </x:c>
    </x:row>
    <x:row r="2423">
      <x:c r="A2423" t="str">
        <x:v>SYN0002422</x:v>
      </x:c>
      <x:c r="B2423" s="12" t="n">
        <x:v>42655</x:v>
      </x:c>
      <x:c r="C2423" s="18" t="n">
        <x:v>13939</x:v>
      </x:c>
      <x:c r="D2423" s="18" t="n">
        <x:v>27141</x:v>
      </x:c>
      <x:c r="E2423" s="18" t="n">
        <x:v>16.37</x:v>
      </x:c>
      <x:c r="F2423" s="18" t="n">
        <x:v>9.58</x:v>
      </x:c>
      <x:c r="G2423" t="n">
        <x:v>36</x:v>
      </x:c>
      <x:c r="H2423" t="str">
        <x:v>B</x:v>
      </x:c>
      <x:c r="I2423" t="str">
        <x:v>7-9 years</x:v>
      </x:c>
      <x:c r="J2423" t="str">
        <x:v>RENT</x:v>
      </x:c>
      <x:c r="K2423" t="str">
        <x:v>other</x:v>
      </x:c>
      <x:c r="L2423" t="n">
        <x:v>1</x:v>
      </x:c>
      <x:c r="M2423" t="n">
        <x:v>0</x:v>
      </x:c>
      <x:c r="N2423" t="str">
        <x:v>Fully Paid</x:v>
      </x:c>
      <x:c r="O2423" t="str">
        <x:f>IF(D2423="","Unknown",IF(D2423&lt;25000,"&lt;$25k",IF(D2423&lt;50000,"$25k-$50k",IF(D2423&lt;75000,"$50k-$75k",IF(D2423&lt;100000,"$75k-$100k","$100k+")))))</x:f>
        <x:v>$25k-$50k</x:v>
      </x:c>
      <x:c r="P2423" t="str">
        <x:f>IF(E2423="","Unknown",IF(E2423&lt;10,"&lt;10",IF(E2423&lt;20,"10-&lt;20",IF(E2423&lt;25,"20-&lt;25",IF(E2423&lt;35,"25-&lt;35","35+")))))</x:f>
        <x:v>10-&lt;20</x:v>
      </x:c>
    </x:row>
    <x:row r="2424">
      <x:c r="A2424" t="str">
        <x:v>SYN0002423</x:v>
      </x:c>
      <x:c r="B2424" s="12" t="n">
        <x:v>41605</x:v>
      </x:c>
      <x:c r="C2424" s="18" t="n">
        <x:v>11225</x:v>
      </x:c>
      <x:c r="D2424" s="18" t="n">
        <x:v>55850</x:v>
      </x:c>
      <x:c r="E2424" s="18" t="n">
        <x:v>16.73</x:v>
      </x:c>
      <x:c r="F2424" s="18" t="n">
        <x:v>20.26</x:v>
      </x:c>
      <x:c r="G2424" t="n">
        <x:v>36</x:v>
      </x:c>
      <x:c r="H2424" t="str">
        <x:v>E</x:v>
      </x:c>
      <x:c r="I2424" t="str">
        <x:v>10+ years</x:v>
      </x:c>
      <x:c r="J2424" t="str">
        <x:v>OWN</x:v>
      </x:c>
      <x:c r="K2424" t="str">
        <x:v>debt_consolidation</x:v>
      </x:c>
      <x:c r="L2424" t="n">
        <x:v>0</x:v>
      </x:c>
      <x:c r="M2424" t="n">
        <x:v>0</x:v>
      </x:c>
      <x:c r="N2424" t="str">
        <x:v>Fully Paid</x:v>
      </x:c>
      <x:c r="O2424" t="str">
        <x:f>IF(D2424="","Unknown",IF(D2424&lt;25000,"&lt;$25k",IF(D2424&lt;50000,"$25k-$50k",IF(D2424&lt;75000,"$50k-$75k",IF(D2424&lt;100000,"$75k-$100k","$100k+")))))</x:f>
        <x:v>$50k-$75k</x:v>
      </x:c>
      <x:c r="P2424" t="str">
        <x:f>IF(E2424="","Unknown",IF(E2424&lt;10,"&lt;10",IF(E2424&lt;20,"10-&lt;20",IF(E2424&lt;25,"20-&lt;25",IF(E2424&lt;35,"25-&lt;35","35+")))))</x:f>
        <x:v>10-&lt;20</x:v>
      </x:c>
    </x:row>
    <x:row r="2425">
      <x:c r="A2425" t="str">
        <x:v>SYN0002424</x:v>
      </x:c>
      <x:c r="B2425" s="12" t="n">
        <x:v>41365</x:v>
      </x:c>
      <x:c r="C2425" s="18" t="n">
        <x:v>15921</x:v>
      </x:c>
      <x:c r="D2425" s="18" t="n">
        <x:v>62484</x:v>
      </x:c>
      <x:c r="E2425" s="18" t="n">
        <x:v>19.35</x:v>
      </x:c>
      <x:c r="F2425" s="18" t="n">
        <x:v>9.23</x:v>
      </x:c>
      <x:c r="G2425" t="n">
        <x:v>60</x:v>
      </x:c>
      <x:c r="H2425" t="str">
        <x:v>B</x:v>
      </x:c>
      <x:c r="I2425" t="str">
        <x:v>4-6 years</x:v>
      </x:c>
      <x:c r="J2425" t="str">
        <x:v>MORTGAGE</x:v>
      </x:c>
      <x:c r="K2425" t="str">
        <x:v>credit_card</x:v>
      </x:c>
      <x:c r="L2425" t="n">
        <x:v>0</x:v>
      </x:c>
      <x:c r="M2425" t="n">
        <x:v>0</x:v>
      </x:c>
      <x:c r="N2425" t="str">
        <x:v>Fully Paid</x:v>
      </x:c>
      <x:c r="O2425" t="str">
        <x:f>IF(D2425="","Unknown",IF(D2425&lt;25000,"&lt;$25k",IF(D2425&lt;50000,"$25k-$50k",IF(D2425&lt;75000,"$50k-$75k",IF(D2425&lt;100000,"$75k-$100k","$100k+")))))</x:f>
        <x:v>$50k-$75k</x:v>
      </x:c>
      <x:c r="P2425" t="str">
        <x:f>IF(E2425="","Unknown",IF(E2425&lt;10,"&lt;10",IF(E2425&lt;20,"10-&lt;20",IF(E2425&lt;25,"20-&lt;25",IF(E2425&lt;35,"25-&lt;35","35+")))))</x:f>
        <x:v>10-&lt;20</x:v>
      </x:c>
    </x:row>
    <x:row r="2426">
      <x:c r="A2426" t="str">
        <x:v>SYN0002425</x:v>
      </x:c>
      <x:c r="B2426" s="12" t="n">
        <x:v>42295</x:v>
      </x:c>
      <x:c r="C2426" s="18" t="n">
        <x:v>8704</x:v>
      </x:c>
      <x:c r="D2426" s="18" t="n">
        <x:v>75870</x:v>
      </x:c>
      <x:c r="E2426" s="18" t="n">
        <x:v>27.32</x:v>
      </x:c>
      <x:c r="F2426" s="18" t="n">
        <x:v>14.3</x:v>
      </x:c>
      <x:c r="G2426" t="n">
        <x:v>36</x:v>
      </x:c>
      <x:c r="H2426" t="str">
        <x:v>C</x:v>
      </x:c>
      <x:c r="I2426" t="str">
        <x:v>1-3 years</x:v>
      </x:c>
      <x:c r="J2426" t="str">
        <x:v>RENT</x:v>
      </x:c>
      <x:c r="K2426" t="str">
        <x:v>debt_consolidation</x:v>
      </x:c>
      <x:c r="L2426" t="n">
        <x:v>1</x:v>
      </x:c>
      <x:c r="M2426" t="n">
        <x:v>0</x:v>
      </x:c>
      <x:c r="N2426" t="str">
        <x:v>Fully Paid</x:v>
      </x:c>
      <x:c r="O2426" t="str">
        <x:f>IF(D2426="","Unknown",IF(D2426&lt;25000,"&lt;$25k",IF(D2426&lt;50000,"$25k-$50k",IF(D2426&lt;75000,"$50k-$75k",IF(D2426&lt;100000,"$75k-$100k","$100k+")))))</x:f>
        <x:v>$75k-$100k</x:v>
      </x:c>
      <x:c r="P2426" t="str">
        <x:f>IF(E2426="","Unknown",IF(E2426&lt;10,"&lt;10",IF(E2426&lt;20,"10-&lt;20",IF(E2426&lt;25,"20-&lt;25",IF(E2426&lt;35,"25-&lt;35","35+")))))</x:f>
        <x:v>25-&lt;35</x:v>
      </x:c>
    </x:row>
    <x:row r="2427">
      <x:c r="A2427" t="str">
        <x:v>SYN0002426</x:v>
      </x:c>
      <x:c r="B2427" s="12" t="n">
        <x:v>41665</x:v>
      </x:c>
      <x:c r="C2427" s="18" t="n">
        <x:v>14240</x:v>
      </x:c>
      <x:c r="D2427" s="18" t="n">
        <x:v>81341</x:v>
      </x:c>
      <x:c r="E2427" s="18" t="n">
        <x:v>32.47</x:v>
      </x:c>
      <x:c r="F2427" s="18" t="n">
        <x:v>23.39</x:v>
      </x:c>
      <x:c r="G2427" t="n">
        <x:v>36</x:v>
      </x:c>
      <x:c r="H2427" t="str">
        <x:v>F</x:v>
      </x:c>
      <x:c r="I2427" t="str">
        <x:v>1-3 years</x:v>
      </x:c>
      <x:c r="J2427" t="str">
        <x:v>RENT</x:v>
      </x:c>
      <x:c r="K2427" t="str">
        <x:v>credit_card</x:v>
      </x:c>
      <x:c r="L2427" t="n">
        <x:v>0</x:v>
      </x:c>
      <x:c r="M2427" t="n">
        <x:v>0</x:v>
      </x:c>
      <x:c r="N2427" t="str">
        <x:v>Fully Paid</x:v>
      </x:c>
      <x:c r="O2427" t="str">
        <x:f>IF(D2427="","Unknown",IF(D2427&lt;25000,"&lt;$25k",IF(D2427&lt;50000,"$25k-$50k",IF(D2427&lt;75000,"$50k-$75k",IF(D2427&lt;100000,"$75k-$100k","$100k+")))))</x:f>
        <x:v>$75k-$100k</x:v>
      </x:c>
      <x:c r="P2427" t="str">
        <x:f>IF(E2427="","Unknown",IF(E2427&lt;10,"&lt;10",IF(E2427&lt;20,"10-&lt;20",IF(E2427&lt;25,"20-&lt;25",IF(E2427&lt;35,"25-&lt;35","35+")))))</x:f>
        <x:v>25-&lt;35</x:v>
      </x:c>
    </x:row>
    <x:row r="2428">
      <x:c r="A2428" t="str">
        <x:v>SYN0002427</x:v>
      </x:c>
      <x:c r="B2428" s="12" t="n">
        <x:v>41365</x:v>
      </x:c>
      <x:c r="C2428" s="18" t="n">
        <x:v>16366</x:v>
      </x:c>
      <x:c r="D2428" s="18" t="n">
        <x:v>45390</x:v>
      </x:c>
      <x:c r="E2428" s="18" t="n">
        <x:v>29.01</x:v>
      </x:c>
      <x:c r="F2428" s="18" t="n">
        <x:v>20.89</x:v>
      </x:c>
      <x:c r="G2428" t="n">
        <x:v>36</x:v>
      </x:c>
      <x:c r="H2428" t="str">
        <x:v>E</x:v>
      </x:c>
      <x:c r="I2428" t="str">
        <x:v>1-3 years</x:v>
      </x:c>
      <x:c r="J2428" t="str">
        <x:v>MORTGAGE</x:v>
      </x:c>
      <x:c r="K2428" t="str">
        <x:v>credit_card</x:v>
      </x:c>
      <x:c r="L2428" t="n">
        <x:v>1</x:v>
      </x:c>
      <x:c r="M2428" t="n">
        <x:v>1</x:v>
      </x:c>
      <x:c r="N2428" t="str">
        <x:v>Charged Off</x:v>
      </x:c>
      <x:c r="O2428" t="str">
        <x:f>IF(D2428="","Unknown",IF(D2428&lt;25000,"&lt;$25k",IF(D2428&lt;50000,"$25k-$50k",IF(D2428&lt;75000,"$50k-$75k",IF(D2428&lt;100000,"$75k-$100k","$100k+")))))</x:f>
        <x:v>$25k-$50k</x:v>
      </x:c>
      <x:c r="P2428" t="str">
        <x:f>IF(E2428="","Unknown",IF(E2428&lt;10,"&lt;10",IF(E2428&lt;20,"10-&lt;20",IF(E2428&lt;25,"20-&lt;25",IF(E2428&lt;35,"25-&lt;35","35+")))))</x:f>
        <x:v>25-&lt;35</x:v>
      </x:c>
    </x:row>
    <x:row r="2429">
      <x:c r="A2429" t="str">
        <x:v>SYN0002428</x:v>
      </x:c>
      <x:c r="B2429" s="12" t="n">
        <x:v>41365</x:v>
      </x:c>
      <x:c r="C2429" s="18" t="n">
        <x:v>11697</x:v>
      </x:c>
      <x:c r="D2429" s="18" t="n">
        <x:v>30696</x:v>
      </x:c>
      <x:c r="E2429" s="18" t="n">
        <x:v>22.68</x:v>
      </x:c>
      <x:c r="F2429" s="18" t="n">
        <x:v>17.28</x:v>
      </x:c>
      <x:c r="G2429" t="n">
        <x:v>36</x:v>
      </x:c>
      <x:c r="H2429" t="str">
        <x:v>E</x:v>
      </x:c>
      <x:c r="I2429" t="str">
        <x:v>10+ years</x:v>
      </x:c>
      <x:c r="J2429" t="str">
        <x:v>RENT</x:v>
      </x:c>
      <x:c r="K2429" t="str">
        <x:v>credit_card</x:v>
      </x:c>
      <x:c r="L2429" t="n">
        <x:v>1</x:v>
      </x:c>
      <x:c r="M2429" t="n">
        <x:v>0</x:v>
      </x:c>
      <x:c r="N2429" t="str">
        <x:v>Fully Paid</x:v>
      </x:c>
      <x:c r="O2429" t="str">
        <x:f>IF(D2429="","Unknown",IF(D2429&lt;25000,"&lt;$25k",IF(D2429&lt;50000,"$25k-$50k",IF(D2429&lt;75000,"$50k-$75k",IF(D2429&lt;100000,"$75k-$100k","$100k+")))))</x:f>
        <x:v>$25k-$50k</x:v>
      </x:c>
      <x:c r="P2429" t="str">
        <x:f>IF(E2429="","Unknown",IF(E2429&lt;10,"&lt;10",IF(E2429&lt;20,"10-&lt;20",IF(E2429&lt;25,"20-&lt;25",IF(E2429&lt;35,"25-&lt;35","35+")))))</x:f>
        <x:v>20-&lt;25</x:v>
      </x:c>
    </x:row>
    <x:row r="2430">
      <x:c r="A2430" t="str">
        <x:v>SYN0002429</x:v>
      </x:c>
      <x:c r="B2430" s="12" t="n">
        <x:v>42115</x:v>
      </x:c>
      <x:c r="C2430" s="18" t="n">
        <x:v>11334</x:v>
      </x:c>
      <x:c r="D2430" s="18" t="n">
        <x:v>26631</x:v>
      </x:c>
      <x:c r="E2430" s="18" t="n">
        <x:v>29.91</x:v>
      </x:c>
      <x:c r="F2430" s="18" t="n">
        <x:v>16.94</x:v>
      </x:c>
      <x:c r="G2430" t="n">
        <x:v>36</x:v>
      </x:c>
      <x:c r="H2430" t="str">
        <x:v>E</x:v>
      </x:c>
      <x:c r="I2430" t="str">
        <x:v>4-6 years</x:v>
      </x:c>
      <x:c r="J2430" t="str">
        <x:v>RENT</x:v>
      </x:c>
      <x:c r="K2430" t="str">
        <x:v>major_purchase</x:v>
      </x:c>
      <x:c r="L2430" t="n">
        <x:v>1</x:v>
      </x:c>
      <x:c r="M2430" t="n">
        <x:v>0</x:v>
      </x:c>
      <x:c r="N2430" t="str">
        <x:v>Fully Paid</x:v>
      </x:c>
      <x:c r="O2430" t="str">
        <x:f>IF(D2430="","Unknown",IF(D2430&lt;25000,"&lt;$25k",IF(D2430&lt;50000,"$25k-$50k",IF(D2430&lt;75000,"$50k-$75k",IF(D2430&lt;100000,"$75k-$100k","$100k+")))))</x:f>
        <x:v>$25k-$50k</x:v>
      </x:c>
      <x:c r="P2430" t="str">
        <x:f>IF(E2430="","Unknown",IF(E2430&lt;10,"&lt;10",IF(E2430&lt;20,"10-&lt;20",IF(E2430&lt;25,"20-&lt;25",IF(E2430&lt;35,"25-&lt;35","35+")))))</x:f>
        <x:v>25-&lt;35</x:v>
      </x:c>
    </x:row>
    <x:row r="2431">
      <x:c r="A2431" t="str">
        <x:v>SYN0002430</x:v>
      </x:c>
      <x:c r="B2431" s="12" t="n">
        <x:v>41515</x:v>
      </x:c>
      <x:c r="C2431" s="18" t="n">
        <x:v>11088</x:v>
      </x:c>
      <x:c r="D2431" s="18" t="n">
        <x:v>75776</x:v>
      </x:c>
      <x:c r="E2431" s="18" t="n">
        <x:v>19.27</x:v>
      </x:c>
      <x:c r="F2431" s="18" t="n">
        <x:v>8.66</x:v>
      </x:c>
      <x:c r="G2431" t="n">
        <x:v>36</x:v>
      </x:c>
      <x:c r="H2431" t="str">
        <x:v>B</x:v>
      </x:c>
      <x:c r="I2431" t="str">
        <x:v>&lt;1 year</x:v>
      </x:c>
      <x:c r="J2431" t="str">
        <x:v>MORTGAGE</x:v>
      </x:c>
      <x:c r="K2431" t="str">
        <x:v>major_purchase</x:v>
      </x:c>
      <x:c r="L2431" t="n">
        <x:v>1</x:v>
      </x:c>
      <x:c r="M2431" t="n">
        <x:v>0</x:v>
      </x:c>
      <x:c r="N2431" t="str">
        <x:v>Fully Paid</x:v>
      </x:c>
      <x:c r="O2431" t="str">
        <x:f>IF(D2431="","Unknown",IF(D2431&lt;25000,"&lt;$25k",IF(D2431&lt;50000,"$25k-$50k",IF(D2431&lt;75000,"$50k-$75k",IF(D2431&lt;100000,"$75k-$100k","$100k+")))))</x:f>
        <x:v>$75k-$100k</x:v>
      </x:c>
      <x:c r="P2431" t="str">
        <x:f>IF(E2431="","Unknown",IF(E2431&lt;10,"&lt;10",IF(E2431&lt;20,"10-&lt;20",IF(E2431&lt;25,"20-&lt;25",IF(E2431&lt;35,"25-&lt;35","35+")))))</x:f>
        <x:v>10-&lt;20</x:v>
      </x:c>
    </x:row>
    <x:row r="2432">
      <x:c r="A2432" t="str">
        <x:v>SYN0002431</x:v>
      </x:c>
      <x:c r="B2432" s="12" t="n">
        <x:v>43015</x:v>
      </x:c>
      <x:c r="C2432" s="18" t="n">
        <x:v>20345</x:v>
      </x:c>
      <x:c r="D2432" s="18" t="n">
        <x:v>16310</x:v>
      </x:c>
      <x:c r="E2432" s="18" t="n">
        <x:v>19.89</x:v>
      </x:c>
      <x:c r="F2432" s="18" t="n">
        <x:v>8.89</x:v>
      </x:c>
      <x:c r="G2432" t="n">
        <x:v>36</x:v>
      </x:c>
      <x:c r="H2432" t="str">
        <x:v>C</x:v>
      </x:c>
      <x:c r="I2432" t="str">
        <x:v>10+ years</x:v>
      </x:c>
      <x:c r="J2432" t="str">
        <x:v>RENT</x:v>
      </x:c>
      <x:c r="K2432" t="str">
        <x:v>debt_consolidation</x:v>
      </x:c>
      <x:c r="L2432" t="n">
        <x:v>1</x:v>
      </x:c>
      <x:c r="M2432" t="n">
        <x:v>0</x:v>
      </x:c>
      <x:c r="N2432" t="str">
        <x:v>Fully Paid</x:v>
      </x:c>
      <x:c r="O2432" t="str">
        <x:f>IF(D2432="","Unknown",IF(D2432&lt;25000,"&lt;$25k",IF(D2432&lt;50000,"$25k-$50k",IF(D2432&lt;75000,"$50k-$75k",IF(D2432&lt;100000,"$75k-$100k","$100k+")))))</x:f>
        <x:v>&lt;$25k</x:v>
      </x:c>
      <x:c r="P2432" t="str">
        <x:f>IF(E2432="","Unknown",IF(E2432&lt;10,"&lt;10",IF(E2432&lt;20,"10-&lt;20",IF(E2432&lt;25,"20-&lt;25",IF(E2432&lt;35,"25-&lt;35","35+")))))</x:f>
        <x:v>10-&lt;20</x:v>
      </x:c>
    </x:row>
    <x:row r="2433">
      <x:c r="A2433" t="str">
        <x:v>SYN0002432</x:v>
      </x:c>
      <x:c r="B2433" s="12" t="n">
        <x:v>43285</x:v>
      </x:c>
      <x:c r="C2433" s="18" t="n">
        <x:v>22310</x:v>
      </x:c>
      <x:c r="D2433" s="18" t="n">
        <x:v>51610</x:v>
      </x:c>
      <x:c r="E2433" s="18" t="n">
        <x:v>21.66</x:v>
      </x:c>
      <x:c r="F2433" s="18" t="n">
        <x:v>17.32</x:v>
      </x:c>
      <x:c r="G2433" t="n">
        <x:v>36</x:v>
      </x:c>
      <x:c r="H2433" t="str">
        <x:v>E</x:v>
      </x:c>
      <x:c r="I2433" t="str">
        <x:v>4-6 years</x:v>
      </x:c>
      <x:c r="J2433" t="str">
        <x:v>MORTGAGE</x:v>
      </x:c>
      <x:c r="K2433" t="str">
        <x:v>credit_card</x:v>
      </x:c>
      <x:c r="L2433" t="n">
        <x:v>0</x:v>
      </x:c>
      <x:c r="M2433" t="n">
        <x:v>0</x:v>
      </x:c>
      <x:c r="N2433" t="str">
        <x:v>Fully Paid</x:v>
      </x:c>
      <x:c r="O2433" t="str">
        <x:f>IF(D2433="","Unknown",IF(D2433&lt;25000,"&lt;$25k",IF(D2433&lt;50000,"$25k-$50k",IF(D2433&lt;75000,"$50k-$75k",IF(D2433&lt;100000,"$75k-$100k","$100k+")))))</x:f>
        <x:v>$50k-$75k</x:v>
      </x:c>
      <x:c r="P2433" t="str">
        <x:f>IF(E2433="","Unknown",IF(E2433&lt;10,"&lt;10",IF(E2433&lt;20,"10-&lt;20",IF(E2433&lt;25,"20-&lt;25",IF(E2433&lt;35,"25-&lt;35","35+")))))</x:f>
        <x:v>20-&lt;25</x:v>
      </x:c>
    </x:row>
    <x:row r="2434">
      <x:c r="A2434" t="str">
        <x:v>SYN0002433</x:v>
      </x:c>
      <x:c r="B2434" s="12" t="n">
        <x:v>43075</x:v>
      </x:c>
      <x:c r="C2434" s="18" t="n">
        <x:v>23553</x:v>
      </x:c>
      <x:c r="D2434" s="18" t="n">
        <x:v>36937</x:v>
      </x:c>
      <x:c r="E2434" s="18" t="n">
        <x:v>22.18</x:v>
      </x:c>
      <x:c r="F2434" s="18" t="n">
        <x:v>5</x:v>
      </x:c>
      <x:c r="G2434" t="n">
        <x:v>36</x:v>
      </x:c>
      <x:c r="H2434" t="str">
        <x:v>A</x:v>
      </x:c>
      <x:c r="I2434" t="str">
        <x:v>7-9 years</x:v>
      </x:c>
      <x:c r="J2434" t="str">
        <x:v>RENT</x:v>
      </x:c>
      <x:c r="K2434" t="str">
        <x:v>medical</x:v>
      </x:c>
      <x:c r="L2434" t="n">
        <x:v>1</x:v>
      </x:c>
      <x:c r="M2434" t="n">
        <x:v>0</x:v>
      </x:c>
      <x:c r="N2434" t="str">
        <x:v>Fully Paid</x:v>
      </x:c>
      <x:c r="O2434" t="str">
        <x:f>IF(D2434="","Unknown",IF(D2434&lt;25000,"&lt;$25k",IF(D2434&lt;50000,"$25k-$50k",IF(D2434&lt;75000,"$50k-$75k",IF(D2434&lt;100000,"$75k-$100k","$100k+")))))</x:f>
        <x:v>$25k-$50k</x:v>
      </x:c>
      <x:c r="P2434" t="str">
        <x:f>IF(E2434="","Unknown",IF(E2434&lt;10,"&lt;10",IF(E2434&lt;20,"10-&lt;20",IF(E2434&lt;25,"20-&lt;25",IF(E2434&lt;35,"25-&lt;35","35+")))))</x:f>
        <x:v>20-&lt;25</x:v>
      </x:c>
    </x:row>
    <x:row r="2435">
      <x:c r="A2435" t="str">
        <x:v>SYN0002434</x:v>
      </x:c>
      <x:c r="B2435" s="12" t="n">
        <x:v>42595</x:v>
      </x:c>
      <x:c r="C2435" s="18" t="n">
        <x:v>21105</x:v>
      </x:c>
      <x:c r="D2435" s="18" t="n">
        <x:v>14461</x:v>
      </x:c>
      <x:c r="E2435" s="18" t="n">
        <x:v>37.77</x:v>
      </x:c>
      <x:c r="F2435" s="18" t="n">
        <x:v>12.22</x:v>
      </x:c>
      <x:c r="G2435" t="n">
        <x:v>60</x:v>
      </x:c>
      <x:c r="H2435" t="str">
        <x:v>D</x:v>
      </x:c>
      <x:c r="I2435" t="str">
        <x:v>10+ years</x:v>
      </x:c>
      <x:c r="J2435" t="str">
        <x:v>RENT</x:v>
      </x:c>
      <x:c r="K2435" t="str">
        <x:v>home_improvement</x:v>
      </x:c>
      <x:c r="L2435" t="n">
        <x:v>3</x:v>
      </x:c>
      <x:c r="M2435" t="n">
        <x:v>0</x:v>
      </x:c>
      <x:c r="N2435" t="str">
        <x:v>Fully Paid</x:v>
      </x:c>
      <x:c r="O2435" t="str">
        <x:f>IF(D2435="","Unknown",IF(D2435&lt;25000,"&lt;$25k",IF(D2435&lt;50000,"$25k-$50k",IF(D2435&lt;75000,"$50k-$75k",IF(D2435&lt;100000,"$75k-$100k","$100k+")))))</x:f>
        <x:v>&lt;$25k</x:v>
      </x:c>
      <x:c r="P2435" t="str">
        <x:f>IF(E2435="","Unknown",IF(E2435&lt;10,"&lt;10",IF(E2435&lt;20,"10-&lt;20",IF(E2435&lt;25,"20-&lt;25",IF(E2435&lt;35,"25-&lt;35","35+")))))</x:f>
        <x:v>35+</x:v>
      </x:c>
    </x:row>
    <x:row r="2436">
      <x:c r="A2436" t="str">
        <x:v>SYN0002435</x:v>
      </x:c>
      <x:c r="B2436" s="12" t="n">
        <x:v>42565</x:v>
      </x:c>
      <x:c r="C2436" s="18" t="n">
        <x:v>17482</x:v>
      </x:c>
      <x:c r="D2436" s="18" t="n">
        <x:v>24658</x:v>
      </x:c>
      <x:c r="E2436" s="18" t="n">
        <x:v>6.95</x:v>
      </x:c>
      <x:c r="F2436" s="18" t="n">
        <x:v>13.84</x:v>
      </x:c>
      <x:c r="G2436" t="n">
        <x:v>60</x:v>
      </x:c>
      <x:c r="H2436" t="str">
        <x:v>C</x:v>
      </x:c>
      <x:c r="I2436" t="str">
        <x:v>4-6 years</x:v>
      </x:c>
      <x:c r="J2436" t="str">
        <x:v>RENT</x:v>
      </x:c>
      <x:c r="K2436" t="str">
        <x:v>other</x:v>
      </x:c>
      <x:c r="L2436" t="n">
        <x:v>0</x:v>
      </x:c>
      <x:c r="M2436" t="n">
        <x:v>0</x:v>
      </x:c>
      <x:c r="N2436" t="str">
        <x:v>Fully Paid</x:v>
      </x:c>
      <x:c r="O2436" t="str">
        <x:f>IF(D2436="","Unknown",IF(D2436&lt;25000,"&lt;$25k",IF(D2436&lt;50000,"$25k-$50k",IF(D2436&lt;75000,"$50k-$75k",IF(D2436&lt;100000,"$75k-$100k","$100k+")))))</x:f>
        <x:v>&lt;$25k</x:v>
      </x:c>
      <x:c r="P2436" t="str">
        <x:f>IF(E2436="","Unknown",IF(E2436&lt;10,"&lt;10",IF(E2436&lt;20,"10-&lt;20",IF(E2436&lt;25,"20-&lt;25",IF(E2436&lt;35,"25-&lt;35","35+")))))</x:f>
        <x:v>&lt;10</x:v>
      </x:c>
    </x:row>
    <x:row r="2437">
      <x:c r="A2437" t="str">
        <x:v>SYN0002436</x:v>
      </x:c>
      <x:c r="B2437" s="12" t="n">
        <x:v>42415</x:v>
      </x:c>
      <x:c r="C2437" s="18" t="n">
        <x:v>12609</x:v>
      </x:c>
      <x:c r="D2437" s="18" t="n">
        <x:v>92682</x:v>
      </x:c>
      <x:c r="E2437" s="18" t="n">
        <x:v>9.45</x:v>
      </x:c>
      <x:c r="F2437" s="18" t="n">
        <x:v>12.93</x:v>
      </x:c>
      <x:c r="G2437" t="n">
        <x:v>36</x:v>
      </x:c>
      <x:c r="H2437" t="str">
        <x:v>C</x:v>
      </x:c>
      <x:c r="I2437" t="str">
        <x:v>1-3 years</x:v>
      </x:c>
      <x:c r="J2437" t="str">
        <x:v>RENT</x:v>
      </x:c>
      <x:c r="K2437" t="str">
        <x:v>debt_consolidation</x:v>
      </x:c>
      <x:c r="L2437" t="n">
        <x:v>0</x:v>
      </x:c>
      <x:c r="M2437" t="n">
        <x:v>0</x:v>
      </x:c>
      <x:c r="N2437" t="str">
        <x:v>Fully Paid</x:v>
      </x:c>
      <x:c r="O2437" t="str">
        <x:f>IF(D2437="","Unknown",IF(D2437&lt;25000,"&lt;$25k",IF(D2437&lt;50000,"$25k-$50k",IF(D2437&lt;75000,"$50k-$75k",IF(D2437&lt;100000,"$75k-$100k","$100k+")))))</x:f>
        <x:v>$75k-$100k</x:v>
      </x:c>
      <x:c r="P2437" t="str">
        <x:f>IF(E2437="","Unknown",IF(E2437&lt;10,"&lt;10",IF(E2437&lt;20,"10-&lt;20",IF(E2437&lt;25,"20-&lt;25",IF(E2437&lt;35,"25-&lt;35","35+")))))</x:f>
        <x:v>&lt;10</x:v>
      </x:c>
    </x:row>
    <x:row r="2438">
      <x:c r="A2438" t="str">
        <x:v>SYN0002437</x:v>
      </x:c>
      <x:c r="B2438" s="12" t="n">
        <x:v>41365</x:v>
      </x:c>
      <x:c r="C2438" s="18" t="n">
        <x:v>15691</x:v>
      </x:c>
      <x:c r="D2438" s="18" t="n">
        <x:v>27182</x:v>
      </x:c>
      <x:c r="E2438" s="18" t="n">
        <x:v>15.56</x:v>
      </x:c>
      <x:c r="F2438" s="18" t="n">
        <x:v>5</x:v>
      </x:c>
      <x:c r="G2438" t="n">
        <x:v>36</x:v>
      </x:c>
      <x:c r="H2438" t="str">
        <x:v>A</x:v>
      </x:c>
      <x:c r="I2438" t="str">
        <x:v>7-9 years</x:v>
      </x:c>
      <x:c r="J2438" t="str">
        <x:v>RENT</x:v>
      </x:c>
      <x:c r="K2438" t="str">
        <x:v>credit_card</x:v>
      </x:c>
      <x:c r="L2438" t="n">
        <x:v>1</x:v>
      </x:c>
      <x:c r="M2438" t="n">
        <x:v>0</x:v>
      </x:c>
      <x:c r="N2438" t="str">
        <x:v>Fully Paid</x:v>
      </x:c>
      <x:c r="O2438" t="str">
        <x:f>IF(D2438="","Unknown",IF(D2438&lt;25000,"&lt;$25k",IF(D2438&lt;50000,"$25k-$50k",IF(D2438&lt;75000,"$50k-$75k",IF(D2438&lt;100000,"$75k-$100k","$100k+")))))</x:f>
        <x:v>$25k-$50k</x:v>
      </x:c>
      <x:c r="P2438" t="str">
        <x:f>IF(E2438="","Unknown",IF(E2438&lt;10,"&lt;10",IF(E2438&lt;20,"10-&lt;20",IF(E2438&lt;25,"20-&lt;25",IF(E2438&lt;35,"25-&lt;35","35+")))))</x:f>
        <x:v>10-&lt;20</x:v>
      </x:c>
    </x:row>
    <x:row r="2439">
      <x:c r="A2439" t="str">
        <x:v>SYN0002438</x:v>
      </x:c>
      <x:c r="B2439" s="12" t="n">
        <x:v>42355</x:v>
      </x:c>
      <x:c r="C2439" s="18" t="n">
        <x:v>19278</x:v>
      </x:c>
      <x:c r="D2439" s="18" t="n">
        <x:v>64477</x:v>
      </x:c>
      <x:c r="E2439" s="18" t="n">
        <x:v>21.63</x:v>
      </x:c>
      <x:c r="F2439" s="18" t="n">
        <x:v>20.81</x:v>
      </x:c>
      <x:c r="G2439" t="n">
        <x:v>36</x:v>
      </x:c>
      <x:c r="H2439" t="str">
        <x:v>F</x:v>
      </x:c>
      <x:c r="I2439" t="str">
        <x:v>1-3 years</x:v>
      </x:c>
      <x:c r="J2439" t="str">
        <x:v>RENT</x:v>
      </x:c>
      <x:c r="K2439" t="str">
        <x:v>debt_consolidation</x:v>
      </x:c>
      <x:c r="L2439" t="n">
        <x:v>0</x:v>
      </x:c>
      <x:c r="M2439" t="n">
        <x:v>0</x:v>
      </x:c>
      <x:c r="N2439" t="str">
        <x:v>Fully Paid</x:v>
      </x:c>
      <x:c r="O2439" t="str">
        <x:f>IF(D2439="","Unknown",IF(D2439&lt;25000,"&lt;$25k",IF(D2439&lt;50000,"$25k-$50k",IF(D2439&lt;75000,"$50k-$75k",IF(D2439&lt;100000,"$75k-$100k","$100k+")))))</x:f>
        <x:v>$50k-$75k</x:v>
      </x:c>
      <x:c r="P2439" t="str">
        <x:f>IF(E2439="","Unknown",IF(E2439&lt;10,"&lt;10",IF(E2439&lt;20,"10-&lt;20",IF(E2439&lt;25,"20-&lt;25",IF(E2439&lt;35,"25-&lt;35","35+")))))</x:f>
        <x:v>20-&lt;25</x:v>
      </x:c>
    </x:row>
    <x:row r="2440">
      <x:c r="A2440" t="str">
        <x:v>SYN0002439</x:v>
      </x:c>
      <x:c r="B2440" s="12" t="n">
        <x:v>41695</x:v>
      </x:c>
      <x:c r="C2440" s="18" t="n">
        <x:v>13236</x:v>
      </x:c>
      <x:c r="D2440" s="18" t="n">
        <x:v>41389</x:v>
      </x:c>
      <x:c r="E2440" s="18" t="n">
        <x:v>14.36</x:v>
      </x:c>
      <x:c r="F2440" s="18" t="n">
        <x:v>8.58</x:v>
      </x:c>
      <x:c r="G2440" t="n">
        <x:v>36</x:v>
      </x:c>
      <x:c r="H2440" t="str">
        <x:v>C</x:v>
      </x:c>
      <x:c r="I2440" t="str">
        <x:v>7-9 years</x:v>
      </x:c>
      <x:c r="J2440" t="str">
        <x:v>MORTGAGE</x:v>
      </x:c>
      <x:c r="K2440" t="str">
        <x:v>debt_consolidation</x:v>
      </x:c>
      <x:c r="L2440" t="n">
        <x:v>0</x:v>
      </x:c>
      <x:c r="M2440" t="n">
        <x:v>0</x:v>
      </x:c>
      <x:c r="N2440" t="str">
        <x:v>Fully Paid</x:v>
      </x:c>
      <x:c r="O2440" t="str">
        <x:f>IF(D2440="","Unknown",IF(D2440&lt;25000,"&lt;$25k",IF(D2440&lt;50000,"$25k-$50k",IF(D2440&lt;75000,"$50k-$75k",IF(D2440&lt;100000,"$75k-$100k","$100k+")))))</x:f>
        <x:v>$25k-$50k</x:v>
      </x:c>
      <x:c r="P2440" t="str">
        <x:f>IF(E2440="","Unknown",IF(E2440&lt;10,"&lt;10",IF(E2440&lt;20,"10-&lt;20",IF(E2440&lt;25,"20-&lt;25",IF(E2440&lt;35,"25-&lt;35","35+")))))</x:f>
        <x:v>10-&lt;20</x:v>
      </x:c>
    </x:row>
    <x:row r="2441">
      <x:c r="A2441" t="str">
        <x:v>SYN0002440</x:v>
      </x:c>
      <x:c r="B2441" s="12" t="n">
        <x:v>42625</x:v>
      </x:c>
      <x:c r="C2441" s="18" t="n">
        <x:v>13967</x:v>
      </x:c>
      <x:c r="D2441" s="18" t="n">
        <x:v>56361</x:v>
      </x:c>
      <x:c r="E2441" s="18" t="n">
        <x:v>28.11</x:v>
      </x:c>
      <x:c r="F2441" s="18" t="n">
        <x:v>5</x:v>
      </x:c>
      <x:c r="G2441" t="n">
        <x:v>60</x:v>
      </x:c>
      <x:c r="H2441" t="str">
        <x:v>A</x:v>
      </x:c>
      <x:c r="I2441" t="str">
        <x:v>1-3 years</x:v>
      </x:c>
      <x:c r="J2441" t="str">
        <x:v>RENT</x:v>
      </x:c>
      <x:c r="K2441" t="str">
        <x:v>medical</x:v>
      </x:c>
      <x:c r="L2441" t="n">
        <x:v>1</x:v>
      </x:c>
      <x:c r="M2441" t="n">
        <x:v>0</x:v>
      </x:c>
      <x:c r="N2441" t="str">
        <x:v>Fully Paid</x:v>
      </x:c>
      <x:c r="O2441" t="str">
        <x:f>IF(D2441="","Unknown",IF(D2441&lt;25000,"&lt;$25k",IF(D2441&lt;50000,"$25k-$50k",IF(D2441&lt;75000,"$50k-$75k",IF(D2441&lt;100000,"$75k-$100k","$100k+")))))</x:f>
        <x:v>$50k-$75k</x:v>
      </x:c>
      <x:c r="P2441" t="str">
        <x:f>IF(E2441="","Unknown",IF(E2441&lt;10,"&lt;10",IF(E2441&lt;20,"10-&lt;20",IF(E2441&lt;25,"20-&lt;25",IF(E2441&lt;35,"25-&lt;35","35+")))))</x:f>
        <x:v>25-&lt;35</x:v>
      </x:c>
    </x:row>
    <x:row r="2442">
      <x:c r="A2442" t="str">
        <x:v>SYN0002441</x:v>
      </x:c>
      <x:c r="B2442" s="12" t="n">
        <x:v>41395</x:v>
      </x:c>
      <x:c r="C2442" s="18" t="n">
        <x:v>26190</x:v>
      </x:c>
      <x:c r="D2442" s="18" t="n">
        <x:v>35728</x:v>
      </x:c>
      <x:c r="E2442" s="18" t="n">
        <x:v>26.03</x:v>
      </x:c>
      <x:c r="F2442" s="18" t="n">
        <x:v>21.54</x:v>
      </x:c>
      <x:c r="G2442" t="n">
        <x:v>60</x:v>
      </x:c>
      <x:c r="H2442" t="str">
        <x:v>F</x:v>
      </x:c>
      <x:c r="I2442" t="str">
        <x:v>7-9 years</x:v>
      </x:c>
      <x:c r="J2442" t="str">
        <x:v>MORTGAGE</x:v>
      </x:c>
      <x:c r="K2442" t="str">
        <x:v>credit_card</x:v>
      </x:c>
      <x:c r="L2442" t="n">
        <x:v>0</x:v>
      </x:c>
      <x:c r="M2442" t="n">
        <x:v>1</x:v>
      </x:c>
      <x:c r="N2442" t="str">
        <x:v>Charged Off</x:v>
      </x:c>
      <x:c r="O2442" t="str">
        <x:f>IF(D2442="","Unknown",IF(D2442&lt;25000,"&lt;$25k",IF(D2442&lt;50000,"$25k-$50k",IF(D2442&lt;75000,"$50k-$75k",IF(D2442&lt;100000,"$75k-$100k","$100k+")))))</x:f>
        <x:v>$25k-$50k</x:v>
      </x:c>
      <x:c r="P2442" t="str">
        <x:f>IF(E2442="","Unknown",IF(E2442&lt;10,"&lt;10",IF(E2442&lt;20,"10-&lt;20",IF(E2442&lt;25,"20-&lt;25",IF(E2442&lt;35,"25-&lt;35","35+")))))</x:f>
        <x:v>25-&lt;35</x:v>
      </x:c>
    </x:row>
    <x:row r="2443">
      <x:c r="A2443" t="str">
        <x:v>SYN0002442</x:v>
      </x:c>
      <x:c r="B2443" s="12" t="n">
        <x:v>42085</x:v>
      </x:c>
      <x:c r="C2443" s="18" t="n">
        <x:v>24508</x:v>
      </x:c>
      <x:c r="D2443" s="18" t="n">
        <x:v>30718</x:v>
      </x:c>
      <x:c r="E2443" s="18" t="n">
        <x:v>17.91</x:v>
      </x:c>
      <x:c r="F2443" s="18" t="n">
        <x:v>19.75</x:v>
      </x:c>
      <x:c r="G2443" t="n">
        <x:v>36</x:v>
      </x:c>
      <x:c r="H2443" t="str">
        <x:v>E</x:v>
      </x:c>
      <x:c r="I2443" t="str">
        <x:v>10+ years</x:v>
      </x:c>
      <x:c r="J2443" t="str">
        <x:v>OWN</x:v>
      </x:c>
      <x:c r="K2443" t="str">
        <x:v>debt_consolidation</x:v>
      </x:c>
      <x:c r="L2443" t="n">
        <x:v>0</x:v>
      </x:c>
      <x:c r="M2443" t="n">
        <x:v>0</x:v>
      </x:c>
      <x:c r="N2443" t="str">
        <x:v>Fully Paid</x:v>
      </x:c>
      <x:c r="O2443" t="str">
        <x:f>IF(D2443="","Unknown",IF(D2443&lt;25000,"&lt;$25k",IF(D2443&lt;50000,"$25k-$50k",IF(D2443&lt;75000,"$50k-$75k",IF(D2443&lt;100000,"$75k-$100k","$100k+")))))</x:f>
        <x:v>$25k-$50k</x:v>
      </x:c>
      <x:c r="P2443" t="str">
        <x:f>IF(E2443="","Unknown",IF(E2443&lt;10,"&lt;10",IF(E2443&lt;20,"10-&lt;20",IF(E2443&lt;25,"20-&lt;25",IF(E2443&lt;35,"25-&lt;35","35+")))))</x:f>
        <x:v>10-&lt;20</x:v>
      </x:c>
    </x:row>
    <x:row r="2444">
      <x:c r="A2444" t="str">
        <x:v>SYN0002443</x:v>
      </x:c>
      <x:c r="B2444" s="12" t="n">
        <x:v>41275</x:v>
      </x:c>
      <x:c r="C2444" s="18" t="n">
        <x:v>9065</x:v>
      </x:c>
      <x:c r="D2444" s="18" t="n">
        <x:v>35714</x:v>
      </x:c>
      <x:c r="E2444" s="18" t="n">
        <x:v>9.95</x:v>
      </x:c>
      <x:c r="F2444" s="18" t="n">
        <x:v>12.75</x:v>
      </x:c>
      <x:c r="G2444" t="n">
        <x:v>60</x:v>
      </x:c>
      <x:c r="H2444" t="str">
        <x:v>C</x:v>
      </x:c>
      <x:c r="I2444" t="str">
        <x:v>1-3 years</x:v>
      </x:c>
      <x:c r="J2444" t="str">
        <x:v>MORTGAGE</x:v>
      </x:c>
      <x:c r="K2444" t="str">
        <x:v>credit_card</x:v>
      </x:c>
      <x:c r="L2444" t="n">
        <x:v>0</x:v>
      </x:c>
      <x:c r="M2444" t="n">
        <x:v>0</x:v>
      </x:c>
      <x:c r="N2444" t="str">
        <x:v>Fully Paid</x:v>
      </x:c>
      <x:c r="O2444" t="str">
        <x:f>IF(D2444="","Unknown",IF(D2444&lt;25000,"&lt;$25k",IF(D2444&lt;50000,"$25k-$50k",IF(D2444&lt;75000,"$50k-$75k",IF(D2444&lt;100000,"$75k-$100k","$100k+")))))</x:f>
        <x:v>$25k-$50k</x:v>
      </x:c>
      <x:c r="P2444" t="str">
        <x:f>IF(E2444="","Unknown",IF(E2444&lt;10,"&lt;10",IF(E2444&lt;20,"10-&lt;20",IF(E2444&lt;25,"20-&lt;25",IF(E2444&lt;35,"25-&lt;35","35+")))))</x:f>
        <x:v>&lt;10</x:v>
      </x:c>
    </x:row>
    <x:row r="2445">
      <x:c r="A2445" t="str">
        <x:v>SYN0002444</x:v>
      </x:c>
      <x:c r="B2445" s="12" t="n">
        <x:v>42115</x:v>
      </x:c>
      <x:c r="C2445" s="18" t="n">
        <x:v>15961</x:v>
      </x:c>
      <x:c r="D2445" s="18" t="n">
        <x:v>46623</x:v>
      </x:c>
      <x:c r="E2445" s="18" t="n">
        <x:v>16.39</x:v>
      </x:c>
      <x:c r="F2445" s="18" t="n">
        <x:v>9.6</x:v>
      </x:c>
      <x:c r="G2445" t="n">
        <x:v>36</x:v>
      </x:c>
      <x:c r="H2445" t="str">
        <x:v>B</x:v>
      </x:c>
      <x:c r="I2445" t="str">
        <x:v>1-3 years</x:v>
      </x:c>
      <x:c r="J2445" t="str">
        <x:v>RENT</x:v>
      </x:c>
      <x:c r="K2445" t="str">
        <x:v>medical</x:v>
      </x:c>
      <x:c r="L2445" t="n">
        <x:v>0</x:v>
      </x:c>
      <x:c r="M2445" t="n">
        <x:v>0</x:v>
      </x:c>
      <x:c r="N2445" t="str">
        <x:v>Fully Paid</x:v>
      </x:c>
      <x:c r="O2445" t="str">
        <x:f>IF(D2445="","Unknown",IF(D2445&lt;25000,"&lt;$25k",IF(D2445&lt;50000,"$25k-$50k",IF(D2445&lt;75000,"$50k-$75k",IF(D2445&lt;100000,"$75k-$100k","$100k+")))))</x:f>
        <x:v>$25k-$50k</x:v>
      </x:c>
      <x:c r="P2445" t="str">
        <x:f>IF(E2445="","Unknown",IF(E2445&lt;10,"&lt;10",IF(E2445&lt;20,"10-&lt;20",IF(E2445&lt;25,"20-&lt;25",IF(E2445&lt;35,"25-&lt;35","35+")))))</x:f>
        <x:v>10-&lt;20</x:v>
      </x:c>
    </x:row>
    <x:row r="2446">
      <x:c r="A2446" t="str">
        <x:v>SYN0002445</x:v>
      </x:c>
      <x:c r="B2446" s="12" t="n">
        <x:v>43075</x:v>
      </x:c>
      <x:c r="C2446" s="18" t="n">
        <x:v>8437</x:v>
      </x:c>
      <x:c r="D2446" s="18" t="n">
        <x:v>19565</x:v>
      </x:c>
      <x:c r="E2446" s="18" t="n">
        <x:v>26.25</x:v>
      </x:c>
      <x:c r="F2446" s="18" t="n">
        <x:v>20.72</x:v>
      </x:c>
      <x:c r="G2446" t="n">
        <x:v>60</x:v>
      </x:c>
      <x:c r="H2446" t="str">
        <x:v>E</x:v>
      </x:c>
      <x:c r="I2446" t="str">
        <x:v>1-3 years</x:v>
      </x:c>
      <x:c r="J2446" t="str">
        <x:v>MORTGAGE</x:v>
      </x:c>
      <x:c r="K2446" t="str">
        <x:v>debt_consolidation</x:v>
      </x:c>
      <x:c r="L2446" t="n">
        <x:v>0</x:v>
      </x:c>
      <x:c r="M2446" t="n">
        <x:v>1</x:v>
      </x:c>
      <x:c r="N2446" t="str">
        <x:v>Charged Off</x:v>
      </x:c>
      <x:c r="O2446" t="str">
        <x:f>IF(D2446="","Unknown",IF(D2446&lt;25000,"&lt;$25k",IF(D2446&lt;50000,"$25k-$50k",IF(D2446&lt;75000,"$50k-$75k",IF(D2446&lt;100000,"$75k-$100k","$100k+")))))</x:f>
        <x:v>&lt;$25k</x:v>
      </x:c>
      <x:c r="P2446" t="str">
        <x:f>IF(E2446="","Unknown",IF(E2446&lt;10,"&lt;10",IF(E2446&lt;20,"10-&lt;20",IF(E2446&lt;25,"20-&lt;25",IF(E2446&lt;35,"25-&lt;35","35+")))))</x:f>
        <x:v>25-&lt;35</x:v>
      </x:c>
    </x:row>
    <x:row r="2447">
      <x:c r="A2447" t="str">
        <x:v>SYN0002446</x:v>
      </x:c>
      <x:c r="B2447" s="12" t="n">
        <x:v>42355</x:v>
      </x:c>
      <x:c r="C2447" s="18" t="n">
        <x:v>12778</x:v>
      </x:c>
      <x:c r="D2447" s="18" t="n">
        <x:v>57937</x:v>
      </x:c>
      <x:c r="E2447" s="18" t="n">
        <x:v>22.28</x:v>
      </x:c>
      <x:c r="F2447" s="18" t="n">
        <x:v>15.47</x:v>
      </x:c>
      <x:c r="G2447" t="n">
        <x:v>36</x:v>
      </x:c>
      <x:c r="H2447" t="str">
        <x:v>D</x:v>
      </x:c>
      <x:c r="I2447" t="str">
        <x:v>7-9 years</x:v>
      </x:c>
      <x:c r="J2447" t="str">
        <x:v>RENT</x:v>
      </x:c>
      <x:c r="K2447" t="str">
        <x:v>debt_consolidation</x:v>
      </x:c>
      <x:c r="L2447" t="n">
        <x:v>0</x:v>
      </x:c>
      <x:c r="M2447" t="n">
        <x:v>0</x:v>
      </x:c>
      <x:c r="N2447" t="str">
        <x:v>Fully Paid</x:v>
      </x:c>
      <x:c r="O2447" t="str">
        <x:f>IF(D2447="","Unknown",IF(D2447&lt;25000,"&lt;$25k",IF(D2447&lt;50000,"$25k-$50k",IF(D2447&lt;75000,"$50k-$75k",IF(D2447&lt;100000,"$75k-$100k","$100k+")))))</x:f>
        <x:v>$50k-$75k</x:v>
      </x:c>
      <x:c r="P2447" t="str">
        <x:f>IF(E2447="","Unknown",IF(E2447&lt;10,"&lt;10",IF(E2447&lt;20,"10-&lt;20",IF(E2447&lt;25,"20-&lt;25",IF(E2447&lt;35,"25-&lt;35","35+")))))</x:f>
        <x:v>20-&lt;25</x:v>
      </x:c>
    </x:row>
    <x:row r="2448">
      <x:c r="A2448" t="str">
        <x:v>SYN0002447</x:v>
      </x:c>
      <x:c r="B2448" s="12" t="n">
        <x:v>43015</x:v>
      </x:c>
      <x:c r="C2448" s="18" t="n">
        <x:v>8656</x:v>
      </x:c>
      <x:c r="D2448" s="18" t="n">
        <x:v>54065</x:v>
      </x:c>
      <x:c r="E2448" s="18" t="n">
        <x:v>22.31</x:v>
      </x:c>
      <x:c r="F2448" s="18" t="n">
        <x:v>18</x:v>
      </x:c>
      <x:c r="G2448" t="n">
        <x:v>36</x:v>
      </x:c>
      <x:c r="H2448" t="str">
        <x:v>E</x:v>
      </x:c>
      <x:c r="I2448" t="str">
        <x:v>7-9 years</x:v>
      </x:c>
      <x:c r="J2448" t="str">
        <x:v>MORTGAGE</x:v>
      </x:c>
      <x:c r="K2448" t="str">
        <x:v>credit_card</x:v>
      </x:c>
      <x:c r="L2448" t="n">
        <x:v>2</x:v>
      </x:c>
      <x:c r="M2448" t="n">
        <x:v>0</x:v>
      </x:c>
      <x:c r="N2448" t="str">
        <x:v>Fully Paid</x:v>
      </x:c>
      <x:c r="O2448" t="str">
        <x:f>IF(D2448="","Unknown",IF(D2448&lt;25000,"&lt;$25k",IF(D2448&lt;50000,"$25k-$50k",IF(D2448&lt;75000,"$50k-$75k",IF(D2448&lt;100000,"$75k-$100k","$100k+")))))</x:f>
        <x:v>$50k-$75k</x:v>
      </x:c>
      <x:c r="P2448" t="str">
        <x:f>IF(E2448="","Unknown",IF(E2448&lt;10,"&lt;10",IF(E2448&lt;20,"10-&lt;20",IF(E2448&lt;25,"20-&lt;25",IF(E2448&lt;35,"25-&lt;35","35+")))))</x:f>
        <x:v>20-&lt;25</x:v>
      </x:c>
    </x:row>
    <x:row r="2449">
      <x:c r="A2449" t="str">
        <x:v>SYN0002448</x:v>
      </x:c>
      <x:c r="B2449" s="12" t="n">
        <x:v>41425</x:v>
      </x:c>
      <x:c r="C2449" s="18" t="n">
        <x:v>6272</x:v>
      </x:c>
      <x:c r="D2449" s="18" t="n">
        <x:v>39200</x:v>
      </x:c>
      <x:c r="E2449" s="18" t="n">
        <x:v>30.17</x:v>
      </x:c>
      <x:c r="F2449" s="18" t="n">
        <x:v>19.52</x:v>
      </x:c>
      <x:c r="G2449" t="n">
        <x:v>36</x:v>
      </x:c>
      <x:c r="H2449" t="str">
        <x:v>E</x:v>
      </x:c>
      <x:c r="I2449" t="str">
        <x:v>4-6 years</x:v>
      </x:c>
      <x:c r="J2449" t="str">
        <x:v>RENT</x:v>
      </x:c>
      <x:c r="K2449" t="str">
        <x:v>credit_card</x:v>
      </x:c>
      <x:c r="L2449" t="n">
        <x:v>0</x:v>
      </x:c>
      <x:c r="M2449" t="n">
        <x:v>0</x:v>
      </x:c>
      <x:c r="N2449" t="str">
        <x:v>Fully Paid</x:v>
      </x:c>
      <x:c r="O2449" t="str">
        <x:f>IF(D2449="","Unknown",IF(D2449&lt;25000,"&lt;$25k",IF(D2449&lt;50000,"$25k-$50k",IF(D2449&lt;75000,"$50k-$75k",IF(D2449&lt;100000,"$75k-$100k","$100k+")))))</x:f>
        <x:v>$25k-$50k</x:v>
      </x:c>
      <x:c r="P2449" t="str">
        <x:f>IF(E2449="","Unknown",IF(E2449&lt;10,"&lt;10",IF(E2449&lt;20,"10-&lt;20",IF(E2449&lt;25,"20-&lt;25",IF(E2449&lt;35,"25-&lt;35","35+")))))</x:f>
        <x:v>25-&lt;35</x:v>
      </x:c>
    </x:row>
    <x:row r="2450">
      <x:c r="A2450" t="str">
        <x:v>SYN0002449</x:v>
      </x:c>
      <x:c r="B2450" s="12" t="n">
        <x:v>42175</x:v>
      </x:c>
      <x:c r="C2450" s="18" t="n">
        <x:v>12524</x:v>
      </x:c>
      <x:c r="D2450" s="18" t="n">
        <x:v>182842</x:v>
      </x:c>
      <x:c r="E2450" s="18" t="n">
        <x:v>21.57</x:v>
      </x:c>
      <x:c r="F2450" s="18" t="n">
        <x:v>5</x:v>
      </x:c>
      <x:c r="G2450" t="n">
        <x:v>36</x:v>
      </x:c>
      <x:c r="H2450" t="str">
        <x:v>A</x:v>
      </x:c>
      <x:c r="I2450" t="str">
        <x:v>1-3 years</x:v>
      </x:c>
      <x:c r="J2450" t="str">
        <x:v>MORTGAGE</x:v>
      </x:c>
      <x:c r="K2450" t="str">
        <x:v>credit_card</x:v>
      </x:c>
      <x:c r="L2450" t="n">
        <x:v>0</x:v>
      </x:c>
      <x:c r="M2450" t="n">
        <x:v>0</x:v>
      </x:c>
      <x:c r="N2450" t="str">
        <x:v>Fully Paid</x:v>
      </x:c>
      <x:c r="O2450" t="str">
        <x:f>IF(D2450="","Unknown",IF(D2450&lt;25000,"&lt;$25k",IF(D2450&lt;50000,"$25k-$50k",IF(D2450&lt;75000,"$50k-$75k",IF(D2450&lt;100000,"$75k-$100k","$100k+")))))</x:f>
        <x:v>$100k+</x:v>
      </x:c>
      <x:c r="P2450" t="str">
        <x:f>IF(E2450="","Unknown",IF(E2450&lt;10,"&lt;10",IF(E2450&lt;20,"10-&lt;20",IF(E2450&lt;25,"20-&lt;25",IF(E2450&lt;35,"25-&lt;35","35+")))))</x:f>
        <x:v>20-&lt;25</x:v>
      </x:c>
    </x:row>
    <x:row r="2451">
      <x:c r="A2451" t="str">
        <x:v>SYN0002450</x:v>
      </x:c>
      <x:c r="B2451" s="12" t="n">
        <x:v>41575</x:v>
      </x:c>
      <x:c r="C2451" s="18" t="n">
        <x:v>26656</x:v>
      </x:c>
      <x:c r="D2451" s="18" t="n">
        <x:v>58699</x:v>
      </x:c>
      <x:c r="E2451" s="18" t="n">
        <x:v>5.68</x:v>
      </x:c>
      <x:c r="F2451" s="18" t="n">
        <x:v>8.03</x:v>
      </x:c>
      <x:c r="G2451" t="n">
        <x:v>60</x:v>
      </x:c>
      <x:c r="H2451" t="str">
        <x:v>B</x:v>
      </x:c>
      <x:c r="I2451" t="str">
        <x:v>4-6 years</x:v>
      </x:c>
      <x:c r="J2451" t="str">
        <x:v>OWN</x:v>
      </x:c>
      <x:c r="K2451" t="str">
        <x:v>home_improvement</x:v>
      </x:c>
      <x:c r="L2451" t="n">
        <x:v>1</x:v>
      </x:c>
      <x:c r="M2451" t="n">
        <x:v>0</x:v>
      </x:c>
      <x:c r="N2451" t="str">
        <x:v>Fully Paid</x:v>
      </x:c>
      <x:c r="O2451" t="str">
        <x:f>IF(D2451="","Unknown",IF(D2451&lt;25000,"&lt;$25k",IF(D2451&lt;50000,"$25k-$50k",IF(D2451&lt;75000,"$50k-$75k",IF(D2451&lt;100000,"$75k-$100k","$100k+")))))</x:f>
        <x:v>$50k-$75k</x:v>
      </x:c>
      <x:c r="P2451" t="str">
        <x:f>IF(E2451="","Unknown",IF(E2451&lt;10,"&lt;10",IF(E2451&lt;20,"10-&lt;20",IF(E2451&lt;25,"20-&lt;25",IF(E2451&lt;35,"25-&lt;35","35+")))))</x:f>
        <x:v>&lt;10</x:v>
      </x:c>
    </x:row>
    <x:row r="2452">
      <x:c r="A2452" t="str">
        <x:v>SYN0002451</x:v>
      </x:c>
      <x:c r="B2452" s="12" t="n">
        <x:v>41425</x:v>
      </x:c>
      <x:c r="C2452" s="18" t="n">
        <x:v>14477</x:v>
      </x:c>
      <x:c r="D2452" s="18" t="n">
        <x:v>123533</x:v>
      </x:c>
      <x:c r="E2452" s="18" t="n">
        <x:v>27.43</x:v>
      </x:c>
      <x:c r="F2452" s="18" t="n">
        <x:v>13.6</x:v>
      </x:c>
      <x:c r="G2452" t="n">
        <x:v>36</x:v>
      </x:c>
      <x:c r="H2452" t="str">
        <x:v>D</x:v>
      </x:c>
      <x:c r="I2452" t="str">
        <x:v>4-6 years</x:v>
      </x:c>
      <x:c r="J2452" t="str">
        <x:v>OWN</x:v>
      </x:c>
      <x:c r="K2452" t="str">
        <x:v>debt_consolidation</x:v>
      </x:c>
      <x:c r="L2452" t="n">
        <x:v>1</x:v>
      </x:c>
      <x:c r="M2452" t="n">
        <x:v>0</x:v>
      </x:c>
      <x:c r="N2452" t="str">
        <x:v>Fully Paid</x:v>
      </x:c>
      <x:c r="O2452" t="str">
        <x:f>IF(D2452="","Unknown",IF(D2452&lt;25000,"&lt;$25k",IF(D2452&lt;50000,"$25k-$50k",IF(D2452&lt;75000,"$50k-$75k",IF(D2452&lt;100000,"$75k-$100k","$100k+")))))</x:f>
        <x:v>$100k+</x:v>
      </x:c>
      <x:c r="P2452" t="str">
        <x:f>IF(E2452="","Unknown",IF(E2452&lt;10,"&lt;10",IF(E2452&lt;20,"10-&lt;20",IF(E2452&lt;25,"20-&lt;25",IF(E2452&lt;35,"25-&lt;35","35+")))))</x:f>
        <x:v>25-&lt;35</x:v>
      </x:c>
    </x:row>
    <x:row r="2453">
      <x:c r="A2453" t="str">
        <x:v>SYN0002452</x:v>
      </x:c>
      <x:c r="B2453" s="12" t="n">
        <x:v>41485</x:v>
      </x:c>
      <x:c r="C2453" s="18" t="n">
        <x:v>7617</x:v>
      </x:c>
      <x:c r="D2453" s="18" t="n">
        <x:v>35427</x:v>
      </x:c>
      <x:c r="E2453" s="18" t="n">
        <x:v>10.96</x:v>
      </x:c>
      <x:c r="F2453" s="18" t="n">
        <x:v>11.31</x:v>
      </x:c>
      <x:c r="G2453" t="n">
        <x:v>36</x:v>
      </x:c>
      <x:c r="H2453" t="str">
        <x:v>C</x:v>
      </x:c>
      <x:c r="I2453" t="str">
        <x:v>4-6 years</x:v>
      </x:c>
      <x:c r="J2453" t="str">
        <x:v>RENT</x:v>
      </x:c>
      <x:c r="K2453" t="str">
        <x:v>debt_consolidation</x:v>
      </x:c>
      <x:c r="L2453" t="n">
        <x:v>0</x:v>
      </x:c>
      <x:c r="M2453" t="n">
        <x:v>0</x:v>
      </x:c>
      <x:c r="N2453" t="str">
        <x:v>Fully Paid</x:v>
      </x:c>
      <x:c r="O2453" t="str">
        <x:f>IF(D2453="","Unknown",IF(D2453&lt;25000,"&lt;$25k",IF(D2453&lt;50000,"$25k-$50k",IF(D2453&lt;75000,"$50k-$75k",IF(D2453&lt;100000,"$75k-$100k","$100k+")))))</x:f>
        <x:v>$25k-$50k</x:v>
      </x:c>
      <x:c r="P2453" t="str">
        <x:f>IF(E2453="","Unknown",IF(E2453&lt;10,"&lt;10",IF(E2453&lt;20,"10-&lt;20",IF(E2453&lt;25,"20-&lt;25",IF(E2453&lt;35,"25-&lt;35","35+")))))</x:f>
        <x:v>10-&lt;20</x:v>
      </x:c>
    </x:row>
    <x:row r="2454">
      <x:c r="A2454" t="str">
        <x:v>SYN0002453</x:v>
      </x:c>
      <x:c r="B2454" s="12" t="n">
        <x:v>42955</x:v>
      </x:c>
      <x:c r="C2454" s="18" t="n">
        <x:v>14639</x:v>
      </x:c>
      <x:c r="D2454" s="18" t="n">
        <x:v>224661</x:v>
      </x:c>
      <x:c r="E2454" s="18" t="n">
        <x:v>23.03</x:v>
      </x:c>
      <x:c r="F2454" s="18" t="n">
        <x:v>9.62</x:v>
      </x:c>
      <x:c r="G2454" t="n">
        <x:v>36</x:v>
      </x:c>
      <x:c r="H2454" t="str">
        <x:v>C</x:v>
      </x:c>
      <x:c r="I2454" t="str">
        <x:v>1-3 years</x:v>
      </x:c>
      <x:c r="J2454" t="str">
        <x:v>MORTGAGE</x:v>
      </x:c>
      <x:c r="K2454" t="str">
        <x:v>debt_consolidation</x:v>
      </x:c>
      <x:c r="L2454" t="n">
        <x:v>1</x:v>
      </x:c>
      <x:c r="M2454" t="n">
        <x:v>0</x:v>
      </x:c>
      <x:c r="N2454" t="str">
        <x:v>Fully Paid</x:v>
      </x:c>
      <x:c r="O2454" t="str">
        <x:f>IF(D2454="","Unknown",IF(D2454&lt;25000,"&lt;$25k",IF(D2454&lt;50000,"$25k-$50k",IF(D2454&lt;75000,"$50k-$75k",IF(D2454&lt;100000,"$75k-$100k","$100k+")))))</x:f>
        <x:v>$100k+</x:v>
      </x:c>
      <x:c r="P2454" t="str">
        <x:f>IF(E2454="","Unknown",IF(E2454&lt;10,"&lt;10",IF(E2454&lt;20,"10-&lt;20",IF(E2454&lt;25,"20-&lt;25",IF(E2454&lt;35,"25-&lt;35","35+")))))</x:f>
        <x:v>20-&lt;25</x:v>
      </x:c>
    </x:row>
    <x:row r="2455">
      <x:c r="A2455" t="str">
        <x:v>SYN0002454</x:v>
      </x:c>
      <x:c r="B2455" s="12" t="n">
        <x:v>41605</x:v>
      </x:c>
      <x:c r="C2455" s="18" t="n">
        <x:v>8169</x:v>
      </x:c>
      <x:c r="D2455" s="18" t="n">
        <x:v>14620</x:v>
      </x:c>
      <x:c r="E2455" s="18" t="n">
        <x:v>23.75</x:v>
      </x:c>
      <x:c r="F2455" s="18" t="n">
        <x:v>9.85</x:v>
      </x:c>
      <x:c r="G2455" t="n">
        <x:v>36</x:v>
      </x:c>
      <x:c r="H2455" t="str">
        <x:v>C</x:v>
      </x:c>
      <x:c r="I2455" t="str">
        <x:v>4-6 years</x:v>
      </x:c>
      <x:c r="J2455" t="str">
        <x:v>MORTGAGE</x:v>
      </x:c>
      <x:c r="K2455" t="str">
        <x:v>major_purchase</x:v>
      </x:c>
      <x:c r="L2455" t="n">
        <x:v>1</x:v>
      </x:c>
      <x:c r="M2455" t="n">
        <x:v>0</x:v>
      </x:c>
      <x:c r="N2455" t="str">
        <x:v>Fully Paid</x:v>
      </x:c>
      <x:c r="O2455" t="str">
        <x:f>IF(D2455="","Unknown",IF(D2455&lt;25000,"&lt;$25k",IF(D2455&lt;50000,"$25k-$50k",IF(D2455&lt;75000,"$50k-$75k",IF(D2455&lt;100000,"$75k-$100k","$100k+")))))</x:f>
        <x:v>&lt;$25k</x:v>
      </x:c>
      <x:c r="P2455" t="str">
        <x:f>IF(E2455="","Unknown",IF(E2455&lt;10,"&lt;10",IF(E2455&lt;20,"10-&lt;20",IF(E2455&lt;25,"20-&lt;25",IF(E2455&lt;35,"25-&lt;35","35+")))))</x:f>
        <x:v>20-&lt;25</x:v>
      </x:c>
    </x:row>
    <x:row r="2456">
      <x:c r="A2456" t="str">
        <x:v>SYN0002455</x:v>
      </x:c>
      <x:c r="B2456" s="12" t="n">
        <x:v>41845</x:v>
      </x:c>
      <x:c r="C2456" s="18" t="n">
        <x:v>10117</x:v>
      </x:c>
      <x:c r="D2456" s="18" t="n">
        <x:v>23892</x:v>
      </x:c>
      <x:c r="E2456" s="18" t="n">
        <x:v>40.83</x:v>
      </x:c>
      <x:c r="F2456" s="18" t="n">
        <x:v>15.18</x:v>
      </x:c>
      <x:c r="G2456" t="n">
        <x:v>36</x:v>
      </x:c>
      <x:c r="H2456" t="str">
        <x:v>D</x:v>
      </x:c>
      <x:c r="I2456" t="str">
        <x:v>1-3 years</x:v>
      </x:c>
      <x:c r="J2456" t="str">
        <x:v>MORTGAGE</x:v>
      </x:c>
      <x:c r="K2456" t="str">
        <x:v>major_purchase</x:v>
      </x:c>
      <x:c r="L2456" t="n">
        <x:v>0</x:v>
      </x:c>
      <x:c r="M2456" t="n">
        <x:v>0</x:v>
      </x:c>
      <x:c r="N2456" t="str">
        <x:v>Fully Paid</x:v>
      </x:c>
      <x:c r="O2456" t="str">
        <x:f>IF(D2456="","Unknown",IF(D2456&lt;25000,"&lt;$25k",IF(D2456&lt;50000,"$25k-$50k",IF(D2456&lt;75000,"$50k-$75k",IF(D2456&lt;100000,"$75k-$100k","$100k+")))))</x:f>
        <x:v>&lt;$25k</x:v>
      </x:c>
      <x:c r="P2456" t="str">
        <x:f>IF(E2456="","Unknown",IF(E2456&lt;10,"&lt;10",IF(E2456&lt;20,"10-&lt;20",IF(E2456&lt;25,"20-&lt;25",IF(E2456&lt;35,"25-&lt;35","35+")))))</x:f>
        <x:v>35+</x:v>
      </x:c>
    </x:row>
    <x:row r="2457">
      <x:c r="A2457" t="str">
        <x:v>SYN0002456</x:v>
      </x:c>
      <x:c r="B2457" s="12" t="n">
        <x:v>43165</x:v>
      </x:c>
      <x:c r="C2457" s="18" t="n">
        <x:v>5487</x:v>
      </x:c>
      <x:c r="D2457" s="18" t="n">
        <x:v>44198</x:v>
      </x:c>
      <x:c r="E2457" s="18" t="n">
        <x:v>21.77</x:v>
      </x:c>
      <x:c r="F2457" s="18" t="n">
        <x:v>18.07</x:v>
      </x:c>
      <x:c r="G2457" t="n">
        <x:v>36</x:v>
      </x:c>
      <x:c r="H2457" t="str">
        <x:v>E</x:v>
      </x:c>
      <x:c r="I2457" t="str">
        <x:v>1-3 years</x:v>
      </x:c>
      <x:c r="J2457" t="str">
        <x:v>RENT</x:v>
      </x:c>
      <x:c r="K2457" t="str">
        <x:v>other</x:v>
      </x:c>
      <x:c r="L2457" t="n">
        <x:v>1</x:v>
      </x:c>
      <x:c r="M2457" t="n">
        <x:v>0</x:v>
      </x:c>
      <x:c r="N2457" t="str">
        <x:v>Fully Paid</x:v>
      </x:c>
      <x:c r="O2457" t="str">
        <x:f>IF(D2457="","Unknown",IF(D2457&lt;25000,"&lt;$25k",IF(D2457&lt;50000,"$25k-$50k",IF(D2457&lt;75000,"$50k-$75k",IF(D2457&lt;100000,"$75k-$100k","$100k+")))))</x:f>
        <x:v>$25k-$50k</x:v>
      </x:c>
      <x:c r="P2457" t="str">
        <x:f>IF(E2457="","Unknown",IF(E2457&lt;10,"&lt;10",IF(E2457&lt;20,"10-&lt;20",IF(E2457&lt;25,"20-&lt;25",IF(E2457&lt;35,"25-&lt;35","35+")))))</x:f>
        <x:v>20-&lt;25</x:v>
      </x:c>
    </x:row>
    <x:row r="2458">
      <x:c r="A2458" t="str">
        <x:v>SYN0002457</x:v>
      </x:c>
      <x:c r="B2458" s="12" t="n">
        <x:v>43105</x:v>
      </x:c>
      <x:c r="C2458" s="18" t="n">
        <x:v>10976</x:v>
      </x:c>
      <x:c r="D2458" s="18" t="n">
        <x:v>30192</x:v>
      </x:c>
      <x:c r="E2458" s="18" t="n">
        <x:v>12.8</x:v>
      </x:c>
      <x:c r="F2458" s="18" t="n">
        <x:v>7.49</x:v>
      </x:c>
      <x:c r="G2458" t="n">
        <x:v>36</x:v>
      </x:c>
      <x:c r="H2458" t="str">
        <x:v>B</x:v>
      </x:c>
      <x:c r="I2458" t="str">
        <x:v>1-3 years</x:v>
      </x:c>
      <x:c r="J2458" t="str">
        <x:v>RENT</x:v>
      </x:c>
      <x:c r="K2458" t="str">
        <x:v>other</x:v>
      </x:c>
      <x:c r="L2458" t="n">
        <x:v>1</x:v>
      </x:c>
      <x:c r="M2458" t="n">
        <x:v>0</x:v>
      </x:c>
      <x:c r="N2458" t="str">
        <x:v>Fully Paid</x:v>
      </x:c>
      <x:c r="O2458" t="str">
        <x:f>IF(D2458="","Unknown",IF(D2458&lt;25000,"&lt;$25k",IF(D2458&lt;50000,"$25k-$50k",IF(D2458&lt;75000,"$50k-$75k",IF(D2458&lt;100000,"$75k-$100k","$100k+")))))</x:f>
        <x:v>$25k-$50k</x:v>
      </x:c>
      <x:c r="P2458" t="str">
        <x:f>IF(E2458="","Unknown",IF(E2458&lt;10,"&lt;10",IF(E2458&lt;20,"10-&lt;20",IF(E2458&lt;25,"20-&lt;25",IF(E2458&lt;35,"25-&lt;35","35+")))))</x:f>
        <x:v>10-&lt;20</x:v>
      </x:c>
    </x:row>
    <x:row r="2459">
      <x:c r="A2459" t="str">
        <x:v>SYN0002458</x:v>
      </x:c>
      <x:c r="B2459" s="12" t="n">
        <x:v>41485</x:v>
      </x:c>
      <x:c r="C2459" s="18" t="n">
        <x:v>18231</x:v>
      </x:c>
      <x:c r="D2459" s="18" t="n">
        <x:v>13050</x:v>
      </x:c>
      <x:c r="E2459" s="18" t="n">
        <x:v>15.58</x:v>
      </x:c>
      <x:c r="F2459" s="18" t="n">
        <x:v>18.38</x:v>
      </x:c>
      <x:c r="G2459" t="n">
        <x:v>60</x:v>
      </x:c>
      <x:c r="H2459" t="str">
        <x:v>E</x:v>
      </x:c>
      <x:c r="I2459" t="str">
        <x:v>&lt;1 year</x:v>
      </x:c>
      <x:c r="J2459" t="str">
        <x:v>RENT</x:v>
      </x:c>
      <x:c r="K2459" t="str">
        <x:v>major_purchase</x:v>
      </x:c>
      <x:c r="L2459" t="n">
        <x:v>3</x:v>
      </x:c>
      <x:c r="M2459" t="n">
        <x:v>0</x:v>
      </x:c>
      <x:c r="N2459" t="str">
        <x:v>Fully Paid</x:v>
      </x:c>
      <x:c r="O2459" t="str">
        <x:f>IF(D2459="","Unknown",IF(D2459&lt;25000,"&lt;$25k",IF(D2459&lt;50000,"$25k-$50k",IF(D2459&lt;75000,"$50k-$75k",IF(D2459&lt;100000,"$75k-$100k","$100k+")))))</x:f>
        <x:v>&lt;$25k</x:v>
      </x:c>
      <x:c r="P2459" t="str">
        <x:f>IF(E2459="","Unknown",IF(E2459&lt;10,"&lt;10",IF(E2459&lt;20,"10-&lt;20",IF(E2459&lt;25,"20-&lt;25",IF(E2459&lt;35,"25-&lt;35","35+")))))</x:f>
        <x:v>10-&lt;20</x:v>
      </x:c>
    </x:row>
    <x:row r="2460">
      <x:c r="A2460" t="str">
        <x:v>SYN0002459</x:v>
      </x:c>
      <x:c r="B2460" s="12" t="n">
        <x:v>42535</x:v>
      </x:c>
      <x:c r="C2460" s="18" t="n">
        <x:v>20814</x:v>
      </x:c>
      <x:c r="D2460" s="18" t="n">
        <x:v>35063</x:v>
      </x:c>
      <x:c r="E2460" s="18" t="n">
        <x:v>31.18</x:v>
      </x:c>
      <x:c r="F2460" s="18" t="n">
        <x:v>12.05</x:v>
      </x:c>
      <x:c r="G2460" t="n">
        <x:v>36</x:v>
      </x:c>
      <x:c r="H2460" t="str">
        <x:v>C</x:v>
      </x:c>
      <x:c r="I2460" t="str">
        <x:v>10+ years</x:v>
      </x:c>
      <x:c r="J2460" t="str">
        <x:v>MORTGAGE</x:v>
      </x:c>
      <x:c r="K2460" t="str">
        <x:v>credit_card</x:v>
      </x:c>
      <x:c r="L2460" t="n">
        <x:v>0</x:v>
      </x:c>
      <x:c r="M2460" t="n">
        <x:v>1</x:v>
      </x:c>
      <x:c r="N2460" t="str">
        <x:v>Charged Off</x:v>
      </x:c>
      <x:c r="O2460" t="str">
        <x:f>IF(D2460="","Unknown",IF(D2460&lt;25000,"&lt;$25k",IF(D2460&lt;50000,"$25k-$50k",IF(D2460&lt;75000,"$50k-$75k",IF(D2460&lt;100000,"$75k-$100k","$100k+")))))</x:f>
        <x:v>$25k-$50k</x:v>
      </x:c>
      <x:c r="P2460" t="str">
        <x:f>IF(E2460="","Unknown",IF(E2460&lt;10,"&lt;10",IF(E2460&lt;20,"10-&lt;20",IF(E2460&lt;25,"20-&lt;25",IF(E2460&lt;35,"25-&lt;35","35+")))))</x:f>
        <x:v>25-&lt;35</x:v>
      </x:c>
    </x:row>
    <x:row r="2461">
      <x:c r="A2461" t="str">
        <x:v>SYN0002460</x:v>
      </x:c>
      <x:c r="B2461" s="12" t="n">
        <x:v>42115</x:v>
      </x:c>
      <x:c r="C2461" s="18" t="n">
        <x:v>9114</x:v>
      </x:c>
      <x:c r="D2461" s="18" t="n">
        <x:v>127540</x:v>
      </x:c>
      <x:c r="E2461" s="18" t="n">
        <x:v>25.98</x:v>
      </x:c>
      <x:c r="F2461" s="18" t="n">
        <x:v>7.52</x:v>
      </x:c>
      <x:c r="G2461" t="n">
        <x:v>36</x:v>
      </x:c>
      <x:c r="H2461" t="str">
        <x:v>A</x:v>
      </x:c>
      <x:c r="I2461" t="str">
        <x:v>10+ years</x:v>
      </x:c>
      <x:c r="J2461" t="str">
        <x:v>OWN</x:v>
      </x:c>
      <x:c r="K2461" t="str">
        <x:v>home_improvement</x:v>
      </x:c>
      <x:c r="L2461" t="n">
        <x:v>0</x:v>
      </x:c>
      <x:c r="M2461" t="n">
        <x:v>0</x:v>
      </x:c>
      <x:c r="N2461" t="str">
        <x:v>Fully Paid</x:v>
      </x:c>
      <x:c r="O2461" t="str">
        <x:f>IF(D2461="","Unknown",IF(D2461&lt;25000,"&lt;$25k",IF(D2461&lt;50000,"$25k-$50k",IF(D2461&lt;75000,"$50k-$75k",IF(D2461&lt;100000,"$75k-$100k","$100k+")))))</x:f>
        <x:v>$100k+</x:v>
      </x:c>
      <x:c r="P2461" t="str">
        <x:f>IF(E2461="","Unknown",IF(E2461&lt;10,"&lt;10",IF(E2461&lt;20,"10-&lt;20",IF(E2461&lt;25,"20-&lt;25",IF(E2461&lt;35,"25-&lt;35","35+")))))</x:f>
        <x:v>25-&lt;35</x:v>
      </x:c>
    </x:row>
    <x:row r="2462">
      <x:c r="A2462" t="str">
        <x:v>SYN0002461</x:v>
      </x:c>
      <x:c r="B2462" s="12" t="n">
        <x:v>41815</x:v>
      </x:c>
      <x:c r="C2462" s="18" t="n">
        <x:v>15506</x:v>
      </x:c>
      <x:c r="D2462" s="18" t="n">
        <x:v>24867</x:v>
      </x:c>
      <x:c r="E2462" s="18" t="n">
        <x:v>8.31</x:v>
      </x:c>
      <x:c r="F2462" s="18" t="n">
        <x:v>5</x:v>
      </x:c>
      <x:c r="G2462" t="n">
        <x:v>60</x:v>
      </x:c>
      <x:c r="H2462" t="str">
        <x:v>A</x:v>
      </x:c>
      <x:c r="I2462" t="str">
        <x:v>10+ years</x:v>
      </x:c>
      <x:c r="J2462" t="str">
        <x:v>OWN</x:v>
      </x:c>
      <x:c r="K2462" t="str">
        <x:v>major_purchase</x:v>
      </x:c>
      <x:c r="L2462" t="n">
        <x:v>0</x:v>
      </x:c>
      <x:c r="M2462" t="n">
        <x:v>0</x:v>
      </x:c>
      <x:c r="N2462" t="str">
        <x:v>Fully Paid</x:v>
      </x:c>
      <x:c r="O2462" t="str">
        <x:f>IF(D2462="","Unknown",IF(D2462&lt;25000,"&lt;$25k",IF(D2462&lt;50000,"$25k-$50k",IF(D2462&lt;75000,"$50k-$75k",IF(D2462&lt;100000,"$75k-$100k","$100k+")))))</x:f>
        <x:v>&lt;$25k</x:v>
      </x:c>
      <x:c r="P2462" t="str">
        <x:f>IF(E2462="","Unknown",IF(E2462&lt;10,"&lt;10",IF(E2462&lt;20,"10-&lt;20",IF(E2462&lt;25,"20-&lt;25",IF(E2462&lt;35,"25-&lt;35","35+")))))</x:f>
        <x:v>&lt;10</x:v>
      </x:c>
    </x:row>
    <x:row r="2463">
      <x:c r="A2463" t="str">
        <x:v>SYN0002462</x:v>
      </x:c>
      <x:c r="B2463" s="12" t="n">
        <x:v>41335</x:v>
      </x:c>
      <x:c r="C2463" s="18" t="n">
        <x:v>22170</x:v>
      </x:c>
      <x:c r="D2463" s="18" t="n">
        <x:v>29455</x:v>
      </x:c>
      <x:c r="E2463" s="18" t="n">
        <x:v>22.22</x:v>
      </x:c>
      <x:c r="F2463" s="18" t="n">
        <x:v>8.56</x:v>
      </x:c>
      <x:c r="G2463" t="n">
        <x:v>36</x:v>
      </x:c>
      <x:c r="H2463" t="str">
        <x:v>B</x:v>
      </x:c>
      <x:c r="I2463" t="str">
        <x:v>1-3 years</x:v>
      </x:c>
      <x:c r="J2463" t="str">
        <x:v>MORTGAGE</x:v>
      </x:c>
      <x:c r="K2463" t="str">
        <x:v>credit_card</x:v>
      </x:c>
      <x:c r="L2463" t="n">
        <x:v>0</x:v>
      </x:c>
      <x:c r="M2463" t="n">
        <x:v>0</x:v>
      </x:c>
      <x:c r="N2463" t="str">
        <x:v>Fully Paid</x:v>
      </x:c>
      <x:c r="O2463" t="str">
        <x:f>IF(D2463="","Unknown",IF(D2463&lt;25000,"&lt;$25k",IF(D2463&lt;50000,"$25k-$50k",IF(D2463&lt;75000,"$50k-$75k",IF(D2463&lt;100000,"$75k-$100k","$100k+")))))</x:f>
        <x:v>$25k-$50k</x:v>
      </x:c>
      <x:c r="P2463" t="str">
        <x:f>IF(E2463="","Unknown",IF(E2463&lt;10,"&lt;10",IF(E2463&lt;20,"10-&lt;20",IF(E2463&lt;25,"20-&lt;25",IF(E2463&lt;35,"25-&lt;35","35+")))))</x:f>
        <x:v>20-&lt;25</x:v>
      </x:c>
    </x:row>
    <x:row r="2464">
      <x:c r="A2464" t="str">
        <x:v>SYN0002463</x:v>
      </x:c>
      <x:c r="B2464" s="12" t="n">
        <x:v>42115</x:v>
      </x:c>
      <x:c r="C2464" s="18" t="n">
        <x:v>12874</x:v>
      </x:c>
      <x:c r="D2464" s="18" t="n">
        <x:v>74149</x:v>
      </x:c>
      <x:c r="E2464" s="18" t="n">
        <x:v>14.89</x:v>
      </x:c>
      <x:c r="F2464" s="18" t="n">
        <x:v>7.47</x:v>
      </x:c>
      <x:c r="G2464" t="n">
        <x:v>60</x:v>
      </x:c>
      <x:c r="H2464" t="str">
        <x:v>A</x:v>
      </x:c>
      <x:c r="I2464" t="str">
        <x:v>1-3 years</x:v>
      </x:c>
      <x:c r="J2464" t="str">
        <x:v>RENT</x:v>
      </x:c>
      <x:c r="K2464" t="str">
        <x:v>debt_consolidation</x:v>
      </x:c>
      <x:c r="L2464" t="n">
        <x:v>0</x:v>
      </x:c>
      <x:c r="M2464" t="n">
        <x:v>0</x:v>
      </x:c>
      <x:c r="N2464" t="str">
        <x:v>Fully Paid</x:v>
      </x:c>
      <x:c r="O2464" t="str">
        <x:f>IF(D2464="","Unknown",IF(D2464&lt;25000,"&lt;$25k",IF(D2464&lt;50000,"$25k-$50k",IF(D2464&lt;75000,"$50k-$75k",IF(D2464&lt;100000,"$75k-$100k","$100k+")))))</x:f>
        <x:v>$50k-$75k</x:v>
      </x:c>
      <x:c r="P2464" t="str">
        <x:f>IF(E2464="","Unknown",IF(E2464&lt;10,"&lt;10",IF(E2464&lt;20,"10-&lt;20",IF(E2464&lt;25,"20-&lt;25",IF(E2464&lt;35,"25-&lt;35","35+")))))</x:f>
        <x:v>10-&lt;20</x:v>
      </x:c>
    </x:row>
    <x:row r="2465">
      <x:c r="A2465" t="str">
        <x:v>SYN0002464</x:v>
      </x:c>
      <x:c r="B2465" s="12" t="n">
        <x:v>41695</x:v>
      </x:c>
      <x:c r="C2465" s="18" t="n">
        <x:v>9353</x:v>
      </x:c>
      <x:c r="D2465" s="18" t="n">
        <x:v>35889</x:v>
      </x:c>
      <x:c r="E2465" s="18" t="n">
        <x:v>12.96</x:v>
      </x:c>
      <x:c r="F2465" s="18" t="n">
        <x:v>6.75</x:v>
      </x:c>
      <x:c r="G2465" t="n">
        <x:v>36</x:v>
      </x:c>
      <x:c r="H2465" t="str">
        <x:v>A</x:v>
      </x:c>
      <x:c r="I2465" t="str">
        <x:v>4-6 years</x:v>
      </x:c>
      <x:c r="J2465" t="str">
        <x:v>RENT</x:v>
      </x:c>
      <x:c r="K2465" t="str">
        <x:v>debt_consolidation</x:v>
      </x:c>
      <x:c r="L2465" t="n">
        <x:v>0</x:v>
      </x:c>
      <x:c r="M2465" t="n">
        <x:v>0</x:v>
      </x:c>
      <x:c r="N2465" t="str">
        <x:v>Fully Paid</x:v>
      </x:c>
      <x:c r="O2465" t="str">
        <x:f>IF(D2465="","Unknown",IF(D2465&lt;25000,"&lt;$25k",IF(D2465&lt;50000,"$25k-$50k",IF(D2465&lt;75000,"$50k-$75k",IF(D2465&lt;100000,"$75k-$100k","$100k+")))))</x:f>
        <x:v>$25k-$50k</x:v>
      </x:c>
      <x:c r="P2465" t="str">
        <x:f>IF(E2465="","Unknown",IF(E2465&lt;10,"&lt;10",IF(E2465&lt;20,"10-&lt;20",IF(E2465&lt;25,"20-&lt;25",IF(E2465&lt;35,"25-&lt;35","35+")))))</x:f>
        <x:v>10-&lt;20</x:v>
      </x:c>
    </x:row>
    <x:row r="2466">
      <x:c r="A2466" t="str">
        <x:v>SYN0002465</x:v>
      </x:c>
      <x:c r="B2466" s="12" t="n">
        <x:v>43255</x:v>
      </x:c>
      <x:c r="C2466" s="18" t="n">
        <x:v>12729</x:v>
      </x:c>
      <x:c r="D2466" s="18" t="n">
        <x:v>102134</x:v>
      </x:c>
      <x:c r="E2466" s="18" t="n">
        <x:v>19.48</x:v>
      </x:c>
      <x:c r="F2466" s="18" t="n">
        <x:v>13.88</x:v>
      </x:c>
      <x:c r="G2466" t="n">
        <x:v>36</x:v>
      </x:c>
      <x:c r="H2466" t="str">
        <x:v>D</x:v>
      </x:c>
      <x:c r="I2466" t="str">
        <x:v>7-9 years</x:v>
      </x:c>
      <x:c r="J2466" t="str">
        <x:v>RENT</x:v>
      </x:c>
      <x:c r="K2466" t="str">
        <x:v>credit_card</x:v>
      </x:c>
      <x:c r="L2466" t="n">
        <x:v>1</x:v>
      </x:c>
      <x:c r="M2466" t="n">
        <x:v>0</x:v>
      </x:c>
      <x:c r="N2466" t="str">
        <x:v>Fully Paid</x:v>
      </x:c>
      <x:c r="O2466" t="str">
        <x:f>IF(D2466="","Unknown",IF(D2466&lt;25000,"&lt;$25k",IF(D2466&lt;50000,"$25k-$50k",IF(D2466&lt;75000,"$50k-$75k",IF(D2466&lt;100000,"$75k-$100k","$100k+")))))</x:f>
        <x:v>$100k+</x:v>
      </x:c>
      <x:c r="P2466" t="str">
        <x:f>IF(E2466="","Unknown",IF(E2466&lt;10,"&lt;10",IF(E2466&lt;20,"10-&lt;20",IF(E2466&lt;25,"20-&lt;25",IF(E2466&lt;35,"25-&lt;35","35+")))))</x:f>
        <x:v>10-&lt;20</x:v>
      </x:c>
    </x:row>
    <x:row r="2467">
      <x:c r="A2467" t="str">
        <x:v>SYN0002466</x:v>
      </x:c>
      <x:c r="B2467" s="12" t="n">
        <x:v>41305</x:v>
      </x:c>
      <x:c r="C2467" s="18" t="n">
        <x:v>9847</x:v>
      </x:c>
      <x:c r="D2467" s="18" t="n">
        <x:v>111201</x:v>
      </x:c>
      <x:c r="E2467" s="18" t="n">
        <x:v>8.19</x:v>
      </x:c>
      <x:c r="F2467" s="18" t="n">
        <x:v>11.54</x:v>
      </x:c>
      <x:c r="G2467" t="n">
        <x:v>60</x:v>
      </x:c>
      <x:c r="H2467" t="str">
        <x:v>C</x:v>
      </x:c>
      <x:c r="I2467" t="str">
        <x:v>1-3 years</x:v>
      </x:c>
      <x:c r="J2467" t="str">
        <x:v>RENT</x:v>
      </x:c>
      <x:c r="K2467" t="str">
        <x:v>credit_card</x:v>
      </x:c>
      <x:c r="L2467" t="n">
        <x:v>1</x:v>
      </x:c>
      <x:c r="M2467" t="n">
        <x:v>0</x:v>
      </x:c>
      <x:c r="N2467" t="str">
        <x:v>Fully Paid</x:v>
      </x:c>
      <x:c r="O2467" t="str">
        <x:f>IF(D2467="","Unknown",IF(D2467&lt;25000,"&lt;$25k",IF(D2467&lt;50000,"$25k-$50k",IF(D2467&lt;75000,"$50k-$75k",IF(D2467&lt;100000,"$75k-$100k","$100k+")))))</x:f>
        <x:v>$100k+</x:v>
      </x:c>
      <x:c r="P2467" t="str">
        <x:f>IF(E2467="","Unknown",IF(E2467&lt;10,"&lt;10",IF(E2467&lt;20,"10-&lt;20",IF(E2467&lt;25,"20-&lt;25",IF(E2467&lt;35,"25-&lt;35","35+")))))</x:f>
        <x:v>&lt;10</x:v>
      </x:c>
    </x:row>
    <x:row r="2468">
      <x:c r="A2468" t="str">
        <x:v>SYN0002467</x:v>
      </x:c>
      <x:c r="B2468" s="12" t="n">
        <x:v>42595</x:v>
      </x:c>
      <x:c r="C2468" s="18" t="n">
        <x:v>5526</x:v>
      </x:c>
      <x:c r="D2468" s="18" t="n">
        <x:v>20088</x:v>
      </x:c>
      <x:c r="E2468" s="18" t="n">
        <x:v>31.46</x:v>
      </x:c>
      <x:c r="F2468" s="18" t="n">
        <x:v>20.71</x:v>
      </x:c>
      <x:c r="G2468" t="n">
        <x:v>36</x:v>
      </x:c>
      <x:c r="H2468" t="str">
        <x:v>E</x:v>
      </x:c>
      <x:c r="I2468" t="str">
        <x:v>1-3 years</x:v>
      </x:c>
      <x:c r="J2468" t="str">
        <x:v>MORTGAGE</x:v>
      </x:c>
      <x:c r="K2468" t="str">
        <x:v>debt_consolidation</x:v>
      </x:c>
      <x:c r="L2468" t="n">
        <x:v>0</x:v>
      </x:c>
      <x:c r="M2468" t="n">
        <x:v>0</x:v>
      </x:c>
      <x:c r="N2468" t="str">
        <x:v>Fully Paid</x:v>
      </x:c>
      <x:c r="O2468" t="str">
        <x:f>IF(D2468="","Unknown",IF(D2468&lt;25000,"&lt;$25k",IF(D2468&lt;50000,"$25k-$50k",IF(D2468&lt;75000,"$50k-$75k",IF(D2468&lt;100000,"$75k-$100k","$100k+")))))</x:f>
        <x:v>&lt;$25k</x:v>
      </x:c>
      <x:c r="P2468" t="str">
        <x:f>IF(E2468="","Unknown",IF(E2468&lt;10,"&lt;10",IF(E2468&lt;20,"10-&lt;20",IF(E2468&lt;25,"20-&lt;25",IF(E2468&lt;35,"25-&lt;35","35+")))))</x:f>
        <x:v>25-&lt;35</x:v>
      </x:c>
    </x:row>
    <x:row r="2469">
      <x:c r="A2469" t="str">
        <x:v>SYN0002468</x:v>
      </x:c>
      <x:c r="B2469" s="12" t="n">
        <x:v>42415</x:v>
      </x:c>
      <x:c r="C2469" s="18" t="n">
        <x:v>10748</x:v>
      </x:c>
      <x:c r="D2469" s="18" t="n">
        <x:v>47138</x:v>
      </x:c>
      <x:c r="E2469" s="18" t="n">
        <x:v>22.39</x:v>
      </x:c>
      <x:c r="F2469" s="18" t="n">
        <x:v>26.29</x:v>
      </x:c>
      <x:c r="G2469" t="n">
        <x:v>60</x:v>
      </x:c>
      <x:c r="H2469" t="str">
        <x:v>G</x:v>
      </x:c>
      <x:c r="I2469" t="str">
        <x:v>1-3 years</x:v>
      </x:c>
      <x:c r="J2469" t="str">
        <x:v>OWN</x:v>
      </x:c>
      <x:c r="K2469" t="str">
        <x:v>credit_card</x:v>
      </x:c>
      <x:c r="L2469" t="n">
        <x:v>0</x:v>
      </x:c>
      <x:c r="M2469" t="n">
        <x:v>0</x:v>
      </x:c>
      <x:c r="N2469" t="str">
        <x:v>Fully Paid</x:v>
      </x:c>
      <x:c r="O2469" t="str">
        <x:f>IF(D2469="","Unknown",IF(D2469&lt;25000,"&lt;$25k",IF(D2469&lt;50000,"$25k-$50k",IF(D2469&lt;75000,"$50k-$75k",IF(D2469&lt;100000,"$75k-$100k","$100k+")))))</x:f>
        <x:v>$25k-$50k</x:v>
      </x:c>
      <x:c r="P2469" t="str">
        <x:f>IF(E2469="","Unknown",IF(E2469&lt;10,"&lt;10",IF(E2469&lt;20,"10-&lt;20",IF(E2469&lt;25,"20-&lt;25",IF(E2469&lt;35,"25-&lt;35","35+")))))</x:f>
        <x:v>20-&lt;25</x:v>
      </x:c>
    </x:row>
    <x:row r="2470">
      <x:c r="A2470" t="str">
        <x:v>SYN0002469</x:v>
      </x:c>
      <x:c r="B2470" s="12" t="n">
        <x:v>41335</x:v>
      </x:c>
      <x:c r="C2470" s="18" t="n">
        <x:v>15657</x:v>
      </x:c>
      <x:c r="D2470" s="18" t="n">
        <x:v>51240</x:v>
      </x:c>
      <x:c r="E2470" s="18" t="n">
        <x:v>28.44</x:v>
      </x:c>
      <x:c r="F2470" s="18" t="n">
        <x:v>12.94</x:v>
      </x:c>
      <x:c r="G2470" t="n">
        <x:v>36</x:v>
      </x:c>
      <x:c r="H2470" t="str">
        <x:v>D</x:v>
      </x:c>
      <x:c r="I2470" t="str">
        <x:v>&lt;1 year</x:v>
      </x:c>
      <x:c r="J2470" t="str">
        <x:v>OWN</x:v>
      </x:c>
      <x:c r="K2470" t="str">
        <x:v>debt_consolidation</x:v>
      </x:c>
      <x:c r="L2470" t="n">
        <x:v>0</x:v>
      </x:c>
      <x:c r="M2470" t="n">
        <x:v>0</x:v>
      </x:c>
      <x:c r="N2470" t="str">
        <x:v>Fully Paid</x:v>
      </x:c>
      <x:c r="O2470" t="str">
        <x:f>IF(D2470="","Unknown",IF(D2470&lt;25000,"&lt;$25k",IF(D2470&lt;50000,"$25k-$50k",IF(D2470&lt;75000,"$50k-$75k",IF(D2470&lt;100000,"$75k-$100k","$100k+")))))</x:f>
        <x:v>$50k-$75k</x:v>
      </x:c>
      <x:c r="P2470" t="str">
        <x:f>IF(E2470="","Unknown",IF(E2470&lt;10,"&lt;10",IF(E2470&lt;20,"10-&lt;20",IF(E2470&lt;25,"20-&lt;25",IF(E2470&lt;35,"25-&lt;35","35+")))))</x:f>
        <x:v>25-&lt;35</x:v>
      </x:c>
    </x:row>
    <x:row r="2471">
      <x:c r="A2471" t="str">
        <x:v>SYN0002470</x:v>
      </x:c>
      <x:c r="B2471" s="12" t="n">
        <x:v>42805</x:v>
      </x:c>
      <x:c r="C2471" s="18" t="n">
        <x:v>11819</x:v>
      </x:c>
      <x:c r="D2471" s="18" t="n">
        <x:v>111102</x:v>
      </x:c>
      <x:c r="E2471" s="18" t="n">
        <x:v>11.21</x:v>
      </x:c>
      <x:c r="F2471" s="18" t="n">
        <x:v>8.34</x:v>
      </x:c>
      <x:c r="G2471" t="n">
        <x:v>36</x:v>
      </x:c>
      <x:c r="H2471" t="str">
        <x:v>B</x:v>
      </x:c>
      <x:c r="I2471" t="str">
        <x:v>7-9 years</x:v>
      </x:c>
      <x:c r="J2471" t="str">
        <x:v>RENT</x:v>
      </x:c>
      <x:c r="K2471" t="str">
        <x:v>debt_consolidation</x:v>
      </x:c>
      <x:c r="L2471" t="n">
        <x:v>0</x:v>
      </x:c>
      <x:c r="M2471" t="n">
        <x:v>0</x:v>
      </x:c>
      <x:c r="N2471" t="str">
        <x:v>Fully Paid</x:v>
      </x:c>
      <x:c r="O2471" t="str">
        <x:f>IF(D2471="","Unknown",IF(D2471&lt;25000,"&lt;$25k",IF(D2471&lt;50000,"$25k-$50k",IF(D2471&lt;75000,"$50k-$75k",IF(D2471&lt;100000,"$75k-$100k","$100k+")))))</x:f>
        <x:v>$100k+</x:v>
      </x:c>
      <x:c r="P2471" t="str">
        <x:f>IF(E2471="","Unknown",IF(E2471&lt;10,"&lt;10",IF(E2471&lt;20,"10-&lt;20",IF(E2471&lt;25,"20-&lt;25",IF(E2471&lt;35,"25-&lt;35","35+")))))</x:f>
        <x:v>10-&lt;20</x:v>
      </x:c>
    </x:row>
    <x:row r="2472">
      <x:c r="A2472" t="str">
        <x:v>SYN0002471</x:v>
      </x:c>
      <x:c r="B2472" s="12" t="n">
        <x:v>42655</x:v>
      </x:c>
      <x:c r="C2472" s="18" t="n">
        <x:v>32259</x:v>
      </x:c>
      <x:c r="D2472" s="18" t="n">
        <x:v>39673</x:v>
      </x:c>
      <x:c r="E2472" s="18" t="n">
        <x:v>16.23</x:v>
      </x:c>
      <x:c r="F2472" s="18" t="n">
        <x:v>5.98</x:v>
      </x:c>
      <x:c r="G2472" t="n">
        <x:v>36</x:v>
      </x:c>
      <x:c r="H2472" t="str">
        <x:v>A</x:v>
      </x:c>
      <x:c r="I2472" t="str">
        <x:v>10+ years</x:v>
      </x:c>
      <x:c r="J2472" t="str">
        <x:v>MORTGAGE</x:v>
      </x:c>
      <x:c r="K2472" t="str">
        <x:v>debt_consolidation</x:v>
      </x:c>
      <x:c r="L2472" t="n">
        <x:v>0</x:v>
      </x:c>
      <x:c r="M2472" t="n">
        <x:v>0</x:v>
      </x:c>
      <x:c r="N2472" t="str">
        <x:v>Fully Paid</x:v>
      </x:c>
      <x:c r="O2472" t="str">
        <x:f>IF(D2472="","Unknown",IF(D2472&lt;25000,"&lt;$25k",IF(D2472&lt;50000,"$25k-$50k",IF(D2472&lt;75000,"$50k-$75k",IF(D2472&lt;100000,"$75k-$100k","$100k+")))))</x:f>
        <x:v>$25k-$50k</x:v>
      </x:c>
      <x:c r="P2472" t="str">
        <x:f>IF(E2472="","Unknown",IF(E2472&lt;10,"&lt;10",IF(E2472&lt;20,"10-&lt;20",IF(E2472&lt;25,"20-&lt;25",IF(E2472&lt;35,"25-&lt;35","35+")))))</x:f>
        <x:v>10-&lt;20</x:v>
      </x:c>
    </x:row>
    <x:row r="2473">
      <x:c r="A2473" t="str">
        <x:v>SYN0002472</x:v>
      </x:c>
      <x:c r="B2473" s="12" t="n">
        <x:v>41755</x:v>
      </x:c>
      <x:c r="C2473" s="18" t="n">
        <x:v>7948</x:v>
      </x:c>
      <x:c r="D2473" s="18" t="n">
        <x:v>68850</x:v>
      </x:c>
      <x:c r="E2473" s="18" t="n">
        <x:v>31.28</x:v>
      </x:c>
      <x:c r="F2473" s="18" t="n">
        <x:v>22</x:v>
      </x:c>
      <x:c r="G2473" t="n">
        <x:v>60</x:v>
      </x:c>
      <x:c r="H2473" t="str">
        <x:v>F</x:v>
      </x:c>
      <x:c r="I2473" t="str">
        <x:v>1-3 years</x:v>
      </x:c>
      <x:c r="J2473" t="str">
        <x:v>OWN</x:v>
      </x:c>
      <x:c r="K2473" t="str">
        <x:v>other</x:v>
      </x:c>
      <x:c r="L2473" t="n">
        <x:v>0</x:v>
      </x:c>
      <x:c r="M2473" t="n">
        <x:v>0</x:v>
      </x:c>
      <x:c r="N2473" t="str">
        <x:v>Fully Paid</x:v>
      </x:c>
      <x:c r="O2473" t="str">
        <x:f>IF(D2473="","Unknown",IF(D2473&lt;25000,"&lt;$25k",IF(D2473&lt;50000,"$25k-$50k",IF(D2473&lt;75000,"$50k-$75k",IF(D2473&lt;100000,"$75k-$100k","$100k+")))))</x:f>
        <x:v>$50k-$75k</x:v>
      </x:c>
      <x:c r="P2473" t="str">
        <x:f>IF(E2473="","Unknown",IF(E2473&lt;10,"&lt;10",IF(E2473&lt;20,"10-&lt;20",IF(E2473&lt;25,"20-&lt;25",IF(E2473&lt;35,"25-&lt;35","35+")))))</x:f>
        <x:v>25-&lt;35</x:v>
      </x:c>
    </x:row>
    <x:row r="2474">
      <x:c r="A2474" t="str">
        <x:v>SYN0002473</x:v>
      </x:c>
      <x:c r="B2474" s="12" t="n">
        <x:v>41935</x:v>
      </x:c>
      <x:c r="C2474" s="18" t="n">
        <x:v>37673</x:v>
      </x:c>
      <x:c r="D2474" s="18" t="n">
        <x:v>46812</x:v>
      </x:c>
      <x:c r="E2474" s="18" t="n">
        <x:v>30.71</x:v>
      </x:c>
      <x:c r="F2474" s="18" t="n">
        <x:v>10.02</x:v>
      </x:c>
      <x:c r="G2474" t="n">
        <x:v>60</x:v>
      </x:c>
      <x:c r="H2474" t="str">
        <x:v>C</x:v>
      </x:c>
      <x:c r="I2474" t="str">
        <x:v>4-6 years</x:v>
      </x:c>
      <x:c r="J2474" t="str">
        <x:v>OWN</x:v>
      </x:c>
      <x:c r="K2474" t="str">
        <x:v>credit_card</x:v>
      </x:c>
      <x:c r="L2474" t="n">
        <x:v>2</x:v>
      </x:c>
      <x:c r="M2474" t="n">
        <x:v>1</x:v>
      </x:c>
      <x:c r="N2474" t="str">
        <x:v>Charged Off</x:v>
      </x:c>
      <x:c r="O2474" t="str">
        <x:f>IF(D2474="","Unknown",IF(D2474&lt;25000,"&lt;$25k",IF(D2474&lt;50000,"$25k-$50k",IF(D2474&lt;75000,"$50k-$75k",IF(D2474&lt;100000,"$75k-$100k","$100k+")))))</x:f>
        <x:v>$25k-$50k</x:v>
      </x:c>
      <x:c r="P2474" t="str">
        <x:f>IF(E2474="","Unknown",IF(E2474&lt;10,"&lt;10",IF(E2474&lt;20,"10-&lt;20",IF(E2474&lt;25,"20-&lt;25",IF(E2474&lt;35,"25-&lt;35","35+")))))</x:f>
        <x:v>25-&lt;35</x:v>
      </x:c>
    </x:row>
    <x:row r="2475">
      <x:c r="A2475" t="str">
        <x:v>SYN0002474</x:v>
      </x:c>
      <x:c r="B2475" s="12" t="n">
        <x:v>41395</x:v>
      </x:c>
      <x:c r="C2475" s="18" t="n">
        <x:v>6096</x:v>
      </x:c>
      <x:c r="D2475" s="18" t="n">
        <x:v>29334</x:v>
      </x:c>
      <x:c r="E2475" s="18" t="n">
        <x:v>30.62</x:v>
      </x:c>
      <x:c r="F2475" s="18" t="n">
        <x:v>13.16</x:v>
      </x:c>
      <x:c r="G2475" t="n">
        <x:v>60</x:v>
      </x:c>
      <x:c r="H2475" t="str">
        <x:v>C</x:v>
      </x:c>
      <x:c r="I2475" t="str">
        <x:v>4-6 years</x:v>
      </x:c>
      <x:c r="J2475" t="str">
        <x:v>RENT</x:v>
      </x:c>
      <x:c r="K2475" t="str">
        <x:v>medical</x:v>
      </x:c>
      <x:c r="L2475" t="n">
        <x:v>1</x:v>
      </x:c>
      <x:c r="M2475" t="n">
        <x:v>0</x:v>
      </x:c>
      <x:c r="N2475" t="str">
        <x:v>Fully Paid</x:v>
      </x:c>
      <x:c r="O2475" t="str">
        <x:f>IF(D2475="","Unknown",IF(D2475&lt;25000,"&lt;$25k",IF(D2475&lt;50000,"$25k-$50k",IF(D2475&lt;75000,"$50k-$75k",IF(D2475&lt;100000,"$75k-$100k","$100k+")))))</x:f>
        <x:v>$25k-$50k</x:v>
      </x:c>
      <x:c r="P2475" t="str">
        <x:f>IF(E2475="","Unknown",IF(E2475&lt;10,"&lt;10",IF(E2475&lt;20,"10-&lt;20",IF(E2475&lt;25,"20-&lt;25",IF(E2475&lt;35,"25-&lt;35","35+")))))</x:f>
        <x:v>25-&lt;35</x:v>
      </x:c>
    </x:row>
    <x:row r="2476">
      <x:c r="A2476" t="str">
        <x:v>SYN0002475</x:v>
      </x:c>
      <x:c r="B2476" s="12" t="n">
        <x:v>42415</x:v>
      </x:c>
      <x:c r="C2476" s="18" t="n">
        <x:v>17106</x:v>
      </x:c>
      <x:c r="D2476" s="18" t="n">
        <x:v>40559</x:v>
      </x:c>
      <x:c r="E2476" s="18" t="n">
        <x:v>21.41</x:v>
      </x:c>
      <x:c r="F2476" s="18" t="n">
        <x:v>18.22</x:v>
      </x:c>
      <x:c r="G2476" t="n">
        <x:v>36</x:v>
      </x:c>
      <x:c r="H2476" t="str">
        <x:v>E</x:v>
      </x:c>
      <x:c r="I2476" t="str">
        <x:v>7-9 years</x:v>
      </x:c>
      <x:c r="J2476" t="str">
        <x:v>OWN</x:v>
      </x:c>
      <x:c r="K2476" t="str">
        <x:v>debt_consolidation</x:v>
      </x:c>
      <x:c r="L2476" t="n">
        <x:v>0</x:v>
      </x:c>
      <x:c r="M2476" t="n">
        <x:v>0</x:v>
      </x:c>
      <x:c r="N2476" t="str">
        <x:v>Fully Paid</x:v>
      </x:c>
      <x:c r="O2476" t="str">
        <x:f>IF(D2476="","Unknown",IF(D2476&lt;25000,"&lt;$25k",IF(D2476&lt;50000,"$25k-$50k",IF(D2476&lt;75000,"$50k-$75k",IF(D2476&lt;100000,"$75k-$100k","$100k+")))))</x:f>
        <x:v>$25k-$50k</x:v>
      </x:c>
      <x:c r="P2476" t="str">
        <x:f>IF(E2476="","Unknown",IF(E2476&lt;10,"&lt;10",IF(E2476&lt;20,"10-&lt;20",IF(E2476&lt;25,"20-&lt;25",IF(E2476&lt;35,"25-&lt;35","35+")))))</x:f>
        <x:v>20-&lt;25</x:v>
      </x:c>
    </x:row>
    <x:row r="2477">
      <x:c r="A2477" t="str">
        <x:v>SYN0002476</x:v>
      </x:c>
      <x:c r="B2477" s="12" t="n">
        <x:v>42235</x:v>
      </x:c>
      <x:c r="C2477" s="18" t="n">
        <x:v>13719</x:v>
      </x:c>
      <x:c r="D2477" s="18" t="n">
        <x:v>98211</x:v>
      </x:c>
      <x:c r="E2477" s="18" t="n">
        <x:v>23</x:v>
      </x:c>
      <x:c r="F2477" s="18" t="n">
        <x:v>20.03</x:v>
      </x:c>
      <x:c r="G2477" t="n">
        <x:v>36</x:v>
      </x:c>
      <x:c r="H2477" t="str">
        <x:v>F</x:v>
      </x:c>
      <x:c r="I2477" t="str">
        <x:v>4-6 years</x:v>
      </x:c>
      <x:c r="J2477" t="str">
        <x:v>RENT</x:v>
      </x:c>
      <x:c r="K2477" t="str">
        <x:v>debt_consolidation</x:v>
      </x:c>
      <x:c r="L2477" t="n">
        <x:v>0</x:v>
      </x:c>
      <x:c r="M2477" t="n">
        <x:v>0</x:v>
      </x:c>
      <x:c r="N2477" t="str">
        <x:v>Fully Paid</x:v>
      </x:c>
      <x:c r="O2477" t="str">
        <x:f>IF(D2477="","Unknown",IF(D2477&lt;25000,"&lt;$25k",IF(D2477&lt;50000,"$25k-$50k",IF(D2477&lt;75000,"$50k-$75k",IF(D2477&lt;100000,"$75k-$100k","$100k+")))))</x:f>
        <x:v>$75k-$100k</x:v>
      </x:c>
      <x:c r="P2477" t="str">
        <x:f>IF(E2477="","Unknown",IF(E2477&lt;10,"&lt;10",IF(E2477&lt;20,"10-&lt;20",IF(E2477&lt;25,"20-&lt;25",IF(E2477&lt;35,"25-&lt;35","35+")))))</x:f>
        <x:v>20-&lt;25</x:v>
      </x:c>
    </x:row>
    <x:row r="2478">
      <x:c r="A2478" t="str">
        <x:v>SYN0002477</x:v>
      </x:c>
      <x:c r="B2478" s="12" t="n">
        <x:v>42265</x:v>
      </x:c>
      <x:c r="C2478" s="18" t="n">
        <x:v>5733</x:v>
      </x:c>
      <x:c r="D2478" s="18" t="n">
        <x:v>80973</x:v>
      </x:c>
      <x:c r="E2478" s="18" t="n">
        <x:v>15.26</x:v>
      </x:c>
      <x:c r="F2478" s="18" t="n">
        <x:v>7.67</x:v>
      </x:c>
      <x:c r="G2478" t="n">
        <x:v>36</x:v>
      </x:c>
      <x:c r="H2478" t="str">
        <x:v>A</x:v>
      </x:c>
      <x:c r="I2478" t="str">
        <x:v>1-3 years</x:v>
      </x:c>
      <x:c r="J2478" t="str">
        <x:v>RENT</x:v>
      </x:c>
      <x:c r="K2478" t="str">
        <x:v>debt_consolidation</x:v>
      </x:c>
      <x:c r="L2478" t="n">
        <x:v>0</x:v>
      </x:c>
      <x:c r="M2478" t="n">
        <x:v>0</x:v>
      </x:c>
      <x:c r="N2478" t="str">
        <x:v>Fully Paid</x:v>
      </x:c>
      <x:c r="O2478" t="str">
        <x:f>IF(D2478="","Unknown",IF(D2478&lt;25000,"&lt;$25k",IF(D2478&lt;50000,"$25k-$50k",IF(D2478&lt;75000,"$50k-$75k",IF(D2478&lt;100000,"$75k-$100k","$100k+")))))</x:f>
        <x:v>$75k-$100k</x:v>
      </x:c>
      <x:c r="P2478" t="str">
        <x:f>IF(E2478="","Unknown",IF(E2478&lt;10,"&lt;10",IF(E2478&lt;20,"10-&lt;20",IF(E2478&lt;25,"20-&lt;25",IF(E2478&lt;35,"25-&lt;35","35+")))))</x:f>
        <x:v>10-&lt;20</x:v>
      </x:c>
    </x:row>
    <x:row r="2479">
      <x:c r="A2479" t="str">
        <x:v>SYN0002478</x:v>
      </x:c>
      <x:c r="B2479" s="12" t="n">
        <x:v>41425</x:v>
      </x:c>
      <x:c r="C2479" s="18" t="n">
        <x:v>10970</x:v>
      </x:c>
      <x:c r="D2479" s="18" t="n">
        <x:v>22936</x:v>
      </x:c>
      <x:c r="E2479" s="18" t="n">
        <x:v>2.98</x:v>
      </x:c>
      <x:c r="F2479" s="18" t="n">
        <x:v>9.18</x:v>
      </x:c>
      <x:c r="G2479" t="n">
        <x:v>36</x:v>
      </x:c>
      <x:c r="H2479" t="str">
        <x:v>C</x:v>
      </x:c>
      <x:c r="I2479" t="str">
        <x:v>4-6 years</x:v>
      </x:c>
      <x:c r="J2479" t="str">
        <x:v>MORTGAGE</x:v>
      </x:c>
      <x:c r="K2479" t="str">
        <x:v>other</x:v>
      </x:c>
      <x:c r="L2479" t="n">
        <x:v>0</x:v>
      </x:c>
      <x:c r="M2479" t="n">
        <x:v>0</x:v>
      </x:c>
      <x:c r="N2479" t="str">
        <x:v>Fully Paid</x:v>
      </x:c>
      <x:c r="O2479" t="str">
        <x:f>IF(D2479="","Unknown",IF(D2479&lt;25000,"&lt;$25k",IF(D2479&lt;50000,"$25k-$50k",IF(D2479&lt;75000,"$50k-$75k",IF(D2479&lt;100000,"$75k-$100k","$100k+")))))</x:f>
        <x:v>&lt;$25k</x:v>
      </x:c>
      <x:c r="P2479" t="str">
        <x:f>IF(E2479="","Unknown",IF(E2479&lt;10,"&lt;10",IF(E2479&lt;20,"10-&lt;20",IF(E2479&lt;25,"20-&lt;25",IF(E2479&lt;35,"25-&lt;35","35+")))))</x:f>
        <x:v>&lt;10</x:v>
      </x:c>
    </x:row>
    <x:row r="2480">
      <x:c r="A2480" t="str">
        <x:v>SYN0002479</x:v>
      </x:c>
      <x:c r="B2480" s="12" t="n">
        <x:v>42115</x:v>
      </x:c>
      <x:c r="C2480" s="18" t="n">
        <x:v>22124</x:v>
      </x:c>
      <x:c r="D2480" s="18" t="n">
        <x:v>105600</x:v>
      </x:c>
      <x:c r="E2480" s="18" t="n">
        <x:v>18.18</x:v>
      </x:c>
      <x:c r="F2480" s="18" t="n">
        <x:v>11.05</x:v>
      </x:c>
      <x:c r="G2480" t="n">
        <x:v>60</x:v>
      </x:c>
      <x:c r="H2480" t="str">
        <x:v>C</x:v>
      </x:c>
      <x:c r="I2480" t="str">
        <x:v>7-9 years</x:v>
      </x:c>
      <x:c r="J2480" t="str">
        <x:v>OWN</x:v>
      </x:c>
      <x:c r="K2480" t="str">
        <x:v>debt_consolidation</x:v>
      </x:c>
      <x:c r="L2480" t="n">
        <x:v>0</x:v>
      </x:c>
      <x:c r="M2480" t="n">
        <x:v>0</x:v>
      </x:c>
      <x:c r="N2480" t="str">
        <x:v>Fully Paid</x:v>
      </x:c>
      <x:c r="O2480" t="str">
        <x:f>IF(D2480="","Unknown",IF(D2480&lt;25000,"&lt;$25k",IF(D2480&lt;50000,"$25k-$50k",IF(D2480&lt;75000,"$50k-$75k",IF(D2480&lt;100000,"$75k-$100k","$100k+")))))</x:f>
        <x:v>$100k+</x:v>
      </x:c>
      <x:c r="P2480" t="str">
        <x:f>IF(E2480="","Unknown",IF(E2480&lt;10,"&lt;10",IF(E2480&lt;20,"10-&lt;20",IF(E2480&lt;25,"20-&lt;25",IF(E2480&lt;35,"25-&lt;35","35+")))))</x:f>
        <x:v>10-&lt;20</x:v>
      </x:c>
    </x:row>
    <x:row r="2481">
      <x:c r="A2481" t="str">
        <x:v>SYN0002480</x:v>
      </x:c>
      <x:c r="B2481" s="12" t="n">
        <x:v>42385</x:v>
      </x:c>
      <x:c r="C2481" s="18" t="n">
        <x:v>12252</x:v>
      </x:c>
      <x:c r="D2481" s="18" t="n">
        <x:v>60319</x:v>
      </x:c>
      <x:c r="E2481" s="18" t="n">
        <x:v>4.8</x:v>
      </x:c>
      <x:c r="F2481" s="18" t="n">
        <x:v>14.23</x:v>
      </x:c>
      <x:c r="G2481" t="n">
        <x:v>60</x:v>
      </x:c>
      <x:c r="H2481" t="str">
        <x:v>D</x:v>
      </x:c>
      <x:c r="I2481" t="str">
        <x:v>&lt;1 year</x:v>
      </x:c>
      <x:c r="J2481" t="str">
        <x:v>MORTGAGE</x:v>
      </x:c>
      <x:c r="K2481" t="str">
        <x:v>debt_consolidation</x:v>
      </x:c>
      <x:c r="L2481" t="n">
        <x:v>0</x:v>
      </x:c>
      <x:c r="M2481" t="n">
        <x:v>0</x:v>
      </x:c>
      <x:c r="N2481" t="str">
        <x:v>Fully Paid</x:v>
      </x:c>
      <x:c r="O2481" t="str">
        <x:f>IF(D2481="","Unknown",IF(D2481&lt;25000,"&lt;$25k",IF(D2481&lt;50000,"$25k-$50k",IF(D2481&lt;75000,"$50k-$75k",IF(D2481&lt;100000,"$75k-$100k","$100k+")))))</x:f>
        <x:v>$50k-$75k</x:v>
      </x:c>
      <x:c r="P2481" t="str">
        <x:f>IF(E2481="","Unknown",IF(E2481&lt;10,"&lt;10",IF(E2481&lt;20,"10-&lt;20",IF(E2481&lt;25,"20-&lt;25",IF(E2481&lt;35,"25-&lt;35","35+")))))</x:f>
        <x:v>&lt;10</x:v>
      </x:c>
    </x:row>
    <x:row r="2482">
      <x:c r="A2482" t="str">
        <x:v>SYN0002481</x:v>
      </x:c>
      <x:c r="B2482" s="12" t="n">
        <x:v>42355</x:v>
      </x:c>
      <x:c r="C2482" s="18" t="n">
        <x:v>14630</x:v>
      </x:c>
      <x:c r="D2482" s="18" t="n">
        <x:v>62725</x:v>
      </x:c>
      <x:c r="E2482" s="18" t="n">
        <x:v>9.83</x:v>
      </x:c>
      <x:c r="F2482" s="18" t="n">
        <x:v>9.19</x:v>
      </x:c>
      <x:c r="G2482" t="n">
        <x:v>36</x:v>
      </x:c>
      <x:c r="H2482" t="str">
        <x:v>B</x:v>
      </x:c>
      <x:c r="I2482" t="str">
        <x:v>7-9 years</x:v>
      </x:c>
      <x:c r="J2482" t="str">
        <x:v>RENT</x:v>
      </x:c>
      <x:c r="K2482" t="str">
        <x:v>debt_consolidation</x:v>
      </x:c>
      <x:c r="L2482" t="n">
        <x:v>1</x:v>
      </x:c>
      <x:c r="M2482" t="n">
        <x:v>0</x:v>
      </x:c>
      <x:c r="N2482" t="str">
        <x:v>Fully Paid</x:v>
      </x:c>
      <x:c r="O2482" t="str">
        <x:f>IF(D2482="","Unknown",IF(D2482&lt;25000,"&lt;$25k",IF(D2482&lt;50000,"$25k-$50k",IF(D2482&lt;75000,"$50k-$75k",IF(D2482&lt;100000,"$75k-$100k","$100k+")))))</x:f>
        <x:v>$50k-$75k</x:v>
      </x:c>
      <x:c r="P2482" t="str">
        <x:f>IF(E2482="","Unknown",IF(E2482&lt;10,"&lt;10",IF(E2482&lt;20,"10-&lt;20",IF(E2482&lt;25,"20-&lt;25",IF(E2482&lt;35,"25-&lt;35","35+")))))</x:f>
        <x:v>&lt;10</x:v>
      </x:c>
    </x:row>
    <x:row r="2483">
      <x:c r="A2483" t="str">
        <x:v>SYN0002482</x:v>
      </x:c>
      <x:c r="B2483" s="12" t="n">
        <x:v>43375</x:v>
      </x:c>
      <x:c r="C2483" s="18" t="n">
        <x:v>10235</x:v>
      </x:c>
      <x:c r="D2483" s="18" t="n">
        <x:v>91078</x:v>
      </x:c>
      <x:c r="E2483" s="18" t="n">
        <x:v>5.47</x:v>
      </x:c>
      <x:c r="F2483" s="18" t="n">
        <x:v>11.81</x:v>
      </x:c>
      <x:c r="G2483" t="n">
        <x:v>36</x:v>
      </x:c>
      <x:c r="H2483" t="str">
        <x:v>C</x:v>
      </x:c>
      <x:c r="I2483" t="str">
        <x:v>4-6 years</x:v>
      </x:c>
      <x:c r="J2483" t="str">
        <x:v>RENT</x:v>
      </x:c>
      <x:c r="K2483" t="str">
        <x:v>major_purchase</x:v>
      </x:c>
      <x:c r="L2483" t="n">
        <x:v>1</x:v>
      </x:c>
      <x:c r="M2483" t="n">
        <x:v>0</x:v>
      </x:c>
      <x:c r="N2483" t="str">
        <x:v>Fully Paid</x:v>
      </x:c>
      <x:c r="O2483" t="str">
        <x:f>IF(D2483="","Unknown",IF(D2483&lt;25000,"&lt;$25k",IF(D2483&lt;50000,"$25k-$50k",IF(D2483&lt;75000,"$50k-$75k",IF(D2483&lt;100000,"$75k-$100k","$100k+")))))</x:f>
        <x:v>$75k-$100k</x:v>
      </x:c>
      <x:c r="P2483" t="str">
        <x:f>IF(E2483="","Unknown",IF(E2483&lt;10,"&lt;10",IF(E2483&lt;20,"10-&lt;20",IF(E2483&lt;25,"20-&lt;25",IF(E2483&lt;35,"25-&lt;35","35+")))))</x:f>
        <x:v>&lt;10</x:v>
      </x:c>
    </x:row>
    <x:row r="2484">
      <x:c r="A2484" t="str">
        <x:v>SYN0002483</x:v>
      </x:c>
      <x:c r="B2484" s="12" t="n">
        <x:v>42535</x:v>
      </x:c>
      <x:c r="C2484" s="18" t="n">
        <x:v>10818</x:v>
      </x:c>
      <x:c r="D2484" s="18" t="n">
        <x:v>39933</x:v>
      </x:c>
      <x:c r="E2484" s="18" t="n">
        <x:v>11.6</x:v>
      </x:c>
      <x:c r="F2484" s="18" t="n">
        <x:v>7.53</x:v>
      </x:c>
      <x:c r="G2484" t="n">
        <x:v>36</x:v>
      </x:c>
      <x:c r="H2484" t="str">
        <x:v>B</x:v>
      </x:c>
      <x:c r="I2484" t="str">
        <x:v>&lt;1 year</x:v>
      </x:c>
      <x:c r="J2484" t="str">
        <x:v>MORTGAGE</x:v>
      </x:c>
      <x:c r="K2484" t="str">
        <x:v>debt_consolidation</x:v>
      </x:c>
      <x:c r="L2484" t="n">
        <x:v>1</x:v>
      </x:c>
      <x:c r="M2484" t="n">
        <x:v>0</x:v>
      </x:c>
      <x:c r="N2484" t="str">
        <x:v>Fully Paid</x:v>
      </x:c>
      <x:c r="O2484" t="str">
        <x:f>IF(D2484="","Unknown",IF(D2484&lt;25000,"&lt;$25k",IF(D2484&lt;50000,"$25k-$50k",IF(D2484&lt;75000,"$50k-$75k",IF(D2484&lt;100000,"$75k-$100k","$100k+")))))</x:f>
        <x:v>$25k-$50k</x:v>
      </x:c>
      <x:c r="P2484" t="str">
        <x:f>IF(E2484="","Unknown",IF(E2484&lt;10,"&lt;10",IF(E2484&lt;20,"10-&lt;20",IF(E2484&lt;25,"20-&lt;25",IF(E2484&lt;35,"25-&lt;35","35+")))))</x:f>
        <x:v>10-&lt;20</x:v>
      </x:c>
    </x:row>
    <x:row r="2485">
      <x:c r="A2485" t="str">
        <x:v>SYN0002484</x:v>
      </x:c>
      <x:c r="B2485" s="12" t="n">
        <x:v>41725</x:v>
      </x:c>
      <x:c r="C2485" s="18" t="n">
        <x:v>12593</x:v>
      </x:c>
      <x:c r="D2485" s="18" t="n">
        <x:v>45477</x:v>
      </x:c>
      <x:c r="E2485" s="18" t="n">
        <x:v>20.43</x:v>
      </x:c>
      <x:c r="F2485" s="18" t="n">
        <x:v>7.67</x:v>
      </x:c>
      <x:c r="G2485" t="n">
        <x:v>36</x:v>
      </x:c>
      <x:c r="H2485" t="str">
        <x:v>A</x:v>
      </x:c>
      <x:c r="I2485" t="str">
        <x:v>10+ years</x:v>
      </x:c>
      <x:c r="J2485" t="str">
        <x:v>RENT</x:v>
      </x:c>
      <x:c r="K2485" t="str">
        <x:v>other</x:v>
      </x:c>
      <x:c r="L2485" t="n">
        <x:v>0</x:v>
      </x:c>
      <x:c r="M2485" t="n">
        <x:v>0</x:v>
      </x:c>
      <x:c r="N2485" t="str">
        <x:v>Fully Paid</x:v>
      </x:c>
      <x:c r="O2485" t="str">
        <x:f>IF(D2485="","Unknown",IF(D2485&lt;25000,"&lt;$25k",IF(D2485&lt;50000,"$25k-$50k",IF(D2485&lt;75000,"$50k-$75k",IF(D2485&lt;100000,"$75k-$100k","$100k+")))))</x:f>
        <x:v>$25k-$50k</x:v>
      </x:c>
      <x:c r="P2485" t="str">
        <x:f>IF(E2485="","Unknown",IF(E2485&lt;10,"&lt;10",IF(E2485&lt;20,"10-&lt;20",IF(E2485&lt;25,"20-&lt;25",IF(E2485&lt;35,"25-&lt;35","35+")))))</x:f>
        <x:v>20-&lt;25</x:v>
      </x:c>
    </x:row>
    <x:row r="2486">
      <x:c r="A2486" t="str">
        <x:v>SYN0002485</x:v>
      </x:c>
      <x:c r="B2486" s="12" t="n">
        <x:v>43165</x:v>
      </x:c>
      <x:c r="C2486" s="18" t="n">
        <x:v>10385</x:v>
      </x:c>
      <x:c r="D2486" s="18" t="n">
        <x:v>27393</x:v>
      </x:c>
      <x:c r="E2486" s="18" t="n">
        <x:v>16.89</x:v>
      </x:c>
      <x:c r="F2486" s="18" t="n">
        <x:v>5</x:v>
      </x:c>
      <x:c r="G2486" t="n">
        <x:v>60</x:v>
      </x:c>
      <x:c r="H2486" t="str">
        <x:v>A</x:v>
      </x:c>
      <x:c r="I2486" t="str">
        <x:v>4-6 years</x:v>
      </x:c>
      <x:c r="J2486" t="str">
        <x:v>MORTGAGE</x:v>
      </x:c>
      <x:c r="K2486" t="str">
        <x:v>credit_card</x:v>
      </x:c>
      <x:c r="L2486" t="n">
        <x:v>0</x:v>
      </x:c>
      <x:c r="M2486" t="n">
        <x:v>0</x:v>
      </x:c>
      <x:c r="N2486" t="str">
        <x:v>Fully Paid</x:v>
      </x:c>
      <x:c r="O2486" t="str">
        <x:f>IF(D2486="","Unknown",IF(D2486&lt;25000,"&lt;$25k",IF(D2486&lt;50000,"$25k-$50k",IF(D2486&lt;75000,"$50k-$75k",IF(D2486&lt;100000,"$75k-$100k","$100k+")))))</x:f>
        <x:v>$25k-$50k</x:v>
      </x:c>
      <x:c r="P2486" t="str">
        <x:f>IF(E2486="","Unknown",IF(E2486&lt;10,"&lt;10",IF(E2486&lt;20,"10-&lt;20",IF(E2486&lt;25,"20-&lt;25",IF(E2486&lt;35,"25-&lt;35","35+")))))</x:f>
        <x:v>10-&lt;20</x:v>
      </x:c>
    </x:row>
    <x:row r="2487">
      <x:c r="A2487" t="str">
        <x:v>SYN0002486</x:v>
      </x:c>
      <x:c r="B2487" s="12" t="n">
        <x:v>42055</x:v>
      </x:c>
      <x:c r="C2487" s="18" t="n">
        <x:v>8042</x:v>
      </x:c>
      <x:c r="D2487" s="18" t="n">
        <x:v>24422</x:v>
      </x:c>
      <x:c r="E2487" s="18" t="n">
        <x:v>23.23</x:v>
      </x:c>
      <x:c r="F2487" s="18" t="n">
        <x:v>8.07</x:v>
      </x:c>
      <x:c r="G2487" t="n">
        <x:v>36</x:v>
      </x:c>
      <x:c r="H2487" t="str">
        <x:v>B</x:v>
      </x:c>
      <x:c r="I2487" t="str">
        <x:v>4-6 years</x:v>
      </x:c>
      <x:c r="J2487" t="str">
        <x:v>RENT</x:v>
      </x:c>
      <x:c r="K2487" t="str">
        <x:v>debt_consolidation</x:v>
      </x:c>
      <x:c r="L2487" t="n">
        <x:v>0</x:v>
      </x:c>
      <x:c r="M2487" t="n">
        <x:v>0</x:v>
      </x:c>
      <x:c r="N2487" t="str">
        <x:v>Fully Paid</x:v>
      </x:c>
      <x:c r="O2487" t="str">
        <x:f>IF(D2487="","Unknown",IF(D2487&lt;25000,"&lt;$25k",IF(D2487&lt;50000,"$25k-$50k",IF(D2487&lt;75000,"$50k-$75k",IF(D2487&lt;100000,"$75k-$100k","$100k+")))))</x:f>
        <x:v>&lt;$25k</x:v>
      </x:c>
      <x:c r="P2487" t="str">
        <x:f>IF(E2487="","Unknown",IF(E2487&lt;10,"&lt;10",IF(E2487&lt;20,"10-&lt;20",IF(E2487&lt;25,"20-&lt;25",IF(E2487&lt;35,"25-&lt;35","35+")))))</x:f>
        <x:v>20-&lt;25</x:v>
      </x:c>
    </x:row>
    <x:row r="2488">
      <x:c r="A2488" t="str">
        <x:v>SYN0002487</x:v>
      </x:c>
      <x:c r="B2488" s="12" t="n">
        <x:v>42235</x:v>
      </x:c>
      <x:c r="C2488" s="18" t="n">
        <x:v>13150</x:v>
      </x:c>
      <x:c r="D2488" s="18" t="n">
        <x:v>51036</x:v>
      </x:c>
      <x:c r="E2488" s="18" t="n">
        <x:v>17.99</x:v>
      </x:c>
      <x:c r="F2488" s="18" t="n">
        <x:v>21.52</x:v>
      </x:c>
      <x:c r="G2488" t="n">
        <x:v>36</x:v>
      </x:c>
      <x:c r="H2488" t="str">
        <x:v>F</x:v>
      </x:c>
      <x:c r="I2488" t="str">
        <x:v>&lt;1 year</x:v>
      </x:c>
      <x:c r="J2488" t="str">
        <x:v>OWN</x:v>
      </x:c>
      <x:c r="K2488" t="str">
        <x:v>debt_consolidation</x:v>
      </x:c>
      <x:c r="L2488" t="n">
        <x:v>1</x:v>
      </x:c>
      <x:c r="M2488" t="n">
        <x:v>0</x:v>
      </x:c>
      <x:c r="N2488" t="str">
        <x:v>Fully Paid</x:v>
      </x:c>
      <x:c r="O2488" t="str">
        <x:f>IF(D2488="","Unknown",IF(D2488&lt;25000,"&lt;$25k",IF(D2488&lt;50000,"$25k-$50k",IF(D2488&lt;75000,"$50k-$75k",IF(D2488&lt;100000,"$75k-$100k","$100k+")))))</x:f>
        <x:v>$50k-$75k</x:v>
      </x:c>
      <x:c r="P2488" t="str">
        <x:f>IF(E2488="","Unknown",IF(E2488&lt;10,"&lt;10",IF(E2488&lt;20,"10-&lt;20",IF(E2488&lt;25,"20-&lt;25",IF(E2488&lt;35,"25-&lt;35","35+")))))</x:f>
        <x:v>10-&lt;20</x:v>
      </x:c>
    </x:row>
    <x:row r="2489">
      <x:c r="A2489" t="str">
        <x:v>SYN0002488</x:v>
      </x:c>
      <x:c r="B2489" s="12" t="n">
        <x:v>43135</x:v>
      </x:c>
      <x:c r="C2489" s="18" t="n">
        <x:v>33754</x:v>
      </x:c>
      <x:c r="D2489" s="18" t="n">
        <x:v>25543</x:v>
      </x:c>
      <x:c r="E2489" s="18" t="n">
        <x:v>14.14</x:v>
      </x:c>
      <x:c r="F2489" s="18" t="n">
        <x:v>7.7</x:v>
      </x:c>
      <x:c r="G2489" t="n">
        <x:v>36</x:v>
      </x:c>
      <x:c r="H2489" t="str">
        <x:v>B</x:v>
      </x:c>
      <x:c r="I2489" t="str">
        <x:v>4-6 years</x:v>
      </x:c>
      <x:c r="J2489" t="str">
        <x:v>RENT</x:v>
      </x:c>
      <x:c r="K2489" t="str">
        <x:v>debt_consolidation</x:v>
      </x:c>
      <x:c r="L2489" t="n">
        <x:v>0</x:v>
      </x:c>
      <x:c r="M2489" t="n">
        <x:v>0</x:v>
      </x:c>
      <x:c r="N2489" t="str">
        <x:v>Fully Paid</x:v>
      </x:c>
      <x:c r="O2489" t="str">
        <x:f>IF(D2489="","Unknown",IF(D2489&lt;25000,"&lt;$25k",IF(D2489&lt;50000,"$25k-$50k",IF(D2489&lt;75000,"$50k-$75k",IF(D2489&lt;100000,"$75k-$100k","$100k+")))))</x:f>
        <x:v>$25k-$50k</x:v>
      </x:c>
      <x:c r="P2489" t="str">
        <x:f>IF(E2489="","Unknown",IF(E2489&lt;10,"&lt;10",IF(E2489&lt;20,"10-&lt;20",IF(E2489&lt;25,"20-&lt;25",IF(E2489&lt;35,"25-&lt;35","35+")))))</x:f>
        <x:v>10-&lt;20</x:v>
      </x:c>
    </x:row>
    <x:row r="2490">
      <x:c r="A2490" t="str">
        <x:v>SYN0002489</x:v>
      </x:c>
      <x:c r="B2490" s="12" t="n">
        <x:v>41755</x:v>
      </x:c>
      <x:c r="C2490" s="18" t="n">
        <x:v>14899</x:v>
      </x:c>
      <x:c r="D2490" s="18" t="n">
        <x:v>37364</x:v>
      </x:c>
      <x:c r="E2490" s="18" t="n">
        <x:v>6.31</x:v>
      </x:c>
      <x:c r="F2490" s="18" t="n">
        <x:v>7.06</x:v>
      </x:c>
      <x:c r="G2490" t="n">
        <x:v>36</x:v>
      </x:c>
      <x:c r="H2490" t="str">
        <x:v>A</x:v>
      </x:c>
      <x:c r="I2490" t="str">
        <x:v>&lt;1 year</x:v>
      </x:c>
      <x:c r="J2490" t="str">
        <x:v>MORTGAGE</x:v>
      </x:c>
      <x:c r="K2490" t="str">
        <x:v>credit_card</x:v>
      </x:c>
      <x:c r="L2490" t="n">
        <x:v>0</x:v>
      </x:c>
      <x:c r="M2490" t="n">
        <x:v>0</x:v>
      </x:c>
      <x:c r="N2490" t="str">
        <x:v>Fully Paid</x:v>
      </x:c>
      <x:c r="O2490" t="str">
        <x:f>IF(D2490="","Unknown",IF(D2490&lt;25000,"&lt;$25k",IF(D2490&lt;50000,"$25k-$50k",IF(D2490&lt;75000,"$50k-$75k",IF(D2490&lt;100000,"$75k-$100k","$100k+")))))</x:f>
        <x:v>$25k-$50k</x:v>
      </x:c>
      <x:c r="P2490" t="str">
        <x:f>IF(E2490="","Unknown",IF(E2490&lt;10,"&lt;10",IF(E2490&lt;20,"10-&lt;20",IF(E2490&lt;25,"20-&lt;25",IF(E2490&lt;35,"25-&lt;35","35+")))))</x:f>
        <x:v>&lt;10</x:v>
      </x:c>
    </x:row>
    <x:row r="2491">
      <x:c r="A2491" t="str">
        <x:v>SYN0002490</x:v>
      </x:c>
      <x:c r="B2491" s="12" t="n">
        <x:v>41605</x:v>
      </x:c>
      <x:c r="C2491" s="18" t="n">
        <x:v>40000</x:v>
      </x:c>
      <x:c r="D2491" s="18" t="n">
        <x:v>61214</x:v>
      </x:c>
      <x:c r="E2491" s="18" t="n">
        <x:v>26.19</x:v>
      </x:c>
      <x:c r="F2491" s="18" t="n">
        <x:v>14.96</x:v>
      </x:c>
      <x:c r="G2491" t="n">
        <x:v>36</x:v>
      </x:c>
      <x:c r="H2491" t="str">
        <x:v>E</x:v>
      </x:c>
      <x:c r="I2491" t="str">
        <x:v>7-9 years</x:v>
      </x:c>
      <x:c r="J2491" t="str">
        <x:v>RENT</x:v>
      </x:c>
      <x:c r="K2491" t="str">
        <x:v>debt_consolidation</x:v>
      </x:c>
      <x:c r="L2491" t="n">
        <x:v>2</x:v>
      </x:c>
      <x:c r="M2491" t="n">
        <x:v>0</x:v>
      </x:c>
      <x:c r="N2491" t="str">
        <x:v>Fully Paid</x:v>
      </x:c>
      <x:c r="O2491" t="str">
        <x:f>IF(D2491="","Unknown",IF(D2491&lt;25000,"&lt;$25k",IF(D2491&lt;50000,"$25k-$50k",IF(D2491&lt;75000,"$50k-$75k",IF(D2491&lt;100000,"$75k-$100k","$100k+")))))</x:f>
        <x:v>$50k-$75k</x:v>
      </x:c>
      <x:c r="P2491" t="str">
        <x:f>IF(E2491="","Unknown",IF(E2491&lt;10,"&lt;10",IF(E2491&lt;20,"10-&lt;20",IF(E2491&lt;25,"20-&lt;25",IF(E2491&lt;35,"25-&lt;35","35+")))))</x:f>
        <x:v>25-&lt;35</x:v>
      </x:c>
    </x:row>
    <x:row r="2492">
      <x:c r="A2492" t="str">
        <x:v>SYN0002491</x:v>
      </x:c>
      <x:c r="B2492" s="12" t="n">
        <x:v>42655</x:v>
      </x:c>
      <x:c r="C2492" s="18" t="n">
        <x:v>16942</x:v>
      </x:c>
      <x:c r="D2492" s="18" t="n">
        <x:v>62436</x:v>
      </x:c>
      <x:c r="E2492" s="18" t="n">
        <x:v>4.17</x:v>
      </x:c>
      <x:c r="F2492" s="18" t="n">
        <x:v>10.35</x:v>
      </x:c>
      <x:c r="G2492" t="n">
        <x:v>36</x:v>
      </x:c>
      <x:c r="H2492" t="str">
        <x:v>B</x:v>
      </x:c>
      <x:c r="I2492" t="str">
        <x:v>&lt;1 year</x:v>
      </x:c>
      <x:c r="J2492" t="str">
        <x:v>MORTGAGE</x:v>
      </x:c>
      <x:c r="K2492" t="str">
        <x:v>debt_consolidation</x:v>
      </x:c>
      <x:c r="L2492" t="n">
        <x:v>0</x:v>
      </x:c>
      <x:c r="M2492" t="n">
        <x:v>0</x:v>
      </x:c>
      <x:c r="N2492" t="str">
        <x:v>Fully Paid</x:v>
      </x:c>
      <x:c r="O2492" t="str">
        <x:f>IF(D2492="","Unknown",IF(D2492&lt;25000,"&lt;$25k",IF(D2492&lt;50000,"$25k-$50k",IF(D2492&lt;75000,"$50k-$75k",IF(D2492&lt;100000,"$75k-$100k","$100k+")))))</x:f>
        <x:v>$50k-$75k</x:v>
      </x:c>
      <x:c r="P2492" t="str">
        <x:f>IF(E2492="","Unknown",IF(E2492&lt;10,"&lt;10",IF(E2492&lt;20,"10-&lt;20",IF(E2492&lt;25,"20-&lt;25",IF(E2492&lt;35,"25-&lt;35","35+")))))</x:f>
        <x:v>&lt;10</x:v>
      </x:c>
    </x:row>
    <x:row r="2493">
      <x:c r="A2493" t="str">
        <x:v>SYN0002492</x:v>
      </x:c>
      <x:c r="B2493" s="12" t="n">
        <x:v>41845</x:v>
      </x:c>
      <x:c r="C2493" s="18" t="n">
        <x:v>16658</x:v>
      </x:c>
      <x:c r="D2493" s="18" t="n">
        <x:v>32074</x:v>
      </x:c>
      <x:c r="E2493" s="18" t="n">
        <x:v>19.93</x:v>
      </x:c>
      <x:c r="F2493" s="18" t="n">
        <x:v>11.11</x:v>
      </x:c>
      <x:c r="G2493" t="n">
        <x:v>36</x:v>
      </x:c>
      <x:c r="H2493" t="str">
        <x:v>C</x:v>
      </x:c>
      <x:c r="I2493" t="str">
        <x:v>7-9 years</x:v>
      </x:c>
      <x:c r="J2493" t="str">
        <x:v>MORTGAGE</x:v>
      </x:c>
      <x:c r="K2493" t="str">
        <x:v>debt_consolidation</x:v>
      </x:c>
      <x:c r="L2493" t="n">
        <x:v>0</x:v>
      </x:c>
      <x:c r="M2493" t="n">
        <x:v>0</x:v>
      </x:c>
      <x:c r="N2493" t="str">
        <x:v>Fully Paid</x:v>
      </x:c>
      <x:c r="O2493" t="str">
        <x:f>IF(D2493="","Unknown",IF(D2493&lt;25000,"&lt;$25k",IF(D2493&lt;50000,"$25k-$50k",IF(D2493&lt;75000,"$50k-$75k",IF(D2493&lt;100000,"$75k-$100k","$100k+")))))</x:f>
        <x:v>$25k-$50k</x:v>
      </x:c>
      <x:c r="P2493" t="str">
        <x:f>IF(E2493="","Unknown",IF(E2493&lt;10,"&lt;10",IF(E2493&lt;20,"10-&lt;20",IF(E2493&lt;25,"20-&lt;25",IF(E2493&lt;35,"25-&lt;35","35+")))))</x:f>
        <x:v>10-&lt;20</x:v>
      </x:c>
    </x:row>
    <x:row r="2494">
      <x:c r="A2494" t="str">
        <x:v>SYN0002493</x:v>
      </x:c>
      <x:c r="B2494" s="12" t="n">
        <x:v>42475</x:v>
      </x:c>
      <x:c r="C2494" s="18" t="n">
        <x:v>17131</x:v>
      </x:c>
      <x:c r="D2494" s="18" t="n">
        <x:v>27663</x:v>
      </x:c>
      <x:c r="E2494" s="18" t="n">
        <x:v>25.75</x:v>
      </x:c>
      <x:c r="F2494" s="18" t="n">
        <x:v>8.53</x:v>
      </x:c>
      <x:c r="G2494" t="n">
        <x:v>36</x:v>
      </x:c>
      <x:c r="H2494" t="str">
        <x:v>B</x:v>
      </x:c>
      <x:c r="I2494" t="str">
        <x:v>7-9 years</x:v>
      </x:c>
      <x:c r="J2494" t="str">
        <x:v>MORTGAGE</x:v>
      </x:c>
      <x:c r="K2494" t="str">
        <x:v>debt_consolidation</x:v>
      </x:c>
      <x:c r="L2494" t="n">
        <x:v>1</x:v>
      </x:c>
      <x:c r="M2494" t="n">
        <x:v>0</x:v>
      </x:c>
      <x:c r="N2494" t="str">
        <x:v>Fully Paid</x:v>
      </x:c>
      <x:c r="O2494" t="str">
        <x:f>IF(D2494="","Unknown",IF(D2494&lt;25000,"&lt;$25k",IF(D2494&lt;50000,"$25k-$50k",IF(D2494&lt;75000,"$50k-$75k",IF(D2494&lt;100000,"$75k-$100k","$100k+")))))</x:f>
        <x:v>$25k-$50k</x:v>
      </x:c>
      <x:c r="P2494" t="str">
        <x:f>IF(E2494="","Unknown",IF(E2494&lt;10,"&lt;10",IF(E2494&lt;20,"10-&lt;20",IF(E2494&lt;25,"20-&lt;25",IF(E2494&lt;35,"25-&lt;35","35+")))))</x:f>
        <x:v>25-&lt;35</x:v>
      </x:c>
    </x:row>
    <x:row r="2495">
      <x:c r="A2495" t="str">
        <x:v>SYN0002494</x:v>
      </x:c>
      <x:c r="B2495" s="12" t="n">
        <x:v>42025</x:v>
      </x:c>
      <x:c r="C2495" s="18" t="n">
        <x:v>25394</x:v>
      </x:c>
      <x:c r="D2495" s="18" t="n">
        <x:v>39062</x:v>
      </x:c>
      <x:c r="E2495" s="18" t="n">
        <x:v>14.22</x:v>
      </x:c>
      <x:c r="F2495" s="18" t="n">
        <x:v>21.04</x:v>
      </x:c>
      <x:c r="G2495" t="n">
        <x:v>36</x:v>
      </x:c>
      <x:c r="H2495" t="str">
        <x:v>F</x:v>
      </x:c>
      <x:c r="I2495" t="str">
        <x:v>4-6 years</x:v>
      </x:c>
      <x:c r="J2495" t="str">
        <x:v>RENT</x:v>
      </x:c>
      <x:c r="K2495" t="str">
        <x:v>debt_consolidation</x:v>
      </x:c>
      <x:c r="L2495" t="n">
        <x:v>0</x:v>
      </x:c>
      <x:c r="M2495" t="n">
        <x:v>0</x:v>
      </x:c>
      <x:c r="N2495" t="str">
        <x:v>Fully Paid</x:v>
      </x:c>
      <x:c r="O2495" t="str">
        <x:f>IF(D2495="","Unknown",IF(D2495&lt;25000,"&lt;$25k",IF(D2495&lt;50000,"$25k-$50k",IF(D2495&lt;75000,"$50k-$75k",IF(D2495&lt;100000,"$75k-$100k","$100k+")))))</x:f>
        <x:v>$25k-$50k</x:v>
      </x:c>
      <x:c r="P2495" t="str">
        <x:f>IF(E2495="","Unknown",IF(E2495&lt;10,"&lt;10",IF(E2495&lt;20,"10-&lt;20",IF(E2495&lt;25,"20-&lt;25",IF(E2495&lt;35,"25-&lt;35","35+")))))</x:f>
        <x:v>10-&lt;20</x:v>
      </x:c>
    </x:row>
    <x:row r="2496">
      <x:c r="A2496" t="str">
        <x:v>SYN0002495</x:v>
      </x:c>
      <x:c r="B2496" s="12" t="n">
        <x:v>42505</x:v>
      </x:c>
      <x:c r="C2496" s="18" t="n">
        <x:v>14858</x:v>
      </x:c>
      <x:c r="D2496" s="18" t="n">
        <x:v>87320</x:v>
      </x:c>
      <x:c r="E2496" s="18" t="n">
        <x:v>22.21</x:v>
      </x:c>
      <x:c r="F2496" s="18" t="n">
        <x:v>15.14</x:v>
      </x:c>
      <x:c r="G2496" t="n">
        <x:v>36</x:v>
      </x:c>
      <x:c r="H2496" t="str">
        <x:v>D</x:v>
      </x:c>
      <x:c r="I2496" t="str">
        <x:v>1-3 years</x:v>
      </x:c>
      <x:c r="J2496" t="str">
        <x:v>MORTGAGE</x:v>
      </x:c>
      <x:c r="K2496" t="str">
        <x:v>credit_card</x:v>
      </x:c>
      <x:c r="L2496" t="n">
        <x:v>0</x:v>
      </x:c>
      <x:c r="M2496" t="n">
        <x:v>0</x:v>
      </x:c>
      <x:c r="N2496" t="str">
        <x:v>Fully Paid</x:v>
      </x:c>
      <x:c r="O2496" t="str">
        <x:f>IF(D2496="","Unknown",IF(D2496&lt;25000,"&lt;$25k",IF(D2496&lt;50000,"$25k-$50k",IF(D2496&lt;75000,"$50k-$75k",IF(D2496&lt;100000,"$75k-$100k","$100k+")))))</x:f>
        <x:v>$75k-$100k</x:v>
      </x:c>
      <x:c r="P2496" t="str">
        <x:f>IF(E2496="","Unknown",IF(E2496&lt;10,"&lt;10",IF(E2496&lt;20,"10-&lt;20",IF(E2496&lt;25,"20-&lt;25",IF(E2496&lt;35,"25-&lt;35","35+")))))</x:f>
        <x:v>20-&lt;25</x:v>
      </x:c>
    </x:row>
    <x:row r="2497">
      <x:c r="A2497" t="str">
        <x:v>SYN0002496</x:v>
      </x:c>
      <x:c r="B2497" s="12" t="n">
        <x:v>43165</x:v>
      </x:c>
      <x:c r="C2497" s="18" t="n">
        <x:v>21339</x:v>
      </x:c>
      <x:c r="D2497" s="18" t="n">
        <x:v>72115</x:v>
      </x:c>
      <x:c r="E2497" s="18" t="n">
        <x:v>28.1</x:v>
      </x:c>
      <x:c r="F2497" s="18" t="n">
        <x:v>8.23</x:v>
      </x:c>
      <x:c r="G2497" t="n">
        <x:v>36</x:v>
      </x:c>
      <x:c r="H2497" t="str">
        <x:v>C</x:v>
      </x:c>
      <x:c r="I2497" t="str">
        <x:v>4-6 years</x:v>
      </x:c>
      <x:c r="J2497" t="str">
        <x:v>RENT</x:v>
      </x:c>
      <x:c r="K2497" t="str">
        <x:v>debt_consolidation</x:v>
      </x:c>
      <x:c r="L2497" t="n">
        <x:v>0</x:v>
      </x:c>
      <x:c r="M2497" t="n">
        <x:v>0</x:v>
      </x:c>
      <x:c r="N2497" t="str">
        <x:v>Fully Paid</x:v>
      </x:c>
      <x:c r="O2497" t="str">
        <x:f>IF(D2497="","Unknown",IF(D2497&lt;25000,"&lt;$25k",IF(D2497&lt;50000,"$25k-$50k",IF(D2497&lt;75000,"$50k-$75k",IF(D2497&lt;100000,"$75k-$100k","$100k+")))))</x:f>
        <x:v>$50k-$75k</x:v>
      </x:c>
      <x:c r="P2497" t="str">
        <x:f>IF(E2497="","Unknown",IF(E2497&lt;10,"&lt;10",IF(E2497&lt;20,"10-&lt;20",IF(E2497&lt;25,"20-&lt;25",IF(E2497&lt;35,"25-&lt;35","35+")))))</x:f>
        <x:v>25-&lt;35</x:v>
      </x:c>
    </x:row>
    <x:row r="2498">
      <x:c r="A2498" t="str">
        <x:v>SYN0002497</x:v>
      </x:c>
      <x:c r="B2498" s="12" t="n">
        <x:v>41935</x:v>
      </x:c>
      <x:c r="C2498" s="18" t="n">
        <x:v>13137</x:v>
      </x:c>
      <x:c r="D2498" s="18" t="n">
        <x:v>44884</x:v>
      </x:c>
      <x:c r="E2498" s="18" t="n">
        <x:v>18.65</x:v>
      </x:c>
      <x:c r="F2498" s="18" t="n">
        <x:v>21.8</x:v>
      </x:c>
      <x:c r="G2498" t="n">
        <x:v>36</x:v>
      </x:c>
      <x:c r="H2498" t="str">
        <x:v>F</x:v>
      </x:c>
      <x:c r="I2498" t="str">
        <x:v>10+ years</x:v>
      </x:c>
      <x:c r="J2498" t="str">
        <x:v>OTHER</x:v>
      </x:c>
      <x:c r="K2498" t="str">
        <x:v>debt_consolidation</x:v>
      </x:c>
      <x:c r="L2498" t="n">
        <x:v>0</x:v>
      </x:c>
      <x:c r="M2498" t="n">
        <x:v>0</x:v>
      </x:c>
      <x:c r="N2498" t="str">
        <x:v>Fully Paid</x:v>
      </x:c>
      <x:c r="O2498" t="str">
        <x:f>IF(D2498="","Unknown",IF(D2498&lt;25000,"&lt;$25k",IF(D2498&lt;50000,"$25k-$50k",IF(D2498&lt;75000,"$50k-$75k",IF(D2498&lt;100000,"$75k-$100k","$100k+")))))</x:f>
        <x:v>$25k-$50k</x:v>
      </x:c>
      <x:c r="P2498" t="str">
        <x:f>IF(E2498="","Unknown",IF(E2498&lt;10,"&lt;10",IF(E2498&lt;20,"10-&lt;20",IF(E2498&lt;25,"20-&lt;25",IF(E2498&lt;35,"25-&lt;35","35+")))))</x:f>
        <x:v>10-&lt;20</x:v>
      </x:c>
    </x:row>
    <x:row r="2499">
      <x:c r="A2499" t="str">
        <x:v>SYN0002498</x:v>
      </x:c>
      <x:c r="B2499" s="12" t="n">
        <x:v>43405</x:v>
      </x:c>
      <x:c r="C2499" s="18" t="n">
        <x:v>22601</x:v>
      </x:c>
      <x:c r="D2499" s="18" t="n">
        <x:v>16794</x:v>
      </x:c>
      <x:c r="E2499" s="18" t="n">
        <x:v>24.36</x:v>
      </x:c>
      <x:c r="F2499" s="18" t="n">
        <x:v>7.34</x:v>
      </x:c>
      <x:c r="G2499" t="n">
        <x:v>60</x:v>
      </x:c>
      <x:c r="H2499" t="str">
        <x:v>A</x:v>
      </x:c>
      <x:c r="I2499" t="str">
        <x:v>1-3 years</x:v>
      </x:c>
      <x:c r="J2499" t="str">
        <x:v>RENT</x:v>
      </x:c>
      <x:c r="K2499" t="str">
        <x:v>credit_card</x:v>
      </x:c>
      <x:c r="L2499" t="n">
        <x:v>0</x:v>
      </x:c>
      <x:c r="M2499" t="n">
        <x:v>0</x:v>
      </x:c>
      <x:c r="N2499" t="str">
        <x:v>Fully Paid</x:v>
      </x:c>
      <x:c r="O2499" t="str">
        <x:f>IF(D2499="","Unknown",IF(D2499&lt;25000,"&lt;$25k",IF(D2499&lt;50000,"$25k-$50k",IF(D2499&lt;75000,"$50k-$75k",IF(D2499&lt;100000,"$75k-$100k","$100k+")))))</x:f>
        <x:v>&lt;$25k</x:v>
      </x:c>
      <x:c r="P2499" t="str">
        <x:f>IF(E2499="","Unknown",IF(E2499&lt;10,"&lt;10",IF(E2499&lt;20,"10-&lt;20",IF(E2499&lt;25,"20-&lt;25",IF(E2499&lt;35,"25-&lt;35","35+")))))</x:f>
        <x:v>20-&lt;25</x:v>
      </x:c>
    </x:row>
    <x:row r="2500">
      <x:c r="A2500" t="str">
        <x:v>SYN0002499</x:v>
      </x:c>
      <x:c r="B2500" s="12" t="n">
        <x:v>42115</x:v>
      </x:c>
      <x:c r="C2500" s="18" t="n">
        <x:v>15903</x:v>
      </x:c>
      <x:c r="D2500" s="18" t="n">
        <x:v>42562</x:v>
      </x:c>
      <x:c r="E2500" s="18" t="n">
        <x:v>25.37</x:v>
      </x:c>
      <x:c r="F2500" s="18" t="n">
        <x:v>11.27</x:v>
      </x:c>
      <x:c r="G2500" t="n">
        <x:v>36</x:v>
      </x:c>
      <x:c r="H2500" t="str">
        <x:v>B</x:v>
      </x:c>
      <x:c r="I2500" t="str">
        <x:v>10+ years</x:v>
      </x:c>
      <x:c r="J2500" t="str">
        <x:v>RENT</x:v>
      </x:c>
      <x:c r="K2500" t="str">
        <x:v>credit_card</x:v>
      </x:c>
      <x:c r="L2500" t="n">
        <x:v>0</x:v>
      </x:c>
      <x:c r="M2500" t="n">
        <x:v>0</x:v>
      </x:c>
      <x:c r="N2500" t="str">
        <x:v>Fully Paid</x:v>
      </x:c>
      <x:c r="O2500" t="str">
        <x:f>IF(D2500="","Unknown",IF(D2500&lt;25000,"&lt;$25k",IF(D2500&lt;50000,"$25k-$50k",IF(D2500&lt;75000,"$50k-$75k",IF(D2500&lt;100000,"$75k-$100k","$100k+")))))</x:f>
        <x:v>$25k-$50k</x:v>
      </x:c>
      <x:c r="P2500" t="str">
        <x:f>IF(E2500="","Unknown",IF(E2500&lt;10,"&lt;10",IF(E2500&lt;20,"10-&lt;20",IF(E2500&lt;25,"20-&lt;25",IF(E2500&lt;35,"25-&lt;35","35+")))))</x:f>
        <x:v>25-&lt;35</x:v>
      </x:c>
    </x:row>
    <x:row r="2501">
      <x:c r="A2501" t="str">
        <x:v>SYN0002500</x:v>
      </x:c>
      <x:c r="B2501" s="12" t="n">
        <x:v>41605</x:v>
      </x:c>
      <x:c r="C2501" s="18" t="n">
        <x:v>28886</x:v>
      </x:c>
      <x:c r="D2501" s="18" t="n">
        <x:v>13942</x:v>
      </x:c>
      <x:c r="E2501" s="18" t="n">
        <x:v>19.3</x:v>
      </x:c>
      <x:c r="F2501" s="18" t="n">
        <x:v>17.38</x:v>
      </x:c>
      <x:c r="G2501" t="n">
        <x:v>36</x:v>
      </x:c>
      <x:c r="H2501" t="str">
        <x:v>E</x:v>
      </x:c>
      <x:c r="I2501" t="str">
        <x:v>1-3 years</x:v>
      </x:c>
      <x:c r="J2501" t="str">
        <x:v>OWN</x:v>
      </x:c>
      <x:c r="K2501" t="str">
        <x:v>debt_consolidation</x:v>
      </x:c>
      <x:c r="L2501" t="n">
        <x:v>1</x:v>
      </x:c>
      <x:c r="M2501" t="n">
        <x:v>0</x:v>
      </x:c>
      <x:c r="N2501" t="str">
        <x:v>Fully Paid</x:v>
      </x:c>
      <x:c r="O2501" t="str">
        <x:f>IF(D2501="","Unknown",IF(D2501&lt;25000,"&lt;$25k",IF(D2501&lt;50000,"$25k-$50k",IF(D2501&lt;75000,"$50k-$75k",IF(D2501&lt;100000,"$75k-$100k","$100k+")))))</x:f>
        <x:v>&lt;$25k</x:v>
      </x:c>
      <x:c r="P2501" t="str">
        <x:f>IF(E2501="","Unknown",IF(E2501&lt;10,"&lt;10",IF(E2501&lt;20,"10-&lt;20",IF(E2501&lt;25,"20-&lt;25",IF(E2501&lt;35,"25-&lt;35","35+")))))</x:f>
        <x:v>10-&lt;20</x:v>
      </x:c>
    </x:row>
    <x:row r="2502">
      <x:c r="A2502" t="str">
        <x:v>SYN0002501</x:v>
      </x:c>
      <x:c r="B2502" s="12" t="n">
        <x:v>41905</x:v>
      </x:c>
      <x:c r="C2502" s="18" t="n">
        <x:v>13443</x:v>
      </x:c>
      <x:c r="D2502" s="18" t="n">
        <x:v>27081</x:v>
      </x:c>
      <x:c r="E2502" s="18" t="n">
        <x:v>24.81</x:v>
      </x:c>
      <x:c r="F2502" s="18" t="n">
        <x:v>15.16</x:v>
      </x:c>
      <x:c r="G2502" t="n">
        <x:v>36</x:v>
      </x:c>
      <x:c r="H2502" t="str">
        <x:v>D</x:v>
      </x:c>
      <x:c r="I2502" t="str">
        <x:v>1-3 years</x:v>
      </x:c>
      <x:c r="J2502" t="str">
        <x:v>OWN</x:v>
      </x:c>
      <x:c r="K2502" t="str">
        <x:v>debt_consolidation</x:v>
      </x:c>
      <x:c r="L2502" t="n">
        <x:v>0</x:v>
      </x:c>
      <x:c r="M2502" t="n">
        <x:v>0</x:v>
      </x:c>
      <x:c r="N2502" t="str">
        <x:v>Fully Paid</x:v>
      </x:c>
      <x:c r="O2502" t="str">
        <x:f>IF(D2502="","Unknown",IF(D2502&lt;25000,"&lt;$25k",IF(D2502&lt;50000,"$25k-$50k",IF(D2502&lt;75000,"$50k-$75k",IF(D2502&lt;100000,"$75k-$100k","$100k+")))))</x:f>
        <x:v>$25k-$50k</x:v>
      </x:c>
      <x:c r="P2502" t="str">
        <x:f>IF(E2502="","Unknown",IF(E2502&lt;10,"&lt;10",IF(E2502&lt;20,"10-&lt;20",IF(E2502&lt;25,"20-&lt;25",IF(E2502&lt;35,"25-&lt;35","35+")))))</x:f>
        <x:v>20-&lt;25</x:v>
      </x:c>
    </x:row>
    <x:row r="2503">
      <x:c r="A2503" t="str">
        <x:v>SYN0002502</x:v>
      </x:c>
      <x:c r="B2503" s="12" t="n">
        <x:v>41275</x:v>
      </x:c>
      <x:c r="C2503" s="18" t="n">
        <x:v>18519</x:v>
      </x:c>
      <x:c r="D2503" s="18" t="n">
        <x:v>19385</x:v>
      </x:c>
      <x:c r="E2503" s="18" t="n">
        <x:v>13.01</x:v>
      </x:c>
      <x:c r="F2503" s="18" t="n">
        <x:v>7.53</x:v>
      </x:c>
      <x:c r="G2503" t="n">
        <x:v>36</x:v>
      </x:c>
      <x:c r="H2503" t="str">
        <x:v>B</x:v>
      </x:c>
      <x:c r="I2503" t="str">
        <x:v>1-3 years</x:v>
      </x:c>
      <x:c r="J2503" t="str">
        <x:v>OTHER</x:v>
      </x:c>
      <x:c r="K2503" t="str">
        <x:v>credit_card</x:v>
      </x:c>
      <x:c r="L2503" t="n">
        <x:v>0</x:v>
      </x:c>
      <x:c r="M2503" t="n">
        <x:v>0</x:v>
      </x:c>
      <x:c r="N2503" t="str">
        <x:v>Fully Paid</x:v>
      </x:c>
      <x:c r="O2503" t="str">
        <x:f>IF(D2503="","Unknown",IF(D2503&lt;25000,"&lt;$25k",IF(D2503&lt;50000,"$25k-$50k",IF(D2503&lt;75000,"$50k-$75k",IF(D2503&lt;100000,"$75k-$100k","$100k+")))))</x:f>
        <x:v>&lt;$25k</x:v>
      </x:c>
      <x:c r="P2503" t="str">
        <x:f>IF(E2503="","Unknown",IF(E2503&lt;10,"&lt;10",IF(E2503&lt;20,"10-&lt;20",IF(E2503&lt;25,"20-&lt;25",IF(E2503&lt;35,"25-&lt;35","35+")))))</x:f>
        <x:v>10-&lt;20</x:v>
      </x:c>
    </x:row>
    <x:row r="2504">
      <x:c r="A2504" t="str">
        <x:v>SYN0002503</x:v>
      </x:c>
      <x:c r="B2504" s="12" t="n">
        <x:v>42595</x:v>
      </x:c>
      <x:c r="C2504" s="18" t="n">
        <x:v>8489</x:v>
      </x:c>
      <x:c r="D2504" s="18" t="n">
        <x:v>41600</x:v>
      </x:c>
      <x:c r="E2504" s="18" t="n">
        <x:v>7.81</x:v>
      </x:c>
      <x:c r="F2504" s="18" t="n">
        <x:v>13.12</x:v>
      </x:c>
      <x:c r="G2504" t="n">
        <x:v>36</x:v>
      </x:c>
      <x:c r="H2504" t="str">
        <x:v>D</x:v>
      </x:c>
      <x:c r="I2504" t="str">
        <x:v>4-6 years</x:v>
      </x:c>
      <x:c r="J2504" t="str">
        <x:v>RENT</x:v>
      </x:c>
      <x:c r="K2504" t="str">
        <x:v>medical</x:v>
      </x:c>
      <x:c r="L2504" t="n">
        <x:v>0</x:v>
      </x:c>
      <x:c r="M2504" t="n">
        <x:v>0</x:v>
      </x:c>
      <x:c r="N2504" t="str">
        <x:v>Fully Paid</x:v>
      </x:c>
      <x:c r="O2504" t="str">
        <x:f>IF(D2504="","Unknown",IF(D2504&lt;25000,"&lt;$25k",IF(D2504&lt;50000,"$25k-$50k",IF(D2504&lt;75000,"$50k-$75k",IF(D2504&lt;100000,"$75k-$100k","$100k+")))))</x:f>
        <x:v>$25k-$50k</x:v>
      </x:c>
      <x:c r="P2504" t="str">
        <x:f>IF(E2504="","Unknown",IF(E2504&lt;10,"&lt;10",IF(E2504&lt;20,"10-&lt;20",IF(E2504&lt;25,"20-&lt;25",IF(E2504&lt;35,"25-&lt;35","35+")))))</x:f>
        <x:v>&lt;10</x:v>
      </x:c>
    </x:row>
    <x:row r="2505">
      <x:c r="A2505" t="str">
        <x:v>SYN0002504</x:v>
      </x:c>
      <x:c r="B2505" s="12" t="n">
        <x:v>41755</x:v>
      </x:c>
      <x:c r="C2505" s="18" t="n">
        <x:v>24929</x:v>
      </x:c>
      <x:c r="D2505" s="18" t="n">
        <x:v>72710</x:v>
      </x:c>
      <x:c r="E2505" s="18" t="n">
        <x:v>28.03</x:v>
      </x:c>
      <x:c r="F2505" s="18" t="n">
        <x:v>8.62</x:v>
      </x:c>
      <x:c r="G2505" t="n">
        <x:v>36</x:v>
      </x:c>
      <x:c r="H2505" t="str">
        <x:v>A</x:v>
      </x:c>
      <x:c r="I2505" t="str">
        <x:v>7-9 years</x:v>
      </x:c>
      <x:c r="J2505" t="str">
        <x:v>OWN</x:v>
      </x:c>
      <x:c r="K2505" t="str">
        <x:v>credit_card</x:v>
      </x:c>
      <x:c r="L2505" t="n">
        <x:v>0</x:v>
      </x:c>
      <x:c r="M2505" t="n">
        <x:v>0</x:v>
      </x:c>
      <x:c r="N2505" t="str">
        <x:v>Fully Paid</x:v>
      </x:c>
      <x:c r="O2505" t="str">
        <x:f>IF(D2505="","Unknown",IF(D2505&lt;25000,"&lt;$25k",IF(D2505&lt;50000,"$25k-$50k",IF(D2505&lt;75000,"$50k-$75k",IF(D2505&lt;100000,"$75k-$100k","$100k+")))))</x:f>
        <x:v>$50k-$75k</x:v>
      </x:c>
      <x:c r="P2505" t="str">
        <x:f>IF(E2505="","Unknown",IF(E2505&lt;10,"&lt;10",IF(E2505&lt;20,"10-&lt;20",IF(E2505&lt;25,"20-&lt;25",IF(E2505&lt;35,"25-&lt;35","35+")))))</x:f>
        <x:v>25-&lt;35</x:v>
      </x:c>
    </x:row>
    <x:row r="2506">
      <x:c r="A2506" t="str">
        <x:v>SYN0002505</x:v>
      </x:c>
      <x:c r="B2506" s="12" t="n">
        <x:v>41935</x:v>
      </x:c>
      <x:c r="C2506" s="18" t="n">
        <x:v>9072</x:v>
      </x:c>
      <x:c r="D2506" s="18" t="n">
        <x:v>81215</x:v>
      </x:c>
      <x:c r="E2506" s="18" t="n">
        <x:v>34.31</x:v>
      </x:c>
      <x:c r="F2506" s="18" t="n">
        <x:v>13.15</x:v>
      </x:c>
      <x:c r="G2506" t="n">
        <x:v>60</x:v>
      </x:c>
      <x:c r="H2506" t="str">
        <x:v>C</x:v>
      </x:c>
      <x:c r="I2506" t="str">
        <x:v>1-3 years</x:v>
      </x:c>
      <x:c r="J2506" t="str">
        <x:v>OWN</x:v>
      </x:c>
      <x:c r="K2506" t="str">
        <x:v>debt_consolidation</x:v>
      </x:c>
      <x:c r="L2506" t="n">
        <x:v>0</x:v>
      </x:c>
      <x:c r="M2506" t="n">
        <x:v>0</x:v>
      </x:c>
      <x:c r="N2506" t="str">
        <x:v>Fully Paid</x:v>
      </x:c>
      <x:c r="O2506" t="str">
        <x:f>IF(D2506="","Unknown",IF(D2506&lt;25000,"&lt;$25k",IF(D2506&lt;50000,"$25k-$50k",IF(D2506&lt;75000,"$50k-$75k",IF(D2506&lt;100000,"$75k-$100k","$100k+")))))</x:f>
        <x:v>$75k-$100k</x:v>
      </x:c>
      <x:c r="P2506" t="str">
        <x:f>IF(E2506="","Unknown",IF(E2506&lt;10,"&lt;10",IF(E2506&lt;20,"10-&lt;20",IF(E2506&lt;25,"20-&lt;25",IF(E2506&lt;35,"25-&lt;35","35+")))))</x:f>
        <x:v>25-&lt;35</x:v>
      </x:c>
    </x:row>
    <x:row r="2507">
      <x:c r="A2507" t="str">
        <x:v>SYN0002506</x:v>
      </x:c>
      <x:c r="B2507" s="12" t="n">
        <x:v>42025</x:v>
      </x:c>
      <x:c r="C2507" s="18" t="n">
        <x:v>19400</x:v>
      </x:c>
      <x:c r="D2507" s="18" t="n">
        <x:v>105233</x:v>
      </x:c>
      <x:c r="E2507" s="18" t="n">
        <x:v>32.44</x:v>
      </x:c>
      <x:c r="F2507" s="18" t="n">
        <x:v>13.9</x:v>
      </x:c>
      <x:c r="G2507" t="n">
        <x:v>60</x:v>
      </x:c>
      <x:c r="H2507" t="str">
        <x:v>D</x:v>
      </x:c>
      <x:c r="I2507" t="str">
        <x:v>4-6 years</x:v>
      </x:c>
      <x:c r="J2507" t="str">
        <x:v>OWN</x:v>
      </x:c>
      <x:c r="K2507" t="str">
        <x:v>debt_consolidation</x:v>
      </x:c>
      <x:c r="L2507" t="n">
        <x:v>0</x:v>
      </x:c>
      <x:c r="M2507" t="n">
        <x:v>1</x:v>
      </x:c>
      <x:c r="N2507" t="str">
        <x:v>Charged Off</x:v>
      </x:c>
      <x:c r="O2507" t="str">
        <x:f>IF(D2507="","Unknown",IF(D2507&lt;25000,"&lt;$25k",IF(D2507&lt;50000,"$25k-$50k",IF(D2507&lt;75000,"$50k-$75k",IF(D2507&lt;100000,"$75k-$100k","$100k+")))))</x:f>
        <x:v>$100k+</x:v>
      </x:c>
      <x:c r="P2507" t="str">
        <x:f>IF(E2507="","Unknown",IF(E2507&lt;10,"&lt;10",IF(E2507&lt;20,"10-&lt;20",IF(E2507&lt;25,"20-&lt;25",IF(E2507&lt;35,"25-&lt;35","35+")))))</x:f>
        <x:v>25-&lt;35</x:v>
      </x:c>
    </x:row>
    <x:row r="2508">
      <x:c r="A2508" t="str">
        <x:v>SYN0002507</x:v>
      </x:c>
      <x:c r="B2508" s="12" t="n">
        <x:v>41575</x:v>
      </x:c>
      <x:c r="C2508" s="18" t="n">
        <x:v>10835</x:v>
      </x:c>
      <x:c r="D2508" s="18" t="n">
        <x:v>73730</x:v>
      </x:c>
      <x:c r="E2508" s="18" t="n">
        <x:v>21.6</x:v>
      </x:c>
      <x:c r="F2508" s="18" t="n">
        <x:v>27</x:v>
      </x:c>
      <x:c r="G2508" t="n">
        <x:v>36</x:v>
      </x:c>
      <x:c r="H2508" t="str">
        <x:v>G</x:v>
      </x:c>
      <x:c r="I2508" t="str">
        <x:v>&lt;1 year</x:v>
      </x:c>
      <x:c r="J2508" t="str">
        <x:v>RENT</x:v>
      </x:c>
      <x:c r="K2508" t="str">
        <x:v>debt_consolidation</x:v>
      </x:c>
      <x:c r="L2508" t="n">
        <x:v>1</x:v>
      </x:c>
      <x:c r="M2508" t="n">
        <x:v>0</x:v>
      </x:c>
      <x:c r="N2508" t="str">
        <x:v>Fully Paid</x:v>
      </x:c>
      <x:c r="O2508" t="str">
        <x:f>IF(D2508="","Unknown",IF(D2508&lt;25000,"&lt;$25k",IF(D2508&lt;50000,"$25k-$50k",IF(D2508&lt;75000,"$50k-$75k",IF(D2508&lt;100000,"$75k-$100k","$100k+")))))</x:f>
        <x:v>$50k-$75k</x:v>
      </x:c>
      <x:c r="P2508" t="str">
        <x:f>IF(E2508="","Unknown",IF(E2508&lt;10,"&lt;10",IF(E2508&lt;20,"10-&lt;20",IF(E2508&lt;25,"20-&lt;25",IF(E2508&lt;35,"25-&lt;35","35+")))))</x:f>
        <x:v>20-&lt;25</x:v>
      </x:c>
    </x:row>
    <x:row r="2509">
      <x:c r="A2509" t="str">
        <x:v>SYN0002508</x:v>
      </x:c>
      <x:c r="B2509" s="12" t="n">
        <x:v>41335</x:v>
      </x:c>
      <x:c r="C2509" s="18" t="n">
        <x:v>3667</x:v>
      </x:c>
      <x:c r="D2509" s="18" t="n">
        <x:v>42584</x:v>
      </x:c>
      <x:c r="E2509" s="18" t="n">
        <x:v>20.16</x:v>
      </x:c>
      <x:c r="F2509" s="18" t="n">
        <x:v>8.66</x:v>
      </x:c>
      <x:c r="G2509" t="n">
        <x:v>36</x:v>
      </x:c>
      <x:c r="H2509" t="str">
        <x:v>A</x:v>
      </x:c>
      <x:c r="I2509" t="str">
        <x:v>10+ years</x:v>
      </x:c>
      <x:c r="J2509" t="str">
        <x:v>RENT</x:v>
      </x:c>
      <x:c r="K2509" t="str">
        <x:v>home_improvement</x:v>
      </x:c>
      <x:c r="L2509" t="n">
        <x:v>1</x:v>
      </x:c>
      <x:c r="M2509" t="n">
        <x:v>0</x:v>
      </x:c>
      <x:c r="N2509" t="str">
        <x:v>Fully Paid</x:v>
      </x:c>
      <x:c r="O2509" t="str">
        <x:f>IF(D2509="","Unknown",IF(D2509&lt;25000,"&lt;$25k",IF(D2509&lt;50000,"$25k-$50k",IF(D2509&lt;75000,"$50k-$75k",IF(D2509&lt;100000,"$75k-$100k","$100k+")))))</x:f>
        <x:v>$25k-$50k</x:v>
      </x:c>
      <x:c r="P2509" t="str">
        <x:f>IF(E2509="","Unknown",IF(E2509&lt;10,"&lt;10",IF(E2509&lt;20,"10-&lt;20",IF(E2509&lt;25,"20-&lt;25",IF(E2509&lt;35,"25-&lt;35","35+")))))</x:f>
        <x:v>20-&lt;25</x:v>
      </x:c>
    </x:row>
    <x:row r="2510">
      <x:c r="A2510" t="str">
        <x:v>SYN0002509</x:v>
      </x:c>
      <x:c r="B2510" s="12" t="n">
        <x:v>42925</x:v>
      </x:c>
      <x:c r="C2510" s="18" t="n">
        <x:v>12217</x:v>
      </x:c>
      <x:c r="D2510" s="18" t="n">
        <x:v>36797</x:v>
      </x:c>
      <x:c r="E2510" s="18" t="n">
        <x:v>18.27</x:v>
      </x:c>
      <x:c r="F2510" s="18" t="n">
        <x:v>13.28</x:v>
      </x:c>
      <x:c r="G2510" t="n">
        <x:v>60</x:v>
      </x:c>
      <x:c r="H2510" t="str">
        <x:v>D</x:v>
      </x:c>
      <x:c r="I2510" t="str">
        <x:v>10+ years</x:v>
      </x:c>
      <x:c r="J2510" t="str">
        <x:v>MORTGAGE</x:v>
      </x:c>
      <x:c r="K2510" t="str">
        <x:v>home_improvement</x:v>
      </x:c>
      <x:c r="L2510" t="n">
        <x:v>0</x:v>
      </x:c>
      <x:c r="M2510" t="n">
        <x:v>0</x:v>
      </x:c>
      <x:c r="N2510" t="str">
        <x:v>Fully Paid</x:v>
      </x:c>
      <x:c r="O2510" t="str">
        <x:f>IF(D2510="","Unknown",IF(D2510&lt;25000,"&lt;$25k",IF(D2510&lt;50000,"$25k-$50k",IF(D2510&lt;75000,"$50k-$75k",IF(D2510&lt;100000,"$75k-$100k","$100k+")))))</x:f>
        <x:v>$25k-$50k</x:v>
      </x:c>
      <x:c r="P2510" t="str">
        <x:f>IF(E2510="","Unknown",IF(E2510&lt;10,"&lt;10",IF(E2510&lt;20,"10-&lt;20",IF(E2510&lt;25,"20-&lt;25",IF(E2510&lt;35,"25-&lt;35","35+")))))</x:f>
        <x:v>10-&lt;20</x:v>
      </x:c>
    </x:row>
    <x:row r="2511">
      <x:c r="A2511" t="str">
        <x:v>SYN0002510</x:v>
      </x:c>
      <x:c r="B2511" s="12" t="n">
        <x:v>43405</x:v>
      </x:c>
      <x:c r="C2511" s="18" t="n">
        <x:v>8443</x:v>
      </x:c>
      <x:c r="D2511" s="18" t="n">
        <x:v>32057</x:v>
      </x:c>
      <x:c r="E2511" s="18" t="n">
        <x:v>24.58</x:v>
      </x:c>
      <x:c r="F2511" s="18" t="n">
        <x:v>14.43</x:v>
      </x:c>
      <x:c r="G2511" t="n">
        <x:v>36</x:v>
      </x:c>
      <x:c r="H2511" t="str">
        <x:v>D</x:v>
      </x:c>
      <x:c r="I2511" t="str">
        <x:v>4-6 years</x:v>
      </x:c>
      <x:c r="J2511" t="str">
        <x:v>MORTGAGE</x:v>
      </x:c>
      <x:c r="K2511" t="str">
        <x:v>debt_consolidation</x:v>
      </x:c>
      <x:c r="L2511" t="n">
        <x:v>0</x:v>
      </x:c>
      <x:c r="M2511" t="n">
        <x:v>0</x:v>
      </x:c>
      <x:c r="N2511" t="str">
        <x:v>Fully Paid</x:v>
      </x:c>
      <x:c r="O2511" t="str">
        <x:f>IF(D2511="","Unknown",IF(D2511&lt;25000,"&lt;$25k",IF(D2511&lt;50000,"$25k-$50k",IF(D2511&lt;75000,"$50k-$75k",IF(D2511&lt;100000,"$75k-$100k","$100k+")))))</x:f>
        <x:v>$25k-$50k</x:v>
      </x:c>
      <x:c r="P2511" t="str">
        <x:f>IF(E2511="","Unknown",IF(E2511&lt;10,"&lt;10",IF(E2511&lt;20,"10-&lt;20",IF(E2511&lt;25,"20-&lt;25",IF(E2511&lt;35,"25-&lt;35","35+")))))</x:f>
        <x:v>20-&lt;25</x:v>
      </x:c>
    </x:row>
    <x:row r="2512">
      <x:c r="A2512" t="str">
        <x:v>SYN0002511</x:v>
      </x:c>
      <x:c r="B2512" s="12" t="n">
        <x:v>42325</x:v>
      </x:c>
      <x:c r="C2512" s="18" t="n">
        <x:v>10847</x:v>
      </x:c>
      <x:c r="D2512" s="18" t="n">
        <x:v>29722</x:v>
      </x:c>
      <x:c r="E2512" s="18" t="n">
        <x:v>16.44</x:v>
      </x:c>
      <x:c r="F2512" s="18" t="n">
        <x:v>5</x:v>
      </x:c>
      <x:c r="G2512" t="n">
        <x:v>36</x:v>
      </x:c>
      <x:c r="H2512" t="str">
        <x:v>A</x:v>
      </x:c>
      <x:c r="I2512" t="str">
        <x:v>10+ years</x:v>
      </x:c>
      <x:c r="J2512" t="str">
        <x:v>OWN</x:v>
      </x:c>
      <x:c r="K2512" t="str">
        <x:v>debt_consolidation</x:v>
      </x:c>
      <x:c r="L2512" t="n">
        <x:v>1</x:v>
      </x:c>
      <x:c r="M2512" t="n">
        <x:v>0</x:v>
      </x:c>
      <x:c r="N2512" t="str">
        <x:v>Fully Paid</x:v>
      </x:c>
      <x:c r="O2512" t="str">
        <x:f>IF(D2512="","Unknown",IF(D2512&lt;25000,"&lt;$25k",IF(D2512&lt;50000,"$25k-$50k",IF(D2512&lt;75000,"$50k-$75k",IF(D2512&lt;100000,"$75k-$100k","$100k+")))))</x:f>
        <x:v>$25k-$50k</x:v>
      </x:c>
      <x:c r="P2512" t="str">
        <x:f>IF(E2512="","Unknown",IF(E2512&lt;10,"&lt;10",IF(E2512&lt;20,"10-&lt;20",IF(E2512&lt;25,"20-&lt;25",IF(E2512&lt;35,"25-&lt;35","35+")))))</x:f>
        <x:v>10-&lt;20</x:v>
      </x:c>
    </x:row>
    <x:row r="2513">
      <x:c r="A2513" t="str">
        <x:v>SYN0002512</x:v>
      </x:c>
      <x:c r="B2513" s="12" t="n">
        <x:v>43375</x:v>
      </x:c>
      <x:c r="C2513" s="18" t="n">
        <x:v>24881</x:v>
      </x:c>
      <x:c r="D2513" s="18" t="n">
        <x:v>47636</x:v>
      </x:c>
      <x:c r="E2513" s="18" t="n">
        <x:v>32.95</x:v>
      </x:c>
      <x:c r="F2513" s="18" t="n">
        <x:v>22.7</x:v>
      </x:c>
      <x:c r="G2513" t="n">
        <x:v>60</x:v>
      </x:c>
      <x:c r="H2513" t="str">
        <x:v>F</x:v>
      </x:c>
      <x:c r="I2513" t="str">
        <x:v>4-6 years</x:v>
      </x:c>
      <x:c r="J2513" t="str">
        <x:v>MORTGAGE</x:v>
      </x:c>
      <x:c r="K2513" t="str">
        <x:v>debt_consolidation</x:v>
      </x:c>
      <x:c r="L2513" t="n">
        <x:v>0</x:v>
      </x:c>
      <x:c r="M2513" t="n">
        <x:v>0</x:v>
      </x:c>
      <x:c r="N2513" t="str">
        <x:v>Fully Paid</x:v>
      </x:c>
      <x:c r="O2513" t="str">
        <x:f>IF(D2513="","Unknown",IF(D2513&lt;25000,"&lt;$25k",IF(D2513&lt;50000,"$25k-$50k",IF(D2513&lt;75000,"$50k-$75k",IF(D2513&lt;100000,"$75k-$100k","$100k+")))))</x:f>
        <x:v>$25k-$50k</x:v>
      </x:c>
      <x:c r="P2513" t="str">
        <x:f>IF(E2513="","Unknown",IF(E2513&lt;10,"&lt;10",IF(E2513&lt;20,"10-&lt;20",IF(E2513&lt;25,"20-&lt;25",IF(E2513&lt;35,"25-&lt;35","35+")))))</x:f>
        <x:v>25-&lt;35</x:v>
      </x:c>
    </x:row>
    <x:row r="2514">
      <x:c r="A2514" t="str">
        <x:v>SYN0002513</x:v>
      </x:c>
      <x:c r="B2514" s="12" t="n">
        <x:v>41725</x:v>
      </x:c>
      <x:c r="C2514" s="18" t="n">
        <x:v>9197</x:v>
      </x:c>
      <x:c r="D2514" s="18" t="n">
        <x:v>18985</x:v>
      </x:c>
      <x:c r="E2514" s="18" t="n">
        <x:v>22.25</x:v>
      </x:c>
      <x:c r="F2514" s="18" t="n">
        <x:v>13.95</x:v>
      </x:c>
      <x:c r="G2514" t="n">
        <x:v>36</x:v>
      </x:c>
      <x:c r="H2514" t="str">
        <x:v>D</x:v>
      </x:c>
      <x:c r="I2514" t="str">
        <x:v>4-6 years</x:v>
      </x:c>
      <x:c r="J2514" t="str">
        <x:v>RENT</x:v>
      </x:c>
      <x:c r="K2514" t="str">
        <x:v>debt_consolidation</x:v>
      </x:c>
      <x:c r="L2514" t="n">
        <x:v>0</x:v>
      </x:c>
      <x:c r="M2514" t="n">
        <x:v>0</x:v>
      </x:c>
      <x:c r="N2514" t="str">
        <x:v>Fully Paid</x:v>
      </x:c>
      <x:c r="O2514" t="str">
        <x:f>IF(D2514="","Unknown",IF(D2514&lt;25000,"&lt;$25k",IF(D2514&lt;50000,"$25k-$50k",IF(D2514&lt;75000,"$50k-$75k",IF(D2514&lt;100000,"$75k-$100k","$100k+")))))</x:f>
        <x:v>&lt;$25k</x:v>
      </x:c>
      <x:c r="P2514" t="str">
        <x:f>IF(E2514="","Unknown",IF(E2514&lt;10,"&lt;10",IF(E2514&lt;20,"10-&lt;20",IF(E2514&lt;25,"20-&lt;25",IF(E2514&lt;35,"25-&lt;35","35+")))))</x:f>
        <x:v>20-&lt;25</x:v>
      </x:c>
    </x:row>
    <x:row r="2515">
      <x:c r="A2515" t="str">
        <x:v>SYN0002514</x:v>
      </x:c>
      <x:c r="B2515" s="12" t="n">
        <x:v>43015</x:v>
      </x:c>
      <x:c r="C2515" s="18" t="n">
        <x:v>20319</x:v>
      </x:c>
      <x:c r="D2515" s="18" t="n">
        <x:v>50085</x:v>
      </x:c>
      <x:c r="E2515" s="18" t="n">
        <x:v>19.14</x:v>
      </x:c>
      <x:c r="F2515" s="18" t="n">
        <x:v>10.38</x:v>
      </x:c>
      <x:c r="G2515" t="n">
        <x:v>36</x:v>
      </x:c>
      <x:c r="H2515" t="str">
        <x:v>C</x:v>
      </x:c>
      <x:c r="I2515" t="str">
        <x:v>10+ years</x:v>
      </x:c>
      <x:c r="J2515" t="str">
        <x:v>MORTGAGE</x:v>
      </x:c>
      <x:c r="K2515" t="str">
        <x:v>debt_consolidation</x:v>
      </x:c>
      <x:c r="L2515" t="n">
        <x:v>0</x:v>
      </x:c>
      <x:c r="M2515" t="n">
        <x:v>0</x:v>
      </x:c>
      <x:c r="N2515" t="str">
        <x:v>Fully Paid</x:v>
      </x:c>
      <x:c r="O2515" t="str">
        <x:f>IF(D2515="","Unknown",IF(D2515&lt;25000,"&lt;$25k",IF(D2515&lt;50000,"$25k-$50k",IF(D2515&lt;75000,"$50k-$75k",IF(D2515&lt;100000,"$75k-$100k","$100k+")))))</x:f>
        <x:v>$50k-$75k</x:v>
      </x:c>
      <x:c r="P2515" t="str">
        <x:f>IF(E2515="","Unknown",IF(E2515&lt;10,"&lt;10",IF(E2515&lt;20,"10-&lt;20",IF(E2515&lt;25,"20-&lt;25",IF(E2515&lt;35,"25-&lt;35","35+")))))</x:f>
        <x:v>10-&lt;20</x:v>
      </x:c>
    </x:row>
    <x:row r="2516">
      <x:c r="A2516" t="str">
        <x:v>SYN0002515</x:v>
      </x:c>
      <x:c r="B2516" s="12" t="n">
        <x:v>42625</x:v>
      </x:c>
      <x:c r="C2516" s="18" t="n">
        <x:v>11703</x:v>
      </x:c>
      <x:c r="D2516" s="18" t="n">
        <x:v>15230</x:v>
      </x:c>
      <x:c r="E2516" s="18" t="n">
        <x:v>23.48</x:v>
      </x:c>
      <x:c r="F2516" s="18" t="n">
        <x:v>14.25</x:v>
      </x:c>
      <x:c r="G2516" t="n">
        <x:v>60</x:v>
      </x:c>
      <x:c r="H2516" t="str">
        <x:v>D</x:v>
      </x:c>
      <x:c r="I2516" t="str">
        <x:v>&lt;1 year</x:v>
      </x:c>
      <x:c r="J2516" t="str">
        <x:v>RENT</x:v>
      </x:c>
      <x:c r="K2516" t="str">
        <x:v>debt_consolidation</x:v>
      </x:c>
      <x:c r="L2516" t="n">
        <x:v>0</x:v>
      </x:c>
      <x:c r="M2516" t="n">
        <x:v>0</x:v>
      </x:c>
      <x:c r="N2516" t="str">
        <x:v>Fully Paid</x:v>
      </x:c>
      <x:c r="O2516" t="str">
        <x:f>IF(D2516="","Unknown",IF(D2516&lt;25000,"&lt;$25k",IF(D2516&lt;50000,"$25k-$50k",IF(D2516&lt;75000,"$50k-$75k",IF(D2516&lt;100000,"$75k-$100k","$100k+")))))</x:f>
        <x:v>&lt;$25k</x:v>
      </x:c>
      <x:c r="P2516" t="str">
        <x:f>IF(E2516="","Unknown",IF(E2516&lt;10,"&lt;10",IF(E2516&lt;20,"10-&lt;20",IF(E2516&lt;25,"20-&lt;25",IF(E2516&lt;35,"25-&lt;35","35+")))))</x:f>
        <x:v>20-&lt;25</x:v>
      </x:c>
    </x:row>
    <x:row r="2517">
      <x:c r="A2517" t="str">
        <x:v>SYN0002516</x:v>
      </x:c>
      <x:c r="B2517" s="12" t="n">
        <x:v>41455</x:v>
      </x:c>
      <x:c r="C2517" s="18" t="n">
        <x:v>10108</x:v>
      </x:c>
      <x:c r="D2517" s="18" t="n">
        <x:v>40482</x:v>
      </x:c>
      <x:c r="E2517" s="18" t="n">
        <x:v>9.11</x:v>
      </x:c>
      <x:c r="F2517" s="18" t="n">
        <x:v>6.59</x:v>
      </x:c>
      <x:c r="G2517" t="n">
        <x:v>36</x:v>
      </x:c>
      <x:c r="H2517" t="str">
        <x:v>A</x:v>
      </x:c>
      <x:c r="I2517" t="str">
        <x:v>10+ years</x:v>
      </x:c>
      <x:c r="J2517" t="str">
        <x:v>RENT</x:v>
      </x:c>
      <x:c r="K2517" t="str">
        <x:v>debt_consolidation</x:v>
      </x:c>
      <x:c r="L2517" t="n">
        <x:v>1</x:v>
      </x:c>
      <x:c r="M2517" t="n">
        <x:v>0</x:v>
      </x:c>
      <x:c r="N2517" t="str">
        <x:v>Fully Paid</x:v>
      </x:c>
      <x:c r="O2517" t="str">
        <x:f>IF(D2517="","Unknown",IF(D2517&lt;25000,"&lt;$25k",IF(D2517&lt;50000,"$25k-$50k",IF(D2517&lt;75000,"$50k-$75k",IF(D2517&lt;100000,"$75k-$100k","$100k+")))))</x:f>
        <x:v>$25k-$50k</x:v>
      </x:c>
      <x:c r="P2517" t="str">
        <x:f>IF(E2517="","Unknown",IF(E2517&lt;10,"&lt;10",IF(E2517&lt;20,"10-&lt;20",IF(E2517&lt;25,"20-&lt;25",IF(E2517&lt;35,"25-&lt;35","35+")))))</x:f>
        <x:v>&lt;10</x:v>
      </x:c>
    </x:row>
    <x:row r="2518">
      <x:c r="A2518" t="str">
        <x:v>SYN0002517</x:v>
      </x:c>
      <x:c r="B2518" s="12" t="n">
        <x:v>43045</x:v>
      </x:c>
      <x:c r="C2518" s="18" t="n">
        <x:v>16754</x:v>
      </x:c>
      <x:c r="D2518" s="18" t="n">
        <x:v>36663</x:v>
      </x:c>
      <x:c r="E2518" s="18" t="n">
        <x:v>17.95</x:v>
      </x:c>
      <x:c r="F2518" s="18" t="n">
        <x:v>7.18</x:v>
      </x:c>
      <x:c r="G2518" t="n">
        <x:v>60</x:v>
      </x:c>
      <x:c r="H2518" t="str">
        <x:v>B</x:v>
      </x:c>
      <x:c r="I2518" t="str">
        <x:v>4-6 years</x:v>
      </x:c>
      <x:c r="J2518" t="str">
        <x:v>MORTGAGE</x:v>
      </x:c>
      <x:c r="K2518" t="str">
        <x:v>credit_card</x:v>
      </x:c>
      <x:c r="L2518" t="n">
        <x:v>0</x:v>
      </x:c>
      <x:c r="M2518" t="n">
        <x:v>0</x:v>
      </x:c>
      <x:c r="N2518" t="str">
        <x:v>Fully Paid</x:v>
      </x:c>
      <x:c r="O2518" t="str">
        <x:f>IF(D2518="","Unknown",IF(D2518&lt;25000,"&lt;$25k",IF(D2518&lt;50000,"$25k-$50k",IF(D2518&lt;75000,"$50k-$75k",IF(D2518&lt;100000,"$75k-$100k","$100k+")))))</x:f>
        <x:v>$25k-$50k</x:v>
      </x:c>
      <x:c r="P2518" t="str">
        <x:f>IF(E2518="","Unknown",IF(E2518&lt;10,"&lt;10",IF(E2518&lt;20,"10-&lt;20",IF(E2518&lt;25,"20-&lt;25",IF(E2518&lt;35,"25-&lt;35","35+")))))</x:f>
        <x:v>10-&lt;20</x:v>
      </x:c>
    </x:row>
    <x:row r="2519">
      <x:c r="A2519" t="str">
        <x:v>SYN0002518</x:v>
      </x:c>
      <x:c r="B2519" s="12" t="n">
        <x:v>43255</x:v>
      </x:c>
      <x:c r="C2519" s="18" t="n">
        <x:v>15763</x:v>
      </x:c>
      <x:c r="D2519" s="18" t="n">
        <x:v>19369</x:v>
      </x:c>
      <x:c r="E2519" s="18" t="n">
        <x:v>23.28</x:v>
      </x:c>
      <x:c r="F2519" s="18" t="n">
        <x:v>15.45</x:v>
      </x:c>
      <x:c r="G2519" t="n">
        <x:v>60</x:v>
      </x:c>
      <x:c r="H2519" t="str">
        <x:v>E</x:v>
      </x:c>
      <x:c r="I2519" t="str">
        <x:v>&lt;1 year</x:v>
      </x:c>
      <x:c r="J2519" t="str">
        <x:v>RENT</x:v>
      </x:c>
      <x:c r="K2519" t="str">
        <x:v>major_purchase</x:v>
      </x:c>
      <x:c r="L2519" t="n">
        <x:v>0</x:v>
      </x:c>
      <x:c r="M2519" t="n">
        <x:v>0</x:v>
      </x:c>
      <x:c r="N2519" t="str">
        <x:v>Fully Paid</x:v>
      </x:c>
      <x:c r="O2519" t="str">
        <x:f>IF(D2519="","Unknown",IF(D2519&lt;25000,"&lt;$25k",IF(D2519&lt;50000,"$25k-$50k",IF(D2519&lt;75000,"$50k-$75k",IF(D2519&lt;100000,"$75k-$100k","$100k+")))))</x:f>
        <x:v>&lt;$25k</x:v>
      </x:c>
      <x:c r="P2519" t="str">
        <x:f>IF(E2519="","Unknown",IF(E2519&lt;10,"&lt;10",IF(E2519&lt;20,"10-&lt;20",IF(E2519&lt;25,"20-&lt;25",IF(E2519&lt;35,"25-&lt;35","35+")))))</x:f>
        <x:v>20-&lt;25</x:v>
      </x:c>
    </x:row>
    <x:row r="2520">
      <x:c r="A2520" t="str">
        <x:v>SYN0002519</x:v>
      </x:c>
      <x:c r="B2520" s="12" t="n">
        <x:v>42865</x:v>
      </x:c>
      <x:c r="C2520" s="18" t="n">
        <x:v>26699</x:v>
      </x:c>
      <x:c r="D2520" s="18" t="n">
        <x:v>64713</x:v>
      </x:c>
      <x:c r="E2520" s="18" t="n">
        <x:v>27.51</x:v>
      </x:c>
      <x:c r="F2520" s="18" t="n">
        <x:v>12.18</x:v>
      </x:c>
      <x:c r="G2520" t="n">
        <x:v>36</x:v>
      </x:c>
      <x:c r="H2520" t="str">
        <x:v>C</x:v>
      </x:c>
      <x:c r="I2520" t="str">
        <x:v>4-6 years</x:v>
      </x:c>
      <x:c r="J2520" t="str">
        <x:v>MORTGAGE</x:v>
      </x:c>
      <x:c r="K2520" t="str">
        <x:v>debt_consolidation</x:v>
      </x:c>
      <x:c r="L2520" t="n">
        <x:v>0</x:v>
      </x:c>
      <x:c r="M2520" t="n">
        <x:v>0</x:v>
      </x:c>
      <x:c r="N2520" t="str">
        <x:v>Fully Paid</x:v>
      </x:c>
      <x:c r="O2520" t="str">
        <x:f>IF(D2520="","Unknown",IF(D2520&lt;25000,"&lt;$25k",IF(D2520&lt;50000,"$25k-$50k",IF(D2520&lt;75000,"$50k-$75k",IF(D2520&lt;100000,"$75k-$100k","$100k+")))))</x:f>
        <x:v>$50k-$75k</x:v>
      </x:c>
      <x:c r="P2520" t="str">
        <x:f>IF(E2520="","Unknown",IF(E2520&lt;10,"&lt;10",IF(E2520&lt;20,"10-&lt;20",IF(E2520&lt;25,"20-&lt;25",IF(E2520&lt;35,"25-&lt;35","35+")))))</x:f>
        <x:v>25-&lt;35</x:v>
      </x:c>
    </x:row>
    <x:row r="2521">
      <x:c r="A2521" t="str">
        <x:v>SYN0002520</x:v>
      </x:c>
      <x:c r="B2521" s="12" t="n">
        <x:v>42265</x:v>
      </x:c>
      <x:c r="C2521" s="18" t="n">
        <x:v>36431</x:v>
      </x:c>
      <x:c r="D2521" s="18" t="n">
        <x:v>156390</x:v>
      </x:c>
      <x:c r="E2521" s="18" t="n">
        <x:v>20.08</x:v>
      </x:c>
      <x:c r="F2521" s="18" t="n">
        <x:v>15.98</x:v>
      </x:c>
      <x:c r="G2521" t="n">
        <x:v>36</x:v>
      </x:c>
      <x:c r="H2521" t="str">
        <x:v>E</x:v>
      </x:c>
      <x:c r="I2521" t="str">
        <x:v>1-3 years</x:v>
      </x:c>
      <x:c r="J2521" t="str">
        <x:v>RENT</x:v>
      </x:c>
      <x:c r="K2521" t="str">
        <x:v>other</x:v>
      </x:c>
      <x:c r="L2521" t="n">
        <x:v>0</x:v>
      </x:c>
      <x:c r="M2521" t="n">
        <x:v>0</x:v>
      </x:c>
      <x:c r="N2521" t="str">
        <x:v>Fully Paid</x:v>
      </x:c>
      <x:c r="O2521" t="str">
        <x:f>IF(D2521="","Unknown",IF(D2521&lt;25000,"&lt;$25k",IF(D2521&lt;50000,"$25k-$50k",IF(D2521&lt;75000,"$50k-$75k",IF(D2521&lt;100000,"$75k-$100k","$100k+")))))</x:f>
        <x:v>$100k+</x:v>
      </x:c>
      <x:c r="P2521" t="str">
        <x:f>IF(E2521="","Unknown",IF(E2521&lt;10,"&lt;10",IF(E2521&lt;20,"10-&lt;20",IF(E2521&lt;25,"20-&lt;25",IF(E2521&lt;35,"25-&lt;35","35+")))))</x:f>
        <x:v>20-&lt;25</x:v>
      </x:c>
    </x:row>
    <x:row r="2522">
      <x:c r="A2522" t="str">
        <x:v>SYN0002521</x:v>
      </x:c>
      <x:c r="B2522" s="12" t="n">
        <x:v>43405</x:v>
      </x:c>
      <x:c r="C2522" s="18" t="n">
        <x:v>6674</x:v>
      </x:c>
      <x:c r="D2522" s="18" t="n">
        <x:v>54728</x:v>
      </x:c>
      <x:c r="E2522" s="18" t="n">
        <x:v>13.82</x:v>
      </x:c>
      <x:c r="F2522" s="18" t="n">
        <x:v>15.22</x:v>
      </x:c>
      <x:c r="G2522" t="n">
        <x:v>36</x:v>
      </x:c>
      <x:c r="H2522" t="str">
        <x:v>D</x:v>
      </x:c>
      <x:c r="I2522" t="str">
        <x:v>1-3 years</x:v>
      </x:c>
      <x:c r="J2522" t="str">
        <x:v>OWN</x:v>
      </x:c>
      <x:c r="K2522" t="str">
        <x:v>debt_consolidation</x:v>
      </x:c>
      <x:c r="L2522" t="n">
        <x:v>0</x:v>
      </x:c>
      <x:c r="M2522" t="n">
        <x:v>0</x:v>
      </x:c>
      <x:c r="N2522" t="str">
        <x:v>Fully Paid</x:v>
      </x:c>
      <x:c r="O2522" t="str">
        <x:f>IF(D2522="","Unknown",IF(D2522&lt;25000,"&lt;$25k",IF(D2522&lt;50000,"$25k-$50k",IF(D2522&lt;75000,"$50k-$75k",IF(D2522&lt;100000,"$75k-$100k","$100k+")))))</x:f>
        <x:v>$50k-$75k</x:v>
      </x:c>
      <x:c r="P2522" t="str">
        <x:f>IF(E2522="","Unknown",IF(E2522&lt;10,"&lt;10",IF(E2522&lt;20,"10-&lt;20",IF(E2522&lt;25,"20-&lt;25",IF(E2522&lt;35,"25-&lt;35","35+")))))</x:f>
        <x:v>10-&lt;20</x:v>
      </x:c>
    </x:row>
    <x:row r="2523">
      <x:c r="A2523" t="str">
        <x:v>SYN0002522</x:v>
      </x:c>
      <x:c r="B2523" s="12" t="n">
        <x:v>41785</x:v>
      </x:c>
      <x:c r="C2523" s="18" t="n">
        <x:v>9018</x:v>
      </x:c>
      <x:c r="D2523" s="18" t="n">
        <x:v>53378</x:v>
      </x:c>
      <x:c r="E2523" s="18" t="n">
        <x:v>26.84</x:v>
      </x:c>
      <x:c r="F2523" s="18" t="n">
        <x:v>20.12</x:v>
      </x:c>
      <x:c r="G2523" t="n">
        <x:v>36</x:v>
      </x:c>
      <x:c r="H2523" t="str">
        <x:v>F</x:v>
      </x:c>
      <x:c r="I2523" t="str">
        <x:v>10+ years</x:v>
      </x:c>
      <x:c r="J2523" t="str">
        <x:v>MORTGAGE</x:v>
      </x:c>
      <x:c r="K2523" t="str">
        <x:v>home_improvement</x:v>
      </x:c>
      <x:c r="L2523" t="n">
        <x:v>0</x:v>
      </x:c>
      <x:c r="M2523" t="n">
        <x:v>0</x:v>
      </x:c>
      <x:c r="N2523" t="str">
        <x:v>Fully Paid</x:v>
      </x:c>
      <x:c r="O2523" t="str">
        <x:f>IF(D2523="","Unknown",IF(D2523&lt;25000,"&lt;$25k",IF(D2523&lt;50000,"$25k-$50k",IF(D2523&lt;75000,"$50k-$75k",IF(D2523&lt;100000,"$75k-$100k","$100k+")))))</x:f>
        <x:v>$50k-$75k</x:v>
      </x:c>
      <x:c r="P2523" t="str">
        <x:f>IF(E2523="","Unknown",IF(E2523&lt;10,"&lt;10",IF(E2523&lt;20,"10-&lt;20",IF(E2523&lt;25,"20-&lt;25",IF(E2523&lt;35,"25-&lt;35","35+")))))</x:f>
        <x:v>25-&lt;35</x:v>
      </x:c>
    </x:row>
    <x:row r="2524">
      <x:c r="A2524" t="str">
        <x:v>SYN0002523</x:v>
      </x:c>
      <x:c r="B2524" s="12" t="n">
        <x:v>42865</x:v>
      </x:c>
      <x:c r="C2524" s="18" t="n">
        <x:v>21103</x:v>
      </x:c>
      <x:c r="D2524" s="18" t="n">
        <x:v>53319</x:v>
      </x:c>
      <x:c r="E2524" s="18" t="n">
        <x:v>16.61</x:v>
      </x:c>
      <x:c r="F2524" s="18" t="n">
        <x:v>14.89</x:v>
      </x:c>
      <x:c r="G2524" t="n">
        <x:v>60</x:v>
      </x:c>
      <x:c r="H2524" t="str">
        <x:v>D</x:v>
      </x:c>
      <x:c r="I2524" t="str">
        <x:v>10+ years</x:v>
      </x:c>
      <x:c r="J2524" t="str">
        <x:v>RENT</x:v>
      </x:c>
      <x:c r="K2524" t="str">
        <x:v>home_improvement</x:v>
      </x:c>
      <x:c r="L2524" t="n">
        <x:v>1</x:v>
      </x:c>
      <x:c r="M2524" t="n">
        <x:v>1</x:v>
      </x:c>
      <x:c r="N2524" t="str">
        <x:v>Charged Off</x:v>
      </x:c>
      <x:c r="O2524" t="str">
        <x:f>IF(D2524="","Unknown",IF(D2524&lt;25000,"&lt;$25k",IF(D2524&lt;50000,"$25k-$50k",IF(D2524&lt;75000,"$50k-$75k",IF(D2524&lt;100000,"$75k-$100k","$100k+")))))</x:f>
        <x:v>$50k-$75k</x:v>
      </x:c>
      <x:c r="P2524" t="str">
        <x:f>IF(E2524="","Unknown",IF(E2524&lt;10,"&lt;10",IF(E2524&lt;20,"10-&lt;20",IF(E2524&lt;25,"20-&lt;25",IF(E2524&lt;35,"25-&lt;35","35+")))))</x:f>
        <x:v>10-&lt;20</x:v>
      </x:c>
    </x:row>
    <x:row r="2525">
      <x:c r="A2525" t="str">
        <x:v>SYN0002524</x:v>
      </x:c>
      <x:c r="B2525" s="12" t="n">
        <x:v>41395</x:v>
      </x:c>
      <x:c r="C2525" s="18" t="n">
        <x:v>11317</x:v>
      </x:c>
      <x:c r="D2525" s="18" t="n">
        <x:v>25843</x:v>
      </x:c>
      <x:c r="E2525" s="18" t="n">
        <x:v>18.83</x:v>
      </x:c>
      <x:c r="F2525" s="18" t="n">
        <x:v>11.99</x:v>
      </x:c>
      <x:c r="G2525" t="n">
        <x:v>36</x:v>
      </x:c>
      <x:c r="H2525" t="str">
        <x:v>B</x:v>
      </x:c>
      <x:c r="I2525" t="str">
        <x:v>10+ years</x:v>
      </x:c>
      <x:c r="J2525" t="str">
        <x:v>RENT</x:v>
      </x:c>
      <x:c r="K2525" t="str">
        <x:v>medical</x:v>
      </x:c>
      <x:c r="L2525" t="n">
        <x:v>0</x:v>
      </x:c>
      <x:c r="M2525" t="n">
        <x:v>0</x:v>
      </x:c>
      <x:c r="N2525" t="str">
        <x:v>Fully Paid</x:v>
      </x:c>
      <x:c r="O2525" t="str">
        <x:f>IF(D2525="","Unknown",IF(D2525&lt;25000,"&lt;$25k",IF(D2525&lt;50000,"$25k-$50k",IF(D2525&lt;75000,"$50k-$75k",IF(D2525&lt;100000,"$75k-$100k","$100k+")))))</x:f>
        <x:v>$25k-$50k</x:v>
      </x:c>
      <x:c r="P2525" t="str">
        <x:f>IF(E2525="","Unknown",IF(E2525&lt;10,"&lt;10",IF(E2525&lt;20,"10-&lt;20",IF(E2525&lt;25,"20-&lt;25",IF(E2525&lt;35,"25-&lt;35","35+")))))</x:f>
        <x:v>10-&lt;20</x:v>
      </x:c>
    </x:row>
    <x:row r="2526">
      <x:c r="A2526" t="str">
        <x:v>SYN0002525</x:v>
      </x:c>
      <x:c r="B2526" s="12" t="n">
        <x:v>42625</x:v>
      </x:c>
      <x:c r="C2526" s="18" t="n">
        <x:v>20336</x:v>
      </x:c>
      <x:c r="D2526" s="18" t="n">
        <x:v>16450</x:v>
      </x:c>
      <x:c r="E2526" s="18" t="n">
        <x:v>15.77</x:v>
      </x:c>
      <x:c r="F2526" s="18" t="n">
        <x:v>8.9</x:v>
      </x:c>
      <x:c r="G2526" t="n">
        <x:v>36</x:v>
      </x:c>
      <x:c r="H2526" t="str">
        <x:v>B</x:v>
      </x:c>
      <x:c r="I2526" t="str">
        <x:v>4-6 years</x:v>
      </x:c>
      <x:c r="J2526" t="str">
        <x:v>RENT</x:v>
      </x:c>
      <x:c r="K2526" t="str">
        <x:v>major_purchase</x:v>
      </x:c>
      <x:c r="L2526" t="n">
        <x:v>0</x:v>
      </x:c>
      <x:c r="M2526" t="n">
        <x:v>0</x:v>
      </x:c>
      <x:c r="N2526" t="str">
        <x:v>Fully Paid</x:v>
      </x:c>
      <x:c r="O2526" t="str">
        <x:f>IF(D2526="","Unknown",IF(D2526&lt;25000,"&lt;$25k",IF(D2526&lt;50000,"$25k-$50k",IF(D2526&lt;75000,"$50k-$75k",IF(D2526&lt;100000,"$75k-$100k","$100k+")))))</x:f>
        <x:v>&lt;$25k</x:v>
      </x:c>
      <x:c r="P2526" t="str">
        <x:f>IF(E2526="","Unknown",IF(E2526&lt;10,"&lt;10",IF(E2526&lt;20,"10-&lt;20",IF(E2526&lt;25,"20-&lt;25",IF(E2526&lt;35,"25-&lt;35","35+")))))</x:f>
        <x:v>10-&lt;20</x:v>
      </x:c>
    </x:row>
    <x:row r="2527">
      <x:c r="A2527" t="str">
        <x:v>SYN0002526</x:v>
      </x:c>
      <x:c r="B2527" s="12" t="n">
        <x:v>41755</x:v>
      </x:c>
      <x:c r="C2527" s="18" t="n">
        <x:v>26749</x:v>
      </x:c>
      <x:c r="D2527" s="18" t="n">
        <x:v>40025</x:v>
      </x:c>
      <x:c r="E2527" s="18" t="n">
        <x:v>29.47</x:v>
      </x:c>
      <x:c r="F2527" s="18" t="n">
        <x:v>20.77</x:v>
      </x:c>
      <x:c r="G2527" t="n">
        <x:v>36</x:v>
      </x:c>
      <x:c r="H2527" t="str">
        <x:v>F</x:v>
      </x:c>
      <x:c r="I2527" t="str">
        <x:v>&lt;1 year</x:v>
      </x:c>
      <x:c r="J2527" t="str">
        <x:v>RENT</x:v>
      </x:c>
      <x:c r="K2527" t="str">
        <x:v>home_improvement</x:v>
      </x:c>
      <x:c r="L2527" t="n">
        <x:v>0</x:v>
      </x:c>
      <x:c r="M2527" t="n">
        <x:v>0</x:v>
      </x:c>
      <x:c r="N2527" t="str">
        <x:v>Fully Paid</x:v>
      </x:c>
      <x:c r="O2527" t="str">
        <x:f>IF(D2527="","Unknown",IF(D2527&lt;25000,"&lt;$25k",IF(D2527&lt;50000,"$25k-$50k",IF(D2527&lt;75000,"$50k-$75k",IF(D2527&lt;100000,"$75k-$100k","$100k+")))))</x:f>
        <x:v>$25k-$50k</x:v>
      </x:c>
      <x:c r="P2527" t="str">
        <x:f>IF(E2527="","Unknown",IF(E2527&lt;10,"&lt;10",IF(E2527&lt;20,"10-&lt;20",IF(E2527&lt;25,"20-&lt;25",IF(E2527&lt;35,"25-&lt;35","35+")))))</x:f>
        <x:v>25-&lt;35</x:v>
      </x:c>
    </x:row>
    <x:row r="2528">
      <x:c r="A2528" t="str">
        <x:v>SYN0002527</x:v>
      </x:c>
      <x:c r="B2528" s="12" t="n">
        <x:v>41605</x:v>
      </x:c>
      <x:c r="C2528" s="18" t="n">
        <x:v>4323</x:v>
      </x:c>
      <x:c r="D2528" s="18" t="n">
        <x:v>72088</x:v>
      </x:c>
      <x:c r="E2528" s="18" t="n">
        <x:v>14.41</x:v>
      </x:c>
      <x:c r="F2528" s="18" t="n">
        <x:v>17.03</x:v>
      </x:c>
      <x:c r="G2528" t="n">
        <x:v>36</x:v>
      </x:c>
      <x:c r="H2528" t="str">
        <x:v>E</x:v>
      </x:c>
      <x:c r="I2528" t="str">
        <x:v>1-3 years</x:v>
      </x:c>
      <x:c r="J2528" t="str">
        <x:v>MORTGAGE</x:v>
      </x:c>
      <x:c r="K2528" t="str">
        <x:v>debt_consolidation</x:v>
      </x:c>
      <x:c r="L2528" t="n">
        <x:v>2</x:v>
      </x:c>
      <x:c r="M2528" t="n">
        <x:v>0</x:v>
      </x:c>
      <x:c r="N2528" t="str">
        <x:v>Fully Paid</x:v>
      </x:c>
      <x:c r="O2528" t="str">
        <x:f>IF(D2528="","Unknown",IF(D2528&lt;25000,"&lt;$25k",IF(D2528&lt;50000,"$25k-$50k",IF(D2528&lt;75000,"$50k-$75k",IF(D2528&lt;100000,"$75k-$100k","$100k+")))))</x:f>
        <x:v>$50k-$75k</x:v>
      </x:c>
      <x:c r="P2528" t="str">
        <x:f>IF(E2528="","Unknown",IF(E2528&lt;10,"&lt;10",IF(E2528&lt;20,"10-&lt;20",IF(E2528&lt;25,"20-&lt;25",IF(E2528&lt;35,"25-&lt;35","35+")))))</x:f>
        <x:v>10-&lt;20</x:v>
      </x:c>
    </x:row>
    <x:row r="2529">
      <x:c r="A2529" t="str">
        <x:v>SYN0002528</x:v>
      </x:c>
      <x:c r="B2529" s="12" t="n">
        <x:v>41455</x:v>
      </x:c>
      <x:c r="C2529" s="18" t="n">
        <x:v>17916</x:v>
      </x:c>
      <x:c r="D2529" s="18" t="n">
        <x:v>29542</x:v>
      </x:c>
      <x:c r="E2529" s="18" t="n">
        <x:v>19.26</x:v>
      </x:c>
      <x:c r="F2529" s="18" t="n">
        <x:v>12.87</x:v>
      </x:c>
      <x:c r="G2529" t="n">
        <x:v>36</x:v>
      </x:c>
      <x:c r="H2529" t="str">
        <x:v>C</x:v>
      </x:c>
      <x:c r="I2529" t="str">
        <x:v>10+ years</x:v>
      </x:c>
      <x:c r="J2529" t="str">
        <x:v>OWN</x:v>
      </x:c>
      <x:c r="K2529" t="str">
        <x:v>debt_consolidation</x:v>
      </x:c>
      <x:c r="L2529" t="n">
        <x:v>1</x:v>
      </x:c>
      <x:c r="M2529" t="n">
        <x:v>0</x:v>
      </x:c>
      <x:c r="N2529" t="str">
        <x:v>Fully Paid</x:v>
      </x:c>
      <x:c r="O2529" t="str">
        <x:f>IF(D2529="","Unknown",IF(D2529&lt;25000,"&lt;$25k",IF(D2529&lt;50000,"$25k-$50k",IF(D2529&lt;75000,"$50k-$75k",IF(D2529&lt;100000,"$75k-$100k","$100k+")))))</x:f>
        <x:v>$25k-$50k</x:v>
      </x:c>
      <x:c r="P2529" t="str">
        <x:f>IF(E2529="","Unknown",IF(E2529&lt;10,"&lt;10",IF(E2529&lt;20,"10-&lt;20",IF(E2529&lt;25,"20-&lt;25",IF(E2529&lt;35,"25-&lt;35","35+")))))</x:f>
        <x:v>10-&lt;20</x:v>
      </x:c>
    </x:row>
    <x:row r="2530">
      <x:c r="A2530" t="str">
        <x:v>SYN0002529</x:v>
      </x:c>
      <x:c r="B2530" s="12" t="n">
        <x:v>41305</x:v>
      </x:c>
      <x:c r="C2530" s="18" t="n">
        <x:v>5804</x:v>
      </x:c>
      <x:c r="D2530" s="18" t="n">
        <x:v>39317</x:v>
      </x:c>
      <x:c r="E2530" s="18" t="n">
        <x:v>11.38</x:v>
      </x:c>
      <x:c r="F2530" s="18" t="n">
        <x:v>13.59</x:v>
      </x:c>
      <x:c r="G2530" t="n">
        <x:v>60</x:v>
      </x:c>
      <x:c r="H2530" t="str">
        <x:v>D</x:v>
      </x:c>
      <x:c r="I2530" t="str">
        <x:v>7-9 years</x:v>
      </x:c>
      <x:c r="J2530" t="str">
        <x:v>RENT</x:v>
      </x:c>
      <x:c r="K2530" t="str">
        <x:v>home_improvement</x:v>
      </x:c>
      <x:c r="L2530" t="n">
        <x:v>0</x:v>
      </x:c>
      <x:c r="M2530" t="n">
        <x:v>0</x:v>
      </x:c>
      <x:c r="N2530" t="str">
        <x:v>Fully Paid</x:v>
      </x:c>
      <x:c r="O2530" t="str">
        <x:f>IF(D2530="","Unknown",IF(D2530&lt;25000,"&lt;$25k",IF(D2530&lt;50000,"$25k-$50k",IF(D2530&lt;75000,"$50k-$75k",IF(D2530&lt;100000,"$75k-$100k","$100k+")))))</x:f>
        <x:v>$25k-$50k</x:v>
      </x:c>
      <x:c r="P2530" t="str">
        <x:f>IF(E2530="","Unknown",IF(E2530&lt;10,"&lt;10",IF(E2530&lt;20,"10-&lt;20",IF(E2530&lt;25,"20-&lt;25",IF(E2530&lt;35,"25-&lt;35","35+")))))</x:f>
        <x:v>10-&lt;20</x:v>
      </x:c>
    </x:row>
    <x:row r="2531">
      <x:c r="A2531" t="str">
        <x:v>SYN0002530</x:v>
      </x:c>
      <x:c r="B2531" s="12" t="n">
        <x:v>43315</x:v>
      </x:c>
      <x:c r="C2531" s="18" t="n">
        <x:v>7566</x:v>
      </x:c>
      <x:c r="D2531" s="18" t="n">
        <x:v>90455</x:v>
      </x:c>
      <x:c r="E2531" s="18" t="n">
        <x:v>25.23</x:v>
      </x:c>
      <x:c r="F2531" s="18" t="n">
        <x:v>16.24</x:v>
      </x:c>
      <x:c r="G2531" t="n">
        <x:v>36</x:v>
      </x:c>
      <x:c r="H2531" t="str">
        <x:v>D</x:v>
      </x:c>
      <x:c r="I2531" t="str">
        <x:v>10+ years</x:v>
      </x:c>
      <x:c r="J2531" t="str">
        <x:v>RENT</x:v>
      </x:c>
      <x:c r="K2531" t="str">
        <x:v>major_purchase</x:v>
      </x:c>
      <x:c r="L2531" t="n">
        <x:v>0</x:v>
      </x:c>
      <x:c r="M2531" t="n">
        <x:v>0</x:v>
      </x:c>
      <x:c r="N2531" t="str">
        <x:v>Fully Paid</x:v>
      </x:c>
      <x:c r="O2531" t="str">
        <x:f>IF(D2531="","Unknown",IF(D2531&lt;25000,"&lt;$25k",IF(D2531&lt;50000,"$25k-$50k",IF(D2531&lt;75000,"$50k-$75k",IF(D2531&lt;100000,"$75k-$100k","$100k+")))))</x:f>
        <x:v>$75k-$100k</x:v>
      </x:c>
      <x:c r="P2531" t="str">
        <x:f>IF(E2531="","Unknown",IF(E2531&lt;10,"&lt;10",IF(E2531&lt;20,"10-&lt;20",IF(E2531&lt;25,"20-&lt;25",IF(E2531&lt;35,"25-&lt;35","35+")))))</x:f>
        <x:v>25-&lt;35</x:v>
      </x:c>
    </x:row>
    <x:row r="2532">
      <x:c r="A2532" t="str">
        <x:v>SYN0002531</x:v>
      </x:c>
      <x:c r="B2532" s="12" t="n">
        <x:v>42715</x:v>
      </x:c>
      <x:c r="C2532" s="18" t="n">
        <x:v>15455</x:v>
      </x:c>
      <x:c r="D2532" s="18" t="n">
        <x:v>40060</x:v>
      </x:c>
      <x:c r="E2532" s="18" t="n">
        <x:v>31.43</x:v>
      </x:c>
      <x:c r="F2532" s="18" t="n">
        <x:v>11.28</x:v>
      </x:c>
      <x:c r="G2532" t="n">
        <x:v>36</x:v>
      </x:c>
      <x:c r="H2532" t="str">
        <x:v>C</x:v>
      </x:c>
      <x:c r="I2532" t="str">
        <x:v>7-9 years</x:v>
      </x:c>
      <x:c r="J2532" t="str">
        <x:v>MORTGAGE</x:v>
      </x:c>
      <x:c r="K2532" t="str">
        <x:v>debt_consolidation</x:v>
      </x:c>
      <x:c r="L2532" t="n">
        <x:v>0</x:v>
      </x:c>
      <x:c r="M2532" t="n">
        <x:v>0</x:v>
      </x:c>
      <x:c r="N2532" t="str">
        <x:v>Fully Paid</x:v>
      </x:c>
      <x:c r="O2532" t="str">
        <x:f>IF(D2532="","Unknown",IF(D2532&lt;25000,"&lt;$25k",IF(D2532&lt;50000,"$25k-$50k",IF(D2532&lt;75000,"$50k-$75k",IF(D2532&lt;100000,"$75k-$100k","$100k+")))))</x:f>
        <x:v>$25k-$50k</x:v>
      </x:c>
      <x:c r="P2532" t="str">
        <x:f>IF(E2532="","Unknown",IF(E2532&lt;10,"&lt;10",IF(E2532&lt;20,"10-&lt;20",IF(E2532&lt;25,"20-&lt;25",IF(E2532&lt;35,"25-&lt;35","35+")))))</x:f>
        <x:v>25-&lt;35</x:v>
      </x:c>
    </x:row>
    <x:row r="2533">
      <x:c r="A2533" t="str">
        <x:v>SYN0002532</x:v>
      </x:c>
      <x:c r="B2533" s="12" t="n">
        <x:v>41545</x:v>
      </x:c>
      <x:c r="C2533" s="18" t="n">
        <x:v>12418</x:v>
      </x:c>
      <x:c r="D2533" s="18" t="n">
        <x:v>28428</x:v>
      </x:c>
      <x:c r="E2533" s="18" t="n">
        <x:v>19.91</x:v>
      </x:c>
      <x:c r="F2533" s="18" t="n">
        <x:v>8.68</x:v>
      </x:c>
      <x:c r="G2533" t="n">
        <x:v>36</x:v>
      </x:c>
      <x:c r="H2533" t="str">
        <x:v>B</x:v>
      </x:c>
      <x:c r="I2533" t="str">
        <x:v>10+ years</x:v>
      </x:c>
      <x:c r="J2533" t="str">
        <x:v>MORTGAGE</x:v>
      </x:c>
      <x:c r="K2533" t="str">
        <x:v>debt_consolidation</x:v>
      </x:c>
      <x:c r="L2533" t="n">
        <x:v>0</x:v>
      </x:c>
      <x:c r="M2533" t="n">
        <x:v>0</x:v>
      </x:c>
      <x:c r="N2533" t="str">
        <x:v>Fully Paid</x:v>
      </x:c>
      <x:c r="O2533" t="str">
        <x:f>IF(D2533="","Unknown",IF(D2533&lt;25000,"&lt;$25k",IF(D2533&lt;50000,"$25k-$50k",IF(D2533&lt;75000,"$50k-$75k",IF(D2533&lt;100000,"$75k-$100k","$100k+")))))</x:f>
        <x:v>$25k-$50k</x:v>
      </x:c>
      <x:c r="P2533" t="str">
        <x:f>IF(E2533="","Unknown",IF(E2533&lt;10,"&lt;10",IF(E2533&lt;20,"10-&lt;20",IF(E2533&lt;25,"20-&lt;25",IF(E2533&lt;35,"25-&lt;35","35+")))))</x:f>
        <x:v>10-&lt;20</x:v>
      </x:c>
    </x:row>
    <x:row r="2534">
      <x:c r="A2534" t="str">
        <x:v>SYN0002533</x:v>
      </x:c>
      <x:c r="B2534" s="12" t="n">
        <x:v>42265</x:v>
      </x:c>
      <x:c r="C2534" s="18" t="n">
        <x:v>9969</x:v>
      </x:c>
      <x:c r="D2534" s="18" t="n">
        <x:v>12000</x:v>
      </x:c>
      <x:c r="E2534" s="18" t="n">
        <x:v>29.54</x:v>
      </x:c>
      <x:c r="F2534" s="18" t="n">
        <x:v>15.54</x:v>
      </x:c>
      <x:c r="G2534" t="n">
        <x:v>36</x:v>
      </x:c>
      <x:c r="H2534" t="str">
        <x:v>D</x:v>
      </x:c>
      <x:c r="I2534" t="str">
        <x:v>7-9 years</x:v>
      </x:c>
      <x:c r="J2534" t="str">
        <x:v>OWN</x:v>
      </x:c>
      <x:c r="K2534" t="str">
        <x:v>debt_consolidation</x:v>
      </x:c>
      <x:c r="L2534" t="n">
        <x:v>0</x:v>
      </x:c>
      <x:c r="M2534" t="n">
        <x:v>0</x:v>
      </x:c>
      <x:c r="N2534" t="str">
        <x:v>Fully Paid</x:v>
      </x:c>
      <x:c r="O2534" t="str">
        <x:f>IF(D2534="","Unknown",IF(D2534&lt;25000,"&lt;$25k",IF(D2534&lt;50000,"$25k-$50k",IF(D2534&lt;75000,"$50k-$75k",IF(D2534&lt;100000,"$75k-$100k","$100k+")))))</x:f>
        <x:v>&lt;$25k</x:v>
      </x:c>
      <x:c r="P2534" t="str">
        <x:f>IF(E2534="","Unknown",IF(E2534&lt;10,"&lt;10",IF(E2534&lt;20,"10-&lt;20",IF(E2534&lt;25,"20-&lt;25",IF(E2534&lt;35,"25-&lt;35","35+")))))</x:f>
        <x:v>25-&lt;35</x:v>
      </x:c>
    </x:row>
    <x:row r="2535">
      <x:c r="A2535" t="str">
        <x:v>SYN0002534</x:v>
      </x:c>
      <x:c r="B2535" s="12" t="n">
        <x:v>41665</x:v>
      </x:c>
      <x:c r="C2535" s="18" t="n">
        <x:v>22787</x:v>
      </x:c>
      <x:c r="D2535" s="18" t="n">
        <x:v>33897</x:v>
      </x:c>
      <x:c r="E2535" s="18" t="n">
        <x:v>12.53</x:v>
      </x:c>
      <x:c r="F2535" s="18" t="n">
        <x:v>8.82</x:v>
      </x:c>
      <x:c r="G2535" t="n">
        <x:v>36</x:v>
      </x:c>
      <x:c r="H2535" t="str">
        <x:v>C</x:v>
      </x:c>
      <x:c r="I2535" t="str">
        <x:v>1-3 years</x:v>
      </x:c>
      <x:c r="J2535" t="str">
        <x:v>RENT</x:v>
      </x:c>
      <x:c r="K2535" t="str">
        <x:v>debt_consolidation</x:v>
      </x:c>
      <x:c r="L2535" t="n">
        <x:v>0</x:v>
      </x:c>
      <x:c r="M2535" t="n">
        <x:v>0</x:v>
      </x:c>
      <x:c r="N2535" t="str">
        <x:v>Fully Paid</x:v>
      </x:c>
      <x:c r="O2535" t="str">
        <x:f>IF(D2535="","Unknown",IF(D2535&lt;25000,"&lt;$25k",IF(D2535&lt;50000,"$25k-$50k",IF(D2535&lt;75000,"$50k-$75k",IF(D2535&lt;100000,"$75k-$100k","$100k+")))))</x:f>
        <x:v>$25k-$50k</x:v>
      </x:c>
      <x:c r="P2535" t="str">
        <x:f>IF(E2535="","Unknown",IF(E2535&lt;10,"&lt;10",IF(E2535&lt;20,"10-&lt;20",IF(E2535&lt;25,"20-&lt;25",IF(E2535&lt;35,"25-&lt;35","35+")))))</x:f>
        <x:v>10-&lt;20</x:v>
      </x:c>
    </x:row>
    <x:row r="2536">
      <x:c r="A2536" t="str">
        <x:v>SYN0002535</x:v>
      </x:c>
      <x:c r="B2536" s="12" t="n">
        <x:v>41725</x:v>
      </x:c>
      <x:c r="C2536" s="18" t="n">
        <x:v>11286</x:v>
      </x:c>
      <x:c r="D2536" s="18" t="n">
        <x:v>50828</x:v>
      </x:c>
      <x:c r="E2536" s="18" t="n">
        <x:v>7.37</x:v>
      </x:c>
      <x:c r="F2536" s="18" t="n">
        <x:v>8.9</x:v>
      </x:c>
      <x:c r="G2536" t="n">
        <x:v>36</x:v>
      </x:c>
      <x:c r="H2536" t="str">
        <x:v>B</x:v>
      </x:c>
      <x:c r="I2536" t="str">
        <x:v>7-9 years</x:v>
      </x:c>
      <x:c r="J2536" t="str">
        <x:v>OWN</x:v>
      </x:c>
      <x:c r="K2536" t="str">
        <x:v>debt_consolidation</x:v>
      </x:c>
      <x:c r="L2536" t="n">
        <x:v>0</x:v>
      </x:c>
      <x:c r="M2536" t="n">
        <x:v>0</x:v>
      </x:c>
      <x:c r="N2536" t="str">
        <x:v>Fully Paid</x:v>
      </x:c>
      <x:c r="O2536" t="str">
        <x:f>IF(D2536="","Unknown",IF(D2536&lt;25000,"&lt;$25k",IF(D2536&lt;50000,"$25k-$50k",IF(D2536&lt;75000,"$50k-$75k",IF(D2536&lt;100000,"$75k-$100k","$100k+")))))</x:f>
        <x:v>$50k-$75k</x:v>
      </x:c>
      <x:c r="P2536" t="str">
        <x:f>IF(E2536="","Unknown",IF(E2536&lt;10,"&lt;10",IF(E2536&lt;20,"10-&lt;20",IF(E2536&lt;25,"20-&lt;25",IF(E2536&lt;35,"25-&lt;35","35+")))))</x:f>
        <x:v>&lt;10</x:v>
      </x:c>
    </x:row>
    <x:row r="2537">
      <x:c r="A2537" t="str">
        <x:v>SYN0002536</x:v>
      </x:c>
      <x:c r="B2537" s="12" t="n">
        <x:v>41485</x:v>
      </x:c>
      <x:c r="C2537" s="18" t="n">
        <x:v>8016</x:v>
      </x:c>
      <x:c r="D2537" s="18" t="n">
        <x:v>19675</x:v>
      </x:c>
      <x:c r="E2537" s="18" t="n">
        <x:v>17.45</x:v>
      </x:c>
      <x:c r="F2537" s="18" t="n">
        <x:v>11.28</x:v>
      </x:c>
      <x:c r="G2537" t="n">
        <x:v>36</x:v>
      </x:c>
      <x:c r="H2537" t="str">
        <x:v>B</x:v>
      </x:c>
      <x:c r="I2537" t="str">
        <x:v>1-3 years</x:v>
      </x:c>
      <x:c r="J2537" t="str">
        <x:v>MORTGAGE</x:v>
      </x:c>
      <x:c r="K2537" t="str">
        <x:v>home_improvement</x:v>
      </x:c>
      <x:c r="L2537" t="n">
        <x:v>1</x:v>
      </x:c>
      <x:c r="M2537" t="n">
        <x:v>0</x:v>
      </x:c>
      <x:c r="N2537" t="str">
        <x:v>Fully Paid</x:v>
      </x:c>
      <x:c r="O2537" t="str">
        <x:f>IF(D2537="","Unknown",IF(D2537&lt;25000,"&lt;$25k",IF(D2537&lt;50000,"$25k-$50k",IF(D2537&lt;75000,"$50k-$75k",IF(D2537&lt;100000,"$75k-$100k","$100k+")))))</x:f>
        <x:v>&lt;$25k</x:v>
      </x:c>
      <x:c r="P2537" t="str">
        <x:f>IF(E2537="","Unknown",IF(E2537&lt;10,"&lt;10",IF(E2537&lt;20,"10-&lt;20",IF(E2537&lt;25,"20-&lt;25",IF(E2537&lt;35,"25-&lt;35","35+")))))</x:f>
        <x:v>10-&lt;20</x:v>
      </x:c>
    </x:row>
    <x:row r="2538">
      <x:c r="A2538" t="str">
        <x:v>SYN0002537</x:v>
      </x:c>
      <x:c r="B2538" s="12" t="n">
        <x:v>42415</x:v>
      </x:c>
      <x:c r="C2538" s="18" t="n">
        <x:v>12739</x:v>
      </x:c>
      <x:c r="D2538" s="18" t="n">
        <x:v>64822</x:v>
      </x:c>
      <x:c r="E2538" s="18" t="n">
        <x:v>36.23</x:v>
      </x:c>
      <x:c r="F2538" s="18" t="n">
        <x:v>21.9</x:v>
      </x:c>
      <x:c r="G2538" t="n">
        <x:v>36</x:v>
      </x:c>
      <x:c r="H2538" t="str">
        <x:v>F</x:v>
      </x:c>
      <x:c r="I2538" t="str">
        <x:v>4-6 years</x:v>
      </x:c>
      <x:c r="J2538" t="str">
        <x:v>OWN</x:v>
      </x:c>
      <x:c r="K2538" t="str">
        <x:v>credit_card</x:v>
      </x:c>
      <x:c r="L2538" t="n">
        <x:v>0</x:v>
      </x:c>
      <x:c r="M2538" t="n">
        <x:v>0</x:v>
      </x:c>
      <x:c r="N2538" t="str">
        <x:v>Fully Paid</x:v>
      </x:c>
      <x:c r="O2538" t="str">
        <x:f>IF(D2538="","Unknown",IF(D2538&lt;25000,"&lt;$25k",IF(D2538&lt;50000,"$25k-$50k",IF(D2538&lt;75000,"$50k-$75k",IF(D2538&lt;100000,"$75k-$100k","$100k+")))))</x:f>
        <x:v>$50k-$75k</x:v>
      </x:c>
      <x:c r="P2538" t="str">
        <x:f>IF(E2538="","Unknown",IF(E2538&lt;10,"&lt;10",IF(E2538&lt;20,"10-&lt;20",IF(E2538&lt;25,"20-&lt;25",IF(E2538&lt;35,"25-&lt;35","35+")))))</x:f>
        <x:v>35+</x:v>
      </x:c>
    </x:row>
    <x:row r="2539">
      <x:c r="A2539" t="str">
        <x:v>SYN0002538</x:v>
      </x:c>
      <x:c r="B2539" s="12" t="n">
        <x:v>42145</x:v>
      </x:c>
      <x:c r="C2539" s="18" t="n">
        <x:v>14857</x:v>
      </x:c>
      <x:c r="D2539" s="18" t="n">
        <x:v>92210</x:v>
      </x:c>
      <x:c r="E2539" s="18" t="n">
        <x:v>15.24</x:v>
      </x:c>
      <x:c r="F2539" s="18" t="n">
        <x:v>7</x:v>
      </x:c>
      <x:c r="G2539" t="n">
        <x:v>60</x:v>
      </x:c>
      <x:c r="H2539" t="str">
        <x:v>A</x:v>
      </x:c>
      <x:c r="I2539" t="str">
        <x:v>10+ years</x:v>
      </x:c>
      <x:c r="J2539" t="str">
        <x:v>MORTGAGE</x:v>
      </x:c>
      <x:c r="K2539" t="str">
        <x:v>credit_card</x:v>
      </x:c>
      <x:c r="L2539" t="n">
        <x:v>0</x:v>
      </x:c>
      <x:c r="M2539" t="n">
        <x:v>0</x:v>
      </x:c>
      <x:c r="N2539" t="str">
        <x:v>Fully Paid</x:v>
      </x:c>
      <x:c r="O2539" t="str">
        <x:f>IF(D2539="","Unknown",IF(D2539&lt;25000,"&lt;$25k",IF(D2539&lt;50000,"$25k-$50k",IF(D2539&lt;75000,"$50k-$75k",IF(D2539&lt;100000,"$75k-$100k","$100k+")))))</x:f>
        <x:v>$75k-$100k</x:v>
      </x:c>
      <x:c r="P2539" t="str">
        <x:f>IF(E2539="","Unknown",IF(E2539&lt;10,"&lt;10",IF(E2539&lt;20,"10-&lt;20",IF(E2539&lt;25,"20-&lt;25",IF(E2539&lt;35,"25-&lt;35","35+")))))</x:f>
        <x:v>10-&lt;20</x:v>
      </x:c>
    </x:row>
    <x:row r="2540">
      <x:c r="A2540" t="str">
        <x:v>SYN0002539</x:v>
      </x:c>
      <x:c r="B2540" s="12" t="n">
        <x:v>41755</x:v>
      </x:c>
      <x:c r="C2540" s="18" t="n">
        <x:v>12253</x:v>
      </x:c>
      <x:c r="D2540" s="18" t="n">
        <x:v>41762</x:v>
      </x:c>
      <x:c r="E2540" s="18" t="n">
        <x:v>4.25</x:v>
      </x:c>
      <x:c r="F2540" s="18" t="n">
        <x:v>14.32</x:v>
      </x:c>
      <x:c r="G2540" t="n">
        <x:v>60</x:v>
      </x:c>
      <x:c r="H2540" t="str">
        <x:v>D</x:v>
      </x:c>
      <x:c r="I2540" t="str">
        <x:v>10+ years</x:v>
      </x:c>
      <x:c r="J2540" t="str">
        <x:v>OWN</x:v>
      </x:c>
      <x:c r="K2540" t="str">
        <x:v>credit_card</x:v>
      </x:c>
      <x:c r="L2540" t="n">
        <x:v>0</x:v>
      </x:c>
      <x:c r="M2540" t="n">
        <x:v>0</x:v>
      </x:c>
      <x:c r="N2540" t="str">
        <x:v>Fully Paid</x:v>
      </x:c>
      <x:c r="O2540" t="str">
        <x:f>IF(D2540="","Unknown",IF(D2540&lt;25000,"&lt;$25k",IF(D2540&lt;50000,"$25k-$50k",IF(D2540&lt;75000,"$50k-$75k",IF(D2540&lt;100000,"$75k-$100k","$100k+")))))</x:f>
        <x:v>$25k-$50k</x:v>
      </x:c>
      <x:c r="P2540" t="str">
        <x:f>IF(E2540="","Unknown",IF(E2540&lt;10,"&lt;10",IF(E2540&lt;20,"10-&lt;20",IF(E2540&lt;25,"20-&lt;25",IF(E2540&lt;35,"25-&lt;35","35+")))))</x:f>
        <x:v>&lt;10</x:v>
      </x:c>
    </x:row>
    <x:row r="2541">
      <x:c r="A2541" t="str">
        <x:v>SYN0002540</x:v>
      </x:c>
      <x:c r="B2541" s="12" t="n">
        <x:v>41605</x:v>
      </x:c>
      <x:c r="C2541" s="18" t="n">
        <x:v>12773</x:v>
      </x:c>
      <x:c r="D2541" s="18" t="n">
        <x:v>48238</x:v>
      </x:c>
      <x:c r="E2541" s="18" t="n">
        <x:v>30.45</x:v>
      </x:c>
      <x:c r="F2541" s="18" t="n">
        <x:v>6.97</x:v>
      </x:c>
      <x:c r="G2541" t="n">
        <x:v>36</x:v>
      </x:c>
      <x:c r="H2541" t="str">
        <x:v>B</x:v>
      </x:c>
      <x:c r="I2541" t="str">
        <x:v>7-9 years</x:v>
      </x:c>
      <x:c r="J2541" t="str">
        <x:v>MORTGAGE</x:v>
      </x:c>
      <x:c r="K2541" t="str">
        <x:v>credit_card</x:v>
      </x:c>
      <x:c r="L2541" t="n">
        <x:v>0</x:v>
      </x:c>
      <x:c r="M2541" t="n">
        <x:v>0</x:v>
      </x:c>
      <x:c r="N2541" t="str">
        <x:v>Fully Paid</x:v>
      </x:c>
      <x:c r="O2541" t="str">
        <x:f>IF(D2541="","Unknown",IF(D2541&lt;25000,"&lt;$25k",IF(D2541&lt;50000,"$25k-$50k",IF(D2541&lt;75000,"$50k-$75k",IF(D2541&lt;100000,"$75k-$100k","$100k+")))))</x:f>
        <x:v>$25k-$50k</x:v>
      </x:c>
      <x:c r="P2541" t="str">
        <x:f>IF(E2541="","Unknown",IF(E2541&lt;10,"&lt;10",IF(E2541&lt;20,"10-&lt;20",IF(E2541&lt;25,"20-&lt;25",IF(E2541&lt;35,"25-&lt;35","35+")))))</x:f>
        <x:v>25-&lt;35</x:v>
      </x:c>
    </x:row>
    <x:row r="2542">
      <x:c r="A2542" t="str">
        <x:v>SYN0002541</x:v>
      </x:c>
      <x:c r="B2542" s="12" t="n">
        <x:v>42775</x:v>
      </x:c>
      <x:c r="C2542" s="18" t="n">
        <x:v>6067</x:v>
      </x:c>
      <x:c r="D2542" s="18" t="n">
        <x:v>15318</x:v>
      </x:c>
      <x:c r="E2542" s="18" t="n">
        <x:v>18.77</x:v>
      </x:c>
      <x:c r="F2542" s="18" t="n">
        <x:v>10.46</x:v>
      </x:c>
      <x:c r="G2542" t="n">
        <x:v>36</x:v>
      </x:c>
      <x:c r="H2542" t="str">
        <x:v>C</x:v>
      </x:c>
      <x:c r="I2542" t="str">
        <x:v>7-9 years</x:v>
      </x:c>
      <x:c r="J2542" t="str">
        <x:v>MORTGAGE</x:v>
      </x:c>
      <x:c r="K2542" t="str">
        <x:v>major_purchase</x:v>
      </x:c>
      <x:c r="L2542" t="n">
        <x:v>0</x:v>
      </x:c>
      <x:c r="M2542" t="n">
        <x:v>0</x:v>
      </x:c>
      <x:c r="N2542" t="str">
        <x:v>Fully Paid</x:v>
      </x:c>
      <x:c r="O2542" t="str">
        <x:f>IF(D2542="","Unknown",IF(D2542&lt;25000,"&lt;$25k",IF(D2542&lt;50000,"$25k-$50k",IF(D2542&lt;75000,"$50k-$75k",IF(D2542&lt;100000,"$75k-$100k","$100k+")))))</x:f>
        <x:v>&lt;$25k</x:v>
      </x:c>
      <x:c r="P2542" t="str">
        <x:f>IF(E2542="","Unknown",IF(E2542&lt;10,"&lt;10",IF(E2542&lt;20,"10-&lt;20",IF(E2542&lt;25,"20-&lt;25",IF(E2542&lt;35,"25-&lt;35","35+")))))</x:f>
        <x:v>10-&lt;20</x:v>
      </x:c>
    </x:row>
    <x:row r="2543">
      <x:c r="A2543" t="str">
        <x:v>SYN0002542</x:v>
      </x:c>
      <x:c r="B2543" s="12" t="n">
        <x:v>42205</x:v>
      </x:c>
      <x:c r="C2543" s="18" t="n">
        <x:v>8594</x:v>
      </x:c>
      <x:c r="D2543" s="18" t="n">
        <x:v>48697</x:v>
      </x:c>
      <x:c r="E2543" s="18" t="n">
        <x:v>25.96</x:v>
      </x:c>
      <x:c r="F2543" s="18" t="n">
        <x:v>7.43</x:v>
      </x:c>
      <x:c r="G2543" t="n">
        <x:v>36</x:v>
      </x:c>
      <x:c r="H2543" t="str">
        <x:v>A</x:v>
      </x:c>
      <x:c r="I2543" t="str">
        <x:v>4-6 years</x:v>
      </x:c>
      <x:c r="J2543" t="str">
        <x:v>RENT</x:v>
      </x:c>
      <x:c r="K2543" t="str">
        <x:v>other</x:v>
      </x:c>
      <x:c r="L2543" t="n">
        <x:v>0</x:v>
      </x:c>
      <x:c r="M2543" t="n">
        <x:v>0</x:v>
      </x:c>
      <x:c r="N2543" t="str">
        <x:v>Fully Paid</x:v>
      </x:c>
      <x:c r="O2543" t="str">
        <x:f>IF(D2543="","Unknown",IF(D2543&lt;25000,"&lt;$25k",IF(D2543&lt;50000,"$25k-$50k",IF(D2543&lt;75000,"$50k-$75k",IF(D2543&lt;100000,"$75k-$100k","$100k+")))))</x:f>
        <x:v>$25k-$50k</x:v>
      </x:c>
      <x:c r="P2543" t="str">
        <x:f>IF(E2543="","Unknown",IF(E2543&lt;10,"&lt;10",IF(E2543&lt;20,"10-&lt;20",IF(E2543&lt;25,"20-&lt;25",IF(E2543&lt;35,"25-&lt;35","35+")))))</x:f>
        <x:v>25-&lt;35</x:v>
      </x:c>
    </x:row>
    <x:row r="2544">
      <x:c r="A2544" t="str">
        <x:v>SYN0002543</x:v>
      </x:c>
      <x:c r="B2544" s="12" t="n">
        <x:v>41695</x:v>
      </x:c>
      <x:c r="C2544" s="18" t="n">
        <x:v>6962</x:v>
      </x:c>
      <x:c r="D2544" s="18" t="n">
        <x:v>38295</x:v>
      </x:c>
      <x:c r="E2544" s="18" t="n">
        <x:v>29.19</x:v>
      </x:c>
      <x:c r="F2544" s="18" t="n">
        <x:v>24.04</x:v>
      </x:c>
      <x:c r="G2544" t="n">
        <x:v>36</x:v>
      </x:c>
      <x:c r="H2544" t="str">
        <x:v>G</x:v>
      </x:c>
      <x:c r="I2544" t="str">
        <x:v>10+ years</x:v>
      </x:c>
      <x:c r="J2544" t="str">
        <x:v>RENT</x:v>
      </x:c>
      <x:c r="K2544" t="str">
        <x:v>other</x:v>
      </x:c>
      <x:c r="L2544" t="n">
        <x:v>1</x:v>
      </x:c>
      <x:c r="M2544" t="n">
        <x:v>1</x:v>
      </x:c>
      <x:c r="N2544" t="str">
        <x:v>Charged Off</x:v>
      </x:c>
      <x:c r="O2544" t="str">
        <x:f>IF(D2544="","Unknown",IF(D2544&lt;25000,"&lt;$25k",IF(D2544&lt;50000,"$25k-$50k",IF(D2544&lt;75000,"$50k-$75k",IF(D2544&lt;100000,"$75k-$100k","$100k+")))))</x:f>
        <x:v>$25k-$50k</x:v>
      </x:c>
      <x:c r="P2544" t="str">
        <x:f>IF(E2544="","Unknown",IF(E2544&lt;10,"&lt;10",IF(E2544&lt;20,"10-&lt;20",IF(E2544&lt;25,"20-&lt;25",IF(E2544&lt;35,"25-&lt;35","35+")))))</x:f>
        <x:v>25-&lt;35</x:v>
      </x:c>
    </x:row>
    <x:row r="2545">
      <x:c r="A2545" t="str">
        <x:v>SYN0002544</x:v>
      </x:c>
      <x:c r="B2545" s="12" t="n">
        <x:v>41695</x:v>
      </x:c>
      <x:c r="C2545" s="18" t="n">
        <x:v>12573</x:v>
      </x:c>
      <x:c r="D2545" s="18" t="n">
        <x:v>154429</x:v>
      </x:c>
      <x:c r="E2545" s="18" t="n">
        <x:v>17.48</x:v>
      </x:c>
      <x:c r="F2545" s="18" t="n">
        <x:v>5.88</x:v>
      </x:c>
      <x:c r="G2545" t="n">
        <x:v>60</x:v>
      </x:c>
      <x:c r="H2545" t="str">
        <x:v>B</x:v>
      </x:c>
      <x:c r="I2545" t="str">
        <x:v>1-3 years</x:v>
      </x:c>
      <x:c r="J2545" t="str">
        <x:v>MORTGAGE</x:v>
      </x:c>
      <x:c r="K2545" t="str">
        <x:v>debt_consolidation</x:v>
      </x:c>
      <x:c r="L2545" t="n">
        <x:v>1</x:v>
      </x:c>
      <x:c r="M2545" t="n">
        <x:v>0</x:v>
      </x:c>
      <x:c r="N2545" t="str">
        <x:v>Fully Paid</x:v>
      </x:c>
      <x:c r="O2545" t="str">
        <x:f>IF(D2545="","Unknown",IF(D2545&lt;25000,"&lt;$25k",IF(D2545&lt;50000,"$25k-$50k",IF(D2545&lt;75000,"$50k-$75k",IF(D2545&lt;100000,"$75k-$100k","$100k+")))))</x:f>
        <x:v>$100k+</x:v>
      </x:c>
      <x:c r="P2545" t="str">
        <x:f>IF(E2545="","Unknown",IF(E2545&lt;10,"&lt;10",IF(E2545&lt;20,"10-&lt;20",IF(E2545&lt;25,"20-&lt;25",IF(E2545&lt;35,"25-&lt;35","35+")))))</x:f>
        <x:v>10-&lt;20</x:v>
      </x:c>
    </x:row>
    <x:row r="2546">
      <x:c r="A2546" t="str">
        <x:v>SYN0002545</x:v>
      </x:c>
      <x:c r="B2546" s="12" t="n">
        <x:v>42625</x:v>
      </x:c>
      <x:c r="C2546" s="18" t="n">
        <x:v>11135</x:v>
      </x:c>
      <x:c r="D2546" s="18" t="n">
        <x:v>84246</x:v>
      </x:c>
      <x:c r="E2546" s="18" t="n">
        <x:v>29.51</x:v>
      </x:c>
      <x:c r="F2546" s="18" t="n">
        <x:v>22.97</x:v>
      </x:c>
      <x:c r="G2546" t="n">
        <x:v>36</x:v>
      </x:c>
      <x:c r="H2546" t="str">
        <x:v>F</x:v>
      </x:c>
      <x:c r="I2546" t="str">
        <x:v>1-3 years</x:v>
      </x:c>
      <x:c r="J2546" t="str">
        <x:v>OWN</x:v>
      </x:c>
      <x:c r="K2546" t="str">
        <x:v>debt_consolidation</x:v>
      </x:c>
      <x:c r="L2546" t="n">
        <x:v>1</x:v>
      </x:c>
      <x:c r="M2546" t="n">
        <x:v>0</x:v>
      </x:c>
      <x:c r="N2546" t="str">
        <x:v>Fully Paid</x:v>
      </x:c>
      <x:c r="O2546" t="str">
        <x:f>IF(D2546="","Unknown",IF(D2546&lt;25000,"&lt;$25k",IF(D2546&lt;50000,"$25k-$50k",IF(D2546&lt;75000,"$50k-$75k",IF(D2546&lt;100000,"$75k-$100k","$100k+")))))</x:f>
        <x:v>$75k-$100k</x:v>
      </x:c>
      <x:c r="P2546" t="str">
        <x:f>IF(E2546="","Unknown",IF(E2546&lt;10,"&lt;10",IF(E2546&lt;20,"10-&lt;20",IF(E2546&lt;25,"20-&lt;25",IF(E2546&lt;35,"25-&lt;35","35+")))))</x:f>
        <x:v>25-&lt;35</x:v>
      </x:c>
    </x:row>
    <x:row r="2547">
      <x:c r="A2547" t="str">
        <x:v>SYN0002546</x:v>
      </x:c>
      <x:c r="B2547" s="12" t="n">
        <x:v>42805</x:v>
      </x:c>
      <x:c r="C2547" s="18" t="n">
        <x:v>22058</x:v>
      </x:c>
      <x:c r="D2547" s="18" t="n">
        <x:v>41355</x:v>
      </x:c>
      <x:c r="E2547" s="18" t="n">
        <x:v>19.74</x:v>
      </x:c>
      <x:c r="F2547" s="18" t="n">
        <x:v>7.91</x:v>
      </x:c>
      <x:c r="G2547" t="n">
        <x:v>36</x:v>
      </x:c>
      <x:c r="H2547" t="str">
        <x:v>B</x:v>
      </x:c>
      <x:c r="I2547" t="str">
        <x:v>1-3 years</x:v>
      </x:c>
      <x:c r="J2547" t="str">
        <x:v>RENT</x:v>
      </x:c>
      <x:c r="K2547" t="str">
        <x:v>credit_card</x:v>
      </x:c>
      <x:c r="L2547" t="n">
        <x:v>1</x:v>
      </x:c>
      <x:c r="M2547" t="n">
        <x:v>0</x:v>
      </x:c>
      <x:c r="N2547" t="str">
        <x:v>Fully Paid</x:v>
      </x:c>
      <x:c r="O2547" t="str">
        <x:f>IF(D2547="","Unknown",IF(D2547&lt;25000,"&lt;$25k",IF(D2547&lt;50000,"$25k-$50k",IF(D2547&lt;75000,"$50k-$75k",IF(D2547&lt;100000,"$75k-$100k","$100k+")))))</x:f>
        <x:v>$25k-$50k</x:v>
      </x:c>
      <x:c r="P2547" t="str">
        <x:f>IF(E2547="","Unknown",IF(E2547&lt;10,"&lt;10",IF(E2547&lt;20,"10-&lt;20",IF(E2547&lt;25,"20-&lt;25",IF(E2547&lt;35,"25-&lt;35","35+")))))</x:f>
        <x:v>10-&lt;20</x:v>
      </x:c>
    </x:row>
    <x:row r="2548">
      <x:c r="A2548" t="str">
        <x:v>SYN0002547</x:v>
      </x:c>
      <x:c r="B2548" s="12" t="n">
        <x:v>42445</x:v>
      </x:c>
      <x:c r="C2548" s="18" t="n">
        <x:v>19424</x:v>
      </x:c>
      <x:c r="D2548" s="18" t="n">
        <x:v>24133</x:v>
      </x:c>
      <x:c r="E2548" s="18" t="n">
        <x:v>34.13</x:v>
      </x:c>
      <x:c r="F2548" s="18" t="n">
        <x:v>12.81</x:v>
      </x:c>
      <x:c r="G2548" t="n">
        <x:v>36</x:v>
      </x:c>
      <x:c r="H2548" t="str">
        <x:v>D</x:v>
      </x:c>
      <x:c r="I2548" t="str">
        <x:v>7-9 years</x:v>
      </x:c>
      <x:c r="J2548" t="str">
        <x:v>MORTGAGE</x:v>
      </x:c>
      <x:c r="K2548" t="str">
        <x:v>debt_consolidation</x:v>
      </x:c>
      <x:c r="L2548" t="n">
        <x:v>1</x:v>
      </x:c>
      <x:c r="M2548" t="n">
        <x:v>0</x:v>
      </x:c>
      <x:c r="N2548" t="str">
        <x:v>Fully Paid</x:v>
      </x:c>
      <x:c r="O2548" t="str">
        <x:f>IF(D2548="","Unknown",IF(D2548&lt;25000,"&lt;$25k",IF(D2548&lt;50000,"$25k-$50k",IF(D2548&lt;75000,"$50k-$75k",IF(D2548&lt;100000,"$75k-$100k","$100k+")))))</x:f>
        <x:v>&lt;$25k</x:v>
      </x:c>
      <x:c r="P2548" t="str">
        <x:f>IF(E2548="","Unknown",IF(E2548&lt;10,"&lt;10",IF(E2548&lt;20,"10-&lt;20",IF(E2548&lt;25,"20-&lt;25",IF(E2548&lt;35,"25-&lt;35","35+")))))</x:f>
        <x:v>25-&lt;35</x:v>
      </x:c>
    </x:row>
    <x:row r="2549">
      <x:c r="A2549" t="str">
        <x:v>SYN0002548</x:v>
      </x:c>
      <x:c r="B2549" s="12" t="n">
        <x:v>41995</x:v>
      </x:c>
      <x:c r="C2549" s="18" t="n">
        <x:v>14103</x:v>
      </x:c>
      <x:c r="D2549" s="18" t="n">
        <x:v>95663</x:v>
      </x:c>
      <x:c r="E2549" s="18" t="n">
        <x:v>27.06</x:v>
      </x:c>
      <x:c r="F2549" s="18" t="n">
        <x:v>9.39</x:v>
      </x:c>
      <x:c r="G2549" t="n">
        <x:v>60</x:v>
      </x:c>
      <x:c r="H2549" t="str">
        <x:v>B</x:v>
      </x:c>
      <x:c r="I2549" t="str">
        <x:v>7-9 years</x:v>
      </x:c>
      <x:c r="J2549" t="str">
        <x:v>MORTGAGE</x:v>
      </x:c>
      <x:c r="K2549" t="str">
        <x:v>debt_consolidation</x:v>
      </x:c>
      <x:c r="L2549" t="n">
        <x:v>0</x:v>
      </x:c>
      <x:c r="M2549" t="n">
        <x:v>0</x:v>
      </x:c>
      <x:c r="N2549" t="str">
        <x:v>Fully Paid</x:v>
      </x:c>
      <x:c r="O2549" t="str">
        <x:f>IF(D2549="","Unknown",IF(D2549&lt;25000,"&lt;$25k",IF(D2549&lt;50000,"$25k-$50k",IF(D2549&lt;75000,"$50k-$75k",IF(D2549&lt;100000,"$75k-$100k","$100k+")))))</x:f>
        <x:v>$75k-$100k</x:v>
      </x:c>
      <x:c r="P2549" t="str">
        <x:f>IF(E2549="","Unknown",IF(E2549&lt;10,"&lt;10",IF(E2549&lt;20,"10-&lt;20",IF(E2549&lt;25,"20-&lt;25",IF(E2549&lt;35,"25-&lt;35","35+")))))</x:f>
        <x:v>25-&lt;35</x:v>
      </x:c>
    </x:row>
    <x:row r="2550">
      <x:c r="A2550" t="str">
        <x:v>SYN0002549</x:v>
      </x:c>
      <x:c r="B2550" s="12" t="n">
        <x:v>42355</x:v>
      </x:c>
      <x:c r="C2550" s="18" t="n">
        <x:v>4675</x:v>
      </x:c>
      <x:c r="D2550" s="18" t="n">
        <x:v>70124</x:v>
      </x:c>
      <x:c r="E2550" s="18" t="n">
        <x:v>14.16</x:v>
      </x:c>
      <x:c r="F2550" s="18" t="n">
        <x:v>5.28</x:v>
      </x:c>
      <x:c r="G2550" t="n">
        <x:v>36</x:v>
      </x:c>
      <x:c r="H2550" t="str">
        <x:v>A</x:v>
      </x:c>
      <x:c r="I2550" t="str">
        <x:v>10+ years</x:v>
      </x:c>
      <x:c r="J2550" t="str">
        <x:v>MORTGAGE</x:v>
      </x:c>
      <x:c r="K2550" t="str">
        <x:v>debt_consolidation</x:v>
      </x:c>
      <x:c r="L2550" t="n">
        <x:v>0</x:v>
      </x:c>
      <x:c r="M2550" t="n">
        <x:v>0</x:v>
      </x:c>
      <x:c r="N2550" t="str">
        <x:v>Fully Paid</x:v>
      </x:c>
      <x:c r="O2550" t="str">
        <x:f>IF(D2550="","Unknown",IF(D2550&lt;25000,"&lt;$25k",IF(D2550&lt;50000,"$25k-$50k",IF(D2550&lt;75000,"$50k-$75k",IF(D2550&lt;100000,"$75k-$100k","$100k+")))))</x:f>
        <x:v>$50k-$75k</x:v>
      </x:c>
      <x:c r="P2550" t="str">
        <x:f>IF(E2550="","Unknown",IF(E2550&lt;10,"&lt;10",IF(E2550&lt;20,"10-&lt;20",IF(E2550&lt;25,"20-&lt;25",IF(E2550&lt;35,"25-&lt;35","35+")))))</x:f>
        <x:v>10-&lt;20</x:v>
      </x:c>
    </x:row>
    <x:row r="2551">
      <x:c r="A2551" t="str">
        <x:v>SYN0002550</x:v>
      </x:c>
      <x:c r="B2551" s="12" t="n">
        <x:v>41785</x:v>
      </x:c>
      <x:c r="C2551" s="18" t="n">
        <x:v>10105</x:v>
      </x:c>
      <x:c r="D2551" s="18" t="n">
        <x:v>79206</x:v>
      </x:c>
      <x:c r="E2551" s="18" t="n">
        <x:v>17.45</x:v>
      </x:c>
      <x:c r="F2551" s="18" t="n">
        <x:v>11.83</x:v>
      </x:c>
      <x:c r="G2551" t="n">
        <x:v>60</x:v>
      </x:c>
      <x:c r="H2551" t="str">
        <x:v>B</x:v>
      </x:c>
      <x:c r="I2551" t="str">
        <x:v>4-6 years</x:v>
      </x:c>
      <x:c r="J2551" t="str">
        <x:v>RENT</x:v>
      </x:c>
      <x:c r="K2551" t="str">
        <x:v>other</x:v>
      </x:c>
      <x:c r="L2551" t="n">
        <x:v>1</x:v>
      </x:c>
      <x:c r="M2551" t="n">
        <x:v>0</x:v>
      </x:c>
      <x:c r="N2551" t="str">
        <x:v>Fully Paid</x:v>
      </x:c>
      <x:c r="O2551" t="str">
        <x:f>IF(D2551="","Unknown",IF(D2551&lt;25000,"&lt;$25k",IF(D2551&lt;50000,"$25k-$50k",IF(D2551&lt;75000,"$50k-$75k",IF(D2551&lt;100000,"$75k-$100k","$100k+")))))</x:f>
        <x:v>$75k-$100k</x:v>
      </x:c>
      <x:c r="P2551" t="str">
        <x:f>IF(E2551="","Unknown",IF(E2551&lt;10,"&lt;10",IF(E2551&lt;20,"10-&lt;20",IF(E2551&lt;25,"20-&lt;25",IF(E2551&lt;35,"25-&lt;35","35+")))))</x:f>
        <x:v>10-&lt;20</x:v>
      </x:c>
    </x:row>
    <x:row r="2552">
      <x:c r="A2552" t="str">
        <x:v>SYN0002551</x:v>
      </x:c>
      <x:c r="B2552" s="12" t="n">
        <x:v>41395</x:v>
      </x:c>
      <x:c r="C2552" s="18" t="n">
        <x:v>6980</x:v>
      </x:c>
      <x:c r="D2552" s="18" t="n">
        <x:v>137572</x:v>
      </x:c>
      <x:c r="E2552" s="18" t="n">
        <x:v>30.34</x:v>
      </x:c>
      <x:c r="F2552" s="18" t="n">
        <x:v>9.72</x:v>
      </x:c>
      <x:c r="G2552" t="n">
        <x:v>60</x:v>
      </x:c>
      <x:c r="H2552" t="str">
        <x:v>C</x:v>
      </x:c>
      <x:c r="I2552" t="str">
        <x:v>10+ years</x:v>
      </x:c>
      <x:c r="J2552" t="str">
        <x:v>OWN</x:v>
      </x:c>
      <x:c r="K2552" t="str">
        <x:v>credit_card</x:v>
      </x:c>
      <x:c r="L2552" t="n">
        <x:v>1</x:v>
      </x:c>
      <x:c r="M2552" t="n">
        <x:v>0</x:v>
      </x:c>
      <x:c r="N2552" t="str">
        <x:v>Fully Paid</x:v>
      </x:c>
      <x:c r="O2552" t="str">
        <x:f>IF(D2552="","Unknown",IF(D2552&lt;25000,"&lt;$25k",IF(D2552&lt;50000,"$25k-$50k",IF(D2552&lt;75000,"$50k-$75k",IF(D2552&lt;100000,"$75k-$100k","$100k+")))))</x:f>
        <x:v>$100k+</x:v>
      </x:c>
      <x:c r="P2552" t="str">
        <x:f>IF(E2552="","Unknown",IF(E2552&lt;10,"&lt;10",IF(E2552&lt;20,"10-&lt;20",IF(E2552&lt;25,"20-&lt;25",IF(E2552&lt;35,"25-&lt;35","35+")))))</x:f>
        <x:v>25-&lt;35</x:v>
      </x:c>
    </x:row>
    <x:row r="2553">
      <x:c r="A2553" t="str">
        <x:v>SYN0002552</x:v>
      </x:c>
      <x:c r="B2553" s="12" t="n">
        <x:v>43225</x:v>
      </x:c>
      <x:c r="C2553" s="18" t="n">
        <x:v>10799</x:v>
      </x:c>
      <x:c r="D2553" s="18" t="n">
        <x:v>91742</x:v>
      </x:c>
      <x:c r="E2553" s="18" t="n">
        <x:v>22.22</x:v>
      </x:c>
      <x:c r="F2553" s="18" t="n">
        <x:v>17.82</x:v>
      </x:c>
      <x:c r="G2553" t="n">
        <x:v>36</x:v>
      </x:c>
      <x:c r="H2553" t="str">
        <x:v>E</x:v>
      </x:c>
      <x:c r="I2553" t="str">
        <x:v>10+ years</x:v>
      </x:c>
      <x:c r="J2553" t="str">
        <x:v>RENT</x:v>
      </x:c>
      <x:c r="K2553" t="str">
        <x:v>debt_consolidation</x:v>
      </x:c>
      <x:c r="L2553" t="n">
        <x:v>0</x:v>
      </x:c>
      <x:c r="M2553" t="n">
        <x:v>1</x:v>
      </x:c>
      <x:c r="N2553" t="str">
        <x:v>Charged Off</x:v>
      </x:c>
      <x:c r="O2553" t="str">
        <x:f>IF(D2553="","Unknown",IF(D2553&lt;25000,"&lt;$25k",IF(D2553&lt;50000,"$25k-$50k",IF(D2553&lt;75000,"$50k-$75k",IF(D2553&lt;100000,"$75k-$100k","$100k+")))))</x:f>
        <x:v>$75k-$100k</x:v>
      </x:c>
      <x:c r="P2553" t="str">
        <x:f>IF(E2553="","Unknown",IF(E2553&lt;10,"&lt;10",IF(E2553&lt;20,"10-&lt;20",IF(E2553&lt;25,"20-&lt;25",IF(E2553&lt;35,"25-&lt;35","35+")))))</x:f>
        <x:v>20-&lt;25</x:v>
      </x:c>
    </x:row>
    <x:row r="2554">
      <x:c r="A2554" t="str">
        <x:v>SYN0002553</x:v>
      </x:c>
      <x:c r="B2554" s="12" t="n">
        <x:v>42685</x:v>
      </x:c>
      <x:c r="C2554" s="18" t="n">
        <x:v>14052</x:v>
      </x:c>
      <x:c r="D2554" s="18" t="n">
        <x:v>62336</x:v>
      </x:c>
      <x:c r="E2554" s="18" t="n">
        <x:v>24.09</x:v>
      </x:c>
      <x:c r="F2554" s="18" t="n">
        <x:v>12.44</x:v>
      </x:c>
      <x:c r="G2554" t="n">
        <x:v>36</x:v>
      </x:c>
      <x:c r="H2554" t="str">
        <x:v>D</x:v>
      </x:c>
      <x:c r="I2554" t="str">
        <x:v>4-6 years</x:v>
      </x:c>
      <x:c r="J2554" t="str">
        <x:v>OWN</x:v>
      </x:c>
      <x:c r="K2554" t="str">
        <x:v>medical</x:v>
      </x:c>
      <x:c r="L2554" t="n">
        <x:v>1</x:v>
      </x:c>
      <x:c r="M2554" t="n">
        <x:v>0</x:v>
      </x:c>
      <x:c r="N2554" t="str">
        <x:v>Fully Paid</x:v>
      </x:c>
      <x:c r="O2554" t="str">
        <x:f>IF(D2554="","Unknown",IF(D2554&lt;25000,"&lt;$25k",IF(D2554&lt;50000,"$25k-$50k",IF(D2554&lt;75000,"$50k-$75k",IF(D2554&lt;100000,"$75k-$100k","$100k+")))))</x:f>
        <x:v>$50k-$75k</x:v>
      </x:c>
      <x:c r="P2554" t="str">
        <x:f>IF(E2554="","Unknown",IF(E2554&lt;10,"&lt;10",IF(E2554&lt;20,"10-&lt;20",IF(E2554&lt;25,"20-&lt;25",IF(E2554&lt;35,"25-&lt;35","35+")))))</x:f>
        <x:v>20-&lt;25</x:v>
      </x:c>
    </x:row>
    <x:row r="2555">
      <x:c r="A2555" t="str">
        <x:v>SYN0002554</x:v>
      </x:c>
      <x:c r="B2555" s="12" t="n">
        <x:v>42085</x:v>
      </x:c>
      <x:c r="C2555" s="18" t="n">
        <x:v>11913</x:v>
      </x:c>
      <x:c r="D2555" s="18" t="n">
        <x:v>83949</x:v>
      </x:c>
      <x:c r="E2555" s="18" t="n">
        <x:v>20.08</x:v>
      </x:c>
      <x:c r="F2555" s="18" t="n">
        <x:v>12.52</x:v>
      </x:c>
      <x:c r="G2555" t="n">
        <x:v>60</x:v>
      </x:c>
      <x:c r="H2555" t="str">
        <x:v>C</x:v>
      </x:c>
      <x:c r="I2555" t="str">
        <x:v>4-6 years</x:v>
      </x:c>
      <x:c r="J2555" t="str">
        <x:v>RENT</x:v>
      </x:c>
      <x:c r="K2555" t="str">
        <x:v>debt_consolidation</x:v>
      </x:c>
      <x:c r="L2555" t="n">
        <x:v>0</x:v>
      </x:c>
      <x:c r="M2555" t="n">
        <x:v>0</x:v>
      </x:c>
      <x:c r="N2555" t="str">
        <x:v>Fully Paid</x:v>
      </x:c>
      <x:c r="O2555" t="str">
        <x:f>IF(D2555="","Unknown",IF(D2555&lt;25000,"&lt;$25k",IF(D2555&lt;50000,"$25k-$50k",IF(D2555&lt;75000,"$50k-$75k",IF(D2555&lt;100000,"$75k-$100k","$100k+")))))</x:f>
        <x:v>$75k-$100k</x:v>
      </x:c>
      <x:c r="P2555" t="str">
        <x:f>IF(E2555="","Unknown",IF(E2555&lt;10,"&lt;10",IF(E2555&lt;20,"10-&lt;20",IF(E2555&lt;25,"20-&lt;25",IF(E2555&lt;35,"25-&lt;35","35+")))))</x:f>
        <x:v>20-&lt;25</x:v>
      </x:c>
    </x:row>
    <x:row r="2556">
      <x:c r="A2556" t="str">
        <x:v>SYN0002555</x:v>
      </x:c>
      <x:c r="B2556" s="12" t="n">
        <x:v>42865</x:v>
      </x:c>
      <x:c r="C2556" s="18" t="n">
        <x:v>15751</x:v>
      </x:c>
      <x:c r="D2556" s="18" t="n">
        <x:v>28923</x:v>
      </x:c>
      <x:c r="E2556" s="18" t="n">
        <x:v>15.35</x:v>
      </x:c>
      <x:c r="F2556" s="18" t="n">
        <x:v>11.39</x:v>
      </x:c>
      <x:c r="G2556" t="n">
        <x:v>36</x:v>
      </x:c>
      <x:c r="H2556" t="str">
        <x:v>B</x:v>
      </x:c>
      <x:c r="I2556" t="str">
        <x:v>10+ years</x:v>
      </x:c>
      <x:c r="J2556" t="str">
        <x:v>RENT</x:v>
      </x:c>
      <x:c r="K2556" t="str">
        <x:v>debt_consolidation</x:v>
      </x:c>
      <x:c r="L2556" t="n">
        <x:v>0</x:v>
      </x:c>
      <x:c r="M2556" t="n">
        <x:v>0</x:v>
      </x:c>
      <x:c r="N2556" t="str">
        <x:v>Fully Paid</x:v>
      </x:c>
      <x:c r="O2556" t="str">
        <x:f>IF(D2556="","Unknown",IF(D2556&lt;25000,"&lt;$25k",IF(D2556&lt;50000,"$25k-$50k",IF(D2556&lt;75000,"$50k-$75k",IF(D2556&lt;100000,"$75k-$100k","$100k+")))))</x:f>
        <x:v>$25k-$50k</x:v>
      </x:c>
      <x:c r="P2556" t="str">
        <x:f>IF(E2556="","Unknown",IF(E2556&lt;10,"&lt;10",IF(E2556&lt;20,"10-&lt;20",IF(E2556&lt;25,"20-&lt;25",IF(E2556&lt;35,"25-&lt;35","35+")))))</x:f>
        <x:v>10-&lt;20</x:v>
      </x:c>
    </x:row>
    <x:row r="2557">
      <x:c r="A2557" t="str">
        <x:v>SYN0002556</x:v>
      </x:c>
      <x:c r="B2557" s="12" t="n">
        <x:v>41485</x:v>
      </x:c>
      <x:c r="C2557" s="18" t="n">
        <x:v>12416</x:v>
      </x:c>
      <x:c r="D2557" s="18" t="n">
        <x:v>80849</x:v>
      </x:c>
      <x:c r="E2557" s="18" t="n">
        <x:v>26.97</x:v>
      </x:c>
      <x:c r="F2557" s="18" t="n">
        <x:v>22.19</x:v>
      </x:c>
      <x:c r="G2557" t="n">
        <x:v>36</x:v>
      </x:c>
      <x:c r="H2557" t="str">
        <x:v>F</x:v>
      </x:c>
      <x:c r="I2557" t="str">
        <x:v>4-6 years</x:v>
      </x:c>
      <x:c r="J2557" t="str">
        <x:v>RENT</x:v>
      </x:c>
      <x:c r="K2557" t="str">
        <x:v>debt_consolidation</x:v>
      </x:c>
      <x:c r="L2557" t="n">
        <x:v>2</x:v>
      </x:c>
      <x:c r="M2557" t="n">
        <x:v>0</x:v>
      </x:c>
      <x:c r="N2557" t="str">
        <x:v>Fully Paid</x:v>
      </x:c>
      <x:c r="O2557" t="str">
        <x:f>IF(D2557="","Unknown",IF(D2557&lt;25000,"&lt;$25k",IF(D2557&lt;50000,"$25k-$50k",IF(D2557&lt;75000,"$50k-$75k",IF(D2557&lt;100000,"$75k-$100k","$100k+")))))</x:f>
        <x:v>$75k-$100k</x:v>
      </x:c>
      <x:c r="P2557" t="str">
        <x:f>IF(E2557="","Unknown",IF(E2557&lt;10,"&lt;10",IF(E2557&lt;20,"10-&lt;20",IF(E2557&lt;25,"20-&lt;25",IF(E2557&lt;35,"25-&lt;35","35+")))))</x:f>
        <x:v>25-&lt;35</x:v>
      </x:c>
    </x:row>
    <x:row r="2558">
      <x:c r="A2558" t="str">
        <x:v>SYN0002557</x:v>
      </x:c>
      <x:c r="B2558" s="12" t="n">
        <x:v>41275</x:v>
      </x:c>
      <x:c r="C2558" s="18" t="n">
        <x:v>10798</x:v>
      </x:c>
      <x:c r="D2558" s="18" t="n">
        <x:v>61518</x:v>
      </x:c>
      <x:c r="E2558" s="18" t="n">
        <x:v>15.49</x:v>
      </x:c>
      <x:c r="F2558" s="18" t="n">
        <x:v>21.75</x:v>
      </x:c>
      <x:c r="G2558" t="n">
        <x:v>60</x:v>
      </x:c>
      <x:c r="H2558" t="str">
        <x:v>F</x:v>
      </x:c>
      <x:c r="I2558" t="str">
        <x:v>7-9 years</x:v>
      </x:c>
      <x:c r="J2558" t="str">
        <x:v>RENT</x:v>
      </x:c>
      <x:c r="K2558" t="str">
        <x:v>debt_consolidation</x:v>
      </x:c>
      <x:c r="L2558" t="n">
        <x:v>0</x:v>
      </x:c>
      <x:c r="M2558" t="n">
        <x:v>0</x:v>
      </x:c>
      <x:c r="N2558" t="str">
        <x:v>Fully Paid</x:v>
      </x:c>
      <x:c r="O2558" t="str">
        <x:f>IF(D2558="","Unknown",IF(D2558&lt;25000,"&lt;$25k",IF(D2558&lt;50000,"$25k-$50k",IF(D2558&lt;75000,"$50k-$75k",IF(D2558&lt;100000,"$75k-$100k","$100k+")))))</x:f>
        <x:v>$50k-$75k</x:v>
      </x:c>
      <x:c r="P2558" t="str">
        <x:f>IF(E2558="","Unknown",IF(E2558&lt;10,"&lt;10",IF(E2558&lt;20,"10-&lt;20",IF(E2558&lt;25,"20-&lt;25",IF(E2558&lt;35,"25-&lt;35","35+")))))</x:f>
        <x:v>10-&lt;20</x:v>
      </x:c>
    </x:row>
    <x:row r="2559">
      <x:c r="A2559" t="str">
        <x:v>SYN0002558</x:v>
      </x:c>
      <x:c r="B2559" s="12" t="n">
        <x:v>42205</x:v>
      </x:c>
      <x:c r="C2559" s="18" t="n">
        <x:v>13546</x:v>
      </x:c>
      <x:c r="D2559" s="18" t="n">
        <x:v>79354</x:v>
      </x:c>
      <x:c r="E2559" s="18" t="n">
        <x:v>32.66</x:v>
      </x:c>
      <x:c r="F2559" s="18" t="n">
        <x:v>9.46</x:v>
      </x:c>
      <x:c r="G2559" t="n">
        <x:v>36</x:v>
      </x:c>
      <x:c r="H2559" t="str">
        <x:v>B</x:v>
      </x:c>
      <x:c r="I2559" t="str">
        <x:v>10+ years</x:v>
      </x:c>
      <x:c r="J2559" t="str">
        <x:v>MORTGAGE</x:v>
      </x:c>
      <x:c r="K2559" t="str">
        <x:v>debt_consolidation</x:v>
      </x:c>
      <x:c r="L2559" t="n">
        <x:v>1</x:v>
      </x:c>
      <x:c r="M2559" t="n">
        <x:v>0</x:v>
      </x:c>
      <x:c r="N2559" t="str">
        <x:v>Fully Paid</x:v>
      </x:c>
      <x:c r="O2559" t="str">
        <x:f>IF(D2559="","Unknown",IF(D2559&lt;25000,"&lt;$25k",IF(D2559&lt;50000,"$25k-$50k",IF(D2559&lt;75000,"$50k-$75k",IF(D2559&lt;100000,"$75k-$100k","$100k+")))))</x:f>
        <x:v>$75k-$100k</x:v>
      </x:c>
      <x:c r="P2559" t="str">
        <x:f>IF(E2559="","Unknown",IF(E2559&lt;10,"&lt;10",IF(E2559&lt;20,"10-&lt;20",IF(E2559&lt;25,"20-&lt;25",IF(E2559&lt;35,"25-&lt;35","35+")))))</x:f>
        <x:v>25-&lt;35</x:v>
      </x:c>
    </x:row>
    <x:row r="2560">
      <x:c r="A2560" t="str">
        <x:v>SYN0002559</x:v>
      </x:c>
      <x:c r="B2560" s="12" t="n">
        <x:v>42925</x:v>
      </x:c>
      <x:c r="C2560" s="18" t="n">
        <x:v>15442</x:v>
      </x:c>
      <x:c r="D2560" s="18" t="n">
        <x:v>41093</x:v>
      </x:c>
      <x:c r="E2560" s="18" t="n">
        <x:v>23.9</x:v>
      </x:c>
      <x:c r="F2560" s="18" t="n">
        <x:v>13.74</x:v>
      </x:c>
      <x:c r="G2560" t="n">
        <x:v>36</x:v>
      </x:c>
      <x:c r="H2560" t="str">
        <x:v>C</x:v>
      </x:c>
      <x:c r="I2560" t="str">
        <x:v>4-6 years</x:v>
      </x:c>
      <x:c r="J2560" t="str">
        <x:v>RENT</x:v>
      </x:c>
      <x:c r="K2560" t="str">
        <x:v>debt_consolidation</x:v>
      </x:c>
      <x:c r="L2560" t="n">
        <x:v>0</x:v>
      </x:c>
      <x:c r="M2560" t="n">
        <x:v>0</x:v>
      </x:c>
      <x:c r="N2560" t="str">
        <x:v>Fully Paid</x:v>
      </x:c>
      <x:c r="O2560" t="str">
        <x:f>IF(D2560="","Unknown",IF(D2560&lt;25000,"&lt;$25k",IF(D2560&lt;50000,"$25k-$50k",IF(D2560&lt;75000,"$50k-$75k",IF(D2560&lt;100000,"$75k-$100k","$100k+")))))</x:f>
        <x:v>$25k-$50k</x:v>
      </x:c>
      <x:c r="P2560" t="str">
        <x:f>IF(E2560="","Unknown",IF(E2560&lt;10,"&lt;10",IF(E2560&lt;20,"10-&lt;20",IF(E2560&lt;25,"20-&lt;25",IF(E2560&lt;35,"25-&lt;35","35+")))))</x:f>
        <x:v>20-&lt;25</x:v>
      </x:c>
    </x:row>
    <x:row r="2561">
      <x:c r="A2561" t="str">
        <x:v>SYN0002560</x:v>
      </x:c>
      <x:c r="B2561" s="12" t="n">
        <x:v>41665</x:v>
      </x:c>
      <x:c r="C2561" s="18" t="n">
        <x:v>13101</x:v>
      </x:c>
      <x:c r="D2561" s="18" t="n">
        <x:v>48799</x:v>
      </x:c>
      <x:c r="E2561" s="18" t="n">
        <x:v>28.82</x:v>
      </x:c>
      <x:c r="F2561" s="18" t="n">
        <x:v>25.65</x:v>
      </x:c>
      <x:c r="G2561" t="n">
        <x:v>36</x:v>
      </x:c>
      <x:c r="H2561" t="str">
        <x:v>G</x:v>
      </x:c>
      <x:c r="I2561" t="str">
        <x:v>&lt;1 year</x:v>
      </x:c>
      <x:c r="J2561" t="str">
        <x:v>RENT</x:v>
      </x:c>
      <x:c r="K2561" t="str">
        <x:v>debt_consolidation</x:v>
      </x:c>
      <x:c r="L2561" t="n">
        <x:v>0</x:v>
      </x:c>
      <x:c r="M2561" t="n">
        <x:v>0</x:v>
      </x:c>
      <x:c r="N2561" t="str">
        <x:v>Fully Paid</x:v>
      </x:c>
      <x:c r="O2561" t="str">
        <x:f>IF(D2561="","Unknown",IF(D2561&lt;25000,"&lt;$25k",IF(D2561&lt;50000,"$25k-$50k",IF(D2561&lt;75000,"$50k-$75k",IF(D2561&lt;100000,"$75k-$100k","$100k+")))))</x:f>
        <x:v>$25k-$50k</x:v>
      </x:c>
      <x:c r="P2561" t="str">
        <x:f>IF(E2561="","Unknown",IF(E2561&lt;10,"&lt;10",IF(E2561&lt;20,"10-&lt;20",IF(E2561&lt;25,"20-&lt;25",IF(E2561&lt;35,"25-&lt;35","35+")))))</x:f>
        <x:v>25-&lt;35</x:v>
      </x:c>
    </x:row>
    <x:row r="2562">
      <x:c r="A2562" t="str">
        <x:v>SYN0002561</x:v>
      </x:c>
      <x:c r="B2562" s="12" t="n">
        <x:v>42565</x:v>
      </x:c>
      <x:c r="C2562" s="18" t="n">
        <x:v>10418</x:v>
      </x:c>
      <x:c r="D2562" s="18" t="n">
        <x:v>64415</x:v>
      </x:c>
      <x:c r="E2562" s="18" t="n">
        <x:v>1.01</x:v>
      </x:c>
      <x:c r="F2562" s="18" t="n">
        <x:v>5.96</x:v>
      </x:c>
      <x:c r="G2562" t="n">
        <x:v>36</x:v>
      </x:c>
      <x:c r="H2562" t="str">
        <x:v>A</x:v>
      </x:c>
      <x:c r="I2562" t="str">
        <x:v>10+ years</x:v>
      </x:c>
      <x:c r="J2562" t="str">
        <x:v>RENT</x:v>
      </x:c>
      <x:c r="K2562" t="str">
        <x:v>debt_consolidation</x:v>
      </x:c>
      <x:c r="L2562" t="n">
        <x:v>1</x:v>
      </x:c>
      <x:c r="M2562" t="n">
        <x:v>0</x:v>
      </x:c>
      <x:c r="N2562" t="str">
        <x:v>Fully Paid</x:v>
      </x:c>
      <x:c r="O2562" t="str">
        <x:f>IF(D2562="","Unknown",IF(D2562&lt;25000,"&lt;$25k",IF(D2562&lt;50000,"$25k-$50k",IF(D2562&lt;75000,"$50k-$75k",IF(D2562&lt;100000,"$75k-$100k","$100k+")))))</x:f>
        <x:v>$50k-$75k</x:v>
      </x:c>
      <x:c r="P2562" t="str">
        <x:f>IF(E2562="","Unknown",IF(E2562&lt;10,"&lt;10",IF(E2562&lt;20,"10-&lt;20",IF(E2562&lt;25,"20-&lt;25",IF(E2562&lt;35,"25-&lt;35","35+")))))</x:f>
        <x:v>&lt;10</x:v>
      </x:c>
    </x:row>
    <x:row r="2563">
      <x:c r="A2563" t="str">
        <x:v>SYN0002562</x:v>
      </x:c>
      <x:c r="B2563" s="12" t="n">
        <x:v>42055</x:v>
      </x:c>
      <x:c r="C2563" s="18" t="n">
        <x:v>7759</x:v>
      </x:c>
      <x:c r="D2563" s="18" t="n">
        <x:v>29330</x:v>
      </x:c>
      <x:c r="E2563" s="18" t="n">
        <x:v>23.95</x:v>
      </x:c>
      <x:c r="F2563" s="18" t="n">
        <x:v>7.66</x:v>
      </x:c>
      <x:c r="G2563" t="n">
        <x:v>36</x:v>
      </x:c>
      <x:c r="H2563" t="str">
        <x:v>B</x:v>
      </x:c>
      <x:c r="I2563" t="str">
        <x:v>10+ years</x:v>
      </x:c>
      <x:c r="J2563" t="str">
        <x:v>RENT</x:v>
      </x:c>
      <x:c r="K2563" t="str">
        <x:v>debt_consolidation</x:v>
      </x:c>
      <x:c r="L2563" t="n">
        <x:v>1</x:v>
      </x:c>
      <x:c r="M2563" t="n">
        <x:v>0</x:v>
      </x:c>
      <x:c r="N2563" t="str">
        <x:v>Fully Paid</x:v>
      </x:c>
      <x:c r="O2563" t="str">
        <x:f>IF(D2563="","Unknown",IF(D2563&lt;25000,"&lt;$25k",IF(D2563&lt;50000,"$25k-$50k",IF(D2563&lt;75000,"$50k-$75k",IF(D2563&lt;100000,"$75k-$100k","$100k+")))))</x:f>
        <x:v>$25k-$50k</x:v>
      </x:c>
      <x:c r="P2563" t="str">
        <x:f>IF(E2563="","Unknown",IF(E2563&lt;10,"&lt;10",IF(E2563&lt;20,"10-&lt;20",IF(E2563&lt;25,"20-&lt;25",IF(E2563&lt;35,"25-&lt;35","35+")))))</x:f>
        <x:v>20-&lt;25</x:v>
      </x:c>
    </x:row>
    <x:row r="2564">
      <x:c r="A2564" t="str">
        <x:v>SYN0002563</x:v>
      </x:c>
      <x:c r="B2564" s="12" t="n">
        <x:v>41695</x:v>
      </x:c>
      <x:c r="C2564" s="18" t="n">
        <x:v>10921</x:v>
      </x:c>
      <x:c r="D2564" s="18" t="n">
        <x:v>68435</x:v>
      </x:c>
      <x:c r="E2564" s="18" t="n">
        <x:v>15.47</x:v>
      </x:c>
      <x:c r="F2564" s="18" t="n">
        <x:v>18.46</x:v>
      </x:c>
      <x:c r="G2564" t="n">
        <x:v>60</x:v>
      </x:c>
      <x:c r="H2564" t="str">
        <x:v>E</x:v>
      </x:c>
      <x:c r="I2564" t="str">
        <x:v>4-6 years</x:v>
      </x:c>
      <x:c r="J2564" t="str">
        <x:v>MORTGAGE</x:v>
      </x:c>
      <x:c r="K2564" t="str">
        <x:v>debt_consolidation</x:v>
      </x:c>
      <x:c r="L2564" t="n">
        <x:v>0</x:v>
      </x:c>
      <x:c r="M2564" t="n">
        <x:v>0</x:v>
      </x:c>
      <x:c r="N2564" t="str">
        <x:v>Fully Paid</x:v>
      </x:c>
      <x:c r="O2564" t="str">
        <x:f>IF(D2564="","Unknown",IF(D2564&lt;25000,"&lt;$25k",IF(D2564&lt;50000,"$25k-$50k",IF(D2564&lt;75000,"$50k-$75k",IF(D2564&lt;100000,"$75k-$100k","$100k+")))))</x:f>
        <x:v>$50k-$75k</x:v>
      </x:c>
      <x:c r="P2564" t="str">
        <x:f>IF(E2564="","Unknown",IF(E2564&lt;10,"&lt;10",IF(E2564&lt;20,"10-&lt;20",IF(E2564&lt;25,"20-&lt;25",IF(E2564&lt;35,"25-&lt;35","35+")))))</x:f>
        <x:v>10-&lt;20</x:v>
      </x:c>
    </x:row>
    <x:row r="2565">
      <x:c r="A2565" t="str">
        <x:v>SYN0002564</x:v>
      </x:c>
      <x:c r="B2565" s="12" t="n">
        <x:v>42175</x:v>
      </x:c>
      <x:c r="C2565" s="18" t="n">
        <x:v>24903</x:v>
      </x:c>
      <x:c r="D2565" s="18" t="n">
        <x:v>99215</x:v>
      </x:c>
      <x:c r="E2565" s="18" t="n">
        <x:v>30.71</x:v>
      </x:c>
      <x:c r="F2565" s="18" t="n">
        <x:v>14.48</x:v>
      </x:c>
      <x:c r="G2565" t="n">
        <x:v>36</x:v>
      </x:c>
      <x:c r="H2565" t="str">
        <x:v>E</x:v>
      </x:c>
      <x:c r="I2565" t="str">
        <x:v>1-3 years</x:v>
      </x:c>
      <x:c r="J2565" t="str">
        <x:v>RENT</x:v>
      </x:c>
      <x:c r="K2565" t="str">
        <x:v>major_purchase</x:v>
      </x:c>
      <x:c r="L2565" t="n">
        <x:v>0</x:v>
      </x:c>
      <x:c r="M2565" t="n">
        <x:v>0</x:v>
      </x:c>
      <x:c r="N2565" t="str">
        <x:v>Fully Paid</x:v>
      </x:c>
      <x:c r="O2565" t="str">
        <x:f>IF(D2565="","Unknown",IF(D2565&lt;25000,"&lt;$25k",IF(D2565&lt;50000,"$25k-$50k",IF(D2565&lt;75000,"$50k-$75k",IF(D2565&lt;100000,"$75k-$100k","$100k+")))))</x:f>
        <x:v>$75k-$100k</x:v>
      </x:c>
      <x:c r="P2565" t="str">
        <x:f>IF(E2565="","Unknown",IF(E2565&lt;10,"&lt;10",IF(E2565&lt;20,"10-&lt;20",IF(E2565&lt;25,"20-&lt;25",IF(E2565&lt;35,"25-&lt;35","35+")))))</x:f>
        <x:v>25-&lt;35</x:v>
      </x:c>
    </x:row>
    <x:row r="2566">
      <x:c r="A2566" t="str">
        <x:v>SYN0002565</x:v>
      </x:c>
      <x:c r="B2566" s="12" t="n">
        <x:v>41395</x:v>
      </x:c>
      <x:c r="C2566" s="18" t="n">
        <x:v>21925</x:v>
      </x:c>
      <x:c r="D2566" s="18" t="n">
        <x:v>54790</x:v>
      </x:c>
      <x:c r="E2566" s="18" t="n">
        <x:v>22.01</x:v>
      </x:c>
      <x:c r="F2566" s="18" t="n">
        <x:v>16.88</x:v>
      </x:c>
      <x:c r="G2566" t="n">
        <x:v>36</x:v>
      </x:c>
      <x:c r="H2566" t="str">
        <x:v>E</x:v>
      </x:c>
      <x:c r="I2566" t="str">
        <x:v>10+ years</x:v>
      </x:c>
      <x:c r="J2566" t="str">
        <x:v>RENT</x:v>
      </x:c>
      <x:c r="K2566" t="str">
        <x:v>medical</x:v>
      </x:c>
      <x:c r="L2566" t="n">
        <x:v>1</x:v>
      </x:c>
      <x:c r="M2566" t="n">
        <x:v>1</x:v>
      </x:c>
      <x:c r="N2566" t="str">
        <x:v>Charged Off</x:v>
      </x:c>
      <x:c r="O2566" t="str">
        <x:f>IF(D2566="","Unknown",IF(D2566&lt;25000,"&lt;$25k",IF(D2566&lt;50000,"$25k-$50k",IF(D2566&lt;75000,"$50k-$75k",IF(D2566&lt;100000,"$75k-$100k","$100k+")))))</x:f>
        <x:v>$50k-$75k</x:v>
      </x:c>
      <x:c r="P2566" t="str">
        <x:f>IF(E2566="","Unknown",IF(E2566&lt;10,"&lt;10",IF(E2566&lt;20,"10-&lt;20",IF(E2566&lt;25,"20-&lt;25",IF(E2566&lt;35,"25-&lt;35","35+")))))</x:f>
        <x:v>20-&lt;25</x:v>
      </x:c>
    </x:row>
    <x:row r="2567">
      <x:c r="A2567" t="str">
        <x:v>SYN0002566</x:v>
      </x:c>
      <x:c r="B2567" s="12" t="n">
        <x:v>42325</x:v>
      </x:c>
      <x:c r="C2567" s="18" t="n">
        <x:v>6763</x:v>
      </x:c>
      <x:c r="D2567" s="18" t="n">
        <x:v>53058</x:v>
      </x:c>
      <x:c r="E2567" s="18" t="n">
        <x:v>17.75</x:v>
      </x:c>
      <x:c r="F2567" s="18" t="n">
        <x:v>15.95</x:v>
      </x:c>
      <x:c r="G2567" t="n">
        <x:v>60</x:v>
      </x:c>
      <x:c r="H2567" t="str">
        <x:v>D</x:v>
      </x:c>
      <x:c r="I2567" t="str">
        <x:v>7-9 years</x:v>
      </x:c>
      <x:c r="J2567" t="str">
        <x:v>MORTGAGE</x:v>
      </x:c>
      <x:c r="K2567" t="str">
        <x:v>other</x:v>
      </x:c>
      <x:c r="L2567" t="n">
        <x:v>0</x:v>
      </x:c>
      <x:c r="M2567" t="n">
        <x:v>0</x:v>
      </x:c>
      <x:c r="N2567" t="str">
        <x:v>Fully Paid</x:v>
      </x:c>
      <x:c r="O2567" t="str">
        <x:f>IF(D2567="","Unknown",IF(D2567&lt;25000,"&lt;$25k",IF(D2567&lt;50000,"$25k-$50k",IF(D2567&lt;75000,"$50k-$75k",IF(D2567&lt;100000,"$75k-$100k","$100k+")))))</x:f>
        <x:v>$50k-$75k</x:v>
      </x:c>
      <x:c r="P2567" t="str">
        <x:f>IF(E2567="","Unknown",IF(E2567&lt;10,"&lt;10",IF(E2567&lt;20,"10-&lt;20",IF(E2567&lt;25,"20-&lt;25",IF(E2567&lt;35,"25-&lt;35","35+")))))</x:f>
        <x:v>10-&lt;20</x:v>
      </x:c>
    </x:row>
    <x:row r="2568">
      <x:c r="A2568" t="str">
        <x:v>SYN0002567</x:v>
      </x:c>
      <x:c r="B2568" s="12" t="n">
        <x:v>43105</x:v>
      </x:c>
      <x:c r="C2568" s="18" t="n">
        <x:v>13876</x:v>
      </x:c>
      <x:c r="D2568" s="18" t="n">
        <x:v>189579</x:v>
      </x:c>
      <x:c r="E2568" s="18" t="n">
        <x:v>18.23</x:v>
      </x:c>
      <x:c r="F2568" s="18" t="n">
        <x:v>15.69</x:v>
      </x:c>
      <x:c r="G2568" t="n">
        <x:v>60</x:v>
      </x:c>
      <x:c r="H2568" t="str">
        <x:v>D</x:v>
      </x:c>
      <x:c r="I2568" t="str">
        <x:v>1-3 years</x:v>
      </x:c>
      <x:c r="J2568" t="str">
        <x:v>MORTGAGE</x:v>
      </x:c>
      <x:c r="K2568" t="str">
        <x:v>major_purchase</x:v>
      </x:c>
      <x:c r="L2568" t="n">
        <x:v>1</x:v>
      </x:c>
      <x:c r="M2568" t="n">
        <x:v>0</x:v>
      </x:c>
      <x:c r="N2568" t="str">
        <x:v>Fully Paid</x:v>
      </x:c>
      <x:c r="O2568" t="str">
        <x:f>IF(D2568="","Unknown",IF(D2568&lt;25000,"&lt;$25k",IF(D2568&lt;50000,"$25k-$50k",IF(D2568&lt;75000,"$50k-$75k",IF(D2568&lt;100000,"$75k-$100k","$100k+")))))</x:f>
        <x:v>$100k+</x:v>
      </x:c>
      <x:c r="P2568" t="str">
        <x:f>IF(E2568="","Unknown",IF(E2568&lt;10,"&lt;10",IF(E2568&lt;20,"10-&lt;20",IF(E2568&lt;25,"20-&lt;25",IF(E2568&lt;35,"25-&lt;35","35+")))))</x:f>
        <x:v>10-&lt;20</x:v>
      </x:c>
    </x:row>
    <x:row r="2569">
      <x:c r="A2569" t="str">
        <x:v>SYN0002568</x:v>
      </x:c>
      <x:c r="B2569" s="12" t="n">
        <x:v>42505</x:v>
      </x:c>
      <x:c r="C2569" s="18" t="n">
        <x:v>6146</x:v>
      </x:c>
      <x:c r="D2569" s="18" t="n">
        <x:v>55439</x:v>
      </x:c>
      <x:c r="E2569" s="18" t="n">
        <x:v>20.05</x:v>
      </x:c>
      <x:c r="F2569" s="18" t="n">
        <x:v>5</x:v>
      </x:c>
      <x:c r="G2569" t="n">
        <x:v>36</x:v>
      </x:c>
      <x:c r="H2569" t="str">
        <x:v>A</x:v>
      </x:c>
      <x:c r="I2569" t="str">
        <x:v>4-6 years</x:v>
      </x:c>
      <x:c r="J2569" t="str">
        <x:v>RENT</x:v>
      </x:c>
      <x:c r="K2569" t="str">
        <x:v>other</x:v>
      </x:c>
      <x:c r="L2569" t="n">
        <x:v>1</x:v>
      </x:c>
      <x:c r="M2569" t="n">
        <x:v>0</x:v>
      </x:c>
      <x:c r="N2569" t="str">
        <x:v>Fully Paid</x:v>
      </x:c>
      <x:c r="O2569" t="str">
        <x:f>IF(D2569="","Unknown",IF(D2569&lt;25000,"&lt;$25k",IF(D2569&lt;50000,"$25k-$50k",IF(D2569&lt;75000,"$50k-$75k",IF(D2569&lt;100000,"$75k-$100k","$100k+")))))</x:f>
        <x:v>$50k-$75k</x:v>
      </x:c>
      <x:c r="P2569" t="str">
        <x:f>IF(E2569="","Unknown",IF(E2569&lt;10,"&lt;10",IF(E2569&lt;20,"10-&lt;20",IF(E2569&lt;25,"20-&lt;25",IF(E2569&lt;35,"25-&lt;35","35+")))))</x:f>
        <x:v>20-&lt;25</x:v>
      </x:c>
    </x:row>
    <x:row r="2570">
      <x:c r="A2570" t="str">
        <x:v>SYN0002569</x:v>
      </x:c>
      <x:c r="B2570" s="12" t="n">
        <x:v>41605</x:v>
      </x:c>
      <x:c r="C2570" s="18" t="n">
        <x:v>5989</x:v>
      </x:c>
      <x:c r="D2570" s="18" t="n">
        <x:v>31514</x:v>
      </x:c>
      <x:c r="E2570" s="18" t="n">
        <x:v>15.57</x:v>
      </x:c>
      <x:c r="F2570" s="18" t="n">
        <x:v>21.19</x:v>
      </x:c>
      <x:c r="G2570" t="n">
        <x:v>60</x:v>
      </x:c>
      <x:c r="H2570" t="str">
        <x:v>F</x:v>
      </x:c>
      <x:c r="I2570" t="str">
        <x:v>10+ years</x:v>
      </x:c>
      <x:c r="J2570" t="str">
        <x:v>MORTGAGE</x:v>
      </x:c>
      <x:c r="K2570" t="str">
        <x:v>home_improvement</x:v>
      </x:c>
      <x:c r="L2570" t="n">
        <x:v>1</x:v>
      </x:c>
      <x:c r="M2570" t="n">
        <x:v>0</x:v>
      </x:c>
      <x:c r="N2570" t="str">
        <x:v>Fully Paid</x:v>
      </x:c>
      <x:c r="O2570" t="str">
        <x:f>IF(D2570="","Unknown",IF(D2570&lt;25000,"&lt;$25k",IF(D2570&lt;50000,"$25k-$50k",IF(D2570&lt;75000,"$50k-$75k",IF(D2570&lt;100000,"$75k-$100k","$100k+")))))</x:f>
        <x:v>$25k-$50k</x:v>
      </x:c>
      <x:c r="P2570" t="str">
        <x:f>IF(E2570="","Unknown",IF(E2570&lt;10,"&lt;10",IF(E2570&lt;20,"10-&lt;20",IF(E2570&lt;25,"20-&lt;25",IF(E2570&lt;35,"25-&lt;35","35+")))))</x:f>
        <x:v>10-&lt;20</x:v>
      </x:c>
    </x:row>
    <x:row r="2571">
      <x:c r="A2571" t="str">
        <x:v>SYN0002570</x:v>
      </x:c>
      <x:c r="B2571" s="12" t="n">
        <x:v>42595</x:v>
      </x:c>
      <x:c r="C2571" s="18" t="n">
        <x:v>9532</x:v>
      </x:c>
      <x:c r="D2571" s="18" t="n">
        <x:v>43400</x:v>
      </x:c>
      <x:c r="E2571" s="18" t="n">
        <x:v>27.6</x:v>
      </x:c>
      <x:c r="F2571" s="18" t="n">
        <x:v>28.18</x:v>
      </x:c>
      <x:c r="G2571" t="n">
        <x:v>36</x:v>
      </x:c>
      <x:c r="H2571" t="str">
        <x:v>G</x:v>
      </x:c>
      <x:c r="I2571" t="str">
        <x:v>1-3 years</x:v>
      </x:c>
      <x:c r="J2571" t="str">
        <x:v>OWN</x:v>
      </x:c>
      <x:c r="K2571" t="str">
        <x:v>home_improvement</x:v>
      </x:c>
      <x:c r="L2571" t="n">
        <x:v>1</x:v>
      </x:c>
      <x:c r="M2571" t="n">
        <x:v>0</x:v>
      </x:c>
      <x:c r="N2571" t="str">
        <x:v>Fully Paid</x:v>
      </x:c>
      <x:c r="O2571" t="str">
        <x:f>IF(D2571="","Unknown",IF(D2571&lt;25000,"&lt;$25k",IF(D2571&lt;50000,"$25k-$50k",IF(D2571&lt;75000,"$50k-$75k",IF(D2571&lt;100000,"$75k-$100k","$100k+")))))</x:f>
        <x:v>$25k-$50k</x:v>
      </x:c>
      <x:c r="P2571" t="str">
        <x:f>IF(E2571="","Unknown",IF(E2571&lt;10,"&lt;10",IF(E2571&lt;20,"10-&lt;20",IF(E2571&lt;25,"20-&lt;25",IF(E2571&lt;35,"25-&lt;35","35+")))))</x:f>
        <x:v>25-&lt;35</x:v>
      </x:c>
    </x:row>
    <x:row r="2572">
      <x:c r="A2572" t="str">
        <x:v>SYN0002571</x:v>
      </x:c>
      <x:c r="B2572" s="12" t="n">
        <x:v>41725</x:v>
      </x:c>
      <x:c r="C2572" s="18" t="n">
        <x:v>14113</x:v>
      </x:c>
      <x:c r="D2572" s="18" t="n">
        <x:v>37768</x:v>
      </x:c>
      <x:c r="E2572" s="18" t="n">
        <x:v>9.96</x:v>
      </x:c>
      <x:c r="F2572" s="18" t="n">
        <x:v>14.36</x:v>
      </x:c>
      <x:c r="G2572" t="n">
        <x:v>36</x:v>
      </x:c>
      <x:c r="H2572" t="str">
        <x:v>D</x:v>
      </x:c>
      <x:c r="I2572" t="str">
        <x:v>4-6 years</x:v>
      </x:c>
      <x:c r="J2572" t="str">
        <x:v>MORTGAGE</x:v>
      </x:c>
      <x:c r="K2572" t="str">
        <x:v>debt_consolidation</x:v>
      </x:c>
      <x:c r="L2572" t="n">
        <x:v>2</x:v>
      </x:c>
      <x:c r="M2572" t="n">
        <x:v>0</x:v>
      </x:c>
      <x:c r="N2572" t="str">
        <x:v>Fully Paid</x:v>
      </x:c>
      <x:c r="O2572" t="str">
        <x:f>IF(D2572="","Unknown",IF(D2572&lt;25000,"&lt;$25k",IF(D2572&lt;50000,"$25k-$50k",IF(D2572&lt;75000,"$50k-$75k",IF(D2572&lt;100000,"$75k-$100k","$100k+")))))</x:f>
        <x:v>$25k-$50k</x:v>
      </x:c>
      <x:c r="P2572" t="str">
        <x:f>IF(E2572="","Unknown",IF(E2572&lt;10,"&lt;10",IF(E2572&lt;20,"10-&lt;20",IF(E2572&lt;25,"20-&lt;25",IF(E2572&lt;35,"25-&lt;35","35+")))))</x:f>
        <x:v>&lt;10</x:v>
      </x:c>
    </x:row>
    <x:row r="2573">
      <x:c r="A2573" t="str">
        <x:v>SYN0002572</x:v>
      </x:c>
      <x:c r="B2573" s="12" t="n">
        <x:v>42175</x:v>
      </x:c>
      <x:c r="C2573" s="18" t="n">
        <x:v>16154</x:v>
      </x:c>
      <x:c r="D2573" s="18" t="n">
        <x:v>34134</x:v>
      </x:c>
      <x:c r="E2573" s="18" t="n">
        <x:v>25.53</x:v>
      </x:c>
      <x:c r="F2573" s="18" t="n">
        <x:v>9.42</x:v>
      </x:c>
      <x:c r="G2573" t="n">
        <x:v>60</x:v>
      </x:c>
      <x:c r="H2573" t="str">
        <x:v>C</x:v>
      </x:c>
      <x:c r="I2573" t="str">
        <x:v>4-6 years</x:v>
      </x:c>
      <x:c r="J2573" t="str">
        <x:v>MORTGAGE</x:v>
      </x:c>
      <x:c r="K2573" t="str">
        <x:v>credit_card</x:v>
      </x:c>
      <x:c r="L2573" t="n">
        <x:v>0</x:v>
      </x:c>
      <x:c r="M2573" t="n">
        <x:v>0</x:v>
      </x:c>
      <x:c r="N2573" t="str">
        <x:v>Fully Paid</x:v>
      </x:c>
      <x:c r="O2573" t="str">
        <x:f>IF(D2573="","Unknown",IF(D2573&lt;25000,"&lt;$25k",IF(D2573&lt;50000,"$25k-$50k",IF(D2573&lt;75000,"$50k-$75k",IF(D2573&lt;100000,"$75k-$100k","$100k+")))))</x:f>
        <x:v>$25k-$50k</x:v>
      </x:c>
      <x:c r="P2573" t="str">
        <x:f>IF(E2573="","Unknown",IF(E2573&lt;10,"&lt;10",IF(E2573&lt;20,"10-&lt;20",IF(E2573&lt;25,"20-&lt;25",IF(E2573&lt;35,"25-&lt;35","35+")))))</x:f>
        <x:v>25-&lt;35</x:v>
      </x:c>
    </x:row>
    <x:row r="2574">
      <x:c r="A2574" t="str">
        <x:v>SYN0002573</x:v>
      </x:c>
      <x:c r="B2574" s="12" t="n">
        <x:v>42205</x:v>
      </x:c>
      <x:c r="C2574" s="18" t="n">
        <x:v>10478</x:v>
      </x:c>
      <x:c r="D2574" s="18" t="n">
        <x:v>61111</x:v>
      </x:c>
      <x:c r="E2574" s="18" t="n">
        <x:v>20.06</x:v>
      </x:c>
      <x:c r="F2574" s="18" t="n">
        <x:v>10.27</x:v>
      </x:c>
      <x:c r="G2574" t="n">
        <x:v>36</x:v>
      </x:c>
      <x:c r="H2574" t="str">
        <x:v>C</x:v>
      </x:c>
      <x:c r="I2574" t="str">
        <x:v>7-9 years</x:v>
      </x:c>
      <x:c r="J2574" t="str">
        <x:v>MORTGAGE</x:v>
      </x:c>
      <x:c r="K2574" t="str">
        <x:v>debt_consolidation</x:v>
      </x:c>
      <x:c r="L2574" t="n">
        <x:v>0</x:v>
      </x:c>
      <x:c r="M2574" t="n">
        <x:v>0</x:v>
      </x:c>
      <x:c r="N2574" t="str">
        <x:v>Fully Paid</x:v>
      </x:c>
      <x:c r="O2574" t="str">
        <x:f>IF(D2574="","Unknown",IF(D2574&lt;25000,"&lt;$25k",IF(D2574&lt;50000,"$25k-$50k",IF(D2574&lt;75000,"$50k-$75k",IF(D2574&lt;100000,"$75k-$100k","$100k+")))))</x:f>
        <x:v>$50k-$75k</x:v>
      </x:c>
      <x:c r="P2574" t="str">
        <x:f>IF(E2574="","Unknown",IF(E2574&lt;10,"&lt;10",IF(E2574&lt;20,"10-&lt;20",IF(E2574&lt;25,"20-&lt;25",IF(E2574&lt;35,"25-&lt;35","35+")))))</x:f>
        <x:v>20-&lt;25</x:v>
      </x:c>
    </x:row>
    <x:row r="2575">
      <x:c r="A2575" t="str">
        <x:v>SYN0002574</x:v>
      </x:c>
      <x:c r="B2575" s="12" t="n">
        <x:v>42085</x:v>
      </x:c>
      <x:c r="C2575" s="18" t="n">
        <x:v>8174</x:v>
      </x:c>
      <x:c r="D2575" s="18" t="n">
        <x:v>30788</x:v>
      </x:c>
      <x:c r="E2575" s="18" t="n">
        <x:v>4.91</x:v>
      </x:c>
      <x:c r="F2575" s="18" t="n">
        <x:v>7.09</x:v>
      </x:c>
      <x:c r="G2575" t="n">
        <x:v>36</x:v>
      </x:c>
      <x:c r="H2575" t="str">
        <x:v>B</x:v>
      </x:c>
      <x:c r="I2575" t="str">
        <x:v>4-6 years</x:v>
      </x:c>
      <x:c r="J2575" t="str">
        <x:v>OWN</x:v>
      </x:c>
      <x:c r="K2575" t="str">
        <x:v>credit_card</x:v>
      </x:c>
      <x:c r="L2575" t="n">
        <x:v>0</x:v>
      </x:c>
      <x:c r="M2575" t="n">
        <x:v>0</x:v>
      </x:c>
      <x:c r="N2575" t="str">
        <x:v>Fully Paid</x:v>
      </x:c>
      <x:c r="O2575" t="str">
        <x:f>IF(D2575="","Unknown",IF(D2575&lt;25000,"&lt;$25k",IF(D2575&lt;50000,"$25k-$50k",IF(D2575&lt;75000,"$50k-$75k",IF(D2575&lt;100000,"$75k-$100k","$100k+")))))</x:f>
        <x:v>$25k-$50k</x:v>
      </x:c>
      <x:c r="P2575" t="str">
        <x:f>IF(E2575="","Unknown",IF(E2575&lt;10,"&lt;10",IF(E2575&lt;20,"10-&lt;20",IF(E2575&lt;25,"20-&lt;25",IF(E2575&lt;35,"25-&lt;35","35+")))))</x:f>
        <x:v>&lt;10</x:v>
      </x:c>
    </x:row>
    <x:row r="2576">
      <x:c r="A2576" t="str">
        <x:v>SYN0002575</x:v>
      </x:c>
      <x:c r="B2576" s="12" t="n">
        <x:v>41425</x:v>
      </x:c>
      <x:c r="C2576" s="18" t="n">
        <x:v>11970</x:v>
      </x:c>
      <x:c r="D2576" s="18" t="n">
        <x:v>131825</x:v>
      </x:c>
      <x:c r="E2576" s="18" t="n">
        <x:v>20.61</x:v>
      </x:c>
      <x:c r="F2576" s="18" t="n">
        <x:v>18.41</x:v>
      </x:c>
      <x:c r="G2576" t="n">
        <x:v>36</x:v>
      </x:c>
      <x:c r="H2576" t="str">
        <x:v>E</x:v>
      </x:c>
      <x:c r="I2576" t="str">
        <x:v>10+ years</x:v>
      </x:c>
      <x:c r="J2576" t="str">
        <x:v>MORTGAGE</x:v>
      </x:c>
      <x:c r="K2576" t="str">
        <x:v>debt_consolidation</x:v>
      </x:c>
      <x:c r="L2576" t="n">
        <x:v>0</x:v>
      </x:c>
      <x:c r="M2576" t="n">
        <x:v>0</x:v>
      </x:c>
      <x:c r="N2576" t="str">
        <x:v>Fully Paid</x:v>
      </x:c>
      <x:c r="O2576" t="str">
        <x:f>IF(D2576="","Unknown",IF(D2576&lt;25000,"&lt;$25k",IF(D2576&lt;50000,"$25k-$50k",IF(D2576&lt;75000,"$50k-$75k",IF(D2576&lt;100000,"$75k-$100k","$100k+")))))</x:f>
        <x:v>$100k+</x:v>
      </x:c>
      <x:c r="P2576" t="str">
        <x:f>IF(E2576="","Unknown",IF(E2576&lt;10,"&lt;10",IF(E2576&lt;20,"10-&lt;20",IF(E2576&lt;25,"20-&lt;25",IF(E2576&lt;35,"25-&lt;35","35+")))))</x:f>
        <x:v>20-&lt;25</x:v>
      </x:c>
    </x:row>
    <x:row r="2577">
      <x:c r="A2577" t="str">
        <x:v>SYN0002576</x:v>
      </x:c>
      <x:c r="B2577" s="12" t="n">
        <x:v>43075</x:v>
      </x:c>
      <x:c r="C2577" s="18" t="n">
        <x:v>14105</x:v>
      </x:c>
      <x:c r="D2577" s="18" t="n">
        <x:v>32480</x:v>
      </x:c>
      <x:c r="E2577" s="18" t="n">
        <x:v>11.37</x:v>
      </x:c>
      <x:c r="F2577" s="18" t="n">
        <x:v>5.93</x:v>
      </x:c>
      <x:c r="G2577" t="n">
        <x:v>36</x:v>
      </x:c>
      <x:c r="H2577" t="str">
        <x:v>A</x:v>
      </x:c>
      <x:c r="I2577" t="str">
        <x:v>10+ years</x:v>
      </x:c>
      <x:c r="J2577" t="str">
        <x:v>MORTGAGE</x:v>
      </x:c>
      <x:c r="K2577" t="str">
        <x:v>debt_consolidation</x:v>
      </x:c>
      <x:c r="L2577" t="n">
        <x:v>0</x:v>
      </x:c>
      <x:c r="M2577" t="n">
        <x:v>0</x:v>
      </x:c>
      <x:c r="N2577" t="str">
        <x:v>Fully Paid</x:v>
      </x:c>
      <x:c r="O2577" t="str">
        <x:f>IF(D2577="","Unknown",IF(D2577&lt;25000,"&lt;$25k",IF(D2577&lt;50000,"$25k-$50k",IF(D2577&lt;75000,"$50k-$75k",IF(D2577&lt;100000,"$75k-$100k","$100k+")))))</x:f>
        <x:v>$25k-$50k</x:v>
      </x:c>
      <x:c r="P2577" t="str">
        <x:f>IF(E2577="","Unknown",IF(E2577&lt;10,"&lt;10",IF(E2577&lt;20,"10-&lt;20",IF(E2577&lt;25,"20-&lt;25",IF(E2577&lt;35,"25-&lt;35","35+")))))</x:f>
        <x:v>10-&lt;20</x:v>
      </x:c>
    </x:row>
    <x:row r="2578">
      <x:c r="A2578" t="str">
        <x:v>SYN0002577</x:v>
      </x:c>
      <x:c r="B2578" s="12" t="n">
        <x:v>41485</x:v>
      </x:c>
      <x:c r="C2578" s="18" t="n">
        <x:v>29902</x:v>
      </x:c>
      <x:c r="D2578" s="18" t="n">
        <x:v>17217</x:v>
      </x:c>
      <x:c r="E2578" s="18" t="n">
        <x:v>33.72</x:v>
      </x:c>
      <x:c r="F2578" s="18" t="n">
        <x:v>10.62</x:v>
      </x:c>
      <x:c r="G2578" t="n">
        <x:v>36</x:v>
      </x:c>
      <x:c r="H2578" t="str">
        <x:v>C</x:v>
      </x:c>
      <x:c r="I2578" t="str">
        <x:v>1-3 years</x:v>
      </x:c>
      <x:c r="J2578" t="str">
        <x:v>RENT</x:v>
      </x:c>
      <x:c r="K2578" t="str">
        <x:v>debt_consolidation</x:v>
      </x:c>
      <x:c r="L2578" t="n">
        <x:v>0</x:v>
      </x:c>
      <x:c r="M2578" t="n">
        <x:v>0</x:v>
      </x:c>
      <x:c r="N2578" t="str">
        <x:v>Fully Paid</x:v>
      </x:c>
      <x:c r="O2578" t="str">
        <x:f>IF(D2578="","Unknown",IF(D2578&lt;25000,"&lt;$25k",IF(D2578&lt;50000,"$25k-$50k",IF(D2578&lt;75000,"$50k-$75k",IF(D2578&lt;100000,"$75k-$100k","$100k+")))))</x:f>
        <x:v>&lt;$25k</x:v>
      </x:c>
      <x:c r="P2578" t="str">
        <x:f>IF(E2578="","Unknown",IF(E2578&lt;10,"&lt;10",IF(E2578&lt;20,"10-&lt;20",IF(E2578&lt;25,"20-&lt;25",IF(E2578&lt;35,"25-&lt;35","35+")))))</x:f>
        <x:v>25-&lt;35</x:v>
      </x:c>
    </x:row>
    <x:row r="2579">
      <x:c r="A2579" t="str">
        <x:v>SYN0002578</x:v>
      </x:c>
      <x:c r="B2579" s="12" t="n">
        <x:v>42025</x:v>
      </x:c>
      <x:c r="C2579" s="18" t="n">
        <x:v>15802</x:v>
      </x:c>
      <x:c r="D2579" s="18" t="n">
        <x:v>42848</x:v>
      </x:c>
      <x:c r="E2579" s="18" t="n">
        <x:v>33.48</x:v>
      </x:c>
      <x:c r="F2579" s="18" t="n">
        <x:v>16.8</x:v>
      </x:c>
      <x:c r="G2579" t="n">
        <x:v>60</x:v>
      </x:c>
      <x:c r="H2579" t="str">
        <x:v>D</x:v>
      </x:c>
      <x:c r="I2579" t="str">
        <x:v>4-6 years</x:v>
      </x:c>
      <x:c r="J2579" t="str">
        <x:v>MORTGAGE</x:v>
      </x:c>
      <x:c r="K2579" t="str">
        <x:v>debt_consolidation</x:v>
      </x:c>
      <x:c r="L2579" t="n">
        <x:v>0</x:v>
      </x:c>
      <x:c r="M2579" t="n">
        <x:v>0</x:v>
      </x:c>
      <x:c r="N2579" t="str">
        <x:v>Fully Paid</x:v>
      </x:c>
      <x:c r="O2579" t="str">
        <x:f>IF(D2579="","Unknown",IF(D2579&lt;25000,"&lt;$25k",IF(D2579&lt;50000,"$25k-$50k",IF(D2579&lt;75000,"$50k-$75k",IF(D2579&lt;100000,"$75k-$100k","$100k+")))))</x:f>
        <x:v>$25k-$50k</x:v>
      </x:c>
      <x:c r="P2579" t="str">
        <x:f>IF(E2579="","Unknown",IF(E2579&lt;10,"&lt;10",IF(E2579&lt;20,"10-&lt;20",IF(E2579&lt;25,"20-&lt;25",IF(E2579&lt;35,"25-&lt;35","35+")))))</x:f>
        <x:v>25-&lt;35</x:v>
      </x:c>
    </x:row>
    <x:row r="2580">
      <x:c r="A2580" t="str">
        <x:v>SYN0002579</x:v>
      </x:c>
      <x:c r="B2580" s="12" t="n">
        <x:v>42865</x:v>
      </x:c>
      <x:c r="C2580" s="18" t="n">
        <x:v>17647</x:v>
      </x:c>
      <x:c r="D2580" s="18" t="n">
        <x:v>85652</x:v>
      </x:c>
      <x:c r="E2580" s="18" t="n">
        <x:v>25.97</x:v>
      </x:c>
      <x:c r="F2580" s="18" t="n">
        <x:v>26.73</x:v>
      </x:c>
      <x:c r="G2580" t="n">
        <x:v>60</x:v>
      </x:c>
      <x:c r="H2580" t="str">
        <x:v>G</x:v>
      </x:c>
      <x:c r="I2580" t="str">
        <x:v>7-9 years</x:v>
      </x:c>
      <x:c r="J2580" t="str">
        <x:v>MORTGAGE</x:v>
      </x:c>
      <x:c r="K2580" t="str">
        <x:v>home_improvement</x:v>
      </x:c>
      <x:c r="L2580" t="n">
        <x:v>0</x:v>
      </x:c>
      <x:c r="M2580" t="n">
        <x:v>0</x:v>
      </x:c>
      <x:c r="N2580" t="str">
        <x:v>Fully Paid</x:v>
      </x:c>
      <x:c r="O2580" t="str">
        <x:f>IF(D2580="","Unknown",IF(D2580&lt;25000,"&lt;$25k",IF(D2580&lt;50000,"$25k-$50k",IF(D2580&lt;75000,"$50k-$75k",IF(D2580&lt;100000,"$75k-$100k","$100k+")))))</x:f>
        <x:v>$75k-$100k</x:v>
      </x:c>
      <x:c r="P2580" t="str">
        <x:f>IF(E2580="","Unknown",IF(E2580&lt;10,"&lt;10",IF(E2580&lt;20,"10-&lt;20",IF(E2580&lt;25,"20-&lt;25",IF(E2580&lt;35,"25-&lt;35","35+")))))</x:f>
        <x:v>25-&lt;35</x:v>
      </x:c>
    </x:row>
    <x:row r="2581">
      <x:c r="A2581" t="str">
        <x:v>SYN0002580</x:v>
      </x:c>
      <x:c r="B2581" s="12" t="n">
        <x:v>42655</x:v>
      </x:c>
      <x:c r="C2581" s="18" t="n">
        <x:v>15111</x:v>
      </x:c>
      <x:c r="D2581" s="18" t="n">
        <x:v>85351</x:v>
      </x:c>
      <x:c r="E2581" s="18" t="n">
        <x:v>21.08</x:v>
      </x:c>
      <x:c r="F2581" s="18" t="n">
        <x:v>15.9</x:v>
      </x:c>
      <x:c r="G2581" t="n">
        <x:v>36</x:v>
      </x:c>
      <x:c r="H2581" t="str">
        <x:v>D</x:v>
      </x:c>
      <x:c r="I2581" t="str">
        <x:v>4-6 years</x:v>
      </x:c>
      <x:c r="J2581" t="str">
        <x:v>OTHER</x:v>
      </x:c>
      <x:c r="K2581" t="str">
        <x:v>credit_card</x:v>
      </x:c>
      <x:c r="L2581" t="n">
        <x:v>0</x:v>
      </x:c>
      <x:c r="M2581" t="n">
        <x:v>0</x:v>
      </x:c>
      <x:c r="N2581" t="str">
        <x:v>Fully Paid</x:v>
      </x:c>
      <x:c r="O2581" t="str">
        <x:f>IF(D2581="","Unknown",IF(D2581&lt;25000,"&lt;$25k",IF(D2581&lt;50000,"$25k-$50k",IF(D2581&lt;75000,"$50k-$75k",IF(D2581&lt;100000,"$75k-$100k","$100k+")))))</x:f>
        <x:v>$75k-$100k</x:v>
      </x:c>
      <x:c r="P2581" t="str">
        <x:f>IF(E2581="","Unknown",IF(E2581&lt;10,"&lt;10",IF(E2581&lt;20,"10-&lt;20",IF(E2581&lt;25,"20-&lt;25",IF(E2581&lt;35,"25-&lt;35","35+")))))</x:f>
        <x:v>20-&lt;25</x:v>
      </x:c>
    </x:row>
    <x:row r="2582">
      <x:c r="A2582" t="str">
        <x:v>SYN0002581</x:v>
      </x:c>
      <x:c r="B2582" s="12" t="n">
        <x:v>41545</x:v>
      </x:c>
      <x:c r="C2582" s="18" t="n">
        <x:v>15482</x:v>
      </x:c>
      <x:c r="D2582" s="18" t="n">
        <x:v>107526</x:v>
      </x:c>
      <x:c r="E2582" s="18" t="n">
        <x:v>26.73</x:v>
      </x:c>
      <x:c r="F2582" s="18" t="n">
        <x:v>19.85</x:v>
      </x:c>
      <x:c r="G2582" t="n">
        <x:v>36</x:v>
      </x:c>
      <x:c r="H2582" t="str">
        <x:v>E</x:v>
      </x:c>
      <x:c r="I2582" t="str">
        <x:v>4-6 years</x:v>
      </x:c>
      <x:c r="J2582" t="str">
        <x:v>MORTGAGE</x:v>
      </x:c>
      <x:c r="K2582" t="str">
        <x:v>debt_consolidation</x:v>
      </x:c>
      <x:c r="L2582" t="n">
        <x:v>1</x:v>
      </x:c>
      <x:c r="M2582" t="n">
        <x:v>0</x:v>
      </x:c>
      <x:c r="N2582" t="str">
        <x:v>Fully Paid</x:v>
      </x:c>
      <x:c r="O2582" t="str">
        <x:f>IF(D2582="","Unknown",IF(D2582&lt;25000,"&lt;$25k",IF(D2582&lt;50000,"$25k-$50k",IF(D2582&lt;75000,"$50k-$75k",IF(D2582&lt;100000,"$75k-$100k","$100k+")))))</x:f>
        <x:v>$100k+</x:v>
      </x:c>
      <x:c r="P2582" t="str">
        <x:f>IF(E2582="","Unknown",IF(E2582&lt;10,"&lt;10",IF(E2582&lt;20,"10-&lt;20",IF(E2582&lt;25,"20-&lt;25",IF(E2582&lt;35,"25-&lt;35","35+")))))</x:f>
        <x:v>25-&lt;35</x:v>
      </x:c>
    </x:row>
    <x:row r="2583">
      <x:c r="A2583" t="str">
        <x:v>SYN0002582</x:v>
      </x:c>
      <x:c r="B2583" s="12" t="n">
        <x:v>42535</x:v>
      </x:c>
      <x:c r="C2583" s="18" t="n">
        <x:v>10249</x:v>
      </x:c>
      <x:c r="D2583" s="18" t="n">
        <x:v>18165</x:v>
      </x:c>
      <x:c r="E2583" s="18" t="n">
        <x:v>21.47</x:v>
      </x:c>
      <x:c r="F2583" s="18" t="n">
        <x:v>8.91</x:v>
      </x:c>
      <x:c r="G2583" t="n">
        <x:v>60</x:v>
      </x:c>
      <x:c r="H2583" t="str">
        <x:v>B</x:v>
      </x:c>
      <x:c r="I2583" t="str">
        <x:v>1-3 years</x:v>
      </x:c>
      <x:c r="J2583" t="str">
        <x:v>RENT</x:v>
      </x:c>
      <x:c r="K2583" t="str">
        <x:v>debt_consolidation</x:v>
      </x:c>
      <x:c r="L2583" t="n">
        <x:v>0</x:v>
      </x:c>
      <x:c r="M2583" t="n">
        <x:v>0</x:v>
      </x:c>
      <x:c r="N2583" t="str">
        <x:v>Fully Paid</x:v>
      </x:c>
      <x:c r="O2583" t="str">
        <x:f>IF(D2583="","Unknown",IF(D2583&lt;25000,"&lt;$25k",IF(D2583&lt;50000,"$25k-$50k",IF(D2583&lt;75000,"$50k-$75k",IF(D2583&lt;100000,"$75k-$100k","$100k+")))))</x:f>
        <x:v>&lt;$25k</x:v>
      </x:c>
      <x:c r="P2583" t="str">
        <x:f>IF(E2583="","Unknown",IF(E2583&lt;10,"&lt;10",IF(E2583&lt;20,"10-&lt;20",IF(E2583&lt;25,"20-&lt;25",IF(E2583&lt;35,"25-&lt;35","35+")))))</x:f>
        <x:v>20-&lt;25</x:v>
      </x:c>
    </x:row>
    <x:row r="2584">
      <x:c r="A2584" t="str">
        <x:v>SYN0002583</x:v>
      </x:c>
      <x:c r="B2584" s="12" t="n">
        <x:v>41335</x:v>
      </x:c>
      <x:c r="C2584" s="18" t="n">
        <x:v>11218</x:v>
      </x:c>
      <x:c r="D2584" s="18" t="n">
        <x:v>23214</x:v>
      </x:c>
      <x:c r="E2584" s="18" t="n">
        <x:v>20.87</x:v>
      </x:c>
      <x:c r="F2584" s="18" t="n">
        <x:v>9.19</x:v>
      </x:c>
      <x:c r="G2584" t="n">
        <x:v>60</x:v>
      </x:c>
      <x:c r="H2584" t="str">
        <x:v>C</x:v>
      </x:c>
      <x:c r="I2584" t="str">
        <x:v>&lt;1 year</x:v>
      </x:c>
      <x:c r="J2584" t="str">
        <x:v>RENT</x:v>
      </x:c>
      <x:c r="K2584" t="str">
        <x:v>debt_consolidation</x:v>
      </x:c>
      <x:c r="L2584" t="n">
        <x:v>0</x:v>
      </x:c>
      <x:c r="M2584" t="n">
        <x:v>0</x:v>
      </x:c>
      <x:c r="N2584" t="str">
        <x:v>Fully Paid</x:v>
      </x:c>
      <x:c r="O2584" t="str">
        <x:f>IF(D2584="","Unknown",IF(D2584&lt;25000,"&lt;$25k",IF(D2584&lt;50000,"$25k-$50k",IF(D2584&lt;75000,"$50k-$75k",IF(D2584&lt;100000,"$75k-$100k","$100k+")))))</x:f>
        <x:v>&lt;$25k</x:v>
      </x:c>
      <x:c r="P2584" t="str">
        <x:f>IF(E2584="","Unknown",IF(E2584&lt;10,"&lt;10",IF(E2584&lt;20,"10-&lt;20",IF(E2584&lt;25,"20-&lt;25",IF(E2584&lt;35,"25-&lt;35","35+")))))</x:f>
        <x:v>20-&lt;25</x:v>
      </x:c>
    </x:row>
    <x:row r="2585">
      <x:c r="A2585" t="str">
        <x:v>SYN0002584</x:v>
      </x:c>
      <x:c r="B2585" s="12" t="n">
        <x:v>41425</x:v>
      </x:c>
      <x:c r="C2585" s="18" t="n">
        <x:v>23677</x:v>
      </x:c>
      <x:c r="D2585" s="18" t="n">
        <x:v>29845</x:v>
      </x:c>
      <x:c r="E2585" s="18" t="n">
        <x:v>18.44</x:v>
      </x:c>
      <x:c r="F2585" s="18" t="n">
        <x:v>11.28</x:v>
      </x:c>
      <x:c r="G2585" t="n">
        <x:v>36</x:v>
      </x:c>
      <x:c r="H2585" t="str">
        <x:v>C</x:v>
      </x:c>
      <x:c r="I2585" t="str">
        <x:v>10+ years</x:v>
      </x:c>
      <x:c r="J2585" t="str">
        <x:v>MORTGAGE</x:v>
      </x:c>
      <x:c r="K2585" t="str">
        <x:v>debt_consolidation</x:v>
      </x:c>
      <x:c r="L2585" t="n">
        <x:v>1</x:v>
      </x:c>
      <x:c r="M2585" t="n">
        <x:v>1</x:v>
      </x:c>
      <x:c r="N2585" t="str">
        <x:v>Charged Off</x:v>
      </x:c>
      <x:c r="O2585" t="str">
        <x:f>IF(D2585="","Unknown",IF(D2585&lt;25000,"&lt;$25k",IF(D2585&lt;50000,"$25k-$50k",IF(D2585&lt;75000,"$50k-$75k",IF(D2585&lt;100000,"$75k-$100k","$100k+")))))</x:f>
        <x:v>$25k-$50k</x:v>
      </x:c>
      <x:c r="P2585" t="str">
        <x:f>IF(E2585="","Unknown",IF(E2585&lt;10,"&lt;10",IF(E2585&lt;20,"10-&lt;20",IF(E2585&lt;25,"20-&lt;25",IF(E2585&lt;35,"25-&lt;35","35+")))))</x:f>
        <x:v>10-&lt;20</x:v>
      </x:c>
    </x:row>
    <x:row r="2586">
      <x:c r="A2586" t="str">
        <x:v>SYN0002585</x:v>
      </x:c>
      <x:c r="B2586" s="12" t="n">
        <x:v>41485</x:v>
      </x:c>
      <x:c r="C2586" s="18" t="n">
        <x:v>11271</x:v>
      </x:c>
      <x:c r="D2586" s="18" t="n">
        <x:v>46838</x:v>
      </x:c>
      <x:c r="E2586" s="18" t="n">
        <x:v>25.19</x:v>
      </x:c>
      <x:c r="F2586" s="18" t="n">
        <x:v>14.13</x:v>
      </x:c>
      <x:c r="G2586" t="n">
        <x:v>60</x:v>
      </x:c>
      <x:c r="H2586" t="str">
        <x:v>D</x:v>
      </x:c>
      <x:c r="I2586" t="str">
        <x:v>4-6 years</x:v>
      </x:c>
      <x:c r="J2586" t="str">
        <x:v>OWN</x:v>
      </x:c>
      <x:c r="K2586" t="str">
        <x:v>other</x:v>
      </x:c>
      <x:c r="L2586" t="n">
        <x:v>0</x:v>
      </x:c>
      <x:c r="M2586" t="n">
        <x:v>0</x:v>
      </x:c>
      <x:c r="N2586" t="str">
        <x:v>Fully Paid</x:v>
      </x:c>
      <x:c r="O2586" t="str">
        <x:f>IF(D2586="","Unknown",IF(D2586&lt;25000,"&lt;$25k",IF(D2586&lt;50000,"$25k-$50k",IF(D2586&lt;75000,"$50k-$75k",IF(D2586&lt;100000,"$75k-$100k","$100k+")))))</x:f>
        <x:v>$25k-$50k</x:v>
      </x:c>
      <x:c r="P2586" t="str">
        <x:f>IF(E2586="","Unknown",IF(E2586&lt;10,"&lt;10",IF(E2586&lt;20,"10-&lt;20",IF(E2586&lt;25,"20-&lt;25",IF(E2586&lt;35,"25-&lt;35","35+")))))</x:f>
        <x:v>25-&lt;35</x:v>
      </x:c>
    </x:row>
    <x:row r="2587">
      <x:c r="A2587" t="str">
        <x:v>SYN0002586</x:v>
      </x:c>
      <x:c r="B2587" s="12" t="n">
        <x:v>43015</x:v>
      </x:c>
      <x:c r="C2587" s="18" t="n">
        <x:v>11203</x:v>
      </x:c>
      <x:c r="D2587" s="18" t="n">
        <x:v>50182</x:v>
      </x:c>
      <x:c r="E2587" s="18" t="n">
        <x:v>26.53</x:v>
      </x:c>
      <x:c r="F2587" s="18" t="n">
        <x:v>28.07</x:v>
      </x:c>
      <x:c r="G2587" t="n">
        <x:v>36</x:v>
      </x:c>
      <x:c r="H2587" t="str">
        <x:v>G</x:v>
      </x:c>
      <x:c r="I2587" t="str">
        <x:v>10+ years</x:v>
      </x:c>
      <x:c r="J2587" t="str">
        <x:v>MORTGAGE</x:v>
      </x:c>
      <x:c r="K2587" t="str">
        <x:v>debt_consolidation</x:v>
      </x:c>
      <x:c r="L2587" t="n">
        <x:v>4</x:v>
      </x:c>
      <x:c r="M2587" t="n">
        <x:v>1</x:v>
      </x:c>
      <x:c r="N2587" t="str">
        <x:v>Charged Off</x:v>
      </x:c>
      <x:c r="O2587" t="str">
        <x:f>IF(D2587="","Unknown",IF(D2587&lt;25000,"&lt;$25k",IF(D2587&lt;50000,"$25k-$50k",IF(D2587&lt;75000,"$50k-$75k",IF(D2587&lt;100000,"$75k-$100k","$100k+")))))</x:f>
        <x:v>$50k-$75k</x:v>
      </x:c>
      <x:c r="P2587" t="str">
        <x:f>IF(E2587="","Unknown",IF(E2587&lt;10,"&lt;10",IF(E2587&lt;20,"10-&lt;20",IF(E2587&lt;25,"20-&lt;25",IF(E2587&lt;35,"25-&lt;35","35+")))))</x:f>
        <x:v>25-&lt;35</x:v>
      </x:c>
    </x:row>
    <x:row r="2588">
      <x:c r="A2588" t="str">
        <x:v>SYN0002587</x:v>
      </x:c>
      <x:c r="B2588" s="12" t="n">
        <x:v>43165</x:v>
      </x:c>
      <x:c r="C2588" s="18" t="n">
        <x:v>8516</x:v>
      </x:c>
      <x:c r="D2588" s="18" t="n">
        <x:v>79553</x:v>
      </x:c>
      <x:c r="E2588" s="18" t="n">
        <x:v>12.34</x:v>
      </x:c>
      <x:c r="F2588" s="18" t="n">
        <x:v>5</x:v>
      </x:c>
      <x:c r="G2588" t="n">
        <x:v>36</x:v>
      </x:c>
      <x:c r="H2588" t="str">
        <x:v>A</x:v>
      </x:c>
      <x:c r="I2588" t="str">
        <x:v>4-6 years</x:v>
      </x:c>
      <x:c r="J2588" t="str">
        <x:v>MORTGAGE</x:v>
      </x:c>
      <x:c r="K2588" t="str">
        <x:v>debt_consolidation</x:v>
      </x:c>
      <x:c r="L2588" t="n">
        <x:v>0</x:v>
      </x:c>
      <x:c r="M2588" t="n">
        <x:v>0</x:v>
      </x:c>
      <x:c r="N2588" t="str">
        <x:v>Fully Paid</x:v>
      </x:c>
      <x:c r="O2588" t="str">
        <x:f>IF(D2588="","Unknown",IF(D2588&lt;25000,"&lt;$25k",IF(D2588&lt;50000,"$25k-$50k",IF(D2588&lt;75000,"$50k-$75k",IF(D2588&lt;100000,"$75k-$100k","$100k+")))))</x:f>
        <x:v>$75k-$100k</x:v>
      </x:c>
      <x:c r="P2588" t="str">
        <x:f>IF(E2588="","Unknown",IF(E2588&lt;10,"&lt;10",IF(E2588&lt;20,"10-&lt;20",IF(E2588&lt;25,"20-&lt;25",IF(E2588&lt;35,"25-&lt;35","35+")))))</x:f>
        <x:v>10-&lt;20</x:v>
      </x:c>
    </x:row>
    <x:row r="2589">
      <x:c r="A2589" t="str">
        <x:v>SYN0002588</x:v>
      </x:c>
      <x:c r="B2589" s="12" t="n">
        <x:v>42055</x:v>
      </x:c>
      <x:c r="C2589" s="18" t="n">
        <x:v>8165</x:v>
      </x:c>
      <x:c r="D2589" s="18" t="n">
        <x:v>46325</x:v>
      </x:c>
      <x:c r="E2589" s="18" t="n">
        <x:v>21.09</x:v>
      </x:c>
      <x:c r="F2589" s="18" t="n">
        <x:v>10.09</x:v>
      </x:c>
      <x:c r="G2589" t="n">
        <x:v>60</x:v>
      </x:c>
      <x:c r="H2589" t="str">
        <x:v>C</x:v>
      </x:c>
      <x:c r="I2589" t="str">
        <x:v>7-9 years</x:v>
      </x:c>
      <x:c r="J2589" t="str">
        <x:v>MORTGAGE</x:v>
      </x:c>
      <x:c r="K2589" t="str">
        <x:v>debt_consolidation</x:v>
      </x:c>
      <x:c r="L2589" t="n">
        <x:v>0</x:v>
      </x:c>
      <x:c r="M2589" t="n">
        <x:v>0</x:v>
      </x:c>
      <x:c r="N2589" t="str">
        <x:v>Fully Paid</x:v>
      </x:c>
      <x:c r="O2589" t="str">
        <x:f>IF(D2589="","Unknown",IF(D2589&lt;25000,"&lt;$25k",IF(D2589&lt;50000,"$25k-$50k",IF(D2589&lt;75000,"$50k-$75k",IF(D2589&lt;100000,"$75k-$100k","$100k+")))))</x:f>
        <x:v>$25k-$50k</x:v>
      </x:c>
      <x:c r="P2589" t="str">
        <x:f>IF(E2589="","Unknown",IF(E2589&lt;10,"&lt;10",IF(E2589&lt;20,"10-&lt;20",IF(E2589&lt;25,"20-&lt;25",IF(E2589&lt;35,"25-&lt;35","35+")))))</x:f>
        <x:v>20-&lt;25</x:v>
      </x:c>
    </x:row>
    <x:row r="2590">
      <x:c r="A2590" t="str">
        <x:v>SYN0002589</x:v>
      </x:c>
      <x:c r="B2590" s="12" t="n">
        <x:v>43375</x:v>
      </x:c>
      <x:c r="C2590" s="18" t="n">
        <x:v>28927</x:v>
      </x:c>
      <x:c r="D2590" s="18" t="n">
        <x:v>41062</x:v>
      </x:c>
      <x:c r="E2590" s="18" t="n">
        <x:v>20.24</x:v>
      </x:c>
      <x:c r="F2590" s="18" t="n">
        <x:v>19.1</x:v>
      </x:c>
      <x:c r="G2590" t="n">
        <x:v>60</x:v>
      </x:c>
      <x:c r="H2590" t="str">
        <x:v>E</x:v>
      </x:c>
      <x:c r="I2590" t="str">
        <x:v>1-3 years</x:v>
      </x:c>
      <x:c r="J2590" t="str">
        <x:v>RENT</x:v>
      </x:c>
      <x:c r="K2590" t="str">
        <x:v>credit_card</x:v>
      </x:c>
      <x:c r="L2590" t="n">
        <x:v>0</x:v>
      </x:c>
      <x:c r="M2590" t="n">
        <x:v>1</x:v>
      </x:c>
      <x:c r="N2590" t="str">
        <x:v>Charged Off</x:v>
      </x:c>
      <x:c r="O2590" t="str">
        <x:f>IF(D2590="","Unknown",IF(D2590&lt;25000,"&lt;$25k",IF(D2590&lt;50000,"$25k-$50k",IF(D2590&lt;75000,"$50k-$75k",IF(D2590&lt;100000,"$75k-$100k","$100k+")))))</x:f>
        <x:v>$25k-$50k</x:v>
      </x:c>
      <x:c r="P2590" t="str">
        <x:f>IF(E2590="","Unknown",IF(E2590&lt;10,"&lt;10",IF(E2590&lt;20,"10-&lt;20",IF(E2590&lt;25,"20-&lt;25",IF(E2590&lt;35,"25-&lt;35","35+")))))</x:f>
        <x:v>20-&lt;25</x:v>
      </x:c>
    </x:row>
    <x:row r="2591">
      <x:c r="A2591" t="str">
        <x:v>SYN0002590</x:v>
      </x:c>
      <x:c r="B2591" s="12" t="n">
        <x:v>41515</x:v>
      </x:c>
      <x:c r="C2591" s="18" t="n">
        <x:v>3303</x:v>
      </x:c>
      <x:c r="D2591" s="18" t="n">
        <x:v>101472</x:v>
      </x:c>
      <x:c r="E2591" s="18" t="n">
        <x:v>22.14</x:v>
      </x:c>
      <x:c r="F2591" s="18" t="n">
        <x:v>9.06</x:v>
      </x:c>
      <x:c r="G2591" t="n">
        <x:v>36</x:v>
      </x:c>
      <x:c r="H2591" t="str">
        <x:v>B</x:v>
      </x:c>
      <x:c r="I2591" t="str">
        <x:v>7-9 years</x:v>
      </x:c>
      <x:c r="J2591" t="str">
        <x:v>RENT</x:v>
      </x:c>
      <x:c r="K2591" t="str">
        <x:v>debt_consolidation</x:v>
      </x:c>
      <x:c r="L2591" t="n">
        <x:v>0</x:v>
      </x:c>
      <x:c r="M2591" t="n">
        <x:v>0</x:v>
      </x:c>
      <x:c r="N2591" t="str">
        <x:v>Fully Paid</x:v>
      </x:c>
      <x:c r="O2591" t="str">
        <x:f>IF(D2591="","Unknown",IF(D2591&lt;25000,"&lt;$25k",IF(D2591&lt;50000,"$25k-$50k",IF(D2591&lt;75000,"$50k-$75k",IF(D2591&lt;100000,"$75k-$100k","$100k+")))))</x:f>
        <x:v>$100k+</x:v>
      </x:c>
      <x:c r="P2591" t="str">
        <x:f>IF(E2591="","Unknown",IF(E2591&lt;10,"&lt;10",IF(E2591&lt;20,"10-&lt;20",IF(E2591&lt;25,"20-&lt;25",IF(E2591&lt;35,"25-&lt;35","35+")))))</x:f>
        <x:v>20-&lt;25</x:v>
      </x:c>
    </x:row>
    <x:row r="2592">
      <x:c r="A2592" t="str">
        <x:v>SYN0002591</x:v>
      </x:c>
      <x:c r="B2592" s="12" t="n">
        <x:v>42805</x:v>
      </x:c>
      <x:c r="C2592" s="18" t="n">
        <x:v>20821</x:v>
      </x:c>
      <x:c r="D2592" s="18" t="n">
        <x:v>113252</x:v>
      </x:c>
      <x:c r="E2592" s="18" t="n">
        <x:v>17.04</x:v>
      </x:c>
      <x:c r="F2592" s="18" t="n">
        <x:v>8.7</x:v>
      </x:c>
      <x:c r="G2592" t="n">
        <x:v>36</x:v>
      </x:c>
      <x:c r="H2592" t="str">
        <x:v>B</x:v>
      </x:c>
      <x:c r="I2592" t="str">
        <x:v>10+ years</x:v>
      </x:c>
      <x:c r="J2592" t="str">
        <x:v>OWN</x:v>
      </x:c>
      <x:c r="K2592" t="str">
        <x:v>debt_consolidation</x:v>
      </x:c>
      <x:c r="L2592" t="n">
        <x:v>0</x:v>
      </x:c>
      <x:c r="M2592" t="n">
        <x:v>0</x:v>
      </x:c>
      <x:c r="N2592" t="str">
        <x:v>Fully Paid</x:v>
      </x:c>
      <x:c r="O2592" t="str">
        <x:f>IF(D2592="","Unknown",IF(D2592&lt;25000,"&lt;$25k",IF(D2592&lt;50000,"$25k-$50k",IF(D2592&lt;75000,"$50k-$75k",IF(D2592&lt;100000,"$75k-$100k","$100k+")))))</x:f>
        <x:v>$100k+</x:v>
      </x:c>
      <x:c r="P2592" t="str">
        <x:f>IF(E2592="","Unknown",IF(E2592&lt;10,"&lt;10",IF(E2592&lt;20,"10-&lt;20",IF(E2592&lt;25,"20-&lt;25",IF(E2592&lt;35,"25-&lt;35","35+")))))</x:f>
        <x:v>10-&lt;20</x:v>
      </x:c>
    </x:row>
    <x:row r="2593">
      <x:c r="A2593" t="str">
        <x:v>SYN0002592</x:v>
      </x:c>
      <x:c r="B2593" s="12" t="n">
        <x:v>41545</x:v>
      </x:c>
      <x:c r="C2593" s="18" t="n">
        <x:v>19803</x:v>
      </x:c>
      <x:c r="D2593" s="18" t="n">
        <x:v>50555</x:v>
      </x:c>
      <x:c r="E2593" s="18" t="n">
        <x:v>29.27</x:v>
      </x:c>
      <x:c r="F2593" s="18" t="n">
        <x:v>9</x:v>
      </x:c>
      <x:c r="G2593" t="n">
        <x:v>36</x:v>
      </x:c>
      <x:c r="H2593" t="str">
        <x:v>B</x:v>
      </x:c>
      <x:c r="I2593" t="str">
        <x:v>1-3 years</x:v>
      </x:c>
      <x:c r="J2593" t="str">
        <x:v>RENT</x:v>
      </x:c>
      <x:c r="K2593" t="str">
        <x:v>debt_consolidation</x:v>
      </x:c>
      <x:c r="L2593" t="n">
        <x:v>1</x:v>
      </x:c>
      <x:c r="M2593" t="n">
        <x:v>0</x:v>
      </x:c>
      <x:c r="N2593" t="str">
        <x:v>Fully Paid</x:v>
      </x:c>
      <x:c r="O2593" t="str">
        <x:f>IF(D2593="","Unknown",IF(D2593&lt;25000,"&lt;$25k",IF(D2593&lt;50000,"$25k-$50k",IF(D2593&lt;75000,"$50k-$75k",IF(D2593&lt;100000,"$75k-$100k","$100k+")))))</x:f>
        <x:v>$50k-$75k</x:v>
      </x:c>
      <x:c r="P2593" t="str">
        <x:f>IF(E2593="","Unknown",IF(E2593&lt;10,"&lt;10",IF(E2593&lt;20,"10-&lt;20",IF(E2593&lt;25,"20-&lt;25",IF(E2593&lt;35,"25-&lt;35","35+")))))</x:f>
        <x:v>25-&lt;35</x:v>
      </x:c>
    </x:row>
    <x:row r="2594">
      <x:c r="A2594" t="str">
        <x:v>SYN0002593</x:v>
      </x:c>
      <x:c r="B2594" s="12" t="n">
        <x:v>43315</x:v>
      </x:c>
      <x:c r="C2594" s="18" t="n">
        <x:v>19329</x:v>
      </x:c>
      <x:c r="D2594" s="18" t="n">
        <x:v>30483</x:v>
      </x:c>
      <x:c r="E2594" s="18" t="n">
        <x:v>13.84</x:v>
      </x:c>
      <x:c r="F2594" s="18" t="n">
        <x:v>8.53</x:v>
      </x:c>
      <x:c r="G2594" t="n">
        <x:v>36</x:v>
      </x:c>
      <x:c r="H2594" t="str">
        <x:v>B</x:v>
      </x:c>
      <x:c r="I2594" t="str">
        <x:v>10+ years</x:v>
      </x:c>
      <x:c r="J2594" t="str">
        <x:v>RENT</x:v>
      </x:c>
      <x:c r="K2594" t="str">
        <x:v>home_improvement</x:v>
      </x:c>
      <x:c r="L2594" t="n">
        <x:v>0</x:v>
      </x:c>
      <x:c r="M2594" t="n">
        <x:v>0</x:v>
      </x:c>
      <x:c r="N2594" t="str">
        <x:v>Fully Paid</x:v>
      </x:c>
      <x:c r="O2594" t="str">
        <x:f>IF(D2594="","Unknown",IF(D2594&lt;25000,"&lt;$25k",IF(D2594&lt;50000,"$25k-$50k",IF(D2594&lt;75000,"$50k-$75k",IF(D2594&lt;100000,"$75k-$100k","$100k+")))))</x:f>
        <x:v>$25k-$50k</x:v>
      </x:c>
      <x:c r="P2594" t="str">
        <x:f>IF(E2594="","Unknown",IF(E2594&lt;10,"&lt;10",IF(E2594&lt;20,"10-&lt;20",IF(E2594&lt;25,"20-&lt;25",IF(E2594&lt;35,"25-&lt;35","35+")))))</x:f>
        <x:v>10-&lt;20</x:v>
      </x:c>
    </x:row>
    <x:row r="2595">
      <x:c r="A2595" t="str">
        <x:v>SYN0002594</x:v>
      </x:c>
      <x:c r="B2595" s="12" t="n">
        <x:v>42475</x:v>
      </x:c>
      <x:c r="C2595" s="18" t="n">
        <x:v>3656</x:v>
      </x:c>
      <x:c r="D2595" s="18" t="n">
        <x:v>115864</x:v>
      </x:c>
      <x:c r="E2595" s="18" t="n">
        <x:v>13.64</x:v>
      </x:c>
      <x:c r="F2595" s="18" t="n">
        <x:v>12.45</x:v>
      </x:c>
      <x:c r="G2595" t="n">
        <x:v>36</x:v>
      </x:c>
      <x:c r="H2595" t="str">
        <x:v>C</x:v>
      </x:c>
      <x:c r="I2595" t="str">
        <x:v>7-9 years</x:v>
      </x:c>
      <x:c r="J2595" t="str">
        <x:v>RENT</x:v>
      </x:c>
      <x:c r="K2595" t="str">
        <x:v>credit_card</x:v>
      </x:c>
      <x:c r="L2595" t="n">
        <x:v>1</x:v>
      </x:c>
      <x:c r="M2595" t="n">
        <x:v>0</x:v>
      </x:c>
      <x:c r="N2595" t="str">
        <x:v>Fully Paid</x:v>
      </x:c>
      <x:c r="O2595" t="str">
        <x:f>IF(D2595="","Unknown",IF(D2595&lt;25000,"&lt;$25k",IF(D2595&lt;50000,"$25k-$50k",IF(D2595&lt;75000,"$50k-$75k",IF(D2595&lt;100000,"$75k-$100k","$100k+")))))</x:f>
        <x:v>$100k+</x:v>
      </x:c>
      <x:c r="P2595" t="str">
        <x:f>IF(E2595="","Unknown",IF(E2595&lt;10,"&lt;10",IF(E2595&lt;20,"10-&lt;20",IF(E2595&lt;25,"20-&lt;25",IF(E2595&lt;35,"25-&lt;35","35+")))))</x:f>
        <x:v>10-&lt;20</x:v>
      </x:c>
    </x:row>
    <x:row r="2596">
      <x:c r="A2596" t="str">
        <x:v>SYN0002595</x:v>
      </x:c>
      <x:c r="B2596" s="12" t="n">
        <x:v>41335</x:v>
      </x:c>
      <x:c r="C2596" s="18" t="n">
        <x:v>18016</x:v>
      </x:c>
      <x:c r="D2596" s="18" t="n">
        <x:v>71317</x:v>
      </x:c>
      <x:c r="E2596" s="18" t="n">
        <x:v>13.8</x:v>
      </x:c>
      <x:c r="F2596" s="18" t="n">
        <x:v>7.6</x:v>
      </x:c>
      <x:c r="G2596" t="n">
        <x:v>36</x:v>
      </x:c>
      <x:c r="H2596" t="str">
        <x:v>A</x:v>
      </x:c>
      <x:c r="I2596" t="str">
        <x:v>10+ years</x:v>
      </x:c>
      <x:c r="J2596" t="str">
        <x:v>RENT</x:v>
      </x:c>
      <x:c r="K2596" t="str">
        <x:v>debt_consolidation</x:v>
      </x:c>
      <x:c r="L2596" t="n">
        <x:v>0</x:v>
      </x:c>
      <x:c r="M2596" t="n">
        <x:v>0</x:v>
      </x:c>
      <x:c r="N2596" t="str">
        <x:v>Fully Paid</x:v>
      </x:c>
      <x:c r="O2596" t="str">
        <x:f>IF(D2596="","Unknown",IF(D2596&lt;25000,"&lt;$25k",IF(D2596&lt;50000,"$25k-$50k",IF(D2596&lt;75000,"$50k-$75k",IF(D2596&lt;100000,"$75k-$100k","$100k+")))))</x:f>
        <x:v>$50k-$75k</x:v>
      </x:c>
      <x:c r="P2596" t="str">
        <x:f>IF(E2596="","Unknown",IF(E2596&lt;10,"&lt;10",IF(E2596&lt;20,"10-&lt;20",IF(E2596&lt;25,"20-&lt;25",IF(E2596&lt;35,"25-&lt;35","35+")))))</x:f>
        <x:v>10-&lt;20</x:v>
      </x:c>
    </x:row>
    <x:row r="2597">
      <x:c r="A2597" t="str">
        <x:v>SYN0002596</x:v>
      </x:c>
      <x:c r="B2597" s="12" t="n">
        <x:v>43165</x:v>
      </x:c>
      <x:c r="C2597" s="18" t="n">
        <x:v>7829</x:v>
      </x:c>
      <x:c r="D2597" s="18" t="n">
        <x:v>34488</x:v>
      </x:c>
      <x:c r="E2597" s="18" t="n">
        <x:v>33.65</x:v>
      </x:c>
      <x:c r="F2597" s="18" t="n">
        <x:v>13.04</x:v>
      </x:c>
      <x:c r="G2597" t="n">
        <x:v>36</x:v>
      </x:c>
      <x:c r="H2597" t="str">
        <x:v>C</x:v>
      </x:c>
      <x:c r="I2597" t="str">
        <x:v>1-3 years</x:v>
      </x:c>
      <x:c r="J2597" t="str">
        <x:v>RENT</x:v>
      </x:c>
      <x:c r="K2597" t="str">
        <x:v>home_improvement</x:v>
      </x:c>
      <x:c r="L2597" t="n">
        <x:v>0</x:v>
      </x:c>
      <x:c r="M2597" t="n">
        <x:v>0</x:v>
      </x:c>
      <x:c r="N2597" t="str">
        <x:v>Fully Paid</x:v>
      </x:c>
      <x:c r="O2597" t="str">
        <x:f>IF(D2597="","Unknown",IF(D2597&lt;25000,"&lt;$25k",IF(D2597&lt;50000,"$25k-$50k",IF(D2597&lt;75000,"$50k-$75k",IF(D2597&lt;100000,"$75k-$100k","$100k+")))))</x:f>
        <x:v>$25k-$50k</x:v>
      </x:c>
      <x:c r="P2597" t="str">
        <x:f>IF(E2597="","Unknown",IF(E2597&lt;10,"&lt;10",IF(E2597&lt;20,"10-&lt;20",IF(E2597&lt;25,"20-&lt;25",IF(E2597&lt;35,"25-&lt;35","35+")))))</x:f>
        <x:v>25-&lt;35</x:v>
      </x:c>
    </x:row>
    <x:row r="2598">
      <x:c r="A2598" t="str">
        <x:v>SYN0002597</x:v>
      </x:c>
      <x:c r="B2598" s="12" t="n">
        <x:v>42175</x:v>
      </x:c>
      <x:c r="C2598" s="18" t="n">
        <x:v>16268</x:v>
      </x:c>
      <x:c r="D2598" s="18" t="n">
        <x:v>171876</x:v>
      </x:c>
      <x:c r="E2598" s="18" t="n">
        <x:v>16.45</x:v>
      </x:c>
      <x:c r="F2598" s="18" t="n">
        <x:v>14.6</x:v>
      </x:c>
      <x:c r="G2598" t="n">
        <x:v>36</x:v>
      </x:c>
      <x:c r="H2598" t="str">
        <x:v>D</x:v>
      </x:c>
      <x:c r="I2598" t="str">
        <x:v>10+ years</x:v>
      </x:c>
      <x:c r="J2598" t="str">
        <x:v>RENT</x:v>
      </x:c>
      <x:c r="K2598" t="str">
        <x:v>other</x:v>
      </x:c>
      <x:c r="L2598" t="n">
        <x:v>0</x:v>
      </x:c>
      <x:c r="M2598" t="n">
        <x:v>0</x:v>
      </x:c>
      <x:c r="N2598" t="str">
        <x:v>Fully Paid</x:v>
      </x:c>
      <x:c r="O2598" t="str">
        <x:f>IF(D2598="","Unknown",IF(D2598&lt;25000,"&lt;$25k",IF(D2598&lt;50000,"$25k-$50k",IF(D2598&lt;75000,"$50k-$75k",IF(D2598&lt;100000,"$75k-$100k","$100k+")))))</x:f>
        <x:v>$100k+</x:v>
      </x:c>
      <x:c r="P2598" t="str">
        <x:f>IF(E2598="","Unknown",IF(E2598&lt;10,"&lt;10",IF(E2598&lt;20,"10-&lt;20",IF(E2598&lt;25,"20-&lt;25",IF(E2598&lt;35,"25-&lt;35","35+")))))</x:f>
        <x:v>10-&lt;20</x:v>
      </x:c>
    </x:row>
    <x:row r="2599">
      <x:c r="A2599" t="str">
        <x:v>SYN0002598</x:v>
      </x:c>
      <x:c r="B2599" s="12" t="n">
        <x:v>41485</x:v>
      </x:c>
      <x:c r="C2599" s="18" t="n">
        <x:v>18025</x:v>
      </x:c>
      <x:c r="D2599" s="18" t="n">
        <x:v>12000</x:v>
      </x:c>
      <x:c r="E2599" s="18" t="n">
        <x:v>10.53</x:v>
      </x:c>
      <x:c r="F2599" s="18" t="n">
        <x:v>9.52</x:v>
      </x:c>
      <x:c r="G2599" t="n">
        <x:v>36</x:v>
      </x:c>
      <x:c r="H2599" t="str">
        <x:v>C</x:v>
      </x:c>
      <x:c r="I2599" t="str">
        <x:v>1-3 years</x:v>
      </x:c>
      <x:c r="J2599" t="str">
        <x:v>RENT</x:v>
      </x:c>
      <x:c r="K2599" t="str">
        <x:v>debt_consolidation</x:v>
      </x:c>
      <x:c r="L2599" t="n">
        <x:v>0</x:v>
      </x:c>
      <x:c r="M2599" t="n">
        <x:v>0</x:v>
      </x:c>
      <x:c r="N2599" t="str">
        <x:v>Fully Paid</x:v>
      </x:c>
      <x:c r="O2599" t="str">
        <x:f>IF(D2599="","Unknown",IF(D2599&lt;25000,"&lt;$25k",IF(D2599&lt;50000,"$25k-$50k",IF(D2599&lt;75000,"$50k-$75k",IF(D2599&lt;100000,"$75k-$100k","$100k+")))))</x:f>
        <x:v>&lt;$25k</x:v>
      </x:c>
      <x:c r="P2599" t="str">
        <x:f>IF(E2599="","Unknown",IF(E2599&lt;10,"&lt;10",IF(E2599&lt;20,"10-&lt;20",IF(E2599&lt;25,"20-&lt;25",IF(E2599&lt;35,"25-&lt;35","35+")))))</x:f>
        <x:v>10-&lt;20</x:v>
      </x:c>
    </x:row>
    <x:row r="2600">
      <x:c r="A2600" t="str">
        <x:v>SYN0002599</x:v>
      </x:c>
      <x:c r="B2600" s="12" t="n">
        <x:v>43225</x:v>
      </x:c>
      <x:c r="C2600" s="18" t="n">
        <x:v>7972</x:v>
      </x:c>
      <x:c r="D2600" s="18" t="n">
        <x:v>118755</x:v>
      </x:c>
      <x:c r="E2600" s="18" t="n">
        <x:v>29.23</x:v>
      </x:c>
      <x:c r="F2600" s="18" t="n">
        <x:v>7.76</x:v>
      </x:c>
      <x:c r="G2600" t="n">
        <x:v>36</x:v>
      </x:c>
      <x:c r="H2600" t="str">
        <x:v>B</x:v>
      </x:c>
      <x:c r="I2600" t="str">
        <x:v>10+ years</x:v>
      </x:c>
      <x:c r="J2600" t="str">
        <x:v>OWN</x:v>
      </x:c>
      <x:c r="K2600" t="str">
        <x:v>debt_consolidation</x:v>
      </x:c>
      <x:c r="L2600" t="n">
        <x:v>2</x:v>
      </x:c>
      <x:c r="M2600" t="n">
        <x:v>0</x:v>
      </x:c>
      <x:c r="N2600" t="str">
        <x:v>Fully Paid</x:v>
      </x:c>
      <x:c r="O2600" t="str">
        <x:f>IF(D2600="","Unknown",IF(D2600&lt;25000,"&lt;$25k",IF(D2600&lt;50000,"$25k-$50k",IF(D2600&lt;75000,"$50k-$75k",IF(D2600&lt;100000,"$75k-$100k","$100k+")))))</x:f>
        <x:v>$100k+</x:v>
      </x:c>
      <x:c r="P2600" t="str">
        <x:f>IF(E2600="","Unknown",IF(E2600&lt;10,"&lt;10",IF(E2600&lt;20,"10-&lt;20",IF(E2600&lt;25,"20-&lt;25",IF(E2600&lt;35,"25-&lt;35","35+")))))</x:f>
        <x:v>25-&lt;35</x:v>
      </x:c>
    </x:row>
    <x:row r="2601">
      <x:c r="A2601" t="str">
        <x:v>SYN0002600</x:v>
      </x:c>
      <x:c r="B2601" s="12" t="n">
        <x:v>43255</x:v>
      </x:c>
      <x:c r="C2601" s="18" t="n">
        <x:v>13782</x:v>
      </x:c>
      <x:c r="D2601" s="18" t="n">
        <x:v>25909</x:v>
      </x:c>
      <x:c r="E2601" s="18" t="n">
        <x:v>23.64</x:v>
      </x:c>
      <x:c r="F2601" s="18" t="n">
        <x:v>22.43</x:v>
      </x:c>
      <x:c r="G2601" t="n">
        <x:v>36</x:v>
      </x:c>
      <x:c r="H2601" t="str">
        <x:v>E</x:v>
      </x:c>
      <x:c r="I2601" t="str">
        <x:v>4-6 years</x:v>
      </x:c>
      <x:c r="J2601" t="str">
        <x:v>MORTGAGE</x:v>
      </x:c>
      <x:c r="K2601" t="str">
        <x:v>other</x:v>
      </x:c>
      <x:c r="L2601" t="n">
        <x:v>0</x:v>
      </x:c>
      <x:c r="M2601" t="n">
        <x:v>0</x:v>
      </x:c>
      <x:c r="N2601" t="str">
        <x:v>Fully Paid</x:v>
      </x:c>
      <x:c r="O2601" t="str">
        <x:f>IF(D2601="","Unknown",IF(D2601&lt;25000,"&lt;$25k",IF(D2601&lt;50000,"$25k-$50k",IF(D2601&lt;75000,"$50k-$75k",IF(D2601&lt;100000,"$75k-$100k","$100k+")))))</x:f>
        <x:v>$25k-$50k</x:v>
      </x:c>
      <x:c r="P2601" t="str">
        <x:f>IF(E2601="","Unknown",IF(E2601&lt;10,"&lt;10",IF(E2601&lt;20,"10-&lt;20",IF(E2601&lt;25,"20-&lt;25",IF(E2601&lt;35,"25-&lt;35","35+")))))</x:f>
        <x:v>20-&lt;25</x:v>
      </x:c>
    </x:row>
    <x:row r="2602">
      <x:c r="A2602" t="str">
        <x:v>SYN0002601</x:v>
      </x:c>
      <x:c r="B2602" s="12" t="n">
        <x:v>42985</x:v>
      </x:c>
      <x:c r="C2602" s="18" t="n">
        <x:v>6559</x:v>
      </x:c>
      <x:c r="D2602" s="18" t="n">
        <x:v>56124</x:v>
      </x:c>
      <x:c r="E2602" s="18" t="n">
        <x:v>12.28</x:v>
      </x:c>
      <x:c r="F2602" s="18" t="n">
        <x:v>11.98</x:v>
      </x:c>
      <x:c r="G2602" t="n">
        <x:v>36</x:v>
      </x:c>
      <x:c r="H2602" t="str">
        <x:v>B</x:v>
      </x:c>
      <x:c r="I2602" t="str">
        <x:v>1-3 years</x:v>
      </x:c>
      <x:c r="J2602" t="str">
        <x:v>MORTGAGE</x:v>
      </x:c>
      <x:c r="K2602" t="str">
        <x:v>debt_consolidation</x:v>
      </x:c>
      <x:c r="L2602" t="n">
        <x:v>0</x:v>
      </x:c>
      <x:c r="M2602" t="n">
        <x:v>1</x:v>
      </x:c>
      <x:c r="N2602" t="str">
        <x:v>Charged Off</x:v>
      </x:c>
      <x:c r="O2602" t="str">
        <x:f>IF(D2602="","Unknown",IF(D2602&lt;25000,"&lt;$25k",IF(D2602&lt;50000,"$25k-$50k",IF(D2602&lt;75000,"$50k-$75k",IF(D2602&lt;100000,"$75k-$100k","$100k+")))))</x:f>
        <x:v>$50k-$75k</x:v>
      </x:c>
      <x:c r="P2602" t="str">
        <x:f>IF(E2602="","Unknown",IF(E2602&lt;10,"&lt;10",IF(E2602&lt;20,"10-&lt;20",IF(E2602&lt;25,"20-&lt;25",IF(E2602&lt;35,"25-&lt;35","35+")))))</x:f>
        <x:v>10-&lt;20</x:v>
      </x:c>
    </x:row>
    <x:row r="2603">
      <x:c r="A2603" t="str">
        <x:v>SYN0002602</x:v>
      </x:c>
      <x:c r="B2603" s="12" t="n">
        <x:v>42055</x:v>
      </x:c>
      <x:c r="C2603" s="18" t="n">
        <x:v>18296</x:v>
      </x:c>
      <x:c r="D2603" s="18" t="n">
        <x:v>31133</x:v>
      </x:c>
      <x:c r="E2603" s="18" t="n">
        <x:v>20.44</x:v>
      </x:c>
      <x:c r="F2603" s="18" t="n">
        <x:v>9.66</x:v>
      </x:c>
      <x:c r="G2603" t="n">
        <x:v>36</x:v>
      </x:c>
      <x:c r="H2603" t="str">
        <x:v>A</x:v>
      </x:c>
      <x:c r="I2603" t="str">
        <x:v>10+ years</x:v>
      </x:c>
      <x:c r="J2603" t="str">
        <x:v>MORTGAGE</x:v>
      </x:c>
      <x:c r="K2603" t="str">
        <x:v>other</x:v>
      </x:c>
      <x:c r="L2603" t="n">
        <x:v>0</x:v>
      </x:c>
      <x:c r="M2603" t="n">
        <x:v>1</x:v>
      </x:c>
      <x:c r="N2603" t="str">
        <x:v>Charged Off</x:v>
      </x:c>
      <x:c r="O2603" t="str">
        <x:f>IF(D2603="","Unknown",IF(D2603&lt;25000,"&lt;$25k",IF(D2603&lt;50000,"$25k-$50k",IF(D2603&lt;75000,"$50k-$75k",IF(D2603&lt;100000,"$75k-$100k","$100k+")))))</x:f>
        <x:v>$25k-$50k</x:v>
      </x:c>
      <x:c r="P2603" t="str">
        <x:f>IF(E2603="","Unknown",IF(E2603&lt;10,"&lt;10",IF(E2603&lt;20,"10-&lt;20",IF(E2603&lt;25,"20-&lt;25",IF(E2603&lt;35,"25-&lt;35","35+")))))</x:f>
        <x:v>20-&lt;25</x:v>
      </x:c>
    </x:row>
    <x:row r="2604">
      <x:c r="A2604" t="str">
        <x:v>SYN0002603</x:v>
      </x:c>
      <x:c r="B2604" s="12" t="n">
        <x:v>42925</x:v>
      </x:c>
      <x:c r="C2604" s="18" t="n">
        <x:v>11589</x:v>
      </x:c>
      <x:c r="D2604" s="18" t="n">
        <x:v>63784</x:v>
      </x:c>
      <x:c r="E2604" s="18" t="n">
        <x:v>35.23</x:v>
      </x:c>
      <x:c r="F2604" s="18" t="n">
        <x:v>11.64</x:v>
      </x:c>
      <x:c r="G2604" t="n">
        <x:v>60</x:v>
      </x:c>
      <x:c r="H2604" t="str">
        <x:v>C</x:v>
      </x:c>
      <x:c r="I2604" t="str">
        <x:v>10+ years</x:v>
      </x:c>
      <x:c r="J2604" t="str">
        <x:v>RENT</x:v>
      </x:c>
      <x:c r="K2604" t="str">
        <x:v>home_improvement</x:v>
      </x:c>
      <x:c r="L2604" t="n">
        <x:v>0</x:v>
      </x:c>
      <x:c r="M2604" t="n">
        <x:v>0</x:v>
      </x:c>
      <x:c r="N2604" t="str">
        <x:v>Fully Paid</x:v>
      </x:c>
      <x:c r="O2604" t="str">
        <x:f>IF(D2604="","Unknown",IF(D2604&lt;25000,"&lt;$25k",IF(D2604&lt;50000,"$25k-$50k",IF(D2604&lt;75000,"$50k-$75k",IF(D2604&lt;100000,"$75k-$100k","$100k+")))))</x:f>
        <x:v>$50k-$75k</x:v>
      </x:c>
      <x:c r="P2604" t="str">
        <x:f>IF(E2604="","Unknown",IF(E2604&lt;10,"&lt;10",IF(E2604&lt;20,"10-&lt;20",IF(E2604&lt;25,"20-&lt;25",IF(E2604&lt;35,"25-&lt;35","35+")))))</x:f>
        <x:v>35+</x:v>
      </x:c>
    </x:row>
    <x:row r="2605">
      <x:c r="A2605" t="str">
        <x:v>SYN0002604</x:v>
      </x:c>
      <x:c r="B2605" s="12" t="n">
        <x:v>43165</x:v>
      </x:c>
      <x:c r="C2605" s="18" t="n">
        <x:v>14893</x:v>
      </x:c>
      <x:c r="D2605" s="18" t="n">
        <x:v>56497</x:v>
      </x:c>
      <x:c r="E2605" s="18" t="n">
        <x:v>33.19</x:v>
      </x:c>
      <x:c r="F2605" s="18" t="n">
        <x:v>20.03</x:v>
      </x:c>
      <x:c r="G2605" t="n">
        <x:v>36</x:v>
      </x:c>
      <x:c r="H2605" t="str">
        <x:v>F</x:v>
      </x:c>
      <x:c r="I2605" t="str">
        <x:v>10+ years</x:v>
      </x:c>
      <x:c r="J2605" t="str">
        <x:v>MORTGAGE</x:v>
      </x:c>
      <x:c r="K2605" t="str">
        <x:v>credit_card</x:v>
      </x:c>
      <x:c r="L2605" t="n">
        <x:v>0</x:v>
      </x:c>
      <x:c r="M2605" t="n">
        <x:v>0</x:v>
      </x:c>
      <x:c r="N2605" t="str">
        <x:v>Fully Paid</x:v>
      </x:c>
      <x:c r="O2605" t="str">
        <x:f>IF(D2605="","Unknown",IF(D2605&lt;25000,"&lt;$25k",IF(D2605&lt;50000,"$25k-$50k",IF(D2605&lt;75000,"$50k-$75k",IF(D2605&lt;100000,"$75k-$100k","$100k+")))))</x:f>
        <x:v>$50k-$75k</x:v>
      </x:c>
      <x:c r="P2605" t="str">
        <x:f>IF(E2605="","Unknown",IF(E2605&lt;10,"&lt;10",IF(E2605&lt;20,"10-&lt;20",IF(E2605&lt;25,"20-&lt;25",IF(E2605&lt;35,"25-&lt;35","35+")))))</x:f>
        <x:v>25-&lt;35</x:v>
      </x:c>
    </x:row>
    <x:row r="2606">
      <x:c r="A2606" t="str">
        <x:v>SYN0002605</x:v>
      </x:c>
      <x:c r="B2606" s="12" t="n">
        <x:v>41755</x:v>
      </x:c>
      <x:c r="C2606" s="18" t="n">
        <x:v>17228</x:v>
      </x:c>
      <x:c r="D2606" s="18" t="n">
        <x:v>71463</x:v>
      </x:c>
      <x:c r="E2606" s="18" t="n">
        <x:v>26.31</x:v>
      </x:c>
      <x:c r="F2606" s="18" t="n">
        <x:v>13.82</x:v>
      </x:c>
      <x:c r="G2606" t="n">
        <x:v>36</x:v>
      </x:c>
      <x:c r="H2606" t="str">
        <x:v>D</x:v>
      </x:c>
      <x:c r="I2606" t="str">
        <x:v>1-3 years</x:v>
      </x:c>
      <x:c r="J2606" t="str">
        <x:v>MORTGAGE</x:v>
      </x:c>
      <x:c r="K2606" t="str">
        <x:v>debt_consolidation</x:v>
      </x:c>
      <x:c r="L2606" t="n">
        <x:v>0</x:v>
      </x:c>
      <x:c r="M2606" t="n">
        <x:v>1</x:v>
      </x:c>
      <x:c r="N2606" t="str">
        <x:v>Charged Off</x:v>
      </x:c>
      <x:c r="O2606" t="str">
        <x:f>IF(D2606="","Unknown",IF(D2606&lt;25000,"&lt;$25k",IF(D2606&lt;50000,"$25k-$50k",IF(D2606&lt;75000,"$50k-$75k",IF(D2606&lt;100000,"$75k-$100k","$100k+")))))</x:f>
        <x:v>$50k-$75k</x:v>
      </x:c>
      <x:c r="P2606" t="str">
        <x:f>IF(E2606="","Unknown",IF(E2606&lt;10,"&lt;10",IF(E2606&lt;20,"10-&lt;20",IF(E2606&lt;25,"20-&lt;25",IF(E2606&lt;35,"25-&lt;35","35+")))))</x:f>
        <x:v>25-&lt;35</x:v>
      </x:c>
    </x:row>
    <x:row r="2607">
      <x:c r="A2607" t="str">
        <x:v>SYN0002606</x:v>
      </x:c>
      <x:c r="B2607" s="12" t="n">
        <x:v>42115</x:v>
      </x:c>
      <x:c r="C2607" s="18" t="n">
        <x:v>12191</x:v>
      </x:c>
      <x:c r="D2607" s="18" t="n">
        <x:v>92342</x:v>
      </x:c>
      <x:c r="E2607" s="18" t="n">
        <x:v>28.16</x:v>
      </x:c>
      <x:c r="F2607" s="18" t="n">
        <x:v>9.79</x:v>
      </x:c>
      <x:c r="G2607" t="n">
        <x:v>36</x:v>
      </x:c>
      <x:c r="H2607" t="str">
        <x:v>B</x:v>
      </x:c>
      <x:c r="I2607" t="str">
        <x:v>4-6 years</x:v>
      </x:c>
      <x:c r="J2607" t="str">
        <x:v>RENT</x:v>
      </x:c>
      <x:c r="K2607" t="str">
        <x:v>debt_consolidation</x:v>
      </x:c>
      <x:c r="L2607" t="n">
        <x:v>0</x:v>
      </x:c>
      <x:c r="M2607" t="n">
        <x:v>0</x:v>
      </x:c>
      <x:c r="N2607" t="str">
        <x:v>Fully Paid</x:v>
      </x:c>
      <x:c r="O2607" t="str">
        <x:f>IF(D2607="","Unknown",IF(D2607&lt;25000,"&lt;$25k",IF(D2607&lt;50000,"$25k-$50k",IF(D2607&lt;75000,"$50k-$75k",IF(D2607&lt;100000,"$75k-$100k","$100k+")))))</x:f>
        <x:v>$75k-$100k</x:v>
      </x:c>
      <x:c r="P2607" t="str">
        <x:f>IF(E2607="","Unknown",IF(E2607&lt;10,"&lt;10",IF(E2607&lt;20,"10-&lt;20",IF(E2607&lt;25,"20-&lt;25",IF(E2607&lt;35,"25-&lt;35","35+")))))</x:f>
        <x:v>25-&lt;35</x:v>
      </x:c>
    </x:row>
    <x:row r="2608">
      <x:c r="A2608" t="str">
        <x:v>SYN0002607</x:v>
      </x:c>
      <x:c r="B2608" s="12" t="n">
        <x:v>41515</x:v>
      </x:c>
      <x:c r="C2608" s="18" t="n">
        <x:v>12188</x:v>
      </x:c>
      <x:c r="D2608" s="18" t="n">
        <x:v>40637</x:v>
      </x:c>
      <x:c r="E2608" s="18" t="n">
        <x:v>17.65</x:v>
      </x:c>
      <x:c r="F2608" s="18" t="n">
        <x:v>14.18</x:v>
      </x:c>
      <x:c r="G2608" t="n">
        <x:v>36</x:v>
      </x:c>
      <x:c r="H2608" t="str">
        <x:v>D</x:v>
      </x:c>
      <x:c r="I2608" t="str">
        <x:v>4-6 years</x:v>
      </x:c>
      <x:c r="J2608" t="str">
        <x:v>MORTGAGE</x:v>
      </x:c>
      <x:c r="K2608" t="str">
        <x:v>debt_consolidation</x:v>
      </x:c>
      <x:c r="L2608" t="n">
        <x:v>0</x:v>
      </x:c>
      <x:c r="M2608" t="n">
        <x:v>0</x:v>
      </x:c>
      <x:c r="N2608" t="str">
        <x:v>Fully Paid</x:v>
      </x:c>
      <x:c r="O2608" t="str">
        <x:f>IF(D2608="","Unknown",IF(D2608&lt;25000,"&lt;$25k",IF(D2608&lt;50000,"$25k-$50k",IF(D2608&lt;75000,"$50k-$75k",IF(D2608&lt;100000,"$75k-$100k","$100k+")))))</x:f>
        <x:v>$25k-$50k</x:v>
      </x:c>
      <x:c r="P2608" t="str">
        <x:f>IF(E2608="","Unknown",IF(E2608&lt;10,"&lt;10",IF(E2608&lt;20,"10-&lt;20",IF(E2608&lt;25,"20-&lt;25",IF(E2608&lt;35,"25-&lt;35","35+")))))</x:f>
        <x:v>10-&lt;20</x:v>
      </x:c>
    </x:row>
    <x:row r="2609">
      <x:c r="A2609" t="str">
        <x:v>SYN0002608</x:v>
      </x:c>
      <x:c r="B2609" s="12" t="n">
        <x:v>42655</x:v>
      </x:c>
      <x:c r="C2609" s="18" t="n">
        <x:v>22566</x:v>
      </x:c>
      <x:c r="D2609" s="18" t="n">
        <x:v>22407</x:v>
      </x:c>
      <x:c r="E2609" s="18" t="n">
        <x:v>46.18</x:v>
      </x:c>
      <x:c r="F2609" s="18" t="n">
        <x:v>22.36</x:v>
      </x:c>
      <x:c r="G2609" t="n">
        <x:v>36</x:v>
      </x:c>
      <x:c r="H2609" t="str">
        <x:v>F</x:v>
      </x:c>
      <x:c r="I2609" t="str">
        <x:v>4-6 years</x:v>
      </x:c>
      <x:c r="J2609" t="str">
        <x:v>RENT</x:v>
      </x:c>
      <x:c r="K2609" t="str">
        <x:v>debt_consolidation</x:v>
      </x:c>
      <x:c r="L2609" t="n">
        <x:v>0</x:v>
      </x:c>
      <x:c r="M2609" t="n">
        <x:v>0</x:v>
      </x:c>
      <x:c r="N2609" t="str">
        <x:v>Fully Paid</x:v>
      </x:c>
      <x:c r="O2609" t="str">
        <x:f>IF(D2609="","Unknown",IF(D2609&lt;25000,"&lt;$25k",IF(D2609&lt;50000,"$25k-$50k",IF(D2609&lt;75000,"$50k-$75k",IF(D2609&lt;100000,"$75k-$100k","$100k+")))))</x:f>
        <x:v>&lt;$25k</x:v>
      </x:c>
      <x:c r="P2609" t="str">
        <x:f>IF(E2609="","Unknown",IF(E2609&lt;10,"&lt;10",IF(E2609&lt;20,"10-&lt;20",IF(E2609&lt;25,"20-&lt;25",IF(E2609&lt;35,"25-&lt;35","35+")))))</x:f>
        <x:v>35+</x:v>
      </x:c>
    </x:row>
    <x:row r="2610">
      <x:c r="A2610" t="str">
        <x:v>SYN0002609</x:v>
      </x:c>
      <x:c r="B2610" s="12" t="n">
        <x:v>42385</x:v>
      </x:c>
      <x:c r="C2610" s="18" t="n">
        <x:v>14624</x:v>
      </x:c>
      <x:c r="D2610" s="18" t="n">
        <x:v>108325</x:v>
      </x:c>
      <x:c r="E2610" s="18" t="n">
        <x:v>23.88</x:v>
      </x:c>
      <x:c r="F2610" s="18" t="n">
        <x:v>7.62</x:v>
      </x:c>
      <x:c r="G2610" t="n">
        <x:v>36</x:v>
      </x:c>
      <x:c r="H2610" t="str">
        <x:v>C</x:v>
      </x:c>
      <x:c r="I2610" t="str">
        <x:v>10+ years</x:v>
      </x:c>
      <x:c r="J2610" t="str">
        <x:v>OWN</x:v>
      </x:c>
      <x:c r="K2610" t="str">
        <x:v>debt_consolidation</x:v>
      </x:c>
      <x:c r="L2610" t="n">
        <x:v>0</x:v>
      </x:c>
      <x:c r="M2610" t="n">
        <x:v>0</x:v>
      </x:c>
      <x:c r="N2610" t="str">
        <x:v>Fully Paid</x:v>
      </x:c>
      <x:c r="O2610" t="str">
        <x:f>IF(D2610="","Unknown",IF(D2610&lt;25000,"&lt;$25k",IF(D2610&lt;50000,"$25k-$50k",IF(D2610&lt;75000,"$50k-$75k",IF(D2610&lt;100000,"$75k-$100k","$100k+")))))</x:f>
        <x:v>$100k+</x:v>
      </x:c>
      <x:c r="P2610" t="str">
        <x:f>IF(E2610="","Unknown",IF(E2610&lt;10,"&lt;10",IF(E2610&lt;20,"10-&lt;20",IF(E2610&lt;25,"20-&lt;25",IF(E2610&lt;35,"25-&lt;35","35+")))))</x:f>
        <x:v>20-&lt;25</x:v>
      </x:c>
    </x:row>
    <x:row r="2611">
      <x:c r="A2611" t="str">
        <x:v>SYN0002610</x:v>
      </x:c>
      <x:c r="B2611" s="12" t="n">
        <x:v>41725</x:v>
      </x:c>
      <x:c r="C2611" s="18" t="n">
        <x:v>19320</x:v>
      </x:c>
      <x:c r="D2611" s="18" t="n">
        <x:v>13967</x:v>
      </x:c>
      <x:c r="E2611" s="18" t="n">
        <x:v>14.95</x:v>
      </x:c>
      <x:c r="F2611" s="18" t="n">
        <x:v>10.97</x:v>
      </x:c>
      <x:c r="G2611" t="n">
        <x:v>60</x:v>
      </x:c>
      <x:c r="H2611" t="str">
        <x:v>B</x:v>
      </x:c>
      <x:c r="I2611" t="str">
        <x:v>7-9 years</x:v>
      </x:c>
      <x:c r="J2611" t="str">
        <x:v>MORTGAGE</x:v>
      </x:c>
      <x:c r="K2611" t="str">
        <x:v>credit_card</x:v>
      </x:c>
      <x:c r="L2611" t="n">
        <x:v>0</x:v>
      </x:c>
      <x:c r="M2611" t="n">
        <x:v>0</x:v>
      </x:c>
      <x:c r="N2611" t="str">
        <x:v>Fully Paid</x:v>
      </x:c>
      <x:c r="O2611" t="str">
        <x:f>IF(D2611="","Unknown",IF(D2611&lt;25000,"&lt;$25k",IF(D2611&lt;50000,"$25k-$50k",IF(D2611&lt;75000,"$50k-$75k",IF(D2611&lt;100000,"$75k-$100k","$100k+")))))</x:f>
        <x:v>&lt;$25k</x:v>
      </x:c>
      <x:c r="P2611" t="str">
        <x:f>IF(E2611="","Unknown",IF(E2611&lt;10,"&lt;10",IF(E2611&lt;20,"10-&lt;20",IF(E2611&lt;25,"20-&lt;25",IF(E2611&lt;35,"25-&lt;35","35+")))))</x:f>
        <x:v>10-&lt;20</x:v>
      </x:c>
    </x:row>
    <x:row r="2612">
      <x:c r="A2612" t="str">
        <x:v>SYN0002611</x:v>
      </x:c>
      <x:c r="B2612" s="12" t="n">
        <x:v>42475</x:v>
      </x:c>
      <x:c r="C2612" s="18" t="n">
        <x:v>15400</x:v>
      </x:c>
      <x:c r="D2612" s="18" t="n">
        <x:v>44913</x:v>
      </x:c>
      <x:c r="E2612" s="18" t="n">
        <x:v>15.32</x:v>
      </x:c>
      <x:c r="F2612" s="18" t="n">
        <x:v>15.96</x:v>
      </x:c>
      <x:c r="G2612" t="n">
        <x:v>60</x:v>
      </x:c>
      <x:c r="H2612" t="str">
        <x:v>E</x:v>
      </x:c>
      <x:c r="I2612" t="str">
        <x:v>1-3 years</x:v>
      </x:c>
      <x:c r="J2612" t="str">
        <x:v>OTHER</x:v>
      </x:c>
      <x:c r="K2612" t="str">
        <x:v>credit_card</x:v>
      </x:c>
      <x:c r="L2612" t="n">
        <x:v>0</x:v>
      </x:c>
      <x:c r="M2612" t="n">
        <x:v>0</x:v>
      </x:c>
      <x:c r="N2612" t="str">
        <x:v>Fully Paid</x:v>
      </x:c>
      <x:c r="O2612" t="str">
        <x:f>IF(D2612="","Unknown",IF(D2612&lt;25000,"&lt;$25k",IF(D2612&lt;50000,"$25k-$50k",IF(D2612&lt;75000,"$50k-$75k",IF(D2612&lt;100000,"$75k-$100k","$100k+")))))</x:f>
        <x:v>$25k-$50k</x:v>
      </x:c>
      <x:c r="P2612" t="str">
        <x:f>IF(E2612="","Unknown",IF(E2612&lt;10,"&lt;10",IF(E2612&lt;20,"10-&lt;20",IF(E2612&lt;25,"20-&lt;25",IF(E2612&lt;35,"25-&lt;35","35+")))))</x:f>
        <x:v>10-&lt;20</x:v>
      </x:c>
    </x:row>
    <x:row r="2613">
      <x:c r="A2613" t="str">
        <x:v>SYN0002612</x:v>
      </x:c>
      <x:c r="B2613" s="12" t="n">
        <x:v>42415</x:v>
      </x:c>
      <x:c r="C2613" s="18" t="n">
        <x:v>22187</x:v>
      </x:c>
      <x:c r="D2613" s="18" t="n">
        <x:v>48693</x:v>
      </x:c>
      <x:c r="E2613" s="18" t="n">
        <x:v>10.98</x:v>
      </x:c>
      <x:c r="F2613" s="18" t="n">
        <x:v>7.65</x:v>
      </x:c>
      <x:c r="G2613" t="n">
        <x:v>36</x:v>
      </x:c>
      <x:c r="H2613" t="str">
        <x:v>B</x:v>
      </x:c>
      <x:c r="I2613" t="str">
        <x:v>&lt;1 year</x:v>
      </x:c>
      <x:c r="J2613" t="str">
        <x:v>MORTGAGE</x:v>
      </x:c>
      <x:c r="K2613" t="str">
        <x:v>debt_consolidation</x:v>
      </x:c>
      <x:c r="L2613" t="n">
        <x:v>1</x:v>
      </x:c>
      <x:c r="M2613" t="n">
        <x:v>0</x:v>
      </x:c>
      <x:c r="N2613" t="str">
        <x:v>Fully Paid</x:v>
      </x:c>
      <x:c r="O2613" t="str">
        <x:f>IF(D2613="","Unknown",IF(D2613&lt;25000,"&lt;$25k",IF(D2613&lt;50000,"$25k-$50k",IF(D2613&lt;75000,"$50k-$75k",IF(D2613&lt;100000,"$75k-$100k","$100k+")))))</x:f>
        <x:v>$25k-$50k</x:v>
      </x:c>
      <x:c r="P2613" t="str">
        <x:f>IF(E2613="","Unknown",IF(E2613&lt;10,"&lt;10",IF(E2613&lt;20,"10-&lt;20",IF(E2613&lt;25,"20-&lt;25",IF(E2613&lt;35,"25-&lt;35","35+")))))</x:f>
        <x:v>10-&lt;20</x:v>
      </x:c>
    </x:row>
    <x:row r="2614">
      <x:c r="A2614" t="str">
        <x:v>SYN0002613</x:v>
      </x:c>
      <x:c r="B2614" s="12" t="n">
        <x:v>42895</x:v>
      </x:c>
      <x:c r="C2614" s="18" t="n">
        <x:v>25984</x:v>
      </x:c>
      <x:c r="D2614" s="18" t="n">
        <x:v>21526</x:v>
      </x:c>
      <x:c r="E2614" s="18" t="n">
        <x:v>21.02</x:v>
      </x:c>
      <x:c r="F2614" s="18" t="n">
        <x:v>10.68</x:v>
      </x:c>
      <x:c r="G2614" t="n">
        <x:v>36</x:v>
      </x:c>
      <x:c r="H2614" t="str">
        <x:v>B</x:v>
      </x:c>
      <x:c r="I2614" t="str">
        <x:v>7-9 years</x:v>
      </x:c>
      <x:c r="J2614" t="str">
        <x:v>RENT</x:v>
      </x:c>
      <x:c r="K2614" t="str">
        <x:v>debt_consolidation</x:v>
      </x:c>
      <x:c r="L2614" t="n">
        <x:v>0</x:v>
      </x:c>
      <x:c r="M2614" t="n">
        <x:v>0</x:v>
      </x:c>
      <x:c r="N2614" t="str">
        <x:v>Fully Paid</x:v>
      </x:c>
      <x:c r="O2614" t="str">
        <x:f>IF(D2614="","Unknown",IF(D2614&lt;25000,"&lt;$25k",IF(D2614&lt;50000,"$25k-$50k",IF(D2614&lt;75000,"$50k-$75k",IF(D2614&lt;100000,"$75k-$100k","$100k+")))))</x:f>
        <x:v>&lt;$25k</x:v>
      </x:c>
      <x:c r="P2614" t="str">
        <x:f>IF(E2614="","Unknown",IF(E2614&lt;10,"&lt;10",IF(E2614&lt;20,"10-&lt;20",IF(E2614&lt;25,"20-&lt;25",IF(E2614&lt;35,"25-&lt;35","35+")))))</x:f>
        <x:v>20-&lt;25</x:v>
      </x:c>
    </x:row>
    <x:row r="2615">
      <x:c r="A2615" t="str">
        <x:v>SYN0002614</x:v>
      </x:c>
      <x:c r="B2615" s="12" t="n">
        <x:v>41755</x:v>
      </x:c>
      <x:c r="C2615" s="18" t="n">
        <x:v>10210</x:v>
      </x:c>
      <x:c r="D2615" s="18" t="n">
        <x:v>101893</x:v>
      </x:c>
      <x:c r="E2615" s="18" t="n">
        <x:v>22.04</x:v>
      </x:c>
      <x:c r="F2615" s="18" t="n">
        <x:v>8.8</x:v>
      </x:c>
      <x:c r="G2615" t="n">
        <x:v>36</x:v>
      </x:c>
      <x:c r="H2615" t="str">
        <x:v>B</x:v>
      </x:c>
      <x:c r="I2615" t="str">
        <x:v>10+ years</x:v>
      </x:c>
      <x:c r="J2615" t="str">
        <x:v>RENT</x:v>
      </x:c>
      <x:c r="K2615" t="str">
        <x:v>debt_consolidation</x:v>
      </x:c>
      <x:c r="L2615" t="n">
        <x:v>0</x:v>
      </x:c>
      <x:c r="M2615" t="n">
        <x:v>0</x:v>
      </x:c>
      <x:c r="N2615" t="str">
        <x:v>Fully Paid</x:v>
      </x:c>
      <x:c r="O2615" t="str">
        <x:f>IF(D2615="","Unknown",IF(D2615&lt;25000,"&lt;$25k",IF(D2615&lt;50000,"$25k-$50k",IF(D2615&lt;75000,"$50k-$75k",IF(D2615&lt;100000,"$75k-$100k","$100k+")))))</x:f>
        <x:v>$100k+</x:v>
      </x:c>
      <x:c r="P2615" t="str">
        <x:f>IF(E2615="","Unknown",IF(E2615&lt;10,"&lt;10",IF(E2615&lt;20,"10-&lt;20",IF(E2615&lt;25,"20-&lt;25",IF(E2615&lt;35,"25-&lt;35","35+")))))</x:f>
        <x:v>20-&lt;25</x:v>
      </x:c>
    </x:row>
    <x:row r="2616">
      <x:c r="A2616" t="str">
        <x:v>SYN0002615</x:v>
      </x:c>
      <x:c r="B2616" s="12" t="n">
        <x:v>41845</x:v>
      </x:c>
      <x:c r="C2616" s="18" t="n">
        <x:v>11058</x:v>
      </x:c>
      <x:c r="D2616" s="18" t="n">
        <x:v>79499</x:v>
      </x:c>
      <x:c r="E2616" s="18" t="n">
        <x:v>18.28</x:v>
      </x:c>
      <x:c r="F2616" s="18" t="n">
        <x:v>19.78</x:v>
      </x:c>
      <x:c r="G2616" t="n">
        <x:v>36</x:v>
      </x:c>
      <x:c r="H2616" t="str">
        <x:v>F</x:v>
      </x:c>
      <x:c r="I2616" t="str">
        <x:v>10+ years</x:v>
      </x:c>
      <x:c r="J2616" t="str">
        <x:v>RENT</x:v>
      </x:c>
      <x:c r="K2616" t="str">
        <x:v>debt_consolidation</x:v>
      </x:c>
      <x:c r="L2616" t="n">
        <x:v>0</x:v>
      </x:c>
      <x:c r="M2616" t="n">
        <x:v>0</x:v>
      </x:c>
      <x:c r="N2616" t="str">
        <x:v>Fully Paid</x:v>
      </x:c>
      <x:c r="O2616" t="str">
        <x:f>IF(D2616="","Unknown",IF(D2616&lt;25000,"&lt;$25k",IF(D2616&lt;50000,"$25k-$50k",IF(D2616&lt;75000,"$50k-$75k",IF(D2616&lt;100000,"$75k-$100k","$100k+")))))</x:f>
        <x:v>$75k-$100k</x:v>
      </x:c>
      <x:c r="P2616" t="str">
        <x:f>IF(E2616="","Unknown",IF(E2616&lt;10,"&lt;10",IF(E2616&lt;20,"10-&lt;20",IF(E2616&lt;25,"20-&lt;25",IF(E2616&lt;35,"25-&lt;35","35+")))))</x:f>
        <x:v>10-&lt;20</x:v>
      </x:c>
    </x:row>
    <x:row r="2617">
      <x:c r="A2617" t="str">
        <x:v>SYN0002616</x:v>
      </x:c>
      <x:c r="B2617" s="12" t="n">
        <x:v>43195</x:v>
      </x:c>
      <x:c r="C2617" s="18" t="n">
        <x:v>10026</x:v>
      </x:c>
      <x:c r="D2617" s="18" t="n">
        <x:v>81336</x:v>
      </x:c>
      <x:c r="E2617" s="18" t="n">
        <x:v>21.39</x:v>
      </x:c>
      <x:c r="F2617" s="18" t="n">
        <x:v>17.58</x:v>
      </x:c>
      <x:c r="G2617" t="n">
        <x:v>60</x:v>
      </x:c>
      <x:c r="H2617" t="str">
        <x:v>E</x:v>
      </x:c>
      <x:c r="I2617" t="str">
        <x:v>&lt;1 year</x:v>
      </x:c>
      <x:c r="J2617" t="str">
        <x:v>MORTGAGE</x:v>
      </x:c>
      <x:c r="K2617" t="str">
        <x:v>other</x:v>
      </x:c>
      <x:c r="L2617" t="n">
        <x:v>1</x:v>
      </x:c>
      <x:c r="M2617" t="n">
        <x:v>0</x:v>
      </x:c>
      <x:c r="N2617" t="str">
        <x:v>Fully Paid</x:v>
      </x:c>
      <x:c r="O2617" t="str">
        <x:f>IF(D2617="","Unknown",IF(D2617&lt;25000,"&lt;$25k",IF(D2617&lt;50000,"$25k-$50k",IF(D2617&lt;75000,"$50k-$75k",IF(D2617&lt;100000,"$75k-$100k","$100k+")))))</x:f>
        <x:v>$75k-$100k</x:v>
      </x:c>
      <x:c r="P2617" t="str">
        <x:f>IF(E2617="","Unknown",IF(E2617&lt;10,"&lt;10",IF(E2617&lt;20,"10-&lt;20",IF(E2617&lt;25,"20-&lt;25",IF(E2617&lt;35,"25-&lt;35","35+")))))</x:f>
        <x:v>20-&lt;25</x:v>
      </x:c>
    </x:row>
    <x:row r="2618">
      <x:c r="A2618" t="str">
        <x:v>SYN0002617</x:v>
      </x:c>
      <x:c r="B2618" s="12" t="n">
        <x:v>42685</x:v>
      </x:c>
      <x:c r="C2618" s="18" t="n">
        <x:v>15963</x:v>
      </x:c>
      <x:c r="D2618" s="18" t="n">
        <x:v>69866</x:v>
      </x:c>
      <x:c r="E2618" s="18" t="n">
        <x:v>4.91</x:v>
      </x:c>
      <x:c r="F2618" s="18" t="n">
        <x:v>8.17</x:v>
      </x:c>
      <x:c r="G2618" t="n">
        <x:v>60</x:v>
      </x:c>
      <x:c r="H2618" t="str">
        <x:v>A</x:v>
      </x:c>
      <x:c r="I2618" t="str">
        <x:v>7-9 years</x:v>
      </x:c>
      <x:c r="J2618" t="str">
        <x:v>RENT</x:v>
      </x:c>
      <x:c r="K2618" t="str">
        <x:v>other</x:v>
      </x:c>
      <x:c r="L2618" t="n">
        <x:v>0</x:v>
      </x:c>
      <x:c r="M2618" t="n">
        <x:v>0</x:v>
      </x:c>
      <x:c r="N2618" t="str">
        <x:v>Fully Paid</x:v>
      </x:c>
      <x:c r="O2618" t="str">
        <x:f>IF(D2618="","Unknown",IF(D2618&lt;25000,"&lt;$25k",IF(D2618&lt;50000,"$25k-$50k",IF(D2618&lt;75000,"$50k-$75k",IF(D2618&lt;100000,"$75k-$100k","$100k+")))))</x:f>
        <x:v>$50k-$75k</x:v>
      </x:c>
      <x:c r="P2618" t="str">
        <x:f>IF(E2618="","Unknown",IF(E2618&lt;10,"&lt;10",IF(E2618&lt;20,"10-&lt;20",IF(E2618&lt;25,"20-&lt;25",IF(E2618&lt;35,"25-&lt;35","35+")))))</x:f>
        <x:v>&lt;10</x:v>
      </x:c>
    </x:row>
    <x:row r="2619">
      <x:c r="A2619" t="str">
        <x:v>SYN0002618</x:v>
      </x:c>
      <x:c r="B2619" s="12" t="n">
        <x:v>42145</x:v>
      </x:c>
      <x:c r="C2619" s="18" t="n">
        <x:v>23151</x:v>
      </x:c>
      <x:c r="D2619" s="18" t="n">
        <x:v>25459</x:v>
      </x:c>
      <x:c r="E2619" s="18" t="n">
        <x:v>4.88</x:v>
      </x:c>
      <x:c r="F2619" s="18" t="n">
        <x:v>7.03</x:v>
      </x:c>
      <x:c r="G2619" t="n">
        <x:v>36</x:v>
      </x:c>
      <x:c r="H2619" t="str">
        <x:v>B</x:v>
      </x:c>
      <x:c r="I2619" t="str">
        <x:v>1-3 years</x:v>
      </x:c>
      <x:c r="J2619" t="str">
        <x:v>MORTGAGE</x:v>
      </x:c>
      <x:c r="K2619" t="str">
        <x:v>debt_consolidation</x:v>
      </x:c>
      <x:c r="L2619" t="n">
        <x:v>1</x:v>
      </x:c>
      <x:c r="M2619" t="n">
        <x:v>0</x:v>
      </x:c>
      <x:c r="N2619" t="str">
        <x:v>Fully Paid</x:v>
      </x:c>
      <x:c r="O2619" t="str">
        <x:f>IF(D2619="","Unknown",IF(D2619&lt;25000,"&lt;$25k",IF(D2619&lt;50000,"$25k-$50k",IF(D2619&lt;75000,"$50k-$75k",IF(D2619&lt;100000,"$75k-$100k","$100k+")))))</x:f>
        <x:v>$25k-$50k</x:v>
      </x:c>
      <x:c r="P2619" t="str">
        <x:f>IF(E2619="","Unknown",IF(E2619&lt;10,"&lt;10",IF(E2619&lt;20,"10-&lt;20",IF(E2619&lt;25,"20-&lt;25",IF(E2619&lt;35,"25-&lt;35","35+")))))</x:f>
        <x:v>&lt;10</x:v>
      </x:c>
    </x:row>
    <x:row r="2620">
      <x:c r="A2620" t="str">
        <x:v>SYN0002619</x:v>
      </x:c>
      <x:c r="B2620" s="12" t="n">
        <x:v>41515</x:v>
      </x:c>
      <x:c r="C2620" s="18" t="n">
        <x:v>15584</x:v>
      </x:c>
      <x:c r="D2620" s="18" t="n">
        <x:v>42151</x:v>
      </x:c>
      <x:c r="E2620" s="18" t="n">
        <x:v>17.24</x:v>
      </x:c>
      <x:c r="F2620" s="18" t="n">
        <x:v>19.69</x:v>
      </x:c>
      <x:c r="G2620" t="n">
        <x:v>60</x:v>
      </x:c>
      <x:c r="H2620" t="str">
        <x:v>D</x:v>
      </x:c>
      <x:c r="I2620" t="str">
        <x:v>10+ years</x:v>
      </x:c>
      <x:c r="J2620" t="str">
        <x:v>RENT</x:v>
      </x:c>
      <x:c r="K2620" t="str">
        <x:v>debt_consolidation</x:v>
      </x:c>
      <x:c r="L2620" t="n">
        <x:v>0</x:v>
      </x:c>
      <x:c r="M2620" t="n">
        <x:v>1</x:v>
      </x:c>
      <x:c r="N2620" t="str">
        <x:v>Charged Off</x:v>
      </x:c>
      <x:c r="O2620" t="str">
        <x:f>IF(D2620="","Unknown",IF(D2620&lt;25000,"&lt;$25k",IF(D2620&lt;50000,"$25k-$50k",IF(D2620&lt;75000,"$50k-$75k",IF(D2620&lt;100000,"$75k-$100k","$100k+")))))</x:f>
        <x:v>$25k-$50k</x:v>
      </x:c>
      <x:c r="P2620" t="str">
        <x:f>IF(E2620="","Unknown",IF(E2620&lt;10,"&lt;10",IF(E2620&lt;20,"10-&lt;20",IF(E2620&lt;25,"20-&lt;25",IF(E2620&lt;35,"25-&lt;35","35+")))))</x:f>
        <x:v>10-&lt;20</x:v>
      </x:c>
    </x:row>
    <x:row r="2621">
      <x:c r="A2621" t="str">
        <x:v>SYN0002620</x:v>
      </x:c>
      <x:c r="B2621" s="12" t="n">
        <x:v>42145</x:v>
      </x:c>
      <x:c r="C2621" s="18" t="n">
        <x:v>16934</x:v>
      </x:c>
      <x:c r="D2621" s="18" t="n">
        <x:v>29183</x:v>
      </x:c>
      <x:c r="E2621" s="18" t="n">
        <x:v>10.88</x:v>
      </x:c>
      <x:c r="F2621" s="18" t="n">
        <x:v>5</x:v>
      </x:c>
      <x:c r="G2621" t="n">
        <x:v>60</x:v>
      </x:c>
      <x:c r="H2621" t="str">
        <x:v>A</x:v>
      </x:c>
      <x:c r="I2621" t="str">
        <x:v>1-3 years</x:v>
      </x:c>
      <x:c r="J2621" t="str">
        <x:v>RENT</x:v>
      </x:c>
      <x:c r="K2621" t="str">
        <x:v>other</x:v>
      </x:c>
      <x:c r="L2621" t="n">
        <x:v>1</x:v>
      </x:c>
      <x:c r="M2621" t="n">
        <x:v>0</x:v>
      </x:c>
      <x:c r="N2621" t="str">
        <x:v>Fully Paid</x:v>
      </x:c>
      <x:c r="O2621" t="str">
        <x:f>IF(D2621="","Unknown",IF(D2621&lt;25000,"&lt;$25k",IF(D2621&lt;50000,"$25k-$50k",IF(D2621&lt;75000,"$50k-$75k",IF(D2621&lt;100000,"$75k-$100k","$100k+")))))</x:f>
        <x:v>$25k-$50k</x:v>
      </x:c>
      <x:c r="P2621" t="str">
        <x:f>IF(E2621="","Unknown",IF(E2621&lt;10,"&lt;10",IF(E2621&lt;20,"10-&lt;20",IF(E2621&lt;25,"20-&lt;25",IF(E2621&lt;35,"25-&lt;35","35+")))))</x:f>
        <x:v>10-&lt;20</x:v>
      </x:c>
    </x:row>
    <x:row r="2622">
      <x:c r="A2622" t="str">
        <x:v>SYN0002621</x:v>
      </x:c>
      <x:c r="B2622" s="12" t="n">
        <x:v>43195</x:v>
      </x:c>
      <x:c r="C2622" s="18" t="n">
        <x:v>6032</x:v>
      </x:c>
      <x:c r="D2622" s="18" t="n">
        <x:v>29155</x:v>
      </x:c>
      <x:c r="E2622" s="18" t="n">
        <x:v>37.34</x:v>
      </x:c>
      <x:c r="F2622" s="18" t="n">
        <x:v>13.84</x:v>
      </x:c>
      <x:c r="G2622" t="n">
        <x:v>60</x:v>
      </x:c>
      <x:c r="H2622" t="str">
        <x:v>D</x:v>
      </x:c>
      <x:c r="I2622" t="str">
        <x:v>1-3 years</x:v>
      </x:c>
      <x:c r="J2622" t="str">
        <x:v>OWN</x:v>
      </x:c>
      <x:c r="K2622" t="str">
        <x:v>home_improvement</x:v>
      </x:c>
      <x:c r="L2622" t="n">
        <x:v>0</x:v>
      </x:c>
      <x:c r="M2622" t="n">
        <x:v>0</x:v>
      </x:c>
      <x:c r="N2622" t="str">
        <x:v>Fully Paid</x:v>
      </x:c>
      <x:c r="O2622" t="str">
        <x:f>IF(D2622="","Unknown",IF(D2622&lt;25000,"&lt;$25k",IF(D2622&lt;50000,"$25k-$50k",IF(D2622&lt;75000,"$50k-$75k",IF(D2622&lt;100000,"$75k-$100k","$100k+")))))</x:f>
        <x:v>$25k-$50k</x:v>
      </x:c>
      <x:c r="P2622" t="str">
        <x:f>IF(E2622="","Unknown",IF(E2622&lt;10,"&lt;10",IF(E2622&lt;20,"10-&lt;20",IF(E2622&lt;25,"20-&lt;25",IF(E2622&lt;35,"25-&lt;35","35+")))))</x:f>
        <x:v>35+</x:v>
      </x:c>
    </x:row>
    <x:row r="2623">
      <x:c r="A2623" t="str">
        <x:v>SYN0002622</x:v>
      </x:c>
      <x:c r="B2623" s="12" t="n">
        <x:v>43345</x:v>
      </x:c>
      <x:c r="C2623" s="18" t="n">
        <x:v>9721</x:v>
      </x:c>
      <x:c r="D2623" s="18" t="n">
        <x:v>42110</x:v>
      </x:c>
      <x:c r="E2623" s="18" t="n">
        <x:v>23.46</x:v>
      </x:c>
      <x:c r="F2623" s="18" t="n">
        <x:v>8.15</x:v>
      </x:c>
      <x:c r="G2623" t="n">
        <x:v>60</x:v>
      </x:c>
      <x:c r="H2623" t="str">
        <x:v>B</x:v>
      </x:c>
      <x:c r="I2623" t="str">
        <x:v>10+ years</x:v>
      </x:c>
      <x:c r="J2623" t="str">
        <x:v>MORTGAGE</x:v>
      </x:c>
      <x:c r="K2623" t="str">
        <x:v>debt_consolidation</x:v>
      </x:c>
      <x:c r="L2623" t="n">
        <x:v>1</x:v>
      </x:c>
      <x:c r="M2623" t="n">
        <x:v>0</x:v>
      </x:c>
      <x:c r="N2623" t="str">
        <x:v>Fully Paid</x:v>
      </x:c>
      <x:c r="O2623" t="str">
        <x:f>IF(D2623="","Unknown",IF(D2623&lt;25000,"&lt;$25k",IF(D2623&lt;50000,"$25k-$50k",IF(D2623&lt;75000,"$50k-$75k",IF(D2623&lt;100000,"$75k-$100k","$100k+")))))</x:f>
        <x:v>$25k-$50k</x:v>
      </x:c>
      <x:c r="P2623" t="str">
        <x:f>IF(E2623="","Unknown",IF(E2623&lt;10,"&lt;10",IF(E2623&lt;20,"10-&lt;20",IF(E2623&lt;25,"20-&lt;25",IF(E2623&lt;35,"25-&lt;35","35+")))))</x:f>
        <x:v>20-&lt;25</x:v>
      </x:c>
    </x:row>
    <x:row r="2624">
      <x:c r="A2624" t="str">
        <x:v>SYN0002623</x:v>
      </x:c>
      <x:c r="B2624" s="12" t="n">
        <x:v>41335</x:v>
      </x:c>
      <x:c r="C2624" s="18" t="n">
        <x:v>12038</x:v>
      </x:c>
      <x:c r="D2624" s="18" t="n">
        <x:v>24508</x:v>
      </x:c>
      <x:c r="E2624" s="18" t="n">
        <x:v>14.89</x:v>
      </x:c>
      <x:c r="F2624" s="18" t="n">
        <x:v>9.13</x:v>
      </x:c>
      <x:c r="G2624" t="n">
        <x:v>36</x:v>
      </x:c>
      <x:c r="H2624" t="str">
        <x:v>B</x:v>
      </x:c>
      <x:c r="I2624" t="str">
        <x:v>10+ years</x:v>
      </x:c>
      <x:c r="J2624" t="str">
        <x:v>MORTGAGE</x:v>
      </x:c>
      <x:c r="K2624" t="str">
        <x:v>debt_consolidation</x:v>
      </x:c>
      <x:c r="L2624" t="n">
        <x:v>0</x:v>
      </x:c>
      <x:c r="M2624" t="n">
        <x:v>0</x:v>
      </x:c>
      <x:c r="N2624" t="str">
        <x:v>Fully Paid</x:v>
      </x:c>
      <x:c r="O2624" t="str">
        <x:f>IF(D2624="","Unknown",IF(D2624&lt;25000,"&lt;$25k",IF(D2624&lt;50000,"$25k-$50k",IF(D2624&lt;75000,"$50k-$75k",IF(D2624&lt;100000,"$75k-$100k","$100k+")))))</x:f>
        <x:v>&lt;$25k</x:v>
      </x:c>
      <x:c r="P2624" t="str">
        <x:f>IF(E2624="","Unknown",IF(E2624&lt;10,"&lt;10",IF(E2624&lt;20,"10-&lt;20",IF(E2624&lt;25,"20-&lt;25",IF(E2624&lt;35,"25-&lt;35","35+")))))</x:f>
        <x:v>10-&lt;20</x:v>
      </x:c>
    </x:row>
    <x:row r="2625">
      <x:c r="A2625" t="str">
        <x:v>SYN0002624</x:v>
      </x:c>
      <x:c r="B2625" s="12" t="n">
        <x:v>43225</x:v>
      </x:c>
      <x:c r="C2625" s="18" t="n">
        <x:v>7922</x:v>
      </x:c>
      <x:c r="D2625" s="18" t="n">
        <x:v>46236</x:v>
      </x:c>
      <x:c r="E2625" s="18" t="n">
        <x:v>14.41</x:v>
      </x:c>
      <x:c r="F2625" s="18" t="n">
        <x:v>8.03</x:v>
      </x:c>
      <x:c r="G2625" t="n">
        <x:v>60</x:v>
      </x:c>
      <x:c r="H2625" t="str">
        <x:v>B</x:v>
      </x:c>
      <x:c r="I2625" t="str">
        <x:v>4-6 years</x:v>
      </x:c>
      <x:c r="J2625" t="str">
        <x:v>RENT</x:v>
      </x:c>
      <x:c r="K2625" t="str">
        <x:v>debt_consolidation</x:v>
      </x:c>
      <x:c r="L2625" t="n">
        <x:v>0</x:v>
      </x:c>
      <x:c r="M2625" t="n">
        <x:v>0</x:v>
      </x:c>
      <x:c r="N2625" t="str">
        <x:v>Fully Paid</x:v>
      </x:c>
      <x:c r="O2625" t="str">
        <x:f>IF(D2625="","Unknown",IF(D2625&lt;25000,"&lt;$25k",IF(D2625&lt;50000,"$25k-$50k",IF(D2625&lt;75000,"$50k-$75k",IF(D2625&lt;100000,"$75k-$100k","$100k+")))))</x:f>
        <x:v>$25k-$50k</x:v>
      </x:c>
      <x:c r="P2625" t="str">
        <x:f>IF(E2625="","Unknown",IF(E2625&lt;10,"&lt;10",IF(E2625&lt;20,"10-&lt;20",IF(E2625&lt;25,"20-&lt;25",IF(E2625&lt;35,"25-&lt;35","35+")))))</x:f>
        <x:v>10-&lt;20</x:v>
      </x:c>
    </x:row>
    <x:row r="2626">
      <x:c r="A2626" t="str">
        <x:v>SYN0002625</x:v>
      </x:c>
      <x:c r="B2626" s="12" t="n">
        <x:v>41275</x:v>
      </x:c>
      <x:c r="C2626" s="18" t="n">
        <x:v>18153</x:v>
      </x:c>
      <x:c r="D2626" s="18" t="n">
        <x:v>103668</x:v>
      </x:c>
      <x:c r="E2626" s="18" t="n">
        <x:v>23.29</x:v>
      </x:c>
      <x:c r="F2626" s="18" t="n">
        <x:v>8</x:v>
      </x:c>
      <x:c r="G2626" t="n">
        <x:v>36</x:v>
      </x:c>
      <x:c r="H2626" t="str">
        <x:v>B</x:v>
      </x:c>
      <x:c r="I2626" t="str">
        <x:v>4-6 years</x:v>
      </x:c>
      <x:c r="J2626" t="str">
        <x:v>MORTGAGE</x:v>
      </x:c>
      <x:c r="K2626" t="str">
        <x:v>debt_consolidation</x:v>
      </x:c>
      <x:c r="L2626" t="n">
        <x:v>0</x:v>
      </x:c>
      <x:c r="M2626" t="n">
        <x:v>0</x:v>
      </x:c>
      <x:c r="N2626" t="str">
        <x:v>Fully Paid</x:v>
      </x:c>
      <x:c r="O2626" t="str">
        <x:f>IF(D2626="","Unknown",IF(D2626&lt;25000,"&lt;$25k",IF(D2626&lt;50000,"$25k-$50k",IF(D2626&lt;75000,"$50k-$75k",IF(D2626&lt;100000,"$75k-$100k","$100k+")))))</x:f>
        <x:v>$100k+</x:v>
      </x:c>
      <x:c r="P2626" t="str">
        <x:f>IF(E2626="","Unknown",IF(E2626&lt;10,"&lt;10",IF(E2626&lt;20,"10-&lt;20",IF(E2626&lt;25,"20-&lt;25",IF(E2626&lt;35,"25-&lt;35","35+")))))</x:f>
        <x:v>20-&lt;25</x:v>
      </x:c>
    </x:row>
    <x:row r="2627">
      <x:c r="A2627" t="str">
        <x:v>SYN0002626</x:v>
      </x:c>
      <x:c r="B2627" s="12" t="n">
        <x:v>42205</x:v>
      </x:c>
      <x:c r="C2627" s="18" t="n">
        <x:v>6426</x:v>
      </x:c>
      <x:c r="D2627" s="18" t="n">
        <x:v>21257</x:v>
      </x:c>
      <x:c r="E2627" s="18" t="n">
        <x:v>18.13</x:v>
      </x:c>
      <x:c r="F2627" s="18" t="n">
        <x:v>22.51</x:v>
      </x:c>
      <x:c r="G2627" t="n">
        <x:v>60</x:v>
      </x:c>
      <x:c r="H2627" t="str">
        <x:v>F</x:v>
      </x:c>
      <x:c r="I2627" t="str">
        <x:v>7-9 years</x:v>
      </x:c>
      <x:c r="J2627" t="str">
        <x:v>RENT</x:v>
      </x:c>
      <x:c r="K2627" t="str">
        <x:v>home_improvement</x:v>
      </x:c>
      <x:c r="L2627" t="n">
        <x:v>0</x:v>
      </x:c>
      <x:c r="M2627" t="n">
        <x:v>0</x:v>
      </x:c>
      <x:c r="N2627" t="str">
        <x:v>Fully Paid</x:v>
      </x:c>
      <x:c r="O2627" t="str">
        <x:f>IF(D2627="","Unknown",IF(D2627&lt;25000,"&lt;$25k",IF(D2627&lt;50000,"$25k-$50k",IF(D2627&lt;75000,"$50k-$75k",IF(D2627&lt;100000,"$75k-$100k","$100k+")))))</x:f>
        <x:v>&lt;$25k</x:v>
      </x:c>
      <x:c r="P2627" t="str">
        <x:f>IF(E2627="","Unknown",IF(E2627&lt;10,"&lt;10",IF(E2627&lt;20,"10-&lt;20",IF(E2627&lt;25,"20-&lt;25",IF(E2627&lt;35,"25-&lt;35","35+")))))</x:f>
        <x:v>10-&lt;20</x:v>
      </x:c>
    </x:row>
    <x:row r="2628">
      <x:c r="A2628" t="str">
        <x:v>SYN0002627</x:v>
      </x:c>
      <x:c r="B2628" s="12" t="n">
        <x:v>43405</x:v>
      </x:c>
      <x:c r="C2628" s="18" t="n">
        <x:v>19064</x:v>
      </x:c>
      <x:c r="D2628" s="18" t="n">
        <x:v>55690</x:v>
      </x:c>
      <x:c r="E2628" s="18" t="n">
        <x:v>17.63</x:v>
      </x:c>
      <x:c r="F2628" s="18" t="n">
        <x:v>8.9</x:v>
      </x:c>
      <x:c r="G2628" t="n">
        <x:v>36</x:v>
      </x:c>
      <x:c r="H2628" t="str">
        <x:v>A</x:v>
      </x:c>
      <x:c r="I2628" t="str">
        <x:v>1-3 years</x:v>
      </x:c>
      <x:c r="J2628" t="str">
        <x:v>RENT</x:v>
      </x:c>
      <x:c r="K2628" t="str">
        <x:v>medical</x:v>
      </x:c>
      <x:c r="L2628" t="n">
        <x:v>0</x:v>
      </x:c>
      <x:c r="M2628" t="n">
        <x:v>0</x:v>
      </x:c>
      <x:c r="N2628" t="str">
        <x:v>Fully Paid</x:v>
      </x:c>
      <x:c r="O2628" t="str">
        <x:f>IF(D2628="","Unknown",IF(D2628&lt;25000,"&lt;$25k",IF(D2628&lt;50000,"$25k-$50k",IF(D2628&lt;75000,"$50k-$75k",IF(D2628&lt;100000,"$75k-$100k","$100k+")))))</x:f>
        <x:v>$50k-$75k</x:v>
      </x:c>
      <x:c r="P2628" t="str">
        <x:f>IF(E2628="","Unknown",IF(E2628&lt;10,"&lt;10",IF(E2628&lt;20,"10-&lt;20",IF(E2628&lt;25,"20-&lt;25",IF(E2628&lt;35,"25-&lt;35","35+")))))</x:f>
        <x:v>10-&lt;20</x:v>
      </x:c>
    </x:row>
    <x:row r="2629">
      <x:c r="A2629" t="str">
        <x:v>SYN0002628</x:v>
      </x:c>
      <x:c r="B2629" s="12" t="n">
        <x:v>42085</x:v>
      </x:c>
      <x:c r="C2629" s="18" t="n">
        <x:v>13608</x:v>
      </x:c>
      <x:c r="D2629" s="18" t="n">
        <x:v>18718</x:v>
      </x:c>
      <x:c r="E2629" s="18" t="n">
        <x:v>19.89</x:v>
      </x:c>
      <x:c r="F2629" s="18" t="n">
        <x:v>9.58</x:v>
      </x:c>
      <x:c r="G2629" t="n">
        <x:v>36</x:v>
      </x:c>
      <x:c r="H2629" t="str">
        <x:v>B</x:v>
      </x:c>
      <x:c r="I2629" t="str">
        <x:v>7-9 years</x:v>
      </x:c>
      <x:c r="J2629" t="str">
        <x:v>MORTGAGE</x:v>
      </x:c>
      <x:c r="K2629" t="str">
        <x:v>credit_card</x:v>
      </x:c>
      <x:c r="L2629" t="n">
        <x:v>0</x:v>
      </x:c>
      <x:c r="M2629" t="n">
        <x:v>0</x:v>
      </x:c>
      <x:c r="N2629" t="str">
        <x:v>Fully Paid</x:v>
      </x:c>
      <x:c r="O2629" t="str">
        <x:f>IF(D2629="","Unknown",IF(D2629&lt;25000,"&lt;$25k",IF(D2629&lt;50000,"$25k-$50k",IF(D2629&lt;75000,"$50k-$75k",IF(D2629&lt;100000,"$75k-$100k","$100k+")))))</x:f>
        <x:v>&lt;$25k</x:v>
      </x:c>
      <x:c r="P2629" t="str">
        <x:f>IF(E2629="","Unknown",IF(E2629&lt;10,"&lt;10",IF(E2629&lt;20,"10-&lt;20",IF(E2629&lt;25,"20-&lt;25",IF(E2629&lt;35,"25-&lt;35","35+")))))</x:f>
        <x:v>10-&lt;20</x:v>
      </x:c>
    </x:row>
    <x:row r="2630">
      <x:c r="A2630" t="str">
        <x:v>SYN0002629</x:v>
      </x:c>
      <x:c r="B2630" s="12" t="n">
        <x:v>42535</x:v>
      </x:c>
      <x:c r="C2630" s="18" t="n">
        <x:v>13256</x:v>
      </x:c>
      <x:c r="D2630" s="18" t="n">
        <x:v>57201</x:v>
      </x:c>
      <x:c r="E2630" s="18" t="n">
        <x:v>23.67</x:v>
      </x:c>
      <x:c r="F2630" s="18" t="n">
        <x:v>8.56</x:v>
      </x:c>
      <x:c r="G2630" t="n">
        <x:v>60</x:v>
      </x:c>
      <x:c r="H2630" t="str">
        <x:v>B</x:v>
      </x:c>
      <x:c r="I2630" t="str">
        <x:v>4-6 years</x:v>
      </x:c>
      <x:c r="J2630" t="str">
        <x:v>MORTGAGE</x:v>
      </x:c>
      <x:c r="K2630" t="str">
        <x:v>other</x:v>
      </x:c>
      <x:c r="L2630" t="n">
        <x:v>1</x:v>
      </x:c>
      <x:c r="M2630" t="n">
        <x:v>0</x:v>
      </x:c>
      <x:c r="N2630" t="str">
        <x:v>Fully Paid</x:v>
      </x:c>
      <x:c r="O2630" t="str">
        <x:f>IF(D2630="","Unknown",IF(D2630&lt;25000,"&lt;$25k",IF(D2630&lt;50000,"$25k-$50k",IF(D2630&lt;75000,"$50k-$75k",IF(D2630&lt;100000,"$75k-$100k","$100k+")))))</x:f>
        <x:v>$50k-$75k</x:v>
      </x:c>
      <x:c r="P2630" t="str">
        <x:f>IF(E2630="","Unknown",IF(E2630&lt;10,"&lt;10",IF(E2630&lt;20,"10-&lt;20",IF(E2630&lt;25,"20-&lt;25",IF(E2630&lt;35,"25-&lt;35","35+")))))</x:f>
        <x:v>20-&lt;25</x:v>
      </x:c>
    </x:row>
    <x:row r="2631">
      <x:c r="A2631" t="str">
        <x:v>SYN0002630</x:v>
      </x:c>
      <x:c r="B2631" s="12" t="n">
        <x:v>42025</x:v>
      </x:c>
      <x:c r="C2631" s="18" t="n">
        <x:v>13572</x:v>
      </x:c>
      <x:c r="D2631" s="18" t="n">
        <x:v>50612</x:v>
      </x:c>
      <x:c r="E2631" s="18" t="n">
        <x:v>36.38</x:v>
      </x:c>
      <x:c r="F2631" s="18" t="n">
        <x:v>9.49</x:v>
      </x:c>
      <x:c r="G2631" t="n">
        <x:v>36</x:v>
      </x:c>
      <x:c r="H2631" t="str">
        <x:v>A</x:v>
      </x:c>
      <x:c r="I2631" t="str">
        <x:v>7-9 years</x:v>
      </x:c>
      <x:c r="J2631" t="str">
        <x:v>RENT</x:v>
      </x:c>
      <x:c r="K2631" t="str">
        <x:v>debt_consolidation</x:v>
      </x:c>
      <x:c r="L2631" t="n">
        <x:v>0</x:v>
      </x:c>
      <x:c r="M2631" t="n">
        <x:v>0</x:v>
      </x:c>
      <x:c r="N2631" t="str">
        <x:v>Fully Paid</x:v>
      </x:c>
      <x:c r="O2631" t="str">
        <x:f>IF(D2631="","Unknown",IF(D2631&lt;25000,"&lt;$25k",IF(D2631&lt;50000,"$25k-$50k",IF(D2631&lt;75000,"$50k-$75k",IF(D2631&lt;100000,"$75k-$100k","$100k+")))))</x:f>
        <x:v>$50k-$75k</x:v>
      </x:c>
      <x:c r="P2631" t="str">
        <x:f>IF(E2631="","Unknown",IF(E2631&lt;10,"&lt;10",IF(E2631&lt;20,"10-&lt;20",IF(E2631&lt;25,"20-&lt;25",IF(E2631&lt;35,"25-&lt;35","35+")))))</x:f>
        <x:v>35+</x:v>
      </x:c>
    </x:row>
    <x:row r="2632">
      <x:c r="A2632" t="str">
        <x:v>SYN0002631</x:v>
      </x:c>
      <x:c r="B2632" s="12" t="n">
        <x:v>42835</x:v>
      </x:c>
      <x:c r="C2632" s="18" t="n">
        <x:v>15535</x:v>
      </x:c>
      <x:c r="D2632" s="18" t="n">
        <x:v>74412</x:v>
      </x:c>
      <x:c r="E2632" s="18" t="n">
        <x:v>28.51</x:v>
      </x:c>
      <x:c r="F2632" s="18" t="n">
        <x:v>17.1</x:v>
      </x:c>
      <x:c r="G2632" t="n">
        <x:v>60</x:v>
      </x:c>
      <x:c r="H2632" t="str">
        <x:v>E</x:v>
      </x:c>
      <x:c r="I2632" t="str">
        <x:v>10+ years</x:v>
      </x:c>
      <x:c r="J2632" t="str">
        <x:v>MORTGAGE</x:v>
      </x:c>
      <x:c r="K2632" t="str">
        <x:v>home_improvement</x:v>
      </x:c>
      <x:c r="L2632" t="n">
        <x:v>1</x:v>
      </x:c>
      <x:c r="M2632" t="n">
        <x:v>0</x:v>
      </x:c>
      <x:c r="N2632" t="str">
        <x:v>Fully Paid</x:v>
      </x:c>
      <x:c r="O2632" t="str">
        <x:f>IF(D2632="","Unknown",IF(D2632&lt;25000,"&lt;$25k",IF(D2632&lt;50000,"$25k-$50k",IF(D2632&lt;75000,"$50k-$75k",IF(D2632&lt;100000,"$75k-$100k","$100k+")))))</x:f>
        <x:v>$50k-$75k</x:v>
      </x:c>
      <x:c r="P2632" t="str">
        <x:f>IF(E2632="","Unknown",IF(E2632&lt;10,"&lt;10",IF(E2632&lt;20,"10-&lt;20",IF(E2632&lt;25,"20-&lt;25",IF(E2632&lt;35,"25-&lt;35","35+")))))</x:f>
        <x:v>25-&lt;35</x:v>
      </x:c>
    </x:row>
    <x:row r="2633">
      <x:c r="A2633" t="str">
        <x:v>SYN0002632</x:v>
      </x:c>
      <x:c r="B2633" s="12" t="n">
        <x:v>42085</x:v>
      </x:c>
      <x:c r="C2633" s="18" t="n">
        <x:v>12204</x:v>
      </x:c>
      <x:c r="D2633" s="18" t="n">
        <x:v>66406</x:v>
      </x:c>
      <x:c r="E2633" s="18" t="n">
        <x:v>15.9</x:v>
      </x:c>
      <x:c r="F2633" s="18" t="n">
        <x:v>9.86</x:v>
      </x:c>
      <x:c r="G2633" t="n">
        <x:v>36</x:v>
      </x:c>
      <x:c r="H2633" t="str">
        <x:v>B</x:v>
      </x:c>
      <x:c r="I2633" t="str">
        <x:v>4-6 years</x:v>
      </x:c>
      <x:c r="J2633" t="str">
        <x:v>MORTGAGE</x:v>
      </x:c>
      <x:c r="K2633" t="str">
        <x:v>major_purchase</x:v>
      </x:c>
      <x:c r="L2633" t="n">
        <x:v>0</x:v>
      </x:c>
      <x:c r="M2633" t="n">
        <x:v>0</x:v>
      </x:c>
      <x:c r="N2633" t="str">
        <x:v>Fully Paid</x:v>
      </x:c>
      <x:c r="O2633" t="str">
        <x:f>IF(D2633="","Unknown",IF(D2633&lt;25000,"&lt;$25k",IF(D2633&lt;50000,"$25k-$50k",IF(D2633&lt;75000,"$50k-$75k",IF(D2633&lt;100000,"$75k-$100k","$100k+")))))</x:f>
        <x:v>$50k-$75k</x:v>
      </x:c>
      <x:c r="P2633" t="str">
        <x:f>IF(E2633="","Unknown",IF(E2633&lt;10,"&lt;10",IF(E2633&lt;20,"10-&lt;20",IF(E2633&lt;25,"20-&lt;25",IF(E2633&lt;35,"25-&lt;35","35+")))))</x:f>
        <x:v>10-&lt;20</x:v>
      </x:c>
    </x:row>
    <x:row r="2634">
      <x:c r="A2634" t="str">
        <x:v>SYN0002633</x:v>
      </x:c>
      <x:c r="B2634" s="12" t="n">
        <x:v>42475</x:v>
      </x:c>
      <x:c r="C2634" s="18" t="n">
        <x:v>6563</x:v>
      </x:c>
      <x:c r="D2634" s="18" t="n">
        <x:v>49719</x:v>
      </x:c>
      <x:c r="E2634" s="18" t="n">
        <x:v>9.89</x:v>
      </x:c>
      <x:c r="F2634" s="18" t="n">
        <x:v>5</x:v>
      </x:c>
      <x:c r="G2634" t="n">
        <x:v>36</x:v>
      </x:c>
      <x:c r="H2634" t="str">
        <x:v>A</x:v>
      </x:c>
      <x:c r="I2634" t="str">
        <x:v>4-6 years</x:v>
      </x:c>
      <x:c r="J2634" t="str">
        <x:v>OWN</x:v>
      </x:c>
      <x:c r="K2634" t="str">
        <x:v>major_purchase</x:v>
      </x:c>
      <x:c r="L2634" t="n">
        <x:v>0</x:v>
      </x:c>
      <x:c r="M2634" t="n">
        <x:v>0</x:v>
      </x:c>
      <x:c r="N2634" t="str">
        <x:v>Fully Paid</x:v>
      </x:c>
      <x:c r="O2634" t="str">
        <x:f>IF(D2634="","Unknown",IF(D2634&lt;25000,"&lt;$25k",IF(D2634&lt;50000,"$25k-$50k",IF(D2634&lt;75000,"$50k-$75k",IF(D2634&lt;100000,"$75k-$100k","$100k+")))))</x:f>
        <x:v>$25k-$50k</x:v>
      </x:c>
      <x:c r="P2634" t="str">
        <x:f>IF(E2634="","Unknown",IF(E2634&lt;10,"&lt;10",IF(E2634&lt;20,"10-&lt;20",IF(E2634&lt;25,"20-&lt;25",IF(E2634&lt;35,"25-&lt;35","35+")))))</x:f>
        <x:v>&lt;10</x:v>
      </x:c>
    </x:row>
    <x:row r="2635">
      <x:c r="A2635" t="str">
        <x:v>SYN0002634</x:v>
      </x:c>
      <x:c r="B2635" s="12" t="n">
        <x:v>42655</x:v>
      </x:c>
      <x:c r="C2635" s="18" t="n">
        <x:v>10931</x:v>
      </x:c>
      <x:c r="D2635" s="18" t="n">
        <x:v>88669</x:v>
      </x:c>
      <x:c r="E2635" s="18" t="n">
        <x:v>36.97</x:v>
      </x:c>
      <x:c r="F2635" s="18" t="n">
        <x:v>12.91</x:v>
      </x:c>
      <x:c r="G2635" t="n">
        <x:v>60</x:v>
      </x:c>
      <x:c r="H2635" t="str">
        <x:v>D</x:v>
      </x:c>
      <x:c r="I2635" t="str">
        <x:v>4-6 years</x:v>
      </x:c>
      <x:c r="J2635" t="str">
        <x:v>MORTGAGE</x:v>
      </x:c>
      <x:c r="K2635" t="str">
        <x:v>major_purchase</x:v>
      </x:c>
      <x:c r="L2635" t="n">
        <x:v>1</x:v>
      </x:c>
      <x:c r="M2635" t="n">
        <x:v>1</x:v>
      </x:c>
      <x:c r="N2635" t="str">
        <x:v>Charged Off</x:v>
      </x:c>
      <x:c r="O2635" t="str">
        <x:f>IF(D2635="","Unknown",IF(D2635&lt;25000,"&lt;$25k",IF(D2635&lt;50000,"$25k-$50k",IF(D2635&lt;75000,"$50k-$75k",IF(D2635&lt;100000,"$75k-$100k","$100k+")))))</x:f>
        <x:v>$75k-$100k</x:v>
      </x:c>
      <x:c r="P2635" t="str">
        <x:f>IF(E2635="","Unknown",IF(E2635&lt;10,"&lt;10",IF(E2635&lt;20,"10-&lt;20",IF(E2635&lt;25,"20-&lt;25",IF(E2635&lt;35,"25-&lt;35","35+")))))</x:f>
        <x:v>35+</x:v>
      </x:c>
    </x:row>
    <x:row r="2636">
      <x:c r="A2636" t="str">
        <x:v>SYN0002635</x:v>
      </x:c>
      <x:c r="B2636" s="12" t="n">
        <x:v>42025</x:v>
      </x:c>
      <x:c r="C2636" s="18" t="n">
        <x:v>14253</x:v>
      </x:c>
      <x:c r="D2636" s="18" t="n">
        <x:v>105068</x:v>
      </x:c>
      <x:c r="E2636" s="18" t="n">
        <x:v>15.54</x:v>
      </x:c>
      <x:c r="F2636" s="18" t="n">
        <x:v>6.16</x:v>
      </x:c>
      <x:c r="G2636" t="n">
        <x:v>36</x:v>
      </x:c>
      <x:c r="H2636" t="str">
        <x:v>B</x:v>
      </x:c>
      <x:c r="I2636" t="str">
        <x:v>10+ years</x:v>
      </x:c>
      <x:c r="J2636" t="str">
        <x:v>RENT</x:v>
      </x:c>
      <x:c r="K2636" t="str">
        <x:v>debt_consolidation</x:v>
      </x:c>
      <x:c r="L2636" t="n">
        <x:v>0</x:v>
      </x:c>
      <x:c r="M2636" t="n">
        <x:v>0</x:v>
      </x:c>
      <x:c r="N2636" t="str">
        <x:v>Fully Paid</x:v>
      </x:c>
      <x:c r="O2636" t="str">
        <x:f>IF(D2636="","Unknown",IF(D2636&lt;25000,"&lt;$25k",IF(D2636&lt;50000,"$25k-$50k",IF(D2636&lt;75000,"$50k-$75k",IF(D2636&lt;100000,"$75k-$100k","$100k+")))))</x:f>
        <x:v>$100k+</x:v>
      </x:c>
      <x:c r="P2636" t="str">
        <x:f>IF(E2636="","Unknown",IF(E2636&lt;10,"&lt;10",IF(E2636&lt;20,"10-&lt;20",IF(E2636&lt;25,"20-&lt;25",IF(E2636&lt;35,"25-&lt;35","35+")))))</x:f>
        <x:v>10-&lt;20</x:v>
      </x:c>
    </x:row>
    <x:row r="2637">
      <x:c r="A2637" t="str">
        <x:v>SYN0002636</x:v>
      </x:c>
      <x:c r="B2637" s="12" t="n">
        <x:v>42775</x:v>
      </x:c>
      <x:c r="C2637" s="18" t="n">
        <x:v>14454</x:v>
      </x:c>
      <x:c r="D2637" s="18" t="n">
        <x:v>24709</x:v>
      </x:c>
      <x:c r="E2637" s="18" t="n">
        <x:v>23.61</x:v>
      </x:c>
      <x:c r="F2637" s="18" t="n">
        <x:v>21.27</x:v>
      </x:c>
      <x:c r="G2637" t="n">
        <x:v>36</x:v>
      </x:c>
      <x:c r="H2637" t="str">
        <x:v>E</x:v>
      </x:c>
      <x:c r="I2637" t="str">
        <x:v>10+ years</x:v>
      </x:c>
      <x:c r="J2637" t="str">
        <x:v>MORTGAGE</x:v>
      </x:c>
      <x:c r="K2637" t="str">
        <x:v>debt_consolidation</x:v>
      </x:c>
      <x:c r="L2637" t="n">
        <x:v>2</x:v>
      </x:c>
      <x:c r="M2637" t="n">
        <x:v>0</x:v>
      </x:c>
      <x:c r="N2637" t="str">
        <x:v>Fully Paid</x:v>
      </x:c>
      <x:c r="O2637" t="str">
        <x:f>IF(D2637="","Unknown",IF(D2637&lt;25000,"&lt;$25k",IF(D2637&lt;50000,"$25k-$50k",IF(D2637&lt;75000,"$50k-$75k",IF(D2637&lt;100000,"$75k-$100k","$100k+")))))</x:f>
        <x:v>&lt;$25k</x:v>
      </x:c>
      <x:c r="P2637" t="str">
        <x:f>IF(E2637="","Unknown",IF(E2637&lt;10,"&lt;10",IF(E2637&lt;20,"10-&lt;20",IF(E2637&lt;25,"20-&lt;25",IF(E2637&lt;35,"25-&lt;35","35+")))))</x:f>
        <x:v>20-&lt;25</x:v>
      </x:c>
    </x:row>
    <x:row r="2638">
      <x:c r="A2638" t="str">
        <x:v>SYN0002637</x:v>
      </x:c>
      <x:c r="B2638" s="12" t="n">
        <x:v>42955</x:v>
      </x:c>
      <x:c r="C2638" s="18" t="n">
        <x:v>17290</x:v>
      </x:c>
      <x:c r="D2638" s="18" t="n">
        <x:v>29048</x:v>
      </x:c>
      <x:c r="E2638" s="18" t="n">
        <x:v>11.69</x:v>
      </x:c>
      <x:c r="F2638" s="18" t="n">
        <x:v>9</x:v>
      </x:c>
      <x:c r="G2638" t="n">
        <x:v>36</x:v>
      </x:c>
      <x:c r="H2638" t="str">
        <x:v>B</x:v>
      </x:c>
      <x:c r="I2638" t="str">
        <x:v>1-3 years</x:v>
      </x:c>
      <x:c r="J2638" t="str">
        <x:v>MORTGAGE</x:v>
      </x:c>
      <x:c r="K2638" t="str">
        <x:v>credit_card</x:v>
      </x:c>
      <x:c r="L2638" t="n">
        <x:v>0</x:v>
      </x:c>
      <x:c r="M2638" t="n">
        <x:v>0</x:v>
      </x:c>
      <x:c r="N2638" t="str">
        <x:v>Fully Paid</x:v>
      </x:c>
      <x:c r="O2638" t="str">
        <x:f>IF(D2638="","Unknown",IF(D2638&lt;25000,"&lt;$25k",IF(D2638&lt;50000,"$25k-$50k",IF(D2638&lt;75000,"$50k-$75k",IF(D2638&lt;100000,"$75k-$100k","$100k+")))))</x:f>
        <x:v>$25k-$50k</x:v>
      </x:c>
      <x:c r="P2638" t="str">
        <x:f>IF(E2638="","Unknown",IF(E2638&lt;10,"&lt;10",IF(E2638&lt;20,"10-&lt;20",IF(E2638&lt;25,"20-&lt;25",IF(E2638&lt;35,"25-&lt;35","35+")))))</x:f>
        <x:v>10-&lt;20</x:v>
      </x:c>
    </x:row>
    <x:row r="2639">
      <x:c r="A2639" t="str">
        <x:v>SYN0002638</x:v>
      </x:c>
      <x:c r="B2639" s="12" t="n">
        <x:v>41875</x:v>
      </x:c>
      <x:c r="C2639" s="18" t="n">
        <x:v>7514</x:v>
      </x:c>
      <x:c r="D2639" s="18" t="n">
        <x:v>64158</x:v>
      </x:c>
      <x:c r="E2639" s="18" t="n">
        <x:v>20.69</x:v>
      </x:c>
      <x:c r="F2639" s="18" t="n">
        <x:v>10.16</x:v>
      </x:c>
      <x:c r="G2639" t="n">
        <x:v>36</x:v>
      </x:c>
      <x:c r="H2639" t="str">
        <x:v>C</x:v>
      </x:c>
      <x:c r="I2639" t="str">
        <x:v>4-6 years</x:v>
      </x:c>
      <x:c r="J2639" t="str">
        <x:v>MORTGAGE</x:v>
      </x:c>
      <x:c r="K2639" t="str">
        <x:v>credit_card</x:v>
      </x:c>
      <x:c r="L2639" t="n">
        <x:v>0</x:v>
      </x:c>
      <x:c r="M2639" t="n">
        <x:v>0</x:v>
      </x:c>
      <x:c r="N2639" t="str">
        <x:v>Fully Paid</x:v>
      </x:c>
      <x:c r="O2639" t="str">
        <x:f>IF(D2639="","Unknown",IF(D2639&lt;25000,"&lt;$25k",IF(D2639&lt;50000,"$25k-$50k",IF(D2639&lt;75000,"$50k-$75k",IF(D2639&lt;100000,"$75k-$100k","$100k+")))))</x:f>
        <x:v>$50k-$75k</x:v>
      </x:c>
      <x:c r="P2639" t="str">
        <x:f>IF(E2639="","Unknown",IF(E2639&lt;10,"&lt;10",IF(E2639&lt;20,"10-&lt;20",IF(E2639&lt;25,"20-&lt;25",IF(E2639&lt;35,"25-&lt;35","35+")))))</x:f>
        <x:v>20-&lt;25</x:v>
      </x:c>
    </x:row>
    <x:row r="2640">
      <x:c r="A2640" t="str">
        <x:v>SYN0002639</x:v>
      </x:c>
      <x:c r="B2640" s="12" t="n">
        <x:v>43285</x:v>
      </x:c>
      <x:c r="C2640" s="18" t="n">
        <x:v>14774</x:v>
      </x:c>
      <x:c r="D2640" s="18" t="n">
        <x:v>83777</x:v>
      </x:c>
      <x:c r="E2640" s="18" t="n">
        <x:v>37.9</x:v>
      </x:c>
      <x:c r="F2640" s="18" t="n">
        <x:v>23.15</x:v>
      </x:c>
      <x:c r="G2640" t="n">
        <x:v>60</x:v>
      </x:c>
      <x:c r="H2640" t="str">
        <x:v>F</x:v>
      </x:c>
      <x:c r="I2640" t="str">
        <x:v>10+ years</x:v>
      </x:c>
      <x:c r="J2640" t="str">
        <x:v>OWN</x:v>
      </x:c>
      <x:c r="K2640" t="str">
        <x:v>debt_consolidation</x:v>
      </x:c>
      <x:c r="L2640" t="n">
        <x:v>0</x:v>
      </x:c>
      <x:c r="M2640" t="n">
        <x:v>0</x:v>
      </x:c>
      <x:c r="N2640" t="str">
        <x:v>Fully Paid</x:v>
      </x:c>
      <x:c r="O2640" t="str">
        <x:f>IF(D2640="","Unknown",IF(D2640&lt;25000,"&lt;$25k",IF(D2640&lt;50000,"$25k-$50k",IF(D2640&lt;75000,"$50k-$75k",IF(D2640&lt;100000,"$75k-$100k","$100k+")))))</x:f>
        <x:v>$75k-$100k</x:v>
      </x:c>
      <x:c r="P2640" t="str">
        <x:f>IF(E2640="","Unknown",IF(E2640&lt;10,"&lt;10",IF(E2640&lt;20,"10-&lt;20",IF(E2640&lt;25,"20-&lt;25",IF(E2640&lt;35,"25-&lt;35","35+")))))</x:f>
        <x:v>35+</x:v>
      </x:c>
    </x:row>
    <x:row r="2641">
      <x:c r="A2641" t="str">
        <x:v>SYN0002640</x:v>
      </x:c>
      <x:c r="B2641" s="12" t="n">
        <x:v>42385</x:v>
      </x:c>
      <x:c r="C2641" s="18" t="n">
        <x:v>12780</x:v>
      </x:c>
      <x:c r="D2641" s="18" t="n">
        <x:v>35970</x:v>
      </x:c>
      <x:c r="E2641" s="18" t="n">
        <x:v>25.91</x:v>
      </x:c>
      <x:c r="F2641" s="18" t="n">
        <x:v>14.24</x:v>
      </x:c>
      <x:c r="G2641" t="n">
        <x:v>36</x:v>
      </x:c>
      <x:c r="H2641" t="str">
        <x:v>E</x:v>
      </x:c>
      <x:c r="I2641" t="str">
        <x:v>&lt;1 year</x:v>
      </x:c>
      <x:c r="J2641" t="str">
        <x:v>OWN</x:v>
      </x:c>
      <x:c r="K2641" t="str">
        <x:v>debt_consolidation</x:v>
      </x:c>
      <x:c r="L2641" t="n">
        <x:v>1</x:v>
      </x:c>
      <x:c r="M2641" t="n">
        <x:v>1</x:v>
      </x:c>
      <x:c r="N2641" t="str">
        <x:v>Charged Off</x:v>
      </x:c>
      <x:c r="O2641" t="str">
        <x:f>IF(D2641="","Unknown",IF(D2641&lt;25000,"&lt;$25k",IF(D2641&lt;50000,"$25k-$50k",IF(D2641&lt;75000,"$50k-$75k",IF(D2641&lt;100000,"$75k-$100k","$100k+")))))</x:f>
        <x:v>$25k-$50k</x:v>
      </x:c>
      <x:c r="P2641" t="str">
        <x:f>IF(E2641="","Unknown",IF(E2641&lt;10,"&lt;10",IF(E2641&lt;20,"10-&lt;20",IF(E2641&lt;25,"20-&lt;25",IF(E2641&lt;35,"25-&lt;35","35+")))))</x:f>
        <x:v>25-&lt;35</x:v>
      </x:c>
    </x:row>
    <x:row r="2642">
      <x:c r="A2642" t="str">
        <x:v>SYN0002641</x:v>
      </x:c>
      <x:c r="B2642" s="12" t="n">
        <x:v>41395</x:v>
      </x:c>
      <x:c r="C2642" s="18" t="n">
        <x:v>33242</x:v>
      </x:c>
      <x:c r="D2642" s="18" t="n">
        <x:v>23015</x:v>
      </x:c>
      <x:c r="E2642" s="18" t="n">
        <x:v>18.88</x:v>
      </x:c>
      <x:c r="F2642" s="18" t="n">
        <x:v>11.27</x:v>
      </x:c>
      <x:c r="G2642" t="n">
        <x:v>36</x:v>
      </x:c>
      <x:c r="H2642" t="str">
        <x:v>C</x:v>
      </x:c>
      <x:c r="I2642" t="str">
        <x:v>4-6 years</x:v>
      </x:c>
      <x:c r="J2642" t="str">
        <x:v>MORTGAGE</x:v>
      </x:c>
      <x:c r="K2642" t="str">
        <x:v>debt_consolidation</x:v>
      </x:c>
      <x:c r="L2642" t="n">
        <x:v>0</x:v>
      </x:c>
      <x:c r="M2642" t="n">
        <x:v>0</x:v>
      </x:c>
      <x:c r="N2642" t="str">
        <x:v>Fully Paid</x:v>
      </x:c>
      <x:c r="O2642" t="str">
        <x:f>IF(D2642="","Unknown",IF(D2642&lt;25000,"&lt;$25k",IF(D2642&lt;50000,"$25k-$50k",IF(D2642&lt;75000,"$50k-$75k",IF(D2642&lt;100000,"$75k-$100k","$100k+")))))</x:f>
        <x:v>&lt;$25k</x:v>
      </x:c>
      <x:c r="P2642" t="str">
        <x:f>IF(E2642="","Unknown",IF(E2642&lt;10,"&lt;10",IF(E2642&lt;20,"10-&lt;20",IF(E2642&lt;25,"20-&lt;25",IF(E2642&lt;35,"25-&lt;35","35+")))))</x:f>
        <x:v>10-&lt;20</x:v>
      </x:c>
    </x:row>
    <x:row r="2643">
      <x:c r="A2643" t="str">
        <x:v>SYN0002642</x:v>
      </x:c>
      <x:c r="B2643" s="12" t="n">
        <x:v>41995</x:v>
      </x:c>
      <x:c r="C2643" s="18" t="n">
        <x:v>13108</x:v>
      </x:c>
      <x:c r="D2643" s="18" t="n">
        <x:v>42451</x:v>
      </x:c>
      <x:c r="E2643" s="18" t="n">
        <x:v>22.86</x:v>
      </x:c>
      <x:c r="F2643" s="18" t="n">
        <x:v>9.46</x:v>
      </x:c>
      <x:c r="G2643" t="n">
        <x:v>36</x:v>
      </x:c>
      <x:c r="H2643" t="str">
        <x:v>B</x:v>
      </x:c>
      <x:c r="I2643" t="str">
        <x:v>1-3 years</x:v>
      </x:c>
      <x:c r="J2643" t="str">
        <x:v>RENT</x:v>
      </x:c>
      <x:c r="K2643" t="str">
        <x:v>debt_consolidation</x:v>
      </x:c>
      <x:c r="L2643" t="n">
        <x:v>1</x:v>
      </x:c>
      <x:c r="M2643" t="n">
        <x:v>0</x:v>
      </x:c>
      <x:c r="N2643" t="str">
        <x:v>Fully Paid</x:v>
      </x:c>
      <x:c r="O2643" t="str">
        <x:f>IF(D2643="","Unknown",IF(D2643&lt;25000,"&lt;$25k",IF(D2643&lt;50000,"$25k-$50k",IF(D2643&lt;75000,"$50k-$75k",IF(D2643&lt;100000,"$75k-$100k","$100k+")))))</x:f>
        <x:v>$25k-$50k</x:v>
      </x:c>
      <x:c r="P2643" t="str">
        <x:f>IF(E2643="","Unknown",IF(E2643&lt;10,"&lt;10",IF(E2643&lt;20,"10-&lt;20",IF(E2643&lt;25,"20-&lt;25",IF(E2643&lt;35,"25-&lt;35","35+")))))</x:f>
        <x:v>20-&lt;25</x:v>
      </x:c>
    </x:row>
    <x:row r="2644">
      <x:c r="A2644" t="str">
        <x:v>SYN0002643</x:v>
      </x:c>
      <x:c r="B2644" s="12" t="n">
        <x:v>42685</x:v>
      </x:c>
      <x:c r="C2644" s="18" t="n">
        <x:v>18219</x:v>
      </x:c>
      <x:c r="D2644" s="18" t="n">
        <x:v>55598</x:v>
      </x:c>
      <x:c r="E2644" s="18" t="n">
        <x:v>21.54</x:v>
      </x:c>
      <x:c r="F2644" s="18" t="n">
        <x:v>24.38</x:v>
      </x:c>
      <x:c r="G2644" t="n">
        <x:v>60</x:v>
      </x:c>
      <x:c r="H2644" t="str">
        <x:v>G</x:v>
      </x:c>
      <x:c r="I2644" t="str">
        <x:v>10+ years</x:v>
      </x:c>
      <x:c r="J2644" t="str">
        <x:v>RENT</x:v>
      </x:c>
      <x:c r="K2644" t="str">
        <x:v>credit_card</x:v>
      </x:c>
      <x:c r="L2644" t="n">
        <x:v>1</x:v>
      </x:c>
      <x:c r="M2644" t="n">
        <x:v>0</x:v>
      </x:c>
      <x:c r="N2644" t="str">
        <x:v>Fully Paid</x:v>
      </x:c>
      <x:c r="O2644" t="str">
        <x:f>IF(D2644="","Unknown",IF(D2644&lt;25000,"&lt;$25k",IF(D2644&lt;50000,"$25k-$50k",IF(D2644&lt;75000,"$50k-$75k",IF(D2644&lt;100000,"$75k-$100k","$100k+")))))</x:f>
        <x:v>$50k-$75k</x:v>
      </x:c>
      <x:c r="P2644" t="str">
        <x:f>IF(E2644="","Unknown",IF(E2644&lt;10,"&lt;10",IF(E2644&lt;20,"10-&lt;20",IF(E2644&lt;25,"20-&lt;25",IF(E2644&lt;35,"25-&lt;35","35+")))))</x:f>
        <x:v>20-&lt;25</x:v>
      </x:c>
    </x:row>
    <x:row r="2645">
      <x:c r="A2645" t="str">
        <x:v>SYN0002644</x:v>
      </x:c>
      <x:c r="B2645" s="12" t="n">
        <x:v>43195</x:v>
      </x:c>
      <x:c r="C2645" s="18" t="n">
        <x:v>14387</x:v>
      </x:c>
      <x:c r="D2645" s="18" t="n">
        <x:v>33473</x:v>
      </x:c>
      <x:c r="E2645" s="18" t="n">
        <x:v>37.12</x:v>
      </x:c>
      <x:c r="F2645" s="18" t="n">
        <x:v>12.36</x:v>
      </x:c>
      <x:c r="G2645" t="n">
        <x:v>60</x:v>
      </x:c>
      <x:c r="H2645" t="str">
        <x:v>D</x:v>
      </x:c>
      <x:c r="I2645" t="str">
        <x:v>7-9 years</x:v>
      </x:c>
      <x:c r="J2645" t="str">
        <x:v>MORTGAGE</x:v>
      </x:c>
      <x:c r="K2645" t="str">
        <x:v>credit_card</x:v>
      </x:c>
      <x:c r="L2645" t="n">
        <x:v>0</x:v>
      </x:c>
      <x:c r="M2645" t="n">
        <x:v>0</x:v>
      </x:c>
      <x:c r="N2645" t="str">
        <x:v>Fully Paid</x:v>
      </x:c>
      <x:c r="O2645" t="str">
        <x:f>IF(D2645="","Unknown",IF(D2645&lt;25000,"&lt;$25k",IF(D2645&lt;50000,"$25k-$50k",IF(D2645&lt;75000,"$50k-$75k",IF(D2645&lt;100000,"$75k-$100k","$100k+")))))</x:f>
        <x:v>$25k-$50k</x:v>
      </x:c>
      <x:c r="P2645" t="str">
        <x:f>IF(E2645="","Unknown",IF(E2645&lt;10,"&lt;10",IF(E2645&lt;20,"10-&lt;20",IF(E2645&lt;25,"20-&lt;25",IF(E2645&lt;35,"25-&lt;35","35+")))))</x:f>
        <x:v>35+</x:v>
      </x:c>
    </x:row>
    <x:row r="2646">
      <x:c r="A2646" t="str">
        <x:v>SYN0002645</x:v>
      </x:c>
      <x:c r="B2646" s="12" t="n">
        <x:v>42475</x:v>
      </x:c>
      <x:c r="C2646" s="18" t="n">
        <x:v>5975</x:v>
      </x:c>
      <x:c r="D2646" s="18" t="n">
        <x:v>114292</x:v>
      </x:c>
      <x:c r="E2646" s="18" t="n">
        <x:v>30.15</x:v>
      </x:c>
      <x:c r="F2646" s="18" t="n">
        <x:v>13.55</x:v>
      </x:c>
      <x:c r="G2646" t="n">
        <x:v>36</x:v>
      </x:c>
      <x:c r="H2646" t="str">
        <x:v>C</x:v>
      </x:c>
      <x:c r="I2646" t="str">
        <x:v>10+ years</x:v>
      </x:c>
      <x:c r="J2646" t="str">
        <x:v>MORTGAGE</x:v>
      </x:c>
      <x:c r="K2646" t="str">
        <x:v>debt_consolidation</x:v>
      </x:c>
      <x:c r="L2646" t="n">
        <x:v>1</x:v>
      </x:c>
      <x:c r="M2646" t="n">
        <x:v>0</x:v>
      </x:c>
      <x:c r="N2646" t="str">
        <x:v>Fully Paid</x:v>
      </x:c>
      <x:c r="O2646" t="str">
        <x:f>IF(D2646="","Unknown",IF(D2646&lt;25000,"&lt;$25k",IF(D2646&lt;50000,"$25k-$50k",IF(D2646&lt;75000,"$50k-$75k",IF(D2646&lt;100000,"$75k-$100k","$100k+")))))</x:f>
        <x:v>$100k+</x:v>
      </x:c>
      <x:c r="P2646" t="str">
        <x:f>IF(E2646="","Unknown",IF(E2646&lt;10,"&lt;10",IF(E2646&lt;20,"10-&lt;20",IF(E2646&lt;25,"20-&lt;25",IF(E2646&lt;35,"25-&lt;35","35+")))))</x:f>
        <x:v>25-&lt;35</x:v>
      </x:c>
    </x:row>
    <x:row r="2647">
      <x:c r="A2647" t="str">
        <x:v>SYN0002646</x:v>
      </x:c>
      <x:c r="B2647" s="12" t="n">
        <x:v>43315</x:v>
      </x:c>
      <x:c r="C2647" s="18" t="n">
        <x:v>11201</x:v>
      </x:c>
      <x:c r="D2647" s="18" t="n">
        <x:v>84880</x:v>
      </x:c>
      <x:c r="E2647" s="18" t="n">
        <x:v>22.29</x:v>
      </x:c>
      <x:c r="F2647" s="18" t="n">
        <x:v>7.66</x:v>
      </x:c>
      <x:c r="G2647" t="n">
        <x:v>60</x:v>
      </x:c>
      <x:c r="H2647" t="str">
        <x:v>A</x:v>
      </x:c>
      <x:c r="I2647" t="str">
        <x:v>4-6 years</x:v>
      </x:c>
      <x:c r="J2647" t="str">
        <x:v>OWN</x:v>
      </x:c>
      <x:c r="K2647" t="str">
        <x:v>credit_card</x:v>
      </x:c>
      <x:c r="L2647" t="n">
        <x:v>0</x:v>
      </x:c>
      <x:c r="M2647" t="n">
        <x:v>0</x:v>
      </x:c>
      <x:c r="N2647" t="str">
        <x:v>Fully Paid</x:v>
      </x:c>
      <x:c r="O2647" t="str">
        <x:f>IF(D2647="","Unknown",IF(D2647&lt;25000,"&lt;$25k",IF(D2647&lt;50000,"$25k-$50k",IF(D2647&lt;75000,"$50k-$75k",IF(D2647&lt;100000,"$75k-$100k","$100k+")))))</x:f>
        <x:v>$75k-$100k</x:v>
      </x:c>
      <x:c r="P2647" t="str">
        <x:f>IF(E2647="","Unknown",IF(E2647&lt;10,"&lt;10",IF(E2647&lt;20,"10-&lt;20",IF(E2647&lt;25,"20-&lt;25",IF(E2647&lt;35,"25-&lt;35","35+")))))</x:f>
        <x:v>20-&lt;25</x:v>
      </x:c>
    </x:row>
    <x:row r="2648">
      <x:c r="A2648" t="str">
        <x:v>SYN0002647</x:v>
      </x:c>
      <x:c r="B2648" s="12" t="n">
        <x:v>42745</x:v>
      </x:c>
      <x:c r="C2648" s="18" t="n">
        <x:v>34643</x:v>
      </x:c>
      <x:c r="D2648" s="18" t="n">
        <x:v>71926</x:v>
      </x:c>
      <x:c r="E2648" s="18" t="n">
        <x:v>32.64</x:v>
      </x:c>
      <x:c r="F2648" s="18" t="n">
        <x:v>16.31</x:v>
      </x:c>
      <x:c r="G2648" t="n">
        <x:v>60</x:v>
      </x:c>
      <x:c r="H2648" t="str">
        <x:v>D</x:v>
      </x:c>
      <x:c r="I2648" t="str">
        <x:v>7-9 years</x:v>
      </x:c>
      <x:c r="J2648" t="str">
        <x:v>RENT</x:v>
      </x:c>
      <x:c r="K2648" t="str">
        <x:v>debt_consolidation</x:v>
      </x:c>
      <x:c r="L2648" t="n">
        <x:v>2</x:v>
      </x:c>
      <x:c r="M2648" t="n">
        <x:v>0</x:v>
      </x:c>
      <x:c r="N2648" t="str">
        <x:v>Fully Paid</x:v>
      </x:c>
      <x:c r="O2648" t="str">
        <x:f>IF(D2648="","Unknown",IF(D2648&lt;25000,"&lt;$25k",IF(D2648&lt;50000,"$25k-$50k",IF(D2648&lt;75000,"$50k-$75k",IF(D2648&lt;100000,"$75k-$100k","$100k+")))))</x:f>
        <x:v>$50k-$75k</x:v>
      </x:c>
      <x:c r="P2648" t="str">
        <x:f>IF(E2648="","Unknown",IF(E2648&lt;10,"&lt;10",IF(E2648&lt;20,"10-&lt;20",IF(E2648&lt;25,"20-&lt;25",IF(E2648&lt;35,"25-&lt;35","35+")))))</x:f>
        <x:v>25-&lt;35</x:v>
      </x:c>
    </x:row>
    <x:row r="2649">
      <x:c r="A2649" t="str">
        <x:v>SYN0002648</x:v>
      </x:c>
      <x:c r="B2649" s="12" t="n">
        <x:v>42055</x:v>
      </x:c>
      <x:c r="C2649" s="18" t="n">
        <x:v>11914</x:v>
      </x:c>
      <x:c r="D2649" s="18" t="n">
        <x:v>59401</x:v>
      </x:c>
      <x:c r="E2649" s="18" t="n">
        <x:v>16.97</x:v>
      </x:c>
      <x:c r="F2649" s="18" t="n">
        <x:v>12.75</x:v>
      </x:c>
      <x:c r="G2649" t="n">
        <x:v>60</x:v>
      </x:c>
      <x:c r="H2649" t="str">
        <x:v>C</x:v>
      </x:c>
      <x:c r="I2649" t="str">
        <x:v>10+ years</x:v>
      </x:c>
      <x:c r="J2649" t="str">
        <x:v>RENT</x:v>
      </x:c>
      <x:c r="K2649" t="str">
        <x:v>credit_card</x:v>
      </x:c>
      <x:c r="L2649" t="n">
        <x:v>1</x:v>
      </x:c>
      <x:c r="M2649" t="n">
        <x:v>0</x:v>
      </x:c>
      <x:c r="N2649" t="str">
        <x:v>Fully Paid</x:v>
      </x:c>
      <x:c r="O2649" t="str">
        <x:f>IF(D2649="","Unknown",IF(D2649&lt;25000,"&lt;$25k",IF(D2649&lt;50000,"$25k-$50k",IF(D2649&lt;75000,"$50k-$75k",IF(D2649&lt;100000,"$75k-$100k","$100k+")))))</x:f>
        <x:v>$50k-$75k</x:v>
      </x:c>
      <x:c r="P2649" t="str">
        <x:f>IF(E2649="","Unknown",IF(E2649&lt;10,"&lt;10",IF(E2649&lt;20,"10-&lt;20",IF(E2649&lt;25,"20-&lt;25",IF(E2649&lt;35,"25-&lt;35","35+")))))</x:f>
        <x:v>10-&lt;20</x:v>
      </x:c>
    </x:row>
    <x:row r="2650">
      <x:c r="A2650" t="str">
        <x:v>SYN0002649</x:v>
      </x:c>
      <x:c r="B2650" s="12" t="n">
        <x:v>43285</x:v>
      </x:c>
      <x:c r="C2650" s="18" t="n">
        <x:v>13080</x:v>
      </x:c>
      <x:c r="D2650" s="18" t="n">
        <x:v>19865</x:v>
      </x:c>
      <x:c r="E2650" s="18" t="n">
        <x:v>12.88</x:v>
      </x:c>
      <x:c r="F2650" s="18" t="n">
        <x:v>10.86</x:v>
      </x:c>
      <x:c r="G2650" t="n">
        <x:v>60</x:v>
      </x:c>
      <x:c r="H2650" t="str">
        <x:v>C</x:v>
      </x:c>
      <x:c r="I2650" t="str">
        <x:v>10+ years</x:v>
      </x:c>
      <x:c r="J2650" t="str">
        <x:v>MORTGAGE</x:v>
      </x:c>
      <x:c r="K2650" t="str">
        <x:v>debt_consolidation</x:v>
      </x:c>
      <x:c r="L2650" t="n">
        <x:v>0</x:v>
      </x:c>
      <x:c r="M2650" t="n">
        <x:v>0</x:v>
      </x:c>
      <x:c r="N2650" t="str">
        <x:v>Fully Paid</x:v>
      </x:c>
      <x:c r="O2650" t="str">
        <x:f>IF(D2650="","Unknown",IF(D2650&lt;25000,"&lt;$25k",IF(D2650&lt;50000,"$25k-$50k",IF(D2650&lt;75000,"$50k-$75k",IF(D2650&lt;100000,"$75k-$100k","$100k+")))))</x:f>
        <x:v>&lt;$25k</x:v>
      </x:c>
      <x:c r="P2650" t="str">
        <x:f>IF(E2650="","Unknown",IF(E2650&lt;10,"&lt;10",IF(E2650&lt;20,"10-&lt;20",IF(E2650&lt;25,"20-&lt;25",IF(E2650&lt;35,"25-&lt;35","35+")))))</x:f>
        <x:v>10-&lt;20</x:v>
      </x:c>
    </x:row>
    <x:row r="2651">
      <x:c r="A2651" t="str">
        <x:v>SYN0002650</x:v>
      </x:c>
      <x:c r="B2651" s="12" t="n">
        <x:v>42415</x:v>
      </x:c>
      <x:c r="C2651" s="18" t="n">
        <x:v>14461</x:v>
      </x:c>
      <x:c r="D2651" s="18" t="n">
        <x:v>31159</x:v>
      </x:c>
      <x:c r="E2651" s="18" t="n">
        <x:v>24.79</x:v>
      </x:c>
      <x:c r="F2651" s="18" t="n">
        <x:v>16.5</x:v>
      </x:c>
      <x:c r="G2651" t="n">
        <x:v>60</x:v>
      </x:c>
      <x:c r="H2651" t="str">
        <x:v>E</x:v>
      </x:c>
      <x:c r="I2651" t="str">
        <x:v>7-9 years</x:v>
      </x:c>
      <x:c r="J2651" t="str">
        <x:v>MORTGAGE</x:v>
      </x:c>
      <x:c r="K2651" t="str">
        <x:v>home_improvement</x:v>
      </x:c>
      <x:c r="L2651" t="n">
        <x:v>2</x:v>
      </x:c>
      <x:c r="M2651" t="n">
        <x:v>1</x:v>
      </x:c>
      <x:c r="N2651" t="str">
        <x:v>Charged Off</x:v>
      </x:c>
      <x:c r="O2651" t="str">
        <x:f>IF(D2651="","Unknown",IF(D2651&lt;25000,"&lt;$25k",IF(D2651&lt;50000,"$25k-$50k",IF(D2651&lt;75000,"$50k-$75k",IF(D2651&lt;100000,"$75k-$100k","$100k+")))))</x:f>
        <x:v>$25k-$50k</x:v>
      </x:c>
      <x:c r="P2651" t="str">
        <x:f>IF(E2651="","Unknown",IF(E2651&lt;10,"&lt;10",IF(E2651&lt;20,"10-&lt;20",IF(E2651&lt;25,"20-&lt;25",IF(E2651&lt;35,"25-&lt;35","35+")))))</x:f>
        <x:v>20-&lt;25</x:v>
      </x:c>
    </x:row>
    <x:row r="2652">
      <x:c r="A2652" t="str">
        <x:v>SYN0002651</x:v>
      </x:c>
      <x:c r="B2652" s="12" t="n">
        <x:v>42685</x:v>
      </x:c>
      <x:c r="C2652" s="18" t="n">
        <x:v>17363</x:v>
      </x:c>
      <x:c r="D2652" s="18" t="n">
        <x:v>55547</x:v>
      </x:c>
      <x:c r="E2652" s="18" t="n">
        <x:v>12.58</x:v>
      </x:c>
      <x:c r="F2652" s="18" t="n">
        <x:v>13.87</x:v>
      </x:c>
      <x:c r="G2652" t="n">
        <x:v>36</x:v>
      </x:c>
      <x:c r="H2652" t="str">
        <x:v>D</x:v>
      </x:c>
      <x:c r="I2652" t="str">
        <x:v>7-9 years</x:v>
      </x:c>
      <x:c r="J2652" t="str">
        <x:v>OWN</x:v>
      </x:c>
      <x:c r="K2652" t="str">
        <x:v>major_purchase</x:v>
      </x:c>
      <x:c r="L2652" t="n">
        <x:v>0</x:v>
      </x:c>
      <x:c r="M2652" t="n">
        <x:v>0</x:v>
      </x:c>
      <x:c r="N2652" t="str">
        <x:v>Fully Paid</x:v>
      </x:c>
      <x:c r="O2652" t="str">
        <x:f>IF(D2652="","Unknown",IF(D2652&lt;25000,"&lt;$25k",IF(D2652&lt;50000,"$25k-$50k",IF(D2652&lt;75000,"$50k-$75k",IF(D2652&lt;100000,"$75k-$100k","$100k+")))))</x:f>
        <x:v>$50k-$75k</x:v>
      </x:c>
      <x:c r="P2652" t="str">
        <x:f>IF(E2652="","Unknown",IF(E2652&lt;10,"&lt;10",IF(E2652&lt;20,"10-&lt;20",IF(E2652&lt;25,"20-&lt;25",IF(E2652&lt;35,"25-&lt;35","35+")))))</x:f>
        <x:v>10-&lt;20</x:v>
      </x:c>
    </x:row>
    <x:row r="2653">
      <x:c r="A2653" t="str">
        <x:v>SYN0002652</x:v>
      </x:c>
      <x:c r="B2653" s="12" t="n">
        <x:v>41815</x:v>
      </x:c>
      <x:c r="C2653" s="18" t="n">
        <x:v>7069</x:v>
      </x:c>
      <x:c r="D2653" s="18" t="n">
        <x:v>40418</x:v>
      </x:c>
      <x:c r="E2653" s="18" t="n">
        <x:v>18.28</x:v>
      </x:c>
      <x:c r="F2653" s="18" t="n">
        <x:v>7.37</x:v>
      </x:c>
      <x:c r="G2653" t="n">
        <x:v>36</x:v>
      </x:c>
      <x:c r="H2653" t="str">
        <x:v>A</x:v>
      </x:c>
      <x:c r="I2653" t="str">
        <x:v>4-6 years</x:v>
      </x:c>
      <x:c r="J2653" t="str">
        <x:v>MORTGAGE</x:v>
      </x:c>
      <x:c r="K2653" t="str">
        <x:v>credit_card</x:v>
      </x:c>
      <x:c r="L2653" t="n">
        <x:v>0</x:v>
      </x:c>
      <x:c r="M2653" t="n">
        <x:v>0</x:v>
      </x:c>
      <x:c r="N2653" t="str">
        <x:v>Fully Paid</x:v>
      </x:c>
      <x:c r="O2653" t="str">
        <x:f>IF(D2653="","Unknown",IF(D2653&lt;25000,"&lt;$25k",IF(D2653&lt;50000,"$25k-$50k",IF(D2653&lt;75000,"$50k-$75k",IF(D2653&lt;100000,"$75k-$100k","$100k+")))))</x:f>
        <x:v>$25k-$50k</x:v>
      </x:c>
      <x:c r="P2653" t="str">
        <x:f>IF(E2653="","Unknown",IF(E2653&lt;10,"&lt;10",IF(E2653&lt;20,"10-&lt;20",IF(E2653&lt;25,"20-&lt;25",IF(E2653&lt;35,"25-&lt;35","35+")))))</x:f>
        <x:v>10-&lt;20</x:v>
      </x:c>
    </x:row>
    <x:row r="2654">
      <x:c r="A2654" t="str">
        <x:v>SYN0002653</x:v>
      </x:c>
      <x:c r="B2654" s="12" t="n">
        <x:v>42625</x:v>
      </x:c>
      <x:c r="C2654" s="18" t="n">
        <x:v>11467</x:v>
      </x:c>
      <x:c r="D2654" s="18" t="n">
        <x:v>53804</x:v>
      </x:c>
      <x:c r="E2654" s="18" t="n">
        <x:v>40.75</x:v>
      </x:c>
      <x:c r="F2654" s="18" t="n">
        <x:v>15.14</x:v>
      </x:c>
      <x:c r="G2654" t="n">
        <x:v>36</x:v>
      </x:c>
      <x:c r="H2654" t="str">
        <x:v>D</x:v>
      </x:c>
      <x:c r="I2654" t="str">
        <x:v>4-6 years</x:v>
      </x:c>
      <x:c r="J2654" t="str">
        <x:v>MORTGAGE</x:v>
      </x:c>
      <x:c r="K2654" t="str">
        <x:v>other</x:v>
      </x:c>
      <x:c r="L2654" t="n">
        <x:v>0</x:v>
      </x:c>
      <x:c r="M2654" t="n">
        <x:v>1</x:v>
      </x:c>
      <x:c r="N2654" t="str">
        <x:v>Charged Off</x:v>
      </x:c>
      <x:c r="O2654" t="str">
        <x:f>IF(D2654="","Unknown",IF(D2654&lt;25000,"&lt;$25k",IF(D2654&lt;50000,"$25k-$50k",IF(D2654&lt;75000,"$50k-$75k",IF(D2654&lt;100000,"$75k-$100k","$100k+")))))</x:f>
        <x:v>$50k-$75k</x:v>
      </x:c>
      <x:c r="P2654" t="str">
        <x:f>IF(E2654="","Unknown",IF(E2654&lt;10,"&lt;10",IF(E2654&lt;20,"10-&lt;20",IF(E2654&lt;25,"20-&lt;25",IF(E2654&lt;35,"25-&lt;35","35+")))))</x:f>
        <x:v>35+</x:v>
      </x:c>
    </x:row>
    <x:row r="2655">
      <x:c r="A2655" t="str">
        <x:v>SYN0002654</x:v>
      </x:c>
      <x:c r="B2655" s="12" t="n">
        <x:v>41755</x:v>
      </x:c>
      <x:c r="C2655" s="18" t="n">
        <x:v>22314</x:v>
      </x:c>
      <x:c r="D2655" s="18" t="n">
        <x:v>37099</x:v>
      </x:c>
      <x:c r="E2655" s="18" t="n">
        <x:v>38.65</x:v>
      </x:c>
      <x:c r="F2655" s="18" t="n">
        <x:v>26.71</x:v>
      </x:c>
      <x:c r="G2655" t="n">
        <x:v>60</x:v>
      </x:c>
      <x:c r="H2655" t="str">
        <x:v>G</x:v>
      </x:c>
      <x:c r="I2655" t="str">
        <x:v>&lt;1 year</x:v>
      </x:c>
      <x:c r="J2655" t="str">
        <x:v>OTHER</x:v>
      </x:c>
      <x:c r="K2655" t="str">
        <x:v>credit_card</x:v>
      </x:c>
      <x:c r="L2655" t="n">
        <x:v>0</x:v>
      </x:c>
      <x:c r="M2655" t="n">
        <x:v>0</x:v>
      </x:c>
      <x:c r="N2655" t="str">
        <x:v>Fully Paid</x:v>
      </x:c>
      <x:c r="O2655" t="str">
        <x:f>IF(D2655="","Unknown",IF(D2655&lt;25000,"&lt;$25k",IF(D2655&lt;50000,"$25k-$50k",IF(D2655&lt;75000,"$50k-$75k",IF(D2655&lt;100000,"$75k-$100k","$100k+")))))</x:f>
        <x:v>$25k-$50k</x:v>
      </x:c>
      <x:c r="P2655" t="str">
        <x:f>IF(E2655="","Unknown",IF(E2655&lt;10,"&lt;10",IF(E2655&lt;20,"10-&lt;20",IF(E2655&lt;25,"20-&lt;25",IF(E2655&lt;35,"25-&lt;35","35+")))))</x:f>
        <x:v>35+</x:v>
      </x:c>
    </x:row>
    <x:row r="2656">
      <x:c r="A2656" t="str">
        <x:v>SYN0002655</x:v>
      </x:c>
      <x:c r="B2656" s="12" t="n">
        <x:v>42025</x:v>
      </x:c>
      <x:c r="C2656" s="18" t="n">
        <x:v>8723</x:v>
      </x:c>
      <x:c r="D2656" s="18" t="n">
        <x:v>52516</x:v>
      </x:c>
      <x:c r="E2656" s="18" t="n">
        <x:v>20.76</x:v>
      </x:c>
      <x:c r="F2656" s="18" t="n">
        <x:v>5.12</x:v>
      </x:c>
      <x:c r="G2656" t="n">
        <x:v>60</x:v>
      </x:c>
      <x:c r="H2656" t="str">
        <x:v>A</x:v>
      </x:c>
      <x:c r="I2656" t="str">
        <x:v>4-6 years</x:v>
      </x:c>
      <x:c r="J2656" t="str">
        <x:v>MORTGAGE</x:v>
      </x:c>
      <x:c r="K2656" t="str">
        <x:v>debt_consolidation</x:v>
      </x:c>
      <x:c r="L2656" t="n">
        <x:v>0</x:v>
      </x:c>
      <x:c r="M2656" t="n">
        <x:v>0</x:v>
      </x:c>
      <x:c r="N2656" t="str">
        <x:v>Fully Paid</x:v>
      </x:c>
      <x:c r="O2656" t="str">
        <x:f>IF(D2656="","Unknown",IF(D2656&lt;25000,"&lt;$25k",IF(D2656&lt;50000,"$25k-$50k",IF(D2656&lt;75000,"$50k-$75k",IF(D2656&lt;100000,"$75k-$100k","$100k+")))))</x:f>
        <x:v>$50k-$75k</x:v>
      </x:c>
      <x:c r="P2656" t="str">
        <x:f>IF(E2656="","Unknown",IF(E2656&lt;10,"&lt;10",IF(E2656&lt;20,"10-&lt;20",IF(E2656&lt;25,"20-&lt;25",IF(E2656&lt;35,"25-&lt;35","35+")))))</x:f>
        <x:v>20-&lt;25</x:v>
      </x:c>
    </x:row>
    <x:row r="2657">
      <x:c r="A2657" t="str">
        <x:v>SYN0002656</x:v>
      </x:c>
      <x:c r="B2657" s="12" t="n">
        <x:v>42805</x:v>
      </x:c>
      <x:c r="C2657" s="18" t="n">
        <x:v>11004</x:v>
      </x:c>
      <x:c r="D2657" s="18" t="n">
        <x:v>119613</x:v>
      </x:c>
      <x:c r="E2657" s="18" t="n">
        <x:v>6.4</x:v>
      </x:c>
      <x:c r="F2657" s="18" t="n">
        <x:v>10.04</x:v>
      </x:c>
      <x:c r="G2657" t="n">
        <x:v>36</x:v>
      </x:c>
      <x:c r="H2657" t="str">
        <x:v>C</x:v>
      </x:c>
      <x:c r="I2657" t="str">
        <x:v>&lt;1 year</x:v>
      </x:c>
      <x:c r="J2657" t="str">
        <x:v>RENT</x:v>
      </x:c>
      <x:c r="K2657" t="str">
        <x:v>debt_consolidation</x:v>
      </x:c>
      <x:c r="L2657" t="n">
        <x:v>1</x:v>
      </x:c>
      <x:c r="M2657" t="n">
        <x:v>0</x:v>
      </x:c>
      <x:c r="N2657" t="str">
        <x:v>Fully Paid</x:v>
      </x:c>
      <x:c r="O2657" t="str">
        <x:f>IF(D2657="","Unknown",IF(D2657&lt;25000,"&lt;$25k",IF(D2657&lt;50000,"$25k-$50k",IF(D2657&lt;75000,"$50k-$75k",IF(D2657&lt;100000,"$75k-$100k","$100k+")))))</x:f>
        <x:v>$100k+</x:v>
      </x:c>
      <x:c r="P2657" t="str">
        <x:f>IF(E2657="","Unknown",IF(E2657&lt;10,"&lt;10",IF(E2657&lt;20,"10-&lt;20",IF(E2657&lt;25,"20-&lt;25",IF(E2657&lt;35,"25-&lt;35","35+")))))</x:f>
        <x:v>&lt;10</x:v>
      </x:c>
    </x:row>
    <x:row r="2658">
      <x:c r="A2658" t="str">
        <x:v>SYN0002657</x:v>
      </x:c>
      <x:c r="B2658" s="12" t="n">
        <x:v>43135</x:v>
      </x:c>
      <x:c r="C2658" s="18" t="n">
        <x:v>17443</x:v>
      </x:c>
      <x:c r="D2658" s="18" t="n">
        <x:v>16740</x:v>
      </x:c>
      <x:c r="E2658" s="18" t="n">
        <x:v>13.31</x:v>
      </x:c>
      <x:c r="F2658" s="18" t="n">
        <x:v>10.05</x:v>
      </x:c>
      <x:c r="G2658" t="n">
        <x:v>36</x:v>
      </x:c>
      <x:c r="H2658" t="str">
        <x:v>C</x:v>
      </x:c>
      <x:c r="I2658" t="str">
        <x:v>7-9 years</x:v>
      </x:c>
      <x:c r="J2658" t="str">
        <x:v>OWN</x:v>
      </x:c>
      <x:c r="K2658" t="str">
        <x:v>debt_consolidation</x:v>
      </x:c>
      <x:c r="L2658" t="n">
        <x:v>0</x:v>
      </x:c>
      <x:c r="M2658" t="n">
        <x:v>0</x:v>
      </x:c>
      <x:c r="N2658" t="str">
        <x:v>Fully Paid</x:v>
      </x:c>
      <x:c r="O2658" t="str">
        <x:f>IF(D2658="","Unknown",IF(D2658&lt;25000,"&lt;$25k",IF(D2658&lt;50000,"$25k-$50k",IF(D2658&lt;75000,"$50k-$75k",IF(D2658&lt;100000,"$75k-$100k","$100k+")))))</x:f>
        <x:v>&lt;$25k</x:v>
      </x:c>
      <x:c r="P2658" t="str">
        <x:f>IF(E2658="","Unknown",IF(E2658&lt;10,"&lt;10",IF(E2658&lt;20,"10-&lt;20",IF(E2658&lt;25,"20-&lt;25",IF(E2658&lt;35,"25-&lt;35","35+")))))</x:f>
        <x:v>10-&lt;20</x:v>
      </x:c>
    </x:row>
    <x:row r="2659">
      <x:c r="A2659" t="str">
        <x:v>SYN0002658</x:v>
      </x:c>
      <x:c r="B2659" s="12" t="n">
        <x:v>43165</x:v>
      </x:c>
      <x:c r="C2659" s="18" t="n">
        <x:v>17027</x:v>
      </x:c>
      <x:c r="D2659" s="18" t="n">
        <x:v>53307</x:v>
      </x:c>
      <x:c r="E2659" s="18" t="n">
        <x:v>22.43</x:v>
      </x:c>
      <x:c r="F2659" s="18" t="n">
        <x:v>7.64</x:v>
      </x:c>
      <x:c r="G2659" t="n">
        <x:v>60</x:v>
      </x:c>
      <x:c r="H2659" t="str">
        <x:v>B</x:v>
      </x:c>
      <x:c r="I2659" t="str">
        <x:v>7-9 years</x:v>
      </x:c>
      <x:c r="J2659" t="str">
        <x:v>RENT</x:v>
      </x:c>
      <x:c r="K2659" t="str">
        <x:v>debt_consolidation</x:v>
      </x:c>
      <x:c r="L2659" t="n">
        <x:v>0</x:v>
      </x:c>
      <x:c r="M2659" t="n">
        <x:v>0</x:v>
      </x:c>
      <x:c r="N2659" t="str">
        <x:v>Fully Paid</x:v>
      </x:c>
      <x:c r="O2659" t="str">
        <x:f>IF(D2659="","Unknown",IF(D2659&lt;25000,"&lt;$25k",IF(D2659&lt;50000,"$25k-$50k",IF(D2659&lt;75000,"$50k-$75k",IF(D2659&lt;100000,"$75k-$100k","$100k+")))))</x:f>
        <x:v>$50k-$75k</x:v>
      </x:c>
      <x:c r="P2659" t="str">
        <x:f>IF(E2659="","Unknown",IF(E2659&lt;10,"&lt;10",IF(E2659&lt;20,"10-&lt;20",IF(E2659&lt;25,"20-&lt;25",IF(E2659&lt;35,"25-&lt;35","35+")))))</x:f>
        <x:v>20-&lt;25</x:v>
      </x:c>
    </x:row>
    <x:row r="2660">
      <x:c r="A2660" t="str">
        <x:v>SYN0002659</x:v>
      </x:c>
      <x:c r="B2660" s="12" t="n">
        <x:v>42445</x:v>
      </x:c>
      <x:c r="C2660" s="18" t="n">
        <x:v>15255</x:v>
      </x:c>
      <x:c r="D2660" s="18" t="n">
        <x:v>31856</x:v>
      </x:c>
      <x:c r="E2660" s="18" t="n">
        <x:v>29.76</x:v>
      </x:c>
      <x:c r="F2660" s="18" t="n">
        <x:v>19.51</x:v>
      </x:c>
      <x:c r="G2660" t="n">
        <x:v>36</x:v>
      </x:c>
      <x:c r="H2660" t="str">
        <x:v>E</x:v>
      </x:c>
      <x:c r="I2660" t="str">
        <x:v>7-9 years</x:v>
      </x:c>
      <x:c r="J2660" t="str">
        <x:v>MORTGAGE</x:v>
      </x:c>
      <x:c r="K2660" t="str">
        <x:v>debt_consolidation</x:v>
      </x:c>
      <x:c r="L2660" t="n">
        <x:v>0</x:v>
      </x:c>
      <x:c r="M2660" t="n">
        <x:v>0</x:v>
      </x:c>
      <x:c r="N2660" t="str">
        <x:v>Fully Paid</x:v>
      </x:c>
      <x:c r="O2660" t="str">
        <x:f>IF(D2660="","Unknown",IF(D2660&lt;25000,"&lt;$25k",IF(D2660&lt;50000,"$25k-$50k",IF(D2660&lt;75000,"$50k-$75k",IF(D2660&lt;100000,"$75k-$100k","$100k+")))))</x:f>
        <x:v>$25k-$50k</x:v>
      </x:c>
      <x:c r="P2660" t="str">
        <x:f>IF(E2660="","Unknown",IF(E2660&lt;10,"&lt;10",IF(E2660&lt;20,"10-&lt;20",IF(E2660&lt;25,"20-&lt;25",IF(E2660&lt;35,"25-&lt;35","35+")))))</x:f>
        <x:v>25-&lt;35</x:v>
      </x:c>
    </x:row>
    <x:row r="2661">
      <x:c r="A2661" t="str">
        <x:v>SYN0002660</x:v>
      </x:c>
      <x:c r="B2661" s="12" t="n">
        <x:v>42265</x:v>
      </x:c>
      <x:c r="C2661" s="18" t="n">
        <x:v>12182</x:v>
      </x:c>
      <x:c r="D2661" s="18" t="n">
        <x:v>102037</x:v>
      </x:c>
      <x:c r="E2661" s="18" t="n">
        <x:v>30.03</x:v>
      </x:c>
      <x:c r="F2661" s="18" t="n">
        <x:v>20.48</x:v>
      </x:c>
      <x:c r="G2661" t="n">
        <x:v>60</x:v>
      </x:c>
      <x:c r="H2661" t="str">
        <x:v>E</x:v>
      </x:c>
      <x:c r="I2661" t="str">
        <x:v>7-9 years</x:v>
      </x:c>
      <x:c r="J2661" t="str">
        <x:v>MORTGAGE</x:v>
      </x:c>
      <x:c r="K2661" t="str">
        <x:v>debt_consolidation</x:v>
      </x:c>
      <x:c r="L2661" t="n">
        <x:v>0</x:v>
      </x:c>
      <x:c r="M2661" t="n">
        <x:v>0</x:v>
      </x:c>
      <x:c r="N2661" t="str">
        <x:v>Fully Paid</x:v>
      </x:c>
      <x:c r="O2661" t="str">
        <x:f>IF(D2661="","Unknown",IF(D2661&lt;25000,"&lt;$25k",IF(D2661&lt;50000,"$25k-$50k",IF(D2661&lt;75000,"$50k-$75k",IF(D2661&lt;100000,"$75k-$100k","$100k+")))))</x:f>
        <x:v>$100k+</x:v>
      </x:c>
      <x:c r="P2661" t="str">
        <x:f>IF(E2661="","Unknown",IF(E2661&lt;10,"&lt;10",IF(E2661&lt;20,"10-&lt;20",IF(E2661&lt;25,"20-&lt;25",IF(E2661&lt;35,"25-&lt;35","35+")))))</x:f>
        <x:v>25-&lt;35</x:v>
      </x:c>
    </x:row>
    <x:row r="2662">
      <x:c r="A2662" t="str">
        <x:v>SYN0002661</x:v>
      </x:c>
      <x:c r="B2662" s="12" t="n">
        <x:v>41635</x:v>
      </x:c>
      <x:c r="C2662" s="18" t="n">
        <x:v>12994</x:v>
      </x:c>
      <x:c r="D2662" s="18" t="n">
        <x:v>59501</x:v>
      </x:c>
      <x:c r="E2662" s="18" t="n">
        <x:v>26.62</x:v>
      </x:c>
      <x:c r="F2662" s="18" t="n">
        <x:v>10</x:v>
      </x:c>
      <x:c r="G2662" t="n">
        <x:v>60</x:v>
      </x:c>
      <x:c r="H2662" t="str">
        <x:v>B</x:v>
      </x:c>
      <x:c r="I2662" t="str">
        <x:v>10+ years</x:v>
      </x:c>
      <x:c r="J2662" t="str">
        <x:v>MORTGAGE</x:v>
      </x:c>
      <x:c r="K2662" t="str">
        <x:v>debt_consolidation</x:v>
      </x:c>
      <x:c r="L2662" t="n">
        <x:v>0</x:v>
      </x:c>
      <x:c r="M2662" t="n">
        <x:v>0</x:v>
      </x:c>
      <x:c r="N2662" t="str">
        <x:v>Fully Paid</x:v>
      </x:c>
      <x:c r="O2662" t="str">
        <x:f>IF(D2662="","Unknown",IF(D2662&lt;25000,"&lt;$25k",IF(D2662&lt;50000,"$25k-$50k",IF(D2662&lt;75000,"$50k-$75k",IF(D2662&lt;100000,"$75k-$100k","$100k+")))))</x:f>
        <x:v>$50k-$75k</x:v>
      </x:c>
      <x:c r="P2662" t="str">
        <x:f>IF(E2662="","Unknown",IF(E2662&lt;10,"&lt;10",IF(E2662&lt;20,"10-&lt;20",IF(E2662&lt;25,"20-&lt;25",IF(E2662&lt;35,"25-&lt;35","35+")))))</x:f>
        <x:v>25-&lt;35</x:v>
      </x:c>
    </x:row>
    <x:row r="2663">
      <x:c r="A2663" t="str">
        <x:v>SYN0002662</x:v>
      </x:c>
      <x:c r="B2663" s="12" t="n">
        <x:v>42955</x:v>
      </x:c>
      <x:c r="C2663" s="18" t="n">
        <x:v>14136</x:v>
      </x:c>
      <x:c r="D2663" s="18" t="n">
        <x:v>27804</x:v>
      </x:c>
      <x:c r="E2663" s="18" t="n">
        <x:v>14.95</x:v>
      </x:c>
      <x:c r="F2663" s="18" t="n">
        <x:v>30.34</x:v>
      </x:c>
      <x:c r="G2663" t="n">
        <x:v>36</x:v>
      </x:c>
      <x:c r="H2663" t="str">
        <x:v>G</x:v>
      </x:c>
      <x:c r="I2663" t="str">
        <x:v>1-3 years</x:v>
      </x:c>
      <x:c r="J2663" t="str">
        <x:v>RENT</x:v>
      </x:c>
      <x:c r="K2663" t="str">
        <x:v>medical</x:v>
      </x:c>
      <x:c r="L2663" t="n">
        <x:v>1</x:v>
      </x:c>
      <x:c r="M2663" t="n">
        <x:v>0</x:v>
      </x:c>
      <x:c r="N2663" t="str">
        <x:v>Fully Paid</x:v>
      </x:c>
      <x:c r="O2663" t="str">
        <x:f>IF(D2663="","Unknown",IF(D2663&lt;25000,"&lt;$25k",IF(D2663&lt;50000,"$25k-$50k",IF(D2663&lt;75000,"$50k-$75k",IF(D2663&lt;100000,"$75k-$100k","$100k+")))))</x:f>
        <x:v>$25k-$50k</x:v>
      </x:c>
      <x:c r="P2663" t="str">
        <x:f>IF(E2663="","Unknown",IF(E2663&lt;10,"&lt;10",IF(E2663&lt;20,"10-&lt;20",IF(E2663&lt;25,"20-&lt;25",IF(E2663&lt;35,"25-&lt;35","35+")))))</x:f>
        <x:v>10-&lt;20</x:v>
      </x:c>
    </x:row>
    <x:row r="2664">
      <x:c r="A2664" t="str">
        <x:v>SYN0002663</x:v>
      </x:c>
      <x:c r="B2664" s="12" t="n">
        <x:v>42475</x:v>
      </x:c>
      <x:c r="C2664" s="18" t="n">
        <x:v>13676</x:v>
      </x:c>
      <x:c r="D2664" s="18" t="n">
        <x:v>50248</x:v>
      </x:c>
      <x:c r="E2664" s="18" t="n">
        <x:v>13.63</x:v>
      </x:c>
      <x:c r="F2664" s="18" t="n">
        <x:v>10.28</x:v>
      </x:c>
      <x:c r="G2664" t="n">
        <x:v>36</x:v>
      </x:c>
      <x:c r="H2664" t="str">
        <x:v>C</x:v>
      </x:c>
      <x:c r="I2664" t="str">
        <x:v>10+ years</x:v>
      </x:c>
      <x:c r="J2664" t="str">
        <x:v>RENT</x:v>
      </x:c>
      <x:c r="K2664" t="str">
        <x:v>major_purchase</x:v>
      </x:c>
      <x:c r="L2664" t="n">
        <x:v>0</x:v>
      </x:c>
      <x:c r="M2664" t="n">
        <x:v>1</x:v>
      </x:c>
      <x:c r="N2664" t="str">
        <x:v>Charged Off</x:v>
      </x:c>
      <x:c r="O2664" t="str">
        <x:f>IF(D2664="","Unknown",IF(D2664&lt;25000,"&lt;$25k",IF(D2664&lt;50000,"$25k-$50k",IF(D2664&lt;75000,"$50k-$75k",IF(D2664&lt;100000,"$75k-$100k","$100k+")))))</x:f>
        <x:v>$50k-$75k</x:v>
      </x:c>
      <x:c r="P2664" t="str">
        <x:f>IF(E2664="","Unknown",IF(E2664&lt;10,"&lt;10",IF(E2664&lt;20,"10-&lt;20",IF(E2664&lt;25,"20-&lt;25",IF(E2664&lt;35,"25-&lt;35","35+")))))</x:f>
        <x:v>10-&lt;20</x:v>
      </x:c>
    </x:row>
    <x:row r="2665">
      <x:c r="A2665" t="str">
        <x:v>SYN0002664</x:v>
      </x:c>
      <x:c r="B2665" s="12" t="n">
        <x:v>41755</x:v>
      </x:c>
      <x:c r="C2665" s="18" t="n">
        <x:v>9899</x:v>
      </x:c>
      <x:c r="D2665" s="18" t="n">
        <x:v>29408</x:v>
      </x:c>
      <x:c r="E2665" s="18" t="n">
        <x:v>27.57</x:v>
      </x:c>
      <x:c r="F2665" s="18" t="n">
        <x:v>17.26</x:v>
      </x:c>
      <x:c r="G2665" t="n">
        <x:v>60</x:v>
      </x:c>
      <x:c r="H2665" t="str">
        <x:v>D</x:v>
      </x:c>
      <x:c r="I2665" t="str">
        <x:v>4-6 years</x:v>
      </x:c>
      <x:c r="J2665" t="str">
        <x:v>MORTGAGE</x:v>
      </x:c>
      <x:c r="K2665" t="str">
        <x:v>other</x:v>
      </x:c>
      <x:c r="L2665" t="n">
        <x:v>0</x:v>
      </x:c>
      <x:c r="M2665" t="n">
        <x:v>0</x:v>
      </x:c>
      <x:c r="N2665" t="str">
        <x:v>Fully Paid</x:v>
      </x:c>
      <x:c r="O2665" t="str">
        <x:f>IF(D2665="","Unknown",IF(D2665&lt;25000,"&lt;$25k",IF(D2665&lt;50000,"$25k-$50k",IF(D2665&lt;75000,"$50k-$75k",IF(D2665&lt;100000,"$75k-$100k","$100k+")))))</x:f>
        <x:v>$25k-$50k</x:v>
      </x:c>
      <x:c r="P2665" t="str">
        <x:f>IF(E2665="","Unknown",IF(E2665&lt;10,"&lt;10",IF(E2665&lt;20,"10-&lt;20",IF(E2665&lt;25,"20-&lt;25",IF(E2665&lt;35,"25-&lt;35","35+")))))</x:f>
        <x:v>25-&lt;35</x:v>
      </x:c>
    </x:row>
    <x:row r="2666">
      <x:c r="A2666" t="str">
        <x:v>SYN0002665</x:v>
      </x:c>
      <x:c r="B2666" s="12" t="n">
        <x:v>41875</x:v>
      </x:c>
      <x:c r="C2666" s="18" t="n">
        <x:v>3760</x:v>
      </x:c>
      <x:c r="D2666" s="18" t="n">
        <x:v>67553</x:v>
      </x:c>
      <x:c r="E2666" s="18" t="n">
        <x:v>34.19</x:v>
      </x:c>
      <x:c r="F2666" s="18" t="n">
        <x:v>9.27</x:v>
      </x:c>
      <x:c r="G2666" t="n">
        <x:v>36</x:v>
      </x:c>
      <x:c r="H2666" t="str">
        <x:v>B</x:v>
      </x:c>
      <x:c r="I2666" t="str">
        <x:v>7-9 years</x:v>
      </x:c>
      <x:c r="J2666" t="str">
        <x:v>RENT</x:v>
      </x:c>
      <x:c r="K2666" t="str">
        <x:v>credit_card</x:v>
      </x:c>
      <x:c r="L2666" t="n">
        <x:v>1</x:v>
      </x:c>
      <x:c r="M2666" t="n">
        <x:v>0</x:v>
      </x:c>
      <x:c r="N2666" t="str">
        <x:v>Fully Paid</x:v>
      </x:c>
      <x:c r="O2666" t="str">
        <x:f>IF(D2666="","Unknown",IF(D2666&lt;25000,"&lt;$25k",IF(D2666&lt;50000,"$25k-$50k",IF(D2666&lt;75000,"$50k-$75k",IF(D2666&lt;100000,"$75k-$100k","$100k+")))))</x:f>
        <x:v>$50k-$75k</x:v>
      </x:c>
      <x:c r="P2666" t="str">
        <x:f>IF(E2666="","Unknown",IF(E2666&lt;10,"&lt;10",IF(E2666&lt;20,"10-&lt;20",IF(E2666&lt;25,"20-&lt;25",IF(E2666&lt;35,"25-&lt;35","35+")))))</x:f>
        <x:v>25-&lt;35</x:v>
      </x:c>
    </x:row>
    <x:row r="2667">
      <x:c r="A2667" t="str">
        <x:v>SYN0002666</x:v>
      </x:c>
      <x:c r="B2667" s="12" t="n">
        <x:v>43075</x:v>
      </x:c>
      <x:c r="C2667" s="18" t="n">
        <x:v>14695</x:v>
      </x:c>
      <x:c r="D2667" s="18" t="n">
        <x:v>77197</x:v>
      </x:c>
      <x:c r="E2667" s="18" t="n">
        <x:v>21.15</x:v>
      </x:c>
      <x:c r="F2667" s="18" t="n">
        <x:v>14.07</x:v>
      </x:c>
      <x:c r="G2667" t="n">
        <x:v>36</x:v>
      </x:c>
      <x:c r="H2667" t="str">
        <x:v>D</x:v>
      </x:c>
      <x:c r="I2667" t="str">
        <x:v>10+ years</x:v>
      </x:c>
      <x:c r="J2667" t="str">
        <x:v>MORTGAGE</x:v>
      </x:c>
      <x:c r="K2667" t="str">
        <x:v>other</x:v>
      </x:c>
      <x:c r="L2667" t="n">
        <x:v>1</x:v>
      </x:c>
      <x:c r="M2667" t="n">
        <x:v>0</x:v>
      </x:c>
      <x:c r="N2667" t="str">
        <x:v>Fully Paid</x:v>
      </x:c>
      <x:c r="O2667" t="str">
        <x:f>IF(D2667="","Unknown",IF(D2667&lt;25000,"&lt;$25k",IF(D2667&lt;50000,"$25k-$50k",IF(D2667&lt;75000,"$50k-$75k",IF(D2667&lt;100000,"$75k-$100k","$100k+")))))</x:f>
        <x:v>$75k-$100k</x:v>
      </x:c>
      <x:c r="P2667" t="str">
        <x:f>IF(E2667="","Unknown",IF(E2667&lt;10,"&lt;10",IF(E2667&lt;20,"10-&lt;20",IF(E2667&lt;25,"20-&lt;25",IF(E2667&lt;35,"25-&lt;35","35+")))))</x:f>
        <x:v>20-&lt;25</x:v>
      </x:c>
    </x:row>
    <x:row r="2668">
      <x:c r="A2668" t="str">
        <x:v>SYN0002667</x:v>
      </x:c>
      <x:c r="B2668" s="12" t="n">
        <x:v>43345</x:v>
      </x:c>
      <x:c r="C2668" s="18" t="n">
        <x:v>16905</x:v>
      </x:c>
      <x:c r="D2668" s="18" t="n">
        <x:v>103911</x:v>
      </x:c>
      <x:c r="E2668" s="18" t="n">
        <x:v>15.86</x:v>
      </x:c>
      <x:c r="F2668" s="18" t="n">
        <x:v>7.07</x:v>
      </x:c>
      <x:c r="G2668" t="n">
        <x:v>36</x:v>
      </x:c>
      <x:c r="H2668" t="str">
        <x:v>C</x:v>
      </x:c>
      <x:c r="I2668" t="str">
        <x:v>1-3 years</x:v>
      </x:c>
      <x:c r="J2668" t="str">
        <x:v>RENT</x:v>
      </x:c>
      <x:c r="K2668" t="str">
        <x:v>home_improvement</x:v>
      </x:c>
      <x:c r="L2668" t="n">
        <x:v>0</x:v>
      </x:c>
      <x:c r="M2668" t="n">
        <x:v>0</x:v>
      </x:c>
      <x:c r="N2668" t="str">
        <x:v>Fully Paid</x:v>
      </x:c>
      <x:c r="O2668" t="str">
        <x:f>IF(D2668="","Unknown",IF(D2668&lt;25000,"&lt;$25k",IF(D2668&lt;50000,"$25k-$50k",IF(D2668&lt;75000,"$50k-$75k",IF(D2668&lt;100000,"$75k-$100k","$100k+")))))</x:f>
        <x:v>$100k+</x:v>
      </x:c>
      <x:c r="P2668" t="str">
        <x:f>IF(E2668="","Unknown",IF(E2668&lt;10,"&lt;10",IF(E2668&lt;20,"10-&lt;20",IF(E2668&lt;25,"20-&lt;25",IF(E2668&lt;35,"25-&lt;35","35+")))))</x:f>
        <x:v>10-&lt;20</x:v>
      </x:c>
    </x:row>
    <x:row r="2669">
      <x:c r="A2669" t="str">
        <x:v>SYN0002668</x:v>
      </x:c>
      <x:c r="B2669" s="12" t="n">
        <x:v>42445</x:v>
      </x:c>
      <x:c r="C2669" s="18" t="n">
        <x:v>11477</x:v>
      </x:c>
      <x:c r="D2669" s="18" t="n">
        <x:v>32461</x:v>
      </x:c>
      <x:c r="E2669" s="18" t="n">
        <x:v>25.13</x:v>
      </x:c>
      <x:c r="F2669" s="18" t="n">
        <x:v>15.47</x:v>
      </x:c>
      <x:c r="G2669" t="n">
        <x:v>36</x:v>
      </x:c>
      <x:c r="H2669" t="str">
        <x:v>D</x:v>
      </x:c>
      <x:c r="I2669" t="str">
        <x:v>7-9 years</x:v>
      </x:c>
      <x:c r="J2669" t="str">
        <x:v>RENT</x:v>
      </x:c>
      <x:c r="K2669" t="str">
        <x:v>other</x:v>
      </x:c>
      <x:c r="L2669" t="n">
        <x:v>0</x:v>
      </x:c>
      <x:c r="M2669" t="n">
        <x:v>0</x:v>
      </x:c>
      <x:c r="N2669" t="str">
        <x:v>Fully Paid</x:v>
      </x:c>
      <x:c r="O2669" t="str">
        <x:f>IF(D2669="","Unknown",IF(D2669&lt;25000,"&lt;$25k",IF(D2669&lt;50000,"$25k-$50k",IF(D2669&lt;75000,"$50k-$75k",IF(D2669&lt;100000,"$75k-$100k","$100k+")))))</x:f>
        <x:v>$25k-$50k</x:v>
      </x:c>
      <x:c r="P2669" t="str">
        <x:f>IF(E2669="","Unknown",IF(E2669&lt;10,"&lt;10",IF(E2669&lt;20,"10-&lt;20",IF(E2669&lt;25,"20-&lt;25",IF(E2669&lt;35,"25-&lt;35","35+")))))</x:f>
        <x:v>25-&lt;35</x:v>
      </x:c>
    </x:row>
    <x:row r="2670">
      <x:c r="A2670" t="str">
        <x:v>SYN0002669</x:v>
      </x:c>
      <x:c r="B2670" s="12" t="n">
        <x:v>41425</x:v>
      </x:c>
      <x:c r="C2670" s="18" t="n">
        <x:v>16129</x:v>
      </x:c>
      <x:c r="D2670" s="18" t="n">
        <x:v>22071</x:v>
      </x:c>
      <x:c r="E2670" s="18" t="n">
        <x:v>24.06</x:v>
      </x:c>
      <x:c r="F2670" s="18" t="n">
        <x:v>17.57</x:v>
      </x:c>
      <x:c r="G2670" t="n">
        <x:v>36</x:v>
      </x:c>
      <x:c r="H2670" t="str">
        <x:v>E</x:v>
      </x:c>
      <x:c r="I2670" t="str">
        <x:v>10+ years</x:v>
      </x:c>
      <x:c r="J2670" t="str">
        <x:v>OWN</x:v>
      </x:c>
      <x:c r="K2670" t="str">
        <x:v>debt_consolidation</x:v>
      </x:c>
      <x:c r="L2670" t="n">
        <x:v>0</x:v>
      </x:c>
      <x:c r="M2670" t="n">
        <x:v>0</x:v>
      </x:c>
      <x:c r="N2670" t="str">
        <x:v>Fully Paid</x:v>
      </x:c>
      <x:c r="O2670" t="str">
        <x:f>IF(D2670="","Unknown",IF(D2670&lt;25000,"&lt;$25k",IF(D2670&lt;50000,"$25k-$50k",IF(D2670&lt;75000,"$50k-$75k",IF(D2670&lt;100000,"$75k-$100k","$100k+")))))</x:f>
        <x:v>&lt;$25k</x:v>
      </x:c>
      <x:c r="P2670" t="str">
        <x:f>IF(E2670="","Unknown",IF(E2670&lt;10,"&lt;10",IF(E2670&lt;20,"10-&lt;20",IF(E2670&lt;25,"20-&lt;25",IF(E2670&lt;35,"25-&lt;35","35+")))))</x:f>
        <x:v>20-&lt;25</x:v>
      </x:c>
    </x:row>
    <x:row r="2671">
      <x:c r="A2671" t="str">
        <x:v>SYN0002670</x:v>
      </x:c>
      <x:c r="B2671" s="12" t="n">
        <x:v>43165</x:v>
      </x:c>
      <x:c r="C2671" s="18" t="n">
        <x:v>16007</x:v>
      </x:c>
      <x:c r="D2671" s="18" t="n">
        <x:v>86666</x:v>
      </x:c>
      <x:c r="E2671" s="18" t="n">
        <x:v>15.02</x:v>
      </x:c>
      <x:c r="F2671" s="18" t="n">
        <x:v>14.03</x:v>
      </x:c>
      <x:c r="G2671" t="n">
        <x:v>60</x:v>
      </x:c>
      <x:c r="H2671" t="str">
        <x:v>C</x:v>
      </x:c>
      <x:c r="I2671" t="str">
        <x:v>4-6 years</x:v>
      </x:c>
      <x:c r="J2671" t="str">
        <x:v>OWN</x:v>
      </x:c>
      <x:c r="K2671" t="str">
        <x:v>debt_consolidation</x:v>
      </x:c>
      <x:c r="L2671" t="n">
        <x:v>0</x:v>
      </x:c>
      <x:c r="M2671" t="n">
        <x:v>0</x:v>
      </x:c>
      <x:c r="N2671" t="str">
        <x:v>Fully Paid</x:v>
      </x:c>
      <x:c r="O2671" t="str">
        <x:f>IF(D2671="","Unknown",IF(D2671&lt;25000,"&lt;$25k",IF(D2671&lt;50000,"$25k-$50k",IF(D2671&lt;75000,"$50k-$75k",IF(D2671&lt;100000,"$75k-$100k","$100k+")))))</x:f>
        <x:v>$75k-$100k</x:v>
      </x:c>
      <x:c r="P2671" t="str">
        <x:f>IF(E2671="","Unknown",IF(E2671&lt;10,"&lt;10",IF(E2671&lt;20,"10-&lt;20",IF(E2671&lt;25,"20-&lt;25",IF(E2671&lt;35,"25-&lt;35","35+")))))</x:f>
        <x:v>10-&lt;20</x:v>
      </x:c>
    </x:row>
    <x:row r="2672">
      <x:c r="A2672" t="str">
        <x:v>SYN0002671</x:v>
      </x:c>
      <x:c r="B2672" s="12" t="n">
        <x:v>43075</x:v>
      </x:c>
      <x:c r="C2672" s="18" t="n">
        <x:v>9140</x:v>
      </x:c>
      <x:c r="D2672" s="18" t="n">
        <x:v>44721</x:v>
      </x:c>
      <x:c r="E2672" s="18" t="n">
        <x:v>28.04</x:v>
      </x:c>
      <x:c r="F2672" s="18" t="n">
        <x:v>12.21</x:v>
      </x:c>
      <x:c r="G2672" t="n">
        <x:v>36</x:v>
      </x:c>
      <x:c r="H2672" t="str">
        <x:v>C</x:v>
      </x:c>
      <x:c r="I2672" t="str">
        <x:v>10+ years</x:v>
      </x:c>
      <x:c r="J2672" t="str">
        <x:v>MORTGAGE</x:v>
      </x:c>
      <x:c r="K2672" t="str">
        <x:v>home_improvement</x:v>
      </x:c>
      <x:c r="L2672" t="n">
        <x:v>0</x:v>
      </x:c>
      <x:c r="M2672" t="n">
        <x:v>0</x:v>
      </x:c>
      <x:c r="N2672" t="str">
        <x:v>Fully Paid</x:v>
      </x:c>
      <x:c r="O2672" t="str">
        <x:f>IF(D2672="","Unknown",IF(D2672&lt;25000,"&lt;$25k",IF(D2672&lt;50000,"$25k-$50k",IF(D2672&lt;75000,"$50k-$75k",IF(D2672&lt;100000,"$75k-$100k","$100k+")))))</x:f>
        <x:v>$25k-$50k</x:v>
      </x:c>
      <x:c r="P2672" t="str">
        <x:f>IF(E2672="","Unknown",IF(E2672&lt;10,"&lt;10",IF(E2672&lt;20,"10-&lt;20",IF(E2672&lt;25,"20-&lt;25",IF(E2672&lt;35,"25-&lt;35","35+")))))</x:f>
        <x:v>25-&lt;35</x:v>
      </x:c>
    </x:row>
    <x:row r="2673">
      <x:c r="A2673" t="str">
        <x:v>SYN0002672</x:v>
      </x:c>
      <x:c r="B2673" s="12" t="n">
        <x:v>41275</x:v>
      </x:c>
      <x:c r="C2673" s="18" t="n">
        <x:v>14061</x:v>
      </x:c>
      <x:c r="D2673" s="18" t="n">
        <x:v>134449</x:v>
      </x:c>
      <x:c r="E2673" s="18" t="n">
        <x:v>14.86</x:v>
      </x:c>
      <x:c r="F2673" s="18" t="n">
        <x:v>12.85</x:v>
      </x:c>
      <x:c r="G2673" t="n">
        <x:v>36</x:v>
      </x:c>
      <x:c r="H2673" t="str">
        <x:v>C</x:v>
      </x:c>
      <x:c r="I2673" t="str">
        <x:v>7-9 years</x:v>
      </x:c>
      <x:c r="J2673" t="str">
        <x:v>RENT</x:v>
      </x:c>
      <x:c r="K2673" t="str">
        <x:v>debt_consolidation</x:v>
      </x:c>
      <x:c r="L2673" t="n">
        <x:v>0</x:v>
      </x:c>
      <x:c r="M2673" t="n">
        <x:v>1</x:v>
      </x:c>
      <x:c r="N2673" t="str">
        <x:v>Charged Off</x:v>
      </x:c>
      <x:c r="O2673" t="str">
        <x:f>IF(D2673="","Unknown",IF(D2673&lt;25000,"&lt;$25k",IF(D2673&lt;50000,"$25k-$50k",IF(D2673&lt;75000,"$50k-$75k",IF(D2673&lt;100000,"$75k-$100k","$100k+")))))</x:f>
        <x:v>$100k+</x:v>
      </x:c>
      <x:c r="P2673" t="str">
        <x:f>IF(E2673="","Unknown",IF(E2673&lt;10,"&lt;10",IF(E2673&lt;20,"10-&lt;20",IF(E2673&lt;25,"20-&lt;25",IF(E2673&lt;35,"25-&lt;35","35+")))))</x:f>
        <x:v>10-&lt;20</x:v>
      </x:c>
    </x:row>
    <x:row r="2674">
      <x:c r="A2674" t="str">
        <x:v>SYN0002673</x:v>
      </x:c>
      <x:c r="B2674" s="12" t="n">
        <x:v>43195</x:v>
      </x:c>
      <x:c r="C2674" s="18" t="n">
        <x:v>9663</x:v>
      </x:c>
      <x:c r="D2674" s="18" t="n">
        <x:v>69755</x:v>
      </x:c>
      <x:c r="E2674" s="18" t="n">
        <x:v>33.16</x:v>
      </x:c>
      <x:c r="F2674" s="18" t="n">
        <x:v>14.36</x:v>
      </x:c>
      <x:c r="G2674" t="n">
        <x:v>36</x:v>
      </x:c>
      <x:c r="H2674" t="str">
        <x:v>D</x:v>
      </x:c>
      <x:c r="I2674" t="str">
        <x:v>1-3 years</x:v>
      </x:c>
      <x:c r="J2674" t="str">
        <x:v>MORTGAGE</x:v>
      </x:c>
      <x:c r="K2674" t="str">
        <x:v>debt_consolidation</x:v>
      </x:c>
      <x:c r="L2674" t="n">
        <x:v>1</x:v>
      </x:c>
      <x:c r="M2674" t="n">
        <x:v>1</x:v>
      </x:c>
      <x:c r="N2674" t="str">
        <x:v>Charged Off</x:v>
      </x:c>
      <x:c r="O2674" t="str">
        <x:f>IF(D2674="","Unknown",IF(D2674&lt;25000,"&lt;$25k",IF(D2674&lt;50000,"$25k-$50k",IF(D2674&lt;75000,"$50k-$75k",IF(D2674&lt;100000,"$75k-$100k","$100k+")))))</x:f>
        <x:v>$50k-$75k</x:v>
      </x:c>
      <x:c r="P2674" t="str">
        <x:f>IF(E2674="","Unknown",IF(E2674&lt;10,"&lt;10",IF(E2674&lt;20,"10-&lt;20",IF(E2674&lt;25,"20-&lt;25",IF(E2674&lt;35,"25-&lt;35","35+")))))</x:f>
        <x:v>25-&lt;35</x:v>
      </x:c>
    </x:row>
    <x:row r="2675">
      <x:c r="A2675" t="str">
        <x:v>SYN0002674</x:v>
      </x:c>
      <x:c r="B2675" s="12" t="n">
        <x:v>42625</x:v>
      </x:c>
      <x:c r="C2675" s="18" t="n">
        <x:v>29916</x:v>
      </x:c>
      <x:c r="D2675" s="18" t="n">
        <x:v>39246</x:v>
      </x:c>
      <x:c r="E2675" s="18" t="n">
        <x:v>13.66</x:v>
      </x:c>
      <x:c r="F2675" s="18" t="n">
        <x:v>7.93</x:v>
      </x:c>
      <x:c r="G2675" t="n">
        <x:v>36</x:v>
      </x:c>
      <x:c r="H2675" t="str">
        <x:v>C</x:v>
      </x:c>
      <x:c r="I2675" t="str">
        <x:v>1-3 years</x:v>
      </x:c>
      <x:c r="J2675" t="str">
        <x:v>RENT</x:v>
      </x:c>
      <x:c r="K2675" t="str">
        <x:v>home_improvement</x:v>
      </x:c>
      <x:c r="L2675" t="n">
        <x:v>0</x:v>
      </x:c>
      <x:c r="M2675" t="n">
        <x:v>0</x:v>
      </x:c>
      <x:c r="N2675" t="str">
        <x:v>Fully Paid</x:v>
      </x:c>
      <x:c r="O2675" t="str">
        <x:f>IF(D2675="","Unknown",IF(D2675&lt;25000,"&lt;$25k",IF(D2675&lt;50000,"$25k-$50k",IF(D2675&lt;75000,"$50k-$75k",IF(D2675&lt;100000,"$75k-$100k","$100k+")))))</x:f>
        <x:v>$25k-$50k</x:v>
      </x:c>
      <x:c r="P2675" t="str">
        <x:f>IF(E2675="","Unknown",IF(E2675&lt;10,"&lt;10",IF(E2675&lt;20,"10-&lt;20",IF(E2675&lt;25,"20-&lt;25",IF(E2675&lt;35,"25-&lt;35","35+")))))</x:f>
        <x:v>10-&lt;20</x:v>
      </x:c>
    </x:row>
    <x:row r="2676">
      <x:c r="A2676" t="str">
        <x:v>SYN0002675</x:v>
      </x:c>
      <x:c r="B2676" s="12" t="n">
        <x:v>43315</x:v>
      </x:c>
      <x:c r="C2676" s="18" t="n">
        <x:v>7364</x:v>
      </x:c>
      <x:c r="D2676" s="18" t="n">
        <x:v>20474</x:v>
      </x:c>
      <x:c r="E2676" s="18" t="n">
        <x:v>22.44</x:v>
      </x:c>
      <x:c r="F2676" s="18" t="n">
        <x:v>15.52</x:v>
      </x:c>
      <x:c r="G2676" t="n">
        <x:v>36</x:v>
      </x:c>
      <x:c r="H2676" t="str">
        <x:v>D</x:v>
      </x:c>
      <x:c r="I2676" t="str">
        <x:v>10+ years</x:v>
      </x:c>
      <x:c r="J2676" t="str">
        <x:v>MORTGAGE</x:v>
      </x:c>
      <x:c r="K2676" t="str">
        <x:v>debt_consolidation</x:v>
      </x:c>
      <x:c r="L2676" t="n">
        <x:v>0</x:v>
      </x:c>
      <x:c r="M2676" t="n">
        <x:v>0</x:v>
      </x:c>
      <x:c r="N2676" t="str">
        <x:v>Fully Paid</x:v>
      </x:c>
      <x:c r="O2676" t="str">
        <x:f>IF(D2676="","Unknown",IF(D2676&lt;25000,"&lt;$25k",IF(D2676&lt;50000,"$25k-$50k",IF(D2676&lt;75000,"$50k-$75k",IF(D2676&lt;100000,"$75k-$100k","$100k+")))))</x:f>
        <x:v>&lt;$25k</x:v>
      </x:c>
      <x:c r="P2676" t="str">
        <x:f>IF(E2676="","Unknown",IF(E2676&lt;10,"&lt;10",IF(E2676&lt;20,"10-&lt;20",IF(E2676&lt;25,"20-&lt;25",IF(E2676&lt;35,"25-&lt;35","35+")))))</x:f>
        <x:v>20-&lt;25</x:v>
      </x:c>
    </x:row>
    <x:row r="2677">
      <x:c r="A2677" t="str">
        <x:v>SYN0002676</x:v>
      </x:c>
      <x:c r="B2677" s="12" t="n">
        <x:v>41905</x:v>
      </x:c>
      <x:c r="C2677" s="18" t="n">
        <x:v>12544</x:v>
      </x:c>
      <x:c r="D2677" s="18" t="n">
        <x:v>80718</x:v>
      </x:c>
      <x:c r="E2677" s="18" t="n">
        <x:v>24.27</x:v>
      </x:c>
      <x:c r="F2677" s="18" t="n">
        <x:v>6.79</x:v>
      </x:c>
      <x:c r="G2677" t="n">
        <x:v>36</x:v>
      </x:c>
      <x:c r="H2677" t="str">
        <x:v>B</x:v>
      </x:c>
      <x:c r="I2677" t="str">
        <x:v>4-6 years</x:v>
      </x:c>
      <x:c r="J2677" t="str">
        <x:v>MORTGAGE</x:v>
      </x:c>
      <x:c r="K2677" t="str">
        <x:v>other</x:v>
      </x:c>
      <x:c r="L2677" t="n">
        <x:v>0</x:v>
      </x:c>
      <x:c r="M2677" t="n">
        <x:v>0</x:v>
      </x:c>
      <x:c r="N2677" t="str">
        <x:v>Fully Paid</x:v>
      </x:c>
      <x:c r="O2677" t="str">
        <x:f>IF(D2677="","Unknown",IF(D2677&lt;25000,"&lt;$25k",IF(D2677&lt;50000,"$25k-$50k",IF(D2677&lt;75000,"$50k-$75k",IF(D2677&lt;100000,"$75k-$100k","$100k+")))))</x:f>
        <x:v>$75k-$100k</x:v>
      </x:c>
      <x:c r="P2677" t="str">
        <x:f>IF(E2677="","Unknown",IF(E2677&lt;10,"&lt;10",IF(E2677&lt;20,"10-&lt;20",IF(E2677&lt;25,"20-&lt;25",IF(E2677&lt;35,"25-&lt;35","35+")))))</x:f>
        <x:v>20-&lt;25</x:v>
      </x:c>
    </x:row>
    <x:row r="2678">
      <x:c r="A2678" t="str">
        <x:v>SYN0002677</x:v>
      </x:c>
      <x:c r="B2678" s="12" t="n">
        <x:v>42775</x:v>
      </x:c>
      <x:c r="C2678" s="18" t="n">
        <x:v>10446</x:v>
      </x:c>
      <x:c r="D2678" s="18" t="n">
        <x:v>39895</x:v>
      </x:c>
      <x:c r="E2678" s="18" t="n">
        <x:v>22.25</x:v>
      </x:c>
      <x:c r="F2678" s="18" t="n">
        <x:v>9.27</x:v>
      </x:c>
      <x:c r="G2678" t="n">
        <x:v>36</x:v>
      </x:c>
      <x:c r="H2678" t="str">
        <x:v>C</x:v>
      </x:c>
      <x:c r="I2678" t="str">
        <x:v>10+ years</x:v>
      </x:c>
      <x:c r="J2678" t="str">
        <x:v>RENT</x:v>
      </x:c>
      <x:c r="K2678" t="str">
        <x:v>medical</x:v>
      </x:c>
      <x:c r="L2678" t="n">
        <x:v>1</x:v>
      </x:c>
      <x:c r="M2678" t="n">
        <x:v>0</x:v>
      </x:c>
      <x:c r="N2678" t="str">
        <x:v>Fully Paid</x:v>
      </x:c>
      <x:c r="O2678" t="str">
        <x:f>IF(D2678="","Unknown",IF(D2678&lt;25000,"&lt;$25k",IF(D2678&lt;50000,"$25k-$50k",IF(D2678&lt;75000,"$50k-$75k",IF(D2678&lt;100000,"$75k-$100k","$100k+")))))</x:f>
        <x:v>$25k-$50k</x:v>
      </x:c>
      <x:c r="P2678" t="str">
        <x:f>IF(E2678="","Unknown",IF(E2678&lt;10,"&lt;10",IF(E2678&lt;20,"10-&lt;20",IF(E2678&lt;25,"20-&lt;25",IF(E2678&lt;35,"25-&lt;35","35+")))))</x:f>
        <x:v>20-&lt;25</x:v>
      </x:c>
    </x:row>
    <x:row r="2679">
      <x:c r="A2679" t="str">
        <x:v>SYN0002678</x:v>
      </x:c>
      <x:c r="B2679" s="12" t="n">
        <x:v>42055</x:v>
      </x:c>
      <x:c r="C2679" s="18" t="n">
        <x:v>10469</x:v>
      </x:c>
      <x:c r="D2679" s="18" t="n">
        <x:v>13645</x:v>
      </x:c>
      <x:c r="E2679" s="18" t="n">
        <x:v>20.69</x:v>
      </x:c>
      <x:c r="F2679" s="18" t="n">
        <x:v>8.72</x:v>
      </x:c>
      <x:c r="G2679" t="n">
        <x:v>60</x:v>
      </x:c>
      <x:c r="H2679" t="str">
        <x:v>C</x:v>
      </x:c>
      <x:c r="I2679" t="str">
        <x:v>4-6 years</x:v>
      </x:c>
      <x:c r="J2679" t="str">
        <x:v>MORTGAGE</x:v>
      </x:c>
      <x:c r="K2679" t="str">
        <x:v>credit_card</x:v>
      </x:c>
      <x:c r="L2679" t="n">
        <x:v>0</x:v>
      </x:c>
      <x:c r="M2679" t="n">
        <x:v>0</x:v>
      </x:c>
      <x:c r="N2679" t="str">
        <x:v>Fully Paid</x:v>
      </x:c>
      <x:c r="O2679" t="str">
        <x:f>IF(D2679="","Unknown",IF(D2679&lt;25000,"&lt;$25k",IF(D2679&lt;50000,"$25k-$50k",IF(D2679&lt;75000,"$50k-$75k",IF(D2679&lt;100000,"$75k-$100k","$100k+")))))</x:f>
        <x:v>&lt;$25k</x:v>
      </x:c>
      <x:c r="P2679" t="str">
        <x:f>IF(E2679="","Unknown",IF(E2679&lt;10,"&lt;10",IF(E2679&lt;20,"10-&lt;20",IF(E2679&lt;25,"20-&lt;25",IF(E2679&lt;35,"25-&lt;35","35+")))))</x:f>
        <x:v>20-&lt;25</x:v>
      </x:c>
    </x:row>
    <x:row r="2680">
      <x:c r="A2680" t="str">
        <x:v>SYN0002679</x:v>
      </x:c>
      <x:c r="B2680" s="12" t="n">
        <x:v>42805</x:v>
      </x:c>
      <x:c r="C2680" s="18" t="n">
        <x:v>17210</x:v>
      </x:c>
      <x:c r="D2680" s="18" t="n">
        <x:v>36691</x:v>
      </x:c>
      <x:c r="E2680" s="18" t="n">
        <x:v>15.05</x:v>
      </x:c>
      <x:c r="F2680" s="18" t="n">
        <x:v>9.3</x:v>
      </x:c>
      <x:c r="G2680" t="n">
        <x:v>60</x:v>
      </x:c>
      <x:c r="H2680" t="str">
        <x:v>B</x:v>
      </x:c>
      <x:c r="I2680" t="str">
        <x:v>7-9 years</x:v>
      </x:c>
      <x:c r="J2680" t="str">
        <x:v>MORTGAGE</x:v>
      </x:c>
      <x:c r="K2680" t="str">
        <x:v>debt_consolidation</x:v>
      </x:c>
      <x:c r="L2680" t="n">
        <x:v>0</x:v>
      </x:c>
      <x:c r="M2680" t="n">
        <x:v>0</x:v>
      </x:c>
      <x:c r="N2680" t="str">
        <x:v>Fully Paid</x:v>
      </x:c>
      <x:c r="O2680" t="str">
        <x:f>IF(D2680="","Unknown",IF(D2680&lt;25000,"&lt;$25k",IF(D2680&lt;50000,"$25k-$50k",IF(D2680&lt;75000,"$50k-$75k",IF(D2680&lt;100000,"$75k-$100k","$100k+")))))</x:f>
        <x:v>$25k-$50k</x:v>
      </x:c>
      <x:c r="P2680" t="str">
        <x:f>IF(E2680="","Unknown",IF(E2680&lt;10,"&lt;10",IF(E2680&lt;20,"10-&lt;20",IF(E2680&lt;25,"20-&lt;25",IF(E2680&lt;35,"25-&lt;35","35+")))))</x:f>
        <x:v>10-&lt;20</x:v>
      </x:c>
    </x:row>
    <x:row r="2681">
      <x:c r="A2681" t="str">
        <x:v>SYN0002680</x:v>
      </x:c>
      <x:c r="B2681" s="12" t="n">
        <x:v>42895</x:v>
      </x:c>
      <x:c r="C2681" s="18" t="n">
        <x:v>19385</x:v>
      </x:c>
      <x:c r="D2681" s="18" t="n">
        <x:v>27383</x:v>
      </x:c>
      <x:c r="E2681" s="18" t="n">
        <x:v>25.29</x:v>
      </x:c>
      <x:c r="F2681" s="18" t="n">
        <x:v>9.38</x:v>
      </x:c>
      <x:c r="G2681" t="n">
        <x:v>60</x:v>
      </x:c>
      <x:c r="H2681" t="str">
        <x:v>B</x:v>
      </x:c>
      <x:c r="I2681" t="str">
        <x:v>1-3 years</x:v>
      </x:c>
      <x:c r="J2681" t="str">
        <x:v>MORTGAGE</x:v>
      </x:c>
      <x:c r="K2681" t="str">
        <x:v>credit_card</x:v>
      </x:c>
      <x:c r="L2681" t="n">
        <x:v>0</x:v>
      </x:c>
      <x:c r="M2681" t="n">
        <x:v>0</x:v>
      </x:c>
      <x:c r="N2681" t="str">
        <x:v>Fully Paid</x:v>
      </x:c>
      <x:c r="O2681" t="str">
        <x:f>IF(D2681="","Unknown",IF(D2681&lt;25000,"&lt;$25k",IF(D2681&lt;50000,"$25k-$50k",IF(D2681&lt;75000,"$50k-$75k",IF(D2681&lt;100000,"$75k-$100k","$100k+")))))</x:f>
        <x:v>$25k-$50k</x:v>
      </x:c>
      <x:c r="P2681" t="str">
        <x:f>IF(E2681="","Unknown",IF(E2681&lt;10,"&lt;10",IF(E2681&lt;20,"10-&lt;20",IF(E2681&lt;25,"20-&lt;25",IF(E2681&lt;35,"25-&lt;35","35+")))))</x:f>
        <x:v>25-&lt;35</x:v>
      </x:c>
    </x:row>
    <x:row r="2682">
      <x:c r="A2682" t="str">
        <x:v>SYN0002681</x:v>
      </x:c>
      <x:c r="B2682" s="12" t="n">
        <x:v>42205</x:v>
      </x:c>
      <x:c r="C2682" s="18" t="n">
        <x:v>5995</x:v>
      </x:c>
      <x:c r="D2682" s="18" t="n">
        <x:v>49007</x:v>
      </x:c>
      <x:c r="E2682" s="18" t="n">
        <x:v>27.58</x:v>
      </x:c>
      <x:c r="F2682" s="18" t="n">
        <x:v>19.88</x:v>
      </x:c>
      <x:c r="G2682" t="n">
        <x:v>36</x:v>
      </x:c>
      <x:c r="H2682" t="str">
        <x:v>E</x:v>
      </x:c>
      <x:c r="I2682" t="str">
        <x:v>1-3 years</x:v>
      </x:c>
      <x:c r="J2682" t="str">
        <x:v>RENT</x:v>
      </x:c>
      <x:c r="K2682" t="str">
        <x:v>debt_consolidation</x:v>
      </x:c>
      <x:c r="L2682" t="n">
        <x:v>0</x:v>
      </x:c>
      <x:c r="M2682" t="n">
        <x:v>0</x:v>
      </x:c>
      <x:c r="N2682" t="str">
        <x:v>Fully Paid</x:v>
      </x:c>
      <x:c r="O2682" t="str">
        <x:f>IF(D2682="","Unknown",IF(D2682&lt;25000,"&lt;$25k",IF(D2682&lt;50000,"$25k-$50k",IF(D2682&lt;75000,"$50k-$75k",IF(D2682&lt;100000,"$75k-$100k","$100k+")))))</x:f>
        <x:v>$25k-$50k</x:v>
      </x:c>
      <x:c r="P2682" t="str">
        <x:f>IF(E2682="","Unknown",IF(E2682&lt;10,"&lt;10",IF(E2682&lt;20,"10-&lt;20",IF(E2682&lt;25,"20-&lt;25",IF(E2682&lt;35,"25-&lt;35","35+")))))</x:f>
        <x:v>25-&lt;35</x:v>
      </x:c>
    </x:row>
    <x:row r="2683">
      <x:c r="A2683" t="str">
        <x:v>SYN0002682</x:v>
      </x:c>
      <x:c r="B2683" s="12" t="n">
        <x:v>42625</x:v>
      </x:c>
      <x:c r="C2683" s="18" t="n">
        <x:v>12015</x:v>
      </x:c>
      <x:c r="D2683" s="18" t="n">
        <x:v>32389</x:v>
      </x:c>
      <x:c r="E2683" s="18" t="n">
        <x:v>10.31</x:v>
      </x:c>
      <x:c r="F2683" s="18" t="n">
        <x:v>13.04</x:v>
      </x:c>
      <x:c r="G2683" t="n">
        <x:v>36</x:v>
      </x:c>
      <x:c r="H2683" t="str">
        <x:v>C</x:v>
      </x:c>
      <x:c r="I2683" t="str">
        <x:v>4-6 years</x:v>
      </x:c>
      <x:c r="J2683" t="str">
        <x:v>RENT</x:v>
      </x:c>
      <x:c r="K2683" t="str">
        <x:v>debt_consolidation</x:v>
      </x:c>
      <x:c r="L2683" t="n">
        <x:v>0</x:v>
      </x:c>
      <x:c r="M2683" t="n">
        <x:v>0</x:v>
      </x:c>
      <x:c r="N2683" t="str">
        <x:v>Fully Paid</x:v>
      </x:c>
      <x:c r="O2683" t="str">
        <x:f>IF(D2683="","Unknown",IF(D2683&lt;25000,"&lt;$25k",IF(D2683&lt;50000,"$25k-$50k",IF(D2683&lt;75000,"$50k-$75k",IF(D2683&lt;100000,"$75k-$100k","$100k+")))))</x:f>
        <x:v>$25k-$50k</x:v>
      </x:c>
      <x:c r="P2683" t="str">
        <x:f>IF(E2683="","Unknown",IF(E2683&lt;10,"&lt;10",IF(E2683&lt;20,"10-&lt;20",IF(E2683&lt;25,"20-&lt;25",IF(E2683&lt;35,"25-&lt;35","35+")))))</x:f>
        <x:v>10-&lt;20</x:v>
      </x:c>
    </x:row>
    <x:row r="2684">
      <x:c r="A2684" t="str">
        <x:v>SYN0002683</x:v>
      </x:c>
      <x:c r="B2684" s="12" t="n">
        <x:v>42625</x:v>
      </x:c>
      <x:c r="C2684" s="18" t="n">
        <x:v>7769</x:v>
      </x:c>
      <x:c r="D2684" s="18" t="n">
        <x:v>34460</x:v>
      </x:c>
      <x:c r="E2684" s="18" t="n">
        <x:v>13.39</x:v>
      </x:c>
      <x:c r="F2684" s="18" t="n">
        <x:v>9.42</x:v>
      </x:c>
      <x:c r="G2684" t="n">
        <x:v>36</x:v>
      </x:c>
      <x:c r="H2684" t="str">
        <x:v>A</x:v>
      </x:c>
      <x:c r="I2684" t="str">
        <x:v>1-3 years</x:v>
      </x:c>
      <x:c r="J2684" t="str">
        <x:v>OWN</x:v>
      </x:c>
      <x:c r="K2684" t="str">
        <x:v>debt_consolidation</x:v>
      </x:c>
      <x:c r="L2684" t="n">
        <x:v>1</x:v>
      </x:c>
      <x:c r="M2684" t="n">
        <x:v>0</x:v>
      </x:c>
      <x:c r="N2684" t="str">
        <x:v>Fully Paid</x:v>
      </x:c>
      <x:c r="O2684" t="str">
        <x:f>IF(D2684="","Unknown",IF(D2684&lt;25000,"&lt;$25k",IF(D2684&lt;50000,"$25k-$50k",IF(D2684&lt;75000,"$50k-$75k",IF(D2684&lt;100000,"$75k-$100k","$100k+")))))</x:f>
        <x:v>$25k-$50k</x:v>
      </x:c>
      <x:c r="P2684" t="str">
        <x:f>IF(E2684="","Unknown",IF(E2684&lt;10,"&lt;10",IF(E2684&lt;20,"10-&lt;20",IF(E2684&lt;25,"20-&lt;25",IF(E2684&lt;35,"25-&lt;35","35+")))))</x:f>
        <x:v>10-&lt;20</x:v>
      </x:c>
    </x:row>
    <x:row r="2685">
      <x:c r="A2685" t="str">
        <x:v>SYN0002684</x:v>
      </x:c>
      <x:c r="B2685" s="12" t="n">
        <x:v>42295</x:v>
      </x:c>
      <x:c r="C2685" s="18" t="n">
        <x:v>14420</x:v>
      </x:c>
      <x:c r="D2685" s="18" t="n">
        <x:v>33756</x:v>
      </x:c>
      <x:c r="E2685" s="18" t="n">
        <x:v>18.1</x:v>
      </x:c>
      <x:c r="F2685" s="18" t="n">
        <x:v>15.51</x:v>
      </x:c>
      <x:c r="G2685" t="n">
        <x:v>36</x:v>
      </x:c>
      <x:c r="H2685" t="str">
        <x:v>D</x:v>
      </x:c>
      <x:c r="I2685" t="str">
        <x:v>1-3 years</x:v>
      </x:c>
      <x:c r="J2685" t="str">
        <x:v>MORTGAGE</x:v>
      </x:c>
      <x:c r="K2685" t="str">
        <x:v>home_improvement</x:v>
      </x:c>
      <x:c r="L2685" t="n">
        <x:v>1</x:v>
      </x:c>
      <x:c r="M2685" t="n">
        <x:v>0</x:v>
      </x:c>
      <x:c r="N2685" t="str">
        <x:v>Fully Paid</x:v>
      </x:c>
      <x:c r="O2685" t="str">
        <x:f>IF(D2685="","Unknown",IF(D2685&lt;25000,"&lt;$25k",IF(D2685&lt;50000,"$25k-$50k",IF(D2685&lt;75000,"$50k-$75k",IF(D2685&lt;100000,"$75k-$100k","$100k+")))))</x:f>
        <x:v>$25k-$50k</x:v>
      </x:c>
      <x:c r="P2685" t="str">
        <x:f>IF(E2685="","Unknown",IF(E2685&lt;10,"&lt;10",IF(E2685&lt;20,"10-&lt;20",IF(E2685&lt;25,"20-&lt;25",IF(E2685&lt;35,"25-&lt;35","35+")))))</x:f>
        <x:v>10-&lt;20</x:v>
      </x:c>
    </x:row>
    <x:row r="2686">
      <x:c r="A2686" t="str">
        <x:v>SYN0002685</x:v>
      </x:c>
      <x:c r="B2686" s="12" t="n">
        <x:v>43015</x:v>
      </x:c>
      <x:c r="C2686" s="18" t="n">
        <x:v>12925</x:v>
      </x:c>
      <x:c r="D2686" s="18" t="n">
        <x:v>43219</x:v>
      </x:c>
      <x:c r="E2686" s="18" t="n">
        <x:v>17.06</x:v>
      </x:c>
      <x:c r="F2686" s="18" t="n">
        <x:v>5.14</x:v>
      </x:c>
      <x:c r="G2686" t="n">
        <x:v>60</x:v>
      </x:c>
      <x:c r="H2686" t="str">
        <x:v>A</x:v>
      </x:c>
      <x:c r="I2686" t="str">
        <x:v>10+ years</x:v>
      </x:c>
      <x:c r="J2686" t="str">
        <x:v>MORTGAGE</x:v>
      </x:c>
      <x:c r="K2686" t="str">
        <x:v>debt_consolidation</x:v>
      </x:c>
      <x:c r="L2686" t="n">
        <x:v>0</x:v>
      </x:c>
      <x:c r="M2686" t="n">
        <x:v>0</x:v>
      </x:c>
      <x:c r="N2686" t="str">
        <x:v>Fully Paid</x:v>
      </x:c>
      <x:c r="O2686" t="str">
        <x:f>IF(D2686="","Unknown",IF(D2686&lt;25000,"&lt;$25k",IF(D2686&lt;50000,"$25k-$50k",IF(D2686&lt;75000,"$50k-$75k",IF(D2686&lt;100000,"$75k-$100k","$100k+")))))</x:f>
        <x:v>$25k-$50k</x:v>
      </x:c>
      <x:c r="P2686" t="str">
        <x:f>IF(E2686="","Unknown",IF(E2686&lt;10,"&lt;10",IF(E2686&lt;20,"10-&lt;20",IF(E2686&lt;25,"20-&lt;25",IF(E2686&lt;35,"25-&lt;35","35+")))))</x:f>
        <x:v>10-&lt;20</x:v>
      </x:c>
    </x:row>
    <x:row r="2687">
      <x:c r="A2687" t="str">
        <x:v>SYN0002686</x:v>
      </x:c>
      <x:c r="B2687" s="12" t="n">
        <x:v>41845</x:v>
      </x:c>
      <x:c r="C2687" s="18" t="n">
        <x:v>9188</x:v>
      </x:c>
      <x:c r="D2687" s="18" t="n">
        <x:v>14891</x:v>
      </x:c>
      <x:c r="E2687" s="18" t="n">
        <x:v>28.79</x:v>
      </x:c>
      <x:c r="F2687" s="18" t="n">
        <x:v>5.87</x:v>
      </x:c>
      <x:c r="G2687" t="n">
        <x:v>36</x:v>
      </x:c>
      <x:c r="H2687" t="str">
        <x:v>A</x:v>
      </x:c>
      <x:c r="I2687" t="str">
        <x:v>7-9 years</x:v>
      </x:c>
      <x:c r="J2687" t="str">
        <x:v>RENT</x:v>
      </x:c>
      <x:c r="K2687" t="str">
        <x:v>home_improvement</x:v>
      </x:c>
      <x:c r="L2687" t="n">
        <x:v>0</x:v>
      </x:c>
      <x:c r="M2687" t="n">
        <x:v>0</x:v>
      </x:c>
      <x:c r="N2687" t="str">
        <x:v>Fully Paid</x:v>
      </x:c>
      <x:c r="O2687" t="str">
        <x:f>IF(D2687="","Unknown",IF(D2687&lt;25000,"&lt;$25k",IF(D2687&lt;50000,"$25k-$50k",IF(D2687&lt;75000,"$50k-$75k",IF(D2687&lt;100000,"$75k-$100k","$100k+")))))</x:f>
        <x:v>&lt;$25k</x:v>
      </x:c>
      <x:c r="P2687" t="str">
        <x:f>IF(E2687="","Unknown",IF(E2687&lt;10,"&lt;10",IF(E2687&lt;20,"10-&lt;20",IF(E2687&lt;25,"20-&lt;25",IF(E2687&lt;35,"25-&lt;35","35+")))))</x:f>
        <x:v>25-&lt;35</x:v>
      </x:c>
    </x:row>
    <x:row r="2688">
      <x:c r="A2688" t="str">
        <x:v>SYN0002687</x:v>
      </x:c>
      <x:c r="B2688" s="12" t="n">
        <x:v>42325</x:v>
      </x:c>
      <x:c r="C2688" s="18" t="n">
        <x:v>12488</x:v>
      </x:c>
      <x:c r="D2688" s="18" t="n">
        <x:v>115626</x:v>
      </x:c>
      <x:c r="E2688" s="18" t="n">
        <x:v>21.67</x:v>
      </x:c>
      <x:c r="F2688" s="18" t="n">
        <x:v>20.29</x:v>
      </x:c>
      <x:c r="G2688" t="n">
        <x:v>60</x:v>
      </x:c>
      <x:c r="H2688" t="str">
        <x:v>F</x:v>
      </x:c>
      <x:c r="I2688" t="str">
        <x:v>7-9 years</x:v>
      </x:c>
      <x:c r="J2688" t="str">
        <x:v>OWN</x:v>
      </x:c>
      <x:c r="K2688" t="str">
        <x:v>other</x:v>
      </x:c>
      <x:c r="L2688" t="n">
        <x:v>1</x:v>
      </x:c>
      <x:c r="M2688" t="n">
        <x:v>1</x:v>
      </x:c>
      <x:c r="N2688" t="str">
        <x:v>Charged Off</x:v>
      </x:c>
      <x:c r="O2688" t="str">
        <x:f>IF(D2688="","Unknown",IF(D2688&lt;25000,"&lt;$25k",IF(D2688&lt;50000,"$25k-$50k",IF(D2688&lt;75000,"$50k-$75k",IF(D2688&lt;100000,"$75k-$100k","$100k+")))))</x:f>
        <x:v>$100k+</x:v>
      </x:c>
      <x:c r="P2688" t="str">
        <x:f>IF(E2688="","Unknown",IF(E2688&lt;10,"&lt;10",IF(E2688&lt;20,"10-&lt;20",IF(E2688&lt;25,"20-&lt;25",IF(E2688&lt;35,"25-&lt;35","35+")))))</x:f>
        <x:v>20-&lt;25</x:v>
      </x:c>
    </x:row>
    <x:row r="2689">
      <x:c r="A2689" t="str">
        <x:v>SYN0002688</x:v>
      </x:c>
      <x:c r="B2689" s="12" t="n">
        <x:v>41845</x:v>
      </x:c>
      <x:c r="C2689" s="18" t="n">
        <x:v>12244</x:v>
      </x:c>
      <x:c r="D2689" s="18" t="n">
        <x:v>23332</x:v>
      </x:c>
      <x:c r="E2689" s="18" t="n">
        <x:v>30.89</x:v>
      </x:c>
      <x:c r="F2689" s="18" t="n">
        <x:v>14.83</x:v>
      </x:c>
      <x:c r="G2689" t="n">
        <x:v>36</x:v>
      </x:c>
      <x:c r="H2689" t="str">
        <x:v>E</x:v>
      </x:c>
      <x:c r="I2689" t="str">
        <x:v>4-6 years</x:v>
      </x:c>
      <x:c r="J2689" t="str">
        <x:v>MORTGAGE</x:v>
      </x:c>
      <x:c r="K2689" t="str">
        <x:v>debt_consolidation</x:v>
      </x:c>
      <x:c r="L2689" t="n">
        <x:v>1</x:v>
      </x:c>
      <x:c r="M2689" t="n">
        <x:v>0</x:v>
      </x:c>
      <x:c r="N2689" t="str">
        <x:v>Fully Paid</x:v>
      </x:c>
      <x:c r="O2689" t="str">
        <x:f>IF(D2689="","Unknown",IF(D2689&lt;25000,"&lt;$25k",IF(D2689&lt;50000,"$25k-$50k",IF(D2689&lt;75000,"$50k-$75k",IF(D2689&lt;100000,"$75k-$100k","$100k+")))))</x:f>
        <x:v>&lt;$25k</x:v>
      </x:c>
      <x:c r="P2689" t="str">
        <x:f>IF(E2689="","Unknown",IF(E2689&lt;10,"&lt;10",IF(E2689&lt;20,"10-&lt;20",IF(E2689&lt;25,"20-&lt;25",IF(E2689&lt;35,"25-&lt;35","35+")))))</x:f>
        <x:v>25-&lt;35</x:v>
      </x:c>
    </x:row>
    <x:row r="2690">
      <x:c r="A2690" t="str">
        <x:v>SYN0002689</x:v>
      </x:c>
      <x:c r="B2690" s="12" t="n">
        <x:v>41515</x:v>
      </x:c>
      <x:c r="C2690" s="18" t="n">
        <x:v>8694</x:v>
      </x:c>
      <x:c r="D2690" s="18" t="n">
        <x:v>31661</x:v>
      </x:c>
      <x:c r="E2690" s="18" t="n">
        <x:v>22.53</x:v>
      </x:c>
      <x:c r="F2690" s="18" t="n">
        <x:v>15.82</x:v>
      </x:c>
      <x:c r="G2690" t="n">
        <x:v>36</x:v>
      </x:c>
      <x:c r="H2690" t="str">
        <x:v>E</x:v>
      </x:c>
      <x:c r="I2690" t="str">
        <x:v>10+ years</x:v>
      </x:c>
      <x:c r="J2690" t="str">
        <x:v>MORTGAGE</x:v>
      </x:c>
      <x:c r="K2690" t="str">
        <x:v>debt_consolidation</x:v>
      </x:c>
      <x:c r="L2690" t="n">
        <x:v>1</x:v>
      </x:c>
      <x:c r="M2690" t="n">
        <x:v>0</x:v>
      </x:c>
      <x:c r="N2690" t="str">
        <x:v>Fully Paid</x:v>
      </x:c>
      <x:c r="O2690" t="str">
        <x:f>IF(D2690="","Unknown",IF(D2690&lt;25000,"&lt;$25k",IF(D2690&lt;50000,"$25k-$50k",IF(D2690&lt;75000,"$50k-$75k",IF(D2690&lt;100000,"$75k-$100k","$100k+")))))</x:f>
        <x:v>$25k-$50k</x:v>
      </x:c>
      <x:c r="P2690" t="str">
        <x:f>IF(E2690="","Unknown",IF(E2690&lt;10,"&lt;10",IF(E2690&lt;20,"10-&lt;20",IF(E2690&lt;25,"20-&lt;25",IF(E2690&lt;35,"25-&lt;35","35+")))))</x:f>
        <x:v>20-&lt;25</x:v>
      </x:c>
    </x:row>
    <x:row r="2691">
      <x:c r="A2691" t="str">
        <x:v>SYN0002690</x:v>
      </x:c>
      <x:c r="B2691" s="12" t="n">
        <x:v>42565</x:v>
      </x:c>
      <x:c r="C2691" s="18" t="n">
        <x:v>6498</x:v>
      </x:c>
      <x:c r="D2691" s="18" t="n">
        <x:v>64908</x:v>
      </x:c>
      <x:c r="E2691" s="18" t="n">
        <x:v>42.42</x:v>
      </x:c>
      <x:c r="F2691" s="18" t="n">
        <x:v>17.63</x:v>
      </x:c>
      <x:c r="G2691" t="n">
        <x:v>36</x:v>
      </x:c>
      <x:c r="H2691" t="str">
        <x:v>E</x:v>
      </x:c>
      <x:c r="I2691" t="str">
        <x:v>1-3 years</x:v>
      </x:c>
      <x:c r="J2691" t="str">
        <x:v>RENT</x:v>
      </x:c>
      <x:c r="K2691" t="str">
        <x:v>credit_card</x:v>
      </x:c>
      <x:c r="L2691" t="n">
        <x:v>0</x:v>
      </x:c>
      <x:c r="M2691" t="n">
        <x:v>1</x:v>
      </x:c>
      <x:c r="N2691" t="str">
        <x:v>Charged Off</x:v>
      </x:c>
      <x:c r="O2691" t="str">
        <x:f>IF(D2691="","Unknown",IF(D2691&lt;25000,"&lt;$25k",IF(D2691&lt;50000,"$25k-$50k",IF(D2691&lt;75000,"$50k-$75k",IF(D2691&lt;100000,"$75k-$100k","$100k+")))))</x:f>
        <x:v>$50k-$75k</x:v>
      </x:c>
      <x:c r="P2691" t="str">
        <x:f>IF(E2691="","Unknown",IF(E2691&lt;10,"&lt;10",IF(E2691&lt;20,"10-&lt;20",IF(E2691&lt;25,"20-&lt;25",IF(E2691&lt;35,"25-&lt;35","35+")))))</x:f>
        <x:v>35+</x:v>
      </x:c>
    </x:row>
    <x:row r="2692">
      <x:c r="A2692" t="str">
        <x:v>SYN0002691</x:v>
      </x:c>
      <x:c r="B2692" s="12" t="n">
        <x:v>41935</x:v>
      </x:c>
      <x:c r="C2692" s="18" t="n">
        <x:v>14655</x:v>
      </x:c>
      <x:c r="D2692" s="18" t="n">
        <x:v>55776</x:v>
      </x:c>
      <x:c r="E2692" s="18" t="n">
        <x:v>29.86</x:v>
      </x:c>
      <x:c r="F2692" s="18" t="n">
        <x:v>17.87</x:v>
      </x:c>
      <x:c r="G2692" t="n">
        <x:v>60</x:v>
      </x:c>
      <x:c r="H2692" t="str">
        <x:v>E</x:v>
      </x:c>
      <x:c r="I2692" t="str">
        <x:v>10+ years</x:v>
      </x:c>
      <x:c r="J2692" t="str">
        <x:v>MORTGAGE</x:v>
      </x:c>
      <x:c r="K2692" t="str">
        <x:v>home_improvement</x:v>
      </x:c>
      <x:c r="L2692" t="n">
        <x:v>2</x:v>
      </x:c>
      <x:c r="M2692" t="n">
        <x:v>0</x:v>
      </x:c>
      <x:c r="N2692" t="str">
        <x:v>Fully Paid</x:v>
      </x:c>
      <x:c r="O2692" t="str">
        <x:f>IF(D2692="","Unknown",IF(D2692&lt;25000,"&lt;$25k",IF(D2692&lt;50000,"$25k-$50k",IF(D2692&lt;75000,"$50k-$75k",IF(D2692&lt;100000,"$75k-$100k","$100k+")))))</x:f>
        <x:v>$50k-$75k</x:v>
      </x:c>
      <x:c r="P2692" t="str">
        <x:f>IF(E2692="","Unknown",IF(E2692&lt;10,"&lt;10",IF(E2692&lt;20,"10-&lt;20",IF(E2692&lt;25,"20-&lt;25",IF(E2692&lt;35,"25-&lt;35","35+")))))</x:f>
        <x:v>25-&lt;35</x:v>
      </x:c>
    </x:row>
    <x:row r="2693">
      <x:c r="A2693" t="str">
        <x:v>SYN0002692</x:v>
      </x:c>
      <x:c r="B2693" s="12" t="n">
        <x:v>43135</x:v>
      </x:c>
      <x:c r="C2693" s="18" t="n">
        <x:v>22033</x:v>
      </x:c>
      <x:c r="D2693" s="18" t="n">
        <x:v>52241</x:v>
      </x:c>
      <x:c r="E2693" s="18" t="n">
        <x:v>15.48</x:v>
      </x:c>
      <x:c r="F2693" s="18" t="n">
        <x:v>14.56</x:v>
      </x:c>
      <x:c r="G2693" t="n">
        <x:v>36</x:v>
      </x:c>
      <x:c r="H2693" t="str">
        <x:v>D</x:v>
      </x:c>
      <x:c r="I2693" t="str">
        <x:v>10+ years</x:v>
      </x:c>
      <x:c r="J2693" t="str">
        <x:v>RENT</x:v>
      </x:c>
      <x:c r="K2693" t="str">
        <x:v>debt_consolidation</x:v>
      </x:c>
      <x:c r="L2693" t="n">
        <x:v>0</x:v>
      </x:c>
      <x:c r="M2693" t="n">
        <x:v>0</x:v>
      </x:c>
      <x:c r="N2693" t="str">
        <x:v>Fully Paid</x:v>
      </x:c>
      <x:c r="O2693" t="str">
        <x:f>IF(D2693="","Unknown",IF(D2693&lt;25000,"&lt;$25k",IF(D2693&lt;50000,"$25k-$50k",IF(D2693&lt;75000,"$50k-$75k",IF(D2693&lt;100000,"$75k-$100k","$100k+")))))</x:f>
        <x:v>$50k-$75k</x:v>
      </x:c>
      <x:c r="P2693" t="str">
        <x:f>IF(E2693="","Unknown",IF(E2693&lt;10,"&lt;10",IF(E2693&lt;20,"10-&lt;20",IF(E2693&lt;25,"20-&lt;25",IF(E2693&lt;35,"25-&lt;35","35+")))))</x:f>
        <x:v>10-&lt;20</x:v>
      </x:c>
    </x:row>
    <x:row r="2694">
      <x:c r="A2694" t="str">
        <x:v>SYN0002693</x:v>
      </x:c>
      <x:c r="B2694" s="12" t="n">
        <x:v>41575</x:v>
      </x:c>
      <x:c r="C2694" s="18" t="n">
        <x:v>35119</x:v>
      </x:c>
      <x:c r="D2694" s="18" t="n">
        <x:v>51500</x:v>
      </x:c>
      <x:c r="E2694" s="18" t="n">
        <x:v>22.44</x:v>
      </x:c>
      <x:c r="F2694" s="18" t="n">
        <x:v>25.37</x:v>
      </x:c>
      <x:c r="G2694" t="n">
        <x:v>36</x:v>
      </x:c>
      <x:c r="H2694" t="str">
        <x:v>G</x:v>
      </x:c>
      <x:c r="I2694" t="str">
        <x:v>7-9 years</x:v>
      </x:c>
      <x:c r="J2694" t="str">
        <x:v>RENT</x:v>
      </x:c>
      <x:c r="K2694" t="str">
        <x:v>debt_consolidation</x:v>
      </x:c>
      <x:c r="L2694" t="n">
        <x:v>0</x:v>
      </x:c>
      <x:c r="M2694" t="n">
        <x:v>0</x:v>
      </x:c>
      <x:c r="N2694" t="str">
        <x:v>Fully Paid</x:v>
      </x:c>
      <x:c r="O2694" t="str">
        <x:f>IF(D2694="","Unknown",IF(D2694&lt;25000,"&lt;$25k",IF(D2694&lt;50000,"$25k-$50k",IF(D2694&lt;75000,"$50k-$75k",IF(D2694&lt;100000,"$75k-$100k","$100k+")))))</x:f>
        <x:v>$50k-$75k</x:v>
      </x:c>
      <x:c r="P2694" t="str">
        <x:f>IF(E2694="","Unknown",IF(E2694&lt;10,"&lt;10",IF(E2694&lt;20,"10-&lt;20",IF(E2694&lt;25,"20-&lt;25",IF(E2694&lt;35,"25-&lt;35","35+")))))</x:f>
        <x:v>20-&lt;25</x:v>
      </x:c>
    </x:row>
    <x:row r="2695">
      <x:c r="A2695" t="str">
        <x:v>SYN0002694</x:v>
      </x:c>
      <x:c r="B2695" s="12" t="n">
        <x:v>41365</x:v>
      </x:c>
      <x:c r="C2695" s="18" t="n">
        <x:v>40000</x:v>
      </x:c>
      <x:c r="D2695" s="18" t="n">
        <x:v>30283</x:v>
      </x:c>
      <x:c r="E2695" s="18" t="n">
        <x:v>38.35</x:v>
      </x:c>
      <x:c r="F2695" s="18" t="n">
        <x:v>31.25</x:v>
      </x:c>
      <x:c r="G2695" t="n">
        <x:v>60</x:v>
      </x:c>
      <x:c r="H2695" t="str">
        <x:v>G</x:v>
      </x:c>
      <x:c r="I2695" t="str">
        <x:v>10+ years</x:v>
      </x:c>
      <x:c r="J2695" t="str">
        <x:v>RENT</x:v>
      </x:c>
      <x:c r="K2695" t="str">
        <x:v>debt_consolidation</x:v>
      </x:c>
      <x:c r="L2695" t="n">
        <x:v>2</x:v>
      </x:c>
      <x:c r="M2695" t="n">
        <x:v>0</x:v>
      </x:c>
      <x:c r="N2695" t="str">
        <x:v>Fully Paid</x:v>
      </x:c>
      <x:c r="O2695" t="str">
        <x:f>IF(D2695="","Unknown",IF(D2695&lt;25000,"&lt;$25k",IF(D2695&lt;50000,"$25k-$50k",IF(D2695&lt;75000,"$50k-$75k",IF(D2695&lt;100000,"$75k-$100k","$100k+")))))</x:f>
        <x:v>$25k-$50k</x:v>
      </x:c>
      <x:c r="P2695" t="str">
        <x:f>IF(E2695="","Unknown",IF(E2695&lt;10,"&lt;10",IF(E2695&lt;20,"10-&lt;20",IF(E2695&lt;25,"20-&lt;25",IF(E2695&lt;35,"25-&lt;35","35+")))))</x:f>
        <x:v>35+</x:v>
      </x:c>
    </x:row>
    <x:row r="2696">
      <x:c r="A2696" t="str">
        <x:v>SYN0002695</x:v>
      </x:c>
      <x:c r="B2696" s="12" t="n">
        <x:v>42925</x:v>
      </x:c>
      <x:c r="C2696" s="18" t="n">
        <x:v>16121</x:v>
      </x:c>
      <x:c r="D2696" s="18" t="n">
        <x:v>29105</x:v>
      </x:c>
      <x:c r="E2696" s="18" t="n">
        <x:v>29.33</x:v>
      </x:c>
      <x:c r="F2696" s="18" t="n">
        <x:v>24.87</x:v>
      </x:c>
      <x:c r="G2696" t="n">
        <x:v>36</x:v>
      </x:c>
      <x:c r="H2696" t="str">
        <x:v>G</x:v>
      </x:c>
      <x:c r="I2696" t="str">
        <x:v>10+ years</x:v>
      </x:c>
      <x:c r="J2696" t="str">
        <x:v>MORTGAGE</x:v>
      </x:c>
      <x:c r="K2696" t="str">
        <x:v>credit_card</x:v>
      </x:c>
      <x:c r="L2696" t="n">
        <x:v>0</x:v>
      </x:c>
      <x:c r="M2696" t="n">
        <x:v>0</x:v>
      </x:c>
      <x:c r="N2696" t="str">
        <x:v>Fully Paid</x:v>
      </x:c>
      <x:c r="O2696" t="str">
        <x:f>IF(D2696="","Unknown",IF(D2696&lt;25000,"&lt;$25k",IF(D2696&lt;50000,"$25k-$50k",IF(D2696&lt;75000,"$50k-$75k",IF(D2696&lt;100000,"$75k-$100k","$100k+")))))</x:f>
        <x:v>$25k-$50k</x:v>
      </x:c>
      <x:c r="P2696" t="str">
        <x:f>IF(E2696="","Unknown",IF(E2696&lt;10,"&lt;10",IF(E2696&lt;20,"10-&lt;20",IF(E2696&lt;25,"20-&lt;25",IF(E2696&lt;35,"25-&lt;35","35+")))))</x:f>
        <x:v>25-&lt;35</x:v>
      </x:c>
    </x:row>
    <x:row r="2697">
      <x:c r="A2697" t="str">
        <x:v>SYN0002696</x:v>
      </x:c>
      <x:c r="B2697" s="12" t="n">
        <x:v>42715</x:v>
      </x:c>
      <x:c r="C2697" s="18" t="n">
        <x:v>8644</x:v>
      </x:c>
      <x:c r="D2697" s="18" t="n">
        <x:v>104950</x:v>
      </x:c>
      <x:c r="E2697" s="18" t="n">
        <x:v>26.61</x:v>
      </x:c>
      <x:c r="F2697" s="18" t="n">
        <x:v>19.33</x:v>
      </x:c>
      <x:c r="G2697" t="n">
        <x:v>60</x:v>
      </x:c>
      <x:c r="H2697" t="str">
        <x:v>E</x:v>
      </x:c>
      <x:c r="I2697" t="str">
        <x:v>4-6 years</x:v>
      </x:c>
      <x:c r="J2697" t="str">
        <x:v>OWN</x:v>
      </x:c>
      <x:c r="K2697" t="str">
        <x:v>debt_consolidation</x:v>
      </x:c>
      <x:c r="L2697" t="n">
        <x:v>0</x:v>
      </x:c>
      <x:c r="M2697" t="n">
        <x:v>0</x:v>
      </x:c>
      <x:c r="N2697" t="str">
        <x:v>Fully Paid</x:v>
      </x:c>
      <x:c r="O2697" t="str">
        <x:f>IF(D2697="","Unknown",IF(D2697&lt;25000,"&lt;$25k",IF(D2697&lt;50000,"$25k-$50k",IF(D2697&lt;75000,"$50k-$75k",IF(D2697&lt;100000,"$75k-$100k","$100k+")))))</x:f>
        <x:v>$100k+</x:v>
      </x:c>
      <x:c r="P2697" t="str">
        <x:f>IF(E2697="","Unknown",IF(E2697&lt;10,"&lt;10",IF(E2697&lt;20,"10-&lt;20",IF(E2697&lt;25,"20-&lt;25",IF(E2697&lt;35,"25-&lt;35","35+")))))</x:f>
        <x:v>25-&lt;35</x:v>
      </x:c>
    </x:row>
    <x:row r="2698">
      <x:c r="A2698" t="str">
        <x:v>SYN0002697</x:v>
      </x:c>
      <x:c r="B2698" s="12" t="n">
        <x:v>41455</x:v>
      </x:c>
      <x:c r="C2698" s="18" t="n">
        <x:v>6930</x:v>
      </x:c>
      <x:c r="D2698" s="18" t="n">
        <x:v>39918</x:v>
      </x:c>
      <x:c r="E2698" s="18" t="n">
        <x:v>27.64</x:v>
      </x:c>
      <x:c r="F2698" s="18" t="n">
        <x:v>10.86</x:v>
      </x:c>
      <x:c r="G2698" t="n">
        <x:v>36</x:v>
      </x:c>
      <x:c r="H2698" t="str">
        <x:v>C</x:v>
      </x:c>
      <x:c r="I2698" t="str">
        <x:v>4-6 years</x:v>
      </x:c>
      <x:c r="J2698" t="str">
        <x:v>MORTGAGE</x:v>
      </x:c>
      <x:c r="K2698" t="str">
        <x:v>other</x:v>
      </x:c>
      <x:c r="L2698" t="n">
        <x:v>0</x:v>
      </x:c>
      <x:c r="M2698" t="n">
        <x:v>0</x:v>
      </x:c>
      <x:c r="N2698" t="str">
        <x:v>Fully Paid</x:v>
      </x:c>
      <x:c r="O2698" t="str">
        <x:f>IF(D2698="","Unknown",IF(D2698&lt;25000,"&lt;$25k",IF(D2698&lt;50000,"$25k-$50k",IF(D2698&lt;75000,"$50k-$75k",IF(D2698&lt;100000,"$75k-$100k","$100k+")))))</x:f>
        <x:v>$25k-$50k</x:v>
      </x:c>
      <x:c r="P2698" t="str">
        <x:f>IF(E2698="","Unknown",IF(E2698&lt;10,"&lt;10",IF(E2698&lt;20,"10-&lt;20",IF(E2698&lt;25,"20-&lt;25",IF(E2698&lt;35,"25-&lt;35","35+")))))</x:f>
        <x:v>25-&lt;35</x:v>
      </x:c>
    </x:row>
    <x:row r="2699">
      <x:c r="A2699" t="str">
        <x:v>SYN0002698</x:v>
      </x:c>
      <x:c r="B2699" s="12" t="n">
        <x:v>43165</x:v>
      </x:c>
      <x:c r="C2699" s="18" t="n">
        <x:v>9936</x:v>
      </x:c>
      <x:c r="D2699" s="18" t="n">
        <x:v>92704</x:v>
      </x:c>
      <x:c r="E2699" s="18" t="n">
        <x:v>20.38</x:v>
      </x:c>
      <x:c r="F2699" s="18" t="n">
        <x:v>25.62</x:v>
      </x:c>
      <x:c r="G2699" t="n">
        <x:v>36</x:v>
      </x:c>
      <x:c r="H2699" t="str">
        <x:v>F</x:v>
      </x:c>
      <x:c r="I2699" t="str">
        <x:v>&lt;1 year</x:v>
      </x:c>
      <x:c r="J2699" t="str">
        <x:v>RENT</x:v>
      </x:c>
      <x:c r="K2699" t="str">
        <x:v>debt_consolidation</x:v>
      </x:c>
      <x:c r="L2699" t="n">
        <x:v>1</x:v>
      </x:c>
      <x:c r="M2699" t="n">
        <x:v>0</x:v>
      </x:c>
      <x:c r="N2699" t="str">
        <x:v>Fully Paid</x:v>
      </x:c>
      <x:c r="O2699" t="str">
        <x:f>IF(D2699="","Unknown",IF(D2699&lt;25000,"&lt;$25k",IF(D2699&lt;50000,"$25k-$50k",IF(D2699&lt;75000,"$50k-$75k",IF(D2699&lt;100000,"$75k-$100k","$100k+")))))</x:f>
        <x:v>$75k-$100k</x:v>
      </x:c>
      <x:c r="P2699" t="str">
        <x:f>IF(E2699="","Unknown",IF(E2699&lt;10,"&lt;10",IF(E2699&lt;20,"10-&lt;20",IF(E2699&lt;25,"20-&lt;25",IF(E2699&lt;35,"25-&lt;35","35+")))))</x:f>
        <x:v>20-&lt;25</x:v>
      </x:c>
    </x:row>
    <x:row r="2700">
      <x:c r="A2700" t="str">
        <x:v>SYN0002699</x:v>
      </x:c>
      <x:c r="B2700" s="12" t="n">
        <x:v>42715</x:v>
      </x:c>
      <x:c r="C2700" s="18" t="n">
        <x:v>12682</x:v>
      </x:c>
      <x:c r="D2700" s="18" t="n">
        <x:v>44971</x:v>
      </x:c>
      <x:c r="E2700" s="18" t="n">
        <x:v>11.81</x:v>
      </x:c>
      <x:c r="F2700" s="18" t="n">
        <x:v>8.5</x:v>
      </x:c>
      <x:c r="G2700" t="n">
        <x:v>60</x:v>
      </x:c>
      <x:c r="H2700" t="str">
        <x:v>B</x:v>
      </x:c>
      <x:c r="I2700" t="str">
        <x:v>1-3 years</x:v>
      </x:c>
      <x:c r="J2700" t="str">
        <x:v>RENT</x:v>
      </x:c>
      <x:c r="K2700" t="str">
        <x:v>major_purchase</x:v>
      </x:c>
      <x:c r="L2700" t="n">
        <x:v>0</x:v>
      </x:c>
      <x:c r="M2700" t="n">
        <x:v>0</x:v>
      </x:c>
      <x:c r="N2700" t="str">
        <x:v>Fully Paid</x:v>
      </x:c>
      <x:c r="O2700" t="str">
        <x:f>IF(D2700="","Unknown",IF(D2700&lt;25000,"&lt;$25k",IF(D2700&lt;50000,"$25k-$50k",IF(D2700&lt;75000,"$50k-$75k",IF(D2700&lt;100000,"$75k-$100k","$100k+")))))</x:f>
        <x:v>$25k-$50k</x:v>
      </x:c>
      <x:c r="P2700" t="str">
        <x:f>IF(E2700="","Unknown",IF(E2700&lt;10,"&lt;10",IF(E2700&lt;20,"10-&lt;20",IF(E2700&lt;25,"20-&lt;25",IF(E2700&lt;35,"25-&lt;35","35+")))))</x:f>
        <x:v>10-&lt;20</x:v>
      </x:c>
    </x:row>
    <x:row r="2701">
      <x:c r="A2701" t="str">
        <x:v>SYN0002700</x:v>
      </x:c>
      <x:c r="B2701" s="12" t="n">
        <x:v>42145</x:v>
      </x:c>
      <x:c r="C2701" s="18" t="n">
        <x:v>8530</x:v>
      </x:c>
      <x:c r="D2701" s="18" t="n">
        <x:v>23654</x:v>
      </x:c>
      <x:c r="E2701" s="18" t="n">
        <x:v>0.45</x:v>
      </x:c>
      <x:c r="F2701" s="18" t="n">
        <x:v>6.86</x:v>
      </x:c>
      <x:c r="G2701" t="n">
        <x:v>36</x:v>
      </x:c>
      <x:c r="H2701" t="str">
        <x:v>B</x:v>
      </x:c>
      <x:c r="I2701" t="str">
        <x:v>1-3 years</x:v>
      </x:c>
      <x:c r="J2701" t="str">
        <x:v>RENT</x:v>
      </x:c>
      <x:c r="K2701" t="str">
        <x:v>home_improvement</x:v>
      </x:c>
      <x:c r="L2701" t="n">
        <x:v>1</x:v>
      </x:c>
      <x:c r="M2701" t="n">
        <x:v>0</x:v>
      </x:c>
      <x:c r="N2701" t="str">
        <x:v>Fully Paid</x:v>
      </x:c>
      <x:c r="O2701" t="str">
        <x:f>IF(D2701="","Unknown",IF(D2701&lt;25000,"&lt;$25k",IF(D2701&lt;50000,"$25k-$50k",IF(D2701&lt;75000,"$50k-$75k",IF(D2701&lt;100000,"$75k-$100k","$100k+")))))</x:f>
        <x:v>&lt;$25k</x:v>
      </x:c>
      <x:c r="P2701" t="str">
        <x:f>IF(E2701="","Unknown",IF(E2701&lt;10,"&lt;10",IF(E2701&lt;20,"10-&lt;20",IF(E2701&lt;25,"20-&lt;25",IF(E2701&lt;35,"25-&lt;35","35+")))))</x:f>
        <x:v>&lt;10</x:v>
      </x:c>
    </x:row>
    <x:row r="2702">
      <x:c r="A2702" t="str">
        <x:v>SYN0002701</x:v>
      </x:c>
      <x:c r="B2702" s="12" t="n">
        <x:v>42295</x:v>
      </x:c>
      <x:c r="C2702" s="18" t="n">
        <x:v>5541</x:v>
      </x:c>
      <x:c r="D2702" s="18" t="n">
        <x:v>55779</x:v>
      </x:c>
      <x:c r="E2702" s="18" t="n">
        <x:v>11.62</x:v>
      </x:c>
      <x:c r="F2702" s="18" t="n">
        <x:v>15.12</x:v>
      </x:c>
      <x:c r="G2702" t="n">
        <x:v>36</x:v>
      </x:c>
      <x:c r="H2702" t="str">
        <x:v>D</x:v>
      </x:c>
      <x:c r="I2702" t="str">
        <x:v>1-3 years</x:v>
      </x:c>
      <x:c r="J2702" t="str">
        <x:v>RENT</x:v>
      </x:c>
      <x:c r="K2702" t="str">
        <x:v>debt_consolidation</x:v>
      </x:c>
      <x:c r="L2702" t="n">
        <x:v>1</x:v>
      </x:c>
      <x:c r="M2702" t="n">
        <x:v>0</x:v>
      </x:c>
      <x:c r="N2702" t="str">
        <x:v>Fully Paid</x:v>
      </x:c>
      <x:c r="O2702" t="str">
        <x:f>IF(D2702="","Unknown",IF(D2702&lt;25000,"&lt;$25k",IF(D2702&lt;50000,"$25k-$50k",IF(D2702&lt;75000,"$50k-$75k",IF(D2702&lt;100000,"$75k-$100k","$100k+")))))</x:f>
        <x:v>$50k-$75k</x:v>
      </x:c>
      <x:c r="P2702" t="str">
        <x:f>IF(E2702="","Unknown",IF(E2702&lt;10,"&lt;10",IF(E2702&lt;20,"10-&lt;20",IF(E2702&lt;25,"20-&lt;25",IF(E2702&lt;35,"25-&lt;35","35+")))))</x:f>
        <x:v>10-&lt;20</x:v>
      </x:c>
    </x:row>
    <x:row r="2703">
      <x:c r="A2703" t="str">
        <x:v>SYN0002702</x:v>
      </x:c>
      <x:c r="B2703" s="12" t="n">
        <x:v>42925</x:v>
      </x:c>
      <x:c r="C2703" s="18" t="n">
        <x:v>10488</x:v>
      </x:c>
      <x:c r="D2703" s="18" t="n">
        <x:v>45358</x:v>
      </x:c>
      <x:c r="E2703" s="18" t="n">
        <x:v>29.43</x:v>
      </x:c>
      <x:c r="F2703" s="18" t="n">
        <x:v>14.11</x:v>
      </x:c>
      <x:c r="G2703" t="n">
        <x:v>36</x:v>
      </x:c>
      <x:c r="H2703" t="str">
        <x:v>E</x:v>
      </x:c>
      <x:c r="I2703" t="str">
        <x:v>7-9 years</x:v>
      </x:c>
      <x:c r="J2703" t="str">
        <x:v>RENT</x:v>
      </x:c>
      <x:c r="K2703" t="str">
        <x:v>debt_consolidation</x:v>
      </x:c>
      <x:c r="L2703" t="n">
        <x:v>0</x:v>
      </x:c>
      <x:c r="M2703" t="n">
        <x:v>0</x:v>
      </x:c>
      <x:c r="N2703" t="str">
        <x:v>Fully Paid</x:v>
      </x:c>
      <x:c r="O2703" t="str">
        <x:f>IF(D2703="","Unknown",IF(D2703&lt;25000,"&lt;$25k",IF(D2703&lt;50000,"$25k-$50k",IF(D2703&lt;75000,"$50k-$75k",IF(D2703&lt;100000,"$75k-$100k","$100k+")))))</x:f>
        <x:v>$25k-$50k</x:v>
      </x:c>
      <x:c r="P2703" t="str">
        <x:f>IF(E2703="","Unknown",IF(E2703&lt;10,"&lt;10",IF(E2703&lt;20,"10-&lt;20",IF(E2703&lt;25,"20-&lt;25",IF(E2703&lt;35,"25-&lt;35","35+")))))</x:f>
        <x:v>25-&lt;35</x:v>
      </x:c>
    </x:row>
    <x:row r="2704">
      <x:c r="A2704" t="str">
        <x:v>SYN0002703</x:v>
      </x:c>
      <x:c r="B2704" s="12" t="n">
        <x:v>42055</x:v>
      </x:c>
      <x:c r="C2704" s="18" t="n">
        <x:v>10322</x:v>
      </x:c>
      <x:c r="D2704" s="18" t="n">
        <x:v>61800</x:v>
      </x:c>
      <x:c r="E2704" s="18" t="n">
        <x:v>22.16</x:v>
      </x:c>
      <x:c r="F2704" s="18" t="n">
        <x:v>9.67</x:v>
      </x:c>
      <x:c r="G2704" t="n">
        <x:v>60</x:v>
      </x:c>
      <x:c r="H2704" t="str">
        <x:v>B</x:v>
      </x:c>
      <x:c r="I2704" t="str">
        <x:v>&lt;1 year</x:v>
      </x:c>
      <x:c r="J2704" t="str">
        <x:v>RENT</x:v>
      </x:c>
      <x:c r="K2704" t="str">
        <x:v>debt_consolidation</x:v>
      </x:c>
      <x:c r="L2704" t="n">
        <x:v>1</x:v>
      </x:c>
      <x:c r="M2704" t="n">
        <x:v>0</x:v>
      </x:c>
      <x:c r="N2704" t="str">
        <x:v>Fully Paid</x:v>
      </x:c>
      <x:c r="O2704" t="str">
        <x:f>IF(D2704="","Unknown",IF(D2704&lt;25000,"&lt;$25k",IF(D2704&lt;50000,"$25k-$50k",IF(D2704&lt;75000,"$50k-$75k",IF(D2704&lt;100000,"$75k-$100k","$100k+")))))</x:f>
        <x:v>$50k-$75k</x:v>
      </x:c>
      <x:c r="P2704" t="str">
        <x:f>IF(E2704="","Unknown",IF(E2704&lt;10,"&lt;10",IF(E2704&lt;20,"10-&lt;20",IF(E2704&lt;25,"20-&lt;25",IF(E2704&lt;35,"25-&lt;35","35+")))))</x:f>
        <x:v>20-&lt;25</x:v>
      </x:c>
    </x:row>
    <x:row r="2705">
      <x:c r="A2705" t="str">
        <x:v>SYN0002704</x:v>
      </x:c>
      <x:c r="B2705" s="12" t="n">
        <x:v>43405</x:v>
      </x:c>
      <x:c r="C2705" s="18" t="n">
        <x:v>9087</x:v>
      </x:c>
      <x:c r="D2705" s="18" t="n">
        <x:v>99317</x:v>
      </x:c>
      <x:c r="E2705" s="18" t="n">
        <x:v>16.25</x:v>
      </x:c>
      <x:c r="F2705" s="18" t="n">
        <x:v>7.71</x:v>
      </x:c>
      <x:c r="G2705" t="n">
        <x:v>36</x:v>
      </x:c>
      <x:c r="H2705" t="str">
        <x:v>B</x:v>
      </x:c>
      <x:c r="I2705" t="str">
        <x:v>4-6 years</x:v>
      </x:c>
      <x:c r="J2705" t="str">
        <x:v>RENT</x:v>
      </x:c>
      <x:c r="K2705" t="str">
        <x:v>debt_consolidation</x:v>
      </x:c>
      <x:c r="L2705" t="n">
        <x:v>0</x:v>
      </x:c>
      <x:c r="M2705" t="n">
        <x:v>0</x:v>
      </x:c>
      <x:c r="N2705" t="str">
        <x:v>Fully Paid</x:v>
      </x:c>
      <x:c r="O2705" t="str">
        <x:f>IF(D2705="","Unknown",IF(D2705&lt;25000,"&lt;$25k",IF(D2705&lt;50000,"$25k-$50k",IF(D2705&lt;75000,"$50k-$75k",IF(D2705&lt;100000,"$75k-$100k","$100k+")))))</x:f>
        <x:v>$75k-$100k</x:v>
      </x:c>
      <x:c r="P2705" t="str">
        <x:f>IF(E2705="","Unknown",IF(E2705&lt;10,"&lt;10",IF(E2705&lt;20,"10-&lt;20",IF(E2705&lt;25,"20-&lt;25",IF(E2705&lt;35,"25-&lt;35","35+")))))</x:f>
        <x:v>10-&lt;20</x:v>
      </x:c>
    </x:row>
    <x:row r="2706">
      <x:c r="A2706" t="str">
        <x:v>SYN0002705</x:v>
      </x:c>
      <x:c r="B2706" s="12" t="n">
        <x:v>43345</x:v>
      </x:c>
      <x:c r="C2706" s="18" t="n">
        <x:v>11754</x:v>
      </x:c>
      <x:c r="D2706" s="18" t="n">
        <x:v>64261</x:v>
      </x:c>
      <x:c r="E2706" s="18" t="n">
        <x:v>24.77</x:v>
      </x:c>
      <x:c r="F2706" s="18" t="n">
        <x:v>13.45</x:v>
      </x:c>
      <x:c r="G2706" t="n">
        <x:v>60</x:v>
      </x:c>
      <x:c r="H2706" t="str">
        <x:v>D</x:v>
      </x:c>
      <x:c r="I2706" t="str">
        <x:v>1-3 years</x:v>
      </x:c>
      <x:c r="J2706" t="str">
        <x:v>MORTGAGE</x:v>
      </x:c>
      <x:c r="K2706" t="str">
        <x:v>credit_card</x:v>
      </x:c>
      <x:c r="L2706" t="n">
        <x:v>0</x:v>
      </x:c>
      <x:c r="M2706" t="n">
        <x:v>0</x:v>
      </x:c>
      <x:c r="N2706" t="str">
        <x:v>Fully Paid</x:v>
      </x:c>
      <x:c r="O2706" t="str">
        <x:f>IF(D2706="","Unknown",IF(D2706&lt;25000,"&lt;$25k",IF(D2706&lt;50000,"$25k-$50k",IF(D2706&lt;75000,"$50k-$75k",IF(D2706&lt;100000,"$75k-$100k","$100k+")))))</x:f>
        <x:v>$50k-$75k</x:v>
      </x:c>
      <x:c r="P2706" t="str">
        <x:f>IF(E2706="","Unknown",IF(E2706&lt;10,"&lt;10",IF(E2706&lt;20,"10-&lt;20",IF(E2706&lt;25,"20-&lt;25",IF(E2706&lt;35,"25-&lt;35","35+")))))</x:f>
        <x:v>20-&lt;25</x:v>
      </x:c>
    </x:row>
    <x:row r="2707">
      <x:c r="A2707" t="str">
        <x:v>SYN0002706</x:v>
      </x:c>
      <x:c r="B2707" s="12" t="n">
        <x:v>42685</x:v>
      </x:c>
      <x:c r="C2707" s="18" t="n">
        <x:v>17662</x:v>
      </x:c>
      <x:c r="D2707" s="18" t="n">
        <x:v>47333</x:v>
      </x:c>
      <x:c r="E2707" s="18" t="n">
        <x:v>3.94</x:v>
      </x:c>
      <x:c r="F2707" s="18" t="n">
        <x:v>8.98</x:v>
      </x:c>
      <x:c r="G2707" t="n">
        <x:v>36</x:v>
      </x:c>
      <x:c r="H2707" t="str">
        <x:v>B</x:v>
      </x:c>
      <x:c r="I2707" t="str">
        <x:v>10+ years</x:v>
      </x:c>
      <x:c r="J2707" t="str">
        <x:v>RENT</x:v>
      </x:c>
      <x:c r="K2707" t="str">
        <x:v>credit_card</x:v>
      </x:c>
      <x:c r="L2707" t="n">
        <x:v>0</x:v>
      </x:c>
      <x:c r="M2707" t="n">
        <x:v>0</x:v>
      </x:c>
      <x:c r="N2707" t="str">
        <x:v>Fully Paid</x:v>
      </x:c>
      <x:c r="O2707" t="str">
        <x:f>IF(D2707="","Unknown",IF(D2707&lt;25000,"&lt;$25k",IF(D2707&lt;50000,"$25k-$50k",IF(D2707&lt;75000,"$50k-$75k",IF(D2707&lt;100000,"$75k-$100k","$100k+")))))</x:f>
        <x:v>$25k-$50k</x:v>
      </x:c>
      <x:c r="P2707" t="str">
        <x:f>IF(E2707="","Unknown",IF(E2707&lt;10,"&lt;10",IF(E2707&lt;20,"10-&lt;20",IF(E2707&lt;25,"20-&lt;25",IF(E2707&lt;35,"25-&lt;35","35+")))))</x:f>
        <x:v>&lt;10</x:v>
      </x:c>
    </x:row>
    <x:row r="2708">
      <x:c r="A2708" t="str">
        <x:v>SYN0002707</x:v>
      </x:c>
      <x:c r="B2708" s="12" t="n">
        <x:v>41965</x:v>
      </x:c>
      <x:c r="C2708" s="18" t="n">
        <x:v>14110</x:v>
      </x:c>
      <x:c r="D2708" s="18" t="n">
        <x:v>75529</x:v>
      </x:c>
      <x:c r="E2708" s="18" t="n">
        <x:v>15.19</x:v>
      </x:c>
      <x:c r="F2708" s="18" t="n">
        <x:v>8.53</x:v>
      </x:c>
      <x:c r="G2708" t="n">
        <x:v>36</x:v>
      </x:c>
      <x:c r="H2708" t="str">
        <x:v>B</x:v>
      </x:c>
      <x:c r="I2708" t="str">
        <x:v>4-6 years</x:v>
      </x:c>
      <x:c r="J2708" t="str">
        <x:v>RENT</x:v>
      </x:c>
      <x:c r="K2708" t="str">
        <x:v>credit_card</x:v>
      </x:c>
      <x:c r="L2708" t="n">
        <x:v>2</x:v>
      </x:c>
      <x:c r="M2708" t="n">
        <x:v>0</x:v>
      </x:c>
      <x:c r="N2708" t="str">
        <x:v>Fully Paid</x:v>
      </x:c>
      <x:c r="O2708" t="str">
        <x:f>IF(D2708="","Unknown",IF(D2708&lt;25000,"&lt;$25k",IF(D2708&lt;50000,"$25k-$50k",IF(D2708&lt;75000,"$50k-$75k",IF(D2708&lt;100000,"$75k-$100k","$100k+")))))</x:f>
        <x:v>$75k-$100k</x:v>
      </x:c>
      <x:c r="P2708" t="str">
        <x:f>IF(E2708="","Unknown",IF(E2708&lt;10,"&lt;10",IF(E2708&lt;20,"10-&lt;20",IF(E2708&lt;25,"20-&lt;25",IF(E2708&lt;35,"25-&lt;35","35+")))))</x:f>
        <x:v>10-&lt;20</x:v>
      </x:c>
    </x:row>
    <x:row r="2709">
      <x:c r="A2709" t="str">
        <x:v>SYN0002708</x:v>
      </x:c>
      <x:c r="B2709" s="12" t="n">
        <x:v>42355</x:v>
      </x:c>
      <x:c r="C2709" s="18" t="n">
        <x:v>12201</x:v>
      </x:c>
      <x:c r="D2709" s="18" t="n">
        <x:v>192536</x:v>
      </x:c>
      <x:c r="E2709" s="18" t="n">
        <x:v>9.32</x:v>
      </x:c>
      <x:c r="F2709" s="18" t="n">
        <x:v>5.85</x:v>
      </x:c>
      <x:c r="G2709" t="n">
        <x:v>36</x:v>
      </x:c>
      <x:c r="H2709" t="str">
        <x:v>A</x:v>
      </x:c>
      <x:c r="I2709" t="str">
        <x:v>7-9 years</x:v>
      </x:c>
      <x:c r="J2709" t="str">
        <x:v>MORTGAGE</x:v>
      </x:c>
      <x:c r="K2709" t="str">
        <x:v>debt_consolidation</x:v>
      </x:c>
      <x:c r="L2709" t="n">
        <x:v>0</x:v>
      </x:c>
      <x:c r="M2709" t="n">
        <x:v>0</x:v>
      </x:c>
      <x:c r="N2709" t="str">
        <x:v>Fully Paid</x:v>
      </x:c>
      <x:c r="O2709" t="str">
        <x:f>IF(D2709="","Unknown",IF(D2709&lt;25000,"&lt;$25k",IF(D2709&lt;50000,"$25k-$50k",IF(D2709&lt;75000,"$50k-$75k",IF(D2709&lt;100000,"$75k-$100k","$100k+")))))</x:f>
        <x:v>$100k+</x:v>
      </x:c>
      <x:c r="P2709" t="str">
        <x:f>IF(E2709="","Unknown",IF(E2709&lt;10,"&lt;10",IF(E2709&lt;20,"10-&lt;20",IF(E2709&lt;25,"20-&lt;25",IF(E2709&lt;35,"25-&lt;35","35+")))))</x:f>
        <x:v>&lt;10</x:v>
      </x:c>
    </x:row>
    <x:row r="2710">
      <x:c r="A2710" t="str">
        <x:v>SYN0002709</x:v>
      </x:c>
      <x:c r="B2710" s="12" t="n">
        <x:v>41935</x:v>
      </x:c>
      <x:c r="C2710" s="18" t="n">
        <x:v>15109</x:v>
      </x:c>
      <x:c r="D2710" s="18" t="n">
        <x:v>54912</x:v>
      </x:c>
      <x:c r="E2710" s="18" t="n">
        <x:v>16.15</x:v>
      </x:c>
      <x:c r="F2710" s="18" t="n">
        <x:v>7.04</x:v>
      </x:c>
      <x:c r="G2710" t="n">
        <x:v>36</x:v>
      </x:c>
      <x:c r="H2710" t="str">
        <x:v>B</x:v>
      </x:c>
      <x:c r="I2710" t="str">
        <x:v>10+ years</x:v>
      </x:c>
      <x:c r="J2710" t="str">
        <x:v>RENT</x:v>
      </x:c>
      <x:c r="K2710" t="str">
        <x:v>major_purchase</x:v>
      </x:c>
      <x:c r="L2710" t="n">
        <x:v>0</x:v>
      </x:c>
      <x:c r="M2710" t="n">
        <x:v>0</x:v>
      </x:c>
      <x:c r="N2710" t="str">
        <x:v>Fully Paid</x:v>
      </x:c>
      <x:c r="O2710" t="str">
        <x:f>IF(D2710="","Unknown",IF(D2710&lt;25000,"&lt;$25k",IF(D2710&lt;50000,"$25k-$50k",IF(D2710&lt;75000,"$50k-$75k",IF(D2710&lt;100000,"$75k-$100k","$100k+")))))</x:f>
        <x:v>$50k-$75k</x:v>
      </x:c>
      <x:c r="P2710" t="str">
        <x:f>IF(E2710="","Unknown",IF(E2710&lt;10,"&lt;10",IF(E2710&lt;20,"10-&lt;20",IF(E2710&lt;25,"20-&lt;25",IF(E2710&lt;35,"25-&lt;35","35+")))))</x:f>
        <x:v>10-&lt;20</x:v>
      </x:c>
    </x:row>
    <x:row r="2711">
      <x:c r="A2711" t="str">
        <x:v>SYN0002710</x:v>
      </x:c>
      <x:c r="B2711" s="12" t="n">
        <x:v>41395</x:v>
      </x:c>
      <x:c r="C2711" s="18" t="n">
        <x:v>4334</x:v>
      </x:c>
      <x:c r="D2711" s="18" t="n">
        <x:v>46336</x:v>
      </x:c>
      <x:c r="E2711" s="18" t="n">
        <x:v>21.03</x:v>
      </x:c>
      <x:c r="F2711" s="18" t="n">
        <x:v>13.77</x:v>
      </x:c>
      <x:c r="G2711" t="n">
        <x:v>60</x:v>
      </x:c>
      <x:c r="H2711" t="str">
        <x:v>D</x:v>
      </x:c>
      <x:c r="I2711" t="str">
        <x:v>4-6 years</x:v>
      </x:c>
      <x:c r="J2711" t="str">
        <x:v>MORTGAGE</x:v>
      </x:c>
      <x:c r="K2711" t="str">
        <x:v>other</x:v>
      </x:c>
      <x:c r="L2711" t="n">
        <x:v>0</x:v>
      </x:c>
      <x:c r="M2711" t="n">
        <x:v>0</x:v>
      </x:c>
      <x:c r="N2711" t="str">
        <x:v>Fully Paid</x:v>
      </x:c>
      <x:c r="O2711" t="str">
        <x:f>IF(D2711="","Unknown",IF(D2711&lt;25000,"&lt;$25k",IF(D2711&lt;50000,"$25k-$50k",IF(D2711&lt;75000,"$50k-$75k",IF(D2711&lt;100000,"$75k-$100k","$100k+")))))</x:f>
        <x:v>$25k-$50k</x:v>
      </x:c>
      <x:c r="P2711" t="str">
        <x:f>IF(E2711="","Unknown",IF(E2711&lt;10,"&lt;10",IF(E2711&lt;20,"10-&lt;20",IF(E2711&lt;25,"20-&lt;25",IF(E2711&lt;35,"25-&lt;35","35+")))))</x:f>
        <x:v>20-&lt;25</x:v>
      </x:c>
    </x:row>
    <x:row r="2712">
      <x:c r="A2712" t="str">
        <x:v>SYN0002711</x:v>
      </x:c>
      <x:c r="B2712" s="12" t="n">
        <x:v>42835</x:v>
      </x:c>
      <x:c r="C2712" s="18" t="n">
        <x:v>9723</x:v>
      </x:c>
      <x:c r="D2712" s="18" t="n">
        <x:v>36434</x:v>
      </x:c>
      <x:c r="E2712" s="18" t="n">
        <x:v>20.41</x:v>
      </x:c>
      <x:c r="F2712" s="18" t="n">
        <x:v>23.27</x:v>
      </x:c>
      <x:c r="G2712" t="n">
        <x:v>60</x:v>
      </x:c>
      <x:c r="H2712" t="str">
        <x:v>G</x:v>
      </x:c>
      <x:c r="I2712" t="str">
        <x:v>&lt;1 year</x:v>
      </x:c>
      <x:c r="J2712" t="str">
        <x:v>MORTGAGE</x:v>
      </x:c>
      <x:c r="K2712" t="str">
        <x:v>debt_consolidation</x:v>
      </x:c>
      <x:c r="L2712" t="n">
        <x:v>0</x:v>
      </x:c>
      <x:c r="M2712" t="n">
        <x:v>0</x:v>
      </x:c>
      <x:c r="N2712" t="str">
        <x:v>Fully Paid</x:v>
      </x:c>
      <x:c r="O2712" t="str">
        <x:f>IF(D2712="","Unknown",IF(D2712&lt;25000,"&lt;$25k",IF(D2712&lt;50000,"$25k-$50k",IF(D2712&lt;75000,"$50k-$75k",IF(D2712&lt;100000,"$75k-$100k","$100k+")))))</x:f>
        <x:v>$25k-$50k</x:v>
      </x:c>
      <x:c r="P2712" t="str">
        <x:f>IF(E2712="","Unknown",IF(E2712&lt;10,"&lt;10",IF(E2712&lt;20,"10-&lt;20",IF(E2712&lt;25,"20-&lt;25",IF(E2712&lt;35,"25-&lt;35","35+")))))</x:f>
        <x:v>20-&lt;25</x:v>
      </x:c>
    </x:row>
    <x:row r="2713">
      <x:c r="A2713" t="str">
        <x:v>SYN0002712</x:v>
      </x:c>
      <x:c r="B2713" s="12" t="n">
        <x:v>42625</x:v>
      </x:c>
      <x:c r="C2713" s="18" t="n">
        <x:v>21363</x:v>
      </x:c>
      <x:c r="D2713" s="18" t="n">
        <x:v>82566</x:v>
      </x:c>
      <x:c r="E2713" s="18" t="n">
        <x:v>23.72</x:v>
      </x:c>
      <x:c r="F2713" s="18" t="n">
        <x:v>15.61</x:v>
      </x:c>
      <x:c r="G2713" t="n">
        <x:v>36</x:v>
      </x:c>
      <x:c r="H2713" t="str">
        <x:v>E</x:v>
      </x:c>
      <x:c r="I2713" t="str">
        <x:v>10+ years</x:v>
      </x:c>
      <x:c r="J2713" t="str">
        <x:v>MORTGAGE</x:v>
      </x:c>
      <x:c r="K2713" t="str">
        <x:v>debt_consolidation</x:v>
      </x:c>
      <x:c r="L2713" t="n">
        <x:v>0</x:v>
      </x:c>
      <x:c r="M2713" t="n">
        <x:v>0</x:v>
      </x:c>
      <x:c r="N2713" t="str">
        <x:v>Fully Paid</x:v>
      </x:c>
      <x:c r="O2713" t="str">
        <x:f>IF(D2713="","Unknown",IF(D2713&lt;25000,"&lt;$25k",IF(D2713&lt;50000,"$25k-$50k",IF(D2713&lt;75000,"$50k-$75k",IF(D2713&lt;100000,"$75k-$100k","$100k+")))))</x:f>
        <x:v>$75k-$100k</x:v>
      </x:c>
      <x:c r="P2713" t="str">
        <x:f>IF(E2713="","Unknown",IF(E2713&lt;10,"&lt;10",IF(E2713&lt;20,"10-&lt;20",IF(E2713&lt;25,"20-&lt;25",IF(E2713&lt;35,"25-&lt;35","35+")))))</x:f>
        <x:v>20-&lt;25</x:v>
      </x:c>
    </x:row>
    <x:row r="2714">
      <x:c r="A2714" t="str">
        <x:v>SYN0002713</x:v>
      </x:c>
      <x:c r="B2714" s="12" t="n">
        <x:v>41515</x:v>
      </x:c>
      <x:c r="C2714" s="18" t="n">
        <x:v>13428</x:v>
      </x:c>
      <x:c r="D2714" s="18" t="n">
        <x:v>41227</x:v>
      </x:c>
      <x:c r="E2714" s="18" t="n">
        <x:v>7.26</x:v>
      </x:c>
      <x:c r="F2714" s="18" t="n">
        <x:v>14.87</x:v>
      </x:c>
      <x:c r="G2714" t="n">
        <x:v>36</x:v>
      </x:c>
      <x:c r="H2714" t="str">
        <x:v>D</x:v>
      </x:c>
      <x:c r="I2714" t="str">
        <x:v>1-3 years</x:v>
      </x:c>
      <x:c r="J2714" t="str">
        <x:v>MORTGAGE</x:v>
      </x:c>
      <x:c r="K2714" t="str">
        <x:v>other</x:v>
      </x:c>
      <x:c r="L2714" t="n">
        <x:v>1</x:v>
      </x:c>
      <x:c r="M2714" t="n">
        <x:v>0</x:v>
      </x:c>
      <x:c r="N2714" t="str">
        <x:v>Fully Paid</x:v>
      </x:c>
      <x:c r="O2714" t="str">
        <x:f>IF(D2714="","Unknown",IF(D2714&lt;25000,"&lt;$25k",IF(D2714&lt;50000,"$25k-$50k",IF(D2714&lt;75000,"$50k-$75k",IF(D2714&lt;100000,"$75k-$100k","$100k+")))))</x:f>
        <x:v>$25k-$50k</x:v>
      </x:c>
      <x:c r="P2714" t="str">
        <x:f>IF(E2714="","Unknown",IF(E2714&lt;10,"&lt;10",IF(E2714&lt;20,"10-&lt;20",IF(E2714&lt;25,"20-&lt;25",IF(E2714&lt;35,"25-&lt;35","35+")))))</x:f>
        <x:v>&lt;10</x:v>
      </x:c>
    </x:row>
    <x:row r="2715">
      <x:c r="A2715" t="str">
        <x:v>SYN0002714</x:v>
      </x:c>
      <x:c r="B2715" s="12" t="n">
        <x:v>42715</x:v>
      </x:c>
      <x:c r="C2715" s="18" t="n">
        <x:v>8355</x:v>
      </x:c>
      <x:c r="D2715" s="18" t="n">
        <x:v>33652</x:v>
      </x:c>
      <x:c r="E2715" s="18" t="n">
        <x:v>26.34</x:v>
      </x:c>
      <x:c r="F2715" s="18" t="n">
        <x:v>18.96</x:v>
      </x:c>
      <x:c r="G2715" t="n">
        <x:v>36</x:v>
      </x:c>
      <x:c r="H2715" t="str">
        <x:v>E</x:v>
      </x:c>
      <x:c r="I2715" t="str">
        <x:v>10+ years</x:v>
      </x:c>
      <x:c r="J2715" t="str">
        <x:v>RENT</x:v>
      </x:c>
      <x:c r="K2715" t="str">
        <x:v>debt_consolidation</x:v>
      </x:c>
      <x:c r="L2715" t="n">
        <x:v>1</x:v>
      </x:c>
      <x:c r="M2715" t="n">
        <x:v>0</x:v>
      </x:c>
      <x:c r="N2715" t="str">
        <x:v>Fully Paid</x:v>
      </x:c>
      <x:c r="O2715" t="str">
        <x:f>IF(D2715="","Unknown",IF(D2715&lt;25000,"&lt;$25k",IF(D2715&lt;50000,"$25k-$50k",IF(D2715&lt;75000,"$50k-$75k",IF(D2715&lt;100000,"$75k-$100k","$100k+")))))</x:f>
        <x:v>$25k-$50k</x:v>
      </x:c>
      <x:c r="P2715" t="str">
        <x:f>IF(E2715="","Unknown",IF(E2715&lt;10,"&lt;10",IF(E2715&lt;20,"10-&lt;20",IF(E2715&lt;25,"20-&lt;25",IF(E2715&lt;35,"25-&lt;35","35+")))))</x:f>
        <x:v>25-&lt;35</x:v>
      </x:c>
    </x:row>
    <x:row r="2716">
      <x:c r="A2716" t="str">
        <x:v>SYN0002715</x:v>
      </x:c>
      <x:c r="B2716" s="12" t="n">
        <x:v>42295</x:v>
      </x:c>
      <x:c r="C2716" s="18" t="n">
        <x:v>12491</x:v>
      </x:c>
      <x:c r="D2716" s="18" t="n">
        <x:v>59875</x:v>
      </x:c>
      <x:c r="E2716" s="18" t="n">
        <x:v>21.48</x:v>
      </x:c>
      <x:c r="F2716" s="18" t="n">
        <x:v>8.78</x:v>
      </x:c>
      <x:c r="G2716" t="n">
        <x:v>36</x:v>
      </x:c>
      <x:c r="H2716" t="str">
        <x:v>B</x:v>
      </x:c>
      <x:c r="I2716" t="str">
        <x:v>10+ years</x:v>
      </x:c>
      <x:c r="J2716" t="str">
        <x:v>MORTGAGE</x:v>
      </x:c>
      <x:c r="K2716" t="str">
        <x:v>debt_consolidation</x:v>
      </x:c>
      <x:c r="L2716" t="n">
        <x:v>1</x:v>
      </x:c>
      <x:c r="M2716" t="n">
        <x:v>0</x:v>
      </x:c>
      <x:c r="N2716" t="str">
        <x:v>Fully Paid</x:v>
      </x:c>
      <x:c r="O2716" t="str">
        <x:f>IF(D2716="","Unknown",IF(D2716&lt;25000,"&lt;$25k",IF(D2716&lt;50000,"$25k-$50k",IF(D2716&lt;75000,"$50k-$75k",IF(D2716&lt;100000,"$75k-$100k","$100k+")))))</x:f>
        <x:v>$50k-$75k</x:v>
      </x:c>
      <x:c r="P2716" t="str">
        <x:f>IF(E2716="","Unknown",IF(E2716&lt;10,"&lt;10",IF(E2716&lt;20,"10-&lt;20",IF(E2716&lt;25,"20-&lt;25",IF(E2716&lt;35,"25-&lt;35","35+")))))</x:f>
        <x:v>20-&lt;25</x:v>
      </x:c>
    </x:row>
    <x:row r="2717">
      <x:c r="A2717" t="str">
        <x:v>SYN0002716</x:v>
      </x:c>
      <x:c r="B2717" s="12" t="n">
        <x:v>41365</x:v>
      </x:c>
      <x:c r="C2717" s="18" t="n">
        <x:v>13282</x:v>
      </x:c>
      <x:c r="D2717" s="18" t="n">
        <x:v>52966</x:v>
      </x:c>
      <x:c r="E2717" s="18" t="n">
        <x:v>21.8</x:v>
      </x:c>
      <x:c r="F2717" s="18" t="n">
        <x:v>8.62</x:v>
      </x:c>
      <x:c r="G2717" t="n">
        <x:v>60</x:v>
      </x:c>
      <x:c r="H2717" t="str">
        <x:v>B</x:v>
      </x:c>
      <x:c r="I2717" t="str">
        <x:v>4-6 years</x:v>
      </x:c>
      <x:c r="J2717" t="str">
        <x:v>MORTGAGE</x:v>
      </x:c>
      <x:c r="K2717" t="str">
        <x:v>credit_card</x:v>
      </x:c>
      <x:c r="L2717" t="n">
        <x:v>0</x:v>
      </x:c>
      <x:c r="M2717" t="n">
        <x:v>0</x:v>
      </x:c>
      <x:c r="N2717" t="str">
        <x:v>Fully Paid</x:v>
      </x:c>
      <x:c r="O2717" t="str">
        <x:f>IF(D2717="","Unknown",IF(D2717&lt;25000,"&lt;$25k",IF(D2717&lt;50000,"$25k-$50k",IF(D2717&lt;75000,"$50k-$75k",IF(D2717&lt;100000,"$75k-$100k","$100k+")))))</x:f>
        <x:v>$50k-$75k</x:v>
      </x:c>
      <x:c r="P2717" t="str">
        <x:f>IF(E2717="","Unknown",IF(E2717&lt;10,"&lt;10",IF(E2717&lt;20,"10-&lt;20",IF(E2717&lt;25,"20-&lt;25",IF(E2717&lt;35,"25-&lt;35","35+")))))</x:f>
        <x:v>20-&lt;25</x:v>
      </x:c>
    </x:row>
    <x:row r="2718">
      <x:c r="A2718" t="str">
        <x:v>SYN0002717</x:v>
      </x:c>
      <x:c r="B2718" s="12" t="n">
        <x:v>43225</x:v>
      </x:c>
      <x:c r="C2718" s="18" t="n">
        <x:v>5113</x:v>
      </x:c>
      <x:c r="D2718" s="18" t="n">
        <x:v>45548</x:v>
      </x:c>
      <x:c r="E2718" s="18" t="n">
        <x:v>8.15</x:v>
      </x:c>
      <x:c r="F2718" s="18" t="n">
        <x:v>10.84</x:v>
      </x:c>
      <x:c r="G2718" t="n">
        <x:v>36</x:v>
      </x:c>
      <x:c r="H2718" t="str">
        <x:v>C</x:v>
      </x:c>
      <x:c r="I2718" t="str">
        <x:v>7-9 years</x:v>
      </x:c>
      <x:c r="J2718" t="str">
        <x:v>MORTGAGE</x:v>
      </x:c>
      <x:c r="K2718" t="str">
        <x:v>debt_consolidation</x:v>
      </x:c>
      <x:c r="L2718" t="n">
        <x:v>1</x:v>
      </x:c>
      <x:c r="M2718" t="n">
        <x:v>1</x:v>
      </x:c>
      <x:c r="N2718" t="str">
        <x:v>Charged Off</x:v>
      </x:c>
      <x:c r="O2718" t="str">
        <x:f>IF(D2718="","Unknown",IF(D2718&lt;25000,"&lt;$25k",IF(D2718&lt;50000,"$25k-$50k",IF(D2718&lt;75000,"$50k-$75k",IF(D2718&lt;100000,"$75k-$100k","$100k+")))))</x:f>
        <x:v>$25k-$50k</x:v>
      </x:c>
      <x:c r="P2718" t="str">
        <x:f>IF(E2718="","Unknown",IF(E2718&lt;10,"&lt;10",IF(E2718&lt;20,"10-&lt;20",IF(E2718&lt;25,"20-&lt;25",IF(E2718&lt;35,"25-&lt;35","35+")))))</x:f>
        <x:v>&lt;10</x:v>
      </x:c>
    </x:row>
    <x:row r="2719">
      <x:c r="A2719" t="str">
        <x:v>SYN0002718</x:v>
      </x:c>
      <x:c r="B2719" s="12" t="n">
        <x:v>43015</x:v>
      </x:c>
      <x:c r="C2719" s="18" t="n">
        <x:v>22778</x:v>
      </x:c>
      <x:c r="D2719" s="18" t="n">
        <x:v>28550</x:v>
      </x:c>
      <x:c r="E2719" s="18" t="n">
        <x:v>25.24</x:v>
      </x:c>
      <x:c r="F2719" s="18" t="n">
        <x:v>10.2</x:v>
      </x:c>
      <x:c r="G2719" t="n">
        <x:v>36</x:v>
      </x:c>
      <x:c r="H2719" t="str">
        <x:v>C</x:v>
      </x:c>
      <x:c r="I2719" t="str">
        <x:v>1-3 years</x:v>
      </x:c>
      <x:c r="J2719" t="str">
        <x:v>RENT</x:v>
      </x:c>
      <x:c r="K2719" t="str">
        <x:v>debt_consolidation</x:v>
      </x:c>
      <x:c r="L2719" t="n">
        <x:v>0</x:v>
      </x:c>
      <x:c r="M2719" t="n">
        <x:v>1</x:v>
      </x:c>
      <x:c r="N2719" t="str">
        <x:v>Charged Off</x:v>
      </x:c>
      <x:c r="O2719" t="str">
        <x:f>IF(D2719="","Unknown",IF(D2719&lt;25000,"&lt;$25k",IF(D2719&lt;50000,"$25k-$50k",IF(D2719&lt;75000,"$50k-$75k",IF(D2719&lt;100000,"$75k-$100k","$100k+")))))</x:f>
        <x:v>$25k-$50k</x:v>
      </x:c>
      <x:c r="P2719" t="str">
        <x:f>IF(E2719="","Unknown",IF(E2719&lt;10,"&lt;10",IF(E2719&lt;20,"10-&lt;20",IF(E2719&lt;25,"20-&lt;25",IF(E2719&lt;35,"25-&lt;35","35+")))))</x:f>
        <x:v>25-&lt;35</x:v>
      </x:c>
    </x:row>
    <x:row r="2720">
      <x:c r="A2720" t="str">
        <x:v>SYN0002719</x:v>
      </x:c>
      <x:c r="B2720" s="12" t="n">
        <x:v>43075</x:v>
      </x:c>
      <x:c r="C2720" s="18" t="n">
        <x:v>14004</x:v>
      </x:c>
      <x:c r="D2720" s="18" t="n">
        <x:v>146810</x:v>
      </x:c>
      <x:c r="E2720" s="18" t="n">
        <x:v>13.2</x:v>
      </x:c>
      <x:c r="F2720" s="18" t="n">
        <x:v>20.89</x:v>
      </x:c>
      <x:c r="G2720" t="n">
        <x:v>36</x:v>
      </x:c>
      <x:c r="H2720" t="str">
        <x:v>F</x:v>
      </x:c>
      <x:c r="I2720" t="str">
        <x:v>7-9 years</x:v>
      </x:c>
      <x:c r="J2720" t="str">
        <x:v>RENT</x:v>
      </x:c>
      <x:c r="K2720" t="str">
        <x:v>home_improvement</x:v>
      </x:c>
      <x:c r="L2720" t="n">
        <x:v>0</x:v>
      </x:c>
      <x:c r="M2720" t="n">
        <x:v>0</x:v>
      </x:c>
      <x:c r="N2720" t="str">
        <x:v>Fully Paid</x:v>
      </x:c>
      <x:c r="O2720" t="str">
        <x:f>IF(D2720="","Unknown",IF(D2720&lt;25000,"&lt;$25k",IF(D2720&lt;50000,"$25k-$50k",IF(D2720&lt;75000,"$50k-$75k",IF(D2720&lt;100000,"$75k-$100k","$100k+")))))</x:f>
        <x:v>$100k+</x:v>
      </x:c>
      <x:c r="P2720" t="str">
        <x:f>IF(E2720="","Unknown",IF(E2720&lt;10,"&lt;10",IF(E2720&lt;20,"10-&lt;20",IF(E2720&lt;25,"20-&lt;25",IF(E2720&lt;35,"25-&lt;35","35+")))))</x:f>
        <x:v>10-&lt;20</x:v>
      </x:c>
    </x:row>
    <x:row r="2721">
      <x:c r="A2721" t="str">
        <x:v>SYN0002720</x:v>
      </x:c>
      <x:c r="B2721" s="12" t="n">
        <x:v>41845</x:v>
      </x:c>
      <x:c r="C2721" s="18" t="n">
        <x:v>10326</x:v>
      </x:c>
      <x:c r="D2721" s="18" t="n">
        <x:v>58994</x:v>
      </x:c>
      <x:c r="E2721" s="18" t="n">
        <x:v>0</x:v>
      </x:c>
      <x:c r="F2721" s="18" t="n">
        <x:v>5</x:v>
      </x:c>
      <x:c r="G2721" t="n">
        <x:v>36</x:v>
      </x:c>
      <x:c r="H2721" t="str">
        <x:v>A</x:v>
      </x:c>
      <x:c r="I2721" t="str">
        <x:v>&lt;1 year</x:v>
      </x:c>
      <x:c r="J2721" t="str">
        <x:v>MORTGAGE</x:v>
      </x:c>
      <x:c r="K2721" t="str">
        <x:v>home_improvement</x:v>
      </x:c>
      <x:c r="L2721" t="n">
        <x:v>0</x:v>
      </x:c>
      <x:c r="M2721" t="n">
        <x:v>0</x:v>
      </x:c>
      <x:c r="N2721" t="str">
        <x:v>Fully Paid</x:v>
      </x:c>
      <x:c r="O2721" t="str">
        <x:f>IF(D2721="","Unknown",IF(D2721&lt;25000,"&lt;$25k",IF(D2721&lt;50000,"$25k-$50k",IF(D2721&lt;75000,"$50k-$75k",IF(D2721&lt;100000,"$75k-$100k","$100k+")))))</x:f>
        <x:v>$50k-$75k</x:v>
      </x:c>
      <x:c r="P2721" t="str">
        <x:f>IF(E2721="","Unknown",IF(E2721&lt;10,"&lt;10",IF(E2721&lt;20,"10-&lt;20",IF(E2721&lt;25,"20-&lt;25",IF(E2721&lt;35,"25-&lt;35","35+")))))</x:f>
        <x:v>Unknown</x:v>
      </x:c>
    </x:row>
    <x:row r="2722">
      <x:c r="A2722" t="str">
        <x:v>SYN0002721</x:v>
      </x:c>
      <x:c r="B2722" s="12" t="n">
        <x:v>42805</x:v>
      </x:c>
      <x:c r="C2722" s="18" t="n">
        <x:v>15450</x:v>
      </x:c>
      <x:c r="D2722" s="18" t="n">
        <x:v>43643</x:v>
      </x:c>
      <x:c r="E2722" s="18" t="n">
        <x:v>18.62</x:v>
      </x:c>
      <x:c r="F2722" s="18" t="n">
        <x:v>12.17</x:v>
      </x:c>
      <x:c r="G2722" t="n">
        <x:v>60</x:v>
      </x:c>
      <x:c r="H2722" t="str">
        <x:v>C</x:v>
      </x:c>
      <x:c r="I2722" t="str">
        <x:v>4-6 years</x:v>
      </x:c>
      <x:c r="J2722" t="str">
        <x:v>OWN</x:v>
      </x:c>
      <x:c r="K2722" t="str">
        <x:v>debt_consolidation</x:v>
      </x:c>
      <x:c r="L2722" t="n">
        <x:v>0</x:v>
      </x:c>
      <x:c r="M2722" t="n">
        <x:v>0</x:v>
      </x:c>
      <x:c r="N2722" t="str">
        <x:v>Fully Paid</x:v>
      </x:c>
      <x:c r="O2722" t="str">
        <x:f>IF(D2722="","Unknown",IF(D2722&lt;25000,"&lt;$25k",IF(D2722&lt;50000,"$25k-$50k",IF(D2722&lt;75000,"$50k-$75k",IF(D2722&lt;100000,"$75k-$100k","$100k+")))))</x:f>
        <x:v>$25k-$50k</x:v>
      </x:c>
      <x:c r="P2722" t="str">
        <x:f>IF(E2722="","Unknown",IF(E2722&lt;10,"&lt;10",IF(E2722&lt;20,"10-&lt;20",IF(E2722&lt;25,"20-&lt;25",IF(E2722&lt;35,"25-&lt;35","35+")))))</x:f>
        <x:v>10-&lt;20</x:v>
      </x:c>
    </x:row>
    <x:row r="2723">
      <x:c r="A2723" t="str">
        <x:v>SYN0002722</x:v>
      </x:c>
      <x:c r="B2723" s="12" t="n">
        <x:v>42415</x:v>
      </x:c>
      <x:c r="C2723" s="18" t="n">
        <x:v>27522</x:v>
      </x:c>
      <x:c r="D2723" s="18" t="n">
        <x:v>52535</x:v>
      </x:c>
      <x:c r="E2723" s="18" t="n">
        <x:v>27.66</x:v>
      </x:c>
      <x:c r="F2723" s="18" t="n">
        <x:v>8.39</x:v>
      </x:c>
      <x:c r="G2723" t="n">
        <x:v>36</x:v>
      </x:c>
      <x:c r="H2723" t="str">
        <x:v>B</x:v>
      </x:c>
      <x:c r="I2723" t="str">
        <x:v>&lt;1 year</x:v>
      </x:c>
      <x:c r="J2723" t="str">
        <x:v>RENT</x:v>
      </x:c>
      <x:c r="K2723" t="str">
        <x:v>debt_consolidation</x:v>
      </x:c>
      <x:c r="L2723" t="n">
        <x:v>0</x:v>
      </x:c>
      <x:c r="M2723" t="n">
        <x:v>1</x:v>
      </x:c>
      <x:c r="N2723" t="str">
        <x:v>Charged Off</x:v>
      </x:c>
      <x:c r="O2723" t="str">
        <x:f>IF(D2723="","Unknown",IF(D2723&lt;25000,"&lt;$25k",IF(D2723&lt;50000,"$25k-$50k",IF(D2723&lt;75000,"$50k-$75k",IF(D2723&lt;100000,"$75k-$100k","$100k+")))))</x:f>
        <x:v>$50k-$75k</x:v>
      </x:c>
      <x:c r="P2723" t="str">
        <x:f>IF(E2723="","Unknown",IF(E2723&lt;10,"&lt;10",IF(E2723&lt;20,"10-&lt;20",IF(E2723&lt;25,"20-&lt;25",IF(E2723&lt;35,"25-&lt;35","35+")))))</x:f>
        <x:v>25-&lt;35</x:v>
      </x:c>
    </x:row>
    <x:row r="2724">
      <x:c r="A2724" t="str">
        <x:v>SYN0002723</x:v>
      </x:c>
      <x:c r="B2724" s="12" t="n">
        <x:v>42505</x:v>
      </x:c>
      <x:c r="C2724" s="18" t="n">
        <x:v>17467</x:v>
      </x:c>
      <x:c r="D2724" s="18" t="n">
        <x:v>69786</x:v>
      </x:c>
      <x:c r="E2724" s="18" t="n">
        <x:v>6.14</x:v>
      </x:c>
      <x:c r="F2724" s="18" t="n">
        <x:v>11.29</x:v>
      </x:c>
      <x:c r="G2724" t="n">
        <x:v>36</x:v>
      </x:c>
      <x:c r="H2724" t="str">
        <x:v>C</x:v>
      </x:c>
      <x:c r="I2724" t="str">
        <x:v>1-3 years</x:v>
      </x:c>
      <x:c r="J2724" t="str">
        <x:v>MORTGAGE</x:v>
      </x:c>
      <x:c r="K2724" t="str">
        <x:v>debt_consolidation</x:v>
      </x:c>
      <x:c r="L2724" t="n">
        <x:v>1</x:v>
      </x:c>
      <x:c r="M2724" t="n">
        <x:v>0</x:v>
      </x:c>
      <x:c r="N2724" t="str">
        <x:v>Fully Paid</x:v>
      </x:c>
      <x:c r="O2724" t="str">
        <x:f>IF(D2724="","Unknown",IF(D2724&lt;25000,"&lt;$25k",IF(D2724&lt;50000,"$25k-$50k",IF(D2724&lt;75000,"$50k-$75k",IF(D2724&lt;100000,"$75k-$100k","$100k+")))))</x:f>
        <x:v>$50k-$75k</x:v>
      </x:c>
      <x:c r="P2724" t="str">
        <x:f>IF(E2724="","Unknown",IF(E2724&lt;10,"&lt;10",IF(E2724&lt;20,"10-&lt;20",IF(E2724&lt;25,"20-&lt;25",IF(E2724&lt;35,"25-&lt;35","35+")))))</x:f>
        <x:v>&lt;10</x:v>
      </x:c>
    </x:row>
    <x:row r="2725">
      <x:c r="A2725" t="str">
        <x:v>SYN0002724</x:v>
      </x:c>
      <x:c r="B2725" s="12" t="n">
        <x:v>42445</x:v>
      </x:c>
      <x:c r="C2725" s="18" t="n">
        <x:v>17015</x:v>
      </x:c>
      <x:c r="D2725" s="18" t="n">
        <x:v>31304</x:v>
      </x:c>
      <x:c r="E2725" s="18" t="n">
        <x:v>14.28</x:v>
      </x:c>
      <x:c r="F2725" s="18" t="n">
        <x:v>9.52</x:v>
      </x:c>
      <x:c r="G2725" t="n">
        <x:v>36</x:v>
      </x:c>
      <x:c r="H2725" t="str">
        <x:v>B</x:v>
      </x:c>
      <x:c r="I2725" t="str">
        <x:v>1-3 years</x:v>
      </x:c>
      <x:c r="J2725" t="str">
        <x:v>MORTGAGE</x:v>
      </x:c>
      <x:c r="K2725" t="str">
        <x:v>credit_card</x:v>
      </x:c>
      <x:c r="L2725" t="n">
        <x:v>1</x:v>
      </x:c>
      <x:c r="M2725" t="n">
        <x:v>0</x:v>
      </x:c>
      <x:c r="N2725" t="str">
        <x:v>Fully Paid</x:v>
      </x:c>
      <x:c r="O2725" t="str">
        <x:f>IF(D2725="","Unknown",IF(D2725&lt;25000,"&lt;$25k",IF(D2725&lt;50000,"$25k-$50k",IF(D2725&lt;75000,"$50k-$75k",IF(D2725&lt;100000,"$75k-$100k","$100k+")))))</x:f>
        <x:v>$25k-$50k</x:v>
      </x:c>
      <x:c r="P2725" t="str">
        <x:f>IF(E2725="","Unknown",IF(E2725&lt;10,"&lt;10",IF(E2725&lt;20,"10-&lt;20",IF(E2725&lt;25,"20-&lt;25",IF(E2725&lt;35,"25-&lt;35","35+")))))</x:f>
        <x:v>10-&lt;20</x:v>
      </x:c>
    </x:row>
    <x:row r="2726">
      <x:c r="A2726" t="str">
        <x:v>SYN0002725</x:v>
      </x:c>
      <x:c r="B2726" s="12" t="n">
        <x:v>42025</x:v>
      </x:c>
      <x:c r="C2726" s="18" t="n">
        <x:v>13656</x:v>
      </x:c>
      <x:c r="D2726" s="18" t="n">
        <x:v>28433</x:v>
      </x:c>
      <x:c r="E2726" s="18" t="n">
        <x:v>4.48</x:v>
      </x:c>
      <x:c r="F2726" s="18" t="n">
        <x:v>14.45</x:v>
      </x:c>
      <x:c r="G2726" t="n">
        <x:v>36</x:v>
      </x:c>
      <x:c r="H2726" t="str">
        <x:v>D</x:v>
      </x:c>
      <x:c r="I2726" t="str">
        <x:v>4-6 years</x:v>
      </x:c>
      <x:c r="J2726" t="str">
        <x:v>OWN</x:v>
      </x:c>
      <x:c r="K2726" t="str">
        <x:v>home_improvement</x:v>
      </x:c>
      <x:c r="L2726" t="n">
        <x:v>1</x:v>
      </x:c>
      <x:c r="M2726" t="n">
        <x:v>0</x:v>
      </x:c>
      <x:c r="N2726" t="str">
        <x:v>Fully Paid</x:v>
      </x:c>
      <x:c r="O2726" t="str">
        <x:f>IF(D2726="","Unknown",IF(D2726&lt;25000,"&lt;$25k",IF(D2726&lt;50000,"$25k-$50k",IF(D2726&lt;75000,"$50k-$75k",IF(D2726&lt;100000,"$75k-$100k","$100k+")))))</x:f>
        <x:v>$25k-$50k</x:v>
      </x:c>
      <x:c r="P2726" t="str">
        <x:f>IF(E2726="","Unknown",IF(E2726&lt;10,"&lt;10",IF(E2726&lt;20,"10-&lt;20",IF(E2726&lt;25,"20-&lt;25",IF(E2726&lt;35,"25-&lt;35","35+")))))</x:f>
        <x:v>&lt;10</x:v>
      </x:c>
    </x:row>
    <x:row r="2727">
      <x:c r="A2727" t="str">
        <x:v>SYN0002726</x:v>
      </x:c>
      <x:c r="B2727" s="12" t="n">
        <x:v>41575</x:v>
      </x:c>
      <x:c r="C2727" s="18" t="n">
        <x:v>8780</x:v>
      </x:c>
      <x:c r="D2727" s="18" t="n">
        <x:v>12000</x:v>
      </x:c>
      <x:c r="E2727" s="18" t="n">
        <x:v>27.6</x:v>
      </x:c>
      <x:c r="F2727" s="18" t="n">
        <x:v>20.17</x:v>
      </x:c>
      <x:c r="G2727" t="n">
        <x:v>36</x:v>
      </x:c>
      <x:c r="H2727" t="str">
        <x:v>F</x:v>
      </x:c>
      <x:c r="I2727" t="str">
        <x:v>1-3 years</x:v>
      </x:c>
      <x:c r="J2727" t="str">
        <x:v>MORTGAGE</x:v>
      </x:c>
      <x:c r="K2727" t="str">
        <x:v>debt_consolidation</x:v>
      </x:c>
      <x:c r="L2727" t="n">
        <x:v>1</x:v>
      </x:c>
      <x:c r="M2727" t="n">
        <x:v>0</x:v>
      </x:c>
      <x:c r="N2727" t="str">
        <x:v>Fully Paid</x:v>
      </x:c>
      <x:c r="O2727" t="str">
        <x:f>IF(D2727="","Unknown",IF(D2727&lt;25000,"&lt;$25k",IF(D2727&lt;50000,"$25k-$50k",IF(D2727&lt;75000,"$50k-$75k",IF(D2727&lt;100000,"$75k-$100k","$100k+")))))</x:f>
        <x:v>&lt;$25k</x:v>
      </x:c>
      <x:c r="P2727" t="str">
        <x:f>IF(E2727="","Unknown",IF(E2727&lt;10,"&lt;10",IF(E2727&lt;20,"10-&lt;20",IF(E2727&lt;25,"20-&lt;25",IF(E2727&lt;35,"25-&lt;35","35+")))))</x:f>
        <x:v>25-&lt;35</x:v>
      </x:c>
    </x:row>
    <x:row r="2728">
      <x:c r="A2728" t="str">
        <x:v>SYN0002727</x:v>
      </x:c>
      <x:c r="B2728" s="12" t="n">
        <x:v>41575</x:v>
      </x:c>
      <x:c r="C2728" s="18" t="n">
        <x:v>28541</x:v>
      </x:c>
      <x:c r="D2728" s="18" t="n">
        <x:v>83999</x:v>
      </x:c>
      <x:c r="E2728" s="18" t="n">
        <x:v>20.27</x:v>
      </x:c>
      <x:c r="F2728" s="18" t="n">
        <x:v>17.69</x:v>
      </x:c>
      <x:c r="G2728" t="n">
        <x:v>60</x:v>
      </x:c>
      <x:c r="H2728" t="str">
        <x:v>E</x:v>
      </x:c>
      <x:c r="I2728" t="str">
        <x:v>10+ years</x:v>
      </x:c>
      <x:c r="J2728" t="str">
        <x:v>MORTGAGE</x:v>
      </x:c>
      <x:c r="K2728" t="str">
        <x:v>credit_card</x:v>
      </x:c>
      <x:c r="L2728" t="n">
        <x:v>2</x:v>
      </x:c>
      <x:c r="M2728" t="n">
        <x:v>0</x:v>
      </x:c>
      <x:c r="N2728" t="str">
        <x:v>Fully Paid</x:v>
      </x:c>
      <x:c r="O2728" t="str">
        <x:f>IF(D2728="","Unknown",IF(D2728&lt;25000,"&lt;$25k",IF(D2728&lt;50000,"$25k-$50k",IF(D2728&lt;75000,"$50k-$75k",IF(D2728&lt;100000,"$75k-$100k","$100k+")))))</x:f>
        <x:v>$75k-$100k</x:v>
      </x:c>
      <x:c r="P2728" t="str">
        <x:f>IF(E2728="","Unknown",IF(E2728&lt;10,"&lt;10",IF(E2728&lt;20,"10-&lt;20",IF(E2728&lt;25,"20-&lt;25",IF(E2728&lt;35,"25-&lt;35","35+")))))</x:f>
        <x:v>20-&lt;25</x:v>
      </x:c>
    </x:row>
    <x:row r="2729">
      <x:c r="A2729" t="str">
        <x:v>SYN0002728</x:v>
      </x:c>
      <x:c r="B2729" s="12" t="n">
        <x:v>42835</x:v>
      </x:c>
      <x:c r="C2729" s="18" t="n">
        <x:v>12975</x:v>
      </x:c>
      <x:c r="D2729" s="18" t="n">
        <x:v>20237</x:v>
      </x:c>
      <x:c r="E2729" s="18" t="n">
        <x:v>21.1</x:v>
      </x:c>
      <x:c r="F2729" s="18" t="n">
        <x:v>6.73</x:v>
      </x:c>
      <x:c r="G2729" t="n">
        <x:v>36</x:v>
      </x:c>
      <x:c r="H2729" t="str">
        <x:v>A</x:v>
      </x:c>
      <x:c r="I2729" t="str">
        <x:v>4-6 years</x:v>
      </x:c>
      <x:c r="J2729" t="str">
        <x:v>RENT</x:v>
      </x:c>
      <x:c r="K2729" t="str">
        <x:v>other</x:v>
      </x:c>
      <x:c r="L2729" t="n">
        <x:v>0</x:v>
      </x:c>
      <x:c r="M2729" t="n">
        <x:v>0</x:v>
      </x:c>
      <x:c r="N2729" t="str">
        <x:v>Fully Paid</x:v>
      </x:c>
      <x:c r="O2729" t="str">
        <x:f>IF(D2729="","Unknown",IF(D2729&lt;25000,"&lt;$25k",IF(D2729&lt;50000,"$25k-$50k",IF(D2729&lt;75000,"$50k-$75k",IF(D2729&lt;100000,"$75k-$100k","$100k+")))))</x:f>
        <x:v>&lt;$25k</x:v>
      </x:c>
      <x:c r="P2729" t="str">
        <x:f>IF(E2729="","Unknown",IF(E2729&lt;10,"&lt;10",IF(E2729&lt;20,"10-&lt;20",IF(E2729&lt;25,"20-&lt;25",IF(E2729&lt;35,"25-&lt;35","35+")))))</x:f>
        <x:v>20-&lt;25</x:v>
      </x:c>
    </x:row>
    <x:row r="2730">
      <x:c r="A2730" t="str">
        <x:v>SYN0002729</x:v>
      </x:c>
      <x:c r="B2730" s="12" t="n">
        <x:v>43195</x:v>
      </x:c>
      <x:c r="C2730" s="18" t="n">
        <x:v>13525</x:v>
      </x:c>
      <x:c r="D2730" s="18" t="n">
        <x:v>155167</x:v>
      </x:c>
      <x:c r="E2730" s="18" t="n">
        <x:v>4.78</x:v>
      </x:c>
      <x:c r="F2730" s="18" t="n">
        <x:v>8.5</x:v>
      </x:c>
      <x:c r="G2730" t="n">
        <x:v>36</x:v>
      </x:c>
      <x:c r="H2730" t="str">
        <x:v>B</x:v>
      </x:c>
      <x:c r="I2730" t="str">
        <x:v>&lt;1 year</x:v>
      </x:c>
      <x:c r="J2730" t="str">
        <x:v>RENT</x:v>
      </x:c>
      <x:c r="K2730" t="str">
        <x:v>home_improvement</x:v>
      </x:c>
      <x:c r="L2730" t="n">
        <x:v>0</x:v>
      </x:c>
      <x:c r="M2730" t="n">
        <x:v>1</x:v>
      </x:c>
      <x:c r="N2730" t="str">
        <x:v>Charged Off</x:v>
      </x:c>
      <x:c r="O2730" t="str">
        <x:f>IF(D2730="","Unknown",IF(D2730&lt;25000,"&lt;$25k",IF(D2730&lt;50000,"$25k-$50k",IF(D2730&lt;75000,"$50k-$75k",IF(D2730&lt;100000,"$75k-$100k","$100k+")))))</x:f>
        <x:v>$100k+</x:v>
      </x:c>
      <x:c r="P2730" t="str">
        <x:f>IF(E2730="","Unknown",IF(E2730&lt;10,"&lt;10",IF(E2730&lt;20,"10-&lt;20",IF(E2730&lt;25,"20-&lt;25",IF(E2730&lt;35,"25-&lt;35","35+")))))</x:f>
        <x:v>&lt;10</x:v>
      </x:c>
    </x:row>
    <x:row r="2731">
      <x:c r="A2731" t="str">
        <x:v>SYN0002730</x:v>
      </x:c>
      <x:c r="B2731" s="12" t="n">
        <x:v>41605</x:v>
      </x:c>
      <x:c r="C2731" s="18" t="n">
        <x:v>4388</x:v>
      </x:c>
      <x:c r="D2731" s="18" t="n">
        <x:v>86891</x:v>
      </x:c>
      <x:c r="E2731" s="18" t="n">
        <x:v>23.14</x:v>
      </x:c>
      <x:c r="F2731" s="18" t="n">
        <x:v>14.7</x:v>
      </x:c>
      <x:c r="G2731" t="n">
        <x:v>36</x:v>
      </x:c>
      <x:c r="H2731" t="str">
        <x:v>D</x:v>
      </x:c>
      <x:c r="I2731" t="str">
        <x:v>10+ years</x:v>
      </x:c>
      <x:c r="J2731" t="str">
        <x:v>OWN</x:v>
      </x:c>
      <x:c r="K2731" t="str">
        <x:v>major_purchase</x:v>
      </x:c>
      <x:c r="L2731" t="n">
        <x:v>1</x:v>
      </x:c>
      <x:c r="M2731" t="n">
        <x:v>0</x:v>
      </x:c>
      <x:c r="N2731" t="str">
        <x:v>Fully Paid</x:v>
      </x:c>
      <x:c r="O2731" t="str">
        <x:f>IF(D2731="","Unknown",IF(D2731&lt;25000,"&lt;$25k",IF(D2731&lt;50000,"$25k-$50k",IF(D2731&lt;75000,"$50k-$75k",IF(D2731&lt;100000,"$75k-$100k","$100k+")))))</x:f>
        <x:v>$75k-$100k</x:v>
      </x:c>
      <x:c r="P2731" t="str">
        <x:f>IF(E2731="","Unknown",IF(E2731&lt;10,"&lt;10",IF(E2731&lt;20,"10-&lt;20",IF(E2731&lt;25,"20-&lt;25",IF(E2731&lt;35,"25-&lt;35","35+")))))</x:f>
        <x:v>20-&lt;25</x:v>
      </x:c>
    </x:row>
    <x:row r="2732">
      <x:c r="A2732" t="str">
        <x:v>SYN0002731</x:v>
      </x:c>
      <x:c r="B2732" s="12" t="n">
        <x:v>42805</x:v>
      </x:c>
      <x:c r="C2732" s="18" t="n">
        <x:v>8477</x:v>
      </x:c>
      <x:c r="D2732" s="18" t="n">
        <x:v>158282</x:v>
      </x:c>
      <x:c r="E2732" s="18" t="n">
        <x:v>22.66</x:v>
      </x:c>
      <x:c r="F2732" s="18" t="n">
        <x:v>6.65</x:v>
      </x:c>
      <x:c r="G2732" t="n">
        <x:v>36</x:v>
      </x:c>
      <x:c r="H2732" t="str">
        <x:v>A</x:v>
      </x:c>
      <x:c r="I2732" t="str">
        <x:v>1-3 years</x:v>
      </x:c>
      <x:c r="J2732" t="str">
        <x:v>RENT</x:v>
      </x:c>
      <x:c r="K2732" t="str">
        <x:v>other</x:v>
      </x:c>
      <x:c r="L2732" t="n">
        <x:v>0</x:v>
      </x:c>
      <x:c r="M2732" t="n">
        <x:v>0</x:v>
      </x:c>
      <x:c r="N2732" t="str">
        <x:v>Fully Paid</x:v>
      </x:c>
      <x:c r="O2732" t="str">
        <x:f>IF(D2732="","Unknown",IF(D2732&lt;25000,"&lt;$25k",IF(D2732&lt;50000,"$25k-$50k",IF(D2732&lt;75000,"$50k-$75k",IF(D2732&lt;100000,"$75k-$100k","$100k+")))))</x:f>
        <x:v>$100k+</x:v>
      </x:c>
      <x:c r="P2732" t="str">
        <x:f>IF(E2732="","Unknown",IF(E2732&lt;10,"&lt;10",IF(E2732&lt;20,"10-&lt;20",IF(E2732&lt;25,"20-&lt;25",IF(E2732&lt;35,"25-&lt;35","35+")))))</x:f>
        <x:v>20-&lt;25</x:v>
      </x:c>
    </x:row>
    <x:row r="2733">
      <x:c r="A2733" t="str">
        <x:v>SYN0002732</x:v>
      </x:c>
      <x:c r="B2733" s="12" t="n">
        <x:v>41635</x:v>
      </x:c>
      <x:c r="C2733" s="18" t="n">
        <x:v>24616</x:v>
      </x:c>
      <x:c r="D2733" s="18" t="n">
        <x:v>51601</x:v>
      </x:c>
      <x:c r="E2733" s="18" t="n">
        <x:v>16.48</x:v>
      </x:c>
      <x:c r="F2733" s="18" t="n">
        <x:v>11.12</x:v>
      </x:c>
      <x:c r="G2733" t="n">
        <x:v>60</x:v>
      </x:c>
      <x:c r="H2733" t="str">
        <x:v>C</x:v>
      </x:c>
      <x:c r="I2733" t="str">
        <x:v>1-3 years</x:v>
      </x:c>
      <x:c r="J2733" t="str">
        <x:v>OWN</x:v>
      </x:c>
      <x:c r="K2733" t="str">
        <x:v>home_improvement</x:v>
      </x:c>
      <x:c r="L2733" t="n">
        <x:v>0</x:v>
      </x:c>
      <x:c r="M2733" t="n">
        <x:v>0</x:v>
      </x:c>
      <x:c r="N2733" t="str">
        <x:v>Fully Paid</x:v>
      </x:c>
      <x:c r="O2733" t="str">
        <x:f>IF(D2733="","Unknown",IF(D2733&lt;25000,"&lt;$25k",IF(D2733&lt;50000,"$25k-$50k",IF(D2733&lt;75000,"$50k-$75k",IF(D2733&lt;100000,"$75k-$100k","$100k+")))))</x:f>
        <x:v>$50k-$75k</x:v>
      </x:c>
      <x:c r="P2733" t="str">
        <x:f>IF(E2733="","Unknown",IF(E2733&lt;10,"&lt;10",IF(E2733&lt;20,"10-&lt;20",IF(E2733&lt;25,"20-&lt;25",IF(E2733&lt;35,"25-&lt;35","35+")))))</x:f>
        <x:v>10-&lt;20</x:v>
      </x:c>
    </x:row>
    <x:row r="2734">
      <x:c r="A2734" t="str">
        <x:v>SYN0002733</x:v>
      </x:c>
      <x:c r="B2734" s="12" t="n">
        <x:v>42145</x:v>
      </x:c>
      <x:c r="C2734" s="18" t="n">
        <x:v>10094</x:v>
      </x:c>
      <x:c r="D2734" s="18" t="n">
        <x:v>52100</x:v>
      </x:c>
      <x:c r="E2734" s="18" t="n">
        <x:v>9.94</x:v>
      </x:c>
      <x:c r="F2734" s="18" t="n">
        <x:v>6.99</x:v>
      </x:c>
      <x:c r="G2734" t="n">
        <x:v>36</x:v>
      </x:c>
      <x:c r="H2734" t="str">
        <x:v>B</x:v>
      </x:c>
      <x:c r="I2734" t="str">
        <x:v>10+ years</x:v>
      </x:c>
      <x:c r="J2734" t="str">
        <x:v>MORTGAGE</x:v>
      </x:c>
      <x:c r="K2734" t="str">
        <x:v>debt_consolidation</x:v>
      </x:c>
      <x:c r="L2734" t="n">
        <x:v>0</x:v>
      </x:c>
      <x:c r="M2734" t="n">
        <x:v>0</x:v>
      </x:c>
      <x:c r="N2734" t="str">
        <x:v>Fully Paid</x:v>
      </x:c>
      <x:c r="O2734" t="str">
        <x:f>IF(D2734="","Unknown",IF(D2734&lt;25000,"&lt;$25k",IF(D2734&lt;50000,"$25k-$50k",IF(D2734&lt;75000,"$50k-$75k",IF(D2734&lt;100000,"$75k-$100k","$100k+")))))</x:f>
        <x:v>$50k-$75k</x:v>
      </x:c>
      <x:c r="P2734" t="str">
        <x:f>IF(E2734="","Unknown",IF(E2734&lt;10,"&lt;10",IF(E2734&lt;20,"10-&lt;20",IF(E2734&lt;25,"20-&lt;25",IF(E2734&lt;35,"25-&lt;35","35+")))))</x:f>
        <x:v>&lt;10</x:v>
      </x:c>
    </x:row>
    <x:row r="2735">
      <x:c r="A2735" t="str">
        <x:v>SYN0002734</x:v>
      </x:c>
      <x:c r="B2735" s="12" t="n">
        <x:v>41755</x:v>
      </x:c>
      <x:c r="C2735" s="18" t="n">
        <x:v>6264</x:v>
      </x:c>
      <x:c r="D2735" s="18" t="n">
        <x:v>20141</x:v>
      </x:c>
      <x:c r="E2735" s="18" t="n">
        <x:v>14.59</x:v>
      </x:c>
      <x:c r="F2735" s="18" t="n">
        <x:v>25.17</x:v>
      </x:c>
      <x:c r="G2735" t="n">
        <x:v>36</x:v>
      </x:c>
      <x:c r="H2735" t="str">
        <x:v>G</x:v>
      </x:c>
      <x:c r="I2735" t="str">
        <x:v>10+ years</x:v>
      </x:c>
      <x:c r="J2735" t="str">
        <x:v>OWN</x:v>
      </x:c>
      <x:c r="K2735" t="str">
        <x:v>debt_consolidation</x:v>
      </x:c>
      <x:c r="L2735" t="n">
        <x:v>0</x:v>
      </x:c>
      <x:c r="M2735" t="n">
        <x:v>0</x:v>
      </x:c>
      <x:c r="N2735" t="str">
        <x:v>Fully Paid</x:v>
      </x:c>
      <x:c r="O2735" t="str">
        <x:f>IF(D2735="","Unknown",IF(D2735&lt;25000,"&lt;$25k",IF(D2735&lt;50000,"$25k-$50k",IF(D2735&lt;75000,"$50k-$75k",IF(D2735&lt;100000,"$75k-$100k","$100k+")))))</x:f>
        <x:v>&lt;$25k</x:v>
      </x:c>
      <x:c r="P2735" t="str">
        <x:f>IF(E2735="","Unknown",IF(E2735&lt;10,"&lt;10",IF(E2735&lt;20,"10-&lt;20",IF(E2735&lt;25,"20-&lt;25",IF(E2735&lt;35,"25-&lt;35","35+")))))</x:f>
        <x:v>10-&lt;20</x:v>
      </x:c>
    </x:row>
    <x:row r="2736">
      <x:c r="A2736" t="str">
        <x:v>SYN0002735</x:v>
      </x:c>
      <x:c r="B2736" s="12" t="n">
        <x:v>42055</x:v>
      </x:c>
      <x:c r="C2736" s="18" t="n">
        <x:v>9280</x:v>
      </x:c>
      <x:c r="D2736" s="18" t="n">
        <x:v>33260</x:v>
      </x:c>
      <x:c r="E2736" s="18" t="n">
        <x:v>38.04</x:v>
      </x:c>
      <x:c r="F2736" s="18" t="n">
        <x:v>19.43</x:v>
      </x:c>
      <x:c r="G2736" t="n">
        <x:v>36</x:v>
      </x:c>
      <x:c r="H2736" t="str">
        <x:v>E</x:v>
      </x:c>
      <x:c r="I2736" t="str">
        <x:v>&lt;1 year</x:v>
      </x:c>
      <x:c r="J2736" t="str">
        <x:v>RENT</x:v>
      </x:c>
      <x:c r="K2736" t="str">
        <x:v>home_improvement</x:v>
      </x:c>
      <x:c r="L2736" t="n">
        <x:v>1</x:v>
      </x:c>
      <x:c r="M2736" t="n">
        <x:v>0</x:v>
      </x:c>
      <x:c r="N2736" t="str">
        <x:v>Fully Paid</x:v>
      </x:c>
      <x:c r="O2736" t="str">
        <x:f>IF(D2736="","Unknown",IF(D2736&lt;25000,"&lt;$25k",IF(D2736&lt;50000,"$25k-$50k",IF(D2736&lt;75000,"$50k-$75k",IF(D2736&lt;100000,"$75k-$100k","$100k+")))))</x:f>
        <x:v>$25k-$50k</x:v>
      </x:c>
      <x:c r="P2736" t="str">
        <x:f>IF(E2736="","Unknown",IF(E2736&lt;10,"&lt;10",IF(E2736&lt;20,"10-&lt;20",IF(E2736&lt;25,"20-&lt;25",IF(E2736&lt;35,"25-&lt;35","35+")))))</x:f>
        <x:v>35+</x:v>
      </x:c>
    </x:row>
    <x:row r="2737">
      <x:c r="A2737" t="str">
        <x:v>SYN0002736</x:v>
      </x:c>
      <x:c r="B2737" s="12" t="n">
        <x:v>41815</x:v>
      </x:c>
      <x:c r="C2737" s="18" t="n">
        <x:v>15860</x:v>
      </x:c>
      <x:c r="D2737" s="18" t="n">
        <x:v>64160</x:v>
      </x:c>
      <x:c r="E2737" s="18" t="n">
        <x:v>12.14</x:v>
      </x:c>
      <x:c r="F2737" s="18" t="n">
        <x:v>10.21</x:v>
      </x:c>
      <x:c r="G2737" t="n">
        <x:v>36</x:v>
      </x:c>
      <x:c r="H2737" t="str">
        <x:v>B</x:v>
      </x:c>
      <x:c r="I2737" t="str">
        <x:v>4-6 years</x:v>
      </x:c>
      <x:c r="J2737" t="str">
        <x:v>RENT</x:v>
      </x:c>
      <x:c r="K2737" t="str">
        <x:v>debt_consolidation</x:v>
      </x:c>
      <x:c r="L2737" t="n">
        <x:v>0</x:v>
      </x:c>
      <x:c r="M2737" t="n">
        <x:v>0</x:v>
      </x:c>
      <x:c r="N2737" t="str">
        <x:v>Fully Paid</x:v>
      </x:c>
      <x:c r="O2737" t="str">
        <x:f>IF(D2737="","Unknown",IF(D2737&lt;25000,"&lt;$25k",IF(D2737&lt;50000,"$25k-$50k",IF(D2737&lt;75000,"$50k-$75k",IF(D2737&lt;100000,"$75k-$100k","$100k+")))))</x:f>
        <x:v>$50k-$75k</x:v>
      </x:c>
      <x:c r="P2737" t="str">
        <x:f>IF(E2737="","Unknown",IF(E2737&lt;10,"&lt;10",IF(E2737&lt;20,"10-&lt;20",IF(E2737&lt;25,"20-&lt;25",IF(E2737&lt;35,"25-&lt;35","35+")))))</x:f>
        <x:v>10-&lt;20</x:v>
      </x:c>
    </x:row>
    <x:row r="2738">
      <x:c r="A2738" t="str">
        <x:v>SYN0002737</x:v>
      </x:c>
      <x:c r="B2738" s="12" t="n">
        <x:v>43225</x:v>
      </x:c>
      <x:c r="C2738" s="18" t="n">
        <x:v>6169</x:v>
      </x:c>
      <x:c r="D2738" s="18" t="n">
        <x:v>28901</x:v>
      </x:c>
      <x:c r="E2738" s="18" t="n">
        <x:v>24.04</x:v>
      </x:c>
      <x:c r="F2738" s="18" t="n">
        <x:v>6.38</x:v>
      </x:c>
      <x:c r="G2738" t="n">
        <x:v>36</x:v>
      </x:c>
      <x:c r="H2738" t="str">
        <x:v>B</x:v>
      </x:c>
      <x:c r="I2738" t="str">
        <x:v>4-6 years</x:v>
      </x:c>
      <x:c r="J2738" t="str">
        <x:v>MORTGAGE</x:v>
      </x:c>
      <x:c r="K2738" t="str">
        <x:v>debt_consolidation</x:v>
      </x:c>
      <x:c r="L2738" t="n">
        <x:v>0</x:v>
      </x:c>
      <x:c r="M2738" t="n">
        <x:v>0</x:v>
      </x:c>
      <x:c r="N2738" t="str">
        <x:v>Fully Paid</x:v>
      </x:c>
      <x:c r="O2738" t="str">
        <x:f>IF(D2738="","Unknown",IF(D2738&lt;25000,"&lt;$25k",IF(D2738&lt;50000,"$25k-$50k",IF(D2738&lt;75000,"$50k-$75k",IF(D2738&lt;100000,"$75k-$100k","$100k+")))))</x:f>
        <x:v>$25k-$50k</x:v>
      </x:c>
      <x:c r="P2738" t="str">
        <x:f>IF(E2738="","Unknown",IF(E2738&lt;10,"&lt;10",IF(E2738&lt;20,"10-&lt;20",IF(E2738&lt;25,"20-&lt;25",IF(E2738&lt;35,"25-&lt;35","35+")))))</x:f>
        <x:v>20-&lt;25</x:v>
      </x:c>
    </x:row>
    <x:row r="2739">
      <x:c r="A2739" t="str">
        <x:v>SYN0002738</x:v>
      </x:c>
      <x:c r="B2739" s="12" t="n">
        <x:v>42685</x:v>
      </x:c>
      <x:c r="C2739" s="18" t="n">
        <x:v>13063</x:v>
      </x:c>
      <x:c r="D2739" s="18" t="n">
        <x:v>18801</x:v>
      </x:c>
      <x:c r="E2739" s="18" t="n">
        <x:v>12.81</x:v>
      </x:c>
      <x:c r="F2739" s="18" t="n">
        <x:v>6.62</x:v>
      </x:c>
      <x:c r="G2739" t="n">
        <x:v>36</x:v>
      </x:c>
      <x:c r="H2739" t="str">
        <x:v>B</x:v>
      </x:c>
      <x:c r="I2739" t="str">
        <x:v>10+ years</x:v>
      </x:c>
      <x:c r="J2739" t="str">
        <x:v>MORTGAGE</x:v>
      </x:c>
      <x:c r="K2739" t="str">
        <x:v>debt_consolidation</x:v>
      </x:c>
      <x:c r="L2739" t="n">
        <x:v>0</x:v>
      </x:c>
      <x:c r="M2739" t="n">
        <x:v>0</x:v>
      </x:c>
      <x:c r="N2739" t="str">
        <x:v>Fully Paid</x:v>
      </x:c>
      <x:c r="O2739" t="str">
        <x:f>IF(D2739="","Unknown",IF(D2739&lt;25000,"&lt;$25k",IF(D2739&lt;50000,"$25k-$50k",IF(D2739&lt;75000,"$50k-$75k",IF(D2739&lt;100000,"$75k-$100k","$100k+")))))</x:f>
        <x:v>&lt;$25k</x:v>
      </x:c>
      <x:c r="P2739" t="str">
        <x:f>IF(E2739="","Unknown",IF(E2739&lt;10,"&lt;10",IF(E2739&lt;20,"10-&lt;20",IF(E2739&lt;25,"20-&lt;25",IF(E2739&lt;35,"25-&lt;35","35+")))))</x:f>
        <x:v>10-&lt;20</x:v>
      </x:c>
    </x:row>
    <x:row r="2740">
      <x:c r="A2740" t="str">
        <x:v>SYN0002739</x:v>
      </x:c>
      <x:c r="B2740" s="12" t="n">
        <x:v>42955</x:v>
      </x:c>
      <x:c r="C2740" s="18" t="n">
        <x:v>22275</x:v>
      </x:c>
      <x:c r="D2740" s="18" t="n">
        <x:v>47618</x:v>
      </x:c>
      <x:c r="E2740" s="18" t="n">
        <x:v>9</x:v>
      </x:c>
      <x:c r="F2740" s="18" t="n">
        <x:v>9.65</x:v>
      </x:c>
      <x:c r="G2740" t="n">
        <x:v>60</x:v>
      </x:c>
      <x:c r="H2740" t="str">
        <x:v>C</x:v>
      </x:c>
      <x:c r="I2740" t="str">
        <x:v>7-9 years</x:v>
      </x:c>
      <x:c r="J2740" t="str">
        <x:v>MORTGAGE</x:v>
      </x:c>
      <x:c r="K2740" t="str">
        <x:v>debt_consolidation</x:v>
      </x:c>
      <x:c r="L2740" t="n">
        <x:v>2</x:v>
      </x:c>
      <x:c r="M2740" t="n">
        <x:v>0</x:v>
      </x:c>
      <x:c r="N2740" t="str">
        <x:v>Fully Paid</x:v>
      </x:c>
      <x:c r="O2740" t="str">
        <x:f>IF(D2740="","Unknown",IF(D2740&lt;25000,"&lt;$25k",IF(D2740&lt;50000,"$25k-$50k",IF(D2740&lt;75000,"$50k-$75k",IF(D2740&lt;100000,"$75k-$100k","$100k+")))))</x:f>
        <x:v>$25k-$50k</x:v>
      </x:c>
      <x:c r="P2740" t="str">
        <x:f>IF(E2740="","Unknown",IF(E2740&lt;10,"&lt;10",IF(E2740&lt;20,"10-&lt;20",IF(E2740&lt;25,"20-&lt;25",IF(E2740&lt;35,"25-&lt;35","35+")))))</x:f>
        <x:v>&lt;10</x:v>
      </x:c>
    </x:row>
    <x:row r="2741">
      <x:c r="A2741" t="str">
        <x:v>SYN0002740</x:v>
      </x:c>
      <x:c r="B2741" s="12" t="n">
        <x:v>41305</x:v>
      </x:c>
      <x:c r="C2741" s="18" t="n">
        <x:v>6347</x:v>
      </x:c>
      <x:c r="D2741" s="18" t="n">
        <x:v>73885</x:v>
      </x:c>
      <x:c r="E2741" s="18" t="n">
        <x:v>17.17</x:v>
      </x:c>
      <x:c r="F2741" s="18" t="n">
        <x:v>15.19</x:v>
      </x:c>
      <x:c r="G2741" t="n">
        <x:v>36</x:v>
      </x:c>
      <x:c r="H2741" t="str">
        <x:v>D</x:v>
      </x:c>
      <x:c r="I2741" t="str">
        <x:v>&lt;1 year</x:v>
      </x:c>
      <x:c r="J2741" t="str">
        <x:v>RENT</x:v>
      </x:c>
      <x:c r="K2741" t="str">
        <x:v>home_improvement</x:v>
      </x:c>
      <x:c r="L2741" t="n">
        <x:v>0</x:v>
      </x:c>
      <x:c r="M2741" t="n">
        <x:v>0</x:v>
      </x:c>
      <x:c r="N2741" t="str">
        <x:v>Fully Paid</x:v>
      </x:c>
      <x:c r="O2741" t="str">
        <x:f>IF(D2741="","Unknown",IF(D2741&lt;25000,"&lt;$25k",IF(D2741&lt;50000,"$25k-$50k",IF(D2741&lt;75000,"$50k-$75k",IF(D2741&lt;100000,"$75k-$100k","$100k+")))))</x:f>
        <x:v>$50k-$75k</x:v>
      </x:c>
      <x:c r="P2741" t="str">
        <x:f>IF(E2741="","Unknown",IF(E2741&lt;10,"&lt;10",IF(E2741&lt;20,"10-&lt;20",IF(E2741&lt;25,"20-&lt;25",IF(E2741&lt;35,"25-&lt;35","35+")))))</x:f>
        <x:v>10-&lt;20</x:v>
      </x:c>
    </x:row>
    <x:row r="2742">
      <x:c r="A2742" t="str">
        <x:v>SYN0002741</x:v>
      </x:c>
      <x:c r="B2742" s="12" t="n">
        <x:v>41455</x:v>
      </x:c>
      <x:c r="C2742" s="18" t="n">
        <x:v>19565</x:v>
      </x:c>
      <x:c r="D2742" s="18" t="n">
        <x:v>66883</x:v>
      </x:c>
      <x:c r="E2742" s="18" t="n">
        <x:v>2.66</x:v>
      </x:c>
      <x:c r="F2742" s="18" t="n">
        <x:v>8.2</x:v>
      </x:c>
      <x:c r="G2742" t="n">
        <x:v>60</x:v>
      </x:c>
      <x:c r="H2742" t="str">
        <x:v>A</x:v>
      </x:c>
      <x:c r="I2742" t="str">
        <x:v>10+ years</x:v>
      </x:c>
      <x:c r="J2742" t="str">
        <x:v>RENT</x:v>
      </x:c>
      <x:c r="K2742" t="str">
        <x:v>medical</x:v>
      </x:c>
      <x:c r="L2742" t="n">
        <x:v>0</x:v>
      </x:c>
      <x:c r="M2742" t="n">
        <x:v>0</x:v>
      </x:c>
      <x:c r="N2742" t="str">
        <x:v>Fully Paid</x:v>
      </x:c>
      <x:c r="O2742" t="str">
        <x:f>IF(D2742="","Unknown",IF(D2742&lt;25000,"&lt;$25k",IF(D2742&lt;50000,"$25k-$50k",IF(D2742&lt;75000,"$50k-$75k",IF(D2742&lt;100000,"$75k-$100k","$100k+")))))</x:f>
        <x:v>$50k-$75k</x:v>
      </x:c>
      <x:c r="P2742" t="str">
        <x:f>IF(E2742="","Unknown",IF(E2742&lt;10,"&lt;10",IF(E2742&lt;20,"10-&lt;20",IF(E2742&lt;25,"20-&lt;25",IF(E2742&lt;35,"25-&lt;35","35+")))))</x:f>
        <x:v>&lt;10</x:v>
      </x:c>
    </x:row>
    <x:row r="2743">
      <x:c r="A2743" t="str">
        <x:v>SYN0002742</x:v>
      </x:c>
      <x:c r="B2743" s="12" t="n">
        <x:v>42895</x:v>
      </x:c>
      <x:c r="C2743" s="18" t="n">
        <x:v>11804</x:v>
      </x:c>
      <x:c r="D2743" s="18" t="n">
        <x:v>57083</x:v>
      </x:c>
      <x:c r="E2743" s="18" t="n">
        <x:v>27.04</x:v>
      </x:c>
      <x:c r="F2743" s="18" t="n">
        <x:v>18.7</x:v>
      </x:c>
      <x:c r="G2743" t="n">
        <x:v>36</x:v>
      </x:c>
      <x:c r="H2743" t="str">
        <x:v>D</x:v>
      </x:c>
      <x:c r="I2743" t="str">
        <x:v>&lt;1 year</x:v>
      </x:c>
      <x:c r="J2743" t="str">
        <x:v>OTHER</x:v>
      </x:c>
      <x:c r="K2743" t="str">
        <x:v>medical</x:v>
      </x:c>
      <x:c r="L2743" t="n">
        <x:v>1</x:v>
      </x:c>
      <x:c r="M2743" t="n">
        <x:v>0</x:v>
      </x:c>
      <x:c r="N2743" t="str">
        <x:v>Fully Paid</x:v>
      </x:c>
      <x:c r="O2743" t="str">
        <x:f>IF(D2743="","Unknown",IF(D2743&lt;25000,"&lt;$25k",IF(D2743&lt;50000,"$25k-$50k",IF(D2743&lt;75000,"$50k-$75k",IF(D2743&lt;100000,"$75k-$100k","$100k+")))))</x:f>
        <x:v>$50k-$75k</x:v>
      </x:c>
      <x:c r="P2743" t="str">
        <x:f>IF(E2743="","Unknown",IF(E2743&lt;10,"&lt;10",IF(E2743&lt;20,"10-&lt;20",IF(E2743&lt;25,"20-&lt;25",IF(E2743&lt;35,"25-&lt;35","35+")))))</x:f>
        <x:v>25-&lt;35</x:v>
      </x:c>
    </x:row>
    <x:row r="2744">
      <x:c r="A2744" t="str">
        <x:v>SYN0002743</x:v>
      </x:c>
      <x:c r="B2744" s="12" t="n">
        <x:v>42265</x:v>
      </x:c>
      <x:c r="C2744" s="18" t="n">
        <x:v>16758</x:v>
      </x:c>
      <x:c r="D2744" s="18" t="n">
        <x:v>81962</x:v>
      </x:c>
      <x:c r="E2744" s="18" t="n">
        <x:v>33.75</x:v>
      </x:c>
      <x:c r="F2744" s="18" t="n">
        <x:v>7.66</x:v>
      </x:c>
      <x:c r="G2744" t="n">
        <x:v>36</x:v>
      </x:c>
      <x:c r="H2744" t="str">
        <x:v>C</x:v>
      </x:c>
      <x:c r="I2744" t="str">
        <x:v>10+ years</x:v>
      </x:c>
      <x:c r="J2744" t="str">
        <x:v>RENT</x:v>
      </x:c>
      <x:c r="K2744" t="str">
        <x:v>debt_consolidation</x:v>
      </x:c>
      <x:c r="L2744" t="n">
        <x:v>1</x:v>
      </x:c>
      <x:c r="M2744" t="n">
        <x:v>0</x:v>
      </x:c>
      <x:c r="N2744" t="str">
        <x:v>Fully Paid</x:v>
      </x:c>
      <x:c r="O2744" t="str">
        <x:f>IF(D2744="","Unknown",IF(D2744&lt;25000,"&lt;$25k",IF(D2744&lt;50000,"$25k-$50k",IF(D2744&lt;75000,"$50k-$75k",IF(D2744&lt;100000,"$75k-$100k","$100k+")))))</x:f>
        <x:v>$75k-$100k</x:v>
      </x:c>
      <x:c r="P2744" t="str">
        <x:f>IF(E2744="","Unknown",IF(E2744&lt;10,"&lt;10",IF(E2744&lt;20,"10-&lt;20",IF(E2744&lt;25,"20-&lt;25",IF(E2744&lt;35,"25-&lt;35","35+")))))</x:f>
        <x:v>25-&lt;35</x:v>
      </x:c>
    </x:row>
    <x:row r="2745">
      <x:c r="A2745" t="str">
        <x:v>SYN0002744</x:v>
      </x:c>
      <x:c r="B2745" s="12" t="n">
        <x:v>42775</x:v>
      </x:c>
      <x:c r="C2745" s="18" t="n">
        <x:v>13809</x:v>
      </x:c>
      <x:c r="D2745" s="18" t="n">
        <x:v>140344</x:v>
      </x:c>
      <x:c r="E2745" s="18" t="n">
        <x:v>15.4</x:v>
      </x:c>
      <x:c r="F2745" s="18" t="n">
        <x:v>8.48</x:v>
      </x:c>
      <x:c r="G2745" t="n">
        <x:v>60</x:v>
      </x:c>
      <x:c r="H2745" t="str">
        <x:v>A</x:v>
      </x:c>
      <x:c r="I2745" t="str">
        <x:v>1-3 years</x:v>
      </x:c>
      <x:c r="J2745" t="str">
        <x:v>MORTGAGE</x:v>
      </x:c>
      <x:c r="K2745" t="str">
        <x:v>medical</x:v>
      </x:c>
      <x:c r="L2745" t="n">
        <x:v>0</x:v>
      </x:c>
      <x:c r="M2745" t="n">
        <x:v>0</x:v>
      </x:c>
      <x:c r="N2745" t="str">
        <x:v>Fully Paid</x:v>
      </x:c>
      <x:c r="O2745" t="str">
        <x:f>IF(D2745="","Unknown",IF(D2745&lt;25000,"&lt;$25k",IF(D2745&lt;50000,"$25k-$50k",IF(D2745&lt;75000,"$50k-$75k",IF(D2745&lt;100000,"$75k-$100k","$100k+")))))</x:f>
        <x:v>$100k+</x:v>
      </x:c>
      <x:c r="P2745" t="str">
        <x:f>IF(E2745="","Unknown",IF(E2745&lt;10,"&lt;10",IF(E2745&lt;20,"10-&lt;20",IF(E2745&lt;25,"20-&lt;25",IF(E2745&lt;35,"25-&lt;35","35+")))))</x:f>
        <x:v>10-&lt;20</x:v>
      </x:c>
    </x:row>
    <x:row r="2746">
      <x:c r="A2746" t="str">
        <x:v>SYN0002745</x:v>
      </x:c>
      <x:c r="B2746" s="12" t="n">
        <x:v>43285</x:v>
      </x:c>
      <x:c r="C2746" s="18" t="n">
        <x:v>14356</x:v>
      </x:c>
      <x:c r="D2746" s="18" t="n">
        <x:v>29300</x:v>
      </x:c>
      <x:c r="E2746" s="18" t="n">
        <x:v>13.56</x:v>
      </x:c>
      <x:c r="F2746" s="18" t="n">
        <x:v>11.29</x:v>
      </x:c>
      <x:c r="G2746" t="n">
        <x:v>36</x:v>
      </x:c>
      <x:c r="H2746" t="str">
        <x:v>D</x:v>
      </x:c>
      <x:c r="I2746" t="str">
        <x:v>10+ years</x:v>
      </x:c>
      <x:c r="J2746" t="str">
        <x:v>MORTGAGE</x:v>
      </x:c>
      <x:c r="K2746" t="str">
        <x:v>debt_consolidation</x:v>
      </x:c>
      <x:c r="L2746" t="n">
        <x:v>0</x:v>
      </x:c>
      <x:c r="M2746" t="n">
        <x:v>0</x:v>
      </x:c>
      <x:c r="N2746" t="str">
        <x:v>Fully Paid</x:v>
      </x:c>
      <x:c r="O2746" t="str">
        <x:f>IF(D2746="","Unknown",IF(D2746&lt;25000,"&lt;$25k",IF(D2746&lt;50000,"$25k-$50k",IF(D2746&lt;75000,"$50k-$75k",IF(D2746&lt;100000,"$75k-$100k","$100k+")))))</x:f>
        <x:v>$25k-$50k</x:v>
      </x:c>
      <x:c r="P2746" t="str">
        <x:f>IF(E2746="","Unknown",IF(E2746&lt;10,"&lt;10",IF(E2746&lt;20,"10-&lt;20",IF(E2746&lt;25,"20-&lt;25",IF(E2746&lt;35,"25-&lt;35","35+")))))</x:f>
        <x:v>10-&lt;20</x:v>
      </x:c>
    </x:row>
    <x:row r="2747">
      <x:c r="A2747" t="str">
        <x:v>SYN0002746</x:v>
      </x:c>
      <x:c r="B2747" s="12" t="n">
        <x:v>42835</x:v>
      </x:c>
      <x:c r="C2747" s="18" t="n">
        <x:v>10597</x:v>
      </x:c>
      <x:c r="D2747" s="18" t="n">
        <x:v>61845</x:v>
      </x:c>
      <x:c r="E2747" s="18" t="n">
        <x:v>26.95</x:v>
      </x:c>
      <x:c r="F2747" s="18" t="n">
        <x:v>11.69</x:v>
      </x:c>
      <x:c r="G2747" t="n">
        <x:v>36</x:v>
      </x:c>
      <x:c r="H2747" t="str">
        <x:v>C</x:v>
      </x:c>
      <x:c r="I2747" t="str">
        <x:v>&lt;1 year</x:v>
      </x:c>
      <x:c r="J2747" t="str">
        <x:v>MORTGAGE</x:v>
      </x:c>
      <x:c r="K2747" t="str">
        <x:v>credit_card</x:v>
      </x:c>
      <x:c r="L2747" t="n">
        <x:v>1</x:v>
      </x:c>
      <x:c r="M2747" t="n">
        <x:v>0</x:v>
      </x:c>
      <x:c r="N2747" t="str">
        <x:v>Fully Paid</x:v>
      </x:c>
      <x:c r="O2747" t="str">
        <x:f>IF(D2747="","Unknown",IF(D2747&lt;25000,"&lt;$25k",IF(D2747&lt;50000,"$25k-$50k",IF(D2747&lt;75000,"$50k-$75k",IF(D2747&lt;100000,"$75k-$100k","$100k+")))))</x:f>
        <x:v>$50k-$75k</x:v>
      </x:c>
      <x:c r="P2747" t="str">
        <x:f>IF(E2747="","Unknown",IF(E2747&lt;10,"&lt;10",IF(E2747&lt;20,"10-&lt;20",IF(E2747&lt;25,"20-&lt;25",IF(E2747&lt;35,"25-&lt;35","35+")))))</x:f>
        <x:v>25-&lt;35</x:v>
      </x:c>
    </x:row>
    <x:row r="2748">
      <x:c r="A2748" t="str">
        <x:v>SYN0002747</x:v>
      </x:c>
      <x:c r="B2748" s="12" t="n">
        <x:v>41365</x:v>
      </x:c>
      <x:c r="C2748" s="18" t="n">
        <x:v>13225</x:v>
      </x:c>
      <x:c r="D2748" s="18" t="n">
        <x:v>71716</x:v>
      </x:c>
      <x:c r="E2748" s="18" t="n">
        <x:v>10.16</x:v>
      </x:c>
      <x:c r="F2748" s="18" t="n">
        <x:v>9.58</x:v>
      </x:c>
      <x:c r="G2748" t="n">
        <x:v>60</x:v>
      </x:c>
      <x:c r="H2748" t="str">
        <x:v>B</x:v>
      </x:c>
      <x:c r="I2748" t="str">
        <x:v>1-3 years</x:v>
      </x:c>
      <x:c r="J2748" t="str">
        <x:v>RENT</x:v>
      </x:c>
      <x:c r="K2748" t="str">
        <x:v>home_improvement</x:v>
      </x:c>
      <x:c r="L2748" t="n">
        <x:v>0</x:v>
      </x:c>
      <x:c r="M2748" t="n">
        <x:v>0</x:v>
      </x:c>
      <x:c r="N2748" t="str">
        <x:v>Fully Paid</x:v>
      </x:c>
      <x:c r="O2748" t="str">
        <x:f>IF(D2748="","Unknown",IF(D2748&lt;25000,"&lt;$25k",IF(D2748&lt;50000,"$25k-$50k",IF(D2748&lt;75000,"$50k-$75k",IF(D2748&lt;100000,"$75k-$100k","$100k+")))))</x:f>
        <x:v>$50k-$75k</x:v>
      </x:c>
      <x:c r="P2748" t="str">
        <x:f>IF(E2748="","Unknown",IF(E2748&lt;10,"&lt;10",IF(E2748&lt;20,"10-&lt;20",IF(E2748&lt;25,"20-&lt;25",IF(E2748&lt;35,"25-&lt;35","35+")))))</x:f>
        <x:v>10-&lt;20</x:v>
      </x:c>
    </x:row>
    <x:row r="2749">
      <x:c r="A2749" t="str">
        <x:v>SYN0002748</x:v>
      </x:c>
      <x:c r="B2749" s="12" t="n">
        <x:v>43135</x:v>
      </x:c>
      <x:c r="C2749" s="18" t="n">
        <x:v>7002</x:v>
      </x:c>
      <x:c r="D2749" s="18" t="n">
        <x:v>34804</x:v>
      </x:c>
      <x:c r="E2749" s="18" t="n">
        <x:v>20.66</x:v>
      </x:c>
      <x:c r="F2749" s="18" t="n">
        <x:v>21.68</x:v>
      </x:c>
      <x:c r="G2749" t="n">
        <x:v>36</x:v>
      </x:c>
      <x:c r="H2749" t="str">
        <x:v>F</x:v>
      </x:c>
      <x:c r="I2749" t="str">
        <x:v>1-3 years</x:v>
      </x:c>
      <x:c r="J2749" t="str">
        <x:v>MORTGAGE</x:v>
      </x:c>
      <x:c r="K2749" t="str">
        <x:v>other</x:v>
      </x:c>
      <x:c r="L2749" t="n">
        <x:v>1</x:v>
      </x:c>
      <x:c r="M2749" t="n">
        <x:v>0</x:v>
      </x:c>
      <x:c r="N2749" t="str">
        <x:v>Fully Paid</x:v>
      </x:c>
      <x:c r="O2749" t="str">
        <x:f>IF(D2749="","Unknown",IF(D2749&lt;25000,"&lt;$25k",IF(D2749&lt;50000,"$25k-$50k",IF(D2749&lt;75000,"$50k-$75k",IF(D2749&lt;100000,"$75k-$100k","$100k+")))))</x:f>
        <x:v>$25k-$50k</x:v>
      </x:c>
      <x:c r="P2749" t="str">
        <x:f>IF(E2749="","Unknown",IF(E2749&lt;10,"&lt;10",IF(E2749&lt;20,"10-&lt;20",IF(E2749&lt;25,"20-&lt;25",IF(E2749&lt;35,"25-&lt;35","35+")))))</x:f>
        <x:v>20-&lt;25</x:v>
      </x:c>
    </x:row>
    <x:row r="2750">
      <x:c r="A2750" t="str">
        <x:v>SYN0002749</x:v>
      </x:c>
      <x:c r="B2750" s="12" t="n">
        <x:v>43255</x:v>
      </x:c>
      <x:c r="C2750" s="18" t="n">
        <x:v>11551</x:v>
      </x:c>
      <x:c r="D2750" s="18" t="n">
        <x:v>121663</x:v>
      </x:c>
      <x:c r="E2750" s="18" t="n">
        <x:v>11.08</x:v>
      </x:c>
      <x:c r="F2750" s="18" t="n">
        <x:v>6.84</x:v>
      </x:c>
      <x:c r="G2750" t="n">
        <x:v>36</x:v>
      </x:c>
      <x:c r="H2750" t="str">
        <x:v>A</x:v>
      </x:c>
      <x:c r="I2750" t="str">
        <x:v>7-9 years</x:v>
      </x:c>
      <x:c r="J2750" t="str">
        <x:v>OWN</x:v>
      </x:c>
      <x:c r="K2750" t="str">
        <x:v>home_improvement</x:v>
      </x:c>
      <x:c r="L2750" t="n">
        <x:v>0</x:v>
      </x:c>
      <x:c r="M2750" t="n">
        <x:v>0</x:v>
      </x:c>
      <x:c r="N2750" t="str">
        <x:v>Fully Paid</x:v>
      </x:c>
      <x:c r="O2750" t="str">
        <x:f>IF(D2750="","Unknown",IF(D2750&lt;25000,"&lt;$25k",IF(D2750&lt;50000,"$25k-$50k",IF(D2750&lt;75000,"$50k-$75k",IF(D2750&lt;100000,"$75k-$100k","$100k+")))))</x:f>
        <x:v>$100k+</x:v>
      </x:c>
      <x:c r="P2750" t="str">
        <x:f>IF(E2750="","Unknown",IF(E2750&lt;10,"&lt;10",IF(E2750&lt;20,"10-&lt;20",IF(E2750&lt;25,"20-&lt;25",IF(E2750&lt;35,"25-&lt;35","35+")))))</x:f>
        <x:v>10-&lt;20</x:v>
      </x:c>
    </x:row>
    <x:row r="2751">
      <x:c r="A2751" t="str">
        <x:v>SYN0002750</x:v>
      </x:c>
      <x:c r="B2751" s="12" t="n">
        <x:v>43285</x:v>
      </x:c>
      <x:c r="C2751" s="18" t="n">
        <x:v>9542</x:v>
      </x:c>
      <x:c r="D2751" s="18" t="n">
        <x:v>95610</x:v>
      </x:c>
      <x:c r="E2751" s="18" t="n">
        <x:v>21.88</x:v>
      </x:c>
      <x:c r="F2751" s="18" t="n">
        <x:v>5</x:v>
      </x:c>
      <x:c r="G2751" t="n">
        <x:v>60</x:v>
      </x:c>
      <x:c r="H2751" t="str">
        <x:v>A</x:v>
      </x:c>
      <x:c r="I2751" t="str">
        <x:v>4-6 years</x:v>
      </x:c>
      <x:c r="J2751" t="str">
        <x:v>RENT</x:v>
      </x:c>
      <x:c r="K2751" t="str">
        <x:v>debt_consolidation</x:v>
      </x:c>
      <x:c r="L2751" t="n">
        <x:v>0</x:v>
      </x:c>
      <x:c r="M2751" t="n">
        <x:v>0</x:v>
      </x:c>
      <x:c r="N2751" t="str">
        <x:v>Fully Paid</x:v>
      </x:c>
      <x:c r="O2751" t="str">
        <x:f>IF(D2751="","Unknown",IF(D2751&lt;25000,"&lt;$25k",IF(D2751&lt;50000,"$25k-$50k",IF(D2751&lt;75000,"$50k-$75k",IF(D2751&lt;100000,"$75k-$100k","$100k+")))))</x:f>
        <x:v>$75k-$100k</x:v>
      </x:c>
      <x:c r="P2751" t="str">
        <x:f>IF(E2751="","Unknown",IF(E2751&lt;10,"&lt;10",IF(E2751&lt;20,"10-&lt;20",IF(E2751&lt;25,"20-&lt;25",IF(E2751&lt;35,"25-&lt;35","35+")))))</x:f>
        <x:v>20-&lt;25</x:v>
      </x:c>
    </x:row>
    <x:row r="2752">
      <x:c r="A2752" t="str">
        <x:v>SYN0002751</x:v>
      </x:c>
      <x:c r="B2752" s="12" t="n">
        <x:v>41575</x:v>
      </x:c>
      <x:c r="C2752" s="18" t="n">
        <x:v>6061</x:v>
      </x:c>
      <x:c r="D2752" s="18" t="n">
        <x:v>67760</x:v>
      </x:c>
      <x:c r="E2752" s="18" t="n">
        <x:v>20.27</x:v>
      </x:c>
      <x:c r="F2752" s="18" t="n">
        <x:v>11.13</x:v>
      </x:c>
      <x:c r="G2752" t="n">
        <x:v>36</x:v>
      </x:c>
      <x:c r="H2752" t="str">
        <x:v>B</x:v>
      </x:c>
      <x:c r="I2752" t="str">
        <x:v>10+ years</x:v>
      </x:c>
      <x:c r="J2752" t="str">
        <x:v>MORTGAGE</x:v>
      </x:c>
      <x:c r="K2752" t="str">
        <x:v>credit_card</x:v>
      </x:c>
      <x:c r="L2752" t="n">
        <x:v>1</x:v>
      </x:c>
      <x:c r="M2752" t="n">
        <x:v>0</x:v>
      </x:c>
      <x:c r="N2752" t="str">
        <x:v>Fully Paid</x:v>
      </x:c>
      <x:c r="O2752" t="str">
        <x:f>IF(D2752="","Unknown",IF(D2752&lt;25000,"&lt;$25k",IF(D2752&lt;50000,"$25k-$50k",IF(D2752&lt;75000,"$50k-$75k",IF(D2752&lt;100000,"$75k-$100k","$100k+")))))</x:f>
        <x:v>$50k-$75k</x:v>
      </x:c>
      <x:c r="P2752" t="str">
        <x:f>IF(E2752="","Unknown",IF(E2752&lt;10,"&lt;10",IF(E2752&lt;20,"10-&lt;20",IF(E2752&lt;25,"20-&lt;25",IF(E2752&lt;35,"25-&lt;35","35+")))))</x:f>
        <x:v>20-&lt;25</x:v>
      </x:c>
    </x:row>
    <x:row r="2753">
      <x:c r="A2753" t="str">
        <x:v>SYN0002752</x:v>
      </x:c>
      <x:c r="B2753" s="12" t="n">
        <x:v>42355</x:v>
      </x:c>
      <x:c r="C2753" s="18" t="n">
        <x:v>13219</x:v>
      </x:c>
      <x:c r="D2753" s="18" t="n">
        <x:v>30968</x:v>
      </x:c>
      <x:c r="E2753" s="18" t="n">
        <x:v>27.84</x:v>
      </x:c>
      <x:c r="F2753" s="18" t="n">
        <x:v>7.04</x:v>
      </x:c>
      <x:c r="G2753" t="n">
        <x:v>60</x:v>
      </x:c>
      <x:c r="H2753" t="str">
        <x:v>B</x:v>
      </x:c>
      <x:c r="I2753" t="str">
        <x:v>&lt;1 year</x:v>
      </x:c>
      <x:c r="J2753" t="str">
        <x:v>RENT</x:v>
      </x:c>
      <x:c r="K2753" t="str">
        <x:v>debt_consolidation</x:v>
      </x:c>
      <x:c r="L2753" t="n">
        <x:v>0</x:v>
      </x:c>
      <x:c r="M2753" t="n">
        <x:v>1</x:v>
      </x:c>
      <x:c r="N2753" t="str">
        <x:v>Charged Off</x:v>
      </x:c>
      <x:c r="O2753" t="str">
        <x:f>IF(D2753="","Unknown",IF(D2753&lt;25000,"&lt;$25k",IF(D2753&lt;50000,"$25k-$50k",IF(D2753&lt;75000,"$50k-$75k",IF(D2753&lt;100000,"$75k-$100k","$100k+")))))</x:f>
        <x:v>$25k-$50k</x:v>
      </x:c>
      <x:c r="P2753" t="str">
        <x:f>IF(E2753="","Unknown",IF(E2753&lt;10,"&lt;10",IF(E2753&lt;20,"10-&lt;20",IF(E2753&lt;25,"20-&lt;25",IF(E2753&lt;35,"25-&lt;35","35+")))))</x:f>
        <x:v>25-&lt;35</x:v>
      </x:c>
    </x:row>
    <x:row r="2754">
      <x:c r="A2754" t="str">
        <x:v>SYN0002753</x:v>
      </x:c>
      <x:c r="B2754" s="12" t="n">
        <x:v>42895</x:v>
      </x:c>
      <x:c r="C2754" s="18" t="n">
        <x:v>23871</x:v>
      </x:c>
      <x:c r="D2754" s="18" t="n">
        <x:v>15738</x:v>
      </x:c>
      <x:c r="E2754" s="18" t="n">
        <x:v>26.86</x:v>
      </x:c>
      <x:c r="F2754" s="18" t="n">
        <x:v>12.48</x:v>
      </x:c>
      <x:c r="G2754" t="n">
        <x:v>36</x:v>
      </x:c>
      <x:c r="H2754" t="str">
        <x:v>C</x:v>
      </x:c>
      <x:c r="I2754" t="str">
        <x:v>&lt;1 year</x:v>
      </x:c>
      <x:c r="J2754" t="str">
        <x:v>MORTGAGE</x:v>
      </x:c>
      <x:c r="K2754" t="str">
        <x:v>debt_consolidation</x:v>
      </x:c>
      <x:c r="L2754" t="n">
        <x:v>1</x:v>
      </x:c>
      <x:c r="M2754" t="n">
        <x:v>0</x:v>
      </x:c>
      <x:c r="N2754" t="str">
        <x:v>Fully Paid</x:v>
      </x:c>
      <x:c r="O2754" t="str">
        <x:f>IF(D2754="","Unknown",IF(D2754&lt;25000,"&lt;$25k",IF(D2754&lt;50000,"$25k-$50k",IF(D2754&lt;75000,"$50k-$75k",IF(D2754&lt;100000,"$75k-$100k","$100k+")))))</x:f>
        <x:v>&lt;$25k</x:v>
      </x:c>
      <x:c r="P2754" t="str">
        <x:f>IF(E2754="","Unknown",IF(E2754&lt;10,"&lt;10",IF(E2754&lt;20,"10-&lt;20",IF(E2754&lt;25,"20-&lt;25",IF(E2754&lt;35,"25-&lt;35","35+")))))</x:f>
        <x:v>25-&lt;35</x:v>
      </x:c>
    </x:row>
    <x:row r="2755">
      <x:c r="A2755" t="str">
        <x:v>SYN0002754</x:v>
      </x:c>
      <x:c r="B2755" s="12" t="n">
        <x:v>43045</x:v>
      </x:c>
      <x:c r="C2755" s="18" t="n">
        <x:v>9848</x:v>
      </x:c>
      <x:c r="D2755" s="18" t="n">
        <x:v>97197</x:v>
      </x:c>
      <x:c r="E2755" s="18" t="n">
        <x:v>19.56</x:v>
      </x:c>
      <x:c r="F2755" s="18" t="n">
        <x:v>16.08</x:v>
      </x:c>
      <x:c r="G2755" t="n">
        <x:v>36</x:v>
      </x:c>
      <x:c r="H2755" t="str">
        <x:v>E</x:v>
      </x:c>
      <x:c r="I2755" t="str">
        <x:v>10+ years</x:v>
      </x:c>
      <x:c r="J2755" t="str">
        <x:v>RENT</x:v>
      </x:c>
      <x:c r="K2755" t="str">
        <x:v>major_purchase</x:v>
      </x:c>
      <x:c r="L2755" t="n">
        <x:v>1</x:v>
      </x:c>
      <x:c r="M2755" t="n">
        <x:v>1</x:v>
      </x:c>
      <x:c r="N2755" t="str">
        <x:v>Charged Off</x:v>
      </x:c>
      <x:c r="O2755" t="str">
        <x:f>IF(D2755="","Unknown",IF(D2755&lt;25000,"&lt;$25k",IF(D2755&lt;50000,"$25k-$50k",IF(D2755&lt;75000,"$50k-$75k",IF(D2755&lt;100000,"$75k-$100k","$100k+")))))</x:f>
        <x:v>$75k-$100k</x:v>
      </x:c>
      <x:c r="P2755" t="str">
        <x:f>IF(E2755="","Unknown",IF(E2755&lt;10,"&lt;10",IF(E2755&lt;20,"10-&lt;20",IF(E2755&lt;25,"20-&lt;25",IF(E2755&lt;35,"25-&lt;35","35+")))))</x:f>
        <x:v>10-&lt;20</x:v>
      </x:c>
    </x:row>
    <x:row r="2756">
      <x:c r="A2756" t="str">
        <x:v>SYN0002755</x:v>
      </x:c>
      <x:c r="B2756" s="12" t="n">
        <x:v>41485</x:v>
      </x:c>
      <x:c r="C2756" s="18" t="n">
        <x:v>10377</x:v>
      </x:c>
      <x:c r="D2756" s="18" t="n">
        <x:v>83510</x:v>
      </x:c>
      <x:c r="E2756" s="18" t="n">
        <x:v>21.95</x:v>
      </x:c>
      <x:c r="F2756" s="18" t="n">
        <x:v>14.93</x:v>
      </x:c>
      <x:c r="G2756" t="n">
        <x:v>36</x:v>
      </x:c>
      <x:c r="H2756" t="str">
        <x:v>D</x:v>
      </x:c>
      <x:c r="I2756" t="str">
        <x:v>&lt;1 year</x:v>
      </x:c>
      <x:c r="J2756" t="str">
        <x:v>RENT</x:v>
      </x:c>
      <x:c r="K2756" t="str">
        <x:v>debt_consolidation</x:v>
      </x:c>
      <x:c r="L2756" t="n">
        <x:v>2</x:v>
      </x:c>
      <x:c r="M2756" t="n">
        <x:v>0</x:v>
      </x:c>
      <x:c r="N2756" t="str">
        <x:v>Fully Paid</x:v>
      </x:c>
      <x:c r="O2756" t="str">
        <x:f>IF(D2756="","Unknown",IF(D2756&lt;25000,"&lt;$25k",IF(D2756&lt;50000,"$25k-$50k",IF(D2756&lt;75000,"$50k-$75k",IF(D2756&lt;100000,"$75k-$100k","$100k+")))))</x:f>
        <x:v>$75k-$100k</x:v>
      </x:c>
      <x:c r="P2756" t="str">
        <x:f>IF(E2756="","Unknown",IF(E2756&lt;10,"&lt;10",IF(E2756&lt;20,"10-&lt;20",IF(E2756&lt;25,"20-&lt;25",IF(E2756&lt;35,"25-&lt;35","35+")))))</x:f>
        <x:v>20-&lt;25</x:v>
      </x:c>
    </x:row>
    <x:row r="2757">
      <x:c r="A2757" t="str">
        <x:v>SYN0002756</x:v>
      </x:c>
      <x:c r="B2757" s="12" t="n">
        <x:v>41725</x:v>
      </x:c>
      <x:c r="C2757" s="18" t="n">
        <x:v>10226</x:v>
      </x:c>
      <x:c r="D2757" s="18" t="n">
        <x:v>94555</x:v>
      </x:c>
      <x:c r="E2757" s="18" t="n">
        <x:v>24.16</x:v>
      </x:c>
      <x:c r="F2757" s="18" t="n">
        <x:v>8.38</x:v>
      </x:c>
      <x:c r="G2757" t="n">
        <x:v>36</x:v>
      </x:c>
      <x:c r="H2757" t="str">
        <x:v>B</x:v>
      </x:c>
      <x:c r="I2757" t="str">
        <x:v>10+ years</x:v>
      </x:c>
      <x:c r="J2757" t="str">
        <x:v>MORTGAGE</x:v>
      </x:c>
      <x:c r="K2757" t="str">
        <x:v>debt_consolidation</x:v>
      </x:c>
      <x:c r="L2757" t="n">
        <x:v>1</x:v>
      </x:c>
      <x:c r="M2757" t="n">
        <x:v>0</x:v>
      </x:c>
      <x:c r="N2757" t="str">
        <x:v>Fully Paid</x:v>
      </x:c>
      <x:c r="O2757" t="str">
        <x:f>IF(D2757="","Unknown",IF(D2757&lt;25000,"&lt;$25k",IF(D2757&lt;50000,"$25k-$50k",IF(D2757&lt;75000,"$50k-$75k",IF(D2757&lt;100000,"$75k-$100k","$100k+")))))</x:f>
        <x:v>$75k-$100k</x:v>
      </x:c>
      <x:c r="P2757" t="str">
        <x:f>IF(E2757="","Unknown",IF(E2757&lt;10,"&lt;10",IF(E2757&lt;20,"10-&lt;20",IF(E2757&lt;25,"20-&lt;25",IF(E2757&lt;35,"25-&lt;35","35+")))))</x:f>
        <x:v>20-&lt;25</x:v>
      </x:c>
    </x:row>
    <x:row r="2758">
      <x:c r="A2758" t="str">
        <x:v>SYN0002757</x:v>
      </x:c>
      <x:c r="B2758" s="12" t="n">
        <x:v>43255</x:v>
      </x:c>
      <x:c r="C2758" s="18" t="n">
        <x:v>12939</x:v>
      </x:c>
      <x:c r="D2758" s="18" t="n">
        <x:v>20987</x:v>
      </x:c>
      <x:c r="E2758" s="18" t="n">
        <x:v>25.94</x:v>
      </x:c>
      <x:c r="F2758" s="18" t="n">
        <x:v>21.46</x:v>
      </x:c>
      <x:c r="G2758" t="n">
        <x:v>36</x:v>
      </x:c>
      <x:c r="H2758" t="str">
        <x:v>F</x:v>
      </x:c>
      <x:c r="I2758" t="str">
        <x:v>4-6 years</x:v>
      </x:c>
      <x:c r="J2758" t="str">
        <x:v>MORTGAGE</x:v>
      </x:c>
      <x:c r="K2758" t="str">
        <x:v>debt_consolidation</x:v>
      </x:c>
      <x:c r="L2758" t="n">
        <x:v>1</x:v>
      </x:c>
      <x:c r="M2758" t="n">
        <x:v>0</x:v>
      </x:c>
      <x:c r="N2758" t="str">
        <x:v>Fully Paid</x:v>
      </x:c>
      <x:c r="O2758" t="str">
        <x:f>IF(D2758="","Unknown",IF(D2758&lt;25000,"&lt;$25k",IF(D2758&lt;50000,"$25k-$50k",IF(D2758&lt;75000,"$50k-$75k",IF(D2758&lt;100000,"$75k-$100k","$100k+")))))</x:f>
        <x:v>&lt;$25k</x:v>
      </x:c>
      <x:c r="P2758" t="str">
        <x:f>IF(E2758="","Unknown",IF(E2758&lt;10,"&lt;10",IF(E2758&lt;20,"10-&lt;20",IF(E2758&lt;25,"20-&lt;25",IF(E2758&lt;35,"25-&lt;35","35+")))))</x:f>
        <x:v>25-&lt;35</x:v>
      </x:c>
    </x:row>
    <x:row r="2759">
      <x:c r="A2759" t="str">
        <x:v>SYN0002758</x:v>
      </x:c>
      <x:c r="B2759" s="12" t="n">
        <x:v>42325</x:v>
      </x:c>
      <x:c r="C2759" s="18" t="n">
        <x:v>16237</x:v>
      </x:c>
      <x:c r="D2759" s="18" t="n">
        <x:v>21210</x:v>
      </x:c>
      <x:c r="E2759" s="18" t="n">
        <x:v>15.62</x:v>
      </x:c>
      <x:c r="F2759" s="18" t="n">
        <x:v>10.24</x:v>
      </x:c>
      <x:c r="G2759" t="n">
        <x:v>36</x:v>
      </x:c>
      <x:c r="H2759" t="str">
        <x:v>B</x:v>
      </x:c>
      <x:c r="I2759" t="str">
        <x:v>10+ years</x:v>
      </x:c>
      <x:c r="J2759" t="str">
        <x:v>RENT</x:v>
      </x:c>
      <x:c r="K2759" t="str">
        <x:v>debt_consolidation</x:v>
      </x:c>
      <x:c r="L2759" t="n">
        <x:v>0</x:v>
      </x:c>
      <x:c r="M2759" t="n">
        <x:v>0</x:v>
      </x:c>
      <x:c r="N2759" t="str">
        <x:v>Fully Paid</x:v>
      </x:c>
      <x:c r="O2759" t="str">
        <x:f>IF(D2759="","Unknown",IF(D2759&lt;25000,"&lt;$25k",IF(D2759&lt;50000,"$25k-$50k",IF(D2759&lt;75000,"$50k-$75k",IF(D2759&lt;100000,"$75k-$100k","$100k+")))))</x:f>
        <x:v>&lt;$25k</x:v>
      </x:c>
      <x:c r="P2759" t="str">
        <x:f>IF(E2759="","Unknown",IF(E2759&lt;10,"&lt;10",IF(E2759&lt;20,"10-&lt;20",IF(E2759&lt;25,"20-&lt;25",IF(E2759&lt;35,"25-&lt;35","35+")))))</x:f>
        <x:v>10-&lt;20</x:v>
      </x:c>
    </x:row>
    <x:row r="2760">
      <x:c r="A2760" t="str">
        <x:v>SYN0002759</x:v>
      </x:c>
      <x:c r="B2760" s="12" t="n">
        <x:v>41785</x:v>
      </x:c>
      <x:c r="C2760" s="18" t="n">
        <x:v>6431</x:v>
      </x:c>
      <x:c r="D2760" s="18" t="n">
        <x:v>151033</x:v>
      </x:c>
      <x:c r="E2760" s="18" t="n">
        <x:v>31.63</x:v>
      </x:c>
      <x:c r="F2760" s="18" t="n">
        <x:v>9.96</x:v>
      </x:c>
      <x:c r="G2760" t="n">
        <x:v>36</x:v>
      </x:c>
      <x:c r="H2760" t="str">
        <x:v>B</x:v>
      </x:c>
      <x:c r="I2760" t="str">
        <x:v>4-6 years</x:v>
      </x:c>
      <x:c r="J2760" t="str">
        <x:v>RENT</x:v>
      </x:c>
      <x:c r="K2760" t="str">
        <x:v>medical</x:v>
      </x:c>
      <x:c r="L2760" t="n">
        <x:v>0</x:v>
      </x:c>
      <x:c r="M2760" t="n">
        <x:v>0</x:v>
      </x:c>
      <x:c r="N2760" t="str">
        <x:v>Fully Paid</x:v>
      </x:c>
      <x:c r="O2760" t="str">
        <x:f>IF(D2760="","Unknown",IF(D2760&lt;25000,"&lt;$25k",IF(D2760&lt;50000,"$25k-$50k",IF(D2760&lt;75000,"$50k-$75k",IF(D2760&lt;100000,"$75k-$100k","$100k+")))))</x:f>
        <x:v>$100k+</x:v>
      </x:c>
      <x:c r="P2760" t="str">
        <x:f>IF(E2760="","Unknown",IF(E2760&lt;10,"&lt;10",IF(E2760&lt;20,"10-&lt;20",IF(E2760&lt;25,"20-&lt;25",IF(E2760&lt;35,"25-&lt;35","35+")))))</x:f>
        <x:v>25-&lt;35</x:v>
      </x:c>
    </x:row>
    <x:row r="2761">
      <x:c r="A2761" t="str">
        <x:v>SYN0002760</x:v>
      </x:c>
      <x:c r="B2761" s="12" t="n">
        <x:v>41695</x:v>
      </x:c>
      <x:c r="C2761" s="18" t="n">
        <x:v>20269</x:v>
      </x:c>
      <x:c r="D2761" s="18" t="n">
        <x:v>74126</x:v>
      </x:c>
      <x:c r="E2761" s="18" t="n">
        <x:v>22.57</x:v>
      </x:c>
      <x:c r="F2761" s="18" t="n">
        <x:v>5.41</x:v>
      </x:c>
      <x:c r="G2761" t="n">
        <x:v>36</x:v>
      </x:c>
      <x:c r="H2761" t="str">
        <x:v>A</x:v>
      </x:c>
      <x:c r="I2761" t="str">
        <x:v>10+ years</x:v>
      </x:c>
      <x:c r="J2761" t="str">
        <x:v>MORTGAGE</x:v>
      </x:c>
      <x:c r="K2761" t="str">
        <x:v>home_improvement</x:v>
      </x:c>
      <x:c r="L2761" t="n">
        <x:v>0</x:v>
      </x:c>
      <x:c r="M2761" t="n">
        <x:v>0</x:v>
      </x:c>
      <x:c r="N2761" t="str">
        <x:v>Fully Paid</x:v>
      </x:c>
      <x:c r="O2761" t="str">
        <x:f>IF(D2761="","Unknown",IF(D2761&lt;25000,"&lt;$25k",IF(D2761&lt;50000,"$25k-$50k",IF(D2761&lt;75000,"$50k-$75k",IF(D2761&lt;100000,"$75k-$100k","$100k+")))))</x:f>
        <x:v>$50k-$75k</x:v>
      </x:c>
      <x:c r="P2761" t="str">
        <x:f>IF(E2761="","Unknown",IF(E2761&lt;10,"&lt;10",IF(E2761&lt;20,"10-&lt;20",IF(E2761&lt;25,"20-&lt;25",IF(E2761&lt;35,"25-&lt;35","35+")))))</x:f>
        <x:v>20-&lt;25</x:v>
      </x:c>
    </x:row>
    <x:row r="2762">
      <x:c r="A2762" t="str">
        <x:v>SYN0002761</x:v>
      </x:c>
      <x:c r="B2762" s="12" t="n">
        <x:v>42265</x:v>
      </x:c>
      <x:c r="C2762" s="18" t="n">
        <x:v>11049</x:v>
      </x:c>
      <x:c r="D2762" s="18" t="n">
        <x:v>25969</x:v>
      </x:c>
      <x:c r="E2762" s="18" t="n">
        <x:v>41.1</x:v>
      </x:c>
      <x:c r="F2762" s="18" t="n">
        <x:v>23.71</x:v>
      </x:c>
      <x:c r="G2762" t="n">
        <x:v>60</x:v>
      </x:c>
      <x:c r="H2762" t="str">
        <x:v>G</x:v>
      </x:c>
      <x:c r="I2762" t="str">
        <x:v>1-3 years</x:v>
      </x:c>
      <x:c r="J2762" t="str">
        <x:v>RENT</x:v>
      </x:c>
      <x:c r="K2762" t="str">
        <x:v>debt_consolidation</x:v>
      </x:c>
      <x:c r="L2762" t="n">
        <x:v>3</x:v>
      </x:c>
      <x:c r="M2762" t="n">
        <x:v>0</x:v>
      </x:c>
      <x:c r="N2762" t="str">
        <x:v>Fully Paid</x:v>
      </x:c>
      <x:c r="O2762" t="str">
        <x:f>IF(D2762="","Unknown",IF(D2762&lt;25000,"&lt;$25k",IF(D2762&lt;50000,"$25k-$50k",IF(D2762&lt;75000,"$50k-$75k",IF(D2762&lt;100000,"$75k-$100k","$100k+")))))</x:f>
        <x:v>$25k-$50k</x:v>
      </x:c>
      <x:c r="P2762" t="str">
        <x:f>IF(E2762="","Unknown",IF(E2762&lt;10,"&lt;10",IF(E2762&lt;20,"10-&lt;20",IF(E2762&lt;25,"20-&lt;25",IF(E2762&lt;35,"25-&lt;35","35+")))))</x:f>
        <x:v>35+</x:v>
      </x:c>
    </x:row>
    <x:row r="2763">
      <x:c r="A2763" t="str">
        <x:v>SYN0002762</x:v>
      </x:c>
      <x:c r="B2763" s="12" t="n">
        <x:v>42985</x:v>
      </x:c>
      <x:c r="C2763" s="18" t="n">
        <x:v>8233</x:v>
      </x:c>
      <x:c r="D2763" s="18" t="n">
        <x:v>250000</x:v>
      </x:c>
      <x:c r="E2763" s="18" t="n">
        <x:v>25.71</x:v>
      </x:c>
      <x:c r="F2763" s="18" t="n">
        <x:v>9.25</x:v>
      </x:c>
      <x:c r="G2763" t="n">
        <x:v>60</x:v>
      </x:c>
      <x:c r="H2763" t="str">
        <x:v>B</x:v>
      </x:c>
      <x:c r="I2763" t="str">
        <x:v>10+ years</x:v>
      </x:c>
      <x:c r="J2763" t="str">
        <x:v>RENT</x:v>
      </x:c>
      <x:c r="K2763" t="str">
        <x:v>major_purchase</x:v>
      </x:c>
      <x:c r="L2763" t="n">
        <x:v>0</x:v>
      </x:c>
      <x:c r="M2763" t="n">
        <x:v>0</x:v>
      </x:c>
      <x:c r="N2763" t="str">
        <x:v>Fully Paid</x:v>
      </x:c>
      <x:c r="O2763" t="str">
        <x:f>IF(D2763="","Unknown",IF(D2763&lt;25000,"&lt;$25k",IF(D2763&lt;50000,"$25k-$50k",IF(D2763&lt;75000,"$50k-$75k",IF(D2763&lt;100000,"$75k-$100k","$100k+")))))</x:f>
        <x:v>$100k+</x:v>
      </x:c>
      <x:c r="P2763" t="str">
        <x:f>IF(E2763="","Unknown",IF(E2763&lt;10,"&lt;10",IF(E2763&lt;20,"10-&lt;20",IF(E2763&lt;25,"20-&lt;25",IF(E2763&lt;35,"25-&lt;35","35+")))))</x:f>
        <x:v>25-&lt;35</x:v>
      </x:c>
    </x:row>
    <x:row r="2764">
      <x:c r="A2764" t="str">
        <x:v>SYN0002763</x:v>
      </x:c>
      <x:c r="B2764" s="12" t="n">
        <x:v>43075</x:v>
      </x:c>
      <x:c r="C2764" s="18" t="n">
        <x:v>12073</x:v>
      </x:c>
      <x:c r="D2764" s="18" t="n">
        <x:v>27123</x:v>
      </x:c>
      <x:c r="E2764" s="18" t="n">
        <x:v>9.61</x:v>
      </x:c>
      <x:c r="F2764" s="18" t="n">
        <x:v>12.2</x:v>
      </x:c>
      <x:c r="G2764" t="n">
        <x:v>60</x:v>
      </x:c>
      <x:c r="H2764" t="str">
        <x:v>C</x:v>
      </x:c>
      <x:c r="I2764" t="str">
        <x:v>10+ years</x:v>
      </x:c>
      <x:c r="J2764" t="str">
        <x:v>RENT</x:v>
      </x:c>
      <x:c r="K2764" t="str">
        <x:v>home_improvement</x:v>
      </x:c>
      <x:c r="L2764" t="n">
        <x:v>1</x:v>
      </x:c>
      <x:c r="M2764" t="n">
        <x:v>0</x:v>
      </x:c>
      <x:c r="N2764" t="str">
        <x:v>Fully Paid</x:v>
      </x:c>
      <x:c r="O2764" t="str">
        <x:f>IF(D2764="","Unknown",IF(D2764&lt;25000,"&lt;$25k",IF(D2764&lt;50000,"$25k-$50k",IF(D2764&lt;75000,"$50k-$75k",IF(D2764&lt;100000,"$75k-$100k","$100k+")))))</x:f>
        <x:v>$25k-$50k</x:v>
      </x:c>
      <x:c r="P2764" t="str">
        <x:f>IF(E2764="","Unknown",IF(E2764&lt;10,"&lt;10",IF(E2764&lt;20,"10-&lt;20",IF(E2764&lt;25,"20-&lt;25",IF(E2764&lt;35,"25-&lt;35","35+")))))</x:f>
        <x:v>&lt;10</x:v>
      </x:c>
    </x:row>
    <x:row r="2765">
      <x:c r="A2765" t="str">
        <x:v>SYN0002764</x:v>
      </x:c>
      <x:c r="B2765" s="12" t="n">
        <x:v>41515</x:v>
      </x:c>
      <x:c r="C2765" s="18" t="n">
        <x:v>11514</x:v>
      </x:c>
      <x:c r="D2765" s="18" t="n">
        <x:v>27930</x:v>
      </x:c>
      <x:c r="E2765" s="18" t="n">
        <x:v>11.46</x:v>
      </x:c>
      <x:c r="F2765" s="18" t="n">
        <x:v>14.87</x:v>
      </x:c>
      <x:c r="G2765" t="n">
        <x:v>60</x:v>
      </x:c>
      <x:c r="H2765" t="str">
        <x:v>D</x:v>
      </x:c>
      <x:c r="I2765" t="str">
        <x:v>&lt;1 year</x:v>
      </x:c>
      <x:c r="J2765" t="str">
        <x:v>RENT</x:v>
      </x:c>
      <x:c r="K2765" t="str">
        <x:v>other</x:v>
      </x:c>
      <x:c r="L2765" t="n">
        <x:v>1</x:v>
      </x:c>
      <x:c r="M2765" t="n">
        <x:v>0</x:v>
      </x:c>
      <x:c r="N2765" t="str">
        <x:v>Fully Paid</x:v>
      </x:c>
      <x:c r="O2765" t="str">
        <x:f>IF(D2765="","Unknown",IF(D2765&lt;25000,"&lt;$25k",IF(D2765&lt;50000,"$25k-$50k",IF(D2765&lt;75000,"$50k-$75k",IF(D2765&lt;100000,"$75k-$100k","$100k+")))))</x:f>
        <x:v>$25k-$50k</x:v>
      </x:c>
      <x:c r="P2765" t="str">
        <x:f>IF(E2765="","Unknown",IF(E2765&lt;10,"&lt;10",IF(E2765&lt;20,"10-&lt;20",IF(E2765&lt;25,"20-&lt;25",IF(E2765&lt;35,"25-&lt;35","35+")))))</x:f>
        <x:v>10-&lt;20</x:v>
      </x:c>
    </x:row>
    <x:row r="2766">
      <x:c r="A2766" t="str">
        <x:v>SYN0002765</x:v>
      </x:c>
      <x:c r="B2766" s="12" t="n">
        <x:v>42145</x:v>
      </x:c>
      <x:c r="C2766" s="18" t="n">
        <x:v>5376</x:v>
      </x:c>
      <x:c r="D2766" s="18" t="n">
        <x:v>53669</x:v>
      </x:c>
      <x:c r="E2766" s="18" t="n">
        <x:v>18.59</x:v>
      </x:c>
      <x:c r="F2766" s="18" t="n">
        <x:v>7.71</x:v>
      </x:c>
      <x:c r="G2766" t="n">
        <x:v>36</x:v>
      </x:c>
      <x:c r="H2766" t="str">
        <x:v>A</x:v>
      </x:c>
      <x:c r="I2766" t="str">
        <x:v>&lt;1 year</x:v>
      </x:c>
      <x:c r="J2766" t="str">
        <x:v>MORTGAGE</x:v>
      </x:c>
      <x:c r="K2766" t="str">
        <x:v>debt_consolidation</x:v>
      </x:c>
      <x:c r="L2766" t="n">
        <x:v>0</x:v>
      </x:c>
      <x:c r="M2766" t="n">
        <x:v>0</x:v>
      </x:c>
      <x:c r="N2766" t="str">
        <x:v>Fully Paid</x:v>
      </x:c>
      <x:c r="O2766" t="str">
        <x:f>IF(D2766="","Unknown",IF(D2766&lt;25000,"&lt;$25k",IF(D2766&lt;50000,"$25k-$50k",IF(D2766&lt;75000,"$50k-$75k",IF(D2766&lt;100000,"$75k-$100k","$100k+")))))</x:f>
        <x:v>$50k-$75k</x:v>
      </x:c>
      <x:c r="P2766" t="str">
        <x:f>IF(E2766="","Unknown",IF(E2766&lt;10,"&lt;10",IF(E2766&lt;20,"10-&lt;20",IF(E2766&lt;25,"20-&lt;25",IF(E2766&lt;35,"25-&lt;35","35+")))))</x:f>
        <x:v>10-&lt;20</x:v>
      </x:c>
    </x:row>
    <x:row r="2767">
      <x:c r="A2767" t="str">
        <x:v>SYN0002766</x:v>
      </x:c>
      <x:c r="B2767" s="12" t="n">
        <x:v>42685</x:v>
      </x:c>
      <x:c r="C2767" s="18" t="n">
        <x:v>21351</x:v>
      </x:c>
      <x:c r="D2767" s="18" t="n">
        <x:v>99917</x:v>
      </x:c>
      <x:c r="E2767" s="18" t="n">
        <x:v>8.32</x:v>
      </x:c>
      <x:c r="F2767" s="18" t="n">
        <x:v>12.39</x:v>
      </x:c>
      <x:c r="G2767" t="n">
        <x:v>36</x:v>
      </x:c>
      <x:c r="H2767" t="str">
        <x:v>C</x:v>
      </x:c>
      <x:c r="I2767" t="str">
        <x:v>7-9 years</x:v>
      </x:c>
      <x:c r="J2767" t="str">
        <x:v>RENT</x:v>
      </x:c>
      <x:c r="K2767" t="str">
        <x:v>home_improvement</x:v>
      </x:c>
      <x:c r="L2767" t="n">
        <x:v>1</x:v>
      </x:c>
      <x:c r="M2767" t="n">
        <x:v>0</x:v>
      </x:c>
      <x:c r="N2767" t="str">
        <x:v>Fully Paid</x:v>
      </x:c>
      <x:c r="O2767" t="str">
        <x:f>IF(D2767="","Unknown",IF(D2767&lt;25000,"&lt;$25k",IF(D2767&lt;50000,"$25k-$50k",IF(D2767&lt;75000,"$50k-$75k",IF(D2767&lt;100000,"$75k-$100k","$100k+")))))</x:f>
        <x:v>$75k-$100k</x:v>
      </x:c>
      <x:c r="P2767" t="str">
        <x:f>IF(E2767="","Unknown",IF(E2767&lt;10,"&lt;10",IF(E2767&lt;20,"10-&lt;20",IF(E2767&lt;25,"20-&lt;25",IF(E2767&lt;35,"25-&lt;35","35+")))))</x:f>
        <x:v>&lt;10</x:v>
      </x:c>
    </x:row>
    <x:row r="2768">
      <x:c r="A2768" t="str">
        <x:v>SYN0002767</x:v>
      </x:c>
      <x:c r="B2768" s="12" t="n">
        <x:v>42385</x:v>
      </x:c>
      <x:c r="C2768" s="18" t="n">
        <x:v>8946</x:v>
      </x:c>
      <x:c r="D2768" s="18" t="n">
        <x:v>30368</x:v>
      </x:c>
      <x:c r="E2768" s="18" t="n">
        <x:v>8.8</x:v>
      </x:c>
      <x:c r="F2768" s="18" t="n">
        <x:v>18.73</x:v>
      </x:c>
      <x:c r="G2768" t="n">
        <x:v>60</x:v>
      </x:c>
      <x:c r="H2768" t="str">
        <x:v>E</x:v>
      </x:c>
      <x:c r="I2768" t="str">
        <x:v>1-3 years</x:v>
      </x:c>
      <x:c r="J2768" t="str">
        <x:v>RENT</x:v>
      </x:c>
      <x:c r="K2768" t="str">
        <x:v>debt_consolidation</x:v>
      </x:c>
      <x:c r="L2768" t="n">
        <x:v>1</x:v>
      </x:c>
      <x:c r="M2768" t="n">
        <x:v>0</x:v>
      </x:c>
      <x:c r="N2768" t="str">
        <x:v>Fully Paid</x:v>
      </x:c>
      <x:c r="O2768" t="str">
        <x:f>IF(D2768="","Unknown",IF(D2768&lt;25000,"&lt;$25k",IF(D2768&lt;50000,"$25k-$50k",IF(D2768&lt;75000,"$50k-$75k",IF(D2768&lt;100000,"$75k-$100k","$100k+")))))</x:f>
        <x:v>$25k-$50k</x:v>
      </x:c>
      <x:c r="P2768" t="str">
        <x:f>IF(E2768="","Unknown",IF(E2768&lt;10,"&lt;10",IF(E2768&lt;20,"10-&lt;20",IF(E2768&lt;25,"20-&lt;25",IF(E2768&lt;35,"25-&lt;35","35+")))))</x:f>
        <x:v>&lt;10</x:v>
      </x:c>
    </x:row>
    <x:row r="2769">
      <x:c r="A2769" t="str">
        <x:v>SYN0002768</x:v>
      </x:c>
      <x:c r="B2769" s="12" t="n">
        <x:v>42955</x:v>
      </x:c>
      <x:c r="C2769" s="18" t="n">
        <x:v>25972</x:v>
      </x:c>
      <x:c r="D2769" s="18" t="n">
        <x:v>83011</x:v>
      </x:c>
      <x:c r="E2769" s="18" t="n">
        <x:v>9.78</x:v>
      </x:c>
      <x:c r="F2769" s="18" t="n">
        <x:v>5</x:v>
      </x:c>
      <x:c r="G2769" t="n">
        <x:v>36</x:v>
      </x:c>
      <x:c r="H2769" t="str">
        <x:v>A</x:v>
      </x:c>
      <x:c r="I2769" t="str">
        <x:v>7-9 years</x:v>
      </x:c>
      <x:c r="J2769" t="str">
        <x:v>RENT</x:v>
      </x:c>
      <x:c r="K2769" t="str">
        <x:v>debt_consolidation</x:v>
      </x:c>
      <x:c r="L2769" t="n">
        <x:v>0</x:v>
      </x:c>
      <x:c r="M2769" t="n">
        <x:v>0</x:v>
      </x:c>
      <x:c r="N2769" t="str">
        <x:v>Fully Paid</x:v>
      </x:c>
      <x:c r="O2769" t="str">
        <x:f>IF(D2769="","Unknown",IF(D2769&lt;25000,"&lt;$25k",IF(D2769&lt;50000,"$25k-$50k",IF(D2769&lt;75000,"$50k-$75k",IF(D2769&lt;100000,"$75k-$100k","$100k+")))))</x:f>
        <x:v>$75k-$100k</x:v>
      </x:c>
      <x:c r="P2769" t="str">
        <x:f>IF(E2769="","Unknown",IF(E2769&lt;10,"&lt;10",IF(E2769&lt;20,"10-&lt;20",IF(E2769&lt;25,"20-&lt;25",IF(E2769&lt;35,"25-&lt;35","35+")))))</x:f>
        <x:v>&lt;10</x:v>
      </x:c>
    </x:row>
    <x:row r="2770">
      <x:c r="A2770" t="str">
        <x:v>SYN0002769</x:v>
      </x:c>
      <x:c r="B2770" s="12" t="n">
        <x:v>42925</x:v>
      </x:c>
      <x:c r="C2770" s="18" t="n">
        <x:v>15746</x:v>
      </x:c>
      <x:c r="D2770" s="18" t="n">
        <x:v>65662</x:v>
      </x:c>
      <x:c r="E2770" s="18" t="n">
        <x:v>23.42</x:v>
      </x:c>
      <x:c r="F2770" s="18" t="n">
        <x:v>10.42</x:v>
      </x:c>
      <x:c r="G2770" t="n">
        <x:v>36</x:v>
      </x:c>
      <x:c r="H2770" t="str">
        <x:v>C</x:v>
      </x:c>
      <x:c r="I2770" t="str">
        <x:v>10+ years</x:v>
      </x:c>
      <x:c r="J2770" t="str">
        <x:v>MORTGAGE</x:v>
      </x:c>
      <x:c r="K2770" t="str">
        <x:v>debt_consolidation</x:v>
      </x:c>
      <x:c r="L2770" t="n">
        <x:v>1</x:v>
      </x:c>
      <x:c r="M2770" t="n">
        <x:v>0</x:v>
      </x:c>
      <x:c r="N2770" t="str">
        <x:v>Fully Paid</x:v>
      </x:c>
      <x:c r="O2770" t="str">
        <x:f>IF(D2770="","Unknown",IF(D2770&lt;25000,"&lt;$25k",IF(D2770&lt;50000,"$25k-$50k",IF(D2770&lt;75000,"$50k-$75k",IF(D2770&lt;100000,"$75k-$100k","$100k+")))))</x:f>
        <x:v>$50k-$75k</x:v>
      </x:c>
      <x:c r="P2770" t="str">
        <x:f>IF(E2770="","Unknown",IF(E2770&lt;10,"&lt;10",IF(E2770&lt;20,"10-&lt;20",IF(E2770&lt;25,"20-&lt;25",IF(E2770&lt;35,"25-&lt;35","35+")))))</x:f>
        <x:v>20-&lt;25</x:v>
      </x:c>
    </x:row>
    <x:row r="2771">
      <x:c r="A2771" t="str">
        <x:v>SYN0002770</x:v>
      </x:c>
      <x:c r="B2771" s="12" t="n">
        <x:v>43165</x:v>
      </x:c>
      <x:c r="C2771" s="18" t="n">
        <x:v>12860</x:v>
      </x:c>
      <x:c r="D2771" s="18" t="n">
        <x:v>12573</x:v>
      </x:c>
      <x:c r="E2771" s="18" t="n">
        <x:v>35.7</x:v>
      </x:c>
      <x:c r="F2771" s="18" t="n">
        <x:v>14.87</x:v>
      </x:c>
      <x:c r="G2771" t="n">
        <x:v>36</x:v>
      </x:c>
      <x:c r="H2771" t="str">
        <x:v>E</x:v>
      </x:c>
      <x:c r="I2771" t="str">
        <x:v>1-3 years</x:v>
      </x:c>
      <x:c r="J2771" t="str">
        <x:v>OWN</x:v>
      </x:c>
      <x:c r="K2771" t="str">
        <x:v>debt_consolidation</x:v>
      </x:c>
      <x:c r="L2771" t="n">
        <x:v>0</x:v>
      </x:c>
      <x:c r="M2771" t="n">
        <x:v>0</x:v>
      </x:c>
      <x:c r="N2771" t="str">
        <x:v>Fully Paid</x:v>
      </x:c>
      <x:c r="O2771" t="str">
        <x:f>IF(D2771="","Unknown",IF(D2771&lt;25000,"&lt;$25k",IF(D2771&lt;50000,"$25k-$50k",IF(D2771&lt;75000,"$50k-$75k",IF(D2771&lt;100000,"$75k-$100k","$100k+")))))</x:f>
        <x:v>&lt;$25k</x:v>
      </x:c>
      <x:c r="P2771" t="str">
        <x:f>IF(E2771="","Unknown",IF(E2771&lt;10,"&lt;10",IF(E2771&lt;20,"10-&lt;20",IF(E2771&lt;25,"20-&lt;25",IF(E2771&lt;35,"25-&lt;35","35+")))))</x:f>
        <x:v>35+</x:v>
      </x:c>
    </x:row>
    <x:row r="2772">
      <x:c r="A2772" t="str">
        <x:v>SYN0002771</x:v>
      </x:c>
      <x:c r="B2772" s="12" t="n">
        <x:v>43195</x:v>
      </x:c>
      <x:c r="C2772" s="18" t="n">
        <x:v>10713</x:v>
      </x:c>
      <x:c r="D2772" s="18" t="n">
        <x:v>24396</x:v>
      </x:c>
      <x:c r="E2772" s="18" t="n">
        <x:v>22.69</x:v>
      </x:c>
      <x:c r="F2772" s="18" t="n">
        <x:v>10.62</x:v>
      </x:c>
      <x:c r="G2772" t="n">
        <x:v>36</x:v>
      </x:c>
      <x:c r="H2772" t="str">
        <x:v>C</x:v>
      </x:c>
      <x:c r="I2772" t="str">
        <x:v>4-6 years</x:v>
      </x:c>
      <x:c r="J2772" t="str">
        <x:v>MORTGAGE</x:v>
      </x:c>
      <x:c r="K2772" t="str">
        <x:v>debt_consolidation</x:v>
      </x:c>
      <x:c r="L2772" t="n">
        <x:v>2</x:v>
      </x:c>
      <x:c r="M2772" t="n">
        <x:v>0</x:v>
      </x:c>
      <x:c r="N2772" t="str">
        <x:v>Fully Paid</x:v>
      </x:c>
      <x:c r="O2772" t="str">
        <x:f>IF(D2772="","Unknown",IF(D2772&lt;25000,"&lt;$25k",IF(D2772&lt;50000,"$25k-$50k",IF(D2772&lt;75000,"$50k-$75k",IF(D2772&lt;100000,"$75k-$100k","$100k+")))))</x:f>
        <x:v>&lt;$25k</x:v>
      </x:c>
      <x:c r="P2772" t="str">
        <x:f>IF(E2772="","Unknown",IF(E2772&lt;10,"&lt;10",IF(E2772&lt;20,"10-&lt;20",IF(E2772&lt;25,"20-&lt;25",IF(E2772&lt;35,"25-&lt;35","35+")))))</x:f>
        <x:v>20-&lt;25</x:v>
      </x:c>
    </x:row>
    <x:row r="2773">
      <x:c r="A2773" t="str">
        <x:v>SYN0002772</x:v>
      </x:c>
      <x:c r="B2773" s="12" t="n">
        <x:v>41575</x:v>
      </x:c>
      <x:c r="C2773" s="18" t="n">
        <x:v>5687</x:v>
      </x:c>
      <x:c r="D2773" s="18" t="n">
        <x:v>22644</x:v>
      </x:c>
      <x:c r="E2773" s="18" t="n">
        <x:v>12.85</x:v>
      </x:c>
      <x:c r="F2773" s="18" t="n">
        <x:v>15.79</x:v>
      </x:c>
      <x:c r="G2773" t="n">
        <x:v>36</x:v>
      </x:c>
      <x:c r="H2773" t="str">
        <x:v>E</x:v>
      </x:c>
      <x:c r="I2773" t="str">
        <x:v>4-6 years</x:v>
      </x:c>
      <x:c r="J2773" t="str">
        <x:v>MORTGAGE</x:v>
      </x:c>
      <x:c r="K2773" t="str">
        <x:v>debt_consolidation</x:v>
      </x:c>
      <x:c r="L2773" t="n">
        <x:v>0</x:v>
      </x:c>
      <x:c r="M2773" t="n">
        <x:v>0</x:v>
      </x:c>
      <x:c r="N2773" t="str">
        <x:v>Fully Paid</x:v>
      </x:c>
      <x:c r="O2773" t="str">
        <x:f>IF(D2773="","Unknown",IF(D2773&lt;25000,"&lt;$25k",IF(D2773&lt;50000,"$25k-$50k",IF(D2773&lt;75000,"$50k-$75k",IF(D2773&lt;100000,"$75k-$100k","$100k+")))))</x:f>
        <x:v>&lt;$25k</x:v>
      </x:c>
      <x:c r="P2773" t="str">
        <x:f>IF(E2773="","Unknown",IF(E2773&lt;10,"&lt;10",IF(E2773&lt;20,"10-&lt;20",IF(E2773&lt;25,"20-&lt;25",IF(E2773&lt;35,"25-&lt;35","35+")))))</x:f>
        <x:v>10-&lt;20</x:v>
      </x:c>
    </x:row>
    <x:row r="2774">
      <x:c r="A2774" t="str">
        <x:v>SYN0002773</x:v>
      </x:c>
      <x:c r="B2774" s="12" t="n">
        <x:v>42175</x:v>
      </x:c>
      <x:c r="C2774" s="18" t="n">
        <x:v>23348</x:v>
      </x:c>
      <x:c r="D2774" s="18" t="n">
        <x:v>45647</x:v>
      </x:c>
      <x:c r="E2774" s="18" t="n">
        <x:v>9.51</x:v>
      </x:c>
      <x:c r="F2774" s="18" t="n">
        <x:v>20.17</x:v>
      </x:c>
      <x:c r="G2774" t="n">
        <x:v>60</x:v>
      </x:c>
      <x:c r="H2774" t="str">
        <x:v>E</x:v>
      </x:c>
      <x:c r="I2774" t="str">
        <x:v>1-3 years</x:v>
      </x:c>
      <x:c r="J2774" t="str">
        <x:v>RENT</x:v>
      </x:c>
      <x:c r="K2774" t="str">
        <x:v>debt_consolidation</x:v>
      </x:c>
      <x:c r="L2774" t="n">
        <x:v>0</x:v>
      </x:c>
      <x:c r="M2774" t="n">
        <x:v>0</x:v>
      </x:c>
      <x:c r="N2774" t="str">
        <x:v>Fully Paid</x:v>
      </x:c>
      <x:c r="O2774" t="str">
        <x:f>IF(D2774="","Unknown",IF(D2774&lt;25000,"&lt;$25k",IF(D2774&lt;50000,"$25k-$50k",IF(D2774&lt;75000,"$50k-$75k",IF(D2774&lt;100000,"$75k-$100k","$100k+")))))</x:f>
        <x:v>$25k-$50k</x:v>
      </x:c>
      <x:c r="P2774" t="str">
        <x:f>IF(E2774="","Unknown",IF(E2774&lt;10,"&lt;10",IF(E2774&lt;20,"10-&lt;20",IF(E2774&lt;25,"20-&lt;25",IF(E2774&lt;35,"25-&lt;35","35+")))))</x:f>
        <x:v>&lt;10</x:v>
      </x:c>
    </x:row>
    <x:row r="2775">
      <x:c r="A2775" t="str">
        <x:v>SYN0002774</x:v>
      </x:c>
      <x:c r="B2775" s="12" t="n">
        <x:v>42025</x:v>
      </x:c>
      <x:c r="C2775" s="18" t="n">
        <x:v>13867</x:v>
      </x:c>
      <x:c r="D2775" s="18" t="n">
        <x:v>77654</x:v>
      </x:c>
      <x:c r="E2775" s="18" t="n">
        <x:v>18.46</x:v>
      </x:c>
      <x:c r="F2775" s="18" t="n">
        <x:v>5</x:v>
      </x:c>
      <x:c r="G2775" t="n">
        <x:v>36</x:v>
      </x:c>
      <x:c r="H2775" t="str">
        <x:v>A</x:v>
      </x:c>
      <x:c r="I2775" t="str">
        <x:v>10+ years</x:v>
      </x:c>
      <x:c r="J2775" t="str">
        <x:v>RENT</x:v>
      </x:c>
      <x:c r="K2775" t="str">
        <x:v>home_improvement</x:v>
      </x:c>
      <x:c r="L2775" t="n">
        <x:v>1</x:v>
      </x:c>
      <x:c r="M2775" t="n">
        <x:v>0</x:v>
      </x:c>
      <x:c r="N2775" t="str">
        <x:v>Fully Paid</x:v>
      </x:c>
      <x:c r="O2775" t="str">
        <x:f>IF(D2775="","Unknown",IF(D2775&lt;25000,"&lt;$25k",IF(D2775&lt;50000,"$25k-$50k",IF(D2775&lt;75000,"$50k-$75k",IF(D2775&lt;100000,"$75k-$100k","$100k+")))))</x:f>
        <x:v>$75k-$100k</x:v>
      </x:c>
      <x:c r="P2775" t="str">
        <x:f>IF(E2775="","Unknown",IF(E2775&lt;10,"&lt;10",IF(E2775&lt;20,"10-&lt;20",IF(E2775&lt;25,"20-&lt;25",IF(E2775&lt;35,"25-&lt;35","35+")))))</x:f>
        <x:v>10-&lt;20</x:v>
      </x:c>
    </x:row>
    <x:row r="2776">
      <x:c r="A2776" t="str">
        <x:v>SYN0002775</x:v>
      </x:c>
      <x:c r="B2776" s="12" t="n">
        <x:v>42505</x:v>
      </x:c>
      <x:c r="C2776" s="18" t="n">
        <x:v>12829</x:v>
      </x:c>
      <x:c r="D2776" s="18" t="n">
        <x:v>52555</x:v>
      </x:c>
      <x:c r="E2776" s="18" t="n">
        <x:v>23.01</x:v>
      </x:c>
      <x:c r="F2776" s="18" t="n">
        <x:v>24.05</x:v>
      </x:c>
      <x:c r="G2776" t="n">
        <x:v>36</x:v>
      </x:c>
      <x:c r="H2776" t="str">
        <x:v>F</x:v>
      </x:c>
      <x:c r="I2776" t="str">
        <x:v>7-9 years</x:v>
      </x:c>
      <x:c r="J2776" t="str">
        <x:v>MORTGAGE</x:v>
      </x:c>
      <x:c r="K2776" t="str">
        <x:v>debt_consolidation</x:v>
      </x:c>
      <x:c r="L2776" t="n">
        <x:v>0</x:v>
      </x:c>
      <x:c r="M2776" t="n">
        <x:v>0</x:v>
      </x:c>
      <x:c r="N2776" t="str">
        <x:v>Fully Paid</x:v>
      </x:c>
      <x:c r="O2776" t="str">
        <x:f>IF(D2776="","Unknown",IF(D2776&lt;25000,"&lt;$25k",IF(D2776&lt;50000,"$25k-$50k",IF(D2776&lt;75000,"$50k-$75k",IF(D2776&lt;100000,"$75k-$100k","$100k+")))))</x:f>
        <x:v>$50k-$75k</x:v>
      </x:c>
      <x:c r="P2776" t="str">
        <x:f>IF(E2776="","Unknown",IF(E2776&lt;10,"&lt;10",IF(E2776&lt;20,"10-&lt;20",IF(E2776&lt;25,"20-&lt;25",IF(E2776&lt;35,"25-&lt;35","35+")))))</x:f>
        <x:v>20-&lt;25</x:v>
      </x:c>
    </x:row>
    <x:row r="2777">
      <x:c r="A2777" t="str">
        <x:v>SYN0002776</x:v>
      </x:c>
      <x:c r="B2777" s="12" t="n">
        <x:v>41815</x:v>
      </x:c>
      <x:c r="C2777" s="18" t="n">
        <x:v>11180</x:v>
      </x:c>
      <x:c r="D2777" s="18" t="n">
        <x:v>50268</x:v>
      </x:c>
      <x:c r="E2777" s="18" t="n">
        <x:v>31.7</x:v>
      </x:c>
      <x:c r="F2777" s="18" t="n">
        <x:v>17.49</x:v>
      </x:c>
      <x:c r="G2777" t="n">
        <x:v>60</x:v>
      </x:c>
      <x:c r="H2777" t="str">
        <x:v>E</x:v>
      </x:c>
      <x:c r="I2777" t="str">
        <x:v>1-3 years</x:v>
      </x:c>
      <x:c r="J2777" t="str">
        <x:v>RENT</x:v>
      </x:c>
      <x:c r="K2777" t="str">
        <x:v>home_improvement</x:v>
      </x:c>
      <x:c r="L2777" t="n">
        <x:v>1</x:v>
      </x:c>
      <x:c r="M2777" t="n">
        <x:v>0</x:v>
      </x:c>
      <x:c r="N2777" t="str">
        <x:v>Fully Paid</x:v>
      </x:c>
      <x:c r="O2777" t="str">
        <x:f>IF(D2777="","Unknown",IF(D2777&lt;25000,"&lt;$25k",IF(D2777&lt;50000,"$25k-$50k",IF(D2777&lt;75000,"$50k-$75k",IF(D2777&lt;100000,"$75k-$100k","$100k+")))))</x:f>
        <x:v>$50k-$75k</x:v>
      </x:c>
      <x:c r="P2777" t="str">
        <x:f>IF(E2777="","Unknown",IF(E2777&lt;10,"&lt;10",IF(E2777&lt;20,"10-&lt;20",IF(E2777&lt;25,"20-&lt;25",IF(E2777&lt;35,"25-&lt;35","35+")))))</x:f>
        <x:v>25-&lt;35</x:v>
      </x:c>
    </x:row>
    <x:row r="2778">
      <x:c r="A2778" t="str">
        <x:v>SYN0002777</x:v>
      </x:c>
      <x:c r="B2778" s="12" t="n">
        <x:v>43105</x:v>
      </x:c>
      <x:c r="C2778" s="18" t="n">
        <x:v>7251</x:v>
      </x:c>
      <x:c r="D2778" s="18" t="n">
        <x:v>58862</x:v>
      </x:c>
      <x:c r="E2778" s="18" t="n">
        <x:v>19.18</x:v>
      </x:c>
      <x:c r="F2778" s="18" t="n">
        <x:v>16.44</x:v>
      </x:c>
      <x:c r="G2778" t="n">
        <x:v>36</x:v>
      </x:c>
      <x:c r="H2778" t="str">
        <x:v>D</x:v>
      </x:c>
      <x:c r="I2778" t="str">
        <x:v>1-3 years</x:v>
      </x:c>
      <x:c r="J2778" t="str">
        <x:v>MORTGAGE</x:v>
      </x:c>
      <x:c r="K2778" t="str">
        <x:v>debt_consolidation</x:v>
      </x:c>
      <x:c r="L2778" t="n">
        <x:v>1</x:v>
      </x:c>
      <x:c r="M2778" t="n">
        <x:v>1</x:v>
      </x:c>
      <x:c r="N2778" t="str">
        <x:v>Charged Off</x:v>
      </x:c>
      <x:c r="O2778" t="str">
        <x:f>IF(D2778="","Unknown",IF(D2778&lt;25000,"&lt;$25k",IF(D2778&lt;50000,"$25k-$50k",IF(D2778&lt;75000,"$50k-$75k",IF(D2778&lt;100000,"$75k-$100k","$100k+")))))</x:f>
        <x:v>$50k-$75k</x:v>
      </x:c>
      <x:c r="P2778" t="str">
        <x:f>IF(E2778="","Unknown",IF(E2778&lt;10,"&lt;10",IF(E2778&lt;20,"10-&lt;20",IF(E2778&lt;25,"20-&lt;25",IF(E2778&lt;35,"25-&lt;35","35+")))))</x:f>
        <x:v>10-&lt;20</x:v>
      </x:c>
    </x:row>
    <x:row r="2779">
      <x:c r="A2779" t="str">
        <x:v>SYN0002778</x:v>
      </x:c>
      <x:c r="B2779" s="12" t="n">
        <x:v>41935</x:v>
      </x:c>
      <x:c r="C2779" s="18" t="n">
        <x:v>39822</x:v>
      </x:c>
      <x:c r="D2779" s="18" t="n">
        <x:v>18793</x:v>
      </x:c>
      <x:c r="E2779" s="18" t="n">
        <x:v>17.25</x:v>
      </x:c>
      <x:c r="F2779" s="18" t="n">
        <x:v>11.09</x:v>
      </x:c>
      <x:c r="G2779" t="n">
        <x:v>36</x:v>
      </x:c>
      <x:c r="H2779" t="str">
        <x:v>C</x:v>
      </x:c>
      <x:c r="I2779" t="str">
        <x:v>1-3 years</x:v>
      </x:c>
      <x:c r="J2779" t="str">
        <x:v>RENT</x:v>
      </x:c>
      <x:c r="K2779" t="str">
        <x:v>debt_consolidation</x:v>
      </x:c>
      <x:c r="L2779" t="n">
        <x:v>2</x:v>
      </x:c>
      <x:c r="M2779" t="n">
        <x:v>0</x:v>
      </x:c>
      <x:c r="N2779" t="str">
        <x:v>Fully Paid</x:v>
      </x:c>
      <x:c r="O2779" t="str">
        <x:f>IF(D2779="","Unknown",IF(D2779&lt;25000,"&lt;$25k",IF(D2779&lt;50000,"$25k-$50k",IF(D2779&lt;75000,"$50k-$75k",IF(D2779&lt;100000,"$75k-$100k","$100k+")))))</x:f>
        <x:v>&lt;$25k</x:v>
      </x:c>
      <x:c r="P2779" t="str">
        <x:f>IF(E2779="","Unknown",IF(E2779&lt;10,"&lt;10",IF(E2779&lt;20,"10-&lt;20",IF(E2779&lt;25,"20-&lt;25",IF(E2779&lt;35,"25-&lt;35","35+")))))</x:f>
        <x:v>10-&lt;20</x:v>
      </x:c>
    </x:row>
    <x:row r="2780">
      <x:c r="A2780" t="str">
        <x:v>SYN0002779</x:v>
      </x:c>
      <x:c r="B2780" s="12" t="n">
        <x:v>42775</x:v>
      </x:c>
      <x:c r="C2780" s="18" t="n">
        <x:v>25567</x:v>
      </x:c>
      <x:c r="D2780" s="18" t="n">
        <x:v>33806</x:v>
      </x:c>
      <x:c r="E2780" s="18" t="n">
        <x:v>21.59</x:v>
      </x:c>
      <x:c r="F2780" s="18" t="n">
        <x:v>11.38</x:v>
      </x:c>
      <x:c r="G2780" t="n">
        <x:v>60</x:v>
      </x:c>
      <x:c r="H2780" t="str">
        <x:v>A</x:v>
      </x:c>
      <x:c r="I2780" t="str">
        <x:v>4-6 years</x:v>
      </x:c>
      <x:c r="J2780" t="str">
        <x:v>OWN</x:v>
      </x:c>
      <x:c r="K2780" t="str">
        <x:v>home_improvement</x:v>
      </x:c>
      <x:c r="L2780" t="n">
        <x:v>0</x:v>
      </x:c>
      <x:c r="M2780" t="n">
        <x:v>0</x:v>
      </x:c>
      <x:c r="N2780" t="str">
        <x:v>Fully Paid</x:v>
      </x:c>
      <x:c r="O2780" t="str">
        <x:f>IF(D2780="","Unknown",IF(D2780&lt;25000,"&lt;$25k",IF(D2780&lt;50000,"$25k-$50k",IF(D2780&lt;75000,"$50k-$75k",IF(D2780&lt;100000,"$75k-$100k","$100k+")))))</x:f>
        <x:v>$25k-$50k</x:v>
      </x:c>
      <x:c r="P2780" t="str">
        <x:f>IF(E2780="","Unknown",IF(E2780&lt;10,"&lt;10",IF(E2780&lt;20,"10-&lt;20",IF(E2780&lt;25,"20-&lt;25",IF(E2780&lt;35,"25-&lt;35","35+")))))</x:f>
        <x:v>20-&lt;25</x:v>
      </x:c>
    </x:row>
    <x:row r="2781">
      <x:c r="A2781" t="str">
        <x:v>SYN0002780</x:v>
      </x:c>
      <x:c r="B2781" s="12" t="n">
        <x:v>41275</x:v>
      </x:c>
      <x:c r="C2781" s="18" t="n">
        <x:v>15227</x:v>
      </x:c>
      <x:c r="D2781" s="18" t="n">
        <x:v>20784</x:v>
      </x:c>
      <x:c r="E2781" s="18" t="n">
        <x:v>30.76</x:v>
      </x:c>
      <x:c r="F2781" s="18" t="n">
        <x:v>6.32</x:v>
      </x:c>
      <x:c r="G2781" t="n">
        <x:v>60</x:v>
      </x:c>
      <x:c r="H2781" t="str">
        <x:v>B</x:v>
      </x:c>
      <x:c r="I2781" t="str">
        <x:v>10+ years</x:v>
      </x:c>
      <x:c r="J2781" t="str">
        <x:v>MORTGAGE</x:v>
      </x:c>
      <x:c r="K2781" t="str">
        <x:v>debt_consolidation</x:v>
      </x:c>
      <x:c r="L2781" t="n">
        <x:v>0</x:v>
      </x:c>
      <x:c r="M2781" t="n">
        <x:v>0</x:v>
      </x:c>
      <x:c r="N2781" t="str">
        <x:v>Fully Paid</x:v>
      </x:c>
      <x:c r="O2781" t="str">
        <x:f>IF(D2781="","Unknown",IF(D2781&lt;25000,"&lt;$25k",IF(D2781&lt;50000,"$25k-$50k",IF(D2781&lt;75000,"$50k-$75k",IF(D2781&lt;100000,"$75k-$100k","$100k+")))))</x:f>
        <x:v>&lt;$25k</x:v>
      </x:c>
      <x:c r="P2781" t="str">
        <x:f>IF(E2781="","Unknown",IF(E2781&lt;10,"&lt;10",IF(E2781&lt;20,"10-&lt;20",IF(E2781&lt;25,"20-&lt;25",IF(E2781&lt;35,"25-&lt;35","35+")))))</x:f>
        <x:v>25-&lt;35</x:v>
      </x:c>
    </x:row>
    <x:row r="2782">
      <x:c r="A2782" t="str">
        <x:v>SYN0002781</x:v>
      </x:c>
      <x:c r="B2782" s="12" t="n">
        <x:v>43255</x:v>
      </x:c>
      <x:c r="C2782" s="18" t="n">
        <x:v>13775</x:v>
      </x:c>
      <x:c r="D2782" s="18" t="n">
        <x:v>131597</x:v>
      </x:c>
      <x:c r="E2782" s="18" t="n">
        <x:v>28.56</x:v>
      </x:c>
      <x:c r="F2782" s="18" t="n">
        <x:v>13.02</x:v>
      </x:c>
      <x:c r="G2782" t="n">
        <x:v>36</x:v>
      </x:c>
      <x:c r="H2782" t="str">
        <x:v>D</x:v>
      </x:c>
      <x:c r="I2782" t="str">
        <x:v>&lt;1 year</x:v>
      </x:c>
      <x:c r="J2782" t="str">
        <x:v>RENT</x:v>
      </x:c>
      <x:c r="K2782" t="str">
        <x:v>debt_consolidation</x:v>
      </x:c>
      <x:c r="L2782" t="n">
        <x:v>0</x:v>
      </x:c>
      <x:c r="M2782" t="n">
        <x:v>0</x:v>
      </x:c>
      <x:c r="N2782" t="str">
        <x:v>Fully Paid</x:v>
      </x:c>
      <x:c r="O2782" t="str">
        <x:f>IF(D2782="","Unknown",IF(D2782&lt;25000,"&lt;$25k",IF(D2782&lt;50000,"$25k-$50k",IF(D2782&lt;75000,"$50k-$75k",IF(D2782&lt;100000,"$75k-$100k","$100k+")))))</x:f>
        <x:v>$100k+</x:v>
      </x:c>
      <x:c r="P2782" t="str">
        <x:f>IF(E2782="","Unknown",IF(E2782&lt;10,"&lt;10",IF(E2782&lt;20,"10-&lt;20",IF(E2782&lt;25,"20-&lt;25",IF(E2782&lt;35,"25-&lt;35","35+")))))</x:f>
        <x:v>25-&lt;35</x:v>
      </x:c>
    </x:row>
    <x:row r="2783">
      <x:c r="A2783" t="str">
        <x:v>SYN0002782</x:v>
      </x:c>
      <x:c r="B2783" s="12" t="n">
        <x:v>41785</x:v>
      </x:c>
      <x:c r="C2783" s="18" t="n">
        <x:v>10622</x:v>
      </x:c>
      <x:c r="D2783" s="18" t="n">
        <x:v>109520</x:v>
      </x:c>
      <x:c r="E2783" s="18" t="n">
        <x:v>22.99</x:v>
      </x:c>
      <x:c r="F2783" s="18" t="n">
        <x:v>7.08</x:v>
      </x:c>
      <x:c r="G2783" t="n">
        <x:v>36</x:v>
      </x:c>
      <x:c r="H2783" t="str">
        <x:v>B</x:v>
      </x:c>
      <x:c r="I2783" t="str">
        <x:v>4-6 years</x:v>
      </x:c>
      <x:c r="J2783" t="str">
        <x:v>OWN</x:v>
      </x:c>
      <x:c r="K2783" t="str">
        <x:v>debt_consolidation</x:v>
      </x:c>
      <x:c r="L2783" t="n">
        <x:v>0</x:v>
      </x:c>
      <x:c r="M2783" t="n">
        <x:v>0</x:v>
      </x:c>
      <x:c r="N2783" t="str">
        <x:v>Fully Paid</x:v>
      </x:c>
      <x:c r="O2783" t="str">
        <x:f>IF(D2783="","Unknown",IF(D2783&lt;25000,"&lt;$25k",IF(D2783&lt;50000,"$25k-$50k",IF(D2783&lt;75000,"$50k-$75k",IF(D2783&lt;100000,"$75k-$100k","$100k+")))))</x:f>
        <x:v>$100k+</x:v>
      </x:c>
      <x:c r="P2783" t="str">
        <x:f>IF(E2783="","Unknown",IF(E2783&lt;10,"&lt;10",IF(E2783&lt;20,"10-&lt;20",IF(E2783&lt;25,"20-&lt;25",IF(E2783&lt;35,"25-&lt;35","35+")))))</x:f>
        <x:v>20-&lt;25</x:v>
      </x:c>
    </x:row>
    <x:row r="2784">
      <x:c r="A2784" t="str">
        <x:v>SYN0002783</x:v>
      </x:c>
      <x:c r="B2784" s="12" t="n">
        <x:v>41425</x:v>
      </x:c>
      <x:c r="C2784" s="18" t="n">
        <x:v>13288</x:v>
      </x:c>
      <x:c r="D2784" s="18" t="n">
        <x:v>17762</x:v>
      </x:c>
      <x:c r="E2784" s="18" t="n">
        <x:v>31.88</x:v>
      </x:c>
      <x:c r="F2784" s="18" t="n">
        <x:v>15.86</x:v>
      </x:c>
      <x:c r="G2784" t="n">
        <x:v>36</x:v>
      </x:c>
      <x:c r="H2784" t="str">
        <x:v>D</x:v>
      </x:c>
      <x:c r="I2784" t="str">
        <x:v>10+ years</x:v>
      </x:c>
      <x:c r="J2784" t="str">
        <x:v>RENT</x:v>
      </x:c>
      <x:c r="K2784" t="str">
        <x:v>debt_consolidation</x:v>
      </x:c>
      <x:c r="L2784" t="n">
        <x:v>0</x:v>
      </x:c>
      <x:c r="M2784" t="n">
        <x:v>0</x:v>
      </x:c>
      <x:c r="N2784" t="str">
        <x:v>Fully Paid</x:v>
      </x:c>
      <x:c r="O2784" t="str">
        <x:f>IF(D2784="","Unknown",IF(D2784&lt;25000,"&lt;$25k",IF(D2784&lt;50000,"$25k-$50k",IF(D2784&lt;75000,"$50k-$75k",IF(D2784&lt;100000,"$75k-$100k","$100k+")))))</x:f>
        <x:v>&lt;$25k</x:v>
      </x:c>
      <x:c r="P2784" t="str">
        <x:f>IF(E2784="","Unknown",IF(E2784&lt;10,"&lt;10",IF(E2784&lt;20,"10-&lt;20",IF(E2784&lt;25,"20-&lt;25",IF(E2784&lt;35,"25-&lt;35","35+")))))</x:f>
        <x:v>25-&lt;35</x:v>
      </x:c>
    </x:row>
    <x:row r="2785">
      <x:c r="A2785" t="str">
        <x:v>SYN0002784</x:v>
      </x:c>
      <x:c r="B2785" s="12" t="n">
        <x:v>42475</x:v>
      </x:c>
      <x:c r="C2785" s="18" t="n">
        <x:v>24870</x:v>
      </x:c>
      <x:c r="D2785" s="18" t="n">
        <x:v>28280</x:v>
      </x:c>
      <x:c r="E2785" s="18" t="n">
        <x:v>16.61</x:v>
      </x:c>
      <x:c r="F2785" s="18" t="n">
        <x:v>25.04</x:v>
      </x:c>
      <x:c r="G2785" t="n">
        <x:v>60</x:v>
      </x:c>
      <x:c r="H2785" t="str">
        <x:v>G</x:v>
      </x:c>
      <x:c r="I2785" t="str">
        <x:v>4-6 years</x:v>
      </x:c>
      <x:c r="J2785" t="str">
        <x:v>MORTGAGE</x:v>
      </x:c>
      <x:c r="K2785" t="str">
        <x:v>debt_consolidation</x:v>
      </x:c>
      <x:c r="L2785" t="n">
        <x:v>1</x:v>
      </x:c>
      <x:c r="M2785" t="n">
        <x:v>0</x:v>
      </x:c>
      <x:c r="N2785" t="str">
        <x:v>Fully Paid</x:v>
      </x:c>
      <x:c r="O2785" t="str">
        <x:f>IF(D2785="","Unknown",IF(D2785&lt;25000,"&lt;$25k",IF(D2785&lt;50000,"$25k-$50k",IF(D2785&lt;75000,"$50k-$75k",IF(D2785&lt;100000,"$75k-$100k","$100k+")))))</x:f>
        <x:v>$25k-$50k</x:v>
      </x:c>
      <x:c r="P2785" t="str">
        <x:f>IF(E2785="","Unknown",IF(E2785&lt;10,"&lt;10",IF(E2785&lt;20,"10-&lt;20",IF(E2785&lt;25,"20-&lt;25",IF(E2785&lt;35,"25-&lt;35","35+")))))</x:f>
        <x:v>10-&lt;20</x:v>
      </x:c>
    </x:row>
    <x:row r="2786">
      <x:c r="A2786" t="str">
        <x:v>SYN0002785</x:v>
      </x:c>
      <x:c r="B2786" s="12" t="n">
        <x:v>42805</x:v>
      </x:c>
      <x:c r="C2786" s="18" t="n">
        <x:v>23294</x:v>
      </x:c>
      <x:c r="D2786" s="18" t="n">
        <x:v>27953</x:v>
      </x:c>
      <x:c r="E2786" s="18" t="n">
        <x:v>20.03</x:v>
      </x:c>
      <x:c r="F2786" s="18" t="n">
        <x:v>6.53</x:v>
      </x:c>
      <x:c r="G2786" t="n">
        <x:v>36</x:v>
      </x:c>
      <x:c r="H2786" t="str">
        <x:v>B</x:v>
      </x:c>
      <x:c r="I2786" t="str">
        <x:v>1-3 years</x:v>
      </x:c>
      <x:c r="J2786" t="str">
        <x:v>OWN</x:v>
      </x:c>
      <x:c r="K2786" t="str">
        <x:v>debt_consolidation</x:v>
      </x:c>
      <x:c r="L2786" t="n">
        <x:v>0</x:v>
      </x:c>
      <x:c r="M2786" t="n">
        <x:v>0</x:v>
      </x:c>
      <x:c r="N2786" t="str">
        <x:v>Fully Paid</x:v>
      </x:c>
      <x:c r="O2786" t="str">
        <x:f>IF(D2786="","Unknown",IF(D2786&lt;25000,"&lt;$25k",IF(D2786&lt;50000,"$25k-$50k",IF(D2786&lt;75000,"$50k-$75k",IF(D2786&lt;100000,"$75k-$100k","$100k+")))))</x:f>
        <x:v>$25k-$50k</x:v>
      </x:c>
      <x:c r="P2786" t="str">
        <x:f>IF(E2786="","Unknown",IF(E2786&lt;10,"&lt;10",IF(E2786&lt;20,"10-&lt;20",IF(E2786&lt;25,"20-&lt;25",IF(E2786&lt;35,"25-&lt;35","35+")))))</x:f>
        <x:v>20-&lt;25</x:v>
      </x:c>
    </x:row>
    <x:row r="2787">
      <x:c r="A2787" t="str">
        <x:v>SYN0002786</x:v>
      </x:c>
      <x:c r="B2787" s="12" t="n">
        <x:v>42655</x:v>
      </x:c>
      <x:c r="C2787" s="18" t="n">
        <x:v>7416</x:v>
      </x:c>
      <x:c r="D2787" s="18" t="n">
        <x:v>47272</x:v>
      </x:c>
      <x:c r="E2787" s="18" t="n">
        <x:v>10.71</x:v>
      </x:c>
      <x:c r="F2787" s="18" t="n">
        <x:v>23.62</x:v>
      </x:c>
      <x:c r="G2787" t="n">
        <x:v>60</x:v>
      </x:c>
      <x:c r="H2787" t="str">
        <x:v>F</x:v>
      </x:c>
      <x:c r="I2787" t="str">
        <x:v>7-9 years</x:v>
      </x:c>
      <x:c r="J2787" t="str">
        <x:v>OWN</x:v>
      </x:c>
      <x:c r="K2787" t="str">
        <x:v>credit_card</x:v>
      </x:c>
      <x:c r="L2787" t="n">
        <x:v>2</x:v>
      </x:c>
      <x:c r="M2787" t="n">
        <x:v>0</x:v>
      </x:c>
      <x:c r="N2787" t="str">
        <x:v>Fully Paid</x:v>
      </x:c>
      <x:c r="O2787" t="str">
        <x:f>IF(D2787="","Unknown",IF(D2787&lt;25000,"&lt;$25k",IF(D2787&lt;50000,"$25k-$50k",IF(D2787&lt;75000,"$50k-$75k",IF(D2787&lt;100000,"$75k-$100k","$100k+")))))</x:f>
        <x:v>$25k-$50k</x:v>
      </x:c>
      <x:c r="P2787" t="str">
        <x:f>IF(E2787="","Unknown",IF(E2787&lt;10,"&lt;10",IF(E2787&lt;20,"10-&lt;20",IF(E2787&lt;25,"20-&lt;25",IF(E2787&lt;35,"25-&lt;35","35+")))))</x:f>
        <x:v>10-&lt;20</x:v>
      </x:c>
    </x:row>
    <x:row r="2788">
      <x:c r="A2788" t="str">
        <x:v>SYN0002787</x:v>
      </x:c>
      <x:c r="B2788" s="12" t="n">
        <x:v>42415</x:v>
      </x:c>
      <x:c r="C2788" s="18" t="n">
        <x:v>16235</x:v>
      </x:c>
      <x:c r="D2788" s="18" t="n">
        <x:v>63738</x:v>
      </x:c>
      <x:c r="E2788" s="18" t="n">
        <x:v>31.06</x:v>
      </x:c>
      <x:c r="F2788" s="18" t="n">
        <x:v>13.81</x:v>
      </x:c>
      <x:c r="G2788" t="n">
        <x:v>36</x:v>
      </x:c>
      <x:c r="H2788" t="str">
        <x:v>C</x:v>
      </x:c>
      <x:c r="I2788" t="str">
        <x:v>1-3 years</x:v>
      </x:c>
      <x:c r="J2788" t="str">
        <x:v>RENT</x:v>
      </x:c>
      <x:c r="K2788" t="str">
        <x:v>debt_consolidation</x:v>
      </x:c>
      <x:c r="L2788" t="n">
        <x:v>0</x:v>
      </x:c>
      <x:c r="M2788" t="n">
        <x:v>0</x:v>
      </x:c>
      <x:c r="N2788" t="str">
        <x:v>Fully Paid</x:v>
      </x:c>
      <x:c r="O2788" t="str">
        <x:f>IF(D2788="","Unknown",IF(D2788&lt;25000,"&lt;$25k",IF(D2788&lt;50000,"$25k-$50k",IF(D2788&lt;75000,"$50k-$75k",IF(D2788&lt;100000,"$75k-$100k","$100k+")))))</x:f>
        <x:v>$50k-$75k</x:v>
      </x:c>
      <x:c r="P2788" t="str">
        <x:f>IF(E2788="","Unknown",IF(E2788&lt;10,"&lt;10",IF(E2788&lt;20,"10-&lt;20",IF(E2788&lt;25,"20-&lt;25",IF(E2788&lt;35,"25-&lt;35","35+")))))</x:f>
        <x:v>25-&lt;35</x:v>
      </x:c>
    </x:row>
    <x:row r="2789">
      <x:c r="A2789" t="str">
        <x:v>SYN0002788</x:v>
      </x:c>
      <x:c r="B2789" s="12" t="n">
        <x:v>41755</x:v>
      </x:c>
      <x:c r="C2789" s="18" t="n">
        <x:v>6196</x:v>
      </x:c>
      <x:c r="D2789" s="18" t="n">
        <x:v>25233</x:v>
      </x:c>
      <x:c r="E2789" s="18" t="n">
        <x:v>41.58</x:v>
      </x:c>
      <x:c r="F2789" s="18" t="n">
        <x:v>16.3</x:v>
      </x:c>
      <x:c r="G2789" t="n">
        <x:v>60</x:v>
      </x:c>
      <x:c r="H2789" t="str">
        <x:v>D</x:v>
      </x:c>
      <x:c r="I2789" t="str">
        <x:v>4-6 years</x:v>
      </x:c>
      <x:c r="J2789" t="str">
        <x:v>OWN</x:v>
      </x:c>
      <x:c r="K2789" t="str">
        <x:v>debt_consolidation</x:v>
      </x:c>
      <x:c r="L2789" t="n">
        <x:v>0</x:v>
      </x:c>
      <x:c r="M2789" t="n">
        <x:v>0</x:v>
      </x:c>
      <x:c r="N2789" t="str">
        <x:v>Fully Paid</x:v>
      </x:c>
      <x:c r="O2789" t="str">
        <x:f>IF(D2789="","Unknown",IF(D2789&lt;25000,"&lt;$25k",IF(D2789&lt;50000,"$25k-$50k",IF(D2789&lt;75000,"$50k-$75k",IF(D2789&lt;100000,"$75k-$100k","$100k+")))))</x:f>
        <x:v>$25k-$50k</x:v>
      </x:c>
      <x:c r="P2789" t="str">
        <x:f>IF(E2789="","Unknown",IF(E2789&lt;10,"&lt;10",IF(E2789&lt;20,"10-&lt;20",IF(E2789&lt;25,"20-&lt;25",IF(E2789&lt;35,"25-&lt;35","35+")))))</x:f>
        <x:v>35+</x:v>
      </x:c>
    </x:row>
    <x:row r="2790">
      <x:c r="A2790" t="str">
        <x:v>SYN0002789</x:v>
      </x:c>
      <x:c r="B2790" s="12" t="n">
        <x:v>41995</x:v>
      </x:c>
      <x:c r="C2790" s="18" t="n">
        <x:v>11144</x:v>
      </x:c>
      <x:c r="D2790" s="18" t="n">
        <x:v>174779</x:v>
      </x:c>
      <x:c r="E2790" s="18" t="n">
        <x:v>17.92</x:v>
      </x:c>
      <x:c r="F2790" s="18" t="n">
        <x:v>9.08</x:v>
      </x:c>
      <x:c r="G2790" t="n">
        <x:v>36</x:v>
      </x:c>
      <x:c r="H2790" t="str">
        <x:v>C</x:v>
      </x:c>
      <x:c r="I2790" t="str">
        <x:v>10+ years</x:v>
      </x:c>
      <x:c r="J2790" t="str">
        <x:v>RENT</x:v>
      </x:c>
      <x:c r="K2790" t="str">
        <x:v>debt_consolidation</x:v>
      </x:c>
      <x:c r="L2790" t="n">
        <x:v>0</x:v>
      </x:c>
      <x:c r="M2790" t="n">
        <x:v>0</x:v>
      </x:c>
      <x:c r="N2790" t="str">
        <x:v>Fully Paid</x:v>
      </x:c>
      <x:c r="O2790" t="str">
        <x:f>IF(D2790="","Unknown",IF(D2790&lt;25000,"&lt;$25k",IF(D2790&lt;50000,"$25k-$50k",IF(D2790&lt;75000,"$50k-$75k",IF(D2790&lt;100000,"$75k-$100k","$100k+")))))</x:f>
        <x:v>$100k+</x:v>
      </x:c>
      <x:c r="P2790" t="str">
        <x:f>IF(E2790="","Unknown",IF(E2790&lt;10,"&lt;10",IF(E2790&lt;20,"10-&lt;20",IF(E2790&lt;25,"20-&lt;25",IF(E2790&lt;35,"25-&lt;35","35+")))))</x:f>
        <x:v>10-&lt;20</x:v>
      </x:c>
    </x:row>
    <x:row r="2791">
      <x:c r="A2791" t="str">
        <x:v>SYN0002790</x:v>
      </x:c>
      <x:c r="B2791" s="12" t="n">
        <x:v>42205</x:v>
      </x:c>
      <x:c r="C2791" s="18" t="n">
        <x:v>10450</x:v>
      </x:c>
      <x:c r="D2791" s="18" t="n">
        <x:v>41216</x:v>
      </x:c>
      <x:c r="E2791" s="18" t="n">
        <x:v>10.06</x:v>
      </x:c>
      <x:c r="F2791" s="18" t="n">
        <x:v>10.42</x:v>
      </x:c>
      <x:c r="G2791" t="n">
        <x:v>36</x:v>
      </x:c>
      <x:c r="H2791" t="str">
        <x:v>C</x:v>
      </x:c>
      <x:c r="I2791" t="str">
        <x:v>10+ years</x:v>
      </x:c>
      <x:c r="J2791" t="str">
        <x:v>MORTGAGE</x:v>
      </x:c>
      <x:c r="K2791" t="str">
        <x:v>other</x:v>
      </x:c>
      <x:c r="L2791" t="n">
        <x:v>1</x:v>
      </x:c>
      <x:c r="M2791" t="n">
        <x:v>0</x:v>
      </x:c>
      <x:c r="N2791" t="str">
        <x:v>Fully Paid</x:v>
      </x:c>
      <x:c r="O2791" t="str">
        <x:f>IF(D2791="","Unknown",IF(D2791&lt;25000,"&lt;$25k",IF(D2791&lt;50000,"$25k-$50k",IF(D2791&lt;75000,"$50k-$75k",IF(D2791&lt;100000,"$75k-$100k","$100k+")))))</x:f>
        <x:v>$25k-$50k</x:v>
      </x:c>
      <x:c r="P2791" t="str">
        <x:f>IF(E2791="","Unknown",IF(E2791&lt;10,"&lt;10",IF(E2791&lt;20,"10-&lt;20",IF(E2791&lt;25,"20-&lt;25",IF(E2791&lt;35,"25-&lt;35","35+")))))</x:f>
        <x:v>10-&lt;20</x:v>
      </x:c>
    </x:row>
    <x:row r="2792">
      <x:c r="A2792" t="str">
        <x:v>SYN0002791</x:v>
      </x:c>
      <x:c r="B2792" s="12" t="n">
        <x:v>41905</x:v>
      </x:c>
      <x:c r="C2792" s="18" t="n">
        <x:v>11708</x:v>
      </x:c>
      <x:c r="D2792" s="18" t="n">
        <x:v>42640</x:v>
      </x:c>
      <x:c r="E2792" s="18" t="n">
        <x:v>19.73</x:v>
      </x:c>
      <x:c r="F2792" s="18" t="n">
        <x:v>9.46</x:v>
      </x:c>
      <x:c r="G2792" t="n">
        <x:v>36</x:v>
      </x:c>
      <x:c r="H2792" t="str">
        <x:v>C</x:v>
      </x:c>
      <x:c r="I2792" t="str">
        <x:v>4-6 years</x:v>
      </x:c>
      <x:c r="J2792" t="str">
        <x:v>OWN</x:v>
      </x:c>
      <x:c r="K2792" t="str">
        <x:v>other</x:v>
      </x:c>
      <x:c r="L2792" t="n">
        <x:v>1</x:v>
      </x:c>
      <x:c r="M2792" t="n">
        <x:v>0</x:v>
      </x:c>
      <x:c r="N2792" t="str">
        <x:v>Fully Paid</x:v>
      </x:c>
      <x:c r="O2792" t="str">
        <x:f>IF(D2792="","Unknown",IF(D2792&lt;25000,"&lt;$25k",IF(D2792&lt;50000,"$25k-$50k",IF(D2792&lt;75000,"$50k-$75k",IF(D2792&lt;100000,"$75k-$100k","$100k+")))))</x:f>
        <x:v>$25k-$50k</x:v>
      </x:c>
      <x:c r="P2792" t="str">
        <x:f>IF(E2792="","Unknown",IF(E2792&lt;10,"&lt;10",IF(E2792&lt;20,"10-&lt;20",IF(E2792&lt;25,"20-&lt;25",IF(E2792&lt;35,"25-&lt;35","35+")))))</x:f>
        <x:v>10-&lt;20</x:v>
      </x:c>
    </x:row>
    <x:row r="2793">
      <x:c r="A2793" t="str">
        <x:v>SYN0002792</x:v>
      </x:c>
      <x:c r="B2793" s="12" t="n">
        <x:v>41755</x:v>
      </x:c>
      <x:c r="C2793" s="18" t="n">
        <x:v>14787</x:v>
      </x:c>
      <x:c r="D2793" s="18" t="n">
        <x:v>123573</x:v>
      </x:c>
      <x:c r="E2793" s="18" t="n">
        <x:v>12.4</x:v>
      </x:c>
      <x:c r="F2793" s="18" t="n">
        <x:v>6.07</x:v>
      </x:c>
      <x:c r="G2793" t="n">
        <x:v>36</x:v>
      </x:c>
      <x:c r="H2793" t="str">
        <x:v>A</x:v>
      </x:c>
      <x:c r="I2793" t="str">
        <x:v>10+ years</x:v>
      </x:c>
      <x:c r="J2793" t="str">
        <x:v>MORTGAGE</x:v>
      </x:c>
      <x:c r="K2793" t="str">
        <x:v>home_improvement</x:v>
      </x:c>
      <x:c r="L2793" t="n">
        <x:v>0</x:v>
      </x:c>
      <x:c r="M2793" t="n">
        <x:v>0</x:v>
      </x:c>
      <x:c r="N2793" t="str">
        <x:v>Fully Paid</x:v>
      </x:c>
      <x:c r="O2793" t="str">
        <x:f>IF(D2793="","Unknown",IF(D2793&lt;25000,"&lt;$25k",IF(D2793&lt;50000,"$25k-$50k",IF(D2793&lt;75000,"$50k-$75k",IF(D2793&lt;100000,"$75k-$100k","$100k+")))))</x:f>
        <x:v>$100k+</x:v>
      </x:c>
      <x:c r="P2793" t="str">
        <x:f>IF(E2793="","Unknown",IF(E2793&lt;10,"&lt;10",IF(E2793&lt;20,"10-&lt;20",IF(E2793&lt;25,"20-&lt;25",IF(E2793&lt;35,"25-&lt;35","35+")))))</x:f>
        <x:v>10-&lt;20</x:v>
      </x:c>
    </x:row>
    <x:row r="2794">
      <x:c r="A2794" t="str">
        <x:v>SYN0002793</x:v>
      </x:c>
      <x:c r="B2794" s="12" t="n">
        <x:v>41515</x:v>
      </x:c>
      <x:c r="C2794" s="18" t="n">
        <x:v>9861</x:v>
      </x:c>
      <x:c r="D2794" s="18" t="n">
        <x:v>61878</x:v>
      </x:c>
      <x:c r="E2794" s="18" t="n">
        <x:v>18.68</x:v>
      </x:c>
      <x:c r="F2794" s="18" t="n">
        <x:v>10.04</x:v>
      </x:c>
      <x:c r="G2794" t="n">
        <x:v>60</x:v>
      </x:c>
      <x:c r="H2794" t="str">
        <x:v>C</x:v>
      </x:c>
      <x:c r="I2794" t="str">
        <x:v>4-6 years</x:v>
      </x:c>
      <x:c r="J2794" t="str">
        <x:v>OWN</x:v>
      </x:c>
      <x:c r="K2794" t="str">
        <x:v>credit_card</x:v>
      </x:c>
      <x:c r="L2794" t="n">
        <x:v>0</x:v>
      </x:c>
      <x:c r="M2794" t="n">
        <x:v>1</x:v>
      </x:c>
      <x:c r="N2794" t="str">
        <x:v>Charged Off</x:v>
      </x:c>
      <x:c r="O2794" t="str">
        <x:f>IF(D2794="","Unknown",IF(D2794&lt;25000,"&lt;$25k",IF(D2794&lt;50000,"$25k-$50k",IF(D2794&lt;75000,"$50k-$75k",IF(D2794&lt;100000,"$75k-$100k","$100k+")))))</x:f>
        <x:v>$50k-$75k</x:v>
      </x:c>
      <x:c r="P2794" t="str">
        <x:f>IF(E2794="","Unknown",IF(E2794&lt;10,"&lt;10",IF(E2794&lt;20,"10-&lt;20",IF(E2794&lt;25,"20-&lt;25",IF(E2794&lt;35,"25-&lt;35","35+")))))</x:f>
        <x:v>10-&lt;20</x:v>
      </x:c>
    </x:row>
    <x:row r="2795">
      <x:c r="A2795" t="str">
        <x:v>SYN0002794</x:v>
      </x:c>
      <x:c r="B2795" s="12" t="n">
        <x:v>42745</x:v>
      </x:c>
      <x:c r="C2795" s="18" t="n">
        <x:v>7585</x:v>
      </x:c>
      <x:c r="D2795" s="18" t="n">
        <x:v>39089</x:v>
      </x:c>
      <x:c r="E2795" s="18" t="n">
        <x:v>14.67</x:v>
      </x:c>
      <x:c r="F2795" s="18" t="n">
        <x:v>7.78</x:v>
      </x:c>
      <x:c r="G2795" t="n">
        <x:v>60</x:v>
      </x:c>
      <x:c r="H2795" t="str">
        <x:v>C</x:v>
      </x:c>
      <x:c r="I2795" t="str">
        <x:v>7-9 years</x:v>
      </x:c>
      <x:c r="J2795" t="str">
        <x:v>RENT</x:v>
      </x:c>
      <x:c r="K2795" t="str">
        <x:v>major_purchase</x:v>
      </x:c>
      <x:c r="L2795" t="n">
        <x:v>0</x:v>
      </x:c>
      <x:c r="M2795" t="n">
        <x:v>0</x:v>
      </x:c>
      <x:c r="N2795" t="str">
        <x:v>Fully Paid</x:v>
      </x:c>
      <x:c r="O2795" t="str">
        <x:f>IF(D2795="","Unknown",IF(D2795&lt;25000,"&lt;$25k",IF(D2795&lt;50000,"$25k-$50k",IF(D2795&lt;75000,"$50k-$75k",IF(D2795&lt;100000,"$75k-$100k","$100k+")))))</x:f>
        <x:v>$25k-$50k</x:v>
      </x:c>
      <x:c r="P2795" t="str">
        <x:f>IF(E2795="","Unknown",IF(E2795&lt;10,"&lt;10",IF(E2795&lt;20,"10-&lt;20",IF(E2795&lt;25,"20-&lt;25",IF(E2795&lt;35,"25-&lt;35","35+")))))</x:f>
        <x:v>10-&lt;20</x:v>
      </x:c>
    </x:row>
    <x:row r="2796">
      <x:c r="A2796" t="str">
        <x:v>SYN0002795</x:v>
      </x:c>
      <x:c r="B2796" s="12" t="n">
        <x:v>41695</x:v>
      </x:c>
      <x:c r="C2796" s="18" t="n">
        <x:v>12491</x:v>
      </x:c>
      <x:c r="D2796" s="18" t="n">
        <x:v>75997</x:v>
      </x:c>
      <x:c r="E2796" s="18" t="n">
        <x:v>24</x:v>
      </x:c>
      <x:c r="F2796" s="18" t="n">
        <x:v>7.72</x:v>
      </x:c>
      <x:c r="G2796" t="n">
        <x:v>36</x:v>
      </x:c>
      <x:c r="H2796" t="str">
        <x:v>B</x:v>
      </x:c>
      <x:c r="I2796" t="str">
        <x:v>1-3 years</x:v>
      </x:c>
      <x:c r="J2796" t="str">
        <x:v>MORTGAGE</x:v>
      </x:c>
      <x:c r="K2796" t="str">
        <x:v>other</x:v>
      </x:c>
      <x:c r="L2796" t="n">
        <x:v>1</x:v>
      </x:c>
      <x:c r="M2796" t="n">
        <x:v>0</x:v>
      </x:c>
      <x:c r="N2796" t="str">
        <x:v>Fully Paid</x:v>
      </x:c>
      <x:c r="O2796" t="str">
        <x:f>IF(D2796="","Unknown",IF(D2796&lt;25000,"&lt;$25k",IF(D2796&lt;50000,"$25k-$50k",IF(D2796&lt;75000,"$50k-$75k",IF(D2796&lt;100000,"$75k-$100k","$100k+")))))</x:f>
        <x:v>$75k-$100k</x:v>
      </x:c>
      <x:c r="P2796" t="str">
        <x:f>IF(E2796="","Unknown",IF(E2796&lt;10,"&lt;10",IF(E2796&lt;20,"10-&lt;20",IF(E2796&lt;25,"20-&lt;25",IF(E2796&lt;35,"25-&lt;35","35+")))))</x:f>
        <x:v>20-&lt;25</x:v>
      </x:c>
    </x:row>
    <x:row r="2797">
      <x:c r="A2797" t="str">
        <x:v>SYN0002796</x:v>
      </x:c>
      <x:c r="B2797" s="12" t="n">
        <x:v>43075</x:v>
      </x:c>
      <x:c r="C2797" s="18" t="n">
        <x:v>8371</x:v>
      </x:c>
      <x:c r="D2797" s="18" t="n">
        <x:v>28901</x:v>
      </x:c>
      <x:c r="E2797" s="18" t="n">
        <x:v>36.89</x:v>
      </x:c>
      <x:c r="F2797" s="18" t="n">
        <x:v>27</x:v>
      </x:c>
      <x:c r="G2797" t="n">
        <x:v>36</x:v>
      </x:c>
      <x:c r="H2797" t="str">
        <x:v>G</x:v>
      </x:c>
      <x:c r="I2797" t="str">
        <x:v>7-9 years</x:v>
      </x:c>
      <x:c r="J2797" t="str">
        <x:v>RENT</x:v>
      </x:c>
      <x:c r="K2797" t="str">
        <x:v>debt_consolidation</x:v>
      </x:c>
      <x:c r="L2797" t="n">
        <x:v>0</x:v>
      </x:c>
      <x:c r="M2797" t="n">
        <x:v>1</x:v>
      </x:c>
      <x:c r="N2797" t="str">
        <x:v>Charged Off</x:v>
      </x:c>
      <x:c r="O2797" t="str">
        <x:f>IF(D2797="","Unknown",IF(D2797&lt;25000,"&lt;$25k",IF(D2797&lt;50000,"$25k-$50k",IF(D2797&lt;75000,"$50k-$75k",IF(D2797&lt;100000,"$75k-$100k","$100k+")))))</x:f>
        <x:v>$25k-$50k</x:v>
      </x:c>
      <x:c r="P2797" t="str">
        <x:f>IF(E2797="","Unknown",IF(E2797&lt;10,"&lt;10",IF(E2797&lt;20,"10-&lt;20",IF(E2797&lt;25,"20-&lt;25",IF(E2797&lt;35,"25-&lt;35","35+")))))</x:f>
        <x:v>35+</x:v>
      </x:c>
    </x:row>
    <x:row r="2798">
      <x:c r="A2798" t="str">
        <x:v>SYN0002797</x:v>
      </x:c>
      <x:c r="B2798" s="12" t="n">
        <x:v>42625</x:v>
      </x:c>
      <x:c r="C2798" s="18" t="n">
        <x:v>6274</x:v>
      </x:c>
      <x:c r="D2798" s="18" t="n">
        <x:v>100405</x:v>
      </x:c>
      <x:c r="E2798" s="18" t="n">
        <x:v>32.36</x:v>
      </x:c>
      <x:c r="F2798" s="18" t="n">
        <x:v>24.2</x:v>
      </x:c>
      <x:c r="G2798" t="n">
        <x:v>36</x:v>
      </x:c>
      <x:c r="H2798" t="str">
        <x:v>F</x:v>
      </x:c>
      <x:c r="I2798" t="str">
        <x:v>4-6 years</x:v>
      </x:c>
      <x:c r="J2798" t="str">
        <x:v>MORTGAGE</x:v>
      </x:c>
      <x:c r="K2798" t="str">
        <x:v>debt_consolidation</x:v>
      </x:c>
      <x:c r="L2798" t="n">
        <x:v>1</x:v>
      </x:c>
      <x:c r="M2798" t="n">
        <x:v>0</x:v>
      </x:c>
      <x:c r="N2798" t="str">
        <x:v>Fully Paid</x:v>
      </x:c>
      <x:c r="O2798" t="str">
        <x:f>IF(D2798="","Unknown",IF(D2798&lt;25000,"&lt;$25k",IF(D2798&lt;50000,"$25k-$50k",IF(D2798&lt;75000,"$50k-$75k",IF(D2798&lt;100000,"$75k-$100k","$100k+")))))</x:f>
        <x:v>$100k+</x:v>
      </x:c>
      <x:c r="P2798" t="str">
        <x:f>IF(E2798="","Unknown",IF(E2798&lt;10,"&lt;10",IF(E2798&lt;20,"10-&lt;20",IF(E2798&lt;25,"20-&lt;25",IF(E2798&lt;35,"25-&lt;35","35+")))))</x:f>
        <x:v>25-&lt;35</x:v>
      </x:c>
    </x:row>
    <x:row r="2799">
      <x:c r="A2799" t="str">
        <x:v>SYN0002798</x:v>
      </x:c>
      <x:c r="B2799" s="12" t="n">
        <x:v>43045</x:v>
      </x:c>
      <x:c r="C2799" s="18" t="n">
        <x:v>26891</x:v>
      </x:c>
      <x:c r="D2799" s="18" t="n">
        <x:v>110565</x:v>
      </x:c>
      <x:c r="E2799" s="18" t="n">
        <x:v>11.83</x:v>
      </x:c>
      <x:c r="F2799" s="18" t="n">
        <x:v>11.23</x:v>
      </x:c>
      <x:c r="G2799" t="n">
        <x:v>36</x:v>
      </x:c>
      <x:c r="H2799" t="str">
        <x:v>C</x:v>
      </x:c>
      <x:c r="I2799" t="str">
        <x:v>4-6 years</x:v>
      </x:c>
      <x:c r="J2799" t="str">
        <x:v>MORTGAGE</x:v>
      </x:c>
      <x:c r="K2799" t="str">
        <x:v>debt_consolidation</x:v>
      </x:c>
      <x:c r="L2799" t="n">
        <x:v>1</x:v>
      </x:c>
      <x:c r="M2799" t="n">
        <x:v>0</x:v>
      </x:c>
      <x:c r="N2799" t="str">
        <x:v>Fully Paid</x:v>
      </x:c>
      <x:c r="O2799" t="str">
        <x:f>IF(D2799="","Unknown",IF(D2799&lt;25000,"&lt;$25k",IF(D2799&lt;50000,"$25k-$50k",IF(D2799&lt;75000,"$50k-$75k",IF(D2799&lt;100000,"$75k-$100k","$100k+")))))</x:f>
        <x:v>$100k+</x:v>
      </x:c>
      <x:c r="P2799" t="str">
        <x:f>IF(E2799="","Unknown",IF(E2799&lt;10,"&lt;10",IF(E2799&lt;20,"10-&lt;20",IF(E2799&lt;25,"20-&lt;25",IF(E2799&lt;35,"25-&lt;35","35+")))))</x:f>
        <x:v>10-&lt;20</x:v>
      </x:c>
    </x:row>
    <x:row r="2800">
      <x:c r="A2800" t="str">
        <x:v>SYN0002799</x:v>
      </x:c>
      <x:c r="B2800" s="12" t="n">
        <x:v>42835</x:v>
      </x:c>
      <x:c r="C2800" s="18" t="n">
        <x:v>9368</x:v>
      </x:c>
      <x:c r="D2800" s="18" t="n">
        <x:v>75750</x:v>
      </x:c>
      <x:c r="E2800" s="18" t="n">
        <x:v>26.69</x:v>
      </x:c>
      <x:c r="F2800" s="18" t="n">
        <x:v>23.67</x:v>
      </x:c>
      <x:c r="G2800" t="n">
        <x:v>60</x:v>
      </x:c>
      <x:c r="H2800" t="str">
        <x:v>G</x:v>
      </x:c>
      <x:c r="I2800" t="str">
        <x:v>1-3 years</x:v>
      </x:c>
      <x:c r="J2800" t="str">
        <x:v>MORTGAGE</x:v>
      </x:c>
      <x:c r="K2800" t="str">
        <x:v>major_purchase</x:v>
      </x:c>
      <x:c r="L2800" t="n">
        <x:v>1</x:v>
      </x:c>
      <x:c r="M2800" t="n">
        <x:v>0</x:v>
      </x:c>
      <x:c r="N2800" t="str">
        <x:v>Fully Paid</x:v>
      </x:c>
      <x:c r="O2800" t="str">
        <x:f>IF(D2800="","Unknown",IF(D2800&lt;25000,"&lt;$25k",IF(D2800&lt;50000,"$25k-$50k",IF(D2800&lt;75000,"$50k-$75k",IF(D2800&lt;100000,"$75k-$100k","$100k+")))))</x:f>
        <x:v>$75k-$100k</x:v>
      </x:c>
      <x:c r="P2800" t="str">
        <x:f>IF(E2800="","Unknown",IF(E2800&lt;10,"&lt;10",IF(E2800&lt;20,"10-&lt;20",IF(E2800&lt;25,"20-&lt;25",IF(E2800&lt;35,"25-&lt;35","35+")))))</x:f>
        <x:v>25-&lt;35</x:v>
      </x:c>
    </x:row>
    <x:row r="2801">
      <x:c r="A2801" t="str">
        <x:v>SYN0002800</x:v>
      </x:c>
      <x:c r="B2801" s="12" t="n">
        <x:v>41905</x:v>
      </x:c>
      <x:c r="C2801" s="18" t="n">
        <x:v>17836</x:v>
      </x:c>
      <x:c r="D2801" s="18" t="n">
        <x:v>28007</x:v>
      </x:c>
      <x:c r="E2801" s="18" t="n">
        <x:v>9.54</x:v>
      </x:c>
      <x:c r="F2801" s="18" t="n">
        <x:v>14.63</x:v>
      </x:c>
      <x:c r="G2801" t="n">
        <x:v>60</x:v>
      </x:c>
      <x:c r="H2801" t="str">
        <x:v>C</x:v>
      </x:c>
      <x:c r="I2801" t="str">
        <x:v>&lt;1 year</x:v>
      </x:c>
      <x:c r="J2801" t="str">
        <x:v>MORTGAGE</x:v>
      </x:c>
      <x:c r="K2801" t="str">
        <x:v>debt_consolidation</x:v>
      </x:c>
      <x:c r="L2801" t="n">
        <x:v>0</x:v>
      </x:c>
      <x:c r="M2801" t="n">
        <x:v>0</x:v>
      </x:c>
      <x:c r="N2801" t="str">
        <x:v>Fully Paid</x:v>
      </x:c>
      <x:c r="O2801" t="str">
        <x:f>IF(D2801="","Unknown",IF(D2801&lt;25000,"&lt;$25k",IF(D2801&lt;50000,"$25k-$50k",IF(D2801&lt;75000,"$50k-$75k",IF(D2801&lt;100000,"$75k-$100k","$100k+")))))</x:f>
        <x:v>$25k-$50k</x:v>
      </x:c>
      <x:c r="P2801" t="str">
        <x:f>IF(E2801="","Unknown",IF(E2801&lt;10,"&lt;10",IF(E2801&lt;20,"10-&lt;20",IF(E2801&lt;25,"20-&lt;25",IF(E2801&lt;35,"25-&lt;35","35+")))))</x:f>
        <x:v>&lt;10</x:v>
      </x:c>
    </x:row>
    <x:row r="2802">
      <x:c r="A2802" t="str">
        <x:v>SYN0002801</x:v>
      </x:c>
      <x:c r="B2802" s="12" t="n">
        <x:v>41935</x:v>
      </x:c>
      <x:c r="C2802" s="18" t="n">
        <x:v>17068</x:v>
      </x:c>
      <x:c r="D2802" s="18" t="n">
        <x:v>39581</x:v>
      </x:c>
      <x:c r="E2802" s="18" t="n">
        <x:v>30.3</x:v>
      </x:c>
      <x:c r="F2802" s="18" t="n">
        <x:v>20.98</x:v>
      </x:c>
      <x:c r="G2802" t="n">
        <x:v>36</x:v>
      </x:c>
      <x:c r="H2802" t="str">
        <x:v>F</x:v>
      </x:c>
      <x:c r="I2802" t="str">
        <x:v>10+ years</x:v>
      </x:c>
      <x:c r="J2802" t="str">
        <x:v>OWN</x:v>
      </x:c>
      <x:c r="K2802" t="str">
        <x:v>debt_consolidation</x:v>
      </x:c>
      <x:c r="L2802" t="n">
        <x:v>0</x:v>
      </x:c>
      <x:c r="M2802" t="n">
        <x:v>0</x:v>
      </x:c>
      <x:c r="N2802" t="str">
        <x:v>Fully Paid</x:v>
      </x:c>
      <x:c r="O2802" t="str">
        <x:f>IF(D2802="","Unknown",IF(D2802&lt;25000,"&lt;$25k",IF(D2802&lt;50000,"$25k-$50k",IF(D2802&lt;75000,"$50k-$75k",IF(D2802&lt;100000,"$75k-$100k","$100k+")))))</x:f>
        <x:v>$25k-$50k</x:v>
      </x:c>
      <x:c r="P2802" t="str">
        <x:f>IF(E2802="","Unknown",IF(E2802&lt;10,"&lt;10",IF(E2802&lt;20,"10-&lt;20",IF(E2802&lt;25,"20-&lt;25",IF(E2802&lt;35,"25-&lt;35","35+")))))</x:f>
        <x:v>25-&lt;35</x:v>
      </x:c>
    </x:row>
    <x:row r="2803">
      <x:c r="A2803" t="str">
        <x:v>SYN0002802</x:v>
      </x:c>
      <x:c r="B2803" s="12" t="n">
        <x:v>42475</x:v>
      </x:c>
      <x:c r="C2803" s="18" t="n">
        <x:v>32896</x:v>
      </x:c>
      <x:c r="D2803" s="18" t="n">
        <x:v>31404</x:v>
      </x:c>
      <x:c r="E2803" s="18" t="n">
        <x:v>10.05</x:v>
      </x:c>
      <x:c r="F2803" s="18" t="n">
        <x:v>8.24</x:v>
      </x:c>
      <x:c r="G2803" t="n">
        <x:v>36</x:v>
      </x:c>
      <x:c r="H2803" t="str">
        <x:v>A</x:v>
      </x:c>
      <x:c r="I2803" t="str">
        <x:v>7-9 years</x:v>
      </x:c>
      <x:c r="J2803" t="str">
        <x:v>RENT</x:v>
      </x:c>
      <x:c r="K2803" t="str">
        <x:v>medical</x:v>
      </x:c>
      <x:c r="L2803" t="n">
        <x:v>1</x:v>
      </x:c>
      <x:c r="M2803" t="n">
        <x:v>0</x:v>
      </x:c>
      <x:c r="N2803" t="str">
        <x:v>Fully Paid</x:v>
      </x:c>
      <x:c r="O2803" t="str">
        <x:f>IF(D2803="","Unknown",IF(D2803&lt;25000,"&lt;$25k",IF(D2803&lt;50000,"$25k-$50k",IF(D2803&lt;75000,"$50k-$75k",IF(D2803&lt;100000,"$75k-$100k","$100k+")))))</x:f>
        <x:v>$25k-$50k</x:v>
      </x:c>
      <x:c r="P2803" t="str">
        <x:f>IF(E2803="","Unknown",IF(E2803&lt;10,"&lt;10",IF(E2803&lt;20,"10-&lt;20",IF(E2803&lt;25,"20-&lt;25",IF(E2803&lt;35,"25-&lt;35","35+")))))</x:f>
        <x:v>10-&lt;20</x:v>
      </x:c>
    </x:row>
    <x:row r="2804">
      <x:c r="A2804" t="str">
        <x:v>SYN0002803</x:v>
      </x:c>
      <x:c r="B2804" s="12" t="n">
        <x:v>41455</x:v>
      </x:c>
      <x:c r="C2804" s="18" t="n">
        <x:v>16703</x:v>
      </x:c>
      <x:c r="D2804" s="18" t="n">
        <x:v>122524</x:v>
      </x:c>
      <x:c r="E2804" s="18" t="n">
        <x:v>14.9</x:v>
      </x:c>
      <x:c r="F2804" s="18" t="n">
        <x:v>8.96</x:v>
      </x:c>
      <x:c r="G2804" t="n">
        <x:v>36</x:v>
      </x:c>
      <x:c r="H2804" t="str">
        <x:v>B</x:v>
      </x:c>
      <x:c r="I2804" t="str">
        <x:v>1-3 years</x:v>
      </x:c>
      <x:c r="J2804" t="str">
        <x:v>MORTGAGE</x:v>
      </x:c>
      <x:c r="K2804" t="str">
        <x:v>credit_card</x:v>
      </x:c>
      <x:c r="L2804" t="n">
        <x:v>0</x:v>
      </x:c>
      <x:c r="M2804" t="n">
        <x:v>0</x:v>
      </x:c>
      <x:c r="N2804" t="str">
        <x:v>Fully Paid</x:v>
      </x:c>
      <x:c r="O2804" t="str">
        <x:f>IF(D2804="","Unknown",IF(D2804&lt;25000,"&lt;$25k",IF(D2804&lt;50000,"$25k-$50k",IF(D2804&lt;75000,"$50k-$75k",IF(D2804&lt;100000,"$75k-$100k","$100k+")))))</x:f>
        <x:v>$100k+</x:v>
      </x:c>
      <x:c r="P2804" t="str">
        <x:f>IF(E2804="","Unknown",IF(E2804&lt;10,"&lt;10",IF(E2804&lt;20,"10-&lt;20",IF(E2804&lt;25,"20-&lt;25",IF(E2804&lt;35,"25-&lt;35","35+")))))</x:f>
        <x:v>10-&lt;20</x:v>
      </x:c>
    </x:row>
    <x:row r="2805">
      <x:c r="A2805" t="str">
        <x:v>SYN0002804</x:v>
      </x:c>
      <x:c r="B2805" s="12" t="n">
        <x:v>43195</x:v>
      </x:c>
      <x:c r="C2805" s="18" t="n">
        <x:v>17318</x:v>
      </x:c>
      <x:c r="D2805" s="18" t="n">
        <x:v>36387</x:v>
      </x:c>
      <x:c r="E2805" s="18" t="n">
        <x:v>21.81</x:v>
      </x:c>
      <x:c r="F2805" s="18" t="n">
        <x:v>7.92</x:v>
      </x:c>
      <x:c r="G2805" t="n">
        <x:v>36</x:v>
      </x:c>
      <x:c r="H2805" t="str">
        <x:v>B</x:v>
      </x:c>
      <x:c r="I2805" t="str">
        <x:v>1-3 years</x:v>
      </x:c>
      <x:c r="J2805" t="str">
        <x:v>MORTGAGE</x:v>
      </x:c>
      <x:c r="K2805" t="str">
        <x:v>debt_consolidation</x:v>
      </x:c>
      <x:c r="L2805" t="n">
        <x:v>1</x:v>
      </x:c>
      <x:c r="M2805" t="n">
        <x:v>0</x:v>
      </x:c>
      <x:c r="N2805" t="str">
        <x:v>Fully Paid</x:v>
      </x:c>
      <x:c r="O2805" t="str">
        <x:f>IF(D2805="","Unknown",IF(D2805&lt;25000,"&lt;$25k",IF(D2805&lt;50000,"$25k-$50k",IF(D2805&lt;75000,"$50k-$75k",IF(D2805&lt;100000,"$75k-$100k","$100k+")))))</x:f>
        <x:v>$25k-$50k</x:v>
      </x:c>
      <x:c r="P2805" t="str">
        <x:f>IF(E2805="","Unknown",IF(E2805&lt;10,"&lt;10",IF(E2805&lt;20,"10-&lt;20",IF(E2805&lt;25,"20-&lt;25",IF(E2805&lt;35,"25-&lt;35","35+")))))</x:f>
        <x:v>20-&lt;25</x:v>
      </x:c>
    </x:row>
    <x:row r="2806">
      <x:c r="A2806" t="str">
        <x:v>SYN0002805</x:v>
      </x:c>
      <x:c r="B2806" s="12" t="n">
        <x:v>41785</x:v>
      </x:c>
      <x:c r="C2806" s="18" t="n">
        <x:v>11015</x:v>
      </x:c>
      <x:c r="D2806" s="18" t="n">
        <x:v>69079</x:v>
      </x:c>
      <x:c r="E2806" s="18" t="n">
        <x:v>13.26</x:v>
      </x:c>
      <x:c r="F2806" s="18" t="n">
        <x:v>20.74</x:v>
      </x:c>
      <x:c r="G2806" t="n">
        <x:v>60</x:v>
      </x:c>
      <x:c r="H2806" t="str">
        <x:v>F</x:v>
      </x:c>
      <x:c r="I2806" t="str">
        <x:v>4-6 years</x:v>
      </x:c>
      <x:c r="J2806" t="str">
        <x:v>RENT</x:v>
      </x:c>
      <x:c r="K2806" t="str">
        <x:v>other</x:v>
      </x:c>
      <x:c r="L2806" t="n">
        <x:v>2</x:v>
      </x:c>
      <x:c r="M2806" t="n">
        <x:v>0</x:v>
      </x:c>
      <x:c r="N2806" t="str">
        <x:v>Fully Paid</x:v>
      </x:c>
      <x:c r="O2806" t="str">
        <x:f>IF(D2806="","Unknown",IF(D2806&lt;25000,"&lt;$25k",IF(D2806&lt;50000,"$25k-$50k",IF(D2806&lt;75000,"$50k-$75k",IF(D2806&lt;100000,"$75k-$100k","$100k+")))))</x:f>
        <x:v>$50k-$75k</x:v>
      </x:c>
      <x:c r="P2806" t="str">
        <x:f>IF(E2806="","Unknown",IF(E2806&lt;10,"&lt;10",IF(E2806&lt;20,"10-&lt;20",IF(E2806&lt;25,"20-&lt;25",IF(E2806&lt;35,"25-&lt;35","35+")))))</x:f>
        <x:v>10-&lt;20</x:v>
      </x:c>
    </x:row>
    <x:row r="2807">
      <x:c r="A2807" t="str">
        <x:v>SYN0002806</x:v>
      </x:c>
      <x:c r="B2807" s="12" t="n">
        <x:v>42385</x:v>
      </x:c>
      <x:c r="C2807" s="18" t="n">
        <x:v>20700</x:v>
      </x:c>
      <x:c r="D2807" s="18" t="n">
        <x:v>79567</x:v>
      </x:c>
      <x:c r="E2807" s="18" t="n">
        <x:v>20.11</x:v>
      </x:c>
      <x:c r="F2807" s="18" t="n">
        <x:v>5</x:v>
      </x:c>
      <x:c r="G2807" t="n">
        <x:v>60</x:v>
      </x:c>
      <x:c r="H2807" t="str">
        <x:v>A</x:v>
      </x:c>
      <x:c r="I2807" t="str">
        <x:v>10+ years</x:v>
      </x:c>
      <x:c r="J2807" t="str">
        <x:v>OWN</x:v>
      </x:c>
      <x:c r="K2807" t="str">
        <x:v>credit_card</x:v>
      </x:c>
      <x:c r="L2807" t="n">
        <x:v>0</x:v>
      </x:c>
      <x:c r="M2807" t="n">
        <x:v>0</x:v>
      </x:c>
      <x:c r="N2807" t="str">
        <x:v>Fully Paid</x:v>
      </x:c>
      <x:c r="O2807" t="str">
        <x:f>IF(D2807="","Unknown",IF(D2807&lt;25000,"&lt;$25k",IF(D2807&lt;50000,"$25k-$50k",IF(D2807&lt;75000,"$50k-$75k",IF(D2807&lt;100000,"$75k-$100k","$100k+")))))</x:f>
        <x:v>$75k-$100k</x:v>
      </x:c>
      <x:c r="P2807" t="str">
        <x:f>IF(E2807="","Unknown",IF(E2807&lt;10,"&lt;10",IF(E2807&lt;20,"10-&lt;20",IF(E2807&lt;25,"20-&lt;25",IF(E2807&lt;35,"25-&lt;35","35+")))))</x:f>
        <x:v>20-&lt;25</x:v>
      </x:c>
    </x:row>
    <x:row r="2808">
      <x:c r="A2808" t="str">
        <x:v>SYN0002807</x:v>
      </x:c>
      <x:c r="B2808" s="12" t="n">
        <x:v>41545</x:v>
      </x:c>
      <x:c r="C2808" s="18" t="n">
        <x:v>18093</x:v>
      </x:c>
      <x:c r="D2808" s="18" t="n">
        <x:v>46541</x:v>
      </x:c>
      <x:c r="E2808" s="18" t="n">
        <x:v>27.24</x:v>
      </x:c>
      <x:c r="F2808" s="18" t="n">
        <x:v>7.84</x:v>
      </x:c>
      <x:c r="G2808" t="n">
        <x:v>36</x:v>
      </x:c>
      <x:c r="H2808" t="str">
        <x:v>C</x:v>
      </x:c>
      <x:c r="I2808" t="str">
        <x:v>4-6 years</x:v>
      </x:c>
      <x:c r="J2808" t="str">
        <x:v>MORTGAGE</x:v>
      </x:c>
      <x:c r="K2808" t="str">
        <x:v>other</x:v>
      </x:c>
      <x:c r="L2808" t="n">
        <x:v>0</x:v>
      </x:c>
      <x:c r="M2808" t="n">
        <x:v>0</x:v>
      </x:c>
      <x:c r="N2808" t="str">
        <x:v>Fully Paid</x:v>
      </x:c>
      <x:c r="O2808" t="str">
        <x:f>IF(D2808="","Unknown",IF(D2808&lt;25000,"&lt;$25k",IF(D2808&lt;50000,"$25k-$50k",IF(D2808&lt;75000,"$50k-$75k",IF(D2808&lt;100000,"$75k-$100k","$100k+")))))</x:f>
        <x:v>$25k-$50k</x:v>
      </x:c>
      <x:c r="P2808" t="str">
        <x:f>IF(E2808="","Unknown",IF(E2808&lt;10,"&lt;10",IF(E2808&lt;20,"10-&lt;20",IF(E2808&lt;25,"20-&lt;25",IF(E2808&lt;35,"25-&lt;35","35+")))))</x:f>
        <x:v>25-&lt;35</x:v>
      </x:c>
    </x:row>
    <x:row r="2809">
      <x:c r="A2809" t="str">
        <x:v>SYN0002808</x:v>
      </x:c>
      <x:c r="B2809" s="12" t="n">
        <x:v>41605</x:v>
      </x:c>
      <x:c r="C2809" s="18" t="n">
        <x:v>28599</x:v>
      </x:c>
      <x:c r="D2809" s="18" t="n">
        <x:v>181394</x:v>
      </x:c>
      <x:c r="E2809" s="18" t="n">
        <x:v>24.19</x:v>
      </x:c>
      <x:c r="F2809" s="18" t="n">
        <x:v>9.75</x:v>
      </x:c>
      <x:c r="G2809" t="n">
        <x:v>36</x:v>
      </x:c>
      <x:c r="H2809" t="str">
        <x:v>B</x:v>
      </x:c>
      <x:c r="I2809" t="str">
        <x:v>10+ years</x:v>
      </x:c>
      <x:c r="J2809" t="str">
        <x:v>RENT</x:v>
      </x:c>
      <x:c r="K2809" t="str">
        <x:v>debt_consolidation</x:v>
      </x:c>
      <x:c r="L2809" t="n">
        <x:v>1</x:v>
      </x:c>
      <x:c r="M2809" t="n">
        <x:v>0</x:v>
      </x:c>
      <x:c r="N2809" t="str">
        <x:v>Fully Paid</x:v>
      </x:c>
      <x:c r="O2809" t="str">
        <x:f>IF(D2809="","Unknown",IF(D2809&lt;25000,"&lt;$25k",IF(D2809&lt;50000,"$25k-$50k",IF(D2809&lt;75000,"$50k-$75k",IF(D2809&lt;100000,"$75k-$100k","$100k+")))))</x:f>
        <x:v>$100k+</x:v>
      </x:c>
      <x:c r="P2809" t="str">
        <x:f>IF(E2809="","Unknown",IF(E2809&lt;10,"&lt;10",IF(E2809&lt;20,"10-&lt;20",IF(E2809&lt;25,"20-&lt;25",IF(E2809&lt;35,"25-&lt;35","35+")))))</x:f>
        <x:v>20-&lt;25</x:v>
      </x:c>
    </x:row>
    <x:row r="2810">
      <x:c r="A2810" t="str">
        <x:v>SYN0002809</x:v>
      </x:c>
      <x:c r="B2810" s="12" t="n">
        <x:v>43195</x:v>
      </x:c>
      <x:c r="C2810" s="18" t="n">
        <x:v>7743</x:v>
      </x:c>
      <x:c r="D2810" s="18" t="n">
        <x:v>84504</x:v>
      </x:c>
      <x:c r="E2810" s="18" t="n">
        <x:v>14.91</x:v>
      </x:c>
      <x:c r="F2810" s="18" t="n">
        <x:v>9.68</x:v>
      </x:c>
      <x:c r="G2810" t="n">
        <x:v>36</x:v>
      </x:c>
      <x:c r="H2810" t="str">
        <x:v>C</x:v>
      </x:c>
      <x:c r="I2810" t="str">
        <x:v>&lt;1 year</x:v>
      </x:c>
      <x:c r="J2810" t="str">
        <x:v>OWN</x:v>
      </x:c>
      <x:c r="K2810" t="str">
        <x:v>home_improvement</x:v>
      </x:c>
      <x:c r="L2810" t="n">
        <x:v>0</x:v>
      </x:c>
      <x:c r="M2810" t="n">
        <x:v>0</x:v>
      </x:c>
      <x:c r="N2810" t="str">
        <x:v>Fully Paid</x:v>
      </x:c>
      <x:c r="O2810" t="str">
        <x:f>IF(D2810="","Unknown",IF(D2810&lt;25000,"&lt;$25k",IF(D2810&lt;50000,"$25k-$50k",IF(D2810&lt;75000,"$50k-$75k",IF(D2810&lt;100000,"$75k-$100k","$100k+")))))</x:f>
        <x:v>$75k-$100k</x:v>
      </x:c>
      <x:c r="P2810" t="str">
        <x:f>IF(E2810="","Unknown",IF(E2810&lt;10,"&lt;10",IF(E2810&lt;20,"10-&lt;20",IF(E2810&lt;25,"20-&lt;25",IF(E2810&lt;35,"25-&lt;35","35+")))))</x:f>
        <x:v>10-&lt;20</x:v>
      </x:c>
    </x:row>
    <x:row r="2811">
      <x:c r="A2811" t="str">
        <x:v>SYN0002810</x:v>
      </x:c>
      <x:c r="B2811" s="12" t="n">
        <x:v>41365</x:v>
      </x:c>
      <x:c r="C2811" s="18" t="n">
        <x:v>16149</x:v>
      </x:c>
      <x:c r="D2811" s="18" t="n">
        <x:v>48887</x:v>
      </x:c>
      <x:c r="E2811" s="18" t="n">
        <x:v>24.37</x:v>
      </x:c>
      <x:c r="F2811" s="18" t="n">
        <x:v>12.79</x:v>
      </x:c>
      <x:c r="G2811" t="n">
        <x:v>36</x:v>
      </x:c>
      <x:c r="H2811" t="str">
        <x:v>D</x:v>
      </x:c>
      <x:c r="I2811" t="str">
        <x:v>4-6 years</x:v>
      </x:c>
      <x:c r="J2811" t="str">
        <x:v>OWN</x:v>
      </x:c>
      <x:c r="K2811" t="str">
        <x:v>debt_consolidation</x:v>
      </x:c>
      <x:c r="L2811" t="n">
        <x:v>0</x:v>
      </x:c>
      <x:c r="M2811" t="n">
        <x:v>0</x:v>
      </x:c>
      <x:c r="N2811" t="str">
        <x:v>Fully Paid</x:v>
      </x:c>
      <x:c r="O2811" t="str">
        <x:f>IF(D2811="","Unknown",IF(D2811&lt;25000,"&lt;$25k",IF(D2811&lt;50000,"$25k-$50k",IF(D2811&lt;75000,"$50k-$75k",IF(D2811&lt;100000,"$75k-$100k","$100k+")))))</x:f>
        <x:v>$25k-$50k</x:v>
      </x:c>
      <x:c r="P2811" t="str">
        <x:f>IF(E2811="","Unknown",IF(E2811&lt;10,"&lt;10",IF(E2811&lt;20,"10-&lt;20",IF(E2811&lt;25,"20-&lt;25",IF(E2811&lt;35,"25-&lt;35","35+")))))</x:f>
        <x:v>20-&lt;25</x:v>
      </x:c>
    </x:row>
    <x:row r="2812">
      <x:c r="A2812" t="str">
        <x:v>SYN0002811</x:v>
      </x:c>
      <x:c r="B2812" s="12" t="n">
        <x:v>42745</x:v>
      </x:c>
      <x:c r="C2812" s="18" t="n">
        <x:v>17534</x:v>
      </x:c>
      <x:c r="D2812" s="18" t="n">
        <x:v>38439</x:v>
      </x:c>
      <x:c r="E2812" s="18" t="n">
        <x:v>34.74</x:v>
      </x:c>
      <x:c r="F2812" s="18" t="n">
        <x:v>20.29</x:v>
      </x:c>
      <x:c r="G2812" t="n">
        <x:v>60</x:v>
      </x:c>
      <x:c r="H2812" t="str">
        <x:v>F</x:v>
      </x:c>
      <x:c r="I2812" t="str">
        <x:v>10+ years</x:v>
      </x:c>
      <x:c r="J2812" t="str">
        <x:v>MORTGAGE</x:v>
      </x:c>
      <x:c r="K2812" t="str">
        <x:v>debt_consolidation</x:v>
      </x:c>
      <x:c r="L2812" t="n">
        <x:v>1</x:v>
      </x:c>
      <x:c r="M2812" t="n">
        <x:v>0</x:v>
      </x:c>
      <x:c r="N2812" t="str">
        <x:v>Fully Paid</x:v>
      </x:c>
      <x:c r="O2812" t="str">
        <x:f>IF(D2812="","Unknown",IF(D2812&lt;25000,"&lt;$25k",IF(D2812&lt;50000,"$25k-$50k",IF(D2812&lt;75000,"$50k-$75k",IF(D2812&lt;100000,"$75k-$100k","$100k+")))))</x:f>
        <x:v>$25k-$50k</x:v>
      </x:c>
      <x:c r="P2812" t="str">
        <x:f>IF(E2812="","Unknown",IF(E2812&lt;10,"&lt;10",IF(E2812&lt;20,"10-&lt;20",IF(E2812&lt;25,"20-&lt;25",IF(E2812&lt;35,"25-&lt;35","35+")))))</x:f>
        <x:v>25-&lt;35</x:v>
      </x:c>
    </x:row>
    <x:row r="2813">
      <x:c r="A2813" t="str">
        <x:v>SYN0002812</x:v>
      </x:c>
      <x:c r="B2813" s="12" t="n">
        <x:v>42685</x:v>
      </x:c>
      <x:c r="C2813" s="18" t="n">
        <x:v>26086</x:v>
      </x:c>
      <x:c r="D2813" s="18" t="n">
        <x:v>103942</x:v>
      </x:c>
      <x:c r="E2813" s="18" t="n">
        <x:v>29.79</x:v>
      </x:c>
      <x:c r="F2813" s="18" t="n">
        <x:v>17.28</x:v>
      </x:c>
      <x:c r="G2813" t="n">
        <x:v>60</x:v>
      </x:c>
      <x:c r="H2813" t="str">
        <x:v>E</x:v>
      </x:c>
      <x:c r="I2813" t="str">
        <x:v>1-3 years</x:v>
      </x:c>
      <x:c r="J2813" t="str">
        <x:v>RENT</x:v>
      </x:c>
      <x:c r="K2813" t="str">
        <x:v>debt_consolidation</x:v>
      </x:c>
      <x:c r="L2813" t="n">
        <x:v>1</x:v>
      </x:c>
      <x:c r="M2813" t="n">
        <x:v>0</x:v>
      </x:c>
      <x:c r="N2813" t="str">
        <x:v>Fully Paid</x:v>
      </x:c>
      <x:c r="O2813" t="str">
        <x:f>IF(D2813="","Unknown",IF(D2813&lt;25000,"&lt;$25k",IF(D2813&lt;50000,"$25k-$50k",IF(D2813&lt;75000,"$50k-$75k",IF(D2813&lt;100000,"$75k-$100k","$100k+")))))</x:f>
        <x:v>$100k+</x:v>
      </x:c>
      <x:c r="P2813" t="str">
        <x:f>IF(E2813="","Unknown",IF(E2813&lt;10,"&lt;10",IF(E2813&lt;20,"10-&lt;20",IF(E2813&lt;25,"20-&lt;25",IF(E2813&lt;35,"25-&lt;35","35+")))))</x:f>
        <x:v>25-&lt;35</x:v>
      </x:c>
    </x:row>
    <x:row r="2814">
      <x:c r="A2814" t="str">
        <x:v>SYN0002813</x:v>
      </x:c>
      <x:c r="B2814" s="12" t="n">
        <x:v>41995</x:v>
      </x:c>
      <x:c r="C2814" s="18" t="n">
        <x:v>6278</x:v>
      </x:c>
      <x:c r="D2814" s="18" t="n">
        <x:v>13983</x:v>
      </x:c>
      <x:c r="E2814" s="18" t="n">
        <x:v>34.7</x:v>
      </x:c>
      <x:c r="F2814" s="18" t="n">
        <x:v>20.96</x:v>
      </x:c>
      <x:c r="G2814" t="n">
        <x:v>60</x:v>
      </x:c>
      <x:c r="H2814" t="str">
        <x:v>F</x:v>
      </x:c>
      <x:c r="I2814" t="str">
        <x:v>4-6 years</x:v>
      </x:c>
      <x:c r="J2814" t="str">
        <x:v>MORTGAGE</x:v>
      </x:c>
      <x:c r="K2814" t="str">
        <x:v>credit_card</x:v>
      </x:c>
      <x:c r="L2814" t="n">
        <x:v>0</x:v>
      </x:c>
      <x:c r="M2814" t="n">
        <x:v>0</x:v>
      </x:c>
      <x:c r="N2814" t="str">
        <x:v>Fully Paid</x:v>
      </x:c>
      <x:c r="O2814" t="str">
        <x:f>IF(D2814="","Unknown",IF(D2814&lt;25000,"&lt;$25k",IF(D2814&lt;50000,"$25k-$50k",IF(D2814&lt;75000,"$50k-$75k",IF(D2814&lt;100000,"$75k-$100k","$100k+")))))</x:f>
        <x:v>&lt;$25k</x:v>
      </x:c>
      <x:c r="P2814" t="str">
        <x:f>IF(E2814="","Unknown",IF(E2814&lt;10,"&lt;10",IF(E2814&lt;20,"10-&lt;20",IF(E2814&lt;25,"20-&lt;25",IF(E2814&lt;35,"25-&lt;35","35+")))))</x:f>
        <x:v>25-&lt;35</x:v>
      </x:c>
    </x:row>
    <x:row r="2815">
      <x:c r="A2815" t="str">
        <x:v>SYN0002814</x:v>
      </x:c>
      <x:c r="B2815" s="12" t="n">
        <x:v>42805</x:v>
      </x:c>
      <x:c r="C2815" s="18" t="n">
        <x:v>17024</x:v>
      </x:c>
      <x:c r="D2815" s="18" t="n">
        <x:v>38824</x:v>
      </x:c>
      <x:c r="E2815" s="18" t="n">
        <x:v>20.55</x:v>
      </x:c>
      <x:c r="F2815" s="18" t="n">
        <x:v>6.59</x:v>
      </x:c>
      <x:c r="G2815" t="n">
        <x:v>36</x:v>
      </x:c>
      <x:c r="H2815" t="str">
        <x:v>B</x:v>
      </x:c>
      <x:c r="I2815" t="str">
        <x:v>10+ years</x:v>
      </x:c>
      <x:c r="J2815" t="str">
        <x:v>MORTGAGE</x:v>
      </x:c>
      <x:c r="K2815" t="str">
        <x:v>debt_consolidation</x:v>
      </x:c>
      <x:c r="L2815" t="n">
        <x:v>1</x:v>
      </x:c>
      <x:c r="M2815" t="n">
        <x:v>0</x:v>
      </x:c>
      <x:c r="N2815" t="str">
        <x:v>Fully Paid</x:v>
      </x:c>
      <x:c r="O2815" t="str">
        <x:f>IF(D2815="","Unknown",IF(D2815&lt;25000,"&lt;$25k",IF(D2815&lt;50000,"$25k-$50k",IF(D2815&lt;75000,"$50k-$75k",IF(D2815&lt;100000,"$75k-$100k","$100k+")))))</x:f>
        <x:v>$25k-$50k</x:v>
      </x:c>
      <x:c r="P2815" t="str">
        <x:f>IF(E2815="","Unknown",IF(E2815&lt;10,"&lt;10",IF(E2815&lt;20,"10-&lt;20",IF(E2815&lt;25,"20-&lt;25",IF(E2815&lt;35,"25-&lt;35","35+")))))</x:f>
        <x:v>20-&lt;25</x:v>
      </x:c>
    </x:row>
    <x:row r="2816">
      <x:c r="A2816" t="str">
        <x:v>SYN0002815</x:v>
      </x:c>
      <x:c r="B2816" s="12" t="n">
        <x:v>41875</x:v>
      </x:c>
      <x:c r="C2816" s="18" t="n">
        <x:v>8461</x:v>
      </x:c>
      <x:c r="D2816" s="18" t="n">
        <x:v>22360</x:v>
      </x:c>
      <x:c r="E2816" s="18" t="n">
        <x:v>12.44</x:v>
      </x:c>
      <x:c r="F2816" s="18" t="n">
        <x:v>5.05</x:v>
      </x:c>
      <x:c r="G2816" t="n">
        <x:v>60</x:v>
      </x:c>
      <x:c r="H2816" t="str">
        <x:v>A</x:v>
      </x:c>
      <x:c r="I2816" t="str">
        <x:v>1-3 years</x:v>
      </x:c>
      <x:c r="J2816" t="str">
        <x:v>OWN</x:v>
      </x:c>
      <x:c r="K2816" t="str">
        <x:v>debt_consolidation</x:v>
      </x:c>
      <x:c r="L2816" t="n">
        <x:v>1</x:v>
      </x:c>
      <x:c r="M2816" t="n">
        <x:v>0</x:v>
      </x:c>
      <x:c r="N2816" t="str">
        <x:v>Fully Paid</x:v>
      </x:c>
      <x:c r="O2816" t="str">
        <x:f>IF(D2816="","Unknown",IF(D2816&lt;25000,"&lt;$25k",IF(D2816&lt;50000,"$25k-$50k",IF(D2816&lt;75000,"$50k-$75k",IF(D2816&lt;100000,"$75k-$100k","$100k+")))))</x:f>
        <x:v>&lt;$25k</x:v>
      </x:c>
      <x:c r="P2816" t="str">
        <x:f>IF(E2816="","Unknown",IF(E2816&lt;10,"&lt;10",IF(E2816&lt;20,"10-&lt;20",IF(E2816&lt;25,"20-&lt;25",IF(E2816&lt;35,"25-&lt;35","35+")))))</x:f>
        <x:v>10-&lt;20</x:v>
      </x:c>
    </x:row>
    <x:row r="2817">
      <x:c r="A2817" t="str">
        <x:v>SYN0002816</x:v>
      </x:c>
      <x:c r="B2817" s="12" t="n">
        <x:v>42595</x:v>
      </x:c>
      <x:c r="C2817" s="18" t="n">
        <x:v>10368</x:v>
      </x:c>
      <x:c r="D2817" s="18" t="n">
        <x:v>39963</x:v>
      </x:c>
      <x:c r="E2817" s="18" t="n">
        <x:v>37.14</x:v>
      </x:c>
      <x:c r="F2817" s="18" t="n">
        <x:v>17.01</x:v>
      </x:c>
      <x:c r="G2817" t="n">
        <x:v>60</x:v>
      </x:c>
      <x:c r="H2817" t="str">
        <x:v>E</x:v>
      </x:c>
      <x:c r="I2817" t="str">
        <x:v>4-6 years</x:v>
      </x:c>
      <x:c r="J2817" t="str">
        <x:v>MORTGAGE</x:v>
      </x:c>
      <x:c r="K2817" t="str">
        <x:v>debt_consolidation</x:v>
      </x:c>
      <x:c r="L2817" t="n">
        <x:v>2</x:v>
      </x:c>
      <x:c r="M2817" t="n">
        <x:v>0</x:v>
      </x:c>
      <x:c r="N2817" t="str">
        <x:v>Fully Paid</x:v>
      </x:c>
      <x:c r="O2817" t="str">
        <x:f>IF(D2817="","Unknown",IF(D2817&lt;25000,"&lt;$25k",IF(D2817&lt;50000,"$25k-$50k",IF(D2817&lt;75000,"$50k-$75k",IF(D2817&lt;100000,"$75k-$100k","$100k+")))))</x:f>
        <x:v>$25k-$50k</x:v>
      </x:c>
      <x:c r="P2817" t="str">
        <x:f>IF(E2817="","Unknown",IF(E2817&lt;10,"&lt;10",IF(E2817&lt;20,"10-&lt;20",IF(E2817&lt;25,"20-&lt;25",IF(E2817&lt;35,"25-&lt;35","35+")))))</x:f>
        <x:v>35+</x:v>
      </x:c>
    </x:row>
    <x:row r="2818">
      <x:c r="A2818" t="str">
        <x:v>SYN0002817</x:v>
      </x:c>
      <x:c r="B2818" s="12" t="n">
        <x:v>42895</x:v>
      </x:c>
      <x:c r="C2818" s="18" t="n">
        <x:v>8762</x:v>
      </x:c>
      <x:c r="D2818" s="18" t="n">
        <x:v>48833</x:v>
      </x:c>
      <x:c r="E2818" s="18" t="n">
        <x:v>13.19</x:v>
      </x:c>
      <x:c r="F2818" s="18" t="n">
        <x:v>10.72</x:v>
      </x:c>
      <x:c r="G2818" t="n">
        <x:v>60</x:v>
      </x:c>
      <x:c r="H2818" t="str">
        <x:v>C</x:v>
      </x:c>
      <x:c r="I2818" t="str">
        <x:v>4-6 years</x:v>
      </x:c>
      <x:c r="J2818" t="str">
        <x:v>MORTGAGE</x:v>
      </x:c>
      <x:c r="K2818" t="str">
        <x:v>debt_consolidation</x:v>
      </x:c>
      <x:c r="L2818" t="n">
        <x:v>0</x:v>
      </x:c>
      <x:c r="M2818" t="n">
        <x:v>0</x:v>
      </x:c>
      <x:c r="N2818" t="str">
        <x:v>Fully Paid</x:v>
      </x:c>
      <x:c r="O2818" t="str">
        <x:f>IF(D2818="","Unknown",IF(D2818&lt;25000,"&lt;$25k",IF(D2818&lt;50000,"$25k-$50k",IF(D2818&lt;75000,"$50k-$75k",IF(D2818&lt;100000,"$75k-$100k","$100k+")))))</x:f>
        <x:v>$25k-$50k</x:v>
      </x:c>
      <x:c r="P2818" t="str">
        <x:f>IF(E2818="","Unknown",IF(E2818&lt;10,"&lt;10",IF(E2818&lt;20,"10-&lt;20",IF(E2818&lt;25,"20-&lt;25",IF(E2818&lt;35,"25-&lt;35","35+")))))</x:f>
        <x:v>10-&lt;20</x:v>
      </x:c>
    </x:row>
    <x:row r="2819">
      <x:c r="A2819" t="str">
        <x:v>SYN0002818</x:v>
      </x:c>
      <x:c r="B2819" s="12" t="n">
        <x:v>42505</x:v>
      </x:c>
      <x:c r="C2819" s="18" t="n">
        <x:v>10875</x:v>
      </x:c>
      <x:c r="D2819" s="18" t="n">
        <x:v>32150</x:v>
      </x:c>
      <x:c r="E2819" s="18" t="n">
        <x:v>28.62</x:v>
      </x:c>
      <x:c r="F2819" s="18" t="n">
        <x:v>20.6</x:v>
      </x:c>
      <x:c r="G2819" t="n">
        <x:v>36</x:v>
      </x:c>
      <x:c r="H2819" t="str">
        <x:v>F</x:v>
      </x:c>
      <x:c r="I2819" t="str">
        <x:v>4-6 years</x:v>
      </x:c>
      <x:c r="J2819" t="str">
        <x:v>MORTGAGE</x:v>
      </x:c>
      <x:c r="K2819" t="str">
        <x:v>debt_consolidation</x:v>
      </x:c>
      <x:c r="L2819" t="n">
        <x:v>2</x:v>
      </x:c>
      <x:c r="M2819" t="n">
        <x:v>0</x:v>
      </x:c>
      <x:c r="N2819" t="str">
        <x:v>Fully Paid</x:v>
      </x:c>
      <x:c r="O2819" t="str">
        <x:f>IF(D2819="","Unknown",IF(D2819&lt;25000,"&lt;$25k",IF(D2819&lt;50000,"$25k-$50k",IF(D2819&lt;75000,"$50k-$75k",IF(D2819&lt;100000,"$75k-$100k","$100k+")))))</x:f>
        <x:v>$25k-$50k</x:v>
      </x:c>
      <x:c r="P2819" t="str">
        <x:f>IF(E2819="","Unknown",IF(E2819&lt;10,"&lt;10",IF(E2819&lt;20,"10-&lt;20",IF(E2819&lt;25,"20-&lt;25",IF(E2819&lt;35,"25-&lt;35","35+")))))</x:f>
        <x:v>25-&lt;35</x:v>
      </x:c>
    </x:row>
    <x:row r="2820">
      <x:c r="A2820" t="str">
        <x:v>SYN0002819</x:v>
      </x:c>
      <x:c r="B2820" s="12" t="n">
        <x:v>41485</x:v>
      </x:c>
      <x:c r="C2820" s="18" t="n">
        <x:v>13543</x:v>
      </x:c>
      <x:c r="D2820" s="18" t="n">
        <x:v>60772</x:v>
      </x:c>
      <x:c r="E2820" s="18" t="n">
        <x:v>21.79</x:v>
      </x:c>
      <x:c r="F2820" s="18" t="n">
        <x:v>11.01</x:v>
      </x:c>
      <x:c r="G2820" t="n">
        <x:v>36</x:v>
      </x:c>
      <x:c r="H2820" t="str">
        <x:v>C</x:v>
      </x:c>
      <x:c r="I2820" t="str">
        <x:v>4-6 years</x:v>
      </x:c>
      <x:c r="J2820" t="str">
        <x:v>MORTGAGE</x:v>
      </x:c>
      <x:c r="K2820" t="str">
        <x:v>debt_consolidation</x:v>
      </x:c>
      <x:c r="L2820" t="n">
        <x:v>0</x:v>
      </x:c>
      <x:c r="M2820" t="n">
        <x:v>0</x:v>
      </x:c>
      <x:c r="N2820" t="str">
        <x:v>Fully Paid</x:v>
      </x:c>
      <x:c r="O2820" t="str">
        <x:f>IF(D2820="","Unknown",IF(D2820&lt;25000,"&lt;$25k",IF(D2820&lt;50000,"$25k-$50k",IF(D2820&lt;75000,"$50k-$75k",IF(D2820&lt;100000,"$75k-$100k","$100k+")))))</x:f>
        <x:v>$50k-$75k</x:v>
      </x:c>
      <x:c r="P2820" t="str">
        <x:f>IF(E2820="","Unknown",IF(E2820&lt;10,"&lt;10",IF(E2820&lt;20,"10-&lt;20",IF(E2820&lt;25,"20-&lt;25",IF(E2820&lt;35,"25-&lt;35","35+")))))</x:f>
        <x:v>20-&lt;25</x:v>
      </x:c>
    </x:row>
    <x:row r="2821">
      <x:c r="A2821" t="str">
        <x:v>SYN0002820</x:v>
      </x:c>
      <x:c r="B2821" s="12" t="n">
        <x:v>41365</x:v>
      </x:c>
      <x:c r="C2821" s="18" t="n">
        <x:v>6719</x:v>
      </x:c>
      <x:c r="D2821" s="18" t="n">
        <x:v>65741</x:v>
      </x:c>
      <x:c r="E2821" s="18" t="n">
        <x:v>28.93</x:v>
      </x:c>
      <x:c r="F2821" s="18" t="n">
        <x:v>10.14</x:v>
      </x:c>
      <x:c r="G2821" t="n">
        <x:v>36</x:v>
      </x:c>
      <x:c r="H2821" t="str">
        <x:v>B</x:v>
      </x:c>
      <x:c r="I2821" t="str">
        <x:v>&lt;1 year</x:v>
      </x:c>
      <x:c r="J2821" t="str">
        <x:v>RENT</x:v>
      </x:c>
      <x:c r="K2821" t="str">
        <x:v>credit_card</x:v>
      </x:c>
      <x:c r="L2821" t="n">
        <x:v>0</x:v>
      </x:c>
      <x:c r="M2821" t="n">
        <x:v>0</x:v>
      </x:c>
      <x:c r="N2821" t="str">
        <x:v>Fully Paid</x:v>
      </x:c>
      <x:c r="O2821" t="str">
        <x:f>IF(D2821="","Unknown",IF(D2821&lt;25000,"&lt;$25k",IF(D2821&lt;50000,"$25k-$50k",IF(D2821&lt;75000,"$50k-$75k",IF(D2821&lt;100000,"$75k-$100k","$100k+")))))</x:f>
        <x:v>$50k-$75k</x:v>
      </x:c>
      <x:c r="P2821" t="str">
        <x:f>IF(E2821="","Unknown",IF(E2821&lt;10,"&lt;10",IF(E2821&lt;20,"10-&lt;20",IF(E2821&lt;25,"20-&lt;25",IF(E2821&lt;35,"25-&lt;35","35+")))))</x:f>
        <x:v>25-&lt;35</x:v>
      </x:c>
    </x:row>
    <x:row r="2822">
      <x:c r="A2822" t="str">
        <x:v>SYN0002821</x:v>
      </x:c>
      <x:c r="B2822" s="12" t="n">
        <x:v>43255</x:v>
      </x:c>
      <x:c r="C2822" s="18" t="n">
        <x:v>21607</x:v>
      </x:c>
      <x:c r="D2822" s="18" t="n">
        <x:v>45001</x:v>
      </x:c>
      <x:c r="E2822" s="18" t="n">
        <x:v>12.32</x:v>
      </x:c>
      <x:c r="F2822" s="18" t="n">
        <x:v>15.22</x:v>
      </x:c>
      <x:c r="G2822" t="n">
        <x:v>36</x:v>
      </x:c>
      <x:c r="H2822" t="str">
        <x:v>D</x:v>
      </x:c>
      <x:c r="I2822" t="str">
        <x:v>1-3 years</x:v>
      </x:c>
      <x:c r="J2822" t="str">
        <x:v>OWN</x:v>
      </x:c>
      <x:c r="K2822" t="str">
        <x:v>medical</x:v>
      </x:c>
      <x:c r="L2822" t="n">
        <x:v>1</x:v>
      </x:c>
      <x:c r="M2822" t="n">
        <x:v>0</x:v>
      </x:c>
      <x:c r="N2822" t="str">
        <x:v>Fully Paid</x:v>
      </x:c>
      <x:c r="O2822" t="str">
        <x:f>IF(D2822="","Unknown",IF(D2822&lt;25000,"&lt;$25k",IF(D2822&lt;50000,"$25k-$50k",IF(D2822&lt;75000,"$50k-$75k",IF(D2822&lt;100000,"$75k-$100k","$100k+")))))</x:f>
        <x:v>$25k-$50k</x:v>
      </x:c>
      <x:c r="P2822" t="str">
        <x:f>IF(E2822="","Unknown",IF(E2822&lt;10,"&lt;10",IF(E2822&lt;20,"10-&lt;20",IF(E2822&lt;25,"20-&lt;25",IF(E2822&lt;35,"25-&lt;35","35+")))))</x:f>
        <x:v>10-&lt;20</x:v>
      </x:c>
    </x:row>
    <x:row r="2823">
      <x:c r="A2823" t="str">
        <x:v>SYN0002822</x:v>
      </x:c>
      <x:c r="B2823" s="12" t="n">
        <x:v>41605</x:v>
      </x:c>
      <x:c r="C2823" s="18" t="n">
        <x:v>17690</x:v>
      </x:c>
      <x:c r="D2823" s="18" t="n">
        <x:v>144934</x:v>
      </x:c>
      <x:c r="E2823" s="18" t="n">
        <x:v>18.99</x:v>
      </x:c>
      <x:c r="F2823" s="18" t="n">
        <x:v>7.52</x:v>
      </x:c>
      <x:c r="G2823" t="n">
        <x:v>60</x:v>
      </x:c>
      <x:c r="H2823" t="str">
        <x:v>B</x:v>
      </x:c>
      <x:c r="I2823" t="str">
        <x:v>1-3 years</x:v>
      </x:c>
      <x:c r="J2823" t="str">
        <x:v>MORTGAGE</x:v>
      </x:c>
      <x:c r="K2823" t="str">
        <x:v>credit_card</x:v>
      </x:c>
      <x:c r="L2823" t="n">
        <x:v>0</x:v>
      </x:c>
      <x:c r="M2823" t="n">
        <x:v>0</x:v>
      </x:c>
      <x:c r="N2823" t="str">
        <x:v>Fully Paid</x:v>
      </x:c>
      <x:c r="O2823" t="str">
        <x:f>IF(D2823="","Unknown",IF(D2823&lt;25000,"&lt;$25k",IF(D2823&lt;50000,"$25k-$50k",IF(D2823&lt;75000,"$50k-$75k",IF(D2823&lt;100000,"$75k-$100k","$100k+")))))</x:f>
        <x:v>$100k+</x:v>
      </x:c>
      <x:c r="P2823" t="str">
        <x:f>IF(E2823="","Unknown",IF(E2823&lt;10,"&lt;10",IF(E2823&lt;20,"10-&lt;20",IF(E2823&lt;25,"20-&lt;25",IF(E2823&lt;35,"25-&lt;35","35+")))))</x:f>
        <x:v>10-&lt;20</x:v>
      </x:c>
    </x:row>
    <x:row r="2824">
      <x:c r="A2824" t="str">
        <x:v>SYN0002823</x:v>
      </x:c>
      <x:c r="B2824" s="12" t="n">
        <x:v>42805</x:v>
      </x:c>
      <x:c r="C2824" s="18" t="n">
        <x:v>21898</x:v>
      </x:c>
      <x:c r="D2824" s="18" t="n">
        <x:v>46437</x:v>
      </x:c>
      <x:c r="E2824" s="18" t="n">
        <x:v>16.7</x:v>
      </x:c>
      <x:c r="F2824" s="18" t="n">
        <x:v>15.56</x:v>
      </x:c>
      <x:c r="G2824" t="n">
        <x:v>60</x:v>
      </x:c>
      <x:c r="H2824" t="str">
        <x:v>E</x:v>
      </x:c>
      <x:c r="I2824" t="str">
        <x:v>10+ years</x:v>
      </x:c>
      <x:c r="J2824" t="str">
        <x:v>MORTGAGE</x:v>
      </x:c>
      <x:c r="K2824" t="str">
        <x:v>debt_consolidation</x:v>
      </x:c>
      <x:c r="L2824" t="n">
        <x:v>0</x:v>
      </x:c>
      <x:c r="M2824" t="n">
        <x:v>0</x:v>
      </x:c>
      <x:c r="N2824" t="str">
        <x:v>Fully Paid</x:v>
      </x:c>
      <x:c r="O2824" t="str">
        <x:f>IF(D2824="","Unknown",IF(D2824&lt;25000,"&lt;$25k",IF(D2824&lt;50000,"$25k-$50k",IF(D2824&lt;75000,"$50k-$75k",IF(D2824&lt;100000,"$75k-$100k","$100k+")))))</x:f>
        <x:v>$25k-$50k</x:v>
      </x:c>
      <x:c r="P2824" t="str">
        <x:f>IF(E2824="","Unknown",IF(E2824&lt;10,"&lt;10",IF(E2824&lt;20,"10-&lt;20",IF(E2824&lt;25,"20-&lt;25",IF(E2824&lt;35,"25-&lt;35","35+")))))</x:f>
        <x:v>10-&lt;20</x:v>
      </x:c>
    </x:row>
    <x:row r="2825">
      <x:c r="A2825" t="str">
        <x:v>SYN0002824</x:v>
      </x:c>
      <x:c r="B2825" s="12" t="n">
        <x:v>43405</x:v>
      </x:c>
      <x:c r="C2825" s="18" t="n">
        <x:v>19545</x:v>
      </x:c>
      <x:c r="D2825" s="18" t="n">
        <x:v>31416</x:v>
      </x:c>
      <x:c r="E2825" s="18" t="n">
        <x:v>24.52</x:v>
      </x:c>
      <x:c r="F2825" s="18" t="n">
        <x:v>18.38</x:v>
      </x:c>
      <x:c r="G2825" t="n">
        <x:v>36</x:v>
      </x:c>
      <x:c r="H2825" t="str">
        <x:v>E</x:v>
      </x:c>
      <x:c r="I2825" t="str">
        <x:v>10+ years</x:v>
      </x:c>
      <x:c r="J2825" t="str">
        <x:v>OWN</x:v>
      </x:c>
      <x:c r="K2825" t="str">
        <x:v>other</x:v>
      </x:c>
      <x:c r="L2825" t="n">
        <x:v>0</x:v>
      </x:c>
      <x:c r="M2825" t="n">
        <x:v>0</x:v>
      </x:c>
      <x:c r="N2825" t="str">
        <x:v>Fully Paid</x:v>
      </x:c>
      <x:c r="O2825" t="str">
        <x:f>IF(D2825="","Unknown",IF(D2825&lt;25000,"&lt;$25k",IF(D2825&lt;50000,"$25k-$50k",IF(D2825&lt;75000,"$50k-$75k",IF(D2825&lt;100000,"$75k-$100k","$100k+")))))</x:f>
        <x:v>$25k-$50k</x:v>
      </x:c>
      <x:c r="P2825" t="str">
        <x:f>IF(E2825="","Unknown",IF(E2825&lt;10,"&lt;10",IF(E2825&lt;20,"10-&lt;20",IF(E2825&lt;25,"20-&lt;25",IF(E2825&lt;35,"25-&lt;35","35+")))))</x:f>
        <x:v>20-&lt;25</x:v>
      </x:c>
    </x:row>
    <x:row r="2826">
      <x:c r="A2826" t="str">
        <x:v>SYN0002825</x:v>
      </x:c>
      <x:c r="B2826" s="12" t="n">
        <x:v>41335</x:v>
      </x:c>
      <x:c r="C2826" s="18" t="n">
        <x:v>21928</x:v>
      </x:c>
      <x:c r="D2826" s="18" t="n">
        <x:v>61491</x:v>
      </x:c>
      <x:c r="E2826" s="18" t="n">
        <x:v>17.21</x:v>
      </x:c>
      <x:c r="F2826" s="18" t="n">
        <x:v>18.23</x:v>
      </x:c>
      <x:c r="G2826" t="n">
        <x:v>36</x:v>
      </x:c>
      <x:c r="H2826" t="str">
        <x:v>E</x:v>
      </x:c>
      <x:c r="I2826" t="str">
        <x:v>4-6 years</x:v>
      </x:c>
      <x:c r="J2826" t="str">
        <x:v>RENT</x:v>
      </x:c>
      <x:c r="K2826" t="str">
        <x:v>major_purchase</x:v>
      </x:c>
      <x:c r="L2826" t="n">
        <x:v>1</x:v>
      </x:c>
      <x:c r="M2826" t="n">
        <x:v>1</x:v>
      </x:c>
      <x:c r="N2826" t="str">
        <x:v>Charged Off</x:v>
      </x:c>
      <x:c r="O2826" t="str">
        <x:f>IF(D2826="","Unknown",IF(D2826&lt;25000,"&lt;$25k",IF(D2826&lt;50000,"$25k-$50k",IF(D2826&lt;75000,"$50k-$75k",IF(D2826&lt;100000,"$75k-$100k","$100k+")))))</x:f>
        <x:v>$50k-$75k</x:v>
      </x:c>
      <x:c r="P2826" t="str">
        <x:f>IF(E2826="","Unknown",IF(E2826&lt;10,"&lt;10",IF(E2826&lt;20,"10-&lt;20",IF(E2826&lt;25,"20-&lt;25",IF(E2826&lt;35,"25-&lt;35","35+")))))</x:f>
        <x:v>10-&lt;20</x:v>
      </x:c>
    </x:row>
    <x:row r="2827">
      <x:c r="A2827" t="str">
        <x:v>SYN0002826</x:v>
      </x:c>
      <x:c r="B2827" s="12" t="n">
        <x:v>42685</x:v>
      </x:c>
      <x:c r="C2827" s="18" t="n">
        <x:v>10481</x:v>
      </x:c>
      <x:c r="D2827" s="18" t="n">
        <x:v>19158</x:v>
      </x:c>
      <x:c r="E2827" s="18" t="n">
        <x:v>25.1</x:v>
      </x:c>
      <x:c r="F2827" s="18" t="n">
        <x:v>18.67</x:v>
      </x:c>
      <x:c r="G2827" t="n">
        <x:v>60</x:v>
      </x:c>
      <x:c r="H2827" t="str">
        <x:v>E</x:v>
      </x:c>
      <x:c r="I2827" t="str">
        <x:v>7-9 years</x:v>
      </x:c>
      <x:c r="J2827" t="str">
        <x:v>RENT</x:v>
      </x:c>
      <x:c r="K2827" t="str">
        <x:v>credit_card</x:v>
      </x:c>
      <x:c r="L2827" t="n">
        <x:v>1</x:v>
      </x:c>
      <x:c r="M2827" t="n">
        <x:v>0</x:v>
      </x:c>
      <x:c r="N2827" t="str">
        <x:v>Fully Paid</x:v>
      </x:c>
      <x:c r="O2827" t="str">
        <x:f>IF(D2827="","Unknown",IF(D2827&lt;25000,"&lt;$25k",IF(D2827&lt;50000,"$25k-$50k",IF(D2827&lt;75000,"$50k-$75k",IF(D2827&lt;100000,"$75k-$100k","$100k+")))))</x:f>
        <x:v>&lt;$25k</x:v>
      </x:c>
      <x:c r="P2827" t="str">
        <x:f>IF(E2827="","Unknown",IF(E2827&lt;10,"&lt;10",IF(E2827&lt;20,"10-&lt;20",IF(E2827&lt;25,"20-&lt;25",IF(E2827&lt;35,"25-&lt;35","35+")))))</x:f>
        <x:v>25-&lt;35</x:v>
      </x:c>
    </x:row>
    <x:row r="2828">
      <x:c r="A2828" t="str">
        <x:v>SYN0002827</x:v>
      </x:c>
      <x:c r="B2828" s="12" t="n">
        <x:v>42625</x:v>
      </x:c>
      <x:c r="C2828" s="18" t="n">
        <x:v>15421</x:v>
      </x:c>
      <x:c r="D2828" s="18" t="n">
        <x:v>85466</x:v>
      </x:c>
      <x:c r="E2828" s="18" t="n">
        <x:v>32.05</x:v>
      </x:c>
      <x:c r="F2828" s="18" t="n">
        <x:v>13.48</x:v>
      </x:c>
      <x:c r="G2828" t="n">
        <x:v>60</x:v>
      </x:c>
      <x:c r="H2828" t="str">
        <x:v>C</x:v>
      </x:c>
      <x:c r="I2828" t="str">
        <x:v>7-9 years</x:v>
      </x:c>
      <x:c r="J2828" t="str">
        <x:v>MORTGAGE</x:v>
      </x:c>
      <x:c r="K2828" t="str">
        <x:v>home_improvement</x:v>
      </x:c>
      <x:c r="L2828" t="n">
        <x:v>1</x:v>
      </x:c>
      <x:c r="M2828" t="n">
        <x:v>0</x:v>
      </x:c>
      <x:c r="N2828" t="str">
        <x:v>Fully Paid</x:v>
      </x:c>
      <x:c r="O2828" t="str">
        <x:f>IF(D2828="","Unknown",IF(D2828&lt;25000,"&lt;$25k",IF(D2828&lt;50000,"$25k-$50k",IF(D2828&lt;75000,"$50k-$75k",IF(D2828&lt;100000,"$75k-$100k","$100k+")))))</x:f>
        <x:v>$75k-$100k</x:v>
      </x:c>
      <x:c r="P2828" t="str">
        <x:f>IF(E2828="","Unknown",IF(E2828&lt;10,"&lt;10",IF(E2828&lt;20,"10-&lt;20",IF(E2828&lt;25,"20-&lt;25",IF(E2828&lt;35,"25-&lt;35","35+")))))</x:f>
        <x:v>25-&lt;35</x:v>
      </x:c>
    </x:row>
    <x:row r="2829">
      <x:c r="A2829" t="str">
        <x:v>SYN0002828</x:v>
      </x:c>
      <x:c r="B2829" s="12" t="n">
        <x:v>41995</x:v>
      </x:c>
      <x:c r="C2829" s="18" t="n">
        <x:v>11799</x:v>
      </x:c>
      <x:c r="D2829" s="18" t="n">
        <x:v>40192</x:v>
      </x:c>
      <x:c r="E2829" s="18" t="n">
        <x:v>7.2</x:v>
      </x:c>
      <x:c r="F2829" s="18" t="n">
        <x:v>6.83</x:v>
      </x:c>
      <x:c r="G2829" t="n">
        <x:v>36</x:v>
      </x:c>
      <x:c r="H2829" t="str">
        <x:v>B</x:v>
      </x:c>
      <x:c r="I2829" t="str">
        <x:v>&lt;1 year</x:v>
      </x:c>
      <x:c r="J2829" t="str">
        <x:v>RENT</x:v>
      </x:c>
      <x:c r="K2829" t="str">
        <x:v>debt_consolidation</x:v>
      </x:c>
      <x:c r="L2829" t="n">
        <x:v>0</x:v>
      </x:c>
      <x:c r="M2829" t="n">
        <x:v>0</x:v>
      </x:c>
      <x:c r="N2829" t="str">
        <x:v>Fully Paid</x:v>
      </x:c>
      <x:c r="O2829" t="str">
        <x:f>IF(D2829="","Unknown",IF(D2829&lt;25000,"&lt;$25k",IF(D2829&lt;50000,"$25k-$50k",IF(D2829&lt;75000,"$50k-$75k",IF(D2829&lt;100000,"$75k-$100k","$100k+")))))</x:f>
        <x:v>$25k-$50k</x:v>
      </x:c>
      <x:c r="P2829" t="str">
        <x:f>IF(E2829="","Unknown",IF(E2829&lt;10,"&lt;10",IF(E2829&lt;20,"10-&lt;20",IF(E2829&lt;25,"20-&lt;25",IF(E2829&lt;35,"25-&lt;35","35+")))))</x:f>
        <x:v>&lt;10</x:v>
      </x:c>
    </x:row>
    <x:row r="2830">
      <x:c r="A2830" t="str">
        <x:v>SYN0002829</x:v>
      </x:c>
      <x:c r="B2830" s="12" t="n">
        <x:v>42595</x:v>
      </x:c>
      <x:c r="C2830" s="18" t="n">
        <x:v>8477</x:v>
      </x:c>
      <x:c r="D2830" s="18" t="n">
        <x:v>132222</x:v>
      </x:c>
      <x:c r="E2830" s="18" t="n">
        <x:v>19.73</x:v>
      </x:c>
      <x:c r="F2830" s="18" t="n">
        <x:v>5.72</x:v>
      </x:c>
      <x:c r="G2830" t="n">
        <x:v>36</x:v>
      </x:c>
      <x:c r="H2830" t="str">
        <x:v>A</x:v>
      </x:c>
      <x:c r="I2830" t="str">
        <x:v>10+ years</x:v>
      </x:c>
      <x:c r="J2830" t="str">
        <x:v>MORTGAGE</x:v>
      </x:c>
      <x:c r="K2830" t="str">
        <x:v>other</x:v>
      </x:c>
      <x:c r="L2830" t="n">
        <x:v>0</x:v>
      </x:c>
      <x:c r="M2830" t="n">
        <x:v>0</x:v>
      </x:c>
      <x:c r="N2830" t="str">
        <x:v>Fully Paid</x:v>
      </x:c>
      <x:c r="O2830" t="str">
        <x:f>IF(D2830="","Unknown",IF(D2830&lt;25000,"&lt;$25k",IF(D2830&lt;50000,"$25k-$50k",IF(D2830&lt;75000,"$50k-$75k",IF(D2830&lt;100000,"$75k-$100k","$100k+")))))</x:f>
        <x:v>$100k+</x:v>
      </x:c>
      <x:c r="P2830" t="str">
        <x:f>IF(E2830="","Unknown",IF(E2830&lt;10,"&lt;10",IF(E2830&lt;20,"10-&lt;20",IF(E2830&lt;25,"20-&lt;25",IF(E2830&lt;35,"25-&lt;35","35+")))))</x:f>
        <x:v>10-&lt;20</x:v>
      </x:c>
    </x:row>
    <x:row r="2831">
      <x:c r="A2831" t="str">
        <x:v>SYN0002830</x:v>
      </x:c>
      <x:c r="B2831" s="12" t="n">
        <x:v>43075</x:v>
      </x:c>
      <x:c r="C2831" s="18" t="n">
        <x:v>10427</x:v>
      </x:c>
      <x:c r="D2831" s="18" t="n">
        <x:v>22956</x:v>
      </x:c>
      <x:c r="E2831" s="18" t="n">
        <x:v>30.17</x:v>
      </x:c>
      <x:c r="F2831" s="18" t="n">
        <x:v>21.3</x:v>
      </x:c>
      <x:c r="G2831" t="n">
        <x:v>60</x:v>
      </x:c>
      <x:c r="H2831" t="str">
        <x:v>F</x:v>
      </x:c>
      <x:c r="I2831" t="str">
        <x:v>7-9 years</x:v>
      </x:c>
      <x:c r="J2831" t="str">
        <x:v>RENT</x:v>
      </x:c>
      <x:c r="K2831" t="str">
        <x:v>debt_consolidation</x:v>
      </x:c>
      <x:c r="L2831" t="n">
        <x:v>1</x:v>
      </x:c>
      <x:c r="M2831" t="n">
        <x:v>0</x:v>
      </x:c>
      <x:c r="N2831" t="str">
        <x:v>Fully Paid</x:v>
      </x:c>
      <x:c r="O2831" t="str">
        <x:f>IF(D2831="","Unknown",IF(D2831&lt;25000,"&lt;$25k",IF(D2831&lt;50000,"$25k-$50k",IF(D2831&lt;75000,"$50k-$75k",IF(D2831&lt;100000,"$75k-$100k","$100k+")))))</x:f>
        <x:v>&lt;$25k</x:v>
      </x:c>
      <x:c r="P2831" t="str">
        <x:f>IF(E2831="","Unknown",IF(E2831&lt;10,"&lt;10",IF(E2831&lt;20,"10-&lt;20",IF(E2831&lt;25,"20-&lt;25",IF(E2831&lt;35,"25-&lt;35","35+")))))</x:f>
        <x:v>25-&lt;35</x:v>
      </x:c>
    </x:row>
    <x:row r="2832">
      <x:c r="A2832" t="str">
        <x:v>SYN0002831</x:v>
      </x:c>
      <x:c r="B2832" s="12" t="n">
        <x:v>41575</x:v>
      </x:c>
      <x:c r="C2832" s="18" t="n">
        <x:v>20697</x:v>
      </x:c>
      <x:c r="D2832" s="18" t="n">
        <x:v>115250</x:v>
      </x:c>
      <x:c r="E2832" s="18" t="n">
        <x:v>23.82</x:v>
      </x:c>
      <x:c r="F2832" s="18" t="n">
        <x:v>6.36</x:v>
      </x:c>
      <x:c r="G2832" t="n">
        <x:v>36</x:v>
      </x:c>
      <x:c r="H2832" t="str">
        <x:v>B</x:v>
      </x:c>
      <x:c r="I2832" t="str">
        <x:v>10+ years</x:v>
      </x:c>
      <x:c r="J2832" t="str">
        <x:v>MORTGAGE</x:v>
      </x:c>
      <x:c r="K2832" t="str">
        <x:v>credit_card</x:v>
      </x:c>
      <x:c r="L2832" t="n">
        <x:v>0</x:v>
      </x:c>
      <x:c r="M2832" t="n">
        <x:v>0</x:v>
      </x:c>
      <x:c r="N2832" t="str">
        <x:v>Fully Paid</x:v>
      </x:c>
      <x:c r="O2832" t="str">
        <x:f>IF(D2832="","Unknown",IF(D2832&lt;25000,"&lt;$25k",IF(D2832&lt;50000,"$25k-$50k",IF(D2832&lt;75000,"$50k-$75k",IF(D2832&lt;100000,"$75k-$100k","$100k+")))))</x:f>
        <x:v>$100k+</x:v>
      </x:c>
      <x:c r="P2832" t="str">
        <x:f>IF(E2832="","Unknown",IF(E2832&lt;10,"&lt;10",IF(E2832&lt;20,"10-&lt;20",IF(E2832&lt;25,"20-&lt;25",IF(E2832&lt;35,"25-&lt;35","35+")))))</x:f>
        <x:v>20-&lt;25</x:v>
      </x:c>
    </x:row>
    <x:row r="2833">
      <x:c r="A2833" t="str">
        <x:v>SYN0002832</x:v>
      </x:c>
      <x:c r="B2833" s="12" t="n">
        <x:v>42415</x:v>
      </x:c>
      <x:c r="C2833" s="18" t="n">
        <x:v>12394</x:v>
      </x:c>
      <x:c r="D2833" s="18" t="n">
        <x:v>82414</x:v>
      </x:c>
      <x:c r="E2833" s="18" t="n">
        <x:v>10.62</x:v>
      </x:c>
      <x:c r="F2833" s="18" t="n">
        <x:v>5.76</x:v>
      </x:c>
      <x:c r="G2833" t="n">
        <x:v>60</x:v>
      </x:c>
      <x:c r="H2833" t="str">
        <x:v>A</x:v>
      </x:c>
      <x:c r="I2833" t="str">
        <x:v>10+ years</x:v>
      </x:c>
      <x:c r="J2833" t="str">
        <x:v>RENT</x:v>
      </x:c>
      <x:c r="K2833" t="str">
        <x:v>credit_card</x:v>
      </x:c>
      <x:c r="L2833" t="n">
        <x:v>0</x:v>
      </x:c>
      <x:c r="M2833" t="n">
        <x:v>0</x:v>
      </x:c>
      <x:c r="N2833" t="str">
        <x:v>Fully Paid</x:v>
      </x:c>
      <x:c r="O2833" t="str">
        <x:f>IF(D2833="","Unknown",IF(D2833&lt;25000,"&lt;$25k",IF(D2833&lt;50000,"$25k-$50k",IF(D2833&lt;75000,"$50k-$75k",IF(D2833&lt;100000,"$75k-$100k","$100k+")))))</x:f>
        <x:v>$75k-$100k</x:v>
      </x:c>
      <x:c r="P2833" t="str">
        <x:f>IF(E2833="","Unknown",IF(E2833&lt;10,"&lt;10",IF(E2833&lt;20,"10-&lt;20",IF(E2833&lt;25,"20-&lt;25",IF(E2833&lt;35,"25-&lt;35","35+")))))</x:f>
        <x:v>10-&lt;20</x:v>
      </x:c>
    </x:row>
    <x:row r="2834">
      <x:c r="A2834" t="str">
        <x:v>SYN0002833</x:v>
      </x:c>
      <x:c r="B2834" s="12" t="n">
        <x:v>42865</x:v>
      </x:c>
      <x:c r="C2834" s="18" t="n">
        <x:v>32362</x:v>
      </x:c>
      <x:c r="D2834" s="18" t="n">
        <x:v>28602</x:v>
      </x:c>
      <x:c r="E2834" s="18" t="n">
        <x:v>34.07</x:v>
      </x:c>
      <x:c r="F2834" s="18" t="n">
        <x:v>16.84</x:v>
      </x:c>
      <x:c r="G2834" t="n">
        <x:v>36</x:v>
      </x:c>
      <x:c r="H2834" t="str">
        <x:v>D</x:v>
      </x:c>
      <x:c r="I2834" t="str">
        <x:v>4-6 years</x:v>
      </x:c>
      <x:c r="J2834" t="str">
        <x:v>RENT</x:v>
      </x:c>
      <x:c r="K2834" t="str">
        <x:v>debt_consolidation</x:v>
      </x:c>
      <x:c r="L2834" t="n">
        <x:v>1</x:v>
      </x:c>
      <x:c r="M2834" t="n">
        <x:v>1</x:v>
      </x:c>
      <x:c r="N2834" t="str">
        <x:v>Charged Off</x:v>
      </x:c>
      <x:c r="O2834" t="str">
        <x:f>IF(D2834="","Unknown",IF(D2834&lt;25000,"&lt;$25k",IF(D2834&lt;50000,"$25k-$50k",IF(D2834&lt;75000,"$50k-$75k",IF(D2834&lt;100000,"$75k-$100k","$100k+")))))</x:f>
        <x:v>$25k-$50k</x:v>
      </x:c>
      <x:c r="P2834" t="str">
        <x:f>IF(E2834="","Unknown",IF(E2834&lt;10,"&lt;10",IF(E2834&lt;20,"10-&lt;20",IF(E2834&lt;25,"20-&lt;25",IF(E2834&lt;35,"25-&lt;35","35+")))))</x:f>
        <x:v>25-&lt;35</x:v>
      </x:c>
    </x:row>
    <x:row r="2835">
      <x:c r="A2835" t="str">
        <x:v>SYN0002834</x:v>
      </x:c>
      <x:c r="B2835" s="12" t="n">
        <x:v>42835</x:v>
      </x:c>
      <x:c r="C2835" s="18" t="n">
        <x:v>24433</x:v>
      </x:c>
      <x:c r="D2835" s="18" t="n">
        <x:v>30853</x:v>
      </x:c>
      <x:c r="E2835" s="18" t="n">
        <x:v>20.07</x:v>
      </x:c>
      <x:c r="F2835" s="18" t="n">
        <x:v>19.74</x:v>
      </x:c>
      <x:c r="G2835" t="n">
        <x:v>36</x:v>
      </x:c>
      <x:c r="H2835" t="str">
        <x:v>E</x:v>
      </x:c>
      <x:c r="I2835" t="str">
        <x:v>&lt;1 year</x:v>
      </x:c>
      <x:c r="J2835" t="str">
        <x:v>OWN</x:v>
      </x:c>
      <x:c r="K2835" t="str">
        <x:v>credit_card</x:v>
      </x:c>
      <x:c r="L2835" t="n">
        <x:v>1</x:v>
      </x:c>
      <x:c r="M2835" t="n">
        <x:v>1</x:v>
      </x:c>
      <x:c r="N2835" t="str">
        <x:v>Charged Off</x:v>
      </x:c>
      <x:c r="O2835" t="str">
        <x:f>IF(D2835="","Unknown",IF(D2835&lt;25000,"&lt;$25k",IF(D2835&lt;50000,"$25k-$50k",IF(D2835&lt;75000,"$50k-$75k",IF(D2835&lt;100000,"$75k-$100k","$100k+")))))</x:f>
        <x:v>$25k-$50k</x:v>
      </x:c>
      <x:c r="P2835" t="str">
        <x:f>IF(E2835="","Unknown",IF(E2835&lt;10,"&lt;10",IF(E2835&lt;20,"10-&lt;20",IF(E2835&lt;25,"20-&lt;25",IF(E2835&lt;35,"25-&lt;35","35+")))))</x:f>
        <x:v>20-&lt;25</x:v>
      </x:c>
    </x:row>
    <x:row r="2836">
      <x:c r="A2836" t="str">
        <x:v>SYN0002835</x:v>
      </x:c>
      <x:c r="B2836" s="12" t="n">
        <x:v>42985</x:v>
      </x:c>
      <x:c r="C2836" s="18" t="n">
        <x:v>6704</x:v>
      </x:c>
      <x:c r="D2836" s="18" t="n">
        <x:v>58960</x:v>
      </x:c>
      <x:c r="E2836" s="18" t="n">
        <x:v>22.46</x:v>
      </x:c>
      <x:c r="F2836" s="18" t="n">
        <x:v>8.79</x:v>
      </x:c>
      <x:c r="G2836" t="n">
        <x:v>60</x:v>
      </x:c>
      <x:c r="H2836" t="str">
        <x:v>B</x:v>
      </x:c>
      <x:c r="I2836" t="str">
        <x:v>7-9 years</x:v>
      </x:c>
      <x:c r="J2836" t="str">
        <x:v>RENT</x:v>
      </x:c>
      <x:c r="K2836" t="str">
        <x:v>home_improvement</x:v>
      </x:c>
      <x:c r="L2836" t="n">
        <x:v>0</x:v>
      </x:c>
      <x:c r="M2836" t="n">
        <x:v>0</x:v>
      </x:c>
      <x:c r="N2836" t="str">
        <x:v>Fully Paid</x:v>
      </x:c>
      <x:c r="O2836" t="str">
        <x:f>IF(D2836="","Unknown",IF(D2836&lt;25000,"&lt;$25k",IF(D2836&lt;50000,"$25k-$50k",IF(D2836&lt;75000,"$50k-$75k",IF(D2836&lt;100000,"$75k-$100k","$100k+")))))</x:f>
        <x:v>$50k-$75k</x:v>
      </x:c>
      <x:c r="P2836" t="str">
        <x:f>IF(E2836="","Unknown",IF(E2836&lt;10,"&lt;10",IF(E2836&lt;20,"10-&lt;20",IF(E2836&lt;25,"20-&lt;25",IF(E2836&lt;35,"25-&lt;35","35+")))))</x:f>
        <x:v>20-&lt;25</x:v>
      </x:c>
    </x:row>
    <x:row r="2837">
      <x:c r="A2837" t="str">
        <x:v>SYN0002836</x:v>
      </x:c>
      <x:c r="B2837" s="12" t="n">
        <x:v>42685</x:v>
      </x:c>
      <x:c r="C2837" s="18" t="n">
        <x:v>4281</x:v>
      </x:c>
      <x:c r="D2837" s="18" t="n">
        <x:v>79132</x:v>
      </x:c>
      <x:c r="E2837" s="18" t="n">
        <x:v>27.29</x:v>
      </x:c>
      <x:c r="F2837" s="18" t="n">
        <x:v>7.01</x:v>
      </x:c>
      <x:c r="G2837" t="n">
        <x:v>60</x:v>
      </x:c>
      <x:c r="H2837" t="str">
        <x:v>B</x:v>
      </x:c>
      <x:c r="I2837" t="str">
        <x:v>7-9 years</x:v>
      </x:c>
      <x:c r="J2837" t="str">
        <x:v>MORTGAGE</x:v>
      </x:c>
      <x:c r="K2837" t="str">
        <x:v>major_purchase</x:v>
      </x:c>
      <x:c r="L2837" t="n">
        <x:v>0</x:v>
      </x:c>
      <x:c r="M2837" t="n">
        <x:v>0</x:v>
      </x:c>
      <x:c r="N2837" t="str">
        <x:v>Fully Paid</x:v>
      </x:c>
      <x:c r="O2837" t="str">
        <x:f>IF(D2837="","Unknown",IF(D2837&lt;25000,"&lt;$25k",IF(D2837&lt;50000,"$25k-$50k",IF(D2837&lt;75000,"$50k-$75k",IF(D2837&lt;100000,"$75k-$100k","$100k+")))))</x:f>
        <x:v>$75k-$100k</x:v>
      </x:c>
      <x:c r="P2837" t="str">
        <x:f>IF(E2837="","Unknown",IF(E2837&lt;10,"&lt;10",IF(E2837&lt;20,"10-&lt;20",IF(E2837&lt;25,"20-&lt;25",IF(E2837&lt;35,"25-&lt;35","35+")))))</x:f>
        <x:v>25-&lt;35</x:v>
      </x:c>
    </x:row>
    <x:row r="2838">
      <x:c r="A2838" t="str">
        <x:v>SYN0002837</x:v>
      </x:c>
      <x:c r="B2838" s="12" t="n">
        <x:v>43405</x:v>
      </x:c>
      <x:c r="C2838" s="18" t="n">
        <x:v>7388</x:v>
      </x:c>
      <x:c r="D2838" s="18" t="n">
        <x:v>45302</x:v>
      </x:c>
      <x:c r="E2838" s="18" t="n">
        <x:v>23.73</x:v>
      </x:c>
      <x:c r="F2838" s="18" t="n">
        <x:v>10.73</x:v>
      </x:c>
      <x:c r="G2838" t="n">
        <x:v>60</x:v>
      </x:c>
      <x:c r="H2838" t="str">
        <x:v>B</x:v>
      </x:c>
      <x:c r="I2838" t="str">
        <x:v>7-9 years</x:v>
      </x:c>
      <x:c r="J2838" t="str">
        <x:v>RENT</x:v>
      </x:c>
      <x:c r="K2838" t="str">
        <x:v>credit_card</x:v>
      </x:c>
      <x:c r="L2838" t="n">
        <x:v>0</x:v>
      </x:c>
      <x:c r="M2838" t="n">
        <x:v>0</x:v>
      </x:c>
      <x:c r="N2838" t="str">
        <x:v>Fully Paid</x:v>
      </x:c>
      <x:c r="O2838" t="str">
        <x:f>IF(D2838="","Unknown",IF(D2838&lt;25000,"&lt;$25k",IF(D2838&lt;50000,"$25k-$50k",IF(D2838&lt;75000,"$50k-$75k",IF(D2838&lt;100000,"$75k-$100k","$100k+")))))</x:f>
        <x:v>$25k-$50k</x:v>
      </x:c>
      <x:c r="P2838" t="str">
        <x:f>IF(E2838="","Unknown",IF(E2838&lt;10,"&lt;10",IF(E2838&lt;20,"10-&lt;20",IF(E2838&lt;25,"20-&lt;25",IF(E2838&lt;35,"25-&lt;35","35+")))))</x:f>
        <x:v>20-&lt;25</x:v>
      </x:c>
    </x:row>
    <x:row r="2839">
      <x:c r="A2839" t="str">
        <x:v>SYN0002838</x:v>
      </x:c>
      <x:c r="B2839" s="12" t="n">
        <x:v>41425</x:v>
      </x:c>
      <x:c r="C2839" s="18" t="n">
        <x:v>26724</x:v>
      </x:c>
      <x:c r="D2839" s="18" t="n">
        <x:v>31625</x:v>
      </x:c>
      <x:c r="E2839" s="18" t="n">
        <x:v>20.28</x:v>
      </x:c>
      <x:c r="F2839" s="18" t="n">
        <x:v>6.94</x:v>
      </x:c>
      <x:c r="G2839" t="n">
        <x:v>36</x:v>
      </x:c>
      <x:c r="H2839" t="str">
        <x:v>B</x:v>
      </x:c>
      <x:c r="I2839" t="str">
        <x:v>10+ years</x:v>
      </x:c>
      <x:c r="J2839" t="str">
        <x:v>MORTGAGE</x:v>
      </x:c>
      <x:c r="K2839" t="str">
        <x:v>other</x:v>
      </x:c>
      <x:c r="L2839" t="n">
        <x:v>1</x:v>
      </x:c>
      <x:c r="M2839" t="n">
        <x:v>0</x:v>
      </x:c>
      <x:c r="N2839" t="str">
        <x:v>Fully Paid</x:v>
      </x:c>
      <x:c r="O2839" t="str">
        <x:f>IF(D2839="","Unknown",IF(D2839&lt;25000,"&lt;$25k",IF(D2839&lt;50000,"$25k-$50k",IF(D2839&lt;75000,"$50k-$75k",IF(D2839&lt;100000,"$75k-$100k","$100k+")))))</x:f>
        <x:v>$25k-$50k</x:v>
      </x:c>
      <x:c r="P2839" t="str">
        <x:f>IF(E2839="","Unknown",IF(E2839&lt;10,"&lt;10",IF(E2839&lt;20,"10-&lt;20",IF(E2839&lt;25,"20-&lt;25",IF(E2839&lt;35,"25-&lt;35","35+")))))</x:f>
        <x:v>20-&lt;25</x:v>
      </x:c>
    </x:row>
    <x:row r="2840">
      <x:c r="A2840" t="str">
        <x:v>SYN0002839</x:v>
      </x:c>
      <x:c r="B2840" s="12" t="n">
        <x:v>42205</x:v>
      </x:c>
      <x:c r="C2840" s="18" t="n">
        <x:v>32329</x:v>
      </x:c>
      <x:c r="D2840" s="18" t="n">
        <x:v>183462</x:v>
      </x:c>
      <x:c r="E2840" s="18" t="n">
        <x:v>9.04</x:v>
      </x:c>
      <x:c r="F2840" s="18" t="n">
        <x:v>10.3</x:v>
      </x:c>
      <x:c r="G2840" t="n">
        <x:v>60</x:v>
      </x:c>
      <x:c r="H2840" t="str">
        <x:v>B</x:v>
      </x:c>
      <x:c r="I2840" t="str">
        <x:v>10+ years</x:v>
      </x:c>
      <x:c r="J2840" t="str">
        <x:v>OWN</x:v>
      </x:c>
      <x:c r="K2840" t="str">
        <x:v>debt_consolidation</x:v>
      </x:c>
      <x:c r="L2840" t="n">
        <x:v>1</x:v>
      </x:c>
      <x:c r="M2840" t="n">
        <x:v>0</x:v>
      </x:c>
      <x:c r="N2840" t="str">
        <x:v>Fully Paid</x:v>
      </x:c>
      <x:c r="O2840" t="str">
        <x:f>IF(D2840="","Unknown",IF(D2840&lt;25000,"&lt;$25k",IF(D2840&lt;50000,"$25k-$50k",IF(D2840&lt;75000,"$50k-$75k",IF(D2840&lt;100000,"$75k-$100k","$100k+")))))</x:f>
        <x:v>$100k+</x:v>
      </x:c>
      <x:c r="P2840" t="str">
        <x:f>IF(E2840="","Unknown",IF(E2840&lt;10,"&lt;10",IF(E2840&lt;20,"10-&lt;20",IF(E2840&lt;25,"20-&lt;25",IF(E2840&lt;35,"25-&lt;35","35+")))))</x:f>
        <x:v>&lt;10</x:v>
      </x:c>
    </x:row>
    <x:row r="2841">
      <x:c r="A2841" t="str">
        <x:v>SYN0002840</x:v>
      </x:c>
      <x:c r="B2841" s="12" t="n">
        <x:v>42895</x:v>
      </x:c>
      <x:c r="C2841" s="18" t="n">
        <x:v>7803</x:v>
      </x:c>
      <x:c r="D2841" s="18" t="n">
        <x:v>101926</x:v>
      </x:c>
      <x:c r="E2841" s="18" t="n">
        <x:v>5.08</x:v>
      </x:c>
      <x:c r="F2841" s="18" t="n">
        <x:v>10.99</x:v>
      </x:c>
      <x:c r="G2841" t="n">
        <x:v>60</x:v>
      </x:c>
      <x:c r="H2841" t="str">
        <x:v>C</x:v>
      </x:c>
      <x:c r="I2841" t="str">
        <x:v>4-6 years</x:v>
      </x:c>
      <x:c r="J2841" t="str">
        <x:v>RENT</x:v>
      </x:c>
      <x:c r="K2841" t="str">
        <x:v>debt_consolidation</x:v>
      </x:c>
      <x:c r="L2841" t="n">
        <x:v>1</x:v>
      </x:c>
      <x:c r="M2841" t="n">
        <x:v>1</x:v>
      </x:c>
      <x:c r="N2841" t="str">
        <x:v>Charged Off</x:v>
      </x:c>
      <x:c r="O2841" t="str">
        <x:f>IF(D2841="","Unknown",IF(D2841&lt;25000,"&lt;$25k",IF(D2841&lt;50000,"$25k-$50k",IF(D2841&lt;75000,"$50k-$75k",IF(D2841&lt;100000,"$75k-$100k","$100k+")))))</x:f>
        <x:v>$100k+</x:v>
      </x:c>
      <x:c r="P2841" t="str">
        <x:f>IF(E2841="","Unknown",IF(E2841&lt;10,"&lt;10",IF(E2841&lt;20,"10-&lt;20",IF(E2841&lt;25,"20-&lt;25",IF(E2841&lt;35,"25-&lt;35","35+")))))</x:f>
        <x:v>&lt;10</x:v>
      </x:c>
    </x:row>
    <x:row r="2842">
      <x:c r="A2842" t="str">
        <x:v>SYN0002841</x:v>
      </x:c>
      <x:c r="B2842" s="12" t="n">
        <x:v>41545</x:v>
      </x:c>
      <x:c r="C2842" s="18" t="n">
        <x:v>12432</x:v>
      </x:c>
      <x:c r="D2842" s="18" t="n">
        <x:v>44867</x:v>
      </x:c>
      <x:c r="E2842" s="18" t="n">
        <x:v>26.88</x:v>
      </x:c>
      <x:c r="F2842" s="18" t="n">
        <x:v>10.33</x:v>
      </x:c>
      <x:c r="G2842" t="n">
        <x:v>60</x:v>
      </x:c>
      <x:c r="H2842" t="str">
        <x:v>B</x:v>
      </x:c>
      <x:c r="I2842" t="str">
        <x:v>10+ years</x:v>
      </x:c>
      <x:c r="J2842" t="str">
        <x:v>RENT</x:v>
      </x:c>
      <x:c r="K2842" t="str">
        <x:v>debt_consolidation</x:v>
      </x:c>
      <x:c r="L2842" t="n">
        <x:v>1</x:v>
      </x:c>
      <x:c r="M2842" t="n">
        <x:v>1</x:v>
      </x:c>
      <x:c r="N2842" t="str">
        <x:v>Charged Off</x:v>
      </x:c>
      <x:c r="O2842" t="str">
        <x:f>IF(D2842="","Unknown",IF(D2842&lt;25000,"&lt;$25k",IF(D2842&lt;50000,"$25k-$50k",IF(D2842&lt;75000,"$50k-$75k",IF(D2842&lt;100000,"$75k-$100k","$100k+")))))</x:f>
        <x:v>$25k-$50k</x:v>
      </x:c>
      <x:c r="P2842" t="str">
        <x:f>IF(E2842="","Unknown",IF(E2842&lt;10,"&lt;10",IF(E2842&lt;20,"10-&lt;20",IF(E2842&lt;25,"20-&lt;25",IF(E2842&lt;35,"25-&lt;35","35+")))))</x:f>
        <x:v>25-&lt;35</x:v>
      </x:c>
    </x:row>
    <x:row r="2843">
      <x:c r="A2843" t="str">
        <x:v>SYN0002842</x:v>
      </x:c>
      <x:c r="B2843" s="12" t="n">
        <x:v>42505</x:v>
      </x:c>
      <x:c r="C2843" s="18" t="n">
        <x:v>13314</x:v>
      </x:c>
      <x:c r="D2843" s="18" t="n">
        <x:v>66611</x:v>
      </x:c>
      <x:c r="E2843" s="18" t="n">
        <x:v>11.76</x:v>
      </x:c>
      <x:c r="F2843" s="18" t="n">
        <x:v>14.44</x:v>
      </x:c>
      <x:c r="G2843" t="n">
        <x:v>60</x:v>
      </x:c>
      <x:c r="H2843" t="str">
        <x:v>D</x:v>
      </x:c>
      <x:c r="I2843" t="str">
        <x:v>10+ years</x:v>
      </x:c>
      <x:c r="J2843" t="str">
        <x:v>OWN</x:v>
      </x:c>
      <x:c r="K2843" t="str">
        <x:v>medical</x:v>
      </x:c>
      <x:c r="L2843" t="n">
        <x:v>0</x:v>
      </x:c>
      <x:c r="M2843" t="n">
        <x:v>0</x:v>
      </x:c>
      <x:c r="N2843" t="str">
        <x:v>Fully Paid</x:v>
      </x:c>
      <x:c r="O2843" t="str">
        <x:f>IF(D2843="","Unknown",IF(D2843&lt;25000,"&lt;$25k",IF(D2843&lt;50000,"$25k-$50k",IF(D2843&lt;75000,"$50k-$75k",IF(D2843&lt;100000,"$75k-$100k","$100k+")))))</x:f>
        <x:v>$50k-$75k</x:v>
      </x:c>
      <x:c r="P2843" t="str">
        <x:f>IF(E2843="","Unknown",IF(E2843&lt;10,"&lt;10",IF(E2843&lt;20,"10-&lt;20",IF(E2843&lt;25,"20-&lt;25",IF(E2843&lt;35,"25-&lt;35","35+")))))</x:f>
        <x:v>10-&lt;20</x:v>
      </x:c>
    </x:row>
    <x:row r="2844">
      <x:c r="A2844" t="str">
        <x:v>SYN0002843</x:v>
      </x:c>
      <x:c r="B2844" s="12" t="n">
        <x:v>41545</x:v>
      </x:c>
      <x:c r="C2844" s="18" t="n">
        <x:v>8929</x:v>
      </x:c>
      <x:c r="D2844" s="18" t="n">
        <x:v>112754</x:v>
      </x:c>
      <x:c r="E2844" s="18" t="n">
        <x:v>22.07</x:v>
      </x:c>
      <x:c r="F2844" s="18" t="n">
        <x:v>6.38</x:v>
      </x:c>
      <x:c r="G2844" t="n">
        <x:v>36</x:v>
      </x:c>
      <x:c r="H2844" t="str">
        <x:v>A</x:v>
      </x:c>
      <x:c r="I2844" t="str">
        <x:v>1-3 years</x:v>
      </x:c>
      <x:c r="J2844" t="str">
        <x:v>OWN</x:v>
      </x:c>
      <x:c r="K2844" t="str">
        <x:v>debt_consolidation</x:v>
      </x:c>
      <x:c r="L2844" t="n">
        <x:v>0</x:v>
      </x:c>
      <x:c r="M2844" t="n">
        <x:v>0</x:v>
      </x:c>
      <x:c r="N2844" t="str">
        <x:v>Fully Paid</x:v>
      </x:c>
      <x:c r="O2844" t="str">
        <x:f>IF(D2844="","Unknown",IF(D2844&lt;25000,"&lt;$25k",IF(D2844&lt;50000,"$25k-$50k",IF(D2844&lt;75000,"$50k-$75k",IF(D2844&lt;100000,"$75k-$100k","$100k+")))))</x:f>
        <x:v>$100k+</x:v>
      </x:c>
      <x:c r="P2844" t="str">
        <x:f>IF(E2844="","Unknown",IF(E2844&lt;10,"&lt;10",IF(E2844&lt;20,"10-&lt;20",IF(E2844&lt;25,"20-&lt;25",IF(E2844&lt;35,"25-&lt;35","35+")))))</x:f>
        <x:v>20-&lt;25</x:v>
      </x:c>
    </x:row>
    <x:row r="2845">
      <x:c r="A2845" t="str">
        <x:v>SYN0002844</x:v>
      </x:c>
      <x:c r="B2845" s="12" t="n">
        <x:v>42745</x:v>
      </x:c>
      <x:c r="C2845" s="18" t="n">
        <x:v>11976</x:v>
      </x:c>
      <x:c r="D2845" s="18" t="n">
        <x:v>16887</x:v>
      </x:c>
      <x:c r="E2845" s="18" t="n">
        <x:v>22.72</x:v>
      </x:c>
      <x:c r="F2845" s="18" t="n">
        <x:v>10.19</x:v>
      </x:c>
      <x:c r="G2845" t="n">
        <x:v>36</x:v>
      </x:c>
      <x:c r="H2845" t="str">
        <x:v>C</x:v>
      </x:c>
      <x:c r="I2845" t="str">
        <x:v>7-9 years</x:v>
      </x:c>
      <x:c r="J2845" t="str">
        <x:v>RENT</x:v>
      </x:c>
      <x:c r="K2845" t="str">
        <x:v>credit_card</x:v>
      </x:c>
      <x:c r="L2845" t="n">
        <x:v>0</x:v>
      </x:c>
      <x:c r="M2845" t="n">
        <x:v>0</x:v>
      </x:c>
      <x:c r="N2845" t="str">
        <x:v>Fully Paid</x:v>
      </x:c>
      <x:c r="O2845" t="str">
        <x:f>IF(D2845="","Unknown",IF(D2845&lt;25000,"&lt;$25k",IF(D2845&lt;50000,"$25k-$50k",IF(D2845&lt;75000,"$50k-$75k",IF(D2845&lt;100000,"$75k-$100k","$100k+")))))</x:f>
        <x:v>&lt;$25k</x:v>
      </x:c>
      <x:c r="P2845" t="str">
        <x:f>IF(E2845="","Unknown",IF(E2845&lt;10,"&lt;10",IF(E2845&lt;20,"10-&lt;20",IF(E2845&lt;25,"20-&lt;25",IF(E2845&lt;35,"25-&lt;35","35+")))))</x:f>
        <x:v>20-&lt;25</x:v>
      </x:c>
    </x:row>
    <x:row r="2846">
      <x:c r="A2846" t="str">
        <x:v>SYN0002845</x:v>
      </x:c>
      <x:c r="B2846" s="12" t="n">
        <x:v>42415</x:v>
      </x:c>
      <x:c r="C2846" s="18" t="n">
        <x:v>15059</x:v>
      </x:c>
      <x:c r="D2846" s="18" t="n">
        <x:v>29134</x:v>
      </x:c>
      <x:c r="E2846" s="18" t="n">
        <x:v>5.78</x:v>
      </x:c>
      <x:c r="F2846" s="18" t="n">
        <x:v>5.36</x:v>
      </x:c>
      <x:c r="G2846" t="n">
        <x:v>36</x:v>
      </x:c>
      <x:c r="H2846" t="str">
        <x:v>A</x:v>
      </x:c>
      <x:c r="I2846" t="str">
        <x:v>4-6 years</x:v>
      </x:c>
      <x:c r="J2846" t="str">
        <x:v>MORTGAGE</x:v>
      </x:c>
      <x:c r="K2846" t="str">
        <x:v>other</x:v>
      </x:c>
      <x:c r="L2846" t="n">
        <x:v>0</x:v>
      </x:c>
      <x:c r="M2846" t="n">
        <x:v>0</x:v>
      </x:c>
      <x:c r="N2846" t="str">
        <x:v>Fully Paid</x:v>
      </x:c>
      <x:c r="O2846" t="str">
        <x:f>IF(D2846="","Unknown",IF(D2846&lt;25000,"&lt;$25k",IF(D2846&lt;50000,"$25k-$50k",IF(D2846&lt;75000,"$50k-$75k",IF(D2846&lt;100000,"$75k-$100k","$100k+")))))</x:f>
        <x:v>$25k-$50k</x:v>
      </x:c>
      <x:c r="P2846" t="str">
        <x:f>IF(E2846="","Unknown",IF(E2846&lt;10,"&lt;10",IF(E2846&lt;20,"10-&lt;20",IF(E2846&lt;25,"20-&lt;25",IF(E2846&lt;35,"25-&lt;35","35+")))))</x:f>
        <x:v>&lt;10</x:v>
      </x:c>
    </x:row>
    <x:row r="2847">
      <x:c r="A2847" t="str">
        <x:v>SYN0002846</x:v>
      </x:c>
      <x:c r="B2847" s="12" t="n">
        <x:v>42985</x:v>
      </x:c>
      <x:c r="C2847" s="18" t="n">
        <x:v>7457</x:v>
      </x:c>
      <x:c r="D2847" s="18" t="n">
        <x:v>31143</x:v>
      </x:c>
      <x:c r="E2847" s="18" t="n">
        <x:v>27.84</x:v>
      </x:c>
      <x:c r="F2847" s="18" t="n">
        <x:v>19.29</x:v>
      </x:c>
      <x:c r="G2847" t="n">
        <x:v>36</x:v>
      </x:c>
      <x:c r="H2847" t="str">
        <x:v>E</x:v>
      </x:c>
      <x:c r="I2847" t="str">
        <x:v>10+ years</x:v>
      </x:c>
      <x:c r="J2847" t="str">
        <x:v>MORTGAGE</x:v>
      </x:c>
      <x:c r="K2847" t="str">
        <x:v>debt_consolidation</x:v>
      </x:c>
      <x:c r="L2847" t="n">
        <x:v>1</x:v>
      </x:c>
      <x:c r="M2847" t="n">
        <x:v>1</x:v>
      </x:c>
      <x:c r="N2847" t="str">
        <x:v>Charged Off</x:v>
      </x:c>
      <x:c r="O2847" t="str">
        <x:f>IF(D2847="","Unknown",IF(D2847&lt;25000,"&lt;$25k",IF(D2847&lt;50000,"$25k-$50k",IF(D2847&lt;75000,"$50k-$75k",IF(D2847&lt;100000,"$75k-$100k","$100k+")))))</x:f>
        <x:v>$25k-$50k</x:v>
      </x:c>
      <x:c r="P2847" t="str">
        <x:f>IF(E2847="","Unknown",IF(E2847&lt;10,"&lt;10",IF(E2847&lt;20,"10-&lt;20",IF(E2847&lt;25,"20-&lt;25",IF(E2847&lt;35,"25-&lt;35","35+")))))</x:f>
        <x:v>25-&lt;35</x:v>
      </x:c>
    </x:row>
    <x:row r="2848">
      <x:c r="A2848" t="str">
        <x:v>SYN0002847</x:v>
      </x:c>
      <x:c r="B2848" s="12" t="n">
        <x:v>42025</x:v>
      </x:c>
      <x:c r="C2848" s="18" t="n">
        <x:v>3984</x:v>
      </x:c>
      <x:c r="D2848" s="18" t="n">
        <x:v>34515</x:v>
      </x:c>
      <x:c r="E2848" s="18" t="n">
        <x:v>9.18</x:v>
      </x:c>
      <x:c r="F2848" s="18" t="n">
        <x:v>16.83</x:v>
      </x:c>
      <x:c r="G2848" t="n">
        <x:v>36</x:v>
      </x:c>
      <x:c r="H2848" t="str">
        <x:v>E</x:v>
      </x:c>
      <x:c r="I2848" t="str">
        <x:v>7-9 years</x:v>
      </x:c>
      <x:c r="J2848" t="str">
        <x:v>MORTGAGE</x:v>
      </x:c>
      <x:c r="K2848" t="str">
        <x:v>debt_consolidation</x:v>
      </x:c>
      <x:c r="L2848" t="n">
        <x:v>1</x:v>
      </x:c>
      <x:c r="M2848" t="n">
        <x:v>1</x:v>
      </x:c>
      <x:c r="N2848" t="str">
        <x:v>Charged Off</x:v>
      </x:c>
      <x:c r="O2848" t="str">
        <x:f>IF(D2848="","Unknown",IF(D2848&lt;25000,"&lt;$25k",IF(D2848&lt;50000,"$25k-$50k",IF(D2848&lt;75000,"$50k-$75k",IF(D2848&lt;100000,"$75k-$100k","$100k+")))))</x:f>
        <x:v>$25k-$50k</x:v>
      </x:c>
      <x:c r="P2848" t="str">
        <x:f>IF(E2848="","Unknown",IF(E2848&lt;10,"&lt;10",IF(E2848&lt;20,"10-&lt;20",IF(E2848&lt;25,"20-&lt;25",IF(E2848&lt;35,"25-&lt;35","35+")))))</x:f>
        <x:v>&lt;10</x:v>
      </x:c>
    </x:row>
    <x:row r="2849">
      <x:c r="A2849" t="str">
        <x:v>SYN0002848</x:v>
      </x:c>
      <x:c r="B2849" s="12" t="n">
        <x:v>43345</x:v>
      </x:c>
      <x:c r="C2849" s="18" t="n">
        <x:v>8576</x:v>
      </x:c>
      <x:c r="D2849" s="18" t="n">
        <x:v>14672</x:v>
      </x:c>
      <x:c r="E2849" s="18" t="n">
        <x:v>24.43</x:v>
      </x:c>
      <x:c r="F2849" s="18" t="n">
        <x:v>8.62</x:v>
      </x:c>
      <x:c r="G2849" t="n">
        <x:v>36</x:v>
      </x:c>
      <x:c r="H2849" t="str">
        <x:v>C</x:v>
      </x:c>
      <x:c r="I2849" t="str">
        <x:v>7-9 years</x:v>
      </x:c>
      <x:c r="J2849" t="str">
        <x:v>RENT</x:v>
      </x:c>
      <x:c r="K2849" t="str">
        <x:v>debt_consolidation</x:v>
      </x:c>
      <x:c r="L2849" t="n">
        <x:v>1</x:v>
      </x:c>
      <x:c r="M2849" t="n">
        <x:v>0</x:v>
      </x:c>
      <x:c r="N2849" t="str">
        <x:v>Fully Paid</x:v>
      </x:c>
      <x:c r="O2849" t="str">
        <x:f>IF(D2849="","Unknown",IF(D2849&lt;25000,"&lt;$25k",IF(D2849&lt;50000,"$25k-$50k",IF(D2849&lt;75000,"$50k-$75k",IF(D2849&lt;100000,"$75k-$100k","$100k+")))))</x:f>
        <x:v>&lt;$25k</x:v>
      </x:c>
      <x:c r="P2849" t="str">
        <x:f>IF(E2849="","Unknown",IF(E2849&lt;10,"&lt;10",IF(E2849&lt;20,"10-&lt;20",IF(E2849&lt;25,"20-&lt;25",IF(E2849&lt;35,"25-&lt;35","35+")))))</x:f>
        <x:v>20-&lt;25</x:v>
      </x:c>
    </x:row>
    <x:row r="2850">
      <x:c r="A2850" t="str">
        <x:v>SYN0002849</x:v>
      </x:c>
      <x:c r="B2850" s="12" t="n">
        <x:v>43345</x:v>
      </x:c>
      <x:c r="C2850" s="18" t="n">
        <x:v>6154</x:v>
      </x:c>
      <x:c r="D2850" s="18" t="n">
        <x:v>36471</x:v>
      </x:c>
      <x:c r="E2850" s="18" t="n">
        <x:v>41.91</x:v>
      </x:c>
      <x:c r="F2850" s="18" t="n">
        <x:v>14.25</x:v>
      </x:c>
      <x:c r="G2850" t="n">
        <x:v>36</x:v>
      </x:c>
      <x:c r="H2850" t="str">
        <x:v>D</x:v>
      </x:c>
      <x:c r="I2850" t="str">
        <x:v>4-6 years</x:v>
      </x:c>
      <x:c r="J2850" t="str">
        <x:v>OWN</x:v>
      </x:c>
      <x:c r="K2850" t="str">
        <x:v>credit_card</x:v>
      </x:c>
      <x:c r="L2850" t="n">
        <x:v>0</x:v>
      </x:c>
      <x:c r="M2850" t="n">
        <x:v>1</x:v>
      </x:c>
      <x:c r="N2850" t="str">
        <x:v>Charged Off</x:v>
      </x:c>
      <x:c r="O2850" t="str">
        <x:f>IF(D2850="","Unknown",IF(D2850&lt;25000,"&lt;$25k",IF(D2850&lt;50000,"$25k-$50k",IF(D2850&lt;75000,"$50k-$75k",IF(D2850&lt;100000,"$75k-$100k","$100k+")))))</x:f>
        <x:v>$25k-$50k</x:v>
      </x:c>
      <x:c r="P2850" t="str">
        <x:f>IF(E2850="","Unknown",IF(E2850&lt;10,"&lt;10",IF(E2850&lt;20,"10-&lt;20",IF(E2850&lt;25,"20-&lt;25",IF(E2850&lt;35,"25-&lt;35","35+")))))</x:f>
        <x:v>35+</x:v>
      </x:c>
    </x:row>
    <x:row r="2851">
      <x:c r="A2851" t="str">
        <x:v>SYN0002850</x:v>
      </x:c>
      <x:c r="B2851" s="12" t="n">
        <x:v>41815</x:v>
      </x:c>
      <x:c r="C2851" s="18" t="n">
        <x:v>12415</x:v>
      </x:c>
      <x:c r="D2851" s="18" t="n">
        <x:v>95952</x:v>
      </x:c>
      <x:c r="E2851" s="18" t="n">
        <x:v>28.82</x:v>
      </x:c>
      <x:c r="F2851" s="18" t="n">
        <x:v>6.89</x:v>
      </x:c>
      <x:c r="G2851" t="n">
        <x:v>36</x:v>
      </x:c>
      <x:c r="H2851" t="str">
        <x:v>A</x:v>
      </x:c>
      <x:c r="I2851" t="str">
        <x:v>4-6 years</x:v>
      </x:c>
      <x:c r="J2851" t="str">
        <x:v>RENT</x:v>
      </x:c>
      <x:c r="K2851" t="str">
        <x:v>other</x:v>
      </x:c>
      <x:c r="L2851" t="n">
        <x:v>0</x:v>
      </x:c>
      <x:c r="M2851" t="n">
        <x:v>0</x:v>
      </x:c>
      <x:c r="N2851" t="str">
        <x:v>Fully Paid</x:v>
      </x:c>
      <x:c r="O2851" t="str">
        <x:f>IF(D2851="","Unknown",IF(D2851&lt;25000,"&lt;$25k",IF(D2851&lt;50000,"$25k-$50k",IF(D2851&lt;75000,"$50k-$75k",IF(D2851&lt;100000,"$75k-$100k","$100k+")))))</x:f>
        <x:v>$75k-$100k</x:v>
      </x:c>
      <x:c r="P2851" t="str">
        <x:f>IF(E2851="","Unknown",IF(E2851&lt;10,"&lt;10",IF(E2851&lt;20,"10-&lt;20",IF(E2851&lt;25,"20-&lt;25",IF(E2851&lt;35,"25-&lt;35","35+")))))</x:f>
        <x:v>25-&lt;35</x:v>
      </x:c>
    </x:row>
    <x:row r="2852">
      <x:c r="A2852" t="str">
        <x:v>SYN0002851</x:v>
      </x:c>
      <x:c r="B2852" s="12" t="n">
        <x:v>42385</x:v>
      </x:c>
      <x:c r="C2852" s="18" t="n">
        <x:v>18836</x:v>
      </x:c>
      <x:c r="D2852" s="18" t="n">
        <x:v>65347</x:v>
      </x:c>
      <x:c r="E2852" s="18" t="n">
        <x:v>39.33</x:v>
      </x:c>
      <x:c r="F2852" s="18" t="n">
        <x:v>20.06</x:v>
      </x:c>
      <x:c r="G2852" t="n">
        <x:v>36</x:v>
      </x:c>
      <x:c r="H2852" t="str">
        <x:v>F</x:v>
      </x:c>
      <x:c r="I2852" t="str">
        <x:v>10+ years</x:v>
      </x:c>
      <x:c r="J2852" t="str">
        <x:v>OTHER</x:v>
      </x:c>
      <x:c r="K2852" t="str">
        <x:v>debt_consolidation</x:v>
      </x:c>
      <x:c r="L2852" t="n">
        <x:v>2</x:v>
      </x:c>
      <x:c r="M2852" t="n">
        <x:v>1</x:v>
      </x:c>
      <x:c r="N2852" t="str">
        <x:v>Charged Off</x:v>
      </x:c>
      <x:c r="O2852" t="str">
        <x:f>IF(D2852="","Unknown",IF(D2852&lt;25000,"&lt;$25k",IF(D2852&lt;50000,"$25k-$50k",IF(D2852&lt;75000,"$50k-$75k",IF(D2852&lt;100000,"$75k-$100k","$100k+")))))</x:f>
        <x:v>$50k-$75k</x:v>
      </x:c>
      <x:c r="P2852" t="str">
        <x:f>IF(E2852="","Unknown",IF(E2852&lt;10,"&lt;10",IF(E2852&lt;20,"10-&lt;20",IF(E2852&lt;25,"20-&lt;25",IF(E2852&lt;35,"25-&lt;35","35+")))))</x:f>
        <x:v>35+</x:v>
      </x:c>
    </x:row>
    <x:row r="2853">
      <x:c r="A2853" t="str">
        <x:v>SYN0002852</x:v>
      </x:c>
      <x:c r="B2853" s="12" t="n">
        <x:v>42985</x:v>
      </x:c>
      <x:c r="C2853" s="18" t="n">
        <x:v>17518</x:v>
      </x:c>
      <x:c r="D2853" s="18" t="n">
        <x:v>34381</x:v>
      </x:c>
      <x:c r="E2853" s="18" t="n">
        <x:v>27.01</x:v>
      </x:c>
      <x:c r="F2853" s="18" t="n">
        <x:v>7.87</x:v>
      </x:c>
      <x:c r="G2853" t="n">
        <x:v>36</x:v>
      </x:c>
      <x:c r="H2853" t="str">
        <x:v>A</x:v>
      </x:c>
      <x:c r="I2853" t="str">
        <x:v>&lt;1 year</x:v>
      </x:c>
      <x:c r="J2853" t="str">
        <x:v>MORTGAGE</x:v>
      </x:c>
      <x:c r="K2853" t="str">
        <x:v>medical</x:v>
      </x:c>
      <x:c r="L2853" t="n">
        <x:v>0</x:v>
      </x:c>
      <x:c r="M2853" t="n">
        <x:v>0</x:v>
      </x:c>
      <x:c r="N2853" t="str">
        <x:v>Fully Paid</x:v>
      </x:c>
      <x:c r="O2853" t="str">
        <x:f>IF(D2853="","Unknown",IF(D2853&lt;25000,"&lt;$25k",IF(D2853&lt;50000,"$25k-$50k",IF(D2853&lt;75000,"$50k-$75k",IF(D2853&lt;100000,"$75k-$100k","$100k+")))))</x:f>
        <x:v>$25k-$50k</x:v>
      </x:c>
      <x:c r="P2853" t="str">
        <x:f>IF(E2853="","Unknown",IF(E2853&lt;10,"&lt;10",IF(E2853&lt;20,"10-&lt;20",IF(E2853&lt;25,"20-&lt;25",IF(E2853&lt;35,"25-&lt;35","35+")))))</x:f>
        <x:v>25-&lt;35</x:v>
      </x:c>
    </x:row>
    <x:row r="2854">
      <x:c r="A2854" t="str">
        <x:v>SYN0002853</x:v>
      </x:c>
      <x:c r="B2854" s="12" t="n">
        <x:v>41485</x:v>
      </x:c>
      <x:c r="C2854" s="18" t="n">
        <x:v>12870</x:v>
      </x:c>
      <x:c r="D2854" s="18" t="n">
        <x:v>33760</x:v>
      </x:c>
      <x:c r="E2854" s="18" t="n">
        <x:v>16.68</x:v>
      </x:c>
      <x:c r="F2854" s="18" t="n">
        <x:v>20.21</x:v>
      </x:c>
      <x:c r="G2854" t="n">
        <x:v>36</x:v>
      </x:c>
      <x:c r="H2854" t="str">
        <x:v>F</x:v>
      </x:c>
      <x:c r="I2854" t="str">
        <x:v>4-6 years</x:v>
      </x:c>
      <x:c r="J2854" t="str">
        <x:v>RENT</x:v>
      </x:c>
      <x:c r="K2854" t="str">
        <x:v>debt_consolidation</x:v>
      </x:c>
      <x:c r="L2854" t="n">
        <x:v>1</x:v>
      </x:c>
      <x:c r="M2854" t="n">
        <x:v>0</x:v>
      </x:c>
      <x:c r="N2854" t="str">
        <x:v>Fully Paid</x:v>
      </x:c>
      <x:c r="O2854" t="str">
        <x:f>IF(D2854="","Unknown",IF(D2854&lt;25000,"&lt;$25k",IF(D2854&lt;50000,"$25k-$50k",IF(D2854&lt;75000,"$50k-$75k",IF(D2854&lt;100000,"$75k-$100k","$100k+")))))</x:f>
        <x:v>$25k-$50k</x:v>
      </x:c>
      <x:c r="P2854" t="str">
        <x:f>IF(E2854="","Unknown",IF(E2854&lt;10,"&lt;10",IF(E2854&lt;20,"10-&lt;20",IF(E2854&lt;25,"20-&lt;25",IF(E2854&lt;35,"25-&lt;35","35+")))))</x:f>
        <x:v>10-&lt;20</x:v>
      </x:c>
    </x:row>
    <x:row r="2855">
      <x:c r="A2855" t="str">
        <x:v>SYN0002854</x:v>
      </x:c>
      <x:c r="B2855" s="12" t="n">
        <x:v>43135</x:v>
      </x:c>
      <x:c r="C2855" s="18" t="n">
        <x:v>16110</x:v>
      </x:c>
      <x:c r="D2855" s="18" t="n">
        <x:v>58513</x:v>
      </x:c>
      <x:c r="E2855" s="18" t="n">
        <x:v>18.25</x:v>
      </x:c>
      <x:c r="F2855" s="18" t="n">
        <x:v>12.27</x:v>
      </x:c>
      <x:c r="G2855" t="n">
        <x:v>36</x:v>
      </x:c>
      <x:c r="H2855" t="str">
        <x:v>B</x:v>
      </x:c>
      <x:c r="I2855" t="str">
        <x:v>&lt;1 year</x:v>
      </x:c>
      <x:c r="J2855" t="str">
        <x:v>RENT</x:v>
      </x:c>
      <x:c r="K2855" t="str">
        <x:v>credit_card</x:v>
      </x:c>
      <x:c r="L2855" t="n">
        <x:v>1</x:v>
      </x:c>
      <x:c r="M2855" t="n">
        <x:v>0</x:v>
      </x:c>
      <x:c r="N2855" t="str">
        <x:v>Fully Paid</x:v>
      </x:c>
      <x:c r="O2855" t="str">
        <x:f>IF(D2855="","Unknown",IF(D2855&lt;25000,"&lt;$25k",IF(D2855&lt;50000,"$25k-$50k",IF(D2855&lt;75000,"$50k-$75k",IF(D2855&lt;100000,"$75k-$100k","$100k+")))))</x:f>
        <x:v>$50k-$75k</x:v>
      </x:c>
      <x:c r="P2855" t="str">
        <x:f>IF(E2855="","Unknown",IF(E2855&lt;10,"&lt;10",IF(E2855&lt;20,"10-&lt;20",IF(E2855&lt;25,"20-&lt;25",IF(E2855&lt;35,"25-&lt;35","35+")))))</x:f>
        <x:v>10-&lt;20</x:v>
      </x:c>
    </x:row>
    <x:row r="2856">
      <x:c r="A2856" t="str">
        <x:v>SYN0002855</x:v>
      </x:c>
      <x:c r="B2856" s="12" t="n">
        <x:v>41455</x:v>
      </x:c>
      <x:c r="C2856" s="18" t="n">
        <x:v>7317</x:v>
      </x:c>
      <x:c r="D2856" s="18" t="n">
        <x:v>79980</x:v>
      </x:c>
      <x:c r="E2856" s="18" t="n">
        <x:v>4.7</x:v>
      </x:c>
      <x:c r="F2856" s="18" t="n">
        <x:v>5.86</x:v>
      </x:c>
      <x:c r="G2856" t="n">
        <x:v>36</x:v>
      </x:c>
      <x:c r="H2856" t="str">
        <x:v>A</x:v>
      </x:c>
      <x:c r="I2856" t="str">
        <x:v>7-9 years</x:v>
      </x:c>
      <x:c r="J2856" t="str">
        <x:v>RENT</x:v>
      </x:c>
      <x:c r="K2856" t="str">
        <x:v>credit_card</x:v>
      </x:c>
      <x:c r="L2856" t="n">
        <x:v>1</x:v>
      </x:c>
      <x:c r="M2856" t="n">
        <x:v>0</x:v>
      </x:c>
      <x:c r="N2856" t="str">
        <x:v>Fully Paid</x:v>
      </x:c>
      <x:c r="O2856" t="str">
        <x:f>IF(D2856="","Unknown",IF(D2856&lt;25000,"&lt;$25k",IF(D2856&lt;50000,"$25k-$50k",IF(D2856&lt;75000,"$50k-$75k",IF(D2856&lt;100000,"$75k-$100k","$100k+")))))</x:f>
        <x:v>$75k-$100k</x:v>
      </x:c>
      <x:c r="P2856" t="str">
        <x:f>IF(E2856="","Unknown",IF(E2856&lt;10,"&lt;10",IF(E2856&lt;20,"10-&lt;20",IF(E2856&lt;25,"20-&lt;25",IF(E2856&lt;35,"25-&lt;35","35+")))))</x:f>
        <x:v>&lt;10</x:v>
      </x:c>
    </x:row>
    <x:row r="2857">
      <x:c r="A2857" t="str">
        <x:v>SYN0002856</x:v>
      </x:c>
      <x:c r="B2857" s="12" t="n">
        <x:v>43195</x:v>
      </x:c>
      <x:c r="C2857" s="18" t="n">
        <x:v>10571</x:v>
      </x:c>
      <x:c r="D2857" s="18" t="n">
        <x:v>42438</x:v>
      </x:c>
      <x:c r="E2857" s="18" t="n">
        <x:v>6.2</x:v>
      </x:c>
      <x:c r="F2857" s="18" t="n">
        <x:v>8.22</x:v>
      </x:c>
      <x:c r="G2857" t="n">
        <x:v>36</x:v>
      </x:c>
      <x:c r="H2857" t="str">
        <x:v>B</x:v>
      </x:c>
      <x:c r="I2857" t="str">
        <x:v>1-3 years</x:v>
      </x:c>
      <x:c r="J2857" t="str">
        <x:v>OWN</x:v>
      </x:c>
      <x:c r="K2857" t="str">
        <x:v>home_improvement</x:v>
      </x:c>
      <x:c r="L2857" t="n">
        <x:v>0</x:v>
      </x:c>
      <x:c r="M2857" t="n">
        <x:v>0</x:v>
      </x:c>
      <x:c r="N2857" t="str">
        <x:v>Fully Paid</x:v>
      </x:c>
      <x:c r="O2857" t="str">
        <x:f>IF(D2857="","Unknown",IF(D2857&lt;25000,"&lt;$25k",IF(D2857&lt;50000,"$25k-$50k",IF(D2857&lt;75000,"$50k-$75k",IF(D2857&lt;100000,"$75k-$100k","$100k+")))))</x:f>
        <x:v>$25k-$50k</x:v>
      </x:c>
      <x:c r="P2857" t="str">
        <x:f>IF(E2857="","Unknown",IF(E2857&lt;10,"&lt;10",IF(E2857&lt;20,"10-&lt;20",IF(E2857&lt;25,"20-&lt;25",IF(E2857&lt;35,"25-&lt;35","35+")))))</x:f>
        <x:v>&lt;10</x:v>
      </x:c>
    </x:row>
    <x:row r="2858">
      <x:c r="A2858" t="str">
        <x:v>SYN0002857</x:v>
      </x:c>
      <x:c r="B2858" s="12" t="n">
        <x:v>42625</x:v>
      </x:c>
      <x:c r="C2858" s="18" t="n">
        <x:v>5947</x:v>
      </x:c>
      <x:c r="D2858" s="18" t="n">
        <x:v>35868</x:v>
      </x:c>
      <x:c r="E2858" s="18" t="n">
        <x:v>7.45</x:v>
      </x:c>
      <x:c r="F2858" s="18" t="n">
        <x:v>10.92</x:v>
      </x:c>
      <x:c r="G2858" t="n">
        <x:v>36</x:v>
      </x:c>
      <x:c r="H2858" t="str">
        <x:v>C</x:v>
      </x:c>
      <x:c r="I2858" t="str">
        <x:v>7-9 years</x:v>
      </x:c>
      <x:c r="J2858" t="str">
        <x:v>RENT</x:v>
      </x:c>
      <x:c r="K2858" t="str">
        <x:v>debt_consolidation</x:v>
      </x:c>
      <x:c r="L2858" t="n">
        <x:v>0</x:v>
      </x:c>
      <x:c r="M2858" t="n">
        <x:v>0</x:v>
      </x:c>
      <x:c r="N2858" t="str">
        <x:v>Fully Paid</x:v>
      </x:c>
      <x:c r="O2858" t="str">
        <x:f>IF(D2858="","Unknown",IF(D2858&lt;25000,"&lt;$25k",IF(D2858&lt;50000,"$25k-$50k",IF(D2858&lt;75000,"$50k-$75k",IF(D2858&lt;100000,"$75k-$100k","$100k+")))))</x:f>
        <x:v>$25k-$50k</x:v>
      </x:c>
      <x:c r="P2858" t="str">
        <x:f>IF(E2858="","Unknown",IF(E2858&lt;10,"&lt;10",IF(E2858&lt;20,"10-&lt;20",IF(E2858&lt;25,"20-&lt;25",IF(E2858&lt;35,"25-&lt;35","35+")))))</x:f>
        <x:v>&lt;10</x:v>
      </x:c>
    </x:row>
    <x:row r="2859">
      <x:c r="A2859" t="str">
        <x:v>SYN0002858</x:v>
      </x:c>
      <x:c r="B2859" s="12" t="n">
        <x:v>42865</x:v>
      </x:c>
      <x:c r="C2859" s="18" t="n">
        <x:v>14882</x:v>
      </x:c>
      <x:c r="D2859" s="18" t="n">
        <x:v>44800</x:v>
      </x:c>
      <x:c r="E2859" s="18" t="n">
        <x:v>13.06</x:v>
      </x:c>
      <x:c r="F2859" s="18" t="n">
        <x:v>16.36</x:v>
      </x:c>
      <x:c r="G2859" t="n">
        <x:v>60</x:v>
      </x:c>
      <x:c r="H2859" t="str">
        <x:v>D</x:v>
      </x:c>
      <x:c r="I2859" t="str">
        <x:v>&lt;1 year</x:v>
      </x:c>
      <x:c r="J2859" t="str">
        <x:v>MORTGAGE</x:v>
      </x:c>
      <x:c r="K2859" t="str">
        <x:v>debt_consolidation</x:v>
      </x:c>
      <x:c r="L2859" t="n">
        <x:v>1</x:v>
      </x:c>
      <x:c r="M2859" t="n">
        <x:v>1</x:v>
      </x:c>
      <x:c r="N2859" t="str">
        <x:v>Charged Off</x:v>
      </x:c>
      <x:c r="O2859" t="str">
        <x:f>IF(D2859="","Unknown",IF(D2859&lt;25000,"&lt;$25k",IF(D2859&lt;50000,"$25k-$50k",IF(D2859&lt;75000,"$50k-$75k",IF(D2859&lt;100000,"$75k-$100k","$100k+")))))</x:f>
        <x:v>$25k-$50k</x:v>
      </x:c>
      <x:c r="P2859" t="str">
        <x:f>IF(E2859="","Unknown",IF(E2859&lt;10,"&lt;10",IF(E2859&lt;20,"10-&lt;20",IF(E2859&lt;25,"20-&lt;25",IF(E2859&lt;35,"25-&lt;35","35+")))))</x:f>
        <x:v>10-&lt;20</x:v>
      </x:c>
    </x:row>
    <x:row r="2860">
      <x:c r="A2860" t="str">
        <x:v>SYN0002859</x:v>
      </x:c>
      <x:c r="B2860" s="12" t="n">
        <x:v>42325</x:v>
      </x:c>
      <x:c r="C2860" s="18" t="n">
        <x:v>13620</x:v>
      </x:c>
      <x:c r="D2860" s="18" t="n">
        <x:v>29163</x:v>
      </x:c>
      <x:c r="E2860" s="18" t="n">
        <x:v>21.63</x:v>
      </x:c>
      <x:c r="F2860" s="18" t="n">
        <x:v>14.77</x:v>
      </x:c>
      <x:c r="G2860" t="n">
        <x:v>36</x:v>
      </x:c>
      <x:c r="H2860" t="str">
        <x:v>D</x:v>
      </x:c>
      <x:c r="I2860" t="str">
        <x:v>4-6 years</x:v>
      </x:c>
      <x:c r="J2860" t="str">
        <x:v>RENT</x:v>
      </x:c>
      <x:c r="K2860" t="str">
        <x:v>credit_card</x:v>
      </x:c>
      <x:c r="L2860" t="n">
        <x:v>0</x:v>
      </x:c>
      <x:c r="M2860" t="n">
        <x:v>0</x:v>
      </x:c>
      <x:c r="N2860" t="str">
        <x:v>Fully Paid</x:v>
      </x:c>
      <x:c r="O2860" t="str">
        <x:f>IF(D2860="","Unknown",IF(D2860&lt;25000,"&lt;$25k",IF(D2860&lt;50000,"$25k-$50k",IF(D2860&lt;75000,"$50k-$75k",IF(D2860&lt;100000,"$75k-$100k","$100k+")))))</x:f>
        <x:v>$25k-$50k</x:v>
      </x:c>
      <x:c r="P2860" t="str">
        <x:f>IF(E2860="","Unknown",IF(E2860&lt;10,"&lt;10",IF(E2860&lt;20,"10-&lt;20",IF(E2860&lt;25,"20-&lt;25",IF(E2860&lt;35,"25-&lt;35","35+")))))</x:f>
        <x:v>20-&lt;25</x:v>
      </x:c>
    </x:row>
    <x:row r="2861">
      <x:c r="A2861" t="str">
        <x:v>SYN0002860</x:v>
      </x:c>
      <x:c r="B2861" s="12" t="n">
        <x:v>42115</x:v>
      </x:c>
      <x:c r="C2861" s="18" t="n">
        <x:v>15052</x:v>
      </x:c>
      <x:c r="D2861" s="18" t="n">
        <x:v>121516</x:v>
      </x:c>
      <x:c r="E2861" s="18" t="n">
        <x:v>35.52</x:v>
      </x:c>
      <x:c r="F2861" s="18" t="n">
        <x:v>23.15</x:v>
      </x:c>
      <x:c r="G2861" t="n">
        <x:v>36</x:v>
      </x:c>
      <x:c r="H2861" t="str">
        <x:v>F</x:v>
      </x:c>
      <x:c r="I2861" t="str">
        <x:v>10+ years</x:v>
      </x:c>
      <x:c r="J2861" t="str">
        <x:v>MORTGAGE</x:v>
      </x:c>
      <x:c r="K2861" t="str">
        <x:v>home_improvement</x:v>
      </x:c>
      <x:c r="L2861" t="n">
        <x:v>1</x:v>
      </x:c>
      <x:c r="M2861" t="n">
        <x:v>0</x:v>
      </x:c>
      <x:c r="N2861" t="str">
        <x:v>Fully Paid</x:v>
      </x:c>
      <x:c r="O2861" t="str">
        <x:f>IF(D2861="","Unknown",IF(D2861&lt;25000,"&lt;$25k",IF(D2861&lt;50000,"$25k-$50k",IF(D2861&lt;75000,"$50k-$75k",IF(D2861&lt;100000,"$75k-$100k","$100k+")))))</x:f>
        <x:v>$100k+</x:v>
      </x:c>
      <x:c r="P2861" t="str">
        <x:f>IF(E2861="","Unknown",IF(E2861&lt;10,"&lt;10",IF(E2861&lt;20,"10-&lt;20",IF(E2861&lt;25,"20-&lt;25",IF(E2861&lt;35,"25-&lt;35","35+")))))</x:f>
        <x:v>35+</x:v>
      </x:c>
    </x:row>
    <x:row r="2862">
      <x:c r="A2862" t="str">
        <x:v>SYN0002861</x:v>
      </x:c>
      <x:c r="B2862" s="12" t="n">
        <x:v>42595</x:v>
      </x:c>
      <x:c r="C2862" s="18" t="n">
        <x:v>14395</x:v>
      </x:c>
      <x:c r="D2862" s="18" t="n">
        <x:v>36737</x:v>
      </x:c>
      <x:c r="E2862" s="18" t="n">
        <x:v>18.72</x:v>
      </x:c>
      <x:c r="F2862" s="18" t="n">
        <x:v>8.4</x:v>
      </x:c>
      <x:c r="G2862" t="n">
        <x:v>60</x:v>
      </x:c>
      <x:c r="H2862" t="str">
        <x:v>B</x:v>
      </x:c>
      <x:c r="I2862" t="str">
        <x:v>4-6 years</x:v>
      </x:c>
      <x:c r="J2862" t="str">
        <x:v>MORTGAGE</x:v>
      </x:c>
      <x:c r="K2862" t="str">
        <x:v>debt_consolidation</x:v>
      </x:c>
      <x:c r="L2862" t="n">
        <x:v>1</x:v>
      </x:c>
      <x:c r="M2862" t="n">
        <x:v>0</x:v>
      </x:c>
      <x:c r="N2862" t="str">
        <x:v>Fully Paid</x:v>
      </x:c>
      <x:c r="O2862" t="str">
        <x:f>IF(D2862="","Unknown",IF(D2862&lt;25000,"&lt;$25k",IF(D2862&lt;50000,"$25k-$50k",IF(D2862&lt;75000,"$50k-$75k",IF(D2862&lt;100000,"$75k-$100k","$100k+")))))</x:f>
        <x:v>$25k-$50k</x:v>
      </x:c>
      <x:c r="P2862" t="str">
        <x:f>IF(E2862="","Unknown",IF(E2862&lt;10,"&lt;10",IF(E2862&lt;20,"10-&lt;20",IF(E2862&lt;25,"20-&lt;25",IF(E2862&lt;35,"25-&lt;35","35+")))))</x:f>
        <x:v>10-&lt;20</x:v>
      </x:c>
    </x:row>
    <x:row r="2863">
      <x:c r="A2863" t="str">
        <x:v>SYN0002862</x:v>
      </x:c>
      <x:c r="B2863" s="12" t="n">
        <x:v>41365</x:v>
      </x:c>
      <x:c r="C2863" s="18" t="n">
        <x:v>7158</x:v>
      </x:c>
      <x:c r="D2863" s="18" t="n">
        <x:v>41420</x:v>
      </x:c>
      <x:c r="E2863" s="18" t="n">
        <x:v>24.04</x:v>
      </x:c>
      <x:c r="F2863" s="18" t="n">
        <x:v>9.38</x:v>
      </x:c>
      <x:c r="G2863" t="n">
        <x:v>36</x:v>
      </x:c>
      <x:c r="H2863" t="str">
        <x:v>C</x:v>
      </x:c>
      <x:c r="I2863" t="str">
        <x:v>4-6 years</x:v>
      </x:c>
      <x:c r="J2863" t="str">
        <x:v>OWN</x:v>
      </x:c>
      <x:c r="K2863" t="str">
        <x:v>other</x:v>
      </x:c>
      <x:c r="L2863" t="n">
        <x:v>1</x:v>
      </x:c>
      <x:c r="M2863" t="n">
        <x:v>0</x:v>
      </x:c>
      <x:c r="N2863" t="str">
        <x:v>Fully Paid</x:v>
      </x:c>
      <x:c r="O2863" t="str">
        <x:f>IF(D2863="","Unknown",IF(D2863&lt;25000,"&lt;$25k",IF(D2863&lt;50000,"$25k-$50k",IF(D2863&lt;75000,"$50k-$75k",IF(D2863&lt;100000,"$75k-$100k","$100k+")))))</x:f>
        <x:v>$25k-$50k</x:v>
      </x:c>
      <x:c r="P2863" t="str">
        <x:f>IF(E2863="","Unknown",IF(E2863&lt;10,"&lt;10",IF(E2863&lt;20,"10-&lt;20",IF(E2863&lt;25,"20-&lt;25",IF(E2863&lt;35,"25-&lt;35","35+")))))</x:f>
        <x:v>20-&lt;25</x:v>
      </x:c>
    </x:row>
    <x:row r="2864">
      <x:c r="A2864" t="str">
        <x:v>SYN0002863</x:v>
      </x:c>
      <x:c r="B2864" s="12" t="n">
        <x:v>43255</x:v>
      </x:c>
      <x:c r="C2864" s="18" t="n">
        <x:v>30365</x:v>
      </x:c>
      <x:c r="D2864" s="18" t="n">
        <x:v>42942</x:v>
      </x:c>
      <x:c r="E2864" s="18" t="n">
        <x:v>13.69</x:v>
      </x:c>
      <x:c r="F2864" s="18" t="n">
        <x:v>9.89</x:v>
      </x:c>
      <x:c r="G2864" t="n">
        <x:v>36</x:v>
      </x:c>
      <x:c r="H2864" t="str">
        <x:v>B</x:v>
      </x:c>
      <x:c r="I2864" t="str">
        <x:v>1-3 years</x:v>
      </x:c>
      <x:c r="J2864" t="str">
        <x:v>RENT</x:v>
      </x:c>
      <x:c r="K2864" t="str">
        <x:v>debt_consolidation</x:v>
      </x:c>
      <x:c r="L2864" t="n">
        <x:v>0</x:v>
      </x:c>
      <x:c r="M2864" t="n">
        <x:v>0</x:v>
      </x:c>
      <x:c r="N2864" t="str">
        <x:v>Fully Paid</x:v>
      </x:c>
      <x:c r="O2864" t="str">
        <x:f>IF(D2864="","Unknown",IF(D2864&lt;25000,"&lt;$25k",IF(D2864&lt;50000,"$25k-$50k",IF(D2864&lt;75000,"$50k-$75k",IF(D2864&lt;100000,"$75k-$100k","$100k+")))))</x:f>
        <x:v>$25k-$50k</x:v>
      </x:c>
      <x:c r="P2864" t="str">
        <x:f>IF(E2864="","Unknown",IF(E2864&lt;10,"&lt;10",IF(E2864&lt;20,"10-&lt;20",IF(E2864&lt;25,"20-&lt;25",IF(E2864&lt;35,"25-&lt;35","35+")))))</x:f>
        <x:v>10-&lt;20</x:v>
      </x:c>
    </x:row>
    <x:row r="2865">
      <x:c r="A2865" t="str">
        <x:v>SYN0002864</x:v>
      </x:c>
      <x:c r="B2865" s="12" t="n">
        <x:v>43165</x:v>
      </x:c>
      <x:c r="C2865" s="18" t="n">
        <x:v>14634</x:v>
      </x:c>
      <x:c r="D2865" s="18" t="n">
        <x:v>87286</x:v>
      </x:c>
      <x:c r="E2865" s="18" t="n">
        <x:v>8.12</x:v>
      </x:c>
      <x:c r="F2865" s="18" t="n">
        <x:v>11.16</x:v>
      </x:c>
      <x:c r="G2865" t="n">
        <x:v>36</x:v>
      </x:c>
      <x:c r="H2865" t="str">
        <x:v>C</x:v>
      </x:c>
      <x:c r="I2865" t="str">
        <x:v>1-3 years</x:v>
      </x:c>
      <x:c r="J2865" t="str">
        <x:v>RENT</x:v>
      </x:c>
      <x:c r="K2865" t="str">
        <x:v>debt_consolidation</x:v>
      </x:c>
      <x:c r="L2865" t="n">
        <x:v>1</x:v>
      </x:c>
      <x:c r="M2865" t="n">
        <x:v>0</x:v>
      </x:c>
      <x:c r="N2865" t="str">
        <x:v>Fully Paid</x:v>
      </x:c>
      <x:c r="O2865" t="str">
        <x:f>IF(D2865="","Unknown",IF(D2865&lt;25000,"&lt;$25k",IF(D2865&lt;50000,"$25k-$50k",IF(D2865&lt;75000,"$50k-$75k",IF(D2865&lt;100000,"$75k-$100k","$100k+")))))</x:f>
        <x:v>$75k-$100k</x:v>
      </x:c>
      <x:c r="P2865" t="str">
        <x:f>IF(E2865="","Unknown",IF(E2865&lt;10,"&lt;10",IF(E2865&lt;20,"10-&lt;20",IF(E2865&lt;25,"20-&lt;25",IF(E2865&lt;35,"25-&lt;35","35+")))))</x:f>
        <x:v>&lt;10</x:v>
      </x:c>
    </x:row>
    <x:row r="2866">
      <x:c r="A2866" t="str">
        <x:v>SYN0002865</x:v>
      </x:c>
      <x:c r="B2866" s="12" t="n">
        <x:v>42565</x:v>
      </x:c>
      <x:c r="C2866" s="18" t="n">
        <x:v>40000</x:v>
      </x:c>
      <x:c r="D2866" s="18" t="n">
        <x:v>50772</x:v>
      </x:c>
      <x:c r="E2866" s="18" t="n">
        <x:v>21.5</x:v>
      </x:c>
      <x:c r="F2866" s="18" t="n">
        <x:v>7.85</x:v>
      </x:c>
      <x:c r="G2866" t="n">
        <x:v>36</x:v>
      </x:c>
      <x:c r="H2866" t="str">
        <x:v>B</x:v>
      </x:c>
      <x:c r="I2866" t="str">
        <x:v>1-3 years</x:v>
      </x:c>
      <x:c r="J2866" t="str">
        <x:v>RENT</x:v>
      </x:c>
      <x:c r="K2866" t="str">
        <x:v>credit_card</x:v>
      </x:c>
      <x:c r="L2866" t="n">
        <x:v>1</x:v>
      </x:c>
      <x:c r="M2866" t="n">
        <x:v>0</x:v>
      </x:c>
      <x:c r="N2866" t="str">
        <x:v>Fully Paid</x:v>
      </x:c>
      <x:c r="O2866" t="str">
        <x:f>IF(D2866="","Unknown",IF(D2866&lt;25000,"&lt;$25k",IF(D2866&lt;50000,"$25k-$50k",IF(D2866&lt;75000,"$50k-$75k",IF(D2866&lt;100000,"$75k-$100k","$100k+")))))</x:f>
        <x:v>$50k-$75k</x:v>
      </x:c>
      <x:c r="P2866" t="str">
        <x:f>IF(E2866="","Unknown",IF(E2866&lt;10,"&lt;10",IF(E2866&lt;20,"10-&lt;20",IF(E2866&lt;25,"20-&lt;25",IF(E2866&lt;35,"25-&lt;35","35+")))))</x:f>
        <x:v>20-&lt;25</x:v>
      </x:c>
    </x:row>
    <x:row r="2867">
      <x:c r="A2867" t="str">
        <x:v>SYN0002866</x:v>
      </x:c>
      <x:c r="B2867" s="12" t="n">
        <x:v>43135</x:v>
      </x:c>
      <x:c r="C2867" s="18" t="n">
        <x:v>10567</x:v>
      </x:c>
      <x:c r="D2867" s="18" t="n">
        <x:v>37870</x:v>
      </x:c>
      <x:c r="E2867" s="18" t="n">
        <x:v>6.16</x:v>
      </x:c>
      <x:c r="F2867" s="18" t="n">
        <x:v>15.89</x:v>
      </x:c>
      <x:c r="G2867" t="n">
        <x:v>36</x:v>
      </x:c>
      <x:c r="H2867" t="str">
        <x:v>E</x:v>
      </x:c>
      <x:c r="I2867" t="str">
        <x:v>7-9 years</x:v>
      </x:c>
      <x:c r="J2867" t="str">
        <x:v>RENT</x:v>
      </x:c>
      <x:c r="K2867" t="str">
        <x:v>credit_card</x:v>
      </x:c>
      <x:c r="L2867" t="n">
        <x:v>2</x:v>
      </x:c>
      <x:c r="M2867" t="n">
        <x:v>0</x:v>
      </x:c>
      <x:c r="N2867" t="str">
        <x:v>Fully Paid</x:v>
      </x:c>
      <x:c r="O2867" t="str">
        <x:f>IF(D2867="","Unknown",IF(D2867&lt;25000,"&lt;$25k",IF(D2867&lt;50000,"$25k-$50k",IF(D2867&lt;75000,"$50k-$75k",IF(D2867&lt;100000,"$75k-$100k","$100k+")))))</x:f>
        <x:v>$25k-$50k</x:v>
      </x:c>
      <x:c r="P2867" t="str">
        <x:f>IF(E2867="","Unknown",IF(E2867&lt;10,"&lt;10",IF(E2867&lt;20,"10-&lt;20",IF(E2867&lt;25,"20-&lt;25",IF(E2867&lt;35,"25-&lt;35","35+")))))</x:f>
        <x:v>&lt;10</x:v>
      </x:c>
    </x:row>
    <x:row r="2868">
      <x:c r="A2868" t="str">
        <x:v>SYN0002867</x:v>
      </x:c>
      <x:c r="B2868" s="12" t="n">
        <x:v>43075</x:v>
      </x:c>
      <x:c r="C2868" s="18" t="n">
        <x:v>15167</x:v>
      </x:c>
      <x:c r="D2868" s="18" t="n">
        <x:v>41189</x:v>
      </x:c>
      <x:c r="E2868" s="18" t="n">
        <x:v>27.04</x:v>
      </x:c>
      <x:c r="F2868" s="18" t="n">
        <x:v>14.12</x:v>
      </x:c>
      <x:c r="G2868" t="n">
        <x:v>36</x:v>
      </x:c>
      <x:c r="H2868" t="str">
        <x:v>C</x:v>
      </x:c>
      <x:c r="I2868" t="str">
        <x:v>10+ years</x:v>
      </x:c>
      <x:c r="J2868" t="str">
        <x:v>RENT</x:v>
      </x:c>
      <x:c r="K2868" t="str">
        <x:v>home_improvement</x:v>
      </x:c>
      <x:c r="L2868" t="n">
        <x:v>0</x:v>
      </x:c>
      <x:c r="M2868" t="n">
        <x:v>0</x:v>
      </x:c>
      <x:c r="N2868" t="str">
        <x:v>Fully Paid</x:v>
      </x:c>
      <x:c r="O2868" t="str">
        <x:f>IF(D2868="","Unknown",IF(D2868&lt;25000,"&lt;$25k",IF(D2868&lt;50000,"$25k-$50k",IF(D2868&lt;75000,"$50k-$75k",IF(D2868&lt;100000,"$75k-$100k","$100k+")))))</x:f>
        <x:v>$25k-$50k</x:v>
      </x:c>
      <x:c r="P2868" t="str">
        <x:f>IF(E2868="","Unknown",IF(E2868&lt;10,"&lt;10",IF(E2868&lt;20,"10-&lt;20",IF(E2868&lt;25,"20-&lt;25",IF(E2868&lt;35,"25-&lt;35","35+")))))</x:f>
        <x:v>25-&lt;35</x:v>
      </x:c>
    </x:row>
    <x:row r="2869">
      <x:c r="A2869" t="str">
        <x:v>SYN0002868</x:v>
      </x:c>
      <x:c r="B2869" s="12" t="n">
        <x:v>42265</x:v>
      </x:c>
      <x:c r="C2869" s="18" t="n">
        <x:v>9085</x:v>
      </x:c>
      <x:c r="D2869" s="18" t="n">
        <x:v>100406</x:v>
      </x:c>
      <x:c r="E2869" s="18" t="n">
        <x:v>17.35</x:v>
      </x:c>
      <x:c r="F2869" s="18" t="n">
        <x:v>10.13</x:v>
      </x:c>
      <x:c r="G2869" t="n">
        <x:v>36</x:v>
      </x:c>
      <x:c r="H2869" t="str">
        <x:v>B</x:v>
      </x:c>
      <x:c r="I2869" t="str">
        <x:v>1-3 years</x:v>
      </x:c>
      <x:c r="J2869" t="str">
        <x:v>RENT</x:v>
      </x:c>
      <x:c r="K2869" t="str">
        <x:v>debt_consolidation</x:v>
      </x:c>
      <x:c r="L2869" t="n">
        <x:v>1</x:v>
      </x:c>
      <x:c r="M2869" t="n">
        <x:v>0</x:v>
      </x:c>
      <x:c r="N2869" t="str">
        <x:v>Fully Paid</x:v>
      </x:c>
      <x:c r="O2869" t="str">
        <x:f>IF(D2869="","Unknown",IF(D2869&lt;25000,"&lt;$25k",IF(D2869&lt;50000,"$25k-$50k",IF(D2869&lt;75000,"$50k-$75k",IF(D2869&lt;100000,"$75k-$100k","$100k+")))))</x:f>
        <x:v>$100k+</x:v>
      </x:c>
      <x:c r="P2869" t="str">
        <x:f>IF(E2869="","Unknown",IF(E2869&lt;10,"&lt;10",IF(E2869&lt;20,"10-&lt;20",IF(E2869&lt;25,"20-&lt;25",IF(E2869&lt;35,"25-&lt;35","35+")))))</x:f>
        <x:v>10-&lt;20</x:v>
      </x:c>
    </x:row>
    <x:row r="2870">
      <x:c r="A2870" t="str">
        <x:v>SYN0002869</x:v>
      </x:c>
      <x:c r="B2870" s="12" t="n">
        <x:v>43225</x:v>
      </x:c>
      <x:c r="C2870" s="18" t="n">
        <x:v>11353</x:v>
      </x:c>
      <x:c r="D2870" s="18" t="n">
        <x:v>21908</x:v>
      </x:c>
      <x:c r="E2870" s="18" t="n">
        <x:v>8.52</x:v>
      </x:c>
      <x:c r="F2870" s="18" t="n">
        <x:v>9.19</x:v>
      </x:c>
      <x:c r="G2870" t="n">
        <x:v>36</x:v>
      </x:c>
      <x:c r="H2870" t="str">
        <x:v>B</x:v>
      </x:c>
      <x:c r="I2870" t="str">
        <x:v>10+ years</x:v>
      </x:c>
      <x:c r="J2870" t="str">
        <x:v>RENT</x:v>
      </x:c>
      <x:c r="K2870" t="str">
        <x:v>debt_consolidation</x:v>
      </x:c>
      <x:c r="L2870" t="n">
        <x:v>0</x:v>
      </x:c>
      <x:c r="M2870" t="n">
        <x:v>0</x:v>
      </x:c>
      <x:c r="N2870" t="str">
        <x:v>Fully Paid</x:v>
      </x:c>
      <x:c r="O2870" t="str">
        <x:f>IF(D2870="","Unknown",IF(D2870&lt;25000,"&lt;$25k",IF(D2870&lt;50000,"$25k-$50k",IF(D2870&lt;75000,"$50k-$75k",IF(D2870&lt;100000,"$75k-$100k","$100k+")))))</x:f>
        <x:v>&lt;$25k</x:v>
      </x:c>
      <x:c r="P2870" t="str">
        <x:f>IF(E2870="","Unknown",IF(E2870&lt;10,"&lt;10",IF(E2870&lt;20,"10-&lt;20",IF(E2870&lt;25,"20-&lt;25",IF(E2870&lt;35,"25-&lt;35","35+")))))</x:f>
        <x:v>&lt;10</x:v>
      </x:c>
    </x:row>
    <x:row r="2871">
      <x:c r="A2871" t="str">
        <x:v>SYN0002870</x:v>
      </x:c>
      <x:c r="B2871" s="12" t="n">
        <x:v>42055</x:v>
      </x:c>
      <x:c r="C2871" s="18" t="n">
        <x:v>11847</x:v>
      </x:c>
      <x:c r="D2871" s="18" t="n">
        <x:v>139562</x:v>
      </x:c>
      <x:c r="E2871" s="18" t="n">
        <x:v>35.12</x:v>
      </x:c>
      <x:c r="F2871" s="18" t="n">
        <x:v>17.92</x:v>
      </x:c>
      <x:c r="G2871" t="n">
        <x:v>36</x:v>
      </x:c>
      <x:c r="H2871" t="str">
        <x:v>E</x:v>
      </x:c>
      <x:c r="I2871" t="str">
        <x:v>1-3 years</x:v>
      </x:c>
      <x:c r="J2871" t="str">
        <x:v>MORTGAGE</x:v>
      </x:c>
      <x:c r="K2871" t="str">
        <x:v>other</x:v>
      </x:c>
      <x:c r="L2871" t="n">
        <x:v>2</x:v>
      </x:c>
      <x:c r="M2871" t="n">
        <x:v>0</x:v>
      </x:c>
      <x:c r="N2871" t="str">
        <x:v>Fully Paid</x:v>
      </x:c>
      <x:c r="O2871" t="str">
        <x:f>IF(D2871="","Unknown",IF(D2871&lt;25000,"&lt;$25k",IF(D2871&lt;50000,"$25k-$50k",IF(D2871&lt;75000,"$50k-$75k",IF(D2871&lt;100000,"$75k-$100k","$100k+")))))</x:f>
        <x:v>$100k+</x:v>
      </x:c>
      <x:c r="P2871" t="str">
        <x:f>IF(E2871="","Unknown",IF(E2871&lt;10,"&lt;10",IF(E2871&lt;20,"10-&lt;20",IF(E2871&lt;25,"20-&lt;25",IF(E2871&lt;35,"25-&lt;35","35+")))))</x:f>
        <x:v>35+</x:v>
      </x:c>
    </x:row>
    <x:row r="2872">
      <x:c r="A2872" t="str">
        <x:v>SYN0002871</x:v>
      </x:c>
      <x:c r="B2872" s="12" t="n">
        <x:v>42685</x:v>
      </x:c>
      <x:c r="C2872" s="18" t="n">
        <x:v>8528</x:v>
      </x:c>
      <x:c r="D2872" s="18" t="n">
        <x:v>30125</x:v>
      </x:c>
      <x:c r="E2872" s="18" t="n">
        <x:v>11.32</x:v>
      </x:c>
      <x:c r="F2872" s="18" t="n">
        <x:v>12.54</x:v>
      </x:c>
      <x:c r="G2872" t="n">
        <x:v>36</x:v>
      </x:c>
      <x:c r="H2872" t="str">
        <x:v>C</x:v>
      </x:c>
      <x:c r="I2872" t="str">
        <x:v>7-9 years</x:v>
      </x:c>
      <x:c r="J2872" t="str">
        <x:v>RENT</x:v>
      </x:c>
      <x:c r="K2872" t="str">
        <x:v>debt_consolidation</x:v>
      </x:c>
      <x:c r="L2872" t="n">
        <x:v>1</x:v>
      </x:c>
      <x:c r="M2872" t="n">
        <x:v>0</x:v>
      </x:c>
      <x:c r="N2872" t="str">
        <x:v>Fully Paid</x:v>
      </x:c>
      <x:c r="O2872" t="str">
        <x:f>IF(D2872="","Unknown",IF(D2872&lt;25000,"&lt;$25k",IF(D2872&lt;50000,"$25k-$50k",IF(D2872&lt;75000,"$50k-$75k",IF(D2872&lt;100000,"$75k-$100k","$100k+")))))</x:f>
        <x:v>$25k-$50k</x:v>
      </x:c>
      <x:c r="P2872" t="str">
        <x:f>IF(E2872="","Unknown",IF(E2872&lt;10,"&lt;10",IF(E2872&lt;20,"10-&lt;20",IF(E2872&lt;25,"20-&lt;25",IF(E2872&lt;35,"25-&lt;35","35+")))))</x:f>
        <x:v>10-&lt;20</x:v>
      </x:c>
    </x:row>
    <x:row r="2873">
      <x:c r="A2873" t="str">
        <x:v>SYN0002872</x:v>
      </x:c>
      <x:c r="B2873" s="12" t="n">
        <x:v>42445</x:v>
      </x:c>
      <x:c r="C2873" s="18" t="n">
        <x:v>33710</x:v>
      </x:c>
      <x:c r="D2873" s="18" t="n">
        <x:v>73604</x:v>
      </x:c>
      <x:c r="E2873" s="18" t="n">
        <x:v>19.49</x:v>
      </x:c>
      <x:c r="F2873" s="18" t="n">
        <x:v>10.92</x:v>
      </x:c>
      <x:c r="G2873" t="n">
        <x:v>36</x:v>
      </x:c>
      <x:c r="H2873" t="str">
        <x:v>B</x:v>
      </x:c>
      <x:c r="I2873" t="str">
        <x:v>10+ years</x:v>
      </x:c>
      <x:c r="J2873" t="str">
        <x:v>MORTGAGE</x:v>
      </x:c>
      <x:c r="K2873" t="str">
        <x:v>credit_card</x:v>
      </x:c>
      <x:c r="L2873" t="n">
        <x:v>0</x:v>
      </x:c>
      <x:c r="M2873" t="n">
        <x:v>0</x:v>
      </x:c>
      <x:c r="N2873" t="str">
        <x:v>Fully Paid</x:v>
      </x:c>
      <x:c r="O2873" t="str">
        <x:f>IF(D2873="","Unknown",IF(D2873&lt;25000,"&lt;$25k",IF(D2873&lt;50000,"$25k-$50k",IF(D2873&lt;75000,"$50k-$75k",IF(D2873&lt;100000,"$75k-$100k","$100k+")))))</x:f>
        <x:v>$50k-$75k</x:v>
      </x:c>
      <x:c r="P2873" t="str">
        <x:f>IF(E2873="","Unknown",IF(E2873&lt;10,"&lt;10",IF(E2873&lt;20,"10-&lt;20",IF(E2873&lt;25,"20-&lt;25",IF(E2873&lt;35,"25-&lt;35","35+")))))</x:f>
        <x:v>10-&lt;20</x:v>
      </x:c>
    </x:row>
    <x:row r="2874">
      <x:c r="A2874" t="str">
        <x:v>SYN0002873</x:v>
      </x:c>
      <x:c r="B2874" s="12" t="n">
        <x:v>41935</x:v>
      </x:c>
      <x:c r="C2874" s="18" t="n">
        <x:v>11880</x:v>
      </x:c>
      <x:c r="D2874" s="18" t="n">
        <x:v>201045</x:v>
      </x:c>
      <x:c r="E2874" s="18" t="n">
        <x:v>30.57</x:v>
      </x:c>
      <x:c r="F2874" s="18" t="n">
        <x:v>15.76</x:v>
      </x:c>
      <x:c r="G2874" t="n">
        <x:v>60</x:v>
      </x:c>
      <x:c r="H2874" t="str">
        <x:v>D</x:v>
      </x:c>
      <x:c r="I2874" t="str">
        <x:v>1-3 years</x:v>
      </x:c>
      <x:c r="J2874" t="str">
        <x:v>RENT</x:v>
      </x:c>
      <x:c r="K2874" t="str">
        <x:v>major_purchase</x:v>
      </x:c>
      <x:c r="L2874" t="n">
        <x:v>0</x:v>
      </x:c>
      <x:c r="M2874" t="n">
        <x:v>0</x:v>
      </x:c>
      <x:c r="N2874" t="str">
        <x:v>Fully Paid</x:v>
      </x:c>
      <x:c r="O2874" t="str">
        <x:f>IF(D2874="","Unknown",IF(D2874&lt;25000,"&lt;$25k",IF(D2874&lt;50000,"$25k-$50k",IF(D2874&lt;75000,"$50k-$75k",IF(D2874&lt;100000,"$75k-$100k","$100k+")))))</x:f>
        <x:v>$100k+</x:v>
      </x:c>
      <x:c r="P2874" t="str">
        <x:f>IF(E2874="","Unknown",IF(E2874&lt;10,"&lt;10",IF(E2874&lt;20,"10-&lt;20",IF(E2874&lt;25,"20-&lt;25",IF(E2874&lt;35,"25-&lt;35","35+")))))</x:f>
        <x:v>25-&lt;35</x:v>
      </x:c>
    </x:row>
    <x:row r="2875">
      <x:c r="A2875" t="str">
        <x:v>SYN0002874</x:v>
      </x:c>
      <x:c r="B2875" s="12" t="n">
        <x:v>41485</x:v>
      </x:c>
      <x:c r="C2875" s="18" t="n">
        <x:v>12901</x:v>
      </x:c>
      <x:c r="D2875" s="18" t="n">
        <x:v>188991</x:v>
      </x:c>
      <x:c r="E2875" s="18" t="n">
        <x:v>5.85</x:v>
      </x:c>
      <x:c r="F2875" s="18" t="n">
        <x:v>10.45</x:v>
      </x:c>
      <x:c r="G2875" t="n">
        <x:v>36</x:v>
      </x:c>
      <x:c r="H2875" t="str">
        <x:v>B</x:v>
      </x:c>
      <x:c r="I2875" t="str">
        <x:v>10+ years</x:v>
      </x:c>
      <x:c r="J2875" t="str">
        <x:v>RENT</x:v>
      </x:c>
      <x:c r="K2875" t="str">
        <x:v>debt_consolidation</x:v>
      </x:c>
      <x:c r="L2875" t="n">
        <x:v>1</x:v>
      </x:c>
      <x:c r="M2875" t="n">
        <x:v>0</x:v>
      </x:c>
      <x:c r="N2875" t="str">
        <x:v>Fully Paid</x:v>
      </x:c>
      <x:c r="O2875" t="str">
        <x:f>IF(D2875="","Unknown",IF(D2875&lt;25000,"&lt;$25k",IF(D2875&lt;50000,"$25k-$50k",IF(D2875&lt;75000,"$50k-$75k",IF(D2875&lt;100000,"$75k-$100k","$100k+")))))</x:f>
        <x:v>$100k+</x:v>
      </x:c>
      <x:c r="P2875" t="str">
        <x:f>IF(E2875="","Unknown",IF(E2875&lt;10,"&lt;10",IF(E2875&lt;20,"10-&lt;20",IF(E2875&lt;25,"20-&lt;25",IF(E2875&lt;35,"25-&lt;35","35+")))))</x:f>
        <x:v>&lt;10</x:v>
      </x:c>
    </x:row>
    <x:row r="2876">
      <x:c r="A2876" t="str">
        <x:v>SYN0002875</x:v>
      </x:c>
      <x:c r="B2876" s="12" t="n">
        <x:v>43375</x:v>
      </x:c>
      <x:c r="C2876" s="18" t="n">
        <x:v>21771</x:v>
      </x:c>
      <x:c r="D2876" s="18" t="n">
        <x:v>27133</x:v>
      </x:c>
      <x:c r="E2876" s="18" t="n">
        <x:v>10.85</x:v>
      </x:c>
      <x:c r="F2876" s="18" t="n">
        <x:v>11.84</x:v>
      </x:c>
      <x:c r="G2876" t="n">
        <x:v>36</x:v>
      </x:c>
      <x:c r="H2876" t="str">
        <x:v>D</x:v>
      </x:c>
      <x:c r="I2876" t="str">
        <x:v>4-6 years</x:v>
      </x:c>
      <x:c r="J2876" t="str">
        <x:v>RENT</x:v>
      </x:c>
      <x:c r="K2876" t="str">
        <x:v>debt_consolidation</x:v>
      </x:c>
      <x:c r="L2876" t="n">
        <x:v>0</x:v>
      </x:c>
      <x:c r="M2876" t="n">
        <x:v>0</x:v>
      </x:c>
      <x:c r="N2876" t="str">
        <x:v>Fully Paid</x:v>
      </x:c>
      <x:c r="O2876" t="str">
        <x:f>IF(D2876="","Unknown",IF(D2876&lt;25000,"&lt;$25k",IF(D2876&lt;50000,"$25k-$50k",IF(D2876&lt;75000,"$50k-$75k",IF(D2876&lt;100000,"$75k-$100k","$100k+")))))</x:f>
        <x:v>$25k-$50k</x:v>
      </x:c>
      <x:c r="P2876" t="str">
        <x:f>IF(E2876="","Unknown",IF(E2876&lt;10,"&lt;10",IF(E2876&lt;20,"10-&lt;20",IF(E2876&lt;25,"20-&lt;25",IF(E2876&lt;35,"25-&lt;35","35+")))))</x:f>
        <x:v>10-&lt;20</x:v>
      </x:c>
    </x:row>
    <x:row r="2877">
      <x:c r="A2877" t="str">
        <x:v>SYN0002876</x:v>
      </x:c>
      <x:c r="B2877" s="12" t="n">
        <x:v>41275</x:v>
      </x:c>
      <x:c r="C2877" s="18" t="n">
        <x:v>7005</x:v>
      </x:c>
      <x:c r="D2877" s="18" t="n">
        <x:v>117618</x:v>
      </x:c>
      <x:c r="E2877" s="18" t="n">
        <x:v>23.61</x:v>
      </x:c>
      <x:c r="F2877" s="18" t="n">
        <x:v>11.85</x:v>
      </x:c>
      <x:c r="G2877" t="n">
        <x:v>36</x:v>
      </x:c>
      <x:c r="H2877" t="str">
        <x:v>C</x:v>
      </x:c>
      <x:c r="I2877" t="str">
        <x:v>&lt;1 year</x:v>
      </x:c>
      <x:c r="J2877" t="str">
        <x:v>MORTGAGE</x:v>
      </x:c>
      <x:c r="K2877" t="str">
        <x:v>debt_consolidation</x:v>
      </x:c>
      <x:c r="L2877" t="n">
        <x:v>0</x:v>
      </x:c>
      <x:c r="M2877" t="n">
        <x:v>0</x:v>
      </x:c>
      <x:c r="N2877" t="str">
        <x:v>Fully Paid</x:v>
      </x:c>
      <x:c r="O2877" t="str">
        <x:f>IF(D2877="","Unknown",IF(D2877&lt;25000,"&lt;$25k",IF(D2877&lt;50000,"$25k-$50k",IF(D2877&lt;75000,"$50k-$75k",IF(D2877&lt;100000,"$75k-$100k","$100k+")))))</x:f>
        <x:v>$100k+</x:v>
      </x:c>
      <x:c r="P2877" t="str">
        <x:f>IF(E2877="","Unknown",IF(E2877&lt;10,"&lt;10",IF(E2877&lt;20,"10-&lt;20",IF(E2877&lt;25,"20-&lt;25",IF(E2877&lt;35,"25-&lt;35","35+")))))</x:f>
        <x:v>20-&lt;25</x:v>
      </x:c>
    </x:row>
    <x:row r="2878">
      <x:c r="A2878" t="str">
        <x:v>SYN0002877</x:v>
      </x:c>
      <x:c r="B2878" s="12" t="n">
        <x:v>41545</x:v>
      </x:c>
      <x:c r="C2878" s="18" t="n">
        <x:v>16735</x:v>
      </x:c>
      <x:c r="D2878" s="18" t="n">
        <x:v>37751</x:v>
      </x:c>
      <x:c r="E2878" s="18" t="n">
        <x:v>8.06</x:v>
      </x:c>
      <x:c r="F2878" s="18" t="n">
        <x:v>15.12</x:v>
      </x:c>
      <x:c r="G2878" t="n">
        <x:v>36</x:v>
      </x:c>
      <x:c r="H2878" t="str">
        <x:v>E</x:v>
      </x:c>
      <x:c r="I2878" t="str">
        <x:v>&lt;1 year</x:v>
      </x:c>
      <x:c r="J2878" t="str">
        <x:v>OWN</x:v>
      </x:c>
      <x:c r="K2878" t="str">
        <x:v>debt_consolidation</x:v>
      </x:c>
      <x:c r="L2878" t="n">
        <x:v>1</x:v>
      </x:c>
      <x:c r="M2878" t="n">
        <x:v>0</x:v>
      </x:c>
      <x:c r="N2878" t="str">
        <x:v>Fully Paid</x:v>
      </x:c>
      <x:c r="O2878" t="str">
        <x:f>IF(D2878="","Unknown",IF(D2878&lt;25000,"&lt;$25k",IF(D2878&lt;50000,"$25k-$50k",IF(D2878&lt;75000,"$50k-$75k",IF(D2878&lt;100000,"$75k-$100k","$100k+")))))</x:f>
        <x:v>$25k-$50k</x:v>
      </x:c>
      <x:c r="P2878" t="str">
        <x:f>IF(E2878="","Unknown",IF(E2878&lt;10,"&lt;10",IF(E2878&lt;20,"10-&lt;20",IF(E2878&lt;25,"20-&lt;25",IF(E2878&lt;35,"25-&lt;35","35+")))))</x:f>
        <x:v>&lt;10</x:v>
      </x:c>
    </x:row>
    <x:row r="2879">
      <x:c r="A2879" t="str">
        <x:v>SYN0002878</x:v>
      </x:c>
      <x:c r="B2879" s="12" t="n">
        <x:v>41695</x:v>
      </x:c>
      <x:c r="C2879" s="18" t="n">
        <x:v>17954</x:v>
      </x:c>
      <x:c r="D2879" s="18" t="n">
        <x:v>89639</x:v>
      </x:c>
      <x:c r="E2879" s="18" t="n">
        <x:v>20.32</x:v>
      </x:c>
      <x:c r="F2879" s="18" t="n">
        <x:v>9.93</x:v>
      </x:c>
      <x:c r="G2879" t="n">
        <x:v>60</x:v>
      </x:c>
      <x:c r="H2879" t="str">
        <x:v>B</x:v>
      </x:c>
      <x:c r="I2879" t="str">
        <x:v>&lt;1 year</x:v>
      </x:c>
      <x:c r="J2879" t="str">
        <x:v>RENT</x:v>
      </x:c>
      <x:c r="K2879" t="str">
        <x:v>medical</x:v>
      </x:c>
      <x:c r="L2879" t="n">
        <x:v>0</x:v>
      </x:c>
      <x:c r="M2879" t="n">
        <x:v>0</x:v>
      </x:c>
      <x:c r="N2879" t="str">
        <x:v>Fully Paid</x:v>
      </x:c>
      <x:c r="O2879" t="str">
        <x:f>IF(D2879="","Unknown",IF(D2879&lt;25000,"&lt;$25k",IF(D2879&lt;50000,"$25k-$50k",IF(D2879&lt;75000,"$50k-$75k",IF(D2879&lt;100000,"$75k-$100k","$100k+")))))</x:f>
        <x:v>$75k-$100k</x:v>
      </x:c>
      <x:c r="P2879" t="str">
        <x:f>IF(E2879="","Unknown",IF(E2879&lt;10,"&lt;10",IF(E2879&lt;20,"10-&lt;20",IF(E2879&lt;25,"20-&lt;25",IF(E2879&lt;35,"25-&lt;35","35+")))))</x:f>
        <x:v>20-&lt;25</x:v>
      </x:c>
    </x:row>
    <x:row r="2880">
      <x:c r="A2880" t="str">
        <x:v>SYN0002879</x:v>
      </x:c>
      <x:c r="B2880" s="12" t="n">
        <x:v>42505</x:v>
      </x:c>
      <x:c r="C2880" s="18" t="n">
        <x:v>12774</x:v>
      </x:c>
      <x:c r="D2880" s="18" t="n">
        <x:v>58884</x:v>
      </x:c>
      <x:c r="E2880" s="18" t="n">
        <x:v>38.33</x:v>
      </x:c>
      <x:c r="F2880" s="18" t="n">
        <x:v>7.36</x:v>
      </x:c>
      <x:c r="G2880" t="n">
        <x:v>36</x:v>
      </x:c>
      <x:c r="H2880" t="str">
        <x:v>C</x:v>
      </x:c>
      <x:c r="I2880" t="str">
        <x:v>4-6 years</x:v>
      </x:c>
      <x:c r="J2880" t="str">
        <x:v>MORTGAGE</x:v>
      </x:c>
      <x:c r="K2880" t="str">
        <x:v>debt_consolidation</x:v>
      </x:c>
      <x:c r="L2880" t="n">
        <x:v>0</x:v>
      </x:c>
      <x:c r="M2880" t="n">
        <x:v>0</x:v>
      </x:c>
      <x:c r="N2880" t="str">
        <x:v>Fully Paid</x:v>
      </x:c>
      <x:c r="O2880" t="str">
        <x:f>IF(D2880="","Unknown",IF(D2880&lt;25000,"&lt;$25k",IF(D2880&lt;50000,"$25k-$50k",IF(D2880&lt;75000,"$50k-$75k",IF(D2880&lt;100000,"$75k-$100k","$100k+")))))</x:f>
        <x:v>$50k-$75k</x:v>
      </x:c>
      <x:c r="P2880" t="str">
        <x:f>IF(E2880="","Unknown",IF(E2880&lt;10,"&lt;10",IF(E2880&lt;20,"10-&lt;20",IF(E2880&lt;25,"20-&lt;25",IF(E2880&lt;35,"25-&lt;35","35+")))))</x:f>
        <x:v>35+</x:v>
      </x:c>
    </x:row>
    <x:row r="2881">
      <x:c r="A2881" t="str">
        <x:v>SYN0002880</x:v>
      </x:c>
      <x:c r="B2881" s="12" t="n">
        <x:v>41905</x:v>
      </x:c>
      <x:c r="C2881" s="18" t="n">
        <x:v>10325</x:v>
      </x:c>
      <x:c r="D2881" s="18" t="n">
        <x:v>117741</x:v>
      </x:c>
      <x:c r="E2881" s="18" t="n">
        <x:v>18.93</x:v>
      </x:c>
      <x:c r="F2881" s="18" t="n">
        <x:v>13.89</x:v>
      </x:c>
      <x:c r="G2881" t="n">
        <x:v>60</x:v>
      </x:c>
      <x:c r="H2881" t="str">
        <x:v>D</x:v>
      </x:c>
      <x:c r="I2881" t="str">
        <x:v>7-9 years</x:v>
      </x:c>
      <x:c r="J2881" t="str">
        <x:v>MORTGAGE</x:v>
      </x:c>
      <x:c r="K2881" t="str">
        <x:v>major_purchase</x:v>
      </x:c>
      <x:c r="L2881" t="n">
        <x:v>1</x:v>
      </x:c>
      <x:c r="M2881" t="n">
        <x:v>0</x:v>
      </x:c>
      <x:c r="N2881" t="str">
        <x:v>Fully Paid</x:v>
      </x:c>
      <x:c r="O2881" t="str">
        <x:f>IF(D2881="","Unknown",IF(D2881&lt;25000,"&lt;$25k",IF(D2881&lt;50000,"$25k-$50k",IF(D2881&lt;75000,"$50k-$75k",IF(D2881&lt;100000,"$75k-$100k","$100k+")))))</x:f>
        <x:v>$100k+</x:v>
      </x:c>
      <x:c r="P2881" t="str">
        <x:f>IF(E2881="","Unknown",IF(E2881&lt;10,"&lt;10",IF(E2881&lt;20,"10-&lt;20",IF(E2881&lt;25,"20-&lt;25",IF(E2881&lt;35,"25-&lt;35","35+")))))</x:f>
        <x:v>10-&lt;20</x:v>
      </x:c>
    </x:row>
    <x:row r="2882">
      <x:c r="A2882" t="str">
        <x:v>SYN0002881</x:v>
      </x:c>
      <x:c r="B2882" s="12" t="n">
        <x:v>43375</x:v>
      </x:c>
      <x:c r="C2882" s="18" t="n">
        <x:v>13376</x:v>
      </x:c>
      <x:c r="D2882" s="18" t="n">
        <x:v>24851</x:v>
      </x:c>
      <x:c r="E2882" s="18" t="n">
        <x:v>18.71</x:v>
      </x:c>
      <x:c r="F2882" s="18" t="n">
        <x:v>10.53</x:v>
      </x:c>
      <x:c r="G2882" t="n">
        <x:v>60</x:v>
      </x:c>
      <x:c r="H2882" t="str">
        <x:v>C</x:v>
      </x:c>
      <x:c r="I2882" t="str">
        <x:v>4-6 years</x:v>
      </x:c>
      <x:c r="J2882" t="str">
        <x:v>OWN</x:v>
      </x:c>
      <x:c r="K2882" t="str">
        <x:v>credit_card</x:v>
      </x:c>
      <x:c r="L2882" t="n">
        <x:v>0</x:v>
      </x:c>
      <x:c r="M2882" t="n">
        <x:v>1</x:v>
      </x:c>
      <x:c r="N2882" t="str">
        <x:v>Charged Off</x:v>
      </x:c>
      <x:c r="O2882" t="str">
        <x:f>IF(D2882="","Unknown",IF(D2882&lt;25000,"&lt;$25k",IF(D2882&lt;50000,"$25k-$50k",IF(D2882&lt;75000,"$50k-$75k",IF(D2882&lt;100000,"$75k-$100k","$100k+")))))</x:f>
        <x:v>&lt;$25k</x:v>
      </x:c>
      <x:c r="P2882" t="str">
        <x:f>IF(E2882="","Unknown",IF(E2882&lt;10,"&lt;10",IF(E2882&lt;20,"10-&lt;20",IF(E2882&lt;25,"20-&lt;25",IF(E2882&lt;35,"25-&lt;35","35+")))))</x:f>
        <x:v>10-&lt;20</x:v>
      </x:c>
    </x:row>
    <x:row r="2883">
      <x:c r="A2883" t="str">
        <x:v>SYN0002882</x:v>
      </x:c>
      <x:c r="B2883" s="12" t="n">
        <x:v>41275</x:v>
      </x:c>
      <x:c r="C2883" s="18" t="n">
        <x:v>7867</x:v>
      </x:c>
      <x:c r="D2883" s="18" t="n">
        <x:v>46840</x:v>
      </x:c>
      <x:c r="E2883" s="18" t="n">
        <x:v>26.75</x:v>
      </x:c>
      <x:c r="F2883" s="18" t="n">
        <x:v>15.71</x:v>
      </x:c>
      <x:c r="G2883" t="n">
        <x:v>60</x:v>
      </x:c>
      <x:c r="H2883" t="str">
        <x:v>D</x:v>
      </x:c>
      <x:c r="I2883" t="str">
        <x:v>7-9 years</x:v>
      </x:c>
      <x:c r="J2883" t="str">
        <x:v>MORTGAGE</x:v>
      </x:c>
      <x:c r="K2883" t="str">
        <x:v>credit_card</x:v>
      </x:c>
      <x:c r="L2883" t="n">
        <x:v>3</x:v>
      </x:c>
      <x:c r="M2883" t="n">
        <x:v>1</x:v>
      </x:c>
      <x:c r="N2883" t="str">
        <x:v>Charged Off</x:v>
      </x:c>
      <x:c r="O2883" t="str">
        <x:f>IF(D2883="","Unknown",IF(D2883&lt;25000,"&lt;$25k",IF(D2883&lt;50000,"$25k-$50k",IF(D2883&lt;75000,"$50k-$75k",IF(D2883&lt;100000,"$75k-$100k","$100k+")))))</x:f>
        <x:v>$25k-$50k</x:v>
      </x:c>
      <x:c r="P2883" t="str">
        <x:f>IF(E2883="","Unknown",IF(E2883&lt;10,"&lt;10",IF(E2883&lt;20,"10-&lt;20",IF(E2883&lt;25,"20-&lt;25",IF(E2883&lt;35,"25-&lt;35","35+")))))</x:f>
        <x:v>25-&lt;35</x:v>
      </x:c>
    </x:row>
    <x:row r="2884">
      <x:c r="A2884" t="str">
        <x:v>SYN0002883</x:v>
      </x:c>
      <x:c r="B2884" s="12" t="n">
        <x:v>42295</x:v>
      </x:c>
      <x:c r="C2884" s="18" t="n">
        <x:v>13982</x:v>
      </x:c>
      <x:c r="D2884" s="18" t="n">
        <x:v>38607</x:v>
      </x:c>
      <x:c r="E2884" s="18" t="n">
        <x:v>14.89</x:v>
      </x:c>
      <x:c r="F2884" s="18" t="n">
        <x:v>15.76</x:v>
      </x:c>
      <x:c r="G2884" t="n">
        <x:v>36</x:v>
      </x:c>
      <x:c r="H2884" t="str">
        <x:v>D</x:v>
      </x:c>
      <x:c r="I2884" t="str">
        <x:v>10+ years</x:v>
      </x:c>
      <x:c r="J2884" t="str">
        <x:v>RENT</x:v>
      </x:c>
      <x:c r="K2884" t="str">
        <x:v>debt_consolidation</x:v>
      </x:c>
      <x:c r="L2884" t="n">
        <x:v>0</x:v>
      </x:c>
      <x:c r="M2884" t="n">
        <x:v>0</x:v>
      </x:c>
      <x:c r="N2884" t="str">
        <x:v>Fully Paid</x:v>
      </x:c>
      <x:c r="O2884" t="str">
        <x:f>IF(D2884="","Unknown",IF(D2884&lt;25000,"&lt;$25k",IF(D2884&lt;50000,"$25k-$50k",IF(D2884&lt;75000,"$50k-$75k",IF(D2884&lt;100000,"$75k-$100k","$100k+")))))</x:f>
        <x:v>$25k-$50k</x:v>
      </x:c>
      <x:c r="P2884" t="str">
        <x:f>IF(E2884="","Unknown",IF(E2884&lt;10,"&lt;10",IF(E2884&lt;20,"10-&lt;20",IF(E2884&lt;25,"20-&lt;25",IF(E2884&lt;35,"25-&lt;35","35+")))))</x:f>
        <x:v>10-&lt;20</x:v>
      </x:c>
    </x:row>
    <x:row r="2885">
      <x:c r="A2885" t="str">
        <x:v>SYN0002884</x:v>
      </x:c>
      <x:c r="B2885" s="12" t="n">
        <x:v>43045</x:v>
      </x:c>
      <x:c r="C2885" s="18" t="n">
        <x:v>16693</x:v>
      </x:c>
      <x:c r="D2885" s="18" t="n">
        <x:v>31471</x:v>
      </x:c>
      <x:c r="E2885" s="18" t="n">
        <x:v>10.21</x:v>
      </x:c>
      <x:c r="F2885" s="18" t="n">
        <x:v>14.6</x:v>
      </x:c>
      <x:c r="G2885" t="n">
        <x:v>60</x:v>
      </x:c>
      <x:c r="H2885" t="str">
        <x:v>D</x:v>
      </x:c>
      <x:c r="I2885" t="str">
        <x:v>10+ years</x:v>
      </x:c>
      <x:c r="J2885" t="str">
        <x:v>MORTGAGE</x:v>
      </x:c>
      <x:c r="K2885" t="str">
        <x:v>other</x:v>
      </x:c>
      <x:c r="L2885" t="n">
        <x:v>0</x:v>
      </x:c>
      <x:c r="M2885" t="n">
        <x:v>0</x:v>
      </x:c>
      <x:c r="N2885" t="str">
        <x:v>Fully Paid</x:v>
      </x:c>
      <x:c r="O2885" t="str">
        <x:f>IF(D2885="","Unknown",IF(D2885&lt;25000,"&lt;$25k",IF(D2885&lt;50000,"$25k-$50k",IF(D2885&lt;75000,"$50k-$75k",IF(D2885&lt;100000,"$75k-$100k","$100k+")))))</x:f>
        <x:v>$25k-$50k</x:v>
      </x:c>
      <x:c r="P2885" t="str">
        <x:f>IF(E2885="","Unknown",IF(E2885&lt;10,"&lt;10",IF(E2885&lt;20,"10-&lt;20",IF(E2885&lt;25,"20-&lt;25",IF(E2885&lt;35,"25-&lt;35","35+")))))</x:f>
        <x:v>10-&lt;20</x:v>
      </x:c>
    </x:row>
    <x:row r="2886">
      <x:c r="A2886" t="str">
        <x:v>SYN0002885</x:v>
      </x:c>
      <x:c r="B2886" s="12" t="n">
        <x:v>41335</x:v>
      </x:c>
      <x:c r="C2886" s="18" t="n">
        <x:v>7790</x:v>
      </x:c>
      <x:c r="D2886" s="18" t="n">
        <x:v>41430</x:v>
      </x:c>
      <x:c r="E2886" s="18" t="n">
        <x:v>15.06</x:v>
      </x:c>
      <x:c r="F2886" s="18" t="n">
        <x:v>20.58</x:v>
      </x:c>
      <x:c r="G2886" t="n">
        <x:v>60</x:v>
      </x:c>
      <x:c r="H2886" t="str">
        <x:v>F</x:v>
      </x:c>
      <x:c r="I2886" t="str">
        <x:v>10+ years</x:v>
      </x:c>
      <x:c r="J2886" t="str">
        <x:v>RENT</x:v>
      </x:c>
      <x:c r="K2886" t="str">
        <x:v>home_improvement</x:v>
      </x:c>
      <x:c r="L2886" t="n">
        <x:v>1</x:v>
      </x:c>
      <x:c r="M2886" t="n">
        <x:v>0</x:v>
      </x:c>
      <x:c r="N2886" t="str">
        <x:v>Fully Paid</x:v>
      </x:c>
      <x:c r="O2886" t="str">
        <x:f>IF(D2886="","Unknown",IF(D2886&lt;25000,"&lt;$25k",IF(D2886&lt;50000,"$25k-$50k",IF(D2886&lt;75000,"$50k-$75k",IF(D2886&lt;100000,"$75k-$100k","$100k+")))))</x:f>
        <x:v>$25k-$50k</x:v>
      </x:c>
      <x:c r="P2886" t="str">
        <x:f>IF(E2886="","Unknown",IF(E2886&lt;10,"&lt;10",IF(E2886&lt;20,"10-&lt;20",IF(E2886&lt;25,"20-&lt;25",IF(E2886&lt;35,"25-&lt;35","35+")))))</x:f>
        <x:v>10-&lt;20</x:v>
      </x:c>
    </x:row>
    <x:row r="2887">
      <x:c r="A2887" t="str">
        <x:v>SYN0002886</x:v>
      </x:c>
      <x:c r="B2887" s="12" t="n">
        <x:v>42355</x:v>
      </x:c>
      <x:c r="C2887" s="18" t="n">
        <x:v>20150</x:v>
      </x:c>
      <x:c r="D2887" s="18" t="n">
        <x:v>36395</x:v>
      </x:c>
      <x:c r="E2887" s="18" t="n">
        <x:v>19.23</x:v>
      </x:c>
      <x:c r="F2887" s="18" t="n">
        <x:v>5.4</x:v>
      </x:c>
      <x:c r="G2887" t="n">
        <x:v>36</x:v>
      </x:c>
      <x:c r="H2887" t="str">
        <x:v>A</x:v>
      </x:c>
      <x:c r="I2887" t="str">
        <x:v>4-6 years</x:v>
      </x:c>
      <x:c r="J2887" t="str">
        <x:v>RENT</x:v>
      </x:c>
      <x:c r="K2887" t="str">
        <x:v>home_improvement</x:v>
      </x:c>
      <x:c r="L2887" t="n">
        <x:v>1</x:v>
      </x:c>
      <x:c r="M2887" t="n">
        <x:v>0</x:v>
      </x:c>
      <x:c r="N2887" t="str">
        <x:v>Fully Paid</x:v>
      </x:c>
      <x:c r="O2887" t="str">
        <x:f>IF(D2887="","Unknown",IF(D2887&lt;25000,"&lt;$25k",IF(D2887&lt;50000,"$25k-$50k",IF(D2887&lt;75000,"$50k-$75k",IF(D2887&lt;100000,"$75k-$100k","$100k+")))))</x:f>
        <x:v>$25k-$50k</x:v>
      </x:c>
      <x:c r="P2887" t="str">
        <x:f>IF(E2887="","Unknown",IF(E2887&lt;10,"&lt;10",IF(E2887&lt;20,"10-&lt;20",IF(E2887&lt;25,"20-&lt;25",IF(E2887&lt;35,"25-&lt;35","35+")))))</x:f>
        <x:v>10-&lt;20</x:v>
      </x:c>
    </x:row>
    <x:row r="2888">
      <x:c r="A2888" t="str">
        <x:v>SYN0002887</x:v>
      </x:c>
      <x:c r="B2888" s="12" t="n">
        <x:v>41665</x:v>
      </x:c>
      <x:c r="C2888" s="18" t="n">
        <x:v>11546</x:v>
      </x:c>
      <x:c r="D2888" s="18" t="n">
        <x:v>96672</x:v>
      </x:c>
      <x:c r="E2888" s="18" t="n">
        <x:v>15.45</x:v>
      </x:c>
      <x:c r="F2888" s="18" t="n">
        <x:v>12.22</x:v>
      </x:c>
      <x:c r="G2888" t="n">
        <x:v>36</x:v>
      </x:c>
      <x:c r="H2888" t="str">
        <x:v>D</x:v>
      </x:c>
      <x:c r="I2888" t="str">
        <x:v>4-6 years</x:v>
      </x:c>
      <x:c r="J2888" t="str">
        <x:v>OWN</x:v>
      </x:c>
      <x:c r="K2888" t="str">
        <x:v>debt_consolidation</x:v>
      </x:c>
      <x:c r="L2888" t="n">
        <x:v>0</x:v>
      </x:c>
      <x:c r="M2888" t="n">
        <x:v>0</x:v>
      </x:c>
      <x:c r="N2888" t="str">
        <x:v>Fully Paid</x:v>
      </x:c>
      <x:c r="O2888" t="str">
        <x:f>IF(D2888="","Unknown",IF(D2888&lt;25000,"&lt;$25k",IF(D2888&lt;50000,"$25k-$50k",IF(D2888&lt;75000,"$50k-$75k",IF(D2888&lt;100000,"$75k-$100k","$100k+")))))</x:f>
        <x:v>$75k-$100k</x:v>
      </x:c>
      <x:c r="P2888" t="str">
        <x:f>IF(E2888="","Unknown",IF(E2888&lt;10,"&lt;10",IF(E2888&lt;20,"10-&lt;20",IF(E2888&lt;25,"20-&lt;25",IF(E2888&lt;35,"25-&lt;35","35+")))))</x:f>
        <x:v>10-&lt;20</x:v>
      </x:c>
    </x:row>
    <x:row r="2889">
      <x:c r="A2889" t="str">
        <x:v>SYN0002888</x:v>
      </x:c>
      <x:c r="B2889" s="12" t="n">
        <x:v>42235</x:v>
      </x:c>
      <x:c r="C2889" s="18" t="n">
        <x:v>13647</x:v>
      </x:c>
      <x:c r="D2889" s="18" t="n">
        <x:v>61594</x:v>
      </x:c>
      <x:c r="E2889" s="18" t="n">
        <x:v>23.91</x:v>
      </x:c>
      <x:c r="F2889" s="18" t="n">
        <x:v>17.16</x:v>
      </x:c>
      <x:c r="G2889" t="n">
        <x:v>36</x:v>
      </x:c>
      <x:c r="H2889" t="str">
        <x:v>E</x:v>
      </x:c>
      <x:c r="I2889" t="str">
        <x:v>10+ years</x:v>
      </x:c>
      <x:c r="J2889" t="str">
        <x:v>MORTGAGE</x:v>
      </x:c>
      <x:c r="K2889" t="str">
        <x:v>credit_card</x:v>
      </x:c>
      <x:c r="L2889" t="n">
        <x:v>1</x:v>
      </x:c>
      <x:c r="M2889" t="n">
        <x:v>0</x:v>
      </x:c>
      <x:c r="N2889" t="str">
        <x:v>Fully Paid</x:v>
      </x:c>
      <x:c r="O2889" t="str">
        <x:f>IF(D2889="","Unknown",IF(D2889&lt;25000,"&lt;$25k",IF(D2889&lt;50000,"$25k-$50k",IF(D2889&lt;75000,"$50k-$75k",IF(D2889&lt;100000,"$75k-$100k","$100k+")))))</x:f>
        <x:v>$50k-$75k</x:v>
      </x:c>
      <x:c r="P2889" t="str">
        <x:f>IF(E2889="","Unknown",IF(E2889&lt;10,"&lt;10",IF(E2889&lt;20,"10-&lt;20",IF(E2889&lt;25,"20-&lt;25",IF(E2889&lt;35,"25-&lt;35","35+")))))</x:f>
        <x:v>20-&lt;25</x:v>
      </x:c>
    </x:row>
    <x:row r="2890">
      <x:c r="A2890" t="str">
        <x:v>SYN0002889</x:v>
      </x:c>
      <x:c r="B2890" s="12" t="n">
        <x:v>42175</x:v>
      </x:c>
      <x:c r="C2890" s="18" t="n">
        <x:v>4434</x:v>
      </x:c>
      <x:c r="D2890" s="18" t="n">
        <x:v>24753</x:v>
      </x:c>
      <x:c r="E2890" s="18" t="n">
        <x:v>18.27</x:v>
      </x:c>
      <x:c r="F2890" s="18" t="n">
        <x:v>8.7</x:v>
      </x:c>
      <x:c r="G2890" t="n">
        <x:v>36</x:v>
      </x:c>
      <x:c r="H2890" t="str">
        <x:v>C</x:v>
      </x:c>
      <x:c r="I2890" t="str">
        <x:v>7-9 years</x:v>
      </x:c>
      <x:c r="J2890" t="str">
        <x:v>OWN</x:v>
      </x:c>
      <x:c r="K2890" t="str">
        <x:v>debt_consolidation</x:v>
      </x:c>
      <x:c r="L2890" t="n">
        <x:v>1</x:v>
      </x:c>
      <x:c r="M2890" t="n">
        <x:v>0</x:v>
      </x:c>
      <x:c r="N2890" t="str">
        <x:v>Fully Paid</x:v>
      </x:c>
      <x:c r="O2890" t="str">
        <x:f>IF(D2890="","Unknown",IF(D2890&lt;25000,"&lt;$25k",IF(D2890&lt;50000,"$25k-$50k",IF(D2890&lt;75000,"$50k-$75k",IF(D2890&lt;100000,"$75k-$100k","$100k+")))))</x:f>
        <x:v>&lt;$25k</x:v>
      </x:c>
      <x:c r="P2890" t="str">
        <x:f>IF(E2890="","Unknown",IF(E2890&lt;10,"&lt;10",IF(E2890&lt;20,"10-&lt;20",IF(E2890&lt;25,"20-&lt;25",IF(E2890&lt;35,"25-&lt;35","35+")))))</x:f>
        <x:v>10-&lt;20</x:v>
      </x:c>
    </x:row>
    <x:row r="2891">
      <x:c r="A2891" t="str">
        <x:v>SYN0002890</x:v>
      </x:c>
      <x:c r="B2891" s="12" t="n">
        <x:v>41395</x:v>
      </x:c>
      <x:c r="C2891" s="18" t="n">
        <x:v>12827</x:v>
      </x:c>
      <x:c r="D2891" s="18" t="n">
        <x:v>47042</x:v>
      </x:c>
      <x:c r="E2891" s="18" t="n">
        <x:v>36.33</x:v>
      </x:c>
      <x:c r="F2891" s="18" t="n">
        <x:v>24.19</x:v>
      </x:c>
      <x:c r="G2891" t="n">
        <x:v>36</x:v>
      </x:c>
      <x:c r="H2891" t="str">
        <x:v>F</x:v>
      </x:c>
      <x:c r="I2891" t="str">
        <x:v>4-6 years</x:v>
      </x:c>
      <x:c r="J2891" t="str">
        <x:v>OWN</x:v>
      </x:c>
      <x:c r="K2891" t="str">
        <x:v>debt_consolidation</x:v>
      </x:c>
      <x:c r="L2891" t="n">
        <x:v>0</x:v>
      </x:c>
      <x:c r="M2891" t="n">
        <x:v>0</x:v>
      </x:c>
      <x:c r="N2891" t="str">
        <x:v>Fully Paid</x:v>
      </x:c>
      <x:c r="O2891" t="str">
        <x:f>IF(D2891="","Unknown",IF(D2891&lt;25000,"&lt;$25k",IF(D2891&lt;50000,"$25k-$50k",IF(D2891&lt;75000,"$50k-$75k",IF(D2891&lt;100000,"$75k-$100k","$100k+")))))</x:f>
        <x:v>$25k-$50k</x:v>
      </x:c>
      <x:c r="P2891" t="str">
        <x:f>IF(E2891="","Unknown",IF(E2891&lt;10,"&lt;10",IF(E2891&lt;20,"10-&lt;20",IF(E2891&lt;25,"20-&lt;25",IF(E2891&lt;35,"25-&lt;35","35+")))))</x:f>
        <x:v>35+</x:v>
      </x:c>
    </x:row>
    <x:row r="2892">
      <x:c r="A2892" t="str">
        <x:v>SYN0002891</x:v>
      </x:c>
      <x:c r="B2892" s="12" t="n">
        <x:v>43405</x:v>
      </x:c>
      <x:c r="C2892" s="18" t="n">
        <x:v>17373</x:v>
      </x:c>
      <x:c r="D2892" s="18" t="n">
        <x:v>121124</x:v>
      </x:c>
      <x:c r="E2892" s="18" t="n">
        <x:v>29.06</x:v>
      </x:c>
      <x:c r="F2892" s="18" t="n">
        <x:v>12.54</x:v>
      </x:c>
      <x:c r="G2892" t="n">
        <x:v>36</x:v>
      </x:c>
      <x:c r="H2892" t="str">
        <x:v>B</x:v>
      </x:c>
      <x:c r="I2892" t="str">
        <x:v>4-6 years</x:v>
      </x:c>
      <x:c r="J2892" t="str">
        <x:v>MORTGAGE</x:v>
      </x:c>
      <x:c r="K2892" t="str">
        <x:v>home_improvement</x:v>
      </x:c>
      <x:c r="L2892" t="n">
        <x:v>0</x:v>
      </x:c>
      <x:c r="M2892" t="n">
        <x:v>0</x:v>
      </x:c>
      <x:c r="N2892" t="str">
        <x:v>Fully Paid</x:v>
      </x:c>
      <x:c r="O2892" t="str">
        <x:f>IF(D2892="","Unknown",IF(D2892&lt;25000,"&lt;$25k",IF(D2892&lt;50000,"$25k-$50k",IF(D2892&lt;75000,"$50k-$75k",IF(D2892&lt;100000,"$75k-$100k","$100k+")))))</x:f>
        <x:v>$100k+</x:v>
      </x:c>
      <x:c r="P2892" t="str">
        <x:f>IF(E2892="","Unknown",IF(E2892&lt;10,"&lt;10",IF(E2892&lt;20,"10-&lt;20",IF(E2892&lt;25,"20-&lt;25",IF(E2892&lt;35,"25-&lt;35","35+")))))</x:f>
        <x:v>25-&lt;35</x:v>
      </x:c>
    </x:row>
    <x:row r="2893">
      <x:c r="A2893" t="str">
        <x:v>SYN0002892</x:v>
      </x:c>
      <x:c r="B2893" s="12" t="n">
        <x:v>43285</x:v>
      </x:c>
      <x:c r="C2893" s="18" t="n">
        <x:v>8328</x:v>
      </x:c>
      <x:c r="D2893" s="18" t="n">
        <x:v>57461</x:v>
      </x:c>
      <x:c r="E2893" s="18" t="n">
        <x:v>15.34</x:v>
      </x:c>
      <x:c r="F2893" s="18" t="n">
        <x:v>13.75</x:v>
      </x:c>
      <x:c r="G2893" t="n">
        <x:v>36</x:v>
      </x:c>
      <x:c r="H2893" t="str">
        <x:v>D</x:v>
      </x:c>
      <x:c r="I2893" t="str">
        <x:v>&lt;1 year</x:v>
      </x:c>
      <x:c r="J2893" t="str">
        <x:v>OWN</x:v>
      </x:c>
      <x:c r="K2893" t="str">
        <x:v>debt_consolidation</x:v>
      </x:c>
      <x:c r="L2893" t="n">
        <x:v>0</x:v>
      </x:c>
      <x:c r="M2893" t="n">
        <x:v>0</x:v>
      </x:c>
      <x:c r="N2893" t="str">
        <x:v>Fully Paid</x:v>
      </x:c>
      <x:c r="O2893" t="str">
        <x:f>IF(D2893="","Unknown",IF(D2893&lt;25000,"&lt;$25k",IF(D2893&lt;50000,"$25k-$50k",IF(D2893&lt;75000,"$50k-$75k",IF(D2893&lt;100000,"$75k-$100k","$100k+")))))</x:f>
        <x:v>$50k-$75k</x:v>
      </x:c>
      <x:c r="P2893" t="str">
        <x:f>IF(E2893="","Unknown",IF(E2893&lt;10,"&lt;10",IF(E2893&lt;20,"10-&lt;20",IF(E2893&lt;25,"20-&lt;25",IF(E2893&lt;35,"25-&lt;35","35+")))))</x:f>
        <x:v>10-&lt;20</x:v>
      </x:c>
    </x:row>
    <x:row r="2894">
      <x:c r="A2894" t="str">
        <x:v>SYN0002893</x:v>
      </x:c>
      <x:c r="B2894" s="12" t="n">
        <x:v>43375</x:v>
      </x:c>
      <x:c r="C2894" s="18" t="n">
        <x:v>5576</x:v>
      </x:c>
      <x:c r="D2894" s="18" t="n">
        <x:v>125577</x:v>
      </x:c>
      <x:c r="E2894" s="18" t="n">
        <x:v>22.36</x:v>
      </x:c>
      <x:c r="F2894" s="18" t="n">
        <x:v>16.13</x:v>
      </x:c>
      <x:c r="G2894" t="n">
        <x:v>36</x:v>
      </x:c>
      <x:c r="H2894" t="str">
        <x:v>D</x:v>
      </x:c>
      <x:c r="I2894" t="str">
        <x:v>10+ years</x:v>
      </x:c>
      <x:c r="J2894" t="str">
        <x:v>MORTGAGE</x:v>
      </x:c>
      <x:c r="K2894" t="str">
        <x:v>other</x:v>
      </x:c>
      <x:c r="L2894" t="n">
        <x:v>0</x:v>
      </x:c>
      <x:c r="M2894" t="n">
        <x:v>0</x:v>
      </x:c>
      <x:c r="N2894" t="str">
        <x:v>Fully Paid</x:v>
      </x:c>
      <x:c r="O2894" t="str">
        <x:f>IF(D2894="","Unknown",IF(D2894&lt;25000,"&lt;$25k",IF(D2894&lt;50000,"$25k-$50k",IF(D2894&lt;75000,"$50k-$75k",IF(D2894&lt;100000,"$75k-$100k","$100k+")))))</x:f>
        <x:v>$100k+</x:v>
      </x:c>
      <x:c r="P2894" t="str">
        <x:f>IF(E2894="","Unknown",IF(E2894&lt;10,"&lt;10",IF(E2894&lt;20,"10-&lt;20",IF(E2894&lt;25,"20-&lt;25",IF(E2894&lt;35,"25-&lt;35","35+")))))</x:f>
        <x:v>20-&lt;25</x:v>
      </x:c>
    </x:row>
    <x:row r="2895">
      <x:c r="A2895" t="str">
        <x:v>SYN0002894</x:v>
      </x:c>
      <x:c r="B2895" s="12" t="n">
        <x:v>42415</x:v>
      </x:c>
      <x:c r="C2895" s="18" t="n">
        <x:v>31646</x:v>
      </x:c>
      <x:c r="D2895" s="18" t="n">
        <x:v>41220</x:v>
      </x:c>
      <x:c r="E2895" s="18" t="n">
        <x:v>28.58</x:v>
      </x:c>
      <x:c r="F2895" s="18" t="n">
        <x:v>21.18</x:v>
      </x:c>
      <x:c r="G2895" t="n">
        <x:v>36</x:v>
      </x:c>
      <x:c r="H2895" t="str">
        <x:v>F</x:v>
      </x:c>
      <x:c r="I2895" t="str">
        <x:v>7-9 years</x:v>
      </x:c>
      <x:c r="J2895" t="str">
        <x:v>MORTGAGE</x:v>
      </x:c>
      <x:c r="K2895" t="str">
        <x:v>home_improvement</x:v>
      </x:c>
      <x:c r="L2895" t="n">
        <x:v>1</x:v>
      </x:c>
      <x:c r="M2895" t="n">
        <x:v>0</x:v>
      </x:c>
      <x:c r="N2895" t="str">
        <x:v>Fully Paid</x:v>
      </x:c>
      <x:c r="O2895" t="str">
        <x:f>IF(D2895="","Unknown",IF(D2895&lt;25000,"&lt;$25k",IF(D2895&lt;50000,"$25k-$50k",IF(D2895&lt;75000,"$50k-$75k",IF(D2895&lt;100000,"$75k-$100k","$100k+")))))</x:f>
        <x:v>$25k-$50k</x:v>
      </x:c>
      <x:c r="P2895" t="str">
        <x:f>IF(E2895="","Unknown",IF(E2895&lt;10,"&lt;10",IF(E2895&lt;20,"10-&lt;20",IF(E2895&lt;25,"20-&lt;25",IF(E2895&lt;35,"25-&lt;35","35+")))))</x:f>
        <x:v>25-&lt;35</x:v>
      </x:c>
    </x:row>
    <x:row r="2896">
      <x:c r="A2896" t="str">
        <x:v>SYN0002895</x:v>
      </x:c>
      <x:c r="B2896" s="12" t="n">
        <x:v>41485</x:v>
      </x:c>
      <x:c r="C2896" s="18" t="n">
        <x:v>40000</x:v>
      </x:c>
      <x:c r="D2896" s="18" t="n">
        <x:v>22158</x:v>
      </x:c>
      <x:c r="E2896" s="18" t="n">
        <x:v>19.87</x:v>
      </x:c>
      <x:c r="F2896" s="18" t="n">
        <x:v>8.86</x:v>
      </x:c>
      <x:c r="G2896" t="n">
        <x:v>60</x:v>
      </x:c>
      <x:c r="H2896" t="str">
        <x:v>C</x:v>
      </x:c>
      <x:c r="I2896" t="str">
        <x:v>1-3 years</x:v>
      </x:c>
      <x:c r="J2896" t="str">
        <x:v>MORTGAGE</x:v>
      </x:c>
      <x:c r="K2896" t="str">
        <x:v>medical</x:v>
      </x:c>
      <x:c r="L2896" t="n">
        <x:v>2</x:v>
      </x:c>
      <x:c r="M2896" t="n">
        <x:v>0</x:v>
      </x:c>
      <x:c r="N2896" t="str">
        <x:v>Fully Paid</x:v>
      </x:c>
      <x:c r="O2896" t="str">
        <x:f>IF(D2896="","Unknown",IF(D2896&lt;25000,"&lt;$25k",IF(D2896&lt;50000,"$25k-$50k",IF(D2896&lt;75000,"$50k-$75k",IF(D2896&lt;100000,"$75k-$100k","$100k+")))))</x:f>
        <x:v>&lt;$25k</x:v>
      </x:c>
      <x:c r="P2896" t="str">
        <x:f>IF(E2896="","Unknown",IF(E2896&lt;10,"&lt;10",IF(E2896&lt;20,"10-&lt;20",IF(E2896&lt;25,"20-&lt;25",IF(E2896&lt;35,"25-&lt;35","35+")))))</x:f>
        <x:v>10-&lt;20</x:v>
      </x:c>
    </x:row>
    <x:row r="2897">
      <x:c r="A2897" t="str">
        <x:v>SYN0002896</x:v>
      </x:c>
      <x:c r="B2897" s="12" t="n">
        <x:v>42775</x:v>
      </x:c>
      <x:c r="C2897" s="18" t="n">
        <x:v>17677</x:v>
      </x:c>
      <x:c r="D2897" s="18" t="n">
        <x:v>12239</x:v>
      </x:c>
      <x:c r="E2897" s="18" t="n">
        <x:v>24.7</x:v>
      </x:c>
      <x:c r="F2897" s="18" t="n">
        <x:v>23.87</x:v>
      </x:c>
      <x:c r="G2897" t="n">
        <x:v>36</x:v>
      </x:c>
      <x:c r="H2897" t="str">
        <x:v>F</x:v>
      </x:c>
      <x:c r="I2897" t="str">
        <x:v>4-6 years</x:v>
      </x:c>
      <x:c r="J2897" t="str">
        <x:v>MORTGAGE</x:v>
      </x:c>
      <x:c r="K2897" t="str">
        <x:v>home_improvement</x:v>
      </x:c>
      <x:c r="L2897" t="n">
        <x:v>0</x:v>
      </x:c>
      <x:c r="M2897" t="n">
        <x:v>0</x:v>
      </x:c>
      <x:c r="N2897" t="str">
        <x:v>Fully Paid</x:v>
      </x:c>
      <x:c r="O2897" t="str">
        <x:f>IF(D2897="","Unknown",IF(D2897&lt;25000,"&lt;$25k",IF(D2897&lt;50000,"$25k-$50k",IF(D2897&lt;75000,"$50k-$75k",IF(D2897&lt;100000,"$75k-$100k","$100k+")))))</x:f>
        <x:v>&lt;$25k</x:v>
      </x:c>
      <x:c r="P2897" t="str">
        <x:f>IF(E2897="","Unknown",IF(E2897&lt;10,"&lt;10",IF(E2897&lt;20,"10-&lt;20",IF(E2897&lt;25,"20-&lt;25",IF(E2897&lt;35,"25-&lt;35","35+")))))</x:f>
        <x:v>20-&lt;25</x:v>
      </x:c>
    </x:row>
    <x:row r="2898">
      <x:c r="A2898" t="str">
        <x:v>SYN0002897</x:v>
      </x:c>
      <x:c r="B2898" s="12" t="n">
        <x:v>42505</x:v>
      </x:c>
      <x:c r="C2898" s="18" t="n">
        <x:v>8221</x:v>
      </x:c>
      <x:c r="D2898" s="18" t="n">
        <x:v>34686</x:v>
      </x:c>
      <x:c r="E2898" s="18" t="n">
        <x:v>24.7</x:v>
      </x:c>
      <x:c r="F2898" s="18" t="n">
        <x:v>25.36</x:v>
      </x:c>
      <x:c r="G2898" t="n">
        <x:v>36</x:v>
      </x:c>
      <x:c r="H2898" t="str">
        <x:v>G</x:v>
      </x:c>
      <x:c r="I2898" t="str">
        <x:v>7-9 years</x:v>
      </x:c>
      <x:c r="J2898" t="str">
        <x:v>MORTGAGE</x:v>
      </x:c>
      <x:c r="K2898" t="str">
        <x:v>credit_card</x:v>
      </x:c>
      <x:c r="L2898" t="n">
        <x:v>0</x:v>
      </x:c>
      <x:c r="M2898" t="n">
        <x:v>0</x:v>
      </x:c>
      <x:c r="N2898" t="str">
        <x:v>Fully Paid</x:v>
      </x:c>
      <x:c r="O2898" t="str">
        <x:f>IF(D2898="","Unknown",IF(D2898&lt;25000,"&lt;$25k",IF(D2898&lt;50000,"$25k-$50k",IF(D2898&lt;75000,"$50k-$75k",IF(D2898&lt;100000,"$75k-$100k","$100k+")))))</x:f>
        <x:v>$25k-$50k</x:v>
      </x:c>
      <x:c r="P2898" t="str">
        <x:f>IF(E2898="","Unknown",IF(E2898&lt;10,"&lt;10",IF(E2898&lt;20,"10-&lt;20",IF(E2898&lt;25,"20-&lt;25",IF(E2898&lt;35,"25-&lt;35","35+")))))</x:f>
        <x:v>20-&lt;25</x:v>
      </x:c>
    </x:row>
    <x:row r="2899">
      <x:c r="A2899" t="str">
        <x:v>SYN0002898</x:v>
      </x:c>
      <x:c r="B2899" s="12" t="n">
        <x:v>41305</x:v>
      </x:c>
      <x:c r="C2899" s="18" t="n">
        <x:v>6673</x:v>
      </x:c>
      <x:c r="D2899" s="18" t="n">
        <x:v>32493</x:v>
      </x:c>
      <x:c r="E2899" s="18" t="n">
        <x:v>19.07</x:v>
      </x:c>
      <x:c r="F2899" s="18" t="n">
        <x:v>14.56</x:v>
      </x:c>
      <x:c r="G2899" t="n">
        <x:v>36</x:v>
      </x:c>
      <x:c r="H2899" t="str">
        <x:v>D</x:v>
      </x:c>
      <x:c r="I2899" t="str">
        <x:v>10+ years</x:v>
      </x:c>
      <x:c r="J2899" t="str">
        <x:v>RENT</x:v>
      </x:c>
      <x:c r="K2899" t="str">
        <x:v>debt_consolidation</x:v>
      </x:c>
      <x:c r="L2899" t="n">
        <x:v>3</x:v>
      </x:c>
      <x:c r="M2899" t="n">
        <x:v>0</x:v>
      </x:c>
      <x:c r="N2899" t="str">
        <x:v>Fully Paid</x:v>
      </x:c>
      <x:c r="O2899" t="str">
        <x:f>IF(D2899="","Unknown",IF(D2899&lt;25000,"&lt;$25k",IF(D2899&lt;50000,"$25k-$50k",IF(D2899&lt;75000,"$50k-$75k",IF(D2899&lt;100000,"$75k-$100k","$100k+")))))</x:f>
        <x:v>$25k-$50k</x:v>
      </x:c>
      <x:c r="P2899" t="str">
        <x:f>IF(E2899="","Unknown",IF(E2899&lt;10,"&lt;10",IF(E2899&lt;20,"10-&lt;20",IF(E2899&lt;25,"20-&lt;25",IF(E2899&lt;35,"25-&lt;35","35+")))))</x:f>
        <x:v>10-&lt;20</x:v>
      </x:c>
    </x:row>
    <x:row r="2900">
      <x:c r="A2900" t="str">
        <x:v>SYN0002899</x:v>
      </x:c>
      <x:c r="B2900" s="12" t="n">
        <x:v>41905</x:v>
      </x:c>
      <x:c r="C2900" s="18" t="n">
        <x:v>8450</x:v>
      </x:c>
      <x:c r="D2900" s="18" t="n">
        <x:v>55074</x:v>
      </x:c>
      <x:c r="E2900" s="18" t="n">
        <x:v>19.37</x:v>
      </x:c>
      <x:c r="F2900" s="18" t="n">
        <x:v>15.94</x:v>
      </x:c>
      <x:c r="G2900" t="n">
        <x:v>60</x:v>
      </x:c>
      <x:c r="H2900" t="str">
        <x:v>E</x:v>
      </x:c>
      <x:c r="I2900" t="str">
        <x:v>7-9 years</x:v>
      </x:c>
      <x:c r="J2900" t="str">
        <x:v>MORTGAGE</x:v>
      </x:c>
      <x:c r="K2900" t="str">
        <x:v>debt_consolidation</x:v>
      </x:c>
      <x:c r="L2900" t="n">
        <x:v>1</x:v>
      </x:c>
      <x:c r="M2900" t="n">
        <x:v>1</x:v>
      </x:c>
      <x:c r="N2900" t="str">
        <x:v>Charged Off</x:v>
      </x:c>
      <x:c r="O2900" t="str">
        <x:f>IF(D2900="","Unknown",IF(D2900&lt;25000,"&lt;$25k",IF(D2900&lt;50000,"$25k-$50k",IF(D2900&lt;75000,"$50k-$75k",IF(D2900&lt;100000,"$75k-$100k","$100k+")))))</x:f>
        <x:v>$50k-$75k</x:v>
      </x:c>
      <x:c r="P2900" t="str">
        <x:f>IF(E2900="","Unknown",IF(E2900&lt;10,"&lt;10",IF(E2900&lt;20,"10-&lt;20",IF(E2900&lt;25,"20-&lt;25",IF(E2900&lt;35,"25-&lt;35","35+")))))</x:f>
        <x:v>10-&lt;20</x:v>
      </x:c>
    </x:row>
    <x:row r="2901">
      <x:c r="A2901" t="str">
        <x:v>SYN0002900</x:v>
      </x:c>
      <x:c r="B2901" s="12" t="n">
        <x:v>41395</x:v>
      </x:c>
      <x:c r="C2901" s="18" t="n">
        <x:v>8207</x:v>
      </x:c>
      <x:c r="D2901" s="18" t="n">
        <x:v>17681</x:v>
      </x:c>
      <x:c r="E2901" s="18" t="n">
        <x:v>20.3</x:v>
      </x:c>
      <x:c r="F2901" s="18" t="n">
        <x:v>8.09</x:v>
      </x:c>
      <x:c r="G2901" t="n">
        <x:v>36</x:v>
      </x:c>
      <x:c r="H2901" t="str">
        <x:v>A</x:v>
      </x:c>
      <x:c r="I2901" t="str">
        <x:v>1-3 years</x:v>
      </x:c>
      <x:c r="J2901" t="str">
        <x:v>RENT</x:v>
      </x:c>
      <x:c r="K2901" t="str">
        <x:v>debt_consolidation</x:v>
      </x:c>
      <x:c r="L2901" t="n">
        <x:v>0</x:v>
      </x:c>
      <x:c r="M2901" t="n">
        <x:v>0</x:v>
      </x:c>
      <x:c r="N2901" t="str">
        <x:v>Fully Paid</x:v>
      </x:c>
      <x:c r="O2901" t="str">
        <x:f>IF(D2901="","Unknown",IF(D2901&lt;25000,"&lt;$25k",IF(D2901&lt;50000,"$25k-$50k",IF(D2901&lt;75000,"$50k-$75k",IF(D2901&lt;100000,"$75k-$100k","$100k+")))))</x:f>
        <x:v>&lt;$25k</x:v>
      </x:c>
      <x:c r="P2901" t="str">
        <x:f>IF(E2901="","Unknown",IF(E2901&lt;10,"&lt;10",IF(E2901&lt;20,"10-&lt;20",IF(E2901&lt;25,"20-&lt;25",IF(E2901&lt;35,"25-&lt;35","35+")))))</x:f>
        <x:v>20-&lt;25</x:v>
      </x:c>
    </x:row>
    <x:row r="2902">
      <x:c r="A2902" t="str">
        <x:v>SYN0002901</x:v>
      </x:c>
      <x:c r="B2902" s="12" t="n">
        <x:v>42985</x:v>
      </x:c>
      <x:c r="C2902" s="18" t="n">
        <x:v>25339</x:v>
      </x:c>
      <x:c r="D2902" s="18" t="n">
        <x:v>56834</x:v>
      </x:c>
      <x:c r="E2902" s="18" t="n">
        <x:v>30.22</x:v>
      </x:c>
      <x:c r="F2902" s="18" t="n">
        <x:v>5.44</x:v>
      </x:c>
      <x:c r="G2902" t="n">
        <x:v>60</x:v>
      </x:c>
      <x:c r="H2902" t="str">
        <x:v>A</x:v>
      </x:c>
      <x:c r="I2902" t="str">
        <x:v>1-3 years</x:v>
      </x:c>
      <x:c r="J2902" t="str">
        <x:v>RENT</x:v>
      </x:c>
      <x:c r="K2902" t="str">
        <x:v>credit_card</x:v>
      </x:c>
      <x:c r="L2902" t="n">
        <x:v>1</x:v>
      </x:c>
      <x:c r="M2902" t="n">
        <x:v>0</x:v>
      </x:c>
      <x:c r="N2902" t="str">
        <x:v>Fully Paid</x:v>
      </x:c>
      <x:c r="O2902" t="str">
        <x:f>IF(D2902="","Unknown",IF(D2902&lt;25000,"&lt;$25k",IF(D2902&lt;50000,"$25k-$50k",IF(D2902&lt;75000,"$50k-$75k",IF(D2902&lt;100000,"$75k-$100k","$100k+")))))</x:f>
        <x:v>$50k-$75k</x:v>
      </x:c>
      <x:c r="P2902" t="str">
        <x:f>IF(E2902="","Unknown",IF(E2902&lt;10,"&lt;10",IF(E2902&lt;20,"10-&lt;20",IF(E2902&lt;25,"20-&lt;25",IF(E2902&lt;35,"25-&lt;35","35+")))))</x:f>
        <x:v>25-&lt;35</x:v>
      </x:c>
    </x:row>
    <x:row r="2903">
      <x:c r="A2903" t="str">
        <x:v>SYN0002902</x:v>
      </x:c>
      <x:c r="B2903" s="12" t="n">
        <x:v>42445</x:v>
      </x:c>
      <x:c r="C2903" s="18" t="n">
        <x:v>24388</x:v>
      </x:c>
      <x:c r="D2903" s="18" t="n">
        <x:v>77968</x:v>
      </x:c>
      <x:c r="E2903" s="18" t="n">
        <x:v>11.87</x:v>
      </x:c>
      <x:c r="F2903" s="18" t="n">
        <x:v>6.11</x:v>
      </x:c>
      <x:c r="G2903" t="n">
        <x:v>60</x:v>
      </x:c>
      <x:c r="H2903" t="str">
        <x:v>B</x:v>
      </x:c>
      <x:c r="I2903" t="str">
        <x:v>&lt;1 year</x:v>
      </x:c>
      <x:c r="J2903" t="str">
        <x:v>MORTGAGE</x:v>
      </x:c>
      <x:c r="K2903" t="str">
        <x:v>debt_consolidation</x:v>
      </x:c>
      <x:c r="L2903" t="n">
        <x:v>1</x:v>
      </x:c>
      <x:c r="M2903" t="n">
        <x:v>0</x:v>
      </x:c>
      <x:c r="N2903" t="str">
        <x:v>Fully Paid</x:v>
      </x:c>
      <x:c r="O2903" t="str">
        <x:f>IF(D2903="","Unknown",IF(D2903&lt;25000,"&lt;$25k",IF(D2903&lt;50000,"$25k-$50k",IF(D2903&lt;75000,"$50k-$75k",IF(D2903&lt;100000,"$75k-$100k","$100k+")))))</x:f>
        <x:v>$75k-$100k</x:v>
      </x:c>
      <x:c r="P2903" t="str">
        <x:f>IF(E2903="","Unknown",IF(E2903&lt;10,"&lt;10",IF(E2903&lt;20,"10-&lt;20",IF(E2903&lt;25,"20-&lt;25",IF(E2903&lt;35,"25-&lt;35","35+")))))</x:f>
        <x:v>10-&lt;20</x:v>
      </x:c>
    </x:row>
    <x:row r="2904">
      <x:c r="A2904" t="str">
        <x:v>SYN0002903</x:v>
      </x:c>
      <x:c r="B2904" s="12" t="n">
        <x:v>43165</x:v>
      </x:c>
      <x:c r="C2904" s="18" t="n">
        <x:v>12386</x:v>
      </x:c>
      <x:c r="D2904" s="18" t="n">
        <x:v>41747</x:v>
      </x:c>
      <x:c r="E2904" s="18" t="n">
        <x:v>25.95</x:v>
      </x:c>
      <x:c r="F2904" s="18" t="n">
        <x:v>20.45</x:v>
      </x:c>
      <x:c r="G2904" t="n">
        <x:v>36</x:v>
      </x:c>
      <x:c r="H2904" t="str">
        <x:v>E</x:v>
      </x:c>
      <x:c r="I2904" t="str">
        <x:v>4-6 years</x:v>
      </x:c>
      <x:c r="J2904" t="str">
        <x:v>RENT</x:v>
      </x:c>
      <x:c r="K2904" t="str">
        <x:v>major_purchase</x:v>
      </x:c>
      <x:c r="L2904" t="n">
        <x:v>0</x:v>
      </x:c>
      <x:c r="M2904" t="n">
        <x:v>0</x:v>
      </x:c>
      <x:c r="N2904" t="str">
        <x:v>Fully Paid</x:v>
      </x:c>
      <x:c r="O2904" t="str">
        <x:f>IF(D2904="","Unknown",IF(D2904&lt;25000,"&lt;$25k",IF(D2904&lt;50000,"$25k-$50k",IF(D2904&lt;75000,"$50k-$75k",IF(D2904&lt;100000,"$75k-$100k","$100k+")))))</x:f>
        <x:v>$25k-$50k</x:v>
      </x:c>
      <x:c r="P2904" t="str">
        <x:f>IF(E2904="","Unknown",IF(E2904&lt;10,"&lt;10",IF(E2904&lt;20,"10-&lt;20",IF(E2904&lt;25,"20-&lt;25",IF(E2904&lt;35,"25-&lt;35","35+")))))</x:f>
        <x:v>25-&lt;35</x:v>
      </x:c>
    </x:row>
    <x:row r="2905">
      <x:c r="A2905" t="str">
        <x:v>SYN0002904</x:v>
      </x:c>
      <x:c r="B2905" s="12" t="n">
        <x:v>42025</x:v>
      </x:c>
      <x:c r="C2905" s="18" t="n">
        <x:v>31184</x:v>
      </x:c>
      <x:c r="D2905" s="18" t="n">
        <x:v>52358</x:v>
      </x:c>
      <x:c r="E2905" s="18" t="n">
        <x:v>14.04</x:v>
      </x:c>
      <x:c r="F2905" s="18" t="n">
        <x:v>7.03</x:v>
      </x:c>
      <x:c r="G2905" t="n">
        <x:v>36</x:v>
      </x:c>
      <x:c r="H2905" t="str">
        <x:v>B</x:v>
      </x:c>
      <x:c r="I2905" t="str">
        <x:v>4-6 years</x:v>
      </x:c>
      <x:c r="J2905" t="str">
        <x:v>RENT</x:v>
      </x:c>
      <x:c r="K2905" t="str">
        <x:v>debt_consolidation</x:v>
      </x:c>
      <x:c r="L2905" t="n">
        <x:v>0</x:v>
      </x:c>
      <x:c r="M2905" t="n">
        <x:v>0</x:v>
      </x:c>
      <x:c r="N2905" t="str">
        <x:v>Fully Paid</x:v>
      </x:c>
      <x:c r="O2905" t="str">
        <x:f>IF(D2905="","Unknown",IF(D2905&lt;25000,"&lt;$25k",IF(D2905&lt;50000,"$25k-$50k",IF(D2905&lt;75000,"$50k-$75k",IF(D2905&lt;100000,"$75k-$100k","$100k+")))))</x:f>
        <x:v>$50k-$75k</x:v>
      </x:c>
      <x:c r="P2905" t="str">
        <x:f>IF(E2905="","Unknown",IF(E2905&lt;10,"&lt;10",IF(E2905&lt;20,"10-&lt;20",IF(E2905&lt;25,"20-&lt;25",IF(E2905&lt;35,"25-&lt;35","35+")))))</x:f>
        <x:v>10-&lt;20</x:v>
      </x:c>
    </x:row>
    <x:row r="2906">
      <x:c r="A2906" t="str">
        <x:v>SYN0002905</x:v>
      </x:c>
      <x:c r="B2906" s="12" t="n">
        <x:v>42595</x:v>
      </x:c>
      <x:c r="C2906" s="18" t="n">
        <x:v>13275</x:v>
      </x:c>
      <x:c r="D2906" s="18" t="n">
        <x:v>34878</x:v>
      </x:c>
      <x:c r="E2906" s="18" t="n">
        <x:v>16.64</x:v>
      </x:c>
      <x:c r="F2906" s="18" t="n">
        <x:v>8</x:v>
      </x:c>
      <x:c r="G2906" t="n">
        <x:v>60</x:v>
      </x:c>
      <x:c r="H2906" t="str">
        <x:v>A</x:v>
      </x:c>
      <x:c r="I2906" t="str">
        <x:v>1-3 years</x:v>
      </x:c>
      <x:c r="J2906" t="str">
        <x:v>MORTGAGE</x:v>
      </x:c>
      <x:c r="K2906" t="str">
        <x:v>debt_consolidation</x:v>
      </x:c>
      <x:c r="L2906" t="n">
        <x:v>0</x:v>
      </x:c>
      <x:c r="M2906" t="n">
        <x:v>0</x:v>
      </x:c>
      <x:c r="N2906" t="str">
        <x:v>Fully Paid</x:v>
      </x:c>
      <x:c r="O2906" t="str">
        <x:f>IF(D2906="","Unknown",IF(D2906&lt;25000,"&lt;$25k",IF(D2906&lt;50000,"$25k-$50k",IF(D2906&lt;75000,"$50k-$75k",IF(D2906&lt;100000,"$75k-$100k","$100k+")))))</x:f>
        <x:v>$25k-$50k</x:v>
      </x:c>
      <x:c r="P2906" t="str">
        <x:f>IF(E2906="","Unknown",IF(E2906&lt;10,"&lt;10",IF(E2906&lt;20,"10-&lt;20",IF(E2906&lt;25,"20-&lt;25",IF(E2906&lt;35,"25-&lt;35","35+")))))</x:f>
        <x:v>10-&lt;20</x:v>
      </x:c>
    </x:row>
    <x:row r="2907">
      <x:c r="A2907" t="str">
        <x:v>SYN0002906</x:v>
      </x:c>
      <x:c r="B2907" s="12" t="n">
        <x:v>41455</x:v>
      </x:c>
      <x:c r="C2907" s="18" t="n">
        <x:v>8970</x:v>
      </x:c>
      <x:c r="D2907" s="18" t="n">
        <x:v>25462</x:v>
      </x:c>
      <x:c r="E2907" s="18" t="n">
        <x:v>15.13</x:v>
      </x:c>
      <x:c r="F2907" s="18" t="n">
        <x:v>8.4</x:v>
      </x:c>
      <x:c r="G2907" t="n">
        <x:v>60</x:v>
      </x:c>
      <x:c r="H2907" t="str">
        <x:v>C</x:v>
      </x:c>
      <x:c r="I2907" t="str">
        <x:v>4-6 years</x:v>
      </x:c>
      <x:c r="J2907" t="str">
        <x:v>RENT</x:v>
      </x:c>
      <x:c r="K2907" t="str">
        <x:v>debt_consolidation</x:v>
      </x:c>
      <x:c r="L2907" t="n">
        <x:v>1</x:v>
      </x:c>
      <x:c r="M2907" t="n">
        <x:v>0</x:v>
      </x:c>
      <x:c r="N2907" t="str">
        <x:v>Fully Paid</x:v>
      </x:c>
      <x:c r="O2907" t="str">
        <x:f>IF(D2907="","Unknown",IF(D2907&lt;25000,"&lt;$25k",IF(D2907&lt;50000,"$25k-$50k",IF(D2907&lt;75000,"$50k-$75k",IF(D2907&lt;100000,"$75k-$100k","$100k+")))))</x:f>
        <x:v>$25k-$50k</x:v>
      </x:c>
      <x:c r="P2907" t="str">
        <x:f>IF(E2907="","Unknown",IF(E2907&lt;10,"&lt;10",IF(E2907&lt;20,"10-&lt;20",IF(E2907&lt;25,"20-&lt;25",IF(E2907&lt;35,"25-&lt;35","35+")))))</x:f>
        <x:v>10-&lt;20</x:v>
      </x:c>
    </x:row>
    <x:row r="2908">
      <x:c r="A2908" t="str">
        <x:v>SYN0002907</x:v>
      </x:c>
      <x:c r="B2908" s="12" t="n">
        <x:v>41965</x:v>
      </x:c>
      <x:c r="C2908" s="18" t="n">
        <x:v>16959</x:v>
      </x:c>
      <x:c r="D2908" s="18" t="n">
        <x:v>62137</x:v>
      </x:c>
      <x:c r="E2908" s="18" t="n">
        <x:v>24.22</x:v>
      </x:c>
      <x:c r="F2908" s="18" t="n">
        <x:v>14.81</x:v>
      </x:c>
      <x:c r="G2908" t="n">
        <x:v>60</x:v>
      </x:c>
      <x:c r="H2908" t="str">
        <x:v>D</x:v>
      </x:c>
      <x:c r="I2908" t="str">
        <x:v>1-3 years</x:v>
      </x:c>
      <x:c r="J2908" t="str">
        <x:v>RENT</x:v>
      </x:c>
      <x:c r="K2908" t="str">
        <x:v>debt_consolidation</x:v>
      </x:c>
      <x:c r="L2908" t="n">
        <x:v>0</x:v>
      </x:c>
      <x:c r="M2908" t="n">
        <x:v>0</x:v>
      </x:c>
      <x:c r="N2908" t="str">
        <x:v>Fully Paid</x:v>
      </x:c>
      <x:c r="O2908" t="str">
        <x:f>IF(D2908="","Unknown",IF(D2908&lt;25000,"&lt;$25k",IF(D2908&lt;50000,"$25k-$50k",IF(D2908&lt;75000,"$50k-$75k",IF(D2908&lt;100000,"$75k-$100k","$100k+")))))</x:f>
        <x:v>$50k-$75k</x:v>
      </x:c>
      <x:c r="P2908" t="str">
        <x:f>IF(E2908="","Unknown",IF(E2908&lt;10,"&lt;10",IF(E2908&lt;20,"10-&lt;20",IF(E2908&lt;25,"20-&lt;25",IF(E2908&lt;35,"25-&lt;35","35+")))))</x:f>
        <x:v>20-&lt;25</x:v>
      </x:c>
    </x:row>
    <x:row r="2909">
      <x:c r="A2909" t="str">
        <x:v>SYN0002908</x:v>
      </x:c>
      <x:c r="B2909" s="12" t="n">
        <x:v>42055</x:v>
      </x:c>
      <x:c r="C2909" s="18" t="n">
        <x:v>7069</x:v>
      </x:c>
      <x:c r="D2909" s="18" t="n">
        <x:v>51630</x:v>
      </x:c>
      <x:c r="E2909" s="18" t="n">
        <x:v>18.22</x:v>
      </x:c>
      <x:c r="F2909" s="18" t="n">
        <x:v>7.5</x:v>
      </x:c>
      <x:c r="G2909" t="n">
        <x:v>60</x:v>
      </x:c>
      <x:c r="H2909" t="str">
        <x:v>A</x:v>
      </x:c>
      <x:c r="I2909" t="str">
        <x:v>10+ years</x:v>
      </x:c>
      <x:c r="J2909" t="str">
        <x:v>MORTGAGE</x:v>
      </x:c>
      <x:c r="K2909" t="str">
        <x:v>debt_consolidation</x:v>
      </x:c>
      <x:c r="L2909" t="n">
        <x:v>0</x:v>
      </x:c>
      <x:c r="M2909" t="n">
        <x:v>0</x:v>
      </x:c>
      <x:c r="N2909" t="str">
        <x:v>Fully Paid</x:v>
      </x:c>
      <x:c r="O2909" t="str">
        <x:f>IF(D2909="","Unknown",IF(D2909&lt;25000,"&lt;$25k",IF(D2909&lt;50000,"$25k-$50k",IF(D2909&lt;75000,"$50k-$75k",IF(D2909&lt;100000,"$75k-$100k","$100k+")))))</x:f>
        <x:v>$50k-$75k</x:v>
      </x:c>
      <x:c r="P2909" t="str">
        <x:f>IF(E2909="","Unknown",IF(E2909&lt;10,"&lt;10",IF(E2909&lt;20,"10-&lt;20",IF(E2909&lt;25,"20-&lt;25",IF(E2909&lt;35,"25-&lt;35","35+")))))</x:f>
        <x:v>10-&lt;20</x:v>
      </x:c>
    </x:row>
    <x:row r="2910">
      <x:c r="A2910" t="str">
        <x:v>SYN0002909</x:v>
      </x:c>
      <x:c r="B2910" s="12" t="n">
        <x:v>42805</x:v>
      </x:c>
      <x:c r="C2910" s="18" t="n">
        <x:v>20471</x:v>
      </x:c>
      <x:c r="D2910" s="18" t="n">
        <x:v>34403</x:v>
      </x:c>
      <x:c r="E2910" s="18" t="n">
        <x:v>16.7</x:v>
      </x:c>
      <x:c r="F2910" s="18" t="n">
        <x:v>8.7</x:v>
      </x:c>
      <x:c r="G2910" t="n">
        <x:v>36</x:v>
      </x:c>
      <x:c r="H2910" t="str">
        <x:v>B</x:v>
      </x:c>
      <x:c r="I2910" t="str">
        <x:v>10+ years</x:v>
      </x:c>
      <x:c r="J2910" t="str">
        <x:v>MORTGAGE</x:v>
      </x:c>
      <x:c r="K2910" t="str">
        <x:v>debt_consolidation</x:v>
      </x:c>
      <x:c r="L2910" t="n">
        <x:v>1</x:v>
      </x:c>
      <x:c r="M2910" t="n">
        <x:v>0</x:v>
      </x:c>
      <x:c r="N2910" t="str">
        <x:v>Fully Paid</x:v>
      </x:c>
      <x:c r="O2910" t="str">
        <x:f>IF(D2910="","Unknown",IF(D2910&lt;25000,"&lt;$25k",IF(D2910&lt;50000,"$25k-$50k",IF(D2910&lt;75000,"$50k-$75k",IF(D2910&lt;100000,"$75k-$100k","$100k+")))))</x:f>
        <x:v>$25k-$50k</x:v>
      </x:c>
      <x:c r="P2910" t="str">
        <x:f>IF(E2910="","Unknown",IF(E2910&lt;10,"&lt;10",IF(E2910&lt;20,"10-&lt;20",IF(E2910&lt;25,"20-&lt;25",IF(E2910&lt;35,"25-&lt;35","35+")))))</x:f>
        <x:v>10-&lt;20</x:v>
      </x:c>
    </x:row>
    <x:row r="2911">
      <x:c r="A2911" t="str">
        <x:v>SYN0002910</x:v>
      </x:c>
      <x:c r="B2911" s="12" t="n">
        <x:v>43135</x:v>
      </x:c>
      <x:c r="C2911" s="18" t="n">
        <x:v>14129</x:v>
      </x:c>
      <x:c r="D2911" s="18" t="n">
        <x:v>125343</x:v>
      </x:c>
      <x:c r="E2911" s="18" t="n">
        <x:v>23.98</x:v>
      </x:c>
      <x:c r="F2911" s="18" t="n">
        <x:v>11.98</x:v>
      </x:c>
      <x:c r="G2911" t="n">
        <x:v>60</x:v>
      </x:c>
      <x:c r="H2911" t="str">
        <x:v>C</x:v>
      </x:c>
      <x:c r="I2911" t="str">
        <x:v>4-6 years</x:v>
      </x:c>
      <x:c r="J2911" t="str">
        <x:v>MORTGAGE</x:v>
      </x:c>
      <x:c r="K2911" t="str">
        <x:v>debt_consolidation</x:v>
      </x:c>
      <x:c r="L2911" t="n">
        <x:v>0</x:v>
      </x:c>
      <x:c r="M2911" t="n">
        <x:v>0</x:v>
      </x:c>
      <x:c r="N2911" t="str">
        <x:v>Fully Paid</x:v>
      </x:c>
      <x:c r="O2911" t="str">
        <x:f>IF(D2911="","Unknown",IF(D2911&lt;25000,"&lt;$25k",IF(D2911&lt;50000,"$25k-$50k",IF(D2911&lt;75000,"$50k-$75k",IF(D2911&lt;100000,"$75k-$100k","$100k+")))))</x:f>
        <x:v>$100k+</x:v>
      </x:c>
      <x:c r="P2911" t="str">
        <x:f>IF(E2911="","Unknown",IF(E2911&lt;10,"&lt;10",IF(E2911&lt;20,"10-&lt;20",IF(E2911&lt;25,"20-&lt;25",IF(E2911&lt;35,"25-&lt;35","35+")))))</x:f>
        <x:v>20-&lt;25</x:v>
      </x:c>
    </x:row>
    <x:row r="2912">
      <x:c r="A2912" t="str">
        <x:v>SYN0002911</x:v>
      </x:c>
      <x:c r="B2912" s="12" t="n">
        <x:v>41755</x:v>
      </x:c>
      <x:c r="C2912" s="18" t="n">
        <x:v>5325</x:v>
      </x:c>
      <x:c r="D2912" s="18" t="n">
        <x:v>104518</x:v>
      </x:c>
      <x:c r="E2912" s="18" t="n">
        <x:v>16.72</x:v>
      </x:c>
      <x:c r="F2912" s="18" t="n">
        <x:v>6.64</x:v>
      </x:c>
      <x:c r="G2912" t="n">
        <x:v>60</x:v>
      </x:c>
      <x:c r="H2912" t="str">
        <x:v>C</x:v>
      </x:c>
      <x:c r="I2912" t="str">
        <x:v>4-6 years</x:v>
      </x:c>
      <x:c r="J2912" t="str">
        <x:v>RENT</x:v>
      </x:c>
      <x:c r="K2912" t="str">
        <x:v>debt_consolidation</x:v>
      </x:c>
      <x:c r="L2912" t="n">
        <x:v>1</x:v>
      </x:c>
      <x:c r="M2912" t="n">
        <x:v>0</x:v>
      </x:c>
      <x:c r="N2912" t="str">
        <x:v>Fully Paid</x:v>
      </x:c>
      <x:c r="O2912" t="str">
        <x:f>IF(D2912="","Unknown",IF(D2912&lt;25000,"&lt;$25k",IF(D2912&lt;50000,"$25k-$50k",IF(D2912&lt;75000,"$50k-$75k",IF(D2912&lt;100000,"$75k-$100k","$100k+")))))</x:f>
        <x:v>$100k+</x:v>
      </x:c>
      <x:c r="P2912" t="str">
        <x:f>IF(E2912="","Unknown",IF(E2912&lt;10,"&lt;10",IF(E2912&lt;20,"10-&lt;20",IF(E2912&lt;25,"20-&lt;25",IF(E2912&lt;35,"25-&lt;35","35+")))))</x:f>
        <x:v>10-&lt;20</x:v>
      </x:c>
    </x:row>
    <x:row r="2913">
      <x:c r="A2913" t="str">
        <x:v>SYN0002912</x:v>
      </x:c>
      <x:c r="B2913" s="12" t="n">
        <x:v>42865</x:v>
      </x:c>
      <x:c r="C2913" s="18" t="n">
        <x:v>10595</x:v>
      </x:c>
      <x:c r="D2913" s="18" t="n">
        <x:v>54332</x:v>
      </x:c>
      <x:c r="E2913" s="18" t="n">
        <x:v>17.2</x:v>
      </x:c>
      <x:c r="F2913" s="18" t="n">
        <x:v>8.12</x:v>
      </x:c>
      <x:c r="G2913" t="n">
        <x:v>60</x:v>
      </x:c>
      <x:c r="H2913" t="str">
        <x:v>A</x:v>
      </x:c>
      <x:c r="I2913" t="str">
        <x:v>1-3 years</x:v>
      </x:c>
      <x:c r="J2913" t="str">
        <x:v>MORTGAGE</x:v>
      </x:c>
      <x:c r="K2913" t="str">
        <x:v>debt_consolidation</x:v>
      </x:c>
      <x:c r="L2913" t="n">
        <x:v>0</x:v>
      </x:c>
      <x:c r="M2913" t="n">
        <x:v>0</x:v>
      </x:c>
      <x:c r="N2913" t="str">
        <x:v>Fully Paid</x:v>
      </x:c>
      <x:c r="O2913" t="str">
        <x:f>IF(D2913="","Unknown",IF(D2913&lt;25000,"&lt;$25k",IF(D2913&lt;50000,"$25k-$50k",IF(D2913&lt;75000,"$50k-$75k",IF(D2913&lt;100000,"$75k-$100k","$100k+")))))</x:f>
        <x:v>$50k-$75k</x:v>
      </x:c>
      <x:c r="P2913" t="str">
        <x:f>IF(E2913="","Unknown",IF(E2913&lt;10,"&lt;10",IF(E2913&lt;20,"10-&lt;20",IF(E2913&lt;25,"20-&lt;25",IF(E2913&lt;35,"25-&lt;35","35+")))))</x:f>
        <x:v>10-&lt;20</x:v>
      </x:c>
    </x:row>
    <x:row r="2914">
      <x:c r="A2914" t="str">
        <x:v>SYN0002913</x:v>
      </x:c>
      <x:c r="B2914" s="12" t="n">
        <x:v>43165</x:v>
      </x:c>
      <x:c r="C2914" s="18" t="n">
        <x:v>7259</x:v>
      </x:c>
      <x:c r="D2914" s="18" t="n">
        <x:v>17777</x:v>
      </x:c>
      <x:c r="E2914" s="18" t="n">
        <x:v>20.87</x:v>
      </x:c>
      <x:c r="F2914" s="18" t="n">
        <x:v>14.71</x:v>
      </x:c>
      <x:c r="G2914" t="n">
        <x:v>36</x:v>
      </x:c>
      <x:c r="H2914" t="str">
        <x:v>D</x:v>
      </x:c>
      <x:c r="I2914" t="str">
        <x:v>10+ years</x:v>
      </x:c>
      <x:c r="J2914" t="str">
        <x:v>MORTGAGE</x:v>
      </x:c>
      <x:c r="K2914" t="str">
        <x:v>home_improvement</x:v>
      </x:c>
      <x:c r="L2914" t="n">
        <x:v>0</x:v>
      </x:c>
      <x:c r="M2914" t="n">
        <x:v>0</x:v>
      </x:c>
      <x:c r="N2914" t="str">
        <x:v>Fully Paid</x:v>
      </x:c>
      <x:c r="O2914" t="str">
        <x:f>IF(D2914="","Unknown",IF(D2914&lt;25000,"&lt;$25k",IF(D2914&lt;50000,"$25k-$50k",IF(D2914&lt;75000,"$50k-$75k",IF(D2914&lt;100000,"$75k-$100k","$100k+")))))</x:f>
        <x:v>&lt;$25k</x:v>
      </x:c>
      <x:c r="P2914" t="str">
        <x:f>IF(E2914="","Unknown",IF(E2914&lt;10,"&lt;10",IF(E2914&lt;20,"10-&lt;20",IF(E2914&lt;25,"20-&lt;25",IF(E2914&lt;35,"25-&lt;35","35+")))))</x:f>
        <x:v>20-&lt;25</x:v>
      </x:c>
    </x:row>
    <x:row r="2915">
      <x:c r="A2915" t="str">
        <x:v>SYN0002914</x:v>
      </x:c>
      <x:c r="B2915" s="12" t="n">
        <x:v>43375</x:v>
      </x:c>
      <x:c r="C2915" s="18" t="n">
        <x:v>20033</x:v>
      </x:c>
      <x:c r="D2915" s="18" t="n">
        <x:v>51326</x:v>
      </x:c>
      <x:c r="E2915" s="18" t="n">
        <x:v>32.38</x:v>
      </x:c>
      <x:c r="F2915" s="18" t="n">
        <x:v>5.63</x:v>
      </x:c>
      <x:c r="G2915" t="n">
        <x:v>60</x:v>
      </x:c>
      <x:c r="H2915" t="str">
        <x:v>A</x:v>
      </x:c>
      <x:c r="I2915" t="str">
        <x:v>7-9 years</x:v>
      </x:c>
      <x:c r="J2915" t="str">
        <x:v>RENT</x:v>
      </x:c>
      <x:c r="K2915" t="str">
        <x:v>debt_consolidation</x:v>
      </x:c>
      <x:c r="L2915" t="n">
        <x:v>0</x:v>
      </x:c>
      <x:c r="M2915" t="n">
        <x:v>1</x:v>
      </x:c>
      <x:c r="N2915" t="str">
        <x:v>Charged Off</x:v>
      </x:c>
      <x:c r="O2915" t="str">
        <x:f>IF(D2915="","Unknown",IF(D2915&lt;25000,"&lt;$25k",IF(D2915&lt;50000,"$25k-$50k",IF(D2915&lt;75000,"$50k-$75k",IF(D2915&lt;100000,"$75k-$100k","$100k+")))))</x:f>
        <x:v>$50k-$75k</x:v>
      </x:c>
      <x:c r="P2915" t="str">
        <x:f>IF(E2915="","Unknown",IF(E2915&lt;10,"&lt;10",IF(E2915&lt;20,"10-&lt;20",IF(E2915&lt;25,"20-&lt;25",IF(E2915&lt;35,"25-&lt;35","35+")))))</x:f>
        <x:v>25-&lt;35</x:v>
      </x:c>
    </x:row>
    <x:row r="2916">
      <x:c r="A2916" t="str">
        <x:v>SYN0002915</x:v>
      </x:c>
      <x:c r="B2916" s="12" t="n">
        <x:v>42205</x:v>
      </x:c>
      <x:c r="C2916" s="18" t="n">
        <x:v>16028</x:v>
      </x:c>
      <x:c r="D2916" s="18" t="n">
        <x:v>31062</x:v>
      </x:c>
      <x:c r="E2916" s="18" t="n">
        <x:v>36.7</x:v>
      </x:c>
      <x:c r="F2916" s="18" t="n">
        <x:v>16.61</x:v>
      </x:c>
      <x:c r="G2916" t="n">
        <x:v>36</x:v>
      </x:c>
      <x:c r="H2916" t="str">
        <x:v>D</x:v>
      </x:c>
      <x:c r="I2916" t="str">
        <x:v>1-3 years</x:v>
      </x:c>
      <x:c r="J2916" t="str">
        <x:v>RENT</x:v>
      </x:c>
      <x:c r="K2916" t="str">
        <x:v>credit_card</x:v>
      </x:c>
      <x:c r="L2916" t="n">
        <x:v>0</x:v>
      </x:c>
      <x:c r="M2916" t="n">
        <x:v>1</x:v>
      </x:c>
      <x:c r="N2916" t="str">
        <x:v>Charged Off</x:v>
      </x:c>
      <x:c r="O2916" t="str">
        <x:f>IF(D2916="","Unknown",IF(D2916&lt;25000,"&lt;$25k",IF(D2916&lt;50000,"$25k-$50k",IF(D2916&lt;75000,"$50k-$75k",IF(D2916&lt;100000,"$75k-$100k","$100k+")))))</x:f>
        <x:v>$25k-$50k</x:v>
      </x:c>
      <x:c r="P2916" t="str">
        <x:f>IF(E2916="","Unknown",IF(E2916&lt;10,"&lt;10",IF(E2916&lt;20,"10-&lt;20",IF(E2916&lt;25,"20-&lt;25",IF(E2916&lt;35,"25-&lt;35","35+")))))</x:f>
        <x:v>35+</x:v>
      </x:c>
    </x:row>
    <x:row r="2917">
      <x:c r="A2917" t="str">
        <x:v>SYN0002916</x:v>
      </x:c>
      <x:c r="B2917" s="12" t="n">
        <x:v>42895</x:v>
      </x:c>
      <x:c r="C2917" s="18" t="n">
        <x:v>25705</x:v>
      </x:c>
      <x:c r="D2917" s="18" t="n">
        <x:v>36441</x:v>
      </x:c>
      <x:c r="E2917" s="18" t="n">
        <x:v>19.87</x:v>
      </x:c>
      <x:c r="F2917" s="18" t="n">
        <x:v>12.48</x:v>
      </x:c>
      <x:c r="G2917" t="n">
        <x:v>60</x:v>
      </x:c>
      <x:c r="H2917" t="str">
        <x:v>C</x:v>
      </x:c>
      <x:c r="I2917" t="str">
        <x:v>&lt;1 year</x:v>
      </x:c>
      <x:c r="J2917" t="str">
        <x:v>OWN</x:v>
      </x:c>
      <x:c r="K2917" t="str">
        <x:v>other</x:v>
      </x:c>
      <x:c r="L2917" t="n">
        <x:v>0</x:v>
      </x:c>
      <x:c r="M2917" t="n">
        <x:v>0</x:v>
      </x:c>
      <x:c r="N2917" t="str">
        <x:v>Fully Paid</x:v>
      </x:c>
      <x:c r="O2917" t="str">
        <x:f>IF(D2917="","Unknown",IF(D2917&lt;25000,"&lt;$25k",IF(D2917&lt;50000,"$25k-$50k",IF(D2917&lt;75000,"$50k-$75k",IF(D2917&lt;100000,"$75k-$100k","$100k+")))))</x:f>
        <x:v>$25k-$50k</x:v>
      </x:c>
      <x:c r="P2917" t="str">
        <x:f>IF(E2917="","Unknown",IF(E2917&lt;10,"&lt;10",IF(E2917&lt;20,"10-&lt;20",IF(E2917&lt;25,"20-&lt;25",IF(E2917&lt;35,"25-&lt;35","35+")))))</x:f>
        <x:v>10-&lt;20</x:v>
      </x:c>
    </x:row>
    <x:row r="2918">
      <x:c r="A2918" t="str">
        <x:v>SYN0002917</x:v>
      </x:c>
      <x:c r="B2918" s="12" t="n">
        <x:v>43405</x:v>
      </x:c>
      <x:c r="C2918" s="18" t="n">
        <x:v>7778</x:v>
      </x:c>
      <x:c r="D2918" s="18" t="n">
        <x:v>56949</x:v>
      </x:c>
      <x:c r="E2918" s="18" t="n">
        <x:v>2.11</x:v>
      </x:c>
      <x:c r="F2918" s="18" t="n">
        <x:v>9.23</x:v>
      </x:c>
      <x:c r="G2918" t="n">
        <x:v>36</x:v>
      </x:c>
      <x:c r="H2918" t="str">
        <x:v>B</x:v>
      </x:c>
      <x:c r="I2918" t="str">
        <x:v>7-9 years</x:v>
      </x:c>
      <x:c r="J2918" t="str">
        <x:v>MORTGAGE</x:v>
      </x:c>
      <x:c r="K2918" t="str">
        <x:v>home_improvement</x:v>
      </x:c>
      <x:c r="L2918" t="n">
        <x:v>1</x:v>
      </x:c>
      <x:c r="M2918" t="n">
        <x:v>0</x:v>
      </x:c>
      <x:c r="N2918" t="str">
        <x:v>Fully Paid</x:v>
      </x:c>
      <x:c r="O2918" t="str">
        <x:f>IF(D2918="","Unknown",IF(D2918&lt;25000,"&lt;$25k",IF(D2918&lt;50000,"$25k-$50k",IF(D2918&lt;75000,"$50k-$75k",IF(D2918&lt;100000,"$75k-$100k","$100k+")))))</x:f>
        <x:v>$50k-$75k</x:v>
      </x:c>
      <x:c r="P2918" t="str">
        <x:f>IF(E2918="","Unknown",IF(E2918&lt;10,"&lt;10",IF(E2918&lt;20,"10-&lt;20",IF(E2918&lt;25,"20-&lt;25",IF(E2918&lt;35,"25-&lt;35","35+")))))</x:f>
        <x:v>&lt;10</x:v>
      </x:c>
    </x:row>
    <x:row r="2919">
      <x:c r="A2919" t="str">
        <x:v>SYN0002918</x:v>
      </x:c>
      <x:c r="B2919" s="12" t="n">
        <x:v>42475</x:v>
      </x:c>
      <x:c r="C2919" s="18" t="n">
        <x:v>9927</x:v>
      </x:c>
      <x:c r="D2919" s="18" t="n">
        <x:v>21981</x:v>
      </x:c>
      <x:c r="E2919" s="18" t="n">
        <x:v>15.61</x:v>
      </x:c>
      <x:c r="F2919" s="18" t="n">
        <x:v>9.05</x:v>
      </x:c>
      <x:c r="G2919" t="n">
        <x:v>60</x:v>
      </x:c>
      <x:c r="H2919" t="str">
        <x:v>A</x:v>
      </x:c>
      <x:c r="I2919" t="str">
        <x:v>10+ years</x:v>
      </x:c>
      <x:c r="J2919" t="str">
        <x:v>RENT</x:v>
      </x:c>
      <x:c r="K2919" t="str">
        <x:v>debt_consolidation</x:v>
      </x:c>
      <x:c r="L2919" t="n">
        <x:v>1</x:v>
      </x:c>
      <x:c r="M2919" t="n">
        <x:v>0</x:v>
      </x:c>
      <x:c r="N2919" t="str">
        <x:v>Fully Paid</x:v>
      </x:c>
      <x:c r="O2919" t="str">
        <x:f>IF(D2919="","Unknown",IF(D2919&lt;25000,"&lt;$25k",IF(D2919&lt;50000,"$25k-$50k",IF(D2919&lt;75000,"$50k-$75k",IF(D2919&lt;100000,"$75k-$100k","$100k+")))))</x:f>
        <x:v>&lt;$25k</x:v>
      </x:c>
      <x:c r="P2919" t="str">
        <x:f>IF(E2919="","Unknown",IF(E2919&lt;10,"&lt;10",IF(E2919&lt;20,"10-&lt;20",IF(E2919&lt;25,"20-&lt;25",IF(E2919&lt;35,"25-&lt;35","35+")))))</x:f>
        <x:v>10-&lt;20</x:v>
      </x:c>
    </x:row>
    <x:row r="2920">
      <x:c r="A2920" t="str">
        <x:v>SYN0002919</x:v>
      </x:c>
      <x:c r="B2920" s="12" t="n">
        <x:v>43195</x:v>
      </x:c>
      <x:c r="C2920" s="18" t="n">
        <x:v>6479</x:v>
      </x:c>
      <x:c r="D2920" s="18" t="n">
        <x:v>43882</x:v>
      </x:c>
      <x:c r="E2920" s="18" t="n">
        <x:v>15.93</x:v>
      </x:c>
      <x:c r="F2920" s="18" t="n">
        <x:v>17.28</x:v>
      </x:c>
      <x:c r="G2920" t="n">
        <x:v>60</x:v>
      </x:c>
      <x:c r="H2920" t="str">
        <x:v>E</x:v>
      </x:c>
      <x:c r="I2920" t="str">
        <x:v>10+ years</x:v>
      </x:c>
      <x:c r="J2920" t="str">
        <x:v>MORTGAGE</x:v>
      </x:c>
      <x:c r="K2920" t="str">
        <x:v>credit_card</x:v>
      </x:c>
      <x:c r="L2920" t="n">
        <x:v>0</x:v>
      </x:c>
      <x:c r="M2920" t="n">
        <x:v>0</x:v>
      </x:c>
      <x:c r="N2920" t="str">
        <x:v>Fully Paid</x:v>
      </x:c>
      <x:c r="O2920" t="str">
        <x:f>IF(D2920="","Unknown",IF(D2920&lt;25000,"&lt;$25k",IF(D2920&lt;50000,"$25k-$50k",IF(D2920&lt;75000,"$50k-$75k",IF(D2920&lt;100000,"$75k-$100k","$100k+")))))</x:f>
        <x:v>$25k-$50k</x:v>
      </x:c>
      <x:c r="P2920" t="str">
        <x:f>IF(E2920="","Unknown",IF(E2920&lt;10,"&lt;10",IF(E2920&lt;20,"10-&lt;20",IF(E2920&lt;25,"20-&lt;25",IF(E2920&lt;35,"25-&lt;35","35+")))))</x:f>
        <x:v>10-&lt;20</x:v>
      </x:c>
    </x:row>
    <x:row r="2921">
      <x:c r="A2921" t="str">
        <x:v>SYN0002920</x:v>
      </x:c>
      <x:c r="B2921" s="12" t="n">
        <x:v>43345</x:v>
      </x:c>
      <x:c r="C2921" s="18" t="n">
        <x:v>11183</x:v>
      </x:c>
      <x:c r="D2921" s="18" t="n">
        <x:v>18895</x:v>
      </x:c>
      <x:c r="E2921" s="18" t="n">
        <x:v>32.72</x:v>
      </x:c>
      <x:c r="F2921" s="18" t="n">
        <x:v>5</x:v>
      </x:c>
      <x:c r="G2921" t="n">
        <x:v>60</x:v>
      </x:c>
      <x:c r="H2921" t="str">
        <x:v>A</x:v>
      </x:c>
      <x:c r="I2921" t="str">
        <x:v>7-9 years</x:v>
      </x:c>
      <x:c r="J2921" t="str">
        <x:v>OWN</x:v>
      </x:c>
      <x:c r="K2921" t="str">
        <x:v>debt_consolidation</x:v>
      </x:c>
      <x:c r="L2921" t="n">
        <x:v>0</x:v>
      </x:c>
      <x:c r="M2921" t="n">
        <x:v>0</x:v>
      </x:c>
      <x:c r="N2921" t="str">
        <x:v>Fully Paid</x:v>
      </x:c>
      <x:c r="O2921" t="str">
        <x:f>IF(D2921="","Unknown",IF(D2921&lt;25000,"&lt;$25k",IF(D2921&lt;50000,"$25k-$50k",IF(D2921&lt;75000,"$50k-$75k",IF(D2921&lt;100000,"$75k-$100k","$100k+")))))</x:f>
        <x:v>&lt;$25k</x:v>
      </x:c>
      <x:c r="P2921" t="str">
        <x:f>IF(E2921="","Unknown",IF(E2921&lt;10,"&lt;10",IF(E2921&lt;20,"10-&lt;20",IF(E2921&lt;25,"20-&lt;25",IF(E2921&lt;35,"25-&lt;35","35+")))))</x:f>
        <x:v>25-&lt;35</x:v>
      </x:c>
    </x:row>
    <x:row r="2922">
      <x:c r="A2922" t="str">
        <x:v>SYN0002921</x:v>
      </x:c>
      <x:c r="B2922" s="12" t="n">
        <x:v>42925</x:v>
      </x:c>
      <x:c r="C2922" s="18" t="n">
        <x:v>4986</x:v>
      </x:c>
      <x:c r="D2922" s="18" t="n">
        <x:v>61537</x:v>
      </x:c>
      <x:c r="E2922" s="18" t="n">
        <x:v>40.78</x:v>
      </x:c>
      <x:c r="F2922" s="18" t="n">
        <x:v>18.87</x:v>
      </x:c>
      <x:c r="G2922" t="n">
        <x:v>36</x:v>
      </x:c>
      <x:c r="H2922" t="str">
        <x:v>E</x:v>
      </x:c>
      <x:c r="I2922" t="str">
        <x:v>&lt;1 year</x:v>
      </x:c>
      <x:c r="J2922" t="str">
        <x:v>RENT</x:v>
      </x:c>
      <x:c r="K2922" t="str">
        <x:v>debt_consolidation</x:v>
      </x:c>
      <x:c r="L2922" t="n">
        <x:v>0</x:v>
      </x:c>
      <x:c r="M2922" t="n">
        <x:v>0</x:v>
      </x:c>
      <x:c r="N2922" t="str">
        <x:v>Fully Paid</x:v>
      </x:c>
      <x:c r="O2922" t="str">
        <x:f>IF(D2922="","Unknown",IF(D2922&lt;25000,"&lt;$25k",IF(D2922&lt;50000,"$25k-$50k",IF(D2922&lt;75000,"$50k-$75k",IF(D2922&lt;100000,"$75k-$100k","$100k+")))))</x:f>
        <x:v>$50k-$75k</x:v>
      </x:c>
      <x:c r="P2922" t="str">
        <x:f>IF(E2922="","Unknown",IF(E2922&lt;10,"&lt;10",IF(E2922&lt;20,"10-&lt;20",IF(E2922&lt;25,"20-&lt;25",IF(E2922&lt;35,"25-&lt;35","35+")))))</x:f>
        <x:v>35+</x:v>
      </x:c>
    </x:row>
    <x:row r="2923">
      <x:c r="A2923" t="str">
        <x:v>SYN0002922</x:v>
      </x:c>
      <x:c r="B2923" s="12" t="n">
        <x:v>42805</x:v>
      </x:c>
      <x:c r="C2923" s="18" t="n">
        <x:v>40000</x:v>
      </x:c>
      <x:c r="D2923" s="18" t="n">
        <x:v>27349</x:v>
      </x:c>
      <x:c r="E2923" s="18" t="n">
        <x:v>14.22</x:v>
      </x:c>
      <x:c r="F2923" s="18" t="n">
        <x:v>7.43</x:v>
      </x:c>
      <x:c r="G2923" t="n">
        <x:v>36</x:v>
      </x:c>
      <x:c r="H2923" t="str">
        <x:v>A</x:v>
      </x:c>
      <x:c r="I2923" t="str">
        <x:v>7-9 years</x:v>
      </x:c>
      <x:c r="J2923" t="str">
        <x:v>RENT</x:v>
      </x:c>
      <x:c r="K2923" t="str">
        <x:v>debt_consolidation</x:v>
      </x:c>
      <x:c r="L2923" t="n">
        <x:v>1</x:v>
      </x:c>
      <x:c r="M2923" t="n">
        <x:v>0</x:v>
      </x:c>
      <x:c r="N2923" t="str">
        <x:v>Fully Paid</x:v>
      </x:c>
      <x:c r="O2923" t="str">
        <x:f>IF(D2923="","Unknown",IF(D2923&lt;25000,"&lt;$25k",IF(D2923&lt;50000,"$25k-$50k",IF(D2923&lt;75000,"$50k-$75k",IF(D2923&lt;100000,"$75k-$100k","$100k+")))))</x:f>
        <x:v>$25k-$50k</x:v>
      </x:c>
      <x:c r="P2923" t="str">
        <x:f>IF(E2923="","Unknown",IF(E2923&lt;10,"&lt;10",IF(E2923&lt;20,"10-&lt;20",IF(E2923&lt;25,"20-&lt;25",IF(E2923&lt;35,"25-&lt;35","35+")))))</x:f>
        <x:v>10-&lt;20</x:v>
      </x:c>
    </x:row>
    <x:row r="2924">
      <x:c r="A2924" t="str">
        <x:v>SYN0002923</x:v>
      </x:c>
      <x:c r="B2924" s="12" t="n">
        <x:v>42745</x:v>
      </x:c>
      <x:c r="C2924" s="18" t="n">
        <x:v>18799</x:v>
      </x:c>
      <x:c r="D2924" s="18" t="n">
        <x:v>56943</x:v>
      </x:c>
      <x:c r="E2924" s="18" t="n">
        <x:v>16.3</x:v>
      </x:c>
      <x:c r="F2924" s="18" t="n">
        <x:v>9.09</x:v>
      </x:c>
      <x:c r="G2924" t="n">
        <x:v>36</x:v>
      </x:c>
      <x:c r="H2924" t="str">
        <x:v>C</x:v>
      </x:c>
      <x:c r="I2924" t="str">
        <x:v>4-6 years</x:v>
      </x:c>
      <x:c r="J2924" t="str">
        <x:v>MORTGAGE</x:v>
      </x:c>
      <x:c r="K2924" t="str">
        <x:v>debt_consolidation</x:v>
      </x:c>
      <x:c r="L2924" t="n">
        <x:v>1</x:v>
      </x:c>
      <x:c r="M2924" t="n">
        <x:v>0</x:v>
      </x:c>
      <x:c r="N2924" t="str">
        <x:v>Fully Paid</x:v>
      </x:c>
      <x:c r="O2924" t="str">
        <x:f>IF(D2924="","Unknown",IF(D2924&lt;25000,"&lt;$25k",IF(D2924&lt;50000,"$25k-$50k",IF(D2924&lt;75000,"$50k-$75k",IF(D2924&lt;100000,"$75k-$100k","$100k+")))))</x:f>
        <x:v>$50k-$75k</x:v>
      </x:c>
      <x:c r="P2924" t="str">
        <x:f>IF(E2924="","Unknown",IF(E2924&lt;10,"&lt;10",IF(E2924&lt;20,"10-&lt;20",IF(E2924&lt;25,"20-&lt;25",IF(E2924&lt;35,"25-&lt;35","35+")))))</x:f>
        <x:v>10-&lt;20</x:v>
      </x:c>
    </x:row>
    <x:row r="2925">
      <x:c r="A2925" t="str">
        <x:v>SYN0002924</x:v>
      </x:c>
      <x:c r="B2925" s="12" t="n">
        <x:v>41935</x:v>
      </x:c>
      <x:c r="C2925" s="18" t="n">
        <x:v>16788</x:v>
      </x:c>
      <x:c r="D2925" s="18" t="n">
        <x:v>35639</x:v>
      </x:c>
      <x:c r="E2925" s="18" t="n">
        <x:v>16.42</x:v>
      </x:c>
      <x:c r="F2925" s="18" t="n">
        <x:v>8.18</x:v>
      </x:c>
      <x:c r="G2925" t="n">
        <x:v>36</x:v>
      </x:c>
      <x:c r="H2925" t="str">
        <x:v>B</x:v>
      </x:c>
      <x:c r="I2925" t="str">
        <x:v>1-3 years</x:v>
      </x:c>
      <x:c r="J2925" t="str">
        <x:v>OWN</x:v>
      </x:c>
      <x:c r="K2925" t="str">
        <x:v>debt_consolidation</x:v>
      </x:c>
      <x:c r="L2925" t="n">
        <x:v>0</x:v>
      </x:c>
      <x:c r="M2925" t="n">
        <x:v>0</x:v>
      </x:c>
      <x:c r="N2925" t="str">
        <x:v>Fully Paid</x:v>
      </x:c>
      <x:c r="O2925" t="str">
        <x:f>IF(D2925="","Unknown",IF(D2925&lt;25000,"&lt;$25k",IF(D2925&lt;50000,"$25k-$50k",IF(D2925&lt;75000,"$50k-$75k",IF(D2925&lt;100000,"$75k-$100k","$100k+")))))</x:f>
        <x:v>$25k-$50k</x:v>
      </x:c>
      <x:c r="P2925" t="str">
        <x:f>IF(E2925="","Unknown",IF(E2925&lt;10,"&lt;10",IF(E2925&lt;20,"10-&lt;20",IF(E2925&lt;25,"20-&lt;25",IF(E2925&lt;35,"25-&lt;35","35+")))))</x:f>
        <x:v>10-&lt;20</x:v>
      </x:c>
    </x:row>
    <x:row r="2926">
      <x:c r="A2926" t="str">
        <x:v>SYN0002925</x:v>
      </x:c>
      <x:c r="B2926" s="12" t="n">
        <x:v>41635</x:v>
      </x:c>
      <x:c r="C2926" s="18" t="n">
        <x:v>11170</x:v>
      </x:c>
      <x:c r="D2926" s="18" t="n">
        <x:v>63567</x:v>
      </x:c>
      <x:c r="E2926" s="18" t="n">
        <x:v>0</x:v>
      </x:c>
      <x:c r="F2926" s="18" t="n">
        <x:v>6.74</x:v>
      </x:c>
      <x:c r="G2926" t="n">
        <x:v>36</x:v>
      </x:c>
      <x:c r="H2926" t="str">
        <x:v>B</x:v>
      </x:c>
      <x:c r="I2926" t="str">
        <x:v>4-6 years</x:v>
      </x:c>
      <x:c r="J2926" t="str">
        <x:v>MORTGAGE</x:v>
      </x:c>
      <x:c r="K2926" t="str">
        <x:v>other</x:v>
      </x:c>
      <x:c r="L2926" t="n">
        <x:v>1</x:v>
      </x:c>
      <x:c r="M2926" t="n">
        <x:v>0</x:v>
      </x:c>
      <x:c r="N2926" t="str">
        <x:v>Fully Paid</x:v>
      </x:c>
      <x:c r="O2926" t="str">
        <x:f>IF(D2926="","Unknown",IF(D2926&lt;25000,"&lt;$25k",IF(D2926&lt;50000,"$25k-$50k",IF(D2926&lt;75000,"$50k-$75k",IF(D2926&lt;100000,"$75k-$100k","$100k+")))))</x:f>
        <x:v>$50k-$75k</x:v>
      </x:c>
      <x:c r="P2926" t="str">
        <x:f>IF(E2926="","Unknown",IF(E2926&lt;10,"&lt;10",IF(E2926&lt;20,"10-&lt;20",IF(E2926&lt;25,"20-&lt;25",IF(E2926&lt;35,"25-&lt;35","35+")))))</x:f>
        <x:v>Unknown</x:v>
      </x:c>
    </x:row>
    <x:row r="2927">
      <x:c r="A2927" t="str">
        <x:v>SYN0002926</x:v>
      </x:c>
      <x:c r="B2927" s="12" t="n">
        <x:v>42565</x:v>
      </x:c>
      <x:c r="C2927" s="18" t="n">
        <x:v>6423</x:v>
      </x:c>
      <x:c r="D2927" s="18" t="n">
        <x:v>39354</x:v>
      </x:c>
      <x:c r="E2927" s="18" t="n">
        <x:v>25.4</x:v>
      </x:c>
      <x:c r="F2927" s="18" t="n">
        <x:v>10.52</x:v>
      </x:c>
      <x:c r="G2927" t="n">
        <x:v>36</x:v>
      </x:c>
      <x:c r="H2927" t="str">
        <x:v>B</x:v>
      </x:c>
      <x:c r="I2927" t="str">
        <x:v>4-6 years</x:v>
      </x:c>
      <x:c r="J2927" t="str">
        <x:v>RENT</x:v>
      </x:c>
      <x:c r="K2927" t="str">
        <x:v>credit_card</x:v>
      </x:c>
      <x:c r="L2927" t="n">
        <x:v>0</x:v>
      </x:c>
      <x:c r="M2927" t="n">
        <x:v>0</x:v>
      </x:c>
      <x:c r="N2927" t="str">
        <x:v>Fully Paid</x:v>
      </x:c>
      <x:c r="O2927" t="str">
        <x:f>IF(D2927="","Unknown",IF(D2927&lt;25000,"&lt;$25k",IF(D2927&lt;50000,"$25k-$50k",IF(D2927&lt;75000,"$50k-$75k",IF(D2927&lt;100000,"$75k-$100k","$100k+")))))</x:f>
        <x:v>$25k-$50k</x:v>
      </x:c>
      <x:c r="P2927" t="str">
        <x:f>IF(E2927="","Unknown",IF(E2927&lt;10,"&lt;10",IF(E2927&lt;20,"10-&lt;20",IF(E2927&lt;25,"20-&lt;25",IF(E2927&lt;35,"25-&lt;35","35+")))))</x:f>
        <x:v>25-&lt;35</x:v>
      </x:c>
    </x:row>
    <x:row r="2928">
      <x:c r="A2928" t="str">
        <x:v>SYN0002927</x:v>
      </x:c>
      <x:c r="B2928" s="12" t="n">
        <x:v>41815</x:v>
      </x:c>
      <x:c r="C2928" s="18" t="n">
        <x:v>9883</x:v>
      </x:c>
      <x:c r="D2928" s="18" t="n">
        <x:v>29386</x:v>
      </x:c>
      <x:c r="E2928" s="18" t="n">
        <x:v>28.86</x:v>
      </x:c>
      <x:c r="F2928" s="18" t="n">
        <x:v>8.98</x:v>
      </x:c>
      <x:c r="G2928" t="n">
        <x:v>60</x:v>
      </x:c>
      <x:c r="H2928" t="str">
        <x:v>A</x:v>
      </x:c>
      <x:c r="I2928" t="str">
        <x:v>&lt;1 year</x:v>
      </x:c>
      <x:c r="J2928" t="str">
        <x:v>RENT</x:v>
      </x:c>
      <x:c r="K2928" t="str">
        <x:v>home_improvement</x:v>
      </x:c>
      <x:c r="L2928" t="n">
        <x:v>0</x:v>
      </x:c>
      <x:c r="M2928" t="n">
        <x:v>0</x:v>
      </x:c>
      <x:c r="N2928" t="str">
        <x:v>Fully Paid</x:v>
      </x:c>
      <x:c r="O2928" t="str">
        <x:f>IF(D2928="","Unknown",IF(D2928&lt;25000,"&lt;$25k",IF(D2928&lt;50000,"$25k-$50k",IF(D2928&lt;75000,"$50k-$75k",IF(D2928&lt;100000,"$75k-$100k","$100k+")))))</x:f>
        <x:v>$25k-$50k</x:v>
      </x:c>
      <x:c r="P2928" t="str">
        <x:f>IF(E2928="","Unknown",IF(E2928&lt;10,"&lt;10",IF(E2928&lt;20,"10-&lt;20",IF(E2928&lt;25,"20-&lt;25",IF(E2928&lt;35,"25-&lt;35","35+")))))</x:f>
        <x:v>25-&lt;35</x:v>
      </x:c>
    </x:row>
    <x:row r="2929">
      <x:c r="A2929" t="str">
        <x:v>SYN0002928</x:v>
      </x:c>
      <x:c r="B2929" s="12" t="n">
        <x:v>43345</x:v>
      </x:c>
      <x:c r="C2929" s="18" t="n">
        <x:v>12410</x:v>
      </x:c>
      <x:c r="D2929" s="18" t="n">
        <x:v>28919</x:v>
      </x:c>
      <x:c r="E2929" s="18" t="n">
        <x:v>23.52</x:v>
      </x:c>
      <x:c r="F2929" s="18" t="n">
        <x:v>17.15</x:v>
      </x:c>
      <x:c r="G2929" t="n">
        <x:v>36</x:v>
      </x:c>
      <x:c r="H2929" t="str">
        <x:v>C</x:v>
      </x:c>
      <x:c r="I2929" t="str">
        <x:v>7-9 years</x:v>
      </x:c>
      <x:c r="J2929" t="str">
        <x:v>RENT</x:v>
      </x:c>
      <x:c r="K2929" t="str">
        <x:v>medical</x:v>
      </x:c>
      <x:c r="L2929" t="n">
        <x:v>0</x:v>
      </x:c>
      <x:c r="M2929" t="n">
        <x:v>0</x:v>
      </x:c>
      <x:c r="N2929" t="str">
        <x:v>Fully Paid</x:v>
      </x:c>
      <x:c r="O2929" t="str">
        <x:f>IF(D2929="","Unknown",IF(D2929&lt;25000,"&lt;$25k",IF(D2929&lt;50000,"$25k-$50k",IF(D2929&lt;75000,"$50k-$75k",IF(D2929&lt;100000,"$75k-$100k","$100k+")))))</x:f>
        <x:v>$25k-$50k</x:v>
      </x:c>
      <x:c r="P2929" t="str">
        <x:f>IF(E2929="","Unknown",IF(E2929&lt;10,"&lt;10",IF(E2929&lt;20,"10-&lt;20",IF(E2929&lt;25,"20-&lt;25",IF(E2929&lt;35,"25-&lt;35","35+")))))</x:f>
        <x:v>20-&lt;25</x:v>
      </x:c>
    </x:row>
    <x:row r="2930">
      <x:c r="A2930" t="str">
        <x:v>SYN0002929</x:v>
      </x:c>
      <x:c r="B2930" s="12" t="n">
        <x:v>41635</x:v>
      </x:c>
      <x:c r="C2930" s="18" t="n">
        <x:v>28946</x:v>
      </x:c>
      <x:c r="D2930" s="18" t="n">
        <x:v>137421</x:v>
      </x:c>
      <x:c r="E2930" s="18" t="n">
        <x:v>11.06</x:v>
      </x:c>
      <x:c r="F2930" s="18" t="n">
        <x:v>10.71</x:v>
      </x:c>
      <x:c r="G2930" t="n">
        <x:v>36</x:v>
      </x:c>
      <x:c r="H2930" t="str">
        <x:v>C</x:v>
      </x:c>
      <x:c r="I2930" t="str">
        <x:v>4-6 years</x:v>
      </x:c>
      <x:c r="J2930" t="str">
        <x:v>MORTGAGE</x:v>
      </x:c>
      <x:c r="K2930" t="str">
        <x:v>debt_consolidation</x:v>
      </x:c>
      <x:c r="L2930" t="n">
        <x:v>0</x:v>
      </x:c>
      <x:c r="M2930" t="n">
        <x:v>0</x:v>
      </x:c>
      <x:c r="N2930" t="str">
        <x:v>Fully Paid</x:v>
      </x:c>
      <x:c r="O2930" t="str">
        <x:f>IF(D2930="","Unknown",IF(D2930&lt;25000,"&lt;$25k",IF(D2930&lt;50000,"$25k-$50k",IF(D2930&lt;75000,"$50k-$75k",IF(D2930&lt;100000,"$75k-$100k","$100k+")))))</x:f>
        <x:v>$100k+</x:v>
      </x:c>
      <x:c r="P2930" t="str">
        <x:f>IF(E2930="","Unknown",IF(E2930&lt;10,"&lt;10",IF(E2930&lt;20,"10-&lt;20",IF(E2930&lt;25,"20-&lt;25",IF(E2930&lt;35,"25-&lt;35","35+")))))</x:f>
        <x:v>10-&lt;20</x:v>
      </x:c>
    </x:row>
    <x:row r="2931">
      <x:c r="A2931" t="str">
        <x:v>SYN0002930</x:v>
      </x:c>
      <x:c r="B2931" s="12" t="n">
        <x:v>41785</x:v>
      </x:c>
      <x:c r="C2931" s="18" t="n">
        <x:v>28586</x:v>
      </x:c>
      <x:c r="D2931" s="18" t="n">
        <x:v>50761</x:v>
      </x:c>
      <x:c r="E2931" s="18" t="n">
        <x:v>14.32</x:v>
      </x:c>
      <x:c r="F2931" s="18" t="n">
        <x:v>7.99</x:v>
      </x:c>
      <x:c r="G2931" t="n">
        <x:v>60</x:v>
      </x:c>
      <x:c r="H2931" t="str">
        <x:v>C</x:v>
      </x:c>
      <x:c r="I2931" t="str">
        <x:v>4-6 years</x:v>
      </x:c>
      <x:c r="J2931" t="str">
        <x:v>RENT</x:v>
      </x:c>
      <x:c r="K2931" t="str">
        <x:v>debt_consolidation</x:v>
      </x:c>
      <x:c r="L2931" t="n">
        <x:v>0</x:v>
      </x:c>
      <x:c r="M2931" t="n">
        <x:v>0</x:v>
      </x:c>
      <x:c r="N2931" t="str">
        <x:v>Fully Paid</x:v>
      </x:c>
      <x:c r="O2931" t="str">
        <x:f>IF(D2931="","Unknown",IF(D2931&lt;25000,"&lt;$25k",IF(D2931&lt;50000,"$25k-$50k",IF(D2931&lt;75000,"$50k-$75k",IF(D2931&lt;100000,"$75k-$100k","$100k+")))))</x:f>
        <x:v>$50k-$75k</x:v>
      </x:c>
      <x:c r="P2931" t="str">
        <x:f>IF(E2931="","Unknown",IF(E2931&lt;10,"&lt;10",IF(E2931&lt;20,"10-&lt;20",IF(E2931&lt;25,"20-&lt;25",IF(E2931&lt;35,"25-&lt;35","35+")))))</x:f>
        <x:v>10-&lt;20</x:v>
      </x:c>
    </x:row>
    <x:row r="2932">
      <x:c r="A2932" t="str">
        <x:v>SYN0002931</x:v>
      </x:c>
      <x:c r="B2932" s="12" t="n">
        <x:v>41335</x:v>
      </x:c>
      <x:c r="C2932" s="18" t="n">
        <x:v>16950</x:v>
      </x:c>
      <x:c r="D2932" s="18" t="n">
        <x:v>129693</x:v>
      </x:c>
      <x:c r="E2932" s="18" t="n">
        <x:v>28.83</x:v>
      </x:c>
      <x:c r="F2932" s="18" t="n">
        <x:v>9.79</x:v>
      </x:c>
      <x:c r="G2932" t="n">
        <x:v>60</x:v>
      </x:c>
      <x:c r="H2932" t="str">
        <x:v>C</x:v>
      </x:c>
      <x:c r="I2932" t="str">
        <x:v>1-3 years</x:v>
      </x:c>
      <x:c r="J2932" t="str">
        <x:v>MORTGAGE</x:v>
      </x:c>
      <x:c r="K2932" t="str">
        <x:v>debt_consolidation</x:v>
      </x:c>
      <x:c r="L2932" t="n">
        <x:v>0</x:v>
      </x:c>
      <x:c r="M2932" t="n">
        <x:v>0</x:v>
      </x:c>
      <x:c r="N2932" t="str">
        <x:v>Fully Paid</x:v>
      </x:c>
      <x:c r="O2932" t="str">
        <x:f>IF(D2932="","Unknown",IF(D2932&lt;25000,"&lt;$25k",IF(D2932&lt;50000,"$25k-$50k",IF(D2932&lt;75000,"$50k-$75k",IF(D2932&lt;100000,"$75k-$100k","$100k+")))))</x:f>
        <x:v>$100k+</x:v>
      </x:c>
      <x:c r="P2932" t="str">
        <x:f>IF(E2932="","Unknown",IF(E2932&lt;10,"&lt;10",IF(E2932&lt;20,"10-&lt;20",IF(E2932&lt;25,"20-&lt;25",IF(E2932&lt;35,"25-&lt;35","35+")))))</x:f>
        <x:v>25-&lt;35</x:v>
      </x:c>
    </x:row>
    <x:row r="2933">
      <x:c r="A2933" t="str">
        <x:v>SYN0002932</x:v>
      </x:c>
      <x:c r="B2933" s="12" t="n">
        <x:v>41485</x:v>
      </x:c>
      <x:c r="C2933" s="18" t="n">
        <x:v>18057</x:v>
      </x:c>
      <x:c r="D2933" s="18" t="n">
        <x:v>51889</x:v>
      </x:c>
      <x:c r="E2933" s="18" t="n">
        <x:v>24.57</x:v>
      </x:c>
      <x:c r="F2933" s="18" t="n">
        <x:v>13.9</x:v>
      </x:c>
      <x:c r="G2933" t="n">
        <x:v>36</x:v>
      </x:c>
      <x:c r="H2933" t="str">
        <x:v>D</x:v>
      </x:c>
      <x:c r="I2933" t="str">
        <x:v>1-3 years</x:v>
      </x:c>
      <x:c r="J2933" t="str">
        <x:v>MORTGAGE</x:v>
      </x:c>
      <x:c r="K2933" t="str">
        <x:v>home_improvement</x:v>
      </x:c>
      <x:c r="L2933" t="n">
        <x:v>1</x:v>
      </x:c>
      <x:c r="M2933" t="n">
        <x:v>0</x:v>
      </x:c>
      <x:c r="N2933" t="str">
        <x:v>Fully Paid</x:v>
      </x:c>
      <x:c r="O2933" t="str">
        <x:f>IF(D2933="","Unknown",IF(D2933&lt;25000,"&lt;$25k",IF(D2933&lt;50000,"$25k-$50k",IF(D2933&lt;75000,"$50k-$75k",IF(D2933&lt;100000,"$75k-$100k","$100k+")))))</x:f>
        <x:v>$50k-$75k</x:v>
      </x:c>
      <x:c r="P2933" t="str">
        <x:f>IF(E2933="","Unknown",IF(E2933&lt;10,"&lt;10",IF(E2933&lt;20,"10-&lt;20",IF(E2933&lt;25,"20-&lt;25",IF(E2933&lt;35,"25-&lt;35","35+")))))</x:f>
        <x:v>20-&lt;25</x:v>
      </x:c>
    </x:row>
    <x:row r="2934">
      <x:c r="A2934" t="str">
        <x:v>SYN0002933</x:v>
      </x:c>
      <x:c r="B2934" s="12" t="n">
        <x:v>42175</x:v>
      </x:c>
      <x:c r="C2934" s="18" t="n">
        <x:v>10680</x:v>
      </x:c>
      <x:c r="D2934" s="18" t="n">
        <x:v>75635</x:v>
      </x:c>
      <x:c r="E2934" s="18" t="n">
        <x:v>25.74</x:v>
      </x:c>
      <x:c r="F2934" s="18" t="n">
        <x:v>8.77</x:v>
      </x:c>
      <x:c r="G2934" t="n">
        <x:v>60</x:v>
      </x:c>
      <x:c r="H2934" t="str">
        <x:v>B</x:v>
      </x:c>
      <x:c r="I2934" t="str">
        <x:v>7-9 years</x:v>
      </x:c>
      <x:c r="J2934" t="str">
        <x:v>MORTGAGE</x:v>
      </x:c>
      <x:c r="K2934" t="str">
        <x:v>debt_consolidation</x:v>
      </x:c>
      <x:c r="L2934" t="n">
        <x:v>0</x:v>
      </x:c>
      <x:c r="M2934" t="n">
        <x:v>0</x:v>
      </x:c>
      <x:c r="N2934" t="str">
        <x:v>Fully Paid</x:v>
      </x:c>
      <x:c r="O2934" t="str">
        <x:f>IF(D2934="","Unknown",IF(D2934&lt;25000,"&lt;$25k",IF(D2934&lt;50000,"$25k-$50k",IF(D2934&lt;75000,"$50k-$75k",IF(D2934&lt;100000,"$75k-$100k","$100k+")))))</x:f>
        <x:v>$75k-$100k</x:v>
      </x:c>
      <x:c r="P2934" t="str">
        <x:f>IF(E2934="","Unknown",IF(E2934&lt;10,"&lt;10",IF(E2934&lt;20,"10-&lt;20",IF(E2934&lt;25,"20-&lt;25",IF(E2934&lt;35,"25-&lt;35","35+")))))</x:f>
        <x:v>25-&lt;35</x:v>
      </x:c>
    </x:row>
    <x:row r="2935">
      <x:c r="A2935" t="str">
        <x:v>SYN0002934</x:v>
      </x:c>
      <x:c r="B2935" s="12" t="n">
        <x:v>43405</x:v>
      </x:c>
      <x:c r="C2935" s="18" t="n">
        <x:v>7683</x:v>
      </x:c>
      <x:c r="D2935" s="18" t="n">
        <x:v>52569</x:v>
      </x:c>
      <x:c r="E2935" s="18" t="n">
        <x:v>17.48</x:v>
      </x:c>
      <x:c r="F2935" s="18" t="n">
        <x:v>11.32</x:v>
      </x:c>
      <x:c r="G2935" t="n">
        <x:v>60</x:v>
      </x:c>
      <x:c r="H2935" t="str">
        <x:v>D</x:v>
      </x:c>
      <x:c r="I2935" t="str">
        <x:v>4-6 years</x:v>
      </x:c>
      <x:c r="J2935" t="str">
        <x:v>MORTGAGE</x:v>
      </x:c>
      <x:c r="K2935" t="str">
        <x:v>debt_consolidation</x:v>
      </x:c>
      <x:c r="L2935" t="n">
        <x:v>1</x:v>
      </x:c>
      <x:c r="M2935" t="n">
        <x:v>0</x:v>
      </x:c>
      <x:c r="N2935" t="str">
        <x:v>Fully Paid</x:v>
      </x:c>
      <x:c r="O2935" t="str">
        <x:f>IF(D2935="","Unknown",IF(D2935&lt;25000,"&lt;$25k",IF(D2935&lt;50000,"$25k-$50k",IF(D2935&lt;75000,"$50k-$75k",IF(D2935&lt;100000,"$75k-$100k","$100k+")))))</x:f>
        <x:v>$50k-$75k</x:v>
      </x:c>
      <x:c r="P2935" t="str">
        <x:f>IF(E2935="","Unknown",IF(E2935&lt;10,"&lt;10",IF(E2935&lt;20,"10-&lt;20",IF(E2935&lt;25,"20-&lt;25",IF(E2935&lt;35,"25-&lt;35","35+")))))</x:f>
        <x:v>10-&lt;20</x:v>
      </x:c>
    </x:row>
    <x:row r="2936">
      <x:c r="A2936" t="str">
        <x:v>SYN0002935</x:v>
      </x:c>
      <x:c r="B2936" s="12" t="n">
        <x:v>41635</x:v>
      </x:c>
      <x:c r="C2936" s="18" t="n">
        <x:v>8995</x:v>
      </x:c>
      <x:c r="D2936" s="18" t="n">
        <x:v>57515</x:v>
      </x:c>
      <x:c r="E2936" s="18" t="n">
        <x:v>22.46</x:v>
      </x:c>
      <x:c r="F2936" s="18" t="n">
        <x:v>12.38</x:v>
      </x:c>
      <x:c r="G2936" t="n">
        <x:v>36</x:v>
      </x:c>
      <x:c r="H2936" t="str">
        <x:v>C</x:v>
      </x:c>
      <x:c r="I2936" t="str">
        <x:v>10+ years</x:v>
      </x:c>
      <x:c r="J2936" t="str">
        <x:v>OWN</x:v>
      </x:c>
      <x:c r="K2936" t="str">
        <x:v>credit_card</x:v>
      </x:c>
      <x:c r="L2936" t="n">
        <x:v>0</x:v>
      </x:c>
      <x:c r="M2936" t="n">
        <x:v>0</x:v>
      </x:c>
      <x:c r="N2936" t="str">
        <x:v>Fully Paid</x:v>
      </x:c>
      <x:c r="O2936" t="str">
        <x:f>IF(D2936="","Unknown",IF(D2936&lt;25000,"&lt;$25k",IF(D2936&lt;50000,"$25k-$50k",IF(D2936&lt;75000,"$50k-$75k",IF(D2936&lt;100000,"$75k-$100k","$100k+")))))</x:f>
        <x:v>$50k-$75k</x:v>
      </x:c>
      <x:c r="P2936" t="str">
        <x:f>IF(E2936="","Unknown",IF(E2936&lt;10,"&lt;10",IF(E2936&lt;20,"10-&lt;20",IF(E2936&lt;25,"20-&lt;25",IF(E2936&lt;35,"25-&lt;35","35+")))))</x:f>
        <x:v>20-&lt;25</x:v>
      </x:c>
    </x:row>
    <x:row r="2937">
      <x:c r="A2937" t="str">
        <x:v>SYN0002936</x:v>
      </x:c>
      <x:c r="B2937" s="12" t="n">
        <x:v>42625</x:v>
      </x:c>
      <x:c r="C2937" s="18" t="n">
        <x:v>7759</x:v>
      </x:c>
      <x:c r="D2937" s="18" t="n">
        <x:v>28515</x:v>
      </x:c>
      <x:c r="E2937" s="18" t="n">
        <x:v>3.72</x:v>
      </x:c>
      <x:c r="F2937" s="18" t="n">
        <x:v>8.13</x:v>
      </x:c>
      <x:c r="G2937" t="n">
        <x:v>36</x:v>
      </x:c>
      <x:c r="H2937" t="str">
        <x:v>B</x:v>
      </x:c>
      <x:c r="I2937" t="str">
        <x:v>&lt;1 year</x:v>
      </x:c>
      <x:c r="J2937" t="str">
        <x:v>MORTGAGE</x:v>
      </x:c>
      <x:c r="K2937" t="str">
        <x:v>debt_consolidation</x:v>
      </x:c>
      <x:c r="L2937" t="n">
        <x:v>0</x:v>
      </x:c>
      <x:c r="M2937" t="n">
        <x:v>0</x:v>
      </x:c>
      <x:c r="N2937" t="str">
        <x:v>Fully Paid</x:v>
      </x:c>
      <x:c r="O2937" t="str">
        <x:f>IF(D2937="","Unknown",IF(D2937&lt;25000,"&lt;$25k",IF(D2937&lt;50000,"$25k-$50k",IF(D2937&lt;75000,"$50k-$75k",IF(D2937&lt;100000,"$75k-$100k","$100k+")))))</x:f>
        <x:v>$25k-$50k</x:v>
      </x:c>
      <x:c r="P2937" t="str">
        <x:f>IF(E2937="","Unknown",IF(E2937&lt;10,"&lt;10",IF(E2937&lt;20,"10-&lt;20",IF(E2937&lt;25,"20-&lt;25",IF(E2937&lt;35,"25-&lt;35","35+")))))</x:f>
        <x:v>&lt;10</x:v>
      </x:c>
    </x:row>
    <x:row r="2938">
      <x:c r="A2938" t="str">
        <x:v>SYN0002937</x:v>
      </x:c>
      <x:c r="B2938" s="12" t="n">
        <x:v>42625</x:v>
      </x:c>
      <x:c r="C2938" s="18" t="n">
        <x:v>6606</x:v>
      </x:c>
      <x:c r="D2938" s="18" t="n">
        <x:v>94537</x:v>
      </x:c>
      <x:c r="E2938" s="18" t="n">
        <x:v>27.87</x:v>
      </x:c>
      <x:c r="F2938" s="18" t="n">
        <x:v>10.32</x:v>
      </x:c>
      <x:c r="G2938" t="n">
        <x:v>36</x:v>
      </x:c>
      <x:c r="H2938" t="str">
        <x:v>B</x:v>
      </x:c>
      <x:c r="I2938" t="str">
        <x:v>&lt;1 year</x:v>
      </x:c>
      <x:c r="J2938" t="str">
        <x:v>RENT</x:v>
      </x:c>
      <x:c r="K2938" t="str">
        <x:v>medical</x:v>
      </x:c>
      <x:c r="L2938" t="n">
        <x:v>0</x:v>
      </x:c>
      <x:c r="M2938" t="n">
        <x:v>0</x:v>
      </x:c>
      <x:c r="N2938" t="str">
        <x:v>Fully Paid</x:v>
      </x:c>
      <x:c r="O2938" t="str">
        <x:f>IF(D2938="","Unknown",IF(D2938&lt;25000,"&lt;$25k",IF(D2938&lt;50000,"$25k-$50k",IF(D2938&lt;75000,"$50k-$75k",IF(D2938&lt;100000,"$75k-$100k","$100k+")))))</x:f>
        <x:v>$75k-$100k</x:v>
      </x:c>
      <x:c r="P2938" t="str">
        <x:f>IF(E2938="","Unknown",IF(E2938&lt;10,"&lt;10",IF(E2938&lt;20,"10-&lt;20",IF(E2938&lt;25,"20-&lt;25",IF(E2938&lt;35,"25-&lt;35","35+")))))</x:f>
        <x:v>25-&lt;35</x:v>
      </x:c>
    </x:row>
    <x:row r="2939">
      <x:c r="A2939" t="str">
        <x:v>SYN0002938</x:v>
      </x:c>
      <x:c r="B2939" s="12" t="n">
        <x:v>41575</x:v>
      </x:c>
      <x:c r="C2939" s="18" t="n">
        <x:v>9870</x:v>
      </x:c>
      <x:c r="D2939" s="18" t="n">
        <x:v>53273</x:v>
      </x:c>
      <x:c r="E2939" s="18" t="n">
        <x:v>9.36</x:v>
      </x:c>
      <x:c r="F2939" s="18" t="n">
        <x:v>18.84</x:v>
      </x:c>
      <x:c r="G2939" t="n">
        <x:v>36</x:v>
      </x:c>
      <x:c r="H2939" t="str">
        <x:v>E</x:v>
      </x:c>
      <x:c r="I2939" t="str">
        <x:v>1-3 years</x:v>
      </x:c>
      <x:c r="J2939" t="str">
        <x:v>RENT</x:v>
      </x:c>
      <x:c r="K2939" t="str">
        <x:v>debt_consolidation</x:v>
      </x:c>
      <x:c r="L2939" t="n">
        <x:v>0</x:v>
      </x:c>
      <x:c r="M2939" t="n">
        <x:v>0</x:v>
      </x:c>
      <x:c r="N2939" t="str">
        <x:v>Fully Paid</x:v>
      </x:c>
      <x:c r="O2939" t="str">
        <x:f>IF(D2939="","Unknown",IF(D2939&lt;25000,"&lt;$25k",IF(D2939&lt;50000,"$25k-$50k",IF(D2939&lt;75000,"$50k-$75k",IF(D2939&lt;100000,"$75k-$100k","$100k+")))))</x:f>
        <x:v>$50k-$75k</x:v>
      </x:c>
      <x:c r="P2939" t="str">
        <x:f>IF(E2939="","Unknown",IF(E2939&lt;10,"&lt;10",IF(E2939&lt;20,"10-&lt;20",IF(E2939&lt;25,"20-&lt;25",IF(E2939&lt;35,"25-&lt;35","35+")))))</x:f>
        <x:v>&lt;10</x:v>
      </x:c>
    </x:row>
    <x:row r="2940">
      <x:c r="A2940" t="str">
        <x:v>SYN0002939</x:v>
      </x:c>
      <x:c r="B2940" s="12" t="n">
        <x:v>42925</x:v>
      </x:c>
      <x:c r="C2940" s="18" t="n">
        <x:v>10087</x:v>
      </x:c>
      <x:c r="D2940" s="18" t="n">
        <x:v>73619</x:v>
      </x:c>
      <x:c r="E2940" s="18" t="n">
        <x:v>15.27</x:v>
      </x:c>
      <x:c r="F2940" s="18" t="n">
        <x:v>14.68</x:v>
      </x:c>
      <x:c r="G2940" t="n">
        <x:v>36</x:v>
      </x:c>
      <x:c r="H2940" t="str">
        <x:v>D</x:v>
      </x:c>
      <x:c r="I2940" t="str">
        <x:v>7-9 years</x:v>
      </x:c>
      <x:c r="J2940" t="str">
        <x:v>RENT</x:v>
      </x:c>
      <x:c r="K2940" t="str">
        <x:v>debt_consolidation</x:v>
      </x:c>
      <x:c r="L2940" t="n">
        <x:v>2</x:v>
      </x:c>
      <x:c r="M2940" t="n">
        <x:v>0</x:v>
      </x:c>
      <x:c r="N2940" t="str">
        <x:v>Fully Paid</x:v>
      </x:c>
      <x:c r="O2940" t="str">
        <x:f>IF(D2940="","Unknown",IF(D2940&lt;25000,"&lt;$25k",IF(D2940&lt;50000,"$25k-$50k",IF(D2940&lt;75000,"$50k-$75k",IF(D2940&lt;100000,"$75k-$100k","$100k+")))))</x:f>
        <x:v>$50k-$75k</x:v>
      </x:c>
      <x:c r="P2940" t="str">
        <x:f>IF(E2940="","Unknown",IF(E2940&lt;10,"&lt;10",IF(E2940&lt;20,"10-&lt;20",IF(E2940&lt;25,"20-&lt;25",IF(E2940&lt;35,"25-&lt;35","35+")))))</x:f>
        <x:v>10-&lt;20</x:v>
      </x:c>
    </x:row>
    <x:row r="2941">
      <x:c r="A2941" t="str">
        <x:v>SYN0002940</x:v>
      </x:c>
      <x:c r="B2941" s="12" t="n">
        <x:v>41395</x:v>
      </x:c>
      <x:c r="C2941" s="18" t="n">
        <x:v>8604</x:v>
      </x:c>
      <x:c r="D2941" s="18" t="n">
        <x:v>51148</x:v>
      </x:c>
      <x:c r="E2941" s="18" t="n">
        <x:v>16.8</x:v>
      </x:c>
      <x:c r="F2941" s="18" t="n">
        <x:v>11.39</x:v>
      </x:c>
      <x:c r="G2941" t="n">
        <x:v>60</x:v>
      </x:c>
      <x:c r="H2941" t="str">
        <x:v>C</x:v>
      </x:c>
      <x:c r="I2941" t="str">
        <x:v>10+ years</x:v>
      </x:c>
      <x:c r="J2941" t="str">
        <x:v>RENT</x:v>
      </x:c>
      <x:c r="K2941" t="str">
        <x:v>home_improvement</x:v>
      </x:c>
      <x:c r="L2941" t="n">
        <x:v>0</x:v>
      </x:c>
      <x:c r="M2941" t="n">
        <x:v>0</x:v>
      </x:c>
      <x:c r="N2941" t="str">
        <x:v>Fully Paid</x:v>
      </x:c>
      <x:c r="O2941" t="str">
        <x:f>IF(D2941="","Unknown",IF(D2941&lt;25000,"&lt;$25k",IF(D2941&lt;50000,"$25k-$50k",IF(D2941&lt;75000,"$50k-$75k",IF(D2941&lt;100000,"$75k-$100k","$100k+")))))</x:f>
        <x:v>$50k-$75k</x:v>
      </x:c>
      <x:c r="P2941" t="str">
        <x:f>IF(E2941="","Unknown",IF(E2941&lt;10,"&lt;10",IF(E2941&lt;20,"10-&lt;20",IF(E2941&lt;25,"20-&lt;25",IF(E2941&lt;35,"25-&lt;35","35+")))))</x:f>
        <x:v>10-&lt;20</x:v>
      </x:c>
    </x:row>
    <x:row r="2942">
      <x:c r="A2942" t="str">
        <x:v>SYN0002941</x:v>
      </x:c>
      <x:c r="B2942" s="12" t="n">
        <x:v>42175</x:v>
      </x:c>
      <x:c r="C2942" s="18" t="n">
        <x:v>15751</x:v>
      </x:c>
      <x:c r="D2942" s="18" t="n">
        <x:v>27029</x:v>
      </x:c>
      <x:c r="E2942" s="18" t="n">
        <x:v>23.89</x:v>
      </x:c>
      <x:c r="F2942" s="18" t="n">
        <x:v>6.13</x:v>
      </x:c>
      <x:c r="G2942" t="n">
        <x:v>60</x:v>
      </x:c>
      <x:c r="H2942" t="str">
        <x:v>A</x:v>
      </x:c>
      <x:c r="I2942" t="str">
        <x:v>1-3 years</x:v>
      </x:c>
      <x:c r="J2942" t="str">
        <x:v>RENT</x:v>
      </x:c>
      <x:c r="K2942" t="str">
        <x:v>other</x:v>
      </x:c>
      <x:c r="L2942" t="n">
        <x:v>0</x:v>
      </x:c>
      <x:c r="M2942" t="n">
        <x:v>0</x:v>
      </x:c>
      <x:c r="N2942" t="str">
        <x:v>Fully Paid</x:v>
      </x:c>
      <x:c r="O2942" t="str">
        <x:f>IF(D2942="","Unknown",IF(D2942&lt;25000,"&lt;$25k",IF(D2942&lt;50000,"$25k-$50k",IF(D2942&lt;75000,"$50k-$75k",IF(D2942&lt;100000,"$75k-$100k","$100k+")))))</x:f>
        <x:v>$25k-$50k</x:v>
      </x:c>
      <x:c r="P2942" t="str">
        <x:f>IF(E2942="","Unknown",IF(E2942&lt;10,"&lt;10",IF(E2942&lt;20,"10-&lt;20",IF(E2942&lt;25,"20-&lt;25",IF(E2942&lt;35,"25-&lt;35","35+")))))</x:f>
        <x:v>20-&lt;25</x:v>
      </x:c>
    </x:row>
    <x:row r="2943">
      <x:c r="A2943" t="str">
        <x:v>SYN0002942</x:v>
      </x:c>
      <x:c r="B2943" s="12" t="n">
        <x:v>41935</x:v>
      </x:c>
      <x:c r="C2943" s="18" t="n">
        <x:v>13743</x:v>
      </x:c>
      <x:c r="D2943" s="18" t="n">
        <x:v>39660</x:v>
      </x:c>
      <x:c r="E2943" s="18" t="n">
        <x:v>26.01</x:v>
      </x:c>
      <x:c r="F2943" s="18" t="n">
        <x:v>7.05</x:v>
      </x:c>
      <x:c r="G2943" t="n">
        <x:v>36</x:v>
      </x:c>
      <x:c r="H2943" t="str">
        <x:v>A</x:v>
      </x:c>
      <x:c r="I2943" t="str">
        <x:v>4-6 years</x:v>
      </x:c>
      <x:c r="J2943" t="str">
        <x:v>RENT</x:v>
      </x:c>
      <x:c r="K2943" t="str">
        <x:v>other</x:v>
      </x:c>
      <x:c r="L2943" t="n">
        <x:v>2</x:v>
      </x:c>
      <x:c r="M2943" t="n">
        <x:v>0</x:v>
      </x:c>
      <x:c r="N2943" t="str">
        <x:v>Fully Paid</x:v>
      </x:c>
      <x:c r="O2943" t="str">
        <x:f>IF(D2943="","Unknown",IF(D2943&lt;25000,"&lt;$25k",IF(D2943&lt;50000,"$25k-$50k",IF(D2943&lt;75000,"$50k-$75k",IF(D2943&lt;100000,"$75k-$100k","$100k+")))))</x:f>
        <x:v>$25k-$50k</x:v>
      </x:c>
      <x:c r="P2943" t="str">
        <x:f>IF(E2943="","Unknown",IF(E2943&lt;10,"&lt;10",IF(E2943&lt;20,"10-&lt;20",IF(E2943&lt;25,"20-&lt;25",IF(E2943&lt;35,"25-&lt;35","35+")))))</x:f>
        <x:v>25-&lt;35</x:v>
      </x:c>
    </x:row>
    <x:row r="2944">
      <x:c r="A2944" t="str">
        <x:v>SYN0002943</x:v>
      </x:c>
      <x:c r="B2944" s="12" t="n">
        <x:v>42805</x:v>
      </x:c>
      <x:c r="C2944" s="18" t="n">
        <x:v>12742</x:v>
      </x:c>
      <x:c r="D2944" s="18" t="n">
        <x:v>35855</x:v>
      </x:c>
      <x:c r="E2944" s="18" t="n">
        <x:v>22.39</x:v>
      </x:c>
      <x:c r="F2944" s="18" t="n">
        <x:v>15.01</x:v>
      </x:c>
      <x:c r="G2944" t="n">
        <x:v>36</x:v>
      </x:c>
      <x:c r="H2944" t="str">
        <x:v>D</x:v>
      </x:c>
      <x:c r="I2944" t="str">
        <x:v>7-9 years</x:v>
      </x:c>
      <x:c r="J2944" t="str">
        <x:v>RENT</x:v>
      </x:c>
      <x:c r="K2944" t="str">
        <x:v>debt_consolidation</x:v>
      </x:c>
      <x:c r="L2944" t="n">
        <x:v>0</x:v>
      </x:c>
      <x:c r="M2944" t="n">
        <x:v>0</x:v>
      </x:c>
      <x:c r="N2944" t="str">
        <x:v>Fully Paid</x:v>
      </x:c>
      <x:c r="O2944" t="str">
        <x:f>IF(D2944="","Unknown",IF(D2944&lt;25000,"&lt;$25k",IF(D2944&lt;50000,"$25k-$50k",IF(D2944&lt;75000,"$50k-$75k",IF(D2944&lt;100000,"$75k-$100k","$100k+")))))</x:f>
        <x:v>$25k-$50k</x:v>
      </x:c>
      <x:c r="P2944" t="str">
        <x:f>IF(E2944="","Unknown",IF(E2944&lt;10,"&lt;10",IF(E2944&lt;20,"10-&lt;20",IF(E2944&lt;25,"20-&lt;25",IF(E2944&lt;35,"25-&lt;35","35+")))))</x:f>
        <x:v>20-&lt;25</x:v>
      </x:c>
    </x:row>
    <x:row r="2945">
      <x:c r="A2945" t="str">
        <x:v>SYN0002944</x:v>
      </x:c>
      <x:c r="B2945" s="12" t="n">
        <x:v>41305</x:v>
      </x:c>
      <x:c r="C2945" s="18" t="n">
        <x:v>16584</x:v>
      </x:c>
      <x:c r="D2945" s="18" t="n">
        <x:v>115469</x:v>
      </x:c>
      <x:c r="E2945" s="18" t="n">
        <x:v>21.69</x:v>
      </x:c>
      <x:c r="F2945" s="18" t="n">
        <x:v>10.58</x:v>
      </x:c>
      <x:c r="G2945" t="n">
        <x:v>36</x:v>
      </x:c>
      <x:c r="H2945" t="str">
        <x:v>B</x:v>
      </x:c>
      <x:c r="I2945" t="str">
        <x:v>10+ years</x:v>
      </x:c>
      <x:c r="J2945" t="str">
        <x:v>RENT</x:v>
      </x:c>
      <x:c r="K2945" t="str">
        <x:v>debt_consolidation</x:v>
      </x:c>
      <x:c r="L2945" t="n">
        <x:v>1</x:v>
      </x:c>
      <x:c r="M2945" t="n">
        <x:v>0</x:v>
      </x:c>
      <x:c r="N2945" t="str">
        <x:v>Fully Paid</x:v>
      </x:c>
      <x:c r="O2945" t="str">
        <x:f>IF(D2945="","Unknown",IF(D2945&lt;25000,"&lt;$25k",IF(D2945&lt;50000,"$25k-$50k",IF(D2945&lt;75000,"$50k-$75k",IF(D2945&lt;100000,"$75k-$100k","$100k+")))))</x:f>
        <x:v>$100k+</x:v>
      </x:c>
      <x:c r="P2945" t="str">
        <x:f>IF(E2945="","Unknown",IF(E2945&lt;10,"&lt;10",IF(E2945&lt;20,"10-&lt;20",IF(E2945&lt;25,"20-&lt;25",IF(E2945&lt;35,"25-&lt;35","35+")))))</x:f>
        <x:v>20-&lt;25</x:v>
      </x:c>
    </x:row>
    <x:row r="2946">
      <x:c r="A2946" t="str">
        <x:v>SYN0002945</x:v>
      </x:c>
      <x:c r="B2946" s="12" t="n">
        <x:v>42415</x:v>
      </x:c>
      <x:c r="C2946" s="18" t="n">
        <x:v>29332</x:v>
      </x:c>
      <x:c r="D2946" s="18" t="n">
        <x:v>12000</x:v>
      </x:c>
      <x:c r="E2946" s="18" t="n">
        <x:v>7.93</x:v>
      </x:c>
      <x:c r="F2946" s="18" t="n">
        <x:v>9.76</x:v>
      </x:c>
      <x:c r="G2946" t="n">
        <x:v>60</x:v>
      </x:c>
      <x:c r="H2946" t="str">
        <x:v>C</x:v>
      </x:c>
      <x:c r="I2946" t="str">
        <x:v>10+ years</x:v>
      </x:c>
      <x:c r="J2946" t="str">
        <x:v>RENT</x:v>
      </x:c>
      <x:c r="K2946" t="str">
        <x:v>debt_consolidation</x:v>
      </x:c>
      <x:c r="L2946" t="n">
        <x:v>0</x:v>
      </x:c>
      <x:c r="M2946" t="n">
        <x:v>0</x:v>
      </x:c>
      <x:c r="N2946" t="str">
        <x:v>Fully Paid</x:v>
      </x:c>
      <x:c r="O2946" t="str">
        <x:f>IF(D2946="","Unknown",IF(D2946&lt;25000,"&lt;$25k",IF(D2946&lt;50000,"$25k-$50k",IF(D2946&lt;75000,"$50k-$75k",IF(D2946&lt;100000,"$75k-$100k","$100k+")))))</x:f>
        <x:v>&lt;$25k</x:v>
      </x:c>
      <x:c r="P2946" t="str">
        <x:f>IF(E2946="","Unknown",IF(E2946&lt;10,"&lt;10",IF(E2946&lt;20,"10-&lt;20",IF(E2946&lt;25,"20-&lt;25",IF(E2946&lt;35,"25-&lt;35","35+")))))</x:f>
        <x:v>&lt;10</x:v>
      </x:c>
    </x:row>
    <x:row r="2947">
      <x:c r="A2947" t="str">
        <x:v>SYN0002946</x:v>
      </x:c>
      <x:c r="B2947" s="12" t="n">
        <x:v>41965</x:v>
      </x:c>
      <x:c r="C2947" s="18" t="n">
        <x:v>13486</x:v>
      </x:c>
      <x:c r="D2947" s="18" t="n">
        <x:v>24991</x:v>
      </x:c>
      <x:c r="E2947" s="18" t="n">
        <x:v>26.77</x:v>
      </x:c>
      <x:c r="F2947" s="18" t="n">
        <x:v>14.85</x:v>
      </x:c>
      <x:c r="G2947" t="n">
        <x:v>36</x:v>
      </x:c>
      <x:c r="H2947" t="str">
        <x:v>C</x:v>
      </x:c>
      <x:c r="I2947" t="str">
        <x:v>10+ years</x:v>
      </x:c>
      <x:c r="J2947" t="str">
        <x:v>MORTGAGE</x:v>
      </x:c>
      <x:c r="K2947" t="str">
        <x:v>credit_card</x:v>
      </x:c>
      <x:c r="L2947" t="n">
        <x:v>0</x:v>
      </x:c>
      <x:c r="M2947" t="n">
        <x:v>0</x:v>
      </x:c>
      <x:c r="N2947" t="str">
        <x:v>Fully Paid</x:v>
      </x:c>
      <x:c r="O2947" t="str">
        <x:f>IF(D2947="","Unknown",IF(D2947&lt;25000,"&lt;$25k",IF(D2947&lt;50000,"$25k-$50k",IF(D2947&lt;75000,"$50k-$75k",IF(D2947&lt;100000,"$75k-$100k","$100k+")))))</x:f>
        <x:v>&lt;$25k</x:v>
      </x:c>
      <x:c r="P2947" t="str">
        <x:f>IF(E2947="","Unknown",IF(E2947&lt;10,"&lt;10",IF(E2947&lt;20,"10-&lt;20",IF(E2947&lt;25,"20-&lt;25",IF(E2947&lt;35,"25-&lt;35","35+")))))</x:f>
        <x:v>25-&lt;35</x:v>
      </x:c>
    </x:row>
    <x:row r="2948">
      <x:c r="A2948" t="str">
        <x:v>SYN0002947</x:v>
      </x:c>
      <x:c r="B2948" s="12" t="n">
        <x:v>42115</x:v>
      </x:c>
      <x:c r="C2948" s="18" t="n">
        <x:v>25282</x:v>
      </x:c>
      <x:c r="D2948" s="18" t="n">
        <x:v>28215</x:v>
      </x:c>
      <x:c r="E2948" s="18" t="n">
        <x:v>15.54</x:v>
      </x:c>
      <x:c r="F2948" s="18" t="n">
        <x:v>12.36</x:v>
      </x:c>
      <x:c r="G2948" t="n">
        <x:v>60</x:v>
      </x:c>
      <x:c r="H2948" t="str">
        <x:v>C</x:v>
      </x:c>
      <x:c r="I2948" t="str">
        <x:v>10+ years</x:v>
      </x:c>
      <x:c r="J2948" t="str">
        <x:v>MORTGAGE</x:v>
      </x:c>
      <x:c r="K2948" t="str">
        <x:v>debt_consolidation</x:v>
      </x:c>
      <x:c r="L2948" t="n">
        <x:v>0</x:v>
      </x:c>
      <x:c r="M2948" t="n">
        <x:v>0</x:v>
      </x:c>
      <x:c r="N2948" t="str">
        <x:v>Fully Paid</x:v>
      </x:c>
      <x:c r="O2948" t="str">
        <x:f>IF(D2948="","Unknown",IF(D2948&lt;25000,"&lt;$25k",IF(D2948&lt;50000,"$25k-$50k",IF(D2948&lt;75000,"$50k-$75k",IF(D2948&lt;100000,"$75k-$100k","$100k+")))))</x:f>
        <x:v>$25k-$50k</x:v>
      </x:c>
      <x:c r="P2948" t="str">
        <x:f>IF(E2948="","Unknown",IF(E2948&lt;10,"&lt;10",IF(E2948&lt;20,"10-&lt;20",IF(E2948&lt;25,"20-&lt;25",IF(E2948&lt;35,"25-&lt;35","35+")))))</x:f>
        <x:v>10-&lt;20</x:v>
      </x:c>
    </x:row>
    <x:row r="2949">
      <x:c r="A2949" t="str">
        <x:v>SYN0002948</x:v>
      </x:c>
      <x:c r="B2949" s="12" t="n">
        <x:v>43105</x:v>
      </x:c>
      <x:c r="C2949" s="18" t="n">
        <x:v>7004</x:v>
      </x:c>
      <x:c r="D2949" s="18" t="n">
        <x:v>42740</x:v>
      </x:c>
      <x:c r="E2949" s="18" t="n">
        <x:v>25.62</x:v>
      </x:c>
      <x:c r="F2949" s="18" t="n">
        <x:v>21.41</x:v>
      </x:c>
      <x:c r="G2949" t="n">
        <x:v>60</x:v>
      </x:c>
      <x:c r="H2949" t="str">
        <x:v>F</x:v>
      </x:c>
      <x:c r="I2949" t="str">
        <x:v>10+ years</x:v>
      </x:c>
      <x:c r="J2949" t="str">
        <x:v>RENT</x:v>
      </x:c>
      <x:c r="K2949" t="str">
        <x:v>credit_card</x:v>
      </x:c>
      <x:c r="L2949" t="n">
        <x:v>1</x:v>
      </x:c>
      <x:c r="M2949" t="n">
        <x:v>0</x:v>
      </x:c>
      <x:c r="N2949" t="str">
        <x:v>Fully Paid</x:v>
      </x:c>
      <x:c r="O2949" t="str">
        <x:f>IF(D2949="","Unknown",IF(D2949&lt;25000,"&lt;$25k",IF(D2949&lt;50000,"$25k-$50k",IF(D2949&lt;75000,"$50k-$75k",IF(D2949&lt;100000,"$75k-$100k","$100k+")))))</x:f>
        <x:v>$25k-$50k</x:v>
      </x:c>
      <x:c r="P2949" t="str">
        <x:f>IF(E2949="","Unknown",IF(E2949&lt;10,"&lt;10",IF(E2949&lt;20,"10-&lt;20",IF(E2949&lt;25,"20-&lt;25",IF(E2949&lt;35,"25-&lt;35","35+")))))</x:f>
        <x:v>25-&lt;35</x:v>
      </x:c>
    </x:row>
    <x:row r="2950">
      <x:c r="A2950" t="str">
        <x:v>SYN0002949</x:v>
      </x:c>
      <x:c r="B2950" s="12" t="n">
        <x:v>43105</x:v>
      </x:c>
      <x:c r="C2950" s="18" t="n">
        <x:v>19162</x:v>
      </x:c>
      <x:c r="D2950" s="18" t="n">
        <x:v>99472</x:v>
      </x:c>
      <x:c r="E2950" s="18" t="n">
        <x:v>22.19</x:v>
      </x:c>
      <x:c r="F2950" s="18" t="n">
        <x:v>25.68</x:v>
      </x:c>
      <x:c r="G2950" t="n">
        <x:v>36</x:v>
      </x:c>
      <x:c r="H2950" t="str">
        <x:v>G</x:v>
      </x:c>
      <x:c r="I2950" t="str">
        <x:v>1-3 years</x:v>
      </x:c>
      <x:c r="J2950" t="str">
        <x:v>MORTGAGE</x:v>
      </x:c>
      <x:c r="K2950" t="str">
        <x:v>debt_consolidation</x:v>
      </x:c>
      <x:c r="L2950" t="n">
        <x:v>0</x:v>
      </x:c>
      <x:c r="M2950" t="n">
        <x:v>0</x:v>
      </x:c>
      <x:c r="N2950" t="str">
        <x:v>Fully Paid</x:v>
      </x:c>
      <x:c r="O2950" t="str">
        <x:f>IF(D2950="","Unknown",IF(D2950&lt;25000,"&lt;$25k",IF(D2950&lt;50000,"$25k-$50k",IF(D2950&lt;75000,"$50k-$75k",IF(D2950&lt;100000,"$75k-$100k","$100k+")))))</x:f>
        <x:v>$75k-$100k</x:v>
      </x:c>
      <x:c r="P2950" t="str">
        <x:f>IF(E2950="","Unknown",IF(E2950&lt;10,"&lt;10",IF(E2950&lt;20,"10-&lt;20",IF(E2950&lt;25,"20-&lt;25",IF(E2950&lt;35,"25-&lt;35","35+")))))</x:f>
        <x:v>20-&lt;25</x:v>
      </x:c>
    </x:row>
    <x:row r="2951">
      <x:c r="A2951" t="str">
        <x:v>SYN0002950</x:v>
      </x:c>
      <x:c r="B2951" s="12" t="n">
        <x:v>41605</x:v>
      </x:c>
      <x:c r="C2951" s="18" t="n">
        <x:v>10055</x:v>
      </x:c>
      <x:c r="D2951" s="18" t="n">
        <x:v>26433</x:v>
      </x:c>
      <x:c r="E2951" s="18" t="n">
        <x:v>21.05</x:v>
      </x:c>
      <x:c r="F2951" s="18" t="n">
        <x:v>17.02</x:v>
      </x:c>
      <x:c r="G2951" t="n">
        <x:v>60</x:v>
      </x:c>
      <x:c r="H2951" t="str">
        <x:v>E</x:v>
      </x:c>
      <x:c r="I2951" t="str">
        <x:v>10+ years</x:v>
      </x:c>
      <x:c r="J2951" t="str">
        <x:v>MORTGAGE</x:v>
      </x:c>
      <x:c r="K2951" t="str">
        <x:v>debt_consolidation</x:v>
      </x:c>
      <x:c r="L2951" t="n">
        <x:v>1</x:v>
      </x:c>
      <x:c r="M2951" t="n">
        <x:v>0</x:v>
      </x:c>
      <x:c r="N2951" t="str">
        <x:v>Fully Paid</x:v>
      </x:c>
      <x:c r="O2951" t="str">
        <x:f>IF(D2951="","Unknown",IF(D2951&lt;25000,"&lt;$25k",IF(D2951&lt;50000,"$25k-$50k",IF(D2951&lt;75000,"$50k-$75k",IF(D2951&lt;100000,"$75k-$100k","$100k+")))))</x:f>
        <x:v>$25k-$50k</x:v>
      </x:c>
      <x:c r="P2951" t="str">
        <x:f>IF(E2951="","Unknown",IF(E2951&lt;10,"&lt;10",IF(E2951&lt;20,"10-&lt;20",IF(E2951&lt;25,"20-&lt;25",IF(E2951&lt;35,"25-&lt;35","35+")))))</x:f>
        <x:v>20-&lt;25</x:v>
      </x:c>
    </x:row>
    <x:row r="2952">
      <x:c r="A2952" t="str">
        <x:v>SYN0002951</x:v>
      </x:c>
      <x:c r="B2952" s="12" t="n">
        <x:v>42295</x:v>
      </x:c>
      <x:c r="C2952" s="18" t="n">
        <x:v>8153</x:v>
      </x:c>
      <x:c r="D2952" s="18" t="n">
        <x:v>101895</x:v>
      </x:c>
      <x:c r="E2952" s="18" t="n">
        <x:v>19.65</x:v>
      </x:c>
      <x:c r="F2952" s="18" t="n">
        <x:v>7.6</x:v>
      </x:c>
      <x:c r="G2952" t="n">
        <x:v>36</x:v>
      </x:c>
      <x:c r="H2952" t="str">
        <x:v>A</x:v>
      </x:c>
      <x:c r="I2952" t="str">
        <x:v>10+ years</x:v>
      </x:c>
      <x:c r="J2952" t="str">
        <x:v>RENT</x:v>
      </x:c>
      <x:c r="K2952" t="str">
        <x:v>major_purchase</x:v>
      </x:c>
      <x:c r="L2952" t="n">
        <x:v>0</x:v>
      </x:c>
      <x:c r="M2952" t="n">
        <x:v>0</x:v>
      </x:c>
      <x:c r="N2952" t="str">
        <x:v>Fully Paid</x:v>
      </x:c>
      <x:c r="O2952" t="str">
        <x:f>IF(D2952="","Unknown",IF(D2952&lt;25000,"&lt;$25k",IF(D2952&lt;50000,"$25k-$50k",IF(D2952&lt;75000,"$50k-$75k",IF(D2952&lt;100000,"$75k-$100k","$100k+")))))</x:f>
        <x:v>$100k+</x:v>
      </x:c>
      <x:c r="P2952" t="str">
        <x:f>IF(E2952="","Unknown",IF(E2952&lt;10,"&lt;10",IF(E2952&lt;20,"10-&lt;20",IF(E2952&lt;25,"20-&lt;25",IF(E2952&lt;35,"25-&lt;35","35+")))))</x:f>
        <x:v>10-&lt;20</x:v>
      </x:c>
    </x:row>
    <x:row r="2953">
      <x:c r="A2953" t="str">
        <x:v>SYN0002952</x:v>
      </x:c>
      <x:c r="B2953" s="12" t="n">
        <x:v>41605</x:v>
      </x:c>
      <x:c r="C2953" s="18" t="n">
        <x:v>15921</x:v>
      </x:c>
      <x:c r="D2953" s="18" t="n">
        <x:v>36258</x:v>
      </x:c>
      <x:c r="E2953" s="18" t="n">
        <x:v>23.56</x:v>
      </x:c>
      <x:c r="F2953" s="18" t="n">
        <x:v>8.28</x:v>
      </x:c>
      <x:c r="G2953" t="n">
        <x:v>60</x:v>
      </x:c>
      <x:c r="H2953" t="str">
        <x:v>B</x:v>
      </x:c>
      <x:c r="I2953" t="str">
        <x:v>10+ years</x:v>
      </x:c>
      <x:c r="J2953" t="str">
        <x:v>MORTGAGE</x:v>
      </x:c>
      <x:c r="K2953" t="str">
        <x:v>debt_consolidation</x:v>
      </x:c>
      <x:c r="L2953" t="n">
        <x:v>0</x:v>
      </x:c>
      <x:c r="M2953" t="n">
        <x:v>0</x:v>
      </x:c>
      <x:c r="N2953" t="str">
        <x:v>Fully Paid</x:v>
      </x:c>
      <x:c r="O2953" t="str">
        <x:f>IF(D2953="","Unknown",IF(D2953&lt;25000,"&lt;$25k",IF(D2953&lt;50000,"$25k-$50k",IF(D2953&lt;75000,"$50k-$75k",IF(D2953&lt;100000,"$75k-$100k","$100k+")))))</x:f>
        <x:v>$25k-$50k</x:v>
      </x:c>
      <x:c r="P2953" t="str">
        <x:f>IF(E2953="","Unknown",IF(E2953&lt;10,"&lt;10",IF(E2953&lt;20,"10-&lt;20",IF(E2953&lt;25,"20-&lt;25",IF(E2953&lt;35,"25-&lt;35","35+")))))</x:f>
        <x:v>20-&lt;25</x:v>
      </x:c>
    </x:row>
    <x:row r="2954">
      <x:c r="A2954" t="str">
        <x:v>SYN0002953</x:v>
      </x:c>
      <x:c r="B2954" s="12" t="n">
        <x:v>42475</x:v>
      </x:c>
      <x:c r="C2954" s="18" t="n">
        <x:v>10391</x:v>
      </x:c>
      <x:c r="D2954" s="18" t="n">
        <x:v>54725</x:v>
      </x:c>
      <x:c r="E2954" s="18" t="n">
        <x:v>9.51</x:v>
      </x:c>
      <x:c r="F2954" s="18" t="n">
        <x:v>13.29</x:v>
      </x:c>
      <x:c r="G2954" t="n">
        <x:v>36</x:v>
      </x:c>
      <x:c r="H2954" t="str">
        <x:v>C</x:v>
      </x:c>
      <x:c r="I2954" t="str">
        <x:v>10+ years</x:v>
      </x:c>
      <x:c r="J2954" t="str">
        <x:v>RENT</x:v>
      </x:c>
      <x:c r="K2954" t="str">
        <x:v>debt_consolidation</x:v>
      </x:c>
      <x:c r="L2954" t="n">
        <x:v>0</x:v>
      </x:c>
      <x:c r="M2954" t="n">
        <x:v>0</x:v>
      </x:c>
      <x:c r="N2954" t="str">
        <x:v>Fully Paid</x:v>
      </x:c>
      <x:c r="O2954" t="str">
        <x:f>IF(D2954="","Unknown",IF(D2954&lt;25000,"&lt;$25k",IF(D2954&lt;50000,"$25k-$50k",IF(D2954&lt;75000,"$50k-$75k",IF(D2954&lt;100000,"$75k-$100k","$100k+")))))</x:f>
        <x:v>$50k-$75k</x:v>
      </x:c>
      <x:c r="P2954" t="str">
        <x:f>IF(E2954="","Unknown",IF(E2954&lt;10,"&lt;10",IF(E2954&lt;20,"10-&lt;20",IF(E2954&lt;25,"20-&lt;25",IF(E2954&lt;35,"25-&lt;35","35+")))))</x:f>
        <x:v>&lt;10</x:v>
      </x:c>
    </x:row>
    <x:row r="2955">
      <x:c r="A2955" t="str">
        <x:v>SYN0002954</x:v>
      </x:c>
      <x:c r="B2955" s="12" t="n">
        <x:v>42175</x:v>
      </x:c>
      <x:c r="C2955" s="18" t="n">
        <x:v>5223</x:v>
      </x:c>
      <x:c r="D2955" s="18" t="n">
        <x:v>40776</x:v>
      </x:c>
      <x:c r="E2955" s="18" t="n">
        <x:v>24.52</x:v>
      </x:c>
      <x:c r="F2955" s="18" t="n">
        <x:v>7.18</x:v>
      </x:c>
      <x:c r="G2955" t="n">
        <x:v>36</x:v>
      </x:c>
      <x:c r="H2955" t="str">
        <x:v>B</x:v>
      </x:c>
      <x:c r="I2955" t="str">
        <x:v>4-6 years</x:v>
      </x:c>
      <x:c r="J2955" t="str">
        <x:v>OWN</x:v>
      </x:c>
      <x:c r="K2955" t="str">
        <x:v>credit_card</x:v>
      </x:c>
      <x:c r="L2955" t="n">
        <x:v>0</x:v>
      </x:c>
      <x:c r="M2955" t="n">
        <x:v>0</x:v>
      </x:c>
      <x:c r="N2955" t="str">
        <x:v>Fully Paid</x:v>
      </x:c>
      <x:c r="O2955" t="str">
        <x:f>IF(D2955="","Unknown",IF(D2955&lt;25000,"&lt;$25k",IF(D2955&lt;50000,"$25k-$50k",IF(D2955&lt;75000,"$50k-$75k",IF(D2955&lt;100000,"$75k-$100k","$100k+")))))</x:f>
        <x:v>$25k-$50k</x:v>
      </x:c>
      <x:c r="P2955" t="str">
        <x:f>IF(E2955="","Unknown",IF(E2955&lt;10,"&lt;10",IF(E2955&lt;20,"10-&lt;20",IF(E2955&lt;25,"20-&lt;25",IF(E2955&lt;35,"25-&lt;35","35+")))))</x:f>
        <x:v>20-&lt;25</x:v>
      </x:c>
    </x:row>
    <x:row r="2956">
      <x:c r="A2956" t="str">
        <x:v>SYN0002955</x:v>
      </x:c>
      <x:c r="B2956" s="12" t="n">
        <x:v>43375</x:v>
      </x:c>
      <x:c r="C2956" s="18" t="n">
        <x:v>6274</x:v>
      </x:c>
      <x:c r="D2956" s="18" t="n">
        <x:v>26534</x:v>
      </x:c>
      <x:c r="E2956" s="18" t="n">
        <x:v>21.44</x:v>
      </x:c>
      <x:c r="F2956" s="18" t="n">
        <x:v>5.66</x:v>
      </x:c>
      <x:c r="G2956" t="n">
        <x:v>36</x:v>
      </x:c>
      <x:c r="H2956" t="str">
        <x:v>A</x:v>
      </x:c>
      <x:c r="I2956" t="str">
        <x:v>1-3 years</x:v>
      </x:c>
      <x:c r="J2956" t="str">
        <x:v>MORTGAGE</x:v>
      </x:c>
      <x:c r="K2956" t="str">
        <x:v>major_purchase</x:v>
      </x:c>
      <x:c r="L2956" t="n">
        <x:v>1</x:v>
      </x:c>
      <x:c r="M2956" t="n">
        <x:v>0</x:v>
      </x:c>
      <x:c r="N2956" t="str">
        <x:v>Fully Paid</x:v>
      </x:c>
      <x:c r="O2956" t="str">
        <x:f>IF(D2956="","Unknown",IF(D2956&lt;25000,"&lt;$25k",IF(D2956&lt;50000,"$25k-$50k",IF(D2956&lt;75000,"$50k-$75k",IF(D2956&lt;100000,"$75k-$100k","$100k+")))))</x:f>
        <x:v>$25k-$50k</x:v>
      </x:c>
      <x:c r="P2956" t="str">
        <x:f>IF(E2956="","Unknown",IF(E2956&lt;10,"&lt;10",IF(E2956&lt;20,"10-&lt;20",IF(E2956&lt;25,"20-&lt;25",IF(E2956&lt;35,"25-&lt;35","35+")))))</x:f>
        <x:v>20-&lt;25</x:v>
      </x:c>
    </x:row>
    <x:row r="2957">
      <x:c r="A2957" t="str">
        <x:v>SYN0002956</x:v>
      </x:c>
      <x:c r="B2957" s="12" t="n">
        <x:v>42685</x:v>
      </x:c>
      <x:c r="C2957" s="18" t="n">
        <x:v>23943</x:v>
      </x:c>
      <x:c r="D2957" s="18" t="n">
        <x:v>44735</x:v>
      </x:c>
      <x:c r="E2957" s="18" t="n">
        <x:v>27.06</x:v>
      </x:c>
      <x:c r="F2957" s="18" t="n">
        <x:v>17.36</x:v>
      </x:c>
      <x:c r="G2957" t="n">
        <x:v>36</x:v>
      </x:c>
      <x:c r="H2957" t="str">
        <x:v>E</x:v>
      </x:c>
      <x:c r="I2957" t="str">
        <x:v>1-3 years</x:v>
      </x:c>
      <x:c r="J2957" t="str">
        <x:v>RENT</x:v>
      </x:c>
      <x:c r="K2957" t="str">
        <x:v>home_improvement</x:v>
      </x:c>
      <x:c r="L2957" t="n">
        <x:v>0</x:v>
      </x:c>
      <x:c r="M2957" t="n">
        <x:v>0</x:v>
      </x:c>
      <x:c r="N2957" t="str">
        <x:v>Fully Paid</x:v>
      </x:c>
      <x:c r="O2957" t="str">
        <x:f>IF(D2957="","Unknown",IF(D2957&lt;25000,"&lt;$25k",IF(D2957&lt;50000,"$25k-$50k",IF(D2957&lt;75000,"$50k-$75k",IF(D2957&lt;100000,"$75k-$100k","$100k+")))))</x:f>
        <x:v>$25k-$50k</x:v>
      </x:c>
      <x:c r="P2957" t="str">
        <x:f>IF(E2957="","Unknown",IF(E2957&lt;10,"&lt;10",IF(E2957&lt;20,"10-&lt;20",IF(E2957&lt;25,"20-&lt;25",IF(E2957&lt;35,"25-&lt;35","35+")))))</x:f>
        <x:v>25-&lt;35</x:v>
      </x:c>
    </x:row>
    <x:row r="2958">
      <x:c r="A2958" t="str">
        <x:v>SYN0002957</x:v>
      </x:c>
      <x:c r="B2958" s="12" t="n">
        <x:v>41305</x:v>
      </x:c>
      <x:c r="C2958" s="18" t="n">
        <x:v>19339</x:v>
      </x:c>
      <x:c r="D2958" s="18" t="n">
        <x:v>27647</x:v>
      </x:c>
      <x:c r="E2958" s="18" t="n">
        <x:v>13.82</x:v>
      </x:c>
      <x:c r="F2958" s="18" t="n">
        <x:v>13.8</x:v>
      </x:c>
      <x:c r="G2958" t="n">
        <x:v>60</x:v>
      </x:c>
      <x:c r="H2958" t="str">
        <x:v>D</x:v>
      </x:c>
      <x:c r="I2958" t="str">
        <x:v>10+ years</x:v>
      </x:c>
      <x:c r="J2958" t="str">
        <x:v>MORTGAGE</x:v>
      </x:c>
      <x:c r="K2958" t="str">
        <x:v>debt_consolidation</x:v>
      </x:c>
      <x:c r="L2958" t="n">
        <x:v>0</x:v>
      </x:c>
      <x:c r="M2958" t="n">
        <x:v>0</x:v>
      </x:c>
      <x:c r="N2958" t="str">
        <x:v>Fully Paid</x:v>
      </x:c>
      <x:c r="O2958" t="str">
        <x:f>IF(D2958="","Unknown",IF(D2958&lt;25000,"&lt;$25k",IF(D2958&lt;50000,"$25k-$50k",IF(D2958&lt;75000,"$50k-$75k",IF(D2958&lt;100000,"$75k-$100k","$100k+")))))</x:f>
        <x:v>$25k-$50k</x:v>
      </x:c>
      <x:c r="P2958" t="str">
        <x:f>IF(E2958="","Unknown",IF(E2958&lt;10,"&lt;10",IF(E2958&lt;20,"10-&lt;20",IF(E2958&lt;25,"20-&lt;25",IF(E2958&lt;35,"25-&lt;35","35+")))))</x:f>
        <x:v>10-&lt;20</x:v>
      </x:c>
    </x:row>
    <x:row r="2959">
      <x:c r="A2959" t="str">
        <x:v>SYN0002958</x:v>
      </x:c>
      <x:c r="B2959" s="12" t="n">
        <x:v>43135</x:v>
      </x:c>
      <x:c r="C2959" s="18" t="n">
        <x:v>24580</x:v>
      </x:c>
      <x:c r="D2959" s="18" t="n">
        <x:v>89452</x:v>
      </x:c>
      <x:c r="E2959" s="18" t="n">
        <x:v>35.06</x:v>
      </x:c>
      <x:c r="F2959" s="18" t="n">
        <x:v>14.21</x:v>
      </x:c>
      <x:c r="G2959" t="n">
        <x:v>36</x:v>
      </x:c>
      <x:c r="H2959" t="str">
        <x:v>D</x:v>
      </x:c>
      <x:c r="I2959" t="str">
        <x:v>4-6 years</x:v>
      </x:c>
      <x:c r="J2959" t="str">
        <x:v>RENT</x:v>
      </x:c>
      <x:c r="K2959" t="str">
        <x:v>credit_card</x:v>
      </x:c>
      <x:c r="L2959" t="n">
        <x:v>0</x:v>
      </x:c>
      <x:c r="M2959" t="n">
        <x:v>0</x:v>
      </x:c>
      <x:c r="N2959" t="str">
        <x:v>Fully Paid</x:v>
      </x:c>
      <x:c r="O2959" t="str">
        <x:f>IF(D2959="","Unknown",IF(D2959&lt;25000,"&lt;$25k",IF(D2959&lt;50000,"$25k-$50k",IF(D2959&lt;75000,"$50k-$75k",IF(D2959&lt;100000,"$75k-$100k","$100k+")))))</x:f>
        <x:v>$75k-$100k</x:v>
      </x:c>
      <x:c r="P2959" t="str">
        <x:f>IF(E2959="","Unknown",IF(E2959&lt;10,"&lt;10",IF(E2959&lt;20,"10-&lt;20",IF(E2959&lt;25,"20-&lt;25",IF(E2959&lt;35,"25-&lt;35","35+")))))</x:f>
        <x:v>35+</x:v>
      </x:c>
    </x:row>
    <x:row r="2960">
      <x:c r="A2960" t="str">
        <x:v>SYN0002959</x:v>
      </x:c>
      <x:c r="B2960" s="12" t="n">
        <x:v>42535</x:v>
      </x:c>
      <x:c r="C2960" s="18" t="n">
        <x:v>22415</x:v>
      </x:c>
      <x:c r="D2960" s="18" t="n">
        <x:v>39679</x:v>
      </x:c>
      <x:c r="E2960" s="18" t="n">
        <x:v>17.45</x:v>
      </x:c>
      <x:c r="F2960" s="18" t="n">
        <x:v>7.73</x:v>
      </x:c>
      <x:c r="G2960" t="n">
        <x:v>36</x:v>
      </x:c>
      <x:c r="H2960" t="str">
        <x:v>B</x:v>
      </x:c>
      <x:c r="I2960" t="str">
        <x:v>4-6 years</x:v>
      </x:c>
      <x:c r="J2960" t="str">
        <x:v>MORTGAGE</x:v>
      </x:c>
      <x:c r="K2960" t="str">
        <x:v>debt_consolidation</x:v>
      </x:c>
      <x:c r="L2960" t="n">
        <x:v>0</x:v>
      </x:c>
      <x:c r="M2960" t="n">
        <x:v>0</x:v>
      </x:c>
      <x:c r="N2960" t="str">
        <x:v>Fully Paid</x:v>
      </x:c>
      <x:c r="O2960" t="str">
        <x:f>IF(D2960="","Unknown",IF(D2960&lt;25000,"&lt;$25k",IF(D2960&lt;50000,"$25k-$50k",IF(D2960&lt;75000,"$50k-$75k",IF(D2960&lt;100000,"$75k-$100k","$100k+")))))</x:f>
        <x:v>$25k-$50k</x:v>
      </x:c>
      <x:c r="P2960" t="str">
        <x:f>IF(E2960="","Unknown",IF(E2960&lt;10,"&lt;10",IF(E2960&lt;20,"10-&lt;20",IF(E2960&lt;25,"20-&lt;25",IF(E2960&lt;35,"25-&lt;35","35+")))))</x:f>
        <x:v>10-&lt;20</x:v>
      </x:c>
    </x:row>
    <x:row r="2961">
      <x:c r="A2961" t="str">
        <x:v>SYN0002960</x:v>
      </x:c>
      <x:c r="B2961" s="12" t="n">
        <x:v>42715</x:v>
      </x:c>
      <x:c r="C2961" s="18" t="n">
        <x:v>8838</x:v>
      </x:c>
      <x:c r="D2961" s="18" t="n">
        <x:v>103601</x:v>
      </x:c>
      <x:c r="E2961" s="18" t="n">
        <x:v>12.41</x:v>
      </x:c>
      <x:c r="F2961" s="18" t="n">
        <x:v>5.16</x:v>
      </x:c>
      <x:c r="G2961" t="n">
        <x:v>36</x:v>
      </x:c>
      <x:c r="H2961" t="str">
        <x:v>A</x:v>
      </x:c>
      <x:c r="I2961" t="str">
        <x:v>4-6 years</x:v>
      </x:c>
      <x:c r="J2961" t="str">
        <x:v>MORTGAGE</x:v>
      </x:c>
      <x:c r="K2961" t="str">
        <x:v>home_improvement</x:v>
      </x:c>
      <x:c r="L2961" t="n">
        <x:v>0</x:v>
      </x:c>
      <x:c r="M2961" t="n">
        <x:v>0</x:v>
      </x:c>
      <x:c r="N2961" t="str">
        <x:v>Fully Paid</x:v>
      </x:c>
      <x:c r="O2961" t="str">
        <x:f>IF(D2961="","Unknown",IF(D2961&lt;25000,"&lt;$25k",IF(D2961&lt;50000,"$25k-$50k",IF(D2961&lt;75000,"$50k-$75k",IF(D2961&lt;100000,"$75k-$100k","$100k+")))))</x:f>
        <x:v>$100k+</x:v>
      </x:c>
      <x:c r="P2961" t="str">
        <x:f>IF(E2961="","Unknown",IF(E2961&lt;10,"&lt;10",IF(E2961&lt;20,"10-&lt;20",IF(E2961&lt;25,"20-&lt;25",IF(E2961&lt;35,"25-&lt;35","35+")))))</x:f>
        <x:v>10-&lt;20</x:v>
      </x:c>
    </x:row>
    <x:row r="2962">
      <x:c r="A2962" t="str">
        <x:v>SYN0002961</x:v>
      </x:c>
      <x:c r="B2962" s="12" t="n">
        <x:v>42715</x:v>
      </x:c>
      <x:c r="C2962" s="18" t="n">
        <x:v>20487</x:v>
      </x:c>
      <x:c r="D2962" s="18" t="n">
        <x:v>36089</x:v>
      </x:c>
      <x:c r="E2962" s="18" t="n">
        <x:v>24.56</x:v>
      </x:c>
      <x:c r="F2962" s="18" t="n">
        <x:v>11.22</x:v>
      </x:c>
      <x:c r="G2962" t="n">
        <x:v>36</x:v>
      </x:c>
      <x:c r="H2962" t="str">
        <x:v>C</x:v>
      </x:c>
      <x:c r="I2962" t="str">
        <x:v>&lt;1 year</x:v>
      </x:c>
      <x:c r="J2962" t="str">
        <x:v>OTHER</x:v>
      </x:c>
      <x:c r="K2962" t="str">
        <x:v>credit_card</x:v>
      </x:c>
      <x:c r="L2962" t="n">
        <x:v>0</x:v>
      </x:c>
      <x:c r="M2962" t="n">
        <x:v>0</x:v>
      </x:c>
      <x:c r="N2962" t="str">
        <x:v>Fully Paid</x:v>
      </x:c>
      <x:c r="O2962" t="str">
        <x:f>IF(D2962="","Unknown",IF(D2962&lt;25000,"&lt;$25k",IF(D2962&lt;50000,"$25k-$50k",IF(D2962&lt;75000,"$50k-$75k",IF(D2962&lt;100000,"$75k-$100k","$100k+")))))</x:f>
        <x:v>$25k-$50k</x:v>
      </x:c>
      <x:c r="P2962" t="str">
        <x:f>IF(E2962="","Unknown",IF(E2962&lt;10,"&lt;10",IF(E2962&lt;20,"10-&lt;20",IF(E2962&lt;25,"20-&lt;25",IF(E2962&lt;35,"25-&lt;35","35+")))))</x:f>
        <x:v>20-&lt;25</x:v>
      </x:c>
    </x:row>
    <x:row r="2963">
      <x:c r="A2963" t="str">
        <x:v>SYN0002962</x:v>
      </x:c>
      <x:c r="B2963" s="12" t="n">
        <x:v>41425</x:v>
      </x:c>
      <x:c r="C2963" s="18" t="n">
        <x:v>19002</x:v>
      </x:c>
      <x:c r="D2963" s="18" t="n">
        <x:v>60499</x:v>
      </x:c>
      <x:c r="E2963" s="18" t="n">
        <x:v>11.21</x:v>
      </x:c>
      <x:c r="F2963" s="18" t="n">
        <x:v>10.28</x:v>
      </x:c>
      <x:c r="G2963" t="n">
        <x:v>36</x:v>
      </x:c>
      <x:c r="H2963" t="str">
        <x:v>C</x:v>
      </x:c>
      <x:c r="I2963" t="str">
        <x:v>&lt;1 year</x:v>
      </x:c>
      <x:c r="J2963" t="str">
        <x:v>RENT</x:v>
      </x:c>
      <x:c r="K2963" t="str">
        <x:v>credit_card</x:v>
      </x:c>
      <x:c r="L2963" t="n">
        <x:v>0</x:v>
      </x:c>
      <x:c r="M2963" t="n">
        <x:v>0</x:v>
      </x:c>
      <x:c r="N2963" t="str">
        <x:v>Fully Paid</x:v>
      </x:c>
      <x:c r="O2963" t="str">
        <x:f>IF(D2963="","Unknown",IF(D2963&lt;25000,"&lt;$25k",IF(D2963&lt;50000,"$25k-$50k",IF(D2963&lt;75000,"$50k-$75k",IF(D2963&lt;100000,"$75k-$100k","$100k+")))))</x:f>
        <x:v>$50k-$75k</x:v>
      </x:c>
      <x:c r="P2963" t="str">
        <x:f>IF(E2963="","Unknown",IF(E2963&lt;10,"&lt;10",IF(E2963&lt;20,"10-&lt;20",IF(E2963&lt;25,"20-&lt;25",IF(E2963&lt;35,"25-&lt;35","35+")))))</x:f>
        <x:v>10-&lt;20</x:v>
      </x:c>
    </x:row>
    <x:row r="2964">
      <x:c r="A2964" t="str">
        <x:v>SYN0002963</x:v>
      </x:c>
      <x:c r="B2964" s="12" t="n">
        <x:v>41845</x:v>
      </x:c>
      <x:c r="C2964" s="18" t="n">
        <x:v>12853</x:v>
      </x:c>
      <x:c r="D2964" s="18" t="n">
        <x:v>43022</x:v>
      </x:c>
      <x:c r="E2964" s="18" t="n">
        <x:v>25.77</x:v>
      </x:c>
      <x:c r="F2964" s="18" t="n">
        <x:v>17.09</x:v>
      </x:c>
      <x:c r="G2964" t="n">
        <x:v>36</x:v>
      </x:c>
      <x:c r="H2964" t="str">
        <x:v>E</x:v>
      </x:c>
      <x:c r="I2964" t="str">
        <x:v>10+ years</x:v>
      </x:c>
      <x:c r="J2964" t="str">
        <x:v>RENT</x:v>
      </x:c>
      <x:c r="K2964" t="str">
        <x:v>debt_consolidation</x:v>
      </x:c>
      <x:c r="L2964" t="n">
        <x:v>0</x:v>
      </x:c>
      <x:c r="M2964" t="n">
        <x:v>1</x:v>
      </x:c>
      <x:c r="N2964" t="str">
        <x:v>Charged Off</x:v>
      </x:c>
      <x:c r="O2964" t="str">
        <x:f>IF(D2964="","Unknown",IF(D2964&lt;25000,"&lt;$25k",IF(D2964&lt;50000,"$25k-$50k",IF(D2964&lt;75000,"$50k-$75k",IF(D2964&lt;100000,"$75k-$100k","$100k+")))))</x:f>
        <x:v>$25k-$50k</x:v>
      </x:c>
      <x:c r="P2964" t="str">
        <x:f>IF(E2964="","Unknown",IF(E2964&lt;10,"&lt;10",IF(E2964&lt;20,"10-&lt;20",IF(E2964&lt;25,"20-&lt;25",IF(E2964&lt;35,"25-&lt;35","35+")))))</x:f>
        <x:v>25-&lt;35</x:v>
      </x:c>
    </x:row>
    <x:row r="2965">
      <x:c r="A2965" t="str">
        <x:v>SYN0002964</x:v>
      </x:c>
      <x:c r="B2965" s="12" t="n">
        <x:v>41725</x:v>
      </x:c>
      <x:c r="C2965" s="18" t="n">
        <x:v>9176</x:v>
      </x:c>
      <x:c r="D2965" s="18" t="n">
        <x:v>37232</x:v>
      </x:c>
      <x:c r="E2965" s="18" t="n">
        <x:v>28.13</x:v>
      </x:c>
      <x:c r="F2965" s="18" t="n">
        <x:v>16.88</x:v>
      </x:c>
      <x:c r="G2965" t="n">
        <x:v>36</x:v>
      </x:c>
      <x:c r="H2965" t="str">
        <x:v>E</x:v>
      </x:c>
      <x:c r="I2965" t="str">
        <x:v>7-9 years</x:v>
      </x:c>
      <x:c r="J2965" t="str">
        <x:v>MORTGAGE</x:v>
      </x:c>
      <x:c r="K2965" t="str">
        <x:v>debt_consolidation</x:v>
      </x:c>
      <x:c r="L2965" t="n">
        <x:v>0</x:v>
      </x:c>
      <x:c r="M2965" t="n">
        <x:v>0</x:v>
      </x:c>
      <x:c r="N2965" t="str">
        <x:v>Fully Paid</x:v>
      </x:c>
      <x:c r="O2965" t="str">
        <x:f>IF(D2965="","Unknown",IF(D2965&lt;25000,"&lt;$25k",IF(D2965&lt;50000,"$25k-$50k",IF(D2965&lt;75000,"$50k-$75k",IF(D2965&lt;100000,"$75k-$100k","$100k+")))))</x:f>
        <x:v>$25k-$50k</x:v>
      </x:c>
      <x:c r="P2965" t="str">
        <x:f>IF(E2965="","Unknown",IF(E2965&lt;10,"&lt;10",IF(E2965&lt;20,"10-&lt;20",IF(E2965&lt;25,"20-&lt;25",IF(E2965&lt;35,"25-&lt;35","35+")))))</x:f>
        <x:v>25-&lt;35</x:v>
      </x:c>
    </x:row>
    <x:row r="2966">
      <x:c r="A2966" t="str">
        <x:v>SYN0002965</x:v>
      </x:c>
      <x:c r="B2966" s="12" t="n">
        <x:v>42985</x:v>
      </x:c>
      <x:c r="C2966" s="18" t="n">
        <x:v>14880</x:v>
      </x:c>
      <x:c r="D2966" s="18" t="n">
        <x:v>114038</x:v>
      </x:c>
      <x:c r="E2966" s="18" t="n">
        <x:v>21.01</x:v>
      </x:c>
      <x:c r="F2966" s="18" t="n">
        <x:v>14.22</x:v>
      </x:c>
      <x:c r="G2966" t="n">
        <x:v>60</x:v>
      </x:c>
      <x:c r="H2966" t="str">
        <x:v>D</x:v>
      </x:c>
      <x:c r="I2966" t="str">
        <x:v>10+ years</x:v>
      </x:c>
      <x:c r="J2966" t="str">
        <x:v>OWN</x:v>
      </x:c>
      <x:c r="K2966" t="str">
        <x:v>debt_consolidation</x:v>
      </x:c>
      <x:c r="L2966" t="n">
        <x:v>0</x:v>
      </x:c>
      <x:c r="M2966" t="n">
        <x:v>0</x:v>
      </x:c>
      <x:c r="N2966" t="str">
        <x:v>Fully Paid</x:v>
      </x:c>
      <x:c r="O2966" t="str">
        <x:f>IF(D2966="","Unknown",IF(D2966&lt;25000,"&lt;$25k",IF(D2966&lt;50000,"$25k-$50k",IF(D2966&lt;75000,"$50k-$75k",IF(D2966&lt;100000,"$75k-$100k","$100k+")))))</x:f>
        <x:v>$100k+</x:v>
      </x:c>
      <x:c r="P2966" t="str">
        <x:f>IF(E2966="","Unknown",IF(E2966&lt;10,"&lt;10",IF(E2966&lt;20,"10-&lt;20",IF(E2966&lt;25,"20-&lt;25",IF(E2966&lt;35,"25-&lt;35","35+")))))</x:f>
        <x:v>20-&lt;25</x:v>
      </x:c>
    </x:row>
    <x:row r="2967">
      <x:c r="A2967" t="str">
        <x:v>SYN0002966</x:v>
      </x:c>
      <x:c r="B2967" s="12" t="n">
        <x:v>43345</x:v>
      </x:c>
      <x:c r="C2967" s="18" t="n">
        <x:v>9736</x:v>
      </x:c>
      <x:c r="D2967" s="18" t="n">
        <x:v>102115</x:v>
      </x:c>
      <x:c r="E2967" s="18" t="n">
        <x:v>0</x:v>
      </x:c>
      <x:c r="F2967" s="18" t="n">
        <x:v>9.18</x:v>
      </x:c>
      <x:c r="G2967" t="n">
        <x:v>36</x:v>
      </x:c>
      <x:c r="H2967" t="str">
        <x:v>C</x:v>
      </x:c>
      <x:c r="I2967" t="str">
        <x:v>7-9 years</x:v>
      </x:c>
      <x:c r="J2967" t="str">
        <x:v>MORTGAGE</x:v>
      </x:c>
      <x:c r="K2967" t="str">
        <x:v>debt_consolidation</x:v>
      </x:c>
      <x:c r="L2967" t="n">
        <x:v>2</x:v>
      </x:c>
      <x:c r="M2967" t="n">
        <x:v>0</x:v>
      </x:c>
      <x:c r="N2967" t="str">
        <x:v>Fully Paid</x:v>
      </x:c>
      <x:c r="O2967" t="str">
        <x:f>IF(D2967="","Unknown",IF(D2967&lt;25000,"&lt;$25k",IF(D2967&lt;50000,"$25k-$50k",IF(D2967&lt;75000,"$50k-$75k",IF(D2967&lt;100000,"$75k-$100k","$100k+")))))</x:f>
        <x:v>$100k+</x:v>
      </x:c>
      <x:c r="P2967" t="str">
        <x:f>IF(E2967="","Unknown",IF(E2967&lt;10,"&lt;10",IF(E2967&lt;20,"10-&lt;20",IF(E2967&lt;25,"20-&lt;25",IF(E2967&lt;35,"25-&lt;35","35+")))))</x:f>
        <x:v>Unknown</x:v>
      </x:c>
    </x:row>
    <x:row r="2968">
      <x:c r="A2968" t="str">
        <x:v>SYN0002967</x:v>
      </x:c>
      <x:c r="B2968" s="12" t="n">
        <x:v>42475</x:v>
      </x:c>
      <x:c r="C2968" s="18" t="n">
        <x:v>13729</x:v>
      </x:c>
      <x:c r="D2968" s="18" t="n">
        <x:v>29255</x:v>
      </x:c>
      <x:c r="E2968" s="18" t="n">
        <x:v>11.59</x:v>
      </x:c>
      <x:c r="F2968" s="18" t="n">
        <x:v>12.14</x:v>
      </x:c>
      <x:c r="G2968" t="n">
        <x:v>60</x:v>
      </x:c>
      <x:c r="H2968" t="str">
        <x:v>D</x:v>
      </x:c>
      <x:c r="I2968" t="str">
        <x:v>10+ years</x:v>
      </x:c>
      <x:c r="J2968" t="str">
        <x:v>MORTGAGE</x:v>
      </x:c>
      <x:c r="K2968" t="str">
        <x:v>debt_consolidation</x:v>
      </x:c>
      <x:c r="L2968" t="n">
        <x:v>0</x:v>
      </x:c>
      <x:c r="M2968" t="n">
        <x:v>0</x:v>
      </x:c>
      <x:c r="N2968" t="str">
        <x:v>Fully Paid</x:v>
      </x:c>
      <x:c r="O2968" t="str">
        <x:f>IF(D2968="","Unknown",IF(D2968&lt;25000,"&lt;$25k",IF(D2968&lt;50000,"$25k-$50k",IF(D2968&lt;75000,"$50k-$75k",IF(D2968&lt;100000,"$75k-$100k","$100k+")))))</x:f>
        <x:v>$25k-$50k</x:v>
      </x:c>
      <x:c r="P2968" t="str">
        <x:f>IF(E2968="","Unknown",IF(E2968&lt;10,"&lt;10",IF(E2968&lt;20,"10-&lt;20",IF(E2968&lt;25,"20-&lt;25",IF(E2968&lt;35,"25-&lt;35","35+")))))</x:f>
        <x:v>10-&lt;20</x:v>
      </x:c>
    </x:row>
    <x:row r="2969">
      <x:c r="A2969" t="str">
        <x:v>SYN0002968</x:v>
      </x:c>
      <x:c r="B2969" s="12" t="n">
        <x:v>41935</x:v>
      </x:c>
      <x:c r="C2969" s="18" t="n">
        <x:v>17576</x:v>
      </x:c>
      <x:c r="D2969" s="18" t="n">
        <x:v>46084</x:v>
      </x:c>
      <x:c r="E2969" s="18" t="n">
        <x:v>23.19</x:v>
      </x:c>
      <x:c r="F2969" s="18" t="n">
        <x:v>19</x:v>
      </x:c>
      <x:c r="G2969" t="n">
        <x:v>60</x:v>
      </x:c>
      <x:c r="H2969" t="str">
        <x:v>E</x:v>
      </x:c>
      <x:c r="I2969" t="str">
        <x:v>10+ years</x:v>
      </x:c>
      <x:c r="J2969" t="str">
        <x:v>OWN</x:v>
      </x:c>
      <x:c r="K2969" t="str">
        <x:v>home_improvement</x:v>
      </x:c>
      <x:c r="L2969" t="n">
        <x:v>1</x:v>
      </x:c>
      <x:c r="M2969" t="n">
        <x:v>0</x:v>
      </x:c>
      <x:c r="N2969" t="str">
        <x:v>Fully Paid</x:v>
      </x:c>
      <x:c r="O2969" t="str">
        <x:f>IF(D2969="","Unknown",IF(D2969&lt;25000,"&lt;$25k",IF(D2969&lt;50000,"$25k-$50k",IF(D2969&lt;75000,"$50k-$75k",IF(D2969&lt;100000,"$75k-$100k","$100k+")))))</x:f>
        <x:v>$25k-$50k</x:v>
      </x:c>
      <x:c r="P2969" t="str">
        <x:f>IF(E2969="","Unknown",IF(E2969&lt;10,"&lt;10",IF(E2969&lt;20,"10-&lt;20",IF(E2969&lt;25,"20-&lt;25",IF(E2969&lt;35,"25-&lt;35","35+")))))</x:f>
        <x:v>20-&lt;25</x:v>
      </x:c>
    </x:row>
    <x:row r="2970">
      <x:c r="A2970" t="str">
        <x:v>SYN0002969</x:v>
      </x:c>
      <x:c r="B2970" s="12" t="n">
        <x:v>43345</x:v>
      </x:c>
      <x:c r="C2970" s="18" t="n">
        <x:v>4843</x:v>
      </x:c>
      <x:c r="D2970" s="18" t="n">
        <x:v>60911</x:v>
      </x:c>
      <x:c r="E2970" s="18" t="n">
        <x:v>22.43</x:v>
      </x:c>
      <x:c r="F2970" s="18" t="n">
        <x:v>26.03</x:v>
      </x:c>
      <x:c r="G2970" t="n">
        <x:v>36</x:v>
      </x:c>
      <x:c r="H2970" t="str">
        <x:v>G</x:v>
      </x:c>
      <x:c r="I2970" t="str">
        <x:v>1-3 years</x:v>
      </x:c>
      <x:c r="J2970" t="str">
        <x:v>RENT</x:v>
      </x:c>
      <x:c r="K2970" t="str">
        <x:v>major_purchase</x:v>
      </x:c>
      <x:c r="L2970" t="n">
        <x:v>0</x:v>
      </x:c>
      <x:c r="M2970" t="n">
        <x:v>0</x:v>
      </x:c>
      <x:c r="N2970" t="str">
        <x:v>Fully Paid</x:v>
      </x:c>
      <x:c r="O2970" t="str">
        <x:f>IF(D2970="","Unknown",IF(D2970&lt;25000,"&lt;$25k",IF(D2970&lt;50000,"$25k-$50k",IF(D2970&lt;75000,"$50k-$75k",IF(D2970&lt;100000,"$75k-$100k","$100k+")))))</x:f>
        <x:v>$50k-$75k</x:v>
      </x:c>
      <x:c r="P2970" t="str">
        <x:f>IF(E2970="","Unknown",IF(E2970&lt;10,"&lt;10",IF(E2970&lt;20,"10-&lt;20",IF(E2970&lt;25,"20-&lt;25",IF(E2970&lt;35,"25-&lt;35","35+")))))</x:f>
        <x:v>20-&lt;25</x:v>
      </x:c>
    </x:row>
    <x:row r="2971">
      <x:c r="A2971" t="str">
        <x:v>SYN0002970</x:v>
      </x:c>
      <x:c r="B2971" s="12" t="n">
        <x:v>41515</x:v>
      </x:c>
      <x:c r="C2971" s="18" t="n">
        <x:v>14668</x:v>
      </x:c>
      <x:c r="D2971" s="18" t="n">
        <x:v>52206</x:v>
      </x:c>
      <x:c r="E2971" s="18" t="n">
        <x:v>17.73</x:v>
      </x:c>
      <x:c r="F2971" s="18" t="n">
        <x:v>8.79</x:v>
      </x:c>
      <x:c r="G2971" t="n">
        <x:v>36</x:v>
      </x:c>
      <x:c r="H2971" t="str">
        <x:v>B</x:v>
      </x:c>
      <x:c r="I2971" t="str">
        <x:v>4-6 years</x:v>
      </x:c>
      <x:c r="J2971" t="str">
        <x:v>MORTGAGE</x:v>
      </x:c>
      <x:c r="K2971" t="str">
        <x:v>home_improvement</x:v>
      </x:c>
      <x:c r="L2971" t="n">
        <x:v>0</x:v>
      </x:c>
      <x:c r="M2971" t="n">
        <x:v>0</x:v>
      </x:c>
      <x:c r="N2971" t="str">
        <x:v>Fully Paid</x:v>
      </x:c>
      <x:c r="O2971" t="str">
        <x:f>IF(D2971="","Unknown",IF(D2971&lt;25000,"&lt;$25k",IF(D2971&lt;50000,"$25k-$50k",IF(D2971&lt;75000,"$50k-$75k",IF(D2971&lt;100000,"$75k-$100k","$100k+")))))</x:f>
        <x:v>$50k-$75k</x:v>
      </x:c>
      <x:c r="P2971" t="str">
        <x:f>IF(E2971="","Unknown",IF(E2971&lt;10,"&lt;10",IF(E2971&lt;20,"10-&lt;20",IF(E2971&lt;25,"20-&lt;25",IF(E2971&lt;35,"25-&lt;35","35+")))))</x:f>
        <x:v>10-&lt;20</x:v>
      </x:c>
    </x:row>
    <x:row r="2972">
      <x:c r="A2972" t="str">
        <x:v>SYN0002971</x:v>
      </x:c>
      <x:c r="B2972" s="12" t="n">
        <x:v>43195</x:v>
      </x:c>
      <x:c r="C2972" s="18" t="n">
        <x:v>12488</x:v>
      </x:c>
      <x:c r="D2972" s="18" t="n">
        <x:v>69207</x:v>
      </x:c>
      <x:c r="E2972" s="18" t="n">
        <x:v>24.58</x:v>
      </x:c>
      <x:c r="F2972" s="18" t="n">
        <x:v>10.2</x:v>
      </x:c>
      <x:c r="G2972" t="n">
        <x:v>36</x:v>
      </x:c>
      <x:c r="H2972" t="str">
        <x:v>B</x:v>
      </x:c>
      <x:c r="I2972" t="str">
        <x:v>10+ years</x:v>
      </x:c>
      <x:c r="J2972" t="str">
        <x:v>MORTGAGE</x:v>
      </x:c>
      <x:c r="K2972" t="str">
        <x:v>other</x:v>
      </x:c>
      <x:c r="L2972" t="n">
        <x:v>0</x:v>
      </x:c>
      <x:c r="M2972" t="n">
        <x:v>0</x:v>
      </x:c>
      <x:c r="N2972" t="str">
        <x:v>Fully Paid</x:v>
      </x:c>
      <x:c r="O2972" t="str">
        <x:f>IF(D2972="","Unknown",IF(D2972&lt;25000,"&lt;$25k",IF(D2972&lt;50000,"$25k-$50k",IF(D2972&lt;75000,"$50k-$75k",IF(D2972&lt;100000,"$75k-$100k","$100k+")))))</x:f>
        <x:v>$50k-$75k</x:v>
      </x:c>
      <x:c r="P2972" t="str">
        <x:f>IF(E2972="","Unknown",IF(E2972&lt;10,"&lt;10",IF(E2972&lt;20,"10-&lt;20",IF(E2972&lt;25,"20-&lt;25",IF(E2972&lt;35,"25-&lt;35","35+")))))</x:f>
        <x:v>20-&lt;25</x:v>
      </x:c>
    </x:row>
    <x:row r="2973">
      <x:c r="A2973" t="str">
        <x:v>SYN0002972</x:v>
      </x:c>
      <x:c r="B2973" s="12" t="n">
        <x:v>41635</x:v>
      </x:c>
      <x:c r="C2973" s="18" t="n">
        <x:v>6054</x:v>
      </x:c>
      <x:c r="D2973" s="18" t="n">
        <x:v>44410</x:v>
      </x:c>
      <x:c r="E2973" s="18" t="n">
        <x:v>17.39</x:v>
      </x:c>
      <x:c r="F2973" s="18" t="n">
        <x:v>21.01</x:v>
      </x:c>
      <x:c r="G2973" t="n">
        <x:v>36</x:v>
      </x:c>
      <x:c r="H2973" t="str">
        <x:v>F</x:v>
      </x:c>
      <x:c r="I2973" t="str">
        <x:v>7-9 years</x:v>
      </x:c>
      <x:c r="J2973" t="str">
        <x:v>RENT</x:v>
      </x:c>
      <x:c r="K2973" t="str">
        <x:v>credit_card</x:v>
      </x:c>
      <x:c r="L2973" t="n">
        <x:v>1</x:v>
      </x:c>
      <x:c r="M2973" t="n">
        <x:v>0</x:v>
      </x:c>
      <x:c r="N2973" t="str">
        <x:v>Fully Paid</x:v>
      </x:c>
      <x:c r="O2973" t="str">
        <x:f>IF(D2973="","Unknown",IF(D2973&lt;25000,"&lt;$25k",IF(D2973&lt;50000,"$25k-$50k",IF(D2973&lt;75000,"$50k-$75k",IF(D2973&lt;100000,"$75k-$100k","$100k+")))))</x:f>
        <x:v>$25k-$50k</x:v>
      </x:c>
      <x:c r="P2973" t="str">
        <x:f>IF(E2973="","Unknown",IF(E2973&lt;10,"&lt;10",IF(E2973&lt;20,"10-&lt;20",IF(E2973&lt;25,"20-&lt;25",IF(E2973&lt;35,"25-&lt;35","35+")))))</x:f>
        <x:v>10-&lt;20</x:v>
      </x:c>
    </x:row>
    <x:row r="2974">
      <x:c r="A2974" t="str">
        <x:v>SYN0002973</x:v>
      </x:c>
      <x:c r="B2974" s="12" t="n">
        <x:v>41275</x:v>
      </x:c>
      <x:c r="C2974" s="18" t="n">
        <x:v>10736</x:v>
      </x:c>
      <x:c r="D2974" s="18" t="n">
        <x:v>40232</x:v>
      </x:c>
      <x:c r="E2974" s="18" t="n">
        <x:v>27.95</x:v>
      </x:c>
      <x:c r="F2974" s="18" t="n">
        <x:v>23</x:v>
      </x:c>
      <x:c r="G2974" t="n">
        <x:v>36</x:v>
      </x:c>
      <x:c r="H2974" t="str">
        <x:v>F</x:v>
      </x:c>
      <x:c r="I2974" t="str">
        <x:v>1-3 years</x:v>
      </x:c>
      <x:c r="J2974" t="str">
        <x:v>RENT</x:v>
      </x:c>
      <x:c r="K2974" t="str">
        <x:v>debt_consolidation</x:v>
      </x:c>
      <x:c r="L2974" t="n">
        <x:v>1</x:v>
      </x:c>
      <x:c r="M2974" t="n">
        <x:v>0</x:v>
      </x:c>
      <x:c r="N2974" t="str">
        <x:v>Fully Paid</x:v>
      </x:c>
      <x:c r="O2974" t="str">
        <x:f>IF(D2974="","Unknown",IF(D2974&lt;25000,"&lt;$25k",IF(D2974&lt;50000,"$25k-$50k",IF(D2974&lt;75000,"$50k-$75k",IF(D2974&lt;100000,"$75k-$100k","$100k+")))))</x:f>
        <x:v>$25k-$50k</x:v>
      </x:c>
      <x:c r="P2974" t="str">
        <x:f>IF(E2974="","Unknown",IF(E2974&lt;10,"&lt;10",IF(E2974&lt;20,"10-&lt;20",IF(E2974&lt;25,"20-&lt;25",IF(E2974&lt;35,"25-&lt;35","35+")))))</x:f>
        <x:v>25-&lt;35</x:v>
      </x:c>
    </x:row>
    <x:row r="2975">
      <x:c r="A2975" t="str">
        <x:v>SYN0002974</x:v>
      </x:c>
      <x:c r="B2975" s="12" t="n">
        <x:v>43165</x:v>
      </x:c>
      <x:c r="C2975" s="18" t="n">
        <x:v>25694</x:v>
      </x:c>
      <x:c r="D2975" s="18" t="n">
        <x:v>94585</x:v>
      </x:c>
      <x:c r="E2975" s="18" t="n">
        <x:v>9.02</x:v>
      </x:c>
      <x:c r="F2975" s="18" t="n">
        <x:v>13.11</x:v>
      </x:c>
      <x:c r="G2975" t="n">
        <x:v>60</x:v>
      </x:c>
      <x:c r="H2975" t="str">
        <x:v>D</x:v>
      </x:c>
      <x:c r="I2975" t="str">
        <x:v>4-6 years</x:v>
      </x:c>
      <x:c r="J2975" t="str">
        <x:v>MORTGAGE</x:v>
      </x:c>
      <x:c r="K2975" t="str">
        <x:v>debt_consolidation</x:v>
      </x:c>
      <x:c r="L2975" t="n">
        <x:v>3</x:v>
      </x:c>
      <x:c r="M2975" t="n">
        <x:v>0</x:v>
      </x:c>
      <x:c r="N2975" t="str">
        <x:v>Fully Paid</x:v>
      </x:c>
      <x:c r="O2975" t="str">
        <x:f>IF(D2975="","Unknown",IF(D2975&lt;25000,"&lt;$25k",IF(D2975&lt;50000,"$25k-$50k",IF(D2975&lt;75000,"$50k-$75k",IF(D2975&lt;100000,"$75k-$100k","$100k+")))))</x:f>
        <x:v>$75k-$100k</x:v>
      </x:c>
      <x:c r="P2975" t="str">
        <x:f>IF(E2975="","Unknown",IF(E2975&lt;10,"&lt;10",IF(E2975&lt;20,"10-&lt;20",IF(E2975&lt;25,"20-&lt;25",IF(E2975&lt;35,"25-&lt;35","35+")))))</x:f>
        <x:v>&lt;10</x:v>
      </x:c>
    </x:row>
    <x:row r="2976">
      <x:c r="A2976" t="str">
        <x:v>SYN0002975</x:v>
      </x:c>
      <x:c r="B2976" s="12" t="n">
        <x:v>43165</x:v>
      </x:c>
      <x:c r="C2976" s="18" t="n">
        <x:v>21024</x:v>
      </x:c>
      <x:c r="D2976" s="18" t="n">
        <x:v>38543</x:v>
      </x:c>
      <x:c r="E2976" s="18" t="n">
        <x:v>1.49</x:v>
      </x:c>
      <x:c r="F2976" s="18" t="n">
        <x:v>7.99</x:v>
      </x:c>
      <x:c r="G2976" t="n">
        <x:v>36</x:v>
      </x:c>
      <x:c r="H2976" t="str">
        <x:v>B</x:v>
      </x:c>
      <x:c r="I2976" t="str">
        <x:v>10+ years</x:v>
      </x:c>
      <x:c r="J2976" t="str">
        <x:v>OWN</x:v>
      </x:c>
      <x:c r="K2976" t="str">
        <x:v>debt_consolidation</x:v>
      </x:c>
      <x:c r="L2976" t="n">
        <x:v>1</x:v>
      </x:c>
      <x:c r="M2976" t="n">
        <x:v>1</x:v>
      </x:c>
      <x:c r="N2976" t="str">
        <x:v>Charged Off</x:v>
      </x:c>
      <x:c r="O2976" t="str">
        <x:f>IF(D2976="","Unknown",IF(D2976&lt;25000,"&lt;$25k",IF(D2976&lt;50000,"$25k-$50k",IF(D2976&lt;75000,"$50k-$75k",IF(D2976&lt;100000,"$75k-$100k","$100k+")))))</x:f>
        <x:v>$25k-$50k</x:v>
      </x:c>
      <x:c r="P2976" t="str">
        <x:f>IF(E2976="","Unknown",IF(E2976&lt;10,"&lt;10",IF(E2976&lt;20,"10-&lt;20",IF(E2976&lt;25,"20-&lt;25",IF(E2976&lt;35,"25-&lt;35","35+")))))</x:f>
        <x:v>&lt;10</x:v>
      </x:c>
    </x:row>
    <x:row r="2977">
      <x:c r="A2977" t="str">
        <x:v>SYN0002976</x:v>
      </x:c>
      <x:c r="B2977" s="12" t="n">
        <x:v>42385</x:v>
      </x:c>
      <x:c r="C2977" s="18" t="n">
        <x:v>40000</x:v>
      </x:c>
      <x:c r="D2977" s="18" t="n">
        <x:v>42069</x:v>
      </x:c>
      <x:c r="E2977" s="18" t="n">
        <x:v>13.2</x:v>
      </x:c>
      <x:c r="F2977" s="18" t="n">
        <x:v>6.42</x:v>
      </x:c>
      <x:c r="G2977" t="n">
        <x:v>36</x:v>
      </x:c>
      <x:c r="H2977" t="str">
        <x:v>A</x:v>
      </x:c>
      <x:c r="I2977" t="str">
        <x:v>10+ years</x:v>
      </x:c>
      <x:c r="J2977" t="str">
        <x:v>MORTGAGE</x:v>
      </x:c>
      <x:c r="K2977" t="str">
        <x:v>debt_consolidation</x:v>
      </x:c>
      <x:c r="L2977" t="n">
        <x:v>0</x:v>
      </x:c>
      <x:c r="M2977" t="n">
        <x:v>0</x:v>
      </x:c>
      <x:c r="N2977" t="str">
        <x:v>Fully Paid</x:v>
      </x:c>
      <x:c r="O2977" t="str">
        <x:f>IF(D2977="","Unknown",IF(D2977&lt;25000,"&lt;$25k",IF(D2977&lt;50000,"$25k-$50k",IF(D2977&lt;75000,"$50k-$75k",IF(D2977&lt;100000,"$75k-$100k","$100k+")))))</x:f>
        <x:v>$25k-$50k</x:v>
      </x:c>
      <x:c r="P2977" t="str">
        <x:f>IF(E2977="","Unknown",IF(E2977&lt;10,"&lt;10",IF(E2977&lt;20,"10-&lt;20",IF(E2977&lt;25,"20-&lt;25",IF(E2977&lt;35,"25-&lt;35","35+")))))</x:f>
        <x:v>10-&lt;20</x:v>
      </x:c>
    </x:row>
    <x:row r="2978">
      <x:c r="A2978" t="str">
        <x:v>SYN0002977</x:v>
      </x:c>
      <x:c r="B2978" s="12" t="n">
        <x:v>42715</x:v>
      </x:c>
      <x:c r="C2978" s="18" t="n">
        <x:v>20259</x:v>
      </x:c>
      <x:c r="D2978" s="18" t="n">
        <x:v>23786</x:v>
      </x:c>
      <x:c r="E2978" s="18" t="n">
        <x:v>31.57</x:v>
      </x:c>
      <x:c r="F2978" s="18" t="n">
        <x:v>10.04</x:v>
      </x:c>
      <x:c r="G2978" t="n">
        <x:v>36</x:v>
      </x:c>
      <x:c r="H2978" t="str">
        <x:v>B</x:v>
      </x:c>
      <x:c r="I2978" t="str">
        <x:v>10+ years</x:v>
      </x:c>
      <x:c r="J2978" t="str">
        <x:v>MORTGAGE</x:v>
      </x:c>
      <x:c r="K2978" t="str">
        <x:v>debt_consolidation</x:v>
      </x:c>
      <x:c r="L2978" t="n">
        <x:v>0</x:v>
      </x:c>
      <x:c r="M2978" t="n">
        <x:v>0</x:v>
      </x:c>
      <x:c r="N2978" t="str">
        <x:v>Fully Paid</x:v>
      </x:c>
      <x:c r="O2978" t="str">
        <x:f>IF(D2978="","Unknown",IF(D2978&lt;25000,"&lt;$25k",IF(D2978&lt;50000,"$25k-$50k",IF(D2978&lt;75000,"$50k-$75k",IF(D2978&lt;100000,"$75k-$100k","$100k+")))))</x:f>
        <x:v>&lt;$25k</x:v>
      </x:c>
      <x:c r="P2978" t="str">
        <x:f>IF(E2978="","Unknown",IF(E2978&lt;10,"&lt;10",IF(E2978&lt;20,"10-&lt;20",IF(E2978&lt;25,"20-&lt;25",IF(E2978&lt;35,"25-&lt;35","35+")))))</x:f>
        <x:v>25-&lt;35</x:v>
      </x:c>
    </x:row>
    <x:row r="2979">
      <x:c r="A2979" t="str">
        <x:v>SYN0002978</x:v>
      </x:c>
      <x:c r="B2979" s="12" t="n">
        <x:v>42235</x:v>
      </x:c>
      <x:c r="C2979" s="18" t="n">
        <x:v>6274</x:v>
      </x:c>
      <x:c r="D2979" s="18" t="n">
        <x:v>31105</x:v>
      </x:c>
      <x:c r="E2979" s="18" t="n">
        <x:v>29.73</x:v>
      </x:c>
      <x:c r="F2979" s="18" t="n">
        <x:v>9.96</x:v>
      </x:c>
      <x:c r="G2979" t="n">
        <x:v>60</x:v>
      </x:c>
      <x:c r="H2979" t="str">
        <x:v>C</x:v>
      </x:c>
      <x:c r="I2979" t="str">
        <x:v>10+ years</x:v>
      </x:c>
      <x:c r="J2979" t="str">
        <x:v>OTHER</x:v>
      </x:c>
      <x:c r="K2979" t="str">
        <x:v>debt_consolidation</x:v>
      </x:c>
      <x:c r="L2979" t="n">
        <x:v>0</x:v>
      </x:c>
      <x:c r="M2979" t="n">
        <x:v>0</x:v>
      </x:c>
      <x:c r="N2979" t="str">
        <x:v>Fully Paid</x:v>
      </x:c>
      <x:c r="O2979" t="str">
        <x:f>IF(D2979="","Unknown",IF(D2979&lt;25000,"&lt;$25k",IF(D2979&lt;50000,"$25k-$50k",IF(D2979&lt;75000,"$50k-$75k",IF(D2979&lt;100000,"$75k-$100k","$100k+")))))</x:f>
        <x:v>$25k-$50k</x:v>
      </x:c>
      <x:c r="P2979" t="str">
        <x:f>IF(E2979="","Unknown",IF(E2979&lt;10,"&lt;10",IF(E2979&lt;20,"10-&lt;20",IF(E2979&lt;25,"20-&lt;25",IF(E2979&lt;35,"25-&lt;35","35+")))))</x:f>
        <x:v>25-&lt;35</x:v>
      </x:c>
    </x:row>
    <x:row r="2980">
      <x:c r="A2980" t="str">
        <x:v>SYN0002979</x:v>
      </x:c>
      <x:c r="B2980" s="12" t="n">
        <x:v>42985</x:v>
      </x:c>
      <x:c r="C2980" s="18" t="n">
        <x:v>8881</x:v>
      </x:c>
      <x:c r="D2980" s="18" t="n">
        <x:v>78972</x:v>
      </x:c>
      <x:c r="E2980" s="18" t="n">
        <x:v>41.14</x:v>
      </x:c>
      <x:c r="F2980" s="18" t="n">
        <x:v>17.62</x:v>
      </x:c>
      <x:c r="G2980" t="n">
        <x:v>36</x:v>
      </x:c>
      <x:c r="H2980" t="str">
        <x:v>E</x:v>
      </x:c>
      <x:c r="I2980" t="str">
        <x:v>&lt;1 year</x:v>
      </x:c>
      <x:c r="J2980" t="str">
        <x:v>MORTGAGE</x:v>
      </x:c>
      <x:c r="K2980" t="str">
        <x:v>debt_consolidation</x:v>
      </x:c>
      <x:c r="L2980" t="n">
        <x:v>0</x:v>
      </x:c>
      <x:c r="M2980" t="n">
        <x:v>0</x:v>
      </x:c>
      <x:c r="N2980" t="str">
        <x:v>Fully Paid</x:v>
      </x:c>
      <x:c r="O2980" t="str">
        <x:f>IF(D2980="","Unknown",IF(D2980&lt;25000,"&lt;$25k",IF(D2980&lt;50000,"$25k-$50k",IF(D2980&lt;75000,"$50k-$75k",IF(D2980&lt;100000,"$75k-$100k","$100k+")))))</x:f>
        <x:v>$75k-$100k</x:v>
      </x:c>
      <x:c r="P2980" t="str">
        <x:f>IF(E2980="","Unknown",IF(E2980&lt;10,"&lt;10",IF(E2980&lt;20,"10-&lt;20",IF(E2980&lt;25,"20-&lt;25",IF(E2980&lt;35,"25-&lt;35","35+")))))</x:f>
        <x:v>35+</x:v>
      </x:c>
    </x:row>
    <x:row r="2981">
      <x:c r="A2981" t="str">
        <x:v>SYN0002980</x:v>
      </x:c>
      <x:c r="B2981" s="12" t="n">
        <x:v>43255</x:v>
      </x:c>
      <x:c r="C2981" s="18" t="n">
        <x:v>7723</x:v>
      </x:c>
      <x:c r="D2981" s="18" t="n">
        <x:v>59487</x:v>
      </x:c>
      <x:c r="E2981" s="18" t="n">
        <x:v>14.9</x:v>
      </x:c>
      <x:c r="F2981" s="18" t="n">
        <x:v>22.94</x:v>
      </x:c>
      <x:c r="G2981" t="n">
        <x:v>60</x:v>
      </x:c>
      <x:c r="H2981" t="str">
        <x:v>F</x:v>
      </x:c>
      <x:c r="I2981" t="str">
        <x:v>1-3 years</x:v>
      </x:c>
      <x:c r="J2981" t="str">
        <x:v>RENT</x:v>
      </x:c>
      <x:c r="K2981" t="str">
        <x:v>medical</x:v>
      </x:c>
      <x:c r="L2981" t="n">
        <x:v>0</x:v>
      </x:c>
      <x:c r="M2981" t="n">
        <x:v>0</x:v>
      </x:c>
      <x:c r="N2981" t="str">
        <x:v>Fully Paid</x:v>
      </x:c>
      <x:c r="O2981" t="str">
        <x:f>IF(D2981="","Unknown",IF(D2981&lt;25000,"&lt;$25k",IF(D2981&lt;50000,"$25k-$50k",IF(D2981&lt;75000,"$50k-$75k",IF(D2981&lt;100000,"$75k-$100k","$100k+")))))</x:f>
        <x:v>$50k-$75k</x:v>
      </x:c>
      <x:c r="P2981" t="str">
        <x:f>IF(E2981="","Unknown",IF(E2981&lt;10,"&lt;10",IF(E2981&lt;20,"10-&lt;20",IF(E2981&lt;25,"20-&lt;25",IF(E2981&lt;35,"25-&lt;35","35+")))))</x:f>
        <x:v>10-&lt;20</x:v>
      </x:c>
    </x:row>
    <x:row r="2982">
      <x:c r="A2982" t="str">
        <x:v>SYN0002981</x:v>
      </x:c>
      <x:c r="B2982" s="12" t="n">
        <x:v>42715</x:v>
      </x:c>
      <x:c r="C2982" s="18" t="n">
        <x:v>5853</x:v>
      </x:c>
      <x:c r="D2982" s="18" t="n">
        <x:v>25055</x:v>
      </x:c>
      <x:c r="E2982" s="18" t="n">
        <x:v>32.24</x:v>
      </x:c>
      <x:c r="F2982" s="18" t="n">
        <x:v>15.99</x:v>
      </x:c>
      <x:c r="G2982" t="n">
        <x:v>36</x:v>
      </x:c>
      <x:c r="H2982" t="str">
        <x:v>D</x:v>
      </x:c>
      <x:c r="I2982" t="str">
        <x:v>4-6 years</x:v>
      </x:c>
      <x:c r="J2982" t="str">
        <x:v>OWN</x:v>
      </x:c>
      <x:c r="K2982" t="str">
        <x:v>debt_consolidation</x:v>
      </x:c>
      <x:c r="L2982" t="n">
        <x:v>1</x:v>
      </x:c>
      <x:c r="M2982" t="n">
        <x:v>1</x:v>
      </x:c>
      <x:c r="N2982" t="str">
        <x:v>Charged Off</x:v>
      </x:c>
      <x:c r="O2982" t="str">
        <x:f>IF(D2982="","Unknown",IF(D2982&lt;25000,"&lt;$25k",IF(D2982&lt;50000,"$25k-$50k",IF(D2982&lt;75000,"$50k-$75k",IF(D2982&lt;100000,"$75k-$100k","$100k+")))))</x:f>
        <x:v>$25k-$50k</x:v>
      </x:c>
      <x:c r="P2982" t="str">
        <x:f>IF(E2982="","Unknown",IF(E2982&lt;10,"&lt;10",IF(E2982&lt;20,"10-&lt;20",IF(E2982&lt;25,"20-&lt;25",IF(E2982&lt;35,"25-&lt;35","35+")))))</x:f>
        <x:v>25-&lt;35</x:v>
      </x:c>
    </x:row>
    <x:row r="2983">
      <x:c r="A2983" t="str">
        <x:v>SYN0002982</x:v>
      </x:c>
      <x:c r="B2983" s="12" t="n">
        <x:v>41995</x:v>
      </x:c>
      <x:c r="C2983" s="18" t="n">
        <x:v>14539</x:v>
      </x:c>
      <x:c r="D2983" s="18" t="n">
        <x:v>39038</x:v>
      </x:c>
      <x:c r="E2983" s="18" t="n">
        <x:v>34.96</x:v>
      </x:c>
      <x:c r="F2983" s="18" t="n">
        <x:v>21.56</x:v>
      </x:c>
      <x:c r="G2983" t="n">
        <x:v>36</x:v>
      </x:c>
      <x:c r="H2983" t="str">
        <x:v>E</x:v>
      </x:c>
      <x:c r="I2983" t="str">
        <x:v>7-9 years</x:v>
      </x:c>
      <x:c r="J2983" t="str">
        <x:v>RENT</x:v>
      </x:c>
      <x:c r="K2983" t="str">
        <x:v>debt_consolidation</x:v>
      </x:c>
      <x:c r="L2983" t="n">
        <x:v>0</x:v>
      </x:c>
      <x:c r="M2983" t="n">
        <x:v>0</x:v>
      </x:c>
      <x:c r="N2983" t="str">
        <x:v>Fully Paid</x:v>
      </x:c>
      <x:c r="O2983" t="str">
        <x:f>IF(D2983="","Unknown",IF(D2983&lt;25000,"&lt;$25k",IF(D2983&lt;50000,"$25k-$50k",IF(D2983&lt;75000,"$50k-$75k",IF(D2983&lt;100000,"$75k-$100k","$100k+")))))</x:f>
        <x:v>$25k-$50k</x:v>
      </x:c>
      <x:c r="P2983" t="str">
        <x:f>IF(E2983="","Unknown",IF(E2983&lt;10,"&lt;10",IF(E2983&lt;20,"10-&lt;20",IF(E2983&lt;25,"20-&lt;25",IF(E2983&lt;35,"25-&lt;35","35+")))))</x:f>
        <x:v>25-&lt;35</x:v>
      </x:c>
    </x:row>
    <x:row r="2984">
      <x:c r="A2984" t="str">
        <x:v>SYN0002983</x:v>
      </x:c>
      <x:c r="B2984" s="12" t="n">
        <x:v>42055</x:v>
      </x:c>
      <x:c r="C2984" s="18" t="n">
        <x:v>25939</x:v>
      </x:c>
      <x:c r="D2984" s="18" t="n">
        <x:v>68458</x:v>
      </x:c>
      <x:c r="E2984" s="18" t="n">
        <x:v>11.24</x:v>
      </x:c>
      <x:c r="F2984" s="18" t="n">
        <x:v>9.62</x:v>
      </x:c>
      <x:c r="G2984" t="n">
        <x:v>36</x:v>
      </x:c>
      <x:c r="H2984" t="str">
        <x:v>B</x:v>
      </x:c>
      <x:c r="I2984" t="str">
        <x:v>4-6 years</x:v>
      </x:c>
      <x:c r="J2984" t="str">
        <x:v>MORTGAGE</x:v>
      </x:c>
      <x:c r="K2984" t="str">
        <x:v>major_purchase</x:v>
      </x:c>
      <x:c r="L2984" t="n">
        <x:v>2</x:v>
      </x:c>
      <x:c r="M2984" t="n">
        <x:v>0</x:v>
      </x:c>
      <x:c r="N2984" t="str">
        <x:v>Fully Paid</x:v>
      </x:c>
      <x:c r="O2984" t="str">
        <x:f>IF(D2984="","Unknown",IF(D2984&lt;25000,"&lt;$25k",IF(D2984&lt;50000,"$25k-$50k",IF(D2984&lt;75000,"$50k-$75k",IF(D2984&lt;100000,"$75k-$100k","$100k+")))))</x:f>
        <x:v>$50k-$75k</x:v>
      </x:c>
      <x:c r="P2984" t="str">
        <x:f>IF(E2984="","Unknown",IF(E2984&lt;10,"&lt;10",IF(E2984&lt;20,"10-&lt;20",IF(E2984&lt;25,"20-&lt;25",IF(E2984&lt;35,"25-&lt;35","35+")))))</x:f>
        <x:v>10-&lt;20</x:v>
      </x:c>
    </x:row>
    <x:row r="2985">
      <x:c r="A2985" t="str">
        <x:v>SYN0002984</x:v>
      </x:c>
      <x:c r="B2985" s="12" t="n">
        <x:v>43255</x:v>
      </x:c>
      <x:c r="C2985" s="18" t="n">
        <x:v>27159</x:v>
      </x:c>
      <x:c r="D2985" s="18" t="n">
        <x:v>42065</x:v>
      </x:c>
      <x:c r="E2985" s="18" t="n">
        <x:v>25.65</x:v>
      </x:c>
      <x:c r="F2985" s="18" t="n">
        <x:v>8.41</x:v>
      </x:c>
      <x:c r="G2985" t="n">
        <x:v>60</x:v>
      </x:c>
      <x:c r="H2985" t="str">
        <x:v>B</x:v>
      </x:c>
      <x:c r="I2985" t="str">
        <x:v>7-9 years</x:v>
      </x:c>
      <x:c r="J2985" t="str">
        <x:v>RENT</x:v>
      </x:c>
      <x:c r="K2985" t="str">
        <x:v>credit_card</x:v>
      </x:c>
      <x:c r="L2985" t="n">
        <x:v>1</x:v>
      </x:c>
      <x:c r="M2985" t="n">
        <x:v>0</x:v>
      </x:c>
      <x:c r="N2985" t="str">
        <x:v>Fully Paid</x:v>
      </x:c>
      <x:c r="O2985" t="str">
        <x:f>IF(D2985="","Unknown",IF(D2985&lt;25000,"&lt;$25k",IF(D2985&lt;50000,"$25k-$50k",IF(D2985&lt;75000,"$50k-$75k",IF(D2985&lt;100000,"$75k-$100k","$100k+")))))</x:f>
        <x:v>$25k-$50k</x:v>
      </x:c>
      <x:c r="P2985" t="str">
        <x:f>IF(E2985="","Unknown",IF(E2985&lt;10,"&lt;10",IF(E2985&lt;20,"10-&lt;20",IF(E2985&lt;25,"20-&lt;25",IF(E2985&lt;35,"25-&lt;35","35+")))))</x:f>
        <x:v>25-&lt;35</x:v>
      </x:c>
    </x:row>
    <x:row r="2986">
      <x:c r="A2986" t="str">
        <x:v>SYN0002985</x:v>
      </x:c>
      <x:c r="B2986" s="12" t="n">
        <x:v>43015</x:v>
      </x:c>
      <x:c r="C2986" s="18" t="n">
        <x:v>13413</x:v>
      </x:c>
      <x:c r="D2986" s="18" t="n">
        <x:v>139274</x:v>
      </x:c>
      <x:c r="E2986" s="18" t="n">
        <x:v>18.59</x:v>
      </x:c>
      <x:c r="F2986" s="18" t="n">
        <x:v>20.26</x:v>
      </x:c>
      <x:c r="G2986" t="n">
        <x:v>60</x:v>
      </x:c>
      <x:c r="H2986" t="str">
        <x:v>F</x:v>
      </x:c>
      <x:c r="I2986" t="str">
        <x:v>10+ years</x:v>
      </x:c>
      <x:c r="J2986" t="str">
        <x:v>MORTGAGE</x:v>
      </x:c>
      <x:c r="K2986" t="str">
        <x:v>debt_consolidation</x:v>
      </x:c>
      <x:c r="L2986" t="n">
        <x:v>2</x:v>
      </x:c>
      <x:c r="M2986" t="n">
        <x:v>0</x:v>
      </x:c>
      <x:c r="N2986" t="str">
        <x:v>Fully Paid</x:v>
      </x:c>
      <x:c r="O2986" t="str">
        <x:f>IF(D2986="","Unknown",IF(D2986&lt;25000,"&lt;$25k",IF(D2986&lt;50000,"$25k-$50k",IF(D2986&lt;75000,"$50k-$75k",IF(D2986&lt;100000,"$75k-$100k","$100k+")))))</x:f>
        <x:v>$100k+</x:v>
      </x:c>
      <x:c r="P2986" t="str">
        <x:f>IF(E2986="","Unknown",IF(E2986&lt;10,"&lt;10",IF(E2986&lt;20,"10-&lt;20",IF(E2986&lt;25,"20-&lt;25",IF(E2986&lt;35,"25-&lt;35","35+")))))</x:f>
        <x:v>10-&lt;20</x:v>
      </x:c>
    </x:row>
    <x:row r="2987">
      <x:c r="A2987" t="str">
        <x:v>SYN0002986</x:v>
      </x:c>
      <x:c r="B2987" s="12" t="n">
        <x:v>41305</x:v>
      </x:c>
      <x:c r="C2987" s="18" t="n">
        <x:v>15376</x:v>
      </x:c>
      <x:c r="D2987" s="18" t="n">
        <x:v>29485</x:v>
      </x:c>
      <x:c r="E2987" s="18" t="n">
        <x:v>19.41</x:v>
      </x:c>
      <x:c r="F2987" s="18" t="n">
        <x:v>11.44</x:v>
      </x:c>
      <x:c r="G2987" t="n">
        <x:v>36</x:v>
      </x:c>
      <x:c r="H2987" t="str">
        <x:v>C</x:v>
      </x:c>
      <x:c r="I2987" t="str">
        <x:v>10+ years</x:v>
      </x:c>
      <x:c r="J2987" t="str">
        <x:v>RENT</x:v>
      </x:c>
      <x:c r="K2987" t="str">
        <x:v>credit_card</x:v>
      </x:c>
      <x:c r="L2987" t="n">
        <x:v>0</x:v>
      </x:c>
      <x:c r="M2987" t="n">
        <x:v>0</x:v>
      </x:c>
      <x:c r="N2987" t="str">
        <x:v>Fully Paid</x:v>
      </x:c>
      <x:c r="O2987" t="str">
        <x:f>IF(D2987="","Unknown",IF(D2987&lt;25000,"&lt;$25k",IF(D2987&lt;50000,"$25k-$50k",IF(D2987&lt;75000,"$50k-$75k",IF(D2987&lt;100000,"$75k-$100k","$100k+")))))</x:f>
        <x:v>$25k-$50k</x:v>
      </x:c>
      <x:c r="P2987" t="str">
        <x:f>IF(E2987="","Unknown",IF(E2987&lt;10,"&lt;10",IF(E2987&lt;20,"10-&lt;20",IF(E2987&lt;25,"20-&lt;25",IF(E2987&lt;35,"25-&lt;35","35+")))))</x:f>
        <x:v>10-&lt;20</x:v>
      </x:c>
    </x:row>
    <x:row r="2988">
      <x:c r="A2988" t="str">
        <x:v>SYN0002987</x:v>
      </x:c>
      <x:c r="B2988" s="12" t="n">
        <x:v>41605</x:v>
      </x:c>
      <x:c r="C2988" s="18" t="n">
        <x:v>9252</x:v>
      </x:c>
      <x:c r="D2988" s="18" t="n">
        <x:v>75711</x:v>
      </x:c>
      <x:c r="E2988" s="18" t="n">
        <x:v>29.6</x:v>
      </x:c>
      <x:c r="F2988" s="18" t="n">
        <x:v>9.9</x:v>
      </x:c>
      <x:c r="G2988" t="n">
        <x:v>36</x:v>
      </x:c>
      <x:c r="H2988" t="str">
        <x:v>C</x:v>
      </x:c>
      <x:c r="I2988" t="str">
        <x:v>1-3 years</x:v>
      </x:c>
      <x:c r="J2988" t="str">
        <x:v>RENT</x:v>
      </x:c>
      <x:c r="K2988" t="str">
        <x:v>credit_card</x:v>
      </x:c>
      <x:c r="L2988" t="n">
        <x:v>0</x:v>
      </x:c>
      <x:c r="M2988" t="n">
        <x:v>0</x:v>
      </x:c>
      <x:c r="N2988" t="str">
        <x:v>Fully Paid</x:v>
      </x:c>
      <x:c r="O2988" t="str">
        <x:f>IF(D2988="","Unknown",IF(D2988&lt;25000,"&lt;$25k",IF(D2988&lt;50000,"$25k-$50k",IF(D2988&lt;75000,"$50k-$75k",IF(D2988&lt;100000,"$75k-$100k","$100k+")))))</x:f>
        <x:v>$75k-$100k</x:v>
      </x:c>
      <x:c r="P2988" t="str">
        <x:f>IF(E2988="","Unknown",IF(E2988&lt;10,"&lt;10",IF(E2988&lt;20,"10-&lt;20",IF(E2988&lt;25,"20-&lt;25",IF(E2988&lt;35,"25-&lt;35","35+")))))</x:f>
        <x:v>25-&lt;35</x:v>
      </x:c>
    </x:row>
    <x:row r="2989">
      <x:c r="A2989" t="str">
        <x:v>SYN0002988</x:v>
      </x:c>
      <x:c r="B2989" s="12" t="n">
        <x:v>42175</x:v>
      </x:c>
      <x:c r="C2989" s="18" t="n">
        <x:v>13181</x:v>
      </x:c>
      <x:c r="D2989" s="18" t="n">
        <x:v>57531</x:v>
      </x:c>
      <x:c r="E2989" s="18" t="n">
        <x:v>36.17</x:v>
      </x:c>
      <x:c r="F2989" s="18" t="n">
        <x:v>15.38</x:v>
      </x:c>
      <x:c r="G2989" t="n">
        <x:v>36</x:v>
      </x:c>
      <x:c r="H2989" t="str">
        <x:v>D</x:v>
      </x:c>
      <x:c r="I2989" t="str">
        <x:v>7-9 years</x:v>
      </x:c>
      <x:c r="J2989" t="str">
        <x:v>MORTGAGE</x:v>
      </x:c>
      <x:c r="K2989" t="str">
        <x:v>credit_card</x:v>
      </x:c>
      <x:c r="L2989" t="n">
        <x:v>0</x:v>
      </x:c>
      <x:c r="M2989" t="n">
        <x:v>0</x:v>
      </x:c>
      <x:c r="N2989" t="str">
        <x:v>Fully Paid</x:v>
      </x:c>
      <x:c r="O2989" t="str">
        <x:f>IF(D2989="","Unknown",IF(D2989&lt;25000,"&lt;$25k",IF(D2989&lt;50000,"$25k-$50k",IF(D2989&lt;75000,"$50k-$75k",IF(D2989&lt;100000,"$75k-$100k","$100k+")))))</x:f>
        <x:v>$50k-$75k</x:v>
      </x:c>
      <x:c r="P2989" t="str">
        <x:f>IF(E2989="","Unknown",IF(E2989&lt;10,"&lt;10",IF(E2989&lt;20,"10-&lt;20",IF(E2989&lt;25,"20-&lt;25",IF(E2989&lt;35,"25-&lt;35","35+")))))</x:f>
        <x:v>35+</x:v>
      </x:c>
    </x:row>
    <x:row r="2990">
      <x:c r="A2990" t="str">
        <x:v>SYN0002989</x:v>
      </x:c>
      <x:c r="B2990" s="12" t="n">
        <x:v>43315</x:v>
      </x:c>
      <x:c r="C2990" s="18" t="n">
        <x:v>6502</x:v>
      </x:c>
      <x:c r="D2990" s="18" t="n">
        <x:v>17987</x:v>
      </x:c>
      <x:c r="E2990" s="18" t="n">
        <x:v>28.69</x:v>
      </x:c>
      <x:c r="F2990" s="18" t="n">
        <x:v>15.15</x:v>
      </x:c>
      <x:c r="G2990" t="n">
        <x:v>36</x:v>
      </x:c>
      <x:c r="H2990" t="str">
        <x:v>C</x:v>
      </x:c>
      <x:c r="I2990" t="str">
        <x:v>10+ years</x:v>
      </x:c>
      <x:c r="J2990" t="str">
        <x:v>MORTGAGE</x:v>
      </x:c>
      <x:c r="K2990" t="str">
        <x:v>debt_consolidation</x:v>
      </x:c>
      <x:c r="L2990" t="n">
        <x:v>0</x:v>
      </x:c>
      <x:c r="M2990" t="n">
        <x:v>0</x:v>
      </x:c>
      <x:c r="N2990" t="str">
        <x:v>Fully Paid</x:v>
      </x:c>
      <x:c r="O2990" t="str">
        <x:f>IF(D2990="","Unknown",IF(D2990&lt;25000,"&lt;$25k",IF(D2990&lt;50000,"$25k-$50k",IF(D2990&lt;75000,"$50k-$75k",IF(D2990&lt;100000,"$75k-$100k","$100k+")))))</x:f>
        <x:v>&lt;$25k</x:v>
      </x:c>
      <x:c r="P2990" t="str">
        <x:f>IF(E2990="","Unknown",IF(E2990&lt;10,"&lt;10",IF(E2990&lt;20,"10-&lt;20",IF(E2990&lt;25,"20-&lt;25",IF(E2990&lt;35,"25-&lt;35","35+")))))</x:f>
        <x:v>25-&lt;35</x:v>
      </x:c>
    </x:row>
    <x:row r="2991">
      <x:c r="A2991" t="str">
        <x:v>SYN0002990</x:v>
      </x:c>
      <x:c r="B2991" s="12" t="n">
        <x:v>41905</x:v>
      </x:c>
      <x:c r="C2991" s="18" t="n">
        <x:v>4810</x:v>
      </x:c>
      <x:c r="D2991" s="18" t="n">
        <x:v>21312</x:v>
      </x:c>
      <x:c r="E2991" s="18" t="n">
        <x:v>25.14</x:v>
      </x:c>
      <x:c r="F2991" s="18" t="n">
        <x:v>14.63</x:v>
      </x:c>
      <x:c r="G2991" t="n">
        <x:v>36</x:v>
      </x:c>
      <x:c r="H2991" t="str">
        <x:v>D</x:v>
      </x:c>
      <x:c r="I2991" t="str">
        <x:v>4-6 years</x:v>
      </x:c>
      <x:c r="J2991" t="str">
        <x:v>OWN</x:v>
      </x:c>
      <x:c r="K2991" t="str">
        <x:v>debt_consolidation</x:v>
      </x:c>
      <x:c r="L2991" t="n">
        <x:v>1</x:v>
      </x:c>
      <x:c r="M2991" t="n">
        <x:v>0</x:v>
      </x:c>
      <x:c r="N2991" t="str">
        <x:v>Fully Paid</x:v>
      </x:c>
      <x:c r="O2991" t="str">
        <x:f>IF(D2991="","Unknown",IF(D2991&lt;25000,"&lt;$25k",IF(D2991&lt;50000,"$25k-$50k",IF(D2991&lt;75000,"$50k-$75k",IF(D2991&lt;100000,"$75k-$100k","$100k+")))))</x:f>
        <x:v>&lt;$25k</x:v>
      </x:c>
      <x:c r="P2991" t="str">
        <x:f>IF(E2991="","Unknown",IF(E2991&lt;10,"&lt;10",IF(E2991&lt;20,"10-&lt;20",IF(E2991&lt;25,"20-&lt;25",IF(E2991&lt;35,"25-&lt;35","35+")))))</x:f>
        <x:v>25-&lt;35</x:v>
      </x:c>
    </x:row>
    <x:row r="2992">
      <x:c r="A2992" t="str">
        <x:v>SYN0002991</x:v>
      </x:c>
      <x:c r="B2992" s="12" t="n">
        <x:v>42955</x:v>
      </x:c>
      <x:c r="C2992" s="18" t="n">
        <x:v>16000</x:v>
      </x:c>
      <x:c r="D2992" s="18" t="n">
        <x:v>37003</x:v>
      </x:c>
      <x:c r="E2992" s="18" t="n">
        <x:v>13.36</x:v>
      </x:c>
      <x:c r="F2992" s="18" t="n">
        <x:v>5.24</x:v>
      </x:c>
      <x:c r="G2992" t="n">
        <x:v>36</x:v>
      </x:c>
      <x:c r="H2992" t="str">
        <x:v>A</x:v>
      </x:c>
      <x:c r="I2992" t="str">
        <x:v>1-3 years</x:v>
      </x:c>
      <x:c r="J2992" t="str">
        <x:v>MORTGAGE</x:v>
      </x:c>
      <x:c r="K2992" t="str">
        <x:v>major_purchase</x:v>
      </x:c>
      <x:c r="L2992" t="n">
        <x:v>0</x:v>
      </x:c>
      <x:c r="M2992" t="n">
        <x:v>1</x:v>
      </x:c>
      <x:c r="N2992" t="str">
        <x:v>Charged Off</x:v>
      </x:c>
      <x:c r="O2992" t="str">
        <x:f>IF(D2992="","Unknown",IF(D2992&lt;25000,"&lt;$25k",IF(D2992&lt;50000,"$25k-$50k",IF(D2992&lt;75000,"$50k-$75k",IF(D2992&lt;100000,"$75k-$100k","$100k+")))))</x:f>
        <x:v>$25k-$50k</x:v>
      </x:c>
      <x:c r="P2992" t="str">
        <x:f>IF(E2992="","Unknown",IF(E2992&lt;10,"&lt;10",IF(E2992&lt;20,"10-&lt;20",IF(E2992&lt;25,"20-&lt;25",IF(E2992&lt;35,"25-&lt;35","35+")))))</x:f>
        <x:v>10-&lt;20</x:v>
      </x:c>
    </x:row>
    <x:row r="2993">
      <x:c r="A2993" t="str">
        <x:v>SYN0002992</x:v>
      </x:c>
      <x:c r="B2993" s="12" t="n">
        <x:v>41875</x:v>
      </x:c>
      <x:c r="C2993" s="18" t="n">
        <x:v>10556</x:v>
      </x:c>
      <x:c r="D2993" s="18" t="n">
        <x:v>93513</x:v>
      </x:c>
      <x:c r="E2993" s="18" t="n">
        <x:v>15.85</x:v>
      </x:c>
      <x:c r="F2993" s="18" t="n">
        <x:v>9.99</x:v>
      </x:c>
      <x:c r="G2993" t="n">
        <x:v>36</x:v>
      </x:c>
      <x:c r="H2993" t="str">
        <x:v>A</x:v>
      </x:c>
      <x:c r="I2993" t="str">
        <x:v>10+ years</x:v>
      </x:c>
      <x:c r="J2993" t="str">
        <x:v>RENT</x:v>
      </x:c>
      <x:c r="K2993" t="str">
        <x:v>credit_card</x:v>
      </x:c>
      <x:c r="L2993" t="n">
        <x:v>0</x:v>
      </x:c>
      <x:c r="M2993" t="n">
        <x:v>1</x:v>
      </x:c>
      <x:c r="N2993" t="str">
        <x:v>Charged Off</x:v>
      </x:c>
      <x:c r="O2993" t="str">
        <x:f>IF(D2993="","Unknown",IF(D2993&lt;25000,"&lt;$25k",IF(D2993&lt;50000,"$25k-$50k",IF(D2993&lt;75000,"$50k-$75k",IF(D2993&lt;100000,"$75k-$100k","$100k+")))))</x:f>
        <x:v>$75k-$100k</x:v>
      </x:c>
      <x:c r="P2993" t="str">
        <x:f>IF(E2993="","Unknown",IF(E2993&lt;10,"&lt;10",IF(E2993&lt;20,"10-&lt;20",IF(E2993&lt;25,"20-&lt;25",IF(E2993&lt;35,"25-&lt;35","35+")))))</x:f>
        <x:v>10-&lt;20</x:v>
      </x:c>
    </x:row>
    <x:row r="2994">
      <x:c r="A2994" t="str">
        <x:v>SYN0002993</x:v>
      </x:c>
      <x:c r="B2994" s="12" t="n">
        <x:v>41995</x:v>
      </x:c>
      <x:c r="C2994" s="18" t="n">
        <x:v>13556</x:v>
      </x:c>
      <x:c r="D2994" s="18" t="n">
        <x:v>95515</x:v>
      </x:c>
      <x:c r="E2994" s="18" t="n">
        <x:v>21.48</x:v>
      </x:c>
      <x:c r="F2994" s="18" t="n">
        <x:v>6.28</x:v>
      </x:c>
      <x:c r="G2994" t="n">
        <x:v>60</x:v>
      </x:c>
      <x:c r="H2994" t="str">
        <x:v>A</x:v>
      </x:c>
      <x:c r="I2994" t="str">
        <x:v>10+ years</x:v>
      </x:c>
      <x:c r="J2994" t="str">
        <x:v>MORTGAGE</x:v>
      </x:c>
      <x:c r="K2994" t="str">
        <x:v>debt_consolidation</x:v>
      </x:c>
      <x:c r="L2994" t="n">
        <x:v>1</x:v>
      </x:c>
      <x:c r="M2994" t="n">
        <x:v>0</x:v>
      </x:c>
      <x:c r="N2994" t="str">
        <x:v>Fully Paid</x:v>
      </x:c>
      <x:c r="O2994" t="str">
        <x:f>IF(D2994="","Unknown",IF(D2994&lt;25000,"&lt;$25k",IF(D2994&lt;50000,"$25k-$50k",IF(D2994&lt;75000,"$50k-$75k",IF(D2994&lt;100000,"$75k-$100k","$100k+")))))</x:f>
        <x:v>$75k-$100k</x:v>
      </x:c>
      <x:c r="P2994" t="str">
        <x:f>IF(E2994="","Unknown",IF(E2994&lt;10,"&lt;10",IF(E2994&lt;20,"10-&lt;20",IF(E2994&lt;25,"20-&lt;25",IF(E2994&lt;35,"25-&lt;35","35+")))))</x:f>
        <x:v>20-&lt;25</x:v>
      </x:c>
    </x:row>
    <x:row r="2995">
      <x:c r="A2995" t="str">
        <x:v>SYN0002994</x:v>
      </x:c>
      <x:c r="B2995" s="12" t="n">
        <x:v>42475</x:v>
      </x:c>
      <x:c r="C2995" s="18" t="n">
        <x:v>10767</x:v>
      </x:c>
      <x:c r="D2995" s="18" t="n">
        <x:v>55574</x:v>
      </x:c>
      <x:c r="E2995" s="18" t="n">
        <x:v>11.34</x:v>
      </x:c>
      <x:c r="F2995" s="18" t="n">
        <x:v>9.24</x:v>
      </x:c>
      <x:c r="G2995" t="n">
        <x:v>36</x:v>
      </x:c>
      <x:c r="H2995" t="str">
        <x:v>B</x:v>
      </x:c>
      <x:c r="I2995" t="str">
        <x:v>4-6 years</x:v>
      </x:c>
      <x:c r="J2995" t="str">
        <x:v>MORTGAGE</x:v>
      </x:c>
      <x:c r="K2995" t="str">
        <x:v>other</x:v>
      </x:c>
      <x:c r="L2995" t="n">
        <x:v>0</x:v>
      </x:c>
      <x:c r="M2995" t="n">
        <x:v>0</x:v>
      </x:c>
      <x:c r="N2995" t="str">
        <x:v>Fully Paid</x:v>
      </x:c>
      <x:c r="O2995" t="str">
        <x:f>IF(D2995="","Unknown",IF(D2995&lt;25000,"&lt;$25k",IF(D2995&lt;50000,"$25k-$50k",IF(D2995&lt;75000,"$50k-$75k",IF(D2995&lt;100000,"$75k-$100k","$100k+")))))</x:f>
        <x:v>$50k-$75k</x:v>
      </x:c>
      <x:c r="P2995" t="str">
        <x:f>IF(E2995="","Unknown",IF(E2995&lt;10,"&lt;10",IF(E2995&lt;20,"10-&lt;20",IF(E2995&lt;25,"20-&lt;25",IF(E2995&lt;35,"25-&lt;35","35+")))))</x:f>
        <x:v>10-&lt;20</x:v>
      </x:c>
    </x:row>
    <x:row r="2996">
      <x:c r="A2996" t="str">
        <x:v>SYN0002995</x:v>
      </x:c>
      <x:c r="B2996" s="12" t="n">
        <x:v>41875</x:v>
      </x:c>
      <x:c r="C2996" s="18" t="n">
        <x:v>10886</x:v>
      </x:c>
      <x:c r="D2996" s="18" t="n">
        <x:v>23341</x:v>
      </x:c>
      <x:c r="E2996" s="18" t="n">
        <x:v>13.88</x:v>
      </x:c>
      <x:c r="F2996" s="18" t="n">
        <x:v>5</x:v>
      </x:c>
      <x:c r="G2996" t="n">
        <x:v>60</x:v>
      </x:c>
      <x:c r="H2996" t="str">
        <x:v>A</x:v>
      </x:c>
      <x:c r="I2996" t="str">
        <x:v>10+ years</x:v>
      </x:c>
      <x:c r="J2996" t="str">
        <x:v>OWN</x:v>
      </x:c>
      <x:c r="K2996" t="str">
        <x:v>credit_card</x:v>
      </x:c>
      <x:c r="L2996" t="n">
        <x:v>1</x:v>
      </x:c>
      <x:c r="M2996" t="n">
        <x:v>0</x:v>
      </x:c>
      <x:c r="N2996" t="str">
        <x:v>Fully Paid</x:v>
      </x:c>
      <x:c r="O2996" t="str">
        <x:f>IF(D2996="","Unknown",IF(D2996&lt;25000,"&lt;$25k",IF(D2996&lt;50000,"$25k-$50k",IF(D2996&lt;75000,"$50k-$75k",IF(D2996&lt;100000,"$75k-$100k","$100k+")))))</x:f>
        <x:v>&lt;$25k</x:v>
      </x:c>
      <x:c r="P2996" t="str">
        <x:f>IF(E2996="","Unknown",IF(E2996&lt;10,"&lt;10",IF(E2996&lt;20,"10-&lt;20",IF(E2996&lt;25,"20-&lt;25",IF(E2996&lt;35,"25-&lt;35","35+")))))</x:f>
        <x:v>10-&lt;20</x:v>
      </x:c>
    </x:row>
    <x:row r="2997">
      <x:c r="A2997" t="str">
        <x:v>SYN0002996</x:v>
      </x:c>
      <x:c r="B2997" s="12" t="n">
        <x:v>41875</x:v>
      </x:c>
      <x:c r="C2997" s="18" t="n">
        <x:v>4559</x:v>
      </x:c>
      <x:c r="D2997" s="18" t="n">
        <x:v>22097</x:v>
      </x:c>
      <x:c r="E2997" s="18" t="n">
        <x:v>23.72</x:v>
      </x:c>
      <x:c r="F2997" s="18" t="n">
        <x:v>6.08</x:v>
      </x:c>
      <x:c r="G2997" t="n">
        <x:v>36</x:v>
      </x:c>
      <x:c r="H2997" t="str">
        <x:v>A</x:v>
      </x:c>
      <x:c r="I2997" t="str">
        <x:v>10+ years</x:v>
      </x:c>
      <x:c r="J2997" t="str">
        <x:v>RENT</x:v>
      </x:c>
      <x:c r="K2997" t="str">
        <x:v>medical</x:v>
      </x:c>
      <x:c r="L2997" t="n">
        <x:v>0</x:v>
      </x:c>
      <x:c r="M2997" t="n">
        <x:v>0</x:v>
      </x:c>
      <x:c r="N2997" t="str">
        <x:v>Fully Paid</x:v>
      </x:c>
      <x:c r="O2997" t="str">
        <x:f>IF(D2997="","Unknown",IF(D2997&lt;25000,"&lt;$25k",IF(D2997&lt;50000,"$25k-$50k",IF(D2997&lt;75000,"$50k-$75k",IF(D2997&lt;100000,"$75k-$100k","$100k+")))))</x:f>
        <x:v>&lt;$25k</x:v>
      </x:c>
      <x:c r="P2997" t="str">
        <x:f>IF(E2997="","Unknown",IF(E2997&lt;10,"&lt;10",IF(E2997&lt;20,"10-&lt;20",IF(E2997&lt;25,"20-&lt;25",IF(E2997&lt;35,"25-&lt;35","35+")))))</x:f>
        <x:v>20-&lt;25</x:v>
      </x:c>
    </x:row>
    <x:row r="2998">
      <x:c r="A2998" t="str">
        <x:v>SYN0002997</x:v>
      </x:c>
      <x:c r="B2998" s="12" t="n">
        <x:v>42205</x:v>
      </x:c>
      <x:c r="C2998" s="18" t="n">
        <x:v>12565</x:v>
      </x:c>
      <x:c r="D2998" s="18" t="n">
        <x:v>22741</x:v>
      </x:c>
      <x:c r="E2998" s="18" t="n">
        <x:v>18.24</x:v>
      </x:c>
      <x:c r="F2998" s="18" t="n">
        <x:v>10.17</x:v>
      </x:c>
      <x:c r="G2998" t="n">
        <x:v>36</x:v>
      </x:c>
      <x:c r="H2998" t="str">
        <x:v>C</x:v>
      </x:c>
      <x:c r="I2998" t="str">
        <x:v>&lt;1 year</x:v>
      </x:c>
      <x:c r="J2998" t="str">
        <x:v>MORTGAGE</x:v>
      </x:c>
      <x:c r="K2998" t="str">
        <x:v>other</x:v>
      </x:c>
      <x:c r="L2998" t="n">
        <x:v>1</x:v>
      </x:c>
      <x:c r="M2998" t="n">
        <x:v>0</x:v>
      </x:c>
      <x:c r="N2998" t="str">
        <x:v>Fully Paid</x:v>
      </x:c>
      <x:c r="O2998" t="str">
        <x:f>IF(D2998="","Unknown",IF(D2998&lt;25000,"&lt;$25k",IF(D2998&lt;50000,"$25k-$50k",IF(D2998&lt;75000,"$50k-$75k",IF(D2998&lt;100000,"$75k-$100k","$100k+")))))</x:f>
        <x:v>&lt;$25k</x:v>
      </x:c>
      <x:c r="P2998" t="str">
        <x:f>IF(E2998="","Unknown",IF(E2998&lt;10,"&lt;10",IF(E2998&lt;20,"10-&lt;20",IF(E2998&lt;25,"20-&lt;25",IF(E2998&lt;35,"25-&lt;35","35+")))))</x:f>
        <x:v>10-&lt;20</x:v>
      </x:c>
    </x:row>
    <x:row r="2999">
      <x:c r="A2999" t="str">
        <x:v>SYN0002998</x:v>
      </x:c>
      <x:c r="B2999" s="12" t="n">
        <x:v>41425</x:v>
      </x:c>
      <x:c r="C2999" s="18" t="n">
        <x:v>19563</x:v>
      </x:c>
      <x:c r="D2999" s="18" t="n">
        <x:v>12931</x:v>
      </x:c>
      <x:c r="E2999" s="18" t="n">
        <x:v>13.64</x:v>
      </x:c>
      <x:c r="F2999" s="18" t="n">
        <x:v>8.46</x:v>
      </x:c>
      <x:c r="G2999" t="n">
        <x:v>36</x:v>
      </x:c>
      <x:c r="H2999" t="str">
        <x:v>C</x:v>
      </x:c>
      <x:c r="I2999" t="str">
        <x:v>10+ years</x:v>
      </x:c>
      <x:c r="J2999" t="str">
        <x:v>MORTGAGE</x:v>
      </x:c>
      <x:c r="K2999" t="str">
        <x:v>debt_consolidation</x:v>
      </x:c>
      <x:c r="L2999" t="n">
        <x:v>1</x:v>
      </x:c>
      <x:c r="M2999" t="n">
        <x:v>0</x:v>
      </x:c>
      <x:c r="N2999" t="str">
        <x:v>Fully Paid</x:v>
      </x:c>
      <x:c r="O2999" t="str">
        <x:f>IF(D2999="","Unknown",IF(D2999&lt;25000,"&lt;$25k",IF(D2999&lt;50000,"$25k-$50k",IF(D2999&lt;75000,"$50k-$75k",IF(D2999&lt;100000,"$75k-$100k","$100k+")))))</x:f>
        <x:v>&lt;$25k</x:v>
      </x:c>
      <x:c r="P2999" t="str">
        <x:f>IF(E2999="","Unknown",IF(E2999&lt;10,"&lt;10",IF(E2999&lt;20,"10-&lt;20",IF(E2999&lt;25,"20-&lt;25",IF(E2999&lt;35,"25-&lt;35","35+")))))</x:f>
        <x:v>10-&lt;20</x:v>
      </x:c>
    </x:row>
    <x:row r="3000">
      <x:c r="A3000" t="str">
        <x:v>SYN0002999</x:v>
      </x:c>
      <x:c r="B3000" s="12" t="n">
        <x:v>42895</x:v>
      </x:c>
      <x:c r="C3000" s="18" t="n">
        <x:v>8427</x:v>
      </x:c>
      <x:c r="D3000" s="18" t="n">
        <x:v>121819</x:v>
      </x:c>
      <x:c r="E3000" s="18" t="n">
        <x:v>7.83</x:v>
      </x:c>
      <x:c r="F3000" s="18" t="n">
        <x:v>10.05</x:v>
      </x:c>
      <x:c r="G3000" t="n">
        <x:v>36</x:v>
      </x:c>
      <x:c r="H3000" t="str">
        <x:v>B</x:v>
      </x:c>
      <x:c r="I3000" t="str">
        <x:v>4-6 years</x:v>
      </x:c>
      <x:c r="J3000" t="str">
        <x:v>RENT</x:v>
      </x:c>
      <x:c r="K3000" t="str">
        <x:v>debt_consolidation</x:v>
      </x:c>
      <x:c r="L3000" t="n">
        <x:v>0</x:v>
      </x:c>
      <x:c r="M3000" t="n">
        <x:v>0</x:v>
      </x:c>
      <x:c r="N3000" t="str">
        <x:v>Fully Paid</x:v>
      </x:c>
      <x:c r="O3000" t="str">
        <x:f>IF(D3000="","Unknown",IF(D3000&lt;25000,"&lt;$25k",IF(D3000&lt;50000,"$25k-$50k",IF(D3000&lt;75000,"$50k-$75k",IF(D3000&lt;100000,"$75k-$100k","$100k+")))))</x:f>
        <x:v>$100k+</x:v>
      </x:c>
      <x:c r="P3000" t="str">
        <x:f>IF(E3000="","Unknown",IF(E3000&lt;10,"&lt;10",IF(E3000&lt;20,"10-&lt;20",IF(E3000&lt;25,"20-&lt;25",IF(E3000&lt;35,"25-&lt;35","35+")))))</x:f>
        <x:v>&lt;10</x:v>
      </x:c>
    </x:row>
    <x:row r="3001">
      <x:c r="A3001" t="str">
        <x:v>SYN0003000</x:v>
      </x:c>
      <x:c r="B3001" s="12" t="n">
        <x:v>42355</x:v>
      </x:c>
      <x:c r="C3001" s="18" t="n">
        <x:v>8978</x:v>
      </x:c>
      <x:c r="D3001" s="18" t="n">
        <x:v>28284</x:v>
      </x:c>
      <x:c r="E3001" s="18" t="n">
        <x:v>23.81</x:v>
      </x:c>
      <x:c r="F3001" s="18" t="n">
        <x:v>20.49</x:v>
      </x:c>
      <x:c r="G3001" t="n">
        <x:v>36</x:v>
      </x:c>
      <x:c r="H3001" t="str">
        <x:v>F</x:v>
      </x:c>
      <x:c r="I3001" t="str">
        <x:v>1-3 years</x:v>
      </x:c>
      <x:c r="J3001" t="str">
        <x:v>RENT</x:v>
      </x:c>
      <x:c r="K3001" t="str">
        <x:v>debt_consolidation</x:v>
      </x:c>
      <x:c r="L3001" t="n">
        <x:v>1</x:v>
      </x:c>
      <x:c r="M3001" t="n">
        <x:v>0</x:v>
      </x:c>
      <x:c r="N3001" t="str">
        <x:v>Fully Paid</x:v>
      </x:c>
      <x:c r="O3001" t="str">
        <x:f>IF(D3001="","Unknown",IF(D3001&lt;25000,"&lt;$25k",IF(D3001&lt;50000,"$25k-$50k",IF(D3001&lt;75000,"$50k-$75k",IF(D3001&lt;100000,"$75k-$100k","$100k+")))))</x:f>
        <x:v>$25k-$50k</x:v>
      </x:c>
      <x:c r="P3001" t="str">
        <x:f>IF(E3001="","Unknown",IF(E3001&lt;10,"&lt;10",IF(E3001&lt;20,"10-&lt;20",IF(E3001&lt;25,"20-&lt;25",IF(E3001&lt;35,"25-&lt;35","35+")))))</x:f>
        <x:v>20-&lt;25</x:v>
      </x:c>
    </x:row>
    <x:row r="3002">
      <x:c r="A3002" t="str">
        <x:v>SYN0003001</x:v>
      </x:c>
      <x:c r="B3002" s="12" t="n">
        <x:v>42565</x:v>
      </x:c>
      <x:c r="C3002" s="18" t="n">
        <x:v>11487</x:v>
      </x:c>
      <x:c r="D3002" s="18" t="n">
        <x:v>131699</x:v>
      </x:c>
      <x:c r="E3002" s="18" t="n">
        <x:v>18.21</x:v>
      </x:c>
      <x:c r="F3002" s="18" t="n">
        <x:v>11.59</x:v>
      </x:c>
      <x:c r="G3002" t="n">
        <x:v>36</x:v>
      </x:c>
      <x:c r="H3002" t="str">
        <x:v>D</x:v>
      </x:c>
      <x:c r="I3002" t="str">
        <x:v>10+ years</x:v>
      </x:c>
      <x:c r="J3002" t="str">
        <x:v>RENT</x:v>
      </x:c>
      <x:c r="K3002" t="str">
        <x:v>debt_consolidation</x:v>
      </x:c>
      <x:c r="L3002" t="n">
        <x:v>0</x:v>
      </x:c>
      <x:c r="M3002" t="n">
        <x:v>0</x:v>
      </x:c>
      <x:c r="N3002" t="str">
        <x:v>Fully Paid</x:v>
      </x:c>
      <x:c r="O3002" t="str">
        <x:f>IF(D3002="","Unknown",IF(D3002&lt;25000,"&lt;$25k",IF(D3002&lt;50000,"$25k-$50k",IF(D3002&lt;75000,"$50k-$75k",IF(D3002&lt;100000,"$75k-$100k","$100k+")))))</x:f>
        <x:v>$100k+</x:v>
      </x:c>
      <x:c r="P3002" t="str">
        <x:f>IF(E3002="","Unknown",IF(E3002&lt;10,"&lt;10",IF(E3002&lt;20,"10-&lt;20",IF(E3002&lt;25,"20-&lt;25",IF(E3002&lt;35,"25-&lt;35","35+")))))</x:f>
        <x:v>10-&lt;20</x:v>
      </x:c>
    </x:row>
    <x:row r="3003">
      <x:c r="A3003" t="str">
        <x:v>SYN0003002</x:v>
      </x:c>
      <x:c r="B3003" s="12" t="n">
        <x:v>42685</x:v>
      </x:c>
      <x:c r="C3003" s="18" t="n">
        <x:v>8393</x:v>
      </x:c>
      <x:c r="D3003" s="18" t="n">
        <x:v>166754</x:v>
      </x:c>
      <x:c r="E3003" s="18" t="n">
        <x:v>21.05</x:v>
      </x:c>
      <x:c r="F3003" s="18" t="n">
        <x:v>8.17</x:v>
      </x:c>
      <x:c r="G3003" t="n">
        <x:v>36</x:v>
      </x:c>
      <x:c r="H3003" t="str">
        <x:v>B</x:v>
      </x:c>
      <x:c r="I3003" t="str">
        <x:v>4-6 years</x:v>
      </x:c>
      <x:c r="J3003" t="str">
        <x:v>OWN</x:v>
      </x:c>
      <x:c r="K3003" t="str">
        <x:v>major_purchase</x:v>
      </x:c>
      <x:c r="L3003" t="n">
        <x:v>0</x:v>
      </x:c>
      <x:c r="M3003" t="n">
        <x:v>0</x:v>
      </x:c>
      <x:c r="N3003" t="str">
        <x:v>Fully Paid</x:v>
      </x:c>
      <x:c r="O3003" t="str">
        <x:f>IF(D3003="","Unknown",IF(D3003&lt;25000,"&lt;$25k",IF(D3003&lt;50000,"$25k-$50k",IF(D3003&lt;75000,"$50k-$75k",IF(D3003&lt;100000,"$75k-$100k","$100k+")))))</x:f>
        <x:v>$100k+</x:v>
      </x:c>
      <x:c r="P3003" t="str">
        <x:f>IF(E3003="","Unknown",IF(E3003&lt;10,"&lt;10",IF(E3003&lt;20,"10-&lt;20",IF(E3003&lt;25,"20-&lt;25",IF(E3003&lt;35,"25-&lt;35","35+")))))</x:f>
        <x:v>20-&lt;25</x:v>
      </x:c>
    </x:row>
    <x:row r="3004">
      <x:c r="A3004" t="str">
        <x:v>SYN0003003</x:v>
      </x:c>
      <x:c r="B3004" s="12" t="n">
        <x:v>41845</x:v>
      </x:c>
      <x:c r="C3004" s="18" t="n">
        <x:v>14702</x:v>
      </x:c>
      <x:c r="D3004" s="18" t="n">
        <x:v>88166</x:v>
      </x:c>
      <x:c r="E3004" s="18" t="n">
        <x:v>4.2</x:v>
      </x:c>
      <x:c r="F3004" s="18" t="n">
        <x:v>8</x:v>
      </x:c>
      <x:c r="G3004" t="n">
        <x:v>36</x:v>
      </x:c>
      <x:c r="H3004" t="str">
        <x:v>C</x:v>
      </x:c>
      <x:c r="I3004" t="str">
        <x:v>7-9 years</x:v>
      </x:c>
      <x:c r="J3004" t="str">
        <x:v>MORTGAGE</x:v>
      </x:c>
      <x:c r="K3004" t="str">
        <x:v>debt_consolidation</x:v>
      </x:c>
      <x:c r="L3004" t="n">
        <x:v>2</x:v>
      </x:c>
      <x:c r="M3004" t="n">
        <x:v>0</x:v>
      </x:c>
      <x:c r="N3004" t="str">
        <x:v>Fully Paid</x:v>
      </x:c>
      <x:c r="O3004" t="str">
        <x:f>IF(D3004="","Unknown",IF(D3004&lt;25000,"&lt;$25k",IF(D3004&lt;50000,"$25k-$50k",IF(D3004&lt;75000,"$50k-$75k",IF(D3004&lt;100000,"$75k-$100k","$100k+")))))</x:f>
        <x:v>$75k-$100k</x:v>
      </x:c>
      <x:c r="P3004" t="str">
        <x:f>IF(E3004="","Unknown",IF(E3004&lt;10,"&lt;10",IF(E3004&lt;20,"10-&lt;20",IF(E3004&lt;25,"20-&lt;25",IF(E3004&lt;35,"25-&lt;35","35+")))))</x:f>
        <x:v>&lt;10</x:v>
      </x:c>
    </x:row>
    <x:row r="3005">
      <x:c r="A3005" t="str">
        <x:v>SYN0003004</x:v>
      </x:c>
      <x:c r="B3005" s="12" t="n">
        <x:v>42775</x:v>
      </x:c>
      <x:c r="C3005" s="18" t="n">
        <x:v>9492</x:v>
      </x:c>
      <x:c r="D3005" s="18" t="n">
        <x:v>30365</x:v>
      </x:c>
      <x:c r="E3005" s="18" t="n">
        <x:v>17.91</x:v>
      </x:c>
      <x:c r="F3005" s="18" t="n">
        <x:v>5.69</x:v>
      </x:c>
      <x:c r="G3005" t="n">
        <x:v>36</x:v>
      </x:c>
      <x:c r="H3005" t="str">
        <x:v>A</x:v>
      </x:c>
      <x:c r="I3005" t="str">
        <x:v>1-3 years</x:v>
      </x:c>
      <x:c r="J3005" t="str">
        <x:v>MORTGAGE</x:v>
      </x:c>
      <x:c r="K3005" t="str">
        <x:v>credit_card</x:v>
      </x:c>
      <x:c r="L3005" t="n">
        <x:v>0</x:v>
      </x:c>
      <x:c r="M3005" t="n">
        <x:v>0</x:v>
      </x:c>
      <x:c r="N3005" t="str">
        <x:v>Fully Paid</x:v>
      </x:c>
      <x:c r="O3005" t="str">
        <x:f>IF(D3005="","Unknown",IF(D3005&lt;25000,"&lt;$25k",IF(D3005&lt;50000,"$25k-$50k",IF(D3005&lt;75000,"$50k-$75k",IF(D3005&lt;100000,"$75k-$100k","$100k+")))))</x:f>
        <x:v>$25k-$50k</x:v>
      </x:c>
      <x:c r="P3005" t="str">
        <x:f>IF(E3005="","Unknown",IF(E3005&lt;10,"&lt;10",IF(E3005&lt;20,"10-&lt;20",IF(E3005&lt;25,"20-&lt;25",IF(E3005&lt;35,"25-&lt;35","35+")))))</x:f>
        <x:v>10-&lt;20</x:v>
      </x:c>
    </x:row>
    <x:row r="3006">
      <x:c r="A3006" t="str">
        <x:v>SYN0003005</x:v>
      </x:c>
      <x:c r="B3006" s="12" t="n">
        <x:v>42475</x:v>
      </x:c>
      <x:c r="C3006" s="18" t="n">
        <x:v>23694</x:v>
      </x:c>
      <x:c r="D3006" s="18" t="n">
        <x:v>40373</x:v>
      </x:c>
      <x:c r="E3006" s="18" t="n">
        <x:v>7.61</x:v>
      </x:c>
      <x:c r="F3006" s="18" t="n">
        <x:v>9.31</x:v>
      </x:c>
      <x:c r="G3006" t="n">
        <x:v>36</x:v>
      </x:c>
      <x:c r="H3006" t="str">
        <x:v>B</x:v>
      </x:c>
      <x:c r="I3006" t="str">
        <x:v>1-3 years</x:v>
      </x:c>
      <x:c r="J3006" t="str">
        <x:v>MORTGAGE</x:v>
      </x:c>
      <x:c r="K3006" t="str">
        <x:v>credit_card</x:v>
      </x:c>
      <x:c r="L3006" t="n">
        <x:v>0</x:v>
      </x:c>
      <x:c r="M3006" t="n">
        <x:v>1</x:v>
      </x:c>
      <x:c r="N3006" t="str">
        <x:v>Charged Off</x:v>
      </x:c>
      <x:c r="O3006" t="str">
        <x:f>IF(D3006="","Unknown",IF(D3006&lt;25000,"&lt;$25k",IF(D3006&lt;50000,"$25k-$50k",IF(D3006&lt;75000,"$50k-$75k",IF(D3006&lt;100000,"$75k-$100k","$100k+")))))</x:f>
        <x:v>$25k-$50k</x:v>
      </x:c>
      <x:c r="P3006" t="str">
        <x:f>IF(E3006="","Unknown",IF(E3006&lt;10,"&lt;10",IF(E3006&lt;20,"10-&lt;20",IF(E3006&lt;25,"20-&lt;25",IF(E3006&lt;35,"25-&lt;35","35+")))))</x:f>
        <x:v>&lt;10</x:v>
      </x:c>
    </x:row>
    <x:row r="3007">
      <x:c r="A3007" t="str">
        <x:v>SYN0003006</x:v>
      </x:c>
      <x:c r="B3007" s="12" t="n">
        <x:v>43375</x:v>
      </x:c>
      <x:c r="C3007" s="18" t="n">
        <x:v>11207</x:v>
      </x:c>
      <x:c r="D3007" s="18" t="n">
        <x:v>102505</x:v>
      </x:c>
      <x:c r="E3007" s="18" t="n">
        <x:v>32.49</x:v>
      </x:c>
      <x:c r="F3007" s="18" t="n">
        <x:v>7.76</x:v>
      </x:c>
      <x:c r="G3007" t="n">
        <x:v>36</x:v>
      </x:c>
      <x:c r="H3007" t="str">
        <x:v>B</x:v>
      </x:c>
      <x:c r="I3007" t="str">
        <x:v>4-6 years</x:v>
      </x:c>
      <x:c r="J3007" t="str">
        <x:v>RENT</x:v>
      </x:c>
      <x:c r="K3007" t="str">
        <x:v>major_purchase</x:v>
      </x:c>
      <x:c r="L3007" t="n">
        <x:v>0</x:v>
      </x:c>
      <x:c r="M3007" t="n">
        <x:v>0</x:v>
      </x:c>
      <x:c r="N3007" t="str">
        <x:v>Fully Paid</x:v>
      </x:c>
      <x:c r="O3007" t="str">
        <x:f>IF(D3007="","Unknown",IF(D3007&lt;25000,"&lt;$25k",IF(D3007&lt;50000,"$25k-$50k",IF(D3007&lt;75000,"$50k-$75k",IF(D3007&lt;100000,"$75k-$100k","$100k+")))))</x:f>
        <x:v>$100k+</x:v>
      </x:c>
      <x:c r="P3007" t="str">
        <x:f>IF(E3007="","Unknown",IF(E3007&lt;10,"&lt;10",IF(E3007&lt;20,"10-&lt;20",IF(E3007&lt;25,"20-&lt;25",IF(E3007&lt;35,"25-&lt;35","35+")))))</x:f>
        <x:v>25-&lt;35</x:v>
      </x:c>
    </x:row>
    <x:row r="3008">
      <x:c r="A3008" t="str">
        <x:v>SYN0003007</x:v>
      </x:c>
      <x:c r="B3008" s="12" t="n">
        <x:v>43315</x:v>
      </x:c>
      <x:c r="C3008" s="18" t="n">
        <x:v>7569</x:v>
      </x:c>
      <x:c r="D3008" s="18" t="n">
        <x:v>13666</x:v>
      </x:c>
      <x:c r="E3008" s="18" t="n">
        <x:v>17.52</x:v>
      </x:c>
      <x:c r="F3008" s="18" t="n">
        <x:v>18.88</x:v>
      </x:c>
      <x:c r="G3008" t="n">
        <x:v>36</x:v>
      </x:c>
      <x:c r="H3008" t="str">
        <x:v>E</x:v>
      </x:c>
      <x:c r="I3008" t="str">
        <x:v>1-3 years</x:v>
      </x:c>
      <x:c r="J3008" t="str">
        <x:v>MORTGAGE</x:v>
      </x:c>
      <x:c r="K3008" t="str">
        <x:v>debt_consolidation</x:v>
      </x:c>
      <x:c r="L3008" t="n">
        <x:v>2</x:v>
      </x:c>
      <x:c r="M3008" t="n">
        <x:v>0</x:v>
      </x:c>
      <x:c r="N3008" t="str">
        <x:v>Fully Paid</x:v>
      </x:c>
      <x:c r="O3008" t="str">
        <x:f>IF(D3008="","Unknown",IF(D3008&lt;25000,"&lt;$25k",IF(D3008&lt;50000,"$25k-$50k",IF(D3008&lt;75000,"$50k-$75k",IF(D3008&lt;100000,"$75k-$100k","$100k+")))))</x:f>
        <x:v>&lt;$25k</x:v>
      </x:c>
      <x:c r="P3008" t="str">
        <x:f>IF(E3008="","Unknown",IF(E3008&lt;10,"&lt;10",IF(E3008&lt;20,"10-&lt;20",IF(E3008&lt;25,"20-&lt;25",IF(E3008&lt;35,"25-&lt;35","35+")))))</x:f>
        <x:v>10-&lt;20</x:v>
      </x:c>
    </x:row>
    <x:row r="3009">
      <x:c r="A3009" t="str">
        <x:v>SYN0003008</x:v>
      </x:c>
      <x:c r="B3009" s="12" t="n">
        <x:v>42115</x:v>
      </x:c>
      <x:c r="C3009" s="18" t="n">
        <x:v>12197</x:v>
      </x:c>
      <x:c r="D3009" s="18" t="n">
        <x:v>56648</x:v>
      </x:c>
      <x:c r="E3009" s="18" t="n">
        <x:v>20.41</x:v>
      </x:c>
      <x:c r="F3009" s="18" t="n">
        <x:v>6.44</x:v>
      </x:c>
      <x:c r="G3009" t="n">
        <x:v>36</x:v>
      </x:c>
      <x:c r="H3009" t="str">
        <x:v>B</x:v>
      </x:c>
      <x:c r="I3009" t="str">
        <x:v>10+ years</x:v>
      </x:c>
      <x:c r="J3009" t="str">
        <x:v>MORTGAGE</x:v>
      </x:c>
      <x:c r="K3009" t="str">
        <x:v>home_improvement</x:v>
      </x:c>
      <x:c r="L3009" t="n">
        <x:v>1</x:v>
      </x:c>
      <x:c r="M3009" t="n">
        <x:v>0</x:v>
      </x:c>
      <x:c r="N3009" t="str">
        <x:v>Fully Paid</x:v>
      </x:c>
      <x:c r="O3009" t="str">
        <x:f>IF(D3009="","Unknown",IF(D3009&lt;25000,"&lt;$25k",IF(D3009&lt;50000,"$25k-$50k",IF(D3009&lt;75000,"$50k-$75k",IF(D3009&lt;100000,"$75k-$100k","$100k+")))))</x:f>
        <x:v>$50k-$75k</x:v>
      </x:c>
      <x:c r="P3009" t="str">
        <x:f>IF(E3009="","Unknown",IF(E3009&lt;10,"&lt;10",IF(E3009&lt;20,"10-&lt;20",IF(E3009&lt;25,"20-&lt;25",IF(E3009&lt;35,"25-&lt;35","35+")))))</x:f>
        <x:v>20-&lt;25</x:v>
      </x:c>
    </x:row>
    <x:row r="3010">
      <x:c r="A3010" t="str">
        <x:v>SYN0003009</x:v>
      </x:c>
      <x:c r="B3010" s="12" t="n">
        <x:v>41275</x:v>
      </x:c>
      <x:c r="C3010" s="18" t="n">
        <x:v>14021</x:v>
      </x:c>
      <x:c r="D3010" s="18" t="n">
        <x:v>52042</x:v>
      </x:c>
      <x:c r="E3010" s="18" t="n">
        <x:v>27.49</x:v>
      </x:c>
      <x:c r="F3010" s="18" t="n">
        <x:v>17.22</x:v>
      </x:c>
      <x:c r="G3010" t="n">
        <x:v>36</x:v>
      </x:c>
      <x:c r="H3010" t="str">
        <x:v>E</x:v>
      </x:c>
      <x:c r="I3010" t="str">
        <x:v>10+ years</x:v>
      </x:c>
      <x:c r="J3010" t="str">
        <x:v>RENT</x:v>
      </x:c>
      <x:c r="K3010" t="str">
        <x:v>major_purchase</x:v>
      </x:c>
      <x:c r="L3010" t="n">
        <x:v>1</x:v>
      </x:c>
      <x:c r="M3010" t="n">
        <x:v>0</x:v>
      </x:c>
      <x:c r="N3010" t="str">
        <x:v>Fully Paid</x:v>
      </x:c>
      <x:c r="O3010" t="str">
        <x:f>IF(D3010="","Unknown",IF(D3010&lt;25000,"&lt;$25k",IF(D3010&lt;50000,"$25k-$50k",IF(D3010&lt;75000,"$50k-$75k",IF(D3010&lt;100000,"$75k-$100k","$100k+")))))</x:f>
        <x:v>$50k-$75k</x:v>
      </x:c>
      <x:c r="P3010" t="str">
        <x:f>IF(E3010="","Unknown",IF(E3010&lt;10,"&lt;10",IF(E3010&lt;20,"10-&lt;20",IF(E3010&lt;25,"20-&lt;25",IF(E3010&lt;35,"25-&lt;35","35+")))))</x:f>
        <x:v>25-&lt;35</x:v>
      </x:c>
    </x:row>
    <x:row r="3011">
      <x:c r="A3011" t="str">
        <x:v>SYN0003010</x:v>
      </x:c>
      <x:c r="B3011" s="12" t="n">
        <x:v>42145</x:v>
      </x:c>
      <x:c r="C3011" s="18" t="n">
        <x:v>12563</x:v>
      </x:c>
      <x:c r="D3011" s="18" t="n">
        <x:v>64745</x:v>
      </x:c>
      <x:c r="E3011" s="18" t="n">
        <x:v>14.73</x:v>
      </x:c>
      <x:c r="F3011" s="18" t="n">
        <x:v>5</x:v>
      </x:c>
      <x:c r="G3011" t="n">
        <x:v>36</x:v>
      </x:c>
      <x:c r="H3011" t="str">
        <x:v>A</x:v>
      </x:c>
      <x:c r="I3011" t="str">
        <x:v>1-3 years</x:v>
      </x:c>
      <x:c r="J3011" t="str">
        <x:v>RENT</x:v>
      </x:c>
      <x:c r="K3011" t="str">
        <x:v>debt_consolidation</x:v>
      </x:c>
      <x:c r="L3011" t="n">
        <x:v>0</x:v>
      </x:c>
      <x:c r="M3011" t="n">
        <x:v>0</x:v>
      </x:c>
      <x:c r="N3011" t="str">
        <x:v>Fully Paid</x:v>
      </x:c>
      <x:c r="O3011" t="str">
        <x:f>IF(D3011="","Unknown",IF(D3011&lt;25000,"&lt;$25k",IF(D3011&lt;50000,"$25k-$50k",IF(D3011&lt;75000,"$50k-$75k",IF(D3011&lt;100000,"$75k-$100k","$100k+")))))</x:f>
        <x:v>$50k-$75k</x:v>
      </x:c>
      <x:c r="P3011" t="str">
        <x:f>IF(E3011="","Unknown",IF(E3011&lt;10,"&lt;10",IF(E3011&lt;20,"10-&lt;20",IF(E3011&lt;25,"20-&lt;25",IF(E3011&lt;35,"25-&lt;35","35+")))))</x:f>
        <x:v>10-&lt;20</x:v>
      </x:c>
    </x:row>
    <x:row r="3012">
      <x:c r="A3012" t="str">
        <x:v>SYN0003011</x:v>
      </x:c>
      <x:c r="B3012" s="12" t="n">
        <x:v>42295</x:v>
      </x:c>
      <x:c r="C3012" s="18" t="n">
        <x:v>13236</x:v>
      </x:c>
      <x:c r="D3012" s="18" t="n">
        <x:v>32919</x:v>
      </x:c>
      <x:c r="E3012" s="18" t="n">
        <x:v>20.98</x:v>
      </x:c>
      <x:c r="F3012" s="18" t="n">
        <x:v>9.54</x:v>
      </x:c>
      <x:c r="G3012" t="n">
        <x:v>60</x:v>
      </x:c>
      <x:c r="H3012" t="str">
        <x:v>A</x:v>
      </x:c>
      <x:c r="I3012" t="str">
        <x:v>4-6 years</x:v>
      </x:c>
      <x:c r="J3012" t="str">
        <x:v>RENT</x:v>
      </x:c>
      <x:c r="K3012" t="str">
        <x:v>credit_card</x:v>
      </x:c>
      <x:c r="L3012" t="n">
        <x:v>0</x:v>
      </x:c>
      <x:c r="M3012" t="n">
        <x:v>0</x:v>
      </x:c>
      <x:c r="N3012" t="str">
        <x:v>Fully Paid</x:v>
      </x:c>
      <x:c r="O3012" t="str">
        <x:f>IF(D3012="","Unknown",IF(D3012&lt;25000,"&lt;$25k",IF(D3012&lt;50000,"$25k-$50k",IF(D3012&lt;75000,"$50k-$75k",IF(D3012&lt;100000,"$75k-$100k","$100k+")))))</x:f>
        <x:v>$25k-$50k</x:v>
      </x:c>
      <x:c r="P3012" t="str">
        <x:f>IF(E3012="","Unknown",IF(E3012&lt;10,"&lt;10",IF(E3012&lt;20,"10-&lt;20",IF(E3012&lt;25,"20-&lt;25",IF(E3012&lt;35,"25-&lt;35","35+")))))</x:f>
        <x:v>20-&lt;25</x:v>
      </x:c>
    </x:row>
    <x:row r="3013">
      <x:c r="A3013" t="str">
        <x:v>SYN0003012</x:v>
      </x:c>
      <x:c r="B3013" s="12" t="n">
        <x:v>43255</x:v>
      </x:c>
      <x:c r="C3013" s="18" t="n">
        <x:v>23278</x:v>
      </x:c>
      <x:c r="D3013" s="18" t="n">
        <x:v>38739</x:v>
      </x:c>
      <x:c r="E3013" s="18" t="n">
        <x:v>3.24</x:v>
      </x:c>
      <x:c r="F3013" s="18" t="n">
        <x:v>5</x:v>
      </x:c>
      <x:c r="G3013" t="n">
        <x:v>60</x:v>
      </x:c>
      <x:c r="H3013" t="str">
        <x:v>A</x:v>
      </x:c>
      <x:c r="I3013" t="str">
        <x:v>1-3 years</x:v>
      </x:c>
      <x:c r="J3013" t="str">
        <x:v>MORTGAGE</x:v>
      </x:c>
      <x:c r="K3013" t="str">
        <x:v>debt_consolidation</x:v>
      </x:c>
      <x:c r="L3013" t="n">
        <x:v>0</x:v>
      </x:c>
      <x:c r="M3013" t="n">
        <x:v>0</x:v>
      </x:c>
      <x:c r="N3013" t="str">
        <x:v>Fully Paid</x:v>
      </x:c>
      <x:c r="O3013" t="str">
        <x:f>IF(D3013="","Unknown",IF(D3013&lt;25000,"&lt;$25k",IF(D3013&lt;50000,"$25k-$50k",IF(D3013&lt;75000,"$50k-$75k",IF(D3013&lt;100000,"$75k-$100k","$100k+")))))</x:f>
        <x:v>$25k-$50k</x:v>
      </x:c>
      <x:c r="P3013" t="str">
        <x:f>IF(E3013="","Unknown",IF(E3013&lt;10,"&lt;10",IF(E3013&lt;20,"10-&lt;20",IF(E3013&lt;25,"20-&lt;25",IF(E3013&lt;35,"25-&lt;35","35+")))))</x:f>
        <x:v>&lt;10</x:v>
      </x:c>
    </x:row>
    <x:row r="3014">
      <x:c r="A3014" t="str">
        <x:v>SYN0003013</x:v>
      </x:c>
      <x:c r="B3014" s="12" t="n">
        <x:v>41905</x:v>
      </x:c>
      <x:c r="C3014" s="18" t="n">
        <x:v>8460</x:v>
      </x:c>
      <x:c r="D3014" s="18" t="n">
        <x:v>90406</x:v>
      </x:c>
      <x:c r="E3014" s="18" t="n">
        <x:v>22.79</x:v>
      </x:c>
      <x:c r="F3014" s="18" t="n">
        <x:v>5</x:v>
      </x:c>
      <x:c r="G3014" t="n">
        <x:v>36</x:v>
      </x:c>
      <x:c r="H3014" t="str">
        <x:v>A</x:v>
      </x:c>
      <x:c r="I3014" t="str">
        <x:v>1-3 years</x:v>
      </x:c>
      <x:c r="J3014" t="str">
        <x:v>OWN</x:v>
      </x:c>
      <x:c r="K3014" t="str">
        <x:v>major_purchase</x:v>
      </x:c>
      <x:c r="L3014" t="n">
        <x:v>0</x:v>
      </x:c>
      <x:c r="M3014" t="n">
        <x:v>0</x:v>
      </x:c>
      <x:c r="N3014" t="str">
        <x:v>Fully Paid</x:v>
      </x:c>
      <x:c r="O3014" t="str">
        <x:f>IF(D3014="","Unknown",IF(D3014&lt;25000,"&lt;$25k",IF(D3014&lt;50000,"$25k-$50k",IF(D3014&lt;75000,"$50k-$75k",IF(D3014&lt;100000,"$75k-$100k","$100k+")))))</x:f>
        <x:v>$75k-$100k</x:v>
      </x:c>
      <x:c r="P3014" t="str">
        <x:f>IF(E3014="","Unknown",IF(E3014&lt;10,"&lt;10",IF(E3014&lt;20,"10-&lt;20",IF(E3014&lt;25,"20-&lt;25",IF(E3014&lt;35,"25-&lt;35","35+")))))</x:f>
        <x:v>20-&lt;25</x:v>
      </x:c>
    </x:row>
    <x:row r="3015">
      <x:c r="A3015" t="str">
        <x:v>SYN0003014</x:v>
      </x:c>
      <x:c r="B3015" s="12" t="n">
        <x:v>41845</x:v>
      </x:c>
      <x:c r="C3015" s="18" t="n">
        <x:v>13394</x:v>
      </x:c>
      <x:c r="D3015" s="18" t="n">
        <x:v>184589</x:v>
      </x:c>
      <x:c r="E3015" s="18" t="n">
        <x:v>32.13</x:v>
      </x:c>
      <x:c r="F3015" s="18" t="n">
        <x:v>5.24</x:v>
      </x:c>
      <x:c r="G3015" t="n">
        <x:v>36</x:v>
      </x:c>
      <x:c r="H3015" t="str">
        <x:v>A</x:v>
      </x:c>
      <x:c r="I3015" t="str">
        <x:v>&lt;1 year</x:v>
      </x:c>
      <x:c r="J3015" t="str">
        <x:v>RENT</x:v>
      </x:c>
      <x:c r="K3015" t="str">
        <x:v>debt_consolidation</x:v>
      </x:c>
      <x:c r="L3015" t="n">
        <x:v>0</x:v>
      </x:c>
      <x:c r="M3015" t="n">
        <x:v>0</x:v>
      </x:c>
      <x:c r="N3015" t="str">
        <x:v>Fully Paid</x:v>
      </x:c>
      <x:c r="O3015" t="str">
        <x:f>IF(D3015="","Unknown",IF(D3015&lt;25000,"&lt;$25k",IF(D3015&lt;50000,"$25k-$50k",IF(D3015&lt;75000,"$50k-$75k",IF(D3015&lt;100000,"$75k-$100k","$100k+")))))</x:f>
        <x:v>$100k+</x:v>
      </x:c>
      <x:c r="P3015" t="str">
        <x:f>IF(E3015="","Unknown",IF(E3015&lt;10,"&lt;10",IF(E3015&lt;20,"10-&lt;20",IF(E3015&lt;25,"20-&lt;25",IF(E3015&lt;35,"25-&lt;35","35+")))))</x:f>
        <x:v>25-&lt;35</x:v>
      </x:c>
    </x:row>
    <x:row r="3016">
      <x:c r="A3016" t="str">
        <x:v>SYN0003015</x:v>
      </x:c>
      <x:c r="B3016" s="12" t="n">
        <x:v>41395</x:v>
      </x:c>
      <x:c r="C3016" s="18" t="n">
        <x:v>21075</x:v>
      </x:c>
      <x:c r="D3016" s="18" t="n">
        <x:v>78126</x:v>
      </x:c>
      <x:c r="E3016" s="18" t="n">
        <x:v>33.78</x:v>
      </x:c>
      <x:c r="F3016" s="18" t="n">
        <x:v>5.86</x:v>
      </x:c>
      <x:c r="G3016" t="n">
        <x:v>60</x:v>
      </x:c>
      <x:c r="H3016" t="str">
        <x:v>A</x:v>
      </x:c>
      <x:c r="I3016" t="str">
        <x:v>&lt;1 year</x:v>
      </x:c>
      <x:c r="J3016" t="str">
        <x:v>OWN</x:v>
      </x:c>
      <x:c r="K3016" t="str">
        <x:v>debt_consolidation</x:v>
      </x:c>
      <x:c r="L3016" t="n">
        <x:v>0</x:v>
      </x:c>
      <x:c r="M3016" t="n">
        <x:v>0</x:v>
      </x:c>
      <x:c r="N3016" t="str">
        <x:v>Fully Paid</x:v>
      </x:c>
      <x:c r="O3016" t="str">
        <x:f>IF(D3016="","Unknown",IF(D3016&lt;25000,"&lt;$25k",IF(D3016&lt;50000,"$25k-$50k",IF(D3016&lt;75000,"$50k-$75k",IF(D3016&lt;100000,"$75k-$100k","$100k+")))))</x:f>
        <x:v>$75k-$100k</x:v>
      </x:c>
      <x:c r="P3016" t="str">
        <x:f>IF(E3016="","Unknown",IF(E3016&lt;10,"&lt;10",IF(E3016&lt;20,"10-&lt;20",IF(E3016&lt;25,"20-&lt;25",IF(E3016&lt;35,"25-&lt;35","35+")))))</x:f>
        <x:v>25-&lt;35</x:v>
      </x:c>
    </x:row>
    <x:row r="3017">
      <x:c r="A3017" t="str">
        <x:v>SYN0003016</x:v>
      </x:c>
      <x:c r="B3017" s="12" t="n">
        <x:v>43225</x:v>
      </x:c>
      <x:c r="C3017" s="18" t="n">
        <x:v>10566</x:v>
      </x:c>
      <x:c r="D3017" s="18" t="n">
        <x:v>27704</x:v>
      </x:c>
      <x:c r="E3017" s="18" t="n">
        <x:v>18</x:v>
      </x:c>
      <x:c r="F3017" s="18" t="n">
        <x:v>13.14</x:v>
      </x:c>
      <x:c r="G3017" t="n">
        <x:v>60</x:v>
      </x:c>
      <x:c r="H3017" t="str">
        <x:v>D</x:v>
      </x:c>
      <x:c r="I3017" t="str">
        <x:v>4-6 years</x:v>
      </x:c>
      <x:c r="J3017" t="str">
        <x:v>MORTGAGE</x:v>
      </x:c>
      <x:c r="K3017" t="str">
        <x:v>debt_consolidation</x:v>
      </x:c>
      <x:c r="L3017" t="n">
        <x:v>0</x:v>
      </x:c>
      <x:c r="M3017" t="n">
        <x:v>0</x:v>
      </x:c>
      <x:c r="N3017" t="str">
        <x:v>Fully Paid</x:v>
      </x:c>
      <x:c r="O3017" t="str">
        <x:f>IF(D3017="","Unknown",IF(D3017&lt;25000,"&lt;$25k",IF(D3017&lt;50000,"$25k-$50k",IF(D3017&lt;75000,"$50k-$75k",IF(D3017&lt;100000,"$75k-$100k","$100k+")))))</x:f>
        <x:v>$25k-$50k</x:v>
      </x:c>
      <x:c r="P3017" t="str">
        <x:f>IF(E3017="","Unknown",IF(E3017&lt;10,"&lt;10",IF(E3017&lt;20,"10-&lt;20",IF(E3017&lt;25,"20-&lt;25",IF(E3017&lt;35,"25-&lt;35","35+")))))</x:f>
        <x:v>10-&lt;20</x:v>
      </x:c>
    </x:row>
    <x:row r="3018">
      <x:c r="A3018" t="str">
        <x:v>SYN0003017</x:v>
      </x:c>
      <x:c r="B3018" s="12" t="n">
        <x:v>43225</x:v>
      </x:c>
      <x:c r="C3018" s="18" t="n">
        <x:v>11436</x:v>
      </x:c>
      <x:c r="D3018" s="18" t="n">
        <x:v>38695</x:v>
      </x:c>
      <x:c r="E3018" s="18" t="n">
        <x:v>24.33</x:v>
      </x:c>
      <x:c r="F3018" s="18" t="n">
        <x:v>15.23</x:v>
      </x:c>
      <x:c r="G3018" t="n">
        <x:v>36</x:v>
      </x:c>
      <x:c r="H3018" t="str">
        <x:v>D</x:v>
      </x:c>
      <x:c r="I3018" t="str">
        <x:v>1-3 years</x:v>
      </x:c>
      <x:c r="J3018" t="str">
        <x:v>OWN</x:v>
      </x:c>
      <x:c r="K3018" t="str">
        <x:v>medical</x:v>
      </x:c>
      <x:c r="L3018" t="n">
        <x:v>0</x:v>
      </x:c>
      <x:c r="M3018" t="n">
        <x:v>0</x:v>
      </x:c>
      <x:c r="N3018" t="str">
        <x:v>Fully Paid</x:v>
      </x:c>
      <x:c r="O3018" t="str">
        <x:f>IF(D3018="","Unknown",IF(D3018&lt;25000,"&lt;$25k",IF(D3018&lt;50000,"$25k-$50k",IF(D3018&lt;75000,"$50k-$75k",IF(D3018&lt;100000,"$75k-$100k","$100k+")))))</x:f>
        <x:v>$25k-$50k</x:v>
      </x:c>
      <x:c r="P3018" t="str">
        <x:f>IF(E3018="","Unknown",IF(E3018&lt;10,"&lt;10",IF(E3018&lt;20,"10-&lt;20",IF(E3018&lt;25,"20-&lt;25",IF(E3018&lt;35,"25-&lt;35","35+")))))</x:f>
        <x:v>20-&lt;25</x:v>
      </x:c>
    </x:row>
    <x:row r="3019">
      <x:c r="A3019" t="str">
        <x:v>SYN0003018</x:v>
      </x:c>
      <x:c r="B3019" s="12" t="n">
        <x:v>42835</x:v>
      </x:c>
      <x:c r="C3019" s="18" t="n">
        <x:v>7807</x:v>
      </x:c>
      <x:c r="D3019" s="18" t="n">
        <x:v>45488</x:v>
      </x:c>
      <x:c r="E3019" s="18" t="n">
        <x:v>18.67</x:v>
      </x:c>
      <x:c r="F3019" s="18" t="n">
        <x:v>13.45</x:v>
      </x:c>
      <x:c r="G3019" t="n">
        <x:v>36</x:v>
      </x:c>
      <x:c r="H3019" t="str">
        <x:v>D</x:v>
      </x:c>
      <x:c r="I3019" t="str">
        <x:v>7-9 years</x:v>
      </x:c>
      <x:c r="J3019" t="str">
        <x:v>RENT</x:v>
      </x:c>
      <x:c r="K3019" t="str">
        <x:v>credit_card</x:v>
      </x:c>
      <x:c r="L3019" t="n">
        <x:v>0</x:v>
      </x:c>
      <x:c r="M3019" t="n">
        <x:v>0</x:v>
      </x:c>
      <x:c r="N3019" t="str">
        <x:v>Fully Paid</x:v>
      </x:c>
      <x:c r="O3019" t="str">
        <x:f>IF(D3019="","Unknown",IF(D3019&lt;25000,"&lt;$25k",IF(D3019&lt;50000,"$25k-$50k",IF(D3019&lt;75000,"$50k-$75k",IF(D3019&lt;100000,"$75k-$100k","$100k+")))))</x:f>
        <x:v>$25k-$50k</x:v>
      </x:c>
      <x:c r="P3019" t="str">
        <x:f>IF(E3019="","Unknown",IF(E3019&lt;10,"&lt;10",IF(E3019&lt;20,"10-&lt;20",IF(E3019&lt;25,"20-&lt;25",IF(E3019&lt;35,"25-&lt;35","35+")))))</x:f>
        <x:v>10-&lt;20</x:v>
      </x:c>
    </x:row>
    <x:row r="3020">
      <x:c r="A3020" t="str">
        <x:v>SYN0003019</x:v>
      </x:c>
      <x:c r="B3020" s="12" t="n">
        <x:v>41395</x:v>
      </x:c>
      <x:c r="C3020" s="18" t="n">
        <x:v>10137</x:v>
      </x:c>
      <x:c r="D3020" s="18" t="n">
        <x:v>23251</x:v>
      </x:c>
      <x:c r="E3020" s="18" t="n">
        <x:v>30.4</x:v>
      </x:c>
      <x:c r="F3020" s="18" t="n">
        <x:v>8.33</x:v>
      </x:c>
      <x:c r="G3020" t="n">
        <x:v>36</x:v>
      </x:c>
      <x:c r="H3020" t="str">
        <x:v>B</x:v>
      </x:c>
      <x:c r="I3020" t="str">
        <x:v>4-6 years</x:v>
      </x:c>
      <x:c r="J3020" t="str">
        <x:v>MORTGAGE</x:v>
      </x:c>
      <x:c r="K3020" t="str">
        <x:v>debt_consolidation</x:v>
      </x:c>
      <x:c r="L3020" t="n">
        <x:v>0</x:v>
      </x:c>
      <x:c r="M3020" t="n">
        <x:v>1</x:v>
      </x:c>
      <x:c r="N3020" t="str">
        <x:v>Charged Off</x:v>
      </x:c>
      <x:c r="O3020" t="str">
        <x:f>IF(D3020="","Unknown",IF(D3020&lt;25000,"&lt;$25k",IF(D3020&lt;50000,"$25k-$50k",IF(D3020&lt;75000,"$50k-$75k",IF(D3020&lt;100000,"$75k-$100k","$100k+")))))</x:f>
        <x:v>&lt;$25k</x:v>
      </x:c>
      <x:c r="P3020" t="str">
        <x:f>IF(E3020="","Unknown",IF(E3020&lt;10,"&lt;10",IF(E3020&lt;20,"10-&lt;20",IF(E3020&lt;25,"20-&lt;25",IF(E3020&lt;35,"25-&lt;35","35+")))))</x:f>
        <x:v>25-&lt;35</x:v>
      </x:c>
    </x:row>
    <x:row r="3021">
      <x:c r="A3021" t="str">
        <x:v>SYN0003020</x:v>
      </x:c>
      <x:c r="B3021" s="12" t="n">
        <x:v>43285</x:v>
      </x:c>
      <x:c r="C3021" s="18" t="n">
        <x:v>19360</x:v>
      </x:c>
      <x:c r="D3021" s="18" t="n">
        <x:v>58170</x:v>
      </x:c>
      <x:c r="E3021" s="18" t="n">
        <x:v>15.66</x:v>
      </x:c>
      <x:c r="F3021" s="18" t="n">
        <x:v>20.02</x:v>
      </x:c>
      <x:c r="G3021" t="n">
        <x:v>36</x:v>
      </x:c>
      <x:c r="H3021" t="str">
        <x:v>F</x:v>
      </x:c>
      <x:c r="I3021" t="str">
        <x:v>4-6 years</x:v>
      </x:c>
      <x:c r="J3021" t="str">
        <x:v>OTHER</x:v>
      </x:c>
      <x:c r="K3021" t="str">
        <x:v>debt_consolidation</x:v>
      </x:c>
      <x:c r="L3021" t="n">
        <x:v>1</x:v>
      </x:c>
      <x:c r="M3021" t="n">
        <x:v>0</x:v>
      </x:c>
      <x:c r="N3021" t="str">
        <x:v>Fully Paid</x:v>
      </x:c>
      <x:c r="O3021" t="str">
        <x:f>IF(D3021="","Unknown",IF(D3021&lt;25000,"&lt;$25k",IF(D3021&lt;50000,"$25k-$50k",IF(D3021&lt;75000,"$50k-$75k",IF(D3021&lt;100000,"$75k-$100k","$100k+")))))</x:f>
        <x:v>$50k-$75k</x:v>
      </x:c>
      <x:c r="P3021" t="str">
        <x:f>IF(E3021="","Unknown",IF(E3021&lt;10,"&lt;10",IF(E3021&lt;20,"10-&lt;20",IF(E3021&lt;25,"20-&lt;25",IF(E3021&lt;35,"25-&lt;35","35+")))))</x:f>
        <x:v>10-&lt;20</x:v>
      </x:c>
    </x:row>
    <x:row r="3022">
      <x:c r="A3022" t="str">
        <x:v>SYN0003021</x:v>
      </x:c>
      <x:c r="B3022" s="12" t="n">
        <x:v>41725</x:v>
      </x:c>
      <x:c r="C3022" s="18" t="n">
        <x:v>17019</x:v>
      </x:c>
      <x:c r="D3022" s="18" t="n">
        <x:v>97077</x:v>
      </x:c>
      <x:c r="E3022" s="18" t="n">
        <x:v>0</x:v>
      </x:c>
      <x:c r="F3022" s="18" t="n">
        <x:v>10.48</x:v>
      </x:c>
      <x:c r="G3022" t="n">
        <x:v>36</x:v>
      </x:c>
      <x:c r="H3022" t="str">
        <x:v>B</x:v>
      </x:c>
      <x:c r="I3022" t="str">
        <x:v>&lt;1 year</x:v>
      </x:c>
      <x:c r="J3022" t="str">
        <x:v>MORTGAGE</x:v>
      </x:c>
      <x:c r="K3022" t="str">
        <x:v>home_improvement</x:v>
      </x:c>
      <x:c r="L3022" t="n">
        <x:v>1</x:v>
      </x:c>
      <x:c r="M3022" t="n">
        <x:v>0</x:v>
      </x:c>
      <x:c r="N3022" t="str">
        <x:v>Fully Paid</x:v>
      </x:c>
      <x:c r="O3022" t="str">
        <x:f>IF(D3022="","Unknown",IF(D3022&lt;25000,"&lt;$25k",IF(D3022&lt;50000,"$25k-$50k",IF(D3022&lt;75000,"$50k-$75k",IF(D3022&lt;100000,"$75k-$100k","$100k+")))))</x:f>
        <x:v>$75k-$100k</x:v>
      </x:c>
      <x:c r="P3022" t="str">
        <x:f>IF(E3022="","Unknown",IF(E3022&lt;10,"&lt;10",IF(E3022&lt;20,"10-&lt;20",IF(E3022&lt;25,"20-&lt;25",IF(E3022&lt;35,"25-&lt;35","35+")))))</x:f>
        <x:v>Unknown</x:v>
      </x:c>
    </x:row>
    <x:row r="3023">
      <x:c r="A3023" t="str">
        <x:v>SYN0003022</x:v>
      </x:c>
      <x:c r="B3023" s="12" t="n">
        <x:v>42235</x:v>
      </x:c>
      <x:c r="C3023" s="18" t="n">
        <x:v>7462</x:v>
      </x:c>
      <x:c r="D3023" s="18" t="n">
        <x:v>25348</x:v>
      </x:c>
      <x:c r="E3023" s="18" t="n">
        <x:v>20.26</x:v>
      </x:c>
      <x:c r="F3023" s="18" t="n">
        <x:v>9.48</x:v>
      </x:c>
      <x:c r="G3023" t="n">
        <x:v>36</x:v>
      </x:c>
      <x:c r="H3023" t="str">
        <x:v>B</x:v>
      </x:c>
      <x:c r="I3023" t="str">
        <x:v>10+ years</x:v>
      </x:c>
      <x:c r="J3023" t="str">
        <x:v>MORTGAGE</x:v>
      </x:c>
      <x:c r="K3023" t="str">
        <x:v>debt_consolidation</x:v>
      </x:c>
      <x:c r="L3023" t="n">
        <x:v>0</x:v>
      </x:c>
      <x:c r="M3023" t="n">
        <x:v>0</x:v>
      </x:c>
      <x:c r="N3023" t="str">
        <x:v>Fully Paid</x:v>
      </x:c>
      <x:c r="O3023" t="str">
        <x:f>IF(D3023="","Unknown",IF(D3023&lt;25000,"&lt;$25k",IF(D3023&lt;50000,"$25k-$50k",IF(D3023&lt;75000,"$50k-$75k",IF(D3023&lt;100000,"$75k-$100k","$100k+")))))</x:f>
        <x:v>$25k-$50k</x:v>
      </x:c>
      <x:c r="P3023" t="str">
        <x:f>IF(E3023="","Unknown",IF(E3023&lt;10,"&lt;10",IF(E3023&lt;20,"10-&lt;20",IF(E3023&lt;25,"20-&lt;25",IF(E3023&lt;35,"25-&lt;35","35+")))))</x:f>
        <x:v>20-&lt;25</x:v>
      </x:c>
    </x:row>
    <x:row r="3024">
      <x:c r="A3024" t="str">
        <x:v>SYN0003023</x:v>
      </x:c>
      <x:c r="B3024" s="12" t="n">
        <x:v>41755</x:v>
      </x:c>
      <x:c r="C3024" s="18" t="n">
        <x:v>32238</x:v>
      </x:c>
      <x:c r="D3024" s="18" t="n">
        <x:v>65083</x:v>
      </x:c>
      <x:c r="E3024" s="18" t="n">
        <x:v>15.97</x:v>
      </x:c>
      <x:c r="F3024" s="18" t="n">
        <x:v>10</x:v>
      </x:c>
      <x:c r="G3024" t="n">
        <x:v>36</x:v>
      </x:c>
      <x:c r="H3024" t="str">
        <x:v>B</x:v>
      </x:c>
      <x:c r="I3024" t="str">
        <x:v>7-9 years</x:v>
      </x:c>
      <x:c r="J3024" t="str">
        <x:v>RENT</x:v>
      </x:c>
      <x:c r="K3024" t="str">
        <x:v>debt_consolidation</x:v>
      </x:c>
      <x:c r="L3024" t="n">
        <x:v>0</x:v>
      </x:c>
      <x:c r="M3024" t="n">
        <x:v>0</x:v>
      </x:c>
      <x:c r="N3024" t="str">
        <x:v>Fully Paid</x:v>
      </x:c>
      <x:c r="O3024" t="str">
        <x:f>IF(D3024="","Unknown",IF(D3024&lt;25000,"&lt;$25k",IF(D3024&lt;50000,"$25k-$50k",IF(D3024&lt;75000,"$50k-$75k",IF(D3024&lt;100000,"$75k-$100k","$100k+")))))</x:f>
        <x:v>$50k-$75k</x:v>
      </x:c>
      <x:c r="P3024" t="str">
        <x:f>IF(E3024="","Unknown",IF(E3024&lt;10,"&lt;10",IF(E3024&lt;20,"10-&lt;20",IF(E3024&lt;25,"20-&lt;25",IF(E3024&lt;35,"25-&lt;35","35+")))))</x:f>
        <x:v>10-&lt;20</x:v>
      </x:c>
    </x:row>
    <x:row r="3025">
      <x:c r="A3025" t="str">
        <x:v>SYN0003024</x:v>
      </x:c>
      <x:c r="B3025" s="12" t="n">
        <x:v>43075</x:v>
      </x:c>
      <x:c r="C3025" s="18" t="n">
        <x:v>5698</x:v>
      </x:c>
      <x:c r="D3025" s="18" t="n">
        <x:v>37335</x:v>
      </x:c>
      <x:c r="E3025" s="18" t="n">
        <x:v>9.72</x:v>
      </x:c>
      <x:c r="F3025" s="18" t="n">
        <x:v>6.03</x:v>
      </x:c>
      <x:c r="G3025" t="n">
        <x:v>36</x:v>
      </x:c>
      <x:c r="H3025" t="str">
        <x:v>B</x:v>
      </x:c>
      <x:c r="I3025" t="str">
        <x:v>&lt;1 year</x:v>
      </x:c>
      <x:c r="J3025" t="str">
        <x:v>OTHER</x:v>
      </x:c>
      <x:c r="K3025" t="str">
        <x:v>home_improvement</x:v>
      </x:c>
      <x:c r="L3025" t="n">
        <x:v>0</x:v>
      </x:c>
      <x:c r="M3025" t="n">
        <x:v>1</x:v>
      </x:c>
      <x:c r="N3025" t="str">
        <x:v>Charged Off</x:v>
      </x:c>
      <x:c r="O3025" t="str">
        <x:f>IF(D3025="","Unknown",IF(D3025&lt;25000,"&lt;$25k",IF(D3025&lt;50000,"$25k-$50k",IF(D3025&lt;75000,"$50k-$75k",IF(D3025&lt;100000,"$75k-$100k","$100k+")))))</x:f>
        <x:v>$25k-$50k</x:v>
      </x:c>
      <x:c r="P3025" t="str">
        <x:f>IF(E3025="","Unknown",IF(E3025&lt;10,"&lt;10",IF(E3025&lt;20,"10-&lt;20",IF(E3025&lt;25,"20-&lt;25",IF(E3025&lt;35,"25-&lt;35","35+")))))</x:f>
        <x:v>&lt;10</x:v>
      </x:c>
    </x:row>
    <x:row r="3026">
      <x:c r="A3026" t="str">
        <x:v>SYN0003025</x:v>
      </x:c>
      <x:c r="B3026" s="12" t="n">
        <x:v>42835</x:v>
      </x:c>
      <x:c r="C3026" s="18" t="n">
        <x:v>13946</x:v>
      </x:c>
      <x:c r="D3026" s="18" t="n">
        <x:v>53730</x:v>
      </x:c>
      <x:c r="E3026" s="18" t="n">
        <x:v>22.91</x:v>
      </x:c>
      <x:c r="F3026" s="18" t="n">
        <x:v>8.86</x:v>
      </x:c>
      <x:c r="G3026" t="n">
        <x:v>36</x:v>
      </x:c>
      <x:c r="H3026" t="str">
        <x:v>A</x:v>
      </x:c>
      <x:c r="I3026" t="str">
        <x:v>10+ years</x:v>
      </x:c>
      <x:c r="J3026" t="str">
        <x:v>OWN</x:v>
      </x:c>
      <x:c r="K3026" t="str">
        <x:v>debt_consolidation</x:v>
      </x:c>
      <x:c r="L3026" t="n">
        <x:v>0</x:v>
      </x:c>
      <x:c r="M3026" t="n">
        <x:v>0</x:v>
      </x:c>
      <x:c r="N3026" t="str">
        <x:v>Fully Paid</x:v>
      </x:c>
      <x:c r="O3026" t="str">
        <x:f>IF(D3026="","Unknown",IF(D3026&lt;25000,"&lt;$25k",IF(D3026&lt;50000,"$25k-$50k",IF(D3026&lt;75000,"$50k-$75k",IF(D3026&lt;100000,"$75k-$100k","$100k+")))))</x:f>
        <x:v>$50k-$75k</x:v>
      </x:c>
      <x:c r="P3026" t="str">
        <x:f>IF(E3026="","Unknown",IF(E3026&lt;10,"&lt;10",IF(E3026&lt;20,"10-&lt;20",IF(E3026&lt;25,"20-&lt;25",IF(E3026&lt;35,"25-&lt;35","35+")))))</x:f>
        <x:v>20-&lt;25</x:v>
      </x:c>
    </x:row>
    <x:row r="3027">
      <x:c r="A3027" t="str">
        <x:v>SYN0003026</x:v>
      </x:c>
      <x:c r="B3027" s="12" t="n">
        <x:v>43165</x:v>
      </x:c>
      <x:c r="C3027" s="18" t="n">
        <x:v>14838</x:v>
      </x:c>
      <x:c r="D3027" s="18" t="n">
        <x:v>71298</x:v>
      </x:c>
      <x:c r="E3027" s="18" t="n">
        <x:v>32.04</x:v>
      </x:c>
      <x:c r="F3027" s="18" t="n">
        <x:v>9.96</x:v>
      </x:c>
      <x:c r="G3027" t="n">
        <x:v>36</x:v>
      </x:c>
      <x:c r="H3027" t="str">
        <x:v>B</x:v>
      </x:c>
      <x:c r="I3027" t="str">
        <x:v>10+ years</x:v>
      </x:c>
      <x:c r="J3027" t="str">
        <x:v>MORTGAGE</x:v>
      </x:c>
      <x:c r="K3027" t="str">
        <x:v>debt_consolidation</x:v>
      </x:c>
      <x:c r="L3027" t="n">
        <x:v>0</x:v>
      </x:c>
      <x:c r="M3027" t="n">
        <x:v>0</x:v>
      </x:c>
      <x:c r="N3027" t="str">
        <x:v>Fully Paid</x:v>
      </x:c>
      <x:c r="O3027" t="str">
        <x:f>IF(D3027="","Unknown",IF(D3027&lt;25000,"&lt;$25k",IF(D3027&lt;50000,"$25k-$50k",IF(D3027&lt;75000,"$50k-$75k",IF(D3027&lt;100000,"$75k-$100k","$100k+")))))</x:f>
        <x:v>$50k-$75k</x:v>
      </x:c>
      <x:c r="P3027" t="str">
        <x:f>IF(E3027="","Unknown",IF(E3027&lt;10,"&lt;10",IF(E3027&lt;20,"10-&lt;20",IF(E3027&lt;25,"20-&lt;25",IF(E3027&lt;35,"25-&lt;35","35+")))))</x:f>
        <x:v>25-&lt;35</x:v>
      </x:c>
    </x:row>
    <x:row r="3028">
      <x:c r="A3028" t="str">
        <x:v>SYN0003027</x:v>
      </x:c>
      <x:c r="B3028" s="12" t="n">
        <x:v>41635</x:v>
      </x:c>
      <x:c r="C3028" s="18" t="n">
        <x:v>8082</x:v>
      </x:c>
      <x:c r="D3028" s="18" t="n">
        <x:v>29143</x:v>
      </x:c>
      <x:c r="E3028" s="18" t="n">
        <x:v>12.94</x:v>
      </x:c>
      <x:c r="F3028" s="18" t="n">
        <x:v>8.93</x:v>
      </x:c>
      <x:c r="G3028" t="n">
        <x:v>36</x:v>
      </x:c>
      <x:c r="H3028" t="str">
        <x:v>A</x:v>
      </x:c>
      <x:c r="I3028" t="str">
        <x:v>4-6 years</x:v>
      </x:c>
      <x:c r="J3028" t="str">
        <x:v>MORTGAGE</x:v>
      </x:c>
      <x:c r="K3028" t="str">
        <x:v>debt_consolidation</x:v>
      </x:c>
      <x:c r="L3028" t="n">
        <x:v>0</x:v>
      </x:c>
      <x:c r="M3028" t="n">
        <x:v>0</x:v>
      </x:c>
      <x:c r="N3028" t="str">
        <x:v>Fully Paid</x:v>
      </x:c>
      <x:c r="O3028" t="str">
        <x:f>IF(D3028="","Unknown",IF(D3028&lt;25000,"&lt;$25k",IF(D3028&lt;50000,"$25k-$50k",IF(D3028&lt;75000,"$50k-$75k",IF(D3028&lt;100000,"$75k-$100k","$100k+")))))</x:f>
        <x:v>$25k-$50k</x:v>
      </x:c>
      <x:c r="P3028" t="str">
        <x:f>IF(E3028="","Unknown",IF(E3028&lt;10,"&lt;10",IF(E3028&lt;20,"10-&lt;20",IF(E3028&lt;25,"20-&lt;25",IF(E3028&lt;35,"25-&lt;35","35+")))))</x:f>
        <x:v>10-&lt;20</x:v>
      </x:c>
    </x:row>
    <x:row r="3029">
      <x:c r="A3029" t="str">
        <x:v>SYN0003028</x:v>
      </x:c>
      <x:c r="B3029" s="12" t="n">
        <x:v>42715</x:v>
      </x:c>
      <x:c r="C3029" s="18" t="n">
        <x:v>8943</x:v>
      </x:c>
      <x:c r="D3029" s="18" t="n">
        <x:v>120963</x:v>
      </x:c>
      <x:c r="E3029" s="18" t="n">
        <x:v>31.14</x:v>
      </x:c>
      <x:c r="F3029" s="18" t="n">
        <x:v>10.15</x:v>
      </x:c>
      <x:c r="G3029" t="n">
        <x:v>36</x:v>
      </x:c>
      <x:c r="H3029" t="str">
        <x:v>C</x:v>
      </x:c>
      <x:c r="I3029" t="str">
        <x:v>7-9 years</x:v>
      </x:c>
      <x:c r="J3029" t="str">
        <x:v>MORTGAGE</x:v>
      </x:c>
      <x:c r="K3029" t="str">
        <x:v>debt_consolidation</x:v>
      </x:c>
      <x:c r="L3029" t="n">
        <x:v>0</x:v>
      </x:c>
      <x:c r="M3029" t="n">
        <x:v>0</x:v>
      </x:c>
      <x:c r="N3029" t="str">
        <x:v>Fully Paid</x:v>
      </x:c>
      <x:c r="O3029" t="str">
        <x:f>IF(D3029="","Unknown",IF(D3029&lt;25000,"&lt;$25k",IF(D3029&lt;50000,"$25k-$50k",IF(D3029&lt;75000,"$50k-$75k",IF(D3029&lt;100000,"$75k-$100k","$100k+")))))</x:f>
        <x:v>$100k+</x:v>
      </x:c>
      <x:c r="P3029" t="str">
        <x:f>IF(E3029="","Unknown",IF(E3029&lt;10,"&lt;10",IF(E3029&lt;20,"10-&lt;20",IF(E3029&lt;25,"20-&lt;25",IF(E3029&lt;35,"25-&lt;35","35+")))))</x:f>
        <x:v>25-&lt;35</x:v>
      </x:c>
    </x:row>
    <x:row r="3030">
      <x:c r="A3030" t="str">
        <x:v>SYN0003029</x:v>
      </x:c>
      <x:c r="B3030" s="12" t="n">
        <x:v>42145</x:v>
      </x:c>
      <x:c r="C3030" s="18" t="n">
        <x:v>11448</x:v>
      </x:c>
      <x:c r="D3030" s="18" t="n">
        <x:v>29199</x:v>
      </x:c>
      <x:c r="E3030" s="18" t="n">
        <x:v>14.87</x:v>
      </x:c>
      <x:c r="F3030" s="18" t="n">
        <x:v>11.3</x:v>
      </x:c>
      <x:c r="G3030" t="n">
        <x:v>36</x:v>
      </x:c>
      <x:c r="H3030" t="str">
        <x:v>C</x:v>
      </x:c>
      <x:c r="I3030" t="str">
        <x:v>1-3 years</x:v>
      </x:c>
      <x:c r="J3030" t="str">
        <x:v>RENT</x:v>
      </x:c>
      <x:c r="K3030" t="str">
        <x:v>debt_consolidation</x:v>
      </x:c>
      <x:c r="L3030" t="n">
        <x:v>1</x:v>
      </x:c>
      <x:c r="M3030" t="n">
        <x:v>0</x:v>
      </x:c>
      <x:c r="N3030" t="str">
        <x:v>Fully Paid</x:v>
      </x:c>
      <x:c r="O3030" t="str">
        <x:f>IF(D3030="","Unknown",IF(D3030&lt;25000,"&lt;$25k",IF(D3030&lt;50000,"$25k-$50k",IF(D3030&lt;75000,"$50k-$75k",IF(D3030&lt;100000,"$75k-$100k","$100k+")))))</x:f>
        <x:v>$25k-$50k</x:v>
      </x:c>
      <x:c r="P3030" t="str">
        <x:f>IF(E3030="","Unknown",IF(E3030&lt;10,"&lt;10",IF(E3030&lt;20,"10-&lt;20",IF(E3030&lt;25,"20-&lt;25",IF(E3030&lt;35,"25-&lt;35","35+")))))</x:f>
        <x:v>10-&lt;20</x:v>
      </x:c>
    </x:row>
    <x:row r="3031">
      <x:c r="A3031" t="str">
        <x:v>SYN0003030</x:v>
      </x:c>
      <x:c r="B3031" s="12" t="n">
        <x:v>42145</x:v>
      </x:c>
      <x:c r="C3031" s="18" t="n">
        <x:v>17829</x:v>
      </x:c>
      <x:c r="D3031" s="18" t="n">
        <x:v>22638</x:v>
      </x:c>
      <x:c r="E3031" s="18" t="n">
        <x:v>16.65</x:v>
      </x:c>
      <x:c r="F3031" s="18" t="n">
        <x:v>10.85</x:v>
      </x:c>
      <x:c r="G3031" t="n">
        <x:v>60</x:v>
      </x:c>
      <x:c r="H3031" t="str">
        <x:v>C</x:v>
      </x:c>
      <x:c r="I3031" t="str">
        <x:v>7-9 years</x:v>
      </x:c>
      <x:c r="J3031" t="str">
        <x:v>RENT</x:v>
      </x:c>
      <x:c r="K3031" t="str">
        <x:v>debt_consolidation</x:v>
      </x:c>
      <x:c r="L3031" t="n">
        <x:v>2</x:v>
      </x:c>
      <x:c r="M3031" t="n">
        <x:v>0</x:v>
      </x:c>
      <x:c r="N3031" t="str">
        <x:v>Fully Paid</x:v>
      </x:c>
      <x:c r="O3031" t="str">
        <x:f>IF(D3031="","Unknown",IF(D3031&lt;25000,"&lt;$25k",IF(D3031&lt;50000,"$25k-$50k",IF(D3031&lt;75000,"$50k-$75k",IF(D3031&lt;100000,"$75k-$100k","$100k+")))))</x:f>
        <x:v>&lt;$25k</x:v>
      </x:c>
      <x:c r="P3031" t="str">
        <x:f>IF(E3031="","Unknown",IF(E3031&lt;10,"&lt;10",IF(E3031&lt;20,"10-&lt;20",IF(E3031&lt;25,"20-&lt;25",IF(E3031&lt;35,"25-&lt;35","35+")))))</x:f>
        <x:v>10-&lt;20</x:v>
      </x:c>
    </x:row>
    <x:row r="3032">
      <x:c r="A3032" t="str">
        <x:v>SYN0003031</x:v>
      </x:c>
      <x:c r="B3032" s="12" t="n">
        <x:v>41275</x:v>
      </x:c>
      <x:c r="C3032" s="18" t="n">
        <x:v>20268</x:v>
      </x:c>
      <x:c r="D3032" s="18" t="n">
        <x:v>48343</x:v>
      </x:c>
      <x:c r="E3032" s="18" t="n">
        <x:v>9.61</x:v>
      </x:c>
      <x:c r="F3032" s="18" t="n">
        <x:v>14.64</x:v>
      </x:c>
      <x:c r="G3032" t="n">
        <x:v>36</x:v>
      </x:c>
      <x:c r="H3032" t="str">
        <x:v>D</x:v>
      </x:c>
      <x:c r="I3032" t="str">
        <x:v>1-3 years</x:v>
      </x:c>
      <x:c r="J3032" t="str">
        <x:v>RENT</x:v>
      </x:c>
      <x:c r="K3032" t="str">
        <x:v>home_improvement</x:v>
      </x:c>
      <x:c r="L3032" t="n">
        <x:v>0</x:v>
      </x:c>
      <x:c r="M3032" t="n">
        <x:v>0</x:v>
      </x:c>
      <x:c r="N3032" t="str">
        <x:v>Fully Paid</x:v>
      </x:c>
      <x:c r="O3032" t="str">
        <x:f>IF(D3032="","Unknown",IF(D3032&lt;25000,"&lt;$25k",IF(D3032&lt;50000,"$25k-$50k",IF(D3032&lt;75000,"$50k-$75k",IF(D3032&lt;100000,"$75k-$100k","$100k+")))))</x:f>
        <x:v>$25k-$50k</x:v>
      </x:c>
      <x:c r="P3032" t="str">
        <x:f>IF(E3032="","Unknown",IF(E3032&lt;10,"&lt;10",IF(E3032&lt;20,"10-&lt;20",IF(E3032&lt;25,"20-&lt;25",IF(E3032&lt;35,"25-&lt;35","35+")))))</x:f>
        <x:v>&lt;10</x:v>
      </x:c>
    </x:row>
    <x:row r="3033">
      <x:c r="A3033" t="str">
        <x:v>SYN0003032</x:v>
      </x:c>
      <x:c r="B3033" s="12" t="n">
        <x:v>42715</x:v>
      </x:c>
      <x:c r="C3033" s="18" t="n">
        <x:v>2882</x:v>
      </x:c>
      <x:c r="D3033" s="18" t="n">
        <x:v>23539</x:v>
      </x:c>
      <x:c r="E3033" s="18" t="n">
        <x:v>2.98</x:v>
      </x:c>
      <x:c r="F3033" s="18" t="n">
        <x:v>6.9</x:v>
      </x:c>
      <x:c r="G3033" t="n">
        <x:v>36</x:v>
      </x:c>
      <x:c r="H3033" t="str">
        <x:v>B</x:v>
      </x:c>
      <x:c r="I3033" t="str">
        <x:v>4-6 years</x:v>
      </x:c>
      <x:c r="J3033" t="str">
        <x:v>RENT</x:v>
      </x:c>
      <x:c r="K3033" t="str">
        <x:v>debt_consolidation</x:v>
      </x:c>
      <x:c r="L3033" t="n">
        <x:v>0</x:v>
      </x:c>
      <x:c r="M3033" t="n">
        <x:v>0</x:v>
      </x:c>
      <x:c r="N3033" t="str">
        <x:v>Fully Paid</x:v>
      </x:c>
      <x:c r="O3033" t="str">
        <x:f>IF(D3033="","Unknown",IF(D3033&lt;25000,"&lt;$25k",IF(D3033&lt;50000,"$25k-$50k",IF(D3033&lt;75000,"$50k-$75k",IF(D3033&lt;100000,"$75k-$100k","$100k+")))))</x:f>
        <x:v>&lt;$25k</x:v>
      </x:c>
      <x:c r="P3033" t="str">
        <x:f>IF(E3033="","Unknown",IF(E3033&lt;10,"&lt;10",IF(E3033&lt;20,"10-&lt;20",IF(E3033&lt;25,"20-&lt;25",IF(E3033&lt;35,"25-&lt;35","35+")))))</x:f>
        <x:v>&lt;10</x:v>
      </x:c>
    </x:row>
    <x:row r="3034">
      <x:c r="A3034" t="str">
        <x:v>SYN0003033</x:v>
      </x:c>
      <x:c r="B3034" s="12" t="n">
        <x:v>43015</x:v>
      </x:c>
      <x:c r="C3034" s="18" t="n">
        <x:v>5773</x:v>
      </x:c>
      <x:c r="D3034" s="18" t="n">
        <x:v>164128</x:v>
      </x:c>
      <x:c r="E3034" s="18" t="n">
        <x:v>14.43</x:v>
      </x:c>
      <x:c r="F3034" s="18" t="n">
        <x:v>6.57</x:v>
      </x:c>
      <x:c r="G3034" t="n">
        <x:v>36</x:v>
      </x:c>
      <x:c r="H3034" t="str">
        <x:v>A</x:v>
      </x:c>
      <x:c r="I3034" t="str">
        <x:v>1-3 years</x:v>
      </x:c>
      <x:c r="J3034" t="str">
        <x:v>MORTGAGE</x:v>
      </x:c>
      <x:c r="K3034" t="str">
        <x:v>debt_consolidation</x:v>
      </x:c>
      <x:c r="L3034" t="n">
        <x:v>0</x:v>
      </x:c>
      <x:c r="M3034" t="n">
        <x:v>0</x:v>
      </x:c>
      <x:c r="N3034" t="str">
        <x:v>Fully Paid</x:v>
      </x:c>
      <x:c r="O3034" t="str">
        <x:f>IF(D3034="","Unknown",IF(D3034&lt;25000,"&lt;$25k",IF(D3034&lt;50000,"$25k-$50k",IF(D3034&lt;75000,"$50k-$75k",IF(D3034&lt;100000,"$75k-$100k","$100k+")))))</x:f>
        <x:v>$100k+</x:v>
      </x:c>
      <x:c r="P3034" t="str">
        <x:f>IF(E3034="","Unknown",IF(E3034&lt;10,"&lt;10",IF(E3034&lt;20,"10-&lt;20",IF(E3034&lt;25,"20-&lt;25",IF(E3034&lt;35,"25-&lt;35","35+")))))</x:f>
        <x:v>10-&lt;20</x:v>
      </x:c>
    </x:row>
    <x:row r="3035">
      <x:c r="A3035" t="str">
        <x:v>SYN0003034</x:v>
      </x:c>
      <x:c r="B3035" s="12" t="n">
        <x:v>41635</x:v>
      </x:c>
      <x:c r="C3035" s="18" t="n">
        <x:v>22232</x:v>
      </x:c>
      <x:c r="D3035" s="18" t="n">
        <x:v>161319</x:v>
      </x:c>
      <x:c r="E3035" s="18" t="n">
        <x:v>16.94</x:v>
      </x:c>
      <x:c r="F3035" s="18" t="n">
        <x:v>6.19</x:v>
      </x:c>
      <x:c r="G3035" t="n">
        <x:v>36</x:v>
      </x:c>
      <x:c r="H3035" t="str">
        <x:v>A</x:v>
      </x:c>
      <x:c r="I3035" t="str">
        <x:v>10+ years</x:v>
      </x:c>
      <x:c r="J3035" t="str">
        <x:v>MORTGAGE</x:v>
      </x:c>
      <x:c r="K3035" t="str">
        <x:v>debt_consolidation</x:v>
      </x:c>
      <x:c r="L3035" t="n">
        <x:v>0</x:v>
      </x:c>
      <x:c r="M3035" t="n">
        <x:v>0</x:v>
      </x:c>
      <x:c r="N3035" t="str">
        <x:v>Fully Paid</x:v>
      </x:c>
      <x:c r="O3035" t="str">
        <x:f>IF(D3035="","Unknown",IF(D3035&lt;25000,"&lt;$25k",IF(D3035&lt;50000,"$25k-$50k",IF(D3035&lt;75000,"$50k-$75k",IF(D3035&lt;100000,"$75k-$100k","$100k+")))))</x:f>
        <x:v>$100k+</x:v>
      </x:c>
      <x:c r="P3035" t="str">
        <x:f>IF(E3035="","Unknown",IF(E3035&lt;10,"&lt;10",IF(E3035&lt;20,"10-&lt;20",IF(E3035&lt;25,"20-&lt;25",IF(E3035&lt;35,"25-&lt;35","35+")))))</x:f>
        <x:v>10-&lt;20</x:v>
      </x:c>
    </x:row>
    <x:row r="3036">
      <x:c r="A3036" t="str">
        <x:v>SYN0003035</x:v>
      </x:c>
      <x:c r="B3036" s="12" t="n">
        <x:v>43315</x:v>
      </x:c>
      <x:c r="C3036" s="18" t="n">
        <x:v>14812</x:v>
      </x:c>
      <x:c r="D3036" s="18" t="n">
        <x:v>71132</x:v>
      </x:c>
      <x:c r="E3036" s="18" t="n">
        <x:v>24.79</x:v>
      </x:c>
      <x:c r="F3036" s="18" t="n">
        <x:v>15.48</x:v>
      </x:c>
      <x:c r="G3036" t="n">
        <x:v>36</x:v>
      </x:c>
      <x:c r="H3036" t="str">
        <x:v>D</x:v>
      </x:c>
      <x:c r="I3036" t="str">
        <x:v>1-3 years</x:v>
      </x:c>
      <x:c r="J3036" t="str">
        <x:v>OWN</x:v>
      </x:c>
      <x:c r="K3036" t="str">
        <x:v>major_purchase</x:v>
      </x:c>
      <x:c r="L3036" t="n">
        <x:v>1</x:v>
      </x:c>
      <x:c r="M3036" t="n">
        <x:v>0</x:v>
      </x:c>
      <x:c r="N3036" t="str">
        <x:v>Fully Paid</x:v>
      </x:c>
      <x:c r="O3036" t="str">
        <x:f>IF(D3036="","Unknown",IF(D3036&lt;25000,"&lt;$25k",IF(D3036&lt;50000,"$25k-$50k",IF(D3036&lt;75000,"$50k-$75k",IF(D3036&lt;100000,"$75k-$100k","$100k+")))))</x:f>
        <x:v>$50k-$75k</x:v>
      </x:c>
      <x:c r="P3036" t="str">
        <x:f>IF(E3036="","Unknown",IF(E3036&lt;10,"&lt;10",IF(E3036&lt;20,"10-&lt;20",IF(E3036&lt;25,"20-&lt;25",IF(E3036&lt;35,"25-&lt;35","35+")))))</x:f>
        <x:v>20-&lt;25</x:v>
      </x:c>
    </x:row>
    <x:row r="3037">
      <x:c r="A3037" t="str">
        <x:v>SYN0003036</x:v>
      </x:c>
      <x:c r="B3037" s="12" t="n">
        <x:v>42295</x:v>
      </x:c>
      <x:c r="C3037" s="18" t="n">
        <x:v>11144</x:v>
      </x:c>
      <x:c r="D3037" s="18" t="n">
        <x:v>76807</x:v>
      </x:c>
      <x:c r="E3037" s="18" t="n">
        <x:v>20.33</x:v>
      </x:c>
      <x:c r="F3037" s="18" t="n">
        <x:v>16.68</x:v>
      </x:c>
      <x:c r="G3037" t="n">
        <x:v>36</x:v>
      </x:c>
      <x:c r="H3037" t="str">
        <x:v>E</x:v>
      </x:c>
      <x:c r="I3037" t="str">
        <x:v>1-3 years</x:v>
      </x:c>
      <x:c r="J3037" t="str">
        <x:v>OWN</x:v>
      </x:c>
      <x:c r="K3037" t="str">
        <x:v>home_improvement</x:v>
      </x:c>
      <x:c r="L3037" t="n">
        <x:v>1</x:v>
      </x:c>
      <x:c r="M3037" t="n">
        <x:v>0</x:v>
      </x:c>
      <x:c r="N3037" t="str">
        <x:v>Fully Paid</x:v>
      </x:c>
      <x:c r="O3037" t="str">
        <x:f>IF(D3037="","Unknown",IF(D3037&lt;25000,"&lt;$25k",IF(D3037&lt;50000,"$25k-$50k",IF(D3037&lt;75000,"$50k-$75k",IF(D3037&lt;100000,"$75k-$100k","$100k+")))))</x:f>
        <x:v>$75k-$100k</x:v>
      </x:c>
      <x:c r="P3037" t="str">
        <x:f>IF(E3037="","Unknown",IF(E3037&lt;10,"&lt;10",IF(E3037&lt;20,"10-&lt;20",IF(E3037&lt;25,"20-&lt;25",IF(E3037&lt;35,"25-&lt;35","35+")))))</x:f>
        <x:v>20-&lt;25</x:v>
      </x:c>
    </x:row>
    <x:row r="3038">
      <x:c r="A3038" t="str">
        <x:v>SYN0003037</x:v>
      </x:c>
      <x:c r="B3038" s="12" t="n">
        <x:v>43105</x:v>
      </x:c>
      <x:c r="C3038" s="18" t="n">
        <x:v>2230</x:v>
      </x:c>
      <x:c r="D3038" s="18" t="n">
        <x:v>55466</x:v>
      </x:c>
      <x:c r="E3038" s="18" t="n">
        <x:v>31.47</x:v>
      </x:c>
      <x:c r="F3038" s="18" t="n">
        <x:v>14.12</x:v>
      </x:c>
      <x:c r="G3038" t="n">
        <x:v>36</x:v>
      </x:c>
      <x:c r="H3038" t="str">
        <x:v>D</x:v>
      </x:c>
      <x:c r="I3038" t="str">
        <x:v>10+ years</x:v>
      </x:c>
      <x:c r="J3038" t="str">
        <x:v>MORTGAGE</x:v>
      </x:c>
      <x:c r="K3038" t="str">
        <x:v>debt_consolidation</x:v>
      </x:c>
      <x:c r="L3038" t="n">
        <x:v>0</x:v>
      </x:c>
      <x:c r="M3038" t="n">
        <x:v>0</x:v>
      </x:c>
      <x:c r="N3038" t="str">
        <x:v>Fully Paid</x:v>
      </x:c>
      <x:c r="O3038" t="str">
        <x:f>IF(D3038="","Unknown",IF(D3038&lt;25000,"&lt;$25k",IF(D3038&lt;50000,"$25k-$50k",IF(D3038&lt;75000,"$50k-$75k",IF(D3038&lt;100000,"$75k-$100k","$100k+")))))</x:f>
        <x:v>$50k-$75k</x:v>
      </x:c>
      <x:c r="P3038" t="str">
        <x:f>IF(E3038="","Unknown",IF(E3038&lt;10,"&lt;10",IF(E3038&lt;20,"10-&lt;20",IF(E3038&lt;25,"20-&lt;25",IF(E3038&lt;35,"25-&lt;35","35+")))))</x:f>
        <x:v>25-&lt;35</x:v>
      </x:c>
    </x:row>
    <x:row r="3039">
      <x:c r="A3039" t="str">
        <x:v>SYN0003038</x:v>
      </x:c>
      <x:c r="B3039" s="12" t="n">
        <x:v>41575</x:v>
      </x:c>
      <x:c r="C3039" s="18" t="n">
        <x:v>17203</x:v>
      </x:c>
      <x:c r="D3039" s="18" t="n">
        <x:v>52374</x:v>
      </x:c>
      <x:c r="E3039" s="18" t="n">
        <x:v>25.71</x:v>
      </x:c>
      <x:c r="F3039" s="18" t="n">
        <x:v>8.11</x:v>
      </x:c>
      <x:c r="G3039" t="n">
        <x:v>60</x:v>
      </x:c>
      <x:c r="H3039" t="str">
        <x:v>B</x:v>
      </x:c>
      <x:c r="I3039" t="str">
        <x:v>4-6 years</x:v>
      </x:c>
      <x:c r="J3039" t="str">
        <x:v>OWN</x:v>
      </x:c>
      <x:c r="K3039" t="str">
        <x:v>major_purchase</x:v>
      </x:c>
      <x:c r="L3039" t="n">
        <x:v>0</x:v>
      </x:c>
      <x:c r="M3039" t="n">
        <x:v>0</x:v>
      </x:c>
      <x:c r="N3039" t="str">
        <x:v>Fully Paid</x:v>
      </x:c>
      <x:c r="O3039" t="str">
        <x:f>IF(D3039="","Unknown",IF(D3039&lt;25000,"&lt;$25k",IF(D3039&lt;50000,"$25k-$50k",IF(D3039&lt;75000,"$50k-$75k",IF(D3039&lt;100000,"$75k-$100k","$100k+")))))</x:f>
        <x:v>$50k-$75k</x:v>
      </x:c>
      <x:c r="P3039" t="str">
        <x:f>IF(E3039="","Unknown",IF(E3039&lt;10,"&lt;10",IF(E3039&lt;20,"10-&lt;20",IF(E3039&lt;25,"20-&lt;25",IF(E3039&lt;35,"25-&lt;35","35+")))))</x:f>
        <x:v>25-&lt;35</x:v>
      </x:c>
    </x:row>
    <x:row r="3040">
      <x:c r="A3040" t="str">
        <x:v>SYN0003039</x:v>
      </x:c>
      <x:c r="B3040" s="12" t="n">
        <x:v>42235</x:v>
      </x:c>
      <x:c r="C3040" s="18" t="n">
        <x:v>12352</x:v>
      </x:c>
      <x:c r="D3040" s="18" t="n">
        <x:v>21115</x:v>
      </x:c>
      <x:c r="E3040" s="18" t="n">
        <x:v>9.06</x:v>
      </x:c>
      <x:c r="F3040" s="18" t="n">
        <x:v>12.7</x:v>
      </x:c>
      <x:c r="G3040" t="n">
        <x:v>36</x:v>
      </x:c>
      <x:c r="H3040" t="str">
        <x:v>D</x:v>
      </x:c>
      <x:c r="I3040" t="str">
        <x:v>7-9 years</x:v>
      </x:c>
      <x:c r="J3040" t="str">
        <x:v>RENT</x:v>
      </x:c>
      <x:c r="K3040" t="str">
        <x:v>debt_consolidation</x:v>
      </x:c>
      <x:c r="L3040" t="n">
        <x:v>0</x:v>
      </x:c>
      <x:c r="M3040" t="n">
        <x:v>0</x:v>
      </x:c>
      <x:c r="N3040" t="str">
        <x:v>Fully Paid</x:v>
      </x:c>
      <x:c r="O3040" t="str">
        <x:f>IF(D3040="","Unknown",IF(D3040&lt;25000,"&lt;$25k",IF(D3040&lt;50000,"$25k-$50k",IF(D3040&lt;75000,"$50k-$75k",IF(D3040&lt;100000,"$75k-$100k","$100k+")))))</x:f>
        <x:v>&lt;$25k</x:v>
      </x:c>
      <x:c r="P3040" t="str">
        <x:f>IF(E3040="","Unknown",IF(E3040&lt;10,"&lt;10",IF(E3040&lt;20,"10-&lt;20",IF(E3040&lt;25,"20-&lt;25",IF(E3040&lt;35,"25-&lt;35","35+")))))</x:f>
        <x:v>&lt;10</x:v>
      </x:c>
    </x:row>
    <x:row r="3041">
      <x:c r="A3041" t="str">
        <x:v>SYN0003040</x:v>
      </x:c>
      <x:c r="B3041" s="12" t="n">
        <x:v>41785</x:v>
      </x:c>
      <x:c r="C3041" s="18" t="n">
        <x:v>12087</x:v>
      </x:c>
      <x:c r="D3041" s="18" t="n">
        <x:v>47098</x:v>
      </x:c>
      <x:c r="E3041" s="18" t="n">
        <x:v>28.69</x:v>
      </x:c>
      <x:c r="F3041" s="18" t="n">
        <x:v>16.42</x:v>
      </x:c>
      <x:c r="G3041" t="n">
        <x:v>36</x:v>
      </x:c>
      <x:c r="H3041" t="str">
        <x:v>D</x:v>
      </x:c>
      <x:c r="I3041" t="str">
        <x:v>7-9 years</x:v>
      </x:c>
      <x:c r="J3041" t="str">
        <x:v>MORTGAGE</x:v>
      </x:c>
      <x:c r="K3041" t="str">
        <x:v>credit_card</x:v>
      </x:c>
      <x:c r="L3041" t="n">
        <x:v>0</x:v>
      </x:c>
      <x:c r="M3041" t="n">
        <x:v>0</x:v>
      </x:c>
      <x:c r="N3041" t="str">
        <x:v>Fully Paid</x:v>
      </x:c>
      <x:c r="O3041" t="str">
        <x:f>IF(D3041="","Unknown",IF(D3041&lt;25000,"&lt;$25k",IF(D3041&lt;50000,"$25k-$50k",IF(D3041&lt;75000,"$50k-$75k",IF(D3041&lt;100000,"$75k-$100k","$100k+")))))</x:f>
        <x:v>$25k-$50k</x:v>
      </x:c>
      <x:c r="P3041" t="str">
        <x:f>IF(E3041="","Unknown",IF(E3041&lt;10,"&lt;10",IF(E3041&lt;20,"10-&lt;20",IF(E3041&lt;25,"20-&lt;25",IF(E3041&lt;35,"25-&lt;35","35+")))))</x:f>
        <x:v>25-&lt;35</x:v>
      </x:c>
    </x:row>
    <x:row r="3042">
      <x:c r="A3042" t="str">
        <x:v>SYN0003041</x:v>
      </x:c>
      <x:c r="B3042" s="12" t="n">
        <x:v>41515</x:v>
      </x:c>
      <x:c r="C3042" s="18" t="n">
        <x:v>6144</x:v>
      </x:c>
      <x:c r="D3042" s="18" t="n">
        <x:v>51668</x:v>
      </x:c>
      <x:c r="E3042" s="18" t="n">
        <x:v>24.52</x:v>
      </x:c>
      <x:c r="F3042" s="18" t="n">
        <x:v>25.63</x:v>
      </x:c>
      <x:c r="G3042" t="n">
        <x:v>36</x:v>
      </x:c>
      <x:c r="H3042" t="str">
        <x:v>G</x:v>
      </x:c>
      <x:c r="I3042" t="str">
        <x:v>7-9 years</x:v>
      </x:c>
      <x:c r="J3042" t="str">
        <x:v>MORTGAGE</x:v>
      </x:c>
      <x:c r="K3042" t="str">
        <x:v>debt_consolidation</x:v>
      </x:c>
      <x:c r="L3042" t="n">
        <x:v>0</x:v>
      </x:c>
      <x:c r="M3042" t="n">
        <x:v>1</x:v>
      </x:c>
      <x:c r="N3042" t="str">
        <x:v>Charged Off</x:v>
      </x:c>
      <x:c r="O3042" t="str">
        <x:f>IF(D3042="","Unknown",IF(D3042&lt;25000,"&lt;$25k",IF(D3042&lt;50000,"$25k-$50k",IF(D3042&lt;75000,"$50k-$75k",IF(D3042&lt;100000,"$75k-$100k","$100k+")))))</x:f>
        <x:v>$50k-$75k</x:v>
      </x:c>
      <x:c r="P3042" t="str">
        <x:f>IF(E3042="","Unknown",IF(E3042&lt;10,"&lt;10",IF(E3042&lt;20,"10-&lt;20",IF(E3042&lt;25,"20-&lt;25",IF(E3042&lt;35,"25-&lt;35","35+")))))</x:f>
        <x:v>20-&lt;25</x:v>
      </x:c>
    </x:row>
    <x:row r="3043">
      <x:c r="A3043" t="str">
        <x:v>SYN0003042</x:v>
      </x:c>
      <x:c r="B3043" s="12" t="n">
        <x:v>42265</x:v>
      </x:c>
      <x:c r="C3043" s="18" t="n">
        <x:v>7647</x:v>
      </x:c>
      <x:c r="D3043" s="18" t="n">
        <x:v>150411</x:v>
      </x:c>
      <x:c r="E3043" s="18" t="n">
        <x:v>20.93</x:v>
      </x:c>
      <x:c r="F3043" s="18" t="n">
        <x:v>7.88</x:v>
      </x:c>
      <x:c r="G3043" t="n">
        <x:v>36</x:v>
      </x:c>
      <x:c r="H3043" t="str">
        <x:v>B</x:v>
      </x:c>
      <x:c r="I3043" t="str">
        <x:v>4-6 years</x:v>
      </x:c>
      <x:c r="J3043" t="str">
        <x:v>RENT</x:v>
      </x:c>
      <x:c r="K3043" t="str">
        <x:v>home_improvement</x:v>
      </x:c>
      <x:c r="L3043" t="n">
        <x:v>0</x:v>
      </x:c>
      <x:c r="M3043" t="n">
        <x:v>0</x:v>
      </x:c>
      <x:c r="N3043" t="str">
        <x:v>Fully Paid</x:v>
      </x:c>
      <x:c r="O3043" t="str">
        <x:f>IF(D3043="","Unknown",IF(D3043&lt;25000,"&lt;$25k",IF(D3043&lt;50000,"$25k-$50k",IF(D3043&lt;75000,"$50k-$75k",IF(D3043&lt;100000,"$75k-$100k","$100k+")))))</x:f>
        <x:v>$100k+</x:v>
      </x:c>
      <x:c r="P3043" t="str">
        <x:f>IF(E3043="","Unknown",IF(E3043&lt;10,"&lt;10",IF(E3043&lt;20,"10-&lt;20",IF(E3043&lt;25,"20-&lt;25",IF(E3043&lt;35,"25-&lt;35","35+")))))</x:f>
        <x:v>20-&lt;25</x:v>
      </x:c>
    </x:row>
    <x:row r="3044">
      <x:c r="A3044" t="str">
        <x:v>SYN0003043</x:v>
      </x:c>
      <x:c r="B3044" s="12" t="n">
        <x:v>41365</x:v>
      </x:c>
      <x:c r="C3044" s="18" t="n">
        <x:v>12601</x:v>
      </x:c>
      <x:c r="D3044" s="18" t="n">
        <x:v>112862</x:v>
      </x:c>
      <x:c r="E3044" s="18" t="n">
        <x:v>20.52</x:v>
      </x:c>
      <x:c r="F3044" s="18" t="n">
        <x:v>9.99</x:v>
      </x:c>
      <x:c r="G3044" t="n">
        <x:v>60</x:v>
      </x:c>
      <x:c r="H3044" t="str">
        <x:v>C</x:v>
      </x:c>
      <x:c r="I3044" t="str">
        <x:v>4-6 years</x:v>
      </x:c>
      <x:c r="J3044" t="str">
        <x:v>MORTGAGE</x:v>
      </x:c>
      <x:c r="K3044" t="str">
        <x:v>debt_consolidation</x:v>
      </x:c>
      <x:c r="L3044" t="n">
        <x:v>0</x:v>
      </x:c>
      <x:c r="M3044" t="n">
        <x:v>0</x:v>
      </x:c>
      <x:c r="N3044" t="str">
        <x:v>Fully Paid</x:v>
      </x:c>
      <x:c r="O3044" t="str">
        <x:f>IF(D3044="","Unknown",IF(D3044&lt;25000,"&lt;$25k",IF(D3044&lt;50000,"$25k-$50k",IF(D3044&lt;75000,"$50k-$75k",IF(D3044&lt;100000,"$75k-$100k","$100k+")))))</x:f>
        <x:v>$100k+</x:v>
      </x:c>
      <x:c r="P3044" t="str">
        <x:f>IF(E3044="","Unknown",IF(E3044&lt;10,"&lt;10",IF(E3044&lt;20,"10-&lt;20",IF(E3044&lt;25,"20-&lt;25",IF(E3044&lt;35,"25-&lt;35","35+")))))</x:f>
        <x:v>20-&lt;25</x:v>
      </x:c>
    </x:row>
    <x:row r="3045">
      <x:c r="A3045" t="str">
        <x:v>SYN0003044</x:v>
      </x:c>
      <x:c r="B3045" s="12" t="n">
        <x:v>42805</x:v>
      </x:c>
      <x:c r="C3045" s="18" t="n">
        <x:v>11411</x:v>
      </x:c>
      <x:c r="D3045" s="18" t="n">
        <x:v>62438</x:v>
      </x:c>
      <x:c r="E3045" s="18" t="n">
        <x:v>24.38</x:v>
      </x:c>
      <x:c r="F3045" s="18" t="n">
        <x:v>14.08</x:v>
      </x:c>
      <x:c r="G3045" t="n">
        <x:v>36</x:v>
      </x:c>
      <x:c r="H3045" t="str">
        <x:v>D</x:v>
      </x:c>
      <x:c r="I3045" t="str">
        <x:v>10+ years</x:v>
      </x:c>
      <x:c r="J3045" t="str">
        <x:v>RENT</x:v>
      </x:c>
      <x:c r="K3045" t="str">
        <x:v>credit_card</x:v>
      </x:c>
      <x:c r="L3045" t="n">
        <x:v>0</x:v>
      </x:c>
      <x:c r="M3045" t="n">
        <x:v>0</x:v>
      </x:c>
      <x:c r="N3045" t="str">
        <x:v>Fully Paid</x:v>
      </x:c>
      <x:c r="O3045" t="str">
        <x:f>IF(D3045="","Unknown",IF(D3045&lt;25000,"&lt;$25k",IF(D3045&lt;50000,"$25k-$50k",IF(D3045&lt;75000,"$50k-$75k",IF(D3045&lt;100000,"$75k-$100k","$100k+")))))</x:f>
        <x:v>$50k-$75k</x:v>
      </x:c>
      <x:c r="P3045" t="str">
        <x:f>IF(E3045="","Unknown",IF(E3045&lt;10,"&lt;10",IF(E3045&lt;20,"10-&lt;20",IF(E3045&lt;25,"20-&lt;25",IF(E3045&lt;35,"25-&lt;35","35+")))))</x:f>
        <x:v>20-&lt;25</x:v>
      </x:c>
    </x:row>
    <x:row r="3046">
      <x:c r="A3046" t="str">
        <x:v>SYN0003045</x:v>
      </x:c>
      <x:c r="B3046" s="12" t="n">
        <x:v>42085</x:v>
      </x:c>
      <x:c r="C3046" s="18" t="n">
        <x:v>17191</x:v>
      </x:c>
      <x:c r="D3046" s="18" t="n">
        <x:v>119251</x:v>
      </x:c>
      <x:c r="E3046" s="18" t="n">
        <x:v>24.8</x:v>
      </x:c>
      <x:c r="F3046" s="18" t="n">
        <x:v>14.88</x:v>
      </x:c>
      <x:c r="G3046" t="n">
        <x:v>60</x:v>
      </x:c>
      <x:c r="H3046" t="str">
        <x:v>C</x:v>
      </x:c>
      <x:c r="I3046" t="str">
        <x:v>4-6 years</x:v>
      </x:c>
      <x:c r="J3046" t="str">
        <x:v>MORTGAGE</x:v>
      </x:c>
      <x:c r="K3046" t="str">
        <x:v>other</x:v>
      </x:c>
      <x:c r="L3046" t="n">
        <x:v>0</x:v>
      </x:c>
      <x:c r="M3046" t="n">
        <x:v>0</x:v>
      </x:c>
      <x:c r="N3046" t="str">
        <x:v>Fully Paid</x:v>
      </x:c>
      <x:c r="O3046" t="str">
        <x:f>IF(D3046="","Unknown",IF(D3046&lt;25000,"&lt;$25k",IF(D3046&lt;50000,"$25k-$50k",IF(D3046&lt;75000,"$50k-$75k",IF(D3046&lt;100000,"$75k-$100k","$100k+")))))</x:f>
        <x:v>$100k+</x:v>
      </x:c>
      <x:c r="P3046" t="str">
        <x:f>IF(E3046="","Unknown",IF(E3046&lt;10,"&lt;10",IF(E3046&lt;20,"10-&lt;20",IF(E3046&lt;25,"20-&lt;25",IF(E3046&lt;35,"25-&lt;35","35+")))))</x:f>
        <x:v>20-&lt;25</x:v>
      </x:c>
    </x:row>
    <x:row r="3047">
      <x:c r="A3047" t="str">
        <x:v>SYN0003046</x:v>
      </x:c>
      <x:c r="B3047" s="12" t="n">
        <x:v>42145</x:v>
      </x:c>
      <x:c r="C3047" s="18" t="n">
        <x:v>17285</x:v>
      </x:c>
      <x:c r="D3047" s="18" t="n">
        <x:v>59098</x:v>
      </x:c>
      <x:c r="E3047" s="18" t="n">
        <x:v>19.86</x:v>
      </x:c>
      <x:c r="F3047" s="18" t="n">
        <x:v>10.81</x:v>
      </x:c>
      <x:c r="G3047" t="n">
        <x:v>36</x:v>
      </x:c>
      <x:c r="H3047" t="str">
        <x:v>C</x:v>
      </x:c>
      <x:c r="I3047" t="str">
        <x:v>10+ years</x:v>
      </x:c>
      <x:c r="J3047" t="str">
        <x:v>OTHER</x:v>
      </x:c>
      <x:c r="K3047" t="str">
        <x:v>debt_consolidation</x:v>
      </x:c>
      <x:c r="L3047" t="n">
        <x:v>0</x:v>
      </x:c>
      <x:c r="M3047" t="n">
        <x:v>1</x:v>
      </x:c>
      <x:c r="N3047" t="str">
        <x:v>Charged Off</x:v>
      </x:c>
      <x:c r="O3047" t="str">
        <x:f>IF(D3047="","Unknown",IF(D3047&lt;25000,"&lt;$25k",IF(D3047&lt;50000,"$25k-$50k",IF(D3047&lt;75000,"$50k-$75k",IF(D3047&lt;100000,"$75k-$100k","$100k+")))))</x:f>
        <x:v>$50k-$75k</x:v>
      </x:c>
      <x:c r="P3047" t="str">
        <x:f>IF(E3047="","Unknown",IF(E3047&lt;10,"&lt;10",IF(E3047&lt;20,"10-&lt;20",IF(E3047&lt;25,"20-&lt;25",IF(E3047&lt;35,"25-&lt;35","35+")))))</x:f>
        <x:v>10-&lt;20</x:v>
      </x:c>
    </x:row>
    <x:row r="3048">
      <x:c r="A3048" t="str">
        <x:v>SYN0003047</x:v>
      </x:c>
      <x:c r="B3048" s="12" t="n">
        <x:v>41995</x:v>
      </x:c>
      <x:c r="C3048" s="18" t="n">
        <x:v>15723</x:v>
      </x:c>
      <x:c r="D3048" s="18" t="n">
        <x:v>55992</x:v>
      </x:c>
      <x:c r="E3048" s="18" t="n">
        <x:v>21.69</x:v>
      </x:c>
      <x:c r="F3048" s="18" t="n">
        <x:v>5</x:v>
      </x:c>
      <x:c r="G3048" t="n">
        <x:v>60</x:v>
      </x:c>
      <x:c r="H3048" t="str">
        <x:v>A</x:v>
      </x:c>
      <x:c r="I3048" t="str">
        <x:v>7-9 years</x:v>
      </x:c>
      <x:c r="J3048" t="str">
        <x:v>OWN</x:v>
      </x:c>
      <x:c r="K3048" t="str">
        <x:v>credit_card</x:v>
      </x:c>
      <x:c r="L3048" t="n">
        <x:v>1</x:v>
      </x:c>
      <x:c r="M3048" t="n">
        <x:v>0</x:v>
      </x:c>
      <x:c r="N3048" t="str">
        <x:v>Fully Paid</x:v>
      </x:c>
      <x:c r="O3048" t="str">
        <x:f>IF(D3048="","Unknown",IF(D3048&lt;25000,"&lt;$25k",IF(D3048&lt;50000,"$25k-$50k",IF(D3048&lt;75000,"$50k-$75k",IF(D3048&lt;100000,"$75k-$100k","$100k+")))))</x:f>
        <x:v>$50k-$75k</x:v>
      </x:c>
      <x:c r="P3048" t="str">
        <x:f>IF(E3048="","Unknown",IF(E3048&lt;10,"&lt;10",IF(E3048&lt;20,"10-&lt;20",IF(E3048&lt;25,"20-&lt;25",IF(E3048&lt;35,"25-&lt;35","35+")))))</x:f>
        <x:v>20-&lt;25</x:v>
      </x:c>
    </x:row>
    <x:row r="3049">
      <x:c r="A3049" t="str">
        <x:v>SYN0003048</x:v>
      </x:c>
      <x:c r="B3049" s="12" t="n">
        <x:v>42865</x:v>
      </x:c>
      <x:c r="C3049" s="18" t="n">
        <x:v>7483</x:v>
      </x:c>
      <x:c r="D3049" s="18" t="n">
        <x:v>70875</x:v>
      </x:c>
      <x:c r="E3049" s="18" t="n">
        <x:v>27.87</x:v>
      </x:c>
      <x:c r="F3049" s="18" t="n">
        <x:v>17.39</x:v>
      </x:c>
      <x:c r="G3049" t="n">
        <x:v>60</x:v>
      </x:c>
      <x:c r="H3049" t="str">
        <x:v>E</x:v>
      </x:c>
      <x:c r="I3049" t="str">
        <x:v>10+ years</x:v>
      </x:c>
      <x:c r="J3049" t="str">
        <x:v>OWN</x:v>
      </x:c>
      <x:c r="K3049" t="str">
        <x:v>home_improvement</x:v>
      </x:c>
      <x:c r="L3049" t="n">
        <x:v>0</x:v>
      </x:c>
      <x:c r="M3049" t="n">
        <x:v>0</x:v>
      </x:c>
      <x:c r="N3049" t="str">
        <x:v>Fully Paid</x:v>
      </x:c>
      <x:c r="O3049" t="str">
        <x:f>IF(D3049="","Unknown",IF(D3049&lt;25000,"&lt;$25k",IF(D3049&lt;50000,"$25k-$50k",IF(D3049&lt;75000,"$50k-$75k",IF(D3049&lt;100000,"$75k-$100k","$100k+")))))</x:f>
        <x:v>$50k-$75k</x:v>
      </x:c>
      <x:c r="P3049" t="str">
        <x:f>IF(E3049="","Unknown",IF(E3049&lt;10,"&lt;10",IF(E3049&lt;20,"10-&lt;20",IF(E3049&lt;25,"20-&lt;25",IF(E3049&lt;35,"25-&lt;35","35+")))))</x:f>
        <x:v>25-&lt;35</x:v>
      </x:c>
    </x:row>
    <x:row r="3050">
      <x:c r="A3050" t="str">
        <x:v>SYN0003049</x:v>
      </x:c>
      <x:c r="B3050" s="12" t="n">
        <x:v>42175</x:v>
      </x:c>
      <x:c r="C3050" s="18" t="n">
        <x:v>9324</x:v>
      </x:c>
      <x:c r="D3050" s="18" t="n">
        <x:v>27720</x:v>
      </x:c>
      <x:c r="E3050" s="18" t="n">
        <x:v>34.56</x:v>
      </x:c>
      <x:c r="F3050" s="18" t="n">
        <x:v>18.79</x:v>
      </x:c>
      <x:c r="G3050" t="n">
        <x:v>36</x:v>
      </x:c>
      <x:c r="H3050" t="str">
        <x:v>E</x:v>
      </x:c>
      <x:c r="I3050" t="str">
        <x:v>1-3 years</x:v>
      </x:c>
      <x:c r="J3050" t="str">
        <x:v>RENT</x:v>
      </x:c>
      <x:c r="K3050" t="str">
        <x:v>other</x:v>
      </x:c>
      <x:c r="L3050" t="n">
        <x:v>0</x:v>
      </x:c>
      <x:c r="M3050" t="n">
        <x:v>0</x:v>
      </x:c>
      <x:c r="N3050" t="str">
        <x:v>Fully Paid</x:v>
      </x:c>
      <x:c r="O3050" t="str">
        <x:f>IF(D3050="","Unknown",IF(D3050&lt;25000,"&lt;$25k",IF(D3050&lt;50000,"$25k-$50k",IF(D3050&lt;75000,"$50k-$75k",IF(D3050&lt;100000,"$75k-$100k","$100k+")))))</x:f>
        <x:v>$25k-$50k</x:v>
      </x:c>
      <x:c r="P3050" t="str">
        <x:f>IF(E3050="","Unknown",IF(E3050&lt;10,"&lt;10",IF(E3050&lt;20,"10-&lt;20",IF(E3050&lt;25,"20-&lt;25",IF(E3050&lt;35,"25-&lt;35","35+")))))</x:f>
        <x:v>25-&lt;35</x:v>
      </x:c>
    </x:row>
    <x:row r="3051">
      <x:c r="A3051" t="str">
        <x:v>SYN0003050</x:v>
      </x:c>
      <x:c r="B3051" s="12" t="n">
        <x:v>43135</x:v>
      </x:c>
      <x:c r="C3051" s="18" t="n">
        <x:v>7213</x:v>
      </x:c>
      <x:c r="D3051" s="18" t="n">
        <x:v>88257</x:v>
      </x:c>
      <x:c r="E3051" s="18" t="n">
        <x:v>21.54</x:v>
      </x:c>
      <x:c r="F3051" s="18" t="n">
        <x:v>27.77</x:v>
      </x:c>
      <x:c r="G3051" t="n">
        <x:v>36</x:v>
      </x:c>
      <x:c r="H3051" t="str">
        <x:v>G</x:v>
      </x:c>
      <x:c r="I3051" t="str">
        <x:v>1-3 years</x:v>
      </x:c>
      <x:c r="J3051" t="str">
        <x:v>RENT</x:v>
      </x:c>
      <x:c r="K3051" t="str">
        <x:v>debt_consolidation</x:v>
      </x:c>
      <x:c r="L3051" t="n">
        <x:v>2</x:v>
      </x:c>
      <x:c r="M3051" t="n">
        <x:v>1</x:v>
      </x:c>
      <x:c r="N3051" t="str">
        <x:v>Charged Off</x:v>
      </x:c>
      <x:c r="O3051" t="str">
        <x:f>IF(D3051="","Unknown",IF(D3051&lt;25000,"&lt;$25k",IF(D3051&lt;50000,"$25k-$50k",IF(D3051&lt;75000,"$50k-$75k",IF(D3051&lt;100000,"$75k-$100k","$100k+")))))</x:f>
        <x:v>$75k-$100k</x:v>
      </x:c>
      <x:c r="P3051" t="str">
        <x:f>IF(E3051="","Unknown",IF(E3051&lt;10,"&lt;10",IF(E3051&lt;20,"10-&lt;20",IF(E3051&lt;25,"20-&lt;25",IF(E3051&lt;35,"25-&lt;35","35+")))))</x:f>
        <x:v>20-&lt;25</x:v>
      </x:c>
    </x:row>
    <x:row r="3052">
      <x:c r="A3052" t="str">
        <x:v>SYN0003051</x:v>
      </x:c>
      <x:c r="B3052" s="12" t="n">
        <x:v>42925</x:v>
      </x:c>
      <x:c r="C3052" s="18" t="n">
        <x:v>7506</x:v>
      </x:c>
      <x:c r="D3052" s="18" t="n">
        <x:v>44264</x:v>
      </x:c>
      <x:c r="E3052" s="18" t="n">
        <x:v>17.3</x:v>
      </x:c>
      <x:c r="F3052" s="18" t="n">
        <x:v>5</x:v>
      </x:c>
      <x:c r="G3052" t="n">
        <x:v>36</x:v>
      </x:c>
      <x:c r="H3052" t="str">
        <x:v>A</x:v>
      </x:c>
      <x:c r="I3052" t="str">
        <x:v>1-3 years</x:v>
      </x:c>
      <x:c r="J3052" t="str">
        <x:v>RENT</x:v>
      </x:c>
      <x:c r="K3052" t="str">
        <x:v>credit_card</x:v>
      </x:c>
      <x:c r="L3052" t="n">
        <x:v>0</x:v>
      </x:c>
      <x:c r="M3052" t="n">
        <x:v>0</x:v>
      </x:c>
      <x:c r="N3052" t="str">
        <x:v>Fully Paid</x:v>
      </x:c>
      <x:c r="O3052" t="str">
        <x:f>IF(D3052="","Unknown",IF(D3052&lt;25000,"&lt;$25k",IF(D3052&lt;50000,"$25k-$50k",IF(D3052&lt;75000,"$50k-$75k",IF(D3052&lt;100000,"$75k-$100k","$100k+")))))</x:f>
        <x:v>$25k-$50k</x:v>
      </x:c>
      <x:c r="P3052" t="str">
        <x:f>IF(E3052="","Unknown",IF(E3052&lt;10,"&lt;10",IF(E3052&lt;20,"10-&lt;20",IF(E3052&lt;25,"20-&lt;25",IF(E3052&lt;35,"25-&lt;35","35+")))))</x:f>
        <x:v>10-&lt;20</x:v>
      </x:c>
    </x:row>
    <x:row r="3053">
      <x:c r="A3053" t="str">
        <x:v>SYN0003052</x:v>
      </x:c>
      <x:c r="B3053" s="12" t="n">
        <x:v>41935</x:v>
      </x:c>
      <x:c r="C3053" s="18" t="n">
        <x:v>11076</x:v>
      </x:c>
      <x:c r="D3053" s="18" t="n">
        <x:v>20815</x:v>
      </x:c>
      <x:c r="E3053" s="18" t="n">
        <x:v>31.75</x:v>
      </x:c>
      <x:c r="F3053" s="18" t="n">
        <x:v>20.42</x:v>
      </x:c>
      <x:c r="G3053" t="n">
        <x:v>36</x:v>
      </x:c>
      <x:c r="H3053" t="str">
        <x:v>F</x:v>
      </x:c>
      <x:c r="I3053" t="str">
        <x:v>7-9 years</x:v>
      </x:c>
      <x:c r="J3053" t="str">
        <x:v>MORTGAGE</x:v>
      </x:c>
      <x:c r="K3053" t="str">
        <x:v>debt_consolidation</x:v>
      </x:c>
      <x:c r="L3053" t="n">
        <x:v>2</x:v>
      </x:c>
      <x:c r="M3053" t="n">
        <x:v>0</x:v>
      </x:c>
      <x:c r="N3053" t="str">
        <x:v>Fully Paid</x:v>
      </x:c>
      <x:c r="O3053" t="str">
        <x:f>IF(D3053="","Unknown",IF(D3053&lt;25000,"&lt;$25k",IF(D3053&lt;50000,"$25k-$50k",IF(D3053&lt;75000,"$50k-$75k",IF(D3053&lt;100000,"$75k-$100k","$100k+")))))</x:f>
        <x:v>&lt;$25k</x:v>
      </x:c>
      <x:c r="P3053" t="str">
        <x:f>IF(E3053="","Unknown",IF(E3053&lt;10,"&lt;10",IF(E3053&lt;20,"10-&lt;20",IF(E3053&lt;25,"20-&lt;25",IF(E3053&lt;35,"25-&lt;35","35+")))))</x:f>
        <x:v>25-&lt;35</x:v>
      </x:c>
    </x:row>
    <x:row r="3054">
      <x:c r="A3054" t="str">
        <x:v>SYN0003053</x:v>
      </x:c>
      <x:c r="B3054" s="12" t="n">
        <x:v>42055</x:v>
      </x:c>
      <x:c r="C3054" s="18" t="n">
        <x:v>20964</x:v>
      </x:c>
      <x:c r="D3054" s="18" t="n">
        <x:v>58204</x:v>
      </x:c>
      <x:c r="E3054" s="18" t="n">
        <x:v>20.54</x:v>
      </x:c>
      <x:c r="F3054" s="18" t="n">
        <x:v>6.58</x:v>
      </x:c>
      <x:c r="G3054" t="n">
        <x:v>60</x:v>
      </x:c>
      <x:c r="H3054" t="str">
        <x:v>A</x:v>
      </x:c>
      <x:c r="I3054" t="str">
        <x:v>7-9 years</x:v>
      </x:c>
      <x:c r="J3054" t="str">
        <x:v>RENT</x:v>
      </x:c>
      <x:c r="K3054" t="str">
        <x:v>debt_consolidation</x:v>
      </x:c>
      <x:c r="L3054" t="n">
        <x:v>1</x:v>
      </x:c>
      <x:c r="M3054" t="n">
        <x:v>0</x:v>
      </x:c>
      <x:c r="N3054" t="str">
        <x:v>Fully Paid</x:v>
      </x:c>
      <x:c r="O3054" t="str">
        <x:f>IF(D3054="","Unknown",IF(D3054&lt;25000,"&lt;$25k",IF(D3054&lt;50000,"$25k-$50k",IF(D3054&lt;75000,"$50k-$75k",IF(D3054&lt;100000,"$75k-$100k","$100k+")))))</x:f>
        <x:v>$50k-$75k</x:v>
      </x:c>
      <x:c r="P3054" t="str">
        <x:f>IF(E3054="","Unknown",IF(E3054&lt;10,"&lt;10",IF(E3054&lt;20,"10-&lt;20",IF(E3054&lt;25,"20-&lt;25",IF(E3054&lt;35,"25-&lt;35","35+")))))</x:f>
        <x:v>20-&lt;25</x:v>
      </x:c>
    </x:row>
    <x:row r="3055">
      <x:c r="A3055" t="str">
        <x:v>SYN0003054</x:v>
      </x:c>
      <x:c r="B3055" s="12" t="n">
        <x:v>42385</x:v>
      </x:c>
      <x:c r="C3055" s="18" t="n">
        <x:v>11283</x:v>
      </x:c>
      <x:c r="D3055" s="18" t="n">
        <x:v>35363</x:v>
      </x:c>
      <x:c r="E3055" s="18" t="n">
        <x:v>47.88</x:v>
      </x:c>
      <x:c r="F3055" s="18" t="n">
        <x:v>10.91</x:v>
      </x:c>
      <x:c r="G3055" t="n">
        <x:v>36</x:v>
      </x:c>
      <x:c r="H3055" t="str">
        <x:v>C</x:v>
      </x:c>
      <x:c r="I3055" t="str">
        <x:v>1-3 years</x:v>
      </x:c>
      <x:c r="J3055" t="str">
        <x:v>MORTGAGE</x:v>
      </x:c>
      <x:c r="K3055" t="str">
        <x:v>debt_consolidation</x:v>
      </x:c>
      <x:c r="L3055" t="n">
        <x:v>0</x:v>
      </x:c>
      <x:c r="M3055" t="n">
        <x:v>0</x:v>
      </x:c>
      <x:c r="N3055" t="str">
        <x:v>Fully Paid</x:v>
      </x:c>
      <x:c r="O3055" t="str">
        <x:f>IF(D3055="","Unknown",IF(D3055&lt;25000,"&lt;$25k",IF(D3055&lt;50000,"$25k-$50k",IF(D3055&lt;75000,"$50k-$75k",IF(D3055&lt;100000,"$75k-$100k","$100k+")))))</x:f>
        <x:v>$25k-$50k</x:v>
      </x:c>
      <x:c r="P3055" t="str">
        <x:f>IF(E3055="","Unknown",IF(E3055&lt;10,"&lt;10",IF(E3055&lt;20,"10-&lt;20",IF(E3055&lt;25,"20-&lt;25",IF(E3055&lt;35,"25-&lt;35","35+")))))</x:f>
        <x:v>35+</x:v>
      </x:c>
    </x:row>
    <x:row r="3056">
      <x:c r="A3056" t="str">
        <x:v>SYN0003055</x:v>
      </x:c>
      <x:c r="B3056" s="12" t="n">
        <x:v>42415</x:v>
      </x:c>
      <x:c r="C3056" s="18" t="n">
        <x:v>12333</x:v>
      </x:c>
      <x:c r="D3056" s="18" t="n">
        <x:v>27185</x:v>
      </x:c>
      <x:c r="E3056" s="18" t="n">
        <x:v>31.29</x:v>
      </x:c>
      <x:c r="F3056" s="18" t="n">
        <x:v>9.21</x:v>
      </x:c>
      <x:c r="G3056" t="n">
        <x:v>36</x:v>
      </x:c>
      <x:c r="H3056" t="str">
        <x:v>C</x:v>
      </x:c>
      <x:c r="I3056" t="str">
        <x:v>1-3 years</x:v>
      </x:c>
      <x:c r="J3056" t="str">
        <x:v>RENT</x:v>
      </x:c>
      <x:c r="K3056" t="str">
        <x:v>other</x:v>
      </x:c>
      <x:c r="L3056" t="n">
        <x:v>0</x:v>
      </x:c>
      <x:c r="M3056" t="n">
        <x:v>0</x:v>
      </x:c>
      <x:c r="N3056" t="str">
        <x:v>Fully Paid</x:v>
      </x:c>
      <x:c r="O3056" t="str">
        <x:f>IF(D3056="","Unknown",IF(D3056&lt;25000,"&lt;$25k",IF(D3056&lt;50000,"$25k-$50k",IF(D3056&lt;75000,"$50k-$75k",IF(D3056&lt;100000,"$75k-$100k","$100k+")))))</x:f>
        <x:v>$25k-$50k</x:v>
      </x:c>
      <x:c r="P3056" t="str">
        <x:f>IF(E3056="","Unknown",IF(E3056&lt;10,"&lt;10",IF(E3056&lt;20,"10-&lt;20",IF(E3056&lt;25,"20-&lt;25",IF(E3056&lt;35,"25-&lt;35","35+")))))</x:f>
        <x:v>25-&lt;35</x:v>
      </x:c>
    </x:row>
    <x:row r="3057">
      <x:c r="A3057" t="str">
        <x:v>SYN0003056</x:v>
      </x:c>
      <x:c r="B3057" s="12" t="n">
        <x:v>41605</x:v>
      </x:c>
      <x:c r="C3057" s="18" t="n">
        <x:v>11489</x:v>
      </x:c>
      <x:c r="D3057" s="18" t="n">
        <x:v>18069</x:v>
      </x:c>
      <x:c r="E3057" s="18" t="n">
        <x:v>18.16</x:v>
      </x:c>
      <x:c r="F3057" s="18" t="n">
        <x:v>12.77</x:v>
      </x:c>
      <x:c r="G3057" t="n">
        <x:v>36</x:v>
      </x:c>
      <x:c r="H3057" t="str">
        <x:v>C</x:v>
      </x:c>
      <x:c r="I3057" t="str">
        <x:v>&lt;1 year</x:v>
      </x:c>
      <x:c r="J3057" t="str">
        <x:v>RENT</x:v>
      </x:c>
      <x:c r="K3057" t="str">
        <x:v>debt_consolidation</x:v>
      </x:c>
      <x:c r="L3057" t="n">
        <x:v>0</x:v>
      </x:c>
      <x:c r="M3057" t="n">
        <x:v>0</x:v>
      </x:c>
      <x:c r="N3057" t="str">
        <x:v>Fully Paid</x:v>
      </x:c>
      <x:c r="O3057" t="str">
        <x:f>IF(D3057="","Unknown",IF(D3057&lt;25000,"&lt;$25k",IF(D3057&lt;50000,"$25k-$50k",IF(D3057&lt;75000,"$50k-$75k",IF(D3057&lt;100000,"$75k-$100k","$100k+")))))</x:f>
        <x:v>&lt;$25k</x:v>
      </x:c>
      <x:c r="P3057" t="str">
        <x:f>IF(E3057="","Unknown",IF(E3057&lt;10,"&lt;10",IF(E3057&lt;20,"10-&lt;20",IF(E3057&lt;25,"20-&lt;25",IF(E3057&lt;35,"25-&lt;35","35+")))))</x:f>
        <x:v>10-&lt;20</x:v>
      </x:c>
    </x:row>
    <x:row r="3058">
      <x:c r="A3058" t="str">
        <x:v>SYN0003057</x:v>
      </x:c>
      <x:c r="B3058" s="12" t="n">
        <x:v>42625</x:v>
      </x:c>
      <x:c r="C3058" s="18" t="n">
        <x:v>5388</x:v>
      </x:c>
      <x:c r="D3058" s="18" t="n">
        <x:v>52313</x:v>
      </x:c>
      <x:c r="E3058" s="18" t="n">
        <x:v>27.62</x:v>
      </x:c>
      <x:c r="F3058" s="18" t="n">
        <x:v>16.91</x:v>
      </x:c>
      <x:c r="G3058" t="n">
        <x:v>60</x:v>
      </x:c>
      <x:c r="H3058" t="str">
        <x:v>E</x:v>
      </x:c>
      <x:c r="I3058" t="str">
        <x:v>10+ years</x:v>
      </x:c>
      <x:c r="J3058" t="str">
        <x:v>MORTGAGE</x:v>
      </x:c>
      <x:c r="K3058" t="str">
        <x:v>debt_consolidation</x:v>
      </x:c>
      <x:c r="L3058" t="n">
        <x:v>0</x:v>
      </x:c>
      <x:c r="M3058" t="n">
        <x:v>0</x:v>
      </x:c>
      <x:c r="N3058" t="str">
        <x:v>Fully Paid</x:v>
      </x:c>
      <x:c r="O3058" t="str">
        <x:f>IF(D3058="","Unknown",IF(D3058&lt;25000,"&lt;$25k",IF(D3058&lt;50000,"$25k-$50k",IF(D3058&lt;75000,"$50k-$75k",IF(D3058&lt;100000,"$75k-$100k","$100k+")))))</x:f>
        <x:v>$50k-$75k</x:v>
      </x:c>
      <x:c r="P3058" t="str">
        <x:f>IF(E3058="","Unknown",IF(E3058&lt;10,"&lt;10",IF(E3058&lt;20,"10-&lt;20",IF(E3058&lt;25,"20-&lt;25",IF(E3058&lt;35,"25-&lt;35","35+")))))</x:f>
        <x:v>25-&lt;35</x:v>
      </x:c>
    </x:row>
    <x:row r="3059">
      <x:c r="A3059" t="str">
        <x:v>SYN0003058</x:v>
      </x:c>
      <x:c r="B3059" s="12" t="n">
        <x:v>42145</x:v>
      </x:c>
      <x:c r="C3059" s="18" t="n">
        <x:v>19680</x:v>
      </x:c>
      <x:c r="D3059" s="18" t="n">
        <x:v>86872</x:v>
      </x:c>
      <x:c r="E3059" s="18" t="n">
        <x:v>21.28</x:v>
      </x:c>
      <x:c r="F3059" s="18" t="n">
        <x:v>6.46</x:v>
      </x:c>
      <x:c r="G3059" t="n">
        <x:v>60</x:v>
      </x:c>
      <x:c r="H3059" t="str">
        <x:v>B</x:v>
      </x:c>
      <x:c r="I3059" t="str">
        <x:v>7-9 years</x:v>
      </x:c>
      <x:c r="J3059" t="str">
        <x:v>MORTGAGE</x:v>
      </x:c>
      <x:c r="K3059" t="str">
        <x:v>credit_card</x:v>
      </x:c>
      <x:c r="L3059" t="n">
        <x:v>0</x:v>
      </x:c>
      <x:c r="M3059" t="n">
        <x:v>0</x:v>
      </x:c>
      <x:c r="N3059" t="str">
        <x:v>Fully Paid</x:v>
      </x:c>
      <x:c r="O3059" t="str">
        <x:f>IF(D3059="","Unknown",IF(D3059&lt;25000,"&lt;$25k",IF(D3059&lt;50000,"$25k-$50k",IF(D3059&lt;75000,"$50k-$75k",IF(D3059&lt;100000,"$75k-$100k","$100k+")))))</x:f>
        <x:v>$75k-$100k</x:v>
      </x:c>
      <x:c r="P3059" t="str">
        <x:f>IF(E3059="","Unknown",IF(E3059&lt;10,"&lt;10",IF(E3059&lt;20,"10-&lt;20",IF(E3059&lt;25,"20-&lt;25",IF(E3059&lt;35,"25-&lt;35","35+")))))</x:f>
        <x:v>20-&lt;25</x:v>
      </x:c>
    </x:row>
    <x:row r="3060">
      <x:c r="A3060" t="str">
        <x:v>SYN0003059</x:v>
      </x:c>
      <x:c r="B3060" s="12" t="n">
        <x:v>41275</x:v>
      </x:c>
      <x:c r="C3060" s="18" t="n">
        <x:v>17134</x:v>
      </x:c>
      <x:c r="D3060" s="18" t="n">
        <x:v>70107</x:v>
      </x:c>
      <x:c r="E3060" s="18" t="n">
        <x:v>17.02</x:v>
      </x:c>
      <x:c r="F3060" s="18" t="n">
        <x:v>13.16</x:v>
      </x:c>
      <x:c r="G3060" t="n">
        <x:v>36</x:v>
      </x:c>
      <x:c r="H3060" t="str">
        <x:v>C</x:v>
      </x:c>
      <x:c r="I3060" t="str">
        <x:v>7-9 years</x:v>
      </x:c>
      <x:c r="J3060" t="str">
        <x:v>RENT</x:v>
      </x:c>
      <x:c r="K3060" t="str">
        <x:v>major_purchase</x:v>
      </x:c>
      <x:c r="L3060" t="n">
        <x:v>1</x:v>
      </x:c>
      <x:c r="M3060" t="n">
        <x:v>0</x:v>
      </x:c>
      <x:c r="N3060" t="str">
        <x:v>Fully Paid</x:v>
      </x:c>
      <x:c r="O3060" t="str">
        <x:f>IF(D3060="","Unknown",IF(D3060&lt;25000,"&lt;$25k",IF(D3060&lt;50000,"$25k-$50k",IF(D3060&lt;75000,"$50k-$75k",IF(D3060&lt;100000,"$75k-$100k","$100k+")))))</x:f>
        <x:v>$50k-$75k</x:v>
      </x:c>
      <x:c r="P3060" t="str">
        <x:f>IF(E3060="","Unknown",IF(E3060&lt;10,"&lt;10",IF(E3060&lt;20,"10-&lt;20",IF(E3060&lt;25,"20-&lt;25",IF(E3060&lt;35,"25-&lt;35","35+")))))</x:f>
        <x:v>10-&lt;20</x:v>
      </x:c>
    </x:row>
    <x:row r="3061">
      <x:c r="A3061" t="str">
        <x:v>SYN0003060</x:v>
      </x:c>
      <x:c r="B3061" s="12" t="n">
        <x:v>42295</x:v>
      </x:c>
      <x:c r="C3061" s="18" t="n">
        <x:v>10505</x:v>
      </x:c>
      <x:c r="D3061" s="18" t="n">
        <x:v>31077</x:v>
      </x:c>
      <x:c r="E3061" s="18" t="n">
        <x:v>18.32</x:v>
      </x:c>
      <x:c r="F3061" s="18" t="n">
        <x:v>7.8</x:v>
      </x:c>
      <x:c r="G3061" t="n">
        <x:v>36</x:v>
      </x:c>
      <x:c r="H3061" t="str">
        <x:v>A</x:v>
      </x:c>
      <x:c r="I3061" t="str">
        <x:v>4-6 years</x:v>
      </x:c>
      <x:c r="J3061" t="str">
        <x:v>MORTGAGE</x:v>
      </x:c>
      <x:c r="K3061" t="str">
        <x:v>medical</x:v>
      </x:c>
      <x:c r="L3061" t="n">
        <x:v>0</x:v>
      </x:c>
      <x:c r="M3061" t="n">
        <x:v>0</x:v>
      </x:c>
      <x:c r="N3061" t="str">
        <x:v>Fully Paid</x:v>
      </x:c>
      <x:c r="O3061" t="str">
        <x:f>IF(D3061="","Unknown",IF(D3061&lt;25000,"&lt;$25k",IF(D3061&lt;50000,"$25k-$50k",IF(D3061&lt;75000,"$50k-$75k",IF(D3061&lt;100000,"$75k-$100k","$100k+")))))</x:f>
        <x:v>$25k-$50k</x:v>
      </x:c>
      <x:c r="P3061" t="str">
        <x:f>IF(E3061="","Unknown",IF(E3061&lt;10,"&lt;10",IF(E3061&lt;20,"10-&lt;20",IF(E3061&lt;25,"20-&lt;25",IF(E3061&lt;35,"25-&lt;35","35+")))))</x:f>
        <x:v>10-&lt;20</x:v>
      </x:c>
    </x:row>
    <x:row r="3062">
      <x:c r="A3062" t="str">
        <x:v>SYN0003061</x:v>
      </x:c>
      <x:c r="B3062" s="12" t="n">
        <x:v>43345</x:v>
      </x:c>
      <x:c r="C3062" s="18" t="n">
        <x:v>11422</x:v>
      </x:c>
      <x:c r="D3062" s="18" t="n">
        <x:v>68570</x:v>
      </x:c>
      <x:c r="E3062" s="18" t="n">
        <x:v>8.59</x:v>
      </x:c>
      <x:c r="F3062" s="18" t="n">
        <x:v>11.37</x:v>
      </x:c>
      <x:c r="G3062" t="n">
        <x:v>60</x:v>
      </x:c>
      <x:c r="H3062" t="str">
        <x:v>C</x:v>
      </x:c>
      <x:c r="I3062" t="str">
        <x:v>10+ years</x:v>
      </x:c>
      <x:c r="J3062" t="str">
        <x:v>MORTGAGE</x:v>
      </x:c>
      <x:c r="K3062" t="str">
        <x:v>major_purchase</x:v>
      </x:c>
      <x:c r="L3062" t="n">
        <x:v>0</x:v>
      </x:c>
      <x:c r="M3062" t="n">
        <x:v>0</x:v>
      </x:c>
      <x:c r="N3062" t="str">
        <x:v>Fully Paid</x:v>
      </x:c>
      <x:c r="O3062" t="str">
        <x:f>IF(D3062="","Unknown",IF(D3062&lt;25000,"&lt;$25k",IF(D3062&lt;50000,"$25k-$50k",IF(D3062&lt;75000,"$50k-$75k",IF(D3062&lt;100000,"$75k-$100k","$100k+")))))</x:f>
        <x:v>$50k-$75k</x:v>
      </x:c>
      <x:c r="P3062" t="str">
        <x:f>IF(E3062="","Unknown",IF(E3062&lt;10,"&lt;10",IF(E3062&lt;20,"10-&lt;20",IF(E3062&lt;25,"20-&lt;25",IF(E3062&lt;35,"25-&lt;35","35+")))))</x:f>
        <x:v>&lt;10</x:v>
      </x:c>
    </x:row>
    <x:row r="3063">
      <x:c r="A3063" t="str">
        <x:v>SYN0003062</x:v>
      </x:c>
      <x:c r="B3063" s="12" t="n">
        <x:v>42595</x:v>
      </x:c>
      <x:c r="C3063" s="18" t="n">
        <x:v>21878</x:v>
      </x:c>
      <x:c r="D3063" s="18" t="n">
        <x:v>40298</x:v>
      </x:c>
      <x:c r="E3063" s="18" t="n">
        <x:v>23.29</x:v>
      </x:c>
      <x:c r="F3063" s="18" t="n">
        <x:v>11.78</x:v>
      </x:c>
      <x:c r="G3063" t="n">
        <x:v>60</x:v>
      </x:c>
      <x:c r="H3063" t="str">
        <x:v>C</x:v>
      </x:c>
      <x:c r="I3063" t="str">
        <x:v>10+ years</x:v>
      </x:c>
      <x:c r="J3063" t="str">
        <x:v>RENT</x:v>
      </x:c>
      <x:c r="K3063" t="str">
        <x:v>medical</x:v>
      </x:c>
      <x:c r="L3063" t="n">
        <x:v>0</x:v>
      </x:c>
      <x:c r="M3063" t="n">
        <x:v>0</x:v>
      </x:c>
      <x:c r="N3063" t="str">
        <x:v>Fully Paid</x:v>
      </x:c>
      <x:c r="O3063" t="str">
        <x:f>IF(D3063="","Unknown",IF(D3063&lt;25000,"&lt;$25k",IF(D3063&lt;50000,"$25k-$50k",IF(D3063&lt;75000,"$50k-$75k",IF(D3063&lt;100000,"$75k-$100k","$100k+")))))</x:f>
        <x:v>$25k-$50k</x:v>
      </x:c>
      <x:c r="P3063" t="str">
        <x:f>IF(E3063="","Unknown",IF(E3063&lt;10,"&lt;10",IF(E3063&lt;20,"10-&lt;20",IF(E3063&lt;25,"20-&lt;25",IF(E3063&lt;35,"25-&lt;35","35+")))))</x:f>
        <x:v>20-&lt;25</x:v>
      </x:c>
    </x:row>
    <x:row r="3064">
      <x:c r="A3064" t="str">
        <x:v>SYN0003063</x:v>
      </x:c>
      <x:c r="B3064" s="12" t="n">
        <x:v>41995</x:v>
      </x:c>
      <x:c r="C3064" s="18" t="n">
        <x:v>8374</x:v>
      </x:c>
      <x:c r="D3064" s="18" t="n">
        <x:v>99321</x:v>
      </x:c>
      <x:c r="E3064" s="18" t="n">
        <x:v>18.5</x:v>
      </x:c>
      <x:c r="F3064" s="18" t="n">
        <x:v>9.42</x:v>
      </x:c>
      <x:c r="G3064" t="n">
        <x:v>36</x:v>
      </x:c>
      <x:c r="H3064" t="str">
        <x:v>C</x:v>
      </x:c>
      <x:c r="I3064" t="str">
        <x:v>7-9 years</x:v>
      </x:c>
      <x:c r="J3064" t="str">
        <x:v>RENT</x:v>
      </x:c>
      <x:c r="K3064" t="str">
        <x:v>major_purchase</x:v>
      </x:c>
      <x:c r="L3064" t="n">
        <x:v>0</x:v>
      </x:c>
      <x:c r="M3064" t="n">
        <x:v>0</x:v>
      </x:c>
      <x:c r="N3064" t="str">
        <x:v>Fully Paid</x:v>
      </x:c>
      <x:c r="O3064" t="str">
        <x:f>IF(D3064="","Unknown",IF(D3064&lt;25000,"&lt;$25k",IF(D3064&lt;50000,"$25k-$50k",IF(D3064&lt;75000,"$50k-$75k",IF(D3064&lt;100000,"$75k-$100k","$100k+")))))</x:f>
        <x:v>$75k-$100k</x:v>
      </x:c>
      <x:c r="P3064" t="str">
        <x:f>IF(E3064="","Unknown",IF(E3064&lt;10,"&lt;10",IF(E3064&lt;20,"10-&lt;20",IF(E3064&lt;25,"20-&lt;25",IF(E3064&lt;35,"25-&lt;35","35+")))))</x:f>
        <x:v>10-&lt;20</x:v>
      </x:c>
    </x:row>
    <x:row r="3065">
      <x:c r="A3065" t="str">
        <x:v>SYN0003064</x:v>
      </x:c>
      <x:c r="B3065" s="12" t="n">
        <x:v>41845</x:v>
      </x:c>
      <x:c r="C3065" s="18" t="n">
        <x:v>18307</x:v>
      </x:c>
      <x:c r="D3065" s="18" t="n">
        <x:v>91450</x:v>
      </x:c>
      <x:c r="E3065" s="18" t="n">
        <x:v>28.03</x:v>
      </x:c>
      <x:c r="F3065" s="18" t="n">
        <x:v>13.84</x:v>
      </x:c>
      <x:c r="G3065" t="n">
        <x:v>36</x:v>
      </x:c>
      <x:c r="H3065" t="str">
        <x:v>D</x:v>
      </x:c>
      <x:c r="I3065" t="str">
        <x:v>&lt;1 year</x:v>
      </x:c>
      <x:c r="J3065" t="str">
        <x:v>MORTGAGE</x:v>
      </x:c>
      <x:c r="K3065" t="str">
        <x:v>debt_consolidation</x:v>
      </x:c>
      <x:c r="L3065" t="n">
        <x:v>0</x:v>
      </x:c>
      <x:c r="M3065" t="n">
        <x:v>0</x:v>
      </x:c>
      <x:c r="N3065" t="str">
        <x:v>Fully Paid</x:v>
      </x:c>
      <x:c r="O3065" t="str">
        <x:f>IF(D3065="","Unknown",IF(D3065&lt;25000,"&lt;$25k",IF(D3065&lt;50000,"$25k-$50k",IF(D3065&lt;75000,"$50k-$75k",IF(D3065&lt;100000,"$75k-$100k","$100k+")))))</x:f>
        <x:v>$75k-$100k</x:v>
      </x:c>
      <x:c r="P3065" t="str">
        <x:f>IF(E3065="","Unknown",IF(E3065&lt;10,"&lt;10",IF(E3065&lt;20,"10-&lt;20",IF(E3065&lt;25,"20-&lt;25",IF(E3065&lt;35,"25-&lt;35","35+")))))</x:f>
        <x:v>25-&lt;35</x:v>
      </x:c>
    </x:row>
    <x:row r="3066">
      <x:c r="A3066" t="str">
        <x:v>SYN0003065</x:v>
      </x:c>
      <x:c r="B3066" s="12" t="n">
        <x:v>41875</x:v>
      </x:c>
      <x:c r="C3066" s="18" t="n">
        <x:v>18047</x:v>
      </x:c>
      <x:c r="D3066" s="18" t="n">
        <x:v>20457</x:v>
      </x:c>
      <x:c r="E3066" s="18" t="n">
        <x:v>26.66</x:v>
      </x:c>
      <x:c r="F3066" s="18" t="n">
        <x:v>12.53</x:v>
      </x:c>
      <x:c r="G3066" t="n">
        <x:v>36</x:v>
      </x:c>
      <x:c r="H3066" t="str">
        <x:v>D</x:v>
      </x:c>
      <x:c r="I3066" t="str">
        <x:v>1-3 years</x:v>
      </x:c>
      <x:c r="J3066" t="str">
        <x:v>RENT</x:v>
      </x:c>
      <x:c r="K3066" t="str">
        <x:v>debt_consolidation</x:v>
      </x:c>
      <x:c r="L3066" t="n">
        <x:v>0</x:v>
      </x:c>
      <x:c r="M3066" t="n">
        <x:v>0</x:v>
      </x:c>
      <x:c r="N3066" t="str">
        <x:v>Fully Paid</x:v>
      </x:c>
      <x:c r="O3066" t="str">
        <x:f>IF(D3066="","Unknown",IF(D3066&lt;25000,"&lt;$25k",IF(D3066&lt;50000,"$25k-$50k",IF(D3066&lt;75000,"$50k-$75k",IF(D3066&lt;100000,"$75k-$100k","$100k+")))))</x:f>
        <x:v>&lt;$25k</x:v>
      </x:c>
      <x:c r="P3066" t="str">
        <x:f>IF(E3066="","Unknown",IF(E3066&lt;10,"&lt;10",IF(E3066&lt;20,"10-&lt;20",IF(E3066&lt;25,"20-&lt;25",IF(E3066&lt;35,"25-&lt;35","35+")))))</x:f>
        <x:v>25-&lt;35</x:v>
      </x:c>
    </x:row>
    <x:row r="3067">
      <x:c r="A3067" t="str">
        <x:v>SYN0003066</x:v>
      </x:c>
      <x:c r="B3067" s="12" t="n">
        <x:v>41335</x:v>
      </x:c>
      <x:c r="C3067" s="18" t="n">
        <x:v>20142</x:v>
      </x:c>
      <x:c r="D3067" s="18" t="n">
        <x:v>38127</x:v>
      </x:c>
      <x:c r="E3067" s="18" t="n">
        <x:v>24.43</x:v>
      </x:c>
      <x:c r="F3067" s="18" t="n">
        <x:v>27.28</x:v>
      </x:c>
      <x:c r="G3067" t="n">
        <x:v>36</x:v>
      </x:c>
      <x:c r="H3067" t="str">
        <x:v>G</x:v>
      </x:c>
      <x:c r="I3067" t="str">
        <x:v>4-6 years</x:v>
      </x:c>
      <x:c r="J3067" t="str">
        <x:v>MORTGAGE</x:v>
      </x:c>
      <x:c r="K3067" t="str">
        <x:v>credit_card</x:v>
      </x:c>
      <x:c r="L3067" t="n">
        <x:v>0</x:v>
      </x:c>
      <x:c r="M3067" t="n">
        <x:v>0</x:v>
      </x:c>
      <x:c r="N3067" t="str">
        <x:v>Fully Paid</x:v>
      </x:c>
      <x:c r="O3067" t="str">
        <x:f>IF(D3067="","Unknown",IF(D3067&lt;25000,"&lt;$25k",IF(D3067&lt;50000,"$25k-$50k",IF(D3067&lt;75000,"$50k-$75k",IF(D3067&lt;100000,"$75k-$100k","$100k+")))))</x:f>
        <x:v>$25k-$50k</x:v>
      </x:c>
      <x:c r="P3067" t="str">
        <x:f>IF(E3067="","Unknown",IF(E3067&lt;10,"&lt;10",IF(E3067&lt;20,"10-&lt;20",IF(E3067&lt;25,"20-&lt;25",IF(E3067&lt;35,"25-&lt;35","35+")))))</x:f>
        <x:v>20-&lt;25</x:v>
      </x:c>
    </x:row>
    <x:row r="3068">
      <x:c r="A3068" t="str">
        <x:v>SYN0003067</x:v>
      </x:c>
      <x:c r="B3068" s="12" t="n">
        <x:v>43345</x:v>
      </x:c>
      <x:c r="C3068" s="18" t="n">
        <x:v>12542</x:v>
      </x:c>
      <x:c r="D3068" s="18" t="n">
        <x:v>27502</x:v>
      </x:c>
      <x:c r="E3068" s="18" t="n">
        <x:v>0</x:v>
      </x:c>
      <x:c r="F3068" s="18" t="n">
        <x:v>14.67</x:v>
      </x:c>
      <x:c r="G3068" t="n">
        <x:v>36</x:v>
      </x:c>
      <x:c r="H3068" t="str">
        <x:v>D</x:v>
      </x:c>
      <x:c r="I3068" t="str">
        <x:v>4-6 years</x:v>
      </x:c>
      <x:c r="J3068" t="str">
        <x:v>OWN</x:v>
      </x:c>
      <x:c r="K3068" t="str">
        <x:v>major_purchase</x:v>
      </x:c>
      <x:c r="L3068" t="n">
        <x:v>0</x:v>
      </x:c>
      <x:c r="M3068" t="n">
        <x:v>0</x:v>
      </x:c>
      <x:c r="N3068" t="str">
        <x:v>Fully Paid</x:v>
      </x:c>
      <x:c r="O3068" t="str">
        <x:f>IF(D3068="","Unknown",IF(D3068&lt;25000,"&lt;$25k",IF(D3068&lt;50000,"$25k-$50k",IF(D3068&lt;75000,"$50k-$75k",IF(D3068&lt;100000,"$75k-$100k","$100k+")))))</x:f>
        <x:v>$25k-$50k</x:v>
      </x:c>
      <x:c r="P3068" t="str">
        <x:f>IF(E3068="","Unknown",IF(E3068&lt;10,"&lt;10",IF(E3068&lt;20,"10-&lt;20",IF(E3068&lt;25,"20-&lt;25",IF(E3068&lt;35,"25-&lt;35","35+")))))</x:f>
        <x:v>Unknown</x:v>
      </x:c>
    </x:row>
    <x:row r="3069">
      <x:c r="A3069" t="str">
        <x:v>SYN0003068</x:v>
      </x:c>
      <x:c r="B3069" s="12" t="n">
        <x:v>41605</x:v>
      </x:c>
      <x:c r="C3069" s="18" t="n">
        <x:v>15196</x:v>
      </x:c>
      <x:c r="D3069" s="18" t="n">
        <x:v>12000</x:v>
      </x:c>
      <x:c r="E3069" s="18" t="n">
        <x:v>23.38</x:v>
      </x:c>
      <x:c r="F3069" s="18" t="n">
        <x:v>9.92</x:v>
      </x:c>
      <x:c r="G3069" t="n">
        <x:v>36</x:v>
      </x:c>
      <x:c r="H3069" t="str">
        <x:v>B</x:v>
      </x:c>
      <x:c r="I3069" t="str">
        <x:v>10+ years</x:v>
      </x:c>
      <x:c r="J3069" t="str">
        <x:v>RENT</x:v>
      </x:c>
      <x:c r="K3069" t="str">
        <x:v>debt_consolidation</x:v>
      </x:c>
      <x:c r="L3069" t="n">
        <x:v>0</x:v>
      </x:c>
      <x:c r="M3069" t="n">
        <x:v>0</x:v>
      </x:c>
      <x:c r="N3069" t="str">
        <x:v>Fully Paid</x:v>
      </x:c>
      <x:c r="O3069" t="str">
        <x:f>IF(D3069="","Unknown",IF(D3069&lt;25000,"&lt;$25k",IF(D3069&lt;50000,"$25k-$50k",IF(D3069&lt;75000,"$50k-$75k",IF(D3069&lt;100000,"$75k-$100k","$100k+")))))</x:f>
        <x:v>&lt;$25k</x:v>
      </x:c>
      <x:c r="P3069" t="str">
        <x:f>IF(E3069="","Unknown",IF(E3069&lt;10,"&lt;10",IF(E3069&lt;20,"10-&lt;20",IF(E3069&lt;25,"20-&lt;25",IF(E3069&lt;35,"25-&lt;35","35+")))))</x:f>
        <x:v>20-&lt;25</x:v>
      </x:c>
    </x:row>
    <x:row r="3070">
      <x:c r="A3070" t="str">
        <x:v>SYN0003069</x:v>
      </x:c>
      <x:c r="B3070" s="12" t="n">
        <x:v>43165</x:v>
      </x:c>
      <x:c r="C3070" s="18" t="n">
        <x:v>29413</x:v>
      </x:c>
      <x:c r="D3070" s="18" t="n">
        <x:v>36994</x:v>
      </x:c>
      <x:c r="E3070" s="18" t="n">
        <x:v>34.31</x:v>
      </x:c>
      <x:c r="F3070" s="18" t="n">
        <x:v>16.89</x:v>
      </x:c>
      <x:c r="G3070" t="n">
        <x:v>60</x:v>
      </x:c>
      <x:c r="H3070" t="str">
        <x:v>E</x:v>
      </x:c>
      <x:c r="I3070" t="str">
        <x:v>7-9 years</x:v>
      </x:c>
      <x:c r="J3070" t="str">
        <x:v>MORTGAGE</x:v>
      </x:c>
      <x:c r="K3070" t="str">
        <x:v>major_purchase</x:v>
      </x:c>
      <x:c r="L3070" t="n">
        <x:v>1</x:v>
      </x:c>
      <x:c r="M3070" t="n">
        <x:v>0</x:v>
      </x:c>
      <x:c r="N3070" t="str">
        <x:v>Fully Paid</x:v>
      </x:c>
      <x:c r="O3070" t="str">
        <x:f>IF(D3070="","Unknown",IF(D3070&lt;25000,"&lt;$25k",IF(D3070&lt;50000,"$25k-$50k",IF(D3070&lt;75000,"$50k-$75k",IF(D3070&lt;100000,"$75k-$100k","$100k+")))))</x:f>
        <x:v>$25k-$50k</x:v>
      </x:c>
      <x:c r="P3070" t="str">
        <x:f>IF(E3070="","Unknown",IF(E3070&lt;10,"&lt;10",IF(E3070&lt;20,"10-&lt;20",IF(E3070&lt;25,"20-&lt;25",IF(E3070&lt;35,"25-&lt;35","35+")))))</x:f>
        <x:v>25-&lt;35</x:v>
      </x:c>
    </x:row>
    <x:row r="3071">
      <x:c r="A3071" t="str">
        <x:v>SYN0003070</x:v>
      </x:c>
      <x:c r="B3071" s="12" t="n">
        <x:v>42895</x:v>
      </x:c>
      <x:c r="C3071" s="18" t="n">
        <x:v>8047</x:v>
      </x:c>
      <x:c r="D3071" s="18" t="n">
        <x:v>54875</x:v>
      </x:c>
      <x:c r="E3071" s="18" t="n">
        <x:v>25.92</x:v>
      </x:c>
      <x:c r="F3071" s="18" t="n">
        <x:v>16.03</x:v>
      </x:c>
      <x:c r="G3071" t="n">
        <x:v>36</x:v>
      </x:c>
      <x:c r="H3071" t="str">
        <x:v>E</x:v>
      </x:c>
      <x:c r="I3071" t="str">
        <x:v>1-3 years</x:v>
      </x:c>
      <x:c r="J3071" t="str">
        <x:v>RENT</x:v>
      </x:c>
      <x:c r="K3071" t="str">
        <x:v>major_purchase</x:v>
      </x:c>
      <x:c r="L3071" t="n">
        <x:v>1</x:v>
      </x:c>
      <x:c r="M3071" t="n">
        <x:v>0</x:v>
      </x:c>
      <x:c r="N3071" t="str">
        <x:v>Fully Paid</x:v>
      </x:c>
      <x:c r="O3071" t="str">
        <x:f>IF(D3071="","Unknown",IF(D3071&lt;25000,"&lt;$25k",IF(D3071&lt;50000,"$25k-$50k",IF(D3071&lt;75000,"$50k-$75k",IF(D3071&lt;100000,"$75k-$100k","$100k+")))))</x:f>
        <x:v>$50k-$75k</x:v>
      </x:c>
      <x:c r="P3071" t="str">
        <x:f>IF(E3071="","Unknown",IF(E3071&lt;10,"&lt;10",IF(E3071&lt;20,"10-&lt;20",IF(E3071&lt;25,"20-&lt;25",IF(E3071&lt;35,"25-&lt;35","35+")))))</x:f>
        <x:v>25-&lt;35</x:v>
      </x:c>
    </x:row>
    <x:row r="3072">
      <x:c r="A3072" t="str">
        <x:v>SYN0003071</x:v>
      </x:c>
      <x:c r="B3072" s="12" t="n">
        <x:v>42595</x:v>
      </x:c>
      <x:c r="C3072" s="18" t="n">
        <x:v>16130</x:v>
      </x:c>
      <x:c r="D3072" s="18" t="n">
        <x:v>115866</x:v>
      </x:c>
      <x:c r="E3072" s="18" t="n">
        <x:v>5.23</x:v>
      </x:c>
      <x:c r="F3072" s="18" t="n">
        <x:v>5</x:v>
      </x:c>
      <x:c r="G3072" t="n">
        <x:v>36</x:v>
      </x:c>
      <x:c r="H3072" t="str">
        <x:v>A</x:v>
      </x:c>
      <x:c r="I3072" t="str">
        <x:v>4-6 years</x:v>
      </x:c>
      <x:c r="J3072" t="str">
        <x:v>MORTGAGE</x:v>
      </x:c>
      <x:c r="K3072" t="str">
        <x:v>debt_consolidation</x:v>
      </x:c>
      <x:c r="L3072" t="n">
        <x:v>0</x:v>
      </x:c>
      <x:c r="M3072" t="n">
        <x:v>0</x:v>
      </x:c>
      <x:c r="N3072" t="str">
        <x:v>Fully Paid</x:v>
      </x:c>
      <x:c r="O3072" t="str">
        <x:f>IF(D3072="","Unknown",IF(D3072&lt;25000,"&lt;$25k",IF(D3072&lt;50000,"$25k-$50k",IF(D3072&lt;75000,"$50k-$75k",IF(D3072&lt;100000,"$75k-$100k","$100k+")))))</x:f>
        <x:v>$100k+</x:v>
      </x:c>
      <x:c r="P3072" t="str">
        <x:f>IF(E3072="","Unknown",IF(E3072&lt;10,"&lt;10",IF(E3072&lt;20,"10-&lt;20",IF(E3072&lt;25,"20-&lt;25",IF(E3072&lt;35,"25-&lt;35","35+")))))</x:f>
        <x:v>&lt;10</x:v>
      </x:c>
    </x:row>
    <x:row r="3073">
      <x:c r="A3073" t="str">
        <x:v>SYN0003072</x:v>
      </x:c>
      <x:c r="B3073" s="12" t="n">
        <x:v>42625</x:v>
      </x:c>
      <x:c r="C3073" s="18" t="n">
        <x:v>8091</x:v>
      </x:c>
      <x:c r="D3073" s="18" t="n">
        <x:v>42326</x:v>
      </x:c>
      <x:c r="E3073" s="18" t="n">
        <x:v>25.3</x:v>
      </x:c>
      <x:c r="F3073" s="18" t="n">
        <x:v>14.32</x:v>
      </x:c>
      <x:c r="G3073" t="n">
        <x:v>60</x:v>
      </x:c>
      <x:c r="H3073" t="str">
        <x:v>D</x:v>
      </x:c>
      <x:c r="I3073" t="str">
        <x:v>1-3 years</x:v>
      </x:c>
      <x:c r="J3073" t="str">
        <x:v>MORTGAGE</x:v>
      </x:c>
      <x:c r="K3073" t="str">
        <x:v>other</x:v>
      </x:c>
      <x:c r="L3073" t="n">
        <x:v>2</x:v>
      </x:c>
      <x:c r="M3073" t="n">
        <x:v>0</x:v>
      </x:c>
      <x:c r="N3073" t="str">
        <x:v>Fully Paid</x:v>
      </x:c>
      <x:c r="O3073" t="str">
        <x:f>IF(D3073="","Unknown",IF(D3073&lt;25000,"&lt;$25k",IF(D3073&lt;50000,"$25k-$50k",IF(D3073&lt;75000,"$50k-$75k",IF(D3073&lt;100000,"$75k-$100k","$100k+")))))</x:f>
        <x:v>$25k-$50k</x:v>
      </x:c>
      <x:c r="P3073" t="str">
        <x:f>IF(E3073="","Unknown",IF(E3073&lt;10,"&lt;10",IF(E3073&lt;20,"10-&lt;20",IF(E3073&lt;25,"20-&lt;25",IF(E3073&lt;35,"25-&lt;35","35+")))))</x:f>
        <x:v>25-&lt;35</x:v>
      </x:c>
    </x:row>
    <x:row r="3074">
      <x:c r="A3074" t="str">
        <x:v>SYN0003073</x:v>
      </x:c>
      <x:c r="B3074" s="12" t="n">
        <x:v>41755</x:v>
      </x:c>
      <x:c r="C3074" s="18" t="n">
        <x:v>10618</x:v>
      </x:c>
      <x:c r="D3074" s="18" t="n">
        <x:v>33970</x:v>
      </x:c>
      <x:c r="E3074" s="18" t="n">
        <x:v>14.03</x:v>
      </x:c>
      <x:c r="F3074" s="18" t="n">
        <x:v>12.73</x:v>
      </x:c>
      <x:c r="G3074" t="n">
        <x:v>60</x:v>
      </x:c>
      <x:c r="H3074" t="str">
        <x:v>C</x:v>
      </x:c>
      <x:c r="I3074" t="str">
        <x:v>7-9 years</x:v>
      </x:c>
      <x:c r="J3074" t="str">
        <x:v>MORTGAGE</x:v>
      </x:c>
      <x:c r="K3074" t="str">
        <x:v>debt_consolidation</x:v>
      </x:c>
      <x:c r="L3074" t="n">
        <x:v>1</x:v>
      </x:c>
      <x:c r="M3074" t="n">
        <x:v>0</x:v>
      </x:c>
      <x:c r="N3074" t="str">
        <x:v>Fully Paid</x:v>
      </x:c>
      <x:c r="O3074" t="str">
        <x:f>IF(D3074="","Unknown",IF(D3074&lt;25000,"&lt;$25k",IF(D3074&lt;50000,"$25k-$50k",IF(D3074&lt;75000,"$50k-$75k",IF(D3074&lt;100000,"$75k-$100k","$100k+")))))</x:f>
        <x:v>$25k-$50k</x:v>
      </x:c>
      <x:c r="P3074" t="str">
        <x:f>IF(E3074="","Unknown",IF(E3074&lt;10,"&lt;10",IF(E3074&lt;20,"10-&lt;20",IF(E3074&lt;25,"20-&lt;25",IF(E3074&lt;35,"25-&lt;35","35+")))))</x:f>
        <x:v>10-&lt;20</x:v>
      </x:c>
    </x:row>
    <x:row r="3075">
      <x:c r="A3075" t="str">
        <x:v>SYN0003074</x:v>
      </x:c>
      <x:c r="B3075" s="12" t="n">
        <x:v>43075</x:v>
      </x:c>
      <x:c r="C3075" s="18" t="n">
        <x:v>10842</x:v>
      </x:c>
      <x:c r="D3075" s="18" t="n">
        <x:v>29958</x:v>
      </x:c>
      <x:c r="E3075" s="18" t="n">
        <x:v>25.91</x:v>
      </x:c>
      <x:c r="F3075" s="18" t="n">
        <x:v>10.04</x:v>
      </x:c>
      <x:c r="G3075" t="n">
        <x:v>36</x:v>
      </x:c>
      <x:c r="H3075" t="str">
        <x:v>C</x:v>
      </x:c>
      <x:c r="I3075" t="str">
        <x:v>1-3 years</x:v>
      </x:c>
      <x:c r="J3075" t="str">
        <x:v>MORTGAGE</x:v>
      </x:c>
      <x:c r="K3075" t="str">
        <x:v>debt_consolidation</x:v>
      </x:c>
      <x:c r="L3075" t="n">
        <x:v>0</x:v>
      </x:c>
      <x:c r="M3075" t="n">
        <x:v>0</x:v>
      </x:c>
      <x:c r="N3075" t="str">
        <x:v>Fully Paid</x:v>
      </x:c>
      <x:c r="O3075" t="str">
        <x:f>IF(D3075="","Unknown",IF(D3075&lt;25000,"&lt;$25k",IF(D3075&lt;50000,"$25k-$50k",IF(D3075&lt;75000,"$50k-$75k",IF(D3075&lt;100000,"$75k-$100k","$100k+")))))</x:f>
        <x:v>$25k-$50k</x:v>
      </x:c>
      <x:c r="P3075" t="str">
        <x:f>IF(E3075="","Unknown",IF(E3075&lt;10,"&lt;10",IF(E3075&lt;20,"10-&lt;20",IF(E3075&lt;25,"20-&lt;25",IF(E3075&lt;35,"25-&lt;35","35+")))))</x:f>
        <x:v>25-&lt;35</x:v>
      </x:c>
    </x:row>
    <x:row r="3076">
      <x:c r="A3076" t="str">
        <x:v>SYN0003075</x:v>
      </x:c>
      <x:c r="B3076" s="12" t="n">
        <x:v>42985</x:v>
      </x:c>
      <x:c r="C3076" s="18" t="n">
        <x:v>10296</x:v>
      </x:c>
      <x:c r="D3076" s="18" t="n">
        <x:v>56450</x:v>
      </x:c>
      <x:c r="E3076" s="18" t="n">
        <x:v>34.6</x:v>
      </x:c>
      <x:c r="F3076" s="18" t="n">
        <x:v>11.63</x:v>
      </x:c>
      <x:c r="G3076" t="n">
        <x:v>60</x:v>
      </x:c>
      <x:c r="H3076" t="str">
        <x:v>C</x:v>
      </x:c>
      <x:c r="I3076" t="str">
        <x:v>1-3 years</x:v>
      </x:c>
      <x:c r="J3076" t="str">
        <x:v>RENT</x:v>
      </x:c>
      <x:c r="K3076" t="str">
        <x:v>credit_card</x:v>
      </x:c>
      <x:c r="L3076" t="n">
        <x:v>1</x:v>
      </x:c>
      <x:c r="M3076" t="n">
        <x:v>0</x:v>
      </x:c>
      <x:c r="N3076" t="str">
        <x:v>Fully Paid</x:v>
      </x:c>
      <x:c r="O3076" t="str">
        <x:f>IF(D3076="","Unknown",IF(D3076&lt;25000,"&lt;$25k",IF(D3076&lt;50000,"$25k-$50k",IF(D3076&lt;75000,"$50k-$75k",IF(D3076&lt;100000,"$75k-$100k","$100k+")))))</x:f>
        <x:v>$50k-$75k</x:v>
      </x:c>
      <x:c r="P3076" t="str">
        <x:f>IF(E3076="","Unknown",IF(E3076&lt;10,"&lt;10",IF(E3076&lt;20,"10-&lt;20",IF(E3076&lt;25,"20-&lt;25",IF(E3076&lt;35,"25-&lt;35","35+")))))</x:f>
        <x:v>25-&lt;35</x:v>
      </x:c>
    </x:row>
    <x:row r="3077">
      <x:c r="A3077" t="str">
        <x:v>SYN0003076</x:v>
      </x:c>
      <x:c r="B3077" s="12" t="n">
        <x:v>41995</x:v>
      </x:c>
      <x:c r="C3077" s="18" t="n">
        <x:v>11307</x:v>
      </x:c>
      <x:c r="D3077" s="18" t="n">
        <x:v>45782</x:v>
      </x:c>
      <x:c r="E3077" s="18" t="n">
        <x:v>11.85</x:v>
      </x:c>
      <x:c r="F3077" s="18" t="n">
        <x:v>5</x:v>
      </x:c>
      <x:c r="G3077" t="n">
        <x:v>36</x:v>
      </x:c>
      <x:c r="H3077" t="str">
        <x:v>A</x:v>
      </x:c>
      <x:c r="I3077" t="str">
        <x:v>4-6 years</x:v>
      </x:c>
      <x:c r="J3077" t="str">
        <x:v>RENT</x:v>
      </x:c>
      <x:c r="K3077" t="str">
        <x:v>debt_consolidation</x:v>
      </x:c>
      <x:c r="L3077" t="n">
        <x:v>1</x:v>
      </x:c>
      <x:c r="M3077" t="n">
        <x:v>0</x:v>
      </x:c>
      <x:c r="N3077" t="str">
        <x:v>Fully Paid</x:v>
      </x:c>
      <x:c r="O3077" t="str">
        <x:f>IF(D3077="","Unknown",IF(D3077&lt;25000,"&lt;$25k",IF(D3077&lt;50000,"$25k-$50k",IF(D3077&lt;75000,"$50k-$75k",IF(D3077&lt;100000,"$75k-$100k","$100k+")))))</x:f>
        <x:v>$25k-$50k</x:v>
      </x:c>
      <x:c r="P3077" t="str">
        <x:f>IF(E3077="","Unknown",IF(E3077&lt;10,"&lt;10",IF(E3077&lt;20,"10-&lt;20",IF(E3077&lt;25,"20-&lt;25",IF(E3077&lt;35,"25-&lt;35","35+")))))</x:f>
        <x:v>10-&lt;20</x:v>
      </x:c>
    </x:row>
    <x:row r="3078">
      <x:c r="A3078" t="str">
        <x:v>SYN0003077</x:v>
      </x:c>
      <x:c r="B3078" s="12" t="n">
        <x:v>41335</x:v>
      </x:c>
      <x:c r="C3078" s="18" t="n">
        <x:v>11773</x:v>
      </x:c>
      <x:c r="D3078" s="18" t="n">
        <x:v>57609</x:v>
      </x:c>
      <x:c r="E3078" s="18" t="n">
        <x:v>23.92</x:v>
      </x:c>
      <x:c r="F3078" s="18" t="n">
        <x:v>11.66</x:v>
      </x:c>
      <x:c r="G3078" t="n">
        <x:v>36</x:v>
      </x:c>
      <x:c r="H3078" t="str">
        <x:v>C</x:v>
      </x:c>
      <x:c r="I3078" t="str">
        <x:v>1-3 years</x:v>
      </x:c>
      <x:c r="J3078" t="str">
        <x:v>RENT</x:v>
      </x:c>
      <x:c r="K3078" t="str">
        <x:v>credit_card</x:v>
      </x:c>
      <x:c r="L3078" t="n">
        <x:v>0</x:v>
      </x:c>
      <x:c r="M3078" t="n">
        <x:v>0</x:v>
      </x:c>
      <x:c r="N3078" t="str">
        <x:v>Fully Paid</x:v>
      </x:c>
      <x:c r="O3078" t="str">
        <x:f>IF(D3078="","Unknown",IF(D3078&lt;25000,"&lt;$25k",IF(D3078&lt;50000,"$25k-$50k",IF(D3078&lt;75000,"$50k-$75k",IF(D3078&lt;100000,"$75k-$100k","$100k+")))))</x:f>
        <x:v>$50k-$75k</x:v>
      </x:c>
      <x:c r="P3078" t="str">
        <x:f>IF(E3078="","Unknown",IF(E3078&lt;10,"&lt;10",IF(E3078&lt;20,"10-&lt;20",IF(E3078&lt;25,"20-&lt;25",IF(E3078&lt;35,"25-&lt;35","35+")))))</x:f>
        <x:v>20-&lt;25</x:v>
      </x:c>
    </x:row>
    <x:row r="3079">
      <x:c r="A3079" t="str">
        <x:v>SYN0003078</x:v>
      </x:c>
      <x:c r="B3079" s="12" t="n">
        <x:v>43225</x:v>
      </x:c>
      <x:c r="C3079" s="18" t="n">
        <x:v>8068</x:v>
      </x:c>
      <x:c r="D3079" s="18" t="n">
        <x:v>29539</x:v>
      </x:c>
      <x:c r="E3079" s="18" t="n">
        <x:v>19.62</x:v>
      </x:c>
      <x:c r="F3079" s="18" t="n">
        <x:v>18.9</x:v>
      </x:c>
      <x:c r="G3079" t="n">
        <x:v>36</x:v>
      </x:c>
      <x:c r="H3079" t="str">
        <x:v>E</x:v>
      </x:c>
      <x:c r="I3079" t="str">
        <x:v>4-6 years</x:v>
      </x:c>
      <x:c r="J3079" t="str">
        <x:v>RENT</x:v>
      </x:c>
      <x:c r="K3079" t="str">
        <x:v>debt_consolidation</x:v>
      </x:c>
      <x:c r="L3079" t="n">
        <x:v>0</x:v>
      </x:c>
      <x:c r="M3079" t="n">
        <x:v>0</x:v>
      </x:c>
      <x:c r="N3079" t="str">
        <x:v>Fully Paid</x:v>
      </x:c>
      <x:c r="O3079" t="str">
        <x:f>IF(D3079="","Unknown",IF(D3079&lt;25000,"&lt;$25k",IF(D3079&lt;50000,"$25k-$50k",IF(D3079&lt;75000,"$50k-$75k",IF(D3079&lt;100000,"$75k-$100k","$100k+")))))</x:f>
        <x:v>$25k-$50k</x:v>
      </x:c>
      <x:c r="P3079" t="str">
        <x:f>IF(E3079="","Unknown",IF(E3079&lt;10,"&lt;10",IF(E3079&lt;20,"10-&lt;20",IF(E3079&lt;25,"20-&lt;25",IF(E3079&lt;35,"25-&lt;35","35+")))))</x:f>
        <x:v>10-&lt;20</x:v>
      </x:c>
    </x:row>
    <x:row r="3080">
      <x:c r="A3080" t="str">
        <x:v>SYN0003079</x:v>
      </x:c>
      <x:c r="B3080" s="12" t="n">
        <x:v>42085</x:v>
      </x:c>
      <x:c r="C3080" s="18" t="n">
        <x:v>8505</x:v>
      </x:c>
      <x:c r="D3080" s="18" t="n">
        <x:v>43851</x:v>
      </x:c>
      <x:c r="E3080" s="18" t="n">
        <x:v>31.98</x:v>
      </x:c>
      <x:c r="F3080" s="18" t="n">
        <x:v>5</x:v>
      </x:c>
      <x:c r="G3080" t="n">
        <x:v>36</x:v>
      </x:c>
      <x:c r="H3080" t="str">
        <x:v>A</x:v>
      </x:c>
      <x:c r="I3080" t="str">
        <x:v>1-3 years</x:v>
      </x:c>
      <x:c r="J3080" t="str">
        <x:v>MORTGAGE</x:v>
      </x:c>
      <x:c r="K3080" t="str">
        <x:v>debt_consolidation</x:v>
      </x:c>
      <x:c r="L3080" t="n">
        <x:v>0</x:v>
      </x:c>
      <x:c r="M3080" t="n">
        <x:v>1</x:v>
      </x:c>
      <x:c r="N3080" t="str">
        <x:v>Charged Off</x:v>
      </x:c>
      <x:c r="O3080" t="str">
        <x:f>IF(D3080="","Unknown",IF(D3080&lt;25000,"&lt;$25k",IF(D3080&lt;50000,"$25k-$50k",IF(D3080&lt;75000,"$50k-$75k",IF(D3080&lt;100000,"$75k-$100k","$100k+")))))</x:f>
        <x:v>$25k-$50k</x:v>
      </x:c>
      <x:c r="P3080" t="str">
        <x:f>IF(E3080="","Unknown",IF(E3080&lt;10,"&lt;10",IF(E3080&lt;20,"10-&lt;20",IF(E3080&lt;25,"20-&lt;25",IF(E3080&lt;35,"25-&lt;35","35+")))))</x:f>
        <x:v>25-&lt;35</x:v>
      </x:c>
    </x:row>
    <x:row r="3081">
      <x:c r="A3081" t="str">
        <x:v>SYN0003080</x:v>
      </x:c>
      <x:c r="B3081" s="12" t="n">
        <x:v>42085</x:v>
      </x:c>
      <x:c r="C3081" s="18" t="n">
        <x:v>29505</x:v>
      </x:c>
      <x:c r="D3081" s="18" t="n">
        <x:v>71578</x:v>
      </x:c>
      <x:c r="E3081" s="18" t="n">
        <x:v>15.31</x:v>
      </x:c>
      <x:c r="F3081" s="18" t="n">
        <x:v>11.28</x:v>
      </x:c>
      <x:c r="G3081" t="n">
        <x:v>36</x:v>
      </x:c>
      <x:c r="H3081" t="str">
        <x:v>A</x:v>
      </x:c>
      <x:c r="I3081" t="str">
        <x:v>1-3 years</x:v>
      </x:c>
      <x:c r="J3081" t="str">
        <x:v>OWN</x:v>
      </x:c>
      <x:c r="K3081" t="str">
        <x:v>credit_card</x:v>
      </x:c>
      <x:c r="L3081" t="n">
        <x:v>0</x:v>
      </x:c>
      <x:c r="M3081" t="n">
        <x:v>0</x:v>
      </x:c>
      <x:c r="N3081" t="str">
        <x:v>Fully Paid</x:v>
      </x:c>
      <x:c r="O3081" t="str">
        <x:f>IF(D3081="","Unknown",IF(D3081&lt;25000,"&lt;$25k",IF(D3081&lt;50000,"$25k-$50k",IF(D3081&lt;75000,"$50k-$75k",IF(D3081&lt;100000,"$75k-$100k","$100k+")))))</x:f>
        <x:v>$50k-$75k</x:v>
      </x:c>
      <x:c r="P3081" t="str">
        <x:f>IF(E3081="","Unknown",IF(E3081&lt;10,"&lt;10",IF(E3081&lt;20,"10-&lt;20",IF(E3081&lt;25,"20-&lt;25",IF(E3081&lt;35,"25-&lt;35","35+")))))</x:f>
        <x:v>10-&lt;20</x:v>
      </x:c>
    </x:row>
    <x:row r="3082">
      <x:c r="A3082" t="str">
        <x:v>SYN0003081</x:v>
      </x:c>
      <x:c r="B3082" s="12" t="n">
        <x:v>42865</x:v>
      </x:c>
      <x:c r="C3082" s="18" t="n">
        <x:v>9759</x:v>
      </x:c>
      <x:c r="D3082" s="18" t="n">
        <x:v>61830</x:v>
      </x:c>
      <x:c r="E3082" s="18" t="n">
        <x:v>28.64</x:v>
      </x:c>
      <x:c r="F3082" s="18" t="n">
        <x:v>10.8</x:v>
      </x:c>
      <x:c r="G3082" t="n">
        <x:v>36</x:v>
      </x:c>
      <x:c r="H3082" t="str">
        <x:v>C</x:v>
      </x:c>
      <x:c r="I3082" t="str">
        <x:v>&lt;1 year</x:v>
      </x:c>
      <x:c r="J3082" t="str">
        <x:v>RENT</x:v>
      </x:c>
      <x:c r="K3082" t="str">
        <x:v>debt_consolidation</x:v>
      </x:c>
      <x:c r="L3082" t="n">
        <x:v>0</x:v>
      </x:c>
      <x:c r="M3082" t="n">
        <x:v>0</x:v>
      </x:c>
      <x:c r="N3082" t="str">
        <x:v>Fully Paid</x:v>
      </x:c>
      <x:c r="O3082" t="str">
        <x:f>IF(D3082="","Unknown",IF(D3082&lt;25000,"&lt;$25k",IF(D3082&lt;50000,"$25k-$50k",IF(D3082&lt;75000,"$50k-$75k",IF(D3082&lt;100000,"$75k-$100k","$100k+")))))</x:f>
        <x:v>$50k-$75k</x:v>
      </x:c>
      <x:c r="P3082" t="str">
        <x:f>IF(E3082="","Unknown",IF(E3082&lt;10,"&lt;10",IF(E3082&lt;20,"10-&lt;20",IF(E3082&lt;25,"20-&lt;25",IF(E3082&lt;35,"25-&lt;35","35+")))))</x:f>
        <x:v>25-&lt;35</x:v>
      </x:c>
    </x:row>
    <x:row r="3083">
      <x:c r="A3083" t="str">
        <x:v>SYN0003082</x:v>
      </x:c>
      <x:c r="B3083" s="12" t="n">
        <x:v>42505</x:v>
      </x:c>
      <x:c r="C3083" s="18" t="n">
        <x:v>14337</x:v>
      </x:c>
      <x:c r="D3083" s="18" t="n">
        <x:v>28643</x:v>
      </x:c>
      <x:c r="E3083" s="18" t="n">
        <x:v>29.13</x:v>
      </x:c>
      <x:c r="F3083" s="18" t="n">
        <x:v>15.27</x:v>
      </x:c>
      <x:c r="G3083" t="n">
        <x:v>60</x:v>
      </x:c>
      <x:c r="H3083" t="str">
        <x:v>D</x:v>
      </x:c>
      <x:c r="I3083" t="str">
        <x:v>10+ years</x:v>
      </x:c>
      <x:c r="J3083" t="str">
        <x:v>OWN</x:v>
      </x:c>
      <x:c r="K3083" t="str">
        <x:v>home_improvement</x:v>
      </x:c>
      <x:c r="L3083" t="n">
        <x:v>2</x:v>
      </x:c>
      <x:c r="M3083" t="n">
        <x:v>1</x:v>
      </x:c>
      <x:c r="N3083" t="str">
        <x:v>Charged Off</x:v>
      </x:c>
      <x:c r="O3083" t="str">
        <x:f>IF(D3083="","Unknown",IF(D3083&lt;25000,"&lt;$25k",IF(D3083&lt;50000,"$25k-$50k",IF(D3083&lt;75000,"$50k-$75k",IF(D3083&lt;100000,"$75k-$100k","$100k+")))))</x:f>
        <x:v>$25k-$50k</x:v>
      </x:c>
      <x:c r="P3083" t="str">
        <x:f>IF(E3083="","Unknown",IF(E3083&lt;10,"&lt;10",IF(E3083&lt;20,"10-&lt;20",IF(E3083&lt;25,"20-&lt;25",IF(E3083&lt;35,"25-&lt;35","35+")))))</x:f>
        <x:v>25-&lt;35</x:v>
      </x:c>
    </x:row>
    <x:row r="3084">
      <x:c r="A3084" t="str">
        <x:v>SYN0003083</x:v>
      </x:c>
      <x:c r="B3084" s="12" t="n">
        <x:v>41455</x:v>
      </x:c>
      <x:c r="C3084" s="18" t="n">
        <x:v>12583</x:v>
      </x:c>
      <x:c r="D3084" s="18" t="n">
        <x:v>45719</x:v>
      </x:c>
      <x:c r="E3084" s="18" t="n">
        <x:v>27.9</x:v>
      </x:c>
      <x:c r="F3084" s="18" t="n">
        <x:v>11.5</x:v>
      </x:c>
      <x:c r="G3084" t="n">
        <x:v>36</x:v>
      </x:c>
      <x:c r="H3084" t="str">
        <x:v>C</x:v>
      </x:c>
      <x:c r="I3084" t="str">
        <x:v>7-9 years</x:v>
      </x:c>
      <x:c r="J3084" t="str">
        <x:v>RENT</x:v>
      </x:c>
      <x:c r="K3084" t="str">
        <x:v>debt_consolidation</x:v>
      </x:c>
      <x:c r="L3084" t="n">
        <x:v>1</x:v>
      </x:c>
      <x:c r="M3084" t="n">
        <x:v>0</x:v>
      </x:c>
      <x:c r="N3084" t="str">
        <x:v>Fully Paid</x:v>
      </x:c>
      <x:c r="O3084" t="str">
        <x:f>IF(D3084="","Unknown",IF(D3084&lt;25000,"&lt;$25k",IF(D3084&lt;50000,"$25k-$50k",IF(D3084&lt;75000,"$50k-$75k",IF(D3084&lt;100000,"$75k-$100k","$100k+")))))</x:f>
        <x:v>$25k-$50k</x:v>
      </x:c>
      <x:c r="P3084" t="str">
        <x:f>IF(E3084="","Unknown",IF(E3084&lt;10,"&lt;10",IF(E3084&lt;20,"10-&lt;20",IF(E3084&lt;25,"20-&lt;25",IF(E3084&lt;35,"25-&lt;35","35+")))))</x:f>
        <x:v>25-&lt;35</x:v>
      </x:c>
    </x:row>
    <x:row r="3085">
      <x:c r="A3085" t="str">
        <x:v>SYN0003084</x:v>
      </x:c>
      <x:c r="B3085" s="12" t="n">
        <x:v>42745</x:v>
      </x:c>
      <x:c r="C3085" s="18" t="n">
        <x:v>24713</x:v>
      </x:c>
      <x:c r="D3085" s="18" t="n">
        <x:v>12000</x:v>
      </x:c>
      <x:c r="E3085" s="18" t="n">
        <x:v>12.22</x:v>
      </x:c>
      <x:c r="F3085" s="18" t="n">
        <x:v>11.49</x:v>
      </x:c>
      <x:c r="G3085" t="n">
        <x:v>36</x:v>
      </x:c>
      <x:c r="H3085" t="str">
        <x:v>D</x:v>
      </x:c>
      <x:c r="I3085" t="str">
        <x:v>4-6 years</x:v>
      </x:c>
      <x:c r="J3085" t="str">
        <x:v>RENT</x:v>
      </x:c>
      <x:c r="K3085" t="str">
        <x:v>credit_card</x:v>
      </x:c>
      <x:c r="L3085" t="n">
        <x:v>1</x:v>
      </x:c>
      <x:c r="M3085" t="n">
        <x:v>0</x:v>
      </x:c>
      <x:c r="N3085" t="str">
        <x:v>Fully Paid</x:v>
      </x:c>
      <x:c r="O3085" t="str">
        <x:f>IF(D3085="","Unknown",IF(D3085&lt;25000,"&lt;$25k",IF(D3085&lt;50000,"$25k-$50k",IF(D3085&lt;75000,"$50k-$75k",IF(D3085&lt;100000,"$75k-$100k","$100k+")))))</x:f>
        <x:v>&lt;$25k</x:v>
      </x:c>
      <x:c r="P3085" t="str">
        <x:f>IF(E3085="","Unknown",IF(E3085&lt;10,"&lt;10",IF(E3085&lt;20,"10-&lt;20",IF(E3085&lt;25,"20-&lt;25",IF(E3085&lt;35,"25-&lt;35","35+")))))</x:f>
        <x:v>10-&lt;20</x:v>
      </x:c>
    </x:row>
    <x:row r="3086">
      <x:c r="A3086" t="str">
        <x:v>SYN0003085</x:v>
      </x:c>
      <x:c r="B3086" s="12" t="n">
        <x:v>42535</x:v>
      </x:c>
      <x:c r="C3086" s="18" t="n">
        <x:v>40000</x:v>
      </x:c>
      <x:c r="D3086" s="18" t="n">
        <x:v>90773</x:v>
      </x:c>
      <x:c r="E3086" s="18" t="n">
        <x:v>6.34</x:v>
      </x:c>
      <x:c r="F3086" s="18" t="n">
        <x:v>10.94</x:v>
      </x:c>
      <x:c r="G3086" t="n">
        <x:v>36</x:v>
      </x:c>
      <x:c r="H3086" t="str">
        <x:v>B</x:v>
      </x:c>
      <x:c r="I3086" t="str">
        <x:v>&lt;1 year</x:v>
      </x:c>
      <x:c r="J3086" t="str">
        <x:v>MORTGAGE</x:v>
      </x:c>
      <x:c r="K3086" t="str">
        <x:v>debt_consolidation</x:v>
      </x:c>
      <x:c r="L3086" t="n">
        <x:v>0</x:v>
      </x:c>
      <x:c r="M3086" t="n">
        <x:v>0</x:v>
      </x:c>
      <x:c r="N3086" t="str">
        <x:v>Fully Paid</x:v>
      </x:c>
      <x:c r="O3086" t="str">
        <x:f>IF(D3086="","Unknown",IF(D3086&lt;25000,"&lt;$25k",IF(D3086&lt;50000,"$25k-$50k",IF(D3086&lt;75000,"$50k-$75k",IF(D3086&lt;100000,"$75k-$100k","$100k+")))))</x:f>
        <x:v>$75k-$100k</x:v>
      </x:c>
      <x:c r="P3086" t="str">
        <x:f>IF(E3086="","Unknown",IF(E3086&lt;10,"&lt;10",IF(E3086&lt;20,"10-&lt;20",IF(E3086&lt;25,"20-&lt;25",IF(E3086&lt;35,"25-&lt;35","35+")))))</x:f>
        <x:v>&lt;10</x:v>
      </x:c>
    </x:row>
    <x:row r="3087">
      <x:c r="A3087" t="str">
        <x:v>SYN0003086</x:v>
      </x:c>
      <x:c r="B3087" s="12" t="n">
        <x:v>42955</x:v>
      </x:c>
      <x:c r="C3087" s="18" t="n">
        <x:v>14033</x:v>
      </x:c>
      <x:c r="D3087" s="18" t="n">
        <x:v>138447</x:v>
      </x:c>
      <x:c r="E3087" s="18" t="n">
        <x:v>15.45</x:v>
      </x:c>
      <x:c r="F3087" s="18" t="n">
        <x:v>6.38</x:v>
      </x:c>
      <x:c r="G3087" t="n">
        <x:v>36</x:v>
      </x:c>
      <x:c r="H3087" t="str">
        <x:v>A</x:v>
      </x:c>
      <x:c r="I3087" t="str">
        <x:v>&lt;1 year</x:v>
      </x:c>
      <x:c r="J3087" t="str">
        <x:v>MORTGAGE</x:v>
      </x:c>
      <x:c r="K3087" t="str">
        <x:v>debt_consolidation</x:v>
      </x:c>
      <x:c r="L3087" t="n">
        <x:v>1</x:v>
      </x:c>
      <x:c r="M3087" t="n">
        <x:v>0</x:v>
      </x:c>
      <x:c r="N3087" t="str">
        <x:v>Fully Paid</x:v>
      </x:c>
      <x:c r="O3087" t="str">
        <x:f>IF(D3087="","Unknown",IF(D3087&lt;25000,"&lt;$25k",IF(D3087&lt;50000,"$25k-$50k",IF(D3087&lt;75000,"$50k-$75k",IF(D3087&lt;100000,"$75k-$100k","$100k+")))))</x:f>
        <x:v>$100k+</x:v>
      </x:c>
      <x:c r="P3087" t="str">
        <x:f>IF(E3087="","Unknown",IF(E3087&lt;10,"&lt;10",IF(E3087&lt;20,"10-&lt;20",IF(E3087&lt;25,"20-&lt;25",IF(E3087&lt;35,"25-&lt;35","35+")))))</x:f>
        <x:v>10-&lt;20</x:v>
      </x:c>
    </x:row>
    <x:row r="3088">
      <x:c r="A3088" t="str">
        <x:v>SYN0003087</x:v>
      </x:c>
      <x:c r="B3088" s="12" t="n">
        <x:v>42235</x:v>
      </x:c>
      <x:c r="C3088" s="18" t="n">
        <x:v>21135</x:v>
      </x:c>
      <x:c r="D3088" s="18" t="n">
        <x:v>64834</x:v>
      </x:c>
      <x:c r="E3088" s="18" t="n">
        <x:v>20.36</x:v>
      </x:c>
      <x:c r="F3088" s="18" t="n">
        <x:v>5.92</x:v>
      </x:c>
      <x:c r="G3088" t="n">
        <x:v>60</x:v>
      </x:c>
      <x:c r="H3088" t="str">
        <x:v>A</x:v>
      </x:c>
      <x:c r="I3088" t="str">
        <x:v>4-6 years</x:v>
      </x:c>
      <x:c r="J3088" t="str">
        <x:v>RENT</x:v>
      </x:c>
      <x:c r="K3088" t="str">
        <x:v>debt_consolidation</x:v>
      </x:c>
      <x:c r="L3088" t="n">
        <x:v>0</x:v>
      </x:c>
      <x:c r="M3088" t="n">
        <x:v>0</x:v>
      </x:c>
      <x:c r="N3088" t="str">
        <x:v>Fully Paid</x:v>
      </x:c>
      <x:c r="O3088" t="str">
        <x:f>IF(D3088="","Unknown",IF(D3088&lt;25000,"&lt;$25k",IF(D3088&lt;50000,"$25k-$50k",IF(D3088&lt;75000,"$50k-$75k",IF(D3088&lt;100000,"$75k-$100k","$100k+")))))</x:f>
        <x:v>$50k-$75k</x:v>
      </x:c>
      <x:c r="P3088" t="str">
        <x:f>IF(E3088="","Unknown",IF(E3088&lt;10,"&lt;10",IF(E3088&lt;20,"10-&lt;20",IF(E3088&lt;25,"20-&lt;25",IF(E3088&lt;35,"25-&lt;35","35+")))))</x:f>
        <x:v>20-&lt;25</x:v>
      </x:c>
    </x:row>
    <x:row r="3089">
      <x:c r="A3089" t="str">
        <x:v>SYN0003088</x:v>
      </x:c>
      <x:c r="B3089" s="12" t="n">
        <x:v>42145</x:v>
      </x:c>
      <x:c r="C3089" s="18" t="n">
        <x:v>7089</x:v>
      </x:c>
      <x:c r="D3089" s="18" t="n">
        <x:v>59926</x:v>
      </x:c>
      <x:c r="E3089" s="18" t="n">
        <x:v>19.4</x:v>
      </x:c>
      <x:c r="F3089" s="18" t="n">
        <x:v>13.86</x:v>
      </x:c>
      <x:c r="G3089" t="n">
        <x:v>60</x:v>
      </x:c>
      <x:c r="H3089" t="str">
        <x:v>C</x:v>
      </x:c>
      <x:c r="I3089" t="str">
        <x:v>1-3 years</x:v>
      </x:c>
      <x:c r="J3089" t="str">
        <x:v>MORTGAGE</x:v>
      </x:c>
      <x:c r="K3089" t="str">
        <x:v>debt_consolidation</x:v>
      </x:c>
      <x:c r="L3089" t="n">
        <x:v>0</x:v>
      </x:c>
      <x:c r="M3089" t="n">
        <x:v>0</x:v>
      </x:c>
      <x:c r="N3089" t="str">
        <x:v>Fully Paid</x:v>
      </x:c>
      <x:c r="O3089" t="str">
        <x:f>IF(D3089="","Unknown",IF(D3089&lt;25000,"&lt;$25k",IF(D3089&lt;50000,"$25k-$50k",IF(D3089&lt;75000,"$50k-$75k",IF(D3089&lt;100000,"$75k-$100k","$100k+")))))</x:f>
        <x:v>$50k-$75k</x:v>
      </x:c>
      <x:c r="P3089" t="str">
        <x:f>IF(E3089="","Unknown",IF(E3089&lt;10,"&lt;10",IF(E3089&lt;20,"10-&lt;20",IF(E3089&lt;25,"20-&lt;25",IF(E3089&lt;35,"25-&lt;35","35+")))))</x:f>
        <x:v>10-&lt;20</x:v>
      </x:c>
    </x:row>
    <x:row r="3090">
      <x:c r="A3090" t="str">
        <x:v>SYN0003089</x:v>
      </x:c>
      <x:c r="B3090" s="12" t="n">
        <x:v>41995</x:v>
      </x:c>
      <x:c r="C3090" s="18" t="n">
        <x:v>12875</x:v>
      </x:c>
      <x:c r="D3090" s="18" t="n">
        <x:v>21312</x:v>
      </x:c>
      <x:c r="E3090" s="18" t="n">
        <x:v>19.54</x:v>
      </x:c>
      <x:c r="F3090" s="18" t="n">
        <x:v>14.17</x:v>
      </x:c>
      <x:c r="G3090" t="n">
        <x:v>36</x:v>
      </x:c>
      <x:c r="H3090" t="str">
        <x:v>D</x:v>
      </x:c>
      <x:c r="I3090" t="str">
        <x:v>7-9 years</x:v>
      </x:c>
      <x:c r="J3090" t="str">
        <x:v>MORTGAGE</x:v>
      </x:c>
      <x:c r="K3090" t="str">
        <x:v>debt_consolidation</x:v>
      </x:c>
      <x:c r="L3090" t="n">
        <x:v>0</x:v>
      </x:c>
      <x:c r="M3090" t="n">
        <x:v>0</x:v>
      </x:c>
      <x:c r="N3090" t="str">
        <x:v>Fully Paid</x:v>
      </x:c>
      <x:c r="O3090" t="str">
        <x:f>IF(D3090="","Unknown",IF(D3090&lt;25000,"&lt;$25k",IF(D3090&lt;50000,"$25k-$50k",IF(D3090&lt;75000,"$50k-$75k",IF(D3090&lt;100000,"$75k-$100k","$100k+")))))</x:f>
        <x:v>&lt;$25k</x:v>
      </x:c>
      <x:c r="P3090" t="str">
        <x:f>IF(E3090="","Unknown",IF(E3090&lt;10,"&lt;10",IF(E3090&lt;20,"10-&lt;20",IF(E3090&lt;25,"20-&lt;25",IF(E3090&lt;35,"25-&lt;35","35+")))))</x:f>
        <x:v>10-&lt;20</x:v>
      </x:c>
    </x:row>
    <x:row r="3091">
      <x:c r="A3091" t="str">
        <x:v>SYN0003090</x:v>
      </x:c>
      <x:c r="B3091" s="12" t="n">
        <x:v>42535</x:v>
      </x:c>
      <x:c r="C3091" s="18" t="n">
        <x:v>7668</x:v>
      </x:c>
      <x:c r="D3091" s="18" t="n">
        <x:v>58462</x:v>
      </x:c>
      <x:c r="E3091" s="18" t="n">
        <x:v>3.67</x:v>
      </x:c>
      <x:c r="F3091" s="18" t="n">
        <x:v>9.75</x:v>
      </x:c>
      <x:c r="G3091" t="n">
        <x:v>36</x:v>
      </x:c>
      <x:c r="H3091" t="str">
        <x:v>B</x:v>
      </x:c>
      <x:c r="I3091" t="str">
        <x:v>1-3 years</x:v>
      </x:c>
      <x:c r="J3091" t="str">
        <x:v>RENT</x:v>
      </x:c>
      <x:c r="K3091" t="str">
        <x:v>debt_consolidation</x:v>
      </x:c>
      <x:c r="L3091" t="n">
        <x:v>0</x:v>
      </x:c>
      <x:c r="M3091" t="n">
        <x:v>0</x:v>
      </x:c>
      <x:c r="N3091" t="str">
        <x:v>Fully Paid</x:v>
      </x:c>
      <x:c r="O3091" t="str">
        <x:f>IF(D3091="","Unknown",IF(D3091&lt;25000,"&lt;$25k",IF(D3091&lt;50000,"$25k-$50k",IF(D3091&lt;75000,"$50k-$75k",IF(D3091&lt;100000,"$75k-$100k","$100k+")))))</x:f>
        <x:v>$50k-$75k</x:v>
      </x:c>
      <x:c r="P3091" t="str">
        <x:f>IF(E3091="","Unknown",IF(E3091&lt;10,"&lt;10",IF(E3091&lt;20,"10-&lt;20",IF(E3091&lt;25,"20-&lt;25",IF(E3091&lt;35,"25-&lt;35","35+")))))</x:f>
        <x:v>&lt;10</x:v>
      </x:c>
    </x:row>
    <x:row r="3092">
      <x:c r="A3092" t="str">
        <x:v>SYN0003091</x:v>
      </x:c>
      <x:c r="B3092" s="12" t="n">
        <x:v>42535</x:v>
      </x:c>
      <x:c r="C3092" s="18" t="n">
        <x:v>19343</x:v>
      </x:c>
      <x:c r="D3092" s="18" t="n">
        <x:v>29304</x:v>
      </x:c>
      <x:c r="E3092" s="18" t="n">
        <x:v>12.3</x:v>
      </x:c>
      <x:c r="F3092" s="18" t="n">
        <x:v>10.36</x:v>
      </x:c>
      <x:c r="G3092" t="n">
        <x:v>36</x:v>
      </x:c>
      <x:c r="H3092" t="str">
        <x:v>B</x:v>
      </x:c>
      <x:c r="I3092" t="str">
        <x:v>1-3 years</x:v>
      </x:c>
      <x:c r="J3092" t="str">
        <x:v>OTHER</x:v>
      </x:c>
      <x:c r="K3092" t="str">
        <x:v>credit_card</x:v>
      </x:c>
      <x:c r="L3092" t="n">
        <x:v>0</x:v>
      </x:c>
      <x:c r="M3092" t="n">
        <x:v>0</x:v>
      </x:c>
      <x:c r="N3092" t="str">
        <x:v>Fully Paid</x:v>
      </x:c>
      <x:c r="O3092" t="str">
        <x:f>IF(D3092="","Unknown",IF(D3092&lt;25000,"&lt;$25k",IF(D3092&lt;50000,"$25k-$50k",IF(D3092&lt;75000,"$50k-$75k",IF(D3092&lt;100000,"$75k-$100k","$100k+")))))</x:f>
        <x:v>$25k-$50k</x:v>
      </x:c>
      <x:c r="P3092" t="str">
        <x:f>IF(E3092="","Unknown",IF(E3092&lt;10,"&lt;10",IF(E3092&lt;20,"10-&lt;20",IF(E3092&lt;25,"20-&lt;25",IF(E3092&lt;35,"25-&lt;35","35+")))))</x:f>
        <x:v>10-&lt;20</x:v>
      </x:c>
    </x:row>
    <x:row r="3093">
      <x:c r="A3093" t="str">
        <x:v>SYN0003092</x:v>
      </x:c>
      <x:c r="B3093" s="12" t="n">
        <x:v>41875</x:v>
      </x:c>
      <x:c r="C3093" s="18" t="n">
        <x:v>15086</x:v>
      </x:c>
      <x:c r="D3093" s="18" t="n">
        <x:v>50466</x:v>
      </x:c>
      <x:c r="E3093" s="18" t="n">
        <x:v>18.4</x:v>
      </x:c>
      <x:c r="F3093" s="18" t="n">
        <x:v>7.87</x:v>
      </x:c>
      <x:c r="G3093" t="n">
        <x:v>60</x:v>
      </x:c>
      <x:c r="H3093" t="str">
        <x:v>A</x:v>
      </x:c>
      <x:c r="I3093" t="str">
        <x:v>4-6 years</x:v>
      </x:c>
      <x:c r="J3093" t="str">
        <x:v>RENT</x:v>
      </x:c>
      <x:c r="K3093" t="str">
        <x:v>debt_consolidation</x:v>
      </x:c>
      <x:c r="L3093" t="n">
        <x:v>1</x:v>
      </x:c>
      <x:c r="M3093" t="n">
        <x:v>0</x:v>
      </x:c>
      <x:c r="N3093" t="str">
        <x:v>Fully Paid</x:v>
      </x:c>
      <x:c r="O3093" t="str">
        <x:f>IF(D3093="","Unknown",IF(D3093&lt;25000,"&lt;$25k",IF(D3093&lt;50000,"$25k-$50k",IF(D3093&lt;75000,"$50k-$75k",IF(D3093&lt;100000,"$75k-$100k","$100k+")))))</x:f>
        <x:v>$50k-$75k</x:v>
      </x:c>
      <x:c r="P3093" t="str">
        <x:f>IF(E3093="","Unknown",IF(E3093&lt;10,"&lt;10",IF(E3093&lt;20,"10-&lt;20",IF(E3093&lt;25,"20-&lt;25",IF(E3093&lt;35,"25-&lt;35","35+")))))</x:f>
        <x:v>10-&lt;20</x:v>
      </x:c>
    </x:row>
    <x:row r="3094">
      <x:c r="A3094" t="str">
        <x:v>SYN0003093</x:v>
      </x:c>
      <x:c r="B3094" s="12" t="n">
        <x:v>43405</x:v>
      </x:c>
      <x:c r="C3094" s="18" t="n">
        <x:v>4905</x:v>
      </x:c>
      <x:c r="D3094" s="18" t="n">
        <x:v>90421</x:v>
      </x:c>
      <x:c r="E3094" s="18" t="n">
        <x:v>18.42</x:v>
      </x:c>
      <x:c r="F3094" s="18" t="n">
        <x:v>18.68</x:v>
      </x:c>
      <x:c r="G3094" t="n">
        <x:v>36</x:v>
      </x:c>
      <x:c r="H3094" t="str">
        <x:v>E</x:v>
      </x:c>
      <x:c r="I3094" t="str">
        <x:v>10+ years</x:v>
      </x:c>
      <x:c r="J3094" t="str">
        <x:v>MORTGAGE</x:v>
      </x:c>
      <x:c r="K3094" t="str">
        <x:v>debt_consolidation</x:v>
      </x:c>
      <x:c r="L3094" t="n">
        <x:v>2</x:v>
      </x:c>
      <x:c r="M3094" t="n">
        <x:v>1</x:v>
      </x:c>
      <x:c r="N3094" t="str">
        <x:v>Charged Off</x:v>
      </x:c>
      <x:c r="O3094" t="str">
        <x:f>IF(D3094="","Unknown",IF(D3094&lt;25000,"&lt;$25k",IF(D3094&lt;50000,"$25k-$50k",IF(D3094&lt;75000,"$50k-$75k",IF(D3094&lt;100000,"$75k-$100k","$100k+")))))</x:f>
        <x:v>$75k-$100k</x:v>
      </x:c>
      <x:c r="P3094" t="str">
        <x:f>IF(E3094="","Unknown",IF(E3094&lt;10,"&lt;10",IF(E3094&lt;20,"10-&lt;20",IF(E3094&lt;25,"20-&lt;25",IF(E3094&lt;35,"25-&lt;35","35+")))))</x:f>
        <x:v>10-&lt;20</x:v>
      </x:c>
    </x:row>
    <x:row r="3095">
      <x:c r="A3095" t="str">
        <x:v>SYN0003094</x:v>
      </x:c>
      <x:c r="B3095" s="12" t="n">
        <x:v>42235</x:v>
      </x:c>
      <x:c r="C3095" s="18" t="n">
        <x:v>11530</x:v>
      </x:c>
      <x:c r="D3095" s="18" t="n">
        <x:v>83630</x:v>
      </x:c>
      <x:c r="E3095" s="18" t="n">
        <x:v>29.13</x:v>
      </x:c>
      <x:c r="F3095" s="18" t="n">
        <x:v>17.05</x:v>
      </x:c>
      <x:c r="G3095" t="n">
        <x:v>36</x:v>
      </x:c>
      <x:c r="H3095" t="str">
        <x:v>E</x:v>
      </x:c>
      <x:c r="I3095" t="str">
        <x:v>1-3 years</x:v>
      </x:c>
      <x:c r="J3095" t="str">
        <x:v>RENT</x:v>
      </x:c>
      <x:c r="K3095" t="str">
        <x:v>debt_consolidation</x:v>
      </x:c>
      <x:c r="L3095" t="n">
        <x:v>0</x:v>
      </x:c>
      <x:c r="M3095" t="n">
        <x:v>0</x:v>
      </x:c>
      <x:c r="N3095" t="str">
        <x:v>Fully Paid</x:v>
      </x:c>
      <x:c r="O3095" t="str">
        <x:f>IF(D3095="","Unknown",IF(D3095&lt;25000,"&lt;$25k",IF(D3095&lt;50000,"$25k-$50k",IF(D3095&lt;75000,"$50k-$75k",IF(D3095&lt;100000,"$75k-$100k","$100k+")))))</x:f>
        <x:v>$75k-$100k</x:v>
      </x:c>
      <x:c r="P3095" t="str">
        <x:f>IF(E3095="","Unknown",IF(E3095&lt;10,"&lt;10",IF(E3095&lt;20,"10-&lt;20",IF(E3095&lt;25,"20-&lt;25",IF(E3095&lt;35,"25-&lt;35","35+")))))</x:f>
        <x:v>25-&lt;35</x:v>
      </x:c>
    </x:row>
    <x:row r="3096">
      <x:c r="A3096" t="str">
        <x:v>SYN0003095</x:v>
      </x:c>
      <x:c r="B3096" s="12" t="n">
        <x:v>42085</x:v>
      </x:c>
      <x:c r="C3096" s="18" t="n">
        <x:v>13214</x:v>
      </x:c>
      <x:c r="D3096" s="18" t="n">
        <x:v>44736</x:v>
      </x:c>
      <x:c r="E3096" s="18" t="n">
        <x:v>33.78</x:v>
      </x:c>
      <x:c r="F3096" s="18" t="n">
        <x:v>9.55</x:v>
      </x:c>
      <x:c r="G3096" t="n">
        <x:v>36</x:v>
      </x:c>
      <x:c r="H3096" t="str">
        <x:v>C</x:v>
      </x:c>
      <x:c r="I3096" t="str">
        <x:v>&lt;1 year</x:v>
      </x:c>
      <x:c r="J3096" t="str">
        <x:v>MORTGAGE</x:v>
      </x:c>
      <x:c r="K3096" t="str">
        <x:v>home_improvement</x:v>
      </x:c>
      <x:c r="L3096" t="n">
        <x:v>0</x:v>
      </x:c>
      <x:c r="M3096" t="n">
        <x:v>0</x:v>
      </x:c>
      <x:c r="N3096" t="str">
        <x:v>Fully Paid</x:v>
      </x:c>
      <x:c r="O3096" t="str">
        <x:f>IF(D3096="","Unknown",IF(D3096&lt;25000,"&lt;$25k",IF(D3096&lt;50000,"$25k-$50k",IF(D3096&lt;75000,"$50k-$75k",IF(D3096&lt;100000,"$75k-$100k","$100k+")))))</x:f>
        <x:v>$25k-$50k</x:v>
      </x:c>
      <x:c r="P3096" t="str">
        <x:f>IF(E3096="","Unknown",IF(E3096&lt;10,"&lt;10",IF(E3096&lt;20,"10-&lt;20",IF(E3096&lt;25,"20-&lt;25",IF(E3096&lt;35,"25-&lt;35","35+")))))</x:f>
        <x:v>25-&lt;35</x:v>
      </x:c>
    </x:row>
    <x:row r="3097">
      <x:c r="A3097" t="str">
        <x:v>SYN0003096</x:v>
      </x:c>
      <x:c r="B3097" s="12" t="n">
        <x:v>42355</x:v>
      </x:c>
      <x:c r="C3097" s="18" t="n">
        <x:v>11456</x:v>
      </x:c>
      <x:c r="D3097" s="18" t="n">
        <x:v>102560</x:v>
      </x:c>
      <x:c r="E3097" s="18" t="n">
        <x:v>10.84</x:v>
      </x:c>
      <x:c r="F3097" s="18" t="n">
        <x:v>10.09</x:v>
      </x:c>
      <x:c r="G3097" t="n">
        <x:v>60</x:v>
      </x:c>
      <x:c r="H3097" t="str">
        <x:v>B</x:v>
      </x:c>
      <x:c r="I3097" t="str">
        <x:v>7-9 years</x:v>
      </x:c>
      <x:c r="J3097" t="str">
        <x:v>RENT</x:v>
      </x:c>
      <x:c r="K3097" t="str">
        <x:v>debt_consolidation</x:v>
      </x:c>
      <x:c r="L3097" t="n">
        <x:v>1</x:v>
      </x:c>
      <x:c r="M3097" t="n">
        <x:v>0</x:v>
      </x:c>
      <x:c r="N3097" t="str">
        <x:v>Fully Paid</x:v>
      </x:c>
      <x:c r="O3097" t="str">
        <x:f>IF(D3097="","Unknown",IF(D3097&lt;25000,"&lt;$25k",IF(D3097&lt;50000,"$25k-$50k",IF(D3097&lt;75000,"$50k-$75k",IF(D3097&lt;100000,"$75k-$100k","$100k+")))))</x:f>
        <x:v>$100k+</x:v>
      </x:c>
      <x:c r="P3097" t="str">
        <x:f>IF(E3097="","Unknown",IF(E3097&lt;10,"&lt;10",IF(E3097&lt;20,"10-&lt;20",IF(E3097&lt;25,"20-&lt;25",IF(E3097&lt;35,"25-&lt;35","35+")))))</x:f>
        <x:v>10-&lt;20</x:v>
      </x:c>
    </x:row>
    <x:row r="3098">
      <x:c r="A3098" t="str">
        <x:v>SYN0003097</x:v>
      </x:c>
      <x:c r="B3098" s="12" t="n">
        <x:v>41305</x:v>
      </x:c>
      <x:c r="C3098" s="18" t="n">
        <x:v>5863</x:v>
      </x:c>
      <x:c r="D3098" s="18" t="n">
        <x:v>34776</x:v>
      </x:c>
      <x:c r="E3098" s="18" t="n">
        <x:v>28.67</x:v>
      </x:c>
      <x:c r="F3098" s="18" t="n">
        <x:v>13.67</x:v>
      </x:c>
      <x:c r="G3098" t="n">
        <x:v>36</x:v>
      </x:c>
      <x:c r="H3098" t="str">
        <x:v>C</x:v>
      </x:c>
      <x:c r="I3098" t="str">
        <x:v>7-9 years</x:v>
      </x:c>
      <x:c r="J3098" t="str">
        <x:v>RENT</x:v>
      </x:c>
      <x:c r="K3098" t="str">
        <x:v>credit_card</x:v>
      </x:c>
      <x:c r="L3098" t="n">
        <x:v>0</x:v>
      </x:c>
      <x:c r="M3098" t="n">
        <x:v>0</x:v>
      </x:c>
      <x:c r="N3098" t="str">
        <x:v>Fully Paid</x:v>
      </x:c>
      <x:c r="O3098" t="str">
        <x:f>IF(D3098="","Unknown",IF(D3098&lt;25000,"&lt;$25k",IF(D3098&lt;50000,"$25k-$50k",IF(D3098&lt;75000,"$50k-$75k",IF(D3098&lt;100000,"$75k-$100k","$100k+")))))</x:f>
        <x:v>$25k-$50k</x:v>
      </x:c>
      <x:c r="P3098" t="str">
        <x:f>IF(E3098="","Unknown",IF(E3098&lt;10,"&lt;10",IF(E3098&lt;20,"10-&lt;20",IF(E3098&lt;25,"20-&lt;25",IF(E3098&lt;35,"25-&lt;35","35+")))))</x:f>
        <x:v>25-&lt;35</x:v>
      </x:c>
    </x:row>
    <x:row r="3099">
      <x:c r="A3099" t="str">
        <x:v>SYN0003098</x:v>
      </x:c>
      <x:c r="B3099" s="12" t="n">
        <x:v>43225</x:v>
      </x:c>
      <x:c r="C3099" s="18" t="n">
        <x:v>12571</x:v>
      </x:c>
      <x:c r="D3099" s="18" t="n">
        <x:v>24034</x:v>
      </x:c>
      <x:c r="E3099" s="18" t="n">
        <x:v>28.85</x:v>
      </x:c>
      <x:c r="F3099" s="18" t="n">
        <x:v>12.69</x:v>
      </x:c>
      <x:c r="G3099" t="n">
        <x:v>60</x:v>
      </x:c>
      <x:c r="H3099" t="str">
        <x:v>D</x:v>
      </x:c>
      <x:c r="I3099" t="str">
        <x:v>1-3 years</x:v>
      </x:c>
      <x:c r="J3099" t="str">
        <x:v>MORTGAGE</x:v>
      </x:c>
      <x:c r="K3099" t="str">
        <x:v>home_improvement</x:v>
      </x:c>
      <x:c r="L3099" t="n">
        <x:v>1</x:v>
      </x:c>
      <x:c r="M3099" t="n">
        <x:v>0</x:v>
      </x:c>
      <x:c r="N3099" t="str">
        <x:v>Fully Paid</x:v>
      </x:c>
      <x:c r="O3099" t="str">
        <x:f>IF(D3099="","Unknown",IF(D3099&lt;25000,"&lt;$25k",IF(D3099&lt;50000,"$25k-$50k",IF(D3099&lt;75000,"$50k-$75k",IF(D3099&lt;100000,"$75k-$100k","$100k+")))))</x:f>
        <x:v>&lt;$25k</x:v>
      </x:c>
      <x:c r="P3099" t="str">
        <x:f>IF(E3099="","Unknown",IF(E3099&lt;10,"&lt;10",IF(E3099&lt;20,"10-&lt;20",IF(E3099&lt;25,"20-&lt;25",IF(E3099&lt;35,"25-&lt;35","35+")))))</x:f>
        <x:v>25-&lt;35</x:v>
      </x:c>
    </x:row>
    <x:row r="3100">
      <x:c r="A3100" t="str">
        <x:v>SYN0003099</x:v>
      </x:c>
      <x:c r="B3100" s="12" t="n">
        <x:v>42475</x:v>
      </x:c>
      <x:c r="C3100" s="18" t="n">
        <x:v>10757</x:v>
      </x:c>
      <x:c r="D3100" s="18" t="n">
        <x:v>67838</x:v>
      </x:c>
      <x:c r="E3100" s="18" t="n">
        <x:v>15.07</x:v>
      </x:c>
      <x:c r="F3100" s="18" t="n">
        <x:v>13.11</x:v>
      </x:c>
      <x:c r="G3100" t="n">
        <x:v>36</x:v>
      </x:c>
      <x:c r="H3100" t="str">
        <x:v>C</x:v>
      </x:c>
      <x:c r="I3100" t="str">
        <x:v>4-6 years</x:v>
      </x:c>
      <x:c r="J3100" t="str">
        <x:v>MORTGAGE</x:v>
      </x:c>
      <x:c r="K3100" t="str">
        <x:v>debt_consolidation</x:v>
      </x:c>
      <x:c r="L3100" t="n">
        <x:v>0</x:v>
      </x:c>
      <x:c r="M3100" t="n">
        <x:v>0</x:v>
      </x:c>
      <x:c r="N3100" t="str">
        <x:v>Fully Paid</x:v>
      </x:c>
      <x:c r="O3100" t="str">
        <x:f>IF(D3100="","Unknown",IF(D3100&lt;25000,"&lt;$25k",IF(D3100&lt;50000,"$25k-$50k",IF(D3100&lt;75000,"$50k-$75k",IF(D3100&lt;100000,"$75k-$100k","$100k+")))))</x:f>
        <x:v>$50k-$75k</x:v>
      </x:c>
      <x:c r="P3100" t="str">
        <x:f>IF(E3100="","Unknown",IF(E3100&lt;10,"&lt;10",IF(E3100&lt;20,"10-&lt;20",IF(E3100&lt;25,"20-&lt;25",IF(E3100&lt;35,"25-&lt;35","35+")))))</x:f>
        <x:v>10-&lt;20</x:v>
      </x:c>
    </x:row>
    <x:row r="3101">
      <x:c r="A3101" t="str">
        <x:v>SYN0003100</x:v>
      </x:c>
      <x:c r="B3101" s="12" t="n">
        <x:v>41545</x:v>
      </x:c>
      <x:c r="C3101" s="18" t="n">
        <x:v>19097</x:v>
      </x:c>
      <x:c r="D3101" s="18" t="n">
        <x:v>16371</x:v>
      </x:c>
      <x:c r="E3101" s="18" t="n">
        <x:v>24.65</x:v>
      </x:c>
      <x:c r="F3101" s="18" t="n">
        <x:v>5</x:v>
      </x:c>
      <x:c r="G3101" t="n">
        <x:v>36</x:v>
      </x:c>
      <x:c r="H3101" t="str">
        <x:v>A</x:v>
      </x:c>
      <x:c r="I3101" t="str">
        <x:v>7-9 years</x:v>
      </x:c>
      <x:c r="J3101" t="str">
        <x:v>MORTGAGE</x:v>
      </x:c>
      <x:c r="K3101" t="str">
        <x:v>debt_consolidation</x:v>
      </x:c>
      <x:c r="L3101" t="n">
        <x:v>1</x:v>
      </x:c>
      <x:c r="M3101" t="n">
        <x:v>0</x:v>
      </x:c>
      <x:c r="N3101" t="str">
        <x:v>Fully Paid</x:v>
      </x:c>
      <x:c r="O3101" t="str">
        <x:f>IF(D3101="","Unknown",IF(D3101&lt;25000,"&lt;$25k",IF(D3101&lt;50000,"$25k-$50k",IF(D3101&lt;75000,"$50k-$75k",IF(D3101&lt;100000,"$75k-$100k","$100k+")))))</x:f>
        <x:v>&lt;$25k</x:v>
      </x:c>
      <x:c r="P3101" t="str">
        <x:f>IF(E3101="","Unknown",IF(E3101&lt;10,"&lt;10",IF(E3101&lt;20,"10-&lt;20",IF(E3101&lt;25,"20-&lt;25",IF(E3101&lt;35,"25-&lt;35","35+")))))</x:f>
        <x:v>20-&lt;25</x:v>
      </x:c>
    </x:row>
    <x:row r="3102">
      <x:c r="A3102" t="str">
        <x:v>SYN0003101</x:v>
      </x:c>
      <x:c r="B3102" s="12" t="n">
        <x:v>42085</x:v>
      </x:c>
      <x:c r="C3102" s="18" t="n">
        <x:v>9240</x:v>
      </x:c>
      <x:c r="D3102" s="18" t="n">
        <x:v>33480</x:v>
      </x:c>
      <x:c r="E3102" s="18" t="n">
        <x:v>6.13</x:v>
      </x:c>
      <x:c r="F3102" s="18" t="n">
        <x:v>12.12</x:v>
      </x:c>
      <x:c r="G3102" t="n">
        <x:v>36</x:v>
      </x:c>
      <x:c r="H3102" t="str">
        <x:v>C</x:v>
      </x:c>
      <x:c r="I3102" t="str">
        <x:v>1-3 years</x:v>
      </x:c>
      <x:c r="J3102" t="str">
        <x:v>RENT</x:v>
      </x:c>
      <x:c r="K3102" t="str">
        <x:v>debt_consolidation</x:v>
      </x:c>
      <x:c r="L3102" t="n">
        <x:v>1</x:v>
      </x:c>
      <x:c r="M3102" t="n">
        <x:v>0</x:v>
      </x:c>
      <x:c r="N3102" t="str">
        <x:v>Fully Paid</x:v>
      </x:c>
      <x:c r="O3102" t="str">
        <x:f>IF(D3102="","Unknown",IF(D3102&lt;25000,"&lt;$25k",IF(D3102&lt;50000,"$25k-$50k",IF(D3102&lt;75000,"$50k-$75k",IF(D3102&lt;100000,"$75k-$100k","$100k+")))))</x:f>
        <x:v>$25k-$50k</x:v>
      </x:c>
      <x:c r="P3102" t="str">
        <x:f>IF(E3102="","Unknown",IF(E3102&lt;10,"&lt;10",IF(E3102&lt;20,"10-&lt;20",IF(E3102&lt;25,"20-&lt;25",IF(E3102&lt;35,"25-&lt;35","35+")))))</x:f>
        <x:v>&lt;10</x:v>
      </x:c>
    </x:row>
    <x:row r="3103">
      <x:c r="A3103" t="str">
        <x:v>SYN0003102</x:v>
      </x:c>
      <x:c r="B3103" s="12" t="n">
        <x:v>42835</x:v>
      </x:c>
      <x:c r="C3103" s="18" t="n">
        <x:v>15941</x:v>
      </x:c>
      <x:c r="D3103" s="18" t="n">
        <x:v>214524</x:v>
      </x:c>
      <x:c r="E3103" s="18" t="n">
        <x:v>20.41</x:v>
      </x:c>
      <x:c r="F3103" s="18" t="n">
        <x:v>11.86</x:v>
      </x:c>
      <x:c r="G3103" t="n">
        <x:v>36</x:v>
      </x:c>
      <x:c r="H3103" t="str">
        <x:v>C</x:v>
      </x:c>
      <x:c r="I3103" t="str">
        <x:v>4-6 years</x:v>
      </x:c>
      <x:c r="J3103" t="str">
        <x:v>RENT</x:v>
      </x:c>
      <x:c r="K3103" t="str">
        <x:v>debt_consolidation</x:v>
      </x:c>
      <x:c r="L3103" t="n">
        <x:v>0</x:v>
      </x:c>
      <x:c r="M3103" t="n">
        <x:v>0</x:v>
      </x:c>
      <x:c r="N3103" t="str">
        <x:v>Fully Paid</x:v>
      </x:c>
      <x:c r="O3103" t="str">
        <x:f>IF(D3103="","Unknown",IF(D3103&lt;25000,"&lt;$25k",IF(D3103&lt;50000,"$25k-$50k",IF(D3103&lt;75000,"$50k-$75k",IF(D3103&lt;100000,"$75k-$100k","$100k+")))))</x:f>
        <x:v>$100k+</x:v>
      </x:c>
      <x:c r="P3103" t="str">
        <x:f>IF(E3103="","Unknown",IF(E3103&lt;10,"&lt;10",IF(E3103&lt;20,"10-&lt;20",IF(E3103&lt;25,"20-&lt;25",IF(E3103&lt;35,"25-&lt;35","35+")))))</x:f>
        <x:v>20-&lt;25</x:v>
      </x:c>
    </x:row>
    <x:row r="3104">
      <x:c r="A3104" t="str">
        <x:v>SYN0003103</x:v>
      </x:c>
      <x:c r="B3104" s="12" t="n">
        <x:v>41635</x:v>
      </x:c>
      <x:c r="C3104" s="18" t="n">
        <x:v>15246</x:v>
      </x:c>
      <x:c r="D3104" s="18" t="n">
        <x:v>27117</x:v>
      </x:c>
      <x:c r="E3104" s="18" t="n">
        <x:v>12.03</x:v>
      </x:c>
      <x:c r="F3104" s="18" t="n">
        <x:v>9.55</x:v>
      </x:c>
      <x:c r="G3104" t="n">
        <x:v>36</x:v>
      </x:c>
      <x:c r="H3104" t="str">
        <x:v>B</x:v>
      </x:c>
      <x:c r="I3104" t="str">
        <x:v>4-6 years</x:v>
      </x:c>
      <x:c r="J3104" t="str">
        <x:v>MORTGAGE</x:v>
      </x:c>
      <x:c r="K3104" t="str">
        <x:v>debt_consolidation</x:v>
      </x:c>
      <x:c r="L3104" t="n">
        <x:v>0</x:v>
      </x:c>
      <x:c r="M3104" t="n">
        <x:v>1</x:v>
      </x:c>
      <x:c r="N3104" t="str">
        <x:v>Charged Off</x:v>
      </x:c>
      <x:c r="O3104" t="str">
        <x:f>IF(D3104="","Unknown",IF(D3104&lt;25000,"&lt;$25k",IF(D3104&lt;50000,"$25k-$50k",IF(D3104&lt;75000,"$50k-$75k",IF(D3104&lt;100000,"$75k-$100k","$100k+")))))</x:f>
        <x:v>$25k-$50k</x:v>
      </x:c>
      <x:c r="P3104" t="str">
        <x:f>IF(E3104="","Unknown",IF(E3104&lt;10,"&lt;10",IF(E3104&lt;20,"10-&lt;20",IF(E3104&lt;25,"20-&lt;25",IF(E3104&lt;35,"25-&lt;35","35+")))))</x:f>
        <x:v>10-&lt;20</x:v>
      </x:c>
    </x:row>
    <x:row r="3105">
      <x:c r="A3105" t="str">
        <x:v>SYN0003104</x:v>
      </x:c>
      <x:c r="B3105" s="12" t="n">
        <x:v>42175</x:v>
      </x:c>
      <x:c r="C3105" s="18" t="n">
        <x:v>19334</x:v>
      </x:c>
      <x:c r="D3105" s="18" t="n">
        <x:v>58449</x:v>
      </x:c>
      <x:c r="E3105" s="18" t="n">
        <x:v>17.45</x:v>
      </x:c>
      <x:c r="F3105" s="18" t="n">
        <x:v>15.13</x:v>
      </x:c>
      <x:c r="G3105" t="n">
        <x:v>60</x:v>
      </x:c>
      <x:c r="H3105" t="str">
        <x:v>D</x:v>
      </x:c>
      <x:c r="I3105" t="str">
        <x:v>1-3 years</x:v>
      </x:c>
      <x:c r="J3105" t="str">
        <x:v>RENT</x:v>
      </x:c>
      <x:c r="K3105" t="str">
        <x:v>other</x:v>
      </x:c>
      <x:c r="L3105" t="n">
        <x:v>0</x:v>
      </x:c>
      <x:c r="M3105" t="n">
        <x:v>0</x:v>
      </x:c>
      <x:c r="N3105" t="str">
        <x:v>Fully Paid</x:v>
      </x:c>
      <x:c r="O3105" t="str">
        <x:f>IF(D3105="","Unknown",IF(D3105&lt;25000,"&lt;$25k",IF(D3105&lt;50000,"$25k-$50k",IF(D3105&lt;75000,"$50k-$75k",IF(D3105&lt;100000,"$75k-$100k","$100k+")))))</x:f>
        <x:v>$50k-$75k</x:v>
      </x:c>
      <x:c r="P3105" t="str">
        <x:f>IF(E3105="","Unknown",IF(E3105&lt;10,"&lt;10",IF(E3105&lt;20,"10-&lt;20",IF(E3105&lt;25,"20-&lt;25",IF(E3105&lt;35,"25-&lt;35","35+")))))</x:f>
        <x:v>10-&lt;20</x:v>
      </x:c>
    </x:row>
    <x:row r="3106">
      <x:c r="A3106" t="str">
        <x:v>SYN0003105</x:v>
      </x:c>
      <x:c r="B3106" s="12" t="n">
        <x:v>42715</x:v>
      </x:c>
      <x:c r="C3106" s="18" t="n">
        <x:v>13571</x:v>
      </x:c>
      <x:c r="D3106" s="18" t="n">
        <x:v>22168</x:v>
      </x:c>
      <x:c r="E3106" s="18" t="n">
        <x:v>3.51</x:v>
      </x:c>
      <x:c r="F3106" s="18" t="n">
        <x:v>9.88</x:v>
      </x:c>
      <x:c r="G3106" t="n">
        <x:v>36</x:v>
      </x:c>
      <x:c r="H3106" t="str">
        <x:v>C</x:v>
      </x:c>
      <x:c r="I3106" t="str">
        <x:v>10+ years</x:v>
      </x:c>
      <x:c r="J3106" t="str">
        <x:v>MORTGAGE</x:v>
      </x:c>
      <x:c r="K3106" t="str">
        <x:v>home_improvement</x:v>
      </x:c>
      <x:c r="L3106" t="n">
        <x:v>0</x:v>
      </x:c>
      <x:c r="M3106" t="n">
        <x:v>0</x:v>
      </x:c>
      <x:c r="N3106" t="str">
        <x:v>Fully Paid</x:v>
      </x:c>
      <x:c r="O3106" t="str">
        <x:f>IF(D3106="","Unknown",IF(D3106&lt;25000,"&lt;$25k",IF(D3106&lt;50000,"$25k-$50k",IF(D3106&lt;75000,"$50k-$75k",IF(D3106&lt;100000,"$75k-$100k","$100k+")))))</x:f>
        <x:v>&lt;$25k</x:v>
      </x:c>
      <x:c r="P3106" t="str">
        <x:f>IF(E3106="","Unknown",IF(E3106&lt;10,"&lt;10",IF(E3106&lt;20,"10-&lt;20",IF(E3106&lt;25,"20-&lt;25",IF(E3106&lt;35,"25-&lt;35","35+")))))</x:f>
        <x:v>&lt;10</x:v>
      </x:c>
    </x:row>
    <x:row r="3107">
      <x:c r="A3107" t="str">
        <x:v>SYN0003106</x:v>
      </x:c>
      <x:c r="B3107" s="12" t="n">
        <x:v>43135</x:v>
      </x:c>
      <x:c r="C3107" s="18" t="n">
        <x:v>20682</x:v>
      </x:c>
      <x:c r="D3107" s="18" t="n">
        <x:v>64092</x:v>
      </x:c>
      <x:c r="E3107" s="18" t="n">
        <x:v>21.62</x:v>
      </x:c>
      <x:c r="F3107" s="18" t="n">
        <x:v>18.19</x:v>
      </x:c>
      <x:c r="G3107" t="n">
        <x:v>36</x:v>
      </x:c>
      <x:c r="H3107" t="str">
        <x:v>E</x:v>
      </x:c>
      <x:c r="I3107" t="str">
        <x:v>10+ years</x:v>
      </x:c>
      <x:c r="J3107" t="str">
        <x:v>RENT</x:v>
      </x:c>
      <x:c r="K3107" t="str">
        <x:v>debt_consolidation</x:v>
      </x:c>
      <x:c r="L3107" t="n">
        <x:v>1</x:v>
      </x:c>
      <x:c r="M3107" t="n">
        <x:v>0</x:v>
      </x:c>
      <x:c r="N3107" t="str">
        <x:v>Fully Paid</x:v>
      </x:c>
      <x:c r="O3107" t="str">
        <x:f>IF(D3107="","Unknown",IF(D3107&lt;25000,"&lt;$25k",IF(D3107&lt;50000,"$25k-$50k",IF(D3107&lt;75000,"$50k-$75k",IF(D3107&lt;100000,"$75k-$100k","$100k+")))))</x:f>
        <x:v>$50k-$75k</x:v>
      </x:c>
      <x:c r="P3107" t="str">
        <x:f>IF(E3107="","Unknown",IF(E3107&lt;10,"&lt;10",IF(E3107&lt;20,"10-&lt;20",IF(E3107&lt;25,"20-&lt;25",IF(E3107&lt;35,"25-&lt;35","35+")))))</x:f>
        <x:v>20-&lt;25</x:v>
      </x:c>
    </x:row>
    <x:row r="3108">
      <x:c r="A3108" t="str">
        <x:v>SYN0003107</x:v>
      </x:c>
      <x:c r="B3108" s="12" t="n">
        <x:v>42955</x:v>
      </x:c>
      <x:c r="C3108" s="18" t="n">
        <x:v>16133</x:v>
      </x:c>
      <x:c r="D3108" s="18" t="n">
        <x:v>250000</x:v>
      </x:c>
      <x:c r="E3108" s="18" t="n">
        <x:v>25.84</x:v>
      </x:c>
      <x:c r="F3108" s="18" t="n">
        <x:v>22.01</x:v>
      </x:c>
      <x:c r="G3108" t="n">
        <x:v>36</x:v>
      </x:c>
      <x:c r="H3108" t="str">
        <x:v>F</x:v>
      </x:c>
      <x:c r="I3108" t="str">
        <x:v>1-3 years</x:v>
      </x:c>
      <x:c r="J3108" t="str">
        <x:v>MORTGAGE</x:v>
      </x:c>
      <x:c r="K3108" t="str">
        <x:v>major_purchase</x:v>
      </x:c>
      <x:c r="L3108" t="n">
        <x:v>0</x:v>
      </x:c>
      <x:c r="M3108" t="n">
        <x:v>0</x:v>
      </x:c>
      <x:c r="N3108" t="str">
        <x:v>Fully Paid</x:v>
      </x:c>
      <x:c r="O3108" t="str">
        <x:f>IF(D3108="","Unknown",IF(D3108&lt;25000,"&lt;$25k",IF(D3108&lt;50000,"$25k-$50k",IF(D3108&lt;75000,"$50k-$75k",IF(D3108&lt;100000,"$75k-$100k","$100k+")))))</x:f>
        <x:v>$100k+</x:v>
      </x:c>
      <x:c r="P3108" t="str">
        <x:f>IF(E3108="","Unknown",IF(E3108&lt;10,"&lt;10",IF(E3108&lt;20,"10-&lt;20",IF(E3108&lt;25,"20-&lt;25",IF(E3108&lt;35,"25-&lt;35","35+")))))</x:f>
        <x:v>25-&lt;35</x:v>
      </x:c>
    </x:row>
    <x:row r="3109">
      <x:c r="A3109" t="str">
        <x:v>SYN0003108</x:v>
      </x:c>
      <x:c r="B3109" s="12" t="n">
        <x:v>42685</x:v>
      </x:c>
      <x:c r="C3109" s="18" t="n">
        <x:v>10369</x:v>
      </x:c>
      <x:c r="D3109" s="18" t="n">
        <x:v>142171</x:v>
      </x:c>
      <x:c r="E3109" s="18" t="n">
        <x:v>45.82</x:v>
      </x:c>
      <x:c r="F3109" s="18" t="n">
        <x:v>13.43</x:v>
      </x:c>
      <x:c r="G3109" t="n">
        <x:v>36</x:v>
      </x:c>
      <x:c r="H3109" t="str">
        <x:v>C</x:v>
      </x:c>
      <x:c r="I3109" t="str">
        <x:v>4-6 years</x:v>
      </x:c>
      <x:c r="J3109" t="str">
        <x:v>RENT</x:v>
      </x:c>
      <x:c r="K3109" t="str">
        <x:v>medical</x:v>
      </x:c>
      <x:c r="L3109" t="n">
        <x:v>0</x:v>
      </x:c>
      <x:c r="M3109" t="n">
        <x:v>1</x:v>
      </x:c>
      <x:c r="N3109" t="str">
        <x:v>Charged Off</x:v>
      </x:c>
      <x:c r="O3109" t="str">
        <x:f>IF(D3109="","Unknown",IF(D3109&lt;25000,"&lt;$25k",IF(D3109&lt;50000,"$25k-$50k",IF(D3109&lt;75000,"$50k-$75k",IF(D3109&lt;100000,"$75k-$100k","$100k+")))))</x:f>
        <x:v>$100k+</x:v>
      </x:c>
      <x:c r="P3109" t="str">
        <x:f>IF(E3109="","Unknown",IF(E3109&lt;10,"&lt;10",IF(E3109&lt;20,"10-&lt;20",IF(E3109&lt;25,"20-&lt;25",IF(E3109&lt;35,"25-&lt;35","35+")))))</x:f>
        <x:v>35+</x:v>
      </x:c>
    </x:row>
    <x:row r="3110">
      <x:c r="A3110" t="str">
        <x:v>SYN0003109</x:v>
      </x:c>
      <x:c r="B3110" s="12" t="n">
        <x:v>41575</x:v>
      </x:c>
      <x:c r="C3110" s="18" t="n">
        <x:v>14293</x:v>
      </x:c>
      <x:c r="D3110" s="18" t="n">
        <x:v>85309</x:v>
      </x:c>
      <x:c r="E3110" s="18" t="n">
        <x:v>22.4</x:v>
      </x:c>
      <x:c r="F3110" s="18" t="n">
        <x:v>19.73</x:v>
      </x:c>
      <x:c r="G3110" t="n">
        <x:v>60</x:v>
      </x:c>
      <x:c r="H3110" t="str">
        <x:v>E</x:v>
      </x:c>
      <x:c r="I3110" t="str">
        <x:v>10+ years</x:v>
      </x:c>
      <x:c r="J3110" t="str">
        <x:v>RENT</x:v>
      </x:c>
      <x:c r="K3110" t="str">
        <x:v>credit_card</x:v>
      </x:c>
      <x:c r="L3110" t="n">
        <x:v>3</x:v>
      </x:c>
      <x:c r="M3110" t="n">
        <x:v>1</x:v>
      </x:c>
      <x:c r="N3110" t="str">
        <x:v>Charged Off</x:v>
      </x:c>
      <x:c r="O3110" t="str">
        <x:f>IF(D3110="","Unknown",IF(D3110&lt;25000,"&lt;$25k",IF(D3110&lt;50000,"$25k-$50k",IF(D3110&lt;75000,"$50k-$75k",IF(D3110&lt;100000,"$75k-$100k","$100k+")))))</x:f>
        <x:v>$75k-$100k</x:v>
      </x:c>
      <x:c r="P3110" t="str">
        <x:f>IF(E3110="","Unknown",IF(E3110&lt;10,"&lt;10",IF(E3110&lt;20,"10-&lt;20",IF(E3110&lt;25,"20-&lt;25",IF(E3110&lt;35,"25-&lt;35","35+")))))</x:f>
        <x:v>20-&lt;25</x:v>
      </x:c>
    </x:row>
    <x:row r="3111">
      <x:c r="A3111" t="str">
        <x:v>SYN0003110</x:v>
      </x:c>
      <x:c r="B3111" s="12" t="n">
        <x:v>42475</x:v>
      </x:c>
      <x:c r="C3111" s="18" t="n">
        <x:v>16577</x:v>
      </x:c>
      <x:c r="D3111" s="18" t="n">
        <x:v>22902</x:v>
      </x:c>
      <x:c r="E3111" s="18" t="n">
        <x:v>26.57</x:v>
      </x:c>
      <x:c r="F3111" s="18" t="n">
        <x:v>9.33</x:v>
      </x:c>
      <x:c r="G3111" t="n">
        <x:v>60</x:v>
      </x:c>
      <x:c r="H3111" t="str">
        <x:v>C</x:v>
      </x:c>
      <x:c r="I3111" t="str">
        <x:v>1-3 years</x:v>
      </x:c>
      <x:c r="J3111" t="str">
        <x:v>RENT</x:v>
      </x:c>
      <x:c r="K3111" t="str">
        <x:v>debt_consolidation</x:v>
      </x:c>
      <x:c r="L3111" t="n">
        <x:v>0</x:v>
      </x:c>
      <x:c r="M3111" t="n">
        <x:v>0</x:v>
      </x:c>
      <x:c r="N3111" t="str">
        <x:v>Fully Paid</x:v>
      </x:c>
      <x:c r="O3111" t="str">
        <x:f>IF(D3111="","Unknown",IF(D3111&lt;25000,"&lt;$25k",IF(D3111&lt;50000,"$25k-$50k",IF(D3111&lt;75000,"$50k-$75k",IF(D3111&lt;100000,"$75k-$100k","$100k+")))))</x:f>
        <x:v>&lt;$25k</x:v>
      </x:c>
      <x:c r="P3111" t="str">
        <x:f>IF(E3111="","Unknown",IF(E3111&lt;10,"&lt;10",IF(E3111&lt;20,"10-&lt;20",IF(E3111&lt;25,"20-&lt;25",IF(E3111&lt;35,"25-&lt;35","35+")))))</x:f>
        <x:v>25-&lt;35</x:v>
      </x:c>
    </x:row>
    <x:row r="3112">
      <x:c r="A3112" t="str">
        <x:v>SYN0003111</x:v>
      </x:c>
      <x:c r="B3112" s="12" t="n">
        <x:v>43255</x:v>
      </x:c>
      <x:c r="C3112" s="18" t="n">
        <x:v>7357</x:v>
      </x:c>
      <x:c r="D3112" s="18" t="n">
        <x:v>12000</x:v>
      </x:c>
      <x:c r="E3112" s="18" t="n">
        <x:v>28.72</x:v>
      </x:c>
      <x:c r="F3112" s="18" t="n">
        <x:v>8.56</x:v>
      </x:c>
      <x:c r="G3112" t="n">
        <x:v>60</x:v>
      </x:c>
      <x:c r="H3112" t="str">
        <x:v>B</x:v>
      </x:c>
      <x:c r="I3112" t="str">
        <x:v>7-9 years</x:v>
      </x:c>
      <x:c r="J3112" t="str">
        <x:v>RENT</x:v>
      </x:c>
      <x:c r="K3112" t="str">
        <x:v>home_improvement</x:v>
      </x:c>
      <x:c r="L3112" t="n">
        <x:v>0</x:v>
      </x:c>
      <x:c r="M3112" t="n">
        <x:v>1</x:v>
      </x:c>
      <x:c r="N3112" t="str">
        <x:v>Charged Off</x:v>
      </x:c>
      <x:c r="O3112" t="str">
        <x:f>IF(D3112="","Unknown",IF(D3112&lt;25000,"&lt;$25k",IF(D3112&lt;50000,"$25k-$50k",IF(D3112&lt;75000,"$50k-$75k",IF(D3112&lt;100000,"$75k-$100k","$100k+")))))</x:f>
        <x:v>&lt;$25k</x:v>
      </x:c>
      <x:c r="P3112" t="str">
        <x:f>IF(E3112="","Unknown",IF(E3112&lt;10,"&lt;10",IF(E3112&lt;20,"10-&lt;20",IF(E3112&lt;25,"20-&lt;25",IF(E3112&lt;35,"25-&lt;35","35+")))))</x:f>
        <x:v>25-&lt;35</x:v>
      </x:c>
    </x:row>
    <x:row r="3113">
      <x:c r="A3113" t="str">
        <x:v>SYN0003112</x:v>
      </x:c>
      <x:c r="B3113" s="12" t="n">
        <x:v>42115</x:v>
      </x:c>
      <x:c r="C3113" s="18" t="n">
        <x:v>21166</x:v>
      </x:c>
      <x:c r="D3113" s="18" t="n">
        <x:v>33592</x:v>
      </x:c>
      <x:c r="E3113" s="18" t="n">
        <x:v>17.64</x:v>
      </x:c>
      <x:c r="F3113" s="18" t="n">
        <x:v>8.92</x:v>
      </x:c>
      <x:c r="G3113" t="n">
        <x:v>36</x:v>
      </x:c>
      <x:c r="H3113" t="str">
        <x:v>B</x:v>
      </x:c>
      <x:c r="I3113" t="str">
        <x:v>10+ years</x:v>
      </x:c>
      <x:c r="J3113" t="str">
        <x:v>RENT</x:v>
      </x:c>
      <x:c r="K3113" t="str">
        <x:v>credit_card</x:v>
      </x:c>
      <x:c r="L3113" t="n">
        <x:v>0</x:v>
      </x:c>
      <x:c r="M3113" t="n">
        <x:v>0</x:v>
      </x:c>
      <x:c r="N3113" t="str">
        <x:v>Fully Paid</x:v>
      </x:c>
      <x:c r="O3113" t="str">
        <x:f>IF(D3113="","Unknown",IF(D3113&lt;25000,"&lt;$25k",IF(D3113&lt;50000,"$25k-$50k",IF(D3113&lt;75000,"$50k-$75k",IF(D3113&lt;100000,"$75k-$100k","$100k+")))))</x:f>
        <x:v>$25k-$50k</x:v>
      </x:c>
      <x:c r="P3113" t="str">
        <x:f>IF(E3113="","Unknown",IF(E3113&lt;10,"&lt;10",IF(E3113&lt;20,"10-&lt;20",IF(E3113&lt;25,"20-&lt;25",IF(E3113&lt;35,"25-&lt;35","35+")))))</x:f>
        <x:v>10-&lt;20</x:v>
      </x:c>
    </x:row>
    <x:row r="3114">
      <x:c r="A3114" t="str">
        <x:v>SYN0003113</x:v>
      </x:c>
      <x:c r="B3114" s="12" t="n">
        <x:v>41665</x:v>
      </x:c>
      <x:c r="C3114" s="18" t="n">
        <x:v>13985</x:v>
      </x:c>
      <x:c r="D3114" s="18" t="n">
        <x:v>138016</x:v>
      </x:c>
      <x:c r="E3114" s="18" t="n">
        <x:v>26.99</x:v>
      </x:c>
      <x:c r="F3114" s="18" t="n">
        <x:v>13.63</x:v>
      </x:c>
      <x:c r="G3114" t="n">
        <x:v>36</x:v>
      </x:c>
      <x:c r="H3114" t="str">
        <x:v>D</x:v>
      </x:c>
      <x:c r="I3114" t="str">
        <x:v>4-6 years</x:v>
      </x:c>
      <x:c r="J3114" t="str">
        <x:v>RENT</x:v>
      </x:c>
      <x:c r="K3114" t="str">
        <x:v>credit_card</x:v>
      </x:c>
      <x:c r="L3114" t="n">
        <x:v>2</x:v>
      </x:c>
      <x:c r="M3114" t="n">
        <x:v>0</x:v>
      </x:c>
      <x:c r="N3114" t="str">
        <x:v>Fully Paid</x:v>
      </x:c>
      <x:c r="O3114" t="str">
        <x:f>IF(D3114="","Unknown",IF(D3114&lt;25000,"&lt;$25k",IF(D3114&lt;50000,"$25k-$50k",IF(D3114&lt;75000,"$50k-$75k",IF(D3114&lt;100000,"$75k-$100k","$100k+")))))</x:f>
        <x:v>$100k+</x:v>
      </x:c>
      <x:c r="P3114" t="str">
        <x:f>IF(E3114="","Unknown",IF(E3114&lt;10,"&lt;10",IF(E3114&lt;20,"10-&lt;20",IF(E3114&lt;25,"20-&lt;25",IF(E3114&lt;35,"25-&lt;35","35+")))))</x:f>
        <x:v>25-&lt;35</x:v>
      </x:c>
    </x:row>
    <x:row r="3115">
      <x:c r="A3115" t="str">
        <x:v>SYN0003114</x:v>
      </x:c>
      <x:c r="B3115" s="12" t="n">
        <x:v>41635</x:v>
      </x:c>
      <x:c r="C3115" s="18" t="n">
        <x:v>5704</x:v>
      </x:c>
      <x:c r="D3115" s="18" t="n">
        <x:v>35963</x:v>
      </x:c>
      <x:c r="E3115" s="18" t="n">
        <x:v>17.28</x:v>
      </x:c>
      <x:c r="F3115" s="18" t="n">
        <x:v>14.46</x:v>
      </x:c>
      <x:c r="G3115" t="n">
        <x:v>60</x:v>
      </x:c>
      <x:c r="H3115" t="str">
        <x:v>D</x:v>
      </x:c>
      <x:c r="I3115" t="str">
        <x:v>&lt;1 year</x:v>
      </x:c>
      <x:c r="J3115" t="str">
        <x:v>MORTGAGE</x:v>
      </x:c>
      <x:c r="K3115" t="str">
        <x:v>home_improvement</x:v>
      </x:c>
      <x:c r="L3115" t="n">
        <x:v>0</x:v>
      </x:c>
      <x:c r="M3115" t="n">
        <x:v>0</x:v>
      </x:c>
      <x:c r="N3115" t="str">
        <x:v>Fully Paid</x:v>
      </x:c>
      <x:c r="O3115" t="str">
        <x:f>IF(D3115="","Unknown",IF(D3115&lt;25000,"&lt;$25k",IF(D3115&lt;50000,"$25k-$50k",IF(D3115&lt;75000,"$50k-$75k",IF(D3115&lt;100000,"$75k-$100k","$100k+")))))</x:f>
        <x:v>$25k-$50k</x:v>
      </x:c>
      <x:c r="P3115" t="str">
        <x:f>IF(E3115="","Unknown",IF(E3115&lt;10,"&lt;10",IF(E3115&lt;20,"10-&lt;20",IF(E3115&lt;25,"20-&lt;25",IF(E3115&lt;35,"25-&lt;35","35+")))))</x:f>
        <x:v>10-&lt;20</x:v>
      </x:c>
    </x:row>
    <x:row r="3116">
      <x:c r="A3116" t="str">
        <x:v>SYN0003115</x:v>
      </x:c>
      <x:c r="B3116" s="12" t="n">
        <x:v>43135</x:v>
      </x:c>
      <x:c r="C3116" s="18" t="n">
        <x:v>6991</x:v>
      </x:c>
      <x:c r="D3116" s="18" t="n">
        <x:v>12687</x:v>
      </x:c>
      <x:c r="E3116" s="18" t="n">
        <x:v>29.45</x:v>
      </x:c>
      <x:c r="F3116" s="18" t="n">
        <x:v>17.11</x:v>
      </x:c>
      <x:c r="G3116" t="n">
        <x:v>36</x:v>
      </x:c>
      <x:c r="H3116" t="str">
        <x:v>E</x:v>
      </x:c>
      <x:c r="I3116" t="str">
        <x:v>&lt;1 year</x:v>
      </x:c>
      <x:c r="J3116" t="str">
        <x:v>RENT</x:v>
      </x:c>
      <x:c r="K3116" t="str">
        <x:v>debt_consolidation</x:v>
      </x:c>
      <x:c r="L3116" t="n">
        <x:v>1</x:v>
      </x:c>
      <x:c r="M3116" t="n">
        <x:v>0</x:v>
      </x:c>
      <x:c r="N3116" t="str">
        <x:v>Fully Paid</x:v>
      </x:c>
      <x:c r="O3116" t="str">
        <x:f>IF(D3116="","Unknown",IF(D3116&lt;25000,"&lt;$25k",IF(D3116&lt;50000,"$25k-$50k",IF(D3116&lt;75000,"$50k-$75k",IF(D3116&lt;100000,"$75k-$100k","$100k+")))))</x:f>
        <x:v>&lt;$25k</x:v>
      </x:c>
      <x:c r="P3116" t="str">
        <x:f>IF(E3116="","Unknown",IF(E3116&lt;10,"&lt;10",IF(E3116&lt;20,"10-&lt;20",IF(E3116&lt;25,"20-&lt;25",IF(E3116&lt;35,"25-&lt;35","35+")))))</x:f>
        <x:v>25-&lt;35</x:v>
      </x:c>
    </x:row>
    <x:row r="3117">
      <x:c r="A3117" t="str">
        <x:v>SYN0003116</x:v>
      </x:c>
      <x:c r="B3117" s="12" t="n">
        <x:v>43165</x:v>
      </x:c>
      <x:c r="C3117" s="18" t="n">
        <x:v>17253</x:v>
      </x:c>
      <x:c r="D3117" s="18" t="n">
        <x:v>79530</x:v>
      </x:c>
      <x:c r="E3117" s="18" t="n">
        <x:v>27.3</x:v>
      </x:c>
      <x:c r="F3117" s="18" t="n">
        <x:v>11.9</x:v>
      </x:c>
      <x:c r="G3117" t="n">
        <x:v>36</x:v>
      </x:c>
      <x:c r="H3117" t="str">
        <x:v>D</x:v>
      </x:c>
      <x:c r="I3117" t="str">
        <x:v>7-9 years</x:v>
      </x:c>
      <x:c r="J3117" t="str">
        <x:v>RENT</x:v>
      </x:c>
      <x:c r="K3117" t="str">
        <x:v>credit_card</x:v>
      </x:c>
      <x:c r="L3117" t="n">
        <x:v>0</x:v>
      </x:c>
      <x:c r="M3117" t="n">
        <x:v>0</x:v>
      </x:c>
      <x:c r="N3117" t="str">
        <x:v>Fully Paid</x:v>
      </x:c>
      <x:c r="O3117" t="str">
        <x:f>IF(D3117="","Unknown",IF(D3117&lt;25000,"&lt;$25k",IF(D3117&lt;50000,"$25k-$50k",IF(D3117&lt;75000,"$50k-$75k",IF(D3117&lt;100000,"$75k-$100k","$100k+")))))</x:f>
        <x:v>$75k-$100k</x:v>
      </x:c>
      <x:c r="P3117" t="str">
        <x:f>IF(E3117="","Unknown",IF(E3117&lt;10,"&lt;10",IF(E3117&lt;20,"10-&lt;20",IF(E3117&lt;25,"20-&lt;25",IF(E3117&lt;35,"25-&lt;35","35+")))))</x:f>
        <x:v>25-&lt;35</x:v>
      </x:c>
    </x:row>
    <x:row r="3118">
      <x:c r="A3118" t="str">
        <x:v>SYN0003117</x:v>
      </x:c>
      <x:c r="B3118" s="12" t="n">
        <x:v>42265</x:v>
      </x:c>
      <x:c r="C3118" s="18" t="n">
        <x:v>6431</x:v>
      </x:c>
      <x:c r="D3118" s="18" t="n">
        <x:v>29084</x:v>
      </x:c>
      <x:c r="E3118" s="18" t="n">
        <x:v>18.05</x:v>
      </x:c>
      <x:c r="F3118" s="18" t="n">
        <x:v>6.97</x:v>
      </x:c>
      <x:c r="G3118" t="n">
        <x:v>36</x:v>
      </x:c>
      <x:c r="H3118" t="str">
        <x:v>B</x:v>
      </x:c>
      <x:c r="I3118" t="str">
        <x:v>7-9 years</x:v>
      </x:c>
      <x:c r="J3118" t="str">
        <x:v>MORTGAGE</x:v>
      </x:c>
      <x:c r="K3118" t="str">
        <x:v>other</x:v>
      </x:c>
      <x:c r="L3118" t="n">
        <x:v>0</x:v>
      </x:c>
      <x:c r="M3118" t="n">
        <x:v>0</x:v>
      </x:c>
      <x:c r="N3118" t="str">
        <x:v>Fully Paid</x:v>
      </x:c>
      <x:c r="O3118" t="str">
        <x:f>IF(D3118="","Unknown",IF(D3118&lt;25000,"&lt;$25k",IF(D3118&lt;50000,"$25k-$50k",IF(D3118&lt;75000,"$50k-$75k",IF(D3118&lt;100000,"$75k-$100k","$100k+")))))</x:f>
        <x:v>$25k-$50k</x:v>
      </x:c>
      <x:c r="P3118" t="str">
        <x:f>IF(E3118="","Unknown",IF(E3118&lt;10,"&lt;10",IF(E3118&lt;20,"10-&lt;20",IF(E3118&lt;25,"20-&lt;25",IF(E3118&lt;35,"25-&lt;35","35+")))))</x:f>
        <x:v>10-&lt;20</x:v>
      </x:c>
    </x:row>
    <x:row r="3119">
      <x:c r="A3119" t="str">
        <x:v>SYN0003118</x:v>
      </x:c>
      <x:c r="B3119" s="12" t="n">
        <x:v>42385</x:v>
      </x:c>
      <x:c r="C3119" s="18" t="n">
        <x:v>28932</x:v>
      </x:c>
      <x:c r="D3119" s="18" t="n">
        <x:v>74822</x:v>
      </x:c>
      <x:c r="E3119" s="18" t="n">
        <x:v>24.06</x:v>
      </x:c>
      <x:c r="F3119" s="18" t="n">
        <x:v>15.93</x:v>
      </x:c>
      <x:c r="G3119" t="n">
        <x:v>36</x:v>
      </x:c>
      <x:c r="H3119" t="str">
        <x:v>D</x:v>
      </x:c>
      <x:c r="I3119" t="str">
        <x:v>10+ years</x:v>
      </x:c>
      <x:c r="J3119" t="str">
        <x:v>MORTGAGE</x:v>
      </x:c>
      <x:c r="K3119" t="str">
        <x:v>debt_consolidation</x:v>
      </x:c>
      <x:c r="L3119" t="n">
        <x:v>2</x:v>
      </x:c>
      <x:c r="M3119" t="n">
        <x:v>0</x:v>
      </x:c>
      <x:c r="N3119" t="str">
        <x:v>Fully Paid</x:v>
      </x:c>
      <x:c r="O3119" t="str">
        <x:f>IF(D3119="","Unknown",IF(D3119&lt;25000,"&lt;$25k",IF(D3119&lt;50000,"$25k-$50k",IF(D3119&lt;75000,"$50k-$75k",IF(D3119&lt;100000,"$75k-$100k","$100k+")))))</x:f>
        <x:v>$50k-$75k</x:v>
      </x:c>
      <x:c r="P3119" t="str">
        <x:f>IF(E3119="","Unknown",IF(E3119&lt;10,"&lt;10",IF(E3119&lt;20,"10-&lt;20",IF(E3119&lt;25,"20-&lt;25",IF(E3119&lt;35,"25-&lt;35","35+")))))</x:f>
        <x:v>20-&lt;25</x:v>
      </x:c>
    </x:row>
    <x:row r="3120">
      <x:c r="A3120" t="str">
        <x:v>SYN0003119</x:v>
      </x:c>
      <x:c r="B3120" s="12" t="n">
        <x:v>42715</x:v>
      </x:c>
      <x:c r="C3120" s="18" t="n">
        <x:v>3402</x:v>
      </x:c>
      <x:c r="D3120" s="18" t="n">
        <x:v>17363</x:v>
      </x:c>
      <x:c r="E3120" s="18" t="n">
        <x:v>24.51</x:v>
      </x:c>
      <x:c r="F3120" s="18" t="n">
        <x:v>9.05</x:v>
      </x:c>
      <x:c r="G3120" t="n">
        <x:v>36</x:v>
      </x:c>
      <x:c r="H3120" t="str">
        <x:v>B</x:v>
      </x:c>
      <x:c r="I3120" t="str">
        <x:v>1-3 years</x:v>
      </x:c>
      <x:c r="J3120" t="str">
        <x:v>RENT</x:v>
      </x:c>
      <x:c r="K3120" t="str">
        <x:v>home_improvement</x:v>
      </x:c>
      <x:c r="L3120" t="n">
        <x:v>0</x:v>
      </x:c>
      <x:c r="M3120" t="n">
        <x:v>0</x:v>
      </x:c>
      <x:c r="N3120" t="str">
        <x:v>Fully Paid</x:v>
      </x:c>
      <x:c r="O3120" t="str">
        <x:f>IF(D3120="","Unknown",IF(D3120&lt;25000,"&lt;$25k",IF(D3120&lt;50000,"$25k-$50k",IF(D3120&lt;75000,"$50k-$75k",IF(D3120&lt;100000,"$75k-$100k","$100k+")))))</x:f>
        <x:v>&lt;$25k</x:v>
      </x:c>
      <x:c r="P3120" t="str">
        <x:f>IF(E3120="","Unknown",IF(E3120&lt;10,"&lt;10",IF(E3120&lt;20,"10-&lt;20",IF(E3120&lt;25,"20-&lt;25",IF(E3120&lt;35,"25-&lt;35","35+")))))</x:f>
        <x:v>20-&lt;25</x:v>
      </x:c>
    </x:row>
    <x:row r="3121">
      <x:c r="A3121" t="str">
        <x:v>SYN0003120</x:v>
      </x:c>
      <x:c r="B3121" s="12" t="n">
        <x:v>41635</x:v>
      </x:c>
      <x:c r="C3121" s="18" t="n">
        <x:v>35350</x:v>
      </x:c>
      <x:c r="D3121" s="18" t="n">
        <x:v>38096</x:v>
      </x:c>
      <x:c r="E3121" s="18" t="n">
        <x:v>16.18</x:v>
      </x:c>
      <x:c r="F3121" s="18" t="n">
        <x:v>8.88</x:v>
      </x:c>
      <x:c r="G3121" t="n">
        <x:v>36</x:v>
      </x:c>
      <x:c r="H3121" t="str">
        <x:v>C</x:v>
      </x:c>
      <x:c r="I3121" t="str">
        <x:v>1-3 years</x:v>
      </x:c>
      <x:c r="J3121" t="str">
        <x:v>MORTGAGE</x:v>
      </x:c>
      <x:c r="K3121" t="str">
        <x:v>debt_consolidation</x:v>
      </x:c>
      <x:c r="L3121" t="n">
        <x:v>0</x:v>
      </x:c>
      <x:c r="M3121" t="n">
        <x:v>0</x:v>
      </x:c>
      <x:c r="N3121" t="str">
        <x:v>Fully Paid</x:v>
      </x:c>
      <x:c r="O3121" t="str">
        <x:f>IF(D3121="","Unknown",IF(D3121&lt;25000,"&lt;$25k",IF(D3121&lt;50000,"$25k-$50k",IF(D3121&lt;75000,"$50k-$75k",IF(D3121&lt;100000,"$75k-$100k","$100k+")))))</x:f>
        <x:v>$25k-$50k</x:v>
      </x:c>
      <x:c r="P3121" t="str">
        <x:f>IF(E3121="","Unknown",IF(E3121&lt;10,"&lt;10",IF(E3121&lt;20,"10-&lt;20",IF(E3121&lt;25,"20-&lt;25",IF(E3121&lt;35,"25-&lt;35","35+")))))</x:f>
        <x:v>10-&lt;20</x:v>
      </x:c>
    </x:row>
    <x:row r="3122">
      <x:c r="A3122" t="str">
        <x:v>SYN0003121</x:v>
      </x:c>
      <x:c r="B3122" s="12" t="n">
        <x:v>43405</x:v>
      </x:c>
      <x:c r="C3122" s="18" t="n">
        <x:v>15499</x:v>
      </x:c>
      <x:c r="D3122" s="18" t="n">
        <x:v>98788</x:v>
      </x:c>
      <x:c r="E3122" s="18" t="n">
        <x:v>32.02</x:v>
      </x:c>
      <x:c r="F3122" s="18" t="n">
        <x:v>22.66</x:v>
      </x:c>
      <x:c r="G3122" t="n">
        <x:v>36</x:v>
      </x:c>
      <x:c r="H3122" t="str">
        <x:v>F</x:v>
      </x:c>
      <x:c r="I3122" t="str">
        <x:v>7-9 years</x:v>
      </x:c>
      <x:c r="J3122" t="str">
        <x:v>MORTGAGE</x:v>
      </x:c>
      <x:c r="K3122" t="str">
        <x:v>debt_consolidation</x:v>
      </x:c>
      <x:c r="L3122" t="n">
        <x:v>0</x:v>
      </x:c>
      <x:c r="M3122" t="n">
        <x:v>0</x:v>
      </x:c>
      <x:c r="N3122" t="str">
        <x:v>Fully Paid</x:v>
      </x:c>
      <x:c r="O3122" t="str">
        <x:f>IF(D3122="","Unknown",IF(D3122&lt;25000,"&lt;$25k",IF(D3122&lt;50000,"$25k-$50k",IF(D3122&lt;75000,"$50k-$75k",IF(D3122&lt;100000,"$75k-$100k","$100k+")))))</x:f>
        <x:v>$75k-$100k</x:v>
      </x:c>
      <x:c r="P3122" t="str">
        <x:f>IF(E3122="","Unknown",IF(E3122&lt;10,"&lt;10",IF(E3122&lt;20,"10-&lt;20",IF(E3122&lt;25,"20-&lt;25",IF(E3122&lt;35,"25-&lt;35","35+")))))</x:f>
        <x:v>25-&lt;35</x:v>
      </x:c>
    </x:row>
    <x:row r="3123">
      <x:c r="A3123" t="str">
        <x:v>SYN0003122</x:v>
      </x:c>
      <x:c r="B3123" s="12" t="n">
        <x:v>42325</x:v>
      </x:c>
      <x:c r="C3123" s="18" t="n">
        <x:v>13911</x:v>
      </x:c>
      <x:c r="D3123" s="18" t="n">
        <x:v>65697</x:v>
      </x:c>
      <x:c r="E3123" s="18" t="n">
        <x:v>24.04</x:v>
      </x:c>
      <x:c r="F3123" s="18" t="n">
        <x:v>7.4</x:v>
      </x:c>
      <x:c r="G3123" t="n">
        <x:v>36</x:v>
      </x:c>
      <x:c r="H3123" t="str">
        <x:v>B</x:v>
      </x:c>
      <x:c r="I3123" t="str">
        <x:v>1-3 years</x:v>
      </x:c>
      <x:c r="J3123" t="str">
        <x:v>MORTGAGE</x:v>
      </x:c>
      <x:c r="K3123" t="str">
        <x:v>debt_consolidation</x:v>
      </x:c>
      <x:c r="L3123" t="n">
        <x:v>1</x:v>
      </x:c>
      <x:c r="M3123" t="n">
        <x:v>0</x:v>
      </x:c>
      <x:c r="N3123" t="str">
        <x:v>Fully Paid</x:v>
      </x:c>
      <x:c r="O3123" t="str">
        <x:f>IF(D3123="","Unknown",IF(D3123&lt;25000,"&lt;$25k",IF(D3123&lt;50000,"$25k-$50k",IF(D3123&lt;75000,"$50k-$75k",IF(D3123&lt;100000,"$75k-$100k","$100k+")))))</x:f>
        <x:v>$50k-$75k</x:v>
      </x:c>
      <x:c r="P3123" t="str">
        <x:f>IF(E3123="","Unknown",IF(E3123&lt;10,"&lt;10",IF(E3123&lt;20,"10-&lt;20",IF(E3123&lt;25,"20-&lt;25",IF(E3123&lt;35,"25-&lt;35","35+")))))</x:f>
        <x:v>20-&lt;25</x:v>
      </x:c>
    </x:row>
    <x:row r="3124">
      <x:c r="A3124" t="str">
        <x:v>SYN0003123</x:v>
      </x:c>
      <x:c r="B3124" s="12" t="n">
        <x:v>42985</x:v>
      </x:c>
      <x:c r="C3124" s="18" t="n">
        <x:v>17449</x:v>
      </x:c>
      <x:c r="D3124" s="18" t="n">
        <x:v>56281</x:v>
      </x:c>
      <x:c r="E3124" s="18" t="n">
        <x:v>18.07</x:v>
      </x:c>
      <x:c r="F3124" s="18" t="n">
        <x:v>10.92</x:v>
      </x:c>
      <x:c r="G3124" t="n">
        <x:v>36</x:v>
      </x:c>
      <x:c r="H3124" t="str">
        <x:v>C</x:v>
      </x:c>
      <x:c r="I3124" t="str">
        <x:v>4-6 years</x:v>
      </x:c>
      <x:c r="J3124" t="str">
        <x:v>MORTGAGE</x:v>
      </x:c>
      <x:c r="K3124" t="str">
        <x:v>debt_consolidation</x:v>
      </x:c>
      <x:c r="L3124" t="n">
        <x:v>1</x:v>
      </x:c>
      <x:c r="M3124" t="n">
        <x:v>0</x:v>
      </x:c>
      <x:c r="N3124" t="str">
        <x:v>Fully Paid</x:v>
      </x:c>
      <x:c r="O3124" t="str">
        <x:f>IF(D3124="","Unknown",IF(D3124&lt;25000,"&lt;$25k",IF(D3124&lt;50000,"$25k-$50k",IF(D3124&lt;75000,"$50k-$75k",IF(D3124&lt;100000,"$75k-$100k","$100k+")))))</x:f>
        <x:v>$50k-$75k</x:v>
      </x:c>
      <x:c r="P3124" t="str">
        <x:f>IF(E3124="","Unknown",IF(E3124&lt;10,"&lt;10",IF(E3124&lt;20,"10-&lt;20",IF(E3124&lt;25,"20-&lt;25",IF(E3124&lt;35,"25-&lt;35","35+")))))</x:f>
        <x:v>10-&lt;20</x:v>
      </x:c>
    </x:row>
    <x:row r="3125">
      <x:c r="A3125" t="str">
        <x:v>SYN0003124</x:v>
      </x:c>
      <x:c r="B3125" s="12" t="n">
        <x:v>41515</x:v>
      </x:c>
      <x:c r="C3125" s="18" t="n">
        <x:v>9935</x:v>
      </x:c>
      <x:c r="D3125" s="18" t="n">
        <x:v>53934</x:v>
      </x:c>
      <x:c r="E3125" s="18" t="n">
        <x:v>27.18</x:v>
      </x:c>
      <x:c r="F3125" s="18" t="n">
        <x:v>7.33</x:v>
      </x:c>
      <x:c r="G3125" t="n">
        <x:v>36</x:v>
      </x:c>
      <x:c r="H3125" t="str">
        <x:v>B</x:v>
      </x:c>
      <x:c r="I3125" t="str">
        <x:v>7-9 years</x:v>
      </x:c>
      <x:c r="J3125" t="str">
        <x:v>MORTGAGE</x:v>
      </x:c>
      <x:c r="K3125" t="str">
        <x:v>credit_card</x:v>
      </x:c>
      <x:c r="L3125" t="n">
        <x:v>0</x:v>
      </x:c>
      <x:c r="M3125" t="n">
        <x:v>0</x:v>
      </x:c>
      <x:c r="N3125" t="str">
        <x:v>Fully Paid</x:v>
      </x:c>
      <x:c r="O3125" t="str">
        <x:f>IF(D3125="","Unknown",IF(D3125&lt;25000,"&lt;$25k",IF(D3125&lt;50000,"$25k-$50k",IF(D3125&lt;75000,"$50k-$75k",IF(D3125&lt;100000,"$75k-$100k","$100k+")))))</x:f>
        <x:v>$50k-$75k</x:v>
      </x:c>
      <x:c r="P3125" t="str">
        <x:f>IF(E3125="","Unknown",IF(E3125&lt;10,"&lt;10",IF(E3125&lt;20,"10-&lt;20",IF(E3125&lt;25,"20-&lt;25",IF(E3125&lt;35,"25-&lt;35","35+")))))</x:f>
        <x:v>25-&lt;35</x:v>
      </x:c>
    </x:row>
    <x:row r="3126">
      <x:c r="A3126" t="str">
        <x:v>SYN0003125</x:v>
      </x:c>
      <x:c r="B3126" s="12" t="n">
        <x:v>41815</x:v>
      </x:c>
      <x:c r="C3126" s="18" t="n">
        <x:v>17794</x:v>
      </x:c>
      <x:c r="D3126" s="18" t="n">
        <x:v>43386</x:v>
      </x:c>
      <x:c r="E3126" s="18" t="n">
        <x:v>30.29</x:v>
      </x:c>
      <x:c r="F3126" s="18" t="n">
        <x:v>10.83</x:v>
      </x:c>
      <x:c r="G3126" t="n">
        <x:v>36</x:v>
      </x:c>
      <x:c r="H3126" t="str">
        <x:v>B</x:v>
      </x:c>
      <x:c r="I3126" t="str">
        <x:v>7-9 years</x:v>
      </x:c>
      <x:c r="J3126" t="str">
        <x:v>RENT</x:v>
      </x:c>
      <x:c r="K3126" t="str">
        <x:v>debt_consolidation</x:v>
      </x:c>
      <x:c r="L3126" t="n">
        <x:v>0</x:v>
      </x:c>
      <x:c r="M3126" t="n">
        <x:v>0</x:v>
      </x:c>
      <x:c r="N3126" t="str">
        <x:v>Fully Paid</x:v>
      </x:c>
      <x:c r="O3126" t="str">
        <x:f>IF(D3126="","Unknown",IF(D3126&lt;25000,"&lt;$25k",IF(D3126&lt;50000,"$25k-$50k",IF(D3126&lt;75000,"$50k-$75k",IF(D3126&lt;100000,"$75k-$100k","$100k+")))))</x:f>
        <x:v>$25k-$50k</x:v>
      </x:c>
      <x:c r="P3126" t="str">
        <x:f>IF(E3126="","Unknown",IF(E3126&lt;10,"&lt;10",IF(E3126&lt;20,"10-&lt;20",IF(E3126&lt;25,"20-&lt;25",IF(E3126&lt;35,"25-&lt;35","35+")))))</x:f>
        <x:v>25-&lt;35</x:v>
      </x:c>
    </x:row>
    <x:row r="3127">
      <x:c r="A3127" t="str">
        <x:v>SYN0003126</x:v>
      </x:c>
      <x:c r="B3127" s="12" t="n">
        <x:v>41605</x:v>
      </x:c>
      <x:c r="C3127" s="18" t="n">
        <x:v>7920</x:v>
      </x:c>
      <x:c r="D3127" s="18" t="n">
        <x:v>53413</x:v>
      </x:c>
      <x:c r="E3127" s="18" t="n">
        <x:v>1.35</x:v>
      </x:c>
      <x:c r="F3127" s="18" t="n">
        <x:v>10.6</x:v>
      </x:c>
      <x:c r="G3127" t="n">
        <x:v>36</x:v>
      </x:c>
      <x:c r="H3127" t="str">
        <x:v>C</x:v>
      </x:c>
      <x:c r="I3127" t="str">
        <x:v>4-6 years</x:v>
      </x:c>
      <x:c r="J3127" t="str">
        <x:v>MORTGAGE</x:v>
      </x:c>
      <x:c r="K3127" t="str">
        <x:v>debt_consolidation</x:v>
      </x:c>
      <x:c r="L3127" t="n">
        <x:v>0</x:v>
      </x:c>
      <x:c r="M3127" t="n">
        <x:v>0</x:v>
      </x:c>
      <x:c r="N3127" t="str">
        <x:v>Fully Paid</x:v>
      </x:c>
      <x:c r="O3127" t="str">
        <x:f>IF(D3127="","Unknown",IF(D3127&lt;25000,"&lt;$25k",IF(D3127&lt;50000,"$25k-$50k",IF(D3127&lt;75000,"$50k-$75k",IF(D3127&lt;100000,"$75k-$100k","$100k+")))))</x:f>
        <x:v>$50k-$75k</x:v>
      </x:c>
      <x:c r="P3127" t="str">
        <x:f>IF(E3127="","Unknown",IF(E3127&lt;10,"&lt;10",IF(E3127&lt;20,"10-&lt;20",IF(E3127&lt;25,"20-&lt;25",IF(E3127&lt;35,"25-&lt;35","35+")))))</x:f>
        <x:v>&lt;10</x:v>
      </x:c>
    </x:row>
    <x:row r="3128">
      <x:c r="A3128" t="str">
        <x:v>SYN0003127</x:v>
      </x:c>
      <x:c r="B3128" s="12" t="n">
        <x:v>42715</x:v>
      </x:c>
      <x:c r="C3128" s="18" t="n">
        <x:v>17379</x:v>
      </x:c>
      <x:c r="D3128" s="18" t="n">
        <x:v>102718</x:v>
      </x:c>
      <x:c r="E3128" s="18" t="n">
        <x:v>13.68</x:v>
      </x:c>
      <x:c r="F3128" s="18" t="n">
        <x:v>6.14</x:v>
      </x:c>
      <x:c r="G3128" t="n">
        <x:v>60</x:v>
      </x:c>
      <x:c r="H3128" t="str">
        <x:v>A</x:v>
      </x:c>
      <x:c r="I3128" t="str">
        <x:v>1-3 years</x:v>
      </x:c>
      <x:c r="J3128" t="str">
        <x:v>OWN</x:v>
      </x:c>
      <x:c r="K3128" t="str">
        <x:v>home_improvement</x:v>
      </x:c>
      <x:c r="L3128" t="n">
        <x:v>0</x:v>
      </x:c>
      <x:c r="M3128" t="n">
        <x:v>0</x:v>
      </x:c>
      <x:c r="N3128" t="str">
        <x:v>Fully Paid</x:v>
      </x:c>
      <x:c r="O3128" t="str">
        <x:f>IF(D3128="","Unknown",IF(D3128&lt;25000,"&lt;$25k",IF(D3128&lt;50000,"$25k-$50k",IF(D3128&lt;75000,"$50k-$75k",IF(D3128&lt;100000,"$75k-$100k","$100k+")))))</x:f>
        <x:v>$100k+</x:v>
      </x:c>
      <x:c r="P3128" t="str">
        <x:f>IF(E3128="","Unknown",IF(E3128&lt;10,"&lt;10",IF(E3128&lt;20,"10-&lt;20",IF(E3128&lt;25,"20-&lt;25",IF(E3128&lt;35,"25-&lt;35","35+")))))</x:f>
        <x:v>10-&lt;20</x:v>
      </x:c>
    </x:row>
    <x:row r="3129">
      <x:c r="A3129" t="str">
        <x:v>SYN0003128</x:v>
      </x:c>
      <x:c r="B3129" s="12" t="n">
        <x:v>41455</x:v>
      </x:c>
      <x:c r="C3129" s="18" t="n">
        <x:v>12719</x:v>
      </x:c>
      <x:c r="D3129" s="18" t="n">
        <x:v>19764</x:v>
      </x:c>
      <x:c r="E3129" s="18" t="n">
        <x:v>26.17</x:v>
      </x:c>
      <x:c r="F3129" s="18" t="n">
        <x:v>10.5</x:v>
      </x:c>
      <x:c r="G3129" t="n">
        <x:v>36</x:v>
      </x:c>
      <x:c r="H3129" t="str">
        <x:v>A</x:v>
      </x:c>
      <x:c r="I3129" t="str">
        <x:v>&lt;1 year</x:v>
      </x:c>
      <x:c r="J3129" t="str">
        <x:v>RENT</x:v>
      </x:c>
      <x:c r="K3129" t="str">
        <x:v>home_improvement</x:v>
      </x:c>
      <x:c r="L3129" t="n">
        <x:v>0</x:v>
      </x:c>
      <x:c r="M3129" t="n">
        <x:v>0</x:v>
      </x:c>
      <x:c r="N3129" t="str">
        <x:v>Fully Paid</x:v>
      </x:c>
      <x:c r="O3129" t="str">
        <x:f>IF(D3129="","Unknown",IF(D3129&lt;25000,"&lt;$25k",IF(D3129&lt;50000,"$25k-$50k",IF(D3129&lt;75000,"$50k-$75k",IF(D3129&lt;100000,"$75k-$100k","$100k+")))))</x:f>
        <x:v>&lt;$25k</x:v>
      </x:c>
      <x:c r="P3129" t="str">
        <x:f>IF(E3129="","Unknown",IF(E3129&lt;10,"&lt;10",IF(E3129&lt;20,"10-&lt;20",IF(E3129&lt;25,"20-&lt;25",IF(E3129&lt;35,"25-&lt;35","35+")))))</x:f>
        <x:v>25-&lt;35</x:v>
      </x:c>
    </x:row>
    <x:row r="3130">
      <x:c r="A3130" t="str">
        <x:v>SYN0003129</x:v>
      </x:c>
      <x:c r="B3130" s="12" t="n">
        <x:v>42895</x:v>
      </x:c>
      <x:c r="C3130" s="18" t="n">
        <x:v>25782</x:v>
      </x:c>
      <x:c r="D3130" s="18" t="n">
        <x:v>121083</x:v>
      </x:c>
      <x:c r="E3130" s="18" t="n">
        <x:v>15.07</x:v>
      </x:c>
      <x:c r="F3130" s="18" t="n">
        <x:v>12.03</x:v>
      </x:c>
      <x:c r="G3130" t="n">
        <x:v>36</x:v>
      </x:c>
      <x:c r="H3130" t="str">
        <x:v>C</x:v>
      </x:c>
      <x:c r="I3130" t="str">
        <x:v>4-6 years</x:v>
      </x:c>
      <x:c r="J3130" t="str">
        <x:v>RENT</x:v>
      </x:c>
      <x:c r="K3130" t="str">
        <x:v>debt_consolidation</x:v>
      </x:c>
      <x:c r="L3130" t="n">
        <x:v>0</x:v>
      </x:c>
      <x:c r="M3130" t="n">
        <x:v>0</x:v>
      </x:c>
      <x:c r="N3130" t="str">
        <x:v>Fully Paid</x:v>
      </x:c>
      <x:c r="O3130" t="str">
        <x:f>IF(D3130="","Unknown",IF(D3130&lt;25000,"&lt;$25k",IF(D3130&lt;50000,"$25k-$50k",IF(D3130&lt;75000,"$50k-$75k",IF(D3130&lt;100000,"$75k-$100k","$100k+")))))</x:f>
        <x:v>$100k+</x:v>
      </x:c>
      <x:c r="P3130" t="str">
        <x:f>IF(E3130="","Unknown",IF(E3130&lt;10,"&lt;10",IF(E3130&lt;20,"10-&lt;20",IF(E3130&lt;25,"20-&lt;25",IF(E3130&lt;35,"25-&lt;35","35+")))))</x:f>
        <x:v>10-&lt;20</x:v>
      </x:c>
    </x:row>
    <x:row r="3131">
      <x:c r="A3131" t="str">
        <x:v>SYN0003130</x:v>
      </x:c>
      <x:c r="B3131" s="12" t="n">
        <x:v>42895</x:v>
      </x:c>
      <x:c r="C3131" s="18" t="n">
        <x:v>14327</x:v>
      </x:c>
      <x:c r="D3131" s="18" t="n">
        <x:v>202683</x:v>
      </x:c>
      <x:c r="E3131" s="18" t="n">
        <x:v>34.74</x:v>
      </x:c>
      <x:c r="F3131" s="18" t="n">
        <x:v>8.25</x:v>
      </x:c>
      <x:c r="G3131" t="n">
        <x:v>36</x:v>
      </x:c>
      <x:c r="H3131" t="str">
        <x:v>B</x:v>
      </x:c>
      <x:c r="I3131" t="str">
        <x:v>4-6 years</x:v>
      </x:c>
      <x:c r="J3131" t="str">
        <x:v>RENT</x:v>
      </x:c>
      <x:c r="K3131" t="str">
        <x:v>credit_card</x:v>
      </x:c>
      <x:c r="L3131" t="n">
        <x:v>0</x:v>
      </x:c>
      <x:c r="M3131" t="n">
        <x:v>0</x:v>
      </x:c>
      <x:c r="N3131" t="str">
        <x:v>Fully Paid</x:v>
      </x:c>
      <x:c r="O3131" t="str">
        <x:f>IF(D3131="","Unknown",IF(D3131&lt;25000,"&lt;$25k",IF(D3131&lt;50000,"$25k-$50k",IF(D3131&lt;75000,"$50k-$75k",IF(D3131&lt;100000,"$75k-$100k","$100k+")))))</x:f>
        <x:v>$100k+</x:v>
      </x:c>
      <x:c r="P3131" t="str">
        <x:f>IF(E3131="","Unknown",IF(E3131&lt;10,"&lt;10",IF(E3131&lt;20,"10-&lt;20",IF(E3131&lt;25,"20-&lt;25",IF(E3131&lt;35,"25-&lt;35","35+")))))</x:f>
        <x:v>25-&lt;35</x:v>
      </x:c>
    </x:row>
    <x:row r="3132">
      <x:c r="A3132" t="str">
        <x:v>SYN0003131</x:v>
      </x:c>
      <x:c r="B3132" s="12" t="n">
        <x:v>41455</x:v>
      </x:c>
      <x:c r="C3132" s="18" t="n">
        <x:v>22182</x:v>
      </x:c>
      <x:c r="D3132" s="18" t="n">
        <x:v>16843</x:v>
      </x:c>
      <x:c r="E3132" s="18" t="n">
        <x:v>12.33</x:v>
      </x:c>
      <x:c r="F3132" s="18" t="n">
        <x:v>22.58</x:v>
      </x:c>
      <x:c r="G3132" t="n">
        <x:v>36</x:v>
      </x:c>
      <x:c r="H3132" t="str">
        <x:v>F</x:v>
      </x:c>
      <x:c r="I3132" t="str">
        <x:v>10+ years</x:v>
      </x:c>
      <x:c r="J3132" t="str">
        <x:v>RENT</x:v>
      </x:c>
      <x:c r="K3132" t="str">
        <x:v>credit_card</x:v>
      </x:c>
      <x:c r="L3132" t="n">
        <x:v>1</x:v>
      </x:c>
      <x:c r="M3132" t="n">
        <x:v>0</x:v>
      </x:c>
      <x:c r="N3132" t="str">
        <x:v>Fully Paid</x:v>
      </x:c>
      <x:c r="O3132" t="str">
        <x:f>IF(D3132="","Unknown",IF(D3132&lt;25000,"&lt;$25k",IF(D3132&lt;50000,"$25k-$50k",IF(D3132&lt;75000,"$50k-$75k",IF(D3132&lt;100000,"$75k-$100k","$100k+")))))</x:f>
        <x:v>&lt;$25k</x:v>
      </x:c>
      <x:c r="P3132" t="str">
        <x:f>IF(E3132="","Unknown",IF(E3132&lt;10,"&lt;10",IF(E3132&lt;20,"10-&lt;20",IF(E3132&lt;25,"20-&lt;25",IF(E3132&lt;35,"25-&lt;35","35+")))))</x:f>
        <x:v>10-&lt;20</x:v>
      </x:c>
    </x:row>
    <x:row r="3133">
      <x:c r="A3133" t="str">
        <x:v>SYN0003132</x:v>
      </x:c>
      <x:c r="B3133" s="12" t="n">
        <x:v>43195</x:v>
      </x:c>
      <x:c r="C3133" s="18" t="n">
        <x:v>9155</x:v>
      </x:c>
      <x:c r="D3133" s="18" t="n">
        <x:v>101456</x:v>
      </x:c>
      <x:c r="E3133" s="18" t="n">
        <x:v>20.14</x:v>
      </x:c>
      <x:c r="F3133" s="18" t="n">
        <x:v>12.46</x:v>
      </x:c>
      <x:c r="G3133" t="n">
        <x:v>36</x:v>
      </x:c>
      <x:c r="H3133" t="str">
        <x:v>C</x:v>
      </x:c>
      <x:c r="I3133" t="str">
        <x:v>7-9 years</x:v>
      </x:c>
      <x:c r="J3133" t="str">
        <x:v>MORTGAGE</x:v>
      </x:c>
      <x:c r="K3133" t="str">
        <x:v>major_purchase</x:v>
      </x:c>
      <x:c r="L3133" t="n">
        <x:v>1</x:v>
      </x:c>
      <x:c r="M3133" t="n">
        <x:v>0</x:v>
      </x:c>
      <x:c r="N3133" t="str">
        <x:v>Fully Paid</x:v>
      </x:c>
      <x:c r="O3133" t="str">
        <x:f>IF(D3133="","Unknown",IF(D3133&lt;25000,"&lt;$25k",IF(D3133&lt;50000,"$25k-$50k",IF(D3133&lt;75000,"$50k-$75k",IF(D3133&lt;100000,"$75k-$100k","$100k+")))))</x:f>
        <x:v>$100k+</x:v>
      </x:c>
      <x:c r="P3133" t="str">
        <x:f>IF(E3133="","Unknown",IF(E3133&lt;10,"&lt;10",IF(E3133&lt;20,"10-&lt;20",IF(E3133&lt;25,"20-&lt;25",IF(E3133&lt;35,"25-&lt;35","35+")))))</x:f>
        <x:v>20-&lt;25</x:v>
      </x:c>
    </x:row>
    <x:row r="3134">
      <x:c r="A3134" t="str">
        <x:v>SYN0003133</x:v>
      </x:c>
      <x:c r="B3134" s="12" t="n">
        <x:v>41725</x:v>
      </x:c>
      <x:c r="C3134" s="18" t="n">
        <x:v>8827</x:v>
      </x:c>
      <x:c r="D3134" s="18" t="n">
        <x:v>15508</x:v>
      </x:c>
      <x:c r="E3134" s="18" t="n">
        <x:v>11.42</x:v>
      </x:c>
      <x:c r="F3134" s="18" t="n">
        <x:v>6.5</x:v>
      </x:c>
      <x:c r="G3134" t="n">
        <x:v>36</x:v>
      </x:c>
      <x:c r="H3134" t="str">
        <x:v>A</x:v>
      </x:c>
      <x:c r="I3134" t="str">
        <x:v>10+ years</x:v>
      </x:c>
      <x:c r="J3134" t="str">
        <x:v>MORTGAGE</x:v>
      </x:c>
      <x:c r="K3134" t="str">
        <x:v>other</x:v>
      </x:c>
      <x:c r="L3134" t="n">
        <x:v>0</x:v>
      </x:c>
      <x:c r="M3134" t="n">
        <x:v>0</x:v>
      </x:c>
      <x:c r="N3134" t="str">
        <x:v>Fully Paid</x:v>
      </x:c>
      <x:c r="O3134" t="str">
        <x:f>IF(D3134="","Unknown",IF(D3134&lt;25000,"&lt;$25k",IF(D3134&lt;50000,"$25k-$50k",IF(D3134&lt;75000,"$50k-$75k",IF(D3134&lt;100000,"$75k-$100k","$100k+")))))</x:f>
        <x:v>&lt;$25k</x:v>
      </x:c>
      <x:c r="P3134" t="str">
        <x:f>IF(E3134="","Unknown",IF(E3134&lt;10,"&lt;10",IF(E3134&lt;20,"10-&lt;20",IF(E3134&lt;25,"20-&lt;25",IF(E3134&lt;35,"25-&lt;35","35+")))))</x:f>
        <x:v>10-&lt;20</x:v>
      </x:c>
    </x:row>
    <x:row r="3135">
      <x:c r="A3135" t="str">
        <x:v>SYN0003134</x:v>
      </x:c>
      <x:c r="B3135" s="12" t="n">
        <x:v>41695</x:v>
      </x:c>
      <x:c r="C3135" s="18" t="n">
        <x:v>18975</x:v>
      </x:c>
      <x:c r="D3135" s="18" t="n">
        <x:v>73180</x:v>
      </x:c>
      <x:c r="E3135" s="18" t="n">
        <x:v>25.62</x:v>
      </x:c>
      <x:c r="F3135" s="18" t="n">
        <x:v>13.66</x:v>
      </x:c>
      <x:c r="G3135" t="n">
        <x:v>36</x:v>
      </x:c>
      <x:c r="H3135" t="str">
        <x:v>C</x:v>
      </x:c>
      <x:c r="I3135" t="str">
        <x:v>4-6 years</x:v>
      </x:c>
      <x:c r="J3135" t="str">
        <x:v>RENT</x:v>
      </x:c>
      <x:c r="K3135" t="str">
        <x:v>credit_card</x:v>
      </x:c>
      <x:c r="L3135" t="n">
        <x:v>1</x:v>
      </x:c>
      <x:c r="M3135" t="n">
        <x:v>0</x:v>
      </x:c>
      <x:c r="N3135" t="str">
        <x:v>Fully Paid</x:v>
      </x:c>
      <x:c r="O3135" t="str">
        <x:f>IF(D3135="","Unknown",IF(D3135&lt;25000,"&lt;$25k",IF(D3135&lt;50000,"$25k-$50k",IF(D3135&lt;75000,"$50k-$75k",IF(D3135&lt;100000,"$75k-$100k","$100k+")))))</x:f>
        <x:v>$50k-$75k</x:v>
      </x:c>
      <x:c r="P3135" t="str">
        <x:f>IF(E3135="","Unknown",IF(E3135&lt;10,"&lt;10",IF(E3135&lt;20,"10-&lt;20",IF(E3135&lt;25,"20-&lt;25",IF(E3135&lt;35,"25-&lt;35","35+")))))</x:f>
        <x:v>25-&lt;35</x:v>
      </x:c>
    </x:row>
    <x:row r="3136">
      <x:c r="A3136" t="str">
        <x:v>SYN0003135</x:v>
      </x:c>
      <x:c r="B3136" s="12" t="n">
        <x:v>42205</x:v>
      </x:c>
      <x:c r="C3136" s="18" t="n">
        <x:v>3833</x:v>
      </x:c>
      <x:c r="D3136" s="18" t="n">
        <x:v>56497</x:v>
      </x:c>
      <x:c r="E3136" s="18" t="n">
        <x:v>9.17</x:v>
      </x:c>
      <x:c r="F3136" s="18" t="n">
        <x:v>9.23</x:v>
      </x:c>
      <x:c r="G3136" t="n">
        <x:v>60</x:v>
      </x:c>
      <x:c r="H3136" t="str">
        <x:v>C</x:v>
      </x:c>
      <x:c r="I3136" t="str">
        <x:v>&lt;1 year</x:v>
      </x:c>
      <x:c r="J3136" t="str">
        <x:v>OWN</x:v>
      </x:c>
      <x:c r="K3136" t="str">
        <x:v>debt_consolidation</x:v>
      </x:c>
      <x:c r="L3136" t="n">
        <x:v>0</x:v>
      </x:c>
      <x:c r="M3136" t="n">
        <x:v>0</x:v>
      </x:c>
      <x:c r="N3136" t="str">
        <x:v>Fully Paid</x:v>
      </x:c>
      <x:c r="O3136" t="str">
        <x:f>IF(D3136="","Unknown",IF(D3136&lt;25000,"&lt;$25k",IF(D3136&lt;50000,"$25k-$50k",IF(D3136&lt;75000,"$50k-$75k",IF(D3136&lt;100000,"$75k-$100k","$100k+")))))</x:f>
        <x:v>$50k-$75k</x:v>
      </x:c>
      <x:c r="P3136" t="str">
        <x:f>IF(E3136="","Unknown",IF(E3136&lt;10,"&lt;10",IF(E3136&lt;20,"10-&lt;20",IF(E3136&lt;25,"20-&lt;25",IF(E3136&lt;35,"25-&lt;35","35+")))))</x:f>
        <x:v>&lt;10</x:v>
      </x:c>
    </x:row>
    <x:row r="3137">
      <x:c r="A3137" t="str">
        <x:v>SYN0003136</x:v>
      </x:c>
      <x:c r="B3137" s="12" t="n">
        <x:v>42415</x:v>
      </x:c>
      <x:c r="C3137" s="18" t="n">
        <x:v>14375</x:v>
      </x:c>
      <x:c r="D3137" s="18" t="n">
        <x:v>46327</x:v>
      </x:c>
      <x:c r="E3137" s="18" t="n">
        <x:v>2.16</x:v>
      </x:c>
      <x:c r="F3137" s="18" t="n">
        <x:v>8.03</x:v>
      </x:c>
      <x:c r="G3137" t="n">
        <x:v>36</x:v>
      </x:c>
      <x:c r="H3137" t="str">
        <x:v>A</x:v>
      </x:c>
      <x:c r="I3137" t="str">
        <x:v>7-9 years</x:v>
      </x:c>
      <x:c r="J3137" t="str">
        <x:v>RENT</x:v>
      </x:c>
      <x:c r="K3137" t="str">
        <x:v>credit_card</x:v>
      </x:c>
      <x:c r="L3137" t="n">
        <x:v>0</x:v>
      </x:c>
      <x:c r="M3137" t="n">
        <x:v>0</x:v>
      </x:c>
      <x:c r="N3137" t="str">
        <x:v>Fully Paid</x:v>
      </x:c>
      <x:c r="O3137" t="str">
        <x:f>IF(D3137="","Unknown",IF(D3137&lt;25000,"&lt;$25k",IF(D3137&lt;50000,"$25k-$50k",IF(D3137&lt;75000,"$50k-$75k",IF(D3137&lt;100000,"$75k-$100k","$100k+")))))</x:f>
        <x:v>$25k-$50k</x:v>
      </x:c>
      <x:c r="P3137" t="str">
        <x:f>IF(E3137="","Unknown",IF(E3137&lt;10,"&lt;10",IF(E3137&lt;20,"10-&lt;20",IF(E3137&lt;25,"20-&lt;25",IF(E3137&lt;35,"25-&lt;35","35+")))))</x:f>
        <x:v>&lt;10</x:v>
      </x:c>
    </x:row>
    <x:row r="3138">
      <x:c r="A3138" t="str">
        <x:v>SYN0003137</x:v>
      </x:c>
      <x:c r="B3138" s="12" t="n">
        <x:v>42445</x:v>
      </x:c>
      <x:c r="C3138" s="18" t="n">
        <x:v>14191</x:v>
      </x:c>
      <x:c r="D3138" s="18" t="n">
        <x:v>42377</x:v>
      </x:c>
      <x:c r="E3138" s="18" t="n">
        <x:v>33.78</x:v>
      </x:c>
      <x:c r="F3138" s="18" t="n">
        <x:v>16.56</x:v>
      </x:c>
      <x:c r="G3138" t="n">
        <x:v>36</x:v>
      </x:c>
      <x:c r="H3138" t="str">
        <x:v>E</x:v>
      </x:c>
      <x:c r="I3138" t="str">
        <x:v>1-3 years</x:v>
      </x:c>
      <x:c r="J3138" t="str">
        <x:v>RENT</x:v>
      </x:c>
      <x:c r="K3138" t="str">
        <x:v>credit_card</x:v>
      </x:c>
      <x:c r="L3138" t="n">
        <x:v>0</x:v>
      </x:c>
      <x:c r="M3138" t="n">
        <x:v>1</x:v>
      </x:c>
      <x:c r="N3138" t="str">
        <x:v>Charged Off</x:v>
      </x:c>
      <x:c r="O3138" t="str">
        <x:f>IF(D3138="","Unknown",IF(D3138&lt;25000,"&lt;$25k",IF(D3138&lt;50000,"$25k-$50k",IF(D3138&lt;75000,"$50k-$75k",IF(D3138&lt;100000,"$75k-$100k","$100k+")))))</x:f>
        <x:v>$25k-$50k</x:v>
      </x:c>
      <x:c r="P3138" t="str">
        <x:f>IF(E3138="","Unknown",IF(E3138&lt;10,"&lt;10",IF(E3138&lt;20,"10-&lt;20",IF(E3138&lt;25,"20-&lt;25",IF(E3138&lt;35,"25-&lt;35","35+")))))</x:f>
        <x:v>25-&lt;35</x:v>
      </x:c>
    </x:row>
    <x:row r="3139">
      <x:c r="A3139" t="str">
        <x:v>SYN0003138</x:v>
      </x:c>
      <x:c r="B3139" s="12" t="n">
        <x:v>41725</x:v>
      </x:c>
      <x:c r="C3139" s="18" t="n">
        <x:v>7969</x:v>
      </x:c>
      <x:c r="D3139" s="18" t="n">
        <x:v>56578</x:v>
      </x:c>
      <x:c r="E3139" s="18" t="n">
        <x:v>10.23</x:v>
      </x:c>
      <x:c r="F3139" s="18" t="n">
        <x:v>5.1</x:v>
      </x:c>
      <x:c r="G3139" t="n">
        <x:v>60</x:v>
      </x:c>
      <x:c r="H3139" t="str">
        <x:v>A</x:v>
      </x:c>
      <x:c r="I3139" t="str">
        <x:v>4-6 years</x:v>
      </x:c>
      <x:c r="J3139" t="str">
        <x:v>MORTGAGE</x:v>
      </x:c>
      <x:c r="K3139" t="str">
        <x:v>major_purchase</x:v>
      </x:c>
      <x:c r="L3139" t="n">
        <x:v>0</x:v>
      </x:c>
      <x:c r="M3139" t="n">
        <x:v>0</x:v>
      </x:c>
      <x:c r="N3139" t="str">
        <x:v>Fully Paid</x:v>
      </x:c>
      <x:c r="O3139" t="str">
        <x:f>IF(D3139="","Unknown",IF(D3139&lt;25000,"&lt;$25k",IF(D3139&lt;50000,"$25k-$50k",IF(D3139&lt;75000,"$50k-$75k",IF(D3139&lt;100000,"$75k-$100k","$100k+")))))</x:f>
        <x:v>$50k-$75k</x:v>
      </x:c>
      <x:c r="P3139" t="str">
        <x:f>IF(E3139="","Unknown",IF(E3139&lt;10,"&lt;10",IF(E3139&lt;20,"10-&lt;20",IF(E3139&lt;25,"20-&lt;25",IF(E3139&lt;35,"25-&lt;35","35+")))))</x:f>
        <x:v>10-&lt;20</x:v>
      </x:c>
    </x:row>
    <x:row r="3140">
      <x:c r="A3140" t="str">
        <x:v>SYN0003139</x:v>
      </x:c>
      <x:c r="B3140" s="12" t="n">
        <x:v>41515</x:v>
      </x:c>
      <x:c r="C3140" s="18" t="n">
        <x:v>18608</x:v>
      </x:c>
      <x:c r="D3140" s="18" t="n">
        <x:v>30730</x:v>
      </x:c>
      <x:c r="E3140" s="18" t="n">
        <x:v>24.47</x:v>
      </x:c>
      <x:c r="F3140" s="18" t="n">
        <x:v>19.16</x:v>
      </x:c>
      <x:c r="G3140" t="n">
        <x:v>60</x:v>
      </x:c>
      <x:c r="H3140" t="str">
        <x:v>F</x:v>
      </x:c>
      <x:c r="I3140" t="str">
        <x:v>7-9 years</x:v>
      </x:c>
      <x:c r="J3140" t="str">
        <x:v>MORTGAGE</x:v>
      </x:c>
      <x:c r="K3140" t="str">
        <x:v>debt_consolidation</x:v>
      </x:c>
      <x:c r="L3140" t="n">
        <x:v>1</x:v>
      </x:c>
      <x:c r="M3140" t="n">
        <x:v>0</x:v>
      </x:c>
      <x:c r="N3140" t="str">
        <x:v>Fully Paid</x:v>
      </x:c>
      <x:c r="O3140" t="str">
        <x:f>IF(D3140="","Unknown",IF(D3140&lt;25000,"&lt;$25k",IF(D3140&lt;50000,"$25k-$50k",IF(D3140&lt;75000,"$50k-$75k",IF(D3140&lt;100000,"$75k-$100k","$100k+")))))</x:f>
        <x:v>$25k-$50k</x:v>
      </x:c>
      <x:c r="P3140" t="str">
        <x:f>IF(E3140="","Unknown",IF(E3140&lt;10,"&lt;10",IF(E3140&lt;20,"10-&lt;20",IF(E3140&lt;25,"20-&lt;25",IF(E3140&lt;35,"25-&lt;35","35+")))))</x:f>
        <x:v>20-&lt;25</x:v>
      </x:c>
    </x:row>
    <x:row r="3141">
      <x:c r="A3141" t="str">
        <x:v>SYN0003140</x:v>
      </x:c>
      <x:c r="B3141" s="12" t="n">
        <x:v>41695</x:v>
      </x:c>
      <x:c r="C3141" s="18" t="n">
        <x:v>7761</x:v>
      </x:c>
      <x:c r="D3141" s="18" t="n">
        <x:v>36150</x:v>
      </x:c>
      <x:c r="E3141" s="18" t="n">
        <x:v>29.5</x:v>
      </x:c>
      <x:c r="F3141" s="18" t="n">
        <x:v>26.11</x:v>
      </x:c>
      <x:c r="G3141" t="n">
        <x:v>36</x:v>
      </x:c>
      <x:c r="H3141" t="str">
        <x:v>G</x:v>
      </x:c>
      <x:c r="I3141" t="str">
        <x:v>4-6 years</x:v>
      </x:c>
      <x:c r="J3141" t="str">
        <x:v>OWN</x:v>
      </x:c>
      <x:c r="K3141" t="str">
        <x:v>home_improvement</x:v>
      </x:c>
      <x:c r="L3141" t="n">
        <x:v>0</x:v>
      </x:c>
      <x:c r="M3141" t="n">
        <x:v>1</x:v>
      </x:c>
      <x:c r="N3141" t="str">
        <x:v>Charged Off</x:v>
      </x:c>
      <x:c r="O3141" t="str">
        <x:f>IF(D3141="","Unknown",IF(D3141&lt;25000,"&lt;$25k",IF(D3141&lt;50000,"$25k-$50k",IF(D3141&lt;75000,"$50k-$75k",IF(D3141&lt;100000,"$75k-$100k","$100k+")))))</x:f>
        <x:v>$25k-$50k</x:v>
      </x:c>
      <x:c r="P3141" t="str">
        <x:f>IF(E3141="","Unknown",IF(E3141&lt;10,"&lt;10",IF(E3141&lt;20,"10-&lt;20",IF(E3141&lt;25,"20-&lt;25",IF(E3141&lt;35,"25-&lt;35","35+")))))</x:f>
        <x:v>25-&lt;35</x:v>
      </x:c>
    </x:row>
    <x:row r="3142">
      <x:c r="A3142" t="str">
        <x:v>SYN0003141</x:v>
      </x:c>
      <x:c r="B3142" s="12" t="n">
        <x:v>42505</x:v>
      </x:c>
      <x:c r="C3142" s="18" t="n">
        <x:v>23312</x:v>
      </x:c>
      <x:c r="D3142" s="18" t="n">
        <x:v>61290</x:v>
      </x:c>
      <x:c r="E3142" s="18" t="n">
        <x:v>18.36</x:v>
      </x:c>
      <x:c r="F3142" s="18" t="n">
        <x:v>7.12</x:v>
      </x:c>
      <x:c r="G3142" t="n">
        <x:v>36</x:v>
      </x:c>
      <x:c r="H3142" t="str">
        <x:v>B</x:v>
      </x:c>
      <x:c r="I3142" t="str">
        <x:v>10+ years</x:v>
      </x:c>
      <x:c r="J3142" t="str">
        <x:v>MORTGAGE</x:v>
      </x:c>
      <x:c r="K3142" t="str">
        <x:v>debt_consolidation</x:v>
      </x:c>
      <x:c r="L3142" t="n">
        <x:v>0</x:v>
      </x:c>
      <x:c r="M3142" t="n">
        <x:v>0</x:v>
      </x:c>
      <x:c r="N3142" t="str">
        <x:v>Fully Paid</x:v>
      </x:c>
      <x:c r="O3142" t="str">
        <x:f>IF(D3142="","Unknown",IF(D3142&lt;25000,"&lt;$25k",IF(D3142&lt;50000,"$25k-$50k",IF(D3142&lt;75000,"$50k-$75k",IF(D3142&lt;100000,"$75k-$100k","$100k+")))))</x:f>
        <x:v>$50k-$75k</x:v>
      </x:c>
      <x:c r="P3142" t="str">
        <x:f>IF(E3142="","Unknown",IF(E3142&lt;10,"&lt;10",IF(E3142&lt;20,"10-&lt;20",IF(E3142&lt;25,"20-&lt;25",IF(E3142&lt;35,"25-&lt;35","35+")))))</x:f>
        <x:v>10-&lt;20</x:v>
      </x:c>
    </x:row>
    <x:row r="3143">
      <x:c r="A3143" t="str">
        <x:v>SYN0003142</x:v>
      </x:c>
      <x:c r="B3143" s="12" t="n">
        <x:v>42685</x:v>
      </x:c>
      <x:c r="C3143" s="18" t="n">
        <x:v>7877</x:v>
      </x:c>
      <x:c r="D3143" s="18" t="n">
        <x:v>17727</x:v>
      </x:c>
      <x:c r="E3143" s="18" t="n">
        <x:v>22.46</x:v>
      </x:c>
      <x:c r="F3143" s="18" t="n">
        <x:v>12.77</x:v>
      </x:c>
      <x:c r="G3143" t="n">
        <x:v>36</x:v>
      </x:c>
      <x:c r="H3143" t="str">
        <x:v>C</x:v>
      </x:c>
      <x:c r="I3143" t="str">
        <x:v>1-3 years</x:v>
      </x:c>
      <x:c r="J3143" t="str">
        <x:v>MORTGAGE</x:v>
      </x:c>
      <x:c r="K3143" t="str">
        <x:v>debt_consolidation</x:v>
      </x:c>
      <x:c r="L3143" t="n">
        <x:v>0</x:v>
      </x:c>
      <x:c r="M3143" t="n">
        <x:v>0</x:v>
      </x:c>
      <x:c r="N3143" t="str">
        <x:v>Fully Paid</x:v>
      </x:c>
      <x:c r="O3143" t="str">
        <x:f>IF(D3143="","Unknown",IF(D3143&lt;25000,"&lt;$25k",IF(D3143&lt;50000,"$25k-$50k",IF(D3143&lt;75000,"$50k-$75k",IF(D3143&lt;100000,"$75k-$100k","$100k+")))))</x:f>
        <x:v>&lt;$25k</x:v>
      </x:c>
      <x:c r="P3143" t="str">
        <x:f>IF(E3143="","Unknown",IF(E3143&lt;10,"&lt;10",IF(E3143&lt;20,"10-&lt;20",IF(E3143&lt;25,"20-&lt;25",IF(E3143&lt;35,"25-&lt;35","35+")))))</x:f>
        <x:v>20-&lt;25</x:v>
      </x:c>
    </x:row>
    <x:row r="3144">
      <x:c r="A3144" t="str">
        <x:v>SYN0003143</x:v>
      </x:c>
      <x:c r="B3144" s="12" t="n">
        <x:v>42985</x:v>
      </x:c>
      <x:c r="C3144" s="18" t="n">
        <x:v>11679</x:v>
      </x:c>
      <x:c r="D3144" s="18" t="n">
        <x:v>100627</x:v>
      </x:c>
      <x:c r="E3144" s="18" t="n">
        <x:v>28.86</x:v>
      </x:c>
      <x:c r="F3144" s="18" t="n">
        <x:v>27.78</x:v>
      </x:c>
      <x:c r="G3144" t="n">
        <x:v>60</x:v>
      </x:c>
      <x:c r="H3144" t="str">
        <x:v>G</x:v>
      </x:c>
      <x:c r="I3144" t="str">
        <x:v>10+ years</x:v>
      </x:c>
      <x:c r="J3144" t="str">
        <x:v>MORTGAGE</x:v>
      </x:c>
      <x:c r="K3144" t="str">
        <x:v>credit_card</x:v>
      </x:c>
      <x:c r="L3144" t="n">
        <x:v>0</x:v>
      </x:c>
      <x:c r="M3144" t="n">
        <x:v>1</x:v>
      </x:c>
      <x:c r="N3144" t="str">
        <x:v>Charged Off</x:v>
      </x:c>
      <x:c r="O3144" t="str">
        <x:f>IF(D3144="","Unknown",IF(D3144&lt;25000,"&lt;$25k",IF(D3144&lt;50000,"$25k-$50k",IF(D3144&lt;75000,"$50k-$75k",IF(D3144&lt;100000,"$75k-$100k","$100k+")))))</x:f>
        <x:v>$100k+</x:v>
      </x:c>
      <x:c r="P3144" t="str">
        <x:f>IF(E3144="","Unknown",IF(E3144&lt;10,"&lt;10",IF(E3144&lt;20,"10-&lt;20",IF(E3144&lt;25,"20-&lt;25",IF(E3144&lt;35,"25-&lt;35","35+")))))</x:f>
        <x:v>25-&lt;35</x:v>
      </x:c>
    </x:row>
    <x:row r="3145">
      <x:c r="A3145" t="str">
        <x:v>SYN0003144</x:v>
      </x:c>
      <x:c r="B3145" s="12" t="n">
        <x:v>43315</x:v>
      </x:c>
      <x:c r="C3145" s="18" t="n">
        <x:v>14724</x:v>
      </x:c>
      <x:c r="D3145" s="18" t="n">
        <x:v>22735</x:v>
      </x:c>
      <x:c r="E3145" s="18" t="n">
        <x:v>27.66</x:v>
      </x:c>
      <x:c r="F3145" s="18" t="n">
        <x:v>5.86</x:v>
      </x:c>
      <x:c r="G3145" t="n">
        <x:v>60</x:v>
      </x:c>
      <x:c r="H3145" t="str">
        <x:v>B</x:v>
      </x:c>
      <x:c r="I3145" t="str">
        <x:v>7-9 years</x:v>
      </x:c>
      <x:c r="J3145" t="str">
        <x:v>MORTGAGE</x:v>
      </x:c>
      <x:c r="K3145" t="str">
        <x:v>home_improvement</x:v>
      </x:c>
      <x:c r="L3145" t="n">
        <x:v>1</x:v>
      </x:c>
      <x:c r="M3145" t="n">
        <x:v>0</x:v>
      </x:c>
      <x:c r="N3145" t="str">
        <x:v>Fully Paid</x:v>
      </x:c>
      <x:c r="O3145" t="str">
        <x:f>IF(D3145="","Unknown",IF(D3145&lt;25000,"&lt;$25k",IF(D3145&lt;50000,"$25k-$50k",IF(D3145&lt;75000,"$50k-$75k",IF(D3145&lt;100000,"$75k-$100k","$100k+")))))</x:f>
        <x:v>&lt;$25k</x:v>
      </x:c>
      <x:c r="P3145" t="str">
        <x:f>IF(E3145="","Unknown",IF(E3145&lt;10,"&lt;10",IF(E3145&lt;20,"10-&lt;20",IF(E3145&lt;25,"20-&lt;25",IF(E3145&lt;35,"25-&lt;35","35+")))))</x:f>
        <x:v>25-&lt;35</x:v>
      </x:c>
    </x:row>
    <x:row r="3146">
      <x:c r="A3146" t="str">
        <x:v>SYN0003145</x:v>
      </x:c>
      <x:c r="B3146" s="12" t="n">
        <x:v>42025</x:v>
      </x:c>
      <x:c r="C3146" s="18" t="n">
        <x:v>12800</x:v>
      </x:c>
      <x:c r="D3146" s="18" t="n">
        <x:v>76992</x:v>
      </x:c>
      <x:c r="E3146" s="18" t="n">
        <x:v>31.32</x:v>
      </x:c>
      <x:c r="F3146" s="18" t="n">
        <x:v>19.7</x:v>
      </x:c>
      <x:c r="G3146" t="n">
        <x:v>36</x:v>
      </x:c>
      <x:c r="H3146" t="str">
        <x:v>F</x:v>
      </x:c>
      <x:c r="I3146" t="str">
        <x:v>10+ years</x:v>
      </x:c>
      <x:c r="J3146" t="str">
        <x:v>RENT</x:v>
      </x:c>
      <x:c r="K3146" t="str">
        <x:v>credit_card</x:v>
      </x:c>
      <x:c r="L3146" t="n">
        <x:v>1</x:v>
      </x:c>
      <x:c r="M3146" t="n">
        <x:v>0</x:v>
      </x:c>
      <x:c r="N3146" t="str">
        <x:v>Fully Paid</x:v>
      </x:c>
      <x:c r="O3146" t="str">
        <x:f>IF(D3146="","Unknown",IF(D3146&lt;25000,"&lt;$25k",IF(D3146&lt;50000,"$25k-$50k",IF(D3146&lt;75000,"$50k-$75k",IF(D3146&lt;100000,"$75k-$100k","$100k+")))))</x:f>
        <x:v>$75k-$100k</x:v>
      </x:c>
      <x:c r="P3146" t="str">
        <x:f>IF(E3146="","Unknown",IF(E3146&lt;10,"&lt;10",IF(E3146&lt;20,"10-&lt;20",IF(E3146&lt;25,"20-&lt;25",IF(E3146&lt;35,"25-&lt;35","35+")))))</x:f>
        <x:v>25-&lt;35</x:v>
      </x:c>
    </x:row>
    <x:row r="3147">
      <x:c r="A3147" t="str">
        <x:v>SYN0003146</x:v>
      </x:c>
      <x:c r="B3147" s="12" t="n">
        <x:v>42355</x:v>
      </x:c>
      <x:c r="C3147" s="18" t="n">
        <x:v>8080</x:v>
      </x:c>
      <x:c r="D3147" s="18" t="n">
        <x:v>65024</x:v>
      </x:c>
      <x:c r="E3147" s="18" t="n">
        <x:v>30.94</x:v>
      </x:c>
      <x:c r="F3147" s="18" t="n">
        <x:v>23.8</x:v>
      </x:c>
      <x:c r="G3147" t="n">
        <x:v>60</x:v>
      </x:c>
      <x:c r="H3147" t="str">
        <x:v>F</x:v>
      </x:c>
      <x:c r="I3147" t="str">
        <x:v>10+ years</x:v>
      </x:c>
      <x:c r="J3147" t="str">
        <x:v>OWN</x:v>
      </x:c>
      <x:c r="K3147" t="str">
        <x:v>credit_card</x:v>
      </x:c>
      <x:c r="L3147" t="n">
        <x:v>2</x:v>
      </x:c>
      <x:c r="M3147" t="n">
        <x:v>0</x:v>
      </x:c>
      <x:c r="N3147" t="str">
        <x:v>Fully Paid</x:v>
      </x:c>
      <x:c r="O3147" t="str">
        <x:f>IF(D3147="","Unknown",IF(D3147&lt;25000,"&lt;$25k",IF(D3147&lt;50000,"$25k-$50k",IF(D3147&lt;75000,"$50k-$75k",IF(D3147&lt;100000,"$75k-$100k","$100k+")))))</x:f>
        <x:v>$50k-$75k</x:v>
      </x:c>
      <x:c r="P3147" t="str">
        <x:f>IF(E3147="","Unknown",IF(E3147&lt;10,"&lt;10",IF(E3147&lt;20,"10-&lt;20",IF(E3147&lt;25,"20-&lt;25",IF(E3147&lt;35,"25-&lt;35","35+")))))</x:f>
        <x:v>25-&lt;35</x:v>
      </x:c>
    </x:row>
    <x:row r="3148">
      <x:c r="A3148" t="str">
        <x:v>SYN0003147</x:v>
      </x:c>
      <x:c r="B3148" s="12" t="n">
        <x:v>41545</x:v>
      </x:c>
      <x:c r="C3148" s="18" t="n">
        <x:v>16078</x:v>
      </x:c>
      <x:c r="D3148" s="18" t="n">
        <x:v>57784</x:v>
      </x:c>
      <x:c r="E3148" s="18" t="n">
        <x:v>15.34</x:v>
      </x:c>
      <x:c r="F3148" s="18" t="n">
        <x:v>5.75</x:v>
      </x:c>
      <x:c r="G3148" t="n">
        <x:v>60</x:v>
      </x:c>
      <x:c r="H3148" t="str">
        <x:v>A</x:v>
      </x:c>
      <x:c r="I3148" t="str">
        <x:v>&lt;1 year</x:v>
      </x:c>
      <x:c r="J3148" t="str">
        <x:v>MORTGAGE</x:v>
      </x:c>
      <x:c r="K3148" t="str">
        <x:v>other</x:v>
      </x:c>
      <x:c r="L3148" t="n">
        <x:v>0</x:v>
      </x:c>
      <x:c r="M3148" t="n">
        <x:v>0</x:v>
      </x:c>
      <x:c r="N3148" t="str">
        <x:v>Fully Paid</x:v>
      </x:c>
      <x:c r="O3148" t="str">
        <x:f>IF(D3148="","Unknown",IF(D3148&lt;25000,"&lt;$25k",IF(D3148&lt;50000,"$25k-$50k",IF(D3148&lt;75000,"$50k-$75k",IF(D3148&lt;100000,"$75k-$100k","$100k+")))))</x:f>
        <x:v>$50k-$75k</x:v>
      </x:c>
      <x:c r="P3148" t="str">
        <x:f>IF(E3148="","Unknown",IF(E3148&lt;10,"&lt;10",IF(E3148&lt;20,"10-&lt;20",IF(E3148&lt;25,"20-&lt;25",IF(E3148&lt;35,"25-&lt;35","35+")))))</x:f>
        <x:v>10-&lt;20</x:v>
      </x:c>
    </x:row>
    <x:row r="3149">
      <x:c r="A3149" t="str">
        <x:v>SYN0003148</x:v>
      </x:c>
      <x:c r="B3149" s="12" t="n">
        <x:v>41845</x:v>
      </x:c>
      <x:c r="C3149" s="18" t="n">
        <x:v>5812</x:v>
      </x:c>
      <x:c r="D3149" s="18" t="n">
        <x:v>36323</x:v>
      </x:c>
      <x:c r="E3149" s="18" t="n">
        <x:v>25.53</x:v>
      </x:c>
      <x:c r="F3149" s="18" t="n">
        <x:v>13.54</x:v>
      </x:c>
      <x:c r="G3149" t="n">
        <x:v>60</x:v>
      </x:c>
      <x:c r="H3149" t="str">
        <x:v>D</x:v>
      </x:c>
      <x:c r="I3149" t="str">
        <x:v>10+ years</x:v>
      </x:c>
      <x:c r="J3149" t="str">
        <x:v>MORTGAGE</x:v>
      </x:c>
      <x:c r="K3149" t="str">
        <x:v>medical</x:v>
      </x:c>
      <x:c r="L3149" t="n">
        <x:v>1</x:v>
      </x:c>
      <x:c r="M3149" t="n">
        <x:v>0</x:v>
      </x:c>
      <x:c r="N3149" t="str">
        <x:v>Fully Paid</x:v>
      </x:c>
      <x:c r="O3149" t="str">
        <x:f>IF(D3149="","Unknown",IF(D3149&lt;25000,"&lt;$25k",IF(D3149&lt;50000,"$25k-$50k",IF(D3149&lt;75000,"$50k-$75k",IF(D3149&lt;100000,"$75k-$100k","$100k+")))))</x:f>
        <x:v>$25k-$50k</x:v>
      </x:c>
      <x:c r="P3149" t="str">
        <x:f>IF(E3149="","Unknown",IF(E3149&lt;10,"&lt;10",IF(E3149&lt;20,"10-&lt;20",IF(E3149&lt;25,"20-&lt;25",IF(E3149&lt;35,"25-&lt;35","35+")))))</x:f>
        <x:v>25-&lt;35</x:v>
      </x:c>
    </x:row>
    <x:row r="3150">
      <x:c r="A3150" t="str">
        <x:v>SYN0003149</x:v>
      </x:c>
      <x:c r="B3150" s="12" t="n">
        <x:v>43225</x:v>
      </x:c>
      <x:c r="C3150" s="18" t="n">
        <x:v>11333</x:v>
      </x:c>
      <x:c r="D3150" s="18" t="n">
        <x:v>63116</x:v>
      </x:c>
      <x:c r="E3150" s="18" t="n">
        <x:v>17.73</x:v>
      </x:c>
      <x:c r="F3150" s="18" t="n">
        <x:v>11.91</x:v>
      </x:c>
      <x:c r="G3150" t="n">
        <x:v>60</x:v>
      </x:c>
      <x:c r="H3150" t="str">
        <x:v>D</x:v>
      </x:c>
      <x:c r="I3150" t="str">
        <x:v>10+ years</x:v>
      </x:c>
      <x:c r="J3150" t="str">
        <x:v>RENT</x:v>
      </x:c>
      <x:c r="K3150" t="str">
        <x:v>debt_consolidation</x:v>
      </x:c>
      <x:c r="L3150" t="n">
        <x:v>2</x:v>
      </x:c>
      <x:c r="M3150" t="n">
        <x:v>0</x:v>
      </x:c>
      <x:c r="N3150" t="str">
        <x:v>Fully Paid</x:v>
      </x:c>
      <x:c r="O3150" t="str">
        <x:f>IF(D3150="","Unknown",IF(D3150&lt;25000,"&lt;$25k",IF(D3150&lt;50000,"$25k-$50k",IF(D3150&lt;75000,"$50k-$75k",IF(D3150&lt;100000,"$75k-$100k","$100k+")))))</x:f>
        <x:v>$50k-$75k</x:v>
      </x:c>
      <x:c r="P3150" t="str">
        <x:f>IF(E3150="","Unknown",IF(E3150&lt;10,"&lt;10",IF(E3150&lt;20,"10-&lt;20",IF(E3150&lt;25,"20-&lt;25",IF(E3150&lt;35,"25-&lt;35","35+")))))</x:f>
        <x:v>10-&lt;20</x:v>
      </x:c>
    </x:row>
    <x:row r="3151">
      <x:c r="A3151" t="str">
        <x:v>SYN0003150</x:v>
      </x:c>
      <x:c r="B3151" s="12" t="n">
        <x:v>42325</x:v>
      </x:c>
      <x:c r="C3151" s="18" t="n">
        <x:v>10177</x:v>
      </x:c>
      <x:c r="D3151" s="18" t="n">
        <x:v>49462</x:v>
      </x:c>
      <x:c r="E3151" s="18" t="n">
        <x:v>21.4</x:v>
      </x:c>
      <x:c r="F3151" s="18" t="n">
        <x:v>8.14</x:v>
      </x:c>
      <x:c r="G3151" t="n">
        <x:v>36</x:v>
      </x:c>
      <x:c r="H3151" t="str">
        <x:v>A</x:v>
      </x:c>
      <x:c r="I3151" t="str">
        <x:v>1-3 years</x:v>
      </x:c>
      <x:c r="J3151" t="str">
        <x:v>RENT</x:v>
      </x:c>
      <x:c r="K3151" t="str">
        <x:v>debt_consolidation</x:v>
      </x:c>
      <x:c r="L3151" t="n">
        <x:v>1</x:v>
      </x:c>
      <x:c r="M3151" t="n">
        <x:v>0</x:v>
      </x:c>
      <x:c r="N3151" t="str">
        <x:v>Fully Paid</x:v>
      </x:c>
      <x:c r="O3151" t="str">
        <x:f>IF(D3151="","Unknown",IF(D3151&lt;25000,"&lt;$25k",IF(D3151&lt;50000,"$25k-$50k",IF(D3151&lt;75000,"$50k-$75k",IF(D3151&lt;100000,"$75k-$100k","$100k+")))))</x:f>
        <x:v>$25k-$50k</x:v>
      </x:c>
      <x:c r="P3151" t="str">
        <x:f>IF(E3151="","Unknown",IF(E3151&lt;10,"&lt;10",IF(E3151&lt;20,"10-&lt;20",IF(E3151&lt;25,"20-&lt;25",IF(E3151&lt;35,"25-&lt;35","35+")))))</x:f>
        <x:v>20-&lt;25</x:v>
      </x:c>
    </x:row>
    <x:row r="3152">
      <x:c r="A3152" t="str">
        <x:v>SYN0003151</x:v>
      </x:c>
      <x:c r="B3152" s="12" t="n">
        <x:v>42475</x:v>
      </x:c>
      <x:c r="C3152" s="18" t="n">
        <x:v>12726</x:v>
      </x:c>
      <x:c r="D3152" s="18" t="n">
        <x:v>16510</x:v>
      </x:c>
      <x:c r="E3152" s="18" t="n">
        <x:v>18.99</x:v>
      </x:c>
      <x:c r="F3152" s="18" t="n">
        <x:v>8.71</x:v>
      </x:c>
      <x:c r="G3152" t="n">
        <x:v>36</x:v>
      </x:c>
      <x:c r="H3152" t="str">
        <x:v>A</x:v>
      </x:c>
      <x:c r="I3152" t="str">
        <x:v>10+ years</x:v>
      </x:c>
      <x:c r="J3152" t="str">
        <x:v>RENT</x:v>
      </x:c>
      <x:c r="K3152" t="str">
        <x:v>home_improvement</x:v>
      </x:c>
      <x:c r="L3152" t="n">
        <x:v>0</x:v>
      </x:c>
      <x:c r="M3152" t="n">
        <x:v>0</x:v>
      </x:c>
      <x:c r="N3152" t="str">
        <x:v>Fully Paid</x:v>
      </x:c>
      <x:c r="O3152" t="str">
        <x:f>IF(D3152="","Unknown",IF(D3152&lt;25000,"&lt;$25k",IF(D3152&lt;50000,"$25k-$50k",IF(D3152&lt;75000,"$50k-$75k",IF(D3152&lt;100000,"$75k-$100k","$100k+")))))</x:f>
        <x:v>&lt;$25k</x:v>
      </x:c>
      <x:c r="P3152" t="str">
        <x:f>IF(E3152="","Unknown",IF(E3152&lt;10,"&lt;10",IF(E3152&lt;20,"10-&lt;20",IF(E3152&lt;25,"20-&lt;25",IF(E3152&lt;35,"25-&lt;35","35+")))))</x:f>
        <x:v>10-&lt;20</x:v>
      </x:c>
    </x:row>
    <x:row r="3153">
      <x:c r="A3153" t="str">
        <x:v>SYN0003152</x:v>
      </x:c>
      <x:c r="B3153" s="12" t="n">
        <x:v>41395</x:v>
      </x:c>
      <x:c r="C3153" s="18" t="n">
        <x:v>31754</x:v>
      </x:c>
      <x:c r="D3153" s="18" t="n">
        <x:v>28585</x:v>
      </x:c>
      <x:c r="E3153" s="18" t="n">
        <x:v>15.35</x:v>
      </x:c>
      <x:c r="F3153" s="18" t="n">
        <x:v>15.25</x:v>
      </x:c>
      <x:c r="G3153" t="n">
        <x:v>36</x:v>
      </x:c>
      <x:c r="H3153" t="str">
        <x:v>C</x:v>
      </x:c>
      <x:c r="I3153" t="str">
        <x:v>4-6 years</x:v>
      </x:c>
      <x:c r="J3153" t="str">
        <x:v>OWN</x:v>
      </x:c>
      <x:c r="K3153" t="str">
        <x:v>home_improvement</x:v>
      </x:c>
      <x:c r="L3153" t="n">
        <x:v>0</x:v>
      </x:c>
      <x:c r="M3153" t="n">
        <x:v>0</x:v>
      </x:c>
      <x:c r="N3153" t="str">
        <x:v>Fully Paid</x:v>
      </x:c>
      <x:c r="O3153" t="str">
        <x:f>IF(D3153="","Unknown",IF(D3153&lt;25000,"&lt;$25k",IF(D3153&lt;50000,"$25k-$50k",IF(D3153&lt;75000,"$50k-$75k",IF(D3153&lt;100000,"$75k-$100k","$100k+")))))</x:f>
        <x:v>$25k-$50k</x:v>
      </x:c>
      <x:c r="P3153" t="str">
        <x:f>IF(E3153="","Unknown",IF(E3153&lt;10,"&lt;10",IF(E3153&lt;20,"10-&lt;20",IF(E3153&lt;25,"20-&lt;25",IF(E3153&lt;35,"25-&lt;35","35+")))))</x:f>
        <x:v>10-&lt;20</x:v>
      </x:c>
    </x:row>
    <x:row r="3154">
      <x:c r="A3154" t="str">
        <x:v>SYN0003153</x:v>
      </x:c>
      <x:c r="B3154" s="12" t="n">
        <x:v>42295</x:v>
      </x:c>
      <x:c r="C3154" s="18" t="n">
        <x:v>29463</x:v>
      </x:c>
      <x:c r="D3154" s="18" t="n">
        <x:v>44954</x:v>
      </x:c>
      <x:c r="E3154" s="18" t="n">
        <x:v>23.06</x:v>
      </x:c>
      <x:c r="F3154" s="18" t="n">
        <x:v>6.62</x:v>
      </x:c>
      <x:c r="G3154" t="n">
        <x:v>60</x:v>
      </x:c>
      <x:c r="H3154" t="str">
        <x:v>B</x:v>
      </x:c>
      <x:c r="I3154" t="str">
        <x:v>1-3 years</x:v>
      </x:c>
      <x:c r="J3154" t="str">
        <x:v>MORTGAGE</x:v>
      </x:c>
      <x:c r="K3154" t="str">
        <x:v>debt_consolidation</x:v>
      </x:c>
      <x:c r="L3154" t="n">
        <x:v>0</x:v>
      </x:c>
      <x:c r="M3154" t="n">
        <x:v>0</x:v>
      </x:c>
      <x:c r="N3154" t="str">
        <x:v>Fully Paid</x:v>
      </x:c>
      <x:c r="O3154" t="str">
        <x:f>IF(D3154="","Unknown",IF(D3154&lt;25000,"&lt;$25k",IF(D3154&lt;50000,"$25k-$50k",IF(D3154&lt;75000,"$50k-$75k",IF(D3154&lt;100000,"$75k-$100k","$100k+")))))</x:f>
        <x:v>$25k-$50k</x:v>
      </x:c>
      <x:c r="P3154" t="str">
        <x:f>IF(E3154="","Unknown",IF(E3154&lt;10,"&lt;10",IF(E3154&lt;20,"10-&lt;20",IF(E3154&lt;25,"20-&lt;25",IF(E3154&lt;35,"25-&lt;35","35+")))))</x:f>
        <x:v>20-&lt;25</x:v>
      </x:c>
    </x:row>
    <x:row r="3155">
      <x:c r="A3155" t="str">
        <x:v>SYN0003154</x:v>
      </x:c>
      <x:c r="B3155" s="12" t="n">
        <x:v>42805</x:v>
      </x:c>
      <x:c r="C3155" s="18" t="n">
        <x:v>4407</x:v>
      </x:c>
      <x:c r="D3155" s="18" t="n">
        <x:v>49797</x:v>
      </x:c>
      <x:c r="E3155" s="18" t="n">
        <x:v>26.45</x:v>
      </x:c>
      <x:c r="F3155" s="18" t="n">
        <x:v>15.66</x:v>
      </x:c>
      <x:c r="G3155" t="n">
        <x:v>36</x:v>
      </x:c>
      <x:c r="H3155" t="str">
        <x:v>D</x:v>
      </x:c>
      <x:c r="I3155" t="str">
        <x:v>1-3 years</x:v>
      </x:c>
      <x:c r="J3155" t="str">
        <x:v>RENT</x:v>
      </x:c>
      <x:c r="K3155" t="str">
        <x:v>medical</x:v>
      </x:c>
      <x:c r="L3155" t="n">
        <x:v>1</x:v>
      </x:c>
      <x:c r="M3155" t="n">
        <x:v>0</x:v>
      </x:c>
      <x:c r="N3155" t="str">
        <x:v>Fully Paid</x:v>
      </x:c>
      <x:c r="O3155" t="str">
        <x:f>IF(D3155="","Unknown",IF(D3155&lt;25000,"&lt;$25k",IF(D3155&lt;50000,"$25k-$50k",IF(D3155&lt;75000,"$50k-$75k",IF(D3155&lt;100000,"$75k-$100k","$100k+")))))</x:f>
        <x:v>$25k-$50k</x:v>
      </x:c>
      <x:c r="P3155" t="str">
        <x:f>IF(E3155="","Unknown",IF(E3155&lt;10,"&lt;10",IF(E3155&lt;20,"10-&lt;20",IF(E3155&lt;25,"20-&lt;25",IF(E3155&lt;35,"25-&lt;35","35+")))))</x:f>
        <x:v>25-&lt;35</x:v>
      </x:c>
    </x:row>
    <x:row r="3156">
      <x:c r="A3156" t="str">
        <x:v>SYN0003155</x:v>
      </x:c>
      <x:c r="B3156" s="12" t="n">
        <x:v>42175</x:v>
      </x:c>
      <x:c r="C3156" s="18" t="n">
        <x:v>4641</x:v>
      </x:c>
      <x:c r="D3156" s="18" t="n">
        <x:v>84171</x:v>
      </x:c>
      <x:c r="E3156" s="18" t="n">
        <x:v>22.57</x:v>
      </x:c>
      <x:c r="F3156" s="18" t="n">
        <x:v>12.57</x:v>
      </x:c>
      <x:c r="G3156" t="n">
        <x:v>60</x:v>
      </x:c>
      <x:c r="H3156" t="str">
        <x:v>C</x:v>
      </x:c>
      <x:c r="I3156" t="str">
        <x:v>10+ years</x:v>
      </x:c>
      <x:c r="J3156" t="str">
        <x:v>OWN</x:v>
      </x:c>
      <x:c r="K3156" t="str">
        <x:v>debt_consolidation</x:v>
      </x:c>
      <x:c r="L3156" t="n">
        <x:v>1</x:v>
      </x:c>
      <x:c r="M3156" t="n">
        <x:v>0</x:v>
      </x:c>
      <x:c r="N3156" t="str">
        <x:v>Fully Paid</x:v>
      </x:c>
      <x:c r="O3156" t="str">
        <x:f>IF(D3156="","Unknown",IF(D3156&lt;25000,"&lt;$25k",IF(D3156&lt;50000,"$25k-$50k",IF(D3156&lt;75000,"$50k-$75k",IF(D3156&lt;100000,"$75k-$100k","$100k+")))))</x:f>
        <x:v>$75k-$100k</x:v>
      </x:c>
      <x:c r="P3156" t="str">
        <x:f>IF(E3156="","Unknown",IF(E3156&lt;10,"&lt;10",IF(E3156&lt;20,"10-&lt;20",IF(E3156&lt;25,"20-&lt;25",IF(E3156&lt;35,"25-&lt;35","35+")))))</x:f>
        <x:v>20-&lt;25</x:v>
      </x:c>
    </x:row>
    <x:row r="3157">
      <x:c r="A3157" t="str">
        <x:v>SYN0003156</x:v>
      </x:c>
      <x:c r="B3157" s="12" t="n">
        <x:v>42025</x:v>
      </x:c>
      <x:c r="C3157" s="18" t="n">
        <x:v>18541</x:v>
      </x:c>
      <x:c r="D3157" s="18" t="n">
        <x:v>42137</x:v>
      </x:c>
      <x:c r="E3157" s="18" t="n">
        <x:v>28.92</x:v>
      </x:c>
      <x:c r="F3157" s="18" t="n">
        <x:v>10.46</x:v>
      </x:c>
      <x:c r="G3157" t="n">
        <x:v>36</x:v>
      </x:c>
      <x:c r="H3157" t="str">
        <x:v>C</x:v>
      </x:c>
      <x:c r="I3157" t="str">
        <x:v>10+ years</x:v>
      </x:c>
      <x:c r="J3157" t="str">
        <x:v>OWN</x:v>
      </x:c>
      <x:c r="K3157" t="str">
        <x:v>debt_consolidation</x:v>
      </x:c>
      <x:c r="L3157" t="n">
        <x:v>0</x:v>
      </x:c>
      <x:c r="M3157" t="n">
        <x:v>0</x:v>
      </x:c>
      <x:c r="N3157" t="str">
        <x:v>Fully Paid</x:v>
      </x:c>
      <x:c r="O3157" t="str">
        <x:f>IF(D3157="","Unknown",IF(D3157&lt;25000,"&lt;$25k",IF(D3157&lt;50000,"$25k-$50k",IF(D3157&lt;75000,"$50k-$75k",IF(D3157&lt;100000,"$75k-$100k","$100k+")))))</x:f>
        <x:v>$25k-$50k</x:v>
      </x:c>
      <x:c r="P3157" t="str">
        <x:f>IF(E3157="","Unknown",IF(E3157&lt;10,"&lt;10",IF(E3157&lt;20,"10-&lt;20",IF(E3157&lt;25,"20-&lt;25",IF(E3157&lt;35,"25-&lt;35","35+")))))</x:f>
        <x:v>25-&lt;35</x:v>
      </x:c>
    </x:row>
    <x:row r="3158">
      <x:c r="A3158" t="str">
        <x:v>SYN0003157</x:v>
      </x:c>
      <x:c r="B3158" s="12" t="n">
        <x:v>42505</x:v>
      </x:c>
      <x:c r="C3158" s="18" t="n">
        <x:v>9035</x:v>
      </x:c>
      <x:c r="D3158" s="18" t="n">
        <x:v>36007</x:v>
      </x:c>
      <x:c r="E3158" s="18" t="n">
        <x:v>1.99</x:v>
      </x:c>
      <x:c r="F3158" s="18" t="n">
        <x:v>10.76</x:v>
      </x:c>
      <x:c r="G3158" t="n">
        <x:v>36</x:v>
      </x:c>
      <x:c r="H3158" t="str">
        <x:v>C</x:v>
      </x:c>
      <x:c r="I3158" t="str">
        <x:v>1-3 years</x:v>
      </x:c>
      <x:c r="J3158" t="str">
        <x:v>OWN</x:v>
      </x:c>
      <x:c r="K3158" t="str">
        <x:v>debt_consolidation</x:v>
      </x:c>
      <x:c r="L3158" t="n">
        <x:v>1</x:v>
      </x:c>
      <x:c r="M3158" t="n">
        <x:v>0</x:v>
      </x:c>
      <x:c r="N3158" t="str">
        <x:v>Fully Paid</x:v>
      </x:c>
      <x:c r="O3158" t="str">
        <x:f>IF(D3158="","Unknown",IF(D3158&lt;25000,"&lt;$25k",IF(D3158&lt;50000,"$25k-$50k",IF(D3158&lt;75000,"$50k-$75k",IF(D3158&lt;100000,"$75k-$100k","$100k+")))))</x:f>
        <x:v>$25k-$50k</x:v>
      </x:c>
      <x:c r="P3158" t="str">
        <x:f>IF(E3158="","Unknown",IF(E3158&lt;10,"&lt;10",IF(E3158&lt;20,"10-&lt;20",IF(E3158&lt;25,"20-&lt;25",IF(E3158&lt;35,"25-&lt;35","35+")))))</x:f>
        <x:v>&lt;10</x:v>
      </x:c>
    </x:row>
    <x:row r="3159">
      <x:c r="A3159" t="str">
        <x:v>SYN0003158</x:v>
      </x:c>
      <x:c r="B3159" s="12" t="n">
        <x:v>43255</x:v>
      </x:c>
      <x:c r="C3159" s="18" t="n">
        <x:v>11805</x:v>
      </x:c>
      <x:c r="D3159" s="18" t="n">
        <x:v>53272</x:v>
      </x:c>
      <x:c r="E3159" s="18" t="n">
        <x:v>24.86</x:v>
      </x:c>
      <x:c r="F3159" s="18" t="n">
        <x:v>11.65</x:v>
      </x:c>
      <x:c r="G3159" t="n">
        <x:v>60</x:v>
      </x:c>
      <x:c r="H3159" t="str">
        <x:v>C</x:v>
      </x:c>
      <x:c r="I3159" t="str">
        <x:v>10+ years</x:v>
      </x:c>
      <x:c r="J3159" t="str">
        <x:v>MORTGAGE</x:v>
      </x:c>
      <x:c r="K3159" t="str">
        <x:v>other</x:v>
      </x:c>
      <x:c r="L3159" t="n">
        <x:v>0</x:v>
      </x:c>
      <x:c r="M3159" t="n">
        <x:v>0</x:v>
      </x:c>
      <x:c r="N3159" t="str">
        <x:v>Fully Paid</x:v>
      </x:c>
      <x:c r="O3159" t="str">
        <x:f>IF(D3159="","Unknown",IF(D3159&lt;25000,"&lt;$25k",IF(D3159&lt;50000,"$25k-$50k",IF(D3159&lt;75000,"$50k-$75k",IF(D3159&lt;100000,"$75k-$100k","$100k+")))))</x:f>
        <x:v>$50k-$75k</x:v>
      </x:c>
      <x:c r="P3159" t="str">
        <x:f>IF(E3159="","Unknown",IF(E3159&lt;10,"&lt;10",IF(E3159&lt;20,"10-&lt;20",IF(E3159&lt;25,"20-&lt;25",IF(E3159&lt;35,"25-&lt;35","35+")))))</x:f>
        <x:v>20-&lt;25</x:v>
      </x:c>
    </x:row>
    <x:row r="3160">
      <x:c r="A3160" t="str">
        <x:v>SYN0003159</x:v>
      </x:c>
      <x:c r="B3160" s="12" t="n">
        <x:v>41515</x:v>
      </x:c>
      <x:c r="C3160" s="18" t="n">
        <x:v>11974</x:v>
      </x:c>
      <x:c r="D3160" s="18" t="n">
        <x:v>12000</x:v>
      </x:c>
      <x:c r="E3160" s="18" t="n">
        <x:v>7.65</x:v>
      </x:c>
      <x:c r="F3160" s="18" t="n">
        <x:v>7.57</x:v>
      </x:c>
      <x:c r="G3160" t="n">
        <x:v>36</x:v>
      </x:c>
      <x:c r="H3160" t="str">
        <x:v>B</x:v>
      </x:c>
      <x:c r="I3160" t="str">
        <x:v>4-6 years</x:v>
      </x:c>
      <x:c r="J3160" t="str">
        <x:v>OWN</x:v>
      </x:c>
      <x:c r="K3160" t="str">
        <x:v>home_improvement</x:v>
      </x:c>
      <x:c r="L3160" t="n">
        <x:v>0</x:v>
      </x:c>
      <x:c r="M3160" t="n">
        <x:v>0</x:v>
      </x:c>
      <x:c r="N3160" t="str">
        <x:v>Fully Paid</x:v>
      </x:c>
      <x:c r="O3160" t="str">
        <x:f>IF(D3160="","Unknown",IF(D3160&lt;25000,"&lt;$25k",IF(D3160&lt;50000,"$25k-$50k",IF(D3160&lt;75000,"$50k-$75k",IF(D3160&lt;100000,"$75k-$100k","$100k+")))))</x:f>
        <x:v>&lt;$25k</x:v>
      </x:c>
      <x:c r="P3160" t="str">
        <x:f>IF(E3160="","Unknown",IF(E3160&lt;10,"&lt;10",IF(E3160&lt;20,"10-&lt;20",IF(E3160&lt;25,"20-&lt;25",IF(E3160&lt;35,"25-&lt;35","35+")))))</x:f>
        <x:v>&lt;10</x:v>
      </x:c>
    </x:row>
    <x:row r="3161">
      <x:c r="A3161" t="str">
        <x:v>SYN0003160</x:v>
      </x:c>
      <x:c r="B3161" s="12" t="n">
        <x:v>42715</x:v>
      </x:c>
      <x:c r="C3161" s="18" t="n">
        <x:v>9358</x:v>
      </x:c>
      <x:c r="D3161" s="18" t="n">
        <x:v>38530</x:v>
      </x:c>
      <x:c r="E3161" s="18" t="n">
        <x:v>5.15</x:v>
      </x:c>
      <x:c r="F3161" s="18" t="n">
        <x:v>14.43</x:v>
      </x:c>
      <x:c r="G3161" t="n">
        <x:v>36</x:v>
      </x:c>
      <x:c r="H3161" t="str">
        <x:v>D</x:v>
      </x:c>
      <x:c r="I3161" t="str">
        <x:v>7-9 years</x:v>
      </x:c>
      <x:c r="J3161" t="str">
        <x:v>RENT</x:v>
      </x:c>
      <x:c r="K3161" t="str">
        <x:v>credit_card</x:v>
      </x:c>
      <x:c r="L3161" t="n">
        <x:v>1</x:v>
      </x:c>
      <x:c r="M3161" t="n">
        <x:v>0</x:v>
      </x:c>
      <x:c r="N3161" t="str">
        <x:v>Fully Paid</x:v>
      </x:c>
      <x:c r="O3161" t="str">
        <x:f>IF(D3161="","Unknown",IF(D3161&lt;25000,"&lt;$25k",IF(D3161&lt;50000,"$25k-$50k",IF(D3161&lt;75000,"$50k-$75k",IF(D3161&lt;100000,"$75k-$100k","$100k+")))))</x:f>
        <x:v>$25k-$50k</x:v>
      </x:c>
      <x:c r="P3161" t="str">
        <x:f>IF(E3161="","Unknown",IF(E3161&lt;10,"&lt;10",IF(E3161&lt;20,"10-&lt;20",IF(E3161&lt;25,"20-&lt;25",IF(E3161&lt;35,"25-&lt;35","35+")))))</x:f>
        <x:v>&lt;10</x:v>
      </x:c>
    </x:row>
    <x:row r="3162">
      <x:c r="A3162" t="str">
        <x:v>SYN0003161</x:v>
      </x:c>
      <x:c r="B3162" s="12" t="n">
        <x:v>42925</x:v>
      </x:c>
      <x:c r="C3162" s="18" t="n">
        <x:v>13685</x:v>
      </x:c>
      <x:c r="D3162" s="18" t="n">
        <x:v>83727</x:v>
      </x:c>
      <x:c r="E3162" s="18" t="n">
        <x:v>22.84</x:v>
      </x:c>
      <x:c r="F3162" s="18" t="n">
        <x:v>14.19</x:v>
      </x:c>
      <x:c r="G3162" t="n">
        <x:v>60</x:v>
      </x:c>
      <x:c r="H3162" t="str">
        <x:v>D</x:v>
      </x:c>
      <x:c r="I3162" t="str">
        <x:v>&lt;1 year</x:v>
      </x:c>
      <x:c r="J3162" t="str">
        <x:v>MORTGAGE</x:v>
      </x:c>
      <x:c r="K3162" t="str">
        <x:v>home_improvement</x:v>
      </x:c>
      <x:c r="L3162" t="n">
        <x:v>0</x:v>
      </x:c>
      <x:c r="M3162" t="n">
        <x:v>0</x:v>
      </x:c>
      <x:c r="N3162" t="str">
        <x:v>Fully Paid</x:v>
      </x:c>
      <x:c r="O3162" t="str">
        <x:f>IF(D3162="","Unknown",IF(D3162&lt;25000,"&lt;$25k",IF(D3162&lt;50000,"$25k-$50k",IF(D3162&lt;75000,"$50k-$75k",IF(D3162&lt;100000,"$75k-$100k","$100k+")))))</x:f>
        <x:v>$75k-$100k</x:v>
      </x:c>
      <x:c r="P3162" t="str">
        <x:f>IF(E3162="","Unknown",IF(E3162&lt;10,"&lt;10",IF(E3162&lt;20,"10-&lt;20",IF(E3162&lt;25,"20-&lt;25",IF(E3162&lt;35,"25-&lt;35","35+")))))</x:f>
        <x:v>20-&lt;25</x:v>
      </x:c>
    </x:row>
    <x:row r="3163">
      <x:c r="A3163" t="str">
        <x:v>SYN0003162</x:v>
      </x:c>
      <x:c r="B3163" s="12" t="n">
        <x:v>43345</x:v>
      </x:c>
      <x:c r="C3163" s="18" t="n">
        <x:v>17982</x:v>
      </x:c>
      <x:c r="D3163" s="18" t="n">
        <x:v>20471</x:v>
      </x:c>
      <x:c r="E3163" s="18" t="n">
        <x:v>42.42</x:v>
      </x:c>
      <x:c r="F3163" s="18" t="n">
        <x:v>13.31</x:v>
      </x:c>
      <x:c r="G3163" t="n">
        <x:v>36</x:v>
      </x:c>
      <x:c r="H3163" t="str">
        <x:v>D</x:v>
      </x:c>
      <x:c r="I3163" t="str">
        <x:v>4-6 years</x:v>
      </x:c>
      <x:c r="J3163" t="str">
        <x:v>OWN</x:v>
      </x:c>
      <x:c r="K3163" t="str">
        <x:v>debt_consolidation</x:v>
      </x:c>
      <x:c r="L3163" t="n">
        <x:v>2</x:v>
      </x:c>
      <x:c r="M3163" t="n">
        <x:v>0</x:v>
      </x:c>
      <x:c r="N3163" t="str">
        <x:v>Fully Paid</x:v>
      </x:c>
      <x:c r="O3163" t="str">
        <x:f>IF(D3163="","Unknown",IF(D3163&lt;25000,"&lt;$25k",IF(D3163&lt;50000,"$25k-$50k",IF(D3163&lt;75000,"$50k-$75k",IF(D3163&lt;100000,"$75k-$100k","$100k+")))))</x:f>
        <x:v>&lt;$25k</x:v>
      </x:c>
      <x:c r="P3163" t="str">
        <x:f>IF(E3163="","Unknown",IF(E3163&lt;10,"&lt;10",IF(E3163&lt;20,"10-&lt;20",IF(E3163&lt;25,"20-&lt;25",IF(E3163&lt;35,"25-&lt;35","35+")))))</x:f>
        <x:v>35+</x:v>
      </x:c>
    </x:row>
    <x:row r="3164">
      <x:c r="A3164" t="str">
        <x:v>SYN0003163</x:v>
      </x:c>
      <x:c r="B3164" s="12" t="n">
        <x:v>42175</x:v>
      </x:c>
      <x:c r="C3164" s="18" t="n">
        <x:v>16721</x:v>
      </x:c>
      <x:c r="D3164" s="18" t="n">
        <x:v>15187</x:v>
      </x:c>
      <x:c r="E3164" s="18" t="n">
        <x:v>19.81</x:v>
      </x:c>
      <x:c r="F3164" s="18" t="n">
        <x:v>5</x:v>
      </x:c>
      <x:c r="G3164" t="n">
        <x:v>36</x:v>
      </x:c>
      <x:c r="H3164" t="str">
        <x:v>B</x:v>
      </x:c>
      <x:c r="I3164" t="str">
        <x:v>10+ years</x:v>
      </x:c>
      <x:c r="J3164" t="str">
        <x:v>MORTGAGE</x:v>
      </x:c>
      <x:c r="K3164" t="str">
        <x:v>debt_consolidation</x:v>
      </x:c>
      <x:c r="L3164" t="n">
        <x:v>0</x:v>
      </x:c>
      <x:c r="M3164" t="n">
        <x:v>0</x:v>
      </x:c>
      <x:c r="N3164" t="str">
        <x:v>Fully Paid</x:v>
      </x:c>
      <x:c r="O3164" t="str">
        <x:f>IF(D3164="","Unknown",IF(D3164&lt;25000,"&lt;$25k",IF(D3164&lt;50000,"$25k-$50k",IF(D3164&lt;75000,"$50k-$75k",IF(D3164&lt;100000,"$75k-$100k","$100k+")))))</x:f>
        <x:v>&lt;$25k</x:v>
      </x:c>
      <x:c r="P3164" t="str">
        <x:f>IF(E3164="","Unknown",IF(E3164&lt;10,"&lt;10",IF(E3164&lt;20,"10-&lt;20",IF(E3164&lt;25,"20-&lt;25",IF(E3164&lt;35,"25-&lt;35","35+")))))</x:f>
        <x:v>10-&lt;20</x:v>
      </x:c>
    </x:row>
    <x:row r="3165">
      <x:c r="A3165" t="str">
        <x:v>SYN0003164</x:v>
      </x:c>
      <x:c r="B3165" s="12" t="n">
        <x:v>43165</x:v>
      </x:c>
      <x:c r="C3165" s="18" t="n">
        <x:v>12882</x:v>
      </x:c>
      <x:c r="D3165" s="18" t="n">
        <x:v>66842</x:v>
      </x:c>
      <x:c r="E3165" s="18" t="n">
        <x:v>32.69</x:v>
      </x:c>
      <x:c r="F3165" s="18" t="n">
        <x:v>21.51</x:v>
      </x:c>
      <x:c r="G3165" t="n">
        <x:v>36</x:v>
      </x:c>
      <x:c r="H3165" t="str">
        <x:v>E</x:v>
      </x:c>
      <x:c r="I3165" t="str">
        <x:v>1-3 years</x:v>
      </x:c>
      <x:c r="J3165" t="str">
        <x:v>RENT</x:v>
      </x:c>
      <x:c r="K3165" t="str">
        <x:v>medical</x:v>
      </x:c>
      <x:c r="L3165" t="n">
        <x:v>0</x:v>
      </x:c>
      <x:c r="M3165" t="n">
        <x:v>0</x:v>
      </x:c>
      <x:c r="N3165" t="str">
        <x:v>Fully Paid</x:v>
      </x:c>
      <x:c r="O3165" t="str">
        <x:f>IF(D3165="","Unknown",IF(D3165&lt;25000,"&lt;$25k",IF(D3165&lt;50000,"$25k-$50k",IF(D3165&lt;75000,"$50k-$75k",IF(D3165&lt;100000,"$75k-$100k","$100k+")))))</x:f>
        <x:v>$50k-$75k</x:v>
      </x:c>
      <x:c r="P3165" t="str">
        <x:f>IF(E3165="","Unknown",IF(E3165&lt;10,"&lt;10",IF(E3165&lt;20,"10-&lt;20",IF(E3165&lt;25,"20-&lt;25",IF(E3165&lt;35,"25-&lt;35","35+")))))</x:f>
        <x:v>25-&lt;35</x:v>
      </x:c>
    </x:row>
    <x:row r="3166">
      <x:c r="A3166" t="str">
        <x:v>SYN0003165</x:v>
      </x:c>
      <x:c r="B3166" s="12" t="n">
        <x:v>41515</x:v>
      </x:c>
      <x:c r="C3166" s="18" t="n">
        <x:v>12333</x:v>
      </x:c>
      <x:c r="D3166" s="18" t="n">
        <x:v>65427</x:v>
      </x:c>
      <x:c r="E3166" s="18" t="n">
        <x:v>18.94</x:v>
      </x:c>
      <x:c r="F3166" s="18" t="n">
        <x:v>5.81</x:v>
      </x:c>
      <x:c r="G3166" t="n">
        <x:v>36</x:v>
      </x:c>
      <x:c r="H3166" t="str">
        <x:v>B</x:v>
      </x:c>
      <x:c r="I3166" t="str">
        <x:v>1-3 years</x:v>
      </x:c>
      <x:c r="J3166" t="str">
        <x:v>OWN</x:v>
      </x:c>
      <x:c r="K3166" t="str">
        <x:v>credit_card</x:v>
      </x:c>
      <x:c r="L3166" t="n">
        <x:v>1</x:v>
      </x:c>
      <x:c r="M3166" t="n">
        <x:v>0</x:v>
      </x:c>
      <x:c r="N3166" t="str">
        <x:v>Fully Paid</x:v>
      </x:c>
      <x:c r="O3166" t="str">
        <x:f>IF(D3166="","Unknown",IF(D3166&lt;25000,"&lt;$25k",IF(D3166&lt;50000,"$25k-$50k",IF(D3166&lt;75000,"$50k-$75k",IF(D3166&lt;100000,"$75k-$100k","$100k+")))))</x:f>
        <x:v>$50k-$75k</x:v>
      </x:c>
      <x:c r="P3166" t="str">
        <x:f>IF(E3166="","Unknown",IF(E3166&lt;10,"&lt;10",IF(E3166&lt;20,"10-&lt;20",IF(E3166&lt;25,"20-&lt;25",IF(E3166&lt;35,"25-&lt;35","35+")))))</x:f>
        <x:v>10-&lt;20</x:v>
      </x:c>
    </x:row>
    <x:row r="3167">
      <x:c r="A3167" t="str">
        <x:v>SYN0003166</x:v>
      </x:c>
      <x:c r="B3167" s="12" t="n">
        <x:v>43015</x:v>
      </x:c>
      <x:c r="C3167" s="18" t="n">
        <x:v>17614</x:v>
      </x:c>
      <x:c r="D3167" s="18" t="n">
        <x:v>41986</x:v>
      </x:c>
      <x:c r="E3167" s="18" t="n">
        <x:v>31.43</x:v>
      </x:c>
      <x:c r="F3167" s="18" t="n">
        <x:v>22.8</x:v>
      </x:c>
      <x:c r="G3167" t="n">
        <x:v>36</x:v>
      </x:c>
      <x:c r="H3167" t="str">
        <x:v>G</x:v>
      </x:c>
      <x:c r="I3167" t="str">
        <x:v>1-3 years</x:v>
      </x:c>
      <x:c r="J3167" t="str">
        <x:v>MORTGAGE</x:v>
      </x:c>
      <x:c r="K3167" t="str">
        <x:v>debt_consolidation</x:v>
      </x:c>
      <x:c r="L3167" t="n">
        <x:v>0</x:v>
      </x:c>
      <x:c r="M3167" t="n">
        <x:v>0</x:v>
      </x:c>
      <x:c r="N3167" t="str">
        <x:v>Fully Paid</x:v>
      </x:c>
      <x:c r="O3167" t="str">
        <x:f>IF(D3167="","Unknown",IF(D3167&lt;25000,"&lt;$25k",IF(D3167&lt;50000,"$25k-$50k",IF(D3167&lt;75000,"$50k-$75k",IF(D3167&lt;100000,"$75k-$100k","$100k+")))))</x:f>
        <x:v>$25k-$50k</x:v>
      </x:c>
      <x:c r="P3167" t="str">
        <x:f>IF(E3167="","Unknown",IF(E3167&lt;10,"&lt;10",IF(E3167&lt;20,"10-&lt;20",IF(E3167&lt;25,"20-&lt;25",IF(E3167&lt;35,"25-&lt;35","35+")))))</x:f>
        <x:v>25-&lt;35</x:v>
      </x:c>
    </x:row>
    <x:row r="3168">
      <x:c r="A3168" t="str">
        <x:v>SYN0003167</x:v>
      </x:c>
      <x:c r="B3168" s="12" t="n">
        <x:v>41665</x:v>
      </x:c>
      <x:c r="C3168" s="18" t="n">
        <x:v>12477</x:v>
      </x:c>
      <x:c r="D3168" s="18" t="n">
        <x:v>28672</x:v>
      </x:c>
      <x:c r="E3168" s="18" t="n">
        <x:v>37.03</x:v>
      </x:c>
      <x:c r="F3168" s="18" t="n">
        <x:v>21.7</x:v>
      </x:c>
      <x:c r="G3168" t="n">
        <x:v>36</x:v>
      </x:c>
      <x:c r="H3168" t="str">
        <x:v>F</x:v>
      </x:c>
      <x:c r="I3168" t="str">
        <x:v>7-9 years</x:v>
      </x:c>
      <x:c r="J3168" t="str">
        <x:v>RENT</x:v>
      </x:c>
      <x:c r="K3168" t="str">
        <x:v>credit_card</x:v>
      </x:c>
      <x:c r="L3168" t="n">
        <x:v>2</x:v>
      </x:c>
      <x:c r="M3168" t="n">
        <x:v>0</x:v>
      </x:c>
      <x:c r="N3168" t="str">
        <x:v>Fully Paid</x:v>
      </x:c>
      <x:c r="O3168" t="str">
        <x:f>IF(D3168="","Unknown",IF(D3168&lt;25000,"&lt;$25k",IF(D3168&lt;50000,"$25k-$50k",IF(D3168&lt;75000,"$50k-$75k",IF(D3168&lt;100000,"$75k-$100k","$100k+")))))</x:f>
        <x:v>$25k-$50k</x:v>
      </x:c>
      <x:c r="P3168" t="str">
        <x:f>IF(E3168="","Unknown",IF(E3168&lt;10,"&lt;10",IF(E3168&lt;20,"10-&lt;20",IF(E3168&lt;25,"20-&lt;25",IF(E3168&lt;35,"25-&lt;35","35+")))))</x:f>
        <x:v>35+</x:v>
      </x:c>
    </x:row>
    <x:row r="3169">
      <x:c r="A3169" t="str">
        <x:v>SYN0003168</x:v>
      </x:c>
      <x:c r="B3169" s="12" t="n">
        <x:v>41455</x:v>
      </x:c>
      <x:c r="C3169" s="18" t="n">
        <x:v>27751</x:v>
      </x:c>
      <x:c r="D3169" s="18" t="n">
        <x:v>73726</x:v>
      </x:c>
      <x:c r="E3169" s="18" t="n">
        <x:v>13.43</x:v>
      </x:c>
      <x:c r="F3169" s="18" t="n">
        <x:v>11.12</x:v>
      </x:c>
      <x:c r="G3169" t="n">
        <x:v>60</x:v>
      </x:c>
      <x:c r="H3169" t="str">
        <x:v>D</x:v>
      </x:c>
      <x:c r="I3169" t="str">
        <x:v>10+ years</x:v>
      </x:c>
      <x:c r="J3169" t="str">
        <x:v>MORTGAGE</x:v>
      </x:c>
      <x:c r="K3169" t="str">
        <x:v>debt_consolidation</x:v>
      </x:c>
      <x:c r="L3169" t="n">
        <x:v>0</x:v>
      </x:c>
      <x:c r="M3169" t="n">
        <x:v>1</x:v>
      </x:c>
      <x:c r="N3169" t="str">
        <x:v>Charged Off</x:v>
      </x:c>
      <x:c r="O3169" t="str">
        <x:f>IF(D3169="","Unknown",IF(D3169&lt;25000,"&lt;$25k",IF(D3169&lt;50000,"$25k-$50k",IF(D3169&lt;75000,"$50k-$75k",IF(D3169&lt;100000,"$75k-$100k","$100k+")))))</x:f>
        <x:v>$50k-$75k</x:v>
      </x:c>
      <x:c r="P3169" t="str">
        <x:f>IF(E3169="","Unknown",IF(E3169&lt;10,"&lt;10",IF(E3169&lt;20,"10-&lt;20",IF(E3169&lt;25,"20-&lt;25",IF(E3169&lt;35,"25-&lt;35","35+")))))</x:f>
        <x:v>10-&lt;20</x:v>
      </x:c>
    </x:row>
    <x:row r="3170">
      <x:c r="A3170" t="str">
        <x:v>SYN0003169</x:v>
      </x:c>
      <x:c r="B3170" s="12" t="n">
        <x:v>43315</x:v>
      </x:c>
      <x:c r="C3170" s="18" t="n">
        <x:v>8775</x:v>
      </x:c>
      <x:c r="D3170" s="18" t="n">
        <x:v>99285</x:v>
      </x:c>
      <x:c r="E3170" s="18" t="n">
        <x:v>22.01</x:v>
      </x:c>
      <x:c r="F3170" s="18" t="n">
        <x:v>12.37</x:v>
      </x:c>
      <x:c r="G3170" t="n">
        <x:v>60</x:v>
      </x:c>
      <x:c r="H3170" t="str">
        <x:v>C</x:v>
      </x:c>
      <x:c r="I3170" t="str">
        <x:v>7-9 years</x:v>
      </x:c>
      <x:c r="J3170" t="str">
        <x:v>RENT</x:v>
      </x:c>
      <x:c r="K3170" t="str">
        <x:v>debt_consolidation</x:v>
      </x:c>
      <x:c r="L3170" t="n">
        <x:v>0</x:v>
      </x:c>
      <x:c r="M3170" t="n">
        <x:v>0</x:v>
      </x:c>
      <x:c r="N3170" t="str">
        <x:v>Fully Paid</x:v>
      </x:c>
      <x:c r="O3170" t="str">
        <x:f>IF(D3170="","Unknown",IF(D3170&lt;25000,"&lt;$25k",IF(D3170&lt;50000,"$25k-$50k",IF(D3170&lt;75000,"$50k-$75k",IF(D3170&lt;100000,"$75k-$100k","$100k+")))))</x:f>
        <x:v>$75k-$100k</x:v>
      </x:c>
      <x:c r="P3170" t="str">
        <x:f>IF(E3170="","Unknown",IF(E3170&lt;10,"&lt;10",IF(E3170&lt;20,"10-&lt;20",IF(E3170&lt;25,"20-&lt;25",IF(E3170&lt;35,"25-&lt;35","35+")))))</x:f>
        <x:v>20-&lt;25</x:v>
      </x:c>
    </x:row>
    <x:row r="3171">
      <x:c r="A3171" t="str">
        <x:v>SYN0003170</x:v>
      </x:c>
      <x:c r="B3171" s="12" t="n">
        <x:v>43225</x:v>
      </x:c>
      <x:c r="C3171" s="18" t="n">
        <x:v>14585</x:v>
      </x:c>
      <x:c r="D3171" s="18" t="n">
        <x:v>55757</x:v>
      </x:c>
      <x:c r="E3171" s="18" t="n">
        <x:v>21.53</x:v>
      </x:c>
      <x:c r="F3171" s="18" t="n">
        <x:v>11.9</x:v>
      </x:c>
      <x:c r="G3171" t="n">
        <x:v>60</x:v>
      </x:c>
      <x:c r="H3171" t="str">
        <x:v>D</x:v>
      </x:c>
      <x:c r="I3171" t="str">
        <x:v>4-6 years</x:v>
      </x:c>
      <x:c r="J3171" t="str">
        <x:v>MORTGAGE</x:v>
      </x:c>
      <x:c r="K3171" t="str">
        <x:v>debt_consolidation</x:v>
      </x:c>
      <x:c r="L3171" t="n">
        <x:v>0</x:v>
      </x:c>
      <x:c r="M3171" t="n">
        <x:v>0</x:v>
      </x:c>
      <x:c r="N3171" t="str">
        <x:v>Fully Paid</x:v>
      </x:c>
      <x:c r="O3171" t="str">
        <x:f>IF(D3171="","Unknown",IF(D3171&lt;25000,"&lt;$25k",IF(D3171&lt;50000,"$25k-$50k",IF(D3171&lt;75000,"$50k-$75k",IF(D3171&lt;100000,"$75k-$100k","$100k+")))))</x:f>
        <x:v>$50k-$75k</x:v>
      </x:c>
      <x:c r="P3171" t="str">
        <x:f>IF(E3171="","Unknown",IF(E3171&lt;10,"&lt;10",IF(E3171&lt;20,"10-&lt;20",IF(E3171&lt;25,"20-&lt;25",IF(E3171&lt;35,"25-&lt;35","35+")))))</x:f>
        <x:v>20-&lt;25</x:v>
      </x:c>
    </x:row>
    <x:row r="3172">
      <x:c r="A3172" t="str">
        <x:v>SYN0003171</x:v>
      </x:c>
      <x:c r="B3172" s="12" t="n">
        <x:v>43375</x:v>
      </x:c>
      <x:c r="C3172" s="18" t="n">
        <x:v>10264</x:v>
      </x:c>
      <x:c r="D3172" s="18" t="n">
        <x:v>200208</x:v>
      </x:c>
      <x:c r="E3172" s="18" t="n">
        <x:v>20.4</x:v>
      </x:c>
      <x:c r="F3172" s="18" t="n">
        <x:v>9.68</x:v>
      </x:c>
      <x:c r="G3172" t="n">
        <x:v>60</x:v>
      </x:c>
      <x:c r="H3172" t="str">
        <x:v>B</x:v>
      </x:c>
      <x:c r="I3172" t="str">
        <x:v>&lt;1 year</x:v>
      </x:c>
      <x:c r="J3172" t="str">
        <x:v>RENT</x:v>
      </x:c>
      <x:c r="K3172" t="str">
        <x:v>debt_consolidation</x:v>
      </x:c>
      <x:c r="L3172" t="n">
        <x:v>0</x:v>
      </x:c>
      <x:c r="M3172" t="n">
        <x:v>0</x:v>
      </x:c>
      <x:c r="N3172" t="str">
        <x:v>Fully Paid</x:v>
      </x:c>
      <x:c r="O3172" t="str">
        <x:f>IF(D3172="","Unknown",IF(D3172&lt;25000,"&lt;$25k",IF(D3172&lt;50000,"$25k-$50k",IF(D3172&lt;75000,"$50k-$75k",IF(D3172&lt;100000,"$75k-$100k","$100k+")))))</x:f>
        <x:v>$100k+</x:v>
      </x:c>
      <x:c r="P3172" t="str">
        <x:f>IF(E3172="","Unknown",IF(E3172&lt;10,"&lt;10",IF(E3172&lt;20,"10-&lt;20",IF(E3172&lt;25,"20-&lt;25",IF(E3172&lt;35,"25-&lt;35","35+")))))</x:f>
        <x:v>20-&lt;25</x:v>
      </x:c>
    </x:row>
    <x:row r="3173">
      <x:c r="A3173" t="str">
        <x:v>SYN0003172</x:v>
      </x:c>
      <x:c r="B3173" s="12" t="n">
        <x:v>41515</x:v>
      </x:c>
      <x:c r="C3173" s="18" t="n">
        <x:v>5207</x:v>
      </x:c>
      <x:c r="D3173" s="18" t="n">
        <x:v>35338</x:v>
      </x:c>
      <x:c r="E3173" s="18" t="n">
        <x:v>21.63</x:v>
      </x:c>
      <x:c r="F3173" s="18" t="n">
        <x:v>10.89</x:v>
      </x:c>
      <x:c r="G3173" t="n">
        <x:v>60</x:v>
      </x:c>
      <x:c r="H3173" t="str">
        <x:v>C</x:v>
      </x:c>
      <x:c r="I3173" t="str">
        <x:v>4-6 years</x:v>
      </x:c>
      <x:c r="J3173" t="str">
        <x:v>RENT</x:v>
      </x:c>
      <x:c r="K3173" t="str">
        <x:v>credit_card</x:v>
      </x:c>
      <x:c r="L3173" t="n">
        <x:v>2</x:v>
      </x:c>
      <x:c r="M3173" t="n">
        <x:v>0</x:v>
      </x:c>
      <x:c r="N3173" t="str">
        <x:v>Fully Paid</x:v>
      </x:c>
      <x:c r="O3173" t="str">
        <x:f>IF(D3173="","Unknown",IF(D3173&lt;25000,"&lt;$25k",IF(D3173&lt;50000,"$25k-$50k",IF(D3173&lt;75000,"$50k-$75k",IF(D3173&lt;100000,"$75k-$100k","$100k+")))))</x:f>
        <x:v>$25k-$50k</x:v>
      </x:c>
      <x:c r="P3173" t="str">
        <x:f>IF(E3173="","Unknown",IF(E3173&lt;10,"&lt;10",IF(E3173&lt;20,"10-&lt;20",IF(E3173&lt;25,"20-&lt;25",IF(E3173&lt;35,"25-&lt;35","35+")))))</x:f>
        <x:v>20-&lt;25</x:v>
      </x:c>
    </x:row>
    <x:row r="3174">
      <x:c r="A3174" t="str">
        <x:v>SYN0003173</x:v>
      </x:c>
      <x:c r="B3174" s="12" t="n">
        <x:v>42355</x:v>
      </x:c>
      <x:c r="C3174" s="18" t="n">
        <x:v>10923</x:v>
      </x:c>
      <x:c r="D3174" s="18" t="n">
        <x:v>44688</x:v>
      </x:c>
      <x:c r="E3174" s="18" t="n">
        <x:v>11.75</x:v>
      </x:c>
      <x:c r="F3174" s="18" t="n">
        <x:v>12.5</x:v>
      </x:c>
      <x:c r="G3174" t="n">
        <x:v>36</x:v>
      </x:c>
      <x:c r="H3174" t="str">
        <x:v>C</x:v>
      </x:c>
      <x:c r="I3174" t="str">
        <x:v>7-9 years</x:v>
      </x:c>
      <x:c r="J3174" t="str">
        <x:v>MORTGAGE</x:v>
      </x:c>
      <x:c r="K3174" t="str">
        <x:v>debt_consolidation</x:v>
      </x:c>
      <x:c r="L3174" t="n">
        <x:v>0</x:v>
      </x:c>
      <x:c r="M3174" t="n">
        <x:v>0</x:v>
      </x:c>
      <x:c r="N3174" t="str">
        <x:v>Fully Paid</x:v>
      </x:c>
      <x:c r="O3174" t="str">
        <x:f>IF(D3174="","Unknown",IF(D3174&lt;25000,"&lt;$25k",IF(D3174&lt;50000,"$25k-$50k",IF(D3174&lt;75000,"$50k-$75k",IF(D3174&lt;100000,"$75k-$100k","$100k+")))))</x:f>
        <x:v>$25k-$50k</x:v>
      </x:c>
      <x:c r="P3174" t="str">
        <x:f>IF(E3174="","Unknown",IF(E3174&lt;10,"&lt;10",IF(E3174&lt;20,"10-&lt;20",IF(E3174&lt;25,"20-&lt;25",IF(E3174&lt;35,"25-&lt;35","35+")))))</x:f>
        <x:v>10-&lt;20</x:v>
      </x:c>
    </x:row>
    <x:row r="3175">
      <x:c r="A3175" t="str">
        <x:v>SYN0003174</x:v>
      </x:c>
      <x:c r="B3175" s="12" t="n">
        <x:v>41755</x:v>
      </x:c>
      <x:c r="C3175" s="18" t="n">
        <x:v>10952</x:v>
      </x:c>
      <x:c r="D3175" s="18" t="n">
        <x:v>72575</x:v>
      </x:c>
      <x:c r="E3175" s="18" t="n">
        <x:v>5.9</x:v>
      </x:c>
      <x:c r="F3175" s="18" t="n">
        <x:v>6.23</x:v>
      </x:c>
      <x:c r="G3175" t="n">
        <x:v>36</x:v>
      </x:c>
      <x:c r="H3175" t="str">
        <x:v>A</x:v>
      </x:c>
      <x:c r="I3175" t="str">
        <x:v>4-6 years</x:v>
      </x:c>
      <x:c r="J3175" t="str">
        <x:v>OWN</x:v>
      </x:c>
      <x:c r="K3175" t="str">
        <x:v>debt_consolidation</x:v>
      </x:c>
      <x:c r="L3175" t="n">
        <x:v>0</x:v>
      </x:c>
      <x:c r="M3175" t="n">
        <x:v>0</x:v>
      </x:c>
      <x:c r="N3175" t="str">
        <x:v>Fully Paid</x:v>
      </x:c>
      <x:c r="O3175" t="str">
        <x:f>IF(D3175="","Unknown",IF(D3175&lt;25000,"&lt;$25k",IF(D3175&lt;50000,"$25k-$50k",IF(D3175&lt;75000,"$50k-$75k",IF(D3175&lt;100000,"$75k-$100k","$100k+")))))</x:f>
        <x:v>$50k-$75k</x:v>
      </x:c>
      <x:c r="P3175" t="str">
        <x:f>IF(E3175="","Unknown",IF(E3175&lt;10,"&lt;10",IF(E3175&lt;20,"10-&lt;20",IF(E3175&lt;25,"20-&lt;25",IF(E3175&lt;35,"25-&lt;35","35+")))))</x:f>
        <x:v>&lt;10</x:v>
      </x:c>
    </x:row>
    <x:row r="3176">
      <x:c r="A3176" t="str">
        <x:v>SYN0003175</x:v>
      </x:c>
      <x:c r="B3176" s="12" t="n">
        <x:v>42175</x:v>
      </x:c>
      <x:c r="C3176" s="18" t="n">
        <x:v>10725</x:v>
      </x:c>
      <x:c r="D3176" s="18" t="n">
        <x:v>40774</x:v>
      </x:c>
      <x:c r="E3176" s="18" t="n">
        <x:v>18.53</x:v>
      </x:c>
      <x:c r="F3176" s="18" t="n">
        <x:v>7.85</x:v>
      </x:c>
      <x:c r="G3176" t="n">
        <x:v>36</x:v>
      </x:c>
      <x:c r="H3176" t="str">
        <x:v>C</x:v>
      </x:c>
      <x:c r="I3176" t="str">
        <x:v>10+ years</x:v>
      </x:c>
      <x:c r="J3176" t="str">
        <x:v>MORTGAGE</x:v>
      </x:c>
      <x:c r="K3176" t="str">
        <x:v>debt_consolidation</x:v>
      </x:c>
      <x:c r="L3176" t="n">
        <x:v>0</x:v>
      </x:c>
      <x:c r="M3176" t="n">
        <x:v>0</x:v>
      </x:c>
      <x:c r="N3176" t="str">
        <x:v>Fully Paid</x:v>
      </x:c>
      <x:c r="O3176" t="str">
        <x:f>IF(D3176="","Unknown",IF(D3176&lt;25000,"&lt;$25k",IF(D3176&lt;50000,"$25k-$50k",IF(D3176&lt;75000,"$50k-$75k",IF(D3176&lt;100000,"$75k-$100k","$100k+")))))</x:f>
        <x:v>$25k-$50k</x:v>
      </x:c>
      <x:c r="P3176" t="str">
        <x:f>IF(E3176="","Unknown",IF(E3176&lt;10,"&lt;10",IF(E3176&lt;20,"10-&lt;20",IF(E3176&lt;25,"20-&lt;25",IF(E3176&lt;35,"25-&lt;35","35+")))))</x:f>
        <x:v>10-&lt;20</x:v>
      </x:c>
    </x:row>
    <x:row r="3177">
      <x:c r="A3177" t="str">
        <x:v>SYN0003176</x:v>
      </x:c>
      <x:c r="B3177" s="12" t="n">
        <x:v>41455</x:v>
      </x:c>
      <x:c r="C3177" s="18" t="n">
        <x:v>7529</x:v>
      </x:c>
      <x:c r="D3177" s="18" t="n">
        <x:v>37790</x:v>
      </x:c>
      <x:c r="E3177" s="18" t="n">
        <x:v>31.76</x:v>
      </x:c>
      <x:c r="F3177" s="18" t="n">
        <x:v>16.72</x:v>
      </x:c>
      <x:c r="G3177" t="n">
        <x:v>36</x:v>
      </x:c>
      <x:c r="H3177" t="str">
        <x:v>E</x:v>
      </x:c>
      <x:c r="I3177" t="str">
        <x:v>&lt;1 year</x:v>
      </x:c>
      <x:c r="J3177" t="str">
        <x:v>MORTGAGE</x:v>
      </x:c>
      <x:c r="K3177" t="str">
        <x:v>home_improvement</x:v>
      </x:c>
      <x:c r="L3177" t="n">
        <x:v>0</x:v>
      </x:c>
      <x:c r="M3177" t="n">
        <x:v>0</x:v>
      </x:c>
      <x:c r="N3177" t="str">
        <x:v>Fully Paid</x:v>
      </x:c>
      <x:c r="O3177" t="str">
        <x:f>IF(D3177="","Unknown",IF(D3177&lt;25000,"&lt;$25k",IF(D3177&lt;50000,"$25k-$50k",IF(D3177&lt;75000,"$50k-$75k",IF(D3177&lt;100000,"$75k-$100k","$100k+")))))</x:f>
        <x:v>$25k-$50k</x:v>
      </x:c>
      <x:c r="P3177" t="str">
        <x:f>IF(E3177="","Unknown",IF(E3177&lt;10,"&lt;10",IF(E3177&lt;20,"10-&lt;20",IF(E3177&lt;25,"20-&lt;25",IF(E3177&lt;35,"25-&lt;35","35+")))))</x:f>
        <x:v>25-&lt;35</x:v>
      </x:c>
    </x:row>
    <x:row r="3178">
      <x:c r="A3178" t="str">
        <x:v>SYN0003177</x:v>
      </x:c>
      <x:c r="B3178" s="12" t="n">
        <x:v>42415</x:v>
      </x:c>
      <x:c r="C3178" s="18" t="n">
        <x:v>6584</x:v>
      </x:c>
      <x:c r="D3178" s="18" t="n">
        <x:v>28109</x:v>
      </x:c>
      <x:c r="E3178" s="18" t="n">
        <x:v>24.96</x:v>
      </x:c>
      <x:c r="F3178" s="18" t="n">
        <x:v>22.67</x:v>
      </x:c>
      <x:c r="G3178" t="n">
        <x:v>36</x:v>
      </x:c>
      <x:c r="H3178" t="str">
        <x:v>F</x:v>
      </x:c>
      <x:c r="I3178" t="str">
        <x:v>1-3 years</x:v>
      </x:c>
      <x:c r="J3178" t="str">
        <x:v>RENT</x:v>
      </x:c>
      <x:c r="K3178" t="str">
        <x:v>debt_consolidation</x:v>
      </x:c>
      <x:c r="L3178" t="n">
        <x:v>0</x:v>
      </x:c>
      <x:c r="M3178" t="n">
        <x:v>1</x:v>
      </x:c>
      <x:c r="N3178" t="str">
        <x:v>Charged Off</x:v>
      </x:c>
      <x:c r="O3178" t="str">
        <x:f>IF(D3178="","Unknown",IF(D3178&lt;25000,"&lt;$25k",IF(D3178&lt;50000,"$25k-$50k",IF(D3178&lt;75000,"$50k-$75k",IF(D3178&lt;100000,"$75k-$100k","$100k+")))))</x:f>
        <x:v>$25k-$50k</x:v>
      </x:c>
      <x:c r="P3178" t="str">
        <x:f>IF(E3178="","Unknown",IF(E3178&lt;10,"&lt;10",IF(E3178&lt;20,"10-&lt;20",IF(E3178&lt;25,"20-&lt;25",IF(E3178&lt;35,"25-&lt;35","35+")))))</x:f>
        <x:v>20-&lt;25</x:v>
      </x:c>
    </x:row>
    <x:row r="3179">
      <x:c r="A3179" t="str">
        <x:v>SYN0003178</x:v>
      </x:c>
      <x:c r="B3179" s="12" t="n">
        <x:v>42325</x:v>
      </x:c>
      <x:c r="C3179" s="18" t="n">
        <x:v>6103</x:v>
      </x:c>
      <x:c r="D3179" s="18" t="n">
        <x:v>47157</x:v>
      </x:c>
      <x:c r="E3179" s="18" t="n">
        <x:v>22.04</x:v>
      </x:c>
      <x:c r="F3179" s="18" t="n">
        <x:v>21.18</x:v>
      </x:c>
      <x:c r="G3179" t="n">
        <x:v>36</x:v>
      </x:c>
      <x:c r="H3179" t="str">
        <x:v>F</x:v>
      </x:c>
      <x:c r="I3179" t="str">
        <x:v>&lt;1 year</x:v>
      </x:c>
      <x:c r="J3179" t="str">
        <x:v>OWN</x:v>
      </x:c>
      <x:c r="K3179" t="str">
        <x:v>debt_consolidation</x:v>
      </x:c>
      <x:c r="L3179" t="n">
        <x:v>1</x:v>
      </x:c>
      <x:c r="M3179" t="n">
        <x:v>0</x:v>
      </x:c>
      <x:c r="N3179" t="str">
        <x:v>Fully Paid</x:v>
      </x:c>
      <x:c r="O3179" t="str">
        <x:f>IF(D3179="","Unknown",IF(D3179&lt;25000,"&lt;$25k",IF(D3179&lt;50000,"$25k-$50k",IF(D3179&lt;75000,"$50k-$75k",IF(D3179&lt;100000,"$75k-$100k","$100k+")))))</x:f>
        <x:v>$25k-$50k</x:v>
      </x:c>
      <x:c r="P3179" t="str">
        <x:f>IF(E3179="","Unknown",IF(E3179&lt;10,"&lt;10",IF(E3179&lt;20,"10-&lt;20",IF(E3179&lt;25,"20-&lt;25",IF(E3179&lt;35,"25-&lt;35","35+")))))</x:f>
        <x:v>20-&lt;25</x:v>
      </x:c>
    </x:row>
    <x:row r="3180">
      <x:c r="A3180" t="str">
        <x:v>SYN0003179</x:v>
      </x:c>
      <x:c r="B3180" s="12" t="n">
        <x:v>41815</x:v>
      </x:c>
      <x:c r="C3180" s="18" t="n">
        <x:v>13380</x:v>
      </x:c>
      <x:c r="D3180" s="18" t="n">
        <x:v>82383</x:v>
      </x:c>
      <x:c r="E3180" s="18" t="n">
        <x:v>24.45</x:v>
      </x:c>
      <x:c r="F3180" s="18" t="n">
        <x:v>21.74</x:v>
      </x:c>
      <x:c r="G3180" t="n">
        <x:v>60</x:v>
      </x:c>
      <x:c r="H3180" t="str">
        <x:v>F</x:v>
      </x:c>
      <x:c r="I3180" t="str">
        <x:v>4-6 years</x:v>
      </x:c>
      <x:c r="J3180" t="str">
        <x:v>OWN</x:v>
      </x:c>
      <x:c r="K3180" t="str">
        <x:v>major_purchase</x:v>
      </x:c>
      <x:c r="L3180" t="n">
        <x:v>0</x:v>
      </x:c>
      <x:c r="M3180" t="n">
        <x:v>0</x:v>
      </x:c>
      <x:c r="N3180" t="str">
        <x:v>Fully Paid</x:v>
      </x:c>
      <x:c r="O3180" t="str">
        <x:f>IF(D3180="","Unknown",IF(D3180&lt;25000,"&lt;$25k",IF(D3180&lt;50000,"$25k-$50k",IF(D3180&lt;75000,"$50k-$75k",IF(D3180&lt;100000,"$75k-$100k","$100k+")))))</x:f>
        <x:v>$75k-$100k</x:v>
      </x:c>
      <x:c r="P3180" t="str">
        <x:f>IF(E3180="","Unknown",IF(E3180&lt;10,"&lt;10",IF(E3180&lt;20,"10-&lt;20",IF(E3180&lt;25,"20-&lt;25",IF(E3180&lt;35,"25-&lt;35","35+")))))</x:f>
        <x:v>20-&lt;25</x:v>
      </x:c>
    </x:row>
    <x:row r="3181">
      <x:c r="A3181" t="str">
        <x:v>SYN0003180</x:v>
      </x:c>
      <x:c r="B3181" s="12" t="n">
        <x:v>42775</x:v>
      </x:c>
      <x:c r="C3181" s="18" t="n">
        <x:v>7101</x:v>
      </x:c>
      <x:c r="D3181" s="18" t="n">
        <x:v>29680</x:v>
      </x:c>
      <x:c r="E3181" s="18" t="n">
        <x:v>22.63</x:v>
      </x:c>
      <x:c r="F3181" s="18" t="n">
        <x:v>11.39</x:v>
      </x:c>
      <x:c r="G3181" t="n">
        <x:v>36</x:v>
      </x:c>
      <x:c r="H3181" t="str">
        <x:v>B</x:v>
      </x:c>
      <x:c r="I3181" t="str">
        <x:v>4-6 years</x:v>
      </x:c>
      <x:c r="J3181" t="str">
        <x:v>MORTGAGE</x:v>
      </x:c>
      <x:c r="K3181" t="str">
        <x:v>other</x:v>
      </x:c>
      <x:c r="L3181" t="n">
        <x:v>0</x:v>
      </x:c>
      <x:c r="M3181" t="n">
        <x:v>0</x:v>
      </x:c>
      <x:c r="N3181" t="str">
        <x:v>Fully Paid</x:v>
      </x:c>
      <x:c r="O3181" t="str">
        <x:f>IF(D3181="","Unknown",IF(D3181&lt;25000,"&lt;$25k",IF(D3181&lt;50000,"$25k-$50k",IF(D3181&lt;75000,"$50k-$75k",IF(D3181&lt;100000,"$75k-$100k","$100k+")))))</x:f>
        <x:v>$25k-$50k</x:v>
      </x:c>
      <x:c r="P3181" t="str">
        <x:f>IF(E3181="","Unknown",IF(E3181&lt;10,"&lt;10",IF(E3181&lt;20,"10-&lt;20",IF(E3181&lt;25,"20-&lt;25",IF(E3181&lt;35,"25-&lt;35","35+")))))</x:f>
        <x:v>20-&lt;25</x:v>
      </x:c>
    </x:row>
    <x:row r="3182">
      <x:c r="A3182" t="str">
        <x:v>SYN0003181</x:v>
      </x:c>
      <x:c r="B3182" s="12" t="n">
        <x:v>42205</x:v>
      </x:c>
      <x:c r="C3182" s="18" t="n">
        <x:v>14895</x:v>
      </x:c>
      <x:c r="D3182" s="18" t="n">
        <x:v>58764</x:v>
      </x:c>
      <x:c r="E3182" s="18" t="n">
        <x:v>13.43</x:v>
      </x:c>
      <x:c r="F3182" s="18" t="n">
        <x:v>8.45</x:v>
      </x:c>
      <x:c r="G3182" t="n">
        <x:v>60</x:v>
      </x:c>
      <x:c r="H3182" t="str">
        <x:v>B</x:v>
      </x:c>
      <x:c r="I3182" t="str">
        <x:v>10+ years</x:v>
      </x:c>
      <x:c r="J3182" t="str">
        <x:v>RENT</x:v>
      </x:c>
      <x:c r="K3182" t="str">
        <x:v>debt_consolidation</x:v>
      </x:c>
      <x:c r="L3182" t="n">
        <x:v>0</x:v>
      </x:c>
      <x:c r="M3182" t="n">
        <x:v>0</x:v>
      </x:c>
      <x:c r="N3182" t="str">
        <x:v>Fully Paid</x:v>
      </x:c>
      <x:c r="O3182" t="str">
        <x:f>IF(D3182="","Unknown",IF(D3182&lt;25000,"&lt;$25k",IF(D3182&lt;50000,"$25k-$50k",IF(D3182&lt;75000,"$50k-$75k",IF(D3182&lt;100000,"$75k-$100k","$100k+")))))</x:f>
        <x:v>$50k-$75k</x:v>
      </x:c>
      <x:c r="P3182" t="str">
        <x:f>IF(E3182="","Unknown",IF(E3182&lt;10,"&lt;10",IF(E3182&lt;20,"10-&lt;20",IF(E3182&lt;25,"20-&lt;25",IF(E3182&lt;35,"25-&lt;35","35+")))))</x:f>
        <x:v>10-&lt;20</x:v>
      </x:c>
    </x:row>
    <x:row r="3183">
      <x:c r="A3183" t="str">
        <x:v>SYN0003182</x:v>
      </x:c>
      <x:c r="B3183" s="12" t="n">
        <x:v>43195</x:v>
      </x:c>
      <x:c r="C3183" s="18" t="n">
        <x:v>13753</x:v>
      </x:c>
      <x:c r="D3183" s="18" t="n">
        <x:v>159712</x:v>
      </x:c>
      <x:c r="E3183" s="18" t="n">
        <x:v>30.68</x:v>
      </x:c>
      <x:c r="F3183" s="18" t="n">
        <x:v>11</x:v>
      </x:c>
      <x:c r="G3183" t="n">
        <x:v>36</x:v>
      </x:c>
      <x:c r="H3183" t="str">
        <x:v>C</x:v>
      </x:c>
      <x:c r="I3183" t="str">
        <x:v>7-9 years</x:v>
      </x:c>
      <x:c r="J3183" t="str">
        <x:v>OWN</x:v>
      </x:c>
      <x:c r="K3183" t="str">
        <x:v>home_improvement</x:v>
      </x:c>
      <x:c r="L3183" t="n">
        <x:v>1</x:v>
      </x:c>
      <x:c r="M3183" t="n">
        <x:v>0</x:v>
      </x:c>
      <x:c r="N3183" t="str">
        <x:v>Fully Paid</x:v>
      </x:c>
      <x:c r="O3183" t="str">
        <x:f>IF(D3183="","Unknown",IF(D3183&lt;25000,"&lt;$25k",IF(D3183&lt;50000,"$25k-$50k",IF(D3183&lt;75000,"$50k-$75k",IF(D3183&lt;100000,"$75k-$100k","$100k+")))))</x:f>
        <x:v>$100k+</x:v>
      </x:c>
      <x:c r="P3183" t="str">
        <x:f>IF(E3183="","Unknown",IF(E3183&lt;10,"&lt;10",IF(E3183&lt;20,"10-&lt;20",IF(E3183&lt;25,"20-&lt;25",IF(E3183&lt;35,"25-&lt;35","35+")))))</x:f>
        <x:v>25-&lt;35</x:v>
      </x:c>
    </x:row>
    <x:row r="3184">
      <x:c r="A3184" t="str">
        <x:v>SYN0003183</x:v>
      </x:c>
      <x:c r="B3184" s="12" t="n">
        <x:v>42385</x:v>
      </x:c>
      <x:c r="C3184" s="18" t="n">
        <x:v>10325</x:v>
      </x:c>
      <x:c r="D3184" s="18" t="n">
        <x:v>21145</x:v>
      </x:c>
      <x:c r="E3184" s="18" t="n">
        <x:v>23.76</x:v>
      </x:c>
      <x:c r="F3184" s="18" t="n">
        <x:v>18.54</x:v>
      </x:c>
      <x:c r="G3184" t="n">
        <x:v>36</x:v>
      </x:c>
      <x:c r="H3184" t="str">
        <x:v>D</x:v>
      </x:c>
      <x:c r="I3184" t="str">
        <x:v>10+ years</x:v>
      </x:c>
      <x:c r="J3184" t="str">
        <x:v>MORTGAGE</x:v>
      </x:c>
      <x:c r="K3184" t="str">
        <x:v>home_improvement</x:v>
      </x:c>
      <x:c r="L3184" t="n">
        <x:v>0</x:v>
      </x:c>
      <x:c r="M3184" t="n">
        <x:v>0</x:v>
      </x:c>
      <x:c r="N3184" t="str">
        <x:v>Fully Paid</x:v>
      </x:c>
      <x:c r="O3184" t="str">
        <x:f>IF(D3184="","Unknown",IF(D3184&lt;25000,"&lt;$25k",IF(D3184&lt;50000,"$25k-$50k",IF(D3184&lt;75000,"$50k-$75k",IF(D3184&lt;100000,"$75k-$100k","$100k+")))))</x:f>
        <x:v>&lt;$25k</x:v>
      </x:c>
      <x:c r="P3184" t="str">
        <x:f>IF(E3184="","Unknown",IF(E3184&lt;10,"&lt;10",IF(E3184&lt;20,"10-&lt;20",IF(E3184&lt;25,"20-&lt;25",IF(E3184&lt;35,"25-&lt;35","35+")))))</x:f>
        <x:v>20-&lt;25</x:v>
      </x:c>
    </x:row>
    <x:row r="3185">
      <x:c r="A3185" t="str">
        <x:v>SYN0003184</x:v>
      </x:c>
      <x:c r="B3185" s="12" t="n">
        <x:v>42265</x:v>
      </x:c>
      <x:c r="C3185" s="18" t="n">
        <x:v>9992</x:v>
      </x:c>
      <x:c r="D3185" s="18" t="n">
        <x:v>45546</x:v>
      </x:c>
      <x:c r="E3185" s="18" t="n">
        <x:v>21.74</x:v>
      </x:c>
      <x:c r="F3185" s="18" t="n">
        <x:v>8.38</x:v>
      </x:c>
      <x:c r="G3185" t="n">
        <x:v>36</x:v>
      </x:c>
      <x:c r="H3185" t="str">
        <x:v>B</x:v>
      </x:c>
      <x:c r="I3185" t="str">
        <x:v>10+ years</x:v>
      </x:c>
      <x:c r="J3185" t="str">
        <x:v>MORTGAGE</x:v>
      </x:c>
      <x:c r="K3185" t="str">
        <x:v>major_purchase</x:v>
      </x:c>
      <x:c r="L3185" t="n">
        <x:v>0</x:v>
      </x:c>
      <x:c r="M3185" t="n">
        <x:v>0</x:v>
      </x:c>
      <x:c r="N3185" t="str">
        <x:v>Fully Paid</x:v>
      </x:c>
      <x:c r="O3185" t="str">
        <x:f>IF(D3185="","Unknown",IF(D3185&lt;25000,"&lt;$25k",IF(D3185&lt;50000,"$25k-$50k",IF(D3185&lt;75000,"$50k-$75k",IF(D3185&lt;100000,"$75k-$100k","$100k+")))))</x:f>
        <x:v>$25k-$50k</x:v>
      </x:c>
      <x:c r="P3185" t="str">
        <x:f>IF(E3185="","Unknown",IF(E3185&lt;10,"&lt;10",IF(E3185&lt;20,"10-&lt;20",IF(E3185&lt;25,"20-&lt;25",IF(E3185&lt;35,"25-&lt;35","35+")))))</x:f>
        <x:v>20-&lt;25</x:v>
      </x:c>
    </x:row>
    <x:row r="3186">
      <x:c r="A3186" t="str">
        <x:v>SYN0003185</x:v>
      </x:c>
      <x:c r="B3186" s="12" t="n">
        <x:v>41665</x:v>
      </x:c>
      <x:c r="C3186" s="18" t="n">
        <x:v>12857</x:v>
      </x:c>
      <x:c r="D3186" s="18" t="n">
        <x:v>34373</x:v>
      </x:c>
      <x:c r="E3186" s="18" t="n">
        <x:v>12.65</x:v>
      </x:c>
      <x:c r="F3186" s="18" t="n">
        <x:v>19.07</x:v>
      </x:c>
      <x:c r="G3186" t="n">
        <x:v>60</x:v>
      </x:c>
      <x:c r="H3186" t="str">
        <x:v>E</x:v>
      </x:c>
      <x:c r="I3186" t="str">
        <x:v>7-9 years</x:v>
      </x:c>
      <x:c r="J3186" t="str">
        <x:v>MORTGAGE</x:v>
      </x:c>
      <x:c r="K3186" t="str">
        <x:v>debt_consolidation</x:v>
      </x:c>
      <x:c r="L3186" t="n">
        <x:v>1</x:v>
      </x:c>
      <x:c r="M3186" t="n">
        <x:v>0</x:v>
      </x:c>
      <x:c r="N3186" t="str">
        <x:v>Fully Paid</x:v>
      </x:c>
      <x:c r="O3186" t="str">
        <x:f>IF(D3186="","Unknown",IF(D3186&lt;25000,"&lt;$25k",IF(D3186&lt;50000,"$25k-$50k",IF(D3186&lt;75000,"$50k-$75k",IF(D3186&lt;100000,"$75k-$100k","$100k+")))))</x:f>
        <x:v>$25k-$50k</x:v>
      </x:c>
      <x:c r="P3186" t="str">
        <x:f>IF(E3186="","Unknown",IF(E3186&lt;10,"&lt;10",IF(E3186&lt;20,"10-&lt;20",IF(E3186&lt;25,"20-&lt;25",IF(E3186&lt;35,"25-&lt;35","35+")))))</x:f>
        <x:v>10-&lt;20</x:v>
      </x:c>
    </x:row>
    <x:row r="3187">
      <x:c r="A3187" t="str">
        <x:v>SYN0003186</x:v>
      </x:c>
      <x:c r="B3187" s="12" t="n">
        <x:v>41395</x:v>
      </x:c>
      <x:c r="C3187" s="18" t="n">
        <x:v>7369</x:v>
      </x:c>
      <x:c r="D3187" s="18" t="n">
        <x:v>68326</x:v>
      </x:c>
      <x:c r="E3187" s="18" t="n">
        <x:v>9.93</x:v>
      </x:c>
      <x:c r="F3187" s="18" t="n">
        <x:v>13.75</x:v>
      </x:c>
      <x:c r="G3187" t="n">
        <x:v>60</x:v>
      </x:c>
      <x:c r="H3187" t="str">
        <x:v>D</x:v>
      </x:c>
      <x:c r="I3187" t="str">
        <x:v>10+ years</x:v>
      </x:c>
      <x:c r="J3187" t="str">
        <x:v>OWN</x:v>
      </x:c>
      <x:c r="K3187" t="str">
        <x:v>home_improvement</x:v>
      </x:c>
      <x:c r="L3187" t="n">
        <x:v>0</x:v>
      </x:c>
      <x:c r="M3187" t="n">
        <x:v>0</x:v>
      </x:c>
      <x:c r="N3187" t="str">
        <x:v>Fully Paid</x:v>
      </x:c>
      <x:c r="O3187" t="str">
        <x:f>IF(D3187="","Unknown",IF(D3187&lt;25000,"&lt;$25k",IF(D3187&lt;50000,"$25k-$50k",IF(D3187&lt;75000,"$50k-$75k",IF(D3187&lt;100000,"$75k-$100k","$100k+")))))</x:f>
        <x:v>$50k-$75k</x:v>
      </x:c>
      <x:c r="P3187" t="str">
        <x:f>IF(E3187="","Unknown",IF(E3187&lt;10,"&lt;10",IF(E3187&lt;20,"10-&lt;20",IF(E3187&lt;25,"20-&lt;25",IF(E3187&lt;35,"25-&lt;35","35+")))))</x:f>
        <x:v>&lt;10</x:v>
      </x:c>
    </x:row>
    <x:row r="3188">
      <x:c r="A3188" t="str">
        <x:v>SYN0003187</x:v>
      </x:c>
      <x:c r="B3188" s="12" t="n">
        <x:v>42715</x:v>
      </x:c>
      <x:c r="C3188" s="18" t="n">
        <x:v>6641</x:v>
      </x:c>
      <x:c r="D3188" s="18" t="n">
        <x:v>75728</x:v>
      </x:c>
      <x:c r="E3188" s="18" t="n">
        <x:v>6.4</x:v>
      </x:c>
      <x:c r="F3188" s="18" t="n">
        <x:v>11.91</x:v>
      </x:c>
      <x:c r="G3188" t="n">
        <x:v>60</x:v>
      </x:c>
      <x:c r="H3188" t="str">
        <x:v>B</x:v>
      </x:c>
      <x:c r="I3188" t="str">
        <x:v>10+ years</x:v>
      </x:c>
      <x:c r="J3188" t="str">
        <x:v>MORTGAGE</x:v>
      </x:c>
      <x:c r="K3188" t="str">
        <x:v>credit_card</x:v>
      </x:c>
      <x:c r="L3188" t="n">
        <x:v>0</x:v>
      </x:c>
      <x:c r="M3188" t="n">
        <x:v>0</x:v>
      </x:c>
      <x:c r="N3188" t="str">
        <x:v>Fully Paid</x:v>
      </x:c>
      <x:c r="O3188" t="str">
        <x:f>IF(D3188="","Unknown",IF(D3188&lt;25000,"&lt;$25k",IF(D3188&lt;50000,"$25k-$50k",IF(D3188&lt;75000,"$50k-$75k",IF(D3188&lt;100000,"$75k-$100k","$100k+")))))</x:f>
        <x:v>$75k-$100k</x:v>
      </x:c>
      <x:c r="P3188" t="str">
        <x:f>IF(E3188="","Unknown",IF(E3188&lt;10,"&lt;10",IF(E3188&lt;20,"10-&lt;20",IF(E3188&lt;25,"20-&lt;25",IF(E3188&lt;35,"25-&lt;35","35+")))))</x:f>
        <x:v>&lt;10</x:v>
      </x:c>
    </x:row>
    <x:row r="3189">
      <x:c r="A3189" t="str">
        <x:v>SYN0003188</x:v>
      </x:c>
      <x:c r="B3189" s="12" t="n">
        <x:v>43015</x:v>
      </x:c>
      <x:c r="C3189" s="18" t="n">
        <x:v>16847</x:v>
      </x:c>
      <x:c r="D3189" s="18" t="n">
        <x:v>12945</x:v>
      </x:c>
      <x:c r="E3189" s="18" t="n">
        <x:v>28.39</x:v>
      </x:c>
      <x:c r="F3189" s="18" t="n">
        <x:v>18.27</x:v>
      </x:c>
      <x:c r="G3189" t="n">
        <x:v>36</x:v>
      </x:c>
      <x:c r="H3189" t="str">
        <x:v>F</x:v>
      </x:c>
      <x:c r="I3189" t="str">
        <x:v>4-6 years</x:v>
      </x:c>
      <x:c r="J3189" t="str">
        <x:v>RENT</x:v>
      </x:c>
      <x:c r="K3189" t="str">
        <x:v>major_purchase</x:v>
      </x:c>
      <x:c r="L3189" t="n">
        <x:v>1</x:v>
      </x:c>
      <x:c r="M3189" t="n">
        <x:v>0</x:v>
      </x:c>
      <x:c r="N3189" t="str">
        <x:v>Fully Paid</x:v>
      </x:c>
      <x:c r="O3189" t="str">
        <x:f>IF(D3189="","Unknown",IF(D3189&lt;25000,"&lt;$25k",IF(D3189&lt;50000,"$25k-$50k",IF(D3189&lt;75000,"$50k-$75k",IF(D3189&lt;100000,"$75k-$100k","$100k+")))))</x:f>
        <x:v>&lt;$25k</x:v>
      </x:c>
      <x:c r="P3189" t="str">
        <x:f>IF(E3189="","Unknown",IF(E3189&lt;10,"&lt;10",IF(E3189&lt;20,"10-&lt;20",IF(E3189&lt;25,"20-&lt;25",IF(E3189&lt;35,"25-&lt;35","35+")))))</x:f>
        <x:v>25-&lt;35</x:v>
      </x:c>
    </x:row>
    <x:row r="3190">
      <x:c r="A3190" t="str">
        <x:v>SYN0003189</x:v>
      </x:c>
      <x:c r="B3190" s="12" t="n">
        <x:v>43315</x:v>
      </x:c>
      <x:c r="C3190" s="18" t="n">
        <x:v>35421</x:v>
      </x:c>
      <x:c r="D3190" s="18" t="n">
        <x:v>20262</x:v>
      </x:c>
      <x:c r="E3190" s="18" t="n">
        <x:v>21.18</x:v>
      </x:c>
      <x:c r="F3190" s="18" t="n">
        <x:v>11.4</x:v>
      </x:c>
      <x:c r="G3190" t="n">
        <x:v>60</x:v>
      </x:c>
      <x:c r="H3190" t="str">
        <x:v>D</x:v>
      </x:c>
      <x:c r="I3190" t="str">
        <x:v>4-6 years</x:v>
      </x:c>
      <x:c r="J3190" t="str">
        <x:v>RENT</x:v>
      </x:c>
      <x:c r="K3190" t="str">
        <x:v>other</x:v>
      </x:c>
      <x:c r="L3190" t="n">
        <x:v>0</x:v>
      </x:c>
      <x:c r="M3190" t="n">
        <x:v>1</x:v>
      </x:c>
      <x:c r="N3190" t="str">
        <x:v>Charged Off</x:v>
      </x:c>
      <x:c r="O3190" t="str">
        <x:f>IF(D3190="","Unknown",IF(D3190&lt;25000,"&lt;$25k",IF(D3190&lt;50000,"$25k-$50k",IF(D3190&lt;75000,"$50k-$75k",IF(D3190&lt;100000,"$75k-$100k","$100k+")))))</x:f>
        <x:v>&lt;$25k</x:v>
      </x:c>
      <x:c r="P3190" t="str">
        <x:f>IF(E3190="","Unknown",IF(E3190&lt;10,"&lt;10",IF(E3190&lt;20,"10-&lt;20",IF(E3190&lt;25,"20-&lt;25",IF(E3190&lt;35,"25-&lt;35","35+")))))</x:f>
        <x:v>20-&lt;25</x:v>
      </x:c>
    </x:row>
    <x:row r="3191">
      <x:c r="A3191" t="str">
        <x:v>SYN0003190</x:v>
      </x:c>
      <x:c r="B3191" s="12" t="n">
        <x:v>41725</x:v>
      </x:c>
      <x:c r="C3191" s="18" t="n">
        <x:v>15063</x:v>
      </x:c>
      <x:c r="D3191" s="18" t="n">
        <x:v>58510</x:v>
      </x:c>
      <x:c r="E3191" s="18" t="n">
        <x:v>26.94</x:v>
      </x:c>
      <x:c r="F3191" s="18" t="n">
        <x:v>12.06</x:v>
      </x:c>
      <x:c r="G3191" t="n">
        <x:v>60</x:v>
      </x:c>
      <x:c r="H3191" t="str">
        <x:v>C</x:v>
      </x:c>
      <x:c r="I3191" t="str">
        <x:v>7-9 years</x:v>
      </x:c>
      <x:c r="J3191" t="str">
        <x:v>OWN</x:v>
      </x:c>
      <x:c r="K3191" t="str">
        <x:v>credit_card</x:v>
      </x:c>
      <x:c r="L3191" t="n">
        <x:v>0</x:v>
      </x:c>
      <x:c r="M3191" t="n">
        <x:v>0</x:v>
      </x:c>
      <x:c r="N3191" t="str">
        <x:v>Fully Paid</x:v>
      </x:c>
      <x:c r="O3191" t="str">
        <x:f>IF(D3191="","Unknown",IF(D3191&lt;25000,"&lt;$25k",IF(D3191&lt;50000,"$25k-$50k",IF(D3191&lt;75000,"$50k-$75k",IF(D3191&lt;100000,"$75k-$100k","$100k+")))))</x:f>
        <x:v>$50k-$75k</x:v>
      </x:c>
      <x:c r="P3191" t="str">
        <x:f>IF(E3191="","Unknown",IF(E3191&lt;10,"&lt;10",IF(E3191&lt;20,"10-&lt;20",IF(E3191&lt;25,"20-&lt;25",IF(E3191&lt;35,"25-&lt;35","35+")))))</x:f>
        <x:v>25-&lt;35</x:v>
      </x:c>
    </x:row>
    <x:row r="3192">
      <x:c r="A3192" t="str">
        <x:v>SYN0003191</x:v>
      </x:c>
      <x:c r="B3192" s="12" t="n">
        <x:v>41875</x:v>
      </x:c>
      <x:c r="C3192" s="18" t="n">
        <x:v>5645</x:v>
      </x:c>
      <x:c r="D3192" s="18" t="n">
        <x:v>24815</x:v>
      </x:c>
      <x:c r="E3192" s="18" t="n">
        <x:v>22.47</x:v>
      </x:c>
      <x:c r="F3192" s="18" t="n">
        <x:v>10.88</x:v>
      </x:c>
      <x:c r="G3192" t="n">
        <x:v>36</x:v>
      </x:c>
      <x:c r="H3192" t="str">
        <x:v>B</x:v>
      </x:c>
      <x:c r="I3192" t="str">
        <x:v>&lt;1 year</x:v>
      </x:c>
      <x:c r="J3192" t="str">
        <x:v>RENT</x:v>
      </x:c>
      <x:c r="K3192" t="str">
        <x:v>debt_consolidation</x:v>
      </x:c>
      <x:c r="L3192" t="n">
        <x:v>0</x:v>
      </x:c>
      <x:c r="M3192" t="n">
        <x:v>0</x:v>
      </x:c>
      <x:c r="N3192" t="str">
        <x:v>Fully Paid</x:v>
      </x:c>
      <x:c r="O3192" t="str">
        <x:f>IF(D3192="","Unknown",IF(D3192&lt;25000,"&lt;$25k",IF(D3192&lt;50000,"$25k-$50k",IF(D3192&lt;75000,"$50k-$75k",IF(D3192&lt;100000,"$75k-$100k","$100k+")))))</x:f>
        <x:v>&lt;$25k</x:v>
      </x:c>
      <x:c r="P3192" t="str">
        <x:f>IF(E3192="","Unknown",IF(E3192&lt;10,"&lt;10",IF(E3192&lt;20,"10-&lt;20",IF(E3192&lt;25,"20-&lt;25",IF(E3192&lt;35,"25-&lt;35","35+")))))</x:f>
        <x:v>20-&lt;25</x:v>
      </x:c>
    </x:row>
    <x:row r="3193">
      <x:c r="A3193" t="str">
        <x:v>SYN0003192</x:v>
      </x:c>
      <x:c r="B3193" s="12" t="n">
        <x:v>41275</x:v>
      </x:c>
      <x:c r="C3193" s="18" t="n">
        <x:v>15784</x:v>
      </x:c>
      <x:c r="D3193" s="18" t="n">
        <x:v>61412</x:v>
      </x:c>
      <x:c r="E3193" s="18" t="n">
        <x:v>24.77</x:v>
      </x:c>
      <x:c r="F3193" s="18" t="n">
        <x:v>5.2</x:v>
      </x:c>
      <x:c r="G3193" t="n">
        <x:v>36</x:v>
      </x:c>
      <x:c r="H3193" t="str">
        <x:v>A</x:v>
      </x:c>
      <x:c r="I3193" t="str">
        <x:v>1-3 years</x:v>
      </x:c>
      <x:c r="J3193" t="str">
        <x:v>MORTGAGE</x:v>
      </x:c>
      <x:c r="K3193" t="str">
        <x:v>other</x:v>
      </x:c>
      <x:c r="L3193" t="n">
        <x:v>0</x:v>
      </x:c>
      <x:c r="M3193" t="n">
        <x:v>0</x:v>
      </x:c>
      <x:c r="N3193" t="str">
        <x:v>Fully Paid</x:v>
      </x:c>
      <x:c r="O3193" t="str">
        <x:f>IF(D3193="","Unknown",IF(D3193&lt;25000,"&lt;$25k",IF(D3193&lt;50000,"$25k-$50k",IF(D3193&lt;75000,"$50k-$75k",IF(D3193&lt;100000,"$75k-$100k","$100k+")))))</x:f>
        <x:v>$50k-$75k</x:v>
      </x:c>
      <x:c r="P3193" t="str">
        <x:f>IF(E3193="","Unknown",IF(E3193&lt;10,"&lt;10",IF(E3193&lt;20,"10-&lt;20",IF(E3193&lt;25,"20-&lt;25",IF(E3193&lt;35,"25-&lt;35","35+")))))</x:f>
        <x:v>20-&lt;25</x:v>
      </x:c>
    </x:row>
    <x:row r="3194">
      <x:c r="A3194" t="str">
        <x:v>SYN0003193</x:v>
      </x:c>
      <x:c r="B3194" s="12" t="n">
        <x:v>42265</x:v>
      </x:c>
      <x:c r="C3194" s="18" t="n">
        <x:v>31511</x:v>
      </x:c>
      <x:c r="D3194" s="18" t="n">
        <x:v>36658</x:v>
      </x:c>
      <x:c r="E3194" s="18" t="n">
        <x:v>0</x:v>
      </x:c>
      <x:c r="F3194" s="18" t="n">
        <x:v>5.9</x:v>
      </x:c>
      <x:c r="G3194" t="n">
        <x:v>36</x:v>
      </x:c>
      <x:c r="H3194" t="str">
        <x:v>B</x:v>
      </x:c>
      <x:c r="I3194" t="str">
        <x:v>7-9 years</x:v>
      </x:c>
      <x:c r="J3194" t="str">
        <x:v>MORTGAGE</x:v>
      </x:c>
      <x:c r="K3194" t="str">
        <x:v>debt_consolidation</x:v>
      </x:c>
      <x:c r="L3194" t="n">
        <x:v>1</x:v>
      </x:c>
      <x:c r="M3194" t="n">
        <x:v>0</x:v>
      </x:c>
      <x:c r="N3194" t="str">
        <x:v>Fully Paid</x:v>
      </x:c>
      <x:c r="O3194" t="str">
        <x:f>IF(D3194="","Unknown",IF(D3194&lt;25000,"&lt;$25k",IF(D3194&lt;50000,"$25k-$50k",IF(D3194&lt;75000,"$50k-$75k",IF(D3194&lt;100000,"$75k-$100k","$100k+")))))</x:f>
        <x:v>$25k-$50k</x:v>
      </x:c>
      <x:c r="P3194" t="str">
        <x:f>IF(E3194="","Unknown",IF(E3194&lt;10,"&lt;10",IF(E3194&lt;20,"10-&lt;20",IF(E3194&lt;25,"20-&lt;25",IF(E3194&lt;35,"25-&lt;35","35+")))))</x:f>
        <x:v>Unknown</x:v>
      </x:c>
    </x:row>
    <x:row r="3195">
      <x:c r="A3195" t="str">
        <x:v>SYN0003194</x:v>
      </x:c>
      <x:c r="B3195" s="12" t="n">
        <x:v>43225</x:v>
      </x:c>
      <x:c r="C3195" s="18" t="n">
        <x:v>10125</x:v>
      </x:c>
      <x:c r="D3195" s="18" t="n">
        <x:v>21752</x:v>
      </x:c>
      <x:c r="E3195" s="18" t="n">
        <x:v>12.35</x:v>
      </x:c>
      <x:c r="F3195" s="18" t="n">
        <x:v>16.89</x:v>
      </x:c>
      <x:c r="G3195" t="n">
        <x:v>36</x:v>
      </x:c>
      <x:c r="H3195" t="str">
        <x:v>D</x:v>
      </x:c>
      <x:c r="I3195" t="str">
        <x:v>1-3 years</x:v>
      </x:c>
      <x:c r="J3195" t="str">
        <x:v>MORTGAGE</x:v>
      </x:c>
      <x:c r="K3195" t="str">
        <x:v>credit_card</x:v>
      </x:c>
      <x:c r="L3195" t="n">
        <x:v>0</x:v>
      </x:c>
      <x:c r="M3195" t="n">
        <x:v>0</x:v>
      </x:c>
      <x:c r="N3195" t="str">
        <x:v>Fully Paid</x:v>
      </x:c>
      <x:c r="O3195" t="str">
        <x:f>IF(D3195="","Unknown",IF(D3195&lt;25000,"&lt;$25k",IF(D3195&lt;50000,"$25k-$50k",IF(D3195&lt;75000,"$50k-$75k",IF(D3195&lt;100000,"$75k-$100k","$100k+")))))</x:f>
        <x:v>&lt;$25k</x:v>
      </x:c>
      <x:c r="P3195" t="str">
        <x:f>IF(E3195="","Unknown",IF(E3195&lt;10,"&lt;10",IF(E3195&lt;20,"10-&lt;20",IF(E3195&lt;25,"20-&lt;25",IF(E3195&lt;35,"25-&lt;35","35+")))))</x:f>
        <x:v>10-&lt;20</x:v>
      </x:c>
    </x:row>
    <x:row r="3196">
      <x:c r="A3196" t="str">
        <x:v>SYN0003195</x:v>
      </x:c>
      <x:c r="B3196" s="12" t="n">
        <x:v>42235</x:v>
      </x:c>
      <x:c r="C3196" s="18" t="n">
        <x:v>9870</x:v>
      </x:c>
      <x:c r="D3196" s="18" t="n">
        <x:v>17458</x:v>
      </x:c>
      <x:c r="E3196" s="18" t="n">
        <x:v>27.05</x:v>
      </x:c>
      <x:c r="F3196" s="18" t="n">
        <x:v>8.03</x:v>
      </x:c>
      <x:c r="G3196" t="n">
        <x:v>36</x:v>
      </x:c>
      <x:c r="H3196" t="str">
        <x:v>A</x:v>
      </x:c>
      <x:c r="I3196" t="str">
        <x:v>4-6 years</x:v>
      </x:c>
      <x:c r="J3196" t="str">
        <x:v>MORTGAGE</x:v>
      </x:c>
      <x:c r="K3196" t="str">
        <x:v>debt_consolidation</x:v>
      </x:c>
      <x:c r="L3196" t="n">
        <x:v>1</x:v>
      </x:c>
      <x:c r="M3196" t="n">
        <x:v>0</x:v>
      </x:c>
      <x:c r="N3196" t="str">
        <x:v>Fully Paid</x:v>
      </x:c>
      <x:c r="O3196" t="str">
        <x:f>IF(D3196="","Unknown",IF(D3196&lt;25000,"&lt;$25k",IF(D3196&lt;50000,"$25k-$50k",IF(D3196&lt;75000,"$50k-$75k",IF(D3196&lt;100000,"$75k-$100k","$100k+")))))</x:f>
        <x:v>&lt;$25k</x:v>
      </x:c>
      <x:c r="P3196" t="str">
        <x:f>IF(E3196="","Unknown",IF(E3196&lt;10,"&lt;10",IF(E3196&lt;20,"10-&lt;20",IF(E3196&lt;25,"20-&lt;25",IF(E3196&lt;35,"25-&lt;35","35+")))))</x:f>
        <x:v>25-&lt;35</x:v>
      </x:c>
    </x:row>
    <x:row r="3197">
      <x:c r="A3197" t="str">
        <x:v>SYN0003196</x:v>
      </x:c>
      <x:c r="B3197" s="12" t="n">
        <x:v>42925</x:v>
      </x:c>
      <x:c r="C3197" s="18" t="n">
        <x:v>6907</x:v>
      </x:c>
      <x:c r="D3197" s="18" t="n">
        <x:v>84183</x:v>
      </x:c>
      <x:c r="E3197" s="18" t="n">
        <x:v>32.09</x:v>
      </x:c>
      <x:c r="F3197" s="18" t="n">
        <x:v>11.65</x:v>
      </x:c>
      <x:c r="G3197" t="n">
        <x:v>60</x:v>
      </x:c>
      <x:c r="H3197" t="str">
        <x:v>C</x:v>
      </x:c>
      <x:c r="I3197" t="str">
        <x:v>4-6 years</x:v>
      </x:c>
      <x:c r="J3197" t="str">
        <x:v>MORTGAGE</x:v>
      </x:c>
      <x:c r="K3197" t="str">
        <x:v>medical</x:v>
      </x:c>
      <x:c r="L3197" t="n">
        <x:v>1</x:v>
      </x:c>
      <x:c r="M3197" t="n">
        <x:v>0</x:v>
      </x:c>
      <x:c r="N3197" t="str">
        <x:v>Fully Paid</x:v>
      </x:c>
      <x:c r="O3197" t="str">
        <x:f>IF(D3197="","Unknown",IF(D3197&lt;25000,"&lt;$25k",IF(D3197&lt;50000,"$25k-$50k",IF(D3197&lt;75000,"$50k-$75k",IF(D3197&lt;100000,"$75k-$100k","$100k+")))))</x:f>
        <x:v>$75k-$100k</x:v>
      </x:c>
      <x:c r="P3197" t="str">
        <x:f>IF(E3197="","Unknown",IF(E3197&lt;10,"&lt;10",IF(E3197&lt;20,"10-&lt;20",IF(E3197&lt;25,"20-&lt;25",IF(E3197&lt;35,"25-&lt;35","35+")))))</x:f>
        <x:v>25-&lt;35</x:v>
      </x:c>
    </x:row>
    <x:row r="3198">
      <x:c r="A3198" t="str">
        <x:v>SYN0003197</x:v>
      </x:c>
      <x:c r="B3198" s="12" t="n">
        <x:v>42625</x:v>
      </x:c>
      <x:c r="C3198" s="18" t="n">
        <x:v>5585</x:v>
      </x:c>
      <x:c r="D3198" s="18" t="n">
        <x:v>80423</x:v>
      </x:c>
      <x:c r="E3198" s="18" t="n">
        <x:v>33.68</x:v>
      </x:c>
      <x:c r="F3198" s="18" t="n">
        <x:v>24.69</x:v>
      </x:c>
      <x:c r="G3198" t="n">
        <x:v>36</x:v>
      </x:c>
      <x:c r="H3198" t="str">
        <x:v>F</x:v>
      </x:c>
      <x:c r="I3198" t="str">
        <x:v>4-6 years</x:v>
      </x:c>
      <x:c r="J3198" t="str">
        <x:v>OTHER</x:v>
      </x:c>
      <x:c r="K3198" t="str">
        <x:v>debt_consolidation</x:v>
      </x:c>
      <x:c r="L3198" t="n">
        <x:v>4</x:v>
      </x:c>
      <x:c r="M3198" t="n">
        <x:v>0</x:v>
      </x:c>
      <x:c r="N3198" t="str">
        <x:v>Fully Paid</x:v>
      </x:c>
      <x:c r="O3198" t="str">
        <x:f>IF(D3198="","Unknown",IF(D3198&lt;25000,"&lt;$25k",IF(D3198&lt;50000,"$25k-$50k",IF(D3198&lt;75000,"$50k-$75k",IF(D3198&lt;100000,"$75k-$100k","$100k+")))))</x:f>
        <x:v>$75k-$100k</x:v>
      </x:c>
      <x:c r="P3198" t="str">
        <x:f>IF(E3198="","Unknown",IF(E3198&lt;10,"&lt;10",IF(E3198&lt;20,"10-&lt;20",IF(E3198&lt;25,"20-&lt;25",IF(E3198&lt;35,"25-&lt;35","35+")))))</x:f>
        <x:v>25-&lt;35</x:v>
      </x:c>
    </x:row>
    <x:row r="3199">
      <x:c r="A3199" t="str">
        <x:v>SYN0003198</x:v>
      </x:c>
      <x:c r="B3199" s="12" t="n">
        <x:v>43075</x:v>
      </x:c>
      <x:c r="C3199" s="18" t="n">
        <x:v>11077</x:v>
      </x:c>
      <x:c r="D3199" s="18" t="n">
        <x:v>39388</x:v>
      </x:c>
      <x:c r="E3199" s="18" t="n">
        <x:v>27.72</x:v>
      </x:c>
      <x:c r="F3199" s="18" t="n">
        <x:v>7.34</x:v>
      </x:c>
      <x:c r="G3199" t="n">
        <x:v>60</x:v>
      </x:c>
      <x:c r="H3199" t="str">
        <x:v>B</x:v>
      </x:c>
      <x:c r="I3199" t="str">
        <x:v>1-3 years</x:v>
      </x:c>
      <x:c r="J3199" t="str">
        <x:v>MORTGAGE</x:v>
      </x:c>
      <x:c r="K3199" t="str">
        <x:v>major_purchase</x:v>
      </x:c>
      <x:c r="L3199" t="n">
        <x:v>0</x:v>
      </x:c>
      <x:c r="M3199" t="n">
        <x:v>0</x:v>
      </x:c>
      <x:c r="N3199" t="str">
        <x:v>Fully Paid</x:v>
      </x:c>
      <x:c r="O3199" t="str">
        <x:f>IF(D3199="","Unknown",IF(D3199&lt;25000,"&lt;$25k",IF(D3199&lt;50000,"$25k-$50k",IF(D3199&lt;75000,"$50k-$75k",IF(D3199&lt;100000,"$75k-$100k","$100k+")))))</x:f>
        <x:v>$25k-$50k</x:v>
      </x:c>
      <x:c r="P3199" t="str">
        <x:f>IF(E3199="","Unknown",IF(E3199&lt;10,"&lt;10",IF(E3199&lt;20,"10-&lt;20",IF(E3199&lt;25,"20-&lt;25",IF(E3199&lt;35,"25-&lt;35","35+")))))</x:f>
        <x:v>25-&lt;35</x:v>
      </x:c>
    </x:row>
    <x:row r="3200">
      <x:c r="A3200" t="str">
        <x:v>SYN0003199</x:v>
      </x:c>
      <x:c r="B3200" s="12" t="n">
        <x:v>42865</x:v>
      </x:c>
      <x:c r="C3200" s="18" t="n">
        <x:v>24359</x:v>
      </x:c>
      <x:c r="D3200" s="18" t="n">
        <x:v>31253</x:v>
      </x:c>
      <x:c r="E3200" s="18" t="n">
        <x:v>17.07</x:v>
      </x:c>
      <x:c r="F3200" s="18" t="n">
        <x:v>12.31</x:v>
      </x:c>
      <x:c r="G3200" t="n">
        <x:v>36</x:v>
      </x:c>
      <x:c r="H3200" t="str">
        <x:v>D</x:v>
      </x:c>
      <x:c r="I3200" t="str">
        <x:v>10+ years</x:v>
      </x:c>
      <x:c r="J3200" t="str">
        <x:v>MORTGAGE</x:v>
      </x:c>
      <x:c r="K3200" t="str">
        <x:v>credit_card</x:v>
      </x:c>
      <x:c r="L3200" t="n">
        <x:v>1</x:v>
      </x:c>
      <x:c r="M3200" t="n">
        <x:v>0</x:v>
      </x:c>
      <x:c r="N3200" t="str">
        <x:v>Fully Paid</x:v>
      </x:c>
      <x:c r="O3200" t="str">
        <x:f>IF(D3200="","Unknown",IF(D3200&lt;25000,"&lt;$25k",IF(D3200&lt;50000,"$25k-$50k",IF(D3200&lt;75000,"$50k-$75k",IF(D3200&lt;100000,"$75k-$100k","$100k+")))))</x:f>
        <x:v>$25k-$50k</x:v>
      </x:c>
      <x:c r="P3200" t="str">
        <x:f>IF(E3200="","Unknown",IF(E3200&lt;10,"&lt;10",IF(E3200&lt;20,"10-&lt;20",IF(E3200&lt;25,"20-&lt;25",IF(E3200&lt;35,"25-&lt;35","35+")))))</x:f>
        <x:v>10-&lt;20</x:v>
      </x:c>
    </x:row>
    <x:row r="3201">
      <x:c r="A3201" t="str">
        <x:v>SYN0003200</x:v>
      </x:c>
      <x:c r="B3201" s="12" t="n">
        <x:v>42805</x:v>
      </x:c>
      <x:c r="C3201" s="18" t="n">
        <x:v>8380</x:v>
      </x:c>
      <x:c r="D3201" s="18" t="n">
        <x:v>63191</x:v>
      </x:c>
      <x:c r="E3201" s="18" t="n">
        <x:v>17.46</x:v>
      </x:c>
      <x:c r="F3201" s="18" t="n">
        <x:v>13.83</x:v>
      </x:c>
      <x:c r="G3201" t="n">
        <x:v>36</x:v>
      </x:c>
      <x:c r="H3201" t="str">
        <x:v>D</x:v>
      </x:c>
      <x:c r="I3201" t="str">
        <x:v>10+ years</x:v>
      </x:c>
      <x:c r="J3201" t="str">
        <x:v>MORTGAGE</x:v>
      </x:c>
      <x:c r="K3201" t="str">
        <x:v>home_improvement</x:v>
      </x:c>
      <x:c r="L3201" t="n">
        <x:v>0</x:v>
      </x:c>
      <x:c r="M3201" t="n">
        <x:v>0</x:v>
      </x:c>
      <x:c r="N3201" t="str">
        <x:v>Fully Paid</x:v>
      </x:c>
      <x:c r="O3201" t="str">
        <x:f>IF(D3201="","Unknown",IF(D3201&lt;25000,"&lt;$25k",IF(D3201&lt;50000,"$25k-$50k",IF(D3201&lt;75000,"$50k-$75k",IF(D3201&lt;100000,"$75k-$100k","$100k+")))))</x:f>
        <x:v>$50k-$75k</x:v>
      </x:c>
      <x:c r="P3201" t="str">
        <x:f>IF(E3201="","Unknown",IF(E3201&lt;10,"&lt;10",IF(E3201&lt;20,"10-&lt;20",IF(E3201&lt;25,"20-&lt;25",IF(E3201&lt;35,"25-&lt;35","35+")))))</x:f>
        <x:v>10-&lt;20</x:v>
      </x:c>
    </x:row>
    <x:row r="3202">
      <x:c r="A3202" t="str">
        <x:v>SYN0003201</x:v>
      </x:c>
      <x:c r="B3202" s="12" t="n">
        <x:v>41905</x:v>
      </x:c>
      <x:c r="C3202" s="18" t="n">
        <x:v>16111</x:v>
      </x:c>
      <x:c r="D3202" s="18" t="n">
        <x:v>164671</x:v>
      </x:c>
      <x:c r="E3202" s="18" t="n">
        <x:v>18.73</x:v>
      </x:c>
      <x:c r="F3202" s="18" t="n">
        <x:v>12.45</x:v>
      </x:c>
      <x:c r="G3202" t="n">
        <x:v>36</x:v>
      </x:c>
      <x:c r="H3202" t="str">
        <x:v>C</x:v>
      </x:c>
      <x:c r="I3202" t="str">
        <x:v>1-3 years</x:v>
      </x:c>
      <x:c r="J3202" t="str">
        <x:v>RENT</x:v>
      </x:c>
      <x:c r="K3202" t="str">
        <x:v>home_improvement</x:v>
      </x:c>
      <x:c r="L3202" t="n">
        <x:v>0</x:v>
      </x:c>
      <x:c r="M3202" t="n">
        <x:v>0</x:v>
      </x:c>
      <x:c r="N3202" t="str">
        <x:v>Fully Paid</x:v>
      </x:c>
      <x:c r="O3202" t="str">
        <x:f>IF(D3202="","Unknown",IF(D3202&lt;25000,"&lt;$25k",IF(D3202&lt;50000,"$25k-$50k",IF(D3202&lt;75000,"$50k-$75k",IF(D3202&lt;100000,"$75k-$100k","$100k+")))))</x:f>
        <x:v>$100k+</x:v>
      </x:c>
      <x:c r="P3202" t="str">
        <x:f>IF(E3202="","Unknown",IF(E3202&lt;10,"&lt;10",IF(E3202&lt;20,"10-&lt;20",IF(E3202&lt;25,"20-&lt;25",IF(E3202&lt;35,"25-&lt;35","35+")))))</x:f>
        <x:v>10-&lt;20</x:v>
      </x:c>
    </x:row>
    <x:row r="3203">
      <x:c r="A3203" t="str">
        <x:v>SYN0003202</x:v>
      </x:c>
      <x:c r="B3203" s="12" t="n">
        <x:v>42295</x:v>
      </x:c>
      <x:c r="C3203" s="18" t="n">
        <x:v>11962</x:v>
      </x:c>
      <x:c r="D3203" s="18" t="n">
        <x:v>137935</x:v>
      </x:c>
      <x:c r="E3203" s="18" t="n">
        <x:v>21.43</x:v>
      </x:c>
      <x:c r="F3203" s="18" t="n">
        <x:v>15.81</x:v>
      </x:c>
      <x:c r="G3203" t="n">
        <x:v>60</x:v>
      </x:c>
      <x:c r="H3203" t="str">
        <x:v>D</x:v>
      </x:c>
      <x:c r="I3203" t="str">
        <x:v>1-3 years</x:v>
      </x:c>
      <x:c r="J3203" t="str">
        <x:v>RENT</x:v>
      </x:c>
      <x:c r="K3203" t="str">
        <x:v>other</x:v>
      </x:c>
      <x:c r="L3203" t="n">
        <x:v>0</x:v>
      </x:c>
      <x:c r="M3203" t="n">
        <x:v>0</x:v>
      </x:c>
      <x:c r="N3203" t="str">
        <x:v>Fully Paid</x:v>
      </x:c>
      <x:c r="O3203" t="str">
        <x:f>IF(D3203="","Unknown",IF(D3203&lt;25000,"&lt;$25k",IF(D3203&lt;50000,"$25k-$50k",IF(D3203&lt;75000,"$50k-$75k",IF(D3203&lt;100000,"$75k-$100k","$100k+")))))</x:f>
        <x:v>$100k+</x:v>
      </x:c>
      <x:c r="P3203" t="str">
        <x:f>IF(E3203="","Unknown",IF(E3203&lt;10,"&lt;10",IF(E3203&lt;20,"10-&lt;20",IF(E3203&lt;25,"20-&lt;25",IF(E3203&lt;35,"25-&lt;35","35+")))))</x:f>
        <x:v>20-&lt;25</x:v>
      </x:c>
    </x:row>
    <x:row r="3204">
      <x:c r="A3204" t="str">
        <x:v>SYN0003203</x:v>
      </x:c>
      <x:c r="B3204" s="12" t="n">
        <x:v>42265</x:v>
      </x:c>
      <x:c r="C3204" s="18" t="n">
        <x:v>4837</x:v>
      </x:c>
      <x:c r="D3204" s="18" t="n">
        <x:v>26057</x:v>
      </x:c>
      <x:c r="E3204" s="18" t="n">
        <x:v>19.05</x:v>
      </x:c>
      <x:c r="F3204" s="18" t="n">
        <x:v>8.5</x:v>
      </x:c>
      <x:c r="G3204" t="n">
        <x:v>36</x:v>
      </x:c>
      <x:c r="H3204" t="str">
        <x:v>C</x:v>
      </x:c>
      <x:c r="I3204" t="str">
        <x:v>&lt;1 year</x:v>
      </x:c>
      <x:c r="J3204" t="str">
        <x:v>RENT</x:v>
      </x:c>
      <x:c r="K3204" t="str">
        <x:v>major_purchase</x:v>
      </x:c>
      <x:c r="L3204" t="n">
        <x:v>1</x:v>
      </x:c>
      <x:c r="M3204" t="n">
        <x:v>0</x:v>
      </x:c>
      <x:c r="N3204" t="str">
        <x:v>Fully Paid</x:v>
      </x:c>
      <x:c r="O3204" t="str">
        <x:f>IF(D3204="","Unknown",IF(D3204&lt;25000,"&lt;$25k",IF(D3204&lt;50000,"$25k-$50k",IF(D3204&lt;75000,"$50k-$75k",IF(D3204&lt;100000,"$75k-$100k","$100k+")))))</x:f>
        <x:v>$25k-$50k</x:v>
      </x:c>
      <x:c r="P3204" t="str">
        <x:f>IF(E3204="","Unknown",IF(E3204&lt;10,"&lt;10",IF(E3204&lt;20,"10-&lt;20",IF(E3204&lt;25,"20-&lt;25",IF(E3204&lt;35,"25-&lt;35","35+")))))</x:f>
        <x:v>10-&lt;20</x:v>
      </x:c>
    </x:row>
    <x:row r="3205">
      <x:c r="A3205" t="str">
        <x:v>SYN0003204</x:v>
      </x:c>
      <x:c r="B3205" s="12" t="n">
        <x:v>42385</x:v>
      </x:c>
      <x:c r="C3205" s="18" t="n">
        <x:v>20474</x:v>
      </x:c>
      <x:c r="D3205" s="18" t="n">
        <x:v>59865</x:v>
      </x:c>
      <x:c r="E3205" s="18" t="n">
        <x:v>33.24</x:v>
      </x:c>
      <x:c r="F3205" s="18" t="n">
        <x:v>17.1</x:v>
      </x:c>
      <x:c r="G3205" t="n">
        <x:v>36</x:v>
      </x:c>
      <x:c r="H3205" t="str">
        <x:v>F</x:v>
      </x:c>
      <x:c r="I3205" t="str">
        <x:v>10+ years</x:v>
      </x:c>
      <x:c r="J3205" t="str">
        <x:v>RENT</x:v>
      </x:c>
      <x:c r="K3205" t="str">
        <x:v>debt_consolidation</x:v>
      </x:c>
      <x:c r="L3205" t="n">
        <x:v>0</x:v>
      </x:c>
      <x:c r="M3205" t="n">
        <x:v>0</x:v>
      </x:c>
      <x:c r="N3205" t="str">
        <x:v>Fully Paid</x:v>
      </x:c>
      <x:c r="O3205" t="str">
        <x:f>IF(D3205="","Unknown",IF(D3205&lt;25000,"&lt;$25k",IF(D3205&lt;50000,"$25k-$50k",IF(D3205&lt;75000,"$50k-$75k",IF(D3205&lt;100000,"$75k-$100k","$100k+")))))</x:f>
        <x:v>$50k-$75k</x:v>
      </x:c>
      <x:c r="P3205" t="str">
        <x:f>IF(E3205="","Unknown",IF(E3205&lt;10,"&lt;10",IF(E3205&lt;20,"10-&lt;20",IF(E3205&lt;25,"20-&lt;25",IF(E3205&lt;35,"25-&lt;35","35+")))))</x:f>
        <x:v>25-&lt;35</x:v>
      </x:c>
    </x:row>
    <x:row r="3206">
      <x:c r="A3206" t="str">
        <x:v>SYN0003205</x:v>
      </x:c>
      <x:c r="B3206" s="12" t="n">
        <x:v>43105</x:v>
      </x:c>
      <x:c r="C3206" s="18" t="n">
        <x:v>21024</x:v>
      </x:c>
      <x:c r="D3206" s="18" t="n">
        <x:v>52335</x:v>
      </x:c>
      <x:c r="E3206" s="18" t="n">
        <x:v>18.03</x:v>
      </x:c>
      <x:c r="F3206" s="18" t="n">
        <x:v>8.28</x:v>
      </x:c>
      <x:c r="G3206" t="n">
        <x:v>36</x:v>
      </x:c>
      <x:c r="H3206" t="str">
        <x:v>B</x:v>
      </x:c>
      <x:c r="I3206" t="str">
        <x:v>7-9 years</x:v>
      </x:c>
      <x:c r="J3206" t="str">
        <x:v>OWN</x:v>
      </x:c>
      <x:c r="K3206" t="str">
        <x:v>medical</x:v>
      </x:c>
      <x:c r="L3206" t="n">
        <x:v>0</x:v>
      </x:c>
      <x:c r="M3206" t="n">
        <x:v>0</x:v>
      </x:c>
      <x:c r="N3206" t="str">
        <x:v>Fully Paid</x:v>
      </x:c>
      <x:c r="O3206" t="str">
        <x:f>IF(D3206="","Unknown",IF(D3206&lt;25000,"&lt;$25k",IF(D3206&lt;50000,"$25k-$50k",IF(D3206&lt;75000,"$50k-$75k",IF(D3206&lt;100000,"$75k-$100k","$100k+")))))</x:f>
        <x:v>$50k-$75k</x:v>
      </x:c>
      <x:c r="P3206" t="str">
        <x:f>IF(E3206="","Unknown",IF(E3206&lt;10,"&lt;10",IF(E3206&lt;20,"10-&lt;20",IF(E3206&lt;25,"20-&lt;25",IF(E3206&lt;35,"25-&lt;35","35+")))))</x:f>
        <x:v>10-&lt;20</x:v>
      </x:c>
    </x:row>
    <x:row r="3207">
      <x:c r="A3207" t="str">
        <x:v>SYN0003206</x:v>
      </x:c>
      <x:c r="B3207" s="12" t="n">
        <x:v>41275</x:v>
      </x:c>
      <x:c r="C3207" s="18" t="n">
        <x:v>8025</x:v>
      </x:c>
      <x:c r="D3207" s="18" t="n">
        <x:v>65935</x:v>
      </x:c>
      <x:c r="E3207" s="18" t="n">
        <x:v>28.51</x:v>
      </x:c>
      <x:c r="F3207" s="18" t="n">
        <x:v>14.8</x:v>
      </x:c>
      <x:c r="G3207" t="n">
        <x:v>36</x:v>
      </x:c>
      <x:c r="H3207" t="str">
        <x:v>D</x:v>
      </x:c>
      <x:c r="I3207" t="str">
        <x:v>1-3 years</x:v>
      </x:c>
      <x:c r="J3207" t="str">
        <x:v>OWN</x:v>
      </x:c>
      <x:c r="K3207" t="str">
        <x:v>debt_consolidation</x:v>
      </x:c>
      <x:c r="L3207" t="n">
        <x:v>0</x:v>
      </x:c>
      <x:c r="M3207" t="n">
        <x:v>0</x:v>
      </x:c>
      <x:c r="N3207" t="str">
        <x:v>Fully Paid</x:v>
      </x:c>
      <x:c r="O3207" t="str">
        <x:f>IF(D3207="","Unknown",IF(D3207&lt;25000,"&lt;$25k",IF(D3207&lt;50000,"$25k-$50k",IF(D3207&lt;75000,"$50k-$75k",IF(D3207&lt;100000,"$75k-$100k","$100k+")))))</x:f>
        <x:v>$50k-$75k</x:v>
      </x:c>
      <x:c r="P3207" t="str">
        <x:f>IF(E3207="","Unknown",IF(E3207&lt;10,"&lt;10",IF(E3207&lt;20,"10-&lt;20",IF(E3207&lt;25,"20-&lt;25",IF(E3207&lt;35,"25-&lt;35","35+")))))</x:f>
        <x:v>25-&lt;35</x:v>
      </x:c>
    </x:row>
    <x:row r="3208">
      <x:c r="A3208" t="str">
        <x:v>SYN0003207</x:v>
      </x:c>
      <x:c r="B3208" s="12" t="n">
        <x:v>43225</x:v>
      </x:c>
      <x:c r="C3208" s="18" t="n">
        <x:v>11995</x:v>
      </x:c>
      <x:c r="D3208" s="18" t="n">
        <x:v>53494</x:v>
      </x:c>
      <x:c r="E3208" s="18" t="n">
        <x:v>16.22</x:v>
      </x:c>
      <x:c r="F3208" s="18" t="n">
        <x:v>12.86</x:v>
      </x:c>
      <x:c r="G3208" t="n">
        <x:v>36</x:v>
      </x:c>
      <x:c r="H3208" t="str">
        <x:v>D</x:v>
      </x:c>
      <x:c r="I3208" t="str">
        <x:v>10+ years</x:v>
      </x:c>
      <x:c r="J3208" t="str">
        <x:v>RENT</x:v>
      </x:c>
      <x:c r="K3208" t="str">
        <x:v>credit_card</x:v>
      </x:c>
      <x:c r="L3208" t="n">
        <x:v>2</x:v>
      </x:c>
      <x:c r="M3208" t="n">
        <x:v>0</x:v>
      </x:c>
      <x:c r="N3208" t="str">
        <x:v>Fully Paid</x:v>
      </x:c>
      <x:c r="O3208" t="str">
        <x:f>IF(D3208="","Unknown",IF(D3208&lt;25000,"&lt;$25k",IF(D3208&lt;50000,"$25k-$50k",IF(D3208&lt;75000,"$50k-$75k",IF(D3208&lt;100000,"$75k-$100k","$100k+")))))</x:f>
        <x:v>$50k-$75k</x:v>
      </x:c>
      <x:c r="P3208" t="str">
        <x:f>IF(E3208="","Unknown",IF(E3208&lt;10,"&lt;10",IF(E3208&lt;20,"10-&lt;20",IF(E3208&lt;25,"20-&lt;25",IF(E3208&lt;35,"25-&lt;35","35+")))))</x:f>
        <x:v>10-&lt;20</x:v>
      </x:c>
    </x:row>
    <x:row r="3209">
      <x:c r="A3209" t="str">
        <x:v>SYN0003208</x:v>
      </x:c>
      <x:c r="B3209" s="12" t="n">
        <x:v>41335</x:v>
      </x:c>
      <x:c r="C3209" s="18" t="n">
        <x:v>16812</x:v>
      </x:c>
      <x:c r="D3209" s="18" t="n">
        <x:v>59224</x:v>
      </x:c>
      <x:c r="E3209" s="18" t="n">
        <x:v>16.79</x:v>
      </x:c>
      <x:c r="F3209" s="18" t="n">
        <x:v>9.43</x:v>
      </x:c>
      <x:c r="G3209" t="n">
        <x:v>36</x:v>
      </x:c>
      <x:c r="H3209" t="str">
        <x:v>C</x:v>
      </x:c>
      <x:c r="I3209" t="str">
        <x:v>10+ years</x:v>
      </x:c>
      <x:c r="J3209" t="str">
        <x:v>RENT</x:v>
      </x:c>
      <x:c r="K3209" t="str">
        <x:v>debt_consolidation</x:v>
      </x:c>
      <x:c r="L3209" t="n">
        <x:v>1</x:v>
      </x:c>
      <x:c r="M3209" t="n">
        <x:v>0</x:v>
      </x:c>
      <x:c r="N3209" t="str">
        <x:v>Fully Paid</x:v>
      </x:c>
      <x:c r="O3209" t="str">
        <x:f>IF(D3209="","Unknown",IF(D3209&lt;25000,"&lt;$25k",IF(D3209&lt;50000,"$25k-$50k",IF(D3209&lt;75000,"$50k-$75k",IF(D3209&lt;100000,"$75k-$100k","$100k+")))))</x:f>
        <x:v>$50k-$75k</x:v>
      </x:c>
      <x:c r="P3209" t="str">
        <x:f>IF(E3209="","Unknown",IF(E3209&lt;10,"&lt;10",IF(E3209&lt;20,"10-&lt;20",IF(E3209&lt;25,"20-&lt;25",IF(E3209&lt;35,"25-&lt;35","35+")))))</x:f>
        <x:v>10-&lt;20</x:v>
      </x:c>
    </x:row>
    <x:row r="3210">
      <x:c r="A3210" t="str">
        <x:v>SYN0003209</x:v>
      </x:c>
      <x:c r="B3210" s="12" t="n">
        <x:v>41425</x:v>
      </x:c>
      <x:c r="C3210" s="18" t="n">
        <x:v>12965</x:v>
      </x:c>
      <x:c r="D3210" s="18" t="n">
        <x:v>72598</x:v>
      </x:c>
      <x:c r="E3210" s="18" t="n">
        <x:v>25.71</x:v>
      </x:c>
      <x:c r="F3210" s="18" t="n">
        <x:v>5.15</x:v>
      </x:c>
      <x:c r="G3210" t="n">
        <x:v>60</x:v>
      </x:c>
      <x:c r="H3210" t="str">
        <x:v>A</x:v>
      </x:c>
      <x:c r="I3210" t="str">
        <x:v>10+ years</x:v>
      </x:c>
      <x:c r="J3210" t="str">
        <x:v>RENT</x:v>
      </x:c>
      <x:c r="K3210" t="str">
        <x:v>medical</x:v>
      </x:c>
      <x:c r="L3210" t="n">
        <x:v>0</x:v>
      </x:c>
      <x:c r="M3210" t="n">
        <x:v>0</x:v>
      </x:c>
      <x:c r="N3210" t="str">
        <x:v>Fully Paid</x:v>
      </x:c>
      <x:c r="O3210" t="str">
        <x:f>IF(D3210="","Unknown",IF(D3210&lt;25000,"&lt;$25k",IF(D3210&lt;50000,"$25k-$50k",IF(D3210&lt;75000,"$50k-$75k",IF(D3210&lt;100000,"$75k-$100k","$100k+")))))</x:f>
        <x:v>$50k-$75k</x:v>
      </x:c>
      <x:c r="P3210" t="str">
        <x:f>IF(E3210="","Unknown",IF(E3210&lt;10,"&lt;10",IF(E3210&lt;20,"10-&lt;20",IF(E3210&lt;25,"20-&lt;25",IF(E3210&lt;35,"25-&lt;35","35+")))))</x:f>
        <x:v>25-&lt;35</x:v>
      </x:c>
    </x:row>
    <x:row r="3211">
      <x:c r="A3211" t="str">
        <x:v>SYN0003210</x:v>
      </x:c>
      <x:c r="B3211" s="12" t="n">
        <x:v>41845</x:v>
      </x:c>
      <x:c r="C3211" s="18" t="n">
        <x:v>9250</x:v>
      </x:c>
      <x:c r="D3211" s="18" t="n">
        <x:v>34907</x:v>
      </x:c>
      <x:c r="E3211" s="18" t="n">
        <x:v>18.69</x:v>
      </x:c>
      <x:c r="F3211" s="18" t="n">
        <x:v>10.28</x:v>
      </x:c>
      <x:c r="G3211" t="n">
        <x:v>36</x:v>
      </x:c>
      <x:c r="H3211" t="str">
        <x:v>C</x:v>
      </x:c>
      <x:c r="I3211" t="str">
        <x:v>10+ years</x:v>
      </x:c>
      <x:c r="J3211" t="str">
        <x:v>MORTGAGE</x:v>
      </x:c>
      <x:c r="K3211" t="str">
        <x:v>debt_consolidation</x:v>
      </x:c>
      <x:c r="L3211" t="n">
        <x:v>0</x:v>
      </x:c>
      <x:c r="M3211" t="n">
        <x:v>1</x:v>
      </x:c>
      <x:c r="N3211" t="str">
        <x:v>Charged Off</x:v>
      </x:c>
      <x:c r="O3211" t="str">
        <x:f>IF(D3211="","Unknown",IF(D3211&lt;25000,"&lt;$25k",IF(D3211&lt;50000,"$25k-$50k",IF(D3211&lt;75000,"$50k-$75k",IF(D3211&lt;100000,"$75k-$100k","$100k+")))))</x:f>
        <x:v>$25k-$50k</x:v>
      </x:c>
      <x:c r="P3211" t="str">
        <x:f>IF(E3211="","Unknown",IF(E3211&lt;10,"&lt;10",IF(E3211&lt;20,"10-&lt;20",IF(E3211&lt;25,"20-&lt;25",IF(E3211&lt;35,"25-&lt;35","35+")))))</x:f>
        <x:v>10-&lt;20</x:v>
      </x:c>
    </x:row>
    <x:row r="3212">
      <x:c r="A3212" t="str">
        <x:v>SYN0003211</x:v>
      </x:c>
      <x:c r="B3212" s="12" t="n">
        <x:v>41815</x:v>
      </x:c>
      <x:c r="C3212" s="18" t="n">
        <x:v>7755</x:v>
      </x:c>
      <x:c r="D3212" s="18" t="n">
        <x:v>56597</x:v>
      </x:c>
      <x:c r="E3212" s="18" t="n">
        <x:v>0</x:v>
      </x:c>
      <x:c r="F3212" s="18" t="n">
        <x:v>15.4</x:v>
      </x:c>
      <x:c r="G3212" t="n">
        <x:v>36</x:v>
      </x:c>
      <x:c r="H3212" t="str">
        <x:v>E</x:v>
      </x:c>
      <x:c r="I3212" t="str">
        <x:v>4-6 years</x:v>
      </x:c>
      <x:c r="J3212" t="str">
        <x:v>MORTGAGE</x:v>
      </x:c>
      <x:c r="K3212" t="str">
        <x:v>debt_consolidation</x:v>
      </x:c>
      <x:c r="L3212" t="n">
        <x:v>0</x:v>
      </x:c>
      <x:c r="M3212" t="n">
        <x:v>0</x:v>
      </x:c>
      <x:c r="N3212" t="str">
        <x:v>Fully Paid</x:v>
      </x:c>
      <x:c r="O3212" t="str">
        <x:f>IF(D3212="","Unknown",IF(D3212&lt;25000,"&lt;$25k",IF(D3212&lt;50000,"$25k-$50k",IF(D3212&lt;75000,"$50k-$75k",IF(D3212&lt;100000,"$75k-$100k","$100k+")))))</x:f>
        <x:v>$50k-$75k</x:v>
      </x:c>
      <x:c r="P3212" t="str">
        <x:f>IF(E3212="","Unknown",IF(E3212&lt;10,"&lt;10",IF(E3212&lt;20,"10-&lt;20",IF(E3212&lt;25,"20-&lt;25",IF(E3212&lt;35,"25-&lt;35","35+")))))</x:f>
        <x:v>Unknown</x:v>
      </x:c>
    </x:row>
    <x:row r="3213">
      <x:c r="A3213" t="str">
        <x:v>SYN0003212</x:v>
      </x:c>
      <x:c r="B3213" s="12" t="n">
        <x:v>43075</x:v>
      </x:c>
      <x:c r="C3213" s="18" t="n">
        <x:v>10865</x:v>
      </x:c>
      <x:c r="D3213" s="18" t="n">
        <x:v>86996</x:v>
      </x:c>
      <x:c r="E3213" s="18" t="n">
        <x:v>24.73</x:v>
      </x:c>
      <x:c r="F3213" s="18" t="n">
        <x:v>9.72</x:v>
      </x:c>
      <x:c r="G3213" t="n">
        <x:v>36</x:v>
      </x:c>
      <x:c r="H3213" t="str">
        <x:v>C</x:v>
      </x:c>
      <x:c r="I3213" t="str">
        <x:v>7-9 years</x:v>
      </x:c>
      <x:c r="J3213" t="str">
        <x:v>RENT</x:v>
      </x:c>
      <x:c r="K3213" t="str">
        <x:v>home_improvement</x:v>
      </x:c>
      <x:c r="L3213" t="n">
        <x:v>0</x:v>
      </x:c>
      <x:c r="M3213" t="n">
        <x:v>0</x:v>
      </x:c>
      <x:c r="N3213" t="str">
        <x:v>Fully Paid</x:v>
      </x:c>
      <x:c r="O3213" t="str">
        <x:f>IF(D3213="","Unknown",IF(D3213&lt;25000,"&lt;$25k",IF(D3213&lt;50000,"$25k-$50k",IF(D3213&lt;75000,"$50k-$75k",IF(D3213&lt;100000,"$75k-$100k","$100k+")))))</x:f>
        <x:v>$75k-$100k</x:v>
      </x:c>
      <x:c r="P3213" t="str">
        <x:f>IF(E3213="","Unknown",IF(E3213&lt;10,"&lt;10",IF(E3213&lt;20,"10-&lt;20",IF(E3213&lt;25,"20-&lt;25",IF(E3213&lt;35,"25-&lt;35","35+")))))</x:f>
        <x:v>20-&lt;25</x:v>
      </x:c>
    </x:row>
    <x:row r="3214">
      <x:c r="A3214" t="str">
        <x:v>SYN0003213</x:v>
      </x:c>
      <x:c r="B3214" s="12" t="n">
        <x:v>42925</x:v>
      </x:c>
      <x:c r="C3214" s="18" t="n">
        <x:v>7729</x:v>
      </x:c>
      <x:c r="D3214" s="18" t="n">
        <x:v>40965</x:v>
      </x:c>
      <x:c r="E3214" s="18" t="n">
        <x:v>19.99</x:v>
      </x:c>
      <x:c r="F3214" s="18" t="n">
        <x:v>10.49</x:v>
      </x:c>
      <x:c r="G3214" t="n">
        <x:v>36</x:v>
      </x:c>
      <x:c r="H3214" t="str">
        <x:v>D</x:v>
      </x:c>
      <x:c r="I3214" t="str">
        <x:v>4-6 years</x:v>
      </x:c>
      <x:c r="J3214" t="str">
        <x:v>MORTGAGE</x:v>
      </x:c>
      <x:c r="K3214" t="str">
        <x:v>other</x:v>
      </x:c>
      <x:c r="L3214" t="n">
        <x:v>0</x:v>
      </x:c>
      <x:c r="M3214" t="n">
        <x:v>0</x:v>
      </x:c>
      <x:c r="N3214" t="str">
        <x:v>Fully Paid</x:v>
      </x:c>
      <x:c r="O3214" t="str">
        <x:f>IF(D3214="","Unknown",IF(D3214&lt;25000,"&lt;$25k",IF(D3214&lt;50000,"$25k-$50k",IF(D3214&lt;75000,"$50k-$75k",IF(D3214&lt;100000,"$75k-$100k","$100k+")))))</x:f>
        <x:v>$25k-$50k</x:v>
      </x:c>
      <x:c r="P3214" t="str">
        <x:f>IF(E3214="","Unknown",IF(E3214&lt;10,"&lt;10",IF(E3214&lt;20,"10-&lt;20",IF(E3214&lt;25,"20-&lt;25",IF(E3214&lt;35,"25-&lt;35","35+")))))</x:f>
        <x:v>10-&lt;20</x:v>
      </x:c>
    </x:row>
    <x:row r="3215">
      <x:c r="A3215" t="str">
        <x:v>SYN0003214</x:v>
      </x:c>
      <x:c r="B3215" s="12" t="n">
        <x:v>42085</x:v>
      </x:c>
      <x:c r="C3215" s="18" t="n">
        <x:v>10661</x:v>
      </x:c>
      <x:c r="D3215" s="18" t="n">
        <x:v>138664</x:v>
      </x:c>
      <x:c r="E3215" s="18" t="n">
        <x:v>28.39</x:v>
      </x:c>
      <x:c r="F3215" s="18" t="n">
        <x:v>8.52</x:v>
      </x:c>
      <x:c r="G3215" t="n">
        <x:v>36</x:v>
      </x:c>
      <x:c r="H3215" t="str">
        <x:v>B</x:v>
      </x:c>
      <x:c r="I3215" t="str">
        <x:v>1-3 years</x:v>
      </x:c>
      <x:c r="J3215" t="str">
        <x:v>MORTGAGE</x:v>
      </x:c>
      <x:c r="K3215" t="str">
        <x:v>credit_card</x:v>
      </x:c>
      <x:c r="L3215" t="n">
        <x:v>0</x:v>
      </x:c>
      <x:c r="M3215" t="n">
        <x:v>0</x:v>
      </x:c>
      <x:c r="N3215" t="str">
        <x:v>Fully Paid</x:v>
      </x:c>
      <x:c r="O3215" t="str">
        <x:f>IF(D3215="","Unknown",IF(D3215&lt;25000,"&lt;$25k",IF(D3215&lt;50000,"$25k-$50k",IF(D3215&lt;75000,"$50k-$75k",IF(D3215&lt;100000,"$75k-$100k","$100k+")))))</x:f>
        <x:v>$100k+</x:v>
      </x:c>
      <x:c r="P3215" t="str">
        <x:f>IF(E3215="","Unknown",IF(E3215&lt;10,"&lt;10",IF(E3215&lt;20,"10-&lt;20",IF(E3215&lt;25,"20-&lt;25",IF(E3215&lt;35,"25-&lt;35","35+")))))</x:f>
        <x:v>25-&lt;35</x:v>
      </x:c>
    </x:row>
    <x:row r="3216">
      <x:c r="A3216" t="str">
        <x:v>SYN0003215</x:v>
      </x:c>
      <x:c r="B3216" s="12" t="n">
        <x:v>41335</x:v>
      </x:c>
      <x:c r="C3216" s="18" t="n">
        <x:v>21069</x:v>
      </x:c>
      <x:c r="D3216" s="18" t="n">
        <x:v>33031</x:v>
      </x:c>
      <x:c r="E3216" s="18" t="n">
        <x:v>1.02</x:v>
      </x:c>
      <x:c r="F3216" s="18" t="n">
        <x:v>9.51</x:v>
      </x:c>
      <x:c r="G3216" t="n">
        <x:v>36</x:v>
      </x:c>
      <x:c r="H3216" t="str">
        <x:v>B</x:v>
      </x:c>
      <x:c r="I3216" t="str">
        <x:v>10+ years</x:v>
      </x:c>
      <x:c r="J3216" t="str">
        <x:v>RENT</x:v>
      </x:c>
      <x:c r="K3216" t="str">
        <x:v>home_improvement</x:v>
      </x:c>
      <x:c r="L3216" t="n">
        <x:v>0</x:v>
      </x:c>
      <x:c r="M3216" t="n">
        <x:v>0</x:v>
      </x:c>
      <x:c r="N3216" t="str">
        <x:v>Fully Paid</x:v>
      </x:c>
      <x:c r="O3216" t="str">
        <x:f>IF(D3216="","Unknown",IF(D3216&lt;25000,"&lt;$25k",IF(D3216&lt;50000,"$25k-$50k",IF(D3216&lt;75000,"$50k-$75k",IF(D3216&lt;100000,"$75k-$100k","$100k+")))))</x:f>
        <x:v>$25k-$50k</x:v>
      </x:c>
      <x:c r="P3216" t="str">
        <x:f>IF(E3216="","Unknown",IF(E3216&lt;10,"&lt;10",IF(E3216&lt;20,"10-&lt;20",IF(E3216&lt;25,"20-&lt;25",IF(E3216&lt;35,"25-&lt;35","35+")))))</x:f>
        <x:v>&lt;10</x:v>
      </x:c>
    </x:row>
    <x:row r="3217">
      <x:c r="A3217" t="str">
        <x:v>SYN0003216</x:v>
      </x:c>
      <x:c r="B3217" s="12" t="n">
        <x:v>42535</x:v>
      </x:c>
      <x:c r="C3217" s="18" t="n">
        <x:v>20006</x:v>
      </x:c>
      <x:c r="D3217" s="18" t="n">
        <x:v>46808</x:v>
      </x:c>
      <x:c r="E3217" s="18" t="n">
        <x:v>16.71</x:v>
      </x:c>
      <x:c r="F3217" s="18" t="n">
        <x:v>5</x:v>
      </x:c>
      <x:c r="G3217" t="n">
        <x:v>36</x:v>
      </x:c>
      <x:c r="H3217" t="str">
        <x:v>A</x:v>
      </x:c>
      <x:c r="I3217" t="str">
        <x:v>7-9 years</x:v>
      </x:c>
      <x:c r="J3217" t="str">
        <x:v>MORTGAGE</x:v>
      </x:c>
      <x:c r="K3217" t="str">
        <x:v>credit_card</x:v>
      </x:c>
      <x:c r="L3217" t="n">
        <x:v>0</x:v>
      </x:c>
      <x:c r="M3217" t="n">
        <x:v>0</x:v>
      </x:c>
      <x:c r="N3217" t="str">
        <x:v>Fully Paid</x:v>
      </x:c>
      <x:c r="O3217" t="str">
        <x:f>IF(D3217="","Unknown",IF(D3217&lt;25000,"&lt;$25k",IF(D3217&lt;50000,"$25k-$50k",IF(D3217&lt;75000,"$50k-$75k",IF(D3217&lt;100000,"$75k-$100k","$100k+")))))</x:f>
        <x:v>$25k-$50k</x:v>
      </x:c>
      <x:c r="P3217" t="str">
        <x:f>IF(E3217="","Unknown",IF(E3217&lt;10,"&lt;10",IF(E3217&lt;20,"10-&lt;20",IF(E3217&lt;25,"20-&lt;25",IF(E3217&lt;35,"25-&lt;35","35+")))))</x:f>
        <x:v>10-&lt;20</x:v>
      </x:c>
    </x:row>
    <x:row r="3218">
      <x:c r="A3218" t="str">
        <x:v>SYN0003217</x:v>
      </x:c>
      <x:c r="B3218" s="12" t="n">
        <x:v>42085</x:v>
      </x:c>
      <x:c r="C3218" s="18" t="n">
        <x:v>19186</x:v>
      </x:c>
      <x:c r="D3218" s="18" t="n">
        <x:v>44790</x:v>
      </x:c>
      <x:c r="E3218" s="18" t="n">
        <x:v>24.6</x:v>
      </x:c>
      <x:c r="F3218" s="18" t="n">
        <x:v>12.61</x:v>
      </x:c>
      <x:c r="G3218" t="n">
        <x:v>36</x:v>
      </x:c>
      <x:c r="H3218" t="str">
        <x:v>C</x:v>
      </x:c>
      <x:c r="I3218" t="str">
        <x:v>&lt;1 year</x:v>
      </x:c>
      <x:c r="J3218" t="str">
        <x:v>MORTGAGE</x:v>
      </x:c>
      <x:c r="K3218" t="str">
        <x:v>credit_card</x:v>
      </x:c>
      <x:c r="L3218" t="n">
        <x:v>2</x:v>
      </x:c>
      <x:c r="M3218" t="n">
        <x:v>0</x:v>
      </x:c>
      <x:c r="N3218" t="str">
        <x:v>Fully Paid</x:v>
      </x:c>
      <x:c r="O3218" t="str">
        <x:f>IF(D3218="","Unknown",IF(D3218&lt;25000,"&lt;$25k",IF(D3218&lt;50000,"$25k-$50k",IF(D3218&lt;75000,"$50k-$75k",IF(D3218&lt;100000,"$75k-$100k","$100k+")))))</x:f>
        <x:v>$25k-$50k</x:v>
      </x:c>
      <x:c r="P3218" t="str">
        <x:f>IF(E3218="","Unknown",IF(E3218&lt;10,"&lt;10",IF(E3218&lt;20,"10-&lt;20",IF(E3218&lt;25,"20-&lt;25",IF(E3218&lt;35,"25-&lt;35","35+")))))</x:f>
        <x:v>20-&lt;25</x:v>
      </x:c>
    </x:row>
    <x:row r="3219">
      <x:c r="A3219" t="str">
        <x:v>SYN0003218</x:v>
      </x:c>
      <x:c r="B3219" s="12" t="n">
        <x:v>42505</x:v>
      </x:c>
      <x:c r="C3219" s="18" t="n">
        <x:v>5793</x:v>
      </x:c>
      <x:c r="D3219" s="18" t="n">
        <x:v>66533</x:v>
      </x:c>
      <x:c r="E3219" s="18" t="n">
        <x:v>43.34</x:v>
      </x:c>
      <x:c r="F3219" s="18" t="n">
        <x:v>15.39</x:v>
      </x:c>
      <x:c r="G3219" t="n">
        <x:v>36</x:v>
      </x:c>
      <x:c r="H3219" t="str">
        <x:v>E</x:v>
      </x:c>
      <x:c r="I3219" t="str">
        <x:v>1-3 years</x:v>
      </x:c>
      <x:c r="J3219" t="str">
        <x:v>OWN</x:v>
      </x:c>
      <x:c r="K3219" t="str">
        <x:v>debt_consolidation</x:v>
      </x:c>
      <x:c r="L3219" t="n">
        <x:v>1</x:v>
      </x:c>
      <x:c r="M3219" t="n">
        <x:v>1</x:v>
      </x:c>
      <x:c r="N3219" t="str">
        <x:v>Charged Off</x:v>
      </x:c>
      <x:c r="O3219" t="str">
        <x:f>IF(D3219="","Unknown",IF(D3219&lt;25000,"&lt;$25k",IF(D3219&lt;50000,"$25k-$50k",IF(D3219&lt;75000,"$50k-$75k",IF(D3219&lt;100000,"$75k-$100k","$100k+")))))</x:f>
        <x:v>$50k-$75k</x:v>
      </x:c>
      <x:c r="P3219" t="str">
        <x:f>IF(E3219="","Unknown",IF(E3219&lt;10,"&lt;10",IF(E3219&lt;20,"10-&lt;20",IF(E3219&lt;25,"20-&lt;25",IF(E3219&lt;35,"25-&lt;35","35+")))))</x:f>
        <x:v>35+</x:v>
      </x:c>
    </x:row>
    <x:row r="3220">
      <x:c r="A3220" t="str">
        <x:v>SYN0003219</x:v>
      </x:c>
      <x:c r="B3220" s="12" t="n">
        <x:v>41365</x:v>
      </x:c>
      <x:c r="C3220" s="18" t="n">
        <x:v>7863</x:v>
      </x:c>
      <x:c r="D3220" s="18" t="n">
        <x:v>59044</x:v>
      </x:c>
      <x:c r="E3220" s="18" t="n">
        <x:v>25.15</x:v>
      </x:c>
      <x:c r="F3220" s="18" t="n">
        <x:v>26.7</x:v>
      </x:c>
      <x:c r="G3220" t="n">
        <x:v>60</x:v>
      </x:c>
      <x:c r="H3220" t="str">
        <x:v>G</x:v>
      </x:c>
      <x:c r="I3220" t="str">
        <x:v>4-6 years</x:v>
      </x:c>
      <x:c r="J3220" t="str">
        <x:v>MORTGAGE</x:v>
      </x:c>
      <x:c r="K3220" t="str">
        <x:v>medical</x:v>
      </x:c>
      <x:c r="L3220" t="n">
        <x:v>2</x:v>
      </x:c>
      <x:c r="M3220" t="n">
        <x:v>0</x:v>
      </x:c>
      <x:c r="N3220" t="str">
        <x:v>Fully Paid</x:v>
      </x:c>
      <x:c r="O3220" t="str">
        <x:f>IF(D3220="","Unknown",IF(D3220&lt;25000,"&lt;$25k",IF(D3220&lt;50000,"$25k-$50k",IF(D3220&lt;75000,"$50k-$75k",IF(D3220&lt;100000,"$75k-$100k","$100k+")))))</x:f>
        <x:v>$50k-$75k</x:v>
      </x:c>
      <x:c r="P3220" t="str">
        <x:f>IF(E3220="","Unknown",IF(E3220&lt;10,"&lt;10",IF(E3220&lt;20,"10-&lt;20",IF(E3220&lt;25,"20-&lt;25",IF(E3220&lt;35,"25-&lt;35","35+")))))</x:f>
        <x:v>25-&lt;35</x:v>
      </x:c>
    </x:row>
    <x:row r="3221">
      <x:c r="A3221" t="str">
        <x:v>SYN0003220</x:v>
      </x:c>
      <x:c r="B3221" s="12" t="n">
        <x:v>41395</x:v>
      </x:c>
      <x:c r="C3221" s="18" t="n">
        <x:v>10921</x:v>
      </x:c>
      <x:c r="D3221" s="18" t="n">
        <x:v>57804</x:v>
      </x:c>
      <x:c r="E3221" s="18" t="n">
        <x:v>15.35</x:v>
      </x:c>
      <x:c r="F3221" s="18" t="n">
        <x:v>9.63</x:v>
      </x:c>
      <x:c r="G3221" t="n">
        <x:v>60</x:v>
      </x:c>
      <x:c r="H3221" t="str">
        <x:v>B</x:v>
      </x:c>
      <x:c r="I3221" t="str">
        <x:v>&lt;1 year</x:v>
      </x:c>
      <x:c r="J3221" t="str">
        <x:v>MORTGAGE</x:v>
      </x:c>
      <x:c r="K3221" t="str">
        <x:v>credit_card</x:v>
      </x:c>
      <x:c r="L3221" t="n">
        <x:v>0</x:v>
      </x:c>
      <x:c r="M3221" t="n">
        <x:v>1</x:v>
      </x:c>
      <x:c r="N3221" t="str">
        <x:v>Charged Off</x:v>
      </x:c>
      <x:c r="O3221" t="str">
        <x:f>IF(D3221="","Unknown",IF(D3221&lt;25000,"&lt;$25k",IF(D3221&lt;50000,"$25k-$50k",IF(D3221&lt;75000,"$50k-$75k",IF(D3221&lt;100000,"$75k-$100k","$100k+")))))</x:f>
        <x:v>$50k-$75k</x:v>
      </x:c>
      <x:c r="P3221" t="str">
        <x:f>IF(E3221="","Unknown",IF(E3221&lt;10,"&lt;10",IF(E3221&lt;20,"10-&lt;20",IF(E3221&lt;25,"20-&lt;25",IF(E3221&lt;35,"25-&lt;35","35+")))))</x:f>
        <x:v>10-&lt;20</x:v>
      </x:c>
    </x:row>
    <x:row r="3222">
      <x:c r="A3222" t="str">
        <x:v>SYN0003221</x:v>
      </x:c>
      <x:c r="B3222" s="12" t="n">
        <x:v>42295</x:v>
      </x:c>
      <x:c r="C3222" s="18" t="n">
        <x:v>8716</x:v>
      </x:c>
      <x:c r="D3222" s="18" t="n">
        <x:v>68847</x:v>
      </x:c>
      <x:c r="E3222" s="18" t="n">
        <x:v>12.72</x:v>
      </x:c>
      <x:c r="F3222" s="18" t="n">
        <x:v>12.99</x:v>
      </x:c>
      <x:c r="G3222" t="n">
        <x:v>36</x:v>
      </x:c>
      <x:c r="H3222" t="str">
        <x:v>D</x:v>
      </x:c>
      <x:c r="I3222" t="str">
        <x:v>10+ years</x:v>
      </x:c>
      <x:c r="J3222" t="str">
        <x:v>MORTGAGE</x:v>
      </x:c>
      <x:c r="K3222" t="str">
        <x:v>credit_card</x:v>
      </x:c>
      <x:c r="L3222" t="n">
        <x:v>1</x:v>
      </x:c>
      <x:c r="M3222" t="n">
        <x:v>0</x:v>
      </x:c>
      <x:c r="N3222" t="str">
        <x:v>Fully Paid</x:v>
      </x:c>
      <x:c r="O3222" t="str">
        <x:f>IF(D3222="","Unknown",IF(D3222&lt;25000,"&lt;$25k",IF(D3222&lt;50000,"$25k-$50k",IF(D3222&lt;75000,"$50k-$75k",IF(D3222&lt;100000,"$75k-$100k","$100k+")))))</x:f>
        <x:v>$50k-$75k</x:v>
      </x:c>
      <x:c r="P3222" t="str">
        <x:f>IF(E3222="","Unknown",IF(E3222&lt;10,"&lt;10",IF(E3222&lt;20,"10-&lt;20",IF(E3222&lt;25,"20-&lt;25",IF(E3222&lt;35,"25-&lt;35","35+")))))</x:f>
        <x:v>10-&lt;20</x:v>
      </x:c>
    </x:row>
    <x:row r="3223">
      <x:c r="A3223" t="str">
        <x:v>SYN0003222</x:v>
      </x:c>
      <x:c r="B3223" s="12" t="n">
        <x:v>43015</x:v>
      </x:c>
      <x:c r="C3223" s="18" t="n">
        <x:v>5837</x:v>
      </x:c>
      <x:c r="D3223" s="18" t="n">
        <x:v>25107</x:v>
      </x:c>
      <x:c r="E3223" s="18" t="n">
        <x:v>29.36</x:v>
      </x:c>
      <x:c r="F3223" s="18" t="n">
        <x:v>21.85</x:v>
      </x:c>
      <x:c r="G3223" t="n">
        <x:v>36</x:v>
      </x:c>
      <x:c r="H3223" t="str">
        <x:v>F</x:v>
      </x:c>
      <x:c r="I3223" t="str">
        <x:v>4-6 years</x:v>
      </x:c>
      <x:c r="J3223" t="str">
        <x:v>MORTGAGE</x:v>
      </x:c>
      <x:c r="K3223" t="str">
        <x:v>major_purchase</x:v>
      </x:c>
      <x:c r="L3223" t="n">
        <x:v>1</x:v>
      </x:c>
      <x:c r="M3223" t="n">
        <x:v>0</x:v>
      </x:c>
      <x:c r="N3223" t="str">
        <x:v>Fully Paid</x:v>
      </x:c>
      <x:c r="O3223" t="str">
        <x:f>IF(D3223="","Unknown",IF(D3223&lt;25000,"&lt;$25k",IF(D3223&lt;50000,"$25k-$50k",IF(D3223&lt;75000,"$50k-$75k",IF(D3223&lt;100000,"$75k-$100k","$100k+")))))</x:f>
        <x:v>$25k-$50k</x:v>
      </x:c>
      <x:c r="P3223" t="str">
        <x:f>IF(E3223="","Unknown",IF(E3223&lt;10,"&lt;10",IF(E3223&lt;20,"10-&lt;20",IF(E3223&lt;25,"20-&lt;25",IF(E3223&lt;35,"25-&lt;35","35+")))))</x:f>
        <x:v>25-&lt;35</x:v>
      </x:c>
    </x:row>
    <x:row r="3224">
      <x:c r="A3224" t="str">
        <x:v>SYN0003223</x:v>
      </x:c>
      <x:c r="B3224" s="12" t="n">
        <x:v>42685</x:v>
      </x:c>
      <x:c r="C3224" s="18" t="n">
        <x:v>5458</x:v>
      </x:c>
      <x:c r="D3224" s="18" t="n">
        <x:v>76628</x:v>
      </x:c>
      <x:c r="E3224" s="18" t="n">
        <x:v>44.01</x:v>
      </x:c>
      <x:c r="F3224" s="18" t="n">
        <x:v>19.58</x:v>
      </x:c>
      <x:c r="G3224" t="n">
        <x:v>36</x:v>
      </x:c>
      <x:c r="H3224" t="str">
        <x:v>F</x:v>
      </x:c>
      <x:c r="I3224" t="str">
        <x:v>10+ years</x:v>
      </x:c>
      <x:c r="J3224" t="str">
        <x:v>OWN</x:v>
      </x:c>
      <x:c r="K3224" t="str">
        <x:v>debt_consolidation</x:v>
      </x:c>
      <x:c r="L3224" t="n">
        <x:v>2</x:v>
      </x:c>
      <x:c r="M3224" t="n">
        <x:v>0</x:v>
      </x:c>
      <x:c r="N3224" t="str">
        <x:v>Fully Paid</x:v>
      </x:c>
      <x:c r="O3224" t="str">
        <x:f>IF(D3224="","Unknown",IF(D3224&lt;25000,"&lt;$25k",IF(D3224&lt;50000,"$25k-$50k",IF(D3224&lt;75000,"$50k-$75k",IF(D3224&lt;100000,"$75k-$100k","$100k+")))))</x:f>
        <x:v>$75k-$100k</x:v>
      </x:c>
      <x:c r="P3224" t="str">
        <x:f>IF(E3224="","Unknown",IF(E3224&lt;10,"&lt;10",IF(E3224&lt;20,"10-&lt;20",IF(E3224&lt;25,"20-&lt;25",IF(E3224&lt;35,"25-&lt;35","35+")))))</x:f>
        <x:v>35+</x:v>
      </x:c>
    </x:row>
    <x:row r="3225">
      <x:c r="A3225" t="str">
        <x:v>SYN0003224</x:v>
      </x:c>
      <x:c r="B3225" s="12" t="n">
        <x:v>42445</x:v>
      </x:c>
      <x:c r="C3225" s="18" t="n">
        <x:v>10504</x:v>
      </x:c>
      <x:c r="D3225" s="18" t="n">
        <x:v>52877</x:v>
      </x:c>
      <x:c r="E3225" s="18" t="n">
        <x:v>25.35</x:v>
      </x:c>
      <x:c r="F3225" s="18" t="n">
        <x:v>13.63</x:v>
      </x:c>
      <x:c r="G3225" t="n">
        <x:v>60</x:v>
      </x:c>
      <x:c r="H3225" t="str">
        <x:v>D</x:v>
      </x:c>
      <x:c r="I3225" t="str">
        <x:v>&lt;1 year</x:v>
      </x:c>
      <x:c r="J3225" t="str">
        <x:v>RENT</x:v>
      </x:c>
      <x:c r="K3225" t="str">
        <x:v>other</x:v>
      </x:c>
      <x:c r="L3225" t="n">
        <x:v>0</x:v>
      </x:c>
      <x:c r="M3225" t="n">
        <x:v>0</x:v>
      </x:c>
      <x:c r="N3225" t="str">
        <x:v>Fully Paid</x:v>
      </x:c>
      <x:c r="O3225" t="str">
        <x:f>IF(D3225="","Unknown",IF(D3225&lt;25000,"&lt;$25k",IF(D3225&lt;50000,"$25k-$50k",IF(D3225&lt;75000,"$50k-$75k",IF(D3225&lt;100000,"$75k-$100k","$100k+")))))</x:f>
        <x:v>$50k-$75k</x:v>
      </x:c>
      <x:c r="P3225" t="str">
        <x:f>IF(E3225="","Unknown",IF(E3225&lt;10,"&lt;10",IF(E3225&lt;20,"10-&lt;20",IF(E3225&lt;25,"20-&lt;25",IF(E3225&lt;35,"25-&lt;35","35+")))))</x:f>
        <x:v>25-&lt;35</x:v>
      </x:c>
    </x:row>
    <x:row r="3226">
      <x:c r="A3226" t="str">
        <x:v>SYN0003225</x:v>
      </x:c>
      <x:c r="B3226" s="12" t="n">
        <x:v>42625</x:v>
      </x:c>
      <x:c r="C3226" s="18" t="n">
        <x:v>7602</x:v>
      </x:c>
      <x:c r="D3226" s="18" t="n">
        <x:v>14761</x:v>
      </x:c>
      <x:c r="E3226" s="18" t="n">
        <x:v>25.46</x:v>
      </x:c>
      <x:c r="F3226" s="18" t="n">
        <x:v>10.2</x:v>
      </x:c>
      <x:c r="G3226" t="n">
        <x:v>36</x:v>
      </x:c>
      <x:c r="H3226" t="str">
        <x:v>D</x:v>
      </x:c>
      <x:c r="I3226" t="str">
        <x:v>&lt;1 year</x:v>
      </x:c>
      <x:c r="J3226" t="str">
        <x:v>MORTGAGE</x:v>
      </x:c>
      <x:c r="K3226" t="str">
        <x:v>credit_card</x:v>
      </x:c>
      <x:c r="L3226" t="n">
        <x:v>0</x:v>
      </x:c>
      <x:c r="M3226" t="n">
        <x:v>0</x:v>
      </x:c>
      <x:c r="N3226" t="str">
        <x:v>Fully Paid</x:v>
      </x:c>
      <x:c r="O3226" t="str">
        <x:f>IF(D3226="","Unknown",IF(D3226&lt;25000,"&lt;$25k",IF(D3226&lt;50000,"$25k-$50k",IF(D3226&lt;75000,"$50k-$75k",IF(D3226&lt;100000,"$75k-$100k","$100k+")))))</x:f>
        <x:v>&lt;$25k</x:v>
      </x:c>
      <x:c r="P3226" t="str">
        <x:f>IF(E3226="","Unknown",IF(E3226&lt;10,"&lt;10",IF(E3226&lt;20,"10-&lt;20",IF(E3226&lt;25,"20-&lt;25",IF(E3226&lt;35,"25-&lt;35","35+")))))</x:f>
        <x:v>25-&lt;35</x:v>
      </x:c>
    </x:row>
    <x:row r="3227">
      <x:c r="A3227" t="str">
        <x:v>SYN0003226</x:v>
      </x:c>
      <x:c r="B3227" s="12" t="n">
        <x:v>42475</x:v>
      </x:c>
      <x:c r="C3227" s="18" t="n">
        <x:v>6788</x:v>
      </x:c>
      <x:c r="D3227" s="18" t="n">
        <x:v>100645</x:v>
      </x:c>
      <x:c r="E3227" s="18" t="n">
        <x:v>14.85</x:v>
      </x:c>
      <x:c r="F3227" s="18" t="n">
        <x:v>7.75</x:v>
      </x:c>
      <x:c r="G3227" t="n">
        <x:v>36</x:v>
      </x:c>
      <x:c r="H3227" t="str">
        <x:v>B</x:v>
      </x:c>
      <x:c r="I3227" t="str">
        <x:v>7-9 years</x:v>
      </x:c>
      <x:c r="J3227" t="str">
        <x:v>OWN</x:v>
      </x:c>
      <x:c r="K3227" t="str">
        <x:v>major_purchase</x:v>
      </x:c>
      <x:c r="L3227" t="n">
        <x:v>1</x:v>
      </x:c>
      <x:c r="M3227" t="n">
        <x:v>0</x:v>
      </x:c>
      <x:c r="N3227" t="str">
        <x:v>Fully Paid</x:v>
      </x:c>
      <x:c r="O3227" t="str">
        <x:f>IF(D3227="","Unknown",IF(D3227&lt;25000,"&lt;$25k",IF(D3227&lt;50000,"$25k-$50k",IF(D3227&lt;75000,"$50k-$75k",IF(D3227&lt;100000,"$75k-$100k","$100k+")))))</x:f>
        <x:v>$100k+</x:v>
      </x:c>
      <x:c r="P3227" t="str">
        <x:f>IF(E3227="","Unknown",IF(E3227&lt;10,"&lt;10",IF(E3227&lt;20,"10-&lt;20",IF(E3227&lt;25,"20-&lt;25",IF(E3227&lt;35,"25-&lt;35","35+")))))</x:f>
        <x:v>10-&lt;20</x:v>
      </x:c>
    </x:row>
    <x:row r="3228">
      <x:c r="A3228" t="str">
        <x:v>SYN0003227</x:v>
      </x:c>
      <x:c r="B3228" s="12" t="n">
        <x:v>41515</x:v>
      </x:c>
      <x:c r="C3228" s="18" t="n">
        <x:v>18924</x:v>
      </x:c>
      <x:c r="D3228" s="18" t="n">
        <x:v>101881</x:v>
      </x:c>
      <x:c r="E3228" s="18" t="n">
        <x:v>21.65</x:v>
      </x:c>
      <x:c r="F3228" s="18" t="n">
        <x:v>10.73</x:v>
      </x:c>
      <x:c r="G3228" t="n">
        <x:v>36</x:v>
      </x:c>
      <x:c r="H3228" t="str">
        <x:v>B</x:v>
      </x:c>
      <x:c r="I3228" t="str">
        <x:v>7-9 years</x:v>
      </x:c>
      <x:c r="J3228" t="str">
        <x:v>MORTGAGE</x:v>
      </x:c>
      <x:c r="K3228" t="str">
        <x:v>home_improvement</x:v>
      </x:c>
      <x:c r="L3228" t="n">
        <x:v>0</x:v>
      </x:c>
      <x:c r="M3228" t="n">
        <x:v>0</x:v>
      </x:c>
      <x:c r="N3228" t="str">
        <x:v>Fully Paid</x:v>
      </x:c>
      <x:c r="O3228" t="str">
        <x:f>IF(D3228="","Unknown",IF(D3228&lt;25000,"&lt;$25k",IF(D3228&lt;50000,"$25k-$50k",IF(D3228&lt;75000,"$50k-$75k",IF(D3228&lt;100000,"$75k-$100k","$100k+")))))</x:f>
        <x:v>$100k+</x:v>
      </x:c>
      <x:c r="P3228" t="str">
        <x:f>IF(E3228="","Unknown",IF(E3228&lt;10,"&lt;10",IF(E3228&lt;20,"10-&lt;20",IF(E3228&lt;25,"20-&lt;25",IF(E3228&lt;35,"25-&lt;35","35+")))))</x:f>
        <x:v>20-&lt;25</x:v>
      </x:c>
    </x:row>
    <x:row r="3229">
      <x:c r="A3229" t="str">
        <x:v>SYN0003228</x:v>
      </x:c>
      <x:c r="B3229" s="12" t="n">
        <x:v>41695</x:v>
      </x:c>
      <x:c r="C3229" s="18" t="n">
        <x:v>14085</x:v>
      </x:c>
      <x:c r="D3229" s="18" t="n">
        <x:v>74438</x:v>
      </x:c>
      <x:c r="E3229" s="18" t="n">
        <x:v>18.94</x:v>
      </x:c>
      <x:c r="F3229" s="18" t="n">
        <x:v>12.7</x:v>
      </x:c>
      <x:c r="G3229" t="n">
        <x:v>36</x:v>
      </x:c>
      <x:c r="H3229" t="str">
        <x:v>C</x:v>
      </x:c>
      <x:c r="I3229" t="str">
        <x:v>7-9 years</x:v>
      </x:c>
      <x:c r="J3229" t="str">
        <x:v>OWN</x:v>
      </x:c>
      <x:c r="K3229" t="str">
        <x:v>debt_consolidation</x:v>
      </x:c>
      <x:c r="L3229" t="n">
        <x:v>1</x:v>
      </x:c>
      <x:c r="M3229" t="n">
        <x:v>0</x:v>
      </x:c>
      <x:c r="N3229" t="str">
        <x:v>Fully Paid</x:v>
      </x:c>
      <x:c r="O3229" t="str">
        <x:f>IF(D3229="","Unknown",IF(D3229&lt;25000,"&lt;$25k",IF(D3229&lt;50000,"$25k-$50k",IF(D3229&lt;75000,"$50k-$75k",IF(D3229&lt;100000,"$75k-$100k","$100k+")))))</x:f>
        <x:v>$50k-$75k</x:v>
      </x:c>
      <x:c r="P3229" t="str">
        <x:f>IF(E3229="","Unknown",IF(E3229&lt;10,"&lt;10",IF(E3229&lt;20,"10-&lt;20",IF(E3229&lt;25,"20-&lt;25",IF(E3229&lt;35,"25-&lt;35","35+")))))</x:f>
        <x:v>10-&lt;20</x:v>
      </x:c>
    </x:row>
    <x:row r="3230">
      <x:c r="A3230" t="str">
        <x:v>SYN0003229</x:v>
      </x:c>
      <x:c r="B3230" s="12" t="n">
        <x:v>42265</x:v>
      </x:c>
      <x:c r="C3230" s="18" t="n">
        <x:v>12053</x:v>
      </x:c>
      <x:c r="D3230" s="18" t="n">
        <x:v>73809</x:v>
      </x:c>
      <x:c r="E3230" s="18" t="n">
        <x:v>10.83</x:v>
      </x:c>
      <x:c r="F3230" s="18" t="n">
        <x:v>16.33</x:v>
      </x:c>
      <x:c r="G3230" t="n">
        <x:v>36</x:v>
      </x:c>
      <x:c r="H3230" t="str">
        <x:v>D</x:v>
      </x:c>
      <x:c r="I3230" t="str">
        <x:v>4-6 years</x:v>
      </x:c>
      <x:c r="J3230" t="str">
        <x:v>MORTGAGE</x:v>
      </x:c>
      <x:c r="K3230" t="str">
        <x:v>debt_consolidation</x:v>
      </x:c>
      <x:c r="L3230" t="n">
        <x:v>0</x:v>
      </x:c>
      <x:c r="M3230" t="n">
        <x:v>0</x:v>
      </x:c>
      <x:c r="N3230" t="str">
        <x:v>Fully Paid</x:v>
      </x:c>
      <x:c r="O3230" t="str">
        <x:f>IF(D3230="","Unknown",IF(D3230&lt;25000,"&lt;$25k",IF(D3230&lt;50000,"$25k-$50k",IF(D3230&lt;75000,"$50k-$75k",IF(D3230&lt;100000,"$75k-$100k","$100k+")))))</x:f>
        <x:v>$50k-$75k</x:v>
      </x:c>
      <x:c r="P3230" t="str">
        <x:f>IF(E3230="","Unknown",IF(E3230&lt;10,"&lt;10",IF(E3230&lt;20,"10-&lt;20",IF(E3230&lt;25,"20-&lt;25",IF(E3230&lt;35,"25-&lt;35","35+")))))</x:f>
        <x:v>10-&lt;20</x:v>
      </x:c>
    </x:row>
    <x:row r="3231">
      <x:c r="A3231" t="str">
        <x:v>SYN0003230</x:v>
      </x:c>
      <x:c r="B3231" s="12" t="n">
        <x:v>41635</x:v>
      </x:c>
      <x:c r="C3231" s="18" t="n">
        <x:v>12336</x:v>
      </x:c>
      <x:c r="D3231" s="18" t="n">
        <x:v>17822</x:v>
      </x:c>
      <x:c r="E3231" s="18" t="n">
        <x:v>15.24</x:v>
      </x:c>
      <x:c r="F3231" s="18" t="n">
        <x:v>5</x:v>
      </x:c>
      <x:c r="G3231" t="n">
        <x:v>36</x:v>
      </x:c>
      <x:c r="H3231" t="str">
        <x:v>A</x:v>
      </x:c>
      <x:c r="I3231" t="str">
        <x:v>7-9 years</x:v>
      </x:c>
      <x:c r="J3231" t="str">
        <x:v>OTHER</x:v>
      </x:c>
      <x:c r="K3231" t="str">
        <x:v>other</x:v>
      </x:c>
      <x:c r="L3231" t="n">
        <x:v>1</x:v>
      </x:c>
      <x:c r="M3231" t="n">
        <x:v>0</x:v>
      </x:c>
      <x:c r="N3231" t="str">
        <x:v>Fully Paid</x:v>
      </x:c>
      <x:c r="O3231" t="str">
        <x:f>IF(D3231="","Unknown",IF(D3231&lt;25000,"&lt;$25k",IF(D3231&lt;50000,"$25k-$50k",IF(D3231&lt;75000,"$50k-$75k",IF(D3231&lt;100000,"$75k-$100k","$100k+")))))</x:f>
        <x:v>&lt;$25k</x:v>
      </x:c>
      <x:c r="P3231" t="str">
        <x:f>IF(E3231="","Unknown",IF(E3231&lt;10,"&lt;10",IF(E3231&lt;20,"10-&lt;20",IF(E3231&lt;25,"20-&lt;25",IF(E3231&lt;35,"25-&lt;35","35+")))))</x:f>
        <x:v>10-&lt;20</x:v>
      </x:c>
    </x:row>
    <x:row r="3232">
      <x:c r="A3232" t="str">
        <x:v>SYN0003231</x:v>
      </x:c>
      <x:c r="B3232" s="12" t="n">
        <x:v>41515</x:v>
      </x:c>
      <x:c r="C3232" s="18" t="n">
        <x:v>14519</x:v>
      </x:c>
      <x:c r="D3232" s="18" t="n">
        <x:v>41778</x:v>
      </x:c>
      <x:c r="E3232" s="18" t="n">
        <x:v>11.04</x:v>
      </x:c>
      <x:c r="F3232" s="18" t="n">
        <x:v>15.33</x:v>
      </x:c>
      <x:c r="G3232" t="n">
        <x:v>60</x:v>
      </x:c>
      <x:c r="H3232" t="str">
        <x:v>D</x:v>
      </x:c>
      <x:c r="I3232" t="str">
        <x:v>7-9 years</x:v>
      </x:c>
      <x:c r="J3232" t="str">
        <x:v>OTHER</x:v>
      </x:c>
      <x:c r="K3232" t="str">
        <x:v>major_purchase</x:v>
      </x:c>
      <x:c r="L3232" t="n">
        <x:v>0</x:v>
      </x:c>
      <x:c r="M3232" t="n">
        <x:v>0</x:v>
      </x:c>
      <x:c r="N3232" t="str">
        <x:v>Fully Paid</x:v>
      </x:c>
      <x:c r="O3232" t="str">
        <x:f>IF(D3232="","Unknown",IF(D3232&lt;25000,"&lt;$25k",IF(D3232&lt;50000,"$25k-$50k",IF(D3232&lt;75000,"$50k-$75k",IF(D3232&lt;100000,"$75k-$100k","$100k+")))))</x:f>
        <x:v>$25k-$50k</x:v>
      </x:c>
      <x:c r="P3232" t="str">
        <x:f>IF(E3232="","Unknown",IF(E3232&lt;10,"&lt;10",IF(E3232&lt;20,"10-&lt;20",IF(E3232&lt;25,"20-&lt;25",IF(E3232&lt;35,"25-&lt;35","35+")))))</x:f>
        <x:v>10-&lt;20</x:v>
      </x:c>
    </x:row>
    <x:row r="3233">
      <x:c r="A3233" t="str">
        <x:v>SYN0003232</x:v>
      </x:c>
      <x:c r="B3233" s="12" t="n">
        <x:v>43195</x:v>
      </x:c>
      <x:c r="C3233" s="18" t="n">
        <x:v>11279</x:v>
      </x:c>
      <x:c r="D3233" s="18" t="n">
        <x:v>67244</x:v>
      </x:c>
      <x:c r="E3233" s="18" t="n">
        <x:v>29.73</x:v>
      </x:c>
      <x:c r="F3233" s="18" t="n">
        <x:v>17.65</x:v>
      </x:c>
      <x:c r="G3233" t="n">
        <x:v>60</x:v>
      </x:c>
      <x:c r="H3233" t="str">
        <x:v>E</x:v>
      </x:c>
      <x:c r="I3233" t="str">
        <x:v>1-3 years</x:v>
      </x:c>
      <x:c r="J3233" t="str">
        <x:v>MORTGAGE</x:v>
      </x:c>
      <x:c r="K3233" t="str">
        <x:v>home_improvement</x:v>
      </x:c>
      <x:c r="L3233" t="n">
        <x:v>0</x:v>
      </x:c>
      <x:c r="M3233" t="n">
        <x:v>0</x:v>
      </x:c>
      <x:c r="N3233" t="str">
        <x:v>Fully Paid</x:v>
      </x:c>
      <x:c r="O3233" t="str">
        <x:f>IF(D3233="","Unknown",IF(D3233&lt;25000,"&lt;$25k",IF(D3233&lt;50000,"$25k-$50k",IF(D3233&lt;75000,"$50k-$75k",IF(D3233&lt;100000,"$75k-$100k","$100k+")))))</x:f>
        <x:v>$50k-$75k</x:v>
      </x:c>
      <x:c r="P3233" t="str">
        <x:f>IF(E3233="","Unknown",IF(E3233&lt;10,"&lt;10",IF(E3233&lt;20,"10-&lt;20",IF(E3233&lt;25,"20-&lt;25",IF(E3233&lt;35,"25-&lt;35","35+")))))</x:f>
        <x:v>25-&lt;35</x:v>
      </x:c>
    </x:row>
    <x:row r="3234">
      <x:c r="A3234" t="str">
        <x:v>SYN0003233</x:v>
      </x:c>
      <x:c r="B3234" s="12" t="n">
        <x:v>43075</x:v>
      </x:c>
      <x:c r="C3234" s="18" t="n">
        <x:v>6950</x:v>
      </x:c>
      <x:c r="D3234" s="18" t="n">
        <x:v>28786</x:v>
      </x:c>
      <x:c r="E3234" s="18" t="n">
        <x:v>20.54</x:v>
      </x:c>
      <x:c r="F3234" s="18" t="n">
        <x:v>9.46</x:v>
      </x:c>
      <x:c r="G3234" t="n">
        <x:v>36</x:v>
      </x:c>
      <x:c r="H3234" t="str">
        <x:v>B</x:v>
      </x:c>
      <x:c r="I3234" t="str">
        <x:v>7-9 years</x:v>
      </x:c>
      <x:c r="J3234" t="str">
        <x:v>OWN</x:v>
      </x:c>
      <x:c r="K3234" t="str">
        <x:v>home_improvement</x:v>
      </x:c>
      <x:c r="L3234" t="n">
        <x:v>1</x:v>
      </x:c>
      <x:c r="M3234" t="n">
        <x:v>0</x:v>
      </x:c>
      <x:c r="N3234" t="str">
        <x:v>Fully Paid</x:v>
      </x:c>
      <x:c r="O3234" t="str">
        <x:f>IF(D3234="","Unknown",IF(D3234&lt;25000,"&lt;$25k",IF(D3234&lt;50000,"$25k-$50k",IF(D3234&lt;75000,"$50k-$75k",IF(D3234&lt;100000,"$75k-$100k","$100k+")))))</x:f>
        <x:v>$25k-$50k</x:v>
      </x:c>
      <x:c r="P3234" t="str">
        <x:f>IF(E3234="","Unknown",IF(E3234&lt;10,"&lt;10",IF(E3234&lt;20,"10-&lt;20",IF(E3234&lt;25,"20-&lt;25",IF(E3234&lt;35,"25-&lt;35","35+")))))</x:f>
        <x:v>20-&lt;25</x:v>
      </x:c>
    </x:row>
    <x:row r="3235">
      <x:c r="A3235" t="str">
        <x:v>SYN0003234</x:v>
      </x:c>
      <x:c r="B3235" s="12" t="n">
        <x:v>42415</x:v>
      </x:c>
      <x:c r="C3235" s="18" t="n">
        <x:v>8830</x:v>
      </x:c>
      <x:c r="D3235" s="18" t="n">
        <x:v>202641</x:v>
      </x:c>
      <x:c r="E3235" s="18" t="n">
        <x:v>28.01</x:v>
      </x:c>
      <x:c r="F3235" s="18" t="n">
        <x:v>6.89</x:v>
      </x:c>
      <x:c r="G3235" t="n">
        <x:v>60</x:v>
      </x:c>
      <x:c r="H3235" t="str">
        <x:v>A</x:v>
      </x:c>
      <x:c r="I3235" t="str">
        <x:v>1-3 years</x:v>
      </x:c>
      <x:c r="J3235" t="str">
        <x:v>MORTGAGE</x:v>
      </x:c>
      <x:c r="K3235" t="str">
        <x:v>debt_consolidation</x:v>
      </x:c>
      <x:c r="L3235" t="n">
        <x:v>1</x:v>
      </x:c>
      <x:c r="M3235" t="n">
        <x:v>0</x:v>
      </x:c>
      <x:c r="N3235" t="str">
        <x:v>Fully Paid</x:v>
      </x:c>
      <x:c r="O3235" t="str">
        <x:f>IF(D3235="","Unknown",IF(D3235&lt;25000,"&lt;$25k",IF(D3235&lt;50000,"$25k-$50k",IF(D3235&lt;75000,"$50k-$75k",IF(D3235&lt;100000,"$75k-$100k","$100k+")))))</x:f>
        <x:v>$100k+</x:v>
      </x:c>
      <x:c r="P3235" t="str">
        <x:f>IF(E3235="","Unknown",IF(E3235&lt;10,"&lt;10",IF(E3235&lt;20,"10-&lt;20",IF(E3235&lt;25,"20-&lt;25",IF(E3235&lt;35,"25-&lt;35","35+")))))</x:f>
        <x:v>25-&lt;35</x:v>
      </x:c>
    </x:row>
    <x:row r="3236">
      <x:c r="A3236" t="str">
        <x:v>SYN0003235</x:v>
      </x:c>
      <x:c r="B3236" s="12" t="n">
        <x:v>42055</x:v>
      </x:c>
      <x:c r="C3236" s="18" t="n">
        <x:v>18246</x:v>
      </x:c>
      <x:c r="D3236" s="18" t="n">
        <x:v>53845</x:v>
      </x:c>
      <x:c r="E3236" s="18" t="n">
        <x:v>26.08</x:v>
      </x:c>
      <x:c r="F3236" s="18" t="n">
        <x:v>8.77</x:v>
      </x:c>
      <x:c r="G3236" t="n">
        <x:v>36</x:v>
      </x:c>
      <x:c r="H3236" t="str">
        <x:v>C</x:v>
      </x:c>
      <x:c r="I3236" t="str">
        <x:v>7-9 years</x:v>
      </x:c>
      <x:c r="J3236" t="str">
        <x:v>OWN</x:v>
      </x:c>
      <x:c r="K3236" t="str">
        <x:v>debt_consolidation</x:v>
      </x:c>
      <x:c r="L3236" t="n">
        <x:v>1</x:v>
      </x:c>
      <x:c r="M3236" t="n">
        <x:v>0</x:v>
      </x:c>
      <x:c r="N3236" t="str">
        <x:v>Fully Paid</x:v>
      </x:c>
      <x:c r="O3236" t="str">
        <x:f>IF(D3236="","Unknown",IF(D3236&lt;25000,"&lt;$25k",IF(D3236&lt;50000,"$25k-$50k",IF(D3236&lt;75000,"$50k-$75k",IF(D3236&lt;100000,"$75k-$100k","$100k+")))))</x:f>
        <x:v>$50k-$75k</x:v>
      </x:c>
      <x:c r="P3236" t="str">
        <x:f>IF(E3236="","Unknown",IF(E3236&lt;10,"&lt;10",IF(E3236&lt;20,"10-&lt;20",IF(E3236&lt;25,"20-&lt;25",IF(E3236&lt;35,"25-&lt;35","35+")))))</x:f>
        <x:v>25-&lt;35</x:v>
      </x:c>
    </x:row>
    <x:row r="3237">
      <x:c r="A3237" t="str">
        <x:v>SYN0003236</x:v>
      </x:c>
      <x:c r="B3237" s="12" t="n">
        <x:v>41275</x:v>
      </x:c>
      <x:c r="C3237" s="18" t="n">
        <x:v>26457</x:v>
      </x:c>
      <x:c r="D3237" s="18" t="n">
        <x:v>39814</x:v>
      </x:c>
      <x:c r="E3237" s="18" t="n">
        <x:v>19.7</x:v>
      </x:c>
      <x:c r="F3237" s="18" t="n">
        <x:v>5</x:v>
      </x:c>
      <x:c r="G3237" t="n">
        <x:v>36</x:v>
      </x:c>
      <x:c r="H3237" t="str">
        <x:v>A</x:v>
      </x:c>
      <x:c r="I3237" t="str">
        <x:v>4-6 years</x:v>
      </x:c>
      <x:c r="J3237" t="str">
        <x:v>RENT</x:v>
      </x:c>
      <x:c r="K3237" t="str">
        <x:v>medical</x:v>
      </x:c>
      <x:c r="L3237" t="n">
        <x:v>0</x:v>
      </x:c>
      <x:c r="M3237" t="n">
        <x:v>0</x:v>
      </x:c>
      <x:c r="N3237" t="str">
        <x:v>Fully Paid</x:v>
      </x:c>
      <x:c r="O3237" t="str">
        <x:f>IF(D3237="","Unknown",IF(D3237&lt;25000,"&lt;$25k",IF(D3237&lt;50000,"$25k-$50k",IF(D3237&lt;75000,"$50k-$75k",IF(D3237&lt;100000,"$75k-$100k","$100k+")))))</x:f>
        <x:v>$25k-$50k</x:v>
      </x:c>
      <x:c r="P3237" t="str">
        <x:f>IF(E3237="","Unknown",IF(E3237&lt;10,"&lt;10",IF(E3237&lt;20,"10-&lt;20",IF(E3237&lt;25,"20-&lt;25",IF(E3237&lt;35,"25-&lt;35","35+")))))</x:f>
        <x:v>10-&lt;20</x:v>
      </x:c>
    </x:row>
    <x:row r="3238">
      <x:c r="A3238" t="str">
        <x:v>SYN0003237</x:v>
      </x:c>
      <x:c r="B3238" s="12" t="n">
        <x:v>42985</x:v>
      </x:c>
      <x:c r="C3238" s="18" t="n">
        <x:v>25732</x:v>
      </x:c>
      <x:c r="D3238" s="18" t="n">
        <x:v>48503</x:v>
      </x:c>
      <x:c r="E3238" s="18" t="n">
        <x:v>27.71</x:v>
      </x:c>
      <x:c r="F3238" s="18" t="n">
        <x:v>18.39</x:v>
      </x:c>
      <x:c r="G3238" t="n">
        <x:v>36</x:v>
      </x:c>
      <x:c r="H3238" t="str">
        <x:v>E</x:v>
      </x:c>
      <x:c r="I3238" t="str">
        <x:v>7-9 years</x:v>
      </x:c>
      <x:c r="J3238" t="str">
        <x:v>MORTGAGE</x:v>
      </x:c>
      <x:c r="K3238" t="str">
        <x:v>credit_card</x:v>
      </x:c>
      <x:c r="L3238" t="n">
        <x:v>1</x:v>
      </x:c>
      <x:c r="M3238" t="n">
        <x:v>0</x:v>
      </x:c>
      <x:c r="N3238" t="str">
        <x:v>Fully Paid</x:v>
      </x:c>
      <x:c r="O3238" t="str">
        <x:f>IF(D3238="","Unknown",IF(D3238&lt;25000,"&lt;$25k",IF(D3238&lt;50000,"$25k-$50k",IF(D3238&lt;75000,"$50k-$75k",IF(D3238&lt;100000,"$75k-$100k","$100k+")))))</x:f>
        <x:v>$25k-$50k</x:v>
      </x:c>
      <x:c r="P3238" t="str">
        <x:f>IF(E3238="","Unknown",IF(E3238&lt;10,"&lt;10",IF(E3238&lt;20,"10-&lt;20",IF(E3238&lt;25,"20-&lt;25",IF(E3238&lt;35,"25-&lt;35","35+")))))</x:f>
        <x:v>25-&lt;35</x:v>
      </x:c>
    </x:row>
    <x:row r="3239">
      <x:c r="A3239" t="str">
        <x:v>SYN0003238</x:v>
      </x:c>
      <x:c r="B3239" s="12" t="n">
        <x:v>42205</x:v>
      </x:c>
      <x:c r="C3239" s="18" t="n">
        <x:v>13206</x:v>
      </x:c>
      <x:c r="D3239" s="18" t="n">
        <x:v>30731</x:v>
      </x:c>
      <x:c r="E3239" s="18" t="n">
        <x:v>32.24</x:v>
      </x:c>
      <x:c r="F3239" s="18" t="n">
        <x:v>12.89</x:v>
      </x:c>
      <x:c r="G3239" t="n">
        <x:v>36</x:v>
      </x:c>
      <x:c r="H3239" t="str">
        <x:v>D</x:v>
      </x:c>
      <x:c r="I3239" t="str">
        <x:v>10+ years</x:v>
      </x:c>
      <x:c r="J3239" t="str">
        <x:v>MORTGAGE</x:v>
      </x:c>
      <x:c r="K3239" t="str">
        <x:v>credit_card</x:v>
      </x:c>
      <x:c r="L3239" t="n">
        <x:v>0</x:v>
      </x:c>
      <x:c r="M3239" t="n">
        <x:v>0</x:v>
      </x:c>
      <x:c r="N3239" t="str">
        <x:v>Fully Paid</x:v>
      </x:c>
      <x:c r="O3239" t="str">
        <x:f>IF(D3239="","Unknown",IF(D3239&lt;25000,"&lt;$25k",IF(D3239&lt;50000,"$25k-$50k",IF(D3239&lt;75000,"$50k-$75k",IF(D3239&lt;100000,"$75k-$100k","$100k+")))))</x:f>
        <x:v>$25k-$50k</x:v>
      </x:c>
      <x:c r="P3239" t="str">
        <x:f>IF(E3239="","Unknown",IF(E3239&lt;10,"&lt;10",IF(E3239&lt;20,"10-&lt;20",IF(E3239&lt;25,"20-&lt;25",IF(E3239&lt;35,"25-&lt;35","35+")))))</x:f>
        <x:v>25-&lt;35</x:v>
      </x:c>
    </x:row>
    <x:row r="3240">
      <x:c r="A3240" t="str">
        <x:v>SYN0003239</x:v>
      </x:c>
      <x:c r="B3240" s="12" t="n">
        <x:v>43135</x:v>
      </x:c>
      <x:c r="C3240" s="18" t="n">
        <x:v>11743</x:v>
      </x:c>
      <x:c r="D3240" s="18" t="n">
        <x:v>52915</x:v>
      </x:c>
      <x:c r="E3240" s="18" t="n">
        <x:v>11.69</x:v>
      </x:c>
      <x:c r="F3240" s="18" t="n">
        <x:v>9.7</x:v>
      </x:c>
      <x:c r="G3240" t="n">
        <x:v>60</x:v>
      </x:c>
      <x:c r="H3240" t="str">
        <x:v>C</x:v>
      </x:c>
      <x:c r="I3240" t="str">
        <x:v>10+ years</x:v>
      </x:c>
      <x:c r="J3240" t="str">
        <x:v>RENT</x:v>
      </x:c>
      <x:c r="K3240" t="str">
        <x:v>debt_consolidation</x:v>
      </x:c>
      <x:c r="L3240" t="n">
        <x:v>0</x:v>
      </x:c>
      <x:c r="M3240" t="n">
        <x:v>0</x:v>
      </x:c>
      <x:c r="N3240" t="str">
        <x:v>Fully Paid</x:v>
      </x:c>
      <x:c r="O3240" t="str">
        <x:f>IF(D3240="","Unknown",IF(D3240&lt;25000,"&lt;$25k",IF(D3240&lt;50000,"$25k-$50k",IF(D3240&lt;75000,"$50k-$75k",IF(D3240&lt;100000,"$75k-$100k","$100k+")))))</x:f>
        <x:v>$50k-$75k</x:v>
      </x:c>
      <x:c r="P3240" t="str">
        <x:f>IF(E3240="","Unknown",IF(E3240&lt;10,"&lt;10",IF(E3240&lt;20,"10-&lt;20",IF(E3240&lt;25,"20-&lt;25",IF(E3240&lt;35,"25-&lt;35","35+")))))</x:f>
        <x:v>10-&lt;20</x:v>
      </x:c>
    </x:row>
    <x:row r="3241">
      <x:c r="A3241" t="str">
        <x:v>SYN0003240</x:v>
      </x:c>
      <x:c r="B3241" s="12" t="n">
        <x:v>42595</x:v>
      </x:c>
      <x:c r="C3241" s="18" t="n">
        <x:v>13492</x:v>
      </x:c>
      <x:c r="D3241" s="18" t="n">
        <x:v>69664</x:v>
      </x:c>
      <x:c r="E3241" s="18" t="n">
        <x:v>37.34</x:v>
      </x:c>
      <x:c r="F3241" s="18" t="n">
        <x:v>17.87</x:v>
      </x:c>
      <x:c r="G3241" t="n">
        <x:v>36</x:v>
      </x:c>
      <x:c r="H3241" t="str">
        <x:v>E</x:v>
      </x:c>
      <x:c r="I3241" t="str">
        <x:v>7-9 years</x:v>
      </x:c>
      <x:c r="J3241" t="str">
        <x:v>OWN</x:v>
      </x:c>
      <x:c r="K3241" t="str">
        <x:v>home_improvement</x:v>
      </x:c>
      <x:c r="L3241" t="n">
        <x:v>1</x:v>
      </x:c>
      <x:c r="M3241" t="n">
        <x:v>0</x:v>
      </x:c>
      <x:c r="N3241" t="str">
        <x:v>Fully Paid</x:v>
      </x:c>
      <x:c r="O3241" t="str">
        <x:f>IF(D3241="","Unknown",IF(D3241&lt;25000,"&lt;$25k",IF(D3241&lt;50000,"$25k-$50k",IF(D3241&lt;75000,"$50k-$75k",IF(D3241&lt;100000,"$75k-$100k","$100k+")))))</x:f>
        <x:v>$50k-$75k</x:v>
      </x:c>
      <x:c r="P3241" t="str">
        <x:f>IF(E3241="","Unknown",IF(E3241&lt;10,"&lt;10",IF(E3241&lt;20,"10-&lt;20",IF(E3241&lt;25,"20-&lt;25",IF(E3241&lt;35,"25-&lt;35","35+")))))</x:f>
        <x:v>35+</x:v>
      </x:c>
    </x:row>
    <x:row r="3242">
      <x:c r="A3242" t="str">
        <x:v>SYN0003241</x:v>
      </x:c>
      <x:c r="B3242" s="12" t="n">
        <x:v>43405</x:v>
      </x:c>
      <x:c r="C3242" s="18" t="n">
        <x:v>8218</x:v>
      </x:c>
      <x:c r="D3242" s="18" t="n">
        <x:v>79176</x:v>
      </x:c>
      <x:c r="E3242" s="18" t="n">
        <x:v>12.44</x:v>
      </x:c>
      <x:c r="F3242" s="18" t="n">
        <x:v>9.26</x:v>
      </x:c>
      <x:c r="G3242" t="n">
        <x:v>36</x:v>
      </x:c>
      <x:c r="H3242" t="str">
        <x:v>C</x:v>
      </x:c>
      <x:c r="I3242" t="str">
        <x:v>7-9 years</x:v>
      </x:c>
      <x:c r="J3242" t="str">
        <x:v>MORTGAGE</x:v>
      </x:c>
      <x:c r="K3242" t="str">
        <x:v>major_purchase</x:v>
      </x:c>
      <x:c r="L3242" t="n">
        <x:v>0</x:v>
      </x:c>
      <x:c r="M3242" t="n">
        <x:v>0</x:v>
      </x:c>
      <x:c r="N3242" t="str">
        <x:v>Fully Paid</x:v>
      </x:c>
      <x:c r="O3242" t="str">
        <x:f>IF(D3242="","Unknown",IF(D3242&lt;25000,"&lt;$25k",IF(D3242&lt;50000,"$25k-$50k",IF(D3242&lt;75000,"$50k-$75k",IF(D3242&lt;100000,"$75k-$100k","$100k+")))))</x:f>
        <x:v>$75k-$100k</x:v>
      </x:c>
      <x:c r="P3242" t="str">
        <x:f>IF(E3242="","Unknown",IF(E3242&lt;10,"&lt;10",IF(E3242&lt;20,"10-&lt;20",IF(E3242&lt;25,"20-&lt;25",IF(E3242&lt;35,"25-&lt;35","35+")))))</x:f>
        <x:v>10-&lt;20</x:v>
      </x:c>
    </x:row>
    <x:row r="3243">
      <x:c r="A3243" t="str">
        <x:v>SYN0003242</x:v>
      </x:c>
      <x:c r="B3243" s="12" t="n">
        <x:v>43135</x:v>
      </x:c>
      <x:c r="C3243" s="18" t="n">
        <x:v>12417</x:v>
      </x:c>
      <x:c r="D3243" s="18" t="n">
        <x:v>31431</x:v>
      </x:c>
      <x:c r="E3243" s="18" t="n">
        <x:v>18.39</x:v>
      </x:c>
      <x:c r="F3243" s="18" t="n">
        <x:v>5</x:v>
      </x:c>
      <x:c r="G3243" t="n">
        <x:v>36</x:v>
      </x:c>
      <x:c r="H3243" t="str">
        <x:v>A</x:v>
      </x:c>
      <x:c r="I3243" t="str">
        <x:v>7-9 years</x:v>
      </x:c>
      <x:c r="J3243" t="str">
        <x:v>MORTGAGE</x:v>
      </x:c>
      <x:c r="K3243" t="str">
        <x:v>debt_consolidation</x:v>
      </x:c>
      <x:c r="L3243" t="n">
        <x:v>1</x:v>
      </x:c>
      <x:c r="M3243" t="n">
        <x:v>0</x:v>
      </x:c>
      <x:c r="N3243" t="str">
        <x:v>Fully Paid</x:v>
      </x:c>
      <x:c r="O3243" t="str">
        <x:f>IF(D3243="","Unknown",IF(D3243&lt;25000,"&lt;$25k",IF(D3243&lt;50000,"$25k-$50k",IF(D3243&lt;75000,"$50k-$75k",IF(D3243&lt;100000,"$75k-$100k","$100k+")))))</x:f>
        <x:v>$25k-$50k</x:v>
      </x:c>
      <x:c r="P3243" t="str">
        <x:f>IF(E3243="","Unknown",IF(E3243&lt;10,"&lt;10",IF(E3243&lt;20,"10-&lt;20",IF(E3243&lt;25,"20-&lt;25",IF(E3243&lt;35,"25-&lt;35","35+")))))</x:f>
        <x:v>10-&lt;20</x:v>
      </x:c>
    </x:row>
    <x:row r="3244">
      <x:c r="A3244" t="str">
        <x:v>SYN0003243</x:v>
      </x:c>
      <x:c r="B3244" s="12" t="n">
        <x:v>42895</x:v>
      </x:c>
      <x:c r="C3244" s="18" t="n">
        <x:v>12002</x:v>
      </x:c>
      <x:c r="D3244" s="18" t="n">
        <x:v>42784</x:v>
      </x:c>
      <x:c r="E3244" s="18" t="n">
        <x:v>16.44</x:v>
      </x:c>
      <x:c r="F3244" s="18" t="n">
        <x:v>12.97</x:v>
      </x:c>
      <x:c r="G3244" t="n">
        <x:v>36</x:v>
      </x:c>
      <x:c r="H3244" t="str">
        <x:v>C</x:v>
      </x:c>
      <x:c r="I3244" t="str">
        <x:v>4-6 years</x:v>
      </x:c>
      <x:c r="J3244" t="str">
        <x:v>RENT</x:v>
      </x:c>
      <x:c r="K3244" t="str">
        <x:v>credit_card</x:v>
      </x:c>
      <x:c r="L3244" t="n">
        <x:v>2</x:v>
      </x:c>
      <x:c r="M3244" t="n">
        <x:v>0</x:v>
      </x:c>
      <x:c r="N3244" t="str">
        <x:v>Fully Paid</x:v>
      </x:c>
      <x:c r="O3244" t="str">
        <x:f>IF(D3244="","Unknown",IF(D3244&lt;25000,"&lt;$25k",IF(D3244&lt;50000,"$25k-$50k",IF(D3244&lt;75000,"$50k-$75k",IF(D3244&lt;100000,"$75k-$100k","$100k+")))))</x:f>
        <x:v>$25k-$50k</x:v>
      </x:c>
      <x:c r="P3244" t="str">
        <x:f>IF(E3244="","Unknown",IF(E3244&lt;10,"&lt;10",IF(E3244&lt;20,"10-&lt;20",IF(E3244&lt;25,"20-&lt;25",IF(E3244&lt;35,"25-&lt;35","35+")))))</x:f>
        <x:v>10-&lt;20</x:v>
      </x:c>
    </x:row>
    <x:row r="3245">
      <x:c r="A3245" t="str">
        <x:v>SYN0003244</x:v>
      </x:c>
      <x:c r="B3245" s="12" t="n">
        <x:v>41395</x:v>
      </x:c>
      <x:c r="C3245" s="18" t="n">
        <x:v>9721</x:v>
      </x:c>
      <x:c r="D3245" s="18" t="n">
        <x:v>124790</x:v>
      </x:c>
      <x:c r="E3245" s="18" t="n">
        <x:v>24.91</x:v>
      </x:c>
      <x:c r="F3245" s="18" t="n">
        <x:v>12.03</x:v>
      </x:c>
      <x:c r="G3245" t="n">
        <x:v>60</x:v>
      </x:c>
      <x:c r="H3245" t="str">
        <x:v>C</x:v>
      </x:c>
      <x:c r="I3245" t="str">
        <x:v>1-3 years</x:v>
      </x:c>
      <x:c r="J3245" t="str">
        <x:v>MORTGAGE</x:v>
      </x:c>
      <x:c r="K3245" t="str">
        <x:v>credit_card</x:v>
      </x:c>
      <x:c r="L3245" t="n">
        <x:v>0</x:v>
      </x:c>
      <x:c r="M3245" t="n">
        <x:v>0</x:v>
      </x:c>
      <x:c r="N3245" t="str">
        <x:v>Fully Paid</x:v>
      </x:c>
      <x:c r="O3245" t="str">
        <x:f>IF(D3245="","Unknown",IF(D3245&lt;25000,"&lt;$25k",IF(D3245&lt;50000,"$25k-$50k",IF(D3245&lt;75000,"$50k-$75k",IF(D3245&lt;100000,"$75k-$100k","$100k+")))))</x:f>
        <x:v>$100k+</x:v>
      </x:c>
      <x:c r="P3245" t="str">
        <x:f>IF(E3245="","Unknown",IF(E3245&lt;10,"&lt;10",IF(E3245&lt;20,"10-&lt;20",IF(E3245&lt;25,"20-&lt;25",IF(E3245&lt;35,"25-&lt;35","35+")))))</x:f>
        <x:v>20-&lt;25</x:v>
      </x:c>
    </x:row>
    <x:row r="3246">
      <x:c r="A3246" t="str">
        <x:v>SYN0003245</x:v>
      </x:c>
      <x:c r="B3246" s="12" t="n">
        <x:v>41845</x:v>
      </x:c>
      <x:c r="C3246" s="18" t="n">
        <x:v>17685</x:v>
      </x:c>
      <x:c r="D3246" s="18" t="n">
        <x:v>24466</x:v>
      </x:c>
      <x:c r="E3246" s="18" t="n">
        <x:v>18.56</x:v>
      </x:c>
      <x:c r="F3246" s="18" t="n">
        <x:v>9.97</x:v>
      </x:c>
      <x:c r="G3246" t="n">
        <x:v>36</x:v>
      </x:c>
      <x:c r="H3246" t="str">
        <x:v>B</x:v>
      </x:c>
      <x:c r="I3246" t="str">
        <x:v>1-3 years</x:v>
      </x:c>
      <x:c r="J3246" t="str">
        <x:v>RENT</x:v>
      </x:c>
      <x:c r="K3246" t="str">
        <x:v>debt_consolidation</x:v>
      </x:c>
      <x:c r="L3246" t="n">
        <x:v>0</x:v>
      </x:c>
      <x:c r="M3246" t="n">
        <x:v>0</x:v>
      </x:c>
      <x:c r="N3246" t="str">
        <x:v>Fully Paid</x:v>
      </x:c>
      <x:c r="O3246" t="str">
        <x:f>IF(D3246="","Unknown",IF(D3246&lt;25000,"&lt;$25k",IF(D3246&lt;50000,"$25k-$50k",IF(D3246&lt;75000,"$50k-$75k",IF(D3246&lt;100000,"$75k-$100k","$100k+")))))</x:f>
        <x:v>&lt;$25k</x:v>
      </x:c>
      <x:c r="P3246" t="str">
        <x:f>IF(E3246="","Unknown",IF(E3246&lt;10,"&lt;10",IF(E3246&lt;20,"10-&lt;20",IF(E3246&lt;25,"20-&lt;25",IF(E3246&lt;35,"25-&lt;35","35+")))))</x:f>
        <x:v>10-&lt;20</x:v>
      </x:c>
    </x:row>
    <x:row r="3247">
      <x:c r="A3247" t="str">
        <x:v>SYN0003246</x:v>
      </x:c>
      <x:c r="B3247" s="12" t="n">
        <x:v>42385</x:v>
      </x:c>
      <x:c r="C3247" s="18" t="n">
        <x:v>6678</x:v>
      </x:c>
      <x:c r="D3247" s="18" t="n">
        <x:v>19147</x:v>
      </x:c>
      <x:c r="E3247" s="18" t="n">
        <x:v>25.07</x:v>
      </x:c>
      <x:c r="F3247" s="18" t="n">
        <x:v>9.82</x:v>
      </x:c>
      <x:c r="G3247" t="n">
        <x:v>36</x:v>
      </x:c>
      <x:c r="H3247" t="str">
        <x:v>B</x:v>
      </x:c>
      <x:c r="I3247" t="str">
        <x:v>7-9 years</x:v>
      </x:c>
      <x:c r="J3247" t="str">
        <x:v>OWN</x:v>
      </x:c>
      <x:c r="K3247" t="str">
        <x:v>credit_card</x:v>
      </x:c>
      <x:c r="L3247" t="n">
        <x:v>0</x:v>
      </x:c>
      <x:c r="M3247" t="n">
        <x:v>0</x:v>
      </x:c>
      <x:c r="N3247" t="str">
        <x:v>Fully Paid</x:v>
      </x:c>
      <x:c r="O3247" t="str">
        <x:f>IF(D3247="","Unknown",IF(D3247&lt;25000,"&lt;$25k",IF(D3247&lt;50000,"$25k-$50k",IF(D3247&lt;75000,"$50k-$75k",IF(D3247&lt;100000,"$75k-$100k","$100k+")))))</x:f>
        <x:v>&lt;$25k</x:v>
      </x:c>
      <x:c r="P3247" t="str">
        <x:f>IF(E3247="","Unknown",IF(E3247&lt;10,"&lt;10",IF(E3247&lt;20,"10-&lt;20",IF(E3247&lt;25,"20-&lt;25",IF(E3247&lt;35,"25-&lt;35","35+")))))</x:f>
        <x:v>25-&lt;35</x:v>
      </x:c>
    </x:row>
    <x:row r="3248">
      <x:c r="A3248" t="str">
        <x:v>SYN0003247</x:v>
      </x:c>
      <x:c r="B3248" s="12" t="n">
        <x:v>41395</x:v>
      </x:c>
      <x:c r="C3248" s="18" t="n">
        <x:v>11772</x:v>
      </x:c>
      <x:c r="D3248" s="18" t="n">
        <x:v>30341</x:v>
      </x:c>
      <x:c r="E3248" s="18" t="n">
        <x:v>15.98</x:v>
      </x:c>
      <x:c r="F3248" s="18" t="n">
        <x:v>8.66</x:v>
      </x:c>
      <x:c r="G3248" t="n">
        <x:v>36</x:v>
      </x:c>
      <x:c r="H3248" t="str">
        <x:v>B</x:v>
      </x:c>
      <x:c r="I3248" t="str">
        <x:v>4-6 years</x:v>
      </x:c>
      <x:c r="J3248" t="str">
        <x:v>OWN</x:v>
      </x:c>
      <x:c r="K3248" t="str">
        <x:v>debt_consolidation</x:v>
      </x:c>
      <x:c r="L3248" t="n">
        <x:v>1</x:v>
      </x:c>
      <x:c r="M3248" t="n">
        <x:v>0</x:v>
      </x:c>
      <x:c r="N3248" t="str">
        <x:v>Fully Paid</x:v>
      </x:c>
      <x:c r="O3248" t="str">
        <x:f>IF(D3248="","Unknown",IF(D3248&lt;25000,"&lt;$25k",IF(D3248&lt;50000,"$25k-$50k",IF(D3248&lt;75000,"$50k-$75k",IF(D3248&lt;100000,"$75k-$100k","$100k+")))))</x:f>
        <x:v>$25k-$50k</x:v>
      </x:c>
      <x:c r="P3248" t="str">
        <x:f>IF(E3248="","Unknown",IF(E3248&lt;10,"&lt;10",IF(E3248&lt;20,"10-&lt;20",IF(E3248&lt;25,"20-&lt;25",IF(E3248&lt;35,"25-&lt;35","35+")))))</x:f>
        <x:v>10-&lt;20</x:v>
      </x:c>
    </x:row>
    <x:row r="3249">
      <x:c r="A3249" t="str">
        <x:v>SYN0003248</x:v>
      </x:c>
      <x:c r="B3249" s="12" t="n">
        <x:v>42985</x:v>
      </x:c>
      <x:c r="C3249" s="18" t="n">
        <x:v>10164</x:v>
      </x:c>
      <x:c r="D3249" s="18" t="n">
        <x:v>134981</x:v>
      </x:c>
      <x:c r="E3249" s="18" t="n">
        <x:v>23.19</x:v>
      </x:c>
      <x:c r="F3249" s="18" t="n">
        <x:v>17.05</x:v>
      </x:c>
      <x:c r="G3249" t="n">
        <x:v>36</x:v>
      </x:c>
      <x:c r="H3249" t="str">
        <x:v>E</x:v>
      </x:c>
      <x:c r="I3249" t="str">
        <x:v>1-3 years</x:v>
      </x:c>
      <x:c r="J3249" t="str">
        <x:v>RENT</x:v>
      </x:c>
      <x:c r="K3249" t="str">
        <x:v>debt_consolidation</x:v>
      </x:c>
      <x:c r="L3249" t="n">
        <x:v>1</x:v>
      </x:c>
      <x:c r="M3249" t="n">
        <x:v>0</x:v>
      </x:c>
      <x:c r="N3249" t="str">
        <x:v>Fully Paid</x:v>
      </x:c>
      <x:c r="O3249" t="str">
        <x:f>IF(D3249="","Unknown",IF(D3249&lt;25000,"&lt;$25k",IF(D3249&lt;50000,"$25k-$50k",IF(D3249&lt;75000,"$50k-$75k",IF(D3249&lt;100000,"$75k-$100k","$100k+")))))</x:f>
        <x:v>$100k+</x:v>
      </x:c>
      <x:c r="P3249" t="str">
        <x:f>IF(E3249="","Unknown",IF(E3249&lt;10,"&lt;10",IF(E3249&lt;20,"10-&lt;20",IF(E3249&lt;25,"20-&lt;25",IF(E3249&lt;35,"25-&lt;35","35+")))))</x:f>
        <x:v>20-&lt;25</x:v>
      </x:c>
    </x:row>
    <x:row r="3250">
      <x:c r="A3250" t="str">
        <x:v>SYN0003249</x:v>
      </x:c>
      <x:c r="B3250" s="12" t="n">
        <x:v>43345</x:v>
      </x:c>
      <x:c r="C3250" s="18" t="n">
        <x:v>10642</x:v>
      </x:c>
      <x:c r="D3250" s="18" t="n">
        <x:v>72614</x:v>
      </x:c>
      <x:c r="E3250" s="18" t="n">
        <x:v>18.95</x:v>
      </x:c>
      <x:c r="F3250" s="18" t="n">
        <x:v>8.23</x:v>
      </x:c>
      <x:c r="G3250" t="n">
        <x:v>60</x:v>
      </x:c>
      <x:c r="H3250" t="str">
        <x:v>C</x:v>
      </x:c>
      <x:c r="I3250" t="str">
        <x:v>1-3 years</x:v>
      </x:c>
      <x:c r="J3250" t="str">
        <x:v>MORTGAGE</x:v>
      </x:c>
      <x:c r="K3250" t="str">
        <x:v>debt_consolidation</x:v>
      </x:c>
      <x:c r="L3250" t="n">
        <x:v>1</x:v>
      </x:c>
      <x:c r="M3250" t="n">
        <x:v>0</x:v>
      </x:c>
      <x:c r="N3250" t="str">
        <x:v>Fully Paid</x:v>
      </x:c>
      <x:c r="O3250" t="str">
        <x:f>IF(D3250="","Unknown",IF(D3250&lt;25000,"&lt;$25k",IF(D3250&lt;50000,"$25k-$50k",IF(D3250&lt;75000,"$50k-$75k",IF(D3250&lt;100000,"$75k-$100k","$100k+")))))</x:f>
        <x:v>$50k-$75k</x:v>
      </x:c>
      <x:c r="P3250" t="str">
        <x:f>IF(E3250="","Unknown",IF(E3250&lt;10,"&lt;10",IF(E3250&lt;20,"10-&lt;20",IF(E3250&lt;25,"20-&lt;25",IF(E3250&lt;35,"25-&lt;35","35+")))))</x:f>
        <x:v>10-&lt;20</x:v>
      </x:c>
    </x:row>
    <x:row r="3251">
      <x:c r="A3251" t="str">
        <x:v>SYN0003250</x:v>
      </x:c>
      <x:c r="B3251" s="12" t="n">
        <x:v>42205</x:v>
      </x:c>
      <x:c r="C3251" s="18" t="n">
        <x:v>6796</x:v>
      </x:c>
      <x:c r="D3251" s="18" t="n">
        <x:v>96920</x:v>
      </x:c>
      <x:c r="E3251" s="18" t="n">
        <x:v>28.51</x:v>
      </x:c>
      <x:c r="F3251" s="18" t="n">
        <x:v>12.87</x:v>
      </x:c>
      <x:c r="G3251" t="n">
        <x:v>36</x:v>
      </x:c>
      <x:c r="H3251" t="str">
        <x:v>D</x:v>
      </x:c>
      <x:c r="I3251" t="str">
        <x:v>10+ years</x:v>
      </x:c>
      <x:c r="J3251" t="str">
        <x:v>MORTGAGE</x:v>
      </x:c>
      <x:c r="K3251" t="str">
        <x:v>debt_consolidation</x:v>
      </x:c>
      <x:c r="L3251" t="n">
        <x:v>2</x:v>
      </x:c>
      <x:c r="M3251" t="n">
        <x:v>0</x:v>
      </x:c>
      <x:c r="N3251" t="str">
        <x:v>Fully Paid</x:v>
      </x:c>
      <x:c r="O3251" t="str">
        <x:f>IF(D3251="","Unknown",IF(D3251&lt;25000,"&lt;$25k",IF(D3251&lt;50000,"$25k-$50k",IF(D3251&lt;75000,"$50k-$75k",IF(D3251&lt;100000,"$75k-$100k","$100k+")))))</x:f>
        <x:v>$75k-$100k</x:v>
      </x:c>
      <x:c r="P3251" t="str">
        <x:f>IF(E3251="","Unknown",IF(E3251&lt;10,"&lt;10",IF(E3251&lt;20,"10-&lt;20",IF(E3251&lt;25,"20-&lt;25",IF(E3251&lt;35,"25-&lt;35","35+")))))</x:f>
        <x:v>25-&lt;35</x:v>
      </x:c>
    </x:row>
    <x:row r="3252">
      <x:c r="A3252" t="str">
        <x:v>SYN0003251</x:v>
      </x:c>
      <x:c r="B3252" s="12" t="n">
        <x:v>42415</x:v>
      </x:c>
      <x:c r="C3252" s="18" t="n">
        <x:v>7914</x:v>
      </x:c>
      <x:c r="D3252" s="18" t="n">
        <x:v>83182</x:v>
      </x:c>
      <x:c r="E3252" s="18" t="n">
        <x:v>23.6</x:v>
      </x:c>
      <x:c r="F3252" s="18" t="n">
        <x:v>8.07</x:v>
      </x:c>
      <x:c r="G3252" t="n">
        <x:v>60</x:v>
      </x:c>
      <x:c r="H3252" t="str">
        <x:v>B</x:v>
      </x:c>
      <x:c r="I3252" t="str">
        <x:v>4-6 years</x:v>
      </x:c>
      <x:c r="J3252" t="str">
        <x:v>MORTGAGE</x:v>
      </x:c>
      <x:c r="K3252" t="str">
        <x:v>debt_consolidation</x:v>
      </x:c>
      <x:c r="L3252" t="n">
        <x:v>1</x:v>
      </x:c>
      <x:c r="M3252" t="n">
        <x:v>0</x:v>
      </x:c>
      <x:c r="N3252" t="str">
        <x:v>Fully Paid</x:v>
      </x:c>
      <x:c r="O3252" t="str">
        <x:f>IF(D3252="","Unknown",IF(D3252&lt;25000,"&lt;$25k",IF(D3252&lt;50000,"$25k-$50k",IF(D3252&lt;75000,"$50k-$75k",IF(D3252&lt;100000,"$75k-$100k","$100k+")))))</x:f>
        <x:v>$75k-$100k</x:v>
      </x:c>
      <x:c r="P3252" t="str">
        <x:f>IF(E3252="","Unknown",IF(E3252&lt;10,"&lt;10",IF(E3252&lt;20,"10-&lt;20",IF(E3252&lt;25,"20-&lt;25",IF(E3252&lt;35,"25-&lt;35","35+")))))</x:f>
        <x:v>20-&lt;25</x:v>
      </x:c>
    </x:row>
    <x:row r="3253">
      <x:c r="A3253" t="str">
        <x:v>SYN0003252</x:v>
      </x:c>
      <x:c r="B3253" s="12" t="n">
        <x:v>41965</x:v>
      </x:c>
      <x:c r="C3253" s="18" t="n">
        <x:v>16808</x:v>
      </x:c>
      <x:c r="D3253" s="18" t="n">
        <x:v>104117</x:v>
      </x:c>
      <x:c r="E3253" s="18" t="n">
        <x:v>5.99</x:v>
      </x:c>
      <x:c r="F3253" s="18" t="n">
        <x:v>5</x:v>
      </x:c>
      <x:c r="G3253" t="n">
        <x:v>36</x:v>
      </x:c>
      <x:c r="H3253" t="str">
        <x:v>A</x:v>
      </x:c>
      <x:c r="I3253" t="str">
        <x:v>&lt;1 year</x:v>
      </x:c>
      <x:c r="J3253" t="str">
        <x:v>MORTGAGE</x:v>
      </x:c>
      <x:c r="K3253" t="str">
        <x:v>debt_consolidation</x:v>
      </x:c>
      <x:c r="L3253" t="n">
        <x:v>1</x:v>
      </x:c>
      <x:c r="M3253" t="n">
        <x:v>0</x:v>
      </x:c>
      <x:c r="N3253" t="str">
        <x:v>Fully Paid</x:v>
      </x:c>
      <x:c r="O3253" t="str">
        <x:f>IF(D3253="","Unknown",IF(D3253&lt;25000,"&lt;$25k",IF(D3253&lt;50000,"$25k-$50k",IF(D3253&lt;75000,"$50k-$75k",IF(D3253&lt;100000,"$75k-$100k","$100k+")))))</x:f>
        <x:v>$100k+</x:v>
      </x:c>
      <x:c r="P3253" t="str">
        <x:f>IF(E3253="","Unknown",IF(E3253&lt;10,"&lt;10",IF(E3253&lt;20,"10-&lt;20",IF(E3253&lt;25,"20-&lt;25",IF(E3253&lt;35,"25-&lt;35","35+")))))</x:f>
        <x:v>&lt;10</x:v>
      </x:c>
    </x:row>
    <x:row r="3254">
      <x:c r="A3254" t="str">
        <x:v>SYN0003253</x:v>
      </x:c>
      <x:c r="B3254" s="12" t="n">
        <x:v>42115</x:v>
      </x:c>
      <x:c r="C3254" s="18" t="n">
        <x:v>10884</x:v>
      </x:c>
      <x:c r="D3254" s="18" t="n">
        <x:v>38266</x:v>
      </x:c>
      <x:c r="E3254" s="18" t="n">
        <x:v>10.53</x:v>
      </x:c>
      <x:c r="F3254" s="18" t="n">
        <x:v>20.63</x:v>
      </x:c>
      <x:c r="G3254" t="n">
        <x:v>36</x:v>
      </x:c>
      <x:c r="H3254" t="str">
        <x:v>F</x:v>
      </x:c>
      <x:c r="I3254" t="str">
        <x:v>10+ years</x:v>
      </x:c>
      <x:c r="J3254" t="str">
        <x:v>RENT</x:v>
      </x:c>
      <x:c r="K3254" t="str">
        <x:v>credit_card</x:v>
      </x:c>
      <x:c r="L3254" t="n">
        <x:v>1</x:v>
      </x:c>
      <x:c r="M3254" t="n">
        <x:v>0</x:v>
      </x:c>
      <x:c r="N3254" t="str">
        <x:v>Fully Paid</x:v>
      </x:c>
      <x:c r="O3254" t="str">
        <x:f>IF(D3254="","Unknown",IF(D3254&lt;25000,"&lt;$25k",IF(D3254&lt;50000,"$25k-$50k",IF(D3254&lt;75000,"$50k-$75k",IF(D3254&lt;100000,"$75k-$100k","$100k+")))))</x:f>
        <x:v>$25k-$50k</x:v>
      </x:c>
      <x:c r="P3254" t="str">
        <x:f>IF(E3254="","Unknown",IF(E3254&lt;10,"&lt;10",IF(E3254&lt;20,"10-&lt;20",IF(E3254&lt;25,"20-&lt;25",IF(E3254&lt;35,"25-&lt;35","35+")))))</x:f>
        <x:v>10-&lt;20</x:v>
      </x:c>
    </x:row>
    <x:row r="3255">
      <x:c r="A3255" t="str">
        <x:v>SYN0003254</x:v>
      </x:c>
      <x:c r="B3255" s="12" t="n">
        <x:v>42025</x:v>
      </x:c>
      <x:c r="C3255" s="18" t="n">
        <x:v>14188</x:v>
      </x:c>
      <x:c r="D3255" s="18" t="n">
        <x:v>12195</x:v>
      </x:c>
      <x:c r="E3255" s="18" t="n">
        <x:v>27.31</x:v>
      </x:c>
      <x:c r="F3255" s="18" t="n">
        <x:v>14.17</x:v>
      </x:c>
      <x:c r="G3255" t="n">
        <x:v>36</x:v>
      </x:c>
      <x:c r="H3255" t="str">
        <x:v>D</x:v>
      </x:c>
      <x:c r="I3255" t="str">
        <x:v>7-9 years</x:v>
      </x:c>
      <x:c r="J3255" t="str">
        <x:v>OWN</x:v>
      </x:c>
      <x:c r="K3255" t="str">
        <x:v>debt_consolidation</x:v>
      </x:c>
      <x:c r="L3255" t="n">
        <x:v>2</x:v>
      </x:c>
      <x:c r="M3255" t="n">
        <x:v>1</x:v>
      </x:c>
      <x:c r="N3255" t="str">
        <x:v>Charged Off</x:v>
      </x:c>
      <x:c r="O3255" t="str">
        <x:f>IF(D3255="","Unknown",IF(D3255&lt;25000,"&lt;$25k",IF(D3255&lt;50000,"$25k-$50k",IF(D3255&lt;75000,"$50k-$75k",IF(D3255&lt;100000,"$75k-$100k","$100k+")))))</x:f>
        <x:v>&lt;$25k</x:v>
      </x:c>
      <x:c r="P3255" t="str">
        <x:f>IF(E3255="","Unknown",IF(E3255&lt;10,"&lt;10",IF(E3255&lt;20,"10-&lt;20",IF(E3255&lt;25,"20-&lt;25",IF(E3255&lt;35,"25-&lt;35","35+")))))</x:f>
        <x:v>25-&lt;35</x:v>
      </x:c>
    </x:row>
    <x:row r="3256">
      <x:c r="A3256" t="str">
        <x:v>SYN0003255</x:v>
      </x:c>
      <x:c r="B3256" s="12" t="n">
        <x:v>42565</x:v>
      </x:c>
      <x:c r="C3256" s="18" t="n">
        <x:v>15784</x:v>
      </x:c>
      <x:c r="D3256" s="18" t="n">
        <x:v>33936</x:v>
      </x:c>
      <x:c r="E3256" s="18" t="n">
        <x:v>27.67</x:v>
      </x:c>
      <x:c r="F3256" s="18" t="n">
        <x:v>12.97</x:v>
      </x:c>
      <x:c r="G3256" t="n">
        <x:v>36</x:v>
      </x:c>
      <x:c r="H3256" t="str">
        <x:v>C</x:v>
      </x:c>
      <x:c r="I3256" t="str">
        <x:v>1-3 years</x:v>
      </x:c>
      <x:c r="J3256" t="str">
        <x:v>MORTGAGE</x:v>
      </x:c>
      <x:c r="K3256" t="str">
        <x:v>debt_consolidation</x:v>
      </x:c>
      <x:c r="L3256" t="n">
        <x:v>0</x:v>
      </x:c>
      <x:c r="M3256" t="n">
        <x:v>0</x:v>
      </x:c>
      <x:c r="N3256" t="str">
        <x:v>Fully Paid</x:v>
      </x:c>
      <x:c r="O3256" t="str">
        <x:f>IF(D3256="","Unknown",IF(D3256&lt;25000,"&lt;$25k",IF(D3256&lt;50000,"$25k-$50k",IF(D3256&lt;75000,"$50k-$75k",IF(D3256&lt;100000,"$75k-$100k","$100k+")))))</x:f>
        <x:v>$25k-$50k</x:v>
      </x:c>
      <x:c r="P3256" t="str">
        <x:f>IF(E3256="","Unknown",IF(E3256&lt;10,"&lt;10",IF(E3256&lt;20,"10-&lt;20",IF(E3256&lt;25,"20-&lt;25",IF(E3256&lt;35,"25-&lt;35","35+")))))</x:f>
        <x:v>25-&lt;35</x:v>
      </x:c>
    </x:row>
    <x:row r="3257">
      <x:c r="A3257" t="str">
        <x:v>SYN0003256</x:v>
      </x:c>
      <x:c r="B3257" s="12" t="n">
        <x:v>42985</x:v>
      </x:c>
      <x:c r="C3257" s="18" t="n">
        <x:v>7896</x:v>
      </x:c>
      <x:c r="D3257" s="18" t="n">
        <x:v>77532</x:v>
      </x:c>
      <x:c r="E3257" s="18" t="n">
        <x:v>35.93</x:v>
      </x:c>
      <x:c r="F3257" s="18" t="n">
        <x:v>25</x:v>
      </x:c>
      <x:c r="G3257" t="n">
        <x:v>60</x:v>
      </x:c>
      <x:c r="H3257" t="str">
        <x:v>G</x:v>
      </x:c>
      <x:c r="I3257" t="str">
        <x:v>1-3 years</x:v>
      </x:c>
      <x:c r="J3257" t="str">
        <x:v>MORTGAGE</x:v>
      </x:c>
      <x:c r="K3257" t="str">
        <x:v>debt_consolidation</x:v>
      </x:c>
      <x:c r="L3257" t="n">
        <x:v>0</x:v>
      </x:c>
      <x:c r="M3257" t="n">
        <x:v>1</x:v>
      </x:c>
      <x:c r="N3257" t="str">
        <x:v>Charged Off</x:v>
      </x:c>
      <x:c r="O3257" t="str">
        <x:f>IF(D3257="","Unknown",IF(D3257&lt;25000,"&lt;$25k",IF(D3257&lt;50000,"$25k-$50k",IF(D3257&lt;75000,"$50k-$75k",IF(D3257&lt;100000,"$75k-$100k","$100k+")))))</x:f>
        <x:v>$75k-$100k</x:v>
      </x:c>
      <x:c r="P3257" t="str">
        <x:f>IF(E3257="","Unknown",IF(E3257&lt;10,"&lt;10",IF(E3257&lt;20,"10-&lt;20",IF(E3257&lt;25,"20-&lt;25",IF(E3257&lt;35,"25-&lt;35","35+")))))</x:f>
        <x:v>35+</x:v>
      </x:c>
    </x:row>
    <x:row r="3258">
      <x:c r="A3258" t="str">
        <x:v>SYN0003257</x:v>
      </x:c>
      <x:c r="B3258" s="12" t="n">
        <x:v>43075</x:v>
      </x:c>
      <x:c r="C3258" s="18" t="n">
        <x:v>2678</x:v>
      </x:c>
      <x:c r="D3258" s="18" t="n">
        <x:v>57025</x:v>
      </x:c>
      <x:c r="E3258" s="18" t="n">
        <x:v>7.88</x:v>
      </x:c>
      <x:c r="F3258" s="18" t="n">
        <x:v>6.03</x:v>
      </x:c>
      <x:c r="G3258" t="n">
        <x:v>36</x:v>
      </x:c>
      <x:c r="H3258" t="str">
        <x:v>A</x:v>
      </x:c>
      <x:c r="I3258" t="str">
        <x:v>10+ years</x:v>
      </x:c>
      <x:c r="J3258" t="str">
        <x:v>MORTGAGE</x:v>
      </x:c>
      <x:c r="K3258" t="str">
        <x:v>debt_consolidation</x:v>
      </x:c>
      <x:c r="L3258" t="n">
        <x:v>0</x:v>
      </x:c>
      <x:c r="M3258" t="n">
        <x:v>0</x:v>
      </x:c>
      <x:c r="N3258" t="str">
        <x:v>Fully Paid</x:v>
      </x:c>
      <x:c r="O3258" t="str">
        <x:f>IF(D3258="","Unknown",IF(D3258&lt;25000,"&lt;$25k",IF(D3258&lt;50000,"$25k-$50k",IF(D3258&lt;75000,"$50k-$75k",IF(D3258&lt;100000,"$75k-$100k","$100k+")))))</x:f>
        <x:v>$50k-$75k</x:v>
      </x:c>
      <x:c r="P3258" t="str">
        <x:f>IF(E3258="","Unknown",IF(E3258&lt;10,"&lt;10",IF(E3258&lt;20,"10-&lt;20",IF(E3258&lt;25,"20-&lt;25",IF(E3258&lt;35,"25-&lt;35","35+")))))</x:f>
        <x:v>&lt;10</x:v>
      </x:c>
    </x:row>
    <x:row r="3259">
      <x:c r="A3259" t="str">
        <x:v>SYN0003258</x:v>
      </x:c>
      <x:c r="B3259" s="12" t="n">
        <x:v>43315</x:v>
      </x:c>
      <x:c r="C3259" s="18" t="n">
        <x:v>17495</x:v>
      </x:c>
      <x:c r="D3259" s="18" t="n">
        <x:v>27043</x:v>
      </x:c>
      <x:c r="E3259" s="18" t="n">
        <x:v>24.3</x:v>
      </x:c>
      <x:c r="F3259" s="18" t="n">
        <x:v>8.96</x:v>
      </x:c>
      <x:c r="G3259" t="n">
        <x:v>36</x:v>
      </x:c>
      <x:c r="H3259" t="str">
        <x:v>B</x:v>
      </x:c>
      <x:c r="I3259" t="str">
        <x:v>10+ years</x:v>
      </x:c>
      <x:c r="J3259" t="str">
        <x:v>RENT</x:v>
      </x:c>
      <x:c r="K3259" t="str">
        <x:v>home_improvement</x:v>
      </x:c>
      <x:c r="L3259" t="n">
        <x:v>0</x:v>
      </x:c>
      <x:c r="M3259" t="n">
        <x:v>0</x:v>
      </x:c>
      <x:c r="N3259" t="str">
        <x:v>Fully Paid</x:v>
      </x:c>
      <x:c r="O3259" t="str">
        <x:f>IF(D3259="","Unknown",IF(D3259&lt;25000,"&lt;$25k",IF(D3259&lt;50000,"$25k-$50k",IF(D3259&lt;75000,"$50k-$75k",IF(D3259&lt;100000,"$75k-$100k","$100k+")))))</x:f>
        <x:v>$25k-$50k</x:v>
      </x:c>
      <x:c r="P3259" t="str">
        <x:f>IF(E3259="","Unknown",IF(E3259&lt;10,"&lt;10",IF(E3259&lt;20,"10-&lt;20",IF(E3259&lt;25,"20-&lt;25",IF(E3259&lt;35,"25-&lt;35","35+")))))</x:f>
        <x:v>20-&lt;25</x:v>
      </x:c>
    </x:row>
    <x:row r="3260">
      <x:c r="A3260" t="str">
        <x:v>SYN0003259</x:v>
      </x:c>
      <x:c r="B3260" s="12" t="n">
        <x:v>41995</x:v>
      </x:c>
      <x:c r="C3260" s="18" t="n">
        <x:v>10485</x:v>
      </x:c>
      <x:c r="D3260" s="18" t="n">
        <x:v>89004</x:v>
      </x:c>
      <x:c r="E3260" s="18" t="n">
        <x:v>23.44</x:v>
      </x:c>
      <x:c r="F3260" s="18" t="n">
        <x:v>6.27</x:v>
      </x:c>
      <x:c r="G3260" t="n">
        <x:v>60</x:v>
      </x:c>
      <x:c r="H3260" t="str">
        <x:v>B</x:v>
      </x:c>
      <x:c r="I3260" t="str">
        <x:v>4-6 years</x:v>
      </x:c>
      <x:c r="J3260" t="str">
        <x:v>RENT</x:v>
      </x:c>
      <x:c r="K3260" t="str">
        <x:v>major_purchase</x:v>
      </x:c>
      <x:c r="L3260" t="n">
        <x:v>0</x:v>
      </x:c>
      <x:c r="M3260" t="n">
        <x:v>0</x:v>
      </x:c>
      <x:c r="N3260" t="str">
        <x:v>Fully Paid</x:v>
      </x:c>
      <x:c r="O3260" t="str">
        <x:f>IF(D3260="","Unknown",IF(D3260&lt;25000,"&lt;$25k",IF(D3260&lt;50000,"$25k-$50k",IF(D3260&lt;75000,"$50k-$75k",IF(D3260&lt;100000,"$75k-$100k","$100k+")))))</x:f>
        <x:v>$75k-$100k</x:v>
      </x:c>
      <x:c r="P3260" t="str">
        <x:f>IF(E3260="","Unknown",IF(E3260&lt;10,"&lt;10",IF(E3260&lt;20,"10-&lt;20",IF(E3260&lt;25,"20-&lt;25",IF(E3260&lt;35,"25-&lt;35","35+")))))</x:f>
        <x:v>20-&lt;25</x:v>
      </x:c>
    </x:row>
    <x:row r="3261">
      <x:c r="A3261" t="str">
        <x:v>SYN0003260</x:v>
      </x:c>
      <x:c r="B3261" s="12" t="n">
        <x:v>42205</x:v>
      </x:c>
      <x:c r="C3261" s="18" t="n">
        <x:v>16121</x:v>
      </x:c>
      <x:c r="D3261" s="18" t="n">
        <x:v>30825</x:v>
      </x:c>
      <x:c r="E3261" s="18" t="n">
        <x:v>24.8</x:v>
      </x:c>
      <x:c r="F3261" s="18" t="n">
        <x:v>12.62</x:v>
      </x:c>
      <x:c r="G3261" t="n">
        <x:v>60</x:v>
      </x:c>
      <x:c r="H3261" t="str">
        <x:v>C</x:v>
      </x:c>
      <x:c r="I3261" t="str">
        <x:v>7-9 years</x:v>
      </x:c>
      <x:c r="J3261" t="str">
        <x:v>MORTGAGE</x:v>
      </x:c>
      <x:c r="K3261" t="str">
        <x:v>credit_card</x:v>
      </x:c>
      <x:c r="L3261" t="n">
        <x:v>0</x:v>
      </x:c>
      <x:c r="M3261" t="n">
        <x:v>0</x:v>
      </x:c>
      <x:c r="N3261" t="str">
        <x:v>Fully Paid</x:v>
      </x:c>
      <x:c r="O3261" t="str">
        <x:f>IF(D3261="","Unknown",IF(D3261&lt;25000,"&lt;$25k",IF(D3261&lt;50000,"$25k-$50k",IF(D3261&lt;75000,"$50k-$75k",IF(D3261&lt;100000,"$75k-$100k","$100k+")))))</x:f>
        <x:v>$25k-$50k</x:v>
      </x:c>
      <x:c r="P3261" t="str">
        <x:f>IF(E3261="","Unknown",IF(E3261&lt;10,"&lt;10",IF(E3261&lt;20,"10-&lt;20",IF(E3261&lt;25,"20-&lt;25",IF(E3261&lt;35,"25-&lt;35","35+")))))</x:f>
        <x:v>20-&lt;25</x:v>
      </x:c>
    </x:row>
    <x:row r="3262">
      <x:c r="A3262" t="str">
        <x:v>SYN0003261</x:v>
      </x:c>
      <x:c r="B3262" s="12" t="n">
        <x:v>41275</x:v>
      </x:c>
      <x:c r="C3262" s="18" t="n">
        <x:v>14769</x:v>
      </x:c>
      <x:c r="D3262" s="18" t="n">
        <x:v>59691</x:v>
      </x:c>
      <x:c r="E3262" s="18" t="n">
        <x:v>25.29</x:v>
      </x:c>
      <x:c r="F3262" s="18" t="n">
        <x:v>13.14</x:v>
      </x:c>
      <x:c r="G3262" t="n">
        <x:v>60</x:v>
      </x:c>
      <x:c r="H3262" t="str">
        <x:v>C</x:v>
      </x:c>
      <x:c r="I3262" t="str">
        <x:v>1-3 years</x:v>
      </x:c>
      <x:c r="J3262" t="str">
        <x:v>MORTGAGE</x:v>
      </x:c>
      <x:c r="K3262" t="str">
        <x:v>credit_card</x:v>
      </x:c>
      <x:c r="L3262" t="n">
        <x:v>0</x:v>
      </x:c>
      <x:c r="M3262" t="n">
        <x:v>1</x:v>
      </x:c>
      <x:c r="N3262" t="str">
        <x:v>Charged Off</x:v>
      </x:c>
      <x:c r="O3262" t="str">
        <x:f>IF(D3262="","Unknown",IF(D3262&lt;25000,"&lt;$25k",IF(D3262&lt;50000,"$25k-$50k",IF(D3262&lt;75000,"$50k-$75k",IF(D3262&lt;100000,"$75k-$100k","$100k+")))))</x:f>
        <x:v>$50k-$75k</x:v>
      </x:c>
      <x:c r="P3262" t="str">
        <x:f>IF(E3262="","Unknown",IF(E3262&lt;10,"&lt;10",IF(E3262&lt;20,"10-&lt;20",IF(E3262&lt;25,"20-&lt;25",IF(E3262&lt;35,"25-&lt;35","35+")))))</x:f>
        <x:v>25-&lt;35</x:v>
      </x:c>
    </x:row>
    <x:row r="3263">
      <x:c r="A3263" t="str">
        <x:v>SYN0003262</x:v>
      </x:c>
      <x:c r="B3263" s="12" t="n">
        <x:v>42145</x:v>
      </x:c>
      <x:c r="C3263" s="18" t="n">
        <x:v>4874</x:v>
      </x:c>
      <x:c r="D3263" s="18" t="n">
        <x:v>57585</x:v>
      </x:c>
      <x:c r="E3263" s="18" t="n">
        <x:v>26.06</x:v>
      </x:c>
      <x:c r="F3263" s="18" t="n">
        <x:v>13.86</x:v>
      </x:c>
      <x:c r="G3263" t="n">
        <x:v>36</x:v>
      </x:c>
      <x:c r="H3263" t="str">
        <x:v>D</x:v>
      </x:c>
      <x:c r="I3263" t="str">
        <x:v>&lt;1 year</x:v>
      </x:c>
      <x:c r="J3263" t="str">
        <x:v>RENT</x:v>
      </x:c>
      <x:c r="K3263" t="str">
        <x:v>debt_consolidation</x:v>
      </x:c>
      <x:c r="L3263" t="n">
        <x:v>0</x:v>
      </x:c>
      <x:c r="M3263" t="n">
        <x:v>1</x:v>
      </x:c>
      <x:c r="N3263" t="str">
        <x:v>Charged Off</x:v>
      </x:c>
      <x:c r="O3263" t="str">
        <x:f>IF(D3263="","Unknown",IF(D3263&lt;25000,"&lt;$25k",IF(D3263&lt;50000,"$25k-$50k",IF(D3263&lt;75000,"$50k-$75k",IF(D3263&lt;100000,"$75k-$100k","$100k+")))))</x:f>
        <x:v>$50k-$75k</x:v>
      </x:c>
      <x:c r="P3263" t="str">
        <x:f>IF(E3263="","Unknown",IF(E3263&lt;10,"&lt;10",IF(E3263&lt;20,"10-&lt;20",IF(E3263&lt;25,"20-&lt;25",IF(E3263&lt;35,"25-&lt;35","35+")))))</x:f>
        <x:v>25-&lt;35</x:v>
      </x:c>
    </x:row>
    <x:row r="3264">
      <x:c r="A3264" t="str">
        <x:v>SYN0003263</x:v>
      </x:c>
      <x:c r="B3264" s="12" t="n">
        <x:v>42565</x:v>
      </x:c>
      <x:c r="C3264" s="18" t="n">
        <x:v>11971</x:v>
      </x:c>
      <x:c r="D3264" s="18" t="n">
        <x:v>27746</x:v>
      </x:c>
      <x:c r="E3264" s="18" t="n">
        <x:v>31.07</x:v>
      </x:c>
      <x:c r="F3264" s="18" t="n">
        <x:v>15.93</x:v>
      </x:c>
      <x:c r="G3264" t="n">
        <x:v>36</x:v>
      </x:c>
      <x:c r="H3264" t="str">
        <x:v>D</x:v>
      </x:c>
      <x:c r="I3264" t="str">
        <x:v>4-6 years</x:v>
      </x:c>
      <x:c r="J3264" t="str">
        <x:v>RENT</x:v>
      </x:c>
      <x:c r="K3264" t="str">
        <x:v>home_improvement</x:v>
      </x:c>
      <x:c r="L3264" t="n">
        <x:v>2</x:v>
      </x:c>
      <x:c r="M3264" t="n">
        <x:v>0</x:v>
      </x:c>
      <x:c r="N3264" t="str">
        <x:v>Fully Paid</x:v>
      </x:c>
      <x:c r="O3264" t="str">
        <x:f>IF(D3264="","Unknown",IF(D3264&lt;25000,"&lt;$25k",IF(D3264&lt;50000,"$25k-$50k",IF(D3264&lt;75000,"$50k-$75k",IF(D3264&lt;100000,"$75k-$100k","$100k+")))))</x:f>
        <x:v>$25k-$50k</x:v>
      </x:c>
      <x:c r="P3264" t="str">
        <x:f>IF(E3264="","Unknown",IF(E3264&lt;10,"&lt;10",IF(E3264&lt;20,"10-&lt;20",IF(E3264&lt;25,"20-&lt;25",IF(E3264&lt;35,"25-&lt;35","35+")))))</x:f>
        <x:v>25-&lt;35</x:v>
      </x:c>
    </x:row>
    <x:row r="3265">
      <x:c r="A3265" t="str">
        <x:v>SYN0003264</x:v>
      </x:c>
      <x:c r="B3265" s="12" t="n">
        <x:v>41365</x:v>
      </x:c>
      <x:c r="C3265" s="18" t="n">
        <x:v>15078</x:v>
      </x:c>
      <x:c r="D3265" s="18" t="n">
        <x:v>94294</x:v>
      </x:c>
      <x:c r="E3265" s="18" t="n">
        <x:v>21.31</x:v>
      </x:c>
      <x:c r="F3265" s="18" t="n">
        <x:v>11.31</x:v>
      </x:c>
      <x:c r="G3265" t="n">
        <x:v>60</x:v>
      </x:c>
      <x:c r="H3265" t="str">
        <x:v>C</x:v>
      </x:c>
      <x:c r="I3265" t="str">
        <x:v>7-9 years</x:v>
      </x:c>
      <x:c r="J3265" t="str">
        <x:v>OWN</x:v>
      </x:c>
      <x:c r="K3265" t="str">
        <x:v>medical</x:v>
      </x:c>
      <x:c r="L3265" t="n">
        <x:v>0</x:v>
      </x:c>
      <x:c r="M3265" t="n">
        <x:v>0</x:v>
      </x:c>
      <x:c r="N3265" t="str">
        <x:v>Fully Paid</x:v>
      </x:c>
      <x:c r="O3265" t="str">
        <x:f>IF(D3265="","Unknown",IF(D3265&lt;25000,"&lt;$25k",IF(D3265&lt;50000,"$25k-$50k",IF(D3265&lt;75000,"$50k-$75k",IF(D3265&lt;100000,"$75k-$100k","$100k+")))))</x:f>
        <x:v>$75k-$100k</x:v>
      </x:c>
      <x:c r="P3265" t="str">
        <x:f>IF(E3265="","Unknown",IF(E3265&lt;10,"&lt;10",IF(E3265&lt;20,"10-&lt;20",IF(E3265&lt;25,"20-&lt;25",IF(E3265&lt;35,"25-&lt;35","35+")))))</x:f>
        <x:v>20-&lt;25</x:v>
      </x:c>
    </x:row>
    <x:row r="3266">
      <x:c r="A3266" t="str">
        <x:v>SYN0003265</x:v>
      </x:c>
      <x:c r="B3266" s="12" t="n">
        <x:v>43105</x:v>
      </x:c>
      <x:c r="C3266" s="18" t="n">
        <x:v>15894</x:v>
      </x:c>
      <x:c r="D3266" s="18" t="n">
        <x:v>12000</x:v>
      </x:c>
      <x:c r="E3266" s="18" t="n">
        <x:v>17.95</x:v>
      </x:c>
      <x:c r="F3266" s="18" t="n">
        <x:v>8.3</x:v>
      </x:c>
      <x:c r="G3266" t="n">
        <x:v>36</x:v>
      </x:c>
      <x:c r="H3266" t="str">
        <x:v>A</x:v>
      </x:c>
      <x:c r="I3266" t="str">
        <x:v>7-9 years</x:v>
      </x:c>
      <x:c r="J3266" t="str">
        <x:v>OWN</x:v>
      </x:c>
      <x:c r="K3266" t="str">
        <x:v>other</x:v>
      </x:c>
      <x:c r="L3266" t="n">
        <x:v>0</x:v>
      </x:c>
      <x:c r="M3266" t="n">
        <x:v>0</x:v>
      </x:c>
      <x:c r="N3266" t="str">
        <x:v>Fully Paid</x:v>
      </x:c>
      <x:c r="O3266" t="str">
        <x:f>IF(D3266="","Unknown",IF(D3266&lt;25000,"&lt;$25k",IF(D3266&lt;50000,"$25k-$50k",IF(D3266&lt;75000,"$50k-$75k",IF(D3266&lt;100000,"$75k-$100k","$100k+")))))</x:f>
        <x:v>&lt;$25k</x:v>
      </x:c>
      <x:c r="P3266" t="str">
        <x:f>IF(E3266="","Unknown",IF(E3266&lt;10,"&lt;10",IF(E3266&lt;20,"10-&lt;20",IF(E3266&lt;25,"20-&lt;25",IF(E3266&lt;35,"25-&lt;35","35+")))))</x:f>
        <x:v>10-&lt;20</x:v>
      </x:c>
    </x:row>
    <x:row r="3267">
      <x:c r="A3267" t="str">
        <x:v>SYN0003266</x:v>
      </x:c>
      <x:c r="B3267" s="12" t="n">
        <x:v>43075</x:v>
      </x:c>
      <x:c r="C3267" s="18" t="n">
        <x:v>12192</x:v>
      </x:c>
      <x:c r="D3267" s="18" t="n">
        <x:v>55894</x:v>
      </x:c>
      <x:c r="E3267" s="18" t="n">
        <x:v>8.44</x:v>
      </x:c>
      <x:c r="F3267" s="18" t="n">
        <x:v>7.77</x:v>
      </x:c>
      <x:c r="G3267" t="n">
        <x:v>36</x:v>
      </x:c>
      <x:c r="H3267" t="str">
        <x:v>A</x:v>
      </x:c>
      <x:c r="I3267" t="str">
        <x:v>4-6 years</x:v>
      </x:c>
      <x:c r="J3267" t="str">
        <x:v>RENT</x:v>
      </x:c>
      <x:c r="K3267" t="str">
        <x:v>debt_consolidation</x:v>
      </x:c>
      <x:c r="L3267" t="n">
        <x:v>0</x:v>
      </x:c>
      <x:c r="M3267" t="n">
        <x:v>0</x:v>
      </x:c>
      <x:c r="N3267" t="str">
        <x:v>Fully Paid</x:v>
      </x:c>
      <x:c r="O3267" t="str">
        <x:f>IF(D3267="","Unknown",IF(D3267&lt;25000,"&lt;$25k",IF(D3267&lt;50000,"$25k-$50k",IF(D3267&lt;75000,"$50k-$75k",IF(D3267&lt;100000,"$75k-$100k","$100k+")))))</x:f>
        <x:v>$50k-$75k</x:v>
      </x:c>
      <x:c r="P3267" t="str">
        <x:f>IF(E3267="","Unknown",IF(E3267&lt;10,"&lt;10",IF(E3267&lt;20,"10-&lt;20",IF(E3267&lt;25,"20-&lt;25",IF(E3267&lt;35,"25-&lt;35","35+")))))</x:f>
        <x:v>&lt;10</x:v>
      </x:c>
    </x:row>
    <x:row r="3268">
      <x:c r="A3268" t="str">
        <x:v>SYN0003267</x:v>
      </x:c>
      <x:c r="B3268" s="12" t="n">
        <x:v>43225</x:v>
      </x:c>
      <x:c r="C3268" s="18" t="n">
        <x:v>10509</x:v>
      </x:c>
      <x:c r="D3268" s="18" t="n">
        <x:v>166744</x:v>
      </x:c>
      <x:c r="E3268" s="18" t="n">
        <x:v>20.29</x:v>
      </x:c>
      <x:c r="F3268" s="18" t="n">
        <x:v>10.34</x:v>
      </x:c>
      <x:c r="G3268" t="n">
        <x:v>36</x:v>
      </x:c>
      <x:c r="H3268" t="str">
        <x:v>A</x:v>
      </x:c>
      <x:c r="I3268" t="str">
        <x:v>10+ years</x:v>
      </x:c>
      <x:c r="J3268" t="str">
        <x:v>RENT</x:v>
      </x:c>
      <x:c r="K3268" t="str">
        <x:v>debt_consolidation</x:v>
      </x:c>
      <x:c r="L3268" t="n">
        <x:v>0</x:v>
      </x:c>
      <x:c r="M3268" t="n">
        <x:v>0</x:v>
      </x:c>
      <x:c r="N3268" t="str">
        <x:v>Fully Paid</x:v>
      </x:c>
      <x:c r="O3268" t="str">
        <x:f>IF(D3268="","Unknown",IF(D3268&lt;25000,"&lt;$25k",IF(D3268&lt;50000,"$25k-$50k",IF(D3268&lt;75000,"$50k-$75k",IF(D3268&lt;100000,"$75k-$100k","$100k+")))))</x:f>
        <x:v>$100k+</x:v>
      </x:c>
      <x:c r="P3268" t="str">
        <x:f>IF(E3268="","Unknown",IF(E3268&lt;10,"&lt;10",IF(E3268&lt;20,"10-&lt;20",IF(E3268&lt;25,"20-&lt;25",IF(E3268&lt;35,"25-&lt;35","35+")))))</x:f>
        <x:v>20-&lt;25</x:v>
      </x:c>
    </x:row>
    <x:row r="3269">
      <x:c r="A3269" t="str">
        <x:v>SYN0003268</x:v>
      </x:c>
      <x:c r="B3269" s="12" t="n">
        <x:v>42475</x:v>
      </x:c>
      <x:c r="C3269" s="18" t="n">
        <x:v>17690</x:v>
      </x:c>
      <x:c r="D3269" s="18" t="n">
        <x:v>37657</x:v>
      </x:c>
      <x:c r="E3269" s="18" t="n">
        <x:v>28.39</x:v>
      </x:c>
      <x:c r="F3269" s="18" t="n">
        <x:v>23.58</x:v>
      </x:c>
      <x:c r="G3269" t="n">
        <x:v>60</x:v>
      </x:c>
      <x:c r="H3269" t="str">
        <x:v>F</x:v>
      </x:c>
      <x:c r="I3269" t="str">
        <x:v>10+ years</x:v>
      </x:c>
      <x:c r="J3269" t="str">
        <x:v>MORTGAGE</x:v>
      </x:c>
      <x:c r="K3269" t="str">
        <x:v>credit_card</x:v>
      </x:c>
      <x:c r="L3269" t="n">
        <x:v>2</x:v>
      </x:c>
      <x:c r="M3269" t="n">
        <x:v>0</x:v>
      </x:c>
      <x:c r="N3269" t="str">
        <x:v>Fully Paid</x:v>
      </x:c>
      <x:c r="O3269" t="str">
        <x:f>IF(D3269="","Unknown",IF(D3269&lt;25000,"&lt;$25k",IF(D3269&lt;50000,"$25k-$50k",IF(D3269&lt;75000,"$50k-$75k",IF(D3269&lt;100000,"$75k-$100k","$100k+")))))</x:f>
        <x:v>$25k-$50k</x:v>
      </x:c>
      <x:c r="P3269" t="str">
        <x:f>IF(E3269="","Unknown",IF(E3269&lt;10,"&lt;10",IF(E3269&lt;20,"10-&lt;20",IF(E3269&lt;25,"20-&lt;25",IF(E3269&lt;35,"25-&lt;35","35+")))))</x:f>
        <x:v>25-&lt;35</x:v>
      </x:c>
    </x:row>
    <x:row r="3270">
      <x:c r="A3270" t="str">
        <x:v>SYN0003269</x:v>
      </x:c>
      <x:c r="B3270" s="12" t="n">
        <x:v>41785</x:v>
      </x:c>
      <x:c r="C3270" s="18" t="n">
        <x:v>10764</x:v>
      </x:c>
      <x:c r="D3270" s="18" t="n">
        <x:v>60678</x:v>
      </x:c>
      <x:c r="E3270" s="18" t="n">
        <x:v>14.35</x:v>
      </x:c>
      <x:c r="F3270" s="18" t="n">
        <x:v>9.07</x:v>
      </x:c>
      <x:c r="G3270" t="n">
        <x:v>36</x:v>
      </x:c>
      <x:c r="H3270" t="str">
        <x:v>B</x:v>
      </x:c>
      <x:c r="I3270" t="str">
        <x:v>10+ years</x:v>
      </x:c>
      <x:c r="J3270" t="str">
        <x:v>MORTGAGE</x:v>
      </x:c>
      <x:c r="K3270" t="str">
        <x:v>credit_card</x:v>
      </x:c>
      <x:c r="L3270" t="n">
        <x:v>1</x:v>
      </x:c>
      <x:c r="M3270" t="n">
        <x:v>0</x:v>
      </x:c>
      <x:c r="N3270" t="str">
        <x:v>Fully Paid</x:v>
      </x:c>
      <x:c r="O3270" t="str">
        <x:f>IF(D3270="","Unknown",IF(D3270&lt;25000,"&lt;$25k",IF(D3270&lt;50000,"$25k-$50k",IF(D3270&lt;75000,"$50k-$75k",IF(D3270&lt;100000,"$75k-$100k","$100k+")))))</x:f>
        <x:v>$50k-$75k</x:v>
      </x:c>
      <x:c r="P3270" t="str">
        <x:f>IF(E3270="","Unknown",IF(E3270&lt;10,"&lt;10",IF(E3270&lt;20,"10-&lt;20",IF(E3270&lt;25,"20-&lt;25",IF(E3270&lt;35,"25-&lt;35","35+")))))</x:f>
        <x:v>10-&lt;20</x:v>
      </x:c>
    </x:row>
    <x:row r="3271">
      <x:c r="A3271" t="str">
        <x:v>SYN0003270</x:v>
      </x:c>
      <x:c r="B3271" s="12" t="n">
        <x:v>41875</x:v>
      </x:c>
      <x:c r="C3271" s="18" t="n">
        <x:v>8614</x:v>
      </x:c>
      <x:c r="D3271" s="18" t="n">
        <x:v>88524</x:v>
      </x:c>
      <x:c r="E3271" s="18" t="n">
        <x:v>32.93</x:v>
      </x:c>
      <x:c r="F3271" s="18" t="n">
        <x:v>12.55</x:v>
      </x:c>
      <x:c r="G3271" t="n">
        <x:v>36</x:v>
      </x:c>
      <x:c r="H3271" t="str">
        <x:v>C</x:v>
      </x:c>
      <x:c r="I3271" t="str">
        <x:v>1-3 years</x:v>
      </x:c>
      <x:c r="J3271" t="str">
        <x:v>OWN</x:v>
      </x:c>
      <x:c r="K3271" t="str">
        <x:v>debt_consolidation</x:v>
      </x:c>
      <x:c r="L3271" t="n">
        <x:v>0</x:v>
      </x:c>
      <x:c r="M3271" t="n">
        <x:v>0</x:v>
      </x:c>
      <x:c r="N3271" t="str">
        <x:v>Fully Paid</x:v>
      </x:c>
      <x:c r="O3271" t="str">
        <x:f>IF(D3271="","Unknown",IF(D3271&lt;25000,"&lt;$25k",IF(D3271&lt;50000,"$25k-$50k",IF(D3271&lt;75000,"$50k-$75k",IF(D3271&lt;100000,"$75k-$100k","$100k+")))))</x:f>
        <x:v>$75k-$100k</x:v>
      </x:c>
      <x:c r="P3271" t="str">
        <x:f>IF(E3271="","Unknown",IF(E3271&lt;10,"&lt;10",IF(E3271&lt;20,"10-&lt;20",IF(E3271&lt;25,"20-&lt;25",IF(E3271&lt;35,"25-&lt;35","35+")))))</x:f>
        <x:v>25-&lt;35</x:v>
      </x:c>
    </x:row>
    <x:row r="3272">
      <x:c r="A3272" t="str">
        <x:v>SYN0003271</x:v>
      </x:c>
      <x:c r="B3272" s="12" t="n">
        <x:v>43345</x:v>
      </x:c>
      <x:c r="C3272" s="18" t="n">
        <x:v>9061</x:v>
      </x:c>
      <x:c r="D3272" s="18" t="n">
        <x:v>46162</x:v>
      </x:c>
      <x:c r="E3272" s="18" t="n">
        <x:v>30.64</x:v>
      </x:c>
      <x:c r="F3272" s="18" t="n">
        <x:v>17.23</x:v>
      </x:c>
      <x:c r="G3272" t="n">
        <x:v>60</x:v>
      </x:c>
      <x:c r="H3272" t="str">
        <x:v>D</x:v>
      </x:c>
      <x:c r="I3272" t="str">
        <x:v>1-3 years</x:v>
      </x:c>
      <x:c r="J3272" t="str">
        <x:v>MORTGAGE</x:v>
      </x:c>
      <x:c r="K3272" t="str">
        <x:v>debt_consolidation</x:v>
      </x:c>
      <x:c r="L3272" t="n">
        <x:v>1</x:v>
      </x:c>
      <x:c r="M3272" t="n">
        <x:v>0</x:v>
      </x:c>
      <x:c r="N3272" t="str">
        <x:v>Fully Paid</x:v>
      </x:c>
      <x:c r="O3272" t="str">
        <x:f>IF(D3272="","Unknown",IF(D3272&lt;25000,"&lt;$25k",IF(D3272&lt;50000,"$25k-$50k",IF(D3272&lt;75000,"$50k-$75k",IF(D3272&lt;100000,"$75k-$100k","$100k+")))))</x:f>
        <x:v>$25k-$50k</x:v>
      </x:c>
      <x:c r="P3272" t="str">
        <x:f>IF(E3272="","Unknown",IF(E3272&lt;10,"&lt;10",IF(E3272&lt;20,"10-&lt;20",IF(E3272&lt;25,"20-&lt;25",IF(E3272&lt;35,"25-&lt;35","35+")))))</x:f>
        <x:v>25-&lt;35</x:v>
      </x:c>
    </x:row>
    <x:row r="3273">
      <x:c r="A3273" t="str">
        <x:v>SYN0003272</x:v>
      </x:c>
      <x:c r="B3273" s="12" t="n">
        <x:v>43255</x:v>
      </x:c>
      <x:c r="C3273" s="18" t="n">
        <x:v>21539</x:v>
      </x:c>
      <x:c r="D3273" s="18" t="n">
        <x:v>111086</x:v>
      </x:c>
      <x:c r="E3273" s="18" t="n">
        <x:v>16.65</x:v>
      </x:c>
      <x:c r="F3273" s="18" t="n">
        <x:v>10.47</x:v>
      </x:c>
      <x:c r="G3273" t="n">
        <x:v>36</x:v>
      </x:c>
      <x:c r="H3273" t="str">
        <x:v>B</x:v>
      </x:c>
      <x:c r="I3273" t="str">
        <x:v>4-6 years</x:v>
      </x:c>
      <x:c r="J3273" t="str">
        <x:v>RENT</x:v>
      </x:c>
      <x:c r="K3273" t="str">
        <x:v>major_purchase</x:v>
      </x:c>
      <x:c r="L3273" t="n">
        <x:v>0</x:v>
      </x:c>
      <x:c r="M3273" t="n">
        <x:v>0</x:v>
      </x:c>
      <x:c r="N3273" t="str">
        <x:v>Fully Paid</x:v>
      </x:c>
      <x:c r="O3273" t="str">
        <x:f>IF(D3273="","Unknown",IF(D3273&lt;25000,"&lt;$25k",IF(D3273&lt;50000,"$25k-$50k",IF(D3273&lt;75000,"$50k-$75k",IF(D3273&lt;100000,"$75k-$100k","$100k+")))))</x:f>
        <x:v>$100k+</x:v>
      </x:c>
      <x:c r="P3273" t="str">
        <x:f>IF(E3273="","Unknown",IF(E3273&lt;10,"&lt;10",IF(E3273&lt;20,"10-&lt;20",IF(E3273&lt;25,"20-&lt;25",IF(E3273&lt;35,"25-&lt;35","35+")))))</x:f>
        <x:v>10-&lt;20</x:v>
      </x:c>
    </x:row>
    <x:row r="3274">
      <x:c r="A3274" t="str">
        <x:v>SYN0003273</x:v>
      </x:c>
      <x:c r="B3274" s="12" t="n">
        <x:v>41275</x:v>
      </x:c>
      <x:c r="C3274" s="18" t="n">
        <x:v>8580</x:v>
      </x:c>
      <x:c r="D3274" s="18" t="n">
        <x:v>44326</x:v>
      </x:c>
      <x:c r="E3274" s="18" t="n">
        <x:v>28.59</x:v>
      </x:c>
      <x:c r="F3274" s="18" t="n">
        <x:v>10.76</x:v>
      </x:c>
      <x:c r="G3274" t="n">
        <x:v>36</x:v>
      </x:c>
      <x:c r="H3274" t="str">
        <x:v>C</x:v>
      </x:c>
      <x:c r="I3274" t="str">
        <x:v>4-6 years</x:v>
      </x:c>
      <x:c r="J3274" t="str">
        <x:v>RENT</x:v>
      </x:c>
      <x:c r="K3274" t="str">
        <x:v>debt_consolidation</x:v>
      </x:c>
      <x:c r="L3274" t="n">
        <x:v>0</x:v>
      </x:c>
      <x:c r="M3274" t="n">
        <x:v>0</x:v>
      </x:c>
      <x:c r="N3274" t="str">
        <x:v>Fully Paid</x:v>
      </x:c>
      <x:c r="O3274" t="str">
        <x:f>IF(D3274="","Unknown",IF(D3274&lt;25000,"&lt;$25k",IF(D3274&lt;50000,"$25k-$50k",IF(D3274&lt;75000,"$50k-$75k",IF(D3274&lt;100000,"$75k-$100k","$100k+")))))</x:f>
        <x:v>$25k-$50k</x:v>
      </x:c>
      <x:c r="P3274" t="str">
        <x:f>IF(E3274="","Unknown",IF(E3274&lt;10,"&lt;10",IF(E3274&lt;20,"10-&lt;20",IF(E3274&lt;25,"20-&lt;25",IF(E3274&lt;35,"25-&lt;35","35+")))))</x:f>
        <x:v>25-&lt;35</x:v>
      </x:c>
    </x:row>
    <x:row r="3275">
      <x:c r="A3275" t="str">
        <x:v>SYN0003274</x:v>
      </x:c>
      <x:c r="B3275" s="12" t="n">
        <x:v>43075</x:v>
      </x:c>
      <x:c r="C3275" s="18" t="n">
        <x:v>7296</x:v>
      </x:c>
      <x:c r="D3275" s="18" t="n">
        <x:v>29638</x:v>
      </x:c>
      <x:c r="E3275" s="18" t="n">
        <x:v>24.55</x:v>
      </x:c>
      <x:c r="F3275" s="18" t="n">
        <x:v>9.68</x:v>
      </x:c>
      <x:c r="G3275" t="n">
        <x:v>60</x:v>
      </x:c>
      <x:c r="H3275" t="str">
        <x:v>B</x:v>
      </x:c>
      <x:c r="I3275" t="str">
        <x:v>7-9 years</x:v>
      </x:c>
      <x:c r="J3275" t="str">
        <x:v>MORTGAGE</x:v>
      </x:c>
      <x:c r="K3275" t="str">
        <x:v>debt_consolidation</x:v>
      </x:c>
      <x:c r="L3275" t="n">
        <x:v>0</x:v>
      </x:c>
      <x:c r="M3275" t="n">
        <x:v>0</x:v>
      </x:c>
      <x:c r="N3275" t="str">
        <x:v>Fully Paid</x:v>
      </x:c>
      <x:c r="O3275" t="str">
        <x:f>IF(D3275="","Unknown",IF(D3275&lt;25000,"&lt;$25k",IF(D3275&lt;50000,"$25k-$50k",IF(D3275&lt;75000,"$50k-$75k",IF(D3275&lt;100000,"$75k-$100k","$100k+")))))</x:f>
        <x:v>$25k-$50k</x:v>
      </x:c>
      <x:c r="P3275" t="str">
        <x:f>IF(E3275="","Unknown",IF(E3275&lt;10,"&lt;10",IF(E3275&lt;20,"10-&lt;20",IF(E3275&lt;25,"20-&lt;25",IF(E3275&lt;35,"25-&lt;35","35+")))))</x:f>
        <x:v>20-&lt;25</x:v>
      </x:c>
    </x:row>
    <x:row r="3276">
      <x:c r="A3276" t="str">
        <x:v>SYN0003275</x:v>
      </x:c>
      <x:c r="B3276" s="12" t="n">
        <x:v>42025</x:v>
      </x:c>
      <x:c r="C3276" s="18" t="n">
        <x:v>11657</x:v>
      </x:c>
      <x:c r="D3276" s="18" t="n">
        <x:v>23404</x:v>
      </x:c>
      <x:c r="E3276" s="18" t="n">
        <x:v>24.31</x:v>
      </x:c>
      <x:c r="F3276" s="18" t="n">
        <x:v>23.46</x:v>
      </x:c>
      <x:c r="G3276" t="n">
        <x:v>36</x:v>
      </x:c>
      <x:c r="H3276" t="str">
        <x:v>F</x:v>
      </x:c>
      <x:c r="I3276" t="str">
        <x:v>4-6 years</x:v>
      </x:c>
      <x:c r="J3276" t="str">
        <x:v>MORTGAGE</x:v>
      </x:c>
      <x:c r="K3276" t="str">
        <x:v>home_improvement</x:v>
      </x:c>
      <x:c r="L3276" t="n">
        <x:v>2</x:v>
      </x:c>
      <x:c r="M3276" t="n">
        <x:v>0</x:v>
      </x:c>
      <x:c r="N3276" t="str">
        <x:v>Fully Paid</x:v>
      </x:c>
      <x:c r="O3276" t="str">
        <x:f>IF(D3276="","Unknown",IF(D3276&lt;25000,"&lt;$25k",IF(D3276&lt;50000,"$25k-$50k",IF(D3276&lt;75000,"$50k-$75k",IF(D3276&lt;100000,"$75k-$100k","$100k+")))))</x:f>
        <x:v>&lt;$25k</x:v>
      </x:c>
      <x:c r="P3276" t="str">
        <x:f>IF(E3276="","Unknown",IF(E3276&lt;10,"&lt;10",IF(E3276&lt;20,"10-&lt;20",IF(E3276&lt;25,"20-&lt;25",IF(E3276&lt;35,"25-&lt;35","35+")))))</x:f>
        <x:v>20-&lt;25</x:v>
      </x:c>
    </x:row>
    <x:row r="3277">
      <x:c r="A3277" t="str">
        <x:v>SYN0003276</x:v>
      </x:c>
      <x:c r="B3277" s="12" t="n">
        <x:v>43105</x:v>
      </x:c>
      <x:c r="C3277" s="18" t="n">
        <x:v>17251</x:v>
      </x:c>
      <x:c r="D3277" s="18" t="n">
        <x:v>13940</x:v>
      </x:c>
      <x:c r="E3277" s="18" t="n">
        <x:v>11.87</x:v>
      </x:c>
      <x:c r="F3277" s="18" t="n">
        <x:v>8.96</x:v>
      </x:c>
      <x:c r="G3277" t="n">
        <x:v>36</x:v>
      </x:c>
      <x:c r="H3277" t="str">
        <x:v>A</x:v>
      </x:c>
      <x:c r="I3277" t="str">
        <x:v>&lt;1 year</x:v>
      </x:c>
      <x:c r="J3277" t="str">
        <x:v>OWN</x:v>
      </x:c>
      <x:c r="K3277" t="str">
        <x:v>credit_card</x:v>
      </x:c>
      <x:c r="L3277" t="n">
        <x:v>0</x:v>
      </x:c>
      <x:c r="M3277" t="n">
        <x:v>0</x:v>
      </x:c>
      <x:c r="N3277" t="str">
        <x:v>Fully Paid</x:v>
      </x:c>
      <x:c r="O3277" t="str">
        <x:f>IF(D3277="","Unknown",IF(D3277&lt;25000,"&lt;$25k",IF(D3277&lt;50000,"$25k-$50k",IF(D3277&lt;75000,"$50k-$75k",IF(D3277&lt;100000,"$75k-$100k","$100k+")))))</x:f>
        <x:v>&lt;$25k</x:v>
      </x:c>
      <x:c r="P3277" t="str">
        <x:f>IF(E3277="","Unknown",IF(E3277&lt;10,"&lt;10",IF(E3277&lt;20,"10-&lt;20",IF(E3277&lt;25,"20-&lt;25",IF(E3277&lt;35,"25-&lt;35","35+")))))</x:f>
        <x:v>10-&lt;20</x:v>
      </x:c>
    </x:row>
    <x:row r="3278">
      <x:c r="A3278" t="str">
        <x:v>SYN0003277</x:v>
      </x:c>
      <x:c r="B3278" s="12" t="n">
        <x:v>41815</x:v>
      </x:c>
      <x:c r="C3278" s="18" t="n">
        <x:v>14557</x:v>
      </x:c>
      <x:c r="D3278" s="18" t="n">
        <x:v>80952</x:v>
      </x:c>
      <x:c r="E3278" s="18" t="n">
        <x:v>43.08</x:v>
      </x:c>
      <x:c r="F3278" s="18" t="n">
        <x:v>13.43</x:v>
      </x:c>
      <x:c r="G3278" t="n">
        <x:v>36</x:v>
      </x:c>
      <x:c r="H3278" t="str">
        <x:v>D</x:v>
      </x:c>
      <x:c r="I3278" t="str">
        <x:v>4-6 years</x:v>
      </x:c>
      <x:c r="J3278" t="str">
        <x:v>OWN</x:v>
      </x:c>
      <x:c r="K3278" t="str">
        <x:v>credit_card</x:v>
      </x:c>
      <x:c r="L3278" t="n">
        <x:v>0</x:v>
      </x:c>
      <x:c r="M3278" t="n">
        <x:v>0</x:v>
      </x:c>
      <x:c r="N3278" t="str">
        <x:v>Fully Paid</x:v>
      </x:c>
      <x:c r="O3278" t="str">
        <x:f>IF(D3278="","Unknown",IF(D3278&lt;25000,"&lt;$25k",IF(D3278&lt;50000,"$25k-$50k",IF(D3278&lt;75000,"$50k-$75k",IF(D3278&lt;100000,"$75k-$100k","$100k+")))))</x:f>
        <x:v>$75k-$100k</x:v>
      </x:c>
      <x:c r="P3278" t="str">
        <x:f>IF(E3278="","Unknown",IF(E3278&lt;10,"&lt;10",IF(E3278&lt;20,"10-&lt;20",IF(E3278&lt;25,"20-&lt;25",IF(E3278&lt;35,"25-&lt;35","35+")))))</x:f>
        <x:v>35+</x:v>
      </x:c>
    </x:row>
    <x:row r="3279">
      <x:c r="A3279" t="str">
        <x:v>SYN0003278</x:v>
      </x:c>
      <x:c r="B3279" s="12" t="n">
        <x:v>41485</x:v>
      </x:c>
      <x:c r="C3279" s="18" t="n">
        <x:v>16329</x:v>
      </x:c>
      <x:c r="D3279" s="18" t="n">
        <x:v>66631</x:v>
      </x:c>
      <x:c r="E3279" s="18" t="n">
        <x:v>25.83</x:v>
      </x:c>
      <x:c r="F3279" s="18" t="n">
        <x:v>7.37</x:v>
      </x:c>
      <x:c r="G3279" t="n">
        <x:v>36</x:v>
      </x:c>
      <x:c r="H3279" t="str">
        <x:v>B</x:v>
      </x:c>
      <x:c r="I3279" t="str">
        <x:v>1-3 years</x:v>
      </x:c>
      <x:c r="J3279" t="str">
        <x:v>MORTGAGE</x:v>
      </x:c>
      <x:c r="K3279" t="str">
        <x:v>credit_card</x:v>
      </x:c>
      <x:c r="L3279" t="n">
        <x:v>0</x:v>
      </x:c>
      <x:c r="M3279" t="n">
        <x:v>0</x:v>
      </x:c>
      <x:c r="N3279" t="str">
        <x:v>Fully Paid</x:v>
      </x:c>
      <x:c r="O3279" t="str">
        <x:f>IF(D3279="","Unknown",IF(D3279&lt;25000,"&lt;$25k",IF(D3279&lt;50000,"$25k-$50k",IF(D3279&lt;75000,"$50k-$75k",IF(D3279&lt;100000,"$75k-$100k","$100k+")))))</x:f>
        <x:v>$50k-$75k</x:v>
      </x:c>
      <x:c r="P3279" t="str">
        <x:f>IF(E3279="","Unknown",IF(E3279&lt;10,"&lt;10",IF(E3279&lt;20,"10-&lt;20",IF(E3279&lt;25,"20-&lt;25",IF(E3279&lt;35,"25-&lt;35","35+")))))</x:f>
        <x:v>25-&lt;35</x:v>
      </x:c>
    </x:row>
    <x:row r="3280">
      <x:c r="A3280" t="str">
        <x:v>SYN0003279</x:v>
      </x:c>
      <x:c r="B3280" s="12" t="n">
        <x:v>41995</x:v>
      </x:c>
      <x:c r="C3280" s="18" t="n">
        <x:v>23123</x:v>
      </x:c>
      <x:c r="D3280" s="18" t="n">
        <x:v>67267</x:v>
      </x:c>
      <x:c r="E3280" s="18" t="n">
        <x:v>23.61</x:v>
      </x:c>
      <x:c r="F3280" s="18" t="n">
        <x:v>7.82</x:v>
      </x:c>
      <x:c r="G3280" t="n">
        <x:v>36</x:v>
      </x:c>
      <x:c r="H3280" t="str">
        <x:v>C</x:v>
      </x:c>
      <x:c r="I3280" t="str">
        <x:v>4-6 years</x:v>
      </x:c>
      <x:c r="J3280" t="str">
        <x:v>RENT</x:v>
      </x:c>
      <x:c r="K3280" t="str">
        <x:v>major_purchase</x:v>
      </x:c>
      <x:c r="L3280" t="n">
        <x:v>0</x:v>
      </x:c>
      <x:c r="M3280" t="n">
        <x:v>0</x:v>
      </x:c>
      <x:c r="N3280" t="str">
        <x:v>Fully Paid</x:v>
      </x:c>
      <x:c r="O3280" t="str">
        <x:f>IF(D3280="","Unknown",IF(D3280&lt;25000,"&lt;$25k",IF(D3280&lt;50000,"$25k-$50k",IF(D3280&lt;75000,"$50k-$75k",IF(D3280&lt;100000,"$75k-$100k","$100k+")))))</x:f>
        <x:v>$50k-$75k</x:v>
      </x:c>
      <x:c r="P3280" t="str">
        <x:f>IF(E3280="","Unknown",IF(E3280&lt;10,"&lt;10",IF(E3280&lt;20,"10-&lt;20",IF(E3280&lt;25,"20-&lt;25",IF(E3280&lt;35,"25-&lt;35","35+")))))</x:f>
        <x:v>20-&lt;25</x:v>
      </x:c>
    </x:row>
    <x:row r="3281">
      <x:c r="A3281" t="str">
        <x:v>SYN0003280</x:v>
      </x:c>
      <x:c r="B3281" s="12" t="n">
        <x:v>43315</x:v>
      </x:c>
      <x:c r="C3281" s="18" t="n">
        <x:v>12935</x:v>
      </x:c>
      <x:c r="D3281" s="18" t="n">
        <x:v>63746</x:v>
      </x:c>
      <x:c r="E3281" s="18" t="n">
        <x:v>40.06</x:v>
      </x:c>
      <x:c r="F3281" s="18" t="n">
        <x:v>14.56</x:v>
      </x:c>
      <x:c r="G3281" t="n">
        <x:v>36</x:v>
      </x:c>
      <x:c r="H3281" t="str">
        <x:v>C</x:v>
      </x:c>
      <x:c r="I3281" t="str">
        <x:v>7-9 years</x:v>
      </x:c>
      <x:c r="J3281" t="str">
        <x:v>OWN</x:v>
      </x:c>
      <x:c r="K3281" t="str">
        <x:v>debt_consolidation</x:v>
      </x:c>
      <x:c r="L3281" t="n">
        <x:v>1</x:v>
      </x:c>
      <x:c r="M3281" t="n">
        <x:v>0</x:v>
      </x:c>
      <x:c r="N3281" t="str">
        <x:v>Fully Paid</x:v>
      </x:c>
      <x:c r="O3281" t="str">
        <x:f>IF(D3281="","Unknown",IF(D3281&lt;25000,"&lt;$25k",IF(D3281&lt;50000,"$25k-$50k",IF(D3281&lt;75000,"$50k-$75k",IF(D3281&lt;100000,"$75k-$100k","$100k+")))))</x:f>
        <x:v>$50k-$75k</x:v>
      </x:c>
      <x:c r="P3281" t="str">
        <x:f>IF(E3281="","Unknown",IF(E3281&lt;10,"&lt;10",IF(E3281&lt;20,"10-&lt;20",IF(E3281&lt;25,"20-&lt;25",IF(E3281&lt;35,"25-&lt;35","35+")))))</x:f>
        <x:v>35+</x:v>
      </x:c>
    </x:row>
    <x:row r="3282">
      <x:c r="A3282" t="str">
        <x:v>SYN0003281</x:v>
      </x:c>
      <x:c r="B3282" s="12" t="n">
        <x:v>42775</x:v>
      </x:c>
      <x:c r="C3282" s="18" t="n">
        <x:v>15626</x:v>
      </x:c>
      <x:c r="D3282" s="18" t="n">
        <x:v>39976</x:v>
      </x:c>
      <x:c r="E3282" s="18" t="n">
        <x:v>4.42</x:v>
      </x:c>
      <x:c r="F3282" s="18" t="n">
        <x:v>9.99</x:v>
      </x:c>
      <x:c r="G3282" t="n">
        <x:v>36</x:v>
      </x:c>
      <x:c r="H3282" t="str">
        <x:v>B</x:v>
      </x:c>
      <x:c r="I3282" t="str">
        <x:v>1-3 years</x:v>
      </x:c>
      <x:c r="J3282" t="str">
        <x:v>MORTGAGE</x:v>
      </x:c>
      <x:c r="K3282" t="str">
        <x:v>debt_consolidation</x:v>
      </x:c>
      <x:c r="L3282" t="n">
        <x:v>0</x:v>
      </x:c>
      <x:c r="M3282" t="n">
        <x:v>0</x:v>
      </x:c>
      <x:c r="N3282" t="str">
        <x:v>Fully Paid</x:v>
      </x:c>
      <x:c r="O3282" t="str">
        <x:f>IF(D3282="","Unknown",IF(D3282&lt;25000,"&lt;$25k",IF(D3282&lt;50000,"$25k-$50k",IF(D3282&lt;75000,"$50k-$75k",IF(D3282&lt;100000,"$75k-$100k","$100k+")))))</x:f>
        <x:v>$25k-$50k</x:v>
      </x:c>
      <x:c r="P3282" t="str">
        <x:f>IF(E3282="","Unknown",IF(E3282&lt;10,"&lt;10",IF(E3282&lt;20,"10-&lt;20",IF(E3282&lt;25,"20-&lt;25",IF(E3282&lt;35,"25-&lt;35","35+")))))</x:f>
        <x:v>&lt;10</x:v>
      </x:c>
    </x:row>
    <x:row r="3283">
      <x:c r="A3283" t="str">
        <x:v>SYN0003282</x:v>
      </x:c>
      <x:c r="B3283" s="12" t="n">
        <x:v>41905</x:v>
      </x:c>
      <x:c r="C3283" s="18" t="n">
        <x:v>11393</x:v>
      </x:c>
      <x:c r="D3283" s="18" t="n">
        <x:v>56347</x:v>
      </x:c>
      <x:c r="E3283" s="18" t="n">
        <x:v>43.63</x:v>
      </x:c>
      <x:c r="F3283" s="18" t="n">
        <x:v>20.96</x:v>
      </x:c>
      <x:c r="G3283" t="n">
        <x:v>36</x:v>
      </x:c>
      <x:c r="H3283" t="str">
        <x:v>E</x:v>
      </x:c>
      <x:c r="I3283" t="str">
        <x:v>10+ years</x:v>
      </x:c>
      <x:c r="J3283" t="str">
        <x:v>RENT</x:v>
      </x:c>
      <x:c r="K3283" t="str">
        <x:v>debt_consolidation</x:v>
      </x:c>
      <x:c r="L3283" t="n">
        <x:v>0</x:v>
      </x:c>
      <x:c r="M3283" t="n">
        <x:v>0</x:v>
      </x:c>
      <x:c r="N3283" t="str">
        <x:v>Fully Paid</x:v>
      </x:c>
      <x:c r="O3283" t="str">
        <x:f>IF(D3283="","Unknown",IF(D3283&lt;25000,"&lt;$25k",IF(D3283&lt;50000,"$25k-$50k",IF(D3283&lt;75000,"$50k-$75k",IF(D3283&lt;100000,"$75k-$100k","$100k+")))))</x:f>
        <x:v>$50k-$75k</x:v>
      </x:c>
      <x:c r="P3283" t="str">
        <x:f>IF(E3283="","Unknown",IF(E3283&lt;10,"&lt;10",IF(E3283&lt;20,"10-&lt;20",IF(E3283&lt;25,"20-&lt;25",IF(E3283&lt;35,"25-&lt;35","35+")))))</x:f>
        <x:v>35+</x:v>
      </x:c>
    </x:row>
    <x:row r="3284">
      <x:c r="A3284" t="str">
        <x:v>SYN0003283</x:v>
      </x:c>
      <x:c r="B3284" s="12" t="n">
        <x:v>41275</x:v>
      </x:c>
      <x:c r="C3284" s="18" t="n">
        <x:v>24734</x:v>
      </x:c>
      <x:c r="D3284" s="18" t="n">
        <x:v>159205</x:v>
      </x:c>
      <x:c r="E3284" s="18" t="n">
        <x:v>22.64</x:v>
      </x:c>
      <x:c r="F3284" s="18" t="n">
        <x:v>5</x:v>
      </x:c>
      <x:c r="G3284" t="n">
        <x:v>36</x:v>
      </x:c>
      <x:c r="H3284" t="str">
        <x:v>A</x:v>
      </x:c>
      <x:c r="I3284" t="str">
        <x:v>7-9 years</x:v>
      </x:c>
      <x:c r="J3284" t="str">
        <x:v>MORTGAGE</x:v>
      </x:c>
      <x:c r="K3284" t="str">
        <x:v>credit_card</x:v>
      </x:c>
      <x:c r="L3284" t="n">
        <x:v>0</x:v>
      </x:c>
      <x:c r="M3284" t="n">
        <x:v>0</x:v>
      </x:c>
      <x:c r="N3284" t="str">
        <x:v>Fully Paid</x:v>
      </x:c>
      <x:c r="O3284" t="str">
        <x:f>IF(D3284="","Unknown",IF(D3284&lt;25000,"&lt;$25k",IF(D3284&lt;50000,"$25k-$50k",IF(D3284&lt;75000,"$50k-$75k",IF(D3284&lt;100000,"$75k-$100k","$100k+")))))</x:f>
        <x:v>$100k+</x:v>
      </x:c>
      <x:c r="P3284" t="str">
        <x:f>IF(E3284="","Unknown",IF(E3284&lt;10,"&lt;10",IF(E3284&lt;20,"10-&lt;20",IF(E3284&lt;25,"20-&lt;25",IF(E3284&lt;35,"25-&lt;35","35+")))))</x:f>
        <x:v>20-&lt;25</x:v>
      </x:c>
    </x:row>
    <x:row r="3285">
      <x:c r="A3285" t="str">
        <x:v>SYN0003284</x:v>
      </x:c>
      <x:c r="B3285" s="12" t="n">
        <x:v>42625</x:v>
      </x:c>
      <x:c r="C3285" s="18" t="n">
        <x:v>7632</x:v>
      </x:c>
      <x:c r="D3285" s="18" t="n">
        <x:v>48225</x:v>
      </x:c>
      <x:c r="E3285" s="18" t="n">
        <x:v>29.52</x:v>
      </x:c>
      <x:c r="F3285" s="18" t="n">
        <x:v>11.94</x:v>
      </x:c>
      <x:c r="G3285" t="n">
        <x:v>36</x:v>
      </x:c>
      <x:c r="H3285" t="str">
        <x:v>C</x:v>
      </x:c>
      <x:c r="I3285" t="str">
        <x:v>4-6 years</x:v>
      </x:c>
      <x:c r="J3285" t="str">
        <x:v>MORTGAGE</x:v>
      </x:c>
      <x:c r="K3285" t="str">
        <x:v>debt_consolidation</x:v>
      </x:c>
      <x:c r="L3285" t="n">
        <x:v>0</x:v>
      </x:c>
      <x:c r="M3285" t="n">
        <x:v>0</x:v>
      </x:c>
      <x:c r="N3285" t="str">
        <x:v>Fully Paid</x:v>
      </x:c>
      <x:c r="O3285" t="str">
        <x:f>IF(D3285="","Unknown",IF(D3285&lt;25000,"&lt;$25k",IF(D3285&lt;50000,"$25k-$50k",IF(D3285&lt;75000,"$50k-$75k",IF(D3285&lt;100000,"$75k-$100k","$100k+")))))</x:f>
        <x:v>$25k-$50k</x:v>
      </x:c>
      <x:c r="P3285" t="str">
        <x:f>IF(E3285="","Unknown",IF(E3285&lt;10,"&lt;10",IF(E3285&lt;20,"10-&lt;20",IF(E3285&lt;25,"20-&lt;25",IF(E3285&lt;35,"25-&lt;35","35+")))))</x:f>
        <x:v>25-&lt;35</x:v>
      </x:c>
    </x:row>
    <x:row r="3286">
      <x:c r="A3286" t="str">
        <x:v>SYN0003285</x:v>
      </x:c>
      <x:c r="B3286" s="12" t="n">
        <x:v>41725</x:v>
      </x:c>
      <x:c r="C3286" s="18" t="n">
        <x:v>21503</x:v>
      </x:c>
      <x:c r="D3286" s="18" t="n">
        <x:v>39588</x:v>
      </x:c>
      <x:c r="E3286" s="18" t="n">
        <x:v>1.76</x:v>
      </x:c>
      <x:c r="F3286" s="18" t="n">
        <x:v>8.77</x:v>
      </x:c>
      <x:c r="G3286" t="n">
        <x:v>36</x:v>
      </x:c>
      <x:c r="H3286" t="str">
        <x:v>A</x:v>
      </x:c>
      <x:c r="I3286" t="str">
        <x:v>10+ years</x:v>
      </x:c>
      <x:c r="J3286" t="str">
        <x:v>RENT</x:v>
      </x:c>
      <x:c r="K3286" t="str">
        <x:v>credit_card</x:v>
      </x:c>
      <x:c r="L3286" t="n">
        <x:v>0</x:v>
      </x:c>
      <x:c r="M3286" t="n">
        <x:v>0</x:v>
      </x:c>
      <x:c r="N3286" t="str">
        <x:v>Fully Paid</x:v>
      </x:c>
      <x:c r="O3286" t="str">
        <x:f>IF(D3286="","Unknown",IF(D3286&lt;25000,"&lt;$25k",IF(D3286&lt;50000,"$25k-$50k",IF(D3286&lt;75000,"$50k-$75k",IF(D3286&lt;100000,"$75k-$100k","$100k+")))))</x:f>
        <x:v>$25k-$50k</x:v>
      </x:c>
      <x:c r="P3286" t="str">
        <x:f>IF(E3286="","Unknown",IF(E3286&lt;10,"&lt;10",IF(E3286&lt;20,"10-&lt;20",IF(E3286&lt;25,"20-&lt;25",IF(E3286&lt;35,"25-&lt;35","35+")))))</x:f>
        <x:v>&lt;10</x:v>
      </x:c>
    </x:row>
    <x:row r="3287">
      <x:c r="A3287" t="str">
        <x:v>SYN0003286</x:v>
      </x:c>
      <x:c r="B3287" s="12" t="n">
        <x:v>42535</x:v>
      </x:c>
      <x:c r="C3287" s="18" t="n">
        <x:v>8044</x:v>
      </x:c>
      <x:c r="D3287" s="18" t="n">
        <x:v>131444</x:v>
      </x:c>
      <x:c r="E3287" s="18" t="n">
        <x:v>11.68</x:v>
      </x:c>
      <x:c r="F3287" s="18" t="n">
        <x:v>6.57</x:v>
      </x:c>
      <x:c r="G3287" t="n">
        <x:v>36</x:v>
      </x:c>
      <x:c r="H3287" t="str">
        <x:v>A</x:v>
      </x:c>
      <x:c r="I3287" t="str">
        <x:v>4-6 years</x:v>
      </x:c>
      <x:c r="J3287" t="str">
        <x:v>MORTGAGE</x:v>
      </x:c>
      <x:c r="K3287" t="str">
        <x:v>debt_consolidation</x:v>
      </x:c>
      <x:c r="L3287" t="n">
        <x:v>0</x:v>
      </x:c>
      <x:c r="M3287" t="n">
        <x:v>0</x:v>
      </x:c>
      <x:c r="N3287" t="str">
        <x:v>Fully Paid</x:v>
      </x:c>
      <x:c r="O3287" t="str">
        <x:f>IF(D3287="","Unknown",IF(D3287&lt;25000,"&lt;$25k",IF(D3287&lt;50000,"$25k-$50k",IF(D3287&lt;75000,"$50k-$75k",IF(D3287&lt;100000,"$75k-$100k","$100k+")))))</x:f>
        <x:v>$100k+</x:v>
      </x:c>
      <x:c r="P3287" t="str">
        <x:f>IF(E3287="","Unknown",IF(E3287&lt;10,"&lt;10",IF(E3287&lt;20,"10-&lt;20",IF(E3287&lt;25,"20-&lt;25",IF(E3287&lt;35,"25-&lt;35","35+")))))</x:f>
        <x:v>10-&lt;20</x:v>
      </x:c>
    </x:row>
    <x:row r="3288">
      <x:c r="A3288" t="str">
        <x:v>SYN0003287</x:v>
      </x:c>
      <x:c r="B3288" s="12" t="n">
        <x:v>41695</x:v>
      </x:c>
      <x:c r="C3288" s="18" t="n">
        <x:v>13763</x:v>
      </x:c>
      <x:c r="D3288" s="18" t="n">
        <x:v>38675</x:v>
      </x:c>
      <x:c r="E3288" s="18" t="n">
        <x:v>23.05</x:v>
      </x:c>
      <x:c r="F3288" s="18" t="n">
        <x:v>6.4</x:v>
      </x:c>
      <x:c r="G3288" t="n">
        <x:v>60</x:v>
      </x:c>
      <x:c r="H3288" t="str">
        <x:v>B</x:v>
      </x:c>
      <x:c r="I3288" t="str">
        <x:v>7-9 years</x:v>
      </x:c>
      <x:c r="J3288" t="str">
        <x:v>OTHER</x:v>
      </x:c>
      <x:c r="K3288" t="str">
        <x:v>debt_consolidation</x:v>
      </x:c>
      <x:c r="L3288" t="n">
        <x:v>0</x:v>
      </x:c>
      <x:c r="M3288" t="n">
        <x:v>0</x:v>
      </x:c>
      <x:c r="N3288" t="str">
        <x:v>Fully Paid</x:v>
      </x:c>
      <x:c r="O3288" t="str">
        <x:f>IF(D3288="","Unknown",IF(D3288&lt;25000,"&lt;$25k",IF(D3288&lt;50000,"$25k-$50k",IF(D3288&lt;75000,"$50k-$75k",IF(D3288&lt;100000,"$75k-$100k","$100k+")))))</x:f>
        <x:v>$25k-$50k</x:v>
      </x:c>
      <x:c r="P3288" t="str">
        <x:f>IF(E3288="","Unknown",IF(E3288&lt;10,"&lt;10",IF(E3288&lt;20,"10-&lt;20",IF(E3288&lt;25,"20-&lt;25",IF(E3288&lt;35,"25-&lt;35","35+")))))</x:f>
        <x:v>20-&lt;25</x:v>
      </x:c>
    </x:row>
    <x:row r="3289">
      <x:c r="A3289" t="str">
        <x:v>SYN0003288</x:v>
      </x:c>
      <x:c r="B3289" s="12" t="n">
        <x:v>41515</x:v>
      </x:c>
      <x:c r="C3289" s="18" t="n">
        <x:v>9523</x:v>
      </x:c>
      <x:c r="D3289" s="18" t="n">
        <x:v>38969</x:v>
      </x:c>
      <x:c r="E3289" s="18" t="n">
        <x:v>26.1</x:v>
      </x:c>
      <x:c r="F3289" s="18" t="n">
        <x:v>13.51</x:v>
      </x:c>
      <x:c r="G3289" t="n">
        <x:v>36</x:v>
      </x:c>
      <x:c r="H3289" t="str">
        <x:v>D</x:v>
      </x:c>
      <x:c r="I3289" t="str">
        <x:v>10+ years</x:v>
      </x:c>
      <x:c r="J3289" t="str">
        <x:v>OWN</x:v>
      </x:c>
      <x:c r="K3289" t="str">
        <x:v>debt_consolidation</x:v>
      </x:c>
      <x:c r="L3289" t="n">
        <x:v>2</x:v>
      </x:c>
      <x:c r="M3289" t="n">
        <x:v>0</x:v>
      </x:c>
      <x:c r="N3289" t="str">
        <x:v>Fully Paid</x:v>
      </x:c>
      <x:c r="O3289" t="str">
        <x:f>IF(D3289="","Unknown",IF(D3289&lt;25000,"&lt;$25k",IF(D3289&lt;50000,"$25k-$50k",IF(D3289&lt;75000,"$50k-$75k",IF(D3289&lt;100000,"$75k-$100k","$100k+")))))</x:f>
        <x:v>$25k-$50k</x:v>
      </x:c>
      <x:c r="P3289" t="str">
        <x:f>IF(E3289="","Unknown",IF(E3289&lt;10,"&lt;10",IF(E3289&lt;20,"10-&lt;20",IF(E3289&lt;25,"20-&lt;25",IF(E3289&lt;35,"25-&lt;35","35+")))))</x:f>
        <x:v>25-&lt;35</x:v>
      </x:c>
    </x:row>
    <x:row r="3290">
      <x:c r="A3290" t="str">
        <x:v>SYN0003289</x:v>
      </x:c>
      <x:c r="B3290" s="12" t="n">
        <x:v>42865</x:v>
      </x:c>
      <x:c r="C3290" s="18" t="n">
        <x:v>9448</x:v>
      </x:c>
      <x:c r="D3290" s="18" t="n">
        <x:v>24035</x:v>
      </x:c>
      <x:c r="E3290" s="18" t="n">
        <x:v>17.11</x:v>
      </x:c>
      <x:c r="F3290" s="18" t="n">
        <x:v>9.78</x:v>
      </x:c>
      <x:c r="G3290" t="n">
        <x:v>60</x:v>
      </x:c>
      <x:c r="H3290" t="str">
        <x:v>C</x:v>
      </x:c>
      <x:c r="I3290" t="str">
        <x:v>10+ years</x:v>
      </x:c>
      <x:c r="J3290" t="str">
        <x:v>OWN</x:v>
      </x:c>
      <x:c r="K3290" t="str">
        <x:v>credit_card</x:v>
      </x:c>
      <x:c r="L3290" t="n">
        <x:v>1</x:v>
      </x:c>
      <x:c r="M3290" t="n">
        <x:v>0</x:v>
      </x:c>
      <x:c r="N3290" t="str">
        <x:v>Fully Paid</x:v>
      </x:c>
      <x:c r="O3290" t="str">
        <x:f>IF(D3290="","Unknown",IF(D3290&lt;25000,"&lt;$25k",IF(D3290&lt;50000,"$25k-$50k",IF(D3290&lt;75000,"$50k-$75k",IF(D3290&lt;100000,"$75k-$100k","$100k+")))))</x:f>
        <x:v>&lt;$25k</x:v>
      </x:c>
      <x:c r="P3290" t="str">
        <x:f>IF(E3290="","Unknown",IF(E3290&lt;10,"&lt;10",IF(E3290&lt;20,"10-&lt;20",IF(E3290&lt;25,"20-&lt;25",IF(E3290&lt;35,"25-&lt;35","35+")))))</x:f>
        <x:v>10-&lt;20</x:v>
      </x:c>
    </x:row>
    <x:row r="3291">
      <x:c r="A3291" t="str">
        <x:v>SYN0003290</x:v>
      </x:c>
      <x:c r="B3291" s="12" t="n">
        <x:v>41605</x:v>
      </x:c>
      <x:c r="C3291" s="18" t="n">
        <x:v>13951</x:v>
      </x:c>
      <x:c r="D3291" s="18" t="n">
        <x:v>30205</x:v>
      </x:c>
      <x:c r="E3291" s="18" t="n">
        <x:v>18.23</x:v>
      </x:c>
      <x:c r="F3291" s="18" t="n">
        <x:v>12.84</x:v>
      </x:c>
      <x:c r="G3291" t="n">
        <x:v>36</x:v>
      </x:c>
      <x:c r="H3291" t="str">
        <x:v>C</x:v>
      </x:c>
      <x:c r="I3291" t="str">
        <x:v>1-3 years</x:v>
      </x:c>
      <x:c r="J3291" t="str">
        <x:v>RENT</x:v>
      </x:c>
      <x:c r="K3291" t="str">
        <x:v>debt_consolidation</x:v>
      </x:c>
      <x:c r="L3291" t="n">
        <x:v>0</x:v>
      </x:c>
      <x:c r="M3291" t="n">
        <x:v>0</x:v>
      </x:c>
      <x:c r="N3291" t="str">
        <x:v>Fully Paid</x:v>
      </x:c>
      <x:c r="O3291" t="str">
        <x:f>IF(D3291="","Unknown",IF(D3291&lt;25000,"&lt;$25k",IF(D3291&lt;50000,"$25k-$50k",IF(D3291&lt;75000,"$50k-$75k",IF(D3291&lt;100000,"$75k-$100k","$100k+")))))</x:f>
        <x:v>$25k-$50k</x:v>
      </x:c>
      <x:c r="P3291" t="str">
        <x:f>IF(E3291="","Unknown",IF(E3291&lt;10,"&lt;10",IF(E3291&lt;20,"10-&lt;20",IF(E3291&lt;25,"20-&lt;25",IF(E3291&lt;35,"25-&lt;35","35+")))))</x:f>
        <x:v>10-&lt;20</x:v>
      </x:c>
    </x:row>
    <x:row r="3292">
      <x:c r="A3292" t="str">
        <x:v>SYN0003291</x:v>
      </x:c>
      <x:c r="B3292" s="12" t="n">
        <x:v>42895</x:v>
      </x:c>
      <x:c r="C3292" s="18" t="n">
        <x:v>9189</x:v>
      </x:c>
      <x:c r="D3292" s="18" t="n">
        <x:v>45730</x:v>
      </x:c>
      <x:c r="E3292" s="18" t="n">
        <x:v>33.6</x:v>
      </x:c>
      <x:c r="F3292" s="18" t="n">
        <x:v>26.41</x:v>
      </x:c>
      <x:c r="G3292" t="n">
        <x:v>60</x:v>
      </x:c>
      <x:c r="H3292" t="str">
        <x:v>G</x:v>
      </x:c>
      <x:c r="I3292" t="str">
        <x:v>10+ years</x:v>
      </x:c>
      <x:c r="J3292" t="str">
        <x:v>RENT</x:v>
      </x:c>
      <x:c r="K3292" t="str">
        <x:v>home_improvement</x:v>
      </x:c>
      <x:c r="L3292" t="n">
        <x:v>0</x:v>
      </x:c>
      <x:c r="M3292" t="n">
        <x:v>0</x:v>
      </x:c>
      <x:c r="N3292" t="str">
        <x:v>Fully Paid</x:v>
      </x:c>
      <x:c r="O3292" t="str">
        <x:f>IF(D3292="","Unknown",IF(D3292&lt;25000,"&lt;$25k",IF(D3292&lt;50000,"$25k-$50k",IF(D3292&lt;75000,"$50k-$75k",IF(D3292&lt;100000,"$75k-$100k","$100k+")))))</x:f>
        <x:v>$25k-$50k</x:v>
      </x:c>
      <x:c r="P3292" t="str">
        <x:f>IF(E3292="","Unknown",IF(E3292&lt;10,"&lt;10",IF(E3292&lt;20,"10-&lt;20",IF(E3292&lt;25,"20-&lt;25",IF(E3292&lt;35,"25-&lt;35","35+")))))</x:f>
        <x:v>25-&lt;35</x:v>
      </x:c>
    </x:row>
    <x:row r="3293">
      <x:c r="A3293" t="str">
        <x:v>SYN0003292</x:v>
      </x:c>
      <x:c r="B3293" s="12" t="n">
        <x:v>42595</x:v>
      </x:c>
      <x:c r="C3293" s="18" t="n">
        <x:v>13066</x:v>
      </x:c>
      <x:c r="D3293" s="18" t="n">
        <x:v>191507</x:v>
      </x:c>
      <x:c r="E3293" s="18" t="n">
        <x:v>26.39</x:v>
      </x:c>
      <x:c r="F3293" s="18" t="n">
        <x:v>19.48</x:v>
      </x:c>
      <x:c r="G3293" t="n">
        <x:v>36</x:v>
      </x:c>
      <x:c r="H3293" t="str">
        <x:v>E</x:v>
      </x:c>
      <x:c r="I3293" t="str">
        <x:v>1-3 years</x:v>
      </x:c>
      <x:c r="J3293" t="str">
        <x:v>RENT</x:v>
      </x:c>
      <x:c r="K3293" t="str">
        <x:v>major_purchase</x:v>
      </x:c>
      <x:c r="L3293" t="n">
        <x:v>1</x:v>
      </x:c>
      <x:c r="M3293" t="n">
        <x:v>0</x:v>
      </x:c>
      <x:c r="N3293" t="str">
        <x:v>Fully Paid</x:v>
      </x:c>
      <x:c r="O3293" t="str">
        <x:f>IF(D3293="","Unknown",IF(D3293&lt;25000,"&lt;$25k",IF(D3293&lt;50000,"$25k-$50k",IF(D3293&lt;75000,"$50k-$75k",IF(D3293&lt;100000,"$75k-$100k","$100k+")))))</x:f>
        <x:v>$100k+</x:v>
      </x:c>
      <x:c r="P3293" t="str">
        <x:f>IF(E3293="","Unknown",IF(E3293&lt;10,"&lt;10",IF(E3293&lt;20,"10-&lt;20",IF(E3293&lt;25,"20-&lt;25",IF(E3293&lt;35,"25-&lt;35","35+")))))</x:f>
        <x:v>25-&lt;35</x:v>
      </x:c>
    </x:row>
    <x:row r="3294">
      <x:c r="A3294" t="str">
        <x:v>SYN0003293</x:v>
      </x:c>
      <x:c r="B3294" s="12" t="n">
        <x:v>42175</x:v>
      </x:c>
      <x:c r="C3294" s="18" t="n">
        <x:v>8962</x:v>
      </x:c>
      <x:c r="D3294" s="18" t="n">
        <x:v>99875</x:v>
      </x:c>
      <x:c r="E3294" s="18" t="n">
        <x:v>22.49</x:v>
      </x:c>
      <x:c r="F3294" s="18" t="n">
        <x:v>10.63</x:v>
      </x:c>
      <x:c r="G3294" t="n">
        <x:v>36</x:v>
      </x:c>
      <x:c r="H3294" t="str">
        <x:v>C</x:v>
      </x:c>
      <x:c r="I3294" t="str">
        <x:v>10+ years</x:v>
      </x:c>
      <x:c r="J3294" t="str">
        <x:v>MORTGAGE</x:v>
      </x:c>
      <x:c r="K3294" t="str">
        <x:v>debt_consolidation</x:v>
      </x:c>
      <x:c r="L3294" t="n">
        <x:v>0</x:v>
      </x:c>
      <x:c r="M3294" t="n">
        <x:v>0</x:v>
      </x:c>
      <x:c r="N3294" t="str">
        <x:v>Fully Paid</x:v>
      </x:c>
      <x:c r="O3294" t="str">
        <x:f>IF(D3294="","Unknown",IF(D3294&lt;25000,"&lt;$25k",IF(D3294&lt;50000,"$25k-$50k",IF(D3294&lt;75000,"$50k-$75k",IF(D3294&lt;100000,"$75k-$100k","$100k+")))))</x:f>
        <x:v>$75k-$100k</x:v>
      </x:c>
      <x:c r="P3294" t="str">
        <x:f>IF(E3294="","Unknown",IF(E3294&lt;10,"&lt;10",IF(E3294&lt;20,"10-&lt;20",IF(E3294&lt;25,"20-&lt;25",IF(E3294&lt;35,"25-&lt;35","35+")))))</x:f>
        <x:v>20-&lt;25</x:v>
      </x:c>
    </x:row>
    <x:row r="3295">
      <x:c r="A3295" t="str">
        <x:v>SYN0003294</x:v>
      </x:c>
      <x:c r="B3295" s="12" t="n">
        <x:v>41575</x:v>
      </x:c>
      <x:c r="C3295" s="18" t="n">
        <x:v>9559</x:v>
      </x:c>
      <x:c r="D3295" s="18" t="n">
        <x:v>40652</x:v>
      </x:c>
      <x:c r="E3295" s="18" t="n">
        <x:v>19.82</x:v>
      </x:c>
      <x:c r="F3295" s="18" t="n">
        <x:v>7.24</x:v>
      </x:c>
      <x:c r="G3295" t="n">
        <x:v>36</x:v>
      </x:c>
      <x:c r="H3295" t="str">
        <x:v>B</x:v>
      </x:c>
      <x:c r="I3295" t="str">
        <x:v>4-6 years</x:v>
      </x:c>
      <x:c r="J3295" t="str">
        <x:v>MORTGAGE</x:v>
      </x:c>
      <x:c r="K3295" t="str">
        <x:v>debt_consolidation</x:v>
      </x:c>
      <x:c r="L3295" t="n">
        <x:v>0</x:v>
      </x:c>
      <x:c r="M3295" t="n">
        <x:v>0</x:v>
      </x:c>
      <x:c r="N3295" t="str">
        <x:v>Fully Paid</x:v>
      </x:c>
      <x:c r="O3295" t="str">
        <x:f>IF(D3295="","Unknown",IF(D3295&lt;25000,"&lt;$25k",IF(D3295&lt;50000,"$25k-$50k",IF(D3295&lt;75000,"$50k-$75k",IF(D3295&lt;100000,"$75k-$100k","$100k+")))))</x:f>
        <x:v>$25k-$50k</x:v>
      </x:c>
      <x:c r="P3295" t="str">
        <x:f>IF(E3295="","Unknown",IF(E3295&lt;10,"&lt;10",IF(E3295&lt;20,"10-&lt;20",IF(E3295&lt;25,"20-&lt;25",IF(E3295&lt;35,"25-&lt;35","35+")))))</x:f>
        <x:v>10-&lt;20</x:v>
      </x:c>
    </x:row>
    <x:row r="3296">
      <x:c r="A3296" t="str">
        <x:v>SYN0003295</x:v>
      </x:c>
      <x:c r="B3296" s="12" t="n">
        <x:v>42175</x:v>
      </x:c>
      <x:c r="C3296" s="18" t="n">
        <x:v>12773</x:v>
      </x:c>
      <x:c r="D3296" s="18" t="n">
        <x:v>66301</x:v>
      </x:c>
      <x:c r="E3296" s="18" t="n">
        <x:v>10.07</x:v>
      </x:c>
      <x:c r="F3296" s="18" t="n">
        <x:v>8.38</x:v>
      </x:c>
      <x:c r="G3296" t="n">
        <x:v>36</x:v>
      </x:c>
      <x:c r="H3296" t="str">
        <x:v>B</x:v>
      </x:c>
      <x:c r="I3296" t="str">
        <x:v>1-3 years</x:v>
      </x:c>
      <x:c r="J3296" t="str">
        <x:v>OWN</x:v>
      </x:c>
      <x:c r="K3296" t="str">
        <x:v>debt_consolidation</x:v>
      </x:c>
      <x:c r="L3296" t="n">
        <x:v>1</x:v>
      </x:c>
      <x:c r="M3296" t="n">
        <x:v>0</x:v>
      </x:c>
      <x:c r="N3296" t="str">
        <x:v>Fully Paid</x:v>
      </x:c>
      <x:c r="O3296" t="str">
        <x:f>IF(D3296="","Unknown",IF(D3296&lt;25000,"&lt;$25k",IF(D3296&lt;50000,"$25k-$50k",IF(D3296&lt;75000,"$50k-$75k",IF(D3296&lt;100000,"$75k-$100k","$100k+")))))</x:f>
        <x:v>$50k-$75k</x:v>
      </x:c>
      <x:c r="P3296" t="str">
        <x:f>IF(E3296="","Unknown",IF(E3296&lt;10,"&lt;10",IF(E3296&lt;20,"10-&lt;20",IF(E3296&lt;25,"20-&lt;25",IF(E3296&lt;35,"25-&lt;35","35+")))))</x:f>
        <x:v>10-&lt;20</x:v>
      </x:c>
    </x:row>
    <x:row r="3297">
      <x:c r="A3297" t="str">
        <x:v>SYN0003296</x:v>
      </x:c>
      <x:c r="B3297" s="12" t="n">
        <x:v>42895</x:v>
      </x:c>
      <x:c r="C3297" s="18" t="n">
        <x:v>10279</x:v>
      </x:c>
      <x:c r="D3297" s="18" t="n">
        <x:v>72095</x:v>
      </x:c>
      <x:c r="E3297" s="18" t="n">
        <x:v>20.47</x:v>
      </x:c>
      <x:c r="F3297" s="18" t="n">
        <x:v>22.5</x:v>
      </x:c>
      <x:c r="G3297" t="n">
        <x:v>60</x:v>
      </x:c>
      <x:c r="H3297" t="str">
        <x:v>E</x:v>
      </x:c>
      <x:c r="I3297" t="str">
        <x:v>10+ years</x:v>
      </x:c>
      <x:c r="J3297" t="str">
        <x:v>MORTGAGE</x:v>
      </x:c>
      <x:c r="K3297" t="str">
        <x:v>credit_card</x:v>
      </x:c>
      <x:c r="L3297" t="n">
        <x:v>1</x:v>
      </x:c>
      <x:c r="M3297" t="n">
        <x:v>0</x:v>
      </x:c>
      <x:c r="N3297" t="str">
        <x:v>Fully Paid</x:v>
      </x:c>
      <x:c r="O3297" t="str">
        <x:f>IF(D3297="","Unknown",IF(D3297&lt;25000,"&lt;$25k",IF(D3297&lt;50000,"$25k-$50k",IF(D3297&lt;75000,"$50k-$75k",IF(D3297&lt;100000,"$75k-$100k","$100k+")))))</x:f>
        <x:v>$50k-$75k</x:v>
      </x:c>
      <x:c r="P3297" t="str">
        <x:f>IF(E3297="","Unknown",IF(E3297&lt;10,"&lt;10",IF(E3297&lt;20,"10-&lt;20",IF(E3297&lt;25,"20-&lt;25",IF(E3297&lt;35,"25-&lt;35","35+")))))</x:f>
        <x:v>20-&lt;25</x:v>
      </x:c>
    </x:row>
    <x:row r="3298">
      <x:c r="A3298" t="str">
        <x:v>SYN0003297</x:v>
      </x:c>
      <x:c r="B3298" s="12" t="n">
        <x:v>41605</x:v>
      </x:c>
      <x:c r="C3298" s="18" t="n">
        <x:v>5938</x:v>
      </x:c>
      <x:c r="D3298" s="18" t="n">
        <x:v>55611</x:v>
      </x:c>
      <x:c r="E3298" s="18" t="n">
        <x:v>10.61</x:v>
      </x:c>
      <x:c r="F3298" s="18" t="n">
        <x:v>10.14</x:v>
      </x:c>
      <x:c r="G3298" t="n">
        <x:v>36</x:v>
      </x:c>
      <x:c r="H3298" t="str">
        <x:v>C</x:v>
      </x:c>
      <x:c r="I3298" t="str">
        <x:v>1-3 years</x:v>
      </x:c>
      <x:c r="J3298" t="str">
        <x:v>MORTGAGE</x:v>
      </x:c>
      <x:c r="K3298" t="str">
        <x:v>debt_consolidation</x:v>
      </x:c>
      <x:c r="L3298" t="n">
        <x:v>0</x:v>
      </x:c>
      <x:c r="M3298" t="n">
        <x:v>0</x:v>
      </x:c>
      <x:c r="N3298" t="str">
        <x:v>Fully Paid</x:v>
      </x:c>
      <x:c r="O3298" t="str">
        <x:f>IF(D3298="","Unknown",IF(D3298&lt;25000,"&lt;$25k",IF(D3298&lt;50000,"$25k-$50k",IF(D3298&lt;75000,"$50k-$75k",IF(D3298&lt;100000,"$75k-$100k","$100k+")))))</x:f>
        <x:v>$50k-$75k</x:v>
      </x:c>
      <x:c r="P3298" t="str">
        <x:f>IF(E3298="","Unknown",IF(E3298&lt;10,"&lt;10",IF(E3298&lt;20,"10-&lt;20",IF(E3298&lt;25,"20-&lt;25",IF(E3298&lt;35,"25-&lt;35","35+")))))</x:f>
        <x:v>10-&lt;20</x:v>
      </x:c>
    </x:row>
    <x:row r="3299">
      <x:c r="A3299" t="str">
        <x:v>SYN0003298</x:v>
      </x:c>
      <x:c r="B3299" s="12" t="n">
        <x:v>41515</x:v>
      </x:c>
      <x:c r="C3299" s="18" t="n">
        <x:v>24685</x:v>
      </x:c>
      <x:c r="D3299" s="18" t="n">
        <x:v>109936</x:v>
      </x:c>
      <x:c r="E3299" s="18" t="n">
        <x:v>26.56</x:v>
      </x:c>
      <x:c r="F3299" s="18" t="n">
        <x:v>9.49</x:v>
      </x:c>
      <x:c r="G3299" t="n">
        <x:v>36</x:v>
      </x:c>
      <x:c r="H3299" t="str">
        <x:v>C</x:v>
      </x:c>
      <x:c r="I3299" t="str">
        <x:v>&lt;1 year</x:v>
      </x:c>
      <x:c r="J3299" t="str">
        <x:v>MORTGAGE</x:v>
      </x:c>
      <x:c r="K3299" t="str">
        <x:v>credit_card</x:v>
      </x:c>
      <x:c r="L3299" t="n">
        <x:v>1</x:v>
      </x:c>
      <x:c r="M3299" t="n">
        <x:v>0</x:v>
      </x:c>
      <x:c r="N3299" t="str">
        <x:v>Fully Paid</x:v>
      </x:c>
      <x:c r="O3299" t="str">
        <x:f>IF(D3299="","Unknown",IF(D3299&lt;25000,"&lt;$25k",IF(D3299&lt;50000,"$25k-$50k",IF(D3299&lt;75000,"$50k-$75k",IF(D3299&lt;100000,"$75k-$100k","$100k+")))))</x:f>
        <x:v>$100k+</x:v>
      </x:c>
      <x:c r="P3299" t="str">
        <x:f>IF(E3299="","Unknown",IF(E3299&lt;10,"&lt;10",IF(E3299&lt;20,"10-&lt;20",IF(E3299&lt;25,"20-&lt;25",IF(E3299&lt;35,"25-&lt;35","35+")))))</x:f>
        <x:v>25-&lt;35</x:v>
      </x:c>
    </x:row>
    <x:row r="3300">
      <x:c r="A3300" t="str">
        <x:v>SYN0003299</x:v>
      </x:c>
      <x:c r="B3300" s="12" t="n">
        <x:v>43195</x:v>
      </x:c>
      <x:c r="C3300" s="18" t="n">
        <x:v>9650</x:v>
      </x:c>
      <x:c r="D3300" s="18" t="n">
        <x:v>39124</x:v>
      </x:c>
      <x:c r="E3300" s="18" t="n">
        <x:v>15.62</x:v>
      </x:c>
      <x:c r="F3300" s="18" t="n">
        <x:v>6.65</x:v>
      </x:c>
      <x:c r="G3300" t="n">
        <x:v>60</x:v>
      </x:c>
      <x:c r="H3300" t="str">
        <x:v>B</x:v>
      </x:c>
      <x:c r="I3300" t="str">
        <x:v>&lt;1 year</x:v>
      </x:c>
      <x:c r="J3300" t="str">
        <x:v>RENT</x:v>
      </x:c>
      <x:c r="K3300" t="str">
        <x:v>debt_consolidation</x:v>
      </x:c>
      <x:c r="L3300" t="n">
        <x:v>1</x:v>
      </x:c>
      <x:c r="M3300" t="n">
        <x:v>0</x:v>
      </x:c>
      <x:c r="N3300" t="str">
        <x:v>Fully Paid</x:v>
      </x:c>
      <x:c r="O3300" t="str">
        <x:f>IF(D3300="","Unknown",IF(D3300&lt;25000,"&lt;$25k",IF(D3300&lt;50000,"$25k-$50k",IF(D3300&lt;75000,"$50k-$75k",IF(D3300&lt;100000,"$75k-$100k","$100k+")))))</x:f>
        <x:v>$25k-$50k</x:v>
      </x:c>
      <x:c r="P3300" t="str">
        <x:f>IF(E3300="","Unknown",IF(E3300&lt;10,"&lt;10",IF(E3300&lt;20,"10-&lt;20",IF(E3300&lt;25,"20-&lt;25",IF(E3300&lt;35,"25-&lt;35","35+")))))</x:f>
        <x:v>10-&lt;20</x:v>
      </x:c>
    </x:row>
    <x:row r="3301">
      <x:c r="A3301" t="str">
        <x:v>SYN0003300</x:v>
      </x:c>
      <x:c r="B3301" s="12" t="n">
        <x:v>41755</x:v>
      </x:c>
      <x:c r="C3301" s="18" t="n">
        <x:v>8912</x:v>
      </x:c>
      <x:c r="D3301" s="18" t="n">
        <x:v>45440</x:v>
      </x:c>
      <x:c r="E3301" s="18" t="n">
        <x:v>28.37</x:v>
      </x:c>
      <x:c r="F3301" s="18" t="n">
        <x:v>17.03</x:v>
      </x:c>
      <x:c r="G3301" t="n">
        <x:v>36</x:v>
      </x:c>
      <x:c r="H3301" t="str">
        <x:v>E</x:v>
      </x:c>
      <x:c r="I3301" t="str">
        <x:v>10+ years</x:v>
      </x:c>
      <x:c r="J3301" t="str">
        <x:v>RENT</x:v>
      </x:c>
      <x:c r="K3301" t="str">
        <x:v>debt_consolidation</x:v>
      </x:c>
      <x:c r="L3301" t="n">
        <x:v>1</x:v>
      </x:c>
      <x:c r="M3301" t="n">
        <x:v>0</x:v>
      </x:c>
      <x:c r="N3301" t="str">
        <x:v>Fully Paid</x:v>
      </x:c>
      <x:c r="O3301" t="str">
        <x:f>IF(D3301="","Unknown",IF(D3301&lt;25000,"&lt;$25k",IF(D3301&lt;50000,"$25k-$50k",IF(D3301&lt;75000,"$50k-$75k",IF(D3301&lt;100000,"$75k-$100k","$100k+")))))</x:f>
        <x:v>$25k-$50k</x:v>
      </x:c>
      <x:c r="P3301" t="str">
        <x:f>IF(E3301="","Unknown",IF(E3301&lt;10,"&lt;10",IF(E3301&lt;20,"10-&lt;20",IF(E3301&lt;25,"20-&lt;25",IF(E3301&lt;35,"25-&lt;35","35+")))))</x:f>
        <x:v>25-&lt;35</x:v>
      </x:c>
    </x:row>
    <x:row r="3302">
      <x:c r="A3302" t="str">
        <x:v>SYN0003301</x:v>
      </x:c>
      <x:c r="B3302" s="12" t="n">
        <x:v>42265</x:v>
      </x:c>
      <x:c r="C3302" s="18" t="n">
        <x:v>14865</x:v>
      </x:c>
      <x:c r="D3302" s="18" t="n">
        <x:v>36010</x:v>
      </x:c>
      <x:c r="E3302" s="18" t="n">
        <x:v>19.73</x:v>
      </x:c>
      <x:c r="F3302" s="18" t="n">
        <x:v>7.63</x:v>
      </x:c>
      <x:c r="G3302" t="n">
        <x:v>36</x:v>
      </x:c>
      <x:c r="H3302" t="str">
        <x:v>B</x:v>
      </x:c>
      <x:c r="I3302" t="str">
        <x:v>&lt;1 year</x:v>
      </x:c>
      <x:c r="J3302" t="str">
        <x:v>MORTGAGE</x:v>
      </x:c>
      <x:c r="K3302" t="str">
        <x:v>major_purchase</x:v>
      </x:c>
      <x:c r="L3302" t="n">
        <x:v>0</x:v>
      </x:c>
      <x:c r="M3302" t="n">
        <x:v>0</x:v>
      </x:c>
      <x:c r="N3302" t="str">
        <x:v>Fully Paid</x:v>
      </x:c>
      <x:c r="O3302" t="str">
        <x:f>IF(D3302="","Unknown",IF(D3302&lt;25000,"&lt;$25k",IF(D3302&lt;50000,"$25k-$50k",IF(D3302&lt;75000,"$50k-$75k",IF(D3302&lt;100000,"$75k-$100k","$100k+")))))</x:f>
        <x:v>$25k-$50k</x:v>
      </x:c>
      <x:c r="P3302" t="str">
        <x:f>IF(E3302="","Unknown",IF(E3302&lt;10,"&lt;10",IF(E3302&lt;20,"10-&lt;20",IF(E3302&lt;25,"20-&lt;25",IF(E3302&lt;35,"25-&lt;35","35+")))))</x:f>
        <x:v>10-&lt;20</x:v>
      </x:c>
    </x:row>
    <x:row r="3303">
      <x:c r="A3303" t="str">
        <x:v>SYN0003302</x:v>
      </x:c>
      <x:c r="B3303" s="12" t="n">
        <x:v>41335</x:v>
      </x:c>
      <x:c r="C3303" s="18" t="n">
        <x:v>15102</x:v>
      </x:c>
      <x:c r="D3303" s="18" t="n">
        <x:v>127096</x:v>
      </x:c>
      <x:c r="E3303" s="18" t="n">
        <x:v>12.07</x:v>
      </x:c>
      <x:c r="F3303" s="18" t="n">
        <x:v>9.21</x:v>
      </x:c>
      <x:c r="G3303" t="n">
        <x:v>36</x:v>
      </x:c>
      <x:c r="H3303" t="str">
        <x:v>A</x:v>
      </x:c>
      <x:c r="I3303" t="str">
        <x:v>7-9 years</x:v>
      </x:c>
      <x:c r="J3303" t="str">
        <x:v>OWN</x:v>
      </x:c>
      <x:c r="K3303" t="str">
        <x:v>debt_consolidation</x:v>
      </x:c>
      <x:c r="L3303" t="n">
        <x:v>2</x:v>
      </x:c>
      <x:c r="M3303" t="n">
        <x:v>0</x:v>
      </x:c>
      <x:c r="N3303" t="str">
        <x:v>Fully Paid</x:v>
      </x:c>
      <x:c r="O3303" t="str">
        <x:f>IF(D3303="","Unknown",IF(D3303&lt;25000,"&lt;$25k",IF(D3303&lt;50000,"$25k-$50k",IF(D3303&lt;75000,"$50k-$75k",IF(D3303&lt;100000,"$75k-$100k","$100k+")))))</x:f>
        <x:v>$100k+</x:v>
      </x:c>
      <x:c r="P3303" t="str">
        <x:f>IF(E3303="","Unknown",IF(E3303&lt;10,"&lt;10",IF(E3303&lt;20,"10-&lt;20",IF(E3303&lt;25,"20-&lt;25",IF(E3303&lt;35,"25-&lt;35","35+")))))</x:f>
        <x:v>10-&lt;20</x:v>
      </x:c>
    </x:row>
    <x:row r="3304">
      <x:c r="A3304" t="str">
        <x:v>SYN0003303</x:v>
      </x:c>
      <x:c r="B3304" s="12" t="n">
        <x:v>42175</x:v>
      </x:c>
      <x:c r="C3304" s="18" t="n">
        <x:v>13517</x:v>
      </x:c>
      <x:c r="D3304" s="18" t="n">
        <x:v>35261</x:v>
      </x:c>
      <x:c r="E3304" s="18" t="n">
        <x:v>24.75</x:v>
      </x:c>
      <x:c r="F3304" s="18" t="n">
        <x:v>5</x:v>
      </x:c>
      <x:c r="G3304" t="n">
        <x:v>60</x:v>
      </x:c>
      <x:c r="H3304" t="str">
        <x:v>A</x:v>
      </x:c>
      <x:c r="I3304" t="str">
        <x:v>1-3 years</x:v>
      </x:c>
      <x:c r="J3304" t="str">
        <x:v>MORTGAGE</x:v>
      </x:c>
      <x:c r="K3304" t="str">
        <x:v>credit_card</x:v>
      </x:c>
      <x:c r="L3304" t="n">
        <x:v>1</x:v>
      </x:c>
      <x:c r="M3304" t="n">
        <x:v>0</x:v>
      </x:c>
      <x:c r="N3304" t="str">
        <x:v>Fully Paid</x:v>
      </x:c>
      <x:c r="O3304" t="str">
        <x:f>IF(D3304="","Unknown",IF(D3304&lt;25000,"&lt;$25k",IF(D3304&lt;50000,"$25k-$50k",IF(D3304&lt;75000,"$50k-$75k",IF(D3304&lt;100000,"$75k-$100k","$100k+")))))</x:f>
        <x:v>$25k-$50k</x:v>
      </x:c>
      <x:c r="P3304" t="str">
        <x:f>IF(E3304="","Unknown",IF(E3304&lt;10,"&lt;10",IF(E3304&lt;20,"10-&lt;20",IF(E3304&lt;25,"20-&lt;25",IF(E3304&lt;35,"25-&lt;35","35+")))))</x:f>
        <x:v>20-&lt;25</x:v>
      </x:c>
    </x:row>
    <x:row r="3305">
      <x:c r="A3305" t="str">
        <x:v>SYN0003304</x:v>
      </x:c>
      <x:c r="B3305" s="12" t="n">
        <x:v>42625</x:v>
      </x:c>
      <x:c r="C3305" s="18" t="n">
        <x:v>10468</x:v>
      </x:c>
      <x:c r="D3305" s="18" t="n">
        <x:v>88346</x:v>
      </x:c>
      <x:c r="E3305" s="18" t="n">
        <x:v>7.46</x:v>
      </x:c>
      <x:c r="F3305" s="18" t="n">
        <x:v>9.77</x:v>
      </x:c>
      <x:c r="G3305" t="n">
        <x:v>36</x:v>
      </x:c>
      <x:c r="H3305" t="str">
        <x:v>B</x:v>
      </x:c>
      <x:c r="I3305" t="str">
        <x:v>1-3 years</x:v>
      </x:c>
      <x:c r="J3305" t="str">
        <x:v>MORTGAGE</x:v>
      </x:c>
      <x:c r="K3305" t="str">
        <x:v>debt_consolidation</x:v>
      </x:c>
      <x:c r="L3305" t="n">
        <x:v>0</x:v>
      </x:c>
      <x:c r="M3305" t="n">
        <x:v>0</x:v>
      </x:c>
      <x:c r="N3305" t="str">
        <x:v>Fully Paid</x:v>
      </x:c>
      <x:c r="O3305" t="str">
        <x:f>IF(D3305="","Unknown",IF(D3305&lt;25000,"&lt;$25k",IF(D3305&lt;50000,"$25k-$50k",IF(D3305&lt;75000,"$50k-$75k",IF(D3305&lt;100000,"$75k-$100k","$100k+")))))</x:f>
        <x:v>$75k-$100k</x:v>
      </x:c>
      <x:c r="P3305" t="str">
        <x:f>IF(E3305="","Unknown",IF(E3305&lt;10,"&lt;10",IF(E3305&lt;20,"10-&lt;20",IF(E3305&lt;25,"20-&lt;25",IF(E3305&lt;35,"25-&lt;35","35+")))))</x:f>
        <x:v>&lt;10</x:v>
      </x:c>
    </x:row>
    <x:row r="3306">
      <x:c r="A3306" t="str">
        <x:v>SYN0003305</x:v>
      </x:c>
      <x:c r="B3306" s="12" t="n">
        <x:v>43375</x:v>
      </x:c>
      <x:c r="C3306" s="18" t="n">
        <x:v>8712</x:v>
      </x:c>
      <x:c r="D3306" s="18" t="n">
        <x:v>63871</x:v>
      </x:c>
      <x:c r="E3306" s="18" t="n">
        <x:v>14.76</x:v>
      </x:c>
      <x:c r="F3306" s="18" t="n">
        <x:v>18.85</x:v>
      </x:c>
      <x:c r="G3306" t="n">
        <x:v>36</x:v>
      </x:c>
      <x:c r="H3306" t="str">
        <x:v>E</x:v>
      </x:c>
      <x:c r="I3306" t="str">
        <x:v>10+ years</x:v>
      </x:c>
      <x:c r="J3306" t="str">
        <x:v>MORTGAGE</x:v>
      </x:c>
      <x:c r="K3306" t="str">
        <x:v>home_improvement</x:v>
      </x:c>
      <x:c r="L3306" t="n">
        <x:v>1</x:v>
      </x:c>
      <x:c r="M3306" t="n">
        <x:v>0</x:v>
      </x:c>
      <x:c r="N3306" t="str">
        <x:v>Fully Paid</x:v>
      </x:c>
      <x:c r="O3306" t="str">
        <x:f>IF(D3306="","Unknown",IF(D3306&lt;25000,"&lt;$25k",IF(D3306&lt;50000,"$25k-$50k",IF(D3306&lt;75000,"$50k-$75k",IF(D3306&lt;100000,"$75k-$100k","$100k+")))))</x:f>
        <x:v>$50k-$75k</x:v>
      </x:c>
      <x:c r="P3306" t="str">
        <x:f>IF(E3306="","Unknown",IF(E3306&lt;10,"&lt;10",IF(E3306&lt;20,"10-&lt;20",IF(E3306&lt;25,"20-&lt;25",IF(E3306&lt;35,"25-&lt;35","35+")))))</x:f>
        <x:v>10-&lt;20</x:v>
      </x:c>
    </x:row>
    <x:row r="3307">
      <x:c r="A3307" t="str">
        <x:v>SYN0003306</x:v>
      </x:c>
      <x:c r="B3307" s="12" t="n">
        <x:v>41935</x:v>
      </x:c>
      <x:c r="C3307" s="18" t="n">
        <x:v>15408</x:v>
      </x:c>
      <x:c r="D3307" s="18" t="n">
        <x:v>47188</x:v>
      </x:c>
      <x:c r="E3307" s="18" t="n">
        <x:v>11.92</x:v>
      </x:c>
      <x:c r="F3307" s="18" t="n">
        <x:v>11.79</x:v>
      </x:c>
      <x:c r="G3307" t="n">
        <x:v>36</x:v>
      </x:c>
      <x:c r="H3307" t="str">
        <x:v>D</x:v>
      </x:c>
      <x:c r="I3307" t="str">
        <x:v>10+ years</x:v>
      </x:c>
      <x:c r="J3307" t="str">
        <x:v>MORTGAGE</x:v>
      </x:c>
      <x:c r="K3307" t="str">
        <x:v>home_improvement</x:v>
      </x:c>
      <x:c r="L3307" t="n">
        <x:v>1</x:v>
      </x:c>
      <x:c r="M3307" t="n">
        <x:v>0</x:v>
      </x:c>
      <x:c r="N3307" t="str">
        <x:v>Fully Paid</x:v>
      </x:c>
      <x:c r="O3307" t="str">
        <x:f>IF(D3307="","Unknown",IF(D3307&lt;25000,"&lt;$25k",IF(D3307&lt;50000,"$25k-$50k",IF(D3307&lt;75000,"$50k-$75k",IF(D3307&lt;100000,"$75k-$100k","$100k+")))))</x:f>
        <x:v>$25k-$50k</x:v>
      </x:c>
      <x:c r="P3307" t="str">
        <x:f>IF(E3307="","Unknown",IF(E3307&lt;10,"&lt;10",IF(E3307&lt;20,"10-&lt;20",IF(E3307&lt;25,"20-&lt;25",IF(E3307&lt;35,"25-&lt;35","35+")))))</x:f>
        <x:v>10-&lt;20</x:v>
      </x:c>
    </x:row>
    <x:row r="3308">
      <x:c r="A3308" t="str">
        <x:v>SYN0003307</x:v>
      </x:c>
      <x:c r="B3308" s="12" t="n">
        <x:v>43105</x:v>
      </x:c>
      <x:c r="C3308" s="18" t="n">
        <x:v>18404</x:v>
      </x:c>
      <x:c r="D3308" s="18" t="n">
        <x:v>21884</x:v>
      </x:c>
      <x:c r="E3308" s="18" t="n">
        <x:v>17.24</x:v>
      </x:c>
      <x:c r="F3308" s="18" t="n">
        <x:v>13.44</x:v>
      </x:c>
      <x:c r="G3308" t="n">
        <x:v>36</x:v>
      </x:c>
      <x:c r="H3308" t="str">
        <x:v>D</x:v>
      </x:c>
      <x:c r="I3308" t="str">
        <x:v>10+ years</x:v>
      </x:c>
      <x:c r="J3308" t="str">
        <x:v>MORTGAGE</x:v>
      </x:c>
      <x:c r="K3308" t="str">
        <x:v>medical</x:v>
      </x:c>
      <x:c r="L3308" t="n">
        <x:v>0</x:v>
      </x:c>
      <x:c r="M3308" t="n">
        <x:v>0</x:v>
      </x:c>
      <x:c r="N3308" t="str">
        <x:v>Fully Paid</x:v>
      </x:c>
      <x:c r="O3308" t="str">
        <x:f>IF(D3308="","Unknown",IF(D3308&lt;25000,"&lt;$25k",IF(D3308&lt;50000,"$25k-$50k",IF(D3308&lt;75000,"$50k-$75k",IF(D3308&lt;100000,"$75k-$100k","$100k+")))))</x:f>
        <x:v>&lt;$25k</x:v>
      </x:c>
      <x:c r="P3308" t="str">
        <x:f>IF(E3308="","Unknown",IF(E3308&lt;10,"&lt;10",IF(E3308&lt;20,"10-&lt;20",IF(E3308&lt;25,"20-&lt;25",IF(E3308&lt;35,"25-&lt;35","35+")))))</x:f>
        <x:v>10-&lt;20</x:v>
      </x:c>
    </x:row>
    <x:row r="3309">
      <x:c r="A3309" t="str">
        <x:v>SYN0003308</x:v>
      </x:c>
      <x:c r="B3309" s="12" t="n">
        <x:v>42805</x:v>
      </x:c>
      <x:c r="C3309" s="18" t="n">
        <x:v>5302</x:v>
      </x:c>
      <x:c r="D3309" s="18" t="n">
        <x:v>71692</x:v>
      </x:c>
      <x:c r="E3309" s="18" t="n">
        <x:v>21.49</x:v>
      </x:c>
      <x:c r="F3309" s="18" t="n">
        <x:v>14.22</x:v>
      </x:c>
      <x:c r="G3309" t="n">
        <x:v>36</x:v>
      </x:c>
      <x:c r="H3309" t="str">
        <x:v>D</x:v>
      </x:c>
      <x:c r="I3309" t="str">
        <x:v>4-6 years</x:v>
      </x:c>
      <x:c r="J3309" t="str">
        <x:v>MORTGAGE</x:v>
      </x:c>
      <x:c r="K3309" t="str">
        <x:v>other</x:v>
      </x:c>
      <x:c r="L3309" t="n">
        <x:v>0</x:v>
      </x:c>
      <x:c r="M3309" t="n">
        <x:v>0</x:v>
      </x:c>
      <x:c r="N3309" t="str">
        <x:v>Fully Paid</x:v>
      </x:c>
      <x:c r="O3309" t="str">
        <x:f>IF(D3309="","Unknown",IF(D3309&lt;25000,"&lt;$25k",IF(D3309&lt;50000,"$25k-$50k",IF(D3309&lt;75000,"$50k-$75k",IF(D3309&lt;100000,"$75k-$100k","$100k+")))))</x:f>
        <x:v>$50k-$75k</x:v>
      </x:c>
      <x:c r="P3309" t="str">
        <x:f>IF(E3309="","Unknown",IF(E3309&lt;10,"&lt;10",IF(E3309&lt;20,"10-&lt;20",IF(E3309&lt;25,"20-&lt;25",IF(E3309&lt;35,"25-&lt;35","35+")))))</x:f>
        <x:v>20-&lt;25</x:v>
      </x:c>
    </x:row>
    <x:row r="3310">
      <x:c r="A3310" t="str">
        <x:v>SYN0003309</x:v>
      </x:c>
      <x:c r="B3310" s="12" t="n">
        <x:v>42925</x:v>
      </x:c>
      <x:c r="C3310" s="18" t="n">
        <x:v>15397</x:v>
      </x:c>
      <x:c r="D3310" s="18" t="n">
        <x:v>31719</x:v>
      </x:c>
      <x:c r="E3310" s="18" t="n">
        <x:v>25.66</x:v>
      </x:c>
      <x:c r="F3310" s="18" t="n">
        <x:v>8.98</x:v>
      </x:c>
      <x:c r="G3310" t="n">
        <x:v>36</x:v>
      </x:c>
      <x:c r="H3310" t="str">
        <x:v>B</x:v>
      </x:c>
      <x:c r="I3310" t="str">
        <x:v>10+ years</x:v>
      </x:c>
      <x:c r="J3310" t="str">
        <x:v>RENT</x:v>
      </x:c>
      <x:c r="K3310" t="str">
        <x:v>major_purchase</x:v>
      </x:c>
      <x:c r="L3310" t="n">
        <x:v>0</x:v>
      </x:c>
      <x:c r="M3310" t="n">
        <x:v>0</x:v>
      </x:c>
      <x:c r="N3310" t="str">
        <x:v>Fully Paid</x:v>
      </x:c>
      <x:c r="O3310" t="str">
        <x:f>IF(D3310="","Unknown",IF(D3310&lt;25000,"&lt;$25k",IF(D3310&lt;50000,"$25k-$50k",IF(D3310&lt;75000,"$50k-$75k",IF(D3310&lt;100000,"$75k-$100k","$100k+")))))</x:f>
        <x:v>$25k-$50k</x:v>
      </x:c>
      <x:c r="P3310" t="str">
        <x:f>IF(E3310="","Unknown",IF(E3310&lt;10,"&lt;10",IF(E3310&lt;20,"10-&lt;20",IF(E3310&lt;25,"20-&lt;25",IF(E3310&lt;35,"25-&lt;35","35+")))))</x:f>
        <x:v>25-&lt;35</x:v>
      </x:c>
    </x:row>
    <x:row r="3311">
      <x:c r="A3311" t="str">
        <x:v>SYN0003310</x:v>
      </x:c>
      <x:c r="B3311" s="12" t="n">
        <x:v>43345</x:v>
      </x:c>
      <x:c r="C3311" s="18" t="n">
        <x:v>9843</x:v>
      </x:c>
      <x:c r="D3311" s="18" t="n">
        <x:v>185584</x:v>
      </x:c>
      <x:c r="E3311" s="18" t="n">
        <x:v>8.99</x:v>
      </x:c>
      <x:c r="F3311" s="18" t="n">
        <x:v>6.94</x:v>
      </x:c>
      <x:c r="G3311" t="n">
        <x:v>36</x:v>
      </x:c>
      <x:c r="H3311" t="str">
        <x:v>A</x:v>
      </x:c>
      <x:c r="I3311" t="str">
        <x:v>1-3 years</x:v>
      </x:c>
      <x:c r="J3311" t="str">
        <x:v>MORTGAGE</x:v>
      </x:c>
      <x:c r="K3311" t="str">
        <x:v>home_improvement</x:v>
      </x:c>
      <x:c r="L3311" t="n">
        <x:v>1</x:v>
      </x:c>
      <x:c r="M3311" t="n">
        <x:v>0</x:v>
      </x:c>
      <x:c r="N3311" t="str">
        <x:v>Fully Paid</x:v>
      </x:c>
      <x:c r="O3311" t="str">
        <x:f>IF(D3311="","Unknown",IF(D3311&lt;25000,"&lt;$25k",IF(D3311&lt;50000,"$25k-$50k",IF(D3311&lt;75000,"$50k-$75k",IF(D3311&lt;100000,"$75k-$100k","$100k+")))))</x:f>
        <x:v>$100k+</x:v>
      </x:c>
      <x:c r="P3311" t="str">
        <x:f>IF(E3311="","Unknown",IF(E3311&lt;10,"&lt;10",IF(E3311&lt;20,"10-&lt;20",IF(E3311&lt;25,"20-&lt;25",IF(E3311&lt;35,"25-&lt;35","35+")))))</x:f>
        <x:v>&lt;10</x:v>
      </x:c>
    </x:row>
    <x:row r="3312">
      <x:c r="A3312" t="str">
        <x:v>SYN0003311</x:v>
      </x:c>
      <x:c r="B3312" s="12" t="n">
        <x:v>42685</x:v>
      </x:c>
      <x:c r="C3312" s="18" t="n">
        <x:v>25016</x:v>
      </x:c>
      <x:c r="D3312" s="18" t="n">
        <x:v>74875</x:v>
      </x:c>
      <x:c r="E3312" s="18" t="n">
        <x:v>18.05</x:v>
      </x:c>
      <x:c r="F3312" s="18" t="n">
        <x:v>8.57</x:v>
      </x:c>
      <x:c r="G3312" t="n">
        <x:v>60</x:v>
      </x:c>
      <x:c r="H3312" t="str">
        <x:v>B</x:v>
      </x:c>
      <x:c r="I3312" t="str">
        <x:v>10+ years</x:v>
      </x:c>
      <x:c r="J3312" t="str">
        <x:v>MORTGAGE</x:v>
      </x:c>
      <x:c r="K3312" t="str">
        <x:v>debt_consolidation</x:v>
      </x:c>
      <x:c r="L3312" t="n">
        <x:v>0</x:v>
      </x:c>
      <x:c r="M3312" t="n">
        <x:v>0</x:v>
      </x:c>
      <x:c r="N3312" t="str">
        <x:v>Fully Paid</x:v>
      </x:c>
      <x:c r="O3312" t="str">
        <x:f>IF(D3312="","Unknown",IF(D3312&lt;25000,"&lt;$25k",IF(D3312&lt;50000,"$25k-$50k",IF(D3312&lt;75000,"$50k-$75k",IF(D3312&lt;100000,"$75k-$100k","$100k+")))))</x:f>
        <x:v>$50k-$75k</x:v>
      </x:c>
      <x:c r="P3312" t="str">
        <x:f>IF(E3312="","Unknown",IF(E3312&lt;10,"&lt;10",IF(E3312&lt;20,"10-&lt;20",IF(E3312&lt;25,"20-&lt;25",IF(E3312&lt;35,"25-&lt;35","35+")))))</x:f>
        <x:v>10-&lt;20</x:v>
      </x:c>
    </x:row>
    <x:row r="3313">
      <x:c r="A3313" t="str">
        <x:v>SYN0003312</x:v>
      </x:c>
      <x:c r="B3313" s="12" t="n">
        <x:v>43375</x:v>
      </x:c>
      <x:c r="C3313" s="18" t="n">
        <x:v>6019</x:v>
      </x:c>
      <x:c r="D3313" s="18" t="n">
        <x:v>41647</x:v>
      </x:c>
      <x:c r="E3313" s="18" t="n">
        <x:v>33.63</x:v>
      </x:c>
      <x:c r="F3313" s="18" t="n">
        <x:v>20.89</x:v>
      </x:c>
      <x:c r="G3313" t="n">
        <x:v>36</x:v>
      </x:c>
      <x:c r="H3313" t="str">
        <x:v>F</x:v>
      </x:c>
      <x:c r="I3313" t="str">
        <x:v>&lt;1 year</x:v>
      </x:c>
      <x:c r="J3313" t="str">
        <x:v>RENT</x:v>
      </x:c>
      <x:c r="K3313" t="str">
        <x:v>debt_consolidation</x:v>
      </x:c>
      <x:c r="L3313" t="n">
        <x:v>1</x:v>
      </x:c>
      <x:c r="M3313" t="n">
        <x:v>0</x:v>
      </x:c>
      <x:c r="N3313" t="str">
        <x:v>Fully Paid</x:v>
      </x:c>
      <x:c r="O3313" t="str">
        <x:f>IF(D3313="","Unknown",IF(D3313&lt;25000,"&lt;$25k",IF(D3313&lt;50000,"$25k-$50k",IF(D3313&lt;75000,"$50k-$75k",IF(D3313&lt;100000,"$75k-$100k","$100k+")))))</x:f>
        <x:v>$25k-$50k</x:v>
      </x:c>
      <x:c r="P3313" t="str">
        <x:f>IF(E3313="","Unknown",IF(E3313&lt;10,"&lt;10",IF(E3313&lt;20,"10-&lt;20",IF(E3313&lt;25,"20-&lt;25",IF(E3313&lt;35,"25-&lt;35","35+")))))</x:f>
        <x:v>25-&lt;35</x:v>
      </x:c>
    </x:row>
    <x:row r="3314">
      <x:c r="A3314" t="str">
        <x:v>SYN0003313</x:v>
      </x:c>
      <x:c r="B3314" s="12" t="n">
        <x:v>42115</x:v>
      </x:c>
      <x:c r="C3314" s="18" t="n">
        <x:v>21842</x:v>
      </x:c>
      <x:c r="D3314" s="18" t="n">
        <x:v>40262</x:v>
      </x:c>
      <x:c r="E3314" s="18" t="n">
        <x:v>30.21</x:v>
      </x:c>
      <x:c r="F3314" s="18" t="n">
        <x:v>16.52</x:v>
      </x:c>
      <x:c r="G3314" t="n">
        <x:v>36</x:v>
      </x:c>
      <x:c r="H3314" t="str">
        <x:v>D</x:v>
      </x:c>
      <x:c r="I3314" t="str">
        <x:v>1-3 years</x:v>
      </x:c>
      <x:c r="J3314" t="str">
        <x:v>RENT</x:v>
      </x:c>
      <x:c r="K3314" t="str">
        <x:v>credit_card</x:v>
      </x:c>
      <x:c r="L3314" t="n">
        <x:v>1</x:v>
      </x:c>
      <x:c r="M3314" t="n">
        <x:v>0</x:v>
      </x:c>
      <x:c r="N3314" t="str">
        <x:v>Fully Paid</x:v>
      </x:c>
      <x:c r="O3314" t="str">
        <x:f>IF(D3314="","Unknown",IF(D3314&lt;25000,"&lt;$25k",IF(D3314&lt;50000,"$25k-$50k",IF(D3314&lt;75000,"$50k-$75k",IF(D3314&lt;100000,"$75k-$100k","$100k+")))))</x:f>
        <x:v>$25k-$50k</x:v>
      </x:c>
      <x:c r="P3314" t="str">
        <x:f>IF(E3314="","Unknown",IF(E3314&lt;10,"&lt;10",IF(E3314&lt;20,"10-&lt;20",IF(E3314&lt;25,"20-&lt;25",IF(E3314&lt;35,"25-&lt;35","35+")))))</x:f>
        <x:v>25-&lt;35</x:v>
      </x:c>
    </x:row>
    <x:row r="3315">
      <x:c r="A3315" t="str">
        <x:v>SYN0003314</x:v>
      </x:c>
      <x:c r="B3315" s="12" t="n">
        <x:v>41995</x:v>
      </x:c>
      <x:c r="C3315" s="18" t="n">
        <x:v>27592</x:v>
      </x:c>
      <x:c r="D3315" s="18" t="n">
        <x:v>50265</x:v>
      </x:c>
      <x:c r="E3315" s="18" t="n">
        <x:v>42.61</x:v>
      </x:c>
      <x:c r="F3315" s="18" t="n">
        <x:v>12.02</x:v>
      </x:c>
      <x:c r="G3315" t="n">
        <x:v>60</x:v>
      </x:c>
      <x:c r="H3315" t="str">
        <x:v>D</x:v>
      </x:c>
      <x:c r="I3315" t="str">
        <x:v>&lt;1 year</x:v>
      </x:c>
      <x:c r="J3315" t="str">
        <x:v>RENT</x:v>
      </x:c>
      <x:c r="K3315" t="str">
        <x:v>debt_consolidation</x:v>
      </x:c>
      <x:c r="L3315" t="n">
        <x:v>0</x:v>
      </x:c>
      <x:c r="M3315" t="n">
        <x:v>0</x:v>
      </x:c>
      <x:c r="N3315" t="str">
        <x:v>Fully Paid</x:v>
      </x:c>
      <x:c r="O3315" t="str">
        <x:f>IF(D3315="","Unknown",IF(D3315&lt;25000,"&lt;$25k",IF(D3315&lt;50000,"$25k-$50k",IF(D3315&lt;75000,"$50k-$75k",IF(D3315&lt;100000,"$75k-$100k","$100k+")))))</x:f>
        <x:v>$50k-$75k</x:v>
      </x:c>
      <x:c r="P3315" t="str">
        <x:f>IF(E3315="","Unknown",IF(E3315&lt;10,"&lt;10",IF(E3315&lt;20,"10-&lt;20",IF(E3315&lt;25,"20-&lt;25",IF(E3315&lt;35,"25-&lt;35","35+")))))</x:f>
        <x:v>35+</x:v>
      </x:c>
    </x:row>
    <x:row r="3316">
      <x:c r="A3316" t="str">
        <x:v>SYN0003315</x:v>
      </x:c>
      <x:c r="B3316" s="12" t="n">
        <x:v>43015</x:v>
      </x:c>
      <x:c r="C3316" s="18" t="n">
        <x:v>8107</x:v>
      </x:c>
      <x:c r="D3316" s="18" t="n">
        <x:v>33158</x:v>
      </x:c>
      <x:c r="E3316" s="18" t="n">
        <x:v>29.85</x:v>
      </x:c>
      <x:c r="F3316" s="18" t="n">
        <x:v>5.85</x:v>
      </x:c>
      <x:c r="G3316" t="n">
        <x:v>36</x:v>
      </x:c>
      <x:c r="H3316" t="str">
        <x:v>B</x:v>
      </x:c>
      <x:c r="I3316" t="str">
        <x:v>10+ years</x:v>
      </x:c>
      <x:c r="J3316" t="str">
        <x:v>RENT</x:v>
      </x:c>
      <x:c r="K3316" t="str">
        <x:v>credit_card</x:v>
      </x:c>
      <x:c r="L3316" t="n">
        <x:v>0</x:v>
      </x:c>
      <x:c r="M3316" t="n">
        <x:v>0</x:v>
      </x:c>
      <x:c r="N3316" t="str">
        <x:v>Fully Paid</x:v>
      </x:c>
      <x:c r="O3316" t="str">
        <x:f>IF(D3316="","Unknown",IF(D3316&lt;25000,"&lt;$25k",IF(D3316&lt;50000,"$25k-$50k",IF(D3316&lt;75000,"$50k-$75k",IF(D3316&lt;100000,"$75k-$100k","$100k+")))))</x:f>
        <x:v>$25k-$50k</x:v>
      </x:c>
      <x:c r="P3316" t="str">
        <x:f>IF(E3316="","Unknown",IF(E3316&lt;10,"&lt;10",IF(E3316&lt;20,"10-&lt;20",IF(E3316&lt;25,"20-&lt;25",IF(E3316&lt;35,"25-&lt;35","35+")))))</x:f>
        <x:v>25-&lt;35</x:v>
      </x:c>
    </x:row>
    <x:row r="3317">
      <x:c r="A3317" t="str">
        <x:v>SYN0003316</x:v>
      </x:c>
      <x:c r="B3317" s="12" t="n">
        <x:v>41725</x:v>
      </x:c>
      <x:c r="C3317" s="18" t="n">
        <x:v>17398</x:v>
      </x:c>
      <x:c r="D3317" s="18" t="n">
        <x:v>101461</x:v>
      </x:c>
      <x:c r="E3317" s="18" t="n">
        <x:v>28.56</x:v>
      </x:c>
      <x:c r="F3317" s="18" t="n">
        <x:v>17.13</x:v>
      </x:c>
      <x:c r="G3317" t="n">
        <x:v>60</x:v>
      </x:c>
      <x:c r="H3317" t="str">
        <x:v>D</x:v>
      </x:c>
      <x:c r="I3317" t="str">
        <x:v>4-6 years</x:v>
      </x:c>
      <x:c r="J3317" t="str">
        <x:v>RENT</x:v>
      </x:c>
      <x:c r="K3317" t="str">
        <x:v>other</x:v>
      </x:c>
      <x:c r="L3317" t="n">
        <x:v>0</x:v>
      </x:c>
      <x:c r="M3317" t="n">
        <x:v>1</x:v>
      </x:c>
      <x:c r="N3317" t="str">
        <x:v>Charged Off</x:v>
      </x:c>
      <x:c r="O3317" t="str">
        <x:f>IF(D3317="","Unknown",IF(D3317&lt;25000,"&lt;$25k",IF(D3317&lt;50000,"$25k-$50k",IF(D3317&lt;75000,"$50k-$75k",IF(D3317&lt;100000,"$75k-$100k","$100k+")))))</x:f>
        <x:v>$100k+</x:v>
      </x:c>
      <x:c r="P3317" t="str">
        <x:f>IF(E3317="","Unknown",IF(E3317&lt;10,"&lt;10",IF(E3317&lt;20,"10-&lt;20",IF(E3317&lt;25,"20-&lt;25",IF(E3317&lt;35,"25-&lt;35","35+")))))</x:f>
        <x:v>25-&lt;35</x:v>
      </x:c>
    </x:row>
    <x:row r="3318">
      <x:c r="A3318" t="str">
        <x:v>SYN0003317</x:v>
      </x:c>
      <x:c r="B3318" s="12" t="n">
        <x:v>43135</x:v>
      </x:c>
      <x:c r="C3318" s="18" t="n">
        <x:v>10342</x:v>
      </x:c>
      <x:c r="D3318" s="18" t="n">
        <x:v>57232</x:v>
      </x:c>
      <x:c r="E3318" s="18" t="n">
        <x:v>34.32</x:v>
      </x:c>
      <x:c r="F3318" s="18" t="n">
        <x:v>7.21</x:v>
      </x:c>
      <x:c r="G3318" t="n">
        <x:v>36</x:v>
      </x:c>
      <x:c r="H3318" t="str">
        <x:v>A</x:v>
      </x:c>
      <x:c r="I3318" t="str">
        <x:v>10+ years</x:v>
      </x:c>
      <x:c r="J3318" t="str">
        <x:v>RENT</x:v>
      </x:c>
      <x:c r="K3318" t="str">
        <x:v>credit_card</x:v>
      </x:c>
      <x:c r="L3318" t="n">
        <x:v>0</x:v>
      </x:c>
      <x:c r="M3318" t="n">
        <x:v>0</x:v>
      </x:c>
      <x:c r="N3318" t="str">
        <x:v>Fully Paid</x:v>
      </x:c>
      <x:c r="O3318" t="str">
        <x:f>IF(D3318="","Unknown",IF(D3318&lt;25000,"&lt;$25k",IF(D3318&lt;50000,"$25k-$50k",IF(D3318&lt;75000,"$50k-$75k",IF(D3318&lt;100000,"$75k-$100k","$100k+")))))</x:f>
        <x:v>$50k-$75k</x:v>
      </x:c>
      <x:c r="P3318" t="str">
        <x:f>IF(E3318="","Unknown",IF(E3318&lt;10,"&lt;10",IF(E3318&lt;20,"10-&lt;20",IF(E3318&lt;25,"20-&lt;25",IF(E3318&lt;35,"25-&lt;35","35+")))))</x:f>
        <x:v>25-&lt;35</x:v>
      </x:c>
    </x:row>
    <x:row r="3319">
      <x:c r="A3319" t="str">
        <x:v>SYN0003318</x:v>
      </x:c>
      <x:c r="B3319" s="12" t="n">
        <x:v>42835</x:v>
      </x:c>
      <x:c r="C3319" s="18" t="n">
        <x:v>19792</x:v>
      </x:c>
      <x:c r="D3319" s="18" t="n">
        <x:v>102356</x:v>
      </x:c>
      <x:c r="E3319" s="18" t="n">
        <x:v>22.43</x:v>
      </x:c>
      <x:c r="F3319" s="18" t="n">
        <x:v>10.73</x:v>
      </x:c>
      <x:c r="G3319" t="n">
        <x:v>60</x:v>
      </x:c>
      <x:c r="H3319" t="str">
        <x:v>B</x:v>
      </x:c>
      <x:c r="I3319" t="str">
        <x:v>4-6 years</x:v>
      </x:c>
      <x:c r="J3319" t="str">
        <x:v>MORTGAGE</x:v>
      </x:c>
      <x:c r="K3319" t="str">
        <x:v>debt_consolidation</x:v>
      </x:c>
      <x:c r="L3319" t="n">
        <x:v>0</x:v>
      </x:c>
      <x:c r="M3319" t="n">
        <x:v>0</x:v>
      </x:c>
      <x:c r="N3319" t="str">
        <x:v>Fully Paid</x:v>
      </x:c>
      <x:c r="O3319" t="str">
        <x:f>IF(D3319="","Unknown",IF(D3319&lt;25000,"&lt;$25k",IF(D3319&lt;50000,"$25k-$50k",IF(D3319&lt;75000,"$50k-$75k",IF(D3319&lt;100000,"$75k-$100k","$100k+")))))</x:f>
        <x:v>$100k+</x:v>
      </x:c>
      <x:c r="P3319" t="str">
        <x:f>IF(E3319="","Unknown",IF(E3319&lt;10,"&lt;10",IF(E3319&lt;20,"10-&lt;20",IF(E3319&lt;25,"20-&lt;25",IF(E3319&lt;35,"25-&lt;35","35+")))))</x:f>
        <x:v>20-&lt;25</x:v>
      </x:c>
    </x:row>
    <x:row r="3320">
      <x:c r="A3320" t="str">
        <x:v>SYN0003319</x:v>
      </x:c>
      <x:c r="B3320" s="12" t="n">
        <x:v>42655</x:v>
      </x:c>
      <x:c r="C3320" s="18" t="n">
        <x:v>8704</x:v>
      </x:c>
      <x:c r="D3320" s="18" t="n">
        <x:v>70240</x:v>
      </x:c>
      <x:c r="E3320" s="18" t="n">
        <x:v>25.46</x:v>
      </x:c>
      <x:c r="F3320" s="18" t="n">
        <x:v>9.13</x:v>
      </x:c>
      <x:c r="G3320" t="n">
        <x:v>60</x:v>
      </x:c>
      <x:c r="H3320" t="str">
        <x:v>B</x:v>
      </x:c>
      <x:c r="I3320" t="str">
        <x:v>7-9 years</x:v>
      </x:c>
      <x:c r="J3320" t="str">
        <x:v>OWN</x:v>
      </x:c>
      <x:c r="K3320" t="str">
        <x:v>credit_card</x:v>
      </x:c>
      <x:c r="L3320" t="n">
        <x:v>0</x:v>
      </x:c>
      <x:c r="M3320" t="n">
        <x:v>0</x:v>
      </x:c>
      <x:c r="N3320" t="str">
        <x:v>Fully Paid</x:v>
      </x:c>
      <x:c r="O3320" t="str">
        <x:f>IF(D3320="","Unknown",IF(D3320&lt;25000,"&lt;$25k",IF(D3320&lt;50000,"$25k-$50k",IF(D3320&lt;75000,"$50k-$75k",IF(D3320&lt;100000,"$75k-$100k","$100k+")))))</x:f>
        <x:v>$50k-$75k</x:v>
      </x:c>
      <x:c r="P3320" t="str">
        <x:f>IF(E3320="","Unknown",IF(E3320&lt;10,"&lt;10",IF(E3320&lt;20,"10-&lt;20",IF(E3320&lt;25,"20-&lt;25",IF(E3320&lt;35,"25-&lt;35","35+")))))</x:f>
        <x:v>25-&lt;35</x:v>
      </x:c>
    </x:row>
    <x:row r="3321">
      <x:c r="A3321" t="str">
        <x:v>SYN0003320</x:v>
      </x:c>
      <x:c r="B3321" s="12" t="n">
        <x:v>43315</x:v>
      </x:c>
      <x:c r="C3321" s="18" t="n">
        <x:v>11468</x:v>
      </x:c>
      <x:c r="D3321" s="18" t="n">
        <x:v>19468</x:v>
      </x:c>
      <x:c r="E3321" s="18" t="n">
        <x:v>32.09</x:v>
      </x:c>
      <x:c r="F3321" s="18" t="n">
        <x:v>22.57</x:v>
      </x:c>
      <x:c r="G3321" t="n">
        <x:v>36</x:v>
      </x:c>
      <x:c r="H3321" t="str">
        <x:v>G</x:v>
      </x:c>
      <x:c r="I3321" t="str">
        <x:v>10+ years</x:v>
      </x:c>
      <x:c r="J3321" t="str">
        <x:v>MORTGAGE</x:v>
      </x:c>
      <x:c r="K3321" t="str">
        <x:v>home_improvement</x:v>
      </x:c>
      <x:c r="L3321" t="n">
        <x:v>1</x:v>
      </x:c>
      <x:c r="M3321" t="n">
        <x:v>1</x:v>
      </x:c>
      <x:c r="N3321" t="str">
        <x:v>Charged Off</x:v>
      </x:c>
      <x:c r="O3321" t="str">
        <x:f>IF(D3321="","Unknown",IF(D3321&lt;25000,"&lt;$25k",IF(D3321&lt;50000,"$25k-$50k",IF(D3321&lt;75000,"$50k-$75k",IF(D3321&lt;100000,"$75k-$100k","$100k+")))))</x:f>
        <x:v>&lt;$25k</x:v>
      </x:c>
      <x:c r="P3321" t="str">
        <x:f>IF(E3321="","Unknown",IF(E3321&lt;10,"&lt;10",IF(E3321&lt;20,"10-&lt;20",IF(E3321&lt;25,"20-&lt;25",IF(E3321&lt;35,"25-&lt;35","35+")))))</x:f>
        <x:v>25-&lt;35</x:v>
      </x:c>
    </x:row>
    <x:row r="3322">
      <x:c r="A3322" t="str">
        <x:v>SYN0003321</x:v>
      </x:c>
      <x:c r="B3322" s="12" t="n">
        <x:v>43285</x:v>
      </x:c>
      <x:c r="C3322" s="18" t="n">
        <x:v>5178</x:v>
      </x:c>
      <x:c r="D3322" s="18" t="n">
        <x:v>49632</x:v>
      </x:c>
      <x:c r="E3322" s="18" t="n">
        <x:v>18.87</x:v>
      </x:c>
      <x:c r="F3322" s="18" t="n">
        <x:v>5.56</x:v>
      </x:c>
      <x:c r="G3322" t="n">
        <x:v>36</x:v>
      </x:c>
      <x:c r="H3322" t="str">
        <x:v>A</x:v>
      </x:c>
      <x:c r="I3322" t="str">
        <x:v>7-9 years</x:v>
      </x:c>
      <x:c r="J3322" t="str">
        <x:v>RENT</x:v>
      </x:c>
      <x:c r="K3322" t="str">
        <x:v>debt_consolidation</x:v>
      </x:c>
      <x:c r="L3322" t="n">
        <x:v>0</x:v>
      </x:c>
      <x:c r="M3322" t="n">
        <x:v>0</x:v>
      </x:c>
      <x:c r="N3322" t="str">
        <x:v>Fully Paid</x:v>
      </x:c>
      <x:c r="O3322" t="str">
        <x:f>IF(D3322="","Unknown",IF(D3322&lt;25000,"&lt;$25k",IF(D3322&lt;50000,"$25k-$50k",IF(D3322&lt;75000,"$50k-$75k",IF(D3322&lt;100000,"$75k-$100k","$100k+")))))</x:f>
        <x:v>$25k-$50k</x:v>
      </x:c>
      <x:c r="P3322" t="str">
        <x:f>IF(E3322="","Unknown",IF(E3322&lt;10,"&lt;10",IF(E3322&lt;20,"10-&lt;20",IF(E3322&lt;25,"20-&lt;25",IF(E3322&lt;35,"25-&lt;35","35+")))))</x:f>
        <x:v>10-&lt;20</x:v>
      </x:c>
    </x:row>
    <x:row r="3323">
      <x:c r="A3323" t="str">
        <x:v>SYN0003322</x:v>
      </x:c>
      <x:c r="B3323" s="12" t="n">
        <x:v>41785</x:v>
      </x:c>
      <x:c r="C3323" s="18" t="n">
        <x:v>8474</x:v>
      </x:c>
      <x:c r="D3323" s="18" t="n">
        <x:v>74894</x:v>
      </x:c>
      <x:c r="E3323" s="18" t="n">
        <x:v>14.51</x:v>
      </x:c>
      <x:c r="F3323" s="18" t="n">
        <x:v>5</x:v>
      </x:c>
      <x:c r="G3323" t="n">
        <x:v>60</x:v>
      </x:c>
      <x:c r="H3323" t="str">
        <x:v>A</x:v>
      </x:c>
      <x:c r="I3323" t="str">
        <x:v>10+ years</x:v>
      </x:c>
      <x:c r="J3323" t="str">
        <x:v>MORTGAGE</x:v>
      </x:c>
      <x:c r="K3323" t="str">
        <x:v>credit_card</x:v>
      </x:c>
      <x:c r="L3323" t="n">
        <x:v>0</x:v>
      </x:c>
      <x:c r="M3323" t="n">
        <x:v>0</x:v>
      </x:c>
      <x:c r="N3323" t="str">
        <x:v>Fully Paid</x:v>
      </x:c>
      <x:c r="O3323" t="str">
        <x:f>IF(D3323="","Unknown",IF(D3323&lt;25000,"&lt;$25k",IF(D3323&lt;50000,"$25k-$50k",IF(D3323&lt;75000,"$50k-$75k",IF(D3323&lt;100000,"$75k-$100k","$100k+")))))</x:f>
        <x:v>$50k-$75k</x:v>
      </x:c>
      <x:c r="P3323" t="str">
        <x:f>IF(E3323="","Unknown",IF(E3323&lt;10,"&lt;10",IF(E3323&lt;20,"10-&lt;20",IF(E3323&lt;25,"20-&lt;25",IF(E3323&lt;35,"25-&lt;35","35+")))))</x:f>
        <x:v>10-&lt;20</x:v>
      </x:c>
    </x:row>
    <x:row r="3324">
      <x:c r="A3324" t="str">
        <x:v>SYN0003323</x:v>
      </x:c>
      <x:c r="B3324" s="12" t="n">
        <x:v>42895</x:v>
      </x:c>
      <x:c r="C3324" s="18" t="n">
        <x:v>8258</x:v>
      </x:c>
      <x:c r="D3324" s="18" t="n">
        <x:v>22588</x:v>
      </x:c>
      <x:c r="E3324" s="18" t="n">
        <x:v>17.4</x:v>
      </x:c>
      <x:c r="F3324" s="18" t="n">
        <x:v>9.09</x:v>
      </x:c>
      <x:c r="G3324" t="n">
        <x:v>36</x:v>
      </x:c>
      <x:c r="H3324" t="str">
        <x:v>B</x:v>
      </x:c>
      <x:c r="I3324" t="str">
        <x:v>1-3 years</x:v>
      </x:c>
      <x:c r="J3324" t="str">
        <x:v>MORTGAGE</x:v>
      </x:c>
      <x:c r="K3324" t="str">
        <x:v>major_purchase</x:v>
      </x:c>
      <x:c r="L3324" t="n">
        <x:v>0</x:v>
      </x:c>
      <x:c r="M3324" t="n">
        <x:v>0</x:v>
      </x:c>
      <x:c r="N3324" t="str">
        <x:v>Fully Paid</x:v>
      </x:c>
      <x:c r="O3324" t="str">
        <x:f>IF(D3324="","Unknown",IF(D3324&lt;25000,"&lt;$25k",IF(D3324&lt;50000,"$25k-$50k",IF(D3324&lt;75000,"$50k-$75k",IF(D3324&lt;100000,"$75k-$100k","$100k+")))))</x:f>
        <x:v>&lt;$25k</x:v>
      </x:c>
      <x:c r="P3324" t="str">
        <x:f>IF(E3324="","Unknown",IF(E3324&lt;10,"&lt;10",IF(E3324&lt;20,"10-&lt;20",IF(E3324&lt;25,"20-&lt;25",IF(E3324&lt;35,"25-&lt;35","35+")))))</x:f>
        <x:v>10-&lt;20</x:v>
      </x:c>
    </x:row>
    <x:row r="3325">
      <x:c r="A3325" t="str">
        <x:v>SYN0003324</x:v>
      </x:c>
      <x:c r="B3325" s="12" t="n">
        <x:v>42325</x:v>
      </x:c>
      <x:c r="C3325" s="18" t="n">
        <x:v>7022</x:v>
      </x:c>
      <x:c r="D3325" s="18" t="n">
        <x:v>19453</x:v>
      </x:c>
      <x:c r="E3325" s="18" t="n">
        <x:v>14.23</x:v>
      </x:c>
      <x:c r="F3325" s="18" t="n">
        <x:v>5.15</x:v>
      </x:c>
      <x:c r="G3325" t="n">
        <x:v>60</x:v>
      </x:c>
      <x:c r="H3325" t="str">
        <x:v>A</x:v>
      </x:c>
      <x:c r="I3325" t="str">
        <x:v>10+ years</x:v>
      </x:c>
      <x:c r="J3325" t="str">
        <x:v>MORTGAGE</x:v>
      </x:c>
      <x:c r="K3325" t="str">
        <x:v>credit_card</x:v>
      </x:c>
      <x:c r="L3325" t="n">
        <x:v>0</x:v>
      </x:c>
      <x:c r="M3325" t="n">
        <x:v>0</x:v>
      </x:c>
      <x:c r="N3325" t="str">
        <x:v>Fully Paid</x:v>
      </x:c>
      <x:c r="O3325" t="str">
        <x:f>IF(D3325="","Unknown",IF(D3325&lt;25000,"&lt;$25k",IF(D3325&lt;50000,"$25k-$50k",IF(D3325&lt;75000,"$50k-$75k",IF(D3325&lt;100000,"$75k-$100k","$100k+")))))</x:f>
        <x:v>&lt;$25k</x:v>
      </x:c>
      <x:c r="P3325" t="str">
        <x:f>IF(E3325="","Unknown",IF(E3325&lt;10,"&lt;10",IF(E3325&lt;20,"10-&lt;20",IF(E3325&lt;25,"20-&lt;25",IF(E3325&lt;35,"25-&lt;35","35+")))))</x:f>
        <x:v>10-&lt;20</x:v>
      </x:c>
    </x:row>
    <x:row r="3326">
      <x:c r="A3326" t="str">
        <x:v>SYN0003325</x:v>
      </x:c>
      <x:c r="B3326" s="12" t="n">
        <x:v>42685</x:v>
      </x:c>
      <x:c r="C3326" s="18" t="n">
        <x:v>25128</x:v>
      </x:c>
      <x:c r="D3326" s="18" t="n">
        <x:v>76519</x:v>
      </x:c>
      <x:c r="E3326" s="18" t="n">
        <x:v>13.92</x:v>
      </x:c>
      <x:c r="F3326" s="18" t="n">
        <x:v>8.25</x:v>
      </x:c>
      <x:c r="G3326" t="n">
        <x:v>36</x:v>
      </x:c>
      <x:c r="H3326" t="str">
        <x:v>B</x:v>
      </x:c>
      <x:c r="I3326" t="str">
        <x:v>10+ years</x:v>
      </x:c>
      <x:c r="J3326" t="str">
        <x:v>MORTGAGE</x:v>
      </x:c>
      <x:c r="K3326" t="str">
        <x:v>credit_card</x:v>
      </x:c>
      <x:c r="L3326" t="n">
        <x:v>0</x:v>
      </x:c>
      <x:c r="M3326" t="n">
        <x:v>0</x:v>
      </x:c>
      <x:c r="N3326" t="str">
        <x:v>Fully Paid</x:v>
      </x:c>
      <x:c r="O3326" t="str">
        <x:f>IF(D3326="","Unknown",IF(D3326&lt;25000,"&lt;$25k",IF(D3326&lt;50000,"$25k-$50k",IF(D3326&lt;75000,"$50k-$75k",IF(D3326&lt;100000,"$75k-$100k","$100k+")))))</x:f>
        <x:v>$75k-$100k</x:v>
      </x:c>
      <x:c r="P3326" t="str">
        <x:f>IF(E3326="","Unknown",IF(E3326&lt;10,"&lt;10",IF(E3326&lt;20,"10-&lt;20",IF(E3326&lt;25,"20-&lt;25",IF(E3326&lt;35,"25-&lt;35","35+")))))</x:f>
        <x:v>10-&lt;20</x:v>
      </x:c>
    </x:row>
    <x:row r="3327">
      <x:c r="A3327" t="str">
        <x:v>SYN0003326</x:v>
      </x:c>
      <x:c r="B3327" s="12" t="n">
        <x:v>41965</x:v>
      </x:c>
      <x:c r="C3327" s="18" t="n">
        <x:v>28961</x:v>
      </x:c>
      <x:c r="D3327" s="18" t="n">
        <x:v>29659</x:v>
      </x:c>
      <x:c r="E3327" s="18" t="n">
        <x:v>14.21</x:v>
      </x:c>
      <x:c r="F3327" s="18" t="n">
        <x:v>13.44</x:v>
      </x:c>
      <x:c r="G3327" t="n">
        <x:v>36</x:v>
      </x:c>
      <x:c r="H3327" t="str">
        <x:v>D</x:v>
      </x:c>
      <x:c r="I3327" t="str">
        <x:v>&lt;1 year</x:v>
      </x:c>
      <x:c r="J3327" t="str">
        <x:v>OWN</x:v>
      </x:c>
      <x:c r="K3327" t="str">
        <x:v>credit_card</x:v>
      </x:c>
      <x:c r="L3327" t="n">
        <x:v>0</x:v>
      </x:c>
      <x:c r="M3327" t="n">
        <x:v>0</x:v>
      </x:c>
      <x:c r="N3327" t="str">
        <x:v>Fully Paid</x:v>
      </x:c>
      <x:c r="O3327" t="str">
        <x:f>IF(D3327="","Unknown",IF(D3327&lt;25000,"&lt;$25k",IF(D3327&lt;50000,"$25k-$50k",IF(D3327&lt;75000,"$50k-$75k",IF(D3327&lt;100000,"$75k-$100k","$100k+")))))</x:f>
        <x:v>$25k-$50k</x:v>
      </x:c>
      <x:c r="P3327" t="str">
        <x:f>IF(E3327="","Unknown",IF(E3327&lt;10,"&lt;10",IF(E3327&lt;20,"10-&lt;20",IF(E3327&lt;25,"20-&lt;25",IF(E3327&lt;35,"25-&lt;35","35+")))))</x:f>
        <x:v>10-&lt;20</x:v>
      </x:c>
    </x:row>
    <x:row r="3328">
      <x:c r="A3328" t="str">
        <x:v>SYN0003327</x:v>
      </x:c>
      <x:c r="B3328" s="12" t="n">
        <x:v>42505</x:v>
      </x:c>
      <x:c r="C3328" s="18" t="n">
        <x:v>5042</x:v>
      </x:c>
      <x:c r="D3328" s="18" t="n">
        <x:v>33837</x:v>
      </x:c>
      <x:c r="E3328" s="18" t="n">
        <x:v>25.92</x:v>
      </x:c>
      <x:c r="F3328" s="18" t="n">
        <x:v>11.97</x:v>
      </x:c>
      <x:c r="G3328" t="n">
        <x:v>36</x:v>
      </x:c>
      <x:c r="H3328" t="str">
        <x:v>C</x:v>
      </x:c>
      <x:c r="I3328" t="str">
        <x:v>10+ years</x:v>
      </x:c>
      <x:c r="J3328" t="str">
        <x:v>OWN</x:v>
      </x:c>
      <x:c r="K3328" t="str">
        <x:v>home_improvement</x:v>
      </x:c>
      <x:c r="L3328" t="n">
        <x:v>0</x:v>
      </x:c>
      <x:c r="M3328" t="n">
        <x:v>0</x:v>
      </x:c>
      <x:c r="N3328" t="str">
        <x:v>Fully Paid</x:v>
      </x:c>
      <x:c r="O3328" t="str">
        <x:f>IF(D3328="","Unknown",IF(D3328&lt;25000,"&lt;$25k",IF(D3328&lt;50000,"$25k-$50k",IF(D3328&lt;75000,"$50k-$75k",IF(D3328&lt;100000,"$75k-$100k","$100k+")))))</x:f>
        <x:v>$25k-$50k</x:v>
      </x:c>
      <x:c r="P3328" t="str">
        <x:f>IF(E3328="","Unknown",IF(E3328&lt;10,"&lt;10",IF(E3328&lt;20,"10-&lt;20",IF(E3328&lt;25,"20-&lt;25",IF(E3328&lt;35,"25-&lt;35","35+")))))</x:f>
        <x:v>25-&lt;35</x:v>
      </x:c>
    </x:row>
    <x:row r="3329">
      <x:c r="A3329" t="str">
        <x:v>SYN0003328</x:v>
      </x:c>
      <x:c r="B3329" s="12" t="n">
        <x:v>42745</x:v>
      </x:c>
      <x:c r="C3329" s="18" t="n">
        <x:v>18609</x:v>
      </x:c>
      <x:c r="D3329" s="18" t="n">
        <x:v>44284</x:v>
      </x:c>
      <x:c r="E3329" s="18" t="n">
        <x:v>18.09</x:v>
      </x:c>
      <x:c r="F3329" s="18" t="n">
        <x:v>8.59</x:v>
      </x:c>
      <x:c r="G3329" t="n">
        <x:v>60</x:v>
      </x:c>
      <x:c r="H3329" t="str">
        <x:v>B</x:v>
      </x:c>
      <x:c r="I3329" t="str">
        <x:v>4-6 years</x:v>
      </x:c>
      <x:c r="J3329" t="str">
        <x:v>OWN</x:v>
      </x:c>
      <x:c r="K3329" t="str">
        <x:v>debt_consolidation</x:v>
      </x:c>
      <x:c r="L3329" t="n">
        <x:v>0</x:v>
      </x:c>
      <x:c r="M3329" t="n">
        <x:v>0</x:v>
      </x:c>
      <x:c r="N3329" t="str">
        <x:v>Fully Paid</x:v>
      </x:c>
      <x:c r="O3329" t="str">
        <x:f>IF(D3329="","Unknown",IF(D3329&lt;25000,"&lt;$25k",IF(D3329&lt;50000,"$25k-$50k",IF(D3329&lt;75000,"$50k-$75k",IF(D3329&lt;100000,"$75k-$100k","$100k+")))))</x:f>
        <x:v>$25k-$50k</x:v>
      </x:c>
      <x:c r="P3329" t="str">
        <x:f>IF(E3329="","Unknown",IF(E3329&lt;10,"&lt;10",IF(E3329&lt;20,"10-&lt;20",IF(E3329&lt;25,"20-&lt;25",IF(E3329&lt;35,"25-&lt;35","35+")))))</x:f>
        <x:v>10-&lt;20</x:v>
      </x:c>
    </x:row>
    <x:row r="3330">
      <x:c r="A3330" t="str">
        <x:v>SYN0003329</x:v>
      </x:c>
      <x:c r="B3330" s="12" t="n">
        <x:v>41605</x:v>
      </x:c>
      <x:c r="C3330" s="18" t="n">
        <x:v>29291</x:v>
      </x:c>
      <x:c r="D3330" s="18" t="n">
        <x:v>54504</x:v>
      </x:c>
      <x:c r="E3330" s="18" t="n">
        <x:v>18.85</x:v>
      </x:c>
      <x:c r="F3330" s="18" t="n">
        <x:v>17.65</x:v>
      </x:c>
      <x:c r="G3330" t="n">
        <x:v>36</x:v>
      </x:c>
      <x:c r="H3330" t="str">
        <x:v>E</x:v>
      </x:c>
      <x:c r="I3330" t="str">
        <x:v>4-6 years</x:v>
      </x:c>
      <x:c r="J3330" t="str">
        <x:v>MORTGAGE</x:v>
      </x:c>
      <x:c r="K3330" t="str">
        <x:v>other</x:v>
      </x:c>
      <x:c r="L3330" t="n">
        <x:v>0</x:v>
      </x:c>
      <x:c r="M3330" t="n">
        <x:v>0</x:v>
      </x:c>
      <x:c r="N3330" t="str">
        <x:v>Fully Paid</x:v>
      </x:c>
      <x:c r="O3330" t="str">
        <x:f>IF(D3330="","Unknown",IF(D3330&lt;25000,"&lt;$25k",IF(D3330&lt;50000,"$25k-$50k",IF(D3330&lt;75000,"$50k-$75k",IF(D3330&lt;100000,"$75k-$100k","$100k+")))))</x:f>
        <x:v>$50k-$75k</x:v>
      </x:c>
      <x:c r="P3330" t="str">
        <x:f>IF(E3330="","Unknown",IF(E3330&lt;10,"&lt;10",IF(E3330&lt;20,"10-&lt;20",IF(E3330&lt;25,"20-&lt;25",IF(E3330&lt;35,"25-&lt;35","35+")))))</x:f>
        <x:v>10-&lt;20</x:v>
      </x:c>
    </x:row>
    <x:row r="3331">
      <x:c r="A3331" t="str">
        <x:v>SYN0003330</x:v>
      </x:c>
      <x:c r="B3331" s="12" t="n">
        <x:v>41545</x:v>
      </x:c>
      <x:c r="C3331" s="18" t="n">
        <x:v>14451</x:v>
      </x:c>
      <x:c r="D3331" s="18" t="n">
        <x:v>135338</x:v>
      </x:c>
      <x:c r="E3331" s="18" t="n">
        <x:v>17.27</x:v>
      </x:c>
      <x:c r="F3331" s="18" t="n">
        <x:v>9.87</x:v>
      </x:c>
      <x:c r="G3331" t="n">
        <x:v>36</x:v>
      </x:c>
      <x:c r="H3331" t="str">
        <x:v>C</x:v>
      </x:c>
      <x:c r="I3331" t="str">
        <x:v>&lt;1 year</x:v>
      </x:c>
      <x:c r="J3331" t="str">
        <x:v>RENT</x:v>
      </x:c>
      <x:c r="K3331" t="str">
        <x:v>medical</x:v>
      </x:c>
      <x:c r="L3331" t="n">
        <x:v>1</x:v>
      </x:c>
      <x:c r="M3331" t="n">
        <x:v>0</x:v>
      </x:c>
      <x:c r="N3331" t="str">
        <x:v>Fully Paid</x:v>
      </x:c>
      <x:c r="O3331" t="str">
        <x:f>IF(D3331="","Unknown",IF(D3331&lt;25000,"&lt;$25k",IF(D3331&lt;50000,"$25k-$50k",IF(D3331&lt;75000,"$50k-$75k",IF(D3331&lt;100000,"$75k-$100k","$100k+")))))</x:f>
        <x:v>$100k+</x:v>
      </x:c>
      <x:c r="P3331" t="str">
        <x:f>IF(E3331="","Unknown",IF(E3331&lt;10,"&lt;10",IF(E3331&lt;20,"10-&lt;20",IF(E3331&lt;25,"20-&lt;25",IF(E3331&lt;35,"25-&lt;35","35+")))))</x:f>
        <x:v>10-&lt;20</x:v>
      </x:c>
    </x:row>
    <x:row r="3332">
      <x:c r="A3332" t="str">
        <x:v>SYN0003331</x:v>
      </x:c>
      <x:c r="B3332" s="12" t="n">
        <x:v>43165</x:v>
      </x:c>
      <x:c r="C3332" s="18" t="n">
        <x:v>10067</x:v>
      </x:c>
      <x:c r="D3332" s="18" t="n">
        <x:v>54575</x:v>
      </x:c>
      <x:c r="E3332" s="18" t="n">
        <x:v>18.7</x:v>
      </x:c>
      <x:c r="F3332" s="18" t="n">
        <x:v>8.33</x:v>
      </x:c>
      <x:c r="G3332" t="n">
        <x:v>36</x:v>
      </x:c>
      <x:c r="H3332" t="str">
        <x:v>A</x:v>
      </x:c>
      <x:c r="I3332" t="str">
        <x:v>1-3 years</x:v>
      </x:c>
      <x:c r="J3332" t="str">
        <x:v>MORTGAGE</x:v>
      </x:c>
      <x:c r="K3332" t="str">
        <x:v>credit_card</x:v>
      </x:c>
      <x:c r="L3332" t="n">
        <x:v>0</x:v>
      </x:c>
      <x:c r="M3332" t="n">
        <x:v>0</x:v>
      </x:c>
      <x:c r="N3332" t="str">
        <x:v>Fully Paid</x:v>
      </x:c>
      <x:c r="O3332" t="str">
        <x:f>IF(D3332="","Unknown",IF(D3332&lt;25000,"&lt;$25k",IF(D3332&lt;50000,"$25k-$50k",IF(D3332&lt;75000,"$50k-$75k",IF(D3332&lt;100000,"$75k-$100k","$100k+")))))</x:f>
        <x:v>$50k-$75k</x:v>
      </x:c>
      <x:c r="P3332" t="str">
        <x:f>IF(E3332="","Unknown",IF(E3332&lt;10,"&lt;10",IF(E3332&lt;20,"10-&lt;20",IF(E3332&lt;25,"20-&lt;25",IF(E3332&lt;35,"25-&lt;35","35+")))))</x:f>
        <x:v>10-&lt;20</x:v>
      </x:c>
    </x:row>
    <x:row r="3333">
      <x:c r="A3333" t="str">
        <x:v>SYN0003332</x:v>
      </x:c>
      <x:c r="B3333" s="12" t="n">
        <x:v>43345</x:v>
      </x:c>
      <x:c r="C3333" s="18" t="n">
        <x:v>8744</x:v>
      </x:c>
      <x:c r="D3333" s="18" t="n">
        <x:v>32277</x:v>
      </x:c>
      <x:c r="E3333" s="18" t="n">
        <x:v>12.33</x:v>
      </x:c>
      <x:c r="F3333" s="18" t="n">
        <x:v>5</x:v>
      </x:c>
      <x:c r="G3333" t="n">
        <x:v>36</x:v>
      </x:c>
      <x:c r="H3333" t="str">
        <x:v>B</x:v>
      </x:c>
      <x:c r="I3333" t="str">
        <x:v>1-3 years</x:v>
      </x:c>
      <x:c r="J3333" t="str">
        <x:v>RENT</x:v>
      </x:c>
      <x:c r="K3333" t="str">
        <x:v>major_purchase</x:v>
      </x:c>
      <x:c r="L3333" t="n">
        <x:v>0</x:v>
      </x:c>
      <x:c r="M3333" t="n">
        <x:v>0</x:v>
      </x:c>
      <x:c r="N3333" t="str">
        <x:v>Fully Paid</x:v>
      </x:c>
      <x:c r="O3333" t="str">
        <x:f>IF(D3333="","Unknown",IF(D3333&lt;25000,"&lt;$25k",IF(D3333&lt;50000,"$25k-$50k",IF(D3333&lt;75000,"$50k-$75k",IF(D3333&lt;100000,"$75k-$100k","$100k+")))))</x:f>
        <x:v>$25k-$50k</x:v>
      </x:c>
      <x:c r="P3333" t="str">
        <x:f>IF(E3333="","Unknown",IF(E3333&lt;10,"&lt;10",IF(E3333&lt;20,"10-&lt;20",IF(E3333&lt;25,"20-&lt;25",IF(E3333&lt;35,"25-&lt;35","35+")))))</x:f>
        <x:v>10-&lt;20</x:v>
      </x:c>
    </x:row>
    <x:row r="3334">
      <x:c r="A3334" t="str">
        <x:v>SYN0003333</x:v>
      </x:c>
      <x:c r="B3334" s="12" t="n">
        <x:v>41425</x:v>
      </x:c>
      <x:c r="C3334" s="18" t="n">
        <x:v>15792</x:v>
      </x:c>
      <x:c r="D3334" s="18" t="n">
        <x:v>34831</x:v>
      </x:c>
      <x:c r="E3334" s="18" t="n">
        <x:v>18.05</x:v>
      </x:c>
      <x:c r="F3334" s="18" t="n">
        <x:v>8.11</x:v>
      </x:c>
      <x:c r="G3334" t="n">
        <x:v>36</x:v>
      </x:c>
      <x:c r="H3334" t="str">
        <x:v>A</x:v>
      </x:c>
      <x:c r="I3334" t="str">
        <x:v>1-3 years</x:v>
      </x:c>
      <x:c r="J3334" t="str">
        <x:v>MORTGAGE</x:v>
      </x:c>
      <x:c r="K3334" t="str">
        <x:v>debt_consolidation</x:v>
      </x:c>
      <x:c r="L3334" t="n">
        <x:v>1</x:v>
      </x:c>
      <x:c r="M3334" t="n">
        <x:v>0</x:v>
      </x:c>
      <x:c r="N3334" t="str">
        <x:v>Fully Paid</x:v>
      </x:c>
      <x:c r="O3334" t="str">
        <x:f>IF(D3334="","Unknown",IF(D3334&lt;25000,"&lt;$25k",IF(D3334&lt;50000,"$25k-$50k",IF(D3334&lt;75000,"$50k-$75k",IF(D3334&lt;100000,"$75k-$100k","$100k+")))))</x:f>
        <x:v>$25k-$50k</x:v>
      </x:c>
      <x:c r="P3334" t="str">
        <x:f>IF(E3334="","Unknown",IF(E3334&lt;10,"&lt;10",IF(E3334&lt;20,"10-&lt;20",IF(E3334&lt;25,"20-&lt;25",IF(E3334&lt;35,"25-&lt;35","35+")))))</x:f>
        <x:v>10-&lt;20</x:v>
      </x:c>
    </x:row>
    <x:row r="3335">
      <x:c r="A3335" t="str">
        <x:v>SYN0003334</x:v>
      </x:c>
      <x:c r="B3335" s="12" t="n">
        <x:v>42325</x:v>
      </x:c>
      <x:c r="C3335" s="18" t="n">
        <x:v>10913</x:v>
      </x:c>
      <x:c r="D3335" s="18" t="n">
        <x:v>151825</x:v>
      </x:c>
      <x:c r="E3335" s="18" t="n">
        <x:v>17</x:v>
      </x:c>
      <x:c r="F3335" s="18" t="n">
        <x:v>7.34</x:v>
      </x:c>
      <x:c r="G3335" t="n">
        <x:v>60</x:v>
      </x:c>
      <x:c r="H3335" t="str">
        <x:v>B</x:v>
      </x:c>
      <x:c r="I3335" t="str">
        <x:v>1-3 years</x:v>
      </x:c>
      <x:c r="J3335" t="str">
        <x:v>RENT</x:v>
      </x:c>
      <x:c r="K3335" t="str">
        <x:v>home_improvement</x:v>
      </x:c>
      <x:c r="L3335" t="n">
        <x:v>1</x:v>
      </x:c>
      <x:c r="M3335" t="n">
        <x:v>0</x:v>
      </x:c>
      <x:c r="N3335" t="str">
        <x:v>Fully Paid</x:v>
      </x:c>
      <x:c r="O3335" t="str">
        <x:f>IF(D3335="","Unknown",IF(D3335&lt;25000,"&lt;$25k",IF(D3335&lt;50000,"$25k-$50k",IF(D3335&lt;75000,"$50k-$75k",IF(D3335&lt;100000,"$75k-$100k","$100k+")))))</x:f>
        <x:v>$100k+</x:v>
      </x:c>
      <x:c r="P3335" t="str">
        <x:f>IF(E3335="","Unknown",IF(E3335&lt;10,"&lt;10",IF(E3335&lt;20,"10-&lt;20",IF(E3335&lt;25,"20-&lt;25",IF(E3335&lt;35,"25-&lt;35","35+")))))</x:f>
        <x:v>10-&lt;20</x:v>
      </x:c>
    </x:row>
    <x:row r="3336">
      <x:c r="A3336" t="str">
        <x:v>SYN0003335</x:v>
      </x:c>
      <x:c r="B3336" s="12" t="n">
        <x:v>43405</x:v>
      </x:c>
      <x:c r="C3336" s="18" t="n">
        <x:v>13502</x:v>
      </x:c>
      <x:c r="D3336" s="18" t="n">
        <x:v>78283</x:v>
      </x:c>
      <x:c r="E3336" s="18" t="n">
        <x:v>21.6</x:v>
      </x:c>
      <x:c r="F3336" s="18" t="n">
        <x:v>15.62</x:v>
      </x:c>
      <x:c r="G3336" t="n">
        <x:v>36</x:v>
      </x:c>
      <x:c r="H3336" t="str">
        <x:v>D</x:v>
      </x:c>
      <x:c r="I3336" t="str">
        <x:v>10+ years</x:v>
      </x:c>
      <x:c r="J3336" t="str">
        <x:v>MORTGAGE</x:v>
      </x:c>
      <x:c r="K3336" t="str">
        <x:v>debt_consolidation</x:v>
      </x:c>
      <x:c r="L3336" t="n">
        <x:v>2</x:v>
      </x:c>
      <x:c r="M3336" t="n">
        <x:v>0</x:v>
      </x:c>
      <x:c r="N3336" t="str">
        <x:v>Fully Paid</x:v>
      </x:c>
      <x:c r="O3336" t="str">
        <x:f>IF(D3336="","Unknown",IF(D3336&lt;25000,"&lt;$25k",IF(D3336&lt;50000,"$25k-$50k",IF(D3336&lt;75000,"$50k-$75k",IF(D3336&lt;100000,"$75k-$100k","$100k+")))))</x:f>
        <x:v>$75k-$100k</x:v>
      </x:c>
      <x:c r="P3336" t="str">
        <x:f>IF(E3336="","Unknown",IF(E3336&lt;10,"&lt;10",IF(E3336&lt;20,"10-&lt;20",IF(E3336&lt;25,"20-&lt;25",IF(E3336&lt;35,"25-&lt;35","35+")))))</x:f>
        <x:v>20-&lt;25</x:v>
      </x:c>
    </x:row>
    <x:row r="3337">
      <x:c r="A3337" t="str">
        <x:v>SYN0003336</x:v>
      </x:c>
      <x:c r="B3337" s="12" t="n">
        <x:v>43015</x:v>
      </x:c>
      <x:c r="C3337" s="18" t="n">
        <x:v>15956</x:v>
      </x:c>
      <x:c r="D3337" s="18" t="n">
        <x:v>73330</x:v>
      </x:c>
      <x:c r="E3337" s="18" t="n">
        <x:v>30.16</x:v>
      </x:c>
      <x:c r="F3337" s="18" t="n">
        <x:v>11.77</x:v>
      </x:c>
      <x:c r="G3337" t="n">
        <x:v>60</x:v>
      </x:c>
      <x:c r="H3337" t="str">
        <x:v>C</x:v>
      </x:c>
      <x:c r="I3337" t="str">
        <x:v>4-6 years</x:v>
      </x:c>
      <x:c r="J3337" t="str">
        <x:v>OWN</x:v>
      </x:c>
      <x:c r="K3337" t="str">
        <x:v>credit_card</x:v>
      </x:c>
      <x:c r="L3337" t="n">
        <x:v>1</x:v>
      </x:c>
      <x:c r="M3337" t="n">
        <x:v>0</x:v>
      </x:c>
      <x:c r="N3337" t="str">
        <x:v>Fully Paid</x:v>
      </x:c>
      <x:c r="O3337" t="str">
        <x:f>IF(D3337="","Unknown",IF(D3337&lt;25000,"&lt;$25k",IF(D3337&lt;50000,"$25k-$50k",IF(D3337&lt;75000,"$50k-$75k",IF(D3337&lt;100000,"$75k-$100k","$100k+")))))</x:f>
        <x:v>$50k-$75k</x:v>
      </x:c>
      <x:c r="P3337" t="str">
        <x:f>IF(E3337="","Unknown",IF(E3337&lt;10,"&lt;10",IF(E3337&lt;20,"10-&lt;20",IF(E3337&lt;25,"20-&lt;25",IF(E3337&lt;35,"25-&lt;35","35+")))))</x:f>
        <x:v>25-&lt;35</x:v>
      </x:c>
    </x:row>
    <x:row r="3338">
      <x:c r="A3338" t="str">
        <x:v>SYN0003337</x:v>
      </x:c>
      <x:c r="B3338" s="12" t="n">
        <x:v>41545</x:v>
      </x:c>
      <x:c r="C3338" s="18" t="n">
        <x:v>11337</x:v>
      </x:c>
      <x:c r="D3338" s="18" t="n">
        <x:v>56039</x:v>
      </x:c>
      <x:c r="E3338" s="18" t="n">
        <x:v>34.48</x:v>
      </x:c>
      <x:c r="F3338" s="18" t="n">
        <x:v>17.84</x:v>
      </x:c>
      <x:c r="G3338" t="n">
        <x:v>60</x:v>
      </x:c>
      <x:c r="H3338" t="str">
        <x:v>E</x:v>
      </x:c>
      <x:c r="I3338" t="str">
        <x:v>10+ years</x:v>
      </x:c>
      <x:c r="J3338" t="str">
        <x:v>MORTGAGE</x:v>
      </x:c>
      <x:c r="K3338" t="str">
        <x:v>major_purchase</x:v>
      </x:c>
      <x:c r="L3338" t="n">
        <x:v>0</x:v>
      </x:c>
      <x:c r="M3338" t="n">
        <x:v>0</x:v>
      </x:c>
      <x:c r="N3338" t="str">
        <x:v>Fully Paid</x:v>
      </x:c>
      <x:c r="O3338" t="str">
        <x:f>IF(D3338="","Unknown",IF(D3338&lt;25000,"&lt;$25k",IF(D3338&lt;50000,"$25k-$50k",IF(D3338&lt;75000,"$50k-$75k",IF(D3338&lt;100000,"$75k-$100k","$100k+")))))</x:f>
        <x:v>$50k-$75k</x:v>
      </x:c>
      <x:c r="P3338" t="str">
        <x:f>IF(E3338="","Unknown",IF(E3338&lt;10,"&lt;10",IF(E3338&lt;20,"10-&lt;20",IF(E3338&lt;25,"20-&lt;25",IF(E3338&lt;35,"25-&lt;35","35+")))))</x:f>
        <x:v>25-&lt;35</x:v>
      </x:c>
    </x:row>
    <x:row r="3339">
      <x:c r="A3339" t="str">
        <x:v>SYN0003338</x:v>
      </x:c>
      <x:c r="B3339" s="12" t="n">
        <x:v>41935</x:v>
      </x:c>
      <x:c r="C3339" s="18" t="n">
        <x:v>7879</x:v>
      </x:c>
      <x:c r="D3339" s="18" t="n">
        <x:v>39879</x:v>
      </x:c>
      <x:c r="E3339" s="18" t="n">
        <x:v>19.86</x:v>
      </x:c>
      <x:c r="F3339" s="18" t="n">
        <x:v>7.61</x:v>
      </x:c>
      <x:c r="G3339" t="n">
        <x:v>60</x:v>
      </x:c>
      <x:c r="H3339" t="str">
        <x:v>B</x:v>
      </x:c>
      <x:c r="I3339" t="str">
        <x:v>10+ years</x:v>
      </x:c>
      <x:c r="J3339" t="str">
        <x:v>RENT</x:v>
      </x:c>
      <x:c r="K3339" t="str">
        <x:v>other</x:v>
      </x:c>
      <x:c r="L3339" t="n">
        <x:v>0</x:v>
      </x:c>
      <x:c r="M3339" t="n">
        <x:v>0</x:v>
      </x:c>
      <x:c r="N3339" t="str">
        <x:v>Fully Paid</x:v>
      </x:c>
      <x:c r="O3339" t="str">
        <x:f>IF(D3339="","Unknown",IF(D3339&lt;25000,"&lt;$25k",IF(D3339&lt;50000,"$25k-$50k",IF(D3339&lt;75000,"$50k-$75k",IF(D3339&lt;100000,"$75k-$100k","$100k+")))))</x:f>
        <x:v>$25k-$50k</x:v>
      </x:c>
      <x:c r="P3339" t="str">
        <x:f>IF(E3339="","Unknown",IF(E3339&lt;10,"&lt;10",IF(E3339&lt;20,"10-&lt;20",IF(E3339&lt;25,"20-&lt;25",IF(E3339&lt;35,"25-&lt;35","35+")))))</x:f>
        <x:v>10-&lt;20</x:v>
      </x:c>
    </x:row>
    <x:row r="3340">
      <x:c r="A3340" t="str">
        <x:v>SYN0003339</x:v>
      </x:c>
      <x:c r="B3340" s="12" t="n">
        <x:v>43225</x:v>
      </x:c>
      <x:c r="C3340" s="18" t="n">
        <x:v>12832</x:v>
      </x:c>
      <x:c r="D3340" s="18" t="n">
        <x:v>43094</x:v>
      </x:c>
      <x:c r="E3340" s="18" t="n">
        <x:v>13.17</x:v>
      </x:c>
      <x:c r="F3340" s="18" t="n">
        <x:v>7.06</x:v>
      </x:c>
      <x:c r="G3340" t="n">
        <x:v>60</x:v>
      </x:c>
      <x:c r="H3340" t="str">
        <x:v>B</x:v>
      </x:c>
      <x:c r="I3340" t="str">
        <x:v>1-3 years</x:v>
      </x:c>
      <x:c r="J3340" t="str">
        <x:v>RENT</x:v>
      </x:c>
      <x:c r="K3340" t="str">
        <x:v>major_purchase</x:v>
      </x:c>
      <x:c r="L3340" t="n">
        <x:v>1</x:v>
      </x:c>
      <x:c r="M3340" t="n">
        <x:v>0</x:v>
      </x:c>
      <x:c r="N3340" t="str">
        <x:v>Fully Paid</x:v>
      </x:c>
      <x:c r="O3340" t="str">
        <x:f>IF(D3340="","Unknown",IF(D3340&lt;25000,"&lt;$25k",IF(D3340&lt;50000,"$25k-$50k",IF(D3340&lt;75000,"$50k-$75k",IF(D3340&lt;100000,"$75k-$100k","$100k+")))))</x:f>
        <x:v>$25k-$50k</x:v>
      </x:c>
      <x:c r="P3340" t="str">
        <x:f>IF(E3340="","Unknown",IF(E3340&lt;10,"&lt;10",IF(E3340&lt;20,"10-&lt;20",IF(E3340&lt;25,"20-&lt;25",IF(E3340&lt;35,"25-&lt;35","35+")))))</x:f>
        <x:v>10-&lt;20</x:v>
      </x:c>
    </x:row>
    <x:row r="3341">
      <x:c r="A3341" t="str">
        <x:v>SYN0003340</x:v>
      </x:c>
      <x:c r="B3341" s="12" t="n">
        <x:v>41695</x:v>
      </x:c>
      <x:c r="C3341" s="18" t="n">
        <x:v>14438</x:v>
      </x:c>
      <x:c r="D3341" s="18" t="n">
        <x:v>84348</x:v>
      </x:c>
      <x:c r="E3341" s="18" t="n">
        <x:v>20.2</x:v>
      </x:c>
      <x:c r="F3341" s="18" t="n">
        <x:v>11.71</x:v>
      </x:c>
      <x:c r="G3341" t="n">
        <x:v>60</x:v>
      </x:c>
      <x:c r="H3341" t="str">
        <x:v>D</x:v>
      </x:c>
      <x:c r="I3341" t="str">
        <x:v>10+ years</x:v>
      </x:c>
      <x:c r="J3341" t="str">
        <x:v>RENT</x:v>
      </x:c>
      <x:c r="K3341" t="str">
        <x:v>debt_consolidation</x:v>
      </x:c>
      <x:c r="L3341" t="n">
        <x:v>1</x:v>
      </x:c>
      <x:c r="M3341" t="n">
        <x:v>0</x:v>
      </x:c>
      <x:c r="N3341" t="str">
        <x:v>Fully Paid</x:v>
      </x:c>
      <x:c r="O3341" t="str">
        <x:f>IF(D3341="","Unknown",IF(D3341&lt;25000,"&lt;$25k",IF(D3341&lt;50000,"$25k-$50k",IF(D3341&lt;75000,"$50k-$75k",IF(D3341&lt;100000,"$75k-$100k","$100k+")))))</x:f>
        <x:v>$75k-$100k</x:v>
      </x:c>
      <x:c r="P3341" t="str">
        <x:f>IF(E3341="","Unknown",IF(E3341&lt;10,"&lt;10",IF(E3341&lt;20,"10-&lt;20",IF(E3341&lt;25,"20-&lt;25",IF(E3341&lt;35,"25-&lt;35","35+")))))</x:f>
        <x:v>20-&lt;25</x:v>
      </x:c>
    </x:row>
    <x:row r="3342">
      <x:c r="A3342" t="str">
        <x:v>SYN0003341</x:v>
      </x:c>
      <x:c r="B3342" s="12" t="n">
        <x:v>41935</x:v>
      </x:c>
      <x:c r="C3342" s="18" t="n">
        <x:v>8937</x:v>
      </x:c>
      <x:c r="D3342" s="18" t="n">
        <x:v>22287</x:v>
      </x:c>
      <x:c r="E3342" s="18" t="n">
        <x:v>18.65</x:v>
      </x:c>
      <x:c r="F3342" s="18" t="n">
        <x:v>15.19</x:v>
      </x:c>
      <x:c r="G3342" t="n">
        <x:v>60</x:v>
      </x:c>
      <x:c r="H3342" t="str">
        <x:v>E</x:v>
      </x:c>
      <x:c r="I3342" t="str">
        <x:v>4-6 years</x:v>
      </x:c>
      <x:c r="J3342" t="str">
        <x:v>OWN</x:v>
      </x:c>
      <x:c r="K3342" t="str">
        <x:v>other</x:v>
      </x:c>
      <x:c r="L3342" t="n">
        <x:v>0</x:v>
      </x:c>
      <x:c r="M3342" t="n">
        <x:v>0</x:v>
      </x:c>
      <x:c r="N3342" t="str">
        <x:v>Fully Paid</x:v>
      </x:c>
      <x:c r="O3342" t="str">
        <x:f>IF(D3342="","Unknown",IF(D3342&lt;25000,"&lt;$25k",IF(D3342&lt;50000,"$25k-$50k",IF(D3342&lt;75000,"$50k-$75k",IF(D3342&lt;100000,"$75k-$100k","$100k+")))))</x:f>
        <x:v>&lt;$25k</x:v>
      </x:c>
      <x:c r="P3342" t="str">
        <x:f>IF(E3342="","Unknown",IF(E3342&lt;10,"&lt;10",IF(E3342&lt;20,"10-&lt;20",IF(E3342&lt;25,"20-&lt;25",IF(E3342&lt;35,"25-&lt;35","35+")))))</x:f>
        <x:v>10-&lt;20</x:v>
      </x:c>
    </x:row>
    <x:row r="3343">
      <x:c r="A3343" t="str">
        <x:v>SYN0003342</x:v>
      </x:c>
      <x:c r="B3343" s="12" t="n">
        <x:v>42205</x:v>
      </x:c>
      <x:c r="C3343" s="18" t="n">
        <x:v>13232</x:v>
      </x:c>
      <x:c r="D3343" s="18" t="n">
        <x:v>25373</x:v>
      </x:c>
      <x:c r="E3343" s="18" t="n">
        <x:v>25.55</x:v>
      </x:c>
      <x:c r="F3343" s="18" t="n">
        <x:v>9.9</x:v>
      </x:c>
      <x:c r="G3343" t="n">
        <x:v>36</x:v>
      </x:c>
      <x:c r="H3343" t="str">
        <x:v>C</x:v>
      </x:c>
      <x:c r="I3343" t="str">
        <x:v>1-3 years</x:v>
      </x:c>
      <x:c r="J3343" t="str">
        <x:v>RENT</x:v>
      </x:c>
      <x:c r="K3343" t="str">
        <x:v>debt_consolidation</x:v>
      </x:c>
      <x:c r="L3343" t="n">
        <x:v>0</x:v>
      </x:c>
      <x:c r="M3343" t="n">
        <x:v>0</x:v>
      </x:c>
      <x:c r="N3343" t="str">
        <x:v>Fully Paid</x:v>
      </x:c>
      <x:c r="O3343" t="str">
        <x:f>IF(D3343="","Unknown",IF(D3343&lt;25000,"&lt;$25k",IF(D3343&lt;50000,"$25k-$50k",IF(D3343&lt;75000,"$50k-$75k",IF(D3343&lt;100000,"$75k-$100k","$100k+")))))</x:f>
        <x:v>$25k-$50k</x:v>
      </x:c>
      <x:c r="P3343" t="str">
        <x:f>IF(E3343="","Unknown",IF(E3343&lt;10,"&lt;10",IF(E3343&lt;20,"10-&lt;20",IF(E3343&lt;25,"20-&lt;25",IF(E3343&lt;35,"25-&lt;35","35+")))))</x:f>
        <x:v>25-&lt;35</x:v>
      </x:c>
    </x:row>
    <x:row r="3344">
      <x:c r="A3344" t="str">
        <x:v>SYN0003343</x:v>
      </x:c>
      <x:c r="B3344" s="12" t="n">
        <x:v>42505</x:v>
      </x:c>
      <x:c r="C3344" s="18" t="n">
        <x:v>18173</x:v>
      </x:c>
      <x:c r="D3344" s="18" t="n">
        <x:v>45334</x:v>
      </x:c>
      <x:c r="E3344" s="18" t="n">
        <x:v>27.33</x:v>
      </x:c>
      <x:c r="F3344" s="18" t="n">
        <x:v>16.94</x:v>
      </x:c>
      <x:c r="G3344" t="n">
        <x:v>36</x:v>
      </x:c>
      <x:c r="H3344" t="str">
        <x:v>E</x:v>
      </x:c>
      <x:c r="I3344" t="str">
        <x:v>10+ years</x:v>
      </x:c>
      <x:c r="J3344" t="str">
        <x:v>RENT</x:v>
      </x:c>
      <x:c r="K3344" t="str">
        <x:v>debt_consolidation</x:v>
      </x:c>
      <x:c r="L3344" t="n">
        <x:v>0</x:v>
      </x:c>
      <x:c r="M3344" t="n">
        <x:v>0</x:v>
      </x:c>
      <x:c r="N3344" t="str">
        <x:v>Fully Paid</x:v>
      </x:c>
      <x:c r="O3344" t="str">
        <x:f>IF(D3344="","Unknown",IF(D3344&lt;25000,"&lt;$25k",IF(D3344&lt;50000,"$25k-$50k",IF(D3344&lt;75000,"$50k-$75k",IF(D3344&lt;100000,"$75k-$100k","$100k+")))))</x:f>
        <x:v>$25k-$50k</x:v>
      </x:c>
      <x:c r="P3344" t="str">
        <x:f>IF(E3344="","Unknown",IF(E3344&lt;10,"&lt;10",IF(E3344&lt;20,"10-&lt;20",IF(E3344&lt;25,"20-&lt;25",IF(E3344&lt;35,"25-&lt;35","35+")))))</x:f>
        <x:v>25-&lt;35</x:v>
      </x:c>
    </x:row>
    <x:row r="3345">
      <x:c r="A3345" t="str">
        <x:v>SYN0003344</x:v>
      </x:c>
      <x:c r="B3345" s="12" t="n">
        <x:v>41935</x:v>
      </x:c>
      <x:c r="C3345" s="18" t="n">
        <x:v>24283</x:v>
      </x:c>
      <x:c r="D3345" s="18" t="n">
        <x:v>85309</x:v>
      </x:c>
      <x:c r="E3345" s="18" t="n">
        <x:v>31.72</x:v>
      </x:c>
      <x:c r="F3345" s="18" t="n">
        <x:v>20.99</x:v>
      </x:c>
      <x:c r="G3345" t="n">
        <x:v>36</x:v>
      </x:c>
      <x:c r="H3345" t="str">
        <x:v>E</x:v>
      </x:c>
      <x:c r="I3345" t="str">
        <x:v>4-6 years</x:v>
      </x:c>
      <x:c r="J3345" t="str">
        <x:v>MORTGAGE</x:v>
      </x:c>
      <x:c r="K3345" t="str">
        <x:v>home_improvement</x:v>
      </x:c>
      <x:c r="L3345" t="n">
        <x:v>0</x:v>
      </x:c>
      <x:c r="M3345" t="n">
        <x:v>0</x:v>
      </x:c>
      <x:c r="N3345" t="str">
        <x:v>Fully Paid</x:v>
      </x:c>
      <x:c r="O3345" t="str">
        <x:f>IF(D3345="","Unknown",IF(D3345&lt;25000,"&lt;$25k",IF(D3345&lt;50000,"$25k-$50k",IF(D3345&lt;75000,"$50k-$75k",IF(D3345&lt;100000,"$75k-$100k","$100k+")))))</x:f>
        <x:v>$75k-$100k</x:v>
      </x:c>
      <x:c r="P3345" t="str">
        <x:f>IF(E3345="","Unknown",IF(E3345&lt;10,"&lt;10",IF(E3345&lt;20,"10-&lt;20",IF(E3345&lt;25,"20-&lt;25",IF(E3345&lt;35,"25-&lt;35","35+")))))</x:f>
        <x:v>25-&lt;35</x:v>
      </x:c>
    </x:row>
    <x:row r="3346">
      <x:c r="A3346" t="str">
        <x:v>SYN0003345</x:v>
      </x:c>
      <x:c r="B3346" s="12" t="n">
        <x:v>42565</x:v>
      </x:c>
      <x:c r="C3346" s="18" t="n">
        <x:v>12170</x:v>
      </x:c>
      <x:c r="D3346" s="18" t="n">
        <x:v>30614</x:v>
      </x:c>
      <x:c r="E3346" s="18" t="n">
        <x:v>24.66</x:v>
      </x:c>
      <x:c r="F3346" s="18" t="n">
        <x:v>12.65</x:v>
      </x:c>
      <x:c r="G3346" t="n">
        <x:v>36</x:v>
      </x:c>
      <x:c r="H3346" t="str">
        <x:v>C</x:v>
      </x:c>
      <x:c r="I3346" t="str">
        <x:v>4-6 years</x:v>
      </x:c>
      <x:c r="J3346" t="str">
        <x:v>MORTGAGE</x:v>
      </x:c>
      <x:c r="K3346" t="str">
        <x:v>credit_card</x:v>
      </x:c>
      <x:c r="L3346" t="n">
        <x:v>0</x:v>
      </x:c>
      <x:c r="M3346" t="n">
        <x:v>0</x:v>
      </x:c>
      <x:c r="N3346" t="str">
        <x:v>Fully Paid</x:v>
      </x:c>
      <x:c r="O3346" t="str">
        <x:f>IF(D3346="","Unknown",IF(D3346&lt;25000,"&lt;$25k",IF(D3346&lt;50000,"$25k-$50k",IF(D3346&lt;75000,"$50k-$75k",IF(D3346&lt;100000,"$75k-$100k","$100k+")))))</x:f>
        <x:v>$25k-$50k</x:v>
      </x:c>
      <x:c r="P3346" t="str">
        <x:f>IF(E3346="","Unknown",IF(E3346&lt;10,"&lt;10",IF(E3346&lt;20,"10-&lt;20",IF(E3346&lt;25,"20-&lt;25",IF(E3346&lt;35,"25-&lt;35","35+")))))</x:f>
        <x:v>20-&lt;25</x:v>
      </x:c>
    </x:row>
    <x:row r="3347">
      <x:c r="A3347" t="str">
        <x:v>SYN0003346</x:v>
      </x:c>
      <x:c r="B3347" s="12" t="n">
        <x:v>41455</x:v>
      </x:c>
      <x:c r="C3347" s="18" t="n">
        <x:v>19401</x:v>
      </x:c>
      <x:c r="D3347" s="18" t="n">
        <x:v>25970</x:v>
      </x:c>
      <x:c r="E3347" s="18" t="n">
        <x:v>19.44</x:v>
      </x:c>
      <x:c r="F3347" s="18" t="n">
        <x:v>7.4</x:v>
      </x:c>
      <x:c r="G3347" t="n">
        <x:v>36</x:v>
      </x:c>
      <x:c r="H3347" t="str">
        <x:v>C</x:v>
      </x:c>
      <x:c r="I3347" t="str">
        <x:v>1-3 years</x:v>
      </x:c>
      <x:c r="J3347" t="str">
        <x:v>MORTGAGE</x:v>
      </x:c>
      <x:c r="K3347" t="str">
        <x:v>medical</x:v>
      </x:c>
      <x:c r="L3347" t="n">
        <x:v>0</x:v>
      </x:c>
      <x:c r="M3347" t="n">
        <x:v>0</x:v>
      </x:c>
      <x:c r="N3347" t="str">
        <x:v>Fully Paid</x:v>
      </x:c>
      <x:c r="O3347" t="str">
        <x:f>IF(D3347="","Unknown",IF(D3347&lt;25000,"&lt;$25k",IF(D3347&lt;50000,"$25k-$50k",IF(D3347&lt;75000,"$50k-$75k",IF(D3347&lt;100000,"$75k-$100k","$100k+")))))</x:f>
        <x:v>$25k-$50k</x:v>
      </x:c>
      <x:c r="P3347" t="str">
        <x:f>IF(E3347="","Unknown",IF(E3347&lt;10,"&lt;10",IF(E3347&lt;20,"10-&lt;20",IF(E3347&lt;25,"20-&lt;25",IF(E3347&lt;35,"25-&lt;35","35+")))))</x:f>
        <x:v>10-&lt;20</x:v>
      </x:c>
    </x:row>
    <x:row r="3348">
      <x:c r="A3348" t="str">
        <x:v>SYN0003347</x:v>
      </x:c>
      <x:c r="B3348" s="12" t="n">
        <x:v>41665</x:v>
      </x:c>
      <x:c r="C3348" s="18" t="n">
        <x:v>21970</x:v>
      </x:c>
      <x:c r="D3348" s="18" t="n">
        <x:v>37622</x:v>
      </x:c>
      <x:c r="E3348" s="18" t="n">
        <x:v>31.95</x:v>
      </x:c>
      <x:c r="F3348" s="18" t="n">
        <x:v>21.37</x:v>
      </x:c>
      <x:c r="G3348" t="n">
        <x:v>36</x:v>
      </x:c>
      <x:c r="H3348" t="str">
        <x:v>F</x:v>
      </x:c>
      <x:c r="I3348" t="str">
        <x:v>&lt;1 year</x:v>
      </x:c>
      <x:c r="J3348" t="str">
        <x:v>MORTGAGE</x:v>
      </x:c>
      <x:c r="K3348" t="str">
        <x:v>credit_card</x:v>
      </x:c>
      <x:c r="L3348" t="n">
        <x:v>1</x:v>
      </x:c>
      <x:c r="M3348" t="n">
        <x:v>1</x:v>
      </x:c>
      <x:c r="N3348" t="str">
        <x:v>Charged Off</x:v>
      </x:c>
      <x:c r="O3348" t="str">
        <x:f>IF(D3348="","Unknown",IF(D3348&lt;25000,"&lt;$25k",IF(D3348&lt;50000,"$25k-$50k",IF(D3348&lt;75000,"$50k-$75k",IF(D3348&lt;100000,"$75k-$100k","$100k+")))))</x:f>
        <x:v>$25k-$50k</x:v>
      </x:c>
      <x:c r="P3348" t="str">
        <x:f>IF(E3348="","Unknown",IF(E3348&lt;10,"&lt;10",IF(E3348&lt;20,"10-&lt;20",IF(E3348&lt;25,"20-&lt;25",IF(E3348&lt;35,"25-&lt;35","35+")))))</x:f>
        <x:v>25-&lt;35</x:v>
      </x:c>
    </x:row>
    <x:row r="3349">
      <x:c r="A3349" t="str">
        <x:v>SYN0003348</x:v>
      </x:c>
      <x:c r="B3349" s="12" t="n">
        <x:v>41605</x:v>
      </x:c>
      <x:c r="C3349" s="18" t="n">
        <x:v>12888</x:v>
      </x:c>
      <x:c r="D3349" s="18" t="n">
        <x:v>54418</x:v>
      </x:c>
      <x:c r="E3349" s="18" t="n">
        <x:v>31.63</x:v>
      </x:c>
      <x:c r="F3349" s="18" t="n">
        <x:v>6.29</x:v>
      </x:c>
      <x:c r="G3349" t="n">
        <x:v>36</x:v>
      </x:c>
      <x:c r="H3349" t="str">
        <x:v>A</x:v>
      </x:c>
      <x:c r="I3349" t="str">
        <x:v>7-9 years</x:v>
      </x:c>
      <x:c r="J3349" t="str">
        <x:v>MORTGAGE</x:v>
      </x:c>
      <x:c r="K3349" t="str">
        <x:v>debt_consolidation</x:v>
      </x:c>
      <x:c r="L3349" t="n">
        <x:v>0</x:v>
      </x:c>
      <x:c r="M3349" t="n">
        <x:v>1</x:v>
      </x:c>
      <x:c r="N3349" t="str">
        <x:v>Charged Off</x:v>
      </x:c>
      <x:c r="O3349" t="str">
        <x:f>IF(D3349="","Unknown",IF(D3349&lt;25000,"&lt;$25k",IF(D3349&lt;50000,"$25k-$50k",IF(D3349&lt;75000,"$50k-$75k",IF(D3349&lt;100000,"$75k-$100k","$100k+")))))</x:f>
        <x:v>$50k-$75k</x:v>
      </x:c>
      <x:c r="P3349" t="str">
        <x:f>IF(E3349="","Unknown",IF(E3349&lt;10,"&lt;10",IF(E3349&lt;20,"10-&lt;20",IF(E3349&lt;25,"20-&lt;25",IF(E3349&lt;35,"25-&lt;35","35+")))))</x:f>
        <x:v>25-&lt;35</x:v>
      </x:c>
    </x:row>
    <x:row r="3350">
      <x:c r="A3350" t="str">
        <x:v>SYN0003349</x:v>
      </x:c>
      <x:c r="B3350" s="12" t="n">
        <x:v>42565</x:v>
      </x:c>
      <x:c r="C3350" s="18" t="n">
        <x:v>19886</x:v>
      </x:c>
      <x:c r="D3350" s="18" t="n">
        <x:v>12641</x:v>
      </x:c>
      <x:c r="E3350" s="18" t="n">
        <x:v>36.26</x:v>
      </x:c>
      <x:c r="F3350" s="18" t="n">
        <x:v>12.94</x:v>
      </x:c>
      <x:c r="G3350" t="n">
        <x:v>36</x:v>
      </x:c>
      <x:c r="H3350" t="str">
        <x:v>D</x:v>
      </x:c>
      <x:c r="I3350" t="str">
        <x:v>7-9 years</x:v>
      </x:c>
      <x:c r="J3350" t="str">
        <x:v>RENT</x:v>
      </x:c>
      <x:c r="K3350" t="str">
        <x:v>credit_card</x:v>
      </x:c>
      <x:c r="L3350" t="n">
        <x:v>0</x:v>
      </x:c>
      <x:c r="M3350" t="n">
        <x:v>1</x:v>
      </x:c>
      <x:c r="N3350" t="str">
        <x:v>Charged Off</x:v>
      </x:c>
      <x:c r="O3350" t="str">
        <x:f>IF(D3350="","Unknown",IF(D3350&lt;25000,"&lt;$25k",IF(D3350&lt;50000,"$25k-$50k",IF(D3350&lt;75000,"$50k-$75k",IF(D3350&lt;100000,"$75k-$100k","$100k+")))))</x:f>
        <x:v>&lt;$25k</x:v>
      </x:c>
      <x:c r="P3350" t="str">
        <x:f>IF(E3350="","Unknown",IF(E3350&lt;10,"&lt;10",IF(E3350&lt;20,"10-&lt;20",IF(E3350&lt;25,"20-&lt;25",IF(E3350&lt;35,"25-&lt;35","35+")))))</x:f>
        <x:v>35+</x:v>
      </x:c>
    </x:row>
    <x:row r="3351">
      <x:c r="A3351" t="str">
        <x:v>SYN0003350</x:v>
      </x:c>
      <x:c r="B3351" s="12" t="n">
        <x:v>42775</x:v>
      </x:c>
      <x:c r="C3351" s="18" t="n">
        <x:v>18566</x:v>
      </x:c>
      <x:c r="D3351" s="18" t="n">
        <x:v>111915</x:v>
      </x:c>
      <x:c r="E3351" s="18" t="n">
        <x:v>8.01</x:v>
      </x:c>
      <x:c r="F3351" s="18" t="n">
        <x:v>8.27</x:v>
      </x:c>
      <x:c r="G3351" t="n">
        <x:v>36</x:v>
      </x:c>
      <x:c r="H3351" t="str">
        <x:v>A</x:v>
      </x:c>
      <x:c r="I3351" t="str">
        <x:v>10+ years</x:v>
      </x:c>
      <x:c r="J3351" t="str">
        <x:v>RENT</x:v>
      </x:c>
      <x:c r="K3351" t="str">
        <x:v>other</x:v>
      </x:c>
      <x:c r="L3351" t="n">
        <x:v>0</x:v>
      </x:c>
      <x:c r="M3351" t="n">
        <x:v>0</x:v>
      </x:c>
      <x:c r="N3351" t="str">
        <x:v>Fully Paid</x:v>
      </x:c>
      <x:c r="O3351" t="str">
        <x:f>IF(D3351="","Unknown",IF(D3351&lt;25000,"&lt;$25k",IF(D3351&lt;50000,"$25k-$50k",IF(D3351&lt;75000,"$50k-$75k",IF(D3351&lt;100000,"$75k-$100k","$100k+")))))</x:f>
        <x:v>$100k+</x:v>
      </x:c>
      <x:c r="P3351" t="str">
        <x:f>IF(E3351="","Unknown",IF(E3351&lt;10,"&lt;10",IF(E3351&lt;20,"10-&lt;20",IF(E3351&lt;25,"20-&lt;25",IF(E3351&lt;35,"25-&lt;35","35+")))))</x:f>
        <x:v>&lt;10</x:v>
      </x:c>
    </x:row>
    <x:row r="3352">
      <x:c r="A3352" t="str">
        <x:v>SYN0003351</x:v>
      </x:c>
      <x:c r="B3352" s="12" t="n">
        <x:v>41995</x:v>
      </x:c>
      <x:c r="C3352" s="18" t="n">
        <x:v>22962</x:v>
      </x:c>
      <x:c r="D3352" s="18" t="n">
        <x:v>74584</x:v>
      </x:c>
      <x:c r="E3352" s="18" t="n">
        <x:v>4.87</x:v>
      </x:c>
      <x:c r="F3352" s="18" t="n">
        <x:v>18.21</x:v>
      </x:c>
      <x:c r="G3352" t="n">
        <x:v>36</x:v>
      </x:c>
      <x:c r="H3352" t="str">
        <x:v>D</x:v>
      </x:c>
      <x:c r="I3352" t="str">
        <x:v>1-3 years</x:v>
      </x:c>
      <x:c r="J3352" t="str">
        <x:v>RENT</x:v>
      </x:c>
      <x:c r="K3352" t="str">
        <x:v>debt_consolidation</x:v>
      </x:c>
      <x:c r="L3352" t="n">
        <x:v>2</x:v>
      </x:c>
      <x:c r="M3352" t="n">
        <x:v>0</x:v>
      </x:c>
      <x:c r="N3352" t="str">
        <x:v>Fully Paid</x:v>
      </x:c>
      <x:c r="O3352" t="str">
        <x:f>IF(D3352="","Unknown",IF(D3352&lt;25000,"&lt;$25k",IF(D3352&lt;50000,"$25k-$50k",IF(D3352&lt;75000,"$50k-$75k",IF(D3352&lt;100000,"$75k-$100k","$100k+")))))</x:f>
        <x:v>$50k-$75k</x:v>
      </x:c>
      <x:c r="P3352" t="str">
        <x:f>IF(E3352="","Unknown",IF(E3352&lt;10,"&lt;10",IF(E3352&lt;20,"10-&lt;20",IF(E3352&lt;25,"20-&lt;25",IF(E3352&lt;35,"25-&lt;35","35+")))))</x:f>
        <x:v>&lt;10</x:v>
      </x:c>
    </x:row>
    <x:row r="3353">
      <x:c r="A3353" t="str">
        <x:v>SYN0003352</x:v>
      </x:c>
      <x:c r="B3353" s="12" t="n">
        <x:v>42685</x:v>
      </x:c>
      <x:c r="C3353" s="18" t="n">
        <x:v>5421</x:v>
      </x:c>
      <x:c r="D3353" s="18" t="n">
        <x:v>71708</x:v>
      </x:c>
      <x:c r="E3353" s="18" t="n">
        <x:v>25.11</x:v>
      </x:c>
      <x:c r="F3353" s="18" t="n">
        <x:v>11.48</x:v>
      </x:c>
      <x:c r="G3353" t="n">
        <x:v>60</x:v>
      </x:c>
      <x:c r="H3353" t="str">
        <x:v>C</x:v>
      </x:c>
      <x:c r="I3353" t="str">
        <x:v>10+ years</x:v>
      </x:c>
      <x:c r="J3353" t="str">
        <x:v>RENT</x:v>
      </x:c>
      <x:c r="K3353" t="str">
        <x:v>debt_consolidation</x:v>
      </x:c>
      <x:c r="L3353" t="n">
        <x:v>0</x:v>
      </x:c>
      <x:c r="M3353" t="n">
        <x:v>0</x:v>
      </x:c>
      <x:c r="N3353" t="str">
        <x:v>Fully Paid</x:v>
      </x:c>
      <x:c r="O3353" t="str">
        <x:f>IF(D3353="","Unknown",IF(D3353&lt;25000,"&lt;$25k",IF(D3353&lt;50000,"$25k-$50k",IF(D3353&lt;75000,"$50k-$75k",IF(D3353&lt;100000,"$75k-$100k","$100k+")))))</x:f>
        <x:v>$50k-$75k</x:v>
      </x:c>
      <x:c r="P3353" t="str">
        <x:f>IF(E3353="","Unknown",IF(E3353&lt;10,"&lt;10",IF(E3353&lt;20,"10-&lt;20",IF(E3353&lt;25,"20-&lt;25",IF(E3353&lt;35,"25-&lt;35","35+")))))</x:f>
        <x:v>25-&lt;35</x:v>
      </x:c>
    </x:row>
    <x:row r="3354">
      <x:c r="A3354" t="str">
        <x:v>SYN0003353</x:v>
      </x:c>
      <x:c r="B3354" s="12" t="n">
        <x:v>41755</x:v>
      </x:c>
      <x:c r="C3354" s="18" t="n">
        <x:v>10092</x:v>
      </x:c>
      <x:c r="D3354" s="18" t="n">
        <x:v>24214</x:v>
      </x:c>
      <x:c r="E3354" s="18" t="n">
        <x:v>21.12</x:v>
      </x:c>
      <x:c r="F3354" s="18" t="n">
        <x:v>15.07</x:v>
      </x:c>
      <x:c r="G3354" t="n">
        <x:v>36</x:v>
      </x:c>
      <x:c r="H3354" t="str">
        <x:v>D</x:v>
      </x:c>
      <x:c r="I3354" t="str">
        <x:v>4-6 years</x:v>
      </x:c>
      <x:c r="J3354" t="str">
        <x:v>MORTGAGE</x:v>
      </x:c>
      <x:c r="K3354" t="str">
        <x:v>home_improvement</x:v>
      </x:c>
      <x:c r="L3354" t="n">
        <x:v>0</x:v>
      </x:c>
      <x:c r="M3354" t="n">
        <x:v>0</x:v>
      </x:c>
      <x:c r="N3354" t="str">
        <x:v>Fully Paid</x:v>
      </x:c>
      <x:c r="O3354" t="str">
        <x:f>IF(D3354="","Unknown",IF(D3354&lt;25000,"&lt;$25k",IF(D3354&lt;50000,"$25k-$50k",IF(D3354&lt;75000,"$50k-$75k",IF(D3354&lt;100000,"$75k-$100k","$100k+")))))</x:f>
        <x:v>&lt;$25k</x:v>
      </x:c>
      <x:c r="P3354" t="str">
        <x:f>IF(E3354="","Unknown",IF(E3354&lt;10,"&lt;10",IF(E3354&lt;20,"10-&lt;20",IF(E3354&lt;25,"20-&lt;25",IF(E3354&lt;35,"25-&lt;35","35+")))))</x:f>
        <x:v>20-&lt;25</x:v>
      </x:c>
    </x:row>
    <x:row r="3355">
      <x:c r="A3355" t="str">
        <x:v>SYN0003354</x:v>
      </x:c>
      <x:c r="B3355" s="12" t="n">
        <x:v>43285</x:v>
      </x:c>
      <x:c r="C3355" s="18" t="n">
        <x:v>8768</x:v>
      </x:c>
      <x:c r="D3355" s="18" t="n">
        <x:v>78584</x:v>
      </x:c>
      <x:c r="E3355" s="18" t="n">
        <x:v>23.33</x:v>
      </x:c>
      <x:c r="F3355" s="18" t="n">
        <x:v>7.85</x:v>
      </x:c>
      <x:c r="G3355" t="n">
        <x:v>60</x:v>
      </x:c>
      <x:c r="H3355" t="str">
        <x:v>B</x:v>
      </x:c>
      <x:c r="I3355" t="str">
        <x:v>7-9 years</x:v>
      </x:c>
      <x:c r="J3355" t="str">
        <x:v>MORTGAGE</x:v>
      </x:c>
      <x:c r="K3355" t="str">
        <x:v>home_improvement</x:v>
      </x:c>
      <x:c r="L3355" t="n">
        <x:v>1</x:v>
      </x:c>
      <x:c r="M3355" t="n">
        <x:v>0</x:v>
      </x:c>
      <x:c r="N3355" t="str">
        <x:v>Fully Paid</x:v>
      </x:c>
      <x:c r="O3355" t="str">
        <x:f>IF(D3355="","Unknown",IF(D3355&lt;25000,"&lt;$25k",IF(D3355&lt;50000,"$25k-$50k",IF(D3355&lt;75000,"$50k-$75k",IF(D3355&lt;100000,"$75k-$100k","$100k+")))))</x:f>
        <x:v>$75k-$100k</x:v>
      </x:c>
      <x:c r="P3355" t="str">
        <x:f>IF(E3355="","Unknown",IF(E3355&lt;10,"&lt;10",IF(E3355&lt;20,"10-&lt;20",IF(E3355&lt;25,"20-&lt;25",IF(E3355&lt;35,"25-&lt;35","35+")))))</x:f>
        <x:v>20-&lt;25</x:v>
      </x:c>
    </x:row>
    <x:row r="3356">
      <x:c r="A3356" t="str">
        <x:v>SYN0003355</x:v>
      </x:c>
      <x:c r="B3356" s="12" t="n">
        <x:v>41305</x:v>
      </x:c>
      <x:c r="C3356" s="18" t="n">
        <x:v>9385</x:v>
      </x:c>
      <x:c r="D3356" s="18" t="n">
        <x:v>30247</x:v>
      </x:c>
      <x:c r="E3356" s="18" t="n">
        <x:v>16.58</x:v>
      </x:c>
      <x:c r="F3356" s="18" t="n">
        <x:v>13.16</x:v>
      </x:c>
      <x:c r="G3356" t="n">
        <x:v>36</x:v>
      </x:c>
      <x:c r="H3356" t="str">
        <x:v>D</x:v>
      </x:c>
      <x:c r="I3356" t="str">
        <x:v>&lt;1 year</x:v>
      </x:c>
      <x:c r="J3356" t="str">
        <x:v>RENT</x:v>
      </x:c>
      <x:c r="K3356" t="str">
        <x:v>debt_consolidation</x:v>
      </x:c>
      <x:c r="L3356" t="n">
        <x:v>0</x:v>
      </x:c>
      <x:c r="M3356" t="n">
        <x:v>0</x:v>
      </x:c>
      <x:c r="N3356" t="str">
        <x:v>Fully Paid</x:v>
      </x:c>
      <x:c r="O3356" t="str">
        <x:f>IF(D3356="","Unknown",IF(D3356&lt;25000,"&lt;$25k",IF(D3356&lt;50000,"$25k-$50k",IF(D3356&lt;75000,"$50k-$75k",IF(D3356&lt;100000,"$75k-$100k","$100k+")))))</x:f>
        <x:v>$25k-$50k</x:v>
      </x:c>
      <x:c r="P3356" t="str">
        <x:f>IF(E3356="","Unknown",IF(E3356&lt;10,"&lt;10",IF(E3356&lt;20,"10-&lt;20",IF(E3356&lt;25,"20-&lt;25",IF(E3356&lt;35,"25-&lt;35","35+")))))</x:f>
        <x:v>10-&lt;20</x:v>
      </x:c>
    </x:row>
    <x:row r="3357">
      <x:c r="A3357" t="str">
        <x:v>SYN0003356</x:v>
      </x:c>
      <x:c r="B3357" s="12" t="n">
        <x:v>41545</x:v>
      </x:c>
      <x:c r="C3357" s="18" t="n">
        <x:v>21605</x:v>
      </x:c>
      <x:c r="D3357" s="18" t="n">
        <x:v>159718</x:v>
      </x:c>
      <x:c r="E3357" s="18" t="n">
        <x:v>16.77</x:v>
      </x:c>
      <x:c r="F3357" s="18" t="n">
        <x:v>10.51</x:v>
      </x:c>
      <x:c r="G3357" t="n">
        <x:v>36</x:v>
      </x:c>
      <x:c r="H3357" t="str">
        <x:v>C</x:v>
      </x:c>
      <x:c r="I3357" t="str">
        <x:v>10+ years</x:v>
      </x:c>
      <x:c r="J3357" t="str">
        <x:v>RENT</x:v>
      </x:c>
      <x:c r="K3357" t="str">
        <x:v>debt_consolidation</x:v>
      </x:c>
      <x:c r="L3357" t="n">
        <x:v>1</x:v>
      </x:c>
      <x:c r="M3357" t="n">
        <x:v>0</x:v>
      </x:c>
      <x:c r="N3357" t="str">
        <x:v>Fully Paid</x:v>
      </x:c>
      <x:c r="O3357" t="str">
        <x:f>IF(D3357="","Unknown",IF(D3357&lt;25000,"&lt;$25k",IF(D3357&lt;50000,"$25k-$50k",IF(D3357&lt;75000,"$50k-$75k",IF(D3357&lt;100000,"$75k-$100k","$100k+")))))</x:f>
        <x:v>$100k+</x:v>
      </x:c>
      <x:c r="P3357" t="str">
        <x:f>IF(E3357="","Unknown",IF(E3357&lt;10,"&lt;10",IF(E3357&lt;20,"10-&lt;20",IF(E3357&lt;25,"20-&lt;25",IF(E3357&lt;35,"25-&lt;35","35+")))))</x:f>
        <x:v>10-&lt;20</x:v>
      </x:c>
    </x:row>
    <x:row r="3358">
      <x:c r="A3358" t="str">
        <x:v>SYN0003357</x:v>
      </x:c>
      <x:c r="B3358" s="12" t="n">
        <x:v>41695</x:v>
      </x:c>
      <x:c r="C3358" s="18" t="n">
        <x:v>13986</x:v>
      </x:c>
      <x:c r="D3358" s="18" t="n">
        <x:v>27093</x:v>
      </x:c>
      <x:c r="E3358" s="18" t="n">
        <x:v>25.37</x:v>
      </x:c>
      <x:c r="F3358" s="18" t="n">
        <x:v>10.65</x:v>
      </x:c>
      <x:c r="G3358" t="n">
        <x:v>60</x:v>
      </x:c>
      <x:c r="H3358" t="str">
        <x:v>C</x:v>
      </x:c>
      <x:c r="I3358" t="str">
        <x:v>4-6 years</x:v>
      </x:c>
      <x:c r="J3358" t="str">
        <x:v>RENT</x:v>
      </x:c>
      <x:c r="K3358" t="str">
        <x:v>debt_consolidation</x:v>
      </x:c>
      <x:c r="L3358" t="n">
        <x:v>0</x:v>
      </x:c>
      <x:c r="M3358" t="n">
        <x:v>0</x:v>
      </x:c>
      <x:c r="N3358" t="str">
        <x:v>Fully Paid</x:v>
      </x:c>
      <x:c r="O3358" t="str">
        <x:f>IF(D3358="","Unknown",IF(D3358&lt;25000,"&lt;$25k",IF(D3358&lt;50000,"$25k-$50k",IF(D3358&lt;75000,"$50k-$75k",IF(D3358&lt;100000,"$75k-$100k","$100k+")))))</x:f>
        <x:v>$25k-$50k</x:v>
      </x:c>
      <x:c r="P3358" t="str">
        <x:f>IF(E3358="","Unknown",IF(E3358&lt;10,"&lt;10",IF(E3358&lt;20,"10-&lt;20",IF(E3358&lt;25,"20-&lt;25",IF(E3358&lt;35,"25-&lt;35","35+")))))</x:f>
        <x:v>25-&lt;35</x:v>
      </x:c>
    </x:row>
    <x:row r="3359">
      <x:c r="A3359" t="str">
        <x:v>SYN0003358</x:v>
      </x:c>
      <x:c r="B3359" s="12" t="n">
        <x:v>43315</x:v>
      </x:c>
      <x:c r="C3359" s="18" t="n">
        <x:v>5496</x:v>
      </x:c>
      <x:c r="D3359" s="18" t="n">
        <x:v>68245</x:v>
      </x:c>
      <x:c r="E3359" s="18" t="n">
        <x:v>37.57</x:v>
      </x:c>
      <x:c r="F3359" s="18" t="n">
        <x:v>5</x:v>
      </x:c>
      <x:c r="G3359" t="n">
        <x:v>60</x:v>
      </x:c>
      <x:c r="H3359" t="str">
        <x:v>A</x:v>
      </x:c>
      <x:c r="I3359" t="str">
        <x:v>7-9 years</x:v>
      </x:c>
      <x:c r="J3359" t="str">
        <x:v>RENT</x:v>
      </x:c>
      <x:c r="K3359" t="str">
        <x:v>debt_consolidation</x:v>
      </x:c>
      <x:c r="L3359" t="n">
        <x:v>0</x:v>
      </x:c>
      <x:c r="M3359" t="n">
        <x:v>0</x:v>
      </x:c>
      <x:c r="N3359" t="str">
        <x:v>Fully Paid</x:v>
      </x:c>
      <x:c r="O3359" t="str">
        <x:f>IF(D3359="","Unknown",IF(D3359&lt;25000,"&lt;$25k",IF(D3359&lt;50000,"$25k-$50k",IF(D3359&lt;75000,"$50k-$75k",IF(D3359&lt;100000,"$75k-$100k","$100k+")))))</x:f>
        <x:v>$50k-$75k</x:v>
      </x:c>
      <x:c r="P3359" t="str">
        <x:f>IF(E3359="","Unknown",IF(E3359&lt;10,"&lt;10",IF(E3359&lt;20,"10-&lt;20",IF(E3359&lt;25,"20-&lt;25",IF(E3359&lt;35,"25-&lt;35","35+")))))</x:f>
        <x:v>35+</x:v>
      </x:c>
    </x:row>
    <x:row r="3360">
      <x:c r="A3360" t="str">
        <x:v>SYN0003359</x:v>
      </x:c>
      <x:c r="B3360" s="12" t="n">
        <x:v>42445</x:v>
      </x:c>
      <x:c r="C3360" s="18" t="n">
        <x:v>23508</x:v>
      </x:c>
      <x:c r="D3360" s="18" t="n">
        <x:v>21746</x:v>
      </x:c>
      <x:c r="E3360" s="18" t="n">
        <x:v>21.28</x:v>
      </x:c>
      <x:c r="F3360" s="18" t="n">
        <x:v>19.48</x:v>
      </x:c>
      <x:c r="G3360" t="n">
        <x:v>60</x:v>
      </x:c>
      <x:c r="H3360" t="str">
        <x:v>E</x:v>
      </x:c>
      <x:c r="I3360" t="str">
        <x:v>7-9 years</x:v>
      </x:c>
      <x:c r="J3360" t="str">
        <x:v>MORTGAGE</x:v>
      </x:c>
      <x:c r="K3360" t="str">
        <x:v>other</x:v>
      </x:c>
      <x:c r="L3360" t="n">
        <x:v>1</x:v>
      </x:c>
      <x:c r="M3360" t="n">
        <x:v>0</x:v>
      </x:c>
      <x:c r="N3360" t="str">
        <x:v>Fully Paid</x:v>
      </x:c>
      <x:c r="O3360" t="str">
        <x:f>IF(D3360="","Unknown",IF(D3360&lt;25000,"&lt;$25k",IF(D3360&lt;50000,"$25k-$50k",IF(D3360&lt;75000,"$50k-$75k",IF(D3360&lt;100000,"$75k-$100k","$100k+")))))</x:f>
        <x:v>&lt;$25k</x:v>
      </x:c>
      <x:c r="P3360" t="str">
        <x:f>IF(E3360="","Unknown",IF(E3360&lt;10,"&lt;10",IF(E3360&lt;20,"10-&lt;20",IF(E3360&lt;25,"20-&lt;25",IF(E3360&lt;35,"25-&lt;35","35+")))))</x:f>
        <x:v>20-&lt;25</x:v>
      </x:c>
    </x:row>
    <x:row r="3361">
      <x:c r="A3361" t="str">
        <x:v>SYN0003360</x:v>
      </x:c>
      <x:c r="B3361" s="12" t="n">
        <x:v>42865</x:v>
      </x:c>
      <x:c r="C3361" s="18" t="n">
        <x:v>7567</x:v>
      </x:c>
      <x:c r="D3361" s="18" t="n">
        <x:v>78531</x:v>
      </x:c>
      <x:c r="E3361" s="18" t="n">
        <x:v>9.89</x:v>
      </x:c>
      <x:c r="F3361" s="18" t="n">
        <x:v>10.26</x:v>
      </x:c>
      <x:c r="G3361" t="n">
        <x:v>36</x:v>
      </x:c>
      <x:c r="H3361" t="str">
        <x:v>A</x:v>
      </x:c>
      <x:c r="I3361" t="str">
        <x:v>1-3 years</x:v>
      </x:c>
      <x:c r="J3361" t="str">
        <x:v>RENT</x:v>
      </x:c>
      <x:c r="K3361" t="str">
        <x:v>other</x:v>
      </x:c>
      <x:c r="L3361" t="n">
        <x:v>0</x:v>
      </x:c>
      <x:c r="M3361" t="n">
        <x:v>0</x:v>
      </x:c>
      <x:c r="N3361" t="str">
        <x:v>Fully Paid</x:v>
      </x:c>
      <x:c r="O3361" t="str">
        <x:f>IF(D3361="","Unknown",IF(D3361&lt;25000,"&lt;$25k",IF(D3361&lt;50000,"$25k-$50k",IF(D3361&lt;75000,"$50k-$75k",IF(D3361&lt;100000,"$75k-$100k","$100k+")))))</x:f>
        <x:v>$75k-$100k</x:v>
      </x:c>
      <x:c r="P3361" t="str">
        <x:f>IF(E3361="","Unknown",IF(E3361&lt;10,"&lt;10",IF(E3361&lt;20,"10-&lt;20",IF(E3361&lt;25,"20-&lt;25",IF(E3361&lt;35,"25-&lt;35","35+")))))</x:f>
        <x:v>&lt;10</x:v>
      </x:c>
    </x:row>
    <x:row r="3362">
      <x:c r="A3362" t="str">
        <x:v>SYN0003361</x:v>
      </x:c>
      <x:c r="B3362" s="12" t="n">
        <x:v>41815</x:v>
      </x:c>
      <x:c r="C3362" s="18" t="n">
        <x:v>16008</x:v>
      </x:c>
      <x:c r="D3362" s="18" t="n">
        <x:v>23825</x:v>
      </x:c>
      <x:c r="E3362" s="18" t="n">
        <x:v>26.75</x:v>
      </x:c>
      <x:c r="F3362" s="18" t="n">
        <x:v>6.92</x:v>
      </x:c>
      <x:c r="G3362" t="n">
        <x:v>36</x:v>
      </x:c>
      <x:c r="H3362" t="str">
        <x:v>A</x:v>
      </x:c>
      <x:c r="I3362" t="str">
        <x:v>1-3 years</x:v>
      </x:c>
      <x:c r="J3362" t="str">
        <x:v>MORTGAGE</x:v>
      </x:c>
      <x:c r="K3362" t="str">
        <x:v>debt_consolidation</x:v>
      </x:c>
      <x:c r="L3362" t="n">
        <x:v>0</x:v>
      </x:c>
      <x:c r="M3362" t="n">
        <x:v>0</x:v>
      </x:c>
      <x:c r="N3362" t="str">
        <x:v>Fully Paid</x:v>
      </x:c>
      <x:c r="O3362" t="str">
        <x:f>IF(D3362="","Unknown",IF(D3362&lt;25000,"&lt;$25k",IF(D3362&lt;50000,"$25k-$50k",IF(D3362&lt;75000,"$50k-$75k",IF(D3362&lt;100000,"$75k-$100k","$100k+")))))</x:f>
        <x:v>&lt;$25k</x:v>
      </x:c>
      <x:c r="P3362" t="str">
        <x:f>IF(E3362="","Unknown",IF(E3362&lt;10,"&lt;10",IF(E3362&lt;20,"10-&lt;20",IF(E3362&lt;25,"20-&lt;25",IF(E3362&lt;35,"25-&lt;35","35+")))))</x:f>
        <x:v>25-&lt;35</x:v>
      </x:c>
    </x:row>
    <x:row r="3363">
      <x:c r="A3363" t="str">
        <x:v>SYN0003362</x:v>
      </x:c>
      <x:c r="B3363" s="12" t="n">
        <x:v>42595</x:v>
      </x:c>
      <x:c r="C3363" s="18" t="n">
        <x:v>8399</x:v>
      </x:c>
      <x:c r="D3363" s="18" t="n">
        <x:v>38092</x:v>
      </x:c>
      <x:c r="E3363" s="18" t="n">
        <x:v>0.53</x:v>
      </x:c>
      <x:c r="F3363" s="18" t="n">
        <x:v>12.78</x:v>
      </x:c>
      <x:c r="G3363" t="n">
        <x:v>36</x:v>
      </x:c>
      <x:c r="H3363" t="str">
        <x:v>C</x:v>
      </x:c>
      <x:c r="I3363" t="str">
        <x:v>10+ years</x:v>
      </x:c>
      <x:c r="J3363" t="str">
        <x:v>RENT</x:v>
      </x:c>
      <x:c r="K3363" t="str">
        <x:v>home_improvement</x:v>
      </x:c>
      <x:c r="L3363" t="n">
        <x:v>2</x:v>
      </x:c>
      <x:c r="M3363" t="n">
        <x:v>0</x:v>
      </x:c>
      <x:c r="N3363" t="str">
        <x:v>Fully Paid</x:v>
      </x:c>
      <x:c r="O3363" t="str">
        <x:f>IF(D3363="","Unknown",IF(D3363&lt;25000,"&lt;$25k",IF(D3363&lt;50000,"$25k-$50k",IF(D3363&lt;75000,"$50k-$75k",IF(D3363&lt;100000,"$75k-$100k","$100k+")))))</x:f>
        <x:v>$25k-$50k</x:v>
      </x:c>
      <x:c r="P3363" t="str">
        <x:f>IF(E3363="","Unknown",IF(E3363&lt;10,"&lt;10",IF(E3363&lt;20,"10-&lt;20",IF(E3363&lt;25,"20-&lt;25",IF(E3363&lt;35,"25-&lt;35","35+")))))</x:f>
        <x:v>&lt;10</x:v>
      </x:c>
    </x:row>
    <x:row r="3364">
      <x:c r="A3364" t="str">
        <x:v>SYN0003363</x:v>
      </x:c>
      <x:c r="B3364" s="12" t="n">
        <x:v>42595</x:v>
      </x:c>
      <x:c r="C3364" s="18" t="n">
        <x:v>9260</x:v>
      </x:c>
      <x:c r="D3364" s="18" t="n">
        <x:v>45811</x:v>
      </x:c>
      <x:c r="E3364" s="18" t="n">
        <x:v>27.73</x:v>
      </x:c>
      <x:c r="F3364" s="18" t="n">
        <x:v>8.48</x:v>
      </x:c>
      <x:c r="G3364" t="n">
        <x:v>36</x:v>
      </x:c>
      <x:c r="H3364" t="str">
        <x:v>B</x:v>
      </x:c>
      <x:c r="I3364" t="str">
        <x:v>10+ years</x:v>
      </x:c>
      <x:c r="J3364" t="str">
        <x:v>MORTGAGE</x:v>
      </x:c>
      <x:c r="K3364" t="str">
        <x:v>debt_consolidation</x:v>
      </x:c>
      <x:c r="L3364" t="n">
        <x:v>0</x:v>
      </x:c>
      <x:c r="M3364" t="n">
        <x:v>0</x:v>
      </x:c>
      <x:c r="N3364" t="str">
        <x:v>Fully Paid</x:v>
      </x:c>
      <x:c r="O3364" t="str">
        <x:f>IF(D3364="","Unknown",IF(D3364&lt;25000,"&lt;$25k",IF(D3364&lt;50000,"$25k-$50k",IF(D3364&lt;75000,"$50k-$75k",IF(D3364&lt;100000,"$75k-$100k","$100k+")))))</x:f>
        <x:v>$25k-$50k</x:v>
      </x:c>
      <x:c r="P3364" t="str">
        <x:f>IF(E3364="","Unknown",IF(E3364&lt;10,"&lt;10",IF(E3364&lt;20,"10-&lt;20",IF(E3364&lt;25,"20-&lt;25",IF(E3364&lt;35,"25-&lt;35","35+")))))</x:f>
        <x:v>25-&lt;35</x:v>
      </x:c>
    </x:row>
    <x:row r="3365">
      <x:c r="A3365" t="str">
        <x:v>SYN0003364</x:v>
      </x:c>
      <x:c r="B3365" s="12" t="n">
        <x:v>42505</x:v>
      </x:c>
      <x:c r="C3365" s="18" t="n">
        <x:v>14141</x:v>
      </x:c>
      <x:c r="D3365" s="18" t="n">
        <x:v>114049</x:v>
      </x:c>
      <x:c r="E3365" s="18" t="n">
        <x:v>16.04</x:v>
      </x:c>
      <x:c r="F3365" s="18" t="n">
        <x:v>19.9</x:v>
      </x:c>
      <x:c r="G3365" t="n">
        <x:v>36</x:v>
      </x:c>
      <x:c r="H3365" t="str">
        <x:v>E</x:v>
      </x:c>
      <x:c r="I3365" t="str">
        <x:v>4-6 years</x:v>
      </x:c>
      <x:c r="J3365" t="str">
        <x:v>RENT</x:v>
      </x:c>
      <x:c r="K3365" t="str">
        <x:v>credit_card</x:v>
      </x:c>
      <x:c r="L3365" t="n">
        <x:v>1</x:v>
      </x:c>
      <x:c r="M3365" t="n">
        <x:v>0</x:v>
      </x:c>
      <x:c r="N3365" t="str">
        <x:v>Fully Paid</x:v>
      </x:c>
      <x:c r="O3365" t="str">
        <x:f>IF(D3365="","Unknown",IF(D3365&lt;25000,"&lt;$25k",IF(D3365&lt;50000,"$25k-$50k",IF(D3365&lt;75000,"$50k-$75k",IF(D3365&lt;100000,"$75k-$100k","$100k+")))))</x:f>
        <x:v>$100k+</x:v>
      </x:c>
      <x:c r="P3365" t="str">
        <x:f>IF(E3365="","Unknown",IF(E3365&lt;10,"&lt;10",IF(E3365&lt;20,"10-&lt;20",IF(E3365&lt;25,"20-&lt;25",IF(E3365&lt;35,"25-&lt;35","35+")))))</x:f>
        <x:v>10-&lt;20</x:v>
      </x:c>
    </x:row>
    <x:row r="3366">
      <x:c r="A3366" t="str">
        <x:v>SYN0003365</x:v>
      </x:c>
      <x:c r="B3366" s="12" t="n">
        <x:v>41935</x:v>
      </x:c>
      <x:c r="C3366" s="18" t="n">
        <x:v>22642</x:v>
      </x:c>
      <x:c r="D3366" s="18" t="n">
        <x:v>100889</x:v>
      </x:c>
      <x:c r="E3366" s="18" t="n">
        <x:v>22.37</x:v>
      </x:c>
      <x:c r="F3366" s="18" t="n">
        <x:v>22.49</x:v>
      </x:c>
      <x:c r="G3366" t="n">
        <x:v>36</x:v>
      </x:c>
      <x:c r="H3366" t="str">
        <x:v>F</x:v>
      </x:c>
      <x:c r="I3366" t="str">
        <x:v>1-3 years</x:v>
      </x:c>
      <x:c r="J3366" t="str">
        <x:v>MORTGAGE</x:v>
      </x:c>
      <x:c r="K3366" t="str">
        <x:v>debt_consolidation</x:v>
      </x:c>
      <x:c r="L3366" t="n">
        <x:v>0</x:v>
      </x:c>
      <x:c r="M3366" t="n">
        <x:v>0</x:v>
      </x:c>
      <x:c r="N3366" t="str">
        <x:v>Fully Paid</x:v>
      </x:c>
      <x:c r="O3366" t="str">
        <x:f>IF(D3366="","Unknown",IF(D3366&lt;25000,"&lt;$25k",IF(D3366&lt;50000,"$25k-$50k",IF(D3366&lt;75000,"$50k-$75k",IF(D3366&lt;100000,"$75k-$100k","$100k+")))))</x:f>
        <x:v>$100k+</x:v>
      </x:c>
      <x:c r="P3366" t="str">
        <x:f>IF(E3366="","Unknown",IF(E3366&lt;10,"&lt;10",IF(E3366&lt;20,"10-&lt;20",IF(E3366&lt;25,"20-&lt;25",IF(E3366&lt;35,"25-&lt;35","35+")))))</x:f>
        <x:v>20-&lt;25</x:v>
      </x:c>
    </x:row>
    <x:row r="3367">
      <x:c r="A3367" t="str">
        <x:v>SYN0003366</x:v>
      </x:c>
      <x:c r="B3367" s="12" t="n">
        <x:v>43075</x:v>
      </x:c>
      <x:c r="C3367" s="18" t="n">
        <x:v>25549</x:v>
      </x:c>
      <x:c r="D3367" s="18" t="n">
        <x:v>34176</x:v>
      </x:c>
      <x:c r="E3367" s="18" t="n">
        <x:v>23.21</x:v>
      </x:c>
      <x:c r="F3367" s="18" t="n">
        <x:v>9.82</x:v>
      </x:c>
      <x:c r="G3367" t="n">
        <x:v>36</x:v>
      </x:c>
      <x:c r="H3367" t="str">
        <x:v>C</x:v>
      </x:c>
      <x:c r="I3367" t="str">
        <x:v>4-6 years</x:v>
      </x:c>
      <x:c r="J3367" t="str">
        <x:v>RENT</x:v>
      </x:c>
      <x:c r="K3367" t="str">
        <x:v>home_improvement</x:v>
      </x:c>
      <x:c r="L3367" t="n">
        <x:v>0</x:v>
      </x:c>
      <x:c r="M3367" t="n">
        <x:v>0</x:v>
      </x:c>
      <x:c r="N3367" t="str">
        <x:v>Fully Paid</x:v>
      </x:c>
      <x:c r="O3367" t="str">
        <x:f>IF(D3367="","Unknown",IF(D3367&lt;25000,"&lt;$25k",IF(D3367&lt;50000,"$25k-$50k",IF(D3367&lt;75000,"$50k-$75k",IF(D3367&lt;100000,"$75k-$100k","$100k+")))))</x:f>
        <x:v>$25k-$50k</x:v>
      </x:c>
      <x:c r="P3367" t="str">
        <x:f>IF(E3367="","Unknown",IF(E3367&lt;10,"&lt;10",IF(E3367&lt;20,"10-&lt;20",IF(E3367&lt;25,"20-&lt;25",IF(E3367&lt;35,"25-&lt;35","35+")))))</x:f>
        <x:v>20-&lt;25</x:v>
      </x:c>
    </x:row>
    <x:row r="3368">
      <x:c r="A3368" t="str">
        <x:v>SYN0003367</x:v>
      </x:c>
      <x:c r="B3368" s="12" t="n">
        <x:v>43375</x:v>
      </x:c>
      <x:c r="C3368" s="18" t="n">
        <x:v>14294</x:v>
      </x:c>
      <x:c r="D3368" s="18" t="n">
        <x:v>105188</x:v>
      </x:c>
      <x:c r="E3368" s="18" t="n">
        <x:v>19.13</x:v>
      </x:c>
      <x:c r="F3368" s="18" t="n">
        <x:v>19.24</x:v>
      </x:c>
      <x:c r="G3368" t="n">
        <x:v>60</x:v>
      </x:c>
      <x:c r="H3368" t="str">
        <x:v>E</x:v>
      </x:c>
      <x:c r="I3368" t="str">
        <x:v>4-6 years</x:v>
      </x:c>
      <x:c r="J3368" t="str">
        <x:v>MORTGAGE</x:v>
      </x:c>
      <x:c r="K3368" t="str">
        <x:v>debt_consolidation</x:v>
      </x:c>
      <x:c r="L3368" t="n">
        <x:v>0</x:v>
      </x:c>
      <x:c r="M3368" t="n">
        <x:v>0</x:v>
      </x:c>
      <x:c r="N3368" t="str">
        <x:v>Fully Paid</x:v>
      </x:c>
      <x:c r="O3368" t="str">
        <x:f>IF(D3368="","Unknown",IF(D3368&lt;25000,"&lt;$25k",IF(D3368&lt;50000,"$25k-$50k",IF(D3368&lt;75000,"$50k-$75k",IF(D3368&lt;100000,"$75k-$100k","$100k+")))))</x:f>
        <x:v>$100k+</x:v>
      </x:c>
      <x:c r="P3368" t="str">
        <x:f>IF(E3368="","Unknown",IF(E3368&lt;10,"&lt;10",IF(E3368&lt;20,"10-&lt;20",IF(E3368&lt;25,"20-&lt;25",IF(E3368&lt;35,"25-&lt;35","35+")))))</x:f>
        <x:v>10-&lt;20</x:v>
      </x:c>
    </x:row>
    <x:row r="3369">
      <x:c r="A3369" t="str">
        <x:v>SYN0003368</x:v>
      </x:c>
      <x:c r="B3369" s="12" t="n">
        <x:v>42265</x:v>
      </x:c>
      <x:c r="C3369" s="18" t="n">
        <x:v>11095</x:v>
      </x:c>
      <x:c r="D3369" s="18" t="n">
        <x:v>35859</x:v>
      </x:c>
      <x:c r="E3369" s="18" t="n">
        <x:v>24.43</x:v>
      </x:c>
      <x:c r="F3369" s="18" t="n">
        <x:v>9.71</x:v>
      </x:c>
      <x:c r="G3369" t="n">
        <x:v>36</x:v>
      </x:c>
      <x:c r="H3369" t="str">
        <x:v>C</x:v>
      </x:c>
      <x:c r="I3369" t="str">
        <x:v>10+ years</x:v>
      </x:c>
      <x:c r="J3369" t="str">
        <x:v>OWN</x:v>
      </x:c>
      <x:c r="K3369" t="str">
        <x:v>credit_card</x:v>
      </x:c>
      <x:c r="L3369" t="n">
        <x:v>0</x:v>
      </x:c>
      <x:c r="M3369" t="n">
        <x:v>0</x:v>
      </x:c>
      <x:c r="N3369" t="str">
        <x:v>Fully Paid</x:v>
      </x:c>
      <x:c r="O3369" t="str">
        <x:f>IF(D3369="","Unknown",IF(D3369&lt;25000,"&lt;$25k",IF(D3369&lt;50000,"$25k-$50k",IF(D3369&lt;75000,"$50k-$75k",IF(D3369&lt;100000,"$75k-$100k","$100k+")))))</x:f>
        <x:v>$25k-$50k</x:v>
      </x:c>
      <x:c r="P3369" t="str">
        <x:f>IF(E3369="","Unknown",IF(E3369&lt;10,"&lt;10",IF(E3369&lt;20,"10-&lt;20",IF(E3369&lt;25,"20-&lt;25",IF(E3369&lt;35,"25-&lt;35","35+")))))</x:f>
        <x:v>20-&lt;25</x:v>
      </x:c>
    </x:row>
    <x:row r="3370">
      <x:c r="A3370" t="str">
        <x:v>SYN0003369</x:v>
      </x:c>
      <x:c r="B3370" s="12" t="n">
        <x:v>43315</x:v>
      </x:c>
      <x:c r="C3370" s="18" t="n">
        <x:v>13181</x:v>
      </x:c>
      <x:c r="D3370" s="18" t="n">
        <x:v>54680</x:v>
      </x:c>
      <x:c r="E3370" s="18" t="n">
        <x:v>27.2</x:v>
      </x:c>
      <x:c r="F3370" s="18" t="n">
        <x:v>26.95</x:v>
      </x:c>
      <x:c r="G3370" t="n">
        <x:v>36</x:v>
      </x:c>
      <x:c r="H3370" t="str">
        <x:v>G</x:v>
      </x:c>
      <x:c r="I3370" t="str">
        <x:v>10+ years</x:v>
      </x:c>
      <x:c r="J3370" t="str">
        <x:v>MORTGAGE</x:v>
      </x:c>
      <x:c r="K3370" t="str">
        <x:v>debt_consolidation</x:v>
      </x:c>
      <x:c r="L3370" t="n">
        <x:v>1</x:v>
      </x:c>
      <x:c r="M3370" t="n">
        <x:v>0</x:v>
      </x:c>
      <x:c r="N3370" t="str">
        <x:v>Fully Paid</x:v>
      </x:c>
      <x:c r="O3370" t="str">
        <x:f>IF(D3370="","Unknown",IF(D3370&lt;25000,"&lt;$25k",IF(D3370&lt;50000,"$25k-$50k",IF(D3370&lt;75000,"$50k-$75k",IF(D3370&lt;100000,"$75k-$100k","$100k+")))))</x:f>
        <x:v>$50k-$75k</x:v>
      </x:c>
      <x:c r="P3370" t="str">
        <x:f>IF(E3370="","Unknown",IF(E3370&lt;10,"&lt;10",IF(E3370&lt;20,"10-&lt;20",IF(E3370&lt;25,"20-&lt;25",IF(E3370&lt;35,"25-&lt;35","35+")))))</x:f>
        <x:v>25-&lt;35</x:v>
      </x:c>
    </x:row>
    <x:row r="3371">
      <x:c r="A3371" t="str">
        <x:v>SYN0003370</x:v>
      </x:c>
      <x:c r="B3371" s="12" t="n">
        <x:v>41995</x:v>
      </x:c>
      <x:c r="C3371" s="18" t="n">
        <x:v>6096</x:v>
      </x:c>
      <x:c r="D3371" s="18" t="n">
        <x:v>98225</x:v>
      </x:c>
      <x:c r="E3371" s="18" t="n">
        <x:v>22.23</x:v>
      </x:c>
      <x:c r="F3371" s="18" t="n">
        <x:v>13.36</x:v>
      </x:c>
      <x:c r="G3371" t="n">
        <x:v>36</x:v>
      </x:c>
      <x:c r="H3371" t="str">
        <x:v>D</x:v>
      </x:c>
      <x:c r="I3371" t="str">
        <x:v>7-9 years</x:v>
      </x:c>
      <x:c r="J3371" t="str">
        <x:v>OWN</x:v>
      </x:c>
      <x:c r="K3371" t="str">
        <x:v>credit_card</x:v>
      </x:c>
      <x:c r="L3371" t="n">
        <x:v>1</x:v>
      </x:c>
      <x:c r="M3371" t="n">
        <x:v>0</x:v>
      </x:c>
      <x:c r="N3371" t="str">
        <x:v>Fully Paid</x:v>
      </x:c>
      <x:c r="O3371" t="str">
        <x:f>IF(D3371="","Unknown",IF(D3371&lt;25000,"&lt;$25k",IF(D3371&lt;50000,"$25k-$50k",IF(D3371&lt;75000,"$50k-$75k",IF(D3371&lt;100000,"$75k-$100k","$100k+")))))</x:f>
        <x:v>$75k-$100k</x:v>
      </x:c>
      <x:c r="P3371" t="str">
        <x:f>IF(E3371="","Unknown",IF(E3371&lt;10,"&lt;10",IF(E3371&lt;20,"10-&lt;20",IF(E3371&lt;25,"20-&lt;25",IF(E3371&lt;35,"25-&lt;35","35+")))))</x:f>
        <x:v>20-&lt;25</x:v>
      </x:c>
    </x:row>
    <x:row r="3372">
      <x:c r="A3372" t="str">
        <x:v>SYN0003371</x:v>
      </x:c>
      <x:c r="B3372" s="12" t="n">
        <x:v>43195</x:v>
      </x:c>
      <x:c r="C3372" s="18" t="n">
        <x:v>25903</x:v>
      </x:c>
      <x:c r="D3372" s="18" t="n">
        <x:v>65603</x:v>
      </x:c>
      <x:c r="E3372" s="18" t="n">
        <x:v>18.51</x:v>
      </x:c>
      <x:c r="F3372" s="18" t="n">
        <x:v>8.93</x:v>
      </x:c>
      <x:c r="G3372" t="n">
        <x:v>60</x:v>
      </x:c>
      <x:c r="H3372" t="str">
        <x:v>A</x:v>
      </x:c>
      <x:c r="I3372" t="str">
        <x:v>7-9 years</x:v>
      </x:c>
      <x:c r="J3372" t="str">
        <x:v>MORTGAGE</x:v>
      </x:c>
      <x:c r="K3372" t="str">
        <x:v>debt_consolidation</x:v>
      </x:c>
      <x:c r="L3372" t="n">
        <x:v>1</x:v>
      </x:c>
      <x:c r="M3372" t="n">
        <x:v>0</x:v>
      </x:c>
      <x:c r="N3372" t="str">
        <x:v>Fully Paid</x:v>
      </x:c>
      <x:c r="O3372" t="str">
        <x:f>IF(D3372="","Unknown",IF(D3372&lt;25000,"&lt;$25k",IF(D3372&lt;50000,"$25k-$50k",IF(D3372&lt;75000,"$50k-$75k",IF(D3372&lt;100000,"$75k-$100k","$100k+")))))</x:f>
        <x:v>$50k-$75k</x:v>
      </x:c>
      <x:c r="P3372" t="str">
        <x:f>IF(E3372="","Unknown",IF(E3372&lt;10,"&lt;10",IF(E3372&lt;20,"10-&lt;20",IF(E3372&lt;25,"20-&lt;25",IF(E3372&lt;35,"25-&lt;35","35+")))))</x:f>
        <x:v>10-&lt;20</x:v>
      </x:c>
    </x:row>
    <x:row r="3373">
      <x:c r="A3373" t="str">
        <x:v>SYN0003372</x:v>
      </x:c>
      <x:c r="B3373" s="12" t="n">
        <x:v>42385</x:v>
      </x:c>
      <x:c r="C3373" s="18" t="n">
        <x:v>11158</x:v>
      </x:c>
      <x:c r="D3373" s="18" t="n">
        <x:v>65028</x:v>
      </x:c>
      <x:c r="E3373" s="18" t="n">
        <x:v>4.16</x:v>
      </x:c>
      <x:c r="F3373" s="18" t="n">
        <x:v>9.77</x:v>
      </x:c>
      <x:c r="G3373" t="n">
        <x:v>60</x:v>
      </x:c>
      <x:c r="H3373" t="str">
        <x:v>A</x:v>
      </x:c>
      <x:c r="I3373" t="str">
        <x:v>1-3 years</x:v>
      </x:c>
      <x:c r="J3373" t="str">
        <x:v>RENT</x:v>
      </x:c>
      <x:c r="K3373" t="str">
        <x:v>other</x:v>
      </x:c>
      <x:c r="L3373" t="n">
        <x:v>0</x:v>
      </x:c>
      <x:c r="M3373" t="n">
        <x:v>0</x:v>
      </x:c>
      <x:c r="N3373" t="str">
        <x:v>Fully Paid</x:v>
      </x:c>
      <x:c r="O3373" t="str">
        <x:f>IF(D3373="","Unknown",IF(D3373&lt;25000,"&lt;$25k",IF(D3373&lt;50000,"$25k-$50k",IF(D3373&lt;75000,"$50k-$75k",IF(D3373&lt;100000,"$75k-$100k","$100k+")))))</x:f>
        <x:v>$50k-$75k</x:v>
      </x:c>
      <x:c r="P3373" t="str">
        <x:f>IF(E3373="","Unknown",IF(E3373&lt;10,"&lt;10",IF(E3373&lt;20,"10-&lt;20",IF(E3373&lt;25,"20-&lt;25",IF(E3373&lt;35,"25-&lt;35","35+")))))</x:f>
        <x:v>&lt;10</x:v>
      </x:c>
    </x:row>
    <x:row r="3374">
      <x:c r="A3374" t="str">
        <x:v>SYN0003373</x:v>
      </x:c>
      <x:c r="B3374" s="12" t="n">
        <x:v>41965</x:v>
      </x:c>
      <x:c r="C3374" s="18" t="n">
        <x:v>10399</x:v>
      </x:c>
      <x:c r="D3374" s="18" t="n">
        <x:v>52629</x:v>
      </x:c>
      <x:c r="E3374" s="18" t="n">
        <x:v>28.25</x:v>
      </x:c>
      <x:c r="F3374" s="18" t="n">
        <x:v>17.23</x:v>
      </x:c>
      <x:c r="G3374" t="n">
        <x:v>36</x:v>
      </x:c>
      <x:c r="H3374" t="str">
        <x:v>E</x:v>
      </x:c>
      <x:c r="I3374" t="str">
        <x:v>7-9 years</x:v>
      </x:c>
      <x:c r="J3374" t="str">
        <x:v>RENT</x:v>
      </x:c>
      <x:c r="K3374" t="str">
        <x:v>debt_consolidation</x:v>
      </x:c>
      <x:c r="L3374" t="n">
        <x:v>1</x:v>
      </x:c>
      <x:c r="M3374" t="n">
        <x:v>0</x:v>
      </x:c>
      <x:c r="N3374" t="str">
        <x:v>Fully Paid</x:v>
      </x:c>
      <x:c r="O3374" t="str">
        <x:f>IF(D3374="","Unknown",IF(D3374&lt;25000,"&lt;$25k",IF(D3374&lt;50000,"$25k-$50k",IF(D3374&lt;75000,"$50k-$75k",IF(D3374&lt;100000,"$75k-$100k","$100k+")))))</x:f>
        <x:v>$50k-$75k</x:v>
      </x:c>
      <x:c r="P3374" t="str">
        <x:f>IF(E3374="","Unknown",IF(E3374&lt;10,"&lt;10",IF(E3374&lt;20,"10-&lt;20",IF(E3374&lt;25,"20-&lt;25",IF(E3374&lt;35,"25-&lt;35","35+")))))</x:f>
        <x:v>25-&lt;35</x:v>
      </x:c>
    </x:row>
    <x:row r="3375">
      <x:c r="A3375" t="str">
        <x:v>SYN0003374</x:v>
      </x:c>
      <x:c r="B3375" s="12" t="n">
        <x:v>41305</x:v>
      </x:c>
      <x:c r="C3375" s="18" t="n">
        <x:v>14728</x:v>
      </x:c>
      <x:c r="D3375" s="18" t="n">
        <x:v>39064</x:v>
      </x:c>
      <x:c r="E3375" s="18" t="n">
        <x:v>19.96</x:v>
      </x:c>
      <x:c r="F3375" s="18" t="n">
        <x:v>14.08</x:v>
      </x:c>
      <x:c r="G3375" t="n">
        <x:v>36</x:v>
      </x:c>
      <x:c r="H3375" t="str">
        <x:v>C</x:v>
      </x:c>
      <x:c r="I3375" t="str">
        <x:v>4-6 years</x:v>
      </x:c>
      <x:c r="J3375" t="str">
        <x:v>MORTGAGE</x:v>
      </x:c>
      <x:c r="K3375" t="str">
        <x:v>debt_consolidation</x:v>
      </x:c>
      <x:c r="L3375" t="n">
        <x:v>1</x:v>
      </x:c>
      <x:c r="M3375" t="n">
        <x:v>0</x:v>
      </x:c>
      <x:c r="N3375" t="str">
        <x:v>Fully Paid</x:v>
      </x:c>
      <x:c r="O3375" t="str">
        <x:f>IF(D3375="","Unknown",IF(D3375&lt;25000,"&lt;$25k",IF(D3375&lt;50000,"$25k-$50k",IF(D3375&lt;75000,"$50k-$75k",IF(D3375&lt;100000,"$75k-$100k","$100k+")))))</x:f>
        <x:v>$25k-$50k</x:v>
      </x:c>
      <x:c r="P3375" t="str">
        <x:f>IF(E3375="","Unknown",IF(E3375&lt;10,"&lt;10",IF(E3375&lt;20,"10-&lt;20",IF(E3375&lt;25,"20-&lt;25",IF(E3375&lt;35,"25-&lt;35","35+")))))</x:f>
        <x:v>10-&lt;20</x:v>
      </x:c>
    </x:row>
    <x:row r="3376">
      <x:c r="A3376" t="str">
        <x:v>SYN0003375</x:v>
      </x:c>
      <x:c r="B3376" s="12" t="n">
        <x:v>41515</x:v>
      </x:c>
      <x:c r="C3376" s="18" t="n">
        <x:v>9985</x:v>
      </x:c>
      <x:c r="D3376" s="18" t="n">
        <x:v>42426</x:v>
      </x:c>
      <x:c r="E3376" s="18" t="n">
        <x:v>11.37</x:v>
      </x:c>
      <x:c r="F3376" s="18" t="n">
        <x:v>6.5</x:v>
      </x:c>
      <x:c r="G3376" t="n">
        <x:v>36</x:v>
      </x:c>
      <x:c r="H3376" t="str">
        <x:v>B</x:v>
      </x:c>
      <x:c r="I3376" t="str">
        <x:v>10+ years</x:v>
      </x:c>
      <x:c r="J3376" t="str">
        <x:v>RENT</x:v>
      </x:c>
      <x:c r="K3376" t="str">
        <x:v>debt_consolidation</x:v>
      </x:c>
      <x:c r="L3376" t="n">
        <x:v>0</x:v>
      </x:c>
      <x:c r="M3376" t="n">
        <x:v>0</x:v>
      </x:c>
      <x:c r="N3376" t="str">
        <x:v>Fully Paid</x:v>
      </x:c>
      <x:c r="O3376" t="str">
        <x:f>IF(D3376="","Unknown",IF(D3376&lt;25000,"&lt;$25k",IF(D3376&lt;50000,"$25k-$50k",IF(D3376&lt;75000,"$50k-$75k",IF(D3376&lt;100000,"$75k-$100k","$100k+")))))</x:f>
        <x:v>$25k-$50k</x:v>
      </x:c>
      <x:c r="P3376" t="str">
        <x:f>IF(E3376="","Unknown",IF(E3376&lt;10,"&lt;10",IF(E3376&lt;20,"10-&lt;20",IF(E3376&lt;25,"20-&lt;25",IF(E3376&lt;35,"25-&lt;35","35+")))))</x:f>
        <x:v>10-&lt;20</x:v>
      </x:c>
    </x:row>
    <x:row r="3377">
      <x:c r="A3377" t="str">
        <x:v>SYN0003376</x:v>
      </x:c>
      <x:c r="B3377" s="12" t="n">
        <x:v>41275</x:v>
      </x:c>
      <x:c r="C3377" s="18" t="n">
        <x:v>7867</x:v>
      </x:c>
      <x:c r="D3377" s="18" t="n">
        <x:v>184706</x:v>
      </x:c>
      <x:c r="E3377" s="18" t="n">
        <x:v>42.06</x:v>
      </x:c>
      <x:c r="F3377" s="18" t="n">
        <x:v>19.84</x:v>
      </x:c>
      <x:c r="G3377" t="n">
        <x:v>36</x:v>
      </x:c>
      <x:c r="H3377" t="str">
        <x:v>E</x:v>
      </x:c>
      <x:c r="I3377" t="str">
        <x:v>4-6 years</x:v>
      </x:c>
      <x:c r="J3377" t="str">
        <x:v>OWN</x:v>
      </x:c>
      <x:c r="K3377" t="str">
        <x:v>debt_consolidation</x:v>
      </x:c>
      <x:c r="L3377" t="n">
        <x:v>0</x:v>
      </x:c>
      <x:c r="M3377" t="n">
        <x:v>0</x:v>
      </x:c>
      <x:c r="N3377" t="str">
        <x:v>Fully Paid</x:v>
      </x:c>
      <x:c r="O3377" t="str">
        <x:f>IF(D3377="","Unknown",IF(D3377&lt;25000,"&lt;$25k",IF(D3377&lt;50000,"$25k-$50k",IF(D3377&lt;75000,"$50k-$75k",IF(D3377&lt;100000,"$75k-$100k","$100k+")))))</x:f>
        <x:v>$100k+</x:v>
      </x:c>
      <x:c r="P3377" t="str">
        <x:f>IF(E3377="","Unknown",IF(E3377&lt;10,"&lt;10",IF(E3377&lt;20,"10-&lt;20",IF(E3377&lt;25,"20-&lt;25",IF(E3377&lt;35,"25-&lt;35","35+")))))</x:f>
        <x:v>35+</x:v>
      </x:c>
    </x:row>
    <x:row r="3378">
      <x:c r="A3378" t="str">
        <x:v>SYN0003377</x:v>
      </x:c>
      <x:c r="B3378" s="12" t="n">
        <x:v>42535</x:v>
      </x:c>
      <x:c r="C3378" s="18" t="n">
        <x:v>26624</x:v>
      </x:c>
      <x:c r="D3378" s="18" t="n">
        <x:v>60856</x:v>
      </x:c>
      <x:c r="E3378" s="18" t="n">
        <x:v>9.15</x:v>
      </x:c>
      <x:c r="F3378" s="18" t="n">
        <x:v>10.53</x:v>
      </x:c>
      <x:c r="G3378" t="n">
        <x:v>36</x:v>
      </x:c>
      <x:c r="H3378" t="str">
        <x:v>B</x:v>
      </x:c>
      <x:c r="I3378" t="str">
        <x:v>10+ years</x:v>
      </x:c>
      <x:c r="J3378" t="str">
        <x:v>RENT</x:v>
      </x:c>
      <x:c r="K3378" t="str">
        <x:v>debt_consolidation</x:v>
      </x:c>
      <x:c r="L3378" t="n">
        <x:v>0</x:v>
      </x:c>
      <x:c r="M3378" t="n">
        <x:v>0</x:v>
      </x:c>
      <x:c r="N3378" t="str">
        <x:v>Fully Paid</x:v>
      </x:c>
      <x:c r="O3378" t="str">
        <x:f>IF(D3378="","Unknown",IF(D3378&lt;25000,"&lt;$25k",IF(D3378&lt;50000,"$25k-$50k",IF(D3378&lt;75000,"$50k-$75k",IF(D3378&lt;100000,"$75k-$100k","$100k+")))))</x:f>
        <x:v>$50k-$75k</x:v>
      </x:c>
      <x:c r="P3378" t="str">
        <x:f>IF(E3378="","Unknown",IF(E3378&lt;10,"&lt;10",IF(E3378&lt;20,"10-&lt;20",IF(E3378&lt;25,"20-&lt;25",IF(E3378&lt;35,"25-&lt;35","35+")))))</x:f>
        <x:v>&lt;10</x:v>
      </x:c>
    </x:row>
    <x:row r="3379">
      <x:c r="A3379" t="str">
        <x:v>SYN0003378</x:v>
      </x:c>
      <x:c r="B3379" s="12" t="n">
        <x:v>43195</x:v>
      </x:c>
      <x:c r="C3379" s="18" t="n">
        <x:v>20219</x:v>
      </x:c>
      <x:c r="D3379" s="18" t="n">
        <x:v>53138</x:v>
      </x:c>
      <x:c r="E3379" s="18" t="n">
        <x:v>24.88</x:v>
      </x:c>
      <x:c r="F3379" s="18" t="n">
        <x:v>6.63</x:v>
      </x:c>
      <x:c r="G3379" t="n">
        <x:v>60</x:v>
      </x:c>
      <x:c r="H3379" t="str">
        <x:v>A</x:v>
      </x:c>
      <x:c r="I3379" t="str">
        <x:v>10+ years</x:v>
      </x:c>
      <x:c r="J3379" t="str">
        <x:v>RENT</x:v>
      </x:c>
      <x:c r="K3379" t="str">
        <x:v>major_purchase</x:v>
      </x:c>
      <x:c r="L3379" t="n">
        <x:v>0</x:v>
      </x:c>
      <x:c r="M3379" t="n">
        <x:v>0</x:v>
      </x:c>
      <x:c r="N3379" t="str">
        <x:v>Fully Paid</x:v>
      </x:c>
      <x:c r="O3379" t="str">
        <x:f>IF(D3379="","Unknown",IF(D3379&lt;25000,"&lt;$25k",IF(D3379&lt;50000,"$25k-$50k",IF(D3379&lt;75000,"$50k-$75k",IF(D3379&lt;100000,"$75k-$100k","$100k+")))))</x:f>
        <x:v>$50k-$75k</x:v>
      </x:c>
      <x:c r="P3379" t="str">
        <x:f>IF(E3379="","Unknown",IF(E3379&lt;10,"&lt;10",IF(E3379&lt;20,"10-&lt;20",IF(E3379&lt;25,"20-&lt;25",IF(E3379&lt;35,"25-&lt;35","35+")))))</x:f>
        <x:v>20-&lt;25</x:v>
      </x:c>
    </x:row>
    <x:row r="3380">
      <x:c r="A3380" t="str">
        <x:v>SYN0003379</x:v>
      </x:c>
      <x:c r="B3380" s="12" t="n">
        <x:v>41755</x:v>
      </x:c>
      <x:c r="C3380" s="18" t="n">
        <x:v>11306</x:v>
      </x:c>
      <x:c r="D3380" s="18" t="n">
        <x:v>46587</x:v>
      </x:c>
      <x:c r="E3380" s="18" t="n">
        <x:v>15.3</x:v>
      </x:c>
      <x:c r="F3380" s="18" t="n">
        <x:v>6.48</x:v>
      </x:c>
      <x:c r="G3380" t="n">
        <x:v>36</x:v>
      </x:c>
      <x:c r="H3380" t="str">
        <x:v>B</x:v>
      </x:c>
      <x:c r="I3380" t="str">
        <x:v>10+ years</x:v>
      </x:c>
      <x:c r="J3380" t="str">
        <x:v>MORTGAGE</x:v>
      </x:c>
      <x:c r="K3380" t="str">
        <x:v>credit_card</x:v>
      </x:c>
      <x:c r="L3380" t="n">
        <x:v>0</x:v>
      </x:c>
      <x:c r="M3380" t="n">
        <x:v>0</x:v>
      </x:c>
      <x:c r="N3380" t="str">
        <x:v>Fully Paid</x:v>
      </x:c>
      <x:c r="O3380" t="str">
        <x:f>IF(D3380="","Unknown",IF(D3380&lt;25000,"&lt;$25k",IF(D3380&lt;50000,"$25k-$50k",IF(D3380&lt;75000,"$50k-$75k",IF(D3380&lt;100000,"$75k-$100k","$100k+")))))</x:f>
        <x:v>$25k-$50k</x:v>
      </x:c>
      <x:c r="P3380" t="str">
        <x:f>IF(E3380="","Unknown",IF(E3380&lt;10,"&lt;10",IF(E3380&lt;20,"10-&lt;20",IF(E3380&lt;25,"20-&lt;25",IF(E3380&lt;35,"25-&lt;35","35+")))))</x:f>
        <x:v>10-&lt;20</x:v>
      </x:c>
    </x:row>
    <x:row r="3381">
      <x:c r="A3381" t="str">
        <x:v>SYN0003380</x:v>
      </x:c>
      <x:c r="B3381" s="12" t="n">
        <x:v>41965</x:v>
      </x:c>
      <x:c r="C3381" s="18" t="n">
        <x:v>17109</x:v>
      </x:c>
      <x:c r="D3381" s="18" t="n">
        <x:v>62320</x:v>
      </x:c>
      <x:c r="E3381" s="18" t="n">
        <x:v>24.43</x:v>
      </x:c>
      <x:c r="F3381" s="18" t="n">
        <x:v>14.27</x:v>
      </x:c>
      <x:c r="G3381" t="n">
        <x:v>36</x:v>
      </x:c>
      <x:c r="H3381" t="str">
        <x:v>C</x:v>
      </x:c>
      <x:c r="I3381" t="str">
        <x:v>1-3 years</x:v>
      </x:c>
      <x:c r="J3381" t="str">
        <x:v>MORTGAGE</x:v>
      </x:c>
      <x:c r="K3381" t="str">
        <x:v>debt_consolidation</x:v>
      </x:c>
      <x:c r="L3381" t="n">
        <x:v>0</x:v>
      </x:c>
      <x:c r="M3381" t="n">
        <x:v>0</x:v>
      </x:c>
      <x:c r="N3381" t="str">
        <x:v>Fully Paid</x:v>
      </x:c>
      <x:c r="O3381" t="str">
        <x:f>IF(D3381="","Unknown",IF(D3381&lt;25000,"&lt;$25k",IF(D3381&lt;50000,"$25k-$50k",IF(D3381&lt;75000,"$50k-$75k",IF(D3381&lt;100000,"$75k-$100k","$100k+")))))</x:f>
        <x:v>$50k-$75k</x:v>
      </x:c>
      <x:c r="P3381" t="str">
        <x:f>IF(E3381="","Unknown",IF(E3381&lt;10,"&lt;10",IF(E3381&lt;20,"10-&lt;20",IF(E3381&lt;25,"20-&lt;25",IF(E3381&lt;35,"25-&lt;35","35+")))))</x:f>
        <x:v>20-&lt;25</x:v>
      </x:c>
    </x:row>
    <x:row r="3382">
      <x:c r="A3382" t="str">
        <x:v>SYN0003381</x:v>
      </x:c>
      <x:c r="B3382" s="12" t="n">
        <x:v>41785</x:v>
      </x:c>
      <x:c r="C3382" s="18" t="n">
        <x:v>14053</x:v>
      </x:c>
      <x:c r="D3382" s="18" t="n">
        <x:v>28623</x:v>
      </x:c>
      <x:c r="E3382" s="18" t="n">
        <x:v>8.2</x:v>
      </x:c>
      <x:c r="F3382" s="18" t="n">
        <x:v>8.1</x:v>
      </x:c>
      <x:c r="G3382" t="n">
        <x:v>60</x:v>
      </x:c>
      <x:c r="H3382" t="str">
        <x:v>B</x:v>
      </x:c>
      <x:c r="I3382" t="str">
        <x:v>1-3 years</x:v>
      </x:c>
      <x:c r="J3382" t="str">
        <x:v>RENT</x:v>
      </x:c>
      <x:c r="K3382" t="str">
        <x:v>credit_card</x:v>
      </x:c>
      <x:c r="L3382" t="n">
        <x:v>0</x:v>
      </x:c>
      <x:c r="M3382" t="n">
        <x:v>1</x:v>
      </x:c>
      <x:c r="N3382" t="str">
        <x:v>Charged Off</x:v>
      </x:c>
      <x:c r="O3382" t="str">
        <x:f>IF(D3382="","Unknown",IF(D3382&lt;25000,"&lt;$25k",IF(D3382&lt;50000,"$25k-$50k",IF(D3382&lt;75000,"$50k-$75k",IF(D3382&lt;100000,"$75k-$100k","$100k+")))))</x:f>
        <x:v>$25k-$50k</x:v>
      </x:c>
      <x:c r="P3382" t="str">
        <x:f>IF(E3382="","Unknown",IF(E3382&lt;10,"&lt;10",IF(E3382&lt;20,"10-&lt;20",IF(E3382&lt;25,"20-&lt;25",IF(E3382&lt;35,"25-&lt;35","35+")))))</x:f>
        <x:v>&lt;10</x:v>
      </x:c>
    </x:row>
    <x:row r="3383">
      <x:c r="A3383" t="str">
        <x:v>SYN0003382</x:v>
      </x:c>
      <x:c r="B3383" s="12" t="n">
        <x:v>42355</x:v>
      </x:c>
      <x:c r="C3383" s="18" t="n">
        <x:v>24938</x:v>
      </x:c>
      <x:c r="D3383" s="18" t="n">
        <x:v>76409</x:v>
      </x:c>
      <x:c r="E3383" s="18" t="n">
        <x:v>17.38</x:v>
      </x:c>
      <x:c r="F3383" s="18" t="n">
        <x:v>13.33</x:v>
      </x:c>
      <x:c r="G3383" t="n">
        <x:v>36</x:v>
      </x:c>
      <x:c r="H3383" t="str">
        <x:v>C</x:v>
      </x:c>
      <x:c r="I3383" t="str">
        <x:v>1-3 years</x:v>
      </x:c>
      <x:c r="J3383" t="str">
        <x:v>MORTGAGE</x:v>
      </x:c>
      <x:c r="K3383" t="str">
        <x:v>debt_consolidation</x:v>
      </x:c>
      <x:c r="L3383" t="n">
        <x:v>0</x:v>
      </x:c>
      <x:c r="M3383" t="n">
        <x:v>0</x:v>
      </x:c>
      <x:c r="N3383" t="str">
        <x:v>Fully Paid</x:v>
      </x:c>
      <x:c r="O3383" t="str">
        <x:f>IF(D3383="","Unknown",IF(D3383&lt;25000,"&lt;$25k",IF(D3383&lt;50000,"$25k-$50k",IF(D3383&lt;75000,"$50k-$75k",IF(D3383&lt;100000,"$75k-$100k","$100k+")))))</x:f>
        <x:v>$75k-$100k</x:v>
      </x:c>
      <x:c r="P3383" t="str">
        <x:f>IF(E3383="","Unknown",IF(E3383&lt;10,"&lt;10",IF(E3383&lt;20,"10-&lt;20",IF(E3383&lt;25,"20-&lt;25",IF(E3383&lt;35,"25-&lt;35","35+")))))</x:f>
        <x:v>10-&lt;20</x:v>
      </x:c>
    </x:row>
    <x:row r="3384">
      <x:c r="A3384" t="str">
        <x:v>SYN0003383</x:v>
      </x:c>
      <x:c r="B3384" s="12" t="n">
        <x:v>42745</x:v>
      </x:c>
      <x:c r="C3384" s="18" t="n">
        <x:v>26105</x:v>
      </x:c>
      <x:c r="D3384" s="18" t="n">
        <x:v>36892</x:v>
      </x:c>
      <x:c r="E3384" s="18" t="n">
        <x:v>28.83</x:v>
      </x:c>
      <x:c r="F3384" s="18" t="n">
        <x:v>8.13</x:v>
      </x:c>
      <x:c r="G3384" t="n">
        <x:v>36</x:v>
      </x:c>
      <x:c r="H3384" t="str">
        <x:v>A</x:v>
      </x:c>
      <x:c r="I3384" t="str">
        <x:v>7-9 years</x:v>
      </x:c>
      <x:c r="J3384" t="str">
        <x:v>MORTGAGE</x:v>
      </x:c>
      <x:c r="K3384" t="str">
        <x:v>debt_consolidation</x:v>
      </x:c>
      <x:c r="L3384" t="n">
        <x:v>0</x:v>
      </x:c>
      <x:c r="M3384" t="n">
        <x:v>0</x:v>
      </x:c>
      <x:c r="N3384" t="str">
        <x:v>Fully Paid</x:v>
      </x:c>
      <x:c r="O3384" t="str">
        <x:f>IF(D3384="","Unknown",IF(D3384&lt;25000,"&lt;$25k",IF(D3384&lt;50000,"$25k-$50k",IF(D3384&lt;75000,"$50k-$75k",IF(D3384&lt;100000,"$75k-$100k","$100k+")))))</x:f>
        <x:v>$25k-$50k</x:v>
      </x:c>
      <x:c r="P3384" t="str">
        <x:f>IF(E3384="","Unknown",IF(E3384&lt;10,"&lt;10",IF(E3384&lt;20,"10-&lt;20",IF(E3384&lt;25,"20-&lt;25",IF(E3384&lt;35,"25-&lt;35","35+")))))</x:f>
        <x:v>25-&lt;35</x:v>
      </x:c>
    </x:row>
    <x:row r="3385">
      <x:c r="A3385" t="str">
        <x:v>SYN0003384</x:v>
      </x:c>
      <x:c r="B3385" s="12" t="n">
        <x:v>43045</x:v>
      </x:c>
      <x:c r="C3385" s="18" t="n">
        <x:v>36923</x:v>
      </x:c>
      <x:c r="D3385" s="18" t="n">
        <x:v>47543</x:v>
      </x:c>
      <x:c r="E3385" s="18" t="n">
        <x:v>23.16</x:v>
      </x:c>
      <x:c r="F3385" s="18" t="n">
        <x:v>6.67</x:v>
      </x:c>
      <x:c r="G3385" t="n">
        <x:v>36</x:v>
      </x:c>
      <x:c r="H3385" t="str">
        <x:v>A</x:v>
      </x:c>
      <x:c r="I3385" t="str">
        <x:v>10+ years</x:v>
      </x:c>
      <x:c r="J3385" t="str">
        <x:v>MORTGAGE</x:v>
      </x:c>
      <x:c r="K3385" t="str">
        <x:v>home_improvement</x:v>
      </x:c>
      <x:c r="L3385" t="n">
        <x:v>3</x:v>
      </x:c>
      <x:c r="M3385" t="n">
        <x:v>0</x:v>
      </x:c>
      <x:c r="N3385" t="str">
        <x:v>Fully Paid</x:v>
      </x:c>
      <x:c r="O3385" t="str">
        <x:f>IF(D3385="","Unknown",IF(D3385&lt;25000,"&lt;$25k",IF(D3385&lt;50000,"$25k-$50k",IF(D3385&lt;75000,"$50k-$75k",IF(D3385&lt;100000,"$75k-$100k","$100k+")))))</x:f>
        <x:v>$25k-$50k</x:v>
      </x:c>
      <x:c r="P3385" t="str">
        <x:f>IF(E3385="","Unknown",IF(E3385&lt;10,"&lt;10",IF(E3385&lt;20,"10-&lt;20",IF(E3385&lt;25,"20-&lt;25",IF(E3385&lt;35,"25-&lt;35","35+")))))</x:f>
        <x:v>20-&lt;25</x:v>
      </x:c>
    </x:row>
    <x:row r="3386">
      <x:c r="A3386" t="str">
        <x:v>SYN0003385</x:v>
      </x:c>
      <x:c r="B3386" s="12" t="n">
        <x:v>42115</x:v>
      </x:c>
      <x:c r="C3386" s="18" t="n">
        <x:v>17291</x:v>
      </x:c>
      <x:c r="D3386" s="18" t="n">
        <x:v>51303</x:v>
      </x:c>
      <x:c r="E3386" s="18" t="n">
        <x:v>14.16</x:v>
      </x:c>
      <x:c r="F3386" s="18" t="n">
        <x:v>7.7</x:v>
      </x:c>
      <x:c r="G3386" t="n">
        <x:v>36</x:v>
      </x:c>
      <x:c r="H3386" t="str">
        <x:v>B</x:v>
      </x:c>
      <x:c r="I3386" t="str">
        <x:v>1-3 years</x:v>
      </x:c>
      <x:c r="J3386" t="str">
        <x:v>MORTGAGE</x:v>
      </x:c>
      <x:c r="K3386" t="str">
        <x:v>debt_consolidation</x:v>
      </x:c>
      <x:c r="L3386" t="n">
        <x:v>0</x:v>
      </x:c>
      <x:c r="M3386" t="n">
        <x:v>0</x:v>
      </x:c>
      <x:c r="N3386" t="str">
        <x:v>Fully Paid</x:v>
      </x:c>
      <x:c r="O3386" t="str">
        <x:f>IF(D3386="","Unknown",IF(D3386&lt;25000,"&lt;$25k",IF(D3386&lt;50000,"$25k-$50k",IF(D3386&lt;75000,"$50k-$75k",IF(D3386&lt;100000,"$75k-$100k","$100k+")))))</x:f>
        <x:v>$50k-$75k</x:v>
      </x:c>
      <x:c r="P3386" t="str">
        <x:f>IF(E3386="","Unknown",IF(E3386&lt;10,"&lt;10",IF(E3386&lt;20,"10-&lt;20",IF(E3386&lt;25,"20-&lt;25",IF(E3386&lt;35,"25-&lt;35","35+")))))</x:f>
        <x:v>10-&lt;20</x:v>
      </x:c>
    </x:row>
    <x:row r="3387">
      <x:c r="A3387" t="str">
        <x:v>SYN0003386</x:v>
      </x:c>
      <x:c r="B3387" s="12" t="n">
        <x:v>41515</x:v>
      </x:c>
      <x:c r="C3387" s="18" t="n">
        <x:v>15861</x:v>
      </x:c>
      <x:c r="D3387" s="18" t="n">
        <x:v>33876</x:v>
      </x:c>
      <x:c r="E3387" s="18" t="n">
        <x:v>21.48</x:v>
      </x:c>
      <x:c r="F3387" s="18" t="n">
        <x:v>12.54</x:v>
      </x:c>
      <x:c r="G3387" t="n">
        <x:v>60</x:v>
      </x:c>
      <x:c r="H3387" t="str">
        <x:v>D</x:v>
      </x:c>
      <x:c r="I3387" t="str">
        <x:v>1-3 years</x:v>
      </x:c>
      <x:c r="J3387" t="str">
        <x:v>RENT</x:v>
      </x:c>
      <x:c r="K3387" t="str">
        <x:v>other</x:v>
      </x:c>
      <x:c r="L3387" t="n">
        <x:v>1</x:v>
      </x:c>
      <x:c r="M3387" t="n">
        <x:v>0</x:v>
      </x:c>
      <x:c r="N3387" t="str">
        <x:v>Fully Paid</x:v>
      </x:c>
      <x:c r="O3387" t="str">
        <x:f>IF(D3387="","Unknown",IF(D3387&lt;25000,"&lt;$25k",IF(D3387&lt;50000,"$25k-$50k",IF(D3387&lt;75000,"$50k-$75k",IF(D3387&lt;100000,"$75k-$100k","$100k+")))))</x:f>
        <x:v>$25k-$50k</x:v>
      </x:c>
      <x:c r="P3387" t="str">
        <x:f>IF(E3387="","Unknown",IF(E3387&lt;10,"&lt;10",IF(E3387&lt;20,"10-&lt;20",IF(E3387&lt;25,"20-&lt;25",IF(E3387&lt;35,"25-&lt;35","35+")))))</x:f>
        <x:v>20-&lt;25</x:v>
      </x:c>
    </x:row>
    <x:row r="3388">
      <x:c r="A3388" t="str">
        <x:v>SYN0003387</x:v>
      </x:c>
      <x:c r="B3388" s="12" t="n">
        <x:v>41275</x:v>
      </x:c>
      <x:c r="C3388" s="18" t="n">
        <x:v>7593</x:v>
      </x:c>
      <x:c r="D3388" s="18" t="n">
        <x:v>74401</x:v>
      </x:c>
      <x:c r="E3388" s="18" t="n">
        <x:v>41.34</x:v>
      </x:c>
      <x:c r="F3388" s="18" t="n">
        <x:v>11.36</x:v>
      </x:c>
      <x:c r="G3388" t="n">
        <x:v>36</x:v>
      </x:c>
      <x:c r="H3388" t="str">
        <x:v>C</x:v>
      </x:c>
      <x:c r="I3388" t="str">
        <x:v>&lt;1 year</x:v>
      </x:c>
      <x:c r="J3388" t="str">
        <x:v>RENT</x:v>
      </x:c>
      <x:c r="K3388" t="str">
        <x:v>debt_consolidation</x:v>
      </x:c>
      <x:c r="L3388" t="n">
        <x:v>0</x:v>
      </x:c>
      <x:c r="M3388" t="n">
        <x:v>0</x:v>
      </x:c>
      <x:c r="N3388" t="str">
        <x:v>Fully Paid</x:v>
      </x:c>
      <x:c r="O3388" t="str">
        <x:f>IF(D3388="","Unknown",IF(D3388&lt;25000,"&lt;$25k",IF(D3388&lt;50000,"$25k-$50k",IF(D3388&lt;75000,"$50k-$75k",IF(D3388&lt;100000,"$75k-$100k","$100k+")))))</x:f>
        <x:v>$50k-$75k</x:v>
      </x:c>
      <x:c r="P3388" t="str">
        <x:f>IF(E3388="","Unknown",IF(E3388&lt;10,"&lt;10",IF(E3388&lt;20,"10-&lt;20",IF(E3388&lt;25,"20-&lt;25",IF(E3388&lt;35,"25-&lt;35","35+")))))</x:f>
        <x:v>35+</x:v>
      </x:c>
    </x:row>
    <x:row r="3389">
      <x:c r="A3389" t="str">
        <x:v>SYN0003388</x:v>
      </x:c>
      <x:c r="B3389" s="12" t="n">
        <x:v>42805</x:v>
      </x:c>
      <x:c r="C3389" s="18" t="n">
        <x:v>11867</x:v>
      </x:c>
      <x:c r="D3389" s="18" t="n">
        <x:v>13171</x:v>
      </x:c>
      <x:c r="E3389" s="18" t="n">
        <x:v>2.17</x:v>
      </x:c>
      <x:c r="F3389" s="18" t="n">
        <x:v>5</x:v>
      </x:c>
      <x:c r="G3389" t="n">
        <x:v>60</x:v>
      </x:c>
      <x:c r="H3389" t="str">
        <x:v>A</x:v>
      </x:c>
      <x:c r="I3389" t="str">
        <x:v>&lt;1 year</x:v>
      </x:c>
      <x:c r="J3389" t="str">
        <x:v>OTHER</x:v>
      </x:c>
      <x:c r="K3389" t="str">
        <x:v>credit_card</x:v>
      </x:c>
      <x:c r="L3389" t="n">
        <x:v>1</x:v>
      </x:c>
      <x:c r="M3389" t="n">
        <x:v>1</x:v>
      </x:c>
      <x:c r="N3389" t="str">
        <x:v>Charged Off</x:v>
      </x:c>
      <x:c r="O3389" t="str">
        <x:f>IF(D3389="","Unknown",IF(D3389&lt;25000,"&lt;$25k",IF(D3389&lt;50000,"$25k-$50k",IF(D3389&lt;75000,"$50k-$75k",IF(D3389&lt;100000,"$75k-$100k","$100k+")))))</x:f>
        <x:v>&lt;$25k</x:v>
      </x:c>
      <x:c r="P3389" t="str">
        <x:f>IF(E3389="","Unknown",IF(E3389&lt;10,"&lt;10",IF(E3389&lt;20,"10-&lt;20",IF(E3389&lt;25,"20-&lt;25",IF(E3389&lt;35,"25-&lt;35","35+")))))</x:f>
        <x:v>&lt;10</x:v>
      </x:c>
    </x:row>
    <x:row r="3390">
      <x:c r="A3390" t="str">
        <x:v>SYN0003389</x:v>
      </x:c>
      <x:c r="B3390" s="12" t="n">
        <x:v>43075</x:v>
      </x:c>
      <x:c r="C3390" s="18" t="n">
        <x:v>27921</x:v>
      </x:c>
      <x:c r="D3390" s="18" t="n">
        <x:v>118835</x:v>
      </x:c>
      <x:c r="E3390" s="18" t="n">
        <x:v>19.22</x:v>
      </x:c>
      <x:c r="F3390" s="18" t="n">
        <x:v>24.98</x:v>
      </x:c>
      <x:c r="G3390" t="n">
        <x:v>60</x:v>
      </x:c>
      <x:c r="H3390" t="str">
        <x:v>F</x:v>
      </x:c>
      <x:c r="I3390" t="str">
        <x:v>1-3 years</x:v>
      </x:c>
      <x:c r="J3390" t="str">
        <x:v>RENT</x:v>
      </x:c>
      <x:c r="K3390" t="str">
        <x:v>credit_card</x:v>
      </x:c>
      <x:c r="L3390" t="n">
        <x:v>1</x:v>
      </x:c>
      <x:c r="M3390" t="n">
        <x:v>1</x:v>
      </x:c>
      <x:c r="N3390" t="str">
        <x:v>Charged Off</x:v>
      </x:c>
      <x:c r="O3390" t="str">
        <x:f>IF(D3390="","Unknown",IF(D3390&lt;25000,"&lt;$25k",IF(D3390&lt;50000,"$25k-$50k",IF(D3390&lt;75000,"$50k-$75k",IF(D3390&lt;100000,"$75k-$100k","$100k+")))))</x:f>
        <x:v>$100k+</x:v>
      </x:c>
      <x:c r="P3390" t="str">
        <x:f>IF(E3390="","Unknown",IF(E3390&lt;10,"&lt;10",IF(E3390&lt;20,"10-&lt;20",IF(E3390&lt;25,"20-&lt;25",IF(E3390&lt;35,"25-&lt;35","35+")))))</x:f>
        <x:v>10-&lt;20</x:v>
      </x:c>
    </x:row>
    <x:row r="3391">
      <x:c r="A3391" t="str">
        <x:v>SYN0003390</x:v>
      </x:c>
      <x:c r="B3391" s="12" t="n">
        <x:v>42385</x:v>
      </x:c>
      <x:c r="C3391" s="18" t="n">
        <x:v>24808</x:v>
      </x:c>
      <x:c r="D3391" s="18" t="n">
        <x:v>109035</x:v>
      </x:c>
      <x:c r="E3391" s="18" t="n">
        <x:v>25.54</x:v>
      </x:c>
      <x:c r="F3391" s="18" t="n">
        <x:v>7.79</x:v>
      </x:c>
      <x:c r="G3391" t="n">
        <x:v>36</x:v>
      </x:c>
      <x:c r="H3391" t="str">
        <x:v>B</x:v>
      </x:c>
      <x:c r="I3391" t="str">
        <x:v>7-9 years</x:v>
      </x:c>
      <x:c r="J3391" t="str">
        <x:v>OWN</x:v>
      </x:c>
      <x:c r="K3391" t="str">
        <x:v>other</x:v>
      </x:c>
      <x:c r="L3391" t="n">
        <x:v>0</x:v>
      </x:c>
      <x:c r="M3391" t="n">
        <x:v>1</x:v>
      </x:c>
      <x:c r="N3391" t="str">
        <x:v>Charged Off</x:v>
      </x:c>
      <x:c r="O3391" t="str">
        <x:f>IF(D3391="","Unknown",IF(D3391&lt;25000,"&lt;$25k",IF(D3391&lt;50000,"$25k-$50k",IF(D3391&lt;75000,"$50k-$75k",IF(D3391&lt;100000,"$75k-$100k","$100k+")))))</x:f>
        <x:v>$100k+</x:v>
      </x:c>
      <x:c r="P3391" t="str">
        <x:f>IF(E3391="","Unknown",IF(E3391&lt;10,"&lt;10",IF(E3391&lt;20,"10-&lt;20",IF(E3391&lt;25,"20-&lt;25",IF(E3391&lt;35,"25-&lt;35","35+")))))</x:f>
        <x:v>25-&lt;35</x:v>
      </x:c>
    </x:row>
    <x:row r="3392">
      <x:c r="A3392" t="str">
        <x:v>SYN0003391</x:v>
      </x:c>
      <x:c r="B3392" s="12" t="n">
        <x:v>43375</x:v>
      </x:c>
      <x:c r="C3392" s="18" t="n">
        <x:v>13682</x:v>
      </x:c>
      <x:c r="D3392" s="18" t="n">
        <x:v>101518</x:v>
      </x:c>
      <x:c r="E3392" s="18" t="n">
        <x:v>14.81</x:v>
      </x:c>
      <x:c r="F3392" s="18" t="n">
        <x:v>6.47</x:v>
      </x:c>
      <x:c r="G3392" t="n">
        <x:v>36</x:v>
      </x:c>
      <x:c r="H3392" t="str">
        <x:v>B</x:v>
      </x:c>
      <x:c r="I3392" t="str">
        <x:v>7-9 years</x:v>
      </x:c>
      <x:c r="J3392" t="str">
        <x:v>MORTGAGE</x:v>
      </x:c>
      <x:c r="K3392" t="str">
        <x:v>credit_card</x:v>
      </x:c>
      <x:c r="L3392" t="n">
        <x:v>1</x:v>
      </x:c>
      <x:c r="M3392" t="n">
        <x:v>0</x:v>
      </x:c>
      <x:c r="N3392" t="str">
        <x:v>Fully Paid</x:v>
      </x:c>
      <x:c r="O3392" t="str">
        <x:f>IF(D3392="","Unknown",IF(D3392&lt;25000,"&lt;$25k",IF(D3392&lt;50000,"$25k-$50k",IF(D3392&lt;75000,"$50k-$75k",IF(D3392&lt;100000,"$75k-$100k","$100k+")))))</x:f>
        <x:v>$100k+</x:v>
      </x:c>
      <x:c r="P3392" t="str">
        <x:f>IF(E3392="","Unknown",IF(E3392&lt;10,"&lt;10",IF(E3392&lt;20,"10-&lt;20",IF(E3392&lt;25,"20-&lt;25",IF(E3392&lt;35,"25-&lt;35","35+")))))</x:f>
        <x:v>10-&lt;20</x:v>
      </x:c>
    </x:row>
    <x:row r="3393">
      <x:c r="A3393" t="str">
        <x:v>SYN0003392</x:v>
      </x:c>
      <x:c r="B3393" s="12" t="n">
        <x:v>42565</x:v>
      </x:c>
      <x:c r="C3393" s="18" t="n">
        <x:v>21474</x:v>
      </x:c>
      <x:c r="D3393" s="18" t="n">
        <x:v>29578</x:v>
      </x:c>
      <x:c r="E3393" s="18" t="n">
        <x:v>20.21</x:v>
      </x:c>
      <x:c r="F3393" s="18" t="n">
        <x:v>14.04</x:v>
      </x:c>
      <x:c r="G3393" t="n">
        <x:v>36</x:v>
      </x:c>
      <x:c r="H3393" t="str">
        <x:v>D</x:v>
      </x:c>
      <x:c r="I3393" t="str">
        <x:v>4-6 years</x:v>
      </x:c>
      <x:c r="J3393" t="str">
        <x:v>RENT</x:v>
      </x:c>
      <x:c r="K3393" t="str">
        <x:v>major_purchase</x:v>
      </x:c>
      <x:c r="L3393" t="n">
        <x:v>3</x:v>
      </x:c>
      <x:c r="M3393" t="n">
        <x:v>0</x:v>
      </x:c>
      <x:c r="N3393" t="str">
        <x:v>Fully Paid</x:v>
      </x:c>
      <x:c r="O3393" t="str">
        <x:f>IF(D3393="","Unknown",IF(D3393&lt;25000,"&lt;$25k",IF(D3393&lt;50000,"$25k-$50k",IF(D3393&lt;75000,"$50k-$75k",IF(D3393&lt;100000,"$75k-$100k","$100k+")))))</x:f>
        <x:v>$25k-$50k</x:v>
      </x:c>
      <x:c r="P3393" t="str">
        <x:f>IF(E3393="","Unknown",IF(E3393&lt;10,"&lt;10",IF(E3393&lt;20,"10-&lt;20",IF(E3393&lt;25,"20-&lt;25",IF(E3393&lt;35,"25-&lt;35","35+")))))</x:f>
        <x:v>20-&lt;25</x:v>
      </x:c>
    </x:row>
    <x:row r="3394">
      <x:c r="A3394" t="str">
        <x:v>SYN0003393</x:v>
      </x:c>
      <x:c r="B3394" s="12" t="n">
        <x:v>43405</x:v>
      </x:c>
      <x:c r="C3394" s="18" t="n">
        <x:v>17576</x:v>
      </x:c>
      <x:c r="D3394" s="18" t="n">
        <x:v>165758</x:v>
      </x:c>
      <x:c r="E3394" s="18" t="n">
        <x:v>2.03</x:v>
      </x:c>
      <x:c r="F3394" s="18" t="n">
        <x:v>7.69</x:v>
      </x:c>
      <x:c r="G3394" t="n">
        <x:v>36</x:v>
      </x:c>
      <x:c r="H3394" t="str">
        <x:v>B</x:v>
      </x:c>
      <x:c r="I3394" t="str">
        <x:v>4-6 years</x:v>
      </x:c>
      <x:c r="J3394" t="str">
        <x:v>OTHER</x:v>
      </x:c>
      <x:c r="K3394" t="str">
        <x:v>other</x:v>
      </x:c>
      <x:c r="L3394" t="n">
        <x:v>0</x:v>
      </x:c>
      <x:c r="M3394" t="n">
        <x:v>0</x:v>
      </x:c>
      <x:c r="N3394" t="str">
        <x:v>Fully Paid</x:v>
      </x:c>
      <x:c r="O3394" t="str">
        <x:f>IF(D3394="","Unknown",IF(D3394&lt;25000,"&lt;$25k",IF(D3394&lt;50000,"$25k-$50k",IF(D3394&lt;75000,"$50k-$75k",IF(D3394&lt;100000,"$75k-$100k","$100k+")))))</x:f>
        <x:v>$100k+</x:v>
      </x:c>
      <x:c r="P3394" t="str">
        <x:f>IF(E3394="","Unknown",IF(E3394&lt;10,"&lt;10",IF(E3394&lt;20,"10-&lt;20",IF(E3394&lt;25,"20-&lt;25",IF(E3394&lt;35,"25-&lt;35","35+")))))</x:f>
        <x:v>&lt;10</x:v>
      </x:c>
    </x:row>
    <x:row r="3395">
      <x:c r="A3395" t="str">
        <x:v>SYN0003394</x:v>
      </x:c>
      <x:c r="B3395" s="12" t="n">
        <x:v>43405</x:v>
      </x:c>
      <x:c r="C3395" s="18" t="n">
        <x:v>14479</x:v>
      </x:c>
      <x:c r="D3395" s="18" t="n">
        <x:v>73935</x:v>
      </x:c>
      <x:c r="E3395" s="18" t="n">
        <x:v>32.52</x:v>
      </x:c>
      <x:c r="F3395" s="18" t="n">
        <x:v>26.53</x:v>
      </x:c>
      <x:c r="G3395" t="n">
        <x:v>60</x:v>
      </x:c>
      <x:c r="H3395" t="str">
        <x:v>G</x:v>
      </x:c>
      <x:c r="I3395" t="str">
        <x:v>10+ years</x:v>
      </x:c>
      <x:c r="J3395" t="str">
        <x:v>RENT</x:v>
      </x:c>
      <x:c r="K3395" t="str">
        <x:v>credit_card</x:v>
      </x:c>
      <x:c r="L3395" t="n">
        <x:v>1</x:v>
      </x:c>
      <x:c r="M3395" t="n">
        <x:v>1</x:v>
      </x:c>
      <x:c r="N3395" t="str">
        <x:v>Charged Off</x:v>
      </x:c>
      <x:c r="O3395" t="str">
        <x:f>IF(D3395="","Unknown",IF(D3395&lt;25000,"&lt;$25k",IF(D3395&lt;50000,"$25k-$50k",IF(D3395&lt;75000,"$50k-$75k",IF(D3395&lt;100000,"$75k-$100k","$100k+")))))</x:f>
        <x:v>$50k-$75k</x:v>
      </x:c>
      <x:c r="P3395" t="str">
        <x:f>IF(E3395="","Unknown",IF(E3395&lt;10,"&lt;10",IF(E3395&lt;20,"10-&lt;20",IF(E3395&lt;25,"20-&lt;25",IF(E3395&lt;35,"25-&lt;35","35+")))))</x:f>
        <x:v>25-&lt;35</x:v>
      </x:c>
    </x:row>
    <x:row r="3396">
      <x:c r="A3396" t="str">
        <x:v>SYN0003395</x:v>
      </x:c>
      <x:c r="B3396" s="12" t="n">
        <x:v>41905</x:v>
      </x:c>
      <x:c r="C3396" s="18" t="n">
        <x:v>17719</x:v>
      </x:c>
      <x:c r="D3396" s="18" t="n">
        <x:v>46928</x:v>
      </x:c>
      <x:c r="E3396" s="18" t="n">
        <x:v>33.14</x:v>
      </x:c>
      <x:c r="F3396" s="18" t="n">
        <x:v>11.29</x:v>
      </x:c>
      <x:c r="G3396" t="n">
        <x:v>36</x:v>
      </x:c>
      <x:c r="H3396" t="str">
        <x:v>C</x:v>
      </x:c>
      <x:c r="I3396" t="str">
        <x:v>7-9 years</x:v>
      </x:c>
      <x:c r="J3396" t="str">
        <x:v>RENT</x:v>
      </x:c>
      <x:c r="K3396" t="str">
        <x:v>debt_consolidation</x:v>
      </x:c>
      <x:c r="L3396" t="n">
        <x:v>0</x:v>
      </x:c>
      <x:c r="M3396" t="n">
        <x:v>0</x:v>
      </x:c>
      <x:c r="N3396" t="str">
        <x:v>Fully Paid</x:v>
      </x:c>
      <x:c r="O3396" t="str">
        <x:f>IF(D3396="","Unknown",IF(D3396&lt;25000,"&lt;$25k",IF(D3396&lt;50000,"$25k-$50k",IF(D3396&lt;75000,"$50k-$75k",IF(D3396&lt;100000,"$75k-$100k","$100k+")))))</x:f>
        <x:v>$25k-$50k</x:v>
      </x:c>
      <x:c r="P3396" t="str">
        <x:f>IF(E3396="","Unknown",IF(E3396&lt;10,"&lt;10",IF(E3396&lt;20,"10-&lt;20",IF(E3396&lt;25,"20-&lt;25",IF(E3396&lt;35,"25-&lt;35","35+")))))</x:f>
        <x:v>25-&lt;35</x:v>
      </x:c>
    </x:row>
    <x:row r="3397">
      <x:c r="A3397" t="str">
        <x:v>SYN0003396</x:v>
      </x:c>
      <x:c r="B3397" s="12" t="n">
        <x:v>41875</x:v>
      </x:c>
      <x:c r="C3397" s="18" t="n">
        <x:v>20708</x:v>
      </x:c>
      <x:c r="D3397" s="18" t="n">
        <x:v>47154</x:v>
      </x:c>
      <x:c r="E3397" s="18" t="n">
        <x:v>8.32</x:v>
      </x:c>
      <x:c r="F3397" s="18" t="n">
        <x:v>19.41</x:v>
      </x:c>
      <x:c r="G3397" t="n">
        <x:v>36</x:v>
      </x:c>
      <x:c r="H3397" t="str">
        <x:v>E</x:v>
      </x:c>
      <x:c r="I3397" t="str">
        <x:v>10+ years</x:v>
      </x:c>
      <x:c r="J3397" t="str">
        <x:v>MORTGAGE</x:v>
      </x:c>
      <x:c r="K3397" t="str">
        <x:v>debt_consolidation</x:v>
      </x:c>
      <x:c r="L3397" t="n">
        <x:v>1</x:v>
      </x:c>
      <x:c r="M3397" t="n">
        <x:v>0</x:v>
      </x:c>
      <x:c r="N3397" t="str">
        <x:v>Fully Paid</x:v>
      </x:c>
      <x:c r="O3397" t="str">
        <x:f>IF(D3397="","Unknown",IF(D3397&lt;25000,"&lt;$25k",IF(D3397&lt;50000,"$25k-$50k",IF(D3397&lt;75000,"$50k-$75k",IF(D3397&lt;100000,"$75k-$100k","$100k+")))))</x:f>
        <x:v>$25k-$50k</x:v>
      </x:c>
      <x:c r="P3397" t="str">
        <x:f>IF(E3397="","Unknown",IF(E3397&lt;10,"&lt;10",IF(E3397&lt;20,"10-&lt;20",IF(E3397&lt;25,"20-&lt;25",IF(E3397&lt;35,"25-&lt;35","35+")))))</x:f>
        <x:v>&lt;10</x:v>
      </x:c>
    </x:row>
    <x:row r="3398">
      <x:c r="A3398" t="str">
        <x:v>SYN0003397</x:v>
      </x:c>
      <x:c r="B3398" s="12" t="n">
        <x:v>43405</x:v>
      </x:c>
      <x:c r="C3398" s="18" t="n">
        <x:v>9057</x:v>
      </x:c>
      <x:c r="D3398" s="18" t="n">
        <x:v>28044</x:v>
      </x:c>
      <x:c r="E3398" s="18" t="n">
        <x:v>19.46</x:v>
      </x:c>
      <x:c r="F3398" s="18" t="n">
        <x:v>24.48</x:v>
      </x:c>
      <x:c r="G3398" t="n">
        <x:v>36</x:v>
      </x:c>
      <x:c r="H3398" t="str">
        <x:v>F</x:v>
      </x:c>
      <x:c r="I3398" t="str">
        <x:v>7-9 years</x:v>
      </x:c>
      <x:c r="J3398" t="str">
        <x:v>OTHER</x:v>
      </x:c>
      <x:c r="K3398" t="str">
        <x:v>debt_consolidation</x:v>
      </x:c>
      <x:c r="L3398" t="n">
        <x:v>1</x:v>
      </x:c>
      <x:c r="M3398" t="n">
        <x:v>1</x:v>
      </x:c>
      <x:c r="N3398" t="str">
        <x:v>Charged Off</x:v>
      </x:c>
      <x:c r="O3398" t="str">
        <x:f>IF(D3398="","Unknown",IF(D3398&lt;25000,"&lt;$25k",IF(D3398&lt;50000,"$25k-$50k",IF(D3398&lt;75000,"$50k-$75k",IF(D3398&lt;100000,"$75k-$100k","$100k+")))))</x:f>
        <x:v>$25k-$50k</x:v>
      </x:c>
      <x:c r="P3398" t="str">
        <x:f>IF(E3398="","Unknown",IF(E3398&lt;10,"&lt;10",IF(E3398&lt;20,"10-&lt;20",IF(E3398&lt;25,"20-&lt;25",IF(E3398&lt;35,"25-&lt;35","35+")))))</x:f>
        <x:v>10-&lt;20</x:v>
      </x:c>
    </x:row>
    <x:row r="3399">
      <x:c r="A3399" t="str">
        <x:v>SYN0003398</x:v>
      </x:c>
      <x:c r="B3399" s="12" t="n">
        <x:v>41935</x:v>
      </x:c>
      <x:c r="C3399" s="18" t="n">
        <x:v>13956</x:v>
      </x:c>
      <x:c r="D3399" s="18" t="n">
        <x:v>32443</x:v>
      </x:c>
      <x:c r="E3399" s="18" t="n">
        <x:v>30.24</x:v>
      </x:c>
      <x:c r="F3399" s="18" t="n">
        <x:v>25.67</x:v>
      </x:c>
      <x:c r="G3399" t="n">
        <x:v>36</x:v>
      </x:c>
      <x:c r="H3399" t="str">
        <x:v>G</x:v>
      </x:c>
      <x:c r="I3399" t="str">
        <x:v>4-6 years</x:v>
      </x:c>
      <x:c r="J3399" t="str">
        <x:v>MORTGAGE</x:v>
      </x:c>
      <x:c r="K3399" t="str">
        <x:v>home_improvement</x:v>
      </x:c>
      <x:c r="L3399" t="n">
        <x:v>2</x:v>
      </x:c>
      <x:c r="M3399" t="n">
        <x:v>1</x:v>
      </x:c>
      <x:c r="N3399" t="str">
        <x:v>Charged Off</x:v>
      </x:c>
      <x:c r="O3399" t="str">
        <x:f>IF(D3399="","Unknown",IF(D3399&lt;25000,"&lt;$25k",IF(D3399&lt;50000,"$25k-$50k",IF(D3399&lt;75000,"$50k-$75k",IF(D3399&lt;100000,"$75k-$100k","$100k+")))))</x:f>
        <x:v>$25k-$50k</x:v>
      </x:c>
      <x:c r="P3399" t="str">
        <x:f>IF(E3399="","Unknown",IF(E3399&lt;10,"&lt;10",IF(E3399&lt;20,"10-&lt;20",IF(E3399&lt;25,"20-&lt;25",IF(E3399&lt;35,"25-&lt;35","35+")))))</x:f>
        <x:v>25-&lt;35</x:v>
      </x:c>
    </x:row>
    <x:row r="3400">
      <x:c r="A3400" t="str">
        <x:v>SYN0003399</x:v>
      </x:c>
      <x:c r="B3400" s="12" t="n">
        <x:v>42805</x:v>
      </x:c>
      <x:c r="C3400" s="18" t="n">
        <x:v>12379</x:v>
      </x:c>
      <x:c r="D3400" s="18" t="n">
        <x:v>39580</x:v>
      </x:c>
      <x:c r="E3400" s="18" t="n">
        <x:v>15.2</x:v>
      </x:c>
      <x:c r="F3400" s="18" t="n">
        <x:v>5.76</x:v>
      </x:c>
      <x:c r="G3400" t="n">
        <x:v>60</x:v>
      </x:c>
      <x:c r="H3400" t="str">
        <x:v>A</x:v>
      </x:c>
      <x:c r="I3400" t="str">
        <x:v>1-3 years</x:v>
      </x:c>
      <x:c r="J3400" t="str">
        <x:v>RENT</x:v>
      </x:c>
      <x:c r="K3400" t="str">
        <x:v>debt_consolidation</x:v>
      </x:c>
      <x:c r="L3400" t="n">
        <x:v>0</x:v>
      </x:c>
      <x:c r="M3400" t="n">
        <x:v>0</x:v>
      </x:c>
      <x:c r="N3400" t="str">
        <x:v>Fully Paid</x:v>
      </x:c>
      <x:c r="O3400" t="str">
        <x:f>IF(D3400="","Unknown",IF(D3400&lt;25000,"&lt;$25k",IF(D3400&lt;50000,"$25k-$50k",IF(D3400&lt;75000,"$50k-$75k",IF(D3400&lt;100000,"$75k-$100k","$100k+")))))</x:f>
        <x:v>$25k-$50k</x:v>
      </x:c>
      <x:c r="P3400" t="str">
        <x:f>IF(E3400="","Unknown",IF(E3400&lt;10,"&lt;10",IF(E3400&lt;20,"10-&lt;20",IF(E3400&lt;25,"20-&lt;25",IF(E3400&lt;35,"25-&lt;35","35+")))))</x:f>
        <x:v>10-&lt;20</x:v>
      </x:c>
    </x:row>
    <x:row r="3401">
      <x:c r="A3401" t="str">
        <x:v>SYN0003400</x:v>
      </x:c>
      <x:c r="B3401" s="12" t="n">
        <x:v>42565</x:v>
      </x:c>
      <x:c r="C3401" s="18" t="n">
        <x:v>6375</x:v>
      </x:c>
      <x:c r="D3401" s="18" t="n">
        <x:v>68593</x:v>
      </x:c>
      <x:c r="E3401" s="18" t="n">
        <x:v>8.77</x:v>
      </x:c>
      <x:c r="F3401" s="18" t="n">
        <x:v>7.72</x:v>
      </x:c>
      <x:c r="G3401" t="n">
        <x:v>36</x:v>
      </x:c>
      <x:c r="H3401" t="str">
        <x:v>B</x:v>
      </x:c>
      <x:c r="I3401" t="str">
        <x:v>10+ years</x:v>
      </x:c>
      <x:c r="J3401" t="str">
        <x:v>RENT</x:v>
      </x:c>
      <x:c r="K3401" t="str">
        <x:v>home_improvement</x:v>
      </x:c>
      <x:c r="L3401" t="n">
        <x:v>1</x:v>
      </x:c>
      <x:c r="M3401" t="n">
        <x:v>0</x:v>
      </x:c>
      <x:c r="N3401" t="str">
        <x:v>Fully Paid</x:v>
      </x:c>
      <x:c r="O3401" t="str">
        <x:f>IF(D3401="","Unknown",IF(D3401&lt;25000,"&lt;$25k",IF(D3401&lt;50000,"$25k-$50k",IF(D3401&lt;75000,"$50k-$75k",IF(D3401&lt;100000,"$75k-$100k","$100k+")))))</x:f>
        <x:v>$50k-$75k</x:v>
      </x:c>
      <x:c r="P3401" t="str">
        <x:f>IF(E3401="","Unknown",IF(E3401&lt;10,"&lt;10",IF(E3401&lt;20,"10-&lt;20",IF(E3401&lt;25,"20-&lt;25",IF(E3401&lt;35,"25-&lt;35","35+")))))</x:f>
        <x:v>&lt;10</x:v>
      </x:c>
    </x:row>
    <x:row r="3402">
      <x:c r="A3402" t="str">
        <x:v>SYN0003401</x:v>
      </x:c>
      <x:c r="B3402" s="12" t="n">
        <x:v>42985</x:v>
      </x:c>
      <x:c r="C3402" s="18" t="n">
        <x:v>9367</x:v>
      </x:c>
      <x:c r="D3402" s="18" t="n">
        <x:v>123350</x:v>
      </x:c>
      <x:c r="E3402" s="18" t="n">
        <x:v>26.51</x:v>
      </x:c>
      <x:c r="F3402" s="18" t="n">
        <x:v>9.35</x:v>
      </x:c>
      <x:c r="G3402" t="n">
        <x:v>36</x:v>
      </x:c>
      <x:c r="H3402" t="str">
        <x:v>B</x:v>
      </x:c>
      <x:c r="I3402" t="str">
        <x:v>4-6 years</x:v>
      </x:c>
      <x:c r="J3402" t="str">
        <x:v>RENT</x:v>
      </x:c>
      <x:c r="K3402" t="str">
        <x:v>credit_card</x:v>
      </x:c>
      <x:c r="L3402" t="n">
        <x:v>0</x:v>
      </x:c>
      <x:c r="M3402" t="n">
        <x:v>0</x:v>
      </x:c>
      <x:c r="N3402" t="str">
        <x:v>Fully Paid</x:v>
      </x:c>
      <x:c r="O3402" t="str">
        <x:f>IF(D3402="","Unknown",IF(D3402&lt;25000,"&lt;$25k",IF(D3402&lt;50000,"$25k-$50k",IF(D3402&lt;75000,"$50k-$75k",IF(D3402&lt;100000,"$75k-$100k","$100k+")))))</x:f>
        <x:v>$100k+</x:v>
      </x:c>
      <x:c r="P3402" t="str">
        <x:f>IF(E3402="","Unknown",IF(E3402&lt;10,"&lt;10",IF(E3402&lt;20,"10-&lt;20",IF(E3402&lt;25,"20-&lt;25",IF(E3402&lt;35,"25-&lt;35","35+")))))</x:f>
        <x:v>25-&lt;35</x:v>
      </x:c>
    </x:row>
    <x:row r="3403">
      <x:c r="A3403" t="str">
        <x:v>SYN0003402</x:v>
      </x:c>
      <x:c r="B3403" s="12" t="n">
        <x:v>42895</x:v>
      </x:c>
      <x:c r="C3403" s="18" t="n">
        <x:v>40000</x:v>
      </x:c>
      <x:c r="D3403" s="18" t="n">
        <x:v>187554</x:v>
      </x:c>
      <x:c r="E3403" s="18" t="n">
        <x:v>10.11</x:v>
      </x:c>
      <x:c r="F3403" s="18" t="n">
        <x:v>23.11</x:v>
      </x:c>
      <x:c r="G3403" t="n">
        <x:v>60</x:v>
      </x:c>
      <x:c r="H3403" t="str">
        <x:v>F</x:v>
      </x:c>
      <x:c r="I3403" t="str">
        <x:v>4-6 years</x:v>
      </x:c>
      <x:c r="J3403" t="str">
        <x:v>OWN</x:v>
      </x:c>
      <x:c r="K3403" t="str">
        <x:v>debt_consolidation</x:v>
      </x:c>
      <x:c r="L3403" t="n">
        <x:v>0</x:v>
      </x:c>
      <x:c r="M3403" t="n">
        <x:v>0</x:v>
      </x:c>
      <x:c r="N3403" t="str">
        <x:v>Fully Paid</x:v>
      </x:c>
      <x:c r="O3403" t="str">
        <x:f>IF(D3403="","Unknown",IF(D3403&lt;25000,"&lt;$25k",IF(D3403&lt;50000,"$25k-$50k",IF(D3403&lt;75000,"$50k-$75k",IF(D3403&lt;100000,"$75k-$100k","$100k+")))))</x:f>
        <x:v>$100k+</x:v>
      </x:c>
      <x:c r="P3403" t="str">
        <x:f>IF(E3403="","Unknown",IF(E3403&lt;10,"&lt;10",IF(E3403&lt;20,"10-&lt;20",IF(E3403&lt;25,"20-&lt;25",IF(E3403&lt;35,"25-&lt;35","35+")))))</x:f>
        <x:v>10-&lt;20</x:v>
      </x:c>
    </x:row>
    <x:row r="3404">
      <x:c r="A3404" t="str">
        <x:v>SYN0003403</x:v>
      </x:c>
      <x:c r="B3404" s="12" t="n">
        <x:v>42535</x:v>
      </x:c>
      <x:c r="C3404" s="18" t="n">
        <x:v>19461</x:v>
      </x:c>
      <x:c r="D3404" s="18" t="n">
        <x:v>34445</x:v>
      </x:c>
      <x:c r="E3404" s="18" t="n">
        <x:v>3.17</x:v>
      </x:c>
      <x:c r="F3404" s="18" t="n">
        <x:v>10.86</x:v>
      </x:c>
      <x:c r="G3404" t="n">
        <x:v>36</x:v>
      </x:c>
      <x:c r="H3404" t="str">
        <x:v>B</x:v>
      </x:c>
      <x:c r="I3404" t="str">
        <x:v>7-9 years</x:v>
      </x:c>
      <x:c r="J3404" t="str">
        <x:v>OWN</x:v>
      </x:c>
      <x:c r="K3404" t="str">
        <x:v>debt_consolidation</x:v>
      </x:c>
      <x:c r="L3404" t="n">
        <x:v>0</x:v>
      </x:c>
      <x:c r="M3404" t="n">
        <x:v>0</x:v>
      </x:c>
      <x:c r="N3404" t="str">
        <x:v>Fully Paid</x:v>
      </x:c>
      <x:c r="O3404" t="str">
        <x:f>IF(D3404="","Unknown",IF(D3404&lt;25000,"&lt;$25k",IF(D3404&lt;50000,"$25k-$50k",IF(D3404&lt;75000,"$50k-$75k",IF(D3404&lt;100000,"$75k-$100k","$100k+")))))</x:f>
        <x:v>$25k-$50k</x:v>
      </x:c>
      <x:c r="P3404" t="str">
        <x:f>IF(E3404="","Unknown",IF(E3404&lt;10,"&lt;10",IF(E3404&lt;20,"10-&lt;20",IF(E3404&lt;25,"20-&lt;25",IF(E3404&lt;35,"25-&lt;35","35+")))))</x:f>
        <x:v>&lt;10</x:v>
      </x:c>
    </x:row>
    <x:row r="3405">
      <x:c r="A3405" t="str">
        <x:v>SYN0003404</x:v>
      </x:c>
      <x:c r="B3405" s="12" t="n">
        <x:v>42115</x:v>
      </x:c>
      <x:c r="C3405" s="18" t="n">
        <x:v>25274</x:v>
      </x:c>
      <x:c r="D3405" s="18" t="n">
        <x:v>49351</x:v>
      </x:c>
      <x:c r="E3405" s="18" t="n">
        <x:v>28.15</x:v>
      </x:c>
      <x:c r="F3405" s="18" t="n">
        <x:v>13.55</x:v>
      </x:c>
      <x:c r="G3405" t="n">
        <x:v>60</x:v>
      </x:c>
      <x:c r="H3405" t="str">
        <x:v>C</x:v>
      </x:c>
      <x:c r="I3405" t="str">
        <x:v>10+ years</x:v>
      </x:c>
      <x:c r="J3405" t="str">
        <x:v>RENT</x:v>
      </x:c>
      <x:c r="K3405" t="str">
        <x:v>debt_consolidation</x:v>
      </x:c>
      <x:c r="L3405" t="n">
        <x:v>0</x:v>
      </x:c>
      <x:c r="M3405" t="n">
        <x:v>0</x:v>
      </x:c>
      <x:c r="N3405" t="str">
        <x:v>Fully Paid</x:v>
      </x:c>
      <x:c r="O3405" t="str">
        <x:f>IF(D3405="","Unknown",IF(D3405&lt;25000,"&lt;$25k",IF(D3405&lt;50000,"$25k-$50k",IF(D3405&lt;75000,"$50k-$75k",IF(D3405&lt;100000,"$75k-$100k","$100k+")))))</x:f>
        <x:v>$25k-$50k</x:v>
      </x:c>
      <x:c r="P3405" t="str">
        <x:f>IF(E3405="","Unknown",IF(E3405&lt;10,"&lt;10",IF(E3405&lt;20,"10-&lt;20",IF(E3405&lt;25,"20-&lt;25",IF(E3405&lt;35,"25-&lt;35","35+")))))</x:f>
        <x:v>25-&lt;35</x:v>
      </x:c>
    </x:row>
    <x:row r="3406">
      <x:c r="A3406" t="str">
        <x:v>SYN0003405</x:v>
      </x:c>
      <x:c r="B3406" s="12" t="n">
        <x:v>42925</x:v>
      </x:c>
      <x:c r="C3406" s="18" t="n">
        <x:v>7077</x:v>
      </x:c>
      <x:c r="D3406" s="18" t="n">
        <x:v>28857</x:v>
      </x:c>
      <x:c r="E3406" s="18" t="n">
        <x:v>23.72</x:v>
      </x:c>
      <x:c r="F3406" s="18" t="n">
        <x:v>17.99</x:v>
      </x:c>
      <x:c r="G3406" t="n">
        <x:v>36</x:v>
      </x:c>
      <x:c r="H3406" t="str">
        <x:v>E</x:v>
      </x:c>
      <x:c r="I3406" t="str">
        <x:v>10+ years</x:v>
      </x:c>
      <x:c r="J3406" t="str">
        <x:v>MORTGAGE</x:v>
      </x:c>
      <x:c r="K3406" t="str">
        <x:v>debt_consolidation</x:v>
      </x:c>
      <x:c r="L3406" t="n">
        <x:v>5</x:v>
      </x:c>
      <x:c r="M3406" t="n">
        <x:v>0</x:v>
      </x:c>
      <x:c r="N3406" t="str">
        <x:v>Fully Paid</x:v>
      </x:c>
      <x:c r="O3406" t="str">
        <x:f>IF(D3406="","Unknown",IF(D3406&lt;25000,"&lt;$25k",IF(D3406&lt;50000,"$25k-$50k",IF(D3406&lt;75000,"$50k-$75k",IF(D3406&lt;100000,"$75k-$100k","$100k+")))))</x:f>
        <x:v>$25k-$50k</x:v>
      </x:c>
      <x:c r="P3406" t="str">
        <x:f>IF(E3406="","Unknown",IF(E3406&lt;10,"&lt;10",IF(E3406&lt;20,"10-&lt;20",IF(E3406&lt;25,"20-&lt;25",IF(E3406&lt;35,"25-&lt;35","35+")))))</x:f>
        <x:v>20-&lt;25</x:v>
      </x:c>
    </x:row>
    <x:row r="3407">
      <x:c r="A3407" t="str">
        <x:v>SYN0003406</x:v>
      </x:c>
      <x:c r="B3407" s="12" t="n">
        <x:v>43405</x:v>
      </x:c>
      <x:c r="C3407" s="18" t="n">
        <x:v>8987</x:v>
      </x:c>
      <x:c r="D3407" s="18" t="n">
        <x:v>33686</x:v>
      </x:c>
      <x:c r="E3407" s="18" t="n">
        <x:v>25.13</x:v>
      </x:c>
      <x:c r="F3407" s="18" t="n">
        <x:v>18.57</x:v>
      </x:c>
      <x:c r="G3407" t="n">
        <x:v>36</x:v>
      </x:c>
      <x:c r="H3407" t="str">
        <x:v>E</x:v>
      </x:c>
      <x:c r="I3407" t="str">
        <x:v>1-3 years</x:v>
      </x:c>
      <x:c r="J3407" t="str">
        <x:v>MORTGAGE</x:v>
      </x:c>
      <x:c r="K3407" t="str">
        <x:v>home_improvement</x:v>
      </x:c>
      <x:c r="L3407" t="n">
        <x:v>1</x:v>
      </x:c>
      <x:c r="M3407" t="n">
        <x:v>0</x:v>
      </x:c>
      <x:c r="N3407" t="str">
        <x:v>Fully Paid</x:v>
      </x:c>
      <x:c r="O3407" t="str">
        <x:f>IF(D3407="","Unknown",IF(D3407&lt;25000,"&lt;$25k",IF(D3407&lt;50000,"$25k-$50k",IF(D3407&lt;75000,"$50k-$75k",IF(D3407&lt;100000,"$75k-$100k","$100k+")))))</x:f>
        <x:v>$25k-$50k</x:v>
      </x:c>
      <x:c r="P3407" t="str">
        <x:f>IF(E3407="","Unknown",IF(E3407&lt;10,"&lt;10",IF(E3407&lt;20,"10-&lt;20",IF(E3407&lt;25,"20-&lt;25",IF(E3407&lt;35,"25-&lt;35","35+")))))</x:f>
        <x:v>25-&lt;35</x:v>
      </x:c>
    </x:row>
    <x:row r="3408">
      <x:c r="A3408" t="str">
        <x:v>SYN0003407</x:v>
      </x:c>
      <x:c r="B3408" s="12" t="n">
        <x:v>43105</x:v>
      </x:c>
      <x:c r="C3408" s="18" t="n">
        <x:v>19477</x:v>
      </x:c>
      <x:c r="D3408" s="18" t="n">
        <x:v>73607</x:v>
      </x:c>
      <x:c r="E3408" s="18" t="n">
        <x:v>8.07</x:v>
      </x:c>
      <x:c r="F3408" s="18" t="n">
        <x:v>13.45</x:v>
      </x:c>
      <x:c r="G3408" t="n">
        <x:v>36</x:v>
      </x:c>
      <x:c r="H3408" t="str">
        <x:v>C</x:v>
      </x:c>
      <x:c r="I3408" t="str">
        <x:v>4-6 years</x:v>
      </x:c>
      <x:c r="J3408" t="str">
        <x:v>MORTGAGE</x:v>
      </x:c>
      <x:c r="K3408" t="str">
        <x:v>debt_consolidation</x:v>
      </x:c>
      <x:c r="L3408" t="n">
        <x:v>0</x:v>
      </x:c>
      <x:c r="M3408" t="n">
        <x:v>0</x:v>
      </x:c>
      <x:c r="N3408" t="str">
        <x:v>Fully Paid</x:v>
      </x:c>
      <x:c r="O3408" t="str">
        <x:f>IF(D3408="","Unknown",IF(D3408&lt;25000,"&lt;$25k",IF(D3408&lt;50000,"$25k-$50k",IF(D3408&lt;75000,"$50k-$75k",IF(D3408&lt;100000,"$75k-$100k","$100k+")))))</x:f>
        <x:v>$50k-$75k</x:v>
      </x:c>
      <x:c r="P3408" t="str">
        <x:f>IF(E3408="","Unknown",IF(E3408&lt;10,"&lt;10",IF(E3408&lt;20,"10-&lt;20",IF(E3408&lt;25,"20-&lt;25",IF(E3408&lt;35,"25-&lt;35","35+")))))</x:f>
        <x:v>&lt;10</x:v>
      </x:c>
    </x:row>
    <x:row r="3409">
      <x:c r="A3409" t="str">
        <x:v>SYN0003408</x:v>
      </x:c>
      <x:c r="B3409" s="12" t="n">
        <x:v>42145</x:v>
      </x:c>
      <x:c r="C3409" s="18" t="n">
        <x:v>9857</x:v>
      </x:c>
      <x:c r="D3409" s="18" t="n">
        <x:v>76578</x:v>
      </x:c>
      <x:c r="E3409" s="18" t="n">
        <x:v>20.24</x:v>
      </x:c>
      <x:c r="F3409" s="18" t="n">
        <x:v>22.33</x:v>
      </x:c>
      <x:c r="G3409" t="n">
        <x:v>36</x:v>
      </x:c>
      <x:c r="H3409" t="str">
        <x:v>F</x:v>
      </x:c>
      <x:c r="I3409" t="str">
        <x:v>7-9 years</x:v>
      </x:c>
      <x:c r="J3409" t="str">
        <x:v>OWN</x:v>
      </x:c>
      <x:c r="K3409" t="str">
        <x:v>other</x:v>
      </x:c>
      <x:c r="L3409" t="n">
        <x:v>1</x:v>
      </x:c>
      <x:c r="M3409" t="n">
        <x:v>0</x:v>
      </x:c>
      <x:c r="N3409" t="str">
        <x:v>Fully Paid</x:v>
      </x:c>
      <x:c r="O3409" t="str">
        <x:f>IF(D3409="","Unknown",IF(D3409&lt;25000,"&lt;$25k",IF(D3409&lt;50000,"$25k-$50k",IF(D3409&lt;75000,"$50k-$75k",IF(D3409&lt;100000,"$75k-$100k","$100k+")))))</x:f>
        <x:v>$75k-$100k</x:v>
      </x:c>
      <x:c r="P3409" t="str">
        <x:f>IF(E3409="","Unknown",IF(E3409&lt;10,"&lt;10",IF(E3409&lt;20,"10-&lt;20",IF(E3409&lt;25,"20-&lt;25",IF(E3409&lt;35,"25-&lt;35","35+")))))</x:f>
        <x:v>20-&lt;25</x:v>
      </x:c>
    </x:row>
    <x:row r="3410">
      <x:c r="A3410" t="str">
        <x:v>SYN0003409</x:v>
      </x:c>
      <x:c r="B3410" s="12" t="n">
        <x:v>41695</x:v>
      </x:c>
      <x:c r="C3410" s="18" t="n">
        <x:v>5402</x:v>
      </x:c>
      <x:c r="D3410" s="18" t="n">
        <x:v>51483</x:v>
      </x:c>
      <x:c r="E3410" s="18" t="n">
        <x:v>30.27</x:v>
      </x:c>
      <x:c r="F3410" s="18" t="n">
        <x:v>13.49</x:v>
      </x:c>
      <x:c r="G3410" t="n">
        <x:v>60</x:v>
      </x:c>
      <x:c r="H3410" t="str">
        <x:v>D</x:v>
      </x:c>
      <x:c r="I3410" t="str">
        <x:v>1-3 years</x:v>
      </x:c>
      <x:c r="J3410" t="str">
        <x:v>RENT</x:v>
      </x:c>
      <x:c r="K3410" t="str">
        <x:v>credit_card</x:v>
      </x:c>
      <x:c r="L3410" t="n">
        <x:v>0</x:v>
      </x:c>
      <x:c r="M3410" t="n">
        <x:v>0</x:v>
      </x:c>
      <x:c r="N3410" t="str">
        <x:v>Fully Paid</x:v>
      </x:c>
      <x:c r="O3410" t="str">
        <x:f>IF(D3410="","Unknown",IF(D3410&lt;25000,"&lt;$25k",IF(D3410&lt;50000,"$25k-$50k",IF(D3410&lt;75000,"$50k-$75k",IF(D3410&lt;100000,"$75k-$100k","$100k+")))))</x:f>
        <x:v>$50k-$75k</x:v>
      </x:c>
      <x:c r="P3410" t="str">
        <x:f>IF(E3410="","Unknown",IF(E3410&lt;10,"&lt;10",IF(E3410&lt;20,"10-&lt;20",IF(E3410&lt;25,"20-&lt;25",IF(E3410&lt;35,"25-&lt;35","35+")))))</x:f>
        <x:v>25-&lt;35</x:v>
      </x:c>
    </x:row>
    <x:row r="3411">
      <x:c r="A3411" t="str">
        <x:v>SYN0003410</x:v>
      </x:c>
      <x:c r="B3411" s="12" t="n">
        <x:v>42685</x:v>
      </x:c>
      <x:c r="C3411" s="18" t="n">
        <x:v>18104</x:v>
      </x:c>
      <x:c r="D3411" s="18" t="n">
        <x:v>53583</x:v>
      </x:c>
      <x:c r="E3411" s="18" t="n">
        <x:v>2.98</x:v>
      </x:c>
      <x:c r="F3411" s="18" t="n">
        <x:v>6.68</x:v>
      </x:c>
      <x:c r="G3411" t="n">
        <x:v>60</x:v>
      </x:c>
      <x:c r="H3411" t="str">
        <x:v>B</x:v>
      </x:c>
      <x:c r="I3411" t="str">
        <x:v>&lt;1 year</x:v>
      </x:c>
      <x:c r="J3411" t="str">
        <x:v>RENT</x:v>
      </x:c>
      <x:c r="K3411" t="str">
        <x:v>debt_consolidation</x:v>
      </x:c>
      <x:c r="L3411" t="n">
        <x:v>1</x:v>
      </x:c>
      <x:c r="M3411" t="n">
        <x:v>0</x:v>
      </x:c>
      <x:c r="N3411" t="str">
        <x:v>Fully Paid</x:v>
      </x:c>
      <x:c r="O3411" t="str">
        <x:f>IF(D3411="","Unknown",IF(D3411&lt;25000,"&lt;$25k",IF(D3411&lt;50000,"$25k-$50k",IF(D3411&lt;75000,"$50k-$75k",IF(D3411&lt;100000,"$75k-$100k","$100k+")))))</x:f>
        <x:v>$50k-$75k</x:v>
      </x:c>
      <x:c r="P3411" t="str">
        <x:f>IF(E3411="","Unknown",IF(E3411&lt;10,"&lt;10",IF(E3411&lt;20,"10-&lt;20",IF(E3411&lt;25,"20-&lt;25",IF(E3411&lt;35,"25-&lt;35","35+")))))</x:f>
        <x:v>&lt;10</x:v>
      </x:c>
    </x:row>
    <x:row r="3412">
      <x:c r="A3412" t="str">
        <x:v>SYN0003411</x:v>
      </x:c>
      <x:c r="B3412" s="12" t="n">
        <x:v>42835</x:v>
      </x:c>
      <x:c r="C3412" s="18" t="n">
        <x:v>6705</x:v>
      </x:c>
      <x:c r="D3412" s="18" t="n">
        <x:v>63742</x:v>
      </x:c>
      <x:c r="E3412" s="18" t="n">
        <x:v>9.9</x:v>
      </x:c>
      <x:c r="F3412" s="18" t="n">
        <x:v>11.74</x:v>
      </x:c>
      <x:c r="G3412" t="n">
        <x:v>36</x:v>
      </x:c>
      <x:c r="H3412" t="str">
        <x:v>C</x:v>
      </x:c>
      <x:c r="I3412" t="str">
        <x:v>1-3 years</x:v>
      </x:c>
      <x:c r="J3412" t="str">
        <x:v>MORTGAGE</x:v>
      </x:c>
      <x:c r="K3412" t="str">
        <x:v>debt_consolidation</x:v>
      </x:c>
      <x:c r="L3412" t="n">
        <x:v>0</x:v>
      </x:c>
      <x:c r="M3412" t="n">
        <x:v>0</x:v>
      </x:c>
      <x:c r="N3412" t="str">
        <x:v>Fully Paid</x:v>
      </x:c>
      <x:c r="O3412" t="str">
        <x:f>IF(D3412="","Unknown",IF(D3412&lt;25000,"&lt;$25k",IF(D3412&lt;50000,"$25k-$50k",IF(D3412&lt;75000,"$50k-$75k",IF(D3412&lt;100000,"$75k-$100k","$100k+")))))</x:f>
        <x:v>$50k-$75k</x:v>
      </x:c>
      <x:c r="P3412" t="str">
        <x:f>IF(E3412="","Unknown",IF(E3412&lt;10,"&lt;10",IF(E3412&lt;20,"10-&lt;20",IF(E3412&lt;25,"20-&lt;25",IF(E3412&lt;35,"25-&lt;35","35+")))))</x:f>
        <x:v>&lt;10</x:v>
      </x:c>
    </x:row>
    <x:row r="3413">
      <x:c r="A3413" t="str">
        <x:v>SYN0003412</x:v>
      </x:c>
      <x:c r="B3413" s="12" t="n">
        <x:v>42325</x:v>
      </x:c>
      <x:c r="C3413" s="18" t="n">
        <x:v>8660</x:v>
      </x:c>
      <x:c r="D3413" s="18" t="n">
        <x:v>151756</x:v>
      </x:c>
      <x:c r="E3413" s="18" t="n">
        <x:v>17.19</x:v>
      </x:c>
      <x:c r="F3413" s="18" t="n">
        <x:v>16.45</x:v>
      </x:c>
      <x:c r="G3413" t="n">
        <x:v>36</x:v>
      </x:c>
      <x:c r="H3413" t="str">
        <x:v>E</x:v>
      </x:c>
      <x:c r="I3413" t="str">
        <x:v>1-3 years</x:v>
      </x:c>
      <x:c r="J3413" t="str">
        <x:v>RENT</x:v>
      </x:c>
      <x:c r="K3413" t="str">
        <x:v>credit_card</x:v>
      </x:c>
      <x:c r="L3413" t="n">
        <x:v>2</x:v>
      </x:c>
      <x:c r="M3413" t="n">
        <x:v>0</x:v>
      </x:c>
      <x:c r="N3413" t="str">
        <x:v>Fully Paid</x:v>
      </x:c>
      <x:c r="O3413" t="str">
        <x:f>IF(D3413="","Unknown",IF(D3413&lt;25000,"&lt;$25k",IF(D3413&lt;50000,"$25k-$50k",IF(D3413&lt;75000,"$50k-$75k",IF(D3413&lt;100000,"$75k-$100k","$100k+")))))</x:f>
        <x:v>$100k+</x:v>
      </x:c>
      <x:c r="P3413" t="str">
        <x:f>IF(E3413="","Unknown",IF(E3413&lt;10,"&lt;10",IF(E3413&lt;20,"10-&lt;20",IF(E3413&lt;25,"20-&lt;25",IF(E3413&lt;35,"25-&lt;35","35+")))))</x:f>
        <x:v>10-&lt;20</x:v>
      </x:c>
    </x:row>
    <x:row r="3414">
      <x:c r="A3414" t="str">
        <x:v>SYN0003413</x:v>
      </x:c>
      <x:c r="B3414" s="12" t="n">
        <x:v>42745</x:v>
      </x:c>
      <x:c r="C3414" s="18" t="n">
        <x:v>10453</x:v>
      </x:c>
      <x:c r="D3414" s="18" t="n">
        <x:v>33903</x:v>
      </x:c>
      <x:c r="E3414" s="18" t="n">
        <x:v>23.05</x:v>
      </x:c>
      <x:c r="F3414" s="18" t="n">
        <x:v>18.38</x:v>
      </x:c>
      <x:c r="G3414" t="n">
        <x:v>36</x:v>
      </x:c>
      <x:c r="H3414" t="str">
        <x:v>D</x:v>
      </x:c>
      <x:c r="I3414" t="str">
        <x:v>4-6 years</x:v>
      </x:c>
      <x:c r="J3414" t="str">
        <x:v>MORTGAGE</x:v>
      </x:c>
      <x:c r="K3414" t="str">
        <x:v>home_improvement</x:v>
      </x:c>
      <x:c r="L3414" t="n">
        <x:v>0</x:v>
      </x:c>
      <x:c r="M3414" t="n">
        <x:v>0</x:v>
      </x:c>
      <x:c r="N3414" t="str">
        <x:v>Fully Paid</x:v>
      </x:c>
      <x:c r="O3414" t="str">
        <x:f>IF(D3414="","Unknown",IF(D3414&lt;25000,"&lt;$25k",IF(D3414&lt;50000,"$25k-$50k",IF(D3414&lt;75000,"$50k-$75k",IF(D3414&lt;100000,"$75k-$100k","$100k+")))))</x:f>
        <x:v>$25k-$50k</x:v>
      </x:c>
      <x:c r="P3414" t="str">
        <x:f>IF(E3414="","Unknown",IF(E3414&lt;10,"&lt;10",IF(E3414&lt;20,"10-&lt;20",IF(E3414&lt;25,"20-&lt;25",IF(E3414&lt;35,"25-&lt;35","35+")))))</x:f>
        <x:v>20-&lt;25</x:v>
      </x:c>
    </x:row>
    <x:row r="3415">
      <x:c r="A3415" t="str">
        <x:v>SYN0003414</x:v>
      </x:c>
      <x:c r="B3415" s="12" t="n">
        <x:v>42805</x:v>
      </x:c>
      <x:c r="C3415" s="18" t="n">
        <x:v>13625</x:v>
      </x:c>
      <x:c r="D3415" s="18" t="n">
        <x:v>151217</x:v>
      </x:c>
      <x:c r="E3415" s="18" t="n">
        <x:v>10.04</x:v>
      </x:c>
      <x:c r="F3415" s="18" t="n">
        <x:v>18.61</x:v>
      </x:c>
      <x:c r="G3415" t="n">
        <x:v>36</x:v>
      </x:c>
      <x:c r="H3415" t="str">
        <x:v>F</x:v>
      </x:c>
      <x:c r="I3415" t="str">
        <x:v>4-6 years</x:v>
      </x:c>
      <x:c r="J3415" t="str">
        <x:v>OWN</x:v>
      </x:c>
      <x:c r="K3415" t="str">
        <x:v>debt_consolidation</x:v>
      </x:c>
      <x:c r="L3415" t="n">
        <x:v>1</x:v>
      </x:c>
      <x:c r="M3415" t="n">
        <x:v>0</x:v>
      </x:c>
      <x:c r="N3415" t="str">
        <x:v>Fully Paid</x:v>
      </x:c>
      <x:c r="O3415" t="str">
        <x:f>IF(D3415="","Unknown",IF(D3415&lt;25000,"&lt;$25k",IF(D3415&lt;50000,"$25k-$50k",IF(D3415&lt;75000,"$50k-$75k",IF(D3415&lt;100000,"$75k-$100k","$100k+")))))</x:f>
        <x:v>$100k+</x:v>
      </x:c>
      <x:c r="P3415" t="str">
        <x:f>IF(E3415="","Unknown",IF(E3415&lt;10,"&lt;10",IF(E3415&lt;20,"10-&lt;20",IF(E3415&lt;25,"20-&lt;25",IF(E3415&lt;35,"25-&lt;35","35+")))))</x:f>
        <x:v>10-&lt;20</x:v>
      </x:c>
    </x:row>
    <x:row r="3416">
      <x:c r="A3416" t="str">
        <x:v>SYN0003415</x:v>
      </x:c>
      <x:c r="B3416" s="12" t="n">
        <x:v>41995</x:v>
      </x:c>
      <x:c r="C3416" s="18" t="n">
        <x:v>9515</x:v>
      </x:c>
      <x:c r="D3416" s="18" t="n">
        <x:v>34042</x:v>
      </x:c>
      <x:c r="E3416" s="18" t="n">
        <x:v>32.34</x:v>
      </x:c>
      <x:c r="F3416" s="18" t="n">
        <x:v>11.52</x:v>
      </x:c>
      <x:c r="G3416" t="n">
        <x:v>36</x:v>
      </x:c>
      <x:c r="H3416" t="str">
        <x:v>C</x:v>
      </x:c>
      <x:c r="I3416" t="str">
        <x:v>4-6 years</x:v>
      </x:c>
      <x:c r="J3416" t="str">
        <x:v>OWN</x:v>
      </x:c>
      <x:c r="K3416" t="str">
        <x:v>home_improvement</x:v>
      </x:c>
      <x:c r="L3416" t="n">
        <x:v>1</x:v>
      </x:c>
      <x:c r="M3416" t="n">
        <x:v>0</x:v>
      </x:c>
      <x:c r="N3416" t="str">
        <x:v>Fully Paid</x:v>
      </x:c>
      <x:c r="O3416" t="str">
        <x:f>IF(D3416="","Unknown",IF(D3416&lt;25000,"&lt;$25k",IF(D3416&lt;50000,"$25k-$50k",IF(D3416&lt;75000,"$50k-$75k",IF(D3416&lt;100000,"$75k-$100k","$100k+")))))</x:f>
        <x:v>$25k-$50k</x:v>
      </x:c>
      <x:c r="P3416" t="str">
        <x:f>IF(E3416="","Unknown",IF(E3416&lt;10,"&lt;10",IF(E3416&lt;20,"10-&lt;20",IF(E3416&lt;25,"20-&lt;25",IF(E3416&lt;35,"25-&lt;35","35+")))))</x:f>
        <x:v>25-&lt;35</x:v>
      </x:c>
    </x:row>
    <x:row r="3417">
      <x:c r="A3417" t="str">
        <x:v>SYN0003416</x:v>
      </x:c>
      <x:c r="B3417" s="12" t="n">
        <x:v>42535</x:v>
      </x:c>
      <x:c r="C3417" s="18" t="n">
        <x:v>21598</x:v>
      </x:c>
      <x:c r="D3417" s="18" t="n">
        <x:v>51650</x:v>
      </x:c>
      <x:c r="E3417" s="18" t="n">
        <x:v>15.77</x:v>
      </x:c>
      <x:c r="F3417" s="18" t="n">
        <x:v>7.79</x:v>
      </x:c>
      <x:c r="G3417" t="n">
        <x:v>60</x:v>
      </x:c>
      <x:c r="H3417" t="str">
        <x:v>A</x:v>
      </x:c>
      <x:c r="I3417" t="str">
        <x:v>1-3 years</x:v>
      </x:c>
      <x:c r="J3417" t="str">
        <x:v>RENT</x:v>
      </x:c>
      <x:c r="K3417" t="str">
        <x:v>debt_consolidation</x:v>
      </x:c>
      <x:c r="L3417" t="n">
        <x:v>1</x:v>
      </x:c>
      <x:c r="M3417" t="n">
        <x:v>0</x:v>
      </x:c>
      <x:c r="N3417" t="str">
        <x:v>Fully Paid</x:v>
      </x:c>
      <x:c r="O3417" t="str">
        <x:f>IF(D3417="","Unknown",IF(D3417&lt;25000,"&lt;$25k",IF(D3417&lt;50000,"$25k-$50k",IF(D3417&lt;75000,"$50k-$75k",IF(D3417&lt;100000,"$75k-$100k","$100k+")))))</x:f>
        <x:v>$50k-$75k</x:v>
      </x:c>
      <x:c r="P3417" t="str">
        <x:f>IF(E3417="","Unknown",IF(E3417&lt;10,"&lt;10",IF(E3417&lt;20,"10-&lt;20",IF(E3417&lt;25,"20-&lt;25",IF(E3417&lt;35,"25-&lt;35","35+")))))</x:f>
        <x:v>10-&lt;20</x:v>
      </x:c>
    </x:row>
    <x:row r="3418">
      <x:c r="A3418" t="str">
        <x:v>SYN0003417</x:v>
      </x:c>
      <x:c r="B3418" s="12" t="n">
        <x:v>41515</x:v>
      </x:c>
      <x:c r="C3418" s="18" t="n">
        <x:v>20995</x:v>
      </x:c>
      <x:c r="D3418" s="18" t="n">
        <x:v>45752</x:v>
      </x:c>
      <x:c r="E3418" s="18" t="n">
        <x:v>11.64</x:v>
      </x:c>
      <x:c r="F3418" s="18" t="n">
        <x:v>10.11</x:v>
      </x:c>
      <x:c r="G3418" t="n">
        <x:v>36</x:v>
      </x:c>
      <x:c r="H3418" t="str">
        <x:v>B</x:v>
      </x:c>
      <x:c r="I3418" t="str">
        <x:v>10+ years</x:v>
      </x:c>
      <x:c r="J3418" t="str">
        <x:v>MORTGAGE</x:v>
      </x:c>
      <x:c r="K3418" t="str">
        <x:v>other</x:v>
      </x:c>
      <x:c r="L3418" t="n">
        <x:v>0</x:v>
      </x:c>
      <x:c r="M3418" t="n">
        <x:v>0</x:v>
      </x:c>
      <x:c r="N3418" t="str">
        <x:v>Fully Paid</x:v>
      </x:c>
      <x:c r="O3418" t="str">
        <x:f>IF(D3418="","Unknown",IF(D3418&lt;25000,"&lt;$25k",IF(D3418&lt;50000,"$25k-$50k",IF(D3418&lt;75000,"$50k-$75k",IF(D3418&lt;100000,"$75k-$100k","$100k+")))))</x:f>
        <x:v>$25k-$50k</x:v>
      </x:c>
      <x:c r="P3418" t="str">
        <x:f>IF(E3418="","Unknown",IF(E3418&lt;10,"&lt;10",IF(E3418&lt;20,"10-&lt;20",IF(E3418&lt;25,"20-&lt;25",IF(E3418&lt;35,"25-&lt;35","35+")))))</x:f>
        <x:v>10-&lt;20</x:v>
      </x:c>
    </x:row>
    <x:row r="3419">
      <x:c r="A3419" t="str">
        <x:v>SYN0003418</x:v>
      </x:c>
      <x:c r="B3419" s="12" t="n">
        <x:v>41545</x:v>
      </x:c>
      <x:c r="C3419" s="18" t="n">
        <x:v>8895</x:v>
      </x:c>
      <x:c r="D3419" s="18" t="n">
        <x:v>153618</x:v>
      </x:c>
      <x:c r="E3419" s="18" t="n">
        <x:v>19.38</x:v>
      </x:c>
      <x:c r="F3419" s="18" t="n">
        <x:v>11.57</x:v>
      </x:c>
      <x:c r="G3419" t="n">
        <x:v>36</x:v>
      </x:c>
      <x:c r="H3419" t="str">
        <x:v>C</x:v>
      </x:c>
      <x:c r="I3419" t="str">
        <x:v>10+ years</x:v>
      </x:c>
      <x:c r="J3419" t="str">
        <x:v>OWN</x:v>
      </x:c>
      <x:c r="K3419" t="str">
        <x:v>credit_card</x:v>
      </x:c>
      <x:c r="L3419" t="n">
        <x:v>1</x:v>
      </x:c>
      <x:c r="M3419" t="n">
        <x:v>0</x:v>
      </x:c>
      <x:c r="N3419" t="str">
        <x:v>Fully Paid</x:v>
      </x:c>
      <x:c r="O3419" t="str">
        <x:f>IF(D3419="","Unknown",IF(D3419&lt;25000,"&lt;$25k",IF(D3419&lt;50000,"$25k-$50k",IF(D3419&lt;75000,"$50k-$75k",IF(D3419&lt;100000,"$75k-$100k","$100k+")))))</x:f>
        <x:v>$100k+</x:v>
      </x:c>
      <x:c r="P3419" t="str">
        <x:f>IF(E3419="","Unknown",IF(E3419&lt;10,"&lt;10",IF(E3419&lt;20,"10-&lt;20",IF(E3419&lt;25,"20-&lt;25",IF(E3419&lt;35,"25-&lt;35","35+")))))</x:f>
        <x:v>10-&lt;20</x:v>
      </x:c>
    </x:row>
    <x:row r="3420">
      <x:c r="A3420" t="str">
        <x:v>SYN0003419</x:v>
      </x:c>
      <x:c r="B3420" s="12" t="n">
        <x:v>42145</x:v>
      </x:c>
      <x:c r="C3420" s="18" t="n">
        <x:v>24263</x:v>
      </x:c>
      <x:c r="D3420" s="18" t="n">
        <x:v>72480</x:v>
      </x:c>
      <x:c r="E3420" s="18" t="n">
        <x:v>30.72</x:v>
      </x:c>
      <x:c r="F3420" s="18" t="n">
        <x:v>14.31</x:v>
      </x:c>
      <x:c r="G3420" t="n">
        <x:v>36</x:v>
      </x:c>
      <x:c r="H3420" t="str">
        <x:v>D</x:v>
      </x:c>
      <x:c r="I3420" t="str">
        <x:v>4-6 years</x:v>
      </x:c>
      <x:c r="J3420" t="str">
        <x:v>OWN</x:v>
      </x:c>
      <x:c r="K3420" t="str">
        <x:v>credit_card</x:v>
      </x:c>
      <x:c r="L3420" t="n">
        <x:v>1</x:v>
      </x:c>
      <x:c r="M3420" t="n">
        <x:v>0</x:v>
      </x:c>
      <x:c r="N3420" t="str">
        <x:v>Fully Paid</x:v>
      </x:c>
      <x:c r="O3420" t="str">
        <x:f>IF(D3420="","Unknown",IF(D3420&lt;25000,"&lt;$25k",IF(D3420&lt;50000,"$25k-$50k",IF(D3420&lt;75000,"$50k-$75k",IF(D3420&lt;100000,"$75k-$100k","$100k+")))))</x:f>
        <x:v>$50k-$75k</x:v>
      </x:c>
      <x:c r="P3420" t="str">
        <x:f>IF(E3420="","Unknown",IF(E3420&lt;10,"&lt;10",IF(E3420&lt;20,"10-&lt;20",IF(E3420&lt;25,"20-&lt;25",IF(E3420&lt;35,"25-&lt;35","35+")))))</x:f>
        <x:v>25-&lt;35</x:v>
      </x:c>
    </x:row>
    <x:row r="3421">
      <x:c r="A3421" t="str">
        <x:v>SYN0003420</x:v>
      </x:c>
      <x:c r="B3421" s="12" t="n">
        <x:v>42055</x:v>
      </x:c>
      <x:c r="C3421" s="18" t="n">
        <x:v>8672</x:v>
      </x:c>
      <x:c r="D3421" s="18" t="n">
        <x:v>38279</x:v>
      </x:c>
      <x:c r="E3421" s="18" t="n">
        <x:v>27.4</x:v>
      </x:c>
      <x:c r="F3421" s="18" t="n">
        <x:v>5.89</x:v>
      </x:c>
      <x:c r="G3421" t="n">
        <x:v>36</x:v>
      </x:c>
      <x:c r="H3421" t="str">
        <x:v>B</x:v>
      </x:c>
      <x:c r="I3421" t="str">
        <x:v>10+ years</x:v>
      </x:c>
      <x:c r="J3421" t="str">
        <x:v>OWN</x:v>
      </x:c>
      <x:c r="K3421" t="str">
        <x:v>debt_consolidation</x:v>
      </x:c>
      <x:c r="L3421" t="n">
        <x:v>1</x:v>
      </x:c>
      <x:c r="M3421" t="n">
        <x:v>0</x:v>
      </x:c>
      <x:c r="N3421" t="str">
        <x:v>Fully Paid</x:v>
      </x:c>
      <x:c r="O3421" t="str">
        <x:f>IF(D3421="","Unknown",IF(D3421&lt;25000,"&lt;$25k",IF(D3421&lt;50000,"$25k-$50k",IF(D3421&lt;75000,"$50k-$75k",IF(D3421&lt;100000,"$75k-$100k","$100k+")))))</x:f>
        <x:v>$25k-$50k</x:v>
      </x:c>
      <x:c r="P3421" t="str">
        <x:f>IF(E3421="","Unknown",IF(E3421&lt;10,"&lt;10",IF(E3421&lt;20,"10-&lt;20",IF(E3421&lt;25,"20-&lt;25",IF(E3421&lt;35,"25-&lt;35","35+")))))</x:f>
        <x:v>25-&lt;35</x:v>
      </x:c>
    </x:row>
    <x:row r="3422">
      <x:c r="A3422" t="str">
        <x:v>SYN0003421</x:v>
      </x:c>
      <x:c r="B3422" s="12" t="n">
        <x:v>43015</x:v>
      </x:c>
      <x:c r="C3422" s="18" t="n">
        <x:v>19353</x:v>
      </x:c>
      <x:c r="D3422" s="18" t="n">
        <x:v>29736</x:v>
      </x:c>
      <x:c r="E3422" s="18" t="n">
        <x:v>18.86</x:v>
      </x:c>
      <x:c r="F3422" s="18" t="n">
        <x:v>15.69</x:v>
      </x:c>
      <x:c r="G3422" t="n">
        <x:v>36</x:v>
      </x:c>
      <x:c r="H3422" t="str">
        <x:v>E</x:v>
      </x:c>
      <x:c r="I3422" t="str">
        <x:v>4-6 years</x:v>
      </x:c>
      <x:c r="J3422" t="str">
        <x:v>RENT</x:v>
      </x:c>
      <x:c r="K3422" t="str">
        <x:v>debt_consolidation</x:v>
      </x:c>
      <x:c r="L3422" t="n">
        <x:v>0</x:v>
      </x:c>
      <x:c r="M3422" t="n">
        <x:v>0</x:v>
      </x:c>
      <x:c r="N3422" t="str">
        <x:v>Fully Paid</x:v>
      </x:c>
      <x:c r="O3422" t="str">
        <x:f>IF(D3422="","Unknown",IF(D3422&lt;25000,"&lt;$25k",IF(D3422&lt;50000,"$25k-$50k",IF(D3422&lt;75000,"$50k-$75k",IF(D3422&lt;100000,"$75k-$100k","$100k+")))))</x:f>
        <x:v>$25k-$50k</x:v>
      </x:c>
      <x:c r="P3422" t="str">
        <x:f>IF(E3422="","Unknown",IF(E3422&lt;10,"&lt;10",IF(E3422&lt;20,"10-&lt;20",IF(E3422&lt;25,"20-&lt;25",IF(E3422&lt;35,"25-&lt;35","35+")))))</x:f>
        <x:v>10-&lt;20</x:v>
      </x:c>
    </x:row>
    <x:row r="3423">
      <x:c r="A3423" t="str">
        <x:v>SYN0003422</x:v>
      </x:c>
      <x:c r="B3423" s="12" t="n">
        <x:v>42055</x:v>
      </x:c>
      <x:c r="C3423" s="18" t="n">
        <x:v>26228</x:v>
      </x:c>
      <x:c r="D3423" s="18" t="n">
        <x:v>81734</x:v>
      </x:c>
      <x:c r="E3423" s="18" t="n">
        <x:v>28.91</x:v>
      </x:c>
      <x:c r="F3423" s="18" t="n">
        <x:v>9.7</x:v>
      </x:c>
      <x:c r="G3423" t="n">
        <x:v>60</x:v>
      </x:c>
      <x:c r="H3423" t="str">
        <x:v>B</x:v>
      </x:c>
      <x:c r="I3423" t="str">
        <x:v>10+ years</x:v>
      </x:c>
      <x:c r="J3423" t="str">
        <x:v>RENT</x:v>
      </x:c>
      <x:c r="K3423" t="str">
        <x:v>home_improvement</x:v>
      </x:c>
      <x:c r="L3423" t="n">
        <x:v>0</x:v>
      </x:c>
      <x:c r="M3423" t="n">
        <x:v>0</x:v>
      </x:c>
      <x:c r="N3423" t="str">
        <x:v>Fully Paid</x:v>
      </x:c>
      <x:c r="O3423" t="str">
        <x:f>IF(D3423="","Unknown",IF(D3423&lt;25000,"&lt;$25k",IF(D3423&lt;50000,"$25k-$50k",IF(D3423&lt;75000,"$50k-$75k",IF(D3423&lt;100000,"$75k-$100k","$100k+")))))</x:f>
        <x:v>$75k-$100k</x:v>
      </x:c>
      <x:c r="P3423" t="str">
        <x:f>IF(E3423="","Unknown",IF(E3423&lt;10,"&lt;10",IF(E3423&lt;20,"10-&lt;20",IF(E3423&lt;25,"20-&lt;25",IF(E3423&lt;35,"25-&lt;35","35+")))))</x:f>
        <x:v>25-&lt;35</x:v>
      </x:c>
    </x:row>
    <x:row r="3424">
      <x:c r="A3424" t="str">
        <x:v>SYN0003423</x:v>
      </x:c>
      <x:c r="B3424" s="12" t="n">
        <x:v>43165</x:v>
      </x:c>
      <x:c r="C3424" s="18" t="n">
        <x:v>10650</x:v>
      </x:c>
      <x:c r="D3424" s="18" t="n">
        <x:v>52698</x:v>
      </x:c>
      <x:c r="E3424" s="18" t="n">
        <x:v>10.3</x:v>
      </x:c>
      <x:c r="F3424" s="18" t="n">
        <x:v>6.51</x:v>
      </x:c>
      <x:c r="G3424" t="n">
        <x:v>36</x:v>
      </x:c>
      <x:c r="H3424" t="str">
        <x:v>A</x:v>
      </x:c>
      <x:c r="I3424" t="str">
        <x:v>7-9 years</x:v>
      </x:c>
      <x:c r="J3424" t="str">
        <x:v>RENT</x:v>
      </x:c>
      <x:c r="K3424" t="str">
        <x:v>credit_card</x:v>
      </x:c>
      <x:c r="L3424" t="n">
        <x:v>0</x:v>
      </x:c>
      <x:c r="M3424" t="n">
        <x:v>0</x:v>
      </x:c>
      <x:c r="N3424" t="str">
        <x:v>Fully Paid</x:v>
      </x:c>
      <x:c r="O3424" t="str">
        <x:f>IF(D3424="","Unknown",IF(D3424&lt;25000,"&lt;$25k",IF(D3424&lt;50000,"$25k-$50k",IF(D3424&lt;75000,"$50k-$75k",IF(D3424&lt;100000,"$75k-$100k","$100k+")))))</x:f>
        <x:v>$50k-$75k</x:v>
      </x:c>
      <x:c r="P3424" t="str">
        <x:f>IF(E3424="","Unknown",IF(E3424&lt;10,"&lt;10",IF(E3424&lt;20,"10-&lt;20",IF(E3424&lt;25,"20-&lt;25",IF(E3424&lt;35,"25-&lt;35","35+")))))</x:f>
        <x:v>10-&lt;20</x:v>
      </x:c>
    </x:row>
    <x:row r="3425">
      <x:c r="A3425" t="str">
        <x:v>SYN0003424</x:v>
      </x:c>
      <x:c r="B3425" s="12" t="n">
        <x:v>42025</x:v>
      </x:c>
      <x:c r="C3425" s="18" t="n">
        <x:v>17164</x:v>
      </x:c>
      <x:c r="D3425" s="18" t="n">
        <x:v>38434</x:v>
      </x:c>
      <x:c r="E3425" s="18" t="n">
        <x:v>12.86</x:v>
      </x:c>
      <x:c r="F3425" s="18" t="n">
        <x:v>7.26</x:v>
      </x:c>
      <x:c r="G3425" t="n">
        <x:v>36</x:v>
      </x:c>
      <x:c r="H3425" t="str">
        <x:v>B</x:v>
      </x:c>
      <x:c r="I3425" t="str">
        <x:v>10+ years</x:v>
      </x:c>
      <x:c r="J3425" t="str">
        <x:v>OWN</x:v>
      </x:c>
      <x:c r="K3425" t="str">
        <x:v>credit_card</x:v>
      </x:c>
      <x:c r="L3425" t="n">
        <x:v>0</x:v>
      </x:c>
      <x:c r="M3425" t="n">
        <x:v>0</x:v>
      </x:c>
      <x:c r="N3425" t="str">
        <x:v>Fully Paid</x:v>
      </x:c>
      <x:c r="O3425" t="str">
        <x:f>IF(D3425="","Unknown",IF(D3425&lt;25000,"&lt;$25k",IF(D3425&lt;50000,"$25k-$50k",IF(D3425&lt;75000,"$50k-$75k",IF(D3425&lt;100000,"$75k-$100k","$100k+")))))</x:f>
        <x:v>$25k-$50k</x:v>
      </x:c>
      <x:c r="P3425" t="str">
        <x:f>IF(E3425="","Unknown",IF(E3425&lt;10,"&lt;10",IF(E3425&lt;20,"10-&lt;20",IF(E3425&lt;25,"20-&lt;25",IF(E3425&lt;35,"25-&lt;35","35+")))))</x:f>
        <x:v>10-&lt;20</x:v>
      </x:c>
    </x:row>
    <x:row r="3426">
      <x:c r="A3426" t="str">
        <x:v>SYN0003425</x:v>
      </x:c>
      <x:c r="B3426" s="12" t="n">
        <x:v>42355</x:v>
      </x:c>
      <x:c r="C3426" s="18" t="n">
        <x:v>17442</x:v>
      </x:c>
      <x:c r="D3426" s="18" t="n">
        <x:v>54837</x:v>
      </x:c>
      <x:c r="E3426" s="18" t="n">
        <x:v>24.22</x:v>
      </x:c>
      <x:c r="F3426" s="18" t="n">
        <x:v>6.67</x:v>
      </x:c>
      <x:c r="G3426" t="n">
        <x:v>36</x:v>
      </x:c>
      <x:c r="H3426" t="str">
        <x:v>A</x:v>
      </x:c>
      <x:c r="I3426" t="str">
        <x:v>4-6 years</x:v>
      </x:c>
      <x:c r="J3426" t="str">
        <x:v>RENT</x:v>
      </x:c>
      <x:c r="K3426" t="str">
        <x:v>home_improvement</x:v>
      </x:c>
      <x:c r="L3426" t="n">
        <x:v>0</x:v>
      </x:c>
      <x:c r="M3426" t="n">
        <x:v>0</x:v>
      </x:c>
      <x:c r="N3426" t="str">
        <x:v>Fully Paid</x:v>
      </x:c>
      <x:c r="O3426" t="str">
        <x:f>IF(D3426="","Unknown",IF(D3426&lt;25000,"&lt;$25k",IF(D3426&lt;50000,"$25k-$50k",IF(D3426&lt;75000,"$50k-$75k",IF(D3426&lt;100000,"$75k-$100k","$100k+")))))</x:f>
        <x:v>$50k-$75k</x:v>
      </x:c>
      <x:c r="P3426" t="str">
        <x:f>IF(E3426="","Unknown",IF(E3426&lt;10,"&lt;10",IF(E3426&lt;20,"10-&lt;20",IF(E3426&lt;25,"20-&lt;25",IF(E3426&lt;35,"25-&lt;35","35+")))))</x:f>
        <x:v>20-&lt;25</x:v>
      </x:c>
    </x:row>
    <x:row r="3427">
      <x:c r="A3427" t="str">
        <x:v>SYN0003426</x:v>
      </x:c>
      <x:c r="B3427" s="12" t="n">
        <x:v>42385</x:v>
      </x:c>
      <x:c r="C3427" s="18" t="n">
        <x:v>21677</x:v>
      </x:c>
      <x:c r="D3427" s="18" t="n">
        <x:v>46991</x:v>
      </x:c>
      <x:c r="E3427" s="18" t="n">
        <x:v>35.78</x:v>
      </x:c>
      <x:c r="F3427" s="18" t="n">
        <x:v>21.82</x:v>
      </x:c>
      <x:c r="G3427" t="n">
        <x:v>36</x:v>
      </x:c>
      <x:c r="H3427" t="str">
        <x:v>F</x:v>
      </x:c>
      <x:c r="I3427" t="str">
        <x:v>10+ years</x:v>
      </x:c>
      <x:c r="J3427" t="str">
        <x:v>MORTGAGE</x:v>
      </x:c>
      <x:c r="K3427" t="str">
        <x:v>credit_card</x:v>
      </x:c>
      <x:c r="L3427" t="n">
        <x:v>2</x:v>
      </x:c>
      <x:c r="M3427" t="n">
        <x:v>0</x:v>
      </x:c>
      <x:c r="N3427" t="str">
        <x:v>Fully Paid</x:v>
      </x:c>
      <x:c r="O3427" t="str">
        <x:f>IF(D3427="","Unknown",IF(D3427&lt;25000,"&lt;$25k",IF(D3427&lt;50000,"$25k-$50k",IF(D3427&lt;75000,"$50k-$75k",IF(D3427&lt;100000,"$75k-$100k","$100k+")))))</x:f>
        <x:v>$25k-$50k</x:v>
      </x:c>
      <x:c r="P3427" t="str">
        <x:f>IF(E3427="","Unknown",IF(E3427&lt;10,"&lt;10",IF(E3427&lt;20,"10-&lt;20",IF(E3427&lt;25,"20-&lt;25",IF(E3427&lt;35,"25-&lt;35","35+")))))</x:f>
        <x:v>35+</x:v>
      </x:c>
    </x:row>
    <x:row r="3428">
      <x:c r="A3428" t="str">
        <x:v>SYN0003427</x:v>
      </x:c>
      <x:c r="B3428" s="12" t="n">
        <x:v>42265</x:v>
      </x:c>
      <x:c r="C3428" s="18" t="n">
        <x:v>6895</x:v>
      </x:c>
      <x:c r="D3428" s="18" t="n">
        <x:v>27880</x:v>
      </x:c>
      <x:c r="E3428" s="18" t="n">
        <x:v>13</x:v>
      </x:c>
      <x:c r="F3428" s="18" t="n">
        <x:v>6.19</x:v>
      </x:c>
      <x:c r="G3428" t="n">
        <x:v>36</x:v>
      </x:c>
      <x:c r="H3428" t="str">
        <x:v>A</x:v>
      </x:c>
      <x:c r="I3428" t="str">
        <x:v>1-3 years</x:v>
      </x:c>
      <x:c r="J3428" t="str">
        <x:v>MORTGAGE</x:v>
      </x:c>
      <x:c r="K3428" t="str">
        <x:v>debt_consolidation</x:v>
      </x:c>
      <x:c r="L3428" t="n">
        <x:v>1</x:v>
      </x:c>
      <x:c r="M3428" t="n">
        <x:v>0</x:v>
      </x:c>
      <x:c r="N3428" t="str">
        <x:v>Fully Paid</x:v>
      </x:c>
      <x:c r="O3428" t="str">
        <x:f>IF(D3428="","Unknown",IF(D3428&lt;25000,"&lt;$25k",IF(D3428&lt;50000,"$25k-$50k",IF(D3428&lt;75000,"$50k-$75k",IF(D3428&lt;100000,"$75k-$100k","$100k+")))))</x:f>
        <x:v>$25k-$50k</x:v>
      </x:c>
      <x:c r="P3428" t="str">
        <x:f>IF(E3428="","Unknown",IF(E3428&lt;10,"&lt;10",IF(E3428&lt;20,"10-&lt;20",IF(E3428&lt;25,"20-&lt;25",IF(E3428&lt;35,"25-&lt;35","35+")))))</x:f>
        <x:v>10-&lt;20</x:v>
      </x:c>
    </x:row>
    <x:row r="3429">
      <x:c r="A3429" t="str">
        <x:v>SYN0003428</x:v>
      </x:c>
      <x:c r="B3429" s="12" t="n">
        <x:v>43135</x:v>
      </x:c>
      <x:c r="C3429" s="18" t="n">
        <x:v>15854</x:v>
      </x:c>
      <x:c r="D3429" s="18" t="n">
        <x:v>46627</x:v>
      </x:c>
      <x:c r="E3429" s="18" t="n">
        <x:v>8.81</x:v>
      </x:c>
      <x:c r="F3429" s="18" t="n">
        <x:v>5</x:v>
      </x:c>
      <x:c r="G3429" t="n">
        <x:v>36</x:v>
      </x:c>
      <x:c r="H3429" t="str">
        <x:v>B</x:v>
      </x:c>
      <x:c r="I3429" t="str">
        <x:v>10+ years</x:v>
      </x:c>
      <x:c r="J3429" t="str">
        <x:v>RENT</x:v>
      </x:c>
      <x:c r="K3429" t="str">
        <x:v>credit_card</x:v>
      </x:c>
      <x:c r="L3429" t="n">
        <x:v>0</x:v>
      </x:c>
      <x:c r="M3429" t="n">
        <x:v>0</x:v>
      </x:c>
      <x:c r="N3429" t="str">
        <x:v>Fully Paid</x:v>
      </x:c>
      <x:c r="O3429" t="str">
        <x:f>IF(D3429="","Unknown",IF(D3429&lt;25000,"&lt;$25k",IF(D3429&lt;50000,"$25k-$50k",IF(D3429&lt;75000,"$50k-$75k",IF(D3429&lt;100000,"$75k-$100k","$100k+")))))</x:f>
        <x:v>$25k-$50k</x:v>
      </x:c>
      <x:c r="P3429" t="str">
        <x:f>IF(E3429="","Unknown",IF(E3429&lt;10,"&lt;10",IF(E3429&lt;20,"10-&lt;20",IF(E3429&lt;25,"20-&lt;25",IF(E3429&lt;35,"25-&lt;35","35+")))))</x:f>
        <x:v>&lt;10</x:v>
      </x:c>
    </x:row>
    <x:row r="3430">
      <x:c r="A3430" t="str">
        <x:v>SYN0003429</x:v>
      </x:c>
      <x:c r="B3430" s="12" t="n">
        <x:v>41455</x:v>
      </x:c>
      <x:c r="C3430" s="18" t="n">
        <x:v>8293</x:v>
      </x:c>
      <x:c r="D3430" s="18" t="n">
        <x:v>33330</x:v>
      </x:c>
      <x:c r="E3430" s="18" t="n">
        <x:v>29.19</x:v>
      </x:c>
      <x:c r="F3430" s="18" t="n">
        <x:v>9.06</x:v>
      </x:c>
      <x:c r="G3430" t="n">
        <x:v>36</x:v>
      </x:c>
      <x:c r="H3430" t="str">
        <x:v>B</x:v>
      </x:c>
      <x:c r="I3430" t="str">
        <x:v>1-3 years</x:v>
      </x:c>
      <x:c r="J3430" t="str">
        <x:v>MORTGAGE</x:v>
      </x:c>
      <x:c r="K3430" t="str">
        <x:v>credit_card</x:v>
      </x:c>
      <x:c r="L3430" t="n">
        <x:v>0</x:v>
      </x:c>
      <x:c r="M3430" t="n">
        <x:v>0</x:v>
      </x:c>
      <x:c r="N3430" t="str">
        <x:v>Fully Paid</x:v>
      </x:c>
      <x:c r="O3430" t="str">
        <x:f>IF(D3430="","Unknown",IF(D3430&lt;25000,"&lt;$25k",IF(D3430&lt;50000,"$25k-$50k",IF(D3430&lt;75000,"$50k-$75k",IF(D3430&lt;100000,"$75k-$100k","$100k+")))))</x:f>
        <x:v>$25k-$50k</x:v>
      </x:c>
      <x:c r="P3430" t="str">
        <x:f>IF(E3430="","Unknown",IF(E3430&lt;10,"&lt;10",IF(E3430&lt;20,"10-&lt;20",IF(E3430&lt;25,"20-&lt;25",IF(E3430&lt;35,"25-&lt;35","35+")))))</x:f>
        <x:v>25-&lt;35</x:v>
      </x:c>
    </x:row>
    <x:row r="3431">
      <x:c r="A3431" t="str">
        <x:v>SYN0003430</x:v>
      </x:c>
      <x:c r="B3431" s="12" t="n">
        <x:v>41515</x:v>
      </x:c>
      <x:c r="C3431" s="18" t="n">
        <x:v>7281</x:v>
      </x:c>
      <x:c r="D3431" s="18" t="n">
        <x:v>60936</x:v>
      </x:c>
      <x:c r="E3431" s="18" t="n">
        <x:v>18.58</x:v>
      </x:c>
      <x:c r="F3431" s="18" t="n">
        <x:v>17.98</x:v>
      </x:c>
      <x:c r="G3431" t="n">
        <x:v>60</x:v>
      </x:c>
      <x:c r="H3431" t="str">
        <x:v>E</x:v>
      </x:c>
      <x:c r="I3431" t="str">
        <x:v>10+ years</x:v>
      </x:c>
      <x:c r="J3431" t="str">
        <x:v>MORTGAGE</x:v>
      </x:c>
      <x:c r="K3431" t="str">
        <x:v>debt_consolidation</x:v>
      </x:c>
      <x:c r="L3431" t="n">
        <x:v>0</x:v>
      </x:c>
      <x:c r="M3431" t="n">
        <x:v>0</x:v>
      </x:c>
      <x:c r="N3431" t="str">
        <x:v>Fully Paid</x:v>
      </x:c>
      <x:c r="O3431" t="str">
        <x:f>IF(D3431="","Unknown",IF(D3431&lt;25000,"&lt;$25k",IF(D3431&lt;50000,"$25k-$50k",IF(D3431&lt;75000,"$50k-$75k",IF(D3431&lt;100000,"$75k-$100k","$100k+")))))</x:f>
        <x:v>$50k-$75k</x:v>
      </x:c>
      <x:c r="P3431" t="str">
        <x:f>IF(E3431="","Unknown",IF(E3431&lt;10,"&lt;10",IF(E3431&lt;20,"10-&lt;20",IF(E3431&lt;25,"20-&lt;25",IF(E3431&lt;35,"25-&lt;35","35+")))))</x:f>
        <x:v>10-&lt;20</x:v>
      </x:c>
    </x:row>
    <x:row r="3432">
      <x:c r="A3432" t="str">
        <x:v>SYN0003431</x:v>
      </x:c>
      <x:c r="B3432" s="12" t="n">
        <x:v>41635</x:v>
      </x:c>
      <x:c r="C3432" s="18" t="n">
        <x:v>8479</x:v>
      </x:c>
      <x:c r="D3432" s="18" t="n">
        <x:v>50284</x:v>
      </x:c>
      <x:c r="E3432" s="18" t="n">
        <x:v>22.56</x:v>
      </x:c>
      <x:c r="F3432" s="18" t="n">
        <x:v>6.71</x:v>
      </x:c>
      <x:c r="G3432" t="n">
        <x:v>60</x:v>
      </x:c>
      <x:c r="H3432" t="str">
        <x:v>B</x:v>
      </x:c>
      <x:c r="I3432" t="str">
        <x:v>7-9 years</x:v>
      </x:c>
      <x:c r="J3432" t="str">
        <x:v>OWN</x:v>
      </x:c>
      <x:c r="K3432" t="str">
        <x:v>debt_consolidation</x:v>
      </x:c>
      <x:c r="L3432" t="n">
        <x:v>1</x:v>
      </x:c>
      <x:c r="M3432" t="n">
        <x:v>0</x:v>
      </x:c>
      <x:c r="N3432" t="str">
        <x:v>Fully Paid</x:v>
      </x:c>
      <x:c r="O3432" t="str">
        <x:f>IF(D3432="","Unknown",IF(D3432&lt;25000,"&lt;$25k",IF(D3432&lt;50000,"$25k-$50k",IF(D3432&lt;75000,"$50k-$75k",IF(D3432&lt;100000,"$75k-$100k","$100k+")))))</x:f>
        <x:v>$50k-$75k</x:v>
      </x:c>
      <x:c r="P3432" t="str">
        <x:f>IF(E3432="","Unknown",IF(E3432&lt;10,"&lt;10",IF(E3432&lt;20,"10-&lt;20",IF(E3432&lt;25,"20-&lt;25",IF(E3432&lt;35,"25-&lt;35","35+")))))</x:f>
        <x:v>20-&lt;25</x:v>
      </x:c>
    </x:row>
    <x:row r="3433">
      <x:c r="A3433" t="str">
        <x:v>SYN0003432</x:v>
      </x:c>
      <x:c r="B3433" s="12" t="n">
        <x:v>42685</x:v>
      </x:c>
      <x:c r="C3433" s="18" t="n">
        <x:v>14175</x:v>
      </x:c>
      <x:c r="D3433" s="18" t="n">
        <x:v>14792</x:v>
      </x:c>
      <x:c r="E3433" s="18" t="n">
        <x:v>8.99</x:v>
      </x:c>
      <x:c r="F3433" s="18" t="n">
        <x:v>13.99</x:v>
      </x:c>
      <x:c r="G3433" t="n">
        <x:v>36</x:v>
      </x:c>
      <x:c r="H3433" t="str">
        <x:v>D</x:v>
      </x:c>
      <x:c r="I3433" t="str">
        <x:v>7-9 years</x:v>
      </x:c>
      <x:c r="J3433" t="str">
        <x:v>RENT</x:v>
      </x:c>
      <x:c r="K3433" t="str">
        <x:v>debt_consolidation</x:v>
      </x:c>
      <x:c r="L3433" t="n">
        <x:v>1</x:v>
      </x:c>
      <x:c r="M3433" t="n">
        <x:v>0</x:v>
      </x:c>
      <x:c r="N3433" t="str">
        <x:v>Fully Paid</x:v>
      </x:c>
      <x:c r="O3433" t="str">
        <x:f>IF(D3433="","Unknown",IF(D3433&lt;25000,"&lt;$25k",IF(D3433&lt;50000,"$25k-$50k",IF(D3433&lt;75000,"$50k-$75k",IF(D3433&lt;100000,"$75k-$100k","$100k+")))))</x:f>
        <x:v>&lt;$25k</x:v>
      </x:c>
      <x:c r="P3433" t="str">
        <x:f>IF(E3433="","Unknown",IF(E3433&lt;10,"&lt;10",IF(E3433&lt;20,"10-&lt;20",IF(E3433&lt;25,"20-&lt;25",IF(E3433&lt;35,"25-&lt;35","35+")))))</x:f>
        <x:v>&lt;10</x:v>
      </x:c>
    </x:row>
    <x:row r="3434">
      <x:c r="A3434" t="str">
        <x:v>SYN0003433</x:v>
      </x:c>
      <x:c r="B3434" s="12" t="n">
        <x:v>41365</x:v>
      </x:c>
      <x:c r="C3434" s="18" t="n">
        <x:v>5303</x:v>
      </x:c>
      <x:c r="D3434" s="18" t="n">
        <x:v>43472</x:v>
      </x:c>
      <x:c r="E3434" s="18" t="n">
        <x:v>25.83</x:v>
      </x:c>
      <x:c r="F3434" s="18" t="n">
        <x:v>19.59</x:v>
      </x:c>
      <x:c r="G3434" t="n">
        <x:v>60</x:v>
      </x:c>
      <x:c r="H3434" t="str">
        <x:v>E</x:v>
      </x:c>
      <x:c r="I3434" t="str">
        <x:v>4-6 years</x:v>
      </x:c>
      <x:c r="J3434" t="str">
        <x:v>RENT</x:v>
      </x:c>
      <x:c r="K3434" t="str">
        <x:v>debt_consolidation</x:v>
      </x:c>
      <x:c r="L3434" t="n">
        <x:v>0</x:v>
      </x:c>
      <x:c r="M3434" t="n">
        <x:v>0</x:v>
      </x:c>
      <x:c r="N3434" t="str">
        <x:v>Fully Paid</x:v>
      </x:c>
      <x:c r="O3434" t="str">
        <x:f>IF(D3434="","Unknown",IF(D3434&lt;25000,"&lt;$25k",IF(D3434&lt;50000,"$25k-$50k",IF(D3434&lt;75000,"$50k-$75k",IF(D3434&lt;100000,"$75k-$100k","$100k+")))))</x:f>
        <x:v>$25k-$50k</x:v>
      </x:c>
      <x:c r="P3434" t="str">
        <x:f>IF(E3434="","Unknown",IF(E3434&lt;10,"&lt;10",IF(E3434&lt;20,"10-&lt;20",IF(E3434&lt;25,"20-&lt;25",IF(E3434&lt;35,"25-&lt;35","35+")))))</x:f>
        <x:v>25-&lt;35</x:v>
      </x:c>
    </x:row>
    <x:row r="3435">
      <x:c r="A3435" t="str">
        <x:v>SYN0003434</x:v>
      </x:c>
      <x:c r="B3435" s="12" t="n">
        <x:v>41335</x:v>
      </x:c>
      <x:c r="C3435" s="18" t="n">
        <x:v>14904</x:v>
      </x:c>
      <x:c r="D3435" s="18" t="n">
        <x:v>53722</x:v>
      </x:c>
      <x:c r="E3435" s="18" t="n">
        <x:v>20.69</x:v>
      </x:c>
      <x:c r="F3435" s="18" t="n">
        <x:v>25.54</x:v>
      </x:c>
      <x:c r="G3435" t="n">
        <x:v>36</x:v>
      </x:c>
      <x:c r="H3435" t="str">
        <x:v>G</x:v>
      </x:c>
      <x:c r="I3435" t="str">
        <x:v>1-3 years</x:v>
      </x:c>
      <x:c r="J3435" t="str">
        <x:v>OWN</x:v>
      </x:c>
      <x:c r="K3435" t="str">
        <x:v>debt_consolidation</x:v>
      </x:c>
      <x:c r="L3435" t="n">
        <x:v>2</x:v>
      </x:c>
      <x:c r="M3435" t="n">
        <x:v>1</x:v>
      </x:c>
      <x:c r="N3435" t="str">
        <x:v>Charged Off</x:v>
      </x:c>
      <x:c r="O3435" t="str">
        <x:f>IF(D3435="","Unknown",IF(D3435&lt;25000,"&lt;$25k",IF(D3435&lt;50000,"$25k-$50k",IF(D3435&lt;75000,"$50k-$75k",IF(D3435&lt;100000,"$75k-$100k","$100k+")))))</x:f>
        <x:v>$50k-$75k</x:v>
      </x:c>
      <x:c r="P3435" t="str">
        <x:f>IF(E3435="","Unknown",IF(E3435&lt;10,"&lt;10",IF(E3435&lt;20,"10-&lt;20",IF(E3435&lt;25,"20-&lt;25",IF(E3435&lt;35,"25-&lt;35","35+")))))</x:f>
        <x:v>20-&lt;25</x:v>
      </x:c>
    </x:row>
    <x:row r="3436">
      <x:c r="A3436" t="str">
        <x:v>SYN0003435</x:v>
      </x:c>
      <x:c r="B3436" s="12" t="n">
        <x:v>42565</x:v>
      </x:c>
      <x:c r="C3436" s="18" t="n">
        <x:v>15943</x:v>
      </x:c>
      <x:c r="D3436" s="18" t="n">
        <x:v>61686</x:v>
      </x:c>
      <x:c r="E3436" s="18" t="n">
        <x:v>28.7</x:v>
      </x:c>
      <x:c r="F3436" s="18" t="n">
        <x:v>10.87</x:v>
      </x:c>
      <x:c r="G3436" t="n">
        <x:v>36</x:v>
      </x:c>
      <x:c r="H3436" t="str">
        <x:v>C</x:v>
      </x:c>
      <x:c r="I3436" t="str">
        <x:v>10+ years</x:v>
      </x:c>
      <x:c r="J3436" t="str">
        <x:v>RENT</x:v>
      </x:c>
      <x:c r="K3436" t="str">
        <x:v>debt_consolidation</x:v>
      </x:c>
      <x:c r="L3436" t="n">
        <x:v>0</x:v>
      </x:c>
      <x:c r="M3436" t="n">
        <x:v>0</x:v>
      </x:c>
      <x:c r="N3436" t="str">
        <x:v>Fully Paid</x:v>
      </x:c>
      <x:c r="O3436" t="str">
        <x:f>IF(D3436="","Unknown",IF(D3436&lt;25000,"&lt;$25k",IF(D3436&lt;50000,"$25k-$50k",IF(D3436&lt;75000,"$50k-$75k",IF(D3436&lt;100000,"$75k-$100k","$100k+")))))</x:f>
        <x:v>$50k-$75k</x:v>
      </x:c>
      <x:c r="P3436" t="str">
        <x:f>IF(E3436="","Unknown",IF(E3436&lt;10,"&lt;10",IF(E3436&lt;20,"10-&lt;20",IF(E3436&lt;25,"20-&lt;25",IF(E3436&lt;35,"25-&lt;35","35+")))))</x:f>
        <x:v>25-&lt;35</x:v>
      </x:c>
    </x:row>
    <x:row r="3437">
      <x:c r="A3437" t="str">
        <x:v>SYN0003436</x:v>
      </x:c>
      <x:c r="B3437" s="12" t="n">
        <x:v>41875</x:v>
      </x:c>
      <x:c r="C3437" s="18" t="n">
        <x:v>14897</x:v>
      </x:c>
      <x:c r="D3437" s="18" t="n">
        <x:v>208842</x:v>
      </x:c>
      <x:c r="E3437" s="18" t="n">
        <x:v>24.15</x:v>
      </x:c>
      <x:c r="F3437" s="18" t="n">
        <x:v>11.58</x:v>
      </x:c>
      <x:c r="G3437" t="n">
        <x:v>36</x:v>
      </x:c>
      <x:c r="H3437" t="str">
        <x:v>C</x:v>
      </x:c>
      <x:c r="I3437" t="str">
        <x:v>&lt;1 year</x:v>
      </x:c>
      <x:c r="J3437" t="str">
        <x:v>MORTGAGE</x:v>
      </x:c>
      <x:c r="K3437" t="str">
        <x:v>credit_card</x:v>
      </x:c>
      <x:c r="L3437" t="n">
        <x:v>1</x:v>
      </x:c>
      <x:c r="M3437" t="n">
        <x:v>0</x:v>
      </x:c>
      <x:c r="N3437" t="str">
        <x:v>Fully Paid</x:v>
      </x:c>
      <x:c r="O3437" t="str">
        <x:f>IF(D3437="","Unknown",IF(D3437&lt;25000,"&lt;$25k",IF(D3437&lt;50000,"$25k-$50k",IF(D3437&lt;75000,"$50k-$75k",IF(D3437&lt;100000,"$75k-$100k","$100k+")))))</x:f>
        <x:v>$100k+</x:v>
      </x:c>
      <x:c r="P3437" t="str">
        <x:f>IF(E3437="","Unknown",IF(E3437&lt;10,"&lt;10",IF(E3437&lt;20,"10-&lt;20",IF(E3437&lt;25,"20-&lt;25",IF(E3437&lt;35,"25-&lt;35","35+")))))</x:f>
        <x:v>20-&lt;25</x:v>
      </x:c>
    </x:row>
    <x:row r="3438">
      <x:c r="A3438" t="str">
        <x:v>SYN0003437</x:v>
      </x:c>
      <x:c r="B3438" s="12" t="n">
        <x:v>41935</x:v>
      </x:c>
      <x:c r="C3438" s="18" t="n">
        <x:v>8145</x:v>
      </x:c>
      <x:c r="D3438" s="18" t="n">
        <x:v>49109</x:v>
      </x:c>
      <x:c r="E3438" s="18" t="n">
        <x:v>31.18</x:v>
      </x:c>
      <x:c r="F3438" s="18" t="n">
        <x:v>8.05</x:v>
      </x:c>
      <x:c r="G3438" t="n">
        <x:v>36</x:v>
      </x:c>
      <x:c r="H3438" t="str">
        <x:v>C</x:v>
      </x:c>
      <x:c r="I3438" t="str">
        <x:v>1-3 years</x:v>
      </x:c>
      <x:c r="J3438" t="str">
        <x:v>RENT</x:v>
      </x:c>
      <x:c r="K3438" t="str">
        <x:v>major_purchase</x:v>
      </x:c>
      <x:c r="L3438" t="n">
        <x:v>1</x:v>
      </x:c>
      <x:c r="M3438" t="n">
        <x:v>0</x:v>
      </x:c>
      <x:c r="N3438" t="str">
        <x:v>Fully Paid</x:v>
      </x:c>
      <x:c r="O3438" t="str">
        <x:f>IF(D3438="","Unknown",IF(D3438&lt;25000,"&lt;$25k",IF(D3438&lt;50000,"$25k-$50k",IF(D3438&lt;75000,"$50k-$75k",IF(D3438&lt;100000,"$75k-$100k","$100k+")))))</x:f>
        <x:v>$25k-$50k</x:v>
      </x:c>
      <x:c r="P3438" t="str">
        <x:f>IF(E3438="","Unknown",IF(E3438&lt;10,"&lt;10",IF(E3438&lt;20,"10-&lt;20",IF(E3438&lt;25,"20-&lt;25",IF(E3438&lt;35,"25-&lt;35","35+")))))</x:f>
        <x:v>25-&lt;35</x:v>
      </x:c>
    </x:row>
    <x:row r="3439">
      <x:c r="A3439" t="str">
        <x:v>SYN0003438</x:v>
      </x:c>
      <x:c r="B3439" s="12" t="n">
        <x:v>42865</x:v>
      </x:c>
      <x:c r="C3439" s="18" t="n">
        <x:v>11913</x:v>
      </x:c>
      <x:c r="D3439" s="18" t="n">
        <x:v>64234</x:v>
      </x:c>
      <x:c r="E3439" s="18" t="n">
        <x:v>23.98</x:v>
      </x:c>
      <x:c r="F3439" s="18" t="n">
        <x:v>9.09</x:v>
      </x:c>
      <x:c r="G3439" t="n">
        <x:v>36</x:v>
      </x:c>
      <x:c r="H3439" t="str">
        <x:v>B</x:v>
      </x:c>
      <x:c r="I3439" t="str">
        <x:v>10+ years</x:v>
      </x:c>
      <x:c r="J3439" t="str">
        <x:v>MORTGAGE</x:v>
      </x:c>
      <x:c r="K3439" t="str">
        <x:v>credit_card</x:v>
      </x:c>
      <x:c r="L3439" t="n">
        <x:v>2</x:v>
      </x:c>
      <x:c r="M3439" t="n">
        <x:v>0</x:v>
      </x:c>
      <x:c r="N3439" t="str">
        <x:v>Fully Paid</x:v>
      </x:c>
      <x:c r="O3439" t="str">
        <x:f>IF(D3439="","Unknown",IF(D3439&lt;25000,"&lt;$25k",IF(D3439&lt;50000,"$25k-$50k",IF(D3439&lt;75000,"$50k-$75k",IF(D3439&lt;100000,"$75k-$100k","$100k+")))))</x:f>
        <x:v>$50k-$75k</x:v>
      </x:c>
      <x:c r="P3439" t="str">
        <x:f>IF(E3439="","Unknown",IF(E3439&lt;10,"&lt;10",IF(E3439&lt;20,"10-&lt;20",IF(E3439&lt;25,"20-&lt;25",IF(E3439&lt;35,"25-&lt;35","35+")))))</x:f>
        <x:v>20-&lt;25</x:v>
      </x:c>
    </x:row>
    <x:row r="3440">
      <x:c r="A3440" t="str">
        <x:v>SYN0003439</x:v>
      </x:c>
      <x:c r="B3440" s="12" t="n">
        <x:v>42655</x:v>
      </x:c>
      <x:c r="C3440" s="18" t="n">
        <x:v>10078</x:v>
      </x:c>
      <x:c r="D3440" s="18" t="n">
        <x:v>20235</x:v>
      </x:c>
      <x:c r="E3440" s="18" t="n">
        <x:v>37.49</x:v>
      </x:c>
      <x:c r="F3440" s="18" t="n">
        <x:v>5.46</x:v>
      </x:c>
      <x:c r="G3440" t="n">
        <x:v>60</x:v>
      </x:c>
      <x:c r="H3440" t="str">
        <x:v>A</x:v>
      </x:c>
      <x:c r="I3440" t="str">
        <x:v>7-9 years</x:v>
      </x:c>
      <x:c r="J3440" t="str">
        <x:v>MORTGAGE</x:v>
      </x:c>
      <x:c r="K3440" t="str">
        <x:v>medical</x:v>
      </x:c>
      <x:c r="L3440" t="n">
        <x:v>0</x:v>
      </x:c>
      <x:c r="M3440" t="n">
        <x:v>0</x:v>
      </x:c>
      <x:c r="N3440" t="str">
        <x:v>Fully Paid</x:v>
      </x:c>
      <x:c r="O3440" t="str">
        <x:f>IF(D3440="","Unknown",IF(D3440&lt;25000,"&lt;$25k",IF(D3440&lt;50000,"$25k-$50k",IF(D3440&lt;75000,"$50k-$75k",IF(D3440&lt;100000,"$75k-$100k","$100k+")))))</x:f>
        <x:v>&lt;$25k</x:v>
      </x:c>
      <x:c r="P3440" t="str">
        <x:f>IF(E3440="","Unknown",IF(E3440&lt;10,"&lt;10",IF(E3440&lt;20,"10-&lt;20",IF(E3440&lt;25,"20-&lt;25",IF(E3440&lt;35,"25-&lt;35","35+")))))</x:f>
        <x:v>35+</x:v>
      </x:c>
    </x:row>
    <x:row r="3441">
      <x:c r="A3441" t="str">
        <x:v>SYN0003440</x:v>
      </x:c>
      <x:c r="B3441" s="12" t="n">
        <x:v>41845</x:v>
      </x:c>
      <x:c r="C3441" s="18" t="n">
        <x:v>19261</x:v>
      </x:c>
      <x:c r="D3441" s="18" t="n">
        <x:v>29569</x:v>
      </x:c>
      <x:c r="E3441" s="18" t="n">
        <x:v>16.37</x:v>
      </x:c>
      <x:c r="F3441" s="18" t="n">
        <x:v>10.42</x:v>
      </x:c>
      <x:c r="G3441" t="n">
        <x:v>60</x:v>
      </x:c>
      <x:c r="H3441" t="str">
        <x:v>C</x:v>
      </x:c>
      <x:c r="I3441" t="str">
        <x:v>1-3 years</x:v>
      </x:c>
      <x:c r="J3441" t="str">
        <x:v>MORTGAGE</x:v>
      </x:c>
      <x:c r="K3441" t="str">
        <x:v>other</x:v>
      </x:c>
      <x:c r="L3441" t="n">
        <x:v>1</x:v>
      </x:c>
      <x:c r="M3441" t="n">
        <x:v>0</x:v>
      </x:c>
      <x:c r="N3441" t="str">
        <x:v>Fully Paid</x:v>
      </x:c>
      <x:c r="O3441" t="str">
        <x:f>IF(D3441="","Unknown",IF(D3441&lt;25000,"&lt;$25k",IF(D3441&lt;50000,"$25k-$50k",IF(D3441&lt;75000,"$50k-$75k",IF(D3441&lt;100000,"$75k-$100k","$100k+")))))</x:f>
        <x:v>$25k-$50k</x:v>
      </x:c>
      <x:c r="P3441" t="str">
        <x:f>IF(E3441="","Unknown",IF(E3441&lt;10,"&lt;10",IF(E3441&lt;20,"10-&lt;20",IF(E3441&lt;25,"20-&lt;25",IF(E3441&lt;35,"25-&lt;35","35+")))))</x:f>
        <x:v>10-&lt;20</x:v>
      </x:c>
    </x:row>
    <x:row r="3442">
      <x:c r="A3442" t="str">
        <x:v>SYN0003441</x:v>
      </x:c>
      <x:c r="B3442" s="12" t="n">
        <x:v>42655</x:v>
      </x:c>
      <x:c r="C3442" s="18" t="n">
        <x:v>7606</x:v>
      </x:c>
      <x:c r="D3442" s="18" t="n">
        <x:v>81581</x:v>
      </x:c>
      <x:c r="E3442" s="18" t="n">
        <x:v>25.5</x:v>
      </x:c>
      <x:c r="F3442" s="18" t="n">
        <x:v>12.65</x:v>
      </x:c>
      <x:c r="G3442" t="n">
        <x:v>60</x:v>
      </x:c>
      <x:c r="H3442" t="str">
        <x:v>C</x:v>
      </x:c>
      <x:c r="I3442" t="str">
        <x:v>10+ years</x:v>
      </x:c>
      <x:c r="J3442" t="str">
        <x:v>RENT</x:v>
      </x:c>
      <x:c r="K3442" t="str">
        <x:v>credit_card</x:v>
      </x:c>
      <x:c r="L3442" t="n">
        <x:v>2</x:v>
      </x:c>
      <x:c r="M3442" t="n">
        <x:v>0</x:v>
      </x:c>
      <x:c r="N3442" t="str">
        <x:v>Fully Paid</x:v>
      </x:c>
      <x:c r="O3442" t="str">
        <x:f>IF(D3442="","Unknown",IF(D3442&lt;25000,"&lt;$25k",IF(D3442&lt;50000,"$25k-$50k",IF(D3442&lt;75000,"$50k-$75k",IF(D3442&lt;100000,"$75k-$100k","$100k+")))))</x:f>
        <x:v>$75k-$100k</x:v>
      </x:c>
      <x:c r="P3442" t="str">
        <x:f>IF(E3442="","Unknown",IF(E3442&lt;10,"&lt;10",IF(E3442&lt;20,"10-&lt;20",IF(E3442&lt;25,"20-&lt;25",IF(E3442&lt;35,"25-&lt;35","35+")))))</x:f>
        <x:v>25-&lt;35</x:v>
      </x:c>
    </x:row>
    <x:row r="3443">
      <x:c r="A3443" t="str">
        <x:v>SYN0003442</x:v>
      </x:c>
      <x:c r="B3443" s="12" t="n">
        <x:v>42565</x:v>
      </x:c>
      <x:c r="C3443" s="18" t="n">
        <x:v>23335</x:v>
      </x:c>
      <x:c r="D3443" s="18" t="n">
        <x:v>51301</x:v>
      </x:c>
      <x:c r="E3443" s="18" t="n">
        <x:v>6.92</x:v>
      </x:c>
      <x:c r="F3443" s="18" t="n">
        <x:v>15.85</x:v>
      </x:c>
      <x:c r="G3443" t="n">
        <x:v>36</x:v>
      </x:c>
      <x:c r="H3443" t="str">
        <x:v>D</x:v>
      </x:c>
      <x:c r="I3443" t="str">
        <x:v>1-3 years</x:v>
      </x:c>
      <x:c r="J3443" t="str">
        <x:v>RENT</x:v>
      </x:c>
      <x:c r="K3443" t="str">
        <x:v>debt_consolidation</x:v>
      </x:c>
      <x:c r="L3443" t="n">
        <x:v>0</x:v>
      </x:c>
      <x:c r="M3443" t="n">
        <x:v>0</x:v>
      </x:c>
      <x:c r="N3443" t="str">
        <x:v>Fully Paid</x:v>
      </x:c>
      <x:c r="O3443" t="str">
        <x:f>IF(D3443="","Unknown",IF(D3443&lt;25000,"&lt;$25k",IF(D3443&lt;50000,"$25k-$50k",IF(D3443&lt;75000,"$50k-$75k",IF(D3443&lt;100000,"$75k-$100k","$100k+")))))</x:f>
        <x:v>$50k-$75k</x:v>
      </x:c>
      <x:c r="P3443" t="str">
        <x:f>IF(E3443="","Unknown",IF(E3443&lt;10,"&lt;10",IF(E3443&lt;20,"10-&lt;20",IF(E3443&lt;25,"20-&lt;25",IF(E3443&lt;35,"25-&lt;35","35+")))))</x:f>
        <x:v>&lt;10</x:v>
      </x:c>
    </x:row>
    <x:row r="3444">
      <x:c r="A3444" t="str">
        <x:v>SYN0003443</x:v>
      </x:c>
      <x:c r="B3444" s="12" t="n">
        <x:v>42535</x:v>
      </x:c>
      <x:c r="C3444" s="18" t="n">
        <x:v>10225</x:v>
      </x:c>
      <x:c r="D3444" s="18" t="n">
        <x:v>27212</x:v>
      </x:c>
      <x:c r="E3444" s="18" t="n">
        <x:v>32.4</x:v>
      </x:c>
      <x:c r="F3444" s="18" t="n">
        <x:v>11.77</x:v>
      </x:c>
      <x:c r="G3444" t="n">
        <x:v>36</x:v>
      </x:c>
      <x:c r="H3444" t="str">
        <x:v>D</x:v>
      </x:c>
      <x:c r="I3444" t="str">
        <x:v>1-3 years</x:v>
      </x:c>
      <x:c r="J3444" t="str">
        <x:v>OWN</x:v>
      </x:c>
      <x:c r="K3444" t="str">
        <x:v>credit_card</x:v>
      </x:c>
      <x:c r="L3444" t="n">
        <x:v>0</x:v>
      </x:c>
      <x:c r="M3444" t="n">
        <x:v>0</x:v>
      </x:c>
      <x:c r="N3444" t="str">
        <x:v>Fully Paid</x:v>
      </x:c>
      <x:c r="O3444" t="str">
        <x:f>IF(D3444="","Unknown",IF(D3444&lt;25000,"&lt;$25k",IF(D3444&lt;50000,"$25k-$50k",IF(D3444&lt;75000,"$50k-$75k",IF(D3444&lt;100000,"$75k-$100k","$100k+")))))</x:f>
        <x:v>$25k-$50k</x:v>
      </x:c>
      <x:c r="P3444" t="str">
        <x:f>IF(E3444="","Unknown",IF(E3444&lt;10,"&lt;10",IF(E3444&lt;20,"10-&lt;20",IF(E3444&lt;25,"20-&lt;25",IF(E3444&lt;35,"25-&lt;35","35+")))))</x:f>
        <x:v>25-&lt;35</x:v>
      </x:c>
    </x:row>
    <x:row r="3445">
      <x:c r="A3445" t="str">
        <x:v>SYN0003444</x:v>
      </x:c>
      <x:c r="B3445" s="12" t="n">
        <x:v>42895</x:v>
      </x:c>
      <x:c r="C3445" s="18" t="n">
        <x:v>4490</x:v>
      </x:c>
      <x:c r="D3445" s="18" t="n">
        <x:v>25286</x:v>
      </x:c>
      <x:c r="E3445" s="18" t="n">
        <x:v>23.9</x:v>
      </x:c>
      <x:c r="F3445" s="18" t="n">
        <x:v>9.31</x:v>
      </x:c>
      <x:c r="G3445" t="n">
        <x:v>36</x:v>
      </x:c>
      <x:c r="H3445" t="str">
        <x:v>C</x:v>
      </x:c>
      <x:c r="I3445" t="str">
        <x:v>10+ years</x:v>
      </x:c>
      <x:c r="J3445" t="str">
        <x:v>MORTGAGE</x:v>
      </x:c>
      <x:c r="K3445" t="str">
        <x:v>home_improvement</x:v>
      </x:c>
      <x:c r="L3445" t="n">
        <x:v>1</x:v>
      </x:c>
      <x:c r="M3445" t="n">
        <x:v>0</x:v>
      </x:c>
      <x:c r="N3445" t="str">
        <x:v>Fully Paid</x:v>
      </x:c>
      <x:c r="O3445" t="str">
        <x:f>IF(D3445="","Unknown",IF(D3445&lt;25000,"&lt;$25k",IF(D3445&lt;50000,"$25k-$50k",IF(D3445&lt;75000,"$50k-$75k",IF(D3445&lt;100000,"$75k-$100k","$100k+")))))</x:f>
        <x:v>$25k-$50k</x:v>
      </x:c>
      <x:c r="P3445" t="str">
        <x:f>IF(E3445="","Unknown",IF(E3445&lt;10,"&lt;10",IF(E3445&lt;20,"10-&lt;20",IF(E3445&lt;25,"20-&lt;25",IF(E3445&lt;35,"25-&lt;35","35+")))))</x:f>
        <x:v>20-&lt;25</x:v>
      </x:c>
    </x:row>
    <x:row r="3446">
      <x:c r="A3446" t="str">
        <x:v>SYN0003445</x:v>
      </x:c>
      <x:c r="B3446" s="12" t="n">
        <x:v>43135</x:v>
      </x:c>
      <x:c r="C3446" s="18" t="n">
        <x:v>8623</x:v>
      </x:c>
      <x:c r="D3446" s="18" t="n">
        <x:v>67596</x:v>
      </x:c>
      <x:c r="E3446" s="18" t="n">
        <x:v>24.27</x:v>
      </x:c>
      <x:c r="F3446" s="18" t="n">
        <x:v>21.8</x:v>
      </x:c>
      <x:c r="G3446" t="n">
        <x:v>60</x:v>
      </x:c>
      <x:c r="H3446" t="str">
        <x:v>F</x:v>
      </x:c>
      <x:c r="I3446" t="str">
        <x:v>10+ years</x:v>
      </x:c>
      <x:c r="J3446" t="str">
        <x:v>RENT</x:v>
      </x:c>
      <x:c r="K3446" t="str">
        <x:v>medical</x:v>
      </x:c>
      <x:c r="L3446" t="n">
        <x:v>2</x:v>
      </x:c>
      <x:c r="M3446" t="n">
        <x:v>0</x:v>
      </x:c>
      <x:c r="N3446" t="str">
        <x:v>Fully Paid</x:v>
      </x:c>
      <x:c r="O3446" t="str">
        <x:f>IF(D3446="","Unknown",IF(D3446&lt;25000,"&lt;$25k",IF(D3446&lt;50000,"$25k-$50k",IF(D3446&lt;75000,"$50k-$75k",IF(D3446&lt;100000,"$75k-$100k","$100k+")))))</x:f>
        <x:v>$50k-$75k</x:v>
      </x:c>
      <x:c r="P3446" t="str">
        <x:f>IF(E3446="","Unknown",IF(E3446&lt;10,"&lt;10",IF(E3446&lt;20,"10-&lt;20",IF(E3446&lt;25,"20-&lt;25",IF(E3446&lt;35,"25-&lt;35","35+")))))</x:f>
        <x:v>20-&lt;25</x:v>
      </x:c>
    </x:row>
    <x:row r="3447">
      <x:c r="A3447" t="str">
        <x:v>SYN0003446</x:v>
      </x:c>
      <x:c r="B3447" s="12" t="n">
        <x:v>43375</x:v>
      </x:c>
      <x:c r="C3447" s="18" t="n">
        <x:v>12913</x:v>
      </x:c>
      <x:c r="D3447" s="18" t="n">
        <x:v>87034</x:v>
      </x:c>
      <x:c r="E3447" s="18" t="n">
        <x:v>15.49</x:v>
      </x:c>
      <x:c r="F3447" s="18" t="n">
        <x:v>7.18</x:v>
      </x:c>
      <x:c r="G3447" t="n">
        <x:v>60</x:v>
      </x:c>
      <x:c r="H3447" t="str">
        <x:v>B</x:v>
      </x:c>
      <x:c r="I3447" t="str">
        <x:v>10+ years</x:v>
      </x:c>
      <x:c r="J3447" t="str">
        <x:v>MORTGAGE</x:v>
      </x:c>
      <x:c r="K3447" t="str">
        <x:v>debt_consolidation</x:v>
      </x:c>
      <x:c r="L3447" t="n">
        <x:v>0</x:v>
      </x:c>
      <x:c r="M3447" t="n">
        <x:v>0</x:v>
      </x:c>
      <x:c r="N3447" t="str">
        <x:v>Fully Paid</x:v>
      </x:c>
      <x:c r="O3447" t="str">
        <x:f>IF(D3447="","Unknown",IF(D3447&lt;25000,"&lt;$25k",IF(D3447&lt;50000,"$25k-$50k",IF(D3447&lt;75000,"$50k-$75k",IF(D3447&lt;100000,"$75k-$100k","$100k+")))))</x:f>
        <x:v>$75k-$100k</x:v>
      </x:c>
      <x:c r="P3447" t="str">
        <x:f>IF(E3447="","Unknown",IF(E3447&lt;10,"&lt;10",IF(E3447&lt;20,"10-&lt;20",IF(E3447&lt;25,"20-&lt;25",IF(E3447&lt;35,"25-&lt;35","35+")))))</x:f>
        <x:v>10-&lt;20</x:v>
      </x:c>
    </x:row>
    <x:row r="3448">
      <x:c r="A3448" t="str">
        <x:v>SYN0003447</x:v>
      </x:c>
      <x:c r="B3448" s="12" t="n">
        <x:v>42925</x:v>
      </x:c>
      <x:c r="C3448" s="18" t="n">
        <x:v>7550</x:v>
      </x:c>
      <x:c r="D3448" s="18" t="n">
        <x:v>79903</x:v>
      </x:c>
      <x:c r="E3448" s="18" t="n">
        <x:v>18.74</x:v>
      </x:c>
      <x:c r="F3448" s="18" t="n">
        <x:v>9.32</x:v>
      </x:c>
      <x:c r="G3448" t="n">
        <x:v>36</x:v>
      </x:c>
      <x:c r="H3448" t="str">
        <x:v>B</x:v>
      </x:c>
      <x:c r="I3448" t="str">
        <x:v>&lt;1 year</x:v>
      </x:c>
      <x:c r="J3448" t="str">
        <x:v>MORTGAGE</x:v>
      </x:c>
      <x:c r="K3448" t="str">
        <x:v>home_improvement</x:v>
      </x:c>
      <x:c r="L3448" t="n">
        <x:v>0</x:v>
      </x:c>
      <x:c r="M3448" t="n">
        <x:v>0</x:v>
      </x:c>
      <x:c r="N3448" t="str">
        <x:v>Fully Paid</x:v>
      </x:c>
      <x:c r="O3448" t="str">
        <x:f>IF(D3448="","Unknown",IF(D3448&lt;25000,"&lt;$25k",IF(D3448&lt;50000,"$25k-$50k",IF(D3448&lt;75000,"$50k-$75k",IF(D3448&lt;100000,"$75k-$100k","$100k+")))))</x:f>
        <x:v>$75k-$100k</x:v>
      </x:c>
      <x:c r="P3448" t="str">
        <x:f>IF(E3448="","Unknown",IF(E3448&lt;10,"&lt;10",IF(E3448&lt;20,"10-&lt;20",IF(E3448&lt;25,"20-&lt;25",IF(E3448&lt;35,"25-&lt;35","35+")))))</x:f>
        <x:v>10-&lt;20</x:v>
      </x:c>
    </x:row>
    <x:row r="3449">
      <x:c r="A3449" t="str">
        <x:v>SYN0003448</x:v>
      </x:c>
      <x:c r="B3449" s="12" t="n">
        <x:v>41545</x:v>
      </x:c>
      <x:c r="C3449" s="18" t="n">
        <x:v>11691</x:v>
      </x:c>
      <x:c r="D3449" s="18" t="n">
        <x:v>87076</x:v>
      </x:c>
      <x:c r="E3449" s="18" t="n">
        <x:v>19.87</x:v>
      </x:c>
      <x:c r="F3449" s="18" t="n">
        <x:v>11.44</x:v>
      </x:c>
      <x:c r="G3449" t="n">
        <x:v>60</x:v>
      </x:c>
      <x:c r="H3449" t="str">
        <x:v>C</x:v>
      </x:c>
      <x:c r="I3449" t="str">
        <x:v>4-6 years</x:v>
      </x:c>
      <x:c r="J3449" t="str">
        <x:v>MORTGAGE</x:v>
      </x:c>
      <x:c r="K3449" t="str">
        <x:v>debt_consolidation</x:v>
      </x:c>
      <x:c r="L3449" t="n">
        <x:v>0</x:v>
      </x:c>
      <x:c r="M3449" t="n">
        <x:v>0</x:v>
      </x:c>
      <x:c r="N3449" t="str">
        <x:v>Fully Paid</x:v>
      </x:c>
      <x:c r="O3449" t="str">
        <x:f>IF(D3449="","Unknown",IF(D3449&lt;25000,"&lt;$25k",IF(D3449&lt;50000,"$25k-$50k",IF(D3449&lt;75000,"$50k-$75k",IF(D3449&lt;100000,"$75k-$100k","$100k+")))))</x:f>
        <x:v>$75k-$100k</x:v>
      </x:c>
      <x:c r="P3449" t="str">
        <x:f>IF(E3449="","Unknown",IF(E3449&lt;10,"&lt;10",IF(E3449&lt;20,"10-&lt;20",IF(E3449&lt;25,"20-&lt;25",IF(E3449&lt;35,"25-&lt;35","35+")))))</x:f>
        <x:v>10-&lt;20</x:v>
      </x:c>
    </x:row>
    <x:row r="3450">
      <x:c r="A3450" t="str">
        <x:v>SYN0003449</x:v>
      </x:c>
      <x:c r="B3450" s="12" t="n">
        <x:v>41515</x:v>
      </x:c>
      <x:c r="C3450" s="18" t="n">
        <x:v>10013</x:v>
      </x:c>
      <x:c r="D3450" s="18" t="n">
        <x:v>41462</x:v>
      </x:c>
      <x:c r="E3450" s="18" t="n">
        <x:v>19.5</x:v>
      </x:c>
      <x:c r="F3450" s="18" t="n">
        <x:v>22.46</x:v>
      </x:c>
      <x:c r="G3450" t="n">
        <x:v>60</x:v>
      </x:c>
      <x:c r="H3450" t="str">
        <x:v>F</x:v>
      </x:c>
      <x:c r="I3450" t="str">
        <x:v>10+ years</x:v>
      </x:c>
      <x:c r="J3450" t="str">
        <x:v>MORTGAGE</x:v>
      </x:c>
      <x:c r="K3450" t="str">
        <x:v>home_improvement</x:v>
      </x:c>
      <x:c r="L3450" t="n">
        <x:v>0</x:v>
      </x:c>
      <x:c r="M3450" t="n">
        <x:v>0</x:v>
      </x:c>
      <x:c r="N3450" t="str">
        <x:v>Fully Paid</x:v>
      </x:c>
      <x:c r="O3450" t="str">
        <x:f>IF(D3450="","Unknown",IF(D3450&lt;25000,"&lt;$25k",IF(D3450&lt;50000,"$25k-$50k",IF(D3450&lt;75000,"$50k-$75k",IF(D3450&lt;100000,"$75k-$100k","$100k+")))))</x:f>
        <x:v>$25k-$50k</x:v>
      </x:c>
      <x:c r="P3450" t="str">
        <x:f>IF(E3450="","Unknown",IF(E3450&lt;10,"&lt;10",IF(E3450&lt;20,"10-&lt;20",IF(E3450&lt;25,"20-&lt;25",IF(E3450&lt;35,"25-&lt;35","35+")))))</x:f>
        <x:v>10-&lt;20</x:v>
      </x:c>
    </x:row>
    <x:row r="3451">
      <x:c r="A3451" t="str">
        <x:v>SYN0003450</x:v>
      </x:c>
      <x:c r="B3451" s="12" t="n">
        <x:v>41635</x:v>
      </x:c>
      <x:c r="C3451" s="18" t="n">
        <x:v>16404</x:v>
      </x:c>
      <x:c r="D3451" s="18" t="n">
        <x:v>32517</x:v>
      </x:c>
      <x:c r="E3451" s="18" t="n">
        <x:v>20.1</x:v>
      </x:c>
      <x:c r="F3451" s="18" t="n">
        <x:v>10.35</x:v>
      </x:c>
      <x:c r="G3451" t="n">
        <x:v>36</x:v>
      </x:c>
      <x:c r="H3451" t="str">
        <x:v>C</x:v>
      </x:c>
      <x:c r="I3451" t="str">
        <x:v>7-9 years</x:v>
      </x:c>
      <x:c r="J3451" t="str">
        <x:v>MORTGAGE</x:v>
      </x:c>
      <x:c r="K3451" t="str">
        <x:v>major_purchase</x:v>
      </x:c>
      <x:c r="L3451" t="n">
        <x:v>0</x:v>
      </x:c>
      <x:c r="M3451" t="n">
        <x:v>0</x:v>
      </x:c>
      <x:c r="N3451" t="str">
        <x:v>Fully Paid</x:v>
      </x:c>
      <x:c r="O3451" t="str">
        <x:f>IF(D3451="","Unknown",IF(D3451&lt;25000,"&lt;$25k",IF(D3451&lt;50000,"$25k-$50k",IF(D3451&lt;75000,"$50k-$75k",IF(D3451&lt;100000,"$75k-$100k","$100k+")))))</x:f>
        <x:v>$25k-$50k</x:v>
      </x:c>
      <x:c r="P3451" t="str">
        <x:f>IF(E3451="","Unknown",IF(E3451&lt;10,"&lt;10",IF(E3451&lt;20,"10-&lt;20",IF(E3451&lt;25,"20-&lt;25",IF(E3451&lt;35,"25-&lt;35","35+")))))</x:f>
        <x:v>20-&lt;25</x:v>
      </x:c>
    </x:row>
    <x:row r="3452">
      <x:c r="A3452" t="str">
        <x:v>SYN0003451</x:v>
      </x:c>
      <x:c r="B3452" s="12" t="n">
        <x:v>43315</x:v>
      </x:c>
      <x:c r="C3452" s="18" t="n">
        <x:v>14454</x:v>
      </x:c>
      <x:c r="D3452" s="18" t="n">
        <x:v>19386</x:v>
      </x:c>
      <x:c r="E3452" s="18" t="n">
        <x:v>24.82</x:v>
      </x:c>
      <x:c r="F3452" s="18" t="n">
        <x:v>15.2</x:v>
      </x:c>
      <x:c r="G3452" t="n">
        <x:v>60</x:v>
      </x:c>
      <x:c r="H3452" t="str">
        <x:v>D</x:v>
      </x:c>
      <x:c r="I3452" t="str">
        <x:v>&lt;1 year</x:v>
      </x:c>
      <x:c r="J3452" t="str">
        <x:v>OWN</x:v>
      </x:c>
      <x:c r="K3452" t="str">
        <x:v>debt_consolidation</x:v>
      </x:c>
      <x:c r="L3452" t="n">
        <x:v>2</x:v>
      </x:c>
      <x:c r="M3452" t="n">
        <x:v>0</x:v>
      </x:c>
      <x:c r="N3452" t="str">
        <x:v>Fully Paid</x:v>
      </x:c>
      <x:c r="O3452" t="str">
        <x:f>IF(D3452="","Unknown",IF(D3452&lt;25000,"&lt;$25k",IF(D3452&lt;50000,"$25k-$50k",IF(D3452&lt;75000,"$50k-$75k",IF(D3452&lt;100000,"$75k-$100k","$100k+")))))</x:f>
        <x:v>&lt;$25k</x:v>
      </x:c>
      <x:c r="P3452" t="str">
        <x:f>IF(E3452="","Unknown",IF(E3452&lt;10,"&lt;10",IF(E3452&lt;20,"10-&lt;20",IF(E3452&lt;25,"20-&lt;25",IF(E3452&lt;35,"25-&lt;35","35+")))))</x:f>
        <x:v>20-&lt;25</x:v>
      </x:c>
    </x:row>
    <x:row r="3453">
      <x:c r="A3453" t="str">
        <x:v>SYN0003452</x:v>
      </x:c>
      <x:c r="B3453" s="12" t="n">
        <x:v>42385</x:v>
      </x:c>
      <x:c r="C3453" s="18" t="n">
        <x:v>9136</x:v>
      </x:c>
      <x:c r="D3453" s="18" t="n">
        <x:v>22449</x:v>
      </x:c>
      <x:c r="E3453" s="18" t="n">
        <x:v>12.56</x:v>
      </x:c>
      <x:c r="F3453" s="18" t="n">
        <x:v>6.44</x:v>
      </x:c>
      <x:c r="G3453" t="n">
        <x:v>60</x:v>
      </x:c>
      <x:c r="H3453" t="str">
        <x:v>A</x:v>
      </x:c>
      <x:c r="I3453" t="str">
        <x:v>1-3 years</x:v>
      </x:c>
      <x:c r="J3453" t="str">
        <x:v>RENT</x:v>
      </x:c>
      <x:c r="K3453" t="str">
        <x:v>home_improvement</x:v>
      </x:c>
      <x:c r="L3453" t="n">
        <x:v>0</x:v>
      </x:c>
      <x:c r="M3453" t="n">
        <x:v>0</x:v>
      </x:c>
      <x:c r="N3453" t="str">
        <x:v>Fully Paid</x:v>
      </x:c>
      <x:c r="O3453" t="str">
        <x:f>IF(D3453="","Unknown",IF(D3453&lt;25000,"&lt;$25k",IF(D3453&lt;50000,"$25k-$50k",IF(D3453&lt;75000,"$50k-$75k",IF(D3453&lt;100000,"$75k-$100k","$100k+")))))</x:f>
        <x:v>&lt;$25k</x:v>
      </x:c>
      <x:c r="P3453" t="str">
        <x:f>IF(E3453="","Unknown",IF(E3453&lt;10,"&lt;10",IF(E3453&lt;20,"10-&lt;20",IF(E3453&lt;25,"20-&lt;25",IF(E3453&lt;35,"25-&lt;35","35+")))))</x:f>
        <x:v>10-&lt;20</x:v>
      </x:c>
    </x:row>
    <x:row r="3454">
      <x:c r="A3454" t="str">
        <x:v>SYN0003453</x:v>
      </x:c>
      <x:c r="B3454" s="12" t="n">
        <x:v>41965</x:v>
      </x:c>
      <x:c r="C3454" s="18" t="n">
        <x:v>15382</x:v>
      </x:c>
      <x:c r="D3454" s="18" t="n">
        <x:v>45805</x:v>
      </x:c>
      <x:c r="E3454" s="18" t="n">
        <x:v>24.4</x:v>
      </x:c>
      <x:c r="F3454" s="18" t="n">
        <x:v>13.35</x:v>
      </x:c>
      <x:c r="G3454" t="n">
        <x:v>36</x:v>
      </x:c>
      <x:c r="H3454" t="str">
        <x:v>D</x:v>
      </x:c>
      <x:c r="I3454" t="str">
        <x:v>1-3 years</x:v>
      </x:c>
      <x:c r="J3454" t="str">
        <x:v>RENT</x:v>
      </x:c>
      <x:c r="K3454" t="str">
        <x:v>debt_consolidation</x:v>
      </x:c>
      <x:c r="L3454" t="n">
        <x:v>0</x:v>
      </x:c>
      <x:c r="M3454" t="n">
        <x:v>0</x:v>
      </x:c>
      <x:c r="N3454" t="str">
        <x:v>Fully Paid</x:v>
      </x:c>
      <x:c r="O3454" t="str">
        <x:f>IF(D3454="","Unknown",IF(D3454&lt;25000,"&lt;$25k",IF(D3454&lt;50000,"$25k-$50k",IF(D3454&lt;75000,"$50k-$75k",IF(D3454&lt;100000,"$75k-$100k","$100k+")))))</x:f>
        <x:v>$25k-$50k</x:v>
      </x:c>
      <x:c r="P3454" t="str">
        <x:f>IF(E3454="","Unknown",IF(E3454&lt;10,"&lt;10",IF(E3454&lt;20,"10-&lt;20",IF(E3454&lt;25,"20-&lt;25",IF(E3454&lt;35,"25-&lt;35","35+")))))</x:f>
        <x:v>20-&lt;25</x:v>
      </x:c>
    </x:row>
    <x:row r="3455">
      <x:c r="A3455" t="str">
        <x:v>SYN0003454</x:v>
      </x:c>
      <x:c r="B3455" s="12" t="n">
        <x:v>42115</x:v>
      </x:c>
      <x:c r="C3455" s="18" t="n">
        <x:v>40000</x:v>
      </x:c>
      <x:c r="D3455" s="18" t="n">
        <x:v>41228</x:v>
      </x:c>
      <x:c r="E3455" s="18" t="n">
        <x:v>30.55</x:v>
      </x:c>
      <x:c r="F3455" s="18" t="n">
        <x:v>10.41</x:v>
      </x:c>
      <x:c r="G3455" t="n">
        <x:v>60</x:v>
      </x:c>
      <x:c r="H3455" t="str">
        <x:v>C</x:v>
      </x:c>
      <x:c r="I3455" t="str">
        <x:v>4-6 years</x:v>
      </x:c>
      <x:c r="J3455" t="str">
        <x:v>RENT</x:v>
      </x:c>
      <x:c r="K3455" t="str">
        <x:v>debt_consolidation</x:v>
      </x:c>
      <x:c r="L3455" t="n">
        <x:v>0</x:v>
      </x:c>
      <x:c r="M3455" t="n">
        <x:v>1</x:v>
      </x:c>
      <x:c r="N3455" t="str">
        <x:v>Charged Off</x:v>
      </x:c>
      <x:c r="O3455" t="str">
        <x:f>IF(D3455="","Unknown",IF(D3455&lt;25000,"&lt;$25k",IF(D3455&lt;50000,"$25k-$50k",IF(D3455&lt;75000,"$50k-$75k",IF(D3455&lt;100000,"$75k-$100k","$100k+")))))</x:f>
        <x:v>$25k-$50k</x:v>
      </x:c>
      <x:c r="P3455" t="str">
        <x:f>IF(E3455="","Unknown",IF(E3455&lt;10,"&lt;10",IF(E3455&lt;20,"10-&lt;20",IF(E3455&lt;25,"20-&lt;25",IF(E3455&lt;35,"25-&lt;35","35+")))))</x:f>
        <x:v>25-&lt;35</x:v>
      </x:c>
    </x:row>
    <x:row r="3456">
      <x:c r="A3456" t="str">
        <x:v>SYN0003455</x:v>
      </x:c>
      <x:c r="B3456" s="12" t="n">
        <x:v>41875</x:v>
      </x:c>
      <x:c r="C3456" s="18" t="n">
        <x:v>7589</x:v>
      </x:c>
      <x:c r="D3456" s="18" t="n">
        <x:v>47854</x:v>
      </x:c>
      <x:c r="E3456" s="18" t="n">
        <x:v>28.18</x:v>
      </x:c>
      <x:c r="F3456" s="18" t="n">
        <x:v>7.82</x:v>
      </x:c>
      <x:c r="G3456" t="n">
        <x:v>36</x:v>
      </x:c>
      <x:c r="H3456" t="str">
        <x:v>A</x:v>
      </x:c>
      <x:c r="I3456" t="str">
        <x:v>1-3 years</x:v>
      </x:c>
      <x:c r="J3456" t="str">
        <x:v>MORTGAGE</x:v>
      </x:c>
      <x:c r="K3456" t="str">
        <x:v>credit_card</x:v>
      </x:c>
      <x:c r="L3456" t="n">
        <x:v>0</x:v>
      </x:c>
      <x:c r="M3456" t="n">
        <x:v>0</x:v>
      </x:c>
      <x:c r="N3456" t="str">
        <x:v>Fully Paid</x:v>
      </x:c>
      <x:c r="O3456" t="str">
        <x:f>IF(D3456="","Unknown",IF(D3456&lt;25000,"&lt;$25k",IF(D3456&lt;50000,"$25k-$50k",IF(D3456&lt;75000,"$50k-$75k",IF(D3456&lt;100000,"$75k-$100k","$100k+")))))</x:f>
        <x:v>$25k-$50k</x:v>
      </x:c>
      <x:c r="P3456" t="str">
        <x:f>IF(E3456="","Unknown",IF(E3456&lt;10,"&lt;10",IF(E3456&lt;20,"10-&lt;20",IF(E3456&lt;25,"20-&lt;25",IF(E3456&lt;35,"25-&lt;35","35+")))))</x:f>
        <x:v>25-&lt;35</x:v>
      </x:c>
    </x:row>
    <x:row r="3457">
      <x:c r="A3457" t="str">
        <x:v>SYN0003456</x:v>
      </x:c>
      <x:c r="B3457" s="12" t="n">
        <x:v>41635</x:v>
      </x:c>
      <x:c r="C3457" s="18" t="n">
        <x:v>13253</x:v>
      </x:c>
      <x:c r="D3457" s="18" t="n">
        <x:v>60263</x:v>
      </x:c>
      <x:c r="E3457" s="18" t="n">
        <x:v>34.75</x:v>
      </x:c>
      <x:c r="F3457" s="18" t="n">
        <x:v>24.15</x:v>
      </x:c>
      <x:c r="G3457" t="n">
        <x:v>60</x:v>
      </x:c>
      <x:c r="H3457" t="str">
        <x:v>F</x:v>
      </x:c>
      <x:c r="I3457" t="str">
        <x:v>10+ years</x:v>
      </x:c>
      <x:c r="J3457" t="str">
        <x:v>RENT</x:v>
      </x:c>
      <x:c r="K3457" t="str">
        <x:v>credit_card</x:v>
      </x:c>
      <x:c r="L3457" t="n">
        <x:v>0</x:v>
      </x:c>
      <x:c r="M3457" t="n">
        <x:v>0</x:v>
      </x:c>
      <x:c r="N3457" t="str">
        <x:v>Fully Paid</x:v>
      </x:c>
      <x:c r="O3457" t="str">
        <x:f>IF(D3457="","Unknown",IF(D3457&lt;25000,"&lt;$25k",IF(D3457&lt;50000,"$25k-$50k",IF(D3457&lt;75000,"$50k-$75k",IF(D3457&lt;100000,"$75k-$100k","$100k+")))))</x:f>
        <x:v>$50k-$75k</x:v>
      </x:c>
      <x:c r="P3457" t="str">
        <x:f>IF(E3457="","Unknown",IF(E3457&lt;10,"&lt;10",IF(E3457&lt;20,"10-&lt;20",IF(E3457&lt;25,"20-&lt;25",IF(E3457&lt;35,"25-&lt;35","35+")))))</x:f>
        <x:v>25-&lt;35</x:v>
      </x:c>
    </x:row>
    <x:row r="3458">
      <x:c r="A3458" t="str">
        <x:v>SYN0003457</x:v>
      </x:c>
      <x:c r="B3458" s="12" t="n">
        <x:v>42655</x:v>
      </x:c>
      <x:c r="C3458" s="18" t="n">
        <x:v>9535</x:v>
      </x:c>
      <x:c r="D3458" s="18" t="n">
        <x:v>43147</x:v>
      </x:c>
      <x:c r="E3458" s="18" t="n">
        <x:v>32.13</x:v>
      </x:c>
      <x:c r="F3458" s="18" t="n">
        <x:v>11.14</x:v>
      </x:c>
      <x:c r="G3458" t="n">
        <x:v>60</x:v>
      </x:c>
      <x:c r="H3458" t="str">
        <x:v>C</x:v>
      </x:c>
      <x:c r="I3458" t="str">
        <x:v>4-6 years</x:v>
      </x:c>
      <x:c r="J3458" t="str">
        <x:v>MORTGAGE</x:v>
      </x:c>
      <x:c r="K3458" t="str">
        <x:v>home_improvement</x:v>
      </x:c>
      <x:c r="L3458" t="n">
        <x:v>0</x:v>
      </x:c>
      <x:c r="M3458" t="n">
        <x:v>1</x:v>
      </x:c>
      <x:c r="N3458" t="str">
        <x:v>Charged Off</x:v>
      </x:c>
      <x:c r="O3458" t="str">
        <x:f>IF(D3458="","Unknown",IF(D3458&lt;25000,"&lt;$25k",IF(D3458&lt;50000,"$25k-$50k",IF(D3458&lt;75000,"$50k-$75k",IF(D3458&lt;100000,"$75k-$100k","$100k+")))))</x:f>
        <x:v>$25k-$50k</x:v>
      </x:c>
      <x:c r="P3458" t="str">
        <x:f>IF(E3458="","Unknown",IF(E3458&lt;10,"&lt;10",IF(E3458&lt;20,"10-&lt;20",IF(E3458&lt;25,"20-&lt;25",IF(E3458&lt;35,"25-&lt;35","35+")))))</x:f>
        <x:v>25-&lt;35</x:v>
      </x:c>
    </x:row>
    <x:row r="3459">
      <x:c r="A3459" t="str">
        <x:v>SYN0003458</x:v>
      </x:c>
      <x:c r="B3459" s="12" t="n">
        <x:v>41335</x:v>
      </x:c>
      <x:c r="C3459" s="18" t="n">
        <x:v>13353</x:v>
      </x:c>
      <x:c r="D3459" s="18" t="n">
        <x:v>39183</x:v>
      </x:c>
      <x:c r="E3459" s="18" t="n">
        <x:v>35.62</x:v>
      </x:c>
      <x:c r="F3459" s="18" t="n">
        <x:v>5</x:v>
      </x:c>
      <x:c r="G3459" t="n">
        <x:v>36</x:v>
      </x:c>
      <x:c r="H3459" t="str">
        <x:v>B</x:v>
      </x:c>
      <x:c r="I3459" t="str">
        <x:v>7-9 years</x:v>
      </x:c>
      <x:c r="J3459" t="str">
        <x:v>RENT</x:v>
      </x:c>
      <x:c r="K3459" t="str">
        <x:v>medical</x:v>
      </x:c>
      <x:c r="L3459" t="n">
        <x:v>0</x:v>
      </x:c>
      <x:c r="M3459" t="n">
        <x:v>0</x:v>
      </x:c>
      <x:c r="N3459" t="str">
        <x:v>Fully Paid</x:v>
      </x:c>
      <x:c r="O3459" t="str">
        <x:f>IF(D3459="","Unknown",IF(D3459&lt;25000,"&lt;$25k",IF(D3459&lt;50000,"$25k-$50k",IF(D3459&lt;75000,"$50k-$75k",IF(D3459&lt;100000,"$75k-$100k","$100k+")))))</x:f>
        <x:v>$25k-$50k</x:v>
      </x:c>
      <x:c r="P3459" t="str">
        <x:f>IF(E3459="","Unknown",IF(E3459&lt;10,"&lt;10",IF(E3459&lt;20,"10-&lt;20",IF(E3459&lt;25,"20-&lt;25",IF(E3459&lt;35,"25-&lt;35","35+")))))</x:f>
        <x:v>35+</x:v>
      </x:c>
    </x:row>
    <x:row r="3460">
      <x:c r="A3460" t="str">
        <x:v>SYN0003459</x:v>
      </x:c>
      <x:c r="B3460" s="12" t="n">
        <x:v>41605</x:v>
      </x:c>
      <x:c r="C3460" s="18" t="n">
        <x:v>9642</x:v>
      </x:c>
      <x:c r="D3460" s="18" t="n">
        <x:v>41138</x:v>
      </x:c>
      <x:c r="E3460" s="18" t="n">
        <x:v>37.58</x:v>
      </x:c>
      <x:c r="F3460" s="18" t="n">
        <x:v>13.76</x:v>
      </x:c>
      <x:c r="G3460" t="n">
        <x:v>36</x:v>
      </x:c>
      <x:c r="H3460" t="str">
        <x:v>D</x:v>
      </x:c>
      <x:c r="I3460" t="str">
        <x:v>1-3 years</x:v>
      </x:c>
      <x:c r="J3460" t="str">
        <x:v>OWN</x:v>
      </x:c>
      <x:c r="K3460" t="str">
        <x:v>other</x:v>
      </x:c>
      <x:c r="L3460" t="n">
        <x:v>1</x:v>
      </x:c>
      <x:c r="M3460" t="n">
        <x:v>0</x:v>
      </x:c>
      <x:c r="N3460" t="str">
        <x:v>Fully Paid</x:v>
      </x:c>
      <x:c r="O3460" t="str">
        <x:f>IF(D3460="","Unknown",IF(D3460&lt;25000,"&lt;$25k",IF(D3460&lt;50000,"$25k-$50k",IF(D3460&lt;75000,"$50k-$75k",IF(D3460&lt;100000,"$75k-$100k","$100k+")))))</x:f>
        <x:v>$25k-$50k</x:v>
      </x:c>
      <x:c r="P3460" t="str">
        <x:f>IF(E3460="","Unknown",IF(E3460&lt;10,"&lt;10",IF(E3460&lt;20,"10-&lt;20",IF(E3460&lt;25,"20-&lt;25",IF(E3460&lt;35,"25-&lt;35","35+")))))</x:f>
        <x:v>35+</x:v>
      </x:c>
    </x:row>
    <x:row r="3461">
      <x:c r="A3461" t="str">
        <x:v>SYN0003460</x:v>
      </x:c>
      <x:c r="B3461" s="12" t="n">
        <x:v>42235</x:v>
      </x:c>
      <x:c r="C3461" s="18" t="n">
        <x:v>5404</x:v>
      </x:c>
      <x:c r="D3461" s="18" t="n">
        <x:v>38569</x:v>
      </x:c>
      <x:c r="E3461" s="18" t="n">
        <x:v>20.55</x:v>
      </x:c>
      <x:c r="F3461" s="18" t="n">
        <x:v>8.73</x:v>
      </x:c>
      <x:c r="G3461" t="n">
        <x:v>36</x:v>
      </x:c>
      <x:c r="H3461" t="str">
        <x:v>A</x:v>
      </x:c>
      <x:c r="I3461" t="str">
        <x:v>10+ years</x:v>
      </x:c>
      <x:c r="J3461" t="str">
        <x:v>MORTGAGE</x:v>
      </x:c>
      <x:c r="K3461" t="str">
        <x:v>credit_card</x:v>
      </x:c>
      <x:c r="L3461" t="n">
        <x:v>0</x:v>
      </x:c>
      <x:c r="M3461" t="n">
        <x:v>0</x:v>
      </x:c>
      <x:c r="N3461" t="str">
        <x:v>Fully Paid</x:v>
      </x:c>
      <x:c r="O3461" t="str">
        <x:f>IF(D3461="","Unknown",IF(D3461&lt;25000,"&lt;$25k",IF(D3461&lt;50000,"$25k-$50k",IF(D3461&lt;75000,"$50k-$75k",IF(D3461&lt;100000,"$75k-$100k","$100k+")))))</x:f>
        <x:v>$25k-$50k</x:v>
      </x:c>
      <x:c r="P3461" t="str">
        <x:f>IF(E3461="","Unknown",IF(E3461&lt;10,"&lt;10",IF(E3461&lt;20,"10-&lt;20",IF(E3461&lt;25,"20-&lt;25",IF(E3461&lt;35,"25-&lt;35","35+")))))</x:f>
        <x:v>20-&lt;25</x:v>
      </x:c>
    </x:row>
    <x:row r="3462">
      <x:c r="A3462" t="str">
        <x:v>SYN0003461</x:v>
      </x:c>
      <x:c r="B3462" s="12" t="n">
        <x:v>43195</x:v>
      </x:c>
      <x:c r="C3462" s="18" t="n">
        <x:v>11138</x:v>
      </x:c>
      <x:c r="D3462" s="18" t="n">
        <x:v>139011</x:v>
      </x:c>
      <x:c r="E3462" s="18" t="n">
        <x:v>22.91</x:v>
      </x:c>
      <x:c r="F3462" s="18" t="n">
        <x:v>17.02</x:v>
      </x:c>
      <x:c r="G3462" t="n">
        <x:v>36</x:v>
      </x:c>
      <x:c r="H3462" t="str">
        <x:v>E</x:v>
      </x:c>
      <x:c r="I3462" t="str">
        <x:v>&lt;1 year</x:v>
      </x:c>
      <x:c r="J3462" t="str">
        <x:v>RENT</x:v>
      </x:c>
      <x:c r="K3462" t="str">
        <x:v>debt_consolidation</x:v>
      </x:c>
      <x:c r="L3462" t="n">
        <x:v>1</x:v>
      </x:c>
      <x:c r="M3462" t="n">
        <x:v>0</x:v>
      </x:c>
      <x:c r="N3462" t="str">
        <x:v>Fully Paid</x:v>
      </x:c>
      <x:c r="O3462" t="str">
        <x:f>IF(D3462="","Unknown",IF(D3462&lt;25000,"&lt;$25k",IF(D3462&lt;50000,"$25k-$50k",IF(D3462&lt;75000,"$50k-$75k",IF(D3462&lt;100000,"$75k-$100k","$100k+")))))</x:f>
        <x:v>$100k+</x:v>
      </x:c>
      <x:c r="P3462" t="str">
        <x:f>IF(E3462="","Unknown",IF(E3462&lt;10,"&lt;10",IF(E3462&lt;20,"10-&lt;20",IF(E3462&lt;25,"20-&lt;25",IF(E3462&lt;35,"25-&lt;35","35+")))))</x:f>
        <x:v>20-&lt;25</x:v>
      </x:c>
    </x:row>
    <x:row r="3463">
      <x:c r="A3463" t="str">
        <x:v>SYN0003462</x:v>
      </x:c>
      <x:c r="B3463" s="12" t="n">
        <x:v>41785</x:v>
      </x:c>
      <x:c r="C3463" s="18" t="n">
        <x:v>11898</x:v>
      </x:c>
      <x:c r="D3463" s="18" t="n">
        <x:v>51813</x:v>
      </x:c>
      <x:c r="E3463" s="18" t="n">
        <x:v>35.84</x:v>
      </x:c>
      <x:c r="F3463" s="18" t="n">
        <x:v>18.97</x:v>
      </x:c>
      <x:c r="G3463" t="n">
        <x:v>36</x:v>
      </x:c>
      <x:c r="H3463" t="str">
        <x:v>E</x:v>
      </x:c>
      <x:c r="I3463" t="str">
        <x:v>1-3 years</x:v>
      </x:c>
      <x:c r="J3463" t="str">
        <x:v>RENT</x:v>
      </x:c>
      <x:c r="K3463" t="str">
        <x:v>debt_consolidation</x:v>
      </x:c>
      <x:c r="L3463" t="n">
        <x:v>0</x:v>
      </x:c>
      <x:c r="M3463" t="n">
        <x:v>1</x:v>
      </x:c>
      <x:c r="N3463" t="str">
        <x:v>Charged Off</x:v>
      </x:c>
      <x:c r="O3463" t="str">
        <x:f>IF(D3463="","Unknown",IF(D3463&lt;25000,"&lt;$25k",IF(D3463&lt;50000,"$25k-$50k",IF(D3463&lt;75000,"$50k-$75k",IF(D3463&lt;100000,"$75k-$100k","$100k+")))))</x:f>
        <x:v>$50k-$75k</x:v>
      </x:c>
      <x:c r="P3463" t="str">
        <x:f>IF(E3463="","Unknown",IF(E3463&lt;10,"&lt;10",IF(E3463&lt;20,"10-&lt;20",IF(E3463&lt;25,"20-&lt;25",IF(E3463&lt;35,"25-&lt;35","35+")))))</x:f>
        <x:v>35+</x:v>
      </x:c>
    </x:row>
    <x:row r="3464">
      <x:c r="A3464" t="str">
        <x:v>SYN0003463</x:v>
      </x:c>
      <x:c r="B3464" s="12" t="n">
        <x:v>42595</x:v>
      </x:c>
      <x:c r="C3464" s="18" t="n">
        <x:v>29664</x:v>
      </x:c>
      <x:c r="D3464" s="18" t="n">
        <x:v>75419</x:v>
      </x:c>
      <x:c r="E3464" s="18" t="n">
        <x:v>21.3</x:v>
      </x:c>
      <x:c r="F3464" s="18" t="n">
        <x:v>13.26</x:v>
      </x:c>
      <x:c r="G3464" t="n">
        <x:v>36</x:v>
      </x:c>
      <x:c r="H3464" t="str">
        <x:v>C</x:v>
      </x:c>
      <x:c r="I3464" t="str">
        <x:v>7-9 years</x:v>
      </x:c>
      <x:c r="J3464" t="str">
        <x:v>MORTGAGE</x:v>
      </x:c>
      <x:c r="K3464" t="str">
        <x:v>debt_consolidation</x:v>
      </x:c>
      <x:c r="L3464" t="n">
        <x:v>1</x:v>
      </x:c>
      <x:c r="M3464" t="n">
        <x:v>0</x:v>
      </x:c>
      <x:c r="N3464" t="str">
        <x:v>Fully Paid</x:v>
      </x:c>
      <x:c r="O3464" t="str">
        <x:f>IF(D3464="","Unknown",IF(D3464&lt;25000,"&lt;$25k",IF(D3464&lt;50000,"$25k-$50k",IF(D3464&lt;75000,"$50k-$75k",IF(D3464&lt;100000,"$75k-$100k","$100k+")))))</x:f>
        <x:v>$75k-$100k</x:v>
      </x:c>
      <x:c r="P3464" t="str">
        <x:f>IF(E3464="","Unknown",IF(E3464&lt;10,"&lt;10",IF(E3464&lt;20,"10-&lt;20",IF(E3464&lt;25,"20-&lt;25",IF(E3464&lt;35,"25-&lt;35","35+")))))</x:f>
        <x:v>20-&lt;25</x:v>
      </x:c>
    </x:row>
    <x:row r="3465">
      <x:c r="A3465" t="str">
        <x:v>SYN0003464</x:v>
      </x:c>
      <x:c r="B3465" s="12" t="n">
        <x:v>42025</x:v>
      </x:c>
      <x:c r="C3465" s="18" t="n">
        <x:v>17258</x:v>
      </x:c>
      <x:c r="D3465" s="18" t="n">
        <x:v>250000</x:v>
      </x:c>
      <x:c r="E3465" s="18" t="n">
        <x:v>22</x:v>
      </x:c>
      <x:c r="F3465" s="18" t="n">
        <x:v>17.24</x:v>
      </x:c>
      <x:c r="G3465" t="n">
        <x:v>36</x:v>
      </x:c>
      <x:c r="H3465" t="str">
        <x:v>D</x:v>
      </x:c>
      <x:c r="I3465" t="str">
        <x:v>4-6 years</x:v>
      </x:c>
      <x:c r="J3465" t="str">
        <x:v>RENT</x:v>
      </x:c>
      <x:c r="K3465" t="str">
        <x:v>home_improvement</x:v>
      </x:c>
      <x:c r="L3465" t="n">
        <x:v>0</x:v>
      </x:c>
      <x:c r="M3465" t="n">
        <x:v>0</x:v>
      </x:c>
      <x:c r="N3465" t="str">
        <x:v>Fully Paid</x:v>
      </x:c>
      <x:c r="O3465" t="str">
        <x:f>IF(D3465="","Unknown",IF(D3465&lt;25000,"&lt;$25k",IF(D3465&lt;50000,"$25k-$50k",IF(D3465&lt;75000,"$50k-$75k",IF(D3465&lt;100000,"$75k-$100k","$100k+")))))</x:f>
        <x:v>$100k+</x:v>
      </x:c>
      <x:c r="P3465" t="str">
        <x:f>IF(E3465="","Unknown",IF(E3465&lt;10,"&lt;10",IF(E3465&lt;20,"10-&lt;20",IF(E3465&lt;25,"20-&lt;25",IF(E3465&lt;35,"25-&lt;35","35+")))))</x:f>
        <x:v>20-&lt;25</x:v>
      </x:c>
    </x:row>
    <x:row r="3466">
      <x:c r="A3466" t="str">
        <x:v>SYN0003465</x:v>
      </x:c>
      <x:c r="B3466" s="12" t="n">
        <x:v>41275</x:v>
      </x:c>
      <x:c r="C3466" s="18" t="n">
        <x:v>8420</x:v>
      </x:c>
      <x:c r="D3466" s="18" t="n">
        <x:v>90167</x:v>
      </x:c>
      <x:c r="E3466" s="18" t="n">
        <x:v>20.5</x:v>
      </x:c>
      <x:c r="F3466" s="18" t="n">
        <x:v>20.62</x:v>
      </x:c>
      <x:c r="G3466" t="n">
        <x:v>36</x:v>
      </x:c>
      <x:c r="H3466" t="str">
        <x:v>F</x:v>
      </x:c>
      <x:c r="I3466" t="str">
        <x:v>4-6 years</x:v>
      </x:c>
      <x:c r="J3466" t="str">
        <x:v>MORTGAGE</x:v>
      </x:c>
      <x:c r="K3466" t="str">
        <x:v>medical</x:v>
      </x:c>
      <x:c r="L3466" t="n">
        <x:v>1</x:v>
      </x:c>
      <x:c r="M3466" t="n">
        <x:v>0</x:v>
      </x:c>
      <x:c r="N3466" t="str">
        <x:v>Fully Paid</x:v>
      </x:c>
      <x:c r="O3466" t="str">
        <x:f>IF(D3466="","Unknown",IF(D3466&lt;25000,"&lt;$25k",IF(D3466&lt;50000,"$25k-$50k",IF(D3466&lt;75000,"$50k-$75k",IF(D3466&lt;100000,"$75k-$100k","$100k+")))))</x:f>
        <x:v>$75k-$100k</x:v>
      </x:c>
      <x:c r="P3466" t="str">
        <x:f>IF(E3466="","Unknown",IF(E3466&lt;10,"&lt;10",IF(E3466&lt;20,"10-&lt;20",IF(E3466&lt;25,"20-&lt;25",IF(E3466&lt;35,"25-&lt;35","35+")))))</x:f>
        <x:v>20-&lt;25</x:v>
      </x:c>
    </x:row>
    <x:row r="3467">
      <x:c r="A3467" t="str">
        <x:v>SYN0003466</x:v>
      </x:c>
      <x:c r="B3467" s="12" t="n">
        <x:v>42565</x:v>
      </x:c>
      <x:c r="C3467" s="18" t="n">
        <x:v>16285</x:v>
      </x:c>
      <x:c r="D3467" s="18" t="n">
        <x:v>31585</x:v>
      </x:c>
      <x:c r="E3467" s="18" t="n">
        <x:v>13.63</x:v>
      </x:c>
      <x:c r="F3467" s="18" t="n">
        <x:v>5.2</x:v>
      </x:c>
      <x:c r="G3467" t="n">
        <x:v>60</x:v>
      </x:c>
      <x:c r="H3467" t="str">
        <x:v>B</x:v>
      </x:c>
      <x:c r="I3467" t="str">
        <x:v>4-6 years</x:v>
      </x:c>
      <x:c r="J3467" t="str">
        <x:v>RENT</x:v>
      </x:c>
      <x:c r="K3467" t="str">
        <x:v>other</x:v>
      </x:c>
      <x:c r="L3467" t="n">
        <x:v>0</x:v>
      </x:c>
      <x:c r="M3467" t="n">
        <x:v>0</x:v>
      </x:c>
      <x:c r="N3467" t="str">
        <x:v>Fully Paid</x:v>
      </x:c>
      <x:c r="O3467" t="str">
        <x:f>IF(D3467="","Unknown",IF(D3467&lt;25000,"&lt;$25k",IF(D3467&lt;50000,"$25k-$50k",IF(D3467&lt;75000,"$50k-$75k",IF(D3467&lt;100000,"$75k-$100k","$100k+")))))</x:f>
        <x:v>$25k-$50k</x:v>
      </x:c>
      <x:c r="P3467" t="str">
        <x:f>IF(E3467="","Unknown",IF(E3467&lt;10,"&lt;10",IF(E3467&lt;20,"10-&lt;20",IF(E3467&lt;25,"20-&lt;25",IF(E3467&lt;35,"25-&lt;35","35+")))))</x:f>
        <x:v>10-&lt;20</x:v>
      </x:c>
    </x:row>
    <x:row r="3468">
      <x:c r="A3468" t="str">
        <x:v>SYN0003467</x:v>
      </x:c>
      <x:c r="B3468" s="12" t="n">
        <x:v>42685</x:v>
      </x:c>
      <x:c r="C3468" s="18" t="n">
        <x:v>18441</x:v>
      </x:c>
      <x:c r="D3468" s="18" t="n">
        <x:v>44546</x:v>
      </x:c>
      <x:c r="E3468" s="18" t="n">
        <x:v>14.85</x:v>
      </x:c>
      <x:c r="F3468" s="18" t="n">
        <x:v>16.79</x:v>
      </x:c>
      <x:c r="G3468" t="n">
        <x:v>60</x:v>
      </x:c>
      <x:c r="H3468" t="str">
        <x:v>E</x:v>
      </x:c>
      <x:c r="I3468" t="str">
        <x:v>10+ years</x:v>
      </x:c>
      <x:c r="J3468" t="str">
        <x:v>MORTGAGE</x:v>
      </x:c>
      <x:c r="K3468" t="str">
        <x:v>major_purchase</x:v>
      </x:c>
      <x:c r="L3468" t="n">
        <x:v>1</x:v>
      </x:c>
      <x:c r="M3468" t="n">
        <x:v>0</x:v>
      </x:c>
      <x:c r="N3468" t="str">
        <x:v>Fully Paid</x:v>
      </x:c>
      <x:c r="O3468" t="str">
        <x:f>IF(D3468="","Unknown",IF(D3468&lt;25000,"&lt;$25k",IF(D3468&lt;50000,"$25k-$50k",IF(D3468&lt;75000,"$50k-$75k",IF(D3468&lt;100000,"$75k-$100k","$100k+")))))</x:f>
        <x:v>$25k-$50k</x:v>
      </x:c>
      <x:c r="P3468" t="str">
        <x:f>IF(E3468="","Unknown",IF(E3468&lt;10,"&lt;10",IF(E3468&lt;20,"10-&lt;20",IF(E3468&lt;25,"20-&lt;25",IF(E3468&lt;35,"25-&lt;35","35+")))))</x:f>
        <x:v>10-&lt;20</x:v>
      </x:c>
    </x:row>
    <x:row r="3469">
      <x:c r="A3469" t="str">
        <x:v>SYN0003468</x:v>
      </x:c>
      <x:c r="B3469" s="12" t="n">
        <x:v>42925</x:v>
      </x:c>
      <x:c r="C3469" s="18" t="n">
        <x:v>16305</x:v>
      </x:c>
      <x:c r="D3469" s="18" t="n">
        <x:v>56784</x:v>
      </x:c>
      <x:c r="E3469" s="18" t="n">
        <x:v>16.14</x:v>
      </x:c>
      <x:c r="F3469" s="18" t="n">
        <x:v>14.4</x:v>
      </x:c>
      <x:c r="G3469" t="n">
        <x:v>36</x:v>
      </x:c>
      <x:c r="H3469" t="str">
        <x:v>D</x:v>
      </x:c>
      <x:c r="I3469" t="str">
        <x:v>1-3 years</x:v>
      </x:c>
      <x:c r="J3469" t="str">
        <x:v>MORTGAGE</x:v>
      </x:c>
      <x:c r="K3469" t="str">
        <x:v>major_purchase</x:v>
      </x:c>
      <x:c r="L3469" t="n">
        <x:v>0</x:v>
      </x:c>
      <x:c r="M3469" t="n">
        <x:v>0</x:v>
      </x:c>
      <x:c r="N3469" t="str">
        <x:v>Fully Paid</x:v>
      </x:c>
      <x:c r="O3469" t="str">
        <x:f>IF(D3469="","Unknown",IF(D3469&lt;25000,"&lt;$25k",IF(D3469&lt;50000,"$25k-$50k",IF(D3469&lt;75000,"$50k-$75k",IF(D3469&lt;100000,"$75k-$100k","$100k+")))))</x:f>
        <x:v>$50k-$75k</x:v>
      </x:c>
      <x:c r="P3469" t="str">
        <x:f>IF(E3469="","Unknown",IF(E3469&lt;10,"&lt;10",IF(E3469&lt;20,"10-&lt;20",IF(E3469&lt;25,"20-&lt;25",IF(E3469&lt;35,"25-&lt;35","35+")))))</x:f>
        <x:v>10-&lt;20</x:v>
      </x:c>
    </x:row>
    <x:row r="3470">
      <x:c r="A3470" t="str">
        <x:v>SYN0003469</x:v>
      </x:c>
      <x:c r="B3470" s="12" t="n">
        <x:v>41785</x:v>
      </x:c>
      <x:c r="C3470" s="18" t="n">
        <x:v>11834</x:v>
      </x:c>
      <x:c r="D3470" s="18" t="n">
        <x:v>59288</x:v>
      </x:c>
      <x:c r="E3470" s="18" t="n">
        <x:v>24.6</x:v>
      </x:c>
      <x:c r="F3470" s="18" t="n">
        <x:v>5</x:v>
      </x:c>
      <x:c r="G3470" t="n">
        <x:v>60</x:v>
      </x:c>
      <x:c r="H3470" t="str">
        <x:v>A</x:v>
      </x:c>
      <x:c r="I3470" t="str">
        <x:v>1-3 years</x:v>
      </x:c>
      <x:c r="J3470" t="str">
        <x:v>MORTGAGE</x:v>
      </x:c>
      <x:c r="K3470" t="str">
        <x:v>home_improvement</x:v>
      </x:c>
      <x:c r="L3470" t="n">
        <x:v>0</x:v>
      </x:c>
      <x:c r="M3470" t="n">
        <x:v>0</x:v>
      </x:c>
      <x:c r="N3470" t="str">
        <x:v>Fully Paid</x:v>
      </x:c>
      <x:c r="O3470" t="str">
        <x:f>IF(D3470="","Unknown",IF(D3470&lt;25000,"&lt;$25k",IF(D3470&lt;50000,"$25k-$50k",IF(D3470&lt;75000,"$50k-$75k",IF(D3470&lt;100000,"$75k-$100k","$100k+")))))</x:f>
        <x:v>$50k-$75k</x:v>
      </x:c>
      <x:c r="P3470" t="str">
        <x:f>IF(E3470="","Unknown",IF(E3470&lt;10,"&lt;10",IF(E3470&lt;20,"10-&lt;20",IF(E3470&lt;25,"20-&lt;25",IF(E3470&lt;35,"25-&lt;35","35+")))))</x:f>
        <x:v>20-&lt;25</x:v>
      </x:c>
    </x:row>
    <x:row r="3471">
      <x:c r="A3471" t="str">
        <x:v>SYN0003470</x:v>
      </x:c>
      <x:c r="B3471" s="12" t="n">
        <x:v>42535</x:v>
      </x:c>
      <x:c r="C3471" s="18" t="n">
        <x:v>12027</x:v>
      </x:c>
      <x:c r="D3471" s="18" t="n">
        <x:v>100163</x:v>
      </x:c>
      <x:c r="E3471" s="18" t="n">
        <x:v>21.49</x:v>
      </x:c>
      <x:c r="F3471" s="18" t="n">
        <x:v>22.6</x:v>
      </x:c>
      <x:c r="G3471" t="n">
        <x:v>36</x:v>
      </x:c>
      <x:c r="H3471" t="str">
        <x:v>F</x:v>
      </x:c>
      <x:c r="I3471" t="str">
        <x:v>1-3 years</x:v>
      </x:c>
      <x:c r="J3471" t="str">
        <x:v>MORTGAGE</x:v>
      </x:c>
      <x:c r="K3471" t="str">
        <x:v>debt_consolidation</x:v>
      </x:c>
      <x:c r="L3471" t="n">
        <x:v>0</x:v>
      </x:c>
      <x:c r="M3471" t="n">
        <x:v>0</x:v>
      </x:c>
      <x:c r="N3471" t="str">
        <x:v>Fully Paid</x:v>
      </x:c>
      <x:c r="O3471" t="str">
        <x:f>IF(D3471="","Unknown",IF(D3471&lt;25000,"&lt;$25k",IF(D3471&lt;50000,"$25k-$50k",IF(D3471&lt;75000,"$50k-$75k",IF(D3471&lt;100000,"$75k-$100k","$100k+")))))</x:f>
        <x:v>$100k+</x:v>
      </x:c>
      <x:c r="P3471" t="str">
        <x:f>IF(E3471="","Unknown",IF(E3471&lt;10,"&lt;10",IF(E3471&lt;20,"10-&lt;20",IF(E3471&lt;25,"20-&lt;25",IF(E3471&lt;35,"25-&lt;35","35+")))))</x:f>
        <x:v>20-&lt;25</x:v>
      </x:c>
    </x:row>
    <x:row r="3472">
      <x:c r="A3472" t="str">
        <x:v>SYN0003471</x:v>
      </x:c>
      <x:c r="B3472" s="12" t="n">
        <x:v>41395</x:v>
      </x:c>
      <x:c r="C3472" s="18" t="n">
        <x:v>7766</x:v>
      </x:c>
      <x:c r="D3472" s="18" t="n">
        <x:v>37754</x:v>
      </x:c>
      <x:c r="E3472" s="18" t="n">
        <x:v>14.06</x:v>
      </x:c>
      <x:c r="F3472" s="18" t="n">
        <x:v>5</x:v>
      </x:c>
      <x:c r="G3472" t="n">
        <x:v>36</x:v>
      </x:c>
      <x:c r="H3472" t="str">
        <x:v>A</x:v>
      </x:c>
      <x:c r="I3472" t="str">
        <x:v>4-6 years</x:v>
      </x:c>
      <x:c r="J3472" t="str">
        <x:v>OWN</x:v>
      </x:c>
      <x:c r="K3472" t="str">
        <x:v>major_purchase</x:v>
      </x:c>
      <x:c r="L3472" t="n">
        <x:v>0</x:v>
      </x:c>
      <x:c r="M3472" t="n">
        <x:v>0</x:v>
      </x:c>
      <x:c r="N3472" t="str">
        <x:v>Fully Paid</x:v>
      </x:c>
      <x:c r="O3472" t="str">
        <x:f>IF(D3472="","Unknown",IF(D3472&lt;25000,"&lt;$25k",IF(D3472&lt;50000,"$25k-$50k",IF(D3472&lt;75000,"$50k-$75k",IF(D3472&lt;100000,"$75k-$100k","$100k+")))))</x:f>
        <x:v>$25k-$50k</x:v>
      </x:c>
      <x:c r="P3472" t="str">
        <x:f>IF(E3472="","Unknown",IF(E3472&lt;10,"&lt;10",IF(E3472&lt;20,"10-&lt;20",IF(E3472&lt;25,"20-&lt;25",IF(E3472&lt;35,"25-&lt;35","35+")))))</x:f>
        <x:v>10-&lt;20</x:v>
      </x:c>
    </x:row>
    <x:row r="3473">
      <x:c r="A3473" t="str">
        <x:v>SYN0003472</x:v>
      </x:c>
      <x:c r="B3473" s="12" t="n">
        <x:v>41755</x:v>
      </x:c>
      <x:c r="C3473" s="18" t="n">
        <x:v>15659</x:v>
      </x:c>
      <x:c r="D3473" s="18" t="n">
        <x:v>34627</x:v>
      </x:c>
      <x:c r="E3473" s="18" t="n">
        <x:v>22.77</x:v>
      </x:c>
      <x:c r="F3473" s="18" t="n">
        <x:v>8.24</x:v>
      </x:c>
      <x:c r="G3473" t="n">
        <x:v>36</x:v>
      </x:c>
      <x:c r="H3473" t="str">
        <x:v>B</x:v>
      </x:c>
      <x:c r="I3473" t="str">
        <x:v>1-3 years</x:v>
      </x:c>
      <x:c r="J3473" t="str">
        <x:v>MORTGAGE</x:v>
      </x:c>
      <x:c r="K3473" t="str">
        <x:v>debt_consolidation</x:v>
      </x:c>
      <x:c r="L3473" t="n">
        <x:v>1</x:v>
      </x:c>
      <x:c r="M3473" t="n">
        <x:v>0</x:v>
      </x:c>
      <x:c r="N3473" t="str">
        <x:v>Fully Paid</x:v>
      </x:c>
      <x:c r="O3473" t="str">
        <x:f>IF(D3473="","Unknown",IF(D3473&lt;25000,"&lt;$25k",IF(D3473&lt;50000,"$25k-$50k",IF(D3473&lt;75000,"$50k-$75k",IF(D3473&lt;100000,"$75k-$100k","$100k+")))))</x:f>
        <x:v>$25k-$50k</x:v>
      </x:c>
      <x:c r="P3473" t="str">
        <x:f>IF(E3473="","Unknown",IF(E3473&lt;10,"&lt;10",IF(E3473&lt;20,"10-&lt;20",IF(E3473&lt;25,"20-&lt;25",IF(E3473&lt;35,"25-&lt;35","35+")))))</x:f>
        <x:v>20-&lt;25</x:v>
      </x:c>
    </x:row>
    <x:row r="3474">
      <x:c r="A3474" t="str">
        <x:v>SYN0003473</x:v>
      </x:c>
      <x:c r="B3474" s="12" t="n">
        <x:v>42025</x:v>
      </x:c>
      <x:c r="C3474" s="18" t="n">
        <x:v>27300</x:v>
      </x:c>
      <x:c r="D3474" s="18" t="n">
        <x:v>16072</x:v>
      </x:c>
      <x:c r="E3474" s="18" t="n">
        <x:v>19</x:v>
      </x:c>
      <x:c r="F3474" s="18" t="n">
        <x:v>16.08</x:v>
      </x:c>
      <x:c r="G3474" t="n">
        <x:v>60</x:v>
      </x:c>
      <x:c r="H3474" t="str">
        <x:v>E</x:v>
      </x:c>
      <x:c r="I3474" t="str">
        <x:v>&lt;1 year</x:v>
      </x:c>
      <x:c r="J3474" t="str">
        <x:v>OWN</x:v>
      </x:c>
      <x:c r="K3474" t="str">
        <x:v>home_improvement</x:v>
      </x:c>
      <x:c r="L3474" t="n">
        <x:v>0</x:v>
      </x:c>
      <x:c r="M3474" t="n">
        <x:v>0</x:v>
      </x:c>
      <x:c r="N3474" t="str">
        <x:v>Fully Paid</x:v>
      </x:c>
      <x:c r="O3474" t="str">
        <x:f>IF(D3474="","Unknown",IF(D3474&lt;25000,"&lt;$25k",IF(D3474&lt;50000,"$25k-$50k",IF(D3474&lt;75000,"$50k-$75k",IF(D3474&lt;100000,"$75k-$100k","$100k+")))))</x:f>
        <x:v>&lt;$25k</x:v>
      </x:c>
      <x:c r="P3474" t="str">
        <x:f>IF(E3474="","Unknown",IF(E3474&lt;10,"&lt;10",IF(E3474&lt;20,"10-&lt;20",IF(E3474&lt;25,"20-&lt;25",IF(E3474&lt;35,"25-&lt;35","35+")))))</x:f>
        <x:v>10-&lt;20</x:v>
      </x:c>
    </x:row>
    <x:row r="3475">
      <x:c r="A3475" t="str">
        <x:v>SYN0003474</x:v>
      </x:c>
      <x:c r="B3475" s="12" t="n">
        <x:v>42595</x:v>
      </x:c>
      <x:c r="C3475" s="18" t="n">
        <x:v>8229</x:v>
      </x:c>
      <x:c r="D3475" s="18" t="n">
        <x:v>29090</x:v>
      </x:c>
      <x:c r="E3475" s="18" t="n">
        <x:v>19.84</x:v>
      </x:c>
      <x:c r="F3475" s="18" t="n">
        <x:v>7.68</x:v>
      </x:c>
      <x:c r="G3475" t="n">
        <x:v>36</x:v>
      </x:c>
      <x:c r="H3475" t="str">
        <x:v>A</x:v>
      </x:c>
      <x:c r="I3475" t="str">
        <x:v>4-6 years</x:v>
      </x:c>
      <x:c r="J3475" t="str">
        <x:v>OWN</x:v>
      </x:c>
      <x:c r="K3475" t="str">
        <x:v>other</x:v>
      </x:c>
      <x:c r="L3475" t="n">
        <x:v>0</x:v>
      </x:c>
      <x:c r="M3475" t="n">
        <x:v>0</x:v>
      </x:c>
      <x:c r="N3475" t="str">
        <x:v>Fully Paid</x:v>
      </x:c>
      <x:c r="O3475" t="str">
        <x:f>IF(D3475="","Unknown",IF(D3475&lt;25000,"&lt;$25k",IF(D3475&lt;50000,"$25k-$50k",IF(D3475&lt;75000,"$50k-$75k",IF(D3475&lt;100000,"$75k-$100k","$100k+")))))</x:f>
        <x:v>$25k-$50k</x:v>
      </x:c>
      <x:c r="P3475" t="str">
        <x:f>IF(E3475="","Unknown",IF(E3475&lt;10,"&lt;10",IF(E3475&lt;20,"10-&lt;20",IF(E3475&lt;25,"20-&lt;25",IF(E3475&lt;35,"25-&lt;35","35+")))))</x:f>
        <x:v>10-&lt;20</x:v>
      </x:c>
    </x:row>
    <x:row r="3476">
      <x:c r="A3476" t="str">
        <x:v>SYN0003475</x:v>
      </x:c>
      <x:c r="B3476" s="12" t="n">
        <x:v>42985</x:v>
      </x:c>
      <x:c r="C3476" s="18" t="n">
        <x:v>14717</x:v>
      </x:c>
      <x:c r="D3476" s="18" t="n">
        <x:v>33542</x:v>
      </x:c>
      <x:c r="E3476" s="18" t="n">
        <x:v>16.3</x:v>
      </x:c>
      <x:c r="F3476" s="18" t="n">
        <x:v>5</x:v>
      </x:c>
      <x:c r="G3476" t="n">
        <x:v>36</x:v>
      </x:c>
      <x:c r="H3476" t="str">
        <x:v>A</x:v>
      </x:c>
      <x:c r="I3476" t="str">
        <x:v>4-6 years</x:v>
      </x:c>
      <x:c r="J3476" t="str">
        <x:v>RENT</x:v>
      </x:c>
      <x:c r="K3476" t="str">
        <x:v>home_improvement</x:v>
      </x:c>
      <x:c r="L3476" t="n">
        <x:v>0</x:v>
      </x:c>
      <x:c r="M3476" t="n">
        <x:v>0</x:v>
      </x:c>
      <x:c r="N3476" t="str">
        <x:v>Fully Paid</x:v>
      </x:c>
      <x:c r="O3476" t="str">
        <x:f>IF(D3476="","Unknown",IF(D3476&lt;25000,"&lt;$25k",IF(D3476&lt;50000,"$25k-$50k",IF(D3476&lt;75000,"$50k-$75k",IF(D3476&lt;100000,"$75k-$100k","$100k+")))))</x:f>
        <x:v>$25k-$50k</x:v>
      </x:c>
      <x:c r="P3476" t="str">
        <x:f>IF(E3476="","Unknown",IF(E3476&lt;10,"&lt;10",IF(E3476&lt;20,"10-&lt;20",IF(E3476&lt;25,"20-&lt;25",IF(E3476&lt;35,"25-&lt;35","35+")))))</x:f>
        <x:v>10-&lt;20</x:v>
      </x:c>
    </x:row>
    <x:row r="3477">
      <x:c r="A3477" t="str">
        <x:v>SYN0003476</x:v>
      </x:c>
      <x:c r="B3477" s="12" t="n">
        <x:v>41815</x:v>
      </x:c>
      <x:c r="C3477" s="18" t="n">
        <x:v>7566</x:v>
      </x:c>
      <x:c r="D3477" s="18" t="n">
        <x:v>33178</x:v>
      </x:c>
      <x:c r="E3477" s="18" t="n">
        <x:v>30.39</x:v>
      </x:c>
      <x:c r="F3477" s="18" t="n">
        <x:v>9.81</x:v>
      </x:c>
      <x:c r="G3477" t="n">
        <x:v>36</x:v>
      </x:c>
      <x:c r="H3477" t="str">
        <x:v>B</x:v>
      </x:c>
      <x:c r="I3477" t="str">
        <x:v>&lt;1 year</x:v>
      </x:c>
      <x:c r="J3477" t="str">
        <x:v>MORTGAGE</x:v>
      </x:c>
      <x:c r="K3477" t="str">
        <x:v>credit_card</x:v>
      </x:c>
      <x:c r="L3477" t="n">
        <x:v>0</x:v>
      </x:c>
      <x:c r="M3477" t="n">
        <x:v>0</x:v>
      </x:c>
      <x:c r="N3477" t="str">
        <x:v>Fully Paid</x:v>
      </x:c>
      <x:c r="O3477" t="str">
        <x:f>IF(D3477="","Unknown",IF(D3477&lt;25000,"&lt;$25k",IF(D3477&lt;50000,"$25k-$50k",IF(D3477&lt;75000,"$50k-$75k",IF(D3477&lt;100000,"$75k-$100k","$100k+")))))</x:f>
        <x:v>$25k-$50k</x:v>
      </x:c>
      <x:c r="P3477" t="str">
        <x:f>IF(E3477="","Unknown",IF(E3477&lt;10,"&lt;10",IF(E3477&lt;20,"10-&lt;20",IF(E3477&lt;25,"20-&lt;25",IF(E3477&lt;35,"25-&lt;35","35+")))))</x:f>
        <x:v>25-&lt;35</x:v>
      </x:c>
    </x:row>
    <x:row r="3478">
      <x:c r="A3478" t="str">
        <x:v>SYN0003477</x:v>
      </x:c>
      <x:c r="B3478" s="12" t="n">
        <x:v>41335</x:v>
      </x:c>
      <x:c r="C3478" s="18" t="n">
        <x:v>11820</x:v>
      </x:c>
      <x:c r="D3478" s="18" t="n">
        <x:v>59686</x:v>
      </x:c>
      <x:c r="E3478" s="18" t="n">
        <x:v>7.89</x:v>
      </x:c>
      <x:c r="F3478" s="18" t="n">
        <x:v>5.92</x:v>
      </x:c>
      <x:c r="G3478" t="n">
        <x:v>36</x:v>
      </x:c>
      <x:c r="H3478" t="str">
        <x:v>B</x:v>
      </x:c>
      <x:c r="I3478" t="str">
        <x:v>7-9 years</x:v>
      </x:c>
      <x:c r="J3478" t="str">
        <x:v>MORTGAGE</x:v>
      </x:c>
      <x:c r="K3478" t="str">
        <x:v>medical</x:v>
      </x:c>
      <x:c r="L3478" t="n">
        <x:v>0</x:v>
      </x:c>
      <x:c r="M3478" t="n">
        <x:v>0</x:v>
      </x:c>
      <x:c r="N3478" t="str">
        <x:v>Fully Paid</x:v>
      </x:c>
      <x:c r="O3478" t="str">
        <x:f>IF(D3478="","Unknown",IF(D3478&lt;25000,"&lt;$25k",IF(D3478&lt;50000,"$25k-$50k",IF(D3478&lt;75000,"$50k-$75k",IF(D3478&lt;100000,"$75k-$100k","$100k+")))))</x:f>
        <x:v>$50k-$75k</x:v>
      </x:c>
      <x:c r="P3478" t="str">
        <x:f>IF(E3478="","Unknown",IF(E3478&lt;10,"&lt;10",IF(E3478&lt;20,"10-&lt;20",IF(E3478&lt;25,"20-&lt;25",IF(E3478&lt;35,"25-&lt;35","35+")))))</x:f>
        <x:v>&lt;10</x:v>
      </x:c>
    </x:row>
    <x:row r="3479">
      <x:c r="A3479" t="str">
        <x:v>SYN0003478</x:v>
      </x:c>
      <x:c r="B3479" s="12" t="n">
        <x:v>42205</x:v>
      </x:c>
      <x:c r="C3479" s="18" t="n">
        <x:v>7382</x:v>
      </x:c>
      <x:c r="D3479" s="18" t="n">
        <x:v>70043</x:v>
      </x:c>
      <x:c r="E3479" s="18" t="n">
        <x:v>16.14</x:v>
      </x:c>
      <x:c r="F3479" s="18" t="n">
        <x:v>12.37</x:v>
      </x:c>
      <x:c r="G3479" t="n">
        <x:v>36</x:v>
      </x:c>
      <x:c r="H3479" t="str">
        <x:v>C</x:v>
      </x:c>
      <x:c r="I3479" t="str">
        <x:v>4-6 years</x:v>
      </x:c>
      <x:c r="J3479" t="str">
        <x:v>OWN</x:v>
      </x:c>
      <x:c r="K3479" t="str">
        <x:v>home_improvement</x:v>
      </x:c>
      <x:c r="L3479" t="n">
        <x:v>0</x:v>
      </x:c>
      <x:c r="M3479" t="n">
        <x:v>0</x:v>
      </x:c>
      <x:c r="N3479" t="str">
        <x:v>Fully Paid</x:v>
      </x:c>
      <x:c r="O3479" t="str">
        <x:f>IF(D3479="","Unknown",IF(D3479&lt;25000,"&lt;$25k",IF(D3479&lt;50000,"$25k-$50k",IF(D3479&lt;75000,"$50k-$75k",IF(D3479&lt;100000,"$75k-$100k","$100k+")))))</x:f>
        <x:v>$50k-$75k</x:v>
      </x:c>
      <x:c r="P3479" t="str">
        <x:f>IF(E3479="","Unknown",IF(E3479&lt;10,"&lt;10",IF(E3479&lt;20,"10-&lt;20",IF(E3479&lt;25,"20-&lt;25",IF(E3479&lt;35,"25-&lt;35","35+")))))</x:f>
        <x:v>10-&lt;20</x:v>
      </x:c>
    </x:row>
    <x:row r="3480">
      <x:c r="A3480" t="str">
        <x:v>SYN0003479</x:v>
      </x:c>
      <x:c r="B3480" s="12" t="n">
        <x:v>43165</x:v>
      </x:c>
      <x:c r="C3480" s="18" t="n">
        <x:v>12371</x:v>
      </x:c>
      <x:c r="D3480" s="18" t="n">
        <x:v>76807</x:v>
      </x:c>
      <x:c r="E3480" s="18" t="n">
        <x:v>36.15</x:v>
      </x:c>
      <x:c r="F3480" s="18" t="n">
        <x:v>21.91</x:v>
      </x:c>
      <x:c r="G3480" t="n">
        <x:v>60</x:v>
      </x:c>
      <x:c r="H3480" t="str">
        <x:v>F</x:v>
      </x:c>
      <x:c r="I3480" t="str">
        <x:v>&lt;1 year</x:v>
      </x:c>
      <x:c r="J3480" t="str">
        <x:v>MORTGAGE</x:v>
      </x:c>
      <x:c r="K3480" t="str">
        <x:v>major_purchase</x:v>
      </x:c>
      <x:c r="L3480" t="n">
        <x:v>2</x:v>
      </x:c>
      <x:c r="M3480" t="n">
        <x:v>1</x:v>
      </x:c>
      <x:c r="N3480" t="str">
        <x:v>Charged Off</x:v>
      </x:c>
      <x:c r="O3480" t="str">
        <x:f>IF(D3480="","Unknown",IF(D3480&lt;25000,"&lt;$25k",IF(D3480&lt;50000,"$25k-$50k",IF(D3480&lt;75000,"$50k-$75k",IF(D3480&lt;100000,"$75k-$100k","$100k+")))))</x:f>
        <x:v>$75k-$100k</x:v>
      </x:c>
      <x:c r="P3480" t="str">
        <x:f>IF(E3480="","Unknown",IF(E3480&lt;10,"&lt;10",IF(E3480&lt;20,"10-&lt;20",IF(E3480&lt;25,"20-&lt;25",IF(E3480&lt;35,"25-&lt;35","35+")))))</x:f>
        <x:v>35+</x:v>
      </x:c>
    </x:row>
    <x:row r="3481">
      <x:c r="A3481" t="str">
        <x:v>SYN0003480</x:v>
      </x:c>
      <x:c r="B3481" s="12" t="n">
        <x:v>42025</x:v>
      </x:c>
      <x:c r="C3481" s="18" t="n">
        <x:v>20592</x:v>
      </x:c>
      <x:c r="D3481" s="18" t="n">
        <x:v>20006</x:v>
      </x:c>
      <x:c r="E3481" s="18" t="n">
        <x:v>26.67</x:v>
      </x:c>
      <x:c r="F3481" s="18" t="n">
        <x:v>8.54</x:v>
      </x:c>
      <x:c r="G3481" t="n">
        <x:v>36</x:v>
      </x:c>
      <x:c r="H3481" t="str">
        <x:v>B</x:v>
      </x:c>
      <x:c r="I3481" t="str">
        <x:v>&lt;1 year</x:v>
      </x:c>
      <x:c r="J3481" t="str">
        <x:v>RENT</x:v>
      </x:c>
      <x:c r="K3481" t="str">
        <x:v>credit_card</x:v>
      </x:c>
      <x:c r="L3481" t="n">
        <x:v>0</x:v>
      </x:c>
      <x:c r="M3481" t="n">
        <x:v>0</x:v>
      </x:c>
      <x:c r="N3481" t="str">
        <x:v>Fully Paid</x:v>
      </x:c>
      <x:c r="O3481" t="str">
        <x:f>IF(D3481="","Unknown",IF(D3481&lt;25000,"&lt;$25k",IF(D3481&lt;50000,"$25k-$50k",IF(D3481&lt;75000,"$50k-$75k",IF(D3481&lt;100000,"$75k-$100k","$100k+")))))</x:f>
        <x:v>&lt;$25k</x:v>
      </x:c>
      <x:c r="P3481" t="str">
        <x:f>IF(E3481="","Unknown",IF(E3481&lt;10,"&lt;10",IF(E3481&lt;20,"10-&lt;20",IF(E3481&lt;25,"20-&lt;25",IF(E3481&lt;35,"25-&lt;35","35+")))))</x:f>
        <x:v>25-&lt;35</x:v>
      </x:c>
    </x:row>
    <x:row r="3482">
      <x:c r="A3482" t="str">
        <x:v>SYN0003481</x:v>
      </x:c>
      <x:c r="B3482" s="12" t="n">
        <x:v>42445</x:v>
      </x:c>
      <x:c r="C3482" s="18" t="n">
        <x:v>15322</x:v>
      </x:c>
      <x:c r="D3482" s="18" t="n">
        <x:v>20194</x:v>
      </x:c>
      <x:c r="E3482" s="18" t="n">
        <x:v>32.85</x:v>
      </x:c>
      <x:c r="F3482" s="18" t="n">
        <x:v>15.91</x:v>
      </x:c>
      <x:c r="G3482" t="n">
        <x:v>36</x:v>
      </x:c>
      <x:c r="H3482" t="str">
        <x:v>D</x:v>
      </x:c>
      <x:c r="I3482" t="str">
        <x:v>4-6 years</x:v>
      </x:c>
      <x:c r="J3482" t="str">
        <x:v>MORTGAGE</x:v>
      </x:c>
      <x:c r="K3482" t="str">
        <x:v>home_improvement</x:v>
      </x:c>
      <x:c r="L3482" t="n">
        <x:v>0</x:v>
      </x:c>
      <x:c r="M3482" t="n">
        <x:v>1</x:v>
      </x:c>
      <x:c r="N3482" t="str">
        <x:v>Charged Off</x:v>
      </x:c>
      <x:c r="O3482" t="str">
        <x:f>IF(D3482="","Unknown",IF(D3482&lt;25000,"&lt;$25k",IF(D3482&lt;50000,"$25k-$50k",IF(D3482&lt;75000,"$50k-$75k",IF(D3482&lt;100000,"$75k-$100k","$100k+")))))</x:f>
        <x:v>&lt;$25k</x:v>
      </x:c>
      <x:c r="P3482" t="str">
        <x:f>IF(E3482="","Unknown",IF(E3482&lt;10,"&lt;10",IF(E3482&lt;20,"10-&lt;20",IF(E3482&lt;25,"20-&lt;25",IF(E3482&lt;35,"25-&lt;35","35+")))))</x:f>
        <x:v>25-&lt;35</x:v>
      </x:c>
    </x:row>
    <x:row r="3483">
      <x:c r="A3483" t="str">
        <x:v>SYN0003482</x:v>
      </x:c>
      <x:c r="B3483" s="12" t="n">
        <x:v>42745</x:v>
      </x:c>
      <x:c r="C3483" s="18" t="n">
        <x:v>39691</x:v>
      </x:c>
      <x:c r="D3483" s="18" t="n">
        <x:v>99525</x:v>
      </x:c>
      <x:c r="E3483" s="18" t="n">
        <x:v>16.7</x:v>
      </x:c>
      <x:c r="F3483" s="18" t="n">
        <x:v>16.85</x:v>
      </x:c>
      <x:c r="G3483" t="n">
        <x:v>60</x:v>
      </x:c>
      <x:c r="H3483" t="str">
        <x:v>D</x:v>
      </x:c>
      <x:c r="I3483" t="str">
        <x:v>1-3 years</x:v>
      </x:c>
      <x:c r="J3483" t="str">
        <x:v>MORTGAGE</x:v>
      </x:c>
      <x:c r="K3483" t="str">
        <x:v>debt_consolidation</x:v>
      </x:c>
      <x:c r="L3483" t="n">
        <x:v>1</x:v>
      </x:c>
      <x:c r="M3483" t="n">
        <x:v>0</x:v>
      </x:c>
      <x:c r="N3483" t="str">
        <x:v>Fully Paid</x:v>
      </x:c>
      <x:c r="O3483" t="str">
        <x:f>IF(D3483="","Unknown",IF(D3483&lt;25000,"&lt;$25k",IF(D3483&lt;50000,"$25k-$50k",IF(D3483&lt;75000,"$50k-$75k",IF(D3483&lt;100000,"$75k-$100k","$100k+")))))</x:f>
        <x:v>$75k-$100k</x:v>
      </x:c>
      <x:c r="P3483" t="str">
        <x:f>IF(E3483="","Unknown",IF(E3483&lt;10,"&lt;10",IF(E3483&lt;20,"10-&lt;20",IF(E3483&lt;25,"20-&lt;25",IF(E3483&lt;35,"25-&lt;35","35+")))))</x:f>
        <x:v>10-&lt;20</x:v>
      </x:c>
    </x:row>
    <x:row r="3484">
      <x:c r="A3484" t="str">
        <x:v>SYN0003483</x:v>
      </x:c>
      <x:c r="B3484" s="12" t="n">
        <x:v>43375</x:v>
      </x:c>
      <x:c r="C3484" s="18" t="n">
        <x:v>8412</x:v>
      </x:c>
      <x:c r="D3484" s="18" t="n">
        <x:v>64635</x:v>
      </x:c>
      <x:c r="E3484" s="18" t="n">
        <x:v>30.52</x:v>
      </x:c>
      <x:c r="F3484" s="18" t="n">
        <x:v>6.98</x:v>
      </x:c>
      <x:c r="G3484" t="n">
        <x:v>36</x:v>
      </x:c>
      <x:c r="H3484" t="str">
        <x:v>B</x:v>
      </x:c>
      <x:c r="I3484" t="str">
        <x:v>4-6 years</x:v>
      </x:c>
      <x:c r="J3484" t="str">
        <x:v>MORTGAGE</x:v>
      </x:c>
      <x:c r="K3484" t="str">
        <x:v>debt_consolidation</x:v>
      </x:c>
      <x:c r="L3484" t="n">
        <x:v>1</x:v>
      </x:c>
      <x:c r="M3484" t="n">
        <x:v>1</x:v>
      </x:c>
      <x:c r="N3484" t="str">
        <x:v>Charged Off</x:v>
      </x:c>
      <x:c r="O3484" t="str">
        <x:f>IF(D3484="","Unknown",IF(D3484&lt;25000,"&lt;$25k",IF(D3484&lt;50000,"$25k-$50k",IF(D3484&lt;75000,"$50k-$75k",IF(D3484&lt;100000,"$75k-$100k","$100k+")))))</x:f>
        <x:v>$50k-$75k</x:v>
      </x:c>
      <x:c r="P3484" t="str">
        <x:f>IF(E3484="","Unknown",IF(E3484&lt;10,"&lt;10",IF(E3484&lt;20,"10-&lt;20",IF(E3484&lt;25,"20-&lt;25",IF(E3484&lt;35,"25-&lt;35","35+")))))</x:f>
        <x:v>25-&lt;35</x:v>
      </x:c>
    </x:row>
    <x:row r="3485">
      <x:c r="A3485" t="str">
        <x:v>SYN0003484</x:v>
      </x:c>
      <x:c r="B3485" s="12" t="n">
        <x:v>42385</x:v>
      </x:c>
      <x:c r="C3485" s="18" t="n">
        <x:v>13402</x:v>
      </x:c>
      <x:c r="D3485" s="18" t="n">
        <x:v>12143</x:v>
      </x:c>
      <x:c r="E3485" s="18" t="n">
        <x:v>16.66</x:v>
      </x:c>
      <x:c r="F3485" s="18" t="n">
        <x:v>11.01</x:v>
      </x:c>
      <x:c r="G3485" t="n">
        <x:v>36</x:v>
      </x:c>
      <x:c r="H3485" t="str">
        <x:v>C</x:v>
      </x:c>
      <x:c r="I3485" t="str">
        <x:v>7-9 years</x:v>
      </x:c>
      <x:c r="J3485" t="str">
        <x:v>RENT</x:v>
      </x:c>
      <x:c r="K3485" t="str">
        <x:v>other</x:v>
      </x:c>
      <x:c r="L3485" t="n">
        <x:v>0</x:v>
      </x:c>
      <x:c r="M3485" t="n">
        <x:v>0</x:v>
      </x:c>
      <x:c r="N3485" t="str">
        <x:v>Fully Paid</x:v>
      </x:c>
      <x:c r="O3485" t="str">
        <x:f>IF(D3485="","Unknown",IF(D3485&lt;25000,"&lt;$25k",IF(D3485&lt;50000,"$25k-$50k",IF(D3485&lt;75000,"$50k-$75k",IF(D3485&lt;100000,"$75k-$100k","$100k+")))))</x:f>
        <x:v>&lt;$25k</x:v>
      </x:c>
      <x:c r="P3485" t="str">
        <x:f>IF(E3485="","Unknown",IF(E3485&lt;10,"&lt;10",IF(E3485&lt;20,"10-&lt;20",IF(E3485&lt;25,"20-&lt;25",IF(E3485&lt;35,"25-&lt;35","35+")))))</x:f>
        <x:v>10-&lt;20</x:v>
      </x:c>
    </x:row>
    <x:row r="3486">
      <x:c r="A3486" t="str">
        <x:v>SYN0003485</x:v>
      </x:c>
      <x:c r="B3486" s="12" t="n">
        <x:v>41605</x:v>
      </x:c>
      <x:c r="C3486" s="18" t="n">
        <x:v>8519</x:v>
      </x:c>
      <x:c r="D3486" s="18" t="n">
        <x:v>45826</x:v>
      </x:c>
      <x:c r="E3486" s="18" t="n">
        <x:v>13.52</x:v>
      </x:c>
      <x:c r="F3486" s="18" t="n">
        <x:v>12.34</x:v>
      </x:c>
      <x:c r="G3486" t="n">
        <x:v>36</x:v>
      </x:c>
      <x:c r="H3486" t="str">
        <x:v>D</x:v>
      </x:c>
      <x:c r="I3486" t="str">
        <x:v>10+ years</x:v>
      </x:c>
      <x:c r="J3486" t="str">
        <x:v>MORTGAGE</x:v>
      </x:c>
      <x:c r="K3486" t="str">
        <x:v>debt_consolidation</x:v>
      </x:c>
      <x:c r="L3486" t="n">
        <x:v>1</x:v>
      </x:c>
      <x:c r="M3486" t="n">
        <x:v>0</x:v>
      </x:c>
      <x:c r="N3486" t="str">
        <x:v>Fully Paid</x:v>
      </x:c>
      <x:c r="O3486" t="str">
        <x:f>IF(D3486="","Unknown",IF(D3486&lt;25000,"&lt;$25k",IF(D3486&lt;50000,"$25k-$50k",IF(D3486&lt;75000,"$50k-$75k",IF(D3486&lt;100000,"$75k-$100k","$100k+")))))</x:f>
        <x:v>$25k-$50k</x:v>
      </x:c>
      <x:c r="P3486" t="str">
        <x:f>IF(E3486="","Unknown",IF(E3486&lt;10,"&lt;10",IF(E3486&lt;20,"10-&lt;20",IF(E3486&lt;25,"20-&lt;25",IF(E3486&lt;35,"25-&lt;35","35+")))))</x:f>
        <x:v>10-&lt;20</x:v>
      </x:c>
    </x:row>
    <x:row r="3487">
      <x:c r="A3487" t="str">
        <x:v>SYN0003486</x:v>
      </x:c>
      <x:c r="B3487" s="12" t="n">
        <x:v>41785</x:v>
      </x:c>
      <x:c r="C3487" s="18" t="n">
        <x:v>5970</x:v>
      </x:c>
      <x:c r="D3487" s="18" t="n">
        <x:v>86643</x:v>
      </x:c>
      <x:c r="E3487" s="18" t="n">
        <x:v>16.53</x:v>
      </x:c>
      <x:c r="F3487" s="18" t="n">
        <x:v>9.18</x:v>
      </x:c>
      <x:c r="G3487" t="n">
        <x:v>36</x:v>
      </x:c>
      <x:c r="H3487" t="str">
        <x:v>B</x:v>
      </x:c>
      <x:c r="I3487" t="str">
        <x:v>7-9 years</x:v>
      </x:c>
      <x:c r="J3487" t="str">
        <x:v>MORTGAGE</x:v>
      </x:c>
      <x:c r="K3487" t="str">
        <x:v>debt_consolidation</x:v>
      </x:c>
      <x:c r="L3487" t="n">
        <x:v>0</x:v>
      </x:c>
      <x:c r="M3487" t="n">
        <x:v>0</x:v>
      </x:c>
      <x:c r="N3487" t="str">
        <x:v>Fully Paid</x:v>
      </x:c>
      <x:c r="O3487" t="str">
        <x:f>IF(D3487="","Unknown",IF(D3487&lt;25000,"&lt;$25k",IF(D3487&lt;50000,"$25k-$50k",IF(D3487&lt;75000,"$50k-$75k",IF(D3487&lt;100000,"$75k-$100k","$100k+")))))</x:f>
        <x:v>$75k-$100k</x:v>
      </x:c>
      <x:c r="P3487" t="str">
        <x:f>IF(E3487="","Unknown",IF(E3487&lt;10,"&lt;10",IF(E3487&lt;20,"10-&lt;20",IF(E3487&lt;25,"20-&lt;25",IF(E3487&lt;35,"25-&lt;35","35+")))))</x:f>
        <x:v>10-&lt;20</x:v>
      </x:c>
    </x:row>
    <x:row r="3488">
      <x:c r="A3488" t="str">
        <x:v>SYN0003487</x:v>
      </x:c>
      <x:c r="B3488" s="12" t="n">
        <x:v>41785</x:v>
      </x:c>
      <x:c r="C3488" s="18" t="n">
        <x:v>6027</x:v>
      </x:c>
      <x:c r="D3488" s="18" t="n">
        <x:v>12029</x:v>
      </x:c>
      <x:c r="E3488" s="18" t="n">
        <x:v>39.54</x:v>
      </x:c>
      <x:c r="F3488" s="18" t="n">
        <x:v>27.04</x:v>
      </x:c>
      <x:c r="G3488" t="n">
        <x:v>36</x:v>
      </x:c>
      <x:c r="H3488" t="str">
        <x:v>G</x:v>
      </x:c>
      <x:c r="I3488" t="str">
        <x:v>1-3 years</x:v>
      </x:c>
      <x:c r="J3488" t="str">
        <x:v>MORTGAGE</x:v>
      </x:c>
      <x:c r="K3488" t="str">
        <x:v>major_purchase</x:v>
      </x:c>
      <x:c r="L3488" t="n">
        <x:v>2</x:v>
      </x:c>
      <x:c r="M3488" t="n">
        <x:v>1</x:v>
      </x:c>
      <x:c r="N3488" t="str">
        <x:v>Charged Off</x:v>
      </x:c>
      <x:c r="O3488" t="str">
        <x:f>IF(D3488="","Unknown",IF(D3488&lt;25000,"&lt;$25k",IF(D3488&lt;50000,"$25k-$50k",IF(D3488&lt;75000,"$50k-$75k",IF(D3488&lt;100000,"$75k-$100k","$100k+")))))</x:f>
        <x:v>&lt;$25k</x:v>
      </x:c>
      <x:c r="P3488" t="str">
        <x:f>IF(E3488="","Unknown",IF(E3488&lt;10,"&lt;10",IF(E3488&lt;20,"10-&lt;20",IF(E3488&lt;25,"20-&lt;25",IF(E3488&lt;35,"25-&lt;35","35+")))))</x:f>
        <x:v>35+</x:v>
      </x:c>
    </x:row>
    <x:row r="3489">
      <x:c r="A3489" t="str">
        <x:v>SYN0003488</x:v>
      </x:c>
      <x:c r="B3489" s="12" t="n">
        <x:v>42745</x:v>
      </x:c>
      <x:c r="C3489" s="18" t="n">
        <x:v>28210</x:v>
      </x:c>
      <x:c r="D3489" s="18" t="n">
        <x:v>73422</x:v>
      </x:c>
      <x:c r="E3489" s="18" t="n">
        <x:v>18.27</x:v>
      </x:c>
      <x:c r="F3489" s="18" t="n">
        <x:v>9.01</x:v>
      </x:c>
      <x:c r="G3489" t="n">
        <x:v>60</x:v>
      </x:c>
      <x:c r="H3489" t="str">
        <x:v>B</x:v>
      </x:c>
      <x:c r="I3489" t="str">
        <x:v>1-3 years</x:v>
      </x:c>
      <x:c r="J3489" t="str">
        <x:v>MORTGAGE</x:v>
      </x:c>
      <x:c r="K3489" t="str">
        <x:v>credit_card</x:v>
      </x:c>
      <x:c r="L3489" t="n">
        <x:v>0</x:v>
      </x:c>
      <x:c r="M3489" t="n">
        <x:v>0</x:v>
      </x:c>
      <x:c r="N3489" t="str">
        <x:v>Fully Paid</x:v>
      </x:c>
      <x:c r="O3489" t="str">
        <x:f>IF(D3489="","Unknown",IF(D3489&lt;25000,"&lt;$25k",IF(D3489&lt;50000,"$25k-$50k",IF(D3489&lt;75000,"$50k-$75k",IF(D3489&lt;100000,"$75k-$100k","$100k+")))))</x:f>
        <x:v>$50k-$75k</x:v>
      </x:c>
      <x:c r="P3489" t="str">
        <x:f>IF(E3489="","Unknown",IF(E3489&lt;10,"&lt;10",IF(E3489&lt;20,"10-&lt;20",IF(E3489&lt;25,"20-&lt;25",IF(E3489&lt;35,"25-&lt;35","35+")))))</x:f>
        <x:v>10-&lt;20</x:v>
      </x:c>
    </x:row>
    <x:row r="3490">
      <x:c r="A3490" t="str">
        <x:v>SYN0003489</x:v>
      </x:c>
      <x:c r="B3490" s="12" t="n">
        <x:v>41665</x:v>
      </x:c>
      <x:c r="C3490" s="18" t="n">
        <x:v>11572</x:v>
      </x:c>
      <x:c r="D3490" s="18" t="n">
        <x:v>26920</x:v>
      </x:c>
      <x:c r="E3490" s="18" t="n">
        <x:v>15.42</x:v>
      </x:c>
      <x:c r="F3490" s="18" t="n">
        <x:v>10.35</x:v>
      </x:c>
      <x:c r="G3490" t="n">
        <x:v>60</x:v>
      </x:c>
      <x:c r="H3490" t="str">
        <x:v>B</x:v>
      </x:c>
      <x:c r="I3490" t="str">
        <x:v>4-6 years</x:v>
      </x:c>
      <x:c r="J3490" t="str">
        <x:v>OWN</x:v>
      </x:c>
      <x:c r="K3490" t="str">
        <x:v>credit_card</x:v>
      </x:c>
      <x:c r="L3490" t="n">
        <x:v>0</x:v>
      </x:c>
      <x:c r="M3490" t="n">
        <x:v>0</x:v>
      </x:c>
      <x:c r="N3490" t="str">
        <x:v>Fully Paid</x:v>
      </x:c>
      <x:c r="O3490" t="str">
        <x:f>IF(D3490="","Unknown",IF(D3490&lt;25000,"&lt;$25k",IF(D3490&lt;50000,"$25k-$50k",IF(D3490&lt;75000,"$50k-$75k",IF(D3490&lt;100000,"$75k-$100k","$100k+")))))</x:f>
        <x:v>$25k-$50k</x:v>
      </x:c>
      <x:c r="P3490" t="str">
        <x:f>IF(E3490="","Unknown",IF(E3490&lt;10,"&lt;10",IF(E3490&lt;20,"10-&lt;20",IF(E3490&lt;25,"20-&lt;25",IF(E3490&lt;35,"25-&lt;35","35+")))))</x:f>
        <x:v>10-&lt;20</x:v>
      </x:c>
    </x:row>
    <x:row r="3491">
      <x:c r="A3491" t="str">
        <x:v>SYN0003490</x:v>
      </x:c>
      <x:c r="B3491" s="12" t="n">
        <x:v>42205</x:v>
      </x:c>
      <x:c r="C3491" s="18" t="n">
        <x:v>14712</x:v>
      </x:c>
      <x:c r="D3491" s="18" t="n">
        <x:v>18405</x:v>
      </x:c>
      <x:c r="E3491" s="18" t="n">
        <x:v>22.25</x:v>
      </x:c>
      <x:c r="F3491" s="18" t="n">
        <x:v>19.59</x:v>
      </x:c>
      <x:c r="G3491" t="n">
        <x:v>36</x:v>
      </x:c>
      <x:c r="H3491" t="str">
        <x:v>F</x:v>
      </x:c>
      <x:c r="I3491" t="str">
        <x:v>1-3 years</x:v>
      </x:c>
      <x:c r="J3491" t="str">
        <x:v>MORTGAGE</x:v>
      </x:c>
      <x:c r="K3491" t="str">
        <x:v>debt_consolidation</x:v>
      </x:c>
      <x:c r="L3491" t="n">
        <x:v>0</x:v>
      </x:c>
      <x:c r="M3491" t="n">
        <x:v>1</x:v>
      </x:c>
      <x:c r="N3491" t="str">
        <x:v>Charged Off</x:v>
      </x:c>
      <x:c r="O3491" t="str">
        <x:f>IF(D3491="","Unknown",IF(D3491&lt;25000,"&lt;$25k",IF(D3491&lt;50000,"$25k-$50k",IF(D3491&lt;75000,"$50k-$75k",IF(D3491&lt;100000,"$75k-$100k","$100k+")))))</x:f>
        <x:v>&lt;$25k</x:v>
      </x:c>
      <x:c r="P3491" t="str">
        <x:f>IF(E3491="","Unknown",IF(E3491&lt;10,"&lt;10",IF(E3491&lt;20,"10-&lt;20",IF(E3491&lt;25,"20-&lt;25",IF(E3491&lt;35,"25-&lt;35","35+")))))</x:f>
        <x:v>20-&lt;25</x:v>
      </x:c>
    </x:row>
    <x:row r="3492">
      <x:c r="A3492" t="str">
        <x:v>SYN0003491</x:v>
      </x:c>
      <x:c r="B3492" s="12" t="n">
        <x:v>41785</x:v>
      </x:c>
      <x:c r="C3492" s="18" t="n">
        <x:v>15818</x:v>
      </x:c>
      <x:c r="D3492" s="18" t="n">
        <x:v>82700</x:v>
      </x:c>
      <x:c r="E3492" s="18" t="n">
        <x:v>24.69</x:v>
      </x:c>
      <x:c r="F3492" s="18" t="n">
        <x:v>19.37</x:v>
      </x:c>
      <x:c r="G3492" t="n">
        <x:v>36</x:v>
      </x:c>
      <x:c r="H3492" t="str">
        <x:v>E</x:v>
      </x:c>
      <x:c r="I3492" t="str">
        <x:v>10+ years</x:v>
      </x:c>
      <x:c r="J3492" t="str">
        <x:v>OWN</x:v>
      </x:c>
      <x:c r="K3492" t="str">
        <x:v>medical</x:v>
      </x:c>
      <x:c r="L3492" t="n">
        <x:v>1</x:v>
      </x:c>
      <x:c r="M3492" t="n">
        <x:v>0</x:v>
      </x:c>
      <x:c r="N3492" t="str">
        <x:v>Fully Paid</x:v>
      </x:c>
      <x:c r="O3492" t="str">
        <x:f>IF(D3492="","Unknown",IF(D3492&lt;25000,"&lt;$25k",IF(D3492&lt;50000,"$25k-$50k",IF(D3492&lt;75000,"$50k-$75k",IF(D3492&lt;100000,"$75k-$100k","$100k+")))))</x:f>
        <x:v>$75k-$100k</x:v>
      </x:c>
      <x:c r="P3492" t="str">
        <x:f>IF(E3492="","Unknown",IF(E3492&lt;10,"&lt;10",IF(E3492&lt;20,"10-&lt;20",IF(E3492&lt;25,"20-&lt;25",IF(E3492&lt;35,"25-&lt;35","35+")))))</x:f>
        <x:v>20-&lt;25</x:v>
      </x:c>
    </x:row>
    <x:row r="3493">
      <x:c r="A3493" t="str">
        <x:v>SYN0003492</x:v>
      </x:c>
      <x:c r="B3493" s="12" t="n">
        <x:v>41275</x:v>
      </x:c>
      <x:c r="C3493" s="18" t="n">
        <x:v>12381</x:v>
      </x:c>
      <x:c r="D3493" s="18" t="n">
        <x:v>13132</x:v>
      </x:c>
      <x:c r="E3493" s="18" t="n">
        <x:v>5.08</x:v>
      </x:c>
      <x:c r="F3493" s="18" t="n">
        <x:v>5.3</x:v>
      </x:c>
      <x:c r="G3493" t="n">
        <x:v>60</x:v>
      </x:c>
      <x:c r="H3493" t="str">
        <x:v>A</x:v>
      </x:c>
      <x:c r="I3493" t="str">
        <x:v>7-9 years</x:v>
      </x:c>
      <x:c r="J3493" t="str">
        <x:v>MORTGAGE</x:v>
      </x:c>
      <x:c r="K3493" t="str">
        <x:v>credit_card</x:v>
      </x:c>
      <x:c r="L3493" t="n">
        <x:v>1</x:v>
      </x:c>
      <x:c r="M3493" t="n">
        <x:v>0</x:v>
      </x:c>
      <x:c r="N3493" t="str">
        <x:v>Fully Paid</x:v>
      </x:c>
      <x:c r="O3493" t="str">
        <x:f>IF(D3493="","Unknown",IF(D3493&lt;25000,"&lt;$25k",IF(D3493&lt;50000,"$25k-$50k",IF(D3493&lt;75000,"$50k-$75k",IF(D3493&lt;100000,"$75k-$100k","$100k+")))))</x:f>
        <x:v>&lt;$25k</x:v>
      </x:c>
      <x:c r="P3493" t="str">
        <x:f>IF(E3493="","Unknown",IF(E3493&lt;10,"&lt;10",IF(E3493&lt;20,"10-&lt;20",IF(E3493&lt;25,"20-&lt;25",IF(E3493&lt;35,"25-&lt;35","35+")))))</x:f>
        <x:v>&lt;10</x:v>
      </x:c>
    </x:row>
    <x:row r="3494">
      <x:c r="A3494" t="str">
        <x:v>SYN0003493</x:v>
      </x:c>
      <x:c r="B3494" s="12" t="n">
        <x:v>42205</x:v>
      </x:c>
      <x:c r="C3494" s="18" t="n">
        <x:v>20026</x:v>
      </x:c>
      <x:c r="D3494" s="18" t="n">
        <x:v>67644</x:v>
      </x:c>
      <x:c r="E3494" s="18" t="n">
        <x:v>6</x:v>
      </x:c>
      <x:c r="F3494" s="18" t="n">
        <x:v>6.78</x:v>
      </x:c>
      <x:c r="G3494" t="n">
        <x:v>60</x:v>
      </x:c>
      <x:c r="H3494" t="str">
        <x:v>B</x:v>
      </x:c>
      <x:c r="I3494" t="str">
        <x:v>10+ years</x:v>
      </x:c>
      <x:c r="J3494" t="str">
        <x:v>MORTGAGE</x:v>
      </x:c>
      <x:c r="K3494" t="str">
        <x:v>credit_card</x:v>
      </x:c>
      <x:c r="L3494" t="n">
        <x:v>0</x:v>
      </x:c>
      <x:c r="M3494" t="n">
        <x:v>0</x:v>
      </x:c>
      <x:c r="N3494" t="str">
        <x:v>Fully Paid</x:v>
      </x:c>
      <x:c r="O3494" t="str">
        <x:f>IF(D3494="","Unknown",IF(D3494&lt;25000,"&lt;$25k",IF(D3494&lt;50000,"$25k-$50k",IF(D3494&lt;75000,"$50k-$75k",IF(D3494&lt;100000,"$75k-$100k","$100k+")))))</x:f>
        <x:v>$50k-$75k</x:v>
      </x:c>
      <x:c r="P3494" t="str">
        <x:f>IF(E3494="","Unknown",IF(E3494&lt;10,"&lt;10",IF(E3494&lt;20,"10-&lt;20",IF(E3494&lt;25,"20-&lt;25",IF(E3494&lt;35,"25-&lt;35","35+")))))</x:f>
        <x:v>&lt;10</x:v>
      </x:c>
    </x:row>
    <x:row r="3495">
      <x:c r="A3495" t="str">
        <x:v>SYN0003494</x:v>
      </x:c>
      <x:c r="B3495" s="12" t="n">
        <x:v>42235</x:v>
      </x:c>
      <x:c r="C3495" s="18" t="n">
        <x:v>13492</x:v>
      </x:c>
      <x:c r="D3495" s="18" t="n">
        <x:v>101251</x:v>
      </x:c>
      <x:c r="E3495" s="18" t="n">
        <x:v>0</x:v>
      </x:c>
      <x:c r="F3495" s="18" t="n">
        <x:v>7.76</x:v>
      </x:c>
      <x:c r="G3495" t="n">
        <x:v>36</x:v>
      </x:c>
      <x:c r="H3495" t="str">
        <x:v>A</x:v>
      </x:c>
      <x:c r="I3495" t="str">
        <x:v>10+ years</x:v>
      </x:c>
      <x:c r="J3495" t="str">
        <x:v>MORTGAGE</x:v>
      </x:c>
      <x:c r="K3495" t="str">
        <x:v>debt_consolidation</x:v>
      </x:c>
      <x:c r="L3495" t="n">
        <x:v>0</x:v>
      </x:c>
      <x:c r="M3495" t="n">
        <x:v>0</x:v>
      </x:c>
      <x:c r="N3495" t="str">
        <x:v>Fully Paid</x:v>
      </x:c>
      <x:c r="O3495" t="str">
        <x:f>IF(D3495="","Unknown",IF(D3495&lt;25000,"&lt;$25k",IF(D3495&lt;50000,"$25k-$50k",IF(D3495&lt;75000,"$50k-$75k",IF(D3495&lt;100000,"$75k-$100k","$100k+")))))</x:f>
        <x:v>$100k+</x:v>
      </x:c>
      <x:c r="P3495" t="str">
        <x:f>IF(E3495="","Unknown",IF(E3495&lt;10,"&lt;10",IF(E3495&lt;20,"10-&lt;20",IF(E3495&lt;25,"20-&lt;25",IF(E3495&lt;35,"25-&lt;35","35+")))))</x:f>
        <x:v>Unknown</x:v>
      </x:c>
    </x:row>
    <x:row r="3496">
      <x:c r="A3496" t="str">
        <x:v>SYN0003495</x:v>
      </x:c>
      <x:c r="B3496" s="12" t="n">
        <x:v>43375</x:v>
      </x:c>
      <x:c r="C3496" s="18" t="n">
        <x:v>4607</x:v>
      </x:c>
      <x:c r="D3496" s="18" t="n">
        <x:v>81606</x:v>
      </x:c>
      <x:c r="E3496" s="18" t="n">
        <x:v>15.23</x:v>
      </x:c>
      <x:c r="F3496" s="18" t="n">
        <x:v>10.21</x:v>
      </x:c>
      <x:c r="G3496" t="n">
        <x:v>36</x:v>
      </x:c>
      <x:c r="H3496" t="str">
        <x:v>C</x:v>
      </x:c>
      <x:c r="I3496" t="str">
        <x:v>&lt;1 year</x:v>
      </x:c>
      <x:c r="J3496" t="str">
        <x:v>MORTGAGE</x:v>
      </x:c>
      <x:c r="K3496" t="str">
        <x:v>debt_consolidation</x:v>
      </x:c>
      <x:c r="L3496" t="n">
        <x:v>1</x:v>
      </x:c>
      <x:c r="M3496" t="n">
        <x:v>0</x:v>
      </x:c>
      <x:c r="N3496" t="str">
        <x:v>Fully Paid</x:v>
      </x:c>
      <x:c r="O3496" t="str">
        <x:f>IF(D3496="","Unknown",IF(D3496&lt;25000,"&lt;$25k",IF(D3496&lt;50000,"$25k-$50k",IF(D3496&lt;75000,"$50k-$75k",IF(D3496&lt;100000,"$75k-$100k","$100k+")))))</x:f>
        <x:v>$75k-$100k</x:v>
      </x:c>
      <x:c r="P3496" t="str">
        <x:f>IF(E3496="","Unknown",IF(E3496&lt;10,"&lt;10",IF(E3496&lt;20,"10-&lt;20",IF(E3496&lt;25,"20-&lt;25",IF(E3496&lt;35,"25-&lt;35","35+")))))</x:f>
        <x:v>10-&lt;20</x:v>
      </x:c>
    </x:row>
    <x:row r="3497">
      <x:c r="A3497" t="str">
        <x:v>SYN0003496</x:v>
      </x:c>
      <x:c r="B3497" s="12" t="n">
        <x:v>42355</x:v>
      </x:c>
      <x:c r="C3497" s="18" t="n">
        <x:v>7720</x:v>
      </x:c>
      <x:c r="D3497" s="18" t="n">
        <x:v>96740</x:v>
      </x:c>
      <x:c r="E3497" s="18" t="n">
        <x:v>12</x:v>
      </x:c>
      <x:c r="F3497" s="18" t="n">
        <x:v>7</x:v>
      </x:c>
      <x:c r="G3497" t="n">
        <x:v>36</x:v>
      </x:c>
      <x:c r="H3497" t="str">
        <x:v>B</x:v>
      </x:c>
      <x:c r="I3497" t="str">
        <x:v>4-6 years</x:v>
      </x:c>
      <x:c r="J3497" t="str">
        <x:v>OWN</x:v>
      </x:c>
      <x:c r="K3497" t="str">
        <x:v>credit_card</x:v>
      </x:c>
      <x:c r="L3497" t="n">
        <x:v>1</x:v>
      </x:c>
      <x:c r="M3497" t="n">
        <x:v>0</x:v>
      </x:c>
      <x:c r="N3497" t="str">
        <x:v>Fully Paid</x:v>
      </x:c>
      <x:c r="O3497" t="str">
        <x:f>IF(D3497="","Unknown",IF(D3497&lt;25000,"&lt;$25k",IF(D3497&lt;50000,"$25k-$50k",IF(D3497&lt;75000,"$50k-$75k",IF(D3497&lt;100000,"$75k-$100k","$100k+")))))</x:f>
        <x:v>$75k-$100k</x:v>
      </x:c>
      <x:c r="P3497" t="str">
        <x:f>IF(E3497="","Unknown",IF(E3497&lt;10,"&lt;10",IF(E3497&lt;20,"10-&lt;20",IF(E3497&lt;25,"20-&lt;25",IF(E3497&lt;35,"25-&lt;35","35+")))))</x:f>
        <x:v>10-&lt;20</x:v>
      </x:c>
    </x:row>
    <x:row r="3498">
      <x:c r="A3498" t="str">
        <x:v>SYN0003497</x:v>
      </x:c>
      <x:c r="B3498" s="12" t="n">
        <x:v>41845</x:v>
      </x:c>
      <x:c r="C3498" s="18" t="n">
        <x:v>9121</x:v>
      </x:c>
      <x:c r="D3498" s="18" t="n">
        <x:v>29204</x:v>
      </x:c>
      <x:c r="E3498" s="18" t="n">
        <x:v>15.87</x:v>
      </x:c>
      <x:c r="F3498" s="18" t="n">
        <x:v>7.04</x:v>
      </x:c>
      <x:c r="G3498" t="n">
        <x:v>60</x:v>
      </x:c>
      <x:c r="H3498" t="str">
        <x:v>A</x:v>
      </x:c>
      <x:c r="I3498" t="str">
        <x:v>4-6 years</x:v>
      </x:c>
      <x:c r="J3498" t="str">
        <x:v>RENT</x:v>
      </x:c>
      <x:c r="K3498" t="str">
        <x:v>other</x:v>
      </x:c>
      <x:c r="L3498" t="n">
        <x:v>0</x:v>
      </x:c>
      <x:c r="M3498" t="n">
        <x:v>0</x:v>
      </x:c>
      <x:c r="N3498" t="str">
        <x:v>Fully Paid</x:v>
      </x:c>
      <x:c r="O3498" t="str">
        <x:f>IF(D3498="","Unknown",IF(D3498&lt;25000,"&lt;$25k",IF(D3498&lt;50000,"$25k-$50k",IF(D3498&lt;75000,"$50k-$75k",IF(D3498&lt;100000,"$75k-$100k","$100k+")))))</x:f>
        <x:v>$25k-$50k</x:v>
      </x:c>
      <x:c r="P3498" t="str">
        <x:f>IF(E3498="","Unknown",IF(E3498&lt;10,"&lt;10",IF(E3498&lt;20,"10-&lt;20",IF(E3498&lt;25,"20-&lt;25",IF(E3498&lt;35,"25-&lt;35","35+")))))</x:f>
        <x:v>10-&lt;20</x:v>
      </x:c>
    </x:row>
    <x:row r="3499">
      <x:c r="A3499" t="str">
        <x:v>SYN0003498</x:v>
      </x:c>
      <x:c r="B3499" s="12" t="n">
        <x:v>43225</x:v>
      </x:c>
      <x:c r="C3499" s="18" t="n">
        <x:v>6839</x:v>
      </x:c>
      <x:c r="D3499" s="18" t="n">
        <x:v>24678</x:v>
      </x:c>
      <x:c r="E3499" s="18" t="n">
        <x:v>25.83</x:v>
      </x:c>
      <x:c r="F3499" s="18" t="n">
        <x:v>5.96</x:v>
      </x:c>
      <x:c r="G3499" t="n">
        <x:v>36</x:v>
      </x:c>
      <x:c r="H3499" t="str">
        <x:v>A</x:v>
      </x:c>
      <x:c r="I3499" t="str">
        <x:v>7-9 years</x:v>
      </x:c>
      <x:c r="J3499" t="str">
        <x:v>RENT</x:v>
      </x:c>
      <x:c r="K3499" t="str">
        <x:v>debt_consolidation</x:v>
      </x:c>
      <x:c r="L3499" t="n">
        <x:v>0</x:v>
      </x:c>
      <x:c r="M3499" t="n">
        <x:v>0</x:v>
      </x:c>
      <x:c r="N3499" t="str">
        <x:v>Fully Paid</x:v>
      </x:c>
      <x:c r="O3499" t="str">
        <x:f>IF(D3499="","Unknown",IF(D3499&lt;25000,"&lt;$25k",IF(D3499&lt;50000,"$25k-$50k",IF(D3499&lt;75000,"$50k-$75k",IF(D3499&lt;100000,"$75k-$100k","$100k+")))))</x:f>
        <x:v>&lt;$25k</x:v>
      </x:c>
      <x:c r="P3499" t="str">
        <x:f>IF(E3499="","Unknown",IF(E3499&lt;10,"&lt;10",IF(E3499&lt;20,"10-&lt;20",IF(E3499&lt;25,"20-&lt;25",IF(E3499&lt;35,"25-&lt;35","35+")))))</x:f>
        <x:v>25-&lt;35</x:v>
      </x:c>
    </x:row>
    <x:row r="3500">
      <x:c r="A3500" t="str">
        <x:v>SYN0003499</x:v>
      </x:c>
      <x:c r="B3500" s="12" t="n">
        <x:v>41815</x:v>
      </x:c>
      <x:c r="C3500" s="18" t="n">
        <x:v>39213</x:v>
      </x:c>
      <x:c r="D3500" s="18" t="n">
        <x:v>90939</x:v>
      </x:c>
      <x:c r="E3500" s="18" t="n">
        <x:v>4.26</x:v>
      </x:c>
      <x:c r="F3500" s="18" t="n">
        <x:v>8.23</x:v>
      </x:c>
      <x:c r="G3500" t="n">
        <x:v>60</x:v>
      </x:c>
      <x:c r="H3500" t="str">
        <x:v>A</x:v>
      </x:c>
      <x:c r="I3500" t="str">
        <x:v>10+ years</x:v>
      </x:c>
      <x:c r="J3500" t="str">
        <x:v>MORTGAGE</x:v>
      </x:c>
      <x:c r="K3500" t="str">
        <x:v>debt_consolidation</x:v>
      </x:c>
      <x:c r="L3500" t="n">
        <x:v>1</x:v>
      </x:c>
      <x:c r="M3500" t="n">
        <x:v>0</x:v>
      </x:c>
      <x:c r="N3500" t="str">
        <x:v>Fully Paid</x:v>
      </x:c>
      <x:c r="O3500" t="str">
        <x:f>IF(D3500="","Unknown",IF(D3500&lt;25000,"&lt;$25k",IF(D3500&lt;50000,"$25k-$50k",IF(D3500&lt;75000,"$50k-$75k",IF(D3500&lt;100000,"$75k-$100k","$100k+")))))</x:f>
        <x:v>$75k-$100k</x:v>
      </x:c>
      <x:c r="P3500" t="str">
        <x:f>IF(E3500="","Unknown",IF(E3500&lt;10,"&lt;10",IF(E3500&lt;20,"10-&lt;20",IF(E3500&lt;25,"20-&lt;25",IF(E3500&lt;35,"25-&lt;35","35+")))))</x:f>
        <x:v>&lt;10</x:v>
      </x:c>
    </x:row>
    <x:row r="3501">
      <x:c r="A3501" t="str">
        <x:v>SYN0003500</x:v>
      </x:c>
      <x:c r="B3501" s="12" t="n">
        <x:v>41755</x:v>
      </x:c>
      <x:c r="C3501" s="18" t="n">
        <x:v>4605</x:v>
      </x:c>
      <x:c r="D3501" s="18" t="n">
        <x:v>38957</x:v>
      </x:c>
      <x:c r="E3501" s="18" t="n">
        <x:v>25.5</x:v>
      </x:c>
      <x:c r="F3501" s="18" t="n">
        <x:v>15.65</x:v>
      </x:c>
      <x:c r="G3501" t="n">
        <x:v>60</x:v>
      </x:c>
      <x:c r="H3501" t="str">
        <x:v>E</x:v>
      </x:c>
      <x:c r="I3501" t="str">
        <x:v>1-3 years</x:v>
      </x:c>
      <x:c r="J3501" t="str">
        <x:v>RENT</x:v>
      </x:c>
      <x:c r="K3501" t="str">
        <x:v>debt_consolidation</x:v>
      </x:c>
      <x:c r="L3501" t="n">
        <x:v>0</x:v>
      </x:c>
      <x:c r="M3501" t="n">
        <x:v>0</x:v>
      </x:c>
      <x:c r="N3501" t="str">
        <x:v>Fully Paid</x:v>
      </x:c>
      <x:c r="O3501" t="str">
        <x:f>IF(D3501="","Unknown",IF(D3501&lt;25000,"&lt;$25k",IF(D3501&lt;50000,"$25k-$50k",IF(D3501&lt;75000,"$50k-$75k",IF(D3501&lt;100000,"$75k-$100k","$100k+")))))</x:f>
        <x:v>$25k-$50k</x:v>
      </x:c>
      <x:c r="P3501" t="str">
        <x:f>IF(E3501="","Unknown",IF(E3501&lt;10,"&lt;10",IF(E3501&lt;20,"10-&lt;20",IF(E3501&lt;25,"20-&lt;25",IF(E3501&lt;35,"25-&lt;35","35+")))))</x:f>
        <x:v>25-&lt;35</x:v>
      </x:c>
    </x:row>
    <x:row r="3502">
      <x:c r="A3502" t="str">
        <x:v>SYN0003501</x:v>
      </x:c>
      <x:c r="B3502" s="12" t="n">
        <x:v>42655</x:v>
      </x:c>
      <x:c r="C3502" s="18" t="n">
        <x:v>14146</x:v>
      </x:c>
      <x:c r="D3502" s="18" t="n">
        <x:v>152396</x:v>
      </x:c>
      <x:c r="E3502" s="18" t="n">
        <x:v>25.72</x:v>
      </x:c>
      <x:c r="F3502" s="18" t="n">
        <x:v>13.43</x:v>
      </x:c>
      <x:c r="G3502" t="n">
        <x:v>60</x:v>
      </x:c>
      <x:c r="H3502" t="str">
        <x:v>D</x:v>
      </x:c>
      <x:c r="I3502" t="str">
        <x:v>10+ years</x:v>
      </x:c>
      <x:c r="J3502" t="str">
        <x:v>MORTGAGE</x:v>
      </x:c>
      <x:c r="K3502" t="str">
        <x:v>home_improvement</x:v>
      </x:c>
      <x:c r="L3502" t="n">
        <x:v>0</x:v>
      </x:c>
      <x:c r="M3502" t="n">
        <x:v>0</x:v>
      </x:c>
      <x:c r="N3502" t="str">
        <x:v>Fully Paid</x:v>
      </x:c>
      <x:c r="O3502" t="str">
        <x:f>IF(D3502="","Unknown",IF(D3502&lt;25000,"&lt;$25k",IF(D3502&lt;50000,"$25k-$50k",IF(D3502&lt;75000,"$50k-$75k",IF(D3502&lt;100000,"$75k-$100k","$100k+")))))</x:f>
        <x:v>$100k+</x:v>
      </x:c>
      <x:c r="P3502" t="str">
        <x:f>IF(E3502="","Unknown",IF(E3502&lt;10,"&lt;10",IF(E3502&lt;20,"10-&lt;20",IF(E3502&lt;25,"20-&lt;25",IF(E3502&lt;35,"25-&lt;35","35+")))))</x:f>
        <x:v>25-&lt;35</x:v>
      </x:c>
    </x:row>
    <x:row r="3503">
      <x:c r="A3503" t="str">
        <x:v>SYN0003502</x:v>
      </x:c>
      <x:c r="B3503" s="12" t="n">
        <x:v>42445</x:v>
      </x:c>
      <x:c r="C3503" s="18" t="n">
        <x:v>10233</x:v>
      </x:c>
      <x:c r="D3503" s="18" t="n">
        <x:v>39129</x:v>
      </x:c>
      <x:c r="E3503" s="18" t="n">
        <x:v>11.34</x:v>
      </x:c>
      <x:c r="F3503" s="18" t="n">
        <x:v>5</x:v>
      </x:c>
      <x:c r="G3503" t="n">
        <x:v>60</x:v>
      </x:c>
      <x:c r="H3503" t="str">
        <x:v>A</x:v>
      </x:c>
      <x:c r="I3503" t="str">
        <x:v>&lt;1 year</x:v>
      </x:c>
      <x:c r="J3503" t="str">
        <x:v>RENT</x:v>
      </x:c>
      <x:c r="K3503" t="str">
        <x:v>credit_card</x:v>
      </x:c>
      <x:c r="L3503" t="n">
        <x:v>0</x:v>
      </x:c>
      <x:c r="M3503" t="n">
        <x:v>0</x:v>
      </x:c>
      <x:c r="N3503" t="str">
        <x:v>Fully Paid</x:v>
      </x:c>
      <x:c r="O3503" t="str">
        <x:f>IF(D3503="","Unknown",IF(D3503&lt;25000,"&lt;$25k",IF(D3503&lt;50000,"$25k-$50k",IF(D3503&lt;75000,"$50k-$75k",IF(D3503&lt;100000,"$75k-$100k","$100k+")))))</x:f>
        <x:v>$25k-$50k</x:v>
      </x:c>
      <x:c r="P3503" t="str">
        <x:f>IF(E3503="","Unknown",IF(E3503&lt;10,"&lt;10",IF(E3503&lt;20,"10-&lt;20",IF(E3503&lt;25,"20-&lt;25",IF(E3503&lt;35,"25-&lt;35","35+")))))</x:f>
        <x:v>10-&lt;20</x:v>
      </x:c>
    </x:row>
    <x:row r="3504">
      <x:c r="A3504" t="str">
        <x:v>SYN0003503</x:v>
      </x:c>
      <x:c r="B3504" s="12" t="n">
        <x:v>42145</x:v>
      </x:c>
      <x:c r="C3504" s="18" t="n">
        <x:v>6190</x:v>
      </x:c>
      <x:c r="D3504" s="18" t="n">
        <x:v>96434</x:v>
      </x:c>
      <x:c r="E3504" s="18" t="n">
        <x:v>11.35</x:v>
      </x:c>
      <x:c r="F3504" s="18" t="n">
        <x:v>10.57</x:v>
      </x:c>
      <x:c r="G3504" t="n">
        <x:v>36</x:v>
      </x:c>
      <x:c r="H3504" t="str">
        <x:v>C</x:v>
      </x:c>
      <x:c r="I3504" t="str">
        <x:v>&lt;1 year</x:v>
      </x:c>
      <x:c r="J3504" t="str">
        <x:v>OWN</x:v>
      </x:c>
      <x:c r="K3504" t="str">
        <x:v>home_improvement</x:v>
      </x:c>
      <x:c r="L3504" t="n">
        <x:v>0</x:v>
      </x:c>
      <x:c r="M3504" t="n">
        <x:v>0</x:v>
      </x:c>
      <x:c r="N3504" t="str">
        <x:v>Fully Paid</x:v>
      </x:c>
      <x:c r="O3504" t="str">
        <x:f>IF(D3504="","Unknown",IF(D3504&lt;25000,"&lt;$25k",IF(D3504&lt;50000,"$25k-$50k",IF(D3504&lt;75000,"$50k-$75k",IF(D3504&lt;100000,"$75k-$100k","$100k+")))))</x:f>
        <x:v>$75k-$100k</x:v>
      </x:c>
      <x:c r="P3504" t="str">
        <x:f>IF(E3504="","Unknown",IF(E3504&lt;10,"&lt;10",IF(E3504&lt;20,"10-&lt;20",IF(E3504&lt;25,"20-&lt;25",IF(E3504&lt;35,"25-&lt;35","35+")))))</x:f>
        <x:v>10-&lt;20</x:v>
      </x:c>
    </x:row>
    <x:row r="3505">
      <x:c r="A3505" t="str">
        <x:v>SYN0003504</x:v>
      </x:c>
      <x:c r="B3505" s="12" t="n">
        <x:v>42385</x:v>
      </x:c>
      <x:c r="C3505" s="18" t="n">
        <x:v>11818</x:v>
      </x:c>
      <x:c r="D3505" s="18" t="n">
        <x:v>13511</x:v>
      </x:c>
      <x:c r="E3505" s="18" t="n">
        <x:v>26.7</x:v>
      </x:c>
      <x:c r="F3505" s="18" t="n">
        <x:v>8.42</x:v>
      </x:c>
      <x:c r="G3505" t="n">
        <x:v>60</x:v>
      </x:c>
      <x:c r="H3505" t="str">
        <x:v>B</x:v>
      </x:c>
      <x:c r="I3505" t="str">
        <x:v>10+ years</x:v>
      </x:c>
      <x:c r="J3505" t="str">
        <x:v>RENT</x:v>
      </x:c>
      <x:c r="K3505" t="str">
        <x:v>credit_card</x:v>
      </x:c>
      <x:c r="L3505" t="n">
        <x:v>2</x:v>
      </x:c>
      <x:c r="M3505" t="n">
        <x:v>0</x:v>
      </x:c>
      <x:c r="N3505" t="str">
        <x:v>Fully Paid</x:v>
      </x:c>
      <x:c r="O3505" t="str">
        <x:f>IF(D3505="","Unknown",IF(D3505&lt;25000,"&lt;$25k",IF(D3505&lt;50000,"$25k-$50k",IF(D3505&lt;75000,"$50k-$75k",IF(D3505&lt;100000,"$75k-$100k","$100k+")))))</x:f>
        <x:v>&lt;$25k</x:v>
      </x:c>
      <x:c r="P3505" t="str">
        <x:f>IF(E3505="","Unknown",IF(E3505&lt;10,"&lt;10",IF(E3505&lt;20,"10-&lt;20",IF(E3505&lt;25,"20-&lt;25",IF(E3505&lt;35,"25-&lt;35","35+")))))</x:f>
        <x:v>25-&lt;35</x:v>
      </x:c>
    </x:row>
    <x:row r="3506">
      <x:c r="A3506" t="str">
        <x:v>SYN0003505</x:v>
      </x:c>
      <x:c r="B3506" s="12" t="n">
        <x:v>43135</x:v>
      </x:c>
      <x:c r="C3506" s="18" t="n">
        <x:v>17090</x:v>
      </x:c>
      <x:c r="D3506" s="18" t="n">
        <x:v>75710</x:v>
      </x:c>
      <x:c r="E3506" s="18" t="n">
        <x:v>8.92</x:v>
      </x:c>
      <x:c r="F3506" s="18" t="n">
        <x:v>10.36</x:v>
      </x:c>
      <x:c r="G3506" t="n">
        <x:v>36</x:v>
      </x:c>
      <x:c r="H3506" t="str">
        <x:v>B</x:v>
      </x:c>
      <x:c r="I3506" t="str">
        <x:v>7-9 years</x:v>
      </x:c>
      <x:c r="J3506" t="str">
        <x:v>RENT</x:v>
      </x:c>
      <x:c r="K3506" t="str">
        <x:v>home_improvement</x:v>
      </x:c>
      <x:c r="L3506" t="n">
        <x:v>0</x:v>
      </x:c>
      <x:c r="M3506" t="n">
        <x:v>0</x:v>
      </x:c>
      <x:c r="N3506" t="str">
        <x:v>Fully Paid</x:v>
      </x:c>
      <x:c r="O3506" t="str">
        <x:f>IF(D3506="","Unknown",IF(D3506&lt;25000,"&lt;$25k",IF(D3506&lt;50000,"$25k-$50k",IF(D3506&lt;75000,"$50k-$75k",IF(D3506&lt;100000,"$75k-$100k","$100k+")))))</x:f>
        <x:v>$75k-$100k</x:v>
      </x:c>
      <x:c r="P3506" t="str">
        <x:f>IF(E3506="","Unknown",IF(E3506&lt;10,"&lt;10",IF(E3506&lt;20,"10-&lt;20",IF(E3506&lt;25,"20-&lt;25",IF(E3506&lt;35,"25-&lt;35","35+")))))</x:f>
        <x:v>&lt;10</x:v>
      </x:c>
    </x:row>
    <x:row r="3507">
      <x:c r="A3507" t="str">
        <x:v>SYN0003506</x:v>
      </x:c>
      <x:c r="B3507" s="12" t="n">
        <x:v>42535</x:v>
      </x:c>
      <x:c r="C3507" s="18" t="n">
        <x:v>17002</x:v>
      </x:c>
      <x:c r="D3507" s="18" t="n">
        <x:v>54245</x:v>
      </x:c>
      <x:c r="E3507" s="18" t="n">
        <x:v>17.05</x:v>
      </x:c>
      <x:c r="F3507" s="18" t="n">
        <x:v>16.65</x:v>
      </x:c>
      <x:c r="G3507" t="n">
        <x:v>36</x:v>
      </x:c>
      <x:c r="H3507" t="str">
        <x:v>D</x:v>
      </x:c>
      <x:c r="I3507" t="str">
        <x:v>4-6 years</x:v>
      </x:c>
      <x:c r="J3507" t="str">
        <x:v>RENT</x:v>
      </x:c>
      <x:c r="K3507" t="str">
        <x:v>debt_consolidation</x:v>
      </x:c>
      <x:c r="L3507" t="n">
        <x:v>0</x:v>
      </x:c>
      <x:c r="M3507" t="n">
        <x:v>0</x:v>
      </x:c>
      <x:c r="N3507" t="str">
        <x:v>Fully Paid</x:v>
      </x:c>
      <x:c r="O3507" t="str">
        <x:f>IF(D3507="","Unknown",IF(D3507&lt;25000,"&lt;$25k",IF(D3507&lt;50000,"$25k-$50k",IF(D3507&lt;75000,"$50k-$75k",IF(D3507&lt;100000,"$75k-$100k","$100k+")))))</x:f>
        <x:v>$50k-$75k</x:v>
      </x:c>
      <x:c r="P3507" t="str">
        <x:f>IF(E3507="","Unknown",IF(E3507&lt;10,"&lt;10",IF(E3507&lt;20,"10-&lt;20",IF(E3507&lt;25,"20-&lt;25",IF(E3507&lt;35,"25-&lt;35","35+")))))</x:f>
        <x:v>10-&lt;20</x:v>
      </x:c>
    </x:row>
    <x:row r="3508">
      <x:c r="A3508" t="str">
        <x:v>SYN0003507</x:v>
      </x:c>
      <x:c r="B3508" s="12" t="n">
        <x:v>42355</x:v>
      </x:c>
      <x:c r="C3508" s="18" t="n">
        <x:v>14523</x:v>
      </x:c>
      <x:c r="D3508" s="18" t="n">
        <x:v>28311</x:v>
      </x:c>
      <x:c r="E3508" s="18" t="n">
        <x:v>22.23</x:v>
      </x:c>
      <x:c r="F3508" s="18" t="n">
        <x:v>14.03</x:v>
      </x:c>
      <x:c r="G3508" t="n">
        <x:v>36</x:v>
      </x:c>
      <x:c r="H3508" t="str">
        <x:v>D</x:v>
      </x:c>
      <x:c r="I3508" t="str">
        <x:v>4-6 years</x:v>
      </x:c>
      <x:c r="J3508" t="str">
        <x:v>MORTGAGE</x:v>
      </x:c>
      <x:c r="K3508" t="str">
        <x:v>debt_consolidation</x:v>
      </x:c>
      <x:c r="L3508" t="n">
        <x:v>0</x:v>
      </x:c>
      <x:c r="M3508" t="n">
        <x:v>0</x:v>
      </x:c>
      <x:c r="N3508" t="str">
        <x:v>Fully Paid</x:v>
      </x:c>
      <x:c r="O3508" t="str">
        <x:f>IF(D3508="","Unknown",IF(D3508&lt;25000,"&lt;$25k",IF(D3508&lt;50000,"$25k-$50k",IF(D3508&lt;75000,"$50k-$75k",IF(D3508&lt;100000,"$75k-$100k","$100k+")))))</x:f>
        <x:v>$25k-$50k</x:v>
      </x:c>
      <x:c r="P3508" t="str">
        <x:f>IF(E3508="","Unknown",IF(E3508&lt;10,"&lt;10",IF(E3508&lt;20,"10-&lt;20",IF(E3508&lt;25,"20-&lt;25",IF(E3508&lt;35,"25-&lt;35","35+")))))</x:f>
        <x:v>20-&lt;25</x:v>
      </x:c>
    </x:row>
    <x:row r="3509">
      <x:c r="A3509" t="str">
        <x:v>SYN0003508</x:v>
      </x:c>
      <x:c r="B3509" s="12" t="n">
        <x:v>42745</x:v>
      </x:c>
      <x:c r="C3509" s="18" t="n">
        <x:v>25992</x:v>
      </x:c>
      <x:c r="D3509" s="18" t="n">
        <x:v>68570</x:v>
      </x:c>
      <x:c r="E3509" s="18" t="n">
        <x:v>24.11</x:v>
      </x:c>
      <x:c r="F3509" s="18" t="n">
        <x:v>5.52</x:v>
      </x:c>
      <x:c r="G3509" t="n">
        <x:v>36</x:v>
      </x:c>
      <x:c r="H3509" t="str">
        <x:v>A</x:v>
      </x:c>
      <x:c r="I3509" t="str">
        <x:v>&lt;1 year</x:v>
      </x:c>
      <x:c r="J3509" t="str">
        <x:v>MORTGAGE</x:v>
      </x:c>
      <x:c r="K3509" t="str">
        <x:v>other</x:v>
      </x:c>
      <x:c r="L3509" t="n">
        <x:v>0</x:v>
      </x:c>
      <x:c r="M3509" t="n">
        <x:v>0</x:v>
      </x:c>
      <x:c r="N3509" t="str">
        <x:v>Fully Paid</x:v>
      </x:c>
      <x:c r="O3509" t="str">
        <x:f>IF(D3509="","Unknown",IF(D3509&lt;25000,"&lt;$25k",IF(D3509&lt;50000,"$25k-$50k",IF(D3509&lt;75000,"$50k-$75k",IF(D3509&lt;100000,"$75k-$100k","$100k+")))))</x:f>
        <x:v>$50k-$75k</x:v>
      </x:c>
      <x:c r="P3509" t="str">
        <x:f>IF(E3509="","Unknown",IF(E3509&lt;10,"&lt;10",IF(E3509&lt;20,"10-&lt;20",IF(E3509&lt;25,"20-&lt;25",IF(E3509&lt;35,"25-&lt;35","35+")))))</x:f>
        <x:v>20-&lt;25</x:v>
      </x:c>
    </x:row>
    <x:row r="3510">
      <x:c r="A3510" t="str">
        <x:v>SYN0003509</x:v>
      </x:c>
      <x:c r="B3510" s="12" t="n">
        <x:v>42745</x:v>
      </x:c>
      <x:c r="C3510" s="18" t="n">
        <x:v>7751</x:v>
      </x:c>
      <x:c r="D3510" s="18" t="n">
        <x:v>113714</x:v>
      </x:c>
      <x:c r="E3510" s="18" t="n">
        <x:v>16.95</x:v>
      </x:c>
      <x:c r="F3510" s="18" t="n">
        <x:v>16.97</x:v>
      </x:c>
      <x:c r="G3510" t="n">
        <x:v>36</x:v>
      </x:c>
      <x:c r="H3510" t="str">
        <x:v>E</x:v>
      </x:c>
      <x:c r="I3510" t="str">
        <x:v>4-6 years</x:v>
      </x:c>
      <x:c r="J3510" t="str">
        <x:v>OTHER</x:v>
      </x:c>
      <x:c r="K3510" t="str">
        <x:v>credit_card</x:v>
      </x:c>
      <x:c r="L3510" t="n">
        <x:v>1</x:v>
      </x:c>
      <x:c r="M3510" t="n">
        <x:v>0</x:v>
      </x:c>
      <x:c r="N3510" t="str">
        <x:v>Fully Paid</x:v>
      </x:c>
      <x:c r="O3510" t="str">
        <x:f>IF(D3510="","Unknown",IF(D3510&lt;25000,"&lt;$25k",IF(D3510&lt;50000,"$25k-$50k",IF(D3510&lt;75000,"$50k-$75k",IF(D3510&lt;100000,"$75k-$100k","$100k+")))))</x:f>
        <x:v>$100k+</x:v>
      </x:c>
      <x:c r="P3510" t="str">
        <x:f>IF(E3510="","Unknown",IF(E3510&lt;10,"&lt;10",IF(E3510&lt;20,"10-&lt;20",IF(E3510&lt;25,"20-&lt;25",IF(E3510&lt;35,"25-&lt;35","35+")))))</x:f>
        <x:v>10-&lt;20</x:v>
      </x:c>
    </x:row>
    <x:row r="3511">
      <x:c r="A3511" t="str">
        <x:v>SYN0003510</x:v>
      </x:c>
      <x:c r="B3511" s="12" t="n">
        <x:v>43375</x:v>
      </x:c>
      <x:c r="C3511" s="18" t="n">
        <x:v>17553</x:v>
      </x:c>
      <x:c r="D3511" s="18" t="n">
        <x:v>18816</x:v>
      </x:c>
      <x:c r="E3511" s="18" t="n">
        <x:v>19.56</x:v>
      </x:c>
      <x:c r="F3511" s="18" t="n">
        <x:v>11.77</x:v>
      </x:c>
      <x:c r="G3511" t="n">
        <x:v>36</x:v>
      </x:c>
      <x:c r="H3511" t="str">
        <x:v>C</x:v>
      </x:c>
      <x:c r="I3511" t="str">
        <x:v>10+ years</x:v>
      </x:c>
      <x:c r="J3511" t="str">
        <x:v>MORTGAGE</x:v>
      </x:c>
      <x:c r="K3511" t="str">
        <x:v>debt_consolidation</x:v>
      </x:c>
      <x:c r="L3511" t="n">
        <x:v>0</x:v>
      </x:c>
      <x:c r="M3511" t="n">
        <x:v>0</x:v>
      </x:c>
      <x:c r="N3511" t="str">
        <x:v>Fully Paid</x:v>
      </x:c>
      <x:c r="O3511" t="str">
        <x:f>IF(D3511="","Unknown",IF(D3511&lt;25000,"&lt;$25k",IF(D3511&lt;50000,"$25k-$50k",IF(D3511&lt;75000,"$50k-$75k",IF(D3511&lt;100000,"$75k-$100k","$100k+")))))</x:f>
        <x:v>&lt;$25k</x:v>
      </x:c>
      <x:c r="P3511" t="str">
        <x:f>IF(E3511="","Unknown",IF(E3511&lt;10,"&lt;10",IF(E3511&lt;20,"10-&lt;20",IF(E3511&lt;25,"20-&lt;25",IF(E3511&lt;35,"25-&lt;35","35+")))))</x:f>
        <x:v>10-&lt;20</x:v>
      </x:c>
    </x:row>
    <x:row r="3512">
      <x:c r="A3512" t="str">
        <x:v>SYN0003511</x:v>
      </x:c>
      <x:c r="B3512" s="12" t="n">
        <x:v>41935</x:v>
      </x:c>
      <x:c r="C3512" s="18" t="n">
        <x:v>16372</x:v>
      </x:c>
      <x:c r="D3512" s="18" t="n">
        <x:v>40381</x:v>
      </x:c>
      <x:c r="E3512" s="18" t="n">
        <x:v>14.78</x:v>
      </x:c>
      <x:c r="F3512" s="18" t="n">
        <x:v>11.85</x:v>
      </x:c>
      <x:c r="G3512" t="n">
        <x:v>36</x:v>
      </x:c>
      <x:c r="H3512" t="str">
        <x:v>C</x:v>
      </x:c>
      <x:c r="I3512" t="str">
        <x:v>10+ years</x:v>
      </x:c>
      <x:c r="J3512" t="str">
        <x:v>MORTGAGE</x:v>
      </x:c>
      <x:c r="K3512" t="str">
        <x:v>debt_consolidation</x:v>
      </x:c>
      <x:c r="L3512" t="n">
        <x:v>1</x:v>
      </x:c>
      <x:c r="M3512" t="n">
        <x:v>0</x:v>
      </x:c>
      <x:c r="N3512" t="str">
        <x:v>Fully Paid</x:v>
      </x:c>
      <x:c r="O3512" t="str">
        <x:f>IF(D3512="","Unknown",IF(D3512&lt;25000,"&lt;$25k",IF(D3512&lt;50000,"$25k-$50k",IF(D3512&lt;75000,"$50k-$75k",IF(D3512&lt;100000,"$75k-$100k","$100k+")))))</x:f>
        <x:v>$25k-$50k</x:v>
      </x:c>
      <x:c r="P3512" t="str">
        <x:f>IF(E3512="","Unknown",IF(E3512&lt;10,"&lt;10",IF(E3512&lt;20,"10-&lt;20",IF(E3512&lt;25,"20-&lt;25",IF(E3512&lt;35,"25-&lt;35","35+")))))</x:f>
        <x:v>10-&lt;20</x:v>
      </x:c>
    </x:row>
    <x:row r="3513">
      <x:c r="A3513" t="str">
        <x:v>SYN0003512</x:v>
      </x:c>
      <x:c r="B3513" s="12" t="n">
        <x:v>42295</x:v>
      </x:c>
      <x:c r="C3513" s="18" t="n">
        <x:v>19373</x:v>
      </x:c>
      <x:c r="D3513" s="18" t="n">
        <x:v>19640</x:v>
      </x:c>
      <x:c r="E3513" s="18" t="n">
        <x:v>12.64</x:v>
      </x:c>
      <x:c r="F3513" s="18" t="n">
        <x:v>8.53</x:v>
      </x:c>
      <x:c r="G3513" t="n">
        <x:v>60</x:v>
      </x:c>
      <x:c r="H3513" t="str">
        <x:v>B</x:v>
      </x:c>
      <x:c r="I3513" t="str">
        <x:v>4-6 years</x:v>
      </x:c>
      <x:c r="J3513" t="str">
        <x:v>MORTGAGE</x:v>
      </x:c>
      <x:c r="K3513" t="str">
        <x:v>medical</x:v>
      </x:c>
      <x:c r="L3513" t="n">
        <x:v>0</x:v>
      </x:c>
      <x:c r="M3513" t="n">
        <x:v>0</x:v>
      </x:c>
      <x:c r="N3513" t="str">
        <x:v>Fully Paid</x:v>
      </x:c>
      <x:c r="O3513" t="str">
        <x:f>IF(D3513="","Unknown",IF(D3513&lt;25000,"&lt;$25k",IF(D3513&lt;50000,"$25k-$50k",IF(D3513&lt;75000,"$50k-$75k",IF(D3513&lt;100000,"$75k-$100k","$100k+")))))</x:f>
        <x:v>&lt;$25k</x:v>
      </x:c>
      <x:c r="P3513" t="str">
        <x:f>IF(E3513="","Unknown",IF(E3513&lt;10,"&lt;10",IF(E3513&lt;20,"10-&lt;20",IF(E3513&lt;25,"20-&lt;25",IF(E3513&lt;35,"25-&lt;35","35+")))))</x:f>
        <x:v>10-&lt;20</x:v>
      </x:c>
    </x:row>
    <x:row r="3514">
      <x:c r="A3514" t="str">
        <x:v>SYN0003513</x:v>
      </x:c>
      <x:c r="B3514" s="12" t="n">
        <x:v>42685</x:v>
      </x:c>
      <x:c r="C3514" s="18" t="n">
        <x:v>23588</x:v>
      </x:c>
      <x:c r="D3514" s="18" t="n">
        <x:v>29082</x:v>
      </x:c>
      <x:c r="E3514" s="18" t="n">
        <x:v>26.86</x:v>
      </x:c>
      <x:c r="F3514" s="18" t="n">
        <x:v>9.89</x:v>
      </x:c>
      <x:c r="G3514" t="n">
        <x:v>36</x:v>
      </x:c>
      <x:c r="H3514" t="str">
        <x:v>B</x:v>
      </x:c>
      <x:c r="I3514" t="str">
        <x:v>7-9 years</x:v>
      </x:c>
      <x:c r="J3514" t="str">
        <x:v>MORTGAGE</x:v>
      </x:c>
      <x:c r="K3514" t="str">
        <x:v>other</x:v>
      </x:c>
      <x:c r="L3514" t="n">
        <x:v>0</x:v>
      </x:c>
      <x:c r="M3514" t="n">
        <x:v>1</x:v>
      </x:c>
      <x:c r="N3514" t="str">
        <x:v>Charged Off</x:v>
      </x:c>
      <x:c r="O3514" t="str">
        <x:f>IF(D3514="","Unknown",IF(D3514&lt;25000,"&lt;$25k",IF(D3514&lt;50000,"$25k-$50k",IF(D3514&lt;75000,"$50k-$75k",IF(D3514&lt;100000,"$75k-$100k","$100k+")))))</x:f>
        <x:v>$25k-$50k</x:v>
      </x:c>
      <x:c r="P3514" t="str">
        <x:f>IF(E3514="","Unknown",IF(E3514&lt;10,"&lt;10",IF(E3514&lt;20,"10-&lt;20",IF(E3514&lt;25,"20-&lt;25",IF(E3514&lt;35,"25-&lt;35","35+")))))</x:f>
        <x:v>25-&lt;35</x:v>
      </x:c>
    </x:row>
    <x:row r="3515">
      <x:c r="A3515" t="str">
        <x:v>SYN0003514</x:v>
      </x:c>
      <x:c r="B3515" s="12" t="n">
        <x:v>42655</x:v>
      </x:c>
      <x:c r="C3515" s="18" t="n">
        <x:v>13936</x:v>
      </x:c>
      <x:c r="D3515" s="18" t="n">
        <x:v>20281</x:v>
      </x:c>
      <x:c r="E3515" s="18" t="n">
        <x:v>28</x:v>
      </x:c>
      <x:c r="F3515" s="18" t="n">
        <x:v>9.64</x:v>
      </x:c>
      <x:c r="G3515" t="n">
        <x:v>36</x:v>
      </x:c>
      <x:c r="H3515" t="str">
        <x:v>B</x:v>
      </x:c>
      <x:c r="I3515" t="str">
        <x:v>4-6 years</x:v>
      </x:c>
      <x:c r="J3515" t="str">
        <x:v>RENT</x:v>
      </x:c>
      <x:c r="K3515" t="str">
        <x:v>other</x:v>
      </x:c>
      <x:c r="L3515" t="n">
        <x:v>0</x:v>
      </x:c>
      <x:c r="M3515" t="n">
        <x:v>0</x:v>
      </x:c>
      <x:c r="N3515" t="str">
        <x:v>Fully Paid</x:v>
      </x:c>
      <x:c r="O3515" t="str">
        <x:f>IF(D3515="","Unknown",IF(D3515&lt;25000,"&lt;$25k",IF(D3515&lt;50000,"$25k-$50k",IF(D3515&lt;75000,"$50k-$75k",IF(D3515&lt;100000,"$75k-$100k","$100k+")))))</x:f>
        <x:v>&lt;$25k</x:v>
      </x:c>
      <x:c r="P3515" t="str">
        <x:f>IF(E3515="","Unknown",IF(E3515&lt;10,"&lt;10",IF(E3515&lt;20,"10-&lt;20",IF(E3515&lt;25,"20-&lt;25",IF(E3515&lt;35,"25-&lt;35","35+")))))</x:f>
        <x:v>25-&lt;35</x:v>
      </x:c>
    </x:row>
    <x:row r="3516">
      <x:c r="A3516" t="str">
        <x:v>SYN0003515</x:v>
      </x:c>
      <x:c r="B3516" s="12" t="n">
        <x:v>42475</x:v>
      </x:c>
      <x:c r="C3516" s="18" t="n">
        <x:v>11093</x:v>
      </x:c>
      <x:c r="D3516" s="18" t="n">
        <x:v>20957</x:v>
      </x:c>
      <x:c r="E3516" s="18" t="n">
        <x:v>15.04</x:v>
      </x:c>
      <x:c r="F3516" s="18" t="n">
        <x:v>12.49</x:v>
      </x:c>
      <x:c r="G3516" t="n">
        <x:v>60</x:v>
      </x:c>
      <x:c r="H3516" t="str">
        <x:v>C</x:v>
      </x:c>
      <x:c r="I3516" t="str">
        <x:v>7-9 years</x:v>
      </x:c>
      <x:c r="J3516" t="str">
        <x:v>MORTGAGE</x:v>
      </x:c>
      <x:c r="K3516" t="str">
        <x:v>debt_consolidation</x:v>
      </x:c>
      <x:c r="L3516" t="n">
        <x:v>1</x:v>
      </x:c>
      <x:c r="M3516" t="n">
        <x:v>0</x:v>
      </x:c>
      <x:c r="N3516" t="str">
        <x:v>Fully Paid</x:v>
      </x:c>
      <x:c r="O3516" t="str">
        <x:f>IF(D3516="","Unknown",IF(D3516&lt;25000,"&lt;$25k",IF(D3516&lt;50000,"$25k-$50k",IF(D3516&lt;75000,"$50k-$75k",IF(D3516&lt;100000,"$75k-$100k","$100k+")))))</x:f>
        <x:v>&lt;$25k</x:v>
      </x:c>
      <x:c r="P3516" t="str">
        <x:f>IF(E3516="","Unknown",IF(E3516&lt;10,"&lt;10",IF(E3516&lt;20,"10-&lt;20",IF(E3516&lt;25,"20-&lt;25",IF(E3516&lt;35,"25-&lt;35","35+")))))</x:f>
        <x:v>10-&lt;20</x:v>
      </x:c>
    </x:row>
    <x:row r="3517">
      <x:c r="A3517" t="str">
        <x:v>SYN0003516</x:v>
      </x:c>
      <x:c r="B3517" s="12" t="n">
        <x:v>43255</x:v>
      </x:c>
      <x:c r="C3517" s="18" t="n">
        <x:v>11828</x:v>
      </x:c>
      <x:c r="D3517" s="18" t="n">
        <x:v>22810</x:v>
      </x:c>
      <x:c r="E3517" s="18" t="n">
        <x:v>27.16</x:v>
      </x:c>
      <x:c r="F3517" s="18" t="n">
        <x:v>16.03</x:v>
      </x:c>
      <x:c r="G3517" t="n">
        <x:v>36</x:v>
      </x:c>
      <x:c r="H3517" t="str">
        <x:v>D</x:v>
      </x:c>
      <x:c r="I3517" t="str">
        <x:v>10+ years</x:v>
      </x:c>
      <x:c r="J3517" t="str">
        <x:v>RENT</x:v>
      </x:c>
      <x:c r="K3517" t="str">
        <x:v>debt_consolidation</x:v>
      </x:c>
      <x:c r="L3517" t="n">
        <x:v>0</x:v>
      </x:c>
      <x:c r="M3517" t="n">
        <x:v>0</x:v>
      </x:c>
      <x:c r="N3517" t="str">
        <x:v>Fully Paid</x:v>
      </x:c>
      <x:c r="O3517" t="str">
        <x:f>IF(D3517="","Unknown",IF(D3517&lt;25000,"&lt;$25k",IF(D3517&lt;50000,"$25k-$50k",IF(D3517&lt;75000,"$50k-$75k",IF(D3517&lt;100000,"$75k-$100k","$100k+")))))</x:f>
        <x:v>&lt;$25k</x:v>
      </x:c>
      <x:c r="P3517" t="str">
        <x:f>IF(E3517="","Unknown",IF(E3517&lt;10,"&lt;10",IF(E3517&lt;20,"10-&lt;20",IF(E3517&lt;25,"20-&lt;25",IF(E3517&lt;35,"25-&lt;35","35+")))))</x:f>
        <x:v>25-&lt;35</x:v>
      </x:c>
    </x:row>
    <x:row r="3518">
      <x:c r="A3518" t="str">
        <x:v>SYN0003517</x:v>
      </x:c>
      <x:c r="B3518" s="12" t="n">
        <x:v>43285</x:v>
      </x:c>
      <x:c r="C3518" s="18" t="n">
        <x:v>15276</x:v>
      </x:c>
      <x:c r="D3518" s="18" t="n">
        <x:v>60045</x:v>
      </x:c>
      <x:c r="E3518" s="18" t="n">
        <x:v>9.86</x:v>
      </x:c>
      <x:c r="F3518" s="18" t="n">
        <x:v>5.09</x:v>
      </x:c>
      <x:c r="G3518" t="n">
        <x:v>60</x:v>
      </x:c>
      <x:c r="H3518" t="str">
        <x:v>A</x:v>
      </x:c>
      <x:c r="I3518" t="str">
        <x:v>1-3 years</x:v>
      </x:c>
      <x:c r="J3518" t="str">
        <x:v>MORTGAGE</x:v>
      </x:c>
      <x:c r="K3518" t="str">
        <x:v>debt_consolidation</x:v>
      </x:c>
      <x:c r="L3518" t="n">
        <x:v>0</x:v>
      </x:c>
      <x:c r="M3518" t="n">
        <x:v>0</x:v>
      </x:c>
      <x:c r="N3518" t="str">
        <x:v>Fully Paid</x:v>
      </x:c>
      <x:c r="O3518" t="str">
        <x:f>IF(D3518="","Unknown",IF(D3518&lt;25000,"&lt;$25k",IF(D3518&lt;50000,"$25k-$50k",IF(D3518&lt;75000,"$50k-$75k",IF(D3518&lt;100000,"$75k-$100k","$100k+")))))</x:f>
        <x:v>$50k-$75k</x:v>
      </x:c>
      <x:c r="P3518" t="str">
        <x:f>IF(E3518="","Unknown",IF(E3518&lt;10,"&lt;10",IF(E3518&lt;20,"10-&lt;20",IF(E3518&lt;25,"20-&lt;25",IF(E3518&lt;35,"25-&lt;35","35+")))))</x:f>
        <x:v>&lt;10</x:v>
      </x:c>
    </x:row>
    <x:row r="3519">
      <x:c r="A3519" t="str">
        <x:v>SYN0003518</x:v>
      </x:c>
      <x:c r="B3519" s="12" t="n">
        <x:v>43165</x:v>
      </x:c>
      <x:c r="C3519" s="18" t="n">
        <x:v>14486</x:v>
      </x:c>
      <x:c r="D3519" s="18" t="n">
        <x:v>12000</x:v>
      </x:c>
      <x:c r="E3519" s="18" t="n">
        <x:v>6.21</x:v>
      </x:c>
      <x:c r="F3519" s="18" t="n">
        <x:v>5.38</x:v>
      </x:c>
      <x:c r="G3519" t="n">
        <x:v>60</x:v>
      </x:c>
      <x:c r="H3519" t="str">
        <x:v>B</x:v>
      </x:c>
      <x:c r="I3519" t="str">
        <x:v>4-6 years</x:v>
      </x:c>
      <x:c r="J3519" t="str">
        <x:v>RENT</x:v>
      </x:c>
      <x:c r="K3519" t="str">
        <x:v>debt_consolidation</x:v>
      </x:c>
      <x:c r="L3519" t="n">
        <x:v>0</x:v>
      </x:c>
      <x:c r="M3519" t="n">
        <x:v>0</x:v>
      </x:c>
      <x:c r="N3519" t="str">
        <x:v>Fully Paid</x:v>
      </x:c>
      <x:c r="O3519" t="str">
        <x:f>IF(D3519="","Unknown",IF(D3519&lt;25000,"&lt;$25k",IF(D3519&lt;50000,"$25k-$50k",IF(D3519&lt;75000,"$50k-$75k",IF(D3519&lt;100000,"$75k-$100k","$100k+")))))</x:f>
        <x:v>&lt;$25k</x:v>
      </x:c>
      <x:c r="P3519" t="str">
        <x:f>IF(E3519="","Unknown",IF(E3519&lt;10,"&lt;10",IF(E3519&lt;20,"10-&lt;20",IF(E3519&lt;25,"20-&lt;25",IF(E3519&lt;35,"25-&lt;35","35+")))))</x:f>
        <x:v>&lt;10</x:v>
      </x:c>
    </x:row>
    <x:row r="3520">
      <x:c r="A3520" t="str">
        <x:v>SYN0003519</x:v>
      </x:c>
      <x:c r="B3520" s="12" t="n">
        <x:v>41545</x:v>
      </x:c>
      <x:c r="C3520" s="18" t="n">
        <x:v>11602</x:v>
      </x:c>
      <x:c r="D3520" s="18" t="n">
        <x:v>63051</x:v>
      </x:c>
      <x:c r="E3520" s="18" t="n">
        <x:v>16.04</x:v>
      </x:c>
      <x:c r="F3520" s="18" t="n">
        <x:v>8.71</x:v>
      </x:c>
      <x:c r="G3520" t="n">
        <x:v>60</x:v>
      </x:c>
      <x:c r="H3520" t="str">
        <x:v>C</x:v>
      </x:c>
      <x:c r="I3520" t="str">
        <x:v>1-3 years</x:v>
      </x:c>
      <x:c r="J3520" t="str">
        <x:v>OWN</x:v>
      </x:c>
      <x:c r="K3520" t="str">
        <x:v>other</x:v>
      </x:c>
      <x:c r="L3520" t="n">
        <x:v>0</x:v>
      </x:c>
      <x:c r="M3520" t="n">
        <x:v>0</x:v>
      </x:c>
      <x:c r="N3520" t="str">
        <x:v>Fully Paid</x:v>
      </x:c>
      <x:c r="O3520" t="str">
        <x:f>IF(D3520="","Unknown",IF(D3520&lt;25000,"&lt;$25k",IF(D3520&lt;50000,"$25k-$50k",IF(D3520&lt;75000,"$50k-$75k",IF(D3520&lt;100000,"$75k-$100k","$100k+")))))</x:f>
        <x:v>$50k-$75k</x:v>
      </x:c>
      <x:c r="P3520" t="str">
        <x:f>IF(E3520="","Unknown",IF(E3520&lt;10,"&lt;10",IF(E3520&lt;20,"10-&lt;20",IF(E3520&lt;25,"20-&lt;25",IF(E3520&lt;35,"25-&lt;35","35+")))))</x:f>
        <x:v>10-&lt;20</x:v>
      </x:c>
    </x:row>
    <x:row r="3521">
      <x:c r="A3521" t="str">
        <x:v>SYN0003520</x:v>
      </x:c>
      <x:c r="B3521" s="12" t="n">
        <x:v>42925</x:v>
      </x:c>
      <x:c r="C3521" s="18" t="n">
        <x:v>5419</x:v>
      </x:c>
      <x:c r="D3521" s="18" t="n">
        <x:v>148791</x:v>
      </x:c>
      <x:c r="E3521" s="18" t="n">
        <x:v>15.92</x:v>
      </x:c>
      <x:c r="F3521" s="18" t="n">
        <x:v>12.66</x:v>
      </x:c>
      <x:c r="G3521" t="n">
        <x:v>36</x:v>
      </x:c>
      <x:c r="H3521" t="str">
        <x:v>C</x:v>
      </x:c>
      <x:c r="I3521" t="str">
        <x:v>10+ years</x:v>
      </x:c>
      <x:c r="J3521" t="str">
        <x:v>RENT</x:v>
      </x:c>
      <x:c r="K3521" t="str">
        <x:v>debt_consolidation</x:v>
      </x:c>
      <x:c r="L3521" t="n">
        <x:v>1</x:v>
      </x:c>
      <x:c r="M3521" t="n">
        <x:v>0</x:v>
      </x:c>
      <x:c r="N3521" t="str">
        <x:v>Fully Paid</x:v>
      </x:c>
      <x:c r="O3521" t="str">
        <x:f>IF(D3521="","Unknown",IF(D3521&lt;25000,"&lt;$25k",IF(D3521&lt;50000,"$25k-$50k",IF(D3521&lt;75000,"$50k-$75k",IF(D3521&lt;100000,"$75k-$100k","$100k+")))))</x:f>
        <x:v>$100k+</x:v>
      </x:c>
      <x:c r="P3521" t="str">
        <x:f>IF(E3521="","Unknown",IF(E3521&lt;10,"&lt;10",IF(E3521&lt;20,"10-&lt;20",IF(E3521&lt;25,"20-&lt;25",IF(E3521&lt;35,"25-&lt;35","35+")))))</x:f>
        <x:v>10-&lt;20</x:v>
      </x:c>
    </x:row>
    <x:row r="3522">
      <x:c r="A3522" t="str">
        <x:v>SYN0003521</x:v>
      </x:c>
      <x:c r="B3522" s="12" t="n">
        <x:v>42355</x:v>
      </x:c>
      <x:c r="C3522" s="18" t="n">
        <x:v>13053</x:v>
      </x:c>
      <x:c r="D3522" s="18" t="n">
        <x:v>69240</x:v>
      </x:c>
      <x:c r="E3522" s="18" t="n">
        <x:v>21.57</x:v>
      </x:c>
      <x:c r="F3522" s="18" t="n">
        <x:v>8.11</x:v>
      </x:c>
      <x:c r="G3522" t="n">
        <x:v>36</x:v>
      </x:c>
      <x:c r="H3522" t="str">
        <x:v>B</x:v>
      </x:c>
      <x:c r="I3522" t="str">
        <x:v>1-3 years</x:v>
      </x:c>
      <x:c r="J3522" t="str">
        <x:v>MORTGAGE</x:v>
      </x:c>
      <x:c r="K3522" t="str">
        <x:v>medical</x:v>
      </x:c>
      <x:c r="L3522" t="n">
        <x:v>0</x:v>
      </x:c>
      <x:c r="M3522" t="n">
        <x:v>0</x:v>
      </x:c>
      <x:c r="N3522" t="str">
        <x:v>Fully Paid</x:v>
      </x:c>
      <x:c r="O3522" t="str">
        <x:f>IF(D3522="","Unknown",IF(D3522&lt;25000,"&lt;$25k",IF(D3522&lt;50000,"$25k-$50k",IF(D3522&lt;75000,"$50k-$75k",IF(D3522&lt;100000,"$75k-$100k","$100k+")))))</x:f>
        <x:v>$50k-$75k</x:v>
      </x:c>
      <x:c r="P3522" t="str">
        <x:f>IF(E3522="","Unknown",IF(E3522&lt;10,"&lt;10",IF(E3522&lt;20,"10-&lt;20",IF(E3522&lt;25,"20-&lt;25",IF(E3522&lt;35,"25-&lt;35","35+")))))</x:f>
        <x:v>20-&lt;25</x:v>
      </x:c>
    </x:row>
    <x:row r="3523">
      <x:c r="A3523" t="str">
        <x:v>SYN0003522</x:v>
      </x:c>
      <x:c r="B3523" s="12" t="n">
        <x:v>42025</x:v>
      </x:c>
      <x:c r="C3523" s="18" t="n">
        <x:v>23639</x:v>
      </x:c>
      <x:c r="D3523" s="18" t="n">
        <x:v>46745</x:v>
      </x:c>
      <x:c r="E3523" s="18" t="n">
        <x:v>22.35</x:v>
      </x:c>
      <x:c r="F3523" s="18" t="n">
        <x:v>11.76</x:v>
      </x:c>
      <x:c r="G3523" t="n">
        <x:v>36</x:v>
      </x:c>
      <x:c r="H3523" t="str">
        <x:v>C</x:v>
      </x:c>
      <x:c r="I3523" t="str">
        <x:v>1-3 years</x:v>
      </x:c>
      <x:c r="J3523" t="str">
        <x:v>RENT</x:v>
      </x:c>
      <x:c r="K3523" t="str">
        <x:v>major_purchase</x:v>
      </x:c>
      <x:c r="L3523" t="n">
        <x:v>0</x:v>
      </x:c>
      <x:c r="M3523" t="n">
        <x:v>0</x:v>
      </x:c>
      <x:c r="N3523" t="str">
        <x:v>Fully Paid</x:v>
      </x:c>
      <x:c r="O3523" t="str">
        <x:f>IF(D3523="","Unknown",IF(D3523&lt;25000,"&lt;$25k",IF(D3523&lt;50000,"$25k-$50k",IF(D3523&lt;75000,"$50k-$75k",IF(D3523&lt;100000,"$75k-$100k","$100k+")))))</x:f>
        <x:v>$25k-$50k</x:v>
      </x:c>
      <x:c r="P3523" t="str">
        <x:f>IF(E3523="","Unknown",IF(E3523&lt;10,"&lt;10",IF(E3523&lt;20,"10-&lt;20",IF(E3523&lt;25,"20-&lt;25",IF(E3523&lt;35,"25-&lt;35","35+")))))</x:f>
        <x:v>20-&lt;25</x:v>
      </x:c>
    </x:row>
    <x:row r="3524">
      <x:c r="A3524" t="str">
        <x:v>SYN0003523</x:v>
      </x:c>
      <x:c r="B3524" s="12" t="n">
        <x:v>42025</x:v>
      </x:c>
      <x:c r="C3524" s="18" t="n">
        <x:v>20761</x:v>
      </x:c>
      <x:c r="D3524" s="18" t="n">
        <x:v>12000</x:v>
      </x:c>
      <x:c r="E3524" s="18" t="n">
        <x:v>23.39</x:v>
      </x:c>
      <x:c r="F3524" s="18" t="n">
        <x:v>13.74</x:v>
      </x:c>
      <x:c r="G3524" t="n">
        <x:v>60</x:v>
      </x:c>
      <x:c r="H3524" t="str">
        <x:v>D</x:v>
      </x:c>
      <x:c r="I3524" t="str">
        <x:v>10+ years</x:v>
      </x:c>
      <x:c r="J3524" t="str">
        <x:v>RENT</x:v>
      </x:c>
      <x:c r="K3524" t="str">
        <x:v>other</x:v>
      </x:c>
      <x:c r="L3524" t="n">
        <x:v>1</x:v>
      </x:c>
      <x:c r="M3524" t="n">
        <x:v>0</x:v>
      </x:c>
      <x:c r="N3524" t="str">
        <x:v>Fully Paid</x:v>
      </x:c>
      <x:c r="O3524" t="str">
        <x:f>IF(D3524="","Unknown",IF(D3524&lt;25000,"&lt;$25k",IF(D3524&lt;50000,"$25k-$50k",IF(D3524&lt;75000,"$50k-$75k",IF(D3524&lt;100000,"$75k-$100k","$100k+")))))</x:f>
        <x:v>&lt;$25k</x:v>
      </x:c>
      <x:c r="P3524" t="str">
        <x:f>IF(E3524="","Unknown",IF(E3524&lt;10,"&lt;10",IF(E3524&lt;20,"10-&lt;20",IF(E3524&lt;25,"20-&lt;25",IF(E3524&lt;35,"25-&lt;35","35+")))))</x:f>
        <x:v>20-&lt;25</x:v>
      </x:c>
    </x:row>
    <x:row r="3525">
      <x:c r="A3525" t="str">
        <x:v>SYN0003524</x:v>
      </x:c>
      <x:c r="B3525" s="12" t="n">
        <x:v>41785</x:v>
      </x:c>
      <x:c r="C3525" s="18" t="n">
        <x:v>14380</x:v>
      </x:c>
      <x:c r="D3525" s="18" t="n">
        <x:v>42807</x:v>
      </x:c>
      <x:c r="E3525" s="18" t="n">
        <x:v>25.79</x:v>
      </x:c>
      <x:c r="F3525" s="18" t="n">
        <x:v>13.72</x:v>
      </x:c>
      <x:c r="G3525" t="n">
        <x:v>36</x:v>
      </x:c>
      <x:c r="H3525" t="str">
        <x:v>D</x:v>
      </x:c>
      <x:c r="I3525" t="str">
        <x:v>1-3 years</x:v>
      </x:c>
      <x:c r="J3525" t="str">
        <x:v>OWN</x:v>
      </x:c>
      <x:c r="K3525" t="str">
        <x:v>credit_card</x:v>
      </x:c>
      <x:c r="L3525" t="n">
        <x:v>1</x:v>
      </x:c>
      <x:c r="M3525" t="n">
        <x:v>1</x:v>
      </x:c>
      <x:c r="N3525" t="str">
        <x:v>Charged Off</x:v>
      </x:c>
      <x:c r="O3525" t="str">
        <x:f>IF(D3525="","Unknown",IF(D3525&lt;25000,"&lt;$25k",IF(D3525&lt;50000,"$25k-$50k",IF(D3525&lt;75000,"$50k-$75k",IF(D3525&lt;100000,"$75k-$100k","$100k+")))))</x:f>
        <x:v>$25k-$50k</x:v>
      </x:c>
      <x:c r="P3525" t="str">
        <x:f>IF(E3525="","Unknown",IF(E3525&lt;10,"&lt;10",IF(E3525&lt;20,"10-&lt;20",IF(E3525&lt;25,"20-&lt;25",IF(E3525&lt;35,"25-&lt;35","35+")))))</x:f>
        <x:v>25-&lt;35</x:v>
      </x:c>
    </x:row>
    <x:row r="3526">
      <x:c r="A3526" t="str">
        <x:v>SYN0003525</x:v>
      </x:c>
      <x:c r="B3526" s="12" t="n">
        <x:v>43135</x:v>
      </x:c>
      <x:c r="C3526" s="18" t="n">
        <x:v>18022</x:v>
      </x:c>
      <x:c r="D3526" s="18" t="n">
        <x:v>32575</x:v>
      </x:c>
      <x:c r="E3526" s="18" t="n">
        <x:v>17.81</x:v>
      </x:c>
      <x:c r="F3526" s="18" t="n">
        <x:v>5.7</x:v>
      </x:c>
      <x:c r="G3526" t="n">
        <x:v>36</x:v>
      </x:c>
      <x:c r="H3526" t="str">
        <x:v>A</x:v>
      </x:c>
      <x:c r="I3526" t="str">
        <x:v>&lt;1 year</x:v>
      </x:c>
      <x:c r="J3526" t="str">
        <x:v>MORTGAGE</x:v>
      </x:c>
      <x:c r="K3526" t="str">
        <x:v>major_purchase</x:v>
      </x:c>
      <x:c r="L3526" t="n">
        <x:v>0</x:v>
      </x:c>
      <x:c r="M3526" t="n">
        <x:v>0</x:v>
      </x:c>
      <x:c r="N3526" t="str">
        <x:v>Fully Paid</x:v>
      </x:c>
      <x:c r="O3526" t="str">
        <x:f>IF(D3526="","Unknown",IF(D3526&lt;25000,"&lt;$25k",IF(D3526&lt;50000,"$25k-$50k",IF(D3526&lt;75000,"$50k-$75k",IF(D3526&lt;100000,"$75k-$100k","$100k+")))))</x:f>
        <x:v>$25k-$50k</x:v>
      </x:c>
      <x:c r="P3526" t="str">
        <x:f>IF(E3526="","Unknown",IF(E3526&lt;10,"&lt;10",IF(E3526&lt;20,"10-&lt;20",IF(E3526&lt;25,"20-&lt;25",IF(E3526&lt;35,"25-&lt;35","35+")))))</x:f>
        <x:v>10-&lt;20</x:v>
      </x:c>
    </x:row>
    <x:row r="3527">
      <x:c r="A3527" t="str">
        <x:v>SYN0003526</x:v>
      </x:c>
      <x:c r="B3527" s="12" t="n">
        <x:v>42955</x:v>
      </x:c>
      <x:c r="C3527" s="18" t="n">
        <x:v>15484</x:v>
      </x:c>
      <x:c r="D3527" s="18" t="n">
        <x:v>141683</x:v>
      </x:c>
      <x:c r="E3527" s="18" t="n">
        <x:v>10.02</x:v>
      </x:c>
      <x:c r="F3527" s="18" t="n">
        <x:v>17.77</x:v>
      </x:c>
      <x:c r="G3527" t="n">
        <x:v>36</x:v>
      </x:c>
      <x:c r="H3527" t="str">
        <x:v>D</x:v>
      </x:c>
      <x:c r="I3527" t="str">
        <x:v>&lt;1 year</x:v>
      </x:c>
      <x:c r="J3527" t="str">
        <x:v>OWN</x:v>
      </x:c>
      <x:c r="K3527" t="str">
        <x:v>home_improvement</x:v>
      </x:c>
      <x:c r="L3527" t="n">
        <x:v>0</x:v>
      </x:c>
      <x:c r="M3527" t="n">
        <x:v>0</x:v>
      </x:c>
      <x:c r="N3527" t="str">
        <x:v>Fully Paid</x:v>
      </x:c>
      <x:c r="O3527" t="str">
        <x:f>IF(D3527="","Unknown",IF(D3527&lt;25000,"&lt;$25k",IF(D3527&lt;50000,"$25k-$50k",IF(D3527&lt;75000,"$50k-$75k",IF(D3527&lt;100000,"$75k-$100k","$100k+")))))</x:f>
        <x:v>$100k+</x:v>
      </x:c>
      <x:c r="P3527" t="str">
        <x:f>IF(E3527="","Unknown",IF(E3527&lt;10,"&lt;10",IF(E3527&lt;20,"10-&lt;20",IF(E3527&lt;25,"20-&lt;25",IF(E3527&lt;35,"25-&lt;35","35+")))))</x:f>
        <x:v>10-&lt;20</x:v>
      </x:c>
    </x:row>
    <x:row r="3528">
      <x:c r="A3528" t="str">
        <x:v>SYN0003527</x:v>
      </x:c>
      <x:c r="B3528" s="12" t="n">
        <x:v>41275</x:v>
      </x:c>
      <x:c r="C3528" s="18" t="n">
        <x:v>11119</x:v>
      </x:c>
      <x:c r="D3528" s="18" t="n">
        <x:v>42903</x:v>
      </x:c>
      <x:c r="E3528" s="18" t="n">
        <x:v>20.94</x:v>
      </x:c>
      <x:c r="F3528" s="18" t="n">
        <x:v>10.38</x:v>
      </x:c>
      <x:c r="G3528" t="n">
        <x:v>36</x:v>
      </x:c>
      <x:c r="H3528" t="str">
        <x:v>B</x:v>
      </x:c>
      <x:c r="I3528" t="str">
        <x:v>10+ years</x:v>
      </x:c>
      <x:c r="J3528" t="str">
        <x:v>RENT</x:v>
      </x:c>
      <x:c r="K3528" t="str">
        <x:v>other</x:v>
      </x:c>
      <x:c r="L3528" t="n">
        <x:v>2</x:v>
      </x:c>
      <x:c r="M3528" t="n">
        <x:v>0</x:v>
      </x:c>
      <x:c r="N3528" t="str">
        <x:v>Fully Paid</x:v>
      </x:c>
      <x:c r="O3528" t="str">
        <x:f>IF(D3528="","Unknown",IF(D3528&lt;25000,"&lt;$25k",IF(D3528&lt;50000,"$25k-$50k",IF(D3528&lt;75000,"$50k-$75k",IF(D3528&lt;100000,"$75k-$100k","$100k+")))))</x:f>
        <x:v>$25k-$50k</x:v>
      </x:c>
      <x:c r="P3528" t="str">
        <x:f>IF(E3528="","Unknown",IF(E3528&lt;10,"&lt;10",IF(E3528&lt;20,"10-&lt;20",IF(E3528&lt;25,"20-&lt;25",IF(E3528&lt;35,"25-&lt;35","35+")))))</x:f>
        <x:v>20-&lt;25</x:v>
      </x:c>
    </x:row>
    <x:row r="3529">
      <x:c r="A3529" t="str">
        <x:v>SYN0003528</x:v>
      </x:c>
      <x:c r="B3529" s="12" t="n">
        <x:v>43015</x:v>
      </x:c>
      <x:c r="C3529" s="18" t="n">
        <x:v>15781</x:v>
      </x:c>
      <x:c r="D3529" s="18" t="n">
        <x:v>45818</x:v>
      </x:c>
      <x:c r="E3529" s="18" t="n">
        <x:v>16.47</x:v>
      </x:c>
      <x:c r="F3529" s="18" t="n">
        <x:v>8.33</x:v>
      </x:c>
      <x:c r="G3529" t="n">
        <x:v>36</x:v>
      </x:c>
      <x:c r="H3529" t="str">
        <x:v>B</x:v>
      </x:c>
      <x:c r="I3529" t="str">
        <x:v>4-6 years</x:v>
      </x:c>
      <x:c r="J3529" t="str">
        <x:v>MORTGAGE</x:v>
      </x:c>
      <x:c r="K3529" t="str">
        <x:v>other</x:v>
      </x:c>
      <x:c r="L3529" t="n">
        <x:v>1</x:v>
      </x:c>
      <x:c r="M3529" t="n">
        <x:v>0</x:v>
      </x:c>
      <x:c r="N3529" t="str">
        <x:v>Fully Paid</x:v>
      </x:c>
      <x:c r="O3529" t="str">
        <x:f>IF(D3529="","Unknown",IF(D3529&lt;25000,"&lt;$25k",IF(D3529&lt;50000,"$25k-$50k",IF(D3529&lt;75000,"$50k-$75k",IF(D3529&lt;100000,"$75k-$100k","$100k+")))))</x:f>
        <x:v>$25k-$50k</x:v>
      </x:c>
      <x:c r="P3529" t="str">
        <x:f>IF(E3529="","Unknown",IF(E3529&lt;10,"&lt;10",IF(E3529&lt;20,"10-&lt;20",IF(E3529&lt;25,"20-&lt;25",IF(E3529&lt;35,"25-&lt;35","35+")))))</x:f>
        <x:v>10-&lt;20</x:v>
      </x:c>
    </x:row>
    <x:row r="3530">
      <x:c r="A3530" t="str">
        <x:v>SYN0003529</x:v>
      </x:c>
      <x:c r="B3530" s="12" t="n">
        <x:v>41965</x:v>
      </x:c>
      <x:c r="C3530" s="18" t="n">
        <x:v>17310</x:v>
      </x:c>
      <x:c r="D3530" s="18" t="n">
        <x:v>49152</x:v>
      </x:c>
      <x:c r="E3530" s="18" t="n">
        <x:v>21.19</x:v>
      </x:c>
      <x:c r="F3530" s="18" t="n">
        <x:v>15.19</x:v>
      </x:c>
      <x:c r="G3530" t="n">
        <x:v>36</x:v>
      </x:c>
      <x:c r="H3530" t="str">
        <x:v>C</x:v>
      </x:c>
      <x:c r="I3530" t="str">
        <x:v>1-3 years</x:v>
      </x:c>
      <x:c r="J3530" t="str">
        <x:v>MORTGAGE</x:v>
      </x:c>
      <x:c r="K3530" t="str">
        <x:v>debt_consolidation</x:v>
      </x:c>
      <x:c r="L3530" t="n">
        <x:v>1</x:v>
      </x:c>
      <x:c r="M3530" t="n">
        <x:v>0</x:v>
      </x:c>
      <x:c r="N3530" t="str">
        <x:v>Fully Paid</x:v>
      </x:c>
      <x:c r="O3530" t="str">
        <x:f>IF(D3530="","Unknown",IF(D3530&lt;25000,"&lt;$25k",IF(D3530&lt;50000,"$25k-$50k",IF(D3530&lt;75000,"$50k-$75k",IF(D3530&lt;100000,"$75k-$100k","$100k+")))))</x:f>
        <x:v>$25k-$50k</x:v>
      </x:c>
      <x:c r="P3530" t="str">
        <x:f>IF(E3530="","Unknown",IF(E3530&lt;10,"&lt;10",IF(E3530&lt;20,"10-&lt;20",IF(E3530&lt;25,"20-&lt;25",IF(E3530&lt;35,"25-&lt;35","35+")))))</x:f>
        <x:v>20-&lt;25</x:v>
      </x:c>
    </x:row>
    <x:row r="3531">
      <x:c r="A3531" t="str">
        <x:v>SYN0003530</x:v>
      </x:c>
      <x:c r="B3531" s="12" t="n">
        <x:v>41635</x:v>
      </x:c>
      <x:c r="C3531" s="18" t="n">
        <x:v>18011</x:v>
      </x:c>
      <x:c r="D3531" s="18" t="n">
        <x:v>51029</x:v>
      </x:c>
      <x:c r="E3531" s="18" t="n">
        <x:v>33.19</x:v>
      </x:c>
      <x:c r="F3531" s="18" t="n">
        <x:v>25.31</x:v>
      </x:c>
      <x:c r="G3531" t="n">
        <x:v>36</x:v>
      </x:c>
      <x:c r="H3531" t="str">
        <x:v>G</x:v>
      </x:c>
      <x:c r="I3531" t="str">
        <x:v>10+ years</x:v>
      </x:c>
      <x:c r="J3531" t="str">
        <x:v>RENT</x:v>
      </x:c>
      <x:c r="K3531" t="str">
        <x:v>debt_consolidation</x:v>
      </x:c>
      <x:c r="L3531" t="n">
        <x:v>1</x:v>
      </x:c>
      <x:c r="M3531" t="n">
        <x:v>0</x:v>
      </x:c>
      <x:c r="N3531" t="str">
        <x:v>Fully Paid</x:v>
      </x:c>
      <x:c r="O3531" t="str">
        <x:f>IF(D3531="","Unknown",IF(D3531&lt;25000,"&lt;$25k",IF(D3531&lt;50000,"$25k-$50k",IF(D3531&lt;75000,"$50k-$75k",IF(D3531&lt;100000,"$75k-$100k","$100k+")))))</x:f>
        <x:v>$50k-$75k</x:v>
      </x:c>
      <x:c r="P3531" t="str">
        <x:f>IF(E3531="","Unknown",IF(E3531&lt;10,"&lt;10",IF(E3531&lt;20,"10-&lt;20",IF(E3531&lt;25,"20-&lt;25",IF(E3531&lt;35,"25-&lt;35","35+")))))</x:f>
        <x:v>25-&lt;35</x:v>
      </x:c>
    </x:row>
    <x:row r="3532">
      <x:c r="A3532" t="str">
        <x:v>SYN0003531</x:v>
      </x:c>
      <x:c r="B3532" s="12" t="n">
        <x:v>41305</x:v>
      </x:c>
      <x:c r="C3532" s="18" t="n">
        <x:v>17865</x:v>
      </x:c>
      <x:c r="D3532" s="18" t="n">
        <x:v>30541</x:v>
      </x:c>
      <x:c r="E3532" s="18" t="n">
        <x:v>22.79</x:v>
      </x:c>
      <x:c r="F3532" s="18" t="n">
        <x:v>11.21</x:v>
      </x:c>
      <x:c r="G3532" t="n">
        <x:v>36</x:v>
      </x:c>
      <x:c r="H3532" t="str">
        <x:v>C</x:v>
      </x:c>
      <x:c r="I3532" t="str">
        <x:v>7-9 years</x:v>
      </x:c>
      <x:c r="J3532" t="str">
        <x:v>RENT</x:v>
      </x:c>
      <x:c r="K3532" t="str">
        <x:v>medical</x:v>
      </x:c>
      <x:c r="L3532" t="n">
        <x:v>0</x:v>
      </x:c>
      <x:c r="M3532" t="n">
        <x:v>0</x:v>
      </x:c>
      <x:c r="N3532" t="str">
        <x:v>Fully Paid</x:v>
      </x:c>
      <x:c r="O3532" t="str">
        <x:f>IF(D3532="","Unknown",IF(D3532&lt;25000,"&lt;$25k",IF(D3532&lt;50000,"$25k-$50k",IF(D3532&lt;75000,"$50k-$75k",IF(D3532&lt;100000,"$75k-$100k","$100k+")))))</x:f>
        <x:v>$25k-$50k</x:v>
      </x:c>
      <x:c r="P3532" t="str">
        <x:f>IF(E3532="","Unknown",IF(E3532&lt;10,"&lt;10",IF(E3532&lt;20,"10-&lt;20",IF(E3532&lt;25,"20-&lt;25",IF(E3532&lt;35,"25-&lt;35","35+")))))</x:f>
        <x:v>20-&lt;25</x:v>
      </x:c>
    </x:row>
    <x:row r="3533">
      <x:c r="A3533" t="str">
        <x:v>SYN0003532</x:v>
      </x:c>
      <x:c r="B3533" s="12" t="n">
        <x:v>43045</x:v>
      </x:c>
      <x:c r="C3533" s="18" t="n">
        <x:v>20650</x:v>
      </x:c>
      <x:c r="D3533" s="18" t="n">
        <x:v>17694</x:v>
      </x:c>
      <x:c r="E3533" s="18" t="n">
        <x:v>35.48</x:v>
      </x:c>
      <x:c r="F3533" s="18" t="n">
        <x:v>8.78</x:v>
      </x:c>
      <x:c r="G3533" t="n">
        <x:v>36</x:v>
      </x:c>
      <x:c r="H3533" t="str">
        <x:v>A</x:v>
      </x:c>
      <x:c r="I3533" t="str">
        <x:v>4-6 years</x:v>
      </x:c>
      <x:c r="J3533" t="str">
        <x:v>MORTGAGE</x:v>
      </x:c>
      <x:c r="K3533" t="str">
        <x:v>home_improvement</x:v>
      </x:c>
      <x:c r="L3533" t="n">
        <x:v>0</x:v>
      </x:c>
      <x:c r="M3533" t="n">
        <x:v>0</x:v>
      </x:c>
      <x:c r="N3533" t="str">
        <x:v>Fully Paid</x:v>
      </x:c>
      <x:c r="O3533" t="str">
        <x:f>IF(D3533="","Unknown",IF(D3533&lt;25000,"&lt;$25k",IF(D3533&lt;50000,"$25k-$50k",IF(D3533&lt;75000,"$50k-$75k",IF(D3533&lt;100000,"$75k-$100k","$100k+")))))</x:f>
        <x:v>&lt;$25k</x:v>
      </x:c>
      <x:c r="P3533" t="str">
        <x:f>IF(E3533="","Unknown",IF(E3533&lt;10,"&lt;10",IF(E3533&lt;20,"10-&lt;20",IF(E3533&lt;25,"20-&lt;25",IF(E3533&lt;35,"25-&lt;35","35+")))))</x:f>
        <x:v>35+</x:v>
      </x:c>
    </x:row>
    <x:row r="3534">
      <x:c r="A3534" t="str">
        <x:v>SYN0003533</x:v>
      </x:c>
      <x:c r="B3534" s="12" t="n">
        <x:v>43405</x:v>
      </x:c>
      <x:c r="C3534" s="18" t="n">
        <x:v>9393</x:v>
      </x:c>
      <x:c r="D3534" s="18" t="n">
        <x:v>24675</x:v>
      </x:c>
      <x:c r="E3534" s="18" t="n">
        <x:v>20.97</x:v>
      </x:c>
      <x:c r="F3534" s="18" t="n">
        <x:v>5.42</x:v>
      </x:c>
      <x:c r="G3534" t="n">
        <x:v>36</x:v>
      </x:c>
      <x:c r="H3534" t="str">
        <x:v>A</x:v>
      </x:c>
      <x:c r="I3534" t="str">
        <x:v>10+ years</x:v>
      </x:c>
      <x:c r="J3534" t="str">
        <x:v>MORTGAGE</x:v>
      </x:c>
      <x:c r="K3534" t="str">
        <x:v>debt_consolidation</x:v>
      </x:c>
      <x:c r="L3534" t="n">
        <x:v>0</x:v>
      </x:c>
      <x:c r="M3534" t="n">
        <x:v>0</x:v>
      </x:c>
      <x:c r="N3534" t="str">
        <x:v>Fully Paid</x:v>
      </x:c>
      <x:c r="O3534" t="str">
        <x:f>IF(D3534="","Unknown",IF(D3534&lt;25000,"&lt;$25k",IF(D3534&lt;50000,"$25k-$50k",IF(D3534&lt;75000,"$50k-$75k",IF(D3534&lt;100000,"$75k-$100k","$100k+")))))</x:f>
        <x:v>&lt;$25k</x:v>
      </x:c>
      <x:c r="P3534" t="str">
        <x:f>IF(E3534="","Unknown",IF(E3534&lt;10,"&lt;10",IF(E3534&lt;20,"10-&lt;20",IF(E3534&lt;25,"20-&lt;25",IF(E3534&lt;35,"25-&lt;35","35+")))))</x:f>
        <x:v>20-&lt;25</x:v>
      </x:c>
    </x:row>
    <x:row r="3535">
      <x:c r="A3535" t="str">
        <x:v>SYN0003534</x:v>
      </x:c>
      <x:c r="B3535" s="12" t="n">
        <x:v>42175</x:v>
      </x:c>
      <x:c r="C3535" s="18" t="n">
        <x:v>8855</x:v>
      </x:c>
      <x:c r="D3535" s="18" t="n">
        <x:v>30203</x:v>
      </x:c>
      <x:c r="E3535" s="18" t="n">
        <x:v>16.06</x:v>
      </x:c>
      <x:c r="F3535" s="18" t="n">
        <x:v>6.91</x:v>
      </x:c>
      <x:c r="G3535" t="n">
        <x:v>36</x:v>
      </x:c>
      <x:c r="H3535" t="str">
        <x:v>A</x:v>
      </x:c>
      <x:c r="I3535" t="str">
        <x:v>7-9 years</x:v>
      </x:c>
      <x:c r="J3535" t="str">
        <x:v>MORTGAGE</x:v>
      </x:c>
      <x:c r="K3535" t="str">
        <x:v>major_purchase</x:v>
      </x:c>
      <x:c r="L3535" t="n">
        <x:v>0</x:v>
      </x:c>
      <x:c r="M3535" t="n">
        <x:v>0</x:v>
      </x:c>
      <x:c r="N3535" t="str">
        <x:v>Fully Paid</x:v>
      </x:c>
      <x:c r="O3535" t="str">
        <x:f>IF(D3535="","Unknown",IF(D3535&lt;25000,"&lt;$25k",IF(D3535&lt;50000,"$25k-$50k",IF(D3535&lt;75000,"$50k-$75k",IF(D3535&lt;100000,"$75k-$100k","$100k+")))))</x:f>
        <x:v>$25k-$50k</x:v>
      </x:c>
      <x:c r="P3535" t="str">
        <x:f>IF(E3535="","Unknown",IF(E3535&lt;10,"&lt;10",IF(E3535&lt;20,"10-&lt;20",IF(E3535&lt;25,"20-&lt;25",IF(E3535&lt;35,"25-&lt;35","35+")))))</x:f>
        <x:v>10-&lt;20</x:v>
      </x:c>
    </x:row>
    <x:row r="3536">
      <x:c r="A3536" t="str">
        <x:v>SYN0003535</x:v>
      </x:c>
      <x:c r="B3536" s="12" t="n">
        <x:v>43315</x:v>
      </x:c>
      <x:c r="C3536" s="18" t="n">
        <x:v>11192</x:v>
      </x:c>
      <x:c r="D3536" s="18" t="n">
        <x:v>12000</x:v>
      </x:c>
      <x:c r="E3536" s="18" t="n">
        <x:v>19.58</x:v>
      </x:c>
      <x:c r="F3536" s="18" t="n">
        <x:v>11.11</x:v>
      </x:c>
      <x:c r="G3536" t="n">
        <x:v>60</x:v>
      </x:c>
      <x:c r="H3536" t="str">
        <x:v>C</x:v>
      </x:c>
      <x:c r="I3536" t="str">
        <x:v>7-9 years</x:v>
      </x:c>
      <x:c r="J3536" t="str">
        <x:v>MORTGAGE</x:v>
      </x:c>
      <x:c r="K3536" t="str">
        <x:v>debt_consolidation</x:v>
      </x:c>
      <x:c r="L3536" t="n">
        <x:v>0</x:v>
      </x:c>
      <x:c r="M3536" t="n">
        <x:v>0</x:v>
      </x:c>
      <x:c r="N3536" t="str">
        <x:v>Fully Paid</x:v>
      </x:c>
      <x:c r="O3536" t="str">
        <x:f>IF(D3536="","Unknown",IF(D3536&lt;25000,"&lt;$25k",IF(D3536&lt;50000,"$25k-$50k",IF(D3536&lt;75000,"$50k-$75k",IF(D3536&lt;100000,"$75k-$100k","$100k+")))))</x:f>
        <x:v>&lt;$25k</x:v>
      </x:c>
      <x:c r="P3536" t="str">
        <x:f>IF(E3536="","Unknown",IF(E3536&lt;10,"&lt;10",IF(E3536&lt;20,"10-&lt;20",IF(E3536&lt;25,"20-&lt;25",IF(E3536&lt;35,"25-&lt;35","35+")))))</x:f>
        <x:v>10-&lt;20</x:v>
      </x:c>
    </x:row>
    <x:row r="3537">
      <x:c r="A3537" t="str">
        <x:v>SYN0003536</x:v>
      </x:c>
      <x:c r="B3537" s="12" t="n">
        <x:v>42385</x:v>
      </x:c>
      <x:c r="C3537" s="18" t="n">
        <x:v>7894</x:v>
      </x:c>
      <x:c r="D3537" s="18" t="n">
        <x:v>36440</x:v>
      </x:c>
      <x:c r="E3537" s="18" t="n">
        <x:v>14.08</x:v>
      </x:c>
      <x:c r="F3537" s="18" t="n">
        <x:v>18.25</x:v>
      </x:c>
      <x:c r="G3537" t="n">
        <x:v>36</x:v>
      </x:c>
      <x:c r="H3537" t="str">
        <x:v>E</x:v>
      </x:c>
      <x:c r="I3537" t="str">
        <x:v>10+ years</x:v>
      </x:c>
      <x:c r="J3537" t="str">
        <x:v>OWN</x:v>
      </x:c>
      <x:c r="K3537" t="str">
        <x:v>debt_consolidation</x:v>
      </x:c>
      <x:c r="L3537" t="n">
        <x:v>1</x:v>
      </x:c>
      <x:c r="M3537" t="n">
        <x:v>0</x:v>
      </x:c>
      <x:c r="N3537" t="str">
        <x:v>Fully Paid</x:v>
      </x:c>
      <x:c r="O3537" t="str">
        <x:f>IF(D3537="","Unknown",IF(D3537&lt;25000,"&lt;$25k",IF(D3537&lt;50000,"$25k-$50k",IF(D3537&lt;75000,"$50k-$75k",IF(D3537&lt;100000,"$75k-$100k","$100k+")))))</x:f>
        <x:v>$25k-$50k</x:v>
      </x:c>
      <x:c r="P3537" t="str">
        <x:f>IF(E3537="","Unknown",IF(E3537&lt;10,"&lt;10",IF(E3537&lt;20,"10-&lt;20",IF(E3537&lt;25,"20-&lt;25",IF(E3537&lt;35,"25-&lt;35","35+")))))</x:f>
        <x:v>10-&lt;20</x:v>
      </x:c>
    </x:row>
    <x:row r="3538">
      <x:c r="A3538" t="str">
        <x:v>SYN0003537</x:v>
      </x:c>
      <x:c r="B3538" s="12" t="n">
        <x:v>43375</x:v>
      </x:c>
      <x:c r="C3538" s="18" t="n">
        <x:v>6369</x:v>
      </x:c>
      <x:c r="D3538" s="18" t="n">
        <x:v>50379</x:v>
      </x:c>
      <x:c r="E3538" s="18" t="n">
        <x:v>28.65</x:v>
      </x:c>
      <x:c r="F3538" s="18" t="n">
        <x:v>5.41</x:v>
      </x:c>
      <x:c r="G3538" t="n">
        <x:v>36</x:v>
      </x:c>
      <x:c r="H3538" t="str">
        <x:v>A</x:v>
      </x:c>
      <x:c r="I3538" t="str">
        <x:v>7-9 years</x:v>
      </x:c>
      <x:c r="J3538" t="str">
        <x:v>RENT</x:v>
      </x:c>
      <x:c r="K3538" t="str">
        <x:v>debt_consolidation</x:v>
      </x:c>
      <x:c r="L3538" t="n">
        <x:v>0</x:v>
      </x:c>
      <x:c r="M3538" t="n">
        <x:v>0</x:v>
      </x:c>
      <x:c r="N3538" t="str">
        <x:v>Fully Paid</x:v>
      </x:c>
      <x:c r="O3538" t="str">
        <x:f>IF(D3538="","Unknown",IF(D3538&lt;25000,"&lt;$25k",IF(D3538&lt;50000,"$25k-$50k",IF(D3538&lt;75000,"$50k-$75k",IF(D3538&lt;100000,"$75k-$100k","$100k+")))))</x:f>
        <x:v>$50k-$75k</x:v>
      </x:c>
      <x:c r="P3538" t="str">
        <x:f>IF(E3538="","Unknown",IF(E3538&lt;10,"&lt;10",IF(E3538&lt;20,"10-&lt;20",IF(E3538&lt;25,"20-&lt;25",IF(E3538&lt;35,"25-&lt;35","35+")))))</x:f>
        <x:v>25-&lt;35</x:v>
      </x:c>
    </x:row>
    <x:row r="3539">
      <x:c r="A3539" t="str">
        <x:v>SYN0003538</x:v>
      </x:c>
      <x:c r="B3539" s="12" t="n">
        <x:v>41545</x:v>
      </x:c>
      <x:c r="C3539" s="18" t="n">
        <x:v>10326</x:v>
      </x:c>
      <x:c r="D3539" s="18" t="n">
        <x:v>33077</x:v>
      </x:c>
      <x:c r="E3539" s="18" t="n">
        <x:v>16.77</x:v>
      </x:c>
      <x:c r="F3539" s="18" t="n">
        <x:v>26.58</x:v>
      </x:c>
      <x:c r="G3539" t="n">
        <x:v>36</x:v>
      </x:c>
      <x:c r="H3539" t="str">
        <x:v>G</x:v>
      </x:c>
      <x:c r="I3539" t="str">
        <x:v>10+ years</x:v>
      </x:c>
      <x:c r="J3539" t="str">
        <x:v>RENT</x:v>
      </x:c>
      <x:c r="K3539" t="str">
        <x:v>debt_consolidation</x:v>
      </x:c>
      <x:c r="L3539" t="n">
        <x:v>1</x:v>
      </x:c>
      <x:c r="M3539" t="n">
        <x:v>0</x:v>
      </x:c>
      <x:c r="N3539" t="str">
        <x:v>Fully Paid</x:v>
      </x:c>
      <x:c r="O3539" t="str">
        <x:f>IF(D3539="","Unknown",IF(D3539&lt;25000,"&lt;$25k",IF(D3539&lt;50000,"$25k-$50k",IF(D3539&lt;75000,"$50k-$75k",IF(D3539&lt;100000,"$75k-$100k","$100k+")))))</x:f>
        <x:v>$25k-$50k</x:v>
      </x:c>
      <x:c r="P3539" t="str">
        <x:f>IF(E3539="","Unknown",IF(E3539&lt;10,"&lt;10",IF(E3539&lt;20,"10-&lt;20",IF(E3539&lt;25,"20-&lt;25",IF(E3539&lt;35,"25-&lt;35","35+")))))</x:f>
        <x:v>10-&lt;20</x:v>
      </x:c>
    </x:row>
    <x:row r="3540">
      <x:c r="A3540" t="str">
        <x:v>SYN0003539</x:v>
      </x:c>
      <x:c r="B3540" s="12" t="n">
        <x:v>42235</x:v>
      </x:c>
      <x:c r="C3540" s="18" t="n">
        <x:v>14261</x:v>
      </x:c>
      <x:c r="D3540" s="18" t="n">
        <x:v>70519</x:v>
      </x:c>
      <x:c r="E3540" s="18" t="n">
        <x:v>22.85</x:v>
      </x:c>
      <x:c r="F3540" s="18" t="n">
        <x:v>10.88</x:v>
      </x:c>
      <x:c r="G3540" t="n">
        <x:v>60</x:v>
      </x:c>
      <x:c r="H3540" t="str">
        <x:v>C</x:v>
      </x:c>
      <x:c r="I3540" t="str">
        <x:v>4-6 years</x:v>
      </x:c>
      <x:c r="J3540" t="str">
        <x:v>MORTGAGE</x:v>
      </x:c>
      <x:c r="K3540" t="str">
        <x:v>home_improvement</x:v>
      </x:c>
      <x:c r="L3540" t="n">
        <x:v>0</x:v>
      </x:c>
      <x:c r="M3540" t="n">
        <x:v>0</x:v>
      </x:c>
      <x:c r="N3540" t="str">
        <x:v>Fully Paid</x:v>
      </x:c>
      <x:c r="O3540" t="str">
        <x:f>IF(D3540="","Unknown",IF(D3540&lt;25000,"&lt;$25k",IF(D3540&lt;50000,"$25k-$50k",IF(D3540&lt;75000,"$50k-$75k",IF(D3540&lt;100000,"$75k-$100k","$100k+")))))</x:f>
        <x:v>$50k-$75k</x:v>
      </x:c>
      <x:c r="P3540" t="str">
        <x:f>IF(E3540="","Unknown",IF(E3540&lt;10,"&lt;10",IF(E3540&lt;20,"10-&lt;20",IF(E3540&lt;25,"20-&lt;25",IF(E3540&lt;35,"25-&lt;35","35+")))))</x:f>
        <x:v>20-&lt;25</x:v>
      </x:c>
    </x:row>
    <x:row r="3541">
      <x:c r="A3541" t="str">
        <x:v>SYN0003540</x:v>
      </x:c>
      <x:c r="B3541" s="12" t="n">
        <x:v>41695</x:v>
      </x:c>
      <x:c r="C3541" s="18" t="n">
        <x:v>16047</x:v>
      </x:c>
      <x:c r="D3541" s="18" t="n">
        <x:v>55559</x:v>
      </x:c>
      <x:c r="E3541" s="18" t="n">
        <x:v>11.47</x:v>
      </x:c>
      <x:c r="F3541" s="18" t="n">
        <x:v>11.48</x:v>
      </x:c>
      <x:c r="G3541" t="n">
        <x:v>36</x:v>
      </x:c>
      <x:c r="H3541" t="str">
        <x:v>B</x:v>
      </x:c>
      <x:c r="I3541" t="str">
        <x:v>10+ years</x:v>
      </x:c>
      <x:c r="J3541" t="str">
        <x:v>RENT</x:v>
      </x:c>
      <x:c r="K3541" t="str">
        <x:v>major_purchase</x:v>
      </x:c>
      <x:c r="L3541" t="n">
        <x:v>2</x:v>
      </x:c>
      <x:c r="M3541" t="n">
        <x:v>0</x:v>
      </x:c>
      <x:c r="N3541" t="str">
        <x:v>Fully Paid</x:v>
      </x:c>
      <x:c r="O3541" t="str">
        <x:f>IF(D3541="","Unknown",IF(D3541&lt;25000,"&lt;$25k",IF(D3541&lt;50000,"$25k-$50k",IF(D3541&lt;75000,"$50k-$75k",IF(D3541&lt;100000,"$75k-$100k","$100k+")))))</x:f>
        <x:v>$50k-$75k</x:v>
      </x:c>
      <x:c r="P3541" t="str">
        <x:f>IF(E3541="","Unknown",IF(E3541&lt;10,"&lt;10",IF(E3541&lt;20,"10-&lt;20",IF(E3541&lt;25,"20-&lt;25",IF(E3541&lt;35,"25-&lt;35","35+")))))</x:f>
        <x:v>10-&lt;20</x:v>
      </x:c>
    </x:row>
    <x:row r="3542">
      <x:c r="A3542" t="str">
        <x:v>SYN0003541</x:v>
      </x:c>
      <x:c r="B3542" s="12" t="n">
        <x:v>42625</x:v>
      </x:c>
      <x:c r="C3542" s="18" t="n">
        <x:v>7450</x:v>
      </x:c>
      <x:c r="D3542" s="18" t="n">
        <x:v>219098</x:v>
      </x:c>
      <x:c r="E3542" s="18" t="n">
        <x:v>20.51</x:v>
      </x:c>
      <x:c r="F3542" s="18" t="n">
        <x:v>6.11</x:v>
      </x:c>
      <x:c r="G3542" t="n">
        <x:v>60</x:v>
      </x:c>
      <x:c r="H3542" t="str">
        <x:v>A</x:v>
      </x:c>
      <x:c r="I3542" t="str">
        <x:v>10+ years</x:v>
      </x:c>
      <x:c r="J3542" t="str">
        <x:v>OTHER</x:v>
      </x:c>
      <x:c r="K3542" t="str">
        <x:v>debt_consolidation</x:v>
      </x:c>
      <x:c r="L3542" t="n">
        <x:v>0</x:v>
      </x:c>
      <x:c r="M3542" t="n">
        <x:v>0</x:v>
      </x:c>
      <x:c r="N3542" t="str">
        <x:v>Fully Paid</x:v>
      </x:c>
      <x:c r="O3542" t="str">
        <x:f>IF(D3542="","Unknown",IF(D3542&lt;25000,"&lt;$25k",IF(D3542&lt;50000,"$25k-$50k",IF(D3542&lt;75000,"$50k-$75k",IF(D3542&lt;100000,"$75k-$100k","$100k+")))))</x:f>
        <x:v>$100k+</x:v>
      </x:c>
      <x:c r="P3542" t="str">
        <x:f>IF(E3542="","Unknown",IF(E3542&lt;10,"&lt;10",IF(E3542&lt;20,"10-&lt;20",IF(E3542&lt;25,"20-&lt;25",IF(E3542&lt;35,"25-&lt;35","35+")))))</x:f>
        <x:v>20-&lt;25</x:v>
      </x:c>
    </x:row>
    <x:row r="3543">
      <x:c r="A3543" t="str">
        <x:v>SYN0003542</x:v>
      </x:c>
      <x:c r="B3543" s="12" t="n">
        <x:v>42085</x:v>
      </x:c>
      <x:c r="C3543" s="18" t="n">
        <x:v>7368</x:v>
      </x:c>
      <x:c r="D3543" s="18" t="n">
        <x:v>79310</x:v>
      </x:c>
      <x:c r="E3543" s="18" t="n">
        <x:v>27.51</x:v>
      </x:c>
      <x:c r="F3543" s="18" t="n">
        <x:v>7.62</x:v>
      </x:c>
      <x:c r="G3543" t="n">
        <x:v>36</x:v>
      </x:c>
      <x:c r="H3543" t="str">
        <x:v>B</x:v>
      </x:c>
      <x:c r="I3543" t="str">
        <x:v>7-9 years</x:v>
      </x:c>
      <x:c r="J3543" t="str">
        <x:v>OWN</x:v>
      </x:c>
      <x:c r="K3543" t="str">
        <x:v>debt_consolidation</x:v>
      </x:c>
      <x:c r="L3543" t="n">
        <x:v>0</x:v>
      </x:c>
      <x:c r="M3543" t="n">
        <x:v>0</x:v>
      </x:c>
      <x:c r="N3543" t="str">
        <x:v>Fully Paid</x:v>
      </x:c>
      <x:c r="O3543" t="str">
        <x:f>IF(D3543="","Unknown",IF(D3543&lt;25000,"&lt;$25k",IF(D3543&lt;50000,"$25k-$50k",IF(D3543&lt;75000,"$50k-$75k",IF(D3543&lt;100000,"$75k-$100k","$100k+")))))</x:f>
        <x:v>$75k-$100k</x:v>
      </x:c>
      <x:c r="P3543" t="str">
        <x:f>IF(E3543="","Unknown",IF(E3543&lt;10,"&lt;10",IF(E3543&lt;20,"10-&lt;20",IF(E3543&lt;25,"20-&lt;25",IF(E3543&lt;35,"25-&lt;35","35+")))))</x:f>
        <x:v>25-&lt;35</x:v>
      </x:c>
    </x:row>
    <x:row r="3544">
      <x:c r="A3544" t="str">
        <x:v>SYN0003543</x:v>
      </x:c>
      <x:c r="B3544" s="12" t="n">
        <x:v>41485</x:v>
      </x:c>
      <x:c r="C3544" s="18" t="n">
        <x:v>16751</x:v>
      </x:c>
      <x:c r="D3544" s="18" t="n">
        <x:v>40428</x:v>
      </x:c>
      <x:c r="E3544" s="18" t="n">
        <x:v>25.46</x:v>
      </x:c>
      <x:c r="F3544" s="18" t="n">
        <x:v>10.45</x:v>
      </x:c>
      <x:c r="G3544" t="n">
        <x:v>36</x:v>
      </x:c>
      <x:c r="H3544" t="str">
        <x:v>C</x:v>
      </x:c>
      <x:c r="I3544" t="str">
        <x:v>10+ years</x:v>
      </x:c>
      <x:c r="J3544" t="str">
        <x:v>RENT</x:v>
      </x:c>
      <x:c r="K3544" t="str">
        <x:v>debt_consolidation</x:v>
      </x:c>
      <x:c r="L3544" t="n">
        <x:v>0</x:v>
      </x:c>
      <x:c r="M3544" t="n">
        <x:v>0</x:v>
      </x:c>
      <x:c r="N3544" t="str">
        <x:v>Fully Paid</x:v>
      </x:c>
      <x:c r="O3544" t="str">
        <x:f>IF(D3544="","Unknown",IF(D3544&lt;25000,"&lt;$25k",IF(D3544&lt;50000,"$25k-$50k",IF(D3544&lt;75000,"$50k-$75k",IF(D3544&lt;100000,"$75k-$100k","$100k+")))))</x:f>
        <x:v>$25k-$50k</x:v>
      </x:c>
      <x:c r="P3544" t="str">
        <x:f>IF(E3544="","Unknown",IF(E3544&lt;10,"&lt;10",IF(E3544&lt;20,"10-&lt;20",IF(E3544&lt;25,"20-&lt;25",IF(E3544&lt;35,"25-&lt;35","35+")))))</x:f>
        <x:v>25-&lt;35</x:v>
      </x:c>
    </x:row>
    <x:row r="3545">
      <x:c r="A3545" t="str">
        <x:v>SYN0003544</x:v>
      </x:c>
      <x:c r="B3545" s="12" t="n">
        <x:v>42835</x:v>
      </x:c>
      <x:c r="C3545" s="18" t="n">
        <x:v>6634</x:v>
      </x:c>
      <x:c r="D3545" s="18" t="n">
        <x:v>25482</x:v>
      </x:c>
      <x:c r="E3545" s="18" t="n">
        <x:v>20.99</x:v>
      </x:c>
      <x:c r="F3545" s="18" t="n">
        <x:v>20.74</x:v>
      </x:c>
      <x:c r="G3545" t="n">
        <x:v>36</x:v>
      </x:c>
      <x:c r="H3545" t="str">
        <x:v>F</x:v>
      </x:c>
      <x:c r="I3545" t="str">
        <x:v>7-9 years</x:v>
      </x:c>
      <x:c r="J3545" t="str">
        <x:v>RENT</x:v>
      </x:c>
      <x:c r="K3545" t="str">
        <x:v>credit_card</x:v>
      </x:c>
      <x:c r="L3545" t="n">
        <x:v>3</x:v>
      </x:c>
      <x:c r="M3545" t="n">
        <x:v>0</x:v>
      </x:c>
      <x:c r="N3545" t="str">
        <x:v>Fully Paid</x:v>
      </x:c>
      <x:c r="O3545" t="str">
        <x:f>IF(D3545="","Unknown",IF(D3545&lt;25000,"&lt;$25k",IF(D3545&lt;50000,"$25k-$50k",IF(D3545&lt;75000,"$50k-$75k",IF(D3545&lt;100000,"$75k-$100k","$100k+")))))</x:f>
        <x:v>$25k-$50k</x:v>
      </x:c>
      <x:c r="P3545" t="str">
        <x:f>IF(E3545="","Unknown",IF(E3545&lt;10,"&lt;10",IF(E3545&lt;20,"10-&lt;20",IF(E3545&lt;25,"20-&lt;25",IF(E3545&lt;35,"25-&lt;35","35+")))))</x:f>
        <x:v>20-&lt;25</x:v>
      </x:c>
    </x:row>
    <x:row r="3546">
      <x:c r="A3546" t="str">
        <x:v>SYN0003545</x:v>
      </x:c>
      <x:c r="B3546" s="12" t="n">
        <x:v>42325</x:v>
      </x:c>
      <x:c r="C3546" s="18" t="n">
        <x:v>13401</x:v>
      </x:c>
      <x:c r="D3546" s="18" t="n">
        <x:v>56560</x:v>
      </x:c>
      <x:c r="E3546" s="18" t="n">
        <x:v>7.47</x:v>
      </x:c>
      <x:c r="F3546" s="18" t="n">
        <x:v>8.94</x:v>
      </x:c>
      <x:c r="G3546" t="n">
        <x:v>36</x:v>
      </x:c>
      <x:c r="H3546" t="str">
        <x:v>C</x:v>
      </x:c>
      <x:c r="I3546" t="str">
        <x:v>7-9 years</x:v>
      </x:c>
      <x:c r="J3546" t="str">
        <x:v>MORTGAGE</x:v>
      </x:c>
      <x:c r="K3546" t="str">
        <x:v>debt_consolidation</x:v>
      </x:c>
      <x:c r="L3546" t="n">
        <x:v>0</x:v>
      </x:c>
      <x:c r="M3546" t="n">
        <x:v>0</x:v>
      </x:c>
      <x:c r="N3546" t="str">
        <x:v>Fully Paid</x:v>
      </x:c>
      <x:c r="O3546" t="str">
        <x:f>IF(D3546="","Unknown",IF(D3546&lt;25000,"&lt;$25k",IF(D3546&lt;50000,"$25k-$50k",IF(D3546&lt;75000,"$50k-$75k",IF(D3546&lt;100000,"$75k-$100k","$100k+")))))</x:f>
        <x:v>$50k-$75k</x:v>
      </x:c>
      <x:c r="P3546" t="str">
        <x:f>IF(E3546="","Unknown",IF(E3546&lt;10,"&lt;10",IF(E3546&lt;20,"10-&lt;20",IF(E3546&lt;25,"20-&lt;25",IF(E3546&lt;35,"25-&lt;35","35+")))))</x:f>
        <x:v>&lt;10</x:v>
      </x:c>
    </x:row>
    <x:row r="3547">
      <x:c r="A3547" t="str">
        <x:v>SYN0003546</x:v>
      </x:c>
      <x:c r="B3547" s="12" t="n">
        <x:v>41485</x:v>
      </x:c>
      <x:c r="C3547" s="18" t="n">
        <x:v>11831</x:v>
      </x:c>
      <x:c r="D3547" s="18" t="n">
        <x:v>53885</x:v>
      </x:c>
      <x:c r="E3547" s="18" t="n">
        <x:v>9.8</x:v>
      </x:c>
      <x:c r="F3547" s="18" t="n">
        <x:v>9.1</x:v>
      </x:c>
      <x:c r="G3547" t="n">
        <x:v>60</x:v>
      </x:c>
      <x:c r="H3547" t="str">
        <x:v>A</x:v>
      </x:c>
      <x:c r="I3547" t="str">
        <x:v>7-9 years</x:v>
      </x:c>
      <x:c r="J3547" t="str">
        <x:v>MORTGAGE</x:v>
      </x:c>
      <x:c r="K3547" t="str">
        <x:v>other</x:v>
      </x:c>
      <x:c r="L3547" t="n">
        <x:v>1</x:v>
      </x:c>
      <x:c r="M3547" t="n">
        <x:v>0</x:v>
      </x:c>
      <x:c r="N3547" t="str">
        <x:v>Fully Paid</x:v>
      </x:c>
      <x:c r="O3547" t="str">
        <x:f>IF(D3547="","Unknown",IF(D3547&lt;25000,"&lt;$25k",IF(D3547&lt;50000,"$25k-$50k",IF(D3547&lt;75000,"$50k-$75k",IF(D3547&lt;100000,"$75k-$100k","$100k+")))))</x:f>
        <x:v>$50k-$75k</x:v>
      </x:c>
      <x:c r="P3547" t="str">
        <x:f>IF(E3547="","Unknown",IF(E3547&lt;10,"&lt;10",IF(E3547&lt;20,"10-&lt;20",IF(E3547&lt;25,"20-&lt;25",IF(E3547&lt;35,"25-&lt;35","35+")))))</x:f>
        <x:v>&lt;10</x:v>
      </x:c>
    </x:row>
    <x:row r="3548">
      <x:c r="A3548" t="str">
        <x:v>SYN0003547</x:v>
      </x:c>
      <x:c r="B3548" s="12" t="n">
        <x:v>41935</x:v>
      </x:c>
      <x:c r="C3548" s="18" t="n">
        <x:v>9974</x:v>
      </x:c>
      <x:c r="D3548" s="18" t="n">
        <x:v>129665</x:v>
      </x:c>
      <x:c r="E3548" s="18" t="n">
        <x:v>22</x:v>
      </x:c>
      <x:c r="F3548" s="18" t="n">
        <x:v>8.24</x:v>
      </x:c>
      <x:c r="G3548" t="n">
        <x:v>36</x:v>
      </x:c>
      <x:c r="H3548" t="str">
        <x:v>B</x:v>
      </x:c>
      <x:c r="I3548" t="str">
        <x:v>10+ years</x:v>
      </x:c>
      <x:c r="J3548" t="str">
        <x:v>OWN</x:v>
      </x:c>
      <x:c r="K3548" t="str">
        <x:v>home_improvement</x:v>
      </x:c>
      <x:c r="L3548" t="n">
        <x:v>0</x:v>
      </x:c>
      <x:c r="M3548" t="n">
        <x:v>0</x:v>
      </x:c>
      <x:c r="N3548" t="str">
        <x:v>Fully Paid</x:v>
      </x:c>
      <x:c r="O3548" t="str">
        <x:f>IF(D3548="","Unknown",IF(D3548&lt;25000,"&lt;$25k",IF(D3548&lt;50000,"$25k-$50k",IF(D3548&lt;75000,"$50k-$75k",IF(D3548&lt;100000,"$75k-$100k","$100k+")))))</x:f>
        <x:v>$100k+</x:v>
      </x:c>
      <x:c r="P3548" t="str">
        <x:f>IF(E3548="","Unknown",IF(E3548&lt;10,"&lt;10",IF(E3548&lt;20,"10-&lt;20",IF(E3548&lt;25,"20-&lt;25",IF(E3548&lt;35,"25-&lt;35","35+")))))</x:f>
        <x:v>20-&lt;25</x:v>
      </x:c>
    </x:row>
    <x:row r="3549">
      <x:c r="A3549" t="str">
        <x:v>SYN0003548</x:v>
      </x:c>
      <x:c r="B3549" s="12" t="n">
        <x:v>41845</x:v>
      </x:c>
      <x:c r="C3549" s="18" t="n">
        <x:v>17110</x:v>
      </x:c>
      <x:c r="D3549" s="18" t="n">
        <x:v>96632</x:v>
      </x:c>
      <x:c r="E3549" s="18" t="n">
        <x:v>16.36</x:v>
      </x:c>
      <x:c r="F3549" s="18" t="n">
        <x:v>9.16</x:v>
      </x:c>
      <x:c r="G3549" t="n">
        <x:v>36</x:v>
      </x:c>
      <x:c r="H3549" t="str">
        <x:v>C</x:v>
      </x:c>
      <x:c r="I3549" t="str">
        <x:v>10+ years</x:v>
      </x:c>
      <x:c r="J3549" t="str">
        <x:v>MORTGAGE</x:v>
      </x:c>
      <x:c r="K3549" t="str">
        <x:v>debt_consolidation</x:v>
      </x:c>
      <x:c r="L3549" t="n">
        <x:v>0</x:v>
      </x:c>
      <x:c r="M3549" t="n">
        <x:v>0</x:v>
      </x:c>
      <x:c r="N3549" t="str">
        <x:v>Fully Paid</x:v>
      </x:c>
      <x:c r="O3549" t="str">
        <x:f>IF(D3549="","Unknown",IF(D3549&lt;25000,"&lt;$25k",IF(D3549&lt;50000,"$25k-$50k",IF(D3549&lt;75000,"$50k-$75k",IF(D3549&lt;100000,"$75k-$100k","$100k+")))))</x:f>
        <x:v>$75k-$100k</x:v>
      </x:c>
      <x:c r="P3549" t="str">
        <x:f>IF(E3549="","Unknown",IF(E3549&lt;10,"&lt;10",IF(E3549&lt;20,"10-&lt;20",IF(E3549&lt;25,"20-&lt;25",IF(E3549&lt;35,"25-&lt;35","35+")))))</x:f>
        <x:v>10-&lt;20</x:v>
      </x:c>
    </x:row>
    <x:row r="3550">
      <x:c r="A3550" t="str">
        <x:v>SYN0003549</x:v>
      </x:c>
      <x:c r="B3550" s="12" t="n">
        <x:v>42415</x:v>
      </x:c>
      <x:c r="C3550" s="18" t="n">
        <x:v>8245</x:v>
      </x:c>
      <x:c r="D3550" s="18" t="n">
        <x:v>17496</x:v>
      </x:c>
      <x:c r="E3550" s="18" t="n">
        <x:v>16.09</x:v>
      </x:c>
      <x:c r="F3550" s="18" t="n">
        <x:v>19.45</x:v>
      </x:c>
      <x:c r="G3550" t="n">
        <x:v>36</x:v>
      </x:c>
      <x:c r="H3550" t="str">
        <x:v>E</x:v>
      </x:c>
      <x:c r="I3550" t="str">
        <x:v>&lt;1 year</x:v>
      </x:c>
      <x:c r="J3550" t="str">
        <x:v>RENT</x:v>
      </x:c>
      <x:c r="K3550" t="str">
        <x:v>other</x:v>
      </x:c>
      <x:c r="L3550" t="n">
        <x:v>0</x:v>
      </x:c>
      <x:c r="M3550" t="n">
        <x:v>0</x:v>
      </x:c>
      <x:c r="N3550" t="str">
        <x:v>Fully Paid</x:v>
      </x:c>
      <x:c r="O3550" t="str">
        <x:f>IF(D3550="","Unknown",IF(D3550&lt;25000,"&lt;$25k",IF(D3550&lt;50000,"$25k-$50k",IF(D3550&lt;75000,"$50k-$75k",IF(D3550&lt;100000,"$75k-$100k","$100k+")))))</x:f>
        <x:v>&lt;$25k</x:v>
      </x:c>
      <x:c r="P3550" t="str">
        <x:f>IF(E3550="","Unknown",IF(E3550&lt;10,"&lt;10",IF(E3550&lt;20,"10-&lt;20",IF(E3550&lt;25,"20-&lt;25",IF(E3550&lt;35,"25-&lt;35","35+")))))</x:f>
        <x:v>10-&lt;20</x:v>
      </x:c>
    </x:row>
    <x:row r="3551">
      <x:c r="A3551" t="str">
        <x:v>SYN0003550</x:v>
      </x:c>
      <x:c r="B3551" s="12" t="n">
        <x:v>43045</x:v>
      </x:c>
      <x:c r="C3551" s="18" t="n">
        <x:v>11974</x:v>
      </x:c>
      <x:c r="D3551" s="18" t="n">
        <x:v>106396</x:v>
      </x:c>
      <x:c r="E3551" s="18" t="n">
        <x:v>21.09</x:v>
      </x:c>
      <x:c r="F3551" s="18" t="n">
        <x:v>19.37</x:v>
      </x:c>
      <x:c r="G3551" t="n">
        <x:v>36</x:v>
      </x:c>
      <x:c r="H3551" t="str">
        <x:v>E</x:v>
      </x:c>
      <x:c r="I3551" t="str">
        <x:v>1-3 years</x:v>
      </x:c>
      <x:c r="J3551" t="str">
        <x:v>RENT</x:v>
      </x:c>
      <x:c r="K3551" t="str">
        <x:v>credit_card</x:v>
      </x:c>
      <x:c r="L3551" t="n">
        <x:v>1</x:v>
      </x:c>
      <x:c r="M3551" t="n">
        <x:v>0</x:v>
      </x:c>
      <x:c r="N3551" t="str">
        <x:v>Fully Paid</x:v>
      </x:c>
      <x:c r="O3551" t="str">
        <x:f>IF(D3551="","Unknown",IF(D3551&lt;25000,"&lt;$25k",IF(D3551&lt;50000,"$25k-$50k",IF(D3551&lt;75000,"$50k-$75k",IF(D3551&lt;100000,"$75k-$100k","$100k+")))))</x:f>
        <x:v>$100k+</x:v>
      </x:c>
      <x:c r="P3551" t="str">
        <x:f>IF(E3551="","Unknown",IF(E3551&lt;10,"&lt;10",IF(E3551&lt;20,"10-&lt;20",IF(E3551&lt;25,"20-&lt;25",IF(E3551&lt;35,"25-&lt;35","35+")))))</x:f>
        <x:v>20-&lt;25</x:v>
      </x:c>
    </x:row>
    <x:row r="3552">
      <x:c r="A3552" t="str">
        <x:v>SYN0003551</x:v>
      </x:c>
      <x:c r="B3552" s="12" t="n">
        <x:v>42175</x:v>
      </x:c>
      <x:c r="C3552" s="18" t="n">
        <x:v>16805</x:v>
      </x:c>
      <x:c r="D3552" s="18" t="n">
        <x:v>42176</x:v>
      </x:c>
      <x:c r="E3552" s="18" t="n">
        <x:v>15.84</x:v>
      </x:c>
      <x:c r="F3552" s="18" t="n">
        <x:v>7.61</x:v>
      </x:c>
      <x:c r="G3552" t="n">
        <x:v>60</x:v>
      </x:c>
      <x:c r="H3552" t="str">
        <x:v>A</x:v>
      </x:c>
      <x:c r="I3552" t="str">
        <x:v>4-6 years</x:v>
      </x:c>
      <x:c r="J3552" t="str">
        <x:v>RENT</x:v>
      </x:c>
      <x:c r="K3552" t="str">
        <x:v>debt_consolidation</x:v>
      </x:c>
      <x:c r="L3552" t="n">
        <x:v>0</x:v>
      </x:c>
      <x:c r="M3552" t="n">
        <x:v>0</x:v>
      </x:c>
      <x:c r="N3552" t="str">
        <x:v>Fully Paid</x:v>
      </x:c>
      <x:c r="O3552" t="str">
        <x:f>IF(D3552="","Unknown",IF(D3552&lt;25000,"&lt;$25k",IF(D3552&lt;50000,"$25k-$50k",IF(D3552&lt;75000,"$50k-$75k",IF(D3552&lt;100000,"$75k-$100k","$100k+")))))</x:f>
        <x:v>$25k-$50k</x:v>
      </x:c>
      <x:c r="P3552" t="str">
        <x:f>IF(E3552="","Unknown",IF(E3552&lt;10,"&lt;10",IF(E3552&lt;20,"10-&lt;20",IF(E3552&lt;25,"20-&lt;25",IF(E3552&lt;35,"25-&lt;35","35+")))))</x:f>
        <x:v>10-&lt;20</x:v>
      </x:c>
    </x:row>
    <x:row r="3553">
      <x:c r="A3553" t="str">
        <x:v>SYN0003552</x:v>
      </x:c>
      <x:c r="B3553" s="12" t="n">
        <x:v>41995</x:v>
      </x:c>
      <x:c r="C3553" s="18" t="n">
        <x:v>15637</x:v>
      </x:c>
      <x:c r="D3553" s="18" t="n">
        <x:v>44241</x:v>
      </x:c>
      <x:c r="E3553" s="18" t="n">
        <x:v>38</x:v>
      </x:c>
      <x:c r="F3553" s="18" t="n">
        <x:v>10.87</x:v>
      </x:c>
      <x:c r="G3553" t="n">
        <x:v>60</x:v>
      </x:c>
      <x:c r="H3553" t="str">
        <x:v>C</x:v>
      </x:c>
      <x:c r="I3553" t="str">
        <x:v>7-9 years</x:v>
      </x:c>
      <x:c r="J3553" t="str">
        <x:v>RENT</x:v>
      </x:c>
      <x:c r="K3553" t="str">
        <x:v>debt_consolidation</x:v>
      </x:c>
      <x:c r="L3553" t="n">
        <x:v>0</x:v>
      </x:c>
      <x:c r="M3553" t="n">
        <x:v>0</x:v>
      </x:c>
      <x:c r="N3553" t="str">
        <x:v>Fully Paid</x:v>
      </x:c>
      <x:c r="O3553" t="str">
        <x:f>IF(D3553="","Unknown",IF(D3553&lt;25000,"&lt;$25k",IF(D3553&lt;50000,"$25k-$50k",IF(D3553&lt;75000,"$50k-$75k",IF(D3553&lt;100000,"$75k-$100k","$100k+")))))</x:f>
        <x:v>$25k-$50k</x:v>
      </x:c>
      <x:c r="P3553" t="str">
        <x:f>IF(E3553="","Unknown",IF(E3553&lt;10,"&lt;10",IF(E3553&lt;20,"10-&lt;20",IF(E3553&lt;25,"20-&lt;25",IF(E3553&lt;35,"25-&lt;35","35+")))))</x:f>
        <x:v>35+</x:v>
      </x:c>
    </x:row>
    <x:row r="3554">
      <x:c r="A3554" t="str">
        <x:v>SYN0003553</x:v>
      </x:c>
      <x:c r="B3554" s="12" t="n">
        <x:v>43135</x:v>
      </x:c>
      <x:c r="C3554" s="18" t="n">
        <x:v>7692</x:v>
      </x:c>
      <x:c r="D3554" s="18" t="n">
        <x:v>34258</x:v>
      </x:c>
      <x:c r="E3554" s="18" t="n">
        <x:v>20.58</x:v>
      </x:c>
      <x:c r="F3554" s="18" t="n">
        <x:v>7.63</x:v>
      </x:c>
      <x:c r="G3554" t="n">
        <x:v>36</x:v>
      </x:c>
      <x:c r="H3554" t="str">
        <x:v>C</x:v>
      </x:c>
      <x:c r="I3554" t="str">
        <x:v>4-6 years</x:v>
      </x:c>
      <x:c r="J3554" t="str">
        <x:v>RENT</x:v>
      </x:c>
      <x:c r="K3554" t="str">
        <x:v>home_improvement</x:v>
      </x:c>
      <x:c r="L3554" t="n">
        <x:v>1</x:v>
      </x:c>
      <x:c r="M3554" t="n">
        <x:v>0</x:v>
      </x:c>
      <x:c r="N3554" t="str">
        <x:v>Fully Paid</x:v>
      </x:c>
      <x:c r="O3554" t="str">
        <x:f>IF(D3554="","Unknown",IF(D3554&lt;25000,"&lt;$25k",IF(D3554&lt;50000,"$25k-$50k",IF(D3554&lt;75000,"$50k-$75k",IF(D3554&lt;100000,"$75k-$100k","$100k+")))))</x:f>
        <x:v>$25k-$50k</x:v>
      </x:c>
      <x:c r="P3554" t="str">
        <x:f>IF(E3554="","Unknown",IF(E3554&lt;10,"&lt;10",IF(E3554&lt;20,"10-&lt;20",IF(E3554&lt;25,"20-&lt;25",IF(E3554&lt;35,"25-&lt;35","35+")))))</x:f>
        <x:v>20-&lt;25</x:v>
      </x:c>
    </x:row>
    <x:row r="3555">
      <x:c r="A3555" t="str">
        <x:v>SYN0003554</x:v>
      </x:c>
      <x:c r="B3555" s="12" t="n">
        <x:v>41275</x:v>
      </x:c>
      <x:c r="C3555" s="18" t="n">
        <x:v>8285</x:v>
      </x:c>
      <x:c r="D3555" s="18" t="n">
        <x:v>12000</x:v>
      </x:c>
      <x:c r="E3555" s="18" t="n">
        <x:v>22.27</x:v>
      </x:c>
      <x:c r="F3555" s="18" t="n">
        <x:v>10.48</x:v>
      </x:c>
      <x:c r="G3555" t="n">
        <x:v>60</x:v>
      </x:c>
      <x:c r="H3555" t="str">
        <x:v>C</x:v>
      </x:c>
      <x:c r="I3555" t="str">
        <x:v>10+ years</x:v>
      </x:c>
      <x:c r="J3555" t="str">
        <x:v>RENT</x:v>
      </x:c>
      <x:c r="K3555" t="str">
        <x:v>credit_card</x:v>
      </x:c>
      <x:c r="L3555" t="n">
        <x:v>1</x:v>
      </x:c>
      <x:c r="M3555" t="n">
        <x:v>0</x:v>
      </x:c>
      <x:c r="N3555" t="str">
        <x:v>Fully Paid</x:v>
      </x:c>
      <x:c r="O3555" t="str">
        <x:f>IF(D3555="","Unknown",IF(D3555&lt;25000,"&lt;$25k",IF(D3555&lt;50000,"$25k-$50k",IF(D3555&lt;75000,"$50k-$75k",IF(D3555&lt;100000,"$75k-$100k","$100k+")))))</x:f>
        <x:v>&lt;$25k</x:v>
      </x:c>
      <x:c r="P3555" t="str">
        <x:f>IF(E3555="","Unknown",IF(E3555&lt;10,"&lt;10",IF(E3555&lt;20,"10-&lt;20",IF(E3555&lt;25,"20-&lt;25",IF(E3555&lt;35,"25-&lt;35","35+")))))</x:f>
        <x:v>20-&lt;25</x:v>
      </x:c>
    </x:row>
    <x:row r="3556">
      <x:c r="A3556" t="str">
        <x:v>SYN0003555</x:v>
      </x:c>
      <x:c r="B3556" s="12" t="n">
        <x:v>41575</x:v>
      </x:c>
      <x:c r="C3556" s="18" t="n">
        <x:v>16723</x:v>
      </x:c>
      <x:c r="D3556" s="18" t="n">
        <x:v>87373</x:v>
      </x:c>
      <x:c r="E3556" s="18" t="n">
        <x:v>15.34</x:v>
      </x:c>
      <x:c r="F3556" s="18" t="n">
        <x:v>10.92</x:v>
      </x:c>
      <x:c r="G3556" t="n">
        <x:v>36</x:v>
      </x:c>
      <x:c r="H3556" t="str">
        <x:v>C</x:v>
      </x:c>
      <x:c r="I3556" t="str">
        <x:v>7-9 years</x:v>
      </x:c>
      <x:c r="J3556" t="str">
        <x:v>MORTGAGE</x:v>
      </x:c>
      <x:c r="K3556" t="str">
        <x:v>debt_consolidation</x:v>
      </x:c>
      <x:c r="L3556" t="n">
        <x:v>0</x:v>
      </x:c>
      <x:c r="M3556" t="n">
        <x:v>0</x:v>
      </x:c>
      <x:c r="N3556" t="str">
        <x:v>Fully Paid</x:v>
      </x:c>
      <x:c r="O3556" t="str">
        <x:f>IF(D3556="","Unknown",IF(D3556&lt;25000,"&lt;$25k",IF(D3556&lt;50000,"$25k-$50k",IF(D3556&lt;75000,"$50k-$75k",IF(D3556&lt;100000,"$75k-$100k","$100k+")))))</x:f>
        <x:v>$75k-$100k</x:v>
      </x:c>
      <x:c r="P3556" t="str">
        <x:f>IF(E3556="","Unknown",IF(E3556&lt;10,"&lt;10",IF(E3556&lt;20,"10-&lt;20",IF(E3556&lt;25,"20-&lt;25",IF(E3556&lt;35,"25-&lt;35","35+")))))</x:f>
        <x:v>10-&lt;20</x:v>
      </x:c>
    </x:row>
    <x:row r="3557">
      <x:c r="A3557" t="str">
        <x:v>SYN0003556</x:v>
      </x:c>
      <x:c r="B3557" s="12" t="n">
        <x:v>42505</x:v>
      </x:c>
      <x:c r="C3557" s="18" t="n">
        <x:v>5983</x:v>
      </x:c>
      <x:c r="D3557" s="18" t="n">
        <x:v>160959</x:v>
      </x:c>
      <x:c r="E3557" s="18" t="n">
        <x:v>34.91</x:v>
      </x:c>
      <x:c r="F3557" s="18" t="n">
        <x:v>12.03</x:v>
      </x:c>
      <x:c r="G3557" t="n">
        <x:v>36</x:v>
      </x:c>
      <x:c r="H3557" t="str">
        <x:v>D</x:v>
      </x:c>
      <x:c r="I3557" t="str">
        <x:v>1-3 years</x:v>
      </x:c>
      <x:c r="J3557" t="str">
        <x:v>MORTGAGE</x:v>
      </x:c>
      <x:c r="K3557" t="str">
        <x:v>other</x:v>
      </x:c>
      <x:c r="L3557" t="n">
        <x:v>0</x:v>
      </x:c>
      <x:c r="M3557" t="n">
        <x:v>0</x:v>
      </x:c>
      <x:c r="N3557" t="str">
        <x:v>Fully Paid</x:v>
      </x:c>
      <x:c r="O3557" t="str">
        <x:f>IF(D3557="","Unknown",IF(D3557&lt;25000,"&lt;$25k",IF(D3557&lt;50000,"$25k-$50k",IF(D3557&lt;75000,"$50k-$75k",IF(D3557&lt;100000,"$75k-$100k","$100k+")))))</x:f>
        <x:v>$100k+</x:v>
      </x:c>
      <x:c r="P3557" t="str">
        <x:f>IF(E3557="","Unknown",IF(E3557&lt;10,"&lt;10",IF(E3557&lt;20,"10-&lt;20",IF(E3557&lt;25,"20-&lt;25",IF(E3557&lt;35,"25-&lt;35","35+")))))</x:f>
        <x:v>25-&lt;35</x:v>
      </x:c>
    </x:row>
    <x:row r="3558">
      <x:c r="A3558" t="str">
        <x:v>SYN0003557</x:v>
      </x:c>
      <x:c r="B3558" s="12" t="n">
        <x:v>42595</x:v>
      </x:c>
      <x:c r="C3558" s="18" t="n">
        <x:v>11395</x:v>
      </x:c>
      <x:c r="D3558" s="18" t="n">
        <x:v>32234</x:v>
      </x:c>
      <x:c r="E3558" s="18" t="n">
        <x:v>22.99</x:v>
      </x:c>
      <x:c r="F3558" s="18" t="n">
        <x:v>10.25</x:v>
      </x:c>
      <x:c r="G3558" t="n">
        <x:v>60</x:v>
      </x:c>
      <x:c r="H3558" t="str">
        <x:v>B</x:v>
      </x:c>
      <x:c r="I3558" t="str">
        <x:v>10+ years</x:v>
      </x:c>
      <x:c r="J3558" t="str">
        <x:v>MORTGAGE</x:v>
      </x:c>
      <x:c r="K3558" t="str">
        <x:v>debt_consolidation</x:v>
      </x:c>
      <x:c r="L3558" t="n">
        <x:v>0</x:v>
      </x:c>
      <x:c r="M3558" t="n">
        <x:v>0</x:v>
      </x:c>
      <x:c r="N3558" t="str">
        <x:v>Fully Paid</x:v>
      </x:c>
      <x:c r="O3558" t="str">
        <x:f>IF(D3558="","Unknown",IF(D3558&lt;25000,"&lt;$25k",IF(D3558&lt;50000,"$25k-$50k",IF(D3558&lt;75000,"$50k-$75k",IF(D3558&lt;100000,"$75k-$100k","$100k+")))))</x:f>
        <x:v>$25k-$50k</x:v>
      </x:c>
      <x:c r="P3558" t="str">
        <x:f>IF(E3558="","Unknown",IF(E3558&lt;10,"&lt;10",IF(E3558&lt;20,"10-&lt;20",IF(E3558&lt;25,"20-&lt;25",IF(E3558&lt;35,"25-&lt;35","35+")))))</x:f>
        <x:v>20-&lt;25</x:v>
      </x:c>
    </x:row>
    <x:row r="3559">
      <x:c r="A3559" t="str">
        <x:v>SYN0003558</x:v>
      </x:c>
      <x:c r="B3559" s="12" t="n">
        <x:v>41605</x:v>
      </x:c>
      <x:c r="C3559" s="18" t="n">
        <x:v>9918</x:v>
      </x:c>
      <x:c r="D3559" s="18" t="n">
        <x:v>76656</x:v>
      </x:c>
      <x:c r="E3559" s="18" t="n">
        <x:v>16.8</x:v>
      </x:c>
      <x:c r="F3559" s="18" t="n">
        <x:v>6.93</x:v>
      </x:c>
      <x:c r="G3559" t="n">
        <x:v>36</x:v>
      </x:c>
      <x:c r="H3559" t="str">
        <x:v>B</x:v>
      </x:c>
      <x:c r="I3559" t="str">
        <x:v>7-9 years</x:v>
      </x:c>
      <x:c r="J3559" t="str">
        <x:v>MORTGAGE</x:v>
      </x:c>
      <x:c r="K3559" t="str">
        <x:v>other</x:v>
      </x:c>
      <x:c r="L3559" t="n">
        <x:v>1</x:v>
      </x:c>
      <x:c r="M3559" t="n">
        <x:v>0</x:v>
      </x:c>
      <x:c r="N3559" t="str">
        <x:v>Fully Paid</x:v>
      </x:c>
      <x:c r="O3559" t="str">
        <x:f>IF(D3559="","Unknown",IF(D3559&lt;25000,"&lt;$25k",IF(D3559&lt;50000,"$25k-$50k",IF(D3559&lt;75000,"$50k-$75k",IF(D3559&lt;100000,"$75k-$100k","$100k+")))))</x:f>
        <x:v>$75k-$100k</x:v>
      </x:c>
      <x:c r="P3559" t="str">
        <x:f>IF(E3559="","Unknown",IF(E3559&lt;10,"&lt;10",IF(E3559&lt;20,"10-&lt;20",IF(E3559&lt;25,"20-&lt;25",IF(E3559&lt;35,"25-&lt;35","35+")))))</x:f>
        <x:v>10-&lt;20</x:v>
      </x:c>
    </x:row>
    <x:row r="3560">
      <x:c r="A3560" t="str">
        <x:v>SYN0003559</x:v>
      </x:c>
      <x:c r="B3560" s="12" t="n">
        <x:v>41365</x:v>
      </x:c>
      <x:c r="C3560" s="18" t="n">
        <x:v>17874</x:v>
      </x:c>
      <x:c r="D3560" s="18" t="n">
        <x:v>41551</x:v>
      </x:c>
      <x:c r="E3560" s="18" t="n">
        <x:v>14.81</x:v>
      </x:c>
      <x:c r="F3560" s="18" t="n">
        <x:v>7.8</x:v>
      </x:c>
      <x:c r="G3560" t="n">
        <x:v>36</x:v>
      </x:c>
      <x:c r="H3560" t="str">
        <x:v>B</x:v>
      </x:c>
      <x:c r="I3560" t="str">
        <x:v>10+ years</x:v>
      </x:c>
      <x:c r="J3560" t="str">
        <x:v>MORTGAGE</x:v>
      </x:c>
      <x:c r="K3560" t="str">
        <x:v>debt_consolidation</x:v>
      </x:c>
      <x:c r="L3560" t="n">
        <x:v>0</x:v>
      </x:c>
      <x:c r="M3560" t="n">
        <x:v>0</x:v>
      </x:c>
      <x:c r="N3560" t="str">
        <x:v>Fully Paid</x:v>
      </x:c>
      <x:c r="O3560" t="str">
        <x:f>IF(D3560="","Unknown",IF(D3560&lt;25000,"&lt;$25k",IF(D3560&lt;50000,"$25k-$50k",IF(D3560&lt;75000,"$50k-$75k",IF(D3560&lt;100000,"$75k-$100k","$100k+")))))</x:f>
        <x:v>$25k-$50k</x:v>
      </x:c>
      <x:c r="P3560" t="str">
        <x:f>IF(E3560="","Unknown",IF(E3560&lt;10,"&lt;10",IF(E3560&lt;20,"10-&lt;20",IF(E3560&lt;25,"20-&lt;25",IF(E3560&lt;35,"25-&lt;35","35+")))))</x:f>
        <x:v>10-&lt;20</x:v>
      </x:c>
    </x:row>
    <x:row r="3561">
      <x:c r="A3561" t="str">
        <x:v>SYN0003560</x:v>
      </x:c>
      <x:c r="B3561" s="12" t="n">
        <x:v>41425</x:v>
      </x:c>
      <x:c r="C3561" s="18" t="n">
        <x:v>11197</x:v>
      </x:c>
      <x:c r="D3561" s="18" t="n">
        <x:v>52655</x:v>
      </x:c>
      <x:c r="E3561" s="18" t="n">
        <x:v>31.09</x:v>
      </x:c>
      <x:c r="F3561" s="18" t="n">
        <x:v>26.2</x:v>
      </x:c>
      <x:c r="G3561" t="n">
        <x:v>36</x:v>
      </x:c>
      <x:c r="H3561" t="str">
        <x:v>G</x:v>
      </x:c>
      <x:c r="I3561" t="str">
        <x:v>7-9 years</x:v>
      </x:c>
      <x:c r="J3561" t="str">
        <x:v>RENT</x:v>
      </x:c>
      <x:c r="K3561" t="str">
        <x:v>debt_consolidation</x:v>
      </x:c>
      <x:c r="L3561" t="n">
        <x:v>2</x:v>
      </x:c>
      <x:c r="M3561" t="n">
        <x:v>1</x:v>
      </x:c>
      <x:c r="N3561" t="str">
        <x:v>Charged Off</x:v>
      </x:c>
      <x:c r="O3561" t="str">
        <x:f>IF(D3561="","Unknown",IF(D3561&lt;25000,"&lt;$25k",IF(D3561&lt;50000,"$25k-$50k",IF(D3561&lt;75000,"$50k-$75k",IF(D3561&lt;100000,"$75k-$100k","$100k+")))))</x:f>
        <x:v>$50k-$75k</x:v>
      </x:c>
      <x:c r="P3561" t="str">
        <x:f>IF(E3561="","Unknown",IF(E3561&lt;10,"&lt;10",IF(E3561&lt;20,"10-&lt;20",IF(E3561&lt;25,"20-&lt;25",IF(E3561&lt;35,"25-&lt;35","35+")))))</x:f>
        <x:v>25-&lt;35</x:v>
      </x:c>
    </x:row>
    <x:row r="3562">
      <x:c r="A3562" t="str">
        <x:v>SYN0003561</x:v>
      </x:c>
      <x:c r="B3562" s="12" t="n">
        <x:v>42925</x:v>
      </x:c>
      <x:c r="C3562" s="18" t="n">
        <x:v>6140</x:v>
      </x:c>
      <x:c r="D3562" s="18" t="n">
        <x:v>13114</x:v>
      </x:c>
      <x:c r="E3562" s="18" t="n">
        <x:v>32.89</x:v>
      </x:c>
      <x:c r="F3562" s="18" t="n">
        <x:v>14.78</x:v>
      </x:c>
      <x:c r="G3562" t="n">
        <x:v>60</x:v>
      </x:c>
      <x:c r="H3562" t="str">
        <x:v>D</x:v>
      </x:c>
      <x:c r="I3562" t="str">
        <x:v>1-3 years</x:v>
      </x:c>
      <x:c r="J3562" t="str">
        <x:v>MORTGAGE</x:v>
      </x:c>
      <x:c r="K3562" t="str">
        <x:v>home_improvement</x:v>
      </x:c>
      <x:c r="L3562" t="n">
        <x:v>0</x:v>
      </x:c>
      <x:c r="M3562" t="n">
        <x:v>1</x:v>
      </x:c>
      <x:c r="N3562" t="str">
        <x:v>Charged Off</x:v>
      </x:c>
      <x:c r="O3562" t="str">
        <x:f>IF(D3562="","Unknown",IF(D3562&lt;25000,"&lt;$25k",IF(D3562&lt;50000,"$25k-$50k",IF(D3562&lt;75000,"$50k-$75k",IF(D3562&lt;100000,"$75k-$100k","$100k+")))))</x:f>
        <x:v>&lt;$25k</x:v>
      </x:c>
      <x:c r="P3562" t="str">
        <x:f>IF(E3562="","Unknown",IF(E3562&lt;10,"&lt;10",IF(E3562&lt;20,"10-&lt;20",IF(E3562&lt;25,"20-&lt;25",IF(E3562&lt;35,"25-&lt;35","35+")))))</x:f>
        <x:v>25-&lt;35</x:v>
      </x:c>
    </x:row>
    <x:row r="3563">
      <x:c r="A3563" t="str">
        <x:v>SYN0003562</x:v>
      </x:c>
      <x:c r="B3563" s="12" t="n">
        <x:v>43225</x:v>
      </x:c>
      <x:c r="C3563" s="18" t="n">
        <x:v>15596</x:v>
      </x:c>
      <x:c r="D3563" s="18" t="n">
        <x:v>95186</x:v>
      </x:c>
      <x:c r="E3563" s="18" t="n">
        <x:v>24.23</x:v>
      </x:c>
      <x:c r="F3563" s="18" t="n">
        <x:v>15.19</x:v>
      </x:c>
      <x:c r="G3563" t="n">
        <x:v>36</x:v>
      </x:c>
      <x:c r="H3563" t="str">
        <x:v>D</x:v>
      </x:c>
      <x:c r="I3563" t="str">
        <x:v>&lt;1 year</x:v>
      </x:c>
      <x:c r="J3563" t="str">
        <x:v>MORTGAGE</x:v>
      </x:c>
      <x:c r="K3563" t="str">
        <x:v>debt_consolidation</x:v>
      </x:c>
      <x:c r="L3563" t="n">
        <x:v>0</x:v>
      </x:c>
      <x:c r="M3563" t="n">
        <x:v>0</x:v>
      </x:c>
      <x:c r="N3563" t="str">
        <x:v>Fully Paid</x:v>
      </x:c>
      <x:c r="O3563" t="str">
        <x:f>IF(D3563="","Unknown",IF(D3563&lt;25000,"&lt;$25k",IF(D3563&lt;50000,"$25k-$50k",IF(D3563&lt;75000,"$50k-$75k",IF(D3563&lt;100000,"$75k-$100k","$100k+")))))</x:f>
        <x:v>$75k-$100k</x:v>
      </x:c>
      <x:c r="P3563" t="str">
        <x:f>IF(E3563="","Unknown",IF(E3563&lt;10,"&lt;10",IF(E3563&lt;20,"10-&lt;20",IF(E3563&lt;25,"20-&lt;25",IF(E3563&lt;35,"25-&lt;35","35+")))))</x:f>
        <x:v>20-&lt;25</x:v>
      </x:c>
    </x:row>
    <x:row r="3564">
      <x:c r="A3564" t="str">
        <x:v>SYN0003563</x:v>
      </x:c>
      <x:c r="B3564" s="12" t="n">
        <x:v>42475</x:v>
      </x:c>
      <x:c r="C3564" s="18" t="n">
        <x:v>15062</x:v>
      </x:c>
      <x:c r="D3564" s="18" t="n">
        <x:v>59486</x:v>
      </x:c>
      <x:c r="E3564" s="18" t="n">
        <x:v>17.77</x:v>
      </x:c>
      <x:c r="F3564" s="18" t="n">
        <x:v>8.95</x:v>
      </x:c>
      <x:c r="G3564" t="n">
        <x:v>60</x:v>
      </x:c>
      <x:c r="H3564" t="str">
        <x:v>C</x:v>
      </x:c>
      <x:c r="I3564" t="str">
        <x:v>&lt;1 year</x:v>
      </x:c>
      <x:c r="J3564" t="str">
        <x:v>RENT</x:v>
      </x:c>
      <x:c r="K3564" t="str">
        <x:v>debt_consolidation</x:v>
      </x:c>
      <x:c r="L3564" t="n">
        <x:v>0</x:v>
      </x:c>
      <x:c r="M3564" t="n">
        <x:v>0</x:v>
      </x:c>
      <x:c r="N3564" t="str">
        <x:v>Fully Paid</x:v>
      </x:c>
      <x:c r="O3564" t="str">
        <x:f>IF(D3564="","Unknown",IF(D3564&lt;25000,"&lt;$25k",IF(D3564&lt;50000,"$25k-$50k",IF(D3564&lt;75000,"$50k-$75k",IF(D3564&lt;100000,"$75k-$100k","$100k+")))))</x:f>
        <x:v>$50k-$75k</x:v>
      </x:c>
      <x:c r="P3564" t="str">
        <x:f>IF(E3564="","Unknown",IF(E3564&lt;10,"&lt;10",IF(E3564&lt;20,"10-&lt;20",IF(E3564&lt;25,"20-&lt;25",IF(E3564&lt;35,"25-&lt;35","35+")))))</x:f>
        <x:v>10-&lt;20</x:v>
      </x:c>
    </x:row>
    <x:row r="3565">
      <x:c r="A3565" t="str">
        <x:v>SYN0003564</x:v>
      </x:c>
      <x:c r="B3565" s="12" t="n">
        <x:v>43345</x:v>
      </x:c>
      <x:c r="C3565" s="18" t="n">
        <x:v>20841</x:v>
      </x:c>
      <x:c r="D3565" s="18" t="n">
        <x:v>17356</x:v>
      </x:c>
      <x:c r="E3565" s="18" t="n">
        <x:v>22.93</x:v>
      </x:c>
      <x:c r="F3565" s="18" t="n">
        <x:v>10.07</x:v>
      </x:c>
      <x:c r="G3565" t="n">
        <x:v>36</x:v>
      </x:c>
      <x:c r="H3565" t="str">
        <x:v>B</x:v>
      </x:c>
      <x:c r="I3565" t="str">
        <x:v>4-6 years</x:v>
      </x:c>
      <x:c r="J3565" t="str">
        <x:v>RENT</x:v>
      </x:c>
      <x:c r="K3565" t="str">
        <x:v>major_purchase</x:v>
      </x:c>
      <x:c r="L3565" t="n">
        <x:v>0</x:v>
      </x:c>
      <x:c r="M3565" t="n">
        <x:v>0</x:v>
      </x:c>
      <x:c r="N3565" t="str">
        <x:v>Fully Paid</x:v>
      </x:c>
      <x:c r="O3565" t="str">
        <x:f>IF(D3565="","Unknown",IF(D3565&lt;25000,"&lt;$25k",IF(D3565&lt;50000,"$25k-$50k",IF(D3565&lt;75000,"$50k-$75k",IF(D3565&lt;100000,"$75k-$100k","$100k+")))))</x:f>
        <x:v>&lt;$25k</x:v>
      </x:c>
      <x:c r="P3565" t="str">
        <x:f>IF(E3565="","Unknown",IF(E3565&lt;10,"&lt;10",IF(E3565&lt;20,"10-&lt;20",IF(E3565&lt;25,"20-&lt;25",IF(E3565&lt;35,"25-&lt;35","35+")))))</x:f>
        <x:v>20-&lt;25</x:v>
      </x:c>
    </x:row>
    <x:row r="3566">
      <x:c r="A3566" t="str">
        <x:v>SYN0003565</x:v>
      </x:c>
      <x:c r="B3566" s="12" t="n">
        <x:v>43255</x:v>
      </x:c>
      <x:c r="C3566" s="18" t="n">
        <x:v>30393</x:v>
      </x:c>
      <x:c r="D3566" s="18" t="n">
        <x:v>36721</x:v>
      </x:c>
      <x:c r="E3566" s="18" t="n">
        <x:v>22.26</x:v>
      </x:c>
      <x:c r="F3566" s="18" t="n">
        <x:v>8.51</x:v>
      </x:c>
      <x:c r="G3566" t="n">
        <x:v>36</x:v>
      </x:c>
      <x:c r="H3566" t="str">
        <x:v>B</x:v>
      </x:c>
      <x:c r="I3566" t="str">
        <x:v>4-6 years</x:v>
      </x:c>
      <x:c r="J3566" t="str">
        <x:v>OWN</x:v>
      </x:c>
      <x:c r="K3566" t="str">
        <x:v>credit_card</x:v>
      </x:c>
      <x:c r="L3566" t="n">
        <x:v>0</x:v>
      </x:c>
      <x:c r="M3566" t="n">
        <x:v>0</x:v>
      </x:c>
      <x:c r="N3566" t="str">
        <x:v>Fully Paid</x:v>
      </x:c>
      <x:c r="O3566" t="str">
        <x:f>IF(D3566="","Unknown",IF(D3566&lt;25000,"&lt;$25k",IF(D3566&lt;50000,"$25k-$50k",IF(D3566&lt;75000,"$50k-$75k",IF(D3566&lt;100000,"$75k-$100k","$100k+")))))</x:f>
        <x:v>$25k-$50k</x:v>
      </x:c>
      <x:c r="P3566" t="str">
        <x:f>IF(E3566="","Unknown",IF(E3566&lt;10,"&lt;10",IF(E3566&lt;20,"10-&lt;20",IF(E3566&lt;25,"20-&lt;25",IF(E3566&lt;35,"25-&lt;35","35+")))))</x:f>
        <x:v>20-&lt;25</x:v>
      </x:c>
    </x:row>
    <x:row r="3567">
      <x:c r="A3567" t="str">
        <x:v>SYN0003566</x:v>
      </x:c>
      <x:c r="B3567" s="12" t="n">
        <x:v>41815</x:v>
      </x:c>
      <x:c r="C3567" s="18" t="n">
        <x:v>35556</x:v>
      </x:c>
      <x:c r="D3567" s="18" t="n">
        <x:v>13187</x:v>
      </x:c>
      <x:c r="E3567" s="18" t="n">
        <x:v>21.97</x:v>
      </x:c>
      <x:c r="F3567" s="18" t="n">
        <x:v>7.38</x:v>
      </x:c>
      <x:c r="G3567" t="n">
        <x:v>36</x:v>
      </x:c>
      <x:c r="H3567" t="str">
        <x:v>A</x:v>
      </x:c>
      <x:c r="I3567" t="str">
        <x:v>7-9 years</x:v>
      </x:c>
      <x:c r="J3567" t="str">
        <x:v>RENT</x:v>
      </x:c>
      <x:c r="K3567" t="str">
        <x:v>other</x:v>
      </x:c>
      <x:c r="L3567" t="n">
        <x:v>1</x:v>
      </x:c>
      <x:c r="M3567" t="n">
        <x:v>0</x:v>
      </x:c>
      <x:c r="N3567" t="str">
        <x:v>Fully Paid</x:v>
      </x:c>
      <x:c r="O3567" t="str">
        <x:f>IF(D3567="","Unknown",IF(D3567&lt;25000,"&lt;$25k",IF(D3567&lt;50000,"$25k-$50k",IF(D3567&lt;75000,"$50k-$75k",IF(D3567&lt;100000,"$75k-$100k","$100k+")))))</x:f>
        <x:v>&lt;$25k</x:v>
      </x:c>
      <x:c r="P3567" t="str">
        <x:f>IF(E3567="","Unknown",IF(E3567&lt;10,"&lt;10",IF(E3567&lt;20,"10-&lt;20",IF(E3567&lt;25,"20-&lt;25",IF(E3567&lt;35,"25-&lt;35","35+")))))</x:f>
        <x:v>20-&lt;25</x:v>
      </x:c>
    </x:row>
    <x:row r="3568">
      <x:c r="A3568" t="str">
        <x:v>SYN0003567</x:v>
      </x:c>
      <x:c r="B3568" s="12" t="n">
        <x:v>42385</x:v>
      </x:c>
      <x:c r="C3568" s="18" t="n">
        <x:v>20668</x:v>
      </x:c>
      <x:c r="D3568" s="18" t="n">
        <x:v>131088</x:v>
      </x:c>
      <x:c r="E3568" s="18" t="n">
        <x:v>24.33</x:v>
      </x:c>
      <x:c r="F3568" s="18" t="n">
        <x:v>15</x:v>
      </x:c>
      <x:c r="G3568" t="n">
        <x:v>36</x:v>
      </x:c>
      <x:c r="H3568" t="str">
        <x:v>D</x:v>
      </x:c>
      <x:c r="I3568" t="str">
        <x:v>4-6 years</x:v>
      </x:c>
      <x:c r="J3568" t="str">
        <x:v>MORTGAGE</x:v>
      </x:c>
      <x:c r="K3568" t="str">
        <x:v>debt_consolidation</x:v>
      </x:c>
      <x:c r="L3568" t="n">
        <x:v>1</x:v>
      </x:c>
      <x:c r="M3568" t="n">
        <x:v>0</x:v>
      </x:c>
      <x:c r="N3568" t="str">
        <x:v>Fully Paid</x:v>
      </x:c>
      <x:c r="O3568" t="str">
        <x:f>IF(D3568="","Unknown",IF(D3568&lt;25000,"&lt;$25k",IF(D3568&lt;50000,"$25k-$50k",IF(D3568&lt;75000,"$50k-$75k",IF(D3568&lt;100000,"$75k-$100k","$100k+")))))</x:f>
        <x:v>$100k+</x:v>
      </x:c>
      <x:c r="P3568" t="str">
        <x:f>IF(E3568="","Unknown",IF(E3568&lt;10,"&lt;10",IF(E3568&lt;20,"10-&lt;20",IF(E3568&lt;25,"20-&lt;25",IF(E3568&lt;35,"25-&lt;35","35+")))))</x:f>
        <x:v>20-&lt;25</x:v>
      </x:c>
    </x:row>
    <x:row r="3569">
      <x:c r="A3569" t="str">
        <x:v>SYN0003568</x:v>
      </x:c>
      <x:c r="B3569" s="12" t="n">
        <x:v>43135</x:v>
      </x:c>
      <x:c r="C3569" s="18" t="n">
        <x:v>13440</x:v>
      </x:c>
      <x:c r="D3569" s="18" t="n">
        <x:v>42962</x:v>
      </x:c>
      <x:c r="E3569" s="18" t="n">
        <x:v>21.07</x:v>
      </x:c>
      <x:c r="F3569" s="18" t="n">
        <x:v>16.81</x:v>
      </x:c>
      <x:c r="G3569" t="n">
        <x:v>36</x:v>
      </x:c>
      <x:c r="H3569" t="str">
        <x:v>D</x:v>
      </x:c>
      <x:c r="I3569" t="str">
        <x:v>10+ years</x:v>
      </x:c>
      <x:c r="J3569" t="str">
        <x:v>RENT</x:v>
      </x:c>
      <x:c r="K3569" t="str">
        <x:v>home_improvement</x:v>
      </x:c>
      <x:c r="L3569" t="n">
        <x:v>0</x:v>
      </x:c>
      <x:c r="M3569" t="n">
        <x:v>0</x:v>
      </x:c>
      <x:c r="N3569" t="str">
        <x:v>Fully Paid</x:v>
      </x:c>
      <x:c r="O3569" t="str">
        <x:f>IF(D3569="","Unknown",IF(D3569&lt;25000,"&lt;$25k",IF(D3569&lt;50000,"$25k-$50k",IF(D3569&lt;75000,"$50k-$75k",IF(D3569&lt;100000,"$75k-$100k","$100k+")))))</x:f>
        <x:v>$25k-$50k</x:v>
      </x:c>
      <x:c r="P3569" t="str">
        <x:f>IF(E3569="","Unknown",IF(E3569&lt;10,"&lt;10",IF(E3569&lt;20,"10-&lt;20",IF(E3569&lt;25,"20-&lt;25",IF(E3569&lt;35,"25-&lt;35","35+")))))</x:f>
        <x:v>20-&lt;25</x:v>
      </x:c>
    </x:row>
    <x:row r="3570">
      <x:c r="A3570" t="str">
        <x:v>SYN0003569</x:v>
      </x:c>
      <x:c r="B3570" s="12" t="n">
        <x:v>41365</x:v>
      </x:c>
      <x:c r="C3570" s="18" t="n">
        <x:v>10316</x:v>
      </x:c>
      <x:c r="D3570" s="18" t="n">
        <x:v>75949</x:v>
      </x:c>
      <x:c r="E3570" s="18" t="n">
        <x:v>22.88</x:v>
      </x:c>
      <x:c r="F3570" s="18" t="n">
        <x:v>10.67</x:v>
      </x:c>
      <x:c r="G3570" t="n">
        <x:v>60</x:v>
      </x:c>
      <x:c r="H3570" t="str">
        <x:v>C</x:v>
      </x:c>
      <x:c r="I3570" t="str">
        <x:v>1-3 years</x:v>
      </x:c>
      <x:c r="J3570" t="str">
        <x:v>MORTGAGE</x:v>
      </x:c>
      <x:c r="K3570" t="str">
        <x:v>home_improvement</x:v>
      </x:c>
      <x:c r="L3570" t="n">
        <x:v>0</x:v>
      </x:c>
      <x:c r="M3570" t="n">
        <x:v>0</x:v>
      </x:c>
      <x:c r="N3570" t="str">
        <x:v>Fully Paid</x:v>
      </x:c>
      <x:c r="O3570" t="str">
        <x:f>IF(D3570="","Unknown",IF(D3570&lt;25000,"&lt;$25k",IF(D3570&lt;50000,"$25k-$50k",IF(D3570&lt;75000,"$50k-$75k",IF(D3570&lt;100000,"$75k-$100k","$100k+")))))</x:f>
        <x:v>$75k-$100k</x:v>
      </x:c>
      <x:c r="P3570" t="str">
        <x:f>IF(E3570="","Unknown",IF(E3570&lt;10,"&lt;10",IF(E3570&lt;20,"10-&lt;20",IF(E3570&lt;25,"20-&lt;25",IF(E3570&lt;35,"25-&lt;35","35+")))))</x:f>
        <x:v>20-&lt;25</x:v>
      </x:c>
    </x:row>
    <x:row r="3571">
      <x:c r="A3571" t="str">
        <x:v>SYN0003570</x:v>
      </x:c>
      <x:c r="B3571" s="12" t="n">
        <x:v>42265</x:v>
      </x:c>
      <x:c r="C3571" s="18" t="n">
        <x:v>27022</x:v>
      </x:c>
      <x:c r="D3571" s="18" t="n">
        <x:v>97467</x:v>
      </x:c>
      <x:c r="E3571" s="18" t="n">
        <x:v>24.24</x:v>
      </x:c>
      <x:c r="F3571" s="18" t="n">
        <x:v>16.38</x:v>
      </x:c>
      <x:c r="G3571" t="n">
        <x:v>36</x:v>
      </x:c>
      <x:c r="H3571" t="str">
        <x:v>D</x:v>
      </x:c>
      <x:c r="I3571" t="str">
        <x:v>1-3 years</x:v>
      </x:c>
      <x:c r="J3571" t="str">
        <x:v>MORTGAGE</x:v>
      </x:c>
      <x:c r="K3571" t="str">
        <x:v>home_improvement</x:v>
      </x:c>
      <x:c r="L3571" t="n">
        <x:v>0</x:v>
      </x:c>
      <x:c r="M3571" t="n">
        <x:v>0</x:v>
      </x:c>
      <x:c r="N3571" t="str">
        <x:v>Fully Paid</x:v>
      </x:c>
      <x:c r="O3571" t="str">
        <x:f>IF(D3571="","Unknown",IF(D3571&lt;25000,"&lt;$25k",IF(D3571&lt;50000,"$25k-$50k",IF(D3571&lt;75000,"$50k-$75k",IF(D3571&lt;100000,"$75k-$100k","$100k+")))))</x:f>
        <x:v>$75k-$100k</x:v>
      </x:c>
      <x:c r="P3571" t="str">
        <x:f>IF(E3571="","Unknown",IF(E3571&lt;10,"&lt;10",IF(E3571&lt;20,"10-&lt;20",IF(E3571&lt;25,"20-&lt;25",IF(E3571&lt;35,"25-&lt;35","35+")))))</x:f>
        <x:v>20-&lt;25</x:v>
      </x:c>
    </x:row>
    <x:row r="3572">
      <x:c r="A3572" t="str">
        <x:v>SYN0003571</x:v>
      </x:c>
      <x:c r="B3572" s="12" t="n">
        <x:v>42055</x:v>
      </x:c>
      <x:c r="C3572" s="18" t="n">
        <x:v>30219</x:v>
      </x:c>
      <x:c r="D3572" s="18" t="n">
        <x:v>184072</x:v>
      </x:c>
      <x:c r="E3572" s="18" t="n">
        <x:v>25.48</x:v>
      </x:c>
      <x:c r="F3572" s="18" t="n">
        <x:v>23.89</x:v>
      </x:c>
      <x:c r="G3572" t="n">
        <x:v>36</x:v>
      </x:c>
      <x:c r="H3572" t="str">
        <x:v>G</x:v>
      </x:c>
      <x:c r="I3572" t="str">
        <x:v>7-9 years</x:v>
      </x:c>
      <x:c r="J3572" t="str">
        <x:v>OWN</x:v>
      </x:c>
      <x:c r="K3572" t="str">
        <x:v>credit_card</x:v>
      </x:c>
      <x:c r="L3572" t="n">
        <x:v>0</x:v>
      </x:c>
      <x:c r="M3572" t="n">
        <x:v>1</x:v>
      </x:c>
      <x:c r="N3572" t="str">
        <x:v>Charged Off</x:v>
      </x:c>
      <x:c r="O3572" t="str">
        <x:f>IF(D3572="","Unknown",IF(D3572&lt;25000,"&lt;$25k",IF(D3572&lt;50000,"$25k-$50k",IF(D3572&lt;75000,"$50k-$75k",IF(D3572&lt;100000,"$75k-$100k","$100k+")))))</x:f>
        <x:v>$100k+</x:v>
      </x:c>
      <x:c r="P3572" t="str">
        <x:f>IF(E3572="","Unknown",IF(E3572&lt;10,"&lt;10",IF(E3572&lt;20,"10-&lt;20",IF(E3572&lt;25,"20-&lt;25",IF(E3572&lt;35,"25-&lt;35","35+")))))</x:f>
        <x:v>25-&lt;35</x:v>
      </x:c>
    </x:row>
    <x:row r="3573">
      <x:c r="A3573" t="str">
        <x:v>SYN0003572</x:v>
      </x:c>
      <x:c r="B3573" s="12" t="n">
        <x:v>42805</x:v>
      </x:c>
      <x:c r="C3573" s="18" t="n">
        <x:v>14781</x:v>
      </x:c>
      <x:c r="D3573" s="18" t="n">
        <x:v>50904</x:v>
      </x:c>
      <x:c r="E3573" s="18" t="n">
        <x:v>21.69</x:v>
      </x:c>
      <x:c r="F3573" s="18" t="n">
        <x:v>14.51</x:v>
      </x:c>
      <x:c r="G3573" t="n">
        <x:v>36</x:v>
      </x:c>
      <x:c r="H3573" t="str">
        <x:v>D</x:v>
      </x:c>
      <x:c r="I3573" t="str">
        <x:v>4-6 years</x:v>
      </x:c>
      <x:c r="J3573" t="str">
        <x:v>MORTGAGE</x:v>
      </x:c>
      <x:c r="K3573" t="str">
        <x:v>major_purchase</x:v>
      </x:c>
      <x:c r="L3573" t="n">
        <x:v>0</x:v>
      </x:c>
      <x:c r="M3573" t="n">
        <x:v>0</x:v>
      </x:c>
      <x:c r="N3573" t="str">
        <x:v>Fully Paid</x:v>
      </x:c>
      <x:c r="O3573" t="str">
        <x:f>IF(D3573="","Unknown",IF(D3573&lt;25000,"&lt;$25k",IF(D3573&lt;50000,"$25k-$50k",IF(D3573&lt;75000,"$50k-$75k",IF(D3573&lt;100000,"$75k-$100k","$100k+")))))</x:f>
        <x:v>$50k-$75k</x:v>
      </x:c>
      <x:c r="P3573" t="str">
        <x:f>IF(E3573="","Unknown",IF(E3573&lt;10,"&lt;10",IF(E3573&lt;20,"10-&lt;20",IF(E3573&lt;25,"20-&lt;25",IF(E3573&lt;35,"25-&lt;35","35+")))))</x:f>
        <x:v>20-&lt;25</x:v>
      </x:c>
    </x:row>
    <x:row r="3574">
      <x:c r="A3574" t="str">
        <x:v>SYN0003573</x:v>
      </x:c>
      <x:c r="B3574" s="12" t="n">
        <x:v>41755</x:v>
      </x:c>
      <x:c r="C3574" s="18" t="n">
        <x:v>11080</x:v>
      </x:c>
      <x:c r="D3574" s="18" t="n">
        <x:v>36571</x:v>
      </x:c>
      <x:c r="E3574" s="18" t="n">
        <x:v>18.2</x:v>
      </x:c>
      <x:c r="F3574" s="18" t="n">
        <x:v>9.74</x:v>
      </x:c>
      <x:c r="G3574" t="n">
        <x:v>60</x:v>
      </x:c>
      <x:c r="H3574" t="str">
        <x:v>B</x:v>
      </x:c>
      <x:c r="I3574" t="str">
        <x:v>4-6 years</x:v>
      </x:c>
      <x:c r="J3574" t="str">
        <x:v>OTHER</x:v>
      </x:c>
      <x:c r="K3574" t="str">
        <x:v>credit_card</x:v>
      </x:c>
      <x:c r="L3574" t="n">
        <x:v>0</x:v>
      </x:c>
      <x:c r="M3574" t="n">
        <x:v>0</x:v>
      </x:c>
      <x:c r="N3574" t="str">
        <x:v>Fully Paid</x:v>
      </x:c>
      <x:c r="O3574" t="str">
        <x:f>IF(D3574="","Unknown",IF(D3574&lt;25000,"&lt;$25k",IF(D3574&lt;50000,"$25k-$50k",IF(D3574&lt;75000,"$50k-$75k",IF(D3574&lt;100000,"$75k-$100k","$100k+")))))</x:f>
        <x:v>$25k-$50k</x:v>
      </x:c>
      <x:c r="P3574" t="str">
        <x:f>IF(E3574="","Unknown",IF(E3574&lt;10,"&lt;10",IF(E3574&lt;20,"10-&lt;20",IF(E3574&lt;25,"20-&lt;25",IF(E3574&lt;35,"25-&lt;35","35+")))))</x:f>
        <x:v>10-&lt;20</x:v>
      </x:c>
    </x:row>
    <x:row r="3575">
      <x:c r="A3575" t="str">
        <x:v>SYN0003574</x:v>
      </x:c>
      <x:c r="B3575" s="12" t="n">
        <x:v>42145</x:v>
      </x:c>
      <x:c r="C3575" s="18" t="n">
        <x:v>17047</x:v>
      </x:c>
      <x:c r="D3575" s="18" t="n">
        <x:v>53604</x:v>
      </x:c>
      <x:c r="E3575" s="18" t="n">
        <x:v>16.28</x:v>
      </x:c>
      <x:c r="F3575" s="18" t="n">
        <x:v>8.81</x:v>
      </x:c>
      <x:c r="G3575" t="n">
        <x:v>60</x:v>
      </x:c>
      <x:c r="H3575" t="str">
        <x:v>B</x:v>
      </x:c>
      <x:c r="I3575" t="str">
        <x:v>4-6 years</x:v>
      </x:c>
      <x:c r="J3575" t="str">
        <x:v>MORTGAGE</x:v>
      </x:c>
      <x:c r="K3575" t="str">
        <x:v>home_improvement</x:v>
      </x:c>
      <x:c r="L3575" t="n">
        <x:v>1</x:v>
      </x:c>
      <x:c r="M3575" t="n">
        <x:v>0</x:v>
      </x:c>
      <x:c r="N3575" t="str">
        <x:v>Fully Paid</x:v>
      </x:c>
      <x:c r="O3575" t="str">
        <x:f>IF(D3575="","Unknown",IF(D3575&lt;25000,"&lt;$25k",IF(D3575&lt;50000,"$25k-$50k",IF(D3575&lt;75000,"$50k-$75k",IF(D3575&lt;100000,"$75k-$100k","$100k+")))))</x:f>
        <x:v>$50k-$75k</x:v>
      </x:c>
      <x:c r="P3575" t="str">
        <x:f>IF(E3575="","Unknown",IF(E3575&lt;10,"&lt;10",IF(E3575&lt;20,"10-&lt;20",IF(E3575&lt;25,"20-&lt;25",IF(E3575&lt;35,"25-&lt;35","35+")))))</x:f>
        <x:v>10-&lt;20</x:v>
      </x:c>
    </x:row>
    <x:row r="3576">
      <x:c r="A3576" t="str">
        <x:v>SYN0003575</x:v>
      </x:c>
      <x:c r="B3576" s="12" t="n">
        <x:v>43405</x:v>
      </x:c>
      <x:c r="C3576" s="18" t="n">
        <x:v>14536</x:v>
      </x:c>
      <x:c r="D3576" s="18" t="n">
        <x:v>160243</x:v>
      </x:c>
      <x:c r="E3576" s="18" t="n">
        <x:v>26.23</x:v>
      </x:c>
      <x:c r="F3576" s="18" t="n">
        <x:v>9.76</x:v>
      </x:c>
      <x:c r="G3576" t="n">
        <x:v>60</x:v>
      </x:c>
      <x:c r="H3576" t="str">
        <x:v>C</x:v>
      </x:c>
      <x:c r="I3576" t="str">
        <x:v>1-3 years</x:v>
      </x:c>
      <x:c r="J3576" t="str">
        <x:v>RENT</x:v>
      </x:c>
      <x:c r="K3576" t="str">
        <x:v>home_improvement</x:v>
      </x:c>
      <x:c r="L3576" t="n">
        <x:v>0</x:v>
      </x:c>
      <x:c r="M3576" t="n">
        <x:v>0</x:v>
      </x:c>
      <x:c r="N3576" t="str">
        <x:v>Fully Paid</x:v>
      </x:c>
      <x:c r="O3576" t="str">
        <x:f>IF(D3576="","Unknown",IF(D3576&lt;25000,"&lt;$25k",IF(D3576&lt;50000,"$25k-$50k",IF(D3576&lt;75000,"$50k-$75k",IF(D3576&lt;100000,"$75k-$100k","$100k+")))))</x:f>
        <x:v>$100k+</x:v>
      </x:c>
      <x:c r="P3576" t="str">
        <x:f>IF(E3576="","Unknown",IF(E3576&lt;10,"&lt;10",IF(E3576&lt;20,"10-&lt;20",IF(E3576&lt;25,"20-&lt;25",IF(E3576&lt;35,"25-&lt;35","35+")))))</x:f>
        <x:v>25-&lt;35</x:v>
      </x:c>
    </x:row>
    <x:row r="3577">
      <x:c r="A3577" t="str">
        <x:v>SYN0003576</x:v>
      </x:c>
      <x:c r="B3577" s="12" t="n">
        <x:v>43375</x:v>
      </x:c>
      <x:c r="C3577" s="18" t="n">
        <x:v>8892</x:v>
      </x:c>
      <x:c r="D3577" s="18" t="n">
        <x:v>34833</x:v>
      </x:c>
      <x:c r="E3577" s="18" t="n">
        <x:v>25.92</x:v>
      </x:c>
      <x:c r="F3577" s="18" t="n">
        <x:v>10.39</x:v>
      </x:c>
      <x:c r="G3577" t="n">
        <x:v>36</x:v>
      </x:c>
      <x:c r="H3577" t="str">
        <x:v>C</x:v>
      </x:c>
      <x:c r="I3577" t="str">
        <x:v>7-9 years</x:v>
      </x:c>
      <x:c r="J3577" t="str">
        <x:v>MORTGAGE</x:v>
      </x:c>
      <x:c r="K3577" t="str">
        <x:v>medical</x:v>
      </x:c>
      <x:c r="L3577" t="n">
        <x:v>0</x:v>
      </x:c>
      <x:c r="M3577" t="n">
        <x:v>0</x:v>
      </x:c>
      <x:c r="N3577" t="str">
        <x:v>Fully Paid</x:v>
      </x:c>
      <x:c r="O3577" t="str">
        <x:f>IF(D3577="","Unknown",IF(D3577&lt;25000,"&lt;$25k",IF(D3577&lt;50000,"$25k-$50k",IF(D3577&lt;75000,"$50k-$75k",IF(D3577&lt;100000,"$75k-$100k","$100k+")))))</x:f>
        <x:v>$25k-$50k</x:v>
      </x:c>
      <x:c r="P3577" t="str">
        <x:f>IF(E3577="","Unknown",IF(E3577&lt;10,"&lt;10",IF(E3577&lt;20,"10-&lt;20",IF(E3577&lt;25,"20-&lt;25",IF(E3577&lt;35,"25-&lt;35","35+")))))</x:f>
        <x:v>25-&lt;35</x:v>
      </x:c>
    </x:row>
    <x:row r="3578">
      <x:c r="A3578" t="str">
        <x:v>SYN0003577</x:v>
      </x:c>
      <x:c r="B3578" s="12" t="n">
        <x:v>43015</x:v>
      </x:c>
      <x:c r="C3578" s="18" t="n">
        <x:v>12865</x:v>
      </x:c>
      <x:c r="D3578" s="18" t="n">
        <x:v>18296</x:v>
      </x:c>
      <x:c r="E3578" s="18" t="n">
        <x:v>18.68</x:v>
      </x:c>
      <x:c r="F3578" s="18" t="n">
        <x:v>13.11</x:v>
      </x:c>
      <x:c r="G3578" t="n">
        <x:v>36</x:v>
      </x:c>
      <x:c r="H3578" t="str">
        <x:v>D</x:v>
      </x:c>
      <x:c r="I3578" t="str">
        <x:v>10+ years</x:v>
      </x:c>
      <x:c r="J3578" t="str">
        <x:v>OWN</x:v>
      </x:c>
      <x:c r="K3578" t="str">
        <x:v>other</x:v>
      </x:c>
      <x:c r="L3578" t="n">
        <x:v>0</x:v>
      </x:c>
      <x:c r="M3578" t="n">
        <x:v>0</x:v>
      </x:c>
      <x:c r="N3578" t="str">
        <x:v>Fully Paid</x:v>
      </x:c>
      <x:c r="O3578" t="str">
        <x:f>IF(D3578="","Unknown",IF(D3578&lt;25000,"&lt;$25k",IF(D3578&lt;50000,"$25k-$50k",IF(D3578&lt;75000,"$50k-$75k",IF(D3578&lt;100000,"$75k-$100k","$100k+")))))</x:f>
        <x:v>&lt;$25k</x:v>
      </x:c>
      <x:c r="P3578" t="str">
        <x:f>IF(E3578="","Unknown",IF(E3578&lt;10,"&lt;10",IF(E3578&lt;20,"10-&lt;20",IF(E3578&lt;25,"20-&lt;25",IF(E3578&lt;35,"25-&lt;35","35+")))))</x:f>
        <x:v>10-&lt;20</x:v>
      </x:c>
    </x:row>
    <x:row r="3579">
      <x:c r="A3579" t="str">
        <x:v>SYN0003578</x:v>
      </x:c>
      <x:c r="B3579" s="12" t="n">
        <x:v>41515</x:v>
      </x:c>
      <x:c r="C3579" s="18" t="n">
        <x:v>10407</x:v>
      </x:c>
      <x:c r="D3579" s="18" t="n">
        <x:v>114082</x:v>
      </x:c>
      <x:c r="E3579" s="18" t="n">
        <x:v>14.98</x:v>
      </x:c>
      <x:c r="F3579" s="18" t="n">
        <x:v>14.87</x:v>
      </x:c>
      <x:c r="G3579" t="n">
        <x:v>36</x:v>
      </x:c>
      <x:c r="H3579" t="str">
        <x:v>D</x:v>
      </x:c>
      <x:c r="I3579" t="str">
        <x:v>10+ years</x:v>
      </x:c>
      <x:c r="J3579" t="str">
        <x:v>RENT</x:v>
      </x:c>
      <x:c r="K3579" t="str">
        <x:v>debt_consolidation</x:v>
      </x:c>
      <x:c r="L3579" t="n">
        <x:v>0</x:v>
      </x:c>
      <x:c r="M3579" t="n">
        <x:v>0</x:v>
      </x:c>
      <x:c r="N3579" t="str">
        <x:v>Fully Paid</x:v>
      </x:c>
      <x:c r="O3579" t="str">
        <x:f>IF(D3579="","Unknown",IF(D3579&lt;25000,"&lt;$25k",IF(D3579&lt;50000,"$25k-$50k",IF(D3579&lt;75000,"$50k-$75k",IF(D3579&lt;100000,"$75k-$100k","$100k+")))))</x:f>
        <x:v>$100k+</x:v>
      </x:c>
      <x:c r="P3579" t="str">
        <x:f>IF(E3579="","Unknown",IF(E3579&lt;10,"&lt;10",IF(E3579&lt;20,"10-&lt;20",IF(E3579&lt;25,"20-&lt;25",IF(E3579&lt;35,"25-&lt;35","35+")))))</x:f>
        <x:v>10-&lt;20</x:v>
      </x:c>
    </x:row>
    <x:row r="3580">
      <x:c r="A3580" t="str">
        <x:v>SYN0003579</x:v>
      </x:c>
      <x:c r="B3580" s="12" t="n">
        <x:v>41395</x:v>
      </x:c>
      <x:c r="C3580" s="18" t="n">
        <x:v>9510</x:v>
      </x:c>
      <x:c r="D3580" s="18" t="n">
        <x:v>29074</x:v>
      </x:c>
      <x:c r="E3580" s="18" t="n">
        <x:v>19.07</x:v>
      </x:c>
      <x:c r="F3580" s="18" t="n">
        <x:v>26.24</x:v>
      </x:c>
      <x:c r="G3580" t="n">
        <x:v>60</x:v>
      </x:c>
      <x:c r="H3580" t="str">
        <x:v>G</x:v>
      </x:c>
      <x:c r="I3580" t="str">
        <x:v>4-6 years</x:v>
      </x:c>
      <x:c r="J3580" t="str">
        <x:v>OWN</x:v>
      </x:c>
      <x:c r="K3580" t="str">
        <x:v>other</x:v>
      </x:c>
      <x:c r="L3580" t="n">
        <x:v>0</x:v>
      </x:c>
      <x:c r="M3580" t="n">
        <x:v>0</x:v>
      </x:c>
      <x:c r="N3580" t="str">
        <x:v>Fully Paid</x:v>
      </x:c>
      <x:c r="O3580" t="str">
        <x:f>IF(D3580="","Unknown",IF(D3580&lt;25000,"&lt;$25k",IF(D3580&lt;50000,"$25k-$50k",IF(D3580&lt;75000,"$50k-$75k",IF(D3580&lt;100000,"$75k-$100k","$100k+")))))</x:f>
        <x:v>$25k-$50k</x:v>
      </x:c>
      <x:c r="P3580" t="str">
        <x:f>IF(E3580="","Unknown",IF(E3580&lt;10,"&lt;10",IF(E3580&lt;20,"10-&lt;20",IF(E3580&lt;25,"20-&lt;25",IF(E3580&lt;35,"25-&lt;35","35+")))))</x:f>
        <x:v>10-&lt;20</x:v>
      </x:c>
    </x:row>
    <x:row r="3581">
      <x:c r="A3581" t="str">
        <x:v>SYN0003580</x:v>
      </x:c>
      <x:c r="B3581" s="12" t="n">
        <x:v>42475</x:v>
      </x:c>
      <x:c r="C3581" s="18" t="n">
        <x:v>13132</x:v>
      </x:c>
      <x:c r="D3581" s="18" t="n">
        <x:v>39100</x:v>
      </x:c>
      <x:c r="E3581" s="18" t="n">
        <x:v>51.17</x:v>
      </x:c>
      <x:c r="F3581" s="18" t="n">
        <x:v>27.32</x:v>
      </x:c>
      <x:c r="G3581" t="n">
        <x:v>36</x:v>
      </x:c>
      <x:c r="H3581" t="str">
        <x:v>G</x:v>
      </x:c>
      <x:c r="I3581" t="str">
        <x:v>4-6 years</x:v>
      </x:c>
      <x:c r="J3581" t="str">
        <x:v>MORTGAGE</x:v>
      </x:c>
      <x:c r="K3581" t="str">
        <x:v>debt_consolidation</x:v>
      </x:c>
      <x:c r="L3581" t="n">
        <x:v>0</x:v>
      </x:c>
      <x:c r="M3581" t="n">
        <x:v>0</x:v>
      </x:c>
      <x:c r="N3581" t="str">
        <x:v>Fully Paid</x:v>
      </x:c>
      <x:c r="O3581" t="str">
        <x:f>IF(D3581="","Unknown",IF(D3581&lt;25000,"&lt;$25k",IF(D3581&lt;50000,"$25k-$50k",IF(D3581&lt;75000,"$50k-$75k",IF(D3581&lt;100000,"$75k-$100k","$100k+")))))</x:f>
        <x:v>$25k-$50k</x:v>
      </x:c>
      <x:c r="P3581" t="str">
        <x:f>IF(E3581="","Unknown",IF(E3581&lt;10,"&lt;10",IF(E3581&lt;20,"10-&lt;20",IF(E3581&lt;25,"20-&lt;25",IF(E3581&lt;35,"25-&lt;35","35+")))))</x:f>
        <x:v>35+</x:v>
      </x:c>
    </x:row>
    <x:row r="3582">
      <x:c r="A3582" t="str">
        <x:v>SYN0003581</x:v>
      </x:c>
      <x:c r="B3582" s="12" t="n">
        <x:v>41545</x:v>
      </x:c>
      <x:c r="C3582" s="18" t="n">
        <x:v>5672</x:v>
      </x:c>
      <x:c r="D3582" s="18" t="n">
        <x:v>22025</x:v>
      </x:c>
      <x:c r="E3582" s="18" t="n">
        <x:v>26.12</x:v>
      </x:c>
      <x:c r="F3582" s="18" t="n">
        <x:v>10.02</x:v>
      </x:c>
      <x:c r="G3582" t="n">
        <x:v>36</x:v>
      </x:c>
      <x:c r="H3582" t="str">
        <x:v>B</x:v>
      </x:c>
      <x:c r="I3582" t="str">
        <x:v>4-6 years</x:v>
      </x:c>
      <x:c r="J3582" t="str">
        <x:v>RENT</x:v>
      </x:c>
      <x:c r="K3582" t="str">
        <x:v>debt_consolidation</x:v>
      </x:c>
      <x:c r="L3582" t="n">
        <x:v>0</x:v>
      </x:c>
      <x:c r="M3582" t="n">
        <x:v>0</x:v>
      </x:c>
      <x:c r="N3582" t="str">
        <x:v>Fully Paid</x:v>
      </x:c>
      <x:c r="O3582" t="str">
        <x:f>IF(D3582="","Unknown",IF(D3582&lt;25000,"&lt;$25k",IF(D3582&lt;50000,"$25k-$50k",IF(D3582&lt;75000,"$50k-$75k",IF(D3582&lt;100000,"$75k-$100k","$100k+")))))</x:f>
        <x:v>&lt;$25k</x:v>
      </x:c>
      <x:c r="P3582" t="str">
        <x:f>IF(E3582="","Unknown",IF(E3582&lt;10,"&lt;10",IF(E3582&lt;20,"10-&lt;20",IF(E3582&lt;25,"20-&lt;25",IF(E3582&lt;35,"25-&lt;35","35+")))))</x:f>
        <x:v>25-&lt;35</x:v>
      </x:c>
    </x:row>
    <x:row r="3583">
      <x:c r="A3583" t="str">
        <x:v>SYN0003582</x:v>
      </x:c>
      <x:c r="B3583" s="12" t="n">
        <x:v>42295</x:v>
      </x:c>
      <x:c r="C3583" s="18" t="n">
        <x:v>13686</x:v>
      </x:c>
      <x:c r="D3583" s="18" t="n">
        <x:v>62032</x:v>
      </x:c>
      <x:c r="E3583" s="18" t="n">
        <x:v>22.51</x:v>
      </x:c>
      <x:c r="F3583" s="18" t="n">
        <x:v>12.92</x:v>
      </x:c>
      <x:c r="G3583" t="n">
        <x:v>36</x:v>
      </x:c>
      <x:c r="H3583" t="str">
        <x:v>D</x:v>
      </x:c>
      <x:c r="I3583" t="str">
        <x:v>1-3 years</x:v>
      </x:c>
      <x:c r="J3583" t="str">
        <x:v>MORTGAGE</x:v>
      </x:c>
      <x:c r="K3583" t="str">
        <x:v>home_improvement</x:v>
      </x:c>
      <x:c r="L3583" t="n">
        <x:v>0</x:v>
      </x:c>
      <x:c r="M3583" t="n">
        <x:v>0</x:v>
      </x:c>
      <x:c r="N3583" t="str">
        <x:v>Fully Paid</x:v>
      </x:c>
      <x:c r="O3583" t="str">
        <x:f>IF(D3583="","Unknown",IF(D3583&lt;25000,"&lt;$25k",IF(D3583&lt;50000,"$25k-$50k",IF(D3583&lt;75000,"$50k-$75k",IF(D3583&lt;100000,"$75k-$100k","$100k+")))))</x:f>
        <x:v>$50k-$75k</x:v>
      </x:c>
      <x:c r="P3583" t="str">
        <x:f>IF(E3583="","Unknown",IF(E3583&lt;10,"&lt;10",IF(E3583&lt;20,"10-&lt;20",IF(E3583&lt;25,"20-&lt;25",IF(E3583&lt;35,"25-&lt;35","35+")))))</x:f>
        <x:v>20-&lt;25</x:v>
      </x:c>
    </x:row>
    <x:row r="3584">
      <x:c r="A3584" t="str">
        <x:v>SYN0003583</x:v>
      </x:c>
      <x:c r="B3584" s="12" t="n">
        <x:v>42415</x:v>
      </x:c>
      <x:c r="C3584" s="18" t="n">
        <x:v>29516</x:v>
      </x:c>
      <x:c r="D3584" s="18" t="n">
        <x:v>40237</x:v>
      </x:c>
      <x:c r="E3584" s="18" t="n">
        <x:v>19.28</x:v>
      </x:c>
      <x:c r="F3584" s="18" t="n">
        <x:v>15.88</x:v>
      </x:c>
      <x:c r="G3584" t="n">
        <x:v>36</x:v>
      </x:c>
      <x:c r="H3584" t="str">
        <x:v>D</x:v>
      </x:c>
      <x:c r="I3584" t="str">
        <x:v>10+ years</x:v>
      </x:c>
      <x:c r="J3584" t="str">
        <x:v>OTHER</x:v>
      </x:c>
      <x:c r="K3584" t="str">
        <x:v>other</x:v>
      </x:c>
      <x:c r="L3584" t="n">
        <x:v>0</x:v>
      </x:c>
      <x:c r="M3584" t="n">
        <x:v>0</x:v>
      </x:c>
      <x:c r="N3584" t="str">
        <x:v>Fully Paid</x:v>
      </x:c>
      <x:c r="O3584" t="str">
        <x:f>IF(D3584="","Unknown",IF(D3584&lt;25000,"&lt;$25k",IF(D3584&lt;50000,"$25k-$50k",IF(D3584&lt;75000,"$50k-$75k",IF(D3584&lt;100000,"$75k-$100k","$100k+")))))</x:f>
        <x:v>$25k-$50k</x:v>
      </x:c>
      <x:c r="P3584" t="str">
        <x:f>IF(E3584="","Unknown",IF(E3584&lt;10,"&lt;10",IF(E3584&lt;20,"10-&lt;20",IF(E3584&lt;25,"20-&lt;25",IF(E3584&lt;35,"25-&lt;35","35+")))))</x:f>
        <x:v>10-&lt;20</x:v>
      </x:c>
    </x:row>
    <x:row r="3585">
      <x:c r="A3585" t="str">
        <x:v>SYN0003584</x:v>
      </x:c>
      <x:c r="B3585" s="12" t="n">
        <x:v>41905</x:v>
      </x:c>
      <x:c r="C3585" s="18" t="n">
        <x:v>11705</x:v>
      </x:c>
      <x:c r="D3585" s="18" t="n">
        <x:v>68583</x:v>
      </x:c>
      <x:c r="E3585" s="18" t="n">
        <x:v>15.89</x:v>
      </x:c>
      <x:c r="F3585" s="18" t="n">
        <x:v>15.69</x:v>
      </x:c>
      <x:c r="G3585" t="n">
        <x:v>36</x:v>
      </x:c>
      <x:c r="H3585" t="str">
        <x:v>D</x:v>
      </x:c>
      <x:c r="I3585" t="str">
        <x:v>7-9 years</x:v>
      </x:c>
      <x:c r="J3585" t="str">
        <x:v>RENT</x:v>
      </x:c>
      <x:c r="K3585" t="str">
        <x:v>credit_card</x:v>
      </x:c>
      <x:c r="L3585" t="n">
        <x:v>1</x:v>
      </x:c>
      <x:c r="M3585" t="n">
        <x:v>0</x:v>
      </x:c>
      <x:c r="N3585" t="str">
        <x:v>Fully Paid</x:v>
      </x:c>
      <x:c r="O3585" t="str">
        <x:f>IF(D3585="","Unknown",IF(D3585&lt;25000,"&lt;$25k",IF(D3585&lt;50000,"$25k-$50k",IF(D3585&lt;75000,"$50k-$75k",IF(D3585&lt;100000,"$75k-$100k","$100k+")))))</x:f>
        <x:v>$50k-$75k</x:v>
      </x:c>
      <x:c r="P3585" t="str">
        <x:f>IF(E3585="","Unknown",IF(E3585&lt;10,"&lt;10",IF(E3585&lt;20,"10-&lt;20",IF(E3585&lt;25,"20-&lt;25",IF(E3585&lt;35,"25-&lt;35","35+")))))</x:f>
        <x:v>10-&lt;20</x:v>
      </x:c>
    </x:row>
    <x:row r="3586">
      <x:c r="A3586" t="str">
        <x:v>SYN0003585</x:v>
      </x:c>
      <x:c r="B3586" s="12" t="n">
        <x:v>42505</x:v>
      </x:c>
      <x:c r="C3586" s="18" t="n">
        <x:v>15331</x:v>
      </x:c>
      <x:c r="D3586" s="18" t="n">
        <x:v>49221</x:v>
      </x:c>
      <x:c r="E3586" s="18" t="n">
        <x:v>15.97</x:v>
      </x:c>
      <x:c r="F3586" s="18" t="n">
        <x:v>9.71</x:v>
      </x:c>
      <x:c r="G3586" t="n">
        <x:v>36</x:v>
      </x:c>
      <x:c r="H3586" t="str">
        <x:v>C</x:v>
      </x:c>
      <x:c r="I3586" t="str">
        <x:v>1-3 years</x:v>
      </x:c>
      <x:c r="J3586" t="str">
        <x:v>MORTGAGE</x:v>
      </x:c>
      <x:c r="K3586" t="str">
        <x:v>other</x:v>
      </x:c>
      <x:c r="L3586" t="n">
        <x:v>1</x:v>
      </x:c>
      <x:c r="M3586" t="n">
        <x:v>1</x:v>
      </x:c>
      <x:c r="N3586" t="str">
        <x:v>Charged Off</x:v>
      </x:c>
      <x:c r="O3586" t="str">
        <x:f>IF(D3586="","Unknown",IF(D3586&lt;25000,"&lt;$25k",IF(D3586&lt;50000,"$25k-$50k",IF(D3586&lt;75000,"$50k-$75k",IF(D3586&lt;100000,"$75k-$100k","$100k+")))))</x:f>
        <x:v>$25k-$50k</x:v>
      </x:c>
      <x:c r="P3586" t="str">
        <x:f>IF(E3586="","Unknown",IF(E3586&lt;10,"&lt;10",IF(E3586&lt;20,"10-&lt;20",IF(E3586&lt;25,"20-&lt;25",IF(E3586&lt;35,"25-&lt;35","35+")))))</x:f>
        <x:v>10-&lt;20</x:v>
      </x:c>
    </x:row>
    <x:row r="3587">
      <x:c r="A3587" t="str">
        <x:v>SYN0003586</x:v>
      </x:c>
      <x:c r="B3587" s="12" t="n">
        <x:v>42985</x:v>
      </x:c>
      <x:c r="C3587" s="18" t="n">
        <x:v>12321</x:v>
      </x:c>
      <x:c r="D3587" s="18" t="n">
        <x:v>52026</x:v>
      </x:c>
      <x:c r="E3587" s="18" t="n">
        <x:v>2.03</x:v>
      </x:c>
      <x:c r="F3587" s="18" t="n">
        <x:v>6.03</x:v>
      </x:c>
      <x:c r="G3587" t="n">
        <x:v>36</x:v>
      </x:c>
      <x:c r="H3587" t="str">
        <x:v>A</x:v>
      </x:c>
      <x:c r="I3587" t="str">
        <x:v>&lt;1 year</x:v>
      </x:c>
      <x:c r="J3587" t="str">
        <x:v>OWN</x:v>
      </x:c>
      <x:c r="K3587" t="str">
        <x:v>debt_consolidation</x:v>
      </x:c>
      <x:c r="L3587" t="n">
        <x:v>0</x:v>
      </x:c>
      <x:c r="M3587" t="n">
        <x:v>0</x:v>
      </x:c>
      <x:c r="N3587" t="str">
        <x:v>Fully Paid</x:v>
      </x:c>
      <x:c r="O3587" t="str">
        <x:f>IF(D3587="","Unknown",IF(D3587&lt;25000,"&lt;$25k",IF(D3587&lt;50000,"$25k-$50k",IF(D3587&lt;75000,"$50k-$75k",IF(D3587&lt;100000,"$75k-$100k","$100k+")))))</x:f>
        <x:v>$50k-$75k</x:v>
      </x:c>
      <x:c r="P3587" t="str">
        <x:f>IF(E3587="","Unknown",IF(E3587&lt;10,"&lt;10",IF(E3587&lt;20,"10-&lt;20",IF(E3587&lt;25,"20-&lt;25",IF(E3587&lt;35,"25-&lt;35","35+")))))</x:f>
        <x:v>&lt;10</x:v>
      </x:c>
    </x:row>
    <x:row r="3588">
      <x:c r="A3588" t="str">
        <x:v>SYN0003587</x:v>
      </x:c>
      <x:c r="B3588" s="12" t="n">
        <x:v>42865</x:v>
      </x:c>
      <x:c r="C3588" s="18" t="n">
        <x:v>7179</x:v>
      </x:c>
      <x:c r="D3588" s="18" t="n">
        <x:v>18088</x:v>
      </x:c>
      <x:c r="E3588" s="18" t="n">
        <x:v>30.22</x:v>
      </x:c>
      <x:c r="F3588" s="18" t="n">
        <x:v>6.41</x:v>
      </x:c>
      <x:c r="G3588" t="n">
        <x:v>36</x:v>
      </x:c>
      <x:c r="H3588" t="str">
        <x:v>A</x:v>
      </x:c>
      <x:c r="I3588" t="str">
        <x:v>1-3 years</x:v>
      </x:c>
      <x:c r="J3588" t="str">
        <x:v>RENT</x:v>
      </x:c>
      <x:c r="K3588" t="str">
        <x:v>debt_consolidation</x:v>
      </x:c>
      <x:c r="L3588" t="n">
        <x:v>0</x:v>
      </x:c>
      <x:c r="M3588" t="n">
        <x:v>0</x:v>
      </x:c>
      <x:c r="N3588" t="str">
        <x:v>Fully Paid</x:v>
      </x:c>
      <x:c r="O3588" t="str">
        <x:f>IF(D3588="","Unknown",IF(D3588&lt;25000,"&lt;$25k",IF(D3588&lt;50000,"$25k-$50k",IF(D3588&lt;75000,"$50k-$75k",IF(D3588&lt;100000,"$75k-$100k","$100k+")))))</x:f>
        <x:v>&lt;$25k</x:v>
      </x:c>
      <x:c r="P3588" t="str">
        <x:f>IF(E3588="","Unknown",IF(E3588&lt;10,"&lt;10",IF(E3588&lt;20,"10-&lt;20",IF(E3588&lt;25,"20-&lt;25",IF(E3588&lt;35,"25-&lt;35","35+")))))</x:f>
        <x:v>25-&lt;35</x:v>
      </x:c>
    </x:row>
    <x:row r="3589">
      <x:c r="A3589" t="str">
        <x:v>SYN0003588</x:v>
      </x:c>
      <x:c r="B3589" s="12" t="n">
        <x:v>43045</x:v>
      </x:c>
      <x:c r="C3589" s="18" t="n">
        <x:v>11873</x:v>
      </x:c>
      <x:c r="D3589" s="18" t="n">
        <x:v>35430</x:v>
      </x:c>
      <x:c r="E3589" s="18" t="n">
        <x:v>21.97</x:v>
      </x:c>
      <x:c r="F3589" s="18" t="n">
        <x:v>5</x:v>
      </x:c>
      <x:c r="G3589" t="n">
        <x:v>60</x:v>
      </x:c>
      <x:c r="H3589" t="str">
        <x:v>A</x:v>
      </x:c>
      <x:c r="I3589" t="str">
        <x:v>7-9 years</x:v>
      </x:c>
      <x:c r="J3589" t="str">
        <x:v>OWN</x:v>
      </x:c>
      <x:c r="K3589" t="str">
        <x:v>debt_consolidation</x:v>
      </x:c>
      <x:c r="L3589" t="n">
        <x:v>0</x:v>
      </x:c>
      <x:c r="M3589" t="n">
        <x:v>0</x:v>
      </x:c>
      <x:c r="N3589" t="str">
        <x:v>Fully Paid</x:v>
      </x:c>
      <x:c r="O3589" t="str">
        <x:f>IF(D3589="","Unknown",IF(D3589&lt;25000,"&lt;$25k",IF(D3589&lt;50000,"$25k-$50k",IF(D3589&lt;75000,"$50k-$75k",IF(D3589&lt;100000,"$75k-$100k","$100k+")))))</x:f>
        <x:v>$25k-$50k</x:v>
      </x:c>
      <x:c r="P3589" t="str">
        <x:f>IF(E3589="","Unknown",IF(E3589&lt;10,"&lt;10",IF(E3589&lt;20,"10-&lt;20",IF(E3589&lt;25,"20-&lt;25",IF(E3589&lt;35,"25-&lt;35","35+")))))</x:f>
        <x:v>20-&lt;25</x:v>
      </x:c>
    </x:row>
    <x:row r="3590">
      <x:c r="A3590" t="str">
        <x:v>SYN0003589</x:v>
      </x:c>
      <x:c r="B3590" s="12" t="n">
        <x:v>41275</x:v>
      </x:c>
      <x:c r="C3590" s="18" t="n">
        <x:v>11889</x:v>
      </x:c>
      <x:c r="D3590" s="18" t="n">
        <x:v>72403</x:v>
      </x:c>
      <x:c r="E3590" s="18" t="n">
        <x:v>13.94</x:v>
      </x:c>
      <x:c r="F3590" s="18" t="n">
        <x:v>18.64</x:v>
      </x:c>
      <x:c r="G3590" t="n">
        <x:v>36</x:v>
      </x:c>
      <x:c r="H3590" t="str">
        <x:v>E</x:v>
      </x:c>
      <x:c r="I3590" t="str">
        <x:v>7-9 years</x:v>
      </x:c>
      <x:c r="J3590" t="str">
        <x:v>RENT</x:v>
      </x:c>
      <x:c r="K3590" t="str">
        <x:v>credit_card</x:v>
      </x:c>
      <x:c r="L3590" t="n">
        <x:v>0</x:v>
      </x:c>
      <x:c r="M3590" t="n">
        <x:v>0</x:v>
      </x:c>
      <x:c r="N3590" t="str">
        <x:v>Fully Paid</x:v>
      </x:c>
      <x:c r="O3590" t="str">
        <x:f>IF(D3590="","Unknown",IF(D3590&lt;25000,"&lt;$25k",IF(D3590&lt;50000,"$25k-$50k",IF(D3590&lt;75000,"$50k-$75k",IF(D3590&lt;100000,"$75k-$100k","$100k+")))))</x:f>
        <x:v>$50k-$75k</x:v>
      </x:c>
      <x:c r="P3590" t="str">
        <x:f>IF(E3590="","Unknown",IF(E3590&lt;10,"&lt;10",IF(E3590&lt;20,"10-&lt;20",IF(E3590&lt;25,"20-&lt;25",IF(E3590&lt;35,"25-&lt;35","35+")))))</x:f>
        <x:v>10-&lt;20</x:v>
      </x:c>
    </x:row>
    <x:row r="3591">
      <x:c r="A3591" t="str">
        <x:v>SYN0003590</x:v>
      </x:c>
      <x:c r="B3591" s="12" t="n">
        <x:v>41755</x:v>
      </x:c>
      <x:c r="C3591" s="18" t="n">
        <x:v>8555</x:v>
      </x:c>
      <x:c r="D3591" s="18" t="n">
        <x:v>25051</x:v>
      </x:c>
      <x:c r="E3591" s="18" t="n">
        <x:v>27.65</x:v>
      </x:c>
      <x:c r="F3591" s="18" t="n">
        <x:v>18.3</x:v>
      </x:c>
      <x:c r="G3591" t="n">
        <x:v>36</x:v>
      </x:c>
      <x:c r="H3591" t="str">
        <x:v>E</x:v>
      </x:c>
      <x:c r="I3591" t="str">
        <x:v>4-6 years</x:v>
      </x:c>
      <x:c r="J3591" t="str">
        <x:v>RENT</x:v>
      </x:c>
      <x:c r="K3591" t="str">
        <x:v>debt_consolidation</x:v>
      </x:c>
      <x:c r="L3591" t="n">
        <x:v>0</x:v>
      </x:c>
      <x:c r="M3591" t="n">
        <x:v>1</x:v>
      </x:c>
      <x:c r="N3591" t="str">
        <x:v>Charged Off</x:v>
      </x:c>
      <x:c r="O3591" t="str">
        <x:f>IF(D3591="","Unknown",IF(D3591&lt;25000,"&lt;$25k",IF(D3591&lt;50000,"$25k-$50k",IF(D3591&lt;75000,"$50k-$75k",IF(D3591&lt;100000,"$75k-$100k","$100k+")))))</x:f>
        <x:v>$25k-$50k</x:v>
      </x:c>
      <x:c r="P3591" t="str">
        <x:f>IF(E3591="","Unknown",IF(E3591&lt;10,"&lt;10",IF(E3591&lt;20,"10-&lt;20",IF(E3591&lt;25,"20-&lt;25",IF(E3591&lt;35,"25-&lt;35","35+")))))</x:f>
        <x:v>25-&lt;35</x:v>
      </x:c>
    </x:row>
    <x:row r="3592">
      <x:c r="A3592" t="str">
        <x:v>SYN0003591</x:v>
      </x:c>
      <x:c r="B3592" s="12" t="n">
        <x:v>42715</x:v>
      </x:c>
      <x:c r="C3592" s="18" t="n">
        <x:v>8517</x:v>
      </x:c>
      <x:c r="D3592" s="18" t="n">
        <x:v>44932</x:v>
      </x:c>
      <x:c r="E3592" s="18" t="n">
        <x:v>29.33</x:v>
      </x:c>
      <x:c r="F3592" s="18" t="n">
        <x:v>25.02</x:v>
      </x:c>
      <x:c r="G3592" t="n">
        <x:v>36</x:v>
      </x:c>
      <x:c r="H3592" t="str">
        <x:v>G</x:v>
      </x:c>
      <x:c r="I3592" t="str">
        <x:v>4-6 years</x:v>
      </x:c>
      <x:c r="J3592" t="str">
        <x:v>MORTGAGE</x:v>
      </x:c>
      <x:c r="K3592" t="str">
        <x:v>credit_card</x:v>
      </x:c>
      <x:c r="L3592" t="n">
        <x:v>2</x:v>
      </x:c>
      <x:c r="M3592" t="n">
        <x:v>1</x:v>
      </x:c>
      <x:c r="N3592" t="str">
        <x:v>Charged Off</x:v>
      </x:c>
      <x:c r="O3592" t="str">
        <x:f>IF(D3592="","Unknown",IF(D3592&lt;25000,"&lt;$25k",IF(D3592&lt;50000,"$25k-$50k",IF(D3592&lt;75000,"$50k-$75k",IF(D3592&lt;100000,"$75k-$100k","$100k+")))))</x:f>
        <x:v>$25k-$50k</x:v>
      </x:c>
      <x:c r="P3592" t="str">
        <x:f>IF(E3592="","Unknown",IF(E3592&lt;10,"&lt;10",IF(E3592&lt;20,"10-&lt;20",IF(E3592&lt;25,"20-&lt;25",IF(E3592&lt;35,"25-&lt;35","35+")))))</x:f>
        <x:v>25-&lt;35</x:v>
      </x:c>
    </x:row>
    <x:row r="3593">
      <x:c r="A3593" t="str">
        <x:v>SYN0003592</x:v>
      </x:c>
      <x:c r="B3593" s="12" t="n">
        <x:v>42265</x:v>
      </x:c>
      <x:c r="C3593" s="18" t="n">
        <x:v>7140</x:v>
      </x:c>
      <x:c r="D3593" s="18" t="n">
        <x:v>33118</x:v>
      </x:c>
      <x:c r="E3593" s="18" t="n">
        <x:v>7.81</x:v>
      </x:c>
      <x:c r="F3593" s="18" t="n">
        <x:v>9.01</x:v>
      </x:c>
      <x:c r="G3593" t="n">
        <x:v>60</x:v>
      </x:c>
      <x:c r="H3593" t="str">
        <x:v>B</x:v>
      </x:c>
      <x:c r="I3593" t="str">
        <x:v>1-3 years</x:v>
      </x:c>
      <x:c r="J3593" t="str">
        <x:v>MORTGAGE</x:v>
      </x:c>
      <x:c r="K3593" t="str">
        <x:v>debt_consolidation</x:v>
      </x:c>
      <x:c r="L3593" t="n">
        <x:v>0</x:v>
      </x:c>
      <x:c r="M3593" t="n">
        <x:v>0</x:v>
      </x:c>
      <x:c r="N3593" t="str">
        <x:v>Fully Paid</x:v>
      </x:c>
      <x:c r="O3593" t="str">
        <x:f>IF(D3593="","Unknown",IF(D3593&lt;25000,"&lt;$25k",IF(D3593&lt;50000,"$25k-$50k",IF(D3593&lt;75000,"$50k-$75k",IF(D3593&lt;100000,"$75k-$100k","$100k+")))))</x:f>
        <x:v>$25k-$50k</x:v>
      </x:c>
      <x:c r="P3593" t="str">
        <x:f>IF(E3593="","Unknown",IF(E3593&lt;10,"&lt;10",IF(E3593&lt;20,"10-&lt;20",IF(E3593&lt;25,"20-&lt;25",IF(E3593&lt;35,"25-&lt;35","35+")))))</x:f>
        <x:v>&lt;10</x:v>
      </x:c>
    </x:row>
    <x:row r="3594">
      <x:c r="A3594" t="str">
        <x:v>SYN0003593</x:v>
      </x:c>
      <x:c r="B3594" s="12" t="n">
        <x:v>41635</x:v>
      </x:c>
      <x:c r="C3594" s="18" t="n">
        <x:v>40000</x:v>
      </x:c>
      <x:c r="D3594" s="18" t="n">
        <x:v>51351</x:v>
      </x:c>
      <x:c r="E3594" s="18" t="n">
        <x:v>15.93</x:v>
      </x:c>
      <x:c r="F3594" s="18" t="n">
        <x:v>9.27</x:v>
      </x:c>
      <x:c r="G3594" t="n">
        <x:v>36</x:v>
      </x:c>
      <x:c r="H3594" t="str">
        <x:v>B</x:v>
      </x:c>
      <x:c r="I3594" t="str">
        <x:v>1-3 years</x:v>
      </x:c>
      <x:c r="J3594" t="str">
        <x:v>RENT</x:v>
      </x:c>
      <x:c r="K3594" t="str">
        <x:v>debt_consolidation</x:v>
      </x:c>
      <x:c r="L3594" t="n">
        <x:v>0</x:v>
      </x:c>
      <x:c r="M3594" t="n">
        <x:v>0</x:v>
      </x:c>
      <x:c r="N3594" t="str">
        <x:v>Fully Paid</x:v>
      </x:c>
      <x:c r="O3594" t="str">
        <x:f>IF(D3594="","Unknown",IF(D3594&lt;25000,"&lt;$25k",IF(D3594&lt;50000,"$25k-$50k",IF(D3594&lt;75000,"$50k-$75k",IF(D3594&lt;100000,"$75k-$100k","$100k+")))))</x:f>
        <x:v>$50k-$75k</x:v>
      </x:c>
      <x:c r="P3594" t="str">
        <x:f>IF(E3594="","Unknown",IF(E3594&lt;10,"&lt;10",IF(E3594&lt;20,"10-&lt;20",IF(E3594&lt;25,"20-&lt;25",IF(E3594&lt;35,"25-&lt;35","35+")))))</x:f>
        <x:v>10-&lt;20</x:v>
      </x:c>
    </x:row>
    <x:row r="3595">
      <x:c r="A3595" t="str">
        <x:v>SYN0003594</x:v>
      </x:c>
      <x:c r="B3595" s="12" t="n">
        <x:v>41905</x:v>
      </x:c>
      <x:c r="C3595" s="18" t="n">
        <x:v>10604</x:v>
      </x:c>
      <x:c r="D3595" s="18" t="n">
        <x:v>129843</x:v>
      </x:c>
      <x:c r="E3595" s="18" t="n">
        <x:v>23.96</x:v>
      </x:c>
      <x:c r="F3595" s="18" t="n">
        <x:v>11.59</x:v>
      </x:c>
      <x:c r="G3595" t="n">
        <x:v>60</x:v>
      </x:c>
      <x:c r="H3595" t="str">
        <x:v>C</x:v>
      </x:c>
      <x:c r="I3595" t="str">
        <x:v>10+ years</x:v>
      </x:c>
      <x:c r="J3595" t="str">
        <x:v>MORTGAGE</x:v>
      </x:c>
      <x:c r="K3595" t="str">
        <x:v>debt_consolidation</x:v>
      </x:c>
      <x:c r="L3595" t="n">
        <x:v>0</x:v>
      </x:c>
      <x:c r="M3595" t="n">
        <x:v>0</x:v>
      </x:c>
      <x:c r="N3595" t="str">
        <x:v>Fully Paid</x:v>
      </x:c>
      <x:c r="O3595" t="str">
        <x:f>IF(D3595="","Unknown",IF(D3595&lt;25000,"&lt;$25k",IF(D3595&lt;50000,"$25k-$50k",IF(D3595&lt;75000,"$50k-$75k",IF(D3595&lt;100000,"$75k-$100k","$100k+")))))</x:f>
        <x:v>$100k+</x:v>
      </x:c>
      <x:c r="P3595" t="str">
        <x:f>IF(E3595="","Unknown",IF(E3595&lt;10,"&lt;10",IF(E3595&lt;20,"10-&lt;20",IF(E3595&lt;25,"20-&lt;25",IF(E3595&lt;35,"25-&lt;35","35+")))))</x:f>
        <x:v>20-&lt;25</x:v>
      </x:c>
    </x:row>
    <x:row r="3596">
      <x:c r="A3596" t="str">
        <x:v>SYN0003595</x:v>
      </x:c>
      <x:c r="B3596" s="12" t="n">
        <x:v>42475</x:v>
      </x:c>
      <x:c r="C3596" s="18" t="n">
        <x:v>8942</x:v>
      </x:c>
      <x:c r="D3596" s="18" t="n">
        <x:v>35573</x:v>
      </x:c>
      <x:c r="E3596" s="18" t="n">
        <x:v>26.14</x:v>
      </x:c>
      <x:c r="F3596" s="18" t="n">
        <x:v>8.09</x:v>
      </x:c>
      <x:c r="G3596" t="n">
        <x:v>36</x:v>
      </x:c>
      <x:c r="H3596" t="str">
        <x:v>A</x:v>
      </x:c>
      <x:c r="I3596" t="str">
        <x:v>10+ years</x:v>
      </x:c>
      <x:c r="J3596" t="str">
        <x:v>RENT</x:v>
      </x:c>
      <x:c r="K3596" t="str">
        <x:v>debt_consolidation</x:v>
      </x:c>
      <x:c r="L3596" t="n">
        <x:v>0</x:v>
      </x:c>
      <x:c r="M3596" t="n">
        <x:v>0</x:v>
      </x:c>
      <x:c r="N3596" t="str">
        <x:v>Fully Paid</x:v>
      </x:c>
      <x:c r="O3596" t="str">
        <x:f>IF(D3596="","Unknown",IF(D3596&lt;25000,"&lt;$25k",IF(D3596&lt;50000,"$25k-$50k",IF(D3596&lt;75000,"$50k-$75k",IF(D3596&lt;100000,"$75k-$100k","$100k+")))))</x:f>
        <x:v>$25k-$50k</x:v>
      </x:c>
      <x:c r="P3596" t="str">
        <x:f>IF(E3596="","Unknown",IF(E3596&lt;10,"&lt;10",IF(E3596&lt;20,"10-&lt;20",IF(E3596&lt;25,"20-&lt;25",IF(E3596&lt;35,"25-&lt;35","35+")))))</x:f>
        <x:v>25-&lt;35</x:v>
      </x:c>
    </x:row>
    <x:row r="3597">
      <x:c r="A3597" t="str">
        <x:v>SYN0003596</x:v>
      </x:c>
      <x:c r="B3597" s="12" t="n">
        <x:v>41575</x:v>
      </x:c>
      <x:c r="C3597" s="18" t="n">
        <x:v>8905</x:v>
      </x:c>
      <x:c r="D3597" s="18" t="n">
        <x:v>38161</x:v>
      </x:c>
      <x:c r="E3597" s="18" t="n">
        <x:v>25.9</x:v>
      </x:c>
      <x:c r="F3597" s="18" t="n">
        <x:v>8.7</x:v>
      </x:c>
      <x:c r="G3597" t="n">
        <x:v>60</x:v>
      </x:c>
      <x:c r="H3597" t="str">
        <x:v>B</x:v>
      </x:c>
      <x:c r="I3597" t="str">
        <x:v>4-6 years</x:v>
      </x:c>
      <x:c r="J3597" t="str">
        <x:v>MORTGAGE</x:v>
      </x:c>
      <x:c r="K3597" t="str">
        <x:v>debt_consolidation</x:v>
      </x:c>
      <x:c r="L3597" t="n">
        <x:v>0</x:v>
      </x:c>
      <x:c r="M3597" t="n">
        <x:v>0</x:v>
      </x:c>
      <x:c r="N3597" t="str">
        <x:v>Fully Paid</x:v>
      </x:c>
      <x:c r="O3597" t="str">
        <x:f>IF(D3597="","Unknown",IF(D3597&lt;25000,"&lt;$25k",IF(D3597&lt;50000,"$25k-$50k",IF(D3597&lt;75000,"$50k-$75k",IF(D3597&lt;100000,"$75k-$100k","$100k+")))))</x:f>
        <x:v>$25k-$50k</x:v>
      </x:c>
      <x:c r="P3597" t="str">
        <x:f>IF(E3597="","Unknown",IF(E3597&lt;10,"&lt;10",IF(E3597&lt;20,"10-&lt;20",IF(E3597&lt;25,"20-&lt;25",IF(E3597&lt;35,"25-&lt;35","35+")))))</x:f>
        <x:v>25-&lt;35</x:v>
      </x:c>
    </x:row>
    <x:row r="3598">
      <x:c r="A3598" t="str">
        <x:v>SYN0003597</x:v>
      </x:c>
      <x:c r="B3598" s="12" t="n">
        <x:v>42445</x:v>
      </x:c>
      <x:c r="C3598" s="18" t="n">
        <x:v>10730</x:v>
      </x:c>
      <x:c r="D3598" s="18" t="n">
        <x:v>148295</x:v>
      </x:c>
      <x:c r="E3598" s="18" t="n">
        <x:v>10.3</x:v>
      </x:c>
      <x:c r="F3598" s="18" t="n">
        <x:v>6.24</x:v>
      </x:c>
      <x:c r="G3598" t="n">
        <x:v>36</x:v>
      </x:c>
      <x:c r="H3598" t="str">
        <x:v>A</x:v>
      </x:c>
      <x:c r="I3598" t="str">
        <x:v>4-6 years</x:v>
      </x:c>
      <x:c r="J3598" t="str">
        <x:v>MORTGAGE</x:v>
      </x:c>
      <x:c r="K3598" t="str">
        <x:v>debt_consolidation</x:v>
      </x:c>
      <x:c r="L3598" t="n">
        <x:v>0</x:v>
      </x:c>
      <x:c r="M3598" t="n">
        <x:v>0</x:v>
      </x:c>
      <x:c r="N3598" t="str">
        <x:v>Fully Paid</x:v>
      </x:c>
      <x:c r="O3598" t="str">
        <x:f>IF(D3598="","Unknown",IF(D3598&lt;25000,"&lt;$25k",IF(D3598&lt;50000,"$25k-$50k",IF(D3598&lt;75000,"$50k-$75k",IF(D3598&lt;100000,"$75k-$100k","$100k+")))))</x:f>
        <x:v>$100k+</x:v>
      </x:c>
      <x:c r="P3598" t="str">
        <x:f>IF(E3598="","Unknown",IF(E3598&lt;10,"&lt;10",IF(E3598&lt;20,"10-&lt;20",IF(E3598&lt;25,"20-&lt;25",IF(E3598&lt;35,"25-&lt;35","35+")))))</x:f>
        <x:v>10-&lt;20</x:v>
      </x:c>
    </x:row>
    <x:row r="3599">
      <x:c r="A3599" t="str">
        <x:v>SYN0003598</x:v>
      </x:c>
      <x:c r="B3599" s="12" t="n">
        <x:v>42085</x:v>
      </x:c>
      <x:c r="C3599" s="18" t="n">
        <x:v>12248</x:v>
      </x:c>
      <x:c r="D3599" s="18" t="n">
        <x:v>77933</x:v>
      </x:c>
      <x:c r="E3599" s="18" t="n">
        <x:v>19.96</x:v>
      </x:c>
      <x:c r="F3599" s="18" t="n">
        <x:v>9.47</x:v>
      </x:c>
      <x:c r="G3599" t="n">
        <x:v>36</x:v>
      </x:c>
      <x:c r="H3599" t="str">
        <x:v>C</x:v>
      </x:c>
      <x:c r="I3599" t="str">
        <x:v>4-6 years</x:v>
      </x:c>
      <x:c r="J3599" t="str">
        <x:v>OWN</x:v>
      </x:c>
      <x:c r="K3599" t="str">
        <x:v>debt_consolidation</x:v>
      </x:c>
      <x:c r="L3599" t="n">
        <x:v>2</x:v>
      </x:c>
      <x:c r="M3599" t="n">
        <x:v>0</x:v>
      </x:c>
      <x:c r="N3599" t="str">
        <x:v>Fully Paid</x:v>
      </x:c>
      <x:c r="O3599" t="str">
        <x:f>IF(D3599="","Unknown",IF(D3599&lt;25000,"&lt;$25k",IF(D3599&lt;50000,"$25k-$50k",IF(D3599&lt;75000,"$50k-$75k",IF(D3599&lt;100000,"$75k-$100k","$100k+")))))</x:f>
        <x:v>$75k-$100k</x:v>
      </x:c>
      <x:c r="P3599" t="str">
        <x:f>IF(E3599="","Unknown",IF(E3599&lt;10,"&lt;10",IF(E3599&lt;20,"10-&lt;20",IF(E3599&lt;25,"20-&lt;25",IF(E3599&lt;35,"25-&lt;35","35+")))))</x:f>
        <x:v>10-&lt;20</x:v>
      </x:c>
    </x:row>
    <x:row r="3600">
      <x:c r="A3600" t="str">
        <x:v>SYN0003599</x:v>
      </x:c>
      <x:c r="B3600" s="12" t="n">
        <x:v>41815</x:v>
      </x:c>
      <x:c r="C3600" s="18" t="n">
        <x:v>12752</x:v>
      </x:c>
      <x:c r="D3600" s="18" t="n">
        <x:v>81988</x:v>
      </x:c>
      <x:c r="E3600" s="18" t="n">
        <x:v>12.35</x:v>
      </x:c>
      <x:c r="F3600" s="18" t="n">
        <x:v>19.22</x:v>
      </x:c>
      <x:c r="G3600" t="n">
        <x:v>60</x:v>
      </x:c>
      <x:c r="H3600" t="str">
        <x:v>E</x:v>
      </x:c>
      <x:c r="I3600" t="str">
        <x:v>7-9 years</x:v>
      </x:c>
      <x:c r="J3600" t="str">
        <x:v>MORTGAGE</x:v>
      </x:c>
      <x:c r="K3600" t="str">
        <x:v>home_improvement</x:v>
      </x:c>
      <x:c r="L3600" t="n">
        <x:v>1</x:v>
      </x:c>
      <x:c r="M3600" t="n">
        <x:v>0</x:v>
      </x:c>
      <x:c r="N3600" t="str">
        <x:v>Fully Paid</x:v>
      </x:c>
      <x:c r="O3600" t="str">
        <x:f>IF(D3600="","Unknown",IF(D3600&lt;25000,"&lt;$25k",IF(D3600&lt;50000,"$25k-$50k",IF(D3600&lt;75000,"$50k-$75k",IF(D3600&lt;100000,"$75k-$100k","$100k+")))))</x:f>
        <x:v>$75k-$100k</x:v>
      </x:c>
      <x:c r="P3600" t="str">
        <x:f>IF(E3600="","Unknown",IF(E3600&lt;10,"&lt;10",IF(E3600&lt;20,"10-&lt;20",IF(E3600&lt;25,"20-&lt;25",IF(E3600&lt;35,"25-&lt;35","35+")))))</x:f>
        <x:v>10-&lt;20</x:v>
      </x:c>
    </x:row>
    <x:row r="3601">
      <x:c r="A3601" t="str">
        <x:v>SYN0003600</x:v>
      </x:c>
      <x:c r="B3601" s="12" t="n">
        <x:v>42925</x:v>
      </x:c>
      <x:c r="C3601" s="18" t="n">
        <x:v>9057</x:v>
      </x:c>
      <x:c r="D3601" s="18" t="n">
        <x:v>47883</x:v>
      </x:c>
      <x:c r="E3601" s="18" t="n">
        <x:v>6.99</x:v>
      </x:c>
      <x:c r="F3601" s="18" t="n">
        <x:v>13.35</x:v>
      </x:c>
      <x:c r="G3601" t="n">
        <x:v>36</x:v>
      </x:c>
      <x:c r="H3601" t="str">
        <x:v>D</x:v>
      </x:c>
      <x:c r="I3601" t="str">
        <x:v>4-6 years</x:v>
      </x:c>
      <x:c r="J3601" t="str">
        <x:v>MORTGAGE</x:v>
      </x:c>
      <x:c r="K3601" t="str">
        <x:v>major_purchase</x:v>
      </x:c>
      <x:c r="L3601" t="n">
        <x:v>0</x:v>
      </x:c>
      <x:c r="M3601" t="n">
        <x:v>0</x:v>
      </x:c>
      <x:c r="N3601" t="str">
        <x:v>Fully Paid</x:v>
      </x:c>
      <x:c r="O3601" t="str">
        <x:f>IF(D3601="","Unknown",IF(D3601&lt;25000,"&lt;$25k",IF(D3601&lt;50000,"$25k-$50k",IF(D3601&lt;75000,"$50k-$75k",IF(D3601&lt;100000,"$75k-$100k","$100k+")))))</x:f>
        <x:v>$25k-$50k</x:v>
      </x:c>
      <x:c r="P3601" t="str">
        <x:f>IF(E3601="","Unknown",IF(E3601&lt;10,"&lt;10",IF(E3601&lt;20,"10-&lt;20",IF(E3601&lt;25,"20-&lt;25",IF(E3601&lt;35,"25-&lt;35","35+")))))</x:f>
        <x:v>&lt;10</x:v>
      </x:c>
    </x:row>
    <x:row r="3602">
      <x:c r="A3602" t="str">
        <x:v>SYN0003601</x:v>
      </x:c>
      <x:c r="B3602" s="12" t="n">
        <x:v>41815</x:v>
      </x:c>
      <x:c r="C3602" s="18" t="n">
        <x:v>9859</x:v>
      </x:c>
      <x:c r="D3602" s="18" t="n">
        <x:v>18277</x:v>
      </x:c>
      <x:c r="E3602" s="18" t="n">
        <x:v>18.43</x:v>
      </x:c>
      <x:c r="F3602" s="18" t="n">
        <x:v>7.62</x:v>
      </x:c>
      <x:c r="G3602" t="n">
        <x:v>60</x:v>
      </x:c>
      <x:c r="H3602" t="str">
        <x:v>A</x:v>
      </x:c>
      <x:c r="I3602" t="str">
        <x:v>4-6 years</x:v>
      </x:c>
      <x:c r="J3602" t="str">
        <x:v>RENT</x:v>
      </x:c>
      <x:c r="K3602" t="str">
        <x:v>home_improvement</x:v>
      </x:c>
      <x:c r="L3602" t="n">
        <x:v>0</x:v>
      </x:c>
      <x:c r="M3602" t="n">
        <x:v>0</x:v>
      </x:c>
      <x:c r="N3602" t="str">
        <x:v>Fully Paid</x:v>
      </x:c>
      <x:c r="O3602" t="str">
        <x:f>IF(D3602="","Unknown",IF(D3602&lt;25000,"&lt;$25k",IF(D3602&lt;50000,"$25k-$50k",IF(D3602&lt;75000,"$50k-$75k",IF(D3602&lt;100000,"$75k-$100k","$100k+")))))</x:f>
        <x:v>&lt;$25k</x:v>
      </x:c>
      <x:c r="P3602" t="str">
        <x:f>IF(E3602="","Unknown",IF(E3602&lt;10,"&lt;10",IF(E3602&lt;20,"10-&lt;20",IF(E3602&lt;25,"20-&lt;25",IF(E3602&lt;35,"25-&lt;35","35+")))))</x:f>
        <x:v>10-&lt;20</x:v>
      </x:c>
    </x:row>
    <x:row r="3603">
      <x:c r="A3603" t="str">
        <x:v>SYN0003602</x:v>
      </x:c>
      <x:c r="B3603" s="12" t="n">
        <x:v>43345</x:v>
      </x:c>
      <x:c r="C3603" s="18" t="n">
        <x:v>21158</x:v>
      </x:c>
      <x:c r="D3603" s="18" t="n">
        <x:v>37688</x:v>
      </x:c>
      <x:c r="E3603" s="18" t="n">
        <x:v>17.99</x:v>
      </x:c>
      <x:c r="F3603" s="18" t="n">
        <x:v>13.96</x:v>
      </x:c>
      <x:c r="G3603" t="n">
        <x:v>36</x:v>
      </x:c>
      <x:c r="H3603" t="str">
        <x:v>D</x:v>
      </x:c>
      <x:c r="I3603" t="str">
        <x:v>1-3 years</x:v>
      </x:c>
      <x:c r="J3603" t="str">
        <x:v>MORTGAGE</x:v>
      </x:c>
      <x:c r="K3603" t="str">
        <x:v>debt_consolidation</x:v>
      </x:c>
      <x:c r="L3603" t="n">
        <x:v>0</x:v>
      </x:c>
      <x:c r="M3603" t="n">
        <x:v>0</x:v>
      </x:c>
      <x:c r="N3603" t="str">
        <x:v>Fully Paid</x:v>
      </x:c>
      <x:c r="O3603" t="str">
        <x:f>IF(D3603="","Unknown",IF(D3603&lt;25000,"&lt;$25k",IF(D3603&lt;50000,"$25k-$50k",IF(D3603&lt;75000,"$50k-$75k",IF(D3603&lt;100000,"$75k-$100k","$100k+")))))</x:f>
        <x:v>$25k-$50k</x:v>
      </x:c>
      <x:c r="P3603" t="str">
        <x:f>IF(E3603="","Unknown",IF(E3603&lt;10,"&lt;10",IF(E3603&lt;20,"10-&lt;20",IF(E3603&lt;25,"20-&lt;25",IF(E3603&lt;35,"25-&lt;35","35+")))))</x:f>
        <x:v>10-&lt;20</x:v>
      </x:c>
    </x:row>
    <x:row r="3604">
      <x:c r="A3604" t="str">
        <x:v>SYN0003603</x:v>
      </x:c>
      <x:c r="B3604" s="12" t="n">
        <x:v>42115</x:v>
      </x:c>
      <x:c r="C3604" s="18" t="n">
        <x:v>12057</x:v>
      </x:c>
      <x:c r="D3604" s="18" t="n">
        <x:v>26917</x:v>
      </x:c>
      <x:c r="E3604" s="18" t="n">
        <x:v>39.23</x:v>
      </x:c>
      <x:c r="F3604" s="18" t="n">
        <x:v>15.09</x:v>
      </x:c>
      <x:c r="G3604" t="n">
        <x:v>36</x:v>
      </x:c>
      <x:c r="H3604" t="str">
        <x:v>D</x:v>
      </x:c>
      <x:c r="I3604" t="str">
        <x:v>4-6 years</x:v>
      </x:c>
      <x:c r="J3604" t="str">
        <x:v>OWN</x:v>
      </x:c>
      <x:c r="K3604" t="str">
        <x:v>debt_consolidation</x:v>
      </x:c>
      <x:c r="L3604" t="n">
        <x:v>0</x:v>
      </x:c>
      <x:c r="M3604" t="n">
        <x:v>0</x:v>
      </x:c>
      <x:c r="N3604" t="str">
        <x:v>Fully Paid</x:v>
      </x:c>
      <x:c r="O3604" t="str">
        <x:f>IF(D3604="","Unknown",IF(D3604&lt;25000,"&lt;$25k",IF(D3604&lt;50000,"$25k-$50k",IF(D3604&lt;75000,"$50k-$75k",IF(D3604&lt;100000,"$75k-$100k","$100k+")))))</x:f>
        <x:v>$25k-$50k</x:v>
      </x:c>
      <x:c r="P3604" t="str">
        <x:f>IF(E3604="","Unknown",IF(E3604&lt;10,"&lt;10",IF(E3604&lt;20,"10-&lt;20",IF(E3604&lt;25,"20-&lt;25",IF(E3604&lt;35,"25-&lt;35","35+")))))</x:f>
        <x:v>35+</x:v>
      </x:c>
    </x:row>
    <x:row r="3605">
      <x:c r="A3605" t="str">
        <x:v>SYN0003604</x:v>
      </x:c>
      <x:c r="B3605" s="12" t="n">
        <x:v>43315</x:v>
      </x:c>
      <x:c r="C3605" s="18" t="n">
        <x:v>13338</x:v>
      </x:c>
      <x:c r="D3605" s="18" t="n">
        <x:v>53877</x:v>
      </x:c>
      <x:c r="E3605" s="18" t="n">
        <x:v>27.87</x:v>
      </x:c>
      <x:c r="F3605" s="18" t="n">
        <x:v>26.9</x:v>
      </x:c>
      <x:c r="G3605" t="n">
        <x:v>36</x:v>
      </x:c>
      <x:c r="H3605" t="str">
        <x:v>G</x:v>
      </x:c>
      <x:c r="I3605" t="str">
        <x:v>1-3 years</x:v>
      </x:c>
      <x:c r="J3605" t="str">
        <x:v>OWN</x:v>
      </x:c>
      <x:c r="K3605" t="str">
        <x:v>debt_consolidation</x:v>
      </x:c>
      <x:c r="L3605" t="n">
        <x:v>0</x:v>
      </x:c>
      <x:c r="M3605" t="n">
        <x:v>0</x:v>
      </x:c>
      <x:c r="N3605" t="str">
        <x:v>Fully Paid</x:v>
      </x:c>
      <x:c r="O3605" t="str">
        <x:f>IF(D3605="","Unknown",IF(D3605&lt;25000,"&lt;$25k",IF(D3605&lt;50000,"$25k-$50k",IF(D3605&lt;75000,"$50k-$75k",IF(D3605&lt;100000,"$75k-$100k","$100k+")))))</x:f>
        <x:v>$50k-$75k</x:v>
      </x:c>
      <x:c r="P3605" t="str">
        <x:f>IF(E3605="","Unknown",IF(E3605&lt;10,"&lt;10",IF(E3605&lt;20,"10-&lt;20",IF(E3605&lt;25,"20-&lt;25",IF(E3605&lt;35,"25-&lt;35","35+")))))</x:f>
        <x:v>25-&lt;35</x:v>
      </x:c>
    </x:row>
    <x:row r="3606">
      <x:c r="A3606" t="str">
        <x:v>SYN0003605</x:v>
      </x:c>
      <x:c r="B3606" s="12" t="n">
        <x:v>41515</x:v>
      </x:c>
      <x:c r="C3606" s="18" t="n">
        <x:v>24388</x:v>
      </x:c>
      <x:c r="D3606" s="18" t="n">
        <x:v>67152</x:v>
      </x:c>
      <x:c r="E3606" s="18" t="n">
        <x:v>10.74</x:v>
      </x:c>
      <x:c r="F3606" s="18" t="n">
        <x:v>11.03</x:v>
      </x:c>
      <x:c r="G3606" t="n">
        <x:v>60</x:v>
      </x:c>
      <x:c r="H3606" t="str">
        <x:v>B</x:v>
      </x:c>
      <x:c r="I3606" t="str">
        <x:v>10+ years</x:v>
      </x:c>
      <x:c r="J3606" t="str">
        <x:v>OWN</x:v>
      </x:c>
      <x:c r="K3606" t="str">
        <x:v>debt_consolidation</x:v>
      </x:c>
      <x:c r="L3606" t="n">
        <x:v>1</x:v>
      </x:c>
      <x:c r="M3606" t="n">
        <x:v>0</x:v>
      </x:c>
      <x:c r="N3606" t="str">
        <x:v>Fully Paid</x:v>
      </x:c>
      <x:c r="O3606" t="str">
        <x:f>IF(D3606="","Unknown",IF(D3606&lt;25000,"&lt;$25k",IF(D3606&lt;50000,"$25k-$50k",IF(D3606&lt;75000,"$50k-$75k",IF(D3606&lt;100000,"$75k-$100k","$100k+")))))</x:f>
        <x:v>$50k-$75k</x:v>
      </x:c>
      <x:c r="P3606" t="str">
        <x:f>IF(E3606="","Unknown",IF(E3606&lt;10,"&lt;10",IF(E3606&lt;20,"10-&lt;20",IF(E3606&lt;25,"20-&lt;25",IF(E3606&lt;35,"25-&lt;35","35+")))))</x:f>
        <x:v>10-&lt;20</x:v>
      </x:c>
    </x:row>
    <x:row r="3607">
      <x:c r="A3607" t="str">
        <x:v>SYN0003606</x:v>
      </x:c>
      <x:c r="B3607" s="12" t="n">
        <x:v>42415</x:v>
      </x:c>
      <x:c r="C3607" s="18" t="n">
        <x:v>9668</x:v>
      </x:c>
      <x:c r="D3607" s="18" t="n">
        <x:v>83003</x:v>
      </x:c>
      <x:c r="E3607" s="18" t="n">
        <x:v>23.89</x:v>
      </x:c>
      <x:c r="F3607" s="18" t="n">
        <x:v>9.58</x:v>
      </x:c>
      <x:c r="G3607" t="n">
        <x:v>36</x:v>
      </x:c>
      <x:c r="H3607" t="str">
        <x:v>C</x:v>
      </x:c>
      <x:c r="I3607" t="str">
        <x:v>7-9 years</x:v>
      </x:c>
      <x:c r="J3607" t="str">
        <x:v>MORTGAGE</x:v>
      </x:c>
      <x:c r="K3607" t="str">
        <x:v>medical</x:v>
      </x:c>
      <x:c r="L3607" t="n">
        <x:v>2</x:v>
      </x:c>
      <x:c r="M3607" t="n">
        <x:v>0</x:v>
      </x:c>
      <x:c r="N3607" t="str">
        <x:v>Fully Paid</x:v>
      </x:c>
      <x:c r="O3607" t="str">
        <x:f>IF(D3607="","Unknown",IF(D3607&lt;25000,"&lt;$25k",IF(D3607&lt;50000,"$25k-$50k",IF(D3607&lt;75000,"$50k-$75k",IF(D3607&lt;100000,"$75k-$100k","$100k+")))))</x:f>
        <x:v>$75k-$100k</x:v>
      </x:c>
      <x:c r="P3607" t="str">
        <x:f>IF(E3607="","Unknown",IF(E3607&lt;10,"&lt;10",IF(E3607&lt;20,"10-&lt;20",IF(E3607&lt;25,"20-&lt;25",IF(E3607&lt;35,"25-&lt;35","35+")))))</x:f>
        <x:v>20-&lt;25</x:v>
      </x:c>
    </x:row>
    <x:row r="3608">
      <x:c r="A3608" t="str">
        <x:v>SYN0003607</x:v>
      </x:c>
      <x:c r="B3608" s="12" t="n">
        <x:v>41305</x:v>
      </x:c>
      <x:c r="C3608" s="18" t="n">
        <x:v>13944</x:v>
      </x:c>
      <x:c r="D3608" s="18" t="n">
        <x:v>59129</x:v>
      </x:c>
      <x:c r="E3608" s="18" t="n">
        <x:v>32.32</x:v>
      </x:c>
      <x:c r="F3608" s="18" t="n">
        <x:v>12.07</x:v>
      </x:c>
      <x:c r="G3608" t="n">
        <x:v>36</x:v>
      </x:c>
      <x:c r="H3608" t="str">
        <x:v>C</x:v>
      </x:c>
      <x:c r="I3608" t="str">
        <x:v>&lt;1 year</x:v>
      </x:c>
      <x:c r="J3608" t="str">
        <x:v>MORTGAGE</x:v>
      </x:c>
      <x:c r="K3608" t="str">
        <x:v>credit_card</x:v>
      </x:c>
      <x:c r="L3608" t="n">
        <x:v>0</x:v>
      </x:c>
      <x:c r="M3608" t="n">
        <x:v>0</x:v>
      </x:c>
      <x:c r="N3608" t="str">
        <x:v>Fully Paid</x:v>
      </x:c>
      <x:c r="O3608" t="str">
        <x:f>IF(D3608="","Unknown",IF(D3608&lt;25000,"&lt;$25k",IF(D3608&lt;50000,"$25k-$50k",IF(D3608&lt;75000,"$50k-$75k",IF(D3608&lt;100000,"$75k-$100k","$100k+")))))</x:f>
        <x:v>$50k-$75k</x:v>
      </x:c>
      <x:c r="P3608" t="str">
        <x:f>IF(E3608="","Unknown",IF(E3608&lt;10,"&lt;10",IF(E3608&lt;20,"10-&lt;20",IF(E3608&lt;25,"20-&lt;25",IF(E3608&lt;35,"25-&lt;35","35+")))))</x:f>
        <x:v>25-&lt;35</x:v>
      </x:c>
    </x:row>
    <x:row r="3609">
      <x:c r="A3609" t="str">
        <x:v>SYN0003608</x:v>
      </x:c>
      <x:c r="B3609" s="12" t="n">
        <x:v>43105</x:v>
      </x:c>
      <x:c r="C3609" s="18" t="n">
        <x:v>17293</x:v>
      </x:c>
      <x:c r="D3609" s="18" t="n">
        <x:v>49046</x:v>
      </x:c>
      <x:c r="E3609" s="18" t="n">
        <x:v>22.41</x:v>
      </x:c>
      <x:c r="F3609" s="18" t="n">
        <x:v>7.25</x:v>
      </x:c>
      <x:c r="G3609" t="n">
        <x:v>60</x:v>
      </x:c>
      <x:c r="H3609" t="str">
        <x:v>A</x:v>
      </x:c>
      <x:c r="I3609" t="str">
        <x:v>4-6 years</x:v>
      </x:c>
      <x:c r="J3609" t="str">
        <x:v>OWN</x:v>
      </x:c>
      <x:c r="K3609" t="str">
        <x:v>major_purchase</x:v>
      </x:c>
      <x:c r="L3609" t="n">
        <x:v>0</x:v>
      </x:c>
      <x:c r="M3609" t="n">
        <x:v>0</x:v>
      </x:c>
      <x:c r="N3609" t="str">
        <x:v>Fully Paid</x:v>
      </x:c>
      <x:c r="O3609" t="str">
        <x:f>IF(D3609="","Unknown",IF(D3609&lt;25000,"&lt;$25k",IF(D3609&lt;50000,"$25k-$50k",IF(D3609&lt;75000,"$50k-$75k",IF(D3609&lt;100000,"$75k-$100k","$100k+")))))</x:f>
        <x:v>$25k-$50k</x:v>
      </x:c>
      <x:c r="P3609" t="str">
        <x:f>IF(E3609="","Unknown",IF(E3609&lt;10,"&lt;10",IF(E3609&lt;20,"10-&lt;20",IF(E3609&lt;25,"20-&lt;25",IF(E3609&lt;35,"25-&lt;35","35+")))))</x:f>
        <x:v>20-&lt;25</x:v>
      </x:c>
    </x:row>
    <x:row r="3610">
      <x:c r="A3610" t="str">
        <x:v>SYN0003609</x:v>
      </x:c>
      <x:c r="B3610" s="12" t="n">
        <x:v>41995</x:v>
      </x:c>
      <x:c r="C3610" s="18" t="n">
        <x:v>29535</x:v>
      </x:c>
      <x:c r="D3610" s="18" t="n">
        <x:v>42710</x:v>
      </x:c>
      <x:c r="E3610" s="18" t="n">
        <x:v>28.7</x:v>
      </x:c>
      <x:c r="F3610" s="18" t="n">
        <x:v>7.62</x:v>
      </x:c>
      <x:c r="G3610" t="n">
        <x:v>60</x:v>
      </x:c>
      <x:c r="H3610" t="str">
        <x:v>A</x:v>
      </x:c>
      <x:c r="I3610" t="str">
        <x:v>7-9 years</x:v>
      </x:c>
      <x:c r="J3610" t="str">
        <x:v>MORTGAGE</x:v>
      </x:c>
      <x:c r="K3610" t="str">
        <x:v>debt_consolidation</x:v>
      </x:c>
      <x:c r="L3610" t="n">
        <x:v>0</x:v>
      </x:c>
      <x:c r="M3610" t="n">
        <x:v>0</x:v>
      </x:c>
      <x:c r="N3610" t="str">
        <x:v>Fully Paid</x:v>
      </x:c>
      <x:c r="O3610" t="str">
        <x:f>IF(D3610="","Unknown",IF(D3610&lt;25000,"&lt;$25k",IF(D3610&lt;50000,"$25k-$50k",IF(D3610&lt;75000,"$50k-$75k",IF(D3610&lt;100000,"$75k-$100k","$100k+")))))</x:f>
        <x:v>$25k-$50k</x:v>
      </x:c>
      <x:c r="P3610" t="str">
        <x:f>IF(E3610="","Unknown",IF(E3610&lt;10,"&lt;10",IF(E3610&lt;20,"10-&lt;20",IF(E3610&lt;25,"20-&lt;25",IF(E3610&lt;35,"25-&lt;35","35+")))))</x:f>
        <x:v>25-&lt;35</x:v>
      </x:c>
    </x:row>
    <x:row r="3611">
      <x:c r="A3611" t="str">
        <x:v>SYN0003610</x:v>
      </x:c>
      <x:c r="B3611" s="12" t="n">
        <x:v>43195</x:v>
      </x:c>
      <x:c r="C3611" s="18" t="n">
        <x:v>19635</x:v>
      </x:c>
      <x:c r="D3611" s="18" t="n">
        <x:v>26925</x:v>
      </x:c>
      <x:c r="E3611" s="18" t="n">
        <x:v>33.93</x:v>
      </x:c>
      <x:c r="F3611" s="18" t="n">
        <x:v>7.11</x:v>
      </x:c>
      <x:c r="G3611" t="n">
        <x:v>60</x:v>
      </x:c>
      <x:c r="H3611" t="str">
        <x:v>A</x:v>
      </x:c>
      <x:c r="I3611" t="str">
        <x:v>7-9 years</x:v>
      </x:c>
      <x:c r="J3611" t="str">
        <x:v>MORTGAGE</x:v>
      </x:c>
      <x:c r="K3611" t="str">
        <x:v>debt_consolidation</x:v>
      </x:c>
      <x:c r="L3611" t="n">
        <x:v>0</x:v>
      </x:c>
      <x:c r="M3611" t="n">
        <x:v>0</x:v>
      </x:c>
      <x:c r="N3611" t="str">
        <x:v>Fully Paid</x:v>
      </x:c>
      <x:c r="O3611" t="str">
        <x:f>IF(D3611="","Unknown",IF(D3611&lt;25000,"&lt;$25k",IF(D3611&lt;50000,"$25k-$50k",IF(D3611&lt;75000,"$50k-$75k",IF(D3611&lt;100000,"$75k-$100k","$100k+")))))</x:f>
        <x:v>$25k-$50k</x:v>
      </x:c>
      <x:c r="P3611" t="str">
        <x:f>IF(E3611="","Unknown",IF(E3611&lt;10,"&lt;10",IF(E3611&lt;20,"10-&lt;20",IF(E3611&lt;25,"20-&lt;25",IF(E3611&lt;35,"25-&lt;35","35+")))))</x:f>
        <x:v>25-&lt;35</x:v>
      </x:c>
    </x:row>
    <x:row r="3612">
      <x:c r="A3612" t="str">
        <x:v>SYN0003611</x:v>
      </x:c>
      <x:c r="B3612" s="12" t="n">
        <x:v>42475</x:v>
      </x:c>
      <x:c r="C3612" s="18" t="n">
        <x:v>6868</x:v>
      </x:c>
      <x:c r="D3612" s="18" t="n">
        <x:v>28895</x:v>
      </x:c>
      <x:c r="E3612" s="18" t="n">
        <x:v>25.26</x:v>
      </x:c>
      <x:c r="F3612" s="18" t="n">
        <x:v>15.73</x:v>
      </x:c>
      <x:c r="G3612" t="n">
        <x:v>60</x:v>
      </x:c>
      <x:c r="H3612" t="str">
        <x:v>D</x:v>
      </x:c>
      <x:c r="I3612" t="str">
        <x:v>10+ years</x:v>
      </x:c>
      <x:c r="J3612" t="str">
        <x:v>RENT</x:v>
      </x:c>
      <x:c r="K3612" t="str">
        <x:v>debt_consolidation</x:v>
      </x:c>
      <x:c r="L3612" t="n">
        <x:v>1</x:v>
      </x:c>
      <x:c r="M3612" t="n">
        <x:v>1</x:v>
      </x:c>
      <x:c r="N3612" t="str">
        <x:v>Charged Off</x:v>
      </x:c>
      <x:c r="O3612" t="str">
        <x:f>IF(D3612="","Unknown",IF(D3612&lt;25000,"&lt;$25k",IF(D3612&lt;50000,"$25k-$50k",IF(D3612&lt;75000,"$50k-$75k",IF(D3612&lt;100000,"$75k-$100k","$100k+")))))</x:f>
        <x:v>$25k-$50k</x:v>
      </x:c>
      <x:c r="P3612" t="str">
        <x:f>IF(E3612="","Unknown",IF(E3612&lt;10,"&lt;10",IF(E3612&lt;20,"10-&lt;20",IF(E3612&lt;25,"20-&lt;25",IF(E3612&lt;35,"25-&lt;35","35+")))))</x:f>
        <x:v>25-&lt;35</x:v>
      </x:c>
    </x:row>
    <x:row r="3613">
      <x:c r="A3613" t="str">
        <x:v>SYN0003612</x:v>
      </x:c>
      <x:c r="B3613" s="12" t="n">
        <x:v>43015</x:v>
      </x:c>
      <x:c r="C3613" s="18" t="n">
        <x:v>7139</x:v>
      </x:c>
      <x:c r="D3613" s="18" t="n">
        <x:v>71494</x:v>
      </x:c>
      <x:c r="E3613" s="18" t="n">
        <x:v>17.55</x:v>
      </x:c>
      <x:c r="F3613" s="18" t="n">
        <x:v>7.14</x:v>
      </x:c>
      <x:c r="G3613" t="n">
        <x:v>36</x:v>
      </x:c>
      <x:c r="H3613" t="str">
        <x:v>A</x:v>
      </x:c>
      <x:c r="I3613" t="str">
        <x:v>4-6 years</x:v>
      </x:c>
      <x:c r="J3613" t="str">
        <x:v>OWN</x:v>
      </x:c>
      <x:c r="K3613" t="str">
        <x:v>debt_consolidation</x:v>
      </x:c>
      <x:c r="L3613" t="n">
        <x:v>0</x:v>
      </x:c>
      <x:c r="M3613" t="n">
        <x:v>0</x:v>
      </x:c>
      <x:c r="N3613" t="str">
        <x:v>Fully Paid</x:v>
      </x:c>
      <x:c r="O3613" t="str">
        <x:f>IF(D3613="","Unknown",IF(D3613&lt;25000,"&lt;$25k",IF(D3613&lt;50000,"$25k-$50k",IF(D3613&lt;75000,"$50k-$75k",IF(D3613&lt;100000,"$75k-$100k","$100k+")))))</x:f>
        <x:v>$50k-$75k</x:v>
      </x:c>
      <x:c r="P3613" t="str">
        <x:f>IF(E3613="","Unknown",IF(E3613&lt;10,"&lt;10",IF(E3613&lt;20,"10-&lt;20",IF(E3613&lt;25,"20-&lt;25",IF(E3613&lt;35,"25-&lt;35","35+")))))</x:f>
        <x:v>10-&lt;20</x:v>
      </x:c>
    </x:row>
    <x:row r="3614">
      <x:c r="A3614" t="str">
        <x:v>SYN0003613</x:v>
      </x:c>
      <x:c r="B3614" s="12" t="n">
        <x:v>42955</x:v>
      </x:c>
      <x:c r="C3614" s="18" t="n">
        <x:v>9766</x:v>
      </x:c>
      <x:c r="D3614" s="18" t="n">
        <x:v>35514</x:v>
      </x:c>
      <x:c r="E3614" s="18" t="n">
        <x:v>22.36</x:v>
      </x:c>
      <x:c r="F3614" s="18" t="n">
        <x:v>17.22</x:v>
      </x:c>
      <x:c r="G3614" t="n">
        <x:v>36</x:v>
      </x:c>
      <x:c r="H3614" t="str">
        <x:v>E</x:v>
      </x:c>
      <x:c r="I3614" t="str">
        <x:v>10+ years</x:v>
      </x:c>
      <x:c r="J3614" t="str">
        <x:v>MORTGAGE</x:v>
      </x:c>
      <x:c r="K3614" t="str">
        <x:v>debt_consolidation</x:v>
      </x:c>
      <x:c r="L3614" t="n">
        <x:v>1</x:v>
      </x:c>
      <x:c r="M3614" t="n">
        <x:v>1</x:v>
      </x:c>
      <x:c r="N3614" t="str">
        <x:v>Charged Off</x:v>
      </x:c>
      <x:c r="O3614" t="str">
        <x:f>IF(D3614="","Unknown",IF(D3614&lt;25000,"&lt;$25k",IF(D3614&lt;50000,"$25k-$50k",IF(D3614&lt;75000,"$50k-$75k",IF(D3614&lt;100000,"$75k-$100k","$100k+")))))</x:f>
        <x:v>$25k-$50k</x:v>
      </x:c>
      <x:c r="P3614" t="str">
        <x:f>IF(E3614="","Unknown",IF(E3614&lt;10,"&lt;10",IF(E3614&lt;20,"10-&lt;20",IF(E3614&lt;25,"20-&lt;25",IF(E3614&lt;35,"25-&lt;35","35+")))))</x:f>
        <x:v>20-&lt;25</x:v>
      </x:c>
    </x:row>
    <x:row r="3615">
      <x:c r="A3615" t="str">
        <x:v>SYN0003614</x:v>
      </x:c>
      <x:c r="B3615" s="12" t="n">
        <x:v>42805</x:v>
      </x:c>
      <x:c r="C3615" s="18" t="n">
        <x:v>10325</x:v>
      </x:c>
      <x:c r="D3615" s="18" t="n">
        <x:v>34605</x:v>
      </x:c>
      <x:c r="E3615" s="18" t="n">
        <x:v>13.57</x:v>
      </x:c>
      <x:c r="F3615" s="18" t="n">
        <x:v>21.98</x:v>
      </x:c>
      <x:c r="G3615" t="n">
        <x:v>36</x:v>
      </x:c>
      <x:c r="H3615" t="str">
        <x:v>F</x:v>
      </x:c>
      <x:c r="I3615" t="str">
        <x:v>7-9 years</x:v>
      </x:c>
      <x:c r="J3615" t="str">
        <x:v>RENT</x:v>
      </x:c>
      <x:c r="K3615" t="str">
        <x:v>credit_card</x:v>
      </x:c>
      <x:c r="L3615" t="n">
        <x:v>1</x:v>
      </x:c>
      <x:c r="M3615" t="n">
        <x:v>0</x:v>
      </x:c>
      <x:c r="N3615" t="str">
        <x:v>Fully Paid</x:v>
      </x:c>
      <x:c r="O3615" t="str">
        <x:f>IF(D3615="","Unknown",IF(D3615&lt;25000,"&lt;$25k",IF(D3615&lt;50000,"$25k-$50k",IF(D3615&lt;75000,"$50k-$75k",IF(D3615&lt;100000,"$75k-$100k","$100k+")))))</x:f>
        <x:v>$25k-$50k</x:v>
      </x:c>
      <x:c r="P3615" t="str">
        <x:f>IF(E3615="","Unknown",IF(E3615&lt;10,"&lt;10",IF(E3615&lt;20,"10-&lt;20",IF(E3615&lt;25,"20-&lt;25",IF(E3615&lt;35,"25-&lt;35","35+")))))</x:f>
        <x:v>10-&lt;20</x:v>
      </x:c>
    </x:row>
    <x:row r="3616">
      <x:c r="A3616" t="str">
        <x:v>SYN0003615</x:v>
      </x:c>
      <x:c r="B3616" s="12" t="n">
        <x:v>42745</x:v>
      </x:c>
      <x:c r="C3616" s="18" t="n">
        <x:v>12172</x:v>
      </x:c>
      <x:c r="D3616" s="18" t="n">
        <x:v>14605</x:v>
      </x:c>
      <x:c r="E3616" s="18" t="n">
        <x:v>13.23</x:v>
      </x:c>
      <x:c r="F3616" s="18" t="n">
        <x:v>11.62</x:v>
      </x:c>
      <x:c r="G3616" t="n">
        <x:v>60</x:v>
      </x:c>
      <x:c r="H3616" t="str">
        <x:v>C</x:v>
      </x:c>
      <x:c r="I3616" t="str">
        <x:v>10+ years</x:v>
      </x:c>
      <x:c r="J3616" t="str">
        <x:v>MORTGAGE</x:v>
      </x:c>
      <x:c r="K3616" t="str">
        <x:v>credit_card</x:v>
      </x:c>
      <x:c r="L3616" t="n">
        <x:v>0</x:v>
      </x:c>
      <x:c r="M3616" t="n">
        <x:v>0</x:v>
      </x:c>
      <x:c r="N3616" t="str">
        <x:v>Fully Paid</x:v>
      </x:c>
      <x:c r="O3616" t="str">
        <x:f>IF(D3616="","Unknown",IF(D3616&lt;25000,"&lt;$25k",IF(D3616&lt;50000,"$25k-$50k",IF(D3616&lt;75000,"$50k-$75k",IF(D3616&lt;100000,"$75k-$100k","$100k+")))))</x:f>
        <x:v>&lt;$25k</x:v>
      </x:c>
      <x:c r="P3616" t="str">
        <x:f>IF(E3616="","Unknown",IF(E3616&lt;10,"&lt;10",IF(E3616&lt;20,"10-&lt;20",IF(E3616&lt;25,"20-&lt;25",IF(E3616&lt;35,"25-&lt;35","35+")))))</x:f>
        <x:v>10-&lt;20</x:v>
      </x:c>
    </x:row>
    <x:row r="3617">
      <x:c r="A3617" t="str">
        <x:v>SYN0003616</x:v>
      </x:c>
      <x:c r="B3617" s="12" t="n">
        <x:v>42025</x:v>
      </x:c>
      <x:c r="C3617" s="18" t="n">
        <x:v>6870</x:v>
      </x:c>
      <x:c r="D3617" s="18" t="n">
        <x:v>40646</x:v>
      </x:c>
      <x:c r="E3617" s="18" t="n">
        <x:v>14.07</x:v>
      </x:c>
      <x:c r="F3617" s="18" t="n">
        <x:v>10.32</x:v>
      </x:c>
      <x:c r="G3617" t="n">
        <x:v>60</x:v>
      </x:c>
      <x:c r="H3617" t="str">
        <x:v>C</x:v>
      </x:c>
      <x:c r="I3617" t="str">
        <x:v>&lt;1 year</x:v>
      </x:c>
      <x:c r="J3617" t="str">
        <x:v>RENT</x:v>
      </x:c>
      <x:c r="K3617" t="str">
        <x:v>debt_consolidation</x:v>
      </x:c>
      <x:c r="L3617" t="n">
        <x:v>0</x:v>
      </x:c>
      <x:c r="M3617" t="n">
        <x:v>0</x:v>
      </x:c>
      <x:c r="N3617" t="str">
        <x:v>Fully Paid</x:v>
      </x:c>
      <x:c r="O3617" t="str">
        <x:f>IF(D3617="","Unknown",IF(D3617&lt;25000,"&lt;$25k",IF(D3617&lt;50000,"$25k-$50k",IF(D3617&lt;75000,"$50k-$75k",IF(D3617&lt;100000,"$75k-$100k","$100k+")))))</x:f>
        <x:v>$25k-$50k</x:v>
      </x:c>
      <x:c r="P3617" t="str">
        <x:f>IF(E3617="","Unknown",IF(E3617&lt;10,"&lt;10",IF(E3617&lt;20,"10-&lt;20",IF(E3617&lt;25,"20-&lt;25",IF(E3617&lt;35,"25-&lt;35","35+")))))</x:f>
        <x:v>10-&lt;20</x:v>
      </x:c>
    </x:row>
    <x:row r="3618">
      <x:c r="A3618" t="str">
        <x:v>SYN0003617</x:v>
      </x:c>
      <x:c r="B3618" s="12" t="n">
        <x:v>43045</x:v>
      </x:c>
      <x:c r="C3618" s="18" t="n">
        <x:v>31341</x:v>
      </x:c>
      <x:c r="D3618" s="18" t="n">
        <x:v>84156</x:v>
      </x:c>
      <x:c r="E3618" s="18" t="n">
        <x:v>23.57</x:v>
      </x:c>
      <x:c r="F3618" s="18" t="n">
        <x:v>5</x:v>
      </x:c>
      <x:c r="G3618" t="n">
        <x:v>36</x:v>
      </x:c>
      <x:c r="H3618" t="str">
        <x:v>A</x:v>
      </x:c>
      <x:c r="I3618" t="str">
        <x:v>4-6 years</x:v>
      </x:c>
      <x:c r="J3618" t="str">
        <x:v>MORTGAGE</x:v>
      </x:c>
      <x:c r="K3618" t="str">
        <x:v>debt_consolidation</x:v>
      </x:c>
      <x:c r="L3618" t="n">
        <x:v>0</x:v>
      </x:c>
      <x:c r="M3618" t="n">
        <x:v>0</x:v>
      </x:c>
      <x:c r="N3618" t="str">
        <x:v>Fully Paid</x:v>
      </x:c>
      <x:c r="O3618" t="str">
        <x:f>IF(D3618="","Unknown",IF(D3618&lt;25000,"&lt;$25k",IF(D3618&lt;50000,"$25k-$50k",IF(D3618&lt;75000,"$50k-$75k",IF(D3618&lt;100000,"$75k-$100k","$100k+")))))</x:f>
        <x:v>$75k-$100k</x:v>
      </x:c>
      <x:c r="P3618" t="str">
        <x:f>IF(E3618="","Unknown",IF(E3618&lt;10,"&lt;10",IF(E3618&lt;20,"10-&lt;20",IF(E3618&lt;25,"20-&lt;25",IF(E3618&lt;35,"25-&lt;35","35+")))))</x:f>
        <x:v>20-&lt;25</x:v>
      </x:c>
    </x:row>
    <x:row r="3619">
      <x:c r="A3619" t="str">
        <x:v>SYN0003618</x:v>
      </x:c>
      <x:c r="B3619" s="12" t="n">
        <x:v>42805</x:v>
      </x:c>
      <x:c r="C3619" s="18" t="n">
        <x:v>15188</x:v>
      </x:c>
      <x:c r="D3619" s="18" t="n">
        <x:v>134794</x:v>
      </x:c>
      <x:c r="E3619" s="18" t="n">
        <x:v>33.78</x:v>
      </x:c>
      <x:c r="F3619" s="18" t="n">
        <x:v>14.02</x:v>
      </x:c>
      <x:c r="G3619" t="n">
        <x:v>60</x:v>
      </x:c>
      <x:c r="H3619" t="str">
        <x:v>D</x:v>
      </x:c>
      <x:c r="I3619" t="str">
        <x:v>1-3 years</x:v>
      </x:c>
      <x:c r="J3619" t="str">
        <x:v>OTHER</x:v>
      </x:c>
      <x:c r="K3619" t="str">
        <x:v>credit_card</x:v>
      </x:c>
      <x:c r="L3619" t="n">
        <x:v>1</x:v>
      </x:c>
      <x:c r="M3619" t="n">
        <x:v>0</x:v>
      </x:c>
      <x:c r="N3619" t="str">
        <x:v>Fully Paid</x:v>
      </x:c>
      <x:c r="O3619" t="str">
        <x:f>IF(D3619="","Unknown",IF(D3619&lt;25000,"&lt;$25k",IF(D3619&lt;50000,"$25k-$50k",IF(D3619&lt;75000,"$50k-$75k",IF(D3619&lt;100000,"$75k-$100k","$100k+")))))</x:f>
        <x:v>$100k+</x:v>
      </x:c>
      <x:c r="P3619" t="str">
        <x:f>IF(E3619="","Unknown",IF(E3619&lt;10,"&lt;10",IF(E3619&lt;20,"10-&lt;20",IF(E3619&lt;25,"20-&lt;25",IF(E3619&lt;35,"25-&lt;35","35+")))))</x:f>
        <x:v>25-&lt;35</x:v>
      </x:c>
    </x:row>
    <x:row r="3620">
      <x:c r="A3620" t="str">
        <x:v>SYN0003619</x:v>
      </x:c>
      <x:c r="B3620" s="12" t="n">
        <x:v>41845</x:v>
      </x:c>
      <x:c r="C3620" s="18" t="n">
        <x:v>10839</x:v>
      </x:c>
      <x:c r="D3620" s="18" t="n">
        <x:v>46616</x:v>
      </x:c>
      <x:c r="E3620" s="18" t="n">
        <x:v>15.3</x:v>
      </x:c>
      <x:c r="F3620" s="18" t="n">
        <x:v>16.29</x:v>
      </x:c>
      <x:c r="G3620" t="n">
        <x:v>60</x:v>
      </x:c>
      <x:c r="H3620" t="str">
        <x:v>E</x:v>
      </x:c>
      <x:c r="I3620" t="str">
        <x:v>7-9 years</x:v>
      </x:c>
      <x:c r="J3620" t="str">
        <x:v>MORTGAGE</x:v>
      </x:c>
      <x:c r="K3620" t="str">
        <x:v>home_improvement</x:v>
      </x:c>
      <x:c r="L3620" t="n">
        <x:v>0</x:v>
      </x:c>
      <x:c r="M3620" t="n">
        <x:v>0</x:v>
      </x:c>
      <x:c r="N3620" t="str">
        <x:v>Fully Paid</x:v>
      </x:c>
      <x:c r="O3620" t="str">
        <x:f>IF(D3620="","Unknown",IF(D3620&lt;25000,"&lt;$25k",IF(D3620&lt;50000,"$25k-$50k",IF(D3620&lt;75000,"$50k-$75k",IF(D3620&lt;100000,"$75k-$100k","$100k+")))))</x:f>
        <x:v>$25k-$50k</x:v>
      </x:c>
      <x:c r="P3620" t="str">
        <x:f>IF(E3620="","Unknown",IF(E3620&lt;10,"&lt;10",IF(E3620&lt;20,"10-&lt;20",IF(E3620&lt;25,"20-&lt;25",IF(E3620&lt;35,"25-&lt;35","35+")))))</x:f>
        <x:v>10-&lt;20</x:v>
      </x:c>
    </x:row>
    <x:row r="3621">
      <x:c r="A3621" t="str">
        <x:v>SYN0003620</x:v>
      </x:c>
      <x:c r="B3621" s="12" t="n">
        <x:v>41515</x:v>
      </x:c>
      <x:c r="C3621" s="18" t="n">
        <x:v>12507</x:v>
      </x:c>
      <x:c r="D3621" s="18" t="n">
        <x:v>80092</x:v>
      </x:c>
      <x:c r="E3621" s="18" t="n">
        <x:v>23.75</x:v>
      </x:c>
      <x:c r="F3621" s="18" t="n">
        <x:v>12.83</x:v>
      </x:c>
      <x:c r="G3621" t="n">
        <x:v>60</x:v>
      </x:c>
      <x:c r="H3621" t="str">
        <x:v>C</x:v>
      </x:c>
      <x:c r="I3621" t="str">
        <x:v>7-9 years</x:v>
      </x:c>
      <x:c r="J3621" t="str">
        <x:v>OWN</x:v>
      </x:c>
      <x:c r="K3621" t="str">
        <x:v>debt_consolidation</x:v>
      </x:c>
      <x:c r="L3621" t="n">
        <x:v>0</x:v>
      </x:c>
      <x:c r="M3621" t="n">
        <x:v>0</x:v>
      </x:c>
      <x:c r="N3621" t="str">
        <x:v>Fully Paid</x:v>
      </x:c>
      <x:c r="O3621" t="str">
        <x:f>IF(D3621="","Unknown",IF(D3621&lt;25000,"&lt;$25k",IF(D3621&lt;50000,"$25k-$50k",IF(D3621&lt;75000,"$50k-$75k",IF(D3621&lt;100000,"$75k-$100k","$100k+")))))</x:f>
        <x:v>$75k-$100k</x:v>
      </x:c>
      <x:c r="P3621" t="str">
        <x:f>IF(E3621="","Unknown",IF(E3621&lt;10,"&lt;10",IF(E3621&lt;20,"10-&lt;20",IF(E3621&lt;25,"20-&lt;25",IF(E3621&lt;35,"25-&lt;35","35+")))))</x:f>
        <x:v>20-&lt;25</x:v>
      </x:c>
    </x:row>
    <x:row r="3622">
      <x:c r="A3622" t="str">
        <x:v>SYN0003621</x:v>
      </x:c>
      <x:c r="B3622" s="12" t="n">
        <x:v>43165</x:v>
      </x:c>
      <x:c r="C3622" s="18" t="n">
        <x:v>10899</x:v>
      </x:c>
      <x:c r="D3622" s="18" t="n">
        <x:v>32273</x:v>
      </x:c>
      <x:c r="E3622" s="18" t="n">
        <x:v>9.38</x:v>
      </x:c>
      <x:c r="F3622" s="18" t="n">
        <x:v>10.46</x:v>
      </x:c>
      <x:c r="G3622" t="n">
        <x:v>36</x:v>
      </x:c>
      <x:c r="H3622" t="str">
        <x:v>B</x:v>
      </x:c>
      <x:c r="I3622" t="str">
        <x:v>10+ years</x:v>
      </x:c>
      <x:c r="J3622" t="str">
        <x:v>OWN</x:v>
      </x:c>
      <x:c r="K3622" t="str">
        <x:v>debt_consolidation</x:v>
      </x:c>
      <x:c r="L3622" t="n">
        <x:v>0</x:v>
      </x:c>
      <x:c r="M3622" t="n">
        <x:v>0</x:v>
      </x:c>
      <x:c r="N3622" t="str">
        <x:v>Fully Paid</x:v>
      </x:c>
      <x:c r="O3622" t="str">
        <x:f>IF(D3622="","Unknown",IF(D3622&lt;25000,"&lt;$25k",IF(D3622&lt;50000,"$25k-$50k",IF(D3622&lt;75000,"$50k-$75k",IF(D3622&lt;100000,"$75k-$100k","$100k+")))))</x:f>
        <x:v>$25k-$50k</x:v>
      </x:c>
      <x:c r="P3622" t="str">
        <x:f>IF(E3622="","Unknown",IF(E3622&lt;10,"&lt;10",IF(E3622&lt;20,"10-&lt;20",IF(E3622&lt;25,"20-&lt;25",IF(E3622&lt;35,"25-&lt;35","35+")))))</x:f>
        <x:v>&lt;10</x:v>
      </x:c>
    </x:row>
    <x:row r="3623">
      <x:c r="A3623" t="str">
        <x:v>SYN0003622</x:v>
      </x:c>
      <x:c r="B3623" s="12" t="n">
        <x:v>42865</x:v>
      </x:c>
      <x:c r="C3623" s="18" t="n">
        <x:v>5053</x:v>
      </x:c>
      <x:c r="D3623" s="18" t="n">
        <x:v>21327</x:v>
      </x:c>
      <x:c r="E3623" s="18" t="n">
        <x:v>25.48</x:v>
      </x:c>
      <x:c r="F3623" s="18" t="n">
        <x:v>14.87</x:v>
      </x:c>
      <x:c r="G3623" t="n">
        <x:v>60</x:v>
      </x:c>
      <x:c r="H3623" t="str">
        <x:v>D</x:v>
      </x:c>
      <x:c r="I3623" t="str">
        <x:v>1-3 years</x:v>
      </x:c>
      <x:c r="J3623" t="str">
        <x:v>RENT</x:v>
      </x:c>
      <x:c r="K3623" t="str">
        <x:v>debt_consolidation</x:v>
      </x:c>
      <x:c r="L3623" t="n">
        <x:v>0</x:v>
      </x:c>
      <x:c r="M3623" t="n">
        <x:v>1</x:v>
      </x:c>
      <x:c r="N3623" t="str">
        <x:v>Charged Off</x:v>
      </x:c>
      <x:c r="O3623" t="str">
        <x:f>IF(D3623="","Unknown",IF(D3623&lt;25000,"&lt;$25k",IF(D3623&lt;50000,"$25k-$50k",IF(D3623&lt;75000,"$50k-$75k",IF(D3623&lt;100000,"$75k-$100k","$100k+")))))</x:f>
        <x:v>&lt;$25k</x:v>
      </x:c>
      <x:c r="P3623" t="str">
        <x:f>IF(E3623="","Unknown",IF(E3623&lt;10,"&lt;10",IF(E3623&lt;20,"10-&lt;20",IF(E3623&lt;25,"20-&lt;25",IF(E3623&lt;35,"25-&lt;35","35+")))))</x:f>
        <x:v>25-&lt;35</x:v>
      </x:c>
    </x:row>
    <x:row r="3624">
      <x:c r="A3624" t="str">
        <x:v>SYN0003623</x:v>
      </x:c>
      <x:c r="B3624" s="12" t="n">
        <x:v>42265</x:v>
      </x:c>
      <x:c r="C3624" s="18" t="n">
        <x:v>6668</x:v>
      </x:c>
      <x:c r="D3624" s="18" t="n">
        <x:v>96012</x:v>
      </x:c>
      <x:c r="E3624" s="18" t="n">
        <x:v>24.83</x:v>
      </x:c>
      <x:c r="F3624" s="18" t="n">
        <x:v>6.47</x:v>
      </x:c>
      <x:c r="G3624" t="n">
        <x:v>36</x:v>
      </x:c>
      <x:c r="H3624" t="str">
        <x:v>A</x:v>
      </x:c>
      <x:c r="I3624" t="str">
        <x:v>4-6 years</x:v>
      </x:c>
      <x:c r="J3624" t="str">
        <x:v>RENT</x:v>
      </x:c>
      <x:c r="K3624" t="str">
        <x:v>debt_consolidation</x:v>
      </x:c>
      <x:c r="L3624" t="n">
        <x:v>0</x:v>
      </x:c>
      <x:c r="M3624" t="n">
        <x:v>0</x:v>
      </x:c>
      <x:c r="N3624" t="str">
        <x:v>Fully Paid</x:v>
      </x:c>
      <x:c r="O3624" t="str">
        <x:f>IF(D3624="","Unknown",IF(D3624&lt;25000,"&lt;$25k",IF(D3624&lt;50000,"$25k-$50k",IF(D3624&lt;75000,"$50k-$75k",IF(D3624&lt;100000,"$75k-$100k","$100k+")))))</x:f>
        <x:v>$75k-$100k</x:v>
      </x:c>
      <x:c r="P3624" t="str">
        <x:f>IF(E3624="","Unknown",IF(E3624&lt;10,"&lt;10",IF(E3624&lt;20,"10-&lt;20",IF(E3624&lt;25,"20-&lt;25",IF(E3624&lt;35,"25-&lt;35","35+")))))</x:f>
        <x:v>20-&lt;25</x:v>
      </x:c>
    </x:row>
    <x:row r="3625">
      <x:c r="A3625" t="str">
        <x:v>SYN0003624</x:v>
      </x:c>
      <x:c r="B3625" s="12" t="n">
        <x:v>42805</x:v>
      </x:c>
      <x:c r="C3625" s="18" t="n">
        <x:v>11233</x:v>
      </x:c>
      <x:c r="D3625" s="18" t="n">
        <x:v>33867</x:v>
      </x:c>
      <x:c r="E3625" s="18" t="n">
        <x:v>22.05</x:v>
      </x:c>
      <x:c r="F3625" s="18" t="n">
        <x:v>14.72</x:v>
      </x:c>
      <x:c r="G3625" t="n">
        <x:v>60</x:v>
      </x:c>
      <x:c r="H3625" t="str">
        <x:v>D</x:v>
      </x:c>
      <x:c r="I3625" t="str">
        <x:v>1-3 years</x:v>
      </x:c>
      <x:c r="J3625" t="str">
        <x:v>MORTGAGE</x:v>
      </x:c>
      <x:c r="K3625" t="str">
        <x:v>debt_consolidation</x:v>
      </x:c>
      <x:c r="L3625" t="n">
        <x:v>0</x:v>
      </x:c>
      <x:c r="M3625" t="n">
        <x:v>1</x:v>
      </x:c>
      <x:c r="N3625" t="str">
        <x:v>Charged Off</x:v>
      </x:c>
      <x:c r="O3625" t="str">
        <x:f>IF(D3625="","Unknown",IF(D3625&lt;25000,"&lt;$25k",IF(D3625&lt;50000,"$25k-$50k",IF(D3625&lt;75000,"$50k-$75k",IF(D3625&lt;100000,"$75k-$100k","$100k+")))))</x:f>
        <x:v>$25k-$50k</x:v>
      </x:c>
      <x:c r="P3625" t="str">
        <x:f>IF(E3625="","Unknown",IF(E3625&lt;10,"&lt;10",IF(E3625&lt;20,"10-&lt;20",IF(E3625&lt;25,"20-&lt;25",IF(E3625&lt;35,"25-&lt;35","35+")))))</x:f>
        <x:v>20-&lt;25</x:v>
      </x:c>
    </x:row>
    <x:row r="3626">
      <x:c r="A3626" t="str">
        <x:v>SYN0003625</x:v>
      </x:c>
      <x:c r="B3626" s="12" t="n">
        <x:v>41845</x:v>
      </x:c>
      <x:c r="C3626" s="18" t="n">
        <x:v>23999</x:v>
      </x:c>
      <x:c r="D3626" s="18" t="n">
        <x:v>30193</x:v>
      </x:c>
      <x:c r="E3626" s="18" t="n">
        <x:v>25.59</x:v>
      </x:c>
      <x:c r="F3626" s="18" t="n">
        <x:v>10.94</x:v>
      </x:c>
      <x:c r="G3626" t="n">
        <x:v>60</x:v>
      </x:c>
      <x:c r="H3626" t="str">
        <x:v>C</x:v>
      </x:c>
      <x:c r="I3626" t="str">
        <x:v>10+ years</x:v>
      </x:c>
      <x:c r="J3626" t="str">
        <x:v>MORTGAGE</x:v>
      </x:c>
      <x:c r="K3626" t="str">
        <x:v>home_improvement</x:v>
      </x:c>
      <x:c r="L3626" t="n">
        <x:v>1</x:v>
      </x:c>
      <x:c r="M3626" t="n">
        <x:v>0</x:v>
      </x:c>
      <x:c r="N3626" t="str">
        <x:v>Fully Paid</x:v>
      </x:c>
      <x:c r="O3626" t="str">
        <x:f>IF(D3626="","Unknown",IF(D3626&lt;25000,"&lt;$25k",IF(D3626&lt;50000,"$25k-$50k",IF(D3626&lt;75000,"$50k-$75k",IF(D3626&lt;100000,"$75k-$100k","$100k+")))))</x:f>
        <x:v>$25k-$50k</x:v>
      </x:c>
      <x:c r="P3626" t="str">
        <x:f>IF(E3626="","Unknown",IF(E3626&lt;10,"&lt;10",IF(E3626&lt;20,"10-&lt;20",IF(E3626&lt;25,"20-&lt;25",IF(E3626&lt;35,"25-&lt;35","35+")))))</x:f>
        <x:v>25-&lt;35</x:v>
      </x:c>
    </x:row>
    <x:row r="3627">
      <x:c r="A3627" t="str">
        <x:v>SYN0003626</x:v>
      </x:c>
      <x:c r="B3627" s="12" t="n">
        <x:v>42805</x:v>
      </x:c>
      <x:c r="C3627" s="18" t="n">
        <x:v>23220</x:v>
      </x:c>
      <x:c r="D3627" s="18" t="n">
        <x:v>40240</x:v>
      </x:c>
      <x:c r="E3627" s="18" t="n">
        <x:v>13.43</x:v>
      </x:c>
      <x:c r="F3627" s="18" t="n">
        <x:v>13.45</x:v>
      </x:c>
      <x:c r="G3627" t="n">
        <x:v>36</x:v>
      </x:c>
      <x:c r="H3627" t="str">
        <x:v>C</x:v>
      </x:c>
      <x:c r="I3627" t="str">
        <x:v>10+ years</x:v>
      </x:c>
      <x:c r="J3627" t="str">
        <x:v>MORTGAGE</x:v>
      </x:c>
      <x:c r="K3627" t="str">
        <x:v>debt_consolidation</x:v>
      </x:c>
      <x:c r="L3627" t="n">
        <x:v>1</x:v>
      </x:c>
      <x:c r="M3627" t="n">
        <x:v>0</x:v>
      </x:c>
      <x:c r="N3627" t="str">
        <x:v>Fully Paid</x:v>
      </x:c>
      <x:c r="O3627" t="str">
        <x:f>IF(D3627="","Unknown",IF(D3627&lt;25000,"&lt;$25k",IF(D3627&lt;50000,"$25k-$50k",IF(D3627&lt;75000,"$50k-$75k",IF(D3627&lt;100000,"$75k-$100k","$100k+")))))</x:f>
        <x:v>$25k-$50k</x:v>
      </x:c>
      <x:c r="P3627" t="str">
        <x:f>IF(E3627="","Unknown",IF(E3627&lt;10,"&lt;10",IF(E3627&lt;20,"10-&lt;20",IF(E3627&lt;25,"20-&lt;25",IF(E3627&lt;35,"25-&lt;35","35+")))))</x:f>
        <x:v>10-&lt;20</x:v>
      </x:c>
    </x:row>
    <x:row r="3628">
      <x:c r="A3628" t="str">
        <x:v>SYN0003627</x:v>
      </x:c>
      <x:c r="B3628" s="12" t="n">
        <x:v>43135</x:v>
      </x:c>
      <x:c r="C3628" s="18" t="n">
        <x:v>15295</x:v>
      </x:c>
      <x:c r="D3628" s="18" t="n">
        <x:v>112592</x:v>
      </x:c>
      <x:c r="E3628" s="18" t="n">
        <x:v>23.28</x:v>
      </x:c>
      <x:c r="F3628" s="18" t="n">
        <x:v>6.27</x:v>
      </x:c>
      <x:c r="G3628" t="n">
        <x:v>60</x:v>
      </x:c>
      <x:c r="H3628" t="str">
        <x:v>B</x:v>
      </x:c>
      <x:c r="I3628" t="str">
        <x:v>1-3 years</x:v>
      </x:c>
      <x:c r="J3628" t="str">
        <x:v>OTHER</x:v>
      </x:c>
      <x:c r="K3628" t="str">
        <x:v>major_purchase</x:v>
      </x:c>
      <x:c r="L3628" t="n">
        <x:v>1</x:v>
      </x:c>
      <x:c r="M3628" t="n">
        <x:v>0</x:v>
      </x:c>
      <x:c r="N3628" t="str">
        <x:v>Fully Paid</x:v>
      </x:c>
      <x:c r="O3628" t="str">
        <x:f>IF(D3628="","Unknown",IF(D3628&lt;25000,"&lt;$25k",IF(D3628&lt;50000,"$25k-$50k",IF(D3628&lt;75000,"$50k-$75k",IF(D3628&lt;100000,"$75k-$100k","$100k+")))))</x:f>
        <x:v>$100k+</x:v>
      </x:c>
      <x:c r="P3628" t="str">
        <x:f>IF(E3628="","Unknown",IF(E3628&lt;10,"&lt;10",IF(E3628&lt;20,"10-&lt;20",IF(E3628&lt;25,"20-&lt;25",IF(E3628&lt;35,"25-&lt;35","35+")))))</x:f>
        <x:v>20-&lt;25</x:v>
      </x:c>
    </x:row>
    <x:row r="3629">
      <x:c r="A3629" t="str">
        <x:v>SYN0003628</x:v>
      </x:c>
      <x:c r="B3629" s="12" t="n">
        <x:v>42625</x:v>
      </x:c>
      <x:c r="C3629" s="18" t="n">
        <x:v>8430</x:v>
      </x:c>
      <x:c r="D3629" s="18" t="n">
        <x:v>194982</x:v>
      </x:c>
      <x:c r="E3629" s="18" t="n">
        <x:v>14.46</x:v>
      </x:c>
      <x:c r="F3629" s="18" t="n">
        <x:v>16.63</x:v>
      </x:c>
      <x:c r="G3629" t="n">
        <x:v>60</x:v>
      </x:c>
      <x:c r="H3629" t="str">
        <x:v>E</x:v>
      </x:c>
      <x:c r="I3629" t="str">
        <x:v>1-3 years</x:v>
      </x:c>
      <x:c r="J3629" t="str">
        <x:v>RENT</x:v>
      </x:c>
      <x:c r="K3629" t="str">
        <x:v>other</x:v>
      </x:c>
      <x:c r="L3629" t="n">
        <x:v>0</x:v>
      </x:c>
      <x:c r="M3629" t="n">
        <x:v>0</x:v>
      </x:c>
      <x:c r="N3629" t="str">
        <x:v>Fully Paid</x:v>
      </x:c>
      <x:c r="O3629" t="str">
        <x:f>IF(D3629="","Unknown",IF(D3629&lt;25000,"&lt;$25k",IF(D3629&lt;50000,"$25k-$50k",IF(D3629&lt;75000,"$50k-$75k",IF(D3629&lt;100000,"$75k-$100k","$100k+")))))</x:f>
        <x:v>$100k+</x:v>
      </x:c>
      <x:c r="P3629" t="str">
        <x:f>IF(E3629="","Unknown",IF(E3629&lt;10,"&lt;10",IF(E3629&lt;20,"10-&lt;20",IF(E3629&lt;25,"20-&lt;25",IF(E3629&lt;35,"25-&lt;35","35+")))))</x:f>
        <x:v>10-&lt;20</x:v>
      </x:c>
    </x:row>
    <x:row r="3630">
      <x:c r="A3630" t="str">
        <x:v>SYN0003629</x:v>
      </x:c>
      <x:c r="B3630" s="12" t="n">
        <x:v>41545</x:v>
      </x:c>
      <x:c r="C3630" s="18" t="n">
        <x:v>16407</x:v>
      </x:c>
      <x:c r="D3630" s="18" t="n">
        <x:v>113059</x:v>
      </x:c>
      <x:c r="E3630" s="18" t="n">
        <x:v>6.52</x:v>
      </x:c>
      <x:c r="F3630" s="18" t="n">
        <x:v>14.65</x:v>
      </x:c>
      <x:c r="G3630" t="n">
        <x:v>36</x:v>
      </x:c>
      <x:c r="H3630" t="str">
        <x:v>D</x:v>
      </x:c>
      <x:c r="I3630" t="str">
        <x:v>1-3 years</x:v>
      </x:c>
      <x:c r="J3630" t="str">
        <x:v>OWN</x:v>
      </x:c>
      <x:c r="K3630" t="str">
        <x:v>debt_consolidation</x:v>
      </x:c>
      <x:c r="L3630" t="n">
        <x:v>2</x:v>
      </x:c>
      <x:c r="M3630" t="n">
        <x:v>0</x:v>
      </x:c>
      <x:c r="N3630" t="str">
        <x:v>Fully Paid</x:v>
      </x:c>
      <x:c r="O3630" t="str">
        <x:f>IF(D3630="","Unknown",IF(D3630&lt;25000,"&lt;$25k",IF(D3630&lt;50000,"$25k-$50k",IF(D3630&lt;75000,"$50k-$75k",IF(D3630&lt;100000,"$75k-$100k","$100k+")))))</x:f>
        <x:v>$100k+</x:v>
      </x:c>
      <x:c r="P3630" t="str">
        <x:f>IF(E3630="","Unknown",IF(E3630&lt;10,"&lt;10",IF(E3630&lt;20,"10-&lt;20",IF(E3630&lt;25,"20-&lt;25",IF(E3630&lt;35,"25-&lt;35","35+")))))</x:f>
        <x:v>&lt;10</x:v>
      </x:c>
    </x:row>
    <x:row r="3631">
      <x:c r="A3631" t="str">
        <x:v>SYN0003630</x:v>
      </x:c>
      <x:c r="B3631" s="12" t="n">
        <x:v>42715</x:v>
      </x:c>
      <x:c r="C3631" s="18" t="n">
        <x:v>12595</x:v>
      </x:c>
      <x:c r="D3631" s="18" t="n">
        <x:v>54394</x:v>
      </x:c>
      <x:c r="E3631" s="18" t="n">
        <x:v>9.19</x:v>
      </x:c>
      <x:c r="F3631" s="18" t="n">
        <x:v>21.13</x:v>
      </x:c>
      <x:c r="G3631" t="n">
        <x:v>36</x:v>
      </x:c>
      <x:c r="H3631" t="str">
        <x:v>F</x:v>
      </x:c>
      <x:c r="I3631" t="str">
        <x:v>7-9 years</x:v>
      </x:c>
      <x:c r="J3631" t="str">
        <x:v>RENT</x:v>
      </x:c>
      <x:c r="K3631" t="str">
        <x:v>debt_consolidation</x:v>
      </x:c>
      <x:c r="L3631" t="n">
        <x:v>1</x:v>
      </x:c>
      <x:c r="M3631" t="n">
        <x:v>0</x:v>
      </x:c>
      <x:c r="N3631" t="str">
        <x:v>Fully Paid</x:v>
      </x:c>
      <x:c r="O3631" t="str">
        <x:f>IF(D3631="","Unknown",IF(D3631&lt;25000,"&lt;$25k",IF(D3631&lt;50000,"$25k-$50k",IF(D3631&lt;75000,"$50k-$75k",IF(D3631&lt;100000,"$75k-$100k","$100k+")))))</x:f>
        <x:v>$50k-$75k</x:v>
      </x:c>
      <x:c r="P3631" t="str">
        <x:f>IF(E3631="","Unknown",IF(E3631&lt;10,"&lt;10",IF(E3631&lt;20,"10-&lt;20",IF(E3631&lt;25,"20-&lt;25",IF(E3631&lt;35,"25-&lt;35","35+")))))</x:f>
        <x:v>&lt;10</x:v>
      </x:c>
    </x:row>
    <x:row r="3632">
      <x:c r="A3632" t="str">
        <x:v>SYN0003631</x:v>
      </x:c>
      <x:c r="B3632" s="12" t="n">
        <x:v>41365</x:v>
      </x:c>
      <x:c r="C3632" s="18" t="n">
        <x:v>9366</x:v>
      </x:c>
      <x:c r="D3632" s="18" t="n">
        <x:v>21617</x:v>
      </x:c>
      <x:c r="E3632" s="18" t="n">
        <x:v>12.88</x:v>
      </x:c>
      <x:c r="F3632" s="18" t="n">
        <x:v>8.54</x:v>
      </x:c>
      <x:c r="G3632" t="n">
        <x:v>36</x:v>
      </x:c>
      <x:c r="H3632" t="str">
        <x:v>B</x:v>
      </x:c>
      <x:c r="I3632" t="str">
        <x:v>4-6 years</x:v>
      </x:c>
      <x:c r="J3632" t="str">
        <x:v>MORTGAGE</x:v>
      </x:c>
      <x:c r="K3632" t="str">
        <x:v>debt_consolidation</x:v>
      </x:c>
      <x:c r="L3632" t="n">
        <x:v>0</x:v>
      </x:c>
      <x:c r="M3632" t="n">
        <x:v>0</x:v>
      </x:c>
      <x:c r="N3632" t="str">
        <x:v>Fully Paid</x:v>
      </x:c>
      <x:c r="O3632" t="str">
        <x:f>IF(D3632="","Unknown",IF(D3632&lt;25000,"&lt;$25k",IF(D3632&lt;50000,"$25k-$50k",IF(D3632&lt;75000,"$50k-$75k",IF(D3632&lt;100000,"$75k-$100k","$100k+")))))</x:f>
        <x:v>&lt;$25k</x:v>
      </x:c>
      <x:c r="P3632" t="str">
        <x:f>IF(E3632="","Unknown",IF(E3632&lt;10,"&lt;10",IF(E3632&lt;20,"10-&lt;20",IF(E3632&lt;25,"20-&lt;25",IF(E3632&lt;35,"25-&lt;35","35+")))))</x:f>
        <x:v>10-&lt;20</x:v>
      </x:c>
    </x:row>
    <x:row r="3633">
      <x:c r="A3633" t="str">
        <x:v>SYN0003632</x:v>
      </x:c>
      <x:c r="B3633" s="12" t="n">
        <x:v>41305</x:v>
      </x:c>
      <x:c r="C3633" s="18" t="n">
        <x:v>10069</x:v>
      </x:c>
      <x:c r="D3633" s="18" t="n">
        <x:v>27277</x:v>
      </x:c>
      <x:c r="E3633" s="18" t="n">
        <x:v>23.59</x:v>
      </x:c>
      <x:c r="F3633" s="18" t="n">
        <x:v>5.77</x:v>
      </x:c>
      <x:c r="G3633" t="n">
        <x:v>36</x:v>
      </x:c>
      <x:c r="H3633" t="str">
        <x:v>B</x:v>
      </x:c>
      <x:c r="I3633" t="str">
        <x:v>10+ years</x:v>
      </x:c>
      <x:c r="J3633" t="str">
        <x:v>RENT</x:v>
      </x:c>
      <x:c r="K3633" t="str">
        <x:v>home_improvement</x:v>
      </x:c>
      <x:c r="L3633" t="n">
        <x:v>0</x:v>
      </x:c>
      <x:c r="M3633" t="n">
        <x:v>0</x:v>
      </x:c>
      <x:c r="N3633" t="str">
        <x:v>Fully Paid</x:v>
      </x:c>
      <x:c r="O3633" t="str">
        <x:f>IF(D3633="","Unknown",IF(D3633&lt;25000,"&lt;$25k",IF(D3633&lt;50000,"$25k-$50k",IF(D3633&lt;75000,"$50k-$75k",IF(D3633&lt;100000,"$75k-$100k","$100k+")))))</x:f>
        <x:v>$25k-$50k</x:v>
      </x:c>
      <x:c r="P3633" t="str">
        <x:f>IF(E3633="","Unknown",IF(E3633&lt;10,"&lt;10",IF(E3633&lt;20,"10-&lt;20",IF(E3633&lt;25,"20-&lt;25",IF(E3633&lt;35,"25-&lt;35","35+")))))</x:f>
        <x:v>20-&lt;25</x:v>
      </x:c>
    </x:row>
    <x:row r="3634">
      <x:c r="A3634" t="str">
        <x:v>SYN0003633</x:v>
      </x:c>
      <x:c r="B3634" s="12" t="n">
        <x:v>42415</x:v>
      </x:c>
      <x:c r="C3634" s="18" t="n">
        <x:v>24050</x:v>
      </x:c>
      <x:c r="D3634" s="18" t="n">
        <x:v>39354</x:v>
      </x:c>
      <x:c r="E3634" s="18" t="n">
        <x:v>20.75</x:v>
      </x:c>
      <x:c r="F3634" s="18" t="n">
        <x:v>13.8</x:v>
      </x:c>
      <x:c r="G3634" t="n">
        <x:v>36</x:v>
      </x:c>
      <x:c r="H3634" t="str">
        <x:v>C</x:v>
      </x:c>
      <x:c r="I3634" t="str">
        <x:v>1-3 years</x:v>
      </x:c>
      <x:c r="J3634" t="str">
        <x:v>RENT</x:v>
      </x:c>
      <x:c r="K3634" t="str">
        <x:v>debt_consolidation</x:v>
      </x:c>
      <x:c r="L3634" t="n">
        <x:v>0</x:v>
      </x:c>
      <x:c r="M3634" t="n">
        <x:v>0</x:v>
      </x:c>
      <x:c r="N3634" t="str">
        <x:v>Fully Paid</x:v>
      </x:c>
      <x:c r="O3634" t="str">
        <x:f>IF(D3634="","Unknown",IF(D3634&lt;25000,"&lt;$25k",IF(D3634&lt;50000,"$25k-$50k",IF(D3634&lt;75000,"$50k-$75k",IF(D3634&lt;100000,"$75k-$100k","$100k+")))))</x:f>
        <x:v>$25k-$50k</x:v>
      </x:c>
      <x:c r="P3634" t="str">
        <x:f>IF(E3634="","Unknown",IF(E3634&lt;10,"&lt;10",IF(E3634&lt;20,"10-&lt;20",IF(E3634&lt;25,"20-&lt;25",IF(E3634&lt;35,"25-&lt;35","35+")))))</x:f>
        <x:v>20-&lt;25</x:v>
      </x:c>
    </x:row>
    <x:row r="3635">
      <x:c r="A3635" t="str">
        <x:v>SYN0003634</x:v>
      </x:c>
      <x:c r="B3635" s="12" t="n">
        <x:v>42955</x:v>
      </x:c>
      <x:c r="C3635" s="18" t="n">
        <x:v>13223</x:v>
      </x:c>
      <x:c r="D3635" s="18" t="n">
        <x:v>25656</x:v>
      </x:c>
      <x:c r="E3635" s="18" t="n">
        <x:v>21.93</x:v>
      </x:c>
      <x:c r="F3635" s="18" t="n">
        <x:v>10.92</x:v>
      </x:c>
      <x:c r="G3635" t="n">
        <x:v>36</x:v>
      </x:c>
      <x:c r="H3635" t="str">
        <x:v>C</x:v>
      </x:c>
      <x:c r="I3635" t="str">
        <x:v>1-3 years</x:v>
      </x:c>
      <x:c r="J3635" t="str">
        <x:v>OTHER</x:v>
      </x:c>
      <x:c r="K3635" t="str">
        <x:v>debt_consolidation</x:v>
      </x:c>
      <x:c r="L3635" t="n">
        <x:v>1</x:v>
      </x:c>
      <x:c r="M3635" t="n">
        <x:v>0</x:v>
      </x:c>
      <x:c r="N3635" t="str">
        <x:v>Fully Paid</x:v>
      </x:c>
      <x:c r="O3635" t="str">
        <x:f>IF(D3635="","Unknown",IF(D3635&lt;25000,"&lt;$25k",IF(D3635&lt;50000,"$25k-$50k",IF(D3635&lt;75000,"$50k-$75k",IF(D3635&lt;100000,"$75k-$100k","$100k+")))))</x:f>
        <x:v>$25k-$50k</x:v>
      </x:c>
      <x:c r="P3635" t="str">
        <x:f>IF(E3635="","Unknown",IF(E3635&lt;10,"&lt;10",IF(E3635&lt;20,"10-&lt;20",IF(E3635&lt;25,"20-&lt;25",IF(E3635&lt;35,"25-&lt;35","35+")))))</x:f>
        <x:v>20-&lt;25</x:v>
      </x:c>
    </x:row>
    <x:row r="3636">
      <x:c r="A3636" t="str">
        <x:v>SYN0003635</x:v>
      </x:c>
      <x:c r="B3636" s="12" t="n">
        <x:v>42835</x:v>
      </x:c>
      <x:c r="C3636" s="18" t="n">
        <x:v>18479</x:v>
      </x:c>
      <x:c r="D3636" s="18" t="n">
        <x:v>32212</x:v>
      </x:c>
      <x:c r="E3636" s="18" t="n">
        <x:v>15.44</x:v>
      </x:c>
      <x:c r="F3636" s="18" t="n">
        <x:v>8.51</x:v>
      </x:c>
      <x:c r="G3636" t="n">
        <x:v>36</x:v>
      </x:c>
      <x:c r="H3636" t="str">
        <x:v>B</x:v>
      </x:c>
      <x:c r="I3636" t="str">
        <x:v>4-6 years</x:v>
      </x:c>
      <x:c r="J3636" t="str">
        <x:v>MORTGAGE</x:v>
      </x:c>
      <x:c r="K3636" t="str">
        <x:v>medical</x:v>
      </x:c>
      <x:c r="L3636" t="n">
        <x:v>0</x:v>
      </x:c>
      <x:c r="M3636" t="n">
        <x:v>0</x:v>
      </x:c>
      <x:c r="N3636" t="str">
        <x:v>Fully Paid</x:v>
      </x:c>
      <x:c r="O3636" t="str">
        <x:f>IF(D3636="","Unknown",IF(D3636&lt;25000,"&lt;$25k",IF(D3636&lt;50000,"$25k-$50k",IF(D3636&lt;75000,"$50k-$75k",IF(D3636&lt;100000,"$75k-$100k","$100k+")))))</x:f>
        <x:v>$25k-$50k</x:v>
      </x:c>
      <x:c r="P3636" t="str">
        <x:f>IF(E3636="","Unknown",IF(E3636&lt;10,"&lt;10",IF(E3636&lt;20,"10-&lt;20",IF(E3636&lt;25,"20-&lt;25",IF(E3636&lt;35,"25-&lt;35","35+")))))</x:f>
        <x:v>10-&lt;20</x:v>
      </x:c>
    </x:row>
    <x:row r="3637">
      <x:c r="A3637" t="str">
        <x:v>SYN0003636</x:v>
      </x:c>
      <x:c r="B3637" s="12" t="n">
        <x:v>41485</x:v>
      </x:c>
      <x:c r="C3637" s="18" t="n">
        <x:v>10191</x:v>
      </x:c>
      <x:c r="D3637" s="18" t="n">
        <x:v>30693</x:v>
      </x:c>
      <x:c r="E3637" s="18" t="n">
        <x:v>7.6</x:v>
      </x:c>
      <x:c r="F3637" s="18" t="n">
        <x:v>5</x:v>
      </x:c>
      <x:c r="G3637" t="n">
        <x:v>60</x:v>
      </x:c>
      <x:c r="H3637" t="str">
        <x:v>A</x:v>
      </x:c>
      <x:c r="I3637" t="str">
        <x:v>10+ years</x:v>
      </x:c>
      <x:c r="J3637" t="str">
        <x:v>RENT</x:v>
      </x:c>
      <x:c r="K3637" t="str">
        <x:v>other</x:v>
      </x:c>
      <x:c r="L3637" t="n">
        <x:v>0</x:v>
      </x:c>
      <x:c r="M3637" t="n">
        <x:v>0</x:v>
      </x:c>
      <x:c r="N3637" t="str">
        <x:v>Fully Paid</x:v>
      </x:c>
      <x:c r="O3637" t="str">
        <x:f>IF(D3637="","Unknown",IF(D3637&lt;25000,"&lt;$25k",IF(D3637&lt;50000,"$25k-$50k",IF(D3637&lt;75000,"$50k-$75k",IF(D3637&lt;100000,"$75k-$100k","$100k+")))))</x:f>
        <x:v>$25k-$50k</x:v>
      </x:c>
      <x:c r="P3637" t="str">
        <x:f>IF(E3637="","Unknown",IF(E3637&lt;10,"&lt;10",IF(E3637&lt;20,"10-&lt;20",IF(E3637&lt;25,"20-&lt;25",IF(E3637&lt;35,"25-&lt;35","35+")))))</x:f>
        <x:v>&lt;10</x:v>
      </x:c>
    </x:row>
    <x:row r="3638">
      <x:c r="A3638" t="str">
        <x:v>SYN0003637</x:v>
      </x:c>
      <x:c r="B3638" s="12" t="n">
        <x:v>42475</x:v>
      </x:c>
      <x:c r="C3638" s="18" t="n">
        <x:v>16608</x:v>
      </x:c>
      <x:c r="D3638" s="18" t="n">
        <x:v>50281</x:v>
      </x:c>
      <x:c r="E3638" s="18" t="n">
        <x:v>15.1</x:v>
      </x:c>
      <x:c r="F3638" s="18" t="n">
        <x:v>10.6</x:v>
      </x:c>
      <x:c r="G3638" t="n">
        <x:v>36</x:v>
      </x:c>
      <x:c r="H3638" t="str">
        <x:v>C</x:v>
      </x:c>
      <x:c r="I3638" t="str">
        <x:v>4-6 years</x:v>
      </x:c>
      <x:c r="J3638" t="str">
        <x:v>RENT</x:v>
      </x:c>
      <x:c r="K3638" t="str">
        <x:v>debt_consolidation</x:v>
      </x:c>
      <x:c r="L3638" t="n">
        <x:v>0</x:v>
      </x:c>
      <x:c r="M3638" t="n">
        <x:v>0</x:v>
      </x:c>
      <x:c r="N3638" t="str">
        <x:v>Fully Paid</x:v>
      </x:c>
      <x:c r="O3638" t="str">
        <x:f>IF(D3638="","Unknown",IF(D3638&lt;25000,"&lt;$25k",IF(D3638&lt;50000,"$25k-$50k",IF(D3638&lt;75000,"$50k-$75k",IF(D3638&lt;100000,"$75k-$100k","$100k+")))))</x:f>
        <x:v>$50k-$75k</x:v>
      </x:c>
      <x:c r="P3638" t="str">
        <x:f>IF(E3638="","Unknown",IF(E3638&lt;10,"&lt;10",IF(E3638&lt;20,"10-&lt;20",IF(E3638&lt;25,"20-&lt;25",IF(E3638&lt;35,"25-&lt;35","35+")))))</x:f>
        <x:v>10-&lt;20</x:v>
      </x:c>
    </x:row>
    <x:row r="3639">
      <x:c r="A3639" t="str">
        <x:v>SYN0003638</x:v>
      </x:c>
      <x:c r="B3639" s="12" t="n">
        <x:v>43105</x:v>
      </x:c>
      <x:c r="C3639" s="18" t="n">
        <x:v>16700</x:v>
      </x:c>
      <x:c r="D3639" s="18" t="n">
        <x:v>56485</x:v>
      </x:c>
      <x:c r="E3639" s="18" t="n">
        <x:v>19.4</x:v>
      </x:c>
      <x:c r="F3639" s="18" t="n">
        <x:v>12.81</x:v>
      </x:c>
      <x:c r="G3639" t="n">
        <x:v>60</x:v>
      </x:c>
      <x:c r="H3639" t="str">
        <x:v>D</x:v>
      </x:c>
      <x:c r="I3639" t="str">
        <x:v>1-3 years</x:v>
      </x:c>
      <x:c r="J3639" t="str">
        <x:v>MORTGAGE</x:v>
      </x:c>
      <x:c r="K3639" t="str">
        <x:v>home_improvement</x:v>
      </x:c>
      <x:c r="L3639" t="n">
        <x:v>0</x:v>
      </x:c>
      <x:c r="M3639" t="n">
        <x:v>0</x:v>
      </x:c>
      <x:c r="N3639" t="str">
        <x:v>Fully Paid</x:v>
      </x:c>
      <x:c r="O3639" t="str">
        <x:f>IF(D3639="","Unknown",IF(D3639&lt;25000,"&lt;$25k",IF(D3639&lt;50000,"$25k-$50k",IF(D3639&lt;75000,"$50k-$75k",IF(D3639&lt;100000,"$75k-$100k","$100k+")))))</x:f>
        <x:v>$50k-$75k</x:v>
      </x:c>
      <x:c r="P3639" t="str">
        <x:f>IF(E3639="","Unknown",IF(E3639&lt;10,"&lt;10",IF(E3639&lt;20,"10-&lt;20",IF(E3639&lt;25,"20-&lt;25",IF(E3639&lt;35,"25-&lt;35","35+")))))</x:f>
        <x:v>10-&lt;20</x:v>
      </x:c>
    </x:row>
    <x:row r="3640">
      <x:c r="A3640" t="str">
        <x:v>SYN0003639</x:v>
      </x:c>
      <x:c r="B3640" s="12" t="n">
        <x:v>43075</x:v>
      </x:c>
      <x:c r="C3640" s="18" t="n">
        <x:v>6054</x:v>
      </x:c>
      <x:c r="D3640" s="18" t="n">
        <x:v>39302</x:v>
      </x:c>
      <x:c r="E3640" s="18" t="n">
        <x:v>27.74</x:v>
      </x:c>
      <x:c r="F3640" s="18" t="n">
        <x:v>9.84</x:v>
      </x:c>
      <x:c r="G3640" t="n">
        <x:v>36</x:v>
      </x:c>
      <x:c r="H3640" t="str">
        <x:v>B</x:v>
      </x:c>
      <x:c r="I3640" t="str">
        <x:v>10+ years</x:v>
      </x:c>
      <x:c r="J3640" t="str">
        <x:v>OWN</x:v>
      </x:c>
      <x:c r="K3640" t="str">
        <x:v>credit_card</x:v>
      </x:c>
      <x:c r="L3640" t="n">
        <x:v>0</x:v>
      </x:c>
      <x:c r="M3640" t="n">
        <x:v>0</x:v>
      </x:c>
      <x:c r="N3640" t="str">
        <x:v>Fully Paid</x:v>
      </x:c>
      <x:c r="O3640" t="str">
        <x:f>IF(D3640="","Unknown",IF(D3640&lt;25000,"&lt;$25k",IF(D3640&lt;50000,"$25k-$50k",IF(D3640&lt;75000,"$50k-$75k",IF(D3640&lt;100000,"$75k-$100k","$100k+")))))</x:f>
        <x:v>$25k-$50k</x:v>
      </x:c>
      <x:c r="P3640" t="str">
        <x:f>IF(E3640="","Unknown",IF(E3640&lt;10,"&lt;10",IF(E3640&lt;20,"10-&lt;20",IF(E3640&lt;25,"20-&lt;25",IF(E3640&lt;35,"25-&lt;35","35+")))))</x:f>
        <x:v>25-&lt;35</x:v>
      </x:c>
    </x:row>
    <x:row r="3641">
      <x:c r="A3641" t="str">
        <x:v>SYN0003640</x:v>
      </x:c>
      <x:c r="B3641" s="12" t="n">
        <x:v>41875</x:v>
      </x:c>
      <x:c r="C3641" s="18" t="n">
        <x:v>9922</x:v>
      </x:c>
      <x:c r="D3641" s="18" t="n">
        <x:v>88033</x:v>
      </x:c>
      <x:c r="E3641" s="18" t="n">
        <x:v>18.35</x:v>
      </x:c>
      <x:c r="F3641" s="18" t="n">
        <x:v>25.87</x:v>
      </x:c>
      <x:c r="G3641" t="n">
        <x:v>60</x:v>
      </x:c>
      <x:c r="H3641" t="str">
        <x:v>G</x:v>
      </x:c>
      <x:c r="I3641" t="str">
        <x:v>10+ years</x:v>
      </x:c>
      <x:c r="J3641" t="str">
        <x:v>RENT</x:v>
      </x:c>
      <x:c r="K3641" t="str">
        <x:v>home_improvement</x:v>
      </x:c>
      <x:c r="L3641" t="n">
        <x:v>2</x:v>
      </x:c>
      <x:c r="M3641" t="n">
        <x:v>0</x:v>
      </x:c>
      <x:c r="N3641" t="str">
        <x:v>Fully Paid</x:v>
      </x:c>
      <x:c r="O3641" t="str">
        <x:f>IF(D3641="","Unknown",IF(D3641&lt;25000,"&lt;$25k",IF(D3641&lt;50000,"$25k-$50k",IF(D3641&lt;75000,"$50k-$75k",IF(D3641&lt;100000,"$75k-$100k","$100k+")))))</x:f>
        <x:v>$75k-$100k</x:v>
      </x:c>
      <x:c r="P3641" t="str">
        <x:f>IF(E3641="","Unknown",IF(E3641&lt;10,"&lt;10",IF(E3641&lt;20,"10-&lt;20",IF(E3641&lt;25,"20-&lt;25",IF(E3641&lt;35,"25-&lt;35","35+")))))</x:f>
        <x:v>10-&lt;20</x:v>
      </x:c>
    </x:row>
    <x:row r="3642">
      <x:c r="A3642" t="str">
        <x:v>SYN0003641</x:v>
      </x:c>
      <x:c r="B3642" s="12" t="n">
        <x:v>41695</x:v>
      </x:c>
      <x:c r="C3642" s="18" t="n">
        <x:v>17534</x:v>
      </x:c>
      <x:c r="D3642" s="18" t="n">
        <x:v>101499</x:v>
      </x:c>
      <x:c r="E3642" s="18" t="n">
        <x:v>9.22</x:v>
      </x:c>
      <x:c r="F3642" s="18" t="n">
        <x:v>9.72</x:v>
      </x:c>
      <x:c r="G3642" t="n">
        <x:v>60</x:v>
      </x:c>
      <x:c r="H3642" t="str">
        <x:v>C</x:v>
      </x:c>
      <x:c r="I3642" t="str">
        <x:v>1-3 years</x:v>
      </x:c>
      <x:c r="J3642" t="str">
        <x:v>RENT</x:v>
      </x:c>
      <x:c r="K3642" t="str">
        <x:v>debt_consolidation</x:v>
      </x:c>
      <x:c r="L3642" t="n">
        <x:v>0</x:v>
      </x:c>
      <x:c r="M3642" t="n">
        <x:v>0</x:v>
      </x:c>
      <x:c r="N3642" t="str">
        <x:v>Fully Paid</x:v>
      </x:c>
      <x:c r="O3642" t="str">
        <x:f>IF(D3642="","Unknown",IF(D3642&lt;25000,"&lt;$25k",IF(D3642&lt;50000,"$25k-$50k",IF(D3642&lt;75000,"$50k-$75k",IF(D3642&lt;100000,"$75k-$100k","$100k+")))))</x:f>
        <x:v>$100k+</x:v>
      </x:c>
      <x:c r="P3642" t="str">
        <x:f>IF(E3642="","Unknown",IF(E3642&lt;10,"&lt;10",IF(E3642&lt;20,"10-&lt;20",IF(E3642&lt;25,"20-&lt;25",IF(E3642&lt;35,"25-&lt;35","35+")))))</x:f>
        <x:v>&lt;10</x:v>
      </x:c>
    </x:row>
    <x:row r="3643">
      <x:c r="A3643" t="str">
        <x:v>SYN0003642</x:v>
      </x:c>
      <x:c r="B3643" s="12" t="n">
        <x:v>41725</x:v>
      </x:c>
      <x:c r="C3643" s="18" t="n">
        <x:v>6390</x:v>
      </x:c>
      <x:c r="D3643" s="18" t="n">
        <x:v>52637</x:v>
      </x:c>
      <x:c r="E3643" s="18" t="n">
        <x:v>23.85</x:v>
      </x:c>
      <x:c r="F3643" s="18" t="n">
        <x:v>11.73</x:v>
      </x:c>
      <x:c r="G3643" t="n">
        <x:v>36</x:v>
      </x:c>
      <x:c r="H3643" t="str">
        <x:v>C</x:v>
      </x:c>
      <x:c r="I3643" t="str">
        <x:v>7-9 years</x:v>
      </x:c>
      <x:c r="J3643" t="str">
        <x:v>RENT</x:v>
      </x:c>
      <x:c r="K3643" t="str">
        <x:v>medical</x:v>
      </x:c>
      <x:c r="L3643" t="n">
        <x:v>0</x:v>
      </x:c>
      <x:c r="M3643" t="n">
        <x:v>0</x:v>
      </x:c>
      <x:c r="N3643" t="str">
        <x:v>Fully Paid</x:v>
      </x:c>
      <x:c r="O3643" t="str">
        <x:f>IF(D3643="","Unknown",IF(D3643&lt;25000,"&lt;$25k",IF(D3643&lt;50000,"$25k-$50k",IF(D3643&lt;75000,"$50k-$75k",IF(D3643&lt;100000,"$75k-$100k","$100k+")))))</x:f>
        <x:v>$50k-$75k</x:v>
      </x:c>
      <x:c r="P3643" t="str">
        <x:f>IF(E3643="","Unknown",IF(E3643&lt;10,"&lt;10",IF(E3643&lt;20,"10-&lt;20",IF(E3643&lt;25,"20-&lt;25",IF(E3643&lt;35,"25-&lt;35","35+")))))</x:f>
        <x:v>20-&lt;25</x:v>
      </x:c>
    </x:row>
    <x:row r="3644">
      <x:c r="A3644" t="str">
        <x:v>SYN0003643</x:v>
      </x:c>
      <x:c r="B3644" s="12" t="n">
        <x:v>42625</x:v>
      </x:c>
      <x:c r="C3644" s="18" t="n">
        <x:v>9189</x:v>
      </x:c>
      <x:c r="D3644" s="18" t="n">
        <x:v>168817</x:v>
      </x:c>
      <x:c r="E3644" s="18" t="n">
        <x:v>22.63</x:v>
      </x:c>
      <x:c r="F3644" s="18" t="n">
        <x:v>17.69</x:v>
      </x:c>
      <x:c r="G3644" t="n">
        <x:v>36</x:v>
      </x:c>
      <x:c r="H3644" t="str">
        <x:v>E</x:v>
      </x:c>
      <x:c r="I3644" t="str">
        <x:v>4-6 years</x:v>
      </x:c>
      <x:c r="J3644" t="str">
        <x:v>MORTGAGE</x:v>
      </x:c>
      <x:c r="K3644" t="str">
        <x:v>debt_consolidation</x:v>
      </x:c>
      <x:c r="L3644" t="n">
        <x:v>0</x:v>
      </x:c>
      <x:c r="M3644" t="n">
        <x:v>0</x:v>
      </x:c>
      <x:c r="N3644" t="str">
        <x:v>Fully Paid</x:v>
      </x:c>
      <x:c r="O3644" t="str">
        <x:f>IF(D3644="","Unknown",IF(D3644&lt;25000,"&lt;$25k",IF(D3644&lt;50000,"$25k-$50k",IF(D3644&lt;75000,"$50k-$75k",IF(D3644&lt;100000,"$75k-$100k","$100k+")))))</x:f>
        <x:v>$100k+</x:v>
      </x:c>
      <x:c r="P3644" t="str">
        <x:f>IF(E3644="","Unknown",IF(E3644&lt;10,"&lt;10",IF(E3644&lt;20,"10-&lt;20",IF(E3644&lt;25,"20-&lt;25",IF(E3644&lt;35,"25-&lt;35","35+")))))</x:f>
        <x:v>20-&lt;25</x:v>
      </x:c>
    </x:row>
    <x:row r="3645">
      <x:c r="A3645" t="str">
        <x:v>SYN0003644</x:v>
      </x:c>
      <x:c r="B3645" s="12" t="n">
        <x:v>42175</x:v>
      </x:c>
      <x:c r="C3645" s="18" t="n">
        <x:v>11972</x:v>
      </x:c>
      <x:c r="D3645" s="18" t="n">
        <x:v>51939</x:v>
      </x:c>
      <x:c r="E3645" s="18" t="n">
        <x:v>19.13</x:v>
      </x:c>
      <x:c r="F3645" s="18" t="n">
        <x:v>8.41</x:v>
      </x:c>
      <x:c r="G3645" t="n">
        <x:v>36</x:v>
      </x:c>
      <x:c r="H3645" t="str">
        <x:v>C</x:v>
      </x:c>
      <x:c r="I3645" t="str">
        <x:v>7-9 years</x:v>
      </x:c>
      <x:c r="J3645" t="str">
        <x:v>RENT</x:v>
      </x:c>
      <x:c r="K3645" t="str">
        <x:v>credit_card</x:v>
      </x:c>
      <x:c r="L3645" t="n">
        <x:v>0</x:v>
      </x:c>
      <x:c r="M3645" t="n">
        <x:v>0</x:v>
      </x:c>
      <x:c r="N3645" t="str">
        <x:v>Fully Paid</x:v>
      </x:c>
      <x:c r="O3645" t="str">
        <x:f>IF(D3645="","Unknown",IF(D3645&lt;25000,"&lt;$25k",IF(D3645&lt;50000,"$25k-$50k",IF(D3645&lt;75000,"$50k-$75k",IF(D3645&lt;100000,"$75k-$100k","$100k+")))))</x:f>
        <x:v>$50k-$75k</x:v>
      </x:c>
      <x:c r="P3645" t="str">
        <x:f>IF(E3645="","Unknown",IF(E3645&lt;10,"&lt;10",IF(E3645&lt;20,"10-&lt;20",IF(E3645&lt;25,"20-&lt;25",IF(E3645&lt;35,"25-&lt;35","35+")))))</x:f>
        <x:v>10-&lt;20</x:v>
      </x:c>
    </x:row>
    <x:row r="3646">
      <x:c r="A3646" t="str">
        <x:v>SYN0003645</x:v>
      </x:c>
      <x:c r="B3646" s="12" t="n">
        <x:v>41365</x:v>
      </x:c>
      <x:c r="C3646" s="18" t="n">
        <x:v>17113</x:v>
      </x:c>
      <x:c r="D3646" s="18" t="n">
        <x:v>97915</x:v>
      </x:c>
      <x:c r="E3646" s="18" t="n">
        <x:v>14.66</x:v>
      </x:c>
      <x:c r="F3646" s="18" t="n">
        <x:v>14.05</x:v>
      </x:c>
      <x:c r="G3646" t="n">
        <x:v>60</x:v>
      </x:c>
      <x:c r="H3646" t="str">
        <x:v>D</x:v>
      </x:c>
      <x:c r="I3646" t="str">
        <x:v>1-3 years</x:v>
      </x:c>
      <x:c r="J3646" t="str">
        <x:v>OTHER</x:v>
      </x:c>
      <x:c r="K3646" t="str">
        <x:v>credit_card</x:v>
      </x:c>
      <x:c r="L3646" t="n">
        <x:v>0</x:v>
      </x:c>
      <x:c r="M3646" t="n">
        <x:v>0</x:v>
      </x:c>
      <x:c r="N3646" t="str">
        <x:v>Fully Paid</x:v>
      </x:c>
      <x:c r="O3646" t="str">
        <x:f>IF(D3646="","Unknown",IF(D3646&lt;25000,"&lt;$25k",IF(D3646&lt;50000,"$25k-$50k",IF(D3646&lt;75000,"$50k-$75k",IF(D3646&lt;100000,"$75k-$100k","$100k+")))))</x:f>
        <x:v>$75k-$100k</x:v>
      </x:c>
      <x:c r="P3646" t="str">
        <x:f>IF(E3646="","Unknown",IF(E3646&lt;10,"&lt;10",IF(E3646&lt;20,"10-&lt;20",IF(E3646&lt;25,"20-&lt;25",IF(E3646&lt;35,"25-&lt;35","35+")))))</x:f>
        <x:v>10-&lt;20</x:v>
      </x:c>
    </x:row>
    <x:row r="3647">
      <x:c r="A3647" t="str">
        <x:v>SYN0003646</x:v>
      </x:c>
      <x:c r="B3647" s="12" t="n">
        <x:v>43045</x:v>
      </x:c>
      <x:c r="C3647" s="18" t="n">
        <x:v>13623</x:v>
      </x:c>
      <x:c r="D3647" s="18" t="n">
        <x:v>49999</x:v>
      </x:c>
      <x:c r="E3647" s="18" t="n">
        <x:v>9.63</x:v>
      </x:c>
      <x:c r="F3647" s="18" t="n">
        <x:v>12.98</x:v>
      </x:c>
      <x:c r="G3647" t="n">
        <x:v>36</x:v>
      </x:c>
      <x:c r="H3647" t="str">
        <x:v>D</x:v>
      </x:c>
      <x:c r="I3647" t="str">
        <x:v>1-3 years</x:v>
      </x:c>
      <x:c r="J3647" t="str">
        <x:v>MORTGAGE</x:v>
      </x:c>
      <x:c r="K3647" t="str">
        <x:v>home_improvement</x:v>
      </x:c>
      <x:c r="L3647" t="n">
        <x:v>0</x:v>
      </x:c>
      <x:c r="M3647" t="n">
        <x:v>1</x:v>
      </x:c>
      <x:c r="N3647" t="str">
        <x:v>Charged Off</x:v>
      </x:c>
      <x:c r="O3647" t="str">
        <x:f>IF(D3647="","Unknown",IF(D3647&lt;25000,"&lt;$25k",IF(D3647&lt;50000,"$25k-$50k",IF(D3647&lt;75000,"$50k-$75k",IF(D3647&lt;100000,"$75k-$100k","$100k+")))))</x:f>
        <x:v>$25k-$50k</x:v>
      </x:c>
      <x:c r="P3647" t="str">
        <x:f>IF(E3647="","Unknown",IF(E3647&lt;10,"&lt;10",IF(E3647&lt;20,"10-&lt;20",IF(E3647&lt;25,"20-&lt;25",IF(E3647&lt;35,"25-&lt;35","35+")))))</x:f>
        <x:v>&lt;10</x:v>
      </x:c>
    </x:row>
    <x:row r="3648">
      <x:c r="A3648" t="str">
        <x:v>SYN0003647</x:v>
      </x:c>
      <x:c r="B3648" s="12" t="n">
        <x:v>42265</x:v>
      </x:c>
      <x:c r="C3648" s="18" t="n">
        <x:v>10976</x:v>
      </x:c>
      <x:c r="D3648" s="18" t="n">
        <x:v>99060</x:v>
      </x:c>
      <x:c r="E3648" s="18" t="n">
        <x:v>20.1</x:v>
      </x:c>
      <x:c r="F3648" s="18" t="n">
        <x:v>12.37</x:v>
      </x:c>
      <x:c r="G3648" t="n">
        <x:v>36</x:v>
      </x:c>
      <x:c r="H3648" t="str">
        <x:v>C</x:v>
      </x:c>
      <x:c r="I3648" t="str">
        <x:v>7-9 years</x:v>
      </x:c>
      <x:c r="J3648" t="str">
        <x:v>OWN</x:v>
      </x:c>
      <x:c r="K3648" t="str">
        <x:v>credit_card</x:v>
      </x:c>
      <x:c r="L3648" t="n">
        <x:v>2</x:v>
      </x:c>
      <x:c r="M3648" t="n">
        <x:v>0</x:v>
      </x:c>
      <x:c r="N3648" t="str">
        <x:v>Fully Paid</x:v>
      </x:c>
      <x:c r="O3648" t="str">
        <x:f>IF(D3648="","Unknown",IF(D3648&lt;25000,"&lt;$25k",IF(D3648&lt;50000,"$25k-$50k",IF(D3648&lt;75000,"$50k-$75k",IF(D3648&lt;100000,"$75k-$100k","$100k+")))))</x:f>
        <x:v>$75k-$100k</x:v>
      </x:c>
      <x:c r="P3648" t="str">
        <x:f>IF(E3648="","Unknown",IF(E3648&lt;10,"&lt;10",IF(E3648&lt;20,"10-&lt;20",IF(E3648&lt;25,"20-&lt;25",IF(E3648&lt;35,"25-&lt;35","35+")))))</x:f>
        <x:v>20-&lt;25</x:v>
      </x:c>
    </x:row>
    <x:row r="3649">
      <x:c r="A3649" t="str">
        <x:v>SYN0003648</x:v>
      </x:c>
      <x:c r="B3649" s="12" t="n">
        <x:v>41875</x:v>
      </x:c>
      <x:c r="C3649" s="18" t="n">
        <x:v>10110</x:v>
      </x:c>
      <x:c r="D3649" s="18" t="n">
        <x:v>15265</x:v>
      </x:c>
      <x:c r="E3649" s="18" t="n">
        <x:v>21.43</x:v>
      </x:c>
      <x:c r="F3649" s="18" t="n">
        <x:v>16.58</x:v>
      </x:c>
      <x:c r="G3649" t="n">
        <x:v>60</x:v>
      </x:c>
      <x:c r="H3649" t="str">
        <x:v>E</x:v>
      </x:c>
      <x:c r="I3649" t="str">
        <x:v>&lt;1 year</x:v>
      </x:c>
      <x:c r="J3649" t="str">
        <x:v>MORTGAGE</x:v>
      </x:c>
      <x:c r="K3649" t="str">
        <x:v>home_improvement</x:v>
      </x:c>
      <x:c r="L3649" t="n">
        <x:v>0</x:v>
      </x:c>
      <x:c r="M3649" t="n">
        <x:v>0</x:v>
      </x:c>
      <x:c r="N3649" t="str">
        <x:v>Fully Paid</x:v>
      </x:c>
      <x:c r="O3649" t="str">
        <x:f>IF(D3649="","Unknown",IF(D3649&lt;25000,"&lt;$25k",IF(D3649&lt;50000,"$25k-$50k",IF(D3649&lt;75000,"$50k-$75k",IF(D3649&lt;100000,"$75k-$100k","$100k+")))))</x:f>
        <x:v>&lt;$25k</x:v>
      </x:c>
      <x:c r="P3649" t="str">
        <x:f>IF(E3649="","Unknown",IF(E3649&lt;10,"&lt;10",IF(E3649&lt;20,"10-&lt;20",IF(E3649&lt;25,"20-&lt;25",IF(E3649&lt;35,"25-&lt;35","35+")))))</x:f>
        <x:v>20-&lt;25</x:v>
      </x:c>
    </x:row>
    <x:row r="3650">
      <x:c r="A3650" t="str">
        <x:v>SYN0003649</x:v>
      </x:c>
      <x:c r="B3650" s="12" t="n">
        <x:v>41725</x:v>
      </x:c>
      <x:c r="C3650" s="18" t="n">
        <x:v>16163</x:v>
      </x:c>
      <x:c r="D3650" s="18" t="n">
        <x:v>70471</x:v>
      </x:c>
      <x:c r="E3650" s="18" t="n">
        <x:v>18.09</x:v>
      </x:c>
      <x:c r="F3650" s="18" t="n">
        <x:v>6.58</x:v>
      </x:c>
      <x:c r="G3650" t="n">
        <x:v>60</x:v>
      </x:c>
      <x:c r="H3650" t="str">
        <x:v>A</x:v>
      </x:c>
      <x:c r="I3650" t="str">
        <x:v>7-9 years</x:v>
      </x:c>
      <x:c r="J3650" t="str">
        <x:v>MORTGAGE</x:v>
      </x:c>
      <x:c r="K3650" t="str">
        <x:v>debt_consolidation</x:v>
      </x:c>
      <x:c r="L3650" t="n">
        <x:v>0</x:v>
      </x:c>
      <x:c r="M3650" t="n">
        <x:v>0</x:v>
      </x:c>
      <x:c r="N3650" t="str">
        <x:v>Fully Paid</x:v>
      </x:c>
      <x:c r="O3650" t="str">
        <x:f>IF(D3650="","Unknown",IF(D3650&lt;25000,"&lt;$25k",IF(D3650&lt;50000,"$25k-$50k",IF(D3650&lt;75000,"$50k-$75k",IF(D3650&lt;100000,"$75k-$100k","$100k+")))))</x:f>
        <x:v>$50k-$75k</x:v>
      </x:c>
      <x:c r="P3650" t="str">
        <x:f>IF(E3650="","Unknown",IF(E3650&lt;10,"&lt;10",IF(E3650&lt;20,"10-&lt;20",IF(E3650&lt;25,"20-&lt;25",IF(E3650&lt;35,"25-&lt;35","35+")))))</x:f>
        <x:v>10-&lt;20</x:v>
      </x:c>
    </x:row>
    <x:row r="3651">
      <x:c r="A3651" t="str">
        <x:v>SYN0003650</x:v>
      </x:c>
      <x:c r="B3651" s="12" t="n">
        <x:v>42565</x:v>
      </x:c>
      <x:c r="C3651" s="18" t="n">
        <x:v>17183</x:v>
      </x:c>
      <x:c r="D3651" s="18" t="n">
        <x:v>28501</x:v>
      </x:c>
      <x:c r="E3651" s="18" t="n">
        <x:v>17.32</x:v>
      </x:c>
      <x:c r="F3651" s="18" t="n">
        <x:v>16.81</x:v>
      </x:c>
      <x:c r="G3651" t="n">
        <x:v>36</x:v>
      </x:c>
      <x:c r="H3651" t="str">
        <x:v>E</x:v>
      </x:c>
      <x:c r="I3651" t="str">
        <x:v>1-3 years</x:v>
      </x:c>
      <x:c r="J3651" t="str">
        <x:v>MORTGAGE</x:v>
      </x:c>
      <x:c r="K3651" t="str">
        <x:v>other</x:v>
      </x:c>
      <x:c r="L3651" t="n">
        <x:v>2</x:v>
      </x:c>
      <x:c r="M3651" t="n">
        <x:v>0</x:v>
      </x:c>
      <x:c r="N3651" t="str">
        <x:v>Fully Paid</x:v>
      </x:c>
      <x:c r="O3651" t="str">
        <x:f>IF(D3651="","Unknown",IF(D3651&lt;25000,"&lt;$25k",IF(D3651&lt;50000,"$25k-$50k",IF(D3651&lt;75000,"$50k-$75k",IF(D3651&lt;100000,"$75k-$100k","$100k+")))))</x:f>
        <x:v>$25k-$50k</x:v>
      </x:c>
      <x:c r="P3651" t="str">
        <x:f>IF(E3651="","Unknown",IF(E3651&lt;10,"&lt;10",IF(E3651&lt;20,"10-&lt;20",IF(E3651&lt;25,"20-&lt;25",IF(E3651&lt;35,"25-&lt;35","35+")))))</x:f>
        <x:v>10-&lt;20</x:v>
      </x:c>
    </x:row>
    <x:row r="3652">
      <x:c r="A3652" t="str">
        <x:v>SYN0003651</x:v>
      </x:c>
      <x:c r="B3652" s="12" t="n">
        <x:v>42175</x:v>
      </x:c>
      <x:c r="C3652" s="18" t="n">
        <x:v>13748</x:v>
      </x:c>
      <x:c r="D3652" s="18" t="n">
        <x:v>78640</x:v>
      </x:c>
      <x:c r="E3652" s="18" t="n">
        <x:v>30.54</x:v>
      </x:c>
      <x:c r="F3652" s="18" t="n">
        <x:v>5</x:v>
      </x:c>
      <x:c r="G3652" t="n">
        <x:v>36</x:v>
      </x:c>
      <x:c r="H3652" t="str">
        <x:v>A</x:v>
      </x:c>
      <x:c r="I3652" t="str">
        <x:v>1-3 years</x:v>
      </x:c>
      <x:c r="J3652" t="str">
        <x:v>MORTGAGE</x:v>
      </x:c>
      <x:c r="K3652" t="str">
        <x:v>major_purchase</x:v>
      </x:c>
      <x:c r="L3652" t="n">
        <x:v>0</x:v>
      </x:c>
      <x:c r="M3652" t="n">
        <x:v>0</x:v>
      </x:c>
      <x:c r="N3652" t="str">
        <x:v>Fully Paid</x:v>
      </x:c>
      <x:c r="O3652" t="str">
        <x:f>IF(D3652="","Unknown",IF(D3652&lt;25000,"&lt;$25k",IF(D3652&lt;50000,"$25k-$50k",IF(D3652&lt;75000,"$50k-$75k",IF(D3652&lt;100000,"$75k-$100k","$100k+")))))</x:f>
        <x:v>$75k-$100k</x:v>
      </x:c>
      <x:c r="P3652" t="str">
        <x:f>IF(E3652="","Unknown",IF(E3652&lt;10,"&lt;10",IF(E3652&lt;20,"10-&lt;20",IF(E3652&lt;25,"20-&lt;25",IF(E3652&lt;35,"25-&lt;35","35+")))))</x:f>
        <x:v>25-&lt;35</x:v>
      </x:c>
    </x:row>
    <x:row r="3653">
      <x:c r="A3653" t="str">
        <x:v>SYN0003652</x:v>
      </x:c>
      <x:c r="B3653" s="12" t="n">
        <x:v>41995</x:v>
      </x:c>
      <x:c r="C3653" s="18" t="n">
        <x:v>13653</x:v>
      </x:c>
      <x:c r="D3653" s="18" t="n">
        <x:v>71586</x:v>
      </x:c>
      <x:c r="E3653" s="18" t="n">
        <x:v>21.22</x:v>
      </x:c>
      <x:c r="F3653" s="18" t="n">
        <x:v>5</x:v>
      </x:c>
      <x:c r="G3653" t="n">
        <x:v>36</x:v>
      </x:c>
      <x:c r="H3653" t="str">
        <x:v>A</x:v>
      </x:c>
      <x:c r="I3653" t="str">
        <x:v>7-9 years</x:v>
      </x:c>
      <x:c r="J3653" t="str">
        <x:v>RENT</x:v>
      </x:c>
      <x:c r="K3653" t="str">
        <x:v>medical</x:v>
      </x:c>
      <x:c r="L3653" t="n">
        <x:v>0</x:v>
      </x:c>
      <x:c r="M3653" t="n">
        <x:v>0</x:v>
      </x:c>
      <x:c r="N3653" t="str">
        <x:v>Fully Paid</x:v>
      </x:c>
      <x:c r="O3653" t="str">
        <x:f>IF(D3653="","Unknown",IF(D3653&lt;25000,"&lt;$25k",IF(D3653&lt;50000,"$25k-$50k",IF(D3653&lt;75000,"$50k-$75k",IF(D3653&lt;100000,"$75k-$100k","$100k+")))))</x:f>
        <x:v>$50k-$75k</x:v>
      </x:c>
      <x:c r="P3653" t="str">
        <x:f>IF(E3653="","Unknown",IF(E3653&lt;10,"&lt;10",IF(E3653&lt;20,"10-&lt;20",IF(E3653&lt;25,"20-&lt;25",IF(E3653&lt;35,"25-&lt;35","35+")))))</x:f>
        <x:v>20-&lt;25</x:v>
      </x:c>
    </x:row>
    <x:row r="3654">
      <x:c r="A3654" t="str">
        <x:v>SYN0003653</x:v>
      </x:c>
      <x:c r="B3654" s="12" t="n">
        <x:v>42385</x:v>
      </x:c>
      <x:c r="C3654" s="18" t="n">
        <x:v>7730</x:v>
      </x:c>
      <x:c r="D3654" s="18" t="n">
        <x:v>47386</x:v>
      </x:c>
      <x:c r="E3654" s="18" t="n">
        <x:v>33.3</x:v>
      </x:c>
      <x:c r="F3654" s="18" t="n">
        <x:v>10.67</x:v>
      </x:c>
      <x:c r="G3654" t="n">
        <x:v>60</x:v>
      </x:c>
      <x:c r="H3654" t="str">
        <x:v>C</x:v>
      </x:c>
      <x:c r="I3654" t="str">
        <x:v>10+ years</x:v>
      </x:c>
      <x:c r="J3654" t="str">
        <x:v>RENT</x:v>
      </x:c>
      <x:c r="K3654" t="str">
        <x:v>major_purchase</x:v>
      </x:c>
      <x:c r="L3654" t="n">
        <x:v>0</x:v>
      </x:c>
      <x:c r="M3654" t="n">
        <x:v>0</x:v>
      </x:c>
      <x:c r="N3654" t="str">
        <x:v>Fully Paid</x:v>
      </x:c>
      <x:c r="O3654" t="str">
        <x:f>IF(D3654="","Unknown",IF(D3654&lt;25000,"&lt;$25k",IF(D3654&lt;50000,"$25k-$50k",IF(D3654&lt;75000,"$50k-$75k",IF(D3654&lt;100000,"$75k-$100k","$100k+")))))</x:f>
        <x:v>$25k-$50k</x:v>
      </x:c>
      <x:c r="P3654" t="str">
        <x:f>IF(E3654="","Unknown",IF(E3654&lt;10,"&lt;10",IF(E3654&lt;20,"10-&lt;20",IF(E3654&lt;25,"20-&lt;25",IF(E3654&lt;35,"25-&lt;35","35+")))))</x:f>
        <x:v>25-&lt;35</x:v>
      </x:c>
    </x:row>
    <x:row r="3655">
      <x:c r="A3655" t="str">
        <x:v>SYN0003654</x:v>
      </x:c>
      <x:c r="B3655" s="12" t="n">
        <x:v>42175</x:v>
      </x:c>
      <x:c r="C3655" s="18" t="n">
        <x:v>8838</x:v>
      </x:c>
      <x:c r="D3655" s="18" t="n">
        <x:v>173422</x:v>
      </x:c>
      <x:c r="E3655" s="18" t="n">
        <x:v>27.73</x:v>
      </x:c>
      <x:c r="F3655" s="18" t="n">
        <x:v>20.76</x:v>
      </x:c>
      <x:c r="G3655" t="n">
        <x:v>36</x:v>
      </x:c>
      <x:c r="H3655" t="str">
        <x:v>E</x:v>
      </x:c>
      <x:c r="I3655" t="str">
        <x:v>10+ years</x:v>
      </x:c>
      <x:c r="J3655" t="str">
        <x:v>RENT</x:v>
      </x:c>
      <x:c r="K3655" t="str">
        <x:v>debt_consolidation</x:v>
      </x:c>
      <x:c r="L3655" t="n">
        <x:v>0</x:v>
      </x:c>
      <x:c r="M3655" t="n">
        <x:v>0</x:v>
      </x:c>
      <x:c r="N3655" t="str">
        <x:v>Fully Paid</x:v>
      </x:c>
      <x:c r="O3655" t="str">
        <x:f>IF(D3655="","Unknown",IF(D3655&lt;25000,"&lt;$25k",IF(D3655&lt;50000,"$25k-$50k",IF(D3655&lt;75000,"$50k-$75k",IF(D3655&lt;100000,"$75k-$100k","$100k+")))))</x:f>
        <x:v>$100k+</x:v>
      </x:c>
      <x:c r="P3655" t="str">
        <x:f>IF(E3655="","Unknown",IF(E3655&lt;10,"&lt;10",IF(E3655&lt;20,"10-&lt;20",IF(E3655&lt;25,"20-&lt;25",IF(E3655&lt;35,"25-&lt;35","35+")))))</x:f>
        <x:v>25-&lt;35</x:v>
      </x:c>
    </x:row>
    <x:row r="3656">
      <x:c r="A3656" t="str">
        <x:v>SYN0003655</x:v>
      </x:c>
      <x:c r="B3656" s="12" t="n">
        <x:v>42235</x:v>
      </x:c>
      <x:c r="C3656" s="18" t="n">
        <x:v>10500</x:v>
      </x:c>
      <x:c r="D3656" s="18" t="n">
        <x:v>22194</x:v>
      </x:c>
      <x:c r="E3656" s="18" t="n">
        <x:v>31.32</x:v>
      </x:c>
      <x:c r="F3656" s="18" t="n">
        <x:v>8.83</x:v>
      </x:c>
      <x:c r="G3656" t="n">
        <x:v>60</x:v>
      </x:c>
      <x:c r="H3656" t="str">
        <x:v>C</x:v>
      </x:c>
      <x:c r="I3656" t="str">
        <x:v>4-6 years</x:v>
      </x:c>
      <x:c r="J3656" t="str">
        <x:v>MORTGAGE</x:v>
      </x:c>
      <x:c r="K3656" t="str">
        <x:v>home_improvement</x:v>
      </x:c>
      <x:c r="L3656" t="n">
        <x:v>1</x:v>
      </x:c>
      <x:c r="M3656" t="n">
        <x:v>0</x:v>
      </x:c>
      <x:c r="N3656" t="str">
        <x:v>Fully Paid</x:v>
      </x:c>
      <x:c r="O3656" t="str">
        <x:f>IF(D3656="","Unknown",IF(D3656&lt;25000,"&lt;$25k",IF(D3656&lt;50000,"$25k-$50k",IF(D3656&lt;75000,"$50k-$75k",IF(D3656&lt;100000,"$75k-$100k","$100k+")))))</x:f>
        <x:v>&lt;$25k</x:v>
      </x:c>
      <x:c r="P3656" t="str">
        <x:f>IF(E3656="","Unknown",IF(E3656&lt;10,"&lt;10",IF(E3656&lt;20,"10-&lt;20",IF(E3656&lt;25,"20-&lt;25",IF(E3656&lt;35,"25-&lt;35","35+")))))</x:f>
        <x:v>25-&lt;35</x:v>
      </x:c>
    </x:row>
    <x:row r="3657">
      <x:c r="A3657" t="str">
        <x:v>SYN0003656</x:v>
      </x:c>
      <x:c r="B3657" s="12" t="n">
        <x:v>43405</x:v>
      </x:c>
      <x:c r="C3657" s="18" t="n">
        <x:v>17609</x:v>
      </x:c>
      <x:c r="D3657" s="18" t="n">
        <x:v>143568</x:v>
      </x:c>
      <x:c r="E3657" s="18" t="n">
        <x:v>19.45</x:v>
      </x:c>
      <x:c r="F3657" s="18" t="n">
        <x:v>9.33</x:v>
      </x:c>
      <x:c r="G3657" t="n">
        <x:v>36</x:v>
      </x:c>
      <x:c r="H3657" t="str">
        <x:v>C</x:v>
      </x:c>
      <x:c r="I3657" t="str">
        <x:v>4-6 years</x:v>
      </x:c>
      <x:c r="J3657" t="str">
        <x:v>OWN</x:v>
      </x:c>
      <x:c r="K3657" t="str">
        <x:v>debt_consolidation</x:v>
      </x:c>
      <x:c r="L3657" t="n">
        <x:v>1</x:v>
      </x:c>
      <x:c r="M3657" t="n">
        <x:v>0</x:v>
      </x:c>
      <x:c r="N3657" t="str">
        <x:v>Fully Paid</x:v>
      </x:c>
      <x:c r="O3657" t="str">
        <x:f>IF(D3657="","Unknown",IF(D3657&lt;25000,"&lt;$25k",IF(D3657&lt;50000,"$25k-$50k",IF(D3657&lt;75000,"$50k-$75k",IF(D3657&lt;100000,"$75k-$100k","$100k+")))))</x:f>
        <x:v>$100k+</x:v>
      </x:c>
      <x:c r="P3657" t="str">
        <x:f>IF(E3657="","Unknown",IF(E3657&lt;10,"&lt;10",IF(E3657&lt;20,"10-&lt;20",IF(E3657&lt;25,"20-&lt;25",IF(E3657&lt;35,"25-&lt;35","35+")))))</x:f>
        <x:v>10-&lt;20</x:v>
      </x:c>
    </x:row>
    <x:row r="3658">
      <x:c r="A3658" t="str">
        <x:v>SYN0003657</x:v>
      </x:c>
      <x:c r="B3658" s="12" t="n">
        <x:v>43195</x:v>
      </x:c>
      <x:c r="C3658" s="18" t="n">
        <x:v>14181</x:v>
      </x:c>
      <x:c r="D3658" s="18" t="n">
        <x:v>26839</x:v>
      </x:c>
      <x:c r="E3658" s="18" t="n">
        <x:v>16.31</x:v>
      </x:c>
      <x:c r="F3658" s="18" t="n">
        <x:v>5</x:v>
      </x:c>
      <x:c r="G3658" t="n">
        <x:v>36</x:v>
      </x:c>
      <x:c r="H3658" t="str">
        <x:v>A</x:v>
      </x:c>
      <x:c r="I3658" t="str">
        <x:v>10+ years</x:v>
      </x:c>
      <x:c r="J3658" t="str">
        <x:v>OWN</x:v>
      </x:c>
      <x:c r="K3658" t="str">
        <x:v>debt_consolidation</x:v>
      </x:c>
      <x:c r="L3658" t="n">
        <x:v>1</x:v>
      </x:c>
      <x:c r="M3658" t="n">
        <x:v>0</x:v>
      </x:c>
      <x:c r="N3658" t="str">
        <x:v>Fully Paid</x:v>
      </x:c>
      <x:c r="O3658" t="str">
        <x:f>IF(D3658="","Unknown",IF(D3658&lt;25000,"&lt;$25k",IF(D3658&lt;50000,"$25k-$50k",IF(D3658&lt;75000,"$50k-$75k",IF(D3658&lt;100000,"$75k-$100k","$100k+")))))</x:f>
        <x:v>$25k-$50k</x:v>
      </x:c>
      <x:c r="P3658" t="str">
        <x:f>IF(E3658="","Unknown",IF(E3658&lt;10,"&lt;10",IF(E3658&lt;20,"10-&lt;20",IF(E3658&lt;25,"20-&lt;25",IF(E3658&lt;35,"25-&lt;35","35+")))))</x:f>
        <x:v>10-&lt;20</x:v>
      </x:c>
    </x:row>
    <x:row r="3659">
      <x:c r="A3659" t="str">
        <x:v>SYN0003658</x:v>
      </x:c>
      <x:c r="B3659" s="12" t="n">
        <x:v>41485</x:v>
      </x:c>
      <x:c r="C3659" s="18" t="n">
        <x:v>15863</x:v>
      </x:c>
      <x:c r="D3659" s="18" t="n">
        <x:v>29687</x:v>
      </x:c>
      <x:c r="E3659" s="18" t="n">
        <x:v>21.41</x:v>
      </x:c>
      <x:c r="F3659" s="18" t="n">
        <x:v>12.38</x:v>
      </x:c>
      <x:c r="G3659" t="n">
        <x:v>60</x:v>
      </x:c>
      <x:c r="H3659" t="str">
        <x:v>C</x:v>
      </x:c>
      <x:c r="I3659" t="str">
        <x:v>4-6 years</x:v>
      </x:c>
      <x:c r="J3659" t="str">
        <x:v>RENT</x:v>
      </x:c>
      <x:c r="K3659" t="str">
        <x:v>credit_card</x:v>
      </x:c>
      <x:c r="L3659" t="n">
        <x:v>0</x:v>
      </x:c>
      <x:c r="M3659" t="n">
        <x:v>0</x:v>
      </x:c>
      <x:c r="N3659" t="str">
        <x:v>Fully Paid</x:v>
      </x:c>
      <x:c r="O3659" t="str">
        <x:f>IF(D3659="","Unknown",IF(D3659&lt;25000,"&lt;$25k",IF(D3659&lt;50000,"$25k-$50k",IF(D3659&lt;75000,"$50k-$75k",IF(D3659&lt;100000,"$75k-$100k","$100k+")))))</x:f>
        <x:v>$25k-$50k</x:v>
      </x:c>
      <x:c r="P3659" t="str">
        <x:f>IF(E3659="","Unknown",IF(E3659&lt;10,"&lt;10",IF(E3659&lt;20,"10-&lt;20",IF(E3659&lt;25,"20-&lt;25",IF(E3659&lt;35,"25-&lt;35","35+")))))</x:f>
        <x:v>20-&lt;25</x:v>
      </x:c>
    </x:row>
    <x:row r="3660">
      <x:c r="A3660" t="str">
        <x:v>SYN0003659</x:v>
      </x:c>
      <x:c r="B3660" s="12" t="n">
        <x:v>41635</x:v>
      </x:c>
      <x:c r="C3660" s="18" t="n">
        <x:v>5357</x:v>
      </x:c>
      <x:c r="D3660" s="18" t="n">
        <x:v>55693</x:v>
      </x:c>
      <x:c r="E3660" s="18" t="n">
        <x:v>2.57</x:v>
      </x:c>
      <x:c r="F3660" s="18" t="n">
        <x:v>9.22</x:v>
      </x:c>
      <x:c r="G3660" t="n">
        <x:v>36</x:v>
      </x:c>
      <x:c r="H3660" t="str">
        <x:v>B</x:v>
      </x:c>
      <x:c r="I3660" t="str">
        <x:v>1-3 years</x:v>
      </x:c>
      <x:c r="J3660" t="str">
        <x:v>RENT</x:v>
      </x:c>
      <x:c r="K3660" t="str">
        <x:v>other</x:v>
      </x:c>
      <x:c r="L3660" t="n">
        <x:v>0</x:v>
      </x:c>
      <x:c r="M3660" t="n">
        <x:v>0</x:v>
      </x:c>
      <x:c r="N3660" t="str">
        <x:v>Fully Paid</x:v>
      </x:c>
      <x:c r="O3660" t="str">
        <x:f>IF(D3660="","Unknown",IF(D3660&lt;25000,"&lt;$25k",IF(D3660&lt;50000,"$25k-$50k",IF(D3660&lt;75000,"$50k-$75k",IF(D3660&lt;100000,"$75k-$100k","$100k+")))))</x:f>
        <x:v>$50k-$75k</x:v>
      </x:c>
      <x:c r="P3660" t="str">
        <x:f>IF(E3660="","Unknown",IF(E3660&lt;10,"&lt;10",IF(E3660&lt;20,"10-&lt;20",IF(E3660&lt;25,"20-&lt;25",IF(E3660&lt;35,"25-&lt;35","35+")))))</x:f>
        <x:v>&lt;10</x:v>
      </x:c>
    </x:row>
    <x:row r="3661">
      <x:c r="A3661" t="str">
        <x:v>SYN0003660</x:v>
      </x:c>
      <x:c r="B3661" s="12" t="n">
        <x:v>42865</x:v>
      </x:c>
      <x:c r="C3661" s="18" t="n">
        <x:v>35038</x:v>
      </x:c>
      <x:c r="D3661" s="18" t="n">
        <x:v>95133</x:v>
      </x:c>
      <x:c r="E3661" s="18" t="n">
        <x:v>19.49</x:v>
      </x:c>
      <x:c r="F3661" s="18" t="n">
        <x:v>15.82</x:v>
      </x:c>
      <x:c r="G3661" t="n">
        <x:v>36</x:v>
      </x:c>
      <x:c r="H3661" t="str">
        <x:v>E</x:v>
      </x:c>
      <x:c r="I3661" t="str">
        <x:v>7-9 years</x:v>
      </x:c>
      <x:c r="J3661" t="str">
        <x:v>RENT</x:v>
      </x:c>
      <x:c r="K3661" t="str">
        <x:v>home_improvement</x:v>
      </x:c>
      <x:c r="L3661" t="n">
        <x:v>0</x:v>
      </x:c>
      <x:c r="M3661" t="n">
        <x:v>0</x:v>
      </x:c>
      <x:c r="N3661" t="str">
        <x:v>Fully Paid</x:v>
      </x:c>
      <x:c r="O3661" t="str">
        <x:f>IF(D3661="","Unknown",IF(D3661&lt;25000,"&lt;$25k",IF(D3661&lt;50000,"$25k-$50k",IF(D3661&lt;75000,"$50k-$75k",IF(D3661&lt;100000,"$75k-$100k","$100k+")))))</x:f>
        <x:v>$75k-$100k</x:v>
      </x:c>
      <x:c r="P3661" t="str">
        <x:f>IF(E3661="","Unknown",IF(E3661&lt;10,"&lt;10",IF(E3661&lt;20,"10-&lt;20",IF(E3661&lt;25,"20-&lt;25",IF(E3661&lt;35,"25-&lt;35","35+")))))</x:f>
        <x:v>10-&lt;20</x:v>
      </x:c>
    </x:row>
    <x:row r="3662">
      <x:c r="A3662" t="str">
        <x:v>SYN0003661</x:v>
      </x:c>
      <x:c r="B3662" s="12" t="n">
        <x:v>41695</x:v>
      </x:c>
      <x:c r="C3662" s="18" t="n">
        <x:v>9552</x:v>
      </x:c>
      <x:c r="D3662" s="18" t="n">
        <x:v>60724</x:v>
      </x:c>
      <x:c r="E3662" s="18" t="n">
        <x:v>22.09</x:v>
      </x:c>
      <x:c r="F3662" s="18" t="n">
        <x:v>7.23</x:v>
      </x:c>
      <x:c r="G3662" t="n">
        <x:v>60</x:v>
      </x:c>
      <x:c r="H3662" t="str">
        <x:v>B</x:v>
      </x:c>
      <x:c r="I3662" t="str">
        <x:v>10+ years</x:v>
      </x:c>
      <x:c r="J3662" t="str">
        <x:v>RENT</x:v>
      </x:c>
      <x:c r="K3662" t="str">
        <x:v>debt_consolidation</x:v>
      </x:c>
      <x:c r="L3662" t="n">
        <x:v>0</x:v>
      </x:c>
      <x:c r="M3662" t="n">
        <x:v>0</x:v>
      </x:c>
      <x:c r="N3662" t="str">
        <x:v>Fully Paid</x:v>
      </x:c>
      <x:c r="O3662" t="str">
        <x:f>IF(D3662="","Unknown",IF(D3662&lt;25000,"&lt;$25k",IF(D3662&lt;50000,"$25k-$50k",IF(D3662&lt;75000,"$50k-$75k",IF(D3662&lt;100000,"$75k-$100k","$100k+")))))</x:f>
        <x:v>$50k-$75k</x:v>
      </x:c>
      <x:c r="P3662" t="str">
        <x:f>IF(E3662="","Unknown",IF(E3662&lt;10,"&lt;10",IF(E3662&lt;20,"10-&lt;20",IF(E3662&lt;25,"20-&lt;25",IF(E3662&lt;35,"25-&lt;35","35+")))))</x:f>
        <x:v>20-&lt;25</x:v>
      </x:c>
    </x:row>
    <x:row r="3663">
      <x:c r="A3663" t="str">
        <x:v>SYN0003662</x:v>
      </x:c>
      <x:c r="B3663" s="12" t="n">
        <x:v>41575</x:v>
      </x:c>
      <x:c r="C3663" s="18" t="n">
        <x:v>8465</x:v>
      </x:c>
      <x:c r="D3663" s="18" t="n">
        <x:v>56441</x:v>
      </x:c>
      <x:c r="E3663" s="18" t="n">
        <x:v>17.94</x:v>
      </x:c>
      <x:c r="F3663" s="18" t="n">
        <x:v>13.82</x:v>
      </x:c>
      <x:c r="G3663" t="n">
        <x:v>36</x:v>
      </x:c>
      <x:c r="H3663" t="str">
        <x:v>D</x:v>
      </x:c>
      <x:c r="I3663" t="str">
        <x:v>10+ years</x:v>
      </x:c>
      <x:c r="J3663" t="str">
        <x:v>MORTGAGE</x:v>
      </x:c>
      <x:c r="K3663" t="str">
        <x:v>credit_card</x:v>
      </x:c>
      <x:c r="L3663" t="n">
        <x:v>0</x:v>
      </x:c>
      <x:c r="M3663" t="n">
        <x:v>0</x:v>
      </x:c>
      <x:c r="N3663" t="str">
        <x:v>Fully Paid</x:v>
      </x:c>
      <x:c r="O3663" t="str">
        <x:f>IF(D3663="","Unknown",IF(D3663&lt;25000,"&lt;$25k",IF(D3663&lt;50000,"$25k-$50k",IF(D3663&lt;75000,"$50k-$75k",IF(D3663&lt;100000,"$75k-$100k","$100k+")))))</x:f>
        <x:v>$50k-$75k</x:v>
      </x:c>
      <x:c r="P3663" t="str">
        <x:f>IF(E3663="","Unknown",IF(E3663&lt;10,"&lt;10",IF(E3663&lt;20,"10-&lt;20",IF(E3663&lt;25,"20-&lt;25",IF(E3663&lt;35,"25-&lt;35","35+")))))</x:f>
        <x:v>10-&lt;20</x:v>
      </x:c>
    </x:row>
    <x:row r="3664">
      <x:c r="A3664" t="str">
        <x:v>SYN0003663</x:v>
      </x:c>
      <x:c r="B3664" s="12" t="n">
        <x:v>41725</x:v>
      </x:c>
      <x:c r="C3664" s="18" t="n">
        <x:v>13875</x:v>
      </x:c>
      <x:c r="D3664" s="18" t="n">
        <x:v>42904</x:v>
      </x:c>
      <x:c r="E3664" s="18" t="n">
        <x:v>23.37</x:v>
      </x:c>
      <x:c r="F3664" s="18" t="n">
        <x:v>19.95</x:v>
      </x:c>
      <x:c r="G3664" t="n">
        <x:v>36</x:v>
      </x:c>
      <x:c r="H3664" t="str">
        <x:v>F</x:v>
      </x:c>
      <x:c r="I3664" t="str">
        <x:v>10+ years</x:v>
      </x:c>
      <x:c r="J3664" t="str">
        <x:v>RENT</x:v>
      </x:c>
      <x:c r="K3664" t="str">
        <x:v>other</x:v>
      </x:c>
      <x:c r="L3664" t="n">
        <x:v>0</x:v>
      </x:c>
      <x:c r="M3664" t="n">
        <x:v>0</x:v>
      </x:c>
      <x:c r="N3664" t="str">
        <x:v>Fully Paid</x:v>
      </x:c>
      <x:c r="O3664" t="str">
        <x:f>IF(D3664="","Unknown",IF(D3664&lt;25000,"&lt;$25k",IF(D3664&lt;50000,"$25k-$50k",IF(D3664&lt;75000,"$50k-$75k",IF(D3664&lt;100000,"$75k-$100k","$100k+")))))</x:f>
        <x:v>$25k-$50k</x:v>
      </x:c>
      <x:c r="P3664" t="str">
        <x:f>IF(E3664="","Unknown",IF(E3664&lt;10,"&lt;10",IF(E3664&lt;20,"10-&lt;20",IF(E3664&lt;25,"20-&lt;25",IF(E3664&lt;35,"25-&lt;35","35+")))))</x:f>
        <x:v>20-&lt;25</x:v>
      </x:c>
    </x:row>
    <x:row r="3665">
      <x:c r="A3665" t="str">
        <x:v>SYN0003664</x:v>
      </x:c>
      <x:c r="B3665" s="12" t="n">
        <x:v>42925</x:v>
      </x:c>
      <x:c r="C3665" s="18" t="n">
        <x:v>12447</x:v>
      </x:c>
      <x:c r="D3665" s="18" t="n">
        <x:v>72085</x:v>
      </x:c>
      <x:c r="E3665" s="18" t="n">
        <x:v>26.77</x:v>
      </x:c>
      <x:c r="F3665" s="18" t="n">
        <x:v>9.87</x:v>
      </x:c>
      <x:c r="G3665" t="n">
        <x:v>36</x:v>
      </x:c>
      <x:c r="H3665" t="str">
        <x:v>B</x:v>
      </x:c>
      <x:c r="I3665" t="str">
        <x:v>10+ years</x:v>
      </x:c>
      <x:c r="J3665" t="str">
        <x:v>MORTGAGE</x:v>
      </x:c>
      <x:c r="K3665" t="str">
        <x:v>home_improvement</x:v>
      </x:c>
      <x:c r="L3665" t="n">
        <x:v>1</x:v>
      </x:c>
      <x:c r="M3665" t="n">
        <x:v>0</x:v>
      </x:c>
      <x:c r="N3665" t="str">
        <x:v>Fully Paid</x:v>
      </x:c>
      <x:c r="O3665" t="str">
        <x:f>IF(D3665="","Unknown",IF(D3665&lt;25000,"&lt;$25k",IF(D3665&lt;50000,"$25k-$50k",IF(D3665&lt;75000,"$50k-$75k",IF(D3665&lt;100000,"$75k-$100k","$100k+")))))</x:f>
        <x:v>$50k-$75k</x:v>
      </x:c>
      <x:c r="P3665" t="str">
        <x:f>IF(E3665="","Unknown",IF(E3665&lt;10,"&lt;10",IF(E3665&lt;20,"10-&lt;20",IF(E3665&lt;25,"20-&lt;25",IF(E3665&lt;35,"25-&lt;35","35+")))))</x:f>
        <x:v>25-&lt;35</x:v>
      </x:c>
    </x:row>
    <x:row r="3666">
      <x:c r="A3666" t="str">
        <x:v>SYN0003665</x:v>
      </x:c>
      <x:c r="B3666" s="12" t="n">
        <x:v>43105</x:v>
      </x:c>
      <x:c r="C3666" s="18" t="n">
        <x:v>16689</x:v>
      </x:c>
      <x:c r="D3666" s="18" t="n">
        <x:v>173947</x:v>
      </x:c>
      <x:c r="E3666" s="18" t="n">
        <x:v>21.1</x:v>
      </x:c>
      <x:c r="F3666" s="18" t="n">
        <x:v>12.15</x:v>
      </x:c>
      <x:c r="G3666" t="n">
        <x:v>36</x:v>
      </x:c>
      <x:c r="H3666" t="str">
        <x:v>C</x:v>
      </x:c>
      <x:c r="I3666" t="str">
        <x:v>1-3 years</x:v>
      </x:c>
      <x:c r="J3666" t="str">
        <x:v>MORTGAGE</x:v>
      </x:c>
      <x:c r="K3666" t="str">
        <x:v>credit_card</x:v>
      </x:c>
      <x:c r="L3666" t="n">
        <x:v>0</x:v>
      </x:c>
      <x:c r="M3666" t="n">
        <x:v>0</x:v>
      </x:c>
      <x:c r="N3666" t="str">
        <x:v>Fully Paid</x:v>
      </x:c>
      <x:c r="O3666" t="str">
        <x:f>IF(D3666="","Unknown",IF(D3666&lt;25000,"&lt;$25k",IF(D3666&lt;50000,"$25k-$50k",IF(D3666&lt;75000,"$50k-$75k",IF(D3666&lt;100000,"$75k-$100k","$100k+")))))</x:f>
        <x:v>$100k+</x:v>
      </x:c>
      <x:c r="P3666" t="str">
        <x:f>IF(E3666="","Unknown",IF(E3666&lt;10,"&lt;10",IF(E3666&lt;20,"10-&lt;20",IF(E3666&lt;25,"20-&lt;25",IF(E3666&lt;35,"25-&lt;35","35+")))))</x:f>
        <x:v>20-&lt;25</x:v>
      </x:c>
    </x:row>
    <x:row r="3667">
      <x:c r="A3667" t="str">
        <x:v>SYN0003666</x:v>
      </x:c>
      <x:c r="B3667" s="12" t="n">
        <x:v>42055</x:v>
      </x:c>
      <x:c r="C3667" s="18" t="n">
        <x:v>15198</x:v>
      </x:c>
      <x:c r="D3667" s="18" t="n">
        <x:v>85459</x:v>
      </x:c>
      <x:c r="E3667" s="18" t="n">
        <x:v>21.15</x:v>
      </x:c>
      <x:c r="F3667" s="18" t="n">
        <x:v>22.41</x:v>
      </x:c>
      <x:c r="G3667" t="n">
        <x:v>36</x:v>
      </x:c>
      <x:c r="H3667" t="str">
        <x:v>F</x:v>
      </x:c>
      <x:c r="I3667" t="str">
        <x:v>10+ years</x:v>
      </x:c>
      <x:c r="J3667" t="str">
        <x:v>OWN</x:v>
      </x:c>
      <x:c r="K3667" t="str">
        <x:v>debt_consolidation</x:v>
      </x:c>
      <x:c r="L3667" t="n">
        <x:v>1</x:v>
      </x:c>
      <x:c r="M3667" t="n">
        <x:v>0</x:v>
      </x:c>
      <x:c r="N3667" t="str">
        <x:v>Fully Paid</x:v>
      </x:c>
      <x:c r="O3667" t="str">
        <x:f>IF(D3667="","Unknown",IF(D3667&lt;25000,"&lt;$25k",IF(D3667&lt;50000,"$25k-$50k",IF(D3667&lt;75000,"$50k-$75k",IF(D3667&lt;100000,"$75k-$100k","$100k+")))))</x:f>
        <x:v>$75k-$100k</x:v>
      </x:c>
      <x:c r="P3667" t="str">
        <x:f>IF(E3667="","Unknown",IF(E3667&lt;10,"&lt;10",IF(E3667&lt;20,"10-&lt;20",IF(E3667&lt;25,"20-&lt;25",IF(E3667&lt;35,"25-&lt;35","35+")))))</x:f>
        <x:v>20-&lt;25</x:v>
      </x:c>
    </x:row>
    <x:row r="3668">
      <x:c r="A3668" t="str">
        <x:v>SYN0003667</x:v>
      </x:c>
      <x:c r="B3668" s="12" t="n">
        <x:v>42865</x:v>
      </x:c>
      <x:c r="C3668" s="18" t="n">
        <x:v>11551</x:v>
      </x:c>
      <x:c r="D3668" s="18" t="n">
        <x:v>84543</x:v>
      </x:c>
      <x:c r="E3668" s="18" t="n">
        <x:v>31.52</x:v>
      </x:c>
      <x:c r="F3668" s="18" t="n">
        <x:v>7.34</x:v>
      </x:c>
      <x:c r="G3668" t="n">
        <x:v>60</x:v>
      </x:c>
      <x:c r="H3668" t="str">
        <x:v>A</x:v>
      </x:c>
      <x:c r="I3668" t="str">
        <x:v>7-9 years</x:v>
      </x:c>
      <x:c r="J3668" t="str">
        <x:v>RENT</x:v>
      </x:c>
      <x:c r="K3668" t="str">
        <x:v>debt_consolidation</x:v>
      </x:c>
      <x:c r="L3668" t="n">
        <x:v>1</x:v>
      </x:c>
      <x:c r="M3668" t="n">
        <x:v>0</x:v>
      </x:c>
      <x:c r="N3668" t="str">
        <x:v>Fully Paid</x:v>
      </x:c>
      <x:c r="O3668" t="str">
        <x:f>IF(D3668="","Unknown",IF(D3668&lt;25000,"&lt;$25k",IF(D3668&lt;50000,"$25k-$50k",IF(D3668&lt;75000,"$50k-$75k",IF(D3668&lt;100000,"$75k-$100k","$100k+")))))</x:f>
        <x:v>$75k-$100k</x:v>
      </x:c>
      <x:c r="P3668" t="str">
        <x:f>IF(E3668="","Unknown",IF(E3668&lt;10,"&lt;10",IF(E3668&lt;20,"10-&lt;20",IF(E3668&lt;25,"20-&lt;25",IF(E3668&lt;35,"25-&lt;35","35+")))))</x:f>
        <x:v>25-&lt;35</x:v>
      </x:c>
    </x:row>
    <x:row r="3669">
      <x:c r="A3669" t="str">
        <x:v>SYN0003668</x:v>
      </x:c>
      <x:c r="B3669" s="12" t="n">
        <x:v>41365</x:v>
      </x:c>
      <x:c r="C3669" s="18" t="n">
        <x:v>8227</x:v>
      </x:c>
      <x:c r="D3669" s="18" t="n">
        <x:v>43750</x:v>
      </x:c>
      <x:c r="E3669" s="18" t="n">
        <x:v>8.3</x:v>
      </x:c>
      <x:c r="F3669" s="18" t="n">
        <x:v>14.95</x:v>
      </x:c>
      <x:c r="G3669" t="n">
        <x:v>60</x:v>
      </x:c>
      <x:c r="H3669" t="str">
        <x:v>E</x:v>
      </x:c>
      <x:c r="I3669" t="str">
        <x:v>10+ years</x:v>
      </x:c>
      <x:c r="J3669" t="str">
        <x:v>RENT</x:v>
      </x:c>
      <x:c r="K3669" t="str">
        <x:v>debt_consolidation</x:v>
      </x:c>
      <x:c r="L3669" t="n">
        <x:v>2</x:v>
      </x:c>
      <x:c r="M3669" t="n">
        <x:v>0</x:v>
      </x:c>
      <x:c r="N3669" t="str">
        <x:v>Fully Paid</x:v>
      </x:c>
      <x:c r="O3669" t="str">
        <x:f>IF(D3669="","Unknown",IF(D3669&lt;25000,"&lt;$25k",IF(D3669&lt;50000,"$25k-$50k",IF(D3669&lt;75000,"$50k-$75k",IF(D3669&lt;100000,"$75k-$100k","$100k+")))))</x:f>
        <x:v>$25k-$50k</x:v>
      </x:c>
      <x:c r="P3669" t="str">
        <x:f>IF(E3669="","Unknown",IF(E3669&lt;10,"&lt;10",IF(E3669&lt;20,"10-&lt;20",IF(E3669&lt;25,"20-&lt;25",IF(E3669&lt;35,"25-&lt;35","35+")))))</x:f>
        <x:v>&lt;10</x:v>
      </x:c>
    </x:row>
    <x:row r="3670">
      <x:c r="A3670" t="str">
        <x:v>SYN0003669</x:v>
      </x:c>
      <x:c r="B3670" s="12" t="n">
        <x:v>42595</x:v>
      </x:c>
      <x:c r="C3670" s="18" t="n">
        <x:v>16223</x:v>
      </x:c>
      <x:c r="D3670" s="18" t="n">
        <x:v>96996</x:v>
      </x:c>
      <x:c r="E3670" s="18" t="n">
        <x:v>10.82</x:v>
      </x:c>
      <x:c r="F3670" s="18" t="n">
        <x:v>15.22</x:v>
      </x:c>
      <x:c r="G3670" t="n">
        <x:v>60</x:v>
      </x:c>
      <x:c r="H3670" t="str">
        <x:v>D</x:v>
      </x:c>
      <x:c r="I3670" t="str">
        <x:v>10+ years</x:v>
      </x:c>
      <x:c r="J3670" t="str">
        <x:v>RENT</x:v>
      </x:c>
      <x:c r="K3670" t="str">
        <x:v>debt_consolidation</x:v>
      </x:c>
      <x:c r="L3670" t="n">
        <x:v>0</x:v>
      </x:c>
      <x:c r="M3670" t="n">
        <x:v>0</x:v>
      </x:c>
      <x:c r="N3670" t="str">
        <x:v>Fully Paid</x:v>
      </x:c>
      <x:c r="O3670" t="str">
        <x:f>IF(D3670="","Unknown",IF(D3670&lt;25000,"&lt;$25k",IF(D3670&lt;50000,"$25k-$50k",IF(D3670&lt;75000,"$50k-$75k",IF(D3670&lt;100000,"$75k-$100k","$100k+")))))</x:f>
        <x:v>$75k-$100k</x:v>
      </x:c>
      <x:c r="P3670" t="str">
        <x:f>IF(E3670="","Unknown",IF(E3670&lt;10,"&lt;10",IF(E3670&lt;20,"10-&lt;20",IF(E3670&lt;25,"20-&lt;25",IF(E3670&lt;35,"25-&lt;35","35+")))))</x:f>
        <x:v>10-&lt;20</x:v>
      </x:c>
    </x:row>
    <x:row r="3671">
      <x:c r="A3671" t="str">
        <x:v>SYN0003670</x:v>
      </x:c>
      <x:c r="B3671" s="12" t="n">
        <x:v>42085</x:v>
      </x:c>
      <x:c r="C3671" s="18" t="n">
        <x:v>9053</x:v>
      </x:c>
      <x:c r="D3671" s="18" t="n">
        <x:v>28287</x:v>
      </x:c>
      <x:c r="E3671" s="18" t="n">
        <x:v>22.79</x:v>
      </x:c>
      <x:c r="F3671" s="18" t="n">
        <x:v>18.48</x:v>
      </x:c>
      <x:c r="G3671" t="n">
        <x:v>60</x:v>
      </x:c>
      <x:c r="H3671" t="str">
        <x:v>E</x:v>
      </x:c>
      <x:c r="I3671" t="str">
        <x:v>7-9 years</x:v>
      </x:c>
      <x:c r="J3671" t="str">
        <x:v>MORTGAGE</x:v>
      </x:c>
      <x:c r="K3671" t="str">
        <x:v>home_improvement</x:v>
      </x:c>
      <x:c r="L3671" t="n">
        <x:v>0</x:v>
      </x:c>
      <x:c r="M3671" t="n">
        <x:v>1</x:v>
      </x:c>
      <x:c r="N3671" t="str">
        <x:v>Charged Off</x:v>
      </x:c>
      <x:c r="O3671" t="str">
        <x:f>IF(D3671="","Unknown",IF(D3671&lt;25000,"&lt;$25k",IF(D3671&lt;50000,"$25k-$50k",IF(D3671&lt;75000,"$50k-$75k",IF(D3671&lt;100000,"$75k-$100k","$100k+")))))</x:f>
        <x:v>$25k-$50k</x:v>
      </x:c>
      <x:c r="P3671" t="str">
        <x:f>IF(E3671="","Unknown",IF(E3671&lt;10,"&lt;10",IF(E3671&lt;20,"10-&lt;20",IF(E3671&lt;25,"20-&lt;25",IF(E3671&lt;35,"25-&lt;35","35+")))))</x:f>
        <x:v>20-&lt;25</x:v>
      </x:c>
    </x:row>
    <x:row r="3672">
      <x:c r="A3672" t="str">
        <x:v>SYN0003671</x:v>
      </x:c>
      <x:c r="B3672" s="12" t="n">
        <x:v>43075</x:v>
      </x:c>
      <x:c r="C3672" s="18" t="n">
        <x:v>5735</x:v>
      </x:c>
      <x:c r="D3672" s="18" t="n">
        <x:v>24333</x:v>
      </x:c>
      <x:c r="E3672" s="18" t="n">
        <x:v>16.79</x:v>
      </x:c>
      <x:c r="F3672" s="18" t="n">
        <x:v>13.04</x:v>
      </x:c>
      <x:c r="G3672" t="n">
        <x:v>60</x:v>
      </x:c>
      <x:c r="H3672" t="str">
        <x:v>B</x:v>
      </x:c>
      <x:c r="I3672" t="str">
        <x:v>1-3 years</x:v>
      </x:c>
      <x:c r="J3672" t="str">
        <x:v>RENT</x:v>
      </x:c>
      <x:c r="K3672" t="str">
        <x:v>debt_consolidation</x:v>
      </x:c>
      <x:c r="L3672" t="n">
        <x:v>0</x:v>
      </x:c>
      <x:c r="M3672" t="n">
        <x:v>0</x:v>
      </x:c>
      <x:c r="N3672" t="str">
        <x:v>Fully Paid</x:v>
      </x:c>
      <x:c r="O3672" t="str">
        <x:f>IF(D3672="","Unknown",IF(D3672&lt;25000,"&lt;$25k",IF(D3672&lt;50000,"$25k-$50k",IF(D3672&lt;75000,"$50k-$75k",IF(D3672&lt;100000,"$75k-$100k","$100k+")))))</x:f>
        <x:v>&lt;$25k</x:v>
      </x:c>
      <x:c r="P3672" t="str">
        <x:f>IF(E3672="","Unknown",IF(E3672&lt;10,"&lt;10",IF(E3672&lt;20,"10-&lt;20",IF(E3672&lt;25,"20-&lt;25",IF(E3672&lt;35,"25-&lt;35","35+")))))</x:f>
        <x:v>10-&lt;20</x:v>
      </x:c>
    </x:row>
    <x:row r="3673">
      <x:c r="A3673" t="str">
        <x:v>SYN0003672</x:v>
      </x:c>
      <x:c r="B3673" s="12" t="n">
        <x:v>42025</x:v>
      </x:c>
      <x:c r="C3673" s="18" t="n">
        <x:v>11925</x:v>
      </x:c>
      <x:c r="D3673" s="18" t="n">
        <x:v>23710</x:v>
      </x:c>
      <x:c r="E3673" s="18" t="n">
        <x:v>6</x:v>
      </x:c>
      <x:c r="F3673" s="18" t="n">
        <x:v>14.94</x:v>
      </x:c>
      <x:c r="G3673" t="n">
        <x:v>60</x:v>
      </x:c>
      <x:c r="H3673" t="str">
        <x:v>D</x:v>
      </x:c>
      <x:c r="I3673" t="str">
        <x:v>4-6 years</x:v>
      </x:c>
      <x:c r="J3673" t="str">
        <x:v>MORTGAGE</x:v>
      </x:c>
      <x:c r="K3673" t="str">
        <x:v>major_purchase</x:v>
      </x:c>
      <x:c r="L3673" t="n">
        <x:v>0</x:v>
      </x:c>
      <x:c r="M3673" t="n">
        <x:v>0</x:v>
      </x:c>
      <x:c r="N3673" t="str">
        <x:v>Fully Paid</x:v>
      </x:c>
      <x:c r="O3673" t="str">
        <x:f>IF(D3673="","Unknown",IF(D3673&lt;25000,"&lt;$25k",IF(D3673&lt;50000,"$25k-$50k",IF(D3673&lt;75000,"$50k-$75k",IF(D3673&lt;100000,"$75k-$100k","$100k+")))))</x:f>
        <x:v>&lt;$25k</x:v>
      </x:c>
      <x:c r="P3673" t="str">
        <x:f>IF(E3673="","Unknown",IF(E3673&lt;10,"&lt;10",IF(E3673&lt;20,"10-&lt;20",IF(E3673&lt;25,"20-&lt;25",IF(E3673&lt;35,"25-&lt;35","35+")))))</x:f>
        <x:v>&lt;10</x:v>
      </x:c>
    </x:row>
    <x:row r="3674">
      <x:c r="A3674" t="str">
        <x:v>SYN0003673</x:v>
      </x:c>
      <x:c r="B3674" s="12" t="n">
        <x:v>43105</x:v>
      </x:c>
      <x:c r="C3674" s="18" t="n">
        <x:v>8976</x:v>
      </x:c>
      <x:c r="D3674" s="18" t="n">
        <x:v>37482</x:v>
      </x:c>
      <x:c r="E3674" s="18" t="n">
        <x:v>22.31</x:v>
      </x:c>
      <x:c r="F3674" s="18" t="n">
        <x:v>11.08</x:v>
      </x:c>
      <x:c r="G3674" t="n">
        <x:v>60</x:v>
      </x:c>
      <x:c r="H3674" t="str">
        <x:v>C</x:v>
      </x:c>
      <x:c r="I3674" t="str">
        <x:v>7-9 years</x:v>
      </x:c>
      <x:c r="J3674" t="str">
        <x:v>RENT</x:v>
      </x:c>
      <x:c r="K3674" t="str">
        <x:v>debt_consolidation</x:v>
      </x:c>
      <x:c r="L3674" t="n">
        <x:v>0</x:v>
      </x:c>
      <x:c r="M3674" t="n">
        <x:v>0</x:v>
      </x:c>
      <x:c r="N3674" t="str">
        <x:v>Fully Paid</x:v>
      </x:c>
      <x:c r="O3674" t="str">
        <x:f>IF(D3674="","Unknown",IF(D3674&lt;25000,"&lt;$25k",IF(D3674&lt;50000,"$25k-$50k",IF(D3674&lt;75000,"$50k-$75k",IF(D3674&lt;100000,"$75k-$100k","$100k+")))))</x:f>
        <x:v>$25k-$50k</x:v>
      </x:c>
      <x:c r="P3674" t="str">
        <x:f>IF(E3674="","Unknown",IF(E3674&lt;10,"&lt;10",IF(E3674&lt;20,"10-&lt;20",IF(E3674&lt;25,"20-&lt;25",IF(E3674&lt;35,"25-&lt;35","35+")))))</x:f>
        <x:v>20-&lt;25</x:v>
      </x:c>
    </x:row>
    <x:row r="3675">
      <x:c r="A3675" t="str">
        <x:v>SYN0003674</x:v>
      </x:c>
      <x:c r="B3675" s="12" t="n">
        <x:v>41815</x:v>
      </x:c>
      <x:c r="C3675" s="18" t="n">
        <x:v>14301</x:v>
      </x:c>
      <x:c r="D3675" s="18" t="n">
        <x:v>34673</x:v>
      </x:c>
      <x:c r="E3675" s="18" t="n">
        <x:v>12.68</x:v>
      </x:c>
      <x:c r="F3675" s="18" t="n">
        <x:v>7.58</x:v>
      </x:c>
      <x:c r="G3675" t="n">
        <x:v>60</x:v>
      </x:c>
      <x:c r="H3675" t="str">
        <x:v>A</x:v>
      </x:c>
      <x:c r="I3675" t="str">
        <x:v>4-6 years</x:v>
      </x:c>
      <x:c r="J3675" t="str">
        <x:v>MORTGAGE</x:v>
      </x:c>
      <x:c r="K3675" t="str">
        <x:v>debt_consolidation</x:v>
      </x:c>
      <x:c r="L3675" t="n">
        <x:v>0</x:v>
      </x:c>
      <x:c r="M3675" t="n">
        <x:v>0</x:v>
      </x:c>
      <x:c r="N3675" t="str">
        <x:v>Fully Paid</x:v>
      </x:c>
      <x:c r="O3675" t="str">
        <x:f>IF(D3675="","Unknown",IF(D3675&lt;25000,"&lt;$25k",IF(D3675&lt;50000,"$25k-$50k",IF(D3675&lt;75000,"$50k-$75k",IF(D3675&lt;100000,"$75k-$100k","$100k+")))))</x:f>
        <x:v>$25k-$50k</x:v>
      </x:c>
      <x:c r="P3675" t="str">
        <x:f>IF(E3675="","Unknown",IF(E3675&lt;10,"&lt;10",IF(E3675&lt;20,"10-&lt;20",IF(E3675&lt;25,"20-&lt;25",IF(E3675&lt;35,"25-&lt;35","35+")))))</x:f>
        <x:v>10-&lt;20</x:v>
      </x:c>
    </x:row>
    <x:row r="3676">
      <x:c r="A3676" t="str">
        <x:v>SYN0003675</x:v>
      </x:c>
      <x:c r="B3676" s="12" t="n">
        <x:v>42655</x:v>
      </x:c>
      <x:c r="C3676" s="18" t="n">
        <x:v>9969</x:v>
      </x:c>
      <x:c r="D3676" s="18" t="n">
        <x:v>22919</x:v>
      </x:c>
      <x:c r="E3676" s="18" t="n">
        <x:v>38.58</x:v>
      </x:c>
      <x:c r="F3676" s="18" t="n">
        <x:v>13.82</x:v>
      </x:c>
      <x:c r="G3676" t="n">
        <x:v>36</x:v>
      </x:c>
      <x:c r="H3676" t="str">
        <x:v>D</x:v>
      </x:c>
      <x:c r="I3676" t="str">
        <x:v>4-6 years</x:v>
      </x:c>
      <x:c r="J3676" t="str">
        <x:v>RENT</x:v>
      </x:c>
      <x:c r="K3676" t="str">
        <x:v>other</x:v>
      </x:c>
      <x:c r="L3676" t="n">
        <x:v>0</x:v>
      </x:c>
      <x:c r="M3676" t="n">
        <x:v>1</x:v>
      </x:c>
      <x:c r="N3676" t="str">
        <x:v>Charged Off</x:v>
      </x:c>
      <x:c r="O3676" t="str">
        <x:f>IF(D3676="","Unknown",IF(D3676&lt;25000,"&lt;$25k",IF(D3676&lt;50000,"$25k-$50k",IF(D3676&lt;75000,"$50k-$75k",IF(D3676&lt;100000,"$75k-$100k","$100k+")))))</x:f>
        <x:v>&lt;$25k</x:v>
      </x:c>
      <x:c r="P3676" t="str">
        <x:f>IF(E3676="","Unknown",IF(E3676&lt;10,"&lt;10",IF(E3676&lt;20,"10-&lt;20",IF(E3676&lt;25,"20-&lt;25",IF(E3676&lt;35,"25-&lt;35","35+")))))</x:f>
        <x:v>35+</x:v>
      </x:c>
    </x:row>
    <x:row r="3677">
      <x:c r="A3677" t="str">
        <x:v>SYN0003676</x:v>
      </x:c>
      <x:c r="B3677" s="12" t="n">
        <x:v>43045</x:v>
      </x:c>
      <x:c r="C3677" s="18" t="n">
        <x:v>14562</x:v>
      </x:c>
      <x:c r="D3677" s="18" t="n">
        <x:v>50642</x:v>
      </x:c>
      <x:c r="E3677" s="18" t="n">
        <x:v>25.63</x:v>
      </x:c>
      <x:c r="F3677" s="18" t="n">
        <x:v>8.72</x:v>
      </x:c>
      <x:c r="G3677" t="n">
        <x:v>36</x:v>
      </x:c>
      <x:c r="H3677" t="str">
        <x:v>B</x:v>
      </x:c>
      <x:c r="I3677" t="str">
        <x:v>4-6 years</x:v>
      </x:c>
      <x:c r="J3677" t="str">
        <x:v>MORTGAGE</x:v>
      </x:c>
      <x:c r="K3677" t="str">
        <x:v>debt_consolidation</x:v>
      </x:c>
      <x:c r="L3677" t="n">
        <x:v>0</x:v>
      </x:c>
      <x:c r="M3677" t="n">
        <x:v>1</x:v>
      </x:c>
      <x:c r="N3677" t="str">
        <x:v>Charged Off</x:v>
      </x:c>
      <x:c r="O3677" t="str">
        <x:f>IF(D3677="","Unknown",IF(D3677&lt;25000,"&lt;$25k",IF(D3677&lt;50000,"$25k-$50k",IF(D3677&lt;75000,"$50k-$75k",IF(D3677&lt;100000,"$75k-$100k","$100k+")))))</x:f>
        <x:v>$50k-$75k</x:v>
      </x:c>
      <x:c r="P3677" t="str">
        <x:f>IF(E3677="","Unknown",IF(E3677&lt;10,"&lt;10",IF(E3677&lt;20,"10-&lt;20",IF(E3677&lt;25,"20-&lt;25",IF(E3677&lt;35,"25-&lt;35","35+")))))</x:f>
        <x:v>25-&lt;35</x:v>
      </x:c>
    </x:row>
    <x:row r="3678">
      <x:c r="A3678" t="str">
        <x:v>SYN0003677</x:v>
      </x:c>
      <x:c r="B3678" s="12" t="n">
        <x:v>41815</x:v>
      </x:c>
      <x:c r="C3678" s="18" t="n">
        <x:v>29328</x:v>
      </x:c>
      <x:c r="D3678" s="18" t="n">
        <x:v>58510</x:v>
      </x:c>
      <x:c r="E3678" s="18" t="n">
        <x:v>9.54</x:v>
      </x:c>
      <x:c r="F3678" s="18" t="n">
        <x:v>11.21</x:v>
      </x:c>
      <x:c r="G3678" t="n">
        <x:v>36</x:v>
      </x:c>
      <x:c r="H3678" t="str">
        <x:v>C</x:v>
      </x:c>
      <x:c r="I3678" t="str">
        <x:v>1-3 years</x:v>
      </x:c>
      <x:c r="J3678" t="str">
        <x:v>RENT</x:v>
      </x:c>
      <x:c r="K3678" t="str">
        <x:v>medical</x:v>
      </x:c>
      <x:c r="L3678" t="n">
        <x:v>1</x:v>
      </x:c>
      <x:c r="M3678" t="n">
        <x:v>0</x:v>
      </x:c>
      <x:c r="N3678" t="str">
        <x:v>Fully Paid</x:v>
      </x:c>
      <x:c r="O3678" t="str">
        <x:f>IF(D3678="","Unknown",IF(D3678&lt;25000,"&lt;$25k",IF(D3678&lt;50000,"$25k-$50k",IF(D3678&lt;75000,"$50k-$75k",IF(D3678&lt;100000,"$75k-$100k","$100k+")))))</x:f>
        <x:v>$50k-$75k</x:v>
      </x:c>
      <x:c r="P3678" t="str">
        <x:f>IF(E3678="","Unknown",IF(E3678&lt;10,"&lt;10",IF(E3678&lt;20,"10-&lt;20",IF(E3678&lt;25,"20-&lt;25",IF(E3678&lt;35,"25-&lt;35","35+")))))</x:f>
        <x:v>&lt;10</x:v>
      </x:c>
    </x:row>
    <x:row r="3679">
      <x:c r="A3679" t="str">
        <x:v>SYN0003678</x:v>
      </x:c>
      <x:c r="B3679" s="12" t="n">
        <x:v>42865</x:v>
      </x:c>
      <x:c r="C3679" s="18" t="n">
        <x:v>3639</x:v>
      </x:c>
      <x:c r="D3679" s="18" t="n">
        <x:v>35381</x:v>
      </x:c>
      <x:c r="E3679" s="18" t="n">
        <x:v>17.63</x:v>
      </x:c>
      <x:c r="F3679" s="18" t="n">
        <x:v>9.72</x:v>
      </x:c>
      <x:c r="G3679" t="n">
        <x:v>60</x:v>
      </x:c>
      <x:c r="H3679" t="str">
        <x:v>B</x:v>
      </x:c>
      <x:c r="I3679" t="str">
        <x:v>1-3 years</x:v>
      </x:c>
      <x:c r="J3679" t="str">
        <x:v>RENT</x:v>
      </x:c>
      <x:c r="K3679" t="str">
        <x:v>credit_card</x:v>
      </x:c>
      <x:c r="L3679" t="n">
        <x:v>0</x:v>
      </x:c>
      <x:c r="M3679" t="n">
        <x:v>0</x:v>
      </x:c>
      <x:c r="N3679" t="str">
        <x:v>Fully Paid</x:v>
      </x:c>
      <x:c r="O3679" t="str">
        <x:f>IF(D3679="","Unknown",IF(D3679&lt;25000,"&lt;$25k",IF(D3679&lt;50000,"$25k-$50k",IF(D3679&lt;75000,"$50k-$75k",IF(D3679&lt;100000,"$75k-$100k","$100k+")))))</x:f>
        <x:v>$25k-$50k</x:v>
      </x:c>
      <x:c r="P3679" t="str">
        <x:f>IF(E3679="","Unknown",IF(E3679&lt;10,"&lt;10",IF(E3679&lt;20,"10-&lt;20",IF(E3679&lt;25,"20-&lt;25",IF(E3679&lt;35,"25-&lt;35","35+")))))</x:f>
        <x:v>10-&lt;20</x:v>
      </x:c>
    </x:row>
    <x:row r="3680">
      <x:c r="A3680" t="str">
        <x:v>SYN0003679</x:v>
      </x:c>
      <x:c r="B3680" s="12" t="n">
        <x:v>42115</x:v>
      </x:c>
      <x:c r="C3680" s="18" t="n">
        <x:v>16189</x:v>
      </x:c>
      <x:c r="D3680" s="18" t="n">
        <x:v>70135</x:v>
      </x:c>
      <x:c r="E3680" s="18" t="n">
        <x:v>40.04</x:v>
      </x:c>
      <x:c r="F3680" s="18" t="n">
        <x:v>5</x:v>
      </x:c>
      <x:c r="G3680" t="n">
        <x:v>60</x:v>
      </x:c>
      <x:c r="H3680" t="str">
        <x:v>A</x:v>
      </x:c>
      <x:c r="I3680" t="str">
        <x:v>1-3 years</x:v>
      </x:c>
      <x:c r="J3680" t="str">
        <x:v>RENT</x:v>
      </x:c>
      <x:c r="K3680" t="str">
        <x:v>credit_card</x:v>
      </x:c>
      <x:c r="L3680" t="n">
        <x:v>0</x:v>
      </x:c>
      <x:c r="M3680" t="n">
        <x:v>0</x:v>
      </x:c>
      <x:c r="N3680" t="str">
        <x:v>Fully Paid</x:v>
      </x:c>
      <x:c r="O3680" t="str">
        <x:f>IF(D3680="","Unknown",IF(D3680&lt;25000,"&lt;$25k",IF(D3680&lt;50000,"$25k-$50k",IF(D3680&lt;75000,"$50k-$75k",IF(D3680&lt;100000,"$75k-$100k","$100k+")))))</x:f>
        <x:v>$50k-$75k</x:v>
      </x:c>
      <x:c r="P3680" t="str">
        <x:f>IF(E3680="","Unknown",IF(E3680&lt;10,"&lt;10",IF(E3680&lt;20,"10-&lt;20",IF(E3680&lt;25,"20-&lt;25",IF(E3680&lt;35,"25-&lt;35","35+")))))</x:f>
        <x:v>35+</x:v>
      </x:c>
    </x:row>
    <x:row r="3681">
      <x:c r="A3681" t="str">
        <x:v>SYN0003680</x:v>
      </x:c>
      <x:c r="B3681" s="12" t="n">
        <x:v>42295</x:v>
      </x:c>
      <x:c r="C3681" s="18" t="n">
        <x:v>10293</x:v>
      </x:c>
      <x:c r="D3681" s="18" t="n">
        <x:v>37365</x:v>
      </x:c>
      <x:c r="E3681" s="18" t="n">
        <x:v>17.22</x:v>
      </x:c>
      <x:c r="F3681" s="18" t="n">
        <x:v>24.36</x:v>
      </x:c>
      <x:c r="G3681" t="n">
        <x:v>36</x:v>
      </x:c>
      <x:c r="H3681" t="str">
        <x:v>F</x:v>
      </x:c>
      <x:c r="I3681" t="str">
        <x:v>7-9 years</x:v>
      </x:c>
      <x:c r="J3681" t="str">
        <x:v>RENT</x:v>
      </x:c>
      <x:c r="K3681" t="str">
        <x:v>major_purchase</x:v>
      </x:c>
      <x:c r="L3681" t="n">
        <x:v>1</x:v>
      </x:c>
      <x:c r="M3681" t="n">
        <x:v>1</x:v>
      </x:c>
      <x:c r="N3681" t="str">
        <x:v>Charged Off</x:v>
      </x:c>
      <x:c r="O3681" t="str">
        <x:f>IF(D3681="","Unknown",IF(D3681&lt;25000,"&lt;$25k",IF(D3681&lt;50000,"$25k-$50k",IF(D3681&lt;75000,"$50k-$75k",IF(D3681&lt;100000,"$75k-$100k","$100k+")))))</x:f>
        <x:v>$25k-$50k</x:v>
      </x:c>
      <x:c r="P3681" t="str">
        <x:f>IF(E3681="","Unknown",IF(E3681&lt;10,"&lt;10",IF(E3681&lt;20,"10-&lt;20",IF(E3681&lt;25,"20-&lt;25",IF(E3681&lt;35,"25-&lt;35","35+")))))</x:f>
        <x:v>10-&lt;20</x:v>
      </x:c>
    </x:row>
    <x:row r="3682">
      <x:c r="A3682" t="str">
        <x:v>SYN0003681</x:v>
      </x:c>
      <x:c r="B3682" s="12" t="n">
        <x:v>42835</x:v>
      </x:c>
      <x:c r="C3682" s="18" t="n">
        <x:v>12353</x:v>
      </x:c>
      <x:c r="D3682" s="18" t="n">
        <x:v>30655</x:v>
      </x:c>
      <x:c r="E3682" s="18" t="n">
        <x:v>27.54</x:v>
      </x:c>
      <x:c r="F3682" s="18" t="n">
        <x:v>7.51</x:v>
      </x:c>
      <x:c r="G3682" t="n">
        <x:v>36</x:v>
      </x:c>
      <x:c r="H3682" t="str">
        <x:v>B</x:v>
      </x:c>
      <x:c r="I3682" t="str">
        <x:v>10+ years</x:v>
      </x:c>
      <x:c r="J3682" t="str">
        <x:v>MORTGAGE</x:v>
      </x:c>
      <x:c r="K3682" t="str">
        <x:v>debt_consolidation</x:v>
      </x:c>
      <x:c r="L3682" t="n">
        <x:v>2</x:v>
      </x:c>
      <x:c r="M3682" t="n">
        <x:v>0</x:v>
      </x:c>
      <x:c r="N3682" t="str">
        <x:v>Fully Paid</x:v>
      </x:c>
      <x:c r="O3682" t="str">
        <x:f>IF(D3682="","Unknown",IF(D3682&lt;25000,"&lt;$25k",IF(D3682&lt;50000,"$25k-$50k",IF(D3682&lt;75000,"$50k-$75k",IF(D3682&lt;100000,"$75k-$100k","$100k+")))))</x:f>
        <x:v>$25k-$50k</x:v>
      </x:c>
      <x:c r="P3682" t="str">
        <x:f>IF(E3682="","Unknown",IF(E3682&lt;10,"&lt;10",IF(E3682&lt;20,"10-&lt;20",IF(E3682&lt;25,"20-&lt;25",IF(E3682&lt;35,"25-&lt;35","35+")))))</x:f>
        <x:v>25-&lt;35</x:v>
      </x:c>
    </x:row>
    <x:row r="3683">
      <x:c r="A3683" t="str">
        <x:v>SYN0003682</x:v>
      </x:c>
      <x:c r="B3683" s="12" t="n">
        <x:v>42625</x:v>
      </x:c>
      <x:c r="C3683" s="18" t="n">
        <x:v>7930</x:v>
      </x:c>
      <x:c r="D3683" s="18" t="n">
        <x:v>66307</x:v>
      </x:c>
      <x:c r="E3683" s="18" t="n">
        <x:v>31.73</x:v>
      </x:c>
      <x:c r="F3683" s="18" t="n">
        <x:v>11.54</x:v>
      </x:c>
      <x:c r="G3683" t="n">
        <x:v>36</x:v>
      </x:c>
      <x:c r="H3683" t="str">
        <x:v>D</x:v>
      </x:c>
      <x:c r="I3683" t="str">
        <x:v>10+ years</x:v>
      </x:c>
      <x:c r="J3683" t="str">
        <x:v>MORTGAGE</x:v>
      </x:c>
      <x:c r="K3683" t="str">
        <x:v>home_improvement</x:v>
      </x:c>
      <x:c r="L3683" t="n">
        <x:v>1</x:v>
      </x:c>
      <x:c r="M3683" t="n">
        <x:v>0</x:v>
      </x:c>
      <x:c r="N3683" t="str">
        <x:v>Fully Paid</x:v>
      </x:c>
      <x:c r="O3683" t="str">
        <x:f>IF(D3683="","Unknown",IF(D3683&lt;25000,"&lt;$25k",IF(D3683&lt;50000,"$25k-$50k",IF(D3683&lt;75000,"$50k-$75k",IF(D3683&lt;100000,"$75k-$100k","$100k+")))))</x:f>
        <x:v>$50k-$75k</x:v>
      </x:c>
      <x:c r="P3683" t="str">
        <x:f>IF(E3683="","Unknown",IF(E3683&lt;10,"&lt;10",IF(E3683&lt;20,"10-&lt;20",IF(E3683&lt;25,"20-&lt;25",IF(E3683&lt;35,"25-&lt;35","35+")))))</x:f>
        <x:v>25-&lt;35</x:v>
      </x:c>
    </x:row>
    <x:row r="3684">
      <x:c r="A3684" t="str">
        <x:v>SYN0003683</x:v>
      </x:c>
      <x:c r="B3684" s="12" t="n">
        <x:v>42955</x:v>
      </x:c>
      <x:c r="C3684" s="18" t="n">
        <x:v>15083</x:v>
      </x:c>
      <x:c r="D3684" s="18" t="n">
        <x:v>26419</x:v>
      </x:c>
      <x:c r="E3684" s="18" t="n">
        <x:v>0</x:v>
      </x:c>
      <x:c r="F3684" s="18" t="n">
        <x:v>8.78</x:v>
      </x:c>
      <x:c r="G3684" t="n">
        <x:v>36</x:v>
      </x:c>
      <x:c r="H3684" t="str">
        <x:v>B</x:v>
      </x:c>
      <x:c r="I3684" t="str">
        <x:v>7-9 years</x:v>
      </x:c>
      <x:c r="J3684" t="str">
        <x:v>RENT</x:v>
      </x:c>
      <x:c r="K3684" t="str">
        <x:v>major_purchase</x:v>
      </x:c>
      <x:c r="L3684" t="n">
        <x:v>0</x:v>
      </x:c>
      <x:c r="M3684" t="n">
        <x:v>0</x:v>
      </x:c>
      <x:c r="N3684" t="str">
        <x:v>Fully Paid</x:v>
      </x:c>
      <x:c r="O3684" t="str">
        <x:f>IF(D3684="","Unknown",IF(D3684&lt;25000,"&lt;$25k",IF(D3684&lt;50000,"$25k-$50k",IF(D3684&lt;75000,"$50k-$75k",IF(D3684&lt;100000,"$75k-$100k","$100k+")))))</x:f>
        <x:v>$25k-$50k</x:v>
      </x:c>
      <x:c r="P3684" t="str">
        <x:f>IF(E3684="","Unknown",IF(E3684&lt;10,"&lt;10",IF(E3684&lt;20,"10-&lt;20",IF(E3684&lt;25,"20-&lt;25",IF(E3684&lt;35,"25-&lt;35","35+")))))</x:f>
        <x:v>Unknown</x:v>
      </x:c>
    </x:row>
    <x:row r="3685">
      <x:c r="A3685" t="str">
        <x:v>SYN0003684</x:v>
      </x:c>
      <x:c r="B3685" s="12" t="n">
        <x:v>43255</x:v>
      </x:c>
      <x:c r="C3685" s="18" t="n">
        <x:v>22287</x:v>
      </x:c>
      <x:c r="D3685" s="18" t="n">
        <x:v>71237</x:v>
      </x:c>
      <x:c r="E3685" s="18" t="n">
        <x:v>24.28</x:v>
      </x:c>
      <x:c r="F3685" s="18" t="n">
        <x:v>11.14</x:v>
      </x:c>
      <x:c r="G3685" t="n">
        <x:v>36</x:v>
      </x:c>
      <x:c r="H3685" t="str">
        <x:v>C</x:v>
      </x:c>
      <x:c r="I3685" t="str">
        <x:v>4-6 years</x:v>
      </x:c>
      <x:c r="J3685" t="str">
        <x:v>OWN</x:v>
      </x:c>
      <x:c r="K3685" t="str">
        <x:v>debt_consolidation</x:v>
      </x:c>
      <x:c r="L3685" t="n">
        <x:v>1</x:v>
      </x:c>
      <x:c r="M3685" t="n">
        <x:v>0</x:v>
      </x:c>
      <x:c r="N3685" t="str">
        <x:v>Fully Paid</x:v>
      </x:c>
      <x:c r="O3685" t="str">
        <x:f>IF(D3685="","Unknown",IF(D3685&lt;25000,"&lt;$25k",IF(D3685&lt;50000,"$25k-$50k",IF(D3685&lt;75000,"$50k-$75k",IF(D3685&lt;100000,"$75k-$100k","$100k+")))))</x:f>
        <x:v>$50k-$75k</x:v>
      </x:c>
      <x:c r="P3685" t="str">
        <x:f>IF(E3685="","Unknown",IF(E3685&lt;10,"&lt;10",IF(E3685&lt;20,"10-&lt;20",IF(E3685&lt;25,"20-&lt;25",IF(E3685&lt;35,"25-&lt;35","35+")))))</x:f>
        <x:v>20-&lt;25</x:v>
      </x:c>
    </x:row>
    <x:row r="3686">
      <x:c r="A3686" t="str">
        <x:v>SYN0003685</x:v>
      </x:c>
      <x:c r="B3686" s="12" t="n">
        <x:v>42385</x:v>
      </x:c>
      <x:c r="C3686" s="18" t="n">
        <x:v>11624</x:v>
      </x:c>
      <x:c r="D3686" s="18" t="n">
        <x:v>86938</x:v>
      </x:c>
      <x:c r="E3686" s="18" t="n">
        <x:v>25.17</x:v>
      </x:c>
      <x:c r="F3686" s="18" t="n">
        <x:v>13.1</x:v>
      </x:c>
      <x:c r="G3686" t="n">
        <x:v>36</x:v>
      </x:c>
      <x:c r="H3686" t="str">
        <x:v>D</x:v>
      </x:c>
      <x:c r="I3686" t="str">
        <x:v>7-9 years</x:v>
      </x:c>
      <x:c r="J3686" t="str">
        <x:v>RENT</x:v>
      </x:c>
      <x:c r="K3686" t="str">
        <x:v>home_improvement</x:v>
      </x:c>
      <x:c r="L3686" t="n">
        <x:v>2</x:v>
      </x:c>
      <x:c r="M3686" t="n">
        <x:v>0</x:v>
      </x:c>
      <x:c r="N3686" t="str">
        <x:v>Fully Paid</x:v>
      </x:c>
      <x:c r="O3686" t="str">
        <x:f>IF(D3686="","Unknown",IF(D3686&lt;25000,"&lt;$25k",IF(D3686&lt;50000,"$25k-$50k",IF(D3686&lt;75000,"$50k-$75k",IF(D3686&lt;100000,"$75k-$100k","$100k+")))))</x:f>
        <x:v>$75k-$100k</x:v>
      </x:c>
      <x:c r="P3686" t="str">
        <x:f>IF(E3686="","Unknown",IF(E3686&lt;10,"&lt;10",IF(E3686&lt;20,"10-&lt;20",IF(E3686&lt;25,"20-&lt;25",IF(E3686&lt;35,"25-&lt;35","35+")))))</x:f>
        <x:v>25-&lt;35</x:v>
      </x:c>
    </x:row>
    <x:row r="3687">
      <x:c r="A3687" t="str">
        <x:v>SYN0003686</x:v>
      </x:c>
      <x:c r="B3687" s="12" t="n">
        <x:v>41845</x:v>
      </x:c>
      <x:c r="C3687" s="18" t="n">
        <x:v>7882</x:v>
      </x:c>
      <x:c r="D3687" s="18" t="n">
        <x:v>30267</x:v>
      </x:c>
      <x:c r="E3687" s="18" t="n">
        <x:v>9.73</x:v>
      </x:c>
      <x:c r="F3687" s="18" t="n">
        <x:v>9.94</x:v>
      </x:c>
      <x:c r="G3687" t="n">
        <x:v>60</x:v>
      </x:c>
      <x:c r="H3687" t="str">
        <x:v>C</x:v>
      </x:c>
      <x:c r="I3687" t="str">
        <x:v>&lt;1 year</x:v>
      </x:c>
      <x:c r="J3687" t="str">
        <x:v>OWN</x:v>
      </x:c>
      <x:c r="K3687" t="str">
        <x:v>other</x:v>
      </x:c>
      <x:c r="L3687" t="n">
        <x:v>0</x:v>
      </x:c>
      <x:c r="M3687" t="n">
        <x:v>0</x:v>
      </x:c>
      <x:c r="N3687" t="str">
        <x:v>Fully Paid</x:v>
      </x:c>
      <x:c r="O3687" t="str">
        <x:f>IF(D3687="","Unknown",IF(D3687&lt;25000,"&lt;$25k",IF(D3687&lt;50000,"$25k-$50k",IF(D3687&lt;75000,"$50k-$75k",IF(D3687&lt;100000,"$75k-$100k","$100k+")))))</x:f>
        <x:v>$25k-$50k</x:v>
      </x:c>
      <x:c r="P3687" t="str">
        <x:f>IF(E3687="","Unknown",IF(E3687&lt;10,"&lt;10",IF(E3687&lt;20,"10-&lt;20",IF(E3687&lt;25,"20-&lt;25",IF(E3687&lt;35,"25-&lt;35","35+")))))</x:f>
        <x:v>&lt;10</x:v>
      </x:c>
    </x:row>
    <x:row r="3688">
      <x:c r="A3688" t="str">
        <x:v>SYN0003687</x:v>
      </x:c>
      <x:c r="B3688" s="12" t="n">
        <x:v>42115</x:v>
      </x:c>
      <x:c r="C3688" s="18" t="n">
        <x:v>6889</x:v>
      </x:c>
      <x:c r="D3688" s="18" t="n">
        <x:v>181558</x:v>
      </x:c>
      <x:c r="E3688" s="18" t="n">
        <x:v>16.41</x:v>
      </x:c>
      <x:c r="F3688" s="18" t="n">
        <x:v>15.26</x:v>
      </x:c>
      <x:c r="G3688" t="n">
        <x:v>36</x:v>
      </x:c>
      <x:c r="H3688" t="str">
        <x:v>E</x:v>
      </x:c>
      <x:c r="I3688" t="str">
        <x:v>7-9 years</x:v>
      </x:c>
      <x:c r="J3688" t="str">
        <x:v>OTHER</x:v>
      </x:c>
      <x:c r="K3688" t="str">
        <x:v>credit_card</x:v>
      </x:c>
      <x:c r="L3688" t="n">
        <x:v>0</x:v>
      </x:c>
      <x:c r="M3688" t="n">
        <x:v>1</x:v>
      </x:c>
      <x:c r="N3688" t="str">
        <x:v>Charged Off</x:v>
      </x:c>
      <x:c r="O3688" t="str">
        <x:f>IF(D3688="","Unknown",IF(D3688&lt;25000,"&lt;$25k",IF(D3688&lt;50000,"$25k-$50k",IF(D3688&lt;75000,"$50k-$75k",IF(D3688&lt;100000,"$75k-$100k","$100k+")))))</x:f>
        <x:v>$100k+</x:v>
      </x:c>
      <x:c r="P3688" t="str">
        <x:f>IF(E3688="","Unknown",IF(E3688&lt;10,"&lt;10",IF(E3688&lt;20,"10-&lt;20",IF(E3688&lt;25,"20-&lt;25",IF(E3688&lt;35,"25-&lt;35","35+")))))</x:f>
        <x:v>10-&lt;20</x:v>
      </x:c>
    </x:row>
    <x:row r="3689">
      <x:c r="A3689" t="str">
        <x:v>SYN0003688</x:v>
      </x:c>
      <x:c r="B3689" s="12" t="n">
        <x:v>42685</x:v>
      </x:c>
      <x:c r="C3689" s="18" t="n">
        <x:v>18257</x:v>
      </x:c>
      <x:c r="D3689" s="18" t="n">
        <x:v>39793</x:v>
      </x:c>
      <x:c r="E3689" s="18" t="n">
        <x:v>27.54</x:v>
      </x:c>
      <x:c r="F3689" s="18" t="n">
        <x:v>21.35</x:v>
      </x:c>
      <x:c r="G3689" t="n">
        <x:v>60</x:v>
      </x:c>
      <x:c r="H3689" t="str">
        <x:v>F</x:v>
      </x:c>
      <x:c r="I3689" t="str">
        <x:v>7-9 years</x:v>
      </x:c>
      <x:c r="J3689" t="str">
        <x:v>OWN</x:v>
      </x:c>
      <x:c r="K3689" t="str">
        <x:v>debt_consolidation</x:v>
      </x:c>
      <x:c r="L3689" t="n">
        <x:v>2</x:v>
      </x:c>
      <x:c r="M3689" t="n">
        <x:v>1</x:v>
      </x:c>
      <x:c r="N3689" t="str">
        <x:v>Charged Off</x:v>
      </x:c>
      <x:c r="O3689" t="str">
        <x:f>IF(D3689="","Unknown",IF(D3689&lt;25000,"&lt;$25k",IF(D3689&lt;50000,"$25k-$50k",IF(D3689&lt;75000,"$50k-$75k",IF(D3689&lt;100000,"$75k-$100k","$100k+")))))</x:f>
        <x:v>$25k-$50k</x:v>
      </x:c>
      <x:c r="P3689" t="str">
        <x:f>IF(E3689="","Unknown",IF(E3689&lt;10,"&lt;10",IF(E3689&lt;20,"10-&lt;20",IF(E3689&lt;25,"20-&lt;25",IF(E3689&lt;35,"25-&lt;35","35+")))))</x:f>
        <x:v>25-&lt;35</x:v>
      </x:c>
    </x:row>
    <x:row r="3690">
      <x:c r="A3690" t="str">
        <x:v>SYN0003689</x:v>
      </x:c>
      <x:c r="B3690" s="12" t="n">
        <x:v>42595</x:v>
      </x:c>
      <x:c r="C3690" s="18" t="n">
        <x:v>11917</x:v>
      </x:c>
      <x:c r="D3690" s="18" t="n">
        <x:v>63506</x:v>
      </x:c>
      <x:c r="E3690" s="18" t="n">
        <x:v>30.43</x:v>
      </x:c>
      <x:c r="F3690" s="18" t="n">
        <x:v>25.45</x:v>
      </x:c>
      <x:c r="G3690" t="n">
        <x:v>60</x:v>
      </x:c>
      <x:c r="H3690" t="str">
        <x:v>G</x:v>
      </x:c>
      <x:c r="I3690" t="str">
        <x:v>1-3 years</x:v>
      </x:c>
      <x:c r="J3690" t="str">
        <x:v>MORTGAGE</x:v>
      </x:c>
      <x:c r="K3690" t="str">
        <x:v>debt_consolidation</x:v>
      </x:c>
      <x:c r="L3690" t="n">
        <x:v>1</x:v>
      </x:c>
      <x:c r="M3690" t="n">
        <x:v>0</x:v>
      </x:c>
      <x:c r="N3690" t="str">
        <x:v>Fully Paid</x:v>
      </x:c>
      <x:c r="O3690" t="str">
        <x:f>IF(D3690="","Unknown",IF(D3690&lt;25000,"&lt;$25k",IF(D3690&lt;50000,"$25k-$50k",IF(D3690&lt;75000,"$50k-$75k",IF(D3690&lt;100000,"$75k-$100k","$100k+")))))</x:f>
        <x:v>$50k-$75k</x:v>
      </x:c>
      <x:c r="P3690" t="str">
        <x:f>IF(E3690="","Unknown",IF(E3690&lt;10,"&lt;10",IF(E3690&lt;20,"10-&lt;20",IF(E3690&lt;25,"20-&lt;25",IF(E3690&lt;35,"25-&lt;35","35+")))))</x:f>
        <x:v>25-&lt;35</x:v>
      </x:c>
    </x:row>
    <x:row r="3691">
      <x:c r="A3691" t="str">
        <x:v>SYN0003690</x:v>
      </x:c>
      <x:c r="B3691" s="12" t="n">
        <x:v>43405</x:v>
      </x:c>
      <x:c r="C3691" s="18" t="n">
        <x:v>13416</x:v>
      </x:c>
      <x:c r="D3691" s="18" t="n">
        <x:v>26518</x:v>
      </x:c>
      <x:c r="E3691" s="18" t="n">
        <x:v>23.95</x:v>
      </x:c>
      <x:c r="F3691" s="18" t="n">
        <x:v>9.08</x:v>
      </x:c>
      <x:c r="G3691" t="n">
        <x:v>36</x:v>
      </x:c>
      <x:c r="H3691" t="str">
        <x:v>B</x:v>
      </x:c>
      <x:c r="I3691" t="str">
        <x:v>10+ years</x:v>
      </x:c>
      <x:c r="J3691" t="str">
        <x:v>RENT</x:v>
      </x:c>
      <x:c r="K3691" t="str">
        <x:v>medical</x:v>
      </x:c>
      <x:c r="L3691" t="n">
        <x:v>0</x:v>
      </x:c>
      <x:c r="M3691" t="n">
        <x:v>0</x:v>
      </x:c>
      <x:c r="N3691" t="str">
        <x:v>Fully Paid</x:v>
      </x:c>
      <x:c r="O3691" t="str">
        <x:f>IF(D3691="","Unknown",IF(D3691&lt;25000,"&lt;$25k",IF(D3691&lt;50000,"$25k-$50k",IF(D3691&lt;75000,"$50k-$75k",IF(D3691&lt;100000,"$75k-$100k","$100k+")))))</x:f>
        <x:v>$25k-$50k</x:v>
      </x:c>
      <x:c r="P3691" t="str">
        <x:f>IF(E3691="","Unknown",IF(E3691&lt;10,"&lt;10",IF(E3691&lt;20,"10-&lt;20",IF(E3691&lt;25,"20-&lt;25",IF(E3691&lt;35,"25-&lt;35","35+")))))</x:f>
        <x:v>20-&lt;25</x:v>
      </x:c>
    </x:row>
    <x:row r="3692">
      <x:c r="A3692" t="str">
        <x:v>SYN0003691</x:v>
      </x:c>
      <x:c r="B3692" s="12" t="n">
        <x:v>41545</x:v>
      </x:c>
      <x:c r="C3692" s="18" t="n">
        <x:v>16526</x:v>
      </x:c>
      <x:c r="D3692" s="18" t="n">
        <x:v>156806</x:v>
      </x:c>
      <x:c r="E3692" s="18" t="n">
        <x:v>19.47</x:v>
      </x:c>
      <x:c r="F3692" s="18" t="n">
        <x:v>7.55</x:v>
      </x:c>
      <x:c r="G3692" t="n">
        <x:v>36</x:v>
      </x:c>
      <x:c r="H3692" t="str">
        <x:v>C</x:v>
      </x:c>
      <x:c r="I3692" t="str">
        <x:v>10+ years</x:v>
      </x:c>
      <x:c r="J3692" t="str">
        <x:v>RENT</x:v>
      </x:c>
      <x:c r="K3692" t="str">
        <x:v>credit_card</x:v>
      </x:c>
      <x:c r="L3692" t="n">
        <x:v>1</x:v>
      </x:c>
      <x:c r="M3692" t="n">
        <x:v>0</x:v>
      </x:c>
      <x:c r="N3692" t="str">
        <x:v>Fully Paid</x:v>
      </x:c>
      <x:c r="O3692" t="str">
        <x:f>IF(D3692="","Unknown",IF(D3692&lt;25000,"&lt;$25k",IF(D3692&lt;50000,"$25k-$50k",IF(D3692&lt;75000,"$50k-$75k",IF(D3692&lt;100000,"$75k-$100k","$100k+")))))</x:f>
        <x:v>$100k+</x:v>
      </x:c>
      <x:c r="P3692" t="str">
        <x:f>IF(E3692="","Unknown",IF(E3692&lt;10,"&lt;10",IF(E3692&lt;20,"10-&lt;20",IF(E3692&lt;25,"20-&lt;25",IF(E3692&lt;35,"25-&lt;35","35+")))))</x:f>
        <x:v>10-&lt;20</x:v>
      </x:c>
    </x:row>
    <x:row r="3693">
      <x:c r="A3693" t="str">
        <x:v>SYN0003692</x:v>
      </x:c>
      <x:c r="B3693" s="12" t="n">
        <x:v>41575</x:v>
      </x:c>
      <x:c r="C3693" s="18" t="n">
        <x:v>5198</x:v>
      </x:c>
      <x:c r="D3693" s="18" t="n">
        <x:v>74014</x:v>
      </x:c>
      <x:c r="E3693" s="18" t="n">
        <x:v>7.99</x:v>
      </x:c>
      <x:c r="F3693" s="18" t="n">
        <x:v>11.08</x:v>
      </x:c>
      <x:c r="G3693" t="n">
        <x:v>36</x:v>
      </x:c>
      <x:c r="H3693" t="str">
        <x:v>D</x:v>
      </x:c>
      <x:c r="I3693" t="str">
        <x:v>10+ years</x:v>
      </x:c>
      <x:c r="J3693" t="str">
        <x:v>MORTGAGE</x:v>
      </x:c>
      <x:c r="K3693" t="str">
        <x:v>debt_consolidation</x:v>
      </x:c>
      <x:c r="L3693" t="n">
        <x:v>0</x:v>
      </x:c>
      <x:c r="M3693" t="n">
        <x:v>0</x:v>
      </x:c>
      <x:c r="N3693" t="str">
        <x:v>Fully Paid</x:v>
      </x:c>
      <x:c r="O3693" t="str">
        <x:f>IF(D3693="","Unknown",IF(D3693&lt;25000,"&lt;$25k",IF(D3693&lt;50000,"$25k-$50k",IF(D3693&lt;75000,"$50k-$75k",IF(D3693&lt;100000,"$75k-$100k","$100k+")))))</x:f>
        <x:v>$50k-$75k</x:v>
      </x:c>
      <x:c r="P3693" t="str">
        <x:f>IF(E3693="","Unknown",IF(E3693&lt;10,"&lt;10",IF(E3693&lt;20,"10-&lt;20",IF(E3693&lt;25,"20-&lt;25",IF(E3693&lt;35,"25-&lt;35","35+")))))</x:f>
        <x:v>&lt;10</x:v>
      </x:c>
    </x:row>
    <x:row r="3694">
      <x:c r="A3694" t="str">
        <x:v>SYN0003693</x:v>
      </x:c>
      <x:c r="B3694" s="12" t="n">
        <x:v>41815</x:v>
      </x:c>
      <x:c r="C3694" s="18" t="n">
        <x:v>13264</x:v>
      </x:c>
      <x:c r="D3694" s="18" t="n">
        <x:v>63342</x:v>
      </x:c>
      <x:c r="E3694" s="18" t="n">
        <x:v>31.9</x:v>
      </x:c>
      <x:c r="F3694" s="18" t="n">
        <x:v>6.2</x:v>
      </x:c>
      <x:c r="G3694" t="n">
        <x:v>36</x:v>
      </x:c>
      <x:c r="H3694" t="str">
        <x:v>A</x:v>
      </x:c>
      <x:c r="I3694" t="str">
        <x:v>7-9 years</x:v>
      </x:c>
      <x:c r="J3694" t="str">
        <x:v>MORTGAGE</x:v>
      </x:c>
      <x:c r="K3694" t="str">
        <x:v>debt_consolidation</x:v>
      </x:c>
      <x:c r="L3694" t="n">
        <x:v>0</x:v>
      </x:c>
      <x:c r="M3694" t="n">
        <x:v>0</x:v>
      </x:c>
      <x:c r="N3694" t="str">
        <x:v>Fully Paid</x:v>
      </x:c>
      <x:c r="O3694" t="str">
        <x:f>IF(D3694="","Unknown",IF(D3694&lt;25000,"&lt;$25k",IF(D3694&lt;50000,"$25k-$50k",IF(D3694&lt;75000,"$50k-$75k",IF(D3694&lt;100000,"$75k-$100k","$100k+")))))</x:f>
        <x:v>$50k-$75k</x:v>
      </x:c>
      <x:c r="P3694" t="str">
        <x:f>IF(E3694="","Unknown",IF(E3694&lt;10,"&lt;10",IF(E3694&lt;20,"10-&lt;20",IF(E3694&lt;25,"20-&lt;25",IF(E3694&lt;35,"25-&lt;35","35+")))))</x:f>
        <x:v>25-&lt;35</x:v>
      </x:c>
    </x:row>
    <x:row r="3695">
      <x:c r="A3695" t="str">
        <x:v>SYN0003694</x:v>
      </x:c>
      <x:c r="B3695" s="12" t="n">
        <x:v>43405</x:v>
      </x:c>
      <x:c r="C3695" s="18" t="n">
        <x:v>18813</x:v>
      </x:c>
      <x:c r="D3695" s="18" t="n">
        <x:v>42516</x:v>
      </x:c>
      <x:c r="E3695" s="18" t="n">
        <x:v>27.93</x:v>
      </x:c>
      <x:c r="F3695" s="18" t="n">
        <x:v>14.94</x:v>
      </x:c>
      <x:c r="G3695" t="n">
        <x:v>36</x:v>
      </x:c>
      <x:c r="H3695" t="str">
        <x:v>D</x:v>
      </x:c>
      <x:c r="I3695" t="str">
        <x:v>1-3 years</x:v>
      </x:c>
      <x:c r="J3695" t="str">
        <x:v>MORTGAGE</x:v>
      </x:c>
      <x:c r="K3695" t="str">
        <x:v>major_purchase</x:v>
      </x:c>
      <x:c r="L3695" t="n">
        <x:v>1</x:v>
      </x:c>
      <x:c r="M3695" t="n">
        <x:v>0</x:v>
      </x:c>
      <x:c r="N3695" t="str">
        <x:v>Fully Paid</x:v>
      </x:c>
      <x:c r="O3695" t="str">
        <x:f>IF(D3695="","Unknown",IF(D3695&lt;25000,"&lt;$25k",IF(D3695&lt;50000,"$25k-$50k",IF(D3695&lt;75000,"$50k-$75k",IF(D3695&lt;100000,"$75k-$100k","$100k+")))))</x:f>
        <x:v>$25k-$50k</x:v>
      </x:c>
      <x:c r="P3695" t="str">
        <x:f>IF(E3695="","Unknown",IF(E3695&lt;10,"&lt;10",IF(E3695&lt;20,"10-&lt;20",IF(E3695&lt;25,"20-&lt;25",IF(E3695&lt;35,"25-&lt;35","35+")))))</x:f>
        <x:v>25-&lt;35</x:v>
      </x:c>
    </x:row>
    <x:row r="3696">
      <x:c r="A3696" t="str">
        <x:v>SYN0003695</x:v>
      </x:c>
      <x:c r="B3696" s="12" t="n">
        <x:v>42475</x:v>
      </x:c>
      <x:c r="C3696" s="18" t="n">
        <x:v>9435</x:v>
      </x:c>
      <x:c r="D3696" s="18" t="n">
        <x:v>45075</x:v>
      </x:c>
      <x:c r="E3696" s="18" t="n">
        <x:v>18.68</x:v>
      </x:c>
      <x:c r="F3696" s="18" t="n">
        <x:v>10.27</x:v>
      </x:c>
      <x:c r="G3696" t="n">
        <x:v>36</x:v>
      </x:c>
      <x:c r="H3696" t="str">
        <x:v>B</x:v>
      </x:c>
      <x:c r="I3696" t="str">
        <x:v>1-3 years</x:v>
      </x:c>
      <x:c r="J3696" t="str">
        <x:v>MORTGAGE</x:v>
      </x:c>
      <x:c r="K3696" t="str">
        <x:v>debt_consolidation</x:v>
      </x:c>
      <x:c r="L3696" t="n">
        <x:v>0</x:v>
      </x:c>
      <x:c r="M3696" t="n">
        <x:v>0</x:v>
      </x:c>
      <x:c r="N3696" t="str">
        <x:v>Fully Paid</x:v>
      </x:c>
      <x:c r="O3696" t="str">
        <x:f>IF(D3696="","Unknown",IF(D3696&lt;25000,"&lt;$25k",IF(D3696&lt;50000,"$25k-$50k",IF(D3696&lt;75000,"$50k-$75k",IF(D3696&lt;100000,"$75k-$100k","$100k+")))))</x:f>
        <x:v>$25k-$50k</x:v>
      </x:c>
      <x:c r="P3696" t="str">
        <x:f>IF(E3696="","Unknown",IF(E3696&lt;10,"&lt;10",IF(E3696&lt;20,"10-&lt;20",IF(E3696&lt;25,"20-&lt;25",IF(E3696&lt;35,"25-&lt;35","35+")))))</x:f>
        <x:v>10-&lt;20</x:v>
      </x:c>
    </x:row>
    <x:row r="3697">
      <x:c r="A3697" t="str">
        <x:v>SYN0003696</x:v>
      </x:c>
      <x:c r="B3697" s="12" t="n">
        <x:v>43405</x:v>
      </x:c>
      <x:c r="C3697" s="18" t="n">
        <x:v>7504</x:v>
      </x:c>
      <x:c r="D3697" s="18" t="n">
        <x:v>89848</x:v>
      </x:c>
      <x:c r="E3697" s="18" t="n">
        <x:v>30.07</x:v>
      </x:c>
      <x:c r="F3697" s="18" t="n">
        <x:v>15.21</x:v>
      </x:c>
      <x:c r="G3697" t="n">
        <x:v>36</x:v>
      </x:c>
      <x:c r="H3697" t="str">
        <x:v>D</x:v>
      </x:c>
      <x:c r="I3697" t="str">
        <x:v>1-3 years</x:v>
      </x:c>
      <x:c r="J3697" t="str">
        <x:v>RENT</x:v>
      </x:c>
      <x:c r="K3697" t="str">
        <x:v>debt_consolidation</x:v>
      </x:c>
      <x:c r="L3697" t="n">
        <x:v>0</x:v>
      </x:c>
      <x:c r="M3697" t="n">
        <x:v>0</x:v>
      </x:c>
      <x:c r="N3697" t="str">
        <x:v>Fully Paid</x:v>
      </x:c>
      <x:c r="O3697" t="str">
        <x:f>IF(D3697="","Unknown",IF(D3697&lt;25000,"&lt;$25k",IF(D3697&lt;50000,"$25k-$50k",IF(D3697&lt;75000,"$50k-$75k",IF(D3697&lt;100000,"$75k-$100k","$100k+")))))</x:f>
        <x:v>$75k-$100k</x:v>
      </x:c>
      <x:c r="P3697" t="str">
        <x:f>IF(E3697="","Unknown",IF(E3697&lt;10,"&lt;10",IF(E3697&lt;20,"10-&lt;20",IF(E3697&lt;25,"20-&lt;25",IF(E3697&lt;35,"25-&lt;35","35+")))))</x:f>
        <x:v>25-&lt;35</x:v>
      </x:c>
    </x:row>
    <x:row r="3698">
      <x:c r="A3698" t="str">
        <x:v>SYN0003697</x:v>
      </x:c>
      <x:c r="B3698" s="12" t="n">
        <x:v>42475</x:v>
      </x:c>
      <x:c r="C3698" s="18" t="n">
        <x:v>8837</x:v>
      </x:c>
      <x:c r="D3698" s="18" t="n">
        <x:v>26792</x:v>
      </x:c>
      <x:c r="E3698" s="18" t="n">
        <x:v>23.08</x:v>
      </x:c>
      <x:c r="F3698" s="18" t="n">
        <x:v>12.95</x:v>
      </x:c>
      <x:c r="G3698" t="n">
        <x:v>36</x:v>
      </x:c>
      <x:c r="H3698" t="str">
        <x:v>D</x:v>
      </x:c>
      <x:c r="I3698" t="str">
        <x:v>4-6 years</x:v>
      </x:c>
      <x:c r="J3698" t="str">
        <x:v>OWN</x:v>
      </x:c>
      <x:c r="K3698" t="str">
        <x:v>debt_consolidation</x:v>
      </x:c>
      <x:c r="L3698" t="n">
        <x:v>1</x:v>
      </x:c>
      <x:c r="M3698" t="n">
        <x:v>0</x:v>
      </x:c>
      <x:c r="N3698" t="str">
        <x:v>Fully Paid</x:v>
      </x:c>
      <x:c r="O3698" t="str">
        <x:f>IF(D3698="","Unknown",IF(D3698&lt;25000,"&lt;$25k",IF(D3698&lt;50000,"$25k-$50k",IF(D3698&lt;75000,"$50k-$75k",IF(D3698&lt;100000,"$75k-$100k","$100k+")))))</x:f>
        <x:v>$25k-$50k</x:v>
      </x:c>
      <x:c r="P3698" t="str">
        <x:f>IF(E3698="","Unknown",IF(E3698&lt;10,"&lt;10",IF(E3698&lt;20,"10-&lt;20",IF(E3698&lt;25,"20-&lt;25",IF(E3698&lt;35,"25-&lt;35","35+")))))</x:f>
        <x:v>20-&lt;25</x:v>
      </x:c>
    </x:row>
    <x:row r="3699">
      <x:c r="A3699" t="str">
        <x:v>SYN0003698</x:v>
      </x:c>
      <x:c r="B3699" s="12" t="n">
        <x:v>41395</x:v>
      </x:c>
      <x:c r="C3699" s="18" t="n">
        <x:v>13682</x:v>
      </x:c>
      <x:c r="D3699" s="18" t="n">
        <x:v>68568</x:v>
      </x:c>
      <x:c r="E3699" s="18" t="n">
        <x:v>11.1</x:v>
      </x:c>
      <x:c r="F3699" s="18" t="n">
        <x:v>10.84</x:v>
      </x:c>
      <x:c r="G3699" t="n">
        <x:v>60</x:v>
      </x:c>
      <x:c r="H3699" t="str">
        <x:v>C</x:v>
      </x:c>
      <x:c r="I3699" t="str">
        <x:v>4-6 years</x:v>
      </x:c>
      <x:c r="J3699" t="str">
        <x:v>RENT</x:v>
      </x:c>
      <x:c r="K3699" t="str">
        <x:v>credit_card</x:v>
      </x:c>
      <x:c r="L3699" t="n">
        <x:v>0</x:v>
      </x:c>
      <x:c r="M3699" t="n">
        <x:v>0</x:v>
      </x:c>
      <x:c r="N3699" t="str">
        <x:v>Fully Paid</x:v>
      </x:c>
      <x:c r="O3699" t="str">
        <x:f>IF(D3699="","Unknown",IF(D3699&lt;25000,"&lt;$25k",IF(D3699&lt;50000,"$25k-$50k",IF(D3699&lt;75000,"$50k-$75k",IF(D3699&lt;100000,"$75k-$100k","$100k+")))))</x:f>
        <x:v>$50k-$75k</x:v>
      </x:c>
      <x:c r="P3699" t="str">
        <x:f>IF(E3699="","Unknown",IF(E3699&lt;10,"&lt;10",IF(E3699&lt;20,"10-&lt;20",IF(E3699&lt;25,"20-&lt;25",IF(E3699&lt;35,"25-&lt;35","35+")))))</x:f>
        <x:v>10-&lt;20</x:v>
      </x:c>
    </x:row>
    <x:row r="3700">
      <x:c r="A3700" t="str">
        <x:v>SYN0003699</x:v>
      </x:c>
      <x:c r="B3700" s="12" t="n">
        <x:v>42925</x:v>
      </x:c>
      <x:c r="C3700" s="18" t="n">
        <x:v>8025</x:v>
      </x:c>
      <x:c r="D3700" s="18" t="n">
        <x:v>26310</x:v>
      </x:c>
      <x:c r="E3700" s="18" t="n">
        <x:v>26.37</x:v>
      </x:c>
      <x:c r="F3700" s="18" t="n">
        <x:v>20.05</x:v>
      </x:c>
      <x:c r="G3700" t="n">
        <x:v>36</x:v>
      </x:c>
      <x:c r="H3700" t="str">
        <x:v>F</x:v>
      </x:c>
      <x:c r="I3700" t="str">
        <x:v>1-3 years</x:v>
      </x:c>
      <x:c r="J3700" t="str">
        <x:v>RENT</x:v>
      </x:c>
      <x:c r="K3700" t="str">
        <x:v>credit_card</x:v>
      </x:c>
      <x:c r="L3700" t="n">
        <x:v>0</x:v>
      </x:c>
      <x:c r="M3700" t="n">
        <x:v>1</x:v>
      </x:c>
      <x:c r="N3700" t="str">
        <x:v>Charged Off</x:v>
      </x:c>
      <x:c r="O3700" t="str">
        <x:f>IF(D3700="","Unknown",IF(D3700&lt;25000,"&lt;$25k",IF(D3700&lt;50000,"$25k-$50k",IF(D3700&lt;75000,"$50k-$75k",IF(D3700&lt;100000,"$75k-$100k","$100k+")))))</x:f>
        <x:v>$25k-$50k</x:v>
      </x:c>
      <x:c r="P3700" t="str">
        <x:f>IF(E3700="","Unknown",IF(E3700&lt;10,"&lt;10",IF(E3700&lt;20,"10-&lt;20",IF(E3700&lt;25,"20-&lt;25",IF(E3700&lt;35,"25-&lt;35","35+")))))</x:f>
        <x:v>25-&lt;35</x:v>
      </x:c>
    </x:row>
    <x:row r="3701">
      <x:c r="A3701" t="str">
        <x:v>SYN0003700</x:v>
      </x:c>
      <x:c r="B3701" s="12" t="n">
        <x:v>42325</x:v>
      </x:c>
      <x:c r="C3701" s="18" t="n">
        <x:v>10943</x:v>
      </x:c>
      <x:c r="D3701" s="18" t="n">
        <x:v>66675</x:v>
      </x:c>
      <x:c r="E3701" s="18" t="n">
        <x:v>13.41</x:v>
      </x:c>
      <x:c r="F3701" s="18" t="n">
        <x:v>26.04</x:v>
      </x:c>
      <x:c r="G3701" t="n">
        <x:v>36</x:v>
      </x:c>
      <x:c r="H3701" t="str">
        <x:v>G</x:v>
      </x:c>
      <x:c r="I3701" t="str">
        <x:v>10+ years</x:v>
      </x:c>
      <x:c r="J3701" t="str">
        <x:v>RENT</x:v>
      </x:c>
      <x:c r="K3701" t="str">
        <x:v>credit_card</x:v>
      </x:c>
      <x:c r="L3701" t="n">
        <x:v>1</x:v>
      </x:c>
      <x:c r="M3701" t="n">
        <x:v>0</x:v>
      </x:c>
      <x:c r="N3701" t="str">
        <x:v>Fully Paid</x:v>
      </x:c>
      <x:c r="O3701" t="str">
        <x:f>IF(D3701="","Unknown",IF(D3701&lt;25000,"&lt;$25k",IF(D3701&lt;50000,"$25k-$50k",IF(D3701&lt;75000,"$50k-$75k",IF(D3701&lt;100000,"$75k-$100k","$100k+")))))</x:f>
        <x:v>$50k-$75k</x:v>
      </x:c>
      <x:c r="P3701" t="str">
        <x:f>IF(E3701="","Unknown",IF(E3701&lt;10,"&lt;10",IF(E3701&lt;20,"10-&lt;20",IF(E3701&lt;25,"20-&lt;25",IF(E3701&lt;35,"25-&lt;35","35+")))))</x:f>
        <x:v>10-&lt;20</x:v>
      </x:c>
    </x:row>
    <x:row r="3702">
      <x:c r="A3702" t="str">
        <x:v>SYN0003701</x:v>
      </x:c>
      <x:c r="B3702" s="12" t="n">
        <x:v>42625</x:v>
      </x:c>
      <x:c r="C3702" s="18" t="n">
        <x:v>11865</x:v>
      </x:c>
      <x:c r="D3702" s="18" t="n">
        <x:v>25022</x:v>
      </x:c>
      <x:c r="E3702" s="18" t="n">
        <x:v>28.34</x:v>
      </x:c>
      <x:c r="F3702" s="18" t="n">
        <x:v>13.77</x:v>
      </x:c>
      <x:c r="G3702" t="n">
        <x:v>36</x:v>
      </x:c>
      <x:c r="H3702" t="str">
        <x:v>D</x:v>
      </x:c>
      <x:c r="I3702" t="str">
        <x:v>1-3 years</x:v>
      </x:c>
      <x:c r="J3702" t="str">
        <x:v>RENT</x:v>
      </x:c>
      <x:c r="K3702" t="str">
        <x:v>credit_card</x:v>
      </x:c>
      <x:c r="L3702" t="n">
        <x:v>2</x:v>
      </x:c>
      <x:c r="M3702" t="n">
        <x:v>0</x:v>
      </x:c>
      <x:c r="N3702" t="str">
        <x:v>Fully Paid</x:v>
      </x:c>
      <x:c r="O3702" t="str">
        <x:f>IF(D3702="","Unknown",IF(D3702&lt;25000,"&lt;$25k",IF(D3702&lt;50000,"$25k-$50k",IF(D3702&lt;75000,"$50k-$75k",IF(D3702&lt;100000,"$75k-$100k","$100k+")))))</x:f>
        <x:v>$25k-$50k</x:v>
      </x:c>
      <x:c r="P3702" t="str">
        <x:f>IF(E3702="","Unknown",IF(E3702&lt;10,"&lt;10",IF(E3702&lt;20,"10-&lt;20",IF(E3702&lt;25,"20-&lt;25",IF(E3702&lt;35,"25-&lt;35","35+")))))</x:f>
        <x:v>25-&lt;35</x:v>
      </x:c>
    </x:row>
    <x:row r="3703">
      <x:c r="A3703" t="str">
        <x:v>SYN0003702</x:v>
      </x:c>
      <x:c r="B3703" s="12" t="n">
        <x:v>42835</x:v>
      </x:c>
      <x:c r="C3703" s="18" t="n">
        <x:v>18962</x:v>
      </x:c>
      <x:c r="D3703" s="18" t="n">
        <x:v>30438</x:v>
      </x:c>
      <x:c r="E3703" s="18" t="n">
        <x:v>20.62</x:v>
      </x:c>
      <x:c r="F3703" s="18" t="n">
        <x:v>10.65</x:v>
      </x:c>
      <x:c r="G3703" t="n">
        <x:v>36</x:v>
      </x:c>
      <x:c r="H3703" t="str">
        <x:v>C</x:v>
      </x:c>
      <x:c r="I3703" t="str">
        <x:v>1-3 years</x:v>
      </x:c>
      <x:c r="J3703" t="str">
        <x:v>MORTGAGE</x:v>
      </x:c>
      <x:c r="K3703" t="str">
        <x:v>credit_card</x:v>
      </x:c>
      <x:c r="L3703" t="n">
        <x:v>0</x:v>
      </x:c>
      <x:c r="M3703" t="n">
        <x:v>0</x:v>
      </x:c>
      <x:c r="N3703" t="str">
        <x:v>Fully Paid</x:v>
      </x:c>
      <x:c r="O3703" t="str">
        <x:f>IF(D3703="","Unknown",IF(D3703&lt;25000,"&lt;$25k",IF(D3703&lt;50000,"$25k-$50k",IF(D3703&lt;75000,"$50k-$75k",IF(D3703&lt;100000,"$75k-$100k","$100k+")))))</x:f>
        <x:v>$25k-$50k</x:v>
      </x:c>
      <x:c r="P3703" t="str">
        <x:f>IF(E3703="","Unknown",IF(E3703&lt;10,"&lt;10",IF(E3703&lt;20,"10-&lt;20",IF(E3703&lt;25,"20-&lt;25",IF(E3703&lt;35,"25-&lt;35","35+")))))</x:f>
        <x:v>20-&lt;25</x:v>
      </x:c>
    </x:row>
    <x:row r="3704">
      <x:c r="A3704" t="str">
        <x:v>SYN0003703</x:v>
      </x:c>
      <x:c r="B3704" s="12" t="n">
        <x:v>41455</x:v>
      </x:c>
      <x:c r="C3704" s="18" t="n">
        <x:v>13650</x:v>
      </x:c>
      <x:c r="D3704" s="18" t="n">
        <x:v>62670</x:v>
      </x:c>
      <x:c r="E3704" s="18" t="n">
        <x:v>16.5</x:v>
      </x:c>
      <x:c r="F3704" s="18" t="n">
        <x:v>10.76</x:v>
      </x:c>
      <x:c r="G3704" t="n">
        <x:v>36</x:v>
      </x:c>
      <x:c r="H3704" t="str">
        <x:v>C</x:v>
      </x:c>
      <x:c r="I3704" t="str">
        <x:v>4-6 years</x:v>
      </x:c>
      <x:c r="J3704" t="str">
        <x:v>MORTGAGE</x:v>
      </x:c>
      <x:c r="K3704" t="str">
        <x:v>medical</x:v>
      </x:c>
      <x:c r="L3704" t="n">
        <x:v>2</x:v>
      </x:c>
      <x:c r="M3704" t="n">
        <x:v>0</x:v>
      </x:c>
      <x:c r="N3704" t="str">
        <x:v>Fully Paid</x:v>
      </x:c>
      <x:c r="O3704" t="str">
        <x:f>IF(D3704="","Unknown",IF(D3704&lt;25000,"&lt;$25k",IF(D3704&lt;50000,"$25k-$50k",IF(D3704&lt;75000,"$50k-$75k",IF(D3704&lt;100000,"$75k-$100k","$100k+")))))</x:f>
        <x:v>$50k-$75k</x:v>
      </x:c>
      <x:c r="P3704" t="str">
        <x:f>IF(E3704="","Unknown",IF(E3704&lt;10,"&lt;10",IF(E3704&lt;20,"10-&lt;20",IF(E3704&lt;25,"20-&lt;25",IF(E3704&lt;35,"25-&lt;35","35+")))))</x:f>
        <x:v>10-&lt;20</x:v>
      </x:c>
    </x:row>
    <x:row r="3705">
      <x:c r="A3705" t="str">
        <x:v>SYN0003704</x:v>
      </x:c>
      <x:c r="B3705" s="12" t="n">
        <x:v>43255</x:v>
      </x:c>
      <x:c r="C3705" s="18" t="n">
        <x:v>6090</x:v>
      </x:c>
      <x:c r="D3705" s="18" t="n">
        <x:v>94453</x:v>
      </x:c>
      <x:c r="E3705" s="18" t="n">
        <x:v>13.5</x:v>
      </x:c>
      <x:c r="F3705" s="18" t="n">
        <x:v>14.38</x:v>
      </x:c>
      <x:c r="G3705" t="n">
        <x:v>60</x:v>
      </x:c>
      <x:c r="H3705" t="str">
        <x:v>D</x:v>
      </x:c>
      <x:c r="I3705" t="str">
        <x:v>4-6 years</x:v>
      </x:c>
      <x:c r="J3705" t="str">
        <x:v>RENT</x:v>
      </x:c>
      <x:c r="K3705" t="str">
        <x:v>debt_consolidation</x:v>
      </x:c>
      <x:c r="L3705" t="n">
        <x:v>0</x:v>
      </x:c>
      <x:c r="M3705" t="n">
        <x:v>1</x:v>
      </x:c>
      <x:c r="N3705" t="str">
        <x:v>Charged Off</x:v>
      </x:c>
      <x:c r="O3705" t="str">
        <x:f>IF(D3705="","Unknown",IF(D3705&lt;25000,"&lt;$25k",IF(D3705&lt;50000,"$25k-$50k",IF(D3705&lt;75000,"$50k-$75k",IF(D3705&lt;100000,"$75k-$100k","$100k+")))))</x:f>
        <x:v>$75k-$100k</x:v>
      </x:c>
      <x:c r="P3705" t="str">
        <x:f>IF(E3705="","Unknown",IF(E3705&lt;10,"&lt;10",IF(E3705&lt;20,"10-&lt;20",IF(E3705&lt;25,"20-&lt;25",IF(E3705&lt;35,"25-&lt;35","35+")))))</x:f>
        <x:v>10-&lt;20</x:v>
      </x:c>
    </x:row>
    <x:row r="3706">
      <x:c r="A3706" t="str">
        <x:v>SYN0003705</x:v>
      </x:c>
      <x:c r="B3706" s="12" t="n">
        <x:v>42685</x:v>
      </x:c>
      <x:c r="C3706" s="18" t="n">
        <x:v>17912</x:v>
      </x:c>
      <x:c r="D3706" s="18" t="n">
        <x:v>138085</x:v>
      </x:c>
      <x:c r="E3706" s="18" t="n">
        <x:v>24.15</x:v>
      </x:c>
      <x:c r="F3706" s="18" t="n">
        <x:v>5</x:v>
      </x:c>
      <x:c r="G3706" t="n">
        <x:v>60</x:v>
      </x:c>
      <x:c r="H3706" t="str">
        <x:v>A</x:v>
      </x:c>
      <x:c r="I3706" t="str">
        <x:v>4-6 years</x:v>
      </x:c>
      <x:c r="J3706" t="str">
        <x:v>OWN</x:v>
      </x:c>
      <x:c r="K3706" t="str">
        <x:v>debt_consolidation</x:v>
      </x:c>
      <x:c r="L3706" t="n">
        <x:v>1</x:v>
      </x:c>
      <x:c r="M3706" t="n">
        <x:v>0</x:v>
      </x:c>
      <x:c r="N3706" t="str">
        <x:v>Fully Paid</x:v>
      </x:c>
      <x:c r="O3706" t="str">
        <x:f>IF(D3706="","Unknown",IF(D3706&lt;25000,"&lt;$25k",IF(D3706&lt;50000,"$25k-$50k",IF(D3706&lt;75000,"$50k-$75k",IF(D3706&lt;100000,"$75k-$100k","$100k+")))))</x:f>
        <x:v>$100k+</x:v>
      </x:c>
      <x:c r="P3706" t="str">
        <x:f>IF(E3706="","Unknown",IF(E3706&lt;10,"&lt;10",IF(E3706&lt;20,"10-&lt;20",IF(E3706&lt;25,"20-&lt;25",IF(E3706&lt;35,"25-&lt;35","35+")))))</x:f>
        <x:v>20-&lt;25</x:v>
      </x:c>
    </x:row>
    <x:row r="3707">
      <x:c r="A3707" t="str">
        <x:v>SYN0003706</x:v>
      </x:c>
      <x:c r="B3707" s="12" t="n">
        <x:v>41995</x:v>
      </x:c>
      <x:c r="C3707" s="18" t="n">
        <x:v>6846</x:v>
      </x:c>
      <x:c r="D3707" s="18" t="n">
        <x:v>17315</x:v>
      </x:c>
      <x:c r="E3707" s="18" t="n">
        <x:v>16.99</x:v>
      </x:c>
      <x:c r="F3707" s="18" t="n">
        <x:v>6.84</x:v>
      </x:c>
      <x:c r="G3707" t="n">
        <x:v>36</x:v>
      </x:c>
      <x:c r="H3707" t="str">
        <x:v>B</x:v>
      </x:c>
      <x:c r="I3707" t="str">
        <x:v>10+ years</x:v>
      </x:c>
      <x:c r="J3707" t="str">
        <x:v>OWN</x:v>
      </x:c>
      <x:c r="K3707" t="str">
        <x:v>debt_consolidation</x:v>
      </x:c>
      <x:c r="L3707" t="n">
        <x:v>1</x:v>
      </x:c>
      <x:c r="M3707" t="n">
        <x:v>0</x:v>
      </x:c>
      <x:c r="N3707" t="str">
        <x:v>Fully Paid</x:v>
      </x:c>
      <x:c r="O3707" t="str">
        <x:f>IF(D3707="","Unknown",IF(D3707&lt;25000,"&lt;$25k",IF(D3707&lt;50000,"$25k-$50k",IF(D3707&lt;75000,"$50k-$75k",IF(D3707&lt;100000,"$75k-$100k","$100k+")))))</x:f>
        <x:v>&lt;$25k</x:v>
      </x:c>
      <x:c r="P3707" t="str">
        <x:f>IF(E3707="","Unknown",IF(E3707&lt;10,"&lt;10",IF(E3707&lt;20,"10-&lt;20",IF(E3707&lt;25,"20-&lt;25",IF(E3707&lt;35,"25-&lt;35","35+")))))</x:f>
        <x:v>10-&lt;20</x:v>
      </x:c>
    </x:row>
    <x:row r="3708">
      <x:c r="A3708" t="str">
        <x:v>SYN0003707</x:v>
      </x:c>
      <x:c r="B3708" s="12" t="n">
        <x:v>42535</x:v>
      </x:c>
      <x:c r="C3708" s="18" t="n">
        <x:v>6835</x:v>
      </x:c>
      <x:c r="D3708" s="18" t="n">
        <x:v>22350</x:v>
      </x:c>
      <x:c r="E3708" s="18" t="n">
        <x:v>23.92</x:v>
      </x:c>
      <x:c r="F3708" s="18" t="n">
        <x:v>13.68</x:v>
      </x:c>
      <x:c r="G3708" t="n">
        <x:v>36</x:v>
      </x:c>
      <x:c r="H3708" t="str">
        <x:v>E</x:v>
      </x:c>
      <x:c r="I3708" t="str">
        <x:v>1-3 years</x:v>
      </x:c>
      <x:c r="J3708" t="str">
        <x:v>RENT</x:v>
      </x:c>
      <x:c r="K3708" t="str">
        <x:v>debt_consolidation</x:v>
      </x:c>
      <x:c r="L3708" t="n">
        <x:v>1</x:v>
      </x:c>
      <x:c r="M3708" t="n">
        <x:v>0</x:v>
      </x:c>
      <x:c r="N3708" t="str">
        <x:v>Fully Paid</x:v>
      </x:c>
      <x:c r="O3708" t="str">
        <x:f>IF(D3708="","Unknown",IF(D3708&lt;25000,"&lt;$25k",IF(D3708&lt;50000,"$25k-$50k",IF(D3708&lt;75000,"$50k-$75k",IF(D3708&lt;100000,"$75k-$100k","$100k+")))))</x:f>
        <x:v>&lt;$25k</x:v>
      </x:c>
      <x:c r="P3708" t="str">
        <x:f>IF(E3708="","Unknown",IF(E3708&lt;10,"&lt;10",IF(E3708&lt;20,"10-&lt;20",IF(E3708&lt;25,"20-&lt;25",IF(E3708&lt;35,"25-&lt;35","35+")))))</x:f>
        <x:v>20-&lt;25</x:v>
      </x:c>
    </x:row>
    <x:row r="3709">
      <x:c r="A3709" t="str">
        <x:v>SYN0003708</x:v>
      </x:c>
      <x:c r="B3709" s="12" t="n">
        <x:v>42325</x:v>
      </x:c>
      <x:c r="C3709" s="18" t="n">
        <x:v>11591</x:v>
      </x:c>
      <x:c r="D3709" s="18" t="n">
        <x:v>41058</x:v>
      </x:c>
      <x:c r="E3709" s="18" t="n">
        <x:v>26</x:v>
      </x:c>
      <x:c r="F3709" s="18" t="n">
        <x:v>26.36</x:v>
      </x:c>
      <x:c r="G3709" t="n">
        <x:v>60</x:v>
      </x:c>
      <x:c r="H3709" t="str">
        <x:v>G</x:v>
      </x:c>
      <x:c r="I3709" t="str">
        <x:v>1-3 years</x:v>
      </x:c>
      <x:c r="J3709" t="str">
        <x:v>RENT</x:v>
      </x:c>
      <x:c r="K3709" t="str">
        <x:v>debt_consolidation</x:v>
      </x:c>
      <x:c r="L3709" t="n">
        <x:v>1</x:v>
      </x:c>
      <x:c r="M3709" t="n">
        <x:v>0</x:v>
      </x:c>
      <x:c r="N3709" t="str">
        <x:v>Fully Paid</x:v>
      </x:c>
      <x:c r="O3709" t="str">
        <x:f>IF(D3709="","Unknown",IF(D3709&lt;25000,"&lt;$25k",IF(D3709&lt;50000,"$25k-$50k",IF(D3709&lt;75000,"$50k-$75k",IF(D3709&lt;100000,"$75k-$100k","$100k+")))))</x:f>
        <x:v>$25k-$50k</x:v>
      </x:c>
      <x:c r="P3709" t="str">
        <x:f>IF(E3709="","Unknown",IF(E3709&lt;10,"&lt;10",IF(E3709&lt;20,"10-&lt;20",IF(E3709&lt;25,"20-&lt;25",IF(E3709&lt;35,"25-&lt;35","35+")))))</x:f>
        <x:v>25-&lt;35</x:v>
      </x:c>
    </x:row>
    <x:row r="3710">
      <x:c r="A3710" t="str">
        <x:v>SYN0003709</x:v>
      </x:c>
      <x:c r="B3710" s="12" t="n">
        <x:v>42085</x:v>
      </x:c>
      <x:c r="C3710" s="18" t="n">
        <x:v>11385</x:v>
      </x:c>
      <x:c r="D3710" s="18" t="n">
        <x:v>18172</x:v>
      </x:c>
      <x:c r="E3710" s="18" t="n">
        <x:v>12.89</x:v>
      </x:c>
      <x:c r="F3710" s="18" t="n">
        <x:v>15.41</x:v>
      </x:c>
      <x:c r="G3710" t="n">
        <x:v>60</x:v>
      </x:c>
      <x:c r="H3710" t="str">
        <x:v>D</x:v>
      </x:c>
      <x:c r="I3710" t="str">
        <x:v>7-9 years</x:v>
      </x:c>
      <x:c r="J3710" t="str">
        <x:v>RENT</x:v>
      </x:c>
      <x:c r="K3710" t="str">
        <x:v>medical</x:v>
      </x:c>
      <x:c r="L3710" t="n">
        <x:v>1</x:v>
      </x:c>
      <x:c r="M3710" t="n">
        <x:v>0</x:v>
      </x:c>
      <x:c r="N3710" t="str">
        <x:v>Fully Paid</x:v>
      </x:c>
      <x:c r="O3710" t="str">
        <x:f>IF(D3710="","Unknown",IF(D3710&lt;25000,"&lt;$25k",IF(D3710&lt;50000,"$25k-$50k",IF(D3710&lt;75000,"$50k-$75k",IF(D3710&lt;100000,"$75k-$100k","$100k+")))))</x:f>
        <x:v>&lt;$25k</x:v>
      </x:c>
      <x:c r="P3710" t="str">
        <x:f>IF(E3710="","Unknown",IF(E3710&lt;10,"&lt;10",IF(E3710&lt;20,"10-&lt;20",IF(E3710&lt;25,"20-&lt;25",IF(E3710&lt;35,"25-&lt;35","35+")))))</x:f>
        <x:v>10-&lt;20</x:v>
      </x:c>
    </x:row>
    <x:row r="3711">
      <x:c r="A3711" t="str">
        <x:v>SYN0003710</x:v>
      </x:c>
      <x:c r="B3711" s="12" t="n">
        <x:v>43015</x:v>
      </x:c>
      <x:c r="C3711" s="18" t="n">
        <x:v>34426</x:v>
      </x:c>
      <x:c r="D3711" s="18" t="n">
        <x:v>22897</x:v>
      </x:c>
      <x:c r="E3711" s="18" t="n">
        <x:v>15.38</x:v>
      </x:c>
      <x:c r="F3711" s="18" t="n">
        <x:v>5.82</x:v>
      </x:c>
      <x:c r="G3711" t="n">
        <x:v>36</x:v>
      </x:c>
      <x:c r="H3711" t="str">
        <x:v>A</x:v>
      </x:c>
      <x:c r="I3711" t="str">
        <x:v>1-3 years</x:v>
      </x:c>
      <x:c r="J3711" t="str">
        <x:v>RENT</x:v>
      </x:c>
      <x:c r="K3711" t="str">
        <x:v>debt_consolidation</x:v>
      </x:c>
      <x:c r="L3711" t="n">
        <x:v>0</x:v>
      </x:c>
      <x:c r="M3711" t="n">
        <x:v>0</x:v>
      </x:c>
      <x:c r="N3711" t="str">
        <x:v>Fully Paid</x:v>
      </x:c>
      <x:c r="O3711" t="str">
        <x:f>IF(D3711="","Unknown",IF(D3711&lt;25000,"&lt;$25k",IF(D3711&lt;50000,"$25k-$50k",IF(D3711&lt;75000,"$50k-$75k",IF(D3711&lt;100000,"$75k-$100k","$100k+")))))</x:f>
        <x:v>&lt;$25k</x:v>
      </x:c>
      <x:c r="P3711" t="str">
        <x:f>IF(E3711="","Unknown",IF(E3711&lt;10,"&lt;10",IF(E3711&lt;20,"10-&lt;20",IF(E3711&lt;25,"20-&lt;25",IF(E3711&lt;35,"25-&lt;35","35+")))))</x:f>
        <x:v>10-&lt;20</x:v>
      </x:c>
    </x:row>
    <x:row r="3712">
      <x:c r="A3712" t="str">
        <x:v>SYN0003711</x:v>
      </x:c>
      <x:c r="B3712" s="12" t="n">
        <x:v>43315</x:v>
      </x:c>
      <x:c r="C3712" s="18" t="n">
        <x:v>18116</x:v>
      </x:c>
      <x:c r="D3712" s="18" t="n">
        <x:v>41627</x:v>
      </x:c>
      <x:c r="E3712" s="18" t="n">
        <x:v>14.79</x:v>
      </x:c>
      <x:c r="F3712" s="18" t="n">
        <x:v>6.72</x:v>
      </x:c>
      <x:c r="G3712" t="n">
        <x:v>60</x:v>
      </x:c>
      <x:c r="H3712" t="str">
        <x:v>A</x:v>
      </x:c>
      <x:c r="I3712" t="str">
        <x:v>4-6 years</x:v>
      </x:c>
      <x:c r="J3712" t="str">
        <x:v>RENT</x:v>
      </x:c>
      <x:c r="K3712" t="str">
        <x:v>credit_card</x:v>
      </x:c>
      <x:c r="L3712" t="n">
        <x:v>0</x:v>
      </x:c>
      <x:c r="M3712" t="n">
        <x:v>0</x:v>
      </x:c>
      <x:c r="N3712" t="str">
        <x:v>Fully Paid</x:v>
      </x:c>
      <x:c r="O3712" t="str">
        <x:f>IF(D3712="","Unknown",IF(D3712&lt;25000,"&lt;$25k",IF(D3712&lt;50000,"$25k-$50k",IF(D3712&lt;75000,"$50k-$75k",IF(D3712&lt;100000,"$75k-$100k","$100k+")))))</x:f>
        <x:v>$25k-$50k</x:v>
      </x:c>
      <x:c r="P3712" t="str">
        <x:f>IF(E3712="","Unknown",IF(E3712&lt;10,"&lt;10",IF(E3712&lt;20,"10-&lt;20",IF(E3712&lt;25,"20-&lt;25",IF(E3712&lt;35,"25-&lt;35","35+")))))</x:f>
        <x:v>10-&lt;20</x:v>
      </x:c>
    </x:row>
    <x:row r="3713">
      <x:c r="A3713" t="str">
        <x:v>SYN0003712</x:v>
      </x:c>
      <x:c r="B3713" s="12" t="n">
        <x:v>42535</x:v>
      </x:c>
      <x:c r="C3713" s="18" t="n">
        <x:v>16478</x:v>
      </x:c>
      <x:c r="D3713" s="18" t="n">
        <x:v>60262</x:v>
      </x:c>
      <x:c r="E3713" s="18" t="n">
        <x:v>25.4</x:v>
      </x:c>
      <x:c r="F3713" s="18" t="n">
        <x:v>20.46</x:v>
      </x:c>
      <x:c r="G3713" t="n">
        <x:v>60</x:v>
      </x:c>
      <x:c r="H3713" t="str">
        <x:v>F</x:v>
      </x:c>
      <x:c r="I3713" t="str">
        <x:v>7-9 years</x:v>
      </x:c>
      <x:c r="J3713" t="str">
        <x:v>OTHER</x:v>
      </x:c>
      <x:c r="K3713" t="str">
        <x:v>major_purchase</x:v>
      </x:c>
      <x:c r="L3713" t="n">
        <x:v>0</x:v>
      </x:c>
      <x:c r="M3713" t="n">
        <x:v>0</x:v>
      </x:c>
      <x:c r="N3713" t="str">
        <x:v>Fully Paid</x:v>
      </x:c>
      <x:c r="O3713" t="str">
        <x:f>IF(D3713="","Unknown",IF(D3713&lt;25000,"&lt;$25k",IF(D3713&lt;50000,"$25k-$50k",IF(D3713&lt;75000,"$50k-$75k",IF(D3713&lt;100000,"$75k-$100k","$100k+")))))</x:f>
        <x:v>$50k-$75k</x:v>
      </x:c>
      <x:c r="P3713" t="str">
        <x:f>IF(E3713="","Unknown",IF(E3713&lt;10,"&lt;10",IF(E3713&lt;20,"10-&lt;20",IF(E3713&lt;25,"20-&lt;25",IF(E3713&lt;35,"25-&lt;35","35+")))))</x:f>
        <x:v>25-&lt;35</x:v>
      </x:c>
    </x:row>
    <x:row r="3714">
      <x:c r="A3714" t="str">
        <x:v>SYN0003713</x:v>
      </x:c>
      <x:c r="B3714" s="12" t="n">
        <x:v>43225</x:v>
      </x:c>
      <x:c r="C3714" s="18" t="n">
        <x:v>15538</x:v>
      </x:c>
      <x:c r="D3714" s="18" t="n">
        <x:v>48772</x:v>
      </x:c>
      <x:c r="E3714" s="18" t="n">
        <x:v>30.55</x:v>
      </x:c>
      <x:c r="F3714" s="18" t="n">
        <x:v>15.8</x:v>
      </x:c>
      <x:c r="G3714" t="n">
        <x:v>36</x:v>
      </x:c>
      <x:c r="H3714" t="str">
        <x:v>D</x:v>
      </x:c>
      <x:c r="I3714" t="str">
        <x:v>10+ years</x:v>
      </x:c>
      <x:c r="J3714" t="str">
        <x:v>MORTGAGE</x:v>
      </x:c>
      <x:c r="K3714" t="str">
        <x:v>debt_consolidation</x:v>
      </x:c>
      <x:c r="L3714" t="n">
        <x:v>0</x:v>
      </x:c>
      <x:c r="M3714" t="n">
        <x:v>0</x:v>
      </x:c>
      <x:c r="N3714" t="str">
        <x:v>Fully Paid</x:v>
      </x:c>
      <x:c r="O3714" t="str">
        <x:f>IF(D3714="","Unknown",IF(D3714&lt;25000,"&lt;$25k",IF(D3714&lt;50000,"$25k-$50k",IF(D3714&lt;75000,"$50k-$75k",IF(D3714&lt;100000,"$75k-$100k","$100k+")))))</x:f>
        <x:v>$25k-$50k</x:v>
      </x:c>
      <x:c r="P3714" t="str">
        <x:f>IF(E3714="","Unknown",IF(E3714&lt;10,"&lt;10",IF(E3714&lt;20,"10-&lt;20",IF(E3714&lt;25,"20-&lt;25",IF(E3714&lt;35,"25-&lt;35","35+")))))</x:f>
        <x:v>25-&lt;35</x:v>
      </x:c>
    </x:row>
    <x:row r="3715">
      <x:c r="A3715" t="str">
        <x:v>SYN0003714</x:v>
      </x:c>
      <x:c r="B3715" s="12" t="n">
        <x:v>41515</x:v>
      </x:c>
      <x:c r="C3715" s="18" t="n">
        <x:v>16354</x:v>
      </x:c>
      <x:c r="D3715" s="18" t="n">
        <x:v>38742</x:v>
      </x:c>
      <x:c r="E3715" s="18" t="n">
        <x:v>21.87</x:v>
      </x:c>
      <x:c r="F3715" s="18" t="n">
        <x:v>12.86</x:v>
      </x:c>
      <x:c r="G3715" t="n">
        <x:v>36</x:v>
      </x:c>
      <x:c r="H3715" t="str">
        <x:v>C</x:v>
      </x:c>
      <x:c r="I3715" t="str">
        <x:v>4-6 years</x:v>
      </x:c>
      <x:c r="J3715" t="str">
        <x:v>OWN</x:v>
      </x:c>
      <x:c r="K3715" t="str">
        <x:v>credit_card</x:v>
      </x:c>
      <x:c r="L3715" t="n">
        <x:v>0</x:v>
      </x:c>
      <x:c r="M3715" t="n">
        <x:v>0</x:v>
      </x:c>
      <x:c r="N3715" t="str">
        <x:v>Fully Paid</x:v>
      </x:c>
      <x:c r="O3715" t="str">
        <x:f>IF(D3715="","Unknown",IF(D3715&lt;25000,"&lt;$25k",IF(D3715&lt;50000,"$25k-$50k",IF(D3715&lt;75000,"$50k-$75k",IF(D3715&lt;100000,"$75k-$100k","$100k+")))))</x:f>
        <x:v>$25k-$50k</x:v>
      </x:c>
      <x:c r="P3715" t="str">
        <x:f>IF(E3715="","Unknown",IF(E3715&lt;10,"&lt;10",IF(E3715&lt;20,"10-&lt;20",IF(E3715&lt;25,"20-&lt;25",IF(E3715&lt;35,"25-&lt;35","35+")))))</x:f>
        <x:v>20-&lt;25</x:v>
      </x:c>
    </x:row>
    <x:row r="3716">
      <x:c r="A3716" t="str">
        <x:v>SYN0003715</x:v>
      </x:c>
      <x:c r="B3716" s="12" t="n">
        <x:v>41305</x:v>
      </x:c>
      <x:c r="C3716" s="18" t="n">
        <x:v>2340</x:v>
      </x:c>
      <x:c r="D3716" s="18" t="n">
        <x:v>64090</x:v>
      </x:c>
      <x:c r="E3716" s="18" t="n">
        <x:v>11.47</x:v>
      </x:c>
      <x:c r="F3716" s="18" t="n">
        <x:v>9.04</x:v>
      </x:c>
      <x:c r="G3716" t="n">
        <x:v>60</x:v>
      </x:c>
      <x:c r="H3716" t="str">
        <x:v>A</x:v>
      </x:c>
      <x:c r="I3716" t="str">
        <x:v>7-9 years</x:v>
      </x:c>
      <x:c r="J3716" t="str">
        <x:v>RENT</x:v>
      </x:c>
      <x:c r="K3716" t="str">
        <x:v>home_improvement</x:v>
      </x:c>
      <x:c r="L3716" t="n">
        <x:v>0</x:v>
      </x:c>
      <x:c r="M3716" t="n">
        <x:v>0</x:v>
      </x:c>
      <x:c r="N3716" t="str">
        <x:v>Fully Paid</x:v>
      </x:c>
      <x:c r="O3716" t="str">
        <x:f>IF(D3716="","Unknown",IF(D3716&lt;25000,"&lt;$25k",IF(D3716&lt;50000,"$25k-$50k",IF(D3716&lt;75000,"$50k-$75k",IF(D3716&lt;100000,"$75k-$100k","$100k+")))))</x:f>
        <x:v>$50k-$75k</x:v>
      </x:c>
      <x:c r="P3716" t="str">
        <x:f>IF(E3716="","Unknown",IF(E3716&lt;10,"&lt;10",IF(E3716&lt;20,"10-&lt;20",IF(E3716&lt;25,"20-&lt;25",IF(E3716&lt;35,"25-&lt;35","35+")))))</x:f>
        <x:v>10-&lt;20</x:v>
      </x:c>
    </x:row>
    <x:row r="3717">
      <x:c r="A3717" t="str">
        <x:v>SYN0003716</x:v>
      </x:c>
      <x:c r="B3717" s="12" t="n">
        <x:v>41785</x:v>
      </x:c>
      <x:c r="C3717" s="18" t="n">
        <x:v>13501</x:v>
      </x:c>
      <x:c r="D3717" s="18" t="n">
        <x:v>65947</x:v>
      </x:c>
      <x:c r="E3717" s="18" t="n">
        <x:v>31.96</x:v>
      </x:c>
      <x:c r="F3717" s="18" t="n">
        <x:v>7.43</x:v>
      </x:c>
      <x:c r="G3717" t="n">
        <x:v>36</x:v>
      </x:c>
      <x:c r="H3717" t="str">
        <x:v>A</x:v>
      </x:c>
      <x:c r="I3717" t="str">
        <x:v>1-3 years</x:v>
      </x:c>
      <x:c r="J3717" t="str">
        <x:v>MORTGAGE</x:v>
      </x:c>
      <x:c r="K3717" t="str">
        <x:v>credit_card</x:v>
      </x:c>
      <x:c r="L3717" t="n">
        <x:v>0</x:v>
      </x:c>
      <x:c r="M3717" t="n">
        <x:v>0</x:v>
      </x:c>
      <x:c r="N3717" t="str">
        <x:v>Fully Paid</x:v>
      </x:c>
      <x:c r="O3717" t="str">
        <x:f>IF(D3717="","Unknown",IF(D3717&lt;25000,"&lt;$25k",IF(D3717&lt;50000,"$25k-$50k",IF(D3717&lt;75000,"$50k-$75k",IF(D3717&lt;100000,"$75k-$100k","$100k+")))))</x:f>
        <x:v>$50k-$75k</x:v>
      </x:c>
      <x:c r="P3717" t="str">
        <x:f>IF(E3717="","Unknown",IF(E3717&lt;10,"&lt;10",IF(E3717&lt;20,"10-&lt;20",IF(E3717&lt;25,"20-&lt;25",IF(E3717&lt;35,"25-&lt;35","35+")))))</x:f>
        <x:v>25-&lt;35</x:v>
      </x:c>
    </x:row>
    <x:row r="3718">
      <x:c r="A3718" t="str">
        <x:v>SYN0003717</x:v>
      </x:c>
      <x:c r="B3718" s="12" t="n">
        <x:v>43405</x:v>
      </x:c>
      <x:c r="C3718" s="18" t="n">
        <x:v>24117</x:v>
      </x:c>
      <x:c r="D3718" s="18" t="n">
        <x:v>130703</x:v>
      </x:c>
      <x:c r="E3718" s="18" t="n">
        <x:v>27.99</x:v>
      </x:c>
      <x:c r="F3718" s="18" t="n">
        <x:v>19.85</x:v>
      </x:c>
      <x:c r="G3718" t="n">
        <x:v>36</x:v>
      </x:c>
      <x:c r="H3718" t="str">
        <x:v>E</x:v>
      </x:c>
      <x:c r="I3718" t="str">
        <x:v>10+ years</x:v>
      </x:c>
      <x:c r="J3718" t="str">
        <x:v>MORTGAGE</x:v>
      </x:c>
      <x:c r="K3718" t="str">
        <x:v>other</x:v>
      </x:c>
      <x:c r="L3718" t="n">
        <x:v>0</x:v>
      </x:c>
      <x:c r="M3718" t="n">
        <x:v>0</x:v>
      </x:c>
      <x:c r="N3718" t="str">
        <x:v>Fully Paid</x:v>
      </x:c>
      <x:c r="O3718" t="str">
        <x:f>IF(D3718="","Unknown",IF(D3718&lt;25000,"&lt;$25k",IF(D3718&lt;50000,"$25k-$50k",IF(D3718&lt;75000,"$50k-$75k",IF(D3718&lt;100000,"$75k-$100k","$100k+")))))</x:f>
        <x:v>$100k+</x:v>
      </x:c>
      <x:c r="P3718" t="str">
        <x:f>IF(E3718="","Unknown",IF(E3718&lt;10,"&lt;10",IF(E3718&lt;20,"10-&lt;20",IF(E3718&lt;25,"20-&lt;25",IF(E3718&lt;35,"25-&lt;35","35+")))))</x:f>
        <x:v>25-&lt;35</x:v>
      </x:c>
    </x:row>
    <x:row r="3719">
      <x:c r="A3719" t="str">
        <x:v>SYN0003718</x:v>
      </x:c>
      <x:c r="B3719" s="12" t="n">
        <x:v>42415</x:v>
      </x:c>
      <x:c r="C3719" s="18" t="n">
        <x:v>7137</x:v>
      </x:c>
      <x:c r="D3719" s="18" t="n">
        <x:v>54776</x:v>
      </x:c>
      <x:c r="E3719" s="18" t="n">
        <x:v>21.46</x:v>
      </x:c>
      <x:c r="F3719" s="18" t="n">
        <x:v>12.67</x:v>
      </x:c>
      <x:c r="G3719" t="n">
        <x:v>36</x:v>
      </x:c>
      <x:c r="H3719" t="str">
        <x:v>D</x:v>
      </x:c>
      <x:c r="I3719" t="str">
        <x:v>4-6 years</x:v>
      </x:c>
      <x:c r="J3719" t="str">
        <x:v>MORTGAGE</x:v>
      </x:c>
      <x:c r="K3719" t="str">
        <x:v>debt_consolidation</x:v>
      </x:c>
      <x:c r="L3719" t="n">
        <x:v>0</x:v>
      </x:c>
      <x:c r="M3719" t="n">
        <x:v>0</x:v>
      </x:c>
      <x:c r="N3719" t="str">
        <x:v>Fully Paid</x:v>
      </x:c>
      <x:c r="O3719" t="str">
        <x:f>IF(D3719="","Unknown",IF(D3719&lt;25000,"&lt;$25k",IF(D3719&lt;50000,"$25k-$50k",IF(D3719&lt;75000,"$50k-$75k",IF(D3719&lt;100000,"$75k-$100k","$100k+")))))</x:f>
        <x:v>$50k-$75k</x:v>
      </x:c>
      <x:c r="P3719" t="str">
        <x:f>IF(E3719="","Unknown",IF(E3719&lt;10,"&lt;10",IF(E3719&lt;20,"10-&lt;20",IF(E3719&lt;25,"20-&lt;25",IF(E3719&lt;35,"25-&lt;35","35+")))))</x:f>
        <x:v>20-&lt;25</x:v>
      </x:c>
    </x:row>
    <x:row r="3720">
      <x:c r="A3720" t="str">
        <x:v>SYN0003719</x:v>
      </x:c>
      <x:c r="B3720" s="12" t="n">
        <x:v>42685</x:v>
      </x:c>
      <x:c r="C3720" s="18" t="n">
        <x:v>8854</x:v>
      </x:c>
      <x:c r="D3720" s="18" t="n">
        <x:v>78650</x:v>
      </x:c>
      <x:c r="E3720" s="18" t="n">
        <x:v>28.04</x:v>
      </x:c>
      <x:c r="F3720" s="18" t="n">
        <x:v>27.07</x:v>
      </x:c>
      <x:c r="G3720" t="n">
        <x:v>36</x:v>
      </x:c>
      <x:c r="H3720" t="str">
        <x:v>G</x:v>
      </x:c>
      <x:c r="I3720" t="str">
        <x:v>4-6 years</x:v>
      </x:c>
      <x:c r="J3720" t="str">
        <x:v>MORTGAGE</x:v>
      </x:c>
      <x:c r="K3720" t="str">
        <x:v>other</x:v>
      </x:c>
      <x:c r="L3720" t="n">
        <x:v>2</x:v>
      </x:c>
      <x:c r="M3720" t="n">
        <x:v>0</x:v>
      </x:c>
      <x:c r="N3720" t="str">
        <x:v>Fully Paid</x:v>
      </x:c>
      <x:c r="O3720" t="str">
        <x:f>IF(D3720="","Unknown",IF(D3720&lt;25000,"&lt;$25k",IF(D3720&lt;50000,"$25k-$50k",IF(D3720&lt;75000,"$50k-$75k",IF(D3720&lt;100000,"$75k-$100k","$100k+")))))</x:f>
        <x:v>$75k-$100k</x:v>
      </x:c>
      <x:c r="P3720" t="str">
        <x:f>IF(E3720="","Unknown",IF(E3720&lt;10,"&lt;10",IF(E3720&lt;20,"10-&lt;20",IF(E3720&lt;25,"20-&lt;25",IF(E3720&lt;35,"25-&lt;35","35+")))))</x:f>
        <x:v>25-&lt;35</x:v>
      </x:c>
    </x:row>
    <x:row r="3721">
      <x:c r="A3721" t="str">
        <x:v>SYN0003720</x:v>
      </x:c>
      <x:c r="B3721" s="12" t="n">
        <x:v>42055</x:v>
      </x:c>
      <x:c r="C3721" s="18" t="n">
        <x:v>6135</x:v>
      </x:c>
      <x:c r="D3721" s="18" t="n">
        <x:v>62858</x:v>
      </x:c>
      <x:c r="E3721" s="18" t="n">
        <x:v>30.22</x:v>
      </x:c>
      <x:c r="F3721" s="18" t="n">
        <x:v>23.36</x:v>
      </x:c>
      <x:c r="G3721" t="n">
        <x:v>36</x:v>
      </x:c>
      <x:c r="H3721" t="str">
        <x:v>G</x:v>
      </x:c>
      <x:c r="I3721" t="str">
        <x:v>7-9 years</x:v>
      </x:c>
      <x:c r="J3721" t="str">
        <x:v>RENT</x:v>
      </x:c>
      <x:c r="K3721" t="str">
        <x:v>other</x:v>
      </x:c>
      <x:c r="L3721" t="n">
        <x:v>2</x:v>
      </x:c>
      <x:c r="M3721" t="n">
        <x:v>0</x:v>
      </x:c>
      <x:c r="N3721" t="str">
        <x:v>Fully Paid</x:v>
      </x:c>
      <x:c r="O3721" t="str">
        <x:f>IF(D3721="","Unknown",IF(D3721&lt;25000,"&lt;$25k",IF(D3721&lt;50000,"$25k-$50k",IF(D3721&lt;75000,"$50k-$75k",IF(D3721&lt;100000,"$75k-$100k","$100k+")))))</x:f>
        <x:v>$50k-$75k</x:v>
      </x:c>
      <x:c r="P3721" t="str">
        <x:f>IF(E3721="","Unknown",IF(E3721&lt;10,"&lt;10",IF(E3721&lt;20,"10-&lt;20",IF(E3721&lt;25,"20-&lt;25",IF(E3721&lt;35,"25-&lt;35","35+")))))</x:f>
        <x:v>25-&lt;35</x:v>
      </x:c>
    </x:row>
    <x:row r="3722">
      <x:c r="A3722" t="str">
        <x:v>SYN0003721</x:v>
      </x:c>
      <x:c r="B3722" s="12" t="n">
        <x:v>42865</x:v>
      </x:c>
      <x:c r="C3722" s="18" t="n">
        <x:v>10894</x:v>
      </x:c>
      <x:c r="D3722" s="18" t="n">
        <x:v>35400</x:v>
      </x:c>
      <x:c r="E3722" s="18" t="n">
        <x:v>14.5</x:v>
      </x:c>
      <x:c r="F3722" s="18" t="n">
        <x:v>11.77</x:v>
      </x:c>
      <x:c r="G3722" t="n">
        <x:v>36</x:v>
      </x:c>
      <x:c r="H3722" t="str">
        <x:v>B</x:v>
      </x:c>
      <x:c r="I3722" t="str">
        <x:v>1-3 years</x:v>
      </x:c>
      <x:c r="J3722" t="str">
        <x:v>RENT</x:v>
      </x:c>
      <x:c r="K3722" t="str">
        <x:v>other</x:v>
      </x:c>
      <x:c r="L3722" t="n">
        <x:v>1</x:v>
      </x:c>
      <x:c r="M3722" t="n">
        <x:v>0</x:v>
      </x:c>
      <x:c r="N3722" t="str">
        <x:v>Fully Paid</x:v>
      </x:c>
      <x:c r="O3722" t="str">
        <x:f>IF(D3722="","Unknown",IF(D3722&lt;25000,"&lt;$25k",IF(D3722&lt;50000,"$25k-$50k",IF(D3722&lt;75000,"$50k-$75k",IF(D3722&lt;100000,"$75k-$100k","$100k+")))))</x:f>
        <x:v>$25k-$50k</x:v>
      </x:c>
      <x:c r="P3722" t="str">
        <x:f>IF(E3722="","Unknown",IF(E3722&lt;10,"&lt;10",IF(E3722&lt;20,"10-&lt;20",IF(E3722&lt;25,"20-&lt;25",IF(E3722&lt;35,"25-&lt;35","35+")))))</x:f>
        <x:v>10-&lt;20</x:v>
      </x:c>
    </x:row>
    <x:row r="3723">
      <x:c r="A3723" t="str">
        <x:v>SYN0003722</x:v>
      </x:c>
      <x:c r="B3723" s="12" t="n">
        <x:v>42115</x:v>
      </x:c>
      <x:c r="C3723" s="18" t="n">
        <x:v>11947</x:v>
      </x:c>
      <x:c r="D3723" s="18" t="n">
        <x:v>47221</x:v>
      </x:c>
      <x:c r="E3723" s="18" t="n">
        <x:v>9.19</x:v>
      </x:c>
      <x:c r="F3723" s="18" t="n">
        <x:v>14.46</x:v>
      </x:c>
      <x:c r="G3723" t="n">
        <x:v>36</x:v>
      </x:c>
      <x:c r="H3723" t="str">
        <x:v>D</x:v>
      </x:c>
      <x:c r="I3723" t="str">
        <x:v>7-9 years</x:v>
      </x:c>
      <x:c r="J3723" t="str">
        <x:v>MORTGAGE</x:v>
      </x:c>
      <x:c r="K3723" t="str">
        <x:v>debt_consolidation</x:v>
      </x:c>
      <x:c r="L3723" t="n">
        <x:v>0</x:v>
      </x:c>
      <x:c r="M3723" t="n">
        <x:v>0</x:v>
      </x:c>
      <x:c r="N3723" t="str">
        <x:v>Fully Paid</x:v>
      </x:c>
      <x:c r="O3723" t="str">
        <x:f>IF(D3723="","Unknown",IF(D3723&lt;25000,"&lt;$25k",IF(D3723&lt;50000,"$25k-$50k",IF(D3723&lt;75000,"$50k-$75k",IF(D3723&lt;100000,"$75k-$100k","$100k+")))))</x:f>
        <x:v>$25k-$50k</x:v>
      </x:c>
      <x:c r="P3723" t="str">
        <x:f>IF(E3723="","Unknown",IF(E3723&lt;10,"&lt;10",IF(E3723&lt;20,"10-&lt;20",IF(E3723&lt;25,"20-&lt;25",IF(E3723&lt;35,"25-&lt;35","35+")))))</x:f>
        <x:v>&lt;10</x:v>
      </x:c>
    </x:row>
    <x:row r="3724">
      <x:c r="A3724" t="str">
        <x:v>SYN0003723</x:v>
      </x:c>
      <x:c r="B3724" s="12" t="n">
        <x:v>42265</x:v>
      </x:c>
      <x:c r="C3724" s="18" t="n">
        <x:v>9864</x:v>
      </x:c>
      <x:c r="D3724" s="18" t="n">
        <x:v>33077</x:v>
      </x:c>
      <x:c r="E3724" s="18" t="n">
        <x:v>28.06</x:v>
      </x:c>
      <x:c r="F3724" s="18" t="n">
        <x:v>21.28</x:v>
      </x:c>
      <x:c r="G3724" t="n">
        <x:v>36</x:v>
      </x:c>
      <x:c r="H3724" t="str">
        <x:v>F</x:v>
      </x:c>
      <x:c r="I3724" t="str">
        <x:v>10+ years</x:v>
      </x:c>
      <x:c r="J3724" t="str">
        <x:v>MORTGAGE</x:v>
      </x:c>
      <x:c r="K3724" t="str">
        <x:v>credit_card</x:v>
      </x:c>
      <x:c r="L3724" t="n">
        <x:v>2</x:v>
      </x:c>
      <x:c r="M3724" t="n">
        <x:v>1</x:v>
      </x:c>
      <x:c r="N3724" t="str">
        <x:v>Charged Off</x:v>
      </x:c>
      <x:c r="O3724" t="str">
        <x:f>IF(D3724="","Unknown",IF(D3724&lt;25000,"&lt;$25k",IF(D3724&lt;50000,"$25k-$50k",IF(D3724&lt;75000,"$50k-$75k",IF(D3724&lt;100000,"$75k-$100k","$100k+")))))</x:f>
        <x:v>$25k-$50k</x:v>
      </x:c>
      <x:c r="P3724" t="str">
        <x:f>IF(E3724="","Unknown",IF(E3724&lt;10,"&lt;10",IF(E3724&lt;20,"10-&lt;20",IF(E3724&lt;25,"20-&lt;25",IF(E3724&lt;35,"25-&lt;35","35+")))))</x:f>
        <x:v>25-&lt;35</x:v>
      </x:c>
    </x:row>
    <x:row r="3725">
      <x:c r="A3725" t="str">
        <x:v>SYN0003724</x:v>
      </x:c>
      <x:c r="B3725" s="12" t="n">
        <x:v>43315</x:v>
      </x:c>
      <x:c r="C3725" s="18" t="n">
        <x:v>17660</x:v>
      </x:c>
      <x:c r="D3725" s="18" t="n">
        <x:v>55128</x:v>
      </x:c>
      <x:c r="E3725" s="18" t="n">
        <x:v>26.03</x:v>
      </x:c>
      <x:c r="F3725" s="18" t="n">
        <x:v>11.58</x:v>
      </x:c>
      <x:c r="G3725" t="n">
        <x:v>36</x:v>
      </x:c>
      <x:c r="H3725" t="str">
        <x:v>C</x:v>
      </x:c>
      <x:c r="I3725" t="str">
        <x:v>7-9 years</x:v>
      </x:c>
      <x:c r="J3725" t="str">
        <x:v>OWN</x:v>
      </x:c>
      <x:c r="K3725" t="str">
        <x:v>other</x:v>
      </x:c>
      <x:c r="L3725" t="n">
        <x:v>0</x:v>
      </x:c>
      <x:c r="M3725" t="n">
        <x:v>0</x:v>
      </x:c>
      <x:c r="N3725" t="str">
        <x:v>Fully Paid</x:v>
      </x:c>
      <x:c r="O3725" t="str">
        <x:f>IF(D3725="","Unknown",IF(D3725&lt;25000,"&lt;$25k",IF(D3725&lt;50000,"$25k-$50k",IF(D3725&lt;75000,"$50k-$75k",IF(D3725&lt;100000,"$75k-$100k","$100k+")))))</x:f>
        <x:v>$50k-$75k</x:v>
      </x:c>
      <x:c r="P3725" t="str">
        <x:f>IF(E3725="","Unknown",IF(E3725&lt;10,"&lt;10",IF(E3725&lt;20,"10-&lt;20",IF(E3725&lt;25,"20-&lt;25",IF(E3725&lt;35,"25-&lt;35","35+")))))</x:f>
        <x:v>25-&lt;35</x:v>
      </x:c>
    </x:row>
    <x:row r="3726">
      <x:c r="A3726" t="str">
        <x:v>SYN0003725</x:v>
      </x:c>
      <x:c r="B3726" s="12" t="n">
        <x:v>42025</x:v>
      </x:c>
      <x:c r="C3726" s="18" t="n">
        <x:v>15144</x:v>
      </x:c>
      <x:c r="D3726" s="18" t="n">
        <x:v>59306</x:v>
      </x:c>
      <x:c r="E3726" s="18" t="n">
        <x:v>24.93</x:v>
      </x:c>
      <x:c r="F3726" s="18" t="n">
        <x:v>14.88</x:v>
      </x:c>
      <x:c r="G3726" t="n">
        <x:v>36</x:v>
      </x:c>
      <x:c r="H3726" t="str">
        <x:v>D</x:v>
      </x:c>
      <x:c r="I3726" t="str">
        <x:v>4-6 years</x:v>
      </x:c>
      <x:c r="J3726" t="str">
        <x:v>OWN</x:v>
      </x:c>
      <x:c r="K3726" t="str">
        <x:v>debt_consolidation</x:v>
      </x:c>
      <x:c r="L3726" t="n">
        <x:v>1</x:v>
      </x:c>
      <x:c r="M3726" t="n">
        <x:v>0</x:v>
      </x:c>
      <x:c r="N3726" t="str">
        <x:v>Fully Paid</x:v>
      </x:c>
      <x:c r="O3726" t="str">
        <x:f>IF(D3726="","Unknown",IF(D3726&lt;25000,"&lt;$25k",IF(D3726&lt;50000,"$25k-$50k",IF(D3726&lt;75000,"$50k-$75k",IF(D3726&lt;100000,"$75k-$100k","$100k+")))))</x:f>
        <x:v>$50k-$75k</x:v>
      </x:c>
      <x:c r="P3726" t="str">
        <x:f>IF(E3726="","Unknown",IF(E3726&lt;10,"&lt;10",IF(E3726&lt;20,"10-&lt;20",IF(E3726&lt;25,"20-&lt;25",IF(E3726&lt;35,"25-&lt;35","35+")))))</x:f>
        <x:v>20-&lt;25</x:v>
      </x:c>
    </x:row>
    <x:row r="3727">
      <x:c r="A3727" t="str">
        <x:v>SYN0003726</x:v>
      </x:c>
      <x:c r="B3727" s="12" t="n">
        <x:v>42985</x:v>
      </x:c>
      <x:c r="C3727" s="18" t="n">
        <x:v>14553</x:v>
      </x:c>
      <x:c r="D3727" s="18" t="n">
        <x:v>30654</x:v>
      </x:c>
      <x:c r="E3727" s="18" t="n">
        <x:v>37.57</x:v>
      </x:c>
      <x:c r="F3727" s="18" t="n">
        <x:v>13.74</x:v>
      </x:c>
      <x:c r="G3727" t="n">
        <x:v>36</x:v>
      </x:c>
      <x:c r="H3727" t="str">
        <x:v>D</x:v>
      </x:c>
      <x:c r="I3727" t="str">
        <x:v>1-3 years</x:v>
      </x:c>
      <x:c r="J3727" t="str">
        <x:v>MORTGAGE</x:v>
      </x:c>
      <x:c r="K3727" t="str">
        <x:v>debt_consolidation</x:v>
      </x:c>
      <x:c r="L3727" t="n">
        <x:v>0</x:v>
      </x:c>
      <x:c r="M3727" t="n">
        <x:v>0</x:v>
      </x:c>
      <x:c r="N3727" t="str">
        <x:v>Fully Paid</x:v>
      </x:c>
      <x:c r="O3727" t="str">
        <x:f>IF(D3727="","Unknown",IF(D3727&lt;25000,"&lt;$25k",IF(D3727&lt;50000,"$25k-$50k",IF(D3727&lt;75000,"$50k-$75k",IF(D3727&lt;100000,"$75k-$100k","$100k+")))))</x:f>
        <x:v>$25k-$50k</x:v>
      </x:c>
      <x:c r="P3727" t="str">
        <x:f>IF(E3727="","Unknown",IF(E3727&lt;10,"&lt;10",IF(E3727&lt;20,"10-&lt;20",IF(E3727&lt;25,"20-&lt;25",IF(E3727&lt;35,"25-&lt;35","35+")))))</x:f>
        <x:v>35+</x:v>
      </x:c>
    </x:row>
    <x:row r="3728">
      <x:c r="A3728" t="str">
        <x:v>SYN0003727</x:v>
      </x:c>
      <x:c r="B3728" s="12" t="n">
        <x:v>42325</x:v>
      </x:c>
      <x:c r="C3728" s="18" t="n">
        <x:v>9224</x:v>
      </x:c>
      <x:c r="D3728" s="18" t="n">
        <x:v>76517</x:v>
      </x:c>
      <x:c r="E3728" s="18" t="n">
        <x:v>29.15</x:v>
      </x:c>
      <x:c r="F3728" s="18" t="n">
        <x:v>11.08</x:v>
      </x:c>
      <x:c r="G3728" t="n">
        <x:v>36</x:v>
      </x:c>
      <x:c r="H3728" t="str">
        <x:v>C</x:v>
      </x:c>
      <x:c r="I3728" t="str">
        <x:v>1-3 years</x:v>
      </x:c>
      <x:c r="J3728" t="str">
        <x:v>RENT</x:v>
      </x:c>
      <x:c r="K3728" t="str">
        <x:v>debt_consolidation</x:v>
      </x:c>
      <x:c r="L3728" t="n">
        <x:v>0</x:v>
      </x:c>
      <x:c r="M3728" t="n">
        <x:v>0</x:v>
      </x:c>
      <x:c r="N3728" t="str">
        <x:v>Fully Paid</x:v>
      </x:c>
      <x:c r="O3728" t="str">
        <x:f>IF(D3728="","Unknown",IF(D3728&lt;25000,"&lt;$25k",IF(D3728&lt;50000,"$25k-$50k",IF(D3728&lt;75000,"$50k-$75k",IF(D3728&lt;100000,"$75k-$100k","$100k+")))))</x:f>
        <x:v>$75k-$100k</x:v>
      </x:c>
      <x:c r="P3728" t="str">
        <x:f>IF(E3728="","Unknown",IF(E3728&lt;10,"&lt;10",IF(E3728&lt;20,"10-&lt;20",IF(E3728&lt;25,"20-&lt;25",IF(E3728&lt;35,"25-&lt;35","35+")))))</x:f>
        <x:v>25-&lt;35</x:v>
      </x:c>
    </x:row>
    <x:row r="3729">
      <x:c r="A3729" t="str">
        <x:v>SYN0003728</x:v>
      </x:c>
      <x:c r="B3729" s="12" t="n">
        <x:v>43105</x:v>
      </x:c>
      <x:c r="C3729" s="18" t="n">
        <x:v>13398</x:v>
      </x:c>
      <x:c r="D3729" s="18" t="n">
        <x:v>75172</x:v>
      </x:c>
      <x:c r="E3729" s="18" t="n">
        <x:v>23.55</x:v>
      </x:c>
      <x:c r="F3729" s="18" t="n">
        <x:v>8.02</x:v>
      </x:c>
      <x:c r="G3729" t="n">
        <x:v>36</x:v>
      </x:c>
      <x:c r="H3729" t="str">
        <x:v>B</x:v>
      </x:c>
      <x:c r="I3729" t="str">
        <x:v>7-9 years</x:v>
      </x:c>
      <x:c r="J3729" t="str">
        <x:v>RENT</x:v>
      </x:c>
      <x:c r="K3729" t="str">
        <x:v>credit_card</x:v>
      </x:c>
      <x:c r="L3729" t="n">
        <x:v>1</x:v>
      </x:c>
      <x:c r="M3729" t="n">
        <x:v>0</x:v>
      </x:c>
      <x:c r="N3729" t="str">
        <x:v>Fully Paid</x:v>
      </x:c>
      <x:c r="O3729" t="str">
        <x:f>IF(D3729="","Unknown",IF(D3729&lt;25000,"&lt;$25k",IF(D3729&lt;50000,"$25k-$50k",IF(D3729&lt;75000,"$50k-$75k",IF(D3729&lt;100000,"$75k-$100k","$100k+")))))</x:f>
        <x:v>$75k-$100k</x:v>
      </x:c>
      <x:c r="P3729" t="str">
        <x:f>IF(E3729="","Unknown",IF(E3729&lt;10,"&lt;10",IF(E3729&lt;20,"10-&lt;20",IF(E3729&lt;25,"20-&lt;25",IF(E3729&lt;35,"25-&lt;35","35+")))))</x:f>
        <x:v>20-&lt;25</x:v>
      </x:c>
    </x:row>
    <x:row r="3730">
      <x:c r="A3730" t="str">
        <x:v>SYN0003729</x:v>
      </x:c>
      <x:c r="B3730" s="12" t="n">
        <x:v>41635</x:v>
      </x:c>
      <x:c r="C3730" s="18" t="n">
        <x:v>6211</x:v>
      </x:c>
      <x:c r="D3730" s="18" t="n">
        <x:v>23221</x:v>
      </x:c>
      <x:c r="E3730" s="18" t="n">
        <x:v>19.74</x:v>
      </x:c>
      <x:c r="F3730" s="18" t="n">
        <x:v>22.74</x:v>
      </x:c>
      <x:c r="G3730" t="n">
        <x:v>60</x:v>
      </x:c>
      <x:c r="H3730" t="str">
        <x:v>F</x:v>
      </x:c>
      <x:c r="I3730" t="str">
        <x:v>4-6 years</x:v>
      </x:c>
      <x:c r="J3730" t="str">
        <x:v>OWN</x:v>
      </x:c>
      <x:c r="K3730" t="str">
        <x:v>debt_consolidation</x:v>
      </x:c>
      <x:c r="L3730" t="n">
        <x:v>0</x:v>
      </x:c>
      <x:c r="M3730" t="n">
        <x:v>0</x:v>
      </x:c>
      <x:c r="N3730" t="str">
        <x:v>Fully Paid</x:v>
      </x:c>
      <x:c r="O3730" t="str">
        <x:f>IF(D3730="","Unknown",IF(D3730&lt;25000,"&lt;$25k",IF(D3730&lt;50000,"$25k-$50k",IF(D3730&lt;75000,"$50k-$75k",IF(D3730&lt;100000,"$75k-$100k","$100k+")))))</x:f>
        <x:v>&lt;$25k</x:v>
      </x:c>
      <x:c r="P3730" t="str">
        <x:f>IF(E3730="","Unknown",IF(E3730&lt;10,"&lt;10",IF(E3730&lt;20,"10-&lt;20",IF(E3730&lt;25,"20-&lt;25",IF(E3730&lt;35,"25-&lt;35","35+")))))</x:f>
        <x:v>10-&lt;20</x:v>
      </x:c>
    </x:row>
    <x:row r="3731">
      <x:c r="A3731" t="str">
        <x:v>SYN0003730</x:v>
      </x:c>
      <x:c r="B3731" s="12" t="n">
        <x:v>42595</x:v>
      </x:c>
      <x:c r="C3731" s="18" t="n">
        <x:v>3052</x:v>
      </x:c>
      <x:c r="D3731" s="18" t="n">
        <x:v>50983</x:v>
      </x:c>
      <x:c r="E3731" s="18" t="n">
        <x:v>22.97</x:v>
      </x:c>
      <x:c r="F3731" s="18" t="n">
        <x:v>8.25</x:v>
      </x:c>
      <x:c r="G3731" t="n">
        <x:v>36</x:v>
      </x:c>
      <x:c r="H3731" t="str">
        <x:v>C</x:v>
      </x:c>
      <x:c r="I3731" t="str">
        <x:v>4-6 years</x:v>
      </x:c>
      <x:c r="J3731" t="str">
        <x:v>OTHER</x:v>
      </x:c>
      <x:c r="K3731" t="str">
        <x:v>debt_consolidation</x:v>
      </x:c>
      <x:c r="L3731" t="n">
        <x:v>0</x:v>
      </x:c>
      <x:c r="M3731" t="n">
        <x:v>1</x:v>
      </x:c>
      <x:c r="N3731" t="str">
        <x:v>Charged Off</x:v>
      </x:c>
      <x:c r="O3731" t="str">
        <x:f>IF(D3731="","Unknown",IF(D3731&lt;25000,"&lt;$25k",IF(D3731&lt;50000,"$25k-$50k",IF(D3731&lt;75000,"$50k-$75k",IF(D3731&lt;100000,"$75k-$100k","$100k+")))))</x:f>
        <x:v>$50k-$75k</x:v>
      </x:c>
      <x:c r="P3731" t="str">
        <x:f>IF(E3731="","Unknown",IF(E3731&lt;10,"&lt;10",IF(E3731&lt;20,"10-&lt;20",IF(E3731&lt;25,"20-&lt;25",IF(E3731&lt;35,"25-&lt;35","35+")))))</x:f>
        <x:v>20-&lt;25</x:v>
      </x:c>
    </x:row>
    <x:row r="3732">
      <x:c r="A3732" t="str">
        <x:v>SYN0003731</x:v>
      </x:c>
      <x:c r="B3732" s="12" t="n">
        <x:v>42325</x:v>
      </x:c>
      <x:c r="C3732" s="18" t="n">
        <x:v>13729</x:v>
      </x:c>
      <x:c r="D3732" s="18" t="n">
        <x:v>90135</x:v>
      </x:c>
      <x:c r="E3732" s="18" t="n">
        <x:v>33.17</x:v>
      </x:c>
      <x:c r="F3732" s="18" t="n">
        <x:v>10.49</x:v>
      </x:c>
      <x:c r="G3732" t="n">
        <x:v>36</x:v>
      </x:c>
      <x:c r="H3732" t="str">
        <x:v>C</x:v>
      </x:c>
      <x:c r="I3732" t="str">
        <x:v>&lt;1 year</x:v>
      </x:c>
      <x:c r="J3732" t="str">
        <x:v>MORTGAGE</x:v>
      </x:c>
      <x:c r="K3732" t="str">
        <x:v>debt_consolidation</x:v>
      </x:c>
      <x:c r="L3732" t="n">
        <x:v>3</x:v>
      </x:c>
      <x:c r="M3732" t="n">
        <x:v>1</x:v>
      </x:c>
      <x:c r="N3732" t="str">
        <x:v>Charged Off</x:v>
      </x:c>
      <x:c r="O3732" t="str">
        <x:f>IF(D3732="","Unknown",IF(D3732&lt;25000,"&lt;$25k",IF(D3732&lt;50000,"$25k-$50k",IF(D3732&lt;75000,"$50k-$75k",IF(D3732&lt;100000,"$75k-$100k","$100k+")))))</x:f>
        <x:v>$75k-$100k</x:v>
      </x:c>
      <x:c r="P3732" t="str">
        <x:f>IF(E3732="","Unknown",IF(E3732&lt;10,"&lt;10",IF(E3732&lt;20,"10-&lt;20",IF(E3732&lt;25,"20-&lt;25",IF(E3732&lt;35,"25-&lt;35","35+")))))</x:f>
        <x:v>25-&lt;35</x:v>
      </x:c>
    </x:row>
    <x:row r="3733">
      <x:c r="A3733" t="str">
        <x:v>SYN0003732</x:v>
      </x:c>
      <x:c r="B3733" s="12" t="n">
        <x:v>43165</x:v>
      </x:c>
      <x:c r="C3733" s="18" t="n">
        <x:v>15349</x:v>
      </x:c>
      <x:c r="D3733" s="18" t="n">
        <x:v>19194</x:v>
      </x:c>
      <x:c r="E3733" s="18" t="n">
        <x:v>20.14</x:v>
      </x:c>
      <x:c r="F3733" s="18" t="n">
        <x:v>18.9</x:v>
      </x:c>
      <x:c r="G3733" t="n">
        <x:v>36</x:v>
      </x:c>
      <x:c r="H3733" t="str">
        <x:v>E</x:v>
      </x:c>
      <x:c r="I3733" t="str">
        <x:v>4-6 years</x:v>
      </x:c>
      <x:c r="J3733" t="str">
        <x:v>RENT</x:v>
      </x:c>
      <x:c r="K3733" t="str">
        <x:v>debt_consolidation</x:v>
      </x:c>
      <x:c r="L3733" t="n">
        <x:v>0</x:v>
      </x:c>
      <x:c r="M3733" t="n">
        <x:v>0</x:v>
      </x:c>
      <x:c r="N3733" t="str">
        <x:v>Fully Paid</x:v>
      </x:c>
      <x:c r="O3733" t="str">
        <x:f>IF(D3733="","Unknown",IF(D3733&lt;25000,"&lt;$25k",IF(D3733&lt;50000,"$25k-$50k",IF(D3733&lt;75000,"$50k-$75k",IF(D3733&lt;100000,"$75k-$100k","$100k+")))))</x:f>
        <x:v>&lt;$25k</x:v>
      </x:c>
      <x:c r="P3733" t="str">
        <x:f>IF(E3733="","Unknown",IF(E3733&lt;10,"&lt;10",IF(E3733&lt;20,"10-&lt;20",IF(E3733&lt;25,"20-&lt;25",IF(E3733&lt;35,"25-&lt;35","35+")))))</x:f>
        <x:v>20-&lt;25</x:v>
      </x:c>
    </x:row>
    <x:row r="3734">
      <x:c r="A3734" t="str">
        <x:v>SYN0003733</x:v>
      </x:c>
      <x:c r="B3734" s="12" t="n">
        <x:v>41515</x:v>
      </x:c>
      <x:c r="C3734" s="18" t="n">
        <x:v>33757</x:v>
      </x:c>
      <x:c r="D3734" s="18" t="n">
        <x:v>44351</x:v>
      </x:c>
      <x:c r="E3734" s="18" t="n">
        <x:v>32.95</x:v>
      </x:c>
      <x:c r="F3734" s="18" t="n">
        <x:v>16.01</x:v>
      </x:c>
      <x:c r="G3734" t="n">
        <x:v>60</x:v>
      </x:c>
      <x:c r="H3734" t="str">
        <x:v>E</x:v>
      </x:c>
      <x:c r="I3734" t="str">
        <x:v>10+ years</x:v>
      </x:c>
      <x:c r="J3734" t="str">
        <x:v>RENT</x:v>
      </x:c>
      <x:c r="K3734" t="str">
        <x:v>credit_card</x:v>
      </x:c>
      <x:c r="L3734" t="n">
        <x:v>0</x:v>
      </x:c>
      <x:c r="M3734" t="n">
        <x:v>0</x:v>
      </x:c>
      <x:c r="N3734" t="str">
        <x:v>Fully Paid</x:v>
      </x:c>
      <x:c r="O3734" t="str">
        <x:f>IF(D3734="","Unknown",IF(D3734&lt;25000,"&lt;$25k",IF(D3734&lt;50000,"$25k-$50k",IF(D3734&lt;75000,"$50k-$75k",IF(D3734&lt;100000,"$75k-$100k","$100k+")))))</x:f>
        <x:v>$25k-$50k</x:v>
      </x:c>
      <x:c r="P3734" t="str">
        <x:f>IF(E3734="","Unknown",IF(E3734&lt;10,"&lt;10",IF(E3734&lt;20,"10-&lt;20",IF(E3734&lt;25,"20-&lt;25",IF(E3734&lt;35,"25-&lt;35","35+")))))</x:f>
        <x:v>25-&lt;35</x:v>
      </x:c>
    </x:row>
    <x:row r="3735">
      <x:c r="A3735" t="str">
        <x:v>SYN0003734</x:v>
      </x:c>
      <x:c r="B3735" s="12" t="n">
        <x:v>43405</x:v>
      </x:c>
      <x:c r="C3735" s="18" t="n">
        <x:v>10630</x:v>
      </x:c>
      <x:c r="D3735" s="18" t="n">
        <x:v>107908</x:v>
      </x:c>
      <x:c r="E3735" s="18" t="n">
        <x:v>45.84</x:v>
      </x:c>
      <x:c r="F3735" s="18" t="n">
        <x:v>22.51</x:v>
      </x:c>
      <x:c r="G3735" t="n">
        <x:v>60</x:v>
      </x:c>
      <x:c r="H3735" t="str">
        <x:v>F</x:v>
      </x:c>
      <x:c r="I3735" t="str">
        <x:v>4-6 years</x:v>
      </x:c>
      <x:c r="J3735" t="str">
        <x:v>RENT</x:v>
      </x:c>
      <x:c r="K3735" t="str">
        <x:v>major_purchase</x:v>
      </x:c>
      <x:c r="L3735" t="n">
        <x:v>0</x:v>
      </x:c>
      <x:c r="M3735" t="n">
        <x:v>0</x:v>
      </x:c>
      <x:c r="N3735" t="str">
        <x:v>Fully Paid</x:v>
      </x:c>
      <x:c r="O3735" t="str">
        <x:f>IF(D3735="","Unknown",IF(D3735&lt;25000,"&lt;$25k",IF(D3735&lt;50000,"$25k-$50k",IF(D3735&lt;75000,"$50k-$75k",IF(D3735&lt;100000,"$75k-$100k","$100k+")))))</x:f>
        <x:v>$100k+</x:v>
      </x:c>
      <x:c r="P3735" t="str">
        <x:f>IF(E3735="","Unknown",IF(E3735&lt;10,"&lt;10",IF(E3735&lt;20,"10-&lt;20",IF(E3735&lt;25,"20-&lt;25",IF(E3735&lt;35,"25-&lt;35","35+")))))</x:f>
        <x:v>35+</x:v>
      </x:c>
    </x:row>
    <x:row r="3736">
      <x:c r="A3736" t="str">
        <x:v>SYN0003735</x:v>
      </x:c>
      <x:c r="B3736" s="12" t="n">
        <x:v>41335</x:v>
      </x:c>
      <x:c r="C3736" s="18" t="n">
        <x:v>13609</x:v>
      </x:c>
      <x:c r="D3736" s="18" t="n">
        <x:v>70833</x:v>
      </x:c>
      <x:c r="E3736" s="18" t="n">
        <x:v>11.66</x:v>
      </x:c>
      <x:c r="F3736" s="18" t="n">
        <x:v>7.39</x:v>
      </x:c>
      <x:c r="G3736" t="n">
        <x:v>36</x:v>
      </x:c>
      <x:c r="H3736" t="str">
        <x:v>B</x:v>
      </x:c>
      <x:c r="I3736" t="str">
        <x:v>7-9 years</x:v>
      </x:c>
      <x:c r="J3736" t="str">
        <x:v>MORTGAGE</x:v>
      </x:c>
      <x:c r="K3736" t="str">
        <x:v>debt_consolidation</x:v>
      </x:c>
      <x:c r="L3736" t="n">
        <x:v>0</x:v>
      </x:c>
      <x:c r="M3736" t="n">
        <x:v>0</x:v>
      </x:c>
      <x:c r="N3736" t="str">
        <x:v>Fully Paid</x:v>
      </x:c>
      <x:c r="O3736" t="str">
        <x:f>IF(D3736="","Unknown",IF(D3736&lt;25000,"&lt;$25k",IF(D3736&lt;50000,"$25k-$50k",IF(D3736&lt;75000,"$50k-$75k",IF(D3736&lt;100000,"$75k-$100k","$100k+")))))</x:f>
        <x:v>$50k-$75k</x:v>
      </x:c>
      <x:c r="P3736" t="str">
        <x:f>IF(E3736="","Unknown",IF(E3736&lt;10,"&lt;10",IF(E3736&lt;20,"10-&lt;20",IF(E3736&lt;25,"20-&lt;25",IF(E3736&lt;35,"25-&lt;35","35+")))))</x:f>
        <x:v>10-&lt;20</x:v>
      </x:c>
    </x:row>
    <x:row r="3737">
      <x:c r="A3737" t="str">
        <x:v>SYN0003736</x:v>
      </x:c>
      <x:c r="B3737" s="12" t="n">
        <x:v>41605</x:v>
      </x:c>
      <x:c r="C3737" s="18" t="n">
        <x:v>17059</x:v>
      </x:c>
      <x:c r="D3737" s="18" t="n">
        <x:v>77889</x:v>
      </x:c>
      <x:c r="E3737" s="18" t="n">
        <x:v>17.38</x:v>
      </x:c>
      <x:c r="F3737" s="18" t="n">
        <x:v>6.29</x:v>
      </x:c>
      <x:c r="G3737" t="n">
        <x:v>36</x:v>
      </x:c>
      <x:c r="H3737" t="str">
        <x:v>A</x:v>
      </x:c>
      <x:c r="I3737" t="str">
        <x:v>10+ years</x:v>
      </x:c>
      <x:c r="J3737" t="str">
        <x:v>MORTGAGE</x:v>
      </x:c>
      <x:c r="K3737" t="str">
        <x:v>credit_card</x:v>
      </x:c>
      <x:c r="L3737" t="n">
        <x:v>0</x:v>
      </x:c>
      <x:c r="M3737" t="n">
        <x:v>0</x:v>
      </x:c>
      <x:c r="N3737" t="str">
        <x:v>Fully Paid</x:v>
      </x:c>
      <x:c r="O3737" t="str">
        <x:f>IF(D3737="","Unknown",IF(D3737&lt;25000,"&lt;$25k",IF(D3737&lt;50000,"$25k-$50k",IF(D3737&lt;75000,"$50k-$75k",IF(D3737&lt;100000,"$75k-$100k","$100k+")))))</x:f>
        <x:v>$75k-$100k</x:v>
      </x:c>
      <x:c r="P3737" t="str">
        <x:f>IF(E3737="","Unknown",IF(E3737&lt;10,"&lt;10",IF(E3737&lt;20,"10-&lt;20",IF(E3737&lt;25,"20-&lt;25",IF(E3737&lt;35,"25-&lt;35","35+")))))</x:f>
        <x:v>10-&lt;20</x:v>
      </x:c>
    </x:row>
    <x:row r="3738">
      <x:c r="A3738" t="str">
        <x:v>SYN0003737</x:v>
      </x:c>
      <x:c r="B3738" s="12" t="n">
        <x:v>42445</x:v>
      </x:c>
      <x:c r="C3738" s="18" t="n">
        <x:v>8776</x:v>
      </x:c>
      <x:c r="D3738" s="18" t="n">
        <x:v>32426</x:v>
      </x:c>
      <x:c r="E3738" s="18" t="n">
        <x:v>9.22</x:v>
      </x:c>
      <x:c r="F3738" s="18" t="n">
        <x:v>8.82</x:v>
      </x:c>
      <x:c r="G3738" t="n">
        <x:v>60</x:v>
      </x:c>
      <x:c r="H3738" t="str">
        <x:v>B</x:v>
      </x:c>
      <x:c r="I3738" t="str">
        <x:v>10+ years</x:v>
      </x:c>
      <x:c r="J3738" t="str">
        <x:v>MORTGAGE</x:v>
      </x:c>
      <x:c r="K3738" t="str">
        <x:v>other</x:v>
      </x:c>
      <x:c r="L3738" t="n">
        <x:v>0</x:v>
      </x:c>
      <x:c r="M3738" t="n">
        <x:v>0</x:v>
      </x:c>
      <x:c r="N3738" t="str">
        <x:v>Fully Paid</x:v>
      </x:c>
      <x:c r="O3738" t="str">
        <x:f>IF(D3738="","Unknown",IF(D3738&lt;25000,"&lt;$25k",IF(D3738&lt;50000,"$25k-$50k",IF(D3738&lt;75000,"$50k-$75k",IF(D3738&lt;100000,"$75k-$100k","$100k+")))))</x:f>
        <x:v>$25k-$50k</x:v>
      </x:c>
      <x:c r="P3738" t="str">
        <x:f>IF(E3738="","Unknown",IF(E3738&lt;10,"&lt;10",IF(E3738&lt;20,"10-&lt;20",IF(E3738&lt;25,"20-&lt;25",IF(E3738&lt;35,"25-&lt;35","35+")))))</x:f>
        <x:v>&lt;10</x:v>
      </x:c>
    </x:row>
    <x:row r="3739">
      <x:c r="A3739" t="str">
        <x:v>SYN0003738</x:v>
      </x:c>
      <x:c r="B3739" s="12" t="n">
        <x:v>42535</x:v>
      </x:c>
      <x:c r="C3739" s="18" t="n">
        <x:v>17404</x:v>
      </x:c>
      <x:c r="D3739" s="18" t="n">
        <x:v>43559</x:v>
      </x:c>
      <x:c r="E3739" s="18" t="n">
        <x:v>18.81</x:v>
      </x:c>
      <x:c r="F3739" s="18" t="n">
        <x:v>16.12</x:v>
      </x:c>
      <x:c r="G3739" t="n">
        <x:v>36</x:v>
      </x:c>
      <x:c r="H3739" t="str">
        <x:v>D</x:v>
      </x:c>
      <x:c r="I3739" t="str">
        <x:v>7-9 years</x:v>
      </x:c>
      <x:c r="J3739" t="str">
        <x:v>MORTGAGE</x:v>
      </x:c>
      <x:c r="K3739" t="str">
        <x:v>home_improvement</x:v>
      </x:c>
      <x:c r="L3739" t="n">
        <x:v>1</x:v>
      </x:c>
      <x:c r="M3739" t="n">
        <x:v>0</x:v>
      </x:c>
      <x:c r="N3739" t="str">
        <x:v>Fully Paid</x:v>
      </x:c>
      <x:c r="O3739" t="str">
        <x:f>IF(D3739="","Unknown",IF(D3739&lt;25000,"&lt;$25k",IF(D3739&lt;50000,"$25k-$50k",IF(D3739&lt;75000,"$50k-$75k",IF(D3739&lt;100000,"$75k-$100k","$100k+")))))</x:f>
        <x:v>$25k-$50k</x:v>
      </x:c>
      <x:c r="P3739" t="str">
        <x:f>IF(E3739="","Unknown",IF(E3739&lt;10,"&lt;10",IF(E3739&lt;20,"10-&lt;20",IF(E3739&lt;25,"20-&lt;25",IF(E3739&lt;35,"25-&lt;35","35+")))))</x:f>
        <x:v>10-&lt;20</x:v>
      </x:c>
    </x:row>
    <x:row r="3740">
      <x:c r="A3740" t="str">
        <x:v>SYN0003739</x:v>
      </x:c>
      <x:c r="B3740" s="12" t="n">
        <x:v>43165</x:v>
      </x:c>
      <x:c r="C3740" s="18" t="n">
        <x:v>12909</x:v>
      </x:c>
      <x:c r="D3740" s="18" t="n">
        <x:v>122021</x:v>
      </x:c>
      <x:c r="E3740" s="18" t="n">
        <x:v>34.95</x:v>
      </x:c>
      <x:c r="F3740" s="18" t="n">
        <x:v>23.96</x:v>
      </x:c>
      <x:c r="G3740" t="n">
        <x:v>36</x:v>
      </x:c>
      <x:c r="H3740" t="str">
        <x:v>F</x:v>
      </x:c>
      <x:c r="I3740" t="str">
        <x:v>7-9 years</x:v>
      </x:c>
      <x:c r="J3740" t="str">
        <x:v>RENT</x:v>
      </x:c>
      <x:c r="K3740" t="str">
        <x:v>debt_consolidation</x:v>
      </x:c>
      <x:c r="L3740" t="n">
        <x:v>0</x:v>
      </x:c>
      <x:c r="M3740" t="n">
        <x:v>0</x:v>
      </x:c>
      <x:c r="N3740" t="str">
        <x:v>Fully Paid</x:v>
      </x:c>
      <x:c r="O3740" t="str">
        <x:f>IF(D3740="","Unknown",IF(D3740&lt;25000,"&lt;$25k",IF(D3740&lt;50000,"$25k-$50k",IF(D3740&lt;75000,"$50k-$75k",IF(D3740&lt;100000,"$75k-$100k","$100k+")))))</x:f>
        <x:v>$100k+</x:v>
      </x:c>
      <x:c r="P3740" t="str">
        <x:f>IF(E3740="","Unknown",IF(E3740&lt;10,"&lt;10",IF(E3740&lt;20,"10-&lt;20",IF(E3740&lt;25,"20-&lt;25",IF(E3740&lt;35,"25-&lt;35","35+")))))</x:f>
        <x:v>25-&lt;35</x:v>
      </x:c>
    </x:row>
    <x:row r="3741">
      <x:c r="A3741" t="str">
        <x:v>SYN0003740</x:v>
      </x:c>
      <x:c r="B3741" s="12" t="n">
        <x:v>42175</x:v>
      </x:c>
      <x:c r="C3741" s="18" t="n">
        <x:v>17394</x:v>
      </x:c>
      <x:c r="D3741" s="18" t="n">
        <x:v>54912</x:v>
      </x:c>
      <x:c r="E3741" s="18" t="n">
        <x:v>24.59</x:v>
      </x:c>
      <x:c r="F3741" s="18" t="n">
        <x:v>9.04</x:v>
      </x:c>
      <x:c r="G3741" t="n">
        <x:v>36</x:v>
      </x:c>
      <x:c r="H3741" t="str">
        <x:v>B</x:v>
      </x:c>
      <x:c r="I3741" t="str">
        <x:v>1-3 years</x:v>
      </x:c>
      <x:c r="J3741" t="str">
        <x:v>RENT</x:v>
      </x:c>
      <x:c r="K3741" t="str">
        <x:v>credit_card</x:v>
      </x:c>
      <x:c r="L3741" t="n">
        <x:v>0</x:v>
      </x:c>
      <x:c r="M3741" t="n">
        <x:v>0</x:v>
      </x:c>
      <x:c r="N3741" t="str">
        <x:v>Fully Paid</x:v>
      </x:c>
      <x:c r="O3741" t="str">
        <x:f>IF(D3741="","Unknown",IF(D3741&lt;25000,"&lt;$25k",IF(D3741&lt;50000,"$25k-$50k",IF(D3741&lt;75000,"$50k-$75k",IF(D3741&lt;100000,"$75k-$100k","$100k+")))))</x:f>
        <x:v>$50k-$75k</x:v>
      </x:c>
      <x:c r="P3741" t="str">
        <x:f>IF(E3741="","Unknown",IF(E3741&lt;10,"&lt;10",IF(E3741&lt;20,"10-&lt;20",IF(E3741&lt;25,"20-&lt;25",IF(E3741&lt;35,"25-&lt;35","35+")))))</x:f>
        <x:v>20-&lt;25</x:v>
      </x:c>
    </x:row>
    <x:row r="3742">
      <x:c r="A3742" t="str">
        <x:v>SYN0003741</x:v>
      </x:c>
      <x:c r="B3742" s="12" t="n">
        <x:v>43375</x:v>
      </x:c>
      <x:c r="C3742" s="18" t="n">
        <x:v>19256</x:v>
      </x:c>
      <x:c r="D3742" s="18" t="n">
        <x:v>35539</x:v>
      </x:c>
      <x:c r="E3742" s="18" t="n">
        <x:v>24.42</x:v>
      </x:c>
      <x:c r="F3742" s="18" t="n">
        <x:v>24.25</x:v>
      </x:c>
      <x:c r="G3742" t="n">
        <x:v>36</x:v>
      </x:c>
      <x:c r="H3742" t="str">
        <x:v>G</x:v>
      </x:c>
      <x:c r="I3742" t="str">
        <x:v>10+ years</x:v>
      </x:c>
      <x:c r="J3742" t="str">
        <x:v>MORTGAGE</x:v>
      </x:c>
      <x:c r="K3742" t="str">
        <x:v>other</x:v>
      </x:c>
      <x:c r="L3742" t="n">
        <x:v>1</x:v>
      </x:c>
      <x:c r="M3742" t="n">
        <x:v>0</x:v>
      </x:c>
      <x:c r="N3742" t="str">
        <x:v>Fully Paid</x:v>
      </x:c>
      <x:c r="O3742" t="str">
        <x:f>IF(D3742="","Unknown",IF(D3742&lt;25000,"&lt;$25k",IF(D3742&lt;50000,"$25k-$50k",IF(D3742&lt;75000,"$50k-$75k",IF(D3742&lt;100000,"$75k-$100k","$100k+")))))</x:f>
        <x:v>$25k-$50k</x:v>
      </x:c>
      <x:c r="P3742" t="str">
        <x:f>IF(E3742="","Unknown",IF(E3742&lt;10,"&lt;10",IF(E3742&lt;20,"10-&lt;20",IF(E3742&lt;25,"20-&lt;25",IF(E3742&lt;35,"25-&lt;35","35+")))))</x:f>
        <x:v>20-&lt;25</x:v>
      </x:c>
    </x:row>
    <x:row r="3743">
      <x:c r="A3743" t="str">
        <x:v>SYN0003742</x:v>
      </x:c>
      <x:c r="B3743" s="12" t="n">
        <x:v>41395</x:v>
      </x:c>
      <x:c r="C3743" s="18" t="n">
        <x:v>15193</x:v>
      </x:c>
      <x:c r="D3743" s="18" t="n">
        <x:v>73747</x:v>
      </x:c>
      <x:c r="E3743" s="18" t="n">
        <x:v>10.56</x:v>
      </x:c>
      <x:c r="F3743" s="18" t="n">
        <x:v>5</x:v>
      </x:c>
      <x:c r="G3743" t="n">
        <x:v>36</x:v>
      </x:c>
      <x:c r="H3743" t="str">
        <x:v>A</x:v>
      </x:c>
      <x:c r="I3743" t="str">
        <x:v>4-6 years</x:v>
      </x:c>
      <x:c r="J3743" t="str">
        <x:v>MORTGAGE</x:v>
      </x:c>
      <x:c r="K3743" t="str">
        <x:v>debt_consolidation</x:v>
      </x:c>
      <x:c r="L3743" t="n">
        <x:v>1</x:v>
      </x:c>
      <x:c r="M3743" t="n">
        <x:v>0</x:v>
      </x:c>
      <x:c r="N3743" t="str">
        <x:v>Fully Paid</x:v>
      </x:c>
      <x:c r="O3743" t="str">
        <x:f>IF(D3743="","Unknown",IF(D3743&lt;25000,"&lt;$25k",IF(D3743&lt;50000,"$25k-$50k",IF(D3743&lt;75000,"$50k-$75k",IF(D3743&lt;100000,"$75k-$100k","$100k+")))))</x:f>
        <x:v>$50k-$75k</x:v>
      </x:c>
      <x:c r="P3743" t="str">
        <x:f>IF(E3743="","Unknown",IF(E3743&lt;10,"&lt;10",IF(E3743&lt;20,"10-&lt;20",IF(E3743&lt;25,"20-&lt;25",IF(E3743&lt;35,"25-&lt;35","35+")))))</x:f>
        <x:v>10-&lt;20</x:v>
      </x:c>
    </x:row>
    <x:row r="3744">
      <x:c r="A3744" t="str">
        <x:v>SYN0003743</x:v>
      </x:c>
      <x:c r="B3744" s="12" t="n">
        <x:v>41515</x:v>
      </x:c>
      <x:c r="C3744" s="18" t="n">
        <x:v>7400</x:v>
      </x:c>
      <x:c r="D3744" s="18" t="n">
        <x:v>39840</x:v>
      </x:c>
      <x:c r="E3744" s="18" t="n">
        <x:v>22.96</x:v>
      </x:c>
      <x:c r="F3744" s="18" t="n">
        <x:v>11.35</x:v>
      </x:c>
      <x:c r="G3744" t="n">
        <x:v>36</x:v>
      </x:c>
      <x:c r="H3744" t="str">
        <x:v>C</x:v>
      </x:c>
      <x:c r="I3744" t="str">
        <x:v>1-3 years</x:v>
      </x:c>
      <x:c r="J3744" t="str">
        <x:v>RENT</x:v>
      </x:c>
      <x:c r="K3744" t="str">
        <x:v>debt_consolidation</x:v>
      </x:c>
      <x:c r="L3744" t="n">
        <x:v>1</x:v>
      </x:c>
      <x:c r="M3744" t="n">
        <x:v>0</x:v>
      </x:c>
      <x:c r="N3744" t="str">
        <x:v>Fully Paid</x:v>
      </x:c>
      <x:c r="O3744" t="str">
        <x:f>IF(D3744="","Unknown",IF(D3744&lt;25000,"&lt;$25k",IF(D3744&lt;50000,"$25k-$50k",IF(D3744&lt;75000,"$50k-$75k",IF(D3744&lt;100000,"$75k-$100k","$100k+")))))</x:f>
        <x:v>$25k-$50k</x:v>
      </x:c>
      <x:c r="P3744" t="str">
        <x:f>IF(E3744="","Unknown",IF(E3744&lt;10,"&lt;10",IF(E3744&lt;20,"10-&lt;20",IF(E3744&lt;25,"20-&lt;25",IF(E3744&lt;35,"25-&lt;35","35+")))))</x:f>
        <x:v>20-&lt;25</x:v>
      </x:c>
    </x:row>
    <x:row r="3745">
      <x:c r="A3745" t="str">
        <x:v>SYN0003744</x:v>
      </x:c>
      <x:c r="B3745" s="12" t="n">
        <x:v>41785</x:v>
      </x:c>
      <x:c r="C3745" s="18" t="n">
        <x:v>11228</x:v>
      </x:c>
      <x:c r="D3745" s="18" t="n">
        <x:v>37472</x:v>
      </x:c>
      <x:c r="E3745" s="18" t="n">
        <x:v>20.63</x:v>
      </x:c>
      <x:c r="F3745" s="18" t="n">
        <x:v>14.45</x:v>
      </x:c>
      <x:c r="G3745" t="n">
        <x:v>60</x:v>
      </x:c>
      <x:c r="H3745" t="str">
        <x:v>E</x:v>
      </x:c>
      <x:c r="I3745" t="str">
        <x:v>10+ years</x:v>
      </x:c>
      <x:c r="J3745" t="str">
        <x:v>MORTGAGE</x:v>
      </x:c>
      <x:c r="K3745" t="str">
        <x:v>debt_consolidation</x:v>
      </x:c>
      <x:c r="L3745" t="n">
        <x:v>1</x:v>
      </x:c>
      <x:c r="M3745" t="n">
        <x:v>0</x:v>
      </x:c>
      <x:c r="N3745" t="str">
        <x:v>Fully Paid</x:v>
      </x:c>
      <x:c r="O3745" t="str">
        <x:f>IF(D3745="","Unknown",IF(D3745&lt;25000,"&lt;$25k",IF(D3745&lt;50000,"$25k-$50k",IF(D3745&lt;75000,"$50k-$75k",IF(D3745&lt;100000,"$75k-$100k","$100k+")))))</x:f>
        <x:v>$25k-$50k</x:v>
      </x:c>
      <x:c r="P3745" t="str">
        <x:f>IF(E3745="","Unknown",IF(E3745&lt;10,"&lt;10",IF(E3745&lt;20,"10-&lt;20",IF(E3745&lt;25,"20-&lt;25",IF(E3745&lt;35,"25-&lt;35","35+")))))</x:f>
        <x:v>20-&lt;25</x:v>
      </x:c>
    </x:row>
    <x:row r="3746">
      <x:c r="A3746" t="str">
        <x:v>SYN0003745</x:v>
      </x:c>
      <x:c r="B3746" s="12" t="n">
        <x:v>41455</x:v>
      </x:c>
      <x:c r="C3746" s="18" t="n">
        <x:v>14003</x:v>
      </x:c>
      <x:c r="D3746" s="18" t="n">
        <x:v>48430</x:v>
      </x:c>
      <x:c r="E3746" s="18" t="n">
        <x:v>27.75</x:v>
      </x:c>
      <x:c r="F3746" s="18" t="n">
        <x:v>13.35</x:v>
      </x:c>
      <x:c r="G3746" t="n">
        <x:v>36</x:v>
      </x:c>
      <x:c r="H3746" t="str">
        <x:v>D</x:v>
      </x:c>
      <x:c r="I3746" t="str">
        <x:v>4-6 years</x:v>
      </x:c>
      <x:c r="J3746" t="str">
        <x:v>OWN</x:v>
      </x:c>
      <x:c r="K3746" t="str">
        <x:v>debt_consolidation</x:v>
      </x:c>
      <x:c r="L3746" t="n">
        <x:v>0</x:v>
      </x:c>
      <x:c r="M3746" t="n">
        <x:v>0</x:v>
      </x:c>
      <x:c r="N3746" t="str">
        <x:v>Fully Paid</x:v>
      </x:c>
      <x:c r="O3746" t="str">
        <x:f>IF(D3746="","Unknown",IF(D3746&lt;25000,"&lt;$25k",IF(D3746&lt;50000,"$25k-$50k",IF(D3746&lt;75000,"$50k-$75k",IF(D3746&lt;100000,"$75k-$100k","$100k+")))))</x:f>
        <x:v>$25k-$50k</x:v>
      </x:c>
      <x:c r="P3746" t="str">
        <x:f>IF(E3746="","Unknown",IF(E3746&lt;10,"&lt;10",IF(E3746&lt;20,"10-&lt;20",IF(E3746&lt;25,"20-&lt;25",IF(E3746&lt;35,"25-&lt;35","35+")))))</x:f>
        <x:v>25-&lt;35</x:v>
      </x:c>
    </x:row>
    <x:row r="3747">
      <x:c r="A3747" t="str">
        <x:v>SYN0003746</x:v>
      </x:c>
      <x:c r="B3747" s="12" t="n">
        <x:v>43285</x:v>
      </x:c>
      <x:c r="C3747" s="18" t="n">
        <x:v>8295</x:v>
      </x:c>
      <x:c r="D3747" s="18" t="n">
        <x:v>55516</x:v>
      </x:c>
      <x:c r="E3747" s="18" t="n">
        <x:v>22.11</x:v>
      </x:c>
      <x:c r="F3747" s="18" t="n">
        <x:v>5</x:v>
      </x:c>
      <x:c r="G3747" t="n">
        <x:v>60</x:v>
      </x:c>
      <x:c r="H3747" t="str">
        <x:v>A</x:v>
      </x:c>
      <x:c r="I3747" t="str">
        <x:v>7-9 years</x:v>
      </x:c>
      <x:c r="J3747" t="str">
        <x:v>MORTGAGE</x:v>
      </x:c>
      <x:c r="K3747" t="str">
        <x:v>credit_card</x:v>
      </x:c>
      <x:c r="L3747" t="n">
        <x:v>2</x:v>
      </x:c>
      <x:c r="M3747" t="n">
        <x:v>0</x:v>
      </x:c>
      <x:c r="N3747" t="str">
        <x:v>Fully Paid</x:v>
      </x:c>
      <x:c r="O3747" t="str">
        <x:f>IF(D3747="","Unknown",IF(D3747&lt;25000,"&lt;$25k",IF(D3747&lt;50000,"$25k-$50k",IF(D3747&lt;75000,"$50k-$75k",IF(D3747&lt;100000,"$75k-$100k","$100k+")))))</x:f>
        <x:v>$50k-$75k</x:v>
      </x:c>
      <x:c r="P3747" t="str">
        <x:f>IF(E3747="","Unknown",IF(E3747&lt;10,"&lt;10",IF(E3747&lt;20,"10-&lt;20",IF(E3747&lt;25,"20-&lt;25",IF(E3747&lt;35,"25-&lt;35","35+")))))</x:f>
        <x:v>20-&lt;25</x:v>
      </x:c>
    </x:row>
    <x:row r="3748">
      <x:c r="A3748" t="str">
        <x:v>SYN0003747</x:v>
      </x:c>
      <x:c r="B3748" s="12" t="n">
        <x:v>43105</x:v>
      </x:c>
      <x:c r="C3748" s="18" t="n">
        <x:v>13754</x:v>
      </x:c>
      <x:c r="D3748" s="18" t="n">
        <x:v>57006</x:v>
      </x:c>
      <x:c r="E3748" s="18" t="n">
        <x:v>27.48</x:v>
      </x:c>
      <x:c r="F3748" s="18" t="n">
        <x:v>8.52</x:v>
      </x:c>
      <x:c r="G3748" t="n">
        <x:v>36</x:v>
      </x:c>
      <x:c r="H3748" t="str">
        <x:v>B</x:v>
      </x:c>
      <x:c r="I3748" t="str">
        <x:v>4-6 years</x:v>
      </x:c>
      <x:c r="J3748" t="str">
        <x:v>RENT</x:v>
      </x:c>
      <x:c r="K3748" t="str">
        <x:v>debt_consolidation</x:v>
      </x:c>
      <x:c r="L3748" t="n">
        <x:v>0</x:v>
      </x:c>
      <x:c r="M3748" t="n">
        <x:v>0</x:v>
      </x:c>
      <x:c r="N3748" t="str">
        <x:v>Fully Paid</x:v>
      </x:c>
      <x:c r="O3748" t="str">
        <x:f>IF(D3748="","Unknown",IF(D3748&lt;25000,"&lt;$25k",IF(D3748&lt;50000,"$25k-$50k",IF(D3748&lt;75000,"$50k-$75k",IF(D3748&lt;100000,"$75k-$100k","$100k+")))))</x:f>
        <x:v>$50k-$75k</x:v>
      </x:c>
      <x:c r="P3748" t="str">
        <x:f>IF(E3748="","Unknown",IF(E3748&lt;10,"&lt;10",IF(E3748&lt;20,"10-&lt;20",IF(E3748&lt;25,"20-&lt;25",IF(E3748&lt;35,"25-&lt;35","35+")))))</x:f>
        <x:v>25-&lt;35</x:v>
      </x:c>
    </x:row>
    <x:row r="3749">
      <x:c r="A3749" t="str">
        <x:v>SYN0003748</x:v>
      </x:c>
      <x:c r="B3749" s="12" t="n">
        <x:v>42085</x:v>
      </x:c>
      <x:c r="C3749" s="18" t="n">
        <x:v>11772</x:v>
      </x:c>
      <x:c r="D3749" s="18" t="n">
        <x:v>37970</x:v>
      </x:c>
      <x:c r="E3749" s="18" t="n">
        <x:v>25.47</x:v>
      </x:c>
      <x:c r="F3749" s="18" t="n">
        <x:v>8.26</x:v>
      </x:c>
      <x:c r="G3749" t="n">
        <x:v>36</x:v>
      </x:c>
      <x:c r="H3749" t="str">
        <x:v>B</x:v>
      </x:c>
      <x:c r="I3749" t="str">
        <x:v>1-3 years</x:v>
      </x:c>
      <x:c r="J3749" t="str">
        <x:v>RENT</x:v>
      </x:c>
      <x:c r="K3749" t="str">
        <x:v>debt_consolidation</x:v>
      </x:c>
      <x:c r="L3749" t="n">
        <x:v>1</x:v>
      </x:c>
      <x:c r="M3749" t="n">
        <x:v>1</x:v>
      </x:c>
      <x:c r="N3749" t="str">
        <x:v>Charged Off</x:v>
      </x:c>
      <x:c r="O3749" t="str">
        <x:f>IF(D3749="","Unknown",IF(D3749&lt;25000,"&lt;$25k",IF(D3749&lt;50000,"$25k-$50k",IF(D3749&lt;75000,"$50k-$75k",IF(D3749&lt;100000,"$75k-$100k","$100k+")))))</x:f>
        <x:v>$25k-$50k</x:v>
      </x:c>
      <x:c r="P3749" t="str">
        <x:f>IF(E3749="","Unknown",IF(E3749&lt;10,"&lt;10",IF(E3749&lt;20,"10-&lt;20",IF(E3749&lt;25,"20-&lt;25",IF(E3749&lt;35,"25-&lt;35","35+")))))</x:f>
        <x:v>25-&lt;35</x:v>
      </x:c>
    </x:row>
    <x:row r="3750">
      <x:c r="A3750" t="str">
        <x:v>SYN0003749</x:v>
      </x:c>
      <x:c r="B3750" s="12" t="n">
        <x:v>41365</x:v>
      </x:c>
      <x:c r="C3750" s="18" t="n">
        <x:v>21665</x:v>
      </x:c>
      <x:c r="D3750" s="18" t="n">
        <x:v>43360</x:v>
      </x:c>
      <x:c r="E3750" s="18" t="n">
        <x:v>15.25</x:v>
      </x:c>
      <x:c r="F3750" s="18" t="n">
        <x:v>5.31</x:v>
      </x:c>
      <x:c r="G3750" t="n">
        <x:v>36</x:v>
      </x:c>
      <x:c r="H3750" t="str">
        <x:v>B</x:v>
      </x:c>
      <x:c r="I3750" t="str">
        <x:v>10+ years</x:v>
      </x:c>
      <x:c r="J3750" t="str">
        <x:v>RENT</x:v>
      </x:c>
      <x:c r="K3750" t="str">
        <x:v>home_improvement</x:v>
      </x:c>
      <x:c r="L3750" t="n">
        <x:v>0</x:v>
      </x:c>
      <x:c r="M3750" t="n">
        <x:v>0</x:v>
      </x:c>
      <x:c r="N3750" t="str">
        <x:v>Fully Paid</x:v>
      </x:c>
      <x:c r="O3750" t="str">
        <x:f>IF(D3750="","Unknown",IF(D3750&lt;25000,"&lt;$25k",IF(D3750&lt;50000,"$25k-$50k",IF(D3750&lt;75000,"$50k-$75k",IF(D3750&lt;100000,"$75k-$100k","$100k+")))))</x:f>
        <x:v>$25k-$50k</x:v>
      </x:c>
      <x:c r="P3750" t="str">
        <x:f>IF(E3750="","Unknown",IF(E3750&lt;10,"&lt;10",IF(E3750&lt;20,"10-&lt;20",IF(E3750&lt;25,"20-&lt;25",IF(E3750&lt;35,"25-&lt;35","35+")))))</x:f>
        <x:v>10-&lt;20</x:v>
      </x:c>
    </x:row>
    <x:row r="3751">
      <x:c r="A3751" t="str">
        <x:v>SYN0003750</x:v>
      </x:c>
      <x:c r="B3751" s="12" t="n">
        <x:v>41965</x:v>
      </x:c>
      <x:c r="C3751" s="18" t="n">
        <x:v>7238</x:v>
      </x:c>
      <x:c r="D3751" s="18" t="n">
        <x:v>72295</x:v>
      </x:c>
      <x:c r="E3751" s="18" t="n">
        <x:v>12.48</x:v>
      </x:c>
      <x:c r="F3751" s="18" t="n">
        <x:v>9.71</x:v>
      </x:c>
      <x:c r="G3751" t="n">
        <x:v>36</x:v>
      </x:c>
      <x:c r="H3751" t="str">
        <x:v>B</x:v>
      </x:c>
      <x:c r="I3751" t="str">
        <x:v>7-9 years</x:v>
      </x:c>
      <x:c r="J3751" t="str">
        <x:v>RENT</x:v>
      </x:c>
      <x:c r="K3751" t="str">
        <x:v>major_purchase</x:v>
      </x:c>
      <x:c r="L3751" t="n">
        <x:v>0</x:v>
      </x:c>
      <x:c r="M3751" t="n">
        <x:v>0</x:v>
      </x:c>
      <x:c r="N3751" t="str">
        <x:v>Fully Paid</x:v>
      </x:c>
      <x:c r="O3751" t="str">
        <x:f>IF(D3751="","Unknown",IF(D3751&lt;25000,"&lt;$25k",IF(D3751&lt;50000,"$25k-$50k",IF(D3751&lt;75000,"$50k-$75k",IF(D3751&lt;100000,"$75k-$100k","$100k+")))))</x:f>
        <x:v>$50k-$75k</x:v>
      </x:c>
      <x:c r="P3751" t="str">
        <x:f>IF(E3751="","Unknown",IF(E3751&lt;10,"&lt;10",IF(E3751&lt;20,"10-&lt;20",IF(E3751&lt;25,"20-&lt;25",IF(E3751&lt;35,"25-&lt;35","35+")))))</x:f>
        <x:v>10-&lt;20</x:v>
      </x:c>
    </x:row>
    <x:row r="3752">
      <x:c r="A3752" t="str">
        <x:v>SYN0003751</x:v>
      </x:c>
      <x:c r="B3752" s="12" t="n">
        <x:v>42925</x:v>
      </x:c>
      <x:c r="C3752" s="18" t="n">
        <x:v>13172</x:v>
      </x:c>
      <x:c r="D3752" s="18" t="n">
        <x:v>29088</x:v>
      </x:c>
      <x:c r="E3752" s="18" t="n">
        <x:v>16.69</x:v>
      </x:c>
      <x:c r="F3752" s="18" t="n">
        <x:v>8.73</x:v>
      </x:c>
      <x:c r="G3752" t="n">
        <x:v>36</x:v>
      </x:c>
      <x:c r="H3752" t="str">
        <x:v>B</x:v>
      </x:c>
      <x:c r="I3752" t="str">
        <x:v>1-3 years</x:v>
      </x:c>
      <x:c r="J3752" t="str">
        <x:v>RENT</x:v>
      </x:c>
      <x:c r="K3752" t="str">
        <x:v>home_improvement</x:v>
      </x:c>
      <x:c r="L3752" t="n">
        <x:v>0</x:v>
      </x:c>
      <x:c r="M3752" t="n">
        <x:v>0</x:v>
      </x:c>
      <x:c r="N3752" t="str">
        <x:v>Fully Paid</x:v>
      </x:c>
      <x:c r="O3752" t="str">
        <x:f>IF(D3752="","Unknown",IF(D3752&lt;25000,"&lt;$25k",IF(D3752&lt;50000,"$25k-$50k",IF(D3752&lt;75000,"$50k-$75k",IF(D3752&lt;100000,"$75k-$100k","$100k+")))))</x:f>
        <x:v>$25k-$50k</x:v>
      </x:c>
      <x:c r="P3752" t="str">
        <x:f>IF(E3752="","Unknown",IF(E3752&lt;10,"&lt;10",IF(E3752&lt;20,"10-&lt;20",IF(E3752&lt;25,"20-&lt;25",IF(E3752&lt;35,"25-&lt;35","35+")))))</x:f>
        <x:v>10-&lt;20</x:v>
      </x:c>
    </x:row>
    <x:row r="3753">
      <x:c r="A3753" t="str">
        <x:v>SYN0003752</x:v>
      </x:c>
      <x:c r="B3753" s="12" t="n">
        <x:v>42865</x:v>
      </x:c>
      <x:c r="C3753" s="18" t="n">
        <x:v>40000</x:v>
      </x:c>
      <x:c r="D3753" s="18" t="n">
        <x:v>53666</x:v>
      </x:c>
      <x:c r="E3753" s="18" t="n">
        <x:v>23.93</x:v>
      </x:c>
      <x:c r="F3753" s="18" t="n">
        <x:v>13.16</x:v>
      </x:c>
      <x:c r="G3753" t="n">
        <x:v>36</x:v>
      </x:c>
      <x:c r="H3753" t="str">
        <x:v>C</x:v>
      </x:c>
      <x:c r="I3753" t="str">
        <x:v>10+ years</x:v>
      </x:c>
      <x:c r="J3753" t="str">
        <x:v>MORTGAGE</x:v>
      </x:c>
      <x:c r="K3753" t="str">
        <x:v>home_improvement</x:v>
      </x:c>
      <x:c r="L3753" t="n">
        <x:v>0</x:v>
      </x:c>
      <x:c r="M3753" t="n">
        <x:v>0</x:v>
      </x:c>
      <x:c r="N3753" t="str">
        <x:v>Fully Paid</x:v>
      </x:c>
      <x:c r="O3753" t="str">
        <x:f>IF(D3753="","Unknown",IF(D3753&lt;25000,"&lt;$25k",IF(D3753&lt;50000,"$25k-$50k",IF(D3753&lt;75000,"$50k-$75k",IF(D3753&lt;100000,"$75k-$100k","$100k+")))))</x:f>
        <x:v>$50k-$75k</x:v>
      </x:c>
      <x:c r="P3753" t="str">
        <x:f>IF(E3753="","Unknown",IF(E3753&lt;10,"&lt;10",IF(E3753&lt;20,"10-&lt;20",IF(E3753&lt;25,"20-&lt;25",IF(E3753&lt;35,"25-&lt;35","35+")))))</x:f>
        <x:v>20-&lt;25</x:v>
      </x:c>
    </x:row>
    <x:row r="3754">
      <x:c r="A3754" t="str">
        <x:v>SYN0003753</x:v>
      </x:c>
      <x:c r="B3754" s="12" t="n">
        <x:v>42715</x:v>
      </x:c>
      <x:c r="C3754" s="18" t="n">
        <x:v>19260</x:v>
      </x:c>
      <x:c r="D3754" s="18" t="n">
        <x:v>34482</x:v>
      </x:c>
      <x:c r="E3754" s="18" t="n">
        <x:v>22.42</x:v>
      </x:c>
      <x:c r="F3754" s="18" t="n">
        <x:v>16.5</x:v>
      </x:c>
      <x:c r="G3754" t="n">
        <x:v>60</x:v>
      </x:c>
      <x:c r="H3754" t="str">
        <x:v>D</x:v>
      </x:c>
      <x:c r="I3754" t="str">
        <x:v>4-6 years</x:v>
      </x:c>
      <x:c r="J3754" t="str">
        <x:v>MORTGAGE</x:v>
      </x:c>
      <x:c r="K3754" t="str">
        <x:v>debt_consolidation</x:v>
      </x:c>
      <x:c r="L3754" t="n">
        <x:v>2</x:v>
      </x:c>
      <x:c r="M3754" t="n">
        <x:v>0</x:v>
      </x:c>
      <x:c r="N3754" t="str">
        <x:v>Fully Paid</x:v>
      </x:c>
      <x:c r="O3754" t="str">
        <x:f>IF(D3754="","Unknown",IF(D3754&lt;25000,"&lt;$25k",IF(D3754&lt;50000,"$25k-$50k",IF(D3754&lt;75000,"$50k-$75k",IF(D3754&lt;100000,"$75k-$100k","$100k+")))))</x:f>
        <x:v>$25k-$50k</x:v>
      </x:c>
      <x:c r="P3754" t="str">
        <x:f>IF(E3754="","Unknown",IF(E3754&lt;10,"&lt;10",IF(E3754&lt;20,"10-&lt;20",IF(E3754&lt;25,"20-&lt;25",IF(E3754&lt;35,"25-&lt;35","35+")))))</x:f>
        <x:v>20-&lt;25</x:v>
      </x:c>
    </x:row>
    <x:row r="3755">
      <x:c r="A3755" t="str">
        <x:v>SYN0003754</x:v>
      </x:c>
      <x:c r="B3755" s="12" t="n">
        <x:v>41995</x:v>
      </x:c>
      <x:c r="C3755" s="18" t="n">
        <x:v>36998</x:v>
      </x:c>
      <x:c r="D3755" s="18" t="n">
        <x:v>54507</x:v>
      </x:c>
      <x:c r="E3755" s="18" t="n">
        <x:v>33.2</x:v>
      </x:c>
      <x:c r="F3755" s="18" t="n">
        <x:v>24.35</x:v>
      </x:c>
      <x:c r="G3755" t="n">
        <x:v>36</x:v>
      </x:c>
      <x:c r="H3755" t="str">
        <x:v>E</x:v>
      </x:c>
      <x:c r="I3755" t="str">
        <x:v>4-6 years</x:v>
      </x:c>
      <x:c r="J3755" t="str">
        <x:v>RENT</x:v>
      </x:c>
      <x:c r="K3755" t="str">
        <x:v>debt_consolidation</x:v>
      </x:c>
      <x:c r="L3755" t="n">
        <x:v>1</x:v>
      </x:c>
      <x:c r="M3755" t="n">
        <x:v>1</x:v>
      </x:c>
      <x:c r="N3755" t="str">
        <x:v>Charged Off</x:v>
      </x:c>
      <x:c r="O3755" t="str">
        <x:f>IF(D3755="","Unknown",IF(D3755&lt;25000,"&lt;$25k",IF(D3755&lt;50000,"$25k-$50k",IF(D3755&lt;75000,"$50k-$75k",IF(D3755&lt;100000,"$75k-$100k","$100k+")))))</x:f>
        <x:v>$50k-$75k</x:v>
      </x:c>
      <x:c r="P3755" t="str">
        <x:f>IF(E3755="","Unknown",IF(E3755&lt;10,"&lt;10",IF(E3755&lt;20,"10-&lt;20",IF(E3755&lt;25,"20-&lt;25",IF(E3755&lt;35,"25-&lt;35","35+")))))</x:f>
        <x:v>25-&lt;35</x:v>
      </x:c>
    </x:row>
    <x:row r="3756">
      <x:c r="A3756" t="str">
        <x:v>SYN0003755</x:v>
      </x:c>
      <x:c r="B3756" s="12" t="n">
        <x:v>43075</x:v>
      </x:c>
      <x:c r="C3756" s="18" t="n">
        <x:v>13291</x:v>
      </x:c>
      <x:c r="D3756" s="18" t="n">
        <x:v>30534</x:v>
      </x:c>
      <x:c r="E3756" s="18" t="n">
        <x:v>24.91</x:v>
      </x:c>
      <x:c r="F3756" s="18" t="n">
        <x:v>13.3</x:v>
      </x:c>
      <x:c r="G3756" t="n">
        <x:v>36</x:v>
      </x:c>
      <x:c r="H3756" t="str">
        <x:v>C</x:v>
      </x:c>
      <x:c r="I3756" t="str">
        <x:v>4-6 years</x:v>
      </x:c>
      <x:c r="J3756" t="str">
        <x:v>RENT</x:v>
      </x:c>
      <x:c r="K3756" t="str">
        <x:v>debt_consolidation</x:v>
      </x:c>
      <x:c r="L3756" t="n">
        <x:v>0</x:v>
      </x:c>
      <x:c r="M3756" t="n">
        <x:v>0</x:v>
      </x:c>
      <x:c r="N3756" t="str">
        <x:v>Fully Paid</x:v>
      </x:c>
      <x:c r="O3756" t="str">
        <x:f>IF(D3756="","Unknown",IF(D3756&lt;25000,"&lt;$25k",IF(D3756&lt;50000,"$25k-$50k",IF(D3756&lt;75000,"$50k-$75k",IF(D3756&lt;100000,"$75k-$100k","$100k+")))))</x:f>
        <x:v>$25k-$50k</x:v>
      </x:c>
      <x:c r="P3756" t="str">
        <x:f>IF(E3756="","Unknown",IF(E3756&lt;10,"&lt;10",IF(E3756&lt;20,"10-&lt;20",IF(E3756&lt;25,"20-&lt;25",IF(E3756&lt;35,"25-&lt;35","35+")))))</x:f>
        <x:v>20-&lt;25</x:v>
      </x:c>
    </x:row>
    <x:row r="3757">
      <x:c r="A3757" t="str">
        <x:v>SYN0003756</x:v>
      </x:c>
      <x:c r="B3757" s="12" t="n">
        <x:v>42145</x:v>
      </x:c>
      <x:c r="C3757" s="18" t="n">
        <x:v>13055</x:v>
      </x:c>
      <x:c r="D3757" s="18" t="n">
        <x:v>53754</x:v>
      </x:c>
      <x:c r="E3757" s="18" t="n">
        <x:v>10.71</x:v>
      </x:c>
      <x:c r="F3757" s="18" t="n">
        <x:v>18.78</x:v>
      </x:c>
      <x:c r="G3757" t="n">
        <x:v>60</x:v>
      </x:c>
      <x:c r="H3757" t="str">
        <x:v>E</x:v>
      </x:c>
      <x:c r="I3757" t="str">
        <x:v>7-9 years</x:v>
      </x:c>
      <x:c r="J3757" t="str">
        <x:v>MORTGAGE</x:v>
      </x:c>
      <x:c r="K3757" t="str">
        <x:v>debt_consolidation</x:v>
      </x:c>
      <x:c r="L3757" t="n">
        <x:v>2</x:v>
      </x:c>
      <x:c r="M3757" t="n">
        <x:v>0</x:v>
      </x:c>
      <x:c r="N3757" t="str">
        <x:v>Fully Paid</x:v>
      </x:c>
      <x:c r="O3757" t="str">
        <x:f>IF(D3757="","Unknown",IF(D3757&lt;25000,"&lt;$25k",IF(D3757&lt;50000,"$25k-$50k",IF(D3757&lt;75000,"$50k-$75k",IF(D3757&lt;100000,"$75k-$100k","$100k+")))))</x:f>
        <x:v>$50k-$75k</x:v>
      </x:c>
      <x:c r="P3757" t="str">
        <x:f>IF(E3757="","Unknown",IF(E3757&lt;10,"&lt;10",IF(E3757&lt;20,"10-&lt;20",IF(E3757&lt;25,"20-&lt;25",IF(E3757&lt;35,"25-&lt;35","35+")))))</x:f>
        <x:v>10-&lt;20</x:v>
      </x:c>
    </x:row>
    <x:row r="3758">
      <x:c r="A3758" t="str">
        <x:v>SYN0003757</x:v>
      </x:c>
      <x:c r="B3758" s="12" t="n">
        <x:v>41485</x:v>
      </x:c>
      <x:c r="C3758" s="18" t="n">
        <x:v>31086</x:v>
      </x:c>
      <x:c r="D3758" s="18" t="n">
        <x:v>75492</x:v>
      </x:c>
      <x:c r="E3758" s="18" t="n">
        <x:v>32.3</x:v>
      </x:c>
      <x:c r="F3758" s="18" t="n">
        <x:v>11.86</x:v>
      </x:c>
      <x:c r="G3758" t="n">
        <x:v>36</x:v>
      </x:c>
      <x:c r="H3758" t="str">
        <x:v>C</x:v>
      </x:c>
      <x:c r="I3758" t="str">
        <x:v>1-3 years</x:v>
      </x:c>
      <x:c r="J3758" t="str">
        <x:v>RENT</x:v>
      </x:c>
      <x:c r="K3758" t="str">
        <x:v>debt_consolidation</x:v>
      </x:c>
      <x:c r="L3758" t="n">
        <x:v>0</x:v>
      </x:c>
      <x:c r="M3758" t="n">
        <x:v>0</x:v>
      </x:c>
      <x:c r="N3758" t="str">
        <x:v>Fully Paid</x:v>
      </x:c>
      <x:c r="O3758" t="str">
        <x:f>IF(D3758="","Unknown",IF(D3758&lt;25000,"&lt;$25k",IF(D3758&lt;50000,"$25k-$50k",IF(D3758&lt;75000,"$50k-$75k",IF(D3758&lt;100000,"$75k-$100k","$100k+")))))</x:f>
        <x:v>$75k-$100k</x:v>
      </x:c>
      <x:c r="P3758" t="str">
        <x:f>IF(E3758="","Unknown",IF(E3758&lt;10,"&lt;10",IF(E3758&lt;20,"10-&lt;20",IF(E3758&lt;25,"20-&lt;25",IF(E3758&lt;35,"25-&lt;35","35+")))))</x:f>
        <x:v>25-&lt;35</x:v>
      </x:c>
    </x:row>
    <x:row r="3759">
      <x:c r="A3759" t="str">
        <x:v>SYN0003758</x:v>
      </x:c>
      <x:c r="B3759" s="12" t="n">
        <x:v>43015</x:v>
      </x:c>
      <x:c r="C3759" s="18" t="n">
        <x:v>13637</x:v>
      </x:c>
      <x:c r="D3759" s="18" t="n">
        <x:v>78968</x:v>
      </x:c>
      <x:c r="E3759" s="18" t="n">
        <x:v>20.45</x:v>
      </x:c>
      <x:c r="F3759" s="18" t="n">
        <x:v>10.19</x:v>
      </x:c>
      <x:c r="G3759" t="n">
        <x:v>36</x:v>
      </x:c>
      <x:c r="H3759" t="str">
        <x:v>B</x:v>
      </x:c>
      <x:c r="I3759" t="str">
        <x:v>10+ years</x:v>
      </x:c>
      <x:c r="J3759" t="str">
        <x:v>MORTGAGE</x:v>
      </x:c>
      <x:c r="K3759" t="str">
        <x:v>credit_card</x:v>
      </x:c>
      <x:c r="L3759" t="n">
        <x:v>0</x:v>
      </x:c>
      <x:c r="M3759" t="n">
        <x:v>0</x:v>
      </x:c>
      <x:c r="N3759" t="str">
        <x:v>Fully Paid</x:v>
      </x:c>
      <x:c r="O3759" t="str">
        <x:f>IF(D3759="","Unknown",IF(D3759&lt;25000,"&lt;$25k",IF(D3759&lt;50000,"$25k-$50k",IF(D3759&lt;75000,"$50k-$75k",IF(D3759&lt;100000,"$75k-$100k","$100k+")))))</x:f>
        <x:v>$75k-$100k</x:v>
      </x:c>
      <x:c r="P3759" t="str">
        <x:f>IF(E3759="","Unknown",IF(E3759&lt;10,"&lt;10",IF(E3759&lt;20,"10-&lt;20",IF(E3759&lt;25,"20-&lt;25",IF(E3759&lt;35,"25-&lt;35","35+")))))</x:f>
        <x:v>20-&lt;25</x:v>
      </x:c>
    </x:row>
    <x:row r="3760">
      <x:c r="A3760" t="str">
        <x:v>SYN0003759</x:v>
      </x:c>
      <x:c r="B3760" s="12" t="n">
        <x:v>42805</x:v>
      </x:c>
      <x:c r="C3760" s="18" t="n">
        <x:v>29290</x:v>
      </x:c>
      <x:c r="D3760" s="18" t="n">
        <x:v>19639</x:v>
      </x:c>
      <x:c r="E3760" s="18" t="n">
        <x:v>38.04</x:v>
      </x:c>
      <x:c r="F3760" s="18" t="n">
        <x:v>25.91</x:v>
      </x:c>
      <x:c r="G3760" t="n">
        <x:v>36</x:v>
      </x:c>
      <x:c r="H3760" t="str">
        <x:v>G</x:v>
      </x:c>
      <x:c r="I3760" t="str">
        <x:v>&lt;1 year</x:v>
      </x:c>
      <x:c r="J3760" t="str">
        <x:v>MORTGAGE</x:v>
      </x:c>
      <x:c r="K3760" t="str">
        <x:v>debt_consolidation</x:v>
      </x:c>
      <x:c r="L3760" t="n">
        <x:v>2</x:v>
      </x:c>
      <x:c r="M3760" t="n">
        <x:v>1</x:v>
      </x:c>
      <x:c r="N3760" t="str">
        <x:v>Charged Off</x:v>
      </x:c>
      <x:c r="O3760" t="str">
        <x:f>IF(D3760="","Unknown",IF(D3760&lt;25000,"&lt;$25k",IF(D3760&lt;50000,"$25k-$50k",IF(D3760&lt;75000,"$50k-$75k",IF(D3760&lt;100000,"$75k-$100k","$100k+")))))</x:f>
        <x:v>&lt;$25k</x:v>
      </x:c>
      <x:c r="P3760" t="str">
        <x:f>IF(E3760="","Unknown",IF(E3760&lt;10,"&lt;10",IF(E3760&lt;20,"10-&lt;20",IF(E3760&lt;25,"20-&lt;25",IF(E3760&lt;35,"25-&lt;35","35+")))))</x:f>
        <x:v>35+</x:v>
      </x:c>
    </x:row>
    <x:row r="3761">
      <x:c r="A3761" t="str">
        <x:v>SYN0003760</x:v>
      </x:c>
      <x:c r="B3761" s="12" t="n">
        <x:v>41845</x:v>
      </x:c>
      <x:c r="C3761" s="18" t="n">
        <x:v>11315</x:v>
      </x:c>
      <x:c r="D3761" s="18" t="n">
        <x:v>36560</x:v>
      </x:c>
      <x:c r="E3761" s="18" t="n">
        <x:v>1.05</x:v>
      </x:c>
      <x:c r="F3761" s="18" t="n">
        <x:v>8.02</x:v>
      </x:c>
      <x:c r="G3761" t="n">
        <x:v>36</x:v>
      </x:c>
      <x:c r="H3761" t="str">
        <x:v>B</x:v>
      </x:c>
      <x:c r="I3761" t="str">
        <x:v>10+ years</x:v>
      </x:c>
      <x:c r="J3761" t="str">
        <x:v>MORTGAGE</x:v>
      </x:c>
      <x:c r="K3761" t="str">
        <x:v>other</x:v>
      </x:c>
      <x:c r="L3761" t="n">
        <x:v>1</x:v>
      </x:c>
      <x:c r="M3761" t="n">
        <x:v>0</x:v>
      </x:c>
      <x:c r="N3761" t="str">
        <x:v>Fully Paid</x:v>
      </x:c>
      <x:c r="O3761" t="str">
        <x:f>IF(D3761="","Unknown",IF(D3761&lt;25000,"&lt;$25k",IF(D3761&lt;50000,"$25k-$50k",IF(D3761&lt;75000,"$50k-$75k",IF(D3761&lt;100000,"$75k-$100k","$100k+")))))</x:f>
        <x:v>$25k-$50k</x:v>
      </x:c>
      <x:c r="P3761" t="str">
        <x:f>IF(E3761="","Unknown",IF(E3761&lt;10,"&lt;10",IF(E3761&lt;20,"10-&lt;20",IF(E3761&lt;25,"20-&lt;25",IF(E3761&lt;35,"25-&lt;35","35+")))))</x:f>
        <x:v>&lt;10</x:v>
      </x:c>
    </x:row>
    <x:row r="3762">
      <x:c r="A3762" t="str">
        <x:v>SYN0003761</x:v>
      </x:c>
      <x:c r="B3762" s="12" t="n">
        <x:v>41875</x:v>
      </x:c>
      <x:c r="C3762" s="18" t="n">
        <x:v>10171</x:v>
      </x:c>
      <x:c r="D3762" s="18" t="n">
        <x:v>133419</x:v>
      </x:c>
      <x:c r="E3762" s="18" t="n">
        <x:v>18.9</x:v>
      </x:c>
      <x:c r="F3762" s="18" t="n">
        <x:v>13.31</x:v>
      </x:c>
      <x:c r="G3762" t="n">
        <x:v>60</x:v>
      </x:c>
      <x:c r="H3762" t="str">
        <x:v>C</x:v>
      </x:c>
      <x:c r="I3762" t="str">
        <x:v>4-6 years</x:v>
      </x:c>
      <x:c r="J3762" t="str">
        <x:v>OWN</x:v>
      </x:c>
      <x:c r="K3762" t="str">
        <x:v>debt_consolidation</x:v>
      </x:c>
      <x:c r="L3762" t="n">
        <x:v>1</x:v>
      </x:c>
      <x:c r="M3762" t="n">
        <x:v>0</x:v>
      </x:c>
      <x:c r="N3762" t="str">
        <x:v>Fully Paid</x:v>
      </x:c>
      <x:c r="O3762" t="str">
        <x:f>IF(D3762="","Unknown",IF(D3762&lt;25000,"&lt;$25k",IF(D3762&lt;50000,"$25k-$50k",IF(D3762&lt;75000,"$50k-$75k",IF(D3762&lt;100000,"$75k-$100k","$100k+")))))</x:f>
        <x:v>$100k+</x:v>
      </x:c>
      <x:c r="P3762" t="str">
        <x:f>IF(E3762="","Unknown",IF(E3762&lt;10,"&lt;10",IF(E3762&lt;20,"10-&lt;20",IF(E3762&lt;25,"20-&lt;25",IF(E3762&lt;35,"25-&lt;35","35+")))))</x:f>
        <x:v>10-&lt;20</x:v>
      </x:c>
    </x:row>
    <x:row r="3763">
      <x:c r="A3763" t="str">
        <x:v>SYN0003762</x:v>
      </x:c>
      <x:c r="B3763" s="12" t="n">
        <x:v>43345</x:v>
      </x:c>
      <x:c r="C3763" s="18" t="n">
        <x:v>16628</x:v>
      </x:c>
      <x:c r="D3763" s="18" t="n">
        <x:v>39964</x:v>
      </x:c>
      <x:c r="E3763" s="18" t="n">
        <x:v>37.42</x:v>
      </x:c>
      <x:c r="F3763" s="18" t="n">
        <x:v>8.84</x:v>
      </x:c>
      <x:c r="G3763" t="n">
        <x:v>36</x:v>
      </x:c>
      <x:c r="H3763" t="str">
        <x:v>C</x:v>
      </x:c>
      <x:c r="I3763" t="str">
        <x:v>1-3 years</x:v>
      </x:c>
      <x:c r="J3763" t="str">
        <x:v>MORTGAGE</x:v>
      </x:c>
      <x:c r="K3763" t="str">
        <x:v>debt_consolidation</x:v>
      </x:c>
      <x:c r="L3763" t="n">
        <x:v>0</x:v>
      </x:c>
      <x:c r="M3763" t="n">
        <x:v>0</x:v>
      </x:c>
      <x:c r="N3763" t="str">
        <x:v>Fully Paid</x:v>
      </x:c>
      <x:c r="O3763" t="str">
        <x:f>IF(D3763="","Unknown",IF(D3763&lt;25000,"&lt;$25k",IF(D3763&lt;50000,"$25k-$50k",IF(D3763&lt;75000,"$50k-$75k",IF(D3763&lt;100000,"$75k-$100k","$100k+")))))</x:f>
        <x:v>$25k-$50k</x:v>
      </x:c>
      <x:c r="P3763" t="str">
        <x:f>IF(E3763="","Unknown",IF(E3763&lt;10,"&lt;10",IF(E3763&lt;20,"10-&lt;20",IF(E3763&lt;25,"20-&lt;25",IF(E3763&lt;35,"25-&lt;35","35+")))))</x:f>
        <x:v>35+</x:v>
      </x:c>
    </x:row>
    <x:row r="3764">
      <x:c r="A3764" t="str">
        <x:v>SYN0003763</x:v>
      </x:c>
      <x:c r="B3764" s="12" t="n">
        <x:v>41335</x:v>
      </x:c>
      <x:c r="C3764" s="18" t="n">
        <x:v>18752</x:v>
      </x:c>
      <x:c r="D3764" s="18" t="n">
        <x:v>110008</x:v>
      </x:c>
      <x:c r="E3764" s="18" t="n">
        <x:v>17.98</x:v>
      </x:c>
      <x:c r="F3764" s="18" t="n">
        <x:v>8.67</x:v>
      </x:c>
      <x:c r="G3764" t="n">
        <x:v>60</x:v>
      </x:c>
      <x:c r="H3764" t="str">
        <x:v>A</x:v>
      </x:c>
      <x:c r="I3764" t="str">
        <x:v>10+ years</x:v>
      </x:c>
      <x:c r="J3764" t="str">
        <x:v>MORTGAGE</x:v>
      </x:c>
      <x:c r="K3764" t="str">
        <x:v>debt_consolidation</x:v>
      </x:c>
      <x:c r="L3764" t="n">
        <x:v>0</x:v>
      </x:c>
      <x:c r="M3764" t="n">
        <x:v>0</x:v>
      </x:c>
      <x:c r="N3764" t="str">
        <x:v>Fully Paid</x:v>
      </x:c>
      <x:c r="O3764" t="str">
        <x:f>IF(D3764="","Unknown",IF(D3764&lt;25000,"&lt;$25k",IF(D3764&lt;50000,"$25k-$50k",IF(D3764&lt;75000,"$50k-$75k",IF(D3764&lt;100000,"$75k-$100k","$100k+")))))</x:f>
        <x:v>$100k+</x:v>
      </x:c>
      <x:c r="P3764" t="str">
        <x:f>IF(E3764="","Unknown",IF(E3764&lt;10,"&lt;10",IF(E3764&lt;20,"10-&lt;20",IF(E3764&lt;25,"20-&lt;25",IF(E3764&lt;35,"25-&lt;35","35+")))))</x:f>
        <x:v>10-&lt;20</x:v>
      </x:c>
    </x:row>
    <x:row r="3765">
      <x:c r="A3765" t="str">
        <x:v>SYN0003764</x:v>
      </x:c>
      <x:c r="B3765" s="12" t="n">
        <x:v>41785</x:v>
      </x:c>
      <x:c r="C3765" s="18" t="n">
        <x:v>18382</x:v>
      </x:c>
      <x:c r="D3765" s="18" t="n">
        <x:v>98961</x:v>
      </x:c>
      <x:c r="E3765" s="18" t="n">
        <x:v>8.43</x:v>
      </x:c>
      <x:c r="F3765" s="18" t="n">
        <x:v>7.86</x:v>
      </x:c>
      <x:c r="G3765" t="n">
        <x:v>60</x:v>
      </x:c>
      <x:c r="H3765" t="str">
        <x:v>B</x:v>
      </x:c>
      <x:c r="I3765" t="str">
        <x:v>&lt;1 year</x:v>
      </x:c>
      <x:c r="J3765" t="str">
        <x:v>MORTGAGE</x:v>
      </x:c>
      <x:c r="K3765" t="str">
        <x:v>debt_consolidation</x:v>
      </x:c>
      <x:c r="L3765" t="n">
        <x:v>0</x:v>
      </x:c>
      <x:c r="M3765" t="n">
        <x:v>0</x:v>
      </x:c>
      <x:c r="N3765" t="str">
        <x:v>Fully Paid</x:v>
      </x:c>
      <x:c r="O3765" t="str">
        <x:f>IF(D3765="","Unknown",IF(D3765&lt;25000,"&lt;$25k",IF(D3765&lt;50000,"$25k-$50k",IF(D3765&lt;75000,"$50k-$75k",IF(D3765&lt;100000,"$75k-$100k","$100k+")))))</x:f>
        <x:v>$75k-$100k</x:v>
      </x:c>
      <x:c r="P3765" t="str">
        <x:f>IF(E3765="","Unknown",IF(E3765&lt;10,"&lt;10",IF(E3765&lt;20,"10-&lt;20",IF(E3765&lt;25,"20-&lt;25",IF(E3765&lt;35,"25-&lt;35","35+")))))</x:f>
        <x:v>&lt;10</x:v>
      </x:c>
    </x:row>
    <x:row r="3766">
      <x:c r="A3766" t="str">
        <x:v>SYN0003765</x:v>
      </x:c>
      <x:c r="B3766" s="12" t="n">
        <x:v>41335</x:v>
      </x:c>
      <x:c r="C3766" s="18" t="n">
        <x:v>7102</x:v>
      </x:c>
      <x:c r="D3766" s="18" t="n">
        <x:v>35086</x:v>
      </x:c>
      <x:c r="E3766" s="18" t="n">
        <x:v>36.53</x:v>
      </x:c>
      <x:c r="F3766" s="18" t="n">
        <x:v>17.62</x:v>
      </x:c>
      <x:c r="G3766" t="n">
        <x:v>36</x:v>
      </x:c>
      <x:c r="H3766" t="str">
        <x:v>E</x:v>
      </x:c>
      <x:c r="I3766" t="str">
        <x:v>&lt;1 year</x:v>
      </x:c>
      <x:c r="J3766" t="str">
        <x:v>RENT</x:v>
      </x:c>
      <x:c r="K3766" t="str">
        <x:v>credit_card</x:v>
      </x:c>
      <x:c r="L3766" t="n">
        <x:v>2</x:v>
      </x:c>
      <x:c r="M3766" t="n">
        <x:v>0</x:v>
      </x:c>
      <x:c r="N3766" t="str">
        <x:v>Fully Paid</x:v>
      </x:c>
      <x:c r="O3766" t="str">
        <x:f>IF(D3766="","Unknown",IF(D3766&lt;25000,"&lt;$25k",IF(D3766&lt;50000,"$25k-$50k",IF(D3766&lt;75000,"$50k-$75k",IF(D3766&lt;100000,"$75k-$100k","$100k+")))))</x:f>
        <x:v>$25k-$50k</x:v>
      </x:c>
      <x:c r="P3766" t="str">
        <x:f>IF(E3766="","Unknown",IF(E3766&lt;10,"&lt;10",IF(E3766&lt;20,"10-&lt;20",IF(E3766&lt;25,"20-&lt;25",IF(E3766&lt;35,"25-&lt;35","35+")))))</x:f>
        <x:v>35+</x:v>
      </x:c>
    </x:row>
    <x:row r="3767">
      <x:c r="A3767" t="str">
        <x:v>SYN0003766</x:v>
      </x:c>
      <x:c r="B3767" s="12" t="n">
        <x:v>42925</x:v>
      </x:c>
      <x:c r="C3767" s="18" t="n">
        <x:v>12381</x:v>
      </x:c>
      <x:c r="D3767" s="18" t="n">
        <x:v>46987</x:v>
      </x:c>
      <x:c r="E3767" s="18" t="n">
        <x:v>13</x:v>
      </x:c>
      <x:c r="F3767" s="18" t="n">
        <x:v>15.28</x:v>
      </x:c>
      <x:c r="G3767" t="n">
        <x:v>60</x:v>
      </x:c>
      <x:c r="H3767" t="str">
        <x:v>D</x:v>
      </x:c>
      <x:c r="I3767" t="str">
        <x:v>1-3 years</x:v>
      </x:c>
      <x:c r="J3767" t="str">
        <x:v>RENT</x:v>
      </x:c>
      <x:c r="K3767" t="str">
        <x:v>debt_consolidation</x:v>
      </x:c>
      <x:c r="L3767" t="n">
        <x:v>0</x:v>
      </x:c>
      <x:c r="M3767" t="n">
        <x:v>1</x:v>
      </x:c>
      <x:c r="N3767" t="str">
        <x:v>Charged Off</x:v>
      </x:c>
      <x:c r="O3767" t="str">
        <x:f>IF(D3767="","Unknown",IF(D3767&lt;25000,"&lt;$25k",IF(D3767&lt;50000,"$25k-$50k",IF(D3767&lt;75000,"$50k-$75k",IF(D3767&lt;100000,"$75k-$100k","$100k+")))))</x:f>
        <x:v>$25k-$50k</x:v>
      </x:c>
      <x:c r="P3767" t="str">
        <x:f>IF(E3767="","Unknown",IF(E3767&lt;10,"&lt;10",IF(E3767&lt;20,"10-&lt;20",IF(E3767&lt;25,"20-&lt;25",IF(E3767&lt;35,"25-&lt;35","35+")))))</x:f>
        <x:v>10-&lt;20</x:v>
      </x:c>
    </x:row>
    <x:row r="3768">
      <x:c r="A3768" t="str">
        <x:v>SYN0003767</x:v>
      </x:c>
      <x:c r="B3768" s="12" t="n">
        <x:v>42355</x:v>
      </x:c>
      <x:c r="C3768" s="18" t="n">
        <x:v>13615</x:v>
      </x:c>
      <x:c r="D3768" s="18" t="n">
        <x:v>47750</x:v>
      </x:c>
      <x:c r="E3768" s="18" t="n">
        <x:v>22.34</x:v>
      </x:c>
      <x:c r="F3768" s="18" t="n">
        <x:v>10.57</x:v>
      </x:c>
      <x:c r="G3768" t="n">
        <x:v>36</x:v>
      </x:c>
      <x:c r="H3768" t="str">
        <x:v>C</x:v>
      </x:c>
      <x:c r="I3768" t="str">
        <x:v>7-9 years</x:v>
      </x:c>
      <x:c r="J3768" t="str">
        <x:v>RENT</x:v>
      </x:c>
      <x:c r="K3768" t="str">
        <x:v>other</x:v>
      </x:c>
      <x:c r="L3768" t="n">
        <x:v>0</x:v>
      </x:c>
      <x:c r="M3768" t="n">
        <x:v>0</x:v>
      </x:c>
      <x:c r="N3768" t="str">
        <x:v>Fully Paid</x:v>
      </x:c>
      <x:c r="O3768" t="str">
        <x:f>IF(D3768="","Unknown",IF(D3768&lt;25000,"&lt;$25k",IF(D3768&lt;50000,"$25k-$50k",IF(D3768&lt;75000,"$50k-$75k",IF(D3768&lt;100000,"$75k-$100k","$100k+")))))</x:f>
        <x:v>$25k-$50k</x:v>
      </x:c>
      <x:c r="P3768" t="str">
        <x:f>IF(E3768="","Unknown",IF(E3768&lt;10,"&lt;10",IF(E3768&lt;20,"10-&lt;20",IF(E3768&lt;25,"20-&lt;25",IF(E3768&lt;35,"25-&lt;35","35+")))))</x:f>
        <x:v>20-&lt;25</x:v>
      </x:c>
    </x:row>
    <x:row r="3769">
      <x:c r="A3769" t="str">
        <x:v>SYN0003768</x:v>
      </x:c>
      <x:c r="B3769" s="12" t="n">
        <x:v>42685</x:v>
      </x:c>
      <x:c r="C3769" s="18" t="n">
        <x:v>12963</x:v>
      </x:c>
      <x:c r="D3769" s="18" t="n">
        <x:v>58964</x:v>
      </x:c>
      <x:c r="E3769" s="18" t="n">
        <x:v>14.92</x:v>
      </x:c>
      <x:c r="F3769" s="18" t="n">
        <x:v>7.67</x:v>
      </x:c>
      <x:c r="G3769" t="n">
        <x:v>36</x:v>
      </x:c>
      <x:c r="H3769" t="str">
        <x:v>A</x:v>
      </x:c>
      <x:c r="I3769" t="str">
        <x:v>7-9 years</x:v>
      </x:c>
      <x:c r="J3769" t="str">
        <x:v>MORTGAGE</x:v>
      </x:c>
      <x:c r="K3769" t="str">
        <x:v>debt_consolidation</x:v>
      </x:c>
      <x:c r="L3769" t="n">
        <x:v>0</x:v>
      </x:c>
      <x:c r="M3769" t="n">
        <x:v>0</x:v>
      </x:c>
      <x:c r="N3769" t="str">
        <x:v>Fully Paid</x:v>
      </x:c>
      <x:c r="O3769" t="str">
        <x:f>IF(D3769="","Unknown",IF(D3769&lt;25000,"&lt;$25k",IF(D3769&lt;50000,"$25k-$50k",IF(D3769&lt;75000,"$50k-$75k",IF(D3769&lt;100000,"$75k-$100k","$100k+")))))</x:f>
        <x:v>$50k-$75k</x:v>
      </x:c>
      <x:c r="P3769" t="str">
        <x:f>IF(E3769="","Unknown",IF(E3769&lt;10,"&lt;10",IF(E3769&lt;20,"10-&lt;20",IF(E3769&lt;25,"20-&lt;25",IF(E3769&lt;35,"25-&lt;35","35+")))))</x:f>
        <x:v>10-&lt;20</x:v>
      </x:c>
    </x:row>
    <x:row r="3770">
      <x:c r="A3770" t="str">
        <x:v>SYN0003769</x:v>
      </x:c>
      <x:c r="B3770" s="12" t="n">
        <x:v>42025</x:v>
      </x:c>
      <x:c r="C3770" s="18" t="n">
        <x:v>7228</x:v>
      </x:c>
      <x:c r="D3770" s="18" t="n">
        <x:v>23496</x:v>
      </x:c>
      <x:c r="E3770" s="18" t="n">
        <x:v>10.03</x:v>
      </x:c>
      <x:c r="F3770" s="18" t="n">
        <x:v>11.32</x:v>
      </x:c>
      <x:c r="G3770" t="n">
        <x:v>36</x:v>
      </x:c>
      <x:c r="H3770" t="str">
        <x:v>B</x:v>
      </x:c>
      <x:c r="I3770" t="str">
        <x:v>4-6 years</x:v>
      </x:c>
      <x:c r="J3770" t="str">
        <x:v>MORTGAGE</x:v>
      </x:c>
      <x:c r="K3770" t="str">
        <x:v>debt_consolidation</x:v>
      </x:c>
      <x:c r="L3770" t="n">
        <x:v>0</x:v>
      </x:c>
      <x:c r="M3770" t="n">
        <x:v>0</x:v>
      </x:c>
      <x:c r="N3770" t="str">
        <x:v>Fully Paid</x:v>
      </x:c>
      <x:c r="O3770" t="str">
        <x:f>IF(D3770="","Unknown",IF(D3770&lt;25000,"&lt;$25k",IF(D3770&lt;50000,"$25k-$50k",IF(D3770&lt;75000,"$50k-$75k",IF(D3770&lt;100000,"$75k-$100k","$100k+")))))</x:f>
        <x:v>&lt;$25k</x:v>
      </x:c>
      <x:c r="P3770" t="str">
        <x:f>IF(E3770="","Unknown",IF(E3770&lt;10,"&lt;10",IF(E3770&lt;20,"10-&lt;20",IF(E3770&lt;25,"20-&lt;25",IF(E3770&lt;35,"25-&lt;35","35+")))))</x:f>
        <x:v>10-&lt;20</x:v>
      </x:c>
    </x:row>
    <x:row r="3771">
      <x:c r="A3771" t="str">
        <x:v>SYN0003770</x:v>
      </x:c>
      <x:c r="B3771" s="12" t="n">
        <x:v>41605</x:v>
      </x:c>
      <x:c r="C3771" s="18" t="n">
        <x:v>9252</x:v>
      </x:c>
      <x:c r="D3771" s="18" t="n">
        <x:v>30504</x:v>
      </x:c>
      <x:c r="E3771" s="18" t="n">
        <x:v>17.96</x:v>
      </x:c>
      <x:c r="F3771" s="18" t="n">
        <x:v>9.11</x:v>
      </x:c>
      <x:c r="G3771" t="n">
        <x:v>36</x:v>
      </x:c>
      <x:c r="H3771" t="str">
        <x:v>C</x:v>
      </x:c>
      <x:c r="I3771" t="str">
        <x:v>1-3 years</x:v>
      </x:c>
      <x:c r="J3771" t="str">
        <x:v>RENT</x:v>
      </x:c>
      <x:c r="K3771" t="str">
        <x:v>other</x:v>
      </x:c>
      <x:c r="L3771" t="n">
        <x:v>1</x:v>
      </x:c>
      <x:c r="M3771" t="n">
        <x:v>1</x:v>
      </x:c>
      <x:c r="N3771" t="str">
        <x:v>Charged Off</x:v>
      </x:c>
      <x:c r="O3771" t="str">
        <x:f>IF(D3771="","Unknown",IF(D3771&lt;25000,"&lt;$25k",IF(D3771&lt;50000,"$25k-$50k",IF(D3771&lt;75000,"$50k-$75k",IF(D3771&lt;100000,"$75k-$100k","$100k+")))))</x:f>
        <x:v>$25k-$50k</x:v>
      </x:c>
      <x:c r="P3771" t="str">
        <x:f>IF(E3771="","Unknown",IF(E3771&lt;10,"&lt;10",IF(E3771&lt;20,"10-&lt;20",IF(E3771&lt;25,"20-&lt;25",IF(E3771&lt;35,"25-&lt;35","35+")))))</x:f>
        <x:v>10-&lt;20</x:v>
      </x:c>
    </x:row>
    <x:row r="3772">
      <x:c r="A3772" t="str">
        <x:v>SYN0003771</x:v>
      </x:c>
      <x:c r="B3772" s="12" t="n">
        <x:v>42475</x:v>
      </x:c>
      <x:c r="C3772" s="18" t="n">
        <x:v>14599</x:v>
      </x:c>
      <x:c r="D3772" s="18" t="n">
        <x:v>40805</x:v>
      </x:c>
      <x:c r="E3772" s="18" t="n">
        <x:v>18.36</x:v>
      </x:c>
      <x:c r="F3772" s="18" t="n">
        <x:v>8.11</x:v>
      </x:c>
      <x:c r="G3772" t="n">
        <x:v>36</x:v>
      </x:c>
      <x:c r="H3772" t="str">
        <x:v>B</x:v>
      </x:c>
      <x:c r="I3772" t="str">
        <x:v>10+ years</x:v>
      </x:c>
      <x:c r="J3772" t="str">
        <x:v>RENT</x:v>
      </x:c>
      <x:c r="K3772" t="str">
        <x:v>debt_consolidation</x:v>
      </x:c>
      <x:c r="L3772" t="n">
        <x:v>1</x:v>
      </x:c>
      <x:c r="M3772" t="n">
        <x:v>1</x:v>
      </x:c>
      <x:c r="N3772" t="str">
        <x:v>Charged Off</x:v>
      </x:c>
      <x:c r="O3772" t="str">
        <x:f>IF(D3772="","Unknown",IF(D3772&lt;25000,"&lt;$25k",IF(D3772&lt;50000,"$25k-$50k",IF(D3772&lt;75000,"$50k-$75k",IF(D3772&lt;100000,"$75k-$100k","$100k+")))))</x:f>
        <x:v>$25k-$50k</x:v>
      </x:c>
      <x:c r="P3772" t="str">
        <x:f>IF(E3772="","Unknown",IF(E3772&lt;10,"&lt;10",IF(E3772&lt;20,"10-&lt;20",IF(E3772&lt;25,"20-&lt;25",IF(E3772&lt;35,"25-&lt;35","35+")))))</x:f>
        <x:v>10-&lt;20</x:v>
      </x:c>
    </x:row>
    <x:row r="3773">
      <x:c r="A3773" t="str">
        <x:v>SYN0003772</x:v>
      </x:c>
      <x:c r="B3773" s="12" t="n">
        <x:v>41605</x:v>
      </x:c>
      <x:c r="C3773" s="18" t="n">
        <x:v>6586</x:v>
      </x:c>
      <x:c r="D3773" s="18" t="n">
        <x:v>105164</x:v>
      </x:c>
      <x:c r="E3773" s="18" t="n">
        <x:v>11.05</x:v>
      </x:c>
      <x:c r="F3773" s="18" t="n">
        <x:v>8.95</x:v>
      </x:c>
      <x:c r="G3773" t="n">
        <x:v>36</x:v>
      </x:c>
      <x:c r="H3773" t="str">
        <x:v>B</x:v>
      </x:c>
      <x:c r="I3773" t="str">
        <x:v>1-3 years</x:v>
      </x:c>
      <x:c r="J3773" t="str">
        <x:v>OWN</x:v>
      </x:c>
      <x:c r="K3773" t="str">
        <x:v>home_improvement</x:v>
      </x:c>
      <x:c r="L3773" t="n">
        <x:v>0</x:v>
      </x:c>
      <x:c r="M3773" t="n">
        <x:v>0</x:v>
      </x:c>
      <x:c r="N3773" t="str">
        <x:v>Fully Paid</x:v>
      </x:c>
      <x:c r="O3773" t="str">
        <x:f>IF(D3773="","Unknown",IF(D3773&lt;25000,"&lt;$25k",IF(D3773&lt;50000,"$25k-$50k",IF(D3773&lt;75000,"$50k-$75k",IF(D3773&lt;100000,"$75k-$100k","$100k+")))))</x:f>
        <x:v>$100k+</x:v>
      </x:c>
      <x:c r="P3773" t="str">
        <x:f>IF(E3773="","Unknown",IF(E3773&lt;10,"&lt;10",IF(E3773&lt;20,"10-&lt;20",IF(E3773&lt;25,"20-&lt;25",IF(E3773&lt;35,"25-&lt;35","35+")))))</x:f>
        <x:v>10-&lt;20</x:v>
      </x:c>
    </x:row>
    <x:row r="3774">
      <x:c r="A3774" t="str">
        <x:v>SYN0003773</x:v>
      </x:c>
      <x:c r="B3774" s="12" t="n">
        <x:v>42205</x:v>
      </x:c>
      <x:c r="C3774" s="18" t="n">
        <x:v>23258</x:v>
      </x:c>
      <x:c r="D3774" s="18" t="n">
        <x:v>75332</x:v>
      </x:c>
      <x:c r="E3774" s="18" t="n">
        <x:v>16.71</x:v>
      </x:c>
      <x:c r="F3774" s="18" t="n">
        <x:v>8.31</x:v>
      </x:c>
      <x:c r="G3774" t="n">
        <x:v>60</x:v>
      </x:c>
      <x:c r="H3774" t="str">
        <x:v>B</x:v>
      </x:c>
      <x:c r="I3774" t="str">
        <x:v>&lt;1 year</x:v>
      </x:c>
      <x:c r="J3774" t="str">
        <x:v>RENT</x:v>
      </x:c>
      <x:c r="K3774" t="str">
        <x:v>debt_consolidation</x:v>
      </x:c>
      <x:c r="L3774" t="n">
        <x:v>0</x:v>
      </x:c>
      <x:c r="M3774" t="n">
        <x:v>0</x:v>
      </x:c>
      <x:c r="N3774" t="str">
        <x:v>Fully Paid</x:v>
      </x:c>
      <x:c r="O3774" t="str">
        <x:f>IF(D3774="","Unknown",IF(D3774&lt;25000,"&lt;$25k",IF(D3774&lt;50000,"$25k-$50k",IF(D3774&lt;75000,"$50k-$75k",IF(D3774&lt;100000,"$75k-$100k","$100k+")))))</x:f>
        <x:v>$75k-$100k</x:v>
      </x:c>
      <x:c r="P3774" t="str">
        <x:f>IF(E3774="","Unknown",IF(E3774&lt;10,"&lt;10",IF(E3774&lt;20,"10-&lt;20",IF(E3774&lt;25,"20-&lt;25",IF(E3774&lt;35,"25-&lt;35","35+")))))</x:f>
        <x:v>10-&lt;20</x:v>
      </x:c>
    </x:row>
    <x:row r="3775">
      <x:c r="A3775" t="str">
        <x:v>SYN0003774</x:v>
      </x:c>
      <x:c r="B3775" s="12" t="n">
        <x:v>41815</x:v>
      </x:c>
      <x:c r="C3775" s="18" t="n">
        <x:v>6449</x:v>
      </x:c>
      <x:c r="D3775" s="18" t="n">
        <x:v>56379</x:v>
      </x:c>
      <x:c r="E3775" s="18" t="n">
        <x:v>22.65</x:v>
      </x:c>
      <x:c r="F3775" s="18" t="n">
        <x:v>12.53</x:v>
      </x:c>
      <x:c r="G3775" t="n">
        <x:v>60</x:v>
      </x:c>
      <x:c r="H3775" t="str">
        <x:v>C</x:v>
      </x:c>
      <x:c r="I3775" t="str">
        <x:v>10+ years</x:v>
      </x:c>
      <x:c r="J3775" t="str">
        <x:v>RENT</x:v>
      </x:c>
      <x:c r="K3775" t="str">
        <x:v>credit_card</x:v>
      </x:c>
      <x:c r="L3775" t="n">
        <x:v>0</x:v>
      </x:c>
      <x:c r="M3775" t="n">
        <x:v>0</x:v>
      </x:c>
      <x:c r="N3775" t="str">
        <x:v>Fully Paid</x:v>
      </x:c>
      <x:c r="O3775" t="str">
        <x:f>IF(D3775="","Unknown",IF(D3775&lt;25000,"&lt;$25k",IF(D3775&lt;50000,"$25k-$50k",IF(D3775&lt;75000,"$50k-$75k",IF(D3775&lt;100000,"$75k-$100k","$100k+")))))</x:f>
        <x:v>$50k-$75k</x:v>
      </x:c>
      <x:c r="P3775" t="str">
        <x:f>IF(E3775="","Unknown",IF(E3775&lt;10,"&lt;10",IF(E3775&lt;20,"10-&lt;20",IF(E3775&lt;25,"20-&lt;25",IF(E3775&lt;35,"25-&lt;35","35+")))))</x:f>
        <x:v>20-&lt;25</x:v>
      </x:c>
    </x:row>
    <x:row r="3776">
      <x:c r="A3776" t="str">
        <x:v>SYN0003775</x:v>
      </x:c>
      <x:c r="B3776" s="12" t="n">
        <x:v>42085</x:v>
      </x:c>
      <x:c r="C3776" s="18" t="n">
        <x:v>4900</x:v>
      </x:c>
      <x:c r="D3776" s="18" t="n">
        <x:v>113953</x:v>
      </x:c>
      <x:c r="E3776" s="18" t="n">
        <x:v>33.39</x:v>
      </x:c>
      <x:c r="F3776" s="18" t="n">
        <x:v>17.25</x:v>
      </x:c>
      <x:c r="G3776" t="n">
        <x:v>36</x:v>
      </x:c>
      <x:c r="H3776" t="str">
        <x:v>E</x:v>
      </x:c>
      <x:c r="I3776" t="str">
        <x:v>7-9 years</x:v>
      </x:c>
      <x:c r="J3776" t="str">
        <x:v>MORTGAGE</x:v>
      </x:c>
      <x:c r="K3776" t="str">
        <x:v>debt_consolidation</x:v>
      </x:c>
      <x:c r="L3776" t="n">
        <x:v>1</x:v>
      </x:c>
      <x:c r="M3776" t="n">
        <x:v>1</x:v>
      </x:c>
      <x:c r="N3776" t="str">
        <x:v>Charged Off</x:v>
      </x:c>
      <x:c r="O3776" t="str">
        <x:f>IF(D3776="","Unknown",IF(D3776&lt;25000,"&lt;$25k",IF(D3776&lt;50000,"$25k-$50k",IF(D3776&lt;75000,"$50k-$75k",IF(D3776&lt;100000,"$75k-$100k","$100k+")))))</x:f>
        <x:v>$100k+</x:v>
      </x:c>
      <x:c r="P3776" t="str">
        <x:f>IF(E3776="","Unknown",IF(E3776&lt;10,"&lt;10",IF(E3776&lt;20,"10-&lt;20",IF(E3776&lt;25,"20-&lt;25",IF(E3776&lt;35,"25-&lt;35","35+")))))</x:f>
        <x:v>25-&lt;35</x:v>
      </x:c>
    </x:row>
    <x:row r="3777">
      <x:c r="A3777" t="str">
        <x:v>SYN0003776</x:v>
      </x:c>
      <x:c r="B3777" s="12" t="n">
        <x:v>42775</x:v>
      </x:c>
      <x:c r="C3777" s="18" t="n">
        <x:v>16298</x:v>
      </x:c>
      <x:c r="D3777" s="18" t="n">
        <x:v>53728</x:v>
      </x:c>
      <x:c r="E3777" s="18" t="n">
        <x:v>9.39</x:v>
      </x:c>
      <x:c r="F3777" s="18" t="n">
        <x:v>11.86</x:v>
      </x:c>
      <x:c r="G3777" t="n">
        <x:v>36</x:v>
      </x:c>
      <x:c r="H3777" t="str">
        <x:v>D</x:v>
      </x:c>
      <x:c r="I3777" t="str">
        <x:v>10+ years</x:v>
      </x:c>
      <x:c r="J3777" t="str">
        <x:v>RENT</x:v>
      </x:c>
      <x:c r="K3777" t="str">
        <x:v>debt_consolidation</x:v>
      </x:c>
      <x:c r="L3777" t="n">
        <x:v>0</x:v>
      </x:c>
      <x:c r="M3777" t="n">
        <x:v>0</x:v>
      </x:c>
      <x:c r="N3777" t="str">
        <x:v>Fully Paid</x:v>
      </x:c>
      <x:c r="O3777" t="str">
        <x:f>IF(D3777="","Unknown",IF(D3777&lt;25000,"&lt;$25k",IF(D3777&lt;50000,"$25k-$50k",IF(D3777&lt;75000,"$50k-$75k",IF(D3777&lt;100000,"$75k-$100k","$100k+")))))</x:f>
        <x:v>$50k-$75k</x:v>
      </x:c>
      <x:c r="P3777" t="str">
        <x:f>IF(E3777="","Unknown",IF(E3777&lt;10,"&lt;10",IF(E3777&lt;20,"10-&lt;20",IF(E3777&lt;25,"20-&lt;25",IF(E3777&lt;35,"25-&lt;35","35+")))))</x:f>
        <x:v>&lt;10</x:v>
      </x:c>
    </x:row>
    <x:row r="3778">
      <x:c r="A3778" t="str">
        <x:v>SYN0003777</x:v>
      </x:c>
      <x:c r="B3778" s="12" t="n">
        <x:v>41365</x:v>
      </x:c>
      <x:c r="C3778" s="18" t="n">
        <x:v>20341</x:v>
      </x:c>
      <x:c r="D3778" s="18" t="n">
        <x:v>33259</x:v>
      </x:c>
      <x:c r="E3778" s="18" t="n">
        <x:v>12.79</x:v>
      </x:c>
      <x:c r="F3778" s="18" t="n">
        <x:v>7.1</x:v>
      </x:c>
      <x:c r="G3778" t="n">
        <x:v>36</x:v>
      </x:c>
      <x:c r="H3778" t="str">
        <x:v>A</x:v>
      </x:c>
      <x:c r="I3778" t="str">
        <x:v>4-6 years</x:v>
      </x:c>
      <x:c r="J3778" t="str">
        <x:v>OTHER</x:v>
      </x:c>
      <x:c r="K3778" t="str">
        <x:v>debt_consolidation</x:v>
      </x:c>
      <x:c r="L3778" t="n">
        <x:v>3</x:v>
      </x:c>
      <x:c r="M3778" t="n">
        <x:v>0</x:v>
      </x:c>
      <x:c r="N3778" t="str">
        <x:v>Fully Paid</x:v>
      </x:c>
      <x:c r="O3778" t="str">
        <x:f>IF(D3778="","Unknown",IF(D3778&lt;25000,"&lt;$25k",IF(D3778&lt;50000,"$25k-$50k",IF(D3778&lt;75000,"$50k-$75k",IF(D3778&lt;100000,"$75k-$100k","$100k+")))))</x:f>
        <x:v>$25k-$50k</x:v>
      </x:c>
      <x:c r="P3778" t="str">
        <x:f>IF(E3778="","Unknown",IF(E3778&lt;10,"&lt;10",IF(E3778&lt;20,"10-&lt;20",IF(E3778&lt;25,"20-&lt;25",IF(E3778&lt;35,"25-&lt;35","35+")))))</x:f>
        <x:v>10-&lt;20</x:v>
      </x:c>
    </x:row>
    <x:row r="3779">
      <x:c r="A3779" t="str">
        <x:v>SYN0003778</x:v>
      </x:c>
      <x:c r="B3779" s="12" t="n">
        <x:v>42535</x:v>
      </x:c>
      <x:c r="C3779" s="18" t="n">
        <x:v>9091</x:v>
      </x:c>
      <x:c r="D3779" s="18" t="n">
        <x:v>27853</x:v>
      </x:c>
      <x:c r="E3779" s="18" t="n">
        <x:v>17.55</x:v>
      </x:c>
      <x:c r="F3779" s="18" t="n">
        <x:v>13.59</x:v>
      </x:c>
      <x:c r="G3779" t="n">
        <x:v>60</x:v>
      </x:c>
      <x:c r="H3779" t="str">
        <x:v>D</x:v>
      </x:c>
      <x:c r="I3779" t="str">
        <x:v>4-6 years</x:v>
      </x:c>
      <x:c r="J3779" t="str">
        <x:v>MORTGAGE</x:v>
      </x:c>
      <x:c r="K3779" t="str">
        <x:v>credit_card</x:v>
      </x:c>
      <x:c r="L3779" t="n">
        <x:v>0</x:v>
      </x:c>
      <x:c r="M3779" t="n">
        <x:v>0</x:v>
      </x:c>
      <x:c r="N3779" t="str">
        <x:v>Fully Paid</x:v>
      </x:c>
      <x:c r="O3779" t="str">
        <x:f>IF(D3779="","Unknown",IF(D3779&lt;25000,"&lt;$25k",IF(D3779&lt;50000,"$25k-$50k",IF(D3779&lt;75000,"$50k-$75k",IF(D3779&lt;100000,"$75k-$100k","$100k+")))))</x:f>
        <x:v>$25k-$50k</x:v>
      </x:c>
      <x:c r="P3779" t="str">
        <x:f>IF(E3779="","Unknown",IF(E3779&lt;10,"&lt;10",IF(E3779&lt;20,"10-&lt;20",IF(E3779&lt;25,"20-&lt;25",IF(E3779&lt;35,"25-&lt;35","35+")))))</x:f>
        <x:v>10-&lt;20</x:v>
      </x:c>
    </x:row>
    <x:row r="3780">
      <x:c r="A3780" t="str">
        <x:v>SYN0003779</x:v>
      </x:c>
      <x:c r="B3780" s="12" t="n">
        <x:v>42775</x:v>
      </x:c>
      <x:c r="C3780" s="18" t="n">
        <x:v>8150</x:v>
      </x:c>
      <x:c r="D3780" s="18" t="n">
        <x:v>61574</x:v>
      </x:c>
      <x:c r="E3780" s="18" t="n">
        <x:v>23.64</x:v>
      </x:c>
      <x:c r="F3780" s="18" t="n">
        <x:v>9.13</x:v>
      </x:c>
      <x:c r="G3780" t="n">
        <x:v>36</x:v>
      </x:c>
      <x:c r="H3780" t="str">
        <x:v>C</x:v>
      </x:c>
      <x:c r="I3780" t="str">
        <x:v>&lt;1 year</x:v>
      </x:c>
      <x:c r="J3780" t="str">
        <x:v>MORTGAGE</x:v>
      </x:c>
      <x:c r="K3780" t="str">
        <x:v>debt_consolidation</x:v>
      </x:c>
      <x:c r="L3780" t="n">
        <x:v>1</x:v>
      </x:c>
      <x:c r="M3780" t="n">
        <x:v>0</x:v>
      </x:c>
      <x:c r="N3780" t="str">
        <x:v>Fully Paid</x:v>
      </x:c>
      <x:c r="O3780" t="str">
        <x:f>IF(D3780="","Unknown",IF(D3780&lt;25000,"&lt;$25k",IF(D3780&lt;50000,"$25k-$50k",IF(D3780&lt;75000,"$50k-$75k",IF(D3780&lt;100000,"$75k-$100k","$100k+")))))</x:f>
        <x:v>$50k-$75k</x:v>
      </x:c>
      <x:c r="P3780" t="str">
        <x:f>IF(E3780="","Unknown",IF(E3780&lt;10,"&lt;10",IF(E3780&lt;20,"10-&lt;20",IF(E3780&lt;25,"20-&lt;25",IF(E3780&lt;35,"25-&lt;35","35+")))))</x:f>
        <x:v>20-&lt;25</x:v>
      </x:c>
    </x:row>
    <x:row r="3781">
      <x:c r="A3781" t="str">
        <x:v>SYN0003780</x:v>
      </x:c>
      <x:c r="B3781" s="12" t="n">
        <x:v>42445</x:v>
      </x:c>
      <x:c r="C3781" s="18" t="n">
        <x:v>13406</x:v>
      </x:c>
      <x:c r="D3781" s="18" t="n">
        <x:v>71647</x:v>
      </x:c>
      <x:c r="E3781" s="18" t="n">
        <x:v>13.79</x:v>
      </x:c>
      <x:c r="F3781" s="18" t="n">
        <x:v>10.18</x:v>
      </x:c>
      <x:c r="G3781" t="n">
        <x:v>36</x:v>
      </x:c>
      <x:c r="H3781" t="str">
        <x:v>C</x:v>
      </x:c>
      <x:c r="I3781" t="str">
        <x:v>1-3 years</x:v>
      </x:c>
      <x:c r="J3781" t="str">
        <x:v>OWN</x:v>
      </x:c>
      <x:c r="K3781" t="str">
        <x:v>debt_consolidation</x:v>
      </x:c>
      <x:c r="L3781" t="n">
        <x:v>0</x:v>
      </x:c>
      <x:c r="M3781" t="n">
        <x:v>1</x:v>
      </x:c>
      <x:c r="N3781" t="str">
        <x:v>Charged Off</x:v>
      </x:c>
      <x:c r="O3781" t="str">
        <x:f>IF(D3781="","Unknown",IF(D3781&lt;25000,"&lt;$25k",IF(D3781&lt;50000,"$25k-$50k",IF(D3781&lt;75000,"$50k-$75k",IF(D3781&lt;100000,"$75k-$100k","$100k+")))))</x:f>
        <x:v>$50k-$75k</x:v>
      </x:c>
      <x:c r="P3781" t="str">
        <x:f>IF(E3781="","Unknown",IF(E3781&lt;10,"&lt;10",IF(E3781&lt;20,"10-&lt;20",IF(E3781&lt;25,"20-&lt;25",IF(E3781&lt;35,"25-&lt;35","35+")))))</x:f>
        <x:v>10-&lt;20</x:v>
      </x:c>
    </x:row>
    <x:row r="3782">
      <x:c r="A3782" t="str">
        <x:v>SYN0003781</x:v>
      </x:c>
      <x:c r="B3782" s="12" t="n">
        <x:v>41365</x:v>
      </x:c>
      <x:c r="C3782" s="18" t="n">
        <x:v>8237</x:v>
      </x:c>
      <x:c r="D3782" s="18" t="n">
        <x:v>68129</x:v>
      </x:c>
      <x:c r="E3782" s="18" t="n">
        <x:v>13.47</x:v>
      </x:c>
      <x:c r="F3782" s="18" t="n">
        <x:v>12.16</x:v>
      </x:c>
      <x:c r="G3782" t="n">
        <x:v>60</x:v>
      </x:c>
      <x:c r="H3782" t="str">
        <x:v>D</x:v>
      </x:c>
      <x:c r="I3782" t="str">
        <x:v>10+ years</x:v>
      </x:c>
      <x:c r="J3782" t="str">
        <x:v>OTHER</x:v>
      </x:c>
      <x:c r="K3782" t="str">
        <x:v>debt_consolidation</x:v>
      </x:c>
      <x:c r="L3782" t="n">
        <x:v>1</x:v>
      </x:c>
      <x:c r="M3782" t="n">
        <x:v>0</x:v>
      </x:c>
      <x:c r="N3782" t="str">
        <x:v>Fully Paid</x:v>
      </x:c>
      <x:c r="O3782" t="str">
        <x:f>IF(D3782="","Unknown",IF(D3782&lt;25000,"&lt;$25k",IF(D3782&lt;50000,"$25k-$50k",IF(D3782&lt;75000,"$50k-$75k",IF(D3782&lt;100000,"$75k-$100k","$100k+")))))</x:f>
        <x:v>$50k-$75k</x:v>
      </x:c>
      <x:c r="P3782" t="str">
        <x:f>IF(E3782="","Unknown",IF(E3782&lt;10,"&lt;10",IF(E3782&lt;20,"10-&lt;20",IF(E3782&lt;25,"20-&lt;25",IF(E3782&lt;35,"25-&lt;35","35+")))))</x:f>
        <x:v>10-&lt;20</x:v>
      </x:c>
    </x:row>
    <x:row r="3783">
      <x:c r="A3783" t="str">
        <x:v>SYN0003782</x:v>
      </x:c>
      <x:c r="B3783" s="12" t="n">
        <x:v>43225</x:v>
      </x:c>
      <x:c r="C3783" s="18" t="n">
        <x:v>22487</x:v>
      </x:c>
      <x:c r="D3783" s="18" t="n">
        <x:v>77344</x:v>
      </x:c>
      <x:c r="E3783" s="18" t="n">
        <x:v>26.58</x:v>
      </x:c>
      <x:c r="F3783" s="18" t="n">
        <x:v>9.96</x:v>
      </x:c>
      <x:c r="G3783" t="n">
        <x:v>60</x:v>
      </x:c>
      <x:c r="H3783" t="str">
        <x:v>C</x:v>
      </x:c>
      <x:c r="I3783" t="str">
        <x:v>10+ years</x:v>
      </x:c>
      <x:c r="J3783" t="str">
        <x:v>OWN</x:v>
      </x:c>
      <x:c r="K3783" t="str">
        <x:v>debt_consolidation</x:v>
      </x:c>
      <x:c r="L3783" t="n">
        <x:v>0</x:v>
      </x:c>
      <x:c r="M3783" t="n">
        <x:v>1</x:v>
      </x:c>
      <x:c r="N3783" t="str">
        <x:v>Charged Off</x:v>
      </x:c>
      <x:c r="O3783" t="str">
        <x:f>IF(D3783="","Unknown",IF(D3783&lt;25000,"&lt;$25k",IF(D3783&lt;50000,"$25k-$50k",IF(D3783&lt;75000,"$50k-$75k",IF(D3783&lt;100000,"$75k-$100k","$100k+")))))</x:f>
        <x:v>$75k-$100k</x:v>
      </x:c>
      <x:c r="P3783" t="str">
        <x:f>IF(E3783="","Unknown",IF(E3783&lt;10,"&lt;10",IF(E3783&lt;20,"10-&lt;20",IF(E3783&lt;25,"20-&lt;25",IF(E3783&lt;35,"25-&lt;35","35+")))))</x:f>
        <x:v>25-&lt;35</x:v>
      </x:c>
    </x:row>
    <x:row r="3784">
      <x:c r="A3784" t="str">
        <x:v>SYN0003783</x:v>
      </x:c>
      <x:c r="B3784" s="12" t="n">
        <x:v>42295</x:v>
      </x:c>
      <x:c r="C3784" s="18" t="n">
        <x:v>9870</x:v>
      </x:c>
      <x:c r="D3784" s="18" t="n">
        <x:v>93685</x:v>
      </x:c>
      <x:c r="E3784" s="18" t="n">
        <x:v>22.81</x:v>
      </x:c>
      <x:c r="F3784" s="18" t="n">
        <x:v>7.82</x:v>
      </x:c>
      <x:c r="G3784" t="n">
        <x:v>36</x:v>
      </x:c>
      <x:c r="H3784" t="str">
        <x:v>B</x:v>
      </x:c>
      <x:c r="I3784" t="str">
        <x:v>4-6 years</x:v>
      </x:c>
      <x:c r="J3784" t="str">
        <x:v>MORTGAGE</x:v>
      </x:c>
      <x:c r="K3784" t="str">
        <x:v>credit_card</x:v>
      </x:c>
      <x:c r="L3784" t="n">
        <x:v>0</x:v>
      </x:c>
      <x:c r="M3784" t="n">
        <x:v>0</x:v>
      </x:c>
      <x:c r="N3784" t="str">
        <x:v>Fully Paid</x:v>
      </x:c>
      <x:c r="O3784" t="str">
        <x:f>IF(D3784="","Unknown",IF(D3784&lt;25000,"&lt;$25k",IF(D3784&lt;50000,"$25k-$50k",IF(D3784&lt;75000,"$50k-$75k",IF(D3784&lt;100000,"$75k-$100k","$100k+")))))</x:f>
        <x:v>$75k-$100k</x:v>
      </x:c>
      <x:c r="P3784" t="str">
        <x:f>IF(E3784="","Unknown",IF(E3784&lt;10,"&lt;10",IF(E3784&lt;20,"10-&lt;20",IF(E3784&lt;25,"20-&lt;25",IF(E3784&lt;35,"25-&lt;35","35+")))))</x:f>
        <x:v>20-&lt;25</x:v>
      </x:c>
    </x:row>
    <x:row r="3785">
      <x:c r="A3785" t="str">
        <x:v>SYN0003784</x:v>
      </x:c>
      <x:c r="B3785" s="12" t="n">
        <x:v>42445</x:v>
      </x:c>
      <x:c r="C3785" s="18" t="n">
        <x:v>29748</x:v>
      </x:c>
      <x:c r="D3785" s="18" t="n">
        <x:v>57935</x:v>
      </x:c>
      <x:c r="E3785" s="18" t="n">
        <x:v>11.78</x:v>
      </x:c>
      <x:c r="F3785" s="18" t="n">
        <x:v>9.31</x:v>
      </x:c>
      <x:c r="G3785" t="n">
        <x:v>36</x:v>
      </x:c>
      <x:c r="H3785" t="str">
        <x:v>C</x:v>
      </x:c>
      <x:c r="I3785" t="str">
        <x:v>10+ years</x:v>
      </x:c>
      <x:c r="J3785" t="str">
        <x:v>RENT</x:v>
      </x:c>
      <x:c r="K3785" t="str">
        <x:v>major_purchase</x:v>
      </x:c>
      <x:c r="L3785" t="n">
        <x:v>2</x:v>
      </x:c>
      <x:c r="M3785" t="n">
        <x:v>0</x:v>
      </x:c>
      <x:c r="N3785" t="str">
        <x:v>Fully Paid</x:v>
      </x:c>
      <x:c r="O3785" t="str">
        <x:f>IF(D3785="","Unknown",IF(D3785&lt;25000,"&lt;$25k",IF(D3785&lt;50000,"$25k-$50k",IF(D3785&lt;75000,"$50k-$75k",IF(D3785&lt;100000,"$75k-$100k","$100k+")))))</x:f>
        <x:v>$50k-$75k</x:v>
      </x:c>
      <x:c r="P3785" t="str">
        <x:f>IF(E3785="","Unknown",IF(E3785&lt;10,"&lt;10",IF(E3785&lt;20,"10-&lt;20",IF(E3785&lt;25,"20-&lt;25",IF(E3785&lt;35,"25-&lt;35","35+")))))</x:f>
        <x:v>10-&lt;20</x:v>
      </x:c>
    </x:row>
    <x:row r="3786">
      <x:c r="A3786" t="str">
        <x:v>SYN0003785</x:v>
      </x:c>
      <x:c r="B3786" s="12" t="n">
        <x:v>41275</x:v>
      </x:c>
      <x:c r="C3786" s="18" t="n">
        <x:v>5936</x:v>
      </x:c>
      <x:c r="D3786" s="18" t="n">
        <x:v>248925</x:v>
      </x:c>
      <x:c r="E3786" s="18" t="n">
        <x:v>16.48</x:v>
      </x:c>
      <x:c r="F3786" s="18" t="n">
        <x:v>12.79</x:v>
      </x:c>
      <x:c r="G3786" t="n">
        <x:v>60</x:v>
      </x:c>
      <x:c r="H3786" t="str">
        <x:v>C</x:v>
      </x:c>
      <x:c r="I3786" t="str">
        <x:v>4-6 years</x:v>
      </x:c>
      <x:c r="J3786" t="str">
        <x:v>RENT</x:v>
      </x:c>
      <x:c r="K3786" t="str">
        <x:v>other</x:v>
      </x:c>
      <x:c r="L3786" t="n">
        <x:v>0</x:v>
      </x:c>
      <x:c r="M3786" t="n">
        <x:v>0</x:v>
      </x:c>
      <x:c r="N3786" t="str">
        <x:v>Fully Paid</x:v>
      </x:c>
      <x:c r="O3786" t="str">
        <x:f>IF(D3786="","Unknown",IF(D3786&lt;25000,"&lt;$25k",IF(D3786&lt;50000,"$25k-$50k",IF(D3786&lt;75000,"$50k-$75k",IF(D3786&lt;100000,"$75k-$100k","$100k+")))))</x:f>
        <x:v>$100k+</x:v>
      </x:c>
      <x:c r="P3786" t="str">
        <x:f>IF(E3786="","Unknown",IF(E3786&lt;10,"&lt;10",IF(E3786&lt;20,"10-&lt;20",IF(E3786&lt;25,"20-&lt;25",IF(E3786&lt;35,"25-&lt;35","35+")))))</x:f>
        <x:v>10-&lt;20</x:v>
      </x:c>
    </x:row>
    <x:row r="3787">
      <x:c r="A3787" t="str">
        <x:v>SYN0003786</x:v>
      </x:c>
      <x:c r="B3787" s="12" t="n">
        <x:v>41545</x:v>
      </x:c>
      <x:c r="C3787" s="18" t="n">
        <x:v>17997</x:v>
      </x:c>
      <x:c r="D3787" s="18" t="n">
        <x:v>41928</x:v>
      </x:c>
      <x:c r="E3787" s="18" t="n">
        <x:v>16.1</x:v>
      </x:c>
      <x:c r="F3787" s="18" t="n">
        <x:v>17.46</x:v>
      </x:c>
      <x:c r="G3787" t="n">
        <x:v>36</x:v>
      </x:c>
      <x:c r="H3787" t="str">
        <x:v>E</x:v>
      </x:c>
      <x:c r="I3787" t="str">
        <x:v>10+ years</x:v>
      </x:c>
      <x:c r="J3787" t="str">
        <x:v>MORTGAGE</x:v>
      </x:c>
      <x:c r="K3787" t="str">
        <x:v>debt_consolidation</x:v>
      </x:c>
      <x:c r="L3787" t="n">
        <x:v>0</x:v>
      </x:c>
      <x:c r="M3787" t="n">
        <x:v>0</x:v>
      </x:c>
      <x:c r="N3787" t="str">
        <x:v>Fully Paid</x:v>
      </x:c>
      <x:c r="O3787" t="str">
        <x:f>IF(D3787="","Unknown",IF(D3787&lt;25000,"&lt;$25k",IF(D3787&lt;50000,"$25k-$50k",IF(D3787&lt;75000,"$50k-$75k",IF(D3787&lt;100000,"$75k-$100k","$100k+")))))</x:f>
        <x:v>$25k-$50k</x:v>
      </x:c>
      <x:c r="P3787" t="str">
        <x:f>IF(E3787="","Unknown",IF(E3787&lt;10,"&lt;10",IF(E3787&lt;20,"10-&lt;20",IF(E3787&lt;25,"20-&lt;25",IF(E3787&lt;35,"25-&lt;35","35+")))))</x:f>
        <x:v>10-&lt;20</x:v>
      </x:c>
    </x:row>
    <x:row r="3788">
      <x:c r="A3788" t="str">
        <x:v>SYN0003787</x:v>
      </x:c>
      <x:c r="B3788" s="12" t="n">
        <x:v>43195</x:v>
      </x:c>
      <x:c r="C3788" s="18" t="n">
        <x:v>9863</x:v>
      </x:c>
      <x:c r="D3788" s="18" t="n">
        <x:v>23533</x:v>
      </x:c>
      <x:c r="E3788" s="18" t="n">
        <x:v>22.41</x:v>
      </x:c>
      <x:c r="F3788" s="18" t="n">
        <x:v>9.11</x:v>
      </x:c>
      <x:c r="G3788" t="n">
        <x:v>60</x:v>
      </x:c>
      <x:c r="H3788" t="str">
        <x:v>C</x:v>
      </x:c>
      <x:c r="I3788" t="str">
        <x:v>1-3 years</x:v>
      </x:c>
      <x:c r="J3788" t="str">
        <x:v>RENT</x:v>
      </x:c>
      <x:c r="K3788" t="str">
        <x:v>debt_consolidation</x:v>
      </x:c>
      <x:c r="L3788" t="n">
        <x:v>0</x:v>
      </x:c>
      <x:c r="M3788" t="n">
        <x:v>0</x:v>
      </x:c>
      <x:c r="N3788" t="str">
        <x:v>Fully Paid</x:v>
      </x:c>
      <x:c r="O3788" t="str">
        <x:f>IF(D3788="","Unknown",IF(D3788&lt;25000,"&lt;$25k",IF(D3788&lt;50000,"$25k-$50k",IF(D3788&lt;75000,"$50k-$75k",IF(D3788&lt;100000,"$75k-$100k","$100k+")))))</x:f>
        <x:v>&lt;$25k</x:v>
      </x:c>
      <x:c r="P3788" t="str">
        <x:f>IF(E3788="","Unknown",IF(E3788&lt;10,"&lt;10",IF(E3788&lt;20,"10-&lt;20",IF(E3788&lt;25,"20-&lt;25",IF(E3788&lt;35,"25-&lt;35","35+")))))</x:f>
        <x:v>20-&lt;25</x:v>
      </x:c>
    </x:row>
    <x:row r="3789">
      <x:c r="A3789" t="str">
        <x:v>SYN0003788</x:v>
      </x:c>
      <x:c r="B3789" s="12" t="n">
        <x:v>41905</x:v>
      </x:c>
      <x:c r="C3789" s="18" t="n">
        <x:v>15484</x:v>
      </x:c>
      <x:c r="D3789" s="18" t="n">
        <x:v>31773</x:v>
      </x:c>
      <x:c r="E3789" s="18" t="n">
        <x:v>22.14</x:v>
      </x:c>
      <x:c r="F3789" s="18" t="n">
        <x:v>10.18</x:v>
      </x:c>
      <x:c r="G3789" t="n">
        <x:v>36</x:v>
      </x:c>
      <x:c r="H3789" t="str">
        <x:v>B</x:v>
      </x:c>
      <x:c r="I3789" t="str">
        <x:v>1-3 years</x:v>
      </x:c>
      <x:c r="J3789" t="str">
        <x:v>MORTGAGE</x:v>
      </x:c>
      <x:c r="K3789" t="str">
        <x:v>credit_card</x:v>
      </x:c>
      <x:c r="L3789" t="n">
        <x:v>0</x:v>
      </x:c>
      <x:c r="M3789" t="n">
        <x:v>0</x:v>
      </x:c>
      <x:c r="N3789" t="str">
        <x:v>Fully Paid</x:v>
      </x:c>
      <x:c r="O3789" t="str">
        <x:f>IF(D3789="","Unknown",IF(D3789&lt;25000,"&lt;$25k",IF(D3789&lt;50000,"$25k-$50k",IF(D3789&lt;75000,"$50k-$75k",IF(D3789&lt;100000,"$75k-$100k","$100k+")))))</x:f>
        <x:v>$25k-$50k</x:v>
      </x:c>
      <x:c r="P3789" t="str">
        <x:f>IF(E3789="","Unknown",IF(E3789&lt;10,"&lt;10",IF(E3789&lt;20,"10-&lt;20",IF(E3789&lt;25,"20-&lt;25",IF(E3789&lt;35,"25-&lt;35","35+")))))</x:f>
        <x:v>20-&lt;25</x:v>
      </x:c>
    </x:row>
    <x:row r="3790">
      <x:c r="A3790" t="str">
        <x:v>SYN0003789</x:v>
      </x:c>
      <x:c r="B3790" s="12" t="n">
        <x:v>43045</x:v>
      </x:c>
      <x:c r="C3790" s="18" t="n">
        <x:v>40000</x:v>
      </x:c>
      <x:c r="D3790" s="18" t="n">
        <x:v>105162</x:v>
      </x:c>
      <x:c r="E3790" s="18" t="n">
        <x:v>9.85</x:v>
      </x:c>
      <x:c r="F3790" s="18" t="n">
        <x:v>8.7</x:v>
      </x:c>
      <x:c r="G3790" t="n">
        <x:v>60</x:v>
      </x:c>
      <x:c r="H3790" t="str">
        <x:v>B</x:v>
      </x:c>
      <x:c r="I3790" t="str">
        <x:v>4-6 years</x:v>
      </x:c>
      <x:c r="J3790" t="str">
        <x:v>RENT</x:v>
      </x:c>
      <x:c r="K3790" t="str">
        <x:v>credit_card</x:v>
      </x:c>
      <x:c r="L3790" t="n">
        <x:v>0</x:v>
      </x:c>
      <x:c r="M3790" t="n">
        <x:v>0</x:v>
      </x:c>
      <x:c r="N3790" t="str">
        <x:v>Fully Paid</x:v>
      </x:c>
      <x:c r="O3790" t="str">
        <x:f>IF(D3790="","Unknown",IF(D3790&lt;25000,"&lt;$25k",IF(D3790&lt;50000,"$25k-$50k",IF(D3790&lt;75000,"$50k-$75k",IF(D3790&lt;100000,"$75k-$100k","$100k+")))))</x:f>
        <x:v>$100k+</x:v>
      </x:c>
      <x:c r="P3790" t="str">
        <x:f>IF(E3790="","Unknown",IF(E3790&lt;10,"&lt;10",IF(E3790&lt;20,"10-&lt;20",IF(E3790&lt;25,"20-&lt;25",IF(E3790&lt;35,"25-&lt;35","35+")))))</x:f>
        <x:v>&lt;10</x:v>
      </x:c>
    </x:row>
    <x:row r="3791">
      <x:c r="A3791" t="str">
        <x:v>SYN0003790</x:v>
      </x:c>
      <x:c r="B3791" s="12" t="n">
        <x:v>41785</x:v>
      </x:c>
      <x:c r="C3791" s="18" t="n">
        <x:v>34267</x:v>
      </x:c>
      <x:c r="D3791" s="18" t="n">
        <x:v>41087</x:v>
      </x:c>
      <x:c r="E3791" s="18" t="n">
        <x:v>16.38</x:v>
      </x:c>
      <x:c r="F3791" s="18" t="n">
        <x:v>5.15</x:v>
      </x:c>
      <x:c r="G3791" t="n">
        <x:v>36</x:v>
      </x:c>
      <x:c r="H3791" t="str">
        <x:v>B</x:v>
      </x:c>
      <x:c r="I3791" t="str">
        <x:v>10+ years</x:v>
      </x:c>
      <x:c r="J3791" t="str">
        <x:v>OWN</x:v>
      </x:c>
      <x:c r="K3791" t="str">
        <x:v>debt_consolidation</x:v>
      </x:c>
      <x:c r="L3791" t="n">
        <x:v>1</x:v>
      </x:c>
      <x:c r="M3791" t="n">
        <x:v>0</x:v>
      </x:c>
      <x:c r="N3791" t="str">
        <x:v>Fully Paid</x:v>
      </x:c>
      <x:c r="O3791" t="str">
        <x:f>IF(D3791="","Unknown",IF(D3791&lt;25000,"&lt;$25k",IF(D3791&lt;50000,"$25k-$50k",IF(D3791&lt;75000,"$50k-$75k",IF(D3791&lt;100000,"$75k-$100k","$100k+")))))</x:f>
        <x:v>$25k-$50k</x:v>
      </x:c>
      <x:c r="P3791" t="str">
        <x:f>IF(E3791="","Unknown",IF(E3791&lt;10,"&lt;10",IF(E3791&lt;20,"10-&lt;20",IF(E3791&lt;25,"20-&lt;25",IF(E3791&lt;35,"25-&lt;35","35+")))))</x:f>
        <x:v>10-&lt;20</x:v>
      </x:c>
    </x:row>
    <x:row r="3792">
      <x:c r="A3792" t="str">
        <x:v>SYN0003791</x:v>
      </x:c>
      <x:c r="B3792" s="12" t="n">
        <x:v>41935</x:v>
      </x:c>
      <x:c r="C3792" s="18" t="n">
        <x:v>16404</x:v>
      </x:c>
      <x:c r="D3792" s="18" t="n">
        <x:v>45052</x:v>
      </x:c>
      <x:c r="E3792" s="18" t="n">
        <x:v>10.85</x:v>
      </x:c>
      <x:c r="F3792" s="18" t="n">
        <x:v>19.55</x:v>
      </x:c>
      <x:c r="G3792" t="n">
        <x:v>60</x:v>
      </x:c>
      <x:c r="H3792" t="str">
        <x:v>E</x:v>
      </x:c>
      <x:c r="I3792" t="str">
        <x:v>&lt;1 year</x:v>
      </x:c>
      <x:c r="J3792" t="str">
        <x:v>RENT</x:v>
      </x:c>
      <x:c r="K3792" t="str">
        <x:v>other</x:v>
      </x:c>
      <x:c r="L3792" t="n">
        <x:v>0</x:v>
      </x:c>
      <x:c r="M3792" t="n">
        <x:v>1</x:v>
      </x:c>
      <x:c r="N3792" t="str">
        <x:v>Charged Off</x:v>
      </x:c>
      <x:c r="O3792" t="str">
        <x:f>IF(D3792="","Unknown",IF(D3792&lt;25000,"&lt;$25k",IF(D3792&lt;50000,"$25k-$50k",IF(D3792&lt;75000,"$50k-$75k",IF(D3792&lt;100000,"$75k-$100k","$100k+")))))</x:f>
        <x:v>$25k-$50k</x:v>
      </x:c>
      <x:c r="P3792" t="str">
        <x:f>IF(E3792="","Unknown",IF(E3792&lt;10,"&lt;10",IF(E3792&lt;20,"10-&lt;20",IF(E3792&lt;25,"20-&lt;25",IF(E3792&lt;35,"25-&lt;35","35+")))))</x:f>
        <x:v>10-&lt;20</x:v>
      </x:c>
    </x:row>
    <x:row r="3793">
      <x:c r="A3793" t="str">
        <x:v>SYN0003792</x:v>
      </x:c>
      <x:c r="B3793" s="12" t="n">
        <x:v>42715</x:v>
      </x:c>
      <x:c r="C3793" s="18" t="n">
        <x:v>21743</x:v>
      </x:c>
      <x:c r="D3793" s="18" t="n">
        <x:v>22488</x:v>
      </x:c>
      <x:c r="E3793" s="18" t="n">
        <x:v>10.53</x:v>
      </x:c>
      <x:c r="F3793" s="18" t="n">
        <x:v>8.77</x:v>
      </x:c>
      <x:c r="G3793" t="n">
        <x:v>36</x:v>
      </x:c>
      <x:c r="H3793" t="str">
        <x:v>A</x:v>
      </x:c>
      <x:c r="I3793" t="str">
        <x:v>4-6 years</x:v>
      </x:c>
      <x:c r="J3793" t="str">
        <x:v>MORTGAGE</x:v>
      </x:c>
      <x:c r="K3793" t="str">
        <x:v>credit_card</x:v>
      </x:c>
      <x:c r="L3793" t="n">
        <x:v>0</x:v>
      </x:c>
      <x:c r="M3793" t="n">
        <x:v>0</x:v>
      </x:c>
      <x:c r="N3793" t="str">
        <x:v>Fully Paid</x:v>
      </x:c>
      <x:c r="O3793" t="str">
        <x:f>IF(D3793="","Unknown",IF(D3793&lt;25000,"&lt;$25k",IF(D3793&lt;50000,"$25k-$50k",IF(D3793&lt;75000,"$50k-$75k",IF(D3793&lt;100000,"$75k-$100k","$100k+")))))</x:f>
        <x:v>&lt;$25k</x:v>
      </x:c>
      <x:c r="P3793" t="str">
        <x:f>IF(E3793="","Unknown",IF(E3793&lt;10,"&lt;10",IF(E3793&lt;20,"10-&lt;20",IF(E3793&lt;25,"20-&lt;25",IF(E3793&lt;35,"25-&lt;35","35+")))))</x:f>
        <x:v>10-&lt;20</x:v>
      </x:c>
    </x:row>
    <x:row r="3794">
      <x:c r="A3794" t="str">
        <x:v>SYN0003793</x:v>
      </x:c>
      <x:c r="B3794" s="12" t="n">
        <x:v>43195</x:v>
      </x:c>
      <x:c r="C3794" s="18" t="n">
        <x:v>40000</x:v>
      </x:c>
      <x:c r="D3794" s="18" t="n">
        <x:v>31278</x:v>
      </x:c>
      <x:c r="E3794" s="18" t="n">
        <x:v>32.73</x:v>
      </x:c>
      <x:c r="F3794" s="18" t="n">
        <x:v>22.51</x:v>
      </x:c>
      <x:c r="G3794" t="n">
        <x:v>36</x:v>
      </x:c>
      <x:c r="H3794" t="str">
        <x:v>F</x:v>
      </x:c>
      <x:c r="I3794" t="str">
        <x:v>1-3 years</x:v>
      </x:c>
      <x:c r="J3794" t="str">
        <x:v>OWN</x:v>
      </x:c>
      <x:c r="K3794" t="str">
        <x:v>credit_card</x:v>
      </x:c>
      <x:c r="L3794" t="n">
        <x:v>1</x:v>
      </x:c>
      <x:c r="M3794" t="n">
        <x:v>0</x:v>
      </x:c>
      <x:c r="N3794" t="str">
        <x:v>Fully Paid</x:v>
      </x:c>
      <x:c r="O3794" t="str">
        <x:f>IF(D3794="","Unknown",IF(D3794&lt;25000,"&lt;$25k",IF(D3794&lt;50000,"$25k-$50k",IF(D3794&lt;75000,"$50k-$75k",IF(D3794&lt;100000,"$75k-$100k","$100k+")))))</x:f>
        <x:v>$25k-$50k</x:v>
      </x:c>
      <x:c r="P3794" t="str">
        <x:f>IF(E3794="","Unknown",IF(E3794&lt;10,"&lt;10",IF(E3794&lt;20,"10-&lt;20",IF(E3794&lt;25,"20-&lt;25",IF(E3794&lt;35,"25-&lt;35","35+")))))</x:f>
        <x:v>25-&lt;35</x:v>
      </x:c>
    </x:row>
    <x:row r="3795">
      <x:c r="A3795" t="str">
        <x:v>SYN0003794</x:v>
      </x:c>
      <x:c r="B3795" s="12" t="n">
        <x:v>42325</x:v>
      </x:c>
      <x:c r="C3795" s="18" t="n">
        <x:v>8468</x:v>
      </x:c>
      <x:c r="D3795" s="18" t="n">
        <x:v>134739</x:v>
      </x:c>
      <x:c r="E3795" s="18" t="n">
        <x:v>13.41</x:v>
      </x:c>
      <x:c r="F3795" s="18" t="n">
        <x:v>10.38</x:v>
      </x:c>
      <x:c r="G3795" t="n">
        <x:v>36</x:v>
      </x:c>
      <x:c r="H3795" t="str">
        <x:v>C</x:v>
      </x:c>
      <x:c r="I3795" t="str">
        <x:v>&lt;1 year</x:v>
      </x:c>
      <x:c r="J3795" t="str">
        <x:v>RENT</x:v>
      </x:c>
      <x:c r="K3795" t="str">
        <x:v>debt_consolidation</x:v>
      </x:c>
      <x:c r="L3795" t="n">
        <x:v>0</x:v>
      </x:c>
      <x:c r="M3795" t="n">
        <x:v>1</x:v>
      </x:c>
      <x:c r="N3795" t="str">
        <x:v>Charged Off</x:v>
      </x:c>
      <x:c r="O3795" t="str">
        <x:f>IF(D3795="","Unknown",IF(D3795&lt;25000,"&lt;$25k",IF(D3795&lt;50000,"$25k-$50k",IF(D3795&lt;75000,"$50k-$75k",IF(D3795&lt;100000,"$75k-$100k","$100k+")))))</x:f>
        <x:v>$100k+</x:v>
      </x:c>
      <x:c r="P3795" t="str">
        <x:f>IF(E3795="","Unknown",IF(E3795&lt;10,"&lt;10",IF(E3795&lt;20,"10-&lt;20",IF(E3795&lt;25,"20-&lt;25",IF(E3795&lt;35,"25-&lt;35","35+")))))</x:f>
        <x:v>10-&lt;20</x:v>
      </x:c>
    </x:row>
    <x:row r="3796">
      <x:c r="A3796" t="str">
        <x:v>SYN0003795</x:v>
      </x:c>
      <x:c r="B3796" s="12" t="n">
        <x:v>41425</x:v>
      </x:c>
      <x:c r="C3796" s="18" t="n">
        <x:v>6101</x:v>
      </x:c>
      <x:c r="D3796" s="18" t="n">
        <x:v>56059</x:v>
      </x:c>
      <x:c r="E3796" s="18" t="n">
        <x:v>14.75</x:v>
      </x:c>
      <x:c r="F3796" s="18" t="n">
        <x:v>10.39</x:v>
      </x:c>
      <x:c r="G3796" t="n">
        <x:v>60</x:v>
      </x:c>
      <x:c r="H3796" t="str">
        <x:v>C</x:v>
      </x:c>
      <x:c r="I3796" t="str">
        <x:v>&lt;1 year</x:v>
      </x:c>
      <x:c r="J3796" t="str">
        <x:v>OTHER</x:v>
      </x:c>
      <x:c r="K3796" t="str">
        <x:v>debt_consolidation</x:v>
      </x:c>
      <x:c r="L3796" t="n">
        <x:v>0</x:v>
      </x:c>
      <x:c r="M3796" t="n">
        <x:v>0</x:v>
      </x:c>
      <x:c r="N3796" t="str">
        <x:v>Fully Paid</x:v>
      </x:c>
      <x:c r="O3796" t="str">
        <x:f>IF(D3796="","Unknown",IF(D3796&lt;25000,"&lt;$25k",IF(D3796&lt;50000,"$25k-$50k",IF(D3796&lt;75000,"$50k-$75k",IF(D3796&lt;100000,"$75k-$100k","$100k+")))))</x:f>
        <x:v>$50k-$75k</x:v>
      </x:c>
      <x:c r="P3796" t="str">
        <x:f>IF(E3796="","Unknown",IF(E3796&lt;10,"&lt;10",IF(E3796&lt;20,"10-&lt;20",IF(E3796&lt;25,"20-&lt;25",IF(E3796&lt;35,"25-&lt;35","35+")))))</x:f>
        <x:v>10-&lt;20</x:v>
      </x:c>
    </x:row>
    <x:row r="3797">
      <x:c r="A3797" t="str">
        <x:v>SYN0003796</x:v>
      </x:c>
      <x:c r="B3797" s="12" t="n">
        <x:v>41365</x:v>
      </x:c>
      <x:c r="C3797" s="18" t="n">
        <x:v>14005</x:v>
      </x:c>
      <x:c r="D3797" s="18" t="n">
        <x:v>179296</x:v>
      </x:c>
      <x:c r="E3797" s="18" t="n">
        <x:v>12.38</x:v>
      </x:c>
      <x:c r="F3797" s="18" t="n">
        <x:v>5.72</x:v>
      </x:c>
      <x:c r="G3797" t="n">
        <x:v>36</x:v>
      </x:c>
      <x:c r="H3797" t="str">
        <x:v>A</x:v>
      </x:c>
      <x:c r="I3797" t="str">
        <x:v>&lt;1 year</x:v>
      </x:c>
      <x:c r="J3797" t="str">
        <x:v>RENT</x:v>
      </x:c>
      <x:c r="K3797" t="str">
        <x:v>debt_consolidation</x:v>
      </x:c>
      <x:c r="L3797" t="n">
        <x:v>0</x:v>
      </x:c>
      <x:c r="M3797" t="n">
        <x:v>0</x:v>
      </x:c>
      <x:c r="N3797" t="str">
        <x:v>Fully Paid</x:v>
      </x:c>
      <x:c r="O3797" t="str">
        <x:f>IF(D3797="","Unknown",IF(D3797&lt;25000,"&lt;$25k",IF(D3797&lt;50000,"$25k-$50k",IF(D3797&lt;75000,"$50k-$75k",IF(D3797&lt;100000,"$75k-$100k","$100k+")))))</x:f>
        <x:v>$100k+</x:v>
      </x:c>
      <x:c r="P3797" t="str">
        <x:f>IF(E3797="","Unknown",IF(E3797&lt;10,"&lt;10",IF(E3797&lt;20,"10-&lt;20",IF(E3797&lt;25,"20-&lt;25",IF(E3797&lt;35,"25-&lt;35","35+")))))</x:f>
        <x:v>10-&lt;20</x:v>
      </x:c>
    </x:row>
    <x:row r="3798">
      <x:c r="A3798" t="str">
        <x:v>SYN0003797</x:v>
      </x:c>
      <x:c r="B3798" s="12" t="n">
        <x:v>41905</x:v>
      </x:c>
      <x:c r="C3798" s="18" t="n">
        <x:v>13002</x:v>
      </x:c>
      <x:c r="D3798" s="18" t="n">
        <x:v>118075</x:v>
      </x:c>
      <x:c r="E3798" s="18" t="n">
        <x:v>27.52</x:v>
      </x:c>
      <x:c r="F3798" s="18" t="n">
        <x:v>10.27</x:v>
      </x:c>
      <x:c r="G3798" t="n">
        <x:v>36</x:v>
      </x:c>
      <x:c r="H3798" t="str">
        <x:v>A</x:v>
      </x:c>
      <x:c r="I3798" t="str">
        <x:v>1-3 years</x:v>
      </x:c>
      <x:c r="J3798" t="str">
        <x:v>RENT</x:v>
      </x:c>
      <x:c r="K3798" t="str">
        <x:v>debt_consolidation</x:v>
      </x:c>
      <x:c r="L3798" t="n">
        <x:v>0</x:v>
      </x:c>
      <x:c r="M3798" t="n">
        <x:v>0</x:v>
      </x:c>
      <x:c r="N3798" t="str">
        <x:v>Fully Paid</x:v>
      </x:c>
      <x:c r="O3798" t="str">
        <x:f>IF(D3798="","Unknown",IF(D3798&lt;25000,"&lt;$25k",IF(D3798&lt;50000,"$25k-$50k",IF(D3798&lt;75000,"$50k-$75k",IF(D3798&lt;100000,"$75k-$100k","$100k+")))))</x:f>
        <x:v>$100k+</x:v>
      </x:c>
      <x:c r="P3798" t="str">
        <x:f>IF(E3798="","Unknown",IF(E3798&lt;10,"&lt;10",IF(E3798&lt;20,"10-&lt;20",IF(E3798&lt;25,"20-&lt;25",IF(E3798&lt;35,"25-&lt;35","35+")))))</x:f>
        <x:v>25-&lt;35</x:v>
      </x:c>
    </x:row>
    <x:row r="3799">
      <x:c r="A3799" t="str">
        <x:v>SYN0003798</x:v>
      </x:c>
      <x:c r="B3799" s="12" t="n">
        <x:v>41575</x:v>
      </x:c>
      <x:c r="C3799" s="18" t="n">
        <x:v>8269</x:v>
      </x:c>
      <x:c r="D3799" s="18" t="n">
        <x:v>41899</x:v>
      </x:c>
      <x:c r="E3799" s="18" t="n">
        <x:v>17.95</x:v>
      </x:c>
      <x:c r="F3799" s="18" t="n">
        <x:v>5.63</x:v>
      </x:c>
      <x:c r="G3799" t="n">
        <x:v>60</x:v>
      </x:c>
      <x:c r="H3799" t="str">
        <x:v>B</x:v>
      </x:c>
      <x:c r="I3799" t="str">
        <x:v>10+ years</x:v>
      </x:c>
      <x:c r="J3799" t="str">
        <x:v>RENT</x:v>
      </x:c>
      <x:c r="K3799" t="str">
        <x:v>debt_consolidation</x:v>
      </x:c>
      <x:c r="L3799" t="n">
        <x:v>0</x:v>
      </x:c>
      <x:c r="M3799" t="n">
        <x:v>0</x:v>
      </x:c>
      <x:c r="N3799" t="str">
        <x:v>Fully Paid</x:v>
      </x:c>
      <x:c r="O3799" t="str">
        <x:f>IF(D3799="","Unknown",IF(D3799&lt;25000,"&lt;$25k",IF(D3799&lt;50000,"$25k-$50k",IF(D3799&lt;75000,"$50k-$75k",IF(D3799&lt;100000,"$75k-$100k","$100k+")))))</x:f>
        <x:v>$25k-$50k</x:v>
      </x:c>
      <x:c r="P3799" t="str">
        <x:f>IF(E3799="","Unknown",IF(E3799&lt;10,"&lt;10",IF(E3799&lt;20,"10-&lt;20",IF(E3799&lt;25,"20-&lt;25",IF(E3799&lt;35,"25-&lt;35","35+")))))</x:f>
        <x:v>10-&lt;20</x:v>
      </x:c>
    </x:row>
    <x:row r="3800">
      <x:c r="A3800" t="str">
        <x:v>SYN0003799</x:v>
      </x:c>
      <x:c r="B3800" s="12" t="n">
        <x:v>42805</x:v>
      </x:c>
      <x:c r="C3800" s="18" t="n">
        <x:v>35335</x:v>
      </x:c>
      <x:c r="D3800" s="18" t="n">
        <x:v>39950</x:v>
      </x:c>
      <x:c r="E3800" s="18" t="n">
        <x:v>24.18</x:v>
      </x:c>
      <x:c r="F3800" s="18" t="n">
        <x:v>10.04</x:v>
      </x:c>
      <x:c r="G3800" t="n">
        <x:v>36</x:v>
      </x:c>
      <x:c r="H3800" t="str">
        <x:v>C</x:v>
      </x:c>
      <x:c r="I3800" t="str">
        <x:v>10+ years</x:v>
      </x:c>
      <x:c r="J3800" t="str">
        <x:v>OWN</x:v>
      </x:c>
      <x:c r="K3800" t="str">
        <x:v>home_improvement</x:v>
      </x:c>
      <x:c r="L3800" t="n">
        <x:v>1</x:v>
      </x:c>
      <x:c r="M3800" t="n">
        <x:v>1</x:v>
      </x:c>
      <x:c r="N3800" t="str">
        <x:v>Charged Off</x:v>
      </x:c>
      <x:c r="O3800" t="str">
        <x:f>IF(D3800="","Unknown",IF(D3800&lt;25000,"&lt;$25k",IF(D3800&lt;50000,"$25k-$50k",IF(D3800&lt;75000,"$50k-$75k",IF(D3800&lt;100000,"$75k-$100k","$100k+")))))</x:f>
        <x:v>$25k-$50k</x:v>
      </x:c>
      <x:c r="P3800" t="str">
        <x:f>IF(E3800="","Unknown",IF(E3800&lt;10,"&lt;10",IF(E3800&lt;20,"10-&lt;20",IF(E3800&lt;25,"20-&lt;25",IF(E3800&lt;35,"25-&lt;35","35+")))))</x:f>
        <x:v>20-&lt;25</x:v>
      </x:c>
    </x:row>
    <x:row r="3801">
      <x:c r="A3801" t="str">
        <x:v>SYN0003800</x:v>
      </x:c>
      <x:c r="B3801" s="12" t="n">
        <x:v>43105</x:v>
      </x:c>
      <x:c r="C3801" s="18" t="n">
        <x:v>14447</x:v>
      </x:c>
      <x:c r="D3801" s="18" t="n">
        <x:v>19639</x:v>
      </x:c>
      <x:c r="E3801" s="18" t="n">
        <x:v>21.79</x:v>
      </x:c>
      <x:c r="F3801" s="18" t="n">
        <x:v>7.16</x:v>
      </x:c>
      <x:c r="G3801" t="n">
        <x:v>60</x:v>
      </x:c>
      <x:c r="H3801" t="str">
        <x:v>A</x:v>
      </x:c>
      <x:c r="I3801" t="str">
        <x:v>10+ years</x:v>
      </x:c>
      <x:c r="J3801" t="str">
        <x:v>MORTGAGE</x:v>
      </x:c>
      <x:c r="K3801" t="str">
        <x:v>home_improvement</x:v>
      </x:c>
      <x:c r="L3801" t="n">
        <x:v>1</x:v>
      </x:c>
      <x:c r="M3801" t="n">
        <x:v>0</x:v>
      </x:c>
      <x:c r="N3801" t="str">
        <x:v>Fully Paid</x:v>
      </x:c>
      <x:c r="O3801" t="str">
        <x:f>IF(D3801="","Unknown",IF(D3801&lt;25000,"&lt;$25k",IF(D3801&lt;50000,"$25k-$50k",IF(D3801&lt;75000,"$50k-$75k",IF(D3801&lt;100000,"$75k-$100k","$100k+")))))</x:f>
        <x:v>&lt;$25k</x:v>
      </x:c>
      <x:c r="P3801" t="str">
        <x:f>IF(E3801="","Unknown",IF(E3801&lt;10,"&lt;10",IF(E3801&lt;20,"10-&lt;20",IF(E3801&lt;25,"20-&lt;25",IF(E3801&lt;35,"25-&lt;35","35+")))))</x:f>
        <x:v>20-&lt;25</x:v>
      </x:c>
    </x:row>
    <x:row r="3802">
      <x:c r="A3802" t="str">
        <x:v>SYN0003801</x:v>
      </x:c>
      <x:c r="B3802" s="12" t="n">
        <x:v>42415</x:v>
      </x:c>
      <x:c r="C3802" s="18" t="n">
        <x:v>6880</x:v>
      </x:c>
      <x:c r="D3802" s="18" t="n">
        <x:v>59555</x:v>
      </x:c>
      <x:c r="E3802" s="18" t="n">
        <x:v>0</x:v>
      </x:c>
      <x:c r="F3802" s="18" t="n">
        <x:v>8.9</x:v>
      </x:c>
      <x:c r="G3802" t="n">
        <x:v>60</x:v>
      </x:c>
      <x:c r="H3802" t="str">
        <x:v>B</x:v>
      </x:c>
      <x:c r="I3802" t="str">
        <x:v>10+ years</x:v>
      </x:c>
      <x:c r="J3802" t="str">
        <x:v>RENT</x:v>
      </x:c>
      <x:c r="K3802" t="str">
        <x:v>credit_card</x:v>
      </x:c>
      <x:c r="L3802" t="n">
        <x:v>1</x:v>
      </x:c>
      <x:c r="M3802" t="n">
        <x:v>0</x:v>
      </x:c>
      <x:c r="N3802" t="str">
        <x:v>Fully Paid</x:v>
      </x:c>
      <x:c r="O3802" t="str">
        <x:f>IF(D3802="","Unknown",IF(D3802&lt;25000,"&lt;$25k",IF(D3802&lt;50000,"$25k-$50k",IF(D3802&lt;75000,"$50k-$75k",IF(D3802&lt;100000,"$75k-$100k","$100k+")))))</x:f>
        <x:v>$50k-$75k</x:v>
      </x:c>
      <x:c r="P3802" t="str">
        <x:f>IF(E3802="","Unknown",IF(E3802&lt;10,"&lt;10",IF(E3802&lt;20,"10-&lt;20",IF(E3802&lt;25,"20-&lt;25",IF(E3802&lt;35,"25-&lt;35","35+")))))</x:f>
        <x:v>Unknown</x:v>
      </x:c>
    </x:row>
    <x:row r="3803">
      <x:c r="A3803" t="str">
        <x:v>SYN0003802</x:v>
      </x:c>
      <x:c r="B3803" s="12" t="n">
        <x:v>41785</x:v>
      </x:c>
      <x:c r="C3803" s="18" t="n">
        <x:v>9003</x:v>
      </x:c>
      <x:c r="D3803" s="18" t="n">
        <x:v>49450</x:v>
      </x:c>
      <x:c r="E3803" s="18" t="n">
        <x:v>41.58</x:v>
      </x:c>
      <x:c r="F3803" s="18" t="n">
        <x:v>18.97</x:v>
      </x:c>
      <x:c r="G3803" t="n">
        <x:v>36</x:v>
      </x:c>
      <x:c r="H3803" t="str">
        <x:v>E</x:v>
      </x:c>
      <x:c r="I3803" t="str">
        <x:v>&lt;1 year</x:v>
      </x:c>
      <x:c r="J3803" t="str">
        <x:v>OWN</x:v>
      </x:c>
      <x:c r="K3803" t="str">
        <x:v>debt_consolidation</x:v>
      </x:c>
      <x:c r="L3803" t="n">
        <x:v>0</x:v>
      </x:c>
      <x:c r="M3803" t="n">
        <x:v>0</x:v>
      </x:c>
      <x:c r="N3803" t="str">
        <x:v>Fully Paid</x:v>
      </x:c>
      <x:c r="O3803" t="str">
        <x:f>IF(D3803="","Unknown",IF(D3803&lt;25000,"&lt;$25k",IF(D3803&lt;50000,"$25k-$50k",IF(D3803&lt;75000,"$50k-$75k",IF(D3803&lt;100000,"$75k-$100k","$100k+")))))</x:f>
        <x:v>$25k-$50k</x:v>
      </x:c>
      <x:c r="P3803" t="str">
        <x:f>IF(E3803="","Unknown",IF(E3803&lt;10,"&lt;10",IF(E3803&lt;20,"10-&lt;20",IF(E3803&lt;25,"20-&lt;25",IF(E3803&lt;35,"25-&lt;35","35+")))))</x:f>
        <x:v>35+</x:v>
      </x:c>
    </x:row>
    <x:row r="3804">
      <x:c r="A3804" t="str">
        <x:v>SYN0003803</x:v>
      </x:c>
      <x:c r="B3804" s="12" t="n">
        <x:v>43225</x:v>
      </x:c>
      <x:c r="C3804" s="18" t="n">
        <x:v>5961</x:v>
      </x:c>
      <x:c r="D3804" s="18" t="n">
        <x:v>30131</x:v>
      </x:c>
      <x:c r="E3804" s="18" t="n">
        <x:v>22.68</x:v>
      </x:c>
      <x:c r="F3804" s="18" t="n">
        <x:v>14.9</x:v>
      </x:c>
      <x:c r="G3804" t="n">
        <x:v>36</x:v>
      </x:c>
      <x:c r="H3804" t="str">
        <x:v>D</x:v>
      </x:c>
      <x:c r="I3804" t="str">
        <x:v>1-3 years</x:v>
      </x:c>
      <x:c r="J3804" t="str">
        <x:v>RENT</x:v>
      </x:c>
      <x:c r="K3804" t="str">
        <x:v>debt_consolidation</x:v>
      </x:c>
      <x:c r="L3804" t="n">
        <x:v>0</x:v>
      </x:c>
      <x:c r="M3804" t="n">
        <x:v>0</x:v>
      </x:c>
      <x:c r="N3804" t="str">
        <x:v>Fully Paid</x:v>
      </x:c>
      <x:c r="O3804" t="str">
        <x:f>IF(D3804="","Unknown",IF(D3804&lt;25000,"&lt;$25k",IF(D3804&lt;50000,"$25k-$50k",IF(D3804&lt;75000,"$50k-$75k",IF(D3804&lt;100000,"$75k-$100k","$100k+")))))</x:f>
        <x:v>$25k-$50k</x:v>
      </x:c>
      <x:c r="P3804" t="str">
        <x:f>IF(E3804="","Unknown",IF(E3804&lt;10,"&lt;10",IF(E3804&lt;20,"10-&lt;20",IF(E3804&lt;25,"20-&lt;25",IF(E3804&lt;35,"25-&lt;35","35+")))))</x:f>
        <x:v>20-&lt;25</x:v>
      </x:c>
    </x:row>
    <x:row r="3805">
      <x:c r="A3805" t="str">
        <x:v>SYN0003804</x:v>
      </x:c>
      <x:c r="B3805" s="12" t="n">
        <x:v>42205</x:v>
      </x:c>
      <x:c r="C3805" s="18" t="n">
        <x:v>33227</x:v>
      </x:c>
      <x:c r="D3805" s="18" t="n">
        <x:v>89223</x:v>
      </x:c>
      <x:c r="E3805" s="18" t="n">
        <x:v>20.23</x:v>
      </x:c>
      <x:c r="F3805" s="18" t="n">
        <x:v>21.63</x:v>
      </x:c>
      <x:c r="G3805" t="n">
        <x:v>60</x:v>
      </x:c>
      <x:c r="H3805" t="str">
        <x:v>F</x:v>
      </x:c>
      <x:c r="I3805" t="str">
        <x:v>1-3 years</x:v>
      </x:c>
      <x:c r="J3805" t="str">
        <x:v>OWN</x:v>
      </x:c>
      <x:c r="K3805" t="str">
        <x:v>debt_consolidation</x:v>
      </x:c>
      <x:c r="L3805" t="n">
        <x:v>1</x:v>
      </x:c>
      <x:c r="M3805" t="n">
        <x:v>0</x:v>
      </x:c>
      <x:c r="N3805" t="str">
        <x:v>Fully Paid</x:v>
      </x:c>
      <x:c r="O3805" t="str">
        <x:f>IF(D3805="","Unknown",IF(D3805&lt;25000,"&lt;$25k",IF(D3805&lt;50000,"$25k-$50k",IF(D3805&lt;75000,"$50k-$75k",IF(D3805&lt;100000,"$75k-$100k","$100k+")))))</x:f>
        <x:v>$75k-$100k</x:v>
      </x:c>
      <x:c r="P3805" t="str">
        <x:f>IF(E3805="","Unknown",IF(E3805&lt;10,"&lt;10",IF(E3805&lt;20,"10-&lt;20",IF(E3805&lt;25,"20-&lt;25",IF(E3805&lt;35,"25-&lt;35","35+")))))</x:f>
        <x:v>20-&lt;25</x:v>
      </x:c>
    </x:row>
    <x:row r="3806">
      <x:c r="A3806" t="str">
        <x:v>SYN0003805</x:v>
      </x:c>
      <x:c r="B3806" s="12" t="n">
        <x:v>41755</x:v>
      </x:c>
      <x:c r="C3806" s="18" t="n">
        <x:v>10904</x:v>
      </x:c>
      <x:c r="D3806" s="18" t="n">
        <x:v>44088</x:v>
      </x:c>
      <x:c r="E3806" s="18" t="n">
        <x:v>18.05</x:v>
      </x:c>
      <x:c r="F3806" s="18" t="n">
        <x:v>14.52</x:v>
      </x:c>
      <x:c r="G3806" t="n">
        <x:v>36</x:v>
      </x:c>
      <x:c r="H3806" t="str">
        <x:v>D</x:v>
      </x:c>
      <x:c r="I3806" t="str">
        <x:v>4-6 years</x:v>
      </x:c>
      <x:c r="J3806" t="str">
        <x:v>RENT</x:v>
      </x:c>
      <x:c r="K3806" t="str">
        <x:v>other</x:v>
      </x:c>
      <x:c r="L3806" t="n">
        <x:v>0</x:v>
      </x:c>
      <x:c r="M3806" t="n">
        <x:v>0</x:v>
      </x:c>
      <x:c r="N3806" t="str">
        <x:v>Fully Paid</x:v>
      </x:c>
      <x:c r="O3806" t="str">
        <x:f>IF(D3806="","Unknown",IF(D3806&lt;25000,"&lt;$25k",IF(D3806&lt;50000,"$25k-$50k",IF(D3806&lt;75000,"$50k-$75k",IF(D3806&lt;100000,"$75k-$100k","$100k+")))))</x:f>
        <x:v>$25k-$50k</x:v>
      </x:c>
      <x:c r="P3806" t="str">
        <x:f>IF(E3806="","Unknown",IF(E3806&lt;10,"&lt;10",IF(E3806&lt;20,"10-&lt;20",IF(E3806&lt;25,"20-&lt;25",IF(E3806&lt;35,"25-&lt;35","35+")))))</x:f>
        <x:v>10-&lt;20</x:v>
      </x:c>
    </x:row>
    <x:row r="3807">
      <x:c r="A3807" t="str">
        <x:v>SYN0003806</x:v>
      </x:c>
      <x:c r="B3807" s="12" t="n">
        <x:v>43255</x:v>
      </x:c>
      <x:c r="C3807" s="18" t="n">
        <x:v>10554</x:v>
      </x:c>
      <x:c r="D3807" s="18" t="n">
        <x:v>45006</x:v>
      </x:c>
      <x:c r="E3807" s="18" t="n">
        <x:v>33.87</x:v>
      </x:c>
      <x:c r="F3807" s="18" t="n">
        <x:v>16.21</x:v>
      </x:c>
      <x:c r="G3807" t="n">
        <x:v>36</x:v>
      </x:c>
      <x:c r="H3807" t="str">
        <x:v>E</x:v>
      </x:c>
      <x:c r="I3807" t="str">
        <x:v>&lt;1 year</x:v>
      </x:c>
      <x:c r="J3807" t="str">
        <x:v>RENT</x:v>
      </x:c>
      <x:c r="K3807" t="str">
        <x:v>credit_card</x:v>
      </x:c>
      <x:c r="L3807" t="n">
        <x:v>1</x:v>
      </x:c>
      <x:c r="M3807" t="n">
        <x:v>0</x:v>
      </x:c>
      <x:c r="N3807" t="str">
        <x:v>Fully Paid</x:v>
      </x:c>
      <x:c r="O3807" t="str">
        <x:f>IF(D3807="","Unknown",IF(D3807&lt;25000,"&lt;$25k",IF(D3807&lt;50000,"$25k-$50k",IF(D3807&lt;75000,"$50k-$75k",IF(D3807&lt;100000,"$75k-$100k","$100k+")))))</x:f>
        <x:v>$25k-$50k</x:v>
      </x:c>
      <x:c r="P3807" t="str">
        <x:f>IF(E3807="","Unknown",IF(E3807&lt;10,"&lt;10",IF(E3807&lt;20,"10-&lt;20",IF(E3807&lt;25,"20-&lt;25",IF(E3807&lt;35,"25-&lt;35","35+")))))</x:f>
        <x:v>25-&lt;35</x:v>
      </x:c>
    </x:row>
    <x:row r="3808">
      <x:c r="A3808" t="str">
        <x:v>SYN0003807</x:v>
      </x:c>
      <x:c r="B3808" s="12" t="n">
        <x:v>43225</x:v>
      </x:c>
      <x:c r="C3808" s="18" t="n">
        <x:v>14929</x:v>
      </x:c>
      <x:c r="D3808" s="18" t="n">
        <x:v>51013</x:v>
      </x:c>
      <x:c r="E3808" s="18" t="n">
        <x:v>33.69</x:v>
      </x:c>
      <x:c r="F3808" s="18" t="n">
        <x:v>17.32</x:v>
      </x:c>
      <x:c r="G3808" t="n">
        <x:v>60</x:v>
      </x:c>
      <x:c r="H3808" t="str">
        <x:v>D</x:v>
      </x:c>
      <x:c r="I3808" t="str">
        <x:v>&lt;1 year</x:v>
      </x:c>
      <x:c r="J3808" t="str">
        <x:v>MORTGAGE</x:v>
      </x:c>
      <x:c r="K3808" t="str">
        <x:v>other</x:v>
      </x:c>
      <x:c r="L3808" t="n">
        <x:v>0</x:v>
      </x:c>
      <x:c r="M3808" t="n">
        <x:v>0</x:v>
      </x:c>
      <x:c r="N3808" t="str">
        <x:v>Fully Paid</x:v>
      </x:c>
      <x:c r="O3808" t="str">
        <x:f>IF(D3808="","Unknown",IF(D3808&lt;25000,"&lt;$25k",IF(D3808&lt;50000,"$25k-$50k",IF(D3808&lt;75000,"$50k-$75k",IF(D3808&lt;100000,"$75k-$100k","$100k+")))))</x:f>
        <x:v>$50k-$75k</x:v>
      </x:c>
      <x:c r="P3808" t="str">
        <x:f>IF(E3808="","Unknown",IF(E3808&lt;10,"&lt;10",IF(E3808&lt;20,"10-&lt;20",IF(E3808&lt;25,"20-&lt;25",IF(E3808&lt;35,"25-&lt;35","35+")))))</x:f>
        <x:v>25-&lt;35</x:v>
      </x:c>
    </x:row>
    <x:row r="3809">
      <x:c r="A3809" t="str">
        <x:v>SYN0003808</x:v>
      </x:c>
      <x:c r="B3809" s="12" t="n">
        <x:v>42625</x:v>
      </x:c>
      <x:c r="C3809" s="18" t="n">
        <x:v>17037</x:v>
      </x:c>
      <x:c r="D3809" s="18" t="n">
        <x:v>40134</x:v>
      </x:c>
      <x:c r="E3809" s="18" t="n">
        <x:v>28.91</x:v>
      </x:c>
      <x:c r="F3809" s="18" t="n">
        <x:v>5</x:v>
      </x:c>
      <x:c r="G3809" t="n">
        <x:v>60</x:v>
      </x:c>
      <x:c r="H3809" t="str">
        <x:v>B</x:v>
      </x:c>
      <x:c r="I3809" t="str">
        <x:v>10+ years</x:v>
      </x:c>
      <x:c r="J3809" t="str">
        <x:v>MORTGAGE</x:v>
      </x:c>
      <x:c r="K3809" t="str">
        <x:v>debt_consolidation</x:v>
      </x:c>
      <x:c r="L3809" t="n">
        <x:v>0</x:v>
      </x:c>
      <x:c r="M3809" t="n">
        <x:v>0</x:v>
      </x:c>
      <x:c r="N3809" t="str">
        <x:v>Fully Paid</x:v>
      </x:c>
      <x:c r="O3809" t="str">
        <x:f>IF(D3809="","Unknown",IF(D3809&lt;25000,"&lt;$25k",IF(D3809&lt;50000,"$25k-$50k",IF(D3809&lt;75000,"$50k-$75k",IF(D3809&lt;100000,"$75k-$100k","$100k+")))))</x:f>
        <x:v>$25k-$50k</x:v>
      </x:c>
      <x:c r="P3809" t="str">
        <x:f>IF(E3809="","Unknown",IF(E3809&lt;10,"&lt;10",IF(E3809&lt;20,"10-&lt;20",IF(E3809&lt;25,"20-&lt;25",IF(E3809&lt;35,"25-&lt;35","35+")))))</x:f>
        <x:v>25-&lt;35</x:v>
      </x:c>
    </x:row>
    <x:row r="3810">
      <x:c r="A3810" t="str">
        <x:v>SYN0003809</x:v>
      </x:c>
      <x:c r="B3810" s="12" t="n">
        <x:v>41725</x:v>
      </x:c>
      <x:c r="C3810" s="18" t="n">
        <x:v>6865</x:v>
      </x:c>
      <x:c r="D3810" s="18" t="n">
        <x:v>250000</x:v>
      </x:c>
      <x:c r="E3810" s="18" t="n">
        <x:v>13.17</x:v>
      </x:c>
      <x:c r="F3810" s="18" t="n">
        <x:v>9.13</x:v>
      </x:c>
      <x:c r="G3810" t="n">
        <x:v>36</x:v>
      </x:c>
      <x:c r="H3810" t="str">
        <x:v>C</x:v>
      </x:c>
      <x:c r="I3810" t="str">
        <x:v>10+ years</x:v>
      </x:c>
      <x:c r="J3810" t="str">
        <x:v>MORTGAGE</x:v>
      </x:c>
      <x:c r="K3810" t="str">
        <x:v>debt_consolidation</x:v>
      </x:c>
      <x:c r="L3810" t="n">
        <x:v>1</x:v>
      </x:c>
      <x:c r="M3810" t="n">
        <x:v>0</x:v>
      </x:c>
      <x:c r="N3810" t="str">
        <x:v>Fully Paid</x:v>
      </x:c>
      <x:c r="O3810" t="str">
        <x:f>IF(D3810="","Unknown",IF(D3810&lt;25000,"&lt;$25k",IF(D3810&lt;50000,"$25k-$50k",IF(D3810&lt;75000,"$50k-$75k",IF(D3810&lt;100000,"$75k-$100k","$100k+")))))</x:f>
        <x:v>$100k+</x:v>
      </x:c>
      <x:c r="P3810" t="str">
        <x:f>IF(E3810="","Unknown",IF(E3810&lt;10,"&lt;10",IF(E3810&lt;20,"10-&lt;20",IF(E3810&lt;25,"20-&lt;25",IF(E3810&lt;35,"25-&lt;35","35+")))))</x:f>
        <x:v>10-&lt;20</x:v>
      </x:c>
    </x:row>
    <x:row r="3811">
      <x:c r="A3811" t="str">
        <x:v>SYN0003810</x:v>
      </x:c>
      <x:c r="B3811" s="12" t="n">
        <x:v>43135</x:v>
      </x:c>
      <x:c r="C3811" s="18" t="n">
        <x:v>8826</x:v>
      </x:c>
      <x:c r="D3811" s="18" t="n">
        <x:v>39257</x:v>
      </x:c>
      <x:c r="E3811" s="18" t="n">
        <x:v>27.54</x:v>
      </x:c>
      <x:c r="F3811" s="18" t="n">
        <x:v>19.46</x:v>
      </x:c>
      <x:c r="G3811" t="n">
        <x:v>36</x:v>
      </x:c>
      <x:c r="H3811" t="str">
        <x:v>F</x:v>
      </x:c>
      <x:c r="I3811" t="str">
        <x:v>10+ years</x:v>
      </x:c>
      <x:c r="J3811" t="str">
        <x:v>MORTGAGE</x:v>
      </x:c>
      <x:c r="K3811" t="str">
        <x:v>debt_consolidation</x:v>
      </x:c>
      <x:c r="L3811" t="n">
        <x:v>0</x:v>
      </x:c>
      <x:c r="M3811" t="n">
        <x:v>0</x:v>
      </x:c>
      <x:c r="N3811" t="str">
        <x:v>Fully Paid</x:v>
      </x:c>
      <x:c r="O3811" t="str">
        <x:f>IF(D3811="","Unknown",IF(D3811&lt;25000,"&lt;$25k",IF(D3811&lt;50000,"$25k-$50k",IF(D3811&lt;75000,"$50k-$75k",IF(D3811&lt;100000,"$75k-$100k","$100k+")))))</x:f>
        <x:v>$25k-$50k</x:v>
      </x:c>
      <x:c r="P3811" t="str">
        <x:f>IF(E3811="","Unknown",IF(E3811&lt;10,"&lt;10",IF(E3811&lt;20,"10-&lt;20",IF(E3811&lt;25,"20-&lt;25",IF(E3811&lt;35,"25-&lt;35","35+")))))</x:f>
        <x:v>25-&lt;35</x:v>
      </x:c>
    </x:row>
    <x:row r="3812">
      <x:c r="A3812" t="str">
        <x:v>SYN0003811</x:v>
      </x:c>
      <x:c r="B3812" s="12" t="n">
        <x:v>41545</x:v>
      </x:c>
      <x:c r="C3812" s="18" t="n">
        <x:v>3769</x:v>
      </x:c>
      <x:c r="D3812" s="18" t="n">
        <x:v>52428</x:v>
      </x:c>
      <x:c r="E3812" s="18" t="n">
        <x:v>32.46</x:v>
      </x:c>
      <x:c r="F3812" s="18" t="n">
        <x:v>7.61</x:v>
      </x:c>
      <x:c r="G3812" t="n">
        <x:v>36</x:v>
      </x:c>
      <x:c r="H3812" t="str">
        <x:v>A</x:v>
      </x:c>
      <x:c r="I3812" t="str">
        <x:v>&lt;1 year</x:v>
      </x:c>
      <x:c r="J3812" t="str">
        <x:v>MORTGAGE</x:v>
      </x:c>
      <x:c r="K3812" t="str">
        <x:v>medical</x:v>
      </x:c>
      <x:c r="L3812" t="n">
        <x:v>0</x:v>
      </x:c>
      <x:c r="M3812" t="n">
        <x:v>0</x:v>
      </x:c>
      <x:c r="N3812" t="str">
        <x:v>Fully Paid</x:v>
      </x:c>
      <x:c r="O3812" t="str">
        <x:f>IF(D3812="","Unknown",IF(D3812&lt;25000,"&lt;$25k",IF(D3812&lt;50000,"$25k-$50k",IF(D3812&lt;75000,"$50k-$75k",IF(D3812&lt;100000,"$75k-$100k","$100k+")))))</x:f>
        <x:v>$50k-$75k</x:v>
      </x:c>
      <x:c r="P3812" t="str">
        <x:f>IF(E3812="","Unknown",IF(E3812&lt;10,"&lt;10",IF(E3812&lt;20,"10-&lt;20",IF(E3812&lt;25,"20-&lt;25",IF(E3812&lt;35,"25-&lt;35","35+")))))</x:f>
        <x:v>25-&lt;35</x:v>
      </x:c>
    </x:row>
    <x:row r="3813">
      <x:c r="A3813" t="str">
        <x:v>SYN0003812</x:v>
      </x:c>
      <x:c r="B3813" s="12" t="n">
        <x:v>41905</x:v>
      </x:c>
      <x:c r="C3813" s="18" t="n">
        <x:v>9884</x:v>
      </x:c>
      <x:c r="D3813" s="18" t="n">
        <x:v>82664</x:v>
      </x:c>
      <x:c r="E3813" s="18" t="n">
        <x:v>6</x:v>
      </x:c>
      <x:c r="F3813" s="18" t="n">
        <x:v>5.92</x:v>
      </x:c>
      <x:c r="G3813" t="n">
        <x:v>36</x:v>
      </x:c>
      <x:c r="H3813" t="str">
        <x:v>A</x:v>
      </x:c>
      <x:c r="I3813" t="str">
        <x:v>1-3 years</x:v>
      </x:c>
      <x:c r="J3813" t="str">
        <x:v>MORTGAGE</x:v>
      </x:c>
      <x:c r="K3813" t="str">
        <x:v>debt_consolidation</x:v>
      </x:c>
      <x:c r="L3813" t="n">
        <x:v>1</x:v>
      </x:c>
      <x:c r="M3813" t="n">
        <x:v>0</x:v>
      </x:c>
      <x:c r="N3813" t="str">
        <x:v>Fully Paid</x:v>
      </x:c>
      <x:c r="O3813" t="str">
        <x:f>IF(D3813="","Unknown",IF(D3813&lt;25000,"&lt;$25k",IF(D3813&lt;50000,"$25k-$50k",IF(D3813&lt;75000,"$50k-$75k",IF(D3813&lt;100000,"$75k-$100k","$100k+")))))</x:f>
        <x:v>$75k-$100k</x:v>
      </x:c>
      <x:c r="P3813" t="str">
        <x:f>IF(E3813="","Unknown",IF(E3813&lt;10,"&lt;10",IF(E3813&lt;20,"10-&lt;20",IF(E3813&lt;25,"20-&lt;25",IF(E3813&lt;35,"25-&lt;35","35+")))))</x:f>
        <x:v>&lt;10</x:v>
      </x:c>
    </x:row>
    <x:row r="3814">
      <x:c r="A3814" t="str">
        <x:v>SYN0003813</x:v>
      </x:c>
      <x:c r="B3814" s="12" t="n">
        <x:v>41935</x:v>
      </x:c>
      <x:c r="C3814" s="18" t="n">
        <x:v>19607</x:v>
      </x:c>
      <x:c r="D3814" s="18" t="n">
        <x:v>92137</x:v>
      </x:c>
      <x:c r="E3814" s="18" t="n">
        <x:v>11.79</x:v>
      </x:c>
      <x:c r="F3814" s="18" t="n">
        <x:v>12.22</x:v>
      </x:c>
      <x:c r="G3814" t="n">
        <x:v>36</x:v>
      </x:c>
      <x:c r="H3814" t="str">
        <x:v>D</x:v>
      </x:c>
      <x:c r="I3814" t="str">
        <x:v>10+ years</x:v>
      </x:c>
      <x:c r="J3814" t="str">
        <x:v>MORTGAGE</x:v>
      </x:c>
      <x:c r="K3814" t="str">
        <x:v>medical</x:v>
      </x:c>
      <x:c r="L3814" t="n">
        <x:v>1</x:v>
      </x:c>
      <x:c r="M3814" t="n">
        <x:v>0</x:v>
      </x:c>
      <x:c r="N3814" t="str">
        <x:v>Fully Paid</x:v>
      </x:c>
      <x:c r="O3814" t="str">
        <x:f>IF(D3814="","Unknown",IF(D3814&lt;25000,"&lt;$25k",IF(D3814&lt;50000,"$25k-$50k",IF(D3814&lt;75000,"$50k-$75k",IF(D3814&lt;100000,"$75k-$100k","$100k+")))))</x:f>
        <x:v>$75k-$100k</x:v>
      </x:c>
      <x:c r="P3814" t="str">
        <x:f>IF(E3814="","Unknown",IF(E3814&lt;10,"&lt;10",IF(E3814&lt;20,"10-&lt;20",IF(E3814&lt;25,"20-&lt;25",IF(E3814&lt;35,"25-&lt;35","35+")))))</x:f>
        <x:v>10-&lt;20</x:v>
      </x:c>
    </x:row>
    <x:row r="3815">
      <x:c r="A3815" t="str">
        <x:v>SYN0003814</x:v>
      </x:c>
      <x:c r="B3815" s="12" t="n">
        <x:v>41455</x:v>
      </x:c>
      <x:c r="C3815" s="18" t="n">
        <x:v>12371</x:v>
      </x:c>
      <x:c r="D3815" s="18" t="n">
        <x:v>140368</x:v>
      </x:c>
      <x:c r="E3815" s="18" t="n">
        <x:v>8.6</x:v>
      </x:c>
      <x:c r="F3815" s="18" t="n">
        <x:v>12.46</x:v>
      </x:c>
      <x:c r="G3815" t="n">
        <x:v>36</x:v>
      </x:c>
      <x:c r="H3815" t="str">
        <x:v>C</x:v>
      </x:c>
      <x:c r="I3815" t="str">
        <x:v>&lt;1 year</x:v>
      </x:c>
      <x:c r="J3815" t="str">
        <x:v>RENT</x:v>
      </x:c>
      <x:c r="K3815" t="str">
        <x:v>debt_consolidation</x:v>
      </x:c>
      <x:c r="L3815" t="n">
        <x:v>1</x:v>
      </x:c>
      <x:c r="M3815" t="n">
        <x:v>0</x:v>
      </x:c>
      <x:c r="N3815" t="str">
        <x:v>Fully Paid</x:v>
      </x:c>
      <x:c r="O3815" t="str">
        <x:f>IF(D3815="","Unknown",IF(D3815&lt;25000,"&lt;$25k",IF(D3815&lt;50000,"$25k-$50k",IF(D3815&lt;75000,"$50k-$75k",IF(D3815&lt;100000,"$75k-$100k","$100k+")))))</x:f>
        <x:v>$100k+</x:v>
      </x:c>
      <x:c r="P3815" t="str">
        <x:f>IF(E3815="","Unknown",IF(E3815&lt;10,"&lt;10",IF(E3815&lt;20,"10-&lt;20",IF(E3815&lt;25,"20-&lt;25",IF(E3815&lt;35,"25-&lt;35","35+")))))</x:f>
        <x:v>&lt;10</x:v>
      </x:c>
    </x:row>
    <x:row r="3816">
      <x:c r="A3816" t="str">
        <x:v>SYN0003815</x:v>
      </x:c>
      <x:c r="B3816" s="12" t="n">
        <x:v>42355</x:v>
      </x:c>
      <x:c r="C3816" s="18" t="n">
        <x:v>7397</x:v>
      </x:c>
      <x:c r="D3816" s="18" t="n">
        <x:v>51075</x:v>
      </x:c>
      <x:c r="E3816" s="18" t="n">
        <x:v>20.23</x:v>
      </x:c>
      <x:c r="F3816" s="18" t="n">
        <x:v>17.92</x:v>
      </x:c>
      <x:c r="G3816" t="n">
        <x:v>36</x:v>
      </x:c>
      <x:c r="H3816" t="str">
        <x:v>E</x:v>
      </x:c>
      <x:c r="I3816" t="str">
        <x:v>1-3 years</x:v>
      </x:c>
      <x:c r="J3816" t="str">
        <x:v>RENT</x:v>
      </x:c>
      <x:c r="K3816" t="str">
        <x:v>credit_card</x:v>
      </x:c>
      <x:c r="L3816" t="n">
        <x:v>1</x:v>
      </x:c>
      <x:c r="M3816" t="n">
        <x:v>0</x:v>
      </x:c>
      <x:c r="N3816" t="str">
        <x:v>Fully Paid</x:v>
      </x:c>
      <x:c r="O3816" t="str">
        <x:f>IF(D3816="","Unknown",IF(D3816&lt;25000,"&lt;$25k",IF(D3816&lt;50000,"$25k-$50k",IF(D3816&lt;75000,"$50k-$75k",IF(D3816&lt;100000,"$75k-$100k","$100k+")))))</x:f>
        <x:v>$50k-$75k</x:v>
      </x:c>
      <x:c r="P3816" t="str">
        <x:f>IF(E3816="","Unknown",IF(E3816&lt;10,"&lt;10",IF(E3816&lt;20,"10-&lt;20",IF(E3816&lt;25,"20-&lt;25",IF(E3816&lt;35,"25-&lt;35","35+")))))</x:f>
        <x:v>20-&lt;25</x:v>
      </x:c>
    </x:row>
    <x:row r="3817">
      <x:c r="A3817" t="str">
        <x:v>SYN0003816</x:v>
      </x:c>
      <x:c r="B3817" s="12" t="n">
        <x:v>42055</x:v>
      </x:c>
      <x:c r="C3817" s="18" t="n">
        <x:v>40000</x:v>
      </x:c>
      <x:c r="D3817" s="18" t="n">
        <x:v>136339</x:v>
      </x:c>
      <x:c r="E3817" s="18" t="n">
        <x:v>18.61</x:v>
      </x:c>
      <x:c r="F3817" s="18" t="n">
        <x:v>17.41</x:v>
      </x:c>
      <x:c r="G3817" t="n">
        <x:v>36</x:v>
      </x:c>
      <x:c r="H3817" t="str">
        <x:v>E</x:v>
      </x:c>
      <x:c r="I3817" t="str">
        <x:v>1-3 years</x:v>
      </x:c>
      <x:c r="J3817" t="str">
        <x:v>RENT</x:v>
      </x:c>
      <x:c r="K3817" t="str">
        <x:v>credit_card</x:v>
      </x:c>
      <x:c r="L3817" t="n">
        <x:v>1</x:v>
      </x:c>
      <x:c r="M3817" t="n">
        <x:v>0</x:v>
      </x:c>
      <x:c r="N3817" t="str">
        <x:v>Fully Paid</x:v>
      </x:c>
      <x:c r="O3817" t="str">
        <x:f>IF(D3817="","Unknown",IF(D3817&lt;25000,"&lt;$25k",IF(D3817&lt;50000,"$25k-$50k",IF(D3817&lt;75000,"$50k-$75k",IF(D3817&lt;100000,"$75k-$100k","$100k+")))))</x:f>
        <x:v>$100k+</x:v>
      </x:c>
      <x:c r="P3817" t="str">
        <x:f>IF(E3817="","Unknown",IF(E3817&lt;10,"&lt;10",IF(E3817&lt;20,"10-&lt;20",IF(E3817&lt;25,"20-&lt;25",IF(E3817&lt;35,"25-&lt;35","35+")))))</x:f>
        <x:v>10-&lt;20</x:v>
      </x:c>
    </x:row>
    <x:row r="3818">
      <x:c r="A3818" t="str">
        <x:v>SYN0003817</x:v>
      </x:c>
      <x:c r="B3818" s="12" t="n">
        <x:v>43225</x:v>
      </x:c>
      <x:c r="C3818" s="18" t="n">
        <x:v>13764</x:v>
      </x:c>
      <x:c r="D3818" s="18" t="n">
        <x:v>32867</x:v>
      </x:c>
      <x:c r="E3818" s="18" t="n">
        <x:v>12.3</x:v>
      </x:c>
      <x:c r="F3818" s="18" t="n">
        <x:v>25.2</x:v>
      </x:c>
      <x:c r="G3818" t="n">
        <x:v>36</x:v>
      </x:c>
      <x:c r="H3818" t="str">
        <x:v>G</x:v>
      </x:c>
      <x:c r="I3818" t="str">
        <x:v>4-6 years</x:v>
      </x:c>
      <x:c r="J3818" t="str">
        <x:v>MORTGAGE</x:v>
      </x:c>
      <x:c r="K3818" t="str">
        <x:v>debt_consolidation</x:v>
      </x:c>
      <x:c r="L3818" t="n">
        <x:v>1</x:v>
      </x:c>
      <x:c r="M3818" t="n">
        <x:v>0</x:v>
      </x:c>
      <x:c r="N3818" t="str">
        <x:v>Fully Paid</x:v>
      </x:c>
      <x:c r="O3818" t="str">
        <x:f>IF(D3818="","Unknown",IF(D3818&lt;25000,"&lt;$25k",IF(D3818&lt;50000,"$25k-$50k",IF(D3818&lt;75000,"$50k-$75k",IF(D3818&lt;100000,"$75k-$100k","$100k+")))))</x:f>
        <x:v>$25k-$50k</x:v>
      </x:c>
      <x:c r="P3818" t="str">
        <x:f>IF(E3818="","Unknown",IF(E3818&lt;10,"&lt;10",IF(E3818&lt;20,"10-&lt;20",IF(E3818&lt;25,"20-&lt;25",IF(E3818&lt;35,"25-&lt;35","35+")))))</x:f>
        <x:v>10-&lt;20</x:v>
      </x:c>
    </x:row>
    <x:row r="3819">
      <x:c r="A3819" t="str">
        <x:v>SYN0003818</x:v>
      </x:c>
      <x:c r="B3819" s="12" t="n">
        <x:v>42415</x:v>
      </x:c>
      <x:c r="C3819" s="18" t="n">
        <x:v>11098</x:v>
      </x:c>
      <x:c r="D3819" s="18" t="n">
        <x:v>37216</x:v>
      </x:c>
      <x:c r="E3819" s="18" t="n">
        <x:v>33.78</x:v>
      </x:c>
      <x:c r="F3819" s="18" t="n">
        <x:v>15.03</x:v>
      </x:c>
      <x:c r="G3819" t="n">
        <x:v>36</x:v>
      </x:c>
      <x:c r="H3819" t="str">
        <x:v>D</x:v>
      </x:c>
      <x:c r="I3819" t="str">
        <x:v>10+ years</x:v>
      </x:c>
      <x:c r="J3819" t="str">
        <x:v>RENT</x:v>
      </x:c>
      <x:c r="K3819" t="str">
        <x:v>major_purchase</x:v>
      </x:c>
      <x:c r="L3819" t="n">
        <x:v>0</x:v>
      </x:c>
      <x:c r="M3819" t="n">
        <x:v>0</x:v>
      </x:c>
      <x:c r="N3819" t="str">
        <x:v>Fully Paid</x:v>
      </x:c>
      <x:c r="O3819" t="str">
        <x:f>IF(D3819="","Unknown",IF(D3819&lt;25000,"&lt;$25k",IF(D3819&lt;50000,"$25k-$50k",IF(D3819&lt;75000,"$50k-$75k",IF(D3819&lt;100000,"$75k-$100k","$100k+")))))</x:f>
        <x:v>$25k-$50k</x:v>
      </x:c>
      <x:c r="P3819" t="str">
        <x:f>IF(E3819="","Unknown",IF(E3819&lt;10,"&lt;10",IF(E3819&lt;20,"10-&lt;20",IF(E3819&lt;25,"20-&lt;25",IF(E3819&lt;35,"25-&lt;35","35+")))))</x:f>
        <x:v>25-&lt;35</x:v>
      </x:c>
    </x:row>
    <x:row r="3820">
      <x:c r="A3820" t="str">
        <x:v>SYN0003819</x:v>
      </x:c>
      <x:c r="B3820" s="12" t="n">
        <x:v>43165</x:v>
      </x:c>
      <x:c r="C3820" s="18" t="n">
        <x:v>9036</x:v>
      </x:c>
      <x:c r="D3820" s="18" t="n">
        <x:v>28191</x:v>
      </x:c>
      <x:c r="E3820" s="18" t="n">
        <x:v>11.01</x:v>
      </x:c>
      <x:c r="F3820" s="18" t="n">
        <x:v>13.62</x:v>
      </x:c>
      <x:c r="G3820" t="n">
        <x:v>36</x:v>
      </x:c>
      <x:c r="H3820" t="str">
        <x:v>C</x:v>
      </x:c>
      <x:c r="I3820" t="str">
        <x:v>10+ years</x:v>
      </x:c>
      <x:c r="J3820" t="str">
        <x:v>RENT</x:v>
      </x:c>
      <x:c r="K3820" t="str">
        <x:v>debt_consolidation</x:v>
      </x:c>
      <x:c r="L3820" t="n">
        <x:v>1</x:v>
      </x:c>
      <x:c r="M3820" t="n">
        <x:v>1</x:v>
      </x:c>
      <x:c r="N3820" t="str">
        <x:v>Charged Off</x:v>
      </x:c>
      <x:c r="O3820" t="str">
        <x:f>IF(D3820="","Unknown",IF(D3820&lt;25000,"&lt;$25k",IF(D3820&lt;50000,"$25k-$50k",IF(D3820&lt;75000,"$50k-$75k",IF(D3820&lt;100000,"$75k-$100k","$100k+")))))</x:f>
        <x:v>$25k-$50k</x:v>
      </x:c>
      <x:c r="P3820" t="str">
        <x:f>IF(E3820="","Unknown",IF(E3820&lt;10,"&lt;10",IF(E3820&lt;20,"10-&lt;20",IF(E3820&lt;25,"20-&lt;25",IF(E3820&lt;35,"25-&lt;35","35+")))))</x:f>
        <x:v>10-&lt;20</x:v>
      </x:c>
    </x:row>
    <x:row r="3821">
      <x:c r="A3821" t="str">
        <x:v>SYN0003820</x:v>
      </x:c>
      <x:c r="B3821" s="12" t="n">
        <x:v>43375</x:v>
      </x:c>
      <x:c r="C3821" s="18" t="n">
        <x:v>9279</x:v>
      </x:c>
      <x:c r="D3821" s="18" t="n">
        <x:v>95758</x:v>
      </x:c>
      <x:c r="E3821" s="18" t="n">
        <x:v>18.54</x:v>
      </x:c>
      <x:c r="F3821" s="18" t="n">
        <x:v>13.28</x:v>
      </x:c>
      <x:c r="G3821" t="n">
        <x:v>60</x:v>
      </x:c>
      <x:c r="H3821" t="str">
        <x:v>D</x:v>
      </x:c>
      <x:c r="I3821" t="str">
        <x:v>&lt;1 year</x:v>
      </x:c>
      <x:c r="J3821" t="str">
        <x:v>MORTGAGE</x:v>
      </x:c>
      <x:c r="K3821" t="str">
        <x:v>credit_card</x:v>
      </x:c>
      <x:c r="L3821" t="n">
        <x:v>1</x:v>
      </x:c>
      <x:c r="M3821" t="n">
        <x:v>0</x:v>
      </x:c>
      <x:c r="N3821" t="str">
        <x:v>Fully Paid</x:v>
      </x:c>
      <x:c r="O3821" t="str">
        <x:f>IF(D3821="","Unknown",IF(D3821&lt;25000,"&lt;$25k",IF(D3821&lt;50000,"$25k-$50k",IF(D3821&lt;75000,"$50k-$75k",IF(D3821&lt;100000,"$75k-$100k","$100k+")))))</x:f>
        <x:v>$75k-$100k</x:v>
      </x:c>
      <x:c r="P3821" t="str">
        <x:f>IF(E3821="","Unknown",IF(E3821&lt;10,"&lt;10",IF(E3821&lt;20,"10-&lt;20",IF(E3821&lt;25,"20-&lt;25",IF(E3821&lt;35,"25-&lt;35","35+")))))</x:f>
        <x:v>10-&lt;20</x:v>
      </x:c>
    </x:row>
    <x:row r="3822">
      <x:c r="A3822" t="str">
        <x:v>SYN0003821</x:v>
      </x:c>
      <x:c r="B3822" s="12" t="n">
        <x:v>42835</x:v>
      </x:c>
      <x:c r="C3822" s="18" t="n">
        <x:v>16806</x:v>
      </x:c>
      <x:c r="D3822" s="18" t="n">
        <x:v>129042</x:v>
      </x:c>
      <x:c r="E3822" s="18" t="n">
        <x:v>10.22</x:v>
      </x:c>
      <x:c r="F3822" s="18" t="n">
        <x:v>9.55</x:v>
      </x:c>
      <x:c r="G3822" t="n">
        <x:v>36</x:v>
      </x:c>
      <x:c r="H3822" t="str">
        <x:v>A</x:v>
      </x:c>
      <x:c r="I3822" t="str">
        <x:v>10+ years</x:v>
      </x:c>
      <x:c r="J3822" t="str">
        <x:v>OWN</x:v>
      </x:c>
      <x:c r="K3822" t="str">
        <x:v>home_improvement</x:v>
      </x:c>
      <x:c r="L3822" t="n">
        <x:v>2</x:v>
      </x:c>
      <x:c r="M3822" t="n">
        <x:v>0</x:v>
      </x:c>
      <x:c r="N3822" t="str">
        <x:v>Fully Paid</x:v>
      </x:c>
      <x:c r="O3822" t="str">
        <x:f>IF(D3822="","Unknown",IF(D3822&lt;25000,"&lt;$25k",IF(D3822&lt;50000,"$25k-$50k",IF(D3822&lt;75000,"$50k-$75k",IF(D3822&lt;100000,"$75k-$100k","$100k+")))))</x:f>
        <x:v>$100k+</x:v>
      </x:c>
      <x:c r="P3822" t="str">
        <x:f>IF(E3822="","Unknown",IF(E3822&lt;10,"&lt;10",IF(E3822&lt;20,"10-&lt;20",IF(E3822&lt;25,"20-&lt;25",IF(E3822&lt;35,"25-&lt;35","35+")))))</x:f>
        <x:v>10-&lt;20</x:v>
      </x:c>
    </x:row>
    <x:row r="3823">
      <x:c r="A3823" t="str">
        <x:v>SYN0003822</x:v>
      </x:c>
      <x:c r="B3823" s="12" t="n">
        <x:v>43255</x:v>
      </x:c>
      <x:c r="C3823" s="18" t="n">
        <x:v>17700</x:v>
      </x:c>
      <x:c r="D3823" s="18" t="n">
        <x:v>35318</x:v>
      </x:c>
      <x:c r="E3823" s="18" t="n">
        <x:v>27.5</x:v>
      </x:c>
      <x:c r="F3823" s="18" t="n">
        <x:v>5</x:v>
      </x:c>
      <x:c r="G3823" t="n">
        <x:v>60</x:v>
      </x:c>
      <x:c r="H3823" t="str">
        <x:v>A</x:v>
      </x:c>
      <x:c r="I3823" t="str">
        <x:v>4-6 years</x:v>
      </x:c>
      <x:c r="J3823" t="str">
        <x:v>MORTGAGE</x:v>
      </x:c>
      <x:c r="K3823" t="str">
        <x:v>debt_consolidation</x:v>
      </x:c>
      <x:c r="L3823" t="n">
        <x:v>0</x:v>
      </x:c>
      <x:c r="M3823" t="n">
        <x:v>0</x:v>
      </x:c>
      <x:c r="N3823" t="str">
        <x:v>Fully Paid</x:v>
      </x:c>
      <x:c r="O3823" t="str">
        <x:f>IF(D3823="","Unknown",IF(D3823&lt;25000,"&lt;$25k",IF(D3823&lt;50000,"$25k-$50k",IF(D3823&lt;75000,"$50k-$75k",IF(D3823&lt;100000,"$75k-$100k","$100k+")))))</x:f>
        <x:v>$25k-$50k</x:v>
      </x:c>
      <x:c r="P3823" t="str">
        <x:f>IF(E3823="","Unknown",IF(E3823&lt;10,"&lt;10",IF(E3823&lt;20,"10-&lt;20",IF(E3823&lt;25,"20-&lt;25",IF(E3823&lt;35,"25-&lt;35","35+")))))</x:f>
        <x:v>25-&lt;35</x:v>
      </x:c>
    </x:row>
    <x:row r="3824">
      <x:c r="A3824" t="str">
        <x:v>SYN0003823</x:v>
      </x:c>
      <x:c r="B3824" s="12" t="n">
        <x:v>42415</x:v>
      </x:c>
      <x:c r="C3824" s="18" t="n">
        <x:v>10701</x:v>
      </x:c>
      <x:c r="D3824" s="18" t="n">
        <x:v>183690</x:v>
      </x:c>
      <x:c r="E3824" s="18" t="n">
        <x:v>15.88</x:v>
      </x:c>
      <x:c r="F3824" s="18" t="n">
        <x:v>10.26</x:v>
      </x:c>
      <x:c r="G3824" t="n">
        <x:v>36</x:v>
      </x:c>
      <x:c r="H3824" t="str">
        <x:v>C</x:v>
      </x:c>
      <x:c r="I3824" t="str">
        <x:v>10+ years</x:v>
      </x:c>
      <x:c r="J3824" t="str">
        <x:v>RENT</x:v>
      </x:c>
      <x:c r="K3824" t="str">
        <x:v>home_improvement</x:v>
      </x:c>
      <x:c r="L3824" t="n">
        <x:v>0</x:v>
      </x:c>
      <x:c r="M3824" t="n">
        <x:v>0</x:v>
      </x:c>
      <x:c r="N3824" t="str">
        <x:v>Fully Paid</x:v>
      </x:c>
      <x:c r="O3824" t="str">
        <x:f>IF(D3824="","Unknown",IF(D3824&lt;25000,"&lt;$25k",IF(D3824&lt;50000,"$25k-$50k",IF(D3824&lt;75000,"$50k-$75k",IF(D3824&lt;100000,"$75k-$100k","$100k+")))))</x:f>
        <x:v>$100k+</x:v>
      </x:c>
      <x:c r="P3824" t="str">
        <x:f>IF(E3824="","Unknown",IF(E3824&lt;10,"&lt;10",IF(E3824&lt;20,"10-&lt;20",IF(E3824&lt;25,"20-&lt;25",IF(E3824&lt;35,"25-&lt;35","35+")))))</x:f>
        <x:v>10-&lt;20</x:v>
      </x:c>
    </x:row>
    <x:row r="3825">
      <x:c r="A3825" t="str">
        <x:v>SYN0003824</x:v>
      </x:c>
      <x:c r="B3825" s="12" t="n">
        <x:v>42025</x:v>
      </x:c>
      <x:c r="C3825" s="18" t="n">
        <x:v>30508</x:v>
      </x:c>
      <x:c r="D3825" s="18" t="n">
        <x:v>53045</x:v>
      </x:c>
      <x:c r="E3825" s="18" t="n">
        <x:v>24.87</x:v>
      </x:c>
      <x:c r="F3825" s="18" t="n">
        <x:v>13.94</x:v>
      </x:c>
      <x:c r="G3825" t="n">
        <x:v>36</x:v>
      </x:c>
      <x:c r="H3825" t="str">
        <x:v>C</x:v>
      </x:c>
      <x:c r="I3825" t="str">
        <x:v>10+ years</x:v>
      </x:c>
      <x:c r="J3825" t="str">
        <x:v>MORTGAGE</x:v>
      </x:c>
      <x:c r="K3825" t="str">
        <x:v>major_purchase</x:v>
      </x:c>
      <x:c r="L3825" t="n">
        <x:v>0</x:v>
      </x:c>
      <x:c r="M3825" t="n">
        <x:v>0</x:v>
      </x:c>
      <x:c r="N3825" t="str">
        <x:v>Fully Paid</x:v>
      </x:c>
      <x:c r="O3825" t="str">
        <x:f>IF(D3825="","Unknown",IF(D3825&lt;25000,"&lt;$25k",IF(D3825&lt;50000,"$25k-$50k",IF(D3825&lt;75000,"$50k-$75k",IF(D3825&lt;100000,"$75k-$100k","$100k+")))))</x:f>
        <x:v>$50k-$75k</x:v>
      </x:c>
      <x:c r="P3825" t="str">
        <x:f>IF(E3825="","Unknown",IF(E3825&lt;10,"&lt;10",IF(E3825&lt;20,"10-&lt;20",IF(E3825&lt;25,"20-&lt;25",IF(E3825&lt;35,"25-&lt;35","35+")))))</x:f>
        <x:v>20-&lt;25</x:v>
      </x:c>
    </x:row>
    <x:row r="3826">
      <x:c r="A3826" t="str">
        <x:v>SYN0003825</x:v>
      </x:c>
      <x:c r="B3826" s="12" t="n">
        <x:v>41275</x:v>
      </x:c>
      <x:c r="C3826" s="18" t="n">
        <x:v>12801</x:v>
      </x:c>
      <x:c r="D3826" s="18" t="n">
        <x:v>45389</x:v>
      </x:c>
      <x:c r="E3826" s="18" t="n">
        <x:v>32.21</x:v>
      </x:c>
      <x:c r="F3826" s="18" t="n">
        <x:v>6.85</x:v>
      </x:c>
      <x:c r="G3826" t="n">
        <x:v>60</x:v>
      </x:c>
      <x:c r="H3826" t="str">
        <x:v>A</x:v>
      </x:c>
      <x:c r="I3826" t="str">
        <x:v>1-3 years</x:v>
      </x:c>
      <x:c r="J3826" t="str">
        <x:v>MORTGAGE</x:v>
      </x:c>
      <x:c r="K3826" t="str">
        <x:v>debt_consolidation</x:v>
      </x:c>
      <x:c r="L3826" t="n">
        <x:v>0</x:v>
      </x:c>
      <x:c r="M3826" t="n">
        <x:v>0</x:v>
      </x:c>
      <x:c r="N3826" t="str">
        <x:v>Fully Paid</x:v>
      </x:c>
      <x:c r="O3826" t="str">
        <x:f>IF(D3826="","Unknown",IF(D3826&lt;25000,"&lt;$25k",IF(D3826&lt;50000,"$25k-$50k",IF(D3826&lt;75000,"$50k-$75k",IF(D3826&lt;100000,"$75k-$100k","$100k+")))))</x:f>
        <x:v>$25k-$50k</x:v>
      </x:c>
      <x:c r="P3826" t="str">
        <x:f>IF(E3826="","Unknown",IF(E3826&lt;10,"&lt;10",IF(E3826&lt;20,"10-&lt;20",IF(E3826&lt;25,"20-&lt;25",IF(E3826&lt;35,"25-&lt;35","35+")))))</x:f>
        <x:v>25-&lt;35</x:v>
      </x:c>
    </x:row>
    <x:row r="3827">
      <x:c r="A3827" t="str">
        <x:v>SYN0003826</x:v>
      </x:c>
      <x:c r="B3827" s="12" t="n">
        <x:v>42295</x:v>
      </x:c>
      <x:c r="C3827" s="18" t="n">
        <x:v>22403</x:v>
      </x:c>
      <x:c r="D3827" s="18" t="n">
        <x:v>73585</x:v>
      </x:c>
      <x:c r="E3827" s="18" t="n">
        <x:v>11.42</x:v>
      </x:c>
      <x:c r="F3827" s="18" t="n">
        <x:v>13.46</x:v>
      </x:c>
      <x:c r="G3827" t="n">
        <x:v>36</x:v>
      </x:c>
      <x:c r="H3827" t="str">
        <x:v>D</x:v>
      </x:c>
      <x:c r="I3827" t="str">
        <x:v>10+ years</x:v>
      </x:c>
      <x:c r="J3827" t="str">
        <x:v>MORTGAGE</x:v>
      </x:c>
      <x:c r="K3827" t="str">
        <x:v>major_purchase</x:v>
      </x:c>
      <x:c r="L3827" t="n">
        <x:v>0</x:v>
      </x:c>
      <x:c r="M3827" t="n">
        <x:v>0</x:v>
      </x:c>
      <x:c r="N3827" t="str">
        <x:v>Fully Paid</x:v>
      </x:c>
      <x:c r="O3827" t="str">
        <x:f>IF(D3827="","Unknown",IF(D3827&lt;25000,"&lt;$25k",IF(D3827&lt;50000,"$25k-$50k",IF(D3827&lt;75000,"$50k-$75k",IF(D3827&lt;100000,"$75k-$100k","$100k+")))))</x:f>
        <x:v>$50k-$75k</x:v>
      </x:c>
      <x:c r="P3827" t="str">
        <x:f>IF(E3827="","Unknown",IF(E3827&lt;10,"&lt;10",IF(E3827&lt;20,"10-&lt;20",IF(E3827&lt;25,"20-&lt;25",IF(E3827&lt;35,"25-&lt;35","35+")))))</x:f>
        <x:v>10-&lt;20</x:v>
      </x:c>
    </x:row>
    <x:row r="3828">
      <x:c r="A3828" t="str">
        <x:v>SYN0003827</x:v>
      </x:c>
      <x:c r="B3828" s="12" t="n">
        <x:v>43045</x:v>
      </x:c>
      <x:c r="C3828" s="18" t="n">
        <x:v>14629</x:v>
      </x:c>
      <x:c r="D3828" s="18" t="n">
        <x:v>41321</x:v>
      </x:c>
      <x:c r="E3828" s="18" t="n">
        <x:v>16.33</x:v>
      </x:c>
      <x:c r="F3828" s="18" t="n">
        <x:v>6.05</x:v>
      </x:c>
      <x:c r="G3828" t="n">
        <x:v>36</x:v>
      </x:c>
      <x:c r="H3828" t="str">
        <x:v>A</x:v>
      </x:c>
      <x:c r="I3828" t="str">
        <x:v>&lt;1 year</x:v>
      </x:c>
      <x:c r="J3828" t="str">
        <x:v>MORTGAGE</x:v>
      </x:c>
      <x:c r="K3828" t="str">
        <x:v>credit_card</x:v>
      </x:c>
      <x:c r="L3828" t="n">
        <x:v>0</x:v>
      </x:c>
      <x:c r="M3828" t="n">
        <x:v>0</x:v>
      </x:c>
      <x:c r="N3828" t="str">
        <x:v>Fully Paid</x:v>
      </x:c>
      <x:c r="O3828" t="str">
        <x:f>IF(D3828="","Unknown",IF(D3828&lt;25000,"&lt;$25k",IF(D3828&lt;50000,"$25k-$50k",IF(D3828&lt;75000,"$50k-$75k",IF(D3828&lt;100000,"$75k-$100k","$100k+")))))</x:f>
        <x:v>$25k-$50k</x:v>
      </x:c>
      <x:c r="P3828" t="str">
        <x:f>IF(E3828="","Unknown",IF(E3828&lt;10,"&lt;10",IF(E3828&lt;20,"10-&lt;20",IF(E3828&lt;25,"20-&lt;25",IF(E3828&lt;35,"25-&lt;35","35+")))))</x:f>
        <x:v>10-&lt;20</x:v>
      </x:c>
    </x:row>
    <x:row r="3829">
      <x:c r="A3829" t="str">
        <x:v>SYN0003828</x:v>
      </x:c>
      <x:c r="B3829" s="12" t="n">
        <x:v>41905</x:v>
      </x:c>
      <x:c r="C3829" s="18" t="n">
        <x:v>14372</x:v>
      </x:c>
      <x:c r="D3829" s="18" t="n">
        <x:v>47052</x:v>
      </x:c>
      <x:c r="E3829" s="18" t="n">
        <x:v>30.88</x:v>
      </x:c>
      <x:c r="F3829" s="18" t="n">
        <x:v>9.61</x:v>
      </x:c>
      <x:c r="G3829" t="n">
        <x:v>36</x:v>
      </x:c>
      <x:c r="H3829" t="str">
        <x:v>B</x:v>
      </x:c>
      <x:c r="I3829" t="str">
        <x:v>&lt;1 year</x:v>
      </x:c>
      <x:c r="J3829" t="str">
        <x:v>OWN</x:v>
      </x:c>
      <x:c r="K3829" t="str">
        <x:v>debt_consolidation</x:v>
      </x:c>
      <x:c r="L3829" t="n">
        <x:v>1</x:v>
      </x:c>
      <x:c r="M3829" t="n">
        <x:v>0</x:v>
      </x:c>
      <x:c r="N3829" t="str">
        <x:v>Fully Paid</x:v>
      </x:c>
      <x:c r="O3829" t="str">
        <x:f>IF(D3829="","Unknown",IF(D3829&lt;25000,"&lt;$25k",IF(D3829&lt;50000,"$25k-$50k",IF(D3829&lt;75000,"$50k-$75k",IF(D3829&lt;100000,"$75k-$100k","$100k+")))))</x:f>
        <x:v>$25k-$50k</x:v>
      </x:c>
      <x:c r="P3829" t="str">
        <x:f>IF(E3829="","Unknown",IF(E3829&lt;10,"&lt;10",IF(E3829&lt;20,"10-&lt;20",IF(E3829&lt;25,"20-&lt;25",IF(E3829&lt;35,"25-&lt;35","35+")))))</x:f>
        <x:v>25-&lt;35</x:v>
      </x:c>
    </x:row>
    <x:row r="3830">
      <x:c r="A3830" t="str">
        <x:v>SYN0003829</x:v>
      </x:c>
      <x:c r="B3830" s="12" t="n">
        <x:v>41995</x:v>
      </x:c>
      <x:c r="C3830" s="18" t="n">
        <x:v>11387</x:v>
      </x:c>
      <x:c r="D3830" s="18" t="n">
        <x:v>46850</x:v>
      </x:c>
      <x:c r="E3830" s="18" t="n">
        <x:v>16.65</x:v>
      </x:c>
      <x:c r="F3830" s="18" t="n">
        <x:v>11.46</x:v>
      </x:c>
      <x:c r="G3830" t="n">
        <x:v>36</x:v>
      </x:c>
      <x:c r="H3830" t="str">
        <x:v>D</x:v>
      </x:c>
      <x:c r="I3830" t="str">
        <x:v>1-3 years</x:v>
      </x:c>
      <x:c r="J3830" t="str">
        <x:v>RENT</x:v>
      </x:c>
      <x:c r="K3830" t="str">
        <x:v>debt_consolidation</x:v>
      </x:c>
      <x:c r="L3830" t="n">
        <x:v>0</x:v>
      </x:c>
      <x:c r="M3830" t="n">
        <x:v>0</x:v>
      </x:c>
      <x:c r="N3830" t="str">
        <x:v>Fully Paid</x:v>
      </x:c>
      <x:c r="O3830" t="str">
        <x:f>IF(D3830="","Unknown",IF(D3830&lt;25000,"&lt;$25k",IF(D3830&lt;50000,"$25k-$50k",IF(D3830&lt;75000,"$50k-$75k",IF(D3830&lt;100000,"$75k-$100k","$100k+")))))</x:f>
        <x:v>$25k-$50k</x:v>
      </x:c>
      <x:c r="P3830" t="str">
        <x:f>IF(E3830="","Unknown",IF(E3830&lt;10,"&lt;10",IF(E3830&lt;20,"10-&lt;20",IF(E3830&lt;25,"20-&lt;25",IF(E3830&lt;35,"25-&lt;35","35+")))))</x:f>
        <x:v>10-&lt;20</x:v>
      </x:c>
    </x:row>
    <x:row r="3831">
      <x:c r="A3831" t="str">
        <x:v>SYN0003830</x:v>
      </x:c>
      <x:c r="B3831" s="12" t="n">
        <x:v>43375</x:v>
      </x:c>
      <x:c r="C3831" s="18" t="n">
        <x:v>16938</x:v>
      </x:c>
      <x:c r="D3831" s="18" t="n">
        <x:v>75879</x:v>
      </x:c>
      <x:c r="E3831" s="18" t="n">
        <x:v>28.66</x:v>
      </x:c>
      <x:c r="F3831" s="18" t="n">
        <x:v>9.33</x:v>
      </x:c>
      <x:c r="G3831" t="n">
        <x:v>60</x:v>
      </x:c>
      <x:c r="H3831" t="str">
        <x:v>B</x:v>
      </x:c>
      <x:c r="I3831" t="str">
        <x:v>7-9 years</x:v>
      </x:c>
      <x:c r="J3831" t="str">
        <x:v>RENT</x:v>
      </x:c>
      <x:c r="K3831" t="str">
        <x:v>debt_consolidation</x:v>
      </x:c>
      <x:c r="L3831" t="n">
        <x:v>2</x:v>
      </x:c>
      <x:c r="M3831" t="n">
        <x:v>0</x:v>
      </x:c>
      <x:c r="N3831" t="str">
        <x:v>Fully Paid</x:v>
      </x:c>
      <x:c r="O3831" t="str">
        <x:f>IF(D3831="","Unknown",IF(D3831&lt;25000,"&lt;$25k",IF(D3831&lt;50000,"$25k-$50k",IF(D3831&lt;75000,"$50k-$75k",IF(D3831&lt;100000,"$75k-$100k","$100k+")))))</x:f>
        <x:v>$75k-$100k</x:v>
      </x:c>
      <x:c r="P3831" t="str">
        <x:f>IF(E3831="","Unknown",IF(E3831&lt;10,"&lt;10",IF(E3831&lt;20,"10-&lt;20",IF(E3831&lt;25,"20-&lt;25",IF(E3831&lt;35,"25-&lt;35","35+")))))</x:f>
        <x:v>25-&lt;35</x:v>
      </x:c>
    </x:row>
    <x:row r="3832">
      <x:c r="A3832" t="str">
        <x:v>SYN0003831</x:v>
      </x:c>
      <x:c r="B3832" s="12" t="n">
        <x:v>42115</x:v>
      </x:c>
      <x:c r="C3832" s="18" t="n">
        <x:v>13679</x:v>
      </x:c>
      <x:c r="D3832" s="18" t="n">
        <x:v>29416</x:v>
      </x:c>
      <x:c r="E3832" s="18" t="n">
        <x:v>11.49</x:v>
      </x:c>
      <x:c r="F3832" s="18" t="n">
        <x:v>5.73</x:v>
      </x:c>
      <x:c r="G3832" t="n">
        <x:v>36</x:v>
      </x:c>
      <x:c r="H3832" t="str">
        <x:v>A</x:v>
      </x:c>
      <x:c r="I3832" t="str">
        <x:v>10+ years</x:v>
      </x:c>
      <x:c r="J3832" t="str">
        <x:v>MORTGAGE</x:v>
      </x:c>
      <x:c r="K3832" t="str">
        <x:v>credit_card</x:v>
      </x:c>
      <x:c r="L3832" t="n">
        <x:v>0</x:v>
      </x:c>
      <x:c r="M3832" t="n">
        <x:v>0</x:v>
      </x:c>
      <x:c r="N3832" t="str">
        <x:v>Fully Paid</x:v>
      </x:c>
      <x:c r="O3832" t="str">
        <x:f>IF(D3832="","Unknown",IF(D3832&lt;25000,"&lt;$25k",IF(D3832&lt;50000,"$25k-$50k",IF(D3832&lt;75000,"$50k-$75k",IF(D3832&lt;100000,"$75k-$100k","$100k+")))))</x:f>
        <x:v>$25k-$50k</x:v>
      </x:c>
      <x:c r="P3832" t="str">
        <x:f>IF(E3832="","Unknown",IF(E3832&lt;10,"&lt;10",IF(E3832&lt;20,"10-&lt;20",IF(E3832&lt;25,"20-&lt;25",IF(E3832&lt;35,"25-&lt;35","35+")))))</x:f>
        <x:v>10-&lt;20</x:v>
      </x:c>
    </x:row>
    <x:row r="3833">
      <x:c r="A3833" t="str">
        <x:v>SYN0003832</x:v>
      </x:c>
      <x:c r="B3833" s="12" t="n">
        <x:v>42475</x:v>
      </x:c>
      <x:c r="C3833" s="18" t="n">
        <x:v>7679</x:v>
      </x:c>
      <x:c r="D3833" s="18" t="n">
        <x:v>23809</x:v>
      </x:c>
      <x:c r="E3833" s="18" t="n">
        <x:v>17.31</x:v>
      </x:c>
      <x:c r="F3833" s="18" t="n">
        <x:v>7.74</x:v>
      </x:c>
      <x:c r="G3833" t="n">
        <x:v>60</x:v>
      </x:c>
      <x:c r="H3833" t="str">
        <x:v>B</x:v>
      </x:c>
      <x:c r="I3833" t="str">
        <x:v>4-6 years</x:v>
      </x:c>
      <x:c r="J3833" t="str">
        <x:v>MORTGAGE</x:v>
      </x:c>
      <x:c r="K3833" t="str">
        <x:v>major_purchase</x:v>
      </x:c>
      <x:c r="L3833" t="n">
        <x:v>0</x:v>
      </x:c>
      <x:c r="M3833" t="n">
        <x:v>0</x:v>
      </x:c>
      <x:c r="N3833" t="str">
        <x:v>Fully Paid</x:v>
      </x:c>
      <x:c r="O3833" t="str">
        <x:f>IF(D3833="","Unknown",IF(D3833&lt;25000,"&lt;$25k",IF(D3833&lt;50000,"$25k-$50k",IF(D3833&lt;75000,"$50k-$75k",IF(D3833&lt;100000,"$75k-$100k","$100k+")))))</x:f>
        <x:v>&lt;$25k</x:v>
      </x:c>
      <x:c r="P3833" t="str">
        <x:f>IF(E3833="","Unknown",IF(E3833&lt;10,"&lt;10",IF(E3833&lt;20,"10-&lt;20",IF(E3833&lt;25,"20-&lt;25",IF(E3833&lt;35,"25-&lt;35","35+")))))</x:f>
        <x:v>10-&lt;20</x:v>
      </x:c>
    </x:row>
    <x:row r="3834">
      <x:c r="A3834" t="str">
        <x:v>SYN0003833</x:v>
      </x:c>
      <x:c r="B3834" s="12" t="n">
        <x:v>43105</x:v>
      </x:c>
      <x:c r="C3834" s="18" t="n">
        <x:v>25501</x:v>
      </x:c>
      <x:c r="D3834" s="18" t="n">
        <x:v>44636</x:v>
      </x:c>
      <x:c r="E3834" s="18" t="n">
        <x:v>27.14</x:v>
      </x:c>
      <x:c r="F3834" s="18" t="n">
        <x:v>14.36</x:v>
      </x:c>
      <x:c r="G3834" t="n">
        <x:v>60</x:v>
      </x:c>
      <x:c r="H3834" t="str">
        <x:v>E</x:v>
      </x:c>
      <x:c r="I3834" t="str">
        <x:v>1-3 years</x:v>
      </x:c>
      <x:c r="J3834" t="str">
        <x:v>RENT</x:v>
      </x:c>
      <x:c r="K3834" t="str">
        <x:v>home_improvement</x:v>
      </x:c>
      <x:c r="L3834" t="n">
        <x:v>3</x:v>
      </x:c>
      <x:c r="M3834" t="n">
        <x:v>1</x:v>
      </x:c>
      <x:c r="N3834" t="str">
        <x:v>Charged Off</x:v>
      </x:c>
      <x:c r="O3834" t="str">
        <x:f>IF(D3834="","Unknown",IF(D3834&lt;25000,"&lt;$25k",IF(D3834&lt;50000,"$25k-$50k",IF(D3834&lt;75000,"$50k-$75k",IF(D3834&lt;100000,"$75k-$100k","$100k+")))))</x:f>
        <x:v>$25k-$50k</x:v>
      </x:c>
      <x:c r="P3834" t="str">
        <x:f>IF(E3834="","Unknown",IF(E3834&lt;10,"&lt;10",IF(E3834&lt;20,"10-&lt;20",IF(E3834&lt;25,"20-&lt;25",IF(E3834&lt;35,"25-&lt;35","35+")))))</x:f>
        <x:v>25-&lt;35</x:v>
      </x:c>
    </x:row>
    <x:row r="3835">
      <x:c r="A3835" t="str">
        <x:v>SYN0003834</x:v>
      </x:c>
      <x:c r="B3835" s="12" t="n">
        <x:v>41515</x:v>
      </x:c>
      <x:c r="C3835" s="18" t="n">
        <x:v>22833</x:v>
      </x:c>
      <x:c r="D3835" s="18" t="n">
        <x:v>86272</x:v>
      </x:c>
      <x:c r="E3835" s="18" t="n">
        <x:v>22.86</x:v>
      </x:c>
      <x:c r="F3835" s="18" t="n">
        <x:v>6.97</x:v>
      </x:c>
      <x:c r="G3835" t="n">
        <x:v>36</x:v>
      </x:c>
      <x:c r="H3835" t="str">
        <x:v>B</x:v>
      </x:c>
      <x:c r="I3835" t="str">
        <x:v>1-3 years</x:v>
      </x:c>
      <x:c r="J3835" t="str">
        <x:v>RENT</x:v>
      </x:c>
      <x:c r="K3835" t="str">
        <x:v>home_improvement</x:v>
      </x:c>
      <x:c r="L3835" t="n">
        <x:v>2</x:v>
      </x:c>
      <x:c r="M3835" t="n">
        <x:v>1</x:v>
      </x:c>
      <x:c r="N3835" t="str">
        <x:v>Charged Off</x:v>
      </x:c>
      <x:c r="O3835" t="str">
        <x:f>IF(D3835="","Unknown",IF(D3835&lt;25000,"&lt;$25k",IF(D3835&lt;50000,"$25k-$50k",IF(D3835&lt;75000,"$50k-$75k",IF(D3835&lt;100000,"$75k-$100k","$100k+")))))</x:f>
        <x:v>$75k-$100k</x:v>
      </x:c>
      <x:c r="P3835" t="str">
        <x:f>IF(E3835="","Unknown",IF(E3835&lt;10,"&lt;10",IF(E3835&lt;20,"10-&lt;20",IF(E3835&lt;25,"20-&lt;25",IF(E3835&lt;35,"25-&lt;35","35+")))))</x:f>
        <x:v>20-&lt;25</x:v>
      </x:c>
    </x:row>
    <x:row r="3836">
      <x:c r="A3836" t="str">
        <x:v>SYN0003835</x:v>
      </x:c>
      <x:c r="B3836" s="12" t="n">
        <x:v>41545</x:v>
      </x:c>
      <x:c r="C3836" s="18" t="n">
        <x:v>12313</x:v>
      </x:c>
      <x:c r="D3836" s="18" t="n">
        <x:v>13948</x:v>
      </x:c>
      <x:c r="E3836" s="18" t="n">
        <x:v>24.14</x:v>
      </x:c>
      <x:c r="F3836" s="18" t="n">
        <x:v>11.26</x:v>
      </x:c>
      <x:c r="G3836" t="n">
        <x:v>36</x:v>
      </x:c>
      <x:c r="H3836" t="str">
        <x:v>C</x:v>
      </x:c>
      <x:c r="I3836" t="str">
        <x:v>10+ years</x:v>
      </x:c>
      <x:c r="J3836" t="str">
        <x:v>RENT</x:v>
      </x:c>
      <x:c r="K3836" t="str">
        <x:v>debt_consolidation</x:v>
      </x:c>
      <x:c r="L3836" t="n">
        <x:v>0</x:v>
      </x:c>
      <x:c r="M3836" t="n">
        <x:v>0</x:v>
      </x:c>
      <x:c r="N3836" t="str">
        <x:v>Fully Paid</x:v>
      </x:c>
      <x:c r="O3836" t="str">
        <x:f>IF(D3836="","Unknown",IF(D3836&lt;25000,"&lt;$25k",IF(D3836&lt;50000,"$25k-$50k",IF(D3836&lt;75000,"$50k-$75k",IF(D3836&lt;100000,"$75k-$100k","$100k+")))))</x:f>
        <x:v>&lt;$25k</x:v>
      </x:c>
      <x:c r="P3836" t="str">
        <x:f>IF(E3836="","Unknown",IF(E3836&lt;10,"&lt;10",IF(E3836&lt;20,"10-&lt;20",IF(E3836&lt;25,"20-&lt;25",IF(E3836&lt;35,"25-&lt;35","35+")))))</x:f>
        <x:v>20-&lt;25</x:v>
      </x:c>
    </x:row>
    <x:row r="3837">
      <x:c r="A3837" t="str">
        <x:v>SYN0003836</x:v>
      </x:c>
      <x:c r="B3837" s="12" t="n">
        <x:v>41335</x:v>
      </x:c>
      <x:c r="C3837" s="18" t="n">
        <x:v>7151</x:v>
      </x:c>
      <x:c r="D3837" s="18" t="n">
        <x:v>46290</x:v>
      </x:c>
      <x:c r="E3837" s="18" t="n">
        <x:v>25.6</x:v>
      </x:c>
      <x:c r="F3837" s="18" t="n">
        <x:v>21.19</x:v>
      </x:c>
      <x:c r="G3837" t="n">
        <x:v>36</x:v>
      </x:c>
      <x:c r="H3837" t="str">
        <x:v>E</x:v>
      </x:c>
      <x:c r="I3837" t="str">
        <x:v>&lt;1 year</x:v>
      </x:c>
      <x:c r="J3837" t="str">
        <x:v>MORTGAGE</x:v>
      </x:c>
      <x:c r="K3837" t="str">
        <x:v>credit_card</x:v>
      </x:c>
      <x:c r="L3837" t="n">
        <x:v>1</x:v>
      </x:c>
      <x:c r="M3837" t="n">
        <x:v>0</x:v>
      </x:c>
      <x:c r="N3837" t="str">
        <x:v>Fully Paid</x:v>
      </x:c>
      <x:c r="O3837" t="str">
        <x:f>IF(D3837="","Unknown",IF(D3837&lt;25000,"&lt;$25k",IF(D3837&lt;50000,"$25k-$50k",IF(D3837&lt;75000,"$50k-$75k",IF(D3837&lt;100000,"$75k-$100k","$100k+")))))</x:f>
        <x:v>$25k-$50k</x:v>
      </x:c>
      <x:c r="P3837" t="str">
        <x:f>IF(E3837="","Unknown",IF(E3837&lt;10,"&lt;10",IF(E3837&lt;20,"10-&lt;20",IF(E3837&lt;25,"20-&lt;25",IF(E3837&lt;35,"25-&lt;35","35+")))))</x:f>
        <x:v>25-&lt;35</x:v>
      </x:c>
    </x:row>
    <x:row r="3838">
      <x:c r="A3838" t="str">
        <x:v>SYN0003837</x:v>
      </x:c>
      <x:c r="B3838" s="12" t="n">
        <x:v>41635</x:v>
      </x:c>
      <x:c r="C3838" s="18" t="n">
        <x:v>17887</x:v>
      </x:c>
      <x:c r="D3838" s="18" t="n">
        <x:v>67520</x:v>
      </x:c>
      <x:c r="E3838" s="18" t="n">
        <x:v>25.08</x:v>
      </x:c>
      <x:c r="F3838" s="18" t="n">
        <x:v>7.9</x:v>
      </x:c>
      <x:c r="G3838" t="n">
        <x:v>36</x:v>
      </x:c>
      <x:c r="H3838" t="str">
        <x:v>A</x:v>
      </x:c>
      <x:c r="I3838" t="str">
        <x:v>10+ years</x:v>
      </x:c>
      <x:c r="J3838" t="str">
        <x:v>MORTGAGE</x:v>
      </x:c>
      <x:c r="K3838" t="str">
        <x:v>home_improvement</x:v>
      </x:c>
      <x:c r="L3838" t="n">
        <x:v>0</x:v>
      </x:c>
      <x:c r="M3838" t="n">
        <x:v>0</x:v>
      </x:c>
      <x:c r="N3838" t="str">
        <x:v>Fully Paid</x:v>
      </x:c>
      <x:c r="O3838" t="str">
        <x:f>IF(D3838="","Unknown",IF(D3838&lt;25000,"&lt;$25k",IF(D3838&lt;50000,"$25k-$50k",IF(D3838&lt;75000,"$50k-$75k",IF(D3838&lt;100000,"$75k-$100k","$100k+")))))</x:f>
        <x:v>$50k-$75k</x:v>
      </x:c>
      <x:c r="P3838" t="str">
        <x:f>IF(E3838="","Unknown",IF(E3838&lt;10,"&lt;10",IF(E3838&lt;20,"10-&lt;20",IF(E3838&lt;25,"20-&lt;25",IF(E3838&lt;35,"25-&lt;35","35+")))))</x:f>
        <x:v>25-&lt;35</x:v>
      </x:c>
    </x:row>
    <x:row r="3839">
      <x:c r="A3839" t="str">
        <x:v>SYN0003838</x:v>
      </x:c>
      <x:c r="B3839" s="12" t="n">
        <x:v>42325</x:v>
      </x:c>
      <x:c r="C3839" s="18" t="n">
        <x:v>10362</x:v>
      </x:c>
      <x:c r="D3839" s="18" t="n">
        <x:v>120439</x:v>
      </x:c>
      <x:c r="E3839" s="18" t="n">
        <x:v>17.23</x:v>
      </x:c>
      <x:c r="F3839" s="18" t="n">
        <x:v>10.93</x:v>
      </x:c>
      <x:c r="G3839" t="n">
        <x:v>36</x:v>
      </x:c>
      <x:c r="H3839" t="str">
        <x:v>B</x:v>
      </x:c>
      <x:c r="I3839" t="str">
        <x:v>&lt;1 year</x:v>
      </x:c>
      <x:c r="J3839" t="str">
        <x:v>MORTGAGE</x:v>
      </x:c>
      <x:c r="K3839" t="str">
        <x:v>credit_card</x:v>
      </x:c>
      <x:c r="L3839" t="n">
        <x:v>1</x:v>
      </x:c>
      <x:c r="M3839" t="n">
        <x:v>0</x:v>
      </x:c>
      <x:c r="N3839" t="str">
        <x:v>Fully Paid</x:v>
      </x:c>
      <x:c r="O3839" t="str">
        <x:f>IF(D3839="","Unknown",IF(D3839&lt;25000,"&lt;$25k",IF(D3839&lt;50000,"$25k-$50k",IF(D3839&lt;75000,"$50k-$75k",IF(D3839&lt;100000,"$75k-$100k","$100k+")))))</x:f>
        <x:v>$100k+</x:v>
      </x:c>
      <x:c r="P3839" t="str">
        <x:f>IF(E3839="","Unknown",IF(E3839&lt;10,"&lt;10",IF(E3839&lt;20,"10-&lt;20",IF(E3839&lt;25,"20-&lt;25",IF(E3839&lt;35,"25-&lt;35","35+")))))</x:f>
        <x:v>10-&lt;20</x:v>
      </x:c>
    </x:row>
    <x:row r="3840">
      <x:c r="A3840" t="str">
        <x:v>SYN0003839</x:v>
      </x:c>
      <x:c r="B3840" s="12" t="n">
        <x:v>42655</x:v>
      </x:c>
      <x:c r="C3840" s="18" t="n">
        <x:v>4910</x:v>
      </x:c>
      <x:c r="D3840" s="18" t="n">
        <x:v>36979</x:v>
      </x:c>
      <x:c r="E3840" s="18" t="n">
        <x:v>0</x:v>
      </x:c>
      <x:c r="F3840" s="18" t="n">
        <x:v>23.31</x:v>
      </x:c>
      <x:c r="G3840" t="n">
        <x:v>36</x:v>
      </x:c>
      <x:c r="H3840" t="str">
        <x:v>G</x:v>
      </x:c>
      <x:c r="I3840" t="str">
        <x:v>10+ years</x:v>
      </x:c>
      <x:c r="J3840" t="str">
        <x:v>OWN</x:v>
      </x:c>
      <x:c r="K3840" t="str">
        <x:v>debt_consolidation</x:v>
      </x:c>
      <x:c r="L3840" t="n">
        <x:v>0</x:v>
      </x:c>
      <x:c r="M3840" t="n">
        <x:v>1</x:v>
      </x:c>
      <x:c r="N3840" t="str">
        <x:v>Charged Off</x:v>
      </x:c>
      <x:c r="O3840" t="str">
        <x:f>IF(D3840="","Unknown",IF(D3840&lt;25000,"&lt;$25k",IF(D3840&lt;50000,"$25k-$50k",IF(D3840&lt;75000,"$50k-$75k",IF(D3840&lt;100000,"$75k-$100k","$100k+")))))</x:f>
        <x:v>$25k-$50k</x:v>
      </x:c>
      <x:c r="P3840" t="str">
        <x:f>IF(E3840="","Unknown",IF(E3840&lt;10,"&lt;10",IF(E3840&lt;20,"10-&lt;20",IF(E3840&lt;25,"20-&lt;25",IF(E3840&lt;35,"25-&lt;35","35+")))))</x:f>
        <x:v>Unknown</x:v>
      </x:c>
    </x:row>
    <x:row r="3841">
      <x:c r="A3841" t="str">
        <x:v>SYN0003840</x:v>
      </x:c>
      <x:c r="B3841" s="12" t="n">
        <x:v>42625</x:v>
      </x:c>
      <x:c r="C3841" s="18" t="n">
        <x:v>7707</x:v>
      </x:c>
      <x:c r="D3841" s="18" t="n">
        <x:v>64588</x:v>
      </x:c>
      <x:c r="E3841" s="18" t="n">
        <x:v>36</x:v>
      </x:c>
      <x:c r="F3841" s="18" t="n">
        <x:v>13.01</x:v>
      </x:c>
      <x:c r="G3841" t="n">
        <x:v>36</x:v>
      </x:c>
      <x:c r="H3841" t="str">
        <x:v>D</x:v>
      </x:c>
      <x:c r="I3841" t="str">
        <x:v>1-3 years</x:v>
      </x:c>
      <x:c r="J3841" t="str">
        <x:v>OWN</x:v>
      </x:c>
      <x:c r="K3841" t="str">
        <x:v>major_purchase</x:v>
      </x:c>
      <x:c r="L3841" t="n">
        <x:v>1</x:v>
      </x:c>
      <x:c r="M3841" t="n">
        <x:v>0</x:v>
      </x:c>
      <x:c r="N3841" t="str">
        <x:v>Fully Paid</x:v>
      </x:c>
      <x:c r="O3841" t="str">
        <x:f>IF(D3841="","Unknown",IF(D3841&lt;25000,"&lt;$25k",IF(D3841&lt;50000,"$25k-$50k",IF(D3841&lt;75000,"$50k-$75k",IF(D3841&lt;100000,"$75k-$100k","$100k+")))))</x:f>
        <x:v>$50k-$75k</x:v>
      </x:c>
      <x:c r="P3841" t="str">
        <x:f>IF(E3841="","Unknown",IF(E3841&lt;10,"&lt;10",IF(E3841&lt;20,"10-&lt;20",IF(E3841&lt;25,"20-&lt;25",IF(E3841&lt;35,"25-&lt;35","35+")))))</x:f>
        <x:v>35+</x:v>
      </x:c>
    </x:row>
    <x:row r="3842">
      <x:c r="A3842" t="str">
        <x:v>SYN0003841</x:v>
      </x:c>
      <x:c r="B3842" s="12" t="n">
        <x:v>42685</x:v>
      </x:c>
      <x:c r="C3842" s="18" t="n">
        <x:v>16253</x:v>
      </x:c>
      <x:c r="D3842" s="18" t="n">
        <x:v>142591</x:v>
      </x:c>
      <x:c r="E3842" s="18" t="n">
        <x:v>25.85</x:v>
      </x:c>
      <x:c r="F3842" s="18" t="n">
        <x:v>10.04</x:v>
      </x:c>
      <x:c r="G3842" t="n">
        <x:v>36</x:v>
      </x:c>
      <x:c r="H3842" t="str">
        <x:v>C</x:v>
      </x:c>
      <x:c r="I3842" t="str">
        <x:v>7-9 years</x:v>
      </x:c>
      <x:c r="J3842" t="str">
        <x:v>RENT</x:v>
      </x:c>
      <x:c r="K3842" t="str">
        <x:v>major_purchase</x:v>
      </x:c>
      <x:c r="L3842" t="n">
        <x:v>0</x:v>
      </x:c>
      <x:c r="M3842" t="n">
        <x:v>0</x:v>
      </x:c>
      <x:c r="N3842" t="str">
        <x:v>Fully Paid</x:v>
      </x:c>
      <x:c r="O3842" t="str">
        <x:f>IF(D3842="","Unknown",IF(D3842&lt;25000,"&lt;$25k",IF(D3842&lt;50000,"$25k-$50k",IF(D3842&lt;75000,"$50k-$75k",IF(D3842&lt;100000,"$75k-$100k","$100k+")))))</x:f>
        <x:v>$100k+</x:v>
      </x:c>
      <x:c r="P3842" t="str">
        <x:f>IF(E3842="","Unknown",IF(E3842&lt;10,"&lt;10",IF(E3842&lt;20,"10-&lt;20",IF(E3842&lt;25,"20-&lt;25",IF(E3842&lt;35,"25-&lt;35","35+")))))</x:f>
        <x:v>25-&lt;35</x:v>
      </x:c>
    </x:row>
    <x:row r="3843">
      <x:c r="A3843" t="str">
        <x:v>SYN0003842</x:v>
      </x:c>
      <x:c r="B3843" s="12" t="n">
        <x:v>41665</x:v>
      </x:c>
      <x:c r="C3843" s="18" t="n">
        <x:v>21592</x:v>
      </x:c>
      <x:c r="D3843" s="18" t="n">
        <x:v>70444</x:v>
      </x:c>
      <x:c r="E3843" s="18" t="n">
        <x:v>11.72</x:v>
      </x:c>
      <x:c r="F3843" s="18" t="n">
        <x:v>9.15</x:v>
      </x:c>
      <x:c r="G3843" t="n">
        <x:v>36</x:v>
      </x:c>
      <x:c r="H3843" t="str">
        <x:v>B</x:v>
      </x:c>
      <x:c r="I3843" t="str">
        <x:v>1-3 years</x:v>
      </x:c>
      <x:c r="J3843" t="str">
        <x:v>RENT</x:v>
      </x:c>
      <x:c r="K3843" t="str">
        <x:v>debt_consolidation</x:v>
      </x:c>
      <x:c r="L3843" t="n">
        <x:v>0</x:v>
      </x:c>
      <x:c r="M3843" t="n">
        <x:v>0</x:v>
      </x:c>
      <x:c r="N3843" t="str">
        <x:v>Fully Paid</x:v>
      </x:c>
      <x:c r="O3843" t="str">
        <x:f>IF(D3843="","Unknown",IF(D3843&lt;25000,"&lt;$25k",IF(D3843&lt;50000,"$25k-$50k",IF(D3843&lt;75000,"$50k-$75k",IF(D3843&lt;100000,"$75k-$100k","$100k+")))))</x:f>
        <x:v>$50k-$75k</x:v>
      </x:c>
      <x:c r="P3843" t="str">
        <x:f>IF(E3843="","Unknown",IF(E3843&lt;10,"&lt;10",IF(E3843&lt;20,"10-&lt;20",IF(E3843&lt;25,"20-&lt;25",IF(E3843&lt;35,"25-&lt;35","35+")))))</x:f>
        <x:v>10-&lt;20</x:v>
      </x:c>
    </x:row>
    <x:row r="3844">
      <x:c r="A3844" t="str">
        <x:v>SYN0003843</x:v>
      </x:c>
      <x:c r="B3844" s="12" t="n">
        <x:v>41425</x:v>
      </x:c>
      <x:c r="C3844" s="18" t="n">
        <x:v>5374</x:v>
      </x:c>
      <x:c r="D3844" s="18" t="n">
        <x:v>129049</x:v>
      </x:c>
      <x:c r="E3844" s="18" t="n">
        <x:v>11.08</x:v>
      </x:c>
      <x:c r="F3844" s="18" t="n">
        <x:v>14.03</x:v>
      </x:c>
      <x:c r="G3844" t="n">
        <x:v>36</x:v>
      </x:c>
      <x:c r="H3844" t="str">
        <x:v>E</x:v>
      </x:c>
      <x:c r="I3844" t="str">
        <x:v>4-6 years</x:v>
      </x:c>
      <x:c r="J3844" t="str">
        <x:v>OWN</x:v>
      </x:c>
      <x:c r="K3844" t="str">
        <x:v>debt_consolidation</x:v>
      </x:c>
      <x:c r="L3844" t="n">
        <x:v>2</x:v>
      </x:c>
      <x:c r="M3844" t="n">
        <x:v>0</x:v>
      </x:c>
      <x:c r="N3844" t="str">
        <x:v>Fully Paid</x:v>
      </x:c>
      <x:c r="O3844" t="str">
        <x:f>IF(D3844="","Unknown",IF(D3844&lt;25000,"&lt;$25k",IF(D3844&lt;50000,"$25k-$50k",IF(D3844&lt;75000,"$50k-$75k",IF(D3844&lt;100000,"$75k-$100k","$100k+")))))</x:f>
        <x:v>$100k+</x:v>
      </x:c>
      <x:c r="P3844" t="str">
        <x:f>IF(E3844="","Unknown",IF(E3844&lt;10,"&lt;10",IF(E3844&lt;20,"10-&lt;20",IF(E3844&lt;25,"20-&lt;25",IF(E3844&lt;35,"25-&lt;35","35+")))))</x:f>
        <x:v>10-&lt;20</x:v>
      </x:c>
    </x:row>
    <x:row r="3845">
      <x:c r="A3845" t="str">
        <x:v>SYN0003844</x:v>
      </x:c>
      <x:c r="B3845" s="12" t="n">
        <x:v>42205</x:v>
      </x:c>
      <x:c r="C3845" s="18" t="n">
        <x:v>11611</x:v>
      </x:c>
      <x:c r="D3845" s="18" t="n">
        <x:v>24331</x:v>
      </x:c>
      <x:c r="E3845" s="18" t="n">
        <x:v>12.37</x:v>
      </x:c>
      <x:c r="F3845" s="18" t="n">
        <x:v>7.49</x:v>
      </x:c>
      <x:c r="G3845" t="n">
        <x:v>60</x:v>
      </x:c>
      <x:c r="H3845" t="str">
        <x:v>B</x:v>
      </x:c>
      <x:c r="I3845" t="str">
        <x:v>4-6 years</x:v>
      </x:c>
      <x:c r="J3845" t="str">
        <x:v>MORTGAGE</x:v>
      </x:c>
      <x:c r="K3845" t="str">
        <x:v>major_purchase</x:v>
      </x:c>
      <x:c r="L3845" t="n">
        <x:v>0</x:v>
      </x:c>
      <x:c r="M3845" t="n">
        <x:v>0</x:v>
      </x:c>
      <x:c r="N3845" t="str">
        <x:v>Fully Paid</x:v>
      </x:c>
      <x:c r="O3845" t="str">
        <x:f>IF(D3845="","Unknown",IF(D3845&lt;25000,"&lt;$25k",IF(D3845&lt;50000,"$25k-$50k",IF(D3845&lt;75000,"$50k-$75k",IF(D3845&lt;100000,"$75k-$100k","$100k+")))))</x:f>
        <x:v>&lt;$25k</x:v>
      </x:c>
      <x:c r="P3845" t="str">
        <x:f>IF(E3845="","Unknown",IF(E3845&lt;10,"&lt;10",IF(E3845&lt;20,"10-&lt;20",IF(E3845&lt;25,"20-&lt;25",IF(E3845&lt;35,"25-&lt;35","35+")))))</x:f>
        <x:v>10-&lt;20</x:v>
      </x:c>
    </x:row>
    <x:row r="3846">
      <x:c r="A3846" t="str">
        <x:v>SYN0003845</x:v>
      </x:c>
      <x:c r="B3846" s="12" t="n">
        <x:v>41725</x:v>
      </x:c>
      <x:c r="C3846" s="18" t="n">
        <x:v>10805</x:v>
      </x:c>
      <x:c r="D3846" s="18" t="n">
        <x:v>27055</x:v>
      </x:c>
      <x:c r="E3846" s="18" t="n">
        <x:v>21.02</x:v>
      </x:c>
      <x:c r="F3846" s="18" t="n">
        <x:v>20.22</x:v>
      </x:c>
      <x:c r="G3846" t="n">
        <x:v>60</x:v>
      </x:c>
      <x:c r="H3846" t="str">
        <x:v>E</x:v>
      </x:c>
      <x:c r="I3846" t="str">
        <x:v>7-9 years</x:v>
      </x:c>
      <x:c r="J3846" t="str">
        <x:v>MORTGAGE</x:v>
      </x:c>
      <x:c r="K3846" t="str">
        <x:v>home_improvement</x:v>
      </x:c>
      <x:c r="L3846" t="n">
        <x:v>1</x:v>
      </x:c>
      <x:c r="M3846" t="n">
        <x:v>1</x:v>
      </x:c>
      <x:c r="N3846" t="str">
        <x:v>Charged Off</x:v>
      </x:c>
      <x:c r="O3846" t="str">
        <x:f>IF(D3846="","Unknown",IF(D3846&lt;25000,"&lt;$25k",IF(D3846&lt;50000,"$25k-$50k",IF(D3846&lt;75000,"$50k-$75k",IF(D3846&lt;100000,"$75k-$100k","$100k+")))))</x:f>
        <x:v>$25k-$50k</x:v>
      </x:c>
      <x:c r="P3846" t="str">
        <x:f>IF(E3846="","Unknown",IF(E3846&lt;10,"&lt;10",IF(E3846&lt;20,"10-&lt;20",IF(E3846&lt;25,"20-&lt;25",IF(E3846&lt;35,"25-&lt;35","35+")))))</x:f>
        <x:v>20-&lt;25</x:v>
      </x:c>
    </x:row>
    <x:row r="3847">
      <x:c r="A3847" t="str">
        <x:v>SYN0003846</x:v>
      </x:c>
      <x:c r="B3847" s="12" t="n">
        <x:v>42385</x:v>
      </x:c>
      <x:c r="C3847" s="18" t="n">
        <x:v>9974</x:v>
      </x:c>
      <x:c r="D3847" s="18" t="n">
        <x:v>25488</x:v>
      </x:c>
      <x:c r="E3847" s="18" t="n">
        <x:v>15.16</x:v>
      </x:c>
      <x:c r="F3847" s="18" t="n">
        <x:v>5</x:v>
      </x:c>
      <x:c r="G3847" t="n">
        <x:v>36</x:v>
      </x:c>
      <x:c r="H3847" t="str">
        <x:v>A</x:v>
      </x:c>
      <x:c r="I3847" t="str">
        <x:v>1-3 years</x:v>
      </x:c>
      <x:c r="J3847" t="str">
        <x:v>MORTGAGE</x:v>
      </x:c>
      <x:c r="K3847" t="str">
        <x:v>medical</x:v>
      </x:c>
      <x:c r="L3847" t="n">
        <x:v>0</x:v>
      </x:c>
      <x:c r="M3847" t="n">
        <x:v>0</x:v>
      </x:c>
      <x:c r="N3847" t="str">
        <x:v>Fully Paid</x:v>
      </x:c>
      <x:c r="O3847" t="str">
        <x:f>IF(D3847="","Unknown",IF(D3847&lt;25000,"&lt;$25k",IF(D3847&lt;50000,"$25k-$50k",IF(D3847&lt;75000,"$50k-$75k",IF(D3847&lt;100000,"$75k-$100k","$100k+")))))</x:f>
        <x:v>$25k-$50k</x:v>
      </x:c>
      <x:c r="P3847" t="str">
        <x:f>IF(E3847="","Unknown",IF(E3847&lt;10,"&lt;10",IF(E3847&lt;20,"10-&lt;20",IF(E3847&lt;25,"20-&lt;25",IF(E3847&lt;35,"25-&lt;35","35+")))))</x:f>
        <x:v>10-&lt;20</x:v>
      </x:c>
    </x:row>
    <x:row r="3848">
      <x:c r="A3848" t="str">
        <x:v>SYN0003847</x:v>
      </x:c>
      <x:c r="B3848" s="12" t="n">
        <x:v>42655</x:v>
      </x:c>
      <x:c r="C3848" s="18" t="n">
        <x:v>11351</x:v>
      </x:c>
      <x:c r="D3848" s="18" t="n">
        <x:v>89393</x:v>
      </x:c>
      <x:c r="E3848" s="18" t="n">
        <x:v>5.04</x:v>
      </x:c>
      <x:c r="F3848" s="18" t="n">
        <x:v>5.3</x:v>
      </x:c>
      <x:c r="G3848" t="n">
        <x:v>60</x:v>
      </x:c>
      <x:c r="H3848" t="str">
        <x:v>B</x:v>
      </x:c>
      <x:c r="I3848" t="str">
        <x:v>7-9 years</x:v>
      </x:c>
      <x:c r="J3848" t="str">
        <x:v>MORTGAGE</x:v>
      </x:c>
      <x:c r="K3848" t="str">
        <x:v>credit_card</x:v>
      </x:c>
      <x:c r="L3848" t="n">
        <x:v>1</x:v>
      </x:c>
      <x:c r="M3848" t="n">
        <x:v>0</x:v>
      </x:c>
      <x:c r="N3848" t="str">
        <x:v>Fully Paid</x:v>
      </x:c>
      <x:c r="O3848" t="str">
        <x:f>IF(D3848="","Unknown",IF(D3848&lt;25000,"&lt;$25k",IF(D3848&lt;50000,"$25k-$50k",IF(D3848&lt;75000,"$50k-$75k",IF(D3848&lt;100000,"$75k-$100k","$100k+")))))</x:f>
        <x:v>$75k-$100k</x:v>
      </x:c>
      <x:c r="P3848" t="str">
        <x:f>IF(E3848="","Unknown",IF(E3848&lt;10,"&lt;10",IF(E3848&lt;20,"10-&lt;20",IF(E3848&lt;25,"20-&lt;25",IF(E3848&lt;35,"25-&lt;35","35+")))))</x:f>
        <x:v>&lt;10</x:v>
      </x:c>
    </x:row>
    <x:row r="3849">
      <x:c r="A3849" t="str">
        <x:v>SYN0003848</x:v>
      </x:c>
      <x:c r="B3849" s="12" t="n">
        <x:v>42955</x:v>
      </x:c>
      <x:c r="C3849" s="18" t="n">
        <x:v>9862</x:v>
      </x:c>
      <x:c r="D3849" s="18" t="n">
        <x:v>31582</x:v>
      </x:c>
      <x:c r="E3849" s="18" t="n">
        <x:v>24.42</x:v>
      </x:c>
      <x:c r="F3849" s="18" t="n">
        <x:v>5</x:v>
      </x:c>
      <x:c r="G3849" t="n">
        <x:v>60</x:v>
      </x:c>
      <x:c r="H3849" t="str">
        <x:v>A</x:v>
      </x:c>
      <x:c r="I3849" t="str">
        <x:v>7-9 years</x:v>
      </x:c>
      <x:c r="J3849" t="str">
        <x:v>OWN</x:v>
      </x:c>
      <x:c r="K3849" t="str">
        <x:v>debt_consolidation</x:v>
      </x:c>
      <x:c r="L3849" t="n">
        <x:v>0</x:v>
      </x:c>
      <x:c r="M3849" t="n">
        <x:v>1</x:v>
      </x:c>
      <x:c r="N3849" t="str">
        <x:v>Charged Off</x:v>
      </x:c>
      <x:c r="O3849" t="str">
        <x:f>IF(D3849="","Unknown",IF(D3849&lt;25000,"&lt;$25k",IF(D3849&lt;50000,"$25k-$50k",IF(D3849&lt;75000,"$50k-$75k",IF(D3849&lt;100000,"$75k-$100k","$100k+")))))</x:f>
        <x:v>$25k-$50k</x:v>
      </x:c>
      <x:c r="P3849" t="str">
        <x:f>IF(E3849="","Unknown",IF(E3849&lt;10,"&lt;10",IF(E3849&lt;20,"10-&lt;20",IF(E3849&lt;25,"20-&lt;25",IF(E3849&lt;35,"25-&lt;35","35+")))))</x:f>
        <x:v>20-&lt;25</x:v>
      </x:c>
    </x:row>
    <x:row r="3850">
      <x:c r="A3850" t="str">
        <x:v>SYN0003849</x:v>
      </x:c>
      <x:c r="B3850" s="12" t="n">
        <x:v>42205</x:v>
      </x:c>
      <x:c r="C3850" s="18" t="n">
        <x:v>12322</x:v>
      </x:c>
      <x:c r="D3850" s="18" t="n">
        <x:v>61320</x:v>
      </x:c>
      <x:c r="E3850" s="18" t="n">
        <x:v>3.09</x:v>
      </x:c>
      <x:c r="F3850" s="18" t="n">
        <x:v>12.25</x:v>
      </x:c>
      <x:c r="G3850" t="n">
        <x:v>36</x:v>
      </x:c>
      <x:c r="H3850" t="str">
        <x:v>C</x:v>
      </x:c>
      <x:c r="I3850" t="str">
        <x:v>10+ years</x:v>
      </x:c>
      <x:c r="J3850" t="str">
        <x:v>OWN</x:v>
      </x:c>
      <x:c r="K3850" t="str">
        <x:v>debt_consolidation</x:v>
      </x:c>
      <x:c r="L3850" t="n">
        <x:v>1</x:v>
      </x:c>
      <x:c r="M3850" t="n">
        <x:v>0</x:v>
      </x:c>
      <x:c r="N3850" t="str">
        <x:v>Fully Paid</x:v>
      </x:c>
      <x:c r="O3850" t="str">
        <x:f>IF(D3850="","Unknown",IF(D3850&lt;25000,"&lt;$25k",IF(D3850&lt;50000,"$25k-$50k",IF(D3850&lt;75000,"$50k-$75k",IF(D3850&lt;100000,"$75k-$100k","$100k+")))))</x:f>
        <x:v>$50k-$75k</x:v>
      </x:c>
      <x:c r="P3850" t="str">
        <x:f>IF(E3850="","Unknown",IF(E3850&lt;10,"&lt;10",IF(E3850&lt;20,"10-&lt;20",IF(E3850&lt;25,"20-&lt;25",IF(E3850&lt;35,"25-&lt;35","35+")))))</x:f>
        <x:v>&lt;10</x:v>
      </x:c>
    </x:row>
    <x:row r="3851">
      <x:c r="A3851" t="str">
        <x:v>SYN0003850</x:v>
      </x:c>
      <x:c r="B3851" s="12" t="n">
        <x:v>42295</x:v>
      </x:c>
      <x:c r="C3851" s="18" t="n">
        <x:v>22579</x:v>
      </x:c>
      <x:c r="D3851" s="18" t="n">
        <x:v>26038</x:v>
      </x:c>
      <x:c r="E3851" s="18" t="n">
        <x:v>23.34</x:v>
      </x:c>
      <x:c r="F3851" s="18" t="n">
        <x:v>9.25</x:v>
      </x:c>
      <x:c r="G3851" t="n">
        <x:v>60</x:v>
      </x:c>
      <x:c r="H3851" t="str">
        <x:v>C</x:v>
      </x:c>
      <x:c r="I3851" t="str">
        <x:v>10+ years</x:v>
      </x:c>
      <x:c r="J3851" t="str">
        <x:v>MORTGAGE</x:v>
      </x:c>
      <x:c r="K3851" t="str">
        <x:v>credit_card</x:v>
      </x:c>
      <x:c r="L3851" t="n">
        <x:v>0</x:v>
      </x:c>
      <x:c r="M3851" t="n">
        <x:v>0</x:v>
      </x:c>
      <x:c r="N3851" t="str">
        <x:v>Fully Paid</x:v>
      </x:c>
      <x:c r="O3851" t="str">
        <x:f>IF(D3851="","Unknown",IF(D3851&lt;25000,"&lt;$25k",IF(D3851&lt;50000,"$25k-$50k",IF(D3851&lt;75000,"$50k-$75k",IF(D3851&lt;100000,"$75k-$100k","$100k+")))))</x:f>
        <x:v>$25k-$50k</x:v>
      </x:c>
      <x:c r="P3851" t="str">
        <x:f>IF(E3851="","Unknown",IF(E3851&lt;10,"&lt;10",IF(E3851&lt;20,"10-&lt;20",IF(E3851&lt;25,"20-&lt;25",IF(E3851&lt;35,"25-&lt;35","35+")))))</x:f>
        <x:v>20-&lt;25</x:v>
      </x:c>
    </x:row>
    <x:row r="3852">
      <x:c r="A3852" t="str">
        <x:v>SYN0003851</x:v>
      </x:c>
      <x:c r="B3852" s="12" t="n">
        <x:v>41335</x:v>
      </x:c>
      <x:c r="C3852" s="18" t="n">
        <x:v>11747</x:v>
      </x:c>
      <x:c r="D3852" s="18" t="n">
        <x:v>36519</x:v>
      </x:c>
      <x:c r="E3852" s="18" t="n">
        <x:v>24.41</x:v>
      </x:c>
      <x:c r="F3852" s="18" t="n">
        <x:v>12.94</x:v>
      </x:c>
      <x:c r="G3852" t="n">
        <x:v>36</x:v>
      </x:c>
      <x:c r="H3852" t="str">
        <x:v>C</x:v>
      </x:c>
      <x:c r="I3852" t="str">
        <x:v>1-3 years</x:v>
      </x:c>
      <x:c r="J3852" t="str">
        <x:v>OWN</x:v>
      </x:c>
      <x:c r="K3852" t="str">
        <x:v>debt_consolidation</x:v>
      </x:c>
      <x:c r="L3852" t="n">
        <x:v>1</x:v>
      </x:c>
      <x:c r="M3852" t="n">
        <x:v>0</x:v>
      </x:c>
      <x:c r="N3852" t="str">
        <x:v>Fully Paid</x:v>
      </x:c>
      <x:c r="O3852" t="str">
        <x:f>IF(D3852="","Unknown",IF(D3852&lt;25000,"&lt;$25k",IF(D3852&lt;50000,"$25k-$50k",IF(D3852&lt;75000,"$50k-$75k",IF(D3852&lt;100000,"$75k-$100k","$100k+")))))</x:f>
        <x:v>$25k-$50k</x:v>
      </x:c>
      <x:c r="P3852" t="str">
        <x:f>IF(E3852="","Unknown",IF(E3852&lt;10,"&lt;10",IF(E3852&lt;20,"10-&lt;20",IF(E3852&lt;25,"20-&lt;25",IF(E3852&lt;35,"25-&lt;35","35+")))))</x:f>
        <x:v>20-&lt;25</x:v>
      </x:c>
    </x:row>
    <x:row r="3853">
      <x:c r="A3853" t="str">
        <x:v>SYN0003852</x:v>
      </x:c>
      <x:c r="B3853" s="12" t="n">
        <x:v>41665</x:v>
      </x:c>
      <x:c r="C3853" s="18" t="n">
        <x:v>27641</x:v>
      </x:c>
      <x:c r="D3853" s="18" t="n">
        <x:v>29106</x:v>
      </x:c>
      <x:c r="E3853" s="18" t="n">
        <x:v>22.08</x:v>
      </x:c>
      <x:c r="F3853" s="18" t="n">
        <x:v>18.4</x:v>
      </x:c>
      <x:c r="G3853" t="n">
        <x:v>36</x:v>
      </x:c>
      <x:c r="H3853" t="str">
        <x:v>D</x:v>
      </x:c>
      <x:c r="I3853" t="str">
        <x:v>10+ years</x:v>
      </x:c>
      <x:c r="J3853" t="str">
        <x:v>MORTGAGE</x:v>
      </x:c>
      <x:c r="K3853" t="str">
        <x:v>home_improvement</x:v>
      </x:c>
      <x:c r="L3853" t="n">
        <x:v>0</x:v>
      </x:c>
      <x:c r="M3853" t="n">
        <x:v>0</x:v>
      </x:c>
      <x:c r="N3853" t="str">
        <x:v>Fully Paid</x:v>
      </x:c>
      <x:c r="O3853" t="str">
        <x:f>IF(D3853="","Unknown",IF(D3853&lt;25000,"&lt;$25k",IF(D3853&lt;50000,"$25k-$50k",IF(D3853&lt;75000,"$50k-$75k",IF(D3853&lt;100000,"$75k-$100k","$100k+")))))</x:f>
        <x:v>$25k-$50k</x:v>
      </x:c>
      <x:c r="P3853" t="str">
        <x:f>IF(E3853="","Unknown",IF(E3853&lt;10,"&lt;10",IF(E3853&lt;20,"10-&lt;20",IF(E3853&lt;25,"20-&lt;25",IF(E3853&lt;35,"25-&lt;35","35+")))))</x:f>
        <x:v>20-&lt;25</x:v>
      </x:c>
    </x:row>
    <x:row r="3854">
      <x:c r="A3854" t="str">
        <x:v>SYN0003853</x:v>
      </x:c>
      <x:c r="B3854" s="12" t="n">
        <x:v>43225</x:v>
      </x:c>
      <x:c r="C3854" s="18" t="n">
        <x:v>5384</x:v>
      </x:c>
      <x:c r="D3854" s="18" t="n">
        <x:v>52731</x:v>
      </x:c>
      <x:c r="E3854" s="18" t="n">
        <x:v>9.82</x:v>
      </x:c>
      <x:c r="F3854" s="18" t="n">
        <x:v>16.23</x:v>
      </x:c>
      <x:c r="G3854" t="n">
        <x:v>60</x:v>
      </x:c>
      <x:c r="H3854" t="str">
        <x:v>D</x:v>
      </x:c>
      <x:c r="I3854" t="str">
        <x:v>4-6 years</x:v>
      </x:c>
      <x:c r="J3854" t="str">
        <x:v>MORTGAGE</x:v>
      </x:c>
      <x:c r="K3854" t="str">
        <x:v>other</x:v>
      </x:c>
      <x:c r="L3854" t="n">
        <x:v>1</x:v>
      </x:c>
      <x:c r="M3854" t="n">
        <x:v>0</x:v>
      </x:c>
      <x:c r="N3854" t="str">
        <x:v>Fully Paid</x:v>
      </x:c>
      <x:c r="O3854" t="str">
        <x:f>IF(D3854="","Unknown",IF(D3854&lt;25000,"&lt;$25k",IF(D3854&lt;50000,"$25k-$50k",IF(D3854&lt;75000,"$50k-$75k",IF(D3854&lt;100000,"$75k-$100k","$100k+")))))</x:f>
        <x:v>$50k-$75k</x:v>
      </x:c>
      <x:c r="P3854" t="str">
        <x:f>IF(E3854="","Unknown",IF(E3854&lt;10,"&lt;10",IF(E3854&lt;20,"10-&lt;20",IF(E3854&lt;25,"20-&lt;25",IF(E3854&lt;35,"25-&lt;35","35+")))))</x:f>
        <x:v>&lt;10</x:v>
      </x:c>
    </x:row>
    <x:row r="3855">
      <x:c r="A3855" t="str">
        <x:v>SYN0003854</x:v>
      </x:c>
      <x:c r="B3855" s="12" t="n">
        <x:v>42385</x:v>
      </x:c>
      <x:c r="C3855" s="18" t="n">
        <x:v>4987</x:v>
      </x:c>
      <x:c r="D3855" s="18" t="n">
        <x:v>88988</x:v>
      </x:c>
      <x:c r="E3855" s="18" t="n">
        <x:v>20.62</x:v>
      </x:c>
      <x:c r="F3855" s="18" t="n">
        <x:v>16.91</x:v>
      </x:c>
      <x:c r="G3855" t="n">
        <x:v>36</x:v>
      </x:c>
      <x:c r="H3855" t="str">
        <x:v>E</x:v>
      </x:c>
      <x:c r="I3855" t="str">
        <x:v>1-3 years</x:v>
      </x:c>
      <x:c r="J3855" t="str">
        <x:v>MORTGAGE</x:v>
      </x:c>
      <x:c r="K3855" t="str">
        <x:v>home_improvement</x:v>
      </x:c>
      <x:c r="L3855" t="n">
        <x:v>1</x:v>
      </x:c>
      <x:c r="M3855" t="n">
        <x:v>0</x:v>
      </x:c>
      <x:c r="N3855" t="str">
        <x:v>Fully Paid</x:v>
      </x:c>
      <x:c r="O3855" t="str">
        <x:f>IF(D3855="","Unknown",IF(D3855&lt;25000,"&lt;$25k",IF(D3855&lt;50000,"$25k-$50k",IF(D3855&lt;75000,"$50k-$75k",IF(D3855&lt;100000,"$75k-$100k","$100k+")))))</x:f>
        <x:v>$75k-$100k</x:v>
      </x:c>
      <x:c r="P3855" t="str">
        <x:f>IF(E3855="","Unknown",IF(E3855&lt;10,"&lt;10",IF(E3855&lt;20,"10-&lt;20",IF(E3855&lt;25,"20-&lt;25",IF(E3855&lt;35,"25-&lt;35","35+")))))</x:f>
        <x:v>20-&lt;25</x:v>
      </x:c>
    </x:row>
    <x:row r="3856">
      <x:c r="A3856" t="str">
        <x:v>SYN0003855</x:v>
      </x:c>
      <x:c r="B3856" s="12" t="n">
        <x:v>42145</x:v>
      </x:c>
      <x:c r="C3856" s="18" t="n">
        <x:v>16095</x:v>
      </x:c>
      <x:c r="D3856" s="18" t="n">
        <x:v>41562</x:v>
      </x:c>
      <x:c r="E3856" s="18" t="n">
        <x:v>23.32</x:v>
      </x:c>
      <x:c r="F3856" s="18" t="n">
        <x:v>19.1</x:v>
      </x:c>
      <x:c r="G3856" t="n">
        <x:v>36</x:v>
      </x:c>
      <x:c r="H3856" t="str">
        <x:v>F</x:v>
      </x:c>
      <x:c r="I3856" t="str">
        <x:v>4-6 years</x:v>
      </x:c>
      <x:c r="J3856" t="str">
        <x:v>MORTGAGE</x:v>
      </x:c>
      <x:c r="K3856" t="str">
        <x:v>debt_consolidation</x:v>
      </x:c>
      <x:c r="L3856" t="n">
        <x:v>1</x:v>
      </x:c>
      <x:c r="M3856" t="n">
        <x:v>0</x:v>
      </x:c>
      <x:c r="N3856" t="str">
        <x:v>Fully Paid</x:v>
      </x:c>
      <x:c r="O3856" t="str">
        <x:f>IF(D3856="","Unknown",IF(D3856&lt;25000,"&lt;$25k",IF(D3856&lt;50000,"$25k-$50k",IF(D3856&lt;75000,"$50k-$75k",IF(D3856&lt;100000,"$75k-$100k","$100k+")))))</x:f>
        <x:v>$25k-$50k</x:v>
      </x:c>
      <x:c r="P3856" t="str">
        <x:f>IF(E3856="","Unknown",IF(E3856&lt;10,"&lt;10",IF(E3856&lt;20,"10-&lt;20",IF(E3856&lt;25,"20-&lt;25",IF(E3856&lt;35,"25-&lt;35","35+")))))</x:f>
        <x:v>20-&lt;25</x:v>
      </x:c>
    </x:row>
    <x:row r="3857">
      <x:c r="A3857" t="str">
        <x:v>SYN0003856</x:v>
      </x:c>
      <x:c r="B3857" s="12" t="n">
        <x:v>41785</x:v>
      </x:c>
      <x:c r="C3857" s="18" t="n">
        <x:v>15948</x:v>
      </x:c>
      <x:c r="D3857" s="18" t="n">
        <x:v>69262</x:v>
      </x:c>
      <x:c r="E3857" s="18" t="n">
        <x:v>13.95</x:v>
      </x:c>
      <x:c r="F3857" s="18" t="n">
        <x:v>10.89</x:v>
      </x:c>
      <x:c r="G3857" t="n">
        <x:v>36</x:v>
      </x:c>
      <x:c r="H3857" t="str">
        <x:v>B</x:v>
      </x:c>
      <x:c r="I3857" t="str">
        <x:v>4-6 years</x:v>
      </x:c>
      <x:c r="J3857" t="str">
        <x:v>MORTGAGE</x:v>
      </x:c>
      <x:c r="K3857" t="str">
        <x:v>credit_card</x:v>
      </x:c>
      <x:c r="L3857" t="n">
        <x:v>0</x:v>
      </x:c>
      <x:c r="M3857" t="n">
        <x:v>0</x:v>
      </x:c>
      <x:c r="N3857" t="str">
        <x:v>Fully Paid</x:v>
      </x:c>
      <x:c r="O3857" t="str">
        <x:f>IF(D3857="","Unknown",IF(D3857&lt;25000,"&lt;$25k",IF(D3857&lt;50000,"$25k-$50k",IF(D3857&lt;75000,"$50k-$75k",IF(D3857&lt;100000,"$75k-$100k","$100k+")))))</x:f>
        <x:v>$50k-$75k</x:v>
      </x:c>
      <x:c r="P3857" t="str">
        <x:f>IF(E3857="","Unknown",IF(E3857&lt;10,"&lt;10",IF(E3857&lt;20,"10-&lt;20",IF(E3857&lt;25,"20-&lt;25",IF(E3857&lt;35,"25-&lt;35","35+")))))</x:f>
        <x:v>10-&lt;20</x:v>
      </x:c>
    </x:row>
    <x:row r="3858">
      <x:c r="A3858" t="str">
        <x:v>SYN0003857</x:v>
      </x:c>
      <x:c r="B3858" s="12" t="n">
        <x:v>42355</x:v>
      </x:c>
      <x:c r="C3858" s="18" t="n">
        <x:v>18082</x:v>
      </x:c>
      <x:c r="D3858" s="18" t="n">
        <x:v>57772</x:v>
      </x:c>
      <x:c r="E3858" s="18" t="n">
        <x:v>25.51</x:v>
      </x:c>
      <x:c r="F3858" s="18" t="n">
        <x:v>9.28</x:v>
      </x:c>
      <x:c r="G3858" t="n">
        <x:v>60</x:v>
      </x:c>
      <x:c r="H3858" t="str">
        <x:v>B</x:v>
      </x:c>
      <x:c r="I3858" t="str">
        <x:v>7-9 years</x:v>
      </x:c>
      <x:c r="J3858" t="str">
        <x:v>RENT</x:v>
      </x:c>
      <x:c r="K3858" t="str">
        <x:v>debt_consolidation</x:v>
      </x:c>
      <x:c r="L3858" t="n">
        <x:v>0</x:v>
      </x:c>
      <x:c r="M3858" t="n">
        <x:v>0</x:v>
      </x:c>
      <x:c r="N3858" t="str">
        <x:v>Fully Paid</x:v>
      </x:c>
      <x:c r="O3858" t="str">
        <x:f>IF(D3858="","Unknown",IF(D3858&lt;25000,"&lt;$25k",IF(D3858&lt;50000,"$25k-$50k",IF(D3858&lt;75000,"$50k-$75k",IF(D3858&lt;100000,"$75k-$100k","$100k+")))))</x:f>
        <x:v>$50k-$75k</x:v>
      </x:c>
      <x:c r="P3858" t="str">
        <x:f>IF(E3858="","Unknown",IF(E3858&lt;10,"&lt;10",IF(E3858&lt;20,"10-&lt;20",IF(E3858&lt;25,"20-&lt;25",IF(E3858&lt;35,"25-&lt;35","35+")))))</x:f>
        <x:v>25-&lt;35</x:v>
      </x:c>
    </x:row>
    <x:row r="3859">
      <x:c r="A3859" t="str">
        <x:v>SYN0003858</x:v>
      </x:c>
      <x:c r="B3859" s="12" t="n">
        <x:v>42715</x:v>
      </x:c>
      <x:c r="C3859" s="18" t="n">
        <x:v>9199</x:v>
      </x:c>
      <x:c r="D3859" s="18" t="n">
        <x:v>40530</x:v>
      </x:c>
      <x:c r="E3859" s="18" t="n">
        <x:v>6.64</x:v>
      </x:c>
      <x:c r="F3859" s="18" t="n">
        <x:v>11.42</x:v>
      </x:c>
      <x:c r="G3859" t="n">
        <x:v>36</x:v>
      </x:c>
      <x:c r="H3859" t="str">
        <x:v>C</x:v>
      </x:c>
      <x:c r="I3859" t="str">
        <x:v>10+ years</x:v>
      </x:c>
      <x:c r="J3859" t="str">
        <x:v>OWN</x:v>
      </x:c>
      <x:c r="K3859" t="str">
        <x:v>credit_card</x:v>
      </x:c>
      <x:c r="L3859" t="n">
        <x:v>0</x:v>
      </x:c>
      <x:c r="M3859" t="n">
        <x:v>0</x:v>
      </x:c>
      <x:c r="N3859" t="str">
        <x:v>Fully Paid</x:v>
      </x:c>
      <x:c r="O3859" t="str">
        <x:f>IF(D3859="","Unknown",IF(D3859&lt;25000,"&lt;$25k",IF(D3859&lt;50000,"$25k-$50k",IF(D3859&lt;75000,"$50k-$75k",IF(D3859&lt;100000,"$75k-$100k","$100k+")))))</x:f>
        <x:v>$25k-$50k</x:v>
      </x:c>
      <x:c r="P3859" t="str">
        <x:f>IF(E3859="","Unknown",IF(E3859&lt;10,"&lt;10",IF(E3859&lt;20,"10-&lt;20",IF(E3859&lt;25,"20-&lt;25",IF(E3859&lt;35,"25-&lt;35","35+")))))</x:f>
        <x:v>&lt;10</x:v>
      </x:c>
    </x:row>
    <x:row r="3860">
      <x:c r="A3860" t="str">
        <x:v>SYN0003859</x:v>
      </x:c>
      <x:c r="B3860" s="12" t="n">
        <x:v>41875</x:v>
      </x:c>
      <x:c r="C3860" s="18" t="n">
        <x:v>14960</x:v>
      </x:c>
      <x:c r="D3860" s="18" t="n">
        <x:v>62833</x:v>
      </x:c>
      <x:c r="E3860" s="18" t="n">
        <x:v>20.28</x:v>
      </x:c>
      <x:c r="F3860" s="18" t="n">
        <x:v>5</x:v>
      </x:c>
      <x:c r="G3860" t="n">
        <x:v>36</x:v>
      </x:c>
      <x:c r="H3860" t="str">
        <x:v>A</x:v>
      </x:c>
      <x:c r="I3860" t="str">
        <x:v>7-9 years</x:v>
      </x:c>
      <x:c r="J3860" t="str">
        <x:v>MORTGAGE</x:v>
      </x:c>
      <x:c r="K3860" t="str">
        <x:v>credit_card</x:v>
      </x:c>
      <x:c r="L3860" t="n">
        <x:v>0</x:v>
      </x:c>
      <x:c r="M3860" t="n">
        <x:v>0</x:v>
      </x:c>
      <x:c r="N3860" t="str">
        <x:v>Fully Paid</x:v>
      </x:c>
      <x:c r="O3860" t="str">
        <x:f>IF(D3860="","Unknown",IF(D3860&lt;25000,"&lt;$25k",IF(D3860&lt;50000,"$25k-$50k",IF(D3860&lt;75000,"$50k-$75k",IF(D3860&lt;100000,"$75k-$100k","$100k+")))))</x:f>
        <x:v>$50k-$75k</x:v>
      </x:c>
      <x:c r="P3860" t="str">
        <x:f>IF(E3860="","Unknown",IF(E3860&lt;10,"&lt;10",IF(E3860&lt;20,"10-&lt;20",IF(E3860&lt;25,"20-&lt;25",IF(E3860&lt;35,"25-&lt;35","35+")))))</x:f>
        <x:v>20-&lt;25</x:v>
      </x:c>
    </x:row>
    <x:row r="3861">
      <x:c r="A3861" t="str">
        <x:v>SYN0003860</x:v>
      </x:c>
      <x:c r="B3861" s="12" t="n">
        <x:v>42805</x:v>
      </x:c>
      <x:c r="C3861" s="18" t="n">
        <x:v>16247</x:v>
      </x:c>
      <x:c r="D3861" s="18" t="n">
        <x:v>31960</x:v>
      </x:c>
      <x:c r="E3861" s="18" t="n">
        <x:v>16.7</x:v>
      </x:c>
      <x:c r="F3861" s="18" t="n">
        <x:v>5</x:v>
      </x:c>
      <x:c r="G3861" t="n">
        <x:v>36</x:v>
      </x:c>
      <x:c r="H3861" t="str">
        <x:v>A</x:v>
      </x:c>
      <x:c r="I3861" t="str">
        <x:v>10+ years</x:v>
      </x:c>
      <x:c r="J3861" t="str">
        <x:v>OWN</x:v>
      </x:c>
      <x:c r="K3861" t="str">
        <x:v>major_purchase</x:v>
      </x:c>
      <x:c r="L3861" t="n">
        <x:v>0</x:v>
      </x:c>
      <x:c r="M3861" t="n">
        <x:v>0</x:v>
      </x:c>
      <x:c r="N3861" t="str">
        <x:v>Fully Paid</x:v>
      </x:c>
      <x:c r="O3861" t="str">
        <x:f>IF(D3861="","Unknown",IF(D3861&lt;25000,"&lt;$25k",IF(D3861&lt;50000,"$25k-$50k",IF(D3861&lt;75000,"$50k-$75k",IF(D3861&lt;100000,"$75k-$100k","$100k+")))))</x:f>
        <x:v>$25k-$50k</x:v>
      </x:c>
      <x:c r="P3861" t="str">
        <x:f>IF(E3861="","Unknown",IF(E3861&lt;10,"&lt;10",IF(E3861&lt;20,"10-&lt;20",IF(E3861&lt;25,"20-&lt;25",IF(E3861&lt;35,"25-&lt;35","35+")))))</x:f>
        <x:v>10-&lt;20</x:v>
      </x:c>
    </x:row>
    <x:row r="3862">
      <x:c r="A3862" t="str">
        <x:v>SYN0003861</x:v>
      </x:c>
      <x:c r="B3862" s="12" t="n">
        <x:v>42535</x:v>
      </x:c>
      <x:c r="C3862" s="18" t="n">
        <x:v>12417</x:v>
      </x:c>
      <x:c r="D3862" s="18" t="n">
        <x:v>39264</x:v>
      </x:c>
      <x:c r="E3862" s="18" t="n">
        <x:v>8.35</x:v>
      </x:c>
      <x:c r="F3862" s="18" t="n">
        <x:v>7.33</x:v>
      </x:c>
      <x:c r="G3862" t="n">
        <x:v>60</x:v>
      </x:c>
      <x:c r="H3862" t="str">
        <x:v>A</x:v>
      </x:c>
      <x:c r="I3862" t="str">
        <x:v>&lt;1 year</x:v>
      </x:c>
      <x:c r="J3862" t="str">
        <x:v>RENT</x:v>
      </x:c>
      <x:c r="K3862" t="str">
        <x:v>major_purchase</x:v>
      </x:c>
      <x:c r="L3862" t="n">
        <x:v>0</x:v>
      </x:c>
      <x:c r="M3862" t="n">
        <x:v>0</x:v>
      </x:c>
      <x:c r="N3862" t="str">
        <x:v>Fully Paid</x:v>
      </x:c>
      <x:c r="O3862" t="str">
        <x:f>IF(D3862="","Unknown",IF(D3862&lt;25000,"&lt;$25k",IF(D3862&lt;50000,"$25k-$50k",IF(D3862&lt;75000,"$50k-$75k",IF(D3862&lt;100000,"$75k-$100k","$100k+")))))</x:f>
        <x:v>$25k-$50k</x:v>
      </x:c>
      <x:c r="P3862" t="str">
        <x:f>IF(E3862="","Unknown",IF(E3862&lt;10,"&lt;10",IF(E3862&lt;20,"10-&lt;20",IF(E3862&lt;25,"20-&lt;25",IF(E3862&lt;35,"25-&lt;35","35+")))))</x:f>
        <x:v>&lt;10</x:v>
      </x:c>
    </x:row>
    <x:row r="3863">
      <x:c r="A3863" t="str">
        <x:v>SYN0003862</x:v>
      </x:c>
      <x:c r="B3863" s="12" t="n">
        <x:v>42055</x:v>
      </x:c>
      <x:c r="C3863" s="18" t="n">
        <x:v>17762</x:v>
      </x:c>
      <x:c r="D3863" s="18" t="n">
        <x:v>54260</x:v>
      </x:c>
      <x:c r="E3863" s="18" t="n">
        <x:v>13.82</x:v>
      </x:c>
      <x:c r="F3863" s="18" t="n">
        <x:v>5</x:v>
      </x:c>
      <x:c r="G3863" t="n">
        <x:v>36</x:v>
      </x:c>
      <x:c r="H3863" t="str">
        <x:v>B</x:v>
      </x:c>
      <x:c r="I3863" t="str">
        <x:v>4-6 years</x:v>
      </x:c>
      <x:c r="J3863" t="str">
        <x:v>MORTGAGE</x:v>
      </x:c>
      <x:c r="K3863" t="str">
        <x:v>debt_consolidation</x:v>
      </x:c>
      <x:c r="L3863" t="n">
        <x:v>1</x:v>
      </x:c>
      <x:c r="M3863" t="n">
        <x:v>1</x:v>
      </x:c>
      <x:c r="N3863" t="str">
        <x:v>Charged Off</x:v>
      </x:c>
      <x:c r="O3863" t="str">
        <x:f>IF(D3863="","Unknown",IF(D3863&lt;25000,"&lt;$25k",IF(D3863&lt;50000,"$25k-$50k",IF(D3863&lt;75000,"$50k-$75k",IF(D3863&lt;100000,"$75k-$100k","$100k+")))))</x:f>
        <x:v>$50k-$75k</x:v>
      </x:c>
      <x:c r="P3863" t="str">
        <x:f>IF(E3863="","Unknown",IF(E3863&lt;10,"&lt;10",IF(E3863&lt;20,"10-&lt;20",IF(E3863&lt;25,"20-&lt;25",IF(E3863&lt;35,"25-&lt;35","35+")))))</x:f>
        <x:v>10-&lt;20</x:v>
      </x:c>
    </x:row>
    <x:row r="3864">
      <x:c r="A3864" t="str">
        <x:v>SYN0003863</x:v>
      </x:c>
      <x:c r="B3864" s="12" t="n">
        <x:v>43315</x:v>
      </x:c>
      <x:c r="C3864" s="18" t="n">
        <x:v>11974</x:v>
      </x:c>
      <x:c r="D3864" s="18" t="n">
        <x:v>46795</x:v>
      </x:c>
      <x:c r="E3864" s="18" t="n">
        <x:v>8.93</x:v>
      </x:c>
      <x:c r="F3864" s="18" t="n">
        <x:v>7.15</x:v>
      </x:c>
      <x:c r="G3864" t="n">
        <x:v>36</x:v>
      </x:c>
      <x:c r="H3864" t="str">
        <x:v>B</x:v>
      </x:c>
      <x:c r="I3864" t="str">
        <x:v>7-9 years</x:v>
      </x:c>
      <x:c r="J3864" t="str">
        <x:v>RENT</x:v>
      </x:c>
      <x:c r="K3864" t="str">
        <x:v>major_purchase</x:v>
      </x:c>
      <x:c r="L3864" t="n">
        <x:v>1</x:v>
      </x:c>
      <x:c r="M3864" t="n">
        <x:v>0</x:v>
      </x:c>
      <x:c r="N3864" t="str">
        <x:v>Fully Paid</x:v>
      </x:c>
      <x:c r="O3864" t="str">
        <x:f>IF(D3864="","Unknown",IF(D3864&lt;25000,"&lt;$25k",IF(D3864&lt;50000,"$25k-$50k",IF(D3864&lt;75000,"$50k-$75k",IF(D3864&lt;100000,"$75k-$100k","$100k+")))))</x:f>
        <x:v>$25k-$50k</x:v>
      </x:c>
      <x:c r="P3864" t="str">
        <x:f>IF(E3864="","Unknown",IF(E3864&lt;10,"&lt;10",IF(E3864&lt;20,"10-&lt;20",IF(E3864&lt;25,"20-&lt;25",IF(E3864&lt;35,"25-&lt;35","35+")))))</x:f>
        <x:v>&lt;10</x:v>
      </x:c>
    </x:row>
    <x:row r="3865">
      <x:c r="A3865" t="str">
        <x:v>SYN0003864</x:v>
      </x:c>
      <x:c r="B3865" s="12" t="n">
        <x:v>42385</x:v>
      </x:c>
      <x:c r="C3865" s="18" t="n">
        <x:v>8154</x:v>
      </x:c>
      <x:c r="D3865" s="18" t="n">
        <x:v>122939</x:v>
      </x:c>
      <x:c r="E3865" s="18" t="n">
        <x:v>10.5</x:v>
      </x:c>
      <x:c r="F3865" s="18" t="n">
        <x:v>7.27</x:v>
      </x:c>
      <x:c r="G3865" t="n">
        <x:v>60</x:v>
      </x:c>
      <x:c r="H3865" t="str">
        <x:v>B</x:v>
      </x:c>
      <x:c r="I3865" t="str">
        <x:v>10+ years</x:v>
      </x:c>
      <x:c r="J3865" t="str">
        <x:v>RENT</x:v>
      </x:c>
      <x:c r="K3865" t="str">
        <x:v>debt_consolidation</x:v>
      </x:c>
      <x:c r="L3865" t="n">
        <x:v>0</x:v>
      </x:c>
      <x:c r="M3865" t="n">
        <x:v>0</x:v>
      </x:c>
      <x:c r="N3865" t="str">
        <x:v>Fully Paid</x:v>
      </x:c>
      <x:c r="O3865" t="str">
        <x:f>IF(D3865="","Unknown",IF(D3865&lt;25000,"&lt;$25k",IF(D3865&lt;50000,"$25k-$50k",IF(D3865&lt;75000,"$50k-$75k",IF(D3865&lt;100000,"$75k-$100k","$100k+")))))</x:f>
        <x:v>$100k+</x:v>
      </x:c>
      <x:c r="P3865" t="str">
        <x:f>IF(E3865="","Unknown",IF(E3865&lt;10,"&lt;10",IF(E3865&lt;20,"10-&lt;20",IF(E3865&lt;25,"20-&lt;25",IF(E3865&lt;35,"25-&lt;35","35+")))))</x:f>
        <x:v>10-&lt;20</x:v>
      </x:c>
    </x:row>
    <x:row r="3866">
      <x:c r="A3866" t="str">
        <x:v>SYN0003865</x:v>
      </x:c>
      <x:c r="B3866" s="12" t="n">
        <x:v>43315</x:v>
      </x:c>
      <x:c r="C3866" s="18" t="n">
        <x:v>22397</x:v>
      </x:c>
      <x:c r="D3866" s="18" t="n">
        <x:v>72477</x:v>
      </x:c>
      <x:c r="E3866" s="18" t="n">
        <x:v>16.77</x:v>
      </x:c>
      <x:c r="F3866" s="18" t="n">
        <x:v>8.09</x:v>
      </x:c>
      <x:c r="G3866" t="n">
        <x:v>36</x:v>
      </x:c>
      <x:c r="H3866" t="str">
        <x:v>B</x:v>
      </x:c>
      <x:c r="I3866" t="str">
        <x:v>4-6 years</x:v>
      </x:c>
      <x:c r="J3866" t="str">
        <x:v>MORTGAGE</x:v>
      </x:c>
      <x:c r="K3866" t="str">
        <x:v>home_improvement</x:v>
      </x:c>
      <x:c r="L3866" t="n">
        <x:v>0</x:v>
      </x:c>
      <x:c r="M3866" t="n">
        <x:v>0</x:v>
      </x:c>
      <x:c r="N3866" t="str">
        <x:v>Fully Paid</x:v>
      </x:c>
      <x:c r="O3866" t="str">
        <x:f>IF(D3866="","Unknown",IF(D3866&lt;25000,"&lt;$25k",IF(D3866&lt;50000,"$25k-$50k",IF(D3866&lt;75000,"$50k-$75k",IF(D3866&lt;100000,"$75k-$100k","$100k+")))))</x:f>
        <x:v>$50k-$75k</x:v>
      </x:c>
      <x:c r="P3866" t="str">
        <x:f>IF(E3866="","Unknown",IF(E3866&lt;10,"&lt;10",IF(E3866&lt;20,"10-&lt;20",IF(E3866&lt;25,"20-&lt;25",IF(E3866&lt;35,"25-&lt;35","35+")))))</x:f>
        <x:v>10-&lt;20</x:v>
      </x:c>
    </x:row>
    <x:row r="3867">
      <x:c r="A3867" t="str">
        <x:v>SYN0003866</x:v>
      </x:c>
      <x:c r="B3867" s="12" t="n">
        <x:v>43405</x:v>
      </x:c>
      <x:c r="C3867" s="18" t="n">
        <x:v>10660</x:v>
      </x:c>
      <x:c r="D3867" s="18" t="n">
        <x:v>17752</x:v>
      </x:c>
      <x:c r="E3867" s="18" t="n">
        <x:v>17.16</x:v>
      </x:c>
      <x:c r="F3867" s="18" t="n">
        <x:v>9.95</x:v>
      </x:c>
      <x:c r="G3867" t="n">
        <x:v>60</x:v>
      </x:c>
      <x:c r="H3867" t="str">
        <x:v>C</x:v>
      </x:c>
      <x:c r="I3867" t="str">
        <x:v>10+ years</x:v>
      </x:c>
      <x:c r="J3867" t="str">
        <x:v>RENT</x:v>
      </x:c>
      <x:c r="K3867" t="str">
        <x:v>credit_card</x:v>
      </x:c>
      <x:c r="L3867" t="n">
        <x:v>1</x:v>
      </x:c>
      <x:c r="M3867" t="n">
        <x:v>0</x:v>
      </x:c>
      <x:c r="N3867" t="str">
        <x:v>Fully Paid</x:v>
      </x:c>
      <x:c r="O3867" t="str">
        <x:f>IF(D3867="","Unknown",IF(D3867&lt;25000,"&lt;$25k",IF(D3867&lt;50000,"$25k-$50k",IF(D3867&lt;75000,"$50k-$75k",IF(D3867&lt;100000,"$75k-$100k","$100k+")))))</x:f>
        <x:v>&lt;$25k</x:v>
      </x:c>
      <x:c r="P3867" t="str">
        <x:f>IF(E3867="","Unknown",IF(E3867&lt;10,"&lt;10",IF(E3867&lt;20,"10-&lt;20",IF(E3867&lt;25,"20-&lt;25",IF(E3867&lt;35,"25-&lt;35","35+")))))</x:f>
        <x:v>10-&lt;20</x:v>
      </x:c>
    </x:row>
    <x:row r="3868">
      <x:c r="A3868" t="str">
        <x:v>SYN0003867</x:v>
      </x:c>
      <x:c r="B3868" s="12" t="n">
        <x:v>41665</x:v>
      </x:c>
      <x:c r="C3868" s="18" t="n">
        <x:v>10065</x:v>
      </x:c>
      <x:c r="D3868" s="18" t="n">
        <x:v>16507</x:v>
      </x:c>
      <x:c r="E3868" s="18" t="n">
        <x:v>16.79</x:v>
      </x:c>
      <x:c r="F3868" s="18" t="n">
        <x:v>7.81</x:v>
      </x:c>
      <x:c r="G3868" t="n">
        <x:v>36</x:v>
      </x:c>
      <x:c r="H3868" t="str">
        <x:v>A</x:v>
      </x:c>
      <x:c r="I3868" t="str">
        <x:v>1-3 years</x:v>
      </x:c>
      <x:c r="J3868" t="str">
        <x:v>RENT</x:v>
      </x:c>
      <x:c r="K3868" t="str">
        <x:v>major_purchase</x:v>
      </x:c>
      <x:c r="L3868" t="n">
        <x:v>0</x:v>
      </x:c>
      <x:c r="M3868" t="n">
        <x:v>0</x:v>
      </x:c>
      <x:c r="N3868" t="str">
        <x:v>Fully Paid</x:v>
      </x:c>
      <x:c r="O3868" t="str">
        <x:f>IF(D3868="","Unknown",IF(D3868&lt;25000,"&lt;$25k",IF(D3868&lt;50000,"$25k-$50k",IF(D3868&lt;75000,"$50k-$75k",IF(D3868&lt;100000,"$75k-$100k","$100k+")))))</x:f>
        <x:v>&lt;$25k</x:v>
      </x:c>
      <x:c r="P3868" t="str">
        <x:f>IF(E3868="","Unknown",IF(E3868&lt;10,"&lt;10",IF(E3868&lt;20,"10-&lt;20",IF(E3868&lt;25,"20-&lt;25",IF(E3868&lt;35,"25-&lt;35","35+")))))</x:f>
        <x:v>10-&lt;20</x:v>
      </x:c>
    </x:row>
    <x:row r="3869">
      <x:c r="A3869" t="str">
        <x:v>SYN0003868</x:v>
      </x:c>
      <x:c r="B3869" s="12" t="n">
        <x:v>41635</x:v>
      </x:c>
      <x:c r="C3869" s="18" t="n">
        <x:v>11348</x:v>
      </x:c>
      <x:c r="D3869" s="18" t="n">
        <x:v>43027</x:v>
      </x:c>
      <x:c r="E3869" s="18" t="n">
        <x:v>12.02</x:v>
      </x:c>
      <x:c r="F3869" s="18" t="n">
        <x:v>12.71</x:v>
      </x:c>
      <x:c r="G3869" t="n">
        <x:v>36</x:v>
      </x:c>
      <x:c r="H3869" t="str">
        <x:v>D</x:v>
      </x:c>
      <x:c r="I3869" t="str">
        <x:v>4-6 years</x:v>
      </x:c>
      <x:c r="J3869" t="str">
        <x:v>RENT</x:v>
      </x:c>
      <x:c r="K3869" t="str">
        <x:v>major_purchase</x:v>
      </x:c>
      <x:c r="L3869" t="n">
        <x:v>0</x:v>
      </x:c>
      <x:c r="M3869" t="n">
        <x:v>0</x:v>
      </x:c>
      <x:c r="N3869" t="str">
        <x:v>Fully Paid</x:v>
      </x:c>
      <x:c r="O3869" t="str">
        <x:f>IF(D3869="","Unknown",IF(D3869&lt;25000,"&lt;$25k",IF(D3869&lt;50000,"$25k-$50k",IF(D3869&lt;75000,"$50k-$75k",IF(D3869&lt;100000,"$75k-$100k","$100k+")))))</x:f>
        <x:v>$25k-$50k</x:v>
      </x:c>
      <x:c r="P3869" t="str">
        <x:f>IF(E3869="","Unknown",IF(E3869&lt;10,"&lt;10",IF(E3869&lt;20,"10-&lt;20",IF(E3869&lt;25,"20-&lt;25",IF(E3869&lt;35,"25-&lt;35","35+")))))</x:f>
        <x:v>10-&lt;20</x:v>
      </x:c>
    </x:row>
    <x:row r="3870">
      <x:c r="A3870" t="str">
        <x:v>SYN0003869</x:v>
      </x:c>
      <x:c r="B3870" s="12" t="n">
        <x:v>42865</x:v>
      </x:c>
      <x:c r="C3870" s="18" t="n">
        <x:v>8986</x:v>
      </x:c>
      <x:c r="D3870" s="18" t="n">
        <x:v>85365</x:v>
      </x:c>
      <x:c r="E3870" s="18" t="n">
        <x:v>22.26</x:v>
      </x:c>
      <x:c r="F3870" s="18" t="n">
        <x:v>20.34</x:v>
      </x:c>
      <x:c r="G3870" t="n">
        <x:v>36</x:v>
      </x:c>
      <x:c r="H3870" t="str">
        <x:v>E</x:v>
      </x:c>
      <x:c r="I3870" t="str">
        <x:v>7-9 years</x:v>
      </x:c>
      <x:c r="J3870" t="str">
        <x:v>MORTGAGE</x:v>
      </x:c>
      <x:c r="K3870" t="str">
        <x:v>debt_consolidation</x:v>
      </x:c>
      <x:c r="L3870" t="n">
        <x:v>1</x:v>
      </x:c>
      <x:c r="M3870" t="n">
        <x:v>0</x:v>
      </x:c>
      <x:c r="N3870" t="str">
        <x:v>Fully Paid</x:v>
      </x:c>
      <x:c r="O3870" t="str">
        <x:f>IF(D3870="","Unknown",IF(D3870&lt;25000,"&lt;$25k",IF(D3870&lt;50000,"$25k-$50k",IF(D3870&lt;75000,"$50k-$75k",IF(D3870&lt;100000,"$75k-$100k","$100k+")))))</x:f>
        <x:v>$75k-$100k</x:v>
      </x:c>
      <x:c r="P3870" t="str">
        <x:f>IF(E3870="","Unknown",IF(E3870&lt;10,"&lt;10",IF(E3870&lt;20,"10-&lt;20",IF(E3870&lt;25,"20-&lt;25",IF(E3870&lt;35,"25-&lt;35","35+")))))</x:f>
        <x:v>20-&lt;25</x:v>
      </x:c>
    </x:row>
    <x:row r="3871">
      <x:c r="A3871" t="str">
        <x:v>SYN0003870</x:v>
      </x:c>
      <x:c r="B3871" s="12" t="n">
        <x:v>42085</x:v>
      </x:c>
      <x:c r="C3871" s="18" t="n">
        <x:v>6673</x:v>
      </x:c>
      <x:c r="D3871" s="18" t="n">
        <x:v>34730</x:v>
      </x:c>
      <x:c r="E3871" s="18" t="n">
        <x:v>31.92</x:v>
      </x:c>
      <x:c r="F3871" s="18" t="n">
        <x:v>10.62</x:v>
      </x:c>
      <x:c r="G3871" t="n">
        <x:v>36</x:v>
      </x:c>
      <x:c r="H3871" t="str">
        <x:v>C</x:v>
      </x:c>
      <x:c r="I3871" t="str">
        <x:v>4-6 years</x:v>
      </x:c>
      <x:c r="J3871" t="str">
        <x:v>MORTGAGE</x:v>
      </x:c>
      <x:c r="K3871" t="str">
        <x:v>debt_consolidation</x:v>
      </x:c>
      <x:c r="L3871" t="n">
        <x:v>0</x:v>
      </x:c>
      <x:c r="M3871" t="n">
        <x:v>0</x:v>
      </x:c>
      <x:c r="N3871" t="str">
        <x:v>Fully Paid</x:v>
      </x:c>
      <x:c r="O3871" t="str">
        <x:f>IF(D3871="","Unknown",IF(D3871&lt;25000,"&lt;$25k",IF(D3871&lt;50000,"$25k-$50k",IF(D3871&lt;75000,"$50k-$75k",IF(D3871&lt;100000,"$75k-$100k","$100k+")))))</x:f>
        <x:v>$25k-$50k</x:v>
      </x:c>
      <x:c r="P3871" t="str">
        <x:f>IF(E3871="","Unknown",IF(E3871&lt;10,"&lt;10",IF(E3871&lt;20,"10-&lt;20",IF(E3871&lt;25,"20-&lt;25",IF(E3871&lt;35,"25-&lt;35","35+")))))</x:f>
        <x:v>25-&lt;35</x:v>
      </x:c>
    </x:row>
    <x:row r="3872">
      <x:c r="A3872" t="str">
        <x:v>SYN0003871</x:v>
      </x:c>
      <x:c r="B3872" s="12" t="n">
        <x:v>41905</x:v>
      </x:c>
      <x:c r="C3872" s="18" t="n">
        <x:v>4842</x:v>
      </x:c>
      <x:c r="D3872" s="18" t="n">
        <x:v>29747</x:v>
      </x:c>
      <x:c r="E3872" s="18" t="n">
        <x:v>31.93</x:v>
      </x:c>
      <x:c r="F3872" s="18" t="n">
        <x:v>22.93</x:v>
      </x:c>
      <x:c r="G3872" t="n">
        <x:v>36</x:v>
      </x:c>
      <x:c r="H3872" t="str">
        <x:v>F</x:v>
      </x:c>
      <x:c r="I3872" t="str">
        <x:v>7-9 years</x:v>
      </x:c>
      <x:c r="J3872" t="str">
        <x:v>OWN</x:v>
      </x:c>
      <x:c r="K3872" t="str">
        <x:v>major_purchase</x:v>
      </x:c>
      <x:c r="L3872" t="n">
        <x:v>0</x:v>
      </x:c>
      <x:c r="M3872" t="n">
        <x:v>0</x:v>
      </x:c>
      <x:c r="N3872" t="str">
        <x:v>Fully Paid</x:v>
      </x:c>
      <x:c r="O3872" t="str">
        <x:f>IF(D3872="","Unknown",IF(D3872&lt;25000,"&lt;$25k",IF(D3872&lt;50000,"$25k-$50k",IF(D3872&lt;75000,"$50k-$75k",IF(D3872&lt;100000,"$75k-$100k","$100k+")))))</x:f>
        <x:v>$25k-$50k</x:v>
      </x:c>
      <x:c r="P3872" t="str">
        <x:f>IF(E3872="","Unknown",IF(E3872&lt;10,"&lt;10",IF(E3872&lt;20,"10-&lt;20",IF(E3872&lt;25,"20-&lt;25",IF(E3872&lt;35,"25-&lt;35","35+")))))</x:f>
        <x:v>25-&lt;35</x:v>
      </x:c>
    </x:row>
    <x:row r="3873">
      <x:c r="A3873" t="str">
        <x:v>SYN0003872</x:v>
      </x:c>
      <x:c r="B3873" s="12" t="n">
        <x:v>42925</x:v>
      </x:c>
      <x:c r="C3873" s="18" t="n">
        <x:v>11224</x:v>
      </x:c>
      <x:c r="D3873" s="18" t="n">
        <x:v>63376</x:v>
      </x:c>
      <x:c r="E3873" s="18" t="n">
        <x:v>13.2</x:v>
      </x:c>
      <x:c r="F3873" s="18" t="n">
        <x:v>14.76</x:v>
      </x:c>
      <x:c r="G3873" t="n">
        <x:v>36</x:v>
      </x:c>
      <x:c r="H3873" t="str">
        <x:v>E</x:v>
      </x:c>
      <x:c r="I3873" t="str">
        <x:v>1-3 years</x:v>
      </x:c>
      <x:c r="J3873" t="str">
        <x:v>RENT</x:v>
      </x:c>
      <x:c r="K3873" t="str">
        <x:v>debt_consolidation</x:v>
      </x:c>
      <x:c r="L3873" t="n">
        <x:v>2</x:v>
      </x:c>
      <x:c r="M3873" t="n">
        <x:v>0</x:v>
      </x:c>
      <x:c r="N3873" t="str">
        <x:v>Fully Paid</x:v>
      </x:c>
      <x:c r="O3873" t="str">
        <x:f>IF(D3873="","Unknown",IF(D3873&lt;25000,"&lt;$25k",IF(D3873&lt;50000,"$25k-$50k",IF(D3873&lt;75000,"$50k-$75k",IF(D3873&lt;100000,"$75k-$100k","$100k+")))))</x:f>
        <x:v>$50k-$75k</x:v>
      </x:c>
      <x:c r="P3873" t="str">
        <x:f>IF(E3873="","Unknown",IF(E3873&lt;10,"&lt;10",IF(E3873&lt;20,"10-&lt;20",IF(E3873&lt;25,"20-&lt;25",IF(E3873&lt;35,"25-&lt;35","35+")))))</x:f>
        <x:v>10-&lt;20</x:v>
      </x:c>
    </x:row>
    <x:row r="3874">
      <x:c r="A3874" t="str">
        <x:v>SYN0003873</x:v>
      </x:c>
      <x:c r="B3874" s="12" t="n">
        <x:v>41455</x:v>
      </x:c>
      <x:c r="C3874" s="18" t="n">
        <x:v>15327</x:v>
      </x:c>
      <x:c r="D3874" s="18" t="n">
        <x:v>45370</x:v>
      </x:c>
      <x:c r="E3874" s="18" t="n">
        <x:v>4.3</x:v>
      </x:c>
      <x:c r="F3874" s="18" t="n">
        <x:v>6.6</x:v>
      </x:c>
      <x:c r="G3874" t="n">
        <x:v>36</x:v>
      </x:c>
      <x:c r="H3874" t="str">
        <x:v>A</x:v>
      </x:c>
      <x:c r="I3874" t="str">
        <x:v>7-9 years</x:v>
      </x:c>
      <x:c r="J3874" t="str">
        <x:v>RENT</x:v>
      </x:c>
      <x:c r="K3874" t="str">
        <x:v>debt_consolidation</x:v>
      </x:c>
      <x:c r="L3874" t="n">
        <x:v>0</x:v>
      </x:c>
      <x:c r="M3874" t="n">
        <x:v>0</x:v>
      </x:c>
      <x:c r="N3874" t="str">
        <x:v>Fully Paid</x:v>
      </x:c>
      <x:c r="O3874" t="str">
        <x:f>IF(D3874="","Unknown",IF(D3874&lt;25000,"&lt;$25k",IF(D3874&lt;50000,"$25k-$50k",IF(D3874&lt;75000,"$50k-$75k",IF(D3874&lt;100000,"$75k-$100k","$100k+")))))</x:f>
        <x:v>$25k-$50k</x:v>
      </x:c>
      <x:c r="P3874" t="str">
        <x:f>IF(E3874="","Unknown",IF(E3874&lt;10,"&lt;10",IF(E3874&lt;20,"10-&lt;20",IF(E3874&lt;25,"20-&lt;25",IF(E3874&lt;35,"25-&lt;35","35+")))))</x:f>
        <x:v>&lt;10</x:v>
      </x:c>
    </x:row>
    <x:row r="3875">
      <x:c r="A3875" t="str">
        <x:v>SYN0003874</x:v>
      </x:c>
      <x:c r="B3875" s="12" t="n">
        <x:v>42985</x:v>
      </x:c>
      <x:c r="C3875" s="18" t="n">
        <x:v>9946</x:v>
      </x:c>
      <x:c r="D3875" s="18" t="n">
        <x:v>47639</x:v>
      </x:c>
      <x:c r="E3875" s="18" t="n">
        <x:v>28.42</x:v>
      </x:c>
      <x:c r="F3875" s="18" t="n">
        <x:v>12</x:v>
      </x:c>
      <x:c r="G3875" t="n">
        <x:v>36</x:v>
      </x:c>
      <x:c r="H3875" t="str">
        <x:v>C</x:v>
      </x:c>
      <x:c r="I3875" t="str">
        <x:v>4-6 years</x:v>
      </x:c>
      <x:c r="J3875" t="str">
        <x:v>MORTGAGE</x:v>
      </x:c>
      <x:c r="K3875" t="str">
        <x:v>credit_card</x:v>
      </x:c>
      <x:c r="L3875" t="n">
        <x:v>0</x:v>
      </x:c>
      <x:c r="M3875" t="n">
        <x:v>0</x:v>
      </x:c>
      <x:c r="N3875" t="str">
        <x:v>Fully Paid</x:v>
      </x:c>
      <x:c r="O3875" t="str">
        <x:f>IF(D3875="","Unknown",IF(D3875&lt;25000,"&lt;$25k",IF(D3875&lt;50000,"$25k-$50k",IF(D3875&lt;75000,"$50k-$75k",IF(D3875&lt;100000,"$75k-$100k","$100k+")))))</x:f>
        <x:v>$25k-$50k</x:v>
      </x:c>
      <x:c r="P3875" t="str">
        <x:f>IF(E3875="","Unknown",IF(E3875&lt;10,"&lt;10",IF(E3875&lt;20,"10-&lt;20",IF(E3875&lt;25,"20-&lt;25",IF(E3875&lt;35,"25-&lt;35","35+")))))</x:f>
        <x:v>25-&lt;35</x:v>
      </x:c>
    </x:row>
    <x:row r="3876">
      <x:c r="A3876" t="str">
        <x:v>SYN0003875</x:v>
      </x:c>
      <x:c r="B3876" s="12" t="n">
        <x:v>41785</x:v>
      </x:c>
      <x:c r="C3876" s="18" t="n">
        <x:v>13234</x:v>
      </x:c>
      <x:c r="D3876" s="18" t="n">
        <x:v>70562</x:v>
      </x:c>
      <x:c r="E3876" s="18" t="n">
        <x:v>15.99</x:v>
      </x:c>
      <x:c r="F3876" s="18" t="n">
        <x:v>7.75</x:v>
      </x:c>
      <x:c r="G3876" t="n">
        <x:v>36</x:v>
      </x:c>
      <x:c r="H3876" t="str">
        <x:v>B</x:v>
      </x:c>
      <x:c r="I3876" t="str">
        <x:v>1-3 years</x:v>
      </x:c>
      <x:c r="J3876" t="str">
        <x:v>MORTGAGE</x:v>
      </x:c>
      <x:c r="K3876" t="str">
        <x:v>debt_consolidation</x:v>
      </x:c>
      <x:c r="L3876" t="n">
        <x:v>1</x:v>
      </x:c>
      <x:c r="M3876" t="n">
        <x:v>0</x:v>
      </x:c>
      <x:c r="N3876" t="str">
        <x:v>Fully Paid</x:v>
      </x:c>
      <x:c r="O3876" t="str">
        <x:f>IF(D3876="","Unknown",IF(D3876&lt;25000,"&lt;$25k",IF(D3876&lt;50000,"$25k-$50k",IF(D3876&lt;75000,"$50k-$75k",IF(D3876&lt;100000,"$75k-$100k","$100k+")))))</x:f>
        <x:v>$50k-$75k</x:v>
      </x:c>
      <x:c r="P3876" t="str">
        <x:f>IF(E3876="","Unknown",IF(E3876&lt;10,"&lt;10",IF(E3876&lt;20,"10-&lt;20",IF(E3876&lt;25,"20-&lt;25",IF(E3876&lt;35,"25-&lt;35","35+")))))</x:f>
        <x:v>10-&lt;20</x:v>
      </x:c>
    </x:row>
    <x:row r="3877">
      <x:c r="A3877" t="str">
        <x:v>SYN0003876</x:v>
      </x:c>
      <x:c r="B3877" s="12" t="n">
        <x:v>42475</x:v>
      </x:c>
      <x:c r="C3877" s="18" t="n">
        <x:v>5417</x:v>
      </x:c>
      <x:c r="D3877" s="18" t="n">
        <x:v>104399</x:v>
      </x:c>
      <x:c r="E3877" s="18" t="n">
        <x:v>21.89</x:v>
      </x:c>
      <x:c r="F3877" s="18" t="n">
        <x:v>7.41</x:v>
      </x:c>
      <x:c r="G3877" t="n">
        <x:v>36</x:v>
      </x:c>
      <x:c r="H3877" t="str">
        <x:v>B</x:v>
      </x:c>
      <x:c r="I3877" t="str">
        <x:v>4-6 years</x:v>
      </x:c>
      <x:c r="J3877" t="str">
        <x:v>MORTGAGE</x:v>
      </x:c>
      <x:c r="K3877" t="str">
        <x:v>debt_consolidation</x:v>
      </x:c>
      <x:c r="L3877" t="n">
        <x:v>1</x:v>
      </x:c>
      <x:c r="M3877" t="n">
        <x:v>0</x:v>
      </x:c>
      <x:c r="N3877" t="str">
        <x:v>Fully Paid</x:v>
      </x:c>
      <x:c r="O3877" t="str">
        <x:f>IF(D3877="","Unknown",IF(D3877&lt;25000,"&lt;$25k",IF(D3877&lt;50000,"$25k-$50k",IF(D3877&lt;75000,"$50k-$75k",IF(D3877&lt;100000,"$75k-$100k","$100k+")))))</x:f>
        <x:v>$100k+</x:v>
      </x:c>
      <x:c r="P3877" t="str">
        <x:f>IF(E3877="","Unknown",IF(E3877&lt;10,"&lt;10",IF(E3877&lt;20,"10-&lt;20",IF(E3877&lt;25,"20-&lt;25",IF(E3877&lt;35,"25-&lt;35","35+")))))</x:f>
        <x:v>20-&lt;25</x:v>
      </x:c>
    </x:row>
    <x:row r="3878">
      <x:c r="A3878" t="str">
        <x:v>SYN0003877</x:v>
      </x:c>
      <x:c r="B3878" s="12" t="n">
        <x:v>42925</x:v>
      </x:c>
      <x:c r="C3878" s="18" t="n">
        <x:v>14222</x:v>
      </x:c>
      <x:c r="D3878" s="18" t="n">
        <x:v>30111</x:v>
      </x:c>
      <x:c r="E3878" s="18" t="n">
        <x:v>45.52</x:v>
      </x:c>
      <x:c r="F3878" s="18" t="n">
        <x:v>7.5</x:v>
      </x:c>
      <x:c r="G3878" t="n">
        <x:v>36</x:v>
      </x:c>
      <x:c r="H3878" t="str">
        <x:v>B</x:v>
      </x:c>
      <x:c r="I3878" t="str">
        <x:v>1-3 years</x:v>
      </x:c>
      <x:c r="J3878" t="str">
        <x:v>RENT</x:v>
      </x:c>
      <x:c r="K3878" t="str">
        <x:v>debt_consolidation</x:v>
      </x:c>
      <x:c r="L3878" t="n">
        <x:v>0</x:v>
      </x:c>
      <x:c r="M3878" t="n">
        <x:v>0</x:v>
      </x:c>
      <x:c r="N3878" t="str">
        <x:v>Fully Paid</x:v>
      </x:c>
      <x:c r="O3878" t="str">
        <x:f>IF(D3878="","Unknown",IF(D3878&lt;25000,"&lt;$25k",IF(D3878&lt;50000,"$25k-$50k",IF(D3878&lt;75000,"$50k-$75k",IF(D3878&lt;100000,"$75k-$100k","$100k+")))))</x:f>
        <x:v>$25k-$50k</x:v>
      </x:c>
      <x:c r="P3878" t="str">
        <x:f>IF(E3878="","Unknown",IF(E3878&lt;10,"&lt;10",IF(E3878&lt;20,"10-&lt;20",IF(E3878&lt;25,"20-&lt;25",IF(E3878&lt;35,"25-&lt;35","35+")))))</x:f>
        <x:v>35+</x:v>
      </x:c>
    </x:row>
    <x:row r="3879">
      <x:c r="A3879" t="str">
        <x:v>SYN0003878</x:v>
      </x:c>
      <x:c r="B3879" s="12" t="n">
        <x:v>43135</x:v>
      </x:c>
      <x:c r="C3879" s="18" t="n">
        <x:v>11587</x:v>
      </x:c>
      <x:c r="D3879" s="18" t="n">
        <x:v>30862</x:v>
      </x:c>
      <x:c r="E3879" s="18" t="n">
        <x:v>18.36</x:v>
      </x:c>
      <x:c r="F3879" s="18" t="n">
        <x:v>15.57</x:v>
      </x:c>
      <x:c r="G3879" t="n">
        <x:v>36</x:v>
      </x:c>
      <x:c r="H3879" t="str">
        <x:v>D</x:v>
      </x:c>
      <x:c r="I3879" t="str">
        <x:v>4-6 years</x:v>
      </x:c>
      <x:c r="J3879" t="str">
        <x:v>RENT</x:v>
      </x:c>
      <x:c r="K3879" t="str">
        <x:v>debt_consolidation</x:v>
      </x:c>
      <x:c r="L3879" t="n">
        <x:v>1</x:v>
      </x:c>
      <x:c r="M3879" t="n">
        <x:v>0</x:v>
      </x:c>
      <x:c r="N3879" t="str">
        <x:v>Fully Paid</x:v>
      </x:c>
      <x:c r="O3879" t="str">
        <x:f>IF(D3879="","Unknown",IF(D3879&lt;25000,"&lt;$25k",IF(D3879&lt;50000,"$25k-$50k",IF(D3879&lt;75000,"$50k-$75k",IF(D3879&lt;100000,"$75k-$100k","$100k+")))))</x:f>
        <x:v>$25k-$50k</x:v>
      </x:c>
      <x:c r="P3879" t="str">
        <x:f>IF(E3879="","Unknown",IF(E3879&lt;10,"&lt;10",IF(E3879&lt;20,"10-&lt;20",IF(E3879&lt;25,"20-&lt;25",IF(E3879&lt;35,"25-&lt;35","35+")))))</x:f>
        <x:v>10-&lt;20</x:v>
      </x:c>
    </x:row>
    <x:row r="3880">
      <x:c r="A3880" t="str">
        <x:v>SYN0003879</x:v>
      </x:c>
      <x:c r="B3880" s="12" t="n">
        <x:v>42985</x:v>
      </x:c>
      <x:c r="C3880" s="18" t="n">
        <x:v>12534</x:v>
      </x:c>
      <x:c r="D3880" s="18" t="n">
        <x:v>88388</x:v>
      </x:c>
      <x:c r="E3880" s="18" t="n">
        <x:v>28.73</x:v>
      </x:c>
      <x:c r="F3880" s="18" t="n">
        <x:v>26.06</x:v>
      </x:c>
      <x:c r="G3880" t="n">
        <x:v>36</x:v>
      </x:c>
      <x:c r="H3880" t="str">
        <x:v>G</x:v>
      </x:c>
      <x:c r="I3880" t="str">
        <x:v>10+ years</x:v>
      </x:c>
      <x:c r="J3880" t="str">
        <x:v>MORTGAGE</x:v>
      </x:c>
      <x:c r="K3880" t="str">
        <x:v>home_improvement</x:v>
      </x:c>
      <x:c r="L3880" t="n">
        <x:v>0</x:v>
      </x:c>
      <x:c r="M3880" t="n">
        <x:v>0</x:v>
      </x:c>
      <x:c r="N3880" t="str">
        <x:v>Fully Paid</x:v>
      </x:c>
      <x:c r="O3880" t="str">
        <x:f>IF(D3880="","Unknown",IF(D3880&lt;25000,"&lt;$25k",IF(D3880&lt;50000,"$25k-$50k",IF(D3880&lt;75000,"$50k-$75k",IF(D3880&lt;100000,"$75k-$100k","$100k+")))))</x:f>
        <x:v>$75k-$100k</x:v>
      </x:c>
      <x:c r="P3880" t="str">
        <x:f>IF(E3880="","Unknown",IF(E3880&lt;10,"&lt;10",IF(E3880&lt;20,"10-&lt;20",IF(E3880&lt;25,"20-&lt;25",IF(E3880&lt;35,"25-&lt;35","35+")))))</x:f>
        <x:v>25-&lt;35</x:v>
      </x:c>
    </x:row>
    <x:row r="3881">
      <x:c r="A3881" t="str">
        <x:v>SYN0003880</x:v>
      </x:c>
      <x:c r="B3881" s="12" t="n">
        <x:v>43375</x:v>
      </x:c>
      <x:c r="C3881" s="18" t="n">
        <x:v>6312</x:v>
      </x:c>
      <x:c r="D3881" s="18" t="n">
        <x:v>51198</x:v>
      </x:c>
      <x:c r="E3881" s="18" t="n">
        <x:v>20.5</x:v>
      </x:c>
      <x:c r="F3881" s="18" t="n">
        <x:v>10.22</x:v>
      </x:c>
      <x:c r="G3881" t="n">
        <x:v>36</x:v>
      </x:c>
      <x:c r="H3881" t="str">
        <x:v>B</x:v>
      </x:c>
      <x:c r="I3881" t="str">
        <x:v>4-6 years</x:v>
      </x:c>
      <x:c r="J3881" t="str">
        <x:v>MORTGAGE</x:v>
      </x:c>
      <x:c r="K3881" t="str">
        <x:v>credit_card</x:v>
      </x:c>
      <x:c r="L3881" t="n">
        <x:v>0</x:v>
      </x:c>
      <x:c r="M3881" t="n">
        <x:v>0</x:v>
      </x:c>
      <x:c r="N3881" t="str">
        <x:v>Fully Paid</x:v>
      </x:c>
      <x:c r="O3881" t="str">
        <x:f>IF(D3881="","Unknown",IF(D3881&lt;25000,"&lt;$25k",IF(D3881&lt;50000,"$25k-$50k",IF(D3881&lt;75000,"$50k-$75k",IF(D3881&lt;100000,"$75k-$100k","$100k+")))))</x:f>
        <x:v>$50k-$75k</x:v>
      </x:c>
      <x:c r="P3881" t="str">
        <x:f>IF(E3881="","Unknown",IF(E3881&lt;10,"&lt;10",IF(E3881&lt;20,"10-&lt;20",IF(E3881&lt;25,"20-&lt;25",IF(E3881&lt;35,"25-&lt;35","35+")))))</x:f>
        <x:v>20-&lt;25</x:v>
      </x:c>
    </x:row>
    <x:row r="3882">
      <x:c r="A3882" t="str">
        <x:v>SYN0003881</x:v>
      </x:c>
      <x:c r="B3882" s="12" t="n">
        <x:v>43405</x:v>
      </x:c>
      <x:c r="C3882" s="18" t="n">
        <x:v>33005</x:v>
      </x:c>
      <x:c r="D3882" s="18" t="n">
        <x:v>56119</x:v>
      </x:c>
      <x:c r="E3882" s="18" t="n">
        <x:v>17.88</x:v>
      </x:c>
      <x:c r="F3882" s="18" t="n">
        <x:v>13.08</x:v>
      </x:c>
      <x:c r="G3882" t="n">
        <x:v>36</x:v>
      </x:c>
      <x:c r="H3882" t="str">
        <x:v>C</x:v>
      </x:c>
      <x:c r="I3882" t="str">
        <x:v>10+ years</x:v>
      </x:c>
      <x:c r="J3882" t="str">
        <x:v>MORTGAGE</x:v>
      </x:c>
      <x:c r="K3882" t="str">
        <x:v>debt_consolidation</x:v>
      </x:c>
      <x:c r="L3882" t="n">
        <x:v>0</x:v>
      </x:c>
      <x:c r="M3882" t="n">
        <x:v>0</x:v>
      </x:c>
      <x:c r="N3882" t="str">
        <x:v>Fully Paid</x:v>
      </x:c>
      <x:c r="O3882" t="str">
        <x:f>IF(D3882="","Unknown",IF(D3882&lt;25000,"&lt;$25k",IF(D3882&lt;50000,"$25k-$50k",IF(D3882&lt;75000,"$50k-$75k",IF(D3882&lt;100000,"$75k-$100k","$100k+")))))</x:f>
        <x:v>$50k-$75k</x:v>
      </x:c>
      <x:c r="P3882" t="str">
        <x:f>IF(E3882="","Unknown",IF(E3882&lt;10,"&lt;10",IF(E3882&lt;20,"10-&lt;20",IF(E3882&lt;25,"20-&lt;25",IF(E3882&lt;35,"25-&lt;35","35+")))))</x:f>
        <x:v>10-&lt;20</x:v>
      </x:c>
    </x:row>
    <x:row r="3883">
      <x:c r="A3883" t="str">
        <x:v>SYN0003882</x:v>
      </x:c>
      <x:c r="B3883" s="12" t="n">
        <x:v>41725</x:v>
      </x:c>
      <x:c r="C3883" s="18" t="n">
        <x:v>26005</x:v>
      </x:c>
      <x:c r="D3883" s="18" t="n">
        <x:v>107869</x:v>
      </x:c>
      <x:c r="E3883" s="18" t="n">
        <x:v>19.18</x:v>
      </x:c>
      <x:c r="F3883" s="18" t="n">
        <x:v>7.86</x:v>
      </x:c>
      <x:c r="G3883" t="n">
        <x:v>36</x:v>
      </x:c>
      <x:c r="H3883" t="str">
        <x:v>B</x:v>
      </x:c>
      <x:c r="I3883" t="str">
        <x:v>&lt;1 year</x:v>
      </x:c>
      <x:c r="J3883" t="str">
        <x:v>RENT</x:v>
      </x:c>
      <x:c r="K3883" t="str">
        <x:v>credit_card</x:v>
      </x:c>
      <x:c r="L3883" t="n">
        <x:v>1</x:v>
      </x:c>
      <x:c r="M3883" t="n">
        <x:v>0</x:v>
      </x:c>
      <x:c r="N3883" t="str">
        <x:v>Fully Paid</x:v>
      </x:c>
      <x:c r="O3883" t="str">
        <x:f>IF(D3883="","Unknown",IF(D3883&lt;25000,"&lt;$25k",IF(D3883&lt;50000,"$25k-$50k",IF(D3883&lt;75000,"$50k-$75k",IF(D3883&lt;100000,"$75k-$100k","$100k+")))))</x:f>
        <x:v>$100k+</x:v>
      </x:c>
      <x:c r="P3883" t="str">
        <x:f>IF(E3883="","Unknown",IF(E3883&lt;10,"&lt;10",IF(E3883&lt;20,"10-&lt;20",IF(E3883&lt;25,"20-&lt;25",IF(E3883&lt;35,"25-&lt;35","35+")))))</x:f>
        <x:v>10-&lt;20</x:v>
      </x:c>
    </x:row>
    <x:row r="3884">
      <x:c r="A3884" t="str">
        <x:v>SYN0003883</x:v>
      </x:c>
      <x:c r="B3884" s="12" t="n">
        <x:v>42985</x:v>
      </x:c>
      <x:c r="C3884" s="18" t="n">
        <x:v>21810</x:v>
      </x:c>
      <x:c r="D3884" s="18" t="n">
        <x:v>58349</x:v>
      </x:c>
      <x:c r="E3884" s="18" t="n">
        <x:v>11.23</x:v>
      </x:c>
      <x:c r="F3884" s="18" t="n">
        <x:v>6.89</x:v>
      </x:c>
      <x:c r="G3884" t="n">
        <x:v>36</x:v>
      </x:c>
      <x:c r="H3884" t="str">
        <x:v>B</x:v>
      </x:c>
      <x:c r="I3884" t="str">
        <x:v>&lt;1 year</x:v>
      </x:c>
      <x:c r="J3884" t="str">
        <x:v>RENT</x:v>
      </x:c>
      <x:c r="K3884" t="str">
        <x:v>debt_consolidation</x:v>
      </x:c>
      <x:c r="L3884" t="n">
        <x:v>0</x:v>
      </x:c>
      <x:c r="M3884" t="n">
        <x:v>0</x:v>
      </x:c>
      <x:c r="N3884" t="str">
        <x:v>Fully Paid</x:v>
      </x:c>
      <x:c r="O3884" t="str">
        <x:f>IF(D3884="","Unknown",IF(D3884&lt;25000,"&lt;$25k",IF(D3884&lt;50000,"$25k-$50k",IF(D3884&lt;75000,"$50k-$75k",IF(D3884&lt;100000,"$75k-$100k","$100k+")))))</x:f>
        <x:v>$50k-$75k</x:v>
      </x:c>
      <x:c r="P3884" t="str">
        <x:f>IF(E3884="","Unknown",IF(E3884&lt;10,"&lt;10",IF(E3884&lt;20,"10-&lt;20",IF(E3884&lt;25,"20-&lt;25",IF(E3884&lt;35,"25-&lt;35","35+")))))</x:f>
        <x:v>10-&lt;20</x:v>
      </x:c>
    </x:row>
    <x:row r="3885">
      <x:c r="A3885" t="str">
        <x:v>SYN0003884</x:v>
      </x:c>
      <x:c r="B3885" s="12" t="n">
        <x:v>42655</x:v>
      </x:c>
      <x:c r="C3885" s="18" t="n">
        <x:v>13106</x:v>
      </x:c>
      <x:c r="D3885" s="18" t="n">
        <x:v>93972</x:v>
      </x:c>
      <x:c r="E3885" s="18" t="n">
        <x:v>18.8</x:v>
      </x:c>
      <x:c r="F3885" s="18" t="n">
        <x:v>8.57</x:v>
      </x:c>
      <x:c r="G3885" t="n">
        <x:v>60</x:v>
      </x:c>
      <x:c r="H3885" t="str">
        <x:v>B</x:v>
      </x:c>
      <x:c r="I3885" t="str">
        <x:v>1-3 years</x:v>
      </x:c>
      <x:c r="J3885" t="str">
        <x:v>OWN</x:v>
      </x:c>
      <x:c r="K3885" t="str">
        <x:v>home_improvement</x:v>
      </x:c>
      <x:c r="L3885" t="n">
        <x:v>1</x:v>
      </x:c>
      <x:c r="M3885" t="n">
        <x:v>0</x:v>
      </x:c>
      <x:c r="N3885" t="str">
        <x:v>Fully Paid</x:v>
      </x:c>
      <x:c r="O3885" t="str">
        <x:f>IF(D3885="","Unknown",IF(D3885&lt;25000,"&lt;$25k",IF(D3885&lt;50000,"$25k-$50k",IF(D3885&lt;75000,"$50k-$75k",IF(D3885&lt;100000,"$75k-$100k","$100k+")))))</x:f>
        <x:v>$75k-$100k</x:v>
      </x:c>
      <x:c r="P3885" t="str">
        <x:f>IF(E3885="","Unknown",IF(E3885&lt;10,"&lt;10",IF(E3885&lt;20,"10-&lt;20",IF(E3885&lt;25,"20-&lt;25",IF(E3885&lt;35,"25-&lt;35","35+")))))</x:f>
        <x:v>10-&lt;20</x:v>
      </x:c>
    </x:row>
    <x:row r="3886">
      <x:c r="A3886" t="str">
        <x:v>SYN0003885</x:v>
      </x:c>
      <x:c r="B3886" s="12" t="n">
        <x:v>41845</x:v>
      </x:c>
      <x:c r="C3886" s="18" t="n">
        <x:v>11655</x:v>
      </x:c>
      <x:c r="D3886" s="18" t="n">
        <x:v>97124</x:v>
      </x:c>
      <x:c r="E3886" s="18" t="n">
        <x:v>13.55</x:v>
      </x:c>
      <x:c r="F3886" s="18" t="n">
        <x:v>6.8</x:v>
      </x:c>
      <x:c r="G3886" t="n">
        <x:v>60</x:v>
      </x:c>
      <x:c r="H3886" t="str">
        <x:v>A</x:v>
      </x:c>
      <x:c r="I3886" t="str">
        <x:v>1-3 years</x:v>
      </x:c>
      <x:c r="J3886" t="str">
        <x:v>MORTGAGE</x:v>
      </x:c>
      <x:c r="K3886" t="str">
        <x:v>debt_consolidation</x:v>
      </x:c>
      <x:c r="L3886" t="n">
        <x:v>1</x:v>
      </x:c>
      <x:c r="M3886" t="n">
        <x:v>0</x:v>
      </x:c>
      <x:c r="N3886" t="str">
        <x:v>Fully Paid</x:v>
      </x:c>
      <x:c r="O3886" t="str">
        <x:f>IF(D3886="","Unknown",IF(D3886&lt;25000,"&lt;$25k",IF(D3886&lt;50000,"$25k-$50k",IF(D3886&lt;75000,"$50k-$75k",IF(D3886&lt;100000,"$75k-$100k","$100k+")))))</x:f>
        <x:v>$75k-$100k</x:v>
      </x:c>
      <x:c r="P3886" t="str">
        <x:f>IF(E3886="","Unknown",IF(E3886&lt;10,"&lt;10",IF(E3886&lt;20,"10-&lt;20",IF(E3886&lt;25,"20-&lt;25",IF(E3886&lt;35,"25-&lt;35","35+")))))</x:f>
        <x:v>10-&lt;20</x:v>
      </x:c>
    </x:row>
    <x:row r="3887">
      <x:c r="A3887" t="str">
        <x:v>SYN0003886</x:v>
      </x:c>
      <x:c r="B3887" s="12" t="n">
        <x:v>42025</x:v>
      </x:c>
      <x:c r="C3887" s="18" t="n">
        <x:v>36915</x:v>
      </x:c>
      <x:c r="D3887" s="18" t="n">
        <x:v>61421</x:v>
      </x:c>
      <x:c r="E3887" s="18" t="n">
        <x:v>15.93</x:v>
      </x:c>
      <x:c r="F3887" s="18" t="n">
        <x:v>10.04</x:v>
      </x:c>
      <x:c r="G3887" t="n">
        <x:v>36</x:v>
      </x:c>
      <x:c r="H3887" t="str">
        <x:v>C</x:v>
      </x:c>
      <x:c r="I3887" t="str">
        <x:v>10+ years</x:v>
      </x:c>
      <x:c r="J3887" t="str">
        <x:v>MORTGAGE</x:v>
      </x:c>
      <x:c r="K3887" t="str">
        <x:v>home_improvement</x:v>
      </x:c>
      <x:c r="L3887" t="n">
        <x:v>0</x:v>
      </x:c>
      <x:c r="M3887" t="n">
        <x:v>0</x:v>
      </x:c>
      <x:c r="N3887" t="str">
        <x:v>Fully Paid</x:v>
      </x:c>
      <x:c r="O3887" t="str">
        <x:f>IF(D3887="","Unknown",IF(D3887&lt;25000,"&lt;$25k",IF(D3887&lt;50000,"$25k-$50k",IF(D3887&lt;75000,"$50k-$75k",IF(D3887&lt;100000,"$75k-$100k","$100k+")))))</x:f>
        <x:v>$50k-$75k</x:v>
      </x:c>
      <x:c r="P3887" t="str">
        <x:f>IF(E3887="","Unknown",IF(E3887&lt;10,"&lt;10",IF(E3887&lt;20,"10-&lt;20",IF(E3887&lt;25,"20-&lt;25",IF(E3887&lt;35,"25-&lt;35","35+")))))</x:f>
        <x:v>10-&lt;20</x:v>
      </x:c>
    </x:row>
    <x:row r="3888">
      <x:c r="A3888" t="str">
        <x:v>SYN0003887</x:v>
      </x:c>
      <x:c r="B3888" s="12" t="n">
        <x:v>41845</x:v>
      </x:c>
      <x:c r="C3888" s="18" t="n">
        <x:v>16498</x:v>
      </x:c>
      <x:c r="D3888" s="18" t="n">
        <x:v>76246</x:v>
      </x:c>
      <x:c r="E3888" s="18" t="n">
        <x:v>19.93</x:v>
      </x:c>
      <x:c r="F3888" s="18" t="n">
        <x:v>8.98</x:v>
      </x:c>
      <x:c r="G3888" t="n">
        <x:v>60</x:v>
      </x:c>
      <x:c r="H3888" t="str">
        <x:v>C</x:v>
      </x:c>
      <x:c r="I3888" t="str">
        <x:v>10+ years</x:v>
      </x:c>
      <x:c r="J3888" t="str">
        <x:v>RENT</x:v>
      </x:c>
      <x:c r="K3888" t="str">
        <x:v>home_improvement</x:v>
      </x:c>
      <x:c r="L3888" t="n">
        <x:v>3</x:v>
      </x:c>
      <x:c r="M3888" t="n">
        <x:v>1</x:v>
      </x:c>
      <x:c r="N3888" t="str">
        <x:v>Charged Off</x:v>
      </x:c>
      <x:c r="O3888" t="str">
        <x:f>IF(D3888="","Unknown",IF(D3888&lt;25000,"&lt;$25k",IF(D3888&lt;50000,"$25k-$50k",IF(D3888&lt;75000,"$50k-$75k",IF(D3888&lt;100000,"$75k-$100k","$100k+")))))</x:f>
        <x:v>$75k-$100k</x:v>
      </x:c>
      <x:c r="P3888" t="str">
        <x:f>IF(E3888="","Unknown",IF(E3888&lt;10,"&lt;10",IF(E3888&lt;20,"10-&lt;20",IF(E3888&lt;25,"20-&lt;25",IF(E3888&lt;35,"25-&lt;35","35+")))))</x:f>
        <x:v>10-&lt;20</x:v>
      </x:c>
    </x:row>
    <x:row r="3889">
      <x:c r="A3889" t="str">
        <x:v>SYN0003888</x:v>
      </x:c>
      <x:c r="B3889" s="12" t="n">
        <x:v>42175</x:v>
      </x:c>
      <x:c r="C3889" s="18" t="n">
        <x:v>10132</x:v>
      </x:c>
      <x:c r="D3889" s="18" t="n">
        <x:v>44377</x:v>
      </x:c>
      <x:c r="E3889" s="18" t="n">
        <x:v>23.81</x:v>
      </x:c>
      <x:c r="F3889" s="18" t="n">
        <x:v>11.46</x:v>
      </x:c>
      <x:c r="G3889" t="n">
        <x:v>60</x:v>
      </x:c>
      <x:c r="H3889" t="str">
        <x:v>D</x:v>
      </x:c>
      <x:c r="I3889" t="str">
        <x:v>7-9 years</x:v>
      </x:c>
      <x:c r="J3889" t="str">
        <x:v>MORTGAGE</x:v>
      </x:c>
      <x:c r="K3889" t="str">
        <x:v>credit_card</x:v>
      </x:c>
      <x:c r="L3889" t="n">
        <x:v>0</x:v>
      </x:c>
      <x:c r="M3889" t="n">
        <x:v>0</x:v>
      </x:c>
      <x:c r="N3889" t="str">
        <x:v>Fully Paid</x:v>
      </x:c>
      <x:c r="O3889" t="str">
        <x:f>IF(D3889="","Unknown",IF(D3889&lt;25000,"&lt;$25k",IF(D3889&lt;50000,"$25k-$50k",IF(D3889&lt;75000,"$50k-$75k",IF(D3889&lt;100000,"$75k-$100k","$100k+")))))</x:f>
        <x:v>$25k-$50k</x:v>
      </x:c>
      <x:c r="P3889" t="str">
        <x:f>IF(E3889="","Unknown",IF(E3889&lt;10,"&lt;10",IF(E3889&lt;20,"10-&lt;20",IF(E3889&lt;25,"20-&lt;25",IF(E3889&lt;35,"25-&lt;35","35+")))))</x:f>
        <x:v>20-&lt;25</x:v>
      </x:c>
    </x:row>
    <x:row r="3890">
      <x:c r="A3890" t="str">
        <x:v>SYN0003889</x:v>
      </x:c>
      <x:c r="B3890" s="12" t="n">
        <x:v>42745</x:v>
      </x:c>
      <x:c r="C3890" s="18" t="n">
        <x:v>5948</x:v>
      </x:c>
      <x:c r="D3890" s="18" t="n">
        <x:v>33461</x:v>
      </x:c>
      <x:c r="E3890" s="18" t="n">
        <x:v>14.53</x:v>
      </x:c>
      <x:c r="F3890" s="18" t="n">
        <x:v>15.85</x:v>
      </x:c>
      <x:c r="G3890" t="n">
        <x:v>60</x:v>
      </x:c>
      <x:c r="H3890" t="str">
        <x:v>D</x:v>
      </x:c>
      <x:c r="I3890" t="str">
        <x:v>10+ years</x:v>
      </x:c>
      <x:c r="J3890" t="str">
        <x:v>RENT</x:v>
      </x:c>
      <x:c r="K3890" t="str">
        <x:v>credit_card</x:v>
      </x:c>
      <x:c r="L3890" t="n">
        <x:v>2</x:v>
      </x:c>
      <x:c r="M3890" t="n">
        <x:v>1</x:v>
      </x:c>
      <x:c r="N3890" t="str">
        <x:v>Charged Off</x:v>
      </x:c>
      <x:c r="O3890" t="str">
        <x:f>IF(D3890="","Unknown",IF(D3890&lt;25000,"&lt;$25k",IF(D3890&lt;50000,"$25k-$50k",IF(D3890&lt;75000,"$50k-$75k",IF(D3890&lt;100000,"$75k-$100k","$100k+")))))</x:f>
        <x:v>$25k-$50k</x:v>
      </x:c>
      <x:c r="P3890" t="str">
        <x:f>IF(E3890="","Unknown",IF(E3890&lt;10,"&lt;10",IF(E3890&lt;20,"10-&lt;20",IF(E3890&lt;25,"20-&lt;25",IF(E3890&lt;35,"25-&lt;35","35+")))))</x:f>
        <x:v>10-&lt;20</x:v>
      </x:c>
    </x:row>
    <x:row r="3891">
      <x:c r="A3891" t="str">
        <x:v>SYN0003890</x:v>
      </x:c>
      <x:c r="B3891" s="12" t="n">
        <x:v>41875</x:v>
      </x:c>
      <x:c r="C3891" s="18" t="n">
        <x:v>16522</x:v>
      </x:c>
      <x:c r="D3891" s="18" t="n">
        <x:v>66319</x:v>
      </x:c>
      <x:c r="E3891" s="18" t="n">
        <x:v>9.4</x:v>
      </x:c>
      <x:c r="F3891" s="18" t="n">
        <x:v>11.98</x:v>
      </x:c>
      <x:c r="G3891" t="n">
        <x:v>36</x:v>
      </x:c>
      <x:c r="H3891" t="str">
        <x:v>C</x:v>
      </x:c>
      <x:c r="I3891" t="str">
        <x:v>10+ years</x:v>
      </x:c>
      <x:c r="J3891" t="str">
        <x:v>OWN</x:v>
      </x:c>
      <x:c r="K3891" t="str">
        <x:v>debt_consolidation</x:v>
      </x:c>
      <x:c r="L3891" t="n">
        <x:v>1</x:v>
      </x:c>
      <x:c r="M3891" t="n">
        <x:v>0</x:v>
      </x:c>
      <x:c r="N3891" t="str">
        <x:v>Fully Paid</x:v>
      </x:c>
      <x:c r="O3891" t="str">
        <x:f>IF(D3891="","Unknown",IF(D3891&lt;25000,"&lt;$25k",IF(D3891&lt;50000,"$25k-$50k",IF(D3891&lt;75000,"$50k-$75k",IF(D3891&lt;100000,"$75k-$100k","$100k+")))))</x:f>
        <x:v>$50k-$75k</x:v>
      </x:c>
      <x:c r="P3891" t="str">
        <x:f>IF(E3891="","Unknown",IF(E3891&lt;10,"&lt;10",IF(E3891&lt;20,"10-&lt;20",IF(E3891&lt;25,"20-&lt;25",IF(E3891&lt;35,"25-&lt;35","35+")))))</x:f>
        <x:v>&lt;10</x:v>
      </x:c>
    </x:row>
    <x:row r="3892">
      <x:c r="A3892" t="str">
        <x:v>SYN0003891</x:v>
      </x:c>
      <x:c r="B3892" s="12" t="n">
        <x:v>43225</x:v>
      </x:c>
      <x:c r="C3892" s="18" t="n">
        <x:v>3882</x:v>
      </x:c>
      <x:c r="D3892" s="18" t="n">
        <x:v>63131</x:v>
      </x:c>
      <x:c r="E3892" s="18" t="n">
        <x:v>30.31</x:v>
      </x:c>
      <x:c r="F3892" s="18" t="n">
        <x:v>10.49</x:v>
      </x:c>
      <x:c r="G3892" t="n">
        <x:v>36</x:v>
      </x:c>
      <x:c r="H3892" t="str">
        <x:v>C</x:v>
      </x:c>
      <x:c r="I3892" t="str">
        <x:v>1-3 years</x:v>
      </x:c>
      <x:c r="J3892" t="str">
        <x:v>MORTGAGE</x:v>
      </x:c>
      <x:c r="K3892" t="str">
        <x:v>credit_card</x:v>
      </x:c>
      <x:c r="L3892" t="n">
        <x:v>0</x:v>
      </x:c>
      <x:c r="M3892" t="n">
        <x:v>0</x:v>
      </x:c>
      <x:c r="N3892" t="str">
        <x:v>Fully Paid</x:v>
      </x:c>
      <x:c r="O3892" t="str">
        <x:f>IF(D3892="","Unknown",IF(D3892&lt;25000,"&lt;$25k",IF(D3892&lt;50000,"$25k-$50k",IF(D3892&lt;75000,"$50k-$75k",IF(D3892&lt;100000,"$75k-$100k","$100k+")))))</x:f>
        <x:v>$50k-$75k</x:v>
      </x:c>
      <x:c r="P3892" t="str">
        <x:f>IF(E3892="","Unknown",IF(E3892&lt;10,"&lt;10",IF(E3892&lt;20,"10-&lt;20",IF(E3892&lt;25,"20-&lt;25",IF(E3892&lt;35,"25-&lt;35","35+")))))</x:f>
        <x:v>25-&lt;35</x:v>
      </x:c>
    </x:row>
    <x:row r="3893">
      <x:c r="A3893" t="str">
        <x:v>SYN0003892</x:v>
      </x:c>
      <x:c r="B3893" s="12" t="n">
        <x:v>41845</x:v>
      </x:c>
      <x:c r="C3893" s="18" t="n">
        <x:v>18703</x:v>
      </x:c>
      <x:c r="D3893" s="18" t="n">
        <x:v>45634</x:v>
      </x:c>
      <x:c r="E3893" s="18" t="n">
        <x:v>19.73</x:v>
      </x:c>
      <x:c r="F3893" s="18" t="n">
        <x:v>11.48</x:v>
      </x:c>
      <x:c r="G3893" t="n">
        <x:v>36</x:v>
      </x:c>
      <x:c r="H3893" t="str">
        <x:v>C</x:v>
      </x:c>
      <x:c r="I3893" t="str">
        <x:v>7-9 years</x:v>
      </x:c>
      <x:c r="J3893" t="str">
        <x:v>RENT</x:v>
      </x:c>
      <x:c r="K3893" t="str">
        <x:v>major_purchase</x:v>
      </x:c>
      <x:c r="L3893" t="n">
        <x:v>0</x:v>
      </x:c>
      <x:c r="M3893" t="n">
        <x:v>1</x:v>
      </x:c>
      <x:c r="N3893" t="str">
        <x:v>Charged Off</x:v>
      </x:c>
      <x:c r="O3893" t="str">
        <x:f>IF(D3893="","Unknown",IF(D3893&lt;25000,"&lt;$25k",IF(D3893&lt;50000,"$25k-$50k",IF(D3893&lt;75000,"$50k-$75k",IF(D3893&lt;100000,"$75k-$100k","$100k+")))))</x:f>
        <x:v>$25k-$50k</x:v>
      </x:c>
      <x:c r="P3893" t="str">
        <x:f>IF(E3893="","Unknown",IF(E3893&lt;10,"&lt;10",IF(E3893&lt;20,"10-&lt;20",IF(E3893&lt;25,"20-&lt;25",IF(E3893&lt;35,"25-&lt;35","35+")))))</x:f>
        <x:v>10-&lt;20</x:v>
      </x:c>
    </x:row>
    <x:row r="3894">
      <x:c r="A3894" t="str">
        <x:v>SYN0003893</x:v>
      </x:c>
      <x:c r="B3894" s="12" t="n">
        <x:v>42355</x:v>
      </x:c>
      <x:c r="C3894" s="18" t="n">
        <x:v>11141</x:v>
      </x:c>
      <x:c r="D3894" s="18" t="n">
        <x:v>47835</x:v>
      </x:c>
      <x:c r="E3894" s="18" t="n">
        <x:v>11.23</x:v>
      </x:c>
      <x:c r="F3894" s="18" t="n">
        <x:v>13.84</x:v>
      </x:c>
      <x:c r="G3894" t="n">
        <x:v>36</x:v>
      </x:c>
      <x:c r="H3894" t="str">
        <x:v>D</x:v>
      </x:c>
      <x:c r="I3894" t="str">
        <x:v>4-6 years</x:v>
      </x:c>
      <x:c r="J3894" t="str">
        <x:v>MORTGAGE</x:v>
      </x:c>
      <x:c r="K3894" t="str">
        <x:v>debt_consolidation</x:v>
      </x:c>
      <x:c r="L3894" t="n">
        <x:v>0</x:v>
      </x:c>
      <x:c r="M3894" t="n">
        <x:v>0</x:v>
      </x:c>
      <x:c r="N3894" t="str">
        <x:v>Fully Paid</x:v>
      </x:c>
      <x:c r="O3894" t="str">
        <x:f>IF(D3894="","Unknown",IF(D3894&lt;25000,"&lt;$25k",IF(D3894&lt;50000,"$25k-$50k",IF(D3894&lt;75000,"$50k-$75k",IF(D3894&lt;100000,"$75k-$100k","$100k+")))))</x:f>
        <x:v>$25k-$50k</x:v>
      </x:c>
      <x:c r="P3894" t="str">
        <x:f>IF(E3894="","Unknown",IF(E3894&lt;10,"&lt;10",IF(E3894&lt;20,"10-&lt;20",IF(E3894&lt;25,"20-&lt;25",IF(E3894&lt;35,"25-&lt;35","35+")))))</x:f>
        <x:v>10-&lt;20</x:v>
      </x:c>
    </x:row>
    <x:row r="3895">
      <x:c r="A3895" t="str">
        <x:v>SYN0003894</x:v>
      </x:c>
      <x:c r="B3895" s="12" t="n">
        <x:v>41455</x:v>
      </x:c>
      <x:c r="C3895" s="18" t="n">
        <x:v>20881</x:v>
      </x:c>
      <x:c r="D3895" s="18" t="n">
        <x:v>47876</x:v>
      </x:c>
      <x:c r="E3895" s="18" t="n">
        <x:v>10.25</x:v>
      </x:c>
      <x:c r="F3895" s="18" t="n">
        <x:v>5</x:v>
      </x:c>
      <x:c r="G3895" t="n">
        <x:v>36</x:v>
      </x:c>
      <x:c r="H3895" t="str">
        <x:v>A</x:v>
      </x:c>
      <x:c r="I3895" t="str">
        <x:v>7-9 years</x:v>
      </x:c>
      <x:c r="J3895" t="str">
        <x:v>MORTGAGE</x:v>
      </x:c>
      <x:c r="K3895" t="str">
        <x:v>debt_consolidation</x:v>
      </x:c>
      <x:c r="L3895" t="n">
        <x:v>0</x:v>
      </x:c>
      <x:c r="M3895" t="n">
        <x:v>1</x:v>
      </x:c>
      <x:c r="N3895" t="str">
        <x:v>Charged Off</x:v>
      </x:c>
      <x:c r="O3895" t="str">
        <x:f>IF(D3895="","Unknown",IF(D3895&lt;25000,"&lt;$25k",IF(D3895&lt;50000,"$25k-$50k",IF(D3895&lt;75000,"$50k-$75k",IF(D3895&lt;100000,"$75k-$100k","$100k+")))))</x:f>
        <x:v>$25k-$50k</x:v>
      </x:c>
      <x:c r="P3895" t="str">
        <x:f>IF(E3895="","Unknown",IF(E3895&lt;10,"&lt;10",IF(E3895&lt;20,"10-&lt;20",IF(E3895&lt;25,"20-&lt;25",IF(E3895&lt;35,"25-&lt;35","35+")))))</x:f>
        <x:v>10-&lt;20</x:v>
      </x:c>
    </x:row>
    <x:row r="3896">
      <x:c r="A3896" t="str">
        <x:v>SYN0003895</x:v>
      </x:c>
      <x:c r="B3896" s="12" t="n">
        <x:v>43405</x:v>
      </x:c>
      <x:c r="C3896" s="18" t="n">
        <x:v>17568</x:v>
      </x:c>
      <x:c r="D3896" s="18" t="n">
        <x:v>73002</x:v>
      </x:c>
      <x:c r="E3896" s="18" t="n">
        <x:v>13.2</x:v>
      </x:c>
      <x:c r="F3896" s="18" t="n">
        <x:v>6.11</x:v>
      </x:c>
      <x:c r="G3896" t="n">
        <x:v>60</x:v>
      </x:c>
      <x:c r="H3896" t="str">
        <x:v>B</x:v>
      </x:c>
      <x:c r="I3896" t="str">
        <x:v>10+ years</x:v>
      </x:c>
      <x:c r="J3896" t="str">
        <x:v>MORTGAGE</x:v>
      </x:c>
      <x:c r="K3896" t="str">
        <x:v>home_improvement</x:v>
      </x:c>
      <x:c r="L3896" t="n">
        <x:v>2</x:v>
      </x:c>
      <x:c r="M3896" t="n">
        <x:v>0</x:v>
      </x:c>
      <x:c r="N3896" t="str">
        <x:v>Fully Paid</x:v>
      </x:c>
      <x:c r="O3896" t="str">
        <x:f>IF(D3896="","Unknown",IF(D3896&lt;25000,"&lt;$25k",IF(D3896&lt;50000,"$25k-$50k",IF(D3896&lt;75000,"$50k-$75k",IF(D3896&lt;100000,"$75k-$100k","$100k+")))))</x:f>
        <x:v>$50k-$75k</x:v>
      </x:c>
      <x:c r="P3896" t="str">
        <x:f>IF(E3896="","Unknown",IF(E3896&lt;10,"&lt;10",IF(E3896&lt;20,"10-&lt;20",IF(E3896&lt;25,"20-&lt;25",IF(E3896&lt;35,"25-&lt;35","35+")))))</x:f>
        <x:v>10-&lt;20</x:v>
      </x:c>
    </x:row>
    <x:row r="3897">
      <x:c r="A3897" t="str">
        <x:v>SYN0003896</x:v>
      </x:c>
      <x:c r="B3897" s="12" t="n">
        <x:v>41815</x:v>
      </x:c>
      <x:c r="C3897" s="18" t="n">
        <x:v>14615</x:v>
      </x:c>
      <x:c r="D3897" s="18" t="n">
        <x:v>61581</x:v>
      </x:c>
      <x:c r="E3897" s="18" t="n">
        <x:v>11.12</x:v>
      </x:c>
      <x:c r="F3897" s="18" t="n">
        <x:v>6.78</x:v>
      </x:c>
      <x:c r="G3897" t="n">
        <x:v>36</x:v>
      </x:c>
      <x:c r="H3897" t="str">
        <x:v>A</x:v>
      </x:c>
      <x:c r="I3897" t="str">
        <x:v>&lt;1 year</x:v>
      </x:c>
      <x:c r="J3897" t="str">
        <x:v>MORTGAGE</x:v>
      </x:c>
      <x:c r="K3897" t="str">
        <x:v>debt_consolidation</x:v>
      </x:c>
      <x:c r="L3897" t="n">
        <x:v>0</x:v>
      </x:c>
      <x:c r="M3897" t="n">
        <x:v>0</x:v>
      </x:c>
      <x:c r="N3897" t="str">
        <x:v>Fully Paid</x:v>
      </x:c>
      <x:c r="O3897" t="str">
        <x:f>IF(D3897="","Unknown",IF(D3897&lt;25000,"&lt;$25k",IF(D3897&lt;50000,"$25k-$50k",IF(D3897&lt;75000,"$50k-$75k",IF(D3897&lt;100000,"$75k-$100k","$100k+")))))</x:f>
        <x:v>$50k-$75k</x:v>
      </x:c>
      <x:c r="P3897" t="str">
        <x:f>IF(E3897="","Unknown",IF(E3897&lt;10,"&lt;10",IF(E3897&lt;20,"10-&lt;20",IF(E3897&lt;25,"20-&lt;25",IF(E3897&lt;35,"25-&lt;35","35+")))))</x:f>
        <x:v>10-&lt;20</x:v>
      </x:c>
    </x:row>
    <x:row r="3898">
      <x:c r="A3898" t="str">
        <x:v>SYN0003897</x:v>
      </x:c>
      <x:c r="B3898" s="12" t="n">
        <x:v>43075</x:v>
      </x:c>
      <x:c r="C3898" s="18" t="n">
        <x:v>15420</x:v>
      </x:c>
      <x:c r="D3898" s="18" t="n">
        <x:v>22991</x:v>
      </x:c>
      <x:c r="E3898" s="18" t="n">
        <x:v>9.95</x:v>
      </x:c>
      <x:c r="F3898" s="18" t="n">
        <x:v>11.1</x:v>
      </x:c>
      <x:c r="G3898" t="n">
        <x:v>60</x:v>
      </x:c>
      <x:c r="H3898" t="str">
        <x:v>B</x:v>
      </x:c>
      <x:c r="I3898" t="str">
        <x:v>1-3 years</x:v>
      </x:c>
      <x:c r="J3898" t="str">
        <x:v>MORTGAGE</x:v>
      </x:c>
      <x:c r="K3898" t="str">
        <x:v>credit_card</x:v>
      </x:c>
      <x:c r="L3898" t="n">
        <x:v>1</x:v>
      </x:c>
      <x:c r="M3898" t="n">
        <x:v>0</x:v>
      </x:c>
      <x:c r="N3898" t="str">
        <x:v>Fully Paid</x:v>
      </x:c>
      <x:c r="O3898" t="str">
        <x:f>IF(D3898="","Unknown",IF(D3898&lt;25000,"&lt;$25k",IF(D3898&lt;50000,"$25k-$50k",IF(D3898&lt;75000,"$50k-$75k",IF(D3898&lt;100000,"$75k-$100k","$100k+")))))</x:f>
        <x:v>&lt;$25k</x:v>
      </x:c>
      <x:c r="P3898" t="str">
        <x:f>IF(E3898="","Unknown",IF(E3898&lt;10,"&lt;10",IF(E3898&lt;20,"10-&lt;20",IF(E3898&lt;25,"20-&lt;25",IF(E3898&lt;35,"25-&lt;35","35+")))))</x:f>
        <x:v>&lt;10</x:v>
      </x:c>
    </x:row>
    <x:row r="3899">
      <x:c r="A3899" t="str">
        <x:v>SYN0003898</x:v>
      </x:c>
      <x:c r="B3899" s="12" t="n">
        <x:v>43285</x:v>
      </x:c>
      <x:c r="C3899" s="18" t="n">
        <x:v>15499</x:v>
      </x:c>
      <x:c r="D3899" s="18" t="n">
        <x:v>75016</x:v>
      </x:c>
      <x:c r="E3899" s="18" t="n">
        <x:v>24.37</x:v>
      </x:c>
      <x:c r="F3899" s="18" t="n">
        <x:v>8.12</x:v>
      </x:c>
      <x:c r="G3899" t="n">
        <x:v>36</x:v>
      </x:c>
      <x:c r="H3899" t="str">
        <x:v>C</x:v>
      </x:c>
      <x:c r="I3899" t="str">
        <x:v>4-6 years</x:v>
      </x:c>
      <x:c r="J3899" t="str">
        <x:v>RENT</x:v>
      </x:c>
      <x:c r="K3899" t="str">
        <x:v>major_purchase</x:v>
      </x:c>
      <x:c r="L3899" t="n">
        <x:v>0</x:v>
      </x:c>
      <x:c r="M3899" t="n">
        <x:v>0</x:v>
      </x:c>
      <x:c r="N3899" t="str">
        <x:v>Fully Paid</x:v>
      </x:c>
      <x:c r="O3899" t="str">
        <x:f>IF(D3899="","Unknown",IF(D3899&lt;25000,"&lt;$25k",IF(D3899&lt;50000,"$25k-$50k",IF(D3899&lt;75000,"$50k-$75k",IF(D3899&lt;100000,"$75k-$100k","$100k+")))))</x:f>
        <x:v>$75k-$100k</x:v>
      </x:c>
      <x:c r="P3899" t="str">
        <x:f>IF(E3899="","Unknown",IF(E3899&lt;10,"&lt;10",IF(E3899&lt;20,"10-&lt;20",IF(E3899&lt;25,"20-&lt;25",IF(E3899&lt;35,"25-&lt;35","35+")))))</x:f>
        <x:v>20-&lt;25</x:v>
      </x:c>
    </x:row>
    <x:row r="3900">
      <x:c r="A3900" t="str">
        <x:v>SYN0003899</x:v>
      </x:c>
      <x:c r="B3900" s="12" t="n">
        <x:v>42145</x:v>
      </x:c>
      <x:c r="C3900" s="18" t="n">
        <x:v>12301</x:v>
      </x:c>
      <x:c r="D3900" s="18" t="n">
        <x:v>48095</x:v>
      </x:c>
      <x:c r="E3900" s="18" t="n">
        <x:v>22.86</x:v>
      </x:c>
      <x:c r="F3900" s="18" t="n">
        <x:v>9.7</x:v>
      </x:c>
      <x:c r="G3900" t="n">
        <x:v>36</x:v>
      </x:c>
      <x:c r="H3900" t="str">
        <x:v>C</x:v>
      </x:c>
      <x:c r="I3900" t="str">
        <x:v>7-9 years</x:v>
      </x:c>
      <x:c r="J3900" t="str">
        <x:v>OWN</x:v>
      </x:c>
      <x:c r="K3900" t="str">
        <x:v>credit_card</x:v>
      </x:c>
      <x:c r="L3900" t="n">
        <x:v>1</x:v>
      </x:c>
      <x:c r="M3900" t="n">
        <x:v>0</x:v>
      </x:c>
      <x:c r="N3900" t="str">
        <x:v>Fully Paid</x:v>
      </x:c>
      <x:c r="O3900" t="str">
        <x:f>IF(D3900="","Unknown",IF(D3900&lt;25000,"&lt;$25k",IF(D3900&lt;50000,"$25k-$50k",IF(D3900&lt;75000,"$50k-$75k",IF(D3900&lt;100000,"$75k-$100k","$100k+")))))</x:f>
        <x:v>$25k-$50k</x:v>
      </x:c>
      <x:c r="P3900" t="str">
        <x:f>IF(E3900="","Unknown",IF(E3900&lt;10,"&lt;10",IF(E3900&lt;20,"10-&lt;20",IF(E3900&lt;25,"20-&lt;25",IF(E3900&lt;35,"25-&lt;35","35+")))))</x:f>
        <x:v>20-&lt;25</x:v>
      </x:c>
    </x:row>
    <x:row r="3901">
      <x:c r="A3901" t="str">
        <x:v>SYN0003900</x:v>
      </x:c>
      <x:c r="B3901" s="12" t="n">
        <x:v>42265</x:v>
      </x:c>
      <x:c r="C3901" s="18" t="n">
        <x:v>3997</x:v>
      </x:c>
      <x:c r="D3901" s="18" t="n">
        <x:v>50868</x:v>
      </x:c>
      <x:c r="E3901" s="18" t="n">
        <x:v>11.4</x:v>
      </x:c>
      <x:c r="F3901" s="18" t="n">
        <x:v>13.51</x:v>
      </x:c>
      <x:c r="G3901" t="n">
        <x:v>60</x:v>
      </x:c>
      <x:c r="H3901" t="str">
        <x:v>D</x:v>
      </x:c>
      <x:c r="I3901" t="str">
        <x:v>&lt;1 year</x:v>
      </x:c>
      <x:c r="J3901" t="str">
        <x:v>RENT</x:v>
      </x:c>
      <x:c r="K3901" t="str">
        <x:v>debt_consolidation</x:v>
      </x:c>
      <x:c r="L3901" t="n">
        <x:v>1</x:v>
      </x:c>
      <x:c r="M3901" t="n">
        <x:v>0</x:v>
      </x:c>
      <x:c r="N3901" t="str">
        <x:v>Fully Paid</x:v>
      </x:c>
      <x:c r="O3901" t="str">
        <x:f>IF(D3901="","Unknown",IF(D3901&lt;25000,"&lt;$25k",IF(D3901&lt;50000,"$25k-$50k",IF(D3901&lt;75000,"$50k-$75k",IF(D3901&lt;100000,"$75k-$100k","$100k+")))))</x:f>
        <x:v>$50k-$75k</x:v>
      </x:c>
      <x:c r="P3901" t="str">
        <x:f>IF(E3901="","Unknown",IF(E3901&lt;10,"&lt;10",IF(E3901&lt;20,"10-&lt;20",IF(E3901&lt;25,"20-&lt;25",IF(E3901&lt;35,"25-&lt;35","35+")))))</x:f>
        <x:v>10-&lt;20</x:v>
      </x:c>
    </x:row>
    <x:row r="3902">
      <x:c r="A3902" t="str">
        <x:v>SYN0003901</x:v>
      </x:c>
      <x:c r="B3902" s="12" t="n">
        <x:v>42565</x:v>
      </x:c>
      <x:c r="C3902" s="18" t="n">
        <x:v>12789</x:v>
      </x:c>
      <x:c r="D3902" s="18" t="n">
        <x:v>49953</x:v>
      </x:c>
      <x:c r="E3902" s="18" t="n">
        <x:v>22.2</x:v>
      </x:c>
      <x:c r="F3902" s="18" t="n">
        <x:v>15.32</x:v>
      </x:c>
      <x:c r="G3902" t="n">
        <x:v>36</x:v>
      </x:c>
      <x:c r="H3902" t="str">
        <x:v>D</x:v>
      </x:c>
      <x:c r="I3902" t="str">
        <x:v>10+ years</x:v>
      </x:c>
      <x:c r="J3902" t="str">
        <x:v>RENT</x:v>
      </x:c>
      <x:c r="K3902" t="str">
        <x:v>debt_consolidation</x:v>
      </x:c>
      <x:c r="L3902" t="n">
        <x:v>1</x:v>
      </x:c>
      <x:c r="M3902" t="n">
        <x:v>0</x:v>
      </x:c>
      <x:c r="N3902" t="str">
        <x:v>Fully Paid</x:v>
      </x:c>
      <x:c r="O3902" t="str">
        <x:f>IF(D3902="","Unknown",IF(D3902&lt;25000,"&lt;$25k",IF(D3902&lt;50000,"$25k-$50k",IF(D3902&lt;75000,"$50k-$75k",IF(D3902&lt;100000,"$75k-$100k","$100k+")))))</x:f>
        <x:v>$25k-$50k</x:v>
      </x:c>
      <x:c r="P3902" t="str">
        <x:f>IF(E3902="","Unknown",IF(E3902&lt;10,"&lt;10",IF(E3902&lt;20,"10-&lt;20",IF(E3902&lt;25,"20-&lt;25",IF(E3902&lt;35,"25-&lt;35","35+")))))</x:f>
        <x:v>20-&lt;25</x:v>
      </x:c>
    </x:row>
    <x:row r="3903">
      <x:c r="A3903" t="str">
        <x:v>SYN0003902</x:v>
      </x:c>
      <x:c r="B3903" s="12" t="n">
        <x:v>42655</x:v>
      </x:c>
      <x:c r="C3903" s="18" t="n">
        <x:v>12718</x:v>
      </x:c>
      <x:c r="D3903" s="18" t="n">
        <x:v>21595</x:v>
      </x:c>
      <x:c r="E3903" s="18" t="n">
        <x:v>25.35</x:v>
      </x:c>
      <x:c r="F3903" s="18" t="n">
        <x:v>10.27</x:v>
      </x:c>
      <x:c r="G3903" t="n">
        <x:v>36</x:v>
      </x:c>
      <x:c r="H3903" t="str">
        <x:v>B</x:v>
      </x:c>
      <x:c r="I3903" t="str">
        <x:v>10+ years</x:v>
      </x:c>
      <x:c r="J3903" t="str">
        <x:v>OWN</x:v>
      </x:c>
      <x:c r="K3903" t="str">
        <x:v>other</x:v>
      </x:c>
      <x:c r="L3903" t="n">
        <x:v>0</x:v>
      </x:c>
      <x:c r="M3903" t="n">
        <x:v>0</x:v>
      </x:c>
      <x:c r="N3903" t="str">
        <x:v>Fully Paid</x:v>
      </x:c>
      <x:c r="O3903" t="str">
        <x:f>IF(D3903="","Unknown",IF(D3903&lt;25000,"&lt;$25k",IF(D3903&lt;50000,"$25k-$50k",IF(D3903&lt;75000,"$50k-$75k",IF(D3903&lt;100000,"$75k-$100k","$100k+")))))</x:f>
        <x:v>&lt;$25k</x:v>
      </x:c>
      <x:c r="P3903" t="str">
        <x:f>IF(E3903="","Unknown",IF(E3903&lt;10,"&lt;10",IF(E3903&lt;20,"10-&lt;20",IF(E3903&lt;25,"20-&lt;25",IF(E3903&lt;35,"25-&lt;35","35+")))))</x:f>
        <x:v>25-&lt;35</x:v>
      </x:c>
    </x:row>
    <x:row r="3904">
      <x:c r="A3904" t="str">
        <x:v>SYN0003903</x:v>
      </x:c>
      <x:c r="B3904" s="12" t="n">
        <x:v>41605</x:v>
      </x:c>
      <x:c r="C3904" s="18" t="n">
        <x:v>15465</x:v>
      </x:c>
      <x:c r="D3904" s="18" t="n">
        <x:v>57632</x:v>
      </x:c>
      <x:c r="E3904" s="18" t="n">
        <x:v>31.33</x:v>
      </x:c>
      <x:c r="F3904" s="18" t="n">
        <x:v>22.11</x:v>
      </x:c>
      <x:c r="G3904" t="n">
        <x:v>36</x:v>
      </x:c>
      <x:c r="H3904" t="str">
        <x:v>G</x:v>
      </x:c>
      <x:c r="I3904" t="str">
        <x:v>1-3 years</x:v>
      </x:c>
      <x:c r="J3904" t="str">
        <x:v>RENT</x:v>
      </x:c>
      <x:c r="K3904" t="str">
        <x:v>debt_consolidation</x:v>
      </x:c>
      <x:c r="L3904" t="n">
        <x:v>0</x:v>
      </x:c>
      <x:c r="M3904" t="n">
        <x:v>0</x:v>
      </x:c>
      <x:c r="N3904" t="str">
        <x:v>Fully Paid</x:v>
      </x:c>
      <x:c r="O3904" t="str">
        <x:f>IF(D3904="","Unknown",IF(D3904&lt;25000,"&lt;$25k",IF(D3904&lt;50000,"$25k-$50k",IF(D3904&lt;75000,"$50k-$75k",IF(D3904&lt;100000,"$75k-$100k","$100k+")))))</x:f>
        <x:v>$50k-$75k</x:v>
      </x:c>
      <x:c r="P3904" t="str">
        <x:f>IF(E3904="","Unknown",IF(E3904&lt;10,"&lt;10",IF(E3904&lt;20,"10-&lt;20",IF(E3904&lt;25,"20-&lt;25",IF(E3904&lt;35,"25-&lt;35","35+")))))</x:f>
        <x:v>25-&lt;35</x:v>
      </x:c>
    </x:row>
    <x:row r="3905">
      <x:c r="A3905" t="str">
        <x:v>SYN0003904</x:v>
      </x:c>
      <x:c r="B3905" s="12" t="n">
        <x:v>41785</x:v>
      </x:c>
      <x:c r="C3905" s="18" t="n">
        <x:v>10677</x:v>
      </x:c>
      <x:c r="D3905" s="18" t="n">
        <x:v>43254</x:v>
      </x:c>
      <x:c r="E3905" s="18" t="n">
        <x:v>20.35</x:v>
      </x:c>
      <x:c r="F3905" s="18" t="n">
        <x:v>9.11</x:v>
      </x:c>
      <x:c r="G3905" t="n">
        <x:v>36</x:v>
      </x:c>
      <x:c r="H3905" t="str">
        <x:v>B</x:v>
      </x:c>
      <x:c r="I3905" t="str">
        <x:v>&lt;1 year</x:v>
      </x:c>
      <x:c r="J3905" t="str">
        <x:v>OWN</x:v>
      </x:c>
      <x:c r="K3905" t="str">
        <x:v>debt_consolidation</x:v>
      </x:c>
      <x:c r="L3905" t="n">
        <x:v>0</x:v>
      </x:c>
      <x:c r="M3905" t="n">
        <x:v>0</x:v>
      </x:c>
      <x:c r="N3905" t="str">
        <x:v>Fully Paid</x:v>
      </x:c>
      <x:c r="O3905" t="str">
        <x:f>IF(D3905="","Unknown",IF(D3905&lt;25000,"&lt;$25k",IF(D3905&lt;50000,"$25k-$50k",IF(D3905&lt;75000,"$50k-$75k",IF(D3905&lt;100000,"$75k-$100k","$100k+")))))</x:f>
        <x:v>$25k-$50k</x:v>
      </x:c>
      <x:c r="P3905" t="str">
        <x:f>IF(E3905="","Unknown",IF(E3905&lt;10,"&lt;10",IF(E3905&lt;20,"10-&lt;20",IF(E3905&lt;25,"20-&lt;25",IF(E3905&lt;35,"25-&lt;35","35+")))))</x:f>
        <x:v>20-&lt;25</x:v>
      </x:c>
    </x:row>
    <x:row r="3906">
      <x:c r="A3906" t="str">
        <x:v>SYN0003905</x:v>
      </x:c>
      <x:c r="B3906" s="12" t="n">
        <x:v>42025</x:v>
      </x:c>
      <x:c r="C3906" s="18" t="n">
        <x:v>11186</x:v>
      </x:c>
      <x:c r="D3906" s="18" t="n">
        <x:v>42947</x:v>
      </x:c>
      <x:c r="E3906" s="18" t="n">
        <x:v>23.54</x:v>
      </x:c>
      <x:c r="F3906" s="18" t="n">
        <x:v>7.45</x:v>
      </x:c>
      <x:c r="G3906" t="n">
        <x:v>60</x:v>
      </x:c>
      <x:c r="H3906" t="str">
        <x:v>A</x:v>
      </x:c>
      <x:c r="I3906" t="str">
        <x:v>4-6 years</x:v>
      </x:c>
      <x:c r="J3906" t="str">
        <x:v>OTHER</x:v>
      </x:c>
      <x:c r="K3906" t="str">
        <x:v>credit_card</x:v>
      </x:c>
      <x:c r="L3906" t="n">
        <x:v>0</x:v>
      </x:c>
      <x:c r="M3906" t="n">
        <x:v>1</x:v>
      </x:c>
      <x:c r="N3906" t="str">
        <x:v>Charged Off</x:v>
      </x:c>
      <x:c r="O3906" t="str">
        <x:f>IF(D3906="","Unknown",IF(D3906&lt;25000,"&lt;$25k",IF(D3906&lt;50000,"$25k-$50k",IF(D3906&lt;75000,"$50k-$75k",IF(D3906&lt;100000,"$75k-$100k","$100k+")))))</x:f>
        <x:v>$25k-$50k</x:v>
      </x:c>
      <x:c r="P3906" t="str">
        <x:f>IF(E3906="","Unknown",IF(E3906&lt;10,"&lt;10",IF(E3906&lt;20,"10-&lt;20",IF(E3906&lt;25,"20-&lt;25",IF(E3906&lt;35,"25-&lt;35","35+")))))</x:f>
        <x:v>20-&lt;25</x:v>
      </x:c>
    </x:row>
    <x:row r="3907">
      <x:c r="A3907" t="str">
        <x:v>SYN0003906</x:v>
      </x:c>
      <x:c r="B3907" s="12" t="n">
        <x:v>41725</x:v>
      </x:c>
      <x:c r="C3907" s="18" t="n">
        <x:v>16298</x:v>
      </x:c>
      <x:c r="D3907" s="18" t="n">
        <x:v>122145</x:v>
      </x:c>
      <x:c r="E3907" s="18" t="n">
        <x:v>10.23</x:v>
      </x:c>
      <x:c r="F3907" s="18" t="n">
        <x:v>7.26</x:v>
      </x:c>
      <x:c r="G3907" t="n">
        <x:v>36</x:v>
      </x:c>
      <x:c r="H3907" t="str">
        <x:v>A</x:v>
      </x:c>
      <x:c r="I3907" t="str">
        <x:v>10+ years</x:v>
      </x:c>
      <x:c r="J3907" t="str">
        <x:v>MORTGAGE</x:v>
      </x:c>
      <x:c r="K3907" t="str">
        <x:v>debt_consolidation</x:v>
      </x:c>
      <x:c r="L3907" t="n">
        <x:v>0</x:v>
      </x:c>
      <x:c r="M3907" t="n">
        <x:v>0</x:v>
      </x:c>
      <x:c r="N3907" t="str">
        <x:v>Fully Paid</x:v>
      </x:c>
      <x:c r="O3907" t="str">
        <x:f>IF(D3907="","Unknown",IF(D3907&lt;25000,"&lt;$25k",IF(D3907&lt;50000,"$25k-$50k",IF(D3907&lt;75000,"$50k-$75k",IF(D3907&lt;100000,"$75k-$100k","$100k+")))))</x:f>
        <x:v>$100k+</x:v>
      </x:c>
      <x:c r="P3907" t="str">
        <x:f>IF(E3907="","Unknown",IF(E3907&lt;10,"&lt;10",IF(E3907&lt;20,"10-&lt;20",IF(E3907&lt;25,"20-&lt;25",IF(E3907&lt;35,"25-&lt;35","35+")))))</x:f>
        <x:v>10-&lt;20</x:v>
      </x:c>
    </x:row>
    <x:row r="3908">
      <x:c r="A3908" t="str">
        <x:v>SYN0003907</x:v>
      </x:c>
      <x:c r="B3908" s="12" t="n">
        <x:v>42325</x:v>
      </x:c>
      <x:c r="C3908" s="18" t="n">
        <x:v>25890</x:v>
      </x:c>
      <x:c r="D3908" s="18" t="n">
        <x:v>89448</x:v>
      </x:c>
      <x:c r="E3908" s="18" t="n">
        <x:v>36.08</x:v>
      </x:c>
      <x:c r="F3908" s="18" t="n">
        <x:v>19.96</x:v>
      </x:c>
      <x:c r="G3908" t="n">
        <x:v>36</x:v>
      </x:c>
      <x:c r="H3908" t="str">
        <x:v>F</x:v>
      </x:c>
      <x:c r="I3908" t="str">
        <x:v>1-3 years</x:v>
      </x:c>
      <x:c r="J3908" t="str">
        <x:v>MORTGAGE</x:v>
      </x:c>
      <x:c r="K3908" t="str">
        <x:v>major_purchase</x:v>
      </x:c>
      <x:c r="L3908" t="n">
        <x:v>1</x:v>
      </x:c>
      <x:c r="M3908" t="n">
        <x:v>0</x:v>
      </x:c>
      <x:c r="N3908" t="str">
        <x:v>Fully Paid</x:v>
      </x:c>
      <x:c r="O3908" t="str">
        <x:f>IF(D3908="","Unknown",IF(D3908&lt;25000,"&lt;$25k",IF(D3908&lt;50000,"$25k-$50k",IF(D3908&lt;75000,"$50k-$75k",IF(D3908&lt;100000,"$75k-$100k","$100k+")))))</x:f>
        <x:v>$75k-$100k</x:v>
      </x:c>
      <x:c r="P3908" t="str">
        <x:f>IF(E3908="","Unknown",IF(E3908&lt;10,"&lt;10",IF(E3908&lt;20,"10-&lt;20",IF(E3908&lt;25,"20-&lt;25",IF(E3908&lt;35,"25-&lt;35","35+")))))</x:f>
        <x:v>35+</x:v>
      </x:c>
    </x:row>
    <x:row r="3909">
      <x:c r="A3909" t="str">
        <x:v>SYN0003908</x:v>
      </x:c>
      <x:c r="B3909" s="12" t="n">
        <x:v>43375</x:v>
      </x:c>
      <x:c r="C3909" s="18" t="n">
        <x:v>19409</x:v>
      </x:c>
      <x:c r="D3909" s="18" t="n">
        <x:v>45006</x:v>
      </x:c>
      <x:c r="E3909" s="18" t="n">
        <x:v>29.74</x:v>
      </x:c>
      <x:c r="F3909" s="18" t="n">
        <x:v>19.35</x:v>
      </x:c>
      <x:c r="G3909" t="n">
        <x:v>36</x:v>
      </x:c>
      <x:c r="H3909" t="str">
        <x:v>E</x:v>
      </x:c>
      <x:c r="I3909" t="str">
        <x:v>&lt;1 year</x:v>
      </x:c>
      <x:c r="J3909" t="str">
        <x:v>OTHER</x:v>
      </x:c>
      <x:c r="K3909" t="str">
        <x:v>debt_consolidation</x:v>
      </x:c>
      <x:c r="L3909" t="n">
        <x:v>0</x:v>
      </x:c>
      <x:c r="M3909" t="n">
        <x:v>0</x:v>
      </x:c>
      <x:c r="N3909" t="str">
        <x:v>Fully Paid</x:v>
      </x:c>
      <x:c r="O3909" t="str">
        <x:f>IF(D3909="","Unknown",IF(D3909&lt;25000,"&lt;$25k",IF(D3909&lt;50000,"$25k-$50k",IF(D3909&lt;75000,"$50k-$75k",IF(D3909&lt;100000,"$75k-$100k","$100k+")))))</x:f>
        <x:v>$25k-$50k</x:v>
      </x:c>
      <x:c r="P3909" t="str">
        <x:f>IF(E3909="","Unknown",IF(E3909&lt;10,"&lt;10",IF(E3909&lt;20,"10-&lt;20",IF(E3909&lt;25,"20-&lt;25",IF(E3909&lt;35,"25-&lt;35","35+")))))</x:f>
        <x:v>25-&lt;35</x:v>
      </x:c>
    </x:row>
    <x:row r="3910">
      <x:c r="A3910" t="str">
        <x:v>SYN0003909</x:v>
      </x:c>
      <x:c r="B3910" s="12" t="n">
        <x:v>42835</x:v>
      </x:c>
      <x:c r="C3910" s="18" t="n">
        <x:v>7652</x:v>
      </x:c>
      <x:c r="D3910" s="18" t="n">
        <x:v>97775</x:v>
      </x:c>
      <x:c r="E3910" s="18" t="n">
        <x:v>18.41</x:v>
      </x:c>
      <x:c r="F3910" s="18" t="n">
        <x:v>13.43</x:v>
      </x:c>
      <x:c r="G3910" t="n">
        <x:v>36</x:v>
      </x:c>
      <x:c r="H3910" t="str">
        <x:v>C</x:v>
      </x:c>
      <x:c r="I3910" t="str">
        <x:v>&lt;1 year</x:v>
      </x:c>
      <x:c r="J3910" t="str">
        <x:v>MORTGAGE</x:v>
      </x:c>
      <x:c r="K3910" t="str">
        <x:v>debt_consolidation</x:v>
      </x:c>
      <x:c r="L3910" t="n">
        <x:v>0</x:v>
      </x:c>
      <x:c r="M3910" t="n">
        <x:v>0</x:v>
      </x:c>
      <x:c r="N3910" t="str">
        <x:v>Fully Paid</x:v>
      </x:c>
      <x:c r="O3910" t="str">
        <x:f>IF(D3910="","Unknown",IF(D3910&lt;25000,"&lt;$25k",IF(D3910&lt;50000,"$25k-$50k",IF(D3910&lt;75000,"$50k-$75k",IF(D3910&lt;100000,"$75k-$100k","$100k+")))))</x:f>
        <x:v>$75k-$100k</x:v>
      </x:c>
      <x:c r="P3910" t="str">
        <x:f>IF(E3910="","Unknown",IF(E3910&lt;10,"&lt;10",IF(E3910&lt;20,"10-&lt;20",IF(E3910&lt;25,"20-&lt;25",IF(E3910&lt;35,"25-&lt;35","35+")))))</x:f>
        <x:v>10-&lt;20</x:v>
      </x:c>
    </x:row>
    <x:row r="3911">
      <x:c r="A3911" t="str">
        <x:v>SYN0003910</x:v>
      </x:c>
      <x:c r="B3911" s="12" t="n">
        <x:v>42295</x:v>
      </x:c>
      <x:c r="C3911" s="18" t="n">
        <x:v>11418</x:v>
      </x:c>
      <x:c r="D3911" s="18" t="n">
        <x:v>45164</x:v>
      </x:c>
      <x:c r="E3911" s="18" t="n">
        <x:v>27.05</x:v>
      </x:c>
      <x:c r="F3911" s="18" t="n">
        <x:v>6.18</x:v>
      </x:c>
      <x:c r="G3911" t="n">
        <x:v>36</x:v>
      </x:c>
      <x:c r="H3911" t="str">
        <x:v>A</x:v>
      </x:c>
      <x:c r="I3911" t="str">
        <x:v>10+ years</x:v>
      </x:c>
      <x:c r="J3911" t="str">
        <x:v>RENT</x:v>
      </x:c>
      <x:c r="K3911" t="str">
        <x:v>credit_card</x:v>
      </x:c>
      <x:c r="L3911" t="n">
        <x:v>0</x:v>
      </x:c>
      <x:c r="M3911" t="n">
        <x:v>0</x:v>
      </x:c>
      <x:c r="N3911" t="str">
        <x:v>Fully Paid</x:v>
      </x:c>
      <x:c r="O3911" t="str">
        <x:f>IF(D3911="","Unknown",IF(D3911&lt;25000,"&lt;$25k",IF(D3911&lt;50000,"$25k-$50k",IF(D3911&lt;75000,"$50k-$75k",IF(D3911&lt;100000,"$75k-$100k","$100k+")))))</x:f>
        <x:v>$25k-$50k</x:v>
      </x:c>
      <x:c r="P3911" t="str">
        <x:f>IF(E3911="","Unknown",IF(E3911&lt;10,"&lt;10",IF(E3911&lt;20,"10-&lt;20",IF(E3911&lt;25,"20-&lt;25",IF(E3911&lt;35,"25-&lt;35","35+")))))</x:f>
        <x:v>25-&lt;35</x:v>
      </x:c>
    </x:row>
    <x:row r="3912">
      <x:c r="A3912" t="str">
        <x:v>SYN0003911</x:v>
      </x:c>
      <x:c r="B3912" s="12" t="n">
        <x:v>43075</x:v>
      </x:c>
      <x:c r="C3912" s="18" t="n">
        <x:v>12691</x:v>
      </x:c>
      <x:c r="D3912" s="18" t="n">
        <x:v>69903</x:v>
      </x:c>
      <x:c r="E3912" s="18" t="n">
        <x:v>22.09</x:v>
      </x:c>
      <x:c r="F3912" s="18" t="n">
        <x:v>13.5</x:v>
      </x:c>
      <x:c r="G3912" t="n">
        <x:v>36</x:v>
      </x:c>
      <x:c r="H3912" t="str">
        <x:v>C</x:v>
      </x:c>
      <x:c r="I3912" t="str">
        <x:v>10+ years</x:v>
      </x:c>
      <x:c r="J3912" t="str">
        <x:v>MORTGAGE</x:v>
      </x:c>
      <x:c r="K3912" t="str">
        <x:v>major_purchase</x:v>
      </x:c>
      <x:c r="L3912" t="n">
        <x:v>0</x:v>
      </x:c>
      <x:c r="M3912" t="n">
        <x:v>0</x:v>
      </x:c>
      <x:c r="N3912" t="str">
        <x:v>Fully Paid</x:v>
      </x:c>
      <x:c r="O3912" t="str">
        <x:f>IF(D3912="","Unknown",IF(D3912&lt;25000,"&lt;$25k",IF(D3912&lt;50000,"$25k-$50k",IF(D3912&lt;75000,"$50k-$75k",IF(D3912&lt;100000,"$75k-$100k","$100k+")))))</x:f>
        <x:v>$50k-$75k</x:v>
      </x:c>
      <x:c r="P3912" t="str">
        <x:f>IF(E3912="","Unknown",IF(E3912&lt;10,"&lt;10",IF(E3912&lt;20,"10-&lt;20",IF(E3912&lt;25,"20-&lt;25",IF(E3912&lt;35,"25-&lt;35","35+")))))</x:f>
        <x:v>20-&lt;25</x:v>
      </x:c>
    </x:row>
    <x:row r="3913">
      <x:c r="A3913" t="str">
        <x:v>SYN0003912</x:v>
      </x:c>
      <x:c r="B3913" s="12" t="n">
        <x:v>41275</x:v>
      </x:c>
      <x:c r="C3913" s="18" t="n">
        <x:v>11969</x:v>
      </x:c>
      <x:c r="D3913" s="18" t="n">
        <x:v>20296</x:v>
      </x:c>
      <x:c r="E3913" s="18" t="n">
        <x:v>17.9</x:v>
      </x:c>
      <x:c r="F3913" s="18" t="n">
        <x:v>5.87</x:v>
      </x:c>
      <x:c r="G3913" t="n">
        <x:v>36</x:v>
      </x:c>
      <x:c r="H3913" t="str">
        <x:v>A</x:v>
      </x:c>
      <x:c r="I3913" t="str">
        <x:v>10+ years</x:v>
      </x:c>
      <x:c r="J3913" t="str">
        <x:v>MORTGAGE</x:v>
      </x:c>
      <x:c r="K3913" t="str">
        <x:v>other</x:v>
      </x:c>
      <x:c r="L3913" t="n">
        <x:v>0</x:v>
      </x:c>
      <x:c r="M3913" t="n">
        <x:v>0</x:v>
      </x:c>
      <x:c r="N3913" t="str">
        <x:v>Fully Paid</x:v>
      </x:c>
      <x:c r="O3913" t="str">
        <x:f>IF(D3913="","Unknown",IF(D3913&lt;25000,"&lt;$25k",IF(D3913&lt;50000,"$25k-$50k",IF(D3913&lt;75000,"$50k-$75k",IF(D3913&lt;100000,"$75k-$100k","$100k+")))))</x:f>
        <x:v>&lt;$25k</x:v>
      </x:c>
      <x:c r="P3913" t="str">
        <x:f>IF(E3913="","Unknown",IF(E3913&lt;10,"&lt;10",IF(E3913&lt;20,"10-&lt;20",IF(E3913&lt;25,"20-&lt;25",IF(E3913&lt;35,"25-&lt;35","35+")))))</x:f>
        <x:v>10-&lt;20</x:v>
      </x:c>
    </x:row>
    <x:row r="3914">
      <x:c r="A3914" t="str">
        <x:v>SYN0003913</x:v>
      </x:c>
      <x:c r="B3914" s="12" t="n">
        <x:v>43075</x:v>
      </x:c>
      <x:c r="C3914" s="18" t="n">
        <x:v>12444</x:v>
      </x:c>
      <x:c r="D3914" s="18" t="n">
        <x:v>62181</x:v>
      </x:c>
      <x:c r="E3914" s="18" t="n">
        <x:v>23.43</x:v>
      </x:c>
      <x:c r="F3914" s="18" t="n">
        <x:v>7.65</x:v>
      </x:c>
      <x:c r="G3914" t="n">
        <x:v>36</x:v>
      </x:c>
      <x:c r="H3914" t="str">
        <x:v>A</x:v>
      </x:c>
      <x:c r="I3914" t="str">
        <x:v>4-6 years</x:v>
      </x:c>
      <x:c r="J3914" t="str">
        <x:v>RENT</x:v>
      </x:c>
      <x:c r="K3914" t="str">
        <x:v>credit_card</x:v>
      </x:c>
      <x:c r="L3914" t="n">
        <x:v>0</x:v>
      </x:c>
      <x:c r="M3914" t="n">
        <x:v>0</x:v>
      </x:c>
      <x:c r="N3914" t="str">
        <x:v>Fully Paid</x:v>
      </x:c>
      <x:c r="O3914" t="str">
        <x:f>IF(D3914="","Unknown",IF(D3914&lt;25000,"&lt;$25k",IF(D3914&lt;50000,"$25k-$50k",IF(D3914&lt;75000,"$50k-$75k",IF(D3914&lt;100000,"$75k-$100k","$100k+")))))</x:f>
        <x:v>$50k-$75k</x:v>
      </x:c>
      <x:c r="P3914" t="str">
        <x:f>IF(E3914="","Unknown",IF(E3914&lt;10,"&lt;10",IF(E3914&lt;20,"10-&lt;20",IF(E3914&lt;25,"20-&lt;25",IF(E3914&lt;35,"25-&lt;35","35+")))))</x:f>
        <x:v>20-&lt;25</x:v>
      </x:c>
    </x:row>
    <x:row r="3915">
      <x:c r="A3915" t="str">
        <x:v>SYN0003914</x:v>
      </x:c>
      <x:c r="B3915" s="12" t="n">
        <x:v>43315</x:v>
      </x:c>
      <x:c r="C3915" s="18" t="n">
        <x:v>25416</x:v>
      </x:c>
      <x:c r="D3915" s="18" t="n">
        <x:v>99260</x:v>
      </x:c>
      <x:c r="E3915" s="18" t="n">
        <x:v>26.87</x:v>
      </x:c>
      <x:c r="F3915" s="18" t="n">
        <x:v>10.83</x:v>
      </x:c>
      <x:c r="G3915" t="n">
        <x:v>36</x:v>
      </x:c>
      <x:c r="H3915" t="str">
        <x:v>C</x:v>
      </x:c>
      <x:c r="I3915" t="str">
        <x:v>10+ years</x:v>
      </x:c>
      <x:c r="J3915" t="str">
        <x:v>RENT</x:v>
      </x:c>
      <x:c r="K3915" t="str">
        <x:v>debt_consolidation</x:v>
      </x:c>
      <x:c r="L3915" t="n">
        <x:v>0</x:v>
      </x:c>
      <x:c r="M3915" t="n">
        <x:v>0</x:v>
      </x:c>
      <x:c r="N3915" t="str">
        <x:v>Fully Paid</x:v>
      </x:c>
      <x:c r="O3915" t="str">
        <x:f>IF(D3915="","Unknown",IF(D3915&lt;25000,"&lt;$25k",IF(D3915&lt;50000,"$25k-$50k",IF(D3915&lt;75000,"$50k-$75k",IF(D3915&lt;100000,"$75k-$100k","$100k+")))))</x:f>
        <x:v>$75k-$100k</x:v>
      </x:c>
      <x:c r="P3915" t="str">
        <x:f>IF(E3915="","Unknown",IF(E3915&lt;10,"&lt;10",IF(E3915&lt;20,"10-&lt;20",IF(E3915&lt;25,"20-&lt;25",IF(E3915&lt;35,"25-&lt;35","35+")))))</x:f>
        <x:v>25-&lt;35</x:v>
      </x:c>
    </x:row>
    <x:row r="3916">
      <x:c r="A3916" t="str">
        <x:v>SYN0003915</x:v>
      </x:c>
      <x:c r="B3916" s="12" t="n">
        <x:v>42085</x:v>
      </x:c>
      <x:c r="C3916" s="18" t="n">
        <x:v>11147</x:v>
      </x:c>
      <x:c r="D3916" s="18" t="n">
        <x:v>35640</x:v>
      </x:c>
      <x:c r="E3916" s="18" t="n">
        <x:v>12.12</x:v>
      </x:c>
      <x:c r="F3916" s="18" t="n">
        <x:v>23.81</x:v>
      </x:c>
      <x:c r="G3916" t="n">
        <x:v>36</x:v>
      </x:c>
      <x:c r="H3916" t="str">
        <x:v>F</x:v>
      </x:c>
      <x:c r="I3916" t="str">
        <x:v>&lt;1 year</x:v>
      </x:c>
      <x:c r="J3916" t="str">
        <x:v>OTHER</x:v>
      </x:c>
      <x:c r="K3916" t="str">
        <x:v>credit_card</x:v>
      </x:c>
      <x:c r="L3916" t="n">
        <x:v>0</x:v>
      </x:c>
      <x:c r="M3916" t="n">
        <x:v>0</x:v>
      </x:c>
      <x:c r="N3916" t="str">
        <x:v>Fully Paid</x:v>
      </x:c>
      <x:c r="O3916" t="str">
        <x:f>IF(D3916="","Unknown",IF(D3916&lt;25000,"&lt;$25k",IF(D3916&lt;50000,"$25k-$50k",IF(D3916&lt;75000,"$50k-$75k",IF(D3916&lt;100000,"$75k-$100k","$100k+")))))</x:f>
        <x:v>$25k-$50k</x:v>
      </x:c>
      <x:c r="P3916" t="str">
        <x:f>IF(E3916="","Unknown",IF(E3916&lt;10,"&lt;10",IF(E3916&lt;20,"10-&lt;20",IF(E3916&lt;25,"20-&lt;25",IF(E3916&lt;35,"25-&lt;35","35+")))))</x:f>
        <x:v>10-&lt;20</x:v>
      </x:c>
    </x:row>
    <x:row r="3917">
      <x:c r="A3917" t="str">
        <x:v>SYN0003916</x:v>
      </x:c>
      <x:c r="B3917" s="12" t="n">
        <x:v>41425</x:v>
      </x:c>
      <x:c r="C3917" s="18" t="n">
        <x:v>9573</x:v>
      </x:c>
      <x:c r="D3917" s="18" t="n">
        <x:v>52490</x:v>
      </x:c>
      <x:c r="E3917" s="18" t="n">
        <x:v>25.78</x:v>
      </x:c>
      <x:c r="F3917" s="18" t="n">
        <x:v>10.78</x:v>
      </x:c>
      <x:c r="G3917" t="n">
        <x:v>36</x:v>
      </x:c>
      <x:c r="H3917" t="str">
        <x:v>C</x:v>
      </x:c>
      <x:c r="I3917" t="str">
        <x:v>&lt;1 year</x:v>
      </x:c>
      <x:c r="J3917" t="str">
        <x:v>RENT</x:v>
      </x:c>
      <x:c r="K3917" t="str">
        <x:v>debt_consolidation</x:v>
      </x:c>
      <x:c r="L3917" t="n">
        <x:v>0</x:v>
      </x:c>
      <x:c r="M3917" t="n">
        <x:v>0</x:v>
      </x:c>
      <x:c r="N3917" t="str">
        <x:v>Fully Paid</x:v>
      </x:c>
      <x:c r="O3917" t="str">
        <x:f>IF(D3917="","Unknown",IF(D3917&lt;25000,"&lt;$25k",IF(D3917&lt;50000,"$25k-$50k",IF(D3917&lt;75000,"$50k-$75k",IF(D3917&lt;100000,"$75k-$100k","$100k+")))))</x:f>
        <x:v>$50k-$75k</x:v>
      </x:c>
      <x:c r="P3917" t="str">
        <x:f>IF(E3917="","Unknown",IF(E3917&lt;10,"&lt;10",IF(E3917&lt;20,"10-&lt;20",IF(E3917&lt;25,"20-&lt;25",IF(E3917&lt;35,"25-&lt;35","35+")))))</x:f>
        <x:v>25-&lt;35</x:v>
      </x:c>
    </x:row>
    <x:row r="3918">
      <x:c r="A3918" t="str">
        <x:v>SYN0003917</x:v>
      </x:c>
      <x:c r="B3918" s="12" t="n">
        <x:v>41605</x:v>
      </x:c>
      <x:c r="C3918" s="18" t="n">
        <x:v>12541</x:v>
      </x:c>
      <x:c r="D3918" s="18" t="n">
        <x:v>65127</x:v>
      </x:c>
      <x:c r="E3918" s="18" t="n">
        <x:v>13.17</x:v>
      </x:c>
      <x:c r="F3918" s="18" t="n">
        <x:v>8.44</x:v>
      </x:c>
      <x:c r="G3918" t="n">
        <x:v>36</x:v>
      </x:c>
      <x:c r="H3918" t="str">
        <x:v>B</x:v>
      </x:c>
      <x:c r="I3918" t="str">
        <x:v>10+ years</x:v>
      </x:c>
      <x:c r="J3918" t="str">
        <x:v>RENT</x:v>
      </x:c>
      <x:c r="K3918" t="str">
        <x:v>home_improvement</x:v>
      </x:c>
      <x:c r="L3918" t="n">
        <x:v>0</x:v>
      </x:c>
      <x:c r="M3918" t="n">
        <x:v>1</x:v>
      </x:c>
      <x:c r="N3918" t="str">
        <x:v>Charged Off</x:v>
      </x:c>
      <x:c r="O3918" t="str">
        <x:f>IF(D3918="","Unknown",IF(D3918&lt;25000,"&lt;$25k",IF(D3918&lt;50000,"$25k-$50k",IF(D3918&lt;75000,"$50k-$75k",IF(D3918&lt;100000,"$75k-$100k","$100k+")))))</x:f>
        <x:v>$50k-$75k</x:v>
      </x:c>
      <x:c r="P3918" t="str">
        <x:f>IF(E3918="","Unknown",IF(E3918&lt;10,"&lt;10",IF(E3918&lt;20,"10-&lt;20",IF(E3918&lt;25,"20-&lt;25",IF(E3918&lt;35,"25-&lt;35","35+")))))</x:f>
        <x:v>10-&lt;20</x:v>
      </x:c>
    </x:row>
    <x:row r="3919">
      <x:c r="A3919" t="str">
        <x:v>SYN0003918</x:v>
      </x:c>
      <x:c r="B3919" s="12" t="n">
        <x:v>43225</x:v>
      </x:c>
      <x:c r="C3919" s="18" t="n">
        <x:v>3596</x:v>
      </x:c>
      <x:c r="D3919" s="18" t="n">
        <x:v>250000</x:v>
      </x:c>
      <x:c r="E3919" s="18" t="n">
        <x:v>36.12</x:v>
      </x:c>
      <x:c r="F3919" s="18" t="n">
        <x:v>10.63</x:v>
      </x:c>
      <x:c r="G3919" t="n">
        <x:v>60</x:v>
      </x:c>
      <x:c r="H3919" t="str">
        <x:v>C</x:v>
      </x:c>
      <x:c r="I3919" t="str">
        <x:v>1-3 years</x:v>
      </x:c>
      <x:c r="J3919" t="str">
        <x:v>RENT</x:v>
      </x:c>
      <x:c r="K3919" t="str">
        <x:v>debt_consolidation</x:v>
      </x:c>
      <x:c r="L3919" t="n">
        <x:v>0</x:v>
      </x:c>
      <x:c r="M3919" t="n">
        <x:v>0</x:v>
      </x:c>
      <x:c r="N3919" t="str">
        <x:v>Fully Paid</x:v>
      </x:c>
      <x:c r="O3919" t="str">
        <x:f>IF(D3919="","Unknown",IF(D3919&lt;25000,"&lt;$25k",IF(D3919&lt;50000,"$25k-$50k",IF(D3919&lt;75000,"$50k-$75k",IF(D3919&lt;100000,"$75k-$100k","$100k+")))))</x:f>
        <x:v>$100k+</x:v>
      </x:c>
      <x:c r="P3919" t="str">
        <x:f>IF(E3919="","Unknown",IF(E3919&lt;10,"&lt;10",IF(E3919&lt;20,"10-&lt;20",IF(E3919&lt;25,"20-&lt;25",IF(E3919&lt;35,"25-&lt;35","35+")))))</x:f>
        <x:v>35+</x:v>
      </x:c>
    </x:row>
    <x:row r="3920">
      <x:c r="A3920" t="str">
        <x:v>SYN0003919</x:v>
      </x:c>
      <x:c r="B3920" s="12" t="n">
        <x:v>41845</x:v>
      </x:c>
      <x:c r="C3920" s="18" t="n">
        <x:v>12518</x:v>
      </x:c>
      <x:c r="D3920" s="18" t="n">
        <x:v>98758</x:v>
      </x:c>
      <x:c r="E3920" s="18" t="n">
        <x:v>19.35</x:v>
      </x:c>
      <x:c r="F3920" s="18" t="n">
        <x:v>13.25</x:v>
      </x:c>
      <x:c r="G3920" t="n">
        <x:v>36</x:v>
      </x:c>
      <x:c r="H3920" t="str">
        <x:v>C</x:v>
      </x:c>
      <x:c r="I3920" t="str">
        <x:v>10+ years</x:v>
      </x:c>
      <x:c r="J3920" t="str">
        <x:v>OWN</x:v>
      </x:c>
      <x:c r="K3920" t="str">
        <x:v>credit_card</x:v>
      </x:c>
      <x:c r="L3920" t="n">
        <x:v>0</x:v>
      </x:c>
      <x:c r="M3920" t="n">
        <x:v>0</x:v>
      </x:c>
      <x:c r="N3920" t="str">
        <x:v>Fully Paid</x:v>
      </x:c>
      <x:c r="O3920" t="str">
        <x:f>IF(D3920="","Unknown",IF(D3920&lt;25000,"&lt;$25k",IF(D3920&lt;50000,"$25k-$50k",IF(D3920&lt;75000,"$50k-$75k",IF(D3920&lt;100000,"$75k-$100k","$100k+")))))</x:f>
        <x:v>$75k-$100k</x:v>
      </x:c>
      <x:c r="P3920" t="str">
        <x:f>IF(E3920="","Unknown",IF(E3920&lt;10,"&lt;10",IF(E3920&lt;20,"10-&lt;20",IF(E3920&lt;25,"20-&lt;25",IF(E3920&lt;35,"25-&lt;35","35+")))))</x:f>
        <x:v>10-&lt;20</x:v>
      </x:c>
    </x:row>
    <x:row r="3921">
      <x:c r="A3921" t="str">
        <x:v>SYN0003920</x:v>
      </x:c>
      <x:c r="B3921" s="12" t="n">
        <x:v>41995</x:v>
      </x:c>
      <x:c r="C3921" s="18" t="n">
        <x:v>15624</x:v>
      </x:c>
      <x:c r="D3921" s="18" t="n">
        <x:v>38324</x:v>
      </x:c>
      <x:c r="E3921" s="18" t="n">
        <x:v>17.28</x:v>
      </x:c>
      <x:c r="F3921" s="18" t="n">
        <x:v>23.8</x:v>
      </x:c>
      <x:c r="G3921" t="n">
        <x:v>36</x:v>
      </x:c>
      <x:c r="H3921" t="str">
        <x:v>F</x:v>
      </x:c>
      <x:c r="I3921" t="str">
        <x:v>1-3 years</x:v>
      </x:c>
      <x:c r="J3921" t="str">
        <x:v>MORTGAGE</x:v>
      </x:c>
      <x:c r="K3921" t="str">
        <x:v>debt_consolidation</x:v>
      </x:c>
      <x:c r="L3921" t="n">
        <x:v>0</x:v>
      </x:c>
      <x:c r="M3921" t="n">
        <x:v>0</x:v>
      </x:c>
      <x:c r="N3921" t="str">
        <x:v>Fully Paid</x:v>
      </x:c>
      <x:c r="O3921" t="str">
        <x:f>IF(D3921="","Unknown",IF(D3921&lt;25000,"&lt;$25k",IF(D3921&lt;50000,"$25k-$50k",IF(D3921&lt;75000,"$50k-$75k",IF(D3921&lt;100000,"$75k-$100k","$100k+")))))</x:f>
        <x:v>$25k-$50k</x:v>
      </x:c>
      <x:c r="P3921" t="str">
        <x:f>IF(E3921="","Unknown",IF(E3921&lt;10,"&lt;10",IF(E3921&lt;20,"10-&lt;20",IF(E3921&lt;25,"20-&lt;25",IF(E3921&lt;35,"25-&lt;35","35+")))))</x:f>
        <x:v>10-&lt;20</x:v>
      </x:c>
    </x:row>
    <x:row r="3922">
      <x:c r="A3922" t="str">
        <x:v>SYN0003921</x:v>
      </x:c>
      <x:c r="B3922" s="12" t="n">
        <x:v>43405</x:v>
      </x:c>
      <x:c r="C3922" s="18" t="n">
        <x:v>8499</x:v>
      </x:c>
      <x:c r="D3922" s="18" t="n">
        <x:v>40599</x:v>
      </x:c>
      <x:c r="E3922" s="18" t="n">
        <x:v>32.45</x:v>
      </x:c>
      <x:c r="F3922" s="18" t="n">
        <x:v>19.86</x:v>
      </x:c>
      <x:c r="G3922" t="n">
        <x:v>36</x:v>
      </x:c>
      <x:c r="H3922" t="str">
        <x:v>E</x:v>
      </x:c>
      <x:c r="I3922" t="str">
        <x:v>7-9 years</x:v>
      </x:c>
      <x:c r="J3922" t="str">
        <x:v>RENT</x:v>
      </x:c>
      <x:c r="K3922" t="str">
        <x:v>major_purchase</x:v>
      </x:c>
      <x:c r="L3922" t="n">
        <x:v>1</x:v>
      </x:c>
      <x:c r="M3922" t="n">
        <x:v>0</x:v>
      </x:c>
      <x:c r="N3922" t="str">
        <x:v>Fully Paid</x:v>
      </x:c>
      <x:c r="O3922" t="str">
        <x:f>IF(D3922="","Unknown",IF(D3922&lt;25000,"&lt;$25k",IF(D3922&lt;50000,"$25k-$50k",IF(D3922&lt;75000,"$50k-$75k",IF(D3922&lt;100000,"$75k-$100k","$100k+")))))</x:f>
        <x:v>$25k-$50k</x:v>
      </x:c>
      <x:c r="P3922" t="str">
        <x:f>IF(E3922="","Unknown",IF(E3922&lt;10,"&lt;10",IF(E3922&lt;20,"10-&lt;20",IF(E3922&lt;25,"20-&lt;25",IF(E3922&lt;35,"25-&lt;35","35+")))))</x:f>
        <x:v>25-&lt;35</x:v>
      </x:c>
    </x:row>
    <x:row r="3923">
      <x:c r="A3923" t="str">
        <x:v>SYN0003922</x:v>
      </x:c>
      <x:c r="B3923" s="12" t="n">
        <x:v>41905</x:v>
      </x:c>
      <x:c r="C3923" s="18" t="n">
        <x:v>5868</x:v>
      </x:c>
      <x:c r="D3923" s="18" t="n">
        <x:v>100180</x:v>
      </x:c>
      <x:c r="E3923" s="18" t="n">
        <x:v>27.4</x:v>
      </x:c>
      <x:c r="F3923" s="18" t="n">
        <x:v>12.13</x:v>
      </x:c>
      <x:c r="G3923" t="n">
        <x:v>36</x:v>
      </x:c>
      <x:c r="H3923" t="str">
        <x:v>D</x:v>
      </x:c>
      <x:c r="I3923" t="str">
        <x:v>10+ years</x:v>
      </x:c>
      <x:c r="J3923" t="str">
        <x:v>OWN</x:v>
      </x:c>
      <x:c r="K3923" t="str">
        <x:v>debt_consolidation</x:v>
      </x:c>
      <x:c r="L3923" t="n">
        <x:v>0</x:v>
      </x:c>
      <x:c r="M3923" t="n">
        <x:v>0</x:v>
      </x:c>
      <x:c r="N3923" t="str">
        <x:v>Fully Paid</x:v>
      </x:c>
      <x:c r="O3923" t="str">
        <x:f>IF(D3923="","Unknown",IF(D3923&lt;25000,"&lt;$25k",IF(D3923&lt;50000,"$25k-$50k",IF(D3923&lt;75000,"$50k-$75k",IF(D3923&lt;100000,"$75k-$100k","$100k+")))))</x:f>
        <x:v>$100k+</x:v>
      </x:c>
      <x:c r="P3923" t="str">
        <x:f>IF(E3923="","Unknown",IF(E3923&lt;10,"&lt;10",IF(E3923&lt;20,"10-&lt;20",IF(E3923&lt;25,"20-&lt;25",IF(E3923&lt;35,"25-&lt;35","35+")))))</x:f>
        <x:v>25-&lt;35</x:v>
      </x:c>
    </x:row>
    <x:row r="3924">
      <x:c r="A3924" t="str">
        <x:v>SYN0003923</x:v>
      </x:c>
      <x:c r="B3924" s="12" t="n">
        <x:v>41695</x:v>
      </x:c>
      <x:c r="C3924" s="18" t="n">
        <x:v>9654</x:v>
      </x:c>
      <x:c r="D3924" s="18" t="n">
        <x:v>25953</x:v>
      </x:c>
      <x:c r="E3924" s="18" t="n">
        <x:v>13.75</x:v>
      </x:c>
      <x:c r="F3924" s="18" t="n">
        <x:v>8.12</x:v>
      </x:c>
      <x:c r="G3924" t="n">
        <x:v>36</x:v>
      </x:c>
      <x:c r="H3924" t="str">
        <x:v>B</x:v>
      </x:c>
      <x:c r="I3924" t="str">
        <x:v>4-6 years</x:v>
      </x:c>
      <x:c r="J3924" t="str">
        <x:v>OWN</x:v>
      </x:c>
      <x:c r="K3924" t="str">
        <x:v>credit_card</x:v>
      </x:c>
      <x:c r="L3924" t="n">
        <x:v>0</x:v>
      </x:c>
      <x:c r="M3924" t="n">
        <x:v>0</x:v>
      </x:c>
      <x:c r="N3924" t="str">
        <x:v>Fully Paid</x:v>
      </x:c>
      <x:c r="O3924" t="str">
        <x:f>IF(D3924="","Unknown",IF(D3924&lt;25000,"&lt;$25k",IF(D3924&lt;50000,"$25k-$50k",IF(D3924&lt;75000,"$50k-$75k",IF(D3924&lt;100000,"$75k-$100k","$100k+")))))</x:f>
        <x:v>$25k-$50k</x:v>
      </x:c>
      <x:c r="P3924" t="str">
        <x:f>IF(E3924="","Unknown",IF(E3924&lt;10,"&lt;10",IF(E3924&lt;20,"10-&lt;20",IF(E3924&lt;25,"20-&lt;25",IF(E3924&lt;35,"25-&lt;35","35+")))))</x:f>
        <x:v>10-&lt;20</x:v>
      </x:c>
    </x:row>
    <x:row r="3925">
      <x:c r="A3925" t="str">
        <x:v>SYN0003924</x:v>
      </x:c>
      <x:c r="B3925" s="12" t="n">
        <x:v>41755</x:v>
      </x:c>
      <x:c r="C3925" s="18" t="n">
        <x:v>7562</x:v>
      </x:c>
      <x:c r="D3925" s="18" t="n">
        <x:v>71918</x:v>
      </x:c>
      <x:c r="E3925" s="18" t="n">
        <x:v>21.77</x:v>
      </x:c>
      <x:c r="F3925" s="18" t="n">
        <x:v>14.95</x:v>
      </x:c>
      <x:c r="G3925" t="n">
        <x:v>36</x:v>
      </x:c>
      <x:c r="H3925" t="str">
        <x:v>D</x:v>
      </x:c>
      <x:c r="I3925" t="str">
        <x:v>10+ years</x:v>
      </x:c>
      <x:c r="J3925" t="str">
        <x:v>MORTGAGE</x:v>
      </x:c>
      <x:c r="K3925" t="str">
        <x:v>major_purchase</x:v>
      </x:c>
      <x:c r="L3925" t="n">
        <x:v>0</x:v>
      </x:c>
      <x:c r="M3925" t="n">
        <x:v>0</x:v>
      </x:c>
      <x:c r="N3925" t="str">
        <x:v>Fully Paid</x:v>
      </x:c>
      <x:c r="O3925" t="str">
        <x:f>IF(D3925="","Unknown",IF(D3925&lt;25000,"&lt;$25k",IF(D3925&lt;50000,"$25k-$50k",IF(D3925&lt;75000,"$50k-$75k",IF(D3925&lt;100000,"$75k-$100k","$100k+")))))</x:f>
        <x:v>$50k-$75k</x:v>
      </x:c>
      <x:c r="P3925" t="str">
        <x:f>IF(E3925="","Unknown",IF(E3925&lt;10,"&lt;10",IF(E3925&lt;20,"10-&lt;20",IF(E3925&lt;25,"20-&lt;25",IF(E3925&lt;35,"25-&lt;35","35+")))))</x:f>
        <x:v>20-&lt;25</x:v>
      </x:c>
    </x:row>
    <x:row r="3926">
      <x:c r="A3926" t="str">
        <x:v>SYN0003925</x:v>
      </x:c>
      <x:c r="B3926" s="12" t="n">
        <x:v>42835</x:v>
      </x:c>
      <x:c r="C3926" s="18" t="n">
        <x:v>11700</x:v>
      </x:c>
      <x:c r="D3926" s="18" t="n">
        <x:v>45932</x:v>
      </x:c>
      <x:c r="E3926" s="18" t="n">
        <x:v>7.48</x:v>
      </x:c>
      <x:c r="F3926" s="18" t="n">
        <x:v>6.72</x:v>
      </x:c>
      <x:c r="G3926" t="n">
        <x:v>36</x:v>
      </x:c>
      <x:c r="H3926" t="str">
        <x:v>A</x:v>
      </x:c>
      <x:c r="I3926" t="str">
        <x:v>&lt;1 year</x:v>
      </x:c>
      <x:c r="J3926" t="str">
        <x:v>OTHER</x:v>
      </x:c>
      <x:c r="K3926" t="str">
        <x:v>home_improvement</x:v>
      </x:c>
      <x:c r="L3926" t="n">
        <x:v>1</x:v>
      </x:c>
      <x:c r="M3926" t="n">
        <x:v>0</x:v>
      </x:c>
      <x:c r="N3926" t="str">
        <x:v>Fully Paid</x:v>
      </x:c>
      <x:c r="O3926" t="str">
        <x:f>IF(D3926="","Unknown",IF(D3926&lt;25000,"&lt;$25k",IF(D3926&lt;50000,"$25k-$50k",IF(D3926&lt;75000,"$50k-$75k",IF(D3926&lt;100000,"$75k-$100k","$100k+")))))</x:f>
        <x:v>$25k-$50k</x:v>
      </x:c>
      <x:c r="P3926" t="str">
        <x:f>IF(E3926="","Unknown",IF(E3926&lt;10,"&lt;10",IF(E3926&lt;20,"10-&lt;20",IF(E3926&lt;25,"20-&lt;25",IF(E3926&lt;35,"25-&lt;35","35+")))))</x:f>
        <x:v>&lt;10</x:v>
      </x:c>
    </x:row>
    <x:row r="3927">
      <x:c r="A3927" t="str">
        <x:v>SYN0003926</x:v>
      </x:c>
      <x:c r="B3927" s="12" t="n">
        <x:v>41815</x:v>
      </x:c>
      <x:c r="C3927" s="18" t="n">
        <x:v>25327</x:v>
      </x:c>
      <x:c r="D3927" s="18" t="n">
        <x:v>56350</x:v>
      </x:c>
      <x:c r="E3927" s="18" t="n">
        <x:v>16.14</x:v>
      </x:c>
      <x:c r="F3927" s="18" t="n">
        <x:v>17.84</x:v>
      </x:c>
      <x:c r="G3927" t="n">
        <x:v>36</x:v>
      </x:c>
      <x:c r="H3927" t="str">
        <x:v>E</x:v>
      </x:c>
      <x:c r="I3927" t="str">
        <x:v>4-6 years</x:v>
      </x:c>
      <x:c r="J3927" t="str">
        <x:v>RENT</x:v>
      </x:c>
      <x:c r="K3927" t="str">
        <x:v>debt_consolidation</x:v>
      </x:c>
      <x:c r="L3927" t="n">
        <x:v>1</x:v>
      </x:c>
      <x:c r="M3927" t="n">
        <x:v>0</x:v>
      </x:c>
      <x:c r="N3927" t="str">
        <x:v>Fully Paid</x:v>
      </x:c>
      <x:c r="O3927" t="str">
        <x:f>IF(D3927="","Unknown",IF(D3927&lt;25000,"&lt;$25k",IF(D3927&lt;50000,"$25k-$50k",IF(D3927&lt;75000,"$50k-$75k",IF(D3927&lt;100000,"$75k-$100k","$100k+")))))</x:f>
        <x:v>$50k-$75k</x:v>
      </x:c>
      <x:c r="P3927" t="str">
        <x:f>IF(E3927="","Unknown",IF(E3927&lt;10,"&lt;10",IF(E3927&lt;20,"10-&lt;20",IF(E3927&lt;25,"20-&lt;25",IF(E3927&lt;35,"25-&lt;35","35+")))))</x:f>
        <x:v>10-&lt;20</x:v>
      </x:c>
    </x:row>
    <x:row r="3928">
      <x:c r="A3928" t="str">
        <x:v>SYN0003927</x:v>
      </x:c>
      <x:c r="B3928" s="12" t="n">
        <x:v>41455</x:v>
      </x:c>
      <x:c r="C3928" s="18" t="n">
        <x:v>10313</x:v>
      </x:c>
      <x:c r="D3928" s="18" t="n">
        <x:v>49114</x:v>
      </x:c>
      <x:c r="E3928" s="18" t="n">
        <x:v>4.93</x:v>
      </x:c>
      <x:c r="F3928" s="18" t="n">
        <x:v>12.03</x:v>
      </x:c>
      <x:c r="G3928" t="n">
        <x:v>60</x:v>
      </x:c>
      <x:c r="H3928" t="str">
        <x:v>C</x:v>
      </x:c>
      <x:c r="I3928" t="str">
        <x:v>4-6 years</x:v>
      </x:c>
      <x:c r="J3928" t="str">
        <x:v>RENT</x:v>
      </x:c>
      <x:c r="K3928" t="str">
        <x:v>home_improvement</x:v>
      </x:c>
      <x:c r="L3928" t="n">
        <x:v>1</x:v>
      </x:c>
      <x:c r="M3928" t="n">
        <x:v>1</x:v>
      </x:c>
      <x:c r="N3928" t="str">
        <x:v>Charged Off</x:v>
      </x:c>
      <x:c r="O3928" t="str">
        <x:f>IF(D3928="","Unknown",IF(D3928&lt;25000,"&lt;$25k",IF(D3928&lt;50000,"$25k-$50k",IF(D3928&lt;75000,"$50k-$75k",IF(D3928&lt;100000,"$75k-$100k","$100k+")))))</x:f>
        <x:v>$25k-$50k</x:v>
      </x:c>
      <x:c r="P3928" t="str">
        <x:f>IF(E3928="","Unknown",IF(E3928&lt;10,"&lt;10",IF(E3928&lt;20,"10-&lt;20",IF(E3928&lt;25,"20-&lt;25",IF(E3928&lt;35,"25-&lt;35","35+")))))</x:f>
        <x:v>&lt;10</x:v>
      </x:c>
    </x:row>
    <x:row r="3929">
      <x:c r="A3929" t="str">
        <x:v>SYN0003928</x:v>
      </x:c>
      <x:c r="B3929" s="12" t="n">
        <x:v>42085</x:v>
      </x:c>
      <x:c r="C3929" s="18" t="n">
        <x:v>21894</x:v>
      </x:c>
      <x:c r="D3929" s="18" t="n">
        <x:v>58521</x:v>
      </x:c>
      <x:c r="E3929" s="18" t="n">
        <x:v>11.69</x:v>
      </x:c>
      <x:c r="F3929" s="18" t="n">
        <x:v>7.88</x:v>
      </x:c>
      <x:c r="G3929" t="n">
        <x:v>60</x:v>
      </x:c>
      <x:c r="H3929" t="str">
        <x:v>B</x:v>
      </x:c>
      <x:c r="I3929" t="str">
        <x:v>4-6 years</x:v>
      </x:c>
      <x:c r="J3929" t="str">
        <x:v>MORTGAGE</x:v>
      </x:c>
      <x:c r="K3929" t="str">
        <x:v>credit_card</x:v>
      </x:c>
      <x:c r="L3929" t="n">
        <x:v>0</x:v>
      </x:c>
      <x:c r="M3929" t="n">
        <x:v>0</x:v>
      </x:c>
      <x:c r="N3929" t="str">
        <x:v>Fully Paid</x:v>
      </x:c>
      <x:c r="O3929" t="str">
        <x:f>IF(D3929="","Unknown",IF(D3929&lt;25000,"&lt;$25k",IF(D3929&lt;50000,"$25k-$50k",IF(D3929&lt;75000,"$50k-$75k",IF(D3929&lt;100000,"$75k-$100k","$100k+")))))</x:f>
        <x:v>$50k-$75k</x:v>
      </x:c>
      <x:c r="P3929" t="str">
        <x:f>IF(E3929="","Unknown",IF(E3929&lt;10,"&lt;10",IF(E3929&lt;20,"10-&lt;20",IF(E3929&lt;25,"20-&lt;25",IF(E3929&lt;35,"25-&lt;35","35+")))))</x:f>
        <x:v>10-&lt;20</x:v>
      </x:c>
    </x:row>
    <x:row r="3930">
      <x:c r="A3930" t="str">
        <x:v>SYN0003929</x:v>
      </x:c>
      <x:c r="B3930" s="12" t="n">
        <x:v>43165</x:v>
      </x:c>
      <x:c r="C3930" s="18" t="n">
        <x:v>17253</x:v>
      </x:c>
      <x:c r="D3930" s="18" t="n">
        <x:v>51316</x:v>
      </x:c>
      <x:c r="E3930" s="18" t="n">
        <x:v>9.8</x:v>
      </x:c>
      <x:c r="F3930" s="18" t="n">
        <x:v>7.07</x:v>
      </x:c>
      <x:c r="G3930" t="n">
        <x:v>36</x:v>
      </x:c>
      <x:c r="H3930" t="str">
        <x:v>A</x:v>
      </x:c>
      <x:c r="I3930" t="str">
        <x:v>4-6 years</x:v>
      </x:c>
      <x:c r="J3930" t="str">
        <x:v>OWN</x:v>
      </x:c>
      <x:c r="K3930" t="str">
        <x:v>major_purchase</x:v>
      </x:c>
      <x:c r="L3930" t="n">
        <x:v>0</x:v>
      </x:c>
      <x:c r="M3930" t="n">
        <x:v>0</x:v>
      </x:c>
      <x:c r="N3930" t="str">
        <x:v>Fully Paid</x:v>
      </x:c>
      <x:c r="O3930" t="str">
        <x:f>IF(D3930="","Unknown",IF(D3930&lt;25000,"&lt;$25k",IF(D3930&lt;50000,"$25k-$50k",IF(D3930&lt;75000,"$50k-$75k",IF(D3930&lt;100000,"$75k-$100k","$100k+")))))</x:f>
        <x:v>$50k-$75k</x:v>
      </x:c>
      <x:c r="P3930" t="str">
        <x:f>IF(E3930="","Unknown",IF(E3930&lt;10,"&lt;10",IF(E3930&lt;20,"10-&lt;20",IF(E3930&lt;25,"20-&lt;25",IF(E3930&lt;35,"25-&lt;35","35+")))))</x:f>
        <x:v>&lt;10</x:v>
      </x:c>
    </x:row>
    <x:row r="3931">
      <x:c r="A3931" t="str">
        <x:v>SYN0003930</x:v>
      </x:c>
      <x:c r="B3931" s="12" t="n">
        <x:v>42595</x:v>
      </x:c>
      <x:c r="C3931" s="18" t="n">
        <x:v>16374</x:v>
      </x:c>
      <x:c r="D3931" s="18" t="n">
        <x:v>91887</x:v>
      </x:c>
      <x:c r="E3931" s="18" t="n">
        <x:v>10.24</x:v>
      </x:c>
      <x:c r="F3931" s="18" t="n">
        <x:v>5.09</x:v>
      </x:c>
      <x:c r="G3931" t="n">
        <x:v>60</x:v>
      </x:c>
      <x:c r="H3931" t="str">
        <x:v>A</x:v>
      </x:c>
      <x:c r="I3931" t="str">
        <x:v>7-9 years</x:v>
      </x:c>
      <x:c r="J3931" t="str">
        <x:v>MORTGAGE</x:v>
      </x:c>
      <x:c r="K3931" t="str">
        <x:v>home_improvement</x:v>
      </x:c>
      <x:c r="L3931" t="n">
        <x:v>2</x:v>
      </x:c>
      <x:c r="M3931" t="n">
        <x:v>0</x:v>
      </x:c>
      <x:c r="N3931" t="str">
        <x:v>Fully Paid</x:v>
      </x:c>
      <x:c r="O3931" t="str">
        <x:f>IF(D3931="","Unknown",IF(D3931&lt;25000,"&lt;$25k",IF(D3931&lt;50000,"$25k-$50k",IF(D3931&lt;75000,"$50k-$75k",IF(D3931&lt;100000,"$75k-$100k","$100k+")))))</x:f>
        <x:v>$75k-$100k</x:v>
      </x:c>
      <x:c r="P3931" t="str">
        <x:f>IF(E3931="","Unknown",IF(E3931&lt;10,"&lt;10",IF(E3931&lt;20,"10-&lt;20",IF(E3931&lt;25,"20-&lt;25",IF(E3931&lt;35,"25-&lt;35","35+")))))</x:f>
        <x:v>10-&lt;20</x:v>
      </x:c>
    </x:row>
    <x:row r="3932">
      <x:c r="A3932" t="str">
        <x:v>SYN0003931</x:v>
      </x:c>
      <x:c r="B3932" s="12" t="n">
        <x:v>41785</x:v>
      </x:c>
      <x:c r="C3932" s="18" t="n">
        <x:v>12330</x:v>
      </x:c>
      <x:c r="D3932" s="18" t="n">
        <x:v>22836</x:v>
      </x:c>
      <x:c r="E3932" s="18" t="n">
        <x:v>22.79</x:v>
      </x:c>
      <x:c r="F3932" s="18" t="n">
        <x:v>16.97</x:v>
      </x:c>
      <x:c r="G3932" t="n">
        <x:v>60</x:v>
      </x:c>
      <x:c r="H3932" t="str">
        <x:v>D</x:v>
      </x:c>
      <x:c r="I3932" t="str">
        <x:v>&lt;1 year</x:v>
      </x:c>
      <x:c r="J3932" t="str">
        <x:v>MORTGAGE</x:v>
      </x:c>
      <x:c r="K3932" t="str">
        <x:v>debt_consolidation</x:v>
      </x:c>
      <x:c r="L3932" t="n">
        <x:v>0</x:v>
      </x:c>
      <x:c r="M3932" t="n">
        <x:v>0</x:v>
      </x:c>
      <x:c r="N3932" t="str">
        <x:v>Fully Paid</x:v>
      </x:c>
      <x:c r="O3932" t="str">
        <x:f>IF(D3932="","Unknown",IF(D3932&lt;25000,"&lt;$25k",IF(D3932&lt;50000,"$25k-$50k",IF(D3932&lt;75000,"$50k-$75k",IF(D3932&lt;100000,"$75k-$100k","$100k+")))))</x:f>
        <x:v>&lt;$25k</x:v>
      </x:c>
      <x:c r="P3932" t="str">
        <x:f>IF(E3932="","Unknown",IF(E3932&lt;10,"&lt;10",IF(E3932&lt;20,"10-&lt;20",IF(E3932&lt;25,"20-&lt;25",IF(E3932&lt;35,"25-&lt;35","35+")))))</x:f>
        <x:v>20-&lt;25</x:v>
      </x:c>
    </x:row>
    <x:row r="3933">
      <x:c r="A3933" t="str">
        <x:v>SYN0003932</x:v>
      </x:c>
      <x:c r="B3933" s="12" t="n">
        <x:v>41665</x:v>
      </x:c>
      <x:c r="C3933" s="18" t="n">
        <x:v>10677</x:v>
      </x:c>
      <x:c r="D3933" s="18" t="n">
        <x:v>39372</x:v>
      </x:c>
      <x:c r="E3933" s="18" t="n">
        <x:v>30.22</x:v>
      </x:c>
      <x:c r="F3933" s="18" t="n">
        <x:v>12.94</x:v>
      </x:c>
      <x:c r="G3933" t="n">
        <x:v>36</x:v>
      </x:c>
      <x:c r="H3933" t="str">
        <x:v>C</x:v>
      </x:c>
      <x:c r="I3933" t="str">
        <x:v>10+ years</x:v>
      </x:c>
      <x:c r="J3933" t="str">
        <x:v>MORTGAGE</x:v>
      </x:c>
      <x:c r="K3933" t="str">
        <x:v>credit_card</x:v>
      </x:c>
      <x:c r="L3933" t="n">
        <x:v>2</x:v>
      </x:c>
      <x:c r="M3933" t="n">
        <x:v>0</x:v>
      </x:c>
      <x:c r="N3933" t="str">
        <x:v>Fully Paid</x:v>
      </x:c>
      <x:c r="O3933" t="str">
        <x:f>IF(D3933="","Unknown",IF(D3933&lt;25000,"&lt;$25k",IF(D3933&lt;50000,"$25k-$50k",IF(D3933&lt;75000,"$50k-$75k",IF(D3933&lt;100000,"$75k-$100k","$100k+")))))</x:f>
        <x:v>$25k-$50k</x:v>
      </x:c>
      <x:c r="P3933" t="str">
        <x:f>IF(E3933="","Unknown",IF(E3933&lt;10,"&lt;10",IF(E3933&lt;20,"10-&lt;20",IF(E3933&lt;25,"20-&lt;25",IF(E3933&lt;35,"25-&lt;35","35+")))))</x:f>
        <x:v>25-&lt;35</x:v>
      </x:c>
    </x:row>
    <x:row r="3934">
      <x:c r="A3934" t="str">
        <x:v>SYN0003933</x:v>
      </x:c>
      <x:c r="B3934" s="12" t="n">
        <x:v>42265</x:v>
      </x:c>
      <x:c r="C3934" s="18" t="n">
        <x:v>16125</x:v>
      </x:c>
      <x:c r="D3934" s="18" t="n">
        <x:v>42898</x:v>
      </x:c>
      <x:c r="E3934" s="18" t="n">
        <x:v>27.87</x:v>
      </x:c>
      <x:c r="F3934" s="18" t="n">
        <x:v>20.16</x:v>
      </x:c>
      <x:c r="G3934" t="n">
        <x:v>36</x:v>
      </x:c>
      <x:c r="H3934" t="str">
        <x:v>F</x:v>
      </x:c>
      <x:c r="I3934" t="str">
        <x:v>7-9 years</x:v>
      </x:c>
      <x:c r="J3934" t="str">
        <x:v>OWN</x:v>
      </x:c>
      <x:c r="K3934" t="str">
        <x:v>other</x:v>
      </x:c>
      <x:c r="L3934" t="n">
        <x:v>0</x:v>
      </x:c>
      <x:c r="M3934" t="n">
        <x:v>0</x:v>
      </x:c>
      <x:c r="N3934" t="str">
        <x:v>Fully Paid</x:v>
      </x:c>
      <x:c r="O3934" t="str">
        <x:f>IF(D3934="","Unknown",IF(D3934&lt;25000,"&lt;$25k",IF(D3934&lt;50000,"$25k-$50k",IF(D3934&lt;75000,"$50k-$75k",IF(D3934&lt;100000,"$75k-$100k","$100k+")))))</x:f>
        <x:v>$25k-$50k</x:v>
      </x:c>
      <x:c r="P3934" t="str">
        <x:f>IF(E3934="","Unknown",IF(E3934&lt;10,"&lt;10",IF(E3934&lt;20,"10-&lt;20",IF(E3934&lt;25,"20-&lt;25",IF(E3934&lt;35,"25-&lt;35","35+")))))</x:f>
        <x:v>25-&lt;35</x:v>
      </x:c>
    </x:row>
    <x:row r="3935">
      <x:c r="A3935" t="str">
        <x:v>SYN0003934</x:v>
      </x:c>
      <x:c r="B3935" s="12" t="n">
        <x:v>42325</x:v>
      </x:c>
      <x:c r="C3935" s="18" t="n">
        <x:v>10310</x:v>
      </x:c>
      <x:c r="D3935" s="18" t="n">
        <x:v>62475</x:v>
      </x:c>
      <x:c r="E3935" s="18" t="n">
        <x:v>13.63</x:v>
      </x:c>
      <x:c r="F3935" s="18" t="n">
        <x:v>24.75</x:v>
      </x:c>
      <x:c r="G3935" t="n">
        <x:v>36</x:v>
      </x:c>
      <x:c r="H3935" t="str">
        <x:v>F</x:v>
      </x:c>
      <x:c r="I3935" t="str">
        <x:v>4-6 years</x:v>
      </x:c>
      <x:c r="J3935" t="str">
        <x:v>RENT</x:v>
      </x:c>
      <x:c r="K3935" t="str">
        <x:v>home_improvement</x:v>
      </x:c>
      <x:c r="L3935" t="n">
        <x:v>1</x:v>
      </x:c>
      <x:c r="M3935" t="n">
        <x:v>0</x:v>
      </x:c>
      <x:c r="N3935" t="str">
        <x:v>Fully Paid</x:v>
      </x:c>
      <x:c r="O3935" t="str">
        <x:f>IF(D3935="","Unknown",IF(D3935&lt;25000,"&lt;$25k",IF(D3935&lt;50000,"$25k-$50k",IF(D3935&lt;75000,"$50k-$75k",IF(D3935&lt;100000,"$75k-$100k","$100k+")))))</x:f>
        <x:v>$50k-$75k</x:v>
      </x:c>
      <x:c r="P3935" t="str">
        <x:f>IF(E3935="","Unknown",IF(E3935&lt;10,"&lt;10",IF(E3935&lt;20,"10-&lt;20",IF(E3935&lt;25,"20-&lt;25",IF(E3935&lt;35,"25-&lt;35","35+")))))</x:f>
        <x:v>10-&lt;20</x:v>
      </x:c>
    </x:row>
    <x:row r="3936">
      <x:c r="A3936" t="str">
        <x:v>SYN0003935</x:v>
      </x:c>
      <x:c r="B3936" s="12" t="n">
        <x:v>42955</x:v>
      </x:c>
      <x:c r="C3936" s="18" t="n">
        <x:v>18523</x:v>
      </x:c>
      <x:c r="D3936" s="18" t="n">
        <x:v>126871</x:v>
      </x:c>
      <x:c r="E3936" s="18" t="n">
        <x:v>26.36</x:v>
      </x:c>
      <x:c r="F3936" s="18" t="n">
        <x:v>10.89</x:v>
      </x:c>
      <x:c r="G3936" t="n">
        <x:v>36</x:v>
      </x:c>
      <x:c r="H3936" t="str">
        <x:v>C</x:v>
      </x:c>
      <x:c r="I3936" t="str">
        <x:v>7-9 years</x:v>
      </x:c>
      <x:c r="J3936" t="str">
        <x:v>MORTGAGE</x:v>
      </x:c>
      <x:c r="K3936" t="str">
        <x:v>credit_card</x:v>
      </x:c>
      <x:c r="L3936" t="n">
        <x:v>1</x:v>
      </x:c>
      <x:c r="M3936" t="n">
        <x:v>0</x:v>
      </x:c>
      <x:c r="N3936" t="str">
        <x:v>Fully Paid</x:v>
      </x:c>
      <x:c r="O3936" t="str">
        <x:f>IF(D3936="","Unknown",IF(D3936&lt;25000,"&lt;$25k",IF(D3936&lt;50000,"$25k-$50k",IF(D3936&lt;75000,"$50k-$75k",IF(D3936&lt;100000,"$75k-$100k","$100k+")))))</x:f>
        <x:v>$100k+</x:v>
      </x:c>
      <x:c r="P3936" t="str">
        <x:f>IF(E3936="","Unknown",IF(E3936&lt;10,"&lt;10",IF(E3936&lt;20,"10-&lt;20",IF(E3936&lt;25,"20-&lt;25",IF(E3936&lt;35,"25-&lt;35","35+")))))</x:f>
        <x:v>25-&lt;35</x:v>
      </x:c>
    </x:row>
    <x:row r="3937">
      <x:c r="A3937" t="str">
        <x:v>SYN0003936</x:v>
      </x:c>
      <x:c r="B3937" s="12" t="n">
        <x:v>43045</x:v>
      </x:c>
      <x:c r="C3937" s="18" t="n">
        <x:v>8545</x:v>
      </x:c>
      <x:c r="D3937" s="18" t="n">
        <x:v>24684</x:v>
      </x:c>
      <x:c r="E3937" s="18" t="n">
        <x:v>3.8</x:v>
      </x:c>
      <x:c r="F3937" s="18" t="n">
        <x:v>19.38</x:v>
      </x:c>
      <x:c r="G3937" t="n">
        <x:v>60</x:v>
      </x:c>
      <x:c r="H3937" t="str">
        <x:v>E</x:v>
      </x:c>
      <x:c r="I3937" t="str">
        <x:v>7-9 years</x:v>
      </x:c>
      <x:c r="J3937" t="str">
        <x:v>RENT</x:v>
      </x:c>
      <x:c r="K3937" t="str">
        <x:v>debt_consolidation</x:v>
      </x:c>
      <x:c r="L3937" t="n">
        <x:v>2</x:v>
      </x:c>
      <x:c r="M3937" t="n">
        <x:v>0</x:v>
      </x:c>
      <x:c r="N3937" t="str">
        <x:v>Fully Paid</x:v>
      </x:c>
      <x:c r="O3937" t="str">
        <x:f>IF(D3937="","Unknown",IF(D3937&lt;25000,"&lt;$25k",IF(D3937&lt;50000,"$25k-$50k",IF(D3937&lt;75000,"$50k-$75k",IF(D3937&lt;100000,"$75k-$100k","$100k+")))))</x:f>
        <x:v>&lt;$25k</x:v>
      </x:c>
      <x:c r="P3937" t="str">
        <x:f>IF(E3937="","Unknown",IF(E3937&lt;10,"&lt;10",IF(E3937&lt;20,"10-&lt;20",IF(E3937&lt;25,"20-&lt;25",IF(E3937&lt;35,"25-&lt;35","35+")))))</x:f>
        <x:v>&lt;10</x:v>
      </x:c>
    </x:row>
    <x:row r="3938">
      <x:c r="A3938" t="str">
        <x:v>SYN0003937</x:v>
      </x:c>
      <x:c r="B3938" s="12" t="n">
        <x:v>41755</x:v>
      </x:c>
      <x:c r="C3938" s="18" t="n">
        <x:v>40000</x:v>
      </x:c>
      <x:c r="D3938" s="18" t="n">
        <x:v>42863</x:v>
      </x:c>
      <x:c r="E3938" s="18" t="n">
        <x:v>20.62</x:v>
      </x:c>
      <x:c r="F3938" s="18" t="n">
        <x:v>23.51</x:v>
      </x:c>
      <x:c r="G3938" t="n">
        <x:v>60</x:v>
      </x:c>
      <x:c r="H3938" t="str">
        <x:v>F</x:v>
      </x:c>
      <x:c r="I3938" t="str">
        <x:v>4-6 years</x:v>
      </x:c>
      <x:c r="J3938" t="str">
        <x:v>OWN</x:v>
      </x:c>
      <x:c r="K3938" t="str">
        <x:v>debt_consolidation</x:v>
      </x:c>
      <x:c r="L3938" t="n">
        <x:v>1</x:v>
      </x:c>
      <x:c r="M3938" t="n">
        <x:v>0</x:v>
      </x:c>
      <x:c r="N3938" t="str">
        <x:v>Fully Paid</x:v>
      </x:c>
      <x:c r="O3938" t="str">
        <x:f>IF(D3938="","Unknown",IF(D3938&lt;25000,"&lt;$25k",IF(D3938&lt;50000,"$25k-$50k",IF(D3938&lt;75000,"$50k-$75k",IF(D3938&lt;100000,"$75k-$100k","$100k+")))))</x:f>
        <x:v>$25k-$50k</x:v>
      </x:c>
      <x:c r="P3938" t="str">
        <x:f>IF(E3938="","Unknown",IF(E3938&lt;10,"&lt;10",IF(E3938&lt;20,"10-&lt;20",IF(E3938&lt;25,"20-&lt;25",IF(E3938&lt;35,"25-&lt;35","35+")))))</x:f>
        <x:v>20-&lt;25</x:v>
      </x:c>
    </x:row>
    <x:row r="3939">
      <x:c r="A3939" t="str">
        <x:v>SYN0003938</x:v>
      </x:c>
      <x:c r="B3939" s="12" t="n">
        <x:v>42205</x:v>
      </x:c>
      <x:c r="C3939" s="18" t="n">
        <x:v>9170</x:v>
      </x:c>
      <x:c r="D3939" s="18" t="n">
        <x:v>40234</x:v>
      </x:c>
      <x:c r="E3939" s="18" t="n">
        <x:v>25.87</x:v>
      </x:c>
      <x:c r="F3939" s="18" t="n">
        <x:v>5</x:v>
      </x:c>
      <x:c r="G3939" t="n">
        <x:v>36</x:v>
      </x:c>
      <x:c r="H3939" t="str">
        <x:v>A</x:v>
      </x:c>
      <x:c r="I3939" t="str">
        <x:v>10+ years</x:v>
      </x:c>
      <x:c r="J3939" t="str">
        <x:v>OTHER</x:v>
      </x:c>
      <x:c r="K3939" t="str">
        <x:v>credit_card</x:v>
      </x:c>
      <x:c r="L3939" t="n">
        <x:v>0</x:v>
      </x:c>
      <x:c r="M3939" t="n">
        <x:v>0</x:v>
      </x:c>
      <x:c r="N3939" t="str">
        <x:v>Fully Paid</x:v>
      </x:c>
      <x:c r="O3939" t="str">
        <x:f>IF(D3939="","Unknown",IF(D3939&lt;25000,"&lt;$25k",IF(D3939&lt;50000,"$25k-$50k",IF(D3939&lt;75000,"$50k-$75k",IF(D3939&lt;100000,"$75k-$100k","$100k+")))))</x:f>
        <x:v>$25k-$50k</x:v>
      </x:c>
      <x:c r="P3939" t="str">
        <x:f>IF(E3939="","Unknown",IF(E3939&lt;10,"&lt;10",IF(E3939&lt;20,"10-&lt;20",IF(E3939&lt;25,"20-&lt;25",IF(E3939&lt;35,"25-&lt;35","35+")))))</x:f>
        <x:v>25-&lt;35</x:v>
      </x:c>
    </x:row>
    <x:row r="3940">
      <x:c r="A3940" t="str">
        <x:v>SYN0003939</x:v>
      </x:c>
      <x:c r="B3940" s="12" t="n">
        <x:v>41605</x:v>
      </x:c>
      <x:c r="C3940" s="18" t="n">
        <x:v>18694</x:v>
      </x:c>
      <x:c r="D3940" s="18" t="n">
        <x:v>78333</x:v>
      </x:c>
      <x:c r="E3940" s="18" t="n">
        <x:v>16.29</x:v>
      </x:c>
      <x:c r="F3940" s="18" t="n">
        <x:v>9.53</x:v>
      </x:c>
      <x:c r="G3940" t="n">
        <x:v>36</x:v>
      </x:c>
      <x:c r="H3940" t="str">
        <x:v>B</x:v>
      </x:c>
      <x:c r="I3940" t="str">
        <x:v>1-3 years</x:v>
      </x:c>
      <x:c r="J3940" t="str">
        <x:v>RENT</x:v>
      </x:c>
      <x:c r="K3940" t="str">
        <x:v>debt_consolidation</x:v>
      </x:c>
      <x:c r="L3940" t="n">
        <x:v>0</x:v>
      </x:c>
      <x:c r="M3940" t="n">
        <x:v>0</x:v>
      </x:c>
      <x:c r="N3940" t="str">
        <x:v>Fully Paid</x:v>
      </x:c>
      <x:c r="O3940" t="str">
        <x:f>IF(D3940="","Unknown",IF(D3940&lt;25000,"&lt;$25k",IF(D3940&lt;50000,"$25k-$50k",IF(D3940&lt;75000,"$50k-$75k",IF(D3940&lt;100000,"$75k-$100k","$100k+")))))</x:f>
        <x:v>$75k-$100k</x:v>
      </x:c>
      <x:c r="P3940" t="str">
        <x:f>IF(E3940="","Unknown",IF(E3940&lt;10,"&lt;10",IF(E3940&lt;20,"10-&lt;20",IF(E3940&lt;25,"20-&lt;25",IF(E3940&lt;35,"25-&lt;35","35+")))))</x:f>
        <x:v>10-&lt;20</x:v>
      </x:c>
    </x:row>
    <x:row r="3941">
      <x:c r="A3941" t="str">
        <x:v>SYN0003940</x:v>
      </x:c>
      <x:c r="B3941" s="12" t="n">
        <x:v>42265</x:v>
      </x:c>
      <x:c r="C3941" s="18" t="n">
        <x:v>8288</x:v>
      </x:c>
      <x:c r="D3941" s="18" t="n">
        <x:v>58611</x:v>
      </x:c>
      <x:c r="E3941" s="18" t="n">
        <x:v>37.28</x:v>
      </x:c>
      <x:c r="F3941" s="18" t="n">
        <x:v>11.66</x:v>
      </x:c>
      <x:c r="G3941" t="n">
        <x:v>60</x:v>
      </x:c>
      <x:c r="H3941" t="str">
        <x:v>C</x:v>
      </x:c>
      <x:c r="I3941" t="str">
        <x:v>4-6 years</x:v>
      </x:c>
      <x:c r="J3941" t="str">
        <x:v>RENT</x:v>
      </x:c>
      <x:c r="K3941" t="str">
        <x:v>debt_consolidation</x:v>
      </x:c>
      <x:c r="L3941" t="n">
        <x:v>0</x:v>
      </x:c>
      <x:c r="M3941" t="n">
        <x:v>1</x:v>
      </x:c>
      <x:c r="N3941" t="str">
        <x:v>Charged Off</x:v>
      </x:c>
      <x:c r="O3941" t="str">
        <x:f>IF(D3941="","Unknown",IF(D3941&lt;25000,"&lt;$25k",IF(D3941&lt;50000,"$25k-$50k",IF(D3941&lt;75000,"$50k-$75k",IF(D3941&lt;100000,"$75k-$100k","$100k+")))))</x:f>
        <x:v>$50k-$75k</x:v>
      </x:c>
      <x:c r="P3941" t="str">
        <x:f>IF(E3941="","Unknown",IF(E3941&lt;10,"&lt;10",IF(E3941&lt;20,"10-&lt;20",IF(E3941&lt;25,"20-&lt;25",IF(E3941&lt;35,"25-&lt;35","35+")))))</x:f>
        <x:v>35+</x:v>
      </x:c>
    </x:row>
    <x:row r="3942">
      <x:c r="A3942" t="str">
        <x:v>SYN0003941</x:v>
      </x:c>
      <x:c r="B3942" s="12" t="n">
        <x:v>42565</x:v>
      </x:c>
      <x:c r="C3942" s="18" t="n">
        <x:v>17082</x:v>
      </x:c>
      <x:c r="D3942" s="18" t="n">
        <x:v>34377</x:v>
      </x:c>
      <x:c r="E3942" s="18" t="n">
        <x:v>25.92</x:v>
      </x:c>
      <x:c r="F3942" s="18" t="n">
        <x:v>11.62</x:v>
      </x:c>
      <x:c r="G3942" t="n">
        <x:v>36</x:v>
      </x:c>
      <x:c r="H3942" t="str">
        <x:v>C</x:v>
      </x:c>
      <x:c r="I3942" t="str">
        <x:v>7-9 years</x:v>
      </x:c>
      <x:c r="J3942" t="str">
        <x:v>MORTGAGE</x:v>
      </x:c>
      <x:c r="K3942" t="str">
        <x:v>credit_card</x:v>
      </x:c>
      <x:c r="L3942" t="n">
        <x:v>0</x:v>
      </x:c>
      <x:c r="M3942" t="n">
        <x:v>0</x:v>
      </x:c>
      <x:c r="N3942" t="str">
        <x:v>Fully Paid</x:v>
      </x:c>
      <x:c r="O3942" t="str">
        <x:f>IF(D3942="","Unknown",IF(D3942&lt;25000,"&lt;$25k",IF(D3942&lt;50000,"$25k-$50k",IF(D3942&lt;75000,"$50k-$75k",IF(D3942&lt;100000,"$75k-$100k","$100k+")))))</x:f>
        <x:v>$25k-$50k</x:v>
      </x:c>
      <x:c r="P3942" t="str">
        <x:f>IF(E3942="","Unknown",IF(E3942&lt;10,"&lt;10",IF(E3942&lt;20,"10-&lt;20",IF(E3942&lt;25,"20-&lt;25",IF(E3942&lt;35,"25-&lt;35","35+")))))</x:f>
        <x:v>25-&lt;35</x:v>
      </x:c>
    </x:row>
    <x:row r="3943">
      <x:c r="A3943" t="str">
        <x:v>SYN0003942</x:v>
      </x:c>
      <x:c r="B3943" s="12" t="n">
        <x:v>42505</x:v>
      </x:c>
      <x:c r="C3943" s="18" t="n">
        <x:v>18796</x:v>
      </x:c>
      <x:c r="D3943" s="18" t="n">
        <x:v>80571</x:v>
      </x:c>
      <x:c r="E3943" s="18" t="n">
        <x:v>13.96</x:v>
      </x:c>
      <x:c r="F3943" s="18" t="n">
        <x:v>12.83</x:v>
      </x:c>
      <x:c r="G3943" t="n">
        <x:v>60</x:v>
      </x:c>
      <x:c r="H3943" t="str">
        <x:v>D</x:v>
      </x:c>
      <x:c r="I3943" t="str">
        <x:v>4-6 years</x:v>
      </x:c>
      <x:c r="J3943" t="str">
        <x:v>RENT</x:v>
      </x:c>
      <x:c r="K3943" t="str">
        <x:v>debt_consolidation</x:v>
      </x:c>
      <x:c r="L3943" t="n">
        <x:v>2</x:v>
      </x:c>
      <x:c r="M3943" t="n">
        <x:v>0</x:v>
      </x:c>
      <x:c r="N3943" t="str">
        <x:v>Fully Paid</x:v>
      </x:c>
      <x:c r="O3943" t="str">
        <x:f>IF(D3943="","Unknown",IF(D3943&lt;25000,"&lt;$25k",IF(D3943&lt;50000,"$25k-$50k",IF(D3943&lt;75000,"$50k-$75k",IF(D3943&lt;100000,"$75k-$100k","$100k+")))))</x:f>
        <x:v>$75k-$100k</x:v>
      </x:c>
      <x:c r="P3943" t="str">
        <x:f>IF(E3943="","Unknown",IF(E3943&lt;10,"&lt;10",IF(E3943&lt;20,"10-&lt;20",IF(E3943&lt;25,"20-&lt;25",IF(E3943&lt;35,"25-&lt;35","35+")))))</x:f>
        <x:v>10-&lt;20</x:v>
      </x:c>
    </x:row>
    <x:row r="3944">
      <x:c r="A3944" t="str">
        <x:v>SYN0003943</x:v>
      </x:c>
      <x:c r="B3944" s="12" t="n">
        <x:v>42325</x:v>
      </x:c>
      <x:c r="C3944" s="18" t="n">
        <x:v>15449</x:v>
      </x:c>
      <x:c r="D3944" s="18" t="n">
        <x:v>108388</x:v>
      </x:c>
      <x:c r="E3944" s="18" t="n">
        <x:v>27.18</x:v>
      </x:c>
      <x:c r="F3944" s="18" t="n">
        <x:v>10.43</x:v>
      </x:c>
      <x:c r="G3944" t="n">
        <x:v>36</x:v>
      </x:c>
      <x:c r="H3944" t="str">
        <x:v>C</x:v>
      </x:c>
      <x:c r="I3944" t="str">
        <x:v>1-3 years</x:v>
      </x:c>
      <x:c r="J3944" t="str">
        <x:v>RENT</x:v>
      </x:c>
      <x:c r="K3944" t="str">
        <x:v>debt_consolidation</x:v>
      </x:c>
      <x:c r="L3944" t="n">
        <x:v>1</x:v>
      </x:c>
      <x:c r="M3944" t="n">
        <x:v>1</x:v>
      </x:c>
      <x:c r="N3944" t="str">
        <x:v>Charged Off</x:v>
      </x:c>
      <x:c r="O3944" t="str">
        <x:f>IF(D3944="","Unknown",IF(D3944&lt;25000,"&lt;$25k",IF(D3944&lt;50000,"$25k-$50k",IF(D3944&lt;75000,"$50k-$75k",IF(D3944&lt;100000,"$75k-$100k","$100k+")))))</x:f>
        <x:v>$100k+</x:v>
      </x:c>
      <x:c r="P3944" t="str">
        <x:f>IF(E3944="","Unknown",IF(E3944&lt;10,"&lt;10",IF(E3944&lt;20,"10-&lt;20",IF(E3944&lt;25,"20-&lt;25",IF(E3944&lt;35,"25-&lt;35","35+")))))</x:f>
        <x:v>25-&lt;35</x:v>
      </x:c>
    </x:row>
    <x:row r="3945">
      <x:c r="A3945" t="str">
        <x:v>SYN0003944</x:v>
      </x:c>
      <x:c r="B3945" s="12" t="n">
        <x:v>42685</x:v>
      </x:c>
      <x:c r="C3945" s="18" t="n">
        <x:v>12343</x:v>
      </x:c>
      <x:c r="D3945" s="18" t="n">
        <x:v>60295</x:v>
      </x:c>
      <x:c r="E3945" s="18" t="n">
        <x:v>12.87</x:v>
      </x:c>
      <x:c r="F3945" s="18" t="n">
        <x:v>6.03</x:v>
      </x:c>
      <x:c r="G3945" t="n">
        <x:v>36</x:v>
      </x:c>
      <x:c r="H3945" t="str">
        <x:v>B</x:v>
      </x:c>
      <x:c r="I3945" t="str">
        <x:v>1-3 years</x:v>
      </x:c>
      <x:c r="J3945" t="str">
        <x:v>RENT</x:v>
      </x:c>
      <x:c r="K3945" t="str">
        <x:v>debt_consolidation</x:v>
      </x:c>
      <x:c r="L3945" t="n">
        <x:v>2</x:v>
      </x:c>
      <x:c r="M3945" t="n">
        <x:v>1</x:v>
      </x:c>
      <x:c r="N3945" t="str">
        <x:v>Charged Off</x:v>
      </x:c>
      <x:c r="O3945" t="str">
        <x:f>IF(D3945="","Unknown",IF(D3945&lt;25000,"&lt;$25k",IF(D3945&lt;50000,"$25k-$50k",IF(D3945&lt;75000,"$50k-$75k",IF(D3945&lt;100000,"$75k-$100k","$100k+")))))</x:f>
        <x:v>$50k-$75k</x:v>
      </x:c>
      <x:c r="P3945" t="str">
        <x:f>IF(E3945="","Unknown",IF(E3945&lt;10,"&lt;10",IF(E3945&lt;20,"10-&lt;20",IF(E3945&lt;25,"20-&lt;25",IF(E3945&lt;35,"25-&lt;35","35+")))))</x:f>
        <x:v>10-&lt;20</x:v>
      </x:c>
    </x:row>
    <x:row r="3946">
      <x:c r="A3946" t="str">
        <x:v>SYN0003945</x:v>
      </x:c>
      <x:c r="B3946" s="12" t="n">
        <x:v>41965</x:v>
      </x:c>
      <x:c r="C3946" s="18" t="n">
        <x:v>14589</x:v>
      </x:c>
      <x:c r="D3946" s="18" t="n">
        <x:v>68373</x:v>
      </x:c>
      <x:c r="E3946" s="18" t="n">
        <x:v>21.42</x:v>
      </x:c>
      <x:c r="F3946" s="18" t="n">
        <x:v>7.81</x:v>
      </x:c>
      <x:c r="G3946" t="n">
        <x:v>60</x:v>
      </x:c>
      <x:c r="H3946" t="str">
        <x:v>A</x:v>
      </x:c>
      <x:c r="I3946" t="str">
        <x:v>1-3 years</x:v>
      </x:c>
      <x:c r="J3946" t="str">
        <x:v>MORTGAGE</x:v>
      </x:c>
      <x:c r="K3946" t="str">
        <x:v>debt_consolidation</x:v>
      </x:c>
      <x:c r="L3946" t="n">
        <x:v>1</x:v>
      </x:c>
      <x:c r="M3946" t="n">
        <x:v>0</x:v>
      </x:c>
      <x:c r="N3946" t="str">
        <x:v>Fully Paid</x:v>
      </x:c>
      <x:c r="O3946" t="str">
        <x:f>IF(D3946="","Unknown",IF(D3946&lt;25000,"&lt;$25k",IF(D3946&lt;50000,"$25k-$50k",IF(D3946&lt;75000,"$50k-$75k",IF(D3946&lt;100000,"$75k-$100k","$100k+")))))</x:f>
        <x:v>$50k-$75k</x:v>
      </x:c>
      <x:c r="P3946" t="str">
        <x:f>IF(E3946="","Unknown",IF(E3946&lt;10,"&lt;10",IF(E3946&lt;20,"10-&lt;20",IF(E3946&lt;25,"20-&lt;25",IF(E3946&lt;35,"25-&lt;35","35+")))))</x:f>
        <x:v>20-&lt;25</x:v>
      </x:c>
    </x:row>
    <x:row r="3947">
      <x:c r="A3947" t="str">
        <x:v>SYN0003946</x:v>
      </x:c>
      <x:c r="B3947" s="12" t="n">
        <x:v>42715</x:v>
      </x:c>
      <x:c r="C3947" s="18" t="n">
        <x:v>15686</x:v>
      </x:c>
      <x:c r="D3947" s="18" t="n">
        <x:v>82088</x:v>
      </x:c>
      <x:c r="E3947" s="18" t="n">
        <x:v>9.87</x:v>
      </x:c>
      <x:c r="F3947" s="18" t="n">
        <x:v>7.75</x:v>
      </x:c>
      <x:c r="G3947" t="n">
        <x:v>60</x:v>
      </x:c>
      <x:c r="H3947" t="str">
        <x:v>B</x:v>
      </x:c>
      <x:c r="I3947" t="str">
        <x:v>10+ years</x:v>
      </x:c>
      <x:c r="J3947" t="str">
        <x:v>MORTGAGE</x:v>
      </x:c>
      <x:c r="K3947" t="str">
        <x:v>debt_consolidation</x:v>
      </x:c>
      <x:c r="L3947" t="n">
        <x:v>0</x:v>
      </x:c>
      <x:c r="M3947" t="n">
        <x:v>0</x:v>
      </x:c>
      <x:c r="N3947" t="str">
        <x:v>Fully Paid</x:v>
      </x:c>
      <x:c r="O3947" t="str">
        <x:f>IF(D3947="","Unknown",IF(D3947&lt;25000,"&lt;$25k",IF(D3947&lt;50000,"$25k-$50k",IF(D3947&lt;75000,"$50k-$75k",IF(D3947&lt;100000,"$75k-$100k","$100k+")))))</x:f>
        <x:v>$75k-$100k</x:v>
      </x:c>
      <x:c r="P3947" t="str">
        <x:f>IF(E3947="","Unknown",IF(E3947&lt;10,"&lt;10",IF(E3947&lt;20,"10-&lt;20",IF(E3947&lt;25,"20-&lt;25",IF(E3947&lt;35,"25-&lt;35","35+")))))</x:f>
        <x:v>&lt;10</x:v>
      </x:c>
    </x:row>
    <x:row r="3948">
      <x:c r="A3948" t="str">
        <x:v>SYN0003947</x:v>
      </x:c>
      <x:c r="B3948" s="12" t="n">
        <x:v>41575</x:v>
      </x:c>
      <x:c r="C3948" s="18" t="n">
        <x:v>3815</x:v>
      </x:c>
      <x:c r="D3948" s="18" t="n">
        <x:v>53763</x:v>
      </x:c>
      <x:c r="E3948" s="18" t="n">
        <x:v>34.06</x:v>
      </x:c>
      <x:c r="F3948" s="18" t="n">
        <x:v>14.19</x:v>
      </x:c>
      <x:c r="G3948" t="n">
        <x:v>36</x:v>
      </x:c>
      <x:c r="H3948" t="str">
        <x:v>D</x:v>
      </x:c>
      <x:c r="I3948" t="str">
        <x:v>4-6 years</x:v>
      </x:c>
      <x:c r="J3948" t="str">
        <x:v>RENT</x:v>
      </x:c>
      <x:c r="K3948" t="str">
        <x:v>debt_consolidation</x:v>
      </x:c>
      <x:c r="L3948" t="n">
        <x:v>0</x:v>
      </x:c>
      <x:c r="M3948" t="n">
        <x:v>1</x:v>
      </x:c>
      <x:c r="N3948" t="str">
        <x:v>Charged Off</x:v>
      </x:c>
      <x:c r="O3948" t="str">
        <x:f>IF(D3948="","Unknown",IF(D3948&lt;25000,"&lt;$25k",IF(D3948&lt;50000,"$25k-$50k",IF(D3948&lt;75000,"$50k-$75k",IF(D3948&lt;100000,"$75k-$100k","$100k+")))))</x:f>
        <x:v>$50k-$75k</x:v>
      </x:c>
      <x:c r="P3948" t="str">
        <x:f>IF(E3948="","Unknown",IF(E3948&lt;10,"&lt;10",IF(E3948&lt;20,"10-&lt;20",IF(E3948&lt;25,"20-&lt;25",IF(E3948&lt;35,"25-&lt;35","35+")))))</x:f>
        <x:v>25-&lt;35</x:v>
      </x:c>
    </x:row>
    <x:row r="3949">
      <x:c r="A3949" t="str">
        <x:v>SYN0003948</x:v>
      </x:c>
      <x:c r="B3949" s="12" t="n">
        <x:v>42445</x:v>
      </x:c>
      <x:c r="C3949" s="18" t="n">
        <x:v>11125</x:v>
      </x:c>
      <x:c r="D3949" s="18" t="n">
        <x:v>39421</x:v>
      </x:c>
      <x:c r="E3949" s="18" t="n">
        <x:v>17.51</x:v>
      </x:c>
      <x:c r="F3949" s="18" t="n">
        <x:v>6.3</x:v>
      </x:c>
      <x:c r="G3949" t="n">
        <x:v>36</x:v>
      </x:c>
      <x:c r="H3949" t="str">
        <x:v>A</x:v>
      </x:c>
      <x:c r="I3949" t="str">
        <x:v>1-3 years</x:v>
      </x:c>
      <x:c r="J3949" t="str">
        <x:v>RENT</x:v>
      </x:c>
      <x:c r="K3949" t="str">
        <x:v>debt_consolidation</x:v>
      </x:c>
      <x:c r="L3949" t="n">
        <x:v>0</x:v>
      </x:c>
      <x:c r="M3949" t="n">
        <x:v>0</x:v>
      </x:c>
      <x:c r="N3949" t="str">
        <x:v>Fully Paid</x:v>
      </x:c>
      <x:c r="O3949" t="str">
        <x:f>IF(D3949="","Unknown",IF(D3949&lt;25000,"&lt;$25k",IF(D3949&lt;50000,"$25k-$50k",IF(D3949&lt;75000,"$50k-$75k",IF(D3949&lt;100000,"$75k-$100k","$100k+")))))</x:f>
        <x:v>$25k-$50k</x:v>
      </x:c>
      <x:c r="P3949" t="str">
        <x:f>IF(E3949="","Unknown",IF(E3949&lt;10,"&lt;10",IF(E3949&lt;20,"10-&lt;20",IF(E3949&lt;25,"20-&lt;25",IF(E3949&lt;35,"25-&lt;35","35+")))))</x:f>
        <x:v>10-&lt;20</x:v>
      </x:c>
    </x:row>
    <x:row r="3950">
      <x:c r="A3950" t="str">
        <x:v>SYN0003949</x:v>
      </x:c>
      <x:c r="B3950" s="12" t="n">
        <x:v>41335</x:v>
      </x:c>
      <x:c r="C3950" s="18" t="n">
        <x:v>26360</x:v>
      </x:c>
      <x:c r="D3950" s="18" t="n">
        <x:v>99804</x:v>
      </x:c>
      <x:c r="E3950" s="18" t="n">
        <x:v>22.13</x:v>
      </x:c>
      <x:c r="F3950" s="18" t="n">
        <x:v>17.01</x:v>
      </x:c>
      <x:c r="G3950" t="n">
        <x:v>36</x:v>
      </x:c>
      <x:c r="H3950" t="str">
        <x:v>E</x:v>
      </x:c>
      <x:c r="I3950" t="str">
        <x:v>&lt;1 year</x:v>
      </x:c>
      <x:c r="J3950" t="str">
        <x:v>RENT</x:v>
      </x:c>
      <x:c r="K3950" t="str">
        <x:v>home_improvement</x:v>
      </x:c>
      <x:c r="L3950" t="n">
        <x:v>0</x:v>
      </x:c>
      <x:c r="M3950" t="n">
        <x:v>0</x:v>
      </x:c>
      <x:c r="N3950" t="str">
        <x:v>Fully Paid</x:v>
      </x:c>
      <x:c r="O3950" t="str">
        <x:f>IF(D3950="","Unknown",IF(D3950&lt;25000,"&lt;$25k",IF(D3950&lt;50000,"$25k-$50k",IF(D3950&lt;75000,"$50k-$75k",IF(D3950&lt;100000,"$75k-$100k","$100k+")))))</x:f>
        <x:v>$75k-$100k</x:v>
      </x:c>
      <x:c r="P3950" t="str">
        <x:f>IF(E3950="","Unknown",IF(E3950&lt;10,"&lt;10",IF(E3950&lt;20,"10-&lt;20",IF(E3950&lt;25,"20-&lt;25",IF(E3950&lt;35,"25-&lt;35","35+")))))</x:f>
        <x:v>20-&lt;25</x:v>
      </x:c>
    </x:row>
    <x:row r="3951">
      <x:c r="A3951" t="str">
        <x:v>SYN0003950</x:v>
      </x:c>
      <x:c r="B3951" s="12" t="n">
        <x:v>42205</x:v>
      </x:c>
      <x:c r="C3951" s="18" t="n">
        <x:v>16525</x:v>
      </x:c>
      <x:c r="D3951" s="18" t="n">
        <x:v>17179</x:v>
      </x:c>
      <x:c r="E3951" s="18" t="n">
        <x:v>13.45</x:v>
      </x:c>
      <x:c r="F3951" s="18" t="n">
        <x:v>6.1</x:v>
      </x:c>
      <x:c r="G3951" t="n">
        <x:v>60</x:v>
      </x:c>
      <x:c r="H3951" t="str">
        <x:v>B</x:v>
      </x:c>
      <x:c r="I3951" t="str">
        <x:v>4-6 years</x:v>
      </x:c>
      <x:c r="J3951" t="str">
        <x:v>RENT</x:v>
      </x:c>
      <x:c r="K3951" t="str">
        <x:v>credit_card</x:v>
      </x:c>
      <x:c r="L3951" t="n">
        <x:v>1</x:v>
      </x:c>
      <x:c r="M3951" t="n">
        <x:v>0</x:v>
      </x:c>
      <x:c r="N3951" t="str">
        <x:v>Fully Paid</x:v>
      </x:c>
      <x:c r="O3951" t="str">
        <x:f>IF(D3951="","Unknown",IF(D3951&lt;25000,"&lt;$25k",IF(D3951&lt;50000,"$25k-$50k",IF(D3951&lt;75000,"$50k-$75k",IF(D3951&lt;100000,"$75k-$100k","$100k+")))))</x:f>
        <x:v>&lt;$25k</x:v>
      </x:c>
      <x:c r="P3951" t="str">
        <x:f>IF(E3951="","Unknown",IF(E3951&lt;10,"&lt;10",IF(E3951&lt;20,"10-&lt;20",IF(E3951&lt;25,"20-&lt;25",IF(E3951&lt;35,"25-&lt;35","35+")))))</x:f>
        <x:v>10-&lt;20</x:v>
      </x:c>
    </x:row>
    <x:row r="3952">
      <x:c r="A3952" t="str">
        <x:v>SYN0003951</x:v>
      </x:c>
      <x:c r="B3952" s="12" t="n">
        <x:v>42205</x:v>
      </x:c>
      <x:c r="C3952" s="18" t="n">
        <x:v>23056</x:v>
      </x:c>
      <x:c r="D3952" s="18" t="n">
        <x:v>14892</x:v>
      </x:c>
      <x:c r="E3952" s="18" t="n">
        <x:v>25.79</x:v>
      </x:c>
      <x:c r="F3952" s="18" t="n">
        <x:v>9.22</x:v>
      </x:c>
      <x:c r="G3952" t="n">
        <x:v>60</x:v>
      </x:c>
      <x:c r="H3952" t="str">
        <x:v>C</x:v>
      </x:c>
      <x:c r="I3952" t="str">
        <x:v>4-6 years</x:v>
      </x:c>
      <x:c r="J3952" t="str">
        <x:v>OWN</x:v>
      </x:c>
      <x:c r="K3952" t="str">
        <x:v>other</x:v>
      </x:c>
      <x:c r="L3952" t="n">
        <x:v>0</x:v>
      </x:c>
      <x:c r="M3952" t="n">
        <x:v>0</x:v>
      </x:c>
      <x:c r="N3952" t="str">
        <x:v>Fully Paid</x:v>
      </x:c>
      <x:c r="O3952" t="str">
        <x:f>IF(D3952="","Unknown",IF(D3952&lt;25000,"&lt;$25k",IF(D3952&lt;50000,"$25k-$50k",IF(D3952&lt;75000,"$50k-$75k",IF(D3952&lt;100000,"$75k-$100k","$100k+")))))</x:f>
        <x:v>&lt;$25k</x:v>
      </x:c>
      <x:c r="P3952" t="str">
        <x:f>IF(E3952="","Unknown",IF(E3952&lt;10,"&lt;10",IF(E3952&lt;20,"10-&lt;20",IF(E3952&lt;25,"20-&lt;25",IF(E3952&lt;35,"25-&lt;35","35+")))))</x:f>
        <x:v>25-&lt;35</x:v>
      </x:c>
    </x:row>
    <x:row r="3953">
      <x:c r="A3953" t="str">
        <x:v>SYN0003952</x:v>
      </x:c>
      <x:c r="B3953" s="12" t="n">
        <x:v>41275</x:v>
      </x:c>
      <x:c r="C3953" s="18" t="n">
        <x:v>26394</x:v>
      </x:c>
      <x:c r="D3953" s="18" t="n">
        <x:v>33357</x:v>
      </x:c>
      <x:c r="E3953" s="18" t="n">
        <x:v>33.97</x:v>
      </x:c>
      <x:c r="F3953" s="18" t="n">
        <x:v>11.38</x:v>
      </x:c>
      <x:c r="G3953" t="n">
        <x:v>36</x:v>
      </x:c>
      <x:c r="H3953" t="str">
        <x:v>C</x:v>
      </x:c>
      <x:c r="I3953" t="str">
        <x:v>4-6 years</x:v>
      </x:c>
      <x:c r="J3953" t="str">
        <x:v>MORTGAGE</x:v>
      </x:c>
      <x:c r="K3953" t="str">
        <x:v>other</x:v>
      </x:c>
      <x:c r="L3953" t="n">
        <x:v>0</x:v>
      </x:c>
      <x:c r="M3953" t="n">
        <x:v>0</x:v>
      </x:c>
      <x:c r="N3953" t="str">
        <x:v>Fully Paid</x:v>
      </x:c>
      <x:c r="O3953" t="str">
        <x:f>IF(D3953="","Unknown",IF(D3953&lt;25000,"&lt;$25k",IF(D3953&lt;50000,"$25k-$50k",IF(D3953&lt;75000,"$50k-$75k",IF(D3953&lt;100000,"$75k-$100k","$100k+")))))</x:f>
        <x:v>$25k-$50k</x:v>
      </x:c>
      <x:c r="P3953" t="str">
        <x:f>IF(E3953="","Unknown",IF(E3953&lt;10,"&lt;10",IF(E3953&lt;20,"10-&lt;20",IF(E3953&lt;25,"20-&lt;25",IF(E3953&lt;35,"25-&lt;35","35+")))))</x:f>
        <x:v>25-&lt;35</x:v>
      </x:c>
    </x:row>
    <x:row r="3954">
      <x:c r="A3954" t="str">
        <x:v>SYN0003953</x:v>
      </x:c>
      <x:c r="B3954" s="12" t="n">
        <x:v>41305</x:v>
      </x:c>
      <x:c r="C3954" s="18" t="n">
        <x:v>12481</x:v>
      </x:c>
      <x:c r="D3954" s="18" t="n">
        <x:v>84397</x:v>
      </x:c>
      <x:c r="E3954" s="18" t="n">
        <x:v>9.73</x:v>
      </x:c>
      <x:c r="F3954" s="18" t="n">
        <x:v>18.94</x:v>
      </x:c>
      <x:c r="G3954" t="n">
        <x:v>60</x:v>
      </x:c>
      <x:c r="H3954" t="str">
        <x:v>E</x:v>
      </x:c>
      <x:c r="I3954" t="str">
        <x:v>&lt;1 year</x:v>
      </x:c>
      <x:c r="J3954" t="str">
        <x:v>RENT</x:v>
      </x:c>
      <x:c r="K3954" t="str">
        <x:v>debt_consolidation</x:v>
      </x:c>
      <x:c r="L3954" t="n">
        <x:v>1</x:v>
      </x:c>
      <x:c r="M3954" t="n">
        <x:v>0</x:v>
      </x:c>
      <x:c r="N3954" t="str">
        <x:v>Fully Paid</x:v>
      </x:c>
      <x:c r="O3954" t="str">
        <x:f>IF(D3954="","Unknown",IF(D3954&lt;25000,"&lt;$25k",IF(D3954&lt;50000,"$25k-$50k",IF(D3954&lt;75000,"$50k-$75k",IF(D3954&lt;100000,"$75k-$100k","$100k+")))))</x:f>
        <x:v>$75k-$100k</x:v>
      </x:c>
      <x:c r="P3954" t="str">
        <x:f>IF(E3954="","Unknown",IF(E3954&lt;10,"&lt;10",IF(E3954&lt;20,"10-&lt;20",IF(E3954&lt;25,"20-&lt;25",IF(E3954&lt;35,"25-&lt;35","35+")))))</x:f>
        <x:v>&lt;10</x:v>
      </x:c>
    </x:row>
    <x:row r="3955">
      <x:c r="A3955" t="str">
        <x:v>SYN0003954</x:v>
      </x:c>
      <x:c r="B3955" s="12" t="n">
        <x:v>41665</x:v>
      </x:c>
      <x:c r="C3955" s="18" t="n">
        <x:v>6833</x:v>
      </x:c>
      <x:c r="D3955" s="18" t="n">
        <x:v>122975</x:v>
      </x:c>
      <x:c r="E3955" s="18" t="n">
        <x:v>23.57</x:v>
      </x:c>
      <x:c r="F3955" s="18" t="n">
        <x:v>9.06</x:v>
      </x:c>
      <x:c r="G3955" t="n">
        <x:v>36</x:v>
      </x:c>
      <x:c r="H3955" t="str">
        <x:v>B</x:v>
      </x:c>
      <x:c r="I3955" t="str">
        <x:v>10+ years</x:v>
      </x:c>
      <x:c r="J3955" t="str">
        <x:v>MORTGAGE</x:v>
      </x:c>
      <x:c r="K3955" t="str">
        <x:v>credit_card</x:v>
      </x:c>
      <x:c r="L3955" t="n">
        <x:v>1</x:v>
      </x:c>
      <x:c r="M3955" t="n">
        <x:v>0</x:v>
      </x:c>
      <x:c r="N3955" t="str">
        <x:v>Fully Paid</x:v>
      </x:c>
      <x:c r="O3955" t="str">
        <x:f>IF(D3955="","Unknown",IF(D3955&lt;25000,"&lt;$25k",IF(D3955&lt;50000,"$25k-$50k",IF(D3955&lt;75000,"$50k-$75k",IF(D3955&lt;100000,"$75k-$100k","$100k+")))))</x:f>
        <x:v>$100k+</x:v>
      </x:c>
      <x:c r="P3955" t="str">
        <x:f>IF(E3955="","Unknown",IF(E3955&lt;10,"&lt;10",IF(E3955&lt;20,"10-&lt;20",IF(E3955&lt;25,"20-&lt;25",IF(E3955&lt;35,"25-&lt;35","35+")))))</x:f>
        <x:v>20-&lt;25</x:v>
      </x:c>
    </x:row>
    <x:row r="3956">
      <x:c r="A3956" t="str">
        <x:v>SYN0003955</x:v>
      </x:c>
      <x:c r="B3956" s="12" t="n">
        <x:v>41965</x:v>
      </x:c>
      <x:c r="C3956" s="18" t="n">
        <x:v>10956</x:v>
      </x:c>
      <x:c r="D3956" s="18" t="n">
        <x:v>33412</x:v>
      </x:c>
      <x:c r="E3956" s="18" t="n">
        <x:v>5.99</x:v>
      </x:c>
      <x:c r="F3956" s="18" t="n">
        <x:v>9.44</x:v>
      </x:c>
      <x:c r="G3956" t="n">
        <x:v>36</x:v>
      </x:c>
      <x:c r="H3956" t="str">
        <x:v>B</x:v>
      </x:c>
      <x:c r="I3956" t="str">
        <x:v>7-9 years</x:v>
      </x:c>
      <x:c r="J3956" t="str">
        <x:v>MORTGAGE</x:v>
      </x:c>
      <x:c r="K3956" t="str">
        <x:v>debt_consolidation</x:v>
      </x:c>
      <x:c r="L3956" t="n">
        <x:v>0</x:v>
      </x:c>
      <x:c r="M3956" t="n">
        <x:v>0</x:v>
      </x:c>
      <x:c r="N3956" t="str">
        <x:v>Fully Paid</x:v>
      </x:c>
      <x:c r="O3956" t="str">
        <x:f>IF(D3956="","Unknown",IF(D3956&lt;25000,"&lt;$25k",IF(D3956&lt;50000,"$25k-$50k",IF(D3956&lt;75000,"$50k-$75k",IF(D3956&lt;100000,"$75k-$100k","$100k+")))))</x:f>
        <x:v>$25k-$50k</x:v>
      </x:c>
      <x:c r="P3956" t="str">
        <x:f>IF(E3956="","Unknown",IF(E3956&lt;10,"&lt;10",IF(E3956&lt;20,"10-&lt;20",IF(E3956&lt;25,"20-&lt;25",IF(E3956&lt;35,"25-&lt;35","35+")))))</x:f>
        <x:v>&lt;10</x:v>
      </x:c>
    </x:row>
    <x:row r="3957">
      <x:c r="A3957" t="str">
        <x:v>SYN0003956</x:v>
      </x:c>
      <x:c r="B3957" s="12" t="n">
        <x:v>42625</x:v>
      </x:c>
      <x:c r="C3957" s="18" t="n">
        <x:v>29716</x:v>
      </x:c>
      <x:c r="D3957" s="18" t="n">
        <x:v>36930</x:v>
      </x:c>
      <x:c r="E3957" s="18" t="n">
        <x:v>22.05</x:v>
      </x:c>
      <x:c r="F3957" s="18" t="n">
        <x:v>5.45</x:v>
      </x:c>
      <x:c r="G3957" t="n">
        <x:v>36</x:v>
      </x:c>
      <x:c r="H3957" t="str">
        <x:v>B</x:v>
      </x:c>
      <x:c r="I3957" t="str">
        <x:v>4-6 years</x:v>
      </x:c>
      <x:c r="J3957" t="str">
        <x:v>MORTGAGE</x:v>
      </x:c>
      <x:c r="K3957" t="str">
        <x:v>home_improvement</x:v>
      </x:c>
      <x:c r="L3957" t="n">
        <x:v>0</x:v>
      </x:c>
      <x:c r="M3957" t="n">
        <x:v>0</x:v>
      </x:c>
      <x:c r="N3957" t="str">
        <x:v>Fully Paid</x:v>
      </x:c>
      <x:c r="O3957" t="str">
        <x:f>IF(D3957="","Unknown",IF(D3957&lt;25000,"&lt;$25k",IF(D3957&lt;50000,"$25k-$50k",IF(D3957&lt;75000,"$50k-$75k",IF(D3957&lt;100000,"$75k-$100k","$100k+")))))</x:f>
        <x:v>$25k-$50k</x:v>
      </x:c>
      <x:c r="P3957" t="str">
        <x:f>IF(E3957="","Unknown",IF(E3957&lt;10,"&lt;10",IF(E3957&lt;20,"10-&lt;20",IF(E3957&lt;25,"20-&lt;25",IF(E3957&lt;35,"25-&lt;35","35+")))))</x:f>
        <x:v>20-&lt;25</x:v>
      </x:c>
    </x:row>
    <x:row r="3958">
      <x:c r="A3958" t="str">
        <x:v>SYN0003957</x:v>
      </x:c>
      <x:c r="B3958" s="12" t="n">
        <x:v>42565</x:v>
      </x:c>
      <x:c r="C3958" s="18" t="n">
        <x:v>29320</x:v>
      </x:c>
      <x:c r="D3958" s="18" t="n">
        <x:v>56249</x:v>
      </x:c>
      <x:c r="E3958" s="18" t="n">
        <x:v>26.22</x:v>
      </x:c>
      <x:c r="F3958" s="18" t="n">
        <x:v>13.8</x:v>
      </x:c>
      <x:c r="G3958" t="n">
        <x:v>36</x:v>
      </x:c>
      <x:c r="H3958" t="str">
        <x:v>C</x:v>
      </x:c>
      <x:c r="I3958" t="str">
        <x:v>10+ years</x:v>
      </x:c>
      <x:c r="J3958" t="str">
        <x:v>OWN</x:v>
      </x:c>
      <x:c r="K3958" t="str">
        <x:v>home_improvement</x:v>
      </x:c>
      <x:c r="L3958" t="n">
        <x:v>0</x:v>
      </x:c>
      <x:c r="M3958" t="n">
        <x:v>0</x:v>
      </x:c>
      <x:c r="N3958" t="str">
        <x:v>Fully Paid</x:v>
      </x:c>
      <x:c r="O3958" t="str">
        <x:f>IF(D3958="","Unknown",IF(D3958&lt;25000,"&lt;$25k",IF(D3958&lt;50000,"$25k-$50k",IF(D3958&lt;75000,"$50k-$75k",IF(D3958&lt;100000,"$75k-$100k","$100k+")))))</x:f>
        <x:v>$50k-$75k</x:v>
      </x:c>
      <x:c r="P3958" t="str">
        <x:f>IF(E3958="","Unknown",IF(E3958&lt;10,"&lt;10",IF(E3958&lt;20,"10-&lt;20",IF(E3958&lt;25,"20-&lt;25",IF(E3958&lt;35,"25-&lt;35","35+")))))</x:f>
        <x:v>25-&lt;35</x:v>
      </x:c>
    </x:row>
    <x:row r="3959">
      <x:c r="A3959" t="str">
        <x:v>SYN0003958</x:v>
      </x:c>
      <x:c r="B3959" s="12" t="n">
        <x:v>42205</x:v>
      </x:c>
      <x:c r="C3959" s="18" t="n">
        <x:v>8445</x:v>
      </x:c>
      <x:c r="D3959" s="18" t="n">
        <x:v>15448</x:v>
      </x:c>
      <x:c r="E3959" s="18" t="n">
        <x:v>22.46</x:v>
      </x:c>
      <x:c r="F3959" s="18" t="n">
        <x:v>7.22</x:v>
      </x:c>
      <x:c r="G3959" t="n">
        <x:v>36</x:v>
      </x:c>
      <x:c r="H3959" t="str">
        <x:v>B</x:v>
      </x:c>
      <x:c r="I3959" t="str">
        <x:v>1-3 years</x:v>
      </x:c>
      <x:c r="J3959" t="str">
        <x:v>RENT</x:v>
      </x:c>
      <x:c r="K3959" t="str">
        <x:v>debt_consolidation</x:v>
      </x:c>
      <x:c r="L3959" t="n">
        <x:v>0</x:v>
      </x:c>
      <x:c r="M3959" t="n">
        <x:v>0</x:v>
      </x:c>
      <x:c r="N3959" t="str">
        <x:v>Fully Paid</x:v>
      </x:c>
      <x:c r="O3959" t="str">
        <x:f>IF(D3959="","Unknown",IF(D3959&lt;25000,"&lt;$25k",IF(D3959&lt;50000,"$25k-$50k",IF(D3959&lt;75000,"$50k-$75k",IF(D3959&lt;100000,"$75k-$100k","$100k+")))))</x:f>
        <x:v>&lt;$25k</x:v>
      </x:c>
      <x:c r="P3959" t="str">
        <x:f>IF(E3959="","Unknown",IF(E3959&lt;10,"&lt;10",IF(E3959&lt;20,"10-&lt;20",IF(E3959&lt;25,"20-&lt;25",IF(E3959&lt;35,"25-&lt;35","35+")))))</x:f>
        <x:v>20-&lt;25</x:v>
      </x:c>
    </x:row>
    <x:row r="3960">
      <x:c r="A3960" t="str">
        <x:v>SYN0003959</x:v>
      </x:c>
      <x:c r="B3960" s="12" t="n">
        <x:v>42565</x:v>
      </x:c>
      <x:c r="C3960" s="18" t="n">
        <x:v>7669</x:v>
      </x:c>
      <x:c r="D3960" s="18" t="n">
        <x:v>72303</x:v>
      </x:c>
      <x:c r="E3960" s="18" t="n">
        <x:v>18.09</x:v>
      </x:c>
      <x:c r="F3960" s="18" t="n">
        <x:v>17.85</x:v>
      </x:c>
      <x:c r="G3960" t="n">
        <x:v>36</x:v>
      </x:c>
      <x:c r="H3960" t="str">
        <x:v>E</x:v>
      </x:c>
      <x:c r="I3960" t="str">
        <x:v>4-6 years</x:v>
      </x:c>
      <x:c r="J3960" t="str">
        <x:v>MORTGAGE</x:v>
      </x:c>
      <x:c r="K3960" t="str">
        <x:v>debt_consolidation</x:v>
      </x:c>
      <x:c r="L3960" t="n">
        <x:v>0</x:v>
      </x:c>
      <x:c r="M3960" t="n">
        <x:v>0</x:v>
      </x:c>
      <x:c r="N3960" t="str">
        <x:v>Fully Paid</x:v>
      </x:c>
      <x:c r="O3960" t="str">
        <x:f>IF(D3960="","Unknown",IF(D3960&lt;25000,"&lt;$25k",IF(D3960&lt;50000,"$25k-$50k",IF(D3960&lt;75000,"$50k-$75k",IF(D3960&lt;100000,"$75k-$100k","$100k+")))))</x:f>
        <x:v>$50k-$75k</x:v>
      </x:c>
      <x:c r="P3960" t="str">
        <x:f>IF(E3960="","Unknown",IF(E3960&lt;10,"&lt;10",IF(E3960&lt;20,"10-&lt;20",IF(E3960&lt;25,"20-&lt;25",IF(E3960&lt;35,"25-&lt;35","35+")))))</x:f>
        <x:v>10-&lt;20</x:v>
      </x:c>
    </x:row>
    <x:row r="3961">
      <x:c r="A3961" t="str">
        <x:v>SYN0003960</x:v>
      </x:c>
      <x:c r="B3961" s="12" t="n">
        <x:v>41575</x:v>
      </x:c>
      <x:c r="C3961" s="18" t="n">
        <x:v>10187</x:v>
      </x:c>
      <x:c r="D3961" s="18" t="n">
        <x:v>38428</x:v>
      </x:c>
      <x:c r="E3961" s="18" t="n">
        <x:v>25.98</x:v>
      </x:c>
      <x:c r="F3961" s="18" t="n">
        <x:v>15.32</x:v>
      </x:c>
      <x:c r="G3961" t="n">
        <x:v>36</x:v>
      </x:c>
      <x:c r="H3961" t="str">
        <x:v>E</x:v>
      </x:c>
      <x:c r="I3961" t="str">
        <x:v>4-6 years</x:v>
      </x:c>
      <x:c r="J3961" t="str">
        <x:v>RENT</x:v>
      </x:c>
      <x:c r="K3961" t="str">
        <x:v>credit_card</x:v>
      </x:c>
      <x:c r="L3961" t="n">
        <x:v>3</x:v>
      </x:c>
      <x:c r="M3961" t="n">
        <x:v>0</x:v>
      </x:c>
      <x:c r="N3961" t="str">
        <x:v>Fully Paid</x:v>
      </x:c>
      <x:c r="O3961" t="str">
        <x:f>IF(D3961="","Unknown",IF(D3961&lt;25000,"&lt;$25k",IF(D3961&lt;50000,"$25k-$50k",IF(D3961&lt;75000,"$50k-$75k",IF(D3961&lt;100000,"$75k-$100k","$100k+")))))</x:f>
        <x:v>$25k-$50k</x:v>
      </x:c>
      <x:c r="P3961" t="str">
        <x:f>IF(E3961="","Unknown",IF(E3961&lt;10,"&lt;10",IF(E3961&lt;20,"10-&lt;20",IF(E3961&lt;25,"20-&lt;25",IF(E3961&lt;35,"25-&lt;35","35+")))))</x:f>
        <x:v>25-&lt;35</x:v>
      </x:c>
    </x:row>
    <x:row r="3962">
      <x:c r="A3962" t="str">
        <x:v>SYN0003961</x:v>
      </x:c>
      <x:c r="B3962" s="12" t="n">
        <x:v>42895</x:v>
      </x:c>
      <x:c r="C3962" s="18" t="n">
        <x:v>23490</x:v>
      </x:c>
      <x:c r="D3962" s="18" t="n">
        <x:v>42582</x:v>
      </x:c>
      <x:c r="E3962" s="18" t="n">
        <x:v>25.73</x:v>
      </x:c>
      <x:c r="F3962" s="18" t="n">
        <x:v>23.18</x:v>
      </x:c>
      <x:c r="G3962" t="n">
        <x:v>36</x:v>
      </x:c>
      <x:c r="H3962" t="str">
        <x:v>F</x:v>
      </x:c>
      <x:c r="I3962" t="str">
        <x:v>&lt;1 year</x:v>
      </x:c>
      <x:c r="J3962" t="str">
        <x:v>MORTGAGE</x:v>
      </x:c>
      <x:c r="K3962" t="str">
        <x:v>credit_card</x:v>
      </x:c>
      <x:c r="L3962" t="n">
        <x:v>0</x:v>
      </x:c>
      <x:c r="M3962" t="n">
        <x:v>0</x:v>
      </x:c>
      <x:c r="N3962" t="str">
        <x:v>Fully Paid</x:v>
      </x:c>
      <x:c r="O3962" t="str">
        <x:f>IF(D3962="","Unknown",IF(D3962&lt;25000,"&lt;$25k",IF(D3962&lt;50000,"$25k-$50k",IF(D3962&lt;75000,"$50k-$75k",IF(D3962&lt;100000,"$75k-$100k","$100k+")))))</x:f>
        <x:v>$25k-$50k</x:v>
      </x:c>
      <x:c r="P3962" t="str">
        <x:f>IF(E3962="","Unknown",IF(E3962&lt;10,"&lt;10",IF(E3962&lt;20,"10-&lt;20",IF(E3962&lt;25,"20-&lt;25",IF(E3962&lt;35,"25-&lt;35","35+")))))</x:f>
        <x:v>25-&lt;35</x:v>
      </x:c>
    </x:row>
    <x:row r="3963">
      <x:c r="A3963" t="str">
        <x:v>SYN0003962</x:v>
      </x:c>
      <x:c r="B3963" s="12" t="n">
        <x:v>42475</x:v>
      </x:c>
      <x:c r="C3963" s="18" t="n">
        <x:v>11125</x:v>
      </x:c>
      <x:c r="D3963" s="18" t="n">
        <x:v>30724</x:v>
      </x:c>
      <x:c r="E3963" s="18" t="n">
        <x:v>23.54</x:v>
      </x:c>
      <x:c r="F3963" s="18" t="n">
        <x:v>25.19</x:v>
      </x:c>
      <x:c r="G3963" t="n">
        <x:v>36</x:v>
      </x:c>
      <x:c r="H3963" t="str">
        <x:v>G</x:v>
      </x:c>
      <x:c r="I3963" t="str">
        <x:v>10+ years</x:v>
      </x:c>
      <x:c r="J3963" t="str">
        <x:v>MORTGAGE</x:v>
      </x:c>
      <x:c r="K3963" t="str">
        <x:v>debt_consolidation</x:v>
      </x:c>
      <x:c r="L3963" t="n">
        <x:v>1</x:v>
      </x:c>
      <x:c r="M3963" t="n">
        <x:v>0</x:v>
      </x:c>
      <x:c r="N3963" t="str">
        <x:v>Fully Paid</x:v>
      </x:c>
      <x:c r="O3963" t="str">
        <x:f>IF(D3963="","Unknown",IF(D3963&lt;25000,"&lt;$25k",IF(D3963&lt;50000,"$25k-$50k",IF(D3963&lt;75000,"$50k-$75k",IF(D3963&lt;100000,"$75k-$100k","$100k+")))))</x:f>
        <x:v>$25k-$50k</x:v>
      </x:c>
      <x:c r="P3963" t="str">
        <x:f>IF(E3963="","Unknown",IF(E3963&lt;10,"&lt;10",IF(E3963&lt;20,"10-&lt;20",IF(E3963&lt;25,"20-&lt;25",IF(E3963&lt;35,"25-&lt;35","35+")))))</x:f>
        <x:v>20-&lt;25</x:v>
      </x:c>
    </x:row>
    <x:row r="3964">
      <x:c r="A3964" t="str">
        <x:v>SYN0003963</x:v>
      </x:c>
      <x:c r="B3964" s="12" t="n">
        <x:v>42235</x:v>
      </x:c>
      <x:c r="C3964" s="18" t="n">
        <x:v>9279</x:v>
      </x:c>
      <x:c r="D3964" s="18" t="n">
        <x:v>56624</x:v>
      </x:c>
      <x:c r="E3964" s="18" t="n">
        <x:v>28.92</x:v>
      </x:c>
      <x:c r="F3964" s="18" t="n">
        <x:v>21.95</x:v>
      </x:c>
      <x:c r="G3964" t="n">
        <x:v>36</x:v>
      </x:c>
      <x:c r="H3964" t="str">
        <x:v>F</x:v>
      </x:c>
      <x:c r="I3964" t="str">
        <x:v>7-9 years</x:v>
      </x:c>
      <x:c r="J3964" t="str">
        <x:v>MORTGAGE</x:v>
      </x:c>
      <x:c r="K3964" t="str">
        <x:v>other</x:v>
      </x:c>
      <x:c r="L3964" t="n">
        <x:v>0</x:v>
      </x:c>
      <x:c r="M3964" t="n">
        <x:v>0</x:v>
      </x:c>
      <x:c r="N3964" t="str">
        <x:v>Fully Paid</x:v>
      </x:c>
      <x:c r="O3964" t="str">
        <x:f>IF(D3964="","Unknown",IF(D3964&lt;25000,"&lt;$25k",IF(D3964&lt;50000,"$25k-$50k",IF(D3964&lt;75000,"$50k-$75k",IF(D3964&lt;100000,"$75k-$100k","$100k+")))))</x:f>
        <x:v>$50k-$75k</x:v>
      </x:c>
      <x:c r="P3964" t="str">
        <x:f>IF(E3964="","Unknown",IF(E3964&lt;10,"&lt;10",IF(E3964&lt;20,"10-&lt;20",IF(E3964&lt;25,"20-&lt;25",IF(E3964&lt;35,"25-&lt;35","35+")))))</x:f>
        <x:v>25-&lt;35</x:v>
      </x:c>
    </x:row>
    <x:row r="3965">
      <x:c r="A3965" t="str">
        <x:v>SYN0003964</x:v>
      </x:c>
      <x:c r="B3965" s="12" t="n">
        <x:v>42955</x:v>
      </x:c>
      <x:c r="C3965" s="18" t="n">
        <x:v>11890</x:v>
      </x:c>
      <x:c r="D3965" s="18" t="n">
        <x:v>27253</x:v>
      </x:c>
      <x:c r="E3965" s="18" t="n">
        <x:v>6.21</x:v>
      </x:c>
      <x:c r="F3965" s="18" t="n">
        <x:v>10.74</x:v>
      </x:c>
      <x:c r="G3965" t="n">
        <x:v>60</x:v>
      </x:c>
      <x:c r="H3965" t="str">
        <x:v>B</x:v>
      </x:c>
      <x:c r="I3965" t="str">
        <x:v>1-3 years</x:v>
      </x:c>
      <x:c r="J3965" t="str">
        <x:v>RENT</x:v>
      </x:c>
      <x:c r="K3965" t="str">
        <x:v>other</x:v>
      </x:c>
      <x:c r="L3965" t="n">
        <x:v>0</x:v>
      </x:c>
      <x:c r="M3965" t="n">
        <x:v>0</x:v>
      </x:c>
      <x:c r="N3965" t="str">
        <x:v>Fully Paid</x:v>
      </x:c>
      <x:c r="O3965" t="str">
        <x:f>IF(D3965="","Unknown",IF(D3965&lt;25000,"&lt;$25k",IF(D3965&lt;50000,"$25k-$50k",IF(D3965&lt;75000,"$50k-$75k",IF(D3965&lt;100000,"$75k-$100k","$100k+")))))</x:f>
        <x:v>$25k-$50k</x:v>
      </x:c>
      <x:c r="P3965" t="str">
        <x:f>IF(E3965="","Unknown",IF(E3965&lt;10,"&lt;10",IF(E3965&lt;20,"10-&lt;20",IF(E3965&lt;25,"20-&lt;25",IF(E3965&lt;35,"25-&lt;35","35+")))))</x:f>
        <x:v>&lt;10</x:v>
      </x:c>
    </x:row>
    <x:row r="3966">
      <x:c r="A3966" t="str">
        <x:v>SYN0003965</x:v>
      </x:c>
      <x:c r="B3966" s="12" t="n">
        <x:v>42475</x:v>
      </x:c>
      <x:c r="C3966" s="18" t="n">
        <x:v>17662</x:v>
      </x:c>
      <x:c r="D3966" s="18" t="n">
        <x:v>85538</x:v>
      </x:c>
      <x:c r="E3966" s="18" t="n">
        <x:v>17.18</x:v>
      </x:c>
      <x:c r="F3966" s="18" t="n">
        <x:v>13.32</x:v>
      </x:c>
      <x:c r="G3966" t="n">
        <x:v>60</x:v>
      </x:c>
      <x:c r="H3966" t="str">
        <x:v>C</x:v>
      </x:c>
      <x:c r="I3966" t="str">
        <x:v>1-3 years</x:v>
      </x:c>
      <x:c r="J3966" t="str">
        <x:v>RENT</x:v>
      </x:c>
      <x:c r="K3966" t="str">
        <x:v>credit_card</x:v>
      </x:c>
      <x:c r="L3966" t="n">
        <x:v>1</x:v>
      </x:c>
      <x:c r="M3966" t="n">
        <x:v>0</x:v>
      </x:c>
      <x:c r="N3966" t="str">
        <x:v>Fully Paid</x:v>
      </x:c>
      <x:c r="O3966" t="str">
        <x:f>IF(D3966="","Unknown",IF(D3966&lt;25000,"&lt;$25k",IF(D3966&lt;50000,"$25k-$50k",IF(D3966&lt;75000,"$50k-$75k",IF(D3966&lt;100000,"$75k-$100k","$100k+")))))</x:f>
        <x:v>$75k-$100k</x:v>
      </x:c>
      <x:c r="P3966" t="str">
        <x:f>IF(E3966="","Unknown",IF(E3966&lt;10,"&lt;10",IF(E3966&lt;20,"10-&lt;20",IF(E3966&lt;25,"20-&lt;25",IF(E3966&lt;35,"25-&lt;35","35+")))))</x:f>
        <x:v>10-&lt;20</x:v>
      </x:c>
    </x:row>
    <x:row r="3967">
      <x:c r="A3967" t="str">
        <x:v>SYN0003966</x:v>
      </x:c>
      <x:c r="B3967" s="12" t="n">
        <x:v>43285</x:v>
      </x:c>
      <x:c r="C3967" s="18" t="n">
        <x:v>19184</x:v>
      </x:c>
      <x:c r="D3967" s="18" t="n">
        <x:v>58187</x:v>
      </x:c>
      <x:c r="E3967" s="18" t="n">
        <x:v>12.48</x:v>
      </x:c>
      <x:c r="F3967" s="18" t="n">
        <x:v>19.5</x:v>
      </x:c>
      <x:c r="G3967" t="n">
        <x:v>36</x:v>
      </x:c>
      <x:c r="H3967" t="str">
        <x:v>E</x:v>
      </x:c>
      <x:c r="I3967" t="str">
        <x:v>10+ years</x:v>
      </x:c>
      <x:c r="J3967" t="str">
        <x:v>MORTGAGE</x:v>
      </x:c>
      <x:c r="K3967" t="str">
        <x:v>other</x:v>
      </x:c>
      <x:c r="L3967" t="n">
        <x:v>0</x:v>
      </x:c>
      <x:c r="M3967" t="n">
        <x:v>0</x:v>
      </x:c>
      <x:c r="N3967" t="str">
        <x:v>Fully Paid</x:v>
      </x:c>
      <x:c r="O3967" t="str">
        <x:f>IF(D3967="","Unknown",IF(D3967&lt;25000,"&lt;$25k",IF(D3967&lt;50000,"$25k-$50k",IF(D3967&lt;75000,"$50k-$75k",IF(D3967&lt;100000,"$75k-$100k","$100k+")))))</x:f>
        <x:v>$50k-$75k</x:v>
      </x:c>
      <x:c r="P3967" t="str">
        <x:f>IF(E3967="","Unknown",IF(E3967&lt;10,"&lt;10",IF(E3967&lt;20,"10-&lt;20",IF(E3967&lt;25,"20-&lt;25",IF(E3967&lt;35,"25-&lt;35","35+")))))</x:f>
        <x:v>10-&lt;20</x:v>
      </x:c>
    </x:row>
    <x:row r="3968">
      <x:c r="A3968" t="str">
        <x:v>SYN0003967</x:v>
      </x:c>
      <x:c r="B3968" s="12" t="n">
        <x:v>43165</x:v>
      </x:c>
      <x:c r="C3968" s="18" t="n">
        <x:v>14391</x:v>
      </x:c>
      <x:c r="D3968" s="18" t="n">
        <x:v>56915</x:v>
      </x:c>
      <x:c r="E3968" s="18" t="n">
        <x:v>25.45</x:v>
      </x:c>
      <x:c r="F3968" s="18" t="n">
        <x:v>9.58</x:v>
      </x:c>
      <x:c r="G3968" t="n">
        <x:v>36</x:v>
      </x:c>
      <x:c r="H3968" t="str">
        <x:v>B</x:v>
      </x:c>
      <x:c r="I3968" t="str">
        <x:v>1-3 years</x:v>
      </x:c>
      <x:c r="J3968" t="str">
        <x:v>MORTGAGE</x:v>
      </x:c>
      <x:c r="K3968" t="str">
        <x:v>debt_consolidation</x:v>
      </x:c>
      <x:c r="L3968" t="n">
        <x:v>0</x:v>
      </x:c>
      <x:c r="M3968" t="n">
        <x:v>0</x:v>
      </x:c>
      <x:c r="N3968" t="str">
        <x:v>Fully Paid</x:v>
      </x:c>
      <x:c r="O3968" t="str">
        <x:f>IF(D3968="","Unknown",IF(D3968&lt;25000,"&lt;$25k",IF(D3968&lt;50000,"$25k-$50k",IF(D3968&lt;75000,"$50k-$75k",IF(D3968&lt;100000,"$75k-$100k","$100k+")))))</x:f>
        <x:v>$50k-$75k</x:v>
      </x:c>
      <x:c r="P3968" t="str">
        <x:f>IF(E3968="","Unknown",IF(E3968&lt;10,"&lt;10",IF(E3968&lt;20,"10-&lt;20",IF(E3968&lt;25,"20-&lt;25",IF(E3968&lt;35,"25-&lt;35","35+")))))</x:f>
        <x:v>25-&lt;35</x:v>
      </x:c>
    </x:row>
    <x:row r="3969">
      <x:c r="A3969" t="str">
        <x:v>SYN0003968</x:v>
      </x:c>
      <x:c r="B3969" s="12" t="n">
        <x:v>41785</x:v>
      </x:c>
      <x:c r="C3969" s="18" t="n">
        <x:v>15509</x:v>
      </x:c>
      <x:c r="D3969" s="18" t="n">
        <x:v>130970</x:v>
      </x:c>
      <x:c r="E3969" s="18" t="n">
        <x:v>7.2</x:v>
      </x:c>
      <x:c r="F3969" s="18" t="n">
        <x:v>11.9</x:v>
      </x:c>
      <x:c r="G3969" t="n">
        <x:v>36</x:v>
      </x:c>
      <x:c r="H3969" t="str">
        <x:v>C</x:v>
      </x:c>
      <x:c r="I3969" t="str">
        <x:v>4-6 years</x:v>
      </x:c>
      <x:c r="J3969" t="str">
        <x:v>MORTGAGE</x:v>
      </x:c>
      <x:c r="K3969" t="str">
        <x:v>debt_consolidation</x:v>
      </x:c>
      <x:c r="L3969" t="n">
        <x:v>0</x:v>
      </x:c>
      <x:c r="M3969" t="n">
        <x:v>0</x:v>
      </x:c>
      <x:c r="N3969" t="str">
        <x:v>Fully Paid</x:v>
      </x:c>
      <x:c r="O3969" t="str">
        <x:f>IF(D3969="","Unknown",IF(D3969&lt;25000,"&lt;$25k",IF(D3969&lt;50000,"$25k-$50k",IF(D3969&lt;75000,"$50k-$75k",IF(D3969&lt;100000,"$75k-$100k","$100k+")))))</x:f>
        <x:v>$100k+</x:v>
      </x:c>
      <x:c r="P3969" t="str">
        <x:f>IF(E3969="","Unknown",IF(E3969&lt;10,"&lt;10",IF(E3969&lt;20,"10-&lt;20",IF(E3969&lt;25,"20-&lt;25",IF(E3969&lt;35,"25-&lt;35","35+")))))</x:f>
        <x:v>&lt;10</x:v>
      </x:c>
    </x:row>
    <x:row r="3970">
      <x:c r="A3970" t="str">
        <x:v>SYN0003969</x:v>
      </x:c>
      <x:c r="B3970" s="12" t="n">
        <x:v>41965</x:v>
      </x:c>
      <x:c r="C3970" s="18" t="n">
        <x:v>18919</x:v>
      </x:c>
      <x:c r="D3970" s="18" t="n">
        <x:v>40139</x:v>
      </x:c>
      <x:c r="E3970" s="18" t="n">
        <x:v>25.78</x:v>
      </x:c>
      <x:c r="F3970" s="18" t="n">
        <x:v>15.69</x:v>
      </x:c>
      <x:c r="G3970" t="n">
        <x:v>36</x:v>
      </x:c>
      <x:c r="H3970" t="str">
        <x:v>E</x:v>
      </x:c>
      <x:c r="I3970" t="str">
        <x:v>4-6 years</x:v>
      </x:c>
      <x:c r="J3970" t="str">
        <x:v>RENT</x:v>
      </x:c>
      <x:c r="K3970" t="str">
        <x:v>debt_consolidation</x:v>
      </x:c>
      <x:c r="L3970" t="n">
        <x:v>0</x:v>
      </x:c>
      <x:c r="M3970" t="n">
        <x:v>0</x:v>
      </x:c>
      <x:c r="N3970" t="str">
        <x:v>Fully Paid</x:v>
      </x:c>
      <x:c r="O3970" t="str">
        <x:f>IF(D3970="","Unknown",IF(D3970&lt;25000,"&lt;$25k",IF(D3970&lt;50000,"$25k-$50k",IF(D3970&lt;75000,"$50k-$75k",IF(D3970&lt;100000,"$75k-$100k","$100k+")))))</x:f>
        <x:v>$25k-$50k</x:v>
      </x:c>
      <x:c r="P3970" t="str">
        <x:f>IF(E3970="","Unknown",IF(E3970&lt;10,"&lt;10",IF(E3970&lt;20,"10-&lt;20",IF(E3970&lt;25,"20-&lt;25",IF(E3970&lt;35,"25-&lt;35","35+")))))</x:f>
        <x:v>25-&lt;35</x:v>
      </x:c>
    </x:row>
    <x:row r="3971">
      <x:c r="A3971" t="str">
        <x:v>SYN0003970</x:v>
      </x:c>
      <x:c r="B3971" s="12" t="n">
        <x:v>41575</x:v>
      </x:c>
      <x:c r="C3971" s="18" t="n">
        <x:v>15284</x:v>
      </x:c>
      <x:c r="D3971" s="18" t="n">
        <x:v>121957</x:v>
      </x:c>
      <x:c r="E3971" s="18" t="n">
        <x:v>21.73</x:v>
      </x:c>
      <x:c r="F3971" s="18" t="n">
        <x:v>9.84</x:v>
      </x:c>
      <x:c r="G3971" t="n">
        <x:v>36</x:v>
      </x:c>
      <x:c r="H3971" t="str">
        <x:v>C</x:v>
      </x:c>
      <x:c r="I3971" t="str">
        <x:v>&lt;1 year</x:v>
      </x:c>
      <x:c r="J3971" t="str">
        <x:v>MORTGAGE</x:v>
      </x:c>
      <x:c r="K3971" t="str">
        <x:v>credit_card</x:v>
      </x:c>
      <x:c r="L3971" t="n">
        <x:v>0</x:v>
      </x:c>
      <x:c r="M3971" t="n">
        <x:v>0</x:v>
      </x:c>
      <x:c r="N3971" t="str">
        <x:v>Fully Paid</x:v>
      </x:c>
      <x:c r="O3971" t="str">
        <x:f>IF(D3971="","Unknown",IF(D3971&lt;25000,"&lt;$25k",IF(D3971&lt;50000,"$25k-$50k",IF(D3971&lt;75000,"$50k-$75k",IF(D3971&lt;100000,"$75k-$100k","$100k+")))))</x:f>
        <x:v>$100k+</x:v>
      </x:c>
      <x:c r="P3971" t="str">
        <x:f>IF(E3971="","Unknown",IF(E3971&lt;10,"&lt;10",IF(E3971&lt;20,"10-&lt;20",IF(E3971&lt;25,"20-&lt;25",IF(E3971&lt;35,"25-&lt;35","35+")))))</x:f>
        <x:v>20-&lt;25</x:v>
      </x:c>
    </x:row>
    <x:row r="3972">
      <x:c r="A3972" t="str">
        <x:v>SYN0003971</x:v>
      </x:c>
      <x:c r="B3972" s="12" t="n">
        <x:v>42295</x:v>
      </x:c>
      <x:c r="C3972" s="18" t="n">
        <x:v>14796</x:v>
      </x:c>
      <x:c r="D3972" s="18" t="n">
        <x:v>18230</x:v>
      </x:c>
      <x:c r="E3972" s="18" t="n">
        <x:v>23.61</x:v>
      </x:c>
      <x:c r="F3972" s="18" t="n">
        <x:v>13.49</x:v>
      </x:c>
      <x:c r="G3972" t="n">
        <x:v>36</x:v>
      </x:c>
      <x:c r="H3972" t="str">
        <x:v>C</x:v>
      </x:c>
      <x:c r="I3972" t="str">
        <x:v>&lt;1 year</x:v>
      </x:c>
      <x:c r="J3972" t="str">
        <x:v>MORTGAGE</x:v>
      </x:c>
      <x:c r="K3972" t="str">
        <x:v>major_purchase</x:v>
      </x:c>
      <x:c r="L3972" t="n">
        <x:v>0</x:v>
      </x:c>
      <x:c r="M3972" t="n">
        <x:v>0</x:v>
      </x:c>
      <x:c r="N3972" t="str">
        <x:v>Fully Paid</x:v>
      </x:c>
      <x:c r="O3972" t="str">
        <x:f>IF(D3972="","Unknown",IF(D3972&lt;25000,"&lt;$25k",IF(D3972&lt;50000,"$25k-$50k",IF(D3972&lt;75000,"$50k-$75k",IF(D3972&lt;100000,"$75k-$100k","$100k+")))))</x:f>
        <x:v>&lt;$25k</x:v>
      </x:c>
      <x:c r="P3972" t="str">
        <x:f>IF(E3972="","Unknown",IF(E3972&lt;10,"&lt;10",IF(E3972&lt;20,"10-&lt;20",IF(E3972&lt;25,"20-&lt;25",IF(E3972&lt;35,"25-&lt;35","35+")))))</x:f>
        <x:v>20-&lt;25</x:v>
      </x:c>
    </x:row>
    <x:row r="3973">
      <x:c r="A3973" t="str">
        <x:v>SYN0003972</x:v>
      </x:c>
      <x:c r="B3973" s="12" t="n">
        <x:v>42025</x:v>
      </x:c>
      <x:c r="C3973" s="18" t="n">
        <x:v>16996</x:v>
      </x:c>
      <x:c r="D3973" s="18" t="n">
        <x:v>27183</x:v>
      </x:c>
      <x:c r="E3973" s="18" t="n">
        <x:v>25.64</x:v>
      </x:c>
      <x:c r="F3973" s="18" t="n">
        <x:v>13.21</x:v>
      </x:c>
      <x:c r="G3973" t="n">
        <x:v>36</x:v>
      </x:c>
      <x:c r="H3973" t="str">
        <x:v>C</x:v>
      </x:c>
      <x:c r="I3973" t="str">
        <x:v>4-6 years</x:v>
      </x:c>
      <x:c r="J3973" t="str">
        <x:v>RENT</x:v>
      </x:c>
      <x:c r="K3973" t="str">
        <x:v>major_purchase</x:v>
      </x:c>
      <x:c r="L3973" t="n">
        <x:v>3</x:v>
      </x:c>
      <x:c r="M3973" t="n">
        <x:v>0</x:v>
      </x:c>
      <x:c r="N3973" t="str">
        <x:v>Fully Paid</x:v>
      </x:c>
      <x:c r="O3973" t="str">
        <x:f>IF(D3973="","Unknown",IF(D3973&lt;25000,"&lt;$25k",IF(D3973&lt;50000,"$25k-$50k",IF(D3973&lt;75000,"$50k-$75k",IF(D3973&lt;100000,"$75k-$100k","$100k+")))))</x:f>
        <x:v>$25k-$50k</x:v>
      </x:c>
      <x:c r="P3973" t="str">
        <x:f>IF(E3973="","Unknown",IF(E3973&lt;10,"&lt;10",IF(E3973&lt;20,"10-&lt;20",IF(E3973&lt;25,"20-&lt;25",IF(E3973&lt;35,"25-&lt;35","35+")))))</x:f>
        <x:v>25-&lt;35</x:v>
      </x:c>
    </x:row>
    <x:row r="3974">
      <x:c r="A3974" t="str">
        <x:v>SYN0003973</x:v>
      </x:c>
      <x:c r="B3974" s="12" t="n">
        <x:v>42535</x:v>
      </x:c>
      <x:c r="C3974" s="18" t="n">
        <x:v>8035</x:v>
      </x:c>
      <x:c r="D3974" s="18" t="n">
        <x:v>108234</x:v>
      </x:c>
      <x:c r="E3974" s="18" t="n">
        <x:v>33.47</x:v>
      </x:c>
      <x:c r="F3974" s="18" t="n">
        <x:v>17.75</x:v>
      </x:c>
      <x:c r="G3974" t="n">
        <x:v>36</x:v>
      </x:c>
      <x:c r="H3974" t="str">
        <x:v>D</x:v>
      </x:c>
      <x:c r="I3974" t="str">
        <x:v>4-6 years</x:v>
      </x:c>
      <x:c r="J3974" t="str">
        <x:v>RENT</x:v>
      </x:c>
      <x:c r="K3974" t="str">
        <x:v>other</x:v>
      </x:c>
      <x:c r="L3974" t="n">
        <x:v>1</x:v>
      </x:c>
      <x:c r="M3974" t="n">
        <x:v>0</x:v>
      </x:c>
      <x:c r="N3974" t="str">
        <x:v>Fully Paid</x:v>
      </x:c>
      <x:c r="O3974" t="str">
        <x:f>IF(D3974="","Unknown",IF(D3974&lt;25000,"&lt;$25k",IF(D3974&lt;50000,"$25k-$50k",IF(D3974&lt;75000,"$50k-$75k",IF(D3974&lt;100000,"$75k-$100k","$100k+")))))</x:f>
        <x:v>$100k+</x:v>
      </x:c>
      <x:c r="P3974" t="str">
        <x:f>IF(E3974="","Unknown",IF(E3974&lt;10,"&lt;10",IF(E3974&lt;20,"10-&lt;20",IF(E3974&lt;25,"20-&lt;25",IF(E3974&lt;35,"25-&lt;35","35+")))))</x:f>
        <x:v>25-&lt;35</x:v>
      </x:c>
    </x:row>
    <x:row r="3975">
      <x:c r="A3975" t="str">
        <x:v>SYN0003974</x:v>
      </x:c>
      <x:c r="B3975" s="12" t="n">
        <x:v>41455</x:v>
      </x:c>
      <x:c r="C3975" s="18" t="n">
        <x:v>16608</x:v>
      </x:c>
      <x:c r="D3975" s="18" t="n">
        <x:v>35124</x:v>
      </x:c>
      <x:c r="E3975" s="18" t="n">
        <x:v>15.97</x:v>
      </x:c>
      <x:c r="F3975" s="18" t="n">
        <x:v>13.96</x:v>
      </x:c>
      <x:c r="G3975" t="n">
        <x:v>60</x:v>
      </x:c>
      <x:c r="H3975" t="str">
        <x:v>D</x:v>
      </x:c>
      <x:c r="I3975" t="str">
        <x:v>1-3 years</x:v>
      </x:c>
      <x:c r="J3975" t="str">
        <x:v>MORTGAGE</x:v>
      </x:c>
      <x:c r="K3975" t="str">
        <x:v>debt_consolidation</x:v>
      </x:c>
      <x:c r="L3975" t="n">
        <x:v>1</x:v>
      </x:c>
      <x:c r="M3975" t="n">
        <x:v>0</x:v>
      </x:c>
      <x:c r="N3975" t="str">
        <x:v>Fully Paid</x:v>
      </x:c>
      <x:c r="O3975" t="str">
        <x:f>IF(D3975="","Unknown",IF(D3975&lt;25000,"&lt;$25k",IF(D3975&lt;50000,"$25k-$50k",IF(D3975&lt;75000,"$50k-$75k",IF(D3975&lt;100000,"$75k-$100k","$100k+")))))</x:f>
        <x:v>$25k-$50k</x:v>
      </x:c>
      <x:c r="P3975" t="str">
        <x:f>IF(E3975="","Unknown",IF(E3975&lt;10,"&lt;10",IF(E3975&lt;20,"10-&lt;20",IF(E3975&lt;25,"20-&lt;25",IF(E3975&lt;35,"25-&lt;35","35+")))))</x:f>
        <x:v>10-&lt;20</x:v>
      </x:c>
    </x:row>
    <x:row r="3976">
      <x:c r="A3976" t="str">
        <x:v>SYN0003975</x:v>
      </x:c>
      <x:c r="B3976" s="12" t="n">
        <x:v>42205</x:v>
      </x:c>
      <x:c r="C3976" s="18" t="n">
        <x:v>9829</x:v>
      </x:c>
      <x:c r="D3976" s="18" t="n">
        <x:v>114597</x:v>
      </x:c>
      <x:c r="E3976" s="18" t="n">
        <x:v>23.82</x:v>
      </x:c>
      <x:c r="F3976" s="18" t="n">
        <x:v>13.3</x:v>
      </x:c>
      <x:c r="G3976" t="n">
        <x:v>36</x:v>
      </x:c>
      <x:c r="H3976" t="str">
        <x:v>D</x:v>
      </x:c>
      <x:c r="I3976" t="str">
        <x:v>10+ years</x:v>
      </x:c>
      <x:c r="J3976" t="str">
        <x:v>RENT</x:v>
      </x:c>
      <x:c r="K3976" t="str">
        <x:v>major_purchase</x:v>
      </x:c>
      <x:c r="L3976" t="n">
        <x:v>1</x:v>
      </x:c>
      <x:c r="M3976" t="n">
        <x:v>1</x:v>
      </x:c>
      <x:c r="N3976" t="str">
        <x:v>Charged Off</x:v>
      </x:c>
      <x:c r="O3976" t="str">
        <x:f>IF(D3976="","Unknown",IF(D3976&lt;25000,"&lt;$25k",IF(D3976&lt;50000,"$25k-$50k",IF(D3976&lt;75000,"$50k-$75k",IF(D3976&lt;100000,"$75k-$100k","$100k+")))))</x:f>
        <x:v>$100k+</x:v>
      </x:c>
      <x:c r="P3976" t="str">
        <x:f>IF(E3976="","Unknown",IF(E3976&lt;10,"&lt;10",IF(E3976&lt;20,"10-&lt;20",IF(E3976&lt;25,"20-&lt;25",IF(E3976&lt;35,"25-&lt;35","35+")))))</x:f>
        <x:v>20-&lt;25</x:v>
      </x:c>
    </x:row>
    <x:row r="3977">
      <x:c r="A3977" t="str">
        <x:v>SYN0003976</x:v>
      </x:c>
      <x:c r="B3977" s="12" t="n">
        <x:v>41545</x:v>
      </x:c>
      <x:c r="C3977" s="18" t="n">
        <x:v>18743</x:v>
      </x:c>
      <x:c r="D3977" s="18" t="n">
        <x:v>25760</x:v>
      </x:c>
      <x:c r="E3977" s="18" t="n">
        <x:v>15.58</x:v>
      </x:c>
      <x:c r="F3977" s="18" t="n">
        <x:v>23.09</x:v>
      </x:c>
      <x:c r="G3977" t="n">
        <x:v>60</x:v>
      </x:c>
      <x:c r="H3977" t="str">
        <x:v>E</x:v>
      </x:c>
      <x:c r="I3977" t="str">
        <x:v>7-9 years</x:v>
      </x:c>
      <x:c r="J3977" t="str">
        <x:v>MORTGAGE</x:v>
      </x:c>
      <x:c r="K3977" t="str">
        <x:v>credit_card</x:v>
      </x:c>
      <x:c r="L3977" t="n">
        <x:v>0</x:v>
      </x:c>
      <x:c r="M3977" t="n">
        <x:v>0</x:v>
      </x:c>
      <x:c r="N3977" t="str">
        <x:v>Fully Paid</x:v>
      </x:c>
      <x:c r="O3977" t="str">
        <x:f>IF(D3977="","Unknown",IF(D3977&lt;25000,"&lt;$25k",IF(D3977&lt;50000,"$25k-$50k",IF(D3977&lt;75000,"$50k-$75k",IF(D3977&lt;100000,"$75k-$100k","$100k+")))))</x:f>
        <x:v>$25k-$50k</x:v>
      </x:c>
      <x:c r="P3977" t="str">
        <x:f>IF(E3977="","Unknown",IF(E3977&lt;10,"&lt;10",IF(E3977&lt;20,"10-&lt;20",IF(E3977&lt;25,"20-&lt;25",IF(E3977&lt;35,"25-&lt;35","35+")))))</x:f>
        <x:v>10-&lt;20</x:v>
      </x:c>
    </x:row>
    <x:row r="3978">
      <x:c r="A3978" t="str">
        <x:v>SYN0003977</x:v>
      </x:c>
      <x:c r="B3978" s="12" t="n">
        <x:v>41815</x:v>
      </x:c>
      <x:c r="C3978" s="18" t="n">
        <x:v>18971</x:v>
      </x:c>
      <x:c r="D3978" s="18" t="n">
        <x:v>40657</x:v>
      </x:c>
      <x:c r="E3978" s="18" t="n">
        <x:v>23.4</x:v>
      </x:c>
      <x:c r="F3978" s="18" t="n">
        <x:v>13.47</x:v>
      </x:c>
      <x:c r="G3978" t="n">
        <x:v>36</x:v>
      </x:c>
      <x:c r="H3978" t="str">
        <x:v>D</x:v>
      </x:c>
      <x:c r="I3978" t="str">
        <x:v>10+ years</x:v>
      </x:c>
      <x:c r="J3978" t="str">
        <x:v>RENT</x:v>
      </x:c>
      <x:c r="K3978" t="str">
        <x:v>debt_consolidation</x:v>
      </x:c>
      <x:c r="L3978" t="n">
        <x:v>2</x:v>
      </x:c>
      <x:c r="M3978" t="n">
        <x:v>0</x:v>
      </x:c>
      <x:c r="N3978" t="str">
        <x:v>Fully Paid</x:v>
      </x:c>
      <x:c r="O3978" t="str">
        <x:f>IF(D3978="","Unknown",IF(D3978&lt;25000,"&lt;$25k",IF(D3978&lt;50000,"$25k-$50k",IF(D3978&lt;75000,"$50k-$75k",IF(D3978&lt;100000,"$75k-$100k","$100k+")))))</x:f>
        <x:v>$25k-$50k</x:v>
      </x:c>
      <x:c r="P3978" t="str">
        <x:f>IF(E3978="","Unknown",IF(E3978&lt;10,"&lt;10",IF(E3978&lt;20,"10-&lt;20",IF(E3978&lt;25,"20-&lt;25",IF(E3978&lt;35,"25-&lt;35","35+")))))</x:f>
        <x:v>20-&lt;25</x:v>
      </x:c>
    </x:row>
    <x:row r="3979">
      <x:c r="A3979" t="str">
        <x:v>SYN0003978</x:v>
      </x:c>
      <x:c r="B3979" s="12" t="n">
        <x:v>41395</x:v>
      </x:c>
      <x:c r="C3979" s="18" t="n">
        <x:v>23534</x:v>
      </x:c>
      <x:c r="D3979" s="18" t="n">
        <x:v>79100</x:v>
      </x:c>
      <x:c r="E3979" s="18" t="n">
        <x:v>25.04</x:v>
      </x:c>
      <x:c r="F3979" s="18" t="n">
        <x:v>9.13</x:v>
      </x:c>
      <x:c r="G3979" t="n">
        <x:v>36</x:v>
      </x:c>
      <x:c r="H3979" t="str">
        <x:v>B</x:v>
      </x:c>
      <x:c r="I3979" t="str">
        <x:v>1-3 years</x:v>
      </x:c>
      <x:c r="J3979" t="str">
        <x:v>MORTGAGE</x:v>
      </x:c>
      <x:c r="K3979" t="str">
        <x:v>credit_card</x:v>
      </x:c>
      <x:c r="L3979" t="n">
        <x:v>0</x:v>
      </x:c>
      <x:c r="M3979" t="n">
        <x:v>0</x:v>
      </x:c>
      <x:c r="N3979" t="str">
        <x:v>Fully Paid</x:v>
      </x:c>
      <x:c r="O3979" t="str">
        <x:f>IF(D3979="","Unknown",IF(D3979&lt;25000,"&lt;$25k",IF(D3979&lt;50000,"$25k-$50k",IF(D3979&lt;75000,"$50k-$75k",IF(D3979&lt;100000,"$75k-$100k","$100k+")))))</x:f>
        <x:v>$75k-$100k</x:v>
      </x:c>
      <x:c r="P3979" t="str">
        <x:f>IF(E3979="","Unknown",IF(E3979&lt;10,"&lt;10",IF(E3979&lt;20,"10-&lt;20",IF(E3979&lt;25,"20-&lt;25",IF(E3979&lt;35,"25-&lt;35","35+")))))</x:f>
        <x:v>25-&lt;35</x:v>
      </x:c>
    </x:row>
    <x:row r="3980">
      <x:c r="A3980" t="str">
        <x:v>SYN0003979</x:v>
      </x:c>
      <x:c r="B3980" s="12" t="n">
        <x:v>42985</x:v>
      </x:c>
      <x:c r="C3980" s="18" t="n">
        <x:v>16453</x:v>
      </x:c>
      <x:c r="D3980" s="18" t="n">
        <x:v>34579</x:v>
      </x:c>
      <x:c r="E3980" s="18" t="n">
        <x:v>30.68</x:v>
      </x:c>
      <x:c r="F3980" s="18" t="n">
        <x:v>10.02</x:v>
      </x:c>
      <x:c r="G3980" t="n">
        <x:v>60</x:v>
      </x:c>
      <x:c r="H3980" t="str">
        <x:v>C</x:v>
      </x:c>
      <x:c r="I3980" t="str">
        <x:v>1-3 years</x:v>
      </x:c>
      <x:c r="J3980" t="str">
        <x:v>MORTGAGE</x:v>
      </x:c>
      <x:c r="K3980" t="str">
        <x:v>home_improvement</x:v>
      </x:c>
      <x:c r="L3980" t="n">
        <x:v>0</x:v>
      </x:c>
      <x:c r="M3980" t="n">
        <x:v>0</x:v>
      </x:c>
      <x:c r="N3980" t="str">
        <x:v>Fully Paid</x:v>
      </x:c>
      <x:c r="O3980" t="str">
        <x:f>IF(D3980="","Unknown",IF(D3980&lt;25000,"&lt;$25k",IF(D3980&lt;50000,"$25k-$50k",IF(D3980&lt;75000,"$50k-$75k",IF(D3980&lt;100000,"$75k-$100k","$100k+")))))</x:f>
        <x:v>$25k-$50k</x:v>
      </x:c>
      <x:c r="P3980" t="str">
        <x:f>IF(E3980="","Unknown",IF(E3980&lt;10,"&lt;10",IF(E3980&lt;20,"10-&lt;20",IF(E3980&lt;25,"20-&lt;25",IF(E3980&lt;35,"25-&lt;35","35+")))))</x:f>
        <x:v>25-&lt;35</x:v>
      </x:c>
    </x:row>
    <x:row r="3981">
      <x:c r="A3981" t="str">
        <x:v>SYN0003980</x:v>
      </x:c>
      <x:c r="B3981" s="12" t="n">
        <x:v>42085</x:v>
      </x:c>
      <x:c r="C3981" s="18" t="n">
        <x:v>18197</x:v>
      </x:c>
      <x:c r="D3981" s="18" t="n">
        <x:v>50908</x:v>
      </x:c>
      <x:c r="E3981" s="18" t="n">
        <x:v>33.94</x:v>
      </x:c>
      <x:c r="F3981" s="18" t="n">
        <x:v>16.97</x:v>
      </x:c>
      <x:c r="G3981" t="n">
        <x:v>36</x:v>
      </x:c>
      <x:c r="H3981" t="str">
        <x:v>E</x:v>
      </x:c>
      <x:c r="I3981" t="str">
        <x:v>7-9 years</x:v>
      </x:c>
      <x:c r="J3981" t="str">
        <x:v>OWN</x:v>
      </x:c>
      <x:c r="K3981" t="str">
        <x:v>other</x:v>
      </x:c>
      <x:c r="L3981" t="n">
        <x:v>0</x:v>
      </x:c>
      <x:c r="M3981" t="n">
        <x:v>0</x:v>
      </x:c>
      <x:c r="N3981" t="str">
        <x:v>Fully Paid</x:v>
      </x:c>
      <x:c r="O3981" t="str">
        <x:f>IF(D3981="","Unknown",IF(D3981&lt;25000,"&lt;$25k",IF(D3981&lt;50000,"$25k-$50k",IF(D3981&lt;75000,"$50k-$75k",IF(D3981&lt;100000,"$75k-$100k","$100k+")))))</x:f>
        <x:v>$50k-$75k</x:v>
      </x:c>
      <x:c r="P3981" t="str">
        <x:f>IF(E3981="","Unknown",IF(E3981&lt;10,"&lt;10",IF(E3981&lt;20,"10-&lt;20",IF(E3981&lt;25,"20-&lt;25",IF(E3981&lt;35,"25-&lt;35","35+")))))</x:f>
        <x:v>25-&lt;35</x:v>
      </x:c>
    </x:row>
    <x:row r="3982">
      <x:c r="A3982" t="str">
        <x:v>SYN0003981</x:v>
      </x:c>
      <x:c r="B3982" s="12" t="n">
        <x:v>41545</x:v>
      </x:c>
      <x:c r="C3982" s="18" t="n">
        <x:v>15752</x:v>
      </x:c>
      <x:c r="D3982" s="18" t="n">
        <x:v>51893</x:v>
      </x:c>
      <x:c r="E3982" s="18" t="n">
        <x:v>30.8</x:v>
      </x:c>
      <x:c r="F3982" s="18" t="n">
        <x:v>23.9</x:v>
      </x:c>
      <x:c r="G3982" t="n">
        <x:v>60</x:v>
      </x:c>
      <x:c r="H3982" t="str">
        <x:v>G</x:v>
      </x:c>
      <x:c r="I3982" t="str">
        <x:v>4-6 years</x:v>
      </x:c>
      <x:c r="J3982" t="str">
        <x:v>MORTGAGE</x:v>
      </x:c>
      <x:c r="K3982" t="str">
        <x:v>debt_consolidation</x:v>
      </x:c>
      <x:c r="L3982" t="n">
        <x:v>1</x:v>
      </x:c>
      <x:c r="M3982" t="n">
        <x:v>0</x:v>
      </x:c>
      <x:c r="N3982" t="str">
        <x:v>Fully Paid</x:v>
      </x:c>
      <x:c r="O3982" t="str">
        <x:f>IF(D3982="","Unknown",IF(D3982&lt;25000,"&lt;$25k",IF(D3982&lt;50000,"$25k-$50k",IF(D3982&lt;75000,"$50k-$75k",IF(D3982&lt;100000,"$75k-$100k","$100k+")))))</x:f>
        <x:v>$50k-$75k</x:v>
      </x:c>
      <x:c r="P3982" t="str">
        <x:f>IF(E3982="","Unknown",IF(E3982&lt;10,"&lt;10",IF(E3982&lt;20,"10-&lt;20",IF(E3982&lt;25,"20-&lt;25",IF(E3982&lt;35,"25-&lt;35","35+")))))</x:f>
        <x:v>25-&lt;35</x:v>
      </x:c>
    </x:row>
    <x:row r="3983">
      <x:c r="A3983" t="str">
        <x:v>SYN0003982</x:v>
      </x:c>
      <x:c r="B3983" s="12" t="n">
        <x:v>41575</x:v>
      </x:c>
      <x:c r="C3983" s="18" t="n">
        <x:v>15290</x:v>
      </x:c>
      <x:c r="D3983" s="18" t="n">
        <x:v>56825</x:v>
      </x:c>
      <x:c r="E3983" s="18" t="n">
        <x:v>35.75</x:v>
      </x:c>
      <x:c r="F3983" s="18" t="n">
        <x:v>14.98</x:v>
      </x:c>
      <x:c r="G3983" t="n">
        <x:v>60</x:v>
      </x:c>
      <x:c r="H3983" t="str">
        <x:v>D</x:v>
      </x:c>
      <x:c r="I3983" t="str">
        <x:v>1-3 years</x:v>
      </x:c>
      <x:c r="J3983" t="str">
        <x:v>MORTGAGE</x:v>
      </x:c>
      <x:c r="K3983" t="str">
        <x:v>medical</x:v>
      </x:c>
      <x:c r="L3983" t="n">
        <x:v>0</x:v>
      </x:c>
      <x:c r="M3983" t="n">
        <x:v>1</x:v>
      </x:c>
      <x:c r="N3983" t="str">
        <x:v>Charged Off</x:v>
      </x:c>
      <x:c r="O3983" t="str">
        <x:f>IF(D3983="","Unknown",IF(D3983&lt;25000,"&lt;$25k",IF(D3983&lt;50000,"$25k-$50k",IF(D3983&lt;75000,"$50k-$75k",IF(D3983&lt;100000,"$75k-$100k","$100k+")))))</x:f>
        <x:v>$50k-$75k</x:v>
      </x:c>
      <x:c r="P3983" t="str">
        <x:f>IF(E3983="","Unknown",IF(E3983&lt;10,"&lt;10",IF(E3983&lt;20,"10-&lt;20",IF(E3983&lt;25,"20-&lt;25",IF(E3983&lt;35,"25-&lt;35","35+")))))</x:f>
        <x:v>35+</x:v>
      </x:c>
    </x:row>
    <x:row r="3984">
      <x:c r="A3984" t="str">
        <x:v>SYN0003983</x:v>
      </x:c>
      <x:c r="B3984" s="12" t="n">
        <x:v>42235</x:v>
      </x:c>
      <x:c r="C3984" s="18" t="n">
        <x:v>22206</x:v>
      </x:c>
      <x:c r="D3984" s="18" t="n">
        <x:v>50074</x:v>
      </x:c>
      <x:c r="E3984" s="18" t="n">
        <x:v>34</x:v>
      </x:c>
      <x:c r="F3984" s="18" t="n">
        <x:v>13.83</x:v>
      </x:c>
      <x:c r="G3984" t="n">
        <x:v>36</x:v>
      </x:c>
      <x:c r="H3984" t="str">
        <x:v>D</x:v>
      </x:c>
      <x:c r="I3984" t="str">
        <x:v>4-6 years</x:v>
      </x:c>
      <x:c r="J3984" t="str">
        <x:v>RENT</x:v>
      </x:c>
      <x:c r="K3984" t="str">
        <x:v>major_purchase</x:v>
      </x:c>
      <x:c r="L3984" t="n">
        <x:v>3</x:v>
      </x:c>
      <x:c r="M3984" t="n">
        <x:v>1</x:v>
      </x:c>
      <x:c r="N3984" t="str">
        <x:v>Charged Off</x:v>
      </x:c>
      <x:c r="O3984" t="str">
        <x:f>IF(D3984="","Unknown",IF(D3984&lt;25000,"&lt;$25k",IF(D3984&lt;50000,"$25k-$50k",IF(D3984&lt;75000,"$50k-$75k",IF(D3984&lt;100000,"$75k-$100k","$100k+")))))</x:f>
        <x:v>$50k-$75k</x:v>
      </x:c>
      <x:c r="P3984" t="str">
        <x:f>IF(E3984="","Unknown",IF(E3984&lt;10,"&lt;10",IF(E3984&lt;20,"10-&lt;20",IF(E3984&lt;25,"20-&lt;25",IF(E3984&lt;35,"25-&lt;35","35+")))))</x:f>
        <x:v>25-&lt;35</x:v>
      </x:c>
    </x:row>
    <x:row r="3985">
      <x:c r="A3985" t="str">
        <x:v>SYN0003984</x:v>
      </x:c>
      <x:c r="B3985" s="12" t="n">
        <x:v>42565</x:v>
      </x:c>
      <x:c r="C3985" s="18" t="n">
        <x:v>22009</x:v>
      </x:c>
      <x:c r="D3985" s="18" t="n">
        <x:v>54273</x:v>
      </x:c>
      <x:c r="E3985" s="18" t="n">
        <x:v>26.15</x:v>
      </x:c>
      <x:c r="F3985" s="18" t="n">
        <x:v>20.29</x:v>
      </x:c>
      <x:c r="G3985" t="n">
        <x:v>36</x:v>
      </x:c>
      <x:c r="H3985" t="str">
        <x:v>E</x:v>
      </x:c>
      <x:c r="I3985" t="str">
        <x:v>1-3 years</x:v>
      </x:c>
      <x:c r="J3985" t="str">
        <x:v>MORTGAGE</x:v>
      </x:c>
      <x:c r="K3985" t="str">
        <x:v>debt_consolidation</x:v>
      </x:c>
      <x:c r="L3985" t="n">
        <x:v>0</x:v>
      </x:c>
      <x:c r="M3985" t="n">
        <x:v>0</x:v>
      </x:c>
      <x:c r="N3985" t="str">
        <x:v>Fully Paid</x:v>
      </x:c>
      <x:c r="O3985" t="str">
        <x:f>IF(D3985="","Unknown",IF(D3985&lt;25000,"&lt;$25k",IF(D3985&lt;50000,"$25k-$50k",IF(D3985&lt;75000,"$50k-$75k",IF(D3985&lt;100000,"$75k-$100k","$100k+")))))</x:f>
        <x:v>$50k-$75k</x:v>
      </x:c>
      <x:c r="P3985" t="str">
        <x:f>IF(E3985="","Unknown",IF(E3985&lt;10,"&lt;10",IF(E3985&lt;20,"10-&lt;20",IF(E3985&lt;25,"20-&lt;25",IF(E3985&lt;35,"25-&lt;35","35+")))))</x:f>
        <x:v>25-&lt;35</x:v>
      </x:c>
    </x:row>
    <x:row r="3986">
      <x:c r="A3986" t="str">
        <x:v>SYN0003985</x:v>
      </x:c>
      <x:c r="B3986" s="12" t="n">
        <x:v>42715</x:v>
      </x:c>
      <x:c r="C3986" s="18" t="n">
        <x:v>17991</x:v>
      </x:c>
      <x:c r="D3986" s="18" t="n">
        <x:v>12000</x:v>
      </x:c>
      <x:c r="E3986" s="18" t="n">
        <x:v>36.46</x:v>
      </x:c>
      <x:c r="F3986" s="18" t="n">
        <x:v>25.66</x:v>
      </x:c>
      <x:c r="G3986" t="n">
        <x:v>36</x:v>
      </x:c>
      <x:c r="H3986" t="str">
        <x:v>G</x:v>
      </x:c>
      <x:c r="I3986" t="str">
        <x:v>4-6 years</x:v>
      </x:c>
      <x:c r="J3986" t="str">
        <x:v>OWN</x:v>
      </x:c>
      <x:c r="K3986" t="str">
        <x:v>major_purchase</x:v>
      </x:c>
      <x:c r="L3986" t="n">
        <x:v>1</x:v>
      </x:c>
      <x:c r="M3986" t="n">
        <x:v>1</x:v>
      </x:c>
      <x:c r="N3986" t="str">
        <x:v>Charged Off</x:v>
      </x:c>
      <x:c r="O3986" t="str">
        <x:f>IF(D3986="","Unknown",IF(D3986&lt;25000,"&lt;$25k",IF(D3986&lt;50000,"$25k-$50k",IF(D3986&lt;75000,"$50k-$75k",IF(D3986&lt;100000,"$75k-$100k","$100k+")))))</x:f>
        <x:v>&lt;$25k</x:v>
      </x:c>
      <x:c r="P3986" t="str">
        <x:f>IF(E3986="","Unknown",IF(E3986&lt;10,"&lt;10",IF(E3986&lt;20,"10-&lt;20",IF(E3986&lt;25,"20-&lt;25",IF(E3986&lt;35,"25-&lt;35","35+")))))</x:f>
        <x:v>35+</x:v>
      </x:c>
    </x:row>
    <x:row r="3987">
      <x:c r="A3987" t="str">
        <x:v>SYN0003986</x:v>
      </x:c>
      <x:c r="B3987" s="12" t="n">
        <x:v>41995</x:v>
      </x:c>
      <x:c r="C3987" s="18" t="n">
        <x:v>12681</x:v>
      </x:c>
      <x:c r="D3987" s="18" t="n">
        <x:v>36602</x:v>
      </x:c>
      <x:c r="E3987" s="18" t="n">
        <x:v>31.97</x:v>
      </x:c>
      <x:c r="F3987" s="18" t="n">
        <x:v>8.03</x:v>
      </x:c>
      <x:c r="G3987" t="n">
        <x:v>36</x:v>
      </x:c>
      <x:c r="H3987" t="str">
        <x:v>C</x:v>
      </x:c>
      <x:c r="I3987" t="str">
        <x:v>&lt;1 year</x:v>
      </x:c>
      <x:c r="J3987" t="str">
        <x:v>RENT</x:v>
      </x:c>
      <x:c r="K3987" t="str">
        <x:v>credit_card</x:v>
      </x:c>
      <x:c r="L3987" t="n">
        <x:v>0</x:v>
      </x:c>
      <x:c r="M3987" t="n">
        <x:v>0</x:v>
      </x:c>
      <x:c r="N3987" t="str">
        <x:v>Fully Paid</x:v>
      </x:c>
      <x:c r="O3987" t="str">
        <x:f>IF(D3987="","Unknown",IF(D3987&lt;25000,"&lt;$25k",IF(D3987&lt;50000,"$25k-$50k",IF(D3987&lt;75000,"$50k-$75k",IF(D3987&lt;100000,"$75k-$100k","$100k+")))))</x:f>
        <x:v>$25k-$50k</x:v>
      </x:c>
      <x:c r="P3987" t="str">
        <x:f>IF(E3987="","Unknown",IF(E3987&lt;10,"&lt;10",IF(E3987&lt;20,"10-&lt;20",IF(E3987&lt;25,"20-&lt;25",IF(E3987&lt;35,"25-&lt;35","35+")))))</x:f>
        <x:v>25-&lt;35</x:v>
      </x:c>
    </x:row>
    <x:row r="3988">
      <x:c r="A3988" t="str">
        <x:v>SYN0003987</x:v>
      </x:c>
      <x:c r="B3988" s="12" t="n">
        <x:v>43405</x:v>
      </x:c>
      <x:c r="C3988" s="18" t="n">
        <x:v>11827</x:v>
      </x:c>
      <x:c r="D3988" s="18" t="n">
        <x:v>118789</x:v>
      </x:c>
      <x:c r="E3988" s="18" t="n">
        <x:v>1.84</x:v>
      </x:c>
      <x:c r="F3988" s="18" t="n">
        <x:v>7.11</x:v>
      </x:c>
      <x:c r="G3988" t="n">
        <x:v>36</x:v>
      </x:c>
      <x:c r="H3988" t="str">
        <x:v>A</x:v>
      </x:c>
      <x:c r="I3988" t="str">
        <x:v>10+ years</x:v>
      </x:c>
      <x:c r="J3988" t="str">
        <x:v>OWN</x:v>
      </x:c>
      <x:c r="K3988" t="str">
        <x:v>debt_consolidation</x:v>
      </x:c>
      <x:c r="L3988" t="n">
        <x:v>0</x:v>
      </x:c>
      <x:c r="M3988" t="n">
        <x:v>0</x:v>
      </x:c>
      <x:c r="N3988" t="str">
        <x:v>Fully Paid</x:v>
      </x:c>
      <x:c r="O3988" t="str">
        <x:f>IF(D3988="","Unknown",IF(D3988&lt;25000,"&lt;$25k",IF(D3988&lt;50000,"$25k-$50k",IF(D3988&lt;75000,"$50k-$75k",IF(D3988&lt;100000,"$75k-$100k","$100k+")))))</x:f>
        <x:v>$100k+</x:v>
      </x:c>
      <x:c r="P3988" t="str">
        <x:f>IF(E3988="","Unknown",IF(E3988&lt;10,"&lt;10",IF(E3988&lt;20,"10-&lt;20",IF(E3988&lt;25,"20-&lt;25",IF(E3988&lt;35,"25-&lt;35","35+")))))</x:f>
        <x:v>&lt;10</x:v>
      </x:c>
    </x:row>
    <x:row r="3989">
      <x:c r="A3989" t="str">
        <x:v>SYN0003988</x:v>
      </x:c>
      <x:c r="B3989" s="12" t="n">
        <x:v>43375</x:v>
      </x:c>
      <x:c r="C3989" s="18" t="n">
        <x:v>13869</x:v>
      </x:c>
      <x:c r="D3989" s="18" t="n">
        <x:v>19651</x:v>
      </x:c>
      <x:c r="E3989" s="18" t="n">
        <x:v>3.23</x:v>
      </x:c>
      <x:c r="F3989" s="18" t="n">
        <x:v>7.38</x:v>
      </x:c>
      <x:c r="G3989" t="n">
        <x:v>36</x:v>
      </x:c>
      <x:c r="H3989" t="str">
        <x:v>B</x:v>
      </x:c>
      <x:c r="I3989" t="str">
        <x:v>&lt;1 year</x:v>
      </x:c>
      <x:c r="J3989" t="str">
        <x:v>RENT</x:v>
      </x:c>
      <x:c r="K3989" t="str">
        <x:v>home_improvement</x:v>
      </x:c>
      <x:c r="L3989" t="n">
        <x:v>2</x:v>
      </x:c>
      <x:c r="M3989" t="n">
        <x:v>0</x:v>
      </x:c>
      <x:c r="N3989" t="str">
        <x:v>Fully Paid</x:v>
      </x:c>
      <x:c r="O3989" t="str">
        <x:f>IF(D3989="","Unknown",IF(D3989&lt;25000,"&lt;$25k",IF(D3989&lt;50000,"$25k-$50k",IF(D3989&lt;75000,"$50k-$75k",IF(D3989&lt;100000,"$75k-$100k","$100k+")))))</x:f>
        <x:v>&lt;$25k</x:v>
      </x:c>
      <x:c r="P3989" t="str">
        <x:f>IF(E3989="","Unknown",IF(E3989&lt;10,"&lt;10",IF(E3989&lt;20,"10-&lt;20",IF(E3989&lt;25,"20-&lt;25",IF(E3989&lt;35,"25-&lt;35","35+")))))</x:f>
        <x:v>&lt;10</x:v>
      </x:c>
    </x:row>
    <x:row r="3990">
      <x:c r="A3990" t="str">
        <x:v>SYN0003989</x:v>
      </x:c>
      <x:c r="B3990" s="12" t="n">
        <x:v>43405</x:v>
      </x:c>
      <x:c r="C3990" s="18" t="n">
        <x:v>17677</x:v>
      </x:c>
      <x:c r="D3990" s="18" t="n">
        <x:v>54380</x:v>
      </x:c>
      <x:c r="E3990" s="18" t="n">
        <x:v>20.04</x:v>
      </x:c>
      <x:c r="F3990" s="18" t="n">
        <x:v>10.34</x:v>
      </x:c>
      <x:c r="G3990" t="n">
        <x:v>60</x:v>
      </x:c>
      <x:c r="H3990" t="str">
        <x:v>C</x:v>
      </x:c>
      <x:c r="I3990" t="str">
        <x:v>&lt;1 year</x:v>
      </x:c>
      <x:c r="J3990" t="str">
        <x:v>OWN</x:v>
      </x:c>
      <x:c r="K3990" t="str">
        <x:v>credit_card</x:v>
      </x:c>
      <x:c r="L3990" t="n">
        <x:v>0</x:v>
      </x:c>
      <x:c r="M3990" t="n">
        <x:v>0</x:v>
      </x:c>
      <x:c r="N3990" t="str">
        <x:v>Fully Paid</x:v>
      </x:c>
      <x:c r="O3990" t="str">
        <x:f>IF(D3990="","Unknown",IF(D3990&lt;25000,"&lt;$25k",IF(D3990&lt;50000,"$25k-$50k",IF(D3990&lt;75000,"$50k-$75k",IF(D3990&lt;100000,"$75k-$100k","$100k+")))))</x:f>
        <x:v>$50k-$75k</x:v>
      </x:c>
      <x:c r="P3990" t="str">
        <x:f>IF(E3990="","Unknown",IF(E3990&lt;10,"&lt;10",IF(E3990&lt;20,"10-&lt;20",IF(E3990&lt;25,"20-&lt;25",IF(E3990&lt;35,"25-&lt;35","35+")))))</x:f>
        <x:v>20-&lt;25</x:v>
      </x:c>
    </x:row>
    <x:row r="3991">
      <x:c r="A3991" t="str">
        <x:v>SYN0003990</x:v>
      </x:c>
      <x:c r="B3991" s="12" t="n">
        <x:v>41755</x:v>
      </x:c>
      <x:c r="C3991" s="18" t="n">
        <x:v>6221</x:v>
      </x:c>
      <x:c r="D3991" s="18" t="n">
        <x:v>30181</x:v>
      </x:c>
      <x:c r="E3991" s="18" t="n">
        <x:v>32.74</x:v>
      </x:c>
      <x:c r="F3991" s="18" t="n">
        <x:v>14.21</x:v>
      </x:c>
      <x:c r="G3991" t="n">
        <x:v>60</x:v>
      </x:c>
      <x:c r="H3991" t="str">
        <x:v>D</x:v>
      </x:c>
      <x:c r="I3991" t="str">
        <x:v>4-6 years</x:v>
      </x:c>
      <x:c r="J3991" t="str">
        <x:v>MORTGAGE</x:v>
      </x:c>
      <x:c r="K3991" t="str">
        <x:v>debt_consolidation</x:v>
      </x:c>
      <x:c r="L3991" t="n">
        <x:v>1</x:v>
      </x:c>
      <x:c r="M3991" t="n">
        <x:v>0</x:v>
      </x:c>
      <x:c r="N3991" t="str">
        <x:v>Fully Paid</x:v>
      </x:c>
      <x:c r="O3991" t="str">
        <x:f>IF(D3991="","Unknown",IF(D3991&lt;25000,"&lt;$25k",IF(D3991&lt;50000,"$25k-$50k",IF(D3991&lt;75000,"$50k-$75k",IF(D3991&lt;100000,"$75k-$100k","$100k+")))))</x:f>
        <x:v>$25k-$50k</x:v>
      </x:c>
      <x:c r="P3991" t="str">
        <x:f>IF(E3991="","Unknown",IF(E3991&lt;10,"&lt;10",IF(E3991&lt;20,"10-&lt;20",IF(E3991&lt;25,"20-&lt;25",IF(E3991&lt;35,"25-&lt;35","35+")))))</x:f>
        <x:v>25-&lt;35</x:v>
      </x:c>
    </x:row>
    <x:row r="3992">
      <x:c r="A3992" t="str">
        <x:v>SYN0003991</x:v>
      </x:c>
      <x:c r="B3992" s="12" t="n">
        <x:v>42955</x:v>
      </x:c>
      <x:c r="C3992" s="18" t="n">
        <x:v>13724</x:v>
      </x:c>
      <x:c r="D3992" s="18" t="n">
        <x:v>135560</x:v>
      </x:c>
      <x:c r="E3992" s="18" t="n">
        <x:v>9.24</x:v>
      </x:c>
      <x:c r="F3992" s="18" t="n">
        <x:v>14.36</x:v>
      </x:c>
      <x:c r="G3992" t="n">
        <x:v>36</x:v>
      </x:c>
      <x:c r="H3992" t="str">
        <x:v>D</x:v>
      </x:c>
      <x:c r="I3992" t="str">
        <x:v>7-9 years</x:v>
      </x:c>
      <x:c r="J3992" t="str">
        <x:v>RENT</x:v>
      </x:c>
      <x:c r="K3992" t="str">
        <x:v>credit_card</x:v>
      </x:c>
      <x:c r="L3992" t="n">
        <x:v>1</x:v>
      </x:c>
      <x:c r="M3992" t="n">
        <x:v>1</x:v>
      </x:c>
      <x:c r="N3992" t="str">
        <x:v>Charged Off</x:v>
      </x:c>
      <x:c r="O3992" t="str">
        <x:f>IF(D3992="","Unknown",IF(D3992&lt;25000,"&lt;$25k",IF(D3992&lt;50000,"$25k-$50k",IF(D3992&lt;75000,"$50k-$75k",IF(D3992&lt;100000,"$75k-$100k","$100k+")))))</x:f>
        <x:v>$100k+</x:v>
      </x:c>
      <x:c r="P3992" t="str">
        <x:f>IF(E3992="","Unknown",IF(E3992&lt;10,"&lt;10",IF(E3992&lt;20,"10-&lt;20",IF(E3992&lt;25,"20-&lt;25",IF(E3992&lt;35,"25-&lt;35","35+")))))</x:f>
        <x:v>&lt;10</x:v>
      </x:c>
    </x:row>
    <x:row r="3993">
      <x:c r="A3993" t="str">
        <x:v>SYN0003992</x:v>
      </x:c>
      <x:c r="B3993" s="12" t="n">
        <x:v>41965</x:v>
      </x:c>
      <x:c r="C3993" s="18" t="n">
        <x:v>11107</x:v>
      </x:c>
      <x:c r="D3993" s="18" t="n">
        <x:v>27749</x:v>
      </x:c>
      <x:c r="E3993" s="18" t="n">
        <x:v>30.28</x:v>
      </x:c>
      <x:c r="F3993" s="18" t="n">
        <x:v>14.43</x:v>
      </x:c>
      <x:c r="G3993" t="n">
        <x:v>60</x:v>
      </x:c>
      <x:c r="H3993" t="str">
        <x:v>D</x:v>
      </x:c>
      <x:c r="I3993" t="str">
        <x:v>4-6 years</x:v>
      </x:c>
      <x:c r="J3993" t="str">
        <x:v>OWN</x:v>
      </x:c>
      <x:c r="K3993" t="str">
        <x:v>credit_card</x:v>
      </x:c>
      <x:c r="L3993" t="n">
        <x:v>0</x:v>
      </x:c>
      <x:c r="M3993" t="n">
        <x:v>0</x:v>
      </x:c>
      <x:c r="N3993" t="str">
        <x:v>Fully Paid</x:v>
      </x:c>
      <x:c r="O3993" t="str">
        <x:f>IF(D3993="","Unknown",IF(D3993&lt;25000,"&lt;$25k",IF(D3993&lt;50000,"$25k-$50k",IF(D3993&lt;75000,"$50k-$75k",IF(D3993&lt;100000,"$75k-$100k","$100k+")))))</x:f>
        <x:v>$25k-$50k</x:v>
      </x:c>
      <x:c r="P3993" t="str">
        <x:f>IF(E3993="","Unknown",IF(E3993&lt;10,"&lt;10",IF(E3993&lt;20,"10-&lt;20",IF(E3993&lt;25,"20-&lt;25",IF(E3993&lt;35,"25-&lt;35","35+")))))</x:f>
        <x:v>25-&lt;35</x:v>
      </x:c>
    </x:row>
    <x:row r="3994">
      <x:c r="A3994" t="str">
        <x:v>SYN0003993</x:v>
      </x:c>
      <x:c r="B3994" s="12" t="n">
        <x:v>41785</x:v>
      </x:c>
      <x:c r="C3994" s="18" t="n">
        <x:v>3276</x:v>
      </x:c>
      <x:c r="D3994" s="18" t="n">
        <x:v>36887</x:v>
      </x:c>
      <x:c r="E3994" s="18" t="n">
        <x:v>20.86</x:v>
      </x:c>
      <x:c r="F3994" s="18" t="n">
        <x:v>25.01</x:v>
      </x:c>
      <x:c r="G3994" t="n">
        <x:v>60</x:v>
      </x:c>
      <x:c r="H3994" t="str">
        <x:v>F</x:v>
      </x:c>
      <x:c r="I3994" t="str">
        <x:v>4-6 years</x:v>
      </x:c>
      <x:c r="J3994" t="str">
        <x:v>MORTGAGE</x:v>
      </x:c>
      <x:c r="K3994" t="str">
        <x:v>other</x:v>
      </x:c>
      <x:c r="L3994" t="n">
        <x:v>1</x:v>
      </x:c>
      <x:c r="M3994" t="n">
        <x:v>1</x:v>
      </x:c>
      <x:c r="N3994" t="str">
        <x:v>Charged Off</x:v>
      </x:c>
      <x:c r="O3994" t="str">
        <x:f>IF(D3994="","Unknown",IF(D3994&lt;25000,"&lt;$25k",IF(D3994&lt;50000,"$25k-$50k",IF(D3994&lt;75000,"$50k-$75k",IF(D3994&lt;100000,"$75k-$100k","$100k+")))))</x:f>
        <x:v>$25k-$50k</x:v>
      </x:c>
      <x:c r="P3994" t="str">
        <x:f>IF(E3994="","Unknown",IF(E3994&lt;10,"&lt;10",IF(E3994&lt;20,"10-&lt;20",IF(E3994&lt;25,"20-&lt;25",IF(E3994&lt;35,"25-&lt;35","35+")))))</x:f>
        <x:v>20-&lt;25</x:v>
      </x:c>
    </x:row>
    <x:row r="3995">
      <x:c r="A3995" t="str">
        <x:v>SYN0003994</x:v>
      </x:c>
      <x:c r="B3995" s="12" t="n">
        <x:v>41455</x:v>
      </x:c>
      <x:c r="C3995" s="18" t="n">
        <x:v>9241</x:v>
      </x:c>
      <x:c r="D3995" s="18" t="n">
        <x:v>25255</x:v>
      </x:c>
      <x:c r="E3995" s="18" t="n">
        <x:v>45.1</x:v>
      </x:c>
      <x:c r="F3995" s="18" t="n">
        <x:v>28.28</x:v>
      </x:c>
      <x:c r="G3995" t="n">
        <x:v>36</x:v>
      </x:c>
      <x:c r="H3995" t="str">
        <x:v>G</x:v>
      </x:c>
      <x:c r="I3995" t="str">
        <x:v>1-3 years</x:v>
      </x:c>
      <x:c r="J3995" t="str">
        <x:v>RENT</x:v>
      </x:c>
      <x:c r="K3995" t="str">
        <x:v>debt_consolidation</x:v>
      </x:c>
      <x:c r="L3995" t="n">
        <x:v>2</x:v>
      </x:c>
      <x:c r="M3995" t="n">
        <x:v>1</x:v>
      </x:c>
      <x:c r="N3995" t="str">
        <x:v>Charged Off</x:v>
      </x:c>
      <x:c r="O3995" t="str">
        <x:f>IF(D3995="","Unknown",IF(D3995&lt;25000,"&lt;$25k",IF(D3995&lt;50000,"$25k-$50k",IF(D3995&lt;75000,"$50k-$75k",IF(D3995&lt;100000,"$75k-$100k","$100k+")))))</x:f>
        <x:v>$25k-$50k</x:v>
      </x:c>
      <x:c r="P3995" t="str">
        <x:f>IF(E3995="","Unknown",IF(E3995&lt;10,"&lt;10",IF(E3995&lt;20,"10-&lt;20",IF(E3995&lt;25,"20-&lt;25",IF(E3995&lt;35,"25-&lt;35","35+")))))</x:f>
        <x:v>35+</x:v>
      </x:c>
    </x:row>
    <x:row r="3996">
      <x:c r="A3996" t="str">
        <x:v>SYN0003995</x:v>
      </x:c>
      <x:c r="B3996" s="12" t="n">
        <x:v>42745</x:v>
      </x:c>
      <x:c r="C3996" s="18" t="n">
        <x:v>40000</x:v>
      </x:c>
      <x:c r="D3996" s="18" t="n">
        <x:v>141754</x:v>
      </x:c>
      <x:c r="E3996" s="18" t="n">
        <x:v>18.89</x:v>
      </x:c>
      <x:c r="F3996" s="18" t="n">
        <x:v>21.1</x:v>
      </x:c>
      <x:c r="G3996" t="n">
        <x:v>36</x:v>
      </x:c>
      <x:c r="H3996" t="str">
        <x:v>E</x:v>
      </x:c>
      <x:c r="I3996" t="str">
        <x:v>7-9 years</x:v>
      </x:c>
      <x:c r="J3996" t="str">
        <x:v>MORTGAGE</x:v>
      </x:c>
      <x:c r="K3996" t="str">
        <x:v>debt_consolidation</x:v>
      </x:c>
      <x:c r="L3996" t="n">
        <x:v>0</x:v>
      </x:c>
      <x:c r="M3996" t="n">
        <x:v>0</x:v>
      </x:c>
      <x:c r="N3996" t="str">
        <x:v>Fully Paid</x:v>
      </x:c>
      <x:c r="O3996" t="str">
        <x:f>IF(D3996="","Unknown",IF(D3996&lt;25000,"&lt;$25k",IF(D3996&lt;50000,"$25k-$50k",IF(D3996&lt;75000,"$50k-$75k",IF(D3996&lt;100000,"$75k-$100k","$100k+")))))</x:f>
        <x:v>$100k+</x:v>
      </x:c>
      <x:c r="P3996" t="str">
        <x:f>IF(E3996="","Unknown",IF(E3996&lt;10,"&lt;10",IF(E3996&lt;20,"10-&lt;20",IF(E3996&lt;25,"20-&lt;25",IF(E3996&lt;35,"25-&lt;35","35+")))))</x:f>
        <x:v>10-&lt;20</x:v>
      </x:c>
    </x:row>
    <x:row r="3997">
      <x:c r="A3997" t="str">
        <x:v>SYN0003996</x:v>
      </x:c>
      <x:c r="B3997" s="12" t="n">
        <x:v>42625</x:v>
      </x:c>
      <x:c r="C3997" s="18" t="n">
        <x:v>20769</x:v>
      </x:c>
      <x:c r="D3997" s="18" t="n">
        <x:v>70375</x:v>
      </x:c>
      <x:c r="E3997" s="18" t="n">
        <x:v>22.07</x:v>
      </x:c>
      <x:c r="F3997" s="18" t="n">
        <x:v>10.52</x:v>
      </x:c>
      <x:c r="G3997" t="n">
        <x:v>60</x:v>
      </x:c>
      <x:c r="H3997" t="str">
        <x:v>B</x:v>
      </x:c>
      <x:c r="I3997" t="str">
        <x:v>4-6 years</x:v>
      </x:c>
      <x:c r="J3997" t="str">
        <x:v>MORTGAGE</x:v>
      </x:c>
      <x:c r="K3997" t="str">
        <x:v>debt_consolidation</x:v>
      </x:c>
      <x:c r="L3997" t="n">
        <x:v>0</x:v>
      </x:c>
      <x:c r="M3997" t="n">
        <x:v>0</x:v>
      </x:c>
      <x:c r="N3997" t="str">
        <x:v>Fully Paid</x:v>
      </x:c>
      <x:c r="O3997" t="str">
        <x:f>IF(D3997="","Unknown",IF(D3997&lt;25000,"&lt;$25k",IF(D3997&lt;50000,"$25k-$50k",IF(D3997&lt;75000,"$50k-$75k",IF(D3997&lt;100000,"$75k-$100k","$100k+")))))</x:f>
        <x:v>$50k-$75k</x:v>
      </x:c>
      <x:c r="P3997" t="str">
        <x:f>IF(E3997="","Unknown",IF(E3997&lt;10,"&lt;10",IF(E3997&lt;20,"10-&lt;20",IF(E3997&lt;25,"20-&lt;25",IF(E3997&lt;35,"25-&lt;35","35+")))))</x:f>
        <x:v>20-&lt;25</x:v>
      </x:c>
    </x:row>
    <x:row r="3998">
      <x:c r="A3998" t="str">
        <x:v>SYN0003997</x:v>
      </x:c>
      <x:c r="B3998" s="12" t="n">
        <x:v>41515</x:v>
      </x:c>
      <x:c r="C3998" s="18" t="n">
        <x:v>8299</x:v>
      </x:c>
      <x:c r="D3998" s="18" t="n">
        <x:v>78201</x:v>
      </x:c>
      <x:c r="E3998" s="18" t="n">
        <x:v>13.95</x:v>
      </x:c>
      <x:c r="F3998" s="18" t="n">
        <x:v>13.57</x:v>
      </x:c>
      <x:c r="G3998" t="n">
        <x:v>60</x:v>
      </x:c>
      <x:c r="H3998" t="str">
        <x:v>D</x:v>
      </x:c>
      <x:c r="I3998" t="str">
        <x:v>7-9 years</x:v>
      </x:c>
      <x:c r="J3998" t="str">
        <x:v>RENT</x:v>
      </x:c>
      <x:c r="K3998" t="str">
        <x:v>debt_consolidation</x:v>
      </x:c>
      <x:c r="L3998" t="n">
        <x:v>1</x:v>
      </x:c>
      <x:c r="M3998" t="n">
        <x:v>0</x:v>
      </x:c>
      <x:c r="N3998" t="str">
        <x:v>Fully Paid</x:v>
      </x:c>
      <x:c r="O3998" t="str">
        <x:f>IF(D3998="","Unknown",IF(D3998&lt;25000,"&lt;$25k",IF(D3998&lt;50000,"$25k-$50k",IF(D3998&lt;75000,"$50k-$75k",IF(D3998&lt;100000,"$75k-$100k","$100k+")))))</x:f>
        <x:v>$75k-$100k</x:v>
      </x:c>
      <x:c r="P3998" t="str">
        <x:f>IF(E3998="","Unknown",IF(E3998&lt;10,"&lt;10",IF(E3998&lt;20,"10-&lt;20",IF(E3998&lt;25,"20-&lt;25",IF(E3998&lt;35,"25-&lt;35","35+")))))</x:f>
        <x:v>10-&lt;20</x:v>
      </x:c>
    </x:row>
    <x:row r="3999">
      <x:c r="A3999" t="str">
        <x:v>SYN0003998</x:v>
      </x:c>
      <x:c r="B3999" s="12" t="n">
        <x:v>41935</x:v>
      </x:c>
      <x:c r="C3999" s="18" t="n">
        <x:v>15941</x:v>
      </x:c>
      <x:c r="D3999" s="18" t="n">
        <x:v>58597</x:v>
      </x:c>
      <x:c r="E3999" s="18" t="n">
        <x:v>27.07</x:v>
      </x:c>
      <x:c r="F3999" s="18" t="n">
        <x:v>6.31</x:v>
      </x:c>
      <x:c r="G3999" t="n">
        <x:v>36</x:v>
      </x:c>
      <x:c r="H3999" t="str">
        <x:v>A</x:v>
      </x:c>
      <x:c r="I3999" t="str">
        <x:v>10+ years</x:v>
      </x:c>
      <x:c r="J3999" t="str">
        <x:v>MORTGAGE</x:v>
      </x:c>
      <x:c r="K3999" t="str">
        <x:v>debt_consolidation</x:v>
      </x:c>
      <x:c r="L3999" t="n">
        <x:v>1</x:v>
      </x:c>
      <x:c r="M3999" t="n">
        <x:v>0</x:v>
      </x:c>
      <x:c r="N3999" t="str">
        <x:v>Fully Paid</x:v>
      </x:c>
      <x:c r="O3999" t="str">
        <x:f>IF(D3999="","Unknown",IF(D3999&lt;25000,"&lt;$25k",IF(D3999&lt;50000,"$25k-$50k",IF(D3999&lt;75000,"$50k-$75k",IF(D3999&lt;100000,"$75k-$100k","$100k+")))))</x:f>
        <x:v>$50k-$75k</x:v>
      </x:c>
      <x:c r="P3999" t="str">
        <x:f>IF(E3999="","Unknown",IF(E3999&lt;10,"&lt;10",IF(E3999&lt;20,"10-&lt;20",IF(E3999&lt;25,"20-&lt;25",IF(E3999&lt;35,"25-&lt;35","35+")))))</x:f>
        <x:v>25-&lt;35</x:v>
      </x:c>
    </x:row>
    <x:row r="4000">
      <x:c r="A4000" t="str">
        <x:v>SYN0003999</x:v>
      </x:c>
      <x:c r="B4000" s="12" t="n">
        <x:v>43225</x:v>
      </x:c>
      <x:c r="C4000" s="18" t="n">
        <x:v>15694</x:v>
      </x:c>
      <x:c r="D4000" s="18" t="n">
        <x:v>12000</x:v>
      </x:c>
      <x:c r="E4000" s="18" t="n">
        <x:v>28.32</x:v>
      </x:c>
      <x:c r="F4000" s="18" t="n">
        <x:v>13.91</x:v>
      </x:c>
      <x:c r="G4000" t="n">
        <x:v>60</x:v>
      </x:c>
      <x:c r="H4000" t="str">
        <x:v>D</x:v>
      </x:c>
      <x:c r="I4000" t="str">
        <x:v>4-6 years</x:v>
      </x:c>
      <x:c r="J4000" t="str">
        <x:v>RENT</x:v>
      </x:c>
      <x:c r="K4000" t="str">
        <x:v>debt_consolidation</x:v>
      </x:c>
      <x:c r="L4000" t="n">
        <x:v>1</x:v>
      </x:c>
      <x:c r="M4000" t="n">
        <x:v>0</x:v>
      </x:c>
      <x:c r="N4000" t="str">
        <x:v>Fully Paid</x:v>
      </x:c>
      <x:c r="O4000" t="str">
        <x:f>IF(D4000="","Unknown",IF(D4000&lt;25000,"&lt;$25k",IF(D4000&lt;50000,"$25k-$50k",IF(D4000&lt;75000,"$50k-$75k",IF(D4000&lt;100000,"$75k-$100k","$100k+")))))</x:f>
        <x:v>&lt;$25k</x:v>
      </x:c>
      <x:c r="P4000" t="str">
        <x:f>IF(E4000="","Unknown",IF(E4000&lt;10,"&lt;10",IF(E4000&lt;20,"10-&lt;20",IF(E4000&lt;25,"20-&lt;25",IF(E4000&lt;35,"25-&lt;35","35+")))))</x:f>
        <x:v>25-&lt;35</x:v>
      </x:c>
    </x:row>
    <x:row r="4001">
      <x:c r="A4001" t="str">
        <x:v>SYN0004000</x:v>
      </x:c>
      <x:c r="B4001" s="12" t="n">
        <x:v>41875</x:v>
      </x:c>
      <x:c r="C4001" s="18" t="n">
        <x:v>8449</x:v>
      </x:c>
      <x:c r="D4001" s="18" t="n">
        <x:v>33331</x:v>
      </x:c>
      <x:c r="E4001" s="18" t="n">
        <x:v>1.81</x:v>
      </x:c>
      <x:c r="F4001" s="18" t="n">
        <x:v>9.01</x:v>
      </x:c>
      <x:c r="G4001" t="n">
        <x:v>36</x:v>
      </x:c>
      <x:c r="H4001" t="str">
        <x:v>C</x:v>
      </x:c>
      <x:c r="I4001" t="str">
        <x:v>4-6 years</x:v>
      </x:c>
      <x:c r="J4001" t="str">
        <x:v>RENT</x:v>
      </x:c>
      <x:c r="K4001" t="str">
        <x:v>medical</x:v>
      </x:c>
      <x:c r="L4001" t="n">
        <x:v>0</x:v>
      </x:c>
      <x:c r="M4001" t="n">
        <x:v>0</x:v>
      </x:c>
      <x:c r="N4001" t="str">
        <x:v>Fully Paid</x:v>
      </x:c>
      <x:c r="O4001" t="str">
        <x:f>IF(D4001="","Unknown",IF(D4001&lt;25000,"&lt;$25k",IF(D4001&lt;50000,"$25k-$50k",IF(D4001&lt;75000,"$50k-$75k",IF(D4001&lt;100000,"$75k-$100k","$100k+")))))</x:f>
        <x:v>$25k-$50k</x:v>
      </x:c>
      <x:c r="P4001" t="str">
        <x:f>IF(E4001="","Unknown",IF(E4001&lt;10,"&lt;10",IF(E4001&lt;20,"10-&lt;20",IF(E4001&lt;25,"20-&lt;25",IF(E4001&lt;35,"25-&lt;35","35+")))))</x:f>
        <x:v>&lt;10</x:v>
      </x:c>
    </x:row>
    <x:row r="4002">
      <x:c r="A4002" t="str">
        <x:v>SYN0004001</x:v>
      </x:c>
      <x:c r="B4002" s="12" t="n">
        <x:v>42085</x:v>
      </x:c>
      <x:c r="C4002" s="18" t="n">
        <x:v>16599</x:v>
      </x:c>
      <x:c r="D4002" s="18" t="n">
        <x:v>36099</x:v>
      </x:c>
      <x:c r="E4002" s="18" t="n">
        <x:v>25.16</x:v>
      </x:c>
      <x:c r="F4002" s="18" t="n">
        <x:v>6.74</x:v>
      </x:c>
      <x:c r="G4002" t="n">
        <x:v>36</x:v>
      </x:c>
      <x:c r="H4002" t="str">
        <x:v>B</x:v>
      </x:c>
      <x:c r="I4002" t="str">
        <x:v>10+ years</x:v>
      </x:c>
      <x:c r="J4002" t="str">
        <x:v>MORTGAGE</x:v>
      </x:c>
      <x:c r="K4002" t="str">
        <x:v>home_improvement</x:v>
      </x:c>
      <x:c r="L4002" t="n">
        <x:v>0</x:v>
      </x:c>
      <x:c r="M4002" t="n">
        <x:v>0</x:v>
      </x:c>
      <x:c r="N4002" t="str">
        <x:v>Fully Paid</x:v>
      </x:c>
      <x:c r="O4002" t="str">
        <x:f>IF(D4002="","Unknown",IF(D4002&lt;25000,"&lt;$25k",IF(D4002&lt;50000,"$25k-$50k",IF(D4002&lt;75000,"$50k-$75k",IF(D4002&lt;100000,"$75k-$100k","$100k+")))))</x:f>
        <x:v>$25k-$50k</x:v>
      </x:c>
      <x:c r="P4002" t="str">
        <x:f>IF(E4002="","Unknown",IF(E4002&lt;10,"&lt;10",IF(E4002&lt;20,"10-&lt;20",IF(E4002&lt;25,"20-&lt;25",IF(E4002&lt;35,"25-&lt;35","35+")))))</x:f>
        <x:v>25-&lt;35</x:v>
      </x:c>
    </x:row>
    <x:row r="4003">
      <x:c r="A4003" t="str">
        <x:v>SYN0004002</x:v>
      </x:c>
      <x:c r="B4003" s="12" t="n">
        <x:v>42835</x:v>
      </x:c>
      <x:c r="C4003" s="18" t="n">
        <x:v>10516</x:v>
      </x:c>
      <x:c r="D4003" s="18" t="n">
        <x:v>27228</x:v>
      </x:c>
      <x:c r="E4003" s="18" t="n">
        <x:v>26.19</x:v>
      </x:c>
      <x:c r="F4003" s="18" t="n">
        <x:v>18.05</x:v>
      </x:c>
      <x:c r="G4003" t="n">
        <x:v>60</x:v>
      </x:c>
      <x:c r="H4003" t="str">
        <x:v>E</x:v>
      </x:c>
      <x:c r="I4003" t="str">
        <x:v>10+ years</x:v>
      </x:c>
      <x:c r="J4003" t="str">
        <x:v>MORTGAGE</x:v>
      </x:c>
      <x:c r="K4003" t="str">
        <x:v>debt_consolidation</x:v>
      </x:c>
      <x:c r="L4003" t="n">
        <x:v>1</x:v>
      </x:c>
      <x:c r="M4003" t="n">
        <x:v>0</x:v>
      </x:c>
      <x:c r="N4003" t="str">
        <x:v>Fully Paid</x:v>
      </x:c>
      <x:c r="O4003" t="str">
        <x:f>IF(D4003="","Unknown",IF(D4003&lt;25000,"&lt;$25k",IF(D4003&lt;50000,"$25k-$50k",IF(D4003&lt;75000,"$50k-$75k",IF(D4003&lt;100000,"$75k-$100k","$100k+")))))</x:f>
        <x:v>$25k-$50k</x:v>
      </x:c>
      <x:c r="P4003" t="str">
        <x:f>IF(E4003="","Unknown",IF(E4003&lt;10,"&lt;10",IF(E4003&lt;20,"10-&lt;20",IF(E4003&lt;25,"20-&lt;25",IF(E4003&lt;35,"25-&lt;35","35+")))))</x:f>
        <x:v>25-&lt;35</x:v>
      </x:c>
    </x:row>
    <x:row r="4004">
      <x:c r="A4004" t="str">
        <x:v>SYN0004003</x:v>
      </x:c>
      <x:c r="B4004" s="12" t="n">
        <x:v>41275</x:v>
      </x:c>
      <x:c r="C4004" s="18" t="n">
        <x:v>9589</x:v>
      </x:c>
      <x:c r="D4004" s="18" t="n">
        <x:v>15367</x:v>
      </x:c>
      <x:c r="E4004" s="18" t="n">
        <x:v>27.15</x:v>
      </x:c>
      <x:c r="F4004" s="18" t="n">
        <x:v>12.29</x:v>
      </x:c>
      <x:c r="G4004" t="n">
        <x:v>36</x:v>
      </x:c>
      <x:c r="H4004" t="str">
        <x:v>D</x:v>
      </x:c>
      <x:c r="I4004" t="str">
        <x:v>10+ years</x:v>
      </x:c>
      <x:c r="J4004" t="str">
        <x:v>OWN</x:v>
      </x:c>
      <x:c r="K4004" t="str">
        <x:v>debt_consolidation</x:v>
      </x:c>
      <x:c r="L4004" t="n">
        <x:v>0</x:v>
      </x:c>
      <x:c r="M4004" t="n">
        <x:v>0</x:v>
      </x:c>
      <x:c r="N4004" t="str">
        <x:v>Fully Paid</x:v>
      </x:c>
      <x:c r="O4004" t="str">
        <x:f>IF(D4004="","Unknown",IF(D4004&lt;25000,"&lt;$25k",IF(D4004&lt;50000,"$25k-$50k",IF(D4004&lt;75000,"$50k-$75k",IF(D4004&lt;100000,"$75k-$100k","$100k+")))))</x:f>
        <x:v>&lt;$25k</x:v>
      </x:c>
      <x:c r="P4004" t="str">
        <x:f>IF(E4004="","Unknown",IF(E4004&lt;10,"&lt;10",IF(E4004&lt;20,"10-&lt;20",IF(E4004&lt;25,"20-&lt;25",IF(E4004&lt;35,"25-&lt;35","35+")))))</x:f>
        <x:v>25-&lt;35</x:v>
      </x:c>
    </x:row>
    <x:row r="4005">
      <x:c r="A4005" t="str">
        <x:v>SYN0004004</x:v>
      </x:c>
      <x:c r="B4005" s="12" t="n">
        <x:v>41575</x:v>
      </x:c>
      <x:c r="C4005" s="18" t="n">
        <x:v>19170</x:v>
      </x:c>
      <x:c r="D4005" s="18" t="n">
        <x:v>41962</x:v>
      </x:c>
      <x:c r="E4005" s="18" t="n">
        <x:v>1.38</x:v>
      </x:c>
      <x:c r="F4005" s="18" t="n">
        <x:v>27.96</x:v>
      </x:c>
      <x:c r="G4005" t="n">
        <x:v>36</x:v>
      </x:c>
      <x:c r="H4005" t="str">
        <x:v>G</x:v>
      </x:c>
      <x:c r="I4005" t="str">
        <x:v>7-9 years</x:v>
      </x:c>
      <x:c r="J4005" t="str">
        <x:v>MORTGAGE</x:v>
      </x:c>
      <x:c r="K4005" t="str">
        <x:v>debt_consolidation</x:v>
      </x:c>
      <x:c r="L4005" t="n">
        <x:v>0</x:v>
      </x:c>
      <x:c r="M4005" t="n">
        <x:v>0</x:v>
      </x:c>
      <x:c r="N4005" t="str">
        <x:v>Fully Paid</x:v>
      </x:c>
      <x:c r="O4005" t="str">
        <x:f>IF(D4005="","Unknown",IF(D4005&lt;25000,"&lt;$25k",IF(D4005&lt;50000,"$25k-$50k",IF(D4005&lt;75000,"$50k-$75k",IF(D4005&lt;100000,"$75k-$100k","$100k+")))))</x:f>
        <x:v>$25k-$50k</x:v>
      </x:c>
      <x:c r="P4005" t="str">
        <x:f>IF(E4005="","Unknown",IF(E4005&lt;10,"&lt;10",IF(E4005&lt;20,"10-&lt;20",IF(E4005&lt;25,"20-&lt;25",IF(E4005&lt;35,"25-&lt;35","35+")))))</x:f>
        <x:v>&lt;10</x:v>
      </x:c>
    </x:row>
    <x:row r="4006">
      <x:c r="A4006" t="str">
        <x:v>SYN0004005</x:v>
      </x:c>
      <x:c r="B4006" s="12" t="n">
        <x:v>43015</x:v>
      </x:c>
      <x:c r="C4006" s="18" t="n">
        <x:v>13692</x:v>
      </x:c>
      <x:c r="D4006" s="18" t="n">
        <x:v>50646</x:v>
      </x:c>
      <x:c r="E4006" s="18" t="n">
        <x:v>8.56</x:v>
      </x:c>
      <x:c r="F4006" s="18" t="n">
        <x:v>5</x:v>
      </x:c>
      <x:c r="G4006" t="n">
        <x:v>36</x:v>
      </x:c>
      <x:c r="H4006" t="str">
        <x:v>B</x:v>
      </x:c>
      <x:c r="I4006" t="str">
        <x:v>&lt;1 year</x:v>
      </x:c>
      <x:c r="J4006" t="str">
        <x:v>MORTGAGE</x:v>
      </x:c>
      <x:c r="K4006" t="str">
        <x:v>credit_card</x:v>
      </x:c>
      <x:c r="L4006" t="n">
        <x:v>0</x:v>
      </x:c>
      <x:c r="M4006" t="n">
        <x:v>0</x:v>
      </x:c>
      <x:c r="N4006" t="str">
        <x:v>Fully Paid</x:v>
      </x:c>
      <x:c r="O4006" t="str">
        <x:f>IF(D4006="","Unknown",IF(D4006&lt;25000,"&lt;$25k",IF(D4006&lt;50000,"$25k-$50k",IF(D4006&lt;75000,"$50k-$75k",IF(D4006&lt;100000,"$75k-$100k","$100k+")))))</x:f>
        <x:v>$50k-$75k</x:v>
      </x:c>
      <x:c r="P4006" t="str">
        <x:f>IF(E4006="","Unknown",IF(E4006&lt;10,"&lt;10",IF(E4006&lt;20,"10-&lt;20",IF(E4006&lt;25,"20-&lt;25",IF(E4006&lt;35,"25-&lt;35","35+")))))</x:f>
        <x:v>&lt;10</x:v>
      </x:c>
    </x:row>
    <x:row r="4007">
      <x:c r="A4007" t="str">
        <x:v>SYN0004006</x:v>
      </x:c>
      <x:c r="B4007" s="12" t="n">
        <x:v>43315</x:v>
      </x:c>
      <x:c r="C4007" s="18" t="n">
        <x:v>10332</x:v>
      </x:c>
      <x:c r="D4007" s="18" t="n">
        <x:v>34208</x:v>
      </x:c>
      <x:c r="E4007" s="18" t="n">
        <x:v>17.25</x:v>
      </x:c>
      <x:c r="F4007" s="18" t="n">
        <x:v>16.15</x:v>
      </x:c>
      <x:c r="G4007" t="n">
        <x:v>36</x:v>
      </x:c>
      <x:c r="H4007" t="str">
        <x:v>D</x:v>
      </x:c>
      <x:c r="I4007" t="str">
        <x:v>4-6 years</x:v>
      </x:c>
      <x:c r="J4007" t="str">
        <x:v>MORTGAGE</x:v>
      </x:c>
      <x:c r="K4007" t="str">
        <x:v>credit_card</x:v>
      </x:c>
      <x:c r="L4007" t="n">
        <x:v>1</x:v>
      </x:c>
      <x:c r="M4007" t="n">
        <x:v>0</x:v>
      </x:c>
      <x:c r="N4007" t="str">
        <x:v>Fully Paid</x:v>
      </x:c>
      <x:c r="O4007" t="str">
        <x:f>IF(D4007="","Unknown",IF(D4007&lt;25000,"&lt;$25k",IF(D4007&lt;50000,"$25k-$50k",IF(D4007&lt;75000,"$50k-$75k",IF(D4007&lt;100000,"$75k-$100k","$100k+")))))</x:f>
        <x:v>$25k-$50k</x:v>
      </x:c>
      <x:c r="P4007" t="str">
        <x:f>IF(E4007="","Unknown",IF(E4007&lt;10,"&lt;10",IF(E4007&lt;20,"10-&lt;20",IF(E4007&lt;25,"20-&lt;25",IF(E4007&lt;35,"25-&lt;35","35+")))))</x:f>
        <x:v>10-&lt;20</x:v>
      </x:c>
    </x:row>
    <x:row r="4008">
      <x:c r="A4008" t="str">
        <x:v>SYN0004007</x:v>
      </x:c>
      <x:c r="B4008" s="12" t="n">
        <x:v>41485</x:v>
      </x:c>
      <x:c r="C4008" s="18" t="n">
        <x:v>19277</x:v>
      </x:c>
      <x:c r="D4008" s="18" t="n">
        <x:v>48742</x:v>
      </x:c>
      <x:c r="E4008" s="18" t="n">
        <x:v>20.88</x:v>
      </x:c>
      <x:c r="F4008" s="18" t="n">
        <x:v>13.61</x:v>
      </x:c>
      <x:c r="G4008" t="n">
        <x:v>60</x:v>
      </x:c>
      <x:c r="H4008" t="str">
        <x:v>D</x:v>
      </x:c>
      <x:c r="I4008" t="str">
        <x:v>7-9 years</x:v>
      </x:c>
      <x:c r="J4008" t="str">
        <x:v>MORTGAGE</x:v>
      </x:c>
      <x:c r="K4008" t="str">
        <x:v>debt_consolidation</x:v>
      </x:c>
      <x:c r="L4008" t="n">
        <x:v>0</x:v>
      </x:c>
      <x:c r="M4008" t="n">
        <x:v>0</x:v>
      </x:c>
      <x:c r="N4008" t="str">
        <x:v>Fully Paid</x:v>
      </x:c>
      <x:c r="O4008" t="str">
        <x:f>IF(D4008="","Unknown",IF(D4008&lt;25000,"&lt;$25k",IF(D4008&lt;50000,"$25k-$50k",IF(D4008&lt;75000,"$50k-$75k",IF(D4008&lt;100000,"$75k-$100k","$100k+")))))</x:f>
        <x:v>$25k-$50k</x:v>
      </x:c>
      <x:c r="P4008" t="str">
        <x:f>IF(E4008="","Unknown",IF(E4008&lt;10,"&lt;10",IF(E4008&lt;20,"10-&lt;20",IF(E4008&lt;25,"20-&lt;25",IF(E4008&lt;35,"25-&lt;35","35+")))))</x:f>
        <x:v>20-&lt;25</x:v>
      </x:c>
    </x:row>
    <x:row r="4009">
      <x:c r="A4009" t="str">
        <x:v>SYN0004008</x:v>
      </x:c>
      <x:c r="B4009" s="12" t="n">
        <x:v>42745</x:v>
      </x:c>
      <x:c r="C4009" s="18" t="n">
        <x:v>22676</x:v>
      </x:c>
      <x:c r="D4009" s="18" t="n">
        <x:v>63134</x:v>
      </x:c>
      <x:c r="E4009" s="18" t="n">
        <x:v>21.61</x:v>
      </x:c>
      <x:c r="F4009" s="18" t="n">
        <x:v>22.67</x:v>
      </x:c>
      <x:c r="G4009" t="n">
        <x:v>36</x:v>
      </x:c>
      <x:c r="H4009" t="str">
        <x:v>F</x:v>
      </x:c>
      <x:c r="I4009" t="str">
        <x:v>10+ years</x:v>
      </x:c>
      <x:c r="J4009" t="str">
        <x:v>RENT</x:v>
      </x:c>
      <x:c r="K4009" t="str">
        <x:v>debt_consolidation</x:v>
      </x:c>
      <x:c r="L4009" t="n">
        <x:v>0</x:v>
      </x:c>
      <x:c r="M4009" t="n">
        <x:v>1</x:v>
      </x:c>
      <x:c r="N4009" t="str">
        <x:v>Charged Off</x:v>
      </x:c>
      <x:c r="O4009" t="str">
        <x:f>IF(D4009="","Unknown",IF(D4009&lt;25000,"&lt;$25k",IF(D4009&lt;50000,"$25k-$50k",IF(D4009&lt;75000,"$50k-$75k",IF(D4009&lt;100000,"$75k-$100k","$100k+")))))</x:f>
        <x:v>$50k-$75k</x:v>
      </x:c>
      <x:c r="P4009" t="str">
        <x:f>IF(E4009="","Unknown",IF(E4009&lt;10,"&lt;10",IF(E4009&lt;20,"10-&lt;20",IF(E4009&lt;25,"20-&lt;25",IF(E4009&lt;35,"25-&lt;35","35+")))))</x:f>
        <x:v>20-&lt;25</x:v>
      </x:c>
    </x:row>
    <x:row r="4010">
      <x:c r="A4010" t="str">
        <x:v>SYN0004009</x:v>
      </x:c>
      <x:c r="B4010" s="12" t="n">
        <x:v>42985</x:v>
      </x:c>
      <x:c r="C4010" s="18" t="n">
        <x:v>35953</x:v>
      </x:c>
      <x:c r="D4010" s="18" t="n">
        <x:v>146621</x:v>
      </x:c>
      <x:c r="E4010" s="18" t="n">
        <x:v>18.79</x:v>
      </x:c>
      <x:c r="F4010" s="18" t="n">
        <x:v>6.42</x:v>
      </x:c>
      <x:c r="G4010" t="n">
        <x:v>36</x:v>
      </x:c>
      <x:c r="H4010" t="str">
        <x:v>A</x:v>
      </x:c>
      <x:c r="I4010" t="str">
        <x:v>7-9 years</x:v>
      </x:c>
      <x:c r="J4010" t="str">
        <x:v>MORTGAGE</x:v>
      </x:c>
      <x:c r="K4010" t="str">
        <x:v>debt_consolidation</x:v>
      </x:c>
      <x:c r="L4010" t="n">
        <x:v>0</x:v>
      </x:c>
      <x:c r="M4010" t="n">
        <x:v>0</x:v>
      </x:c>
      <x:c r="N4010" t="str">
        <x:v>Fully Paid</x:v>
      </x:c>
      <x:c r="O4010" t="str">
        <x:f>IF(D4010="","Unknown",IF(D4010&lt;25000,"&lt;$25k",IF(D4010&lt;50000,"$25k-$50k",IF(D4010&lt;75000,"$50k-$75k",IF(D4010&lt;100000,"$75k-$100k","$100k+")))))</x:f>
        <x:v>$100k+</x:v>
      </x:c>
      <x:c r="P4010" t="str">
        <x:f>IF(E4010="","Unknown",IF(E4010&lt;10,"&lt;10",IF(E4010&lt;20,"10-&lt;20",IF(E4010&lt;25,"20-&lt;25",IF(E4010&lt;35,"25-&lt;35","35+")))))</x:f>
        <x:v>10-&lt;20</x:v>
      </x:c>
    </x:row>
    <x:row r="4011">
      <x:c r="A4011" t="str">
        <x:v>SYN0004010</x:v>
      </x:c>
      <x:c r="B4011" s="12" t="n">
        <x:v>43015</x:v>
      </x:c>
      <x:c r="C4011" s="18" t="n">
        <x:v>8754</x:v>
      </x:c>
      <x:c r="D4011" s="18" t="n">
        <x:v>90045</x:v>
      </x:c>
      <x:c r="E4011" s="18" t="n">
        <x:v>27.82</x:v>
      </x:c>
      <x:c r="F4011" s="18" t="n">
        <x:v>15.22</x:v>
      </x:c>
      <x:c r="G4011" t="n">
        <x:v>36</x:v>
      </x:c>
      <x:c r="H4011" t="str">
        <x:v>E</x:v>
      </x:c>
      <x:c r="I4011" t="str">
        <x:v>7-9 years</x:v>
      </x:c>
      <x:c r="J4011" t="str">
        <x:v>MORTGAGE</x:v>
      </x:c>
      <x:c r="K4011" t="str">
        <x:v>debt_consolidation</x:v>
      </x:c>
      <x:c r="L4011" t="n">
        <x:v>1</x:v>
      </x:c>
      <x:c r="M4011" t="n">
        <x:v>0</x:v>
      </x:c>
      <x:c r="N4011" t="str">
        <x:v>Fully Paid</x:v>
      </x:c>
      <x:c r="O4011" t="str">
        <x:f>IF(D4011="","Unknown",IF(D4011&lt;25000,"&lt;$25k",IF(D4011&lt;50000,"$25k-$50k",IF(D4011&lt;75000,"$50k-$75k",IF(D4011&lt;100000,"$75k-$100k","$100k+")))))</x:f>
        <x:v>$75k-$100k</x:v>
      </x:c>
      <x:c r="P4011" t="str">
        <x:f>IF(E4011="","Unknown",IF(E4011&lt;10,"&lt;10",IF(E4011&lt;20,"10-&lt;20",IF(E4011&lt;25,"20-&lt;25",IF(E4011&lt;35,"25-&lt;35","35+")))))</x:f>
        <x:v>25-&lt;35</x:v>
      </x:c>
    </x:row>
    <x:row r="4012">
      <x:c r="A4012" t="str">
        <x:v>SYN0004011</x:v>
      </x:c>
      <x:c r="B4012" s="12" t="n">
        <x:v>41635</x:v>
      </x:c>
      <x:c r="C4012" s="18" t="n">
        <x:v>22122</x:v>
      </x:c>
      <x:c r="D4012" s="18" t="n">
        <x:v>159002</x:v>
      </x:c>
      <x:c r="E4012" s="18" t="n">
        <x:v>26.44</x:v>
      </x:c>
      <x:c r="F4012" s="18" t="n">
        <x:v>13.34</x:v>
      </x:c>
      <x:c r="G4012" t="n">
        <x:v>36</x:v>
      </x:c>
      <x:c r="H4012" t="str">
        <x:v>C</x:v>
      </x:c>
      <x:c r="I4012" t="str">
        <x:v>10+ years</x:v>
      </x:c>
      <x:c r="J4012" t="str">
        <x:v>OTHER</x:v>
      </x:c>
      <x:c r="K4012" t="str">
        <x:v>debt_consolidation</x:v>
      </x:c>
      <x:c r="L4012" t="n">
        <x:v>0</x:v>
      </x:c>
      <x:c r="M4012" t="n">
        <x:v>0</x:v>
      </x:c>
      <x:c r="N4012" t="str">
        <x:v>Fully Paid</x:v>
      </x:c>
      <x:c r="O4012" t="str">
        <x:f>IF(D4012="","Unknown",IF(D4012&lt;25000,"&lt;$25k",IF(D4012&lt;50000,"$25k-$50k",IF(D4012&lt;75000,"$50k-$75k",IF(D4012&lt;100000,"$75k-$100k","$100k+")))))</x:f>
        <x:v>$100k+</x:v>
      </x:c>
      <x:c r="P4012" t="str">
        <x:f>IF(E4012="","Unknown",IF(E4012&lt;10,"&lt;10",IF(E4012&lt;20,"10-&lt;20",IF(E4012&lt;25,"20-&lt;25",IF(E4012&lt;35,"25-&lt;35","35+")))))</x:f>
        <x:v>25-&lt;35</x:v>
      </x:c>
    </x:row>
    <x:row r="4013">
      <x:c r="A4013" t="str">
        <x:v>SYN0004012</x:v>
      </x:c>
      <x:c r="B4013" s="12" t="n">
        <x:v>41575</x:v>
      </x:c>
      <x:c r="C4013" s="18" t="n">
        <x:v>9334</x:v>
      </x:c>
      <x:c r="D4013" s="18" t="n">
        <x:v>82670</x:v>
      </x:c>
      <x:c r="E4013" s="18" t="n">
        <x:v>20.98</x:v>
      </x:c>
      <x:c r="F4013" s="18" t="n">
        <x:v>10.83</x:v>
      </x:c>
      <x:c r="G4013" t="n">
        <x:v>36</x:v>
      </x:c>
      <x:c r="H4013" t="str">
        <x:v>B</x:v>
      </x:c>
      <x:c r="I4013" t="str">
        <x:v>1-3 years</x:v>
      </x:c>
      <x:c r="J4013" t="str">
        <x:v>RENT</x:v>
      </x:c>
      <x:c r="K4013" t="str">
        <x:v>debt_consolidation</x:v>
      </x:c>
      <x:c r="L4013" t="n">
        <x:v>0</x:v>
      </x:c>
      <x:c r="M4013" t="n">
        <x:v>0</x:v>
      </x:c>
      <x:c r="N4013" t="str">
        <x:v>Fully Paid</x:v>
      </x:c>
      <x:c r="O4013" t="str">
        <x:f>IF(D4013="","Unknown",IF(D4013&lt;25000,"&lt;$25k",IF(D4013&lt;50000,"$25k-$50k",IF(D4013&lt;75000,"$50k-$75k",IF(D4013&lt;100000,"$75k-$100k","$100k+")))))</x:f>
        <x:v>$75k-$100k</x:v>
      </x:c>
      <x:c r="P4013" t="str">
        <x:f>IF(E4013="","Unknown",IF(E4013&lt;10,"&lt;10",IF(E4013&lt;20,"10-&lt;20",IF(E4013&lt;25,"20-&lt;25",IF(E4013&lt;35,"25-&lt;35","35+")))))</x:f>
        <x:v>20-&lt;25</x:v>
      </x:c>
    </x:row>
    <x:row r="4014">
      <x:c r="A4014" t="str">
        <x:v>SYN0004013</x:v>
      </x:c>
      <x:c r="B4014" s="12" t="n">
        <x:v>41515</x:v>
      </x:c>
      <x:c r="C4014" s="18" t="n">
        <x:v>5715</x:v>
      </x:c>
      <x:c r="D4014" s="18" t="n">
        <x:v>41598</x:v>
      </x:c>
      <x:c r="E4014" s="18" t="n">
        <x:v>14.89</x:v>
      </x:c>
      <x:c r="F4014" s="18" t="n">
        <x:v>12</x:v>
      </x:c>
      <x:c r="G4014" t="n">
        <x:v>36</x:v>
      </x:c>
      <x:c r="H4014" t="str">
        <x:v>C</x:v>
      </x:c>
      <x:c r="I4014" t="str">
        <x:v>7-9 years</x:v>
      </x:c>
      <x:c r="J4014" t="str">
        <x:v>RENT</x:v>
      </x:c>
      <x:c r="K4014" t="str">
        <x:v>home_improvement</x:v>
      </x:c>
      <x:c r="L4014" t="n">
        <x:v>1</x:v>
      </x:c>
      <x:c r="M4014" t="n">
        <x:v>0</x:v>
      </x:c>
      <x:c r="N4014" t="str">
        <x:v>Fully Paid</x:v>
      </x:c>
      <x:c r="O4014" t="str">
        <x:f>IF(D4014="","Unknown",IF(D4014&lt;25000,"&lt;$25k",IF(D4014&lt;50000,"$25k-$50k",IF(D4014&lt;75000,"$50k-$75k",IF(D4014&lt;100000,"$75k-$100k","$100k+")))))</x:f>
        <x:v>$25k-$50k</x:v>
      </x:c>
      <x:c r="P4014" t="str">
        <x:f>IF(E4014="","Unknown",IF(E4014&lt;10,"&lt;10",IF(E4014&lt;20,"10-&lt;20",IF(E4014&lt;25,"20-&lt;25",IF(E4014&lt;35,"25-&lt;35","35+")))))</x:f>
        <x:v>10-&lt;20</x:v>
      </x:c>
    </x:row>
    <x:row r="4015">
      <x:c r="A4015" t="str">
        <x:v>SYN0004014</x:v>
      </x:c>
      <x:c r="B4015" s="12" t="n">
        <x:v>43015</x:v>
      </x:c>
      <x:c r="C4015" s="18" t="n">
        <x:v>20914</x:v>
      </x:c>
      <x:c r="D4015" s="18" t="n">
        <x:v>27079</x:v>
      </x:c>
      <x:c r="E4015" s="18" t="n">
        <x:v>0</x:v>
      </x:c>
      <x:c r="F4015" s="18" t="n">
        <x:v>5.32</x:v>
      </x:c>
      <x:c r="G4015" t="n">
        <x:v>60</x:v>
      </x:c>
      <x:c r="H4015" t="str">
        <x:v>B</x:v>
      </x:c>
      <x:c r="I4015" t="str">
        <x:v>1-3 years</x:v>
      </x:c>
      <x:c r="J4015" t="str">
        <x:v>RENT</x:v>
      </x:c>
      <x:c r="K4015" t="str">
        <x:v>other</x:v>
      </x:c>
      <x:c r="L4015" t="n">
        <x:v>0</x:v>
      </x:c>
      <x:c r="M4015" t="n">
        <x:v>0</x:v>
      </x:c>
      <x:c r="N4015" t="str">
        <x:v>Fully Paid</x:v>
      </x:c>
      <x:c r="O4015" t="str">
        <x:f>IF(D4015="","Unknown",IF(D4015&lt;25000,"&lt;$25k",IF(D4015&lt;50000,"$25k-$50k",IF(D4015&lt;75000,"$50k-$75k",IF(D4015&lt;100000,"$75k-$100k","$100k+")))))</x:f>
        <x:v>$25k-$50k</x:v>
      </x:c>
      <x:c r="P4015" t="str">
        <x:f>IF(E4015="","Unknown",IF(E4015&lt;10,"&lt;10",IF(E4015&lt;20,"10-&lt;20",IF(E4015&lt;25,"20-&lt;25",IF(E4015&lt;35,"25-&lt;35","35+")))))</x:f>
        <x:v>Unknown</x:v>
      </x:c>
    </x:row>
    <x:row r="4016">
      <x:c r="A4016" t="str">
        <x:v>SYN0004015</x:v>
      </x:c>
      <x:c r="B4016" s="12" t="n">
        <x:v>41395</x:v>
      </x:c>
      <x:c r="C4016" s="18" t="n">
        <x:v>9819</x:v>
      </x:c>
      <x:c r="D4016" s="18" t="n">
        <x:v>145287</x:v>
      </x:c>
      <x:c r="E4016" s="18" t="n">
        <x:v>20.14</x:v>
      </x:c>
      <x:c r="F4016" s="18" t="n">
        <x:v>6.69</x:v>
      </x:c>
      <x:c r="G4016" t="n">
        <x:v>36</x:v>
      </x:c>
      <x:c r="H4016" t="str">
        <x:v>A</x:v>
      </x:c>
      <x:c r="I4016" t="str">
        <x:v>10+ years</x:v>
      </x:c>
      <x:c r="J4016" t="str">
        <x:v>RENT</x:v>
      </x:c>
      <x:c r="K4016" t="str">
        <x:v>debt_consolidation</x:v>
      </x:c>
      <x:c r="L4016" t="n">
        <x:v>0</x:v>
      </x:c>
      <x:c r="M4016" t="n">
        <x:v>0</x:v>
      </x:c>
      <x:c r="N4016" t="str">
        <x:v>Fully Paid</x:v>
      </x:c>
      <x:c r="O4016" t="str">
        <x:f>IF(D4016="","Unknown",IF(D4016&lt;25000,"&lt;$25k",IF(D4016&lt;50000,"$25k-$50k",IF(D4016&lt;75000,"$50k-$75k",IF(D4016&lt;100000,"$75k-$100k","$100k+")))))</x:f>
        <x:v>$100k+</x:v>
      </x:c>
      <x:c r="P4016" t="str">
        <x:f>IF(E4016="","Unknown",IF(E4016&lt;10,"&lt;10",IF(E4016&lt;20,"10-&lt;20",IF(E4016&lt;25,"20-&lt;25",IF(E4016&lt;35,"25-&lt;35","35+")))))</x:f>
        <x:v>20-&lt;25</x:v>
      </x:c>
    </x:row>
    <x:row r="4017">
      <x:c r="A4017" t="str">
        <x:v>SYN0004016</x:v>
      </x:c>
      <x:c r="B4017" s="12" t="n">
        <x:v>42505</x:v>
      </x:c>
      <x:c r="C4017" s="18" t="n">
        <x:v>9611</x:v>
      </x:c>
      <x:c r="D4017" s="18" t="n">
        <x:v>31246</x:v>
      </x:c>
      <x:c r="E4017" s="18" t="n">
        <x:v>5.1</x:v>
      </x:c>
      <x:c r="F4017" s="18" t="n">
        <x:v>10.99</x:v>
      </x:c>
      <x:c r="G4017" t="n">
        <x:v>60</x:v>
      </x:c>
      <x:c r="H4017" t="str">
        <x:v>C</x:v>
      </x:c>
      <x:c r="I4017" t="str">
        <x:v>4-6 years</x:v>
      </x:c>
      <x:c r="J4017" t="str">
        <x:v>MORTGAGE</x:v>
      </x:c>
      <x:c r="K4017" t="str">
        <x:v>medical</x:v>
      </x:c>
      <x:c r="L4017" t="n">
        <x:v>1</x:v>
      </x:c>
      <x:c r="M4017" t="n">
        <x:v>0</x:v>
      </x:c>
      <x:c r="N4017" t="str">
        <x:v>Fully Paid</x:v>
      </x:c>
      <x:c r="O4017" t="str">
        <x:f>IF(D4017="","Unknown",IF(D4017&lt;25000,"&lt;$25k",IF(D4017&lt;50000,"$25k-$50k",IF(D4017&lt;75000,"$50k-$75k",IF(D4017&lt;100000,"$75k-$100k","$100k+")))))</x:f>
        <x:v>$25k-$50k</x:v>
      </x:c>
      <x:c r="P4017" t="str">
        <x:f>IF(E4017="","Unknown",IF(E4017&lt;10,"&lt;10",IF(E4017&lt;20,"10-&lt;20",IF(E4017&lt;25,"20-&lt;25",IF(E4017&lt;35,"25-&lt;35","35+")))))</x:f>
        <x:v>&lt;10</x:v>
      </x:c>
    </x:row>
    <x:row r="4018">
      <x:c r="A4018" t="str">
        <x:v>SYN0004017</x:v>
      </x:c>
      <x:c r="B4018" s="12" t="n">
        <x:v>41305</x:v>
      </x:c>
      <x:c r="C4018" s="18" t="n">
        <x:v>11487</x:v>
      </x:c>
      <x:c r="D4018" s="18" t="n">
        <x:v>46161</x:v>
      </x:c>
      <x:c r="E4018" s="18" t="n">
        <x:v>12.51</x:v>
      </x:c>
      <x:c r="F4018" s="18" t="n">
        <x:v>11.31</x:v>
      </x:c>
      <x:c r="G4018" t="n">
        <x:v>36</x:v>
      </x:c>
      <x:c r="H4018" t="str">
        <x:v>B</x:v>
      </x:c>
      <x:c r="I4018" t="str">
        <x:v>4-6 years</x:v>
      </x:c>
      <x:c r="J4018" t="str">
        <x:v>RENT</x:v>
      </x:c>
      <x:c r="K4018" t="str">
        <x:v>debt_consolidation</x:v>
      </x:c>
      <x:c r="L4018" t="n">
        <x:v>0</x:v>
      </x:c>
      <x:c r="M4018" t="n">
        <x:v>0</x:v>
      </x:c>
      <x:c r="N4018" t="str">
        <x:v>Fully Paid</x:v>
      </x:c>
      <x:c r="O4018" t="str">
        <x:f>IF(D4018="","Unknown",IF(D4018&lt;25000,"&lt;$25k",IF(D4018&lt;50000,"$25k-$50k",IF(D4018&lt;75000,"$50k-$75k",IF(D4018&lt;100000,"$75k-$100k","$100k+")))))</x:f>
        <x:v>$25k-$50k</x:v>
      </x:c>
      <x:c r="P4018" t="str">
        <x:f>IF(E4018="","Unknown",IF(E4018&lt;10,"&lt;10",IF(E4018&lt;20,"10-&lt;20",IF(E4018&lt;25,"20-&lt;25",IF(E4018&lt;35,"25-&lt;35","35+")))))</x:f>
        <x:v>10-&lt;20</x:v>
      </x:c>
    </x:row>
    <x:row r="4019">
      <x:c r="A4019" t="str">
        <x:v>SYN0004018</x:v>
      </x:c>
      <x:c r="B4019" s="12" t="n">
        <x:v>42895</x:v>
      </x:c>
      <x:c r="C4019" s="18" t="n">
        <x:v>8470</x:v>
      </x:c>
      <x:c r="D4019" s="18" t="n">
        <x:v>43403</x:v>
      </x:c>
      <x:c r="E4019" s="18" t="n">
        <x:v>24.33</x:v>
      </x:c>
      <x:c r="F4019" s="18" t="n">
        <x:v>18.11</x:v>
      </x:c>
      <x:c r="G4019" t="n">
        <x:v>36</x:v>
      </x:c>
      <x:c r="H4019" t="str">
        <x:v>E</x:v>
      </x:c>
      <x:c r="I4019" t="str">
        <x:v>4-6 years</x:v>
      </x:c>
      <x:c r="J4019" t="str">
        <x:v>MORTGAGE</x:v>
      </x:c>
      <x:c r="K4019" t="str">
        <x:v>credit_card</x:v>
      </x:c>
      <x:c r="L4019" t="n">
        <x:v>0</x:v>
      </x:c>
      <x:c r="M4019" t="n">
        <x:v>0</x:v>
      </x:c>
      <x:c r="N4019" t="str">
        <x:v>Fully Paid</x:v>
      </x:c>
      <x:c r="O4019" t="str">
        <x:f>IF(D4019="","Unknown",IF(D4019&lt;25000,"&lt;$25k",IF(D4019&lt;50000,"$25k-$50k",IF(D4019&lt;75000,"$50k-$75k",IF(D4019&lt;100000,"$75k-$100k","$100k+")))))</x:f>
        <x:v>$25k-$50k</x:v>
      </x:c>
      <x:c r="P4019" t="str">
        <x:f>IF(E4019="","Unknown",IF(E4019&lt;10,"&lt;10",IF(E4019&lt;20,"10-&lt;20",IF(E4019&lt;25,"20-&lt;25",IF(E4019&lt;35,"25-&lt;35","35+")))))</x:f>
        <x:v>20-&lt;25</x:v>
      </x:c>
    </x:row>
    <x:row r="4020">
      <x:c r="A4020" t="str">
        <x:v>SYN0004019</x:v>
      </x:c>
      <x:c r="B4020" s="12" t="n">
        <x:v>41665</x:v>
      </x:c>
      <x:c r="C4020" s="18" t="n">
        <x:v>7505</x:v>
      </x:c>
      <x:c r="D4020" s="18" t="n">
        <x:v>12265</x:v>
      </x:c>
      <x:c r="E4020" s="18" t="n">
        <x:v>19.51</x:v>
      </x:c>
      <x:c r="F4020" s="18" t="n">
        <x:v>10.32</x:v>
      </x:c>
      <x:c r="G4020" t="n">
        <x:v>36</x:v>
      </x:c>
      <x:c r="H4020" t="str">
        <x:v>C</x:v>
      </x:c>
      <x:c r="I4020" t="str">
        <x:v>&lt;1 year</x:v>
      </x:c>
      <x:c r="J4020" t="str">
        <x:v>RENT</x:v>
      </x:c>
      <x:c r="K4020" t="str">
        <x:v>debt_consolidation</x:v>
      </x:c>
      <x:c r="L4020" t="n">
        <x:v>0</x:v>
      </x:c>
      <x:c r="M4020" t="n">
        <x:v>0</x:v>
      </x:c>
      <x:c r="N4020" t="str">
        <x:v>Fully Paid</x:v>
      </x:c>
      <x:c r="O4020" t="str">
        <x:f>IF(D4020="","Unknown",IF(D4020&lt;25000,"&lt;$25k",IF(D4020&lt;50000,"$25k-$50k",IF(D4020&lt;75000,"$50k-$75k",IF(D4020&lt;100000,"$75k-$100k","$100k+")))))</x:f>
        <x:v>&lt;$25k</x:v>
      </x:c>
      <x:c r="P4020" t="str">
        <x:f>IF(E4020="","Unknown",IF(E4020&lt;10,"&lt;10",IF(E4020&lt;20,"10-&lt;20",IF(E4020&lt;25,"20-&lt;25",IF(E4020&lt;35,"25-&lt;35","35+")))))</x:f>
        <x:v>10-&lt;20</x:v>
      </x:c>
    </x:row>
    <x:row r="4021">
      <x:c r="A4021" t="str">
        <x:v>SYN0004020</x:v>
      </x:c>
      <x:c r="B4021" s="12" t="n">
        <x:v>42475</x:v>
      </x:c>
      <x:c r="C4021" s="18" t="n">
        <x:v>21445</x:v>
      </x:c>
      <x:c r="D4021" s="18" t="n">
        <x:v>38410</x:v>
      </x:c>
      <x:c r="E4021" s="18" t="n">
        <x:v>19.93</x:v>
      </x:c>
      <x:c r="F4021" s="18" t="n">
        <x:v>22.33</x:v>
      </x:c>
      <x:c r="G4021" t="n">
        <x:v>60</x:v>
      </x:c>
      <x:c r="H4021" t="str">
        <x:v>F</x:v>
      </x:c>
      <x:c r="I4021" t="str">
        <x:v>&lt;1 year</x:v>
      </x:c>
      <x:c r="J4021" t="str">
        <x:v>MORTGAGE</x:v>
      </x:c>
      <x:c r="K4021" t="str">
        <x:v>debt_consolidation</x:v>
      </x:c>
      <x:c r="L4021" t="n">
        <x:v>1</x:v>
      </x:c>
      <x:c r="M4021" t="n">
        <x:v>0</x:v>
      </x:c>
      <x:c r="N4021" t="str">
        <x:v>Fully Paid</x:v>
      </x:c>
      <x:c r="O4021" t="str">
        <x:f>IF(D4021="","Unknown",IF(D4021&lt;25000,"&lt;$25k",IF(D4021&lt;50000,"$25k-$50k",IF(D4021&lt;75000,"$50k-$75k",IF(D4021&lt;100000,"$75k-$100k","$100k+")))))</x:f>
        <x:v>$25k-$50k</x:v>
      </x:c>
      <x:c r="P4021" t="str">
        <x:f>IF(E4021="","Unknown",IF(E4021&lt;10,"&lt;10",IF(E4021&lt;20,"10-&lt;20",IF(E4021&lt;25,"20-&lt;25",IF(E4021&lt;35,"25-&lt;35","35+")))))</x:f>
        <x:v>10-&lt;20</x:v>
      </x:c>
    </x:row>
    <x:row r="4022">
      <x:c r="A4022" t="str">
        <x:v>SYN0004021</x:v>
      </x:c>
      <x:c r="B4022" s="12" t="n">
        <x:v>42565</x:v>
      </x:c>
      <x:c r="C4022" s="18" t="n">
        <x:v>8247</x:v>
      </x:c>
      <x:c r="D4022" s="18" t="n">
        <x:v>52503</x:v>
      </x:c>
      <x:c r="E4022" s="18" t="n">
        <x:v>19.84</x:v>
      </x:c>
      <x:c r="F4022" s="18" t="n">
        <x:v>6.4</x:v>
      </x:c>
      <x:c r="G4022" t="n">
        <x:v>36</x:v>
      </x:c>
      <x:c r="H4022" t="str">
        <x:v>A</x:v>
      </x:c>
      <x:c r="I4022" t="str">
        <x:v>7-9 years</x:v>
      </x:c>
      <x:c r="J4022" t="str">
        <x:v>RENT</x:v>
      </x:c>
      <x:c r="K4022" t="str">
        <x:v>debt_consolidation</x:v>
      </x:c>
      <x:c r="L4022" t="n">
        <x:v>1</x:v>
      </x:c>
      <x:c r="M4022" t="n">
        <x:v>0</x:v>
      </x:c>
      <x:c r="N4022" t="str">
        <x:v>Fully Paid</x:v>
      </x:c>
      <x:c r="O4022" t="str">
        <x:f>IF(D4022="","Unknown",IF(D4022&lt;25000,"&lt;$25k",IF(D4022&lt;50000,"$25k-$50k",IF(D4022&lt;75000,"$50k-$75k",IF(D4022&lt;100000,"$75k-$100k","$100k+")))))</x:f>
        <x:v>$50k-$75k</x:v>
      </x:c>
      <x:c r="P4022" t="str">
        <x:f>IF(E4022="","Unknown",IF(E4022&lt;10,"&lt;10",IF(E4022&lt;20,"10-&lt;20",IF(E4022&lt;25,"20-&lt;25",IF(E4022&lt;35,"25-&lt;35","35+")))))</x:f>
        <x:v>10-&lt;20</x:v>
      </x:c>
    </x:row>
    <x:row r="4023">
      <x:c r="A4023" t="str">
        <x:v>SYN0004022</x:v>
      </x:c>
      <x:c r="B4023" s="12" t="n">
        <x:v>41665</x:v>
      </x:c>
      <x:c r="C4023" s="18" t="n">
        <x:v>9943</x:v>
      </x:c>
      <x:c r="D4023" s="18" t="n">
        <x:v>14354</x:v>
      </x:c>
      <x:c r="E4023" s="18" t="n">
        <x:v>27.97</x:v>
      </x:c>
      <x:c r="F4023" s="18" t="n">
        <x:v>9.89</x:v>
      </x:c>
      <x:c r="G4023" t="n">
        <x:v>60</x:v>
      </x:c>
      <x:c r="H4023" t="str">
        <x:v>C</x:v>
      </x:c>
      <x:c r="I4023" t="str">
        <x:v>4-6 years</x:v>
      </x:c>
      <x:c r="J4023" t="str">
        <x:v>MORTGAGE</x:v>
      </x:c>
      <x:c r="K4023" t="str">
        <x:v>credit_card</x:v>
      </x:c>
      <x:c r="L4023" t="n">
        <x:v>0</x:v>
      </x:c>
      <x:c r="M4023" t="n">
        <x:v>1</x:v>
      </x:c>
      <x:c r="N4023" t="str">
        <x:v>Charged Off</x:v>
      </x:c>
      <x:c r="O4023" t="str">
        <x:f>IF(D4023="","Unknown",IF(D4023&lt;25000,"&lt;$25k",IF(D4023&lt;50000,"$25k-$50k",IF(D4023&lt;75000,"$50k-$75k",IF(D4023&lt;100000,"$75k-$100k","$100k+")))))</x:f>
        <x:v>&lt;$25k</x:v>
      </x:c>
      <x:c r="P4023" t="str">
        <x:f>IF(E4023="","Unknown",IF(E4023&lt;10,"&lt;10",IF(E4023&lt;20,"10-&lt;20",IF(E4023&lt;25,"20-&lt;25",IF(E4023&lt;35,"25-&lt;35","35+")))))</x:f>
        <x:v>25-&lt;35</x:v>
      </x:c>
    </x:row>
    <x:row r="4024">
      <x:c r="A4024" t="str">
        <x:v>SYN0004023</x:v>
      </x:c>
      <x:c r="B4024" s="12" t="n">
        <x:v>42745</x:v>
      </x:c>
      <x:c r="C4024" s="18" t="n">
        <x:v>15972</x:v>
      </x:c>
      <x:c r="D4024" s="18" t="n">
        <x:v>43762</x:v>
      </x:c>
      <x:c r="E4024" s="18" t="n">
        <x:v>18</x:v>
      </x:c>
      <x:c r="F4024" s="18" t="n">
        <x:v>7.42</x:v>
      </x:c>
      <x:c r="G4024" t="n">
        <x:v>60</x:v>
      </x:c>
      <x:c r="H4024" t="str">
        <x:v>B</x:v>
      </x:c>
      <x:c r="I4024" t="str">
        <x:v>4-6 years</x:v>
      </x:c>
      <x:c r="J4024" t="str">
        <x:v>OTHER</x:v>
      </x:c>
      <x:c r="K4024" t="str">
        <x:v>home_improvement</x:v>
      </x:c>
      <x:c r="L4024" t="n">
        <x:v>0</x:v>
      </x:c>
      <x:c r="M4024" t="n">
        <x:v>0</x:v>
      </x:c>
      <x:c r="N4024" t="str">
        <x:v>Fully Paid</x:v>
      </x:c>
      <x:c r="O4024" t="str">
        <x:f>IF(D4024="","Unknown",IF(D4024&lt;25000,"&lt;$25k",IF(D4024&lt;50000,"$25k-$50k",IF(D4024&lt;75000,"$50k-$75k",IF(D4024&lt;100000,"$75k-$100k","$100k+")))))</x:f>
        <x:v>$25k-$50k</x:v>
      </x:c>
      <x:c r="P4024" t="str">
        <x:f>IF(E4024="","Unknown",IF(E4024&lt;10,"&lt;10",IF(E4024&lt;20,"10-&lt;20",IF(E4024&lt;25,"20-&lt;25",IF(E4024&lt;35,"25-&lt;35","35+")))))</x:f>
        <x:v>10-&lt;20</x:v>
      </x:c>
    </x:row>
    <x:row r="4025">
      <x:c r="A4025" t="str">
        <x:v>SYN0004024</x:v>
      </x:c>
      <x:c r="B4025" s="12" t="n">
        <x:v>42205</x:v>
      </x:c>
      <x:c r="C4025" s="18" t="n">
        <x:v>6243</x:v>
      </x:c>
      <x:c r="D4025" s="18" t="n">
        <x:v>128329</x:v>
      </x:c>
      <x:c r="E4025" s="18" t="n">
        <x:v>9.88</x:v>
      </x:c>
      <x:c r="F4025" s="18" t="n">
        <x:v>17.68</x:v>
      </x:c>
      <x:c r="G4025" t="n">
        <x:v>60</x:v>
      </x:c>
      <x:c r="H4025" t="str">
        <x:v>D</x:v>
      </x:c>
      <x:c r="I4025" t="str">
        <x:v>10+ years</x:v>
      </x:c>
      <x:c r="J4025" t="str">
        <x:v>MORTGAGE</x:v>
      </x:c>
      <x:c r="K4025" t="str">
        <x:v>credit_card</x:v>
      </x:c>
      <x:c r="L4025" t="n">
        <x:v>0</x:v>
      </x:c>
      <x:c r="M4025" t="n">
        <x:v>0</x:v>
      </x:c>
      <x:c r="N4025" t="str">
        <x:v>Fully Paid</x:v>
      </x:c>
      <x:c r="O4025" t="str">
        <x:f>IF(D4025="","Unknown",IF(D4025&lt;25000,"&lt;$25k",IF(D4025&lt;50000,"$25k-$50k",IF(D4025&lt;75000,"$50k-$75k",IF(D4025&lt;100000,"$75k-$100k","$100k+")))))</x:f>
        <x:v>$100k+</x:v>
      </x:c>
      <x:c r="P4025" t="str">
        <x:f>IF(E4025="","Unknown",IF(E4025&lt;10,"&lt;10",IF(E4025&lt;20,"10-&lt;20",IF(E4025&lt;25,"20-&lt;25",IF(E4025&lt;35,"25-&lt;35","35+")))))</x:f>
        <x:v>&lt;10</x:v>
      </x:c>
    </x:row>
    <x:row r="4026">
      <x:c r="A4026" t="str">
        <x:v>SYN0004025</x:v>
      </x:c>
      <x:c r="B4026" s="12" t="n">
        <x:v>42235</x:v>
      </x:c>
      <x:c r="C4026" s="18" t="n">
        <x:v>13540</x:v>
      </x:c>
      <x:c r="D4026" s="18" t="n">
        <x:v>33548</x:v>
      </x:c>
      <x:c r="E4026" s="18" t="n">
        <x:v>24.36</x:v>
      </x:c>
      <x:c r="F4026" s="18" t="n">
        <x:v>12.81</x:v>
      </x:c>
      <x:c r="G4026" t="n">
        <x:v>60</x:v>
      </x:c>
      <x:c r="H4026" t="str">
        <x:v>C</x:v>
      </x:c>
      <x:c r="I4026" t="str">
        <x:v>10+ years</x:v>
      </x:c>
      <x:c r="J4026" t="str">
        <x:v>MORTGAGE</x:v>
      </x:c>
      <x:c r="K4026" t="str">
        <x:v>debt_consolidation</x:v>
      </x:c>
      <x:c r="L4026" t="n">
        <x:v>1</x:v>
      </x:c>
      <x:c r="M4026" t="n">
        <x:v>0</x:v>
      </x:c>
      <x:c r="N4026" t="str">
        <x:v>Fully Paid</x:v>
      </x:c>
      <x:c r="O4026" t="str">
        <x:f>IF(D4026="","Unknown",IF(D4026&lt;25000,"&lt;$25k",IF(D4026&lt;50000,"$25k-$50k",IF(D4026&lt;75000,"$50k-$75k",IF(D4026&lt;100000,"$75k-$100k","$100k+")))))</x:f>
        <x:v>$25k-$50k</x:v>
      </x:c>
      <x:c r="P4026" t="str">
        <x:f>IF(E4026="","Unknown",IF(E4026&lt;10,"&lt;10",IF(E4026&lt;20,"10-&lt;20",IF(E4026&lt;25,"20-&lt;25",IF(E4026&lt;35,"25-&lt;35","35+")))))</x:f>
        <x:v>20-&lt;25</x:v>
      </x:c>
    </x:row>
    <x:row r="4027">
      <x:c r="A4027" t="str">
        <x:v>SYN0004026</x:v>
      </x:c>
      <x:c r="B4027" s="12" t="n">
        <x:v>42985</x:v>
      </x:c>
      <x:c r="C4027" s="18" t="n">
        <x:v>23561</x:v>
      </x:c>
      <x:c r="D4027" s="18" t="n">
        <x:v>27058</x:v>
      </x:c>
      <x:c r="E4027" s="18" t="n">
        <x:v>35.72</x:v>
      </x:c>
      <x:c r="F4027" s="18" t="n">
        <x:v>13.19</x:v>
      </x:c>
      <x:c r="G4027" t="n">
        <x:v>36</x:v>
      </x:c>
      <x:c r="H4027" t="str">
        <x:v>C</x:v>
      </x:c>
      <x:c r="I4027" t="str">
        <x:v>10+ years</x:v>
      </x:c>
      <x:c r="J4027" t="str">
        <x:v>MORTGAGE</x:v>
      </x:c>
      <x:c r="K4027" t="str">
        <x:v>debt_consolidation</x:v>
      </x:c>
      <x:c r="L4027" t="n">
        <x:v>0</x:v>
      </x:c>
      <x:c r="M4027" t="n">
        <x:v>0</x:v>
      </x:c>
      <x:c r="N4027" t="str">
        <x:v>Fully Paid</x:v>
      </x:c>
      <x:c r="O4027" t="str">
        <x:f>IF(D4027="","Unknown",IF(D4027&lt;25000,"&lt;$25k",IF(D4027&lt;50000,"$25k-$50k",IF(D4027&lt;75000,"$50k-$75k",IF(D4027&lt;100000,"$75k-$100k","$100k+")))))</x:f>
        <x:v>$25k-$50k</x:v>
      </x:c>
      <x:c r="P4027" t="str">
        <x:f>IF(E4027="","Unknown",IF(E4027&lt;10,"&lt;10",IF(E4027&lt;20,"10-&lt;20",IF(E4027&lt;25,"20-&lt;25",IF(E4027&lt;35,"25-&lt;35","35+")))))</x:f>
        <x:v>35+</x:v>
      </x:c>
    </x:row>
    <x:row r="4028">
      <x:c r="A4028" t="str">
        <x:v>SYN0004027</x:v>
      </x:c>
      <x:c r="B4028" s="12" t="n">
        <x:v>42235</x:v>
      </x:c>
      <x:c r="C4028" s="18" t="n">
        <x:v>6425</x:v>
      </x:c>
      <x:c r="D4028" s="18" t="n">
        <x:v>69225</x:v>
      </x:c>
      <x:c r="E4028" s="18" t="n">
        <x:v>5.42</x:v>
      </x:c>
      <x:c r="F4028" s="18" t="n">
        <x:v>9.14</x:v>
      </x:c>
      <x:c r="G4028" t="n">
        <x:v>36</x:v>
      </x:c>
      <x:c r="H4028" t="str">
        <x:v>B</x:v>
      </x:c>
      <x:c r="I4028" t="str">
        <x:v>&lt;1 year</x:v>
      </x:c>
      <x:c r="J4028" t="str">
        <x:v>MORTGAGE</x:v>
      </x:c>
      <x:c r="K4028" t="str">
        <x:v>debt_consolidation</x:v>
      </x:c>
      <x:c r="L4028" t="n">
        <x:v>0</x:v>
      </x:c>
      <x:c r="M4028" t="n">
        <x:v>1</x:v>
      </x:c>
      <x:c r="N4028" t="str">
        <x:v>Charged Off</x:v>
      </x:c>
      <x:c r="O4028" t="str">
        <x:f>IF(D4028="","Unknown",IF(D4028&lt;25000,"&lt;$25k",IF(D4028&lt;50000,"$25k-$50k",IF(D4028&lt;75000,"$50k-$75k",IF(D4028&lt;100000,"$75k-$100k","$100k+")))))</x:f>
        <x:v>$50k-$75k</x:v>
      </x:c>
      <x:c r="P4028" t="str">
        <x:f>IF(E4028="","Unknown",IF(E4028&lt;10,"&lt;10",IF(E4028&lt;20,"10-&lt;20",IF(E4028&lt;25,"20-&lt;25",IF(E4028&lt;35,"25-&lt;35","35+")))))</x:f>
        <x:v>&lt;10</x:v>
      </x:c>
    </x:row>
    <x:row r="4029">
      <x:c r="A4029" t="str">
        <x:v>SYN0004028</x:v>
      </x:c>
      <x:c r="B4029" s="12" t="n">
        <x:v>41965</x:v>
      </x:c>
      <x:c r="C4029" s="18" t="n">
        <x:v>8820</x:v>
      </x:c>
      <x:c r="D4029" s="18" t="n">
        <x:v>36284</x:v>
      </x:c>
      <x:c r="E4029" s="18" t="n">
        <x:v>14.5</x:v>
      </x:c>
      <x:c r="F4029" s="18" t="n">
        <x:v>19.13</x:v>
      </x:c>
      <x:c r="G4029" t="n">
        <x:v>36</x:v>
      </x:c>
      <x:c r="H4029" t="str">
        <x:v>E</x:v>
      </x:c>
      <x:c r="I4029" t="str">
        <x:v>4-6 years</x:v>
      </x:c>
      <x:c r="J4029" t="str">
        <x:v>RENT</x:v>
      </x:c>
      <x:c r="K4029" t="str">
        <x:v>debt_consolidation</x:v>
      </x:c>
      <x:c r="L4029" t="n">
        <x:v>2</x:v>
      </x:c>
      <x:c r="M4029" t="n">
        <x:v>1</x:v>
      </x:c>
      <x:c r="N4029" t="str">
        <x:v>Charged Off</x:v>
      </x:c>
      <x:c r="O4029" t="str">
        <x:f>IF(D4029="","Unknown",IF(D4029&lt;25000,"&lt;$25k",IF(D4029&lt;50000,"$25k-$50k",IF(D4029&lt;75000,"$50k-$75k",IF(D4029&lt;100000,"$75k-$100k","$100k+")))))</x:f>
        <x:v>$25k-$50k</x:v>
      </x:c>
      <x:c r="P4029" t="str">
        <x:f>IF(E4029="","Unknown",IF(E4029&lt;10,"&lt;10",IF(E4029&lt;20,"10-&lt;20",IF(E4029&lt;25,"20-&lt;25",IF(E4029&lt;35,"25-&lt;35","35+")))))</x:f>
        <x:v>10-&lt;20</x:v>
      </x:c>
    </x:row>
    <x:row r="4030">
      <x:c r="A4030" t="str">
        <x:v>SYN0004029</x:v>
      </x:c>
      <x:c r="B4030" s="12" t="n">
        <x:v>42655</x:v>
      </x:c>
      <x:c r="C4030" s="18" t="n">
        <x:v>9435</x:v>
      </x:c>
      <x:c r="D4030" s="18" t="n">
        <x:v>162582</x:v>
      </x:c>
      <x:c r="E4030" s="18" t="n">
        <x:v>15.42</x:v>
      </x:c>
      <x:c r="F4030" s="18" t="n">
        <x:v>15.45</x:v>
      </x:c>
      <x:c r="G4030" t="n">
        <x:v>36</x:v>
      </x:c>
      <x:c r="H4030" t="str">
        <x:v>E</x:v>
      </x:c>
      <x:c r="I4030" t="str">
        <x:v>10+ years</x:v>
      </x:c>
      <x:c r="J4030" t="str">
        <x:v>RENT</x:v>
      </x:c>
      <x:c r="K4030" t="str">
        <x:v>home_improvement</x:v>
      </x:c>
      <x:c r="L4030" t="n">
        <x:v>1</x:v>
      </x:c>
      <x:c r="M4030" t="n">
        <x:v>0</x:v>
      </x:c>
      <x:c r="N4030" t="str">
        <x:v>Fully Paid</x:v>
      </x:c>
      <x:c r="O4030" t="str">
        <x:f>IF(D4030="","Unknown",IF(D4030&lt;25000,"&lt;$25k",IF(D4030&lt;50000,"$25k-$50k",IF(D4030&lt;75000,"$50k-$75k",IF(D4030&lt;100000,"$75k-$100k","$100k+")))))</x:f>
        <x:v>$100k+</x:v>
      </x:c>
      <x:c r="P4030" t="str">
        <x:f>IF(E4030="","Unknown",IF(E4030&lt;10,"&lt;10",IF(E4030&lt;20,"10-&lt;20",IF(E4030&lt;25,"20-&lt;25",IF(E4030&lt;35,"25-&lt;35","35+")))))</x:f>
        <x:v>10-&lt;20</x:v>
      </x:c>
    </x:row>
    <x:row r="4031">
      <x:c r="A4031" t="str">
        <x:v>SYN0004030</x:v>
      </x:c>
      <x:c r="B4031" s="12" t="n">
        <x:v>42505</x:v>
      </x:c>
      <x:c r="C4031" s="18" t="n">
        <x:v>13935</x:v>
      </x:c>
      <x:c r="D4031" s="18" t="n">
        <x:v>51898</x:v>
      </x:c>
      <x:c r="E4031" s="18" t="n">
        <x:v>19.51</x:v>
      </x:c>
      <x:c r="F4031" s="18" t="n">
        <x:v>10.23</x:v>
      </x:c>
      <x:c r="G4031" t="n">
        <x:v>36</x:v>
      </x:c>
      <x:c r="H4031" t="str">
        <x:v>C</x:v>
      </x:c>
      <x:c r="I4031" t="str">
        <x:v>4-6 years</x:v>
      </x:c>
      <x:c r="J4031" t="str">
        <x:v>RENT</x:v>
      </x:c>
      <x:c r="K4031" t="str">
        <x:v>debt_consolidation</x:v>
      </x:c>
      <x:c r="L4031" t="n">
        <x:v>0</x:v>
      </x:c>
      <x:c r="M4031" t="n">
        <x:v>0</x:v>
      </x:c>
      <x:c r="N4031" t="str">
        <x:v>Fully Paid</x:v>
      </x:c>
      <x:c r="O4031" t="str">
        <x:f>IF(D4031="","Unknown",IF(D4031&lt;25000,"&lt;$25k",IF(D4031&lt;50000,"$25k-$50k",IF(D4031&lt;75000,"$50k-$75k",IF(D4031&lt;100000,"$75k-$100k","$100k+")))))</x:f>
        <x:v>$50k-$75k</x:v>
      </x:c>
      <x:c r="P4031" t="str">
        <x:f>IF(E4031="","Unknown",IF(E4031&lt;10,"&lt;10",IF(E4031&lt;20,"10-&lt;20",IF(E4031&lt;25,"20-&lt;25",IF(E4031&lt;35,"25-&lt;35","35+")))))</x:f>
        <x:v>10-&lt;20</x:v>
      </x:c>
    </x:row>
    <x:row r="4032">
      <x:c r="A4032" t="str">
        <x:v>SYN0004031</x:v>
      </x:c>
      <x:c r="B4032" s="12" t="n">
        <x:v>42625</x:v>
      </x:c>
      <x:c r="C4032" s="18" t="n">
        <x:v>14947</x:v>
      </x:c>
      <x:c r="D4032" s="18" t="n">
        <x:v>35769</x:v>
      </x:c>
      <x:c r="E4032" s="18" t="n">
        <x:v>13.77</x:v>
      </x:c>
      <x:c r="F4032" s="18" t="n">
        <x:v>15.9</x:v>
      </x:c>
      <x:c r="G4032" t="n">
        <x:v>60</x:v>
      </x:c>
      <x:c r="H4032" t="str">
        <x:v>E</x:v>
      </x:c>
      <x:c r="I4032" t="str">
        <x:v>4-6 years</x:v>
      </x:c>
      <x:c r="J4032" t="str">
        <x:v>RENT</x:v>
      </x:c>
      <x:c r="K4032" t="str">
        <x:v>other</x:v>
      </x:c>
      <x:c r="L4032" t="n">
        <x:v>1</x:v>
      </x:c>
      <x:c r="M4032" t="n">
        <x:v>0</x:v>
      </x:c>
      <x:c r="N4032" t="str">
        <x:v>Fully Paid</x:v>
      </x:c>
      <x:c r="O4032" t="str">
        <x:f>IF(D4032="","Unknown",IF(D4032&lt;25000,"&lt;$25k",IF(D4032&lt;50000,"$25k-$50k",IF(D4032&lt;75000,"$50k-$75k",IF(D4032&lt;100000,"$75k-$100k","$100k+")))))</x:f>
        <x:v>$25k-$50k</x:v>
      </x:c>
      <x:c r="P4032" t="str">
        <x:f>IF(E4032="","Unknown",IF(E4032&lt;10,"&lt;10",IF(E4032&lt;20,"10-&lt;20",IF(E4032&lt;25,"20-&lt;25",IF(E4032&lt;35,"25-&lt;35","35+")))))</x:f>
        <x:v>10-&lt;20</x:v>
      </x:c>
    </x:row>
    <x:row r="4033">
      <x:c r="A4033" t="str">
        <x:v>SYN0004032</x:v>
      </x:c>
      <x:c r="B4033" s="12" t="n">
        <x:v>41755</x:v>
      </x:c>
      <x:c r="C4033" s="18" t="n">
        <x:v>10567</x:v>
      </x:c>
      <x:c r="D4033" s="18" t="n">
        <x:v>45848</x:v>
      </x:c>
      <x:c r="E4033" s="18" t="n">
        <x:v>20.6</x:v>
      </x:c>
      <x:c r="F4033" s="18" t="n">
        <x:v>5</x:v>
      </x:c>
      <x:c r="G4033" t="n">
        <x:v>36</x:v>
      </x:c>
      <x:c r="H4033" t="str">
        <x:v>A</x:v>
      </x:c>
      <x:c r="I4033" t="str">
        <x:v>10+ years</x:v>
      </x:c>
      <x:c r="J4033" t="str">
        <x:v>RENT</x:v>
      </x:c>
      <x:c r="K4033" t="str">
        <x:v>debt_consolidation</x:v>
      </x:c>
      <x:c r="L4033" t="n">
        <x:v>0</x:v>
      </x:c>
      <x:c r="M4033" t="n">
        <x:v>1</x:v>
      </x:c>
      <x:c r="N4033" t="str">
        <x:v>Charged Off</x:v>
      </x:c>
      <x:c r="O4033" t="str">
        <x:f>IF(D4033="","Unknown",IF(D4033&lt;25000,"&lt;$25k",IF(D4033&lt;50000,"$25k-$50k",IF(D4033&lt;75000,"$50k-$75k",IF(D4033&lt;100000,"$75k-$100k","$100k+")))))</x:f>
        <x:v>$25k-$50k</x:v>
      </x:c>
      <x:c r="P4033" t="str">
        <x:f>IF(E4033="","Unknown",IF(E4033&lt;10,"&lt;10",IF(E4033&lt;20,"10-&lt;20",IF(E4033&lt;25,"20-&lt;25",IF(E4033&lt;35,"25-&lt;35","35+")))))</x:f>
        <x:v>20-&lt;25</x:v>
      </x:c>
    </x:row>
    <x:row r="4034">
      <x:c r="A4034" t="str">
        <x:v>SYN0004033</x:v>
      </x:c>
      <x:c r="B4034" s="12" t="n">
        <x:v>42595</x:v>
      </x:c>
      <x:c r="C4034" s="18" t="n">
        <x:v>13724</x:v>
      </x:c>
      <x:c r="D4034" s="18" t="n">
        <x:v>57395</x:v>
      </x:c>
      <x:c r="E4034" s="18" t="n">
        <x:v>19.64</x:v>
      </x:c>
      <x:c r="F4034" s="18" t="n">
        <x:v>20.72</x:v>
      </x:c>
      <x:c r="G4034" t="n">
        <x:v>60</x:v>
      </x:c>
      <x:c r="H4034" t="str">
        <x:v>E</x:v>
      </x:c>
      <x:c r="I4034" t="str">
        <x:v>1-3 years</x:v>
      </x:c>
      <x:c r="J4034" t="str">
        <x:v>RENT</x:v>
      </x:c>
      <x:c r="K4034" t="str">
        <x:v>credit_card</x:v>
      </x:c>
      <x:c r="L4034" t="n">
        <x:v>0</x:v>
      </x:c>
      <x:c r="M4034" t="n">
        <x:v>0</x:v>
      </x:c>
      <x:c r="N4034" t="str">
        <x:v>Fully Paid</x:v>
      </x:c>
      <x:c r="O4034" t="str">
        <x:f>IF(D4034="","Unknown",IF(D4034&lt;25000,"&lt;$25k",IF(D4034&lt;50000,"$25k-$50k",IF(D4034&lt;75000,"$50k-$75k",IF(D4034&lt;100000,"$75k-$100k","$100k+")))))</x:f>
        <x:v>$50k-$75k</x:v>
      </x:c>
      <x:c r="P4034" t="str">
        <x:f>IF(E4034="","Unknown",IF(E4034&lt;10,"&lt;10",IF(E4034&lt;20,"10-&lt;20",IF(E4034&lt;25,"20-&lt;25",IF(E4034&lt;35,"25-&lt;35","35+")))))</x:f>
        <x:v>10-&lt;20</x:v>
      </x:c>
    </x:row>
    <x:row r="4035">
      <x:c r="A4035" t="str">
        <x:v>SYN0004034</x:v>
      </x:c>
      <x:c r="B4035" s="12" t="n">
        <x:v>42835</x:v>
      </x:c>
      <x:c r="C4035" s="18" t="n">
        <x:v>40000</x:v>
      </x:c>
      <x:c r="D4035" s="18" t="n">
        <x:v>14305</x:v>
      </x:c>
      <x:c r="E4035" s="18" t="n">
        <x:v>35.07</x:v>
      </x:c>
      <x:c r="F4035" s="18" t="n">
        <x:v>12.92</x:v>
      </x:c>
      <x:c r="G4035" t="n">
        <x:v>36</x:v>
      </x:c>
      <x:c r="H4035" t="str">
        <x:v>D</x:v>
      </x:c>
      <x:c r="I4035" t="str">
        <x:v>1-3 years</x:v>
      </x:c>
      <x:c r="J4035" t="str">
        <x:v>MORTGAGE</x:v>
      </x:c>
      <x:c r="K4035" t="str">
        <x:v>debt_consolidation</x:v>
      </x:c>
      <x:c r="L4035" t="n">
        <x:v>1</x:v>
      </x:c>
      <x:c r="M4035" t="n">
        <x:v>1</x:v>
      </x:c>
      <x:c r="N4035" t="str">
        <x:v>Charged Off</x:v>
      </x:c>
      <x:c r="O4035" t="str">
        <x:f>IF(D4035="","Unknown",IF(D4035&lt;25000,"&lt;$25k",IF(D4035&lt;50000,"$25k-$50k",IF(D4035&lt;75000,"$50k-$75k",IF(D4035&lt;100000,"$75k-$100k","$100k+")))))</x:f>
        <x:v>&lt;$25k</x:v>
      </x:c>
      <x:c r="P4035" t="str">
        <x:f>IF(E4035="","Unknown",IF(E4035&lt;10,"&lt;10",IF(E4035&lt;20,"10-&lt;20",IF(E4035&lt;25,"20-&lt;25",IF(E4035&lt;35,"25-&lt;35","35+")))))</x:f>
        <x:v>35+</x:v>
      </x:c>
    </x:row>
    <x:row r="4036">
      <x:c r="A4036" t="str">
        <x:v>SYN0004035</x:v>
      </x:c>
      <x:c r="B4036" s="12" t="n">
        <x:v>43195</x:v>
      </x:c>
      <x:c r="C4036" s="18" t="n">
        <x:v>6829</x:v>
      </x:c>
      <x:c r="D4036" s="18" t="n">
        <x:v>52825</x:v>
      </x:c>
      <x:c r="E4036" s="18" t="n">
        <x:v>29.94</x:v>
      </x:c>
      <x:c r="F4036" s="18" t="n">
        <x:v>17.73</x:v>
      </x:c>
      <x:c r="G4036" t="n">
        <x:v>60</x:v>
      </x:c>
      <x:c r="H4036" t="str">
        <x:v>D</x:v>
      </x:c>
      <x:c r="I4036" t="str">
        <x:v>7-9 years</x:v>
      </x:c>
      <x:c r="J4036" t="str">
        <x:v>OWN</x:v>
      </x:c>
      <x:c r="K4036" t="str">
        <x:v>debt_consolidation</x:v>
      </x:c>
      <x:c r="L4036" t="n">
        <x:v>0</x:v>
      </x:c>
      <x:c r="M4036" t="n">
        <x:v>1</x:v>
      </x:c>
      <x:c r="N4036" t="str">
        <x:v>Charged Off</x:v>
      </x:c>
      <x:c r="O4036" t="str">
        <x:f>IF(D4036="","Unknown",IF(D4036&lt;25000,"&lt;$25k",IF(D4036&lt;50000,"$25k-$50k",IF(D4036&lt;75000,"$50k-$75k",IF(D4036&lt;100000,"$75k-$100k","$100k+")))))</x:f>
        <x:v>$50k-$75k</x:v>
      </x:c>
      <x:c r="P4036" t="str">
        <x:f>IF(E4036="","Unknown",IF(E4036&lt;10,"&lt;10",IF(E4036&lt;20,"10-&lt;20",IF(E4036&lt;25,"20-&lt;25",IF(E4036&lt;35,"25-&lt;35","35+")))))</x:f>
        <x:v>25-&lt;35</x:v>
      </x:c>
    </x:row>
    <x:row r="4037">
      <x:c r="A4037" t="str">
        <x:v>SYN0004036</x:v>
      </x:c>
      <x:c r="B4037" s="12" t="n">
        <x:v>41905</x:v>
      </x:c>
      <x:c r="C4037" s="18" t="n">
        <x:v>29452</x:v>
      </x:c>
      <x:c r="D4037" s="18" t="n">
        <x:v>93039</x:v>
      </x:c>
      <x:c r="E4037" s="18" t="n">
        <x:v>15.92</x:v>
      </x:c>
      <x:c r="F4037" s="18" t="n">
        <x:v>8.2</x:v>
      </x:c>
      <x:c r="G4037" t="n">
        <x:v>36</x:v>
      </x:c>
      <x:c r="H4037" t="str">
        <x:v>C</x:v>
      </x:c>
      <x:c r="I4037" t="str">
        <x:v>10+ years</x:v>
      </x:c>
      <x:c r="J4037" t="str">
        <x:v>RENT</x:v>
      </x:c>
      <x:c r="K4037" t="str">
        <x:v>credit_card</x:v>
      </x:c>
      <x:c r="L4037" t="n">
        <x:v>0</x:v>
      </x:c>
      <x:c r="M4037" t="n">
        <x:v>0</x:v>
      </x:c>
      <x:c r="N4037" t="str">
        <x:v>Fully Paid</x:v>
      </x:c>
      <x:c r="O4037" t="str">
        <x:f>IF(D4037="","Unknown",IF(D4037&lt;25000,"&lt;$25k",IF(D4037&lt;50000,"$25k-$50k",IF(D4037&lt;75000,"$50k-$75k",IF(D4037&lt;100000,"$75k-$100k","$100k+")))))</x:f>
        <x:v>$75k-$100k</x:v>
      </x:c>
      <x:c r="P4037" t="str">
        <x:f>IF(E4037="","Unknown",IF(E4037&lt;10,"&lt;10",IF(E4037&lt;20,"10-&lt;20",IF(E4037&lt;25,"20-&lt;25",IF(E4037&lt;35,"25-&lt;35","35+")))))</x:f>
        <x:v>10-&lt;20</x:v>
      </x:c>
    </x:row>
    <x:row r="4038">
      <x:c r="A4038" t="str">
        <x:v>SYN0004037</x:v>
      </x:c>
      <x:c r="B4038" s="12" t="n">
        <x:v>42085</x:v>
      </x:c>
      <x:c r="C4038" s="18" t="n">
        <x:v>10535</x:v>
      </x:c>
      <x:c r="D4038" s="18" t="n">
        <x:v>45363</x:v>
      </x:c>
      <x:c r="E4038" s="18" t="n">
        <x:v>15.5</x:v>
      </x:c>
      <x:c r="F4038" s="18" t="n">
        <x:v>10.71</x:v>
      </x:c>
      <x:c r="G4038" t="n">
        <x:v>36</x:v>
      </x:c>
      <x:c r="H4038" t="str">
        <x:v>A</x:v>
      </x:c>
      <x:c r="I4038" t="str">
        <x:v>10+ years</x:v>
      </x:c>
      <x:c r="J4038" t="str">
        <x:v>RENT</x:v>
      </x:c>
      <x:c r="K4038" t="str">
        <x:v>credit_card</x:v>
      </x:c>
      <x:c r="L4038" t="n">
        <x:v>1</x:v>
      </x:c>
      <x:c r="M4038" t="n">
        <x:v>1</x:v>
      </x:c>
      <x:c r="N4038" t="str">
        <x:v>Charged Off</x:v>
      </x:c>
      <x:c r="O4038" t="str">
        <x:f>IF(D4038="","Unknown",IF(D4038&lt;25000,"&lt;$25k",IF(D4038&lt;50000,"$25k-$50k",IF(D4038&lt;75000,"$50k-$75k",IF(D4038&lt;100000,"$75k-$100k","$100k+")))))</x:f>
        <x:v>$25k-$50k</x:v>
      </x:c>
      <x:c r="P4038" t="str">
        <x:f>IF(E4038="","Unknown",IF(E4038&lt;10,"&lt;10",IF(E4038&lt;20,"10-&lt;20",IF(E4038&lt;25,"20-&lt;25",IF(E4038&lt;35,"25-&lt;35","35+")))))</x:f>
        <x:v>10-&lt;20</x:v>
      </x:c>
    </x:row>
    <x:row r="4039">
      <x:c r="A4039" t="str">
        <x:v>SYN0004038</x:v>
      </x:c>
      <x:c r="B4039" s="12" t="n">
        <x:v>41995</x:v>
      </x:c>
      <x:c r="C4039" s="18" t="n">
        <x:v>9826</x:v>
      </x:c>
      <x:c r="D4039" s="18" t="n">
        <x:v>36758</x:v>
      </x:c>
      <x:c r="E4039" s="18" t="n">
        <x:v>16.84</x:v>
      </x:c>
      <x:c r="F4039" s="18" t="n">
        <x:v>5.3</x:v>
      </x:c>
      <x:c r="G4039" t="n">
        <x:v>36</x:v>
      </x:c>
      <x:c r="H4039" t="str">
        <x:v>A</x:v>
      </x:c>
      <x:c r="I4039" t="str">
        <x:v>4-6 years</x:v>
      </x:c>
      <x:c r="J4039" t="str">
        <x:v>RENT</x:v>
      </x:c>
      <x:c r="K4039" t="str">
        <x:v>other</x:v>
      </x:c>
      <x:c r="L4039" t="n">
        <x:v>0</x:v>
      </x:c>
      <x:c r="M4039" t="n">
        <x:v>0</x:v>
      </x:c>
      <x:c r="N4039" t="str">
        <x:v>Fully Paid</x:v>
      </x:c>
      <x:c r="O4039" t="str">
        <x:f>IF(D4039="","Unknown",IF(D4039&lt;25000,"&lt;$25k",IF(D4039&lt;50000,"$25k-$50k",IF(D4039&lt;75000,"$50k-$75k",IF(D4039&lt;100000,"$75k-$100k","$100k+")))))</x:f>
        <x:v>$25k-$50k</x:v>
      </x:c>
      <x:c r="P4039" t="str">
        <x:f>IF(E4039="","Unknown",IF(E4039&lt;10,"&lt;10",IF(E4039&lt;20,"10-&lt;20",IF(E4039&lt;25,"20-&lt;25",IF(E4039&lt;35,"25-&lt;35","35+")))))</x:f>
        <x:v>10-&lt;20</x:v>
      </x:c>
    </x:row>
    <x:row r="4040">
      <x:c r="A4040" t="str">
        <x:v>SYN0004039</x:v>
      </x:c>
      <x:c r="B4040" s="12" t="n">
        <x:v>42865</x:v>
      </x:c>
      <x:c r="C4040" s="18" t="n">
        <x:v>11007</x:v>
      </x:c>
      <x:c r="D4040" s="18" t="n">
        <x:v>37237</x:v>
      </x:c>
      <x:c r="E4040" s="18" t="n">
        <x:v>20.76</x:v>
      </x:c>
      <x:c r="F4040" s="18" t="n">
        <x:v>12.73</x:v>
      </x:c>
      <x:c r="G4040" t="n">
        <x:v>36</x:v>
      </x:c>
      <x:c r="H4040" t="str">
        <x:v>C</x:v>
      </x:c>
      <x:c r="I4040" t="str">
        <x:v>1-3 years</x:v>
      </x:c>
      <x:c r="J4040" t="str">
        <x:v>MORTGAGE</x:v>
      </x:c>
      <x:c r="K4040" t="str">
        <x:v>home_improvement</x:v>
      </x:c>
      <x:c r="L4040" t="n">
        <x:v>3</x:v>
      </x:c>
      <x:c r="M4040" t="n">
        <x:v>0</x:v>
      </x:c>
      <x:c r="N4040" t="str">
        <x:v>Fully Paid</x:v>
      </x:c>
      <x:c r="O4040" t="str">
        <x:f>IF(D4040="","Unknown",IF(D4040&lt;25000,"&lt;$25k",IF(D4040&lt;50000,"$25k-$50k",IF(D4040&lt;75000,"$50k-$75k",IF(D4040&lt;100000,"$75k-$100k","$100k+")))))</x:f>
        <x:v>$25k-$50k</x:v>
      </x:c>
      <x:c r="P4040" t="str">
        <x:f>IF(E4040="","Unknown",IF(E4040&lt;10,"&lt;10",IF(E4040&lt;20,"10-&lt;20",IF(E4040&lt;25,"20-&lt;25",IF(E4040&lt;35,"25-&lt;35","35+")))))</x:f>
        <x:v>20-&lt;25</x:v>
      </x:c>
    </x:row>
    <x:row r="4041">
      <x:c r="A4041" t="str">
        <x:v>SYN0004040</x:v>
      </x:c>
      <x:c r="B4041" s="12" t="n">
        <x:v>43225</x:v>
      </x:c>
      <x:c r="C4041" s="18" t="n">
        <x:v>18286</x:v>
      </x:c>
      <x:c r="D4041" s="18" t="n">
        <x:v>18359</x:v>
      </x:c>
      <x:c r="E4041" s="18" t="n">
        <x:v>29.75</x:v>
      </x:c>
      <x:c r="F4041" s="18" t="n">
        <x:v>21.74</x:v>
      </x:c>
      <x:c r="G4041" t="n">
        <x:v>36</x:v>
      </x:c>
      <x:c r="H4041" t="str">
        <x:v>F</x:v>
      </x:c>
      <x:c r="I4041" t="str">
        <x:v>7-9 years</x:v>
      </x:c>
      <x:c r="J4041" t="str">
        <x:v>MORTGAGE</x:v>
      </x:c>
      <x:c r="K4041" t="str">
        <x:v>debt_consolidation</x:v>
      </x:c>
      <x:c r="L4041" t="n">
        <x:v>0</x:v>
      </x:c>
      <x:c r="M4041" t="n">
        <x:v>0</x:v>
      </x:c>
      <x:c r="N4041" t="str">
        <x:v>Fully Paid</x:v>
      </x:c>
      <x:c r="O4041" t="str">
        <x:f>IF(D4041="","Unknown",IF(D4041&lt;25000,"&lt;$25k",IF(D4041&lt;50000,"$25k-$50k",IF(D4041&lt;75000,"$50k-$75k",IF(D4041&lt;100000,"$75k-$100k","$100k+")))))</x:f>
        <x:v>&lt;$25k</x:v>
      </x:c>
      <x:c r="P4041" t="str">
        <x:f>IF(E4041="","Unknown",IF(E4041&lt;10,"&lt;10",IF(E4041&lt;20,"10-&lt;20",IF(E4041&lt;25,"20-&lt;25",IF(E4041&lt;35,"25-&lt;35","35+")))))</x:f>
        <x:v>25-&lt;35</x:v>
      </x:c>
    </x:row>
    <x:row r="4042">
      <x:c r="A4042" t="str">
        <x:v>SYN0004041</x:v>
      </x:c>
      <x:c r="B4042" s="12" t="n">
        <x:v>41485</x:v>
      </x:c>
      <x:c r="C4042" s="18" t="n">
        <x:v>9975</x:v>
      </x:c>
      <x:c r="D4042" s="18" t="n">
        <x:v>30368</x:v>
      </x:c>
      <x:c r="E4042" s="18" t="n">
        <x:v>12.91</x:v>
      </x:c>
      <x:c r="F4042" s="18" t="n">
        <x:v>9.92</x:v>
      </x:c>
      <x:c r="G4042" t="n">
        <x:v>36</x:v>
      </x:c>
      <x:c r="H4042" t="str">
        <x:v>B</x:v>
      </x:c>
      <x:c r="I4042" t="str">
        <x:v>4-6 years</x:v>
      </x:c>
      <x:c r="J4042" t="str">
        <x:v>RENT</x:v>
      </x:c>
      <x:c r="K4042" t="str">
        <x:v>home_improvement</x:v>
      </x:c>
      <x:c r="L4042" t="n">
        <x:v>0</x:v>
      </x:c>
      <x:c r="M4042" t="n">
        <x:v>0</x:v>
      </x:c>
      <x:c r="N4042" t="str">
        <x:v>Fully Paid</x:v>
      </x:c>
      <x:c r="O4042" t="str">
        <x:f>IF(D4042="","Unknown",IF(D4042&lt;25000,"&lt;$25k",IF(D4042&lt;50000,"$25k-$50k",IF(D4042&lt;75000,"$50k-$75k",IF(D4042&lt;100000,"$75k-$100k","$100k+")))))</x:f>
        <x:v>$25k-$50k</x:v>
      </x:c>
      <x:c r="P4042" t="str">
        <x:f>IF(E4042="","Unknown",IF(E4042&lt;10,"&lt;10",IF(E4042&lt;20,"10-&lt;20",IF(E4042&lt;25,"20-&lt;25",IF(E4042&lt;35,"25-&lt;35","35+")))))</x:f>
        <x:v>10-&lt;20</x:v>
      </x:c>
    </x:row>
    <x:row r="4043">
      <x:c r="A4043" t="str">
        <x:v>SYN0004042</x:v>
      </x:c>
      <x:c r="B4043" s="12" t="n">
        <x:v>41335</x:v>
      </x:c>
      <x:c r="C4043" s="18" t="n">
        <x:v>7756</x:v>
      </x:c>
      <x:c r="D4043" s="18" t="n">
        <x:v>128774</x:v>
      </x:c>
      <x:c r="E4043" s="18" t="n">
        <x:v>21.96</x:v>
      </x:c>
      <x:c r="F4043" s="18" t="n">
        <x:v>19.89</x:v>
      </x:c>
      <x:c r="G4043" t="n">
        <x:v>36</x:v>
      </x:c>
      <x:c r="H4043" t="str">
        <x:v>F</x:v>
      </x:c>
      <x:c r="I4043" t="str">
        <x:v>&lt;1 year</x:v>
      </x:c>
      <x:c r="J4043" t="str">
        <x:v>RENT</x:v>
      </x:c>
      <x:c r="K4043" t="str">
        <x:v>debt_consolidation</x:v>
      </x:c>
      <x:c r="L4043" t="n">
        <x:v>1</x:v>
      </x:c>
      <x:c r="M4043" t="n">
        <x:v>0</x:v>
      </x:c>
      <x:c r="N4043" t="str">
        <x:v>Fully Paid</x:v>
      </x:c>
      <x:c r="O4043" t="str">
        <x:f>IF(D4043="","Unknown",IF(D4043&lt;25000,"&lt;$25k",IF(D4043&lt;50000,"$25k-$50k",IF(D4043&lt;75000,"$50k-$75k",IF(D4043&lt;100000,"$75k-$100k","$100k+")))))</x:f>
        <x:v>$100k+</x:v>
      </x:c>
      <x:c r="P4043" t="str">
        <x:f>IF(E4043="","Unknown",IF(E4043&lt;10,"&lt;10",IF(E4043&lt;20,"10-&lt;20",IF(E4043&lt;25,"20-&lt;25",IF(E4043&lt;35,"25-&lt;35","35+")))))</x:f>
        <x:v>20-&lt;25</x:v>
      </x:c>
    </x:row>
    <x:row r="4044">
      <x:c r="A4044" t="str">
        <x:v>SYN0004043</x:v>
      </x:c>
      <x:c r="B4044" s="12" t="n">
        <x:v>42235</x:v>
      </x:c>
      <x:c r="C4044" s="18" t="n">
        <x:v>11787</x:v>
      </x:c>
      <x:c r="D4044" s="18" t="n">
        <x:v>28531</x:v>
      </x:c>
      <x:c r="E4044" s="18" t="n">
        <x:v>36.85</x:v>
      </x:c>
      <x:c r="F4044" s="18" t="n">
        <x:v>17.68</x:v>
      </x:c>
      <x:c r="G4044" t="n">
        <x:v>36</x:v>
      </x:c>
      <x:c r="H4044" t="str">
        <x:v>E</x:v>
      </x:c>
      <x:c r="I4044" t="str">
        <x:v>7-9 years</x:v>
      </x:c>
      <x:c r="J4044" t="str">
        <x:v>RENT</x:v>
      </x:c>
      <x:c r="K4044" t="str">
        <x:v>major_purchase</x:v>
      </x:c>
      <x:c r="L4044" t="n">
        <x:v>2</x:v>
      </x:c>
      <x:c r="M4044" t="n">
        <x:v>1</x:v>
      </x:c>
      <x:c r="N4044" t="str">
        <x:v>Charged Off</x:v>
      </x:c>
      <x:c r="O4044" t="str">
        <x:f>IF(D4044="","Unknown",IF(D4044&lt;25000,"&lt;$25k",IF(D4044&lt;50000,"$25k-$50k",IF(D4044&lt;75000,"$50k-$75k",IF(D4044&lt;100000,"$75k-$100k","$100k+")))))</x:f>
        <x:v>$25k-$50k</x:v>
      </x:c>
      <x:c r="P4044" t="str">
        <x:f>IF(E4044="","Unknown",IF(E4044&lt;10,"&lt;10",IF(E4044&lt;20,"10-&lt;20",IF(E4044&lt;25,"20-&lt;25",IF(E4044&lt;35,"25-&lt;35","35+")))))</x:f>
        <x:v>35+</x:v>
      </x:c>
    </x:row>
    <x:row r="4045">
      <x:c r="A4045" t="str">
        <x:v>SYN0004044</x:v>
      </x:c>
      <x:c r="B4045" s="12" t="n">
        <x:v>42475</x:v>
      </x:c>
      <x:c r="C4045" s="18" t="n">
        <x:v>20749</x:v>
      </x:c>
      <x:c r="D4045" s="18" t="n">
        <x:v>13591</x:v>
      </x:c>
      <x:c r="E4045" s="18" t="n">
        <x:v>22.87</x:v>
      </x:c>
      <x:c r="F4045" s="18" t="n">
        <x:v>21.93</x:v>
      </x:c>
      <x:c r="G4045" t="n">
        <x:v>36</x:v>
      </x:c>
      <x:c r="H4045" t="str">
        <x:v>F</x:v>
      </x:c>
      <x:c r="I4045" t="str">
        <x:v>1-3 years</x:v>
      </x:c>
      <x:c r="J4045" t="str">
        <x:v>OWN</x:v>
      </x:c>
      <x:c r="K4045" t="str">
        <x:v>credit_card</x:v>
      </x:c>
      <x:c r="L4045" t="n">
        <x:v>0</x:v>
      </x:c>
      <x:c r="M4045" t="n">
        <x:v>0</x:v>
      </x:c>
      <x:c r="N4045" t="str">
        <x:v>Fully Paid</x:v>
      </x:c>
      <x:c r="O4045" t="str">
        <x:f>IF(D4045="","Unknown",IF(D4045&lt;25000,"&lt;$25k",IF(D4045&lt;50000,"$25k-$50k",IF(D4045&lt;75000,"$50k-$75k",IF(D4045&lt;100000,"$75k-$100k","$100k+")))))</x:f>
        <x:v>&lt;$25k</x:v>
      </x:c>
      <x:c r="P4045" t="str">
        <x:f>IF(E4045="","Unknown",IF(E4045&lt;10,"&lt;10",IF(E4045&lt;20,"10-&lt;20",IF(E4045&lt;25,"20-&lt;25",IF(E4045&lt;35,"25-&lt;35","35+")))))</x:f>
        <x:v>20-&lt;25</x:v>
      </x:c>
    </x:row>
    <x:row r="4046">
      <x:c r="A4046" t="str">
        <x:v>SYN0004045</x:v>
      </x:c>
      <x:c r="B4046" s="12" t="n">
        <x:v>43195</x:v>
      </x:c>
      <x:c r="C4046" s="18" t="n">
        <x:v>34190</x:v>
      </x:c>
      <x:c r="D4046" s="18" t="n">
        <x:v>110301</x:v>
      </x:c>
      <x:c r="E4046" s="18" t="n">
        <x:v>20.61</x:v>
      </x:c>
      <x:c r="F4046" s="18" t="n">
        <x:v>5</x:v>
      </x:c>
      <x:c r="G4046" t="n">
        <x:v>36</x:v>
      </x:c>
      <x:c r="H4046" t="str">
        <x:v>B</x:v>
      </x:c>
      <x:c r="I4046" t="str">
        <x:v>&lt;1 year</x:v>
      </x:c>
      <x:c r="J4046" t="str">
        <x:v>RENT</x:v>
      </x:c>
      <x:c r="K4046" t="str">
        <x:v>debt_consolidation</x:v>
      </x:c>
      <x:c r="L4046" t="n">
        <x:v>0</x:v>
      </x:c>
      <x:c r="M4046" t="n">
        <x:v>0</x:v>
      </x:c>
      <x:c r="N4046" t="str">
        <x:v>Fully Paid</x:v>
      </x:c>
      <x:c r="O4046" t="str">
        <x:f>IF(D4046="","Unknown",IF(D4046&lt;25000,"&lt;$25k",IF(D4046&lt;50000,"$25k-$50k",IF(D4046&lt;75000,"$50k-$75k",IF(D4046&lt;100000,"$75k-$100k","$100k+")))))</x:f>
        <x:v>$100k+</x:v>
      </x:c>
      <x:c r="P4046" t="str">
        <x:f>IF(E4046="","Unknown",IF(E4046&lt;10,"&lt;10",IF(E4046&lt;20,"10-&lt;20",IF(E4046&lt;25,"20-&lt;25",IF(E4046&lt;35,"25-&lt;35","35+")))))</x:f>
        <x:v>20-&lt;25</x:v>
      </x:c>
    </x:row>
    <x:row r="4047">
      <x:c r="A4047" t="str">
        <x:v>SYN0004046</x:v>
      </x:c>
      <x:c r="B4047" s="12" t="n">
        <x:v>42925</x:v>
      </x:c>
      <x:c r="C4047" s="18" t="n">
        <x:v>9307</x:v>
      </x:c>
      <x:c r="D4047" s="18" t="n">
        <x:v>47337</x:v>
      </x:c>
      <x:c r="E4047" s="18" t="n">
        <x:v>17.38</x:v>
      </x:c>
      <x:c r="F4047" s="18" t="n">
        <x:v>20.5</x:v>
      </x:c>
      <x:c r="G4047" t="n">
        <x:v>36</x:v>
      </x:c>
      <x:c r="H4047" t="str">
        <x:v>F</x:v>
      </x:c>
      <x:c r="I4047" t="str">
        <x:v>10+ years</x:v>
      </x:c>
      <x:c r="J4047" t="str">
        <x:v>MORTGAGE</x:v>
      </x:c>
      <x:c r="K4047" t="str">
        <x:v>debt_consolidation</x:v>
      </x:c>
      <x:c r="L4047" t="n">
        <x:v>0</x:v>
      </x:c>
      <x:c r="M4047" t="n">
        <x:v>0</x:v>
      </x:c>
      <x:c r="N4047" t="str">
        <x:v>Fully Paid</x:v>
      </x:c>
      <x:c r="O4047" t="str">
        <x:f>IF(D4047="","Unknown",IF(D4047&lt;25000,"&lt;$25k",IF(D4047&lt;50000,"$25k-$50k",IF(D4047&lt;75000,"$50k-$75k",IF(D4047&lt;100000,"$75k-$100k","$100k+")))))</x:f>
        <x:v>$25k-$50k</x:v>
      </x:c>
      <x:c r="P4047" t="str">
        <x:f>IF(E4047="","Unknown",IF(E4047&lt;10,"&lt;10",IF(E4047&lt;20,"10-&lt;20",IF(E4047&lt;25,"20-&lt;25",IF(E4047&lt;35,"25-&lt;35","35+")))))</x:f>
        <x:v>10-&lt;20</x:v>
      </x:c>
    </x:row>
    <x:row r="4048">
      <x:c r="A4048" t="str">
        <x:v>SYN0004047</x:v>
      </x:c>
      <x:c r="B4048" s="12" t="n">
        <x:v>41785</x:v>
      </x:c>
      <x:c r="C4048" s="18" t="n">
        <x:v>11428</x:v>
      </x:c>
      <x:c r="D4048" s="18" t="n">
        <x:v>59671</x:v>
      </x:c>
      <x:c r="E4048" s="18" t="n">
        <x:v>9.47</x:v>
      </x:c>
      <x:c r="F4048" s="18" t="n">
        <x:v>8.26</x:v>
      </x:c>
      <x:c r="G4048" t="n">
        <x:v>36</x:v>
      </x:c>
      <x:c r="H4048" t="str">
        <x:v>C</x:v>
      </x:c>
      <x:c r="I4048" t="str">
        <x:v>7-9 years</x:v>
      </x:c>
      <x:c r="J4048" t="str">
        <x:v>MORTGAGE</x:v>
      </x:c>
      <x:c r="K4048" t="str">
        <x:v>other</x:v>
      </x:c>
      <x:c r="L4048" t="n">
        <x:v>2</x:v>
      </x:c>
      <x:c r="M4048" t="n">
        <x:v>0</x:v>
      </x:c>
      <x:c r="N4048" t="str">
        <x:v>Fully Paid</x:v>
      </x:c>
      <x:c r="O4048" t="str">
        <x:f>IF(D4048="","Unknown",IF(D4048&lt;25000,"&lt;$25k",IF(D4048&lt;50000,"$25k-$50k",IF(D4048&lt;75000,"$50k-$75k",IF(D4048&lt;100000,"$75k-$100k","$100k+")))))</x:f>
        <x:v>$50k-$75k</x:v>
      </x:c>
      <x:c r="P4048" t="str">
        <x:f>IF(E4048="","Unknown",IF(E4048&lt;10,"&lt;10",IF(E4048&lt;20,"10-&lt;20",IF(E4048&lt;25,"20-&lt;25",IF(E4048&lt;35,"25-&lt;35","35+")))))</x:f>
        <x:v>&lt;10</x:v>
      </x:c>
    </x:row>
    <x:row r="4049">
      <x:c r="A4049" t="str">
        <x:v>SYN0004048</x:v>
      </x:c>
      <x:c r="B4049" s="12" t="n">
        <x:v>43105</x:v>
      </x:c>
      <x:c r="C4049" s="18" t="n">
        <x:v>9511</x:v>
      </x:c>
      <x:c r="D4049" s="18" t="n">
        <x:v>65457</x:v>
      </x:c>
      <x:c r="E4049" s="18" t="n">
        <x:v>10.41</x:v>
      </x:c>
      <x:c r="F4049" s="18" t="n">
        <x:v>5.68</x:v>
      </x:c>
      <x:c r="G4049" t="n">
        <x:v>60</x:v>
      </x:c>
      <x:c r="H4049" t="str">
        <x:v>B</x:v>
      </x:c>
      <x:c r="I4049" t="str">
        <x:v>10+ years</x:v>
      </x:c>
      <x:c r="J4049" t="str">
        <x:v>MORTGAGE</x:v>
      </x:c>
      <x:c r="K4049" t="str">
        <x:v>home_improvement</x:v>
      </x:c>
      <x:c r="L4049" t="n">
        <x:v>0</x:v>
      </x:c>
      <x:c r="M4049" t="n">
        <x:v>0</x:v>
      </x:c>
      <x:c r="N4049" t="str">
        <x:v>Fully Paid</x:v>
      </x:c>
      <x:c r="O4049" t="str">
        <x:f>IF(D4049="","Unknown",IF(D4049&lt;25000,"&lt;$25k",IF(D4049&lt;50000,"$25k-$50k",IF(D4049&lt;75000,"$50k-$75k",IF(D4049&lt;100000,"$75k-$100k","$100k+")))))</x:f>
        <x:v>$50k-$75k</x:v>
      </x:c>
      <x:c r="P4049" t="str">
        <x:f>IF(E4049="","Unknown",IF(E4049&lt;10,"&lt;10",IF(E4049&lt;20,"10-&lt;20",IF(E4049&lt;25,"20-&lt;25",IF(E4049&lt;35,"25-&lt;35","35+")))))</x:f>
        <x:v>10-&lt;20</x:v>
      </x:c>
    </x:row>
    <x:row r="4050">
      <x:c r="A4050" t="str">
        <x:v>SYN0004049</x:v>
      </x:c>
      <x:c r="B4050" s="12" t="n">
        <x:v>42115</x:v>
      </x:c>
      <x:c r="C4050" s="18" t="n">
        <x:v>27161</x:v>
      </x:c>
      <x:c r="D4050" s="18" t="n">
        <x:v>35190</x:v>
      </x:c>
      <x:c r="E4050" s="18" t="n">
        <x:v>7.48</x:v>
      </x:c>
      <x:c r="F4050" s="18" t="n">
        <x:v>7.83</x:v>
      </x:c>
      <x:c r="G4050" t="n">
        <x:v>36</x:v>
      </x:c>
      <x:c r="H4050" t="str">
        <x:v>B</x:v>
      </x:c>
      <x:c r="I4050" t="str">
        <x:v>1-3 years</x:v>
      </x:c>
      <x:c r="J4050" t="str">
        <x:v>OWN</x:v>
      </x:c>
      <x:c r="K4050" t="str">
        <x:v>credit_card</x:v>
      </x:c>
      <x:c r="L4050" t="n">
        <x:v>1</x:v>
      </x:c>
      <x:c r="M4050" t="n">
        <x:v>0</x:v>
      </x:c>
      <x:c r="N4050" t="str">
        <x:v>Fully Paid</x:v>
      </x:c>
      <x:c r="O4050" t="str">
        <x:f>IF(D4050="","Unknown",IF(D4050&lt;25000,"&lt;$25k",IF(D4050&lt;50000,"$25k-$50k",IF(D4050&lt;75000,"$50k-$75k",IF(D4050&lt;100000,"$75k-$100k","$100k+")))))</x:f>
        <x:v>$25k-$50k</x:v>
      </x:c>
      <x:c r="P4050" t="str">
        <x:f>IF(E4050="","Unknown",IF(E4050&lt;10,"&lt;10",IF(E4050&lt;20,"10-&lt;20",IF(E4050&lt;25,"20-&lt;25",IF(E4050&lt;35,"25-&lt;35","35+")))))</x:f>
        <x:v>&lt;10</x:v>
      </x:c>
    </x:row>
    <x:row r="4051">
      <x:c r="A4051" t="str">
        <x:v>SYN0004050</x:v>
      </x:c>
      <x:c r="B4051" s="12" t="n">
        <x:v>43075</x:v>
      </x:c>
      <x:c r="C4051" s="18" t="n">
        <x:v>22629</x:v>
      </x:c>
      <x:c r="D4051" s="18" t="n">
        <x:v>128200</x:v>
      </x:c>
      <x:c r="E4051" s="18" t="n">
        <x:v>23.22</x:v>
      </x:c>
      <x:c r="F4051" s="18" t="n">
        <x:v>21.76</x:v>
      </x:c>
      <x:c r="G4051" t="n">
        <x:v>36</x:v>
      </x:c>
      <x:c r="H4051" t="str">
        <x:v>F</x:v>
      </x:c>
      <x:c r="I4051" t="str">
        <x:v>4-6 years</x:v>
      </x:c>
      <x:c r="J4051" t="str">
        <x:v>RENT</x:v>
      </x:c>
      <x:c r="K4051" t="str">
        <x:v>debt_consolidation</x:v>
      </x:c>
      <x:c r="L4051" t="n">
        <x:v>0</x:v>
      </x:c>
      <x:c r="M4051" t="n">
        <x:v>0</x:v>
      </x:c>
      <x:c r="N4051" t="str">
        <x:v>Fully Paid</x:v>
      </x:c>
      <x:c r="O4051" t="str">
        <x:f>IF(D4051="","Unknown",IF(D4051&lt;25000,"&lt;$25k",IF(D4051&lt;50000,"$25k-$50k",IF(D4051&lt;75000,"$50k-$75k",IF(D4051&lt;100000,"$75k-$100k","$100k+")))))</x:f>
        <x:v>$100k+</x:v>
      </x:c>
      <x:c r="P4051" t="str">
        <x:f>IF(E4051="","Unknown",IF(E4051&lt;10,"&lt;10",IF(E4051&lt;20,"10-&lt;20",IF(E4051&lt;25,"20-&lt;25",IF(E4051&lt;35,"25-&lt;35","35+")))))</x:f>
        <x:v>20-&lt;25</x:v>
      </x:c>
    </x:row>
    <x:row r="4052">
      <x:c r="A4052" t="str">
        <x:v>SYN0004051</x:v>
      </x:c>
      <x:c r="B4052" s="12" t="n">
        <x:v>41875</x:v>
      </x:c>
      <x:c r="C4052" s="18" t="n">
        <x:v>3361</x:v>
      </x:c>
      <x:c r="D4052" s="18" t="n">
        <x:v>26291</x:v>
      </x:c>
      <x:c r="E4052" s="18" t="n">
        <x:v>27.23</x:v>
      </x:c>
      <x:c r="F4052" s="18" t="n">
        <x:v>9.4</x:v>
      </x:c>
      <x:c r="G4052" t="n">
        <x:v>60</x:v>
      </x:c>
      <x:c r="H4052" t="str">
        <x:v>C</x:v>
      </x:c>
      <x:c r="I4052" t="str">
        <x:v>10+ years</x:v>
      </x:c>
      <x:c r="J4052" t="str">
        <x:v>RENT</x:v>
      </x:c>
      <x:c r="K4052" t="str">
        <x:v>home_improvement</x:v>
      </x:c>
      <x:c r="L4052" t="n">
        <x:v>0</x:v>
      </x:c>
      <x:c r="M4052" t="n">
        <x:v>0</x:v>
      </x:c>
      <x:c r="N4052" t="str">
        <x:v>Fully Paid</x:v>
      </x:c>
      <x:c r="O4052" t="str">
        <x:f>IF(D4052="","Unknown",IF(D4052&lt;25000,"&lt;$25k",IF(D4052&lt;50000,"$25k-$50k",IF(D4052&lt;75000,"$50k-$75k",IF(D4052&lt;100000,"$75k-$100k","$100k+")))))</x:f>
        <x:v>$25k-$50k</x:v>
      </x:c>
      <x:c r="P4052" t="str">
        <x:f>IF(E4052="","Unknown",IF(E4052&lt;10,"&lt;10",IF(E4052&lt;20,"10-&lt;20",IF(E4052&lt;25,"20-&lt;25",IF(E4052&lt;35,"25-&lt;35","35+")))))</x:f>
        <x:v>25-&lt;35</x:v>
      </x:c>
    </x:row>
    <x:row r="4053">
      <x:c r="A4053" t="str">
        <x:v>SYN0004052</x:v>
      </x:c>
      <x:c r="B4053" s="12" t="n">
        <x:v>43375</x:v>
      </x:c>
      <x:c r="C4053" s="18" t="n">
        <x:v>12422</x:v>
      </x:c>
      <x:c r="D4053" s="18" t="n">
        <x:v>60364</x:v>
      </x:c>
      <x:c r="E4053" s="18" t="n">
        <x:v>38.22</x:v>
      </x:c>
      <x:c r="F4053" s="18" t="n">
        <x:v>19.78</x:v>
      </x:c>
      <x:c r="G4053" t="n">
        <x:v>36</x:v>
      </x:c>
      <x:c r="H4053" t="str">
        <x:v>E</x:v>
      </x:c>
      <x:c r="I4053" t="str">
        <x:v>&lt;1 year</x:v>
      </x:c>
      <x:c r="J4053" t="str">
        <x:v>RENT</x:v>
      </x:c>
      <x:c r="K4053" t="str">
        <x:v>debt_consolidation</x:v>
      </x:c>
      <x:c r="L4053" t="n">
        <x:v>3</x:v>
      </x:c>
      <x:c r="M4053" t="n">
        <x:v>0</x:v>
      </x:c>
      <x:c r="N4053" t="str">
        <x:v>Fully Paid</x:v>
      </x:c>
      <x:c r="O4053" t="str">
        <x:f>IF(D4053="","Unknown",IF(D4053&lt;25000,"&lt;$25k",IF(D4053&lt;50000,"$25k-$50k",IF(D4053&lt;75000,"$50k-$75k",IF(D4053&lt;100000,"$75k-$100k","$100k+")))))</x:f>
        <x:v>$50k-$75k</x:v>
      </x:c>
      <x:c r="P4053" t="str">
        <x:f>IF(E4053="","Unknown",IF(E4053&lt;10,"&lt;10",IF(E4053&lt;20,"10-&lt;20",IF(E4053&lt;25,"20-&lt;25",IF(E4053&lt;35,"25-&lt;35","35+")))))</x:f>
        <x:v>35+</x:v>
      </x:c>
    </x:row>
    <x:row r="4054">
      <x:c r="A4054" t="str">
        <x:v>SYN0004053</x:v>
      </x:c>
      <x:c r="B4054" s="12" t="n">
        <x:v>42475</x:v>
      </x:c>
      <x:c r="C4054" s="18" t="n">
        <x:v>6991</x:v>
      </x:c>
      <x:c r="D4054" s="18" t="n">
        <x:v>24353</x:v>
      </x:c>
      <x:c r="E4054" s="18" t="n">
        <x:v>36.43</x:v>
      </x:c>
      <x:c r="F4054" s="18" t="n">
        <x:v>24.56</x:v>
      </x:c>
      <x:c r="G4054" t="n">
        <x:v>36</x:v>
      </x:c>
      <x:c r="H4054" t="str">
        <x:v>G</x:v>
      </x:c>
      <x:c r="I4054" t="str">
        <x:v>7-9 years</x:v>
      </x:c>
      <x:c r="J4054" t="str">
        <x:v>OWN</x:v>
      </x:c>
      <x:c r="K4054" t="str">
        <x:v>debt_consolidation</x:v>
      </x:c>
      <x:c r="L4054" t="n">
        <x:v>0</x:v>
      </x:c>
      <x:c r="M4054" t="n">
        <x:v>0</x:v>
      </x:c>
      <x:c r="N4054" t="str">
        <x:v>Fully Paid</x:v>
      </x:c>
      <x:c r="O4054" t="str">
        <x:f>IF(D4054="","Unknown",IF(D4054&lt;25000,"&lt;$25k",IF(D4054&lt;50000,"$25k-$50k",IF(D4054&lt;75000,"$50k-$75k",IF(D4054&lt;100000,"$75k-$100k","$100k+")))))</x:f>
        <x:v>&lt;$25k</x:v>
      </x:c>
      <x:c r="P4054" t="str">
        <x:f>IF(E4054="","Unknown",IF(E4054&lt;10,"&lt;10",IF(E4054&lt;20,"10-&lt;20",IF(E4054&lt;25,"20-&lt;25",IF(E4054&lt;35,"25-&lt;35","35+")))))</x:f>
        <x:v>35+</x:v>
      </x:c>
    </x:row>
    <x:row r="4055">
      <x:c r="A4055" t="str">
        <x:v>SYN0004054</x:v>
      </x:c>
      <x:c r="B4055" s="12" t="n">
        <x:v>43165</x:v>
      </x:c>
      <x:c r="C4055" s="18" t="n">
        <x:v>17100</x:v>
      </x:c>
      <x:c r="D4055" s="18" t="n">
        <x:v>23582</x:v>
      </x:c>
      <x:c r="E4055" s="18" t="n">
        <x:v>5.29</x:v>
      </x:c>
      <x:c r="F4055" s="18" t="n">
        <x:v>6.02</x:v>
      </x:c>
      <x:c r="G4055" t="n">
        <x:v>36</x:v>
      </x:c>
      <x:c r="H4055" t="str">
        <x:v>B</x:v>
      </x:c>
      <x:c r="I4055" t="str">
        <x:v>1-3 years</x:v>
      </x:c>
      <x:c r="J4055" t="str">
        <x:v>MORTGAGE</x:v>
      </x:c>
      <x:c r="K4055" t="str">
        <x:v>other</x:v>
      </x:c>
      <x:c r="L4055" t="n">
        <x:v>0</x:v>
      </x:c>
      <x:c r="M4055" t="n">
        <x:v>0</x:v>
      </x:c>
      <x:c r="N4055" t="str">
        <x:v>Fully Paid</x:v>
      </x:c>
      <x:c r="O4055" t="str">
        <x:f>IF(D4055="","Unknown",IF(D4055&lt;25000,"&lt;$25k",IF(D4055&lt;50000,"$25k-$50k",IF(D4055&lt;75000,"$50k-$75k",IF(D4055&lt;100000,"$75k-$100k","$100k+")))))</x:f>
        <x:v>&lt;$25k</x:v>
      </x:c>
      <x:c r="P4055" t="str">
        <x:f>IF(E4055="","Unknown",IF(E4055&lt;10,"&lt;10",IF(E4055&lt;20,"10-&lt;20",IF(E4055&lt;25,"20-&lt;25",IF(E4055&lt;35,"25-&lt;35","35+")))))</x:f>
        <x:v>&lt;10</x:v>
      </x:c>
    </x:row>
    <x:row r="4056">
      <x:c r="A4056" t="str">
        <x:v>SYN0004055</x:v>
      </x:c>
      <x:c r="B4056" s="12" t="n">
        <x:v>43015</x:v>
      </x:c>
      <x:c r="C4056" s="18" t="n">
        <x:v>16009</x:v>
      </x:c>
      <x:c r="D4056" s="18" t="n">
        <x:v>55052</x:v>
      </x:c>
      <x:c r="E4056" s="18" t="n">
        <x:v>17.65</x:v>
      </x:c>
      <x:c r="F4056" s="18" t="n">
        <x:v>10.12</x:v>
      </x:c>
      <x:c r="G4056" t="n">
        <x:v>36</x:v>
      </x:c>
      <x:c r="H4056" t="str">
        <x:v>B</x:v>
      </x:c>
      <x:c r="I4056" t="str">
        <x:v>1-3 years</x:v>
      </x:c>
      <x:c r="J4056" t="str">
        <x:v>OWN</x:v>
      </x:c>
      <x:c r="K4056" t="str">
        <x:v>debt_consolidation</x:v>
      </x:c>
      <x:c r="L4056" t="n">
        <x:v>1</x:v>
      </x:c>
      <x:c r="M4056" t="n">
        <x:v>0</x:v>
      </x:c>
      <x:c r="N4056" t="str">
        <x:v>Fully Paid</x:v>
      </x:c>
      <x:c r="O4056" t="str">
        <x:f>IF(D4056="","Unknown",IF(D4056&lt;25000,"&lt;$25k",IF(D4056&lt;50000,"$25k-$50k",IF(D4056&lt;75000,"$50k-$75k",IF(D4056&lt;100000,"$75k-$100k","$100k+")))))</x:f>
        <x:v>$50k-$75k</x:v>
      </x:c>
      <x:c r="P4056" t="str">
        <x:f>IF(E4056="","Unknown",IF(E4056&lt;10,"&lt;10",IF(E4056&lt;20,"10-&lt;20",IF(E4056&lt;25,"20-&lt;25",IF(E4056&lt;35,"25-&lt;35","35+")))))</x:f>
        <x:v>10-&lt;20</x:v>
      </x:c>
    </x:row>
    <x:row r="4057">
      <x:c r="A4057" t="str">
        <x:v>SYN0004056</x:v>
      </x:c>
      <x:c r="B4057" s="12" t="n">
        <x:v>42115</x:v>
      </x:c>
      <x:c r="C4057" s="18" t="n">
        <x:v>9395</x:v>
      </x:c>
      <x:c r="D4057" s="18" t="n">
        <x:v>114004</x:v>
      </x:c>
      <x:c r="E4057" s="18" t="n">
        <x:v>21.73</x:v>
      </x:c>
      <x:c r="F4057" s="18" t="n">
        <x:v>10.77</x:v>
      </x:c>
      <x:c r="G4057" t="n">
        <x:v>60</x:v>
      </x:c>
      <x:c r="H4057" t="str">
        <x:v>C</x:v>
      </x:c>
      <x:c r="I4057" t="str">
        <x:v>&lt;1 year</x:v>
      </x:c>
      <x:c r="J4057" t="str">
        <x:v>MORTGAGE</x:v>
      </x:c>
      <x:c r="K4057" t="str">
        <x:v>other</x:v>
      </x:c>
      <x:c r="L4057" t="n">
        <x:v>3</x:v>
      </x:c>
      <x:c r="M4057" t="n">
        <x:v>0</x:v>
      </x:c>
      <x:c r="N4057" t="str">
        <x:v>Fully Paid</x:v>
      </x:c>
      <x:c r="O4057" t="str">
        <x:f>IF(D4057="","Unknown",IF(D4057&lt;25000,"&lt;$25k",IF(D4057&lt;50000,"$25k-$50k",IF(D4057&lt;75000,"$50k-$75k",IF(D4057&lt;100000,"$75k-$100k","$100k+")))))</x:f>
        <x:v>$100k+</x:v>
      </x:c>
      <x:c r="P4057" t="str">
        <x:f>IF(E4057="","Unknown",IF(E4057&lt;10,"&lt;10",IF(E4057&lt;20,"10-&lt;20",IF(E4057&lt;25,"20-&lt;25",IF(E4057&lt;35,"25-&lt;35","35+")))))</x:f>
        <x:v>20-&lt;25</x:v>
      </x:c>
    </x:row>
    <x:row r="4058">
      <x:c r="A4058" t="str">
        <x:v>SYN0004057</x:v>
      </x:c>
      <x:c r="B4058" s="12" t="n">
        <x:v>41845</x:v>
      </x:c>
      <x:c r="C4058" s="18" t="n">
        <x:v>11894</x:v>
      </x:c>
      <x:c r="D4058" s="18" t="n">
        <x:v>36364</x:v>
      </x:c>
      <x:c r="E4058" s="18" t="n">
        <x:v>24.42</x:v>
      </x:c>
      <x:c r="F4058" s="18" t="n">
        <x:v>14.98</x:v>
      </x:c>
      <x:c r="G4058" t="n">
        <x:v>36</x:v>
      </x:c>
      <x:c r="H4058" t="str">
        <x:v>D</x:v>
      </x:c>
      <x:c r="I4058" t="str">
        <x:v>10+ years</x:v>
      </x:c>
      <x:c r="J4058" t="str">
        <x:v>RENT</x:v>
      </x:c>
      <x:c r="K4058" t="str">
        <x:v>debt_consolidation</x:v>
      </x:c>
      <x:c r="L4058" t="n">
        <x:v>0</x:v>
      </x:c>
      <x:c r="M4058" t="n">
        <x:v>0</x:v>
      </x:c>
      <x:c r="N4058" t="str">
        <x:v>Fully Paid</x:v>
      </x:c>
      <x:c r="O4058" t="str">
        <x:f>IF(D4058="","Unknown",IF(D4058&lt;25000,"&lt;$25k",IF(D4058&lt;50000,"$25k-$50k",IF(D4058&lt;75000,"$50k-$75k",IF(D4058&lt;100000,"$75k-$100k","$100k+")))))</x:f>
        <x:v>$25k-$50k</x:v>
      </x:c>
      <x:c r="P4058" t="str">
        <x:f>IF(E4058="","Unknown",IF(E4058&lt;10,"&lt;10",IF(E4058&lt;20,"10-&lt;20",IF(E4058&lt;25,"20-&lt;25",IF(E4058&lt;35,"25-&lt;35","35+")))))</x:f>
        <x:v>20-&lt;25</x:v>
      </x:c>
    </x:row>
    <x:row r="4059">
      <x:c r="A4059" t="str">
        <x:v>SYN0004058</x:v>
      </x:c>
      <x:c r="B4059" s="12" t="n">
        <x:v>41515</x:v>
      </x:c>
      <x:c r="C4059" s="18" t="n">
        <x:v>15765</x:v>
      </x:c>
      <x:c r="D4059" s="18" t="n">
        <x:v>130348</x:v>
      </x:c>
      <x:c r="E4059" s="18" t="n">
        <x:v>18.69</x:v>
      </x:c>
      <x:c r="F4059" s="18" t="n">
        <x:v>19.35</x:v>
      </x:c>
      <x:c r="G4059" t="n">
        <x:v>60</x:v>
      </x:c>
      <x:c r="H4059" t="str">
        <x:v>E</x:v>
      </x:c>
      <x:c r="I4059" t="str">
        <x:v>4-6 years</x:v>
      </x:c>
      <x:c r="J4059" t="str">
        <x:v>OWN</x:v>
      </x:c>
      <x:c r="K4059" t="str">
        <x:v>credit_card</x:v>
      </x:c>
      <x:c r="L4059" t="n">
        <x:v>1</x:v>
      </x:c>
      <x:c r="M4059" t="n">
        <x:v>0</x:v>
      </x:c>
      <x:c r="N4059" t="str">
        <x:v>Fully Paid</x:v>
      </x:c>
      <x:c r="O4059" t="str">
        <x:f>IF(D4059="","Unknown",IF(D4059&lt;25000,"&lt;$25k",IF(D4059&lt;50000,"$25k-$50k",IF(D4059&lt;75000,"$50k-$75k",IF(D4059&lt;100000,"$75k-$100k","$100k+")))))</x:f>
        <x:v>$100k+</x:v>
      </x:c>
      <x:c r="P4059" t="str">
        <x:f>IF(E4059="","Unknown",IF(E4059&lt;10,"&lt;10",IF(E4059&lt;20,"10-&lt;20",IF(E4059&lt;25,"20-&lt;25",IF(E4059&lt;35,"25-&lt;35","35+")))))</x:f>
        <x:v>10-&lt;20</x:v>
      </x:c>
    </x:row>
    <x:row r="4060">
      <x:c r="A4060" t="str">
        <x:v>SYN0004059</x:v>
      </x:c>
      <x:c r="B4060" s="12" t="n">
        <x:v>41545</x:v>
      </x:c>
      <x:c r="C4060" s="18" t="n">
        <x:v>8693</x:v>
      </x:c>
      <x:c r="D4060" s="18" t="n">
        <x:v>36199</x:v>
      </x:c>
      <x:c r="E4060" s="18" t="n">
        <x:v>28.16</x:v>
      </x:c>
      <x:c r="F4060" s="18" t="n">
        <x:v>26.76</x:v>
      </x:c>
      <x:c r="G4060" t="n">
        <x:v>60</x:v>
      </x:c>
      <x:c r="H4060" t="str">
        <x:v>G</x:v>
      </x:c>
      <x:c r="I4060" t="str">
        <x:v>4-6 years</x:v>
      </x:c>
      <x:c r="J4060" t="str">
        <x:v>RENT</x:v>
      </x:c>
      <x:c r="K4060" t="str">
        <x:v>debt_consolidation</x:v>
      </x:c>
      <x:c r="L4060" t="n">
        <x:v>0</x:v>
      </x:c>
      <x:c r="M4060" t="n">
        <x:v>1</x:v>
      </x:c>
      <x:c r="N4060" t="str">
        <x:v>Charged Off</x:v>
      </x:c>
      <x:c r="O4060" t="str">
        <x:f>IF(D4060="","Unknown",IF(D4060&lt;25000,"&lt;$25k",IF(D4060&lt;50000,"$25k-$50k",IF(D4060&lt;75000,"$50k-$75k",IF(D4060&lt;100000,"$75k-$100k","$100k+")))))</x:f>
        <x:v>$25k-$50k</x:v>
      </x:c>
      <x:c r="P4060" t="str">
        <x:f>IF(E4060="","Unknown",IF(E4060&lt;10,"&lt;10",IF(E4060&lt;20,"10-&lt;20",IF(E4060&lt;25,"20-&lt;25",IF(E4060&lt;35,"25-&lt;35","35+")))))</x:f>
        <x:v>25-&lt;35</x:v>
      </x:c>
    </x:row>
    <x:row r="4061">
      <x:c r="A4061" t="str">
        <x:v>SYN0004060</x:v>
      </x:c>
      <x:c r="B4061" s="12" t="n">
        <x:v>42265</x:v>
      </x:c>
      <x:c r="C4061" s="18" t="n">
        <x:v>22337</x:v>
      </x:c>
      <x:c r="D4061" s="18" t="n">
        <x:v>111656</x:v>
      </x:c>
      <x:c r="E4061" s="18" t="n">
        <x:v>24.02</x:v>
      </x:c>
      <x:c r="F4061" s="18" t="n">
        <x:v>12.78</x:v>
      </x:c>
      <x:c r="G4061" t="n">
        <x:v>36</x:v>
      </x:c>
      <x:c r="H4061" t="str">
        <x:v>D</x:v>
      </x:c>
      <x:c r="I4061" t="str">
        <x:v>4-6 years</x:v>
      </x:c>
      <x:c r="J4061" t="str">
        <x:v>MORTGAGE</x:v>
      </x:c>
      <x:c r="K4061" t="str">
        <x:v>debt_consolidation</x:v>
      </x:c>
      <x:c r="L4061" t="n">
        <x:v>1</x:v>
      </x:c>
      <x:c r="M4061" t="n">
        <x:v>1</x:v>
      </x:c>
      <x:c r="N4061" t="str">
        <x:v>Charged Off</x:v>
      </x:c>
      <x:c r="O4061" t="str">
        <x:f>IF(D4061="","Unknown",IF(D4061&lt;25000,"&lt;$25k",IF(D4061&lt;50000,"$25k-$50k",IF(D4061&lt;75000,"$50k-$75k",IF(D4061&lt;100000,"$75k-$100k","$100k+")))))</x:f>
        <x:v>$100k+</x:v>
      </x:c>
      <x:c r="P4061" t="str">
        <x:f>IF(E4061="","Unknown",IF(E4061&lt;10,"&lt;10",IF(E4061&lt;20,"10-&lt;20",IF(E4061&lt;25,"20-&lt;25",IF(E4061&lt;35,"25-&lt;35","35+")))))</x:f>
        <x:v>20-&lt;25</x:v>
      </x:c>
    </x:row>
    <x:row r="4062">
      <x:c r="A4062" t="str">
        <x:v>SYN0004061</x:v>
      </x:c>
      <x:c r="B4062" s="12" t="n">
        <x:v>42805</x:v>
      </x:c>
      <x:c r="C4062" s="18" t="n">
        <x:v>18775</x:v>
      </x:c>
      <x:c r="D4062" s="18" t="n">
        <x:v>19607</x:v>
      </x:c>
      <x:c r="E4062" s="18" t="n">
        <x:v>12.48</x:v>
      </x:c>
      <x:c r="F4062" s="18" t="n">
        <x:v>10.62</x:v>
      </x:c>
      <x:c r="G4062" t="n">
        <x:v>36</x:v>
      </x:c>
      <x:c r="H4062" t="str">
        <x:v>C</x:v>
      </x:c>
      <x:c r="I4062" t="str">
        <x:v>7-9 years</x:v>
      </x:c>
      <x:c r="J4062" t="str">
        <x:v>MORTGAGE</x:v>
      </x:c>
      <x:c r="K4062" t="str">
        <x:v>debt_consolidation</x:v>
      </x:c>
      <x:c r="L4062" t="n">
        <x:v>0</x:v>
      </x:c>
      <x:c r="M4062" t="n">
        <x:v>0</x:v>
      </x:c>
      <x:c r="N4062" t="str">
        <x:v>Fully Paid</x:v>
      </x:c>
      <x:c r="O4062" t="str">
        <x:f>IF(D4062="","Unknown",IF(D4062&lt;25000,"&lt;$25k",IF(D4062&lt;50000,"$25k-$50k",IF(D4062&lt;75000,"$50k-$75k",IF(D4062&lt;100000,"$75k-$100k","$100k+")))))</x:f>
        <x:v>&lt;$25k</x:v>
      </x:c>
      <x:c r="P4062" t="str">
        <x:f>IF(E4062="","Unknown",IF(E4062&lt;10,"&lt;10",IF(E4062&lt;20,"10-&lt;20",IF(E4062&lt;25,"20-&lt;25",IF(E4062&lt;35,"25-&lt;35","35+")))))</x:f>
        <x:v>10-&lt;20</x:v>
      </x:c>
    </x:row>
    <x:row r="4063">
      <x:c r="A4063" t="str">
        <x:v>SYN0004062</x:v>
      </x:c>
      <x:c r="B4063" s="12" t="n">
        <x:v>42685</x:v>
      </x:c>
      <x:c r="C4063" s="18" t="n">
        <x:v>8548</x:v>
      </x:c>
      <x:c r="D4063" s="18" t="n">
        <x:v>67707</x:v>
      </x:c>
      <x:c r="E4063" s="18" t="n">
        <x:v>10.55</x:v>
      </x:c>
      <x:c r="F4063" s="18" t="n">
        <x:v>5</x:v>
      </x:c>
      <x:c r="G4063" t="n">
        <x:v>36</x:v>
      </x:c>
      <x:c r="H4063" t="str">
        <x:v>A</x:v>
      </x:c>
      <x:c r="I4063" t="str">
        <x:v>10+ years</x:v>
      </x:c>
      <x:c r="J4063" t="str">
        <x:v>OTHER</x:v>
      </x:c>
      <x:c r="K4063" t="str">
        <x:v>other</x:v>
      </x:c>
      <x:c r="L4063" t="n">
        <x:v>0</x:v>
      </x:c>
      <x:c r="M4063" t="n">
        <x:v>0</x:v>
      </x:c>
      <x:c r="N4063" t="str">
        <x:v>Fully Paid</x:v>
      </x:c>
      <x:c r="O4063" t="str">
        <x:f>IF(D4063="","Unknown",IF(D4063&lt;25000,"&lt;$25k",IF(D4063&lt;50000,"$25k-$50k",IF(D4063&lt;75000,"$50k-$75k",IF(D4063&lt;100000,"$75k-$100k","$100k+")))))</x:f>
        <x:v>$50k-$75k</x:v>
      </x:c>
      <x:c r="P4063" t="str">
        <x:f>IF(E4063="","Unknown",IF(E4063&lt;10,"&lt;10",IF(E4063&lt;20,"10-&lt;20",IF(E4063&lt;25,"20-&lt;25",IF(E4063&lt;35,"25-&lt;35","35+")))))</x:f>
        <x:v>10-&lt;20</x:v>
      </x:c>
    </x:row>
    <x:row r="4064">
      <x:c r="A4064" t="str">
        <x:v>SYN0004063</x:v>
      </x:c>
      <x:c r="B4064" s="12" t="n">
        <x:v>41395</x:v>
      </x:c>
      <x:c r="C4064" s="18" t="n">
        <x:v>8045</x:v>
      </x:c>
      <x:c r="D4064" s="18" t="n">
        <x:v>14668</x:v>
      </x:c>
      <x:c r="E4064" s="18" t="n">
        <x:v>20.24</x:v>
      </x:c>
      <x:c r="F4064" s="18" t="n">
        <x:v>10.41</x:v>
      </x:c>
      <x:c r="G4064" t="n">
        <x:v>60</x:v>
      </x:c>
      <x:c r="H4064" t="str">
        <x:v>C</x:v>
      </x:c>
      <x:c r="I4064" t="str">
        <x:v>7-9 years</x:v>
      </x:c>
      <x:c r="J4064" t="str">
        <x:v>MORTGAGE</x:v>
      </x:c>
      <x:c r="K4064" t="str">
        <x:v>home_improvement</x:v>
      </x:c>
      <x:c r="L4064" t="n">
        <x:v>0</x:v>
      </x:c>
      <x:c r="M4064" t="n">
        <x:v>0</x:v>
      </x:c>
      <x:c r="N4064" t="str">
        <x:v>Fully Paid</x:v>
      </x:c>
      <x:c r="O4064" t="str">
        <x:f>IF(D4064="","Unknown",IF(D4064&lt;25000,"&lt;$25k",IF(D4064&lt;50000,"$25k-$50k",IF(D4064&lt;75000,"$50k-$75k",IF(D4064&lt;100000,"$75k-$100k","$100k+")))))</x:f>
        <x:v>&lt;$25k</x:v>
      </x:c>
      <x:c r="P4064" t="str">
        <x:f>IF(E4064="","Unknown",IF(E4064&lt;10,"&lt;10",IF(E4064&lt;20,"10-&lt;20",IF(E4064&lt;25,"20-&lt;25",IF(E4064&lt;35,"25-&lt;35","35+")))))</x:f>
        <x:v>20-&lt;25</x:v>
      </x:c>
    </x:row>
    <x:row r="4065">
      <x:c r="A4065" t="str">
        <x:v>SYN0004064</x:v>
      </x:c>
      <x:c r="B4065" s="12" t="n">
        <x:v>43255</x:v>
      </x:c>
      <x:c r="C4065" s="18" t="n">
        <x:v>34778</x:v>
      </x:c>
      <x:c r="D4065" s="18" t="n">
        <x:v>42124</x:v>
      </x:c>
      <x:c r="E4065" s="18" t="n">
        <x:v>31.2</x:v>
      </x:c>
      <x:c r="F4065" s="18" t="n">
        <x:v>8.57</x:v>
      </x:c>
      <x:c r="G4065" t="n">
        <x:v>36</x:v>
      </x:c>
      <x:c r="H4065" t="str">
        <x:v>C</x:v>
      </x:c>
      <x:c r="I4065" t="str">
        <x:v>10+ years</x:v>
      </x:c>
      <x:c r="J4065" t="str">
        <x:v>RENT</x:v>
      </x:c>
      <x:c r="K4065" t="str">
        <x:v>debt_consolidation</x:v>
      </x:c>
      <x:c r="L4065" t="n">
        <x:v>1</x:v>
      </x:c>
      <x:c r="M4065" t="n">
        <x:v>0</x:v>
      </x:c>
      <x:c r="N4065" t="str">
        <x:v>Fully Paid</x:v>
      </x:c>
      <x:c r="O4065" t="str">
        <x:f>IF(D4065="","Unknown",IF(D4065&lt;25000,"&lt;$25k",IF(D4065&lt;50000,"$25k-$50k",IF(D4065&lt;75000,"$50k-$75k",IF(D4065&lt;100000,"$75k-$100k","$100k+")))))</x:f>
        <x:v>$25k-$50k</x:v>
      </x:c>
      <x:c r="P4065" t="str">
        <x:f>IF(E4065="","Unknown",IF(E4065&lt;10,"&lt;10",IF(E4065&lt;20,"10-&lt;20",IF(E4065&lt;25,"20-&lt;25",IF(E4065&lt;35,"25-&lt;35","35+")))))</x:f>
        <x:v>25-&lt;35</x:v>
      </x:c>
    </x:row>
    <x:row r="4066">
      <x:c r="A4066" t="str">
        <x:v>SYN0004065</x:v>
      </x:c>
      <x:c r="B4066" s="12" t="n">
        <x:v>43345</x:v>
      </x:c>
      <x:c r="C4066" s="18" t="n">
        <x:v>28770</x:v>
      </x:c>
      <x:c r="D4066" s="18" t="n">
        <x:v>50666</x:v>
      </x:c>
      <x:c r="E4066" s="18" t="n">
        <x:v>10.22</x:v>
      </x:c>
      <x:c r="F4066" s="18" t="n">
        <x:v>9.99</x:v>
      </x:c>
      <x:c r="G4066" t="n">
        <x:v>36</x:v>
      </x:c>
      <x:c r="H4066" t="str">
        <x:v>C</x:v>
      </x:c>
      <x:c r="I4066" t="str">
        <x:v>10+ years</x:v>
      </x:c>
      <x:c r="J4066" t="str">
        <x:v>MORTGAGE</x:v>
      </x:c>
      <x:c r="K4066" t="str">
        <x:v>major_purchase</x:v>
      </x:c>
      <x:c r="L4066" t="n">
        <x:v>0</x:v>
      </x:c>
      <x:c r="M4066" t="n">
        <x:v>0</x:v>
      </x:c>
      <x:c r="N4066" t="str">
        <x:v>Fully Paid</x:v>
      </x:c>
      <x:c r="O4066" t="str">
        <x:f>IF(D4066="","Unknown",IF(D4066&lt;25000,"&lt;$25k",IF(D4066&lt;50000,"$25k-$50k",IF(D4066&lt;75000,"$50k-$75k",IF(D4066&lt;100000,"$75k-$100k","$100k+")))))</x:f>
        <x:v>$50k-$75k</x:v>
      </x:c>
      <x:c r="P4066" t="str">
        <x:f>IF(E4066="","Unknown",IF(E4066&lt;10,"&lt;10",IF(E4066&lt;20,"10-&lt;20",IF(E4066&lt;25,"20-&lt;25",IF(E4066&lt;35,"25-&lt;35","35+")))))</x:f>
        <x:v>10-&lt;20</x:v>
      </x:c>
    </x:row>
    <x:row r="4067">
      <x:c r="A4067" t="str">
        <x:v>SYN0004066</x:v>
      </x:c>
      <x:c r="B4067" s="12" t="n">
        <x:v>41605</x:v>
      </x:c>
      <x:c r="C4067" s="18" t="n">
        <x:v>6308</x:v>
      </x:c>
      <x:c r="D4067" s="18" t="n">
        <x:v>70015</x:v>
      </x:c>
      <x:c r="E4067" s="18" t="n">
        <x:v>11.87</x:v>
      </x:c>
      <x:c r="F4067" s="18" t="n">
        <x:v>6.88</x:v>
      </x:c>
      <x:c r="G4067" t="n">
        <x:v>36</x:v>
      </x:c>
      <x:c r="H4067" t="str">
        <x:v>B</x:v>
      </x:c>
      <x:c r="I4067" t="str">
        <x:v>1-3 years</x:v>
      </x:c>
      <x:c r="J4067" t="str">
        <x:v>MORTGAGE</x:v>
      </x:c>
      <x:c r="K4067" t="str">
        <x:v>credit_card</x:v>
      </x:c>
      <x:c r="L4067" t="n">
        <x:v>2</x:v>
      </x:c>
      <x:c r="M4067" t="n">
        <x:v>0</x:v>
      </x:c>
      <x:c r="N4067" t="str">
        <x:v>Fully Paid</x:v>
      </x:c>
      <x:c r="O4067" t="str">
        <x:f>IF(D4067="","Unknown",IF(D4067&lt;25000,"&lt;$25k",IF(D4067&lt;50000,"$25k-$50k",IF(D4067&lt;75000,"$50k-$75k",IF(D4067&lt;100000,"$75k-$100k","$100k+")))))</x:f>
        <x:v>$50k-$75k</x:v>
      </x:c>
      <x:c r="P4067" t="str">
        <x:f>IF(E4067="","Unknown",IF(E4067&lt;10,"&lt;10",IF(E4067&lt;20,"10-&lt;20",IF(E4067&lt;25,"20-&lt;25",IF(E4067&lt;35,"25-&lt;35","35+")))))</x:f>
        <x:v>10-&lt;20</x:v>
      </x:c>
    </x:row>
    <x:row r="4068">
      <x:c r="A4068" t="str">
        <x:v>SYN0004067</x:v>
      </x:c>
      <x:c r="B4068" s="12" t="n">
        <x:v>42985</x:v>
      </x:c>
      <x:c r="C4068" s="18" t="n">
        <x:v>17792</x:v>
      </x:c>
      <x:c r="D4068" s="18" t="n">
        <x:v>40584</x:v>
      </x:c>
      <x:c r="E4068" s="18" t="n">
        <x:v>19.33</x:v>
      </x:c>
      <x:c r="F4068" s="18" t="n">
        <x:v>11.68</x:v>
      </x:c>
      <x:c r="G4068" t="n">
        <x:v>36</x:v>
      </x:c>
      <x:c r="H4068" t="str">
        <x:v>B</x:v>
      </x:c>
      <x:c r="I4068" t="str">
        <x:v>1-3 years</x:v>
      </x:c>
      <x:c r="J4068" t="str">
        <x:v>RENT</x:v>
      </x:c>
      <x:c r="K4068" t="str">
        <x:v>home_improvement</x:v>
      </x:c>
      <x:c r="L4068" t="n">
        <x:v>0</x:v>
      </x:c>
      <x:c r="M4068" t="n">
        <x:v>0</x:v>
      </x:c>
      <x:c r="N4068" t="str">
        <x:v>Fully Paid</x:v>
      </x:c>
      <x:c r="O4068" t="str">
        <x:f>IF(D4068="","Unknown",IF(D4068&lt;25000,"&lt;$25k",IF(D4068&lt;50000,"$25k-$50k",IF(D4068&lt;75000,"$50k-$75k",IF(D4068&lt;100000,"$75k-$100k","$100k+")))))</x:f>
        <x:v>$25k-$50k</x:v>
      </x:c>
      <x:c r="P4068" t="str">
        <x:f>IF(E4068="","Unknown",IF(E4068&lt;10,"&lt;10",IF(E4068&lt;20,"10-&lt;20",IF(E4068&lt;25,"20-&lt;25",IF(E4068&lt;35,"25-&lt;35","35+")))))</x:f>
        <x:v>10-&lt;20</x:v>
      </x:c>
    </x:row>
    <x:row r="4069">
      <x:c r="A4069" t="str">
        <x:v>SYN0004068</x:v>
      </x:c>
      <x:c r="B4069" s="12" t="n">
        <x:v>41905</x:v>
      </x:c>
      <x:c r="C4069" s="18" t="n">
        <x:v>15874</x:v>
      </x:c>
      <x:c r="D4069" s="18" t="n">
        <x:v>152519</x:v>
      </x:c>
      <x:c r="E4069" s="18" t="n">
        <x:v>8.5</x:v>
      </x:c>
      <x:c r="F4069" s="18" t="n">
        <x:v>18.27</x:v>
      </x:c>
      <x:c r="G4069" t="n">
        <x:v>36</x:v>
      </x:c>
      <x:c r="H4069" t="str">
        <x:v>E</x:v>
      </x:c>
      <x:c r="I4069" t="str">
        <x:v>10+ years</x:v>
      </x:c>
      <x:c r="J4069" t="str">
        <x:v>MORTGAGE</x:v>
      </x:c>
      <x:c r="K4069" t="str">
        <x:v>credit_card</x:v>
      </x:c>
      <x:c r="L4069" t="n">
        <x:v>2</x:v>
      </x:c>
      <x:c r="M4069" t="n">
        <x:v>1</x:v>
      </x:c>
      <x:c r="N4069" t="str">
        <x:v>Charged Off</x:v>
      </x:c>
      <x:c r="O4069" t="str">
        <x:f>IF(D4069="","Unknown",IF(D4069&lt;25000,"&lt;$25k",IF(D4069&lt;50000,"$25k-$50k",IF(D4069&lt;75000,"$50k-$75k",IF(D4069&lt;100000,"$75k-$100k","$100k+")))))</x:f>
        <x:v>$100k+</x:v>
      </x:c>
      <x:c r="P4069" t="str">
        <x:f>IF(E4069="","Unknown",IF(E4069&lt;10,"&lt;10",IF(E4069&lt;20,"10-&lt;20",IF(E4069&lt;25,"20-&lt;25",IF(E4069&lt;35,"25-&lt;35","35+")))))</x:f>
        <x:v>&lt;10</x:v>
      </x:c>
    </x:row>
    <x:row r="4070">
      <x:c r="A4070" t="str">
        <x:v>SYN0004069</x:v>
      </x:c>
      <x:c r="B4070" s="12" t="n">
        <x:v>42355</x:v>
      </x:c>
      <x:c r="C4070" s="18" t="n">
        <x:v>8341</x:v>
      </x:c>
      <x:c r="D4070" s="18" t="n">
        <x:v>48887</x:v>
      </x:c>
      <x:c r="E4070" s="18" t="n">
        <x:v>26.86</x:v>
      </x:c>
      <x:c r="F4070" s="18" t="n">
        <x:v>8.39</x:v>
      </x:c>
      <x:c r="G4070" t="n">
        <x:v>36</x:v>
      </x:c>
      <x:c r="H4070" t="str">
        <x:v>B</x:v>
      </x:c>
      <x:c r="I4070" t="str">
        <x:v>&lt;1 year</x:v>
      </x:c>
      <x:c r="J4070" t="str">
        <x:v>MORTGAGE</x:v>
      </x:c>
      <x:c r="K4070" t="str">
        <x:v>credit_card</x:v>
      </x:c>
      <x:c r="L4070" t="n">
        <x:v>0</x:v>
      </x:c>
      <x:c r="M4070" t="n">
        <x:v>0</x:v>
      </x:c>
      <x:c r="N4070" t="str">
        <x:v>Fully Paid</x:v>
      </x:c>
      <x:c r="O4070" t="str">
        <x:f>IF(D4070="","Unknown",IF(D4070&lt;25000,"&lt;$25k",IF(D4070&lt;50000,"$25k-$50k",IF(D4070&lt;75000,"$50k-$75k",IF(D4070&lt;100000,"$75k-$100k","$100k+")))))</x:f>
        <x:v>$25k-$50k</x:v>
      </x:c>
      <x:c r="P4070" t="str">
        <x:f>IF(E4070="","Unknown",IF(E4070&lt;10,"&lt;10",IF(E4070&lt;20,"10-&lt;20",IF(E4070&lt;25,"20-&lt;25",IF(E4070&lt;35,"25-&lt;35","35+")))))</x:f>
        <x:v>25-&lt;35</x:v>
      </x:c>
    </x:row>
    <x:row r="4071">
      <x:c r="A4071" t="str">
        <x:v>SYN0004070</x:v>
      </x:c>
      <x:c r="B4071" s="12" t="n">
        <x:v>43015</x:v>
      </x:c>
      <x:c r="C4071" s="18" t="n">
        <x:v>15849</x:v>
      </x:c>
      <x:c r="D4071" s="18" t="n">
        <x:v>39316</x:v>
      </x:c>
      <x:c r="E4071" s="18" t="n">
        <x:v>24.35</x:v>
      </x:c>
      <x:c r="F4071" s="18" t="n">
        <x:v>11.77</x:v>
      </x:c>
      <x:c r="G4071" t="n">
        <x:v>36</x:v>
      </x:c>
      <x:c r="H4071" t="str">
        <x:v>D</x:v>
      </x:c>
      <x:c r="I4071" t="str">
        <x:v>1-3 years</x:v>
      </x:c>
      <x:c r="J4071" t="str">
        <x:v>MORTGAGE</x:v>
      </x:c>
      <x:c r="K4071" t="str">
        <x:v>major_purchase</x:v>
      </x:c>
      <x:c r="L4071" t="n">
        <x:v>2</x:v>
      </x:c>
      <x:c r="M4071" t="n">
        <x:v>1</x:v>
      </x:c>
      <x:c r="N4071" t="str">
        <x:v>Charged Off</x:v>
      </x:c>
      <x:c r="O4071" t="str">
        <x:f>IF(D4071="","Unknown",IF(D4071&lt;25000,"&lt;$25k",IF(D4071&lt;50000,"$25k-$50k",IF(D4071&lt;75000,"$50k-$75k",IF(D4071&lt;100000,"$75k-$100k","$100k+")))))</x:f>
        <x:v>$25k-$50k</x:v>
      </x:c>
      <x:c r="P4071" t="str">
        <x:f>IF(E4071="","Unknown",IF(E4071&lt;10,"&lt;10",IF(E4071&lt;20,"10-&lt;20",IF(E4071&lt;25,"20-&lt;25",IF(E4071&lt;35,"25-&lt;35","35+")))))</x:f>
        <x:v>20-&lt;25</x:v>
      </x:c>
    </x:row>
    <x:row r="4072">
      <x:c r="A4072" t="str">
        <x:v>SYN0004071</x:v>
      </x:c>
      <x:c r="B4072" s="12" t="n">
        <x:v>41755</x:v>
      </x:c>
      <x:c r="C4072" s="18" t="n">
        <x:v>13764</x:v>
      </x:c>
      <x:c r="D4072" s="18" t="n">
        <x:v>24665</x:v>
      </x:c>
      <x:c r="E4072" s="18" t="n">
        <x:v>19.21</x:v>
      </x:c>
      <x:c r="F4072" s="18" t="n">
        <x:v>5.41</x:v>
      </x:c>
      <x:c r="G4072" t="n">
        <x:v>36</x:v>
      </x:c>
      <x:c r="H4072" t="str">
        <x:v>B</x:v>
      </x:c>
      <x:c r="I4072" t="str">
        <x:v>10+ years</x:v>
      </x:c>
      <x:c r="J4072" t="str">
        <x:v>RENT</x:v>
      </x:c>
      <x:c r="K4072" t="str">
        <x:v>debt_consolidation</x:v>
      </x:c>
      <x:c r="L4072" t="n">
        <x:v>0</x:v>
      </x:c>
      <x:c r="M4072" t="n">
        <x:v>0</x:v>
      </x:c>
      <x:c r="N4072" t="str">
        <x:v>Fully Paid</x:v>
      </x:c>
      <x:c r="O4072" t="str">
        <x:f>IF(D4072="","Unknown",IF(D4072&lt;25000,"&lt;$25k",IF(D4072&lt;50000,"$25k-$50k",IF(D4072&lt;75000,"$50k-$75k",IF(D4072&lt;100000,"$75k-$100k","$100k+")))))</x:f>
        <x:v>&lt;$25k</x:v>
      </x:c>
      <x:c r="P4072" t="str">
        <x:f>IF(E4072="","Unknown",IF(E4072&lt;10,"&lt;10",IF(E4072&lt;20,"10-&lt;20",IF(E4072&lt;25,"20-&lt;25",IF(E4072&lt;35,"25-&lt;35","35+")))))</x:f>
        <x:v>10-&lt;20</x:v>
      </x:c>
    </x:row>
    <x:row r="4073">
      <x:c r="A4073" t="str">
        <x:v>SYN0004072</x:v>
      </x:c>
      <x:c r="B4073" s="12" t="n">
        <x:v>41365</x:v>
      </x:c>
      <x:c r="C4073" s="18" t="n">
        <x:v>17179</x:v>
      </x:c>
      <x:c r="D4073" s="18" t="n">
        <x:v>42296</x:v>
      </x:c>
      <x:c r="E4073" s="18" t="n">
        <x:v>19.3</x:v>
      </x:c>
      <x:c r="F4073" s="18" t="n">
        <x:v>5.99</x:v>
      </x:c>
      <x:c r="G4073" t="n">
        <x:v>60</x:v>
      </x:c>
      <x:c r="H4073" t="str">
        <x:v>B</x:v>
      </x:c>
      <x:c r="I4073" t="str">
        <x:v>4-6 years</x:v>
      </x:c>
      <x:c r="J4073" t="str">
        <x:v>MORTGAGE</x:v>
      </x:c>
      <x:c r="K4073" t="str">
        <x:v>medical</x:v>
      </x:c>
      <x:c r="L4073" t="n">
        <x:v>0</x:v>
      </x:c>
      <x:c r="M4073" t="n">
        <x:v>0</x:v>
      </x:c>
      <x:c r="N4073" t="str">
        <x:v>Fully Paid</x:v>
      </x:c>
      <x:c r="O4073" t="str">
        <x:f>IF(D4073="","Unknown",IF(D4073&lt;25000,"&lt;$25k",IF(D4073&lt;50000,"$25k-$50k",IF(D4073&lt;75000,"$50k-$75k",IF(D4073&lt;100000,"$75k-$100k","$100k+")))))</x:f>
        <x:v>$25k-$50k</x:v>
      </x:c>
      <x:c r="P4073" t="str">
        <x:f>IF(E4073="","Unknown",IF(E4073&lt;10,"&lt;10",IF(E4073&lt;20,"10-&lt;20",IF(E4073&lt;25,"20-&lt;25",IF(E4073&lt;35,"25-&lt;35","35+")))))</x:f>
        <x:v>10-&lt;20</x:v>
      </x:c>
    </x:row>
    <x:row r="4074">
      <x:c r="A4074" t="str">
        <x:v>SYN0004073</x:v>
      </x:c>
      <x:c r="B4074" s="12" t="n">
        <x:v>42745</x:v>
      </x:c>
      <x:c r="C4074" s="18" t="n">
        <x:v>10313</x:v>
      </x:c>
      <x:c r="D4074" s="18" t="n">
        <x:v>62113</x:v>
      </x:c>
      <x:c r="E4074" s="18" t="n">
        <x:v>23.24</x:v>
      </x:c>
      <x:c r="F4074" s="18" t="n">
        <x:v>10.25</x:v>
      </x:c>
      <x:c r="G4074" t="n">
        <x:v>36</x:v>
      </x:c>
      <x:c r="H4074" t="str">
        <x:v>B</x:v>
      </x:c>
      <x:c r="I4074" t="str">
        <x:v>4-6 years</x:v>
      </x:c>
      <x:c r="J4074" t="str">
        <x:v>MORTGAGE</x:v>
      </x:c>
      <x:c r="K4074" t="str">
        <x:v>debt_consolidation</x:v>
      </x:c>
      <x:c r="L4074" t="n">
        <x:v>0</x:v>
      </x:c>
      <x:c r="M4074" t="n">
        <x:v>0</x:v>
      </x:c>
      <x:c r="N4074" t="str">
        <x:v>Fully Paid</x:v>
      </x:c>
      <x:c r="O4074" t="str">
        <x:f>IF(D4074="","Unknown",IF(D4074&lt;25000,"&lt;$25k",IF(D4074&lt;50000,"$25k-$50k",IF(D4074&lt;75000,"$50k-$75k",IF(D4074&lt;100000,"$75k-$100k","$100k+")))))</x:f>
        <x:v>$50k-$75k</x:v>
      </x:c>
      <x:c r="P4074" t="str">
        <x:f>IF(E4074="","Unknown",IF(E4074&lt;10,"&lt;10",IF(E4074&lt;20,"10-&lt;20",IF(E4074&lt;25,"20-&lt;25",IF(E4074&lt;35,"25-&lt;35","35+")))))</x:f>
        <x:v>20-&lt;25</x:v>
      </x:c>
    </x:row>
    <x:row r="4075">
      <x:c r="A4075" t="str">
        <x:v>SYN0004074</x:v>
      </x:c>
      <x:c r="B4075" s="12" t="n">
        <x:v>41755</x:v>
      </x:c>
      <x:c r="C4075" s="18" t="n">
        <x:v>12485</x:v>
      </x:c>
      <x:c r="D4075" s="18" t="n">
        <x:v>16855</x:v>
      </x:c>
      <x:c r="E4075" s="18" t="n">
        <x:v>21.05</x:v>
      </x:c>
      <x:c r="F4075" s="18" t="n">
        <x:v>23.55</x:v>
      </x:c>
      <x:c r="G4075" t="n">
        <x:v>36</x:v>
      </x:c>
      <x:c r="H4075" t="str">
        <x:v>F</x:v>
      </x:c>
      <x:c r="I4075" t="str">
        <x:v>1-3 years</x:v>
      </x:c>
      <x:c r="J4075" t="str">
        <x:v>OWN</x:v>
      </x:c>
      <x:c r="K4075" t="str">
        <x:v>home_improvement</x:v>
      </x:c>
      <x:c r="L4075" t="n">
        <x:v>3</x:v>
      </x:c>
      <x:c r="M4075" t="n">
        <x:v>0</x:v>
      </x:c>
      <x:c r="N4075" t="str">
        <x:v>Fully Paid</x:v>
      </x:c>
      <x:c r="O4075" t="str">
        <x:f>IF(D4075="","Unknown",IF(D4075&lt;25000,"&lt;$25k",IF(D4075&lt;50000,"$25k-$50k",IF(D4075&lt;75000,"$50k-$75k",IF(D4075&lt;100000,"$75k-$100k","$100k+")))))</x:f>
        <x:v>&lt;$25k</x:v>
      </x:c>
      <x:c r="P4075" t="str">
        <x:f>IF(E4075="","Unknown",IF(E4075&lt;10,"&lt;10",IF(E4075&lt;20,"10-&lt;20",IF(E4075&lt;25,"20-&lt;25",IF(E4075&lt;35,"25-&lt;35","35+")))))</x:f>
        <x:v>20-&lt;25</x:v>
      </x:c>
    </x:row>
    <x:row r="4076">
      <x:c r="A4076" t="str">
        <x:v>SYN0004075</x:v>
      </x:c>
      <x:c r="B4076" s="12" t="n">
        <x:v>43255</x:v>
      </x:c>
      <x:c r="C4076" s="18" t="n">
        <x:v>15762</x:v>
      </x:c>
      <x:c r="D4076" s="18" t="n">
        <x:v>82644</x:v>
      </x:c>
      <x:c r="E4076" s="18" t="n">
        <x:v>24.61</x:v>
      </x:c>
      <x:c r="F4076" s="18" t="n">
        <x:v>13</x:v>
      </x:c>
      <x:c r="G4076" t="n">
        <x:v>36</x:v>
      </x:c>
      <x:c r="H4076" t="str">
        <x:v>D</x:v>
      </x:c>
      <x:c r="I4076" t="str">
        <x:v>4-6 years</x:v>
      </x:c>
      <x:c r="J4076" t="str">
        <x:v>MORTGAGE</x:v>
      </x:c>
      <x:c r="K4076" t="str">
        <x:v>other</x:v>
      </x:c>
      <x:c r="L4076" t="n">
        <x:v>0</x:v>
      </x:c>
      <x:c r="M4076" t="n">
        <x:v>0</x:v>
      </x:c>
      <x:c r="N4076" t="str">
        <x:v>Fully Paid</x:v>
      </x:c>
      <x:c r="O4076" t="str">
        <x:f>IF(D4076="","Unknown",IF(D4076&lt;25000,"&lt;$25k",IF(D4076&lt;50000,"$25k-$50k",IF(D4076&lt;75000,"$50k-$75k",IF(D4076&lt;100000,"$75k-$100k","$100k+")))))</x:f>
        <x:v>$75k-$100k</x:v>
      </x:c>
      <x:c r="P4076" t="str">
        <x:f>IF(E4076="","Unknown",IF(E4076&lt;10,"&lt;10",IF(E4076&lt;20,"10-&lt;20",IF(E4076&lt;25,"20-&lt;25",IF(E4076&lt;35,"25-&lt;35","35+")))))</x:f>
        <x:v>20-&lt;25</x:v>
      </x:c>
    </x:row>
    <x:row r="4077">
      <x:c r="A4077" t="str">
        <x:v>SYN0004076</x:v>
      </x:c>
      <x:c r="B4077" s="12" t="n">
        <x:v>42505</x:v>
      </x:c>
      <x:c r="C4077" s="18" t="n">
        <x:v>7195</x:v>
      </x:c>
      <x:c r="D4077" s="18" t="n">
        <x:v>13795</x:v>
      </x:c>
      <x:c r="E4077" s="18" t="n">
        <x:v>16.64</x:v>
      </x:c>
      <x:c r="F4077" s="18" t="n">
        <x:v>27.03</x:v>
      </x:c>
      <x:c r="G4077" t="n">
        <x:v>36</x:v>
      </x:c>
      <x:c r="H4077" t="str">
        <x:v>G</x:v>
      </x:c>
      <x:c r="I4077" t="str">
        <x:v>4-6 years</x:v>
      </x:c>
      <x:c r="J4077" t="str">
        <x:v>OWN</x:v>
      </x:c>
      <x:c r="K4077" t="str">
        <x:v>debt_consolidation</x:v>
      </x:c>
      <x:c r="L4077" t="n">
        <x:v>2</x:v>
      </x:c>
      <x:c r="M4077" t="n">
        <x:v>0</x:v>
      </x:c>
      <x:c r="N4077" t="str">
        <x:v>Fully Paid</x:v>
      </x:c>
      <x:c r="O4077" t="str">
        <x:f>IF(D4077="","Unknown",IF(D4077&lt;25000,"&lt;$25k",IF(D4077&lt;50000,"$25k-$50k",IF(D4077&lt;75000,"$50k-$75k",IF(D4077&lt;100000,"$75k-$100k","$100k+")))))</x:f>
        <x:v>&lt;$25k</x:v>
      </x:c>
      <x:c r="P4077" t="str">
        <x:f>IF(E4077="","Unknown",IF(E4077&lt;10,"&lt;10",IF(E4077&lt;20,"10-&lt;20",IF(E4077&lt;25,"20-&lt;25",IF(E4077&lt;35,"25-&lt;35","35+")))))</x:f>
        <x:v>10-&lt;20</x:v>
      </x:c>
    </x:row>
    <x:row r="4078">
      <x:c r="A4078" t="str">
        <x:v>SYN0004077</x:v>
      </x:c>
      <x:c r="B4078" s="12" t="n">
        <x:v>43285</x:v>
      </x:c>
      <x:c r="C4078" s="18" t="n">
        <x:v>7119</x:v>
      </x:c>
      <x:c r="D4078" s="18" t="n">
        <x:v>78624</x:v>
      </x:c>
      <x:c r="E4078" s="18" t="n">
        <x:v>26.31</x:v>
      </x:c>
      <x:c r="F4078" s="18" t="n">
        <x:v>12.58</x:v>
      </x:c>
      <x:c r="G4078" t="n">
        <x:v>36</x:v>
      </x:c>
      <x:c r="H4078" t="str">
        <x:v>C</x:v>
      </x:c>
      <x:c r="I4078" t="str">
        <x:v>4-6 years</x:v>
      </x:c>
      <x:c r="J4078" t="str">
        <x:v>MORTGAGE</x:v>
      </x:c>
      <x:c r="K4078" t="str">
        <x:v>debt_consolidation</x:v>
      </x:c>
      <x:c r="L4078" t="n">
        <x:v>0</x:v>
      </x:c>
      <x:c r="M4078" t="n">
        <x:v>0</x:v>
      </x:c>
      <x:c r="N4078" t="str">
        <x:v>Fully Paid</x:v>
      </x:c>
      <x:c r="O4078" t="str">
        <x:f>IF(D4078="","Unknown",IF(D4078&lt;25000,"&lt;$25k",IF(D4078&lt;50000,"$25k-$50k",IF(D4078&lt;75000,"$50k-$75k",IF(D4078&lt;100000,"$75k-$100k","$100k+")))))</x:f>
        <x:v>$75k-$100k</x:v>
      </x:c>
      <x:c r="P4078" t="str">
        <x:f>IF(E4078="","Unknown",IF(E4078&lt;10,"&lt;10",IF(E4078&lt;20,"10-&lt;20",IF(E4078&lt;25,"20-&lt;25",IF(E4078&lt;35,"25-&lt;35","35+")))))</x:f>
        <x:v>25-&lt;35</x:v>
      </x:c>
    </x:row>
    <x:row r="4079">
      <x:c r="A4079" t="str">
        <x:v>SYN0004078</x:v>
      </x:c>
      <x:c r="B4079" s="12" t="n">
        <x:v>43195</x:v>
      </x:c>
      <x:c r="C4079" s="18" t="n">
        <x:v>9855</x:v>
      </x:c>
      <x:c r="D4079" s="18" t="n">
        <x:v>59853</x:v>
      </x:c>
      <x:c r="E4079" s="18" t="n">
        <x:v>18.26</x:v>
      </x:c>
      <x:c r="F4079" s="18" t="n">
        <x:v>5</x:v>
      </x:c>
      <x:c r="G4079" t="n">
        <x:v>36</x:v>
      </x:c>
      <x:c r="H4079" t="str">
        <x:v>A</x:v>
      </x:c>
      <x:c r="I4079" t="str">
        <x:v>1-3 years</x:v>
      </x:c>
      <x:c r="J4079" t="str">
        <x:v>MORTGAGE</x:v>
      </x:c>
      <x:c r="K4079" t="str">
        <x:v>debt_consolidation</x:v>
      </x:c>
      <x:c r="L4079" t="n">
        <x:v>1</x:v>
      </x:c>
      <x:c r="M4079" t="n">
        <x:v>0</x:v>
      </x:c>
      <x:c r="N4079" t="str">
        <x:v>Fully Paid</x:v>
      </x:c>
      <x:c r="O4079" t="str">
        <x:f>IF(D4079="","Unknown",IF(D4079&lt;25000,"&lt;$25k",IF(D4079&lt;50000,"$25k-$50k",IF(D4079&lt;75000,"$50k-$75k",IF(D4079&lt;100000,"$75k-$100k","$100k+")))))</x:f>
        <x:v>$50k-$75k</x:v>
      </x:c>
      <x:c r="P4079" t="str">
        <x:f>IF(E4079="","Unknown",IF(E4079&lt;10,"&lt;10",IF(E4079&lt;20,"10-&lt;20",IF(E4079&lt;25,"20-&lt;25",IF(E4079&lt;35,"25-&lt;35","35+")))))</x:f>
        <x:v>10-&lt;20</x:v>
      </x:c>
    </x:row>
    <x:row r="4080">
      <x:c r="A4080" t="str">
        <x:v>SYN0004079</x:v>
      </x:c>
      <x:c r="B4080" s="12" t="n">
        <x:v>42115</x:v>
      </x:c>
      <x:c r="C4080" s="18" t="n">
        <x:v>9279</x:v>
      </x:c>
      <x:c r="D4080" s="18" t="n">
        <x:v>49348</x:v>
      </x:c>
      <x:c r="E4080" s="18" t="n">
        <x:v>16.96</x:v>
      </x:c>
      <x:c r="F4080" s="18" t="n">
        <x:v>12.51</x:v>
      </x:c>
      <x:c r="G4080" t="n">
        <x:v>60</x:v>
      </x:c>
      <x:c r="H4080" t="str">
        <x:v>C</x:v>
      </x:c>
      <x:c r="I4080" t="str">
        <x:v>1-3 years</x:v>
      </x:c>
      <x:c r="J4080" t="str">
        <x:v>MORTGAGE</x:v>
      </x:c>
      <x:c r="K4080" t="str">
        <x:v>credit_card</x:v>
      </x:c>
      <x:c r="L4080" t="n">
        <x:v>0</x:v>
      </x:c>
      <x:c r="M4080" t="n">
        <x:v>0</x:v>
      </x:c>
      <x:c r="N4080" t="str">
        <x:v>Fully Paid</x:v>
      </x:c>
      <x:c r="O4080" t="str">
        <x:f>IF(D4080="","Unknown",IF(D4080&lt;25000,"&lt;$25k",IF(D4080&lt;50000,"$25k-$50k",IF(D4080&lt;75000,"$50k-$75k",IF(D4080&lt;100000,"$75k-$100k","$100k+")))))</x:f>
        <x:v>$25k-$50k</x:v>
      </x:c>
      <x:c r="P4080" t="str">
        <x:f>IF(E4080="","Unknown",IF(E4080&lt;10,"&lt;10",IF(E4080&lt;20,"10-&lt;20",IF(E4080&lt;25,"20-&lt;25",IF(E4080&lt;35,"25-&lt;35","35+")))))</x:f>
        <x:v>10-&lt;20</x:v>
      </x:c>
    </x:row>
    <x:row r="4081">
      <x:c r="A4081" t="str">
        <x:v>SYN0004080</x:v>
      </x:c>
      <x:c r="B4081" s="12" t="n">
        <x:v>42175</x:v>
      </x:c>
      <x:c r="C4081" s="18" t="n">
        <x:v>9873</x:v>
      </x:c>
      <x:c r="D4081" s="18" t="n">
        <x:v>62902</x:v>
      </x:c>
      <x:c r="E4081" s="18" t="n">
        <x:v>14.33</x:v>
      </x:c>
      <x:c r="F4081" s="18" t="n">
        <x:v>7.87</x:v>
      </x:c>
      <x:c r="G4081" t="n">
        <x:v>36</x:v>
      </x:c>
      <x:c r="H4081" t="str">
        <x:v>A</x:v>
      </x:c>
      <x:c r="I4081" t="str">
        <x:v>10+ years</x:v>
      </x:c>
      <x:c r="J4081" t="str">
        <x:v>MORTGAGE</x:v>
      </x:c>
      <x:c r="K4081" t="str">
        <x:v>credit_card</x:v>
      </x:c>
      <x:c r="L4081" t="n">
        <x:v>0</x:v>
      </x:c>
      <x:c r="M4081" t="n">
        <x:v>0</x:v>
      </x:c>
      <x:c r="N4081" t="str">
        <x:v>Fully Paid</x:v>
      </x:c>
      <x:c r="O4081" t="str">
        <x:f>IF(D4081="","Unknown",IF(D4081&lt;25000,"&lt;$25k",IF(D4081&lt;50000,"$25k-$50k",IF(D4081&lt;75000,"$50k-$75k",IF(D4081&lt;100000,"$75k-$100k","$100k+")))))</x:f>
        <x:v>$50k-$75k</x:v>
      </x:c>
      <x:c r="P4081" t="str">
        <x:f>IF(E4081="","Unknown",IF(E4081&lt;10,"&lt;10",IF(E4081&lt;20,"10-&lt;20",IF(E4081&lt;25,"20-&lt;25",IF(E4081&lt;35,"25-&lt;35","35+")))))</x:f>
        <x:v>10-&lt;20</x:v>
      </x:c>
    </x:row>
    <x:row r="4082">
      <x:c r="A4082" t="str">
        <x:v>SYN0004081</x:v>
      </x:c>
      <x:c r="B4082" s="12" t="n">
        <x:v>42145</x:v>
      </x:c>
      <x:c r="C4082" s="18" t="n">
        <x:v>8667</x:v>
      </x:c>
      <x:c r="D4082" s="18" t="n">
        <x:v>64044</x:v>
      </x:c>
      <x:c r="E4082" s="18" t="n">
        <x:v>20.13</x:v>
      </x:c>
      <x:c r="F4082" s="18" t="n">
        <x:v>18.7</x:v>
      </x:c>
      <x:c r="G4082" t="n">
        <x:v>60</x:v>
      </x:c>
      <x:c r="H4082" t="str">
        <x:v>E</x:v>
      </x:c>
      <x:c r="I4082" t="str">
        <x:v>7-9 years</x:v>
      </x:c>
      <x:c r="J4082" t="str">
        <x:v>RENT</x:v>
      </x:c>
      <x:c r="K4082" t="str">
        <x:v>home_improvement</x:v>
      </x:c>
      <x:c r="L4082" t="n">
        <x:v>0</x:v>
      </x:c>
      <x:c r="M4082" t="n">
        <x:v>0</x:v>
      </x:c>
      <x:c r="N4082" t="str">
        <x:v>Fully Paid</x:v>
      </x:c>
      <x:c r="O4082" t="str">
        <x:f>IF(D4082="","Unknown",IF(D4082&lt;25000,"&lt;$25k",IF(D4082&lt;50000,"$25k-$50k",IF(D4082&lt;75000,"$50k-$75k",IF(D4082&lt;100000,"$75k-$100k","$100k+")))))</x:f>
        <x:v>$50k-$75k</x:v>
      </x:c>
      <x:c r="P4082" t="str">
        <x:f>IF(E4082="","Unknown",IF(E4082&lt;10,"&lt;10",IF(E4082&lt;20,"10-&lt;20",IF(E4082&lt;25,"20-&lt;25",IF(E4082&lt;35,"25-&lt;35","35+")))))</x:f>
        <x:v>20-&lt;25</x:v>
      </x:c>
    </x:row>
    <x:row r="4083">
      <x:c r="A4083" t="str">
        <x:v>SYN0004082</x:v>
      </x:c>
      <x:c r="B4083" s="12" t="n">
        <x:v>42355</x:v>
      </x:c>
      <x:c r="C4083" s="18" t="n">
        <x:v>8762</x:v>
      </x:c>
      <x:c r="D4083" s="18" t="n">
        <x:v>83440</x:v>
      </x:c>
      <x:c r="E4083" s="18" t="n">
        <x:v>12.56</x:v>
      </x:c>
      <x:c r="F4083" s="18" t="n">
        <x:v>18.94</x:v>
      </x:c>
      <x:c r="G4083" t="n">
        <x:v>36</x:v>
      </x:c>
      <x:c r="H4083" t="str">
        <x:v>E</x:v>
      </x:c>
      <x:c r="I4083" t="str">
        <x:v>7-9 years</x:v>
      </x:c>
      <x:c r="J4083" t="str">
        <x:v>RENT</x:v>
      </x:c>
      <x:c r="K4083" t="str">
        <x:v>debt_consolidation</x:v>
      </x:c>
      <x:c r="L4083" t="n">
        <x:v>0</x:v>
      </x:c>
      <x:c r="M4083" t="n">
        <x:v>0</x:v>
      </x:c>
      <x:c r="N4083" t="str">
        <x:v>Fully Paid</x:v>
      </x:c>
      <x:c r="O4083" t="str">
        <x:f>IF(D4083="","Unknown",IF(D4083&lt;25000,"&lt;$25k",IF(D4083&lt;50000,"$25k-$50k",IF(D4083&lt;75000,"$50k-$75k",IF(D4083&lt;100000,"$75k-$100k","$100k+")))))</x:f>
        <x:v>$75k-$100k</x:v>
      </x:c>
      <x:c r="P4083" t="str">
        <x:f>IF(E4083="","Unknown",IF(E4083&lt;10,"&lt;10",IF(E4083&lt;20,"10-&lt;20",IF(E4083&lt;25,"20-&lt;25",IF(E4083&lt;35,"25-&lt;35","35+")))))</x:f>
        <x:v>10-&lt;20</x:v>
      </x:c>
    </x:row>
    <x:row r="4084">
      <x:c r="A4084" t="str">
        <x:v>SYN0004083</x:v>
      </x:c>
      <x:c r="B4084" s="12" t="n">
        <x:v>41395</x:v>
      </x:c>
      <x:c r="C4084" s="18" t="n">
        <x:v>13709</x:v>
      </x:c>
      <x:c r="D4084" s="18" t="n">
        <x:v>31781</x:v>
      </x:c>
      <x:c r="E4084" s="18" t="n">
        <x:v>17.88</x:v>
      </x:c>
      <x:c r="F4084" s="18" t="n">
        <x:v>14.44</x:v>
      </x:c>
      <x:c r="G4084" t="n">
        <x:v>36</x:v>
      </x:c>
      <x:c r="H4084" t="str">
        <x:v>D</x:v>
      </x:c>
      <x:c r="I4084" t="str">
        <x:v>1-3 years</x:v>
      </x:c>
      <x:c r="J4084" t="str">
        <x:v>RENT</x:v>
      </x:c>
      <x:c r="K4084" t="str">
        <x:v>debt_consolidation</x:v>
      </x:c>
      <x:c r="L4084" t="n">
        <x:v>0</x:v>
      </x:c>
      <x:c r="M4084" t="n">
        <x:v>0</x:v>
      </x:c>
      <x:c r="N4084" t="str">
        <x:v>Fully Paid</x:v>
      </x:c>
      <x:c r="O4084" t="str">
        <x:f>IF(D4084="","Unknown",IF(D4084&lt;25000,"&lt;$25k",IF(D4084&lt;50000,"$25k-$50k",IF(D4084&lt;75000,"$50k-$75k",IF(D4084&lt;100000,"$75k-$100k","$100k+")))))</x:f>
        <x:v>$25k-$50k</x:v>
      </x:c>
      <x:c r="P4084" t="str">
        <x:f>IF(E4084="","Unknown",IF(E4084&lt;10,"&lt;10",IF(E4084&lt;20,"10-&lt;20",IF(E4084&lt;25,"20-&lt;25",IF(E4084&lt;35,"25-&lt;35","35+")))))</x:f>
        <x:v>10-&lt;20</x:v>
      </x:c>
    </x:row>
    <x:row r="4085">
      <x:c r="A4085" t="str">
        <x:v>SYN0004084</x:v>
      </x:c>
      <x:c r="B4085" s="12" t="n">
        <x:v>42835</x:v>
      </x:c>
      <x:c r="C4085" s="18" t="n">
        <x:v>5193</x:v>
      </x:c>
      <x:c r="D4085" s="18" t="n">
        <x:v>31354</x:v>
      </x:c>
      <x:c r="E4085" s="18" t="n">
        <x:v>10.67</x:v>
      </x:c>
      <x:c r="F4085" s="18" t="n">
        <x:v>5</x:v>
      </x:c>
      <x:c r="G4085" t="n">
        <x:v>36</x:v>
      </x:c>
      <x:c r="H4085" t="str">
        <x:v>A</x:v>
      </x:c>
      <x:c r="I4085" t="str">
        <x:v>10+ years</x:v>
      </x:c>
      <x:c r="J4085" t="str">
        <x:v>MORTGAGE</x:v>
      </x:c>
      <x:c r="K4085" t="str">
        <x:v>credit_card</x:v>
      </x:c>
      <x:c r="L4085" t="n">
        <x:v>0</x:v>
      </x:c>
      <x:c r="M4085" t="n">
        <x:v>0</x:v>
      </x:c>
      <x:c r="N4085" t="str">
        <x:v>Fully Paid</x:v>
      </x:c>
      <x:c r="O4085" t="str">
        <x:f>IF(D4085="","Unknown",IF(D4085&lt;25000,"&lt;$25k",IF(D4085&lt;50000,"$25k-$50k",IF(D4085&lt;75000,"$50k-$75k",IF(D4085&lt;100000,"$75k-$100k","$100k+")))))</x:f>
        <x:v>$25k-$50k</x:v>
      </x:c>
      <x:c r="P4085" t="str">
        <x:f>IF(E4085="","Unknown",IF(E4085&lt;10,"&lt;10",IF(E4085&lt;20,"10-&lt;20",IF(E4085&lt;25,"20-&lt;25",IF(E4085&lt;35,"25-&lt;35","35+")))))</x:f>
        <x:v>10-&lt;20</x:v>
      </x:c>
    </x:row>
    <x:row r="4086">
      <x:c r="A4086" t="str">
        <x:v>SYN0004085</x:v>
      </x:c>
      <x:c r="B4086" s="12" t="n">
        <x:v>41455</x:v>
      </x:c>
      <x:c r="C4086" s="18" t="n">
        <x:v>9848</x:v>
      </x:c>
      <x:c r="D4086" s="18" t="n">
        <x:v>192837</x:v>
      </x:c>
      <x:c r="E4086" s="18" t="n">
        <x:v>11.54</x:v>
      </x:c>
      <x:c r="F4086" s="18" t="n">
        <x:v>12.02</x:v>
      </x:c>
      <x:c r="G4086" t="n">
        <x:v>36</x:v>
      </x:c>
      <x:c r="H4086" t="str">
        <x:v>C</x:v>
      </x:c>
      <x:c r="I4086" t="str">
        <x:v>1-3 years</x:v>
      </x:c>
      <x:c r="J4086" t="str">
        <x:v>MORTGAGE</x:v>
      </x:c>
      <x:c r="K4086" t="str">
        <x:v>debt_consolidation</x:v>
      </x:c>
      <x:c r="L4086" t="n">
        <x:v>0</x:v>
      </x:c>
      <x:c r="M4086" t="n">
        <x:v>0</x:v>
      </x:c>
      <x:c r="N4086" t="str">
        <x:v>Fully Paid</x:v>
      </x:c>
      <x:c r="O4086" t="str">
        <x:f>IF(D4086="","Unknown",IF(D4086&lt;25000,"&lt;$25k",IF(D4086&lt;50000,"$25k-$50k",IF(D4086&lt;75000,"$50k-$75k",IF(D4086&lt;100000,"$75k-$100k","$100k+")))))</x:f>
        <x:v>$100k+</x:v>
      </x:c>
      <x:c r="P4086" t="str">
        <x:f>IF(E4086="","Unknown",IF(E4086&lt;10,"&lt;10",IF(E4086&lt;20,"10-&lt;20",IF(E4086&lt;25,"20-&lt;25",IF(E4086&lt;35,"25-&lt;35","35+")))))</x:f>
        <x:v>10-&lt;20</x:v>
      </x:c>
    </x:row>
    <x:row r="4087">
      <x:c r="A4087" t="str">
        <x:v>SYN0004086</x:v>
      </x:c>
      <x:c r="B4087" s="12" t="n">
        <x:v>41815</x:v>
      </x:c>
      <x:c r="C4087" s="18" t="n">
        <x:v>8909</x:v>
      </x:c>
      <x:c r="D4087" s="18" t="n">
        <x:v>18344</x:v>
      </x:c>
      <x:c r="E4087" s="18" t="n">
        <x:v>17.1</x:v>
      </x:c>
      <x:c r="F4087" s="18" t="n">
        <x:v>12.93</x:v>
      </x:c>
      <x:c r="G4087" t="n">
        <x:v>36</x:v>
      </x:c>
      <x:c r="H4087" t="str">
        <x:v>C</x:v>
      </x:c>
      <x:c r="I4087" t="str">
        <x:v>&lt;1 year</x:v>
      </x:c>
      <x:c r="J4087" t="str">
        <x:v>OWN</x:v>
      </x:c>
      <x:c r="K4087" t="str">
        <x:v>debt_consolidation</x:v>
      </x:c>
      <x:c r="L4087" t="n">
        <x:v>0</x:v>
      </x:c>
      <x:c r="M4087" t="n">
        <x:v>0</x:v>
      </x:c>
      <x:c r="N4087" t="str">
        <x:v>Fully Paid</x:v>
      </x:c>
      <x:c r="O4087" t="str">
        <x:f>IF(D4087="","Unknown",IF(D4087&lt;25000,"&lt;$25k",IF(D4087&lt;50000,"$25k-$50k",IF(D4087&lt;75000,"$50k-$75k",IF(D4087&lt;100000,"$75k-$100k","$100k+")))))</x:f>
        <x:v>&lt;$25k</x:v>
      </x:c>
      <x:c r="P4087" t="str">
        <x:f>IF(E4087="","Unknown",IF(E4087&lt;10,"&lt;10",IF(E4087&lt;20,"10-&lt;20",IF(E4087&lt;25,"20-&lt;25",IF(E4087&lt;35,"25-&lt;35","35+")))))</x:f>
        <x:v>10-&lt;20</x:v>
      </x:c>
    </x:row>
    <x:row r="4088">
      <x:c r="A4088" t="str">
        <x:v>SYN0004087</x:v>
      </x:c>
      <x:c r="B4088" s="12" t="n">
        <x:v>42835</x:v>
      </x:c>
      <x:c r="C4088" s="18" t="n">
        <x:v>15601</x:v>
      </x:c>
      <x:c r="D4088" s="18" t="n">
        <x:v>96412</x:v>
      </x:c>
      <x:c r="E4088" s="18" t="n">
        <x:v>10.13</x:v>
      </x:c>
      <x:c r="F4088" s="18" t="n">
        <x:v>10.31</x:v>
      </x:c>
      <x:c r="G4088" t="n">
        <x:v>60</x:v>
      </x:c>
      <x:c r="H4088" t="str">
        <x:v>B</x:v>
      </x:c>
      <x:c r="I4088" t="str">
        <x:v>1-3 years</x:v>
      </x:c>
      <x:c r="J4088" t="str">
        <x:v>RENT</x:v>
      </x:c>
      <x:c r="K4088" t="str">
        <x:v>debt_consolidation</x:v>
      </x:c>
      <x:c r="L4088" t="n">
        <x:v>0</x:v>
      </x:c>
      <x:c r="M4088" t="n">
        <x:v>0</x:v>
      </x:c>
      <x:c r="N4088" t="str">
        <x:v>Fully Paid</x:v>
      </x:c>
      <x:c r="O4088" t="str">
        <x:f>IF(D4088="","Unknown",IF(D4088&lt;25000,"&lt;$25k",IF(D4088&lt;50000,"$25k-$50k",IF(D4088&lt;75000,"$50k-$75k",IF(D4088&lt;100000,"$75k-$100k","$100k+")))))</x:f>
        <x:v>$75k-$100k</x:v>
      </x:c>
      <x:c r="P4088" t="str">
        <x:f>IF(E4088="","Unknown",IF(E4088&lt;10,"&lt;10",IF(E4088&lt;20,"10-&lt;20",IF(E4088&lt;25,"20-&lt;25",IF(E4088&lt;35,"25-&lt;35","35+")))))</x:f>
        <x:v>10-&lt;20</x:v>
      </x:c>
    </x:row>
    <x:row r="4089">
      <x:c r="A4089" t="str">
        <x:v>SYN0004088</x:v>
      </x:c>
      <x:c r="B4089" s="12" t="n">
        <x:v>42475</x:v>
      </x:c>
      <x:c r="C4089" s="18" t="n">
        <x:v>18972</x:v>
      </x:c>
      <x:c r="D4089" s="18" t="n">
        <x:v>62420</x:v>
      </x:c>
      <x:c r="E4089" s="18" t="n">
        <x:v>12.72</x:v>
      </x:c>
      <x:c r="F4089" s="18" t="n">
        <x:v>11.06</x:v>
      </x:c>
      <x:c r="G4089" t="n">
        <x:v>60</x:v>
      </x:c>
      <x:c r="H4089" t="str">
        <x:v>D</x:v>
      </x:c>
      <x:c r="I4089" t="str">
        <x:v>10+ years</x:v>
      </x:c>
      <x:c r="J4089" t="str">
        <x:v>RENT</x:v>
      </x:c>
      <x:c r="K4089" t="str">
        <x:v>debt_consolidation</x:v>
      </x:c>
      <x:c r="L4089" t="n">
        <x:v>1</x:v>
      </x:c>
      <x:c r="M4089" t="n">
        <x:v>0</x:v>
      </x:c>
      <x:c r="N4089" t="str">
        <x:v>Fully Paid</x:v>
      </x:c>
      <x:c r="O4089" t="str">
        <x:f>IF(D4089="","Unknown",IF(D4089&lt;25000,"&lt;$25k",IF(D4089&lt;50000,"$25k-$50k",IF(D4089&lt;75000,"$50k-$75k",IF(D4089&lt;100000,"$75k-$100k","$100k+")))))</x:f>
        <x:v>$50k-$75k</x:v>
      </x:c>
      <x:c r="P4089" t="str">
        <x:f>IF(E4089="","Unknown",IF(E4089&lt;10,"&lt;10",IF(E4089&lt;20,"10-&lt;20",IF(E4089&lt;25,"20-&lt;25",IF(E4089&lt;35,"25-&lt;35","35+")))))</x:f>
        <x:v>10-&lt;20</x:v>
      </x:c>
    </x:row>
    <x:row r="4090">
      <x:c r="A4090" t="str">
        <x:v>SYN0004089</x:v>
      </x:c>
      <x:c r="B4090" s="12" t="n">
        <x:v>43345</x:v>
      </x:c>
      <x:c r="C4090" s="18" t="n">
        <x:v>16481</x:v>
      </x:c>
      <x:c r="D4090" s="18" t="n">
        <x:v>31850</x:v>
      </x:c>
      <x:c r="E4090" s="18" t="n">
        <x:v>32.16</x:v>
      </x:c>
      <x:c r="F4090" s="18" t="n">
        <x:v>14.39</x:v>
      </x:c>
      <x:c r="G4090" t="n">
        <x:v>36</x:v>
      </x:c>
      <x:c r="H4090" t="str">
        <x:v>D</x:v>
      </x:c>
      <x:c r="I4090" t="str">
        <x:v>10+ years</x:v>
      </x:c>
      <x:c r="J4090" t="str">
        <x:v>MORTGAGE</x:v>
      </x:c>
      <x:c r="K4090" t="str">
        <x:v>debt_consolidation</x:v>
      </x:c>
      <x:c r="L4090" t="n">
        <x:v>0</x:v>
      </x:c>
      <x:c r="M4090" t="n">
        <x:v>0</x:v>
      </x:c>
      <x:c r="N4090" t="str">
        <x:v>Fully Paid</x:v>
      </x:c>
      <x:c r="O4090" t="str">
        <x:f>IF(D4090="","Unknown",IF(D4090&lt;25000,"&lt;$25k",IF(D4090&lt;50000,"$25k-$50k",IF(D4090&lt;75000,"$50k-$75k",IF(D4090&lt;100000,"$75k-$100k","$100k+")))))</x:f>
        <x:v>$25k-$50k</x:v>
      </x:c>
      <x:c r="P4090" t="str">
        <x:f>IF(E4090="","Unknown",IF(E4090&lt;10,"&lt;10",IF(E4090&lt;20,"10-&lt;20",IF(E4090&lt;25,"20-&lt;25",IF(E4090&lt;35,"25-&lt;35","35+")))))</x:f>
        <x:v>25-&lt;35</x:v>
      </x:c>
    </x:row>
    <x:row r="4091">
      <x:c r="A4091" t="str">
        <x:v>SYN0004090</x:v>
      </x:c>
      <x:c r="B4091" s="12" t="n">
        <x:v>42115</x:v>
      </x:c>
      <x:c r="C4091" s="18" t="n">
        <x:v>13139</x:v>
      </x:c>
      <x:c r="D4091" s="18" t="n">
        <x:v>42316</x:v>
      </x:c>
      <x:c r="E4091" s="18" t="n">
        <x:v>16.19</x:v>
      </x:c>
      <x:c r="F4091" s="18" t="n">
        <x:v>8.05</x:v>
      </x:c>
      <x:c r="G4091" t="n">
        <x:v>60</x:v>
      </x:c>
      <x:c r="H4091" t="str">
        <x:v>B</x:v>
      </x:c>
      <x:c r="I4091" t="str">
        <x:v>1-3 years</x:v>
      </x:c>
      <x:c r="J4091" t="str">
        <x:v>OWN</x:v>
      </x:c>
      <x:c r="K4091" t="str">
        <x:v>credit_card</x:v>
      </x:c>
      <x:c r="L4091" t="n">
        <x:v>0</x:v>
      </x:c>
      <x:c r="M4091" t="n">
        <x:v>1</x:v>
      </x:c>
      <x:c r="N4091" t="str">
        <x:v>Charged Off</x:v>
      </x:c>
      <x:c r="O4091" t="str">
        <x:f>IF(D4091="","Unknown",IF(D4091&lt;25000,"&lt;$25k",IF(D4091&lt;50000,"$25k-$50k",IF(D4091&lt;75000,"$50k-$75k",IF(D4091&lt;100000,"$75k-$100k","$100k+")))))</x:f>
        <x:v>$25k-$50k</x:v>
      </x:c>
      <x:c r="P4091" t="str">
        <x:f>IF(E4091="","Unknown",IF(E4091&lt;10,"&lt;10",IF(E4091&lt;20,"10-&lt;20",IF(E4091&lt;25,"20-&lt;25",IF(E4091&lt;35,"25-&lt;35","35+")))))</x:f>
        <x:v>10-&lt;20</x:v>
      </x:c>
    </x:row>
    <x:row r="4092">
      <x:c r="A4092" t="str">
        <x:v>SYN0004091</x:v>
      </x:c>
      <x:c r="B4092" s="12" t="n">
        <x:v>42235</x:v>
      </x:c>
      <x:c r="C4092" s="18" t="n">
        <x:v>8136</x:v>
      </x:c>
      <x:c r="D4092" s="18" t="n">
        <x:v>87226</x:v>
      </x:c>
      <x:c r="E4092" s="18" t="n">
        <x:v>32.43</x:v>
      </x:c>
      <x:c r="F4092" s="18" t="n">
        <x:v>19.85</x:v>
      </x:c>
      <x:c r="G4092" t="n">
        <x:v>36</x:v>
      </x:c>
      <x:c r="H4092" t="str">
        <x:v>F</x:v>
      </x:c>
      <x:c r="I4092" t="str">
        <x:v>1-3 years</x:v>
      </x:c>
      <x:c r="J4092" t="str">
        <x:v>RENT</x:v>
      </x:c>
      <x:c r="K4092" t="str">
        <x:v>medical</x:v>
      </x:c>
      <x:c r="L4092" t="n">
        <x:v>1</x:v>
      </x:c>
      <x:c r="M4092" t="n">
        <x:v>1</x:v>
      </x:c>
      <x:c r="N4092" t="str">
        <x:v>Charged Off</x:v>
      </x:c>
      <x:c r="O4092" t="str">
        <x:f>IF(D4092="","Unknown",IF(D4092&lt;25000,"&lt;$25k",IF(D4092&lt;50000,"$25k-$50k",IF(D4092&lt;75000,"$50k-$75k",IF(D4092&lt;100000,"$75k-$100k","$100k+")))))</x:f>
        <x:v>$75k-$100k</x:v>
      </x:c>
      <x:c r="P4092" t="str">
        <x:f>IF(E4092="","Unknown",IF(E4092&lt;10,"&lt;10",IF(E4092&lt;20,"10-&lt;20",IF(E4092&lt;25,"20-&lt;25",IF(E4092&lt;35,"25-&lt;35","35+")))))</x:f>
        <x:v>25-&lt;35</x:v>
      </x:c>
    </x:row>
    <x:row r="4093">
      <x:c r="A4093" t="str">
        <x:v>SYN0004092</x:v>
      </x:c>
      <x:c r="B4093" s="12" t="n">
        <x:v>41455</x:v>
      </x:c>
      <x:c r="C4093" s="18" t="n">
        <x:v>11573</x:v>
      </x:c>
      <x:c r="D4093" s="18" t="n">
        <x:v>37884</x:v>
      </x:c>
      <x:c r="E4093" s="18" t="n">
        <x:v>15.17</x:v>
      </x:c>
      <x:c r="F4093" s="18" t="n">
        <x:v>8.05</x:v>
      </x:c>
      <x:c r="G4093" t="n">
        <x:v>60</x:v>
      </x:c>
      <x:c r="H4093" t="str">
        <x:v>A</x:v>
      </x:c>
      <x:c r="I4093" t="str">
        <x:v>1-3 years</x:v>
      </x:c>
      <x:c r="J4093" t="str">
        <x:v>RENT</x:v>
      </x:c>
      <x:c r="K4093" t="str">
        <x:v>medical</x:v>
      </x:c>
      <x:c r="L4093" t="n">
        <x:v>0</x:v>
      </x:c>
      <x:c r="M4093" t="n">
        <x:v>0</x:v>
      </x:c>
      <x:c r="N4093" t="str">
        <x:v>Fully Paid</x:v>
      </x:c>
      <x:c r="O4093" t="str">
        <x:f>IF(D4093="","Unknown",IF(D4093&lt;25000,"&lt;$25k",IF(D4093&lt;50000,"$25k-$50k",IF(D4093&lt;75000,"$50k-$75k",IF(D4093&lt;100000,"$75k-$100k","$100k+")))))</x:f>
        <x:v>$25k-$50k</x:v>
      </x:c>
      <x:c r="P4093" t="str">
        <x:f>IF(E4093="","Unknown",IF(E4093&lt;10,"&lt;10",IF(E4093&lt;20,"10-&lt;20",IF(E4093&lt;25,"20-&lt;25",IF(E4093&lt;35,"25-&lt;35","35+")))))</x:f>
        <x:v>10-&lt;20</x:v>
      </x:c>
    </x:row>
    <x:row r="4094">
      <x:c r="A4094" t="str">
        <x:v>SYN0004093</x:v>
      </x:c>
      <x:c r="B4094" s="12" t="n">
        <x:v>43135</x:v>
      </x:c>
      <x:c r="C4094" s="18" t="n">
        <x:v>8548</x:v>
      </x:c>
      <x:c r="D4094" s="18" t="n">
        <x:v>73425</x:v>
      </x:c>
      <x:c r="E4094" s="18" t="n">
        <x:v>29.8</x:v>
      </x:c>
      <x:c r="F4094" s="18" t="n">
        <x:v>8.8</x:v>
      </x:c>
      <x:c r="G4094" t="n">
        <x:v>36</x:v>
      </x:c>
      <x:c r="H4094" t="str">
        <x:v>B</x:v>
      </x:c>
      <x:c r="I4094" t="str">
        <x:v>1-3 years</x:v>
      </x:c>
      <x:c r="J4094" t="str">
        <x:v>OWN</x:v>
      </x:c>
      <x:c r="K4094" t="str">
        <x:v>debt_consolidation</x:v>
      </x:c>
      <x:c r="L4094" t="n">
        <x:v>0</x:v>
      </x:c>
      <x:c r="M4094" t="n">
        <x:v>0</x:v>
      </x:c>
      <x:c r="N4094" t="str">
        <x:v>Fully Paid</x:v>
      </x:c>
      <x:c r="O4094" t="str">
        <x:f>IF(D4094="","Unknown",IF(D4094&lt;25000,"&lt;$25k",IF(D4094&lt;50000,"$25k-$50k",IF(D4094&lt;75000,"$50k-$75k",IF(D4094&lt;100000,"$75k-$100k","$100k+")))))</x:f>
        <x:v>$50k-$75k</x:v>
      </x:c>
      <x:c r="P4094" t="str">
        <x:f>IF(E4094="","Unknown",IF(E4094&lt;10,"&lt;10",IF(E4094&lt;20,"10-&lt;20",IF(E4094&lt;25,"20-&lt;25",IF(E4094&lt;35,"25-&lt;35","35+")))))</x:f>
        <x:v>25-&lt;35</x:v>
      </x:c>
    </x:row>
    <x:row r="4095">
      <x:c r="A4095" t="str">
        <x:v>SYN0004094</x:v>
      </x:c>
      <x:c r="B4095" s="12" t="n">
        <x:v>42205</x:v>
      </x:c>
      <x:c r="C4095" s="18" t="n">
        <x:v>6532</x:v>
      </x:c>
      <x:c r="D4095" s="18" t="n">
        <x:v>128749</x:v>
      </x:c>
      <x:c r="E4095" s="18" t="n">
        <x:v>7.92</x:v>
      </x:c>
      <x:c r="F4095" s="18" t="n">
        <x:v>5</x:v>
      </x:c>
      <x:c r="G4095" t="n">
        <x:v>60</x:v>
      </x:c>
      <x:c r="H4095" t="str">
        <x:v>A</x:v>
      </x:c>
      <x:c r="I4095" t="str">
        <x:v>1-3 years</x:v>
      </x:c>
      <x:c r="J4095" t="str">
        <x:v>RENT</x:v>
      </x:c>
      <x:c r="K4095" t="str">
        <x:v>home_improvement</x:v>
      </x:c>
      <x:c r="L4095" t="n">
        <x:v>0</x:v>
      </x:c>
      <x:c r="M4095" t="n">
        <x:v>0</x:v>
      </x:c>
      <x:c r="N4095" t="str">
        <x:v>Fully Paid</x:v>
      </x:c>
      <x:c r="O4095" t="str">
        <x:f>IF(D4095="","Unknown",IF(D4095&lt;25000,"&lt;$25k",IF(D4095&lt;50000,"$25k-$50k",IF(D4095&lt;75000,"$50k-$75k",IF(D4095&lt;100000,"$75k-$100k","$100k+")))))</x:f>
        <x:v>$100k+</x:v>
      </x:c>
      <x:c r="P4095" t="str">
        <x:f>IF(E4095="","Unknown",IF(E4095&lt;10,"&lt;10",IF(E4095&lt;20,"10-&lt;20",IF(E4095&lt;25,"20-&lt;25",IF(E4095&lt;35,"25-&lt;35","35+")))))</x:f>
        <x:v>&lt;10</x:v>
      </x:c>
    </x:row>
    <x:row r="4096">
      <x:c r="A4096" t="str">
        <x:v>SYN0004095</x:v>
      </x:c>
      <x:c r="B4096" s="12" t="n">
        <x:v>41605</x:v>
      </x:c>
      <x:c r="C4096" s="18" t="n">
        <x:v>11419</x:v>
      </x:c>
      <x:c r="D4096" s="18" t="n">
        <x:v>33532</x:v>
      </x:c>
      <x:c r="E4096" s="18" t="n">
        <x:v>13.82</x:v>
      </x:c>
      <x:c r="F4096" s="18" t="n">
        <x:v>8.14</x:v>
      </x:c>
      <x:c r="G4096" t="n">
        <x:v>36</x:v>
      </x:c>
      <x:c r="H4096" t="str">
        <x:v>C</x:v>
      </x:c>
      <x:c r="I4096" t="str">
        <x:v>1-3 years</x:v>
      </x:c>
      <x:c r="J4096" t="str">
        <x:v>RENT</x:v>
      </x:c>
      <x:c r="K4096" t="str">
        <x:v>debt_consolidation</x:v>
      </x:c>
      <x:c r="L4096" t="n">
        <x:v>1</x:v>
      </x:c>
      <x:c r="M4096" t="n">
        <x:v>0</x:v>
      </x:c>
      <x:c r="N4096" t="str">
        <x:v>Fully Paid</x:v>
      </x:c>
      <x:c r="O4096" t="str">
        <x:f>IF(D4096="","Unknown",IF(D4096&lt;25000,"&lt;$25k",IF(D4096&lt;50000,"$25k-$50k",IF(D4096&lt;75000,"$50k-$75k",IF(D4096&lt;100000,"$75k-$100k","$100k+")))))</x:f>
        <x:v>$25k-$50k</x:v>
      </x:c>
      <x:c r="P4096" t="str">
        <x:f>IF(E4096="","Unknown",IF(E4096&lt;10,"&lt;10",IF(E4096&lt;20,"10-&lt;20",IF(E4096&lt;25,"20-&lt;25",IF(E4096&lt;35,"25-&lt;35","35+")))))</x:f>
        <x:v>10-&lt;20</x:v>
      </x:c>
    </x:row>
    <x:row r="4097">
      <x:c r="A4097" t="str">
        <x:v>SYN0004096</x:v>
      </x:c>
      <x:c r="B4097" s="12" t="n">
        <x:v>41785</x:v>
      </x:c>
      <x:c r="C4097" s="18" t="n">
        <x:v>19468</x:v>
      </x:c>
      <x:c r="D4097" s="18" t="n">
        <x:v>43993</x:v>
      </x:c>
      <x:c r="E4097" s="18" t="n">
        <x:v>4.17</x:v>
      </x:c>
      <x:c r="F4097" s="18" t="n">
        <x:v>8.65</x:v>
      </x:c>
      <x:c r="G4097" t="n">
        <x:v>60</x:v>
      </x:c>
      <x:c r="H4097" t="str">
        <x:v>B</x:v>
      </x:c>
      <x:c r="I4097" t="str">
        <x:v>7-9 years</x:v>
      </x:c>
      <x:c r="J4097" t="str">
        <x:v>MORTGAGE</x:v>
      </x:c>
      <x:c r="K4097" t="str">
        <x:v>other</x:v>
      </x:c>
      <x:c r="L4097" t="n">
        <x:v>0</x:v>
      </x:c>
      <x:c r="M4097" t="n">
        <x:v>0</x:v>
      </x:c>
      <x:c r="N4097" t="str">
        <x:v>Fully Paid</x:v>
      </x:c>
      <x:c r="O4097" t="str">
        <x:f>IF(D4097="","Unknown",IF(D4097&lt;25000,"&lt;$25k",IF(D4097&lt;50000,"$25k-$50k",IF(D4097&lt;75000,"$50k-$75k",IF(D4097&lt;100000,"$75k-$100k","$100k+")))))</x:f>
        <x:v>$25k-$50k</x:v>
      </x:c>
      <x:c r="P4097" t="str">
        <x:f>IF(E4097="","Unknown",IF(E4097&lt;10,"&lt;10",IF(E4097&lt;20,"10-&lt;20",IF(E4097&lt;25,"20-&lt;25",IF(E4097&lt;35,"25-&lt;35","35+")))))</x:f>
        <x:v>&lt;10</x:v>
      </x:c>
    </x:row>
    <x:row r="4098">
      <x:c r="A4098" t="str">
        <x:v>SYN0004097</x:v>
      </x:c>
      <x:c r="B4098" s="12" t="n">
        <x:v>42475</x:v>
      </x:c>
      <x:c r="C4098" s="18" t="n">
        <x:v>23155</x:v>
      </x:c>
      <x:c r="D4098" s="18" t="n">
        <x:v>14598</x:v>
      </x:c>
      <x:c r="E4098" s="18" t="n">
        <x:v>18.33</x:v>
      </x:c>
      <x:c r="F4098" s="18" t="n">
        <x:v>7.72</x:v>
      </x:c>
      <x:c r="G4098" t="n">
        <x:v>60</x:v>
      </x:c>
      <x:c r="H4098" t="str">
        <x:v>A</x:v>
      </x:c>
      <x:c r="I4098" t="str">
        <x:v>7-9 years</x:v>
      </x:c>
      <x:c r="J4098" t="str">
        <x:v>MORTGAGE</x:v>
      </x:c>
      <x:c r="K4098" t="str">
        <x:v>credit_card</x:v>
      </x:c>
      <x:c r="L4098" t="n">
        <x:v>0</x:v>
      </x:c>
      <x:c r="M4098" t="n">
        <x:v>0</x:v>
      </x:c>
      <x:c r="N4098" t="str">
        <x:v>Fully Paid</x:v>
      </x:c>
      <x:c r="O4098" t="str">
        <x:f>IF(D4098="","Unknown",IF(D4098&lt;25000,"&lt;$25k",IF(D4098&lt;50000,"$25k-$50k",IF(D4098&lt;75000,"$50k-$75k",IF(D4098&lt;100000,"$75k-$100k","$100k+")))))</x:f>
        <x:v>&lt;$25k</x:v>
      </x:c>
      <x:c r="P4098" t="str">
        <x:f>IF(E4098="","Unknown",IF(E4098&lt;10,"&lt;10",IF(E4098&lt;20,"10-&lt;20",IF(E4098&lt;25,"20-&lt;25",IF(E4098&lt;35,"25-&lt;35","35+")))))</x:f>
        <x:v>10-&lt;20</x:v>
      </x:c>
    </x:row>
    <x:row r="4099">
      <x:c r="A4099" t="str">
        <x:v>SYN0004098</x:v>
      </x:c>
      <x:c r="B4099" s="12" t="n">
        <x:v>41395</x:v>
      </x:c>
      <x:c r="C4099" s="18" t="n">
        <x:v>10403</x:v>
      </x:c>
      <x:c r="D4099" s="18" t="n">
        <x:v>62390</x:v>
      </x:c>
      <x:c r="E4099" s="18" t="n">
        <x:v>31.11</x:v>
      </x:c>
      <x:c r="F4099" s="18" t="n">
        <x:v>11.8</x:v>
      </x:c>
      <x:c r="G4099" t="n">
        <x:v>36</x:v>
      </x:c>
      <x:c r="H4099" t="str">
        <x:v>C</x:v>
      </x:c>
      <x:c r="I4099" t="str">
        <x:v>10+ years</x:v>
      </x:c>
      <x:c r="J4099" t="str">
        <x:v>MORTGAGE</x:v>
      </x:c>
      <x:c r="K4099" t="str">
        <x:v>home_improvement</x:v>
      </x:c>
      <x:c r="L4099" t="n">
        <x:v>1</x:v>
      </x:c>
      <x:c r="M4099" t="n">
        <x:v>0</x:v>
      </x:c>
      <x:c r="N4099" t="str">
        <x:v>Fully Paid</x:v>
      </x:c>
      <x:c r="O4099" t="str">
        <x:f>IF(D4099="","Unknown",IF(D4099&lt;25000,"&lt;$25k",IF(D4099&lt;50000,"$25k-$50k",IF(D4099&lt;75000,"$50k-$75k",IF(D4099&lt;100000,"$75k-$100k","$100k+")))))</x:f>
        <x:v>$50k-$75k</x:v>
      </x:c>
      <x:c r="P4099" t="str">
        <x:f>IF(E4099="","Unknown",IF(E4099&lt;10,"&lt;10",IF(E4099&lt;20,"10-&lt;20",IF(E4099&lt;25,"20-&lt;25",IF(E4099&lt;35,"25-&lt;35","35+")))))</x:f>
        <x:v>25-&lt;35</x:v>
      </x:c>
    </x:row>
    <x:row r="4100">
      <x:c r="A4100" t="str">
        <x:v>SYN0004099</x:v>
      </x:c>
      <x:c r="B4100" s="12" t="n">
        <x:v>42715</x:v>
      </x:c>
      <x:c r="C4100" s="18" t="n">
        <x:v>40000</x:v>
      </x:c>
      <x:c r="D4100" s="18" t="n">
        <x:v>40097</x:v>
      </x:c>
      <x:c r="E4100" s="18" t="n">
        <x:v>30.26</x:v>
      </x:c>
      <x:c r="F4100" s="18" t="n">
        <x:v>8.74</x:v>
      </x:c>
      <x:c r="G4100" t="n">
        <x:v>36</x:v>
      </x:c>
      <x:c r="H4100" t="str">
        <x:v>C</x:v>
      </x:c>
      <x:c r="I4100" t="str">
        <x:v>1-3 years</x:v>
      </x:c>
      <x:c r="J4100" t="str">
        <x:v>OWN</x:v>
      </x:c>
      <x:c r="K4100" t="str">
        <x:v>debt_consolidation</x:v>
      </x:c>
      <x:c r="L4100" t="n">
        <x:v>0</x:v>
      </x:c>
      <x:c r="M4100" t="n">
        <x:v>0</x:v>
      </x:c>
      <x:c r="N4100" t="str">
        <x:v>Fully Paid</x:v>
      </x:c>
      <x:c r="O4100" t="str">
        <x:f>IF(D4100="","Unknown",IF(D4100&lt;25000,"&lt;$25k",IF(D4100&lt;50000,"$25k-$50k",IF(D4100&lt;75000,"$50k-$75k",IF(D4100&lt;100000,"$75k-$100k","$100k+")))))</x:f>
        <x:v>$25k-$50k</x:v>
      </x:c>
      <x:c r="P4100" t="str">
        <x:f>IF(E4100="","Unknown",IF(E4100&lt;10,"&lt;10",IF(E4100&lt;20,"10-&lt;20",IF(E4100&lt;25,"20-&lt;25",IF(E4100&lt;35,"25-&lt;35","35+")))))</x:f>
        <x:v>25-&lt;35</x:v>
      </x:c>
    </x:row>
    <x:row r="4101">
      <x:c r="A4101" t="str">
        <x:v>SYN0004100</x:v>
      </x:c>
      <x:c r="B4101" s="12" t="n">
        <x:v>42715</x:v>
      </x:c>
      <x:c r="C4101" s="18" t="n">
        <x:v>21053</x:v>
      </x:c>
      <x:c r="D4101" s="18" t="n">
        <x:v>111425</x:v>
      </x:c>
      <x:c r="E4101" s="18" t="n">
        <x:v>33.97</x:v>
      </x:c>
      <x:c r="F4101" s="18" t="n">
        <x:v>8.26</x:v>
      </x:c>
      <x:c r="G4101" t="n">
        <x:v>36</x:v>
      </x:c>
      <x:c r="H4101" t="str">
        <x:v>C</x:v>
      </x:c>
      <x:c r="I4101" t="str">
        <x:v>4-6 years</x:v>
      </x:c>
      <x:c r="J4101" t="str">
        <x:v>RENT</x:v>
      </x:c>
      <x:c r="K4101" t="str">
        <x:v>major_purchase</x:v>
      </x:c>
      <x:c r="L4101" t="n">
        <x:v>1</x:v>
      </x:c>
      <x:c r="M4101" t="n">
        <x:v>0</x:v>
      </x:c>
      <x:c r="N4101" t="str">
        <x:v>Fully Paid</x:v>
      </x:c>
      <x:c r="O4101" t="str">
        <x:f>IF(D4101="","Unknown",IF(D4101&lt;25000,"&lt;$25k",IF(D4101&lt;50000,"$25k-$50k",IF(D4101&lt;75000,"$50k-$75k",IF(D4101&lt;100000,"$75k-$100k","$100k+")))))</x:f>
        <x:v>$100k+</x:v>
      </x:c>
      <x:c r="P4101" t="str">
        <x:f>IF(E4101="","Unknown",IF(E4101&lt;10,"&lt;10",IF(E4101&lt;20,"10-&lt;20",IF(E4101&lt;25,"20-&lt;25",IF(E4101&lt;35,"25-&lt;35","35+")))))</x:f>
        <x:v>25-&lt;35</x:v>
      </x:c>
    </x:row>
    <x:row r="4102">
      <x:c r="A4102" t="str">
        <x:v>SYN0004101</x:v>
      </x:c>
      <x:c r="B4102" s="12" t="n">
        <x:v>43345</x:v>
      </x:c>
      <x:c r="C4102" s="18" t="n">
        <x:v>21056</x:v>
      </x:c>
      <x:c r="D4102" s="18" t="n">
        <x:v>23828</x:v>
      </x:c>
      <x:c r="E4102" s="18" t="n">
        <x:v>19.17</x:v>
      </x:c>
      <x:c r="F4102" s="18" t="n">
        <x:v>10.97</x:v>
      </x:c>
      <x:c r="G4102" t="n">
        <x:v>60</x:v>
      </x:c>
      <x:c r="H4102" t="str">
        <x:v>C</x:v>
      </x:c>
      <x:c r="I4102" t="str">
        <x:v>1-3 years</x:v>
      </x:c>
      <x:c r="J4102" t="str">
        <x:v>RENT</x:v>
      </x:c>
      <x:c r="K4102" t="str">
        <x:v>other</x:v>
      </x:c>
      <x:c r="L4102" t="n">
        <x:v>0</x:v>
      </x:c>
      <x:c r="M4102" t="n">
        <x:v>0</x:v>
      </x:c>
      <x:c r="N4102" t="str">
        <x:v>Fully Paid</x:v>
      </x:c>
      <x:c r="O4102" t="str">
        <x:f>IF(D4102="","Unknown",IF(D4102&lt;25000,"&lt;$25k",IF(D4102&lt;50000,"$25k-$50k",IF(D4102&lt;75000,"$50k-$75k",IF(D4102&lt;100000,"$75k-$100k","$100k+")))))</x:f>
        <x:v>&lt;$25k</x:v>
      </x:c>
      <x:c r="P4102" t="str">
        <x:f>IF(E4102="","Unknown",IF(E4102&lt;10,"&lt;10",IF(E4102&lt;20,"10-&lt;20",IF(E4102&lt;25,"20-&lt;25",IF(E4102&lt;35,"25-&lt;35","35+")))))</x:f>
        <x:v>10-&lt;20</x:v>
      </x:c>
    </x:row>
    <x:row r="4103">
      <x:c r="A4103" t="str">
        <x:v>SYN0004102</x:v>
      </x:c>
      <x:c r="B4103" s="12" t="n">
        <x:v>42475</x:v>
      </x:c>
      <x:c r="C4103" s="18" t="n">
        <x:v>8614</x:v>
      </x:c>
      <x:c r="D4103" s="18" t="n">
        <x:v>49881</x:v>
      </x:c>
      <x:c r="E4103" s="18" t="n">
        <x:v>33.22</x:v>
      </x:c>
      <x:c r="F4103" s="18" t="n">
        <x:v>14.38</x:v>
      </x:c>
      <x:c r="G4103" t="n">
        <x:v>60</x:v>
      </x:c>
      <x:c r="H4103" t="str">
        <x:v>C</x:v>
      </x:c>
      <x:c r="I4103" t="str">
        <x:v>10+ years</x:v>
      </x:c>
      <x:c r="J4103" t="str">
        <x:v>MORTGAGE</x:v>
      </x:c>
      <x:c r="K4103" t="str">
        <x:v>debt_consolidation</x:v>
      </x:c>
      <x:c r="L4103" t="n">
        <x:v>0</x:v>
      </x:c>
      <x:c r="M4103" t="n">
        <x:v>0</x:v>
      </x:c>
      <x:c r="N4103" t="str">
        <x:v>Fully Paid</x:v>
      </x:c>
      <x:c r="O4103" t="str">
        <x:f>IF(D4103="","Unknown",IF(D4103&lt;25000,"&lt;$25k",IF(D4103&lt;50000,"$25k-$50k",IF(D4103&lt;75000,"$50k-$75k",IF(D4103&lt;100000,"$75k-$100k","$100k+")))))</x:f>
        <x:v>$25k-$50k</x:v>
      </x:c>
      <x:c r="P4103" t="str">
        <x:f>IF(E4103="","Unknown",IF(E4103&lt;10,"&lt;10",IF(E4103&lt;20,"10-&lt;20",IF(E4103&lt;25,"20-&lt;25",IF(E4103&lt;35,"25-&lt;35","35+")))))</x:f>
        <x:v>25-&lt;35</x:v>
      </x:c>
    </x:row>
    <x:row r="4104">
      <x:c r="A4104" t="str">
        <x:v>SYN0004103</x:v>
      </x:c>
      <x:c r="B4104" s="12" t="n">
        <x:v>42715</x:v>
      </x:c>
      <x:c r="C4104" s="18" t="n">
        <x:v>9147</x:v>
      </x:c>
      <x:c r="D4104" s="18" t="n">
        <x:v>63904</x:v>
      </x:c>
      <x:c r="E4104" s="18" t="n">
        <x:v>19.05</x:v>
      </x:c>
      <x:c r="F4104" s="18" t="n">
        <x:v>18.98</x:v>
      </x:c>
      <x:c r="G4104" t="n">
        <x:v>36</x:v>
      </x:c>
      <x:c r="H4104" t="str">
        <x:v>E</x:v>
      </x:c>
      <x:c r="I4104" t="str">
        <x:v>10+ years</x:v>
      </x:c>
      <x:c r="J4104" t="str">
        <x:v>RENT</x:v>
      </x:c>
      <x:c r="K4104" t="str">
        <x:v>debt_consolidation</x:v>
      </x:c>
      <x:c r="L4104" t="n">
        <x:v>1</x:v>
      </x:c>
      <x:c r="M4104" t="n">
        <x:v>0</x:v>
      </x:c>
      <x:c r="N4104" t="str">
        <x:v>Fully Paid</x:v>
      </x:c>
      <x:c r="O4104" t="str">
        <x:f>IF(D4104="","Unknown",IF(D4104&lt;25000,"&lt;$25k",IF(D4104&lt;50000,"$25k-$50k",IF(D4104&lt;75000,"$50k-$75k",IF(D4104&lt;100000,"$75k-$100k","$100k+")))))</x:f>
        <x:v>$50k-$75k</x:v>
      </x:c>
      <x:c r="P4104" t="str">
        <x:f>IF(E4104="","Unknown",IF(E4104&lt;10,"&lt;10",IF(E4104&lt;20,"10-&lt;20",IF(E4104&lt;25,"20-&lt;25",IF(E4104&lt;35,"25-&lt;35","35+")))))</x:f>
        <x:v>10-&lt;20</x:v>
      </x:c>
    </x:row>
    <x:row r="4105">
      <x:c r="A4105" t="str">
        <x:v>SYN0004104</x:v>
      </x:c>
      <x:c r="B4105" s="12" t="n">
        <x:v>42595</x:v>
      </x:c>
      <x:c r="C4105" s="18" t="n">
        <x:v>9381</x:v>
      </x:c>
      <x:c r="D4105" s="18" t="n">
        <x:v>47426</x:v>
      </x:c>
      <x:c r="E4105" s="18" t="n">
        <x:v>15.64</x:v>
      </x:c>
      <x:c r="F4105" s="18" t="n">
        <x:v>14.21</x:v>
      </x:c>
      <x:c r="G4105" t="n">
        <x:v>36</x:v>
      </x:c>
      <x:c r="H4105" t="str">
        <x:v>D</x:v>
      </x:c>
      <x:c r="I4105" t="str">
        <x:v>10+ years</x:v>
      </x:c>
      <x:c r="J4105" t="str">
        <x:v>RENT</x:v>
      </x:c>
      <x:c r="K4105" t="str">
        <x:v>debt_consolidation</x:v>
      </x:c>
      <x:c r="L4105" t="n">
        <x:v>2</x:v>
      </x:c>
      <x:c r="M4105" t="n">
        <x:v>1</x:v>
      </x:c>
      <x:c r="N4105" t="str">
        <x:v>Charged Off</x:v>
      </x:c>
      <x:c r="O4105" t="str">
        <x:f>IF(D4105="","Unknown",IF(D4105&lt;25000,"&lt;$25k",IF(D4105&lt;50000,"$25k-$50k",IF(D4105&lt;75000,"$50k-$75k",IF(D4105&lt;100000,"$75k-$100k","$100k+")))))</x:f>
        <x:v>$25k-$50k</x:v>
      </x:c>
      <x:c r="P4105" t="str">
        <x:f>IF(E4105="","Unknown",IF(E4105&lt;10,"&lt;10",IF(E4105&lt;20,"10-&lt;20",IF(E4105&lt;25,"20-&lt;25",IF(E4105&lt;35,"25-&lt;35","35+")))))</x:f>
        <x:v>10-&lt;20</x:v>
      </x:c>
    </x:row>
    <x:row r="4106">
      <x:c r="A4106" t="str">
        <x:v>SYN0004105</x:v>
      </x:c>
      <x:c r="B4106" s="12" t="n">
        <x:v>43195</x:v>
      </x:c>
      <x:c r="C4106" s="18" t="n">
        <x:v>8175</x:v>
      </x:c>
      <x:c r="D4106" s="18" t="n">
        <x:v>31836</x:v>
      </x:c>
      <x:c r="E4106" s="18" t="n">
        <x:v>10.72</x:v>
      </x:c>
      <x:c r="F4106" s="18" t="n">
        <x:v>6.55</x:v>
      </x:c>
      <x:c r="G4106" t="n">
        <x:v>60</x:v>
      </x:c>
      <x:c r="H4106" t="str">
        <x:v>A</x:v>
      </x:c>
      <x:c r="I4106" t="str">
        <x:v>7-9 years</x:v>
      </x:c>
      <x:c r="J4106" t="str">
        <x:v>MORTGAGE</x:v>
      </x:c>
      <x:c r="K4106" t="str">
        <x:v>credit_card</x:v>
      </x:c>
      <x:c r="L4106" t="n">
        <x:v>0</x:v>
      </x:c>
      <x:c r="M4106" t="n">
        <x:v>0</x:v>
      </x:c>
      <x:c r="N4106" t="str">
        <x:v>Fully Paid</x:v>
      </x:c>
      <x:c r="O4106" t="str">
        <x:f>IF(D4106="","Unknown",IF(D4106&lt;25000,"&lt;$25k",IF(D4106&lt;50000,"$25k-$50k",IF(D4106&lt;75000,"$50k-$75k",IF(D4106&lt;100000,"$75k-$100k","$100k+")))))</x:f>
        <x:v>$25k-$50k</x:v>
      </x:c>
      <x:c r="P4106" t="str">
        <x:f>IF(E4106="","Unknown",IF(E4106&lt;10,"&lt;10",IF(E4106&lt;20,"10-&lt;20",IF(E4106&lt;25,"20-&lt;25",IF(E4106&lt;35,"25-&lt;35","35+")))))</x:f>
        <x:v>10-&lt;20</x:v>
      </x:c>
    </x:row>
    <x:row r="4107">
      <x:c r="A4107" t="str">
        <x:v>SYN0004106</x:v>
      </x:c>
      <x:c r="B4107" s="12" t="n">
        <x:v>41815</x:v>
      </x:c>
      <x:c r="C4107" s="18" t="n">
        <x:v>7454</x:v>
      </x:c>
      <x:c r="D4107" s="18" t="n">
        <x:v>35293</x:v>
      </x:c>
      <x:c r="E4107" s="18" t="n">
        <x:v>28.9</x:v>
      </x:c>
      <x:c r="F4107" s="18" t="n">
        <x:v>5</x:v>
      </x:c>
      <x:c r="G4107" t="n">
        <x:v>60</x:v>
      </x:c>
      <x:c r="H4107" t="str">
        <x:v>A</x:v>
      </x:c>
      <x:c r="I4107" t="str">
        <x:v>1-3 years</x:v>
      </x:c>
      <x:c r="J4107" t="str">
        <x:v>MORTGAGE</x:v>
      </x:c>
      <x:c r="K4107" t="str">
        <x:v>debt_consolidation</x:v>
      </x:c>
      <x:c r="L4107" t="n">
        <x:v>0</x:v>
      </x:c>
      <x:c r="M4107" t="n">
        <x:v>0</x:v>
      </x:c>
      <x:c r="N4107" t="str">
        <x:v>Fully Paid</x:v>
      </x:c>
      <x:c r="O4107" t="str">
        <x:f>IF(D4107="","Unknown",IF(D4107&lt;25000,"&lt;$25k",IF(D4107&lt;50000,"$25k-$50k",IF(D4107&lt;75000,"$50k-$75k",IF(D4107&lt;100000,"$75k-$100k","$100k+")))))</x:f>
        <x:v>$25k-$50k</x:v>
      </x:c>
      <x:c r="P4107" t="str">
        <x:f>IF(E4107="","Unknown",IF(E4107&lt;10,"&lt;10",IF(E4107&lt;20,"10-&lt;20",IF(E4107&lt;25,"20-&lt;25",IF(E4107&lt;35,"25-&lt;35","35+")))))</x:f>
        <x:v>25-&lt;35</x:v>
      </x:c>
    </x:row>
    <x:row r="4108">
      <x:c r="A4108" t="str">
        <x:v>SYN0004107</x:v>
      </x:c>
      <x:c r="B4108" s="12" t="n">
        <x:v>42775</x:v>
      </x:c>
      <x:c r="C4108" s="18" t="n">
        <x:v>19659</x:v>
      </x:c>
      <x:c r="D4108" s="18" t="n">
        <x:v>33969</x:v>
      </x:c>
      <x:c r="E4108" s="18" t="n">
        <x:v>9.64</x:v>
      </x:c>
      <x:c r="F4108" s="18" t="n">
        <x:v>12.46</x:v>
      </x:c>
      <x:c r="G4108" t="n">
        <x:v>36</x:v>
      </x:c>
      <x:c r="H4108" t="str">
        <x:v>D</x:v>
      </x:c>
      <x:c r="I4108" t="str">
        <x:v>4-6 years</x:v>
      </x:c>
      <x:c r="J4108" t="str">
        <x:v>RENT</x:v>
      </x:c>
      <x:c r="K4108" t="str">
        <x:v>other</x:v>
      </x:c>
      <x:c r="L4108" t="n">
        <x:v>1</x:v>
      </x:c>
      <x:c r="M4108" t="n">
        <x:v>0</x:v>
      </x:c>
      <x:c r="N4108" t="str">
        <x:v>Fully Paid</x:v>
      </x:c>
      <x:c r="O4108" t="str">
        <x:f>IF(D4108="","Unknown",IF(D4108&lt;25000,"&lt;$25k",IF(D4108&lt;50000,"$25k-$50k",IF(D4108&lt;75000,"$50k-$75k",IF(D4108&lt;100000,"$75k-$100k","$100k+")))))</x:f>
        <x:v>$25k-$50k</x:v>
      </x:c>
      <x:c r="P4108" t="str">
        <x:f>IF(E4108="","Unknown",IF(E4108&lt;10,"&lt;10",IF(E4108&lt;20,"10-&lt;20",IF(E4108&lt;25,"20-&lt;25",IF(E4108&lt;35,"25-&lt;35","35+")))))</x:f>
        <x:v>&lt;10</x:v>
      </x:c>
    </x:row>
    <x:row r="4109">
      <x:c r="A4109" t="str">
        <x:v>SYN0004108</x:v>
      </x:c>
      <x:c r="B4109" s="12" t="n">
        <x:v>42865</x:v>
      </x:c>
      <x:c r="C4109" s="18" t="n">
        <x:v>23238</x:v>
      </x:c>
      <x:c r="D4109" s="18" t="n">
        <x:v>72478</x:v>
      </x:c>
      <x:c r="E4109" s="18" t="n">
        <x:v>14.52</x:v>
      </x:c>
      <x:c r="F4109" s="18" t="n">
        <x:v>8.54</x:v>
      </x:c>
      <x:c r="G4109" t="n">
        <x:v>36</x:v>
      </x:c>
      <x:c r="H4109" t="str">
        <x:v>C</x:v>
      </x:c>
      <x:c r="I4109" t="str">
        <x:v>4-6 years</x:v>
      </x:c>
      <x:c r="J4109" t="str">
        <x:v>RENT</x:v>
      </x:c>
      <x:c r="K4109" t="str">
        <x:v>home_improvement</x:v>
      </x:c>
      <x:c r="L4109" t="n">
        <x:v>0</x:v>
      </x:c>
      <x:c r="M4109" t="n">
        <x:v>0</x:v>
      </x:c>
      <x:c r="N4109" t="str">
        <x:v>Fully Paid</x:v>
      </x:c>
      <x:c r="O4109" t="str">
        <x:f>IF(D4109="","Unknown",IF(D4109&lt;25000,"&lt;$25k",IF(D4109&lt;50000,"$25k-$50k",IF(D4109&lt;75000,"$50k-$75k",IF(D4109&lt;100000,"$75k-$100k","$100k+")))))</x:f>
        <x:v>$50k-$75k</x:v>
      </x:c>
      <x:c r="P4109" t="str">
        <x:f>IF(E4109="","Unknown",IF(E4109&lt;10,"&lt;10",IF(E4109&lt;20,"10-&lt;20",IF(E4109&lt;25,"20-&lt;25",IF(E4109&lt;35,"25-&lt;35","35+")))))</x:f>
        <x:v>10-&lt;20</x:v>
      </x:c>
    </x:row>
    <x:row r="4110">
      <x:c r="A4110" t="str">
        <x:v>SYN0004109</x:v>
      </x:c>
      <x:c r="B4110" s="12" t="n">
        <x:v>41335</x:v>
      </x:c>
      <x:c r="C4110" s="18" t="n">
        <x:v>10835</x:v>
      </x:c>
      <x:c r="D4110" s="18" t="n">
        <x:v>41448</x:v>
      </x:c>
      <x:c r="E4110" s="18" t="n">
        <x:v>17.38</x:v>
      </x:c>
      <x:c r="F4110" s="18" t="n">
        <x:v>11.28</x:v>
      </x:c>
      <x:c r="G4110" t="n">
        <x:v>60</x:v>
      </x:c>
      <x:c r="H4110" t="str">
        <x:v>C</x:v>
      </x:c>
      <x:c r="I4110" t="str">
        <x:v>1-3 years</x:v>
      </x:c>
      <x:c r="J4110" t="str">
        <x:v>MORTGAGE</x:v>
      </x:c>
      <x:c r="K4110" t="str">
        <x:v>major_purchase</x:v>
      </x:c>
      <x:c r="L4110" t="n">
        <x:v>0</x:v>
      </x:c>
      <x:c r="M4110" t="n">
        <x:v>0</x:v>
      </x:c>
      <x:c r="N4110" t="str">
        <x:v>Fully Paid</x:v>
      </x:c>
      <x:c r="O4110" t="str">
        <x:f>IF(D4110="","Unknown",IF(D4110&lt;25000,"&lt;$25k",IF(D4110&lt;50000,"$25k-$50k",IF(D4110&lt;75000,"$50k-$75k",IF(D4110&lt;100000,"$75k-$100k","$100k+")))))</x:f>
        <x:v>$25k-$50k</x:v>
      </x:c>
      <x:c r="P4110" t="str">
        <x:f>IF(E4110="","Unknown",IF(E4110&lt;10,"&lt;10",IF(E4110&lt;20,"10-&lt;20",IF(E4110&lt;25,"20-&lt;25",IF(E4110&lt;35,"25-&lt;35","35+")))))</x:f>
        <x:v>10-&lt;20</x:v>
      </x:c>
    </x:row>
    <x:row r="4111">
      <x:c r="A4111" t="str">
        <x:v>SYN0004110</x:v>
      </x:c>
      <x:c r="B4111" s="12" t="n">
        <x:v>42775</x:v>
      </x:c>
      <x:c r="C4111" s="18" t="n">
        <x:v>5822</x:v>
      </x:c>
      <x:c r="D4111" s="18" t="n">
        <x:v>49189</x:v>
      </x:c>
      <x:c r="E4111" s="18" t="n">
        <x:v>30.71</x:v>
      </x:c>
      <x:c r="F4111" s="18" t="n">
        <x:v>6.37</x:v>
      </x:c>
      <x:c r="G4111" t="n">
        <x:v>36</x:v>
      </x:c>
      <x:c r="H4111" t="str">
        <x:v>B</x:v>
      </x:c>
      <x:c r="I4111" t="str">
        <x:v>&lt;1 year</x:v>
      </x:c>
      <x:c r="J4111" t="str">
        <x:v>MORTGAGE</x:v>
      </x:c>
      <x:c r="K4111" t="str">
        <x:v>credit_card</x:v>
      </x:c>
      <x:c r="L4111" t="n">
        <x:v>0</x:v>
      </x:c>
      <x:c r="M4111" t="n">
        <x:v>0</x:v>
      </x:c>
      <x:c r="N4111" t="str">
        <x:v>Fully Paid</x:v>
      </x:c>
      <x:c r="O4111" t="str">
        <x:f>IF(D4111="","Unknown",IF(D4111&lt;25000,"&lt;$25k",IF(D4111&lt;50000,"$25k-$50k",IF(D4111&lt;75000,"$50k-$75k",IF(D4111&lt;100000,"$75k-$100k","$100k+")))))</x:f>
        <x:v>$25k-$50k</x:v>
      </x:c>
      <x:c r="P4111" t="str">
        <x:f>IF(E4111="","Unknown",IF(E4111&lt;10,"&lt;10",IF(E4111&lt;20,"10-&lt;20",IF(E4111&lt;25,"20-&lt;25",IF(E4111&lt;35,"25-&lt;35","35+")))))</x:f>
        <x:v>25-&lt;35</x:v>
      </x:c>
    </x:row>
    <x:row r="4112">
      <x:c r="A4112" t="str">
        <x:v>SYN0004111</x:v>
      </x:c>
      <x:c r="B4112" s="12" t="n">
        <x:v>42475</x:v>
      </x:c>
      <x:c r="C4112" s="18" t="n">
        <x:v>21675</x:v>
      </x:c>
      <x:c r="D4112" s="18" t="n">
        <x:v>66034</x:v>
      </x:c>
      <x:c r="E4112" s="18" t="n">
        <x:v>25.28</x:v>
      </x:c>
      <x:c r="F4112" s="18" t="n">
        <x:v>8.8</x:v>
      </x:c>
      <x:c r="G4112" t="n">
        <x:v>60</x:v>
      </x:c>
      <x:c r="H4112" t="str">
        <x:v>B</x:v>
      </x:c>
      <x:c r="I4112" t="str">
        <x:v>7-9 years</x:v>
      </x:c>
      <x:c r="J4112" t="str">
        <x:v>RENT</x:v>
      </x:c>
      <x:c r="K4112" t="str">
        <x:v>major_purchase</x:v>
      </x:c>
      <x:c r="L4112" t="n">
        <x:v>0</x:v>
      </x:c>
      <x:c r="M4112" t="n">
        <x:v>0</x:v>
      </x:c>
      <x:c r="N4112" t="str">
        <x:v>Fully Paid</x:v>
      </x:c>
      <x:c r="O4112" t="str">
        <x:f>IF(D4112="","Unknown",IF(D4112&lt;25000,"&lt;$25k",IF(D4112&lt;50000,"$25k-$50k",IF(D4112&lt;75000,"$50k-$75k",IF(D4112&lt;100000,"$75k-$100k","$100k+")))))</x:f>
        <x:v>$50k-$75k</x:v>
      </x:c>
      <x:c r="P4112" t="str">
        <x:f>IF(E4112="","Unknown",IF(E4112&lt;10,"&lt;10",IF(E4112&lt;20,"10-&lt;20",IF(E4112&lt;25,"20-&lt;25",IF(E4112&lt;35,"25-&lt;35","35+")))))</x:f>
        <x:v>25-&lt;35</x:v>
      </x:c>
    </x:row>
    <x:row r="4113">
      <x:c r="A4113" t="str">
        <x:v>SYN0004112</x:v>
      </x:c>
      <x:c r="B4113" s="12" t="n">
        <x:v>41395</x:v>
      </x:c>
      <x:c r="C4113" s="18" t="n">
        <x:v>10084</x:v>
      </x:c>
      <x:c r="D4113" s="18" t="n">
        <x:v>18451</x:v>
      </x:c>
      <x:c r="E4113" s="18" t="n">
        <x:v>18.6</x:v>
      </x:c>
      <x:c r="F4113" s="18" t="n">
        <x:v>10.58</x:v>
      </x:c>
      <x:c r="G4113" t="n">
        <x:v>36</x:v>
      </x:c>
      <x:c r="H4113" t="str">
        <x:v>C</x:v>
      </x:c>
      <x:c r="I4113" t="str">
        <x:v>4-6 years</x:v>
      </x:c>
      <x:c r="J4113" t="str">
        <x:v>OWN</x:v>
      </x:c>
      <x:c r="K4113" t="str">
        <x:v>home_improvement</x:v>
      </x:c>
      <x:c r="L4113" t="n">
        <x:v>0</x:v>
      </x:c>
      <x:c r="M4113" t="n">
        <x:v>0</x:v>
      </x:c>
      <x:c r="N4113" t="str">
        <x:v>Fully Paid</x:v>
      </x:c>
      <x:c r="O4113" t="str">
        <x:f>IF(D4113="","Unknown",IF(D4113&lt;25000,"&lt;$25k",IF(D4113&lt;50000,"$25k-$50k",IF(D4113&lt;75000,"$50k-$75k",IF(D4113&lt;100000,"$75k-$100k","$100k+")))))</x:f>
        <x:v>&lt;$25k</x:v>
      </x:c>
      <x:c r="P4113" t="str">
        <x:f>IF(E4113="","Unknown",IF(E4113&lt;10,"&lt;10",IF(E4113&lt;20,"10-&lt;20",IF(E4113&lt;25,"20-&lt;25",IF(E4113&lt;35,"25-&lt;35","35+")))))</x:f>
        <x:v>10-&lt;20</x:v>
      </x:c>
    </x:row>
    <x:row r="4114">
      <x:c r="A4114" t="str">
        <x:v>SYN0004113</x:v>
      </x:c>
      <x:c r="B4114" s="12" t="n">
        <x:v>41845</x:v>
      </x:c>
      <x:c r="C4114" s="18" t="n">
        <x:v>4630</x:v>
      </x:c>
      <x:c r="D4114" s="18" t="n">
        <x:v>83382</x:v>
      </x:c>
      <x:c r="E4114" s="18" t="n">
        <x:v>28.98</x:v>
      </x:c>
      <x:c r="F4114" s="18" t="n">
        <x:v>8.5</x:v>
      </x:c>
      <x:c r="G4114" t="n">
        <x:v>36</x:v>
      </x:c>
      <x:c r="H4114" t="str">
        <x:v>B</x:v>
      </x:c>
      <x:c r="I4114" t="str">
        <x:v>1-3 years</x:v>
      </x:c>
      <x:c r="J4114" t="str">
        <x:v>RENT</x:v>
      </x:c>
      <x:c r="K4114" t="str">
        <x:v>credit_card</x:v>
      </x:c>
      <x:c r="L4114" t="n">
        <x:v>0</x:v>
      </x:c>
      <x:c r="M4114" t="n">
        <x:v>0</x:v>
      </x:c>
      <x:c r="N4114" t="str">
        <x:v>Fully Paid</x:v>
      </x:c>
      <x:c r="O4114" t="str">
        <x:f>IF(D4114="","Unknown",IF(D4114&lt;25000,"&lt;$25k",IF(D4114&lt;50000,"$25k-$50k",IF(D4114&lt;75000,"$50k-$75k",IF(D4114&lt;100000,"$75k-$100k","$100k+")))))</x:f>
        <x:v>$75k-$100k</x:v>
      </x:c>
      <x:c r="P4114" t="str">
        <x:f>IF(E4114="","Unknown",IF(E4114&lt;10,"&lt;10",IF(E4114&lt;20,"10-&lt;20",IF(E4114&lt;25,"20-&lt;25",IF(E4114&lt;35,"25-&lt;35","35+")))))</x:f>
        <x:v>25-&lt;35</x:v>
      </x:c>
    </x:row>
    <x:row r="4115">
      <x:c r="A4115" t="str">
        <x:v>SYN0004114</x:v>
      </x:c>
      <x:c r="B4115" s="12" t="n">
        <x:v>42595</x:v>
      </x:c>
      <x:c r="C4115" s="18" t="n">
        <x:v>12161</x:v>
      </x:c>
      <x:c r="D4115" s="18" t="n">
        <x:v>60348</x:v>
      </x:c>
      <x:c r="E4115" s="18" t="n">
        <x:v>20.04</x:v>
      </x:c>
      <x:c r="F4115" s="18" t="n">
        <x:v>12.14</x:v>
      </x:c>
      <x:c r="G4115" t="n">
        <x:v>36</x:v>
      </x:c>
      <x:c r="H4115" t="str">
        <x:v>B</x:v>
      </x:c>
      <x:c r="I4115" t="str">
        <x:v>1-3 years</x:v>
      </x:c>
      <x:c r="J4115" t="str">
        <x:v>MORTGAGE</x:v>
      </x:c>
      <x:c r="K4115" t="str">
        <x:v>debt_consolidation</x:v>
      </x:c>
      <x:c r="L4115" t="n">
        <x:v>0</x:v>
      </x:c>
      <x:c r="M4115" t="n">
        <x:v>0</x:v>
      </x:c>
      <x:c r="N4115" t="str">
        <x:v>Fully Paid</x:v>
      </x:c>
      <x:c r="O4115" t="str">
        <x:f>IF(D4115="","Unknown",IF(D4115&lt;25000,"&lt;$25k",IF(D4115&lt;50000,"$25k-$50k",IF(D4115&lt;75000,"$50k-$75k",IF(D4115&lt;100000,"$75k-$100k","$100k+")))))</x:f>
        <x:v>$50k-$75k</x:v>
      </x:c>
      <x:c r="P4115" t="str">
        <x:f>IF(E4115="","Unknown",IF(E4115&lt;10,"&lt;10",IF(E4115&lt;20,"10-&lt;20",IF(E4115&lt;25,"20-&lt;25",IF(E4115&lt;35,"25-&lt;35","35+")))))</x:f>
        <x:v>20-&lt;25</x:v>
      </x:c>
    </x:row>
    <x:row r="4116">
      <x:c r="A4116" t="str">
        <x:v>SYN0004115</x:v>
      </x:c>
      <x:c r="B4116" s="12" t="n">
        <x:v>42025</x:v>
      </x:c>
      <x:c r="C4116" s="18" t="n">
        <x:v>16792</x:v>
      </x:c>
      <x:c r="D4116" s="18" t="n">
        <x:v>59106</x:v>
      </x:c>
      <x:c r="E4116" s="18" t="n">
        <x:v>25.99</x:v>
      </x:c>
      <x:c r="F4116" s="18" t="n">
        <x:v>7.5</x:v>
      </x:c>
      <x:c r="G4116" t="n">
        <x:v>36</x:v>
      </x:c>
      <x:c r="H4116" t="str">
        <x:v>A</x:v>
      </x:c>
      <x:c r="I4116" t="str">
        <x:v>4-6 years</x:v>
      </x:c>
      <x:c r="J4116" t="str">
        <x:v>MORTGAGE</x:v>
      </x:c>
      <x:c r="K4116" t="str">
        <x:v>home_improvement</x:v>
      </x:c>
      <x:c r="L4116" t="n">
        <x:v>0</x:v>
      </x:c>
      <x:c r="M4116" t="n">
        <x:v>0</x:v>
      </x:c>
      <x:c r="N4116" t="str">
        <x:v>Fully Paid</x:v>
      </x:c>
      <x:c r="O4116" t="str">
        <x:f>IF(D4116="","Unknown",IF(D4116&lt;25000,"&lt;$25k",IF(D4116&lt;50000,"$25k-$50k",IF(D4116&lt;75000,"$50k-$75k",IF(D4116&lt;100000,"$75k-$100k","$100k+")))))</x:f>
        <x:v>$50k-$75k</x:v>
      </x:c>
      <x:c r="P4116" t="str">
        <x:f>IF(E4116="","Unknown",IF(E4116&lt;10,"&lt;10",IF(E4116&lt;20,"10-&lt;20",IF(E4116&lt;25,"20-&lt;25",IF(E4116&lt;35,"25-&lt;35","35+")))))</x:f>
        <x:v>25-&lt;35</x:v>
      </x:c>
    </x:row>
    <x:row r="4117">
      <x:c r="A4117" t="str">
        <x:v>SYN0004116</x:v>
      </x:c>
      <x:c r="B4117" s="12" t="n">
        <x:v>41845</x:v>
      </x:c>
      <x:c r="C4117" s="18" t="n">
        <x:v>11955</x:v>
      </x:c>
      <x:c r="D4117" s="18" t="n">
        <x:v>37509</x:v>
      </x:c>
      <x:c r="E4117" s="18" t="n">
        <x:v>32.72</x:v>
      </x:c>
      <x:c r="F4117" s="18" t="n">
        <x:v>14.2</x:v>
      </x:c>
      <x:c r="G4117" t="n">
        <x:v>36</x:v>
      </x:c>
      <x:c r="H4117" t="str">
        <x:v>D</x:v>
      </x:c>
      <x:c r="I4117" t="str">
        <x:v>4-6 years</x:v>
      </x:c>
      <x:c r="J4117" t="str">
        <x:v>MORTGAGE</x:v>
      </x:c>
      <x:c r="K4117" t="str">
        <x:v>credit_card</x:v>
      </x:c>
      <x:c r="L4117" t="n">
        <x:v>0</x:v>
      </x:c>
      <x:c r="M4117" t="n">
        <x:v>0</x:v>
      </x:c>
      <x:c r="N4117" t="str">
        <x:v>Fully Paid</x:v>
      </x:c>
      <x:c r="O4117" t="str">
        <x:f>IF(D4117="","Unknown",IF(D4117&lt;25000,"&lt;$25k",IF(D4117&lt;50000,"$25k-$50k",IF(D4117&lt;75000,"$50k-$75k",IF(D4117&lt;100000,"$75k-$100k","$100k+")))))</x:f>
        <x:v>$25k-$50k</x:v>
      </x:c>
      <x:c r="P4117" t="str">
        <x:f>IF(E4117="","Unknown",IF(E4117&lt;10,"&lt;10",IF(E4117&lt;20,"10-&lt;20",IF(E4117&lt;25,"20-&lt;25",IF(E4117&lt;35,"25-&lt;35","35+")))))</x:f>
        <x:v>25-&lt;35</x:v>
      </x:c>
    </x:row>
    <x:row r="4118">
      <x:c r="A4118" t="str">
        <x:v>SYN0004117</x:v>
      </x:c>
      <x:c r="B4118" s="12" t="n">
        <x:v>43165</x:v>
      </x:c>
      <x:c r="C4118" s="18" t="n">
        <x:v>10987</x:v>
      </x:c>
      <x:c r="D4118" s="18" t="n">
        <x:v>70375</x:v>
      </x:c>
      <x:c r="E4118" s="18" t="n">
        <x:v>13.39</x:v>
      </x:c>
      <x:c r="F4118" s="18" t="n">
        <x:v>6.71</x:v>
      </x:c>
      <x:c r="G4118" t="n">
        <x:v>36</x:v>
      </x:c>
      <x:c r="H4118" t="str">
        <x:v>B</x:v>
      </x:c>
      <x:c r="I4118" t="str">
        <x:v>7-9 years</x:v>
      </x:c>
      <x:c r="J4118" t="str">
        <x:v>MORTGAGE</x:v>
      </x:c>
      <x:c r="K4118" t="str">
        <x:v>debt_consolidation</x:v>
      </x:c>
      <x:c r="L4118" t="n">
        <x:v>0</x:v>
      </x:c>
      <x:c r="M4118" t="n">
        <x:v>0</x:v>
      </x:c>
      <x:c r="N4118" t="str">
        <x:v>Fully Paid</x:v>
      </x:c>
      <x:c r="O4118" t="str">
        <x:f>IF(D4118="","Unknown",IF(D4118&lt;25000,"&lt;$25k",IF(D4118&lt;50000,"$25k-$50k",IF(D4118&lt;75000,"$50k-$75k",IF(D4118&lt;100000,"$75k-$100k","$100k+")))))</x:f>
        <x:v>$50k-$75k</x:v>
      </x:c>
      <x:c r="P4118" t="str">
        <x:f>IF(E4118="","Unknown",IF(E4118&lt;10,"&lt;10",IF(E4118&lt;20,"10-&lt;20",IF(E4118&lt;25,"20-&lt;25",IF(E4118&lt;35,"25-&lt;35","35+")))))</x:f>
        <x:v>10-&lt;20</x:v>
      </x:c>
    </x:row>
    <x:row r="4119">
      <x:c r="A4119" t="str">
        <x:v>SYN0004118</x:v>
      </x:c>
      <x:c r="B4119" s="12" t="n">
        <x:v>41725</x:v>
      </x:c>
      <x:c r="C4119" s="18" t="n">
        <x:v>9838</x:v>
      </x:c>
      <x:c r="D4119" s="18" t="n">
        <x:v>50584</x:v>
      </x:c>
      <x:c r="E4119" s="18" t="n">
        <x:v>23.41</x:v>
      </x:c>
      <x:c r="F4119" s="18" t="n">
        <x:v>11.35</x:v>
      </x:c>
      <x:c r="G4119" t="n">
        <x:v>36</x:v>
      </x:c>
      <x:c r="H4119" t="str">
        <x:v>B</x:v>
      </x:c>
      <x:c r="I4119" t="str">
        <x:v>7-9 years</x:v>
      </x:c>
      <x:c r="J4119" t="str">
        <x:v>RENT</x:v>
      </x:c>
      <x:c r="K4119" t="str">
        <x:v>debt_consolidation</x:v>
      </x:c>
      <x:c r="L4119" t="n">
        <x:v>2</x:v>
      </x:c>
      <x:c r="M4119" t="n">
        <x:v>0</x:v>
      </x:c>
      <x:c r="N4119" t="str">
        <x:v>Fully Paid</x:v>
      </x:c>
      <x:c r="O4119" t="str">
        <x:f>IF(D4119="","Unknown",IF(D4119&lt;25000,"&lt;$25k",IF(D4119&lt;50000,"$25k-$50k",IF(D4119&lt;75000,"$50k-$75k",IF(D4119&lt;100000,"$75k-$100k","$100k+")))))</x:f>
        <x:v>$50k-$75k</x:v>
      </x:c>
      <x:c r="P4119" t="str">
        <x:f>IF(E4119="","Unknown",IF(E4119&lt;10,"&lt;10",IF(E4119&lt;20,"10-&lt;20",IF(E4119&lt;25,"20-&lt;25",IF(E4119&lt;35,"25-&lt;35","35+")))))</x:f>
        <x:v>20-&lt;25</x:v>
      </x:c>
    </x:row>
    <x:row r="4120">
      <x:c r="A4120" t="str">
        <x:v>SYN0004119</x:v>
      </x:c>
      <x:c r="B4120" s="12" t="n">
        <x:v>43345</x:v>
      </x:c>
      <x:c r="C4120" s="18" t="n">
        <x:v>11667</x:v>
      </x:c>
      <x:c r="D4120" s="18" t="n">
        <x:v>12000</x:v>
      </x:c>
      <x:c r="E4120" s="18" t="n">
        <x:v>22.75</x:v>
      </x:c>
      <x:c r="F4120" s="18" t="n">
        <x:v>6.18</x:v>
      </x:c>
      <x:c r="G4120" t="n">
        <x:v>36</x:v>
      </x:c>
      <x:c r="H4120" t="str">
        <x:v>A</x:v>
      </x:c>
      <x:c r="I4120" t="str">
        <x:v>10+ years</x:v>
      </x:c>
      <x:c r="J4120" t="str">
        <x:v>RENT</x:v>
      </x:c>
      <x:c r="K4120" t="str">
        <x:v>credit_card</x:v>
      </x:c>
      <x:c r="L4120" t="n">
        <x:v>1</x:v>
      </x:c>
      <x:c r="M4120" t="n">
        <x:v>0</x:v>
      </x:c>
      <x:c r="N4120" t="str">
        <x:v>Fully Paid</x:v>
      </x:c>
      <x:c r="O4120" t="str">
        <x:f>IF(D4120="","Unknown",IF(D4120&lt;25000,"&lt;$25k",IF(D4120&lt;50000,"$25k-$50k",IF(D4120&lt;75000,"$50k-$75k",IF(D4120&lt;100000,"$75k-$100k","$100k+")))))</x:f>
        <x:v>&lt;$25k</x:v>
      </x:c>
      <x:c r="P4120" t="str">
        <x:f>IF(E4120="","Unknown",IF(E4120&lt;10,"&lt;10",IF(E4120&lt;20,"10-&lt;20",IF(E4120&lt;25,"20-&lt;25",IF(E4120&lt;35,"25-&lt;35","35+")))))</x:f>
        <x:v>20-&lt;25</x:v>
      </x:c>
    </x:row>
    <x:row r="4121">
      <x:c r="A4121" t="str">
        <x:v>SYN0004120</x:v>
      </x:c>
      <x:c r="B4121" s="12" t="n">
        <x:v>42955</x:v>
      </x:c>
      <x:c r="C4121" s="18" t="n">
        <x:v>19728</x:v>
      </x:c>
      <x:c r="D4121" s="18" t="n">
        <x:v>31657</x:v>
      </x:c>
      <x:c r="E4121" s="18" t="n">
        <x:v>4.76</x:v>
      </x:c>
      <x:c r="F4121" s="18" t="n">
        <x:v>9.11</x:v>
      </x:c>
      <x:c r="G4121" t="n">
        <x:v>36</x:v>
      </x:c>
      <x:c r="H4121" t="str">
        <x:v>B</x:v>
      </x:c>
      <x:c r="I4121" t="str">
        <x:v>1-3 years</x:v>
      </x:c>
      <x:c r="J4121" t="str">
        <x:v>RENT</x:v>
      </x:c>
      <x:c r="K4121" t="str">
        <x:v>home_improvement</x:v>
      </x:c>
      <x:c r="L4121" t="n">
        <x:v>0</x:v>
      </x:c>
      <x:c r="M4121" t="n">
        <x:v>0</x:v>
      </x:c>
      <x:c r="N4121" t="str">
        <x:v>Fully Paid</x:v>
      </x:c>
      <x:c r="O4121" t="str">
        <x:f>IF(D4121="","Unknown",IF(D4121&lt;25000,"&lt;$25k",IF(D4121&lt;50000,"$25k-$50k",IF(D4121&lt;75000,"$50k-$75k",IF(D4121&lt;100000,"$75k-$100k","$100k+")))))</x:f>
        <x:v>$25k-$50k</x:v>
      </x:c>
      <x:c r="P4121" t="str">
        <x:f>IF(E4121="","Unknown",IF(E4121&lt;10,"&lt;10",IF(E4121&lt;20,"10-&lt;20",IF(E4121&lt;25,"20-&lt;25",IF(E4121&lt;35,"25-&lt;35","35+")))))</x:f>
        <x:v>&lt;10</x:v>
      </x:c>
    </x:row>
    <x:row r="4122">
      <x:c r="A4122" t="str">
        <x:v>SYN0004121</x:v>
      </x:c>
      <x:c r="B4122" s="12" t="n">
        <x:v>43015</x:v>
      </x:c>
      <x:c r="C4122" s="18" t="n">
        <x:v>34971</x:v>
      </x:c>
      <x:c r="D4122" s="18" t="n">
        <x:v>50243</x:v>
      </x:c>
      <x:c r="E4122" s="18" t="n">
        <x:v>17.27</x:v>
      </x:c>
      <x:c r="F4122" s="18" t="n">
        <x:v>13.38</x:v>
      </x:c>
      <x:c r="G4122" t="n">
        <x:v>36</x:v>
      </x:c>
      <x:c r="H4122" t="str">
        <x:v>D</x:v>
      </x:c>
      <x:c r="I4122" t="str">
        <x:v>1-3 years</x:v>
      </x:c>
      <x:c r="J4122" t="str">
        <x:v>MORTGAGE</x:v>
      </x:c>
      <x:c r="K4122" t="str">
        <x:v>debt_consolidation</x:v>
      </x:c>
      <x:c r="L4122" t="n">
        <x:v>0</x:v>
      </x:c>
      <x:c r="M4122" t="n">
        <x:v>0</x:v>
      </x:c>
      <x:c r="N4122" t="str">
        <x:v>Fully Paid</x:v>
      </x:c>
      <x:c r="O4122" t="str">
        <x:f>IF(D4122="","Unknown",IF(D4122&lt;25000,"&lt;$25k",IF(D4122&lt;50000,"$25k-$50k",IF(D4122&lt;75000,"$50k-$75k",IF(D4122&lt;100000,"$75k-$100k","$100k+")))))</x:f>
        <x:v>$50k-$75k</x:v>
      </x:c>
      <x:c r="P4122" t="str">
        <x:f>IF(E4122="","Unknown",IF(E4122&lt;10,"&lt;10",IF(E4122&lt;20,"10-&lt;20",IF(E4122&lt;25,"20-&lt;25",IF(E4122&lt;35,"25-&lt;35","35+")))))</x:f>
        <x:v>10-&lt;20</x:v>
      </x:c>
    </x:row>
    <x:row r="4123">
      <x:c r="A4123" t="str">
        <x:v>SYN0004122</x:v>
      </x:c>
      <x:c r="B4123" s="12" t="n">
        <x:v>42925</x:v>
      </x:c>
      <x:c r="C4123" s="18" t="n">
        <x:v>12545</x:v>
      </x:c>
      <x:c r="D4123" s="18" t="n">
        <x:v>32782</x:v>
      </x:c>
      <x:c r="E4123" s="18" t="n">
        <x:v>13.97</x:v>
      </x:c>
      <x:c r="F4123" s="18" t="n">
        <x:v>15.29</x:v>
      </x:c>
      <x:c r="G4123" t="n">
        <x:v>36</x:v>
      </x:c>
      <x:c r="H4123" t="str">
        <x:v>D</x:v>
      </x:c>
      <x:c r="I4123" t="str">
        <x:v>1-3 years</x:v>
      </x:c>
      <x:c r="J4123" t="str">
        <x:v>RENT</x:v>
      </x:c>
      <x:c r="K4123" t="str">
        <x:v>credit_card</x:v>
      </x:c>
      <x:c r="L4123" t="n">
        <x:v>2</x:v>
      </x:c>
      <x:c r="M4123" t="n">
        <x:v>0</x:v>
      </x:c>
      <x:c r="N4123" t="str">
        <x:v>Fully Paid</x:v>
      </x:c>
      <x:c r="O4123" t="str">
        <x:f>IF(D4123="","Unknown",IF(D4123&lt;25000,"&lt;$25k",IF(D4123&lt;50000,"$25k-$50k",IF(D4123&lt;75000,"$50k-$75k",IF(D4123&lt;100000,"$75k-$100k","$100k+")))))</x:f>
        <x:v>$25k-$50k</x:v>
      </x:c>
      <x:c r="P4123" t="str">
        <x:f>IF(E4123="","Unknown",IF(E4123&lt;10,"&lt;10",IF(E4123&lt;20,"10-&lt;20",IF(E4123&lt;25,"20-&lt;25",IF(E4123&lt;35,"25-&lt;35","35+")))))</x:f>
        <x:v>10-&lt;20</x:v>
      </x:c>
    </x:row>
    <x:row r="4124">
      <x:c r="A4124" t="str">
        <x:v>SYN0004123</x:v>
      </x:c>
      <x:c r="B4124" s="12" t="n">
        <x:v>42565</x:v>
      </x:c>
      <x:c r="C4124" s="18" t="n">
        <x:v>11852</x:v>
      </x:c>
      <x:c r="D4124" s="18" t="n">
        <x:v>55065</x:v>
      </x:c>
      <x:c r="E4124" s="18" t="n">
        <x:v>31.48</x:v>
      </x:c>
      <x:c r="F4124" s="18" t="n">
        <x:v>11.08</x:v>
      </x:c>
      <x:c r="G4124" t="n">
        <x:v>60</x:v>
      </x:c>
      <x:c r="H4124" t="str">
        <x:v>C</x:v>
      </x:c>
      <x:c r="I4124" t="str">
        <x:v>4-6 years</x:v>
      </x:c>
      <x:c r="J4124" t="str">
        <x:v>OWN</x:v>
      </x:c>
      <x:c r="K4124" t="str">
        <x:v>home_improvement</x:v>
      </x:c>
      <x:c r="L4124" t="n">
        <x:v>0</x:v>
      </x:c>
      <x:c r="M4124" t="n">
        <x:v>0</x:v>
      </x:c>
      <x:c r="N4124" t="str">
        <x:v>Fully Paid</x:v>
      </x:c>
      <x:c r="O4124" t="str">
        <x:f>IF(D4124="","Unknown",IF(D4124&lt;25000,"&lt;$25k",IF(D4124&lt;50000,"$25k-$50k",IF(D4124&lt;75000,"$50k-$75k",IF(D4124&lt;100000,"$75k-$100k","$100k+")))))</x:f>
        <x:v>$50k-$75k</x:v>
      </x:c>
      <x:c r="P4124" t="str">
        <x:f>IF(E4124="","Unknown",IF(E4124&lt;10,"&lt;10",IF(E4124&lt;20,"10-&lt;20",IF(E4124&lt;25,"20-&lt;25",IF(E4124&lt;35,"25-&lt;35","35+")))))</x:f>
        <x:v>25-&lt;35</x:v>
      </x:c>
    </x:row>
    <x:row r="4125">
      <x:c r="A4125" t="str">
        <x:v>SYN0004124</x:v>
      </x:c>
      <x:c r="B4125" s="12" t="n">
        <x:v>42985</x:v>
      </x:c>
      <x:c r="C4125" s="18" t="n">
        <x:v>13892</x:v>
      </x:c>
      <x:c r="D4125" s="18" t="n">
        <x:v>119648</x:v>
      </x:c>
      <x:c r="E4125" s="18" t="n">
        <x:v>4.8</x:v>
      </x:c>
      <x:c r="F4125" s="18" t="n">
        <x:v>15.29</x:v>
      </x:c>
      <x:c r="G4125" t="n">
        <x:v>36</x:v>
      </x:c>
      <x:c r="H4125" t="str">
        <x:v>D</x:v>
      </x:c>
      <x:c r="I4125" t="str">
        <x:v>10+ years</x:v>
      </x:c>
      <x:c r="J4125" t="str">
        <x:v>MORTGAGE</x:v>
      </x:c>
      <x:c r="K4125" t="str">
        <x:v>credit_card</x:v>
      </x:c>
      <x:c r="L4125" t="n">
        <x:v>1</x:v>
      </x:c>
      <x:c r="M4125" t="n">
        <x:v>0</x:v>
      </x:c>
      <x:c r="N4125" t="str">
        <x:v>Fully Paid</x:v>
      </x:c>
      <x:c r="O4125" t="str">
        <x:f>IF(D4125="","Unknown",IF(D4125&lt;25000,"&lt;$25k",IF(D4125&lt;50000,"$25k-$50k",IF(D4125&lt;75000,"$50k-$75k",IF(D4125&lt;100000,"$75k-$100k","$100k+")))))</x:f>
        <x:v>$100k+</x:v>
      </x:c>
      <x:c r="P4125" t="str">
        <x:f>IF(E4125="","Unknown",IF(E4125&lt;10,"&lt;10",IF(E4125&lt;20,"10-&lt;20",IF(E4125&lt;25,"20-&lt;25",IF(E4125&lt;35,"25-&lt;35","35+")))))</x:f>
        <x:v>&lt;10</x:v>
      </x:c>
    </x:row>
    <x:row r="4126">
      <x:c r="A4126" t="str">
        <x:v>SYN0004125</x:v>
      </x:c>
      <x:c r="B4126" s="12" t="n">
        <x:v>42865</x:v>
      </x:c>
      <x:c r="C4126" s="18" t="n">
        <x:v>21280</x:v>
      </x:c>
      <x:c r="D4126" s="18" t="n">
        <x:v>67686</x:v>
      </x:c>
      <x:c r="E4126" s="18" t="n">
        <x:v>24.37</x:v>
      </x:c>
      <x:c r="F4126" s="18" t="n">
        <x:v>15.67</x:v>
      </x:c>
      <x:c r="G4126" t="n">
        <x:v>36</x:v>
      </x:c>
      <x:c r="H4126" t="str">
        <x:v>D</x:v>
      </x:c>
      <x:c r="I4126" t="str">
        <x:v>7-9 years</x:v>
      </x:c>
      <x:c r="J4126" t="str">
        <x:v>MORTGAGE</x:v>
      </x:c>
      <x:c r="K4126" t="str">
        <x:v>major_purchase</x:v>
      </x:c>
      <x:c r="L4126" t="n">
        <x:v>0</x:v>
      </x:c>
      <x:c r="M4126" t="n">
        <x:v>0</x:v>
      </x:c>
      <x:c r="N4126" t="str">
        <x:v>Fully Paid</x:v>
      </x:c>
      <x:c r="O4126" t="str">
        <x:f>IF(D4126="","Unknown",IF(D4126&lt;25000,"&lt;$25k",IF(D4126&lt;50000,"$25k-$50k",IF(D4126&lt;75000,"$50k-$75k",IF(D4126&lt;100000,"$75k-$100k","$100k+")))))</x:f>
        <x:v>$50k-$75k</x:v>
      </x:c>
      <x:c r="P4126" t="str">
        <x:f>IF(E4126="","Unknown",IF(E4126&lt;10,"&lt;10",IF(E4126&lt;20,"10-&lt;20",IF(E4126&lt;25,"20-&lt;25",IF(E4126&lt;35,"25-&lt;35","35+")))))</x:f>
        <x:v>20-&lt;25</x:v>
      </x:c>
    </x:row>
    <x:row r="4127">
      <x:c r="A4127" t="str">
        <x:v>SYN0004126</x:v>
      </x:c>
      <x:c r="B4127" s="12" t="n">
        <x:v>42955</x:v>
      </x:c>
      <x:c r="C4127" s="18" t="n">
        <x:v>21210</x:v>
      </x:c>
      <x:c r="D4127" s="18" t="n">
        <x:v>134294</x:v>
      </x:c>
      <x:c r="E4127" s="18" t="n">
        <x:v>15.18</x:v>
      </x:c>
      <x:c r="F4127" s="18" t="n">
        <x:v>13.96</x:v>
      </x:c>
      <x:c r="G4127" t="n">
        <x:v>60</x:v>
      </x:c>
      <x:c r="H4127" t="str">
        <x:v>E</x:v>
      </x:c>
      <x:c r="I4127" t="str">
        <x:v>7-9 years</x:v>
      </x:c>
      <x:c r="J4127" t="str">
        <x:v>RENT</x:v>
      </x:c>
      <x:c r="K4127" t="str">
        <x:v>debt_consolidation</x:v>
      </x:c>
      <x:c r="L4127" t="n">
        <x:v>0</x:v>
      </x:c>
      <x:c r="M4127" t="n">
        <x:v>0</x:v>
      </x:c>
      <x:c r="N4127" t="str">
        <x:v>Fully Paid</x:v>
      </x:c>
      <x:c r="O4127" t="str">
        <x:f>IF(D4127="","Unknown",IF(D4127&lt;25000,"&lt;$25k",IF(D4127&lt;50000,"$25k-$50k",IF(D4127&lt;75000,"$50k-$75k",IF(D4127&lt;100000,"$75k-$100k","$100k+")))))</x:f>
        <x:v>$100k+</x:v>
      </x:c>
      <x:c r="P4127" t="str">
        <x:f>IF(E4127="","Unknown",IF(E4127&lt;10,"&lt;10",IF(E4127&lt;20,"10-&lt;20",IF(E4127&lt;25,"20-&lt;25",IF(E4127&lt;35,"25-&lt;35","35+")))))</x:f>
        <x:v>10-&lt;20</x:v>
      </x:c>
    </x:row>
    <x:row r="4128">
      <x:c r="A4128" t="str">
        <x:v>SYN0004127</x:v>
      </x:c>
      <x:c r="B4128" s="12" t="n">
        <x:v>41665</x:v>
      </x:c>
      <x:c r="C4128" s="18" t="n">
        <x:v>33750</x:v>
      </x:c>
      <x:c r="D4128" s="18" t="n">
        <x:v>37994</x:v>
      </x:c>
      <x:c r="E4128" s="18" t="n">
        <x:v>25.2</x:v>
      </x:c>
      <x:c r="F4128" s="18" t="n">
        <x:v>21.54</x:v>
      </x:c>
      <x:c r="G4128" t="n">
        <x:v>60</x:v>
      </x:c>
      <x:c r="H4128" t="str">
        <x:v>E</x:v>
      </x:c>
      <x:c r="I4128" t="str">
        <x:v>4-6 years</x:v>
      </x:c>
      <x:c r="J4128" t="str">
        <x:v>MORTGAGE</x:v>
      </x:c>
      <x:c r="K4128" t="str">
        <x:v>home_improvement</x:v>
      </x:c>
      <x:c r="L4128" t="n">
        <x:v>2</x:v>
      </x:c>
      <x:c r="M4128" t="n">
        <x:v>1</x:v>
      </x:c>
      <x:c r="N4128" t="str">
        <x:v>Charged Off</x:v>
      </x:c>
      <x:c r="O4128" t="str">
        <x:f>IF(D4128="","Unknown",IF(D4128&lt;25000,"&lt;$25k",IF(D4128&lt;50000,"$25k-$50k",IF(D4128&lt;75000,"$50k-$75k",IF(D4128&lt;100000,"$75k-$100k","$100k+")))))</x:f>
        <x:v>$25k-$50k</x:v>
      </x:c>
      <x:c r="P4128" t="str">
        <x:f>IF(E4128="","Unknown",IF(E4128&lt;10,"&lt;10",IF(E4128&lt;20,"10-&lt;20",IF(E4128&lt;25,"20-&lt;25",IF(E4128&lt;35,"25-&lt;35","35+")))))</x:f>
        <x:v>25-&lt;35</x:v>
      </x:c>
    </x:row>
    <x:row r="4129">
      <x:c r="A4129" t="str">
        <x:v>SYN0004128</x:v>
      </x:c>
      <x:c r="B4129" s="12" t="n">
        <x:v>42685</x:v>
      </x:c>
      <x:c r="C4129" s="18" t="n">
        <x:v>10691</x:v>
      </x:c>
      <x:c r="D4129" s="18" t="n">
        <x:v>41909</x:v>
      </x:c>
      <x:c r="E4129" s="18" t="n">
        <x:v>29.12</x:v>
      </x:c>
      <x:c r="F4129" s="18" t="n">
        <x:v>15.82</x:v>
      </x:c>
      <x:c r="G4129" t="n">
        <x:v>60</x:v>
      </x:c>
      <x:c r="H4129" t="str">
        <x:v>E</x:v>
      </x:c>
      <x:c r="I4129" t="str">
        <x:v>7-9 years</x:v>
      </x:c>
      <x:c r="J4129" t="str">
        <x:v>RENT</x:v>
      </x:c>
      <x:c r="K4129" t="str">
        <x:v>debt_consolidation</x:v>
      </x:c>
      <x:c r="L4129" t="n">
        <x:v>1</x:v>
      </x:c>
      <x:c r="M4129" t="n">
        <x:v>1</x:v>
      </x:c>
      <x:c r="N4129" t="str">
        <x:v>Charged Off</x:v>
      </x:c>
      <x:c r="O4129" t="str">
        <x:f>IF(D4129="","Unknown",IF(D4129&lt;25000,"&lt;$25k",IF(D4129&lt;50000,"$25k-$50k",IF(D4129&lt;75000,"$50k-$75k",IF(D4129&lt;100000,"$75k-$100k","$100k+")))))</x:f>
        <x:v>$25k-$50k</x:v>
      </x:c>
      <x:c r="P4129" t="str">
        <x:f>IF(E4129="","Unknown",IF(E4129&lt;10,"&lt;10",IF(E4129&lt;20,"10-&lt;20",IF(E4129&lt;25,"20-&lt;25",IF(E4129&lt;35,"25-&lt;35","35+")))))</x:f>
        <x:v>25-&lt;35</x:v>
      </x:c>
    </x:row>
    <x:row r="4130">
      <x:c r="A4130" t="str">
        <x:v>SYN0004129</x:v>
      </x:c>
      <x:c r="B4130" s="12" t="n">
        <x:v>42535</x:v>
      </x:c>
      <x:c r="C4130" s="18" t="n">
        <x:v>23386</x:v>
      </x:c>
      <x:c r="D4130" s="18" t="n">
        <x:v>115837</x:v>
      </x:c>
      <x:c r="E4130" s="18" t="n">
        <x:v>15.86</x:v>
      </x:c>
      <x:c r="F4130" s="18" t="n">
        <x:v>23.08</x:v>
      </x:c>
      <x:c r="G4130" t="n">
        <x:v>36</x:v>
      </x:c>
      <x:c r="H4130" t="str">
        <x:v>F</x:v>
      </x:c>
      <x:c r="I4130" t="str">
        <x:v>1-3 years</x:v>
      </x:c>
      <x:c r="J4130" t="str">
        <x:v>RENT</x:v>
      </x:c>
      <x:c r="K4130" t="str">
        <x:v>debt_consolidation</x:v>
      </x:c>
      <x:c r="L4130" t="n">
        <x:v>0</x:v>
      </x:c>
      <x:c r="M4130" t="n">
        <x:v>0</x:v>
      </x:c>
      <x:c r="N4130" t="str">
        <x:v>Fully Paid</x:v>
      </x:c>
      <x:c r="O4130" t="str">
        <x:f>IF(D4130="","Unknown",IF(D4130&lt;25000,"&lt;$25k",IF(D4130&lt;50000,"$25k-$50k",IF(D4130&lt;75000,"$50k-$75k",IF(D4130&lt;100000,"$75k-$100k","$100k+")))))</x:f>
        <x:v>$100k+</x:v>
      </x:c>
      <x:c r="P4130" t="str">
        <x:f>IF(E4130="","Unknown",IF(E4130&lt;10,"&lt;10",IF(E4130&lt;20,"10-&lt;20",IF(E4130&lt;25,"20-&lt;25",IF(E4130&lt;35,"25-&lt;35","35+")))))</x:f>
        <x:v>10-&lt;20</x:v>
      </x:c>
    </x:row>
    <x:row r="4131">
      <x:c r="A4131" t="str">
        <x:v>SYN0004130</x:v>
      </x:c>
      <x:c r="B4131" s="12" t="n">
        <x:v>42235</x:v>
      </x:c>
      <x:c r="C4131" s="18" t="n">
        <x:v>31963</x:v>
      </x:c>
      <x:c r="D4131" s="18" t="n">
        <x:v>71342</x:v>
      </x:c>
      <x:c r="E4131" s="18" t="n">
        <x:v>33.97</x:v>
      </x:c>
      <x:c r="F4131" s="18" t="n">
        <x:v>15.36</x:v>
      </x:c>
      <x:c r="G4131" t="n">
        <x:v>36</x:v>
      </x:c>
      <x:c r="H4131" t="str">
        <x:v>D</x:v>
      </x:c>
      <x:c r="I4131" t="str">
        <x:v>10+ years</x:v>
      </x:c>
      <x:c r="J4131" t="str">
        <x:v>MORTGAGE</x:v>
      </x:c>
      <x:c r="K4131" t="str">
        <x:v>credit_card</x:v>
      </x:c>
      <x:c r="L4131" t="n">
        <x:v>1</x:v>
      </x:c>
      <x:c r="M4131" t="n">
        <x:v>0</x:v>
      </x:c>
      <x:c r="N4131" t="str">
        <x:v>Fully Paid</x:v>
      </x:c>
      <x:c r="O4131" t="str">
        <x:f>IF(D4131="","Unknown",IF(D4131&lt;25000,"&lt;$25k",IF(D4131&lt;50000,"$25k-$50k",IF(D4131&lt;75000,"$50k-$75k",IF(D4131&lt;100000,"$75k-$100k","$100k+")))))</x:f>
        <x:v>$50k-$75k</x:v>
      </x:c>
      <x:c r="P4131" t="str">
        <x:f>IF(E4131="","Unknown",IF(E4131&lt;10,"&lt;10",IF(E4131&lt;20,"10-&lt;20",IF(E4131&lt;25,"20-&lt;25",IF(E4131&lt;35,"25-&lt;35","35+")))))</x:f>
        <x:v>25-&lt;35</x:v>
      </x:c>
    </x:row>
    <x:row r="4132">
      <x:c r="A4132" t="str">
        <x:v>SYN0004131</x:v>
      </x:c>
      <x:c r="B4132" s="12" t="n">
        <x:v>42295</x:v>
      </x:c>
      <x:c r="C4132" s="18" t="n">
        <x:v>15170</x:v>
      </x:c>
      <x:c r="D4132" s="18" t="n">
        <x:v>24693</x:v>
      </x:c>
      <x:c r="E4132" s="18" t="n">
        <x:v>27.46</x:v>
      </x:c>
      <x:c r="F4132" s="18" t="n">
        <x:v>8.3</x:v>
      </x:c>
      <x:c r="G4132" t="n">
        <x:v>36</x:v>
      </x:c>
      <x:c r="H4132" t="str">
        <x:v>B</x:v>
      </x:c>
      <x:c r="I4132" t="str">
        <x:v>10+ years</x:v>
      </x:c>
      <x:c r="J4132" t="str">
        <x:v>MORTGAGE</x:v>
      </x:c>
      <x:c r="K4132" t="str">
        <x:v>debt_consolidation</x:v>
      </x:c>
      <x:c r="L4132" t="n">
        <x:v>0</x:v>
      </x:c>
      <x:c r="M4132" t="n">
        <x:v>0</x:v>
      </x:c>
      <x:c r="N4132" t="str">
        <x:v>Fully Paid</x:v>
      </x:c>
      <x:c r="O4132" t="str">
        <x:f>IF(D4132="","Unknown",IF(D4132&lt;25000,"&lt;$25k",IF(D4132&lt;50000,"$25k-$50k",IF(D4132&lt;75000,"$50k-$75k",IF(D4132&lt;100000,"$75k-$100k","$100k+")))))</x:f>
        <x:v>&lt;$25k</x:v>
      </x:c>
      <x:c r="P4132" t="str">
        <x:f>IF(E4132="","Unknown",IF(E4132&lt;10,"&lt;10",IF(E4132&lt;20,"10-&lt;20",IF(E4132&lt;25,"20-&lt;25",IF(E4132&lt;35,"25-&lt;35","35+")))))</x:f>
        <x:v>25-&lt;35</x:v>
      </x:c>
    </x:row>
    <x:row r="4133">
      <x:c r="A4133" t="str">
        <x:v>SYN0004132</x:v>
      </x:c>
      <x:c r="B4133" s="12" t="n">
        <x:v>43285</x:v>
      </x:c>
      <x:c r="C4133" s="18" t="n">
        <x:v>22225</x:v>
      </x:c>
      <x:c r="D4133" s="18" t="n">
        <x:v>56137</x:v>
      </x:c>
      <x:c r="E4133" s="18" t="n">
        <x:v>27.1</x:v>
      </x:c>
      <x:c r="F4133" s="18" t="n">
        <x:v>16.95</x:v>
      </x:c>
      <x:c r="G4133" t="n">
        <x:v>36</x:v>
      </x:c>
      <x:c r="H4133" t="str">
        <x:v>E</x:v>
      </x:c>
      <x:c r="I4133" t="str">
        <x:v>7-9 years</x:v>
      </x:c>
      <x:c r="J4133" t="str">
        <x:v>OWN</x:v>
      </x:c>
      <x:c r="K4133" t="str">
        <x:v>other</x:v>
      </x:c>
      <x:c r="L4133" t="n">
        <x:v>0</x:v>
      </x:c>
      <x:c r="M4133" t="n">
        <x:v>0</x:v>
      </x:c>
      <x:c r="N4133" t="str">
        <x:v>Fully Paid</x:v>
      </x:c>
      <x:c r="O4133" t="str">
        <x:f>IF(D4133="","Unknown",IF(D4133&lt;25000,"&lt;$25k",IF(D4133&lt;50000,"$25k-$50k",IF(D4133&lt;75000,"$50k-$75k",IF(D4133&lt;100000,"$75k-$100k","$100k+")))))</x:f>
        <x:v>$50k-$75k</x:v>
      </x:c>
      <x:c r="P4133" t="str">
        <x:f>IF(E4133="","Unknown",IF(E4133&lt;10,"&lt;10",IF(E4133&lt;20,"10-&lt;20",IF(E4133&lt;25,"20-&lt;25",IF(E4133&lt;35,"25-&lt;35","35+")))))</x:f>
        <x:v>25-&lt;35</x:v>
      </x:c>
    </x:row>
    <x:row r="4134">
      <x:c r="A4134" t="str">
        <x:v>SYN0004133</x:v>
      </x:c>
      <x:c r="B4134" s="12" t="n">
        <x:v>42955</x:v>
      </x:c>
      <x:c r="C4134" s="18" t="n">
        <x:v>13721</x:v>
      </x:c>
      <x:c r="D4134" s="18" t="n">
        <x:v>74127</x:v>
      </x:c>
      <x:c r="E4134" s="18" t="n">
        <x:v>34.21</x:v>
      </x:c>
      <x:c r="F4134" s="18" t="n">
        <x:v>22.9</x:v>
      </x:c>
      <x:c r="G4134" t="n">
        <x:v>36</x:v>
      </x:c>
      <x:c r="H4134" t="str">
        <x:v>F</x:v>
      </x:c>
      <x:c r="I4134" t="str">
        <x:v>7-9 years</x:v>
      </x:c>
      <x:c r="J4134" t="str">
        <x:v>MORTGAGE</x:v>
      </x:c>
      <x:c r="K4134" t="str">
        <x:v>debt_consolidation</x:v>
      </x:c>
      <x:c r="L4134" t="n">
        <x:v>1</x:v>
      </x:c>
      <x:c r="M4134" t="n">
        <x:v>0</x:v>
      </x:c>
      <x:c r="N4134" t="str">
        <x:v>Fully Paid</x:v>
      </x:c>
      <x:c r="O4134" t="str">
        <x:f>IF(D4134="","Unknown",IF(D4134&lt;25000,"&lt;$25k",IF(D4134&lt;50000,"$25k-$50k",IF(D4134&lt;75000,"$50k-$75k",IF(D4134&lt;100000,"$75k-$100k","$100k+")))))</x:f>
        <x:v>$50k-$75k</x:v>
      </x:c>
      <x:c r="P4134" t="str">
        <x:f>IF(E4134="","Unknown",IF(E4134&lt;10,"&lt;10",IF(E4134&lt;20,"10-&lt;20",IF(E4134&lt;25,"20-&lt;25",IF(E4134&lt;35,"25-&lt;35","35+")))))</x:f>
        <x:v>25-&lt;35</x:v>
      </x:c>
    </x:row>
    <x:row r="4135">
      <x:c r="A4135" t="str">
        <x:v>SYN0004134</x:v>
      </x:c>
      <x:c r="B4135" s="12" t="n">
        <x:v>41335</x:v>
      </x:c>
      <x:c r="C4135" s="18" t="n">
        <x:v>7191</x:v>
      </x:c>
      <x:c r="D4135" s="18" t="n">
        <x:v>85496</x:v>
      </x:c>
      <x:c r="E4135" s="18" t="n">
        <x:v>17.65</x:v>
      </x:c>
      <x:c r="F4135" s="18" t="n">
        <x:v>11.51</x:v>
      </x:c>
      <x:c r="G4135" t="n">
        <x:v>36</x:v>
      </x:c>
      <x:c r="H4135" t="str">
        <x:v>C</x:v>
      </x:c>
      <x:c r="I4135" t="str">
        <x:v>4-6 years</x:v>
      </x:c>
      <x:c r="J4135" t="str">
        <x:v>MORTGAGE</x:v>
      </x:c>
      <x:c r="K4135" t="str">
        <x:v>debt_consolidation</x:v>
      </x:c>
      <x:c r="L4135" t="n">
        <x:v>0</x:v>
      </x:c>
      <x:c r="M4135" t="n">
        <x:v>0</x:v>
      </x:c>
      <x:c r="N4135" t="str">
        <x:v>Fully Paid</x:v>
      </x:c>
      <x:c r="O4135" t="str">
        <x:f>IF(D4135="","Unknown",IF(D4135&lt;25000,"&lt;$25k",IF(D4135&lt;50000,"$25k-$50k",IF(D4135&lt;75000,"$50k-$75k",IF(D4135&lt;100000,"$75k-$100k","$100k+")))))</x:f>
        <x:v>$75k-$100k</x:v>
      </x:c>
      <x:c r="P4135" t="str">
        <x:f>IF(E4135="","Unknown",IF(E4135&lt;10,"&lt;10",IF(E4135&lt;20,"10-&lt;20",IF(E4135&lt;25,"20-&lt;25",IF(E4135&lt;35,"25-&lt;35","35+")))))</x:f>
        <x:v>10-&lt;20</x:v>
      </x:c>
    </x:row>
    <x:row r="4136">
      <x:c r="A4136" t="str">
        <x:v>SYN0004135</x:v>
      </x:c>
      <x:c r="B4136" s="12" t="n">
        <x:v>41485</x:v>
      </x:c>
      <x:c r="C4136" s="18" t="n">
        <x:v>15142</x:v>
      </x:c>
      <x:c r="D4136" s="18" t="n">
        <x:v>29742</x:v>
      </x:c>
      <x:c r="E4136" s="18" t="n">
        <x:v>18.75</x:v>
      </x:c>
      <x:c r="F4136" s="18" t="n">
        <x:v>12.11</x:v>
      </x:c>
      <x:c r="G4136" t="n">
        <x:v>36</x:v>
      </x:c>
      <x:c r="H4136" t="str">
        <x:v>C</x:v>
      </x:c>
      <x:c r="I4136" t="str">
        <x:v>1-3 years</x:v>
      </x:c>
      <x:c r="J4136" t="str">
        <x:v>MORTGAGE</x:v>
      </x:c>
      <x:c r="K4136" t="str">
        <x:v>debt_consolidation</x:v>
      </x:c>
      <x:c r="L4136" t="n">
        <x:v>1</x:v>
      </x:c>
      <x:c r="M4136" t="n">
        <x:v>1</x:v>
      </x:c>
      <x:c r="N4136" t="str">
        <x:v>Charged Off</x:v>
      </x:c>
      <x:c r="O4136" t="str">
        <x:f>IF(D4136="","Unknown",IF(D4136&lt;25000,"&lt;$25k",IF(D4136&lt;50000,"$25k-$50k",IF(D4136&lt;75000,"$50k-$75k",IF(D4136&lt;100000,"$75k-$100k","$100k+")))))</x:f>
        <x:v>$25k-$50k</x:v>
      </x:c>
      <x:c r="P4136" t="str">
        <x:f>IF(E4136="","Unknown",IF(E4136&lt;10,"&lt;10",IF(E4136&lt;20,"10-&lt;20",IF(E4136&lt;25,"20-&lt;25",IF(E4136&lt;35,"25-&lt;35","35+")))))</x:f>
        <x:v>10-&lt;20</x:v>
      </x:c>
    </x:row>
    <x:row r="4137">
      <x:c r="A4137" t="str">
        <x:v>SYN0004136</x:v>
      </x:c>
      <x:c r="B4137" s="12" t="n">
        <x:v>43165</x:v>
      </x:c>
      <x:c r="C4137" s="18" t="n">
        <x:v>8219</x:v>
      </x:c>
      <x:c r="D4137" s="18" t="n">
        <x:v>14740</x:v>
      </x:c>
      <x:c r="E4137" s="18" t="n">
        <x:v>26.67</x:v>
      </x:c>
      <x:c r="F4137" s="18" t="n">
        <x:v>8.77</x:v>
      </x:c>
      <x:c r="G4137" t="n">
        <x:v>36</x:v>
      </x:c>
      <x:c r="H4137" t="str">
        <x:v>C</x:v>
      </x:c>
      <x:c r="I4137" t="str">
        <x:v>&lt;1 year</x:v>
      </x:c>
      <x:c r="J4137" t="str">
        <x:v>RENT</x:v>
      </x:c>
      <x:c r="K4137" t="str">
        <x:v>home_improvement</x:v>
      </x:c>
      <x:c r="L4137" t="n">
        <x:v>0</x:v>
      </x:c>
      <x:c r="M4137" t="n">
        <x:v>0</x:v>
      </x:c>
      <x:c r="N4137" t="str">
        <x:v>Fully Paid</x:v>
      </x:c>
      <x:c r="O4137" t="str">
        <x:f>IF(D4137="","Unknown",IF(D4137&lt;25000,"&lt;$25k",IF(D4137&lt;50000,"$25k-$50k",IF(D4137&lt;75000,"$50k-$75k",IF(D4137&lt;100000,"$75k-$100k","$100k+")))))</x:f>
        <x:v>&lt;$25k</x:v>
      </x:c>
      <x:c r="P4137" t="str">
        <x:f>IF(E4137="","Unknown",IF(E4137&lt;10,"&lt;10",IF(E4137&lt;20,"10-&lt;20",IF(E4137&lt;25,"20-&lt;25",IF(E4137&lt;35,"25-&lt;35","35+")))))</x:f>
        <x:v>25-&lt;35</x:v>
      </x:c>
    </x:row>
    <x:row r="4138">
      <x:c r="A4138" t="str">
        <x:v>SYN0004137</x:v>
      </x:c>
      <x:c r="B4138" s="12" t="n">
        <x:v>43165</x:v>
      </x:c>
      <x:c r="C4138" s="18" t="n">
        <x:v>12081</x:v>
      </x:c>
      <x:c r="D4138" s="18" t="n">
        <x:v>113755</x:v>
      </x:c>
      <x:c r="E4138" s="18" t="n">
        <x:v>26.29</x:v>
      </x:c>
      <x:c r="F4138" s="18" t="n">
        <x:v>8.53</x:v>
      </x:c>
      <x:c r="G4138" t="n">
        <x:v>36</x:v>
      </x:c>
      <x:c r="H4138" t="str">
        <x:v>B</x:v>
      </x:c>
      <x:c r="I4138" t="str">
        <x:v>4-6 years</x:v>
      </x:c>
      <x:c r="J4138" t="str">
        <x:v>MORTGAGE</x:v>
      </x:c>
      <x:c r="K4138" t="str">
        <x:v>medical</x:v>
      </x:c>
      <x:c r="L4138" t="n">
        <x:v>1</x:v>
      </x:c>
      <x:c r="M4138" t="n">
        <x:v>0</x:v>
      </x:c>
      <x:c r="N4138" t="str">
        <x:v>Fully Paid</x:v>
      </x:c>
      <x:c r="O4138" t="str">
        <x:f>IF(D4138="","Unknown",IF(D4138&lt;25000,"&lt;$25k",IF(D4138&lt;50000,"$25k-$50k",IF(D4138&lt;75000,"$50k-$75k",IF(D4138&lt;100000,"$75k-$100k","$100k+")))))</x:f>
        <x:v>$100k+</x:v>
      </x:c>
      <x:c r="P4138" t="str">
        <x:f>IF(E4138="","Unknown",IF(E4138&lt;10,"&lt;10",IF(E4138&lt;20,"10-&lt;20",IF(E4138&lt;25,"20-&lt;25",IF(E4138&lt;35,"25-&lt;35","35+")))))</x:f>
        <x:v>25-&lt;35</x:v>
      </x:c>
    </x:row>
    <x:row r="4139">
      <x:c r="A4139" t="str">
        <x:v>SYN0004138</x:v>
      </x:c>
      <x:c r="B4139" s="12" t="n">
        <x:v>42625</x:v>
      </x:c>
      <x:c r="C4139" s="18" t="n">
        <x:v>8237</x:v>
      </x:c>
      <x:c r="D4139" s="18" t="n">
        <x:v>23334</x:v>
      </x:c>
      <x:c r="E4139" s="18" t="n">
        <x:v>15.07</x:v>
      </x:c>
      <x:c r="F4139" s="18" t="n">
        <x:v>9.21</x:v>
      </x:c>
      <x:c r="G4139" t="n">
        <x:v>36</x:v>
      </x:c>
      <x:c r="H4139" t="str">
        <x:v>C</x:v>
      </x:c>
      <x:c r="I4139" t="str">
        <x:v>4-6 years</x:v>
      </x:c>
      <x:c r="J4139" t="str">
        <x:v>MORTGAGE</x:v>
      </x:c>
      <x:c r="K4139" t="str">
        <x:v>major_purchase</x:v>
      </x:c>
      <x:c r="L4139" t="n">
        <x:v>2</x:v>
      </x:c>
      <x:c r="M4139" t="n">
        <x:v>0</x:v>
      </x:c>
      <x:c r="N4139" t="str">
        <x:v>Fully Paid</x:v>
      </x:c>
      <x:c r="O4139" t="str">
        <x:f>IF(D4139="","Unknown",IF(D4139&lt;25000,"&lt;$25k",IF(D4139&lt;50000,"$25k-$50k",IF(D4139&lt;75000,"$50k-$75k",IF(D4139&lt;100000,"$75k-$100k","$100k+")))))</x:f>
        <x:v>&lt;$25k</x:v>
      </x:c>
      <x:c r="P4139" t="str">
        <x:f>IF(E4139="","Unknown",IF(E4139&lt;10,"&lt;10",IF(E4139&lt;20,"10-&lt;20",IF(E4139&lt;25,"20-&lt;25",IF(E4139&lt;35,"25-&lt;35","35+")))))</x:f>
        <x:v>10-&lt;20</x:v>
      </x:c>
    </x:row>
    <x:row r="4140">
      <x:c r="A4140" t="str">
        <x:v>SYN0004139</x:v>
      </x:c>
      <x:c r="B4140" s="12" t="n">
        <x:v>43045</x:v>
      </x:c>
      <x:c r="C4140" s="18" t="n">
        <x:v>9324</x:v>
      </x:c>
      <x:c r="D4140" s="18" t="n">
        <x:v>83541</x:v>
      </x:c>
      <x:c r="E4140" s="18" t="n">
        <x:v>18.21</x:v>
      </x:c>
      <x:c r="F4140" s="18" t="n">
        <x:v>5.01</x:v>
      </x:c>
      <x:c r="G4140" t="n">
        <x:v>60</x:v>
      </x:c>
      <x:c r="H4140" t="str">
        <x:v>A</x:v>
      </x:c>
      <x:c r="I4140" t="str">
        <x:v>4-6 years</x:v>
      </x:c>
      <x:c r="J4140" t="str">
        <x:v>MORTGAGE</x:v>
      </x:c>
      <x:c r="K4140" t="str">
        <x:v>medical</x:v>
      </x:c>
      <x:c r="L4140" t="n">
        <x:v>0</x:v>
      </x:c>
      <x:c r="M4140" t="n">
        <x:v>0</x:v>
      </x:c>
      <x:c r="N4140" t="str">
        <x:v>Fully Paid</x:v>
      </x:c>
      <x:c r="O4140" t="str">
        <x:f>IF(D4140="","Unknown",IF(D4140&lt;25000,"&lt;$25k",IF(D4140&lt;50000,"$25k-$50k",IF(D4140&lt;75000,"$50k-$75k",IF(D4140&lt;100000,"$75k-$100k","$100k+")))))</x:f>
        <x:v>$75k-$100k</x:v>
      </x:c>
      <x:c r="P4140" t="str">
        <x:f>IF(E4140="","Unknown",IF(E4140&lt;10,"&lt;10",IF(E4140&lt;20,"10-&lt;20",IF(E4140&lt;25,"20-&lt;25",IF(E4140&lt;35,"25-&lt;35","35+")))))</x:f>
        <x:v>10-&lt;20</x:v>
      </x:c>
    </x:row>
    <x:row r="4141">
      <x:c r="A4141" t="str">
        <x:v>SYN0004140</x:v>
      </x:c>
      <x:c r="B4141" s="12" t="n">
        <x:v>43075</x:v>
      </x:c>
      <x:c r="C4141" s="18" t="n">
        <x:v>20498</x:v>
      </x:c>
      <x:c r="D4141" s="18" t="n">
        <x:v>27594</x:v>
      </x:c>
      <x:c r="E4141" s="18" t="n">
        <x:v>21.89</x:v>
      </x:c>
      <x:c r="F4141" s="18" t="n">
        <x:v>7.7</x:v>
      </x:c>
      <x:c r="G4141" t="n">
        <x:v>36</x:v>
      </x:c>
      <x:c r="H4141" t="str">
        <x:v>C</x:v>
      </x:c>
      <x:c r="I4141" t="str">
        <x:v>7-9 years</x:v>
      </x:c>
      <x:c r="J4141" t="str">
        <x:v>RENT</x:v>
      </x:c>
      <x:c r="K4141" t="str">
        <x:v>debt_consolidation</x:v>
      </x:c>
      <x:c r="L4141" t="n">
        <x:v>0</x:v>
      </x:c>
      <x:c r="M4141" t="n">
        <x:v>0</x:v>
      </x:c>
      <x:c r="N4141" t="str">
        <x:v>Fully Paid</x:v>
      </x:c>
      <x:c r="O4141" t="str">
        <x:f>IF(D4141="","Unknown",IF(D4141&lt;25000,"&lt;$25k",IF(D4141&lt;50000,"$25k-$50k",IF(D4141&lt;75000,"$50k-$75k",IF(D4141&lt;100000,"$75k-$100k","$100k+")))))</x:f>
        <x:v>$25k-$50k</x:v>
      </x:c>
      <x:c r="P4141" t="str">
        <x:f>IF(E4141="","Unknown",IF(E4141&lt;10,"&lt;10",IF(E4141&lt;20,"10-&lt;20",IF(E4141&lt;25,"20-&lt;25",IF(E4141&lt;35,"25-&lt;35","35+")))))</x:f>
        <x:v>20-&lt;25</x:v>
      </x:c>
    </x:row>
    <x:row r="4142">
      <x:c r="A4142" t="str">
        <x:v>SYN0004141</x:v>
      </x:c>
      <x:c r="B4142" s="12" t="n">
        <x:v>42235</x:v>
      </x:c>
      <x:c r="C4142" s="18" t="n">
        <x:v>26638</x:v>
      </x:c>
      <x:c r="D4142" s="18" t="n">
        <x:v>132715</x:v>
      </x:c>
      <x:c r="E4142" s="18" t="n">
        <x:v>20.15</x:v>
      </x:c>
      <x:c r="F4142" s="18" t="n">
        <x:v>19.66</x:v>
      </x:c>
      <x:c r="G4142" t="n">
        <x:v>36</x:v>
      </x:c>
      <x:c r="H4142" t="str">
        <x:v>F</x:v>
      </x:c>
      <x:c r="I4142" t="str">
        <x:v>10+ years</x:v>
      </x:c>
      <x:c r="J4142" t="str">
        <x:v>RENT</x:v>
      </x:c>
      <x:c r="K4142" t="str">
        <x:v>debt_consolidation</x:v>
      </x:c>
      <x:c r="L4142" t="n">
        <x:v>0</x:v>
      </x:c>
      <x:c r="M4142" t="n">
        <x:v>0</x:v>
      </x:c>
      <x:c r="N4142" t="str">
        <x:v>Fully Paid</x:v>
      </x:c>
      <x:c r="O4142" t="str">
        <x:f>IF(D4142="","Unknown",IF(D4142&lt;25000,"&lt;$25k",IF(D4142&lt;50000,"$25k-$50k",IF(D4142&lt;75000,"$50k-$75k",IF(D4142&lt;100000,"$75k-$100k","$100k+")))))</x:f>
        <x:v>$100k+</x:v>
      </x:c>
      <x:c r="P4142" t="str">
        <x:f>IF(E4142="","Unknown",IF(E4142&lt;10,"&lt;10",IF(E4142&lt;20,"10-&lt;20",IF(E4142&lt;25,"20-&lt;25",IF(E4142&lt;35,"25-&lt;35","35+")))))</x:f>
        <x:v>20-&lt;25</x:v>
      </x:c>
    </x:row>
    <x:row r="4143">
      <x:c r="A4143" t="str">
        <x:v>SYN0004142</x:v>
      </x:c>
      <x:c r="B4143" s="12" t="n">
        <x:v>43285</x:v>
      </x:c>
      <x:c r="C4143" s="18" t="n">
        <x:v>37613</x:v>
      </x:c>
      <x:c r="D4143" s="18" t="n">
        <x:v>78576</x:v>
      </x:c>
      <x:c r="E4143" s="18" t="n">
        <x:v>33.86</x:v>
      </x:c>
      <x:c r="F4143" s="18" t="n">
        <x:v>6.76</x:v>
      </x:c>
      <x:c r="G4143" t="n">
        <x:v>36</x:v>
      </x:c>
      <x:c r="H4143" t="str">
        <x:v>B</x:v>
      </x:c>
      <x:c r="I4143" t="str">
        <x:v>1-3 years</x:v>
      </x:c>
      <x:c r="J4143" t="str">
        <x:v>OWN</x:v>
      </x:c>
      <x:c r="K4143" t="str">
        <x:v>credit_card</x:v>
      </x:c>
      <x:c r="L4143" t="n">
        <x:v>0</x:v>
      </x:c>
      <x:c r="M4143" t="n">
        <x:v>0</x:v>
      </x:c>
      <x:c r="N4143" t="str">
        <x:v>Fully Paid</x:v>
      </x:c>
      <x:c r="O4143" t="str">
        <x:f>IF(D4143="","Unknown",IF(D4143&lt;25000,"&lt;$25k",IF(D4143&lt;50000,"$25k-$50k",IF(D4143&lt;75000,"$50k-$75k",IF(D4143&lt;100000,"$75k-$100k","$100k+")))))</x:f>
        <x:v>$75k-$100k</x:v>
      </x:c>
      <x:c r="P4143" t="str">
        <x:f>IF(E4143="","Unknown",IF(E4143&lt;10,"&lt;10",IF(E4143&lt;20,"10-&lt;20",IF(E4143&lt;25,"20-&lt;25",IF(E4143&lt;35,"25-&lt;35","35+")))))</x:f>
        <x:v>25-&lt;35</x:v>
      </x:c>
    </x:row>
    <x:row r="4144">
      <x:c r="A4144" t="str">
        <x:v>SYN0004143</x:v>
      </x:c>
      <x:c r="B4144" s="12" t="n">
        <x:v>41275</x:v>
      </x:c>
      <x:c r="C4144" s="18" t="n">
        <x:v>10312</x:v>
      </x:c>
      <x:c r="D4144" s="18" t="n">
        <x:v>78938</x:v>
      </x:c>
      <x:c r="E4144" s="18" t="n">
        <x:v>23.04</x:v>
      </x:c>
      <x:c r="F4144" s="18" t="n">
        <x:v>15.73</x:v>
      </x:c>
      <x:c r="G4144" t="n">
        <x:v>36</x:v>
      </x:c>
      <x:c r="H4144" t="str">
        <x:v>D</x:v>
      </x:c>
      <x:c r="I4144" t="str">
        <x:v>10+ years</x:v>
      </x:c>
      <x:c r="J4144" t="str">
        <x:v>OWN</x:v>
      </x:c>
      <x:c r="K4144" t="str">
        <x:v>debt_consolidation</x:v>
      </x:c>
      <x:c r="L4144" t="n">
        <x:v>0</x:v>
      </x:c>
      <x:c r="M4144" t="n">
        <x:v>0</x:v>
      </x:c>
      <x:c r="N4144" t="str">
        <x:v>Fully Paid</x:v>
      </x:c>
      <x:c r="O4144" t="str">
        <x:f>IF(D4144="","Unknown",IF(D4144&lt;25000,"&lt;$25k",IF(D4144&lt;50000,"$25k-$50k",IF(D4144&lt;75000,"$50k-$75k",IF(D4144&lt;100000,"$75k-$100k","$100k+")))))</x:f>
        <x:v>$75k-$100k</x:v>
      </x:c>
      <x:c r="P4144" t="str">
        <x:f>IF(E4144="","Unknown",IF(E4144&lt;10,"&lt;10",IF(E4144&lt;20,"10-&lt;20",IF(E4144&lt;25,"20-&lt;25",IF(E4144&lt;35,"25-&lt;35","35+")))))</x:f>
        <x:v>20-&lt;25</x:v>
      </x:c>
    </x:row>
    <x:row r="4145">
      <x:c r="A4145" t="str">
        <x:v>SYN0004144</x:v>
      </x:c>
      <x:c r="B4145" s="12" t="n">
        <x:v>41545</x:v>
      </x:c>
      <x:c r="C4145" s="18" t="n">
        <x:v>7452</x:v>
      </x:c>
      <x:c r="D4145" s="18" t="n">
        <x:v>32144</x:v>
      </x:c>
      <x:c r="E4145" s="18" t="n">
        <x:v>25.14</x:v>
      </x:c>
      <x:c r="F4145" s="18" t="n">
        <x:v>5.47</x:v>
      </x:c>
      <x:c r="G4145" t="n">
        <x:v>36</x:v>
      </x:c>
      <x:c r="H4145" t="str">
        <x:v>B</x:v>
      </x:c>
      <x:c r="I4145" t="str">
        <x:v>7-9 years</x:v>
      </x:c>
      <x:c r="J4145" t="str">
        <x:v>MORTGAGE</x:v>
      </x:c>
      <x:c r="K4145" t="str">
        <x:v>major_purchase</x:v>
      </x:c>
      <x:c r="L4145" t="n">
        <x:v>0</x:v>
      </x:c>
      <x:c r="M4145" t="n">
        <x:v>0</x:v>
      </x:c>
      <x:c r="N4145" t="str">
        <x:v>Fully Paid</x:v>
      </x:c>
      <x:c r="O4145" t="str">
        <x:f>IF(D4145="","Unknown",IF(D4145&lt;25000,"&lt;$25k",IF(D4145&lt;50000,"$25k-$50k",IF(D4145&lt;75000,"$50k-$75k",IF(D4145&lt;100000,"$75k-$100k","$100k+")))))</x:f>
        <x:v>$25k-$50k</x:v>
      </x:c>
      <x:c r="P4145" t="str">
        <x:f>IF(E4145="","Unknown",IF(E4145&lt;10,"&lt;10",IF(E4145&lt;20,"10-&lt;20",IF(E4145&lt;25,"20-&lt;25",IF(E4145&lt;35,"25-&lt;35","35+")))))</x:f>
        <x:v>25-&lt;35</x:v>
      </x:c>
    </x:row>
    <x:row r="4146">
      <x:c r="A4146" t="str">
        <x:v>SYN0004145</x:v>
      </x:c>
      <x:c r="B4146" s="12" t="n">
        <x:v>42175</x:v>
      </x:c>
      <x:c r="C4146" s="18" t="n">
        <x:v>22152</x:v>
      </x:c>
      <x:c r="D4146" s="18" t="n">
        <x:v>42476</x:v>
      </x:c>
      <x:c r="E4146" s="18" t="n">
        <x:v>18.83</x:v>
      </x:c>
      <x:c r="F4146" s="18" t="n">
        <x:v>28.38</x:v>
      </x:c>
      <x:c r="G4146" t="n">
        <x:v>36</x:v>
      </x:c>
      <x:c r="H4146" t="str">
        <x:v>G</x:v>
      </x:c>
      <x:c r="I4146" t="str">
        <x:v>&lt;1 year</x:v>
      </x:c>
      <x:c r="J4146" t="str">
        <x:v>MORTGAGE</x:v>
      </x:c>
      <x:c r="K4146" t="str">
        <x:v>major_purchase</x:v>
      </x:c>
      <x:c r="L4146" t="n">
        <x:v>0</x:v>
      </x:c>
      <x:c r="M4146" t="n">
        <x:v>0</x:v>
      </x:c>
      <x:c r="N4146" t="str">
        <x:v>Fully Paid</x:v>
      </x:c>
      <x:c r="O4146" t="str">
        <x:f>IF(D4146="","Unknown",IF(D4146&lt;25000,"&lt;$25k",IF(D4146&lt;50000,"$25k-$50k",IF(D4146&lt;75000,"$50k-$75k",IF(D4146&lt;100000,"$75k-$100k","$100k+")))))</x:f>
        <x:v>$25k-$50k</x:v>
      </x:c>
      <x:c r="P4146" t="str">
        <x:f>IF(E4146="","Unknown",IF(E4146&lt;10,"&lt;10",IF(E4146&lt;20,"10-&lt;20",IF(E4146&lt;25,"20-&lt;25",IF(E4146&lt;35,"25-&lt;35","35+")))))</x:f>
        <x:v>10-&lt;20</x:v>
      </x:c>
    </x:row>
    <x:row r="4147">
      <x:c r="A4147" t="str">
        <x:v>SYN0004146</x:v>
      </x:c>
      <x:c r="B4147" s="12" t="n">
        <x:v>43405</x:v>
      </x:c>
      <x:c r="C4147" s="18" t="n">
        <x:v>15001</x:v>
      </x:c>
      <x:c r="D4147" s="18" t="n">
        <x:v>55611</x:v>
      </x:c>
      <x:c r="E4147" s="18" t="n">
        <x:v>13.35</x:v>
      </x:c>
      <x:c r="F4147" s="18" t="n">
        <x:v>20.2</x:v>
      </x:c>
      <x:c r="G4147" t="n">
        <x:v>36</x:v>
      </x:c>
      <x:c r="H4147" t="str">
        <x:v>F</x:v>
      </x:c>
      <x:c r="I4147" t="str">
        <x:v>10+ years</x:v>
      </x:c>
      <x:c r="J4147" t="str">
        <x:v>MORTGAGE</x:v>
      </x:c>
      <x:c r="K4147" t="str">
        <x:v>home_improvement</x:v>
      </x:c>
      <x:c r="L4147" t="n">
        <x:v>0</x:v>
      </x:c>
      <x:c r="M4147" t="n">
        <x:v>0</x:v>
      </x:c>
      <x:c r="N4147" t="str">
        <x:v>Fully Paid</x:v>
      </x:c>
      <x:c r="O4147" t="str">
        <x:f>IF(D4147="","Unknown",IF(D4147&lt;25000,"&lt;$25k",IF(D4147&lt;50000,"$25k-$50k",IF(D4147&lt;75000,"$50k-$75k",IF(D4147&lt;100000,"$75k-$100k","$100k+")))))</x:f>
        <x:v>$50k-$75k</x:v>
      </x:c>
      <x:c r="P4147" t="str">
        <x:f>IF(E4147="","Unknown",IF(E4147&lt;10,"&lt;10",IF(E4147&lt;20,"10-&lt;20",IF(E4147&lt;25,"20-&lt;25",IF(E4147&lt;35,"25-&lt;35","35+")))))</x:f>
        <x:v>10-&lt;20</x:v>
      </x:c>
    </x:row>
    <x:row r="4148">
      <x:c r="A4148" t="str">
        <x:v>SYN0004147</x:v>
      </x:c>
      <x:c r="B4148" s="12" t="n">
        <x:v>42985</x:v>
      </x:c>
      <x:c r="C4148" s="18" t="n">
        <x:v>6124</x:v>
      </x:c>
      <x:c r="D4148" s="18" t="n">
        <x:v>39087</x:v>
      </x:c>
      <x:c r="E4148" s="18" t="n">
        <x:v>25.05</x:v>
      </x:c>
      <x:c r="F4148" s="18" t="n">
        <x:v>12.05</x:v>
      </x:c>
      <x:c r="G4148" t="n">
        <x:v>36</x:v>
      </x:c>
      <x:c r="H4148" t="str">
        <x:v>C</x:v>
      </x:c>
      <x:c r="I4148" t="str">
        <x:v>7-9 years</x:v>
      </x:c>
      <x:c r="J4148" t="str">
        <x:v>MORTGAGE</x:v>
      </x:c>
      <x:c r="K4148" t="str">
        <x:v>debt_consolidation</x:v>
      </x:c>
      <x:c r="L4148" t="n">
        <x:v>0</x:v>
      </x:c>
      <x:c r="M4148" t="n">
        <x:v>0</x:v>
      </x:c>
      <x:c r="N4148" t="str">
        <x:v>Fully Paid</x:v>
      </x:c>
      <x:c r="O4148" t="str">
        <x:f>IF(D4148="","Unknown",IF(D4148&lt;25000,"&lt;$25k",IF(D4148&lt;50000,"$25k-$50k",IF(D4148&lt;75000,"$50k-$75k",IF(D4148&lt;100000,"$75k-$100k","$100k+")))))</x:f>
        <x:v>$25k-$50k</x:v>
      </x:c>
      <x:c r="P4148" t="str">
        <x:f>IF(E4148="","Unknown",IF(E4148&lt;10,"&lt;10",IF(E4148&lt;20,"10-&lt;20",IF(E4148&lt;25,"20-&lt;25",IF(E4148&lt;35,"25-&lt;35","35+")))))</x:f>
        <x:v>25-&lt;35</x:v>
      </x:c>
    </x:row>
    <x:row r="4149">
      <x:c r="A4149" t="str">
        <x:v>SYN0004148</x:v>
      </x:c>
      <x:c r="B4149" s="12" t="n">
        <x:v>42835</x:v>
      </x:c>
      <x:c r="C4149" s="18" t="n">
        <x:v>11079</x:v>
      </x:c>
      <x:c r="D4149" s="18" t="n">
        <x:v>43139</x:v>
      </x:c>
      <x:c r="E4149" s="18" t="n">
        <x:v>11.58</x:v>
      </x:c>
      <x:c r="F4149" s="18" t="n">
        <x:v>8.65</x:v>
      </x:c>
      <x:c r="G4149" t="n">
        <x:v>36</x:v>
      </x:c>
      <x:c r="H4149" t="str">
        <x:v>A</x:v>
      </x:c>
      <x:c r="I4149" t="str">
        <x:v>&lt;1 year</x:v>
      </x:c>
      <x:c r="J4149" t="str">
        <x:v>MORTGAGE</x:v>
      </x:c>
      <x:c r="K4149" t="str">
        <x:v>major_purchase</x:v>
      </x:c>
      <x:c r="L4149" t="n">
        <x:v>0</x:v>
      </x:c>
      <x:c r="M4149" t="n">
        <x:v>0</x:v>
      </x:c>
      <x:c r="N4149" t="str">
        <x:v>Fully Paid</x:v>
      </x:c>
      <x:c r="O4149" t="str">
        <x:f>IF(D4149="","Unknown",IF(D4149&lt;25000,"&lt;$25k",IF(D4149&lt;50000,"$25k-$50k",IF(D4149&lt;75000,"$50k-$75k",IF(D4149&lt;100000,"$75k-$100k","$100k+")))))</x:f>
        <x:v>$25k-$50k</x:v>
      </x:c>
      <x:c r="P4149" t="str">
        <x:f>IF(E4149="","Unknown",IF(E4149&lt;10,"&lt;10",IF(E4149&lt;20,"10-&lt;20",IF(E4149&lt;25,"20-&lt;25",IF(E4149&lt;35,"25-&lt;35","35+")))))</x:f>
        <x:v>10-&lt;20</x:v>
      </x:c>
    </x:row>
    <x:row r="4150">
      <x:c r="A4150" t="str">
        <x:v>SYN0004149</x:v>
      </x:c>
      <x:c r="B4150" s="12" t="n">
        <x:v>41695</x:v>
      </x:c>
      <x:c r="C4150" s="18" t="n">
        <x:v>7716</x:v>
      </x:c>
      <x:c r="D4150" s="18" t="n">
        <x:v>34540</x:v>
      </x:c>
      <x:c r="E4150" s="18" t="n">
        <x:v>14.24</x:v>
      </x:c>
      <x:c r="F4150" s="18" t="n">
        <x:v>12.98</x:v>
      </x:c>
      <x:c r="G4150" t="n">
        <x:v>36</x:v>
      </x:c>
      <x:c r="H4150" t="str">
        <x:v>C</x:v>
      </x:c>
      <x:c r="I4150" t="str">
        <x:v>10+ years</x:v>
      </x:c>
      <x:c r="J4150" t="str">
        <x:v>MORTGAGE</x:v>
      </x:c>
      <x:c r="K4150" t="str">
        <x:v>credit_card</x:v>
      </x:c>
      <x:c r="L4150" t="n">
        <x:v>0</x:v>
      </x:c>
      <x:c r="M4150" t="n">
        <x:v>0</x:v>
      </x:c>
      <x:c r="N4150" t="str">
        <x:v>Fully Paid</x:v>
      </x:c>
      <x:c r="O4150" t="str">
        <x:f>IF(D4150="","Unknown",IF(D4150&lt;25000,"&lt;$25k",IF(D4150&lt;50000,"$25k-$50k",IF(D4150&lt;75000,"$50k-$75k",IF(D4150&lt;100000,"$75k-$100k","$100k+")))))</x:f>
        <x:v>$25k-$50k</x:v>
      </x:c>
      <x:c r="P4150" t="str">
        <x:f>IF(E4150="","Unknown",IF(E4150&lt;10,"&lt;10",IF(E4150&lt;20,"10-&lt;20",IF(E4150&lt;25,"20-&lt;25",IF(E4150&lt;35,"25-&lt;35","35+")))))</x:f>
        <x:v>10-&lt;20</x:v>
      </x:c>
    </x:row>
    <x:row r="4151">
      <x:c r="A4151" t="str">
        <x:v>SYN0004150</x:v>
      </x:c>
      <x:c r="B4151" s="12" t="n">
        <x:v>42385</x:v>
      </x:c>
      <x:c r="C4151" s="18" t="n">
        <x:v>6577</x:v>
      </x:c>
      <x:c r="D4151" s="18" t="n">
        <x:v>41000</x:v>
      </x:c>
      <x:c r="E4151" s="18" t="n">
        <x:v>10.32</x:v>
      </x:c>
      <x:c r="F4151" s="18" t="n">
        <x:v>26.38</x:v>
      </x:c>
      <x:c r="G4151" t="n">
        <x:v>36</x:v>
      </x:c>
      <x:c r="H4151" t="str">
        <x:v>G</x:v>
      </x:c>
      <x:c r="I4151" t="str">
        <x:v>4-6 years</x:v>
      </x:c>
      <x:c r="J4151" t="str">
        <x:v>MORTGAGE</x:v>
      </x:c>
      <x:c r="K4151" t="str">
        <x:v>debt_consolidation</x:v>
      </x:c>
      <x:c r="L4151" t="n">
        <x:v>1</x:v>
      </x:c>
      <x:c r="M4151" t="n">
        <x:v>0</x:v>
      </x:c>
      <x:c r="N4151" t="str">
        <x:v>Fully Paid</x:v>
      </x:c>
      <x:c r="O4151" t="str">
        <x:f>IF(D4151="","Unknown",IF(D4151&lt;25000,"&lt;$25k",IF(D4151&lt;50000,"$25k-$50k",IF(D4151&lt;75000,"$50k-$75k",IF(D4151&lt;100000,"$75k-$100k","$100k+")))))</x:f>
        <x:v>$25k-$50k</x:v>
      </x:c>
      <x:c r="P4151" t="str">
        <x:f>IF(E4151="","Unknown",IF(E4151&lt;10,"&lt;10",IF(E4151&lt;20,"10-&lt;20",IF(E4151&lt;25,"20-&lt;25",IF(E4151&lt;35,"25-&lt;35","35+")))))</x:f>
        <x:v>10-&lt;20</x:v>
      </x:c>
    </x:row>
    <x:row r="4152">
      <x:c r="A4152" t="str">
        <x:v>SYN0004151</x:v>
      </x:c>
      <x:c r="B4152" s="12" t="n">
        <x:v>41275</x:v>
      </x:c>
      <x:c r="C4152" s="18" t="n">
        <x:v>20409</x:v>
      </x:c>
      <x:c r="D4152" s="18" t="n">
        <x:v>22124</x:v>
      </x:c>
      <x:c r="E4152" s="18" t="n">
        <x:v>23.03</x:v>
      </x:c>
      <x:c r="F4152" s="18" t="n">
        <x:v>9.18</x:v>
      </x:c>
      <x:c r="G4152" t="n">
        <x:v>36</x:v>
      </x:c>
      <x:c r="H4152" t="str">
        <x:v>C</x:v>
      </x:c>
      <x:c r="I4152" t="str">
        <x:v>1-3 years</x:v>
      </x:c>
      <x:c r="J4152" t="str">
        <x:v>OWN</x:v>
      </x:c>
      <x:c r="K4152" t="str">
        <x:v>home_improvement</x:v>
      </x:c>
      <x:c r="L4152" t="n">
        <x:v>0</x:v>
      </x:c>
      <x:c r="M4152" t="n">
        <x:v>0</x:v>
      </x:c>
      <x:c r="N4152" t="str">
        <x:v>Fully Paid</x:v>
      </x:c>
      <x:c r="O4152" t="str">
        <x:f>IF(D4152="","Unknown",IF(D4152&lt;25000,"&lt;$25k",IF(D4152&lt;50000,"$25k-$50k",IF(D4152&lt;75000,"$50k-$75k",IF(D4152&lt;100000,"$75k-$100k","$100k+")))))</x:f>
        <x:v>&lt;$25k</x:v>
      </x:c>
      <x:c r="P4152" t="str">
        <x:f>IF(E4152="","Unknown",IF(E4152&lt;10,"&lt;10",IF(E4152&lt;20,"10-&lt;20",IF(E4152&lt;25,"20-&lt;25",IF(E4152&lt;35,"25-&lt;35","35+")))))</x:f>
        <x:v>20-&lt;25</x:v>
      </x:c>
    </x:row>
    <x:row r="4153">
      <x:c r="A4153" t="str">
        <x:v>SYN0004152</x:v>
      </x:c>
      <x:c r="B4153" s="12" t="n">
        <x:v>41995</x:v>
      </x:c>
      <x:c r="C4153" s="18" t="n">
        <x:v>4458</x:v>
      </x:c>
      <x:c r="D4153" s="18" t="n">
        <x:v>58516</x:v>
      </x:c>
      <x:c r="E4153" s="18" t="n">
        <x:v>11.72</x:v>
      </x:c>
      <x:c r="F4153" s="18" t="n">
        <x:v>14.46</x:v>
      </x:c>
      <x:c r="G4153" t="n">
        <x:v>60</x:v>
      </x:c>
      <x:c r="H4153" t="str">
        <x:v>D</x:v>
      </x:c>
      <x:c r="I4153" t="str">
        <x:v>1-3 years</x:v>
      </x:c>
      <x:c r="J4153" t="str">
        <x:v>RENT</x:v>
      </x:c>
      <x:c r="K4153" t="str">
        <x:v>medical</x:v>
      </x:c>
      <x:c r="L4153" t="n">
        <x:v>0</x:v>
      </x:c>
      <x:c r="M4153" t="n">
        <x:v>0</x:v>
      </x:c>
      <x:c r="N4153" t="str">
        <x:v>Fully Paid</x:v>
      </x:c>
      <x:c r="O4153" t="str">
        <x:f>IF(D4153="","Unknown",IF(D4153&lt;25000,"&lt;$25k",IF(D4153&lt;50000,"$25k-$50k",IF(D4153&lt;75000,"$50k-$75k",IF(D4153&lt;100000,"$75k-$100k","$100k+")))))</x:f>
        <x:v>$50k-$75k</x:v>
      </x:c>
      <x:c r="P4153" t="str">
        <x:f>IF(E4153="","Unknown",IF(E4153&lt;10,"&lt;10",IF(E4153&lt;20,"10-&lt;20",IF(E4153&lt;25,"20-&lt;25",IF(E4153&lt;35,"25-&lt;35","35+")))))</x:f>
        <x:v>10-&lt;20</x:v>
      </x:c>
    </x:row>
    <x:row r="4154">
      <x:c r="A4154" t="str">
        <x:v>SYN0004153</x:v>
      </x:c>
      <x:c r="B4154" s="12" t="n">
        <x:v>41635</x:v>
      </x:c>
      <x:c r="C4154" s="18" t="n">
        <x:v>14211</x:v>
      </x:c>
      <x:c r="D4154" s="18" t="n">
        <x:v>19854</x:v>
      </x:c>
      <x:c r="E4154" s="18" t="n">
        <x:v>28.79</x:v>
      </x:c>
      <x:c r="F4154" s="18" t="n">
        <x:v>10.32</x:v>
      </x:c>
      <x:c r="G4154" t="n">
        <x:v>36</x:v>
      </x:c>
      <x:c r="H4154" t="str">
        <x:v>D</x:v>
      </x:c>
      <x:c r="I4154" t="str">
        <x:v>10+ years</x:v>
      </x:c>
      <x:c r="J4154" t="str">
        <x:v>OWN</x:v>
      </x:c>
      <x:c r="K4154" t="str">
        <x:v>home_improvement</x:v>
      </x:c>
      <x:c r="L4154" t="n">
        <x:v>1</x:v>
      </x:c>
      <x:c r="M4154" t="n">
        <x:v>0</x:v>
      </x:c>
      <x:c r="N4154" t="str">
        <x:v>Fully Paid</x:v>
      </x:c>
      <x:c r="O4154" t="str">
        <x:f>IF(D4154="","Unknown",IF(D4154&lt;25000,"&lt;$25k",IF(D4154&lt;50000,"$25k-$50k",IF(D4154&lt;75000,"$50k-$75k",IF(D4154&lt;100000,"$75k-$100k","$100k+")))))</x:f>
        <x:v>&lt;$25k</x:v>
      </x:c>
      <x:c r="P4154" t="str">
        <x:f>IF(E4154="","Unknown",IF(E4154&lt;10,"&lt;10",IF(E4154&lt;20,"10-&lt;20",IF(E4154&lt;25,"20-&lt;25",IF(E4154&lt;35,"25-&lt;35","35+")))))</x:f>
        <x:v>25-&lt;35</x:v>
      </x:c>
    </x:row>
    <x:row r="4155">
      <x:c r="A4155" t="str">
        <x:v>SYN0004154</x:v>
      </x:c>
      <x:c r="B4155" s="12" t="n">
        <x:v>42505</x:v>
      </x:c>
      <x:c r="C4155" s="18" t="n">
        <x:v>7101</x:v>
      </x:c>
      <x:c r="D4155" s="18" t="n">
        <x:v>33085</x:v>
      </x:c>
      <x:c r="E4155" s="18" t="n">
        <x:v>14.71</x:v>
      </x:c>
      <x:c r="F4155" s="18" t="n">
        <x:v>12.51</x:v>
      </x:c>
      <x:c r="G4155" t="n">
        <x:v>60</x:v>
      </x:c>
      <x:c r="H4155" t="str">
        <x:v>C</x:v>
      </x:c>
      <x:c r="I4155" t="str">
        <x:v>7-9 years</x:v>
      </x:c>
      <x:c r="J4155" t="str">
        <x:v>RENT</x:v>
      </x:c>
      <x:c r="K4155" t="str">
        <x:v>credit_card</x:v>
      </x:c>
      <x:c r="L4155" t="n">
        <x:v>0</x:v>
      </x:c>
      <x:c r="M4155" t="n">
        <x:v>0</x:v>
      </x:c>
      <x:c r="N4155" t="str">
        <x:v>Fully Paid</x:v>
      </x:c>
      <x:c r="O4155" t="str">
        <x:f>IF(D4155="","Unknown",IF(D4155&lt;25000,"&lt;$25k",IF(D4155&lt;50000,"$25k-$50k",IF(D4155&lt;75000,"$50k-$75k",IF(D4155&lt;100000,"$75k-$100k","$100k+")))))</x:f>
        <x:v>$25k-$50k</x:v>
      </x:c>
      <x:c r="P4155" t="str">
        <x:f>IF(E4155="","Unknown",IF(E4155&lt;10,"&lt;10",IF(E4155&lt;20,"10-&lt;20",IF(E4155&lt;25,"20-&lt;25",IF(E4155&lt;35,"25-&lt;35","35+")))))</x:f>
        <x:v>10-&lt;20</x:v>
      </x:c>
    </x:row>
    <x:row r="4156">
      <x:c r="A4156" t="str">
        <x:v>SYN0004155</x:v>
      </x:c>
      <x:c r="B4156" s="12" t="n">
        <x:v>42535</x:v>
      </x:c>
      <x:c r="C4156" s="18" t="n">
        <x:v>12470</x:v>
      </x:c>
      <x:c r="D4156" s="18" t="n">
        <x:v>74668</x:v>
      </x:c>
      <x:c r="E4156" s="18" t="n">
        <x:v>21.36</x:v>
      </x:c>
      <x:c r="F4156" s="18" t="n">
        <x:v>15.19</x:v>
      </x:c>
      <x:c r="G4156" t="n">
        <x:v>36</x:v>
      </x:c>
      <x:c r="H4156" t="str">
        <x:v>E</x:v>
      </x:c>
      <x:c r="I4156" t="str">
        <x:v>&lt;1 year</x:v>
      </x:c>
      <x:c r="J4156" t="str">
        <x:v>MORTGAGE</x:v>
      </x:c>
      <x:c r="K4156" t="str">
        <x:v>credit_card</x:v>
      </x:c>
      <x:c r="L4156" t="n">
        <x:v>0</x:v>
      </x:c>
      <x:c r="M4156" t="n">
        <x:v>1</x:v>
      </x:c>
      <x:c r="N4156" t="str">
        <x:v>Charged Off</x:v>
      </x:c>
      <x:c r="O4156" t="str">
        <x:f>IF(D4156="","Unknown",IF(D4156&lt;25000,"&lt;$25k",IF(D4156&lt;50000,"$25k-$50k",IF(D4156&lt;75000,"$50k-$75k",IF(D4156&lt;100000,"$75k-$100k","$100k+")))))</x:f>
        <x:v>$50k-$75k</x:v>
      </x:c>
      <x:c r="P4156" t="str">
        <x:f>IF(E4156="","Unknown",IF(E4156&lt;10,"&lt;10",IF(E4156&lt;20,"10-&lt;20",IF(E4156&lt;25,"20-&lt;25",IF(E4156&lt;35,"25-&lt;35","35+")))))</x:f>
        <x:v>20-&lt;25</x:v>
      </x:c>
    </x:row>
    <x:row r="4157">
      <x:c r="A4157" t="str">
        <x:v>SYN0004156</x:v>
      </x:c>
      <x:c r="B4157" s="12" t="n">
        <x:v>42265</x:v>
      </x:c>
      <x:c r="C4157" s="18" t="n">
        <x:v>13577</x:v>
      </x:c>
      <x:c r="D4157" s="18" t="n">
        <x:v>32197</x:v>
      </x:c>
      <x:c r="E4157" s="18" t="n">
        <x:v>17.82</x:v>
      </x:c>
      <x:c r="F4157" s="18" t="n">
        <x:v>10.46</x:v>
      </x:c>
      <x:c r="G4157" t="n">
        <x:v>36</x:v>
      </x:c>
      <x:c r="H4157" t="str">
        <x:v>A</x:v>
      </x:c>
      <x:c r="I4157" t="str">
        <x:v>10+ years</x:v>
      </x:c>
      <x:c r="J4157" t="str">
        <x:v>OTHER</x:v>
      </x:c>
      <x:c r="K4157" t="str">
        <x:v>debt_consolidation</x:v>
      </x:c>
      <x:c r="L4157" t="n">
        <x:v>1</x:v>
      </x:c>
      <x:c r="M4157" t="n">
        <x:v>0</x:v>
      </x:c>
      <x:c r="N4157" t="str">
        <x:v>Fully Paid</x:v>
      </x:c>
      <x:c r="O4157" t="str">
        <x:f>IF(D4157="","Unknown",IF(D4157&lt;25000,"&lt;$25k",IF(D4157&lt;50000,"$25k-$50k",IF(D4157&lt;75000,"$50k-$75k",IF(D4157&lt;100000,"$75k-$100k","$100k+")))))</x:f>
        <x:v>$25k-$50k</x:v>
      </x:c>
      <x:c r="P4157" t="str">
        <x:f>IF(E4157="","Unknown",IF(E4157&lt;10,"&lt;10",IF(E4157&lt;20,"10-&lt;20",IF(E4157&lt;25,"20-&lt;25",IF(E4157&lt;35,"25-&lt;35","35+")))))</x:f>
        <x:v>10-&lt;20</x:v>
      </x:c>
    </x:row>
    <x:row r="4158">
      <x:c r="A4158" t="str">
        <x:v>SYN0004157</x:v>
      </x:c>
      <x:c r="B4158" s="12" t="n">
        <x:v>41815</x:v>
      </x:c>
      <x:c r="C4158" s="18" t="n">
        <x:v>26952</x:v>
      </x:c>
      <x:c r="D4158" s="18" t="n">
        <x:v>40400</x:v>
      </x:c>
      <x:c r="E4158" s="18" t="n">
        <x:v>3.93</x:v>
      </x:c>
      <x:c r="F4158" s="18" t="n">
        <x:v>7.79</x:v>
      </x:c>
      <x:c r="G4158" t="n">
        <x:v>36</x:v>
      </x:c>
      <x:c r="H4158" t="str">
        <x:v>A</x:v>
      </x:c>
      <x:c r="I4158" t="str">
        <x:v>7-9 years</x:v>
      </x:c>
      <x:c r="J4158" t="str">
        <x:v>RENT</x:v>
      </x:c>
      <x:c r="K4158" t="str">
        <x:v>other</x:v>
      </x:c>
      <x:c r="L4158" t="n">
        <x:v>0</x:v>
      </x:c>
      <x:c r="M4158" t="n">
        <x:v>0</x:v>
      </x:c>
      <x:c r="N4158" t="str">
        <x:v>Fully Paid</x:v>
      </x:c>
      <x:c r="O4158" t="str">
        <x:f>IF(D4158="","Unknown",IF(D4158&lt;25000,"&lt;$25k",IF(D4158&lt;50000,"$25k-$50k",IF(D4158&lt;75000,"$50k-$75k",IF(D4158&lt;100000,"$75k-$100k","$100k+")))))</x:f>
        <x:v>$25k-$50k</x:v>
      </x:c>
      <x:c r="P4158" t="str">
        <x:f>IF(E4158="","Unknown",IF(E4158&lt;10,"&lt;10",IF(E4158&lt;20,"10-&lt;20",IF(E4158&lt;25,"20-&lt;25",IF(E4158&lt;35,"25-&lt;35","35+")))))</x:f>
        <x:v>&lt;10</x:v>
      </x:c>
    </x:row>
    <x:row r="4159">
      <x:c r="A4159" t="str">
        <x:v>SYN0004158</x:v>
      </x:c>
      <x:c r="B4159" s="12" t="n">
        <x:v>42445</x:v>
      </x:c>
      <x:c r="C4159" s="18" t="n">
        <x:v>15850</x:v>
      </x:c>
      <x:c r="D4159" s="18" t="n">
        <x:v>18736</x:v>
      </x:c>
      <x:c r="E4159" s="18" t="n">
        <x:v>28.02</x:v>
      </x:c>
      <x:c r="F4159" s="18" t="n">
        <x:v>7.78</x:v>
      </x:c>
      <x:c r="G4159" t="n">
        <x:v>60</x:v>
      </x:c>
      <x:c r="H4159" t="str">
        <x:v>B</x:v>
      </x:c>
      <x:c r="I4159" t="str">
        <x:v>10+ years</x:v>
      </x:c>
      <x:c r="J4159" t="str">
        <x:v>MORTGAGE</x:v>
      </x:c>
      <x:c r="K4159" t="str">
        <x:v>debt_consolidation</x:v>
      </x:c>
      <x:c r="L4159" t="n">
        <x:v>0</x:v>
      </x:c>
      <x:c r="M4159" t="n">
        <x:v>0</x:v>
      </x:c>
      <x:c r="N4159" t="str">
        <x:v>Fully Paid</x:v>
      </x:c>
      <x:c r="O4159" t="str">
        <x:f>IF(D4159="","Unknown",IF(D4159&lt;25000,"&lt;$25k",IF(D4159&lt;50000,"$25k-$50k",IF(D4159&lt;75000,"$50k-$75k",IF(D4159&lt;100000,"$75k-$100k","$100k+")))))</x:f>
        <x:v>&lt;$25k</x:v>
      </x:c>
      <x:c r="P4159" t="str">
        <x:f>IF(E4159="","Unknown",IF(E4159&lt;10,"&lt;10",IF(E4159&lt;20,"10-&lt;20",IF(E4159&lt;25,"20-&lt;25",IF(E4159&lt;35,"25-&lt;35","35+")))))</x:f>
        <x:v>25-&lt;35</x:v>
      </x:c>
    </x:row>
    <x:row r="4160">
      <x:c r="A4160" t="str">
        <x:v>SYN0004159</x:v>
      </x:c>
      <x:c r="B4160" s="12" t="n">
        <x:v>42715</x:v>
      </x:c>
      <x:c r="C4160" s="18" t="n">
        <x:v>4803</x:v>
      </x:c>
      <x:c r="D4160" s="18" t="n">
        <x:v>18675</x:v>
      </x:c>
      <x:c r="E4160" s="18" t="n">
        <x:v>20.31</x:v>
      </x:c>
      <x:c r="F4160" s="18" t="n">
        <x:v>8.69</x:v>
      </x:c>
      <x:c r="G4160" t="n">
        <x:v>60</x:v>
      </x:c>
      <x:c r="H4160" t="str">
        <x:v>B</x:v>
      </x:c>
      <x:c r="I4160" t="str">
        <x:v>10+ years</x:v>
      </x:c>
      <x:c r="J4160" t="str">
        <x:v>RENT</x:v>
      </x:c>
      <x:c r="K4160" t="str">
        <x:v>debt_consolidation</x:v>
      </x:c>
      <x:c r="L4160" t="n">
        <x:v>1</x:v>
      </x:c>
      <x:c r="M4160" t="n">
        <x:v>0</x:v>
      </x:c>
      <x:c r="N4160" t="str">
        <x:v>Fully Paid</x:v>
      </x:c>
      <x:c r="O4160" t="str">
        <x:f>IF(D4160="","Unknown",IF(D4160&lt;25000,"&lt;$25k",IF(D4160&lt;50000,"$25k-$50k",IF(D4160&lt;75000,"$50k-$75k",IF(D4160&lt;100000,"$75k-$100k","$100k+")))))</x:f>
        <x:v>&lt;$25k</x:v>
      </x:c>
      <x:c r="P4160" t="str">
        <x:f>IF(E4160="","Unknown",IF(E4160&lt;10,"&lt;10",IF(E4160&lt;20,"10-&lt;20",IF(E4160&lt;25,"20-&lt;25",IF(E4160&lt;35,"25-&lt;35","35+")))))</x:f>
        <x:v>20-&lt;25</x:v>
      </x:c>
    </x:row>
    <x:row r="4161">
      <x:c r="A4161" t="str">
        <x:v>SYN0004160</x:v>
      </x:c>
      <x:c r="B4161" s="12" t="n">
        <x:v>41815</x:v>
      </x:c>
      <x:c r="C4161" s="18" t="n">
        <x:v>20753</x:v>
      </x:c>
      <x:c r="D4161" s="18" t="n">
        <x:v>51555</x:v>
      </x:c>
      <x:c r="E4161" s="18" t="n">
        <x:v>11.11</x:v>
      </x:c>
      <x:c r="F4161" s="18" t="n">
        <x:v>11.23</x:v>
      </x:c>
      <x:c r="G4161" t="n">
        <x:v>36</x:v>
      </x:c>
      <x:c r="H4161" t="str">
        <x:v>C</x:v>
      </x:c>
      <x:c r="I4161" t="str">
        <x:v>4-6 years</x:v>
      </x:c>
      <x:c r="J4161" t="str">
        <x:v>MORTGAGE</x:v>
      </x:c>
      <x:c r="K4161" t="str">
        <x:v>debt_consolidation</x:v>
      </x:c>
      <x:c r="L4161" t="n">
        <x:v>1</x:v>
      </x:c>
      <x:c r="M4161" t="n">
        <x:v>0</x:v>
      </x:c>
      <x:c r="N4161" t="str">
        <x:v>Fully Paid</x:v>
      </x:c>
      <x:c r="O4161" t="str">
        <x:f>IF(D4161="","Unknown",IF(D4161&lt;25000,"&lt;$25k",IF(D4161&lt;50000,"$25k-$50k",IF(D4161&lt;75000,"$50k-$75k",IF(D4161&lt;100000,"$75k-$100k","$100k+")))))</x:f>
        <x:v>$50k-$75k</x:v>
      </x:c>
      <x:c r="P4161" t="str">
        <x:f>IF(E4161="","Unknown",IF(E4161&lt;10,"&lt;10",IF(E4161&lt;20,"10-&lt;20",IF(E4161&lt;25,"20-&lt;25",IF(E4161&lt;35,"25-&lt;35","35+")))))</x:f>
        <x:v>10-&lt;20</x:v>
      </x:c>
    </x:row>
    <x:row r="4162">
      <x:c r="A4162" t="str">
        <x:v>SYN0004161</x:v>
      </x:c>
      <x:c r="B4162" s="12" t="n">
        <x:v>42835</x:v>
      </x:c>
      <x:c r="C4162" s="18" t="n">
        <x:v>6974</x:v>
      </x:c>
      <x:c r="D4162" s="18" t="n">
        <x:v>22225</x:v>
      </x:c>
      <x:c r="E4162" s="18" t="n">
        <x:v>25.72</x:v>
      </x:c>
      <x:c r="F4162" s="18" t="n">
        <x:v>10.76</x:v>
      </x:c>
      <x:c r="G4162" t="n">
        <x:v>36</x:v>
      </x:c>
      <x:c r="H4162" t="str">
        <x:v>C</x:v>
      </x:c>
      <x:c r="I4162" t="str">
        <x:v>10+ years</x:v>
      </x:c>
      <x:c r="J4162" t="str">
        <x:v>OWN</x:v>
      </x:c>
      <x:c r="K4162" t="str">
        <x:v>credit_card</x:v>
      </x:c>
      <x:c r="L4162" t="n">
        <x:v>1</x:v>
      </x:c>
      <x:c r="M4162" t="n">
        <x:v>0</x:v>
      </x:c>
      <x:c r="N4162" t="str">
        <x:v>Fully Paid</x:v>
      </x:c>
      <x:c r="O4162" t="str">
        <x:f>IF(D4162="","Unknown",IF(D4162&lt;25000,"&lt;$25k",IF(D4162&lt;50000,"$25k-$50k",IF(D4162&lt;75000,"$50k-$75k",IF(D4162&lt;100000,"$75k-$100k","$100k+")))))</x:f>
        <x:v>&lt;$25k</x:v>
      </x:c>
      <x:c r="P4162" t="str">
        <x:f>IF(E4162="","Unknown",IF(E4162&lt;10,"&lt;10",IF(E4162&lt;20,"10-&lt;20",IF(E4162&lt;25,"20-&lt;25",IF(E4162&lt;35,"25-&lt;35","35+")))))</x:f>
        <x:v>25-&lt;35</x:v>
      </x:c>
    </x:row>
    <x:row r="4163">
      <x:c r="A4163" t="str">
        <x:v>SYN0004162</x:v>
      </x:c>
      <x:c r="B4163" s="12" t="n">
        <x:v>41365</x:v>
      </x:c>
      <x:c r="C4163" s="18" t="n">
        <x:v>12083</x:v>
      </x:c>
      <x:c r="D4163" s="18" t="n">
        <x:v>48408</x:v>
      </x:c>
      <x:c r="E4163" s="18" t="n">
        <x:v>31.83</x:v>
      </x:c>
      <x:c r="F4163" s="18" t="n">
        <x:v>8.99</x:v>
      </x:c>
      <x:c r="G4163" t="n">
        <x:v>60</x:v>
      </x:c>
      <x:c r="H4163" t="str">
        <x:v>B</x:v>
      </x:c>
      <x:c r="I4163" t="str">
        <x:v>4-6 years</x:v>
      </x:c>
      <x:c r="J4163" t="str">
        <x:v>OWN</x:v>
      </x:c>
      <x:c r="K4163" t="str">
        <x:v>debt_consolidation</x:v>
      </x:c>
      <x:c r="L4163" t="n">
        <x:v>0</x:v>
      </x:c>
      <x:c r="M4163" t="n">
        <x:v>0</x:v>
      </x:c>
      <x:c r="N4163" t="str">
        <x:v>Fully Paid</x:v>
      </x:c>
      <x:c r="O4163" t="str">
        <x:f>IF(D4163="","Unknown",IF(D4163&lt;25000,"&lt;$25k",IF(D4163&lt;50000,"$25k-$50k",IF(D4163&lt;75000,"$50k-$75k",IF(D4163&lt;100000,"$75k-$100k","$100k+")))))</x:f>
        <x:v>$25k-$50k</x:v>
      </x:c>
      <x:c r="P4163" t="str">
        <x:f>IF(E4163="","Unknown",IF(E4163&lt;10,"&lt;10",IF(E4163&lt;20,"10-&lt;20",IF(E4163&lt;25,"20-&lt;25",IF(E4163&lt;35,"25-&lt;35","35+")))))</x:f>
        <x:v>25-&lt;35</x:v>
      </x:c>
    </x:row>
    <x:row r="4164">
      <x:c r="A4164" t="str">
        <x:v>SYN0004163</x:v>
      </x:c>
      <x:c r="B4164" s="12" t="n">
        <x:v>42955</x:v>
      </x:c>
      <x:c r="C4164" s="18" t="n">
        <x:v>17104</x:v>
      </x:c>
      <x:c r="D4164" s="18" t="n">
        <x:v>54481</x:v>
      </x:c>
      <x:c r="E4164" s="18" t="n">
        <x:v>25.37</x:v>
      </x:c>
      <x:c r="F4164" s="18" t="n">
        <x:v>8.91</x:v>
      </x:c>
      <x:c r="G4164" t="n">
        <x:v>36</x:v>
      </x:c>
      <x:c r="H4164" t="str">
        <x:v>C</x:v>
      </x:c>
      <x:c r="I4164" t="str">
        <x:v>4-6 years</x:v>
      </x:c>
      <x:c r="J4164" t="str">
        <x:v>MORTGAGE</x:v>
      </x:c>
      <x:c r="K4164" t="str">
        <x:v>debt_consolidation</x:v>
      </x:c>
      <x:c r="L4164" t="n">
        <x:v>0</x:v>
      </x:c>
      <x:c r="M4164" t="n">
        <x:v>1</x:v>
      </x:c>
      <x:c r="N4164" t="str">
        <x:v>Charged Off</x:v>
      </x:c>
      <x:c r="O4164" t="str">
        <x:f>IF(D4164="","Unknown",IF(D4164&lt;25000,"&lt;$25k",IF(D4164&lt;50000,"$25k-$50k",IF(D4164&lt;75000,"$50k-$75k",IF(D4164&lt;100000,"$75k-$100k","$100k+")))))</x:f>
        <x:v>$50k-$75k</x:v>
      </x:c>
      <x:c r="P4164" t="str">
        <x:f>IF(E4164="","Unknown",IF(E4164&lt;10,"&lt;10",IF(E4164&lt;20,"10-&lt;20",IF(E4164&lt;25,"20-&lt;25",IF(E4164&lt;35,"25-&lt;35","35+")))))</x:f>
        <x:v>25-&lt;35</x:v>
      </x:c>
    </x:row>
    <x:row r="4165">
      <x:c r="A4165" t="str">
        <x:v>SYN0004164</x:v>
      </x:c>
      <x:c r="B4165" s="12" t="n">
        <x:v>42805</x:v>
      </x:c>
      <x:c r="C4165" s="18" t="n">
        <x:v>9120</x:v>
      </x:c>
      <x:c r="D4165" s="18" t="n">
        <x:v>55947</x:v>
      </x:c>
      <x:c r="E4165" s="18" t="n">
        <x:v>31.1</x:v>
      </x:c>
      <x:c r="F4165" s="18" t="n">
        <x:v>10.62</x:v>
      </x:c>
      <x:c r="G4165" t="n">
        <x:v>36</x:v>
      </x:c>
      <x:c r="H4165" t="str">
        <x:v>C</x:v>
      </x:c>
      <x:c r="I4165" t="str">
        <x:v>1-3 years</x:v>
      </x:c>
      <x:c r="J4165" t="str">
        <x:v>MORTGAGE</x:v>
      </x:c>
      <x:c r="K4165" t="str">
        <x:v>credit_card</x:v>
      </x:c>
      <x:c r="L4165" t="n">
        <x:v>0</x:v>
      </x:c>
      <x:c r="M4165" t="n">
        <x:v>0</x:v>
      </x:c>
      <x:c r="N4165" t="str">
        <x:v>Fully Paid</x:v>
      </x:c>
      <x:c r="O4165" t="str">
        <x:f>IF(D4165="","Unknown",IF(D4165&lt;25000,"&lt;$25k",IF(D4165&lt;50000,"$25k-$50k",IF(D4165&lt;75000,"$50k-$75k",IF(D4165&lt;100000,"$75k-$100k","$100k+")))))</x:f>
        <x:v>$50k-$75k</x:v>
      </x:c>
      <x:c r="P4165" t="str">
        <x:f>IF(E4165="","Unknown",IF(E4165&lt;10,"&lt;10",IF(E4165&lt;20,"10-&lt;20",IF(E4165&lt;25,"20-&lt;25",IF(E4165&lt;35,"25-&lt;35","35+")))))</x:f>
        <x:v>25-&lt;35</x:v>
      </x:c>
    </x:row>
    <x:row r="4166">
      <x:c r="A4166" t="str">
        <x:v>SYN0004165</x:v>
      </x:c>
      <x:c r="B4166" s="12" t="n">
        <x:v>43315</x:v>
      </x:c>
      <x:c r="C4166" s="18" t="n">
        <x:v>11602</x:v>
      </x:c>
      <x:c r="D4166" s="18" t="n">
        <x:v>44438</x:v>
      </x:c>
      <x:c r="E4166" s="18" t="n">
        <x:v>48.06</x:v>
      </x:c>
      <x:c r="F4166" s="18" t="n">
        <x:v>13.56</x:v>
      </x:c>
      <x:c r="G4166" t="n">
        <x:v>36</x:v>
      </x:c>
      <x:c r="H4166" t="str">
        <x:v>D</x:v>
      </x:c>
      <x:c r="I4166" t="str">
        <x:v>7-9 years</x:v>
      </x:c>
      <x:c r="J4166" t="str">
        <x:v>MORTGAGE</x:v>
      </x:c>
      <x:c r="K4166" t="str">
        <x:v>major_purchase</x:v>
      </x:c>
      <x:c r="L4166" t="n">
        <x:v>1</x:v>
      </x:c>
      <x:c r="M4166" t="n">
        <x:v>0</x:v>
      </x:c>
      <x:c r="N4166" t="str">
        <x:v>Fully Paid</x:v>
      </x:c>
      <x:c r="O4166" t="str">
        <x:f>IF(D4166="","Unknown",IF(D4166&lt;25000,"&lt;$25k",IF(D4166&lt;50000,"$25k-$50k",IF(D4166&lt;75000,"$50k-$75k",IF(D4166&lt;100000,"$75k-$100k","$100k+")))))</x:f>
        <x:v>$25k-$50k</x:v>
      </x:c>
      <x:c r="P4166" t="str">
        <x:f>IF(E4166="","Unknown",IF(E4166&lt;10,"&lt;10",IF(E4166&lt;20,"10-&lt;20",IF(E4166&lt;25,"20-&lt;25",IF(E4166&lt;35,"25-&lt;35","35+")))))</x:f>
        <x:v>35+</x:v>
      </x:c>
    </x:row>
    <x:row r="4167">
      <x:c r="A4167" t="str">
        <x:v>SYN0004166</x:v>
      </x:c>
      <x:c r="B4167" s="12" t="n">
        <x:v>43135</x:v>
      </x:c>
      <x:c r="C4167" s="18" t="n">
        <x:v>5802</x:v>
      </x:c>
      <x:c r="D4167" s="18" t="n">
        <x:v>22075</x:v>
      </x:c>
      <x:c r="E4167" s="18" t="n">
        <x:v>3.22</x:v>
      </x:c>
      <x:c r="F4167" s="18" t="n">
        <x:v>9.87</x:v>
      </x:c>
      <x:c r="G4167" t="n">
        <x:v>60</x:v>
      </x:c>
      <x:c r="H4167" t="str">
        <x:v>A</x:v>
      </x:c>
      <x:c r="I4167" t="str">
        <x:v>&lt;1 year</x:v>
      </x:c>
      <x:c r="J4167" t="str">
        <x:v>MORTGAGE</x:v>
      </x:c>
      <x:c r="K4167" t="str">
        <x:v>debt_consolidation</x:v>
      </x:c>
      <x:c r="L4167" t="n">
        <x:v>1</x:v>
      </x:c>
      <x:c r="M4167" t="n">
        <x:v>0</x:v>
      </x:c>
      <x:c r="N4167" t="str">
        <x:v>Fully Paid</x:v>
      </x:c>
      <x:c r="O4167" t="str">
        <x:f>IF(D4167="","Unknown",IF(D4167&lt;25000,"&lt;$25k",IF(D4167&lt;50000,"$25k-$50k",IF(D4167&lt;75000,"$50k-$75k",IF(D4167&lt;100000,"$75k-$100k","$100k+")))))</x:f>
        <x:v>&lt;$25k</x:v>
      </x:c>
      <x:c r="P4167" t="str">
        <x:f>IF(E4167="","Unknown",IF(E4167&lt;10,"&lt;10",IF(E4167&lt;20,"10-&lt;20",IF(E4167&lt;25,"20-&lt;25",IF(E4167&lt;35,"25-&lt;35","35+")))))</x:f>
        <x:v>&lt;10</x:v>
      </x:c>
    </x:row>
    <x:row r="4168">
      <x:c r="A4168" t="str">
        <x:v>SYN0004167</x:v>
      </x:c>
      <x:c r="B4168" s="12" t="n">
        <x:v>42985</x:v>
      </x:c>
      <x:c r="C4168" s="18" t="n">
        <x:v>9766</x:v>
      </x:c>
      <x:c r="D4168" s="18" t="n">
        <x:v>48224</x:v>
      </x:c>
      <x:c r="E4168" s="18" t="n">
        <x:v>17.01</x:v>
      </x:c>
      <x:c r="F4168" s="18" t="n">
        <x:v>24.16</x:v>
      </x:c>
      <x:c r="G4168" t="n">
        <x:v>36</x:v>
      </x:c>
      <x:c r="H4168" t="str">
        <x:v>F</x:v>
      </x:c>
      <x:c r="I4168" t="str">
        <x:v>7-9 years</x:v>
      </x:c>
      <x:c r="J4168" t="str">
        <x:v>OWN</x:v>
      </x:c>
      <x:c r="K4168" t="str">
        <x:v>debt_consolidation</x:v>
      </x:c>
      <x:c r="L4168" t="n">
        <x:v>0</x:v>
      </x:c>
      <x:c r="M4168" t="n">
        <x:v>0</x:v>
      </x:c>
      <x:c r="N4168" t="str">
        <x:v>Fully Paid</x:v>
      </x:c>
      <x:c r="O4168" t="str">
        <x:f>IF(D4168="","Unknown",IF(D4168&lt;25000,"&lt;$25k",IF(D4168&lt;50000,"$25k-$50k",IF(D4168&lt;75000,"$50k-$75k",IF(D4168&lt;100000,"$75k-$100k","$100k+")))))</x:f>
        <x:v>$25k-$50k</x:v>
      </x:c>
      <x:c r="P4168" t="str">
        <x:f>IF(E4168="","Unknown",IF(E4168&lt;10,"&lt;10",IF(E4168&lt;20,"10-&lt;20",IF(E4168&lt;25,"20-&lt;25",IF(E4168&lt;35,"25-&lt;35","35+")))))</x:f>
        <x:v>10-&lt;20</x:v>
      </x:c>
    </x:row>
    <x:row r="4169">
      <x:c r="A4169" t="str">
        <x:v>SYN0004168</x:v>
      </x:c>
      <x:c r="B4169" s="12" t="n">
        <x:v>42595</x:v>
      </x:c>
      <x:c r="C4169" s="18" t="n">
        <x:v>40000</x:v>
      </x:c>
      <x:c r="D4169" s="18" t="n">
        <x:v>106718</x:v>
      </x:c>
      <x:c r="E4169" s="18" t="n">
        <x:v>32.1</x:v>
      </x:c>
      <x:c r="F4169" s="18" t="n">
        <x:v>13.08</x:v>
      </x:c>
      <x:c r="G4169" t="n">
        <x:v>36</x:v>
      </x:c>
      <x:c r="H4169" t="str">
        <x:v>C</x:v>
      </x:c>
      <x:c r="I4169" t="str">
        <x:v>1-3 years</x:v>
      </x:c>
      <x:c r="J4169" t="str">
        <x:v>MORTGAGE</x:v>
      </x:c>
      <x:c r="K4169" t="str">
        <x:v>debt_consolidation</x:v>
      </x:c>
      <x:c r="L4169" t="n">
        <x:v>0</x:v>
      </x:c>
      <x:c r="M4169" t="n">
        <x:v>0</x:v>
      </x:c>
      <x:c r="N4169" t="str">
        <x:v>Fully Paid</x:v>
      </x:c>
      <x:c r="O4169" t="str">
        <x:f>IF(D4169="","Unknown",IF(D4169&lt;25000,"&lt;$25k",IF(D4169&lt;50000,"$25k-$50k",IF(D4169&lt;75000,"$50k-$75k",IF(D4169&lt;100000,"$75k-$100k","$100k+")))))</x:f>
        <x:v>$100k+</x:v>
      </x:c>
      <x:c r="P4169" t="str">
        <x:f>IF(E4169="","Unknown",IF(E4169&lt;10,"&lt;10",IF(E4169&lt;20,"10-&lt;20",IF(E4169&lt;25,"20-&lt;25",IF(E4169&lt;35,"25-&lt;35","35+")))))</x:f>
        <x:v>25-&lt;35</x:v>
      </x:c>
    </x:row>
    <x:row r="4170">
      <x:c r="A4170" t="str">
        <x:v>SYN0004169</x:v>
      </x:c>
      <x:c r="B4170" s="12" t="n">
        <x:v>42085</x:v>
      </x:c>
      <x:c r="C4170" s="18" t="n">
        <x:v>19685</x:v>
      </x:c>
      <x:c r="D4170" s="18" t="n">
        <x:v>80866</x:v>
      </x:c>
      <x:c r="E4170" s="18" t="n">
        <x:v>16.68</x:v>
      </x:c>
      <x:c r="F4170" s="18" t="n">
        <x:v>8.39</x:v>
      </x:c>
      <x:c r="G4170" t="n">
        <x:v>36</x:v>
      </x:c>
      <x:c r="H4170" t="str">
        <x:v>A</x:v>
      </x:c>
      <x:c r="I4170" t="str">
        <x:v>10+ years</x:v>
      </x:c>
      <x:c r="J4170" t="str">
        <x:v>RENT</x:v>
      </x:c>
      <x:c r="K4170" t="str">
        <x:v>medical</x:v>
      </x:c>
      <x:c r="L4170" t="n">
        <x:v>0</x:v>
      </x:c>
      <x:c r="M4170" t="n">
        <x:v>0</x:v>
      </x:c>
      <x:c r="N4170" t="str">
        <x:v>Fully Paid</x:v>
      </x:c>
      <x:c r="O4170" t="str">
        <x:f>IF(D4170="","Unknown",IF(D4170&lt;25000,"&lt;$25k",IF(D4170&lt;50000,"$25k-$50k",IF(D4170&lt;75000,"$50k-$75k",IF(D4170&lt;100000,"$75k-$100k","$100k+")))))</x:f>
        <x:v>$75k-$100k</x:v>
      </x:c>
      <x:c r="P4170" t="str">
        <x:f>IF(E4170="","Unknown",IF(E4170&lt;10,"&lt;10",IF(E4170&lt;20,"10-&lt;20",IF(E4170&lt;25,"20-&lt;25",IF(E4170&lt;35,"25-&lt;35","35+")))))</x:f>
        <x:v>10-&lt;20</x:v>
      </x:c>
    </x:row>
    <x:row r="4171">
      <x:c r="A4171" t="str">
        <x:v>SYN0004170</x:v>
      </x:c>
      <x:c r="B4171" s="12" t="n">
        <x:v>41695</x:v>
      </x:c>
      <x:c r="C4171" s="18" t="n">
        <x:v>8098</x:v>
      </x:c>
      <x:c r="D4171" s="18" t="n">
        <x:v>138734</x:v>
      </x:c>
      <x:c r="E4171" s="18" t="n">
        <x:v>30.28</x:v>
      </x:c>
      <x:c r="F4171" s="18" t="n">
        <x:v>11.7</x:v>
      </x:c>
      <x:c r="G4171" t="n">
        <x:v>36</x:v>
      </x:c>
      <x:c r="H4171" t="str">
        <x:v>C</x:v>
      </x:c>
      <x:c r="I4171" t="str">
        <x:v>1-3 years</x:v>
      </x:c>
      <x:c r="J4171" t="str">
        <x:v>MORTGAGE</x:v>
      </x:c>
      <x:c r="K4171" t="str">
        <x:v>debt_consolidation</x:v>
      </x:c>
      <x:c r="L4171" t="n">
        <x:v>1</x:v>
      </x:c>
      <x:c r="M4171" t="n">
        <x:v>0</x:v>
      </x:c>
      <x:c r="N4171" t="str">
        <x:v>Fully Paid</x:v>
      </x:c>
      <x:c r="O4171" t="str">
        <x:f>IF(D4171="","Unknown",IF(D4171&lt;25000,"&lt;$25k",IF(D4171&lt;50000,"$25k-$50k",IF(D4171&lt;75000,"$50k-$75k",IF(D4171&lt;100000,"$75k-$100k","$100k+")))))</x:f>
        <x:v>$100k+</x:v>
      </x:c>
      <x:c r="P4171" t="str">
        <x:f>IF(E4171="","Unknown",IF(E4171&lt;10,"&lt;10",IF(E4171&lt;20,"10-&lt;20",IF(E4171&lt;25,"20-&lt;25",IF(E4171&lt;35,"25-&lt;35","35+")))))</x:f>
        <x:v>25-&lt;35</x:v>
      </x:c>
    </x:row>
    <x:row r="4172">
      <x:c r="A4172" t="str">
        <x:v>SYN0004171</x:v>
      </x:c>
      <x:c r="B4172" s="12" t="n">
        <x:v>42805</x:v>
      </x:c>
      <x:c r="C4172" s="18" t="n">
        <x:v>11391</x:v>
      </x:c>
      <x:c r="D4172" s="18" t="n">
        <x:v>28022</x:v>
      </x:c>
      <x:c r="E4172" s="18" t="n">
        <x:v>21.97</x:v>
      </x:c>
      <x:c r="F4172" s="18" t="n">
        <x:v>7.37</x:v>
      </x:c>
      <x:c r="G4172" t="n">
        <x:v>36</x:v>
      </x:c>
      <x:c r="H4172" t="str">
        <x:v>B</x:v>
      </x:c>
      <x:c r="I4172" t="str">
        <x:v>1-3 years</x:v>
      </x:c>
      <x:c r="J4172" t="str">
        <x:v>MORTGAGE</x:v>
      </x:c>
      <x:c r="K4172" t="str">
        <x:v>debt_consolidation</x:v>
      </x:c>
      <x:c r="L4172" t="n">
        <x:v>0</x:v>
      </x:c>
      <x:c r="M4172" t="n">
        <x:v>0</x:v>
      </x:c>
      <x:c r="N4172" t="str">
        <x:v>Fully Paid</x:v>
      </x:c>
      <x:c r="O4172" t="str">
        <x:f>IF(D4172="","Unknown",IF(D4172&lt;25000,"&lt;$25k",IF(D4172&lt;50000,"$25k-$50k",IF(D4172&lt;75000,"$50k-$75k",IF(D4172&lt;100000,"$75k-$100k","$100k+")))))</x:f>
        <x:v>$25k-$50k</x:v>
      </x:c>
      <x:c r="P4172" t="str">
        <x:f>IF(E4172="","Unknown",IF(E4172&lt;10,"&lt;10",IF(E4172&lt;20,"10-&lt;20",IF(E4172&lt;25,"20-&lt;25",IF(E4172&lt;35,"25-&lt;35","35+")))))</x:f>
        <x:v>20-&lt;25</x:v>
      </x:c>
    </x:row>
    <x:row r="4173">
      <x:c r="A4173" t="str">
        <x:v>SYN0004172</x:v>
      </x:c>
      <x:c r="B4173" s="12" t="n">
        <x:v>42595</x:v>
      </x:c>
      <x:c r="C4173" s="18" t="n">
        <x:v>6836</x:v>
      </x:c>
      <x:c r="D4173" s="18" t="n">
        <x:v>29181</x:v>
      </x:c>
      <x:c r="E4173" s="18" t="n">
        <x:v>23.6</x:v>
      </x:c>
      <x:c r="F4173" s="18" t="n">
        <x:v>14.91</x:v>
      </x:c>
      <x:c r="G4173" t="n">
        <x:v>60</x:v>
      </x:c>
      <x:c r="H4173" t="str">
        <x:v>D</x:v>
      </x:c>
      <x:c r="I4173" t="str">
        <x:v>4-6 years</x:v>
      </x:c>
      <x:c r="J4173" t="str">
        <x:v>RENT</x:v>
      </x:c>
      <x:c r="K4173" t="str">
        <x:v>other</x:v>
      </x:c>
      <x:c r="L4173" t="n">
        <x:v>0</x:v>
      </x:c>
      <x:c r="M4173" t="n">
        <x:v>0</x:v>
      </x:c>
      <x:c r="N4173" t="str">
        <x:v>Fully Paid</x:v>
      </x:c>
      <x:c r="O4173" t="str">
        <x:f>IF(D4173="","Unknown",IF(D4173&lt;25000,"&lt;$25k",IF(D4173&lt;50000,"$25k-$50k",IF(D4173&lt;75000,"$50k-$75k",IF(D4173&lt;100000,"$75k-$100k","$100k+")))))</x:f>
        <x:v>$25k-$50k</x:v>
      </x:c>
      <x:c r="P4173" t="str">
        <x:f>IF(E4173="","Unknown",IF(E4173&lt;10,"&lt;10",IF(E4173&lt;20,"10-&lt;20",IF(E4173&lt;25,"20-&lt;25",IF(E4173&lt;35,"25-&lt;35","35+")))))</x:f>
        <x:v>20-&lt;25</x:v>
      </x:c>
    </x:row>
    <x:row r="4174">
      <x:c r="A4174" t="str">
        <x:v>SYN0004173</x:v>
      </x:c>
      <x:c r="B4174" s="12" t="n">
        <x:v>42805</x:v>
      </x:c>
      <x:c r="C4174" s="18" t="n">
        <x:v>10366</x:v>
      </x:c>
      <x:c r="D4174" s="18" t="n">
        <x:v>37507</x:v>
      </x:c>
      <x:c r="E4174" s="18" t="n">
        <x:v>18.25</x:v>
      </x:c>
      <x:c r="F4174" s="18" t="n">
        <x:v>11.84</x:v>
      </x:c>
      <x:c r="G4174" t="n">
        <x:v>36</x:v>
      </x:c>
      <x:c r="H4174" t="str">
        <x:v>C</x:v>
      </x:c>
      <x:c r="I4174" t="str">
        <x:v>10+ years</x:v>
      </x:c>
      <x:c r="J4174" t="str">
        <x:v>OWN</x:v>
      </x:c>
      <x:c r="K4174" t="str">
        <x:v>major_purchase</x:v>
      </x:c>
      <x:c r="L4174" t="n">
        <x:v>0</x:v>
      </x:c>
      <x:c r="M4174" t="n">
        <x:v>1</x:v>
      </x:c>
      <x:c r="N4174" t="str">
        <x:v>Charged Off</x:v>
      </x:c>
      <x:c r="O4174" t="str">
        <x:f>IF(D4174="","Unknown",IF(D4174&lt;25000,"&lt;$25k",IF(D4174&lt;50000,"$25k-$50k",IF(D4174&lt;75000,"$50k-$75k",IF(D4174&lt;100000,"$75k-$100k","$100k+")))))</x:f>
        <x:v>$25k-$50k</x:v>
      </x:c>
      <x:c r="P4174" t="str">
        <x:f>IF(E4174="","Unknown",IF(E4174&lt;10,"&lt;10",IF(E4174&lt;20,"10-&lt;20",IF(E4174&lt;25,"20-&lt;25",IF(E4174&lt;35,"25-&lt;35","35+")))))</x:f>
        <x:v>10-&lt;20</x:v>
      </x:c>
    </x:row>
    <x:row r="4175">
      <x:c r="A4175" t="str">
        <x:v>SYN0004174</x:v>
      </x:c>
      <x:c r="B4175" s="12" t="n">
        <x:v>43315</x:v>
      </x:c>
      <x:c r="C4175" s="18" t="n">
        <x:v>21146</x:v>
      </x:c>
      <x:c r="D4175" s="18" t="n">
        <x:v>35487</x:v>
      </x:c>
      <x:c r="E4175" s="18" t="n">
        <x:v>29.79</x:v>
      </x:c>
      <x:c r="F4175" s="18" t="n">
        <x:v>6.46</x:v>
      </x:c>
      <x:c r="G4175" t="n">
        <x:v>36</x:v>
      </x:c>
      <x:c r="H4175" t="str">
        <x:v>B</x:v>
      </x:c>
      <x:c r="I4175" t="str">
        <x:v>4-6 years</x:v>
      </x:c>
      <x:c r="J4175" t="str">
        <x:v>RENT</x:v>
      </x:c>
      <x:c r="K4175" t="str">
        <x:v>credit_card</x:v>
      </x:c>
      <x:c r="L4175" t="n">
        <x:v>0</x:v>
      </x:c>
      <x:c r="M4175" t="n">
        <x:v>0</x:v>
      </x:c>
      <x:c r="N4175" t="str">
        <x:v>Fully Paid</x:v>
      </x:c>
      <x:c r="O4175" t="str">
        <x:f>IF(D4175="","Unknown",IF(D4175&lt;25000,"&lt;$25k",IF(D4175&lt;50000,"$25k-$50k",IF(D4175&lt;75000,"$50k-$75k",IF(D4175&lt;100000,"$75k-$100k","$100k+")))))</x:f>
        <x:v>$25k-$50k</x:v>
      </x:c>
      <x:c r="P4175" t="str">
        <x:f>IF(E4175="","Unknown",IF(E4175&lt;10,"&lt;10",IF(E4175&lt;20,"10-&lt;20",IF(E4175&lt;25,"20-&lt;25",IF(E4175&lt;35,"25-&lt;35","35+")))))</x:f>
        <x:v>25-&lt;35</x:v>
      </x:c>
    </x:row>
    <x:row r="4176">
      <x:c r="A4176" t="str">
        <x:v>SYN0004175</x:v>
      </x:c>
      <x:c r="B4176" s="12" t="n">
        <x:v>41455</x:v>
      </x:c>
      <x:c r="C4176" s="18" t="n">
        <x:v>17682</x:v>
      </x:c>
      <x:c r="D4176" s="18" t="n">
        <x:v>40435</x:v>
      </x:c>
      <x:c r="E4176" s="18" t="n">
        <x:v>26.93</x:v>
      </x:c>
      <x:c r="F4176" s="18" t="n">
        <x:v>6.09</x:v>
      </x:c>
      <x:c r="G4176" t="n">
        <x:v>36</x:v>
      </x:c>
      <x:c r="H4176" t="str">
        <x:v>C</x:v>
      </x:c>
      <x:c r="I4176" t="str">
        <x:v>4-6 years</x:v>
      </x:c>
      <x:c r="J4176" t="str">
        <x:v>MORTGAGE</x:v>
      </x:c>
      <x:c r="K4176" t="str">
        <x:v>credit_card</x:v>
      </x:c>
      <x:c r="L4176" t="n">
        <x:v>0</x:v>
      </x:c>
      <x:c r="M4176" t="n">
        <x:v>0</x:v>
      </x:c>
      <x:c r="N4176" t="str">
        <x:v>Fully Paid</x:v>
      </x:c>
      <x:c r="O4176" t="str">
        <x:f>IF(D4176="","Unknown",IF(D4176&lt;25000,"&lt;$25k",IF(D4176&lt;50000,"$25k-$50k",IF(D4176&lt;75000,"$50k-$75k",IF(D4176&lt;100000,"$75k-$100k","$100k+")))))</x:f>
        <x:v>$25k-$50k</x:v>
      </x:c>
      <x:c r="P4176" t="str">
        <x:f>IF(E4176="","Unknown",IF(E4176&lt;10,"&lt;10",IF(E4176&lt;20,"10-&lt;20",IF(E4176&lt;25,"20-&lt;25",IF(E4176&lt;35,"25-&lt;35","35+")))))</x:f>
        <x:v>25-&lt;35</x:v>
      </x:c>
    </x:row>
    <x:row r="4177">
      <x:c r="A4177" t="str">
        <x:v>SYN0004176</x:v>
      </x:c>
      <x:c r="B4177" s="12" t="n">
        <x:v>41395</x:v>
      </x:c>
      <x:c r="C4177" s="18" t="n">
        <x:v>29761</x:v>
      </x:c>
      <x:c r="D4177" s="18" t="n">
        <x:v>37389</x:v>
      </x:c>
      <x:c r="E4177" s="18" t="n">
        <x:v>6.98</x:v>
      </x:c>
      <x:c r="F4177" s="18" t="n">
        <x:v>21.17</x:v>
      </x:c>
      <x:c r="G4177" t="n">
        <x:v>36</x:v>
      </x:c>
      <x:c r="H4177" t="str">
        <x:v>F</x:v>
      </x:c>
      <x:c r="I4177" t="str">
        <x:v>1-3 years</x:v>
      </x:c>
      <x:c r="J4177" t="str">
        <x:v>MORTGAGE</x:v>
      </x:c>
      <x:c r="K4177" t="str">
        <x:v>debt_consolidation</x:v>
      </x:c>
      <x:c r="L4177" t="n">
        <x:v>0</x:v>
      </x:c>
      <x:c r="M4177" t="n">
        <x:v>0</x:v>
      </x:c>
      <x:c r="N4177" t="str">
        <x:v>Fully Paid</x:v>
      </x:c>
      <x:c r="O4177" t="str">
        <x:f>IF(D4177="","Unknown",IF(D4177&lt;25000,"&lt;$25k",IF(D4177&lt;50000,"$25k-$50k",IF(D4177&lt;75000,"$50k-$75k",IF(D4177&lt;100000,"$75k-$100k","$100k+")))))</x:f>
        <x:v>$25k-$50k</x:v>
      </x:c>
      <x:c r="P4177" t="str">
        <x:f>IF(E4177="","Unknown",IF(E4177&lt;10,"&lt;10",IF(E4177&lt;20,"10-&lt;20",IF(E4177&lt;25,"20-&lt;25",IF(E4177&lt;35,"25-&lt;35","35+")))))</x:f>
        <x:v>&lt;10</x:v>
      </x:c>
    </x:row>
    <x:row r="4178">
      <x:c r="A4178" t="str">
        <x:v>SYN0004177</x:v>
      </x:c>
      <x:c r="B4178" s="12" t="n">
        <x:v>43315</x:v>
      </x:c>
      <x:c r="C4178" s="18" t="n">
        <x:v>31997</x:v>
      </x:c>
      <x:c r="D4178" s="18" t="n">
        <x:v>58714</x:v>
      </x:c>
      <x:c r="E4178" s="18" t="n">
        <x:v>7.13</x:v>
      </x:c>
      <x:c r="F4178" s="18" t="n">
        <x:v>7.15</x:v>
      </x:c>
      <x:c r="G4178" t="n">
        <x:v>36</x:v>
      </x:c>
      <x:c r="H4178" t="str">
        <x:v>A</x:v>
      </x:c>
      <x:c r="I4178" t="str">
        <x:v>7-9 years</x:v>
      </x:c>
      <x:c r="J4178" t="str">
        <x:v>MORTGAGE</x:v>
      </x:c>
      <x:c r="K4178" t="str">
        <x:v>debt_consolidation</x:v>
      </x:c>
      <x:c r="L4178" t="n">
        <x:v>1</x:v>
      </x:c>
      <x:c r="M4178" t="n">
        <x:v>0</x:v>
      </x:c>
      <x:c r="N4178" t="str">
        <x:v>Fully Paid</x:v>
      </x:c>
      <x:c r="O4178" t="str">
        <x:f>IF(D4178="","Unknown",IF(D4178&lt;25000,"&lt;$25k",IF(D4178&lt;50000,"$25k-$50k",IF(D4178&lt;75000,"$50k-$75k",IF(D4178&lt;100000,"$75k-$100k","$100k+")))))</x:f>
        <x:v>$50k-$75k</x:v>
      </x:c>
      <x:c r="P4178" t="str">
        <x:f>IF(E4178="","Unknown",IF(E4178&lt;10,"&lt;10",IF(E4178&lt;20,"10-&lt;20",IF(E4178&lt;25,"20-&lt;25",IF(E4178&lt;35,"25-&lt;35","35+")))))</x:f>
        <x:v>&lt;10</x:v>
      </x:c>
    </x:row>
    <x:row r="4179">
      <x:c r="A4179" t="str">
        <x:v>SYN0004178</x:v>
      </x:c>
      <x:c r="B4179" s="12" t="n">
        <x:v>41395</x:v>
      </x:c>
      <x:c r="C4179" s="18" t="n">
        <x:v>12093</x:v>
      </x:c>
      <x:c r="D4179" s="18" t="n">
        <x:v>30432</x:v>
      </x:c>
      <x:c r="E4179" s="18" t="n">
        <x:v>20.32</x:v>
      </x:c>
      <x:c r="F4179" s="18" t="n">
        <x:v>25.67</x:v>
      </x:c>
      <x:c r="G4179" t="n">
        <x:v>36</x:v>
      </x:c>
      <x:c r="H4179" t="str">
        <x:v>G</x:v>
      </x:c>
      <x:c r="I4179" t="str">
        <x:v>1-3 years</x:v>
      </x:c>
      <x:c r="J4179" t="str">
        <x:v>OWN</x:v>
      </x:c>
      <x:c r="K4179" t="str">
        <x:v>credit_card</x:v>
      </x:c>
      <x:c r="L4179" t="n">
        <x:v>1</x:v>
      </x:c>
      <x:c r="M4179" t="n">
        <x:v>1</x:v>
      </x:c>
      <x:c r="N4179" t="str">
        <x:v>Charged Off</x:v>
      </x:c>
      <x:c r="O4179" t="str">
        <x:f>IF(D4179="","Unknown",IF(D4179&lt;25000,"&lt;$25k",IF(D4179&lt;50000,"$25k-$50k",IF(D4179&lt;75000,"$50k-$75k",IF(D4179&lt;100000,"$75k-$100k","$100k+")))))</x:f>
        <x:v>$25k-$50k</x:v>
      </x:c>
      <x:c r="P4179" t="str">
        <x:f>IF(E4179="","Unknown",IF(E4179&lt;10,"&lt;10",IF(E4179&lt;20,"10-&lt;20",IF(E4179&lt;25,"20-&lt;25",IF(E4179&lt;35,"25-&lt;35","35+")))))</x:f>
        <x:v>20-&lt;25</x:v>
      </x:c>
    </x:row>
    <x:row r="4180">
      <x:c r="A4180" t="str">
        <x:v>SYN0004179</x:v>
      </x:c>
      <x:c r="B4180" s="12" t="n">
        <x:v>43345</x:v>
      </x:c>
      <x:c r="C4180" s="18" t="n">
        <x:v>13957</x:v>
      </x:c>
      <x:c r="D4180" s="18" t="n">
        <x:v>40090</x:v>
      </x:c>
      <x:c r="E4180" s="18" t="n">
        <x:v>22.14</x:v>
      </x:c>
      <x:c r="F4180" s="18" t="n">
        <x:v>20.56</x:v>
      </x:c>
      <x:c r="G4180" t="n">
        <x:v>36</x:v>
      </x:c>
      <x:c r="H4180" t="str">
        <x:v>E</x:v>
      </x:c>
      <x:c r="I4180" t="str">
        <x:v>7-9 years</x:v>
      </x:c>
      <x:c r="J4180" t="str">
        <x:v>OWN</x:v>
      </x:c>
      <x:c r="K4180" t="str">
        <x:v>debt_consolidation</x:v>
      </x:c>
      <x:c r="L4180" t="n">
        <x:v>1</x:v>
      </x:c>
      <x:c r="M4180" t="n">
        <x:v>0</x:v>
      </x:c>
      <x:c r="N4180" t="str">
        <x:v>Fully Paid</x:v>
      </x:c>
      <x:c r="O4180" t="str">
        <x:f>IF(D4180="","Unknown",IF(D4180&lt;25000,"&lt;$25k",IF(D4180&lt;50000,"$25k-$50k",IF(D4180&lt;75000,"$50k-$75k",IF(D4180&lt;100000,"$75k-$100k","$100k+")))))</x:f>
        <x:v>$25k-$50k</x:v>
      </x:c>
      <x:c r="P4180" t="str">
        <x:f>IF(E4180="","Unknown",IF(E4180&lt;10,"&lt;10",IF(E4180&lt;20,"10-&lt;20",IF(E4180&lt;25,"20-&lt;25",IF(E4180&lt;35,"25-&lt;35","35+")))))</x:f>
        <x:v>20-&lt;25</x:v>
      </x:c>
    </x:row>
    <x:row r="4181">
      <x:c r="A4181" t="str">
        <x:v>SYN0004180</x:v>
      </x:c>
      <x:c r="B4181" s="12" t="n">
        <x:v>41935</x:v>
      </x:c>
      <x:c r="C4181" s="18" t="n">
        <x:v>26948</x:v>
      </x:c>
      <x:c r="D4181" s="18" t="n">
        <x:v>224765</x:v>
      </x:c>
      <x:c r="E4181" s="18" t="n">
        <x:v>13.68</x:v>
      </x:c>
      <x:c r="F4181" s="18" t="n">
        <x:v>5.45</x:v>
      </x:c>
      <x:c r="G4181" t="n">
        <x:v>36</x:v>
      </x:c>
      <x:c r="H4181" t="str">
        <x:v>A</x:v>
      </x:c>
      <x:c r="I4181" t="str">
        <x:v>4-6 years</x:v>
      </x:c>
      <x:c r="J4181" t="str">
        <x:v>RENT</x:v>
      </x:c>
      <x:c r="K4181" t="str">
        <x:v>debt_consolidation</x:v>
      </x:c>
      <x:c r="L4181" t="n">
        <x:v>1</x:v>
      </x:c>
      <x:c r="M4181" t="n">
        <x:v>0</x:v>
      </x:c>
      <x:c r="N4181" t="str">
        <x:v>Fully Paid</x:v>
      </x:c>
      <x:c r="O4181" t="str">
        <x:f>IF(D4181="","Unknown",IF(D4181&lt;25000,"&lt;$25k",IF(D4181&lt;50000,"$25k-$50k",IF(D4181&lt;75000,"$50k-$75k",IF(D4181&lt;100000,"$75k-$100k","$100k+")))))</x:f>
        <x:v>$100k+</x:v>
      </x:c>
      <x:c r="P4181" t="str">
        <x:f>IF(E4181="","Unknown",IF(E4181&lt;10,"&lt;10",IF(E4181&lt;20,"10-&lt;20",IF(E4181&lt;25,"20-&lt;25",IF(E4181&lt;35,"25-&lt;35","35+")))))</x:f>
        <x:v>10-&lt;20</x:v>
      </x:c>
    </x:row>
    <x:row r="4182">
      <x:c r="A4182" t="str">
        <x:v>SYN0004181</x:v>
      </x:c>
      <x:c r="B4182" s="12" t="n">
        <x:v>41815</x:v>
      </x:c>
      <x:c r="C4182" s="18" t="n">
        <x:v>12476</x:v>
      </x:c>
      <x:c r="D4182" s="18" t="n">
        <x:v>36327</x:v>
      </x:c>
      <x:c r="E4182" s="18" t="n">
        <x:v>25.61</x:v>
      </x:c>
      <x:c r="F4182" s="18" t="n">
        <x:v>13.34</x:v>
      </x:c>
      <x:c r="G4182" t="n">
        <x:v>36</x:v>
      </x:c>
      <x:c r="H4182" t="str">
        <x:v>B</x:v>
      </x:c>
      <x:c r="I4182" t="str">
        <x:v>4-6 years</x:v>
      </x:c>
      <x:c r="J4182" t="str">
        <x:v>OTHER</x:v>
      </x:c>
      <x:c r="K4182" t="str">
        <x:v>debt_consolidation</x:v>
      </x:c>
      <x:c r="L4182" t="n">
        <x:v>0</x:v>
      </x:c>
      <x:c r="M4182" t="n">
        <x:v>0</x:v>
      </x:c>
      <x:c r="N4182" t="str">
        <x:v>Fully Paid</x:v>
      </x:c>
      <x:c r="O4182" t="str">
        <x:f>IF(D4182="","Unknown",IF(D4182&lt;25000,"&lt;$25k",IF(D4182&lt;50000,"$25k-$50k",IF(D4182&lt;75000,"$50k-$75k",IF(D4182&lt;100000,"$75k-$100k","$100k+")))))</x:f>
        <x:v>$25k-$50k</x:v>
      </x:c>
      <x:c r="P4182" t="str">
        <x:f>IF(E4182="","Unknown",IF(E4182&lt;10,"&lt;10",IF(E4182&lt;20,"10-&lt;20",IF(E4182&lt;25,"20-&lt;25",IF(E4182&lt;35,"25-&lt;35","35+")))))</x:f>
        <x:v>25-&lt;35</x:v>
      </x:c>
    </x:row>
    <x:row r="4183">
      <x:c r="A4183" t="str">
        <x:v>SYN0004182</x:v>
      </x:c>
      <x:c r="B4183" s="12" t="n">
        <x:v>42385</x:v>
      </x:c>
      <x:c r="C4183" s="18" t="n">
        <x:v>8204</x:v>
      </x:c>
      <x:c r="D4183" s="18" t="n">
        <x:v>42413</x:v>
      </x:c>
      <x:c r="E4183" s="18" t="n">
        <x:v>12.19</x:v>
      </x:c>
      <x:c r="F4183" s="18" t="n">
        <x:v>5</x:v>
      </x:c>
      <x:c r="G4183" t="n">
        <x:v>36</x:v>
      </x:c>
      <x:c r="H4183" t="str">
        <x:v>A</x:v>
      </x:c>
      <x:c r="I4183" t="str">
        <x:v>&lt;1 year</x:v>
      </x:c>
      <x:c r="J4183" t="str">
        <x:v>RENT</x:v>
      </x:c>
      <x:c r="K4183" t="str">
        <x:v>debt_consolidation</x:v>
      </x:c>
      <x:c r="L4183" t="n">
        <x:v>0</x:v>
      </x:c>
      <x:c r="M4183" t="n">
        <x:v>0</x:v>
      </x:c>
      <x:c r="N4183" t="str">
        <x:v>Fully Paid</x:v>
      </x:c>
      <x:c r="O4183" t="str">
        <x:f>IF(D4183="","Unknown",IF(D4183&lt;25000,"&lt;$25k",IF(D4183&lt;50000,"$25k-$50k",IF(D4183&lt;75000,"$50k-$75k",IF(D4183&lt;100000,"$75k-$100k","$100k+")))))</x:f>
        <x:v>$25k-$50k</x:v>
      </x:c>
      <x:c r="P4183" t="str">
        <x:f>IF(E4183="","Unknown",IF(E4183&lt;10,"&lt;10",IF(E4183&lt;20,"10-&lt;20",IF(E4183&lt;25,"20-&lt;25",IF(E4183&lt;35,"25-&lt;35","35+")))))</x:f>
        <x:v>10-&lt;20</x:v>
      </x:c>
    </x:row>
    <x:row r="4184">
      <x:c r="A4184" t="str">
        <x:v>SYN0004183</x:v>
      </x:c>
      <x:c r="B4184" s="12" t="n">
        <x:v>41995</x:v>
      </x:c>
      <x:c r="C4184" s="18" t="n">
        <x:v>7396</x:v>
      </x:c>
      <x:c r="D4184" s="18" t="n">
        <x:v>175685</x:v>
      </x:c>
      <x:c r="E4184" s="18" t="n">
        <x:v>18.63</x:v>
      </x:c>
      <x:c r="F4184" s="18" t="n">
        <x:v>11.2</x:v>
      </x:c>
      <x:c r="G4184" t="n">
        <x:v>36</x:v>
      </x:c>
      <x:c r="H4184" t="str">
        <x:v>B</x:v>
      </x:c>
      <x:c r="I4184" t="str">
        <x:v>7-9 years</x:v>
      </x:c>
      <x:c r="J4184" t="str">
        <x:v>RENT</x:v>
      </x:c>
      <x:c r="K4184" t="str">
        <x:v>debt_consolidation</x:v>
      </x:c>
      <x:c r="L4184" t="n">
        <x:v>0</x:v>
      </x:c>
      <x:c r="M4184" t="n">
        <x:v>0</x:v>
      </x:c>
      <x:c r="N4184" t="str">
        <x:v>Fully Paid</x:v>
      </x:c>
      <x:c r="O4184" t="str">
        <x:f>IF(D4184="","Unknown",IF(D4184&lt;25000,"&lt;$25k",IF(D4184&lt;50000,"$25k-$50k",IF(D4184&lt;75000,"$50k-$75k",IF(D4184&lt;100000,"$75k-$100k","$100k+")))))</x:f>
        <x:v>$100k+</x:v>
      </x:c>
      <x:c r="P4184" t="str">
        <x:f>IF(E4184="","Unknown",IF(E4184&lt;10,"&lt;10",IF(E4184&lt;20,"10-&lt;20",IF(E4184&lt;25,"20-&lt;25",IF(E4184&lt;35,"25-&lt;35","35+")))))</x:f>
        <x:v>10-&lt;20</x:v>
      </x:c>
    </x:row>
    <x:row r="4185">
      <x:c r="A4185" t="str">
        <x:v>SYN0004184</x:v>
      </x:c>
      <x:c r="B4185" s="12" t="n">
        <x:v>42085</x:v>
      </x:c>
      <x:c r="C4185" s="18" t="n">
        <x:v>11682</x:v>
      </x:c>
      <x:c r="D4185" s="18" t="n">
        <x:v>82212</x:v>
      </x:c>
      <x:c r="E4185" s="18" t="n">
        <x:v>24.16</x:v>
      </x:c>
      <x:c r="F4185" s="18" t="n">
        <x:v>14.92</x:v>
      </x:c>
      <x:c r="G4185" t="n">
        <x:v>36</x:v>
      </x:c>
      <x:c r="H4185" t="str">
        <x:v>D</x:v>
      </x:c>
      <x:c r="I4185" t="str">
        <x:v>1-3 years</x:v>
      </x:c>
      <x:c r="J4185" t="str">
        <x:v>RENT</x:v>
      </x:c>
      <x:c r="K4185" t="str">
        <x:v>debt_consolidation</x:v>
      </x:c>
      <x:c r="L4185" t="n">
        <x:v>1</x:v>
      </x:c>
      <x:c r="M4185" t="n">
        <x:v>0</x:v>
      </x:c>
      <x:c r="N4185" t="str">
        <x:v>Fully Paid</x:v>
      </x:c>
      <x:c r="O4185" t="str">
        <x:f>IF(D4185="","Unknown",IF(D4185&lt;25000,"&lt;$25k",IF(D4185&lt;50000,"$25k-$50k",IF(D4185&lt;75000,"$50k-$75k",IF(D4185&lt;100000,"$75k-$100k","$100k+")))))</x:f>
        <x:v>$75k-$100k</x:v>
      </x:c>
      <x:c r="P4185" t="str">
        <x:f>IF(E4185="","Unknown",IF(E4185&lt;10,"&lt;10",IF(E4185&lt;20,"10-&lt;20",IF(E4185&lt;25,"20-&lt;25",IF(E4185&lt;35,"25-&lt;35","35+")))))</x:f>
        <x:v>20-&lt;25</x:v>
      </x:c>
    </x:row>
    <x:row r="4186">
      <x:c r="A4186" t="str">
        <x:v>SYN0004185</x:v>
      </x:c>
      <x:c r="B4186" s="12" t="n">
        <x:v>43375</x:v>
      </x:c>
      <x:c r="C4186" s="18" t="n">
        <x:v>13850</x:v>
      </x:c>
      <x:c r="D4186" s="18" t="n">
        <x:v>234220</x:v>
      </x:c>
      <x:c r="E4186" s="18" t="n">
        <x:v>23.29</x:v>
      </x:c>
      <x:c r="F4186" s="18" t="n">
        <x:v>6.03</x:v>
      </x:c>
      <x:c r="G4186" t="n">
        <x:v>36</x:v>
      </x:c>
      <x:c r="H4186" t="str">
        <x:v>B</x:v>
      </x:c>
      <x:c r="I4186" t="str">
        <x:v>&lt;1 year</x:v>
      </x:c>
      <x:c r="J4186" t="str">
        <x:v>MORTGAGE</x:v>
      </x:c>
      <x:c r="K4186" t="str">
        <x:v>debt_consolidation</x:v>
      </x:c>
      <x:c r="L4186" t="n">
        <x:v>1</x:v>
      </x:c>
      <x:c r="M4186" t="n">
        <x:v>0</x:v>
      </x:c>
      <x:c r="N4186" t="str">
        <x:v>Fully Paid</x:v>
      </x:c>
      <x:c r="O4186" t="str">
        <x:f>IF(D4186="","Unknown",IF(D4186&lt;25000,"&lt;$25k",IF(D4186&lt;50000,"$25k-$50k",IF(D4186&lt;75000,"$50k-$75k",IF(D4186&lt;100000,"$75k-$100k","$100k+")))))</x:f>
        <x:v>$100k+</x:v>
      </x:c>
      <x:c r="P4186" t="str">
        <x:f>IF(E4186="","Unknown",IF(E4186&lt;10,"&lt;10",IF(E4186&lt;20,"10-&lt;20",IF(E4186&lt;25,"20-&lt;25",IF(E4186&lt;35,"25-&lt;35","35+")))))</x:f>
        <x:v>20-&lt;25</x:v>
      </x:c>
    </x:row>
    <x:row r="4187">
      <x:c r="A4187" t="str">
        <x:v>SYN0004186</x:v>
      </x:c>
      <x:c r="B4187" s="12" t="n">
        <x:v>43105</x:v>
      </x:c>
      <x:c r="C4187" s="18" t="n">
        <x:v>10848</x:v>
      </x:c>
      <x:c r="D4187" s="18" t="n">
        <x:v>127599</x:v>
      </x:c>
      <x:c r="E4187" s="18" t="n">
        <x:v>13.11</x:v>
      </x:c>
      <x:c r="F4187" s="18" t="n">
        <x:v>5</x:v>
      </x:c>
      <x:c r="G4187" t="n">
        <x:v>36</x:v>
      </x:c>
      <x:c r="H4187" t="str">
        <x:v>A</x:v>
      </x:c>
      <x:c r="I4187" t="str">
        <x:v>1-3 years</x:v>
      </x:c>
      <x:c r="J4187" t="str">
        <x:v>MORTGAGE</x:v>
      </x:c>
      <x:c r="K4187" t="str">
        <x:v>credit_card</x:v>
      </x:c>
      <x:c r="L4187" t="n">
        <x:v>0</x:v>
      </x:c>
      <x:c r="M4187" t="n">
        <x:v>1</x:v>
      </x:c>
      <x:c r="N4187" t="str">
        <x:v>Charged Off</x:v>
      </x:c>
      <x:c r="O4187" t="str">
        <x:f>IF(D4187="","Unknown",IF(D4187&lt;25000,"&lt;$25k",IF(D4187&lt;50000,"$25k-$50k",IF(D4187&lt;75000,"$50k-$75k",IF(D4187&lt;100000,"$75k-$100k","$100k+")))))</x:f>
        <x:v>$100k+</x:v>
      </x:c>
      <x:c r="P4187" t="str">
        <x:f>IF(E4187="","Unknown",IF(E4187&lt;10,"&lt;10",IF(E4187&lt;20,"10-&lt;20",IF(E4187&lt;25,"20-&lt;25",IF(E4187&lt;35,"25-&lt;35","35+")))))</x:f>
        <x:v>10-&lt;20</x:v>
      </x:c>
    </x:row>
    <x:row r="4188">
      <x:c r="A4188" t="str">
        <x:v>SYN0004187</x:v>
      </x:c>
      <x:c r="B4188" s="12" t="n">
        <x:v>41905</x:v>
      </x:c>
      <x:c r="C4188" s="18" t="n">
        <x:v>7388</x:v>
      </x:c>
      <x:c r="D4188" s="18" t="n">
        <x:v>66165</x:v>
      </x:c>
      <x:c r="E4188" s="18" t="n">
        <x:v>8.05</x:v>
      </x:c>
      <x:c r="F4188" s="18" t="n">
        <x:v>9.4</x:v>
      </x:c>
      <x:c r="G4188" t="n">
        <x:v>36</x:v>
      </x:c>
      <x:c r="H4188" t="str">
        <x:v>C</x:v>
      </x:c>
      <x:c r="I4188" t="str">
        <x:v>4-6 years</x:v>
      </x:c>
      <x:c r="J4188" t="str">
        <x:v>OWN</x:v>
      </x:c>
      <x:c r="K4188" t="str">
        <x:v>home_improvement</x:v>
      </x:c>
      <x:c r="L4188" t="n">
        <x:v>0</x:v>
      </x:c>
      <x:c r="M4188" t="n">
        <x:v>0</x:v>
      </x:c>
      <x:c r="N4188" t="str">
        <x:v>Fully Paid</x:v>
      </x:c>
      <x:c r="O4188" t="str">
        <x:f>IF(D4188="","Unknown",IF(D4188&lt;25000,"&lt;$25k",IF(D4188&lt;50000,"$25k-$50k",IF(D4188&lt;75000,"$50k-$75k",IF(D4188&lt;100000,"$75k-$100k","$100k+")))))</x:f>
        <x:v>$50k-$75k</x:v>
      </x:c>
      <x:c r="P4188" t="str">
        <x:f>IF(E4188="","Unknown",IF(E4188&lt;10,"&lt;10",IF(E4188&lt;20,"10-&lt;20",IF(E4188&lt;25,"20-&lt;25",IF(E4188&lt;35,"25-&lt;35","35+")))))</x:f>
        <x:v>&lt;10</x:v>
      </x:c>
    </x:row>
    <x:row r="4189">
      <x:c r="A4189" t="str">
        <x:v>SYN0004188</x:v>
      </x:c>
      <x:c r="B4189" s="12" t="n">
        <x:v>41905</x:v>
      </x:c>
      <x:c r="C4189" s="18" t="n">
        <x:v>15997</x:v>
      </x:c>
      <x:c r="D4189" s="18" t="n">
        <x:v>28180</x:v>
      </x:c>
      <x:c r="E4189" s="18" t="n">
        <x:v>30.93</x:v>
      </x:c>
      <x:c r="F4189" s="18" t="n">
        <x:v>16.73</x:v>
      </x:c>
      <x:c r="G4189" t="n">
        <x:v>36</x:v>
      </x:c>
      <x:c r="H4189" t="str">
        <x:v>D</x:v>
      </x:c>
      <x:c r="I4189" t="str">
        <x:v>10+ years</x:v>
      </x:c>
      <x:c r="J4189" t="str">
        <x:v>MORTGAGE</x:v>
      </x:c>
      <x:c r="K4189" t="str">
        <x:v>debt_consolidation</x:v>
      </x:c>
      <x:c r="L4189" t="n">
        <x:v>0</x:v>
      </x:c>
      <x:c r="M4189" t="n">
        <x:v>0</x:v>
      </x:c>
      <x:c r="N4189" t="str">
        <x:v>Fully Paid</x:v>
      </x:c>
      <x:c r="O4189" t="str">
        <x:f>IF(D4189="","Unknown",IF(D4189&lt;25000,"&lt;$25k",IF(D4189&lt;50000,"$25k-$50k",IF(D4189&lt;75000,"$50k-$75k",IF(D4189&lt;100000,"$75k-$100k","$100k+")))))</x:f>
        <x:v>$25k-$50k</x:v>
      </x:c>
      <x:c r="P4189" t="str">
        <x:f>IF(E4189="","Unknown",IF(E4189&lt;10,"&lt;10",IF(E4189&lt;20,"10-&lt;20",IF(E4189&lt;25,"20-&lt;25",IF(E4189&lt;35,"25-&lt;35","35+")))))</x:f>
        <x:v>25-&lt;35</x:v>
      </x:c>
    </x:row>
    <x:row r="4190">
      <x:c r="A4190" t="str">
        <x:v>SYN0004189</x:v>
      </x:c>
      <x:c r="B4190" s="12" t="n">
        <x:v>41785</x:v>
      </x:c>
      <x:c r="C4190" s="18" t="n">
        <x:v>7469</x:v>
      </x:c>
      <x:c r="D4190" s="18" t="n">
        <x:v>125982</x:v>
      </x:c>
      <x:c r="E4190" s="18" t="n">
        <x:v>33.32</x:v>
      </x:c>
      <x:c r="F4190" s="18" t="n">
        <x:v>7.76</x:v>
      </x:c>
      <x:c r="G4190" t="n">
        <x:v>36</x:v>
      </x:c>
      <x:c r="H4190" t="str">
        <x:v>B</x:v>
      </x:c>
      <x:c r="I4190" t="str">
        <x:v>1-3 years</x:v>
      </x:c>
      <x:c r="J4190" t="str">
        <x:v>RENT</x:v>
      </x:c>
      <x:c r="K4190" t="str">
        <x:v>credit_card</x:v>
      </x:c>
      <x:c r="L4190" t="n">
        <x:v>1</x:v>
      </x:c>
      <x:c r="M4190" t="n">
        <x:v>0</x:v>
      </x:c>
      <x:c r="N4190" t="str">
        <x:v>Fully Paid</x:v>
      </x:c>
      <x:c r="O4190" t="str">
        <x:f>IF(D4190="","Unknown",IF(D4190&lt;25000,"&lt;$25k",IF(D4190&lt;50000,"$25k-$50k",IF(D4190&lt;75000,"$50k-$75k",IF(D4190&lt;100000,"$75k-$100k","$100k+")))))</x:f>
        <x:v>$100k+</x:v>
      </x:c>
      <x:c r="P4190" t="str">
        <x:f>IF(E4190="","Unknown",IF(E4190&lt;10,"&lt;10",IF(E4190&lt;20,"10-&lt;20",IF(E4190&lt;25,"20-&lt;25",IF(E4190&lt;35,"25-&lt;35","35+")))))</x:f>
        <x:v>25-&lt;35</x:v>
      </x:c>
    </x:row>
    <x:row r="4191">
      <x:c r="A4191" t="str">
        <x:v>SYN0004190</x:v>
      </x:c>
      <x:c r="B4191" s="12" t="n">
        <x:v>42295</x:v>
      </x:c>
      <x:c r="C4191" s="18" t="n">
        <x:v>12972</x:v>
      </x:c>
      <x:c r="D4191" s="18" t="n">
        <x:v>56555</x:v>
      </x:c>
      <x:c r="E4191" s="18" t="n">
        <x:v>24.34</x:v>
      </x:c>
      <x:c r="F4191" s="18" t="n">
        <x:v>14.72</x:v>
      </x:c>
      <x:c r="G4191" t="n">
        <x:v>36</x:v>
      </x:c>
      <x:c r="H4191" t="str">
        <x:v>D</x:v>
      </x:c>
      <x:c r="I4191" t="str">
        <x:v>&lt;1 year</x:v>
      </x:c>
      <x:c r="J4191" t="str">
        <x:v>RENT</x:v>
      </x:c>
      <x:c r="K4191" t="str">
        <x:v>credit_card</x:v>
      </x:c>
      <x:c r="L4191" t="n">
        <x:v>1</x:v>
      </x:c>
      <x:c r="M4191" t="n">
        <x:v>1</x:v>
      </x:c>
      <x:c r="N4191" t="str">
        <x:v>Charged Off</x:v>
      </x:c>
      <x:c r="O4191" t="str">
        <x:f>IF(D4191="","Unknown",IF(D4191&lt;25000,"&lt;$25k",IF(D4191&lt;50000,"$25k-$50k",IF(D4191&lt;75000,"$50k-$75k",IF(D4191&lt;100000,"$75k-$100k","$100k+")))))</x:f>
        <x:v>$50k-$75k</x:v>
      </x:c>
      <x:c r="P4191" t="str">
        <x:f>IF(E4191="","Unknown",IF(E4191&lt;10,"&lt;10",IF(E4191&lt;20,"10-&lt;20",IF(E4191&lt;25,"20-&lt;25",IF(E4191&lt;35,"25-&lt;35","35+")))))</x:f>
        <x:v>20-&lt;25</x:v>
      </x:c>
    </x:row>
    <x:row r="4192">
      <x:c r="A4192" t="str">
        <x:v>SYN0004191</x:v>
      </x:c>
      <x:c r="B4192" s="12" t="n">
        <x:v>43075</x:v>
      </x:c>
      <x:c r="C4192" s="18" t="n">
        <x:v>22773</x:v>
      </x:c>
      <x:c r="D4192" s="18" t="n">
        <x:v>41092</x:v>
      </x:c>
      <x:c r="E4192" s="18" t="n">
        <x:v>18.37</x:v>
      </x:c>
      <x:c r="F4192" s="18" t="n">
        <x:v>10.82</x:v>
      </x:c>
      <x:c r="G4192" t="n">
        <x:v>36</x:v>
      </x:c>
      <x:c r="H4192" t="str">
        <x:v>C</x:v>
      </x:c>
      <x:c r="I4192" t="str">
        <x:v>&lt;1 year</x:v>
      </x:c>
      <x:c r="J4192" t="str">
        <x:v>RENT</x:v>
      </x:c>
      <x:c r="K4192" t="str">
        <x:v>debt_consolidation</x:v>
      </x:c>
      <x:c r="L4192" t="n">
        <x:v>1</x:v>
      </x:c>
      <x:c r="M4192" t="n">
        <x:v>0</x:v>
      </x:c>
      <x:c r="N4192" t="str">
        <x:v>Fully Paid</x:v>
      </x:c>
      <x:c r="O4192" t="str">
        <x:f>IF(D4192="","Unknown",IF(D4192&lt;25000,"&lt;$25k",IF(D4192&lt;50000,"$25k-$50k",IF(D4192&lt;75000,"$50k-$75k",IF(D4192&lt;100000,"$75k-$100k","$100k+")))))</x:f>
        <x:v>$25k-$50k</x:v>
      </x:c>
      <x:c r="P4192" t="str">
        <x:f>IF(E4192="","Unknown",IF(E4192&lt;10,"&lt;10",IF(E4192&lt;20,"10-&lt;20",IF(E4192&lt;25,"20-&lt;25",IF(E4192&lt;35,"25-&lt;35","35+")))))</x:f>
        <x:v>10-&lt;20</x:v>
      </x:c>
    </x:row>
    <x:row r="4193">
      <x:c r="A4193" t="str">
        <x:v>SYN0004192</x:v>
      </x:c>
      <x:c r="B4193" s="12" t="n">
        <x:v>41395</x:v>
      </x:c>
      <x:c r="C4193" s="18" t="n">
        <x:v>19535</x:v>
      </x:c>
      <x:c r="D4193" s="18" t="n">
        <x:v>93052</x:v>
      </x:c>
      <x:c r="E4193" s="18" t="n">
        <x:v>11.34</x:v>
      </x:c>
      <x:c r="F4193" s="18" t="n">
        <x:v>7.36</x:v>
      </x:c>
      <x:c r="G4193" t="n">
        <x:v>36</x:v>
      </x:c>
      <x:c r="H4193" t="str">
        <x:v>B</x:v>
      </x:c>
      <x:c r="I4193" t="str">
        <x:v>7-9 years</x:v>
      </x:c>
      <x:c r="J4193" t="str">
        <x:v>RENT</x:v>
      </x:c>
      <x:c r="K4193" t="str">
        <x:v>home_improvement</x:v>
      </x:c>
      <x:c r="L4193" t="n">
        <x:v>0</x:v>
      </x:c>
      <x:c r="M4193" t="n">
        <x:v>0</x:v>
      </x:c>
      <x:c r="N4193" t="str">
        <x:v>Fully Paid</x:v>
      </x:c>
      <x:c r="O4193" t="str">
        <x:f>IF(D4193="","Unknown",IF(D4193&lt;25000,"&lt;$25k",IF(D4193&lt;50000,"$25k-$50k",IF(D4193&lt;75000,"$50k-$75k",IF(D4193&lt;100000,"$75k-$100k","$100k+")))))</x:f>
        <x:v>$75k-$100k</x:v>
      </x:c>
      <x:c r="P4193" t="str">
        <x:f>IF(E4193="","Unknown",IF(E4193&lt;10,"&lt;10",IF(E4193&lt;20,"10-&lt;20",IF(E4193&lt;25,"20-&lt;25",IF(E4193&lt;35,"25-&lt;35","35+")))))</x:f>
        <x:v>10-&lt;20</x:v>
      </x:c>
    </x:row>
    <x:row r="4194">
      <x:c r="A4194" t="str">
        <x:v>SYN0004193</x:v>
      </x:c>
      <x:c r="B4194" s="12" t="n">
        <x:v>42205</x:v>
      </x:c>
      <x:c r="C4194" s="18" t="n">
        <x:v>10543</x:v>
      </x:c>
      <x:c r="D4194" s="18" t="n">
        <x:v>58627</x:v>
      </x:c>
      <x:c r="E4194" s="18" t="n">
        <x:v>22.49</x:v>
      </x:c>
      <x:c r="F4194" s="18" t="n">
        <x:v>14.99</x:v>
      </x:c>
      <x:c r="G4194" t="n">
        <x:v>36</x:v>
      </x:c>
      <x:c r="H4194" t="str">
        <x:v>D</x:v>
      </x:c>
      <x:c r="I4194" t="str">
        <x:v>4-6 years</x:v>
      </x:c>
      <x:c r="J4194" t="str">
        <x:v>OWN</x:v>
      </x:c>
      <x:c r="K4194" t="str">
        <x:v>home_improvement</x:v>
      </x:c>
      <x:c r="L4194" t="n">
        <x:v>0</x:v>
      </x:c>
      <x:c r="M4194" t="n">
        <x:v>1</x:v>
      </x:c>
      <x:c r="N4194" t="str">
        <x:v>Charged Off</x:v>
      </x:c>
      <x:c r="O4194" t="str">
        <x:f>IF(D4194="","Unknown",IF(D4194&lt;25000,"&lt;$25k",IF(D4194&lt;50000,"$25k-$50k",IF(D4194&lt;75000,"$50k-$75k",IF(D4194&lt;100000,"$75k-$100k","$100k+")))))</x:f>
        <x:v>$50k-$75k</x:v>
      </x:c>
      <x:c r="P4194" t="str">
        <x:f>IF(E4194="","Unknown",IF(E4194&lt;10,"&lt;10",IF(E4194&lt;20,"10-&lt;20",IF(E4194&lt;25,"20-&lt;25",IF(E4194&lt;35,"25-&lt;35","35+")))))</x:f>
        <x:v>20-&lt;25</x:v>
      </x:c>
    </x:row>
    <x:row r="4195">
      <x:c r="A4195" t="str">
        <x:v>SYN0004194</x:v>
      </x:c>
      <x:c r="B4195" s="12" t="n">
        <x:v>43375</x:v>
      </x:c>
      <x:c r="C4195" s="18" t="n">
        <x:v>12402</x:v>
      </x:c>
      <x:c r="D4195" s="18" t="n">
        <x:v>87616</x:v>
      </x:c>
      <x:c r="E4195" s="18" t="n">
        <x:v>35.59</x:v>
      </x:c>
      <x:c r="F4195" s="18" t="n">
        <x:v>10.38</x:v>
      </x:c>
      <x:c r="G4195" t="n">
        <x:v>36</x:v>
      </x:c>
      <x:c r="H4195" t="str">
        <x:v>B</x:v>
      </x:c>
      <x:c r="I4195" t="str">
        <x:v>&lt;1 year</x:v>
      </x:c>
      <x:c r="J4195" t="str">
        <x:v>RENT</x:v>
      </x:c>
      <x:c r="K4195" t="str">
        <x:v>debt_consolidation</x:v>
      </x:c>
      <x:c r="L4195" t="n">
        <x:v>1</x:v>
      </x:c>
      <x:c r="M4195" t="n">
        <x:v>0</x:v>
      </x:c>
      <x:c r="N4195" t="str">
        <x:v>Fully Paid</x:v>
      </x:c>
      <x:c r="O4195" t="str">
        <x:f>IF(D4195="","Unknown",IF(D4195&lt;25000,"&lt;$25k",IF(D4195&lt;50000,"$25k-$50k",IF(D4195&lt;75000,"$50k-$75k",IF(D4195&lt;100000,"$75k-$100k","$100k+")))))</x:f>
        <x:v>$75k-$100k</x:v>
      </x:c>
      <x:c r="P4195" t="str">
        <x:f>IF(E4195="","Unknown",IF(E4195&lt;10,"&lt;10",IF(E4195&lt;20,"10-&lt;20",IF(E4195&lt;25,"20-&lt;25",IF(E4195&lt;35,"25-&lt;35","35+")))))</x:f>
        <x:v>35+</x:v>
      </x:c>
    </x:row>
    <x:row r="4196">
      <x:c r="A4196" t="str">
        <x:v>SYN0004195</x:v>
      </x:c>
      <x:c r="B4196" s="12" t="n">
        <x:v>43015</x:v>
      </x:c>
      <x:c r="C4196" s="18" t="n">
        <x:v>8688</x:v>
      </x:c>
      <x:c r="D4196" s="18" t="n">
        <x:v>34280</x:v>
      </x:c>
      <x:c r="E4196" s="18" t="n">
        <x:v>10.56</x:v>
      </x:c>
      <x:c r="F4196" s="18" t="n">
        <x:v>14.32</x:v>
      </x:c>
      <x:c r="G4196" t="n">
        <x:v>36</x:v>
      </x:c>
      <x:c r="H4196" t="str">
        <x:v>D</x:v>
      </x:c>
      <x:c r="I4196" t="str">
        <x:v>1-3 years</x:v>
      </x:c>
      <x:c r="J4196" t="str">
        <x:v>MORTGAGE</x:v>
      </x:c>
      <x:c r="K4196" t="str">
        <x:v>debt_consolidation</x:v>
      </x:c>
      <x:c r="L4196" t="n">
        <x:v>0</x:v>
      </x:c>
      <x:c r="M4196" t="n">
        <x:v>0</x:v>
      </x:c>
      <x:c r="N4196" t="str">
        <x:v>Fully Paid</x:v>
      </x:c>
      <x:c r="O4196" t="str">
        <x:f>IF(D4196="","Unknown",IF(D4196&lt;25000,"&lt;$25k",IF(D4196&lt;50000,"$25k-$50k",IF(D4196&lt;75000,"$50k-$75k",IF(D4196&lt;100000,"$75k-$100k","$100k+")))))</x:f>
        <x:v>$25k-$50k</x:v>
      </x:c>
      <x:c r="P4196" t="str">
        <x:f>IF(E4196="","Unknown",IF(E4196&lt;10,"&lt;10",IF(E4196&lt;20,"10-&lt;20",IF(E4196&lt;25,"20-&lt;25",IF(E4196&lt;35,"25-&lt;35","35+")))))</x:f>
        <x:v>10-&lt;20</x:v>
      </x:c>
    </x:row>
    <x:row r="4197">
      <x:c r="A4197" t="str">
        <x:v>SYN0004196</x:v>
      </x:c>
      <x:c r="B4197" s="12" t="n">
        <x:v>41815</x:v>
      </x:c>
      <x:c r="C4197" s="18" t="n">
        <x:v>6706</x:v>
      </x:c>
      <x:c r="D4197" s="18" t="n">
        <x:v>19139</x:v>
      </x:c>
      <x:c r="E4197" s="18" t="n">
        <x:v>24.47</x:v>
      </x:c>
      <x:c r="F4197" s="18" t="n">
        <x:v>5</x:v>
      </x:c>
      <x:c r="G4197" t="n">
        <x:v>36</x:v>
      </x:c>
      <x:c r="H4197" t="str">
        <x:v>B</x:v>
      </x:c>
      <x:c r="I4197" t="str">
        <x:v>1-3 years</x:v>
      </x:c>
      <x:c r="J4197" t="str">
        <x:v>RENT</x:v>
      </x:c>
      <x:c r="K4197" t="str">
        <x:v>debt_consolidation</x:v>
      </x:c>
      <x:c r="L4197" t="n">
        <x:v>1</x:v>
      </x:c>
      <x:c r="M4197" t="n">
        <x:v>0</x:v>
      </x:c>
      <x:c r="N4197" t="str">
        <x:v>Fully Paid</x:v>
      </x:c>
      <x:c r="O4197" t="str">
        <x:f>IF(D4197="","Unknown",IF(D4197&lt;25000,"&lt;$25k",IF(D4197&lt;50000,"$25k-$50k",IF(D4197&lt;75000,"$50k-$75k",IF(D4197&lt;100000,"$75k-$100k","$100k+")))))</x:f>
        <x:v>&lt;$25k</x:v>
      </x:c>
      <x:c r="P4197" t="str">
        <x:f>IF(E4197="","Unknown",IF(E4197&lt;10,"&lt;10",IF(E4197&lt;20,"10-&lt;20",IF(E4197&lt;25,"20-&lt;25",IF(E4197&lt;35,"25-&lt;35","35+")))))</x:f>
        <x:v>20-&lt;25</x:v>
      </x:c>
    </x:row>
    <x:row r="4198">
      <x:c r="A4198" t="str">
        <x:v>SYN0004197</x:v>
      </x:c>
      <x:c r="B4198" s="12" t="n">
        <x:v>41935</x:v>
      </x:c>
      <x:c r="C4198" s="18" t="n">
        <x:v>31636</x:v>
      </x:c>
      <x:c r="D4198" s="18" t="n">
        <x:v>51757</x:v>
      </x:c>
      <x:c r="E4198" s="18" t="n">
        <x:v>20.57</x:v>
      </x:c>
      <x:c r="F4198" s="18" t="n">
        <x:v>13.46</x:v>
      </x:c>
      <x:c r="G4198" t="n">
        <x:v>36</x:v>
      </x:c>
      <x:c r="H4198" t="str">
        <x:v>D</x:v>
      </x:c>
      <x:c r="I4198" t="str">
        <x:v>&lt;1 year</x:v>
      </x:c>
      <x:c r="J4198" t="str">
        <x:v>OWN</x:v>
      </x:c>
      <x:c r="K4198" t="str">
        <x:v>other</x:v>
      </x:c>
      <x:c r="L4198" t="n">
        <x:v>0</x:v>
      </x:c>
      <x:c r="M4198" t="n">
        <x:v>0</x:v>
      </x:c>
      <x:c r="N4198" t="str">
        <x:v>Fully Paid</x:v>
      </x:c>
      <x:c r="O4198" t="str">
        <x:f>IF(D4198="","Unknown",IF(D4198&lt;25000,"&lt;$25k",IF(D4198&lt;50000,"$25k-$50k",IF(D4198&lt;75000,"$50k-$75k",IF(D4198&lt;100000,"$75k-$100k","$100k+")))))</x:f>
        <x:v>$50k-$75k</x:v>
      </x:c>
      <x:c r="P4198" t="str">
        <x:f>IF(E4198="","Unknown",IF(E4198&lt;10,"&lt;10",IF(E4198&lt;20,"10-&lt;20",IF(E4198&lt;25,"20-&lt;25",IF(E4198&lt;35,"25-&lt;35","35+")))))</x:f>
        <x:v>20-&lt;25</x:v>
      </x:c>
    </x:row>
    <x:row r="4199">
      <x:c r="A4199" t="str">
        <x:v>SYN0004198</x:v>
      </x:c>
      <x:c r="B4199" s="12" t="n">
        <x:v>42745</x:v>
      </x:c>
      <x:c r="C4199" s="18" t="n">
        <x:v>4674</x:v>
      </x:c>
      <x:c r="D4199" s="18" t="n">
        <x:v>67682</x:v>
      </x:c>
      <x:c r="E4199" s="18" t="n">
        <x:v>28.37</x:v>
      </x:c>
      <x:c r="F4199" s="18" t="n">
        <x:v>7.29</x:v>
      </x:c>
      <x:c r="G4199" t="n">
        <x:v>36</x:v>
      </x:c>
      <x:c r="H4199" t="str">
        <x:v>B</x:v>
      </x:c>
      <x:c r="I4199" t="str">
        <x:v>10+ years</x:v>
      </x:c>
      <x:c r="J4199" t="str">
        <x:v>OWN</x:v>
      </x:c>
      <x:c r="K4199" t="str">
        <x:v>debt_consolidation</x:v>
      </x:c>
      <x:c r="L4199" t="n">
        <x:v>0</x:v>
      </x:c>
      <x:c r="M4199" t="n">
        <x:v>0</x:v>
      </x:c>
      <x:c r="N4199" t="str">
        <x:v>Fully Paid</x:v>
      </x:c>
      <x:c r="O4199" t="str">
        <x:f>IF(D4199="","Unknown",IF(D4199&lt;25000,"&lt;$25k",IF(D4199&lt;50000,"$25k-$50k",IF(D4199&lt;75000,"$50k-$75k",IF(D4199&lt;100000,"$75k-$100k","$100k+")))))</x:f>
        <x:v>$50k-$75k</x:v>
      </x:c>
      <x:c r="P4199" t="str">
        <x:f>IF(E4199="","Unknown",IF(E4199&lt;10,"&lt;10",IF(E4199&lt;20,"10-&lt;20",IF(E4199&lt;25,"20-&lt;25",IF(E4199&lt;35,"25-&lt;35","35+")))))</x:f>
        <x:v>25-&lt;35</x:v>
      </x:c>
    </x:row>
    <x:row r="4200">
      <x:c r="A4200" t="str">
        <x:v>SYN0004199</x:v>
      </x:c>
      <x:c r="B4200" s="12" t="n">
        <x:v>41515</x:v>
      </x:c>
      <x:c r="C4200" s="18" t="n">
        <x:v>9064</x:v>
      </x:c>
      <x:c r="D4200" s="18" t="n">
        <x:v>166039</x:v>
      </x:c>
      <x:c r="E4200" s="18" t="n">
        <x:v>22.82</x:v>
      </x:c>
      <x:c r="F4200" s="18" t="n">
        <x:v>16.21</x:v>
      </x:c>
      <x:c r="G4200" t="n">
        <x:v>36</x:v>
      </x:c>
      <x:c r="H4200" t="str">
        <x:v>C</x:v>
      </x:c>
      <x:c r="I4200" t="str">
        <x:v>4-6 years</x:v>
      </x:c>
      <x:c r="J4200" t="str">
        <x:v>OWN</x:v>
      </x:c>
      <x:c r="K4200" t="str">
        <x:v>debt_consolidation</x:v>
      </x:c>
      <x:c r="L4200" t="n">
        <x:v>0</x:v>
      </x:c>
      <x:c r="M4200" t="n">
        <x:v>0</x:v>
      </x:c>
      <x:c r="N4200" t="str">
        <x:v>Fully Paid</x:v>
      </x:c>
      <x:c r="O4200" t="str">
        <x:f>IF(D4200="","Unknown",IF(D4200&lt;25000,"&lt;$25k",IF(D4200&lt;50000,"$25k-$50k",IF(D4200&lt;75000,"$50k-$75k",IF(D4200&lt;100000,"$75k-$100k","$100k+")))))</x:f>
        <x:v>$100k+</x:v>
      </x:c>
      <x:c r="P4200" t="str">
        <x:f>IF(E4200="","Unknown",IF(E4200&lt;10,"&lt;10",IF(E4200&lt;20,"10-&lt;20",IF(E4200&lt;25,"20-&lt;25",IF(E4200&lt;35,"25-&lt;35","35+")))))</x:f>
        <x:v>20-&lt;25</x:v>
      </x:c>
    </x:row>
    <x:row r="4201">
      <x:c r="A4201" t="str">
        <x:v>SYN0004200</x:v>
      </x:c>
      <x:c r="B4201" s="12" t="n">
        <x:v>42145</x:v>
      </x:c>
      <x:c r="C4201" s="18" t="n">
        <x:v>12832</x:v>
      </x:c>
      <x:c r="D4201" s="18" t="n">
        <x:v>35319</x:v>
      </x:c>
      <x:c r="E4201" s="18" t="n">
        <x:v>22.22</x:v>
      </x:c>
      <x:c r="F4201" s="18" t="n">
        <x:v>11.14</x:v>
      </x:c>
      <x:c r="G4201" t="n">
        <x:v>36</x:v>
      </x:c>
      <x:c r="H4201" t="str">
        <x:v>C</x:v>
      </x:c>
      <x:c r="I4201" t="str">
        <x:v>10+ years</x:v>
      </x:c>
      <x:c r="J4201" t="str">
        <x:v>MORTGAGE</x:v>
      </x:c>
      <x:c r="K4201" t="str">
        <x:v>home_improvement</x:v>
      </x:c>
      <x:c r="L4201" t="n">
        <x:v>1</x:v>
      </x:c>
      <x:c r="M4201" t="n">
        <x:v>1</x:v>
      </x:c>
      <x:c r="N4201" t="str">
        <x:v>Charged Off</x:v>
      </x:c>
      <x:c r="O4201" t="str">
        <x:f>IF(D4201="","Unknown",IF(D4201&lt;25000,"&lt;$25k",IF(D4201&lt;50000,"$25k-$50k",IF(D4201&lt;75000,"$50k-$75k",IF(D4201&lt;100000,"$75k-$100k","$100k+")))))</x:f>
        <x:v>$25k-$50k</x:v>
      </x:c>
      <x:c r="P4201" t="str">
        <x:f>IF(E4201="","Unknown",IF(E4201&lt;10,"&lt;10",IF(E4201&lt;20,"10-&lt;20",IF(E4201&lt;25,"20-&lt;25",IF(E4201&lt;35,"25-&lt;35","35+")))))</x:f>
        <x:v>20-&lt;25</x:v>
      </x:c>
    </x:row>
    <x:row r="4202">
      <x:c r="A4202" t="str">
        <x:v>SYN0004201</x:v>
      </x:c>
      <x:c r="B4202" s="12" t="n">
        <x:v>42025</x:v>
      </x:c>
      <x:c r="C4202" s="18" t="n">
        <x:v>8539</x:v>
      </x:c>
      <x:c r="D4202" s="18" t="n">
        <x:v>27494</x:v>
      </x:c>
      <x:c r="E4202" s="18" t="n">
        <x:v>11.17</x:v>
      </x:c>
      <x:c r="F4202" s="18" t="n">
        <x:v>11.7</x:v>
      </x:c>
      <x:c r="G4202" t="n">
        <x:v>36</x:v>
      </x:c>
      <x:c r="H4202" t="str">
        <x:v>D</x:v>
      </x:c>
      <x:c r="I4202" t="str">
        <x:v>7-9 years</x:v>
      </x:c>
      <x:c r="J4202" t="str">
        <x:v>MORTGAGE</x:v>
      </x:c>
      <x:c r="K4202" t="str">
        <x:v>credit_card</x:v>
      </x:c>
      <x:c r="L4202" t="n">
        <x:v>0</x:v>
      </x:c>
      <x:c r="M4202" t="n">
        <x:v>0</x:v>
      </x:c>
      <x:c r="N4202" t="str">
        <x:v>Fully Paid</x:v>
      </x:c>
      <x:c r="O4202" t="str">
        <x:f>IF(D4202="","Unknown",IF(D4202&lt;25000,"&lt;$25k",IF(D4202&lt;50000,"$25k-$50k",IF(D4202&lt;75000,"$50k-$75k",IF(D4202&lt;100000,"$75k-$100k","$100k+")))))</x:f>
        <x:v>$25k-$50k</x:v>
      </x:c>
      <x:c r="P4202" t="str">
        <x:f>IF(E4202="","Unknown",IF(E4202&lt;10,"&lt;10",IF(E4202&lt;20,"10-&lt;20",IF(E4202&lt;25,"20-&lt;25",IF(E4202&lt;35,"25-&lt;35","35+")))))</x:f>
        <x:v>10-&lt;20</x:v>
      </x:c>
    </x:row>
    <x:row r="4203">
      <x:c r="A4203" t="str">
        <x:v>SYN0004202</x:v>
      </x:c>
      <x:c r="B4203" s="12" t="n">
        <x:v>41815</x:v>
      </x:c>
      <x:c r="C4203" s="18" t="n">
        <x:v>9141</x:v>
      </x:c>
      <x:c r="D4203" s="18" t="n">
        <x:v>67610</x:v>
      </x:c>
      <x:c r="E4203" s="18" t="n">
        <x:v>30.56</x:v>
      </x:c>
      <x:c r="F4203" s="18" t="n">
        <x:v>16.11</x:v>
      </x:c>
      <x:c r="G4203" t="n">
        <x:v>36</x:v>
      </x:c>
      <x:c r="H4203" t="str">
        <x:v>D</x:v>
      </x:c>
      <x:c r="I4203" t="str">
        <x:v>10+ years</x:v>
      </x:c>
      <x:c r="J4203" t="str">
        <x:v>MORTGAGE</x:v>
      </x:c>
      <x:c r="K4203" t="str">
        <x:v>medical</x:v>
      </x:c>
      <x:c r="L4203" t="n">
        <x:v>2</x:v>
      </x:c>
      <x:c r="M4203" t="n">
        <x:v>0</x:v>
      </x:c>
      <x:c r="N4203" t="str">
        <x:v>Fully Paid</x:v>
      </x:c>
      <x:c r="O4203" t="str">
        <x:f>IF(D4203="","Unknown",IF(D4203&lt;25000,"&lt;$25k",IF(D4203&lt;50000,"$25k-$50k",IF(D4203&lt;75000,"$50k-$75k",IF(D4203&lt;100000,"$75k-$100k","$100k+")))))</x:f>
        <x:v>$50k-$75k</x:v>
      </x:c>
      <x:c r="P4203" t="str">
        <x:f>IF(E4203="","Unknown",IF(E4203&lt;10,"&lt;10",IF(E4203&lt;20,"10-&lt;20",IF(E4203&lt;25,"20-&lt;25",IF(E4203&lt;35,"25-&lt;35","35+")))))</x:f>
        <x:v>25-&lt;35</x:v>
      </x:c>
    </x:row>
    <x:row r="4204">
      <x:c r="A4204" t="str">
        <x:v>SYN0004203</x:v>
      </x:c>
      <x:c r="B4204" s="12" t="n">
        <x:v>41425</x:v>
      </x:c>
      <x:c r="C4204" s="18" t="n">
        <x:v>11229</x:v>
      </x:c>
      <x:c r="D4204" s="18" t="n">
        <x:v>18915</x:v>
      </x:c>
      <x:c r="E4204" s="18" t="n">
        <x:v>20.31</x:v>
      </x:c>
      <x:c r="F4204" s="18" t="n">
        <x:v>21.08</x:v>
      </x:c>
      <x:c r="G4204" t="n">
        <x:v>36</x:v>
      </x:c>
      <x:c r="H4204" t="str">
        <x:v>F</x:v>
      </x:c>
      <x:c r="I4204" t="str">
        <x:v>7-9 years</x:v>
      </x:c>
      <x:c r="J4204" t="str">
        <x:v>RENT</x:v>
      </x:c>
      <x:c r="K4204" t="str">
        <x:v>debt_consolidation</x:v>
      </x:c>
      <x:c r="L4204" t="n">
        <x:v>0</x:v>
      </x:c>
      <x:c r="M4204" t="n">
        <x:v>0</x:v>
      </x:c>
      <x:c r="N4204" t="str">
        <x:v>Fully Paid</x:v>
      </x:c>
      <x:c r="O4204" t="str">
        <x:f>IF(D4204="","Unknown",IF(D4204&lt;25000,"&lt;$25k",IF(D4204&lt;50000,"$25k-$50k",IF(D4204&lt;75000,"$50k-$75k",IF(D4204&lt;100000,"$75k-$100k","$100k+")))))</x:f>
        <x:v>&lt;$25k</x:v>
      </x:c>
      <x:c r="P4204" t="str">
        <x:f>IF(E4204="","Unknown",IF(E4204&lt;10,"&lt;10",IF(E4204&lt;20,"10-&lt;20",IF(E4204&lt;25,"20-&lt;25",IF(E4204&lt;35,"25-&lt;35","35+")))))</x:f>
        <x:v>20-&lt;25</x:v>
      </x:c>
    </x:row>
    <x:row r="4205">
      <x:c r="A4205" t="str">
        <x:v>SYN0004204</x:v>
      </x:c>
      <x:c r="B4205" s="12" t="n">
        <x:v>43075</x:v>
      </x:c>
      <x:c r="C4205" s="18" t="n">
        <x:v>7865</x:v>
      </x:c>
      <x:c r="D4205" s="18" t="n">
        <x:v>28835</x:v>
      </x:c>
      <x:c r="E4205" s="18" t="n">
        <x:v>31.68</x:v>
      </x:c>
      <x:c r="F4205" s="18" t="n">
        <x:v>5.28</x:v>
      </x:c>
      <x:c r="G4205" t="n">
        <x:v>36</x:v>
      </x:c>
      <x:c r="H4205" t="str">
        <x:v>A</x:v>
      </x:c>
      <x:c r="I4205" t="str">
        <x:v>10+ years</x:v>
      </x:c>
      <x:c r="J4205" t="str">
        <x:v>RENT</x:v>
      </x:c>
      <x:c r="K4205" t="str">
        <x:v>home_improvement</x:v>
      </x:c>
      <x:c r="L4205" t="n">
        <x:v>1</x:v>
      </x:c>
      <x:c r="M4205" t="n">
        <x:v>0</x:v>
      </x:c>
      <x:c r="N4205" t="str">
        <x:v>Fully Paid</x:v>
      </x:c>
      <x:c r="O4205" t="str">
        <x:f>IF(D4205="","Unknown",IF(D4205&lt;25000,"&lt;$25k",IF(D4205&lt;50000,"$25k-$50k",IF(D4205&lt;75000,"$50k-$75k",IF(D4205&lt;100000,"$75k-$100k","$100k+")))))</x:f>
        <x:v>$25k-$50k</x:v>
      </x:c>
      <x:c r="P4205" t="str">
        <x:f>IF(E4205="","Unknown",IF(E4205&lt;10,"&lt;10",IF(E4205&lt;20,"10-&lt;20",IF(E4205&lt;25,"20-&lt;25",IF(E4205&lt;35,"25-&lt;35","35+")))))</x:f>
        <x:v>25-&lt;35</x:v>
      </x:c>
    </x:row>
    <x:row r="4206">
      <x:c r="A4206" t="str">
        <x:v>SYN0004205</x:v>
      </x:c>
      <x:c r="B4206" s="12" t="n">
        <x:v>41755</x:v>
      </x:c>
      <x:c r="C4206" s="18" t="n">
        <x:v>4417</x:v>
      </x:c>
      <x:c r="D4206" s="18" t="n">
        <x:v>36968</x:v>
      </x:c>
      <x:c r="E4206" s="18" t="n">
        <x:v>24.6</x:v>
      </x:c>
      <x:c r="F4206" s="18" t="n">
        <x:v>5.87</x:v>
      </x:c>
      <x:c r="G4206" t="n">
        <x:v>36</x:v>
      </x:c>
      <x:c r="H4206" t="str">
        <x:v>A</x:v>
      </x:c>
      <x:c r="I4206" t="str">
        <x:v>1-3 years</x:v>
      </x:c>
      <x:c r="J4206" t="str">
        <x:v>RENT</x:v>
      </x:c>
      <x:c r="K4206" t="str">
        <x:v>debt_consolidation</x:v>
      </x:c>
      <x:c r="L4206" t="n">
        <x:v>0</x:v>
      </x:c>
      <x:c r="M4206" t="n">
        <x:v>0</x:v>
      </x:c>
      <x:c r="N4206" t="str">
        <x:v>Fully Paid</x:v>
      </x:c>
      <x:c r="O4206" t="str">
        <x:f>IF(D4206="","Unknown",IF(D4206&lt;25000,"&lt;$25k",IF(D4206&lt;50000,"$25k-$50k",IF(D4206&lt;75000,"$50k-$75k",IF(D4206&lt;100000,"$75k-$100k","$100k+")))))</x:f>
        <x:v>$25k-$50k</x:v>
      </x:c>
      <x:c r="P4206" t="str">
        <x:f>IF(E4206="","Unknown",IF(E4206&lt;10,"&lt;10",IF(E4206&lt;20,"10-&lt;20",IF(E4206&lt;25,"20-&lt;25",IF(E4206&lt;35,"25-&lt;35","35+")))))</x:f>
        <x:v>20-&lt;25</x:v>
      </x:c>
    </x:row>
    <x:row r="4207">
      <x:c r="A4207" t="str">
        <x:v>SYN0004206</x:v>
      </x:c>
      <x:c r="B4207" s="12" t="n">
        <x:v>42685</x:v>
      </x:c>
      <x:c r="C4207" s="18" t="n">
        <x:v>25536</x:v>
      </x:c>
      <x:c r="D4207" s="18" t="n">
        <x:v>35497</x:v>
      </x:c>
      <x:c r="E4207" s="18" t="n">
        <x:v>14.31</x:v>
      </x:c>
      <x:c r="F4207" s="18" t="n">
        <x:v>16.62</x:v>
      </x:c>
      <x:c r="G4207" t="n">
        <x:v>36</x:v>
      </x:c>
      <x:c r="H4207" t="str">
        <x:v>E</x:v>
      </x:c>
      <x:c r="I4207" t="str">
        <x:v>1-3 years</x:v>
      </x:c>
      <x:c r="J4207" t="str">
        <x:v>RENT</x:v>
      </x:c>
      <x:c r="K4207" t="str">
        <x:v>debt_consolidation</x:v>
      </x:c>
      <x:c r="L4207" t="n">
        <x:v>1</x:v>
      </x:c>
      <x:c r="M4207" t="n">
        <x:v>0</x:v>
      </x:c>
      <x:c r="N4207" t="str">
        <x:v>Fully Paid</x:v>
      </x:c>
      <x:c r="O4207" t="str">
        <x:f>IF(D4207="","Unknown",IF(D4207&lt;25000,"&lt;$25k",IF(D4207&lt;50000,"$25k-$50k",IF(D4207&lt;75000,"$50k-$75k",IF(D4207&lt;100000,"$75k-$100k","$100k+")))))</x:f>
        <x:v>$25k-$50k</x:v>
      </x:c>
      <x:c r="P4207" t="str">
        <x:f>IF(E4207="","Unknown",IF(E4207&lt;10,"&lt;10",IF(E4207&lt;20,"10-&lt;20",IF(E4207&lt;25,"20-&lt;25",IF(E4207&lt;35,"25-&lt;35","35+")))))</x:f>
        <x:v>10-&lt;20</x:v>
      </x:c>
    </x:row>
    <x:row r="4208">
      <x:c r="A4208" t="str">
        <x:v>SYN0004207</x:v>
      </x:c>
      <x:c r="B4208" s="12" t="n">
        <x:v>41695</x:v>
      </x:c>
      <x:c r="C4208" s="18" t="n">
        <x:v>10394</x:v>
      </x:c>
      <x:c r="D4208" s="18" t="n">
        <x:v>27361</x:v>
      </x:c>
      <x:c r="E4208" s="18" t="n">
        <x:v>21.41</x:v>
      </x:c>
      <x:c r="F4208" s="18" t="n">
        <x:v>5.81</x:v>
      </x:c>
      <x:c r="G4208" t="n">
        <x:v>36</x:v>
      </x:c>
      <x:c r="H4208" t="str">
        <x:v>A</x:v>
      </x:c>
      <x:c r="I4208" t="str">
        <x:v>&lt;1 year</x:v>
      </x:c>
      <x:c r="J4208" t="str">
        <x:v>MORTGAGE</x:v>
      </x:c>
      <x:c r="K4208" t="str">
        <x:v>debt_consolidation</x:v>
      </x:c>
      <x:c r="L4208" t="n">
        <x:v>0</x:v>
      </x:c>
      <x:c r="M4208" t="n">
        <x:v>0</x:v>
      </x:c>
      <x:c r="N4208" t="str">
        <x:v>Fully Paid</x:v>
      </x:c>
      <x:c r="O4208" t="str">
        <x:f>IF(D4208="","Unknown",IF(D4208&lt;25000,"&lt;$25k",IF(D4208&lt;50000,"$25k-$50k",IF(D4208&lt;75000,"$50k-$75k",IF(D4208&lt;100000,"$75k-$100k","$100k+")))))</x:f>
        <x:v>$25k-$50k</x:v>
      </x:c>
      <x:c r="P4208" t="str">
        <x:f>IF(E4208="","Unknown",IF(E4208&lt;10,"&lt;10",IF(E4208&lt;20,"10-&lt;20",IF(E4208&lt;25,"20-&lt;25",IF(E4208&lt;35,"25-&lt;35","35+")))))</x:f>
        <x:v>20-&lt;25</x:v>
      </x:c>
    </x:row>
    <x:row r="4209">
      <x:c r="A4209" t="str">
        <x:v>SYN0004208</x:v>
      </x:c>
      <x:c r="B4209" s="12" t="n">
        <x:v>42205</x:v>
      </x:c>
      <x:c r="C4209" s="18" t="n">
        <x:v>14297</x:v>
      </x:c>
      <x:c r="D4209" s="18" t="n">
        <x:v>71609</x:v>
      </x:c>
      <x:c r="E4209" s="18" t="n">
        <x:v>32.94</x:v>
      </x:c>
      <x:c r="F4209" s="18" t="n">
        <x:v>8.75</x:v>
      </x:c>
      <x:c r="G4209" t="n">
        <x:v>36</x:v>
      </x:c>
      <x:c r="H4209" t="str">
        <x:v>C</x:v>
      </x:c>
      <x:c r="I4209" t="str">
        <x:v>1-3 years</x:v>
      </x:c>
      <x:c r="J4209" t="str">
        <x:v>OWN</x:v>
      </x:c>
      <x:c r="K4209" t="str">
        <x:v>credit_card</x:v>
      </x:c>
      <x:c r="L4209" t="n">
        <x:v>0</x:v>
      </x:c>
      <x:c r="M4209" t="n">
        <x:v>0</x:v>
      </x:c>
      <x:c r="N4209" t="str">
        <x:v>Fully Paid</x:v>
      </x:c>
      <x:c r="O4209" t="str">
        <x:f>IF(D4209="","Unknown",IF(D4209&lt;25000,"&lt;$25k",IF(D4209&lt;50000,"$25k-$50k",IF(D4209&lt;75000,"$50k-$75k",IF(D4209&lt;100000,"$75k-$100k","$100k+")))))</x:f>
        <x:v>$50k-$75k</x:v>
      </x:c>
      <x:c r="P4209" t="str">
        <x:f>IF(E4209="","Unknown",IF(E4209&lt;10,"&lt;10",IF(E4209&lt;20,"10-&lt;20",IF(E4209&lt;25,"20-&lt;25",IF(E4209&lt;35,"25-&lt;35","35+")))))</x:f>
        <x:v>25-&lt;35</x:v>
      </x:c>
    </x:row>
    <x:row r="4210">
      <x:c r="A4210" t="str">
        <x:v>SYN0004209</x:v>
      </x:c>
      <x:c r="B4210" s="12" t="n">
        <x:v>42775</x:v>
      </x:c>
      <x:c r="C4210" s="18" t="n">
        <x:v>11814</x:v>
      </x:c>
      <x:c r="D4210" s="18" t="n">
        <x:v>58791</x:v>
      </x:c>
      <x:c r="E4210" s="18" t="n">
        <x:v>22.78</x:v>
      </x:c>
      <x:c r="F4210" s="18" t="n">
        <x:v>10.45</x:v>
      </x:c>
      <x:c r="G4210" t="n">
        <x:v>36</x:v>
      </x:c>
      <x:c r="H4210" t="str">
        <x:v>D</x:v>
      </x:c>
      <x:c r="I4210" t="str">
        <x:v>7-9 years</x:v>
      </x:c>
      <x:c r="J4210" t="str">
        <x:v>MORTGAGE</x:v>
      </x:c>
      <x:c r="K4210" t="str">
        <x:v>other</x:v>
      </x:c>
      <x:c r="L4210" t="n">
        <x:v>1</x:v>
      </x:c>
      <x:c r="M4210" t="n">
        <x:v>0</x:v>
      </x:c>
      <x:c r="N4210" t="str">
        <x:v>Fully Paid</x:v>
      </x:c>
      <x:c r="O4210" t="str">
        <x:f>IF(D4210="","Unknown",IF(D4210&lt;25000,"&lt;$25k",IF(D4210&lt;50000,"$25k-$50k",IF(D4210&lt;75000,"$50k-$75k",IF(D4210&lt;100000,"$75k-$100k","$100k+")))))</x:f>
        <x:v>$50k-$75k</x:v>
      </x:c>
      <x:c r="P4210" t="str">
        <x:f>IF(E4210="","Unknown",IF(E4210&lt;10,"&lt;10",IF(E4210&lt;20,"10-&lt;20",IF(E4210&lt;25,"20-&lt;25",IF(E4210&lt;35,"25-&lt;35","35+")))))</x:f>
        <x:v>20-&lt;25</x:v>
      </x:c>
    </x:row>
    <x:row r="4211">
      <x:c r="A4211" t="str">
        <x:v>SYN0004210</x:v>
      </x:c>
      <x:c r="B4211" s="12" t="n">
        <x:v>43195</x:v>
      </x:c>
      <x:c r="C4211" s="18" t="n">
        <x:v>22861</x:v>
      </x:c>
      <x:c r="D4211" s="18" t="n">
        <x:v>41330</x:v>
      </x:c>
      <x:c r="E4211" s="18" t="n">
        <x:v>29.68</x:v>
      </x:c>
      <x:c r="F4211" s="18" t="n">
        <x:v>23.33</x:v>
      </x:c>
      <x:c r="G4211" t="n">
        <x:v>36</x:v>
      </x:c>
      <x:c r="H4211" t="str">
        <x:v>F</x:v>
      </x:c>
      <x:c r="I4211" t="str">
        <x:v>10+ years</x:v>
      </x:c>
      <x:c r="J4211" t="str">
        <x:v>RENT</x:v>
      </x:c>
      <x:c r="K4211" t="str">
        <x:v>other</x:v>
      </x:c>
      <x:c r="L4211" t="n">
        <x:v>0</x:v>
      </x:c>
      <x:c r="M4211" t="n">
        <x:v>0</x:v>
      </x:c>
      <x:c r="N4211" t="str">
        <x:v>Fully Paid</x:v>
      </x:c>
      <x:c r="O4211" t="str">
        <x:f>IF(D4211="","Unknown",IF(D4211&lt;25000,"&lt;$25k",IF(D4211&lt;50000,"$25k-$50k",IF(D4211&lt;75000,"$50k-$75k",IF(D4211&lt;100000,"$75k-$100k","$100k+")))))</x:f>
        <x:v>$25k-$50k</x:v>
      </x:c>
      <x:c r="P4211" t="str">
        <x:f>IF(E4211="","Unknown",IF(E4211&lt;10,"&lt;10",IF(E4211&lt;20,"10-&lt;20",IF(E4211&lt;25,"20-&lt;25",IF(E4211&lt;35,"25-&lt;35","35+")))))</x:f>
        <x:v>25-&lt;35</x:v>
      </x:c>
    </x:row>
    <x:row r="4212">
      <x:c r="A4212" t="str">
        <x:v>SYN0004211</x:v>
      </x:c>
      <x:c r="B4212" s="12" t="n">
        <x:v>43345</x:v>
      </x:c>
      <x:c r="C4212" s="18" t="n">
        <x:v>11254</x:v>
      </x:c>
      <x:c r="D4212" s="18" t="n">
        <x:v>66960</x:v>
      </x:c>
      <x:c r="E4212" s="18" t="n">
        <x:v>23.13</x:v>
      </x:c>
      <x:c r="F4212" s="18" t="n">
        <x:v>7.74</x:v>
      </x:c>
      <x:c r="G4212" t="n">
        <x:v>36</x:v>
      </x:c>
      <x:c r="H4212" t="str">
        <x:v>B</x:v>
      </x:c>
      <x:c r="I4212" t="str">
        <x:v>4-6 years</x:v>
      </x:c>
      <x:c r="J4212" t="str">
        <x:v>OWN</x:v>
      </x:c>
      <x:c r="K4212" t="str">
        <x:v>major_purchase</x:v>
      </x:c>
      <x:c r="L4212" t="n">
        <x:v>1</x:v>
      </x:c>
      <x:c r="M4212" t="n">
        <x:v>0</x:v>
      </x:c>
      <x:c r="N4212" t="str">
        <x:v>Fully Paid</x:v>
      </x:c>
      <x:c r="O4212" t="str">
        <x:f>IF(D4212="","Unknown",IF(D4212&lt;25000,"&lt;$25k",IF(D4212&lt;50000,"$25k-$50k",IF(D4212&lt;75000,"$50k-$75k",IF(D4212&lt;100000,"$75k-$100k","$100k+")))))</x:f>
        <x:v>$50k-$75k</x:v>
      </x:c>
      <x:c r="P4212" t="str">
        <x:f>IF(E4212="","Unknown",IF(E4212&lt;10,"&lt;10",IF(E4212&lt;20,"10-&lt;20",IF(E4212&lt;25,"20-&lt;25",IF(E4212&lt;35,"25-&lt;35","35+")))))</x:f>
        <x:v>20-&lt;25</x:v>
      </x:c>
    </x:row>
    <x:row r="4213">
      <x:c r="A4213" t="str">
        <x:v>SYN0004212</x:v>
      </x:c>
      <x:c r="B4213" s="12" t="n">
        <x:v>41695</x:v>
      </x:c>
      <x:c r="C4213" s="18" t="n">
        <x:v>17154</x:v>
      </x:c>
      <x:c r="D4213" s="18" t="n">
        <x:v>64927</x:v>
      </x:c>
      <x:c r="E4213" s="18" t="n">
        <x:v>26.12</x:v>
      </x:c>
      <x:c r="F4213" s="18" t="n">
        <x:v>10.09</x:v>
      </x:c>
      <x:c r="G4213" t="n">
        <x:v>36</x:v>
      </x:c>
      <x:c r="H4213" t="str">
        <x:v>B</x:v>
      </x:c>
      <x:c r="I4213" t="str">
        <x:v>7-9 years</x:v>
      </x:c>
      <x:c r="J4213" t="str">
        <x:v>MORTGAGE</x:v>
      </x:c>
      <x:c r="K4213" t="str">
        <x:v>debt_consolidation</x:v>
      </x:c>
      <x:c r="L4213" t="n">
        <x:v>0</x:v>
      </x:c>
      <x:c r="M4213" t="n">
        <x:v>0</x:v>
      </x:c>
      <x:c r="N4213" t="str">
        <x:v>Fully Paid</x:v>
      </x:c>
      <x:c r="O4213" t="str">
        <x:f>IF(D4213="","Unknown",IF(D4213&lt;25000,"&lt;$25k",IF(D4213&lt;50000,"$25k-$50k",IF(D4213&lt;75000,"$50k-$75k",IF(D4213&lt;100000,"$75k-$100k","$100k+")))))</x:f>
        <x:v>$50k-$75k</x:v>
      </x:c>
      <x:c r="P4213" t="str">
        <x:f>IF(E4213="","Unknown",IF(E4213&lt;10,"&lt;10",IF(E4213&lt;20,"10-&lt;20",IF(E4213&lt;25,"20-&lt;25",IF(E4213&lt;35,"25-&lt;35","35+")))))</x:f>
        <x:v>25-&lt;35</x:v>
      </x:c>
    </x:row>
    <x:row r="4214">
      <x:c r="A4214" t="str">
        <x:v>SYN0004213</x:v>
      </x:c>
      <x:c r="B4214" s="12" t="n">
        <x:v>41275</x:v>
      </x:c>
      <x:c r="C4214" s="18" t="n">
        <x:v>12868</x:v>
      </x:c>
      <x:c r="D4214" s="18" t="n">
        <x:v>98408</x:v>
      </x:c>
      <x:c r="E4214" s="18" t="n">
        <x:v>37.67</x:v>
      </x:c>
      <x:c r="F4214" s="18" t="n">
        <x:v>8.76</x:v>
      </x:c>
      <x:c r="G4214" t="n">
        <x:v>60</x:v>
      </x:c>
      <x:c r="H4214" t="str">
        <x:v>C</x:v>
      </x:c>
      <x:c r="I4214" t="str">
        <x:v>4-6 years</x:v>
      </x:c>
      <x:c r="J4214" t="str">
        <x:v>MORTGAGE</x:v>
      </x:c>
      <x:c r="K4214" t="str">
        <x:v>credit_card</x:v>
      </x:c>
      <x:c r="L4214" t="n">
        <x:v>2</x:v>
      </x:c>
      <x:c r="M4214" t="n">
        <x:v>0</x:v>
      </x:c>
      <x:c r="N4214" t="str">
        <x:v>Fully Paid</x:v>
      </x:c>
      <x:c r="O4214" t="str">
        <x:f>IF(D4214="","Unknown",IF(D4214&lt;25000,"&lt;$25k",IF(D4214&lt;50000,"$25k-$50k",IF(D4214&lt;75000,"$50k-$75k",IF(D4214&lt;100000,"$75k-$100k","$100k+")))))</x:f>
        <x:v>$75k-$100k</x:v>
      </x:c>
      <x:c r="P4214" t="str">
        <x:f>IF(E4214="","Unknown",IF(E4214&lt;10,"&lt;10",IF(E4214&lt;20,"10-&lt;20",IF(E4214&lt;25,"20-&lt;25",IF(E4214&lt;35,"25-&lt;35","35+")))))</x:f>
        <x:v>35+</x:v>
      </x:c>
    </x:row>
    <x:row r="4215">
      <x:c r="A4215" t="str">
        <x:v>SYN0004214</x:v>
      </x:c>
      <x:c r="B4215" s="12" t="n">
        <x:v>42445</x:v>
      </x:c>
      <x:c r="C4215" s="18" t="n">
        <x:v>28203</x:v>
      </x:c>
      <x:c r="D4215" s="18" t="n">
        <x:v>72177</x:v>
      </x:c>
      <x:c r="E4215" s="18" t="n">
        <x:v>24.82</x:v>
      </x:c>
      <x:c r="F4215" s="18" t="n">
        <x:v>13.62</x:v>
      </x:c>
      <x:c r="G4215" t="n">
        <x:v>60</x:v>
      </x:c>
      <x:c r="H4215" t="str">
        <x:v>D</x:v>
      </x:c>
      <x:c r="I4215" t="str">
        <x:v>4-6 years</x:v>
      </x:c>
      <x:c r="J4215" t="str">
        <x:v>MORTGAGE</x:v>
      </x:c>
      <x:c r="K4215" t="str">
        <x:v>other</x:v>
      </x:c>
      <x:c r="L4215" t="n">
        <x:v>0</x:v>
      </x:c>
      <x:c r="M4215" t="n">
        <x:v>0</x:v>
      </x:c>
      <x:c r="N4215" t="str">
        <x:v>Fully Paid</x:v>
      </x:c>
      <x:c r="O4215" t="str">
        <x:f>IF(D4215="","Unknown",IF(D4215&lt;25000,"&lt;$25k",IF(D4215&lt;50000,"$25k-$50k",IF(D4215&lt;75000,"$50k-$75k",IF(D4215&lt;100000,"$75k-$100k","$100k+")))))</x:f>
        <x:v>$50k-$75k</x:v>
      </x:c>
      <x:c r="P4215" t="str">
        <x:f>IF(E4215="","Unknown",IF(E4215&lt;10,"&lt;10",IF(E4215&lt;20,"10-&lt;20",IF(E4215&lt;25,"20-&lt;25",IF(E4215&lt;35,"25-&lt;35","35+")))))</x:f>
        <x:v>20-&lt;25</x:v>
      </x:c>
    </x:row>
    <x:row r="4216">
      <x:c r="A4216" t="str">
        <x:v>SYN0004215</x:v>
      </x:c>
      <x:c r="B4216" s="12" t="n">
        <x:v>41425</x:v>
      </x:c>
      <x:c r="C4216" s="18" t="n">
        <x:v>17322</x:v>
      </x:c>
      <x:c r="D4216" s="18" t="n">
        <x:v>42328</x:v>
      </x:c>
      <x:c r="E4216" s="18" t="n">
        <x:v>27.92</x:v>
      </x:c>
      <x:c r="F4216" s="18" t="n">
        <x:v>9.71</x:v>
      </x:c>
      <x:c r="G4216" t="n">
        <x:v>36</x:v>
      </x:c>
      <x:c r="H4216" t="str">
        <x:v>A</x:v>
      </x:c>
      <x:c r="I4216" t="str">
        <x:v>7-9 years</x:v>
      </x:c>
      <x:c r="J4216" t="str">
        <x:v>RENT</x:v>
      </x:c>
      <x:c r="K4216" t="str">
        <x:v>debt_consolidation</x:v>
      </x:c>
      <x:c r="L4216" t="n">
        <x:v>0</x:v>
      </x:c>
      <x:c r="M4216" t="n">
        <x:v>0</x:v>
      </x:c>
      <x:c r="N4216" t="str">
        <x:v>Fully Paid</x:v>
      </x:c>
      <x:c r="O4216" t="str">
        <x:f>IF(D4216="","Unknown",IF(D4216&lt;25000,"&lt;$25k",IF(D4216&lt;50000,"$25k-$50k",IF(D4216&lt;75000,"$50k-$75k",IF(D4216&lt;100000,"$75k-$100k","$100k+")))))</x:f>
        <x:v>$25k-$50k</x:v>
      </x:c>
      <x:c r="P4216" t="str">
        <x:f>IF(E4216="","Unknown",IF(E4216&lt;10,"&lt;10",IF(E4216&lt;20,"10-&lt;20",IF(E4216&lt;25,"20-&lt;25",IF(E4216&lt;35,"25-&lt;35","35+")))))</x:f>
        <x:v>25-&lt;35</x:v>
      </x:c>
    </x:row>
    <x:row r="4217">
      <x:c r="A4217" t="str">
        <x:v>SYN0004216</x:v>
      </x:c>
      <x:c r="B4217" s="12" t="n">
        <x:v>41545</x:v>
      </x:c>
      <x:c r="C4217" s="18" t="n">
        <x:v>4978</x:v>
      </x:c>
      <x:c r="D4217" s="18" t="n">
        <x:v>24609</x:v>
      </x:c>
      <x:c r="E4217" s="18" t="n">
        <x:v>31.61</x:v>
      </x:c>
      <x:c r="F4217" s="18" t="n">
        <x:v>18.44</x:v>
      </x:c>
      <x:c r="G4217" t="n">
        <x:v>36</x:v>
      </x:c>
      <x:c r="H4217" t="str">
        <x:v>E</x:v>
      </x:c>
      <x:c r="I4217" t="str">
        <x:v>7-9 years</x:v>
      </x:c>
      <x:c r="J4217" t="str">
        <x:v>MORTGAGE</x:v>
      </x:c>
      <x:c r="K4217" t="str">
        <x:v>credit_card</x:v>
      </x:c>
      <x:c r="L4217" t="n">
        <x:v>0</x:v>
      </x:c>
      <x:c r="M4217" t="n">
        <x:v>0</x:v>
      </x:c>
      <x:c r="N4217" t="str">
        <x:v>Fully Paid</x:v>
      </x:c>
      <x:c r="O4217" t="str">
        <x:f>IF(D4217="","Unknown",IF(D4217&lt;25000,"&lt;$25k",IF(D4217&lt;50000,"$25k-$50k",IF(D4217&lt;75000,"$50k-$75k",IF(D4217&lt;100000,"$75k-$100k","$100k+")))))</x:f>
        <x:v>&lt;$25k</x:v>
      </x:c>
      <x:c r="P4217" t="str">
        <x:f>IF(E4217="","Unknown",IF(E4217&lt;10,"&lt;10",IF(E4217&lt;20,"10-&lt;20",IF(E4217&lt;25,"20-&lt;25",IF(E4217&lt;35,"25-&lt;35","35+")))))</x:f>
        <x:v>25-&lt;35</x:v>
      </x:c>
    </x:row>
    <x:row r="4218">
      <x:c r="A4218" t="str">
        <x:v>SYN0004217</x:v>
      </x:c>
      <x:c r="B4218" s="12" t="n">
        <x:v>41425</x:v>
      </x:c>
      <x:c r="C4218" s="18" t="n">
        <x:v>7246</x:v>
      </x:c>
      <x:c r="D4218" s="18" t="n">
        <x:v>60603</x:v>
      </x:c>
      <x:c r="E4218" s="18" t="n">
        <x:v>17.33</x:v>
      </x:c>
      <x:c r="F4218" s="18" t="n">
        <x:v>7.86</x:v>
      </x:c>
      <x:c r="G4218" t="n">
        <x:v>36</x:v>
      </x:c>
      <x:c r="H4218" t="str">
        <x:v>B</x:v>
      </x:c>
      <x:c r="I4218" t="str">
        <x:v>4-6 years</x:v>
      </x:c>
      <x:c r="J4218" t="str">
        <x:v>RENT</x:v>
      </x:c>
      <x:c r="K4218" t="str">
        <x:v>debt_consolidation</x:v>
      </x:c>
      <x:c r="L4218" t="n">
        <x:v>0</x:v>
      </x:c>
      <x:c r="M4218" t="n">
        <x:v>0</x:v>
      </x:c>
      <x:c r="N4218" t="str">
        <x:v>Fully Paid</x:v>
      </x:c>
      <x:c r="O4218" t="str">
        <x:f>IF(D4218="","Unknown",IF(D4218&lt;25000,"&lt;$25k",IF(D4218&lt;50000,"$25k-$50k",IF(D4218&lt;75000,"$50k-$75k",IF(D4218&lt;100000,"$75k-$100k","$100k+")))))</x:f>
        <x:v>$50k-$75k</x:v>
      </x:c>
      <x:c r="P4218" t="str">
        <x:f>IF(E4218="","Unknown",IF(E4218&lt;10,"&lt;10",IF(E4218&lt;20,"10-&lt;20",IF(E4218&lt;25,"20-&lt;25",IF(E4218&lt;35,"25-&lt;35","35+")))))</x:f>
        <x:v>10-&lt;20</x:v>
      </x:c>
    </x:row>
    <x:row r="4219">
      <x:c r="A4219" t="str">
        <x:v>SYN0004218</x:v>
      </x:c>
      <x:c r="B4219" s="12" t="n">
        <x:v>41275</x:v>
      </x:c>
      <x:c r="C4219" s="18" t="n">
        <x:v>12087</x:v>
      </x:c>
      <x:c r="D4219" s="18" t="n">
        <x:v>18553</x:v>
      </x:c>
      <x:c r="E4219" s="18" t="n">
        <x:v>21.14</x:v>
      </x:c>
      <x:c r="F4219" s="18" t="n">
        <x:v>16.23</x:v>
      </x:c>
      <x:c r="G4219" t="n">
        <x:v>36</x:v>
      </x:c>
      <x:c r="H4219" t="str">
        <x:v>D</x:v>
      </x:c>
      <x:c r="I4219" t="str">
        <x:v>1-3 years</x:v>
      </x:c>
      <x:c r="J4219" t="str">
        <x:v>OWN</x:v>
      </x:c>
      <x:c r="K4219" t="str">
        <x:v>home_improvement</x:v>
      </x:c>
      <x:c r="L4219" t="n">
        <x:v>0</x:v>
      </x:c>
      <x:c r="M4219" t="n">
        <x:v>0</x:v>
      </x:c>
      <x:c r="N4219" t="str">
        <x:v>Fully Paid</x:v>
      </x:c>
      <x:c r="O4219" t="str">
        <x:f>IF(D4219="","Unknown",IF(D4219&lt;25000,"&lt;$25k",IF(D4219&lt;50000,"$25k-$50k",IF(D4219&lt;75000,"$50k-$75k",IF(D4219&lt;100000,"$75k-$100k","$100k+")))))</x:f>
        <x:v>&lt;$25k</x:v>
      </x:c>
      <x:c r="P4219" t="str">
        <x:f>IF(E4219="","Unknown",IF(E4219&lt;10,"&lt;10",IF(E4219&lt;20,"10-&lt;20",IF(E4219&lt;25,"20-&lt;25",IF(E4219&lt;35,"25-&lt;35","35+")))))</x:f>
        <x:v>20-&lt;25</x:v>
      </x:c>
    </x:row>
    <x:row r="4220">
      <x:c r="A4220" t="str">
        <x:v>SYN0004219</x:v>
      </x:c>
      <x:c r="B4220" s="12" t="n">
        <x:v>42085</x:v>
      </x:c>
      <x:c r="C4220" s="18" t="n">
        <x:v>9131</x:v>
      </x:c>
      <x:c r="D4220" s="18" t="n">
        <x:v>31082</x:v>
      </x:c>
      <x:c r="E4220" s="18" t="n">
        <x:v>27.98</x:v>
      </x:c>
      <x:c r="F4220" s="18" t="n">
        <x:v>21.37</x:v>
      </x:c>
      <x:c r="G4220" t="n">
        <x:v>36</x:v>
      </x:c>
      <x:c r="H4220" t="str">
        <x:v>F</x:v>
      </x:c>
      <x:c r="I4220" t="str">
        <x:v>4-6 years</x:v>
      </x:c>
      <x:c r="J4220" t="str">
        <x:v>MORTGAGE</x:v>
      </x:c>
      <x:c r="K4220" t="str">
        <x:v>debt_consolidation</x:v>
      </x:c>
      <x:c r="L4220" t="n">
        <x:v>4</x:v>
      </x:c>
      <x:c r="M4220" t="n">
        <x:v>0</x:v>
      </x:c>
      <x:c r="N4220" t="str">
        <x:v>Fully Paid</x:v>
      </x:c>
      <x:c r="O4220" t="str">
        <x:f>IF(D4220="","Unknown",IF(D4220&lt;25000,"&lt;$25k",IF(D4220&lt;50000,"$25k-$50k",IF(D4220&lt;75000,"$50k-$75k",IF(D4220&lt;100000,"$75k-$100k","$100k+")))))</x:f>
        <x:v>$25k-$50k</x:v>
      </x:c>
      <x:c r="P4220" t="str">
        <x:f>IF(E4220="","Unknown",IF(E4220&lt;10,"&lt;10",IF(E4220&lt;20,"10-&lt;20",IF(E4220&lt;25,"20-&lt;25",IF(E4220&lt;35,"25-&lt;35","35+")))))</x:f>
        <x:v>25-&lt;35</x:v>
      </x:c>
    </x:row>
    <x:row r="4221">
      <x:c r="A4221" t="str">
        <x:v>SYN0004220</x:v>
      </x:c>
      <x:c r="B4221" s="12" t="n">
        <x:v>43165</x:v>
      </x:c>
      <x:c r="C4221" s="18" t="n">
        <x:v>13331</x:v>
      </x:c>
      <x:c r="D4221" s="18" t="n">
        <x:v>121955</x:v>
      </x:c>
      <x:c r="E4221" s="18" t="n">
        <x:v>25.98</x:v>
      </x:c>
      <x:c r="F4221" s="18" t="n">
        <x:v>9.98</x:v>
      </x:c>
      <x:c r="G4221" t="n">
        <x:v>36</x:v>
      </x:c>
      <x:c r="H4221" t="str">
        <x:v>C</x:v>
      </x:c>
      <x:c r="I4221" t="str">
        <x:v>10+ years</x:v>
      </x:c>
      <x:c r="J4221" t="str">
        <x:v>RENT</x:v>
      </x:c>
      <x:c r="K4221" t="str">
        <x:v>credit_card</x:v>
      </x:c>
      <x:c r="L4221" t="n">
        <x:v>0</x:v>
      </x:c>
      <x:c r="M4221" t="n">
        <x:v>0</x:v>
      </x:c>
      <x:c r="N4221" t="str">
        <x:v>Fully Paid</x:v>
      </x:c>
      <x:c r="O4221" t="str">
        <x:f>IF(D4221="","Unknown",IF(D4221&lt;25000,"&lt;$25k",IF(D4221&lt;50000,"$25k-$50k",IF(D4221&lt;75000,"$50k-$75k",IF(D4221&lt;100000,"$75k-$100k","$100k+")))))</x:f>
        <x:v>$100k+</x:v>
      </x:c>
      <x:c r="P4221" t="str">
        <x:f>IF(E4221="","Unknown",IF(E4221&lt;10,"&lt;10",IF(E4221&lt;20,"10-&lt;20",IF(E4221&lt;25,"20-&lt;25",IF(E4221&lt;35,"25-&lt;35","35+")))))</x:f>
        <x:v>25-&lt;35</x:v>
      </x:c>
    </x:row>
    <x:row r="4222">
      <x:c r="A4222" t="str">
        <x:v>SYN0004221</x:v>
      </x:c>
      <x:c r="B4222" s="12" t="n">
        <x:v>42355</x:v>
      </x:c>
      <x:c r="C4222" s="18" t="n">
        <x:v>6191</x:v>
      </x:c>
      <x:c r="D4222" s="18" t="n">
        <x:v>31342</x:v>
      </x:c>
      <x:c r="E4222" s="18" t="n">
        <x:v>23.1</x:v>
      </x:c>
      <x:c r="F4222" s="18" t="n">
        <x:v>11.07</x:v>
      </x:c>
      <x:c r="G4222" t="n">
        <x:v>36</x:v>
      </x:c>
      <x:c r="H4222" t="str">
        <x:v>D</x:v>
      </x:c>
      <x:c r="I4222" t="str">
        <x:v>7-9 years</x:v>
      </x:c>
      <x:c r="J4222" t="str">
        <x:v>RENT</x:v>
      </x:c>
      <x:c r="K4222" t="str">
        <x:v>debt_consolidation</x:v>
      </x:c>
      <x:c r="L4222" t="n">
        <x:v>1</x:v>
      </x:c>
      <x:c r="M4222" t="n">
        <x:v>0</x:v>
      </x:c>
      <x:c r="N4222" t="str">
        <x:v>Fully Paid</x:v>
      </x:c>
      <x:c r="O4222" t="str">
        <x:f>IF(D4222="","Unknown",IF(D4222&lt;25000,"&lt;$25k",IF(D4222&lt;50000,"$25k-$50k",IF(D4222&lt;75000,"$50k-$75k",IF(D4222&lt;100000,"$75k-$100k","$100k+")))))</x:f>
        <x:v>$25k-$50k</x:v>
      </x:c>
      <x:c r="P4222" t="str">
        <x:f>IF(E4222="","Unknown",IF(E4222&lt;10,"&lt;10",IF(E4222&lt;20,"10-&lt;20",IF(E4222&lt;25,"20-&lt;25",IF(E4222&lt;35,"25-&lt;35","35+")))))</x:f>
        <x:v>20-&lt;25</x:v>
      </x:c>
    </x:row>
    <x:row r="4223">
      <x:c r="A4223" t="str">
        <x:v>SYN0004222</x:v>
      </x:c>
      <x:c r="B4223" s="12" t="n">
        <x:v>43285</x:v>
      </x:c>
      <x:c r="C4223" s="18" t="n">
        <x:v>12540</x:v>
      </x:c>
      <x:c r="D4223" s="18" t="n">
        <x:v>12090</x:v>
      </x:c>
      <x:c r="E4223" s="18" t="n">
        <x:v>21.87</x:v>
      </x:c>
      <x:c r="F4223" s="18" t="n">
        <x:v>6.86</x:v>
      </x:c>
      <x:c r="G4223" t="n">
        <x:v>36</x:v>
      </x:c>
      <x:c r="H4223" t="str">
        <x:v>A</x:v>
      </x:c>
      <x:c r="I4223" t="str">
        <x:v>4-6 years</x:v>
      </x:c>
      <x:c r="J4223" t="str">
        <x:v>OWN</x:v>
      </x:c>
      <x:c r="K4223" t="str">
        <x:v>home_improvement</x:v>
      </x:c>
      <x:c r="L4223" t="n">
        <x:v>1</x:v>
      </x:c>
      <x:c r="M4223" t="n">
        <x:v>0</x:v>
      </x:c>
      <x:c r="N4223" t="str">
        <x:v>Fully Paid</x:v>
      </x:c>
      <x:c r="O4223" t="str">
        <x:f>IF(D4223="","Unknown",IF(D4223&lt;25000,"&lt;$25k",IF(D4223&lt;50000,"$25k-$50k",IF(D4223&lt;75000,"$50k-$75k",IF(D4223&lt;100000,"$75k-$100k","$100k+")))))</x:f>
        <x:v>&lt;$25k</x:v>
      </x:c>
      <x:c r="P4223" t="str">
        <x:f>IF(E4223="","Unknown",IF(E4223&lt;10,"&lt;10",IF(E4223&lt;20,"10-&lt;20",IF(E4223&lt;25,"20-&lt;25",IF(E4223&lt;35,"25-&lt;35","35+")))))</x:f>
        <x:v>20-&lt;25</x:v>
      </x:c>
    </x:row>
    <x:row r="4224">
      <x:c r="A4224" t="str">
        <x:v>SYN0004223</x:v>
      </x:c>
      <x:c r="B4224" s="12" t="n">
        <x:v>42565</x:v>
      </x:c>
      <x:c r="C4224" s="18" t="n">
        <x:v>7527</x:v>
      </x:c>
      <x:c r="D4224" s="18" t="n">
        <x:v>52592</x:v>
      </x:c>
      <x:c r="E4224" s="18" t="n">
        <x:v>19.14</x:v>
      </x:c>
      <x:c r="F4224" s="18" t="n">
        <x:v>5.14</x:v>
      </x:c>
      <x:c r="G4224" t="n">
        <x:v>36</x:v>
      </x:c>
      <x:c r="H4224" t="str">
        <x:v>A</x:v>
      </x:c>
      <x:c r="I4224" t="str">
        <x:v>1-3 years</x:v>
      </x:c>
      <x:c r="J4224" t="str">
        <x:v>RENT</x:v>
      </x:c>
      <x:c r="K4224" t="str">
        <x:v>debt_consolidation</x:v>
      </x:c>
      <x:c r="L4224" t="n">
        <x:v>1</x:v>
      </x:c>
      <x:c r="M4224" t="n">
        <x:v>0</x:v>
      </x:c>
      <x:c r="N4224" t="str">
        <x:v>Fully Paid</x:v>
      </x:c>
      <x:c r="O4224" t="str">
        <x:f>IF(D4224="","Unknown",IF(D4224&lt;25000,"&lt;$25k",IF(D4224&lt;50000,"$25k-$50k",IF(D4224&lt;75000,"$50k-$75k",IF(D4224&lt;100000,"$75k-$100k","$100k+")))))</x:f>
        <x:v>$50k-$75k</x:v>
      </x:c>
      <x:c r="P4224" t="str">
        <x:f>IF(E4224="","Unknown",IF(E4224&lt;10,"&lt;10",IF(E4224&lt;20,"10-&lt;20",IF(E4224&lt;25,"20-&lt;25",IF(E4224&lt;35,"25-&lt;35","35+")))))</x:f>
        <x:v>10-&lt;20</x:v>
      </x:c>
    </x:row>
    <x:row r="4225">
      <x:c r="A4225" t="str">
        <x:v>SYN0004224</x:v>
      </x:c>
      <x:c r="B4225" s="12" t="n">
        <x:v>42145</x:v>
      </x:c>
      <x:c r="C4225" s="18" t="n">
        <x:v>18128</x:v>
      </x:c>
      <x:c r="D4225" s="18" t="n">
        <x:v>47135</x:v>
      </x:c>
      <x:c r="E4225" s="18" t="n">
        <x:v>22.08</x:v>
      </x:c>
      <x:c r="F4225" s="18" t="n">
        <x:v>8.83</x:v>
      </x:c>
      <x:c r="G4225" t="n">
        <x:v>60</x:v>
      </x:c>
      <x:c r="H4225" t="str">
        <x:v>B</x:v>
      </x:c>
      <x:c r="I4225" t="str">
        <x:v>4-6 years</x:v>
      </x:c>
      <x:c r="J4225" t="str">
        <x:v>MORTGAGE</x:v>
      </x:c>
      <x:c r="K4225" t="str">
        <x:v>credit_card</x:v>
      </x:c>
      <x:c r="L4225" t="n">
        <x:v>0</x:v>
      </x:c>
      <x:c r="M4225" t="n">
        <x:v>1</x:v>
      </x:c>
      <x:c r="N4225" t="str">
        <x:v>Charged Off</x:v>
      </x:c>
      <x:c r="O4225" t="str">
        <x:f>IF(D4225="","Unknown",IF(D4225&lt;25000,"&lt;$25k",IF(D4225&lt;50000,"$25k-$50k",IF(D4225&lt;75000,"$50k-$75k",IF(D4225&lt;100000,"$75k-$100k","$100k+")))))</x:f>
        <x:v>$25k-$50k</x:v>
      </x:c>
      <x:c r="P4225" t="str">
        <x:f>IF(E4225="","Unknown",IF(E4225&lt;10,"&lt;10",IF(E4225&lt;20,"10-&lt;20",IF(E4225&lt;25,"20-&lt;25",IF(E4225&lt;35,"25-&lt;35","35+")))))</x:f>
        <x:v>20-&lt;25</x:v>
      </x:c>
    </x:row>
    <x:row r="4226">
      <x:c r="A4226" t="str">
        <x:v>SYN0004225</x:v>
      </x:c>
      <x:c r="B4226" s="12" t="n">
        <x:v>43015</x:v>
      </x:c>
      <x:c r="C4226" s="18" t="n">
        <x:v>9737</x:v>
      </x:c>
      <x:c r="D4226" s="18" t="n">
        <x:v>143860</x:v>
      </x:c>
      <x:c r="E4226" s="18" t="n">
        <x:v>17.27</x:v>
      </x:c>
      <x:c r="F4226" s="18" t="n">
        <x:v>7.08</x:v>
      </x:c>
      <x:c r="G4226" t="n">
        <x:v>36</x:v>
      </x:c>
      <x:c r="H4226" t="str">
        <x:v>B</x:v>
      </x:c>
      <x:c r="I4226" t="str">
        <x:v>10+ years</x:v>
      </x:c>
      <x:c r="J4226" t="str">
        <x:v>RENT</x:v>
      </x:c>
      <x:c r="K4226" t="str">
        <x:v>other</x:v>
      </x:c>
      <x:c r="L4226" t="n">
        <x:v>0</x:v>
      </x:c>
      <x:c r="M4226" t="n">
        <x:v>0</x:v>
      </x:c>
      <x:c r="N4226" t="str">
        <x:v>Fully Paid</x:v>
      </x:c>
      <x:c r="O4226" t="str">
        <x:f>IF(D4226="","Unknown",IF(D4226&lt;25000,"&lt;$25k",IF(D4226&lt;50000,"$25k-$50k",IF(D4226&lt;75000,"$50k-$75k",IF(D4226&lt;100000,"$75k-$100k","$100k+")))))</x:f>
        <x:v>$100k+</x:v>
      </x:c>
      <x:c r="P4226" t="str">
        <x:f>IF(E4226="","Unknown",IF(E4226&lt;10,"&lt;10",IF(E4226&lt;20,"10-&lt;20",IF(E4226&lt;25,"20-&lt;25",IF(E4226&lt;35,"25-&lt;35","35+")))))</x:f>
        <x:v>10-&lt;20</x:v>
      </x:c>
    </x:row>
    <x:row r="4227">
      <x:c r="A4227" t="str">
        <x:v>SYN0004226</x:v>
      </x:c>
      <x:c r="B4227" s="12" t="n">
        <x:v>41845</x:v>
      </x:c>
      <x:c r="C4227" s="18" t="n">
        <x:v>40000</x:v>
      </x:c>
      <x:c r="D4227" s="18" t="n">
        <x:v>44533</x:v>
      </x:c>
      <x:c r="E4227" s="18" t="n">
        <x:v>19.85</x:v>
      </x:c>
      <x:c r="F4227" s="18" t="n">
        <x:v>9.89</x:v>
      </x:c>
      <x:c r="G4227" t="n">
        <x:v>60</x:v>
      </x:c>
      <x:c r="H4227" t="str">
        <x:v>C</x:v>
      </x:c>
      <x:c r="I4227" t="str">
        <x:v>10+ years</x:v>
      </x:c>
      <x:c r="J4227" t="str">
        <x:v>RENT</x:v>
      </x:c>
      <x:c r="K4227" t="str">
        <x:v>medical</x:v>
      </x:c>
      <x:c r="L4227" t="n">
        <x:v>1</x:v>
      </x:c>
      <x:c r="M4227" t="n">
        <x:v>0</x:v>
      </x:c>
      <x:c r="N4227" t="str">
        <x:v>Fully Paid</x:v>
      </x:c>
      <x:c r="O4227" t="str">
        <x:f>IF(D4227="","Unknown",IF(D4227&lt;25000,"&lt;$25k",IF(D4227&lt;50000,"$25k-$50k",IF(D4227&lt;75000,"$50k-$75k",IF(D4227&lt;100000,"$75k-$100k","$100k+")))))</x:f>
        <x:v>$25k-$50k</x:v>
      </x:c>
      <x:c r="P4227" t="str">
        <x:f>IF(E4227="","Unknown",IF(E4227&lt;10,"&lt;10",IF(E4227&lt;20,"10-&lt;20",IF(E4227&lt;25,"20-&lt;25",IF(E4227&lt;35,"25-&lt;35","35+")))))</x:f>
        <x:v>10-&lt;20</x:v>
      </x:c>
    </x:row>
    <x:row r="4228">
      <x:c r="A4228" t="str">
        <x:v>SYN0004227</x:v>
      </x:c>
      <x:c r="B4228" s="12" t="n">
        <x:v>42985</x:v>
      </x:c>
      <x:c r="C4228" s="18" t="n">
        <x:v>16567</x:v>
      </x:c>
      <x:c r="D4228" s="18" t="n">
        <x:v>12000</x:v>
      </x:c>
      <x:c r="E4228" s="18" t="n">
        <x:v>23.71</x:v>
      </x:c>
      <x:c r="F4228" s="18" t="n">
        <x:v>12.35</x:v>
      </x:c>
      <x:c r="G4228" t="n">
        <x:v>36</x:v>
      </x:c>
      <x:c r="H4228" t="str">
        <x:v>C</x:v>
      </x:c>
      <x:c r="I4228" t="str">
        <x:v>7-9 years</x:v>
      </x:c>
      <x:c r="J4228" t="str">
        <x:v>MORTGAGE</x:v>
      </x:c>
      <x:c r="K4228" t="str">
        <x:v>debt_consolidation</x:v>
      </x:c>
      <x:c r="L4228" t="n">
        <x:v>0</x:v>
      </x:c>
      <x:c r="M4228" t="n">
        <x:v>0</x:v>
      </x:c>
      <x:c r="N4228" t="str">
        <x:v>Fully Paid</x:v>
      </x:c>
      <x:c r="O4228" t="str">
        <x:f>IF(D4228="","Unknown",IF(D4228&lt;25000,"&lt;$25k",IF(D4228&lt;50000,"$25k-$50k",IF(D4228&lt;75000,"$50k-$75k",IF(D4228&lt;100000,"$75k-$100k","$100k+")))))</x:f>
        <x:v>&lt;$25k</x:v>
      </x:c>
      <x:c r="P4228" t="str">
        <x:f>IF(E4228="","Unknown",IF(E4228&lt;10,"&lt;10",IF(E4228&lt;20,"10-&lt;20",IF(E4228&lt;25,"20-&lt;25",IF(E4228&lt;35,"25-&lt;35","35+")))))</x:f>
        <x:v>20-&lt;25</x:v>
      </x:c>
    </x:row>
    <x:row r="4229">
      <x:c r="A4229" t="str">
        <x:v>SYN0004228</x:v>
      </x:c>
      <x:c r="B4229" s="12" t="n">
        <x:v>42415</x:v>
      </x:c>
      <x:c r="C4229" s="18" t="n">
        <x:v>6761</x:v>
      </x:c>
      <x:c r="D4229" s="18" t="n">
        <x:v>41005</x:v>
      </x:c>
      <x:c r="E4229" s="18" t="n">
        <x:v>14.07</x:v>
      </x:c>
      <x:c r="F4229" s="18" t="n">
        <x:v>9.73</x:v>
      </x:c>
      <x:c r="G4229" t="n">
        <x:v>36</x:v>
      </x:c>
      <x:c r="H4229" t="str">
        <x:v>B</x:v>
      </x:c>
      <x:c r="I4229" t="str">
        <x:v>1-3 years</x:v>
      </x:c>
      <x:c r="J4229" t="str">
        <x:v>RENT</x:v>
      </x:c>
      <x:c r="K4229" t="str">
        <x:v>credit_card</x:v>
      </x:c>
      <x:c r="L4229" t="n">
        <x:v>1</x:v>
      </x:c>
      <x:c r="M4229" t="n">
        <x:v>0</x:v>
      </x:c>
      <x:c r="N4229" t="str">
        <x:v>Fully Paid</x:v>
      </x:c>
      <x:c r="O4229" t="str">
        <x:f>IF(D4229="","Unknown",IF(D4229&lt;25000,"&lt;$25k",IF(D4229&lt;50000,"$25k-$50k",IF(D4229&lt;75000,"$50k-$75k",IF(D4229&lt;100000,"$75k-$100k","$100k+")))))</x:f>
        <x:v>$25k-$50k</x:v>
      </x:c>
      <x:c r="P4229" t="str">
        <x:f>IF(E4229="","Unknown",IF(E4229&lt;10,"&lt;10",IF(E4229&lt;20,"10-&lt;20",IF(E4229&lt;25,"20-&lt;25",IF(E4229&lt;35,"25-&lt;35","35+")))))</x:f>
        <x:v>10-&lt;20</x:v>
      </x:c>
    </x:row>
    <x:row r="4230">
      <x:c r="A4230" t="str">
        <x:v>SYN0004229</x:v>
      </x:c>
      <x:c r="B4230" s="12" t="n">
        <x:v>41635</x:v>
      </x:c>
      <x:c r="C4230" s="18" t="n">
        <x:v>13307</x:v>
      </x:c>
      <x:c r="D4230" s="18" t="n">
        <x:v>45799</x:v>
      </x:c>
      <x:c r="E4230" s="18" t="n">
        <x:v>32.3</x:v>
      </x:c>
      <x:c r="F4230" s="18" t="n">
        <x:v>7.46</x:v>
      </x:c>
      <x:c r="G4230" t="n">
        <x:v>36</x:v>
      </x:c>
      <x:c r="H4230" t="str">
        <x:v>A</x:v>
      </x:c>
      <x:c r="I4230" t="str">
        <x:v>10+ years</x:v>
      </x:c>
      <x:c r="J4230" t="str">
        <x:v>OWN</x:v>
      </x:c>
      <x:c r="K4230" t="str">
        <x:v>major_purchase</x:v>
      </x:c>
      <x:c r="L4230" t="n">
        <x:v>0</x:v>
      </x:c>
      <x:c r="M4230" t="n">
        <x:v>0</x:v>
      </x:c>
      <x:c r="N4230" t="str">
        <x:v>Fully Paid</x:v>
      </x:c>
      <x:c r="O4230" t="str">
        <x:f>IF(D4230="","Unknown",IF(D4230&lt;25000,"&lt;$25k",IF(D4230&lt;50000,"$25k-$50k",IF(D4230&lt;75000,"$50k-$75k",IF(D4230&lt;100000,"$75k-$100k","$100k+")))))</x:f>
        <x:v>$25k-$50k</x:v>
      </x:c>
      <x:c r="P4230" t="str">
        <x:f>IF(E4230="","Unknown",IF(E4230&lt;10,"&lt;10",IF(E4230&lt;20,"10-&lt;20",IF(E4230&lt;25,"20-&lt;25",IF(E4230&lt;35,"25-&lt;35","35+")))))</x:f>
        <x:v>25-&lt;35</x:v>
      </x:c>
    </x:row>
    <x:row r="4231">
      <x:c r="A4231" t="str">
        <x:v>SYN0004230</x:v>
      </x:c>
      <x:c r="B4231" s="12" t="n">
        <x:v>43135</x:v>
      </x:c>
      <x:c r="C4231" s="18" t="n">
        <x:v>15359</x:v>
      </x:c>
      <x:c r="D4231" s="18" t="n">
        <x:v>105359</x:v>
      </x:c>
      <x:c r="E4231" s="18" t="n">
        <x:v>23.9</x:v>
      </x:c>
      <x:c r="F4231" s="18" t="n">
        <x:v>13.55</x:v>
      </x:c>
      <x:c r="G4231" t="n">
        <x:v>36</x:v>
      </x:c>
      <x:c r="H4231" t="str">
        <x:v>C</x:v>
      </x:c>
      <x:c r="I4231" t="str">
        <x:v>1-3 years</x:v>
      </x:c>
      <x:c r="J4231" t="str">
        <x:v>OWN</x:v>
      </x:c>
      <x:c r="K4231" t="str">
        <x:v>debt_consolidation</x:v>
      </x:c>
      <x:c r="L4231" t="n">
        <x:v>0</x:v>
      </x:c>
      <x:c r="M4231" t="n">
        <x:v>0</x:v>
      </x:c>
      <x:c r="N4231" t="str">
        <x:v>Fully Paid</x:v>
      </x:c>
      <x:c r="O4231" t="str">
        <x:f>IF(D4231="","Unknown",IF(D4231&lt;25000,"&lt;$25k",IF(D4231&lt;50000,"$25k-$50k",IF(D4231&lt;75000,"$50k-$75k",IF(D4231&lt;100000,"$75k-$100k","$100k+")))))</x:f>
        <x:v>$100k+</x:v>
      </x:c>
      <x:c r="P4231" t="str">
        <x:f>IF(E4231="","Unknown",IF(E4231&lt;10,"&lt;10",IF(E4231&lt;20,"10-&lt;20",IF(E4231&lt;25,"20-&lt;25",IF(E4231&lt;35,"25-&lt;35","35+")))))</x:f>
        <x:v>20-&lt;25</x:v>
      </x:c>
    </x:row>
    <x:row r="4232">
      <x:c r="A4232" t="str">
        <x:v>SYN0004231</x:v>
      </x:c>
      <x:c r="B4232" s="12" t="n">
        <x:v>43225</x:v>
      </x:c>
      <x:c r="C4232" s="18" t="n">
        <x:v>7955</x:v>
      </x:c>
      <x:c r="D4232" s="18" t="n">
        <x:v>45023</x:v>
      </x:c>
      <x:c r="E4232" s="18" t="n">
        <x:v>12.78</x:v>
      </x:c>
      <x:c r="F4232" s="18" t="n">
        <x:v>10.8</x:v>
      </x:c>
      <x:c r="G4232" t="n">
        <x:v>36</x:v>
      </x:c>
      <x:c r="H4232" t="str">
        <x:v>C</x:v>
      </x:c>
      <x:c r="I4232" t="str">
        <x:v>10+ years</x:v>
      </x:c>
      <x:c r="J4232" t="str">
        <x:v>OWN</x:v>
      </x:c>
      <x:c r="K4232" t="str">
        <x:v>debt_consolidation</x:v>
      </x:c>
      <x:c r="L4232" t="n">
        <x:v>2</x:v>
      </x:c>
      <x:c r="M4232" t="n">
        <x:v>0</x:v>
      </x:c>
      <x:c r="N4232" t="str">
        <x:v>Fully Paid</x:v>
      </x:c>
      <x:c r="O4232" t="str">
        <x:f>IF(D4232="","Unknown",IF(D4232&lt;25000,"&lt;$25k",IF(D4232&lt;50000,"$25k-$50k",IF(D4232&lt;75000,"$50k-$75k",IF(D4232&lt;100000,"$75k-$100k","$100k+")))))</x:f>
        <x:v>$25k-$50k</x:v>
      </x:c>
      <x:c r="P4232" t="str">
        <x:f>IF(E4232="","Unknown",IF(E4232&lt;10,"&lt;10",IF(E4232&lt;20,"10-&lt;20",IF(E4232&lt;25,"20-&lt;25",IF(E4232&lt;35,"25-&lt;35","35+")))))</x:f>
        <x:v>10-&lt;20</x:v>
      </x:c>
    </x:row>
    <x:row r="4233">
      <x:c r="A4233" t="str">
        <x:v>SYN0004232</x:v>
      </x:c>
      <x:c r="B4233" s="12" t="n">
        <x:v>43255</x:v>
      </x:c>
      <x:c r="C4233" s="18" t="n">
        <x:v>7556</x:v>
      </x:c>
      <x:c r="D4233" s="18" t="n">
        <x:v>55566</x:v>
      </x:c>
      <x:c r="E4233" s="18" t="n">
        <x:v>17.57</x:v>
      </x:c>
      <x:c r="F4233" s="18" t="n">
        <x:v>7.21</x:v>
      </x:c>
      <x:c r="G4233" t="n">
        <x:v>36</x:v>
      </x:c>
      <x:c r="H4233" t="str">
        <x:v>C</x:v>
      </x:c>
      <x:c r="I4233" t="str">
        <x:v>1-3 years</x:v>
      </x:c>
      <x:c r="J4233" t="str">
        <x:v>OWN</x:v>
      </x:c>
      <x:c r="K4233" t="str">
        <x:v>other</x:v>
      </x:c>
      <x:c r="L4233" t="n">
        <x:v>0</x:v>
      </x:c>
      <x:c r="M4233" t="n">
        <x:v>0</x:v>
      </x:c>
      <x:c r="N4233" t="str">
        <x:v>Fully Paid</x:v>
      </x:c>
      <x:c r="O4233" t="str">
        <x:f>IF(D4233="","Unknown",IF(D4233&lt;25000,"&lt;$25k",IF(D4233&lt;50000,"$25k-$50k",IF(D4233&lt;75000,"$50k-$75k",IF(D4233&lt;100000,"$75k-$100k","$100k+")))))</x:f>
        <x:v>$50k-$75k</x:v>
      </x:c>
      <x:c r="P4233" t="str">
        <x:f>IF(E4233="","Unknown",IF(E4233&lt;10,"&lt;10",IF(E4233&lt;20,"10-&lt;20",IF(E4233&lt;25,"20-&lt;25",IF(E4233&lt;35,"25-&lt;35","35+")))))</x:f>
        <x:v>10-&lt;20</x:v>
      </x:c>
    </x:row>
    <x:row r="4234">
      <x:c r="A4234" t="str">
        <x:v>SYN0004233</x:v>
      </x:c>
      <x:c r="B4234" s="12" t="n">
        <x:v>42475</x:v>
      </x:c>
      <x:c r="C4234" s="18" t="n">
        <x:v>4729</x:v>
      </x:c>
      <x:c r="D4234" s="18" t="n">
        <x:v>15246</x:v>
      </x:c>
      <x:c r="E4234" s="18" t="n">
        <x:v>27.52</x:v>
      </x:c>
      <x:c r="F4234" s="18" t="n">
        <x:v>21.17</x:v>
      </x:c>
      <x:c r="G4234" t="n">
        <x:v>36</x:v>
      </x:c>
      <x:c r="H4234" t="str">
        <x:v>F</x:v>
      </x:c>
      <x:c r="I4234" t="str">
        <x:v>7-9 years</x:v>
      </x:c>
      <x:c r="J4234" t="str">
        <x:v>MORTGAGE</x:v>
      </x:c>
      <x:c r="K4234" t="str">
        <x:v>major_purchase</x:v>
      </x:c>
      <x:c r="L4234" t="n">
        <x:v>1</x:v>
      </x:c>
      <x:c r="M4234" t="n">
        <x:v>0</x:v>
      </x:c>
      <x:c r="N4234" t="str">
        <x:v>Fully Paid</x:v>
      </x:c>
      <x:c r="O4234" t="str">
        <x:f>IF(D4234="","Unknown",IF(D4234&lt;25000,"&lt;$25k",IF(D4234&lt;50000,"$25k-$50k",IF(D4234&lt;75000,"$50k-$75k",IF(D4234&lt;100000,"$75k-$100k","$100k+")))))</x:f>
        <x:v>&lt;$25k</x:v>
      </x:c>
      <x:c r="P4234" t="str">
        <x:f>IF(E4234="","Unknown",IF(E4234&lt;10,"&lt;10",IF(E4234&lt;20,"10-&lt;20",IF(E4234&lt;25,"20-&lt;25",IF(E4234&lt;35,"25-&lt;35","35+")))))</x:f>
        <x:v>25-&lt;35</x:v>
      </x:c>
    </x:row>
    <x:row r="4235">
      <x:c r="A4235" t="str">
        <x:v>SYN0004234</x:v>
      </x:c>
      <x:c r="B4235" s="12" t="n">
        <x:v>42625</x:v>
      </x:c>
      <x:c r="C4235" s="18" t="n">
        <x:v>4745</x:v>
      </x:c>
      <x:c r="D4235" s="18" t="n">
        <x:v>36313</x:v>
      </x:c>
      <x:c r="E4235" s="18" t="n">
        <x:v>39.95</x:v>
      </x:c>
      <x:c r="F4235" s="18" t="n">
        <x:v>7.21</x:v>
      </x:c>
      <x:c r="G4235" t="n">
        <x:v>60</x:v>
      </x:c>
      <x:c r="H4235" t="str">
        <x:v>A</x:v>
      </x:c>
      <x:c r="I4235" t="str">
        <x:v>&lt;1 year</x:v>
      </x:c>
      <x:c r="J4235" t="str">
        <x:v>OWN</x:v>
      </x:c>
      <x:c r="K4235" t="str">
        <x:v>credit_card</x:v>
      </x:c>
      <x:c r="L4235" t="n">
        <x:v>0</x:v>
      </x:c>
      <x:c r="M4235" t="n">
        <x:v>0</x:v>
      </x:c>
      <x:c r="N4235" t="str">
        <x:v>Fully Paid</x:v>
      </x:c>
      <x:c r="O4235" t="str">
        <x:f>IF(D4235="","Unknown",IF(D4235&lt;25000,"&lt;$25k",IF(D4235&lt;50000,"$25k-$50k",IF(D4235&lt;75000,"$50k-$75k",IF(D4235&lt;100000,"$75k-$100k","$100k+")))))</x:f>
        <x:v>$25k-$50k</x:v>
      </x:c>
      <x:c r="P4235" t="str">
        <x:f>IF(E4235="","Unknown",IF(E4235&lt;10,"&lt;10",IF(E4235&lt;20,"10-&lt;20",IF(E4235&lt;25,"20-&lt;25",IF(E4235&lt;35,"25-&lt;35","35+")))))</x:f>
        <x:v>35+</x:v>
      </x:c>
    </x:row>
    <x:row r="4236">
      <x:c r="A4236" t="str">
        <x:v>SYN0004235</x:v>
      </x:c>
      <x:c r="B4236" s="12" t="n">
        <x:v>41965</x:v>
      </x:c>
      <x:c r="C4236" s="18" t="n">
        <x:v>9799</x:v>
      </x:c>
      <x:c r="D4236" s="18" t="n">
        <x:v>66072</x:v>
      </x:c>
      <x:c r="E4236" s="18" t="n">
        <x:v>9.82</x:v>
      </x:c>
      <x:c r="F4236" s="18" t="n">
        <x:v>24.12</x:v>
      </x:c>
      <x:c r="G4236" t="n">
        <x:v>36</x:v>
      </x:c>
      <x:c r="H4236" t="str">
        <x:v>F</x:v>
      </x:c>
      <x:c r="I4236" t="str">
        <x:v>1-3 years</x:v>
      </x:c>
      <x:c r="J4236" t="str">
        <x:v>RENT</x:v>
      </x:c>
      <x:c r="K4236" t="str">
        <x:v>credit_card</x:v>
      </x:c>
      <x:c r="L4236" t="n">
        <x:v>0</x:v>
      </x:c>
      <x:c r="M4236" t="n">
        <x:v>1</x:v>
      </x:c>
      <x:c r="N4236" t="str">
        <x:v>Charged Off</x:v>
      </x:c>
      <x:c r="O4236" t="str">
        <x:f>IF(D4236="","Unknown",IF(D4236&lt;25000,"&lt;$25k",IF(D4236&lt;50000,"$25k-$50k",IF(D4236&lt;75000,"$50k-$75k",IF(D4236&lt;100000,"$75k-$100k","$100k+")))))</x:f>
        <x:v>$50k-$75k</x:v>
      </x:c>
      <x:c r="P4236" t="str">
        <x:f>IF(E4236="","Unknown",IF(E4236&lt;10,"&lt;10",IF(E4236&lt;20,"10-&lt;20",IF(E4236&lt;25,"20-&lt;25",IF(E4236&lt;35,"25-&lt;35","35+")))))</x:f>
        <x:v>&lt;10</x:v>
      </x:c>
    </x:row>
    <x:row r="4237">
      <x:c r="A4237" t="str">
        <x:v>SYN0004236</x:v>
      </x:c>
      <x:c r="B4237" s="12" t="n">
        <x:v>43165</x:v>
      </x:c>
      <x:c r="C4237" s="18" t="n">
        <x:v>20852</x:v>
      </x:c>
      <x:c r="D4237" s="18" t="n">
        <x:v>31489</x:v>
      </x:c>
      <x:c r="E4237" s="18" t="n">
        <x:v>10.75</x:v>
      </x:c>
      <x:c r="F4237" s="18" t="n">
        <x:v>5.66</x:v>
      </x:c>
      <x:c r="G4237" t="n">
        <x:v>36</x:v>
      </x:c>
      <x:c r="H4237" t="str">
        <x:v>A</x:v>
      </x:c>
      <x:c r="I4237" t="str">
        <x:v>4-6 years</x:v>
      </x:c>
      <x:c r="J4237" t="str">
        <x:v>MORTGAGE</x:v>
      </x:c>
      <x:c r="K4237" t="str">
        <x:v>credit_card</x:v>
      </x:c>
      <x:c r="L4237" t="n">
        <x:v>0</x:v>
      </x:c>
      <x:c r="M4237" t="n">
        <x:v>0</x:v>
      </x:c>
      <x:c r="N4237" t="str">
        <x:v>Fully Paid</x:v>
      </x:c>
      <x:c r="O4237" t="str">
        <x:f>IF(D4237="","Unknown",IF(D4237&lt;25000,"&lt;$25k",IF(D4237&lt;50000,"$25k-$50k",IF(D4237&lt;75000,"$50k-$75k",IF(D4237&lt;100000,"$75k-$100k","$100k+")))))</x:f>
        <x:v>$25k-$50k</x:v>
      </x:c>
      <x:c r="P4237" t="str">
        <x:f>IF(E4237="","Unknown",IF(E4237&lt;10,"&lt;10",IF(E4237&lt;20,"10-&lt;20",IF(E4237&lt;25,"20-&lt;25",IF(E4237&lt;35,"25-&lt;35","35+")))))</x:f>
        <x:v>10-&lt;20</x:v>
      </x:c>
    </x:row>
    <x:row r="4238">
      <x:c r="A4238" t="str">
        <x:v>SYN0004237</x:v>
      </x:c>
      <x:c r="B4238" s="12" t="n">
        <x:v>41365</x:v>
      </x:c>
      <x:c r="C4238" s="18" t="n">
        <x:v>34899</x:v>
      </x:c>
      <x:c r="D4238" s="18" t="n">
        <x:v>52134</x:v>
      </x:c>
      <x:c r="E4238" s="18" t="n">
        <x:v>22.26</x:v>
      </x:c>
      <x:c r="F4238" s="18" t="n">
        <x:v>10.27</x:v>
      </x:c>
      <x:c r="G4238" t="n">
        <x:v>60</x:v>
      </x:c>
      <x:c r="H4238" t="str">
        <x:v>B</x:v>
      </x:c>
      <x:c r="I4238" t="str">
        <x:v>1-3 years</x:v>
      </x:c>
      <x:c r="J4238" t="str">
        <x:v>OWN</x:v>
      </x:c>
      <x:c r="K4238" t="str">
        <x:v>debt_consolidation</x:v>
      </x:c>
      <x:c r="L4238" t="n">
        <x:v>1</x:v>
      </x:c>
      <x:c r="M4238" t="n">
        <x:v>0</x:v>
      </x:c>
      <x:c r="N4238" t="str">
        <x:v>Fully Paid</x:v>
      </x:c>
      <x:c r="O4238" t="str">
        <x:f>IF(D4238="","Unknown",IF(D4238&lt;25000,"&lt;$25k",IF(D4238&lt;50000,"$25k-$50k",IF(D4238&lt;75000,"$50k-$75k",IF(D4238&lt;100000,"$75k-$100k","$100k+")))))</x:f>
        <x:v>$50k-$75k</x:v>
      </x:c>
      <x:c r="P4238" t="str">
        <x:f>IF(E4238="","Unknown",IF(E4238&lt;10,"&lt;10",IF(E4238&lt;20,"10-&lt;20",IF(E4238&lt;25,"20-&lt;25",IF(E4238&lt;35,"25-&lt;35","35+")))))</x:f>
        <x:v>20-&lt;25</x:v>
      </x:c>
    </x:row>
    <x:row r="4239">
      <x:c r="A4239" t="str">
        <x:v>SYN0004238</x:v>
      </x:c>
      <x:c r="B4239" s="12" t="n">
        <x:v>43045</x:v>
      </x:c>
      <x:c r="C4239" s="18" t="n">
        <x:v>14671</x:v>
      </x:c>
      <x:c r="D4239" s="18" t="n">
        <x:v>172167</x:v>
      </x:c>
      <x:c r="E4239" s="18" t="n">
        <x:v>4.75</x:v>
      </x:c>
      <x:c r="F4239" s="18" t="n">
        <x:v>10.39</x:v>
      </x:c>
      <x:c r="G4239" t="n">
        <x:v>36</x:v>
      </x:c>
      <x:c r="H4239" t="str">
        <x:v>C</x:v>
      </x:c>
      <x:c r="I4239" t="str">
        <x:v>10+ years</x:v>
      </x:c>
      <x:c r="J4239" t="str">
        <x:v>RENT</x:v>
      </x:c>
      <x:c r="K4239" t="str">
        <x:v>debt_consolidation</x:v>
      </x:c>
      <x:c r="L4239" t="n">
        <x:v>0</x:v>
      </x:c>
      <x:c r="M4239" t="n">
        <x:v>0</x:v>
      </x:c>
      <x:c r="N4239" t="str">
        <x:v>Fully Paid</x:v>
      </x:c>
      <x:c r="O4239" t="str">
        <x:f>IF(D4239="","Unknown",IF(D4239&lt;25000,"&lt;$25k",IF(D4239&lt;50000,"$25k-$50k",IF(D4239&lt;75000,"$50k-$75k",IF(D4239&lt;100000,"$75k-$100k","$100k+")))))</x:f>
        <x:v>$100k+</x:v>
      </x:c>
      <x:c r="P4239" t="str">
        <x:f>IF(E4239="","Unknown",IF(E4239&lt;10,"&lt;10",IF(E4239&lt;20,"10-&lt;20",IF(E4239&lt;25,"20-&lt;25",IF(E4239&lt;35,"25-&lt;35","35+")))))</x:f>
        <x:v>&lt;10</x:v>
      </x:c>
    </x:row>
    <x:row r="4240">
      <x:c r="A4240" t="str">
        <x:v>SYN0004239</x:v>
      </x:c>
      <x:c r="B4240" s="12" t="n">
        <x:v>42205</x:v>
      </x:c>
      <x:c r="C4240" s="18" t="n">
        <x:v>7506</x:v>
      </x:c>
      <x:c r="D4240" s="18" t="n">
        <x:v>64059</x:v>
      </x:c>
      <x:c r="E4240" s="18" t="n">
        <x:v>26.54</x:v>
      </x:c>
      <x:c r="F4240" s="18" t="n">
        <x:v>10.9</x:v>
      </x:c>
      <x:c r="G4240" t="n">
        <x:v>36</x:v>
      </x:c>
      <x:c r="H4240" t="str">
        <x:v>C</x:v>
      </x:c>
      <x:c r="I4240" t="str">
        <x:v>1-3 years</x:v>
      </x:c>
      <x:c r="J4240" t="str">
        <x:v>MORTGAGE</x:v>
      </x:c>
      <x:c r="K4240" t="str">
        <x:v>debt_consolidation</x:v>
      </x:c>
      <x:c r="L4240" t="n">
        <x:v>0</x:v>
      </x:c>
      <x:c r="M4240" t="n">
        <x:v>0</x:v>
      </x:c>
      <x:c r="N4240" t="str">
        <x:v>Fully Paid</x:v>
      </x:c>
      <x:c r="O4240" t="str">
        <x:f>IF(D4240="","Unknown",IF(D4240&lt;25000,"&lt;$25k",IF(D4240&lt;50000,"$25k-$50k",IF(D4240&lt;75000,"$50k-$75k",IF(D4240&lt;100000,"$75k-$100k","$100k+")))))</x:f>
        <x:v>$50k-$75k</x:v>
      </x:c>
      <x:c r="P4240" t="str">
        <x:f>IF(E4240="","Unknown",IF(E4240&lt;10,"&lt;10",IF(E4240&lt;20,"10-&lt;20",IF(E4240&lt;25,"20-&lt;25",IF(E4240&lt;35,"25-&lt;35","35+")))))</x:f>
        <x:v>25-&lt;35</x:v>
      </x:c>
    </x:row>
    <x:row r="4241">
      <x:c r="A4241" t="str">
        <x:v>SYN0004240</x:v>
      </x:c>
      <x:c r="B4241" s="12" t="n">
        <x:v>42685</x:v>
      </x:c>
      <x:c r="C4241" s="18" t="n">
        <x:v>17299</x:v>
      </x:c>
      <x:c r="D4241" s="18" t="n">
        <x:v>183297</x:v>
      </x:c>
      <x:c r="E4241" s="18" t="n">
        <x:v>16.94</x:v>
      </x:c>
      <x:c r="F4241" s="18" t="n">
        <x:v>25.29</x:v>
      </x:c>
      <x:c r="G4241" t="n">
        <x:v>60</x:v>
      </x:c>
      <x:c r="H4241" t="str">
        <x:v>G</x:v>
      </x:c>
      <x:c r="I4241" t="str">
        <x:v>7-9 years</x:v>
      </x:c>
      <x:c r="J4241" t="str">
        <x:v>MORTGAGE</x:v>
      </x:c>
      <x:c r="K4241" t="str">
        <x:v>debt_consolidation</x:v>
      </x:c>
      <x:c r="L4241" t="n">
        <x:v>1</x:v>
      </x:c>
      <x:c r="M4241" t="n">
        <x:v>1</x:v>
      </x:c>
      <x:c r="N4241" t="str">
        <x:v>Charged Off</x:v>
      </x:c>
      <x:c r="O4241" t="str">
        <x:f>IF(D4241="","Unknown",IF(D4241&lt;25000,"&lt;$25k",IF(D4241&lt;50000,"$25k-$50k",IF(D4241&lt;75000,"$50k-$75k",IF(D4241&lt;100000,"$75k-$100k","$100k+")))))</x:f>
        <x:v>$100k+</x:v>
      </x:c>
      <x:c r="P4241" t="str">
        <x:f>IF(E4241="","Unknown",IF(E4241&lt;10,"&lt;10",IF(E4241&lt;20,"10-&lt;20",IF(E4241&lt;25,"20-&lt;25",IF(E4241&lt;35,"25-&lt;35","35+")))))</x:f>
        <x:v>10-&lt;20</x:v>
      </x:c>
    </x:row>
    <x:row r="4242">
      <x:c r="A4242" t="str">
        <x:v>SYN0004241</x:v>
      </x:c>
      <x:c r="B4242" s="12" t="n">
        <x:v>42325</x:v>
      </x:c>
      <x:c r="C4242" s="18" t="n">
        <x:v>40000</x:v>
      </x:c>
      <x:c r="D4242" s="18" t="n">
        <x:v>55568</x:v>
      </x:c>
      <x:c r="E4242" s="18" t="n">
        <x:v>16.36</x:v>
      </x:c>
      <x:c r="F4242" s="18" t="n">
        <x:v>16.69</x:v>
      </x:c>
      <x:c r="G4242" t="n">
        <x:v>36</x:v>
      </x:c>
      <x:c r="H4242" t="str">
        <x:v>E</x:v>
      </x:c>
      <x:c r="I4242" t="str">
        <x:v>&lt;1 year</x:v>
      </x:c>
      <x:c r="J4242" t="str">
        <x:v>MORTGAGE</x:v>
      </x:c>
      <x:c r="K4242" t="str">
        <x:v>other</x:v>
      </x:c>
      <x:c r="L4242" t="n">
        <x:v>2</x:v>
      </x:c>
      <x:c r="M4242" t="n">
        <x:v>1</x:v>
      </x:c>
      <x:c r="N4242" t="str">
        <x:v>Charged Off</x:v>
      </x:c>
      <x:c r="O4242" t="str">
        <x:f>IF(D4242="","Unknown",IF(D4242&lt;25000,"&lt;$25k",IF(D4242&lt;50000,"$25k-$50k",IF(D4242&lt;75000,"$50k-$75k",IF(D4242&lt;100000,"$75k-$100k","$100k+")))))</x:f>
        <x:v>$50k-$75k</x:v>
      </x:c>
      <x:c r="P4242" t="str">
        <x:f>IF(E4242="","Unknown",IF(E4242&lt;10,"&lt;10",IF(E4242&lt;20,"10-&lt;20",IF(E4242&lt;25,"20-&lt;25",IF(E4242&lt;35,"25-&lt;35","35+")))))</x:f>
        <x:v>10-&lt;20</x:v>
      </x:c>
    </x:row>
    <x:row r="4243">
      <x:c r="A4243" t="str">
        <x:v>SYN0004242</x:v>
      </x:c>
      <x:c r="B4243" s="12" t="n">
        <x:v>41665</x:v>
      </x:c>
      <x:c r="C4243" s="18" t="n">
        <x:v>17819</x:v>
      </x:c>
      <x:c r="D4243" s="18" t="n">
        <x:v>123301</x:v>
      </x:c>
      <x:c r="E4243" s="18" t="n">
        <x:v>22.83</x:v>
      </x:c>
      <x:c r="F4243" s="18" t="n">
        <x:v>22.39</x:v>
      </x:c>
      <x:c r="G4243" t="n">
        <x:v>60</x:v>
      </x:c>
      <x:c r="H4243" t="str">
        <x:v>G</x:v>
      </x:c>
      <x:c r="I4243" t="str">
        <x:v>7-9 years</x:v>
      </x:c>
      <x:c r="J4243" t="str">
        <x:v>MORTGAGE</x:v>
      </x:c>
      <x:c r="K4243" t="str">
        <x:v>home_improvement</x:v>
      </x:c>
      <x:c r="L4243" t="n">
        <x:v>0</x:v>
      </x:c>
      <x:c r="M4243" t="n">
        <x:v>1</x:v>
      </x:c>
      <x:c r="N4243" t="str">
        <x:v>Charged Off</x:v>
      </x:c>
      <x:c r="O4243" t="str">
        <x:f>IF(D4243="","Unknown",IF(D4243&lt;25000,"&lt;$25k",IF(D4243&lt;50000,"$25k-$50k",IF(D4243&lt;75000,"$50k-$75k",IF(D4243&lt;100000,"$75k-$100k","$100k+")))))</x:f>
        <x:v>$100k+</x:v>
      </x:c>
      <x:c r="P4243" t="str">
        <x:f>IF(E4243="","Unknown",IF(E4243&lt;10,"&lt;10",IF(E4243&lt;20,"10-&lt;20",IF(E4243&lt;25,"20-&lt;25",IF(E4243&lt;35,"25-&lt;35","35+")))))</x:f>
        <x:v>20-&lt;25</x:v>
      </x:c>
    </x:row>
    <x:row r="4244">
      <x:c r="A4244" t="str">
        <x:v>SYN0004243</x:v>
      </x:c>
      <x:c r="B4244" s="12" t="n">
        <x:v>41905</x:v>
      </x:c>
      <x:c r="C4244" s="18" t="n">
        <x:v>20663</x:v>
      </x:c>
      <x:c r="D4244" s="18" t="n">
        <x:v>171484</x:v>
      </x:c>
      <x:c r="E4244" s="18" t="n">
        <x:v>27.2</x:v>
      </x:c>
      <x:c r="F4244" s="18" t="n">
        <x:v>10.22</x:v>
      </x:c>
      <x:c r="G4244" t="n">
        <x:v>60</x:v>
      </x:c>
      <x:c r="H4244" t="str">
        <x:v>B</x:v>
      </x:c>
      <x:c r="I4244" t="str">
        <x:v>7-9 years</x:v>
      </x:c>
      <x:c r="J4244" t="str">
        <x:v>RENT</x:v>
      </x:c>
      <x:c r="K4244" t="str">
        <x:v>debt_consolidation</x:v>
      </x:c>
      <x:c r="L4244" t="n">
        <x:v>0</x:v>
      </x:c>
      <x:c r="M4244" t="n">
        <x:v>0</x:v>
      </x:c>
      <x:c r="N4244" t="str">
        <x:v>Fully Paid</x:v>
      </x:c>
      <x:c r="O4244" t="str">
        <x:f>IF(D4244="","Unknown",IF(D4244&lt;25000,"&lt;$25k",IF(D4244&lt;50000,"$25k-$50k",IF(D4244&lt;75000,"$50k-$75k",IF(D4244&lt;100000,"$75k-$100k","$100k+")))))</x:f>
        <x:v>$100k+</x:v>
      </x:c>
      <x:c r="P4244" t="str">
        <x:f>IF(E4244="","Unknown",IF(E4244&lt;10,"&lt;10",IF(E4244&lt;20,"10-&lt;20",IF(E4244&lt;25,"20-&lt;25",IF(E4244&lt;35,"25-&lt;35","35+")))))</x:f>
        <x:v>25-&lt;35</x:v>
      </x:c>
    </x:row>
    <x:row r="4245">
      <x:c r="A4245" t="str">
        <x:v>SYN0004244</x:v>
      </x:c>
      <x:c r="B4245" s="12" t="n">
        <x:v>42235</x:v>
      </x:c>
      <x:c r="C4245" s="18" t="n">
        <x:v>9041</x:v>
      </x:c>
      <x:c r="D4245" s="18" t="n">
        <x:v>44729</x:v>
      </x:c>
      <x:c r="E4245" s="18" t="n">
        <x:v>16.78</x:v>
      </x:c>
      <x:c r="F4245" s="18" t="n">
        <x:v>7.67</x:v>
      </x:c>
      <x:c r="G4245" t="n">
        <x:v>36</x:v>
      </x:c>
      <x:c r="H4245" t="str">
        <x:v>A</x:v>
      </x:c>
      <x:c r="I4245" t="str">
        <x:v>7-9 years</x:v>
      </x:c>
      <x:c r="J4245" t="str">
        <x:v>MORTGAGE</x:v>
      </x:c>
      <x:c r="K4245" t="str">
        <x:v>debt_consolidation</x:v>
      </x:c>
      <x:c r="L4245" t="n">
        <x:v>0</x:v>
      </x:c>
      <x:c r="M4245" t="n">
        <x:v>0</x:v>
      </x:c>
      <x:c r="N4245" t="str">
        <x:v>Fully Paid</x:v>
      </x:c>
      <x:c r="O4245" t="str">
        <x:f>IF(D4245="","Unknown",IF(D4245&lt;25000,"&lt;$25k",IF(D4245&lt;50000,"$25k-$50k",IF(D4245&lt;75000,"$50k-$75k",IF(D4245&lt;100000,"$75k-$100k","$100k+")))))</x:f>
        <x:v>$25k-$50k</x:v>
      </x:c>
      <x:c r="P4245" t="str">
        <x:f>IF(E4245="","Unknown",IF(E4245&lt;10,"&lt;10",IF(E4245&lt;20,"10-&lt;20",IF(E4245&lt;25,"20-&lt;25",IF(E4245&lt;35,"25-&lt;35","35+")))))</x:f>
        <x:v>10-&lt;20</x:v>
      </x:c>
    </x:row>
    <x:row r="4246">
      <x:c r="A4246" t="str">
        <x:v>SYN0004245</x:v>
      </x:c>
      <x:c r="B4246" s="12" t="n">
        <x:v>43015</x:v>
      </x:c>
      <x:c r="C4246" s="18" t="n">
        <x:v>5759</x:v>
      </x:c>
      <x:c r="D4246" s="18" t="n">
        <x:v>175002</x:v>
      </x:c>
      <x:c r="E4246" s="18" t="n">
        <x:v>19.79</x:v>
      </x:c>
      <x:c r="F4246" s="18" t="n">
        <x:v>9.71</x:v>
      </x:c>
      <x:c r="G4246" t="n">
        <x:v>36</x:v>
      </x:c>
      <x:c r="H4246" t="str">
        <x:v>B</x:v>
      </x:c>
      <x:c r="I4246" t="str">
        <x:v>4-6 years</x:v>
      </x:c>
      <x:c r="J4246" t="str">
        <x:v>RENT</x:v>
      </x:c>
      <x:c r="K4246" t="str">
        <x:v>debt_consolidation</x:v>
      </x:c>
      <x:c r="L4246" t="n">
        <x:v>1</x:v>
      </x:c>
      <x:c r="M4246" t="n">
        <x:v>0</x:v>
      </x:c>
      <x:c r="N4246" t="str">
        <x:v>Fully Paid</x:v>
      </x:c>
      <x:c r="O4246" t="str">
        <x:f>IF(D4246="","Unknown",IF(D4246&lt;25000,"&lt;$25k",IF(D4246&lt;50000,"$25k-$50k",IF(D4246&lt;75000,"$50k-$75k",IF(D4246&lt;100000,"$75k-$100k","$100k+")))))</x:f>
        <x:v>$100k+</x:v>
      </x:c>
      <x:c r="P4246" t="str">
        <x:f>IF(E4246="","Unknown",IF(E4246&lt;10,"&lt;10",IF(E4246&lt;20,"10-&lt;20",IF(E4246&lt;25,"20-&lt;25",IF(E4246&lt;35,"25-&lt;35","35+")))))</x:f>
        <x:v>10-&lt;20</x:v>
      </x:c>
    </x:row>
    <x:row r="4247">
      <x:c r="A4247" t="str">
        <x:v>SYN0004246</x:v>
      </x:c>
      <x:c r="B4247" s="12" t="n">
        <x:v>42235</x:v>
      </x:c>
      <x:c r="C4247" s="18" t="n">
        <x:v>11319</x:v>
      </x:c>
      <x:c r="D4247" s="18" t="n">
        <x:v>62780</x:v>
      </x:c>
      <x:c r="E4247" s="18" t="n">
        <x:v>15.62</x:v>
      </x:c>
      <x:c r="F4247" s="18" t="n">
        <x:v>17.43</x:v>
      </x:c>
      <x:c r="G4247" t="n">
        <x:v>60</x:v>
      </x:c>
      <x:c r="H4247" t="str">
        <x:v>E</x:v>
      </x:c>
      <x:c r="I4247" t="str">
        <x:v>10+ years</x:v>
      </x:c>
      <x:c r="J4247" t="str">
        <x:v>MORTGAGE</x:v>
      </x:c>
      <x:c r="K4247" t="str">
        <x:v>credit_card</x:v>
      </x:c>
      <x:c r="L4247" t="n">
        <x:v>1</x:v>
      </x:c>
      <x:c r="M4247" t="n">
        <x:v>1</x:v>
      </x:c>
      <x:c r="N4247" t="str">
        <x:v>Charged Off</x:v>
      </x:c>
      <x:c r="O4247" t="str">
        <x:f>IF(D4247="","Unknown",IF(D4247&lt;25000,"&lt;$25k",IF(D4247&lt;50000,"$25k-$50k",IF(D4247&lt;75000,"$50k-$75k",IF(D4247&lt;100000,"$75k-$100k","$100k+")))))</x:f>
        <x:v>$50k-$75k</x:v>
      </x:c>
      <x:c r="P4247" t="str">
        <x:f>IF(E4247="","Unknown",IF(E4247&lt;10,"&lt;10",IF(E4247&lt;20,"10-&lt;20",IF(E4247&lt;25,"20-&lt;25",IF(E4247&lt;35,"25-&lt;35","35+")))))</x:f>
        <x:v>10-&lt;20</x:v>
      </x:c>
    </x:row>
    <x:row r="4248">
      <x:c r="A4248" t="str">
        <x:v>SYN0004247</x:v>
      </x:c>
      <x:c r="B4248" s="12" t="n">
        <x:v>41965</x:v>
      </x:c>
      <x:c r="C4248" s="18" t="n">
        <x:v>14961</x:v>
      </x:c>
      <x:c r="D4248" s="18" t="n">
        <x:v>38625</x:v>
      </x:c>
      <x:c r="E4248" s="18" t="n">
        <x:v>24.16</x:v>
      </x:c>
      <x:c r="F4248" s="18" t="n">
        <x:v>9.29</x:v>
      </x:c>
      <x:c r="G4248" t="n">
        <x:v>36</x:v>
      </x:c>
      <x:c r="H4248" t="str">
        <x:v>B</x:v>
      </x:c>
      <x:c r="I4248" t="str">
        <x:v>7-9 years</x:v>
      </x:c>
      <x:c r="J4248" t="str">
        <x:v>OWN</x:v>
      </x:c>
      <x:c r="K4248" t="str">
        <x:v>debt_consolidation</x:v>
      </x:c>
      <x:c r="L4248" t="n">
        <x:v>0</x:v>
      </x:c>
      <x:c r="M4248" t="n">
        <x:v>0</x:v>
      </x:c>
      <x:c r="N4248" t="str">
        <x:v>Fully Paid</x:v>
      </x:c>
      <x:c r="O4248" t="str">
        <x:f>IF(D4248="","Unknown",IF(D4248&lt;25000,"&lt;$25k",IF(D4248&lt;50000,"$25k-$50k",IF(D4248&lt;75000,"$50k-$75k",IF(D4248&lt;100000,"$75k-$100k","$100k+")))))</x:f>
        <x:v>$25k-$50k</x:v>
      </x:c>
      <x:c r="P4248" t="str">
        <x:f>IF(E4248="","Unknown",IF(E4248&lt;10,"&lt;10",IF(E4248&lt;20,"10-&lt;20",IF(E4248&lt;25,"20-&lt;25",IF(E4248&lt;35,"25-&lt;35","35+")))))</x:f>
        <x:v>20-&lt;25</x:v>
      </x:c>
    </x:row>
    <x:row r="4249">
      <x:c r="A4249" t="str">
        <x:v>SYN0004248</x:v>
      </x:c>
      <x:c r="B4249" s="12" t="n">
        <x:v>42325</x:v>
      </x:c>
      <x:c r="C4249" s="18" t="n">
        <x:v>19392</x:v>
      </x:c>
      <x:c r="D4249" s="18" t="n">
        <x:v>40492</x:v>
      </x:c>
      <x:c r="E4249" s="18" t="n">
        <x:v>17.12</x:v>
      </x:c>
      <x:c r="F4249" s="18" t="n">
        <x:v>8.53</x:v>
      </x:c>
      <x:c r="G4249" t="n">
        <x:v>36</x:v>
      </x:c>
      <x:c r="H4249" t="str">
        <x:v>B</x:v>
      </x:c>
      <x:c r="I4249" t="str">
        <x:v>7-9 years</x:v>
      </x:c>
      <x:c r="J4249" t="str">
        <x:v>OWN</x:v>
      </x:c>
      <x:c r="K4249" t="str">
        <x:v>medical</x:v>
      </x:c>
      <x:c r="L4249" t="n">
        <x:v>1</x:v>
      </x:c>
      <x:c r="M4249" t="n">
        <x:v>0</x:v>
      </x:c>
      <x:c r="N4249" t="str">
        <x:v>Fully Paid</x:v>
      </x:c>
      <x:c r="O4249" t="str">
        <x:f>IF(D4249="","Unknown",IF(D4249&lt;25000,"&lt;$25k",IF(D4249&lt;50000,"$25k-$50k",IF(D4249&lt;75000,"$50k-$75k",IF(D4249&lt;100000,"$75k-$100k","$100k+")))))</x:f>
        <x:v>$25k-$50k</x:v>
      </x:c>
      <x:c r="P4249" t="str">
        <x:f>IF(E4249="","Unknown",IF(E4249&lt;10,"&lt;10",IF(E4249&lt;20,"10-&lt;20",IF(E4249&lt;25,"20-&lt;25",IF(E4249&lt;35,"25-&lt;35","35+")))))</x:f>
        <x:v>10-&lt;20</x:v>
      </x:c>
    </x:row>
    <x:row r="4250">
      <x:c r="A4250" t="str">
        <x:v>SYN0004249</x:v>
      </x:c>
      <x:c r="B4250" s="12" t="n">
        <x:v>43015</x:v>
      </x:c>
      <x:c r="C4250" s="18" t="n">
        <x:v>17453</x:v>
      </x:c>
      <x:c r="D4250" s="18" t="n">
        <x:v>31860</x:v>
      </x:c>
      <x:c r="E4250" s="18" t="n">
        <x:v>23.36</x:v>
      </x:c>
      <x:c r="F4250" s="18" t="n">
        <x:v>29.23</x:v>
      </x:c>
      <x:c r="G4250" t="n">
        <x:v>36</x:v>
      </x:c>
      <x:c r="H4250" t="str">
        <x:v>G</x:v>
      </x:c>
      <x:c r="I4250" t="str">
        <x:v>10+ years</x:v>
      </x:c>
      <x:c r="J4250" t="str">
        <x:v>MORTGAGE</x:v>
      </x:c>
      <x:c r="K4250" t="str">
        <x:v>home_improvement</x:v>
      </x:c>
      <x:c r="L4250" t="n">
        <x:v>0</x:v>
      </x:c>
      <x:c r="M4250" t="n">
        <x:v>0</x:v>
      </x:c>
      <x:c r="N4250" t="str">
        <x:v>Fully Paid</x:v>
      </x:c>
      <x:c r="O4250" t="str">
        <x:f>IF(D4250="","Unknown",IF(D4250&lt;25000,"&lt;$25k",IF(D4250&lt;50000,"$25k-$50k",IF(D4250&lt;75000,"$50k-$75k",IF(D4250&lt;100000,"$75k-$100k","$100k+")))))</x:f>
        <x:v>$25k-$50k</x:v>
      </x:c>
      <x:c r="P4250" t="str">
        <x:f>IF(E4250="","Unknown",IF(E4250&lt;10,"&lt;10",IF(E4250&lt;20,"10-&lt;20",IF(E4250&lt;25,"20-&lt;25",IF(E4250&lt;35,"25-&lt;35","35+")))))</x:f>
        <x:v>20-&lt;25</x:v>
      </x:c>
    </x:row>
    <x:row r="4251">
      <x:c r="A4251" t="str">
        <x:v>SYN0004250</x:v>
      </x:c>
      <x:c r="B4251" s="12" t="n">
        <x:v>42115</x:v>
      </x:c>
      <x:c r="C4251" s="18" t="n">
        <x:v>22761</x:v>
      </x:c>
      <x:c r="D4251" s="18" t="n">
        <x:v>52620</x:v>
      </x:c>
      <x:c r="E4251" s="18" t="n">
        <x:v>24.97</x:v>
      </x:c>
      <x:c r="F4251" s="18" t="n">
        <x:v>8.85</x:v>
      </x:c>
      <x:c r="G4251" t="n">
        <x:v>36</x:v>
      </x:c>
      <x:c r="H4251" t="str">
        <x:v>C</x:v>
      </x:c>
      <x:c r="I4251" t="str">
        <x:v>4-6 years</x:v>
      </x:c>
      <x:c r="J4251" t="str">
        <x:v>RENT</x:v>
      </x:c>
      <x:c r="K4251" t="str">
        <x:v>debt_consolidation</x:v>
      </x:c>
      <x:c r="L4251" t="n">
        <x:v>0</x:v>
      </x:c>
      <x:c r="M4251" t="n">
        <x:v>0</x:v>
      </x:c>
      <x:c r="N4251" t="str">
        <x:v>Fully Paid</x:v>
      </x:c>
      <x:c r="O4251" t="str">
        <x:f>IF(D4251="","Unknown",IF(D4251&lt;25000,"&lt;$25k",IF(D4251&lt;50000,"$25k-$50k",IF(D4251&lt;75000,"$50k-$75k",IF(D4251&lt;100000,"$75k-$100k","$100k+")))))</x:f>
        <x:v>$50k-$75k</x:v>
      </x:c>
      <x:c r="P4251" t="str">
        <x:f>IF(E4251="","Unknown",IF(E4251&lt;10,"&lt;10",IF(E4251&lt;20,"10-&lt;20",IF(E4251&lt;25,"20-&lt;25",IF(E4251&lt;35,"25-&lt;35","35+")))))</x:f>
        <x:v>20-&lt;25</x:v>
      </x:c>
    </x:row>
    <x:row r="4252">
      <x:c r="A4252" t="str">
        <x:v>SYN0004251</x:v>
      </x:c>
      <x:c r="B4252" s="12" t="n">
        <x:v>42325</x:v>
      </x:c>
      <x:c r="C4252" s="18" t="n">
        <x:v>12216</x:v>
      </x:c>
      <x:c r="D4252" s="18" t="n">
        <x:v>58140</x:v>
      </x:c>
      <x:c r="E4252" s="18" t="n">
        <x:v>23.76</x:v>
      </x:c>
      <x:c r="F4252" s="18" t="n">
        <x:v>8.62</x:v>
      </x:c>
      <x:c r="G4252" t="n">
        <x:v>60</x:v>
      </x:c>
      <x:c r="H4252" t="str">
        <x:v>B</x:v>
      </x:c>
      <x:c r="I4252" t="str">
        <x:v>1-3 years</x:v>
      </x:c>
      <x:c r="J4252" t="str">
        <x:v>RENT</x:v>
      </x:c>
      <x:c r="K4252" t="str">
        <x:v>other</x:v>
      </x:c>
      <x:c r="L4252" t="n">
        <x:v>0</x:v>
      </x:c>
      <x:c r="M4252" t="n">
        <x:v>1</x:v>
      </x:c>
      <x:c r="N4252" t="str">
        <x:v>Charged Off</x:v>
      </x:c>
      <x:c r="O4252" t="str">
        <x:f>IF(D4252="","Unknown",IF(D4252&lt;25000,"&lt;$25k",IF(D4252&lt;50000,"$25k-$50k",IF(D4252&lt;75000,"$50k-$75k",IF(D4252&lt;100000,"$75k-$100k","$100k+")))))</x:f>
        <x:v>$50k-$75k</x:v>
      </x:c>
      <x:c r="P4252" t="str">
        <x:f>IF(E4252="","Unknown",IF(E4252&lt;10,"&lt;10",IF(E4252&lt;20,"10-&lt;20",IF(E4252&lt;25,"20-&lt;25",IF(E4252&lt;35,"25-&lt;35","35+")))))</x:f>
        <x:v>20-&lt;25</x:v>
      </x:c>
    </x:row>
    <x:row r="4253">
      <x:c r="A4253" t="str">
        <x:v>SYN0004252</x:v>
      </x:c>
      <x:c r="B4253" s="12" t="n">
        <x:v>42955</x:v>
      </x:c>
      <x:c r="C4253" s="18" t="n">
        <x:v>14460</x:v>
      </x:c>
      <x:c r="D4253" s="18" t="n">
        <x:v>58584</x:v>
      </x:c>
      <x:c r="E4253" s="18" t="n">
        <x:v>22.38</x:v>
      </x:c>
      <x:c r="F4253" s="18" t="n">
        <x:v>8.54</x:v>
      </x:c>
      <x:c r="G4253" t="n">
        <x:v>36</x:v>
      </x:c>
      <x:c r="H4253" t="str">
        <x:v>B</x:v>
      </x:c>
      <x:c r="I4253" t="str">
        <x:v>4-6 years</x:v>
      </x:c>
      <x:c r="J4253" t="str">
        <x:v>MORTGAGE</x:v>
      </x:c>
      <x:c r="K4253" t="str">
        <x:v>home_improvement</x:v>
      </x:c>
      <x:c r="L4253" t="n">
        <x:v>1</x:v>
      </x:c>
      <x:c r="M4253" t="n">
        <x:v>0</x:v>
      </x:c>
      <x:c r="N4253" t="str">
        <x:v>Fully Paid</x:v>
      </x:c>
      <x:c r="O4253" t="str">
        <x:f>IF(D4253="","Unknown",IF(D4253&lt;25000,"&lt;$25k",IF(D4253&lt;50000,"$25k-$50k",IF(D4253&lt;75000,"$50k-$75k",IF(D4253&lt;100000,"$75k-$100k","$100k+")))))</x:f>
        <x:v>$50k-$75k</x:v>
      </x:c>
      <x:c r="P4253" t="str">
        <x:f>IF(E4253="","Unknown",IF(E4253&lt;10,"&lt;10",IF(E4253&lt;20,"10-&lt;20",IF(E4253&lt;25,"20-&lt;25",IF(E4253&lt;35,"25-&lt;35","35+")))))</x:f>
        <x:v>20-&lt;25</x:v>
      </x:c>
    </x:row>
    <x:row r="4254">
      <x:c r="A4254" t="str">
        <x:v>SYN0004253</x:v>
      </x:c>
      <x:c r="B4254" s="12" t="n">
        <x:v>41455</x:v>
      </x:c>
      <x:c r="C4254" s="18" t="n">
        <x:v>11525</x:v>
      </x:c>
      <x:c r="D4254" s="18" t="n">
        <x:v>47588</x:v>
      </x:c>
      <x:c r="E4254" s="18" t="n">
        <x:v>24.21</x:v>
      </x:c>
      <x:c r="F4254" s="18" t="n">
        <x:v>16.95</x:v>
      </x:c>
      <x:c r="G4254" t="n">
        <x:v>36</x:v>
      </x:c>
      <x:c r="H4254" t="str">
        <x:v>E</x:v>
      </x:c>
      <x:c r="I4254" t="str">
        <x:v>4-6 years</x:v>
      </x:c>
      <x:c r="J4254" t="str">
        <x:v>RENT</x:v>
      </x:c>
      <x:c r="K4254" t="str">
        <x:v>debt_consolidation</x:v>
      </x:c>
      <x:c r="L4254" t="n">
        <x:v>1</x:v>
      </x:c>
      <x:c r="M4254" t="n">
        <x:v>0</x:v>
      </x:c>
      <x:c r="N4254" t="str">
        <x:v>Fully Paid</x:v>
      </x:c>
      <x:c r="O4254" t="str">
        <x:f>IF(D4254="","Unknown",IF(D4254&lt;25000,"&lt;$25k",IF(D4254&lt;50000,"$25k-$50k",IF(D4254&lt;75000,"$50k-$75k",IF(D4254&lt;100000,"$75k-$100k","$100k+")))))</x:f>
        <x:v>$25k-$50k</x:v>
      </x:c>
      <x:c r="P4254" t="str">
        <x:f>IF(E4254="","Unknown",IF(E4254&lt;10,"&lt;10",IF(E4254&lt;20,"10-&lt;20",IF(E4254&lt;25,"20-&lt;25",IF(E4254&lt;35,"25-&lt;35","35+")))))</x:f>
        <x:v>20-&lt;25</x:v>
      </x:c>
    </x:row>
    <x:row r="4255">
      <x:c r="A4255" t="str">
        <x:v>SYN0004254</x:v>
      </x:c>
      <x:c r="B4255" s="12" t="n">
        <x:v>41365</x:v>
      </x:c>
      <x:c r="C4255" s="18" t="n">
        <x:v>20321</x:v>
      </x:c>
      <x:c r="D4255" s="18" t="n">
        <x:v>36404</x:v>
      </x:c>
      <x:c r="E4255" s="18" t="n">
        <x:v>20.54</x:v>
      </x:c>
      <x:c r="F4255" s="18" t="n">
        <x:v>22.25</x:v>
      </x:c>
      <x:c r="G4255" t="n">
        <x:v>60</x:v>
      </x:c>
      <x:c r="H4255" t="str">
        <x:v>G</x:v>
      </x:c>
      <x:c r="I4255" t="str">
        <x:v>1-3 years</x:v>
      </x:c>
      <x:c r="J4255" t="str">
        <x:v>RENT</x:v>
      </x:c>
      <x:c r="K4255" t="str">
        <x:v>debt_consolidation</x:v>
      </x:c>
      <x:c r="L4255" t="n">
        <x:v>0</x:v>
      </x:c>
      <x:c r="M4255" t="n">
        <x:v>1</x:v>
      </x:c>
      <x:c r="N4255" t="str">
        <x:v>Charged Off</x:v>
      </x:c>
      <x:c r="O4255" t="str">
        <x:f>IF(D4255="","Unknown",IF(D4255&lt;25000,"&lt;$25k",IF(D4255&lt;50000,"$25k-$50k",IF(D4255&lt;75000,"$50k-$75k",IF(D4255&lt;100000,"$75k-$100k","$100k+")))))</x:f>
        <x:v>$25k-$50k</x:v>
      </x:c>
      <x:c r="P4255" t="str">
        <x:f>IF(E4255="","Unknown",IF(E4255&lt;10,"&lt;10",IF(E4255&lt;20,"10-&lt;20",IF(E4255&lt;25,"20-&lt;25",IF(E4255&lt;35,"25-&lt;35","35+")))))</x:f>
        <x:v>20-&lt;25</x:v>
      </x:c>
    </x:row>
    <x:row r="4256">
      <x:c r="A4256" t="str">
        <x:v>SYN0004255</x:v>
      </x:c>
      <x:c r="B4256" s="12" t="n">
        <x:v>41695</x:v>
      </x:c>
      <x:c r="C4256" s="18" t="n">
        <x:v>28738</x:v>
      </x:c>
      <x:c r="D4256" s="18" t="n">
        <x:v>58445</x:v>
      </x:c>
      <x:c r="E4256" s="18" t="n">
        <x:v>1.51</x:v>
      </x:c>
      <x:c r="F4256" s="18" t="n">
        <x:v>7.62</x:v>
      </x:c>
      <x:c r="G4256" t="n">
        <x:v>60</x:v>
      </x:c>
      <x:c r="H4256" t="str">
        <x:v>A</x:v>
      </x:c>
      <x:c r="I4256" t="str">
        <x:v>1-3 years</x:v>
      </x:c>
      <x:c r="J4256" t="str">
        <x:v>MORTGAGE</x:v>
      </x:c>
      <x:c r="K4256" t="str">
        <x:v>major_purchase</x:v>
      </x:c>
      <x:c r="L4256" t="n">
        <x:v>0</x:v>
      </x:c>
      <x:c r="M4256" t="n">
        <x:v>0</x:v>
      </x:c>
      <x:c r="N4256" t="str">
        <x:v>Fully Paid</x:v>
      </x:c>
      <x:c r="O4256" t="str">
        <x:f>IF(D4256="","Unknown",IF(D4256&lt;25000,"&lt;$25k",IF(D4256&lt;50000,"$25k-$50k",IF(D4256&lt;75000,"$50k-$75k",IF(D4256&lt;100000,"$75k-$100k","$100k+")))))</x:f>
        <x:v>$50k-$75k</x:v>
      </x:c>
      <x:c r="P4256" t="str">
        <x:f>IF(E4256="","Unknown",IF(E4256&lt;10,"&lt;10",IF(E4256&lt;20,"10-&lt;20",IF(E4256&lt;25,"20-&lt;25",IF(E4256&lt;35,"25-&lt;35","35+")))))</x:f>
        <x:v>&lt;10</x:v>
      </x:c>
    </x:row>
    <x:row r="4257">
      <x:c r="A4257" t="str">
        <x:v>SYN0004256</x:v>
      </x:c>
      <x:c r="B4257" s="12" t="n">
        <x:v>43165</x:v>
      </x:c>
      <x:c r="C4257" s="18" t="n">
        <x:v>10741</x:v>
      </x:c>
      <x:c r="D4257" s="18" t="n">
        <x:v>28945</x:v>
      </x:c>
      <x:c r="E4257" s="18" t="n">
        <x:v>17.25</x:v>
      </x:c>
      <x:c r="F4257" s="18" t="n">
        <x:v>11.57</x:v>
      </x:c>
      <x:c r="G4257" t="n">
        <x:v>60</x:v>
      </x:c>
      <x:c r="H4257" t="str">
        <x:v>B</x:v>
      </x:c>
      <x:c r="I4257" t="str">
        <x:v>1-3 years</x:v>
      </x:c>
      <x:c r="J4257" t="str">
        <x:v>MORTGAGE</x:v>
      </x:c>
      <x:c r="K4257" t="str">
        <x:v>other</x:v>
      </x:c>
      <x:c r="L4257" t="n">
        <x:v>0</x:v>
      </x:c>
      <x:c r="M4257" t="n">
        <x:v>0</x:v>
      </x:c>
      <x:c r="N4257" t="str">
        <x:v>Fully Paid</x:v>
      </x:c>
      <x:c r="O4257" t="str">
        <x:f>IF(D4257="","Unknown",IF(D4257&lt;25000,"&lt;$25k",IF(D4257&lt;50000,"$25k-$50k",IF(D4257&lt;75000,"$50k-$75k",IF(D4257&lt;100000,"$75k-$100k","$100k+")))))</x:f>
        <x:v>$25k-$50k</x:v>
      </x:c>
      <x:c r="P4257" t="str">
        <x:f>IF(E4257="","Unknown",IF(E4257&lt;10,"&lt;10",IF(E4257&lt;20,"10-&lt;20",IF(E4257&lt;25,"20-&lt;25",IF(E4257&lt;35,"25-&lt;35","35+")))))</x:f>
        <x:v>10-&lt;20</x:v>
      </x:c>
    </x:row>
    <x:row r="4258">
      <x:c r="A4258" t="str">
        <x:v>SYN0004257</x:v>
      </x:c>
      <x:c r="B4258" s="12" t="n">
        <x:v>41335</x:v>
      </x:c>
      <x:c r="C4258" s="18" t="n">
        <x:v>12487</x:v>
      </x:c>
      <x:c r="D4258" s="18" t="n">
        <x:v>110733</x:v>
      </x:c>
      <x:c r="E4258" s="18" t="n">
        <x:v>12.72</x:v>
      </x:c>
      <x:c r="F4258" s="18" t="n">
        <x:v>8.69</x:v>
      </x:c>
      <x:c r="G4258" t="n">
        <x:v>36</x:v>
      </x:c>
      <x:c r="H4258" t="str">
        <x:v>C</x:v>
      </x:c>
      <x:c r="I4258" t="str">
        <x:v>&lt;1 year</x:v>
      </x:c>
      <x:c r="J4258" t="str">
        <x:v>MORTGAGE</x:v>
      </x:c>
      <x:c r="K4258" t="str">
        <x:v>major_purchase</x:v>
      </x:c>
      <x:c r="L4258" t="n">
        <x:v>1</x:v>
      </x:c>
      <x:c r="M4258" t="n">
        <x:v>0</x:v>
      </x:c>
      <x:c r="N4258" t="str">
        <x:v>Fully Paid</x:v>
      </x:c>
      <x:c r="O4258" t="str">
        <x:f>IF(D4258="","Unknown",IF(D4258&lt;25000,"&lt;$25k",IF(D4258&lt;50000,"$25k-$50k",IF(D4258&lt;75000,"$50k-$75k",IF(D4258&lt;100000,"$75k-$100k","$100k+")))))</x:f>
        <x:v>$100k+</x:v>
      </x:c>
      <x:c r="P4258" t="str">
        <x:f>IF(E4258="","Unknown",IF(E4258&lt;10,"&lt;10",IF(E4258&lt;20,"10-&lt;20",IF(E4258&lt;25,"20-&lt;25",IF(E4258&lt;35,"25-&lt;35","35+")))))</x:f>
        <x:v>10-&lt;20</x:v>
      </x:c>
    </x:row>
    <x:row r="4259">
      <x:c r="A4259" t="str">
        <x:v>SYN0004258</x:v>
      </x:c>
      <x:c r="B4259" s="12" t="n">
        <x:v>42445</x:v>
      </x:c>
      <x:c r="C4259" s="18" t="n">
        <x:v>28266</x:v>
      </x:c>
      <x:c r="D4259" s="18" t="n">
        <x:v>33757</x:v>
      </x:c>
      <x:c r="E4259" s="18" t="n">
        <x:v>16.54</x:v>
      </x:c>
      <x:c r="F4259" s="18" t="n">
        <x:v>18.28</x:v>
      </x:c>
      <x:c r="G4259" t="n">
        <x:v>36</x:v>
      </x:c>
      <x:c r="H4259" t="str">
        <x:v>E</x:v>
      </x:c>
      <x:c r="I4259" t="str">
        <x:v>10+ years</x:v>
      </x:c>
      <x:c r="J4259" t="str">
        <x:v>OWN</x:v>
      </x:c>
      <x:c r="K4259" t="str">
        <x:v>home_improvement</x:v>
      </x:c>
      <x:c r="L4259" t="n">
        <x:v>1</x:v>
      </x:c>
      <x:c r="M4259" t="n">
        <x:v>0</x:v>
      </x:c>
      <x:c r="N4259" t="str">
        <x:v>Fully Paid</x:v>
      </x:c>
      <x:c r="O4259" t="str">
        <x:f>IF(D4259="","Unknown",IF(D4259&lt;25000,"&lt;$25k",IF(D4259&lt;50000,"$25k-$50k",IF(D4259&lt;75000,"$50k-$75k",IF(D4259&lt;100000,"$75k-$100k","$100k+")))))</x:f>
        <x:v>$25k-$50k</x:v>
      </x:c>
      <x:c r="P4259" t="str">
        <x:f>IF(E4259="","Unknown",IF(E4259&lt;10,"&lt;10",IF(E4259&lt;20,"10-&lt;20",IF(E4259&lt;25,"20-&lt;25",IF(E4259&lt;35,"25-&lt;35","35+")))))</x:f>
        <x:v>10-&lt;20</x:v>
      </x:c>
    </x:row>
    <x:row r="4260">
      <x:c r="A4260" t="str">
        <x:v>SYN0004259</x:v>
      </x:c>
      <x:c r="B4260" s="12" t="n">
        <x:v>41275</x:v>
      </x:c>
      <x:c r="C4260" s="18" t="n">
        <x:v>8619</x:v>
      </x:c>
      <x:c r="D4260" s="18" t="n">
        <x:v>27271</x:v>
      </x:c>
      <x:c r="E4260" s="18" t="n">
        <x:v>15.92</x:v>
      </x:c>
      <x:c r="F4260" s="18" t="n">
        <x:v>9.54</x:v>
      </x:c>
      <x:c r="G4260" t="n">
        <x:v>36</x:v>
      </x:c>
      <x:c r="H4260" t="str">
        <x:v>B</x:v>
      </x:c>
      <x:c r="I4260" t="str">
        <x:v>10+ years</x:v>
      </x:c>
      <x:c r="J4260" t="str">
        <x:v>RENT</x:v>
      </x:c>
      <x:c r="K4260" t="str">
        <x:v>debt_consolidation</x:v>
      </x:c>
      <x:c r="L4260" t="n">
        <x:v>0</x:v>
      </x:c>
      <x:c r="M4260" t="n">
        <x:v>0</x:v>
      </x:c>
      <x:c r="N4260" t="str">
        <x:v>Fully Paid</x:v>
      </x:c>
      <x:c r="O4260" t="str">
        <x:f>IF(D4260="","Unknown",IF(D4260&lt;25000,"&lt;$25k",IF(D4260&lt;50000,"$25k-$50k",IF(D4260&lt;75000,"$50k-$75k",IF(D4260&lt;100000,"$75k-$100k","$100k+")))))</x:f>
        <x:v>$25k-$50k</x:v>
      </x:c>
      <x:c r="P4260" t="str">
        <x:f>IF(E4260="","Unknown",IF(E4260&lt;10,"&lt;10",IF(E4260&lt;20,"10-&lt;20",IF(E4260&lt;25,"20-&lt;25",IF(E4260&lt;35,"25-&lt;35","35+")))))</x:f>
        <x:v>10-&lt;20</x:v>
      </x:c>
    </x:row>
    <x:row r="4261">
      <x:c r="A4261" t="str">
        <x:v>SYN0004260</x:v>
      </x:c>
      <x:c r="B4261" s="12" t="n">
        <x:v>42415</x:v>
      </x:c>
      <x:c r="C4261" s="18" t="n">
        <x:v>8906</x:v>
      </x:c>
      <x:c r="D4261" s="18" t="n">
        <x:v>68248</x:v>
      </x:c>
      <x:c r="E4261" s="18" t="n">
        <x:v>15.9</x:v>
      </x:c>
      <x:c r="F4261" s="18" t="n">
        <x:v>5.84</x:v>
      </x:c>
      <x:c r="G4261" t="n">
        <x:v>36</x:v>
      </x:c>
      <x:c r="H4261" t="str">
        <x:v>A</x:v>
      </x:c>
      <x:c r="I4261" t="str">
        <x:v>1-3 years</x:v>
      </x:c>
      <x:c r="J4261" t="str">
        <x:v>RENT</x:v>
      </x:c>
      <x:c r="K4261" t="str">
        <x:v>debt_consolidation</x:v>
      </x:c>
      <x:c r="L4261" t="n">
        <x:v>0</x:v>
      </x:c>
      <x:c r="M4261" t="n">
        <x:v>1</x:v>
      </x:c>
      <x:c r="N4261" t="str">
        <x:v>Charged Off</x:v>
      </x:c>
      <x:c r="O4261" t="str">
        <x:f>IF(D4261="","Unknown",IF(D4261&lt;25000,"&lt;$25k",IF(D4261&lt;50000,"$25k-$50k",IF(D4261&lt;75000,"$50k-$75k",IF(D4261&lt;100000,"$75k-$100k","$100k+")))))</x:f>
        <x:v>$50k-$75k</x:v>
      </x:c>
      <x:c r="P4261" t="str">
        <x:f>IF(E4261="","Unknown",IF(E4261&lt;10,"&lt;10",IF(E4261&lt;20,"10-&lt;20",IF(E4261&lt;25,"20-&lt;25",IF(E4261&lt;35,"25-&lt;35","35+")))))</x:f>
        <x:v>10-&lt;20</x:v>
      </x:c>
    </x:row>
    <x:row r="4262">
      <x:c r="A4262" t="str">
        <x:v>SYN0004261</x:v>
      </x:c>
      <x:c r="B4262" s="12" t="n">
        <x:v>41635</x:v>
      </x:c>
      <x:c r="C4262" s="18" t="n">
        <x:v>6911</x:v>
      </x:c>
      <x:c r="D4262" s="18" t="n">
        <x:v>58174</x:v>
      </x:c>
      <x:c r="E4262" s="18" t="n">
        <x:v>24.41</x:v>
      </x:c>
      <x:c r="F4262" s="18" t="n">
        <x:v>13.33</x:v>
      </x:c>
      <x:c r="G4262" t="n">
        <x:v>36</x:v>
      </x:c>
      <x:c r="H4262" t="str">
        <x:v>D</x:v>
      </x:c>
      <x:c r="I4262" t="str">
        <x:v>4-6 years</x:v>
      </x:c>
      <x:c r="J4262" t="str">
        <x:v>RENT</x:v>
      </x:c>
      <x:c r="K4262" t="str">
        <x:v>medical</x:v>
      </x:c>
      <x:c r="L4262" t="n">
        <x:v>0</x:v>
      </x:c>
      <x:c r="M4262" t="n">
        <x:v>0</x:v>
      </x:c>
      <x:c r="N4262" t="str">
        <x:v>Fully Paid</x:v>
      </x:c>
      <x:c r="O4262" t="str">
        <x:f>IF(D4262="","Unknown",IF(D4262&lt;25000,"&lt;$25k",IF(D4262&lt;50000,"$25k-$50k",IF(D4262&lt;75000,"$50k-$75k",IF(D4262&lt;100000,"$75k-$100k","$100k+")))))</x:f>
        <x:v>$50k-$75k</x:v>
      </x:c>
      <x:c r="P4262" t="str">
        <x:f>IF(E4262="","Unknown",IF(E4262&lt;10,"&lt;10",IF(E4262&lt;20,"10-&lt;20",IF(E4262&lt;25,"20-&lt;25",IF(E4262&lt;35,"25-&lt;35","35+")))))</x:f>
        <x:v>20-&lt;25</x:v>
      </x:c>
    </x:row>
    <x:row r="4263">
      <x:c r="A4263" t="str">
        <x:v>SYN0004262</x:v>
      </x:c>
      <x:c r="B4263" s="12" t="n">
        <x:v>42595</x:v>
      </x:c>
      <x:c r="C4263" s="18" t="n">
        <x:v>19997</x:v>
      </x:c>
      <x:c r="D4263" s="18" t="n">
        <x:v>33476</x:v>
      </x:c>
      <x:c r="E4263" s="18" t="n">
        <x:v>3.41</x:v>
      </x:c>
      <x:c r="F4263" s="18" t="n">
        <x:v>10.65</x:v>
      </x:c>
      <x:c r="G4263" t="n">
        <x:v>36</x:v>
      </x:c>
      <x:c r="H4263" t="str">
        <x:v>B</x:v>
      </x:c>
      <x:c r="I4263" t="str">
        <x:v>4-6 years</x:v>
      </x:c>
      <x:c r="J4263" t="str">
        <x:v>MORTGAGE</x:v>
      </x:c>
      <x:c r="K4263" t="str">
        <x:v>home_improvement</x:v>
      </x:c>
      <x:c r="L4263" t="n">
        <x:v>0</x:v>
      </x:c>
      <x:c r="M4263" t="n">
        <x:v>0</x:v>
      </x:c>
      <x:c r="N4263" t="str">
        <x:v>Fully Paid</x:v>
      </x:c>
      <x:c r="O4263" t="str">
        <x:f>IF(D4263="","Unknown",IF(D4263&lt;25000,"&lt;$25k",IF(D4263&lt;50000,"$25k-$50k",IF(D4263&lt;75000,"$50k-$75k",IF(D4263&lt;100000,"$75k-$100k","$100k+")))))</x:f>
        <x:v>$25k-$50k</x:v>
      </x:c>
      <x:c r="P4263" t="str">
        <x:f>IF(E4263="","Unknown",IF(E4263&lt;10,"&lt;10",IF(E4263&lt;20,"10-&lt;20",IF(E4263&lt;25,"20-&lt;25",IF(E4263&lt;35,"25-&lt;35","35+")))))</x:f>
        <x:v>&lt;10</x:v>
      </x:c>
    </x:row>
    <x:row r="4264">
      <x:c r="A4264" t="str">
        <x:v>SYN0004263</x:v>
      </x:c>
      <x:c r="B4264" s="12" t="n">
        <x:v>41725</x:v>
      </x:c>
      <x:c r="C4264" s="18" t="n">
        <x:v>14259</x:v>
      </x:c>
      <x:c r="D4264" s="18" t="n">
        <x:v>76216</x:v>
      </x:c>
      <x:c r="E4264" s="18" t="n">
        <x:v>29.19</x:v>
      </x:c>
      <x:c r="F4264" s="18" t="n">
        <x:v>9.66</x:v>
      </x:c>
      <x:c r="G4264" t="n">
        <x:v>36</x:v>
      </x:c>
      <x:c r="H4264" t="str">
        <x:v>C</x:v>
      </x:c>
      <x:c r="I4264" t="str">
        <x:v>4-6 years</x:v>
      </x:c>
      <x:c r="J4264" t="str">
        <x:v>MORTGAGE</x:v>
      </x:c>
      <x:c r="K4264" t="str">
        <x:v>medical</x:v>
      </x:c>
      <x:c r="L4264" t="n">
        <x:v>0</x:v>
      </x:c>
      <x:c r="M4264" t="n">
        <x:v>0</x:v>
      </x:c>
      <x:c r="N4264" t="str">
        <x:v>Fully Paid</x:v>
      </x:c>
      <x:c r="O4264" t="str">
        <x:f>IF(D4264="","Unknown",IF(D4264&lt;25000,"&lt;$25k",IF(D4264&lt;50000,"$25k-$50k",IF(D4264&lt;75000,"$50k-$75k",IF(D4264&lt;100000,"$75k-$100k","$100k+")))))</x:f>
        <x:v>$75k-$100k</x:v>
      </x:c>
      <x:c r="P4264" t="str">
        <x:f>IF(E4264="","Unknown",IF(E4264&lt;10,"&lt;10",IF(E4264&lt;20,"10-&lt;20",IF(E4264&lt;25,"20-&lt;25",IF(E4264&lt;35,"25-&lt;35","35+")))))</x:f>
        <x:v>25-&lt;35</x:v>
      </x:c>
    </x:row>
    <x:row r="4265">
      <x:c r="A4265" t="str">
        <x:v>SYN0004264</x:v>
      </x:c>
      <x:c r="B4265" s="12" t="n">
        <x:v>43285</x:v>
      </x:c>
      <x:c r="C4265" s="18" t="n">
        <x:v>14098</x:v>
      </x:c>
      <x:c r="D4265" s="18" t="n">
        <x:v>17852</x:v>
      </x:c>
      <x:c r="E4265" s="18" t="n">
        <x:v>33.7</x:v>
      </x:c>
      <x:c r="F4265" s="18" t="n">
        <x:v>9.96</x:v>
      </x:c>
      <x:c r="G4265" t="n">
        <x:v>36</x:v>
      </x:c>
      <x:c r="H4265" t="str">
        <x:v>C</x:v>
      </x:c>
      <x:c r="I4265" t="str">
        <x:v>7-9 years</x:v>
      </x:c>
      <x:c r="J4265" t="str">
        <x:v>OWN</x:v>
      </x:c>
      <x:c r="K4265" t="str">
        <x:v>other</x:v>
      </x:c>
      <x:c r="L4265" t="n">
        <x:v>1</x:v>
      </x:c>
      <x:c r="M4265" t="n">
        <x:v>0</x:v>
      </x:c>
      <x:c r="N4265" t="str">
        <x:v>Fully Paid</x:v>
      </x:c>
      <x:c r="O4265" t="str">
        <x:f>IF(D4265="","Unknown",IF(D4265&lt;25000,"&lt;$25k",IF(D4265&lt;50000,"$25k-$50k",IF(D4265&lt;75000,"$50k-$75k",IF(D4265&lt;100000,"$75k-$100k","$100k+")))))</x:f>
        <x:v>&lt;$25k</x:v>
      </x:c>
      <x:c r="P4265" t="str">
        <x:f>IF(E4265="","Unknown",IF(E4265&lt;10,"&lt;10",IF(E4265&lt;20,"10-&lt;20",IF(E4265&lt;25,"20-&lt;25",IF(E4265&lt;35,"25-&lt;35","35+")))))</x:f>
        <x:v>25-&lt;35</x:v>
      </x:c>
    </x:row>
    <x:row r="4266">
      <x:c r="A4266" t="str">
        <x:v>SYN0004265</x:v>
      </x:c>
      <x:c r="B4266" s="12" t="n">
        <x:v>42175</x:v>
      </x:c>
      <x:c r="C4266" s="18" t="n">
        <x:v>10485</x:v>
      </x:c>
      <x:c r="D4266" s="18" t="n">
        <x:v>56868</x:v>
      </x:c>
      <x:c r="E4266" s="18" t="n">
        <x:v>13.13</x:v>
      </x:c>
      <x:c r="F4266" s="18" t="n">
        <x:v>6.55</x:v>
      </x:c>
      <x:c r="G4266" t="n">
        <x:v>60</x:v>
      </x:c>
      <x:c r="H4266" t="str">
        <x:v>B</x:v>
      </x:c>
      <x:c r="I4266" t="str">
        <x:v>10+ years</x:v>
      </x:c>
      <x:c r="J4266" t="str">
        <x:v>MORTGAGE</x:v>
      </x:c>
      <x:c r="K4266" t="str">
        <x:v>debt_consolidation</x:v>
      </x:c>
      <x:c r="L4266" t="n">
        <x:v>2</x:v>
      </x:c>
      <x:c r="M4266" t="n">
        <x:v>0</x:v>
      </x:c>
      <x:c r="N4266" t="str">
        <x:v>Fully Paid</x:v>
      </x:c>
      <x:c r="O4266" t="str">
        <x:f>IF(D4266="","Unknown",IF(D4266&lt;25000,"&lt;$25k",IF(D4266&lt;50000,"$25k-$50k",IF(D4266&lt;75000,"$50k-$75k",IF(D4266&lt;100000,"$75k-$100k","$100k+")))))</x:f>
        <x:v>$50k-$75k</x:v>
      </x:c>
      <x:c r="P4266" t="str">
        <x:f>IF(E4266="","Unknown",IF(E4266&lt;10,"&lt;10",IF(E4266&lt;20,"10-&lt;20",IF(E4266&lt;25,"20-&lt;25",IF(E4266&lt;35,"25-&lt;35","35+")))))</x:f>
        <x:v>10-&lt;20</x:v>
      </x:c>
    </x:row>
    <x:row r="4267">
      <x:c r="A4267" t="str">
        <x:v>SYN0004266</x:v>
      </x:c>
      <x:c r="B4267" s="12" t="n">
        <x:v>42895</x:v>
      </x:c>
      <x:c r="C4267" s="18" t="n">
        <x:v>12619</x:v>
      </x:c>
      <x:c r="D4267" s="18" t="n">
        <x:v>194574</x:v>
      </x:c>
      <x:c r="E4267" s="18" t="n">
        <x:v>15.59</x:v>
      </x:c>
      <x:c r="F4267" s="18" t="n">
        <x:v>12.35</x:v>
      </x:c>
      <x:c r="G4267" t="n">
        <x:v>60</x:v>
      </x:c>
      <x:c r="H4267" t="str">
        <x:v>D</x:v>
      </x:c>
      <x:c r="I4267" t="str">
        <x:v>4-6 years</x:v>
      </x:c>
      <x:c r="J4267" t="str">
        <x:v>RENT</x:v>
      </x:c>
      <x:c r="K4267" t="str">
        <x:v>major_purchase</x:v>
      </x:c>
      <x:c r="L4267" t="n">
        <x:v>2</x:v>
      </x:c>
      <x:c r="M4267" t="n">
        <x:v>0</x:v>
      </x:c>
      <x:c r="N4267" t="str">
        <x:v>Fully Paid</x:v>
      </x:c>
      <x:c r="O4267" t="str">
        <x:f>IF(D4267="","Unknown",IF(D4267&lt;25000,"&lt;$25k",IF(D4267&lt;50000,"$25k-$50k",IF(D4267&lt;75000,"$50k-$75k",IF(D4267&lt;100000,"$75k-$100k","$100k+")))))</x:f>
        <x:v>$100k+</x:v>
      </x:c>
      <x:c r="P4267" t="str">
        <x:f>IF(E4267="","Unknown",IF(E4267&lt;10,"&lt;10",IF(E4267&lt;20,"10-&lt;20",IF(E4267&lt;25,"20-&lt;25",IF(E4267&lt;35,"25-&lt;35","35+")))))</x:f>
        <x:v>10-&lt;20</x:v>
      </x:c>
    </x:row>
    <x:row r="4268">
      <x:c r="A4268" t="str">
        <x:v>SYN0004267</x:v>
      </x:c>
      <x:c r="B4268" s="12" t="n">
        <x:v>42205</x:v>
      </x:c>
      <x:c r="C4268" s="18" t="n">
        <x:v>20862</x:v>
      </x:c>
      <x:c r="D4268" s="18" t="n">
        <x:v>78099</x:v>
      </x:c>
      <x:c r="E4268" s="18" t="n">
        <x:v>20.66</x:v>
      </x:c>
      <x:c r="F4268" s="18" t="n">
        <x:v>25.19</x:v>
      </x:c>
      <x:c r="G4268" t="n">
        <x:v>36</x:v>
      </x:c>
      <x:c r="H4268" t="str">
        <x:v>G</x:v>
      </x:c>
      <x:c r="I4268" t="str">
        <x:v>4-6 years</x:v>
      </x:c>
      <x:c r="J4268" t="str">
        <x:v>MORTGAGE</x:v>
      </x:c>
      <x:c r="K4268" t="str">
        <x:v>other</x:v>
      </x:c>
      <x:c r="L4268" t="n">
        <x:v>0</x:v>
      </x:c>
      <x:c r="M4268" t="n">
        <x:v>0</x:v>
      </x:c>
      <x:c r="N4268" t="str">
        <x:v>Fully Paid</x:v>
      </x:c>
      <x:c r="O4268" t="str">
        <x:f>IF(D4268="","Unknown",IF(D4268&lt;25000,"&lt;$25k",IF(D4268&lt;50000,"$25k-$50k",IF(D4268&lt;75000,"$50k-$75k",IF(D4268&lt;100000,"$75k-$100k","$100k+")))))</x:f>
        <x:v>$75k-$100k</x:v>
      </x:c>
      <x:c r="P4268" t="str">
        <x:f>IF(E4268="","Unknown",IF(E4268&lt;10,"&lt;10",IF(E4268&lt;20,"10-&lt;20",IF(E4268&lt;25,"20-&lt;25",IF(E4268&lt;35,"25-&lt;35","35+")))))</x:f>
        <x:v>20-&lt;25</x:v>
      </x:c>
    </x:row>
    <x:row r="4269">
      <x:c r="A4269" t="str">
        <x:v>SYN0004268</x:v>
      </x:c>
      <x:c r="B4269" s="12" t="n">
        <x:v>42475</x:v>
      </x:c>
      <x:c r="C4269" s="18" t="n">
        <x:v>6647</x:v>
      </x:c>
      <x:c r="D4269" s="18" t="n">
        <x:v>45753</x:v>
      </x:c>
      <x:c r="E4269" s="18" t="n">
        <x:v>18.1</x:v>
      </x:c>
      <x:c r="F4269" s="18" t="n">
        <x:v>14.49</x:v>
      </x:c>
      <x:c r="G4269" t="n">
        <x:v>36</x:v>
      </x:c>
      <x:c r="H4269" t="str">
        <x:v>D</x:v>
      </x:c>
      <x:c r="I4269" t="str">
        <x:v>10+ years</x:v>
      </x:c>
      <x:c r="J4269" t="str">
        <x:v>MORTGAGE</x:v>
      </x:c>
      <x:c r="K4269" t="str">
        <x:v>major_purchase</x:v>
      </x:c>
      <x:c r="L4269" t="n">
        <x:v>0</x:v>
      </x:c>
      <x:c r="M4269" t="n">
        <x:v>0</x:v>
      </x:c>
      <x:c r="N4269" t="str">
        <x:v>Fully Paid</x:v>
      </x:c>
      <x:c r="O4269" t="str">
        <x:f>IF(D4269="","Unknown",IF(D4269&lt;25000,"&lt;$25k",IF(D4269&lt;50000,"$25k-$50k",IF(D4269&lt;75000,"$50k-$75k",IF(D4269&lt;100000,"$75k-$100k","$100k+")))))</x:f>
        <x:v>$25k-$50k</x:v>
      </x:c>
      <x:c r="P4269" t="str">
        <x:f>IF(E4269="","Unknown",IF(E4269&lt;10,"&lt;10",IF(E4269&lt;20,"10-&lt;20",IF(E4269&lt;25,"20-&lt;25",IF(E4269&lt;35,"25-&lt;35","35+")))))</x:f>
        <x:v>10-&lt;20</x:v>
      </x:c>
    </x:row>
    <x:row r="4270">
      <x:c r="A4270" t="str">
        <x:v>SYN0004269</x:v>
      </x:c>
      <x:c r="B4270" s="12" t="n">
        <x:v>42385</x:v>
      </x:c>
      <x:c r="C4270" s="18" t="n">
        <x:v>4287</x:v>
      </x:c>
      <x:c r="D4270" s="18" t="n">
        <x:v>32755</x:v>
      </x:c>
      <x:c r="E4270" s="18" t="n">
        <x:v>23.71</x:v>
      </x:c>
      <x:c r="F4270" s="18" t="n">
        <x:v>16.09</x:v>
      </x:c>
      <x:c r="G4270" t="n">
        <x:v>60</x:v>
      </x:c>
      <x:c r="H4270" t="str">
        <x:v>D</x:v>
      </x:c>
      <x:c r="I4270" t="str">
        <x:v>4-6 years</x:v>
      </x:c>
      <x:c r="J4270" t="str">
        <x:v>OTHER</x:v>
      </x:c>
      <x:c r="K4270" t="str">
        <x:v>credit_card</x:v>
      </x:c>
      <x:c r="L4270" t="n">
        <x:v>0</x:v>
      </x:c>
      <x:c r="M4270" t="n">
        <x:v>0</x:v>
      </x:c>
      <x:c r="N4270" t="str">
        <x:v>Fully Paid</x:v>
      </x:c>
      <x:c r="O4270" t="str">
        <x:f>IF(D4270="","Unknown",IF(D4270&lt;25000,"&lt;$25k",IF(D4270&lt;50000,"$25k-$50k",IF(D4270&lt;75000,"$50k-$75k",IF(D4270&lt;100000,"$75k-$100k","$100k+")))))</x:f>
        <x:v>$25k-$50k</x:v>
      </x:c>
      <x:c r="P4270" t="str">
        <x:f>IF(E4270="","Unknown",IF(E4270&lt;10,"&lt;10",IF(E4270&lt;20,"10-&lt;20",IF(E4270&lt;25,"20-&lt;25",IF(E4270&lt;35,"25-&lt;35","35+")))))</x:f>
        <x:v>20-&lt;25</x:v>
      </x:c>
    </x:row>
    <x:row r="4271">
      <x:c r="A4271" t="str">
        <x:v>SYN0004270</x:v>
      </x:c>
      <x:c r="B4271" s="12" t="n">
        <x:v>41815</x:v>
      </x:c>
      <x:c r="C4271" s="18" t="n">
        <x:v>8493</x:v>
      </x:c>
      <x:c r="D4271" s="18" t="n">
        <x:v>50779</x:v>
      </x:c>
      <x:c r="E4271" s="18" t="n">
        <x:v>13.27</x:v>
      </x:c>
      <x:c r="F4271" s="18" t="n">
        <x:v>10.4</x:v>
      </x:c>
      <x:c r="G4271" t="n">
        <x:v>36</x:v>
      </x:c>
      <x:c r="H4271" t="str">
        <x:v>C</x:v>
      </x:c>
      <x:c r="I4271" t="str">
        <x:v>7-9 years</x:v>
      </x:c>
      <x:c r="J4271" t="str">
        <x:v>OWN</x:v>
      </x:c>
      <x:c r="K4271" t="str">
        <x:v>major_purchase</x:v>
      </x:c>
      <x:c r="L4271" t="n">
        <x:v>1</x:v>
      </x:c>
      <x:c r="M4271" t="n">
        <x:v>0</x:v>
      </x:c>
      <x:c r="N4271" t="str">
        <x:v>Fully Paid</x:v>
      </x:c>
      <x:c r="O4271" t="str">
        <x:f>IF(D4271="","Unknown",IF(D4271&lt;25000,"&lt;$25k",IF(D4271&lt;50000,"$25k-$50k",IF(D4271&lt;75000,"$50k-$75k",IF(D4271&lt;100000,"$75k-$100k","$100k+")))))</x:f>
        <x:v>$50k-$75k</x:v>
      </x:c>
      <x:c r="P4271" t="str">
        <x:f>IF(E4271="","Unknown",IF(E4271&lt;10,"&lt;10",IF(E4271&lt;20,"10-&lt;20",IF(E4271&lt;25,"20-&lt;25",IF(E4271&lt;35,"25-&lt;35","35+")))))</x:f>
        <x:v>10-&lt;20</x:v>
      </x:c>
    </x:row>
    <x:row r="4272">
      <x:c r="A4272" t="str">
        <x:v>SYN0004271</x:v>
      </x:c>
      <x:c r="B4272" s="12" t="n">
        <x:v>42445</x:v>
      </x:c>
      <x:c r="C4272" s="18" t="n">
        <x:v>10532</x:v>
      </x:c>
      <x:c r="D4272" s="18" t="n">
        <x:v>82074</x:v>
      </x:c>
      <x:c r="E4272" s="18" t="n">
        <x:v>18.63</x:v>
      </x:c>
      <x:c r="F4272" s="18" t="n">
        <x:v>5.65</x:v>
      </x:c>
      <x:c r="G4272" t="n">
        <x:v>36</x:v>
      </x:c>
      <x:c r="H4272" t="str">
        <x:v>A</x:v>
      </x:c>
      <x:c r="I4272" t="str">
        <x:v>&lt;1 year</x:v>
      </x:c>
      <x:c r="J4272" t="str">
        <x:v>MORTGAGE</x:v>
      </x:c>
      <x:c r="K4272" t="str">
        <x:v>home_improvement</x:v>
      </x:c>
      <x:c r="L4272" t="n">
        <x:v>0</x:v>
      </x:c>
      <x:c r="M4272" t="n">
        <x:v>0</x:v>
      </x:c>
      <x:c r="N4272" t="str">
        <x:v>Fully Paid</x:v>
      </x:c>
      <x:c r="O4272" t="str">
        <x:f>IF(D4272="","Unknown",IF(D4272&lt;25000,"&lt;$25k",IF(D4272&lt;50000,"$25k-$50k",IF(D4272&lt;75000,"$50k-$75k",IF(D4272&lt;100000,"$75k-$100k","$100k+")))))</x:f>
        <x:v>$75k-$100k</x:v>
      </x:c>
      <x:c r="P4272" t="str">
        <x:f>IF(E4272="","Unknown",IF(E4272&lt;10,"&lt;10",IF(E4272&lt;20,"10-&lt;20",IF(E4272&lt;25,"20-&lt;25",IF(E4272&lt;35,"25-&lt;35","35+")))))</x:f>
        <x:v>10-&lt;20</x:v>
      </x:c>
    </x:row>
    <x:row r="4273">
      <x:c r="A4273" t="str">
        <x:v>SYN0004272</x:v>
      </x:c>
      <x:c r="B4273" s="12" t="n">
        <x:v>42385</x:v>
      </x:c>
      <x:c r="C4273" s="18" t="n">
        <x:v>17107</x:v>
      </x:c>
      <x:c r="D4273" s="18" t="n">
        <x:v>87062</x:v>
      </x:c>
      <x:c r="E4273" s="18" t="n">
        <x:v>29.12</x:v>
      </x:c>
      <x:c r="F4273" s="18" t="n">
        <x:v>10.54</x:v>
      </x:c>
      <x:c r="G4273" t="n">
        <x:v>36</x:v>
      </x:c>
      <x:c r="H4273" t="str">
        <x:v>A</x:v>
      </x:c>
      <x:c r="I4273" t="str">
        <x:v>1-3 years</x:v>
      </x:c>
      <x:c r="J4273" t="str">
        <x:v>MORTGAGE</x:v>
      </x:c>
      <x:c r="K4273" t="str">
        <x:v>home_improvement</x:v>
      </x:c>
      <x:c r="L4273" t="n">
        <x:v>1</x:v>
      </x:c>
      <x:c r="M4273" t="n">
        <x:v>0</x:v>
      </x:c>
      <x:c r="N4273" t="str">
        <x:v>Fully Paid</x:v>
      </x:c>
      <x:c r="O4273" t="str">
        <x:f>IF(D4273="","Unknown",IF(D4273&lt;25000,"&lt;$25k",IF(D4273&lt;50000,"$25k-$50k",IF(D4273&lt;75000,"$50k-$75k",IF(D4273&lt;100000,"$75k-$100k","$100k+")))))</x:f>
        <x:v>$75k-$100k</x:v>
      </x:c>
      <x:c r="P4273" t="str">
        <x:f>IF(E4273="","Unknown",IF(E4273&lt;10,"&lt;10",IF(E4273&lt;20,"10-&lt;20",IF(E4273&lt;25,"20-&lt;25",IF(E4273&lt;35,"25-&lt;35","35+")))))</x:f>
        <x:v>25-&lt;35</x:v>
      </x:c>
    </x:row>
    <x:row r="4274">
      <x:c r="A4274" t="str">
        <x:v>SYN0004273</x:v>
      </x:c>
      <x:c r="B4274" s="12" t="n">
        <x:v>42595</x:v>
      </x:c>
      <x:c r="C4274" s="18" t="n">
        <x:v>10624</x:v>
      </x:c>
      <x:c r="D4274" s="18" t="n">
        <x:v>250000</x:v>
      </x:c>
      <x:c r="E4274" s="18" t="n">
        <x:v>26.12</x:v>
      </x:c>
      <x:c r="F4274" s="18" t="n">
        <x:v>17.71</x:v>
      </x:c>
      <x:c r="G4274" t="n">
        <x:v>36</x:v>
      </x:c>
      <x:c r="H4274" t="str">
        <x:v>E</x:v>
      </x:c>
      <x:c r="I4274" t="str">
        <x:v>1-3 years</x:v>
      </x:c>
      <x:c r="J4274" t="str">
        <x:v>RENT</x:v>
      </x:c>
      <x:c r="K4274" t="str">
        <x:v>home_improvement</x:v>
      </x:c>
      <x:c r="L4274" t="n">
        <x:v>0</x:v>
      </x:c>
      <x:c r="M4274" t="n">
        <x:v>1</x:v>
      </x:c>
      <x:c r="N4274" t="str">
        <x:v>Charged Off</x:v>
      </x:c>
      <x:c r="O4274" t="str">
        <x:f>IF(D4274="","Unknown",IF(D4274&lt;25000,"&lt;$25k",IF(D4274&lt;50000,"$25k-$50k",IF(D4274&lt;75000,"$50k-$75k",IF(D4274&lt;100000,"$75k-$100k","$100k+")))))</x:f>
        <x:v>$100k+</x:v>
      </x:c>
      <x:c r="P4274" t="str">
        <x:f>IF(E4274="","Unknown",IF(E4274&lt;10,"&lt;10",IF(E4274&lt;20,"10-&lt;20",IF(E4274&lt;25,"20-&lt;25",IF(E4274&lt;35,"25-&lt;35","35+")))))</x:f>
        <x:v>25-&lt;35</x:v>
      </x:c>
    </x:row>
    <x:row r="4275">
      <x:c r="A4275" t="str">
        <x:v>SYN0004274</x:v>
      </x:c>
      <x:c r="B4275" s="12" t="n">
        <x:v>43135</x:v>
      </x:c>
      <x:c r="C4275" s="18" t="n">
        <x:v>11751</x:v>
      </x:c>
      <x:c r="D4275" s="18" t="n">
        <x:v>110759</x:v>
      </x:c>
      <x:c r="E4275" s="18" t="n">
        <x:v>15.67</x:v>
      </x:c>
      <x:c r="F4275" s="18" t="n">
        <x:v>8.76</x:v>
      </x:c>
      <x:c r="G4275" t="n">
        <x:v>36</x:v>
      </x:c>
      <x:c r="H4275" t="str">
        <x:v>A</x:v>
      </x:c>
      <x:c r="I4275" t="str">
        <x:v>1-3 years</x:v>
      </x:c>
      <x:c r="J4275" t="str">
        <x:v>RENT</x:v>
      </x:c>
      <x:c r="K4275" t="str">
        <x:v>other</x:v>
      </x:c>
      <x:c r="L4275" t="n">
        <x:v>0</x:v>
      </x:c>
      <x:c r="M4275" t="n">
        <x:v>0</x:v>
      </x:c>
      <x:c r="N4275" t="str">
        <x:v>Fully Paid</x:v>
      </x:c>
      <x:c r="O4275" t="str">
        <x:f>IF(D4275="","Unknown",IF(D4275&lt;25000,"&lt;$25k",IF(D4275&lt;50000,"$25k-$50k",IF(D4275&lt;75000,"$50k-$75k",IF(D4275&lt;100000,"$75k-$100k","$100k+")))))</x:f>
        <x:v>$100k+</x:v>
      </x:c>
      <x:c r="P4275" t="str">
        <x:f>IF(E4275="","Unknown",IF(E4275&lt;10,"&lt;10",IF(E4275&lt;20,"10-&lt;20",IF(E4275&lt;25,"20-&lt;25",IF(E4275&lt;35,"25-&lt;35","35+")))))</x:f>
        <x:v>10-&lt;20</x:v>
      </x:c>
    </x:row>
    <x:row r="4276">
      <x:c r="A4276" t="str">
        <x:v>SYN0004275</x:v>
      </x:c>
      <x:c r="B4276" s="12" t="n">
        <x:v>41695</x:v>
      </x:c>
      <x:c r="C4276" s="18" t="n">
        <x:v>25342</x:v>
      </x:c>
      <x:c r="D4276" s="18" t="n">
        <x:v>67967</x:v>
      </x:c>
      <x:c r="E4276" s="18" t="n">
        <x:v>0</x:v>
      </x:c>
      <x:c r="F4276" s="18" t="n">
        <x:v>8.93</x:v>
      </x:c>
      <x:c r="G4276" t="n">
        <x:v>36</x:v>
      </x:c>
      <x:c r="H4276" t="str">
        <x:v>A</x:v>
      </x:c>
      <x:c r="I4276" t="str">
        <x:v>1-3 years</x:v>
      </x:c>
      <x:c r="J4276" t="str">
        <x:v>OWN</x:v>
      </x:c>
      <x:c r="K4276" t="str">
        <x:v>debt_consolidation</x:v>
      </x:c>
      <x:c r="L4276" t="n">
        <x:v>0</x:v>
      </x:c>
      <x:c r="M4276" t="n">
        <x:v>0</x:v>
      </x:c>
      <x:c r="N4276" t="str">
        <x:v>Fully Paid</x:v>
      </x:c>
      <x:c r="O4276" t="str">
        <x:f>IF(D4276="","Unknown",IF(D4276&lt;25000,"&lt;$25k",IF(D4276&lt;50000,"$25k-$50k",IF(D4276&lt;75000,"$50k-$75k",IF(D4276&lt;100000,"$75k-$100k","$100k+")))))</x:f>
        <x:v>$50k-$75k</x:v>
      </x:c>
      <x:c r="P4276" t="str">
        <x:f>IF(E4276="","Unknown",IF(E4276&lt;10,"&lt;10",IF(E4276&lt;20,"10-&lt;20",IF(E4276&lt;25,"20-&lt;25",IF(E4276&lt;35,"25-&lt;35","35+")))))</x:f>
        <x:v>Unknown</x:v>
      </x:c>
    </x:row>
    <x:row r="4277">
      <x:c r="A4277" t="str">
        <x:v>SYN0004276</x:v>
      </x:c>
      <x:c r="B4277" s="12" t="n">
        <x:v>43255</x:v>
      </x:c>
      <x:c r="C4277" s="18" t="n">
        <x:v>8454</x:v>
      </x:c>
      <x:c r="D4277" s="18" t="n">
        <x:v>67770</x:v>
      </x:c>
      <x:c r="E4277" s="18" t="n">
        <x:v>26.05</x:v>
      </x:c>
      <x:c r="F4277" s="18" t="n">
        <x:v>9.06</x:v>
      </x:c>
      <x:c r="G4277" t="n">
        <x:v>36</x:v>
      </x:c>
      <x:c r="H4277" t="str">
        <x:v>B</x:v>
      </x:c>
      <x:c r="I4277" t="str">
        <x:v>7-9 years</x:v>
      </x:c>
      <x:c r="J4277" t="str">
        <x:v>RENT</x:v>
      </x:c>
      <x:c r="K4277" t="str">
        <x:v>credit_card</x:v>
      </x:c>
      <x:c r="L4277" t="n">
        <x:v>1</x:v>
      </x:c>
      <x:c r="M4277" t="n">
        <x:v>0</x:v>
      </x:c>
      <x:c r="N4277" t="str">
        <x:v>Fully Paid</x:v>
      </x:c>
      <x:c r="O4277" t="str">
        <x:f>IF(D4277="","Unknown",IF(D4277&lt;25000,"&lt;$25k",IF(D4277&lt;50000,"$25k-$50k",IF(D4277&lt;75000,"$50k-$75k",IF(D4277&lt;100000,"$75k-$100k","$100k+")))))</x:f>
        <x:v>$50k-$75k</x:v>
      </x:c>
      <x:c r="P4277" t="str">
        <x:f>IF(E4277="","Unknown",IF(E4277&lt;10,"&lt;10",IF(E4277&lt;20,"10-&lt;20",IF(E4277&lt;25,"20-&lt;25",IF(E4277&lt;35,"25-&lt;35","35+")))))</x:f>
        <x:v>25-&lt;35</x:v>
      </x:c>
    </x:row>
    <x:row r="4278">
      <x:c r="A4278" t="str">
        <x:v>SYN0004277</x:v>
      </x:c>
      <x:c r="B4278" s="12" t="n">
        <x:v>41785</x:v>
      </x:c>
      <x:c r="C4278" s="18" t="n">
        <x:v>15891</x:v>
      </x:c>
      <x:c r="D4278" s="18" t="n">
        <x:v>116616</x:v>
      </x:c>
      <x:c r="E4278" s="18" t="n">
        <x:v>25.38</x:v>
      </x:c>
      <x:c r="F4278" s="18" t="n">
        <x:v>11</x:v>
      </x:c>
      <x:c r="G4278" t="n">
        <x:v>36</x:v>
      </x:c>
      <x:c r="H4278" t="str">
        <x:v>C</x:v>
      </x:c>
      <x:c r="I4278" t="str">
        <x:v>4-6 years</x:v>
      </x:c>
      <x:c r="J4278" t="str">
        <x:v>RENT</x:v>
      </x:c>
      <x:c r="K4278" t="str">
        <x:v>debt_consolidation</x:v>
      </x:c>
      <x:c r="L4278" t="n">
        <x:v>0</x:v>
      </x:c>
      <x:c r="M4278" t="n">
        <x:v>1</x:v>
      </x:c>
      <x:c r="N4278" t="str">
        <x:v>Charged Off</x:v>
      </x:c>
      <x:c r="O4278" t="str">
        <x:f>IF(D4278="","Unknown",IF(D4278&lt;25000,"&lt;$25k",IF(D4278&lt;50000,"$25k-$50k",IF(D4278&lt;75000,"$50k-$75k",IF(D4278&lt;100000,"$75k-$100k","$100k+")))))</x:f>
        <x:v>$100k+</x:v>
      </x:c>
      <x:c r="P4278" t="str">
        <x:f>IF(E4278="","Unknown",IF(E4278&lt;10,"&lt;10",IF(E4278&lt;20,"10-&lt;20",IF(E4278&lt;25,"20-&lt;25",IF(E4278&lt;35,"25-&lt;35","35+")))))</x:f>
        <x:v>25-&lt;35</x:v>
      </x:c>
    </x:row>
    <x:row r="4279">
      <x:c r="A4279" t="str">
        <x:v>SYN0004278</x:v>
      </x:c>
      <x:c r="B4279" s="12" t="n">
        <x:v>42475</x:v>
      </x:c>
      <x:c r="C4279" s="18" t="n">
        <x:v>23099</x:v>
      </x:c>
      <x:c r="D4279" s="18" t="n">
        <x:v>89848</x:v>
      </x:c>
      <x:c r="E4279" s="18" t="n">
        <x:v>19.34</x:v>
      </x:c>
      <x:c r="F4279" s="18" t="n">
        <x:v>9.88</x:v>
      </x:c>
      <x:c r="G4279" t="n">
        <x:v>60</x:v>
      </x:c>
      <x:c r="H4279" t="str">
        <x:v>C</x:v>
      </x:c>
      <x:c r="I4279" t="str">
        <x:v>10+ years</x:v>
      </x:c>
      <x:c r="J4279" t="str">
        <x:v>OWN</x:v>
      </x:c>
      <x:c r="K4279" t="str">
        <x:v>debt_consolidation</x:v>
      </x:c>
      <x:c r="L4279" t="n">
        <x:v>2</x:v>
      </x:c>
      <x:c r="M4279" t="n">
        <x:v>0</x:v>
      </x:c>
      <x:c r="N4279" t="str">
        <x:v>Fully Paid</x:v>
      </x:c>
      <x:c r="O4279" t="str">
        <x:f>IF(D4279="","Unknown",IF(D4279&lt;25000,"&lt;$25k",IF(D4279&lt;50000,"$25k-$50k",IF(D4279&lt;75000,"$50k-$75k",IF(D4279&lt;100000,"$75k-$100k","$100k+")))))</x:f>
        <x:v>$75k-$100k</x:v>
      </x:c>
      <x:c r="P4279" t="str">
        <x:f>IF(E4279="","Unknown",IF(E4279&lt;10,"&lt;10",IF(E4279&lt;20,"10-&lt;20",IF(E4279&lt;25,"20-&lt;25",IF(E4279&lt;35,"25-&lt;35","35+")))))</x:f>
        <x:v>10-&lt;20</x:v>
      </x:c>
    </x:row>
    <x:row r="4280">
      <x:c r="A4280" t="str">
        <x:v>SYN0004279</x:v>
      </x:c>
      <x:c r="B4280" s="12" t="n">
        <x:v>42145</x:v>
      </x:c>
      <x:c r="C4280" s="18" t="n">
        <x:v>35407</x:v>
      </x:c>
      <x:c r="D4280" s="18" t="n">
        <x:v>78651</x:v>
      </x:c>
      <x:c r="E4280" s="18" t="n">
        <x:v>6.83</x:v>
      </x:c>
      <x:c r="F4280" s="18" t="n">
        <x:v>5</x:v>
      </x:c>
      <x:c r="G4280" t="n">
        <x:v>60</x:v>
      </x:c>
      <x:c r="H4280" t="str">
        <x:v>A</x:v>
      </x:c>
      <x:c r="I4280" t="str">
        <x:v>1-3 years</x:v>
      </x:c>
      <x:c r="J4280" t="str">
        <x:v>MORTGAGE</x:v>
      </x:c>
      <x:c r="K4280" t="str">
        <x:v>credit_card</x:v>
      </x:c>
      <x:c r="L4280" t="n">
        <x:v>0</x:v>
      </x:c>
      <x:c r="M4280" t="n">
        <x:v>0</x:v>
      </x:c>
      <x:c r="N4280" t="str">
        <x:v>Fully Paid</x:v>
      </x:c>
      <x:c r="O4280" t="str">
        <x:f>IF(D4280="","Unknown",IF(D4280&lt;25000,"&lt;$25k",IF(D4280&lt;50000,"$25k-$50k",IF(D4280&lt;75000,"$50k-$75k",IF(D4280&lt;100000,"$75k-$100k","$100k+")))))</x:f>
        <x:v>$75k-$100k</x:v>
      </x:c>
      <x:c r="P4280" t="str">
        <x:f>IF(E4280="","Unknown",IF(E4280&lt;10,"&lt;10",IF(E4280&lt;20,"10-&lt;20",IF(E4280&lt;25,"20-&lt;25",IF(E4280&lt;35,"25-&lt;35","35+")))))</x:f>
        <x:v>&lt;10</x:v>
      </x:c>
    </x:row>
    <x:row r="4281">
      <x:c r="A4281" t="str">
        <x:v>SYN0004280</x:v>
      </x:c>
      <x:c r="B4281" s="12" t="n">
        <x:v>43045</x:v>
      </x:c>
      <x:c r="C4281" s="18" t="n">
        <x:v>4687</x:v>
      </x:c>
      <x:c r="D4281" s="18" t="n">
        <x:v>152517</x:v>
      </x:c>
      <x:c r="E4281" s="18" t="n">
        <x:v>27.63</x:v>
      </x:c>
      <x:c r="F4281" s="18" t="n">
        <x:v>10.33</x:v>
      </x:c>
      <x:c r="G4281" t="n">
        <x:v>36</x:v>
      </x:c>
      <x:c r="H4281" t="str">
        <x:v>C</x:v>
      </x:c>
      <x:c r="I4281" t="str">
        <x:v>4-6 years</x:v>
      </x:c>
      <x:c r="J4281" t="str">
        <x:v>MORTGAGE</x:v>
      </x:c>
      <x:c r="K4281" t="str">
        <x:v>credit_card</x:v>
      </x:c>
      <x:c r="L4281" t="n">
        <x:v>1</x:v>
      </x:c>
      <x:c r="M4281" t="n">
        <x:v>0</x:v>
      </x:c>
      <x:c r="N4281" t="str">
        <x:v>Fully Paid</x:v>
      </x:c>
      <x:c r="O4281" t="str">
        <x:f>IF(D4281="","Unknown",IF(D4281&lt;25000,"&lt;$25k",IF(D4281&lt;50000,"$25k-$50k",IF(D4281&lt;75000,"$50k-$75k",IF(D4281&lt;100000,"$75k-$100k","$100k+")))))</x:f>
        <x:v>$100k+</x:v>
      </x:c>
      <x:c r="P4281" t="str">
        <x:f>IF(E4281="","Unknown",IF(E4281&lt;10,"&lt;10",IF(E4281&lt;20,"10-&lt;20",IF(E4281&lt;25,"20-&lt;25",IF(E4281&lt;35,"25-&lt;35","35+")))))</x:f>
        <x:v>25-&lt;35</x:v>
      </x:c>
    </x:row>
    <x:row r="4282">
      <x:c r="A4282" t="str">
        <x:v>SYN0004281</x:v>
      </x:c>
      <x:c r="B4282" s="12" t="n">
        <x:v>42625</x:v>
      </x:c>
      <x:c r="C4282" s="18" t="n">
        <x:v>8998</x:v>
      </x:c>
      <x:c r="D4282" s="18" t="n">
        <x:v>71305</x:v>
      </x:c>
      <x:c r="E4282" s="18" t="n">
        <x:v>16.7</x:v>
      </x:c>
      <x:c r="F4282" s="18" t="n">
        <x:v>11.11</x:v>
      </x:c>
      <x:c r="G4282" t="n">
        <x:v>36</x:v>
      </x:c>
      <x:c r="H4282" t="str">
        <x:v>C</x:v>
      </x:c>
      <x:c r="I4282" t="str">
        <x:v>&lt;1 year</x:v>
      </x:c>
      <x:c r="J4282" t="str">
        <x:v>MORTGAGE</x:v>
      </x:c>
      <x:c r="K4282" t="str">
        <x:v>other</x:v>
      </x:c>
      <x:c r="L4282" t="n">
        <x:v>1</x:v>
      </x:c>
      <x:c r="M4282" t="n">
        <x:v>0</x:v>
      </x:c>
      <x:c r="N4282" t="str">
        <x:v>Fully Paid</x:v>
      </x:c>
      <x:c r="O4282" t="str">
        <x:f>IF(D4282="","Unknown",IF(D4282&lt;25000,"&lt;$25k",IF(D4282&lt;50000,"$25k-$50k",IF(D4282&lt;75000,"$50k-$75k",IF(D4282&lt;100000,"$75k-$100k","$100k+")))))</x:f>
        <x:v>$50k-$75k</x:v>
      </x:c>
      <x:c r="P4282" t="str">
        <x:f>IF(E4282="","Unknown",IF(E4282&lt;10,"&lt;10",IF(E4282&lt;20,"10-&lt;20",IF(E4282&lt;25,"20-&lt;25",IF(E4282&lt;35,"25-&lt;35","35+")))))</x:f>
        <x:v>10-&lt;20</x:v>
      </x:c>
    </x:row>
    <x:row r="4283">
      <x:c r="A4283" t="str">
        <x:v>SYN0004282</x:v>
      </x:c>
      <x:c r="B4283" s="12" t="n">
        <x:v>43165</x:v>
      </x:c>
      <x:c r="C4283" s="18" t="n">
        <x:v>4230</x:v>
      </x:c>
      <x:c r="D4283" s="18" t="n">
        <x:v>39439</x:v>
      </x:c>
      <x:c r="E4283" s="18" t="n">
        <x:v>25.67</x:v>
      </x:c>
      <x:c r="F4283" s="18" t="n">
        <x:v>9.38</x:v>
      </x:c>
      <x:c r="G4283" t="n">
        <x:v>36</x:v>
      </x:c>
      <x:c r="H4283" t="str">
        <x:v>C</x:v>
      </x:c>
      <x:c r="I4283" t="str">
        <x:v>1-3 years</x:v>
      </x:c>
      <x:c r="J4283" t="str">
        <x:v>RENT</x:v>
      </x:c>
      <x:c r="K4283" t="str">
        <x:v>debt_consolidation</x:v>
      </x:c>
      <x:c r="L4283" t="n">
        <x:v>0</x:v>
      </x:c>
      <x:c r="M4283" t="n">
        <x:v>0</x:v>
      </x:c>
      <x:c r="N4283" t="str">
        <x:v>Fully Paid</x:v>
      </x:c>
      <x:c r="O4283" t="str">
        <x:f>IF(D4283="","Unknown",IF(D4283&lt;25000,"&lt;$25k",IF(D4283&lt;50000,"$25k-$50k",IF(D4283&lt;75000,"$50k-$75k",IF(D4283&lt;100000,"$75k-$100k","$100k+")))))</x:f>
        <x:v>$25k-$50k</x:v>
      </x:c>
      <x:c r="P4283" t="str">
        <x:f>IF(E4283="","Unknown",IF(E4283&lt;10,"&lt;10",IF(E4283&lt;20,"10-&lt;20",IF(E4283&lt;25,"20-&lt;25",IF(E4283&lt;35,"25-&lt;35","35+")))))</x:f>
        <x:v>25-&lt;35</x:v>
      </x:c>
    </x:row>
    <x:row r="4284">
      <x:c r="A4284" t="str">
        <x:v>SYN0004283</x:v>
      </x:c>
      <x:c r="B4284" s="12" t="n">
        <x:v>42715</x:v>
      </x:c>
      <x:c r="C4284" s="18" t="n">
        <x:v>27122</x:v>
      </x:c>
      <x:c r="D4284" s="18" t="n">
        <x:v>46049</x:v>
      </x:c>
      <x:c r="E4284" s="18" t="n">
        <x:v>6.36</x:v>
      </x:c>
      <x:c r="F4284" s="18" t="n">
        <x:v>5</x:v>
      </x:c>
      <x:c r="G4284" t="n">
        <x:v>36</x:v>
      </x:c>
      <x:c r="H4284" t="str">
        <x:v>A</x:v>
      </x:c>
      <x:c r="I4284" t="str">
        <x:v>10+ years</x:v>
      </x:c>
      <x:c r="J4284" t="str">
        <x:v>MORTGAGE</x:v>
      </x:c>
      <x:c r="K4284" t="str">
        <x:v>credit_card</x:v>
      </x:c>
      <x:c r="L4284" t="n">
        <x:v>0</x:v>
      </x:c>
      <x:c r="M4284" t="n">
        <x:v>0</x:v>
      </x:c>
      <x:c r="N4284" t="str">
        <x:v>Fully Paid</x:v>
      </x:c>
      <x:c r="O4284" t="str">
        <x:f>IF(D4284="","Unknown",IF(D4284&lt;25000,"&lt;$25k",IF(D4284&lt;50000,"$25k-$50k",IF(D4284&lt;75000,"$50k-$75k",IF(D4284&lt;100000,"$75k-$100k","$100k+")))))</x:f>
        <x:v>$25k-$50k</x:v>
      </x:c>
      <x:c r="P4284" t="str">
        <x:f>IF(E4284="","Unknown",IF(E4284&lt;10,"&lt;10",IF(E4284&lt;20,"10-&lt;20",IF(E4284&lt;25,"20-&lt;25",IF(E4284&lt;35,"25-&lt;35","35+")))))</x:f>
        <x:v>&lt;10</x:v>
      </x:c>
    </x:row>
    <x:row r="4285">
      <x:c r="A4285" t="str">
        <x:v>SYN0004284</x:v>
      </x:c>
      <x:c r="B4285" s="12" t="n">
        <x:v>41905</x:v>
      </x:c>
      <x:c r="C4285" s="18" t="n">
        <x:v>5398</x:v>
      </x:c>
      <x:c r="D4285" s="18" t="n">
        <x:v>33173</x:v>
      </x:c>
      <x:c r="E4285" s="18" t="n">
        <x:v>16.03</x:v>
      </x:c>
      <x:c r="F4285" s="18" t="n">
        <x:v>7.48</x:v>
      </x:c>
      <x:c r="G4285" t="n">
        <x:v>36</x:v>
      </x:c>
      <x:c r="H4285" t="str">
        <x:v>B</x:v>
      </x:c>
      <x:c r="I4285" t="str">
        <x:v>1-3 years</x:v>
      </x:c>
      <x:c r="J4285" t="str">
        <x:v>MORTGAGE</x:v>
      </x:c>
      <x:c r="K4285" t="str">
        <x:v>home_improvement</x:v>
      </x:c>
      <x:c r="L4285" t="n">
        <x:v>1</x:v>
      </x:c>
      <x:c r="M4285" t="n">
        <x:v>0</x:v>
      </x:c>
      <x:c r="N4285" t="str">
        <x:v>Fully Paid</x:v>
      </x:c>
      <x:c r="O4285" t="str">
        <x:f>IF(D4285="","Unknown",IF(D4285&lt;25000,"&lt;$25k",IF(D4285&lt;50000,"$25k-$50k",IF(D4285&lt;75000,"$50k-$75k",IF(D4285&lt;100000,"$75k-$100k","$100k+")))))</x:f>
        <x:v>$25k-$50k</x:v>
      </x:c>
      <x:c r="P4285" t="str">
        <x:f>IF(E4285="","Unknown",IF(E4285&lt;10,"&lt;10",IF(E4285&lt;20,"10-&lt;20",IF(E4285&lt;25,"20-&lt;25",IF(E4285&lt;35,"25-&lt;35","35+")))))</x:f>
        <x:v>10-&lt;20</x:v>
      </x:c>
    </x:row>
    <x:row r="4286">
      <x:c r="A4286" t="str">
        <x:v>SYN0004285</x:v>
      </x:c>
      <x:c r="B4286" s="12" t="n">
        <x:v>41455</x:v>
      </x:c>
      <x:c r="C4286" s="18" t="n">
        <x:v>16199</x:v>
      </x:c>
      <x:c r="D4286" s="18" t="n">
        <x:v>53721</x:v>
      </x:c>
      <x:c r="E4286" s="18" t="n">
        <x:v>19.25</x:v>
      </x:c>
      <x:c r="F4286" s="18" t="n">
        <x:v>22.56</x:v>
      </x:c>
      <x:c r="G4286" t="n">
        <x:v>60</x:v>
      </x:c>
      <x:c r="H4286" t="str">
        <x:v>F</x:v>
      </x:c>
      <x:c r="I4286" t="str">
        <x:v>1-3 years</x:v>
      </x:c>
      <x:c r="J4286" t="str">
        <x:v>OTHER</x:v>
      </x:c>
      <x:c r="K4286" t="str">
        <x:v>other</x:v>
      </x:c>
      <x:c r="L4286" t="n">
        <x:v>1</x:v>
      </x:c>
      <x:c r="M4286" t="n">
        <x:v>0</x:v>
      </x:c>
      <x:c r="N4286" t="str">
        <x:v>Fully Paid</x:v>
      </x:c>
      <x:c r="O4286" t="str">
        <x:f>IF(D4286="","Unknown",IF(D4286&lt;25000,"&lt;$25k",IF(D4286&lt;50000,"$25k-$50k",IF(D4286&lt;75000,"$50k-$75k",IF(D4286&lt;100000,"$75k-$100k","$100k+")))))</x:f>
        <x:v>$50k-$75k</x:v>
      </x:c>
      <x:c r="P4286" t="str">
        <x:f>IF(E4286="","Unknown",IF(E4286&lt;10,"&lt;10",IF(E4286&lt;20,"10-&lt;20",IF(E4286&lt;25,"20-&lt;25",IF(E4286&lt;35,"25-&lt;35","35+")))))</x:f>
        <x:v>10-&lt;20</x:v>
      </x:c>
    </x:row>
    <x:row r="4287">
      <x:c r="A4287" t="str">
        <x:v>SYN0004286</x:v>
      </x:c>
      <x:c r="B4287" s="12" t="n">
        <x:v>41695</x:v>
      </x:c>
      <x:c r="C4287" s="18" t="n">
        <x:v>7684</x:v>
      </x:c>
      <x:c r="D4287" s="18" t="n">
        <x:v>32398</x:v>
      </x:c>
      <x:c r="E4287" s="18" t="n">
        <x:v>25.13</x:v>
      </x:c>
      <x:c r="F4287" s="18" t="n">
        <x:v>11.14</x:v>
      </x:c>
      <x:c r="G4287" t="n">
        <x:v>60</x:v>
      </x:c>
      <x:c r="H4287" t="str">
        <x:v>A</x:v>
      </x:c>
      <x:c r="I4287" t="str">
        <x:v>&lt;1 year</x:v>
      </x:c>
      <x:c r="J4287" t="str">
        <x:v>MORTGAGE</x:v>
      </x:c>
      <x:c r="K4287" t="str">
        <x:v>debt_consolidation</x:v>
      </x:c>
      <x:c r="L4287" t="n">
        <x:v>0</x:v>
      </x:c>
      <x:c r="M4287" t="n">
        <x:v>0</x:v>
      </x:c>
      <x:c r="N4287" t="str">
        <x:v>Fully Paid</x:v>
      </x:c>
      <x:c r="O4287" t="str">
        <x:f>IF(D4287="","Unknown",IF(D4287&lt;25000,"&lt;$25k",IF(D4287&lt;50000,"$25k-$50k",IF(D4287&lt;75000,"$50k-$75k",IF(D4287&lt;100000,"$75k-$100k","$100k+")))))</x:f>
        <x:v>$25k-$50k</x:v>
      </x:c>
      <x:c r="P4287" t="str">
        <x:f>IF(E4287="","Unknown",IF(E4287&lt;10,"&lt;10",IF(E4287&lt;20,"10-&lt;20",IF(E4287&lt;25,"20-&lt;25",IF(E4287&lt;35,"25-&lt;35","35+")))))</x:f>
        <x:v>25-&lt;35</x:v>
      </x:c>
    </x:row>
    <x:row r="4288">
      <x:c r="A4288" t="str">
        <x:v>SYN0004287</x:v>
      </x:c>
      <x:c r="B4288" s="12" t="n">
        <x:v>42685</x:v>
      </x:c>
      <x:c r="C4288" s="18" t="n">
        <x:v>40000</x:v>
      </x:c>
      <x:c r="D4288" s="18" t="n">
        <x:v>89362</x:v>
      </x:c>
      <x:c r="E4288" s="18" t="n">
        <x:v>37.45</x:v>
      </x:c>
      <x:c r="F4288" s="18" t="n">
        <x:v>17.06</x:v>
      </x:c>
      <x:c r="G4288" t="n">
        <x:v>36</x:v>
      </x:c>
      <x:c r="H4288" t="str">
        <x:v>E</x:v>
      </x:c>
      <x:c r="I4288" t="str">
        <x:v>10+ years</x:v>
      </x:c>
      <x:c r="J4288" t="str">
        <x:v>RENT</x:v>
      </x:c>
      <x:c r="K4288" t="str">
        <x:v>medical</x:v>
      </x:c>
      <x:c r="L4288" t="n">
        <x:v>1</x:v>
      </x:c>
      <x:c r="M4288" t="n">
        <x:v>0</x:v>
      </x:c>
      <x:c r="N4288" t="str">
        <x:v>Fully Paid</x:v>
      </x:c>
      <x:c r="O4288" t="str">
        <x:f>IF(D4288="","Unknown",IF(D4288&lt;25000,"&lt;$25k",IF(D4288&lt;50000,"$25k-$50k",IF(D4288&lt;75000,"$50k-$75k",IF(D4288&lt;100000,"$75k-$100k","$100k+")))))</x:f>
        <x:v>$75k-$100k</x:v>
      </x:c>
      <x:c r="P4288" t="str">
        <x:f>IF(E4288="","Unknown",IF(E4288&lt;10,"&lt;10",IF(E4288&lt;20,"10-&lt;20",IF(E4288&lt;25,"20-&lt;25",IF(E4288&lt;35,"25-&lt;35","35+")))))</x:f>
        <x:v>35+</x:v>
      </x:c>
    </x:row>
    <x:row r="4289">
      <x:c r="A4289" t="str">
        <x:v>SYN0004288</x:v>
      </x:c>
      <x:c r="B4289" s="12" t="n">
        <x:v>41395</x:v>
      </x:c>
      <x:c r="C4289" s="18" t="n">
        <x:v>19039</x:v>
      </x:c>
      <x:c r="D4289" s="18" t="n">
        <x:v>54810</x:v>
      </x:c>
      <x:c r="E4289" s="18" t="n">
        <x:v>36.44</x:v>
      </x:c>
      <x:c r="F4289" s="18" t="n">
        <x:v>8.18</x:v>
      </x:c>
      <x:c r="G4289" t="n">
        <x:v>36</x:v>
      </x:c>
      <x:c r="H4289" t="str">
        <x:v>B</x:v>
      </x:c>
      <x:c r="I4289" t="str">
        <x:v>10+ years</x:v>
      </x:c>
      <x:c r="J4289" t="str">
        <x:v>RENT</x:v>
      </x:c>
      <x:c r="K4289" t="str">
        <x:v>credit_card</x:v>
      </x:c>
      <x:c r="L4289" t="n">
        <x:v>0</x:v>
      </x:c>
      <x:c r="M4289" t="n">
        <x:v>0</x:v>
      </x:c>
      <x:c r="N4289" t="str">
        <x:v>Fully Paid</x:v>
      </x:c>
      <x:c r="O4289" t="str">
        <x:f>IF(D4289="","Unknown",IF(D4289&lt;25000,"&lt;$25k",IF(D4289&lt;50000,"$25k-$50k",IF(D4289&lt;75000,"$50k-$75k",IF(D4289&lt;100000,"$75k-$100k","$100k+")))))</x:f>
        <x:v>$50k-$75k</x:v>
      </x:c>
      <x:c r="P4289" t="str">
        <x:f>IF(E4289="","Unknown",IF(E4289&lt;10,"&lt;10",IF(E4289&lt;20,"10-&lt;20",IF(E4289&lt;25,"20-&lt;25",IF(E4289&lt;35,"25-&lt;35","35+")))))</x:f>
        <x:v>35+</x:v>
      </x:c>
    </x:row>
    <x:row r="4290">
      <x:c r="A4290" t="str">
        <x:v>SYN0004289</x:v>
      </x:c>
      <x:c r="B4290" s="12" t="n">
        <x:v>43345</x:v>
      </x:c>
      <x:c r="C4290" s="18" t="n">
        <x:v>15302</x:v>
      </x:c>
      <x:c r="D4290" s="18" t="n">
        <x:v>67176</x:v>
      </x:c>
      <x:c r="E4290" s="18" t="n">
        <x:v>29.07</x:v>
      </x:c>
      <x:c r="F4290" s="18" t="n">
        <x:v>9.82</x:v>
      </x:c>
      <x:c r="G4290" t="n">
        <x:v>36</x:v>
      </x:c>
      <x:c r="H4290" t="str">
        <x:v>C</x:v>
      </x:c>
      <x:c r="I4290" t="str">
        <x:v>4-6 years</x:v>
      </x:c>
      <x:c r="J4290" t="str">
        <x:v>RENT</x:v>
      </x:c>
      <x:c r="K4290" t="str">
        <x:v>credit_card</x:v>
      </x:c>
      <x:c r="L4290" t="n">
        <x:v>0</x:v>
      </x:c>
      <x:c r="M4290" t="n">
        <x:v>0</x:v>
      </x:c>
      <x:c r="N4290" t="str">
        <x:v>Fully Paid</x:v>
      </x:c>
      <x:c r="O4290" t="str">
        <x:f>IF(D4290="","Unknown",IF(D4290&lt;25000,"&lt;$25k",IF(D4290&lt;50000,"$25k-$50k",IF(D4290&lt;75000,"$50k-$75k",IF(D4290&lt;100000,"$75k-$100k","$100k+")))))</x:f>
        <x:v>$50k-$75k</x:v>
      </x:c>
      <x:c r="P4290" t="str">
        <x:f>IF(E4290="","Unknown",IF(E4290&lt;10,"&lt;10",IF(E4290&lt;20,"10-&lt;20",IF(E4290&lt;25,"20-&lt;25",IF(E4290&lt;35,"25-&lt;35","35+")))))</x:f>
        <x:v>25-&lt;35</x:v>
      </x:c>
    </x:row>
    <x:row r="4291">
      <x:c r="A4291" t="str">
        <x:v>SYN0004290</x:v>
      </x:c>
      <x:c r="B4291" s="12" t="n">
        <x:v>41785</x:v>
      </x:c>
      <x:c r="C4291" s="18" t="n">
        <x:v>12358</x:v>
      </x:c>
      <x:c r="D4291" s="18" t="n">
        <x:v>24781</x:v>
      </x:c>
      <x:c r="E4291" s="18" t="n">
        <x:v>33.02</x:v>
      </x:c>
      <x:c r="F4291" s="18" t="n">
        <x:v>12.75</x:v>
      </x:c>
      <x:c r="G4291" t="n">
        <x:v>60</x:v>
      </x:c>
      <x:c r="H4291" t="str">
        <x:v>D</x:v>
      </x:c>
      <x:c r="I4291" t="str">
        <x:v>1-3 years</x:v>
      </x:c>
      <x:c r="J4291" t="str">
        <x:v>RENT</x:v>
      </x:c>
      <x:c r="K4291" t="str">
        <x:v>debt_consolidation</x:v>
      </x:c>
      <x:c r="L4291" t="n">
        <x:v>0</x:v>
      </x:c>
      <x:c r="M4291" t="n">
        <x:v>0</x:v>
      </x:c>
      <x:c r="N4291" t="str">
        <x:v>Fully Paid</x:v>
      </x:c>
      <x:c r="O4291" t="str">
        <x:f>IF(D4291="","Unknown",IF(D4291&lt;25000,"&lt;$25k",IF(D4291&lt;50000,"$25k-$50k",IF(D4291&lt;75000,"$50k-$75k",IF(D4291&lt;100000,"$75k-$100k","$100k+")))))</x:f>
        <x:v>&lt;$25k</x:v>
      </x:c>
      <x:c r="P4291" t="str">
        <x:f>IF(E4291="","Unknown",IF(E4291&lt;10,"&lt;10",IF(E4291&lt;20,"10-&lt;20",IF(E4291&lt;25,"20-&lt;25",IF(E4291&lt;35,"25-&lt;35","35+")))))</x:f>
        <x:v>25-&lt;35</x:v>
      </x:c>
    </x:row>
    <x:row r="4292">
      <x:c r="A4292" t="str">
        <x:v>SYN0004291</x:v>
      </x:c>
      <x:c r="B4292" s="12" t="n">
        <x:v>41275</x:v>
      </x:c>
      <x:c r="C4292" s="18" t="n">
        <x:v>19675</x:v>
      </x:c>
      <x:c r="D4292" s="18" t="n">
        <x:v>39632</x:v>
      </x:c>
      <x:c r="E4292" s="18" t="n">
        <x:v>7.87</x:v>
      </x:c>
      <x:c r="F4292" s="18" t="n">
        <x:v>6.94</x:v>
      </x:c>
      <x:c r="G4292" t="n">
        <x:v>36</x:v>
      </x:c>
      <x:c r="H4292" t="str">
        <x:v>A</x:v>
      </x:c>
      <x:c r="I4292" t="str">
        <x:v>1-3 years</x:v>
      </x:c>
      <x:c r="J4292" t="str">
        <x:v>MORTGAGE</x:v>
      </x:c>
      <x:c r="K4292" t="str">
        <x:v>other</x:v>
      </x:c>
      <x:c r="L4292" t="n">
        <x:v>0</x:v>
      </x:c>
      <x:c r="M4292" t="n">
        <x:v>0</x:v>
      </x:c>
      <x:c r="N4292" t="str">
        <x:v>Fully Paid</x:v>
      </x:c>
      <x:c r="O4292" t="str">
        <x:f>IF(D4292="","Unknown",IF(D4292&lt;25000,"&lt;$25k",IF(D4292&lt;50000,"$25k-$50k",IF(D4292&lt;75000,"$50k-$75k",IF(D4292&lt;100000,"$75k-$100k","$100k+")))))</x:f>
        <x:v>$25k-$50k</x:v>
      </x:c>
      <x:c r="P4292" t="str">
        <x:f>IF(E4292="","Unknown",IF(E4292&lt;10,"&lt;10",IF(E4292&lt;20,"10-&lt;20",IF(E4292&lt;25,"20-&lt;25",IF(E4292&lt;35,"25-&lt;35","35+")))))</x:f>
        <x:v>&lt;10</x:v>
      </x:c>
    </x:row>
    <x:row r="4293">
      <x:c r="A4293" t="str">
        <x:v>SYN0004292</x:v>
      </x:c>
      <x:c r="B4293" s="12" t="n">
        <x:v>42985</x:v>
      </x:c>
      <x:c r="C4293" s="18" t="n">
        <x:v>7267</x:v>
      </x:c>
      <x:c r="D4293" s="18" t="n">
        <x:v>44052</x:v>
      </x:c>
      <x:c r="E4293" s="18" t="n">
        <x:v>24.29</x:v>
      </x:c>
      <x:c r="F4293" s="18" t="n">
        <x:v>15.4</x:v>
      </x:c>
      <x:c r="G4293" t="n">
        <x:v>36</x:v>
      </x:c>
      <x:c r="H4293" t="str">
        <x:v>D</x:v>
      </x:c>
      <x:c r="I4293" t="str">
        <x:v>4-6 years</x:v>
      </x:c>
      <x:c r="J4293" t="str">
        <x:v>RENT</x:v>
      </x:c>
      <x:c r="K4293" t="str">
        <x:v>home_improvement</x:v>
      </x:c>
      <x:c r="L4293" t="n">
        <x:v>0</x:v>
      </x:c>
      <x:c r="M4293" t="n">
        <x:v>0</x:v>
      </x:c>
      <x:c r="N4293" t="str">
        <x:v>Fully Paid</x:v>
      </x:c>
      <x:c r="O4293" t="str">
        <x:f>IF(D4293="","Unknown",IF(D4293&lt;25000,"&lt;$25k",IF(D4293&lt;50000,"$25k-$50k",IF(D4293&lt;75000,"$50k-$75k",IF(D4293&lt;100000,"$75k-$100k","$100k+")))))</x:f>
        <x:v>$25k-$50k</x:v>
      </x:c>
      <x:c r="P4293" t="str">
        <x:f>IF(E4293="","Unknown",IF(E4293&lt;10,"&lt;10",IF(E4293&lt;20,"10-&lt;20",IF(E4293&lt;25,"20-&lt;25",IF(E4293&lt;35,"25-&lt;35","35+")))))</x:f>
        <x:v>20-&lt;25</x:v>
      </x:c>
    </x:row>
    <x:row r="4294">
      <x:c r="A4294" t="str">
        <x:v>SYN0004293</x:v>
      </x:c>
      <x:c r="B4294" s="12" t="n">
        <x:v>43315</x:v>
      </x:c>
      <x:c r="C4294" s="18" t="n">
        <x:v>22553</x:v>
      </x:c>
      <x:c r="D4294" s="18" t="n">
        <x:v>60730</x:v>
      </x:c>
      <x:c r="E4294" s="18" t="n">
        <x:v>4.22</x:v>
      </x:c>
      <x:c r="F4294" s="18" t="n">
        <x:v>5.13</x:v>
      </x:c>
      <x:c r="G4294" t="n">
        <x:v>36</x:v>
      </x:c>
      <x:c r="H4294" t="str">
        <x:v>B</x:v>
      </x:c>
      <x:c r="I4294" t="str">
        <x:v>7-9 years</x:v>
      </x:c>
      <x:c r="J4294" t="str">
        <x:v>MORTGAGE</x:v>
      </x:c>
      <x:c r="K4294" t="str">
        <x:v>debt_consolidation</x:v>
      </x:c>
      <x:c r="L4294" t="n">
        <x:v>0</x:v>
      </x:c>
      <x:c r="M4294" t="n">
        <x:v>0</x:v>
      </x:c>
      <x:c r="N4294" t="str">
        <x:v>Fully Paid</x:v>
      </x:c>
      <x:c r="O4294" t="str">
        <x:f>IF(D4294="","Unknown",IF(D4294&lt;25000,"&lt;$25k",IF(D4294&lt;50000,"$25k-$50k",IF(D4294&lt;75000,"$50k-$75k",IF(D4294&lt;100000,"$75k-$100k","$100k+")))))</x:f>
        <x:v>$50k-$75k</x:v>
      </x:c>
      <x:c r="P4294" t="str">
        <x:f>IF(E4294="","Unknown",IF(E4294&lt;10,"&lt;10",IF(E4294&lt;20,"10-&lt;20",IF(E4294&lt;25,"20-&lt;25",IF(E4294&lt;35,"25-&lt;35","35+")))))</x:f>
        <x:v>&lt;10</x:v>
      </x:c>
    </x:row>
    <x:row r="4295">
      <x:c r="A4295" t="str">
        <x:v>SYN0004294</x:v>
      </x:c>
      <x:c r="B4295" s="12" t="n">
        <x:v>42565</x:v>
      </x:c>
      <x:c r="C4295" s="18" t="n">
        <x:v>14429</x:v>
      </x:c>
      <x:c r="D4295" s="18" t="n">
        <x:v>38036</x:v>
      </x:c>
      <x:c r="E4295" s="18" t="n">
        <x:v>25.83</x:v>
      </x:c>
      <x:c r="F4295" s="18" t="n">
        <x:v>9.96</x:v>
      </x:c>
      <x:c r="G4295" t="n">
        <x:v>36</x:v>
      </x:c>
      <x:c r="H4295" t="str">
        <x:v>C</x:v>
      </x:c>
      <x:c r="I4295" t="str">
        <x:v>7-9 years</x:v>
      </x:c>
      <x:c r="J4295" t="str">
        <x:v>OWN</x:v>
      </x:c>
      <x:c r="K4295" t="str">
        <x:v>debt_consolidation</x:v>
      </x:c>
      <x:c r="L4295" t="n">
        <x:v>0</x:v>
      </x:c>
      <x:c r="M4295" t="n">
        <x:v>0</x:v>
      </x:c>
      <x:c r="N4295" t="str">
        <x:v>Fully Paid</x:v>
      </x:c>
      <x:c r="O4295" t="str">
        <x:f>IF(D4295="","Unknown",IF(D4295&lt;25000,"&lt;$25k",IF(D4295&lt;50000,"$25k-$50k",IF(D4295&lt;75000,"$50k-$75k",IF(D4295&lt;100000,"$75k-$100k","$100k+")))))</x:f>
        <x:v>$25k-$50k</x:v>
      </x:c>
      <x:c r="P4295" t="str">
        <x:f>IF(E4295="","Unknown",IF(E4295&lt;10,"&lt;10",IF(E4295&lt;20,"10-&lt;20",IF(E4295&lt;25,"20-&lt;25",IF(E4295&lt;35,"25-&lt;35","35+")))))</x:f>
        <x:v>25-&lt;35</x:v>
      </x:c>
    </x:row>
    <x:row r="4296">
      <x:c r="A4296" t="str">
        <x:v>SYN0004295</x:v>
      </x:c>
      <x:c r="B4296" s="12" t="n">
        <x:v>41845</x:v>
      </x:c>
      <x:c r="C4296" s="18" t="n">
        <x:v>14550</x:v>
      </x:c>
      <x:c r="D4296" s="18" t="n">
        <x:v>69089</x:v>
      </x:c>
      <x:c r="E4296" s="18" t="n">
        <x:v>17.84</x:v>
      </x:c>
      <x:c r="F4296" s="18" t="n">
        <x:v>25.52</x:v>
      </x:c>
      <x:c r="G4296" t="n">
        <x:v>60</x:v>
      </x:c>
      <x:c r="H4296" t="str">
        <x:v>G</x:v>
      </x:c>
      <x:c r="I4296" t="str">
        <x:v>4-6 years</x:v>
      </x:c>
      <x:c r="J4296" t="str">
        <x:v>MORTGAGE</x:v>
      </x:c>
      <x:c r="K4296" t="str">
        <x:v>other</x:v>
      </x:c>
      <x:c r="L4296" t="n">
        <x:v>3</x:v>
      </x:c>
      <x:c r="M4296" t="n">
        <x:v>1</x:v>
      </x:c>
      <x:c r="N4296" t="str">
        <x:v>Charged Off</x:v>
      </x:c>
      <x:c r="O4296" t="str">
        <x:f>IF(D4296="","Unknown",IF(D4296&lt;25000,"&lt;$25k",IF(D4296&lt;50000,"$25k-$50k",IF(D4296&lt;75000,"$50k-$75k",IF(D4296&lt;100000,"$75k-$100k","$100k+")))))</x:f>
        <x:v>$50k-$75k</x:v>
      </x:c>
      <x:c r="P4296" t="str">
        <x:f>IF(E4296="","Unknown",IF(E4296&lt;10,"&lt;10",IF(E4296&lt;20,"10-&lt;20",IF(E4296&lt;25,"20-&lt;25",IF(E4296&lt;35,"25-&lt;35","35+")))))</x:f>
        <x:v>10-&lt;20</x:v>
      </x:c>
    </x:row>
    <x:row r="4297">
      <x:c r="A4297" t="str">
        <x:v>SYN0004296</x:v>
      </x:c>
      <x:c r="B4297" s="12" t="n">
        <x:v>42085</x:v>
      </x:c>
      <x:c r="C4297" s="18" t="n">
        <x:v>15634</x:v>
      </x:c>
      <x:c r="D4297" s="18" t="n">
        <x:v>53926</x:v>
      </x:c>
      <x:c r="E4297" s="18" t="n">
        <x:v>15.72</x:v>
      </x:c>
      <x:c r="F4297" s="18" t="n">
        <x:v>8.98</x:v>
      </x:c>
      <x:c r="G4297" t="n">
        <x:v>36</x:v>
      </x:c>
      <x:c r="H4297" t="str">
        <x:v>B</x:v>
      </x:c>
      <x:c r="I4297" t="str">
        <x:v>10+ years</x:v>
      </x:c>
      <x:c r="J4297" t="str">
        <x:v>RENT</x:v>
      </x:c>
      <x:c r="K4297" t="str">
        <x:v>major_purchase</x:v>
      </x:c>
      <x:c r="L4297" t="n">
        <x:v>0</x:v>
      </x:c>
      <x:c r="M4297" t="n">
        <x:v>0</x:v>
      </x:c>
      <x:c r="N4297" t="str">
        <x:v>Fully Paid</x:v>
      </x:c>
      <x:c r="O4297" t="str">
        <x:f>IF(D4297="","Unknown",IF(D4297&lt;25000,"&lt;$25k",IF(D4297&lt;50000,"$25k-$50k",IF(D4297&lt;75000,"$50k-$75k",IF(D4297&lt;100000,"$75k-$100k","$100k+")))))</x:f>
        <x:v>$50k-$75k</x:v>
      </x:c>
      <x:c r="P4297" t="str">
        <x:f>IF(E4297="","Unknown",IF(E4297&lt;10,"&lt;10",IF(E4297&lt;20,"10-&lt;20",IF(E4297&lt;25,"20-&lt;25",IF(E4297&lt;35,"25-&lt;35","35+")))))</x:f>
        <x:v>10-&lt;20</x:v>
      </x:c>
    </x:row>
    <x:row r="4298">
      <x:c r="A4298" t="str">
        <x:v>SYN0004297</x:v>
      </x:c>
      <x:c r="B4298" s="12" t="n">
        <x:v>41395</x:v>
      </x:c>
      <x:c r="C4298" s="18" t="n">
        <x:v>16612</x:v>
      </x:c>
      <x:c r="D4298" s="18" t="n">
        <x:v>56859</x:v>
      </x:c>
      <x:c r="E4298" s="18" t="n">
        <x:v>25.91</x:v>
      </x:c>
      <x:c r="F4298" s="18" t="n">
        <x:v>13.95</x:v>
      </x:c>
      <x:c r="G4298" t="n">
        <x:v>36</x:v>
      </x:c>
      <x:c r="H4298" t="str">
        <x:v>D</x:v>
      </x:c>
      <x:c r="I4298" t="str">
        <x:v>7-9 years</x:v>
      </x:c>
      <x:c r="J4298" t="str">
        <x:v>MORTGAGE</x:v>
      </x:c>
      <x:c r="K4298" t="str">
        <x:v>debt_consolidation</x:v>
      </x:c>
      <x:c r="L4298" t="n">
        <x:v>0</x:v>
      </x:c>
      <x:c r="M4298" t="n">
        <x:v>1</x:v>
      </x:c>
      <x:c r="N4298" t="str">
        <x:v>Charged Off</x:v>
      </x:c>
      <x:c r="O4298" t="str">
        <x:f>IF(D4298="","Unknown",IF(D4298&lt;25000,"&lt;$25k",IF(D4298&lt;50000,"$25k-$50k",IF(D4298&lt;75000,"$50k-$75k",IF(D4298&lt;100000,"$75k-$100k","$100k+")))))</x:f>
        <x:v>$50k-$75k</x:v>
      </x:c>
      <x:c r="P4298" t="str">
        <x:f>IF(E4298="","Unknown",IF(E4298&lt;10,"&lt;10",IF(E4298&lt;20,"10-&lt;20",IF(E4298&lt;25,"20-&lt;25",IF(E4298&lt;35,"25-&lt;35","35+")))))</x:f>
        <x:v>25-&lt;35</x:v>
      </x:c>
    </x:row>
    <x:row r="4299">
      <x:c r="A4299" t="str">
        <x:v>SYN0004298</x:v>
      </x:c>
      <x:c r="B4299" s="12" t="n">
        <x:v>41755</x:v>
      </x:c>
      <x:c r="C4299" s="18" t="n">
        <x:v>6691</x:v>
      </x:c>
      <x:c r="D4299" s="18" t="n">
        <x:v>47997</x:v>
      </x:c>
      <x:c r="E4299" s="18" t="n">
        <x:v>29.86</x:v>
      </x:c>
      <x:c r="F4299" s="18" t="n">
        <x:v>7.36</x:v>
      </x:c>
      <x:c r="G4299" t="n">
        <x:v>60</x:v>
      </x:c>
      <x:c r="H4299" t="str">
        <x:v>B</x:v>
      </x:c>
      <x:c r="I4299" t="str">
        <x:v>4-6 years</x:v>
      </x:c>
      <x:c r="J4299" t="str">
        <x:v>OWN</x:v>
      </x:c>
      <x:c r="K4299" t="str">
        <x:v>major_purchase</x:v>
      </x:c>
      <x:c r="L4299" t="n">
        <x:v>2</x:v>
      </x:c>
      <x:c r="M4299" t="n">
        <x:v>0</x:v>
      </x:c>
      <x:c r="N4299" t="str">
        <x:v>Fully Paid</x:v>
      </x:c>
      <x:c r="O4299" t="str">
        <x:f>IF(D4299="","Unknown",IF(D4299&lt;25000,"&lt;$25k",IF(D4299&lt;50000,"$25k-$50k",IF(D4299&lt;75000,"$50k-$75k",IF(D4299&lt;100000,"$75k-$100k","$100k+")))))</x:f>
        <x:v>$25k-$50k</x:v>
      </x:c>
      <x:c r="P4299" t="str">
        <x:f>IF(E4299="","Unknown",IF(E4299&lt;10,"&lt;10",IF(E4299&lt;20,"10-&lt;20",IF(E4299&lt;25,"20-&lt;25",IF(E4299&lt;35,"25-&lt;35","35+")))))</x:f>
        <x:v>25-&lt;35</x:v>
      </x:c>
    </x:row>
    <x:row r="4300">
      <x:c r="A4300" t="str">
        <x:v>SYN0004299</x:v>
      </x:c>
      <x:c r="B4300" s="12" t="n">
        <x:v>43015</x:v>
      </x:c>
      <x:c r="C4300" s="18" t="n">
        <x:v>7187</x:v>
      </x:c>
      <x:c r="D4300" s="18" t="n">
        <x:v>65331</x:v>
      </x:c>
      <x:c r="E4300" s="18" t="n">
        <x:v>31.79</x:v>
      </x:c>
      <x:c r="F4300" s="18" t="n">
        <x:v>12.99</x:v>
      </x:c>
      <x:c r="G4300" t="n">
        <x:v>60</x:v>
      </x:c>
      <x:c r="H4300" t="str">
        <x:v>C</x:v>
      </x:c>
      <x:c r="I4300" t="str">
        <x:v>4-6 years</x:v>
      </x:c>
      <x:c r="J4300" t="str">
        <x:v>RENT</x:v>
      </x:c>
      <x:c r="K4300" t="str">
        <x:v>debt_consolidation</x:v>
      </x:c>
      <x:c r="L4300" t="n">
        <x:v>0</x:v>
      </x:c>
      <x:c r="M4300" t="n">
        <x:v>0</x:v>
      </x:c>
      <x:c r="N4300" t="str">
        <x:v>Fully Paid</x:v>
      </x:c>
      <x:c r="O4300" t="str">
        <x:f>IF(D4300="","Unknown",IF(D4300&lt;25000,"&lt;$25k",IF(D4300&lt;50000,"$25k-$50k",IF(D4300&lt;75000,"$50k-$75k",IF(D4300&lt;100000,"$75k-$100k","$100k+")))))</x:f>
        <x:v>$50k-$75k</x:v>
      </x:c>
      <x:c r="P4300" t="str">
        <x:f>IF(E4300="","Unknown",IF(E4300&lt;10,"&lt;10",IF(E4300&lt;20,"10-&lt;20",IF(E4300&lt;25,"20-&lt;25",IF(E4300&lt;35,"25-&lt;35","35+")))))</x:f>
        <x:v>25-&lt;35</x:v>
      </x:c>
    </x:row>
    <x:row r="4301">
      <x:c r="A4301" t="str">
        <x:v>SYN0004300</x:v>
      </x:c>
      <x:c r="B4301" s="12" t="n">
        <x:v>41935</x:v>
      </x:c>
      <x:c r="C4301" s="18" t="n">
        <x:v>6859</x:v>
      </x:c>
      <x:c r="D4301" s="18" t="n">
        <x:v>66790</x:v>
      </x:c>
      <x:c r="E4301" s="18" t="n">
        <x:v>24.07</x:v>
      </x:c>
      <x:c r="F4301" s="18" t="n">
        <x:v>13.9</x:v>
      </x:c>
      <x:c r="G4301" t="n">
        <x:v>36</x:v>
      </x:c>
      <x:c r="H4301" t="str">
        <x:v>D</x:v>
      </x:c>
      <x:c r="I4301" t="str">
        <x:v>10+ years</x:v>
      </x:c>
      <x:c r="J4301" t="str">
        <x:v>OWN</x:v>
      </x:c>
      <x:c r="K4301" t="str">
        <x:v>credit_card</x:v>
      </x:c>
      <x:c r="L4301" t="n">
        <x:v>3</x:v>
      </x:c>
      <x:c r="M4301" t="n">
        <x:v>0</x:v>
      </x:c>
      <x:c r="N4301" t="str">
        <x:v>Fully Paid</x:v>
      </x:c>
      <x:c r="O4301" t="str">
        <x:f>IF(D4301="","Unknown",IF(D4301&lt;25000,"&lt;$25k",IF(D4301&lt;50000,"$25k-$50k",IF(D4301&lt;75000,"$50k-$75k",IF(D4301&lt;100000,"$75k-$100k","$100k+")))))</x:f>
        <x:v>$50k-$75k</x:v>
      </x:c>
      <x:c r="P4301" t="str">
        <x:f>IF(E4301="","Unknown",IF(E4301&lt;10,"&lt;10",IF(E4301&lt;20,"10-&lt;20",IF(E4301&lt;25,"20-&lt;25",IF(E4301&lt;35,"25-&lt;35","35+")))))</x:f>
        <x:v>20-&lt;25</x:v>
      </x:c>
    </x:row>
    <x:row r="4302">
      <x:c r="A4302" t="str">
        <x:v>SYN0004301</x:v>
      </x:c>
      <x:c r="B4302" s="12" t="n">
        <x:v>41665</x:v>
      </x:c>
      <x:c r="C4302" s="18" t="n">
        <x:v>11207</x:v>
      </x:c>
      <x:c r="D4302" s="18" t="n">
        <x:v>60096</x:v>
      </x:c>
      <x:c r="E4302" s="18" t="n">
        <x:v>29.09</x:v>
      </x:c>
      <x:c r="F4302" s="18" t="n">
        <x:v>11.59</x:v>
      </x:c>
      <x:c r="G4302" t="n">
        <x:v>36</x:v>
      </x:c>
      <x:c r="H4302" t="str">
        <x:v>C</x:v>
      </x:c>
      <x:c r="I4302" t="str">
        <x:v>4-6 years</x:v>
      </x:c>
      <x:c r="J4302" t="str">
        <x:v>RENT</x:v>
      </x:c>
      <x:c r="K4302" t="str">
        <x:v>debt_consolidation</x:v>
      </x:c>
      <x:c r="L4302" t="n">
        <x:v>0</x:v>
      </x:c>
      <x:c r="M4302" t="n">
        <x:v>0</x:v>
      </x:c>
      <x:c r="N4302" t="str">
        <x:v>Fully Paid</x:v>
      </x:c>
      <x:c r="O4302" t="str">
        <x:f>IF(D4302="","Unknown",IF(D4302&lt;25000,"&lt;$25k",IF(D4302&lt;50000,"$25k-$50k",IF(D4302&lt;75000,"$50k-$75k",IF(D4302&lt;100000,"$75k-$100k","$100k+")))))</x:f>
        <x:v>$50k-$75k</x:v>
      </x:c>
      <x:c r="P4302" t="str">
        <x:f>IF(E4302="","Unknown",IF(E4302&lt;10,"&lt;10",IF(E4302&lt;20,"10-&lt;20",IF(E4302&lt;25,"20-&lt;25",IF(E4302&lt;35,"25-&lt;35","35+")))))</x:f>
        <x:v>25-&lt;35</x:v>
      </x:c>
    </x:row>
    <x:row r="4303">
      <x:c r="A4303" t="str">
        <x:v>SYN0004302</x:v>
      </x:c>
      <x:c r="B4303" s="12" t="n">
        <x:v>41605</x:v>
      </x:c>
      <x:c r="C4303" s="18" t="n">
        <x:v>11632</x:v>
      </x:c>
      <x:c r="D4303" s="18" t="n">
        <x:v>72970</x:v>
      </x:c>
      <x:c r="E4303" s="18" t="n">
        <x:v>19.79</x:v>
      </x:c>
      <x:c r="F4303" s="18" t="n">
        <x:v>18.06</x:v>
      </x:c>
      <x:c r="G4303" t="n">
        <x:v>36</x:v>
      </x:c>
      <x:c r="H4303" t="str">
        <x:v>E</x:v>
      </x:c>
      <x:c r="I4303" t="str">
        <x:v>10+ years</x:v>
      </x:c>
      <x:c r="J4303" t="str">
        <x:v>MORTGAGE</x:v>
      </x:c>
      <x:c r="K4303" t="str">
        <x:v>debt_consolidation</x:v>
      </x:c>
      <x:c r="L4303" t="n">
        <x:v>0</x:v>
      </x:c>
      <x:c r="M4303" t="n">
        <x:v>0</x:v>
      </x:c>
      <x:c r="N4303" t="str">
        <x:v>Fully Paid</x:v>
      </x:c>
      <x:c r="O4303" t="str">
        <x:f>IF(D4303="","Unknown",IF(D4303&lt;25000,"&lt;$25k",IF(D4303&lt;50000,"$25k-$50k",IF(D4303&lt;75000,"$50k-$75k",IF(D4303&lt;100000,"$75k-$100k","$100k+")))))</x:f>
        <x:v>$50k-$75k</x:v>
      </x:c>
      <x:c r="P4303" t="str">
        <x:f>IF(E4303="","Unknown",IF(E4303&lt;10,"&lt;10",IF(E4303&lt;20,"10-&lt;20",IF(E4303&lt;25,"20-&lt;25",IF(E4303&lt;35,"25-&lt;35","35+")))))</x:f>
        <x:v>10-&lt;20</x:v>
      </x:c>
    </x:row>
    <x:row r="4304">
      <x:c r="A4304" t="str">
        <x:v>SYN0004303</x:v>
      </x:c>
      <x:c r="B4304" s="12" t="n">
        <x:v>42925</x:v>
      </x:c>
      <x:c r="C4304" s="18" t="n">
        <x:v>9590</x:v>
      </x:c>
      <x:c r="D4304" s="18" t="n">
        <x:v>33820</x:v>
      </x:c>
      <x:c r="E4304" s="18" t="n">
        <x:v>20.24</x:v>
      </x:c>
      <x:c r="F4304" s="18" t="n">
        <x:v>11.19</x:v>
      </x:c>
      <x:c r="G4304" t="n">
        <x:v>36</x:v>
      </x:c>
      <x:c r="H4304" t="str">
        <x:v>C</x:v>
      </x:c>
      <x:c r="I4304" t="str">
        <x:v>10+ years</x:v>
      </x:c>
      <x:c r="J4304" t="str">
        <x:v>MORTGAGE</x:v>
      </x:c>
      <x:c r="K4304" t="str">
        <x:v>debt_consolidation</x:v>
      </x:c>
      <x:c r="L4304" t="n">
        <x:v>0</x:v>
      </x:c>
      <x:c r="M4304" t="n">
        <x:v>0</x:v>
      </x:c>
      <x:c r="N4304" t="str">
        <x:v>Fully Paid</x:v>
      </x:c>
      <x:c r="O4304" t="str">
        <x:f>IF(D4304="","Unknown",IF(D4304&lt;25000,"&lt;$25k",IF(D4304&lt;50000,"$25k-$50k",IF(D4304&lt;75000,"$50k-$75k",IF(D4304&lt;100000,"$75k-$100k","$100k+")))))</x:f>
        <x:v>$25k-$50k</x:v>
      </x:c>
      <x:c r="P4304" t="str">
        <x:f>IF(E4304="","Unknown",IF(E4304&lt;10,"&lt;10",IF(E4304&lt;20,"10-&lt;20",IF(E4304&lt;25,"20-&lt;25",IF(E4304&lt;35,"25-&lt;35","35+")))))</x:f>
        <x:v>20-&lt;25</x:v>
      </x:c>
    </x:row>
    <x:row r="4305">
      <x:c r="A4305" t="str">
        <x:v>SYN0004304</x:v>
      </x:c>
      <x:c r="B4305" s="12" t="n">
        <x:v>42475</x:v>
      </x:c>
      <x:c r="C4305" s="18" t="n">
        <x:v>11837</x:v>
      </x:c>
      <x:c r="D4305" s="18" t="n">
        <x:v>72665</x:v>
      </x:c>
      <x:c r="E4305" s="18" t="n">
        <x:v>17.81</x:v>
      </x:c>
      <x:c r="F4305" s="18" t="n">
        <x:v>7.5</x:v>
      </x:c>
      <x:c r="G4305" t="n">
        <x:v>36</x:v>
      </x:c>
      <x:c r="H4305" t="str">
        <x:v>A</x:v>
      </x:c>
      <x:c r="I4305" t="str">
        <x:v>10+ years</x:v>
      </x:c>
      <x:c r="J4305" t="str">
        <x:v>RENT</x:v>
      </x:c>
      <x:c r="K4305" t="str">
        <x:v>debt_consolidation</x:v>
      </x:c>
      <x:c r="L4305" t="n">
        <x:v>0</x:v>
      </x:c>
      <x:c r="M4305" t="n">
        <x:v>0</x:v>
      </x:c>
      <x:c r="N4305" t="str">
        <x:v>Fully Paid</x:v>
      </x:c>
      <x:c r="O4305" t="str">
        <x:f>IF(D4305="","Unknown",IF(D4305&lt;25000,"&lt;$25k",IF(D4305&lt;50000,"$25k-$50k",IF(D4305&lt;75000,"$50k-$75k",IF(D4305&lt;100000,"$75k-$100k","$100k+")))))</x:f>
        <x:v>$50k-$75k</x:v>
      </x:c>
      <x:c r="P4305" t="str">
        <x:f>IF(E4305="","Unknown",IF(E4305&lt;10,"&lt;10",IF(E4305&lt;20,"10-&lt;20",IF(E4305&lt;25,"20-&lt;25",IF(E4305&lt;35,"25-&lt;35","35+")))))</x:f>
        <x:v>10-&lt;20</x:v>
      </x:c>
    </x:row>
    <x:row r="4306">
      <x:c r="A4306" t="str">
        <x:v>SYN0004305</x:v>
      </x:c>
      <x:c r="B4306" s="12" t="n">
        <x:v>42955</x:v>
      </x:c>
      <x:c r="C4306" s="18" t="n">
        <x:v>12561</x:v>
      </x:c>
      <x:c r="D4306" s="18" t="n">
        <x:v>21323</x:v>
      </x:c>
      <x:c r="E4306" s="18" t="n">
        <x:v>29.49</x:v>
      </x:c>
      <x:c r="F4306" s="18" t="n">
        <x:v>11.04</x:v>
      </x:c>
      <x:c r="G4306" t="n">
        <x:v>36</x:v>
      </x:c>
      <x:c r="H4306" t="str">
        <x:v>B</x:v>
      </x:c>
      <x:c r="I4306" t="str">
        <x:v>10+ years</x:v>
      </x:c>
      <x:c r="J4306" t="str">
        <x:v>RENT</x:v>
      </x:c>
      <x:c r="K4306" t="str">
        <x:v>debt_consolidation</x:v>
      </x:c>
      <x:c r="L4306" t="n">
        <x:v>1</x:v>
      </x:c>
      <x:c r="M4306" t="n">
        <x:v>0</x:v>
      </x:c>
      <x:c r="N4306" t="str">
        <x:v>Fully Paid</x:v>
      </x:c>
      <x:c r="O4306" t="str">
        <x:f>IF(D4306="","Unknown",IF(D4306&lt;25000,"&lt;$25k",IF(D4306&lt;50000,"$25k-$50k",IF(D4306&lt;75000,"$50k-$75k",IF(D4306&lt;100000,"$75k-$100k","$100k+")))))</x:f>
        <x:v>&lt;$25k</x:v>
      </x:c>
      <x:c r="P4306" t="str">
        <x:f>IF(E4306="","Unknown",IF(E4306&lt;10,"&lt;10",IF(E4306&lt;20,"10-&lt;20",IF(E4306&lt;25,"20-&lt;25",IF(E4306&lt;35,"25-&lt;35","35+")))))</x:f>
        <x:v>25-&lt;35</x:v>
      </x:c>
    </x:row>
    <x:row r="4307">
      <x:c r="A4307" t="str">
        <x:v>SYN0004306</x:v>
      </x:c>
      <x:c r="B4307" s="12" t="n">
        <x:v>41275</x:v>
      </x:c>
      <x:c r="C4307" s="18" t="n">
        <x:v>17880</x:v>
      </x:c>
      <x:c r="D4307" s="18" t="n">
        <x:v>59273</x:v>
      </x:c>
      <x:c r="E4307" s="18" t="n">
        <x:v>17.47</x:v>
      </x:c>
      <x:c r="F4307" s="18" t="n">
        <x:v>11.02</x:v>
      </x:c>
      <x:c r="G4307" t="n">
        <x:v>36</x:v>
      </x:c>
      <x:c r="H4307" t="str">
        <x:v>C</x:v>
      </x:c>
      <x:c r="I4307" t="str">
        <x:v>1-3 years</x:v>
      </x:c>
      <x:c r="J4307" t="str">
        <x:v>OWN</x:v>
      </x:c>
      <x:c r="K4307" t="str">
        <x:v>credit_card</x:v>
      </x:c>
      <x:c r="L4307" t="n">
        <x:v>2</x:v>
      </x:c>
      <x:c r="M4307" t="n">
        <x:v>0</x:v>
      </x:c>
      <x:c r="N4307" t="str">
        <x:v>Fully Paid</x:v>
      </x:c>
      <x:c r="O4307" t="str">
        <x:f>IF(D4307="","Unknown",IF(D4307&lt;25000,"&lt;$25k",IF(D4307&lt;50000,"$25k-$50k",IF(D4307&lt;75000,"$50k-$75k",IF(D4307&lt;100000,"$75k-$100k","$100k+")))))</x:f>
        <x:v>$50k-$75k</x:v>
      </x:c>
      <x:c r="P4307" t="str">
        <x:f>IF(E4307="","Unknown",IF(E4307&lt;10,"&lt;10",IF(E4307&lt;20,"10-&lt;20",IF(E4307&lt;25,"20-&lt;25",IF(E4307&lt;35,"25-&lt;35","35+")))))</x:f>
        <x:v>10-&lt;20</x:v>
      </x:c>
    </x:row>
    <x:row r="4308">
      <x:c r="A4308" t="str">
        <x:v>SYN0004307</x:v>
      </x:c>
      <x:c r="B4308" s="12" t="n">
        <x:v>41965</x:v>
      </x:c>
      <x:c r="C4308" s="18" t="n">
        <x:v>33511</x:v>
      </x:c>
      <x:c r="D4308" s="18" t="n">
        <x:v>60389</x:v>
      </x:c>
      <x:c r="E4308" s="18" t="n">
        <x:v>25.13</x:v>
      </x:c>
      <x:c r="F4308" s="18" t="n">
        <x:v>11.86</x:v>
      </x:c>
      <x:c r="G4308" t="n">
        <x:v>36</x:v>
      </x:c>
      <x:c r="H4308" t="str">
        <x:v>D</x:v>
      </x:c>
      <x:c r="I4308" t="str">
        <x:v>4-6 years</x:v>
      </x:c>
      <x:c r="J4308" t="str">
        <x:v>RENT</x:v>
      </x:c>
      <x:c r="K4308" t="str">
        <x:v>debt_consolidation</x:v>
      </x:c>
      <x:c r="L4308" t="n">
        <x:v>1</x:v>
      </x:c>
      <x:c r="M4308" t="n">
        <x:v>0</x:v>
      </x:c>
      <x:c r="N4308" t="str">
        <x:v>Fully Paid</x:v>
      </x:c>
      <x:c r="O4308" t="str">
        <x:f>IF(D4308="","Unknown",IF(D4308&lt;25000,"&lt;$25k",IF(D4308&lt;50000,"$25k-$50k",IF(D4308&lt;75000,"$50k-$75k",IF(D4308&lt;100000,"$75k-$100k","$100k+")))))</x:f>
        <x:v>$50k-$75k</x:v>
      </x:c>
      <x:c r="P4308" t="str">
        <x:f>IF(E4308="","Unknown",IF(E4308&lt;10,"&lt;10",IF(E4308&lt;20,"10-&lt;20",IF(E4308&lt;25,"20-&lt;25",IF(E4308&lt;35,"25-&lt;35","35+")))))</x:f>
        <x:v>25-&lt;35</x:v>
      </x:c>
    </x:row>
    <x:row r="4309">
      <x:c r="A4309" t="str">
        <x:v>SYN0004308</x:v>
      </x:c>
      <x:c r="B4309" s="12" t="n">
        <x:v>43165</x:v>
      </x:c>
      <x:c r="C4309" s="18" t="n">
        <x:v>24519</x:v>
      </x:c>
      <x:c r="D4309" s="18" t="n">
        <x:v>23271</x:v>
      </x:c>
      <x:c r="E4309" s="18" t="n">
        <x:v>27.98</x:v>
      </x:c>
      <x:c r="F4309" s="18" t="n">
        <x:v>12.75</x:v>
      </x:c>
      <x:c r="G4309" t="n">
        <x:v>60</x:v>
      </x:c>
      <x:c r="H4309" t="str">
        <x:v>D</x:v>
      </x:c>
      <x:c r="I4309" t="str">
        <x:v>1-3 years</x:v>
      </x:c>
      <x:c r="J4309" t="str">
        <x:v>RENT</x:v>
      </x:c>
      <x:c r="K4309" t="str">
        <x:v>major_purchase</x:v>
      </x:c>
      <x:c r="L4309" t="n">
        <x:v>0</x:v>
      </x:c>
      <x:c r="M4309" t="n">
        <x:v>1</x:v>
      </x:c>
      <x:c r="N4309" t="str">
        <x:v>Charged Off</x:v>
      </x:c>
      <x:c r="O4309" t="str">
        <x:f>IF(D4309="","Unknown",IF(D4309&lt;25000,"&lt;$25k",IF(D4309&lt;50000,"$25k-$50k",IF(D4309&lt;75000,"$50k-$75k",IF(D4309&lt;100000,"$75k-$100k","$100k+")))))</x:f>
        <x:v>&lt;$25k</x:v>
      </x:c>
      <x:c r="P4309" t="str">
        <x:f>IF(E4309="","Unknown",IF(E4309&lt;10,"&lt;10",IF(E4309&lt;20,"10-&lt;20",IF(E4309&lt;25,"20-&lt;25",IF(E4309&lt;35,"25-&lt;35","35+")))))</x:f>
        <x:v>25-&lt;35</x:v>
      </x:c>
    </x:row>
    <x:row r="4310">
      <x:c r="A4310" t="str">
        <x:v>SYN0004309</x:v>
      </x:c>
      <x:c r="B4310" s="12" t="n">
        <x:v>42085</x:v>
      </x:c>
      <x:c r="C4310" s="18" t="n">
        <x:v>24521</x:v>
      </x:c>
      <x:c r="D4310" s="18" t="n">
        <x:v>225735</x:v>
      </x:c>
      <x:c r="E4310" s="18" t="n">
        <x:v>25.51</x:v>
      </x:c>
      <x:c r="F4310" s="18" t="n">
        <x:v>15.09</x:v>
      </x:c>
      <x:c r="G4310" t="n">
        <x:v>36</x:v>
      </x:c>
      <x:c r="H4310" t="str">
        <x:v>D</x:v>
      </x:c>
      <x:c r="I4310" t="str">
        <x:v>&lt;1 year</x:v>
      </x:c>
      <x:c r="J4310" t="str">
        <x:v>OWN</x:v>
      </x:c>
      <x:c r="K4310" t="str">
        <x:v>debt_consolidation</x:v>
      </x:c>
      <x:c r="L4310" t="n">
        <x:v>0</x:v>
      </x:c>
      <x:c r="M4310" t="n">
        <x:v>0</x:v>
      </x:c>
      <x:c r="N4310" t="str">
        <x:v>Fully Paid</x:v>
      </x:c>
      <x:c r="O4310" t="str">
        <x:f>IF(D4310="","Unknown",IF(D4310&lt;25000,"&lt;$25k",IF(D4310&lt;50000,"$25k-$50k",IF(D4310&lt;75000,"$50k-$75k",IF(D4310&lt;100000,"$75k-$100k","$100k+")))))</x:f>
        <x:v>$100k+</x:v>
      </x:c>
      <x:c r="P4310" t="str">
        <x:f>IF(E4310="","Unknown",IF(E4310&lt;10,"&lt;10",IF(E4310&lt;20,"10-&lt;20",IF(E4310&lt;25,"20-&lt;25",IF(E4310&lt;35,"25-&lt;35","35+")))))</x:f>
        <x:v>25-&lt;35</x:v>
      </x:c>
    </x:row>
    <x:row r="4311">
      <x:c r="A4311" t="str">
        <x:v>SYN0004310</x:v>
      </x:c>
      <x:c r="B4311" s="12" t="n">
        <x:v>41995</x:v>
      </x:c>
      <x:c r="C4311" s="18" t="n">
        <x:v>8147</x:v>
      </x:c>
      <x:c r="D4311" s="18" t="n">
        <x:v>114545</x:v>
      </x:c>
      <x:c r="E4311" s="18" t="n">
        <x:v>17.19</x:v>
      </x:c>
      <x:c r="F4311" s="18" t="n">
        <x:v>13.02</x:v>
      </x:c>
      <x:c r="G4311" t="n">
        <x:v>36</x:v>
      </x:c>
      <x:c r="H4311" t="str">
        <x:v>C</x:v>
      </x:c>
      <x:c r="I4311" t="str">
        <x:v>1-3 years</x:v>
      </x:c>
      <x:c r="J4311" t="str">
        <x:v>MORTGAGE</x:v>
      </x:c>
      <x:c r="K4311" t="str">
        <x:v>debt_consolidation</x:v>
      </x:c>
      <x:c r="L4311" t="n">
        <x:v>0</x:v>
      </x:c>
      <x:c r="M4311" t="n">
        <x:v>0</x:v>
      </x:c>
      <x:c r="N4311" t="str">
        <x:v>Fully Paid</x:v>
      </x:c>
      <x:c r="O4311" t="str">
        <x:f>IF(D4311="","Unknown",IF(D4311&lt;25000,"&lt;$25k",IF(D4311&lt;50000,"$25k-$50k",IF(D4311&lt;75000,"$50k-$75k",IF(D4311&lt;100000,"$75k-$100k","$100k+")))))</x:f>
        <x:v>$100k+</x:v>
      </x:c>
      <x:c r="P4311" t="str">
        <x:f>IF(E4311="","Unknown",IF(E4311&lt;10,"&lt;10",IF(E4311&lt;20,"10-&lt;20",IF(E4311&lt;25,"20-&lt;25",IF(E4311&lt;35,"25-&lt;35","35+")))))</x:f>
        <x:v>10-&lt;20</x:v>
      </x:c>
    </x:row>
    <x:row r="4312">
      <x:c r="A4312" t="str">
        <x:v>SYN0004311</x:v>
      </x:c>
      <x:c r="B4312" s="12" t="n">
        <x:v>42955</x:v>
      </x:c>
      <x:c r="C4312" s="18" t="n">
        <x:v>9087</x:v>
      </x:c>
      <x:c r="D4312" s="18" t="n">
        <x:v>12563</x:v>
      </x:c>
      <x:c r="E4312" s="18" t="n">
        <x:v>19.95</x:v>
      </x:c>
      <x:c r="F4312" s="18" t="n">
        <x:v>7.76</x:v>
      </x:c>
      <x:c r="G4312" t="n">
        <x:v>36</x:v>
      </x:c>
      <x:c r="H4312" t="str">
        <x:v>B</x:v>
      </x:c>
      <x:c r="I4312" t="str">
        <x:v>7-9 years</x:v>
      </x:c>
      <x:c r="J4312" t="str">
        <x:v>RENT</x:v>
      </x:c>
      <x:c r="K4312" t="str">
        <x:v>debt_consolidation</x:v>
      </x:c>
      <x:c r="L4312" t="n">
        <x:v>0</x:v>
      </x:c>
      <x:c r="M4312" t="n">
        <x:v>0</x:v>
      </x:c>
      <x:c r="N4312" t="str">
        <x:v>Fully Paid</x:v>
      </x:c>
      <x:c r="O4312" t="str">
        <x:f>IF(D4312="","Unknown",IF(D4312&lt;25000,"&lt;$25k",IF(D4312&lt;50000,"$25k-$50k",IF(D4312&lt;75000,"$50k-$75k",IF(D4312&lt;100000,"$75k-$100k","$100k+")))))</x:f>
        <x:v>&lt;$25k</x:v>
      </x:c>
      <x:c r="P4312" t="str">
        <x:f>IF(E4312="","Unknown",IF(E4312&lt;10,"&lt;10",IF(E4312&lt;20,"10-&lt;20",IF(E4312&lt;25,"20-&lt;25",IF(E4312&lt;35,"25-&lt;35","35+")))))</x:f>
        <x:v>10-&lt;20</x:v>
      </x:c>
    </x:row>
    <x:row r="4313">
      <x:c r="A4313" t="str">
        <x:v>SYN0004312</x:v>
      </x:c>
      <x:c r="B4313" s="12" t="n">
        <x:v>41515</x:v>
      </x:c>
      <x:c r="C4313" s="18" t="n">
        <x:v>19776</x:v>
      </x:c>
      <x:c r="D4313" s="18" t="n">
        <x:v>98554</x:v>
      </x:c>
      <x:c r="E4313" s="18" t="n">
        <x:v>17.05</x:v>
      </x:c>
      <x:c r="F4313" s="18" t="n">
        <x:v>10.25</x:v>
      </x:c>
      <x:c r="G4313" t="n">
        <x:v>36</x:v>
      </x:c>
      <x:c r="H4313" t="str">
        <x:v>B</x:v>
      </x:c>
      <x:c r="I4313" t="str">
        <x:v>10+ years</x:v>
      </x:c>
      <x:c r="J4313" t="str">
        <x:v>OWN</x:v>
      </x:c>
      <x:c r="K4313" t="str">
        <x:v>debt_consolidation</x:v>
      </x:c>
      <x:c r="L4313" t="n">
        <x:v>0</x:v>
      </x:c>
      <x:c r="M4313" t="n">
        <x:v>0</x:v>
      </x:c>
      <x:c r="N4313" t="str">
        <x:v>Fully Paid</x:v>
      </x:c>
      <x:c r="O4313" t="str">
        <x:f>IF(D4313="","Unknown",IF(D4313&lt;25000,"&lt;$25k",IF(D4313&lt;50000,"$25k-$50k",IF(D4313&lt;75000,"$50k-$75k",IF(D4313&lt;100000,"$75k-$100k","$100k+")))))</x:f>
        <x:v>$75k-$100k</x:v>
      </x:c>
      <x:c r="P4313" t="str">
        <x:f>IF(E4313="","Unknown",IF(E4313&lt;10,"&lt;10",IF(E4313&lt;20,"10-&lt;20",IF(E4313&lt;25,"20-&lt;25",IF(E4313&lt;35,"25-&lt;35","35+")))))</x:f>
        <x:v>10-&lt;20</x:v>
      </x:c>
    </x:row>
    <x:row r="4314">
      <x:c r="A4314" t="str">
        <x:v>SYN0004313</x:v>
      </x:c>
      <x:c r="B4314" s="12" t="n">
        <x:v>42565</x:v>
      </x:c>
      <x:c r="C4314" s="18" t="n">
        <x:v>40000</x:v>
      </x:c>
      <x:c r="D4314" s="18" t="n">
        <x:v>22911</x:v>
      </x:c>
      <x:c r="E4314" s="18" t="n">
        <x:v>13.18</x:v>
      </x:c>
      <x:c r="F4314" s="18" t="n">
        <x:v>5</x:v>
      </x:c>
      <x:c r="G4314" t="n">
        <x:v>36</x:v>
      </x:c>
      <x:c r="H4314" t="str">
        <x:v>A</x:v>
      </x:c>
      <x:c r="I4314" t="str">
        <x:v>&lt;1 year</x:v>
      </x:c>
      <x:c r="J4314" t="str">
        <x:v>OWN</x:v>
      </x:c>
      <x:c r="K4314" t="str">
        <x:v>debt_consolidation</x:v>
      </x:c>
      <x:c r="L4314" t="n">
        <x:v>0</x:v>
      </x:c>
      <x:c r="M4314" t="n">
        <x:v>0</x:v>
      </x:c>
      <x:c r="N4314" t="str">
        <x:v>Fully Paid</x:v>
      </x:c>
      <x:c r="O4314" t="str">
        <x:f>IF(D4314="","Unknown",IF(D4314&lt;25000,"&lt;$25k",IF(D4314&lt;50000,"$25k-$50k",IF(D4314&lt;75000,"$50k-$75k",IF(D4314&lt;100000,"$75k-$100k","$100k+")))))</x:f>
        <x:v>&lt;$25k</x:v>
      </x:c>
      <x:c r="P4314" t="str">
        <x:f>IF(E4314="","Unknown",IF(E4314&lt;10,"&lt;10",IF(E4314&lt;20,"10-&lt;20",IF(E4314&lt;25,"20-&lt;25",IF(E4314&lt;35,"25-&lt;35","35+")))))</x:f>
        <x:v>10-&lt;20</x:v>
      </x:c>
    </x:row>
    <x:row r="4315">
      <x:c r="A4315" t="str">
        <x:v>SYN0004314</x:v>
      </x:c>
      <x:c r="B4315" s="12" t="n">
        <x:v>43255</x:v>
      </x:c>
      <x:c r="C4315" s="18" t="n">
        <x:v>7692</x:v>
      </x:c>
      <x:c r="D4315" s="18" t="n">
        <x:v>84540</x:v>
      </x:c>
      <x:c r="E4315" s="18" t="n">
        <x:v>15.22</x:v>
      </x:c>
      <x:c r="F4315" s="18" t="n">
        <x:v>25.89</x:v>
      </x:c>
      <x:c r="G4315" t="n">
        <x:v>36</x:v>
      </x:c>
      <x:c r="H4315" t="str">
        <x:v>G</x:v>
      </x:c>
      <x:c r="I4315" t="str">
        <x:v>10+ years</x:v>
      </x:c>
      <x:c r="J4315" t="str">
        <x:v>RENT</x:v>
      </x:c>
      <x:c r="K4315" t="str">
        <x:v>debt_consolidation</x:v>
      </x:c>
      <x:c r="L4315" t="n">
        <x:v>0</x:v>
      </x:c>
      <x:c r="M4315" t="n">
        <x:v>0</x:v>
      </x:c>
      <x:c r="N4315" t="str">
        <x:v>Fully Paid</x:v>
      </x:c>
      <x:c r="O4315" t="str">
        <x:f>IF(D4315="","Unknown",IF(D4315&lt;25000,"&lt;$25k",IF(D4315&lt;50000,"$25k-$50k",IF(D4315&lt;75000,"$50k-$75k",IF(D4315&lt;100000,"$75k-$100k","$100k+")))))</x:f>
        <x:v>$75k-$100k</x:v>
      </x:c>
      <x:c r="P4315" t="str">
        <x:f>IF(E4315="","Unknown",IF(E4315&lt;10,"&lt;10",IF(E4315&lt;20,"10-&lt;20",IF(E4315&lt;25,"20-&lt;25",IF(E4315&lt;35,"25-&lt;35","35+")))))</x:f>
        <x:v>10-&lt;20</x:v>
      </x:c>
    </x:row>
    <x:row r="4316">
      <x:c r="A4316" t="str">
        <x:v>SYN0004315</x:v>
      </x:c>
      <x:c r="B4316" s="12" t="n">
        <x:v>42085</x:v>
      </x:c>
      <x:c r="C4316" s="18" t="n">
        <x:v>17940</x:v>
      </x:c>
      <x:c r="D4316" s="18" t="n">
        <x:v>20386</x:v>
      </x:c>
      <x:c r="E4316" s="18" t="n">
        <x:v>8.98</x:v>
      </x:c>
      <x:c r="F4316" s="18" t="n">
        <x:v>13.28</x:v>
      </x:c>
      <x:c r="G4316" t="n">
        <x:v>60</x:v>
      </x:c>
      <x:c r="H4316" t="str">
        <x:v>D</x:v>
      </x:c>
      <x:c r="I4316" t="str">
        <x:v>10+ years</x:v>
      </x:c>
      <x:c r="J4316" t="str">
        <x:v>MORTGAGE</x:v>
      </x:c>
      <x:c r="K4316" t="str">
        <x:v>home_improvement</x:v>
      </x:c>
      <x:c r="L4316" t="n">
        <x:v>0</x:v>
      </x:c>
      <x:c r="M4316" t="n">
        <x:v>0</x:v>
      </x:c>
      <x:c r="N4316" t="str">
        <x:v>Fully Paid</x:v>
      </x:c>
      <x:c r="O4316" t="str">
        <x:f>IF(D4316="","Unknown",IF(D4316&lt;25000,"&lt;$25k",IF(D4316&lt;50000,"$25k-$50k",IF(D4316&lt;75000,"$50k-$75k",IF(D4316&lt;100000,"$75k-$100k","$100k+")))))</x:f>
        <x:v>&lt;$25k</x:v>
      </x:c>
      <x:c r="P4316" t="str">
        <x:f>IF(E4316="","Unknown",IF(E4316&lt;10,"&lt;10",IF(E4316&lt;20,"10-&lt;20",IF(E4316&lt;25,"20-&lt;25",IF(E4316&lt;35,"25-&lt;35","35+")))))</x:f>
        <x:v>&lt;10</x:v>
      </x:c>
    </x:row>
    <x:row r="4317">
      <x:c r="A4317" t="str">
        <x:v>SYN0004316</x:v>
      </x:c>
      <x:c r="B4317" s="12" t="n">
        <x:v>42355</x:v>
      </x:c>
      <x:c r="C4317" s="18" t="n">
        <x:v>12905</x:v>
      </x:c>
      <x:c r="D4317" s="18" t="n">
        <x:v>18444</x:v>
      </x:c>
      <x:c r="E4317" s="18" t="n">
        <x:v>37.1</x:v>
      </x:c>
      <x:c r="F4317" s="18" t="n">
        <x:v>9.53</x:v>
      </x:c>
      <x:c r="G4317" t="n">
        <x:v>60</x:v>
      </x:c>
      <x:c r="H4317" t="str">
        <x:v>C</x:v>
      </x:c>
      <x:c r="I4317" t="str">
        <x:v>10+ years</x:v>
      </x:c>
      <x:c r="J4317" t="str">
        <x:v>MORTGAGE</x:v>
      </x:c>
      <x:c r="K4317" t="str">
        <x:v>credit_card</x:v>
      </x:c>
      <x:c r="L4317" t="n">
        <x:v>1</x:v>
      </x:c>
      <x:c r="M4317" t="n">
        <x:v>1</x:v>
      </x:c>
      <x:c r="N4317" t="str">
        <x:v>Charged Off</x:v>
      </x:c>
      <x:c r="O4317" t="str">
        <x:f>IF(D4317="","Unknown",IF(D4317&lt;25000,"&lt;$25k",IF(D4317&lt;50000,"$25k-$50k",IF(D4317&lt;75000,"$50k-$75k",IF(D4317&lt;100000,"$75k-$100k","$100k+")))))</x:f>
        <x:v>&lt;$25k</x:v>
      </x:c>
      <x:c r="P4317" t="str">
        <x:f>IF(E4317="","Unknown",IF(E4317&lt;10,"&lt;10",IF(E4317&lt;20,"10-&lt;20",IF(E4317&lt;25,"20-&lt;25",IF(E4317&lt;35,"25-&lt;35","35+")))))</x:f>
        <x:v>35+</x:v>
      </x:c>
    </x:row>
    <x:row r="4318">
      <x:c r="A4318" t="str">
        <x:v>SYN0004317</x:v>
      </x:c>
      <x:c r="B4318" s="12" t="n">
        <x:v>41395</x:v>
      </x:c>
      <x:c r="C4318" s="18" t="n">
        <x:v>19249</x:v>
      </x:c>
      <x:c r="D4318" s="18" t="n">
        <x:v>98764</x:v>
      </x:c>
      <x:c r="E4318" s="18" t="n">
        <x:v>32.04</x:v>
      </x:c>
      <x:c r="F4318" s="18" t="n">
        <x:v>12.18</x:v>
      </x:c>
      <x:c r="G4318" t="n">
        <x:v>36</x:v>
      </x:c>
      <x:c r="H4318" t="str">
        <x:v>C</x:v>
      </x:c>
      <x:c r="I4318" t="str">
        <x:v>1-3 years</x:v>
      </x:c>
      <x:c r="J4318" t="str">
        <x:v>MORTGAGE</x:v>
      </x:c>
      <x:c r="K4318" t="str">
        <x:v>other</x:v>
      </x:c>
      <x:c r="L4318" t="n">
        <x:v>0</x:v>
      </x:c>
      <x:c r="M4318" t="n">
        <x:v>1</x:v>
      </x:c>
      <x:c r="N4318" t="str">
        <x:v>Charged Off</x:v>
      </x:c>
      <x:c r="O4318" t="str">
        <x:f>IF(D4318="","Unknown",IF(D4318&lt;25000,"&lt;$25k",IF(D4318&lt;50000,"$25k-$50k",IF(D4318&lt;75000,"$50k-$75k",IF(D4318&lt;100000,"$75k-$100k","$100k+")))))</x:f>
        <x:v>$75k-$100k</x:v>
      </x:c>
      <x:c r="P4318" t="str">
        <x:f>IF(E4318="","Unknown",IF(E4318&lt;10,"&lt;10",IF(E4318&lt;20,"10-&lt;20",IF(E4318&lt;25,"20-&lt;25",IF(E4318&lt;35,"25-&lt;35","35+")))))</x:f>
        <x:v>25-&lt;35</x:v>
      </x:c>
    </x:row>
    <x:row r="4319">
      <x:c r="A4319" t="str">
        <x:v>SYN0004318</x:v>
      </x:c>
      <x:c r="B4319" s="12" t="n">
        <x:v>42865</x:v>
      </x:c>
      <x:c r="C4319" s="18" t="n">
        <x:v>16073</x:v>
      </x:c>
      <x:c r="D4319" s="18" t="n">
        <x:v>86679</x:v>
      </x:c>
      <x:c r="E4319" s="18" t="n">
        <x:v>24.53</x:v>
      </x:c>
      <x:c r="F4319" s="18" t="n">
        <x:v>8.05</x:v>
      </x:c>
      <x:c r="G4319" t="n">
        <x:v>36</x:v>
      </x:c>
      <x:c r="H4319" t="str">
        <x:v>B</x:v>
      </x:c>
      <x:c r="I4319" t="str">
        <x:v>1-3 years</x:v>
      </x:c>
      <x:c r="J4319" t="str">
        <x:v>OTHER</x:v>
      </x:c>
      <x:c r="K4319" t="str">
        <x:v>credit_card</x:v>
      </x:c>
      <x:c r="L4319" t="n">
        <x:v>0</x:v>
      </x:c>
      <x:c r="M4319" t="n">
        <x:v>0</x:v>
      </x:c>
      <x:c r="N4319" t="str">
        <x:v>Fully Paid</x:v>
      </x:c>
      <x:c r="O4319" t="str">
        <x:f>IF(D4319="","Unknown",IF(D4319&lt;25000,"&lt;$25k",IF(D4319&lt;50000,"$25k-$50k",IF(D4319&lt;75000,"$50k-$75k",IF(D4319&lt;100000,"$75k-$100k","$100k+")))))</x:f>
        <x:v>$75k-$100k</x:v>
      </x:c>
      <x:c r="P4319" t="str">
        <x:f>IF(E4319="","Unknown",IF(E4319&lt;10,"&lt;10",IF(E4319&lt;20,"10-&lt;20",IF(E4319&lt;25,"20-&lt;25",IF(E4319&lt;35,"25-&lt;35","35+")))))</x:f>
        <x:v>20-&lt;25</x:v>
      </x:c>
    </x:row>
    <x:row r="4320">
      <x:c r="A4320" t="str">
        <x:v>SYN0004319</x:v>
      </x:c>
      <x:c r="B4320" s="12" t="n">
        <x:v>41875</x:v>
      </x:c>
      <x:c r="C4320" s="18" t="n">
        <x:v>12432</x:v>
      </x:c>
      <x:c r="D4320" s="18" t="n">
        <x:v>40193</x:v>
      </x:c>
      <x:c r="E4320" s="18" t="n">
        <x:v>21.74</x:v>
      </x:c>
      <x:c r="F4320" s="18" t="n">
        <x:v>17.69</x:v>
      </x:c>
      <x:c r="G4320" t="n">
        <x:v>36</x:v>
      </x:c>
      <x:c r="H4320" t="str">
        <x:v>E</x:v>
      </x:c>
      <x:c r="I4320" t="str">
        <x:v>7-9 years</x:v>
      </x:c>
      <x:c r="J4320" t="str">
        <x:v>MORTGAGE</x:v>
      </x:c>
      <x:c r="K4320" t="str">
        <x:v>credit_card</x:v>
      </x:c>
      <x:c r="L4320" t="n">
        <x:v>1</x:v>
      </x:c>
      <x:c r="M4320" t="n">
        <x:v>0</x:v>
      </x:c>
      <x:c r="N4320" t="str">
        <x:v>Fully Paid</x:v>
      </x:c>
      <x:c r="O4320" t="str">
        <x:f>IF(D4320="","Unknown",IF(D4320&lt;25000,"&lt;$25k",IF(D4320&lt;50000,"$25k-$50k",IF(D4320&lt;75000,"$50k-$75k",IF(D4320&lt;100000,"$75k-$100k","$100k+")))))</x:f>
        <x:v>$25k-$50k</x:v>
      </x:c>
      <x:c r="P4320" t="str">
        <x:f>IF(E4320="","Unknown",IF(E4320&lt;10,"&lt;10",IF(E4320&lt;20,"10-&lt;20",IF(E4320&lt;25,"20-&lt;25",IF(E4320&lt;35,"25-&lt;35","35+")))))</x:f>
        <x:v>20-&lt;25</x:v>
      </x:c>
    </x:row>
    <x:row r="4321">
      <x:c r="A4321" t="str">
        <x:v>SYN0004320</x:v>
      </x:c>
      <x:c r="B4321" s="12" t="n">
        <x:v>41875</x:v>
      </x:c>
      <x:c r="C4321" s="18" t="n">
        <x:v>12588</x:v>
      </x:c>
      <x:c r="D4321" s="18" t="n">
        <x:v>73328</x:v>
      </x:c>
      <x:c r="E4321" s="18" t="n">
        <x:v>28.21</x:v>
      </x:c>
      <x:c r="F4321" s="18" t="n">
        <x:v>13.93</x:v>
      </x:c>
      <x:c r="G4321" t="n">
        <x:v>36</x:v>
      </x:c>
      <x:c r="H4321" t="str">
        <x:v>D</x:v>
      </x:c>
      <x:c r="I4321" t="str">
        <x:v>&lt;1 year</x:v>
      </x:c>
      <x:c r="J4321" t="str">
        <x:v>MORTGAGE</x:v>
      </x:c>
      <x:c r="K4321" t="str">
        <x:v>other</x:v>
      </x:c>
      <x:c r="L4321" t="n">
        <x:v>0</x:v>
      </x:c>
      <x:c r="M4321" t="n">
        <x:v>1</x:v>
      </x:c>
      <x:c r="N4321" t="str">
        <x:v>Charged Off</x:v>
      </x:c>
      <x:c r="O4321" t="str">
        <x:f>IF(D4321="","Unknown",IF(D4321&lt;25000,"&lt;$25k",IF(D4321&lt;50000,"$25k-$50k",IF(D4321&lt;75000,"$50k-$75k",IF(D4321&lt;100000,"$75k-$100k","$100k+")))))</x:f>
        <x:v>$50k-$75k</x:v>
      </x:c>
      <x:c r="P4321" t="str">
        <x:f>IF(E4321="","Unknown",IF(E4321&lt;10,"&lt;10",IF(E4321&lt;20,"10-&lt;20",IF(E4321&lt;25,"20-&lt;25",IF(E4321&lt;35,"25-&lt;35","35+")))))</x:f>
        <x:v>25-&lt;35</x:v>
      </x:c>
    </x:row>
    <x:row r="4322">
      <x:c r="A4322" t="str">
        <x:v>SYN0004321</x:v>
      </x:c>
      <x:c r="B4322" s="12" t="n">
        <x:v>42865</x:v>
      </x:c>
      <x:c r="C4322" s="18" t="n">
        <x:v>12598</x:v>
      </x:c>
      <x:c r="D4322" s="18" t="n">
        <x:v>59166</x:v>
      </x:c>
      <x:c r="E4322" s="18" t="n">
        <x:v>10.09</x:v>
      </x:c>
      <x:c r="F4322" s="18" t="n">
        <x:v>11.58</x:v>
      </x:c>
      <x:c r="G4322" t="n">
        <x:v>36</x:v>
      </x:c>
      <x:c r="H4322" t="str">
        <x:v>D</x:v>
      </x:c>
      <x:c r="I4322" t="str">
        <x:v>4-6 years</x:v>
      </x:c>
      <x:c r="J4322" t="str">
        <x:v>MORTGAGE</x:v>
      </x:c>
      <x:c r="K4322" t="str">
        <x:v>debt_consolidation</x:v>
      </x:c>
      <x:c r="L4322" t="n">
        <x:v>0</x:v>
      </x:c>
      <x:c r="M4322" t="n">
        <x:v>0</x:v>
      </x:c>
      <x:c r="N4322" t="str">
        <x:v>Fully Paid</x:v>
      </x:c>
      <x:c r="O4322" t="str">
        <x:f>IF(D4322="","Unknown",IF(D4322&lt;25000,"&lt;$25k",IF(D4322&lt;50000,"$25k-$50k",IF(D4322&lt;75000,"$50k-$75k",IF(D4322&lt;100000,"$75k-$100k","$100k+")))))</x:f>
        <x:v>$50k-$75k</x:v>
      </x:c>
      <x:c r="P4322" t="str">
        <x:f>IF(E4322="","Unknown",IF(E4322&lt;10,"&lt;10",IF(E4322&lt;20,"10-&lt;20",IF(E4322&lt;25,"20-&lt;25",IF(E4322&lt;35,"25-&lt;35","35+")))))</x:f>
        <x:v>10-&lt;20</x:v>
      </x:c>
    </x:row>
    <x:row r="4323">
      <x:c r="A4323" t="str">
        <x:v>SYN0004322</x:v>
      </x:c>
      <x:c r="B4323" s="12" t="n">
        <x:v>41455</x:v>
      </x:c>
      <x:c r="C4323" s="18" t="n">
        <x:v>5881</x:v>
      </x:c>
      <x:c r="D4323" s="18" t="n">
        <x:v>98859</x:v>
      </x:c>
      <x:c r="E4323" s="18" t="n">
        <x:v>31.37</x:v>
      </x:c>
      <x:c r="F4323" s="18" t="n">
        <x:v>21.57</x:v>
      </x:c>
      <x:c r="G4323" t="n">
        <x:v>60</x:v>
      </x:c>
      <x:c r="H4323" t="str">
        <x:v>F</x:v>
      </x:c>
      <x:c r="I4323" t="str">
        <x:v>7-9 years</x:v>
      </x:c>
      <x:c r="J4323" t="str">
        <x:v>RENT</x:v>
      </x:c>
      <x:c r="K4323" t="str">
        <x:v>other</x:v>
      </x:c>
      <x:c r="L4323" t="n">
        <x:v>0</x:v>
      </x:c>
      <x:c r="M4323" t="n">
        <x:v>0</x:v>
      </x:c>
      <x:c r="N4323" t="str">
        <x:v>Fully Paid</x:v>
      </x:c>
      <x:c r="O4323" t="str">
        <x:f>IF(D4323="","Unknown",IF(D4323&lt;25000,"&lt;$25k",IF(D4323&lt;50000,"$25k-$50k",IF(D4323&lt;75000,"$50k-$75k",IF(D4323&lt;100000,"$75k-$100k","$100k+")))))</x:f>
        <x:v>$75k-$100k</x:v>
      </x:c>
      <x:c r="P4323" t="str">
        <x:f>IF(E4323="","Unknown",IF(E4323&lt;10,"&lt;10",IF(E4323&lt;20,"10-&lt;20",IF(E4323&lt;25,"20-&lt;25",IF(E4323&lt;35,"25-&lt;35","35+")))))</x:f>
        <x:v>25-&lt;35</x:v>
      </x:c>
    </x:row>
    <x:row r="4324">
      <x:c r="A4324" t="str">
        <x:v>SYN0004323</x:v>
      </x:c>
      <x:c r="B4324" s="12" t="n">
        <x:v>41575</x:v>
      </x:c>
      <x:c r="C4324" s="18" t="n">
        <x:v>30541</x:v>
      </x:c>
      <x:c r="D4324" s="18" t="n">
        <x:v>30773</x:v>
      </x:c>
      <x:c r="E4324" s="18" t="n">
        <x:v>20.29</x:v>
      </x:c>
      <x:c r="F4324" s="18" t="n">
        <x:v>8.37</x:v>
      </x:c>
      <x:c r="G4324" t="n">
        <x:v>36</x:v>
      </x:c>
      <x:c r="H4324" t="str">
        <x:v>C</x:v>
      </x:c>
      <x:c r="I4324" t="str">
        <x:v>10+ years</x:v>
      </x:c>
      <x:c r="J4324" t="str">
        <x:v>MORTGAGE</x:v>
      </x:c>
      <x:c r="K4324" t="str">
        <x:v>debt_consolidation</x:v>
      </x:c>
      <x:c r="L4324" t="n">
        <x:v>0</x:v>
      </x:c>
      <x:c r="M4324" t="n">
        <x:v>0</x:v>
      </x:c>
      <x:c r="N4324" t="str">
        <x:v>Fully Paid</x:v>
      </x:c>
      <x:c r="O4324" t="str">
        <x:f>IF(D4324="","Unknown",IF(D4324&lt;25000,"&lt;$25k",IF(D4324&lt;50000,"$25k-$50k",IF(D4324&lt;75000,"$50k-$75k",IF(D4324&lt;100000,"$75k-$100k","$100k+")))))</x:f>
        <x:v>$25k-$50k</x:v>
      </x:c>
      <x:c r="P4324" t="str">
        <x:f>IF(E4324="","Unknown",IF(E4324&lt;10,"&lt;10",IF(E4324&lt;20,"10-&lt;20",IF(E4324&lt;25,"20-&lt;25",IF(E4324&lt;35,"25-&lt;35","35+")))))</x:f>
        <x:v>20-&lt;25</x:v>
      </x:c>
    </x:row>
    <x:row r="4325">
      <x:c r="A4325" t="str">
        <x:v>SYN0004324</x:v>
      </x:c>
      <x:c r="B4325" s="12" t="n">
        <x:v>42385</x:v>
      </x:c>
      <x:c r="C4325" s="18" t="n">
        <x:v>15885</x:v>
      </x:c>
      <x:c r="D4325" s="18" t="n">
        <x:v>45718</x:v>
      </x:c>
      <x:c r="E4325" s="18" t="n">
        <x:v>32.71</x:v>
      </x:c>
      <x:c r="F4325" s="18" t="n">
        <x:v>6.14</x:v>
      </x:c>
      <x:c r="G4325" t="n">
        <x:v>36</x:v>
      </x:c>
      <x:c r="H4325" t="str">
        <x:v>A</x:v>
      </x:c>
      <x:c r="I4325" t="str">
        <x:v>4-6 years</x:v>
      </x:c>
      <x:c r="J4325" t="str">
        <x:v>MORTGAGE</x:v>
      </x:c>
      <x:c r="K4325" t="str">
        <x:v>debt_consolidation</x:v>
      </x:c>
      <x:c r="L4325" t="n">
        <x:v>0</x:v>
      </x:c>
      <x:c r="M4325" t="n">
        <x:v>0</x:v>
      </x:c>
      <x:c r="N4325" t="str">
        <x:v>Fully Paid</x:v>
      </x:c>
      <x:c r="O4325" t="str">
        <x:f>IF(D4325="","Unknown",IF(D4325&lt;25000,"&lt;$25k",IF(D4325&lt;50000,"$25k-$50k",IF(D4325&lt;75000,"$50k-$75k",IF(D4325&lt;100000,"$75k-$100k","$100k+")))))</x:f>
        <x:v>$25k-$50k</x:v>
      </x:c>
      <x:c r="P4325" t="str">
        <x:f>IF(E4325="","Unknown",IF(E4325&lt;10,"&lt;10",IF(E4325&lt;20,"10-&lt;20",IF(E4325&lt;25,"20-&lt;25",IF(E4325&lt;35,"25-&lt;35","35+")))))</x:f>
        <x:v>25-&lt;35</x:v>
      </x:c>
    </x:row>
    <x:row r="4326">
      <x:c r="A4326" t="str">
        <x:v>SYN0004325</x:v>
      </x:c>
      <x:c r="B4326" s="12" t="n">
        <x:v>43255</x:v>
      </x:c>
      <x:c r="C4326" s="18" t="n">
        <x:v>9074</x:v>
      </x:c>
      <x:c r="D4326" s="18" t="n">
        <x:v>80523</x:v>
      </x:c>
      <x:c r="E4326" s="18" t="n">
        <x:v>14.55</x:v>
      </x:c>
      <x:c r="F4326" s="18" t="n">
        <x:v>8.56</x:v>
      </x:c>
      <x:c r="G4326" t="n">
        <x:v>36</x:v>
      </x:c>
      <x:c r="H4326" t="str">
        <x:v>B</x:v>
      </x:c>
      <x:c r="I4326" t="str">
        <x:v>4-6 years</x:v>
      </x:c>
      <x:c r="J4326" t="str">
        <x:v>MORTGAGE</x:v>
      </x:c>
      <x:c r="K4326" t="str">
        <x:v>credit_card</x:v>
      </x:c>
      <x:c r="L4326" t="n">
        <x:v>0</x:v>
      </x:c>
      <x:c r="M4326" t="n">
        <x:v>0</x:v>
      </x:c>
      <x:c r="N4326" t="str">
        <x:v>Fully Paid</x:v>
      </x:c>
      <x:c r="O4326" t="str">
        <x:f>IF(D4326="","Unknown",IF(D4326&lt;25000,"&lt;$25k",IF(D4326&lt;50000,"$25k-$50k",IF(D4326&lt;75000,"$50k-$75k",IF(D4326&lt;100000,"$75k-$100k","$100k+")))))</x:f>
        <x:v>$75k-$100k</x:v>
      </x:c>
      <x:c r="P4326" t="str">
        <x:f>IF(E4326="","Unknown",IF(E4326&lt;10,"&lt;10",IF(E4326&lt;20,"10-&lt;20",IF(E4326&lt;25,"20-&lt;25",IF(E4326&lt;35,"25-&lt;35","35+")))))</x:f>
        <x:v>10-&lt;20</x:v>
      </x:c>
    </x:row>
    <x:row r="4327">
      <x:c r="A4327" t="str">
        <x:v>SYN0004326</x:v>
      </x:c>
      <x:c r="B4327" s="12" t="n">
        <x:v>42625</x:v>
      </x:c>
      <x:c r="C4327" s="18" t="n">
        <x:v>12102</x:v>
      </x:c>
      <x:c r="D4327" s="18" t="n">
        <x:v>63624</x:v>
      </x:c>
      <x:c r="E4327" s="18" t="n">
        <x:v>14.9</x:v>
      </x:c>
      <x:c r="F4327" s="18" t="n">
        <x:v>9.97</x:v>
      </x:c>
      <x:c r="G4327" t="n">
        <x:v>60</x:v>
      </x:c>
      <x:c r="H4327" t="str">
        <x:v>C</x:v>
      </x:c>
      <x:c r="I4327" t="str">
        <x:v>10+ years</x:v>
      </x:c>
      <x:c r="J4327" t="str">
        <x:v>MORTGAGE</x:v>
      </x:c>
      <x:c r="K4327" t="str">
        <x:v>debt_consolidation</x:v>
      </x:c>
      <x:c r="L4327" t="n">
        <x:v>0</x:v>
      </x:c>
      <x:c r="M4327" t="n">
        <x:v>0</x:v>
      </x:c>
      <x:c r="N4327" t="str">
        <x:v>Fully Paid</x:v>
      </x:c>
      <x:c r="O4327" t="str">
        <x:f>IF(D4327="","Unknown",IF(D4327&lt;25000,"&lt;$25k",IF(D4327&lt;50000,"$25k-$50k",IF(D4327&lt;75000,"$50k-$75k",IF(D4327&lt;100000,"$75k-$100k","$100k+")))))</x:f>
        <x:v>$50k-$75k</x:v>
      </x:c>
      <x:c r="P4327" t="str">
        <x:f>IF(E4327="","Unknown",IF(E4327&lt;10,"&lt;10",IF(E4327&lt;20,"10-&lt;20",IF(E4327&lt;25,"20-&lt;25",IF(E4327&lt;35,"25-&lt;35","35+")))))</x:f>
        <x:v>10-&lt;20</x:v>
      </x:c>
    </x:row>
    <x:row r="4328">
      <x:c r="A4328" t="str">
        <x:v>SYN0004327</x:v>
      </x:c>
      <x:c r="B4328" s="12" t="n">
        <x:v>42715</x:v>
      </x:c>
      <x:c r="C4328" s="18" t="n">
        <x:v>27854</x:v>
      </x:c>
      <x:c r="D4328" s="18" t="n">
        <x:v>29187</x:v>
      </x:c>
      <x:c r="E4328" s="18" t="n">
        <x:v>19.33</x:v>
      </x:c>
      <x:c r="F4328" s="18" t="n">
        <x:v>8.34</x:v>
      </x:c>
      <x:c r="G4328" t="n">
        <x:v>36</x:v>
      </x:c>
      <x:c r="H4328" t="str">
        <x:v>A</x:v>
      </x:c>
      <x:c r="I4328" t="str">
        <x:v>4-6 years</x:v>
      </x:c>
      <x:c r="J4328" t="str">
        <x:v>MORTGAGE</x:v>
      </x:c>
      <x:c r="K4328" t="str">
        <x:v>debt_consolidation</x:v>
      </x:c>
      <x:c r="L4328" t="n">
        <x:v>0</x:v>
      </x:c>
      <x:c r="M4328" t="n">
        <x:v>0</x:v>
      </x:c>
      <x:c r="N4328" t="str">
        <x:v>Fully Paid</x:v>
      </x:c>
      <x:c r="O4328" t="str">
        <x:f>IF(D4328="","Unknown",IF(D4328&lt;25000,"&lt;$25k",IF(D4328&lt;50000,"$25k-$50k",IF(D4328&lt;75000,"$50k-$75k",IF(D4328&lt;100000,"$75k-$100k","$100k+")))))</x:f>
        <x:v>$25k-$50k</x:v>
      </x:c>
      <x:c r="P4328" t="str">
        <x:f>IF(E4328="","Unknown",IF(E4328&lt;10,"&lt;10",IF(E4328&lt;20,"10-&lt;20",IF(E4328&lt;25,"20-&lt;25",IF(E4328&lt;35,"25-&lt;35","35+")))))</x:f>
        <x:v>10-&lt;20</x:v>
      </x:c>
    </x:row>
    <x:row r="4329">
      <x:c r="A4329" t="str">
        <x:v>SYN0004328</x:v>
      </x:c>
      <x:c r="B4329" s="12" t="n">
        <x:v>42295</x:v>
      </x:c>
      <x:c r="C4329" s="18" t="n">
        <x:v>13217</x:v>
      </x:c>
      <x:c r="D4329" s="18" t="n">
        <x:v>17095</x:v>
      </x:c>
      <x:c r="E4329" s="18" t="n">
        <x:v>46.47</x:v>
      </x:c>
      <x:c r="F4329" s="18" t="n">
        <x:v>21.87</x:v>
      </x:c>
      <x:c r="G4329" t="n">
        <x:v>60</x:v>
      </x:c>
      <x:c r="H4329" t="str">
        <x:v>E</x:v>
      </x:c>
      <x:c r="I4329" t="str">
        <x:v>&lt;1 year</x:v>
      </x:c>
      <x:c r="J4329" t="str">
        <x:v>RENT</x:v>
      </x:c>
      <x:c r="K4329" t="str">
        <x:v>debt_consolidation</x:v>
      </x:c>
      <x:c r="L4329" t="n">
        <x:v>0</x:v>
      </x:c>
      <x:c r="M4329" t="n">
        <x:v>1</x:v>
      </x:c>
      <x:c r="N4329" t="str">
        <x:v>Charged Off</x:v>
      </x:c>
      <x:c r="O4329" t="str">
        <x:f>IF(D4329="","Unknown",IF(D4329&lt;25000,"&lt;$25k",IF(D4329&lt;50000,"$25k-$50k",IF(D4329&lt;75000,"$50k-$75k",IF(D4329&lt;100000,"$75k-$100k","$100k+")))))</x:f>
        <x:v>&lt;$25k</x:v>
      </x:c>
      <x:c r="P4329" t="str">
        <x:f>IF(E4329="","Unknown",IF(E4329&lt;10,"&lt;10",IF(E4329&lt;20,"10-&lt;20",IF(E4329&lt;25,"20-&lt;25",IF(E4329&lt;35,"25-&lt;35","35+")))))</x:f>
        <x:v>35+</x:v>
      </x:c>
    </x:row>
    <x:row r="4330">
      <x:c r="A4330" t="str">
        <x:v>SYN0004329</x:v>
      </x:c>
      <x:c r="B4330" s="12" t="n">
        <x:v>42475</x:v>
      </x:c>
      <x:c r="C4330" s="18" t="n">
        <x:v>10159</x:v>
      </x:c>
      <x:c r="D4330" s="18" t="n">
        <x:v>55357</x:v>
      </x:c>
      <x:c r="E4330" s="18" t="n">
        <x:v>10.37</x:v>
      </x:c>
      <x:c r="F4330" s="18" t="n">
        <x:v>12.13</x:v>
      </x:c>
      <x:c r="G4330" t="n">
        <x:v>60</x:v>
      </x:c>
      <x:c r="H4330" t="str">
        <x:v>B</x:v>
      </x:c>
      <x:c r="I4330" t="str">
        <x:v>4-6 years</x:v>
      </x:c>
      <x:c r="J4330" t="str">
        <x:v>RENT</x:v>
      </x:c>
      <x:c r="K4330" t="str">
        <x:v>major_purchase</x:v>
      </x:c>
      <x:c r="L4330" t="n">
        <x:v>0</x:v>
      </x:c>
      <x:c r="M4330" t="n">
        <x:v>0</x:v>
      </x:c>
      <x:c r="N4330" t="str">
        <x:v>Fully Paid</x:v>
      </x:c>
      <x:c r="O4330" t="str">
        <x:f>IF(D4330="","Unknown",IF(D4330&lt;25000,"&lt;$25k",IF(D4330&lt;50000,"$25k-$50k",IF(D4330&lt;75000,"$50k-$75k",IF(D4330&lt;100000,"$75k-$100k","$100k+")))))</x:f>
        <x:v>$50k-$75k</x:v>
      </x:c>
      <x:c r="P4330" t="str">
        <x:f>IF(E4330="","Unknown",IF(E4330&lt;10,"&lt;10",IF(E4330&lt;20,"10-&lt;20",IF(E4330&lt;25,"20-&lt;25",IF(E4330&lt;35,"25-&lt;35","35+")))))</x:f>
        <x:v>10-&lt;20</x:v>
      </x:c>
    </x:row>
    <x:row r="4331">
      <x:c r="A4331" t="str">
        <x:v>SYN0004330</x:v>
      </x:c>
      <x:c r="B4331" s="12" t="n">
        <x:v>41425</x:v>
      </x:c>
      <x:c r="C4331" s="18" t="n">
        <x:v>12736</x:v>
      </x:c>
      <x:c r="D4331" s="18" t="n">
        <x:v>55234</x:v>
      </x:c>
      <x:c r="E4331" s="18" t="n">
        <x:v>22</x:v>
      </x:c>
      <x:c r="F4331" s="18" t="n">
        <x:v>6.87</x:v>
      </x:c>
      <x:c r="G4331" t="n">
        <x:v>60</x:v>
      </x:c>
      <x:c r="H4331" t="str">
        <x:v>B</x:v>
      </x:c>
      <x:c r="I4331" t="str">
        <x:v>10+ years</x:v>
      </x:c>
      <x:c r="J4331" t="str">
        <x:v>RENT</x:v>
      </x:c>
      <x:c r="K4331" t="str">
        <x:v>credit_card</x:v>
      </x:c>
      <x:c r="L4331" t="n">
        <x:v>0</x:v>
      </x:c>
      <x:c r="M4331" t="n">
        <x:v>0</x:v>
      </x:c>
      <x:c r="N4331" t="str">
        <x:v>Fully Paid</x:v>
      </x:c>
      <x:c r="O4331" t="str">
        <x:f>IF(D4331="","Unknown",IF(D4331&lt;25000,"&lt;$25k",IF(D4331&lt;50000,"$25k-$50k",IF(D4331&lt;75000,"$50k-$75k",IF(D4331&lt;100000,"$75k-$100k","$100k+")))))</x:f>
        <x:v>$50k-$75k</x:v>
      </x:c>
      <x:c r="P4331" t="str">
        <x:f>IF(E4331="","Unknown",IF(E4331&lt;10,"&lt;10",IF(E4331&lt;20,"10-&lt;20",IF(E4331&lt;25,"20-&lt;25",IF(E4331&lt;35,"25-&lt;35","35+")))))</x:f>
        <x:v>20-&lt;25</x:v>
      </x:c>
    </x:row>
    <x:row r="4332">
      <x:c r="A4332" t="str">
        <x:v>SYN0004331</x:v>
      </x:c>
      <x:c r="B4332" s="12" t="n">
        <x:v>43015</x:v>
      </x:c>
      <x:c r="C4332" s="18" t="n">
        <x:v>7723</x:v>
      </x:c>
      <x:c r="D4332" s="18" t="n">
        <x:v>181194</x:v>
      </x:c>
      <x:c r="E4332" s="18" t="n">
        <x:v>12.98</x:v>
      </x:c>
      <x:c r="F4332" s="18" t="n">
        <x:v>9.39</x:v>
      </x:c>
      <x:c r="G4332" t="n">
        <x:v>60</x:v>
      </x:c>
      <x:c r="H4332" t="str">
        <x:v>B</x:v>
      </x:c>
      <x:c r="I4332" t="str">
        <x:v>&lt;1 year</x:v>
      </x:c>
      <x:c r="J4332" t="str">
        <x:v>MORTGAGE</x:v>
      </x:c>
      <x:c r="K4332" t="str">
        <x:v>other</x:v>
      </x:c>
      <x:c r="L4332" t="n">
        <x:v>2</x:v>
      </x:c>
      <x:c r="M4332" t="n">
        <x:v>0</x:v>
      </x:c>
      <x:c r="N4332" t="str">
        <x:v>Fully Paid</x:v>
      </x:c>
      <x:c r="O4332" t="str">
        <x:f>IF(D4332="","Unknown",IF(D4332&lt;25000,"&lt;$25k",IF(D4332&lt;50000,"$25k-$50k",IF(D4332&lt;75000,"$50k-$75k",IF(D4332&lt;100000,"$75k-$100k","$100k+")))))</x:f>
        <x:v>$100k+</x:v>
      </x:c>
      <x:c r="P4332" t="str">
        <x:f>IF(E4332="","Unknown",IF(E4332&lt;10,"&lt;10",IF(E4332&lt;20,"10-&lt;20",IF(E4332&lt;25,"20-&lt;25",IF(E4332&lt;35,"25-&lt;35","35+")))))</x:f>
        <x:v>10-&lt;20</x:v>
      </x:c>
    </x:row>
    <x:row r="4333">
      <x:c r="A4333" t="str">
        <x:v>SYN0004332</x:v>
      </x:c>
      <x:c r="B4333" s="12" t="n">
        <x:v>41515</x:v>
      </x:c>
      <x:c r="C4333" s="18" t="n">
        <x:v>15366</x:v>
      </x:c>
      <x:c r="D4333" s="18" t="n">
        <x:v>22022</x:v>
      </x:c>
      <x:c r="E4333" s="18" t="n">
        <x:v>17.35</x:v>
      </x:c>
      <x:c r="F4333" s="18" t="n">
        <x:v>9.7</x:v>
      </x:c>
      <x:c r="G4333" t="n">
        <x:v>36</x:v>
      </x:c>
      <x:c r="H4333" t="str">
        <x:v>B</x:v>
      </x:c>
      <x:c r="I4333" t="str">
        <x:v>7-9 years</x:v>
      </x:c>
      <x:c r="J4333" t="str">
        <x:v>MORTGAGE</x:v>
      </x:c>
      <x:c r="K4333" t="str">
        <x:v>debt_consolidation</x:v>
      </x:c>
      <x:c r="L4333" t="n">
        <x:v>1</x:v>
      </x:c>
      <x:c r="M4333" t="n">
        <x:v>0</x:v>
      </x:c>
      <x:c r="N4333" t="str">
        <x:v>Fully Paid</x:v>
      </x:c>
      <x:c r="O4333" t="str">
        <x:f>IF(D4333="","Unknown",IF(D4333&lt;25000,"&lt;$25k",IF(D4333&lt;50000,"$25k-$50k",IF(D4333&lt;75000,"$50k-$75k",IF(D4333&lt;100000,"$75k-$100k","$100k+")))))</x:f>
        <x:v>&lt;$25k</x:v>
      </x:c>
      <x:c r="P4333" t="str">
        <x:f>IF(E4333="","Unknown",IF(E4333&lt;10,"&lt;10",IF(E4333&lt;20,"10-&lt;20",IF(E4333&lt;25,"20-&lt;25",IF(E4333&lt;35,"25-&lt;35","35+")))))</x:f>
        <x:v>10-&lt;20</x:v>
      </x:c>
    </x:row>
    <x:row r="4334">
      <x:c r="A4334" t="str">
        <x:v>SYN0004333</x:v>
      </x:c>
      <x:c r="B4334" s="12" t="n">
        <x:v>42445</x:v>
      </x:c>
      <x:c r="C4334" s="18" t="n">
        <x:v>15739</x:v>
      </x:c>
      <x:c r="D4334" s="18" t="n">
        <x:v>59115</x:v>
      </x:c>
      <x:c r="E4334" s="18" t="n">
        <x:v>22.5</x:v>
      </x:c>
      <x:c r="F4334" s="18" t="n">
        <x:v>8.05</x:v>
      </x:c>
      <x:c r="G4334" t="n">
        <x:v>36</x:v>
      </x:c>
      <x:c r="H4334" t="str">
        <x:v>A</x:v>
      </x:c>
      <x:c r="I4334" t="str">
        <x:v>7-9 years</x:v>
      </x:c>
      <x:c r="J4334" t="str">
        <x:v>MORTGAGE</x:v>
      </x:c>
      <x:c r="K4334" t="str">
        <x:v>home_improvement</x:v>
      </x:c>
      <x:c r="L4334" t="n">
        <x:v>0</x:v>
      </x:c>
      <x:c r="M4334" t="n">
        <x:v>0</x:v>
      </x:c>
      <x:c r="N4334" t="str">
        <x:v>Fully Paid</x:v>
      </x:c>
      <x:c r="O4334" t="str">
        <x:f>IF(D4334="","Unknown",IF(D4334&lt;25000,"&lt;$25k",IF(D4334&lt;50000,"$25k-$50k",IF(D4334&lt;75000,"$50k-$75k",IF(D4334&lt;100000,"$75k-$100k","$100k+")))))</x:f>
        <x:v>$50k-$75k</x:v>
      </x:c>
      <x:c r="P4334" t="str">
        <x:f>IF(E4334="","Unknown",IF(E4334&lt;10,"&lt;10",IF(E4334&lt;20,"10-&lt;20",IF(E4334&lt;25,"20-&lt;25",IF(E4334&lt;35,"25-&lt;35","35+")))))</x:f>
        <x:v>20-&lt;25</x:v>
      </x:c>
    </x:row>
    <x:row r="4335">
      <x:c r="A4335" t="str">
        <x:v>SYN0004334</x:v>
      </x:c>
      <x:c r="B4335" s="12" t="n">
        <x:v>43315</x:v>
      </x:c>
      <x:c r="C4335" s="18" t="n">
        <x:v>17207</x:v>
      </x:c>
      <x:c r="D4335" s="18" t="n">
        <x:v>35862</x:v>
      </x:c>
      <x:c r="E4335" s="18" t="n">
        <x:v>34.46</x:v>
      </x:c>
      <x:c r="F4335" s="18" t="n">
        <x:v>22.98</x:v>
      </x:c>
      <x:c r="G4335" t="n">
        <x:v>60</x:v>
      </x:c>
      <x:c r="H4335" t="str">
        <x:v>F</x:v>
      </x:c>
      <x:c r="I4335" t="str">
        <x:v>1-3 years</x:v>
      </x:c>
      <x:c r="J4335" t="str">
        <x:v>MORTGAGE</x:v>
      </x:c>
      <x:c r="K4335" t="str">
        <x:v>debt_consolidation</x:v>
      </x:c>
      <x:c r="L4335" t="n">
        <x:v>0</x:v>
      </x:c>
      <x:c r="M4335" t="n">
        <x:v>0</x:v>
      </x:c>
      <x:c r="N4335" t="str">
        <x:v>Fully Paid</x:v>
      </x:c>
      <x:c r="O4335" t="str">
        <x:f>IF(D4335="","Unknown",IF(D4335&lt;25000,"&lt;$25k",IF(D4335&lt;50000,"$25k-$50k",IF(D4335&lt;75000,"$50k-$75k",IF(D4335&lt;100000,"$75k-$100k","$100k+")))))</x:f>
        <x:v>$25k-$50k</x:v>
      </x:c>
      <x:c r="P4335" t="str">
        <x:f>IF(E4335="","Unknown",IF(E4335&lt;10,"&lt;10",IF(E4335&lt;20,"10-&lt;20",IF(E4335&lt;25,"20-&lt;25",IF(E4335&lt;35,"25-&lt;35","35+")))))</x:f>
        <x:v>25-&lt;35</x:v>
      </x:c>
    </x:row>
    <x:row r="4336">
      <x:c r="A4336" t="str">
        <x:v>SYN0004335</x:v>
      </x:c>
      <x:c r="B4336" s="12" t="n">
        <x:v>43345</x:v>
      </x:c>
      <x:c r="C4336" s="18" t="n">
        <x:v>17678</x:v>
      </x:c>
      <x:c r="D4336" s="18" t="n">
        <x:v>90084</x:v>
      </x:c>
      <x:c r="E4336" s="18" t="n">
        <x:v>44.92</x:v>
      </x:c>
      <x:c r="F4336" s="18" t="n">
        <x:v>22.06</x:v>
      </x:c>
      <x:c r="G4336" t="n">
        <x:v>60</x:v>
      </x:c>
      <x:c r="H4336" t="str">
        <x:v>F</x:v>
      </x:c>
      <x:c r="I4336" t="str">
        <x:v>4-6 years</x:v>
      </x:c>
      <x:c r="J4336" t="str">
        <x:v>MORTGAGE</x:v>
      </x:c>
      <x:c r="K4336" t="str">
        <x:v>debt_consolidation</x:v>
      </x:c>
      <x:c r="L4336" t="n">
        <x:v>0</x:v>
      </x:c>
      <x:c r="M4336" t="n">
        <x:v>0</x:v>
      </x:c>
      <x:c r="N4336" t="str">
        <x:v>Fully Paid</x:v>
      </x:c>
      <x:c r="O4336" t="str">
        <x:f>IF(D4336="","Unknown",IF(D4336&lt;25000,"&lt;$25k",IF(D4336&lt;50000,"$25k-$50k",IF(D4336&lt;75000,"$50k-$75k",IF(D4336&lt;100000,"$75k-$100k","$100k+")))))</x:f>
        <x:v>$75k-$100k</x:v>
      </x:c>
      <x:c r="P4336" t="str">
        <x:f>IF(E4336="","Unknown",IF(E4336&lt;10,"&lt;10",IF(E4336&lt;20,"10-&lt;20",IF(E4336&lt;25,"20-&lt;25",IF(E4336&lt;35,"25-&lt;35","35+")))))</x:f>
        <x:v>35+</x:v>
      </x:c>
    </x:row>
    <x:row r="4337">
      <x:c r="A4337" t="str">
        <x:v>SYN0004336</x:v>
      </x:c>
      <x:c r="B4337" s="12" t="n">
        <x:v>42715</x:v>
      </x:c>
      <x:c r="C4337" s="18" t="n">
        <x:v>14172</x:v>
      </x:c>
      <x:c r="D4337" s="18" t="n">
        <x:v>176464</x:v>
      </x:c>
      <x:c r="E4337" s="18" t="n">
        <x:v>25.73</x:v>
      </x:c>
      <x:c r="F4337" s="18" t="n">
        <x:v>25.2</x:v>
      </x:c>
      <x:c r="G4337" t="n">
        <x:v>36</x:v>
      </x:c>
      <x:c r="H4337" t="str">
        <x:v>G</x:v>
      </x:c>
      <x:c r="I4337" t="str">
        <x:v>10+ years</x:v>
      </x:c>
      <x:c r="J4337" t="str">
        <x:v>RENT</x:v>
      </x:c>
      <x:c r="K4337" t="str">
        <x:v>debt_consolidation</x:v>
      </x:c>
      <x:c r="L4337" t="n">
        <x:v>3</x:v>
      </x:c>
      <x:c r="M4337" t="n">
        <x:v>0</x:v>
      </x:c>
      <x:c r="N4337" t="str">
        <x:v>Fully Paid</x:v>
      </x:c>
      <x:c r="O4337" t="str">
        <x:f>IF(D4337="","Unknown",IF(D4337&lt;25000,"&lt;$25k",IF(D4337&lt;50000,"$25k-$50k",IF(D4337&lt;75000,"$50k-$75k",IF(D4337&lt;100000,"$75k-$100k","$100k+")))))</x:f>
        <x:v>$100k+</x:v>
      </x:c>
      <x:c r="P4337" t="str">
        <x:f>IF(E4337="","Unknown",IF(E4337&lt;10,"&lt;10",IF(E4337&lt;20,"10-&lt;20",IF(E4337&lt;25,"20-&lt;25",IF(E4337&lt;35,"25-&lt;35","35+")))))</x:f>
        <x:v>25-&lt;35</x:v>
      </x:c>
    </x:row>
    <x:row r="4338">
      <x:c r="A4338" t="str">
        <x:v>SYN0004337</x:v>
      </x:c>
      <x:c r="B4338" s="12" t="n">
        <x:v>42055</x:v>
      </x:c>
      <x:c r="C4338" s="18" t="n">
        <x:v>12300</x:v>
      </x:c>
      <x:c r="D4338" s="18" t="n">
        <x:v>118007</x:v>
      </x:c>
      <x:c r="E4338" s="18" t="n">
        <x:v>16.31</x:v>
      </x:c>
      <x:c r="F4338" s="18" t="n">
        <x:v>15.71</x:v>
      </x:c>
      <x:c r="G4338" t="n">
        <x:v>36</x:v>
      </x:c>
      <x:c r="H4338" t="str">
        <x:v>D</x:v>
      </x:c>
      <x:c r="I4338" t="str">
        <x:v>1-3 years</x:v>
      </x:c>
      <x:c r="J4338" t="str">
        <x:v>RENT</x:v>
      </x:c>
      <x:c r="K4338" t="str">
        <x:v>debt_consolidation</x:v>
      </x:c>
      <x:c r="L4338" t="n">
        <x:v>0</x:v>
      </x:c>
      <x:c r="M4338" t="n">
        <x:v>0</x:v>
      </x:c>
      <x:c r="N4338" t="str">
        <x:v>Fully Paid</x:v>
      </x:c>
      <x:c r="O4338" t="str">
        <x:f>IF(D4338="","Unknown",IF(D4338&lt;25000,"&lt;$25k",IF(D4338&lt;50000,"$25k-$50k",IF(D4338&lt;75000,"$50k-$75k",IF(D4338&lt;100000,"$75k-$100k","$100k+")))))</x:f>
        <x:v>$100k+</x:v>
      </x:c>
      <x:c r="P4338" t="str">
        <x:f>IF(E4338="","Unknown",IF(E4338&lt;10,"&lt;10",IF(E4338&lt;20,"10-&lt;20",IF(E4338&lt;25,"20-&lt;25",IF(E4338&lt;35,"25-&lt;35","35+")))))</x:f>
        <x:v>10-&lt;20</x:v>
      </x:c>
    </x:row>
    <x:row r="4339">
      <x:c r="A4339" t="str">
        <x:v>SYN0004338</x:v>
      </x:c>
      <x:c r="B4339" s="12" t="n">
        <x:v>42955</x:v>
      </x:c>
      <x:c r="C4339" s="18" t="n">
        <x:v>13116</x:v>
      </x:c>
      <x:c r="D4339" s="18" t="n">
        <x:v>38905</x:v>
      </x:c>
      <x:c r="E4339" s="18" t="n">
        <x:v>30.08</x:v>
      </x:c>
      <x:c r="F4339" s="18" t="n">
        <x:v>10.83</x:v>
      </x:c>
      <x:c r="G4339" t="n">
        <x:v>36</x:v>
      </x:c>
      <x:c r="H4339" t="str">
        <x:v>B</x:v>
      </x:c>
      <x:c r="I4339" t="str">
        <x:v>1-3 years</x:v>
      </x:c>
      <x:c r="J4339" t="str">
        <x:v>OWN</x:v>
      </x:c>
      <x:c r="K4339" t="str">
        <x:v>debt_consolidation</x:v>
      </x:c>
      <x:c r="L4339" t="n">
        <x:v>0</x:v>
      </x:c>
      <x:c r="M4339" t="n">
        <x:v>0</x:v>
      </x:c>
      <x:c r="N4339" t="str">
        <x:v>Fully Paid</x:v>
      </x:c>
      <x:c r="O4339" t="str">
        <x:f>IF(D4339="","Unknown",IF(D4339&lt;25000,"&lt;$25k",IF(D4339&lt;50000,"$25k-$50k",IF(D4339&lt;75000,"$50k-$75k",IF(D4339&lt;100000,"$75k-$100k","$100k+")))))</x:f>
        <x:v>$25k-$50k</x:v>
      </x:c>
      <x:c r="P4339" t="str">
        <x:f>IF(E4339="","Unknown",IF(E4339&lt;10,"&lt;10",IF(E4339&lt;20,"10-&lt;20",IF(E4339&lt;25,"20-&lt;25",IF(E4339&lt;35,"25-&lt;35","35+")))))</x:f>
        <x:v>25-&lt;35</x:v>
      </x:c>
    </x:row>
    <x:row r="4340">
      <x:c r="A4340" t="str">
        <x:v>SYN0004339</x:v>
      </x:c>
      <x:c r="B4340" s="12" t="n">
        <x:v>41785</x:v>
      </x:c>
      <x:c r="C4340" s="18" t="n">
        <x:v>8088</x:v>
      </x:c>
      <x:c r="D4340" s="18" t="n">
        <x:v>39744</x:v>
      </x:c>
      <x:c r="E4340" s="18" t="n">
        <x:v>16.6</x:v>
      </x:c>
      <x:c r="F4340" s="18" t="n">
        <x:v>13.4</x:v>
      </x:c>
      <x:c r="G4340" t="n">
        <x:v>60</x:v>
      </x:c>
      <x:c r="H4340" t="str">
        <x:v>C</x:v>
      </x:c>
      <x:c r="I4340" t="str">
        <x:v>1-3 years</x:v>
      </x:c>
      <x:c r="J4340" t="str">
        <x:v>MORTGAGE</x:v>
      </x:c>
      <x:c r="K4340" t="str">
        <x:v>home_improvement</x:v>
      </x:c>
      <x:c r="L4340" t="n">
        <x:v>0</x:v>
      </x:c>
      <x:c r="M4340" t="n">
        <x:v>0</x:v>
      </x:c>
      <x:c r="N4340" t="str">
        <x:v>Fully Paid</x:v>
      </x:c>
      <x:c r="O4340" t="str">
        <x:f>IF(D4340="","Unknown",IF(D4340&lt;25000,"&lt;$25k",IF(D4340&lt;50000,"$25k-$50k",IF(D4340&lt;75000,"$50k-$75k",IF(D4340&lt;100000,"$75k-$100k","$100k+")))))</x:f>
        <x:v>$25k-$50k</x:v>
      </x:c>
      <x:c r="P4340" t="str">
        <x:f>IF(E4340="","Unknown",IF(E4340&lt;10,"&lt;10",IF(E4340&lt;20,"10-&lt;20",IF(E4340&lt;25,"20-&lt;25",IF(E4340&lt;35,"25-&lt;35","35+")))))</x:f>
        <x:v>10-&lt;20</x:v>
      </x:c>
    </x:row>
    <x:row r="4341">
      <x:c r="A4341" t="str">
        <x:v>SYN0004340</x:v>
      </x:c>
      <x:c r="B4341" s="12" t="n">
        <x:v>43195</x:v>
      </x:c>
      <x:c r="C4341" s="18" t="n">
        <x:v>14186</x:v>
      </x:c>
      <x:c r="D4341" s="18" t="n">
        <x:v>207482</x:v>
      </x:c>
      <x:c r="E4341" s="18" t="n">
        <x:v>23.82</x:v>
      </x:c>
      <x:c r="F4341" s="18" t="n">
        <x:v>15.41</x:v>
      </x:c>
      <x:c r="G4341" t="n">
        <x:v>36</x:v>
      </x:c>
      <x:c r="H4341" t="str">
        <x:v>E</x:v>
      </x:c>
      <x:c r="I4341" t="str">
        <x:v>1-3 years</x:v>
      </x:c>
      <x:c r="J4341" t="str">
        <x:v>MORTGAGE</x:v>
      </x:c>
      <x:c r="K4341" t="str">
        <x:v>debt_consolidation</x:v>
      </x:c>
      <x:c r="L4341" t="n">
        <x:v>1</x:v>
      </x:c>
      <x:c r="M4341" t="n">
        <x:v>0</x:v>
      </x:c>
      <x:c r="N4341" t="str">
        <x:v>Fully Paid</x:v>
      </x:c>
      <x:c r="O4341" t="str">
        <x:f>IF(D4341="","Unknown",IF(D4341&lt;25000,"&lt;$25k",IF(D4341&lt;50000,"$25k-$50k",IF(D4341&lt;75000,"$50k-$75k",IF(D4341&lt;100000,"$75k-$100k","$100k+")))))</x:f>
        <x:v>$100k+</x:v>
      </x:c>
      <x:c r="P4341" t="str">
        <x:f>IF(E4341="","Unknown",IF(E4341&lt;10,"&lt;10",IF(E4341&lt;20,"10-&lt;20",IF(E4341&lt;25,"20-&lt;25",IF(E4341&lt;35,"25-&lt;35","35+")))))</x:f>
        <x:v>20-&lt;25</x:v>
      </x:c>
    </x:row>
    <x:row r="4342">
      <x:c r="A4342" t="str">
        <x:v>SYN0004341</x:v>
      </x:c>
      <x:c r="B4342" s="12" t="n">
        <x:v>42145</x:v>
      </x:c>
      <x:c r="C4342" s="18" t="n">
        <x:v>13768</x:v>
      </x:c>
      <x:c r="D4342" s="18" t="n">
        <x:v>116889</x:v>
      </x:c>
      <x:c r="E4342" s="18" t="n">
        <x:v>41</x:v>
      </x:c>
      <x:c r="F4342" s="18" t="n">
        <x:v>17.34</x:v>
      </x:c>
      <x:c r="G4342" t="n">
        <x:v>36</x:v>
      </x:c>
      <x:c r="H4342" t="str">
        <x:v>E</x:v>
      </x:c>
      <x:c r="I4342" t="str">
        <x:v>7-9 years</x:v>
      </x:c>
      <x:c r="J4342" t="str">
        <x:v>OWN</x:v>
      </x:c>
      <x:c r="K4342" t="str">
        <x:v>credit_card</x:v>
      </x:c>
      <x:c r="L4342" t="n">
        <x:v>0</x:v>
      </x:c>
      <x:c r="M4342" t="n">
        <x:v>0</x:v>
      </x:c>
      <x:c r="N4342" t="str">
        <x:v>Fully Paid</x:v>
      </x:c>
      <x:c r="O4342" t="str">
        <x:f>IF(D4342="","Unknown",IF(D4342&lt;25000,"&lt;$25k",IF(D4342&lt;50000,"$25k-$50k",IF(D4342&lt;75000,"$50k-$75k",IF(D4342&lt;100000,"$75k-$100k","$100k+")))))</x:f>
        <x:v>$100k+</x:v>
      </x:c>
      <x:c r="P4342" t="str">
        <x:f>IF(E4342="","Unknown",IF(E4342&lt;10,"&lt;10",IF(E4342&lt;20,"10-&lt;20",IF(E4342&lt;25,"20-&lt;25",IF(E4342&lt;35,"25-&lt;35","35+")))))</x:f>
        <x:v>35+</x:v>
      </x:c>
    </x:row>
    <x:row r="4343">
      <x:c r="A4343" t="str">
        <x:v>SYN0004342</x:v>
      </x:c>
      <x:c r="B4343" s="12" t="n">
        <x:v>41755</x:v>
      </x:c>
      <x:c r="C4343" s="18" t="n">
        <x:v>9888</x:v>
      </x:c>
      <x:c r="D4343" s="18" t="n">
        <x:v>14475</x:v>
      </x:c>
      <x:c r="E4343" s="18" t="n">
        <x:v>32.18</x:v>
      </x:c>
      <x:c r="F4343" s="18" t="n">
        <x:v>11.31</x:v>
      </x:c>
      <x:c r="G4343" t="n">
        <x:v>36</x:v>
      </x:c>
      <x:c r="H4343" t="str">
        <x:v>D</x:v>
      </x:c>
      <x:c r="I4343" t="str">
        <x:v>4-6 years</x:v>
      </x:c>
      <x:c r="J4343" t="str">
        <x:v>RENT</x:v>
      </x:c>
      <x:c r="K4343" t="str">
        <x:v>credit_card</x:v>
      </x:c>
      <x:c r="L4343" t="n">
        <x:v>1</x:v>
      </x:c>
      <x:c r="M4343" t="n">
        <x:v>0</x:v>
      </x:c>
      <x:c r="N4343" t="str">
        <x:v>Fully Paid</x:v>
      </x:c>
      <x:c r="O4343" t="str">
        <x:f>IF(D4343="","Unknown",IF(D4343&lt;25000,"&lt;$25k",IF(D4343&lt;50000,"$25k-$50k",IF(D4343&lt;75000,"$50k-$75k",IF(D4343&lt;100000,"$75k-$100k","$100k+")))))</x:f>
        <x:v>&lt;$25k</x:v>
      </x:c>
      <x:c r="P4343" t="str">
        <x:f>IF(E4343="","Unknown",IF(E4343&lt;10,"&lt;10",IF(E4343&lt;20,"10-&lt;20",IF(E4343&lt;25,"20-&lt;25",IF(E4343&lt;35,"25-&lt;35","35+")))))</x:f>
        <x:v>25-&lt;35</x:v>
      </x:c>
    </x:row>
    <x:row r="4344">
      <x:c r="A4344" t="str">
        <x:v>SYN0004343</x:v>
      </x:c>
      <x:c r="B4344" s="12" t="n">
        <x:v>41815</x:v>
      </x:c>
      <x:c r="C4344" s="18" t="n">
        <x:v>10517</x:v>
      </x:c>
      <x:c r="D4344" s="18" t="n">
        <x:v>44055</x:v>
      </x:c>
      <x:c r="E4344" s="18" t="n">
        <x:v>16.49</x:v>
      </x:c>
      <x:c r="F4344" s="18" t="n">
        <x:v>5.7</x:v>
      </x:c>
      <x:c r="G4344" t="n">
        <x:v>36</x:v>
      </x:c>
      <x:c r="H4344" t="str">
        <x:v>B</x:v>
      </x:c>
      <x:c r="I4344" t="str">
        <x:v>1-3 years</x:v>
      </x:c>
      <x:c r="J4344" t="str">
        <x:v>MORTGAGE</x:v>
      </x:c>
      <x:c r="K4344" t="str">
        <x:v>debt_consolidation</x:v>
      </x:c>
      <x:c r="L4344" t="n">
        <x:v>0</x:v>
      </x:c>
      <x:c r="M4344" t="n">
        <x:v>0</x:v>
      </x:c>
      <x:c r="N4344" t="str">
        <x:v>Fully Paid</x:v>
      </x:c>
      <x:c r="O4344" t="str">
        <x:f>IF(D4344="","Unknown",IF(D4344&lt;25000,"&lt;$25k",IF(D4344&lt;50000,"$25k-$50k",IF(D4344&lt;75000,"$50k-$75k",IF(D4344&lt;100000,"$75k-$100k","$100k+")))))</x:f>
        <x:v>$25k-$50k</x:v>
      </x:c>
      <x:c r="P4344" t="str">
        <x:f>IF(E4344="","Unknown",IF(E4344&lt;10,"&lt;10",IF(E4344&lt;20,"10-&lt;20",IF(E4344&lt;25,"20-&lt;25",IF(E4344&lt;35,"25-&lt;35","35+")))))</x:f>
        <x:v>10-&lt;20</x:v>
      </x:c>
    </x:row>
    <x:row r="4345">
      <x:c r="A4345" t="str">
        <x:v>SYN0004344</x:v>
      </x:c>
      <x:c r="B4345" s="12" t="n">
        <x:v>41425</x:v>
      </x:c>
      <x:c r="C4345" s="18" t="n">
        <x:v>11089</x:v>
      </x:c>
      <x:c r="D4345" s="18" t="n">
        <x:v>35672</x:v>
      </x:c>
      <x:c r="E4345" s="18" t="n">
        <x:v>21.82</x:v>
      </x:c>
      <x:c r="F4345" s="18" t="n">
        <x:v>29.26</x:v>
      </x:c>
      <x:c r="G4345" t="n">
        <x:v>60</x:v>
      </x:c>
      <x:c r="H4345" t="str">
        <x:v>G</x:v>
      </x:c>
      <x:c r="I4345" t="str">
        <x:v>7-9 years</x:v>
      </x:c>
      <x:c r="J4345" t="str">
        <x:v>MORTGAGE</x:v>
      </x:c>
      <x:c r="K4345" t="str">
        <x:v>major_purchase</x:v>
      </x:c>
      <x:c r="L4345" t="n">
        <x:v>0</x:v>
      </x:c>
      <x:c r="M4345" t="n">
        <x:v>0</x:v>
      </x:c>
      <x:c r="N4345" t="str">
        <x:v>Fully Paid</x:v>
      </x:c>
      <x:c r="O4345" t="str">
        <x:f>IF(D4345="","Unknown",IF(D4345&lt;25000,"&lt;$25k",IF(D4345&lt;50000,"$25k-$50k",IF(D4345&lt;75000,"$50k-$75k",IF(D4345&lt;100000,"$75k-$100k","$100k+")))))</x:f>
        <x:v>$25k-$50k</x:v>
      </x:c>
      <x:c r="P4345" t="str">
        <x:f>IF(E4345="","Unknown",IF(E4345&lt;10,"&lt;10",IF(E4345&lt;20,"10-&lt;20",IF(E4345&lt;25,"20-&lt;25",IF(E4345&lt;35,"25-&lt;35","35+")))))</x:f>
        <x:v>20-&lt;25</x:v>
      </x:c>
    </x:row>
    <x:row r="4346">
      <x:c r="A4346" t="str">
        <x:v>SYN0004345</x:v>
      </x:c>
      <x:c r="B4346" s="12" t="n">
        <x:v>42865</x:v>
      </x:c>
      <x:c r="C4346" s="18" t="n">
        <x:v>12089</x:v>
      </x:c>
      <x:c r="D4346" s="18" t="n">
        <x:v>35823</x:v>
      </x:c>
      <x:c r="E4346" s="18" t="n">
        <x:v>1.26</x:v>
      </x:c>
      <x:c r="F4346" s="18" t="n">
        <x:v>6.86</x:v>
      </x:c>
      <x:c r="G4346" t="n">
        <x:v>36</x:v>
      </x:c>
      <x:c r="H4346" t="str">
        <x:v>A</x:v>
      </x:c>
      <x:c r="I4346" t="str">
        <x:v>4-6 years</x:v>
      </x:c>
      <x:c r="J4346" t="str">
        <x:v>RENT</x:v>
      </x:c>
      <x:c r="K4346" t="str">
        <x:v>debt_consolidation</x:v>
      </x:c>
      <x:c r="L4346" t="n">
        <x:v>0</x:v>
      </x:c>
      <x:c r="M4346" t="n">
        <x:v>0</x:v>
      </x:c>
      <x:c r="N4346" t="str">
        <x:v>Fully Paid</x:v>
      </x:c>
      <x:c r="O4346" t="str">
        <x:f>IF(D4346="","Unknown",IF(D4346&lt;25000,"&lt;$25k",IF(D4346&lt;50000,"$25k-$50k",IF(D4346&lt;75000,"$50k-$75k",IF(D4346&lt;100000,"$75k-$100k","$100k+")))))</x:f>
        <x:v>$25k-$50k</x:v>
      </x:c>
      <x:c r="P4346" t="str">
        <x:f>IF(E4346="","Unknown",IF(E4346&lt;10,"&lt;10",IF(E4346&lt;20,"10-&lt;20",IF(E4346&lt;25,"20-&lt;25",IF(E4346&lt;35,"25-&lt;35","35+")))))</x:f>
        <x:v>&lt;10</x:v>
      </x:c>
    </x:row>
    <x:row r="4347">
      <x:c r="A4347" t="str">
        <x:v>SYN0004346</x:v>
      </x:c>
      <x:c r="B4347" s="12" t="n">
        <x:v>43075</x:v>
      </x:c>
      <x:c r="C4347" s="18" t="n">
        <x:v>9609</x:v>
      </x:c>
      <x:c r="D4347" s="18" t="n">
        <x:v>61550</x:v>
      </x:c>
      <x:c r="E4347" s="18" t="n">
        <x:v>8.28</x:v>
      </x:c>
      <x:c r="F4347" s="18" t="n">
        <x:v>9.53</x:v>
      </x:c>
      <x:c r="G4347" t="n">
        <x:v>36</x:v>
      </x:c>
      <x:c r="H4347" t="str">
        <x:v>B</x:v>
      </x:c>
      <x:c r="I4347" t="str">
        <x:v>10+ years</x:v>
      </x:c>
      <x:c r="J4347" t="str">
        <x:v>RENT</x:v>
      </x:c>
      <x:c r="K4347" t="str">
        <x:v>major_purchase</x:v>
      </x:c>
      <x:c r="L4347" t="n">
        <x:v>0</x:v>
      </x:c>
      <x:c r="M4347" t="n">
        <x:v>0</x:v>
      </x:c>
      <x:c r="N4347" t="str">
        <x:v>Fully Paid</x:v>
      </x:c>
      <x:c r="O4347" t="str">
        <x:f>IF(D4347="","Unknown",IF(D4347&lt;25000,"&lt;$25k",IF(D4347&lt;50000,"$25k-$50k",IF(D4347&lt;75000,"$50k-$75k",IF(D4347&lt;100000,"$75k-$100k","$100k+")))))</x:f>
        <x:v>$50k-$75k</x:v>
      </x:c>
      <x:c r="P4347" t="str">
        <x:f>IF(E4347="","Unknown",IF(E4347&lt;10,"&lt;10",IF(E4347&lt;20,"10-&lt;20",IF(E4347&lt;25,"20-&lt;25",IF(E4347&lt;35,"25-&lt;35","35+")))))</x:f>
        <x:v>&lt;10</x:v>
      </x:c>
    </x:row>
    <x:row r="4348">
      <x:c r="A4348" t="str">
        <x:v>SYN0004347</x:v>
      </x:c>
      <x:c r="B4348" s="12" t="n">
        <x:v>42145</x:v>
      </x:c>
      <x:c r="C4348" s="18" t="n">
        <x:v>29695</x:v>
      </x:c>
      <x:c r="D4348" s="18" t="n">
        <x:v>46460</x:v>
      </x:c>
      <x:c r="E4348" s="18" t="n">
        <x:v>13.16</x:v>
      </x:c>
      <x:c r="F4348" s="18" t="n">
        <x:v>5.91</x:v>
      </x:c>
      <x:c r="G4348" t="n">
        <x:v>36</x:v>
      </x:c>
      <x:c r="H4348" t="str">
        <x:v>A</x:v>
      </x:c>
      <x:c r="I4348" t="str">
        <x:v>&lt;1 year</x:v>
      </x:c>
      <x:c r="J4348" t="str">
        <x:v>RENT</x:v>
      </x:c>
      <x:c r="K4348" t="str">
        <x:v>debt_consolidation</x:v>
      </x:c>
      <x:c r="L4348" t="n">
        <x:v>1</x:v>
      </x:c>
      <x:c r="M4348" t="n">
        <x:v>0</x:v>
      </x:c>
      <x:c r="N4348" t="str">
        <x:v>Fully Paid</x:v>
      </x:c>
      <x:c r="O4348" t="str">
        <x:f>IF(D4348="","Unknown",IF(D4348&lt;25000,"&lt;$25k",IF(D4348&lt;50000,"$25k-$50k",IF(D4348&lt;75000,"$50k-$75k",IF(D4348&lt;100000,"$75k-$100k","$100k+")))))</x:f>
        <x:v>$25k-$50k</x:v>
      </x:c>
      <x:c r="P4348" t="str">
        <x:f>IF(E4348="","Unknown",IF(E4348&lt;10,"&lt;10",IF(E4348&lt;20,"10-&lt;20",IF(E4348&lt;25,"20-&lt;25",IF(E4348&lt;35,"25-&lt;35","35+")))))</x:f>
        <x:v>10-&lt;20</x:v>
      </x:c>
    </x:row>
    <x:row r="4349">
      <x:c r="A4349" t="str">
        <x:v>SYN0004348</x:v>
      </x:c>
      <x:c r="B4349" s="12" t="n">
        <x:v>41845</x:v>
      </x:c>
      <x:c r="C4349" s="18" t="n">
        <x:v>12730</x:v>
      </x:c>
      <x:c r="D4349" s="18" t="n">
        <x:v>66621</x:v>
      </x:c>
      <x:c r="E4349" s="18" t="n">
        <x:v>10.43</x:v>
      </x:c>
      <x:c r="F4349" s="18" t="n">
        <x:v>5.26</x:v>
      </x:c>
      <x:c r="G4349" t="n">
        <x:v>36</x:v>
      </x:c>
      <x:c r="H4349" t="str">
        <x:v>A</x:v>
      </x:c>
      <x:c r="I4349" t="str">
        <x:v>1-3 years</x:v>
      </x:c>
      <x:c r="J4349" t="str">
        <x:v>RENT</x:v>
      </x:c>
      <x:c r="K4349" t="str">
        <x:v>other</x:v>
      </x:c>
      <x:c r="L4349" t="n">
        <x:v>0</x:v>
      </x:c>
      <x:c r="M4349" t="n">
        <x:v>0</x:v>
      </x:c>
      <x:c r="N4349" t="str">
        <x:v>Fully Paid</x:v>
      </x:c>
      <x:c r="O4349" t="str">
        <x:f>IF(D4349="","Unknown",IF(D4349&lt;25000,"&lt;$25k",IF(D4349&lt;50000,"$25k-$50k",IF(D4349&lt;75000,"$50k-$75k",IF(D4349&lt;100000,"$75k-$100k","$100k+")))))</x:f>
        <x:v>$50k-$75k</x:v>
      </x:c>
      <x:c r="P4349" t="str">
        <x:f>IF(E4349="","Unknown",IF(E4349&lt;10,"&lt;10",IF(E4349&lt;20,"10-&lt;20",IF(E4349&lt;25,"20-&lt;25",IF(E4349&lt;35,"25-&lt;35","35+")))))</x:f>
        <x:v>10-&lt;20</x:v>
      </x:c>
    </x:row>
    <x:row r="4350">
      <x:c r="A4350" t="str">
        <x:v>SYN0004349</x:v>
      </x:c>
      <x:c r="B4350" s="12" t="n">
        <x:v>42985</x:v>
      </x:c>
      <x:c r="C4350" s="18" t="n">
        <x:v>11479</x:v>
      </x:c>
      <x:c r="D4350" s="18" t="n">
        <x:v>90527</x:v>
      </x:c>
      <x:c r="E4350" s="18" t="n">
        <x:v>13.65</x:v>
      </x:c>
      <x:c r="F4350" s="18" t="n">
        <x:v>17.74</x:v>
      </x:c>
      <x:c r="G4350" t="n">
        <x:v>36</x:v>
      </x:c>
      <x:c r="H4350" t="str">
        <x:v>E</x:v>
      </x:c>
      <x:c r="I4350" t="str">
        <x:v>1-3 years</x:v>
      </x:c>
      <x:c r="J4350" t="str">
        <x:v>OWN</x:v>
      </x:c>
      <x:c r="K4350" t="str">
        <x:v>debt_consolidation</x:v>
      </x:c>
      <x:c r="L4350" t="n">
        <x:v>1</x:v>
      </x:c>
      <x:c r="M4350" t="n">
        <x:v>0</x:v>
      </x:c>
      <x:c r="N4350" t="str">
        <x:v>Fully Paid</x:v>
      </x:c>
      <x:c r="O4350" t="str">
        <x:f>IF(D4350="","Unknown",IF(D4350&lt;25000,"&lt;$25k",IF(D4350&lt;50000,"$25k-$50k",IF(D4350&lt;75000,"$50k-$75k",IF(D4350&lt;100000,"$75k-$100k","$100k+")))))</x:f>
        <x:v>$75k-$100k</x:v>
      </x:c>
      <x:c r="P4350" t="str">
        <x:f>IF(E4350="","Unknown",IF(E4350&lt;10,"&lt;10",IF(E4350&lt;20,"10-&lt;20",IF(E4350&lt;25,"20-&lt;25",IF(E4350&lt;35,"25-&lt;35","35+")))))</x:f>
        <x:v>10-&lt;20</x:v>
      </x:c>
    </x:row>
    <x:row r="4351">
      <x:c r="A4351" t="str">
        <x:v>SYN0004350</x:v>
      </x:c>
      <x:c r="B4351" s="12" t="n">
        <x:v>43195</x:v>
      </x:c>
      <x:c r="C4351" s="18" t="n">
        <x:v>12205</x:v>
      </x:c>
      <x:c r="D4351" s="18" t="n">
        <x:v>56588</x:v>
      </x:c>
      <x:c r="E4351" s="18" t="n">
        <x:v>33.07</x:v>
      </x:c>
      <x:c r="F4351" s="18" t="n">
        <x:v>9.53</x:v>
      </x:c>
      <x:c r="G4351" t="n">
        <x:v>36</x:v>
      </x:c>
      <x:c r="H4351" t="str">
        <x:v>B</x:v>
      </x:c>
      <x:c r="I4351" t="str">
        <x:v>10+ years</x:v>
      </x:c>
      <x:c r="J4351" t="str">
        <x:v>MORTGAGE</x:v>
      </x:c>
      <x:c r="K4351" t="str">
        <x:v>home_improvement</x:v>
      </x:c>
      <x:c r="L4351" t="n">
        <x:v>0</x:v>
      </x:c>
      <x:c r="M4351" t="n">
        <x:v>0</x:v>
      </x:c>
      <x:c r="N4351" t="str">
        <x:v>Fully Paid</x:v>
      </x:c>
      <x:c r="O4351" t="str">
        <x:f>IF(D4351="","Unknown",IF(D4351&lt;25000,"&lt;$25k",IF(D4351&lt;50000,"$25k-$50k",IF(D4351&lt;75000,"$50k-$75k",IF(D4351&lt;100000,"$75k-$100k","$100k+")))))</x:f>
        <x:v>$50k-$75k</x:v>
      </x:c>
      <x:c r="P4351" t="str">
        <x:f>IF(E4351="","Unknown",IF(E4351&lt;10,"&lt;10",IF(E4351&lt;20,"10-&lt;20",IF(E4351&lt;25,"20-&lt;25",IF(E4351&lt;35,"25-&lt;35","35+")))))</x:f>
        <x:v>25-&lt;35</x:v>
      </x:c>
    </x:row>
    <x:row r="4352">
      <x:c r="A4352" t="str">
        <x:v>SYN0004351</x:v>
      </x:c>
      <x:c r="B4352" s="12" t="n">
        <x:v>42295</x:v>
      </x:c>
      <x:c r="C4352" s="18" t="n">
        <x:v>10655</x:v>
      </x:c>
      <x:c r="D4352" s="18" t="n">
        <x:v>24897</x:v>
      </x:c>
      <x:c r="E4352" s="18" t="n">
        <x:v>30.89</x:v>
      </x:c>
      <x:c r="F4352" s="18" t="n">
        <x:v>15.22</x:v>
      </x:c>
      <x:c r="G4352" t="n">
        <x:v>36</x:v>
      </x:c>
      <x:c r="H4352" t="str">
        <x:v>D</x:v>
      </x:c>
      <x:c r="I4352" t="str">
        <x:v>1-3 years</x:v>
      </x:c>
      <x:c r="J4352" t="str">
        <x:v>MORTGAGE</x:v>
      </x:c>
      <x:c r="K4352" t="str">
        <x:v>debt_consolidation</x:v>
      </x:c>
      <x:c r="L4352" t="n">
        <x:v>1</x:v>
      </x:c>
      <x:c r="M4352" t="n">
        <x:v>0</x:v>
      </x:c>
      <x:c r="N4352" t="str">
        <x:v>Fully Paid</x:v>
      </x:c>
      <x:c r="O4352" t="str">
        <x:f>IF(D4352="","Unknown",IF(D4352&lt;25000,"&lt;$25k",IF(D4352&lt;50000,"$25k-$50k",IF(D4352&lt;75000,"$50k-$75k",IF(D4352&lt;100000,"$75k-$100k","$100k+")))))</x:f>
        <x:v>&lt;$25k</x:v>
      </x:c>
      <x:c r="P4352" t="str">
        <x:f>IF(E4352="","Unknown",IF(E4352&lt;10,"&lt;10",IF(E4352&lt;20,"10-&lt;20",IF(E4352&lt;25,"20-&lt;25",IF(E4352&lt;35,"25-&lt;35","35+")))))</x:f>
        <x:v>25-&lt;35</x:v>
      </x:c>
    </x:row>
    <x:row r="4353">
      <x:c r="A4353" t="str">
        <x:v>SYN0004352</x:v>
      </x:c>
      <x:c r="B4353" s="12" t="n">
        <x:v>41875</x:v>
      </x:c>
      <x:c r="C4353" s="18" t="n">
        <x:v>17947</x:v>
      </x:c>
      <x:c r="D4353" s="18" t="n">
        <x:v>90847</x:v>
      </x:c>
      <x:c r="E4353" s="18" t="n">
        <x:v>15.52</x:v>
      </x:c>
      <x:c r="F4353" s="18" t="n">
        <x:v>10.29</x:v>
      </x:c>
      <x:c r="G4353" t="n">
        <x:v>36</x:v>
      </x:c>
      <x:c r="H4353" t="str">
        <x:v>C</x:v>
      </x:c>
      <x:c r="I4353" t="str">
        <x:v>7-9 years</x:v>
      </x:c>
      <x:c r="J4353" t="str">
        <x:v>OWN</x:v>
      </x:c>
      <x:c r="K4353" t="str">
        <x:v>home_improvement</x:v>
      </x:c>
      <x:c r="L4353" t="n">
        <x:v>1</x:v>
      </x:c>
      <x:c r="M4353" t="n">
        <x:v>0</x:v>
      </x:c>
      <x:c r="N4353" t="str">
        <x:v>Fully Paid</x:v>
      </x:c>
      <x:c r="O4353" t="str">
        <x:f>IF(D4353="","Unknown",IF(D4353&lt;25000,"&lt;$25k",IF(D4353&lt;50000,"$25k-$50k",IF(D4353&lt;75000,"$50k-$75k",IF(D4353&lt;100000,"$75k-$100k","$100k+")))))</x:f>
        <x:v>$75k-$100k</x:v>
      </x:c>
      <x:c r="P4353" t="str">
        <x:f>IF(E4353="","Unknown",IF(E4353&lt;10,"&lt;10",IF(E4353&lt;20,"10-&lt;20",IF(E4353&lt;25,"20-&lt;25",IF(E4353&lt;35,"25-&lt;35","35+")))))</x:f>
        <x:v>10-&lt;20</x:v>
      </x:c>
    </x:row>
    <x:row r="4354">
      <x:c r="A4354" t="str">
        <x:v>SYN0004353</x:v>
      </x:c>
      <x:c r="B4354" s="12" t="n">
        <x:v>41425</x:v>
      </x:c>
      <x:c r="C4354" s="18" t="n">
        <x:v>9068</x:v>
      </x:c>
      <x:c r="D4354" s="18" t="n">
        <x:v>41911</x:v>
      </x:c>
      <x:c r="E4354" s="18" t="n">
        <x:v>8.18</x:v>
      </x:c>
      <x:c r="F4354" s="18" t="n">
        <x:v>8.02</x:v>
      </x:c>
      <x:c r="G4354" t="n">
        <x:v>36</x:v>
      </x:c>
      <x:c r="H4354" t="str">
        <x:v>B</x:v>
      </x:c>
      <x:c r="I4354" t="str">
        <x:v>4-6 years</x:v>
      </x:c>
      <x:c r="J4354" t="str">
        <x:v>MORTGAGE</x:v>
      </x:c>
      <x:c r="K4354" t="str">
        <x:v>debt_consolidation</x:v>
      </x:c>
      <x:c r="L4354" t="n">
        <x:v>0</x:v>
      </x:c>
      <x:c r="M4354" t="n">
        <x:v>0</x:v>
      </x:c>
      <x:c r="N4354" t="str">
        <x:v>Fully Paid</x:v>
      </x:c>
      <x:c r="O4354" t="str">
        <x:f>IF(D4354="","Unknown",IF(D4354&lt;25000,"&lt;$25k",IF(D4354&lt;50000,"$25k-$50k",IF(D4354&lt;75000,"$50k-$75k",IF(D4354&lt;100000,"$75k-$100k","$100k+")))))</x:f>
        <x:v>$25k-$50k</x:v>
      </x:c>
      <x:c r="P4354" t="str">
        <x:f>IF(E4354="","Unknown",IF(E4354&lt;10,"&lt;10",IF(E4354&lt;20,"10-&lt;20",IF(E4354&lt;25,"20-&lt;25",IF(E4354&lt;35,"25-&lt;35","35+")))))</x:f>
        <x:v>&lt;10</x:v>
      </x:c>
    </x:row>
    <x:row r="4355">
      <x:c r="A4355" t="str">
        <x:v>SYN0004354</x:v>
      </x:c>
      <x:c r="B4355" s="12" t="n">
        <x:v>43165</x:v>
      </x:c>
      <x:c r="C4355" s="18" t="n">
        <x:v>17788</x:v>
      </x:c>
      <x:c r="D4355" s="18" t="n">
        <x:v>57457</x:v>
      </x:c>
      <x:c r="E4355" s="18" t="n">
        <x:v>20.96</x:v>
      </x:c>
      <x:c r="F4355" s="18" t="n">
        <x:v>8.15</x:v>
      </x:c>
      <x:c r="G4355" t="n">
        <x:v>36</x:v>
      </x:c>
      <x:c r="H4355" t="str">
        <x:v>B</x:v>
      </x:c>
      <x:c r="I4355" t="str">
        <x:v>10+ years</x:v>
      </x:c>
      <x:c r="J4355" t="str">
        <x:v>RENT</x:v>
      </x:c>
      <x:c r="K4355" t="str">
        <x:v>other</x:v>
      </x:c>
      <x:c r="L4355" t="n">
        <x:v>0</x:v>
      </x:c>
      <x:c r="M4355" t="n">
        <x:v>0</x:v>
      </x:c>
      <x:c r="N4355" t="str">
        <x:v>Fully Paid</x:v>
      </x:c>
      <x:c r="O4355" t="str">
        <x:f>IF(D4355="","Unknown",IF(D4355&lt;25000,"&lt;$25k",IF(D4355&lt;50000,"$25k-$50k",IF(D4355&lt;75000,"$50k-$75k",IF(D4355&lt;100000,"$75k-$100k","$100k+")))))</x:f>
        <x:v>$50k-$75k</x:v>
      </x:c>
      <x:c r="P4355" t="str">
        <x:f>IF(E4355="","Unknown",IF(E4355&lt;10,"&lt;10",IF(E4355&lt;20,"10-&lt;20",IF(E4355&lt;25,"20-&lt;25",IF(E4355&lt;35,"25-&lt;35","35+")))))</x:f>
        <x:v>20-&lt;25</x:v>
      </x:c>
    </x:row>
    <x:row r="4356">
      <x:c r="A4356" t="str">
        <x:v>SYN0004355</x:v>
      </x:c>
      <x:c r="B4356" s="12" t="n">
        <x:v>42835</x:v>
      </x:c>
      <x:c r="C4356" s="18" t="n">
        <x:v>12928</x:v>
      </x:c>
      <x:c r="D4356" s="18" t="n">
        <x:v>33331</x:v>
      </x:c>
      <x:c r="E4356" s="18" t="n">
        <x:v>18.09</x:v>
      </x:c>
      <x:c r="F4356" s="18" t="n">
        <x:v>14.44</x:v>
      </x:c>
      <x:c r="G4356" t="n">
        <x:v>36</x:v>
      </x:c>
      <x:c r="H4356" t="str">
        <x:v>D</x:v>
      </x:c>
      <x:c r="I4356" t="str">
        <x:v>10+ years</x:v>
      </x:c>
      <x:c r="J4356" t="str">
        <x:v>MORTGAGE</x:v>
      </x:c>
      <x:c r="K4356" t="str">
        <x:v>debt_consolidation</x:v>
      </x:c>
      <x:c r="L4356" t="n">
        <x:v>0</x:v>
      </x:c>
      <x:c r="M4356" t="n">
        <x:v>0</x:v>
      </x:c>
      <x:c r="N4356" t="str">
        <x:v>Fully Paid</x:v>
      </x:c>
      <x:c r="O4356" t="str">
        <x:f>IF(D4356="","Unknown",IF(D4356&lt;25000,"&lt;$25k",IF(D4356&lt;50000,"$25k-$50k",IF(D4356&lt;75000,"$50k-$75k",IF(D4356&lt;100000,"$75k-$100k","$100k+")))))</x:f>
        <x:v>$25k-$50k</x:v>
      </x:c>
      <x:c r="P4356" t="str">
        <x:f>IF(E4356="","Unknown",IF(E4356&lt;10,"&lt;10",IF(E4356&lt;20,"10-&lt;20",IF(E4356&lt;25,"20-&lt;25",IF(E4356&lt;35,"25-&lt;35","35+")))))</x:f>
        <x:v>10-&lt;20</x:v>
      </x:c>
    </x:row>
    <x:row r="4357">
      <x:c r="A4357" t="str">
        <x:v>SYN0004356</x:v>
      </x:c>
      <x:c r="B4357" s="12" t="n">
        <x:v>41725</x:v>
      </x:c>
      <x:c r="C4357" s="18" t="n">
        <x:v>13225</x:v>
      </x:c>
      <x:c r="D4357" s="18" t="n">
        <x:v>29784</x:v>
      </x:c>
      <x:c r="E4357" s="18" t="n">
        <x:v>25.99</x:v>
      </x:c>
      <x:c r="F4357" s="18" t="n">
        <x:v>10.27</x:v>
      </x:c>
      <x:c r="G4357" t="n">
        <x:v>36</x:v>
      </x:c>
      <x:c r="H4357" t="str">
        <x:v>B</x:v>
      </x:c>
      <x:c r="I4357" t="str">
        <x:v>10+ years</x:v>
      </x:c>
      <x:c r="J4357" t="str">
        <x:v>OWN</x:v>
      </x:c>
      <x:c r="K4357" t="str">
        <x:v>debt_consolidation</x:v>
      </x:c>
      <x:c r="L4357" t="n">
        <x:v>0</x:v>
      </x:c>
      <x:c r="M4357" t="n">
        <x:v>0</x:v>
      </x:c>
      <x:c r="N4357" t="str">
        <x:v>Fully Paid</x:v>
      </x:c>
      <x:c r="O4357" t="str">
        <x:f>IF(D4357="","Unknown",IF(D4357&lt;25000,"&lt;$25k",IF(D4357&lt;50000,"$25k-$50k",IF(D4357&lt;75000,"$50k-$75k",IF(D4357&lt;100000,"$75k-$100k","$100k+")))))</x:f>
        <x:v>$25k-$50k</x:v>
      </x:c>
      <x:c r="P4357" t="str">
        <x:f>IF(E4357="","Unknown",IF(E4357&lt;10,"&lt;10",IF(E4357&lt;20,"10-&lt;20",IF(E4357&lt;25,"20-&lt;25",IF(E4357&lt;35,"25-&lt;35","35+")))))</x:f>
        <x:v>25-&lt;35</x:v>
      </x:c>
    </x:row>
    <x:row r="4358">
      <x:c r="A4358" t="str">
        <x:v>SYN0004357</x:v>
      </x:c>
      <x:c r="B4358" s="12" t="n">
        <x:v>42355</x:v>
      </x:c>
      <x:c r="C4358" s="18" t="n">
        <x:v>21642</x:v>
      </x:c>
      <x:c r="D4358" s="18" t="n">
        <x:v>38646</x:v>
      </x:c>
      <x:c r="E4358" s="18" t="n">
        <x:v>22.74</x:v>
      </x:c>
      <x:c r="F4358" s="18" t="n">
        <x:v>10.13</x:v>
      </x:c>
      <x:c r="G4358" t="n">
        <x:v>36</x:v>
      </x:c>
      <x:c r="H4358" t="str">
        <x:v>B</x:v>
      </x:c>
      <x:c r="I4358" t="str">
        <x:v>4-6 years</x:v>
      </x:c>
      <x:c r="J4358" t="str">
        <x:v>OWN</x:v>
      </x:c>
      <x:c r="K4358" t="str">
        <x:v>home_improvement</x:v>
      </x:c>
      <x:c r="L4358" t="n">
        <x:v>1</x:v>
      </x:c>
      <x:c r="M4358" t="n">
        <x:v>0</x:v>
      </x:c>
      <x:c r="N4358" t="str">
        <x:v>Fully Paid</x:v>
      </x:c>
      <x:c r="O4358" t="str">
        <x:f>IF(D4358="","Unknown",IF(D4358&lt;25000,"&lt;$25k",IF(D4358&lt;50000,"$25k-$50k",IF(D4358&lt;75000,"$50k-$75k",IF(D4358&lt;100000,"$75k-$100k","$100k+")))))</x:f>
        <x:v>$25k-$50k</x:v>
      </x:c>
      <x:c r="P4358" t="str">
        <x:f>IF(E4358="","Unknown",IF(E4358&lt;10,"&lt;10",IF(E4358&lt;20,"10-&lt;20",IF(E4358&lt;25,"20-&lt;25",IF(E4358&lt;35,"25-&lt;35","35+")))))</x:f>
        <x:v>20-&lt;25</x:v>
      </x:c>
    </x:row>
    <x:row r="4359">
      <x:c r="A4359" t="str">
        <x:v>SYN0004358</x:v>
      </x:c>
      <x:c r="B4359" s="12" t="n">
        <x:v>41515</x:v>
      </x:c>
      <x:c r="C4359" s="18" t="n">
        <x:v>19155</x:v>
      </x:c>
      <x:c r="D4359" s="18" t="n">
        <x:v>123947</x:v>
      </x:c>
      <x:c r="E4359" s="18" t="n">
        <x:v>31.54</x:v>
      </x:c>
      <x:c r="F4359" s="18" t="n">
        <x:v>19.86</x:v>
      </x:c>
      <x:c r="G4359" t="n">
        <x:v>36</x:v>
      </x:c>
      <x:c r="H4359" t="str">
        <x:v>E</x:v>
      </x:c>
      <x:c r="I4359" t="str">
        <x:v>10+ years</x:v>
      </x:c>
      <x:c r="J4359" t="str">
        <x:v>MORTGAGE</x:v>
      </x:c>
      <x:c r="K4359" t="str">
        <x:v>credit_card</x:v>
      </x:c>
      <x:c r="L4359" t="n">
        <x:v>1</x:v>
      </x:c>
      <x:c r="M4359" t="n">
        <x:v>0</x:v>
      </x:c>
      <x:c r="N4359" t="str">
        <x:v>Fully Paid</x:v>
      </x:c>
      <x:c r="O4359" t="str">
        <x:f>IF(D4359="","Unknown",IF(D4359&lt;25000,"&lt;$25k",IF(D4359&lt;50000,"$25k-$50k",IF(D4359&lt;75000,"$50k-$75k",IF(D4359&lt;100000,"$75k-$100k","$100k+")))))</x:f>
        <x:v>$100k+</x:v>
      </x:c>
      <x:c r="P4359" t="str">
        <x:f>IF(E4359="","Unknown",IF(E4359&lt;10,"&lt;10",IF(E4359&lt;20,"10-&lt;20",IF(E4359&lt;25,"20-&lt;25",IF(E4359&lt;35,"25-&lt;35","35+")))))</x:f>
        <x:v>25-&lt;35</x:v>
      </x:c>
    </x:row>
    <x:row r="4360">
      <x:c r="A4360" t="str">
        <x:v>SYN0004359</x:v>
      </x:c>
      <x:c r="B4360" s="12" t="n">
        <x:v>42115</x:v>
      </x:c>
      <x:c r="C4360" s="18" t="n">
        <x:v>14950</x:v>
      </x:c>
      <x:c r="D4360" s="18" t="n">
        <x:v>58993</x:v>
      </x:c>
      <x:c r="E4360" s="18" t="n">
        <x:v>17.04</x:v>
      </x:c>
      <x:c r="F4360" s="18" t="n">
        <x:v>16.36</x:v>
      </x:c>
      <x:c r="G4360" t="n">
        <x:v>36</x:v>
      </x:c>
      <x:c r="H4360" t="str">
        <x:v>E</x:v>
      </x:c>
      <x:c r="I4360" t="str">
        <x:v>4-6 years</x:v>
      </x:c>
      <x:c r="J4360" t="str">
        <x:v>OTHER</x:v>
      </x:c>
      <x:c r="K4360" t="str">
        <x:v>debt_consolidation</x:v>
      </x:c>
      <x:c r="L4360" t="n">
        <x:v>0</x:v>
      </x:c>
      <x:c r="M4360" t="n">
        <x:v>0</x:v>
      </x:c>
      <x:c r="N4360" t="str">
        <x:v>Fully Paid</x:v>
      </x:c>
      <x:c r="O4360" t="str">
        <x:f>IF(D4360="","Unknown",IF(D4360&lt;25000,"&lt;$25k",IF(D4360&lt;50000,"$25k-$50k",IF(D4360&lt;75000,"$50k-$75k",IF(D4360&lt;100000,"$75k-$100k","$100k+")))))</x:f>
        <x:v>$50k-$75k</x:v>
      </x:c>
      <x:c r="P4360" t="str">
        <x:f>IF(E4360="","Unknown",IF(E4360&lt;10,"&lt;10",IF(E4360&lt;20,"10-&lt;20",IF(E4360&lt;25,"20-&lt;25",IF(E4360&lt;35,"25-&lt;35","35+")))))</x:f>
        <x:v>10-&lt;20</x:v>
      </x:c>
    </x:row>
    <x:row r="4361">
      <x:c r="A4361" t="str">
        <x:v>SYN0004360</x:v>
      </x:c>
      <x:c r="B4361" s="12" t="n">
        <x:v>42175</x:v>
      </x:c>
      <x:c r="C4361" s="18" t="n">
        <x:v>10281</x:v>
      </x:c>
      <x:c r="D4361" s="18" t="n">
        <x:v>91747</x:v>
      </x:c>
      <x:c r="E4361" s="18" t="n">
        <x:v>3.52</x:v>
      </x:c>
      <x:c r="F4361" s="18" t="n">
        <x:v>8.58</x:v>
      </x:c>
      <x:c r="G4361" t="n">
        <x:v>60</x:v>
      </x:c>
      <x:c r="H4361" t="str">
        <x:v>B</x:v>
      </x:c>
      <x:c r="I4361" t="str">
        <x:v>1-3 years</x:v>
      </x:c>
      <x:c r="J4361" t="str">
        <x:v>MORTGAGE</x:v>
      </x:c>
      <x:c r="K4361" t="str">
        <x:v>debt_consolidation</x:v>
      </x:c>
      <x:c r="L4361" t="n">
        <x:v>0</x:v>
      </x:c>
      <x:c r="M4361" t="n">
        <x:v>0</x:v>
      </x:c>
      <x:c r="N4361" t="str">
        <x:v>Fully Paid</x:v>
      </x:c>
      <x:c r="O4361" t="str">
        <x:f>IF(D4361="","Unknown",IF(D4361&lt;25000,"&lt;$25k",IF(D4361&lt;50000,"$25k-$50k",IF(D4361&lt;75000,"$50k-$75k",IF(D4361&lt;100000,"$75k-$100k","$100k+")))))</x:f>
        <x:v>$75k-$100k</x:v>
      </x:c>
      <x:c r="P4361" t="str">
        <x:f>IF(E4361="","Unknown",IF(E4361&lt;10,"&lt;10",IF(E4361&lt;20,"10-&lt;20",IF(E4361&lt;25,"20-&lt;25",IF(E4361&lt;35,"25-&lt;35","35+")))))</x:f>
        <x:v>&lt;10</x:v>
      </x:c>
    </x:row>
    <x:row r="4362">
      <x:c r="A4362" t="str">
        <x:v>SYN0004361</x:v>
      </x:c>
      <x:c r="B4362" s="12" t="n">
        <x:v>42745</x:v>
      </x:c>
      <x:c r="C4362" s="18" t="n">
        <x:v>15850</x:v>
      </x:c>
      <x:c r="D4362" s="18" t="n">
        <x:v>91408</x:v>
      </x:c>
      <x:c r="E4362" s="18" t="n">
        <x:v>42.77</x:v>
      </x:c>
      <x:c r="F4362" s="18" t="n">
        <x:v>14.79</x:v>
      </x:c>
      <x:c r="G4362" t="n">
        <x:v>36</x:v>
      </x:c>
      <x:c r="H4362" t="str">
        <x:v>D</x:v>
      </x:c>
      <x:c r="I4362" t="str">
        <x:v>7-9 years</x:v>
      </x:c>
      <x:c r="J4362" t="str">
        <x:v>MORTGAGE</x:v>
      </x:c>
      <x:c r="K4362" t="str">
        <x:v>debt_consolidation</x:v>
      </x:c>
      <x:c r="L4362" t="n">
        <x:v>3</x:v>
      </x:c>
      <x:c r="M4362" t="n">
        <x:v>0</x:v>
      </x:c>
      <x:c r="N4362" t="str">
        <x:v>Fully Paid</x:v>
      </x:c>
      <x:c r="O4362" t="str">
        <x:f>IF(D4362="","Unknown",IF(D4362&lt;25000,"&lt;$25k",IF(D4362&lt;50000,"$25k-$50k",IF(D4362&lt;75000,"$50k-$75k",IF(D4362&lt;100000,"$75k-$100k","$100k+")))))</x:f>
        <x:v>$75k-$100k</x:v>
      </x:c>
      <x:c r="P4362" t="str">
        <x:f>IF(E4362="","Unknown",IF(E4362&lt;10,"&lt;10",IF(E4362&lt;20,"10-&lt;20",IF(E4362&lt;25,"20-&lt;25",IF(E4362&lt;35,"25-&lt;35","35+")))))</x:f>
        <x:v>35+</x:v>
      </x:c>
    </x:row>
    <x:row r="4363">
      <x:c r="A4363" t="str">
        <x:v>SYN0004362</x:v>
      </x:c>
      <x:c r="B4363" s="12" t="n">
        <x:v>41575</x:v>
      </x:c>
      <x:c r="C4363" s="18" t="n">
        <x:v>17473</x:v>
      </x:c>
      <x:c r="D4363" s="18" t="n">
        <x:v>73363</x:v>
      </x:c>
      <x:c r="E4363" s="18" t="n">
        <x:v>23.21</x:v>
      </x:c>
      <x:c r="F4363" s="18" t="n">
        <x:v>6.19</x:v>
      </x:c>
      <x:c r="G4363" t="n">
        <x:v>36</x:v>
      </x:c>
      <x:c r="H4363" t="str">
        <x:v>A</x:v>
      </x:c>
      <x:c r="I4363" t="str">
        <x:v>10+ years</x:v>
      </x:c>
      <x:c r="J4363" t="str">
        <x:v>OWN</x:v>
      </x:c>
      <x:c r="K4363" t="str">
        <x:v>other</x:v>
      </x:c>
      <x:c r="L4363" t="n">
        <x:v>1</x:v>
      </x:c>
      <x:c r="M4363" t="n">
        <x:v>0</x:v>
      </x:c>
      <x:c r="N4363" t="str">
        <x:v>Fully Paid</x:v>
      </x:c>
      <x:c r="O4363" t="str">
        <x:f>IF(D4363="","Unknown",IF(D4363&lt;25000,"&lt;$25k",IF(D4363&lt;50000,"$25k-$50k",IF(D4363&lt;75000,"$50k-$75k",IF(D4363&lt;100000,"$75k-$100k","$100k+")))))</x:f>
        <x:v>$50k-$75k</x:v>
      </x:c>
      <x:c r="P4363" t="str">
        <x:f>IF(E4363="","Unknown",IF(E4363&lt;10,"&lt;10",IF(E4363&lt;20,"10-&lt;20",IF(E4363&lt;25,"20-&lt;25",IF(E4363&lt;35,"25-&lt;35","35+")))))</x:f>
        <x:v>20-&lt;25</x:v>
      </x:c>
    </x:row>
    <x:row r="4364">
      <x:c r="A4364" t="str">
        <x:v>SYN0004363</x:v>
      </x:c>
      <x:c r="B4364" s="12" t="n">
        <x:v>42865</x:v>
      </x:c>
      <x:c r="C4364" s="18" t="n">
        <x:v>15669</x:v>
      </x:c>
      <x:c r="D4364" s="18" t="n">
        <x:v>22132</x:v>
      </x:c>
      <x:c r="E4364" s="18" t="n">
        <x:v>10.19</x:v>
      </x:c>
      <x:c r="F4364" s="18" t="n">
        <x:v>10.77</x:v>
      </x:c>
      <x:c r="G4364" t="n">
        <x:v>36</x:v>
      </x:c>
      <x:c r="H4364" t="str">
        <x:v>C</x:v>
      </x:c>
      <x:c r="I4364" t="str">
        <x:v>10+ years</x:v>
      </x:c>
      <x:c r="J4364" t="str">
        <x:v>MORTGAGE</x:v>
      </x:c>
      <x:c r="K4364" t="str">
        <x:v>home_improvement</x:v>
      </x:c>
      <x:c r="L4364" t="n">
        <x:v>0</x:v>
      </x:c>
      <x:c r="M4364" t="n">
        <x:v>0</x:v>
      </x:c>
      <x:c r="N4364" t="str">
        <x:v>Fully Paid</x:v>
      </x:c>
      <x:c r="O4364" t="str">
        <x:f>IF(D4364="","Unknown",IF(D4364&lt;25000,"&lt;$25k",IF(D4364&lt;50000,"$25k-$50k",IF(D4364&lt;75000,"$50k-$75k",IF(D4364&lt;100000,"$75k-$100k","$100k+")))))</x:f>
        <x:v>&lt;$25k</x:v>
      </x:c>
      <x:c r="P4364" t="str">
        <x:f>IF(E4364="","Unknown",IF(E4364&lt;10,"&lt;10",IF(E4364&lt;20,"10-&lt;20",IF(E4364&lt;25,"20-&lt;25",IF(E4364&lt;35,"25-&lt;35","35+")))))</x:f>
        <x:v>10-&lt;20</x:v>
      </x:c>
    </x:row>
    <x:row r="4365">
      <x:c r="A4365" t="str">
        <x:v>SYN0004364</x:v>
      </x:c>
      <x:c r="B4365" s="12" t="n">
        <x:v>42415</x:v>
      </x:c>
      <x:c r="C4365" s="18" t="n">
        <x:v>8934</x:v>
      </x:c>
      <x:c r="D4365" s="18" t="n">
        <x:v>113099</x:v>
      </x:c>
      <x:c r="E4365" s="18" t="n">
        <x:v>13.58</x:v>
      </x:c>
      <x:c r="F4365" s="18" t="n">
        <x:v>7.83</x:v>
      </x:c>
      <x:c r="G4365" t="n">
        <x:v>36</x:v>
      </x:c>
      <x:c r="H4365" t="str">
        <x:v>B</x:v>
      </x:c>
      <x:c r="I4365" t="str">
        <x:v>1-3 years</x:v>
      </x:c>
      <x:c r="J4365" t="str">
        <x:v>MORTGAGE</x:v>
      </x:c>
      <x:c r="K4365" t="str">
        <x:v>debt_consolidation</x:v>
      </x:c>
      <x:c r="L4365" t="n">
        <x:v>0</x:v>
      </x:c>
      <x:c r="M4365" t="n">
        <x:v>0</x:v>
      </x:c>
      <x:c r="N4365" t="str">
        <x:v>Fully Paid</x:v>
      </x:c>
      <x:c r="O4365" t="str">
        <x:f>IF(D4365="","Unknown",IF(D4365&lt;25000,"&lt;$25k",IF(D4365&lt;50000,"$25k-$50k",IF(D4365&lt;75000,"$50k-$75k",IF(D4365&lt;100000,"$75k-$100k","$100k+")))))</x:f>
        <x:v>$100k+</x:v>
      </x:c>
      <x:c r="P4365" t="str">
        <x:f>IF(E4365="","Unknown",IF(E4365&lt;10,"&lt;10",IF(E4365&lt;20,"10-&lt;20",IF(E4365&lt;25,"20-&lt;25",IF(E4365&lt;35,"25-&lt;35","35+")))))</x:f>
        <x:v>10-&lt;20</x:v>
      </x:c>
    </x:row>
    <x:row r="4366">
      <x:c r="A4366" t="str">
        <x:v>SYN0004365</x:v>
      </x:c>
      <x:c r="B4366" s="12" t="n">
        <x:v>41545</x:v>
      </x:c>
      <x:c r="C4366" s="18" t="n">
        <x:v>10913</x:v>
      </x:c>
      <x:c r="D4366" s="18" t="n">
        <x:v>57322</x:v>
      </x:c>
      <x:c r="E4366" s="18" t="n">
        <x:v>18.13</x:v>
      </x:c>
      <x:c r="F4366" s="18" t="n">
        <x:v>14.04</x:v>
      </x:c>
      <x:c r="G4366" t="n">
        <x:v>36</x:v>
      </x:c>
      <x:c r="H4366" t="str">
        <x:v>D</x:v>
      </x:c>
      <x:c r="I4366" t="str">
        <x:v>4-6 years</x:v>
      </x:c>
      <x:c r="J4366" t="str">
        <x:v>RENT</x:v>
      </x:c>
      <x:c r="K4366" t="str">
        <x:v>debt_consolidation</x:v>
      </x:c>
      <x:c r="L4366" t="n">
        <x:v>1</x:v>
      </x:c>
      <x:c r="M4366" t="n">
        <x:v>0</x:v>
      </x:c>
      <x:c r="N4366" t="str">
        <x:v>Fully Paid</x:v>
      </x:c>
      <x:c r="O4366" t="str">
        <x:f>IF(D4366="","Unknown",IF(D4366&lt;25000,"&lt;$25k",IF(D4366&lt;50000,"$25k-$50k",IF(D4366&lt;75000,"$50k-$75k",IF(D4366&lt;100000,"$75k-$100k","$100k+")))))</x:f>
        <x:v>$50k-$75k</x:v>
      </x:c>
      <x:c r="P4366" t="str">
        <x:f>IF(E4366="","Unknown",IF(E4366&lt;10,"&lt;10",IF(E4366&lt;20,"10-&lt;20",IF(E4366&lt;25,"20-&lt;25",IF(E4366&lt;35,"25-&lt;35","35+")))))</x:f>
        <x:v>10-&lt;20</x:v>
      </x:c>
    </x:row>
    <x:row r="4367">
      <x:c r="A4367" t="str">
        <x:v>SYN0004366</x:v>
      </x:c>
      <x:c r="B4367" s="12" t="n">
        <x:v>42115</x:v>
      </x:c>
      <x:c r="C4367" s="18" t="n">
        <x:v>12285</x:v>
      </x:c>
      <x:c r="D4367" s="18" t="n">
        <x:v>99355</x:v>
      </x:c>
      <x:c r="E4367" s="18" t="n">
        <x:v>35.42</x:v>
      </x:c>
      <x:c r="F4367" s="18" t="n">
        <x:v>21.47</x:v>
      </x:c>
      <x:c r="G4367" t="n">
        <x:v>36</x:v>
      </x:c>
      <x:c r="H4367" t="str">
        <x:v>F</x:v>
      </x:c>
      <x:c r="I4367" t="str">
        <x:v>&lt;1 year</x:v>
      </x:c>
      <x:c r="J4367" t="str">
        <x:v>RENT</x:v>
      </x:c>
      <x:c r="K4367" t="str">
        <x:v>other</x:v>
      </x:c>
      <x:c r="L4367" t="n">
        <x:v>0</x:v>
      </x:c>
      <x:c r="M4367" t="n">
        <x:v>1</x:v>
      </x:c>
      <x:c r="N4367" t="str">
        <x:v>Charged Off</x:v>
      </x:c>
      <x:c r="O4367" t="str">
        <x:f>IF(D4367="","Unknown",IF(D4367&lt;25000,"&lt;$25k",IF(D4367&lt;50000,"$25k-$50k",IF(D4367&lt;75000,"$50k-$75k",IF(D4367&lt;100000,"$75k-$100k","$100k+")))))</x:f>
        <x:v>$75k-$100k</x:v>
      </x:c>
      <x:c r="P4367" t="str">
        <x:f>IF(E4367="","Unknown",IF(E4367&lt;10,"&lt;10",IF(E4367&lt;20,"10-&lt;20",IF(E4367&lt;25,"20-&lt;25",IF(E4367&lt;35,"25-&lt;35","35+")))))</x:f>
        <x:v>35+</x:v>
      </x:c>
    </x:row>
    <x:row r="4368">
      <x:c r="A4368" t="str">
        <x:v>SYN0004367</x:v>
      </x:c>
      <x:c r="B4368" s="12" t="n">
        <x:v>42145</x:v>
      </x:c>
      <x:c r="C4368" s="18" t="n">
        <x:v>8646</x:v>
      </x:c>
      <x:c r="D4368" s="18" t="n">
        <x:v>32726</x:v>
      </x:c>
      <x:c r="E4368" s="18" t="n">
        <x:v>23.75</x:v>
      </x:c>
      <x:c r="F4368" s="18" t="n">
        <x:v>10.22</x:v>
      </x:c>
      <x:c r="G4368" t="n">
        <x:v>36</x:v>
      </x:c>
      <x:c r="H4368" t="str">
        <x:v>C</x:v>
      </x:c>
      <x:c r="I4368" t="str">
        <x:v>4-6 years</x:v>
      </x:c>
      <x:c r="J4368" t="str">
        <x:v>MORTGAGE</x:v>
      </x:c>
      <x:c r="K4368" t="str">
        <x:v>home_improvement</x:v>
      </x:c>
      <x:c r="L4368" t="n">
        <x:v>1</x:v>
      </x:c>
      <x:c r="M4368" t="n">
        <x:v>0</x:v>
      </x:c>
      <x:c r="N4368" t="str">
        <x:v>Fully Paid</x:v>
      </x:c>
      <x:c r="O4368" t="str">
        <x:f>IF(D4368="","Unknown",IF(D4368&lt;25000,"&lt;$25k",IF(D4368&lt;50000,"$25k-$50k",IF(D4368&lt;75000,"$50k-$75k",IF(D4368&lt;100000,"$75k-$100k","$100k+")))))</x:f>
        <x:v>$25k-$50k</x:v>
      </x:c>
      <x:c r="P4368" t="str">
        <x:f>IF(E4368="","Unknown",IF(E4368&lt;10,"&lt;10",IF(E4368&lt;20,"10-&lt;20",IF(E4368&lt;25,"20-&lt;25",IF(E4368&lt;35,"25-&lt;35","35+")))))</x:f>
        <x:v>20-&lt;25</x:v>
      </x:c>
    </x:row>
    <x:row r="4369">
      <x:c r="A4369" t="str">
        <x:v>SYN0004368</x:v>
      </x:c>
      <x:c r="B4369" s="12" t="n">
        <x:v>41935</x:v>
      </x:c>
      <x:c r="C4369" s="18" t="n">
        <x:v>29453</x:v>
      </x:c>
      <x:c r="D4369" s="18" t="n">
        <x:v>77266</x:v>
      </x:c>
      <x:c r="E4369" s="18" t="n">
        <x:v>22.98</x:v>
      </x:c>
      <x:c r="F4369" s="18" t="n">
        <x:v>7.67</x:v>
      </x:c>
      <x:c r="G4369" t="n">
        <x:v>36</x:v>
      </x:c>
      <x:c r="H4369" t="str">
        <x:v>C</x:v>
      </x:c>
      <x:c r="I4369" t="str">
        <x:v>&lt;1 year</x:v>
      </x:c>
      <x:c r="J4369" t="str">
        <x:v>RENT</x:v>
      </x:c>
      <x:c r="K4369" t="str">
        <x:v>home_improvement</x:v>
      </x:c>
      <x:c r="L4369" t="n">
        <x:v>2</x:v>
      </x:c>
      <x:c r="M4369" t="n">
        <x:v>0</x:v>
      </x:c>
      <x:c r="N4369" t="str">
        <x:v>Fully Paid</x:v>
      </x:c>
      <x:c r="O4369" t="str">
        <x:f>IF(D4369="","Unknown",IF(D4369&lt;25000,"&lt;$25k",IF(D4369&lt;50000,"$25k-$50k",IF(D4369&lt;75000,"$50k-$75k",IF(D4369&lt;100000,"$75k-$100k","$100k+")))))</x:f>
        <x:v>$75k-$100k</x:v>
      </x:c>
      <x:c r="P4369" t="str">
        <x:f>IF(E4369="","Unknown",IF(E4369&lt;10,"&lt;10",IF(E4369&lt;20,"10-&lt;20",IF(E4369&lt;25,"20-&lt;25",IF(E4369&lt;35,"25-&lt;35","35+")))))</x:f>
        <x:v>20-&lt;25</x:v>
      </x:c>
    </x:row>
    <x:row r="4370">
      <x:c r="A4370" t="str">
        <x:v>SYN0004369</x:v>
      </x:c>
      <x:c r="B4370" s="12" t="n">
        <x:v>42505</x:v>
      </x:c>
      <x:c r="C4370" s="18" t="n">
        <x:v>12725</x:v>
      </x:c>
      <x:c r="D4370" s="18" t="n">
        <x:v>92406</x:v>
      </x:c>
      <x:c r="E4370" s="18" t="n">
        <x:v>31.28</x:v>
      </x:c>
      <x:c r="F4370" s="18" t="n">
        <x:v>24.55</x:v>
      </x:c>
      <x:c r="G4370" t="n">
        <x:v>36</x:v>
      </x:c>
      <x:c r="H4370" t="str">
        <x:v>F</x:v>
      </x:c>
      <x:c r="I4370" t="str">
        <x:v>10+ years</x:v>
      </x:c>
      <x:c r="J4370" t="str">
        <x:v>RENT</x:v>
      </x:c>
      <x:c r="K4370" t="str">
        <x:v>medical</x:v>
      </x:c>
      <x:c r="L4370" t="n">
        <x:v>0</x:v>
      </x:c>
      <x:c r="M4370" t="n">
        <x:v>0</x:v>
      </x:c>
      <x:c r="N4370" t="str">
        <x:v>Fully Paid</x:v>
      </x:c>
      <x:c r="O4370" t="str">
        <x:f>IF(D4370="","Unknown",IF(D4370&lt;25000,"&lt;$25k",IF(D4370&lt;50000,"$25k-$50k",IF(D4370&lt;75000,"$50k-$75k",IF(D4370&lt;100000,"$75k-$100k","$100k+")))))</x:f>
        <x:v>$75k-$100k</x:v>
      </x:c>
      <x:c r="P4370" t="str">
        <x:f>IF(E4370="","Unknown",IF(E4370&lt;10,"&lt;10",IF(E4370&lt;20,"10-&lt;20",IF(E4370&lt;25,"20-&lt;25",IF(E4370&lt;35,"25-&lt;35","35+")))))</x:f>
        <x:v>25-&lt;35</x:v>
      </x:c>
    </x:row>
    <x:row r="4371">
      <x:c r="A4371" t="str">
        <x:v>SYN0004370</x:v>
      </x:c>
      <x:c r="B4371" s="12" t="n">
        <x:v>42085</x:v>
      </x:c>
      <x:c r="C4371" s="18" t="n">
        <x:v>10738</x:v>
      </x:c>
      <x:c r="D4371" s="18" t="n">
        <x:v>34428</x:v>
      </x:c>
      <x:c r="E4371" s="18" t="n">
        <x:v>32.94</x:v>
      </x:c>
      <x:c r="F4371" s="18" t="n">
        <x:v>15.03</x:v>
      </x:c>
      <x:c r="G4371" t="n">
        <x:v>36</x:v>
      </x:c>
      <x:c r="H4371" t="str">
        <x:v>D</x:v>
      </x:c>
      <x:c r="I4371" t="str">
        <x:v>10+ years</x:v>
      </x:c>
      <x:c r="J4371" t="str">
        <x:v>OWN</x:v>
      </x:c>
      <x:c r="K4371" t="str">
        <x:v>debt_consolidation</x:v>
      </x:c>
      <x:c r="L4371" t="n">
        <x:v>1</x:v>
      </x:c>
      <x:c r="M4371" t="n">
        <x:v>0</x:v>
      </x:c>
      <x:c r="N4371" t="str">
        <x:v>Fully Paid</x:v>
      </x:c>
      <x:c r="O4371" t="str">
        <x:f>IF(D4371="","Unknown",IF(D4371&lt;25000,"&lt;$25k",IF(D4371&lt;50000,"$25k-$50k",IF(D4371&lt;75000,"$50k-$75k",IF(D4371&lt;100000,"$75k-$100k","$100k+")))))</x:f>
        <x:v>$25k-$50k</x:v>
      </x:c>
      <x:c r="P4371" t="str">
        <x:f>IF(E4371="","Unknown",IF(E4371&lt;10,"&lt;10",IF(E4371&lt;20,"10-&lt;20",IF(E4371&lt;25,"20-&lt;25",IF(E4371&lt;35,"25-&lt;35","35+")))))</x:f>
        <x:v>25-&lt;35</x:v>
      </x:c>
    </x:row>
    <x:row r="4372">
      <x:c r="A4372" t="str">
        <x:v>SYN0004371</x:v>
      </x:c>
      <x:c r="B4372" s="12" t="n">
        <x:v>42505</x:v>
      </x:c>
      <x:c r="C4372" s="18" t="n">
        <x:v>16126</x:v>
      </x:c>
      <x:c r="D4372" s="18" t="n">
        <x:v>21917</x:v>
      </x:c>
      <x:c r="E4372" s="18" t="n">
        <x:v>17.77</x:v>
      </x:c>
      <x:c r="F4372" s="18" t="n">
        <x:v>15.48</x:v>
      </x:c>
      <x:c r="G4372" t="n">
        <x:v>36</x:v>
      </x:c>
      <x:c r="H4372" t="str">
        <x:v>D</x:v>
      </x:c>
      <x:c r="I4372" t="str">
        <x:v>10+ years</x:v>
      </x:c>
      <x:c r="J4372" t="str">
        <x:v>RENT</x:v>
      </x:c>
      <x:c r="K4372" t="str">
        <x:v>home_improvement</x:v>
      </x:c>
      <x:c r="L4372" t="n">
        <x:v>0</x:v>
      </x:c>
      <x:c r="M4372" t="n">
        <x:v>0</x:v>
      </x:c>
      <x:c r="N4372" t="str">
        <x:v>Fully Paid</x:v>
      </x:c>
      <x:c r="O4372" t="str">
        <x:f>IF(D4372="","Unknown",IF(D4372&lt;25000,"&lt;$25k",IF(D4372&lt;50000,"$25k-$50k",IF(D4372&lt;75000,"$50k-$75k",IF(D4372&lt;100000,"$75k-$100k","$100k+")))))</x:f>
        <x:v>&lt;$25k</x:v>
      </x:c>
      <x:c r="P4372" t="str">
        <x:f>IF(E4372="","Unknown",IF(E4372&lt;10,"&lt;10",IF(E4372&lt;20,"10-&lt;20",IF(E4372&lt;25,"20-&lt;25",IF(E4372&lt;35,"25-&lt;35","35+")))))</x:f>
        <x:v>10-&lt;20</x:v>
      </x:c>
    </x:row>
    <x:row r="4373">
      <x:c r="A4373" t="str">
        <x:v>SYN0004372</x:v>
      </x:c>
      <x:c r="B4373" s="12" t="n">
        <x:v>43285</x:v>
      </x:c>
      <x:c r="C4373" s="18" t="n">
        <x:v>17904</x:v>
      </x:c>
      <x:c r="D4373" s="18" t="n">
        <x:v>21684</x:v>
      </x:c>
      <x:c r="E4373" s="18" t="n">
        <x:v>29.98</x:v>
      </x:c>
      <x:c r="F4373" s="18" t="n">
        <x:v>23.37</x:v>
      </x:c>
      <x:c r="G4373" t="n">
        <x:v>36</x:v>
      </x:c>
      <x:c r="H4373" t="str">
        <x:v>F</x:v>
      </x:c>
      <x:c r="I4373" t="str">
        <x:v>4-6 years</x:v>
      </x:c>
      <x:c r="J4373" t="str">
        <x:v>RENT</x:v>
      </x:c>
      <x:c r="K4373" t="str">
        <x:v>major_purchase</x:v>
      </x:c>
      <x:c r="L4373" t="n">
        <x:v>1</x:v>
      </x:c>
      <x:c r="M4373" t="n">
        <x:v>1</x:v>
      </x:c>
      <x:c r="N4373" t="str">
        <x:v>Charged Off</x:v>
      </x:c>
      <x:c r="O4373" t="str">
        <x:f>IF(D4373="","Unknown",IF(D4373&lt;25000,"&lt;$25k",IF(D4373&lt;50000,"$25k-$50k",IF(D4373&lt;75000,"$50k-$75k",IF(D4373&lt;100000,"$75k-$100k","$100k+")))))</x:f>
        <x:v>&lt;$25k</x:v>
      </x:c>
      <x:c r="P4373" t="str">
        <x:f>IF(E4373="","Unknown",IF(E4373&lt;10,"&lt;10",IF(E4373&lt;20,"10-&lt;20",IF(E4373&lt;25,"20-&lt;25",IF(E4373&lt;35,"25-&lt;35","35+")))))</x:f>
        <x:v>25-&lt;35</x:v>
      </x:c>
    </x:row>
    <x:row r="4374">
      <x:c r="A4374" t="str">
        <x:v>SYN0004373</x:v>
      </x:c>
      <x:c r="B4374" s="12" t="n">
        <x:v>42175</x:v>
      </x:c>
      <x:c r="C4374" s="18" t="n">
        <x:v>11973</x:v>
      </x:c>
      <x:c r="D4374" s="18" t="n">
        <x:v>74583</x:v>
      </x:c>
      <x:c r="E4374" s="18" t="n">
        <x:v>8.18</x:v>
      </x:c>
      <x:c r="F4374" s="18" t="n">
        <x:v>8.84</x:v>
      </x:c>
      <x:c r="G4374" t="n">
        <x:v>36</x:v>
      </x:c>
      <x:c r="H4374" t="str">
        <x:v>A</x:v>
      </x:c>
      <x:c r="I4374" t="str">
        <x:v>1-3 years</x:v>
      </x:c>
      <x:c r="J4374" t="str">
        <x:v>MORTGAGE</x:v>
      </x:c>
      <x:c r="K4374" t="str">
        <x:v>credit_card</x:v>
      </x:c>
      <x:c r="L4374" t="n">
        <x:v>0</x:v>
      </x:c>
      <x:c r="M4374" t="n">
        <x:v>0</x:v>
      </x:c>
      <x:c r="N4374" t="str">
        <x:v>Fully Paid</x:v>
      </x:c>
      <x:c r="O4374" t="str">
        <x:f>IF(D4374="","Unknown",IF(D4374&lt;25000,"&lt;$25k",IF(D4374&lt;50000,"$25k-$50k",IF(D4374&lt;75000,"$50k-$75k",IF(D4374&lt;100000,"$75k-$100k","$100k+")))))</x:f>
        <x:v>$50k-$75k</x:v>
      </x:c>
      <x:c r="P4374" t="str">
        <x:f>IF(E4374="","Unknown",IF(E4374&lt;10,"&lt;10",IF(E4374&lt;20,"10-&lt;20",IF(E4374&lt;25,"20-&lt;25",IF(E4374&lt;35,"25-&lt;35","35+")))))</x:f>
        <x:v>&lt;10</x:v>
      </x:c>
    </x:row>
    <x:row r="4375">
      <x:c r="A4375" t="str">
        <x:v>SYN0004374</x:v>
      </x:c>
      <x:c r="B4375" s="12" t="n">
        <x:v>42865</x:v>
      </x:c>
      <x:c r="C4375" s="18" t="n">
        <x:v>10485</x:v>
      </x:c>
      <x:c r="D4375" s="18" t="n">
        <x:v>61874</x:v>
      </x:c>
      <x:c r="E4375" s="18" t="n">
        <x:v>10.25</x:v>
      </x:c>
      <x:c r="F4375" s="18" t="n">
        <x:v>13.35</x:v>
      </x:c>
      <x:c r="G4375" t="n">
        <x:v>36</x:v>
      </x:c>
      <x:c r="H4375" t="str">
        <x:v>C</x:v>
      </x:c>
      <x:c r="I4375" t="str">
        <x:v>1-3 years</x:v>
      </x:c>
      <x:c r="J4375" t="str">
        <x:v>OWN</x:v>
      </x:c>
      <x:c r="K4375" t="str">
        <x:v>home_improvement</x:v>
      </x:c>
      <x:c r="L4375" t="n">
        <x:v>0</x:v>
      </x:c>
      <x:c r="M4375" t="n">
        <x:v>0</x:v>
      </x:c>
      <x:c r="N4375" t="str">
        <x:v>Fully Paid</x:v>
      </x:c>
      <x:c r="O4375" t="str">
        <x:f>IF(D4375="","Unknown",IF(D4375&lt;25000,"&lt;$25k",IF(D4375&lt;50000,"$25k-$50k",IF(D4375&lt;75000,"$50k-$75k",IF(D4375&lt;100000,"$75k-$100k","$100k+")))))</x:f>
        <x:v>$50k-$75k</x:v>
      </x:c>
      <x:c r="P4375" t="str">
        <x:f>IF(E4375="","Unknown",IF(E4375&lt;10,"&lt;10",IF(E4375&lt;20,"10-&lt;20",IF(E4375&lt;25,"20-&lt;25",IF(E4375&lt;35,"25-&lt;35","35+")))))</x:f>
        <x:v>10-&lt;20</x:v>
      </x:c>
    </x:row>
    <x:row r="4376">
      <x:c r="A4376" t="str">
        <x:v>SYN0004375</x:v>
      </x:c>
      <x:c r="B4376" s="12" t="n">
        <x:v>42355</x:v>
      </x:c>
      <x:c r="C4376" s="18" t="n">
        <x:v>11080</x:v>
      </x:c>
      <x:c r="D4376" s="18" t="n">
        <x:v>54673</x:v>
      </x:c>
      <x:c r="E4376" s="18" t="n">
        <x:v>29.4</x:v>
      </x:c>
      <x:c r="F4376" s="18" t="n">
        <x:v>28.85</x:v>
      </x:c>
      <x:c r="G4376" t="n">
        <x:v>60</x:v>
      </x:c>
      <x:c r="H4376" t="str">
        <x:v>G</x:v>
      </x:c>
      <x:c r="I4376" t="str">
        <x:v>10+ years</x:v>
      </x:c>
      <x:c r="J4376" t="str">
        <x:v>RENT</x:v>
      </x:c>
      <x:c r="K4376" t="str">
        <x:v>debt_consolidation</x:v>
      </x:c>
      <x:c r="L4376" t="n">
        <x:v>0</x:v>
      </x:c>
      <x:c r="M4376" t="n">
        <x:v>0</x:v>
      </x:c>
      <x:c r="N4376" t="str">
        <x:v>Fully Paid</x:v>
      </x:c>
      <x:c r="O4376" t="str">
        <x:f>IF(D4376="","Unknown",IF(D4376&lt;25000,"&lt;$25k",IF(D4376&lt;50000,"$25k-$50k",IF(D4376&lt;75000,"$50k-$75k",IF(D4376&lt;100000,"$75k-$100k","$100k+")))))</x:f>
        <x:v>$50k-$75k</x:v>
      </x:c>
      <x:c r="P4376" t="str">
        <x:f>IF(E4376="","Unknown",IF(E4376&lt;10,"&lt;10",IF(E4376&lt;20,"10-&lt;20",IF(E4376&lt;25,"20-&lt;25",IF(E4376&lt;35,"25-&lt;35","35+")))))</x:f>
        <x:v>25-&lt;35</x:v>
      </x:c>
    </x:row>
    <x:row r="4377">
      <x:c r="A4377" t="str">
        <x:v>SYN0004376</x:v>
      </x:c>
      <x:c r="B4377" s="12" t="n">
        <x:v>42265</x:v>
      </x:c>
      <x:c r="C4377" s="18" t="n">
        <x:v>14786</x:v>
      </x:c>
      <x:c r="D4377" s="18" t="n">
        <x:v>120958</x:v>
      </x:c>
      <x:c r="E4377" s="18" t="n">
        <x:v>4.95</x:v>
      </x:c>
      <x:c r="F4377" s="18" t="n">
        <x:v>6.37</x:v>
      </x:c>
      <x:c r="G4377" t="n">
        <x:v>60</x:v>
      </x:c>
      <x:c r="H4377" t="str">
        <x:v>B</x:v>
      </x:c>
      <x:c r="I4377" t="str">
        <x:v>10+ years</x:v>
      </x:c>
      <x:c r="J4377" t="str">
        <x:v>OWN</x:v>
      </x:c>
      <x:c r="K4377" t="str">
        <x:v>other</x:v>
      </x:c>
      <x:c r="L4377" t="n">
        <x:v>0</x:v>
      </x:c>
      <x:c r="M4377" t="n">
        <x:v>0</x:v>
      </x:c>
      <x:c r="N4377" t="str">
        <x:v>Fully Paid</x:v>
      </x:c>
      <x:c r="O4377" t="str">
        <x:f>IF(D4377="","Unknown",IF(D4377&lt;25000,"&lt;$25k",IF(D4377&lt;50000,"$25k-$50k",IF(D4377&lt;75000,"$50k-$75k",IF(D4377&lt;100000,"$75k-$100k","$100k+")))))</x:f>
        <x:v>$100k+</x:v>
      </x:c>
      <x:c r="P4377" t="str">
        <x:f>IF(E4377="","Unknown",IF(E4377&lt;10,"&lt;10",IF(E4377&lt;20,"10-&lt;20",IF(E4377&lt;25,"20-&lt;25",IF(E4377&lt;35,"25-&lt;35","35+")))))</x:f>
        <x:v>&lt;10</x:v>
      </x:c>
    </x:row>
    <x:row r="4378">
      <x:c r="A4378" t="str">
        <x:v>SYN0004377</x:v>
      </x:c>
      <x:c r="B4378" s="12" t="n">
        <x:v>42115</x:v>
      </x:c>
      <x:c r="C4378" s="18" t="n">
        <x:v>11728</x:v>
      </x:c>
      <x:c r="D4378" s="18" t="n">
        <x:v>46298</x:v>
      </x:c>
      <x:c r="E4378" s="18" t="n">
        <x:v>21.52</x:v>
      </x:c>
      <x:c r="F4378" s="18" t="n">
        <x:v>22.7</x:v>
      </x:c>
      <x:c r="G4378" t="n">
        <x:v>36</x:v>
      </x:c>
      <x:c r="H4378" t="str">
        <x:v>F</x:v>
      </x:c>
      <x:c r="I4378" t="str">
        <x:v>7-9 years</x:v>
      </x:c>
      <x:c r="J4378" t="str">
        <x:v>RENT</x:v>
      </x:c>
      <x:c r="K4378" t="str">
        <x:v>credit_card</x:v>
      </x:c>
      <x:c r="L4378" t="n">
        <x:v>0</x:v>
      </x:c>
      <x:c r="M4378" t="n">
        <x:v>0</x:v>
      </x:c>
      <x:c r="N4378" t="str">
        <x:v>Fully Paid</x:v>
      </x:c>
      <x:c r="O4378" t="str">
        <x:f>IF(D4378="","Unknown",IF(D4378&lt;25000,"&lt;$25k",IF(D4378&lt;50000,"$25k-$50k",IF(D4378&lt;75000,"$50k-$75k",IF(D4378&lt;100000,"$75k-$100k","$100k+")))))</x:f>
        <x:v>$25k-$50k</x:v>
      </x:c>
      <x:c r="P4378" t="str">
        <x:f>IF(E4378="","Unknown",IF(E4378&lt;10,"&lt;10",IF(E4378&lt;20,"10-&lt;20",IF(E4378&lt;25,"20-&lt;25",IF(E4378&lt;35,"25-&lt;35","35+")))))</x:f>
        <x:v>20-&lt;25</x:v>
      </x:c>
    </x:row>
    <x:row r="4379">
      <x:c r="A4379" t="str">
        <x:v>SYN0004378</x:v>
      </x:c>
      <x:c r="B4379" s="12" t="n">
        <x:v>42355</x:v>
      </x:c>
      <x:c r="C4379" s="18" t="n">
        <x:v>7160</x:v>
      </x:c>
      <x:c r="D4379" s="18" t="n">
        <x:v>15907</x:v>
      </x:c>
      <x:c r="E4379" s="18" t="n">
        <x:v>1.36</x:v>
      </x:c>
      <x:c r="F4379" s="18" t="n">
        <x:v>9.42</x:v>
      </x:c>
      <x:c r="G4379" t="n">
        <x:v>36</x:v>
      </x:c>
      <x:c r="H4379" t="str">
        <x:v>B</x:v>
      </x:c>
      <x:c r="I4379" t="str">
        <x:v>4-6 years</x:v>
      </x:c>
      <x:c r="J4379" t="str">
        <x:v>RENT</x:v>
      </x:c>
      <x:c r="K4379" t="str">
        <x:v>debt_consolidation</x:v>
      </x:c>
      <x:c r="L4379" t="n">
        <x:v>0</x:v>
      </x:c>
      <x:c r="M4379" t="n">
        <x:v>0</x:v>
      </x:c>
      <x:c r="N4379" t="str">
        <x:v>Fully Paid</x:v>
      </x:c>
      <x:c r="O4379" t="str">
        <x:f>IF(D4379="","Unknown",IF(D4379&lt;25000,"&lt;$25k",IF(D4379&lt;50000,"$25k-$50k",IF(D4379&lt;75000,"$50k-$75k",IF(D4379&lt;100000,"$75k-$100k","$100k+")))))</x:f>
        <x:v>&lt;$25k</x:v>
      </x:c>
      <x:c r="P4379" t="str">
        <x:f>IF(E4379="","Unknown",IF(E4379&lt;10,"&lt;10",IF(E4379&lt;20,"10-&lt;20",IF(E4379&lt;25,"20-&lt;25",IF(E4379&lt;35,"25-&lt;35","35+")))))</x:f>
        <x:v>&lt;10</x:v>
      </x:c>
    </x:row>
    <x:row r="4380">
      <x:c r="A4380" t="str">
        <x:v>SYN0004379</x:v>
      </x:c>
      <x:c r="B4380" s="12" t="n">
        <x:v>41965</x:v>
      </x:c>
      <x:c r="C4380" s="18" t="n">
        <x:v>10105</x:v>
      </x:c>
      <x:c r="D4380" s="18" t="n">
        <x:v>94952</x:v>
      </x:c>
      <x:c r="E4380" s="18" t="n">
        <x:v>16.01</x:v>
      </x:c>
      <x:c r="F4380" s="18" t="n">
        <x:v>6.97</x:v>
      </x:c>
      <x:c r="G4380" t="n">
        <x:v>60</x:v>
      </x:c>
      <x:c r="H4380" t="str">
        <x:v>A</x:v>
      </x:c>
      <x:c r="I4380" t="str">
        <x:v>7-9 years</x:v>
      </x:c>
      <x:c r="J4380" t="str">
        <x:v>RENT</x:v>
      </x:c>
      <x:c r="K4380" t="str">
        <x:v>other</x:v>
      </x:c>
      <x:c r="L4380" t="n">
        <x:v>0</x:v>
      </x:c>
      <x:c r="M4380" t="n">
        <x:v>0</x:v>
      </x:c>
      <x:c r="N4380" t="str">
        <x:v>Fully Paid</x:v>
      </x:c>
      <x:c r="O4380" t="str">
        <x:f>IF(D4380="","Unknown",IF(D4380&lt;25000,"&lt;$25k",IF(D4380&lt;50000,"$25k-$50k",IF(D4380&lt;75000,"$50k-$75k",IF(D4380&lt;100000,"$75k-$100k","$100k+")))))</x:f>
        <x:v>$75k-$100k</x:v>
      </x:c>
      <x:c r="P4380" t="str">
        <x:f>IF(E4380="","Unknown",IF(E4380&lt;10,"&lt;10",IF(E4380&lt;20,"10-&lt;20",IF(E4380&lt;25,"20-&lt;25",IF(E4380&lt;35,"25-&lt;35","35+")))))</x:f>
        <x:v>10-&lt;20</x:v>
      </x:c>
    </x:row>
    <x:row r="4381">
      <x:c r="A4381" t="str">
        <x:v>SYN0004380</x:v>
      </x:c>
      <x:c r="B4381" s="12" t="n">
        <x:v>41995</x:v>
      </x:c>
      <x:c r="C4381" s="18" t="n">
        <x:v>10992</x:v>
      </x:c>
      <x:c r="D4381" s="18" t="n">
        <x:v>46921</x:v>
      </x:c>
      <x:c r="E4381" s="18" t="n">
        <x:v>18.83</x:v>
      </x:c>
      <x:c r="F4381" s="18" t="n">
        <x:v>27.13</x:v>
      </x:c>
      <x:c r="G4381" t="n">
        <x:v>60</x:v>
      </x:c>
      <x:c r="H4381" t="str">
        <x:v>G</x:v>
      </x:c>
      <x:c r="I4381" t="str">
        <x:v>10+ years</x:v>
      </x:c>
      <x:c r="J4381" t="str">
        <x:v>MORTGAGE</x:v>
      </x:c>
      <x:c r="K4381" t="str">
        <x:v>home_improvement</x:v>
      </x:c>
      <x:c r="L4381" t="n">
        <x:v>2</x:v>
      </x:c>
      <x:c r="M4381" t="n">
        <x:v>0</x:v>
      </x:c>
      <x:c r="N4381" t="str">
        <x:v>Fully Paid</x:v>
      </x:c>
      <x:c r="O4381" t="str">
        <x:f>IF(D4381="","Unknown",IF(D4381&lt;25000,"&lt;$25k",IF(D4381&lt;50000,"$25k-$50k",IF(D4381&lt;75000,"$50k-$75k",IF(D4381&lt;100000,"$75k-$100k","$100k+")))))</x:f>
        <x:v>$25k-$50k</x:v>
      </x:c>
      <x:c r="P4381" t="str">
        <x:f>IF(E4381="","Unknown",IF(E4381&lt;10,"&lt;10",IF(E4381&lt;20,"10-&lt;20",IF(E4381&lt;25,"20-&lt;25",IF(E4381&lt;35,"25-&lt;35","35+")))))</x:f>
        <x:v>10-&lt;20</x:v>
      </x:c>
    </x:row>
    <x:row r="4382">
      <x:c r="A4382" t="str">
        <x:v>SYN0004381</x:v>
      </x:c>
      <x:c r="B4382" s="12" t="n">
        <x:v>42685</x:v>
      </x:c>
      <x:c r="C4382" s="18" t="n">
        <x:v>7456</x:v>
      </x:c>
      <x:c r="D4382" s="18" t="n">
        <x:v>70924</x:v>
      </x:c>
      <x:c r="E4382" s="18" t="n">
        <x:v>25.86</x:v>
      </x:c>
      <x:c r="F4382" s="18" t="n">
        <x:v>5</x:v>
      </x:c>
      <x:c r="G4382" t="n">
        <x:v>36</x:v>
      </x:c>
      <x:c r="H4382" t="str">
        <x:v>A</x:v>
      </x:c>
      <x:c r="I4382" t="str">
        <x:v>4-6 years</x:v>
      </x:c>
      <x:c r="J4382" t="str">
        <x:v>MORTGAGE</x:v>
      </x:c>
      <x:c r="K4382" t="str">
        <x:v>credit_card</x:v>
      </x:c>
      <x:c r="L4382" t="n">
        <x:v>0</x:v>
      </x:c>
      <x:c r="M4382" t="n">
        <x:v>0</x:v>
      </x:c>
      <x:c r="N4382" t="str">
        <x:v>Fully Paid</x:v>
      </x:c>
      <x:c r="O4382" t="str">
        <x:f>IF(D4382="","Unknown",IF(D4382&lt;25000,"&lt;$25k",IF(D4382&lt;50000,"$25k-$50k",IF(D4382&lt;75000,"$50k-$75k",IF(D4382&lt;100000,"$75k-$100k","$100k+")))))</x:f>
        <x:v>$50k-$75k</x:v>
      </x:c>
      <x:c r="P4382" t="str">
        <x:f>IF(E4382="","Unknown",IF(E4382&lt;10,"&lt;10",IF(E4382&lt;20,"10-&lt;20",IF(E4382&lt;25,"20-&lt;25",IF(E4382&lt;35,"25-&lt;35","35+")))))</x:f>
        <x:v>25-&lt;35</x:v>
      </x:c>
    </x:row>
    <x:row r="4383">
      <x:c r="A4383" t="str">
        <x:v>SYN0004382</x:v>
      </x:c>
      <x:c r="B4383" s="12" t="n">
        <x:v>41905</x:v>
      </x:c>
      <x:c r="C4383" s="18" t="n">
        <x:v>36159</x:v>
      </x:c>
      <x:c r="D4383" s="18" t="n">
        <x:v>115774</x:v>
      </x:c>
      <x:c r="E4383" s="18" t="n">
        <x:v>22.51</x:v>
      </x:c>
      <x:c r="F4383" s="18" t="n">
        <x:v>11.94</x:v>
      </x:c>
      <x:c r="G4383" t="n">
        <x:v>60</x:v>
      </x:c>
      <x:c r="H4383" t="str">
        <x:v>C</x:v>
      </x:c>
      <x:c r="I4383" t="str">
        <x:v>1-3 years</x:v>
      </x:c>
      <x:c r="J4383" t="str">
        <x:v>RENT</x:v>
      </x:c>
      <x:c r="K4383" t="str">
        <x:v>credit_card</x:v>
      </x:c>
      <x:c r="L4383" t="n">
        <x:v>0</x:v>
      </x:c>
      <x:c r="M4383" t="n">
        <x:v>0</x:v>
      </x:c>
      <x:c r="N4383" t="str">
        <x:v>Fully Paid</x:v>
      </x:c>
      <x:c r="O4383" t="str">
        <x:f>IF(D4383="","Unknown",IF(D4383&lt;25000,"&lt;$25k",IF(D4383&lt;50000,"$25k-$50k",IF(D4383&lt;75000,"$50k-$75k",IF(D4383&lt;100000,"$75k-$100k","$100k+")))))</x:f>
        <x:v>$100k+</x:v>
      </x:c>
      <x:c r="P4383" t="str">
        <x:f>IF(E4383="","Unknown",IF(E4383&lt;10,"&lt;10",IF(E4383&lt;20,"10-&lt;20",IF(E4383&lt;25,"20-&lt;25",IF(E4383&lt;35,"25-&lt;35","35+")))))</x:f>
        <x:v>20-&lt;25</x:v>
      </x:c>
    </x:row>
    <x:row r="4384">
      <x:c r="A4384" t="str">
        <x:v>SYN0004383</x:v>
      </x:c>
      <x:c r="B4384" s="12" t="n">
        <x:v>41815</x:v>
      </x:c>
      <x:c r="C4384" s="18" t="n">
        <x:v>12493</x:v>
      </x:c>
      <x:c r="D4384" s="18" t="n">
        <x:v>57041</x:v>
      </x:c>
      <x:c r="E4384" s="18" t="n">
        <x:v>24.65</x:v>
      </x:c>
      <x:c r="F4384" s="18" t="n">
        <x:v>8.3</x:v>
      </x:c>
      <x:c r="G4384" t="n">
        <x:v>36</x:v>
      </x:c>
      <x:c r="H4384" t="str">
        <x:v>B</x:v>
      </x:c>
      <x:c r="I4384" t="str">
        <x:v>&lt;1 year</x:v>
      </x:c>
      <x:c r="J4384" t="str">
        <x:v>MORTGAGE</x:v>
      </x:c>
      <x:c r="K4384" t="str">
        <x:v>major_purchase</x:v>
      </x:c>
      <x:c r="L4384" t="n">
        <x:v>0</x:v>
      </x:c>
      <x:c r="M4384" t="n">
        <x:v>0</x:v>
      </x:c>
      <x:c r="N4384" t="str">
        <x:v>Fully Paid</x:v>
      </x:c>
      <x:c r="O4384" t="str">
        <x:f>IF(D4384="","Unknown",IF(D4384&lt;25000,"&lt;$25k",IF(D4384&lt;50000,"$25k-$50k",IF(D4384&lt;75000,"$50k-$75k",IF(D4384&lt;100000,"$75k-$100k","$100k+")))))</x:f>
        <x:v>$50k-$75k</x:v>
      </x:c>
      <x:c r="P4384" t="str">
        <x:f>IF(E4384="","Unknown",IF(E4384&lt;10,"&lt;10",IF(E4384&lt;20,"10-&lt;20",IF(E4384&lt;25,"20-&lt;25",IF(E4384&lt;35,"25-&lt;35","35+")))))</x:f>
        <x:v>20-&lt;25</x:v>
      </x:c>
    </x:row>
    <x:row r="4385">
      <x:c r="A4385" t="str">
        <x:v>SYN0004384</x:v>
      </x:c>
      <x:c r="B4385" s="12" t="n">
        <x:v>42715</x:v>
      </x:c>
      <x:c r="C4385" s="18" t="n">
        <x:v>11557</x:v>
      </x:c>
      <x:c r="D4385" s="18" t="n">
        <x:v>75036</x:v>
      </x:c>
      <x:c r="E4385" s="18" t="n">
        <x:v>2.96</x:v>
      </x:c>
      <x:c r="F4385" s="18" t="n">
        <x:v>8.51</x:v>
      </x:c>
      <x:c r="G4385" t="n">
        <x:v>60</x:v>
      </x:c>
      <x:c r="H4385" t="str">
        <x:v>B</x:v>
      </x:c>
      <x:c r="I4385" t="str">
        <x:v>7-9 years</x:v>
      </x:c>
      <x:c r="J4385" t="str">
        <x:v>OWN</x:v>
      </x:c>
      <x:c r="K4385" t="str">
        <x:v>other</x:v>
      </x:c>
      <x:c r="L4385" t="n">
        <x:v>2</x:v>
      </x:c>
      <x:c r="M4385" t="n">
        <x:v>0</x:v>
      </x:c>
      <x:c r="N4385" t="str">
        <x:v>Fully Paid</x:v>
      </x:c>
      <x:c r="O4385" t="str">
        <x:f>IF(D4385="","Unknown",IF(D4385&lt;25000,"&lt;$25k",IF(D4385&lt;50000,"$25k-$50k",IF(D4385&lt;75000,"$50k-$75k",IF(D4385&lt;100000,"$75k-$100k","$100k+")))))</x:f>
        <x:v>$75k-$100k</x:v>
      </x:c>
      <x:c r="P4385" t="str">
        <x:f>IF(E4385="","Unknown",IF(E4385&lt;10,"&lt;10",IF(E4385&lt;20,"10-&lt;20",IF(E4385&lt;25,"20-&lt;25",IF(E4385&lt;35,"25-&lt;35","35+")))))</x:f>
        <x:v>&lt;10</x:v>
      </x:c>
    </x:row>
    <x:row r="4386">
      <x:c r="A4386" t="str">
        <x:v>SYN0004385</x:v>
      </x:c>
      <x:c r="B4386" s="12" t="n">
        <x:v>41485</x:v>
      </x:c>
      <x:c r="C4386" s="18" t="n">
        <x:v>9467</x:v>
      </x:c>
      <x:c r="D4386" s="18" t="n">
        <x:v>29963</x:v>
      </x:c>
      <x:c r="E4386" s="18" t="n">
        <x:v>17.07</x:v>
      </x:c>
      <x:c r="F4386" s="18" t="n">
        <x:v>8.32</x:v>
      </x:c>
      <x:c r="G4386" t="n">
        <x:v>36</x:v>
      </x:c>
      <x:c r="H4386" t="str">
        <x:v>A</x:v>
      </x:c>
      <x:c r="I4386" t="str">
        <x:v>&lt;1 year</x:v>
      </x:c>
      <x:c r="J4386" t="str">
        <x:v>RENT</x:v>
      </x:c>
      <x:c r="K4386" t="str">
        <x:v>home_improvement</x:v>
      </x:c>
      <x:c r="L4386" t="n">
        <x:v>0</x:v>
      </x:c>
      <x:c r="M4386" t="n">
        <x:v>0</x:v>
      </x:c>
      <x:c r="N4386" t="str">
        <x:v>Fully Paid</x:v>
      </x:c>
      <x:c r="O4386" t="str">
        <x:f>IF(D4386="","Unknown",IF(D4386&lt;25000,"&lt;$25k",IF(D4386&lt;50000,"$25k-$50k",IF(D4386&lt;75000,"$50k-$75k",IF(D4386&lt;100000,"$75k-$100k","$100k+")))))</x:f>
        <x:v>$25k-$50k</x:v>
      </x:c>
      <x:c r="P4386" t="str">
        <x:f>IF(E4386="","Unknown",IF(E4386&lt;10,"&lt;10",IF(E4386&lt;20,"10-&lt;20",IF(E4386&lt;25,"20-&lt;25",IF(E4386&lt;35,"25-&lt;35","35+")))))</x:f>
        <x:v>10-&lt;20</x:v>
      </x:c>
    </x:row>
    <x:row r="4387">
      <x:c r="A4387" t="str">
        <x:v>SYN0004386</x:v>
      </x:c>
      <x:c r="B4387" s="12" t="n">
        <x:v>42145</x:v>
      </x:c>
      <x:c r="C4387" s="18" t="n">
        <x:v>10571</x:v>
      </x:c>
      <x:c r="D4387" s="18" t="n">
        <x:v>80846</x:v>
      </x:c>
      <x:c r="E4387" s="18" t="n">
        <x:v>9.03</x:v>
      </x:c>
      <x:c r="F4387" s="18" t="n">
        <x:v>11.56</x:v>
      </x:c>
      <x:c r="G4387" t="n">
        <x:v>60</x:v>
      </x:c>
      <x:c r="H4387" t="str">
        <x:v>C</x:v>
      </x:c>
      <x:c r="I4387" t="str">
        <x:v>1-3 years</x:v>
      </x:c>
      <x:c r="J4387" t="str">
        <x:v>RENT</x:v>
      </x:c>
      <x:c r="K4387" t="str">
        <x:v>credit_card</x:v>
      </x:c>
      <x:c r="L4387" t="n">
        <x:v>0</x:v>
      </x:c>
      <x:c r="M4387" t="n">
        <x:v>0</x:v>
      </x:c>
      <x:c r="N4387" t="str">
        <x:v>Fully Paid</x:v>
      </x:c>
      <x:c r="O4387" t="str">
        <x:f>IF(D4387="","Unknown",IF(D4387&lt;25000,"&lt;$25k",IF(D4387&lt;50000,"$25k-$50k",IF(D4387&lt;75000,"$50k-$75k",IF(D4387&lt;100000,"$75k-$100k","$100k+")))))</x:f>
        <x:v>$75k-$100k</x:v>
      </x:c>
      <x:c r="P4387" t="str">
        <x:f>IF(E4387="","Unknown",IF(E4387&lt;10,"&lt;10",IF(E4387&lt;20,"10-&lt;20",IF(E4387&lt;25,"20-&lt;25",IF(E4387&lt;35,"25-&lt;35","35+")))))</x:f>
        <x:v>&lt;10</x:v>
      </x:c>
    </x:row>
    <x:row r="4388">
      <x:c r="A4388" t="str">
        <x:v>SYN0004387</x:v>
      </x:c>
      <x:c r="B4388" s="12" t="n">
        <x:v>41905</x:v>
      </x:c>
      <x:c r="C4388" s="18" t="n">
        <x:v>12308</x:v>
      </x:c>
      <x:c r="D4388" s="18" t="n">
        <x:v>122033</x:v>
      </x:c>
      <x:c r="E4388" s="18" t="n">
        <x:v>14.28</x:v>
      </x:c>
      <x:c r="F4388" s="18" t="n">
        <x:v>9.67</x:v>
      </x:c>
      <x:c r="G4388" t="n">
        <x:v>36</x:v>
      </x:c>
      <x:c r="H4388" t="str">
        <x:v>C</x:v>
      </x:c>
      <x:c r="I4388" t="str">
        <x:v>10+ years</x:v>
      </x:c>
      <x:c r="J4388" t="str">
        <x:v>OWN</x:v>
      </x:c>
      <x:c r="K4388" t="str">
        <x:v>other</x:v>
      </x:c>
      <x:c r="L4388" t="n">
        <x:v>1</x:v>
      </x:c>
      <x:c r="M4388" t="n">
        <x:v>0</x:v>
      </x:c>
      <x:c r="N4388" t="str">
        <x:v>Fully Paid</x:v>
      </x:c>
      <x:c r="O4388" t="str">
        <x:f>IF(D4388="","Unknown",IF(D4388&lt;25000,"&lt;$25k",IF(D4388&lt;50000,"$25k-$50k",IF(D4388&lt;75000,"$50k-$75k",IF(D4388&lt;100000,"$75k-$100k","$100k+")))))</x:f>
        <x:v>$100k+</x:v>
      </x:c>
      <x:c r="P4388" t="str">
        <x:f>IF(E4388="","Unknown",IF(E4388&lt;10,"&lt;10",IF(E4388&lt;20,"10-&lt;20",IF(E4388&lt;25,"20-&lt;25",IF(E4388&lt;35,"25-&lt;35","35+")))))</x:f>
        <x:v>10-&lt;20</x:v>
      </x:c>
    </x:row>
    <x:row r="4389">
      <x:c r="A4389" t="str">
        <x:v>SYN0004388</x:v>
      </x:c>
      <x:c r="B4389" s="12" t="n">
        <x:v>43405</x:v>
      </x:c>
      <x:c r="C4389" s="18" t="n">
        <x:v>17033</x:v>
      </x:c>
      <x:c r="D4389" s="18" t="n">
        <x:v>91142</x:v>
      </x:c>
      <x:c r="E4389" s="18" t="n">
        <x:v>7.76</x:v>
      </x:c>
      <x:c r="F4389" s="18" t="n">
        <x:v>5</x:v>
      </x:c>
      <x:c r="G4389" t="n">
        <x:v>36</x:v>
      </x:c>
      <x:c r="H4389" t="str">
        <x:v>A</x:v>
      </x:c>
      <x:c r="I4389" t="str">
        <x:v>10+ years</x:v>
      </x:c>
      <x:c r="J4389" t="str">
        <x:v>MORTGAGE</x:v>
      </x:c>
      <x:c r="K4389" t="str">
        <x:v>home_improvement</x:v>
      </x:c>
      <x:c r="L4389" t="n">
        <x:v>0</x:v>
      </x:c>
      <x:c r="M4389" t="n">
        <x:v>0</x:v>
      </x:c>
      <x:c r="N4389" t="str">
        <x:v>Fully Paid</x:v>
      </x:c>
      <x:c r="O4389" t="str">
        <x:f>IF(D4389="","Unknown",IF(D4389&lt;25000,"&lt;$25k",IF(D4389&lt;50000,"$25k-$50k",IF(D4389&lt;75000,"$50k-$75k",IF(D4389&lt;100000,"$75k-$100k","$100k+")))))</x:f>
        <x:v>$75k-$100k</x:v>
      </x:c>
      <x:c r="P4389" t="str">
        <x:f>IF(E4389="","Unknown",IF(E4389&lt;10,"&lt;10",IF(E4389&lt;20,"10-&lt;20",IF(E4389&lt;25,"20-&lt;25",IF(E4389&lt;35,"25-&lt;35","35+")))))</x:f>
        <x:v>&lt;10</x:v>
      </x:c>
    </x:row>
    <x:row r="4390">
      <x:c r="A4390" t="str">
        <x:v>SYN0004389</x:v>
      </x:c>
      <x:c r="B4390" s="12" t="n">
        <x:v>41815</x:v>
      </x:c>
      <x:c r="C4390" s="18" t="n">
        <x:v>8651</x:v>
      </x:c>
      <x:c r="D4390" s="18" t="n">
        <x:v>64107</x:v>
      </x:c>
      <x:c r="E4390" s="18" t="n">
        <x:v>18.14</x:v>
      </x:c>
      <x:c r="F4390" s="18" t="n">
        <x:v>8.35</x:v>
      </x:c>
      <x:c r="G4390" t="n">
        <x:v>36</x:v>
      </x:c>
      <x:c r="H4390" t="str">
        <x:v>B</x:v>
      </x:c>
      <x:c r="I4390" t="str">
        <x:v>10+ years</x:v>
      </x:c>
      <x:c r="J4390" t="str">
        <x:v>RENT</x:v>
      </x:c>
      <x:c r="K4390" t="str">
        <x:v>other</x:v>
      </x:c>
      <x:c r="L4390" t="n">
        <x:v>1</x:v>
      </x:c>
      <x:c r="M4390" t="n">
        <x:v>0</x:v>
      </x:c>
      <x:c r="N4390" t="str">
        <x:v>Fully Paid</x:v>
      </x:c>
      <x:c r="O4390" t="str">
        <x:f>IF(D4390="","Unknown",IF(D4390&lt;25000,"&lt;$25k",IF(D4390&lt;50000,"$25k-$50k",IF(D4390&lt;75000,"$50k-$75k",IF(D4390&lt;100000,"$75k-$100k","$100k+")))))</x:f>
        <x:v>$50k-$75k</x:v>
      </x:c>
      <x:c r="P4390" t="str">
        <x:f>IF(E4390="","Unknown",IF(E4390&lt;10,"&lt;10",IF(E4390&lt;20,"10-&lt;20",IF(E4390&lt;25,"20-&lt;25",IF(E4390&lt;35,"25-&lt;35","35+")))))</x:f>
        <x:v>10-&lt;20</x:v>
      </x:c>
    </x:row>
    <x:row r="4391">
      <x:c r="A4391" t="str">
        <x:v>SYN0004390</x:v>
      </x:c>
      <x:c r="B4391" s="12" t="n">
        <x:v>41635</x:v>
      </x:c>
      <x:c r="C4391" s="18" t="n">
        <x:v>11306</x:v>
      </x:c>
      <x:c r="D4391" s="18" t="n">
        <x:v>43769</x:v>
      </x:c>
      <x:c r="E4391" s="18" t="n">
        <x:v>20.96</x:v>
      </x:c>
      <x:c r="F4391" s="18" t="n">
        <x:v>17.06</x:v>
      </x:c>
      <x:c r="G4391" t="n">
        <x:v>36</x:v>
      </x:c>
      <x:c r="H4391" t="str">
        <x:v>E</x:v>
      </x:c>
      <x:c r="I4391" t="str">
        <x:v>&lt;1 year</x:v>
      </x:c>
      <x:c r="J4391" t="str">
        <x:v>OWN</x:v>
      </x:c>
      <x:c r="K4391" t="str">
        <x:v>debt_consolidation</x:v>
      </x:c>
      <x:c r="L4391" t="n">
        <x:v>1</x:v>
      </x:c>
      <x:c r="M4391" t="n">
        <x:v>0</x:v>
      </x:c>
      <x:c r="N4391" t="str">
        <x:v>Fully Paid</x:v>
      </x:c>
      <x:c r="O4391" t="str">
        <x:f>IF(D4391="","Unknown",IF(D4391&lt;25000,"&lt;$25k",IF(D4391&lt;50000,"$25k-$50k",IF(D4391&lt;75000,"$50k-$75k",IF(D4391&lt;100000,"$75k-$100k","$100k+")))))</x:f>
        <x:v>$25k-$50k</x:v>
      </x:c>
      <x:c r="P4391" t="str">
        <x:f>IF(E4391="","Unknown",IF(E4391&lt;10,"&lt;10",IF(E4391&lt;20,"10-&lt;20",IF(E4391&lt;25,"20-&lt;25",IF(E4391&lt;35,"25-&lt;35","35+")))))</x:f>
        <x:v>20-&lt;25</x:v>
      </x:c>
    </x:row>
    <x:row r="4392">
      <x:c r="A4392" t="str">
        <x:v>SYN0004391</x:v>
      </x:c>
      <x:c r="B4392" s="12" t="n">
        <x:v>41995</x:v>
      </x:c>
      <x:c r="C4392" s="18" t="n">
        <x:v>13648</x:v>
      </x:c>
      <x:c r="D4392" s="18" t="n">
        <x:v>82977</x:v>
      </x:c>
      <x:c r="E4392" s="18" t="n">
        <x:v>13.62</x:v>
      </x:c>
      <x:c r="F4392" s="18" t="n">
        <x:v>10.25</x:v>
      </x:c>
      <x:c r="G4392" t="n">
        <x:v>36</x:v>
      </x:c>
      <x:c r="H4392" t="str">
        <x:v>A</x:v>
      </x:c>
      <x:c r="I4392" t="str">
        <x:v>1-3 years</x:v>
      </x:c>
      <x:c r="J4392" t="str">
        <x:v>MORTGAGE</x:v>
      </x:c>
      <x:c r="K4392" t="str">
        <x:v>major_purchase</x:v>
      </x:c>
      <x:c r="L4392" t="n">
        <x:v>0</x:v>
      </x:c>
      <x:c r="M4392" t="n">
        <x:v>0</x:v>
      </x:c>
      <x:c r="N4392" t="str">
        <x:v>Fully Paid</x:v>
      </x:c>
      <x:c r="O4392" t="str">
        <x:f>IF(D4392="","Unknown",IF(D4392&lt;25000,"&lt;$25k",IF(D4392&lt;50000,"$25k-$50k",IF(D4392&lt;75000,"$50k-$75k",IF(D4392&lt;100000,"$75k-$100k","$100k+")))))</x:f>
        <x:v>$75k-$100k</x:v>
      </x:c>
      <x:c r="P4392" t="str">
        <x:f>IF(E4392="","Unknown",IF(E4392&lt;10,"&lt;10",IF(E4392&lt;20,"10-&lt;20",IF(E4392&lt;25,"20-&lt;25",IF(E4392&lt;35,"25-&lt;35","35+")))))</x:f>
        <x:v>10-&lt;20</x:v>
      </x:c>
    </x:row>
    <x:row r="4393">
      <x:c r="A4393" t="str">
        <x:v>SYN0004392</x:v>
      </x:c>
      <x:c r="B4393" s="12" t="n">
        <x:v>42895</x:v>
      </x:c>
      <x:c r="C4393" s="18" t="n">
        <x:v>4108</x:v>
      </x:c>
      <x:c r="D4393" s="18" t="n">
        <x:v>42570</x:v>
      </x:c>
      <x:c r="E4393" s="18" t="n">
        <x:v>24.27</x:v>
      </x:c>
      <x:c r="F4393" s="18" t="n">
        <x:v>11.92</x:v>
      </x:c>
      <x:c r="G4393" t="n">
        <x:v>60</x:v>
      </x:c>
      <x:c r="H4393" t="str">
        <x:v>D</x:v>
      </x:c>
      <x:c r="I4393" t="str">
        <x:v>10+ years</x:v>
      </x:c>
      <x:c r="J4393" t="str">
        <x:v>MORTGAGE</x:v>
      </x:c>
      <x:c r="K4393" t="str">
        <x:v>debt_consolidation</x:v>
      </x:c>
      <x:c r="L4393" t="n">
        <x:v>0</x:v>
      </x:c>
      <x:c r="M4393" t="n">
        <x:v>0</x:v>
      </x:c>
      <x:c r="N4393" t="str">
        <x:v>Fully Paid</x:v>
      </x:c>
      <x:c r="O4393" t="str">
        <x:f>IF(D4393="","Unknown",IF(D4393&lt;25000,"&lt;$25k",IF(D4393&lt;50000,"$25k-$50k",IF(D4393&lt;75000,"$50k-$75k",IF(D4393&lt;100000,"$75k-$100k","$100k+")))))</x:f>
        <x:v>$25k-$50k</x:v>
      </x:c>
      <x:c r="P4393" t="str">
        <x:f>IF(E4393="","Unknown",IF(E4393&lt;10,"&lt;10",IF(E4393&lt;20,"10-&lt;20",IF(E4393&lt;25,"20-&lt;25",IF(E4393&lt;35,"25-&lt;35","35+")))))</x:f>
        <x:v>20-&lt;25</x:v>
      </x:c>
    </x:row>
    <x:row r="4394">
      <x:c r="A4394" t="str">
        <x:v>SYN0004393</x:v>
      </x:c>
      <x:c r="B4394" s="12" t="n">
        <x:v>43225</x:v>
      </x:c>
      <x:c r="C4394" s="18" t="n">
        <x:v>9884</x:v>
      </x:c>
      <x:c r="D4394" s="18" t="n">
        <x:v>61479</x:v>
      </x:c>
      <x:c r="E4394" s="18" t="n">
        <x:v>18.27</x:v>
      </x:c>
      <x:c r="F4394" s="18" t="n">
        <x:v>8.24</x:v>
      </x:c>
      <x:c r="G4394" t="n">
        <x:v>36</x:v>
      </x:c>
      <x:c r="H4394" t="str">
        <x:v>B</x:v>
      </x:c>
      <x:c r="I4394" t="str">
        <x:v>4-6 years</x:v>
      </x:c>
      <x:c r="J4394" t="str">
        <x:v>OWN</x:v>
      </x:c>
      <x:c r="K4394" t="str">
        <x:v>credit_card</x:v>
      </x:c>
      <x:c r="L4394" t="n">
        <x:v>0</x:v>
      </x:c>
      <x:c r="M4394" t="n">
        <x:v>0</x:v>
      </x:c>
      <x:c r="N4394" t="str">
        <x:v>Fully Paid</x:v>
      </x:c>
      <x:c r="O4394" t="str">
        <x:f>IF(D4394="","Unknown",IF(D4394&lt;25000,"&lt;$25k",IF(D4394&lt;50000,"$25k-$50k",IF(D4394&lt;75000,"$50k-$75k",IF(D4394&lt;100000,"$75k-$100k","$100k+")))))</x:f>
        <x:v>$50k-$75k</x:v>
      </x:c>
      <x:c r="P4394" t="str">
        <x:f>IF(E4394="","Unknown",IF(E4394&lt;10,"&lt;10",IF(E4394&lt;20,"10-&lt;20",IF(E4394&lt;25,"20-&lt;25",IF(E4394&lt;35,"25-&lt;35","35+")))))</x:f>
        <x:v>10-&lt;20</x:v>
      </x:c>
    </x:row>
    <x:row r="4395">
      <x:c r="A4395" t="str">
        <x:v>SYN0004394</x:v>
      </x:c>
      <x:c r="B4395" s="12" t="n">
        <x:v>42745</x:v>
      </x:c>
      <x:c r="C4395" s="18" t="n">
        <x:v>4403</x:v>
      </x:c>
      <x:c r="D4395" s="18" t="n">
        <x:v>39605</x:v>
      </x:c>
      <x:c r="E4395" s="18" t="n">
        <x:v>15.66</x:v>
      </x:c>
      <x:c r="F4395" s="18" t="n">
        <x:v>5</x:v>
      </x:c>
      <x:c r="G4395" t="n">
        <x:v>36</x:v>
      </x:c>
      <x:c r="H4395" t="str">
        <x:v>A</x:v>
      </x:c>
      <x:c r="I4395" t="str">
        <x:v>10+ years</x:v>
      </x:c>
      <x:c r="J4395" t="str">
        <x:v>RENT</x:v>
      </x:c>
      <x:c r="K4395" t="str">
        <x:v>debt_consolidation</x:v>
      </x:c>
      <x:c r="L4395" t="n">
        <x:v>0</x:v>
      </x:c>
      <x:c r="M4395" t="n">
        <x:v>0</x:v>
      </x:c>
      <x:c r="N4395" t="str">
        <x:v>Fully Paid</x:v>
      </x:c>
      <x:c r="O4395" t="str">
        <x:f>IF(D4395="","Unknown",IF(D4395&lt;25000,"&lt;$25k",IF(D4395&lt;50000,"$25k-$50k",IF(D4395&lt;75000,"$50k-$75k",IF(D4395&lt;100000,"$75k-$100k","$100k+")))))</x:f>
        <x:v>$25k-$50k</x:v>
      </x:c>
      <x:c r="P4395" t="str">
        <x:f>IF(E4395="","Unknown",IF(E4395&lt;10,"&lt;10",IF(E4395&lt;20,"10-&lt;20",IF(E4395&lt;25,"20-&lt;25",IF(E4395&lt;35,"25-&lt;35","35+")))))</x:f>
        <x:v>10-&lt;20</x:v>
      </x:c>
    </x:row>
    <x:row r="4396">
      <x:c r="A4396" t="str">
        <x:v>SYN0004395</x:v>
      </x:c>
      <x:c r="B4396" s="12" t="n">
        <x:v>43195</x:v>
      </x:c>
      <x:c r="C4396" s="18" t="n">
        <x:v>37996</x:v>
      </x:c>
      <x:c r="D4396" s="18" t="n">
        <x:v>105778</x:v>
      </x:c>
      <x:c r="E4396" s="18" t="n">
        <x:v>22.53</x:v>
      </x:c>
      <x:c r="F4396" s="18" t="n">
        <x:v>13.8</x:v>
      </x:c>
      <x:c r="G4396" t="n">
        <x:v>60</x:v>
      </x:c>
      <x:c r="H4396" t="str">
        <x:v>D</x:v>
      </x:c>
      <x:c r="I4396" t="str">
        <x:v>4-6 years</x:v>
      </x:c>
      <x:c r="J4396" t="str">
        <x:v>RENT</x:v>
      </x:c>
      <x:c r="K4396" t="str">
        <x:v>home_improvement</x:v>
      </x:c>
      <x:c r="L4396" t="n">
        <x:v>0</x:v>
      </x:c>
      <x:c r="M4396" t="n">
        <x:v>1</x:v>
      </x:c>
      <x:c r="N4396" t="str">
        <x:v>Charged Off</x:v>
      </x:c>
      <x:c r="O4396" t="str">
        <x:f>IF(D4396="","Unknown",IF(D4396&lt;25000,"&lt;$25k",IF(D4396&lt;50000,"$25k-$50k",IF(D4396&lt;75000,"$50k-$75k",IF(D4396&lt;100000,"$75k-$100k","$100k+")))))</x:f>
        <x:v>$100k+</x:v>
      </x:c>
      <x:c r="P4396" t="str">
        <x:f>IF(E4396="","Unknown",IF(E4396&lt;10,"&lt;10",IF(E4396&lt;20,"10-&lt;20",IF(E4396&lt;25,"20-&lt;25",IF(E4396&lt;35,"25-&lt;35","35+")))))</x:f>
        <x:v>20-&lt;25</x:v>
      </x:c>
    </x:row>
    <x:row r="4397">
      <x:c r="A4397" t="str">
        <x:v>SYN0004396</x:v>
      </x:c>
      <x:c r="B4397" s="12" t="n">
        <x:v>43015</x:v>
      </x:c>
      <x:c r="C4397" s="18" t="n">
        <x:v>17534</x:v>
      </x:c>
      <x:c r="D4397" s="18" t="n">
        <x:v>80043</x:v>
      </x:c>
      <x:c r="E4397" s="18" t="n">
        <x:v>12.79</x:v>
      </x:c>
      <x:c r="F4397" s="18" t="n">
        <x:v>10.19</x:v>
      </x:c>
      <x:c r="G4397" t="n">
        <x:v>60</x:v>
      </x:c>
      <x:c r="H4397" t="str">
        <x:v>B</x:v>
      </x:c>
      <x:c r="I4397" t="str">
        <x:v>1-3 years</x:v>
      </x:c>
      <x:c r="J4397" t="str">
        <x:v>OWN</x:v>
      </x:c>
      <x:c r="K4397" t="str">
        <x:v>debt_consolidation</x:v>
      </x:c>
      <x:c r="L4397" t="n">
        <x:v>0</x:v>
      </x:c>
      <x:c r="M4397" t="n">
        <x:v>0</x:v>
      </x:c>
      <x:c r="N4397" t="str">
        <x:v>Fully Paid</x:v>
      </x:c>
      <x:c r="O4397" t="str">
        <x:f>IF(D4397="","Unknown",IF(D4397&lt;25000,"&lt;$25k",IF(D4397&lt;50000,"$25k-$50k",IF(D4397&lt;75000,"$50k-$75k",IF(D4397&lt;100000,"$75k-$100k","$100k+")))))</x:f>
        <x:v>$75k-$100k</x:v>
      </x:c>
      <x:c r="P4397" t="str">
        <x:f>IF(E4397="","Unknown",IF(E4397&lt;10,"&lt;10",IF(E4397&lt;20,"10-&lt;20",IF(E4397&lt;25,"20-&lt;25",IF(E4397&lt;35,"25-&lt;35","35+")))))</x:f>
        <x:v>10-&lt;20</x:v>
      </x:c>
    </x:row>
    <x:row r="4398">
      <x:c r="A4398" t="str">
        <x:v>SYN0004397</x:v>
      </x:c>
      <x:c r="B4398" s="12" t="n">
        <x:v>42715</x:v>
      </x:c>
      <x:c r="C4398" s="18" t="n">
        <x:v>10782</x:v>
      </x:c>
      <x:c r="D4398" s="18" t="n">
        <x:v>53640</x:v>
      </x:c>
      <x:c r="E4398" s="18" t="n">
        <x:v>14.95</x:v>
      </x:c>
      <x:c r="F4398" s="18" t="n">
        <x:v>6.39</x:v>
      </x:c>
      <x:c r="G4398" t="n">
        <x:v>36</x:v>
      </x:c>
      <x:c r="H4398" t="str">
        <x:v>A</x:v>
      </x:c>
      <x:c r="I4398" t="str">
        <x:v>&lt;1 year</x:v>
      </x:c>
      <x:c r="J4398" t="str">
        <x:v>RENT</x:v>
      </x:c>
      <x:c r="K4398" t="str">
        <x:v>debt_consolidation</x:v>
      </x:c>
      <x:c r="L4398" t="n">
        <x:v>2</x:v>
      </x:c>
      <x:c r="M4398" t="n">
        <x:v>0</x:v>
      </x:c>
      <x:c r="N4398" t="str">
        <x:v>Fully Paid</x:v>
      </x:c>
      <x:c r="O4398" t="str">
        <x:f>IF(D4398="","Unknown",IF(D4398&lt;25000,"&lt;$25k",IF(D4398&lt;50000,"$25k-$50k",IF(D4398&lt;75000,"$50k-$75k",IF(D4398&lt;100000,"$75k-$100k","$100k+")))))</x:f>
        <x:v>$50k-$75k</x:v>
      </x:c>
      <x:c r="P4398" t="str">
        <x:f>IF(E4398="","Unknown",IF(E4398&lt;10,"&lt;10",IF(E4398&lt;20,"10-&lt;20",IF(E4398&lt;25,"20-&lt;25",IF(E4398&lt;35,"25-&lt;35","35+")))))</x:f>
        <x:v>10-&lt;20</x:v>
      </x:c>
    </x:row>
    <x:row r="4399">
      <x:c r="A4399" t="str">
        <x:v>SYN0004398</x:v>
      </x:c>
      <x:c r="B4399" s="12" t="n">
        <x:v>42625</x:v>
      </x:c>
      <x:c r="C4399" s="18" t="n">
        <x:v>6776</x:v>
      </x:c>
      <x:c r="D4399" s="18" t="n">
        <x:v>88944</x:v>
      </x:c>
      <x:c r="E4399" s="18" t="n">
        <x:v>19.37</x:v>
      </x:c>
      <x:c r="F4399" s="18" t="n">
        <x:v>6.77</x:v>
      </x:c>
      <x:c r="G4399" t="n">
        <x:v>60</x:v>
      </x:c>
      <x:c r="H4399" t="str">
        <x:v>B</x:v>
      </x:c>
      <x:c r="I4399" t="str">
        <x:v>10+ years</x:v>
      </x:c>
      <x:c r="J4399" t="str">
        <x:v>MORTGAGE</x:v>
      </x:c>
      <x:c r="K4399" t="str">
        <x:v>debt_consolidation</x:v>
      </x:c>
      <x:c r="L4399" t="n">
        <x:v>0</x:v>
      </x:c>
      <x:c r="M4399" t="n">
        <x:v>0</x:v>
      </x:c>
      <x:c r="N4399" t="str">
        <x:v>Fully Paid</x:v>
      </x:c>
      <x:c r="O4399" t="str">
        <x:f>IF(D4399="","Unknown",IF(D4399&lt;25000,"&lt;$25k",IF(D4399&lt;50000,"$25k-$50k",IF(D4399&lt;75000,"$50k-$75k",IF(D4399&lt;100000,"$75k-$100k","$100k+")))))</x:f>
        <x:v>$75k-$100k</x:v>
      </x:c>
      <x:c r="P4399" t="str">
        <x:f>IF(E4399="","Unknown",IF(E4399&lt;10,"&lt;10",IF(E4399&lt;20,"10-&lt;20",IF(E4399&lt;25,"20-&lt;25",IF(E4399&lt;35,"25-&lt;35","35+")))))</x:f>
        <x:v>10-&lt;20</x:v>
      </x:c>
    </x:row>
    <x:row r="4400">
      <x:c r="A4400" t="str">
        <x:v>SYN0004399</x:v>
      </x:c>
      <x:c r="B4400" s="12" t="n">
        <x:v>42535</x:v>
      </x:c>
      <x:c r="C4400" s="18" t="n">
        <x:v>9379</x:v>
      </x:c>
      <x:c r="D4400" s="18" t="n">
        <x:v>69620</x:v>
      </x:c>
      <x:c r="E4400" s="18" t="n">
        <x:v>31.27</x:v>
      </x:c>
      <x:c r="F4400" s="18" t="n">
        <x:v>11.06</x:v>
      </x:c>
      <x:c r="G4400" t="n">
        <x:v>36</x:v>
      </x:c>
      <x:c r="H4400" t="str">
        <x:v>C</x:v>
      </x:c>
      <x:c r="I4400" t="str">
        <x:v>1-3 years</x:v>
      </x:c>
      <x:c r="J4400" t="str">
        <x:v>MORTGAGE</x:v>
      </x:c>
      <x:c r="K4400" t="str">
        <x:v>debt_consolidation</x:v>
      </x:c>
      <x:c r="L4400" t="n">
        <x:v>0</x:v>
      </x:c>
      <x:c r="M4400" t="n">
        <x:v>0</x:v>
      </x:c>
      <x:c r="N4400" t="str">
        <x:v>Fully Paid</x:v>
      </x:c>
      <x:c r="O4400" t="str">
        <x:f>IF(D4400="","Unknown",IF(D4400&lt;25000,"&lt;$25k",IF(D4400&lt;50000,"$25k-$50k",IF(D4400&lt;75000,"$50k-$75k",IF(D4400&lt;100000,"$75k-$100k","$100k+")))))</x:f>
        <x:v>$50k-$75k</x:v>
      </x:c>
      <x:c r="P4400" t="str">
        <x:f>IF(E4400="","Unknown",IF(E4400&lt;10,"&lt;10",IF(E4400&lt;20,"10-&lt;20",IF(E4400&lt;25,"20-&lt;25",IF(E4400&lt;35,"25-&lt;35","35+")))))</x:f>
        <x:v>25-&lt;35</x:v>
      </x:c>
    </x:row>
    <x:row r="4401">
      <x:c r="A4401" t="str">
        <x:v>SYN0004400</x:v>
      </x:c>
      <x:c r="B4401" s="12" t="n">
        <x:v>42235</x:v>
      </x:c>
      <x:c r="C4401" s="18" t="n">
        <x:v>10770</x:v>
      </x:c>
      <x:c r="D4401" s="18" t="n">
        <x:v>24126</x:v>
      </x:c>
      <x:c r="E4401" s="18" t="n">
        <x:v>32.7</x:v>
      </x:c>
      <x:c r="F4401" s="18" t="n">
        <x:v>19.22</x:v>
      </x:c>
      <x:c r="G4401" t="n">
        <x:v>36</x:v>
      </x:c>
      <x:c r="H4401" t="str">
        <x:v>F</x:v>
      </x:c>
      <x:c r="I4401" t="str">
        <x:v>10+ years</x:v>
      </x:c>
      <x:c r="J4401" t="str">
        <x:v>RENT</x:v>
      </x:c>
      <x:c r="K4401" t="str">
        <x:v>debt_consolidation</x:v>
      </x:c>
      <x:c r="L4401" t="n">
        <x:v>1</x:v>
      </x:c>
      <x:c r="M4401" t="n">
        <x:v>0</x:v>
      </x:c>
      <x:c r="N4401" t="str">
        <x:v>Fully Paid</x:v>
      </x:c>
      <x:c r="O4401" t="str">
        <x:f>IF(D4401="","Unknown",IF(D4401&lt;25000,"&lt;$25k",IF(D4401&lt;50000,"$25k-$50k",IF(D4401&lt;75000,"$50k-$75k",IF(D4401&lt;100000,"$75k-$100k","$100k+")))))</x:f>
        <x:v>&lt;$25k</x:v>
      </x:c>
      <x:c r="P4401" t="str">
        <x:f>IF(E4401="","Unknown",IF(E4401&lt;10,"&lt;10",IF(E4401&lt;20,"10-&lt;20",IF(E4401&lt;25,"20-&lt;25",IF(E4401&lt;35,"25-&lt;35","35+")))))</x:f>
        <x:v>25-&lt;35</x:v>
      </x:c>
    </x:row>
    <x:row r="4402">
      <x:c r="A4402" t="str">
        <x:v>SYN0004401</x:v>
      </x:c>
      <x:c r="B4402" s="12" t="n">
        <x:v>41695</x:v>
      </x:c>
      <x:c r="C4402" s="18" t="n">
        <x:v>20786</x:v>
      </x:c>
      <x:c r="D4402" s="18" t="n">
        <x:v>32107</x:v>
      </x:c>
      <x:c r="E4402" s="18" t="n">
        <x:v>18.59</x:v>
      </x:c>
      <x:c r="F4402" s="18" t="n">
        <x:v>5</x:v>
      </x:c>
      <x:c r="G4402" t="n">
        <x:v>60</x:v>
      </x:c>
      <x:c r="H4402" t="str">
        <x:v>A</x:v>
      </x:c>
      <x:c r="I4402" t="str">
        <x:v>10+ years</x:v>
      </x:c>
      <x:c r="J4402" t="str">
        <x:v>RENT</x:v>
      </x:c>
      <x:c r="K4402" t="str">
        <x:v>debt_consolidation</x:v>
      </x:c>
      <x:c r="L4402" t="n">
        <x:v>0</x:v>
      </x:c>
      <x:c r="M4402" t="n">
        <x:v>0</x:v>
      </x:c>
      <x:c r="N4402" t="str">
        <x:v>Fully Paid</x:v>
      </x:c>
      <x:c r="O4402" t="str">
        <x:f>IF(D4402="","Unknown",IF(D4402&lt;25000,"&lt;$25k",IF(D4402&lt;50000,"$25k-$50k",IF(D4402&lt;75000,"$50k-$75k",IF(D4402&lt;100000,"$75k-$100k","$100k+")))))</x:f>
        <x:v>$25k-$50k</x:v>
      </x:c>
      <x:c r="P4402" t="str">
        <x:f>IF(E4402="","Unknown",IF(E4402&lt;10,"&lt;10",IF(E4402&lt;20,"10-&lt;20",IF(E4402&lt;25,"20-&lt;25",IF(E4402&lt;35,"25-&lt;35","35+")))))</x:f>
        <x:v>10-&lt;20</x:v>
      </x:c>
    </x:row>
    <x:row r="4403">
      <x:c r="A4403" t="str">
        <x:v>SYN0004402</x:v>
      </x:c>
      <x:c r="B4403" s="12" t="n">
        <x:v>42505</x:v>
      </x:c>
      <x:c r="C4403" s="18" t="n">
        <x:v>12872</x:v>
      </x:c>
      <x:c r="D4403" s="18" t="n">
        <x:v>25791</x:v>
      </x:c>
      <x:c r="E4403" s="18" t="n">
        <x:v>27.27</x:v>
      </x:c>
      <x:c r="F4403" s="18" t="n">
        <x:v>8.93</x:v>
      </x:c>
      <x:c r="G4403" t="n">
        <x:v>36</x:v>
      </x:c>
      <x:c r="H4403" t="str">
        <x:v>D</x:v>
      </x:c>
      <x:c r="I4403" t="str">
        <x:v>1-3 years</x:v>
      </x:c>
      <x:c r="J4403" t="str">
        <x:v>RENT</x:v>
      </x:c>
      <x:c r="K4403" t="str">
        <x:v>other</x:v>
      </x:c>
      <x:c r="L4403" t="n">
        <x:v>1</x:v>
      </x:c>
      <x:c r="M4403" t="n">
        <x:v>0</x:v>
      </x:c>
      <x:c r="N4403" t="str">
        <x:v>Fully Paid</x:v>
      </x:c>
      <x:c r="O4403" t="str">
        <x:f>IF(D4403="","Unknown",IF(D4403&lt;25000,"&lt;$25k",IF(D4403&lt;50000,"$25k-$50k",IF(D4403&lt;75000,"$50k-$75k",IF(D4403&lt;100000,"$75k-$100k","$100k+")))))</x:f>
        <x:v>$25k-$50k</x:v>
      </x:c>
      <x:c r="P4403" t="str">
        <x:f>IF(E4403="","Unknown",IF(E4403&lt;10,"&lt;10",IF(E4403&lt;20,"10-&lt;20",IF(E4403&lt;25,"20-&lt;25",IF(E4403&lt;35,"25-&lt;35","35+")))))</x:f>
        <x:v>25-&lt;35</x:v>
      </x:c>
    </x:row>
    <x:row r="4404">
      <x:c r="A4404" t="str">
        <x:v>SYN0004403</x:v>
      </x:c>
      <x:c r="B4404" s="12" t="n">
        <x:v>41305</x:v>
      </x:c>
      <x:c r="C4404" s="18" t="n">
        <x:v>7171</x:v>
      </x:c>
      <x:c r="D4404" s="18" t="n">
        <x:v>198340</x:v>
      </x:c>
      <x:c r="E4404" s="18" t="n">
        <x:v>21.05</x:v>
      </x:c>
      <x:c r="F4404" s="18" t="n">
        <x:v>7.37</x:v>
      </x:c>
      <x:c r="G4404" t="n">
        <x:v>36</x:v>
      </x:c>
      <x:c r="H4404" t="str">
        <x:v>A</x:v>
      </x:c>
      <x:c r="I4404" t="str">
        <x:v>1-3 years</x:v>
      </x:c>
      <x:c r="J4404" t="str">
        <x:v>RENT</x:v>
      </x:c>
      <x:c r="K4404" t="str">
        <x:v>debt_consolidation</x:v>
      </x:c>
      <x:c r="L4404" t="n">
        <x:v>0</x:v>
      </x:c>
      <x:c r="M4404" t="n">
        <x:v>0</x:v>
      </x:c>
      <x:c r="N4404" t="str">
        <x:v>Fully Paid</x:v>
      </x:c>
      <x:c r="O4404" t="str">
        <x:f>IF(D4404="","Unknown",IF(D4404&lt;25000,"&lt;$25k",IF(D4404&lt;50000,"$25k-$50k",IF(D4404&lt;75000,"$50k-$75k",IF(D4404&lt;100000,"$75k-$100k","$100k+")))))</x:f>
        <x:v>$100k+</x:v>
      </x:c>
      <x:c r="P4404" t="str">
        <x:f>IF(E4404="","Unknown",IF(E4404&lt;10,"&lt;10",IF(E4404&lt;20,"10-&lt;20",IF(E4404&lt;25,"20-&lt;25",IF(E4404&lt;35,"25-&lt;35","35+")))))</x:f>
        <x:v>20-&lt;25</x:v>
      </x:c>
    </x:row>
    <x:row r="4405">
      <x:c r="A4405" t="str">
        <x:v>SYN0004404</x:v>
      </x:c>
      <x:c r="B4405" s="12" t="n">
        <x:v>42775</x:v>
      </x:c>
      <x:c r="C4405" s="18" t="n">
        <x:v>27651</x:v>
      </x:c>
      <x:c r="D4405" s="18" t="n">
        <x:v>56421</x:v>
      </x:c>
      <x:c r="E4405" s="18" t="n">
        <x:v>28.01</x:v>
      </x:c>
      <x:c r="F4405" s="18" t="n">
        <x:v>14.07</x:v>
      </x:c>
      <x:c r="G4405" t="n">
        <x:v>36</x:v>
      </x:c>
      <x:c r="H4405" t="str">
        <x:v>C</x:v>
      </x:c>
      <x:c r="I4405" t="str">
        <x:v>7-9 years</x:v>
      </x:c>
      <x:c r="J4405" t="str">
        <x:v>RENT</x:v>
      </x:c>
      <x:c r="K4405" t="str">
        <x:v>major_purchase</x:v>
      </x:c>
      <x:c r="L4405" t="n">
        <x:v>0</x:v>
      </x:c>
      <x:c r="M4405" t="n">
        <x:v>0</x:v>
      </x:c>
      <x:c r="N4405" t="str">
        <x:v>Fully Paid</x:v>
      </x:c>
      <x:c r="O4405" t="str">
        <x:f>IF(D4405="","Unknown",IF(D4405&lt;25000,"&lt;$25k",IF(D4405&lt;50000,"$25k-$50k",IF(D4405&lt;75000,"$50k-$75k",IF(D4405&lt;100000,"$75k-$100k","$100k+")))))</x:f>
        <x:v>$50k-$75k</x:v>
      </x:c>
      <x:c r="P4405" t="str">
        <x:f>IF(E4405="","Unknown",IF(E4405&lt;10,"&lt;10",IF(E4405&lt;20,"10-&lt;20",IF(E4405&lt;25,"20-&lt;25",IF(E4405&lt;35,"25-&lt;35","35+")))))</x:f>
        <x:v>25-&lt;35</x:v>
      </x:c>
    </x:row>
    <x:row r="4406">
      <x:c r="A4406" t="str">
        <x:v>SYN0004405</x:v>
      </x:c>
      <x:c r="B4406" s="12" t="n">
        <x:v>42175</x:v>
      </x:c>
      <x:c r="C4406" s="18" t="n">
        <x:v>13828</x:v>
      </x:c>
      <x:c r="D4406" s="18" t="n">
        <x:v>146245</x:v>
      </x:c>
      <x:c r="E4406" s="18" t="n">
        <x:v>21.73</x:v>
      </x:c>
      <x:c r="F4406" s="18" t="n">
        <x:v>8.29</x:v>
      </x:c>
      <x:c r="G4406" t="n">
        <x:v>36</x:v>
      </x:c>
      <x:c r="H4406" t="str">
        <x:v>B</x:v>
      </x:c>
      <x:c r="I4406" t="str">
        <x:v>7-9 years</x:v>
      </x:c>
      <x:c r="J4406" t="str">
        <x:v>MORTGAGE</x:v>
      </x:c>
      <x:c r="K4406" t="str">
        <x:v>credit_card</x:v>
      </x:c>
      <x:c r="L4406" t="n">
        <x:v>1</x:v>
      </x:c>
      <x:c r="M4406" t="n">
        <x:v>0</x:v>
      </x:c>
      <x:c r="N4406" t="str">
        <x:v>Fully Paid</x:v>
      </x:c>
      <x:c r="O4406" t="str">
        <x:f>IF(D4406="","Unknown",IF(D4406&lt;25000,"&lt;$25k",IF(D4406&lt;50000,"$25k-$50k",IF(D4406&lt;75000,"$50k-$75k",IF(D4406&lt;100000,"$75k-$100k","$100k+")))))</x:f>
        <x:v>$100k+</x:v>
      </x:c>
      <x:c r="P4406" t="str">
        <x:f>IF(E4406="","Unknown",IF(E4406&lt;10,"&lt;10",IF(E4406&lt;20,"10-&lt;20",IF(E4406&lt;25,"20-&lt;25",IF(E4406&lt;35,"25-&lt;35","35+")))))</x:f>
        <x:v>20-&lt;25</x:v>
      </x:c>
    </x:row>
    <x:row r="4407">
      <x:c r="A4407" t="str">
        <x:v>SYN0004406</x:v>
      </x:c>
      <x:c r="B4407" s="12" t="n">
        <x:v>42325</x:v>
      </x:c>
      <x:c r="C4407" s="18" t="n">
        <x:v>40000</x:v>
      </x:c>
      <x:c r="D4407" s="18" t="n">
        <x:v>95283</x:v>
      </x:c>
      <x:c r="E4407" s="18" t="n">
        <x:v>27.3</x:v>
      </x:c>
      <x:c r="F4407" s="18" t="n">
        <x:v>5</x:v>
      </x:c>
      <x:c r="G4407" t="n">
        <x:v>36</x:v>
      </x:c>
      <x:c r="H4407" t="str">
        <x:v>A</x:v>
      </x:c>
      <x:c r="I4407" t="str">
        <x:v>1-3 years</x:v>
      </x:c>
      <x:c r="J4407" t="str">
        <x:v>MORTGAGE</x:v>
      </x:c>
      <x:c r="K4407" t="str">
        <x:v>debt_consolidation</x:v>
      </x:c>
      <x:c r="L4407" t="n">
        <x:v>0</x:v>
      </x:c>
      <x:c r="M4407" t="n">
        <x:v>0</x:v>
      </x:c>
      <x:c r="N4407" t="str">
        <x:v>Fully Paid</x:v>
      </x:c>
      <x:c r="O4407" t="str">
        <x:f>IF(D4407="","Unknown",IF(D4407&lt;25000,"&lt;$25k",IF(D4407&lt;50000,"$25k-$50k",IF(D4407&lt;75000,"$50k-$75k",IF(D4407&lt;100000,"$75k-$100k","$100k+")))))</x:f>
        <x:v>$75k-$100k</x:v>
      </x:c>
      <x:c r="P4407" t="str">
        <x:f>IF(E4407="","Unknown",IF(E4407&lt;10,"&lt;10",IF(E4407&lt;20,"10-&lt;20",IF(E4407&lt;25,"20-&lt;25",IF(E4407&lt;35,"25-&lt;35","35+")))))</x:f>
        <x:v>25-&lt;35</x:v>
      </x:c>
    </x:row>
    <x:row r="4408">
      <x:c r="A4408" t="str">
        <x:v>SYN0004407</x:v>
      </x:c>
      <x:c r="B4408" s="12" t="n">
        <x:v>41905</x:v>
      </x:c>
      <x:c r="C4408" s="18" t="n">
        <x:v>9928</x:v>
      </x:c>
      <x:c r="D4408" s="18" t="n">
        <x:v>23372</x:v>
      </x:c>
      <x:c r="E4408" s="18" t="n">
        <x:v>16.14</x:v>
      </x:c>
      <x:c r="F4408" s="18" t="n">
        <x:v>7.54</x:v>
      </x:c>
      <x:c r="G4408" t="n">
        <x:v>36</x:v>
      </x:c>
      <x:c r="H4408" t="str">
        <x:v>B</x:v>
      </x:c>
      <x:c r="I4408" t="str">
        <x:v>1-3 years</x:v>
      </x:c>
      <x:c r="J4408" t="str">
        <x:v>RENT</x:v>
      </x:c>
      <x:c r="K4408" t="str">
        <x:v>debt_consolidation</x:v>
      </x:c>
      <x:c r="L4408" t="n">
        <x:v>0</x:v>
      </x:c>
      <x:c r="M4408" t="n">
        <x:v>0</x:v>
      </x:c>
      <x:c r="N4408" t="str">
        <x:v>Fully Paid</x:v>
      </x:c>
      <x:c r="O4408" t="str">
        <x:f>IF(D4408="","Unknown",IF(D4408&lt;25000,"&lt;$25k",IF(D4408&lt;50000,"$25k-$50k",IF(D4408&lt;75000,"$50k-$75k",IF(D4408&lt;100000,"$75k-$100k","$100k+")))))</x:f>
        <x:v>&lt;$25k</x:v>
      </x:c>
      <x:c r="P4408" t="str">
        <x:f>IF(E4408="","Unknown",IF(E4408&lt;10,"&lt;10",IF(E4408&lt;20,"10-&lt;20",IF(E4408&lt;25,"20-&lt;25",IF(E4408&lt;35,"25-&lt;35","35+")))))</x:f>
        <x:v>10-&lt;20</x:v>
      </x:c>
    </x:row>
    <x:row r="4409">
      <x:c r="A4409" t="str">
        <x:v>SYN0004408</x:v>
      </x:c>
      <x:c r="B4409" s="12" t="n">
        <x:v>42535</x:v>
      </x:c>
      <x:c r="C4409" s="18" t="n">
        <x:v>40000</x:v>
      </x:c>
      <x:c r="D4409" s="18" t="n">
        <x:v>63586</x:v>
      </x:c>
      <x:c r="E4409" s="18" t="n">
        <x:v>16.48</x:v>
      </x:c>
      <x:c r="F4409" s="18" t="n">
        <x:v>5.82</x:v>
      </x:c>
      <x:c r="G4409" t="n">
        <x:v>36</x:v>
      </x:c>
      <x:c r="H4409" t="str">
        <x:v>A</x:v>
      </x:c>
      <x:c r="I4409" t="str">
        <x:v>1-3 years</x:v>
      </x:c>
      <x:c r="J4409" t="str">
        <x:v>RENT</x:v>
      </x:c>
      <x:c r="K4409" t="str">
        <x:v>debt_consolidation</x:v>
      </x:c>
      <x:c r="L4409" t="n">
        <x:v>0</x:v>
      </x:c>
      <x:c r="M4409" t="n">
        <x:v>0</x:v>
      </x:c>
      <x:c r="N4409" t="str">
        <x:v>Fully Paid</x:v>
      </x:c>
      <x:c r="O4409" t="str">
        <x:f>IF(D4409="","Unknown",IF(D4409&lt;25000,"&lt;$25k",IF(D4409&lt;50000,"$25k-$50k",IF(D4409&lt;75000,"$50k-$75k",IF(D4409&lt;100000,"$75k-$100k","$100k+")))))</x:f>
        <x:v>$50k-$75k</x:v>
      </x:c>
      <x:c r="P4409" t="str">
        <x:f>IF(E4409="","Unknown",IF(E4409&lt;10,"&lt;10",IF(E4409&lt;20,"10-&lt;20",IF(E4409&lt;25,"20-&lt;25",IF(E4409&lt;35,"25-&lt;35","35+")))))</x:f>
        <x:v>10-&lt;20</x:v>
      </x:c>
    </x:row>
    <x:row r="4410">
      <x:c r="A4410" t="str">
        <x:v>SYN0004409</x:v>
      </x:c>
      <x:c r="B4410" s="12" t="n">
        <x:v>43375</x:v>
      </x:c>
      <x:c r="C4410" s="18" t="n">
        <x:v>13776</x:v>
      </x:c>
      <x:c r="D4410" s="18" t="n">
        <x:v>65293</x:v>
      </x:c>
      <x:c r="E4410" s="18" t="n">
        <x:v>22.11</x:v>
      </x:c>
      <x:c r="F4410" s="18" t="n">
        <x:v>13.66</x:v>
      </x:c>
      <x:c r="G4410" t="n">
        <x:v>60</x:v>
      </x:c>
      <x:c r="H4410" t="str">
        <x:v>D</x:v>
      </x:c>
      <x:c r="I4410" t="str">
        <x:v>4-6 years</x:v>
      </x:c>
      <x:c r="J4410" t="str">
        <x:v>MORTGAGE</x:v>
      </x:c>
      <x:c r="K4410" t="str">
        <x:v>debt_consolidation</x:v>
      </x:c>
      <x:c r="L4410" t="n">
        <x:v>1</x:v>
      </x:c>
      <x:c r="M4410" t="n">
        <x:v>0</x:v>
      </x:c>
      <x:c r="N4410" t="str">
        <x:v>Fully Paid</x:v>
      </x:c>
      <x:c r="O4410" t="str">
        <x:f>IF(D4410="","Unknown",IF(D4410&lt;25000,"&lt;$25k",IF(D4410&lt;50000,"$25k-$50k",IF(D4410&lt;75000,"$50k-$75k",IF(D4410&lt;100000,"$75k-$100k","$100k+")))))</x:f>
        <x:v>$50k-$75k</x:v>
      </x:c>
      <x:c r="P4410" t="str">
        <x:f>IF(E4410="","Unknown",IF(E4410&lt;10,"&lt;10",IF(E4410&lt;20,"10-&lt;20",IF(E4410&lt;25,"20-&lt;25",IF(E4410&lt;35,"25-&lt;35","35+")))))</x:f>
        <x:v>20-&lt;25</x:v>
      </x:c>
    </x:row>
    <x:row r="4411">
      <x:c r="A4411" t="str">
        <x:v>SYN0004410</x:v>
      </x:c>
      <x:c r="B4411" s="12" t="n">
        <x:v>42625</x:v>
      </x:c>
      <x:c r="C4411" s="18" t="n">
        <x:v>14645</x:v>
      </x:c>
      <x:c r="D4411" s="18" t="n">
        <x:v>107054</x:v>
      </x:c>
      <x:c r="E4411" s="18" t="n">
        <x:v>35.76</x:v>
      </x:c>
      <x:c r="F4411" s="18" t="n">
        <x:v>19.61</x:v>
      </x:c>
      <x:c r="G4411" t="n">
        <x:v>60</x:v>
      </x:c>
      <x:c r="H4411" t="str">
        <x:v>E</x:v>
      </x:c>
      <x:c r="I4411" t="str">
        <x:v>7-9 years</x:v>
      </x:c>
      <x:c r="J4411" t="str">
        <x:v>OWN</x:v>
      </x:c>
      <x:c r="K4411" t="str">
        <x:v>debt_consolidation</x:v>
      </x:c>
      <x:c r="L4411" t="n">
        <x:v>0</x:v>
      </x:c>
      <x:c r="M4411" t="n">
        <x:v>0</x:v>
      </x:c>
      <x:c r="N4411" t="str">
        <x:v>Fully Paid</x:v>
      </x:c>
      <x:c r="O4411" t="str">
        <x:f>IF(D4411="","Unknown",IF(D4411&lt;25000,"&lt;$25k",IF(D4411&lt;50000,"$25k-$50k",IF(D4411&lt;75000,"$50k-$75k",IF(D4411&lt;100000,"$75k-$100k","$100k+")))))</x:f>
        <x:v>$100k+</x:v>
      </x:c>
      <x:c r="P4411" t="str">
        <x:f>IF(E4411="","Unknown",IF(E4411&lt;10,"&lt;10",IF(E4411&lt;20,"10-&lt;20",IF(E4411&lt;25,"20-&lt;25",IF(E4411&lt;35,"25-&lt;35","35+")))))</x:f>
        <x:v>35+</x:v>
      </x:c>
    </x:row>
    <x:row r="4412">
      <x:c r="A4412" t="str">
        <x:v>SYN0004411</x:v>
      </x:c>
      <x:c r="B4412" s="12" t="n">
        <x:v>42865</x:v>
      </x:c>
      <x:c r="C4412" s="18" t="n">
        <x:v>8712</x:v>
      </x:c>
      <x:c r="D4412" s="18" t="n">
        <x:v>35047</x:v>
      </x:c>
      <x:c r="E4412" s="18" t="n">
        <x:v>29.5</x:v>
      </x:c>
      <x:c r="F4412" s="18" t="n">
        <x:v>10.87</x:v>
      </x:c>
      <x:c r="G4412" t="n">
        <x:v>36</x:v>
      </x:c>
      <x:c r="H4412" t="str">
        <x:v>C</x:v>
      </x:c>
      <x:c r="I4412" t="str">
        <x:v>4-6 years</x:v>
      </x:c>
      <x:c r="J4412" t="str">
        <x:v>RENT</x:v>
      </x:c>
      <x:c r="K4412" t="str">
        <x:v>debt_consolidation</x:v>
      </x:c>
      <x:c r="L4412" t="n">
        <x:v>0</x:v>
      </x:c>
      <x:c r="M4412" t="n">
        <x:v>0</x:v>
      </x:c>
      <x:c r="N4412" t="str">
        <x:v>Fully Paid</x:v>
      </x:c>
      <x:c r="O4412" t="str">
        <x:f>IF(D4412="","Unknown",IF(D4412&lt;25000,"&lt;$25k",IF(D4412&lt;50000,"$25k-$50k",IF(D4412&lt;75000,"$50k-$75k",IF(D4412&lt;100000,"$75k-$100k","$100k+")))))</x:f>
        <x:v>$25k-$50k</x:v>
      </x:c>
      <x:c r="P4412" t="str">
        <x:f>IF(E4412="","Unknown",IF(E4412&lt;10,"&lt;10",IF(E4412&lt;20,"10-&lt;20",IF(E4412&lt;25,"20-&lt;25",IF(E4412&lt;35,"25-&lt;35","35+")))))</x:f>
        <x:v>25-&lt;35</x:v>
      </x:c>
    </x:row>
    <x:row r="4413">
      <x:c r="A4413" t="str">
        <x:v>SYN0004412</x:v>
      </x:c>
      <x:c r="B4413" s="12" t="n">
        <x:v>42865</x:v>
      </x:c>
      <x:c r="C4413" s="18" t="n">
        <x:v>31367</x:v>
      </x:c>
      <x:c r="D4413" s="18" t="n">
        <x:v>47568</x:v>
      </x:c>
      <x:c r="E4413" s="18" t="n">
        <x:v>24.68</x:v>
      </x:c>
      <x:c r="F4413" s="18" t="n">
        <x:v>11.5</x:v>
      </x:c>
      <x:c r="G4413" t="n">
        <x:v>60</x:v>
      </x:c>
      <x:c r="H4413" t="str">
        <x:v>C</x:v>
      </x:c>
      <x:c r="I4413" t="str">
        <x:v>10+ years</x:v>
      </x:c>
      <x:c r="J4413" t="str">
        <x:v>OWN</x:v>
      </x:c>
      <x:c r="K4413" t="str">
        <x:v>home_improvement</x:v>
      </x:c>
      <x:c r="L4413" t="n">
        <x:v>0</x:v>
      </x:c>
      <x:c r="M4413" t="n">
        <x:v>0</x:v>
      </x:c>
      <x:c r="N4413" t="str">
        <x:v>Fully Paid</x:v>
      </x:c>
      <x:c r="O4413" t="str">
        <x:f>IF(D4413="","Unknown",IF(D4413&lt;25000,"&lt;$25k",IF(D4413&lt;50000,"$25k-$50k",IF(D4413&lt;75000,"$50k-$75k",IF(D4413&lt;100000,"$75k-$100k","$100k+")))))</x:f>
        <x:v>$25k-$50k</x:v>
      </x:c>
      <x:c r="P4413" t="str">
        <x:f>IF(E4413="","Unknown",IF(E4413&lt;10,"&lt;10",IF(E4413&lt;20,"10-&lt;20",IF(E4413&lt;25,"20-&lt;25",IF(E4413&lt;35,"25-&lt;35","35+")))))</x:f>
        <x:v>20-&lt;25</x:v>
      </x:c>
    </x:row>
    <x:row r="4414">
      <x:c r="A4414" t="str">
        <x:v>SYN0004413</x:v>
      </x:c>
      <x:c r="B4414" s="12" t="n">
        <x:v>41995</x:v>
      </x:c>
      <x:c r="C4414" s="18" t="n">
        <x:v>12429</x:v>
      </x:c>
      <x:c r="D4414" s="18" t="n">
        <x:v>81253</x:v>
      </x:c>
      <x:c r="E4414" s="18" t="n">
        <x:v>18.24</x:v>
      </x:c>
      <x:c r="F4414" s="18" t="n">
        <x:v>16.59</x:v>
      </x:c>
      <x:c r="G4414" t="n">
        <x:v>36</x:v>
      </x:c>
      <x:c r="H4414" t="str">
        <x:v>E</x:v>
      </x:c>
      <x:c r="I4414" t="str">
        <x:v>10+ years</x:v>
      </x:c>
      <x:c r="J4414" t="str">
        <x:v>MORTGAGE</x:v>
      </x:c>
      <x:c r="K4414" t="str">
        <x:v>other</x:v>
      </x:c>
      <x:c r="L4414" t="n">
        <x:v>1</x:v>
      </x:c>
      <x:c r="M4414" t="n">
        <x:v>0</x:v>
      </x:c>
      <x:c r="N4414" t="str">
        <x:v>Fully Paid</x:v>
      </x:c>
      <x:c r="O4414" t="str">
        <x:f>IF(D4414="","Unknown",IF(D4414&lt;25000,"&lt;$25k",IF(D4414&lt;50000,"$25k-$50k",IF(D4414&lt;75000,"$50k-$75k",IF(D4414&lt;100000,"$75k-$100k","$100k+")))))</x:f>
        <x:v>$75k-$100k</x:v>
      </x:c>
      <x:c r="P4414" t="str">
        <x:f>IF(E4414="","Unknown",IF(E4414&lt;10,"&lt;10",IF(E4414&lt;20,"10-&lt;20",IF(E4414&lt;25,"20-&lt;25",IF(E4414&lt;35,"25-&lt;35","35+")))))</x:f>
        <x:v>10-&lt;20</x:v>
      </x:c>
    </x:row>
    <x:row r="4415">
      <x:c r="A4415" t="str">
        <x:v>SYN0004414</x:v>
      </x:c>
      <x:c r="B4415" s="12" t="n">
        <x:v>41965</x:v>
      </x:c>
      <x:c r="C4415" s="18" t="n">
        <x:v>24708</x:v>
      </x:c>
      <x:c r="D4415" s="18" t="n">
        <x:v>43607</x:v>
      </x:c>
      <x:c r="E4415" s="18" t="n">
        <x:v>7.46</x:v>
      </x:c>
      <x:c r="F4415" s="18" t="n">
        <x:v>16.47</x:v>
      </x:c>
      <x:c r="G4415" t="n">
        <x:v>60</x:v>
      </x:c>
      <x:c r="H4415" t="str">
        <x:v>D</x:v>
      </x:c>
      <x:c r="I4415" t="str">
        <x:v>7-9 years</x:v>
      </x:c>
      <x:c r="J4415" t="str">
        <x:v>RENT</x:v>
      </x:c>
      <x:c r="K4415" t="str">
        <x:v>debt_consolidation</x:v>
      </x:c>
      <x:c r="L4415" t="n">
        <x:v>2</x:v>
      </x:c>
      <x:c r="M4415" t="n">
        <x:v>0</x:v>
      </x:c>
      <x:c r="N4415" t="str">
        <x:v>Fully Paid</x:v>
      </x:c>
      <x:c r="O4415" t="str">
        <x:f>IF(D4415="","Unknown",IF(D4415&lt;25000,"&lt;$25k",IF(D4415&lt;50000,"$25k-$50k",IF(D4415&lt;75000,"$50k-$75k",IF(D4415&lt;100000,"$75k-$100k","$100k+")))))</x:f>
        <x:v>$25k-$50k</x:v>
      </x:c>
      <x:c r="P4415" t="str">
        <x:f>IF(E4415="","Unknown",IF(E4415&lt;10,"&lt;10",IF(E4415&lt;20,"10-&lt;20",IF(E4415&lt;25,"20-&lt;25",IF(E4415&lt;35,"25-&lt;35","35+")))))</x:f>
        <x:v>&lt;10</x:v>
      </x:c>
    </x:row>
    <x:row r="4416">
      <x:c r="A4416" t="str">
        <x:v>SYN0004415</x:v>
      </x:c>
      <x:c r="B4416" s="12" t="n">
        <x:v>42445</x:v>
      </x:c>
      <x:c r="C4416" s="18" t="n">
        <x:v>9886</x:v>
      </x:c>
      <x:c r="D4416" s="18" t="n">
        <x:v>170330</x:v>
      </x:c>
      <x:c r="E4416" s="18" t="n">
        <x:v>20.24</x:v>
      </x:c>
      <x:c r="F4416" s="18" t="n">
        <x:v>9.53</x:v>
      </x:c>
      <x:c r="G4416" t="n">
        <x:v>36</x:v>
      </x:c>
      <x:c r="H4416" t="str">
        <x:v>B</x:v>
      </x:c>
      <x:c r="I4416" t="str">
        <x:v>10+ years</x:v>
      </x:c>
      <x:c r="J4416" t="str">
        <x:v>MORTGAGE</x:v>
      </x:c>
      <x:c r="K4416" t="str">
        <x:v>debt_consolidation</x:v>
      </x:c>
      <x:c r="L4416" t="n">
        <x:v>1</x:v>
      </x:c>
      <x:c r="M4416" t="n">
        <x:v>0</x:v>
      </x:c>
      <x:c r="N4416" t="str">
        <x:v>Fully Paid</x:v>
      </x:c>
      <x:c r="O4416" t="str">
        <x:f>IF(D4416="","Unknown",IF(D4416&lt;25000,"&lt;$25k",IF(D4416&lt;50000,"$25k-$50k",IF(D4416&lt;75000,"$50k-$75k",IF(D4416&lt;100000,"$75k-$100k","$100k+")))))</x:f>
        <x:v>$100k+</x:v>
      </x:c>
      <x:c r="P4416" t="str">
        <x:f>IF(E4416="","Unknown",IF(E4416&lt;10,"&lt;10",IF(E4416&lt;20,"10-&lt;20",IF(E4416&lt;25,"20-&lt;25",IF(E4416&lt;35,"25-&lt;35","35+")))))</x:f>
        <x:v>20-&lt;25</x:v>
      </x:c>
    </x:row>
    <x:row r="4417">
      <x:c r="A4417" t="str">
        <x:v>SYN0004416</x:v>
      </x:c>
      <x:c r="B4417" s="12" t="n">
        <x:v>43165</x:v>
      </x:c>
      <x:c r="C4417" s="18" t="n">
        <x:v>16291</x:v>
      </x:c>
      <x:c r="D4417" s="18" t="n">
        <x:v>26129</x:v>
      </x:c>
      <x:c r="E4417" s="18" t="n">
        <x:v>16.54</x:v>
      </x:c>
      <x:c r="F4417" s="18" t="n">
        <x:v>5.86</x:v>
      </x:c>
      <x:c r="G4417" t="n">
        <x:v>36</x:v>
      </x:c>
      <x:c r="H4417" t="str">
        <x:v>B</x:v>
      </x:c>
      <x:c r="I4417" t="str">
        <x:v>4-6 years</x:v>
      </x:c>
      <x:c r="J4417" t="str">
        <x:v>MORTGAGE</x:v>
      </x:c>
      <x:c r="K4417" t="str">
        <x:v>major_purchase</x:v>
      </x:c>
      <x:c r="L4417" t="n">
        <x:v>1</x:v>
      </x:c>
      <x:c r="M4417" t="n">
        <x:v>0</x:v>
      </x:c>
      <x:c r="N4417" t="str">
        <x:v>Fully Paid</x:v>
      </x:c>
      <x:c r="O4417" t="str">
        <x:f>IF(D4417="","Unknown",IF(D4417&lt;25000,"&lt;$25k",IF(D4417&lt;50000,"$25k-$50k",IF(D4417&lt;75000,"$50k-$75k",IF(D4417&lt;100000,"$75k-$100k","$100k+")))))</x:f>
        <x:v>$25k-$50k</x:v>
      </x:c>
      <x:c r="P4417" t="str">
        <x:f>IF(E4417="","Unknown",IF(E4417&lt;10,"&lt;10",IF(E4417&lt;20,"10-&lt;20",IF(E4417&lt;25,"20-&lt;25",IF(E4417&lt;35,"25-&lt;35","35+")))))</x:f>
        <x:v>10-&lt;20</x:v>
      </x:c>
    </x:row>
    <x:row r="4418">
      <x:c r="A4418" t="str">
        <x:v>SYN0004417</x:v>
      </x:c>
      <x:c r="B4418" s="12" t="n">
        <x:v>41425</x:v>
      </x:c>
      <x:c r="C4418" s="18" t="n">
        <x:v>15483</x:v>
      </x:c>
      <x:c r="D4418" s="18" t="n">
        <x:v>35183</x:v>
      </x:c>
      <x:c r="E4418" s="18" t="n">
        <x:v>17.14</x:v>
      </x:c>
      <x:c r="F4418" s="18" t="n">
        <x:v>5.09</x:v>
      </x:c>
      <x:c r="G4418" t="n">
        <x:v>36</x:v>
      </x:c>
      <x:c r="H4418" t="str">
        <x:v>A</x:v>
      </x:c>
      <x:c r="I4418" t="str">
        <x:v>4-6 years</x:v>
      </x:c>
      <x:c r="J4418" t="str">
        <x:v>OWN</x:v>
      </x:c>
      <x:c r="K4418" t="str">
        <x:v>credit_card</x:v>
      </x:c>
      <x:c r="L4418" t="n">
        <x:v>0</x:v>
      </x:c>
      <x:c r="M4418" t="n">
        <x:v>0</x:v>
      </x:c>
      <x:c r="N4418" t="str">
        <x:v>Fully Paid</x:v>
      </x:c>
      <x:c r="O4418" t="str">
        <x:f>IF(D4418="","Unknown",IF(D4418&lt;25000,"&lt;$25k",IF(D4418&lt;50000,"$25k-$50k",IF(D4418&lt;75000,"$50k-$75k",IF(D4418&lt;100000,"$75k-$100k","$100k+")))))</x:f>
        <x:v>$25k-$50k</x:v>
      </x:c>
      <x:c r="P4418" t="str">
        <x:f>IF(E4418="","Unknown",IF(E4418&lt;10,"&lt;10",IF(E4418&lt;20,"10-&lt;20",IF(E4418&lt;25,"20-&lt;25",IF(E4418&lt;35,"25-&lt;35","35+")))))</x:f>
        <x:v>10-&lt;20</x:v>
      </x:c>
    </x:row>
    <x:row r="4419">
      <x:c r="A4419" t="str">
        <x:v>SYN0004418</x:v>
      </x:c>
      <x:c r="B4419" s="12" t="n">
        <x:v>41545</x:v>
      </x:c>
      <x:c r="C4419" s="18" t="n">
        <x:v>6891</x:v>
      </x:c>
      <x:c r="D4419" s="18" t="n">
        <x:v>144156</x:v>
      </x:c>
      <x:c r="E4419" s="18" t="n">
        <x:v>11.47</x:v>
      </x:c>
      <x:c r="F4419" s="18" t="n">
        <x:v>15.02</x:v>
      </x:c>
      <x:c r="G4419" t="n">
        <x:v>36</x:v>
      </x:c>
      <x:c r="H4419" t="str">
        <x:v>D</x:v>
      </x:c>
      <x:c r="I4419" t="str">
        <x:v>10+ years</x:v>
      </x:c>
      <x:c r="J4419" t="str">
        <x:v>RENT</x:v>
      </x:c>
      <x:c r="K4419" t="str">
        <x:v>medical</x:v>
      </x:c>
      <x:c r="L4419" t="n">
        <x:v>0</x:v>
      </x:c>
      <x:c r="M4419" t="n">
        <x:v>0</x:v>
      </x:c>
      <x:c r="N4419" t="str">
        <x:v>Fully Paid</x:v>
      </x:c>
      <x:c r="O4419" t="str">
        <x:f>IF(D4419="","Unknown",IF(D4419&lt;25000,"&lt;$25k",IF(D4419&lt;50000,"$25k-$50k",IF(D4419&lt;75000,"$50k-$75k",IF(D4419&lt;100000,"$75k-$100k","$100k+")))))</x:f>
        <x:v>$100k+</x:v>
      </x:c>
      <x:c r="P4419" t="str">
        <x:f>IF(E4419="","Unknown",IF(E4419&lt;10,"&lt;10",IF(E4419&lt;20,"10-&lt;20",IF(E4419&lt;25,"20-&lt;25",IF(E4419&lt;35,"25-&lt;35","35+")))))</x:f>
        <x:v>10-&lt;20</x:v>
      </x:c>
    </x:row>
    <x:row r="4420">
      <x:c r="A4420" t="str">
        <x:v>SYN0004419</x:v>
      </x:c>
      <x:c r="B4420" s="12" t="n">
        <x:v>41695</x:v>
      </x:c>
      <x:c r="C4420" s="18" t="n">
        <x:v>14146</x:v>
      </x:c>
      <x:c r="D4420" s="18" t="n">
        <x:v>51238</x:v>
      </x:c>
      <x:c r="E4420" s="18" t="n">
        <x:v>21.9</x:v>
      </x:c>
      <x:c r="F4420" s="18" t="n">
        <x:v>7.48</x:v>
      </x:c>
      <x:c r="G4420" t="n">
        <x:v>60</x:v>
      </x:c>
      <x:c r="H4420" t="str">
        <x:v>B</x:v>
      </x:c>
      <x:c r="I4420" t="str">
        <x:v>7-9 years</x:v>
      </x:c>
      <x:c r="J4420" t="str">
        <x:v>MORTGAGE</x:v>
      </x:c>
      <x:c r="K4420" t="str">
        <x:v>credit_card</x:v>
      </x:c>
      <x:c r="L4420" t="n">
        <x:v>0</x:v>
      </x:c>
      <x:c r="M4420" t="n">
        <x:v>0</x:v>
      </x:c>
      <x:c r="N4420" t="str">
        <x:v>Fully Paid</x:v>
      </x:c>
      <x:c r="O4420" t="str">
        <x:f>IF(D4420="","Unknown",IF(D4420&lt;25000,"&lt;$25k",IF(D4420&lt;50000,"$25k-$50k",IF(D4420&lt;75000,"$50k-$75k",IF(D4420&lt;100000,"$75k-$100k","$100k+")))))</x:f>
        <x:v>$50k-$75k</x:v>
      </x:c>
      <x:c r="P4420" t="str">
        <x:f>IF(E4420="","Unknown",IF(E4420&lt;10,"&lt;10",IF(E4420&lt;20,"10-&lt;20",IF(E4420&lt;25,"20-&lt;25",IF(E4420&lt;35,"25-&lt;35","35+")))))</x:f>
        <x:v>20-&lt;25</x:v>
      </x:c>
    </x:row>
    <x:row r="4421">
      <x:c r="A4421" t="str">
        <x:v>SYN0004420</x:v>
      </x:c>
      <x:c r="B4421" s="12" t="n">
        <x:v>41785</x:v>
      </x:c>
      <x:c r="C4421" s="18" t="n">
        <x:v>3249</x:v>
      </x:c>
      <x:c r="D4421" s="18" t="n">
        <x:v>63990</x:v>
      </x:c>
      <x:c r="E4421" s="18" t="n">
        <x:v>11.42</x:v>
      </x:c>
      <x:c r="F4421" s="18" t="n">
        <x:v>13.07</x:v>
      </x:c>
      <x:c r="G4421" t="n">
        <x:v>36</x:v>
      </x:c>
      <x:c r="H4421" t="str">
        <x:v>D</x:v>
      </x:c>
      <x:c r="I4421" t="str">
        <x:v>10+ years</x:v>
      </x:c>
      <x:c r="J4421" t="str">
        <x:v>OWN</x:v>
      </x:c>
      <x:c r="K4421" t="str">
        <x:v>major_purchase</x:v>
      </x:c>
      <x:c r="L4421" t="n">
        <x:v>2</x:v>
      </x:c>
      <x:c r="M4421" t="n">
        <x:v>0</x:v>
      </x:c>
      <x:c r="N4421" t="str">
        <x:v>Fully Paid</x:v>
      </x:c>
      <x:c r="O4421" t="str">
        <x:f>IF(D4421="","Unknown",IF(D4421&lt;25000,"&lt;$25k",IF(D4421&lt;50000,"$25k-$50k",IF(D4421&lt;75000,"$50k-$75k",IF(D4421&lt;100000,"$75k-$100k","$100k+")))))</x:f>
        <x:v>$50k-$75k</x:v>
      </x:c>
      <x:c r="P4421" t="str">
        <x:f>IF(E4421="","Unknown",IF(E4421&lt;10,"&lt;10",IF(E4421&lt;20,"10-&lt;20",IF(E4421&lt;25,"20-&lt;25",IF(E4421&lt;35,"25-&lt;35","35+")))))</x:f>
        <x:v>10-&lt;20</x:v>
      </x:c>
    </x:row>
    <x:row r="4422">
      <x:c r="A4422" t="str">
        <x:v>SYN0004421</x:v>
      </x:c>
      <x:c r="B4422" s="12" t="n">
        <x:v>41785</x:v>
      </x:c>
      <x:c r="C4422" s="18" t="n">
        <x:v>14088</x:v>
      </x:c>
      <x:c r="D4422" s="18" t="n">
        <x:v>30878</x:v>
      </x:c>
      <x:c r="E4422" s="18" t="n">
        <x:v>34.23</x:v>
      </x:c>
      <x:c r="F4422" s="18" t="n">
        <x:v>21.33</x:v>
      </x:c>
      <x:c r="G4422" t="n">
        <x:v>36</x:v>
      </x:c>
      <x:c r="H4422" t="str">
        <x:v>F</x:v>
      </x:c>
      <x:c r="I4422" t="str">
        <x:v>4-6 years</x:v>
      </x:c>
      <x:c r="J4422" t="str">
        <x:v>MORTGAGE</x:v>
      </x:c>
      <x:c r="K4422" t="str">
        <x:v>credit_card</x:v>
      </x:c>
      <x:c r="L4422" t="n">
        <x:v>0</x:v>
      </x:c>
      <x:c r="M4422" t="n">
        <x:v>0</x:v>
      </x:c>
      <x:c r="N4422" t="str">
        <x:v>Fully Paid</x:v>
      </x:c>
      <x:c r="O4422" t="str">
        <x:f>IF(D4422="","Unknown",IF(D4422&lt;25000,"&lt;$25k",IF(D4422&lt;50000,"$25k-$50k",IF(D4422&lt;75000,"$50k-$75k",IF(D4422&lt;100000,"$75k-$100k","$100k+")))))</x:f>
        <x:v>$25k-$50k</x:v>
      </x:c>
      <x:c r="P4422" t="str">
        <x:f>IF(E4422="","Unknown",IF(E4422&lt;10,"&lt;10",IF(E4422&lt;20,"10-&lt;20",IF(E4422&lt;25,"20-&lt;25",IF(E4422&lt;35,"25-&lt;35","35+")))))</x:f>
        <x:v>25-&lt;35</x:v>
      </x:c>
    </x:row>
    <x:row r="4423">
      <x:c r="A4423" t="str">
        <x:v>SYN0004422</x:v>
      </x:c>
      <x:c r="B4423" s="12" t="n">
        <x:v>42385</x:v>
      </x:c>
      <x:c r="C4423" s="18" t="n">
        <x:v>7808</x:v>
      </x:c>
      <x:c r="D4423" s="18" t="n">
        <x:v>95613</x:v>
      </x:c>
      <x:c r="E4423" s="18" t="n">
        <x:v>26.1</x:v>
      </x:c>
      <x:c r="F4423" s="18" t="n">
        <x:v>16.69</x:v>
      </x:c>
      <x:c r="G4423" t="n">
        <x:v>60</x:v>
      </x:c>
      <x:c r="H4423" t="str">
        <x:v>D</x:v>
      </x:c>
      <x:c r="I4423" t="str">
        <x:v>10+ years</x:v>
      </x:c>
      <x:c r="J4423" t="str">
        <x:v>OWN</x:v>
      </x:c>
      <x:c r="K4423" t="str">
        <x:v>debt_consolidation</x:v>
      </x:c>
      <x:c r="L4423" t="n">
        <x:v>0</x:v>
      </x:c>
      <x:c r="M4423" t="n">
        <x:v>0</x:v>
      </x:c>
      <x:c r="N4423" t="str">
        <x:v>Fully Paid</x:v>
      </x:c>
      <x:c r="O4423" t="str">
        <x:f>IF(D4423="","Unknown",IF(D4423&lt;25000,"&lt;$25k",IF(D4423&lt;50000,"$25k-$50k",IF(D4423&lt;75000,"$50k-$75k",IF(D4423&lt;100000,"$75k-$100k","$100k+")))))</x:f>
        <x:v>$75k-$100k</x:v>
      </x:c>
      <x:c r="P4423" t="str">
        <x:f>IF(E4423="","Unknown",IF(E4423&lt;10,"&lt;10",IF(E4423&lt;20,"10-&lt;20",IF(E4423&lt;25,"20-&lt;25",IF(E4423&lt;35,"25-&lt;35","35+")))))</x:f>
        <x:v>25-&lt;35</x:v>
      </x:c>
    </x:row>
    <x:row r="4424">
      <x:c r="A4424" t="str">
        <x:v>SYN0004423</x:v>
      </x:c>
      <x:c r="B4424" s="12" t="n">
        <x:v>41365</x:v>
      </x:c>
      <x:c r="C4424" s="18" t="n">
        <x:v>11286</x:v>
      </x:c>
      <x:c r="D4424" s="18" t="n">
        <x:v>91385</x:v>
      </x:c>
      <x:c r="E4424" s="18" t="n">
        <x:v>28.36</x:v>
      </x:c>
      <x:c r="F4424" s="18" t="n">
        <x:v>14.11</x:v>
      </x:c>
      <x:c r="G4424" t="n">
        <x:v>36</x:v>
      </x:c>
      <x:c r="H4424" t="str">
        <x:v>E</x:v>
      </x:c>
      <x:c r="I4424" t="str">
        <x:v>10+ years</x:v>
      </x:c>
      <x:c r="J4424" t="str">
        <x:v>MORTGAGE</x:v>
      </x:c>
      <x:c r="K4424" t="str">
        <x:v>home_improvement</x:v>
      </x:c>
      <x:c r="L4424" t="n">
        <x:v>1</x:v>
      </x:c>
      <x:c r="M4424" t="n">
        <x:v>0</x:v>
      </x:c>
      <x:c r="N4424" t="str">
        <x:v>Fully Paid</x:v>
      </x:c>
      <x:c r="O4424" t="str">
        <x:f>IF(D4424="","Unknown",IF(D4424&lt;25000,"&lt;$25k",IF(D4424&lt;50000,"$25k-$50k",IF(D4424&lt;75000,"$50k-$75k",IF(D4424&lt;100000,"$75k-$100k","$100k+")))))</x:f>
        <x:v>$75k-$100k</x:v>
      </x:c>
      <x:c r="P4424" t="str">
        <x:f>IF(E4424="","Unknown",IF(E4424&lt;10,"&lt;10",IF(E4424&lt;20,"10-&lt;20",IF(E4424&lt;25,"20-&lt;25",IF(E4424&lt;35,"25-&lt;35","35+")))))</x:f>
        <x:v>25-&lt;35</x:v>
      </x:c>
    </x:row>
    <x:row r="4425">
      <x:c r="A4425" t="str">
        <x:v>SYN0004424</x:v>
      </x:c>
      <x:c r="B4425" s="12" t="n">
        <x:v>42655</x:v>
      </x:c>
      <x:c r="C4425" s="18" t="n">
        <x:v>7281</x:v>
      </x:c>
      <x:c r="D4425" s="18" t="n">
        <x:v>35284</x:v>
      </x:c>
      <x:c r="E4425" s="18" t="n">
        <x:v>28.07</x:v>
      </x:c>
      <x:c r="F4425" s="18" t="n">
        <x:v>14.34</x:v>
      </x:c>
      <x:c r="G4425" t="n">
        <x:v>60</x:v>
      </x:c>
      <x:c r="H4425" t="str">
        <x:v>D</x:v>
      </x:c>
      <x:c r="I4425" t="str">
        <x:v>10+ years</x:v>
      </x:c>
      <x:c r="J4425" t="str">
        <x:v>MORTGAGE</x:v>
      </x:c>
      <x:c r="K4425" t="str">
        <x:v>major_purchase</x:v>
      </x:c>
      <x:c r="L4425" t="n">
        <x:v>0</x:v>
      </x:c>
      <x:c r="M4425" t="n">
        <x:v>0</x:v>
      </x:c>
      <x:c r="N4425" t="str">
        <x:v>Fully Paid</x:v>
      </x:c>
      <x:c r="O4425" t="str">
        <x:f>IF(D4425="","Unknown",IF(D4425&lt;25000,"&lt;$25k",IF(D4425&lt;50000,"$25k-$50k",IF(D4425&lt;75000,"$50k-$75k",IF(D4425&lt;100000,"$75k-$100k","$100k+")))))</x:f>
        <x:v>$25k-$50k</x:v>
      </x:c>
      <x:c r="P4425" t="str">
        <x:f>IF(E4425="","Unknown",IF(E4425&lt;10,"&lt;10",IF(E4425&lt;20,"10-&lt;20",IF(E4425&lt;25,"20-&lt;25",IF(E4425&lt;35,"25-&lt;35","35+")))))</x:f>
        <x:v>25-&lt;35</x:v>
      </x:c>
    </x:row>
    <x:row r="4426">
      <x:c r="A4426" t="str">
        <x:v>SYN0004425</x:v>
      </x:c>
      <x:c r="B4426" s="12" t="n">
        <x:v>42325</x:v>
      </x:c>
      <x:c r="C4426" s="18" t="n">
        <x:v>9141</x:v>
      </x:c>
      <x:c r="D4426" s="18" t="n">
        <x:v>83164</x:v>
      </x:c>
      <x:c r="E4426" s="18" t="n">
        <x:v>18.46</x:v>
      </x:c>
      <x:c r="F4426" s="18" t="n">
        <x:v>18.45</x:v>
      </x:c>
      <x:c r="G4426" t="n">
        <x:v>36</x:v>
      </x:c>
      <x:c r="H4426" t="str">
        <x:v>E</x:v>
      </x:c>
      <x:c r="I4426" t="str">
        <x:v>1-3 years</x:v>
      </x:c>
      <x:c r="J4426" t="str">
        <x:v>MORTGAGE</x:v>
      </x:c>
      <x:c r="K4426" t="str">
        <x:v>home_improvement</x:v>
      </x:c>
      <x:c r="L4426" t="n">
        <x:v>0</x:v>
      </x:c>
      <x:c r="M4426" t="n">
        <x:v>1</x:v>
      </x:c>
      <x:c r="N4426" t="str">
        <x:v>Charged Off</x:v>
      </x:c>
      <x:c r="O4426" t="str">
        <x:f>IF(D4426="","Unknown",IF(D4426&lt;25000,"&lt;$25k",IF(D4426&lt;50000,"$25k-$50k",IF(D4426&lt;75000,"$50k-$75k",IF(D4426&lt;100000,"$75k-$100k","$100k+")))))</x:f>
        <x:v>$75k-$100k</x:v>
      </x:c>
      <x:c r="P4426" t="str">
        <x:f>IF(E4426="","Unknown",IF(E4426&lt;10,"&lt;10",IF(E4426&lt;20,"10-&lt;20",IF(E4426&lt;25,"20-&lt;25",IF(E4426&lt;35,"25-&lt;35","35+")))))</x:f>
        <x:v>10-&lt;20</x:v>
      </x:c>
    </x:row>
    <x:row r="4427">
      <x:c r="A4427" t="str">
        <x:v>SYN0004426</x:v>
      </x:c>
      <x:c r="B4427" s="12" t="n">
        <x:v>42385</x:v>
      </x:c>
      <x:c r="C4427" s="18" t="n">
        <x:v>7761</x:v>
      </x:c>
      <x:c r="D4427" s="18" t="n">
        <x:v>56295</x:v>
      </x:c>
      <x:c r="E4427" s="18" t="n">
        <x:v>17.25</x:v>
      </x:c>
      <x:c r="F4427" s="18" t="n">
        <x:v>22.78</x:v>
      </x:c>
      <x:c r="G4427" t="n">
        <x:v>60</x:v>
      </x:c>
      <x:c r="H4427" t="str">
        <x:v>F</x:v>
      </x:c>
      <x:c r="I4427" t="str">
        <x:v>10+ years</x:v>
      </x:c>
      <x:c r="J4427" t="str">
        <x:v>RENT</x:v>
      </x:c>
      <x:c r="K4427" t="str">
        <x:v>credit_card</x:v>
      </x:c>
      <x:c r="L4427" t="n">
        <x:v>2</x:v>
      </x:c>
      <x:c r="M4427" t="n">
        <x:v>0</x:v>
      </x:c>
      <x:c r="N4427" t="str">
        <x:v>Fully Paid</x:v>
      </x:c>
      <x:c r="O4427" t="str">
        <x:f>IF(D4427="","Unknown",IF(D4427&lt;25000,"&lt;$25k",IF(D4427&lt;50000,"$25k-$50k",IF(D4427&lt;75000,"$50k-$75k",IF(D4427&lt;100000,"$75k-$100k","$100k+")))))</x:f>
        <x:v>$50k-$75k</x:v>
      </x:c>
      <x:c r="P4427" t="str">
        <x:f>IF(E4427="","Unknown",IF(E4427&lt;10,"&lt;10",IF(E4427&lt;20,"10-&lt;20",IF(E4427&lt;25,"20-&lt;25",IF(E4427&lt;35,"25-&lt;35","35+")))))</x:f>
        <x:v>10-&lt;20</x:v>
      </x:c>
    </x:row>
    <x:row r="4428">
      <x:c r="A4428" t="str">
        <x:v>SYN0004427</x:v>
      </x:c>
      <x:c r="B4428" s="12" t="n">
        <x:v>42055</x:v>
      </x:c>
      <x:c r="C4428" s="18" t="n">
        <x:v>13436</x:v>
      </x:c>
      <x:c r="D4428" s="18" t="n">
        <x:v>18803</x:v>
      </x:c>
      <x:c r="E4428" s="18" t="n">
        <x:v>34.53</x:v>
      </x:c>
      <x:c r="F4428" s="18" t="n">
        <x:v>11.51</x:v>
      </x:c>
      <x:c r="G4428" t="n">
        <x:v>60</x:v>
      </x:c>
      <x:c r="H4428" t="str">
        <x:v>C</x:v>
      </x:c>
      <x:c r="I4428" t="str">
        <x:v>7-9 years</x:v>
      </x:c>
      <x:c r="J4428" t="str">
        <x:v>RENT</x:v>
      </x:c>
      <x:c r="K4428" t="str">
        <x:v>credit_card</x:v>
      </x:c>
      <x:c r="L4428" t="n">
        <x:v>0</x:v>
      </x:c>
      <x:c r="M4428" t="n">
        <x:v>0</x:v>
      </x:c>
      <x:c r="N4428" t="str">
        <x:v>Fully Paid</x:v>
      </x:c>
      <x:c r="O4428" t="str">
        <x:f>IF(D4428="","Unknown",IF(D4428&lt;25000,"&lt;$25k",IF(D4428&lt;50000,"$25k-$50k",IF(D4428&lt;75000,"$50k-$75k",IF(D4428&lt;100000,"$75k-$100k","$100k+")))))</x:f>
        <x:v>&lt;$25k</x:v>
      </x:c>
      <x:c r="P4428" t="str">
        <x:f>IF(E4428="","Unknown",IF(E4428&lt;10,"&lt;10",IF(E4428&lt;20,"10-&lt;20",IF(E4428&lt;25,"20-&lt;25",IF(E4428&lt;35,"25-&lt;35","35+")))))</x:f>
        <x:v>25-&lt;35</x:v>
      </x:c>
    </x:row>
    <x:row r="4429">
      <x:c r="A4429" t="str">
        <x:v>SYN0004428</x:v>
      </x:c>
      <x:c r="B4429" s="12" t="n">
        <x:v>43285</x:v>
      </x:c>
      <x:c r="C4429" s="18" t="n">
        <x:v>21002</x:v>
      </x:c>
      <x:c r="D4429" s="18" t="n">
        <x:v>250000</x:v>
      </x:c>
      <x:c r="E4429" s="18" t="n">
        <x:v>41.13</x:v>
      </x:c>
      <x:c r="F4429" s="18" t="n">
        <x:v>21.75</x:v>
      </x:c>
      <x:c r="G4429" t="n">
        <x:v>60</x:v>
      </x:c>
      <x:c r="H4429" t="str">
        <x:v>F</x:v>
      </x:c>
      <x:c r="I4429" t="str">
        <x:v>4-6 years</x:v>
      </x:c>
      <x:c r="J4429" t="str">
        <x:v>MORTGAGE</x:v>
      </x:c>
      <x:c r="K4429" t="str">
        <x:v>major_purchase</x:v>
      </x:c>
      <x:c r="L4429" t="n">
        <x:v>1</x:v>
      </x:c>
      <x:c r="M4429" t="n">
        <x:v>0</x:v>
      </x:c>
      <x:c r="N4429" t="str">
        <x:v>Fully Paid</x:v>
      </x:c>
      <x:c r="O4429" t="str">
        <x:f>IF(D4429="","Unknown",IF(D4429&lt;25000,"&lt;$25k",IF(D4429&lt;50000,"$25k-$50k",IF(D4429&lt;75000,"$50k-$75k",IF(D4429&lt;100000,"$75k-$100k","$100k+")))))</x:f>
        <x:v>$100k+</x:v>
      </x:c>
      <x:c r="P4429" t="str">
        <x:f>IF(E4429="","Unknown",IF(E4429&lt;10,"&lt;10",IF(E4429&lt;20,"10-&lt;20",IF(E4429&lt;25,"20-&lt;25",IF(E4429&lt;35,"25-&lt;35","35+")))))</x:f>
        <x:v>35+</x:v>
      </x:c>
    </x:row>
    <x:row r="4430">
      <x:c r="A4430" t="str">
        <x:v>SYN0004429</x:v>
      </x:c>
      <x:c r="B4430" s="12" t="n">
        <x:v>42205</x:v>
      </x:c>
      <x:c r="C4430" s="18" t="n">
        <x:v>18985</x:v>
      </x:c>
      <x:c r="D4430" s="18" t="n">
        <x:v>42411</x:v>
      </x:c>
      <x:c r="E4430" s="18" t="n">
        <x:v>9.7</x:v>
      </x:c>
      <x:c r="F4430" s="18" t="n">
        <x:v>5</x:v>
      </x:c>
      <x:c r="G4430" t="n">
        <x:v>36</x:v>
      </x:c>
      <x:c r="H4430" t="str">
        <x:v>A</x:v>
      </x:c>
      <x:c r="I4430" t="str">
        <x:v>4-6 years</x:v>
      </x:c>
      <x:c r="J4430" t="str">
        <x:v>RENT</x:v>
      </x:c>
      <x:c r="K4430" t="str">
        <x:v>debt_consolidation</x:v>
      </x:c>
      <x:c r="L4430" t="n">
        <x:v>0</x:v>
      </x:c>
      <x:c r="M4430" t="n">
        <x:v>0</x:v>
      </x:c>
      <x:c r="N4430" t="str">
        <x:v>Fully Paid</x:v>
      </x:c>
      <x:c r="O4430" t="str">
        <x:f>IF(D4430="","Unknown",IF(D4430&lt;25000,"&lt;$25k",IF(D4430&lt;50000,"$25k-$50k",IF(D4430&lt;75000,"$50k-$75k",IF(D4430&lt;100000,"$75k-$100k","$100k+")))))</x:f>
        <x:v>$25k-$50k</x:v>
      </x:c>
      <x:c r="P4430" t="str">
        <x:f>IF(E4430="","Unknown",IF(E4430&lt;10,"&lt;10",IF(E4430&lt;20,"10-&lt;20",IF(E4430&lt;25,"20-&lt;25",IF(E4430&lt;35,"25-&lt;35","35+")))))</x:f>
        <x:v>&lt;10</x:v>
      </x:c>
    </x:row>
    <x:row r="4431">
      <x:c r="A4431" t="str">
        <x:v>SYN0004430</x:v>
      </x:c>
      <x:c r="B4431" s="12" t="n">
        <x:v>41965</x:v>
      </x:c>
      <x:c r="C4431" s="18" t="n">
        <x:v>14854</x:v>
      </x:c>
      <x:c r="D4431" s="18" t="n">
        <x:v>54482</x:v>
      </x:c>
      <x:c r="E4431" s="18" t="n">
        <x:v>12.63</x:v>
      </x:c>
      <x:c r="F4431" s="18" t="n">
        <x:v>8.97</x:v>
      </x:c>
      <x:c r="G4431" t="n">
        <x:v>36</x:v>
      </x:c>
      <x:c r="H4431" t="str">
        <x:v>B</x:v>
      </x:c>
      <x:c r="I4431" t="str">
        <x:v>1-3 years</x:v>
      </x:c>
      <x:c r="J4431" t="str">
        <x:v>MORTGAGE</x:v>
      </x:c>
      <x:c r="K4431" t="str">
        <x:v>debt_consolidation</x:v>
      </x:c>
      <x:c r="L4431" t="n">
        <x:v>0</x:v>
      </x:c>
      <x:c r="M4431" t="n">
        <x:v>0</x:v>
      </x:c>
      <x:c r="N4431" t="str">
        <x:v>Fully Paid</x:v>
      </x:c>
      <x:c r="O4431" t="str">
        <x:f>IF(D4431="","Unknown",IF(D4431&lt;25000,"&lt;$25k",IF(D4431&lt;50000,"$25k-$50k",IF(D4431&lt;75000,"$50k-$75k",IF(D4431&lt;100000,"$75k-$100k","$100k+")))))</x:f>
        <x:v>$50k-$75k</x:v>
      </x:c>
      <x:c r="P4431" t="str">
        <x:f>IF(E4431="","Unknown",IF(E4431&lt;10,"&lt;10",IF(E4431&lt;20,"10-&lt;20",IF(E4431&lt;25,"20-&lt;25",IF(E4431&lt;35,"25-&lt;35","35+")))))</x:f>
        <x:v>10-&lt;20</x:v>
      </x:c>
    </x:row>
    <x:row r="4432">
      <x:c r="A4432" t="str">
        <x:v>SYN0004431</x:v>
      </x:c>
      <x:c r="B4432" s="12" t="n">
        <x:v>42175</x:v>
      </x:c>
      <x:c r="C4432" s="18" t="n">
        <x:v>9619</x:v>
      </x:c>
      <x:c r="D4432" s="18" t="n">
        <x:v>92898</x:v>
      </x:c>
      <x:c r="E4432" s="18" t="n">
        <x:v>13.86</x:v>
      </x:c>
      <x:c r="F4432" s="18" t="n">
        <x:v>5</x:v>
      </x:c>
      <x:c r="G4432" t="n">
        <x:v>60</x:v>
      </x:c>
      <x:c r="H4432" t="str">
        <x:v>A</x:v>
      </x:c>
      <x:c r="I4432" t="str">
        <x:v>7-9 years</x:v>
      </x:c>
      <x:c r="J4432" t="str">
        <x:v>RENT</x:v>
      </x:c>
      <x:c r="K4432" t="str">
        <x:v>debt_consolidation</x:v>
      </x:c>
      <x:c r="L4432" t="n">
        <x:v>0</x:v>
      </x:c>
      <x:c r="M4432" t="n">
        <x:v>1</x:v>
      </x:c>
      <x:c r="N4432" t="str">
        <x:v>Charged Off</x:v>
      </x:c>
      <x:c r="O4432" t="str">
        <x:f>IF(D4432="","Unknown",IF(D4432&lt;25000,"&lt;$25k",IF(D4432&lt;50000,"$25k-$50k",IF(D4432&lt;75000,"$50k-$75k",IF(D4432&lt;100000,"$75k-$100k","$100k+")))))</x:f>
        <x:v>$75k-$100k</x:v>
      </x:c>
      <x:c r="P4432" t="str">
        <x:f>IF(E4432="","Unknown",IF(E4432&lt;10,"&lt;10",IF(E4432&lt;20,"10-&lt;20",IF(E4432&lt;25,"20-&lt;25",IF(E4432&lt;35,"25-&lt;35","35+")))))</x:f>
        <x:v>10-&lt;20</x:v>
      </x:c>
    </x:row>
    <x:row r="4433">
      <x:c r="A4433" t="str">
        <x:v>SYN0004432</x:v>
      </x:c>
      <x:c r="B4433" s="12" t="n">
        <x:v>43045</x:v>
      </x:c>
      <x:c r="C4433" s="18" t="n">
        <x:v>28974</x:v>
      </x:c>
      <x:c r="D4433" s="18" t="n">
        <x:v>36293</x:v>
      </x:c>
      <x:c r="E4433" s="18" t="n">
        <x:v>16.09</x:v>
      </x:c>
      <x:c r="F4433" s="18" t="n">
        <x:v>7.02</x:v>
      </x:c>
      <x:c r="G4433" t="n">
        <x:v>36</x:v>
      </x:c>
      <x:c r="H4433" t="str">
        <x:v>C</x:v>
      </x:c>
      <x:c r="I4433" t="str">
        <x:v>4-6 years</x:v>
      </x:c>
      <x:c r="J4433" t="str">
        <x:v>RENT</x:v>
      </x:c>
      <x:c r="K4433" t="str">
        <x:v>debt_consolidation</x:v>
      </x:c>
      <x:c r="L4433" t="n">
        <x:v>1</x:v>
      </x:c>
      <x:c r="M4433" t="n">
        <x:v>0</x:v>
      </x:c>
      <x:c r="N4433" t="str">
        <x:v>Fully Paid</x:v>
      </x:c>
      <x:c r="O4433" t="str">
        <x:f>IF(D4433="","Unknown",IF(D4433&lt;25000,"&lt;$25k",IF(D4433&lt;50000,"$25k-$50k",IF(D4433&lt;75000,"$50k-$75k",IF(D4433&lt;100000,"$75k-$100k","$100k+")))))</x:f>
        <x:v>$25k-$50k</x:v>
      </x:c>
      <x:c r="P4433" t="str">
        <x:f>IF(E4433="","Unknown",IF(E4433&lt;10,"&lt;10",IF(E4433&lt;20,"10-&lt;20",IF(E4433&lt;25,"20-&lt;25",IF(E4433&lt;35,"25-&lt;35","35+")))))</x:f>
        <x:v>10-&lt;20</x:v>
      </x:c>
    </x:row>
    <x:row r="4434">
      <x:c r="A4434" t="str">
        <x:v>SYN0004433</x:v>
      </x:c>
      <x:c r="B4434" s="12" t="n">
        <x:v>43375</x:v>
      </x:c>
      <x:c r="C4434" s="18" t="n">
        <x:v>16854</x:v>
      </x:c>
      <x:c r="D4434" s="18" t="n">
        <x:v>78766</x:v>
      </x:c>
      <x:c r="E4434" s="18" t="n">
        <x:v>18.19</x:v>
      </x:c>
      <x:c r="F4434" s="18" t="n">
        <x:v>11.74</x:v>
      </x:c>
      <x:c r="G4434" t="n">
        <x:v>36</x:v>
      </x:c>
      <x:c r="H4434" t="str">
        <x:v>C</x:v>
      </x:c>
      <x:c r="I4434" t="str">
        <x:v>7-9 years</x:v>
      </x:c>
      <x:c r="J4434" t="str">
        <x:v>OWN</x:v>
      </x:c>
      <x:c r="K4434" t="str">
        <x:v>other</x:v>
      </x:c>
      <x:c r="L4434" t="n">
        <x:v>1</x:v>
      </x:c>
      <x:c r="M4434" t="n">
        <x:v>0</x:v>
      </x:c>
      <x:c r="N4434" t="str">
        <x:v>Fully Paid</x:v>
      </x:c>
      <x:c r="O4434" t="str">
        <x:f>IF(D4434="","Unknown",IF(D4434&lt;25000,"&lt;$25k",IF(D4434&lt;50000,"$25k-$50k",IF(D4434&lt;75000,"$50k-$75k",IF(D4434&lt;100000,"$75k-$100k","$100k+")))))</x:f>
        <x:v>$75k-$100k</x:v>
      </x:c>
      <x:c r="P4434" t="str">
        <x:f>IF(E4434="","Unknown",IF(E4434&lt;10,"&lt;10",IF(E4434&lt;20,"10-&lt;20",IF(E4434&lt;25,"20-&lt;25",IF(E4434&lt;35,"25-&lt;35","35+")))))</x:f>
        <x:v>10-&lt;20</x:v>
      </x:c>
    </x:row>
    <x:row r="4435">
      <x:c r="A4435" t="str">
        <x:v>SYN0004434</x:v>
      </x:c>
      <x:c r="B4435" s="12" t="n">
        <x:v>41545</x:v>
      </x:c>
      <x:c r="C4435" s="18" t="n">
        <x:v>10428</x:v>
      </x:c>
      <x:c r="D4435" s="18" t="n">
        <x:v>47855</x:v>
      </x:c>
      <x:c r="E4435" s="18" t="n">
        <x:v>29.2</x:v>
      </x:c>
      <x:c r="F4435" s="18" t="n">
        <x:v>23.09</x:v>
      </x:c>
      <x:c r="G4435" t="n">
        <x:v>36</x:v>
      </x:c>
      <x:c r="H4435" t="str">
        <x:v>F</x:v>
      </x:c>
      <x:c r="I4435" t="str">
        <x:v>4-6 years</x:v>
      </x:c>
      <x:c r="J4435" t="str">
        <x:v>RENT</x:v>
      </x:c>
      <x:c r="K4435" t="str">
        <x:v>credit_card</x:v>
      </x:c>
      <x:c r="L4435" t="n">
        <x:v>0</x:v>
      </x:c>
      <x:c r="M4435" t="n">
        <x:v>0</x:v>
      </x:c>
      <x:c r="N4435" t="str">
        <x:v>Fully Paid</x:v>
      </x:c>
      <x:c r="O4435" t="str">
        <x:f>IF(D4435="","Unknown",IF(D4435&lt;25000,"&lt;$25k",IF(D4435&lt;50000,"$25k-$50k",IF(D4435&lt;75000,"$50k-$75k",IF(D4435&lt;100000,"$75k-$100k","$100k+")))))</x:f>
        <x:v>$25k-$50k</x:v>
      </x:c>
      <x:c r="P4435" t="str">
        <x:f>IF(E4435="","Unknown",IF(E4435&lt;10,"&lt;10",IF(E4435&lt;20,"10-&lt;20",IF(E4435&lt;25,"20-&lt;25",IF(E4435&lt;35,"25-&lt;35","35+")))))</x:f>
        <x:v>25-&lt;35</x:v>
      </x:c>
    </x:row>
    <x:row r="4436">
      <x:c r="A4436" t="str">
        <x:v>SYN0004435</x:v>
      </x:c>
      <x:c r="B4436" s="12" t="n">
        <x:v>42925</x:v>
      </x:c>
      <x:c r="C4436" s="18" t="n">
        <x:v>27562</x:v>
      </x:c>
      <x:c r="D4436" s="18" t="n">
        <x:v>69142</x:v>
      </x:c>
      <x:c r="E4436" s="18" t="n">
        <x:v>27.03</x:v>
      </x:c>
      <x:c r="F4436" s="18" t="n">
        <x:v>12.49</x:v>
      </x:c>
      <x:c r="G4436" t="n">
        <x:v>36</x:v>
      </x:c>
      <x:c r="H4436" t="str">
        <x:v>C</x:v>
      </x:c>
      <x:c r="I4436" t="str">
        <x:v>&lt;1 year</x:v>
      </x:c>
      <x:c r="J4436" t="str">
        <x:v>MORTGAGE</x:v>
      </x:c>
      <x:c r="K4436" t="str">
        <x:v>credit_card</x:v>
      </x:c>
      <x:c r="L4436" t="n">
        <x:v>0</x:v>
      </x:c>
      <x:c r="M4436" t="n">
        <x:v>0</x:v>
      </x:c>
      <x:c r="N4436" t="str">
        <x:v>Fully Paid</x:v>
      </x:c>
      <x:c r="O4436" t="str">
        <x:f>IF(D4436="","Unknown",IF(D4436&lt;25000,"&lt;$25k",IF(D4436&lt;50000,"$25k-$50k",IF(D4436&lt;75000,"$50k-$75k",IF(D4436&lt;100000,"$75k-$100k","$100k+")))))</x:f>
        <x:v>$50k-$75k</x:v>
      </x:c>
      <x:c r="P4436" t="str">
        <x:f>IF(E4436="","Unknown",IF(E4436&lt;10,"&lt;10",IF(E4436&lt;20,"10-&lt;20",IF(E4436&lt;25,"20-&lt;25",IF(E4436&lt;35,"25-&lt;35","35+")))))</x:f>
        <x:v>25-&lt;35</x:v>
      </x:c>
    </x:row>
    <x:row r="4437">
      <x:c r="A4437" t="str">
        <x:v>SYN0004436</x:v>
      </x:c>
      <x:c r="B4437" s="12" t="n">
        <x:v>41515</x:v>
      </x:c>
      <x:c r="C4437" s="18" t="n">
        <x:v>25377</x:v>
      </x:c>
      <x:c r="D4437" s="18" t="n">
        <x:v>49290</x:v>
      </x:c>
      <x:c r="E4437" s="18" t="n">
        <x:v>7.08</x:v>
      </x:c>
      <x:c r="F4437" s="18" t="n">
        <x:v>12.07</x:v>
      </x:c>
      <x:c r="G4437" t="n">
        <x:v>60</x:v>
      </x:c>
      <x:c r="H4437" t="str">
        <x:v>C</x:v>
      </x:c>
      <x:c r="I4437" t="str">
        <x:v>7-9 years</x:v>
      </x:c>
      <x:c r="J4437" t="str">
        <x:v>RENT</x:v>
      </x:c>
      <x:c r="K4437" t="str">
        <x:v>medical</x:v>
      </x:c>
      <x:c r="L4437" t="n">
        <x:v>0</x:v>
      </x:c>
      <x:c r="M4437" t="n">
        <x:v>0</x:v>
      </x:c>
      <x:c r="N4437" t="str">
        <x:v>Fully Paid</x:v>
      </x:c>
      <x:c r="O4437" t="str">
        <x:f>IF(D4437="","Unknown",IF(D4437&lt;25000,"&lt;$25k",IF(D4437&lt;50000,"$25k-$50k",IF(D4437&lt;75000,"$50k-$75k",IF(D4437&lt;100000,"$75k-$100k","$100k+")))))</x:f>
        <x:v>$25k-$50k</x:v>
      </x:c>
      <x:c r="P4437" t="str">
        <x:f>IF(E4437="","Unknown",IF(E4437&lt;10,"&lt;10",IF(E4437&lt;20,"10-&lt;20",IF(E4437&lt;25,"20-&lt;25",IF(E4437&lt;35,"25-&lt;35","35+")))))</x:f>
        <x:v>&lt;10</x:v>
      </x:c>
    </x:row>
    <x:row r="4438">
      <x:c r="A4438" t="str">
        <x:v>SYN0004437</x:v>
      </x:c>
      <x:c r="B4438" s="12" t="n">
        <x:v>42835</x:v>
      </x:c>
      <x:c r="C4438" s="18" t="n">
        <x:v>24537</x:v>
      </x:c>
      <x:c r="D4438" s="18" t="n">
        <x:v>27297</x:v>
      </x:c>
      <x:c r="E4438" s="18" t="n">
        <x:v>5.38</x:v>
      </x:c>
      <x:c r="F4438" s="18" t="n">
        <x:v>8.51</x:v>
      </x:c>
      <x:c r="G4438" t="n">
        <x:v>60</x:v>
      </x:c>
      <x:c r="H4438" t="str">
        <x:v>B</x:v>
      </x:c>
      <x:c r="I4438" t="str">
        <x:v>1-3 years</x:v>
      </x:c>
      <x:c r="J4438" t="str">
        <x:v>MORTGAGE</x:v>
      </x:c>
      <x:c r="K4438" t="str">
        <x:v>major_purchase</x:v>
      </x:c>
      <x:c r="L4438" t="n">
        <x:v>1</x:v>
      </x:c>
      <x:c r="M4438" t="n">
        <x:v>0</x:v>
      </x:c>
      <x:c r="N4438" t="str">
        <x:v>Fully Paid</x:v>
      </x:c>
      <x:c r="O4438" t="str">
        <x:f>IF(D4438="","Unknown",IF(D4438&lt;25000,"&lt;$25k",IF(D4438&lt;50000,"$25k-$50k",IF(D4438&lt;75000,"$50k-$75k",IF(D4438&lt;100000,"$75k-$100k","$100k+")))))</x:f>
        <x:v>$25k-$50k</x:v>
      </x:c>
      <x:c r="P4438" t="str">
        <x:f>IF(E4438="","Unknown",IF(E4438&lt;10,"&lt;10",IF(E4438&lt;20,"10-&lt;20",IF(E4438&lt;25,"20-&lt;25",IF(E4438&lt;35,"25-&lt;35","35+")))))</x:f>
        <x:v>&lt;10</x:v>
      </x:c>
    </x:row>
    <x:row r="4439">
      <x:c r="A4439" t="str">
        <x:v>SYN0004438</x:v>
      </x:c>
      <x:c r="B4439" s="12" t="n">
        <x:v>42265</x:v>
      </x:c>
      <x:c r="C4439" s="18" t="n">
        <x:v>11481</x:v>
      </x:c>
      <x:c r="D4439" s="18" t="n">
        <x:v>20234</x:v>
      </x:c>
      <x:c r="E4439" s="18" t="n">
        <x:v>3.94</x:v>
      </x:c>
      <x:c r="F4439" s="18" t="n">
        <x:v>8.09</x:v>
      </x:c>
      <x:c r="G4439" t="n">
        <x:v>60</x:v>
      </x:c>
      <x:c r="H4439" t="str">
        <x:v>A</x:v>
      </x:c>
      <x:c r="I4439" t="str">
        <x:v>4-6 years</x:v>
      </x:c>
      <x:c r="J4439" t="str">
        <x:v>OWN</x:v>
      </x:c>
      <x:c r="K4439" t="str">
        <x:v>major_purchase</x:v>
      </x:c>
      <x:c r="L4439" t="n">
        <x:v>0</x:v>
      </x:c>
      <x:c r="M4439" t="n">
        <x:v>0</x:v>
      </x:c>
      <x:c r="N4439" t="str">
        <x:v>Fully Paid</x:v>
      </x:c>
      <x:c r="O4439" t="str">
        <x:f>IF(D4439="","Unknown",IF(D4439&lt;25000,"&lt;$25k",IF(D4439&lt;50000,"$25k-$50k",IF(D4439&lt;75000,"$50k-$75k",IF(D4439&lt;100000,"$75k-$100k","$100k+")))))</x:f>
        <x:v>&lt;$25k</x:v>
      </x:c>
      <x:c r="P4439" t="str">
        <x:f>IF(E4439="","Unknown",IF(E4439&lt;10,"&lt;10",IF(E4439&lt;20,"10-&lt;20",IF(E4439&lt;25,"20-&lt;25",IF(E4439&lt;35,"25-&lt;35","35+")))))</x:f>
        <x:v>&lt;10</x:v>
      </x:c>
    </x:row>
    <x:row r="4440">
      <x:c r="A4440" t="str">
        <x:v>SYN0004439</x:v>
      </x:c>
      <x:c r="B4440" s="12" t="n">
        <x:v>42655</x:v>
      </x:c>
      <x:c r="C4440" s="18" t="n">
        <x:v>16795</x:v>
      </x:c>
      <x:c r="D4440" s="18" t="n">
        <x:v>26543</x:v>
      </x:c>
      <x:c r="E4440" s="18" t="n">
        <x:v>25.61</x:v>
      </x:c>
      <x:c r="F4440" s="18" t="n">
        <x:v>10.36</x:v>
      </x:c>
      <x:c r="G4440" t="n">
        <x:v>36</x:v>
      </x:c>
      <x:c r="H4440" t="str">
        <x:v>B</x:v>
      </x:c>
      <x:c r="I4440" t="str">
        <x:v>1-3 years</x:v>
      </x:c>
      <x:c r="J4440" t="str">
        <x:v>RENT</x:v>
      </x:c>
      <x:c r="K4440" t="str">
        <x:v>debt_consolidation</x:v>
      </x:c>
      <x:c r="L4440" t="n">
        <x:v>0</x:v>
      </x:c>
      <x:c r="M4440" t="n">
        <x:v>0</x:v>
      </x:c>
      <x:c r="N4440" t="str">
        <x:v>Fully Paid</x:v>
      </x:c>
      <x:c r="O4440" t="str">
        <x:f>IF(D4440="","Unknown",IF(D4440&lt;25000,"&lt;$25k",IF(D4440&lt;50000,"$25k-$50k",IF(D4440&lt;75000,"$50k-$75k",IF(D4440&lt;100000,"$75k-$100k","$100k+")))))</x:f>
        <x:v>$25k-$50k</x:v>
      </x:c>
      <x:c r="P4440" t="str">
        <x:f>IF(E4440="","Unknown",IF(E4440&lt;10,"&lt;10",IF(E4440&lt;20,"10-&lt;20",IF(E4440&lt;25,"20-&lt;25",IF(E4440&lt;35,"25-&lt;35","35+")))))</x:f>
        <x:v>25-&lt;35</x:v>
      </x:c>
    </x:row>
    <x:row r="4441">
      <x:c r="A4441" t="str">
        <x:v>SYN0004440</x:v>
      </x:c>
      <x:c r="B4441" s="12" t="n">
        <x:v>41845</x:v>
      </x:c>
      <x:c r="C4441" s="18" t="n">
        <x:v>12631</x:v>
      </x:c>
      <x:c r="D4441" s="18" t="n">
        <x:v>16278</x:v>
      </x:c>
      <x:c r="E4441" s="18" t="n">
        <x:v>12.66</x:v>
      </x:c>
      <x:c r="F4441" s="18" t="n">
        <x:v>5.24</x:v>
      </x:c>
      <x:c r="G4441" t="n">
        <x:v>36</x:v>
      </x:c>
      <x:c r="H4441" t="str">
        <x:v>A</x:v>
      </x:c>
      <x:c r="I4441" t="str">
        <x:v>10+ years</x:v>
      </x:c>
      <x:c r="J4441" t="str">
        <x:v>MORTGAGE</x:v>
      </x:c>
      <x:c r="K4441" t="str">
        <x:v>debt_consolidation</x:v>
      </x:c>
      <x:c r="L4441" t="n">
        <x:v>0</x:v>
      </x:c>
      <x:c r="M4441" t="n">
        <x:v>0</x:v>
      </x:c>
      <x:c r="N4441" t="str">
        <x:v>Fully Paid</x:v>
      </x:c>
      <x:c r="O4441" t="str">
        <x:f>IF(D4441="","Unknown",IF(D4441&lt;25000,"&lt;$25k",IF(D4441&lt;50000,"$25k-$50k",IF(D4441&lt;75000,"$50k-$75k",IF(D4441&lt;100000,"$75k-$100k","$100k+")))))</x:f>
        <x:v>&lt;$25k</x:v>
      </x:c>
      <x:c r="P4441" t="str">
        <x:f>IF(E4441="","Unknown",IF(E4441&lt;10,"&lt;10",IF(E4441&lt;20,"10-&lt;20",IF(E4441&lt;25,"20-&lt;25",IF(E4441&lt;35,"25-&lt;35","35+")))))</x:f>
        <x:v>10-&lt;20</x:v>
      </x:c>
    </x:row>
    <x:row r="4442">
      <x:c r="A4442" t="str">
        <x:v>SYN0004441</x:v>
      </x:c>
      <x:c r="B4442" s="12" t="n">
        <x:v>42805</x:v>
      </x:c>
      <x:c r="C4442" s="18" t="n">
        <x:v>35489</x:v>
      </x:c>
      <x:c r="D4442" s="18" t="n">
        <x:v>42302</x:v>
      </x:c>
      <x:c r="E4442" s="18" t="n">
        <x:v>37.45</x:v>
      </x:c>
      <x:c r="F4442" s="18" t="n">
        <x:v>18.8</x:v>
      </x:c>
      <x:c r="G4442" t="n">
        <x:v>60</x:v>
      </x:c>
      <x:c r="H4442" t="str">
        <x:v>F</x:v>
      </x:c>
      <x:c r="I4442" t="str">
        <x:v>10+ years</x:v>
      </x:c>
      <x:c r="J4442" t="str">
        <x:v>MORTGAGE</x:v>
      </x:c>
      <x:c r="K4442" t="str">
        <x:v>debt_consolidation</x:v>
      </x:c>
      <x:c r="L4442" t="n">
        <x:v>0</x:v>
      </x:c>
      <x:c r="M4442" t="n">
        <x:v>0</x:v>
      </x:c>
      <x:c r="N4442" t="str">
        <x:v>Fully Paid</x:v>
      </x:c>
      <x:c r="O4442" t="str">
        <x:f>IF(D4442="","Unknown",IF(D4442&lt;25000,"&lt;$25k",IF(D4442&lt;50000,"$25k-$50k",IF(D4442&lt;75000,"$50k-$75k",IF(D4442&lt;100000,"$75k-$100k","$100k+")))))</x:f>
        <x:v>$25k-$50k</x:v>
      </x:c>
      <x:c r="P4442" t="str">
        <x:f>IF(E4442="","Unknown",IF(E4442&lt;10,"&lt;10",IF(E4442&lt;20,"10-&lt;20",IF(E4442&lt;25,"20-&lt;25",IF(E4442&lt;35,"25-&lt;35","35+")))))</x:f>
        <x:v>35+</x:v>
      </x:c>
    </x:row>
    <x:row r="4443">
      <x:c r="A4443" t="str">
        <x:v>SYN0004442</x:v>
      </x:c>
      <x:c r="B4443" s="12" t="n">
        <x:v>41515</x:v>
      </x:c>
      <x:c r="C4443" s="18" t="n">
        <x:v>13373</x:v>
      </x:c>
      <x:c r="D4443" s="18" t="n">
        <x:v>16701</x:v>
      </x:c>
      <x:c r="E4443" s="18" t="n">
        <x:v>18.6</x:v>
      </x:c>
      <x:c r="F4443" s="18" t="n">
        <x:v>16.92</x:v>
      </x:c>
      <x:c r="G4443" t="n">
        <x:v>36</x:v>
      </x:c>
      <x:c r="H4443" t="str">
        <x:v>D</x:v>
      </x:c>
      <x:c r="I4443" t="str">
        <x:v>4-6 years</x:v>
      </x:c>
      <x:c r="J4443" t="str">
        <x:v>MORTGAGE</x:v>
      </x:c>
      <x:c r="K4443" t="str">
        <x:v>credit_card</x:v>
      </x:c>
      <x:c r="L4443" t="n">
        <x:v>0</x:v>
      </x:c>
      <x:c r="M4443" t="n">
        <x:v>0</x:v>
      </x:c>
      <x:c r="N4443" t="str">
        <x:v>Fully Paid</x:v>
      </x:c>
      <x:c r="O4443" t="str">
        <x:f>IF(D4443="","Unknown",IF(D4443&lt;25000,"&lt;$25k",IF(D4443&lt;50000,"$25k-$50k",IF(D4443&lt;75000,"$50k-$75k",IF(D4443&lt;100000,"$75k-$100k","$100k+")))))</x:f>
        <x:v>&lt;$25k</x:v>
      </x:c>
      <x:c r="P4443" t="str">
        <x:f>IF(E4443="","Unknown",IF(E4443&lt;10,"&lt;10",IF(E4443&lt;20,"10-&lt;20",IF(E4443&lt;25,"20-&lt;25",IF(E4443&lt;35,"25-&lt;35","35+")))))</x:f>
        <x:v>10-&lt;20</x:v>
      </x:c>
    </x:row>
    <x:row r="4444">
      <x:c r="A4444" t="str">
        <x:v>SYN0004443</x:v>
      </x:c>
      <x:c r="B4444" s="12" t="n">
        <x:v>41305</x:v>
      </x:c>
      <x:c r="C4444" s="18" t="n">
        <x:v>6976</x:v>
      </x:c>
      <x:c r="D4444" s="18" t="n">
        <x:v>33021</x:v>
      </x:c>
      <x:c r="E4444" s="18" t="n">
        <x:v>43.76</x:v>
      </x:c>
      <x:c r="F4444" s="18" t="n">
        <x:v>24.86</x:v>
      </x:c>
      <x:c r="G4444" t="n">
        <x:v>36</x:v>
      </x:c>
      <x:c r="H4444" t="str">
        <x:v>F</x:v>
      </x:c>
      <x:c r="I4444" t="str">
        <x:v>4-6 years</x:v>
      </x:c>
      <x:c r="J4444" t="str">
        <x:v>OWN</x:v>
      </x:c>
      <x:c r="K4444" t="str">
        <x:v>debt_consolidation</x:v>
      </x:c>
      <x:c r="L4444" t="n">
        <x:v>2</x:v>
      </x:c>
      <x:c r="M4444" t="n">
        <x:v>1</x:v>
      </x:c>
      <x:c r="N4444" t="str">
        <x:v>Charged Off</x:v>
      </x:c>
      <x:c r="O4444" t="str">
        <x:f>IF(D4444="","Unknown",IF(D4444&lt;25000,"&lt;$25k",IF(D4444&lt;50000,"$25k-$50k",IF(D4444&lt;75000,"$50k-$75k",IF(D4444&lt;100000,"$75k-$100k","$100k+")))))</x:f>
        <x:v>$25k-$50k</x:v>
      </x:c>
      <x:c r="P4444" t="str">
        <x:f>IF(E4444="","Unknown",IF(E4444&lt;10,"&lt;10",IF(E4444&lt;20,"10-&lt;20",IF(E4444&lt;25,"20-&lt;25",IF(E4444&lt;35,"25-&lt;35","35+")))))</x:f>
        <x:v>35+</x:v>
      </x:c>
    </x:row>
    <x:row r="4445">
      <x:c r="A4445" t="str">
        <x:v>SYN0004444</x:v>
      </x:c>
      <x:c r="B4445" s="12" t="n">
        <x:v>42895</x:v>
      </x:c>
      <x:c r="C4445" s="18" t="n">
        <x:v>13961</x:v>
      </x:c>
      <x:c r="D4445" s="18" t="n">
        <x:v>66688</x:v>
      </x:c>
      <x:c r="E4445" s="18" t="n">
        <x:v>12.32</x:v>
      </x:c>
      <x:c r="F4445" s="18" t="n">
        <x:v>8.89</x:v>
      </x:c>
      <x:c r="G4445" t="n">
        <x:v>60</x:v>
      </x:c>
      <x:c r="H4445" t="str">
        <x:v>A</x:v>
      </x:c>
      <x:c r="I4445" t="str">
        <x:v>1-3 years</x:v>
      </x:c>
      <x:c r="J4445" t="str">
        <x:v>MORTGAGE</x:v>
      </x:c>
      <x:c r="K4445" t="str">
        <x:v>medical</x:v>
      </x:c>
      <x:c r="L4445" t="n">
        <x:v>0</x:v>
      </x:c>
      <x:c r="M4445" t="n">
        <x:v>0</x:v>
      </x:c>
      <x:c r="N4445" t="str">
        <x:v>Fully Paid</x:v>
      </x:c>
      <x:c r="O4445" t="str">
        <x:f>IF(D4445="","Unknown",IF(D4445&lt;25000,"&lt;$25k",IF(D4445&lt;50000,"$25k-$50k",IF(D4445&lt;75000,"$50k-$75k",IF(D4445&lt;100000,"$75k-$100k","$100k+")))))</x:f>
        <x:v>$50k-$75k</x:v>
      </x:c>
      <x:c r="P4445" t="str">
        <x:f>IF(E4445="","Unknown",IF(E4445&lt;10,"&lt;10",IF(E4445&lt;20,"10-&lt;20",IF(E4445&lt;25,"20-&lt;25",IF(E4445&lt;35,"25-&lt;35","35+")))))</x:f>
        <x:v>10-&lt;20</x:v>
      </x:c>
    </x:row>
    <x:row r="4446">
      <x:c r="A4446" t="str">
        <x:v>SYN0004445</x:v>
      </x:c>
      <x:c r="B4446" s="12" t="n">
        <x:v>43195</x:v>
      </x:c>
      <x:c r="C4446" s="18" t="n">
        <x:v>11321</x:v>
      </x:c>
      <x:c r="D4446" s="18" t="n">
        <x:v>41586</x:v>
      </x:c>
      <x:c r="E4446" s="18" t="n">
        <x:v>21.83</x:v>
      </x:c>
      <x:c r="F4446" s="18" t="n">
        <x:v>11.07</x:v>
      </x:c>
      <x:c r="G4446" t="n">
        <x:v>36</x:v>
      </x:c>
      <x:c r="H4446" t="str">
        <x:v>C</x:v>
      </x:c>
      <x:c r="I4446" t="str">
        <x:v>&lt;1 year</x:v>
      </x:c>
      <x:c r="J4446" t="str">
        <x:v>OWN</x:v>
      </x:c>
      <x:c r="K4446" t="str">
        <x:v>debt_consolidation</x:v>
      </x:c>
      <x:c r="L4446" t="n">
        <x:v>1</x:v>
      </x:c>
      <x:c r="M4446" t="n">
        <x:v>0</x:v>
      </x:c>
      <x:c r="N4446" t="str">
        <x:v>Fully Paid</x:v>
      </x:c>
      <x:c r="O4446" t="str">
        <x:f>IF(D4446="","Unknown",IF(D4446&lt;25000,"&lt;$25k",IF(D4446&lt;50000,"$25k-$50k",IF(D4446&lt;75000,"$50k-$75k",IF(D4446&lt;100000,"$75k-$100k","$100k+")))))</x:f>
        <x:v>$25k-$50k</x:v>
      </x:c>
      <x:c r="P4446" t="str">
        <x:f>IF(E4446="","Unknown",IF(E4446&lt;10,"&lt;10",IF(E4446&lt;20,"10-&lt;20",IF(E4446&lt;25,"20-&lt;25",IF(E4446&lt;35,"25-&lt;35","35+")))))</x:f>
        <x:v>20-&lt;25</x:v>
      </x:c>
    </x:row>
    <x:row r="4447">
      <x:c r="A4447" t="str">
        <x:v>SYN0004446</x:v>
      </x:c>
      <x:c r="B4447" s="12" t="n">
        <x:v>42175</x:v>
      </x:c>
      <x:c r="C4447" s="18" t="n">
        <x:v>13905</x:v>
      </x:c>
      <x:c r="D4447" s="18" t="n">
        <x:v>42519</x:v>
      </x:c>
      <x:c r="E4447" s="18" t="n">
        <x:v>10.3</x:v>
      </x:c>
      <x:c r="F4447" s="18" t="n">
        <x:v>19.56</x:v>
      </x:c>
      <x:c r="G4447" t="n">
        <x:v>60</x:v>
      </x:c>
      <x:c r="H4447" t="str">
        <x:v>E</x:v>
      </x:c>
      <x:c r="I4447" t="str">
        <x:v>4-6 years</x:v>
      </x:c>
      <x:c r="J4447" t="str">
        <x:v>OWN</x:v>
      </x:c>
      <x:c r="K4447" t="str">
        <x:v>debt_consolidation</x:v>
      </x:c>
      <x:c r="L4447" t="n">
        <x:v>0</x:v>
      </x:c>
      <x:c r="M4447" t="n">
        <x:v>1</x:v>
      </x:c>
      <x:c r="N4447" t="str">
        <x:v>Charged Off</x:v>
      </x:c>
      <x:c r="O4447" t="str">
        <x:f>IF(D4447="","Unknown",IF(D4447&lt;25000,"&lt;$25k",IF(D4447&lt;50000,"$25k-$50k",IF(D4447&lt;75000,"$50k-$75k",IF(D4447&lt;100000,"$75k-$100k","$100k+")))))</x:f>
        <x:v>$25k-$50k</x:v>
      </x:c>
      <x:c r="P4447" t="str">
        <x:f>IF(E4447="","Unknown",IF(E4447&lt;10,"&lt;10",IF(E4447&lt;20,"10-&lt;20",IF(E4447&lt;25,"20-&lt;25",IF(E4447&lt;35,"25-&lt;35","35+")))))</x:f>
        <x:v>10-&lt;20</x:v>
      </x:c>
    </x:row>
    <x:row r="4448">
      <x:c r="A4448" t="str">
        <x:v>SYN0004447</x:v>
      </x:c>
      <x:c r="B4448" s="12" t="n">
        <x:v>41845</x:v>
      </x:c>
      <x:c r="C4448" s="18" t="n">
        <x:v>7529</x:v>
      </x:c>
      <x:c r="D4448" s="18" t="n">
        <x:v>19012</x:v>
      </x:c>
      <x:c r="E4448" s="18" t="n">
        <x:v>29.94</x:v>
      </x:c>
      <x:c r="F4448" s="18" t="n">
        <x:v>11.59</x:v>
      </x:c>
      <x:c r="G4448" t="n">
        <x:v>36</x:v>
      </x:c>
      <x:c r="H4448" t="str">
        <x:v>C</x:v>
      </x:c>
      <x:c r="I4448" t="str">
        <x:v>7-9 years</x:v>
      </x:c>
      <x:c r="J4448" t="str">
        <x:v>MORTGAGE</x:v>
      </x:c>
      <x:c r="K4448" t="str">
        <x:v>debt_consolidation</x:v>
      </x:c>
      <x:c r="L4448" t="n">
        <x:v>0</x:v>
      </x:c>
      <x:c r="M4448" t="n">
        <x:v>0</x:v>
      </x:c>
      <x:c r="N4448" t="str">
        <x:v>Fully Paid</x:v>
      </x:c>
      <x:c r="O4448" t="str">
        <x:f>IF(D4448="","Unknown",IF(D4448&lt;25000,"&lt;$25k",IF(D4448&lt;50000,"$25k-$50k",IF(D4448&lt;75000,"$50k-$75k",IF(D4448&lt;100000,"$75k-$100k","$100k+")))))</x:f>
        <x:v>&lt;$25k</x:v>
      </x:c>
      <x:c r="P4448" t="str">
        <x:f>IF(E4448="","Unknown",IF(E4448&lt;10,"&lt;10",IF(E4448&lt;20,"10-&lt;20",IF(E4448&lt;25,"20-&lt;25",IF(E4448&lt;35,"25-&lt;35","35+")))))</x:f>
        <x:v>25-&lt;35</x:v>
      </x:c>
    </x:row>
    <x:row r="4449">
      <x:c r="A4449" t="str">
        <x:v>SYN0004448</x:v>
      </x:c>
      <x:c r="B4449" s="12" t="n">
        <x:v>42205</x:v>
      </x:c>
      <x:c r="C4449" s="18" t="n">
        <x:v>12369</x:v>
      </x:c>
      <x:c r="D4449" s="18" t="n">
        <x:v>28433</x:v>
      </x:c>
      <x:c r="E4449" s="18" t="n">
        <x:v>31.98</x:v>
      </x:c>
      <x:c r="F4449" s="18" t="n">
        <x:v>12.49</x:v>
      </x:c>
      <x:c r="G4449" t="n">
        <x:v>60</x:v>
      </x:c>
      <x:c r="H4449" t="str">
        <x:v>C</x:v>
      </x:c>
      <x:c r="I4449" t="str">
        <x:v>7-9 years</x:v>
      </x:c>
      <x:c r="J4449" t="str">
        <x:v>OWN</x:v>
      </x:c>
      <x:c r="K4449" t="str">
        <x:v>credit_card</x:v>
      </x:c>
      <x:c r="L4449" t="n">
        <x:v>2</x:v>
      </x:c>
      <x:c r="M4449" t="n">
        <x:v>0</x:v>
      </x:c>
      <x:c r="N4449" t="str">
        <x:v>Fully Paid</x:v>
      </x:c>
      <x:c r="O4449" t="str">
        <x:f>IF(D4449="","Unknown",IF(D4449&lt;25000,"&lt;$25k",IF(D4449&lt;50000,"$25k-$50k",IF(D4449&lt;75000,"$50k-$75k",IF(D4449&lt;100000,"$75k-$100k","$100k+")))))</x:f>
        <x:v>$25k-$50k</x:v>
      </x:c>
      <x:c r="P4449" t="str">
        <x:f>IF(E4449="","Unknown",IF(E4449&lt;10,"&lt;10",IF(E4449&lt;20,"10-&lt;20",IF(E4449&lt;25,"20-&lt;25",IF(E4449&lt;35,"25-&lt;35","35+")))))</x:f>
        <x:v>25-&lt;35</x:v>
      </x:c>
    </x:row>
    <x:row r="4450">
      <x:c r="A4450" t="str">
        <x:v>SYN0004449</x:v>
      </x:c>
      <x:c r="B4450" s="12" t="n">
        <x:v>43135</x:v>
      </x:c>
      <x:c r="C4450" s="18" t="n">
        <x:v>8170</x:v>
      </x:c>
      <x:c r="D4450" s="18" t="n">
        <x:v>37701</x:v>
      </x:c>
      <x:c r="E4450" s="18" t="n">
        <x:v>29.37</x:v>
      </x:c>
      <x:c r="F4450" s="18" t="n">
        <x:v>12.19</x:v>
      </x:c>
      <x:c r="G4450" t="n">
        <x:v>36</x:v>
      </x:c>
      <x:c r="H4450" t="str">
        <x:v>C</x:v>
      </x:c>
      <x:c r="I4450" t="str">
        <x:v>10+ years</x:v>
      </x:c>
      <x:c r="J4450" t="str">
        <x:v>MORTGAGE</x:v>
      </x:c>
      <x:c r="K4450" t="str">
        <x:v>debt_consolidation</x:v>
      </x:c>
      <x:c r="L4450" t="n">
        <x:v>1</x:v>
      </x:c>
      <x:c r="M4450" t="n">
        <x:v>0</x:v>
      </x:c>
      <x:c r="N4450" t="str">
        <x:v>Fully Paid</x:v>
      </x:c>
      <x:c r="O4450" t="str">
        <x:f>IF(D4450="","Unknown",IF(D4450&lt;25000,"&lt;$25k",IF(D4450&lt;50000,"$25k-$50k",IF(D4450&lt;75000,"$50k-$75k",IF(D4450&lt;100000,"$75k-$100k","$100k+")))))</x:f>
        <x:v>$25k-$50k</x:v>
      </x:c>
      <x:c r="P4450" t="str">
        <x:f>IF(E4450="","Unknown",IF(E4450&lt;10,"&lt;10",IF(E4450&lt;20,"10-&lt;20",IF(E4450&lt;25,"20-&lt;25",IF(E4450&lt;35,"25-&lt;35","35+")))))</x:f>
        <x:v>25-&lt;35</x:v>
      </x:c>
    </x:row>
    <x:row r="4451">
      <x:c r="A4451" t="str">
        <x:v>SYN0004450</x:v>
      </x:c>
      <x:c r="B4451" s="12" t="n">
        <x:v>42715</x:v>
      </x:c>
      <x:c r="C4451" s="18" t="n">
        <x:v>10101</x:v>
      </x:c>
      <x:c r="D4451" s="18" t="n">
        <x:v>36543</x:v>
      </x:c>
      <x:c r="E4451" s="18" t="n">
        <x:v>8.13</x:v>
      </x:c>
      <x:c r="F4451" s="18" t="n">
        <x:v>15.09</x:v>
      </x:c>
      <x:c r="G4451" t="n">
        <x:v>36</x:v>
      </x:c>
      <x:c r="H4451" t="str">
        <x:v>D</x:v>
      </x:c>
      <x:c r="I4451" t="str">
        <x:v>7-9 years</x:v>
      </x:c>
      <x:c r="J4451" t="str">
        <x:v>RENT</x:v>
      </x:c>
      <x:c r="K4451" t="str">
        <x:v>home_improvement</x:v>
      </x:c>
      <x:c r="L4451" t="n">
        <x:v>0</x:v>
      </x:c>
      <x:c r="M4451" t="n">
        <x:v>0</x:v>
      </x:c>
      <x:c r="N4451" t="str">
        <x:v>Fully Paid</x:v>
      </x:c>
      <x:c r="O4451" t="str">
        <x:f>IF(D4451="","Unknown",IF(D4451&lt;25000,"&lt;$25k",IF(D4451&lt;50000,"$25k-$50k",IF(D4451&lt;75000,"$50k-$75k",IF(D4451&lt;100000,"$75k-$100k","$100k+")))))</x:f>
        <x:v>$25k-$50k</x:v>
      </x:c>
      <x:c r="P4451" t="str">
        <x:f>IF(E4451="","Unknown",IF(E4451&lt;10,"&lt;10",IF(E4451&lt;20,"10-&lt;20",IF(E4451&lt;25,"20-&lt;25",IF(E4451&lt;35,"25-&lt;35","35+")))))</x:f>
        <x:v>&lt;10</x:v>
      </x:c>
    </x:row>
    <x:row r="4452">
      <x:c r="A4452" t="str">
        <x:v>SYN0004451</x:v>
      </x:c>
      <x:c r="B4452" s="12" t="n">
        <x:v>41905</x:v>
      </x:c>
      <x:c r="C4452" s="18" t="n">
        <x:v>15564</x:v>
      </x:c>
      <x:c r="D4452" s="18" t="n">
        <x:v>44103</x:v>
      </x:c>
      <x:c r="E4452" s="18" t="n">
        <x:v>13.21</x:v>
      </x:c>
      <x:c r="F4452" s="18" t="n">
        <x:v>11.95</x:v>
      </x:c>
      <x:c r="G4452" t="n">
        <x:v>36</x:v>
      </x:c>
      <x:c r="H4452" t="str">
        <x:v>C</x:v>
      </x:c>
      <x:c r="I4452" t="str">
        <x:v>&lt;1 year</x:v>
      </x:c>
      <x:c r="J4452" t="str">
        <x:v>MORTGAGE</x:v>
      </x:c>
      <x:c r="K4452" t="str">
        <x:v>debt_consolidation</x:v>
      </x:c>
      <x:c r="L4452" t="n">
        <x:v>0</x:v>
      </x:c>
      <x:c r="M4452" t="n">
        <x:v>0</x:v>
      </x:c>
      <x:c r="N4452" t="str">
        <x:v>Fully Paid</x:v>
      </x:c>
      <x:c r="O4452" t="str">
        <x:f>IF(D4452="","Unknown",IF(D4452&lt;25000,"&lt;$25k",IF(D4452&lt;50000,"$25k-$50k",IF(D4452&lt;75000,"$50k-$75k",IF(D4452&lt;100000,"$75k-$100k","$100k+")))))</x:f>
        <x:v>$25k-$50k</x:v>
      </x:c>
      <x:c r="P4452" t="str">
        <x:f>IF(E4452="","Unknown",IF(E4452&lt;10,"&lt;10",IF(E4452&lt;20,"10-&lt;20",IF(E4452&lt;25,"20-&lt;25",IF(E4452&lt;35,"25-&lt;35","35+")))))</x:f>
        <x:v>10-&lt;20</x:v>
      </x:c>
    </x:row>
    <x:row r="4453">
      <x:c r="A4453" t="str">
        <x:v>SYN0004452</x:v>
      </x:c>
      <x:c r="B4453" s="12" t="n">
        <x:v>42445</x:v>
      </x:c>
      <x:c r="C4453" s="18" t="n">
        <x:v>14851</x:v>
      </x:c>
      <x:c r="D4453" s="18" t="n">
        <x:v>103567</x:v>
      </x:c>
      <x:c r="E4453" s="18" t="n">
        <x:v>23.95</x:v>
      </x:c>
      <x:c r="F4453" s="18" t="n">
        <x:v>18.68</x:v>
      </x:c>
      <x:c r="G4453" t="n">
        <x:v>60</x:v>
      </x:c>
      <x:c r="H4453" t="str">
        <x:v>E</x:v>
      </x:c>
      <x:c r="I4453" t="str">
        <x:v>1-3 years</x:v>
      </x:c>
      <x:c r="J4453" t="str">
        <x:v>RENT</x:v>
      </x:c>
      <x:c r="K4453" t="str">
        <x:v>other</x:v>
      </x:c>
      <x:c r="L4453" t="n">
        <x:v>0</x:v>
      </x:c>
      <x:c r="M4453" t="n">
        <x:v>1</x:v>
      </x:c>
      <x:c r="N4453" t="str">
        <x:v>Charged Off</x:v>
      </x:c>
      <x:c r="O4453" t="str">
        <x:f>IF(D4453="","Unknown",IF(D4453&lt;25000,"&lt;$25k",IF(D4453&lt;50000,"$25k-$50k",IF(D4453&lt;75000,"$50k-$75k",IF(D4453&lt;100000,"$75k-$100k","$100k+")))))</x:f>
        <x:v>$100k+</x:v>
      </x:c>
      <x:c r="P4453" t="str">
        <x:f>IF(E4453="","Unknown",IF(E4453&lt;10,"&lt;10",IF(E4453&lt;20,"10-&lt;20",IF(E4453&lt;25,"20-&lt;25",IF(E4453&lt;35,"25-&lt;35","35+")))))</x:f>
        <x:v>20-&lt;25</x:v>
      </x:c>
    </x:row>
    <x:row r="4454">
      <x:c r="A4454" t="str">
        <x:v>SYN0004453</x:v>
      </x:c>
      <x:c r="B4454" s="12" t="n">
        <x:v>42715</x:v>
      </x:c>
      <x:c r="C4454" s="18" t="n">
        <x:v>8814</x:v>
      </x:c>
      <x:c r="D4454" s="18" t="n">
        <x:v>27942</x:v>
      </x:c>
      <x:c r="E4454" s="18" t="n">
        <x:v>22.04</x:v>
      </x:c>
      <x:c r="F4454" s="18" t="n">
        <x:v>16.39</x:v>
      </x:c>
      <x:c r="G4454" t="n">
        <x:v>36</x:v>
      </x:c>
      <x:c r="H4454" t="str">
        <x:v>D</x:v>
      </x:c>
      <x:c r="I4454" t="str">
        <x:v>7-9 years</x:v>
      </x:c>
      <x:c r="J4454" t="str">
        <x:v>MORTGAGE</x:v>
      </x:c>
      <x:c r="K4454" t="str">
        <x:v>debt_consolidation</x:v>
      </x:c>
      <x:c r="L4454" t="n">
        <x:v>1</x:v>
      </x:c>
      <x:c r="M4454" t="n">
        <x:v>0</x:v>
      </x:c>
      <x:c r="N4454" t="str">
        <x:v>Fully Paid</x:v>
      </x:c>
      <x:c r="O4454" t="str">
        <x:f>IF(D4454="","Unknown",IF(D4454&lt;25000,"&lt;$25k",IF(D4454&lt;50000,"$25k-$50k",IF(D4454&lt;75000,"$50k-$75k",IF(D4454&lt;100000,"$75k-$100k","$100k+")))))</x:f>
        <x:v>$25k-$50k</x:v>
      </x:c>
      <x:c r="P4454" t="str">
        <x:f>IF(E4454="","Unknown",IF(E4454&lt;10,"&lt;10",IF(E4454&lt;20,"10-&lt;20",IF(E4454&lt;25,"20-&lt;25",IF(E4454&lt;35,"25-&lt;35","35+")))))</x:f>
        <x:v>20-&lt;25</x:v>
      </x:c>
    </x:row>
    <x:row r="4455">
      <x:c r="A4455" t="str">
        <x:v>SYN0004454</x:v>
      </x:c>
      <x:c r="B4455" s="12" t="n">
        <x:v>42865</x:v>
      </x:c>
      <x:c r="C4455" s="18" t="n">
        <x:v>8481</x:v>
      </x:c>
      <x:c r="D4455" s="18" t="n">
        <x:v>23531</x:v>
      </x:c>
      <x:c r="E4455" s="18" t="n">
        <x:v>3.17</x:v>
      </x:c>
      <x:c r="F4455" s="18" t="n">
        <x:v>16.28</x:v>
      </x:c>
      <x:c r="G4455" t="n">
        <x:v>36</x:v>
      </x:c>
      <x:c r="H4455" t="str">
        <x:v>D</x:v>
      </x:c>
      <x:c r="I4455" t="str">
        <x:v>1-3 years</x:v>
      </x:c>
      <x:c r="J4455" t="str">
        <x:v>MORTGAGE</x:v>
      </x:c>
      <x:c r="K4455" t="str">
        <x:v>debt_consolidation</x:v>
      </x:c>
      <x:c r="L4455" t="n">
        <x:v>2</x:v>
      </x:c>
      <x:c r="M4455" t="n">
        <x:v>0</x:v>
      </x:c>
      <x:c r="N4455" t="str">
        <x:v>Fully Paid</x:v>
      </x:c>
      <x:c r="O4455" t="str">
        <x:f>IF(D4455="","Unknown",IF(D4455&lt;25000,"&lt;$25k",IF(D4455&lt;50000,"$25k-$50k",IF(D4455&lt;75000,"$50k-$75k",IF(D4455&lt;100000,"$75k-$100k","$100k+")))))</x:f>
        <x:v>&lt;$25k</x:v>
      </x:c>
      <x:c r="P4455" t="str">
        <x:f>IF(E4455="","Unknown",IF(E4455&lt;10,"&lt;10",IF(E4455&lt;20,"10-&lt;20",IF(E4455&lt;25,"20-&lt;25",IF(E4455&lt;35,"25-&lt;35","35+")))))</x:f>
        <x:v>&lt;10</x:v>
      </x:c>
    </x:row>
    <x:row r="4456">
      <x:c r="A4456" t="str">
        <x:v>SYN0004455</x:v>
      </x:c>
      <x:c r="B4456" s="12" t="n">
        <x:v>43315</x:v>
      </x:c>
      <x:c r="C4456" s="18" t="n">
        <x:v>7879</x:v>
      </x:c>
      <x:c r="D4456" s="18" t="n">
        <x:v>67330</x:v>
      </x:c>
      <x:c r="E4456" s="18" t="n">
        <x:v>34.8</x:v>
      </x:c>
      <x:c r="F4456" s="18" t="n">
        <x:v>19.54</x:v>
      </x:c>
      <x:c r="G4456" t="n">
        <x:v>36</x:v>
      </x:c>
      <x:c r="H4456" t="str">
        <x:v>E</x:v>
      </x:c>
      <x:c r="I4456" t="str">
        <x:v>7-9 years</x:v>
      </x:c>
      <x:c r="J4456" t="str">
        <x:v>MORTGAGE</x:v>
      </x:c>
      <x:c r="K4456" t="str">
        <x:v>debt_consolidation</x:v>
      </x:c>
      <x:c r="L4456" t="n">
        <x:v>2</x:v>
      </x:c>
      <x:c r="M4456" t="n">
        <x:v>0</x:v>
      </x:c>
      <x:c r="N4456" t="str">
        <x:v>Fully Paid</x:v>
      </x:c>
      <x:c r="O4456" t="str">
        <x:f>IF(D4456="","Unknown",IF(D4456&lt;25000,"&lt;$25k",IF(D4456&lt;50000,"$25k-$50k",IF(D4456&lt;75000,"$50k-$75k",IF(D4456&lt;100000,"$75k-$100k","$100k+")))))</x:f>
        <x:v>$50k-$75k</x:v>
      </x:c>
      <x:c r="P4456" t="str">
        <x:f>IF(E4456="","Unknown",IF(E4456&lt;10,"&lt;10",IF(E4456&lt;20,"10-&lt;20",IF(E4456&lt;25,"20-&lt;25",IF(E4456&lt;35,"25-&lt;35","35+")))))</x:f>
        <x:v>25-&lt;35</x:v>
      </x:c>
    </x:row>
    <x:row r="4457">
      <x:c r="A4457" t="str">
        <x:v>SYN0004456</x:v>
      </x:c>
      <x:c r="B4457" s="12" t="n">
        <x:v>41905</x:v>
      </x:c>
      <x:c r="C4457" s="18" t="n">
        <x:v>12875</x:v>
      </x:c>
      <x:c r="D4457" s="18" t="n">
        <x:v>80677</x:v>
      </x:c>
      <x:c r="E4457" s="18" t="n">
        <x:v>23.5</x:v>
      </x:c>
      <x:c r="F4457" s="18" t="n">
        <x:v>15.48</x:v>
      </x:c>
      <x:c r="G4457" t="n">
        <x:v>60</x:v>
      </x:c>
      <x:c r="H4457" t="str">
        <x:v>D</x:v>
      </x:c>
      <x:c r="I4457" t="str">
        <x:v>4-6 years</x:v>
      </x:c>
      <x:c r="J4457" t="str">
        <x:v>OWN</x:v>
      </x:c>
      <x:c r="K4457" t="str">
        <x:v>debt_consolidation</x:v>
      </x:c>
      <x:c r="L4457" t="n">
        <x:v>0</x:v>
      </x:c>
      <x:c r="M4457" t="n">
        <x:v>0</x:v>
      </x:c>
      <x:c r="N4457" t="str">
        <x:v>Fully Paid</x:v>
      </x:c>
      <x:c r="O4457" t="str">
        <x:f>IF(D4457="","Unknown",IF(D4457&lt;25000,"&lt;$25k",IF(D4457&lt;50000,"$25k-$50k",IF(D4457&lt;75000,"$50k-$75k",IF(D4457&lt;100000,"$75k-$100k","$100k+")))))</x:f>
        <x:v>$75k-$100k</x:v>
      </x:c>
      <x:c r="P4457" t="str">
        <x:f>IF(E4457="","Unknown",IF(E4457&lt;10,"&lt;10",IF(E4457&lt;20,"10-&lt;20",IF(E4457&lt;25,"20-&lt;25",IF(E4457&lt;35,"25-&lt;35","35+")))))</x:f>
        <x:v>20-&lt;25</x:v>
      </x:c>
    </x:row>
    <x:row r="4458">
      <x:c r="A4458" t="str">
        <x:v>SYN0004457</x:v>
      </x:c>
      <x:c r="B4458" s="12" t="n">
        <x:v>41365</x:v>
      </x:c>
      <x:c r="C4458" s="18" t="n">
        <x:v>21895</x:v>
      </x:c>
      <x:c r="D4458" s="18" t="n">
        <x:v>23345</x:v>
      </x:c>
      <x:c r="E4458" s="18" t="n">
        <x:v>2.5</x:v>
      </x:c>
      <x:c r="F4458" s="18" t="n">
        <x:v>9.43</x:v>
      </x:c>
      <x:c r="G4458" t="n">
        <x:v>36</x:v>
      </x:c>
      <x:c r="H4458" t="str">
        <x:v>B</x:v>
      </x:c>
      <x:c r="I4458" t="str">
        <x:v>7-9 years</x:v>
      </x:c>
      <x:c r="J4458" t="str">
        <x:v>MORTGAGE</x:v>
      </x:c>
      <x:c r="K4458" t="str">
        <x:v>debt_consolidation</x:v>
      </x:c>
      <x:c r="L4458" t="n">
        <x:v>0</x:v>
      </x:c>
      <x:c r="M4458" t="n">
        <x:v>0</x:v>
      </x:c>
      <x:c r="N4458" t="str">
        <x:v>Fully Paid</x:v>
      </x:c>
      <x:c r="O4458" t="str">
        <x:f>IF(D4458="","Unknown",IF(D4458&lt;25000,"&lt;$25k",IF(D4458&lt;50000,"$25k-$50k",IF(D4458&lt;75000,"$50k-$75k",IF(D4458&lt;100000,"$75k-$100k","$100k+")))))</x:f>
        <x:v>&lt;$25k</x:v>
      </x:c>
      <x:c r="P4458" t="str">
        <x:f>IF(E4458="","Unknown",IF(E4458&lt;10,"&lt;10",IF(E4458&lt;20,"10-&lt;20",IF(E4458&lt;25,"20-&lt;25",IF(E4458&lt;35,"25-&lt;35","35+")))))</x:f>
        <x:v>&lt;10</x:v>
      </x:c>
    </x:row>
    <x:row r="4459">
      <x:c r="A4459" t="str">
        <x:v>SYN0004458</x:v>
      </x:c>
      <x:c r="B4459" s="12" t="n">
        <x:v>43285</x:v>
      </x:c>
      <x:c r="C4459" s="18" t="n">
        <x:v>26628</x:v>
      </x:c>
      <x:c r="D4459" s="18" t="n">
        <x:v>54682</x:v>
      </x:c>
      <x:c r="E4459" s="18" t="n">
        <x:v>16.08</x:v>
      </x:c>
      <x:c r="F4459" s="18" t="n">
        <x:v>8.75</x:v>
      </x:c>
      <x:c r="G4459" t="n">
        <x:v>36</x:v>
      </x:c>
      <x:c r="H4459" t="str">
        <x:v>B</x:v>
      </x:c>
      <x:c r="I4459" t="str">
        <x:v>1-3 years</x:v>
      </x:c>
      <x:c r="J4459" t="str">
        <x:v>RENT</x:v>
      </x:c>
      <x:c r="K4459" t="str">
        <x:v>credit_card</x:v>
      </x:c>
      <x:c r="L4459" t="n">
        <x:v>1</x:v>
      </x:c>
      <x:c r="M4459" t="n">
        <x:v>0</x:v>
      </x:c>
      <x:c r="N4459" t="str">
        <x:v>Fully Paid</x:v>
      </x:c>
      <x:c r="O4459" t="str">
        <x:f>IF(D4459="","Unknown",IF(D4459&lt;25000,"&lt;$25k",IF(D4459&lt;50000,"$25k-$50k",IF(D4459&lt;75000,"$50k-$75k",IF(D4459&lt;100000,"$75k-$100k","$100k+")))))</x:f>
        <x:v>$50k-$75k</x:v>
      </x:c>
      <x:c r="P4459" t="str">
        <x:f>IF(E4459="","Unknown",IF(E4459&lt;10,"&lt;10",IF(E4459&lt;20,"10-&lt;20",IF(E4459&lt;25,"20-&lt;25",IF(E4459&lt;35,"25-&lt;35","35+")))))</x:f>
        <x:v>10-&lt;20</x:v>
      </x:c>
    </x:row>
    <x:row r="4460">
      <x:c r="A4460" t="str">
        <x:v>SYN0004459</x:v>
      </x:c>
      <x:c r="B4460" s="12" t="n">
        <x:v>41545</x:v>
      </x:c>
      <x:c r="C4460" s="18" t="n">
        <x:v>11586</x:v>
      </x:c>
      <x:c r="D4460" s="18" t="n">
        <x:v>39938</x:v>
      </x:c>
      <x:c r="E4460" s="18" t="n">
        <x:v>16.55</x:v>
      </x:c>
      <x:c r="F4460" s="18" t="n">
        <x:v>7.76</x:v>
      </x:c>
      <x:c r="G4460" t="n">
        <x:v>36</x:v>
      </x:c>
      <x:c r="H4460" t="str">
        <x:v>B</x:v>
      </x:c>
      <x:c r="I4460" t="str">
        <x:v>4-6 years</x:v>
      </x:c>
      <x:c r="J4460" t="str">
        <x:v>RENT</x:v>
      </x:c>
      <x:c r="K4460" t="str">
        <x:v>home_improvement</x:v>
      </x:c>
      <x:c r="L4460" t="n">
        <x:v>1</x:v>
      </x:c>
      <x:c r="M4460" t="n">
        <x:v>0</x:v>
      </x:c>
      <x:c r="N4460" t="str">
        <x:v>Fully Paid</x:v>
      </x:c>
      <x:c r="O4460" t="str">
        <x:f>IF(D4460="","Unknown",IF(D4460&lt;25000,"&lt;$25k",IF(D4460&lt;50000,"$25k-$50k",IF(D4460&lt;75000,"$50k-$75k",IF(D4460&lt;100000,"$75k-$100k","$100k+")))))</x:f>
        <x:v>$25k-$50k</x:v>
      </x:c>
      <x:c r="P4460" t="str">
        <x:f>IF(E4460="","Unknown",IF(E4460&lt;10,"&lt;10",IF(E4460&lt;20,"10-&lt;20",IF(E4460&lt;25,"20-&lt;25",IF(E4460&lt;35,"25-&lt;35","35+")))))</x:f>
        <x:v>10-&lt;20</x:v>
      </x:c>
    </x:row>
    <x:row r="4461">
      <x:c r="A4461" t="str">
        <x:v>SYN0004460</x:v>
      </x:c>
      <x:c r="B4461" s="12" t="n">
        <x:v>42745</x:v>
      </x:c>
      <x:c r="C4461" s="18" t="n">
        <x:v>13571</x:v>
      </x:c>
      <x:c r="D4461" s="18" t="n">
        <x:v>184970</x:v>
      </x:c>
      <x:c r="E4461" s="18" t="n">
        <x:v>13.37</x:v>
      </x:c>
      <x:c r="F4461" s="18" t="n">
        <x:v>20.76</x:v>
      </x:c>
      <x:c r="G4461" t="n">
        <x:v>36</x:v>
      </x:c>
      <x:c r="H4461" t="str">
        <x:v>E</x:v>
      </x:c>
      <x:c r="I4461" t="str">
        <x:v>7-9 years</x:v>
      </x:c>
      <x:c r="J4461" t="str">
        <x:v>MORTGAGE</x:v>
      </x:c>
      <x:c r="K4461" t="str">
        <x:v>credit_card</x:v>
      </x:c>
      <x:c r="L4461" t="n">
        <x:v>0</x:v>
      </x:c>
      <x:c r="M4461" t="n">
        <x:v>0</x:v>
      </x:c>
      <x:c r="N4461" t="str">
        <x:v>Fully Paid</x:v>
      </x:c>
      <x:c r="O4461" t="str">
        <x:f>IF(D4461="","Unknown",IF(D4461&lt;25000,"&lt;$25k",IF(D4461&lt;50000,"$25k-$50k",IF(D4461&lt;75000,"$50k-$75k",IF(D4461&lt;100000,"$75k-$100k","$100k+")))))</x:f>
        <x:v>$100k+</x:v>
      </x:c>
      <x:c r="P4461" t="str">
        <x:f>IF(E4461="","Unknown",IF(E4461&lt;10,"&lt;10",IF(E4461&lt;20,"10-&lt;20",IF(E4461&lt;25,"20-&lt;25",IF(E4461&lt;35,"25-&lt;35","35+")))))</x:f>
        <x:v>10-&lt;20</x:v>
      </x:c>
    </x:row>
    <x:row r="4462">
      <x:c r="A4462" t="str">
        <x:v>SYN0004461</x:v>
      </x:c>
      <x:c r="B4462" s="12" t="n">
        <x:v>42175</x:v>
      </x:c>
      <x:c r="C4462" s="18" t="n">
        <x:v>9551</x:v>
      </x:c>
      <x:c r="D4462" s="18" t="n">
        <x:v>18252</x:v>
      </x:c>
      <x:c r="E4462" s="18" t="n">
        <x:v>31.85</x:v>
      </x:c>
      <x:c r="F4462" s="18" t="n">
        <x:v>26.78</x:v>
      </x:c>
      <x:c r="G4462" t="n">
        <x:v>60</x:v>
      </x:c>
      <x:c r="H4462" t="str">
        <x:v>G</x:v>
      </x:c>
      <x:c r="I4462" t="str">
        <x:v>4-6 years</x:v>
      </x:c>
      <x:c r="J4462" t="str">
        <x:v>MORTGAGE</x:v>
      </x:c>
      <x:c r="K4462" t="str">
        <x:v>debt_consolidation</x:v>
      </x:c>
      <x:c r="L4462" t="n">
        <x:v>1</x:v>
      </x:c>
      <x:c r="M4462" t="n">
        <x:v>1</x:v>
      </x:c>
      <x:c r="N4462" t="str">
        <x:v>Charged Off</x:v>
      </x:c>
      <x:c r="O4462" t="str">
        <x:f>IF(D4462="","Unknown",IF(D4462&lt;25000,"&lt;$25k",IF(D4462&lt;50000,"$25k-$50k",IF(D4462&lt;75000,"$50k-$75k",IF(D4462&lt;100000,"$75k-$100k","$100k+")))))</x:f>
        <x:v>&lt;$25k</x:v>
      </x:c>
      <x:c r="P4462" t="str">
        <x:f>IF(E4462="","Unknown",IF(E4462&lt;10,"&lt;10",IF(E4462&lt;20,"10-&lt;20",IF(E4462&lt;25,"20-&lt;25",IF(E4462&lt;35,"25-&lt;35","35+")))))</x:f>
        <x:v>25-&lt;35</x:v>
      </x:c>
    </x:row>
    <x:row r="4463">
      <x:c r="A4463" t="str">
        <x:v>SYN0004462</x:v>
      </x:c>
      <x:c r="B4463" s="12" t="n">
        <x:v>42565</x:v>
      </x:c>
      <x:c r="C4463" s="18" t="n">
        <x:v>8926</x:v>
      </x:c>
      <x:c r="D4463" s="18" t="n">
        <x:v>43597</x:v>
      </x:c>
      <x:c r="E4463" s="18" t="n">
        <x:v>21.75</x:v>
      </x:c>
      <x:c r="F4463" s="18" t="n">
        <x:v>9.32</x:v>
      </x:c>
      <x:c r="G4463" t="n">
        <x:v>36</x:v>
      </x:c>
      <x:c r="H4463" t="str">
        <x:v>B</x:v>
      </x:c>
      <x:c r="I4463" t="str">
        <x:v>10+ years</x:v>
      </x:c>
      <x:c r="J4463" t="str">
        <x:v>RENT</x:v>
      </x:c>
      <x:c r="K4463" t="str">
        <x:v>debt_consolidation</x:v>
      </x:c>
      <x:c r="L4463" t="n">
        <x:v>0</x:v>
      </x:c>
      <x:c r="M4463" t="n">
        <x:v>1</x:v>
      </x:c>
      <x:c r="N4463" t="str">
        <x:v>Charged Off</x:v>
      </x:c>
      <x:c r="O4463" t="str">
        <x:f>IF(D4463="","Unknown",IF(D4463&lt;25000,"&lt;$25k",IF(D4463&lt;50000,"$25k-$50k",IF(D4463&lt;75000,"$50k-$75k",IF(D4463&lt;100000,"$75k-$100k","$100k+")))))</x:f>
        <x:v>$25k-$50k</x:v>
      </x:c>
      <x:c r="P4463" t="str">
        <x:f>IF(E4463="","Unknown",IF(E4463&lt;10,"&lt;10",IF(E4463&lt;20,"10-&lt;20",IF(E4463&lt;25,"20-&lt;25",IF(E4463&lt;35,"25-&lt;35","35+")))))</x:f>
        <x:v>20-&lt;25</x:v>
      </x:c>
    </x:row>
    <x:row r="4464">
      <x:c r="A4464" t="str">
        <x:v>SYN0004463</x:v>
      </x:c>
      <x:c r="B4464" s="12" t="n">
        <x:v>41875</x:v>
      </x:c>
      <x:c r="C4464" s="18" t="n">
        <x:v>14260</x:v>
      </x:c>
      <x:c r="D4464" s="18" t="n">
        <x:v>51215</x:v>
      </x:c>
      <x:c r="E4464" s="18" t="n">
        <x:v>20.26</x:v>
      </x:c>
      <x:c r="F4464" s="18" t="n">
        <x:v>10.26</x:v>
      </x:c>
      <x:c r="G4464" t="n">
        <x:v>36</x:v>
      </x:c>
      <x:c r="H4464" t="str">
        <x:v>C</x:v>
      </x:c>
      <x:c r="I4464" t="str">
        <x:v>1-3 years</x:v>
      </x:c>
      <x:c r="J4464" t="str">
        <x:v>MORTGAGE</x:v>
      </x:c>
      <x:c r="K4464" t="str">
        <x:v>major_purchase</x:v>
      </x:c>
      <x:c r="L4464" t="n">
        <x:v>0</x:v>
      </x:c>
      <x:c r="M4464" t="n">
        <x:v>0</x:v>
      </x:c>
      <x:c r="N4464" t="str">
        <x:v>Fully Paid</x:v>
      </x:c>
      <x:c r="O4464" t="str">
        <x:f>IF(D4464="","Unknown",IF(D4464&lt;25000,"&lt;$25k",IF(D4464&lt;50000,"$25k-$50k",IF(D4464&lt;75000,"$50k-$75k",IF(D4464&lt;100000,"$75k-$100k","$100k+")))))</x:f>
        <x:v>$50k-$75k</x:v>
      </x:c>
      <x:c r="P4464" t="str">
        <x:f>IF(E4464="","Unknown",IF(E4464&lt;10,"&lt;10",IF(E4464&lt;20,"10-&lt;20",IF(E4464&lt;25,"20-&lt;25",IF(E4464&lt;35,"25-&lt;35","35+")))))</x:f>
        <x:v>20-&lt;25</x:v>
      </x:c>
    </x:row>
    <x:row r="4465">
      <x:c r="A4465" t="str">
        <x:v>SYN0004464</x:v>
      </x:c>
      <x:c r="B4465" s="12" t="n">
        <x:v>43405</x:v>
      </x:c>
      <x:c r="C4465" s="18" t="n">
        <x:v>7160</x:v>
      </x:c>
      <x:c r="D4465" s="18" t="n">
        <x:v>44037</x:v>
      </x:c>
      <x:c r="E4465" s="18" t="n">
        <x:v>30.92</x:v>
      </x:c>
      <x:c r="F4465" s="18" t="n">
        <x:v>10.87</x:v>
      </x:c>
      <x:c r="G4465" t="n">
        <x:v>36</x:v>
      </x:c>
      <x:c r="H4465" t="str">
        <x:v>C</x:v>
      </x:c>
      <x:c r="I4465" t="str">
        <x:v>4-6 years</x:v>
      </x:c>
      <x:c r="J4465" t="str">
        <x:v>OWN</x:v>
      </x:c>
      <x:c r="K4465" t="str">
        <x:v>other</x:v>
      </x:c>
      <x:c r="L4465" t="n">
        <x:v>1</x:v>
      </x:c>
      <x:c r="M4465" t="n">
        <x:v>0</x:v>
      </x:c>
      <x:c r="N4465" t="str">
        <x:v>Fully Paid</x:v>
      </x:c>
      <x:c r="O4465" t="str">
        <x:f>IF(D4465="","Unknown",IF(D4465&lt;25000,"&lt;$25k",IF(D4465&lt;50000,"$25k-$50k",IF(D4465&lt;75000,"$50k-$75k",IF(D4465&lt;100000,"$75k-$100k","$100k+")))))</x:f>
        <x:v>$25k-$50k</x:v>
      </x:c>
      <x:c r="P4465" t="str">
        <x:f>IF(E4465="","Unknown",IF(E4465&lt;10,"&lt;10",IF(E4465&lt;20,"10-&lt;20",IF(E4465&lt;25,"20-&lt;25",IF(E4465&lt;35,"25-&lt;35","35+")))))</x:f>
        <x:v>25-&lt;35</x:v>
      </x:c>
    </x:row>
    <x:row r="4466">
      <x:c r="A4466" t="str">
        <x:v>SYN0004465</x:v>
      </x:c>
      <x:c r="B4466" s="12" t="n">
        <x:v>41395</x:v>
      </x:c>
      <x:c r="C4466" s="18" t="n">
        <x:v>6373</x:v>
      </x:c>
      <x:c r="D4466" s="18" t="n">
        <x:v>54514</x:v>
      </x:c>
      <x:c r="E4466" s="18" t="n">
        <x:v>16.7</x:v>
      </x:c>
      <x:c r="F4466" s="18" t="n">
        <x:v>18.75</x:v>
      </x:c>
      <x:c r="G4466" t="n">
        <x:v>36</x:v>
      </x:c>
      <x:c r="H4466" t="str">
        <x:v>E</x:v>
      </x:c>
      <x:c r="I4466" t="str">
        <x:v>10+ years</x:v>
      </x:c>
      <x:c r="J4466" t="str">
        <x:v>OWN</x:v>
      </x:c>
      <x:c r="K4466" t="str">
        <x:v>home_improvement</x:v>
      </x:c>
      <x:c r="L4466" t="n">
        <x:v>0</x:v>
      </x:c>
      <x:c r="M4466" t="n">
        <x:v>0</x:v>
      </x:c>
      <x:c r="N4466" t="str">
        <x:v>Fully Paid</x:v>
      </x:c>
      <x:c r="O4466" t="str">
        <x:f>IF(D4466="","Unknown",IF(D4466&lt;25000,"&lt;$25k",IF(D4466&lt;50000,"$25k-$50k",IF(D4466&lt;75000,"$50k-$75k",IF(D4466&lt;100000,"$75k-$100k","$100k+")))))</x:f>
        <x:v>$50k-$75k</x:v>
      </x:c>
      <x:c r="P4466" t="str">
        <x:f>IF(E4466="","Unknown",IF(E4466&lt;10,"&lt;10",IF(E4466&lt;20,"10-&lt;20",IF(E4466&lt;25,"20-&lt;25",IF(E4466&lt;35,"25-&lt;35","35+")))))</x:f>
        <x:v>10-&lt;20</x:v>
      </x:c>
    </x:row>
    <x:row r="4467">
      <x:c r="A4467" t="str">
        <x:v>SYN0004466</x:v>
      </x:c>
      <x:c r="B4467" s="12" t="n">
        <x:v>41275</x:v>
      </x:c>
      <x:c r="C4467" s="18" t="n">
        <x:v>10613</x:v>
      </x:c>
      <x:c r="D4467" s="18" t="n">
        <x:v>52985</x:v>
      </x:c>
      <x:c r="E4467" s="18" t="n">
        <x:v>33.05</x:v>
      </x:c>
      <x:c r="F4467" s="18" t="n">
        <x:v>21.71</x:v>
      </x:c>
      <x:c r="G4467" t="n">
        <x:v>36</x:v>
      </x:c>
      <x:c r="H4467" t="str">
        <x:v>F</x:v>
      </x:c>
      <x:c r="I4467" t="str">
        <x:v>7-9 years</x:v>
      </x:c>
      <x:c r="J4467" t="str">
        <x:v>OWN</x:v>
      </x:c>
      <x:c r="K4467" t="str">
        <x:v>debt_consolidation</x:v>
      </x:c>
      <x:c r="L4467" t="n">
        <x:v>2</x:v>
      </x:c>
      <x:c r="M4467" t="n">
        <x:v>0</x:v>
      </x:c>
      <x:c r="N4467" t="str">
        <x:v>Fully Paid</x:v>
      </x:c>
      <x:c r="O4467" t="str">
        <x:f>IF(D4467="","Unknown",IF(D4467&lt;25000,"&lt;$25k",IF(D4467&lt;50000,"$25k-$50k",IF(D4467&lt;75000,"$50k-$75k",IF(D4467&lt;100000,"$75k-$100k","$100k+")))))</x:f>
        <x:v>$50k-$75k</x:v>
      </x:c>
      <x:c r="P4467" t="str">
        <x:f>IF(E4467="","Unknown",IF(E4467&lt;10,"&lt;10",IF(E4467&lt;20,"10-&lt;20",IF(E4467&lt;25,"20-&lt;25",IF(E4467&lt;35,"25-&lt;35","35+")))))</x:f>
        <x:v>25-&lt;35</x:v>
      </x:c>
    </x:row>
    <x:row r="4468">
      <x:c r="A4468" t="str">
        <x:v>SYN0004467</x:v>
      </x:c>
      <x:c r="B4468" s="12" t="n">
        <x:v>42715</x:v>
      </x:c>
      <x:c r="C4468" s="18" t="n">
        <x:v>40000</x:v>
      </x:c>
      <x:c r="D4468" s="18" t="n">
        <x:v>22142</x:v>
      </x:c>
      <x:c r="E4468" s="18" t="n">
        <x:v>27.87</x:v>
      </x:c>
      <x:c r="F4468" s="18" t="n">
        <x:v>12.68</x:v>
      </x:c>
      <x:c r="G4468" t="n">
        <x:v>60</x:v>
      </x:c>
      <x:c r="H4468" t="str">
        <x:v>C</x:v>
      </x:c>
      <x:c r="I4468" t="str">
        <x:v>4-6 years</x:v>
      </x:c>
      <x:c r="J4468" t="str">
        <x:v>RENT</x:v>
      </x:c>
      <x:c r="K4468" t="str">
        <x:v>credit_card</x:v>
      </x:c>
      <x:c r="L4468" t="n">
        <x:v>1</x:v>
      </x:c>
      <x:c r="M4468" t="n">
        <x:v>0</x:v>
      </x:c>
      <x:c r="N4468" t="str">
        <x:v>Fully Paid</x:v>
      </x:c>
      <x:c r="O4468" t="str">
        <x:f>IF(D4468="","Unknown",IF(D4468&lt;25000,"&lt;$25k",IF(D4468&lt;50000,"$25k-$50k",IF(D4468&lt;75000,"$50k-$75k",IF(D4468&lt;100000,"$75k-$100k","$100k+")))))</x:f>
        <x:v>&lt;$25k</x:v>
      </x:c>
      <x:c r="P4468" t="str">
        <x:f>IF(E4468="","Unknown",IF(E4468&lt;10,"&lt;10",IF(E4468&lt;20,"10-&lt;20",IF(E4468&lt;25,"20-&lt;25",IF(E4468&lt;35,"25-&lt;35","35+")))))</x:f>
        <x:v>25-&lt;35</x:v>
      </x:c>
    </x:row>
    <x:row r="4469">
      <x:c r="A4469" t="str">
        <x:v>SYN0004468</x:v>
      </x:c>
      <x:c r="B4469" s="12" t="n">
        <x:v>41995</x:v>
      </x:c>
      <x:c r="C4469" s="18" t="n">
        <x:v>20023</x:v>
      </x:c>
      <x:c r="D4469" s="18" t="n">
        <x:v>129114</x:v>
      </x:c>
      <x:c r="E4469" s="18" t="n">
        <x:v>18.99</x:v>
      </x:c>
      <x:c r="F4469" s="18" t="n">
        <x:v>9.91</x:v>
      </x:c>
      <x:c r="G4469" t="n">
        <x:v>36</x:v>
      </x:c>
      <x:c r="H4469" t="str">
        <x:v>B</x:v>
      </x:c>
      <x:c r="I4469" t="str">
        <x:v>10+ years</x:v>
      </x:c>
      <x:c r="J4469" t="str">
        <x:v>MORTGAGE</x:v>
      </x:c>
      <x:c r="K4469" t="str">
        <x:v>debt_consolidation</x:v>
      </x:c>
      <x:c r="L4469" t="n">
        <x:v>0</x:v>
      </x:c>
      <x:c r="M4469" t="n">
        <x:v>0</x:v>
      </x:c>
      <x:c r="N4469" t="str">
        <x:v>Fully Paid</x:v>
      </x:c>
      <x:c r="O4469" t="str">
        <x:f>IF(D4469="","Unknown",IF(D4469&lt;25000,"&lt;$25k",IF(D4469&lt;50000,"$25k-$50k",IF(D4469&lt;75000,"$50k-$75k",IF(D4469&lt;100000,"$75k-$100k","$100k+")))))</x:f>
        <x:v>$100k+</x:v>
      </x:c>
      <x:c r="P4469" t="str">
        <x:f>IF(E4469="","Unknown",IF(E4469&lt;10,"&lt;10",IF(E4469&lt;20,"10-&lt;20",IF(E4469&lt;25,"20-&lt;25",IF(E4469&lt;35,"25-&lt;35","35+")))))</x:f>
        <x:v>10-&lt;20</x:v>
      </x:c>
    </x:row>
    <x:row r="4470">
      <x:c r="A4470" t="str">
        <x:v>SYN0004469</x:v>
      </x:c>
      <x:c r="B4470" s="12" t="n">
        <x:v>42325</x:v>
      </x:c>
      <x:c r="C4470" s="18" t="n">
        <x:v>6307</x:v>
      </x:c>
      <x:c r="D4470" s="18" t="n">
        <x:v>64543</x:v>
      </x:c>
      <x:c r="E4470" s="18" t="n">
        <x:v>31.84</x:v>
      </x:c>
      <x:c r="F4470" s="18" t="n">
        <x:v>16.76</x:v>
      </x:c>
      <x:c r="G4470" t="n">
        <x:v>60</x:v>
      </x:c>
      <x:c r="H4470" t="str">
        <x:v>D</x:v>
      </x:c>
      <x:c r="I4470" t="str">
        <x:v>&lt;1 year</x:v>
      </x:c>
      <x:c r="J4470" t="str">
        <x:v>RENT</x:v>
      </x:c>
      <x:c r="K4470" t="str">
        <x:v>debt_consolidation</x:v>
      </x:c>
      <x:c r="L4470" t="n">
        <x:v>1</x:v>
      </x:c>
      <x:c r="M4470" t="n">
        <x:v>0</x:v>
      </x:c>
      <x:c r="N4470" t="str">
        <x:v>Fully Paid</x:v>
      </x:c>
      <x:c r="O4470" t="str">
        <x:f>IF(D4470="","Unknown",IF(D4470&lt;25000,"&lt;$25k",IF(D4470&lt;50000,"$25k-$50k",IF(D4470&lt;75000,"$50k-$75k",IF(D4470&lt;100000,"$75k-$100k","$100k+")))))</x:f>
        <x:v>$50k-$75k</x:v>
      </x:c>
      <x:c r="P4470" t="str">
        <x:f>IF(E4470="","Unknown",IF(E4470&lt;10,"&lt;10",IF(E4470&lt;20,"10-&lt;20",IF(E4470&lt;25,"20-&lt;25",IF(E4470&lt;35,"25-&lt;35","35+")))))</x:f>
        <x:v>25-&lt;35</x:v>
      </x:c>
    </x:row>
    <x:row r="4471">
      <x:c r="A4471" t="str">
        <x:v>SYN0004470</x:v>
      </x:c>
      <x:c r="B4471" s="12" t="n">
        <x:v>41665</x:v>
      </x:c>
      <x:c r="C4471" s="18" t="n">
        <x:v>25733</x:v>
      </x:c>
      <x:c r="D4471" s="18" t="n">
        <x:v>37815</x:v>
      </x:c>
      <x:c r="E4471" s="18" t="n">
        <x:v>22.58</x:v>
      </x:c>
      <x:c r="F4471" s="18" t="n">
        <x:v>15.38</x:v>
      </x:c>
      <x:c r="G4471" t="n">
        <x:v>36</x:v>
      </x:c>
      <x:c r="H4471" t="str">
        <x:v>D</x:v>
      </x:c>
      <x:c r="I4471" t="str">
        <x:v>10+ years</x:v>
      </x:c>
      <x:c r="J4471" t="str">
        <x:v>RENT</x:v>
      </x:c>
      <x:c r="K4471" t="str">
        <x:v>other</x:v>
      </x:c>
      <x:c r="L4471" t="n">
        <x:v>1</x:v>
      </x:c>
      <x:c r="M4471" t="n">
        <x:v>0</x:v>
      </x:c>
      <x:c r="N4471" t="str">
        <x:v>Fully Paid</x:v>
      </x:c>
      <x:c r="O4471" t="str">
        <x:f>IF(D4471="","Unknown",IF(D4471&lt;25000,"&lt;$25k",IF(D4471&lt;50000,"$25k-$50k",IF(D4471&lt;75000,"$50k-$75k",IF(D4471&lt;100000,"$75k-$100k","$100k+")))))</x:f>
        <x:v>$25k-$50k</x:v>
      </x:c>
      <x:c r="P4471" t="str">
        <x:f>IF(E4471="","Unknown",IF(E4471&lt;10,"&lt;10",IF(E4471&lt;20,"10-&lt;20",IF(E4471&lt;25,"20-&lt;25",IF(E4471&lt;35,"25-&lt;35","35+")))))</x:f>
        <x:v>20-&lt;25</x:v>
      </x:c>
    </x:row>
    <x:row r="4472">
      <x:c r="A4472" t="str">
        <x:v>SYN0004471</x:v>
      </x:c>
      <x:c r="B4472" s="12" t="n">
        <x:v>41635</x:v>
      </x:c>
      <x:c r="C4472" s="18" t="n">
        <x:v>8134</x:v>
      </x:c>
      <x:c r="D4472" s="18" t="n">
        <x:v>29560</x:v>
      </x:c>
      <x:c r="E4472" s="18" t="n">
        <x:v>15.84</x:v>
      </x:c>
      <x:c r="F4472" s="18" t="n">
        <x:v>8.45</x:v>
      </x:c>
      <x:c r="G4472" t="n">
        <x:v>36</x:v>
      </x:c>
      <x:c r="H4472" t="str">
        <x:v>C</x:v>
      </x:c>
      <x:c r="I4472" t="str">
        <x:v>10+ years</x:v>
      </x:c>
      <x:c r="J4472" t="str">
        <x:v>RENT</x:v>
      </x:c>
      <x:c r="K4472" t="str">
        <x:v>debt_consolidation</x:v>
      </x:c>
      <x:c r="L4472" t="n">
        <x:v>0</x:v>
      </x:c>
      <x:c r="M4472" t="n">
        <x:v>0</x:v>
      </x:c>
      <x:c r="N4472" t="str">
        <x:v>Fully Paid</x:v>
      </x:c>
      <x:c r="O4472" t="str">
        <x:f>IF(D4472="","Unknown",IF(D4472&lt;25000,"&lt;$25k",IF(D4472&lt;50000,"$25k-$50k",IF(D4472&lt;75000,"$50k-$75k",IF(D4472&lt;100000,"$75k-$100k","$100k+")))))</x:f>
        <x:v>$25k-$50k</x:v>
      </x:c>
      <x:c r="P4472" t="str">
        <x:f>IF(E4472="","Unknown",IF(E4472&lt;10,"&lt;10",IF(E4472&lt;20,"10-&lt;20",IF(E4472&lt;25,"20-&lt;25",IF(E4472&lt;35,"25-&lt;35","35+")))))</x:f>
        <x:v>10-&lt;20</x:v>
      </x:c>
    </x:row>
    <x:row r="4473">
      <x:c r="A4473" t="str">
        <x:v>SYN0004472</x:v>
      </x:c>
      <x:c r="B4473" s="12" t="n">
        <x:v>42745</x:v>
      </x:c>
      <x:c r="C4473" s="18" t="n">
        <x:v>27721</x:v>
      </x:c>
      <x:c r="D4473" s="18" t="n">
        <x:v>34561</x:v>
      </x:c>
      <x:c r="E4473" s="18" t="n">
        <x:v>16.22</x:v>
      </x:c>
      <x:c r="F4473" s="18" t="n">
        <x:v>11.86</x:v>
      </x:c>
      <x:c r="G4473" t="n">
        <x:v>36</x:v>
      </x:c>
      <x:c r="H4473" t="str">
        <x:v>C</x:v>
      </x:c>
      <x:c r="I4473" t="str">
        <x:v>10+ years</x:v>
      </x:c>
      <x:c r="J4473" t="str">
        <x:v>RENT</x:v>
      </x:c>
      <x:c r="K4473" t="str">
        <x:v>major_purchase</x:v>
      </x:c>
      <x:c r="L4473" t="n">
        <x:v>1</x:v>
      </x:c>
      <x:c r="M4473" t="n">
        <x:v>0</x:v>
      </x:c>
      <x:c r="N4473" t="str">
        <x:v>Fully Paid</x:v>
      </x:c>
      <x:c r="O4473" t="str">
        <x:f>IF(D4473="","Unknown",IF(D4473&lt;25000,"&lt;$25k",IF(D4473&lt;50000,"$25k-$50k",IF(D4473&lt;75000,"$50k-$75k",IF(D4473&lt;100000,"$75k-$100k","$100k+")))))</x:f>
        <x:v>$25k-$50k</x:v>
      </x:c>
      <x:c r="P4473" t="str">
        <x:f>IF(E4473="","Unknown",IF(E4473&lt;10,"&lt;10",IF(E4473&lt;20,"10-&lt;20",IF(E4473&lt;25,"20-&lt;25",IF(E4473&lt;35,"25-&lt;35","35+")))))</x:f>
        <x:v>10-&lt;20</x:v>
      </x:c>
    </x:row>
    <x:row r="4474">
      <x:c r="A4474" t="str">
        <x:v>SYN0004473</x:v>
      </x:c>
      <x:c r="B4474" s="12" t="n">
        <x:v>41395</x:v>
      </x:c>
      <x:c r="C4474" s="18" t="n">
        <x:v>7129</x:v>
      </x:c>
      <x:c r="D4474" s="18" t="n">
        <x:v>29975</x:v>
      </x:c>
      <x:c r="E4474" s="18" t="n">
        <x:v>30.45</x:v>
      </x:c>
      <x:c r="F4474" s="18" t="n">
        <x:v>28.23</x:v>
      </x:c>
      <x:c r="G4474" t="n">
        <x:v>36</x:v>
      </x:c>
      <x:c r="H4474" t="str">
        <x:v>G</x:v>
      </x:c>
      <x:c r="I4474" t="str">
        <x:v>4-6 years</x:v>
      </x:c>
      <x:c r="J4474" t="str">
        <x:v>MORTGAGE</x:v>
      </x:c>
      <x:c r="K4474" t="str">
        <x:v>debt_consolidation</x:v>
      </x:c>
      <x:c r="L4474" t="n">
        <x:v>1</x:v>
      </x:c>
      <x:c r="M4474" t="n">
        <x:v>0</x:v>
      </x:c>
      <x:c r="N4474" t="str">
        <x:v>Fully Paid</x:v>
      </x:c>
      <x:c r="O4474" t="str">
        <x:f>IF(D4474="","Unknown",IF(D4474&lt;25000,"&lt;$25k",IF(D4474&lt;50000,"$25k-$50k",IF(D4474&lt;75000,"$50k-$75k",IF(D4474&lt;100000,"$75k-$100k","$100k+")))))</x:f>
        <x:v>$25k-$50k</x:v>
      </x:c>
      <x:c r="P4474" t="str">
        <x:f>IF(E4474="","Unknown",IF(E4474&lt;10,"&lt;10",IF(E4474&lt;20,"10-&lt;20",IF(E4474&lt;25,"20-&lt;25",IF(E4474&lt;35,"25-&lt;35","35+")))))</x:f>
        <x:v>25-&lt;35</x:v>
      </x:c>
    </x:row>
    <x:row r="4475">
      <x:c r="A4475" t="str">
        <x:v>SYN0004474</x:v>
      </x:c>
      <x:c r="B4475" s="12" t="n">
        <x:v>42025</x:v>
      </x:c>
      <x:c r="C4475" s="18" t="n">
        <x:v>11097</x:v>
      </x:c>
      <x:c r="D4475" s="18" t="n">
        <x:v>47677</x:v>
      </x:c>
      <x:c r="E4475" s="18" t="n">
        <x:v>11.53</x:v>
      </x:c>
      <x:c r="F4475" s="18" t="n">
        <x:v>7.48</x:v>
      </x:c>
      <x:c r="G4475" t="n">
        <x:v>36</x:v>
      </x:c>
      <x:c r="H4475" t="str">
        <x:v>A</x:v>
      </x:c>
      <x:c r="I4475" t="str">
        <x:v>10+ years</x:v>
      </x:c>
      <x:c r="J4475" t="str">
        <x:v>RENT</x:v>
      </x:c>
      <x:c r="K4475" t="str">
        <x:v>home_improvement</x:v>
      </x:c>
      <x:c r="L4475" t="n">
        <x:v>0</x:v>
      </x:c>
      <x:c r="M4475" t="n">
        <x:v>0</x:v>
      </x:c>
      <x:c r="N4475" t="str">
        <x:v>Fully Paid</x:v>
      </x:c>
      <x:c r="O4475" t="str">
        <x:f>IF(D4475="","Unknown",IF(D4475&lt;25000,"&lt;$25k",IF(D4475&lt;50000,"$25k-$50k",IF(D4475&lt;75000,"$50k-$75k",IF(D4475&lt;100000,"$75k-$100k","$100k+")))))</x:f>
        <x:v>$25k-$50k</x:v>
      </x:c>
      <x:c r="P4475" t="str">
        <x:f>IF(E4475="","Unknown",IF(E4475&lt;10,"&lt;10",IF(E4475&lt;20,"10-&lt;20",IF(E4475&lt;25,"20-&lt;25",IF(E4475&lt;35,"25-&lt;35","35+")))))</x:f>
        <x:v>10-&lt;20</x:v>
      </x:c>
    </x:row>
    <x:row r="4476">
      <x:c r="A4476" t="str">
        <x:v>SYN0004475</x:v>
      </x:c>
      <x:c r="B4476" s="12" t="n">
        <x:v>41575</x:v>
      </x:c>
      <x:c r="C4476" s="18" t="n">
        <x:v>11861</x:v>
      </x:c>
      <x:c r="D4476" s="18" t="n">
        <x:v>34632</x:v>
      </x:c>
      <x:c r="E4476" s="18" t="n">
        <x:v>20.17</x:v>
      </x:c>
      <x:c r="F4476" s="18" t="n">
        <x:v>10.64</x:v>
      </x:c>
      <x:c r="G4476" t="n">
        <x:v>36</x:v>
      </x:c>
      <x:c r="H4476" t="str">
        <x:v>B</x:v>
      </x:c>
      <x:c r="I4476" t="str">
        <x:v>1-3 years</x:v>
      </x:c>
      <x:c r="J4476" t="str">
        <x:v>MORTGAGE</x:v>
      </x:c>
      <x:c r="K4476" t="str">
        <x:v>credit_card</x:v>
      </x:c>
      <x:c r="L4476" t="n">
        <x:v>0</x:v>
      </x:c>
      <x:c r="M4476" t="n">
        <x:v>0</x:v>
      </x:c>
      <x:c r="N4476" t="str">
        <x:v>Fully Paid</x:v>
      </x:c>
      <x:c r="O4476" t="str">
        <x:f>IF(D4476="","Unknown",IF(D4476&lt;25000,"&lt;$25k",IF(D4476&lt;50000,"$25k-$50k",IF(D4476&lt;75000,"$50k-$75k",IF(D4476&lt;100000,"$75k-$100k","$100k+")))))</x:f>
        <x:v>$25k-$50k</x:v>
      </x:c>
      <x:c r="P4476" t="str">
        <x:f>IF(E4476="","Unknown",IF(E4476&lt;10,"&lt;10",IF(E4476&lt;20,"10-&lt;20",IF(E4476&lt;25,"20-&lt;25",IF(E4476&lt;35,"25-&lt;35","35+")))))</x:f>
        <x:v>20-&lt;25</x:v>
      </x:c>
    </x:row>
    <x:row r="4477">
      <x:c r="A4477" t="str">
        <x:v>SYN0004476</x:v>
      </x:c>
      <x:c r="B4477" s="12" t="n">
        <x:v>43405</x:v>
      </x:c>
      <x:c r="C4477" s="18" t="n">
        <x:v>6744</x:v>
      </x:c>
      <x:c r="D4477" s="18" t="n">
        <x:v>56549</x:v>
      </x:c>
      <x:c r="E4477" s="18" t="n">
        <x:v>32.94</x:v>
      </x:c>
      <x:c r="F4477" s="18" t="n">
        <x:v>9.63</x:v>
      </x:c>
      <x:c r="G4477" t="n">
        <x:v>36</x:v>
      </x:c>
      <x:c r="H4477" t="str">
        <x:v>B</x:v>
      </x:c>
      <x:c r="I4477" t="str">
        <x:v>7-9 years</x:v>
      </x:c>
      <x:c r="J4477" t="str">
        <x:v>OWN</x:v>
      </x:c>
      <x:c r="K4477" t="str">
        <x:v>other</x:v>
      </x:c>
      <x:c r="L4477" t="n">
        <x:v>0</x:v>
      </x:c>
      <x:c r="M4477" t="n">
        <x:v>0</x:v>
      </x:c>
      <x:c r="N4477" t="str">
        <x:v>Fully Paid</x:v>
      </x:c>
      <x:c r="O4477" t="str">
        <x:f>IF(D4477="","Unknown",IF(D4477&lt;25000,"&lt;$25k",IF(D4477&lt;50000,"$25k-$50k",IF(D4477&lt;75000,"$50k-$75k",IF(D4477&lt;100000,"$75k-$100k","$100k+")))))</x:f>
        <x:v>$50k-$75k</x:v>
      </x:c>
      <x:c r="P4477" t="str">
        <x:f>IF(E4477="","Unknown",IF(E4477&lt;10,"&lt;10",IF(E4477&lt;20,"10-&lt;20",IF(E4477&lt;25,"20-&lt;25",IF(E4477&lt;35,"25-&lt;35","35+")))))</x:f>
        <x:v>25-&lt;35</x:v>
      </x:c>
    </x:row>
    <x:row r="4478">
      <x:c r="A4478" t="str">
        <x:v>SYN0004477</x:v>
      </x:c>
      <x:c r="B4478" s="12" t="n">
        <x:v>42355</x:v>
      </x:c>
      <x:c r="C4478" s="18" t="n">
        <x:v>20030</x:v>
      </x:c>
      <x:c r="D4478" s="18" t="n">
        <x:v>167077</x:v>
      </x:c>
      <x:c r="E4478" s="18" t="n">
        <x:v>16.82</x:v>
      </x:c>
      <x:c r="F4478" s="18" t="n">
        <x:v>12.36</x:v>
      </x:c>
      <x:c r="G4478" t="n">
        <x:v>36</x:v>
      </x:c>
      <x:c r="H4478" t="str">
        <x:v>D</x:v>
      </x:c>
      <x:c r="I4478" t="str">
        <x:v>&lt;1 year</x:v>
      </x:c>
      <x:c r="J4478" t="str">
        <x:v>OWN</x:v>
      </x:c>
      <x:c r="K4478" t="str">
        <x:v>credit_card</x:v>
      </x:c>
      <x:c r="L4478" t="n">
        <x:v>0</x:v>
      </x:c>
      <x:c r="M4478" t="n">
        <x:v>0</x:v>
      </x:c>
      <x:c r="N4478" t="str">
        <x:v>Fully Paid</x:v>
      </x:c>
      <x:c r="O4478" t="str">
        <x:f>IF(D4478="","Unknown",IF(D4478&lt;25000,"&lt;$25k",IF(D4478&lt;50000,"$25k-$50k",IF(D4478&lt;75000,"$50k-$75k",IF(D4478&lt;100000,"$75k-$100k","$100k+")))))</x:f>
        <x:v>$100k+</x:v>
      </x:c>
      <x:c r="P4478" t="str">
        <x:f>IF(E4478="","Unknown",IF(E4478&lt;10,"&lt;10",IF(E4478&lt;20,"10-&lt;20",IF(E4478&lt;25,"20-&lt;25",IF(E4478&lt;35,"25-&lt;35","35+")))))</x:f>
        <x:v>10-&lt;20</x:v>
      </x:c>
    </x:row>
    <x:row r="4479">
      <x:c r="A4479" t="str">
        <x:v>SYN0004478</x:v>
      </x:c>
      <x:c r="B4479" s="12" t="n">
        <x:v>41875</x:v>
      </x:c>
      <x:c r="C4479" s="18" t="n">
        <x:v>10873</x:v>
      </x:c>
      <x:c r="D4479" s="18" t="n">
        <x:v>39239</x:v>
      </x:c>
      <x:c r="E4479" s="18" t="n">
        <x:v>29.48</x:v>
      </x:c>
      <x:c r="F4479" s="18" t="n">
        <x:v>6.59</x:v>
      </x:c>
      <x:c r="G4479" t="n">
        <x:v>60</x:v>
      </x:c>
      <x:c r="H4479" t="str">
        <x:v>A</x:v>
      </x:c>
      <x:c r="I4479" t="str">
        <x:v>4-6 years</x:v>
      </x:c>
      <x:c r="J4479" t="str">
        <x:v>RENT</x:v>
      </x:c>
      <x:c r="K4479" t="str">
        <x:v>major_purchase</x:v>
      </x:c>
      <x:c r="L4479" t="n">
        <x:v>0</x:v>
      </x:c>
      <x:c r="M4479" t="n">
        <x:v>0</x:v>
      </x:c>
      <x:c r="N4479" t="str">
        <x:v>Fully Paid</x:v>
      </x:c>
      <x:c r="O4479" t="str">
        <x:f>IF(D4479="","Unknown",IF(D4479&lt;25000,"&lt;$25k",IF(D4479&lt;50000,"$25k-$50k",IF(D4479&lt;75000,"$50k-$75k",IF(D4479&lt;100000,"$75k-$100k","$100k+")))))</x:f>
        <x:v>$25k-$50k</x:v>
      </x:c>
      <x:c r="P4479" t="str">
        <x:f>IF(E4479="","Unknown",IF(E4479&lt;10,"&lt;10",IF(E4479&lt;20,"10-&lt;20",IF(E4479&lt;25,"20-&lt;25",IF(E4479&lt;35,"25-&lt;35","35+")))))</x:f>
        <x:v>25-&lt;35</x:v>
      </x:c>
    </x:row>
    <x:row r="4480">
      <x:c r="A4480" t="str">
        <x:v>SYN0004479</x:v>
      </x:c>
      <x:c r="B4480" s="12" t="n">
        <x:v>41695</x:v>
      </x:c>
      <x:c r="C4480" s="18" t="n">
        <x:v>7373</x:v>
      </x:c>
      <x:c r="D4480" s="18" t="n">
        <x:v>70129</x:v>
      </x:c>
      <x:c r="E4480" s="18" t="n">
        <x:v>28.72</x:v>
      </x:c>
      <x:c r="F4480" s="18" t="n">
        <x:v>23.41</x:v>
      </x:c>
      <x:c r="G4480" t="n">
        <x:v>36</x:v>
      </x:c>
      <x:c r="H4480" t="str">
        <x:v>F</x:v>
      </x:c>
      <x:c r="I4480" t="str">
        <x:v>&lt;1 year</x:v>
      </x:c>
      <x:c r="J4480" t="str">
        <x:v>OWN</x:v>
      </x:c>
      <x:c r="K4480" t="str">
        <x:v>major_purchase</x:v>
      </x:c>
      <x:c r="L4480" t="n">
        <x:v>2</x:v>
      </x:c>
      <x:c r="M4480" t="n">
        <x:v>0</x:v>
      </x:c>
      <x:c r="N4480" t="str">
        <x:v>Fully Paid</x:v>
      </x:c>
      <x:c r="O4480" t="str">
        <x:f>IF(D4480="","Unknown",IF(D4480&lt;25000,"&lt;$25k",IF(D4480&lt;50000,"$25k-$50k",IF(D4480&lt;75000,"$50k-$75k",IF(D4480&lt;100000,"$75k-$100k","$100k+")))))</x:f>
        <x:v>$50k-$75k</x:v>
      </x:c>
      <x:c r="P4480" t="str">
        <x:f>IF(E4480="","Unknown",IF(E4480&lt;10,"&lt;10",IF(E4480&lt;20,"10-&lt;20",IF(E4480&lt;25,"20-&lt;25",IF(E4480&lt;35,"25-&lt;35","35+")))))</x:f>
        <x:v>25-&lt;35</x:v>
      </x:c>
    </x:row>
    <x:row r="4481">
      <x:c r="A4481" t="str">
        <x:v>SYN0004480</x:v>
      </x:c>
      <x:c r="B4481" s="12" t="n">
        <x:v>41905</x:v>
      </x:c>
      <x:c r="C4481" s="18" t="n">
        <x:v>37198</x:v>
      </x:c>
      <x:c r="D4481" s="18" t="n">
        <x:v>84830</x:v>
      </x:c>
      <x:c r="E4481" s="18" t="n">
        <x:v>17.69</x:v>
      </x:c>
      <x:c r="F4481" s="18" t="n">
        <x:v>12.86</x:v>
      </x:c>
      <x:c r="G4481" t="n">
        <x:v>36</x:v>
      </x:c>
      <x:c r="H4481" t="str">
        <x:v>C</x:v>
      </x:c>
      <x:c r="I4481" t="str">
        <x:v>&lt;1 year</x:v>
      </x:c>
      <x:c r="J4481" t="str">
        <x:v>OWN</x:v>
      </x:c>
      <x:c r="K4481" t="str">
        <x:v>credit_card</x:v>
      </x:c>
      <x:c r="L4481" t="n">
        <x:v>0</x:v>
      </x:c>
      <x:c r="M4481" t="n">
        <x:v>0</x:v>
      </x:c>
      <x:c r="N4481" t="str">
        <x:v>Fully Paid</x:v>
      </x:c>
      <x:c r="O4481" t="str">
        <x:f>IF(D4481="","Unknown",IF(D4481&lt;25000,"&lt;$25k",IF(D4481&lt;50000,"$25k-$50k",IF(D4481&lt;75000,"$50k-$75k",IF(D4481&lt;100000,"$75k-$100k","$100k+")))))</x:f>
        <x:v>$75k-$100k</x:v>
      </x:c>
      <x:c r="P4481" t="str">
        <x:f>IF(E4481="","Unknown",IF(E4481&lt;10,"&lt;10",IF(E4481&lt;20,"10-&lt;20",IF(E4481&lt;25,"20-&lt;25",IF(E4481&lt;35,"25-&lt;35","35+")))))</x:f>
        <x:v>10-&lt;20</x:v>
      </x:c>
    </x:row>
    <x:row r="4482">
      <x:c r="A4482" t="str">
        <x:v>SYN0004481</x:v>
      </x:c>
      <x:c r="B4482" s="12" t="n">
        <x:v>42355</x:v>
      </x:c>
      <x:c r="C4482" s="18" t="n">
        <x:v>9016</x:v>
      </x:c>
      <x:c r="D4482" s="18" t="n">
        <x:v>20684</x:v>
      </x:c>
      <x:c r="E4482" s="18" t="n">
        <x:v>24.39</x:v>
      </x:c>
      <x:c r="F4482" s="18" t="n">
        <x:v>19.37</x:v>
      </x:c>
      <x:c r="G4482" t="n">
        <x:v>36</x:v>
      </x:c>
      <x:c r="H4482" t="str">
        <x:v>E</x:v>
      </x:c>
      <x:c r="I4482" t="str">
        <x:v>10+ years</x:v>
      </x:c>
      <x:c r="J4482" t="str">
        <x:v>RENT</x:v>
      </x:c>
      <x:c r="K4482" t="str">
        <x:v>debt_consolidation</x:v>
      </x:c>
      <x:c r="L4482" t="n">
        <x:v>1</x:v>
      </x:c>
      <x:c r="M4482" t="n">
        <x:v>1</x:v>
      </x:c>
      <x:c r="N4482" t="str">
        <x:v>Charged Off</x:v>
      </x:c>
      <x:c r="O4482" t="str">
        <x:f>IF(D4482="","Unknown",IF(D4482&lt;25000,"&lt;$25k",IF(D4482&lt;50000,"$25k-$50k",IF(D4482&lt;75000,"$50k-$75k",IF(D4482&lt;100000,"$75k-$100k","$100k+")))))</x:f>
        <x:v>&lt;$25k</x:v>
      </x:c>
      <x:c r="P4482" t="str">
        <x:f>IF(E4482="","Unknown",IF(E4482&lt;10,"&lt;10",IF(E4482&lt;20,"10-&lt;20",IF(E4482&lt;25,"20-&lt;25",IF(E4482&lt;35,"25-&lt;35","35+")))))</x:f>
        <x:v>20-&lt;25</x:v>
      </x:c>
    </x:row>
    <x:row r="4483">
      <x:c r="A4483" t="str">
        <x:v>SYN0004482</x:v>
      </x:c>
      <x:c r="B4483" s="12" t="n">
        <x:v>42055</x:v>
      </x:c>
      <x:c r="C4483" s="18" t="n">
        <x:v>18510</x:v>
      </x:c>
      <x:c r="D4483" s="18" t="n">
        <x:v>53997</x:v>
      </x:c>
      <x:c r="E4483" s="18" t="n">
        <x:v>9.73</x:v>
      </x:c>
      <x:c r="F4483" s="18" t="n">
        <x:v>12.06</x:v>
      </x:c>
      <x:c r="G4483" t="n">
        <x:v>36</x:v>
      </x:c>
      <x:c r="H4483" t="str">
        <x:v>C</x:v>
      </x:c>
      <x:c r="I4483" t="str">
        <x:v>1-3 years</x:v>
      </x:c>
      <x:c r="J4483" t="str">
        <x:v>RENT</x:v>
      </x:c>
      <x:c r="K4483" t="str">
        <x:v>debt_consolidation</x:v>
      </x:c>
      <x:c r="L4483" t="n">
        <x:v>0</x:v>
      </x:c>
      <x:c r="M4483" t="n">
        <x:v>0</x:v>
      </x:c>
      <x:c r="N4483" t="str">
        <x:v>Fully Paid</x:v>
      </x:c>
      <x:c r="O4483" t="str">
        <x:f>IF(D4483="","Unknown",IF(D4483&lt;25000,"&lt;$25k",IF(D4483&lt;50000,"$25k-$50k",IF(D4483&lt;75000,"$50k-$75k",IF(D4483&lt;100000,"$75k-$100k","$100k+")))))</x:f>
        <x:v>$50k-$75k</x:v>
      </x:c>
      <x:c r="P4483" t="str">
        <x:f>IF(E4483="","Unknown",IF(E4483&lt;10,"&lt;10",IF(E4483&lt;20,"10-&lt;20",IF(E4483&lt;25,"20-&lt;25",IF(E4483&lt;35,"25-&lt;35","35+")))))</x:f>
        <x:v>&lt;10</x:v>
      </x:c>
    </x:row>
    <x:row r="4484">
      <x:c r="A4484" t="str">
        <x:v>SYN0004483</x:v>
      </x:c>
      <x:c r="B4484" s="12" t="n">
        <x:v>43255</x:v>
      </x:c>
      <x:c r="C4484" s="18" t="n">
        <x:v>28555</x:v>
      </x:c>
      <x:c r="D4484" s="18" t="n">
        <x:v>55616</x:v>
      </x:c>
      <x:c r="E4484" s="18" t="n">
        <x:v>21.1</x:v>
      </x:c>
      <x:c r="F4484" s="18" t="n">
        <x:v>23.6</x:v>
      </x:c>
      <x:c r="G4484" t="n">
        <x:v>36</x:v>
      </x:c>
      <x:c r="H4484" t="str">
        <x:v>F</x:v>
      </x:c>
      <x:c r="I4484" t="str">
        <x:v>&lt;1 year</x:v>
      </x:c>
      <x:c r="J4484" t="str">
        <x:v>RENT</x:v>
      </x:c>
      <x:c r="K4484" t="str">
        <x:v>major_purchase</x:v>
      </x:c>
      <x:c r="L4484" t="n">
        <x:v>1</x:v>
      </x:c>
      <x:c r="M4484" t="n">
        <x:v>1</x:v>
      </x:c>
      <x:c r="N4484" t="str">
        <x:v>Charged Off</x:v>
      </x:c>
      <x:c r="O4484" t="str">
        <x:f>IF(D4484="","Unknown",IF(D4484&lt;25000,"&lt;$25k",IF(D4484&lt;50000,"$25k-$50k",IF(D4484&lt;75000,"$50k-$75k",IF(D4484&lt;100000,"$75k-$100k","$100k+")))))</x:f>
        <x:v>$50k-$75k</x:v>
      </x:c>
      <x:c r="P4484" t="str">
        <x:f>IF(E4484="","Unknown",IF(E4484&lt;10,"&lt;10",IF(E4484&lt;20,"10-&lt;20",IF(E4484&lt;25,"20-&lt;25",IF(E4484&lt;35,"25-&lt;35","35+")))))</x:f>
        <x:v>20-&lt;25</x:v>
      </x:c>
    </x:row>
    <x:row r="4485">
      <x:c r="A4485" t="str">
        <x:v>SYN0004484</x:v>
      </x:c>
      <x:c r="B4485" s="12" t="n">
        <x:v>41935</x:v>
      </x:c>
      <x:c r="C4485" s="18" t="n">
        <x:v>12822</x:v>
      </x:c>
      <x:c r="D4485" s="18" t="n">
        <x:v>88834</x:v>
      </x:c>
      <x:c r="E4485" s="18" t="n">
        <x:v>17.68</x:v>
      </x:c>
      <x:c r="F4485" s="18" t="n">
        <x:v>5.05</x:v>
      </x:c>
      <x:c r="G4485" t="n">
        <x:v>36</x:v>
      </x:c>
      <x:c r="H4485" t="str">
        <x:v>A</x:v>
      </x:c>
      <x:c r="I4485" t="str">
        <x:v>7-9 years</x:v>
      </x:c>
      <x:c r="J4485" t="str">
        <x:v>MORTGAGE</x:v>
      </x:c>
      <x:c r="K4485" t="str">
        <x:v>debt_consolidation</x:v>
      </x:c>
      <x:c r="L4485" t="n">
        <x:v>0</x:v>
      </x:c>
      <x:c r="M4485" t="n">
        <x:v>0</x:v>
      </x:c>
      <x:c r="N4485" t="str">
        <x:v>Fully Paid</x:v>
      </x:c>
      <x:c r="O4485" t="str">
        <x:f>IF(D4485="","Unknown",IF(D4485&lt;25000,"&lt;$25k",IF(D4485&lt;50000,"$25k-$50k",IF(D4485&lt;75000,"$50k-$75k",IF(D4485&lt;100000,"$75k-$100k","$100k+")))))</x:f>
        <x:v>$75k-$100k</x:v>
      </x:c>
      <x:c r="P4485" t="str">
        <x:f>IF(E4485="","Unknown",IF(E4485&lt;10,"&lt;10",IF(E4485&lt;20,"10-&lt;20",IF(E4485&lt;25,"20-&lt;25",IF(E4485&lt;35,"25-&lt;35","35+")))))</x:f>
        <x:v>10-&lt;20</x:v>
      </x:c>
    </x:row>
    <x:row r="4486">
      <x:c r="A4486" t="str">
        <x:v>SYN0004485</x:v>
      </x:c>
      <x:c r="B4486" s="12" t="n">
        <x:v>41485</x:v>
      </x:c>
      <x:c r="C4486" s="18" t="n">
        <x:v>17792</x:v>
      </x:c>
      <x:c r="D4486" s="18" t="n">
        <x:v>48565</x:v>
      </x:c>
      <x:c r="E4486" s="18" t="n">
        <x:v>25.22</x:v>
      </x:c>
      <x:c r="F4486" s="18" t="n">
        <x:v>7.15</x:v>
      </x:c>
      <x:c r="G4486" t="n">
        <x:v>36</x:v>
      </x:c>
      <x:c r="H4486" t="str">
        <x:v>B</x:v>
      </x:c>
      <x:c r="I4486" t="str">
        <x:v>7-9 years</x:v>
      </x:c>
      <x:c r="J4486" t="str">
        <x:v>MORTGAGE</x:v>
      </x:c>
      <x:c r="K4486" t="str">
        <x:v>other</x:v>
      </x:c>
      <x:c r="L4486" t="n">
        <x:v>0</x:v>
      </x:c>
      <x:c r="M4486" t="n">
        <x:v>0</x:v>
      </x:c>
      <x:c r="N4486" t="str">
        <x:v>Fully Paid</x:v>
      </x:c>
      <x:c r="O4486" t="str">
        <x:f>IF(D4486="","Unknown",IF(D4486&lt;25000,"&lt;$25k",IF(D4486&lt;50000,"$25k-$50k",IF(D4486&lt;75000,"$50k-$75k",IF(D4486&lt;100000,"$75k-$100k","$100k+")))))</x:f>
        <x:v>$25k-$50k</x:v>
      </x:c>
      <x:c r="P4486" t="str">
        <x:f>IF(E4486="","Unknown",IF(E4486&lt;10,"&lt;10",IF(E4486&lt;20,"10-&lt;20",IF(E4486&lt;25,"20-&lt;25",IF(E4486&lt;35,"25-&lt;35","35+")))))</x:f>
        <x:v>25-&lt;35</x:v>
      </x:c>
    </x:row>
    <x:row r="4487">
      <x:c r="A4487" t="str">
        <x:v>SYN0004486</x:v>
      </x:c>
      <x:c r="B4487" s="12" t="n">
        <x:v>42415</x:v>
      </x:c>
      <x:c r="C4487" s="18" t="n">
        <x:v>8777</x:v>
      </x:c>
      <x:c r="D4487" s="18" t="n">
        <x:v>161801</x:v>
      </x:c>
      <x:c r="E4487" s="18" t="n">
        <x:v>19.45</x:v>
      </x:c>
      <x:c r="F4487" s="18" t="n">
        <x:v>13.79</x:v>
      </x:c>
      <x:c r="G4487" t="n">
        <x:v>36</x:v>
      </x:c>
      <x:c r="H4487" t="str">
        <x:v>D</x:v>
      </x:c>
      <x:c r="I4487" t="str">
        <x:v>1-3 years</x:v>
      </x:c>
      <x:c r="J4487" t="str">
        <x:v>RENT</x:v>
      </x:c>
      <x:c r="K4487" t="str">
        <x:v>debt_consolidation</x:v>
      </x:c>
      <x:c r="L4487" t="n">
        <x:v>0</x:v>
      </x:c>
      <x:c r="M4487" t="n">
        <x:v>0</x:v>
      </x:c>
      <x:c r="N4487" t="str">
        <x:v>Fully Paid</x:v>
      </x:c>
      <x:c r="O4487" t="str">
        <x:f>IF(D4487="","Unknown",IF(D4487&lt;25000,"&lt;$25k",IF(D4487&lt;50000,"$25k-$50k",IF(D4487&lt;75000,"$50k-$75k",IF(D4487&lt;100000,"$75k-$100k","$100k+")))))</x:f>
        <x:v>$100k+</x:v>
      </x:c>
      <x:c r="P4487" t="str">
        <x:f>IF(E4487="","Unknown",IF(E4487&lt;10,"&lt;10",IF(E4487&lt;20,"10-&lt;20",IF(E4487&lt;25,"20-&lt;25",IF(E4487&lt;35,"25-&lt;35","35+")))))</x:f>
        <x:v>10-&lt;20</x:v>
      </x:c>
    </x:row>
    <x:row r="4488">
      <x:c r="A4488" t="str">
        <x:v>SYN0004487</x:v>
      </x:c>
      <x:c r="B4488" s="12" t="n">
        <x:v>41605</x:v>
      </x:c>
      <x:c r="C4488" s="18" t="n">
        <x:v>15999</x:v>
      </x:c>
      <x:c r="D4488" s="18" t="n">
        <x:v>33979</x:v>
      </x:c>
      <x:c r="E4488" s="18" t="n">
        <x:v>17.92</x:v>
      </x:c>
      <x:c r="F4488" s="18" t="n">
        <x:v>11.13</x:v>
      </x:c>
      <x:c r="G4488" t="n">
        <x:v>60</x:v>
      </x:c>
      <x:c r="H4488" t="str">
        <x:v>B</x:v>
      </x:c>
      <x:c r="I4488" t="str">
        <x:v>&lt;1 year</x:v>
      </x:c>
      <x:c r="J4488" t="str">
        <x:v>OWN</x:v>
      </x:c>
      <x:c r="K4488" t="str">
        <x:v>medical</x:v>
      </x:c>
      <x:c r="L4488" t="n">
        <x:v>0</x:v>
      </x:c>
      <x:c r="M4488" t="n">
        <x:v>0</x:v>
      </x:c>
      <x:c r="N4488" t="str">
        <x:v>Fully Paid</x:v>
      </x:c>
      <x:c r="O4488" t="str">
        <x:f>IF(D4488="","Unknown",IF(D4488&lt;25000,"&lt;$25k",IF(D4488&lt;50000,"$25k-$50k",IF(D4488&lt;75000,"$50k-$75k",IF(D4488&lt;100000,"$75k-$100k","$100k+")))))</x:f>
        <x:v>$25k-$50k</x:v>
      </x:c>
      <x:c r="P4488" t="str">
        <x:f>IF(E4488="","Unknown",IF(E4488&lt;10,"&lt;10",IF(E4488&lt;20,"10-&lt;20",IF(E4488&lt;25,"20-&lt;25",IF(E4488&lt;35,"25-&lt;35","35+")))))</x:f>
        <x:v>10-&lt;20</x:v>
      </x:c>
    </x:row>
    <x:row r="4489">
      <x:c r="A4489" t="str">
        <x:v>SYN0004488</x:v>
      </x:c>
      <x:c r="B4489" s="12" t="n">
        <x:v>43105</x:v>
      </x:c>
      <x:c r="C4489" s="18" t="n">
        <x:v>17308</x:v>
      </x:c>
      <x:c r="D4489" s="18" t="n">
        <x:v>38488</x:v>
      </x:c>
      <x:c r="E4489" s="18" t="n">
        <x:v>23</x:v>
      </x:c>
      <x:c r="F4489" s="18" t="n">
        <x:v>7.85</x:v>
      </x:c>
      <x:c r="G4489" t="n">
        <x:v>36</x:v>
      </x:c>
      <x:c r="H4489" t="str">
        <x:v>A</x:v>
      </x:c>
      <x:c r="I4489" t="str">
        <x:v>10+ years</x:v>
      </x:c>
      <x:c r="J4489" t="str">
        <x:v>RENT</x:v>
      </x:c>
      <x:c r="K4489" t="str">
        <x:v>debt_consolidation</x:v>
      </x:c>
      <x:c r="L4489" t="n">
        <x:v>0</x:v>
      </x:c>
      <x:c r="M4489" t="n">
        <x:v>0</x:v>
      </x:c>
      <x:c r="N4489" t="str">
        <x:v>Fully Paid</x:v>
      </x:c>
      <x:c r="O4489" t="str">
        <x:f>IF(D4489="","Unknown",IF(D4489&lt;25000,"&lt;$25k",IF(D4489&lt;50000,"$25k-$50k",IF(D4489&lt;75000,"$50k-$75k",IF(D4489&lt;100000,"$75k-$100k","$100k+")))))</x:f>
        <x:v>$25k-$50k</x:v>
      </x:c>
      <x:c r="P4489" t="str">
        <x:f>IF(E4489="","Unknown",IF(E4489&lt;10,"&lt;10",IF(E4489&lt;20,"10-&lt;20",IF(E4489&lt;25,"20-&lt;25",IF(E4489&lt;35,"25-&lt;35","35+")))))</x:f>
        <x:v>20-&lt;25</x:v>
      </x:c>
    </x:row>
    <x:row r="4490">
      <x:c r="A4490" t="str">
        <x:v>SYN0004489</x:v>
      </x:c>
      <x:c r="B4490" s="12" t="n">
        <x:v>41275</x:v>
      </x:c>
      <x:c r="C4490" s="18" t="n">
        <x:v>14248</x:v>
      </x:c>
      <x:c r="D4490" s="18" t="n">
        <x:v>61855</x:v>
      </x:c>
      <x:c r="E4490" s="18" t="n">
        <x:v>13.83</x:v>
      </x:c>
      <x:c r="F4490" s="18" t="n">
        <x:v>7.85</x:v>
      </x:c>
      <x:c r="G4490" t="n">
        <x:v>36</x:v>
      </x:c>
      <x:c r="H4490" t="str">
        <x:v>B</x:v>
      </x:c>
      <x:c r="I4490" t="str">
        <x:v>7-9 years</x:v>
      </x:c>
      <x:c r="J4490" t="str">
        <x:v>OWN</x:v>
      </x:c>
      <x:c r="K4490" t="str">
        <x:v>debt_consolidation</x:v>
      </x:c>
      <x:c r="L4490" t="n">
        <x:v>0</x:v>
      </x:c>
      <x:c r="M4490" t="n">
        <x:v>0</x:v>
      </x:c>
      <x:c r="N4490" t="str">
        <x:v>Fully Paid</x:v>
      </x:c>
      <x:c r="O4490" t="str">
        <x:f>IF(D4490="","Unknown",IF(D4490&lt;25000,"&lt;$25k",IF(D4490&lt;50000,"$25k-$50k",IF(D4490&lt;75000,"$50k-$75k",IF(D4490&lt;100000,"$75k-$100k","$100k+")))))</x:f>
        <x:v>$50k-$75k</x:v>
      </x:c>
      <x:c r="P4490" t="str">
        <x:f>IF(E4490="","Unknown",IF(E4490&lt;10,"&lt;10",IF(E4490&lt;20,"10-&lt;20",IF(E4490&lt;25,"20-&lt;25",IF(E4490&lt;35,"25-&lt;35","35+")))))</x:f>
        <x:v>10-&lt;20</x:v>
      </x:c>
    </x:row>
    <x:row r="4491">
      <x:c r="A4491" t="str">
        <x:v>SYN0004490</x:v>
      </x:c>
      <x:c r="B4491" s="12" t="n">
        <x:v>42835</x:v>
      </x:c>
      <x:c r="C4491" s="18" t="n">
        <x:v>5598</x:v>
      </x:c>
      <x:c r="D4491" s="18" t="n">
        <x:v>67868</x:v>
      </x:c>
      <x:c r="E4491" s="18" t="n">
        <x:v>15.26</x:v>
      </x:c>
      <x:c r="F4491" s="18" t="n">
        <x:v>12.01</x:v>
      </x:c>
      <x:c r="G4491" t="n">
        <x:v>36</x:v>
      </x:c>
      <x:c r="H4491" t="str">
        <x:v>D</x:v>
      </x:c>
      <x:c r="I4491" t="str">
        <x:v>10+ years</x:v>
      </x:c>
      <x:c r="J4491" t="str">
        <x:v>RENT</x:v>
      </x:c>
      <x:c r="K4491" t="str">
        <x:v>home_improvement</x:v>
      </x:c>
      <x:c r="L4491" t="n">
        <x:v>0</x:v>
      </x:c>
      <x:c r="M4491" t="n">
        <x:v>1</x:v>
      </x:c>
      <x:c r="N4491" t="str">
        <x:v>Charged Off</x:v>
      </x:c>
      <x:c r="O4491" t="str">
        <x:f>IF(D4491="","Unknown",IF(D4491&lt;25000,"&lt;$25k",IF(D4491&lt;50000,"$25k-$50k",IF(D4491&lt;75000,"$50k-$75k",IF(D4491&lt;100000,"$75k-$100k","$100k+")))))</x:f>
        <x:v>$50k-$75k</x:v>
      </x:c>
      <x:c r="P4491" t="str">
        <x:f>IF(E4491="","Unknown",IF(E4491&lt;10,"&lt;10",IF(E4491&lt;20,"10-&lt;20",IF(E4491&lt;25,"20-&lt;25",IF(E4491&lt;35,"25-&lt;35","35+")))))</x:f>
        <x:v>10-&lt;20</x:v>
      </x:c>
    </x:row>
    <x:row r="4492">
      <x:c r="A4492" t="str">
        <x:v>SYN0004491</x:v>
      </x:c>
      <x:c r="B4492" s="12" t="n">
        <x:v>42595</x:v>
      </x:c>
      <x:c r="C4492" s="18" t="n">
        <x:v>13696</x:v>
      </x:c>
      <x:c r="D4492" s="18" t="n">
        <x:v>60235</x:v>
      </x:c>
      <x:c r="E4492" s="18" t="n">
        <x:v>32.34</x:v>
      </x:c>
      <x:c r="F4492" s="18" t="n">
        <x:v>16.95</x:v>
      </x:c>
      <x:c r="G4492" t="n">
        <x:v>36</x:v>
      </x:c>
      <x:c r="H4492" t="str">
        <x:v>E</x:v>
      </x:c>
      <x:c r="I4492" t="str">
        <x:v>7-9 years</x:v>
      </x:c>
      <x:c r="J4492" t="str">
        <x:v>RENT</x:v>
      </x:c>
      <x:c r="K4492" t="str">
        <x:v>major_purchase</x:v>
      </x:c>
      <x:c r="L4492" t="n">
        <x:v>1</x:v>
      </x:c>
      <x:c r="M4492" t="n">
        <x:v>0</x:v>
      </x:c>
      <x:c r="N4492" t="str">
        <x:v>Fully Paid</x:v>
      </x:c>
      <x:c r="O4492" t="str">
        <x:f>IF(D4492="","Unknown",IF(D4492&lt;25000,"&lt;$25k",IF(D4492&lt;50000,"$25k-$50k",IF(D4492&lt;75000,"$50k-$75k",IF(D4492&lt;100000,"$75k-$100k","$100k+")))))</x:f>
        <x:v>$50k-$75k</x:v>
      </x:c>
      <x:c r="P4492" t="str">
        <x:f>IF(E4492="","Unknown",IF(E4492&lt;10,"&lt;10",IF(E4492&lt;20,"10-&lt;20",IF(E4492&lt;25,"20-&lt;25",IF(E4492&lt;35,"25-&lt;35","35+")))))</x:f>
        <x:v>25-&lt;35</x:v>
      </x:c>
    </x:row>
    <x:row r="4493">
      <x:c r="A4493" t="str">
        <x:v>SYN0004492</x:v>
      </x:c>
      <x:c r="B4493" s="12" t="n">
        <x:v>42055</x:v>
      </x:c>
      <x:c r="C4493" s="18" t="n">
        <x:v>4618</x:v>
      </x:c>
      <x:c r="D4493" s="18" t="n">
        <x:v>44365</x:v>
      </x:c>
      <x:c r="E4493" s="18" t="n">
        <x:v>26.04</x:v>
      </x:c>
      <x:c r="F4493" s="18" t="n">
        <x:v>8.47</x:v>
      </x:c>
      <x:c r="G4493" t="n">
        <x:v>36</x:v>
      </x:c>
      <x:c r="H4493" t="str">
        <x:v>C</x:v>
      </x:c>
      <x:c r="I4493" t="str">
        <x:v>10+ years</x:v>
      </x:c>
      <x:c r="J4493" t="str">
        <x:v>RENT</x:v>
      </x:c>
      <x:c r="K4493" t="str">
        <x:v>debt_consolidation</x:v>
      </x:c>
      <x:c r="L4493" t="n">
        <x:v>1</x:v>
      </x:c>
      <x:c r="M4493" t="n">
        <x:v>0</x:v>
      </x:c>
      <x:c r="N4493" t="str">
        <x:v>Fully Paid</x:v>
      </x:c>
      <x:c r="O4493" t="str">
        <x:f>IF(D4493="","Unknown",IF(D4493&lt;25000,"&lt;$25k",IF(D4493&lt;50000,"$25k-$50k",IF(D4493&lt;75000,"$50k-$75k",IF(D4493&lt;100000,"$75k-$100k","$100k+")))))</x:f>
        <x:v>$25k-$50k</x:v>
      </x:c>
      <x:c r="P4493" t="str">
        <x:f>IF(E4493="","Unknown",IF(E4493&lt;10,"&lt;10",IF(E4493&lt;20,"10-&lt;20",IF(E4493&lt;25,"20-&lt;25",IF(E4493&lt;35,"25-&lt;35","35+")))))</x:f>
        <x:v>25-&lt;35</x:v>
      </x:c>
    </x:row>
    <x:row r="4494">
      <x:c r="A4494" t="str">
        <x:v>SYN0004493</x:v>
      </x:c>
      <x:c r="B4494" s="12" t="n">
        <x:v>43285</x:v>
      </x:c>
      <x:c r="C4494" s="18" t="n">
        <x:v>22573</x:v>
      </x:c>
      <x:c r="D4494" s="18" t="n">
        <x:v>112608</x:v>
      </x:c>
      <x:c r="E4494" s="18" t="n">
        <x:v>24.5</x:v>
      </x:c>
      <x:c r="F4494" s="18" t="n">
        <x:v>22.67</x:v>
      </x:c>
      <x:c r="G4494" t="n">
        <x:v>60</x:v>
      </x:c>
      <x:c r="H4494" t="str">
        <x:v>F</x:v>
      </x:c>
      <x:c r="I4494" t="str">
        <x:v>10+ years</x:v>
      </x:c>
      <x:c r="J4494" t="str">
        <x:v>MORTGAGE</x:v>
      </x:c>
      <x:c r="K4494" t="str">
        <x:v>debt_consolidation</x:v>
      </x:c>
      <x:c r="L4494" t="n">
        <x:v>1</x:v>
      </x:c>
      <x:c r="M4494" t="n">
        <x:v>0</x:v>
      </x:c>
      <x:c r="N4494" t="str">
        <x:v>Fully Paid</x:v>
      </x:c>
      <x:c r="O4494" t="str">
        <x:f>IF(D4494="","Unknown",IF(D4494&lt;25000,"&lt;$25k",IF(D4494&lt;50000,"$25k-$50k",IF(D4494&lt;75000,"$50k-$75k",IF(D4494&lt;100000,"$75k-$100k","$100k+")))))</x:f>
        <x:v>$100k+</x:v>
      </x:c>
      <x:c r="P4494" t="str">
        <x:f>IF(E4494="","Unknown",IF(E4494&lt;10,"&lt;10",IF(E4494&lt;20,"10-&lt;20",IF(E4494&lt;25,"20-&lt;25",IF(E4494&lt;35,"25-&lt;35","35+")))))</x:f>
        <x:v>20-&lt;25</x:v>
      </x:c>
    </x:row>
    <x:row r="4495">
      <x:c r="A4495" t="str">
        <x:v>SYN0004494</x:v>
      </x:c>
      <x:c r="B4495" s="12" t="n">
        <x:v>42805</x:v>
      </x:c>
      <x:c r="C4495" s="18" t="n">
        <x:v>7706</x:v>
      </x:c>
      <x:c r="D4495" s="18" t="n">
        <x:v>38170</x:v>
      </x:c>
      <x:c r="E4495" s="18" t="n">
        <x:v>10.7</x:v>
      </x:c>
      <x:c r="F4495" s="18" t="n">
        <x:v>8.43</x:v>
      </x:c>
      <x:c r="G4495" t="n">
        <x:v>36</x:v>
      </x:c>
      <x:c r="H4495" t="str">
        <x:v>B</x:v>
      </x:c>
      <x:c r="I4495" t="str">
        <x:v>4-6 years</x:v>
      </x:c>
      <x:c r="J4495" t="str">
        <x:v>MORTGAGE</x:v>
      </x:c>
      <x:c r="K4495" t="str">
        <x:v>credit_card</x:v>
      </x:c>
      <x:c r="L4495" t="n">
        <x:v>1</x:v>
      </x:c>
      <x:c r="M4495" t="n">
        <x:v>0</x:v>
      </x:c>
      <x:c r="N4495" t="str">
        <x:v>Fully Paid</x:v>
      </x:c>
      <x:c r="O4495" t="str">
        <x:f>IF(D4495="","Unknown",IF(D4495&lt;25000,"&lt;$25k",IF(D4495&lt;50000,"$25k-$50k",IF(D4495&lt;75000,"$50k-$75k",IF(D4495&lt;100000,"$75k-$100k","$100k+")))))</x:f>
        <x:v>$25k-$50k</x:v>
      </x:c>
      <x:c r="P4495" t="str">
        <x:f>IF(E4495="","Unknown",IF(E4495&lt;10,"&lt;10",IF(E4495&lt;20,"10-&lt;20",IF(E4495&lt;25,"20-&lt;25",IF(E4495&lt;35,"25-&lt;35","35+")))))</x:f>
        <x:v>10-&lt;20</x:v>
      </x:c>
    </x:row>
    <x:row r="4496">
      <x:c r="A4496" t="str">
        <x:v>SYN0004495</x:v>
      </x:c>
      <x:c r="B4496" s="12" t="n">
        <x:v>42745</x:v>
      </x:c>
      <x:c r="C4496" s="18" t="n">
        <x:v>17110</x:v>
      </x:c>
      <x:c r="D4496" s="18" t="n">
        <x:v>17335</x:v>
      </x:c>
      <x:c r="E4496" s="18" t="n">
        <x:v>26.75</x:v>
      </x:c>
      <x:c r="F4496" s="18" t="n">
        <x:v>20.68</x:v>
      </x:c>
      <x:c r="G4496" t="n">
        <x:v>36</x:v>
      </x:c>
      <x:c r="H4496" t="str">
        <x:v>E</x:v>
      </x:c>
      <x:c r="I4496" t="str">
        <x:v>7-9 years</x:v>
      </x:c>
      <x:c r="J4496" t="str">
        <x:v>MORTGAGE</x:v>
      </x:c>
      <x:c r="K4496" t="str">
        <x:v>major_purchase</x:v>
      </x:c>
      <x:c r="L4496" t="n">
        <x:v>0</x:v>
      </x:c>
      <x:c r="M4496" t="n">
        <x:v>0</x:v>
      </x:c>
      <x:c r="N4496" t="str">
        <x:v>Fully Paid</x:v>
      </x:c>
      <x:c r="O4496" t="str">
        <x:f>IF(D4496="","Unknown",IF(D4496&lt;25000,"&lt;$25k",IF(D4496&lt;50000,"$25k-$50k",IF(D4496&lt;75000,"$50k-$75k",IF(D4496&lt;100000,"$75k-$100k","$100k+")))))</x:f>
        <x:v>&lt;$25k</x:v>
      </x:c>
      <x:c r="P4496" t="str">
        <x:f>IF(E4496="","Unknown",IF(E4496&lt;10,"&lt;10",IF(E4496&lt;20,"10-&lt;20",IF(E4496&lt;25,"20-&lt;25",IF(E4496&lt;35,"25-&lt;35","35+")))))</x:f>
        <x:v>25-&lt;35</x:v>
      </x:c>
    </x:row>
    <x:row r="4497">
      <x:c r="A4497" t="str">
        <x:v>SYN0004496</x:v>
      </x:c>
      <x:c r="B4497" s="12" t="n">
        <x:v>43015</x:v>
      </x:c>
      <x:c r="C4497" s="18" t="n">
        <x:v>17244</x:v>
      </x:c>
      <x:c r="D4497" s="18" t="n">
        <x:v>33479</x:v>
      </x:c>
      <x:c r="E4497" s="18" t="n">
        <x:v>17.73</x:v>
      </x:c>
      <x:c r="F4497" s="18" t="n">
        <x:v>16.27</x:v>
      </x:c>
      <x:c r="G4497" t="n">
        <x:v>36</x:v>
      </x:c>
      <x:c r="H4497" t="str">
        <x:v>E</x:v>
      </x:c>
      <x:c r="I4497" t="str">
        <x:v>7-9 years</x:v>
      </x:c>
      <x:c r="J4497" t="str">
        <x:v>RENT</x:v>
      </x:c>
      <x:c r="K4497" t="str">
        <x:v>debt_consolidation</x:v>
      </x:c>
      <x:c r="L4497" t="n">
        <x:v>1</x:v>
      </x:c>
      <x:c r="M4497" t="n">
        <x:v>0</x:v>
      </x:c>
      <x:c r="N4497" t="str">
        <x:v>Fully Paid</x:v>
      </x:c>
      <x:c r="O4497" t="str">
        <x:f>IF(D4497="","Unknown",IF(D4497&lt;25000,"&lt;$25k",IF(D4497&lt;50000,"$25k-$50k",IF(D4497&lt;75000,"$50k-$75k",IF(D4497&lt;100000,"$75k-$100k","$100k+")))))</x:f>
        <x:v>$25k-$50k</x:v>
      </x:c>
      <x:c r="P4497" t="str">
        <x:f>IF(E4497="","Unknown",IF(E4497&lt;10,"&lt;10",IF(E4497&lt;20,"10-&lt;20",IF(E4497&lt;25,"20-&lt;25",IF(E4497&lt;35,"25-&lt;35","35+")))))</x:f>
        <x:v>10-&lt;20</x:v>
      </x:c>
    </x:row>
    <x:row r="4498">
      <x:c r="A4498" t="str">
        <x:v>SYN0004497</x:v>
      </x:c>
      <x:c r="B4498" s="12" t="n">
        <x:v>42775</x:v>
      </x:c>
      <x:c r="C4498" s="18" t="n">
        <x:v>8883</x:v>
      </x:c>
      <x:c r="D4498" s="18" t="n">
        <x:v>44797</x:v>
      </x:c>
      <x:c r="E4498" s="18" t="n">
        <x:v>26.71</x:v>
      </x:c>
      <x:c r="F4498" s="18" t="n">
        <x:v>9.27</x:v>
      </x:c>
      <x:c r="G4498" t="n">
        <x:v>60</x:v>
      </x:c>
      <x:c r="H4498" t="str">
        <x:v>B</x:v>
      </x:c>
      <x:c r="I4498" t="str">
        <x:v>10+ years</x:v>
      </x:c>
      <x:c r="J4498" t="str">
        <x:v>MORTGAGE</x:v>
      </x:c>
      <x:c r="K4498" t="str">
        <x:v>home_improvement</x:v>
      </x:c>
      <x:c r="L4498" t="n">
        <x:v>0</x:v>
      </x:c>
      <x:c r="M4498" t="n">
        <x:v>0</x:v>
      </x:c>
      <x:c r="N4498" t="str">
        <x:v>Fully Paid</x:v>
      </x:c>
      <x:c r="O4498" t="str">
        <x:f>IF(D4498="","Unknown",IF(D4498&lt;25000,"&lt;$25k",IF(D4498&lt;50000,"$25k-$50k",IF(D4498&lt;75000,"$50k-$75k",IF(D4498&lt;100000,"$75k-$100k","$100k+")))))</x:f>
        <x:v>$25k-$50k</x:v>
      </x:c>
      <x:c r="P4498" t="str">
        <x:f>IF(E4498="","Unknown",IF(E4498&lt;10,"&lt;10",IF(E4498&lt;20,"10-&lt;20",IF(E4498&lt;25,"20-&lt;25",IF(E4498&lt;35,"25-&lt;35","35+")))))</x:f>
        <x:v>25-&lt;35</x:v>
      </x:c>
    </x:row>
    <x:row r="4499">
      <x:c r="A4499" t="str">
        <x:v>SYN0004498</x:v>
      </x:c>
      <x:c r="B4499" s="12" t="n">
        <x:v>43015</x:v>
      </x:c>
      <x:c r="C4499" s="18" t="n">
        <x:v>11034</x:v>
      </x:c>
      <x:c r="D4499" s="18" t="n">
        <x:v>22112</x:v>
      </x:c>
      <x:c r="E4499" s="18" t="n">
        <x:v>17.46</x:v>
      </x:c>
      <x:c r="F4499" s="18" t="n">
        <x:v>13.94</x:v>
      </x:c>
      <x:c r="G4499" t="n">
        <x:v>36</x:v>
      </x:c>
      <x:c r="H4499" t="str">
        <x:v>E</x:v>
      </x:c>
      <x:c r="I4499" t="str">
        <x:v>10+ years</x:v>
      </x:c>
      <x:c r="J4499" t="str">
        <x:v>MORTGAGE</x:v>
      </x:c>
      <x:c r="K4499" t="str">
        <x:v>major_purchase</x:v>
      </x:c>
      <x:c r="L4499" t="n">
        <x:v>0</x:v>
      </x:c>
      <x:c r="M4499" t="n">
        <x:v>0</x:v>
      </x:c>
      <x:c r="N4499" t="str">
        <x:v>Fully Paid</x:v>
      </x:c>
      <x:c r="O4499" t="str">
        <x:f>IF(D4499="","Unknown",IF(D4499&lt;25000,"&lt;$25k",IF(D4499&lt;50000,"$25k-$50k",IF(D4499&lt;75000,"$50k-$75k",IF(D4499&lt;100000,"$75k-$100k","$100k+")))))</x:f>
        <x:v>&lt;$25k</x:v>
      </x:c>
      <x:c r="P4499" t="str">
        <x:f>IF(E4499="","Unknown",IF(E4499&lt;10,"&lt;10",IF(E4499&lt;20,"10-&lt;20",IF(E4499&lt;25,"20-&lt;25",IF(E4499&lt;35,"25-&lt;35","35+")))))</x:f>
        <x:v>10-&lt;20</x:v>
      </x:c>
    </x:row>
    <x:row r="4500">
      <x:c r="A4500" t="str">
        <x:v>SYN0004499</x:v>
      </x:c>
      <x:c r="B4500" s="12" t="n">
        <x:v>42805</x:v>
      </x:c>
      <x:c r="C4500" s="18" t="n">
        <x:v>14058</x:v>
      </x:c>
      <x:c r="D4500" s="18" t="n">
        <x:v>61571</x:v>
      </x:c>
      <x:c r="E4500" s="18" t="n">
        <x:v>36.38</x:v>
      </x:c>
      <x:c r="F4500" s="18" t="n">
        <x:v>14.4</x:v>
      </x:c>
      <x:c r="G4500" t="n">
        <x:v>36</x:v>
      </x:c>
      <x:c r="H4500" t="str">
        <x:v>E</x:v>
      </x:c>
      <x:c r="I4500" t="str">
        <x:v>&lt;1 year</x:v>
      </x:c>
      <x:c r="J4500" t="str">
        <x:v>OWN</x:v>
      </x:c>
      <x:c r="K4500" t="str">
        <x:v>home_improvement</x:v>
      </x:c>
      <x:c r="L4500" t="n">
        <x:v>0</x:v>
      </x:c>
      <x:c r="M4500" t="n">
        <x:v>1</x:v>
      </x:c>
      <x:c r="N4500" t="str">
        <x:v>Charged Off</x:v>
      </x:c>
      <x:c r="O4500" t="str">
        <x:f>IF(D4500="","Unknown",IF(D4500&lt;25000,"&lt;$25k",IF(D4500&lt;50000,"$25k-$50k",IF(D4500&lt;75000,"$50k-$75k",IF(D4500&lt;100000,"$75k-$100k","$100k+")))))</x:f>
        <x:v>$50k-$75k</x:v>
      </x:c>
      <x:c r="P4500" t="str">
        <x:f>IF(E4500="","Unknown",IF(E4500&lt;10,"&lt;10",IF(E4500&lt;20,"10-&lt;20",IF(E4500&lt;25,"20-&lt;25",IF(E4500&lt;35,"25-&lt;35","35+")))))</x:f>
        <x:v>35+</x:v>
      </x:c>
    </x:row>
    <x:row r="4501">
      <x:c r="A4501" t="str">
        <x:v>SYN0004500</x:v>
      </x:c>
      <x:c r="B4501" s="12" t="n">
        <x:v>41365</x:v>
      </x:c>
      <x:c r="C4501" s="18" t="n">
        <x:v>8459</x:v>
      </x:c>
      <x:c r="D4501" s="18" t="n">
        <x:v>42590</x:v>
      </x:c>
      <x:c r="E4501" s="18" t="n">
        <x:v>14.89</x:v>
      </x:c>
      <x:c r="F4501" s="18" t="n">
        <x:v>9.1</x:v>
      </x:c>
      <x:c r="G4501" t="n">
        <x:v>36</x:v>
      </x:c>
      <x:c r="H4501" t="str">
        <x:v>B</x:v>
      </x:c>
      <x:c r="I4501" t="str">
        <x:v>10+ years</x:v>
      </x:c>
      <x:c r="J4501" t="str">
        <x:v>OWN</x:v>
      </x:c>
      <x:c r="K4501" t="str">
        <x:v>debt_consolidation</x:v>
      </x:c>
      <x:c r="L4501" t="n">
        <x:v>0</x:v>
      </x:c>
      <x:c r="M4501" t="n">
        <x:v>0</x:v>
      </x:c>
      <x:c r="N4501" t="str">
        <x:v>Fully Paid</x:v>
      </x:c>
      <x:c r="O4501" t="str">
        <x:f>IF(D4501="","Unknown",IF(D4501&lt;25000,"&lt;$25k",IF(D4501&lt;50000,"$25k-$50k",IF(D4501&lt;75000,"$50k-$75k",IF(D4501&lt;100000,"$75k-$100k","$100k+")))))</x:f>
        <x:v>$25k-$50k</x:v>
      </x:c>
      <x:c r="P4501" t="str">
        <x:f>IF(E4501="","Unknown",IF(E4501&lt;10,"&lt;10",IF(E4501&lt;20,"10-&lt;20",IF(E4501&lt;25,"20-&lt;25",IF(E4501&lt;35,"25-&lt;35","35+")))))</x:f>
        <x:v>10-&lt;20</x:v>
      </x:c>
    </x:row>
    <x:row r="4502">
      <x:c r="A4502" t="str">
        <x:v>SYN0004501</x:v>
      </x:c>
      <x:c r="B4502" s="12" t="n">
        <x:v>42715</x:v>
      </x:c>
      <x:c r="C4502" s="18" t="n">
        <x:v>8375</x:v>
      </x:c>
      <x:c r="D4502" s="18" t="n">
        <x:v>39117</x:v>
      </x:c>
      <x:c r="E4502" s="18" t="n">
        <x:v>21.98</x:v>
      </x:c>
      <x:c r="F4502" s="18" t="n">
        <x:v>8.54</x:v>
      </x:c>
      <x:c r="G4502" t="n">
        <x:v>36</x:v>
      </x:c>
      <x:c r="H4502" t="str">
        <x:v>B</x:v>
      </x:c>
      <x:c r="I4502" t="str">
        <x:v>10+ years</x:v>
      </x:c>
      <x:c r="J4502" t="str">
        <x:v>MORTGAGE</x:v>
      </x:c>
      <x:c r="K4502" t="str">
        <x:v>debt_consolidation</x:v>
      </x:c>
      <x:c r="L4502" t="n">
        <x:v>0</x:v>
      </x:c>
      <x:c r="M4502" t="n">
        <x:v>0</x:v>
      </x:c>
      <x:c r="N4502" t="str">
        <x:v>Fully Paid</x:v>
      </x:c>
      <x:c r="O4502" t="str">
        <x:f>IF(D4502="","Unknown",IF(D4502&lt;25000,"&lt;$25k",IF(D4502&lt;50000,"$25k-$50k",IF(D4502&lt;75000,"$50k-$75k",IF(D4502&lt;100000,"$75k-$100k","$100k+")))))</x:f>
        <x:v>$25k-$50k</x:v>
      </x:c>
      <x:c r="P4502" t="str">
        <x:f>IF(E4502="","Unknown",IF(E4502&lt;10,"&lt;10",IF(E4502&lt;20,"10-&lt;20",IF(E4502&lt;25,"20-&lt;25",IF(E4502&lt;35,"25-&lt;35","35+")))))</x:f>
        <x:v>20-&lt;25</x:v>
      </x:c>
    </x:row>
    <x:row r="4503">
      <x:c r="A4503" t="str">
        <x:v>SYN0004502</x:v>
      </x:c>
      <x:c r="B4503" s="12" t="n">
        <x:v>41335</x:v>
      </x:c>
      <x:c r="C4503" s="18" t="n">
        <x:v>13145</x:v>
      </x:c>
      <x:c r="D4503" s="18" t="n">
        <x:v>108089</x:v>
      </x:c>
      <x:c r="E4503" s="18" t="n">
        <x:v>31.84</x:v>
      </x:c>
      <x:c r="F4503" s="18" t="n">
        <x:v>26.81</x:v>
      </x:c>
      <x:c r="G4503" t="n">
        <x:v>36</x:v>
      </x:c>
      <x:c r="H4503" t="str">
        <x:v>G</x:v>
      </x:c>
      <x:c r="I4503" t="str">
        <x:v>7-9 years</x:v>
      </x:c>
      <x:c r="J4503" t="str">
        <x:v>RENT</x:v>
      </x:c>
      <x:c r="K4503" t="str">
        <x:v>major_purchase</x:v>
      </x:c>
      <x:c r="L4503" t="n">
        <x:v>2</x:v>
      </x:c>
      <x:c r="M4503" t="n">
        <x:v>1</x:v>
      </x:c>
      <x:c r="N4503" t="str">
        <x:v>Charged Off</x:v>
      </x:c>
      <x:c r="O4503" t="str">
        <x:f>IF(D4503="","Unknown",IF(D4503&lt;25000,"&lt;$25k",IF(D4503&lt;50000,"$25k-$50k",IF(D4503&lt;75000,"$50k-$75k",IF(D4503&lt;100000,"$75k-$100k","$100k+")))))</x:f>
        <x:v>$100k+</x:v>
      </x:c>
      <x:c r="P4503" t="str">
        <x:f>IF(E4503="","Unknown",IF(E4503&lt;10,"&lt;10",IF(E4503&lt;20,"10-&lt;20",IF(E4503&lt;25,"20-&lt;25",IF(E4503&lt;35,"25-&lt;35","35+")))))</x:f>
        <x:v>25-&lt;35</x:v>
      </x:c>
    </x:row>
    <x:row r="4504">
      <x:c r="A4504" t="str">
        <x:v>SYN0004503</x:v>
      </x:c>
      <x:c r="B4504" s="12" t="n">
        <x:v>42655</x:v>
      </x:c>
      <x:c r="C4504" s="18" t="n">
        <x:v>14434</x:v>
      </x:c>
      <x:c r="D4504" s="18" t="n">
        <x:v>22434</x:v>
      </x:c>
      <x:c r="E4504" s="18" t="n">
        <x:v>27.84</x:v>
      </x:c>
      <x:c r="F4504" s="18" t="n">
        <x:v>22.19</x:v>
      </x:c>
      <x:c r="G4504" t="n">
        <x:v>36</x:v>
      </x:c>
      <x:c r="H4504" t="str">
        <x:v>F</x:v>
      </x:c>
      <x:c r="I4504" t="str">
        <x:v>1-3 years</x:v>
      </x:c>
      <x:c r="J4504" t="str">
        <x:v>MORTGAGE</x:v>
      </x:c>
      <x:c r="K4504" t="str">
        <x:v>credit_card</x:v>
      </x:c>
      <x:c r="L4504" t="n">
        <x:v>1</x:v>
      </x:c>
      <x:c r="M4504" t="n">
        <x:v>1</x:v>
      </x:c>
      <x:c r="N4504" t="str">
        <x:v>Charged Off</x:v>
      </x:c>
      <x:c r="O4504" t="str">
        <x:f>IF(D4504="","Unknown",IF(D4504&lt;25000,"&lt;$25k",IF(D4504&lt;50000,"$25k-$50k",IF(D4504&lt;75000,"$50k-$75k",IF(D4504&lt;100000,"$75k-$100k","$100k+")))))</x:f>
        <x:v>&lt;$25k</x:v>
      </x:c>
      <x:c r="P4504" t="str">
        <x:f>IF(E4504="","Unknown",IF(E4504&lt;10,"&lt;10",IF(E4504&lt;20,"10-&lt;20",IF(E4504&lt;25,"20-&lt;25",IF(E4504&lt;35,"25-&lt;35","35+")))))</x:f>
        <x:v>25-&lt;35</x:v>
      </x:c>
    </x:row>
    <x:row r="4505">
      <x:c r="A4505" t="str">
        <x:v>SYN0004504</x:v>
      </x:c>
      <x:c r="B4505" s="12" t="n">
        <x:v>42385</x:v>
      </x:c>
      <x:c r="C4505" s="18" t="n">
        <x:v>4854</x:v>
      </x:c>
      <x:c r="D4505" s="18" t="n">
        <x:v>36099</x:v>
      </x:c>
      <x:c r="E4505" s="18" t="n">
        <x:v>16.22</x:v>
      </x:c>
      <x:c r="F4505" s="18" t="n">
        <x:v>10.55</x:v>
      </x:c>
      <x:c r="G4505" t="n">
        <x:v>36</x:v>
      </x:c>
      <x:c r="H4505" t="str">
        <x:v>B</x:v>
      </x:c>
      <x:c r="I4505" t="str">
        <x:v>7-9 years</x:v>
      </x:c>
      <x:c r="J4505" t="str">
        <x:v>RENT</x:v>
      </x:c>
      <x:c r="K4505" t="str">
        <x:v>major_purchase</x:v>
      </x:c>
      <x:c r="L4505" t="n">
        <x:v>1</x:v>
      </x:c>
      <x:c r="M4505" t="n">
        <x:v>0</x:v>
      </x:c>
      <x:c r="N4505" t="str">
        <x:v>Fully Paid</x:v>
      </x:c>
      <x:c r="O4505" t="str">
        <x:f>IF(D4505="","Unknown",IF(D4505&lt;25000,"&lt;$25k",IF(D4505&lt;50000,"$25k-$50k",IF(D4505&lt;75000,"$50k-$75k",IF(D4505&lt;100000,"$75k-$100k","$100k+")))))</x:f>
        <x:v>$25k-$50k</x:v>
      </x:c>
      <x:c r="P4505" t="str">
        <x:f>IF(E4505="","Unknown",IF(E4505&lt;10,"&lt;10",IF(E4505&lt;20,"10-&lt;20",IF(E4505&lt;25,"20-&lt;25",IF(E4505&lt;35,"25-&lt;35","35+")))))</x:f>
        <x:v>10-&lt;20</x:v>
      </x:c>
    </x:row>
    <x:row r="4506">
      <x:c r="A4506" t="str">
        <x:v>SYN0004505</x:v>
      </x:c>
      <x:c r="B4506" s="12" t="n">
        <x:v>42805</x:v>
      </x:c>
      <x:c r="C4506" s="18" t="n">
        <x:v>16345</x:v>
      </x:c>
      <x:c r="D4506" s="18" t="n">
        <x:v>36487</x:v>
      </x:c>
      <x:c r="E4506" s="18" t="n">
        <x:v>36.85</x:v>
      </x:c>
      <x:c r="F4506" s="18" t="n">
        <x:v>17.8</x:v>
      </x:c>
      <x:c r="G4506" t="n">
        <x:v>36</x:v>
      </x:c>
      <x:c r="H4506" t="str">
        <x:v>E</x:v>
      </x:c>
      <x:c r="I4506" t="str">
        <x:v>7-9 years</x:v>
      </x:c>
      <x:c r="J4506" t="str">
        <x:v>MORTGAGE</x:v>
      </x:c>
      <x:c r="K4506" t="str">
        <x:v>debt_consolidation</x:v>
      </x:c>
      <x:c r="L4506" t="n">
        <x:v>1</x:v>
      </x:c>
      <x:c r="M4506" t="n">
        <x:v>1</x:v>
      </x:c>
      <x:c r="N4506" t="str">
        <x:v>Charged Off</x:v>
      </x:c>
      <x:c r="O4506" t="str">
        <x:f>IF(D4506="","Unknown",IF(D4506&lt;25000,"&lt;$25k",IF(D4506&lt;50000,"$25k-$50k",IF(D4506&lt;75000,"$50k-$75k",IF(D4506&lt;100000,"$75k-$100k","$100k+")))))</x:f>
        <x:v>$25k-$50k</x:v>
      </x:c>
      <x:c r="P4506" t="str">
        <x:f>IF(E4506="","Unknown",IF(E4506&lt;10,"&lt;10",IF(E4506&lt;20,"10-&lt;20",IF(E4506&lt;25,"20-&lt;25",IF(E4506&lt;35,"25-&lt;35","35+")))))</x:f>
        <x:v>35+</x:v>
      </x:c>
    </x:row>
    <x:row r="4507">
      <x:c r="A4507" t="str">
        <x:v>SYN0004506</x:v>
      </x:c>
      <x:c r="B4507" s="12" t="n">
        <x:v>41395</x:v>
      </x:c>
      <x:c r="C4507" s="18" t="n">
        <x:v>19183</x:v>
      </x:c>
      <x:c r="D4507" s="18" t="n">
        <x:v>22651</x:v>
      </x:c>
      <x:c r="E4507" s="18" t="n">
        <x:v>6.89</x:v>
      </x:c>
      <x:c r="F4507" s="18" t="n">
        <x:v>7.76</x:v>
      </x:c>
      <x:c r="G4507" t="n">
        <x:v>36</x:v>
      </x:c>
      <x:c r="H4507" t="str">
        <x:v>B</x:v>
      </x:c>
      <x:c r="I4507" t="str">
        <x:v>4-6 years</x:v>
      </x:c>
      <x:c r="J4507" t="str">
        <x:v>MORTGAGE</x:v>
      </x:c>
      <x:c r="K4507" t="str">
        <x:v>debt_consolidation</x:v>
      </x:c>
      <x:c r="L4507" t="n">
        <x:v>0</x:v>
      </x:c>
      <x:c r="M4507" t="n">
        <x:v>0</x:v>
      </x:c>
      <x:c r="N4507" t="str">
        <x:v>Fully Paid</x:v>
      </x:c>
      <x:c r="O4507" t="str">
        <x:f>IF(D4507="","Unknown",IF(D4507&lt;25000,"&lt;$25k",IF(D4507&lt;50000,"$25k-$50k",IF(D4507&lt;75000,"$50k-$75k",IF(D4507&lt;100000,"$75k-$100k","$100k+")))))</x:f>
        <x:v>&lt;$25k</x:v>
      </x:c>
      <x:c r="P4507" t="str">
        <x:f>IF(E4507="","Unknown",IF(E4507&lt;10,"&lt;10",IF(E4507&lt;20,"10-&lt;20",IF(E4507&lt;25,"20-&lt;25",IF(E4507&lt;35,"25-&lt;35","35+")))))</x:f>
        <x:v>&lt;10</x:v>
      </x:c>
    </x:row>
    <x:row r="4508">
      <x:c r="A4508" t="str">
        <x:v>SYN0004507</x:v>
      </x:c>
      <x:c r="B4508" s="12" t="n">
        <x:v>43255</x:v>
      </x:c>
      <x:c r="C4508" s="18" t="n">
        <x:v>13777</x:v>
      </x:c>
      <x:c r="D4508" s="18" t="n">
        <x:v>151258</x:v>
      </x:c>
      <x:c r="E4508" s="18" t="n">
        <x:v>13.29</x:v>
      </x:c>
      <x:c r="F4508" s="18" t="n">
        <x:v>5</x:v>
      </x:c>
      <x:c r="G4508" t="n">
        <x:v>36</x:v>
      </x:c>
      <x:c r="H4508" t="str">
        <x:v>A</x:v>
      </x:c>
      <x:c r="I4508" t="str">
        <x:v>10+ years</x:v>
      </x:c>
      <x:c r="J4508" t="str">
        <x:v>MORTGAGE</x:v>
      </x:c>
      <x:c r="K4508" t="str">
        <x:v>debt_consolidation</x:v>
      </x:c>
      <x:c r="L4508" t="n">
        <x:v>0</x:v>
      </x:c>
      <x:c r="M4508" t="n">
        <x:v>0</x:v>
      </x:c>
      <x:c r="N4508" t="str">
        <x:v>Fully Paid</x:v>
      </x:c>
      <x:c r="O4508" t="str">
        <x:f>IF(D4508="","Unknown",IF(D4508&lt;25000,"&lt;$25k",IF(D4508&lt;50000,"$25k-$50k",IF(D4508&lt;75000,"$50k-$75k",IF(D4508&lt;100000,"$75k-$100k","$100k+")))))</x:f>
        <x:v>$100k+</x:v>
      </x:c>
      <x:c r="P4508" t="str">
        <x:f>IF(E4508="","Unknown",IF(E4508&lt;10,"&lt;10",IF(E4508&lt;20,"10-&lt;20",IF(E4508&lt;25,"20-&lt;25",IF(E4508&lt;35,"25-&lt;35","35+")))))</x:f>
        <x:v>10-&lt;20</x:v>
      </x:c>
    </x:row>
    <x:row r="4509">
      <x:c r="A4509" t="str">
        <x:v>SYN0004508</x:v>
      </x:c>
      <x:c r="B4509" s="12" t="n">
        <x:v>43315</x:v>
      </x:c>
      <x:c r="C4509" s="18" t="n">
        <x:v>7084</x:v>
      </x:c>
      <x:c r="D4509" s="18" t="n">
        <x:v>29938</x:v>
      </x:c>
      <x:c r="E4509" s="18" t="n">
        <x:v>14.46</x:v>
      </x:c>
      <x:c r="F4509" s="18" t="n">
        <x:v>6.25</x:v>
      </x:c>
      <x:c r="G4509" t="n">
        <x:v>36</x:v>
      </x:c>
      <x:c r="H4509" t="str">
        <x:v>A</x:v>
      </x:c>
      <x:c r="I4509" t="str">
        <x:v>4-6 years</x:v>
      </x:c>
      <x:c r="J4509" t="str">
        <x:v>MORTGAGE</x:v>
      </x:c>
      <x:c r="K4509" t="str">
        <x:v>debt_consolidation</x:v>
      </x:c>
      <x:c r="L4509" t="n">
        <x:v>0</x:v>
      </x:c>
      <x:c r="M4509" t="n">
        <x:v>0</x:v>
      </x:c>
      <x:c r="N4509" t="str">
        <x:v>Fully Paid</x:v>
      </x:c>
      <x:c r="O4509" t="str">
        <x:f>IF(D4509="","Unknown",IF(D4509&lt;25000,"&lt;$25k",IF(D4509&lt;50000,"$25k-$50k",IF(D4509&lt;75000,"$50k-$75k",IF(D4509&lt;100000,"$75k-$100k","$100k+")))))</x:f>
        <x:v>$25k-$50k</x:v>
      </x:c>
      <x:c r="P4509" t="str">
        <x:f>IF(E4509="","Unknown",IF(E4509&lt;10,"&lt;10",IF(E4509&lt;20,"10-&lt;20",IF(E4509&lt;25,"20-&lt;25",IF(E4509&lt;35,"25-&lt;35","35+")))))</x:f>
        <x:v>10-&lt;20</x:v>
      </x:c>
    </x:row>
    <x:row r="4510">
      <x:c r="A4510" t="str">
        <x:v>SYN0004509</x:v>
      </x:c>
      <x:c r="B4510" s="12" t="n">
        <x:v>41485</x:v>
      </x:c>
      <x:c r="C4510" s="18" t="n">
        <x:v>8089</x:v>
      </x:c>
      <x:c r="D4510" s="18" t="n">
        <x:v>30633</x:v>
      </x:c>
      <x:c r="E4510" s="18" t="n">
        <x:v>26.58</x:v>
      </x:c>
      <x:c r="F4510" s="18" t="n">
        <x:v>12.11</x:v>
      </x:c>
      <x:c r="G4510" t="n">
        <x:v>36</x:v>
      </x:c>
      <x:c r="H4510" t="str">
        <x:v>C</x:v>
      </x:c>
      <x:c r="I4510" t="str">
        <x:v>10+ years</x:v>
      </x:c>
      <x:c r="J4510" t="str">
        <x:v>MORTGAGE</x:v>
      </x:c>
      <x:c r="K4510" t="str">
        <x:v>debt_consolidation</x:v>
      </x:c>
      <x:c r="L4510" t="n">
        <x:v>0</x:v>
      </x:c>
      <x:c r="M4510" t="n">
        <x:v>0</x:v>
      </x:c>
      <x:c r="N4510" t="str">
        <x:v>Fully Paid</x:v>
      </x:c>
      <x:c r="O4510" t="str">
        <x:f>IF(D4510="","Unknown",IF(D4510&lt;25000,"&lt;$25k",IF(D4510&lt;50000,"$25k-$50k",IF(D4510&lt;75000,"$50k-$75k",IF(D4510&lt;100000,"$75k-$100k","$100k+")))))</x:f>
        <x:v>$25k-$50k</x:v>
      </x:c>
      <x:c r="P4510" t="str">
        <x:f>IF(E4510="","Unknown",IF(E4510&lt;10,"&lt;10",IF(E4510&lt;20,"10-&lt;20",IF(E4510&lt;25,"20-&lt;25",IF(E4510&lt;35,"25-&lt;35","35+")))))</x:f>
        <x:v>25-&lt;35</x:v>
      </x:c>
    </x:row>
    <x:row r="4511">
      <x:c r="A4511" t="str">
        <x:v>SYN0004510</x:v>
      </x:c>
      <x:c r="B4511" s="12" t="n">
        <x:v>41485</x:v>
      </x:c>
      <x:c r="C4511" s="18" t="n">
        <x:v>26150</x:v>
      </x:c>
      <x:c r="D4511" s="18" t="n">
        <x:v>25261</x:v>
      </x:c>
      <x:c r="E4511" s="18" t="n">
        <x:v>17.79</x:v>
      </x:c>
      <x:c r="F4511" s="18" t="n">
        <x:v>17.96</x:v>
      </x:c>
      <x:c r="G4511" t="n">
        <x:v>36</x:v>
      </x:c>
      <x:c r="H4511" t="str">
        <x:v>E</x:v>
      </x:c>
      <x:c r="I4511" t="str">
        <x:v>10+ years</x:v>
      </x:c>
      <x:c r="J4511" t="str">
        <x:v>RENT</x:v>
      </x:c>
      <x:c r="K4511" t="str">
        <x:v>medical</x:v>
      </x:c>
      <x:c r="L4511" t="n">
        <x:v>0</x:v>
      </x:c>
      <x:c r="M4511" t="n">
        <x:v>1</x:v>
      </x:c>
      <x:c r="N4511" t="str">
        <x:v>Charged Off</x:v>
      </x:c>
      <x:c r="O4511" t="str">
        <x:f>IF(D4511="","Unknown",IF(D4511&lt;25000,"&lt;$25k",IF(D4511&lt;50000,"$25k-$50k",IF(D4511&lt;75000,"$50k-$75k",IF(D4511&lt;100000,"$75k-$100k","$100k+")))))</x:f>
        <x:v>$25k-$50k</x:v>
      </x:c>
      <x:c r="P4511" t="str">
        <x:f>IF(E4511="","Unknown",IF(E4511&lt;10,"&lt;10",IF(E4511&lt;20,"10-&lt;20",IF(E4511&lt;25,"20-&lt;25",IF(E4511&lt;35,"25-&lt;35","35+")))))</x:f>
        <x:v>10-&lt;20</x:v>
      </x:c>
    </x:row>
    <x:row r="4512">
      <x:c r="A4512" t="str">
        <x:v>SYN0004511</x:v>
      </x:c>
      <x:c r="B4512" s="12" t="n">
        <x:v>42445</x:v>
      </x:c>
      <x:c r="C4512" s="18" t="n">
        <x:v>13426</x:v>
      </x:c>
      <x:c r="D4512" s="18" t="n">
        <x:v>24115</x:v>
      </x:c>
      <x:c r="E4512" s="18" t="n">
        <x:v>38.72</x:v>
      </x:c>
      <x:c r="F4512" s="18" t="n">
        <x:v>12.48</x:v>
      </x:c>
      <x:c r="G4512" t="n">
        <x:v>36</x:v>
      </x:c>
      <x:c r="H4512" t="str">
        <x:v>C</x:v>
      </x:c>
      <x:c r="I4512" t="str">
        <x:v>7-9 years</x:v>
      </x:c>
      <x:c r="J4512" t="str">
        <x:v>MORTGAGE</x:v>
      </x:c>
      <x:c r="K4512" t="str">
        <x:v>debt_consolidation</x:v>
      </x:c>
      <x:c r="L4512" t="n">
        <x:v>0</x:v>
      </x:c>
      <x:c r="M4512" t="n">
        <x:v>0</x:v>
      </x:c>
      <x:c r="N4512" t="str">
        <x:v>Fully Paid</x:v>
      </x:c>
      <x:c r="O4512" t="str">
        <x:f>IF(D4512="","Unknown",IF(D4512&lt;25000,"&lt;$25k",IF(D4512&lt;50000,"$25k-$50k",IF(D4512&lt;75000,"$50k-$75k",IF(D4512&lt;100000,"$75k-$100k","$100k+")))))</x:f>
        <x:v>&lt;$25k</x:v>
      </x:c>
      <x:c r="P4512" t="str">
        <x:f>IF(E4512="","Unknown",IF(E4512&lt;10,"&lt;10",IF(E4512&lt;20,"10-&lt;20",IF(E4512&lt;25,"20-&lt;25",IF(E4512&lt;35,"25-&lt;35","35+")))))</x:f>
        <x:v>35+</x:v>
      </x:c>
    </x:row>
    <x:row r="4513">
      <x:c r="A4513" t="str">
        <x:v>SYN0004512</x:v>
      </x:c>
      <x:c r="B4513" s="12" t="n">
        <x:v>41545</x:v>
      </x:c>
      <x:c r="C4513" s="18" t="n">
        <x:v>15088</x:v>
      </x:c>
      <x:c r="D4513" s="18" t="n">
        <x:v>80680</x:v>
      </x:c>
      <x:c r="E4513" s="18" t="n">
        <x:v>14.8</x:v>
      </x:c>
      <x:c r="F4513" s="18" t="n">
        <x:v>5.99</x:v>
      </x:c>
      <x:c r="G4513" t="n">
        <x:v>36</x:v>
      </x:c>
      <x:c r="H4513" t="str">
        <x:v>A</x:v>
      </x:c>
      <x:c r="I4513" t="str">
        <x:v>1-3 years</x:v>
      </x:c>
      <x:c r="J4513" t="str">
        <x:v>MORTGAGE</x:v>
      </x:c>
      <x:c r="K4513" t="str">
        <x:v>major_purchase</x:v>
      </x:c>
      <x:c r="L4513" t="n">
        <x:v>0</x:v>
      </x:c>
      <x:c r="M4513" t="n">
        <x:v>0</x:v>
      </x:c>
      <x:c r="N4513" t="str">
        <x:v>Fully Paid</x:v>
      </x:c>
      <x:c r="O4513" t="str">
        <x:f>IF(D4513="","Unknown",IF(D4513&lt;25000,"&lt;$25k",IF(D4513&lt;50000,"$25k-$50k",IF(D4513&lt;75000,"$50k-$75k",IF(D4513&lt;100000,"$75k-$100k","$100k+")))))</x:f>
        <x:v>$75k-$100k</x:v>
      </x:c>
      <x:c r="P4513" t="str">
        <x:f>IF(E4513="","Unknown",IF(E4513&lt;10,"&lt;10",IF(E4513&lt;20,"10-&lt;20",IF(E4513&lt;25,"20-&lt;25",IF(E4513&lt;35,"25-&lt;35","35+")))))</x:f>
        <x:v>10-&lt;20</x:v>
      </x:c>
    </x:row>
    <x:row r="4514">
      <x:c r="A4514" t="str">
        <x:v>SYN0004513</x:v>
      </x:c>
      <x:c r="B4514" s="12" t="n">
        <x:v>42235</x:v>
      </x:c>
      <x:c r="C4514" s="18" t="n">
        <x:v>9785</x:v>
      </x:c>
      <x:c r="D4514" s="18" t="n">
        <x:v>129363</x:v>
      </x:c>
      <x:c r="E4514" s="18" t="n">
        <x:v>35.75</x:v>
      </x:c>
      <x:c r="F4514" s="18" t="n">
        <x:v>9.72</x:v>
      </x:c>
      <x:c r="G4514" t="n">
        <x:v>60</x:v>
      </x:c>
      <x:c r="H4514" t="str">
        <x:v>C</x:v>
      </x:c>
      <x:c r="I4514" t="str">
        <x:v>7-9 years</x:v>
      </x:c>
      <x:c r="J4514" t="str">
        <x:v>OWN</x:v>
      </x:c>
      <x:c r="K4514" t="str">
        <x:v>debt_consolidation</x:v>
      </x:c>
      <x:c r="L4514" t="n">
        <x:v>1</x:v>
      </x:c>
      <x:c r="M4514" t="n">
        <x:v>0</x:v>
      </x:c>
      <x:c r="N4514" t="str">
        <x:v>Fully Paid</x:v>
      </x:c>
      <x:c r="O4514" t="str">
        <x:f>IF(D4514="","Unknown",IF(D4514&lt;25000,"&lt;$25k",IF(D4514&lt;50000,"$25k-$50k",IF(D4514&lt;75000,"$50k-$75k",IF(D4514&lt;100000,"$75k-$100k","$100k+")))))</x:f>
        <x:v>$100k+</x:v>
      </x:c>
      <x:c r="P4514" t="str">
        <x:f>IF(E4514="","Unknown",IF(E4514&lt;10,"&lt;10",IF(E4514&lt;20,"10-&lt;20",IF(E4514&lt;25,"20-&lt;25",IF(E4514&lt;35,"25-&lt;35","35+")))))</x:f>
        <x:v>35+</x:v>
      </x:c>
    </x:row>
    <x:row r="4515">
      <x:c r="A4515" t="str">
        <x:v>SYN0004514</x:v>
      </x:c>
      <x:c r="B4515" s="12" t="n">
        <x:v>42565</x:v>
      </x:c>
      <x:c r="C4515" s="18" t="n">
        <x:v>13549</x:v>
      </x:c>
      <x:c r="D4515" s="18" t="n">
        <x:v>34713</x:v>
      </x:c>
      <x:c r="E4515" s="18" t="n">
        <x:v>31.48</x:v>
      </x:c>
      <x:c r="F4515" s="18" t="n">
        <x:v>8.32</x:v>
      </x:c>
      <x:c r="G4515" t="n">
        <x:v>36</x:v>
      </x:c>
      <x:c r="H4515" t="str">
        <x:v>B</x:v>
      </x:c>
      <x:c r="I4515" t="str">
        <x:v>1-3 years</x:v>
      </x:c>
      <x:c r="J4515" t="str">
        <x:v>MORTGAGE</x:v>
      </x:c>
      <x:c r="K4515" t="str">
        <x:v>credit_card</x:v>
      </x:c>
      <x:c r="L4515" t="n">
        <x:v>0</x:v>
      </x:c>
      <x:c r="M4515" t="n">
        <x:v>0</x:v>
      </x:c>
      <x:c r="N4515" t="str">
        <x:v>Fully Paid</x:v>
      </x:c>
      <x:c r="O4515" t="str">
        <x:f>IF(D4515="","Unknown",IF(D4515&lt;25000,"&lt;$25k",IF(D4515&lt;50000,"$25k-$50k",IF(D4515&lt;75000,"$50k-$75k",IF(D4515&lt;100000,"$75k-$100k","$100k+")))))</x:f>
        <x:v>$25k-$50k</x:v>
      </x:c>
      <x:c r="P4515" t="str">
        <x:f>IF(E4515="","Unknown",IF(E4515&lt;10,"&lt;10",IF(E4515&lt;20,"10-&lt;20",IF(E4515&lt;25,"20-&lt;25",IF(E4515&lt;35,"25-&lt;35","35+")))))</x:f>
        <x:v>25-&lt;35</x:v>
      </x:c>
    </x:row>
    <x:row r="4516">
      <x:c r="A4516" t="str">
        <x:v>SYN0004515</x:v>
      </x:c>
      <x:c r="B4516" s="12" t="n">
        <x:v>41845</x:v>
      </x:c>
      <x:c r="C4516" s="18" t="n">
        <x:v>12554</x:v>
      </x:c>
      <x:c r="D4516" s="18" t="n">
        <x:v>14983</x:v>
      </x:c>
      <x:c r="E4516" s="18" t="n">
        <x:v>21.02</x:v>
      </x:c>
      <x:c r="F4516" s="18" t="n">
        <x:v>12.41</x:v>
      </x:c>
      <x:c r="G4516" t="n">
        <x:v>36</x:v>
      </x:c>
      <x:c r="H4516" t="str">
        <x:v>D</x:v>
      </x:c>
      <x:c r="I4516" t="str">
        <x:v>7-9 years</x:v>
      </x:c>
      <x:c r="J4516" t="str">
        <x:v>MORTGAGE</x:v>
      </x:c>
      <x:c r="K4516" t="str">
        <x:v>debt_consolidation</x:v>
      </x:c>
      <x:c r="L4516" t="n">
        <x:v>0</x:v>
      </x:c>
      <x:c r="M4516" t="n">
        <x:v>0</x:v>
      </x:c>
      <x:c r="N4516" t="str">
        <x:v>Fully Paid</x:v>
      </x:c>
      <x:c r="O4516" t="str">
        <x:f>IF(D4516="","Unknown",IF(D4516&lt;25000,"&lt;$25k",IF(D4516&lt;50000,"$25k-$50k",IF(D4516&lt;75000,"$50k-$75k",IF(D4516&lt;100000,"$75k-$100k","$100k+")))))</x:f>
        <x:v>&lt;$25k</x:v>
      </x:c>
      <x:c r="P4516" t="str">
        <x:f>IF(E4516="","Unknown",IF(E4516&lt;10,"&lt;10",IF(E4516&lt;20,"10-&lt;20",IF(E4516&lt;25,"20-&lt;25",IF(E4516&lt;35,"25-&lt;35","35+")))))</x:f>
        <x:v>20-&lt;25</x:v>
      </x:c>
    </x:row>
    <x:row r="4517">
      <x:c r="A4517" t="str">
        <x:v>SYN0004516</x:v>
      </x:c>
      <x:c r="B4517" s="12" t="n">
        <x:v>42775</x:v>
      </x:c>
      <x:c r="C4517" s="18" t="n">
        <x:v>10395</x:v>
      </x:c>
      <x:c r="D4517" s="18" t="n">
        <x:v>41859</x:v>
      </x:c>
      <x:c r="E4517" s="18" t="n">
        <x:v>21.59</x:v>
      </x:c>
      <x:c r="F4517" s="18" t="n">
        <x:v>20.52</x:v>
      </x:c>
      <x:c r="G4517" t="n">
        <x:v>36</x:v>
      </x:c>
      <x:c r="H4517" t="str">
        <x:v>E</x:v>
      </x:c>
      <x:c r="I4517" t="str">
        <x:v>10+ years</x:v>
      </x:c>
      <x:c r="J4517" t="str">
        <x:v>RENT</x:v>
      </x:c>
      <x:c r="K4517" t="str">
        <x:v>other</x:v>
      </x:c>
      <x:c r="L4517" t="n">
        <x:v>0</x:v>
      </x:c>
      <x:c r="M4517" t="n">
        <x:v>0</x:v>
      </x:c>
      <x:c r="N4517" t="str">
        <x:v>Fully Paid</x:v>
      </x:c>
      <x:c r="O4517" t="str">
        <x:f>IF(D4517="","Unknown",IF(D4517&lt;25000,"&lt;$25k",IF(D4517&lt;50000,"$25k-$50k",IF(D4517&lt;75000,"$50k-$75k",IF(D4517&lt;100000,"$75k-$100k","$100k+")))))</x:f>
        <x:v>$25k-$50k</x:v>
      </x:c>
      <x:c r="P4517" t="str">
        <x:f>IF(E4517="","Unknown",IF(E4517&lt;10,"&lt;10",IF(E4517&lt;20,"10-&lt;20",IF(E4517&lt;25,"20-&lt;25",IF(E4517&lt;35,"25-&lt;35","35+")))))</x:f>
        <x:v>20-&lt;25</x:v>
      </x:c>
    </x:row>
    <x:row r="4518">
      <x:c r="A4518" t="str">
        <x:v>SYN0004517</x:v>
      </x:c>
      <x:c r="B4518" s="12" t="n">
        <x:v>42775</x:v>
      </x:c>
      <x:c r="C4518" s="18" t="n">
        <x:v>28655</x:v>
      </x:c>
      <x:c r="D4518" s="18" t="n">
        <x:v>47383</x:v>
      </x:c>
      <x:c r="E4518" s="18" t="n">
        <x:v>14.81</x:v>
      </x:c>
      <x:c r="F4518" s="18" t="n">
        <x:v>19.08</x:v>
      </x:c>
      <x:c r="G4518" t="n">
        <x:v>36</x:v>
      </x:c>
      <x:c r="H4518" t="str">
        <x:v>E</x:v>
      </x:c>
      <x:c r="I4518" t="str">
        <x:v>7-9 years</x:v>
      </x:c>
      <x:c r="J4518" t="str">
        <x:v>RENT</x:v>
      </x:c>
      <x:c r="K4518" t="str">
        <x:v>credit_card</x:v>
      </x:c>
      <x:c r="L4518" t="n">
        <x:v>0</x:v>
      </x:c>
      <x:c r="M4518" t="n">
        <x:v>0</x:v>
      </x:c>
      <x:c r="N4518" t="str">
        <x:v>Fully Paid</x:v>
      </x:c>
      <x:c r="O4518" t="str">
        <x:f>IF(D4518="","Unknown",IF(D4518&lt;25000,"&lt;$25k",IF(D4518&lt;50000,"$25k-$50k",IF(D4518&lt;75000,"$50k-$75k",IF(D4518&lt;100000,"$75k-$100k","$100k+")))))</x:f>
        <x:v>$25k-$50k</x:v>
      </x:c>
      <x:c r="P4518" t="str">
        <x:f>IF(E4518="","Unknown",IF(E4518&lt;10,"&lt;10",IF(E4518&lt;20,"10-&lt;20",IF(E4518&lt;25,"20-&lt;25",IF(E4518&lt;35,"25-&lt;35","35+")))))</x:f>
        <x:v>10-&lt;20</x:v>
      </x:c>
    </x:row>
    <x:row r="4519">
      <x:c r="A4519" t="str">
        <x:v>SYN0004518</x:v>
      </x:c>
      <x:c r="B4519" s="12" t="n">
        <x:v>43255</x:v>
      </x:c>
      <x:c r="C4519" s="18" t="n">
        <x:v>6308</x:v>
      </x:c>
      <x:c r="D4519" s="18" t="n">
        <x:v>33501</x:v>
      </x:c>
      <x:c r="E4519" s="18" t="n">
        <x:v>28.34</x:v>
      </x:c>
      <x:c r="F4519" s="18" t="n">
        <x:v>16.18</x:v>
      </x:c>
      <x:c r="G4519" t="n">
        <x:v>36</x:v>
      </x:c>
      <x:c r="H4519" t="str">
        <x:v>E</x:v>
      </x:c>
      <x:c r="I4519" t="str">
        <x:v>&lt;1 year</x:v>
      </x:c>
      <x:c r="J4519" t="str">
        <x:v>MORTGAGE</x:v>
      </x:c>
      <x:c r="K4519" t="str">
        <x:v>debt_consolidation</x:v>
      </x:c>
      <x:c r="L4519" t="n">
        <x:v>0</x:v>
      </x:c>
      <x:c r="M4519" t="n">
        <x:v>0</x:v>
      </x:c>
      <x:c r="N4519" t="str">
        <x:v>Fully Paid</x:v>
      </x:c>
      <x:c r="O4519" t="str">
        <x:f>IF(D4519="","Unknown",IF(D4519&lt;25000,"&lt;$25k",IF(D4519&lt;50000,"$25k-$50k",IF(D4519&lt;75000,"$50k-$75k",IF(D4519&lt;100000,"$75k-$100k","$100k+")))))</x:f>
        <x:v>$25k-$50k</x:v>
      </x:c>
      <x:c r="P4519" t="str">
        <x:f>IF(E4519="","Unknown",IF(E4519&lt;10,"&lt;10",IF(E4519&lt;20,"10-&lt;20",IF(E4519&lt;25,"20-&lt;25",IF(E4519&lt;35,"25-&lt;35","35+")))))</x:f>
        <x:v>25-&lt;35</x:v>
      </x:c>
    </x:row>
    <x:row r="4520">
      <x:c r="A4520" t="str">
        <x:v>SYN0004519</x:v>
      </x:c>
      <x:c r="B4520" s="12" t="n">
        <x:v>41695</x:v>
      </x:c>
      <x:c r="C4520" s="18" t="n">
        <x:v>7004</x:v>
      </x:c>
      <x:c r="D4520" s="18" t="n">
        <x:v>61909</x:v>
      </x:c>
      <x:c r="E4520" s="18" t="n">
        <x:v>34.01</x:v>
      </x:c>
      <x:c r="F4520" s="18" t="n">
        <x:v>26.07</x:v>
      </x:c>
      <x:c r="G4520" t="n">
        <x:v>60</x:v>
      </x:c>
      <x:c r="H4520" t="str">
        <x:v>G</x:v>
      </x:c>
      <x:c r="I4520" t="str">
        <x:v>4-6 years</x:v>
      </x:c>
      <x:c r="J4520" t="str">
        <x:v>OWN</x:v>
      </x:c>
      <x:c r="K4520" t="str">
        <x:v>home_improvement</x:v>
      </x:c>
      <x:c r="L4520" t="n">
        <x:v>0</x:v>
      </x:c>
      <x:c r="M4520" t="n">
        <x:v>0</x:v>
      </x:c>
      <x:c r="N4520" t="str">
        <x:v>Fully Paid</x:v>
      </x:c>
      <x:c r="O4520" t="str">
        <x:f>IF(D4520="","Unknown",IF(D4520&lt;25000,"&lt;$25k",IF(D4520&lt;50000,"$25k-$50k",IF(D4520&lt;75000,"$50k-$75k",IF(D4520&lt;100000,"$75k-$100k","$100k+")))))</x:f>
        <x:v>$50k-$75k</x:v>
      </x:c>
      <x:c r="P4520" t="str">
        <x:f>IF(E4520="","Unknown",IF(E4520&lt;10,"&lt;10",IF(E4520&lt;20,"10-&lt;20",IF(E4520&lt;25,"20-&lt;25",IF(E4520&lt;35,"25-&lt;35","35+")))))</x:f>
        <x:v>25-&lt;35</x:v>
      </x:c>
    </x:row>
    <x:row r="4521">
      <x:c r="A4521" t="str">
        <x:v>SYN0004520</x:v>
      </x:c>
      <x:c r="B4521" s="12" t="n">
        <x:v>42235</x:v>
      </x:c>
      <x:c r="C4521" s="18" t="n">
        <x:v>7116</x:v>
      </x:c>
      <x:c r="D4521" s="18" t="n">
        <x:v>40589</x:v>
      </x:c>
      <x:c r="E4521" s="18" t="n">
        <x:v>32.52</x:v>
      </x:c>
      <x:c r="F4521" s="18" t="n">
        <x:v>7.51</x:v>
      </x:c>
      <x:c r="G4521" t="n">
        <x:v>36</x:v>
      </x:c>
      <x:c r="H4521" t="str">
        <x:v>B</x:v>
      </x:c>
      <x:c r="I4521" t="str">
        <x:v>&lt;1 year</x:v>
      </x:c>
      <x:c r="J4521" t="str">
        <x:v>MORTGAGE</x:v>
      </x:c>
      <x:c r="K4521" t="str">
        <x:v>home_improvement</x:v>
      </x:c>
      <x:c r="L4521" t="n">
        <x:v>1</x:v>
      </x:c>
      <x:c r="M4521" t="n">
        <x:v>0</x:v>
      </x:c>
      <x:c r="N4521" t="str">
        <x:v>Fully Paid</x:v>
      </x:c>
      <x:c r="O4521" t="str">
        <x:f>IF(D4521="","Unknown",IF(D4521&lt;25000,"&lt;$25k",IF(D4521&lt;50000,"$25k-$50k",IF(D4521&lt;75000,"$50k-$75k",IF(D4521&lt;100000,"$75k-$100k","$100k+")))))</x:f>
        <x:v>$25k-$50k</x:v>
      </x:c>
      <x:c r="P4521" t="str">
        <x:f>IF(E4521="","Unknown",IF(E4521&lt;10,"&lt;10",IF(E4521&lt;20,"10-&lt;20",IF(E4521&lt;25,"20-&lt;25",IF(E4521&lt;35,"25-&lt;35","35+")))))</x:f>
        <x:v>25-&lt;35</x:v>
      </x:c>
    </x:row>
    <x:row r="4522">
      <x:c r="A4522" t="str">
        <x:v>SYN0004521</x:v>
      </x:c>
      <x:c r="B4522" s="12" t="n">
        <x:v>42745</x:v>
      </x:c>
      <x:c r="C4522" s="18" t="n">
        <x:v>20919</x:v>
      </x:c>
      <x:c r="D4522" s="18" t="n">
        <x:v>51193</x:v>
      </x:c>
      <x:c r="E4522" s="18" t="n">
        <x:v>17.12</x:v>
      </x:c>
      <x:c r="F4522" s="18" t="n">
        <x:v>15.88</x:v>
      </x:c>
      <x:c r="G4522" t="n">
        <x:v>36</x:v>
      </x:c>
      <x:c r="H4522" t="str">
        <x:v>D</x:v>
      </x:c>
      <x:c r="I4522" t="str">
        <x:v>4-6 years</x:v>
      </x:c>
      <x:c r="J4522" t="str">
        <x:v>RENT</x:v>
      </x:c>
      <x:c r="K4522" t="str">
        <x:v>home_improvement</x:v>
      </x:c>
      <x:c r="L4522" t="n">
        <x:v>0</x:v>
      </x:c>
      <x:c r="M4522" t="n">
        <x:v>0</x:v>
      </x:c>
      <x:c r="N4522" t="str">
        <x:v>Fully Paid</x:v>
      </x:c>
      <x:c r="O4522" t="str">
        <x:f>IF(D4522="","Unknown",IF(D4522&lt;25000,"&lt;$25k",IF(D4522&lt;50000,"$25k-$50k",IF(D4522&lt;75000,"$50k-$75k",IF(D4522&lt;100000,"$75k-$100k","$100k+")))))</x:f>
        <x:v>$50k-$75k</x:v>
      </x:c>
      <x:c r="P4522" t="str">
        <x:f>IF(E4522="","Unknown",IF(E4522&lt;10,"&lt;10",IF(E4522&lt;20,"10-&lt;20",IF(E4522&lt;25,"20-&lt;25",IF(E4522&lt;35,"25-&lt;35","35+")))))</x:f>
        <x:v>10-&lt;20</x:v>
      </x:c>
    </x:row>
    <x:row r="4523">
      <x:c r="A4523" t="str">
        <x:v>SYN0004522</x:v>
      </x:c>
      <x:c r="B4523" s="12" t="n">
        <x:v>43225</x:v>
      </x:c>
      <x:c r="C4523" s="18" t="n">
        <x:v>15431</x:v>
      </x:c>
      <x:c r="D4523" s="18" t="n">
        <x:v>138057</x:v>
      </x:c>
      <x:c r="E4523" s="18" t="n">
        <x:v>14.57</x:v>
      </x:c>
      <x:c r="F4523" s="18" t="n">
        <x:v>5</x:v>
      </x:c>
      <x:c r="G4523" t="n">
        <x:v>36</x:v>
      </x:c>
      <x:c r="H4523" t="str">
        <x:v>A</x:v>
      </x:c>
      <x:c r="I4523" t="str">
        <x:v>1-3 years</x:v>
      </x:c>
      <x:c r="J4523" t="str">
        <x:v>RENT</x:v>
      </x:c>
      <x:c r="K4523" t="str">
        <x:v>credit_card</x:v>
      </x:c>
      <x:c r="L4523" t="n">
        <x:v>0</x:v>
      </x:c>
      <x:c r="M4523" t="n">
        <x:v>0</x:v>
      </x:c>
      <x:c r="N4523" t="str">
        <x:v>Fully Paid</x:v>
      </x:c>
      <x:c r="O4523" t="str">
        <x:f>IF(D4523="","Unknown",IF(D4523&lt;25000,"&lt;$25k",IF(D4523&lt;50000,"$25k-$50k",IF(D4523&lt;75000,"$50k-$75k",IF(D4523&lt;100000,"$75k-$100k","$100k+")))))</x:f>
        <x:v>$100k+</x:v>
      </x:c>
      <x:c r="P4523" t="str">
        <x:f>IF(E4523="","Unknown",IF(E4523&lt;10,"&lt;10",IF(E4523&lt;20,"10-&lt;20",IF(E4523&lt;25,"20-&lt;25",IF(E4523&lt;35,"25-&lt;35","35+")))))</x:f>
        <x:v>10-&lt;20</x:v>
      </x:c>
    </x:row>
    <x:row r="4524">
      <x:c r="A4524" t="str">
        <x:v>SYN0004523</x:v>
      </x:c>
      <x:c r="B4524" s="12" t="n">
        <x:v>42865</x:v>
      </x:c>
      <x:c r="C4524" s="18" t="n">
        <x:v>11488</x:v>
      </x:c>
      <x:c r="D4524" s="18" t="n">
        <x:v>60156</x:v>
      </x:c>
      <x:c r="E4524" s="18" t="n">
        <x:v>19.24</x:v>
      </x:c>
      <x:c r="F4524" s="18" t="n">
        <x:v>16.7</x:v>
      </x:c>
      <x:c r="G4524" t="n">
        <x:v>36</x:v>
      </x:c>
      <x:c r="H4524" t="str">
        <x:v>E</x:v>
      </x:c>
      <x:c r="I4524" t="str">
        <x:v>4-6 years</x:v>
      </x:c>
      <x:c r="J4524" t="str">
        <x:v>MORTGAGE</x:v>
      </x:c>
      <x:c r="K4524" t="str">
        <x:v>other</x:v>
      </x:c>
      <x:c r="L4524" t="n">
        <x:v>3</x:v>
      </x:c>
      <x:c r="M4524" t="n">
        <x:v>0</x:v>
      </x:c>
      <x:c r="N4524" t="str">
        <x:v>Fully Paid</x:v>
      </x:c>
      <x:c r="O4524" t="str">
        <x:f>IF(D4524="","Unknown",IF(D4524&lt;25000,"&lt;$25k",IF(D4524&lt;50000,"$25k-$50k",IF(D4524&lt;75000,"$50k-$75k",IF(D4524&lt;100000,"$75k-$100k","$100k+")))))</x:f>
        <x:v>$50k-$75k</x:v>
      </x:c>
      <x:c r="P4524" t="str">
        <x:f>IF(E4524="","Unknown",IF(E4524&lt;10,"&lt;10",IF(E4524&lt;20,"10-&lt;20",IF(E4524&lt;25,"20-&lt;25",IF(E4524&lt;35,"25-&lt;35","35+")))))</x:f>
        <x:v>10-&lt;20</x:v>
      </x:c>
    </x:row>
    <x:row r="4525">
      <x:c r="A4525" t="str">
        <x:v>SYN0004524</x:v>
      </x:c>
      <x:c r="B4525" s="12" t="n">
        <x:v>41665</x:v>
      </x:c>
      <x:c r="C4525" s="18" t="n">
        <x:v>9493</x:v>
      </x:c>
      <x:c r="D4525" s="18" t="n">
        <x:v>83010</x:v>
      </x:c>
      <x:c r="E4525" s="18" t="n">
        <x:v>29.5</x:v>
      </x:c>
      <x:c r="F4525" s="18" t="n">
        <x:v>19.21</x:v>
      </x:c>
      <x:c r="G4525" t="n">
        <x:v>36</x:v>
      </x:c>
      <x:c r="H4525" t="str">
        <x:v>E</x:v>
      </x:c>
      <x:c r="I4525" t="str">
        <x:v>10+ years</x:v>
      </x:c>
      <x:c r="J4525" t="str">
        <x:v>OWN</x:v>
      </x:c>
      <x:c r="K4525" t="str">
        <x:v>credit_card</x:v>
      </x:c>
      <x:c r="L4525" t="n">
        <x:v>0</x:v>
      </x:c>
      <x:c r="M4525" t="n">
        <x:v>1</x:v>
      </x:c>
      <x:c r="N4525" t="str">
        <x:v>Charged Off</x:v>
      </x:c>
      <x:c r="O4525" t="str">
        <x:f>IF(D4525="","Unknown",IF(D4525&lt;25000,"&lt;$25k",IF(D4525&lt;50000,"$25k-$50k",IF(D4525&lt;75000,"$50k-$75k",IF(D4525&lt;100000,"$75k-$100k","$100k+")))))</x:f>
        <x:v>$75k-$100k</x:v>
      </x:c>
      <x:c r="P4525" t="str">
        <x:f>IF(E4525="","Unknown",IF(E4525&lt;10,"&lt;10",IF(E4525&lt;20,"10-&lt;20",IF(E4525&lt;25,"20-&lt;25",IF(E4525&lt;35,"25-&lt;35","35+")))))</x:f>
        <x:v>25-&lt;35</x:v>
      </x:c>
    </x:row>
    <x:row r="4526">
      <x:c r="A4526" t="str">
        <x:v>SYN0004525</x:v>
      </x:c>
      <x:c r="B4526" s="12" t="n">
        <x:v>42055</x:v>
      </x:c>
      <x:c r="C4526" s="18" t="n">
        <x:v>10766</x:v>
      </x:c>
      <x:c r="D4526" s="18" t="n">
        <x:v>53350</x:v>
      </x:c>
      <x:c r="E4526" s="18" t="n">
        <x:v>4.3</x:v>
      </x:c>
      <x:c r="F4526" s="18" t="n">
        <x:v>8.04</x:v>
      </x:c>
      <x:c r="G4526" t="n">
        <x:v>60</x:v>
      </x:c>
      <x:c r="H4526" t="str">
        <x:v>C</x:v>
      </x:c>
      <x:c r="I4526" t="str">
        <x:v>10+ years</x:v>
      </x:c>
      <x:c r="J4526" t="str">
        <x:v>OTHER</x:v>
      </x:c>
      <x:c r="K4526" t="str">
        <x:v>credit_card</x:v>
      </x:c>
      <x:c r="L4526" t="n">
        <x:v>0</x:v>
      </x:c>
      <x:c r="M4526" t="n">
        <x:v>0</x:v>
      </x:c>
      <x:c r="N4526" t="str">
        <x:v>Fully Paid</x:v>
      </x:c>
      <x:c r="O4526" t="str">
        <x:f>IF(D4526="","Unknown",IF(D4526&lt;25000,"&lt;$25k",IF(D4526&lt;50000,"$25k-$50k",IF(D4526&lt;75000,"$50k-$75k",IF(D4526&lt;100000,"$75k-$100k","$100k+")))))</x:f>
        <x:v>$50k-$75k</x:v>
      </x:c>
      <x:c r="P4526" t="str">
        <x:f>IF(E4526="","Unknown",IF(E4526&lt;10,"&lt;10",IF(E4526&lt;20,"10-&lt;20",IF(E4526&lt;25,"20-&lt;25",IF(E4526&lt;35,"25-&lt;35","35+")))))</x:f>
        <x:v>&lt;10</x:v>
      </x:c>
    </x:row>
    <x:row r="4527">
      <x:c r="A4527" t="str">
        <x:v>SYN0004526</x:v>
      </x:c>
      <x:c r="B4527" s="12" t="n">
        <x:v>41485</x:v>
      </x:c>
      <x:c r="C4527" s="18" t="n">
        <x:v>23026</x:v>
      </x:c>
      <x:c r="D4527" s="18" t="n">
        <x:v>73388</x:v>
      </x:c>
      <x:c r="E4527" s="18" t="n">
        <x:v>24.44</x:v>
      </x:c>
      <x:c r="F4527" s="18" t="n">
        <x:v>7.29</x:v>
      </x:c>
      <x:c r="G4527" t="n">
        <x:v>36</x:v>
      </x:c>
      <x:c r="H4527" t="str">
        <x:v>B</x:v>
      </x:c>
      <x:c r="I4527" t="str">
        <x:v>4-6 years</x:v>
      </x:c>
      <x:c r="J4527" t="str">
        <x:v>MORTGAGE</x:v>
      </x:c>
      <x:c r="K4527" t="str">
        <x:v>debt_consolidation</x:v>
      </x:c>
      <x:c r="L4527" t="n">
        <x:v>0</x:v>
      </x:c>
      <x:c r="M4527" t="n">
        <x:v>0</x:v>
      </x:c>
      <x:c r="N4527" t="str">
        <x:v>Fully Paid</x:v>
      </x:c>
      <x:c r="O4527" t="str">
        <x:f>IF(D4527="","Unknown",IF(D4527&lt;25000,"&lt;$25k",IF(D4527&lt;50000,"$25k-$50k",IF(D4527&lt;75000,"$50k-$75k",IF(D4527&lt;100000,"$75k-$100k","$100k+")))))</x:f>
        <x:v>$50k-$75k</x:v>
      </x:c>
      <x:c r="P4527" t="str">
        <x:f>IF(E4527="","Unknown",IF(E4527&lt;10,"&lt;10",IF(E4527&lt;20,"10-&lt;20",IF(E4527&lt;25,"20-&lt;25",IF(E4527&lt;35,"25-&lt;35","35+")))))</x:f>
        <x:v>20-&lt;25</x:v>
      </x:c>
    </x:row>
    <x:row r="4528">
      <x:c r="A4528" t="str">
        <x:v>SYN0004527</x:v>
      </x:c>
      <x:c r="B4528" s="12" t="n">
        <x:v>42865</x:v>
      </x:c>
      <x:c r="C4528" s="18" t="n">
        <x:v>18222</x:v>
      </x:c>
      <x:c r="D4528" s="18" t="n">
        <x:v>50575</x:v>
      </x:c>
      <x:c r="E4528" s="18" t="n">
        <x:v>8.69</x:v>
      </x:c>
      <x:c r="F4528" s="18" t="n">
        <x:v>17.29</x:v>
      </x:c>
      <x:c r="G4528" t="n">
        <x:v>36</x:v>
      </x:c>
      <x:c r="H4528" t="str">
        <x:v>D</x:v>
      </x:c>
      <x:c r="I4528" t="str">
        <x:v>1-3 years</x:v>
      </x:c>
      <x:c r="J4528" t="str">
        <x:v>RENT</x:v>
      </x:c>
      <x:c r="K4528" t="str">
        <x:v>home_improvement</x:v>
      </x:c>
      <x:c r="L4528" t="n">
        <x:v>2</x:v>
      </x:c>
      <x:c r="M4528" t="n">
        <x:v>0</x:v>
      </x:c>
      <x:c r="N4528" t="str">
        <x:v>Fully Paid</x:v>
      </x:c>
      <x:c r="O4528" t="str">
        <x:f>IF(D4528="","Unknown",IF(D4528&lt;25000,"&lt;$25k",IF(D4528&lt;50000,"$25k-$50k",IF(D4528&lt;75000,"$50k-$75k",IF(D4528&lt;100000,"$75k-$100k","$100k+")))))</x:f>
        <x:v>$50k-$75k</x:v>
      </x:c>
      <x:c r="P4528" t="str">
        <x:f>IF(E4528="","Unknown",IF(E4528&lt;10,"&lt;10",IF(E4528&lt;20,"10-&lt;20",IF(E4528&lt;25,"20-&lt;25",IF(E4528&lt;35,"25-&lt;35","35+")))))</x:f>
        <x:v>&lt;10</x:v>
      </x:c>
    </x:row>
    <x:row r="4529">
      <x:c r="A4529" t="str">
        <x:v>SYN0004528</x:v>
      </x:c>
      <x:c r="B4529" s="12" t="n">
        <x:v>42265</x:v>
      </x:c>
      <x:c r="C4529" s="18" t="n">
        <x:v>7102</x:v>
      </x:c>
      <x:c r="D4529" s="18" t="n">
        <x:v>19792</x:v>
      </x:c>
      <x:c r="E4529" s="18" t="n">
        <x:v>7.78</x:v>
      </x:c>
      <x:c r="F4529" s="18" t="n">
        <x:v>9.74</x:v>
      </x:c>
      <x:c r="G4529" t="n">
        <x:v>36</x:v>
      </x:c>
      <x:c r="H4529" t="str">
        <x:v>C</x:v>
      </x:c>
      <x:c r="I4529" t="str">
        <x:v>10+ years</x:v>
      </x:c>
      <x:c r="J4529" t="str">
        <x:v>RENT</x:v>
      </x:c>
      <x:c r="K4529" t="str">
        <x:v>credit_card</x:v>
      </x:c>
      <x:c r="L4529" t="n">
        <x:v>0</x:v>
      </x:c>
      <x:c r="M4529" t="n">
        <x:v>0</x:v>
      </x:c>
      <x:c r="N4529" t="str">
        <x:v>Fully Paid</x:v>
      </x:c>
      <x:c r="O4529" t="str">
        <x:f>IF(D4529="","Unknown",IF(D4529&lt;25000,"&lt;$25k",IF(D4529&lt;50000,"$25k-$50k",IF(D4529&lt;75000,"$50k-$75k",IF(D4529&lt;100000,"$75k-$100k","$100k+")))))</x:f>
        <x:v>&lt;$25k</x:v>
      </x:c>
      <x:c r="P4529" t="str">
        <x:f>IF(E4529="","Unknown",IF(E4529&lt;10,"&lt;10",IF(E4529&lt;20,"10-&lt;20",IF(E4529&lt;25,"20-&lt;25",IF(E4529&lt;35,"25-&lt;35","35+")))))</x:f>
        <x:v>&lt;10</x:v>
      </x:c>
    </x:row>
    <x:row r="4530">
      <x:c r="A4530" t="str">
        <x:v>SYN0004529</x:v>
      </x:c>
      <x:c r="B4530" s="12" t="n">
        <x:v>42205</x:v>
      </x:c>
      <x:c r="C4530" s="18" t="n">
        <x:v>24475</x:v>
      </x:c>
      <x:c r="D4530" s="18" t="n">
        <x:v>33785</x:v>
      </x:c>
      <x:c r="E4530" s="18" t="n">
        <x:v>12.03</x:v>
      </x:c>
      <x:c r="F4530" s="18" t="n">
        <x:v>6.61</x:v>
      </x:c>
      <x:c r="G4530" t="n">
        <x:v>36</x:v>
      </x:c>
      <x:c r="H4530" t="str">
        <x:v>B</x:v>
      </x:c>
      <x:c r="I4530" t="str">
        <x:v>4-6 years</x:v>
      </x:c>
      <x:c r="J4530" t="str">
        <x:v>RENT</x:v>
      </x:c>
      <x:c r="K4530" t="str">
        <x:v>home_improvement</x:v>
      </x:c>
      <x:c r="L4530" t="n">
        <x:v>0</x:v>
      </x:c>
      <x:c r="M4530" t="n">
        <x:v>0</x:v>
      </x:c>
      <x:c r="N4530" t="str">
        <x:v>Fully Paid</x:v>
      </x:c>
      <x:c r="O4530" t="str">
        <x:f>IF(D4530="","Unknown",IF(D4530&lt;25000,"&lt;$25k",IF(D4530&lt;50000,"$25k-$50k",IF(D4530&lt;75000,"$50k-$75k",IF(D4530&lt;100000,"$75k-$100k","$100k+")))))</x:f>
        <x:v>$25k-$50k</x:v>
      </x:c>
      <x:c r="P4530" t="str">
        <x:f>IF(E4530="","Unknown",IF(E4530&lt;10,"&lt;10",IF(E4530&lt;20,"10-&lt;20",IF(E4530&lt;25,"20-&lt;25",IF(E4530&lt;35,"25-&lt;35","35+")))))</x:f>
        <x:v>10-&lt;20</x:v>
      </x:c>
    </x:row>
    <x:row r="4531">
      <x:c r="A4531" t="str">
        <x:v>SYN0004530</x:v>
      </x:c>
      <x:c r="B4531" s="12" t="n">
        <x:v>42055</x:v>
      </x:c>
      <x:c r="C4531" s="18" t="n">
        <x:v>8918</x:v>
      </x:c>
      <x:c r="D4531" s="18" t="n">
        <x:v>114965</x:v>
      </x:c>
      <x:c r="E4531" s="18" t="n">
        <x:v>25.89</x:v>
      </x:c>
      <x:c r="F4531" s="18" t="n">
        <x:v>14.97</x:v>
      </x:c>
      <x:c r="G4531" t="n">
        <x:v>36</x:v>
      </x:c>
      <x:c r="H4531" t="str">
        <x:v>D</x:v>
      </x:c>
      <x:c r="I4531" t="str">
        <x:v>4-6 years</x:v>
      </x:c>
      <x:c r="J4531" t="str">
        <x:v>MORTGAGE</x:v>
      </x:c>
      <x:c r="K4531" t="str">
        <x:v>credit_card</x:v>
      </x:c>
      <x:c r="L4531" t="n">
        <x:v>0</x:v>
      </x:c>
      <x:c r="M4531" t="n">
        <x:v>0</x:v>
      </x:c>
      <x:c r="N4531" t="str">
        <x:v>Fully Paid</x:v>
      </x:c>
      <x:c r="O4531" t="str">
        <x:f>IF(D4531="","Unknown",IF(D4531&lt;25000,"&lt;$25k",IF(D4531&lt;50000,"$25k-$50k",IF(D4531&lt;75000,"$50k-$75k",IF(D4531&lt;100000,"$75k-$100k","$100k+")))))</x:f>
        <x:v>$100k+</x:v>
      </x:c>
      <x:c r="P4531" t="str">
        <x:f>IF(E4531="","Unknown",IF(E4531&lt;10,"&lt;10",IF(E4531&lt;20,"10-&lt;20",IF(E4531&lt;25,"20-&lt;25",IF(E4531&lt;35,"25-&lt;35","35+")))))</x:f>
        <x:v>25-&lt;35</x:v>
      </x:c>
    </x:row>
    <x:row r="4532">
      <x:c r="A4532" t="str">
        <x:v>SYN0004531</x:v>
      </x:c>
      <x:c r="B4532" s="12" t="n">
        <x:v>43015</x:v>
      </x:c>
      <x:c r="C4532" s="18" t="n">
        <x:v>5489</x:v>
      </x:c>
      <x:c r="D4532" s="18" t="n">
        <x:v>12000</x:v>
      </x:c>
      <x:c r="E4532" s="18" t="n">
        <x:v>17.01</x:v>
      </x:c>
      <x:c r="F4532" s="18" t="n">
        <x:v>8.12</x:v>
      </x:c>
      <x:c r="G4532" t="n">
        <x:v>36</x:v>
      </x:c>
      <x:c r="H4532" t="str">
        <x:v>B</x:v>
      </x:c>
      <x:c r="I4532" t="str">
        <x:v>4-6 years</x:v>
      </x:c>
      <x:c r="J4532" t="str">
        <x:v>RENT</x:v>
      </x:c>
      <x:c r="K4532" t="str">
        <x:v>debt_consolidation</x:v>
      </x:c>
      <x:c r="L4532" t="n">
        <x:v>0</x:v>
      </x:c>
      <x:c r="M4532" t="n">
        <x:v>0</x:v>
      </x:c>
      <x:c r="N4532" t="str">
        <x:v>Fully Paid</x:v>
      </x:c>
      <x:c r="O4532" t="str">
        <x:f>IF(D4532="","Unknown",IF(D4532&lt;25000,"&lt;$25k",IF(D4532&lt;50000,"$25k-$50k",IF(D4532&lt;75000,"$50k-$75k",IF(D4532&lt;100000,"$75k-$100k","$100k+")))))</x:f>
        <x:v>&lt;$25k</x:v>
      </x:c>
      <x:c r="P4532" t="str">
        <x:f>IF(E4532="","Unknown",IF(E4532&lt;10,"&lt;10",IF(E4532&lt;20,"10-&lt;20",IF(E4532&lt;25,"20-&lt;25",IF(E4532&lt;35,"25-&lt;35","35+")))))</x:f>
        <x:v>10-&lt;20</x:v>
      </x:c>
    </x:row>
    <x:row r="4533">
      <x:c r="A4533" t="str">
        <x:v>SYN0004532</x:v>
      </x:c>
      <x:c r="B4533" s="12" t="n">
        <x:v>41395</x:v>
      </x:c>
      <x:c r="C4533" s="18" t="n">
        <x:v>4349</x:v>
      </x:c>
      <x:c r="D4533" s="18" t="n">
        <x:v>37698</x:v>
      </x:c>
      <x:c r="E4533" s="18" t="n">
        <x:v>0</x:v>
      </x:c>
      <x:c r="F4533" s="18" t="n">
        <x:v>9.11</x:v>
      </x:c>
      <x:c r="G4533" t="n">
        <x:v>36</x:v>
      </x:c>
      <x:c r="H4533" t="str">
        <x:v>A</x:v>
      </x:c>
      <x:c r="I4533" t="str">
        <x:v>4-6 years</x:v>
      </x:c>
      <x:c r="J4533" t="str">
        <x:v>RENT</x:v>
      </x:c>
      <x:c r="K4533" t="str">
        <x:v>debt_consolidation</x:v>
      </x:c>
      <x:c r="L4533" t="n">
        <x:v>0</x:v>
      </x:c>
      <x:c r="M4533" t="n">
        <x:v>0</x:v>
      </x:c>
      <x:c r="N4533" t="str">
        <x:v>Fully Paid</x:v>
      </x:c>
      <x:c r="O4533" t="str">
        <x:f>IF(D4533="","Unknown",IF(D4533&lt;25000,"&lt;$25k",IF(D4533&lt;50000,"$25k-$50k",IF(D4533&lt;75000,"$50k-$75k",IF(D4533&lt;100000,"$75k-$100k","$100k+")))))</x:f>
        <x:v>$25k-$50k</x:v>
      </x:c>
      <x:c r="P4533" t="str">
        <x:f>IF(E4533="","Unknown",IF(E4533&lt;10,"&lt;10",IF(E4533&lt;20,"10-&lt;20",IF(E4533&lt;25,"20-&lt;25",IF(E4533&lt;35,"25-&lt;35","35+")))))</x:f>
        <x:v>Unknown</x:v>
      </x:c>
    </x:row>
    <x:row r="4534">
      <x:c r="A4534" t="str">
        <x:v>SYN0004533</x:v>
      </x:c>
      <x:c r="B4534" s="12" t="n">
        <x:v>43285</x:v>
      </x:c>
      <x:c r="C4534" s="18" t="n">
        <x:v>6917</x:v>
      </x:c>
      <x:c r="D4534" s="18" t="n">
        <x:v>36388</x:v>
      </x:c>
      <x:c r="E4534" s="18" t="n">
        <x:v>15.61</x:v>
      </x:c>
      <x:c r="F4534" s="18" t="n">
        <x:v>9.68</x:v>
      </x:c>
      <x:c r="G4534" t="n">
        <x:v>36</x:v>
      </x:c>
      <x:c r="H4534" t="str">
        <x:v>B</x:v>
      </x:c>
      <x:c r="I4534" t="str">
        <x:v>10+ years</x:v>
      </x:c>
      <x:c r="J4534" t="str">
        <x:v>OTHER</x:v>
      </x:c>
      <x:c r="K4534" t="str">
        <x:v>debt_consolidation</x:v>
      </x:c>
      <x:c r="L4534" t="n">
        <x:v>1</x:v>
      </x:c>
      <x:c r="M4534" t="n">
        <x:v>0</x:v>
      </x:c>
      <x:c r="N4534" t="str">
        <x:v>Fully Paid</x:v>
      </x:c>
      <x:c r="O4534" t="str">
        <x:f>IF(D4534="","Unknown",IF(D4534&lt;25000,"&lt;$25k",IF(D4534&lt;50000,"$25k-$50k",IF(D4534&lt;75000,"$50k-$75k",IF(D4534&lt;100000,"$75k-$100k","$100k+")))))</x:f>
        <x:v>$25k-$50k</x:v>
      </x:c>
      <x:c r="P4534" t="str">
        <x:f>IF(E4534="","Unknown",IF(E4534&lt;10,"&lt;10",IF(E4534&lt;20,"10-&lt;20",IF(E4534&lt;25,"20-&lt;25",IF(E4534&lt;35,"25-&lt;35","35+")))))</x:f>
        <x:v>10-&lt;20</x:v>
      </x:c>
    </x:row>
    <x:row r="4535">
      <x:c r="A4535" t="str">
        <x:v>SYN0004534</x:v>
      </x:c>
      <x:c r="B4535" s="12" t="n">
        <x:v>43045</x:v>
      </x:c>
      <x:c r="C4535" s="18" t="n">
        <x:v>15639</x:v>
      </x:c>
      <x:c r="D4535" s="18" t="n">
        <x:v>42710</x:v>
      </x:c>
      <x:c r="E4535" s="18" t="n">
        <x:v>10.04</x:v>
      </x:c>
      <x:c r="F4535" s="18" t="n">
        <x:v>9.51</x:v>
      </x:c>
      <x:c r="G4535" t="n">
        <x:v>60</x:v>
      </x:c>
      <x:c r="H4535" t="str">
        <x:v>A</x:v>
      </x:c>
      <x:c r="I4535" t="str">
        <x:v>4-6 years</x:v>
      </x:c>
      <x:c r="J4535" t="str">
        <x:v>RENT</x:v>
      </x:c>
      <x:c r="K4535" t="str">
        <x:v>debt_consolidation</x:v>
      </x:c>
      <x:c r="L4535" t="n">
        <x:v>0</x:v>
      </x:c>
      <x:c r="M4535" t="n">
        <x:v>0</x:v>
      </x:c>
      <x:c r="N4535" t="str">
        <x:v>Fully Paid</x:v>
      </x:c>
      <x:c r="O4535" t="str">
        <x:f>IF(D4535="","Unknown",IF(D4535&lt;25000,"&lt;$25k",IF(D4535&lt;50000,"$25k-$50k",IF(D4535&lt;75000,"$50k-$75k",IF(D4535&lt;100000,"$75k-$100k","$100k+")))))</x:f>
        <x:v>$25k-$50k</x:v>
      </x:c>
      <x:c r="P4535" t="str">
        <x:f>IF(E4535="","Unknown",IF(E4535&lt;10,"&lt;10",IF(E4535&lt;20,"10-&lt;20",IF(E4535&lt;25,"20-&lt;25",IF(E4535&lt;35,"25-&lt;35","35+")))))</x:f>
        <x:v>10-&lt;20</x:v>
      </x:c>
    </x:row>
    <x:row r="4536">
      <x:c r="A4536" t="str">
        <x:v>SYN0004535</x:v>
      </x:c>
      <x:c r="B4536" s="12" t="n">
        <x:v>41275</x:v>
      </x:c>
      <x:c r="C4536" s="18" t="n">
        <x:v>21658</x:v>
      </x:c>
      <x:c r="D4536" s="18" t="n">
        <x:v>53106</x:v>
      </x:c>
      <x:c r="E4536" s="18" t="n">
        <x:v>23.52</x:v>
      </x:c>
      <x:c r="F4536" s="18" t="n">
        <x:v>10.93</x:v>
      </x:c>
      <x:c r="G4536" t="n">
        <x:v>36</x:v>
      </x:c>
      <x:c r="H4536" t="str">
        <x:v>C</x:v>
      </x:c>
      <x:c r="I4536" t="str">
        <x:v>10+ years</x:v>
      </x:c>
      <x:c r="J4536" t="str">
        <x:v>RENT</x:v>
      </x:c>
      <x:c r="K4536" t="str">
        <x:v>medical</x:v>
      </x:c>
      <x:c r="L4536" t="n">
        <x:v>0</x:v>
      </x:c>
      <x:c r="M4536" t="n">
        <x:v>0</x:v>
      </x:c>
      <x:c r="N4536" t="str">
        <x:v>Fully Paid</x:v>
      </x:c>
      <x:c r="O4536" t="str">
        <x:f>IF(D4536="","Unknown",IF(D4536&lt;25000,"&lt;$25k",IF(D4536&lt;50000,"$25k-$50k",IF(D4536&lt;75000,"$50k-$75k",IF(D4536&lt;100000,"$75k-$100k","$100k+")))))</x:f>
        <x:v>$50k-$75k</x:v>
      </x:c>
      <x:c r="P4536" t="str">
        <x:f>IF(E4536="","Unknown",IF(E4536&lt;10,"&lt;10",IF(E4536&lt;20,"10-&lt;20",IF(E4536&lt;25,"20-&lt;25",IF(E4536&lt;35,"25-&lt;35","35+")))))</x:f>
        <x:v>20-&lt;25</x:v>
      </x:c>
    </x:row>
    <x:row r="4537">
      <x:c r="A4537" t="str">
        <x:v>SYN0004536</x:v>
      </x:c>
      <x:c r="B4537" s="12" t="n">
        <x:v>42505</x:v>
      </x:c>
      <x:c r="C4537" s="18" t="n">
        <x:v>7652</x:v>
      </x:c>
      <x:c r="D4537" s="18" t="n">
        <x:v>177255</x:v>
      </x:c>
      <x:c r="E4537" s="18" t="n">
        <x:v>19.92</x:v>
      </x:c>
      <x:c r="F4537" s="18" t="n">
        <x:v>21.3</x:v>
      </x:c>
      <x:c r="G4537" t="n">
        <x:v>36</x:v>
      </x:c>
      <x:c r="H4537" t="str">
        <x:v>F</x:v>
      </x:c>
      <x:c r="I4537" t="str">
        <x:v>1-3 years</x:v>
      </x:c>
      <x:c r="J4537" t="str">
        <x:v>MORTGAGE</x:v>
      </x:c>
      <x:c r="K4537" t="str">
        <x:v>medical</x:v>
      </x:c>
      <x:c r="L4537" t="n">
        <x:v>0</x:v>
      </x:c>
      <x:c r="M4537" t="n">
        <x:v>1</x:v>
      </x:c>
      <x:c r="N4537" t="str">
        <x:v>Charged Off</x:v>
      </x:c>
      <x:c r="O4537" t="str">
        <x:f>IF(D4537="","Unknown",IF(D4537&lt;25000,"&lt;$25k",IF(D4537&lt;50000,"$25k-$50k",IF(D4537&lt;75000,"$50k-$75k",IF(D4537&lt;100000,"$75k-$100k","$100k+")))))</x:f>
        <x:v>$100k+</x:v>
      </x:c>
      <x:c r="P4537" t="str">
        <x:f>IF(E4537="","Unknown",IF(E4537&lt;10,"&lt;10",IF(E4537&lt;20,"10-&lt;20",IF(E4537&lt;25,"20-&lt;25",IF(E4537&lt;35,"25-&lt;35","35+")))))</x:f>
        <x:v>10-&lt;20</x:v>
      </x:c>
    </x:row>
    <x:row r="4538">
      <x:c r="A4538" t="str">
        <x:v>SYN0004537</x:v>
      </x:c>
      <x:c r="B4538" s="12" t="n">
        <x:v>42505</x:v>
      </x:c>
      <x:c r="C4538" s="18" t="n">
        <x:v>7684</x:v>
      </x:c>
      <x:c r="D4538" s="18" t="n">
        <x:v>28209</x:v>
      </x:c>
      <x:c r="E4538" s="18" t="n">
        <x:v>14.97</x:v>
      </x:c>
      <x:c r="F4538" s="18" t="n">
        <x:v>7.65</x:v>
      </x:c>
      <x:c r="G4538" t="n">
        <x:v>36</x:v>
      </x:c>
      <x:c r="H4538" t="str">
        <x:v>A</x:v>
      </x:c>
      <x:c r="I4538" t="str">
        <x:v>1-3 years</x:v>
      </x:c>
      <x:c r="J4538" t="str">
        <x:v>OWN</x:v>
      </x:c>
      <x:c r="K4538" t="str">
        <x:v>home_improvement</x:v>
      </x:c>
      <x:c r="L4538" t="n">
        <x:v>0</x:v>
      </x:c>
      <x:c r="M4538" t="n">
        <x:v>0</x:v>
      </x:c>
      <x:c r="N4538" t="str">
        <x:v>Fully Paid</x:v>
      </x:c>
      <x:c r="O4538" t="str">
        <x:f>IF(D4538="","Unknown",IF(D4538&lt;25000,"&lt;$25k",IF(D4538&lt;50000,"$25k-$50k",IF(D4538&lt;75000,"$50k-$75k",IF(D4538&lt;100000,"$75k-$100k","$100k+")))))</x:f>
        <x:v>$25k-$50k</x:v>
      </x:c>
      <x:c r="P4538" t="str">
        <x:f>IF(E4538="","Unknown",IF(E4538&lt;10,"&lt;10",IF(E4538&lt;20,"10-&lt;20",IF(E4538&lt;25,"20-&lt;25",IF(E4538&lt;35,"25-&lt;35","35+")))))</x:f>
        <x:v>10-&lt;20</x:v>
      </x:c>
    </x:row>
    <x:row r="4539">
      <x:c r="A4539" t="str">
        <x:v>SYN0004538</x:v>
      </x:c>
      <x:c r="B4539" s="12" t="n">
        <x:v>42445</x:v>
      </x:c>
      <x:c r="C4539" s="18" t="n">
        <x:v>19425</x:v>
      </x:c>
      <x:c r="D4539" s="18" t="n">
        <x:v>77906</x:v>
      </x:c>
      <x:c r="E4539" s="18" t="n">
        <x:v>8.14</x:v>
      </x:c>
      <x:c r="F4539" s="18" t="n">
        <x:v>6.75</x:v>
      </x:c>
      <x:c r="G4539" t="n">
        <x:v>36</x:v>
      </x:c>
      <x:c r="H4539" t="str">
        <x:v>B</x:v>
      </x:c>
      <x:c r="I4539" t="str">
        <x:v>10+ years</x:v>
      </x:c>
      <x:c r="J4539" t="str">
        <x:v>MORTGAGE</x:v>
      </x:c>
      <x:c r="K4539" t="str">
        <x:v>home_improvement</x:v>
      </x:c>
      <x:c r="L4539" t="n">
        <x:v>0</x:v>
      </x:c>
      <x:c r="M4539" t="n">
        <x:v>0</x:v>
      </x:c>
      <x:c r="N4539" t="str">
        <x:v>Fully Paid</x:v>
      </x:c>
      <x:c r="O4539" t="str">
        <x:f>IF(D4539="","Unknown",IF(D4539&lt;25000,"&lt;$25k",IF(D4539&lt;50000,"$25k-$50k",IF(D4539&lt;75000,"$50k-$75k",IF(D4539&lt;100000,"$75k-$100k","$100k+")))))</x:f>
        <x:v>$75k-$100k</x:v>
      </x:c>
      <x:c r="P4539" t="str">
        <x:f>IF(E4539="","Unknown",IF(E4539&lt;10,"&lt;10",IF(E4539&lt;20,"10-&lt;20",IF(E4539&lt;25,"20-&lt;25",IF(E4539&lt;35,"25-&lt;35","35+")))))</x:f>
        <x:v>&lt;10</x:v>
      </x:c>
    </x:row>
    <x:row r="4540">
      <x:c r="A4540" t="str">
        <x:v>SYN0004539</x:v>
      </x:c>
      <x:c r="B4540" s="12" t="n">
        <x:v>42085</x:v>
      </x:c>
      <x:c r="C4540" s="18" t="n">
        <x:v>5196</x:v>
      </x:c>
      <x:c r="D4540" s="18" t="n">
        <x:v>108698</x:v>
      </x:c>
      <x:c r="E4540" s="18" t="n">
        <x:v>11.77</x:v>
      </x:c>
      <x:c r="F4540" s="18" t="n">
        <x:v>13.47</x:v>
      </x:c>
      <x:c r="G4540" t="n">
        <x:v>60</x:v>
      </x:c>
      <x:c r="H4540" t="str">
        <x:v>C</x:v>
      </x:c>
      <x:c r="I4540" t="str">
        <x:v>7-9 years</x:v>
      </x:c>
      <x:c r="J4540" t="str">
        <x:v>MORTGAGE</x:v>
      </x:c>
      <x:c r="K4540" t="str">
        <x:v>credit_card</x:v>
      </x:c>
      <x:c r="L4540" t="n">
        <x:v>1</x:v>
      </x:c>
      <x:c r="M4540" t="n">
        <x:v>0</x:v>
      </x:c>
      <x:c r="N4540" t="str">
        <x:v>Fully Paid</x:v>
      </x:c>
      <x:c r="O4540" t="str">
        <x:f>IF(D4540="","Unknown",IF(D4540&lt;25000,"&lt;$25k",IF(D4540&lt;50000,"$25k-$50k",IF(D4540&lt;75000,"$50k-$75k",IF(D4540&lt;100000,"$75k-$100k","$100k+")))))</x:f>
        <x:v>$100k+</x:v>
      </x:c>
      <x:c r="P4540" t="str">
        <x:f>IF(E4540="","Unknown",IF(E4540&lt;10,"&lt;10",IF(E4540&lt;20,"10-&lt;20",IF(E4540&lt;25,"20-&lt;25",IF(E4540&lt;35,"25-&lt;35","35+")))))</x:f>
        <x:v>10-&lt;20</x:v>
      </x:c>
    </x:row>
    <x:row r="4541">
      <x:c r="A4541" t="str">
        <x:v>SYN0004540</x:v>
      </x:c>
      <x:c r="B4541" s="12" t="n">
        <x:v>41845</x:v>
      </x:c>
      <x:c r="C4541" s="18" t="n">
        <x:v>9242</x:v>
      </x:c>
      <x:c r="D4541" s="18" t="n">
        <x:v>43321</x:v>
      </x:c>
      <x:c r="E4541" s="18" t="n">
        <x:v>18.45</x:v>
      </x:c>
      <x:c r="F4541" s="18" t="n">
        <x:v>9.06</x:v>
      </x:c>
      <x:c r="G4541" t="n">
        <x:v>36</x:v>
      </x:c>
      <x:c r="H4541" t="str">
        <x:v>C</x:v>
      </x:c>
      <x:c r="I4541" t="str">
        <x:v>4-6 years</x:v>
      </x:c>
      <x:c r="J4541" t="str">
        <x:v>OWN</x:v>
      </x:c>
      <x:c r="K4541" t="str">
        <x:v>credit_card</x:v>
      </x:c>
      <x:c r="L4541" t="n">
        <x:v>1</x:v>
      </x:c>
      <x:c r="M4541" t="n">
        <x:v>0</x:v>
      </x:c>
      <x:c r="N4541" t="str">
        <x:v>Fully Paid</x:v>
      </x:c>
      <x:c r="O4541" t="str">
        <x:f>IF(D4541="","Unknown",IF(D4541&lt;25000,"&lt;$25k",IF(D4541&lt;50000,"$25k-$50k",IF(D4541&lt;75000,"$50k-$75k",IF(D4541&lt;100000,"$75k-$100k","$100k+")))))</x:f>
        <x:v>$25k-$50k</x:v>
      </x:c>
      <x:c r="P4541" t="str">
        <x:f>IF(E4541="","Unknown",IF(E4541&lt;10,"&lt;10",IF(E4541&lt;20,"10-&lt;20",IF(E4541&lt;25,"20-&lt;25",IF(E4541&lt;35,"25-&lt;35","35+")))))</x:f>
        <x:v>10-&lt;20</x:v>
      </x:c>
    </x:row>
    <x:row r="4542">
      <x:c r="A4542" t="str">
        <x:v>SYN0004541</x:v>
      </x:c>
      <x:c r="B4542" s="12" t="n">
        <x:v>41815</x:v>
      </x:c>
      <x:c r="C4542" s="18" t="n">
        <x:v>19428</x:v>
      </x:c>
      <x:c r="D4542" s="18" t="n">
        <x:v>121865</x:v>
      </x:c>
      <x:c r="E4542" s="18" t="n">
        <x:v>4.29</x:v>
      </x:c>
      <x:c r="F4542" s="18" t="n">
        <x:v>11.31</x:v>
      </x:c>
      <x:c r="G4542" t="n">
        <x:v>60</x:v>
      </x:c>
      <x:c r="H4542" t="str">
        <x:v>B</x:v>
      </x:c>
      <x:c r="I4542" t="str">
        <x:v>4-6 years</x:v>
      </x:c>
      <x:c r="J4542" t="str">
        <x:v>RENT</x:v>
      </x:c>
      <x:c r="K4542" t="str">
        <x:v>credit_card</x:v>
      </x:c>
      <x:c r="L4542" t="n">
        <x:v>1</x:v>
      </x:c>
      <x:c r="M4542" t="n">
        <x:v>0</x:v>
      </x:c>
      <x:c r="N4542" t="str">
        <x:v>Fully Paid</x:v>
      </x:c>
      <x:c r="O4542" t="str">
        <x:f>IF(D4542="","Unknown",IF(D4542&lt;25000,"&lt;$25k",IF(D4542&lt;50000,"$25k-$50k",IF(D4542&lt;75000,"$50k-$75k",IF(D4542&lt;100000,"$75k-$100k","$100k+")))))</x:f>
        <x:v>$100k+</x:v>
      </x:c>
      <x:c r="P4542" t="str">
        <x:f>IF(E4542="","Unknown",IF(E4542&lt;10,"&lt;10",IF(E4542&lt;20,"10-&lt;20",IF(E4542&lt;25,"20-&lt;25",IF(E4542&lt;35,"25-&lt;35","35+")))))</x:f>
        <x:v>&lt;10</x:v>
      </x:c>
    </x:row>
    <x:row r="4543">
      <x:c r="A4543" t="str">
        <x:v>SYN0004542</x:v>
      </x:c>
      <x:c r="B4543" s="12" t="n">
        <x:v>42925</x:v>
      </x:c>
      <x:c r="C4543" s="18" t="n">
        <x:v>24107</x:v>
      </x:c>
      <x:c r="D4543" s="18" t="n">
        <x:v>74225</x:v>
      </x:c>
      <x:c r="E4543" s="18" t="n">
        <x:v>0</x:v>
      </x:c>
      <x:c r="F4543" s="18" t="n">
        <x:v>9.53</x:v>
      </x:c>
      <x:c r="G4543" t="n">
        <x:v>36</x:v>
      </x:c>
      <x:c r="H4543" t="str">
        <x:v>B</x:v>
      </x:c>
      <x:c r="I4543" t="str">
        <x:v>&lt;1 year</x:v>
      </x:c>
      <x:c r="J4543" t="str">
        <x:v>RENT</x:v>
      </x:c>
      <x:c r="K4543" t="str">
        <x:v>debt_consolidation</x:v>
      </x:c>
      <x:c r="L4543" t="n">
        <x:v>0</x:v>
      </x:c>
      <x:c r="M4543" t="n">
        <x:v>0</x:v>
      </x:c>
      <x:c r="N4543" t="str">
        <x:v>Fully Paid</x:v>
      </x:c>
      <x:c r="O4543" t="str">
        <x:f>IF(D4543="","Unknown",IF(D4543&lt;25000,"&lt;$25k",IF(D4543&lt;50000,"$25k-$50k",IF(D4543&lt;75000,"$50k-$75k",IF(D4543&lt;100000,"$75k-$100k","$100k+")))))</x:f>
        <x:v>$50k-$75k</x:v>
      </x:c>
      <x:c r="P4543" t="str">
        <x:f>IF(E4543="","Unknown",IF(E4543&lt;10,"&lt;10",IF(E4543&lt;20,"10-&lt;20",IF(E4543&lt;25,"20-&lt;25",IF(E4543&lt;35,"25-&lt;35","35+")))))</x:f>
        <x:v>Unknown</x:v>
      </x:c>
    </x:row>
    <x:row r="4544">
      <x:c r="A4544" t="str">
        <x:v>SYN0004543</x:v>
      </x:c>
      <x:c r="B4544" s="12" t="n">
        <x:v>41425</x:v>
      </x:c>
      <x:c r="C4544" s="18" t="n">
        <x:v>34731</x:v>
      </x:c>
      <x:c r="D4544" s="18" t="n">
        <x:v>65069</x:v>
      </x:c>
      <x:c r="E4544" s="18" t="n">
        <x:v>16.44</x:v>
      </x:c>
      <x:c r="F4544" s="18" t="n">
        <x:v>7.31</x:v>
      </x:c>
      <x:c r="G4544" t="n">
        <x:v>36</x:v>
      </x:c>
      <x:c r="H4544" t="str">
        <x:v>B</x:v>
      </x:c>
      <x:c r="I4544" t="str">
        <x:v>4-6 years</x:v>
      </x:c>
      <x:c r="J4544" t="str">
        <x:v>RENT</x:v>
      </x:c>
      <x:c r="K4544" t="str">
        <x:v>debt_consolidation</x:v>
      </x:c>
      <x:c r="L4544" t="n">
        <x:v>1</x:v>
      </x:c>
      <x:c r="M4544" t="n">
        <x:v>0</x:v>
      </x:c>
      <x:c r="N4544" t="str">
        <x:v>Fully Paid</x:v>
      </x:c>
      <x:c r="O4544" t="str">
        <x:f>IF(D4544="","Unknown",IF(D4544&lt;25000,"&lt;$25k",IF(D4544&lt;50000,"$25k-$50k",IF(D4544&lt;75000,"$50k-$75k",IF(D4544&lt;100000,"$75k-$100k","$100k+")))))</x:f>
        <x:v>$50k-$75k</x:v>
      </x:c>
      <x:c r="P4544" t="str">
        <x:f>IF(E4544="","Unknown",IF(E4544&lt;10,"&lt;10",IF(E4544&lt;20,"10-&lt;20",IF(E4544&lt;25,"20-&lt;25",IF(E4544&lt;35,"25-&lt;35","35+")))))</x:f>
        <x:v>10-&lt;20</x:v>
      </x:c>
    </x:row>
    <x:row r="4545">
      <x:c r="A4545" t="str">
        <x:v>SYN0004544</x:v>
      </x:c>
      <x:c r="B4545" s="12" t="n">
        <x:v>42625</x:v>
      </x:c>
      <x:c r="C4545" s="18" t="n">
        <x:v>19803</x:v>
      </x:c>
      <x:c r="D4545" s="18" t="n">
        <x:v>106152</x:v>
      </x:c>
      <x:c r="E4545" s="18" t="n">
        <x:v>14.4</x:v>
      </x:c>
      <x:c r="F4545" s="18" t="n">
        <x:v>5.18</x:v>
      </x:c>
      <x:c r="G4545" t="n">
        <x:v>36</x:v>
      </x:c>
      <x:c r="H4545" t="str">
        <x:v>A</x:v>
      </x:c>
      <x:c r="I4545" t="str">
        <x:v>1-3 years</x:v>
      </x:c>
      <x:c r="J4545" t="str">
        <x:v>MORTGAGE</x:v>
      </x:c>
      <x:c r="K4545" t="str">
        <x:v>credit_card</x:v>
      </x:c>
      <x:c r="L4545" t="n">
        <x:v>0</x:v>
      </x:c>
      <x:c r="M4545" t="n">
        <x:v>0</x:v>
      </x:c>
      <x:c r="N4545" t="str">
        <x:v>Fully Paid</x:v>
      </x:c>
      <x:c r="O4545" t="str">
        <x:f>IF(D4545="","Unknown",IF(D4545&lt;25000,"&lt;$25k",IF(D4545&lt;50000,"$25k-$50k",IF(D4545&lt;75000,"$50k-$75k",IF(D4545&lt;100000,"$75k-$100k","$100k+")))))</x:f>
        <x:v>$100k+</x:v>
      </x:c>
      <x:c r="P4545" t="str">
        <x:f>IF(E4545="","Unknown",IF(E4545&lt;10,"&lt;10",IF(E4545&lt;20,"10-&lt;20",IF(E4545&lt;25,"20-&lt;25",IF(E4545&lt;35,"25-&lt;35","35+")))))</x:f>
        <x:v>10-&lt;20</x:v>
      </x:c>
    </x:row>
    <x:row r="4546">
      <x:c r="A4546" t="str">
        <x:v>SYN0004545</x:v>
      </x:c>
      <x:c r="B4546" s="12" t="n">
        <x:v>41395</x:v>
      </x:c>
      <x:c r="C4546" s="18" t="n">
        <x:v>20039</x:v>
      </x:c>
      <x:c r="D4546" s="18" t="n">
        <x:v>12000</x:v>
      </x:c>
      <x:c r="E4546" s="18" t="n">
        <x:v>16.46</x:v>
      </x:c>
      <x:c r="F4546" s="18" t="n">
        <x:v>10.79</x:v>
      </x:c>
      <x:c r="G4546" t="n">
        <x:v>36</x:v>
      </x:c>
      <x:c r="H4546" t="str">
        <x:v>B</x:v>
      </x:c>
      <x:c r="I4546" t="str">
        <x:v>7-9 years</x:v>
      </x:c>
      <x:c r="J4546" t="str">
        <x:v>OTHER</x:v>
      </x:c>
      <x:c r="K4546" t="str">
        <x:v>debt_consolidation</x:v>
      </x:c>
      <x:c r="L4546" t="n">
        <x:v>0</x:v>
      </x:c>
      <x:c r="M4546" t="n">
        <x:v>0</x:v>
      </x:c>
      <x:c r="N4546" t="str">
        <x:v>Fully Paid</x:v>
      </x:c>
      <x:c r="O4546" t="str">
        <x:f>IF(D4546="","Unknown",IF(D4546&lt;25000,"&lt;$25k",IF(D4546&lt;50000,"$25k-$50k",IF(D4546&lt;75000,"$50k-$75k",IF(D4546&lt;100000,"$75k-$100k","$100k+")))))</x:f>
        <x:v>&lt;$25k</x:v>
      </x:c>
      <x:c r="P4546" t="str">
        <x:f>IF(E4546="","Unknown",IF(E4546&lt;10,"&lt;10",IF(E4546&lt;20,"10-&lt;20",IF(E4546&lt;25,"20-&lt;25",IF(E4546&lt;35,"25-&lt;35","35+")))))</x:f>
        <x:v>10-&lt;20</x:v>
      </x:c>
    </x:row>
    <x:row r="4547">
      <x:c r="A4547" t="str">
        <x:v>SYN0004546</x:v>
      </x:c>
      <x:c r="B4547" s="12" t="n">
        <x:v>42445</x:v>
      </x:c>
      <x:c r="C4547" s="18" t="n">
        <x:v>5545</x:v>
      </x:c>
      <x:c r="D4547" s="18" t="n">
        <x:v>240067</x:v>
      </x:c>
      <x:c r="E4547" s="18" t="n">
        <x:v>21.03</x:v>
      </x:c>
      <x:c r="F4547" s="18" t="n">
        <x:v>6.6</x:v>
      </x:c>
      <x:c r="G4547" t="n">
        <x:v>36</x:v>
      </x:c>
      <x:c r="H4547" t="str">
        <x:v>B</x:v>
      </x:c>
      <x:c r="I4547" t="str">
        <x:v>4-6 years</x:v>
      </x:c>
      <x:c r="J4547" t="str">
        <x:v>MORTGAGE</x:v>
      </x:c>
      <x:c r="K4547" t="str">
        <x:v>debt_consolidation</x:v>
      </x:c>
      <x:c r="L4547" t="n">
        <x:v>1</x:v>
      </x:c>
      <x:c r="M4547" t="n">
        <x:v>0</x:v>
      </x:c>
      <x:c r="N4547" t="str">
        <x:v>Fully Paid</x:v>
      </x:c>
      <x:c r="O4547" t="str">
        <x:f>IF(D4547="","Unknown",IF(D4547&lt;25000,"&lt;$25k",IF(D4547&lt;50000,"$25k-$50k",IF(D4547&lt;75000,"$50k-$75k",IF(D4547&lt;100000,"$75k-$100k","$100k+")))))</x:f>
        <x:v>$100k+</x:v>
      </x:c>
      <x:c r="P4547" t="str">
        <x:f>IF(E4547="","Unknown",IF(E4547&lt;10,"&lt;10",IF(E4547&lt;20,"10-&lt;20",IF(E4547&lt;25,"20-&lt;25",IF(E4547&lt;35,"25-&lt;35","35+")))))</x:f>
        <x:v>20-&lt;25</x:v>
      </x:c>
    </x:row>
    <x:row r="4548">
      <x:c r="A4548" t="str">
        <x:v>SYN0004547</x:v>
      </x:c>
      <x:c r="B4548" s="12" t="n">
        <x:v>42205</x:v>
      </x:c>
      <x:c r="C4548" s="18" t="n">
        <x:v>13280</x:v>
      </x:c>
      <x:c r="D4548" s="18" t="n">
        <x:v>19017</x:v>
      </x:c>
      <x:c r="E4548" s="18" t="n">
        <x:v>31.97</x:v>
      </x:c>
      <x:c r="F4548" s="18" t="n">
        <x:v>15.46</x:v>
      </x:c>
      <x:c r="G4548" t="n">
        <x:v>36</x:v>
      </x:c>
      <x:c r="H4548" t="str">
        <x:v>D</x:v>
      </x:c>
      <x:c r="I4548" t="str">
        <x:v>7-9 years</x:v>
      </x:c>
      <x:c r="J4548" t="str">
        <x:v>RENT</x:v>
      </x:c>
      <x:c r="K4548" t="str">
        <x:v>debt_consolidation</x:v>
      </x:c>
      <x:c r="L4548" t="n">
        <x:v>1</x:v>
      </x:c>
      <x:c r="M4548" t="n">
        <x:v>1</x:v>
      </x:c>
      <x:c r="N4548" t="str">
        <x:v>Charged Off</x:v>
      </x:c>
      <x:c r="O4548" t="str">
        <x:f>IF(D4548="","Unknown",IF(D4548&lt;25000,"&lt;$25k",IF(D4548&lt;50000,"$25k-$50k",IF(D4548&lt;75000,"$50k-$75k",IF(D4548&lt;100000,"$75k-$100k","$100k+")))))</x:f>
        <x:v>&lt;$25k</x:v>
      </x:c>
      <x:c r="P4548" t="str">
        <x:f>IF(E4548="","Unknown",IF(E4548&lt;10,"&lt;10",IF(E4548&lt;20,"10-&lt;20",IF(E4548&lt;25,"20-&lt;25",IF(E4548&lt;35,"25-&lt;35","35+")))))</x:f>
        <x:v>25-&lt;35</x:v>
      </x:c>
    </x:row>
    <x:row r="4549">
      <x:c r="A4549" t="str">
        <x:v>SYN0004548</x:v>
      </x:c>
      <x:c r="B4549" s="12" t="n">
        <x:v>42565</x:v>
      </x:c>
      <x:c r="C4549" s="18" t="n">
        <x:v>14528</x:v>
      </x:c>
      <x:c r="D4549" s="18" t="n">
        <x:v>114913</x:v>
      </x:c>
      <x:c r="E4549" s="18" t="n">
        <x:v>10.44</x:v>
      </x:c>
      <x:c r="F4549" s="18" t="n">
        <x:v>24.45</x:v>
      </x:c>
      <x:c r="G4549" t="n">
        <x:v>36</x:v>
      </x:c>
      <x:c r="H4549" t="str">
        <x:v>F</x:v>
      </x:c>
      <x:c r="I4549" t="str">
        <x:v>4-6 years</x:v>
      </x:c>
      <x:c r="J4549" t="str">
        <x:v>MORTGAGE</x:v>
      </x:c>
      <x:c r="K4549" t="str">
        <x:v>home_improvement</x:v>
      </x:c>
      <x:c r="L4549" t="n">
        <x:v>2</x:v>
      </x:c>
      <x:c r="M4549" t="n">
        <x:v>1</x:v>
      </x:c>
      <x:c r="N4549" t="str">
        <x:v>Charged Off</x:v>
      </x:c>
      <x:c r="O4549" t="str">
        <x:f>IF(D4549="","Unknown",IF(D4549&lt;25000,"&lt;$25k",IF(D4549&lt;50000,"$25k-$50k",IF(D4549&lt;75000,"$50k-$75k",IF(D4549&lt;100000,"$75k-$100k","$100k+")))))</x:f>
        <x:v>$100k+</x:v>
      </x:c>
      <x:c r="P4549" t="str">
        <x:f>IF(E4549="","Unknown",IF(E4549&lt;10,"&lt;10",IF(E4549&lt;20,"10-&lt;20",IF(E4549&lt;25,"20-&lt;25",IF(E4549&lt;35,"25-&lt;35","35+")))))</x:f>
        <x:v>10-&lt;20</x:v>
      </x:c>
    </x:row>
    <x:row r="4550">
      <x:c r="A4550" t="str">
        <x:v>SYN0004549</x:v>
      </x:c>
      <x:c r="B4550" s="12" t="n">
        <x:v>43195</x:v>
      </x:c>
      <x:c r="C4550" s="18" t="n">
        <x:v>21219</x:v>
      </x:c>
      <x:c r="D4550" s="18" t="n">
        <x:v>22843</x:v>
      </x:c>
      <x:c r="E4550" s="18" t="n">
        <x:v>38.78</x:v>
      </x:c>
      <x:c r="F4550" s="18" t="n">
        <x:v>20.57</x:v>
      </x:c>
      <x:c r="G4550" t="n">
        <x:v>36</x:v>
      </x:c>
      <x:c r="H4550" t="str">
        <x:v>F</x:v>
      </x:c>
      <x:c r="I4550" t="str">
        <x:v>1-3 years</x:v>
      </x:c>
      <x:c r="J4550" t="str">
        <x:v>RENT</x:v>
      </x:c>
      <x:c r="K4550" t="str">
        <x:v>debt_consolidation</x:v>
      </x:c>
      <x:c r="L4550" t="n">
        <x:v>2</x:v>
      </x:c>
      <x:c r="M4550" t="n">
        <x:v>0</x:v>
      </x:c>
      <x:c r="N4550" t="str">
        <x:v>Fully Paid</x:v>
      </x:c>
      <x:c r="O4550" t="str">
        <x:f>IF(D4550="","Unknown",IF(D4550&lt;25000,"&lt;$25k",IF(D4550&lt;50000,"$25k-$50k",IF(D4550&lt;75000,"$50k-$75k",IF(D4550&lt;100000,"$75k-$100k","$100k+")))))</x:f>
        <x:v>&lt;$25k</x:v>
      </x:c>
      <x:c r="P4550" t="str">
        <x:f>IF(E4550="","Unknown",IF(E4550&lt;10,"&lt;10",IF(E4550&lt;20,"10-&lt;20",IF(E4550&lt;25,"20-&lt;25",IF(E4550&lt;35,"25-&lt;35","35+")))))</x:f>
        <x:v>35+</x:v>
      </x:c>
    </x:row>
    <x:row r="4551">
      <x:c r="A4551" t="str">
        <x:v>SYN0004550</x:v>
      </x:c>
      <x:c r="B4551" s="12" t="n">
        <x:v>41845</x:v>
      </x:c>
      <x:c r="C4551" s="18" t="n">
        <x:v>8442</x:v>
      </x:c>
      <x:c r="D4551" s="18" t="n">
        <x:v>47738</x:v>
      </x:c>
      <x:c r="E4551" s="18" t="n">
        <x:v>36.46</x:v>
      </x:c>
      <x:c r="F4551" s="18" t="n">
        <x:v>22.83</x:v>
      </x:c>
      <x:c r="G4551" t="n">
        <x:v>36</x:v>
      </x:c>
      <x:c r="H4551" t="str">
        <x:v>F</x:v>
      </x:c>
      <x:c r="I4551" t="str">
        <x:v>1-3 years</x:v>
      </x:c>
      <x:c r="J4551" t="str">
        <x:v>RENT</x:v>
      </x:c>
      <x:c r="K4551" t="str">
        <x:v>debt_consolidation</x:v>
      </x:c>
      <x:c r="L4551" t="n">
        <x:v>1</x:v>
      </x:c>
      <x:c r="M4551" t="n">
        <x:v>1</x:v>
      </x:c>
      <x:c r="N4551" t="str">
        <x:v>Charged Off</x:v>
      </x:c>
      <x:c r="O4551" t="str">
        <x:f>IF(D4551="","Unknown",IF(D4551&lt;25000,"&lt;$25k",IF(D4551&lt;50000,"$25k-$50k",IF(D4551&lt;75000,"$50k-$75k",IF(D4551&lt;100000,"$75k-$100k","$100k+")))))</x:f>
        <x:v>$25k-$50k</x:v>
      </x:c>
      <x:c r="P4551" t="str">
        <x:f>IF(E4551="","Unknown",IF(E4551&lt;10,"&lt;10",IF(E4551&lt;20,"10-&lt;20",IF(E4551&lt;25,"20-&lt;25",IF(E4551&lt;35,"25-&lt;35","35+")))))</x:f>
        <x:v>35+</x:v>
      </x:c>
    </x:row>
    <x:row r="4552">
      <x:c r="A4552" t="str">
        <x:v>SYN0004551</x:v>
      </x:c>
      <x:c r="B4552" s="12" t="n">
        <x:v>43105</x:v>
      </x:c>
      <x:c r="C4552" s="18" t="n">
        <x:v>5514</x:v>
      </x:c>
      <x:c r="D4552" s="18" t="n">
        <x:v>87959</x:v>
      </x:c>
      <x:c r="E4552" s="18" t="n">
        <x:v>20.01</x:v>
      </x:c>
      <x:c r="F4552" s="18" t="n">
        <x:v>14</x:v>
      </x:c>
      <x:c r="G4552" t="n">
        <x:v>60</x:v>
      </x:c>
      <x:c r="H4552" t="str">
        <x:v>D</x:v>
      </x:c>
      <x:c r="I4552" t="str">
        <x:v>10+ years</x:v>
      </x:c>
      <x:c r="J4552" t="str">
        <x:v>MORTGAGE</x:v>
      </x:c>
      <x:c r="K4552" t="str">
        <x:v>debt_consolidation</x:v>
      </x:c>
      <x:c r="L4552" t="n">
        <x:v>1</x:v>
      </x:c>
      <x:c r="M4552" t="n">
        <x:v>0</x:v>
      </x:c>
      <x:c r="N4552" t="str">
        <x:v>Fully Paid</x:v>
      </x:c>
      <x:c r="O4552" t="str">
        <x:f>IF(D4552="","Unknown",IF(D4552&lt;25000,"&lt;$25k",IF(D4552&lt;50000,"$25k-$50k",IF(D4552&lt;75000,"$50k-$75k",IF(D4552&lt;100000,"$75k-$100k","$100k+")))))</x:f>
        <x:v>$75k-$100k</x:v>
      </x:c>
      <x:c r="P4552" t="str">
        <x:f>IF(E4552="","Unknown",IF(E4552&lt;10,"&lt;10",IF(E4552&lt;20,"10-&lt;20",IF(E4552&lt;25,"20-&lt;25",IF(E4552&lt;35,"25-&lt;35","35+")))))</x:f>
        <x:v>20-&lt;25</x:v>
      </x:c>
    </x:row>
    <x:row r="4553">
      <x:c r="A4553" t="str">
        <x:v>SYN0004552</x:v>
      </x:c>
      <x:c r="B4553" s="12" t="n">
        <x:v>43075</x:v>
      </x:c>
      <x:c r="C4553" s="18" t="n">
        <x:v>6540</x:v>
      </x:c>
      <x:c r="D4553" s="18" t="n">
        <x:v>56359</x:v>
      </x:c>
      <x:c r="E4553" s="18" t="n">
        <x:v>20.07</x:v>
      </x:c>
      <x:c r="F4553" s="18" t="n">
        <x:v>9.26</x:v>
      </x:c>
      <x:c r="G4553" t="n">
        <x:v>60</x:v>
      </x:c>
      <x:c r="H4553" t="str">
        <x:v>C</x:v>
      </x:c>
      <x:c r="I4553" t="str">
        <x:v>&lt;1 year</x:v>
      </x:c>
      <x:c r="J4553" t="str">
        <x:v>RENT</x:v>
      </x:c>
      <x:c r="K4553" t="str">
        <x:v>home_improvement</x:v>
      </x:c>
      <x:c r="L4553" t="n">
        <x:v>0</x:v>
      </x:c>
      <x:c r="M4553" t="n">
        <x:v>0</x:v>
      </x:c>
      <x:c r="N4553" t="str">
        <x:v>Fully Paid</x:v>
      </x:c>
      <x:c r="O4553" t="str">
        <x:f>IF(D4553="","Unknown",IF(D4553&lt;25000,"&lt;$25k",IF(D4553&lt;50000,"$25k-$50k",IF(D4553&lt;75000,"$50k-$75k",IF(D4553&lt;100000,"$75k-$100k","$100k+")))))</x:f>
        <x:v>$50k-$75k</x:v>
      </x:c>
      <x:c r="P4553" t="str">
        <x:f>IF(E4553="","Unknown",IF(E4553&lt;10,"&lt;10",IF(E4553&lt;20,"10-&lt;20",IF(E4553&lt;25,"20-&lt;25",IF(E4553&lt;35,"25-&lt;35","35+")))))</x:f>
        <x:v>20-&lt;25</x:v>
      </x:c>
    </x:row>
    <x:row r="4554">
      <x:c r="A4554" t="str">
        <x:v>SYN0004553</x:v>
      </x:c>
      <x:c r="B4554" s="12" t="n">
        <x:v>41425</x:v>
      </x:c>
      <x:c r="C4554" s="18" t="n">
        <x:v>13606</x:v>
      </x:c>
      <x:c r="D4554" s="18" t="n">
        <x:v>111306</x:v>
      </x:c>
      <x:c r="E4554" s="18" t="n">
        <x:v>21.43</x:v>
      </x:c>
      <x:c r="F4554" s="18" t="n">
        <x:v>8.33</x:v>
      </x:c>
      <x:c r="G4554" t="n">
        <x:v>36</x:v>
      </x:c>
      <x:c r="H4554" t="str">
        <x:v>C</x:v>
      </x:c>
      <x:c r="I4554" t="str">
        <x:v>7-9 years</x:v>
      </x:c>
      <x:c r="J4554" t="str">
        <x:v>RENT</x:v>
      </x:c>
      <x:c r="K4554" t="str">
        <x:v>debt_consolidation</x:v>
      </x:c>
      <x:c r="L4554" t="n">
        <x:v>3</x:v>
      </x:c>
      <x:c r="M4554" t="n">
        <x:v>0</x:v>
      </x:c>
      <x:c r="N4554" t="str">
        <x:v>Fully Paid</x:v>
      </x:c>
      <x:c r="O4554" t="str">
        <x:f>IF(D4554="","Unknown",IF(D4554&lt;25000,"&lt;$25k",IF(D4554&lt;50000,"$25k-$50k",IF(D4554&lt;75000,"$50k-$75k",IF(D4554&lt;100000,"$75k-$100k","$100k+")))))</x:f>
        <x:v>$100k+</x:v>
      </x:c>
      <x:c r="P4554" t="str">
        <x:f>IF(E4554="","Unknown",IF(E4554&lt;10,"&lt;10",IF(E4554&lt;20,"10-&lt;20",IF(E4554&lt;25,"20-&lt;25",IF(E4554&lt;35,"25-&lt;35","35+")))))</x:f>
        <x:v>20-&lt;25</x:v>
      </x:c>
    </x:row>
    <x:row r="4555">
      <x:c r="A4555" t="str">
        <x:v>SYN0004554</x:v>
      </x:c>
      <x:c r="B4555" s="12" t="n">
        <x:v>42985</x:v>
      </x:c>
      <x:c r="C4555" s="18" t="n">
        <x:v>40000</x:v>
      </x:c>
      <x:c r="D4555" s="18" t="n">
        <x:v>24992</x:v>
      </x:c>
      <x:c r="E4555" s="18" t="n">
        <x:v>17.45</x:v>
      </x:c>
      <x:c r="F4555" s="18" t="n">
        <x:v>5.6</x:v>
      </x:c>
      <x:c r="G4555" t="n">
        <x:v>36</x:v>
      </x:c>
      <x:c r="H4555" t="str">
        <x:v>A</x:v>
      </x:c>
      <x:c r="I4555" t="str">
        <x:v>10+ years</x:v>
      </x:c>
      <x:c r="J4555" t="str">
        <x:v>MORTGAGE</x:v>
      </x:c>
      <x:c r="K4555" t="str">
        <x:v>credit_card</x:v>
      </x:c>
      <x:c r="L4555" t="n">
        <x:v>0</x:v>
      </x:c>
      <x:c r="M4555" t="n">
        <x:v>0</x:v>
      </x:c>
      <x:c r="N4555" t="str">
        <x:v>Fully Paid</x:v>
      </x:c>
      <x:c r="O4555" t="str">
        <x:f>IF(D4555="","Unknown",IF(D4555&lt;25000,"&lt;$25k",IF(D4555&lt;50000,"$25k-$50k",IF(D4555&lt;75000,"$50k-$75k",IF(D4555&lt;100000,"$75k-$100k","$100k+")))))</x:f>
        <x:v>&lt;$25k</x:v>
      </x:c>
      <x:c r="P4555" t="str">
        <x:f>IF(E4555="","Unknown",IF(E4555&lt;10,"&lt;10",IF(E4555&lt;20,"10-&lt;20",IF(E4555&lt;25,"20-&lt;25",IF(E4555&lt;35,"25-&lt;35","35+")))))</x:f>
        <x:v>10-&lt;20</x:v>
      </x:c>
    </x:row>
    <x:row r="4556">
      <x:c r="A4556" t="str">
        <x:v>SYN0004555</x:v>
      </x:c>
      <x:c r="B4556" s="12" t="n">
        <x:v>42565</x:v>
      </x:c>
      <x:c r="C4556" s="18" t="n">
        <x:v>12226</x:v>
      </x:c>
      <x:c r="D4556" s="18" t="n">
        <x:v>145670</x:v>
      </x:c>
      <x:c r="E4556" s="18" t="n">
        <x:v>16.14</x:v>
      </x:c>
      <x:c r="F4556" s="18" t="n">
        <x:v>8.31</x:v>
      </x:c>
      <x:c r="G4556" t="n">
        <x:v>36</x:v>
      </x:c>
      <x:c r="H4556" t="str">
        <x:v>B</x:v>
      </x:c>
      <x:c r="I4556" t="str">
        <x:v>10+ years</x:v>
      </x:c>
      <x:c r="J4556" t="str">
        <x:v>MORTGAGE</x:v>
      </x:c>
      <x:c r="K4556" t="str">
        <x:v>home_improvement</x:v>
      </x:c>
      <x:c r="L4556" t="n">
        <x:v>0</x:v>
      </x:c>
      <x:c r="M4556" t="n">
        <x:v>0</x:v>
      </x:c>
      <x:c r="N4556" t="str">
        <x:v>Fully Paid</x:v>
      </x:c>
      <x:c r="O4556" t="str">
        <x:f>IF(D4556="","Unknown",IF(D4556&lt;25000,"&lt;$25k",IF(D4556&lt;50000,"$25k-$50k",IF(D4556&lt;75000,"$50k-$75k",IF(D4556&lt;100000,"$75k-$100k","$100k+")))))</x:f>
        <x:v>$100k+</x:v>
      </x:c>
      <x:c r="P4556" t="str">
        <x:f>IF(E4556="","Unknown",IF(E4556&lt;10,"&lt;10",IF(E4556&lt;20,"10-&lt;20",IF(E4556&lt;25,"20-&lt;25",IF(E4556&lt;35,"25-&lt;35","35+")))))</x:f>
        <x:v>10-&lt;20</x:v>
      </x:c>
    </x:row>
    <x:row r="4557">
      <x:c r="A4557" t="str">
        <x:v>SYN0004556</x:v>
      </x:c>
      <x:c r="B4557" s="12" t="n">
        <x:v>42505</x:v>
      </x:c>
      <x:c r="C4557" s="18" t="n">
        <x:v>40000</x:v>
      </x:c>
      <x:c r="D4557" s="18" t="n">
        <x:v>30466</x:v>
      </x:c>
      <x:c r="E4557" s="18" t="n">
        <x:v>5.54</x:v>
      </x:c>
      <x:c r="F4557" s="18" t="n">
        <x:v>12.86</x:v>
      </x:c>
      <x:c r="G4557" t="n">
        <x:v>36</x:v>
      </x:c>
      <x:c r="H4557" t="str">
        <x:v>C</x:v>
      </x:c>
      <x:c r="I4557" t="str">
        <x:v>7-9 years</x:v>
      </x:c>
      <x:c r="J4557" t="str">
        <x:v>MORTGAGE</x:v>
      </x:c>
      <x:c r="K4557" t="str">
        <x:v>debt_consolidation</x:v>
      </x:c>
      <x:c r="L4557" t="n">
        <x:v>0</x:v>
      </x:c>
      <x:c r="M4557" t="n">
        <x:v>0</x:v>
      </x:c>
      <x:c r="N4557" t="str">
        <x:v>Fully Paid</x:v>
      </x:c>
      <x:c r="O4557" t="str">
        <x:f>IF(D4557="","Unknown",IF(D4557&lt;25000,"&lt;$25k",IF(D4557&lt;50000,"$25k-$50k",IF(D4557&lt;75000,"$50k-$75k",IF(D4557&lt;100000,"$75k-$100k","$100k+")))))</x:f>
        <x:v>$25k-$50k</x:v>
      </x:c>
      <x:c r="P4557" t="str">
        <x:f>IF(E4557="","Unknown",IF(E4557&lt;10,"&lt;10",IF(E4557&lt;20,"10-&lt;20",IF(E4557&lt;25,"20-&lt;25",IF(E4557&lt;35,"25-&lt;35","35+")))))</x:f>
        <x:v>&lt;10</x:v>
      </x:c>
    </x:row>
    <x:row r="4558">
      <x:c r="A4558" t="str">
        <x:v>SYN0004557</x:v>
      </x:c>
      <x:c r="B4558" s="12" t="n">
        <x:v>43015</x:v>
      </x:c>
      <x:c r="C4558" s="18" t="n">
        <x:v>9376</x:v>
      </x:c>
      <x:c r="D4558" s="18" t="n">
        <x:v>250000</x:v>
      </x:c>
      <x:c r="E4558" s="18" t="n">
        <x:v>27.51</x:v>
      </x:c>
      <x:c r="F4558" s="18" t="n">
        <x:v>12.89</x:v>
      </x:c>
      <x:c r="G4558" t="n">
        <x:v>36</x:v>
      </x:c>
      <x:c r="H4558" t="str">
        <x:v>C</x:v>
      </x:c>
      <x:c r="I4558" t="str">
        <x:v>7-9 years</x:v>
      </x:c>
      <x:c r="J4558" t="str">
        <x:v>MORTGAGE</x:v>
      </x:c>
      <x:c r="K4558" t="str">
        <x:v>other</x:v>
      </x:c>
      <x:c r="L4558" t="n">
        <x:v>0</x:v>
      </x:c>
      <x:c r="M4558" t="n">
        <x:v>0</x:v>
      </x:c>
      <x:c r="N4558" t="str">
        <x:v>Fully Paid</x:v>
      </x:c>
      <x:c r="O4558" t="str">
        <x:f>IF(D4558="","Unknown",IF(D4558&lt;25000,"&lt;$25k",IF(D4558&lt;50000,"$25k-$50k",IF(D4558&lt;75000,"$50k-$75k",IF(D4558&lt;100000,"$75k-$100k","$100k+")))))</x:f>
        <x:v>$100k+</x:v>
      </x:c>
      <x:c r="P4558" t="str">
        <x:f>IF(E4558="","Unknown",IF(E4558&lt;10,"&lt;10",IF(E4558&lt;20,"10-&lt;20",IF(E4558&lt;25,"20-&lt;25",IF(E4558&lt;35,"25-&lt;35","35+")))))</x:f>
        <x:v>25-&lt;35</x:v>
      </x:c>
    </x:row>
    <x:row r="4559">
      <x:c r="A4559" t="str">
        <x:v>SYN0004558</x:v>
      </x:c>
      <x:c r="B4559" s="12" t="n">
        <x:v>42265</x:v>
      </x:c>
      <x:c r="C4559" s="18" t="n">
        <x:v>10723</x:v>
      </x:c>
      <x:c r="D4559" s="18" t="n">
        <x:v>32470</x:v>
      </x:c>
      <x:c r="E4559" s="18" t="n">
        <x:v>13.2</x:v>
      </x:c>
      <x:c r="F4559" s="18" t="n">
        <x:v>6.91</x:v>
      </x:c>
      <x:c r="G4559" t="n">
        <x:v>36</x:v>
      </x:c>
      <x:c r="H4559" t="str">
        <x:v>B</x:v>
      </x:c>
      <x:c r="I4559" t="str">
        <x:v>1-3 years</x:v>
      </x:c>
      <x:c r="J4559" t="str">
        <x:v>RENT</x:v>
      </x:c>
      <x:c r="K4559" t="str">
        <x:v>major_purchase</x:v>
      </x:c>
      <x:c r="L4559" t="n">
        <x:v>0</x:v>
      </x:c>
      <x:c r="M4559" t="n">
        <x:v>0</x:v>
      </x:c>
      <x:c r="N4559" t="str">
        <x:v>Fully Paid</x:v>
      </x:c>
      <x:c r="O4559" t="str">
        <x:f>IF(D4559="","Unknown",IF(D4559&lt;25000,"&lt;$25k",IF(D4559&lt;50000,"$25k-$50k",IF(D4559&lt;75000,"$50k-$75k",IF(D4559&lt;100000,"$75k-$100k","$100k+")))))</x:f>
        <x:v>$25k-$50k</x:v>
      </x:c>
      <x:c r="P4559" t="str">
        <x:f>IF(E4559="","Unknown",IF(E4559&lt;10,"&lt;10",IF(E4559&lt;20,"10-&lt;20",IF(E4559&lt;25,"20-&lt;25",IF(E4559&lt;35,"25-&lt;35","35+")))))</x:f>
        <x:v>10-&lt;20</x:v>
      </x:c>
    </x:row>
    <x:row r="4560">
      <x:c r="A4560" t="str">
        <x:v>SYN0004559</x:v>
      </x:c>
      <x:c r="B4560" s="12" t="n">
        <x:v>42055</x:v>
      </x:c>
      <x:c r="C4560" s="18" t="n">
        <x:v>12357</x:v>
      </x:c>
      <x:c r="D4560" s="18" t="n">
        <x:v>53280</x:v>
      </x:c>
      <x:c r="E4560" s="18" t="n">
        <x:v>10.96</x:v>
      </x:c>
      <x:c r="F4560" s="18" t="n">
        <x:v>11.99</x:v>
      </x:c>
      <x:c r="G4560" t="n">
        <x:v>60</x:v>
      </x:c>
      <x:c r="H4560" t="str">
        <x:v>D</x:v>
      </x:c>
      <x:c r="I4560" t="str">
        <x:v>10+ years</x:v>
      </x:c>
      <x:c r="J4560" t="str">
        <x:v>MORTGAGE</x:v>
      </x:c>
      <x:c r="K4560" t="str">
        <x:v>credit_card</x:v>
      </x:c>
      <x:c r="L4560" t="n">
        <x:v>0</x:v>
      </x:c>
      <x:c r="M4560" t="n">
        <x:v>1</x:v>
      </x:c>
      <x:c r="N4560" t="str">
        <x:v>Charged Off</x:v>
      </x:c>
      <x:c r="O4560" t="str">
        <x:f>IF(D4560="","Unknown",IF(D4560&lt;25000,"&lt;$25k",IF(D4560&lt;50000,"$25k-$50k",IF(D4560&lt;75000,"$50k-$75k",IF(D4560&lt;100000,"$75k-$100k","$100k+")))))</x:f>
        <x:v>$50k-$75k</x:v>
      </x:c>
      <x:c r="P4560" t="str">
        <x:f>IF(E4560="","Unknown",IF(E4560&lt;10,"&lt;10",IF(E4560&lt;20,"10-&lt;20",IF(E4560&lt;25,"20-&lt;25",IF(E4560&lt;35,"25-&lt;35","35+")))))</x:f>
        <x:v>10-&lt;20</x:v>
      </x:c>
    </x:row>
    <x:row r="4561">
      <x:c r="A4561" t="str">
        <x:v>SYN0004560</x:v>
      </x:c>
      <x:c r="B4561" s="12" t="n">
        <x:v>41815</x:v>
      </x:c>
      <x:c r="C4561" s="18" t="n">
        <x:v>11866</x:v>
      </x:c>
      <x:c r="D4561" s="18" t="n">
        <x:v>27649</x:v>
      </x:c>
      <x:c r="E4561" s="18" t="n">
        <x:v>27.16</x:v>
      </x:c>
      <x:c r="F4561" s="18" t="n">
        <x:v>10.07</x:v>
      </x:c>
      <x:c r="G4561" t="n">
        <x:v>36</x:v>
      </x:c>
      <x:c r="H4561" t="str">
        <x:v>B</x:v>
      </x:c>
      <x:c r="I4561" t="str">
        <x:v>7-9 years</x:v>
      </x:c>
      <x:c r="J4561" t="str">
        <x:v>RENT</x:v>
      </x:c>
      <x:c r="K4561" t="str">
        <x:v>debt_consolidation</x:v>
      </x:c>
      <x:c r="L4561" t="n">
        <x:v>1</x:v>
      </x:c>
      <x:c r="M4561" t="n">
        <x:v>0</x:v>
      </x:c>
      <x:c r="N4561" t="str">
        <x:v>Fully Paid</x:v>
      </x:c>
      <x:c r="O4561" t="str">
        <x:f>IF(D4561="","Unknown",IF(D4561&lt;25000,"&lt;$25k",IF(D4561&lt;50000,"$25k-$50k",IF(D4561&lt;75000,"$50k-$75k",IF(D4561&lt;100000,"$75k-$100k","$100k+")))))</x:f>
        <x:v>$25k-$50k</x:v>
      </x:c>
      <x:c r="P4561" t="str">
        <x:f>IF(E4561="","Unknown",IF(E4561&lt;10,"&lt;10",IF(E4561&lt;20,"10-&lt;20",IF(E4561&lt;25,"20-&lt;25",IF(E4561&lt;35,"25-&lt;35","35+")))))</x:f>
        <x:v>25-&lt;35</x:v>
      </x:c>
    </x:row>
    <x:row r="4562">
      <x:c r="A4562" t="str">
        <x:v>SYN0004561</x:v>
      </x:c>
      <x:c r="B4562" s="12" t="n">
        <x:v>41995</x:v>
      </x:c>
      <x:c r="C4562" s="18" t="n">
        <x:v>17469</x:v>
      </x:c>
      <x:c r="D4562" s="18" t="n">
        <x:v>72822</x:v>
      </x:c>
      <x:c r="E4562" s="18" t="n">
        <x:v>12.45</x:v>
      </x:c>
      <x:c r="F4562" s="18" t="n">
        <x:v>7.44</x:v>
      </x:c>
      <x:c r="G4562" t="n">
        <x:v>60</x:v>
      </x:c>
      <x:c r="H4562" t="str">
        <x:v>C</x:v>
      </x:c>
      <x:c r="I4562" t="str">
        <x:v>4-6 years</x:v>
      </x:c>
      <x:c r="J4562" t="str">
        <x:v>MORTGAGE</x:v>
      </x:c>
      <x:c r="K4562" t="str">
        <x:v>home_improvement</x:v>
      </x:c>
      <x:c r="L4562" t="n">
        <x:v>0</x:v>
      </x:c>
      <x:c r="M4562" t="n">
        <x:v>0</x:v>
      </x:c>
      <x:c r="N4562" t="str">
        <x:v>Fully Paid</x:v>
      </x:c>
      <x:c r="O4562" t="str">
        <x:f>IF(D4562="","Unknown",IF(D4562&lt;25000,"&lt;$25k",IF(D4562&lt;50000,"$25k-$50k",IF(D4562&lt;75000,"$50k-$75k",IF(D4562&lt;100000,"$75k-$100k","$100k+")))))</x:f>
        <x:v>$50k-$75k</x:v>
      </x:c>
      <x:c r="P4562" t="str">
        <x:f>IF(E4562="","Unknown",IF(E4562&lt;10,"&lt;10",IF(E4562&lt;20,"10-&lt;20",IF(E4562&lt;25,"20-&lt;25",IF(E4562&lt;35,"25-&lt;35","35+")))))</x:f>
        <x:v>10-&lt;20</x:v>
      </x:c>
    </x:row>
    <x:row r="4563">
      <x:c r="A4563" t="str">
        <x:v>SYN0004562</x:v>
      </x:c>
      <x:c r="B4563" s="12" t="n">
        <x:v>42865</x:v>
      </x:c>
      <x:c r="C4563" s="18" t="n">
        <x:v>15201</x:v>
      </x:c>
      <x:c r="D4563" s="18" t="n">
        <x:v>102282</x:v>
      </x:c>
      <x:c r="E4563" s="18" t="n">
        <x:v>18.8</x:v>
      </x:c>
      <x:c r="F4563" s="18" t="n">
        <x:v>16.21</x:v>
      </x:c>
      <x:c r="G4563" t="n">
        <x:v>60</x:v>
      </x:c>
      <x:c r="H4563" t="str">
        <x:v>D</x:v>
      </x:c>
      <x:c r="I4563" t="str">
        <x:v>7-9 years</x:v>
      </x:c>
      <x:c r="J4563" t="str">
        <x:v>OWN</x:v>
      </x:c>
      <x:c r="K4563" t="str">
        <x:v>debt_consolidation</x:v>
      </x:c>
      <x:c r="L4563" t="n">
        <x:v>1</x:v>
      </x:c>
      <x:c r="M4563" t="n">
        <x:v>0</x:v>
      </x:c>
      <x:c r="N4563" t="str">
        <x:v>Fully Paid</x:v>
      </x:c>
      <x:c r="O4563" t="str">
        <x:f>IF(D4563="","Unknown",IF(D4563&lt;25000,"&lt;$25k",IF(D4563&lt;50000,"$25k-$50k",IF(D4563&lt;75000,"$50k-$75k",IF(D4563&lt;100000,"$75k-$100k","$100k+")))))</x:f>
        <x:v>$100k+</x:v>
      </x:c>
      <x:c r="P4563" t="str">
        <x:f>IF(E4563="","Unknown",IF(E4563&lt;10,"&lt;10",IF(E4563&lt;20,"10-&lt;20",IF(E4563&lt;25,"20-&lt;25",IF(E4563&lt;35,"25-&lt;35","35+")))))</x:f>
        <x:v>10-&lt;20</x:v>
      </x:c>
    </x:row>
    <x:row r="4564">
      <x:c r="A4564" t="str">
        <x:v>SYN0004563</x:v>
      </x:c>
      <x:c r="B4564" s="12" t="n">
        <x:v>42865</x:v>
      </x:c>
      <x:c r="C4564" s="18" t="n">
        <x:v>12540</x:v>
      </x:c>
      <x:c r="D4564" s="18" t="n">
        <x:v>91993</x:v>
      </x:c>
      <x:c r="E4564" s="18" t="n">
        <x:v>32.49</x:v>
      </x:c>
      <x:c r="F4564" s="18" t="n">
        <x:v>5.07</x:v>
      </x:c>
      <x:c r="G4564" t="n">
        <x:v>36</x:v>
      </x:c>
      <x:c r="H4564" t="str">
        <x:v>A</x:v>
      </x:c>
      <x:c r="I4564" t="str">
        <x:v>1-3 years</x:v>
      </x:c>
      <x:c r="J4564" t="str">
        <x:v>OTHER</x:v>
      </x:c>
      <x:c r="K4564" t="str">
        <x:v>major_purchase</x:v>
      </x:c>
      <x:c r="L4564" t="n">
        <x:v>0</x:v>
      </x:c>
      <x:c r="M4564" t="n">
        <x:v>0</x:v>
      </x:c>
      <x:c r="N4564" t="str">
        <x:v>Fully Paid</x:v>
      </x:c>
      <x:c r="O4564" t="str">
        <x:f>IF(D4564="","Unknown",IF(D4564&lt;25000,"&lt;$25k",IF(D4564&lt;50000,"$25k-$50k",IF(D4564&lt;75000,"$50k-$75k",IF(D4564&lt;100000,"$75k-$100k","$100k+")))))</x:f>
        <x:v>$75k-$100k</x:v>
      </x:c>
      <x:c r="P4564" t="str">
        <x:f>IF(E4564="","Unknown",IF(E4564&lt;10,"&lt;10",IF(E4564&lt;20,"10-&lt;20",IF(E4564&lt;25,"20-&lt;25",IF(E4564&lt;35,"25-&lt;35","35+")))))</x:f>
        <x:v>25-&lt;35</x:v>
      </x:c>
    </x:row>
    <x:row r="4565">
      <x:c r="A4565" t="str">
        <x:v>SYN0004564</x:v>
      </x:c>
      <x:c r="B4565" s="12" t="n">
        <x:v>43015</x:v>
      </x:c>
      <x:c r="C4565" s="18" t="n">
        <x:v>7923</x:v>
      </x:c>
      <x:c r="D4565" s="18" t="n">
        <x:v>65656</x:v>
      </x:c>
      <x:c r="E4565" s="18" t="n">
        <x:v>21.46</x:v>
      </x:c>
      <x:c r="F4565" s="18" t="n">
        <x:v>7.99</x:v>
      </x:c>
      <x:c r="G4565" t="n">
        <x:v>36</x:v>
      </x:c>
      <x:c r="H4565" t="str">
        <x:v>B</x:v>
      </x:c>
      <x:c r="I4565" t="str">
        <x:v>7-9 years</x:v>
      </x:c>
      <x:c r="J4565" t="str">
        <x:v>MORTGAGE</x:v>
      </x:c>
      <x:c r="K4565" t="str">
        <x:v>home_improvement</x:v>
      </x:c>
      <x:c r="L4565" t="n">
        <x:v>0</x:v>
      </x:c>
      <x:c r="M4565" t="n">
        <x:v>0</x:v>
      </x:c>
      <x:c r="N4565" t="str">
        <x:v>Fully Paid</x:v>
      </x:c>
      <x:c r="O4565" t="str">
        <x:f>IF(D4565="","Unknown",IF(D4565&lt;25000,"&lt;$25k",IF(D4565&lt;50000,"$25k-$50k",IF(D4565&lt;75000,"$50k-$75k",IF(D4565&lt;100000,"$75k-$100k","$100k+")))))</x:f>
        <x:v>$50k-$75k</x:v>
      </x:c>
      <x:c r="P4565" t="str">
        <x:f>IF(E4565="","Unknown",IF(E4565&lt;10,"&lt;10",IF(E4565&lt;20,"10-&lt;20",IF(E4565&lt;25,"20-&lt;25",IF(E4565&lt;35,"25-&lt;35","35+")))))</x:f>
        <x:v>20-&lt;25</x:v>
      </x:c>
    </x:row>
    <x:row r="4566">
      <x:c r="A4566" t="str">
        <x:v>SYN0004565</x:v>
      </x:c>
      <x:c r="B4566" s="12" t="n">
        <x:v>43285</x:v>
      </x:c>
      <x:c r="C4566" s="18" t="n">
        <x:v>13324</x:v>
      </x:c>
      <x:c r="D4566" s="18" t="n">
        <x:v>86618</x:v>
      </x:c>
      <x:c r="E4566" s="18" t="n">
        <x:v>11.59</x:v>
      </x:c>
      <x:c r="F4566" s="18" t="n">
        <x:v>7.89</x:v>
      </x:c>
      <x:c r="G4566" t="n">
        <x:v>60</x:v>
      </x:c>
      <x:c r="H4566" t="str">
        <x:v>A</x:v>
      </x:c>
      <x:c r="I4566" t="str">
        <x:v>10+ years</x:v>
      </x:c>
      <x:c r="J4566" t="str">
        <x:v>RENT</x:v>
      </x:c>
      <x:c r="K4566" t="str">
        <x:v>debt_consolidation</x:v>
      </x:c>
      <x:c r="L4566" t="n">
        <x:v>0</x:v>
      </x:c>
      <x:c r="M4566" t="n">
        <x:v>0</x:v>
      </x:c>
      <x:c r="N4566" t="str">
        <x:v>Fully Paid</x:v>
      </x:c>
      <x:c r="O4566" t="str">
        <x:f>IF(D4566="","Unknown",IF(D4566&lt;25000,"&lt;$25k",IF(D4566&lt;50000,"$25k-$50k",IF(D4566&lt;75000,"$50k-$75k",IF(D4566&lt;100000,"$75k-$100k","$100k+")))))</x:f>
        <x:v>$75k-$100k</x:v>
      </x:c>
      <x:c r="P4566" t="str">
        <x:f>IF(E4566="","Unknown",IF(E4566&lt;10,"&lt;10",IF(E4566&lt;20,"10-&lt;20",IF(E4566&lt;25,"20-&lt;25",IF(E4566&lt;35,"25-&lt;35","35+")))))</x:f>
        <x:v>10-&lt;20</x:v>
      </x:c>
    </x:row>
    <x:row r="4567">
      <x:c r="A4567" t="str">
        <x:v>SYN0004566</x:v>
      </x:c>
      <x:c r="B4567" s="12" t="n">
        <x:v>42385</x:v>
      </x:c>
      <x:c r="C4567" s="18" t="n">
        <x:v>18995</x:v>
      </x:c>
      <x:c r="D4567" s="18" t="n">
        <x:v>121973</x:v>
      </x:c>
      <x:c r="E4567" s="18" t="n">
        <x:v>5.17</x:v>
      </x:c>
      <x:c r="F4567" s="18" t="n">
        <x:v>7.46</x:v>
      </x:c>
      <x:c r="G4567" t="n">
        <x:v>36</x:v>
      </x:c>
      <x:c r="H4567" t="str">
        <x:v>B</x:v>
      </x:c>
      <x:c r="I4567" t="str">
        <x:v>10+ years</x:v>
      </x:c>
      <x:c r="J4567" t="str">
        <x:v>OTHER</x:v>
      </x:c>
      <x:c r="K4567" t="str">
        <x:v>home_improvement</x:v>
      </x:c>
      <x:c r="L4567" t="n">
        <x:v>1</x:v>
      </x:c>
      <x:c r="M4567" t="n">
        <x:v>0</x:v>
      </x:c>
      <x:c r="N4567" t="str">
        <x:v>Fully Paid</x:v>
      </x:c>
      <x:c r="O4567" t="str">
        <x:f>IF(D4567="","Unknown",IF(D4567&lt;25000,"&lt;$25k",IF(D4567&lt;50000,"$25k-$50k",IF(D4567&lt;75000,"$50k-$75k",IF(D4567&lt;100000,"$75k-$100k","$100k+")))))</x:f>
        <x:v>$100k+</x:v>
      </x:c>
      <x:c r="P4567" t="str">
        <x:f>IF(E4567="","Unknown",IF(E4567&lt;10,"&lt;10",IF(E4567&lt;20,"10-&lt;20",IF(E4567&lt;25,"20-&lt;25",IF(E4567&lt;35,"25-&lt;35","35+")))))</x:f>
        <x:v>&lt;10</x:v>
      </x:c>
    </x:row>
    <x:row r="4568">
      <x:c r="A4568" t="str">
        <x:v>SYN0004567</x:v>
      </x:c>
      <x:c r="B4568" s="12" t="n">
        <x:v>42235</x:v>
      </x:c>
      <x:c r="C4568" s="18" t="n">
        <x:v>20688</x:v>
      </x:c>
      <x:c r="D4568" s="18" t="n">
        <x:v>58244</x:v>
      </x:c>
      <x:c r="E4568" s="18" t="n">
        <x:v>13.21</x:v>
      </x:c>
      <x:c r="F4568" s="18" t="n">
        <x:v>8.5</x:v>
      </x:c>
      <x:c r="G4568" t="n">
        <x:v>36</x:v>
      </x:c>
      <x:c r="H4568" t="str">
        <x:v>B</x:v>
      </x:c>
      <x:c r="I4568" t="str">
        <x:v>7-9 years</x:v>
      </x:c>
      <x:c r="J4568" t="str">
        <x:v>MORTGAGE</x:v>
      </x:c>
      <x:c r="K4568" t="str">
        <x:v>credit_card</x:v>
      </x:c>
      <x:c r="L4568" t="n">
        <x:v>0</x:v>
      </x:c>
      <x:c r="M4568" t="n">
        <x:v>0</x:v>
      </x:c>
      <x:c r="N4568" t="str">
        <x:v>Fully Paid</x:v>
      </x:c>
      <x:c r="O4568" t="str">
        <x:f>IF(D4568="","Unknown",IF(D4568&lt;25000,"&lt;$25k",IF(D4568&lt;50000,"$25k-$50k",IF(D4568&lt;75000,"$50k-$75k",IF(D4568&lt;100000,"$75k-$100k","$100k+")))))</x:f>
        <x:v>$50k-$75k</x:v>
      </x:c>
      <x:c r="P4568" t="str">
        <x:f>IF(E4568="","Unknown",IF(E4568&lt;10,"&lt;10",IF(E4568&lt;20,"10-&lt;20",IF(E4568&lt;25,"20-&lt;25",IF(E4568&lt;35,"25-&lt;35","35+")))))</x:f>
        <x:v>10-&lt;20</x:v>
      </x:c>
    </x:row>
    <x:row r="4569">
      <x:c r="A4569" t="str">
        <x:v>SYN0004568</x:v>
      </x:c>
      <x:c r="B4569" s="12" t="n">
        <x:v>43405</x:v>
      </x:c>
      <x:c r="C4569" s="18" t="n">
        <x:v>6354</x:v>
      </x:c>
      <x:c r="D4569" s="18" t="n">
        <x:v>140738</x:v>
      </x:c>
      <x:c r="E4569" s="18" t="n">
        <x:v>11.56</x:v>
      </x:c>
      <x:c r="F4569" s="18" t="n">
        <x:v>23.54</x:v>
      </x:c>
      <x:c r="G4569" t="n">
        <x:v>60</x:v>
      </x:c>
      <x:c r="H4569" t="str">
        <x:v>F</x:v>
      </x:c>
      <x:c r="I4569" t="str">
        <x:v>1-3 years</x:v>
      </x:c>
      <x:c r="J4569" t="str">
        <x:v>RENT</x:v>
      </x:c>
      <x:c r="K4569" t="str">
        <x:v>debt_consolidation</x:v>
      </x:c>
      <x:c r="L4569" t="n">
        <x:v>0</x:v>
      </x:c>
      <x:c r="M4569" t="n">
        <x:v>1</x:v>
      </x:c>
      <x:c r="N4569" t="str">
        <x:v>Charged Off</x:v>
      </x:c>
      <x:c r="O4569" t="str">
        <x:f>IF(D4569="","Unknown",IF(D4569&lt;25000,"&lt;$25k",IF(D4569&lt;50000,"$25k-$50k",IF(D4569&lt;75000,"$50k-$75k",IF(D4569&lt;100000,"$75k-$100k","$100k+")))))</x:f>
        <x:v>$100k+</x:v>
      </x:c>
      <x:c r="P4569" t="str">
        <x:f>IF(E4569="","Unknown",IF(E4569&lt;10,"&lt;10",IF(E4569&lt;20,"10-&lt;20",IF(E4569&lt;25,"20-&lt;25",IF(E4569&lt;35,"25-&lt;35","35+")))))</x:f>
        <x:v>10-&lt;20</x:v>
      </x:c>
    </x:row>
    <x:row r="4570">
      <x:c r="A4570" t="str">
        <x:v>SYN0004569</x:v>
      </x:c>
      <x:c r="B4570" s="12" t="n">
        <x:v>42745</x:v>
      </x:c>
      <x:c r="C4570" s="18" t="n">
        <x:v>6266</x:v>
      </x:c>
      <x:c r="D4570" s="18" t="n">
        <x:v>26077</x:v>
      </x:c>
      <x:c r="E4570" s="18" t="n">
        <x:v>24.65</x:v>
      </x:c>
      <x:c r="F4570" s="18" t="n">
        <x:v>9.23</x:v>
      </x:c>
      <x:c r="G4570" t="n">
        <x:v>60</x:v>
      </x:c>
      <x:c r="H4570" t="str">
        <x:v>B</x:v>
      </x:c>
      <x:c r="I4570" t="str">
        <x:v>7-9 years</x:v>
      </x:c>
      <x:c r="J4570" t="str">
        <x:v>OTHER</x:v>
      </x:c>
      <x:c r="K4570" t="str">
        <x:v>credit_card</x:v>
      </x:c>
      <x:c r="L4570" t="n">
        <x:v>1</x:v>
      </x:c>
      <x:c r="M4570" t="n">
        <x:v>0</x:v>
      </x:c>
      <x:c r="N4570" t="str">
        <x:v>Fully Paid</x:v>
      </x:c>
      <x:c r="O4570" t="str">
        <x:f>IF(D4570="","Unknown",IF(D4570&lt;25000,"&lt;$25k",IF(D4570&lt;50000,"$25k-$50k",IF(D4570&lt;75000,"$50k-$75k",IF(D4570&lt;100000,"$75k-$100k","$100k+")))))</x:f>
        <x:v>$25k-$50k</x:v>
      </x:c>
      <x:c r="P4570" t="str">
        <x:f>IF(E4570="","Unknown",IF(E4570&lt;10,"&lt;10",IF(E4570&lt;20,"10-&lt;20",IF(E4570&lt;25,"20-&lt;25",IF(E4570&lt;35,"25-&lt;35","35+")))))</x:f>
        <x:v>20-&lt;25</x:v>
      </x:c>
    </x:row>
    <x:row r="4571">
      <x:c r="A4571" t="str">
        <x:v>SYN0004570</x:v>
      </x:c>
      <x:c r="B4571" s="12" t="n">
        <x:v>41725</x:v>
      </x:c>
      <x:c r="C4571" s="18" t="n">
        <x:v>17472</x:v>
      </x:c>
      <x:c r="D4571" s="18" t="n">
        <x:v>55668</x:v>
      </x:c>
      <x:c r="E4571" s="18" t="n">
        <x:v>19.5</x:v>
      </x:c>
      <x:c r="F4571" s="18" t="n">
        <x:v>18.64</x:v>
      </x:c>
      <x:c r="G4571" t="n">
        <x:v>36</x:v>
      </x:c>
      <x:c r="H4571" t="str">
        <x:v>E</x:v>
      </x:c>
      <x:c r="I4571" t="str">
        <x:v>10+ years</x:v>
      </x:c>
      <x:c r="J4571" t="str">
        <x:v>MORTGAGE</x:v>
      </x:c>
      <x:c r="K4571" t="str">
        <x:v>medical</x:v>
      </x:c>
      <x:c r="L4571" t="n">
        <x:v>1</x:v>
      </x:c>
      <x:c r="M4571" t="n">
        <x:v>0</x:v>
      </x:c>
      <x:c r="N4571" t="str">
        <x:v>Fully Paid</x:v>
      </x:c>
      <x:c r="O4571" t="str">
        <x:f>IF(D4571="","Unknown",IF(D4571&lt;25000,"&lt;$25k",IF(D4571&lt;50000,"$25k-$50k",IF(D4571&lt;75000,"$50k-$75k",IF(D4571&lt;100000,"$75k-$100k","$100k+")))))</x:f>
        <x:v>$50k-$75k</x:v>
      </x:c>
      <x:c r="P4571" t="str">
        <x:f>IF(E4571="","Unknown",IF(E4571&lt;10,"&lt;10",IF(E4571&lt;20,"10-&lt;20",IF(E4571&lt;25,"20-&lt;25",IF(E4571&lt;35,"25-&lt;35","35+")))))</x:f>
        <x:v>10-&lt;20</x:v>
      </x:c>
    </x:row>
    <x:row r="4572">
      <x:c r="A4572" t="str">
        <x:v>SYN0004571</x:v>
      </x:c>
      <x:c r="B4572" s="12" t="n">
        <x:v>42715</x:v>
      </x:c>
      <x:c r="C4572" s="18" t="n">
        <x:v>16088</x:v>
      </x:c>
      <x:c r="D4572" s="18" t="n">
        <x:v>34786</x:v>
      </x:c>
      <x:c r="E4572" s="18" t="n">
        <x:v>19.03</x:v>
      </x:c>
      <x:c r="F4572" s="18" t="n">
        <x:v>17.55</x:v>
      </x:c>
      <x:c r="G4572" t="n">
        <x:v>36</x:v>
      </x:c>
      <x:c r="H4572" t="str">
        <x:v>E</x:v>
      </x:c>
      <x:c r="I4572" t="str">
        <x:v>1-3 years</x:v>
      </x:c>
      <x:c r="J4572" t="str">
        <x:v>OWN</x:v>
      </x:c>
      <x:c r="K4572" t="str">
        <x:v>debt_consolidation</x:v>
      </x:c>
      <x:c r="L4572" t="n">
        <x:v>0</x:v>
      </x:c>
      <x:c r="M4572" t="n">
        <x:v>0</x:v>
      </x:c>
      <x:c r="N4572" t="str">
        <x:v>Fully Paid</x:v>
      </x:c>
      <x:c r="O4572" t="str">
        <x:f>IF(D4572="","Unknown",IF(D4572&lt;25000,"&lt;$25k",IF(D4572&lt;50000,"$25k-$50k",IF(D4572&lt;75000,"$50k-$75k",IF(D4572&lt;100000,"$75k-$100k","$100k+")))))</x:f>
        <x:v>$25k-$50k</x:v>
      </x:c>
      <x:c r="P4572" t="str">
        <x:f>IF(E4572="","Unknown",IF(E4572&lt;10,"&lt;10",IF(E4572&lt;20,"10-&lt;20",IF(E4572&lt;25,"20-&lt;25",IF(E4572&lt;35,"25-&lt;35","35+")))))</x:f>
        <x:v>10-&lt;20</x:v>
      </x:c>
    </x:row>
    <x:row r="4573">
      <x:c r="A4573" t="str">
        <x:v>SYN0004572</x:v>
      </x:c>
      <x:c r="B4573" s="12" t="n">
        <x:v>41575</x:v>
      </x:c>
      <x:c r="C4573" s="18" t="n">
        <x:v>15647</x:v>
      </x:c>
      <x:c r="D4573" s="18" t="n">
        <x:v>63359</x:v>
      </x:c>
      <x:c r="E4573" s="18" t="n">
        <x:v>35.51</x:v>
      </x:c>
      <x:c r="F4573" s="18" t="n">
        <x:v>23.95</x:v>
      </x:c>
      <x:c r="G4573" t="n">
        <x:v>60</x:v>
      </x:c>
      <x:c r="H4573" t="str">
        <x:v>F</x:v>
      </x:c>
      <x:c r="I4573" t="str">
        <x:v>1-3 years</x:v>
      </x:c>
      <x:c r="J4573" t="str">
        <x:v>OWN</x:v>
      </x:c>
      <x:c r="K4573" t="str">
        <x:v>debt_consolidation</x:v>
      </x:c>
      <x:c r="L4573" t="n">
        <x:v>0</x:v>
      </x:c>
      <x:c r="M4573" t="n">
        <x:v>1</x:v>
      </x:c>
      <x:c r="N4573" t="str">
        <x:v>Charged Off</x:v>
      </x:c>
      <x:c r="O4573" t="str">
        <x:f>IF(D4573="","Unknown",IF(D4573&lt;25000,"&lt;$25k",IF(D4573&lt;50000,"$25k-$50k",IF(D4573&lt;75000,"$50k-$75k",IF(D4573&lt;100000,"$75k-$100k","$100k+")))))</x:f>
        <x:v>$50k-$75k</x:v>
      </x:c>
      <x:c r="P4573" t="str">
        <x:f>IF(E4573="","Unknown",IF(E4573&lt;10,"&lt;10",IF(E4573&lt;20,"10-&lt;20",IF(E4573&lt;25,"20-&lt;25",IF(E4573&lt;35,"25-&lt;35","35+")))))</x:f>
        <x:v>35+</x:v>
      </x:c>
    </x:row>
    <x:row r="4574">
      <x:c r="A4574" t="str">
        <x:v>SYN0004573</x:v>
      </x:c>
      <x:c r="B4574" s="12" t="n">
        <x:v>41995</x:v>
      </x:c>
      <x:c r="C4574" s="18" t="n">
        <x:v>15420</x:v>
      </x:c>
      <x:c r="D4574" s="18" t="n">
        <x:v>55424</x:v>
      </x:c>
      <x:c r="E4574" s="18" t="n">
        <x:v>32.48</x:v>
      </x:c>
      <x:c r="F4574" s="18" t="n">
        <x:v>10.06</x:v>
      </x:c>
      <x:c r="G4574" t="n">
        <x:v>36</x:v>
      </x:c>
      <x:c r="H4574" t="str">
        <x:v>C</x:v>
      </x:c>
      <x:c r="I4574" t="str">
        <x:v>4-6 years</x:v>
      </x:c>
      <x:c r="J4574" t="str">
        <x:v>MORTGAGE</x:v>
      </x:c>
      <x:c r="K4574" t="str">
        <x:v>debt_consolidation</x:v>
      </x:c>
      <x:c r="L4574" t="n">
        <x:v>0</x:v>
      </x:c>
      <x:c r="M4574" t="n">
        <x:v>0</x:v>
      </x:c>
      <x:c r="N4574" t="str">
        <x:v>Fully Paid</x:v>
      </x:c>
      <x:c r="O4574" t="str">
        <x:f>IF(D4574="","Unknown",IF(D4574&lt;25000,"&lt;$25k",IF(D4574&lt;50000,"$25k-$50k",IF(D4574&lt;75000,"$50k-$75k",IF(D4574&lt;100000,"$75k-$100k","$100k+")))))</x:f>
        <x:v>$50k-$75k</x:v>
      </x:c>
      <x:c r="P4574" t="str">
        <x:f>IF(E4574="","Unknown",IF(E4574&lt;10,"&lt;10",IF(E4574&lt;20,"10-&lt;20",IF(E4574&lt;25,"20-&lt;25",IF(E4574&lt;35,"25-&lt;35","35+")))))</x:f>
        <x:v>25-&lt;35</x:v>
      </x:c>
    </x:row>
    <x:row r="4575">
      <x:c r="A4575" t="str">
        <x:v>SYN0004574</x:v>
      </x:c>
      <x:c r="B4575" s="12" t="n">
        <x:v>42895</x:v>
      </x:c>
      <x:c r="C4575" s="18" t="n">
        <x:v>11168</x:v>
      </x:c>
      <x:c r="D4575" s="18" t="n">
        <x:v>52582</x:v>
      </x:c>
      <x:c r="E4575" s="18" t="n">
        <x:v>6.57</x:v>
      </x:c>
      <x:c r="F4575" s="18" t="n">
        <x:v>13.02</x:v>
      </x:c>
      <x:c r="G4575" t="n">
        <x:v>60</x:v>
      </x:c>
      <x:c r="H4575" t="str">
        <x:v>D</x:v>
      </x:c>
      <x:c r="I4575" t="str">
        <x:v>&lt;1 year</x:v>
      </x:c>
      <x:c r="J4575" t="str">
        <x:v>OWN</x:v>
      </x:c>
      <x:c r="K4575" t="str">
        <x:v>debt_consolidation</x:v>
      </x:c>
      <x:c r="L4575" t="n">
        <x:v>0</x:v>
      </x:c>
      <x:c r="M4575" t="n">
        <x:v>0</x:v>
      </x:c>
      <x:c r="N4575" t="str">
        <x:v>Fully Paid</x:v>
      </x:c>
      <x:c r="O4575" t="str">
        <x:f>IF(D4575="","Unknown",IF(D4575&lt;25000,"&lt;$25k",IF(D4575&lt;50000,"$25k-$50k",IF(D4575&lt;75000,"$50k-$75k",IF(D4575&lt;100000,"$75k-$100k","$100k+")))))</x:f>
        <x:v>$50k-$75k</x:v>
      </x:c>
      <x:c r="P4575" t="str">
        <x:f>IF(E4575="","Unknown",IF(E4575&lt;10,"&lt;10",IF(E4575&lt;20,"10-&lt;20",IF(E4575&lt;25,"20-&lt;25",IF(E4575&lt;35,"25-&lt;35","35+")))))</x:f>
        <x:v>&lt;10</x:v>
      </x:c>
    </x:row>
    <x:row r="4576">
      <x:c r="A4576" t="str">
        <x:v>SYN0004575</x:v>
      </x:c>
      <x:c r="B4576" s="12" t="n">
        <x:v>43105</x:v>
      </x:c>
      <x:c r="C4576" s="18" t="n">
        <x:v>20419</x:v>
      </x:c>
      <x:c r="D4576" s="18" t="n">
        <x:v>78766</x:v>
      </x:c>
      <x:c r="E4576" s="18" t="n">
        <x:v>26.78</x:v>
      </x:c>
      <x:c r="F4576" s="18" t="n">
        <x:v>12.11</x:v>
      </x:c>
      <x:c r="G4576" t="n">
        <x:v>36</x:v>
      </x:c>
      <x:c r="H4576" t="str">
        <x:v>D</x:v>
      </x:c>
      <x:c r="I4576" t="str">
        <x:v>7-9 years</x:v>
      </x:c>
      <x:c r="J4576" t="str">
        <x:v>RENT</x:v>
      </x:c>
      <x:c r="K4576" t="str">
        <x:v>debt_consolidation</x:v>
      </x:c>
      <x:c r="L4576" t="n">
        <x:v>1</x:v>
      </x:c>
      <x:c r="M4576" t="n">
        <x:v>0</x:v>
      </x:c>
      <x:c r="N4576" t="str">
        <x:v>Fully Paid</x:v>
      </x:c>
      <x:c r="O4576" t="str">
        <x:f>IF(D4576="","Unknown",IF(D4576&lt;25000,"&lt;$25k",IF(D4576&lt;50000,"$25k-$50k",IF(D4576&lt;75000,"$50k-$75k",IF(D4576&lt;100000,"$75k-$100k","$100k+")))))</x:f>
        <x:v>$75k-$100k</x:v>
      </x:c>
      <x:c r="P4576" t="str">
        <x:f>IF(E4576="","Unknown",IF(E4576&lt;10,"&lt;10",IF(E4576&lt;20,"10-&lt;20",IF(E4576&lt;25,"20-&lt;25",IF(E4576&lt;35,"25-&lt;35","35+")))))</x:f>
        <x:v>25-&lt;35</x:v>
      </x:c>
    </x:row>
    <x:row r="4577">
      <x:c r="A4577" t="str">
        <x:v>SYN0004576</x:v>
      </x:c>
      <x:c r="B4577" s="12" t="n">
        <x:v>41365</x:v>
      </x:c>
      <x:c r="C4577" s="18" t="n">
        <x:v>24817</x:v>
      </x:c>
      <x:c r="D4577" s="18" t="n">
        <x:v>103432</x:v>
      </x:c>
      <x:c r="E4577" s="18" t="n">
        <x:v>13.58</x:v>
      </x:c>
      <x:c r="F4577" s="18" t="n">
        <x:v>15.56</x:v>
      </x:c>
      <x:c r="G4577" t="n">
        <x:v>36</x:v>
      </x:c>
      <x:c r="H4577" t="str">
        <x:v>E</x:v>
      </x:c>
      <x:c r="I4577" t="str">
        <x:v>&lt;1 year</x:v>
      </x:c>
      <x:c r="J4577" t="str">
        <x:v>MORTGAGE</x:v>
      </x:c>
      <x:c r="K4577" t="str">
        <x:v>debt_consolidation</x:v>
      </x:c>
      <x:c r="L4577" t="n">
        <x:v>0</x:v>
      </x:c>
      <x:c r="M4577" t="n">
        <x:v>0</x:v>
      </x:c>
      <x:c r="N4577" t="str">
        <x:v>Fully Paid</x:v>
      </x:c>
      <x:c r="O4577" t="str">
        <x:f>IF(D4577="","Unknown",IF(D4577&lt;25000,"&lt;$25k",IF(D4577&lt;50000,"$25k-$50k",IF(D4577&lt;75000,"$50k-$75k",IF(D4577&lt;100000,"$75k-$100k","$100k+")))))</x:f>
        <x:v>$100k+</x:v>
      </x:c>
      <x:c r="P4577" t="str">
        <x:f>IF(E4577="","Unknown",IF(E4577&lt;10,"&lt;10",IF(E4577&lt;20,"10-&lt;20",IF(E4577&lt;25,"20-&lt;25",IF(E4577&lt;35,"25-&lt;35","35+")))))</x:f>
        <x:v>10-&lt;20</x:v>
      </x:c>
    </x:row>
    <x:row r="4578">
      <x:c r="A4578" t="str">
        <x:v>SYN0004577</x:v>
      </x:c>
      <x:c r="B4578" s="12" t="n">
        <x:v>41725</x:v>
      </x:c>
      <x:c r="C4578" s="18" t="n">
        <x:v>11560</x:v>
      </x:c>
      <x:c r="D4578" s="18" t="n">
        <x:v>42511</x:v>
      </x:c>
      <x:c r="E4578" s="18" t="n">
        <x:v>26.28</x:v>
      </x:c>
      <x:c r="F4578" s="18" t="n">
        <x:v>8.67</x:v>
      </x:c>
      <x:c r="G4578" t="n">
        <x:v>36</x:v>
      </x:c>
      <x:c r="H4578" t="str">
        <x:v>A</x:v>
      </x:c>
      <x:c r="I4578" t="str">
        <x:v>1-3 years</x:v>
      </x:c>
      <x:c r="J4578" t="str">
        <x:v>RENT</x:v>
      </x:c>
      <x:c r="K4578" t="str">
        <x:v>debt_consolidation</x:v>
      </x:c>
      <x:c r="L4578" t="n">
        <x:v>0</x:v>
      </x:c>
      <x:c r="M4578" t="n">
        <x:v>0</x:v>
      </x:c>
      <x:c r="N4578" t="str">
        <x:v>Fully Paid</x:v>
      </x:c>
      <x:c r="O4578" t="str">
        <x:f>IF(D4578="","Unknown",IF(D4578&lt;25000,"&lt;$25k",IF(D4578&lt;50000,"$25k-$50k",IF(D4578&lt;75000,"$50k-$75k",IF(D4578&lt;100000,"$75k-$100k","$100k+")))))</x:f>
        <x:v>$25k-$50k</x:v>
      </x:c>
      <x:c r="P4578" t="str">
        <x:f>IF(E4578="","Unknown",IF(E4578&lt;10,"&lt;10",IF(E4578&lt;20,"10-&lt;20",IF(E4578&lt;25,"20-&lt;25",IF(E4578&lt;35,"25-&lt;35","35+")))))</x:f>
        <x:v>25-&lt;35</x:v>
      </x:c>
    </x:row>
    <x:row r="4579">
      <x:c r="A4579" t="str">
        <x:v>SYN0004578</x:v>
      </x:c>
      <x:c r="B4579" s="12" t="n">
        <x:v>42055</x:v>
      </x:c>
      <x:c r="C4579" s="18" t="n">
        <x:v>7838</x:v>
      </x:c>
      <x:c r="D4579" s="18" t="n">
        <x:v>142250</x:v>
      </x:c>
      <x:c r="E4579" s="18" t="n">
        <x:v>23.01</x:v>
      </x:c>
      <x:c r="F4579" s="18" t="n">
        <x:v>5.72</x:v>
      </x:c>
      <x:c r="G4579" t="n">
        <x:v>36</x:v>
      </x:c>
      <x:c r="H4579" t="str">
        <x:v>A</x:v>
      </x:c>
      <x:c r="I4579" t="str">
        <x:v>7-9 years</x:v>
      </x:c>
      <x:c r="J4579" t="str">
        <x:v>MORTGAGE</x:v>
      </x:c>
      <x:c r="K4579" t="str">
        <x:v>credit_card</x:v>
      </x:c>
      <x:c r="L4579" t="n">
        <x:v>0</x:v>
      </x:c>
      <x:c r="M4579" t="n">
        <x:v>0</x:v>
      </x:c>
      <x:c r="N4579" t="str">
        <x:v>Fully Paid</x:v>
      </x:c>
      <x:c r="O4579" t="str">
        <x:f>IF(D4579="","Unknown",IF(D4579&lt;25000,"&lt;$25k",IF(D4579&lt;50000,"$25k-$50k",IF(D4579&lt;75000,"$50k-$75k",IF(D4579&lt;100000,"$75k-$100k","$100k+")))))</x:f>
        <x:v>$100k+</x:v>
      </x:c>
      <x:c r="P4579" t="str">
        <x:f>IF(E4579="","Unknown",IF(E4579&lt;10,"&lt;10",IF(E4579&lt;20,"10-&lt;20",IF(E4579&lt;25,"20-&lt;25",IF(E4579&lt;35,"25-&lt;35","35+")))))</x:f>
        <x:v>20-&lt;25</x:v>
      </x:c>
    </x:row>
    <x:row r="4580">
      <x:c r="A4580" t="str">
        <x:v>SYN0004579</x:v>
      </x:c>
      <x:c r="B4580" s="12" t="n">
        <x:v>42565</x:v>
      </x:c>
      <x:c r="C4580" s="18" t="n">
        <x:v>7953</x:v>
      </x:c>
      <x:c r="D4580" s="18" t="n">
        <x:v>25610</x:v>
      </x:c>
      <x:c r="E4580" s="18" t="n">
        <x:v>21.03</x:v>
      </x:c>
      <x:c r="F4580" s="18" t="n">
        <x:v>14.23</x:v>
      </x:c>
      <x:c r="G4580" t="n">
        <x:v>36</x:v>
      </x:c>
      <x:c r="H4580" t="str">
        <x:v>D</x:v>
      </x:c>
      <x:c r="I4580" t="str">
        <x:v>4-6 years</x:v>
      </x:c>
      <x:c r="J4580" t="str">
        <x:v>RENT</x:v>
      </x:c>
      <x:c r="K4580" t="str">
        <x:v>home_improvement</x:v>
      </x:c>
      <x:c r="L4580" t="n">
        <x:v>1</x:v>
      </x:c>
      <x:c r="M4580" t="n">
        <x:v>0</x:v>
      </x:c>
      <x:c r="N4580" t="str">
        <x:v>Fully Paid</x:v>
      </x:c>
      <x:c r="O4580" t="str">
        <x:f>IF(D4580="","Unknown",IF(D4580&lt;25000,"&lt;$25k",IF(D4580&lt;50000,"$25k-$50k",IF(D4580&lt;75000,"$50k-$75k",IF(D4580&lt;100000,"$75k-$100k","$100k+")))))</x:f>
        <x:v>$25k-$50k</x:v>
      </x:c>
      <x:c r="P4580" t="str">
        <x:f>IF(E4580="","Unknown",IF(E4580&lt;10,"&lt;10",IF(E4580&lt;20,"10-&lt;20",IF(E4580&lt;25,"20-&lt;25",IF(E4580&lt;35,"25-&lt;35","35+")))))</x:f>
        <x:v>20-&lt;25</x:v>
      </x:c>
    </x:row>
    <x:row r="4581">
      <x:c r="A4581" t="str">
        <x:v>SYN0004580</x:v>
      </x:c>
      <x:c r="B4581" s="12" t="n">
        <x:v>41785</x:v>
      </x:c>
      <x:c r="C4581" s="18" t="n">
        <x:v>16244</x:v>
      </x:c>
      <x:c r="D4581" s="18" t="n">
        <x:v>67186</x:v>
      </x:c>
      <x:c r="E4581" s="18" t="n">
        <x:v>22.36</x:v>
      </x:c>
      <x:c r="F4581" s="18" t="n">
        <x:v>11.6</x:v>
      </x:c>
      <x:c r="G4581" t="n">
        <x:v>36</x:v>
      </x:c>
      <x:c r="H4581" t="str">
        <x:v>C</x:v>
      </x:c>
      <x:c r="I4581" t="str">
        <x:v>4-6 years</x:v>
      </x:c>
      <x:c r="J4581" t="str">
        <x:v>OWN</x:v>
      </x:c>
      <x:c r="K4581" t="str">
        <x:v>home_improvement</x:v>
      </x:c>
      <x:c r="L4581" t="n">
        <x:v>0</x:v>
      </x:c>
      <x:c r="M4581" t="n">
        <x:v>0</x:v>
      </x:c>
      <x:c r="N4581" t="str">
        <x:v>Fully Paid</x:v>
      </x:c>
      <x:c r="O4581" t="str">
        <x:f>IF(D4581="","Unknown",IF(D4581&lt;25000,"&lt;$25k",IF(D4581&lt;50000,"$25k-$50k",IF(D4581&lt;75000,"$50k-$75k",IF(D4581&lt;100000,"$75k-$100k","$100k+")))))</x:f>
        <x:v>$50k-$75k</x:v>
      </x:c>
      <x:c r="P4581" t="str">
        <x:f>IF(E4581="","Unknown",IF(E4581&lt;10,"&lt;10",IF(E4581&lt;20,"10-&lt;20",IF(E4581&lt;25,"20-&lt;25",IF(E4581&lt;35,"25-&lt;35","35+")))))</x:f>
        <x:v>20-&lt;25</x:v>
      </x:c>
    </x:row>
    <x:row r="4582">
      <x:c r="A4582" t="str">
        <x:v>SYN0004581</x:v>
      </x:c>
      <x:c r="B4582" s="12" t="n">
        <x:v>42925</x:v>
      </x:c>
      <x:c r="C4582" s="18" t="n">
        <x:v>6785</x:v>
      </x:c>
      <x:c r="D4582" s="18" t="n">
        <x:v>38334</x:v>
      </x:c>
      <x:c r="E4582" s="18" t="n">
        <x:v>13.41</x:v>
      </x:c>
      <x:c r="F4582" s="18" t="n">
        <x:v>18.3</x:v>
      </x:c>
      <x:c r="G4582" t="n">
        <x:v>36</x:v>
      </x:c>
      <x:c r="H4582" t="str">
        <x:v>F</x:v>
      </x:c>
      <x:c r="I4582" t="str">
        <x:v>7-9 years</x:v>
      </x:c>
      <x:c r="J4582" t="str">
        <x:v>RENT</x:v>
      </x:c>
      <x:c r="K4582" t="str">
        <x:v>debt_consolidation</x:v>
      </x:c>
      <x:c r="L4582" t="n">
        <x:v>1</x:v>
      </x:c>
      <x:c r="M4582" t="n">
        <x:v>0</x:v>
      </x:c>
      <x:c r="N4582" t="str">
        <x:v>Fully Paid</x:v>
      </x:c>
      <x:c r="O4582" t="str">
        <x:f>IF(D4582="","Unknown",IF(D4582&lt;25000,"&lt;$25k",IF(D4582&lt;50000,"$25k-$50k",IF(D4582&lt;75000,"$50k-$75k",IF(D4582&lt;100000,"$75k-$100k","$100k+")))))</x:f>
        <x:v>$25k-$50k</x:v>
      </x:c>
      <x:c r="P4582" t="str">
        <x:f>IF(E4582="","Unknown",IF(E4582&lt;10,"&lt;10",IF(E4582&lt;20,"10-&lt;20",IF(E4582&lt;25,"20-&lt;25",IF(E4582&lt;35,"25-&lt;35","35+")))))</x:f>
        <x:v>10-&lt;20</x:v>
      </x:c>
    </x:row>
    <x:row r="4583">
      <x:c r="A4583" t="str">
        <x:v>SYN0004582</x:v>
      </x:c>
      <x:c r="B4583" s="12" t="n">
        <x:v>42775</x:v>
      </x:c>
      <x:c r="C4583" s="18" t="n">
        <x:v>9146</x:v>
      </x:c>
      <x:c r="D4583" s="18" t="n">
        <x:v>85353</x:v>
      </x:c>
      <x:c r="E4583" s="18" t="n">
        <x:v>15.15</x:v>
      </x:c>
      <x:c r="F4583" s="18" t="n">
        <x:v>5</x:v>
      </x:c>
      <x:c r="G4583" t="n">
        <x:v>36</x:v>
      </x:c>
      <x:c r="H4583" t="str">
        <x:v>B</x:v>
      </x:c>
      <x:c r="I4583" t="str">
        <x:v>&lt;1 year</x:v>
      </x:c>
      <x:c r="J4583" t="str">
        <x:v>MORTGAGE</x:v>
      </x:c>
      <x:c r="K4583" t="str">
        <x:v>debt_consolidation</x:v>
      </x:c>
      <x:c r="L4583" t="n">
        <x:v>0</x:v>
      </x:c>
      <x:c r="M4583" t="n">
        <x:v>0</x:v>
      </x:c>
      <x:c r="N4583" t="str">
        <x:v>Fully Paid</x:v>
      </x:c>
      <x:c r="O4583" t="str">
        <x:f>IF(D4583="","Unknown",IF(D4583&lt;25000,"&lt;$25k",IF(D4583&lt;50000,"$25k-$50k",IF(D4583&lt;75000,"$50k-$75k",IF(D4583&lt;100000,"$75k-$100k","$100k+")))))</x:f>
        <x:v>$75k-$100k</x:v>
      </x:c>
      <x:c r="P4583" t="str">
        <x:f>IF(E4583="","Unknown",IF(E4583&lt;10,"&lt;10",IF(E4583&lt;20,"10-&lt;20",IF(E4583&lt;25,"20-&lt;25",IF(E4583&lt;35,"25-&lt;35","35+")))))</x:f>
        <x:v>10-&lt;20</x:v>
      </x:c>
    </x:row>
    <x:row r="4584">
      <x:c r="A4584" t="str">
        <x:v>SYN0004583</x:v>
      </x:c>
      <x:c r="B4584" s="12" t="n">
        <x:v>43015</x:v>
      </x:c>
      <x:c r="C4584" s="18" t="n">
        <x:v>12295</x:v>
      </x:c>
      <x:c r="D4584" s="18" t="n">
        <x:v>51175</x:v>
      </x:c>
      <x:c r="E4584" s="18" t="n">
        <x:v>20.73</x:v>
      </x:c>
      <x:c r="F4584" s="18" t="n">
        <x:v>8.32</x:v>
      </x:c>
      <x:c r="G4584" t="n">
        <x:v>60</x:v>
      </x:c>
      <x:c r="H4584" t="str">
        <x:v>B</x:v>
      </x:c>
      <x:c r="I4584" t="str">
        <x:v>7-9 years</x:v>
      </x:c>
      <x:c r="J4584" t="str">
        <x:v>MORTGAGE</x:v>
      </x:c>
      <x:c r="K4584" t="str">
        <x:v>medical</x:v>
      </x:c>
      <x:c r="L4584" t="n">
        <x:v>0</x:v>
      </x:c>
      <x:c r="M4584" t="n">
        <x:v>0</x:v>
      </x:c>
      <x:c r="N4584" t="str">
        <x:v>Fully Paid</x:v>
      </x:c>
      <x:c r="O4584" t="str">
        <x:f>IF(D4584="","Unknown",IF(D4584&lt;25000,"&lt;$25k",IF(D4584&lt;50000,"$25k-$50k",IF(D4584&lt;75000,"$50k-$75k",IF(D4584&lt;100000,"$75k-$100k","$100k+")))))</x:f>
        <x:v>$50k-$75k</x:v>
      </x:c>
      <x:c r="P4584" t="str">
        <x:f>IF(E4584="","Unknown",IF(E4584&lt;10,"&lt;10",IF(E4584&lt;20,"10-&lt;20",IF(E4584&lt;25,"20-&lt;25",IF(E4584&lt;35,"25-&lt;35","35+")))))</x:f>
        <x:v>20-&lt;25</x:v>
      </x:c>
    </x:row>
    <x:row r="4585">
      <x:c r="A4585" t="str">
        <x:v>SYN0004584</x:v>
      </x:c>
      <x:c r="B4585" s="12" t="n">
        <x:v>42595</x:v>
      </x:c>
      <x:c r="C4585" s="18" t="n">
        <x:v>10912</x:v>
      </x:c>
      <x:c r="D4585" s="18" t="n">
        <x:v>64449</x:v>
      </x:c>
      <x:c r="E4585" s="18" t="n">
        <x:v>20.68</x:v>
      </x:c>
      <x:c r="F4585" s="18" t="n">
        <x:v>6.72</x:v>
      </x:c>
      <x:c r="G4585" t="n">
        <x:v>36</x:v>
      </x:c>
      <x:c r="H4585" t="str">
        <x:v>A</x:v>
      </x:c>
      <x:c r="I4585" t="str">
        <x:v>1-3 years</x:v>
      </x:c>
      <x:c r="J4585" t="str">
        <x:v>OTHER</x:v>
      </x:c>
      <x:c r="K4585" t="str">
        <x:v>home_improvement</x:v>
      </x:c>
      <x:c r="L4585" t="n">
        <x:v>1</x:v>
      </x:c>
      <x:c r="M4585" t="n">
        <x:v>0</x:v>
      </x:c>
      <x:c r="N4585" t="str">
        <x:v>Fully Paid</x:v>
      </x:c>
      <x:c r="O4585" t="str">
        <x:f>IF(D4585="","Unknown",IF(D4585&lt;25000,"&lt;$25k",IF(D4585&lt;50000,"$25k-$50k",IF(D4585&lt;75000,"$50k-$75k",IF(D4585&lt;100000,"$75k-$100k","$100k+")))))</x:f>
        <x:v>$50k-$75k</x:v>
      </x:c>
      <x:c r="P4585" t="str">
        <x:f>IF(E4585="","Unknown",IF(E4585&lt;10,"&lt;10",IF(E4585&lt;20,"10-&lt;20",IF(E4585&lt;25,"20-&lt;25",IF(E4585&lt;35,"25-&lt;35","35+")))))</x:f>
        <x:v>20-&lt;25</x:v>
      </x:c>
    </x:row>
    <x:row r="4586">
      <x:c r="A4586" t="str">
        <x:v>SYN0004585</x:v>
      </x:c>
      <x:c r="B4586" s="12" t="n">
        <x:v>42205</x:v>
      </x:c>
      <x:c r="C4586" s="18" t="n">
        <x:v>8059</x:v>
      </x:c>
      <x:c r="D4586" s="18" t="n">
        <x:v>33939</x:v>
      </x:c>
      <x:c r="E4586" s="18" t="n">
        <x:v>21.41</x:v>
      </x:c>
      <x:c r="F4586" s="18" t="n">
        <x:v>12.01</x:v>
      </x:c>
      <x:c r="G4586" t="n">
        <x:v>36</x:v>
      </x:c>
      <x:c r="H4586" t="str">
        <x:v>C</x:v>
      </x:c>
      <x:c r="I4586" t="str">
        <x:v>&lt;1 year</x:v>
      </x:c>
      <x:c r="J4586" t="str">
        <x:v>RENT</x:v>
      </x:c>
      <x:c r="K4586" t="str">
        <x:v>other</x:v>
      </x:c>
      <x:c r="L4586" t="n">
        <x:v>1</x:v>
      </x:c>
      <x:c r="M4586" t="n">
        <x:v>0</x:v>
      </x:c>
      <x:c r="N4586" t="str">
        <x:v>Fully Paid</x:v>
      </x:c>
      <x:c r="O4586" t="str">
        <x:f>IF(D4586="","Unknown",IF(D4586&lt;25000,"&lt;$25k",IF(D4586&lt;50000,"$25k-$50k",IF(D4586&lt;75000,"$50k-$75k",IF(D4586&lt;100000,"$75k-$100k","$100k+")))))</x:f>
        <x:v>$25k-$50k</x:v>
      </x:c>
      <x:c r="P4586" t="str">
        <x:f>IF(E4586="","Unknown",IF(E4586&lt;10,"&lt;10",IF(E4586&lt;20,"10-&lt;20",IF(E4586&lt;25,"20-&lt;25",IF(E4586&lt;35,"25-&lt;35","35+")))))</x:f>
        <x:v>20-&lt;25</x:v>
      </x:c>
    </x:row>
    <x:row r="4587">
      <x:c r="A4587" t="str">
        <x:v>SYN0004586</x:v>
      </x:c>
      <x:c r="B4587" s="12" t="n">
        <x:v>42625</x:v>
      </x:c>
      <x:c r="C4587" s="18" t="n">
        <x:v>12513</x:v>
      </x:c>
      <x:c r="D4587" s="18" t="n">
        <x:v>39095</x:v>
      </x:c>
      <x:c r="E4587" s="18" t="n">
        <x:v>28.48</x:v>
      </x:c>
      <x:c r="F4587" s="18" t="n">
        <x:v>8.9</x:v>
      </x:c>
      <x:c r="G4587" t="n">
        <x:v>36</x:v>
      </x:c>
      <x:c r="H4587" t="str">
        <x:v>B</x:v>
      </x:c>
      <x:c r="I4587" t="str">
        <x:v>7-9 years</x:v>
      </x:c>
      <x:c r="J4587" t="str">
        <x:v>OWN</x:v>
      </x:c>
      <x:c r="K4587" t="str">
        <x:v>major_purchase</x:v>
      </x:c>
      <x:c r="L4587" t="n">
        <x:v>0</x:v>
      </x:c>
      <x:c r="M4587" t="n">
        <x:v>0</x:v>
      </x:c>
      <x:c r="N4587" t="str">
        <x:v>Fully Paid</x:v>
      </x:c>
      <x:c r="O4587" t="str">
        <x:f>IF(D4587="","Unknown",IF(D4587&lt;25000,"&lt;$25k",IF(D4587&lt;50000,"$25k-$50k",IF(D4587&lt;75000,"$50k-$75k",IF(D4587&lt;100000,"$75k-$100k","$100k+")))))</x:f>
        <x:v>$25k-$50k</x:v>
      </x:c>
      <x:c r="P4587" t="str">
        <x:f>IF(E4587="","Unknown",IF(E4587&lt;10,"&lt;10",IF(E4587&lt;20,"10-&lt;20",IF(E4587&lt;25,"20-&lt;25",IF(E4587&lt;35,"25-&lt;35","35+")))))</x:f>
        <x:v>25-&lt;35</x:v>
      </x:c>
    </x:row>
    <x:row r="4588">
      <x:c r="A4588" t="str">
        <x:v>SYN0004587</x:v>
      </x:c>
      <x:c r="B4588" s="12" t="n">
        <x:v>42385</x:v>
      </x:c>
      <x:c r="C4588" s="18" t="n">
        <x:v>13381</x:v>
      </x:c>
      <x:c r="D4588" s="18" t="n">
        <x:v>31310</x:v>
      </x:c>
      <x:c r="E4588" s="18" t="n">
        <x:v>42.51</x:v>
      </x:c>
      <x:c r="F4588" s="18" t="n">
        <x:v>27.9</x:v>
      </x:c>
      <x:c r="G4588" t="n">
        <x:v>36</x:v>
      </x:c>
      <x:c r="H4588" t="str">
        <x:v>G</x:v>
      </x:c>
      <x:c r="I4588" t="str">
        <x:v>10+ years</x:v>
      </x:c>
      <x:c r="J4588" t="str">
        <x:v>RENT</x:v>
      </x:c>
      <x:c r="K4588" t="str">
        <x:v>home_improvement</x:v>
      </x:c>
      <x:c r="L4588" t="n">
        <x:v>0</x:v>
      </x:c>
      <x:c r="M4588" t="n">
        <x:v>1</x:v>
      </x:c>
      <x:c r="N4588" t="str">
        <x:v>Charged Off</x:v>
      </x:c>
      <x:c r="O4588" t="str">
        <x:f>IF(D4588="","Unknown",IF(D4588&lt;25000,"&lt;$25k",IF(D4588&lt;50000,"$25k-$50k",IF(D4588&lt;75000,"$50k-$75k",IF(D4588&lt;100000,"$75k-$100k","$100k+")))))</x:f>
        <x:v>$25k-$50k</x:v>
      </x:c>
      <x:c r="P4588" t="str">
        <x:f>IF(E4588="","Unknown",IF(E4588&lt;10,"&lt;10",IF(E4588&lt;20,"10-&lt;20",IF(E4588&lt;25,"20-&lt;25",IF(E4588&lt;35,"25-&lt;35","35+")))))</x:f>
        <x:v>35+</x:v>
      </x:c>
    </x:row>
    <x:row r="4589">
      <x:c r="A4589" t="str">
        <x:v>SYN0004588</x:v>
      </x:c>
      <x:c r="B4589" s="12" t="n">
        <x:v>41275</x:v>
      </x:c>
      <x:c r="C4589" s="18" t="n">
        <x:v>11949</x:v>
      </x:c>
      <x:c r="D4589" s="18" t="n">
        <x:v>76758</x:v>
      </x:c>
      <x:c r="E4589" s="18" t="n">
        <x:v>9.06</x:v>
      </x:c>
      <x:c r="F4589" s="18" t="n">
        <x:v>6.28</x:v>
      </x:c>
      <x:c r="G4589" t="n">
        <x:v>60</x:v>
      </x:c>
      <x:c r="H4589" t="str">
        <x:v>A</x:v>
      </x:c>
      <x:c r="I4589" t="str">
        <x:v>7-9 years</x:v>
      </x:c>
      <x:c r="J4589" t="str">
        <x:v>RENT</x:v>
      </x:c>
      <x:c r="K4589" t="str">
        <x:v>major_purchase</x:v>
      </x:c>
      <x:c r="L4589" t="n">
        <x:v>1</x:v>
      </x:c>
      <x:c r="M4589" t="n">
        <x:v>0</x:v>
      </x:c>
      <x:c r="N4589" t="str">
        <x:v>Fully Paid</x:v>
      </x:c>
      <x:c r="O4589" t="str">
        <x:f>IF(D4589="","Unknown",IF(D4589&lt;25000,"&lt;$25k",IF(D4589&lt;50000,"$25k-$50k",IF(D4589&lt;75000,"$50k-$75k",IF(D4589&lt;100000,"$75k-$100k","$100k+")))))</x:f>
        <x:v>$75k-$100k</x:v>
      </x:c>
      <x:c r="P4589" t="str">
        <x:f>IF(E4589="","Unknown",IF(E4589&lt;10,"&lt;10",IF(E4589&lt;20,"10-&lt;20",IF(E4589&lt;25,"20-&lt;25",IF(E4589&lt;35,"25-&lt;35","35+")))))</x:f>
        <x:v>&lt;10</x:v>
      </x:c>
    </x:row>
    <x:row r="4590">
      <x:c r="A4590" t="str">
        <x:v>SYN0004589</x:v>
      </x:c>
      <x:c r="B4590" s="12" t="n">
        <x:v>41815</x:v>
      </x:c>
      <x:c r="C4590" s="18" t="n">
        <x:v>8782</x:v>
      </x:c>
      <x:c r="D4590" s="18" t="n">
        <x:v>22560</x:v>
      </x:c>
      <x:c r="E4590" s="18" t="n">
        <x:v>23.36</x:v>
      </x:c>
      <x:c r="F4590" s="18" t="n">
        <x:v>7.39</x:v>
      </x:c>
      <x:c r="G4590" t="n">
        <x:v>36</x:v>
      </x:c>
      <x:c r="H4590" t="str">
        <x:v>C</x:v>
      </x:c>
      <x:c r="I4590" t="str">
        <x:v>1-3 years</x:v>
      </x:c>
      <x:c r="J4590" t="str">
        <x:v>RENT</x:v>
      </x:c>
      <x:c r="K4590" t="str">
        <x:v>debt_consolidation</x:v>
      </x:c>
      <x:c r="L4590" t="n">
        <x:v>0</x:v>
      </x:c>
      <x:c r="M4590" t="n">
        <x:v>0</x:v>
      </x:c>
      <x:c r="N4590" t="str">
        <x:v>Fully Paid</x:v>
      </x:c>
      <x:c r="O4590" t="str">
        <x:f>IF(D4590="","Unknown",IF(D4590&lt;25000,"&lt;$25k",IF(D4590&lt;50000,"$25k-$50k",IF(D4590&lt;75000,"$50k-$75k",IF(D4590&lt;100000,"$75k-$100k","$100k+")))))</x:f>
        <x:v>&lt;$25k</x:v>
      </x:c>
      <x:c r="P4590" t="str">
        <x:f>IF(E4590="","Unknown",IF(E4590&lt;10,"&lt;10",IF(E4590&lt;20,"10-&lt;20",IF(E4590&lt;25,"20-&lt;25",IF(E4590&lt;35,"25-&lt;35","35+")))))</x:f>
        <x:v>20-&lt;25</x:v>
      </x:c>
    </x:row>
    <x:row r="4591">
      <x:c r="A4591" t="str">
        <x:v>SYN0004590</x:v>
      </x:c>
      <x:c r="B4591" s="12" t="n">
        <x:v>42685</x:v>
      </x:c>
      <x:c r="C4591" s="18" t="n">
        <x:v>17574</x:v>
      </x:c>
      <x:c r="D4591" s="18" t="n">
        <x:v>30627</x:v>
      </x:c>
      <x:c r="E4591" s="18" t="n">
        <x:v>16.08</x:v>
      </x:c>
      <x:c r="F4591" s="18" t="n">
        <x:v>10.01</x:v>
      </x:c>
      <x:c r="G4591" t="n">
        <x:v>36</x:v>
      </x:c>
      <x:c r="H4591" t="str">
        <x:v>B</x:v>
      </x:c>
      <x:c r="I4591" t="str">
        <x:v>&lt;1 year</x:v>
      </x:c>
      <x:c r="J4591" t="str">
        <x:v>OWN</x:v>
      </x:c>
      <x:c r="K4591" t="str">
        <x:v>debt_consolidation</x:v>
      </x:c>
      <x:c r="L4591" t="n">
        <x:v>0</x:v>
      </x:c>
      <x:c r="M4591" t="n">
        <x:v>0</x:v>
      </x:c>
      <x:c r="N4591" t="str">
        <x:v>Fully Paid</x:v>
      </x:c>
      <x:c r="O4591" t="str">
        <x:f>IF(D4591="","Unknown",IF(D4591&lt;25000,"&lt;$25k",IF(D4591&lt;50000,"$25k-$50k",IF(D4591&lt;75000,"$50k-$75k",IF(D4591&lt;100000,"$75k-$100k","$100k+")))))</x:f>
        <x:v>$25k-$50k</x:v>
      </x:c>
      <x:c r="P4591" t="str">
        <x:f>IF(E4591="","Unknown",IF(E4591&lt;10,"&lt;10",IF(E4591&lt;20,"10-&lt;20",IF(E4591&lt;25,"20-&lt;25",IF(E4591&lt;35,"25-&lt;35","35+")))))</x:f>
        <x:v>10-&lt;20</x:v>
      </x:c>
    </x:row>
    <x:row r="4592">
      <x:c r="A4592" t="str">
        <x:v>SYN0004591</x:v>
      </x:c>
      <x:c r="B4592" s="12" t="n">
        <x:v>42565</x:v>
      </x:c>
      <x:c r="C4592" s="18" t="n">
        <x:v>15812</x:v>
      </x:c>
      <x:c r="D4592" s="18" t="n">
        <x:v>47091</x:v>
      </x:c>
      <x:c r="E4592" s="18" t="n">
        <x:v>22.26</x:v>
      </x:c>
      <x:c r="F4592" s="18" t="n">
        <x:v>24.31</x:v>
      </x:c>
      <x:c r="G4592" t="n">
        <x:v>36</x:v>
      </x:c>
      <x:c r="H4592" t="str">
        <x:v>F</x:v>
      </x:c>
      <x:c r="I4592" t="str">
        <x:v>4-6 years</x:v>
      </x:c>
      <x:c r="J4592" t="str">
        <x:v>RENT</x:v>
      </x:c>
      <x:c r="K4592" t="str">
        <x:v>credit_card</x:v>
      </x:c>
      <x:c r="L4592" t="n">
        <x:v>1</x:v>
      </x:c>
      <x:c r="M4592" t="n">
        <x:v>0</x:v>
      </x:c>
      <x:c r="N4592" t="str">
        <x:v>Fully Paid</x:v>
      </x:c>
      <x:c r="O4592" t="str">
        <x:f>IF(D4592="","Unknown",IF(D4592&lt;25000,"&lt;$25k",IF(D4592&lt;50000,"$25k-$50k",IF(D4592&lt;75000,"$50k-$75k",IF(D4592&lt;100000,"$75k-$100k","$100k+")))))</x:f>
        <x:v>$25k-$50k</x:v>
      </x:c>
      <x:c r="P4592" t="str">
        <x:f>IF(E4592="","Unknown",IF(E4592&lt;10,"&lt;10",IF(E4592&lt;20,"10-&lt;20",IF(E4592&lt;25,"20-&lt;25",IF(E4592&lt;35,"25-&lt;35","35+")))))</x:f>
        <x:v>20-&lt;25</x:v>
      </x:c>
    </x:row>
    <x:row r="4593">
      <x:c r="A4593" t="str">
        <x:v>SYN0004592</x:v>
      </x:c>
      <x:c r="B4593" s="12" t="n">
        <x:v>42085</x:v>
      </x:c>
      <x:c r="C4593" s="18" t="n">
        <x:v>3938</x:v>
      </x:c>
      <x:c r="D4593" s="18" t="n">
        <x:v>41257</x:v>
      </x:c>
      <x:c r="E4593" s="18" t="n">
        <x:v>28.7</x:v>
      </x:c>
      <x:c r="F4593" s="18" t="n">
        <x:v>11.23</x:v>
      </x:c>
      <x:c r="G4593" t="n">
        <x:v>36</x:v>
      </x:c>
      <x:c r="H4593" t="str">
        <x:v>C</x:v>
      </x:c>
      <x:c r="I4593" t="str">
        <x:v>4-6 years</x:v>
      </x:c>
      <x:c r="J4593" t="str">
        <x:v>RENT</x:v>
      </x:c>
      <x:c r="K4593" t="str">
        <x:v>credit_card</x:v>
      </x:c>
      <x:c r="L4593" t="n">
        <x:v>1</x:v>
      </x:c>
      <x:c r="M4593" t="n">
        <x:v>0</x:v>
      </x:c>
      <x:c r="N4593" t="str">
        <x:v>Fully Paid</x:v>
      </x:c>
      <x:c r="O4593" t="str">
        <x:f>IF(D4593="","Unknown",IF(D4593&lt;25000,"&lt;$25k",IF(D4593&lt;50000,"$25k-$50k",IF(D4593&lt;75000,"$50k-$75k",IF(D4593&lt;100000,"$75k-$100k","$100k+")))))</x:f>
        <x:v>$25k-$50k</x:v>
      </x:c>
      <x:c r="P4593" t="str">
        <x:f>IF(E4593="","Unknown",IF(E4593&lt;10,"&lt;10",IF(E4593&lt;20,"10-&lt;20",IF(E4593&lt;25,"20-&lt;25",IF(E4593&lt;35,"25-&lt;35","35+")))))</x:f>
        <x:v>25-&lt;35</x:v>
      </x:c>
    </x:row>
    <x:row r="4594">
      <x:c r="A4594" t="str">
        <x:v>SYN0004593</x:v>
      </x:c>
      <x:c r="B4594" s="12" t="n">
        <x:v>42625</x:v>
      </x:c>
      <x:c r="C4594" s="18" t="n">
        <x:v>9875</x:v>
      </x:c>
      <x:c r="D4594" s="18" t="n">
        <x:v>85909</x:v>
      </x:c>
      <x:c r="E4594" s="18" t="n">
        <x:v>17.28</x:v>
      </x:c>
      <x:c r="F4594" s="18" t="n">
        <x:v>14.76</x:v>
      </x:c>
      <x:c r="G4594" t="n">
        <x:v>36</x:v>
      </x:c>
      <x:c r="H4594" t="str">
        <x:v>D</x:v>
      </x:c>
      <x:c r="I4594" t="str">
        <x:v>10+ years</x:v>
      </x:c>
      <x:c r="J4594" t="str">
        <x:v>MORTGAGE</x:v>
      </x:c>
      <x:c r="K4594" t="str">
        <x:v>debt_consolidation</x:v>
      </x:c>
      <x:c r="L4594" t="n">
        <x:v>3</x:v>
      </x:c>
      <x:c r="M4594" t="n">
        <x:v>0</x:v>
      </x:c>
      <x:c r="N4594" t="str">
        <x:v>Fully Paid</x:v>
      </x:c>
      <x:c r="O4594" t="str">
        <x:f>IF(D4594="","Unknown",IF(D4594&lt;25000,"&lt;$25k",IF(D4594&lt;50000,"$25k-$50k",IF(D4594&lt;75000,"$50k-$75k",IF(D4594&lt;100000,"$75k-$100k","$100k+")))))</x:f>
        <x:v>$75k-$100k</x:v>
      </x:c>
      <x:c r="P4594" t="str">
        <x:f>IF(E4594="","Unknown",IF(E4594&lt;10,"&lt;10",IF(E4594&lt;20,"10-&lt;20",IF(E4594&lt;25,"20-&lt;25",IF(E4594&lt;35,"25-&lt;35","35+")))))</x:f>
        <x:v>10-&lt;20</x:v>
      </x:c>
    </x:row>
    <x:row r="4595">
      <x:c r="A4595" t="str">
        <x:v>SYN0004594</x:v>
      </x:c>
      <x:c r="B4595" s="12" t="n">
        <x:v>42535</x:v>
      </x:c>
      <x:c r="C4595" s="18" t="n">
        <x:v>13803</x:v>
      </x:c>
      <x:c r="D4595" s="18" t="n">
        <x:v>36255</x:v>
      </x:c>
      <x:c r="E4595" s="18" t="n">
        <x:v>20.1</x:v>
      </x:c>
      <x:c r="F4595" s="18" t="n">
        <x:v>14.45</x:v>
      </x:c>
      <x:c r="G4595" t="n">
        <x:v>36</x:v>
      </x:c>
      <x:c r="H4595" t="str">
        <x:v>D</x:v>
      </x:c>
      <x:c r="I4595" t="str">
        <x:v>4-6 years</x:v>
      </x:c>
      <x:c r="J4595" t="str">
        <x:v>RENT</x:v>
      </x:c>
      <x:c r="K4595" t="str">
        <x:v>credit_card</x:v>
      </x:c>
      <x:c r="L4595" t="n">
        <x:v>0</x:v>
      </x:c>
      <x:c r="M4595" t="n">
        <x:v>0</x:v>
      </x:c>
      <x:c r="N4595" t="str">
        <x:v>Fully Paid</x:v>
      </x:c>
      <x:c r="O4595" t="str">
        <x:f>IF(D4595="","Unknown",IF(D4595&lt;25000,"&lt;$25k",IF(D4595&lt;50000,"$25k-$50k",IF(D4595&lt;75000,"$50k-$75k",IF(D4595&lt;100000,"$75k-$100k","$100k+")))))</x:f>
        <x:v>$25k-$50k</x:v>
      </x:c>
      <x:c r="P4595" t="str">
        <x:f>IF(E4595="","Unknown",IF(E4595&lt;10,"&lt;10",IF(E4595&lt;20,"10-&lt;20",IF(E4595&lt;25,"20-&lt;25",IF(E4595&lt;35,"25-&lt;35","35+")))))</x:f>
        <x:v>20-&lt;25</x:v>
      </x:c>
    </x:row>
    <x:row r="4596">
      <x:c r="A4596" t="str">
        <x:v>SYN0004595</x:v>
      </x:c>
      <x:c r="B4596" s="12" t="n">
        <x:v>41905</x:v>
      </x:c>
      <x:c r="C4596" s="18" t="n">
        <x:v>15209</x:v>
      </x:c>
      <x:c r="D4596" s="18" t="n">
        <x:v>76638</x:v>
      </x:c>
      <x:c r="E4596" s="18" t="n">
        <x:v>22.04</x:v>
      </x:c>
      <x:c r="F4596" s="18" t="n">
        <x:v>14.43</x:v>
      </x:c>
      <x:c r="G4596" t="n">
        <x:v>36</x:v>
      </x:c>
      <x:c r="H4596" t="str">
        <x:v>C</x:v>
      </x:c>
      <x:c r="I4596" t="str">
        <x:v>&lt;1 year</x:v>
      </x:c>
      <x:c r="J4596" t="str">
        <x:v>OTHER</x:v>
      </x:c>
      <x:c r="K4596" t="str">
        <x:v>debt_consolidation</x:v>
      </x:c>
      <x:c r="L4596" t="n">
        <x:v>0</x:v>
      </x:c>
      <x:c r="M4596" t="n">
        <x:v>0</x:v>
      </x:c>
      <x:c r="N4596" t="str">
        <x:v>Fully Paid</x:v>
      </x:c>
      <x:c r="O4596" t="str">
        <x:f>IF(D4596="","Unknown",IF(D4596&lt;25000,"&lt;$25k",IF(D4596&lt;50000,"$25k-$50k",IF(D4596&lt;75000,"$50k-$75k",IF(D4596&lt;100000,"$75k-$100k","$100k+")))))</x:f>
        <x:v>$75k-$100k</x:v>
      </x:c>
      <x:c r="P4596" t="str">
        <x:f>IF(E4596="","Unknown",IF(E4596&lt;10,"&lt;10",IF(E4596&lt;20,"10-&lt;20",IF(E4596&lt;25,"20-&lt;25",IF(E4596&lt;35,"25-&lt;35","35+")))))</x:f>
        <x:v>20-&lt;25</x:v>
      </x:c>
    </x:row>
    <x:row r="4597">
      <x:c r="A4597" t="str">
        <x:v>SYN0004596</x:v>
      </x:c>
      <x:c r="B4597" s="12" t="n">
        <x:v>41935</x:v>
      </x:c>
      <x:c r="C4597" s="18" t="n">
        <x:v>10465</x:v>
      </x:c>
      <x:c r="D4597" s="18" t="n">
        <x:v>27040</x:v>
      </x:c>
      <x:c r="E4597" s="18" t="n">
        <x:v>24.98</x:v>
      </x:c>
      <x:c r="F4597" s="18" t="n">
        <x:v>14.62</x:v>
      </x:c>
      <x:c r="G4597" t="n">
        <x:v>60</x:v>
      </x:c>
      <x:c r="H4597" t="str">
        <x:v>D</x:v>
      </x:c>
      <x:c r="I4597" t="str">
        <x:v>10+ years</x:v>
      </x:c>
      <x:c r="J4597" t="str">
        <x:v>MORTGAGE</x:v>
      </x:c>
      <x:c r="K4597" t="str">
        <x:v>debt_consolidation</x:v>
      </x:c>
      <x:c r="L4597" t="n">
        <x:v>1</x:v>
      </x:c>
      <x:c r="M4597" t="n">
        <x:v>0</x:v>
      </x:c>
      <x:c r="N4597" t="str">
        <x:v>Fully Paid</x:v>
      </x:c>
      <x:c r="O4597" t="str">
        <x:f>IF(D4597="","Unknown",IF(D4597&lt;25000,"&lt;$25k",IF(D4597&lt;50000,"$25k-$50k",IF(D4597&lt;75000,"$50k-$75k",IF(D4597&lt;100000,"$75k-$100k","$100k+")))))</x:f>
        <x:v>$25k-$50k</x:v>
      </x:c>
      <x:c r="P4597" t="str">
        <x:f>IF(E4597="","Unknown",IF(E4597&lt;10,"&lt;10",IF(E4597&lt;20,"10-&lt;20",IF(E4597&lt;25,"20-&lt;25",IF(E4597&lt;35,"25-&lt;35","35+")))))</x:f>
        <x:v>20-&lt;25</x:v>
      </x:c>
    </x:row>
    <x:row r="4598">
      <x:c r="A4598" t="str">
        <x:v>SYN0004597</x:v>
      </x:c>
      <x:c r="B4598" s="12" t="n">
        <x:v>43315</x:v>
      </x:c>
      <x:c r="C4598" s="18" t="n">
        <x:v>33363</x:v>
      </x:c>
      <x:c r="D4598" s="18" t="n">
        <x:v>147632</x:v>
      </x:c>
      <x:c r="E4598" s="18" t="n">
        <x:v>23.86</x:v>
      </x:c>
      <x:c r="F4598" s="18" t="n">
        <x:v>12.48</x:v>
      </x:c>
      <x:c r="G4598" t="n">
        <x:v>36</x:v>
      </x:c>
      <x:c r="H4598" t="str">
        <x:v>D</x:v>
      </x:c>
      <x:c r="I4598" t="str">
        <x:v>10+ years</x:v>
      </x:c>
      <x:c r="J4598" t="str">
        <x:v>MORTGAGE</x:v>
      </x:c>
      <x:c r="K4598" t="str">
        <x:v>other</x:v>
      </x:c>
      <x:c r="L4598" t="n">
        <x:v>0</x:v>
      </x:c>
      <x:c r="M4598" t="n">
        <x:v>0</x:v>
      </x:c>
      <x:c r="N4598" t="str">
        <x:v>Fully Paid</x:v>
      </x:c>
      <x:c r="O4598" t="str">
        <x:f>IF(D4598="","Unknown",IF(D4598&lt;25000,"&lt;$25k",IF(D4598&lt;50000,"$25k-$50k",IF(D4598&lt;75000,"$50k-$75k",IF(D4598&lt;100000,"$75k-$100k","$100k+")))))</x:f>
        <x:v>$100k+</x:v>
      </x:c>
      <x:c r="P4598" t="str">
        <x:f>IF(E4598="","Unknown",IF(E4598&lt;10,"&lt;10",IF(E4598&lt;20,"10-&lt;20",IF(E4598&lt;25,"20-&lt;25",IF(E4598&lt;35,"25-&lt;35","35+")))))</x:f>
        <x:v>20-&lt;25</x:v>
      </x:c>
    </x:row>
    <x:row r="4599">
      <x:c r="A4599" t="str">
        <x:v>SYN0004598</x:v>
      </x:c>
      <x:c r="B4599" s="12" t="n">
        <x:v>43195</x:v>
      </x:c>
      <x:c r="C4599" s="18" t="n">
        <x:v>14820</x:v>
      </x:c>
      <x:c r="D4599" s="18" t="n">
        <x:v>125341</x:v>
      </x:c>
      <x:c r="E4599" s="18" t="n">
        <x:v>8.01</x:v>
      </x:c>
      <x:c r="F4599" s="18" t="n">
        <x:v>11.49</x:v>
      </x:c>
      <x:c r="G4599" t="n">
        <x:v>36</x:v>
      </x:c>
      <x:c r="H4599" t="str">
        <x:v>C</x:v>
      </x:c>
      <x:c r="I4599" t="str">
        <x:v>1-3 years</x:v>
      </x:c>
      <x:c r="J4599" t="str">
        <x:v>MORTGAGE</x:v>
      </x:c>
      <x:c r="K4599" t="str">
        <x:v>medical</x:v>
      </x:c>
      <x:c r="L4599" t="n">
        <x:v>0</x:v>
      </x:c>
      <x:c r="M4599" t="n">
        <x:v>0</x:v>
      </x:c>
      <x:c r="N4599" t="str">
        <x:v>Fully Paid</x:v>
      </x:c>
      <x:c r="O4599" t="str">
        <x:f>IF(D4599="","Unknown",IF(D4599&lt;25000,"&lt;$25k",IF(D4599&lt;50000,"$25k-$50k",IF(D4599&lt;75000,"$50k-$75k",IF(D4599&lt;100000,"$75k-$100k","$100k+")))))</x:f>
        <x:v>$100k+</x:v>
      </x:c>
      <x:c r="P4599" t="str">
        <x:f>IF(E4599="","Unknown",IF(E4599&lt;10,"&lt;10",IF(E4599&lt;20,"10-&lt;20",IF(E4599&lt;25,"20-&lt;25",IF(E4599&lt;35,"25-&lt;35","35+")))))</x:f>
        <x:v>&lt;10</x:v>
      </x:c>
    </x:row>
    <x:row r="4600">
      <x:c r="A4600" t="str">
        <x:v>SYN0004599</x:v>
      </x:c>
      <x:c r="B4600" s="12" t="n">
        <x:v>43375</x:v>
      </x:c>
      <x:c r="C4600" s="18" t="n">
        <x:v>13640</x:v>
      </x:c>
      <x:c r="D4600" s="18" t="n">
        <x:v>65701</x:v>
      </x:c>
      <x:c r="E4600" s="18" t="n">
        <x:v>26.46</x:v>
      </x:c>
      <x:c r="F4600" s="18" t="n">
        <x:v>11.13</x:v>
      </x:c>
      <x:c r="G4600" t="n">
        <x:v>36</x:v>
      </x:c>
      <x:c r="H4600" t="str">
        <x:v>B</x:v>
      </x:c>
      <x:c r="I4600" t="str">
        <x:v>10+ years</x:v>
      </x:c>
      <x:c r="J4600" t="str">
        <x:v>OWN</x:v>
      </x:c>
      <x:c r="K4600" t="str">
        <x:v>debt_consolidation</x:v>
      </x:c>
      <x:c r="L4600" t="n">
        <x:v>0</x:v>
      </x:c>
      <x:c r="M4600" t="n">
        <x:v>0</x:v>
      </x:c>
      <x:c r="N4600" t="str">
        <x:v>Fully Paid</x:v>
      </x:c>
      <x:c r="O4600" t="str">
        <x:f>IF(D4600="","Unknown",IF(D4600&lt;25000,"&lt;$25k",IF(D4600&lt;50000,"$25k-$50k",IF(D4600&lt;75000,"$50k-$75k",IF(D4600&lt;100000,"$75k-$100k","$100k+")))))</x:f>
        <x:v>$50k-$75k</x:v>
      </x:c>
      <x:c r="P4600" t="str">
        <x:f>IF(E4600="","Unknown",IF(E4600&lt;10,"&lt;10",IF(E4600&lt;20,"10-&lt;20",IF(E4600&lt;25,"20-&lt;25",IF(E4600&lt;35,"25-&lt;35","35+")))))</x:f>
        <x:v>25-&lt;35</x:v>
      </x:c>
    </x:row>
    <x:row r="4601">
      <x:c r="A4601" t="str">
        <x:v>SYN0004600</x:v>
      </x:c>
      <x:c r="B4601" s="12" t="n">
        <x:v>42985</x:v>
      </x:c>
      <x:c r="C4601" s="18" t="n">
        <x:v>11896</x:v>
      </x:c>
      <x:c r="D4601" s="18" t="n">
        <x:v>37129</x:v>
      </x:c>
      <x:c r="E4601" s="18" t="n">
        <x:v>10.47</x:v>
      </x:c>
      <x:c r="F4601" s="18" t="n">
        <x:v>23.92</x:v>
      </x:c>
      <x:c r="G4601" t="n">
        <x:v>36</x:v>
      </x:c>
      <x:c r="H4601" t="str">
        <x:v>F</x:v>
      </x:c>
      <x:c r="I4601" t="str">
        <x:v>10+ years</x:v>
      </x:c>
      <x:c r="J4601" t="str">
        <x:v>MORTGAGE</x:v>
      </x:c>
      <x:c r="K4601" t="str">
        <x:v>home_improvement</x:v>
      </x:c>
      <x:c r="L4601" t="n">
        <x:v>1</x:v>
      </x:c>
      <x:c r="M4601" t="n">
        <x:v>1</x:v>
      </x:c>
      <x:c r="N4601" t="str">
        <x:v>Charged Off</x:v>
      </x:c>
      <x:c r="O4601" t="str">
        <x:f>IF(D4601="","Unknown",IF(D4601&lt;25000,"&lt;$25k",IF(D4601&lt;50000,"$25k-$50k",IF(D4601&lt;75000,"$50k-$75k",IF(D4601&lt;100000,"$75k-$100k","$100k+")))))</x:f>
        <x:v>$25k-$50k</x:v>
      </x:c>
      <x:c r="P4601" t="str">
        <x:f>IF(E4601="","Unknown",IF(E4601&lt;10,"&lt;10",IF(E4601&lt;20,"10-&lt;20",IF(E4601&lt;25,"20-&lt;25",IF(E4601&lt;35,"25-&lt;35","35+")))))</x:f>
        <x:v>10-&lt;20</x:v>
      </x:c>
    </x:row>
    <x:row r="4602">
      <x:c r="A4602" t="str">
        <x:v>SYN0004601</x:v>
      </x:c>
      <x:c r="B4602" s="12" t="n">
        <x:v>42175</x:v>
      </x:c>
      <x:c r="C4602" s="18" t="n">
        <x:v>9463</x:v>
      </x:c>
      <x:c r="D4602" s="18" t="n">
        <x:v>82223</x:v>
      </x:c>
      <x:c r="E4602" s="18" t="n">
        <x:v>16.73</x:v>
      </x:c>
      <x:c r="F4602" s="18" t="n">
        <x:v>5</x:v>
      </x:c>
      <x:c r="G4602" t="n">
        <x:v>36</x:v>
      </x:c>
      <x:c r="H4602" t="str">
        <x:v>A</x:v>
      </x:c>
      <x:c r="I4602" t="str">
        <x:v>10+ years</x:v>
      </x:c>
      <x:c r="J4602" t="str">
        <x:v>RENT</x:v>
      </x:c>
      <x:c r="K4602" t="str">
        <x:v>debt_consolidation</x:v>
      </x:c>
      <x:c r="L4602" t="n">
        <x:v>0</x:v>
      </x:c>
      <x:c r="M4602" t="n">
        <x:v>0</x:v>
      </x:c>
      <x:c r="N4602" t="str">
        <x:v>Fully Paid</x:v>
      </x:c>
      <x:c r="O4602" t="str">
        <x:f>IF(D4602="","Unknown",IF(D4602&lt;25000,"&lt;$25k",IF(D4602&lt;50000,"$25k-$50k",IF(D4602&lt;75000,"$50k-$75k",IF(D4602&lt;100000,"$75k-$100k","$100k+")))))</x:f>
        <x:v>$75k-$100k</x:v>
      </x:c>
      <x:c r="P4602" t="str">
        <x:f>IF(E4602="","Unknown",IF(E4602&lt;10,"&lt;10",IF(E4602&lt;20,"10-&lt;20",IF(E4602&lt;25,"20-&lt;25",IF(E4602&lt;35,"25-&lt;35","35+")))))</x:f>
        <x:v>10-&lt;20</x:v>
      </x:c>
    </x:row>
    <x:row r="4603">
      <x:c r="A4603" t="str">
        <x:v>SYN0004602</x:v>
      </x:c>
      <x:c r="B4603" s="12" t="n">
        <x:v>42775</x:v>
      </x:c>
      <x:c r="C4603" s="18" t="n">
        <x:v>18107</x:v>
      </x:c>
      <x:c r="D4603" s="18" t="n">
        <x:v>21562</x:v>
      </x:c>
      <x:c r="E4603" s="18" t="n">
        <x:v>15.28</x:v>
      </x:c>
      <x:c r="F4603" s="18" t="n">
        <x:v>8.02</x:v>
      </x:c>
      <x:c r="G4603" t="n">
        <x:v>36</x:v>
      </x:c>
      <x:c r="H4603" t="str">
        <x:v>B</x:v>
      </x:c>
      <x:c r="I4603" t="str">
        <x:v>4-6 years</x:v>
      </x:c>
      <x:c r="J4603" t="str">
        <x:v>MORTGAGE</x:v>
      </x:c>
      <x:c r="K4603" t="str">
        <x:v>other</x:v>
      </x:c>
      <x:c r="L4603" t="n">
        <x:v>0</x:v>
      </x:c>
      <x:c r="M4603" t="n">
        <x:v>0</x:v>
      </x:c>
      <x:c r="N4603" t="str">
        <x:v>Fully Paid</x:v>
      </x:c>
      <x:c r="O4603" t="str">
        <x:f>IF(D4603="","Unknown",IF(D4603&lt;25000,"&lt;$25k",IF(D4603&lt;50000,"$25k-$50k",IF(D4603&lt;75000,"$50k-$75k",IF(D4603&lt;100000,"$75k-$100k","$100k+")))))</x:f>
        <x:v>&lt;$25k</x:v>
      </x:c>
      <x:c r="P4603" t="str">
        <x:f>IF(E4603="","Unknown",IF(E4603&lt;10,"&lt;10",IF(E4603&lt;20,"10-&lt;20",IF(E4603&lt;25,"20-&lt;25",IF(E4603&lt;35,"25-&lt;35","35+")))))</x:f>
        <x:v>10-&lt;20</x:v>
      </x:c>
    </x:row>
    <x:row r="4604">
      <x:c r="A4604" t="str">
        <x:v>SYN0004603</x:v>
      </x:c>
      <x:c r="B4604" s="12" t="n">
        <x:v>41305</x:v>
      </x:c>
      <x:c r="C4604" s="18" t="n">
        <x:v>7552</x:v>
      </x:c>
      <x:c r="D4604" s="18" t="n">
        <x:v>15258</x:v>
      </x:c>
      <x:c r="E4604" s="18" t="n">
        <x:v>20.18</x:v>
      </x:c>
      <x:c r="F4604" s="18" t="n">
        <x:v>8.96</x:v>
      </x:c>
      <x:c r="G4604" t="n">
        <x:v>60</x:v>
      </x:c>
      <x:c r="H4604" t="str">
        <x:v>B</x:v>
      </x:c>
      <x:c r="I4604" t="str">
        <x:v>10+ years</x:v>
      </x:c>
      <x:c r="J4604" t="str">
        <x:v>MORTGAGE</x:v>
      </x:c>
      <x:c r="K4604" t="str">
        <x:v>credit_card</x:v>
      </x:c>
      <x:c r="L4604" t="n">
        <x:v>0</x:v>
      </x:c>
      <x:c r="M4604" t="n">
        <x:v>0</x:v>
      </x:c>
      <x:c r="N4604" t="str">
        <x:v>Fully Paid</x:v>
      </x:c>
      <x:c r="O4604" t="str">
        <x:f>IF(D4604="","Unknown",IF(D4604&lt;25000,"&lt;$25k",IF(D4604&lt;50000,"$25k-$50k",IF(D4604&lt;75000,"$50k-$75k",IF(D4604&lt;100000,"$75k-$100k","$100k+")))))</x:f>
        <x:v>&lt;$25k</x:v>
      </x:c>
      <x:c r="P4604" t="str">
        <x:f>IF(E4604="","Unknown",IF(E4604&lt;10,"&lt;10",IF(E4604&lt;20,"10-&lt;20",IF(E4604&lt;25,"20-&lt;25",IF(E4604&lt;35,"25-&lt;35","35+")))))</x:f>
        <x:v>20-&lt;25</x:v>
      </x:c>
    </x:row>
    <x:row r="4605">
      <x:c r="A4605" t="str">
        <x:v>SYN0004604</x:v>
      </x:c>
      <x:c r="B4605" s="12" t="n">
        <x:v>41305</x:v>
      </x:c>
      <x:c r="C4605" s="18" t="n">
        <x:v>15952</x:v>
      </x:c>
      <x:c r="D4605" s="18" t="n">
        <x:v>59543</x:v>
      </x:c>
      <x:c r="E4605" s="18" t="n">
        <x:v>25.32</x:v>
      </x:c>
      <x:c r="F4605" s="18" t="n">
        <x:v>7.01</x:v>
      </x:c>
      <x:c r="G4605" t="n">
        <x:v>36</x:v>
      </x:c>
      <x:c r="H4605" t="str">
        <x:v>A</x:v>
      </x:c>
      <x:c r="I4605" t="str">
        <x:v>4-6 years</x:v>
      </x:c>
      <x:c r="J4605" t="str">
        <x:v>RENT</x:v>
      </x:c>
      <x:c r="K4605" t="str">
        <x:v>credit_card</x:v>
      </x:c>
      <x:c r="L4605" t="n">
        <x:v>0</x:v>
      </x:c>
      <x:c r="M4605" t="n">
        <x:v>0</x:v>
      </x:c>
      <x:c r="N4605" t="str">
        <x:v>Fully Paid</x:v>
      </x:c>
      <x:c r="O4605" t="str">
        <x:f>IF(D4605="","Unknown",IF(D4605&lt;25000,"&lt;$25k",IF(D4605&lt;50000,"$25k-$50k",IF(D4605&lt;75000,"$50k-$75k",IF(D4605&lt;100000,"$75k-$100k","$100k+")))))</x:f>
        <x:v>$50k-$75k</x:v>
      </x:c>
      <x:c r="P4605" t="str">
        <x:f>IF(E4605="","Unknown",IF(E4605&lt;10,"&lt;10",IF(E4605&lt;20,"10-&lt;20",IF(E4605&lt;25,"20-&lt;25",IF(E4605&lt;35,"25-&lt;35","35+")))))</x:f>
        <x:v>25-&lt;35</x:v>
      </x:c>
    </x:row>
    <x:row r="4606">
      <x:c r="A4606" t="str">
        <x:v>SYN0004605</x:v>
      </x:c>
      <x:c r="B4606" s="12" t="n">
        <x:v>41965</x:v>
      </x:c>
      <x:c r="C4606" s="18" t="n">
        <x:v>11457</x:v>
      </x:c>
      <x:c r="D4606" s="18" t="n">
        <x:v>31531</x:v>
      </x:c>
      <x:c r="E4606" s="18" t="n">
        <x:v>14.95</x:v>
      </x:c>
      <x:c r="F4606" s="18" t="n">
        <x:v>13.41</x:v>
      </x:c>
      <x:c r="G4606" t="n">
        <x:v>60</x:v>
      </x:c>
      <x:c r="H4606" t="str">
        <x:v>C</x:v>
      </x:c>
      <x:c r="I4606" t="str">
        <x:v>1-3 years</x:v>
      </x:c>
      <x:c r="J4606" t="str">
        <x:v>MORTGAGE</x:v>
      </x:c>
      <x:c r="K4606" t="str">
        <x:v>medical</x:v>
      </x:c>
      <x:c r="L4606" t="n">
        <x:v>0</x:v>
      </x:c>
      <x:c r="M4606" t="n">
        <x:v>0</x:v>
      </x:c>
      <x:c r="N4606" t="str">
        <x:v>Fully Paid</x:v>
      </x:c>
      <x:c r="O4606" t="str">
        <x:f>IF(D4606="","Unknown",IF(D4606&lt;25000,"&lt;$25k",IF(D4606&lt;50000,"$25k-$50k",IF(D4606&lt;75000,"$50k-$75k",IF(D4606&lt;100000,"$75k-$100k","$100k+")))))</x:f>
        <x:v>$25k-$50k</x:v>
      </x:c>
      <x:c r="P4606" t="str">
        <x:f>IF(E4606="","Unknown",IF(E4606&lt;10,"&lt;10",IF(E4606&lt;20,"10-&lt;20",IF(E4606&lt;25,"20-&lt;25",IF(E4606&lt;35,"25-&lt;35","35+")))))</x:f>
        <x:v>10-&lt;20</x:v>
      </x:c>
    </x:row>
    <x:row r="4607">
      <x:c r="A4607" t="str">
        <x:v>SYN0004606</x:v>
      </x:c>
      <x:c r="B4607" s="12" t="n">
        <x:v>42715</x:v>
      </x:c>
      <x:c r="C4607" s="18" t="n">
        <x:v>14641</x:v>
      </x:c>
      <x:c r="D4607" s="18" t="n">
        <x:v>47625</x:v>
      </x:c>
      <x:c r="E4607" s="18" t="n">
        <x:v>21.74</x:v>
      </x:c>
      <x:c r="F4607" s="18" t="n">
        <x:v>6.64</x:v>
      </x:c>
      <x:c r="G4607" t="n">
        <x:v>36</x:v>
      </x:c>
      <x:c r="H4607" t="str">
        <x:v>B</x:v>
      </x:c>
      <x:c r="I4607" t="str">
        <x:v>7-9 years</x:v>
      </x:c>
      <x:c r="J4607" t="str">
        <x:v>RENT</x:v>
      </x:c>
      <x:c r="K4607" t="str">
        <x:v>major_purchase</x:v>
      </x:c>
      <x:c r="L4607" t="n">
        <x:v>1</x:v>
      </x:c>
      <x:c r="M4607" t="n">
        <x:v>0</x:v>
      </x:c>
      <x:c r="N4607" t="str">
        <x:v>Fully Paid</x:v>
      </x:c>
      <x:c r="O4607" t="str">
        <x:f>IF(D4607="","Unknown",IF(D4607&lt;25000,"&lt;$25k",IF(D4607&lt;50000,"$25k-$50k",IF(D4607&lt;75000,"$50k-$75k",IF(D4607&lt;100000,"$75k-$100k","$100k+")))))</x:f>
        <x:v>$25k-$50k</x:v>
      </x:c>
      <x:c r="P4607" t="str">
        <x:f>IF(E4607="","Unknown",IF(E4607&lt;10,"&lt;10",IF(E4607&lt;20,"10-&lt;20",IF(E4607&lt;25,"20-&lt;25",IF(E4607&lt;35,"25-&lt;35","35+")))))</x:f>
        <x:v>20-&lt;25</x:v>
      </x:c>
    </x:row>
    <x:row r="4608">
      <x:c r="A4608" t="str">
        <x:v>SYN0004607</x:v>
      </x:c>
      <x:c r="B4608" s="12" t="n">
        <x:v>42415</x:v>
      </x:c>
      <x:c r="C4608" s="18" t="n">
        <x:v>12369</x:v>
      </x:c>
      <x:c r="D4608" s="18" t="n">
        <x:v>14635</x:v>
      </x:c>
      <x:c r="E4608" s="18" t="n">
        <x:v>16.59</x:v>
      </x:c>
      <x:c r="F4608" s="18" t="n">
        <x:v>14.15</x:v>
      </x:c>
      <x:c r="G4608" t="n">
        <x:v>60</x:v>
      </x:c>
      <x:c r="H4608" t="str">
        <x:v>D</x:v>
      </x:c>
      <x:c r="I4608" t="str">
        <x:v>1-3 years</x:v>
      </x:c>
      <x:c r="J4608" t="str">
        <x:v>MORTGAGE</x:v>
      </x:c>
      <x:c r="K4608" t="str">
        <x:v>debt_consolidation</x:v>
      </x:c>
      <x:c r="L4608" t="n">
        <x:v>0</x:v>
      </x:c>
      <x:c r="M4608" t="n">
        <x:v>0</x:v>
      </x:c>
      <x:c r="N4608" t="str">
        <x:v>Fully Paid</x:v>
      </x:c>
      <x:c r="O4608" t="str">
        <x:f>IF(D4608="","Unknown",IF(D4608&lt;25000,"&lt;$25k",IF(D4608&lt;50000,"$25k-$50k",IF(D4608&lt;75000,"$50k-$75k",IF(D4608&lt;100000,"$75k-$100k","$100k+")))))</x:f>
        <x:v>&lt;$25k</x:v>
      </x:c>
      <x:c r="P4608" t="str">
        <x:f>IF(E4608="","Unknown",IF(E4608&lt;10,"&lt;10",IF(E4608&lt;20,"10-&lt;20",IF(E4608&lt;25,"20-&lt;25",IF(E4608&lt;35,"25-&lt;35","35+")))))</x:f>
        <x:v>10-&lt;20</x:v>
      </x:c>
    </x:row>
    <x:row r="4609">
      <x:c r="A4609" t="str">
        <x:v>SYN0004608</x:v>
      </x:c>
      <x:c r="B4609" s="12" t="n">
        <x:v>41305</x:v>
      </x:c>
      <x:c r="C4609" s="18" t="n">
        <x:v>13952</x:v>
      </x:c>
      <x:c r="D4609" s="18" t="n">
        <x:v>49094</x:v>
      </x:c>
      <x:c r="E4609" s="18" t="n">
        <x:v>28.91</x:v>
      </x:c>
      <x:c r="F4609" s="18" t="n">
        <x:v>17.26</x:v>
      </x:c>
      <x:c r="G4609" t="n">
        <x:v>36</x:v>
      </x:c>
      <x:c r="H4609" t="str">
        <x:v>D</x:v>
      </x:c>
      <x:c r="I4609" t="str">
        <x:v>10+ years</x:v>
      </x:c>
      <x:c r="J4609" t="str">
        <x:v>RENT</x:v>
      </x:c>
      <x:c r="K4609" t="str">
        <x:v>debt_consolidation</x:v>
      </x:c>
      <x:c r="L4609" t="n">
        <x:v>0</x:v>
      </x:c>
      <x:c r="M4609" t="n">
        <x:v>0</x:v>
      </x:c>
      <x:c r="N4609" t="str">
        <x:v>Fully Paid</x:v>
      </x:c>
      <x:c r="O4609" t="str">
        <x:f>IF(D4609="","Unknown",IF(D4609&lt;25000,"&lt;$25k",IF(D4609&lt;50000,"$25k-$50k",IF(D4609&lt;75000,"$50k-$75k",IF(D4609&lt;100000,"$75k-$100k","$100k+")))))</x:f>
        <x:v>$25k-$50k</x:v>
      </x:c>
      <x:c r="P4609" t="str">
        <x:f>IF(E4609="","Unknown",IF(E4609&lt;10,"&lt;10",IF(E4609&lt;20,"10-&lt;20",IF(E4609&lt;25,"20-&lt;25",IF(E4609&lt;35,"25-&lt;35","35+")))))</x:f>
        <x:v>25-&lt;35</x:v>
      </x:c>
    </x:row>
    <x:row r="4610">
      <x:c r="A4610" t="str">
        <x:v>SYN0004609</x:v>
      </x:c>
      <x:c r="B4610" s="12" t="n">
        <x:v>41995</x:v>
      </x:c>
      <x:c r="C4610" s="18" t="n">
        <x:v>9348</x:v>
      </x:c>
      <x:c r="D4610" s="18" t="n">
        <x:v>32905</x:v>
      </x:c>
      <x:c r="E4610" s="18" t="n">
        <x:v>27.83</x:v>
      </x:c>
      <x:c r="F4610" s="18" t="n">
        <x:v>25.09</x:v>
      </x:c>
      <x:c r="G4610" t="n">
        <x:v>36</x:v>
      </x:c>
      <x:c r="H4610" t="str">
        <x:v>G</x:v>
      </x:c>
      <x:c r="I4610" t="str">
        <x:v>7-9 years</x:v>
      </x:c>
      <x:c r="J4610" t="str">
        <x:v>RENT</x:v>
      </x:c>
      <x:c r="K4610" t="str">
        <x:v>credit_card</x:v>
      </x:c>
      <x:c r="L4610" t="n">
        <x:v>0</x:v>
      </x:c>
      <x:c r="M4610" t="n">
        <x:v>1</x:v>
      </x:c>
      <x:c r="N4610" t="str">
        <x:v>Charged Off</x:v>
      </x:c>
      <x:c r="O4610" t="str">
        <x:f>IF(D4610="","Unknown",IF(D4610&lt;25000,"&lt;$25k",IF(D4610&lt;50000,"$25k-$50k",IF(D4610&lt;75000,"$50k-$75k",IF(D4610&lt;100000,"$75k-$100k","$100k+")))))</x:f>
        <x:v>$25k-$50k</x:v>
      </x:c>
      <x:c r="P4610" t="str">
        <x:f>IF(E4610="","Unknown",IF(E4610&lt;10,"&lt;10",IF(E4610&lt;20,"10-&lt;20",IF(E4610&lt;25,"20-&lt;25",IF(E4610&lt;35,"25-&lt;35","35+")))))</x:f>
        <x:v>25-&lt;35</x:v>
      </x:c>
    </x:row>
    <x:row r="4611">
      <x:c r="A4611" t="str">
        <x:v>SYN0004610</x:v>
      </x:c>
      <x:c r="B4611" s="12" t="n">
        <x:v>42805</x:v>
      </x:c>
      <x:c r="C4611" s="18" t="n">
        <x:v>11890</x:v>
      </x:c>
      <x:c r="D4611" s="18" t="n">
        <x:v>54797</x:v>
      </x:c>
      <x:c r="E4611" s="18" t="n">
        <x:v>16.38</x:v>
      </x:c>
      <x:c r="F4611" s="18" t="n">
        <x:v>20.13</x:v>
      </x:c>
      <x:c r="G4611" t="n">
        <x:v>36</x:v>
      </x:c>
      <x:c r="H4611" t="str">
        <x:v>E</x:v>
      </x:c>
      <x:c r="I4611" t="str">
        <x:v>10+ years</x:v>
      </x:c>
      <x:c r="J4611" t="str">
        <x:v>MORTGAGE</x:v>
      </x:c>
      <x:c r="K4611" t="str">
        <x:v>major_purchase</x:v>
      </x:c>
      <x:c r="L4611" t="n">
        <x:v>1</x:v>
      </x:c>
      <x:c r="M4611" t="n">
        <x:v>1</x:v>
      </x:c>
      <x:c r="N4611" t="str">
        <x:v>Charged Off</x:v>
      </x:c>
      <x:c r="O4611" t="str">
        <x:f>IF(D4611="","Unknown",IF(D4611&lt;25000,"&lt;$25k",IF(D4611&lt;50000,"$25k-$50k",IF(D4611&lt;75000,"$50k-$75k",IF(D4611&lt;100000,"$75k-$100k","$100k+")))))</x:f>
        <x:v>$50k-$75k</x:v>
      </x:c>
      <x:c r="P4611" t="str">
        <x:f>IF(E4611="","Unknown",IF(E4611&lt;10,"&lt;10",IF(E4611&lt;20,"10-&lt;20",IF(E4611&lt;25,"20-&lt;25",IF(E4611&lt;35,"25-&lt;35","35+")))))</x:f>
        <x:v>10-&lt;20</x:v>
      </x:c>
    </x:row>
    <x:row r="4612">
      <x:c r="A4612" t="str">
        <x:v>SYN0004611</x:v>
      </x:c>
      <x:c r="B4612" s="12" t="n">
        <x:v>42895</x:v>
      </x:c>
      <x:c r="C4612" s="18" t="n">
        <x:v>17248</x:v>
      </x:c>
      <x:c r="D4612" s="18" t="n">
        <x:v>80036</x:v>
      </x:c>
      <x:c r="E4612" s="18" t="n">
        <x:v>12.16</x:v>
      </x:c>
      <x:c r="F4612" s="18" t="n">
        <x:v>17.28</x:v>
      </x:c>
      <x:c r="G4612" t="n">
        <x:v>36</x:v>
      </x:c>
      <x:c r="H4612" t="str">
        <x:v>E</x:v>
      </x:c>
      <x:c r="I4612" t="str">
        <x:v>10+ years</x:v>
      </x:c>
      <x:c r="J4612" t="str">
        <x:v>OWN</x:v>
      </x:c>
      <x:c r="K4612" t="str">
        <x:v>home_improvement</x:v>
      </x:c>
      <x:c r="L4612" t="n">
        <x:v>1</x:v>
      </x:c>
      <x:c r="M4612" t="n">
        <x:v>1</x:v>
      </x:c>
      <x:c r="N4612" t="str">
        <x:v>Charged Off</x:v>
      </x:c>
      <x:c r="O4612" t="str">
        <x:f>IF(D4612="","Unknown",IF(D4612&lt;25000,"&lt;$25k",IF(D4612&lt;50000,"$25k-$50k",IF(D4612&lt;75000,"$50k-$75k",IF(D4612&lt;100000,"$75k-$100k","$100k+")))))</x:f>
        <x:v>$75k-$100k</x:v>
      </x:c>
      <x:c r="P4612" t="str">
        <x:f>IF(E4612="","Unknown",IF(E4612&lt;10,"&lt;10",IF(E4612&lt;20,"10-&lt;20",IF(E4612&lt;25,"20-&lt;25",IF(E4612&lt;35,"25-&lt;35","35+")))))</x:f>
        <x:v>10-&lt;20</x:v>
      </x:c>
    </x:row>
    <x:row r="4613">
      <x:c r="A4613" t="str">
        <x:v>SYN0004612</x:v>
      </x:c>
      <x:c r="B4613" s="12" t="n">
        <x:v>42505</x:v>
      </x:c>
      <x:c r="C4613" s="18" t="n">
        <x:v>22141</x:v>
      </x:c>
      <x:c r="D4613" s="18" t="n">
        <x:v>28678</x:v>
      </x:c>
      <x:c r="E4613" s="18" t="n">
        <x:v>15.73</x:v>
      </x:c>
      <x:c r="F4613" s="18" t="n">
        <x:v>8.91</x:v>
      </x:c>
      <x:c r="G4613" t="n">
        <x:v>36</x:v>
      </x:c>
      <x:c r="H4613" t="str">
        <x:v>C</x:v>
      </x:c>
      <x:c r="I4613" t="str">
        <x:v>4-6 years</x:v>
      </x:c>
      <x:c r="J4613" t="str">
        <x:v>RENT</x:v>
      </x:c>
      <x:c r="K4613" t="str">
        <x:v>debt_consolidation</x:v>
      </x:c>
      <x:c r="L4613" t="n">
        <x:v>0</x:v>
      </x:c>
      <x:c r="M4613" t="n">
        <x:v>0</x:v>
      </x:c>
      <x:c r="N4613" t="str">
        <x:v>Fully Paid</x:v>
      </x:c>
      <x:c r="O4613" t="str">
        <x:f>IF(D4613="","Unknown",IF(D4613&lt;25000,"&lt;$25k",IF(D4613&lt;50000,"$25k-$50k",IF(D4613&lt;75000,"$50k-$75k",IF(D4613&lt;100000,"$75k-$100k","$100k+")))))</x:f>
        <x:v>$25k-$50k</x:v>
      </x:c>
      <x:c r="P4613" t="str">
        <x:f>IF(E4613="","Unknown",IF(E4613&lt;10,"&lt;10",IF(E4613&lt;20,"10-&lt;20",IF(E4613&lt;25,"20-&lt;25",IF(E4613&lt;35,"25-&lt;35","35+")))))</x:f>
        <x:v>10-&lt;20</x:v>
      </x:c>
    </x:row>
    <x:row r="4614">
      <x:c r="A4614" t="str">
        <x:v>SYN0004613</x:v>
      </x:c>
      <x:c r="B4614" s="12" t="n">
        <x:v>42055</x:v>
      </x:c>
      <x:c r="C4614" s="18" t="n">
        <x:v>15814</x:v>
      </x:c>
      <x:c r="D4614" s="18" t="n">
        <x:v>42746</x:v>
      </x:c>
      <x:c r="E4614" s="18" t="n">
        <x:v>13.23</x:v>
      </x:c>
      <x:c r="F4614" s="18" t="n">
        <x:v>25.77</x:v>
      </x:c>
      <x:c r="G4614" t="n">
        <x:v>36</x:v>
      </x:c>
      <x:c r="H4614" t="str">
        <x:v>G</x:v>
      </x:c>
      <x:c r="I4614" t="str">
        <x:v>4-6 years</x:v>
      </x:c>
      <x:c r="J4614" t="str">
        <x:v>RENT</x:v>
      </x:c>
      <x:c r="K4614" t="str">
        <x:v>credit_card</x:v>
      </x:c>
      <x:c r="L4614" t="n">
        <x:v>0</x:v>
      </x:c>
      <x:c r="M4614" t="n">
        <x:v>1</x:v>
      </x:c>
      <x:c r="N4614" t="str">
        <x:v>Charged Off</x:v>
      </x:c>
      <x:c r="O4614" t="str">
        <x:f>IF(D4614="","Unknown",IF(D4614&lt;25000,"&lt;$25k",IF(D4614&lt;50000,"$25k-$50k",IF(D4614&lt;75000,"$50k-$75k",IF(D4614&lt;100000,"$75k-$100k","$100k+")))))</x:f>
        <x:v>$25k-$50k</x:v>
      </x:c>
      <x:c r="P4614" t="str">
        <x:f>IF(E4614="","Unknown",IF(E4614&lt;10,"&lt;10",IF(E4614&lt;20,"10-&lt;20",IF(E4614&lt;25,"20-&lt;25",IF(E4614&lt;35,"25-&lt;35","35+")))))</x:f>
        <x:v>10-&lt;20</x:v>
      </x:c>
    </x:row>
    <x:row r="4615">
      <x:c r="A4615" t="str">
        <x:v>SYN0004614</x:v>
      </x:c>
      <x:c r="B4615" s="12" t="n">
        <x:v>41515</x:v>
      </x:c>
      <x:c r="C4615" s="18" t="n">
        <x:v>40000</x:v>
      </x:c>
      <x:c r="D4615" s="18" t="n">
        <x:v>34643</x:v>
      </x:c>
      <x:c r="E4615" s="18" t="n">
        <x:v>31.28</x:v>
      </x:c>
      <x:c r="F4615" s="18" t="n">
        <x:v>13.45</x:v>
      </x:c>
      <x:c r="G4615" t="n">
        <x:v>60</x:v>
      </x:c>
      <x:c r="H4615" t="str">
        <x:v>D</x:v>
      </x:c>
      <x:c r="I4615" t="str">
        <x:v>4-6 years</x:v>
      </x:c>
      <x:c r="J4615" t="str">
        <x:v>RENT</x:v>
      </x:c>
      <x:c r="K4615" t="str">
        <x:v>credit_card</x:v>
      </x:c>
      <x:c r="L4615" t="n">
        <x:v>0</x:v>
      </x:c>
      <x:c r="M4615" t="n">
        <x:v>0</x:v>
      </x:c>
      <x:c r="N4615" t="str">
        <x:v>Fully Paid</x:v>
      </x:c>
      <x:c r="O4615" t="str">
        <x:f>IF(D4615="","Unknown",IF(D4615&lt;25000,"&lt;$25k",IF(D4615&lt;50000,"$25k-$50k",IF(D4615&lt;75000,"$50k-$75k",IF(D4615&lt;100000,"$75k-$100k","$100k+")))))</x:f>
        <x:v>$25k-$50k</x:v>
      </x:c>
      <x:c r="P4615" t="str">
        <x:f>IF(E4615="","Unknown",IF(E4615&lt;10,"&lt;10",IF(E4615&lt;20,"10-&lt;20",IF(E4615&lt;25,"20-&lt;25",IF(E4615&lt;35,"25-&lt;35","35+")))))</x:f>
        <x:v>25-&lt;35</x:v>
      </x:c>
    </x:row>
    <x:row r="4616">
      <x:c r="A4616" t="str">
        <x:v>SYN0004615</x:v>
      </x:c>
      <x:c r="B4616" s="12" t="n">
        <x:v>43345</x:v>
      </x:c>
      <x:c r="C4616" s="18" t="n">
        <x:v>9613</x:v>
      </x:c>
      <x:c r="D4616" s="18" t="n">
        <x:v>89047</x:v>
      </x:c>
      <x:c r="E4616" s="18" t="n">
        <x:v>24.48</x:v>
      </x:c>
      <x:c r="F4616" s="18" t="n">
        <x:v>19.03</x:v>
      </x:c>
      <x:c r="G4616" t="n">
        <x:v>36</x:v>
      </x:c>
      <x:c r="H4616" t="str">
        <x:v>E</x:v>
      </x:c>
      <x:c r="I4616" t="str">
        <x:v>7-9 years</x:v>
      </x:c>
      <x:c r="J4616" t="str">
        <x:v>MORTGAGE</x:v>
      </x:c>
      <x:c r="K4616" t="str">
        <x:v>home_improvement</x:v>
      </x:c>
      <x:c r="L4616" t="n">
        <x:v>1</x:v>
      </x:c>
      <x:c r="M4616" t="n">
        <x:v>0</x:v>
      </x:c>
      <x:c r="N4616" t="str">
        <x:v>Fully Paid</x:v>
      </x:c>
      <x:c r="O4616" t="str">
        <x:f>IF(D4616="","Unknown",IF(D4616&lt;25000,"&lt;$25k",IF(D4616&lt;50000,"$25k-$50k",IF(D4616&lt;75000,"$50k-$75k",IF(D4616&lt;100000,"$75k-$100k","$100k+")))))</x:f>
        <x:v>$75k-$100k</x:v>
      </x:c>
      <x:c r="P4616" t="str">
        <x:f>IF(E4616="","Unknown",IF(E4616&lt;10,"&lt;10",IF(E4616&lt;20,"10-&lt;20",IF(E4616&lt;25,"20-&lt;25",IF(E4616&lt;35,"25-&lt;35","35+")))))</x:f>
        <x:v>20-&lt;25</x:v>
      </x:c>
    </x:row>
    <x:row r="4617">
      <x:c r="A4617" t="str">
        <x:v>SYN0004616</x:v>
      </x:c>
      <x:c r="B4617" s="12" t="n">
        <x:v>43375</x:v>
      </x:c>
      <x:c r="C4617" s="18" t="n">
        <x:v>7809</x:v>
      </x:c>
      <x:c r="D4617" s="18" t="n">
        <x:v>30389</x:v>
      </x:c>
      <x:c r="E4617" s="18" t="n">
        <x:v>15.47</x:v>
      </x:c>
      <x:c r="F4617" s="18" t="n">
        <x:v>8.97</x:v>
      </x:c>
      <x:c r="G4617" t="n">
        <x:v>60</x:v>
      </x:c>
      <x:c r="H4617" t="str">
        <x:v>B</x:v>
      </x:c>
      <x:c r="I4617" t="str">
        <x:v>&lt;1 year</x:v>
      </x:c>
      <x:c r="J4617" t="str">
        <x:v>MORTGAGE</x:v>
      </x:c>
      <x:c r="K4617" t="str">
        <x:v>debt_consolidation</x:v>
      </x:c>
      <x:c r="L4617" t="n">
        <x:v>0</x:v>
      </x:c>
      <x:c r="M4617" t="n">
        <x:v>0</x:v>
      </x:c>
      <x:c r="N4617" t="str">
        <x:v>Fully Paid</x:v>
      </x:c>
      <x:c r="O4617" t="str">
        <x:f>IF(D4617="","Unknown",IF(D4617&lt;25000,"&lt;$25k",IF(D4617&lt;50000,"$25k-$50k",IF(D4617&lt;75000,"$50k-$75k",IF(D4617&lt;100000,"$75k-$100k","$100k+")))))</x:f>
        <x:v>$25k-$50k</x:v>
      </x:c>
      <x:c r="P4617" t="str">
        <x:f>IF(E4617="","Unknown",IF(E4617&lt;10,"&lt;10",IF(E4617&lt;20,"10-&lt;20",IF(E4617&lt;25,"20-&lt;25",IF(E4617&lt;35,"25-&lt;35","35+")))))</x:f>
        <x:v>10-&lt;20</x:v>
      </x:c>
    </x:row>
    <x:row r="4618">
      <x:c r="A4618" t="str">
        <x:v>SYN0004617</x:v>
      </x:c>
      <x:c r="B4618" s="12" t="n">
        <x:v>42505</x:v>
      </x:c>
      <x:c r="C4618" s="18" t="n">
        <x:v>16205</x:v>
      </x:c>
      <x:c r="D4618" s="18" t="n">
        <x:v>27855</x:v>
      </x:c>
      <x:c r="E4618" s="18" t="n">
        <x:v>12.82</x:v>
      </x:c>
      <x:c r="F4618" s="18" t="n">
        <x:v>13.28</x:v>
      </x:c>
      <x:c r="G4618" t="n">
        <x:v>36</x:v>
      </x:c>
      <x:c r="H4618" t="str">
        <x:v>C</x:v>
      </x:c>
      <x:c r="I4618" t="str">
        <x:v>&lt;1 year</x:v>
      </x:c>
      <x:c r="J4618" t="str">
        <x:v>RENT</x:v>
      </x:c>
      <x:c r="K4618" t="str">
        <x:v>credit_card</x:v>
      </x:c>
      <x:c r="L4618" t="n">
        <x:v>1</x:v>
      </x:c>
      <x:c r="M4618" t="n">
        <x:v>0</x:v>
      </x:c>
      <x:c r="N4618" t="str">
        <x:v>Fully Paid</x:v>
      </x:c>
      <x:c r="O4618" t="str">
        <x:f>IF(D4618="","Unknown",IF(D4618&lt;25000,"&lt;$25k",IF(D4618&lt;50000,"$25k-$50k",IF(D4618&lt;75000,"$50k-$75k",IF(D4618&lt;100000,"$75k-$100k","$100k+")))))</x:f>
        <x:v>$25k-$50k</x:v>
      </x:c>
      <x:c r="P4618" t="str">
        <x:f>IF(E4618="","Unknown",IF(E4618&lt;10,"&lt;10",IF(E4618&lt;20,"10-&lt;20",IF(E4618&lt;25,"20-&lt;25",IF(E4618&lt;35,"25-&lt;35","35+")))))</x:f>
        <x:v>10-&lt;20</x:v>
      </x:c>
    </x:row>
    <x:row r="4619">
      <x:c r="A4619" t="str">
        <x:v>SYN0004618</x:v>
      </x:c>
      <x:c r="B4619" s="12" t="n">
        <x:v>42115</x:v>
      </x:c>
      <x:c r="C4619" s="18" t="n">
        <x:v>14992</x:v>
      </x:c>
      <x:c r="D4619" s="18" t="n">
        <x:v>193010</x:v>
      </x:c>
      <x:c r="E4619" s="18" t="n">
        <x:v>22.16</x:v>
      </x:c>
      <x:c r="F4619" s="18" t="n">
        <x:v>13.69</x:v>
      </x:c>
      <x:c r="G4619" t="n">
        <x:v>36</x:v>
      </x:c>
      <x:c r="H4619" t="str">
        <x:v>D</x:v>
      </x:c>
      <x:c r="I4619" t="str">
        <x:v>10+ years</x:v>
      </x:c>
      <x:c r="J4619" t="str">
        <x:v>RENT</x:v>
      </x:c>
      <x:c r="K4619" t="str">
        <x:v>debt_consolidation</x:v>
      </x:c>
      <x:c r="L4619" t="n">
        <x:v>0</x:v>
      </x:c>
      <x:c r="M4619" t="n">
        <x:v>0</x:v>
      </x:c>
      <x:c r="N4619" t="str">
        <x:v>Fully Paid</x:v>
      </x:c>
      <x:c r="O4619" t="str">
        <x:f>IF(D4619="","Unknown",IF(D4619&lt;25000,"&lt;$25k",IF(D4619&lt;50000,"$25k-$50k",IF(D4619&lt;75000,"$50k-$75k",IF(D4619&lt;100000,"$75k-$100k","$100k+")))))</x:f>
        <x:v>$100k+</x:v>
      </x:c>
      <x:c r="P4619" t="str">
        <x:f>IF(E4619="","Unknown",IF(E4619&lt;10,"&lt;10",IF(E4619&lt;20,"10-&lt;20",IF(E4619&lt;25,"20-&lt;25",IF(E4619&lt;35,"25-&lt;35","35+")))))</x:f>
        <x:v>20-&lt;25</x:v>
      </x:c>
    </x:row>
    <x:row r="4620">
      <x:c r="A4620" t="str">
        <x:v>SYN0004619</x:v>
      </x:c>
      <x:c r="B4620" s="12" t="n">
        <x:v>41755</x:v>
      </x:c>
      <x:c r="C4620" s="18" t="n">
        <x:v>33410</x:v>
      </x:c>
      <x:c r="D4620" s="18" t="n">
        <x:v>40275</x:v>
      </x:c>
      <x:c r="E4620" s="18" t="n">
        <x:v>33.31</x:v>
      </x:c>
      <x:c r="F4620" s="18" t="n">
        <x:v>29.89</x:v>
      </x:c>
      <x:c r="G4620" t="n">
        <x:v>60</x:v>
      </x:c>
      <x:c r="H4620" t="str">
        <x:v>G</x:v>
      </x:c>
      <x:c r="I4620" t="str">
        <x:v>10+ years</x:v>
      </x:c>
      <x:c r="J4620" t="str">
        <x:v>MORTGAGE</x:v>
      </x:c>
      <x:c r="K4620" t="str">
        <x:v>debt_consolidation</x:v>
      </x:c>
      <x:c r="L4620" t="n">
        <x:v>1</x:v>
      </x:c>
      <x:c r="M4620" t="n">
        <x:v>0</x:v>
      </x:c>
      <x:c r="N4620" t="str">
        <x:v>Fully Paid</x:v>
      </x:c>
      <x:c r="O4620" t="str">
        <x:f>IF(D4620="","Unknown",IF(D4620&lt;25000,"&lt;$25k",IF(D4620&lt;50000,"$25k-$50k",IF(D4620&lt;75000,"$50k-$75k",IF(D4620&lt;100000,"$75k-$100k","$100k+")))))</x:f>
        <x:v>$25k-$50k</x:v>
      </x:c>
      <x:c r="P4620" t="str">
        <x:f>IF(E4620="","Unknown",IF(E4620&lt;10,"&lt;10",IF(E4620&lt;20,"10-&lt;20",IF(E4620&lt;25,"20-&lt;25",IF(E4620&lt;35,"25-&lt;35","35+")))))</x:f>
        <x:v>25-&lt;35</x:v>
      </x:c>
    </x:row>
    <x:row r="4621">
      <x:c r="A4621" t="str">
        <x:v>SYN0004620</x:v>
      </x:c>
      <x:c r="B4621" s="12" t="n">
        <x:v>41995</x:v>
      </x:c>
      <x:c r="C4621" s="18" t="n">
        <x:v>7474</x:v>
      </x:c>
      <x:c r="D4621" s="18" t="n">
        <x:v>50273</x:v>
      </x:c>
      <x:c r="E4621" s="18" t="n">
        <x:v>20.4</x:v>
      </x:c>
      <x:c r="F4621" s="18" t="n">
        <x:v>6.94</x:v>
      </x:c>
      <x:c r="G4621" t="n">
        <x:v>36</x:v>
      </x:c>
      <x:c r="H4621" t="str">
        <x:v>A</x:v>
      </x:c>
      <x:c r="I4621" t="str">
        <x:v>7-9 years</x:v>
      </x:c>
      <x:c r="J4621" t="str">
        <x:v>MORTGAGE</x:v>
      </x:c>
      <x:c r="K4621" t="str">
        <x:v>home_improvement</x:v>
      </x:c>
      <x:c r="L4621" t="n">
        <x:v>0</x:v>
      </x:c>
      <x:c r="M4621" t="n">
        <x:v>0</x:v>
      </x:c>
      <x:c r="N4621" t="str">
        <x:v>Fully Paid</x:v>
      </x:c>
      <x:c r="O4621" t="str">
        <x:f>IF(D4621="","Unknown",IF(D4621&lt;25000,"&lt;$25k",IF(D4621&lt;50000,"$25k-$50k",IF(D4621&lt;75000,"$50k-$75k",IF(D4621&lt;100000,"$75k-$100k","$100k+")))))</x:f>
        <x:v>$50k-$75k</x:v>
      </x:c>
      <x:c r="P4621" t="str">
        <x:f>IF(E4621="","Unknown",IF(E4621&lt;10,"&lt;10",IF(E4621&lt;20,"10-&lt;20",IF(E4621&lt;25,"20-&lt;25",IF(E4621&lt;35,"25-&lt;35","35+")))))</x:f>
        <x:v>20-&lt;25</x:v>
      </x:c>
    </x:row>
    <x:row r="4622">
      <x:c r="A4622" t="str">
        <x:v>SYN0004621</x:v>
      </x:c>
      <x:c r="B4622" s="12" t="n">
        <x:v>41545</x:v>
      </x:c>
      <x:c r="C4622" s="18" t="n">
        <x:v>29898</x:v>
      </x:c>
      <x:c r="D4622" s="18" t="n">
        <x:v>164295</x:v>
      </x:c>
      <x:c r="E4622" s="18" t="n">
        <x:v>9.24</x:v>
      </x:c>
      <x:c r="F4622" s="18" t="n">
        <x:v>16.46</x:v>
      </x:c>
      <x:c r="G4622" t="n">
        <x:v>36</x:v>
      </x:c>
      <x:c r="H4622" t="str">
        <x:v>D</x:v>
      </x:c>
      <x:c r="I4622" t="str">
        <x:v>10+ years</x:v>
      </x:c>
      <x:c r="J4622" t="str">
        <x:v>OTHER</x:v>
      </x:c>
      <x:c r="K4622" t="str">
        <x:v>debt_consolidation</x:v>
      </x:c>
      <x:c r="L4622" t="n">
        <x:v>1</x:v>
      </x:c>
      <x:c r="M4622" t="n">
        <x:v>0</x:v>
      </x:c>
      <x:c r="N4622" t="str">
        <x:v>Fully Paid</x:v>
      </x:c>
      <x:c r="O4622" t="str">
        <x:f>IF(D4622="","Unknown",IF(D4622&lt;25000,"&lt;$25k",IF(D4622&lt;50000,"$25k-$50k",IF(D4622&lt;75000,"$50k-$75k",IF(D4622&lt;100000,"$75k-$100k","$100k+")))))</x:f>
        <x:v>$100k+</x:v>
      </x:c>
      <x:c r="P4622" t="str">
        <x:f>IF(E4622="","Unknown",IF(E4622&lt;10,"&lt;10",IF(E4622&lt;20,"10-&lt;20",IF(E4622&lt;25,"20-&lt;25",IF(E4622&lt;35,"25-&lt;35","35+")))))</x:f>
        <x:v>&lt;10</x:v>
      </x:c>
    </x:row>
    <x:row r="4623">
      <x:c r="A4623" t="str">
        <x:v>SYN0004622</x:v>
      </x:c>
      <x:c r="B4623" s="12" t="n">
        <x:v>41365</x:v>
      </x:c>
      <x:c r="C4623" s="18" t="n">
        <x:v>14312</x:v>
      </x:c>
      <x:c r="D4623" s="18" t="n">
        <x:v>113117</x:v>
      </x:c>
      <x:c r="E4623" s="18" t="n">
        <x:v>23.15</x:v>
      </x:c>
      <x:c r="F4623" s="18" t="n">
        <x:v>8.7</x:v>
      </x:c>
      <x:c r="G4623" t="n">
        <x:v>36</x:v>
      </x:c>
      <x:c r="H4623" t="str">
        <x:v>A</x:v>
      </x:c>
      <x:c r="I4623" t="str">
        <x:v>10+ years</x:v>
      </x:c>
      <x:c r="J4623" t="str">
        <x:v>MORTGAGE</x:v>
      </x:c>
      <x:c r="K4623" t="str">
        <x:v>credit_card</x:v>
      </x:c>
      <x:c r="L4623" t="n">
        <x:v>0</x:v>
      </x:c>
      <x:c r="M4623" t="n">
        <x:v>0</x:v>
      </x:c>
      <x:c r="N4623" t="str">
        <x:v>Fully Paid</x:v>
      </x:c>
      <x:c r="O4623" t="str">
        <x:f>IF(D4623="","Unknown",IF(D4623&lt;25000,"&lt;$25k",IF(D4623&lt;50000,"$25k-$50k",IF(D4623&lt;75000,"$50k-$75k",IF(D4623&lt;100000,"$75k-$100k","$100k+")))))</x:f>
        <x:v>$100k+</x:v>
      </x:c>
      <x:c r="P4623" t="str">
        <x:f>IF(E4623="","Unknown",IF(E4623&lt;10,"&lt;10",IF(E4623&lt;20,"10-&lt;20",IF(E4623&lt;25,"20-&lt;25",IF(E4623&lt;35,"25-&lt;35","35+")))))</x:f>
        <x:v>20-&lt;25</x:v>
      </x:c>
    </x:row>
    <x:row r="4624">
      <x:c r="A4624" t="str">
        <x:v>SYN0004623</x:v>
      </x:c>
      <x:c r="B4624" s="12" t="n">
        <x:v>41335</x:v>
      </x:c>
      <x:c r="C4624" s="18" t="n">
        <x:v>10876</x:v>
      </x:c>
      <x:c r="D4624" s="18" t="n">
        <x:v>40043</x:v>
      </x:c>
      <x:c r="E4624" s="18" t="n">
        <x:v>13.68</x:v>
      </x:c>
      <x:c r="F4624" s="18" t="n">
        <x:v>14.08</x:v>
      </x:c>
      <x:c r="G4624" t="n">
        <x:v>36</x:v>
      </x:c>
      <x:c r="H4624" t="str">
        <x:v>D</x:v>
      </x:c>
      <x:c r="I4624" t="str">
        <x:v>10+ years</x:v>
      </x:c>
      <x:c r="J4624" t="str">
        <x:v>MORTGAGE</x:v>
      </x:c>
      <x:c r="K4624" t="str">
        <x:v>home_improvement</x:v>
      </x:c>
      <x:c r="L4624" t="n">
        <x:v>0</x:v>
      </x:c>
      <x:c r="M4624" t="n">
        <x:v>0</x:v>
      </x:c>
      <x:c r="N4624" t="str">
        <x:v>Fully Paid</x:v>
      </x:c>
      <x:c r="O4624" t="str">
        <x:f>IF(D4624="","Unknown",IF(D4624&lt;25000,"&lt;$25k",IF(D4624&lt;50000,"$25k-$50k",IF(D4624&lt;75000,"$50k-$75k",IF(D4624&lt;100000,"$75k-$100k","$100k+")))))</x:f>
        <x:v>$25k-$50k</x:v>
      </x:c>
      <x:c r="P4624" t="str">
        <x:f>IF(E4624="","Unknown",IF(E4624&lt;10,"&lt;10",IF(E4624&lt;20,"10-&lt;20",IF(E4624&lt;25,"20-&lt;25",IF(E4624&lt;35,"25-&lt;35","35+")))))</x:f>
        <x:v>10-&lt;20</x:v>
      </x:c>
    </x:row>
    <x:row r="4625">
      <x:c r="A4625" t="str">
        <x:v>SYN0004624</x:v>
      </x:c>
      <x:c r="B4625" s="12" t="n">
        <x:v>42115</x:v>
      </x:c>
      <x:c r="C4625" s="18" t="n">
        <x:v>15951</x:v>
      </x:c>
      <x:c r="D4625" s="18" t="n">
        <x:v>34460</x:v>
      </x:c>
      <x:c r="E4625" s="18" t="n">
        <x:v>39.14</x:v>
      </x:c>
      <x:c r="F4625" s="18" t="n">
        <x:v>5.98</x:v>
      </x:c>
      <x:c r="G4625" t="n">
        <x:v>36</x:v>
      </x:c>
      <x:c r="H4625" t="str">
        <x:v>A</x:v>
      </x:c>
      <x:c r="I4625" t="str">
        <x:v>10+ years</x:v>
      </x:c>
      <x:c r="J4625" t="str">
        <x:v>RENT</x:v>
      </x:c>
      <x:c r="K4625" t="str">
        <x:v>other</x:v>
      </x:c>
      <x:c r="L4625" t="n">
        <x:v>0</x:v>
      </x:c>
      <x:c r="M4625" t="n">
        <x:v>0</x:v>
      </x:c>
      <x:c r="N4625" t="str">
        <x:v>Fully Paid</x:v>
      </x:c>
      <x:c r="O4625" t="str">
        <x:f>IF(D4625="","Unknown",IF(D4625&lt;25000,"&lt;$25k",IF(D4625&lt;50000,"$25k-$50k",IF(D4625&lt;75000,"$50k-$75k",IF(D4625&lt;100000,"$75k-$100k","$100k+")))))</x:f>
        <x:v>$25k-$50k</x:v>
      </x:c>
      <x:c r="P4625" t="str">
        <x:f>IF(E4625="","Unknown",IF(E4625&lt;10,"&lt;10",IF(E4625&lt;20,"10-&lt;20",IF(E4625&lt;25,"20-&lt;25",IF(E4625&lt;35,"25-&lt;35","35+")))))</x:f>
        <x:v>35+</x:v>
      </x:c>
    </x:row>
    <x:row r="4626">
      <x:c r="A4626" t="str">
        <x:v>SYN0004625</x:v>
      </x:c>
      <x:c r="B4626" s="12" t="n">
        <x:v>41455</x:v>
      </x:c>
      <x:c r="C4626" s="18" t="n">
        <x:v>8605</x:v>
      </x:c>
      <x:c r="D4626" s="18" t="n">
        <x:v>102298</x:v>
      </x:c>
      <x:c r="E4626" s="18" t="n">
        <x:v>25.63</x:v>
      </x:c>
      <x:c r="F4626" s="18" t="n">
        <x:v>16.15</x:v>
      </x:c>
      <x:c r="G4626" t="n">
        <x:v>36</x:v>
      </x:c>
      <x:c r="H4626" t="str">
        <x:v>E</x:v>
      </x:c>
      <x:c r="I4626" t="str">
        <x:v>10+ years</x:v>
      </x:c>
      <x:c r="J4626" t="str">
        <x:v>MORTGAGE</x:v>
      </x:c>
      <x:c r="K4626" t="str">
        <x:v>debt_consolidation</x:v>
      </x:c>
      <x:c r="L4626" t="n">
        <x:v>1</x:v>
      </x:c>
      <x:c r="M4626" t="n">
        <x:v>1</x:v>
      </x:c>
      <x:c r="N4626" t="str">
        <x:v>Charged Off</x:v>
      </x:c>
      <x:c r="O4626" t="str">
        <x:f>IF(D4626="","Unknown",IF(D4626&lt;25000,"&lt;$25k",IF(D4626&lt;50000,"$25k-$50k",IF(D4626&lt;75000,"$50k-$75k",IF(D4626&lt;100000,"$75k-$100k","$100k+")))))</x:f>
        <x:v>$100k+</x:v>
      </x:c>
      <x:c r="P4626" t="str">
        <x:f>IF(E4626="","Unknown",IF(E4626&lt;10,"&lt;10",IF(E4626&lt;20,"10-&lt;20",IF(E4626&lt;25,"20-&lt;25",IF(E4626&lt;35,"25-&lt;35","35+")))))</x:f>
        <x:v>25-&lt;35</x:v>
      </x:c>
    </x:row>
    <x:row r="4627">
      <x:c r="A4627" t="str">
        <x:v>SYN0004626</x:v>
      </x:c>
      <x:c r="B4627" s="12" t="n">
        <x:v>42235</x:v>
      </x:c>
      <x:c r="C4627" s="18" t="n">
        <x:v>14887</x:v>
      </x:c>
      <x:c r="D4627" s="18" t="n">
        <x:v>75730</x:v>
      </x:c>
      <x:c r="E4627" s="18" t="n">
        <x:v>26.09</x:v>
      </x:c>
      <x:c r="F4627" s="18" t="n">
        <x:v>5.24</x:v>
      </x:c>
      <x:c r="G4627" t="n">
        <x:v>36</x:v>
      </x:c>
      <x:c r="H4627" t="str">
        <x:v>A</x:v>
      </x:c>
      <x:c r="I4627" t="str">
        <x:v>10+ years</x:v>
      </x:c>
      <x:c r="J4627" t="str">
        <x:v>RENT</x:v>
      </x:c>
      <x:c r="K4627" t="str">
        <x:v>other</x:v>
      </x:c>
      <x:c r="L4627" t="n">
        <x:v>0</x:v>
      </x:c>
      <x:c r="M4627" t="n">
        <x:v>0</x:v>
      </x:c>
      <x:c r="N4627" t="str">
        <x:v>Fully Paid</x:v>
      </x:c>
      <x:c r="O4627" t="str">
        <x:f>IF(D4627="","Unknown",IF(D4627&lt;25000,"&lt;$25k",IF(D4627&lt;50000,"$25k-$50k",IF(D4627&lt;75000,"$50k-$75k",IF(D4627&lt;100000,"$75k-$100k","$100k+")))))</x:f>
        <x:v>$75k-$100k</x:v>
      </x:c>
      <x:c r="P4627" t="str">
        <x:f>IF(E4627="","Unknown",IF(E4627&lt;10,"&lt;10",IF(E4627&lt;20,"10-&lt;20",IF(E4627&lt;25,"20-&lt;25",IF(E4627&lt;35,"25-&lt;35","35+")))))</x:f>
        <x:v>25-&lt;35</x:v>
      </x:c>
    </x:row>
    <x:row r="4628">
      <x:c r="A4628" t="str">
        <x:v>SYN0004627</x:v>
      </x:c>
      <x:c r="B4628" s="12" t="n">
        <x:v>42025</x:v>
      </x:c>
      <x:c r="C4628" s="18" t="n">
        <x:v>10168</x:v>
      </x:c>
      <x:c r="D4628" s="18" t="n">
        <x:v>153941</x:v>
      </x:c>
      <x:c r="E4628" s="18" t="n">
        <x:v>23.7</x:v>
      </x:c>
      <x:c r="F4628" s="18" t="n">
        <x:v>7.6</x:v>
      </x:c>
      <x:c r="G4628" t="n">
        <x:v>36</x:v>
      </x:c>
      <x:c r="H4628" t="str">
        <x:v>C</x:v>
      </x:c>
      <x:c r="I4628" t="str">
        <x:v>4-6 years</x:v>
      </x:c>
      <x:c r="J4628" t="str">
        <x:v>OWN</x:v>
      </x:c>
      <x:c r="K4628" t="str">
        <x:v>other</x:v>
      </x:c>
      <x:c r="L4628" t="n">
        <x:v>0</x:v>
      </x:c>
      <x:c r="M4628" t="n">
        <x:v>0</x:v>
      </x:c>
      <x:c r="N4628" t="str">
        <x:v>Fully Paid</x:v>
      </x:c>
      <x:c r="O4628" t="str">
        <x:f>IF(D4628="","Unknown",IF(D4628&lt;25000,"&lt;$25k",IF(D4628&lt;50000,"$25k-$50k",IF(D4628&lt;75000,"$50k-$75k",IF(D4628&lt;100000,"$75k-$100k","$100k+")))))</x:f>
        <x:v>$100k+</x:v>
      </x:c>
      <x:c r="P4628" t="str">
        <x:f>IF(E4628="","Unknown",IF(E4628&lt;10,"&lt;10",IF(E4628&lt;20,"10-&lt;20",IF(E4628&lt;25,"20-&lt;25",IF(E4628&lt;35,"25-&lt;35","35+")))))</x:f>
        <x:v>20-&lt;25</x:v>
      </x:c>
    </x:row>
    <x:row r="4629">
      <x:c r="A4629" t="str">
        <x:v>SYN0004628</x:v>
      </x:c>
      <x:c r="B4629" s="12" t="n">
        <x:v>43315</x:v>
      </x:c>
      <x:c r="C4629" s="18" t="n">
        <x:v>34697</x:v>
      </x:c>
      <x:c r="D4629" s="18" t="n">
        <x:v>103058</x:v>
      </x:c>
      <x:c r="E4629" s="18" t="n">
        <x:v>37.77</x:v>
      </x:c>
      <x:c r="F4629" s="18" t="n">
        <x:v>8.35</x:v>
      </x:c>
      <x:c r="G4629" t="n">
        <x:v>36</x:v>
      </x:c>
      <x:c r="H4629" t="str">
        <x:v>B</x:v>
      </x:c>
      <x:c r="I4629" t="str">
        <x:v>10+ years</x:v>
      </x:c>
      <x:c r="J4629" t="str">
        <x:v>OWN</x:v>
      </x:c>
      <x:c r="K4629" t="str">
        <x:v>debt_consolidation</x:v>
      </x:c>
      <x:c r="L4629" t="n">
        <x:v>1</x:v>
      </x:c>
      <x:c r="M4629" t="n">
        <x:v>0</x:v>
      </x:c>
      <x:c r="N4629" t="str">
        <x:v>Fully Paid</x:v>
      </x:c>
      <x:c r="O4629" t="str">
        <x:f>IF(D4629="","Unknown",IF(D4629&lt;25000,"&lt;$25k",IF(D4629&lt;50000,"$25k-$50k",IF(D4629&lt;75000,"$50k-$75k",IF(D4629&lt;100000,"$75k-$100k","$100k+")))))</x:f>
        <x:v>$100k+</x:v>
      </x:c>
      <x:c r="P4629" t="str">
        <x:f>IF(E4629="","Unknown",IF(E4629&lt;10,"&lt;10",IF(E4629&lt;20,"10-&lt;20",IF(E4629&lt;25,"20-&lt;25",IF(E4629&lt;35,"25-&lt;35","35+")))))</x:f>
        <x:v>35+</x:v>
      </x:c>
    </x:row>
    <x:row r="4630">
      <x:c r="A4630" t="str">
        <x:v>SYN0004629</x:v>
      </x:c>
      <x:c r="B4630" s="12" t="n">
        <x:v>41905</x:v>
      </x:c>
      <x:c r="C4630" s="18" t="n">
        <x:v>26456</x:v>
      </x:c>
      <x:c r="D4630" s="18" t="n">
        <x:v>68765</x:v>
      </x:c>
      <x:c r="E4630" s="18" t="n">
        <x:v>18.29</x:v>
      </x:c>
      <x:c r="F4630" s="18" t="n">
        <x:v>22.2</x:v>
      </x:c>
      <x:c r="G4630" t="n">
        <x:v>60</x:v>
      </x:c>
      <x:c r="H4630" t="str">
        <x:v>F</x:v>
      </x:c>
      <x:c r="I4630" t="str">
        <x:v>4-6 years</x:v>
      </x:c>
      <x:c r="J4630" t="str">
        <x:v>RENT</x:v>
      </x:c>
      <x:c r="K4630" t="str">
        <x:v>credit_card</x:v>
      </x:c>
      <x:c r="L4630" t="n">
        <x:v>0</x:v>
      </x:c>
      <x:c r="M4630" t="n">
        <x:v>1</x:v>
      </x:c>
      <x:c r="N4630" t="str">
        <x:v>Charged Off</x:v>
      </x:c>
      <x:c r="O4630" t="str">
        <x:f>IF(D4630="","Unknown",IF(D4630&lt;25000,"&lt;$25k",IF(D4630&lt;50000,"$25k-$50k",IF(D4630&lt;75000,"$50k-$75k",IF(D4630&lt;100000,"$75k-$100k","$100k+")))))</x:f>
        <x:v>$50k-$75k</x:v>
      </x:c>
      <x:c r="P4630" t="str">
        <x:f>IF(E4630="","Unknown",IF(E4630&lt;10,"&lt;10",IF(E4630&lt;20,"10-&lt;20",IF(E4630&lt;25,"20-&lt;25",IF(E4630&lt;35,"25-&lt;35","35+")))))</x:f>
        <x:v>10-&lt;20</x:v>
      </x:c>
    </x:row>
    <x:row r="4631">
      <x:c r="A4631" t="str">
        <x:v>SYN0004630</x:v>
      </x:c>
      <x:c r="B4631" s="12" t="n">
        <x:v>41425</x:v>
      </x:c>
      <x:c r="C4631" s="18" t="n">
        <x:v>8105</x:v>
      </x:c>
      <x:c r="D4631" s="18" t="n">
        <x:v>34596</x:v>
      </x:c>
      <x:c r="E4631" s="18" t="n">
        <x:v>40.46</x:v>
      </x:c>
      <x:c r="F4631" s="18" t="n">
        <x:v>26.94</x:v>
      </x:c>
      <x:c r="G4631" t="n">
        <x:v>36</x:v>
      </x:c>
      <x:c r="H4631" t="str">
        <x:v>G</x:v>
      </x:c>
      <x:c r="I4631" t="str">
        <x:v>&lt;1 year</x:v>
      </x:c>
      <x:c r="J4631" t="str">
        <x:v>MORTGAGE</x:v>
      </x:c>
      <x:c r="K4631" t="str">
        <x:v>credit_card</x:v>
      </x:c>
      <x:c r="L4631" t="n">
        <x:v>1</x:v>
      </x:c>
      <x:c r="M4631" t="n">
        <x:v>0</x:v>
      </x:c>
      <x:c r="N4631" t="str">
        <x:v>Fully Paid</x:v>
      </x:c>
      <x:c r="O4631" t="str">
        <x:f>IF(D4631="","Unknown",IF(D4631&lt;25000,"&lt;$25k",IF(D4631&lt;50000,"$25k-$50k",IF(D4631&lt;75000,"$50k-$75k",IF(D4631&lt;100000,"$75k-$100k","$100k+")))))</x:f>
        <x:v>$25k-$50k</x:v>
      </x:c>
      <x:c r="P4631" t="str">
        <x:f>IF(E4631="","Unknown",IF(E4631&lt;10,"&lt;10",IF(E4631&lt;20,"10-&lt;20",IF(E4631&lt;25,"20-&lt;25",IF(E4631&lt;35,"25-&lt;35","35+")))))</x:f>
        <x:v>35+</x:v>
      </x:c>
    </x:row>
    <x:row r="4632">
      <x:c r="A4632" t="str">
        <x:v>SYN0004631</x:v>
      </x:c>
      <x:c r="B4632" s="12" t="n">
        <x:v>42475</x:v>
      </x:c>
      <x:c r="C4632" s="18" t="n">
        <x:v>13405</x:v>
      </x:c>
      <x:c r="D4632" s="18" t="n">
        <x:v>134275</x:v>
      </x:c>
      <x:c r="E4632" s="18" t="n">
        <x:v>18.69</x:v>
      </x:c>
      <x:c r="F4632" s="18" t="n">
        <x:v>6.11</x:v>
      </x:c>
      <x:c r="G4632" t="n">
        <x:v>60</x:v>
      </x:c>
      <x:c r="H4632" t="str">
        <x:v>A</x:v>
      </x:c>
      <x:c r="I4632" t="str">
        <x:v>10+ years</x:v>
      </x:c>
      <x:c r="J4632" t="str">
        <x:v>OWN</x:v>
      </x:c>
      <x:c r="K4632" t="str">
        <x:v>debt_consolidation</x:v>
      </x:c>
      <x:c r="L4632" t="n">
        <x:v>1</x:v>
      </x:c>
      <x:c r="M4632" t="n">
        <x:v>0</x:v>
      </x:c>
      <x:c r="N4632" t="str">
        <x:v>Fully Paid</x:v>
      </x:c>
      <x:c r="O4632" t="str">
        <x:f>IF(D4632="","Unknown",IF(D4632&lt;25000,"&lt;$25k",IF(D4632&lt;50000,"$25k-$50k",IF(D4632&lt;75000,"$50k-$75k",IF(D4632&lt;100000,"$75k-$100k","$100k+")))))</x:f>
        <x:v>$100k+</x:v>
      </x:c>
      <x:c r="P4632" t="str">
        <x:f>IF(E4632="","Unknown",IF(E4632&lt;10,"&lt;10",IF(E4632&lt;20,"10-&lt;20",IF(E4632&lt;25,"20-&lt;25",IF(E4632&lt;35,"25-&lt;35","35+")))))</x:f>
        <x:v>10-&lt;20</x:v>
      </x:c>
    </x:row>
    <x:row r="4633">
      <x:c r="A4633" t="str">
        <x:v>SYN0004632</x:v>
      </x:c>
      <x:c r="B4633" s="12" t="n">
        <x:v>43375</x:v>
      </x:c>
      <x:c r="C4633" s="18" t="n">
        <x:v>36640</x:v>
      </x:c>
      <x:c r="D4633" s="18" t="n">
        <x:v>22674</x:v>
      </x:c>
      <x:c r="E4633" s="18" t="n">
        <x:v>21.1</x:v>
      </x:c>
      <x:c r="F4633" s="18" t="n">
        <x:v>12.79</x:v>
      </x:c>
      <x:c r="G4633" t="n">
        <x:v>60</x:v>
      </x:c>
      <x:c r="H4633" t="str">
        <x:v>D</x:v>
      </x:c>
      <x:c r="I4633" t="str">
        <x:v>1-3 years</x:v>
      </x:c>
      <x:c r="J4633" t="str">
        <x:v>MORTGAGE</x:v>
      </x:c>
      <x:c r="K4633" t="str">
        <x:v>major_purchase</x:v>
      </x:c>
      <x:c r="L4633" t="n">
        <x:v>2</x:v>
      </x:c>
      <x:c r="M4633" t="n">
        <x:v>0</x:v>
      </x:c>
      <x:c r="N4633" t="str">
        <x:v>Fully Paid</x:v>
      </x:c>
      <x:c r="O4633" t="str">
        <x:f>IF(D4633="","Unknown",IF(D4633&lt;25000,"&lt;$25k",IF(D4633&lt;50000,"$25k-$50k",IF(D4633&lt;75000,"$50k-$75k",IF(D4633&lt;100000,"$75k-$100k","$100k+")))))</x:f>
        <x:v>&lt;$25k</x:v>
      </x:c>
      <x:c r="P4633" t="str">
        <x:f>IF(E4633="","Unknown",IF(E4633&lt;10,"&lt;10",IF(E4633&lt;20,"10-&lt;20",IF(E4633&lt;25,"20-&lt;25",IF(E4633&lt;35,"25-&lt;35","35+")))))</x:f>
        <x:v>20-&lt;25</x:v>
      </x:c>
    </x:row>
    <x:row r="4634">
      <x:c r="A4634" t="str">
        <x:v>SYN0004633</x:v>
      </x:c>
      <x:c r="B4634" s="12" t="n">
        <x:v>41635</x:v>
      </x:c>
      <x:c r="C4634" s="18" t="n">
        <x:v>9346</x:v>
      </x:c>
      <x:c r="D4634" s="18" t="n">
        <x:v>24942</x:v>
      </x:c>
      <x:c r="E4634" s="18" t="n">
        <x:v>17.66</x:v>
      </x:c>
      <x:c r="F4634" s="18" t="n">
        <x:v>5</x:v>
      </x:c>
      <x:c r="G4634" t="n">
        <x:v>36</x:v>
      </x:c>
      <x:c r="H4634" t="str">
        <x:v>A</x:v>
      </x:c>
      <x:c r="I4634" t="str">
        <x:v>1-3 years</x:v>
      </x:c>
      <x:c r="J4634" t="str">
        <x:v>RENT</x:v>
      </x:c>
      <x:c r="K4634" t="str">
        <x:v>debt_consolidation</x:v>
      </x:c>
      <x:c r="L4634" t="n">
        <x:v>0</x:v>
      </x:c>
      <x:c r="M4634" t="n">
        <x:v>1</x:v>
      </x:c>
      <x:c r="N4634" t="str">
        <x:v>Charged Off</x:v>
      </x:c>
      <x:c r="O4634" t="str">
        <x:f>IF(D4634="","Unknown",IF(D4634&lt;25000,"&lt;$25k",IF(D4634&lt;50000,"$25k-$50k",IF(D4634&lt;75000,"$50k-$75k",IF(D4634&lt;100000,"$75k-$100k","$100k+")))))</x:f>
        <x:v>&lt;$25k</x:v>
      </x:c>
      <x:c r="P4634" t="str">
        <x:f>IF(E4634="","Unknown",IF(E4634&lt;10,"&lt;10",IF(E4634&lt;20,"10-&lt;20",IF(E4634&lt;25,"20-&lt;25",IF(E4634&lt;35,"25-&lt;35","35+")))))</x:f>
        <x:v>10-&lt;20</x:v>
      </x:c>
    </x:row>
    <x:row r="4635">
      <x:c r="A4635" t="str">
        <x:v>SYN0004634</x:v>
      </x:c>
      <x:c r="B4635" s="12" t="n">
        <x:v>42145</x:v>
      </x:c>
      <x:c r="C4635" s="18" t="n">
        <x:v>22381</x:v>
      </x:c>
      <x:c r="D4635" s="18" t="n">
        <x:v>38094</x:v>
      </x:c>
      <x:c r="E4635" s="18" t="n">
        <x:v>18.16</x:v>
      </x:c>
      <x:c r="F4635" s="18" t="n">
        <x:v>11.07</x:v>
      </x:c>
      <x:c r="G4635" t="n">
        <x:v>36</x:v>
      </x:c>
      <x:c r="H4635" t="str">
        <x:v>C</x:v>
      </x:c>
      <x:c r="I4635" t="str">
        <x:v>1-3 years</x:v>
      </x:c>
      <x:c r="J4635" t="str">
        <x:v>OWN</x:v>
      </x:c>
      <x:c r="K4635" t="str">
        <x:v>debt_consolidation</x:v>
      </x:c>
      <x:c r="L4635" t="n">
        <x:v>0</x:v>
      </x:c>
      <x:c r="M4635" t="n">
        <x:v>0</x:v>
      </x:c>
      <x:c r="N4635" t="str">
        <x:v>Fully Paid</x:v>
      </x:c>
      <x:c r="O4635" t="str">
        <x:f>IF(D4635="","Unknown",IF(D4635&lt;25000,"&lt;$25k",IF(D4635&lt;50000,"$25k-$50k",IF(D4635&lt;75000,"$50k-$75k",IF(D4635&lt;100000,"$75k-$100k","$100k+")))))</x:f>
        <x:v>$25k-$50k</x:v>
      </x:c>
      <x:c r="P4635" t="str">
        <x:f>IF(E4635="","Unknown",IF(E4635&lt;10,"&lt;10",IF(E4635&lt;20,"10-&lt;20",IF(E4635&lt;25,"20-&lt;25",IF(E4635&lt;35,"25-&lt;35","35+")))))</x:f>
        <x:v>10-&lt;20</x:v>
      </x:c>
    </x:row>
    <x:row r="4636">
      <x:c r="A4636" t="str">
        <x:v>SYN0004635</x:v>
      </x:c>
      <x:c r="B4636" s="12" t="n">
        <x:v>42085</x:v>
      </x:c>
      <x:c r="C4636" s="18" t="n">
        <x:v>8470</x:v>
      </x:c>
      <x:c r="D4636" s="18" t="n">
        <x:v>115528</x:v>
      </x:c>
      <x:c r="E4636" s="18" t="n">
        <x:v>8.84</x:v>
      </x:c>
      <x:c r="F4636" s="18" t="n">
        <x:v>9.66</x:v>
      </x:c>
      <x:c r="G4636" t="n">
        <x:v>36</x:v>
      </x:c>
      <x:c r="H4636" t="str">
        <x:v>C</x:v>
      </x:c>
      <x:c r="I4636" t="str">
        <x:v>1-3 years</x:v>
      </x:c>
      <x:c r="J4636" t="str">
        <x:v>RENT</x:v>
      </x:c>
      <x:c r="K4636" t="str">
        <x:v>major_purchase</x:v>
      </x:c>
      <x:c r="L4636" t="n">
        <x:v>0</x:v>
      </x:c>
      <x:c r="M4636" t="n">
        <x:v>0</x:v>
      </x:c>
      <x:c r="N4636" t="str">
        <x:v>Fully Paid</x:v>
      </x:c>
      <x:c r="O4636" t="str">
        <x:f>IF(D4636="","Unknown",IF(D4636&lt;25000,"&lt;$25k",IF(D4636&lt;50000,"$25k-$50k",IF(D4636&lt;75000,"$50k-$75k",IF(D4636&lt;100000,"$75k-$100k","$100k+")))))</x:f>
        <x:v>$100k+</x:v>
      </x:c>
      <x:c r="P4636" t="str">
        <x:f>IF(E4636="","Unknown",IF(E4636&lt;10,"&lt;10",IF(E4636&lt;20,"10-&lt;20",IF(E4636&lt;25,"20-&lt;25",IF(E4636&lt;35,"25-&lt;35","35+")))))</x:f>
        <x:v>&lt;10</x:v>
      </x:c>
    </x:row>
    <x:row r="4637">
      <x:c r="A4637" t="str">
        <x:v>SYN0004636</x:v>
      </x:c>
      <x:c r="B4637" s="12" t="n">
        <x:v>42025</x:v>
      </x:c>
      <x:c r="C4637" s="18" t="n">
        <x:v>5284</x:v>
      </x:c>
      <x:c r="D4637" s="18" t="n">
        <x:v>47122</x:v>
      </x:c>
      <x:c r="E4637" s="18" t="n">
        <x:v>13.87</x:v>
      </x:c>
      <x:c r="F4637" s="18" t="n">
        <x:v>10.42</x:v>
      </x:c>
      <x:c r="G4637" t="n">
        <x:v>36</x:v>
      </x:c>
      <x:c r="H4637" t="str">
        <x:v>B</x:v>
      </x:c>
      <x:c r="I4637" t="str">
        <x:v>4-6 years</x:v>
      </x:c>
      <x:c r="J4637" t="str">
        <x:v>RENT</x:v>
      </x:c>
      <x:c r="K4637" t="str">
        <x:v>debt_consolidation</x:v>
      </x:c>
      <x:c r="L4637" t="n">
        <x:v>0</x:v>
      </x:c>
      <x:c r="M4637" t="n">
        <x:v>1</x:v>
      </x:c>
      <x:c r="N4637" t="str">
        <x:v>Charged Off</x:v>
      </x:c>
      <x:c r="O4637" t="str">
        <x:f>IF(D4637="","Unknown",IF(D4637&lt;25000,"&lt;$25k",IF(D4637&lt;50000,"$25k-$50k",IF(D4637&lt;75000,"$50k-$75k",IF(D4637&lt;100000,"$75k-$100k","$100k+")))))</x:f>
        <x:v>$25k-$50k</x:v>
      </x:c>
      <x:c r="P4637" t="str">
        <x:f>IF(E4637="","Unknown",IF(E4637&lt;10,"&lt;10",IF(E4637&lt;20,"10-&lt;20",IF(E4637&lt;25,"20-&lt;25",IF(E4637&lt;35,"25-&lt;35","35+")))))</x:f>
        <x:v>10-&lt;20</x:v>
      </x:c>
    </x:row>
    <x:row r="4638">
      <x:c r="A4638" t="str">
        <x:v>SYN0004637</x:v>
      </x:c>
      <x:c r="B4638" s="12" t="n">
        <x:v>42625</x:v>
      </x:c>
      <x:c r="C4638" s="18" t="n">
        <x:v>22522</x:v>
      </x:c>
      <x:c r="D4638" s="18" t="n">
        <x:v>41654</x:v>
      </x:c>
      <x:c r="E4638" s="18" t="n">
        <x:v>28.49</x:v>
      </x:c>
      <x:c r="F4638" s="18" t="n">
        <x:v>11.22</x:v>
      </x:c>
      <x:c r="G4638" t="n">
        <x:v>36</x:v>
      </x:c>
      <x:c r="H4638" t="str">
        <x:v>C</x:v>
      </x:c>
      <x:c r="I4638" t="str">
        <x:v>1-3 years</x:v>
      </x:c>
      <x:c r="J4638" t="str">
        <x:v>MORTGAGE</x:v>
      </x:c>
      <x:c r="K4638" t="str">
        <x:v>debt_consolidation</x:v>
      </x:c>
      <x:c r="L4638" t="n">
        <x:v>0</x:v>
      </x:c>
      <x:c r="M4638" t="n">
        <x:v>0</x:v>
      </x:c>
      <x:c r="N4638" t="str">
        <x:v>Fully Paid</x:v>
      </x:c>
      <x:c r="O4638" t="str">
        <x:f>IF(D4638="","Unknown",IF(D4638&lt;25000,"&lt;$25k",IF(D4638&lt;50000,"$25k-$50k",IF(D4638&lt;75000,"$50k-$75k",IF(D4638&lt;100000,"$75k-$100k","$100k+")))))</x:f>
        <x:v>$25k-$50k</x:v>
      </x:c>
      <x:c r="P4638" t="str">
        <x:f>IF(E4638="","Unknown",IF(E4638&lt;10,"&lt;10",IF(E4638&lt;20,"10-&lt;20",IF(E4638&lt;25,"20-&lt;25",IF(E4638&lt;35,"25-&lt;35","35+")))))</x:f>
        <x:v>25-&lt;35</x:v>
      </x:c>
    </x:row>
    <x:row r="4639">
      <x:c r="A4639" t="str">
        <x:v>SYN0004638</x:v>
      </x:c>
      <x:c r="B4639" s="12" t="n">
        <x:v>42385</x:v>
      </x:c>
      <x:c r="C4639" s="18" t="n">
        <x:v>6299</x:v>
      </x:c>
      <x:c r="D4639" s="18" t="n">
        <x:v>64375</x:v>
      </x:c>
      <x:c r="E4639" s="18" t="n">
        <x:v>15.83</x:v>
      </x:c>
      <x:c r="F4639" s="18" t="n">
        <x:v>8.51</x:v>
      </x:c>
      <x:c r="G4639" t="n">
        <x:v>60</x:v>
      </x:c>
      <x:c r="H4639" t="str">
        <x:v>B</x:v>
      </x:c>
      <x:c r="I4639" t="str">
        <x:v>1-3 years</x:v>
      </x:c>
      <x:c r="J4639" t="str">
        <x:v>RENT</x:v>
      </x:c>
      <x:c r="K4639" t="str">
        <x:v>debt_consolidation</x:v>
      </x:c>
      <x:c r="L4639" t="n">
        <x:v>0</x:v>
      </x:c>
      <x:c r="M4639" t="n">
        <x:v>0</x:v>
      </x:c>
      <x:c r="N4639" t="str">
        <x:v>Fully Paid</x:v>
      </x:c>
      <x:c r="O4639" t="str">
        <x:f>IF(D4639="","Unknown",IF(D4639&lt;25000,"&lt;$25k",IF(D4639&lt;50000,"$25k-$50k",IF(D4639&lt;75000,"$50k-$75k",IF(D4639&lt;100000,"$75k-$100k","$100k+")))))</x:f>
        <x:v>$50k-$75k</x:v>
      </x:c>
      <x:c r="P4639" t="str">
        <x:f>IF(E4639="","Unknown",IF(E4639&lt;10,"&lt;10",IF(E4639&lt;20,"10-&lt;20",IF(E4639&lt;25,"20-&lt;25",IF(E4639&lt;35,"25-&lt;35","35+")))))</x:f>
        <x:v>10-&lt;20</x:v>
      </x:c>
    </x:row>
    <x:row r="4640">
      <x:c r="A4640" t="str">
        <x:v>SYN0004639</x:v>
      </x:c>
      <x:c r="B4640" s="12" t="n">
        <x:v>42955</x:v>
      </x:c>
      <x:c r="C4640" s="18" t="n">
        <x:v>5668</x:v>
      </x:c>
      <x:c r="D4640" s="18" t="n">
        <x:v>56566</x:v>
      </x:c>
      <x:c r="E4640" s="18" t="n">
        <x:v>28.79</x:v>
      </x:c>
      <x:c r="F4640" s="18" t="n">
        <x:v>17.23</x:v>
      </x:c>
      <x:c r="G4640" t="n">
        <x:v>60</x:v>
      </x:c>
      <x:c r="H4640" t="str">
        <x:v>E</x:v>
      </x:c>
      <x:c r="I4640" t="str">
        <x:v>4-6 years</x:v>
      </x:c>
      <x:c r="J4640" t="str">
        <x:v>RENT</x:v>
      </x:c>
      <x:c r="K4640" t="str">
        <x:v>major_purchase</x:v>
      </x:c>
      <x:c r="L4640" t="n">
        <x:v>0</x:v>
      </x:c>
      <x:c r="M4640" t="n">
        <x:v>0</x:v>
      </x:c>
      <x:c r="N4640" t="str">
        <x:v>Fully Paid</x:v>
      </x:c>
      <x:c r="O4640" t="str">
        <x:f>IF(D4640="","Unknown",IF(D4640&lt;25000,"&lt;$25k",IF(D4640&lt;50000,"$25k-$50k",IF(D4640&lt;75000,"$50k-$75k",IF(D4640&lt;100000,"$75k-$100k","$100k+")))))</x:f>
        <x:v>$50k-$75k</x:v>
      </x:c>
      <x:c r="P4640" t="str">
        <x:f>IF(E4640="","Unknown",IF(E4640&lt;10,"&lt;10",IF(E4640&lt;20,"10-&lt;20",IF(E4640&lt;25,"20-&lt;25",IF(E4640&lt;35,"25-&lt;35","35+")))))</x:f>
        <x:v>25-&lt;35</x:v>
      </x:c>
    </x:row>
    <x:row r="4641">
      <x:c r="A4641" t="str">
        <x:v>SYN0004640</x:v>
      </x:c>
      <x:c r="B4641" s="12" t="n">
        <x:v>41935</x:v>
      </x:c>
      <x:c r="C4641" s="18" t="n">
        <x:v>12952</x:v>
      </x:c>
      <x:c r="D4641" s="18" t="n">
        <x:v>120640</x:v>
      </x:c>
      <x:c r="E4641" s="18" t="n">
        <x:v>28.18</x:v>
      </x:c>
      <x:c r="F4641" s="18" t="n">
        <x:v>16.93</x:v>
      </x:c>
      <x:c r="G4641" t="n">
        <x:v>36</x:v>
      </x:c>
      <x:c r="H4641" t="str">
        <x:v>E</x:v>
      </x:c>
      <x:c r="I4641" t="str">
        <x:v>1-3 years</x:v>
      </x:c>
      <x:c r="J4641" t="str">
        <x:v>OWN</x:v>
      </x:c>
      <x:c r="K4641" t="str">
        <x:v>credit_card</x:v>
      </x:c>
      <x:c r="L4641" t="n">
        <x:v>0</x:v>
      </x:c>
      <x:c r="M4641" t="n">
        <x:v>1</x:v>
      </x:c>
      <x:c r="N4641" t="str">
        <x:v>Charged Off</x:v>
      </x:c>
      <x:c r="O4641" t="str">
        <x:f>IF(D4641="","Unknown",IF(D4641&lt;25000,"&lt;$25k",IF(D4641&lt;50000,"$25k-$50k",IF(D4641&lt;75000,"$50k-$75k",IF(D4641&lt;100000,"$75k-$100k","$100k+")))))</x:f>
        <x:v>$100k+</x:v>
      </x:c>
      <x:c r="P4641" t="str">
        <x:f>IF(E4641="","Unknown",IF(E4641&lt;10,"&lt;10",IF(E4641&lt;20,"10-&lt;20",IF(E4641&lt;25,"20-&lt;25",IF(E4641&lt;35,"25-&lt;35","35+")))))</x:f>
        <x:v>25-&lt;35</x:v>
      </x:c>
    </x:row>
    <x:row r="4642">
      <x:c r="A4642" t="str">
        <x:v>SYN0004641</x:v>
      </x:c>
      <x:c r="B4642" s="12" t="n">
        <x:v>42925</x:v>
      </x:c>
      <x:c r="C4642" s="18" t="n">
        <x:v>15646</x:v>
      </x:c>
      <x:c r="D4642" s="18" t="n">
        <x:v>61029</x:v>
      </x:c>
      <x:c r="E4642" s="18" t="n">
        <x:v>18.95</x:v>
      </x:c>
      <x:c r="F4642" s="18" t="n">
        <x:v>6.9</x:v>
      </x:c>
      <x:c r="G4642" t="n">
        <x:v>36</x:v>
      </x:c>
      <x:c r="H4642" t="str">
        <x:v>B</x:v>
      </x:c>
      <x:c r="I4642" t="str">
        <x:v>1-3 years</x:v>
      </x:c>
      <x:c r="J4642" t="str">
        <x:v>RENT</x:v>
      </x:c>
      <x:c r="K4642" t="str">
        <x:v>debt_consolidation</x:v>
      </x:c>
      <x:c r="L4642" t="n">
        <x:v>0</x:v>
      </x:c>
      <x:c r="M4642" t="n">
        <x:v>0</x:v>
      </x:c>
      <x:c r="N4642" t="str">
        <x:v>Fully Paid</x:v>
      </x:c>
      <x:c r="O4642" t="str">
        <x:f>IF(D4642="","Unknown",IF(D4642&lt;25000,"&lt;$25k",IF(D4642&lt;50000,"$25k-$50k",IF(D4642&lt;75000,"$50k-$75k",IF(D4642&lt;100000,"$75k-$100k","$100k+")))))</x:f>
        <x:v>$50k-$75k</x:v>
      </x:c>
      <x:c r="P4642" t="str">
        <x:f>IF(E4642="","Unknown",IF(E4642&lt;10,"&lt;10",IF(E4642&lt;20,"10-&lt;20",IF(E4642&lt;25,"20-&lt;25",IF(E4642&lt;35,"25-&lt;35","35+")))))</x:f>
        <x:v>10-&lt;20</x:v>
      </x:c>
    </x:row>
    <x:row r="4643">
      <x:c r="A4643" t="str">
        <x:v>SYN0004642</x:v>
      </x:c>
      <x:c r="B4643" s="12" t="n">
        <x:v>41785</x:v>
      </x:c>
      <x:c r="C4643" s="18" t="n">
        <x:v>15040</x:v>
      </x:c>
      <x:c r="D4643" s="18" t="n">
        <x:v>36684</x:v>
      </x:c>
      <x:c r="E4643" s="18" t="n">
        <x:v>20.62</x:v>
      </x:c>
      <x:c r="F4643" s="18" t="n">
        <x:v>8.46</x:v>
      </x:c>
      <x:c r="G4643" t="n">
        <x:v>36</x:v>
      </x:c>
      <x:c r="H4643" t="str">
        <x:v>B</x:v>
      </x:c>
      <x:c r="I4643" t="str">
        <x:v>1-3 years</x:v>
      </x:c>
      <x:c r="J4643" t="str">
        <x:v>RENT</x:v>
      </x:c>
      <x:c r="K4643" t="str">
        <x:v>credit_card</x:v>
      </x:c>
      <x:c r="L4643" t="n">
        <x:v>1</x:v>
      </x:c>
      <x:c r="M4643" t="n">
        <x:v>0</x:v>
      </x:c>
      <x:c r="N4643" t="str">
        <x:v>Fully Paid</x:v>
      </x:c>
      <x:c r="O4643" t="str">
        <x:f>IF(D4643="","Unknown",IF(D4643&lt;25000,"&lt;$25k",IF(D4643&lt;50000,"$25k-$50k",IF(D4643&lt;75000,"$50k-$75k",IF(D4643&lt;100000,"$75k-$100k","$100k+")))))</x:f>
        <x:v>$25k-$50k</x:v>
      </x:c>
      <x:c r="P4643" t="str">
        <x:f>IF(E4643="","Unknown",IF(E4643&lt;10,"&lt;10",IF(E4643&lt;20,"10-&lt;20",IF(E4643&lt;25,"20-&lt;25",IF(E4643&lt;35,"25-&lt;35","35+")))))</x:f>
        <x:v>20-&lt;25</x:v>
      </x:c>
    </x:row>
    <x:row r="4644">
      <x:c r="A4644" t="str">
        <x:v>SYN0004643</x:v>
      </x:c>
      <x:c r="B4644" s="12" t="n">
        <x:v>42835</x:v>
      </x:c>
      <x:c r="C4644" s="18" t="n">
        <x:v>14441</x:v>
      </x:c>
      <x:c r="D4644" s="18" t="n">
        <x:v>31390</x:v>
      </x:c>
      <x:c r="E4644" s="18" t="n">
        <x:v>0</x:v>
      </x:c>
      <x:c r="F4644" s="18" t="n">
        <x:v>10.78</x:v>
      </x:c>
      <x:c r="G4644" t="n">
        <x:v>36</x:v>
      </x:c>
      <x:c r="H4644" t="str">
        <x:v>C</x:v>
      </x:c>
      <x:c r="I4644" t="str">
        <x:v>1-3 years</x:v>
      </x:c>
      <x:c r="J4644" t="str">
        <x:v>MORTGAGE</x:v>
      </x:c>
      <x:c r="K4644" t="str">
        <x:v>debt_consolidation</x:v>
      </x:c>
      <x:c r="L4644" t="n">
        <x:v>1</x:v>
      </x:c>
      <x:c r="M4644" t="n">
        <x:v>0</x:v>
      </x:c>
      <x:c r="N4644" t="str">
        <x:v>Fully Paid</x:v>
      </x:c>
      <x:c r="O4644" t="str">
        <x:f>IF(D4644="","Unknown",IF(D4644&lt;25000,"&lt;$25k",IF(D4644&lt;50000,"$25k-$50k",IF(D4644&lt;75000,"$50k-$75k",IF(D4644&lt;100000,"$75k-$100k","$100k+")))))</x:f>
        <x:v>$25k-$50k</x:v>
      </x:c>
      <x:c r="P4644" t="str">
        <x:f>IF(E4644="","Unknown",IF(E4644&lt;10,"&lt;10",IF(E4644&lt;20,"10-&lt;20",IF(E4644&lt;25,"20-&lt;25",IF(E4644&lt;35,"25-&lt;35","35+")))))</x:f>
        <x:v>Unknown</x:v>
      </x:c>
    </x:row>
    <x:row r="4645">
      <x:c r="A4645" t="str">
        <x:v>SYN0004644</x:v>
      </x:c>
      <x:c r="B4645" s="12" t="n">
        <x:v>42235</x:v>
      </x:c>
      <x:c r="C4645" s="18" t="n">
        <x:v>6899</x:v>
      </x:c>
      <x:c r="D4645" s="18" t="n">
        <x:v>35011</x:v>
      </x:c>
      <x:c r="E4645" s="18" t="n">
        <x:v>25.15</x:v>
      </x:c>
      <x:c r="F4645" s="18" t="n">
        <x:v>27.4</x:v>
      </x:c>
      <x:c r="G4645" t="n">
        <x:v>36</x:v>
      </x:c>
      <x:c r="H4645" t="str">
        <x:v>G</x:v>
      </x:c>
      <x:c r="I4645" t="str">
        <x:v>4-6 years</x:v>
      </x:c>
      <x:c r="J4645" t="str">
        <x:v>RENT</x:v>
      </x:c>
      <x:c r="K4645" t="str">
        <x:v>medical</x:v>
      </x:c>
      <x:c r="L4645" t="n">
        <x:v>0</x:v>
      </x:c>
      <x:c r="M4645" t="n">
        <x:v>0</x:v>
      </x:c>
      <x:c r="N4645" t="str">
        <x:v>Fully Paid</x:v>
      </x:c>
      <x:c r="O4645" t="str">
        <x:f>IF(D4645="","Unknown",IF(D4645&lt;25000,"&lt;$25k",IF(D4645&lt;50000,"$25k-$50k",IF(D4645&lt;75000,"$50k-$75k",IF(D4645&lt;100000,"$75k-$100k","$100k+")))))</x:f>
        <x:v>$25k-$50k</x:v>
      </x:c>
      <x:c r="P4645" t="str">
        <x:f>IF(E4645="","Unknown",IF(E4645&lt;10,"&lt;10",IF(E4645&lt;20,"10-&lt;20",IF(E4645&lt;25,"20-&lt;25",IF(E4645&lt;35,"25-&lt;35","35+")))))</x:f>
        <x:v>25-&lt;35</x:v>
      </x:c>
    </x:row>
    <x:row r="4646">
      <x:c r="A4646" t="str">
        <x:v>SYN0004645</x:v>
      </x:c>
      <x:c r="B4646" s="12" t="n">
        <x:v>42775</x:v>
      </x:c>
      <x:c r="C4646" s="18" t="n">
        <x:v>17401</x:v>
      </x:c>
      <x:c r="D4646" s="18" t="n">
        <x:v>83354</x:v>
      </x:c>
      <x:c r="E4646" s="18" t="n">
        <x:v>24.63</x:v>
      </x:c>
      <x:c r="F4646" s="18" t="n">
        <x:v>14.18</x:v>
      </x:c>
      <x:c r="G4646" t="n">
        <x:v>36</x:v>
      </x:c>
      <x:c r="H4646" t="str">
        <x:v>C</x:v>
      </x:c>
      <x:c r="I4646" t="str">
        <x:v>&lt;1 year</x:v>
      </x:c>
      <x:c r="J4646" t="str">
        <x:v>RENT</x:v>
      </x:c>
      <x:c r="K4646" t="str">
        <x:v>debt_consolidation</x:v>
      </x:c>
      <x:c r="L4646" t="n">
        <x:v>1</x:v>
      </x:c>
      <x:c r="M4646" t="n">
        <x:v>0</x:v>
      </x:c>
      <x:c r="N4646" t="str">
        <x:v>Fully Paid</x:v>
      </x:c>
      <x:c r="O4646" t="str">
        <x:f>IF(D4646="","Unknown",IF(D4646&lt;25000,"&lt;$25k",IF(D4646&lt;50000,"$25k-$50k",IF(D4646&lt;75000,"$50k-$75k",IF(D4646&lt;100000,"$75k-$100k","$100k+")))))</x:f>
        <x:v>$75k-$100k</x:v>
      </x:c>
      <x:c r="P4646" t="str">
        <x:f>IF(E4646="","Unknown",IF(E4646&lt;10,"&lt;10",IF(E4646&lt;20,"10-&lt;20",IF(E4646&lt;25,"20-&lt;25",IF(E4646&lt;35,"25-&lt;35","35+")))))</x:f>
        <x:v>20-&lt;25</x:v>
      </x:c>
    </x:row>
    <x:row r="4647">
      <x:c r="A4647" t="str">
        <x:v>SYN0004646</x:v>
      </x:c>
      <x:c r="B4647" s="12" t="n">
        <x:v>41545</x:v>
      </x:c>
      <x:c r="C4647" s="18" t="n">
        <x:v>24811</x:v>
      </x:c>
      <x:c r="D4647" s="18" t="n">
        <x:v>28944</x:v>
      </x:c>
      <x:c r="E4647" s="18" t="n">
        <x:v>22.56</x:v>
      </x:c>
      <x:c r="F4647" s="18" t="n">
        <x:v>6.68</x:v>
      </x:c>
      <x:c r="G4647" t="n">
        <x:v>36</x:v>
      </x:c>
      <x:c r="H4647" t="str">
        <x:v>A</x:v>
      </x:c>
      <x:c r="I4647" t="str">
        <x:v>&lt;1 year</x:v>
      </x:c>
      <x:c r="J4647" t="str">
        <x:v>MORTGAGE</x:v>
      </x:c>
      <x:c r="K4647" t="str">
        <x:v>debt_consolidation</x:v>
      </x:c>
      <x:c r="L4647" t="n">
        <x:v>1</x:v>
      </x:c>
      <x:c r="M4647" t="n">
        <x:v>0</x:v>
      </x:c>
      <x:c r="N4647" t="str">
        <x:v>Fully Paid</x:v>
      </x:c>
      <x:c r="O4647" t="str">
        <x:f>IF(D4647="","Unknown",IF(D4647&lt;25000,"&lt;$25k",IF(D4647&lt;50000,"$25k-$50k",IF(D4647&lt;75000,"$50k-$75k",IF(D4647&lt;100000,"$75k-$100k","$100k+")))))</x:f>
        <x:v>$25k-$50k</x:v>
      </x:c>
      <x:c r="P4647" t="str">
        <x:f>IF(E4647="","Unknown",IF(E4647&lt;10,"&lt;10",IF(E4647&lt;20,"10-&lt;20",IF(E4647&lt;25,"20-&lt;25",IF(E4647&lt;35,"25-&lt;35","35+")))))</x:f>
        <x:v>20-&lt;25</x:v>
      </x:c>
    </x:row>
    <x:row r="4648">
      <x:c r="A4648" t="str">
        <x:v>SYN0004647</x:v>
      </x:c>
      <x:c r="B4648" s="12" t="n">
        <x:v>43345</x:v>
      </x:c>
      <x:c r="C4648" s="18" t="n">
        <x:v>18494</x:v>
      </x:c>
      <x:c r="D4648" s="18" t="n">
        <x:v>51341</x:v>
      </x:c>
      <x:c r="E4648" s="18" t="n">
        <x:v>14.08</x:v>
      </x:c>
      <x:c r="F4648" s="18" t="n">
        <x:v>6.13</x:v>
      </x:c>
      <x:c r="G4648" t="n">
        <x:v>60</x:v>
      </x:c>
      <x:c r="H4648" t="str">
        <x:v>B</x:v>
      </x:c>
      <x:c r="I4648" t="str">
        <x:v>4-6 years</x:v>
      </x:c>
      <x:c r="J4648" t="str">
        <x:v>MORTGAGE</x:v>
      </x:c>
      <x:c r="K4648" t="str">
        <x:v>home_improvement</x:v>
      </x:c>
      <x:c r="L4648" t="n">
        <x:v>0</x:v>
      </x:c>
      <x:c r="M4648" t="n">
        <x:v>1</x:v>
      </x:c>
      <x:c r="N4648" t="str">
        <x:v>Charged Off</x:v>
      </x:c>
      <x:c r="O4648" t="str">
        <x:f>IF(D4648="","Unknown",IF(D4648&lt;25000,"&lt;$25k",IF(D4648&lt;50000,"$25k-$50k",IF(D4648&lt;75000,"$50k-$75k",IF(D4648&lt;100000,"$75k-$100k","$100k+")))))</x:f>
        <x:v>$50k-$75k</x:v>
      </x:c>
      <x:c r="P4648" t="str">
        <x:f>IF(E4648="","Unknown",IF(E4648&lt;10,"&lt;10",IF(E4648&lt;20,"10-&lt;20",IF(E4648&lt;25,"20-&lt;25",IF(E4648&lt;35,"25-&lt;35","35+")))))</x:f>
        <x:v>10-&lt;20</x:v>
      </x:c>
    </x:row>
    <x:row r="4649">
      <x:c r="A4649" t="str">
        <x:v>SYN0004648</x:v>
      </x:c>
      <x:c r="B4649" s="12" t="n">
        <x:v>42595</x:v>
      </x:c>
      <x:c r="C4649" s="18" t="n">
        <x:v>16068</x:v>
      </x:c>
      <x:c r="D4649" s="18" t="n">
        <x:v>23269</x:v>
      </x:c>
      <x:c r="E4649" s="18" t="n">
        <x:v>18.4</x:v>
      </x:c>
      <x:c r="F4649" s="18" t="n">
        <x:v>5.24</x:v>
      </x:c>
      <x:c r="G4649" t="n">
        <x:v>36</x:v>
      </x:c>
      <x:c r="H4649" t="str">
        <x:v>A</x:v>
      </x:c>
      <x:c r="I4649" t="str">
        <x:v>4-6 years</x:v>
      </x:c>
      <x:c r="J4649" t="str">
        <x:v>MORTGAGE</x:v>
      </x:c>
      <x:c r="K4649" t="str">
        <x:v>debt_consolidation</x:v>
      </x:c>
      <x:c r="L4649" t="n">
        <x:v>1</x:v>
      </x:c>
      <x:c r="M4649" t="n">
        <x:v>0</x:v>
      </x:c>
      <x:c r="N4649" t="str">
        <x:v>Fully Paid</x:v>
      </x:c>
      <x:c r="O4649" t="str">
        <x:f>IF(D4649="","Unknown",IF(D4649&lt;25000,"&lt;$25k",IF(D4649&lt;50000,"$25k-$50k",IF(D4649&lt;75000,"$50k-$75k",IF(D4649&lt;100000,"$75k-$100k","$100k+")))))</x:f>
        <x:v>&lt;$25k</x:v>
      </x:c>
      <x:c r="P4649" t="str">
        <x:f>IF(E4649="","Unknown",IF(E4649&lt;10,"&lt;10",IF(E4649&lt;20,"10-&lt;20",IF(E4649&lt;25,"20-&lt;25",IF(E4649&lt;35,"25-&lt;35","35+")))))</x:f>
        <x:v>10-&lt;20</x:v>
      </x:c>
    </x:row>
    <x:row r="4650">
      <x:c r="A4650" t="str">
        <x:v>SYN0004649</x:v>
      </x:c>
      <x:c r="B4650" s="12" t="n">
        <x:v>43045</x:v>
      </x:c>
      <x:c r="C4650" s="18" t="n">
        <x:v>16671</x:v>
      </x:c>
      <x:c r="D4650" s="18" t="n">
        <x:v>35541</x:v>
      </x:c>
      <x:c r="E4650" s="18" t="n">
        <x:v>23.42</x:v>
      </x:c>
      <x:c r="F4650" s="18" t="n">
        <x:v>11.08</x:v>
      </x:c>
      <x:c r="G4650" t="n">
        <x:v>60</x:v>
      </x:c>
      <x:c r="H4650" t="str">
        <x:v>C</x:v>
      </x:c>
      <x:c r="I4650" t="str">
        <x:v>4-6 years</x:v>
      </x:c>
      <x:c r="J4650" t="str">
        <x:v>MORTGAGE</x:v>
      </x:c>
      <x:c r="K4650" t="str">
        <x:v>credit_card</x:v>
      </x:c>
      <x:c r="L4650" t="n">
        <x:v>0</x:v>
      </x:c>
      <x:c r="M4650" t="n">
        <x:v>0</x:v>
      </x:c>
      <x:c r="N4650" t="str">
        <x:v>Fully Paid</x:v>
      </x:c>
      <x:c r="O4650" t="str">
        <x:f>IF(D4650="","Unknown",IF(D4650&lt;25000,"&lt;$25k",IF(D4650&lt;50000,"$25k-$50k",IF(D4650&lt;75000,"$50k-$75k",IF(D4650&lt;100000,"$75k-$100k","$100k+")))))</x:f>
        <x:v>$25k-$50k</x:v>
      </x:c>
      <x:c r="P4650" t="str">
        <x:f>IF(E4650="","Unknown",IF(E4650&lt;10,"&lt;10",IF(E4650&lt;20,"10-&lt;20",IF(E4650&lt;25,"20-&lt;25",IF(E4650&lt;35,"25-&lt;35","35+")))))</x:f>
        <x:v>20-&lt;25</x:v>
      </x:c>
    </x:row>
    <x:row r="4651">
      <x:c r="A4651" t="str">
        <x:v>SYN0004650</x:v>
      </x:c>
      <x:c r="B4651" s="12" t="n">
        <x:v>42985</x:v>
      </x:c>
      <x:c r="C4651" s="18" t="n">
        <x:v>11331</x:v>
      </x:c>
      <x:c r="D4651" s="18" t="n">
        <x:v>37659</x:v>
      </x:c>
      <x:c r="E4651" s="18" t="n">
        <x:v>23.01</x:v>
      </x:c>
      <x:c r="F4651" s="18" t="n">
        <x:v>10.52</x:v>
      </x:c>
      <x:c r="G4651" t="n">
        <x:v>36</x:v>
      </x:c>
      <x:c r="H4651" t="str">
        <x:v>C</x:v>
      </x:c>
      <x:c r="I4651" t="str">
        <x:v>7-9 years</x:v>
      </x:c>
      <x:c r="J4651" t="str">
        <x:v>RENT</x:v>
      </x:c>
      <x:c r="K4651" t="str">
        <x:v>debt_consolidation</x:v>
      </x:c>
      <x:c r="L4651" t="n">
        <x:v>0</x:v>
      </x:c>
      <x:c r="M4651" t="n">
        <x:v>0</x:v>
      </x:c>
      <x:c r="N4651" t="str">
        <x:v>Fully Paid</x:v>
      </x:c>
      <x:c r="O4651" t="str">
        <x:f>IF(D4651="","Unknown",IF(D4651&lt;25000,"&lt;$25k",IF(D4651&lt;50000,"$25k-$50k",IF(D4651&lt;75000,"$50k-$75k",IF(D4651&lt;100000,"$75k-$100k","$100k+")))))</x:f>
        <x:v>$25k-$50k</x:v>
      </x:c>
      <x:c r="P4651" t="str">
        <x:f>IF(E4651="","Unknown",IF(E4651&lt;10,"&lt;10",IF(E4651&lt;20,"10-&lt;20",IF(E4651&lt;25,"20-&lt;25",IF(E4651&lt;35,"25-&lt;35","35+")))))</x:f>
        <x:v>20-&lt;25</x:v>
      </x:c>
    </x:row>
    <x:row r="4652">
      <x:c r="A4652" t="str">
        <x:v>SYN0004651</x:v>
      </x:c>
      <x:c r="B4652" s="12" t="n">
        <x:v>43405</x:v>
      </x:c>
      <x:c r="C4652" s="18" t="n">
        <x:v>24248</x:v>
      </x:c>
      <x:c r="D4652" s="18" t="n">
        <x:v>29762</x:v>
      </x:c>
      <x:c r="E4652" s="18" t="n">
        <x:v>16.34</x:v>
      </x:c>
      <x:c r="F4652" s="18" t="n">
        <x:v>10.83</x:v>
      </x:c>
      <x:c r="G4652" t="n">
        <x:v>36</x:v>
      </x:c>
      <x:c r="H4652" t="str">
        <x:v>B</x:v>
      </x:c>
      <x:c r="I4652" t="str">
        <x:v>4-6 years</x:v>
      </x:c>
      <x:c r="J4652" t="str">
        <x:v>RENT</x:v>
      </x:c>
      <x:c r="K4652" t="str">
        <x:v>credit_card</x:v>
      </x:c>
      <x:c r="L4652" t="n">
        <x:v>0</x:v>
      </x:c>
      <x:c r="M4652" t="n">
        <x:v>0</x:v>
      </x:c>
      <x:c r="N4652" t="str">
        <x:v>Fully Paid</x:v>
      </x:c>
      <x:c r="O4652" t="str">
        <x:f>IF(D4652="","Unknown",IF(D4652&lt;25000,"&lt;$25k",IF(D4652&lt;50000,"$25k-$50k",IF(D4652&lt;75000,"$50k-$75k",IF(D4652&lt;100000,"$75k-$100k","$100k+")))))</x:f>
        <x:v>$25k-$50k</x:v>
      </x:c>
      <x:c r="P4652" t="str">
        <x:f>IF(E4652="","Unknown",IF(E4652&lt;10,"&lt;10",IF(E4652&lt;20,"10-&lt;20",IF(E4652&lt;25,"20-&lt;25",IF(E4652&lt;35,"25-&lt;35","35+")))))</x:f>
        <x:v>10-&lt;20</x:v>
      </x:c>
    </x:row>
    <x:row r="4653">
      <x:c r="A4653" t="str">
        <x:v>SYN0004652</x:v>
      </x:c>
      <x:c r="B4653" s="12" t="n">
        <x:v>41545</x:v>
      </x:c>
      <x:c r="C4653" s="18" t="n">
        <x:v>16327</x:v>
      </x:c>
      <x:c r="D4653" s="18" t="n">
        <x:v>40404</x:v>
      </x:c>
      <x:c r="E4653" s="18" t="n">
        <x:v>24.86</x:v>
      </x:c>
      <x:c r="F4653" s="18" t="n">
        <x:v>20.7</x:v>
      </x:c>
      <x:c r="G4653" t="n">
        <x:v>36</x:v>
      </x:c>
      <x:c r="H4653" t="str">
        <x:v>E</x:v>
      </x:c>
      <x:c r="I4653" t="str">
        <x:v>1-3 years</x:v>
      </x:c>
      <x:c r="J4653" t="str">
        <x:v>RENT</x:v>
      </x:c>
      <x:c r="K4653" t="str">
        <x:v>debt_consolidation</x:v>
      </x:c>
      <x:c r="L4653" t="n">
        <x:v>0</x:v>
      </x:c>
      <x:c r="M4653" t="n">
        <x:v>0</x:v>
      </x:c>
      <x:c r="N4653" t="str">
        <x:v>Fully Paid</x:v>
      </x:c>
      <x:c r="O4653" t="str">
        <x:f>IF(D4653="","Unknown",IF(D4653&lt;25000,"&lt;$25k",IF(D4653&lt;50000,"$25k-$50k",IF(D4653&lt;75000,"$50k-$75k",IF(D4653&lt;100000,"$75k-$100k","$100k+")))))</x:f>
        <x:v>$25k-$50k</x:v>
      </x:c>
      <x:c r="P4653" t="str">
        <x:f>IF(E4653="","Unknown",IF(E4653&lt;10,"&lt;10",IF(E4653&lt;20,"10-&lt;20",IF(E4653&lt;25,"20-&lt;25",IF(E4653&lt;35,"25-&lt;35","35+")))))</x:f>
        <x:v>20-&lt;25</x:v>
      </x:c>
    </x:row>
    <x:row r="4654">
      <x:c r="A4654" t="str">
        <x:v>SYN0004653</x:v>
      </x:c>
      <x:c r="B4654" s="12" t="n">
        <x:v>42655</x:v>
      </x:c>
      <x:c r="C4654" s="18" t="n">
        <x:v>13092</x:v>
      </x:c>
      <x:c r="D4654" s="18" t="n">
        <x:v>73812</x:v>
      </x:c>
      <x:c r="E4654" s="18" t="n">
        <x:v>10.22</x:v>
      </x:c>
      <x:c r="F4654" s="18" t="n">
        <x:v>13.71</x:v>
      </x:c>
      <x:c r="G4654" t="n">
        <x:v>36</x:v>
      </x:c>
      <x:c r="H4654" t="str">
        <x:v>D</x:v>
      </x:c>
      <x:c r="I4654" t="str">
        <x:v>10+ years</x:v>
      </x:c>
      <x:c r="J4654" t="str">
        <x:v>MORTGAGE</x:v>
      </x:c>
      <x:c r="K4654" t="str">
        <x:v>debt_consolidation</x:v>
      </x:c>
      <x:c r="L4654" t="n">
        <x:v>1</x:v>
      </x:c>
      <x:c r="M4654" t="n">
        <x:v>0</x:v>
      </x:c>
      <x:c r="N4654" t="str">
        <x:v>Fully Paid</x:v>
      </x:c>
      <x:c r="O4654" t="str">
        <x:f>IF(D4654="","Unknown",IF(D4654&lt;25000,"&lt;$25k",IF(D4654&lt;50000,"$25k-$50k",IF(D4654&lt;75000,"$50k-$75k",IF(D4654&lt;100000,"$75k-$100k","$100k+")))))</x:f>
        <x:v>$50k-$75k</x:v>
      </x:c>
      <x:c r="P4654" t="str">
        <x:f>IF(E4654="","Unknown",IF(E4654&lt;10,"&lt;10",IF(E4654&lt;20,"10-&lt;20",IF(E4654&lt;25,"20-&lt;25",IF(E4654&lt;35,"25-&lt;35","35+")))))</x:f>
        <x:v>10-&lt;20</x:v>
      </x:c>
    </x:row>
    <x:row r="4655">
      <x:c r="A4655" t="str">
        <x:v>SYN0004654</x:v>
      </x:c>
      <x:c r="B4655" s="12" t="n">
        <x:v>43195</x:v>
      </x:c>
      <x:c r="C4655" s="18" t="n">
        <x:v>4618</x:v>
      </x:c>
      <x:c r="D4655" s="18" t="n">
        <x:v>44381</x:v>
      </x:c>
      <x:c r="E4655" s="18" t="n">
        <x:v>28.04</x:v>
      </x:c>
      <x:c r="F4655" s="18" t="n">
        <x:v>9.35</x:v>
      </x:c>
      <x:c r="G4655" t="n">
        <x:v>36</x:v>
      </x:c>
      <x:c r="H4655" t="str">
        <x:v>B</x:v>
      </x:c>
      <x:c r="I4655" t="str">
        <x:v>4-6 years</x:v>
      </x:c>
      <x:c r="J4655" t="str">
        <x:v>MORTGAGE</x:v>
      </x:c>
      <x:c r="K4655" t="str">
        <x:v>debt_consolidation</x:v>
      </x:c>
      <x:c r="L4655" t="n">
        <x:v>0</x:v>
      </x:c>
      <x:c r="M4655" t="n">
        <x:v>0</x:v>
      </x:c>
      <x:c r="N4655" t="str">
        <x:v>Fully Paid</x:v>
      </x:c>
      <x:c r="O4655" t="str">
        <x:f>IF(D4655="","Unknown",IF(D4655&lt;25000,"&lt;$25k",IF(D4655&lt;50000,"$25k-$50k",IF(D4655&lt;75000,"$50k-$75k",IF(D4655&lt;100000,"$75k-$100k","$100k+")))))</x:f>
        <x:v>$25k-$50k</x:v>
      </x:c>
      <x:c r="P4655" t="str">
        <x:f>IF(E4655="","Unknown",IF(E4655&lt;10,"&lt;10",IF(E4655&lt;20,"10-&lt;20",IF(E4655&lt;25,"20-&lt;25",IF(E4655&lt;35,"25-&lt;35","35+")))))</x:f>
        <x:v>25-&lt;35</x:v>
      </x:c>
    </x:row>
    <x:row r="4656">
      <x:c r="A4656" t="str">
        <x:v>SYN0004655</x:v>
      </x:c>
      <x:c r="B4656" s="12" t="n">
        <x:v>43015</x:v>
      </x:c>
      <x:c r="C4656" s="18" t="n">
        <x:v>5561</x:v>
      </x:c>
      <x:c r="D4656" s="18" t="n">
        <x:v>143503</x:v>
      </x:c>
      <x:c r="E4656" s="18" t="n">
        <x:v>11.88</x:v>
      </x:c>
      <x:c r="F4656" s="18" t="n">
        <x:v>11.4</x:v>
      </x:c>
      <x:c r="G4656" t="n">
        <x:v>36</x:v>
      </x:c>
      <x:c r="H4656" t="str">
        <x:v>C</x:v>
      </x:c>
      <x:c r="I4656" t="str">
        <x:v>10+ years</x:v>
      </x:c>
      <x:c r="J4656" t="str">
        <x:v>OWN</x:v>
      </x:c>
      <x:c r="K4656" t="str">
        <x:v>debt_consolidation</x:v>
      </x:c>
      <x:c r="L4656" t="n">
        <x:v>0</x:v>
      </x:c>
      <x:c r="M4656" t="n">
        <x:v>0</x:v>
      </x:c>
      <x:c r="N4656" t="str">
        <x:v>Fully Paid</x:v>
      </x:c>
      <x:c r="O4656" t="str">
        <x:f>IF(D4656="","Unknown",IF(D4656&lt;25000,"&lt;$25k",IF(D4656&lt;50000,"$25k-$50k",IF(D4656&lt;75000,"$50k-$75k",IF(D4656&lt;100000,"$75k-$100k","$100k+")))))</x:f>
        <x:v>$100k+</x:v>
      </x:c>
      <x:c r="P4656" t="str">
        <x:f>IF(E4656="","Unknown",IF(E4656&lt;10,"&lt;10",IF(E4656&lt;20,"10-&lt;20",IF(E4656&lt;25,"20-&lt;25",IF(E4656&lt;35,"25-&lt;35","35+")))))</x:f>
        <x:v>10-&lt;20</x:v>
      </x:c>
    </x:row>
    <x:row r="4657">
      <x:c r="A4657" t="str">
        <x:v>SYN0004656</x:v>
      </x:c>
      <x:c r="B4657" s="12" t="n">
        <x:v>41995</x:v>
      </x:c>
      <x:c r="C4657" s="18" t="n">
        <x:v>23135</x:v>
      </x:c>
      <x:c r="D4657" s="18" t="n">
        <x:v>20459</x:v>
      </x:c>
      <x:c r="E4657" s="18" t="n">
        <x:v>14.24</x:v>
      </x:c>
      <x:c r="F4657" s="18" t="n">
        <x:v>8.04</x:v>
      </x:c>
      <x:c r="G4657" t="n">
        <x:v>36</x:v>
      </x:c>
      <x:c r="H4657" t="str">
        <x:v>B</x:v>
      </x:c>
      <x:c r="I4657" t="str">
        <x:v>4-6 years</x:v>
      </x:c>
      <x:c r="J4657" t="str">
        <x:v>MORTGAGE</x:v>
      </x:c>
      <x:c r="K4657" t="str">
        <x:v>home_improvement</x:v>
      </x:c>
      <x:c r="L4657" t="n">
        <x:v>0</x:v>
      </x:c>
      <x:c r="M4657" t="n">
        <x:v>0</x:v>
      </x:c>
      <x:c r="N4657" t="str">
        <x:v>Fully Paid</x:v>
      </x:c>
      <x:c r="O4657" t="str">
        <x:f>IF(D4657="","Unknown",IF(D4657&lt;25000,"&lt;$25k",IF(D4657&lt;50000,"$25k-$50k",IF(D4657&lt;75000,"$50k-$75k",IF(D4657&lt;100000,"$75k-$100k","$100k+")))))</x:f>
        <x:v>&lt;$25k</x:v>
      </x:c>
      <x:c r="P4657" t="str">
        <x:f>IF(E4657="","Unknown",IF(E4657&lt;10,"&lt;10",IF(E4657&lt;20,"10-&lt;20",IF(E4657&lt;25,"20-&lt;25",IF(E4657&lt;35,"25-&lt;35","35+")))))</x:f>
        <x:v>10-&lt;20</x:v>
      </x:c>
    </x:row>
    <x:row r="4658">
      <x:c r="A4658" t="str">
        <x:v>SYN0004657</x:v>
      </x:c>
      <x:c r="B4658" s="12" t="n">
        <x:v>41815</x:v>
      </x:c>
      <x:c r="C4658" s="18" t="n">
        <x:v>8813</x:v>
      </x:c>
      <x:c r="D4658" s="18" t="n">
        <x:v>47669</x:v>
      </x:c>
      <x:c r="E4658" s="18" t="n">
        <x:v>14.54</x:v>
      </x:c>
      <x:c r="F4658" s="18" t="n">
        <x:v>14.89</x:v>
      </x:c>
      <x:c r="G4658" t="n">
        <x:v>36</x:v>
      </x:c>
      <x:c r="H4658" t="str">
        <x:v>D</x:v>
      </x:c>
      <x:c r="I4658" t="str">
        <x:v>10+ years</x:v>
      </x:c>
      <x:c r="J4658" t="str">
        <x:v>MORTGAGE</x:v>
      </x:c>
      <x:c r="K4658" t="str">
        <x:v>credit_card</x:v>
      </x:c>
      <x:c r="L4658" t="n">
        <x:v>1</x:v>
      </x:c>
      <x:c r="M4658" t="n">
        <x:v>0</x:v>
      </x:c>
      <x:c r="N4658" t="str">
        <x:v>Fully Paid</x:v>
      </x:c>
      <x:c r="O4658" t="str">
        <x:f>IF(D4658="","Unknown",IF(D4658&lt;25000,"&lt;$25k",IF(D4658&lt;50000,"$25k-$50k",IF(D4658&lt;75000,"$50k-$75k",IF(D4658&lt;100000,"$75k-$100k","$100k+")))))</x:f>
        <x:v>$25k-$50k</x:v>
      </x:c>
      <x:c r="P4658" t="str">
        <x:f>IF(E4658="","Unknown",IF(E4658&lt;10,"&lt;10",IF(E4658&lt;20,"10-&lt;20",IF(E4658&lt;25,"20-&lt;25",IF(E4658&lt;35,"25-&lt;35","35+")))))</x:f>
        <x:v>10-&lt;20</x:v>
      </x:c>
    </x:row>
    <x:row r="4659">
      <x:c r="A4659" t="str">
        <x:v>SYN0004658</x:v>
      </x:c>
      <x:c r="B4659" s="12" t="n">
        <x:v>43345</x:v>
      </x:c>
      <x:c r="C4659" s="18" t="n">
        <x:v>4327</x:v>
      </x:c>
      <x:c r="D4659" s="18" t="n">
        <x:v>38807</x:v>
      </x:c>
      <x:c r="E4659" s="18" t="n">
        <x:v>16.72</x:v>
      </x:c>
      <x:c r="F4659" s="18" t="n">
        <x:v>9.52</x:v>
      </x:c>
      <x:c r="G4659" t="n">
        <x:v>36</x:v>
      </x:c>
      <x:c r="H4659" t="str">
        <x:v>B</x:v>
      </x:c>
      <x:c r="I4659" t="str">
        <x:v>1-3 years</x:v>
      </x:c>
      <x:c r="J4659" t="str">
        <x:v>RENT</x:v>
      </x:c>
      <x:c r="K4659" t="str">
        <x:v>home_improvement</x:v>
      </x:c>
      <x:c r="L4659" t="n">
        <x:v>0</x:v>
      </x:c>
      <x:c r="M4659" t="n">
        <x:v>0</x:v>
      </x:c>
      <x:c r="N4659" t="str">
        <x:v>Fully Paid</x:v>
      </x:c>
      <x:c r="O4659" t="str">
        <x:f>IF(D4659="","Unknown",IF(D4659&lt;25000,"&lt;$25k",IF(D4659&lt;50000,"$25k-$50k",IF(D4659&lt;75000,"$50k-$75k",IF(D4659&lt;100000,"$75k-$100k","$100k+")))))</x:f>
        <x:v>$25k-$50k</x:v>
      </x:c>
      <x:c r="P4659" t="str">
        <x:f>IF(E4659="","Unknown",IF(E4659&lt;10,"&lt;10",IF(E4659&lt;20,"10-&lt;20",IF(E4659&lt;25,"20-&lt;25",IF(E4659&lt;35,"25-&lt;35","35+")))))</x:f>
        <x:v>10-&lt;20</x:v>
      </x:c>
    </x:row>
    <x:row r="4660">
      <x:c r="A4660" t="str">
        <x:v>SYN0004659</x:v>
      </x:c>
      <x:c r="B4660" s="12" t="n">
        <x:v>42925</x:v>
      </x:c>
      <x:c r="C4660" s="18" t="n">
        <x:v>7798</x:v>
      </x:c>
      <x:c r="D4660" s="18" t="n">
        <x:v>33130</x:v>
      </x:c>
      <x:c r="E4660" s="18" t="n">
        <x:v>17.89</x:v>
      </x:c>
      <x:c r="F4660" s="18" t="n">
        <x:v>13.16</x:v>
      </x:c>
      <x:c r="G4660" t="n">
        <x:v>36</x:v>
      </x:c>
      <x:c r="H4660" t="str">
        <x:v>C</x:v>
      </x:c>
      <x:c r="I4660" t="str">
        <x:v>10+ years</x:v>
      </x:c>
      <x:c r="J4660" t="str">
        <x:v>RENT</x:v>
      </x:c>
      <x:c r="K4660" t="str">
        <x:v>credit_card</x:v>
      </x:c>
      <x:c r="L4660" t="n">
        <x:v>1</x:v>
      </x:c>
      <x:c r="M4660" t="n">
        <x:v>0</x:v>
      </x:c>
      <x:c r="N4660" t="str">
        <x:v>Fully Paid</x:v>
      </x:c>
      <x:c r="O4660" t="str">
        <x:f>IF(D4660="","Unknown",IF(D4660&lt;25000,"&lt;$25k",IF(D4660&lt;50000,"$25k-$50k",IF(D4660&lt;75000,"$50k-$75k",IF(D4660&lt;100000,"$75k-$100k","$100k+")))))</x:f>
        <x:v>$25k-$50k</x:v>
      </x:c>
      <x:c r="P4660" t="str">
        <x:f>IF(E4660="","Unknown",IF(E4660&lt;10,"&lt;10",IF(E4660&lt;20,"10-&lt;20",IF(E4660&lt;25,"20-&lt;25",IF(E4660&lt;35,"25-&lt;35","35+")))))</x:f>
        <x:v>10-&lt;20</x:v>
      </x:c>
    </x:row>
    <x:row r="4661">
      <x:c r="A4661" t="str">
        <x:v>SYN0004660</x:v>
      </x:c>
      <x:c r="B4661" s="12" t="n">
        <x:v>42505</x:v>
      </x:c>
      <x:c r="C4661" s="18" t="n">
        <x:v>19831</x:v>
      </x:c>
      <x:c r="D4661" s="18" t="n">
        <x:v>12185</x:v>
      </x:c>
      <x:c r="E4661" s="18" t="n">
        <x:v>13.72</x:v>
      </x:c>
      <x:c r="F4661" s="18" t="n">
        <x:v>14.69</x:v>
      </x:c>
      <x:c r="G4661" t="n">
        <x:v>60</x:v>
      </x:c>
      <x:c r="H4661" t="str">
        <x:v>E</x:v>
      </x:c>
      <x:c r="I4661" t="str">
        <x:v>1-3 years</x:v>
      </x:c>
      <x:c r="J4661" t="str">
        <x:v>OWN</x:v>
      </x:c>
      <x:c r="K4661" t="str">
        <x:v>credit_card</x:v>
      </x:c>
      <x:c r="L4661" t="n">
        <x:v>0</x:v>
      </x:c>
      <x:c r="M4661" t="n">
        <x:v>0</x:v>
      </x:c>
      <x:c r="N4661" t="str">
        <x:v>Fully Paid</x:v>
      </x:c>
      <x:c r="O4661" t="str">
        <x:f>IF(D4661="","Unknown",IF(D4661&lt;25000,"&lt;$25k",IF(D4661&lt;50000,"$25k-$50k",IF(D4661&lt;75000,"$50k-$75k",IF(D4661&lt;100000,"$75k-$100k","$100k+")))))</x:f>
        <x:v>&lt;$25k</x:v>
      </x:c>
      <x:c r="P4661" t="str">
        <x:f>IF(E4661="","Unknown",IF(E4661&lt;10,"&lt;10",IF(E4661&lt;20,"10-&lt;20",IF(E4661&lt;25,"20-&lt;25",IF(E4661&lt;35,"25-&lt;35","35+")))))</x:f>
        <x:v>10-&lt;20</x:v>
      </x:c>
    </x:row>
    <x:row r="4662">
      <x:c r="A4662" t="str">
        <x:v>SYN0004661</x:v>
      </x:c>
      <x:c r="B4662" s="12" t="n">
        <x:v>42715</x:v>
      </x:c>
      <x:c r="C4662" s="18" t="n">
        <x:v>11491</x:v>
      </x:c>
      <x:c r="D4662" s="18" t="n">
        <x:v>21268</x:v>
      </x:c>
      <x:c r="E4662" s="18" t="n">
        <x:v>18.82</x:v>
      </x:c>
      <x:c r="F4662" s="18" t="n">
        <x:v>8.09</x:v>
      </x:c>
      <x:c r="G4662" t="n">
        <x:v>36</x:v>
      </x:c>
      <x:c r="H4662" t="str">
        <x:v>B</x:v>
      </x:c>
      <x:c r="I4662" t="str">
        <x:v>&lt;1 year</x:v>
      </x:c>
      <x:c r="J4662" t="str">
        <x:v>OWN</x:v>
      </x:c>
      <x:c r="K4662" t="str">
        <x:v>credit_card</x:v>
      </x:c>
      <x:c r="L4662" t="n">
        <x:v>1</x:v>
      </x:c>
      <x:c r="M4662" t="n">
        <x:v>0</x:v>
      </x:c>
      <x:c r="N4662" t="str">
        <x:v>Fully Paid</x:v>
      </x:c>
      <x:c r="O4662" t="str">
        <x:f>IF(D4662="","Unknown",IF(D4662&lt;25000,"&lt;$25k",IF(D4662&lt;50000,"$25k-$50k",IF(D4662&lt;75000,"$50k-$75k",IF(D4662&lt;100000,"$75k-$100k","$100k+")))))</x:f>
        <x:v>&lt;$25k</x:v>
      </x:c>
      <x:c r="P4662" t="str">
        <x:f>IF(E4662="","Unknown",IF(E4662&lt;10,"&lt;10",IF(E4662&lt;20,"10-&lt;20",IF(E4662&lt;25,"20-&lt;25",IF(E4662&lt;35,"25-&lt;35","35+")))))</x:f>
        <x:v>10-&lt;20</x:v>
      </x:c>
    </x:row>
    <x:row r="4663">
      <x:c r="A4663" t="str">
        <x:v>SYN0004662</x:v>
      </x:c>
      <x:c r="B4663" s="12" t="n">
        <x:v>41335</x:v>
      </x:c>
      <x:c r="C4663" s="18" t="n">
        <x:v>18052</x:v>
      </x:c>
      <x:c r="D4663" s="18" t="n">
        <x:v>12506</x:v>
      </x:c>
      <x:c r="E4663" s="18" t="n">
        <x:v>12.28</x:v>
      </x:c>
      <x:c r="F4663" s="18" t="n">
        <x:v>5</x:v>
      </x:c>
      <x:c r="G4663" t="n">
        <x:v>60</x:v>
      </x:c>
      <x:c r="H4663" t="str">
        <x:v>A</x:v>
      </x:c>
      <x:c r="I4663" t="str">
        <x:v>10+ years</x:v>
      </x:c>
      <x:c r="J4663" t="str">
        <x:v>RENT</x:v>
      </x:c>
      <x:c r="K4663" t="str">
        <x:v>credit_card</x:v>
      </x:c>
      <x:c r="L4663" t="n">
        <x:v>1</x:v>
      </x:c>
      <x:c r="M4663" t="n">
        <x:v>0</x:v>
      </x:c>
      <x:c r="N4663" t="str">
        <x:v>Fully Paid</x:v>
      </x:c>
      <x:c r="O4663" t="str">
        <x:f>IF(D4663="","Unknown",IF(D4663&lt;25000,"&lt;$25k",IF(D4663&lt;50000,"$25k-$50k",IF(D4663&lt;75000,"$50k-$75k",IF(D4663&lt;100000,"$75k-$100k","$100k+")))))</x:f>
        <x:v>&lt;$25k</x:v>
      </x:c>
      <x:c r="P4663" t="str">
        <x:f>IF(E4663="","Unknown",IF(E4663&lt;10,"&lt;10",IF(E4663&lt;20,"10-&lt;20",IF(E4663&lt;25,"20-&lt;25",IF(E4663&lt;35,"25-&lt;35","35+")))))</x:f>
        <x:v>10-&lt;20</x:v>
      </x:c>
    </x:row>
    <x:row r="4664">
      <x:c r="A4664" t="str">
        <x:v>SYN0004663</x:v>
      </x:c>
      <x:c r="B4664" s="12" t="n">
        <x:v>41275</x:v>
      </x:c>
      <x:c r="C4664" s="18" t="n">
        <x:v>15326</x:v>
      </x:c>
      <x:c r="D4664" s="18" t="n">
        <x:v>66518</x:v>
      </x:c>
      <x:c r="E4664" s="18" t="n">
        <x:v>6.77</x:v>
      </x:c>
      <x:c r="F4664" s="18" t="n">
        <x:v>9.75</x:v>
      </x:c>
      <x:c r="G4664" t="n">
        <x:v>36</x:v>
      </x:c>
      <x:c r="H4664" t="str">
        <x:v>B</x:v>
      </x:c>
      <x:c r="I4664" t="str">
        <x:v>10+ years</x:v>
      </x:c>
      <x:c r="J4664" t="str">
        <x:v>MORTGAGE</x:v>
      </x:c>
      <x:c r="K4664" t="str">
        <x:v>debt_consolidation</x:v>
      </x:c>
      <x:c r="L4664" t="n">
        <x:v>0</x:v>
      </x:c>
      <x:c r="M4664" t="n">
        <x:v>0</x:v>
      </x:c>
      <x:c r="N4664" t="str">
        <x:v>Fully Paid</x:v>
      </x:c>
      <x:c r="O4664" t="str">
        <x:f>IF(D4664="","Unknown",IF(D4664&lt;25000,"&lt;$25k",IF(D4664&lt;50000,"$25k-$50k",IF(D4664&lt;75000,"$50k-$75k",IF(D4664&lt;100000,"$75k-$100k","$100k+")))))</x:f>
        <x:v>$50k-$75k</x:v>
      </x:c>
      <x:c r="P4664" t="str">
        <x:f>IF(E4664="","Unknown",IF(E4664&lt;10,"&lt;10",IF(E4664&lt;20,"10-&lt;20",IF(E4664&lt;25,"20-&lt;25",IF(E4664&lt;35,"25-&lt;35","35+")))))</x:f>
        <x:v>&lt;10</x:v>
      </x:c>
    </x:row>
    <x:row r="4665">
      <x:c r="A4665" t="str">
        <x:v>SYN0004664</x:v>
      </x:c>
      <x:c r="B4665" s="12" t="n">
        <x:v>42085</x:v>
      </x:c>
      <x:c r="C4665" s="18" t="n">
        <x:v>30163</x:v>
      </x:c>
      <x:c r="D4665" s="18" t="n">
        <x:v>126391</x:v>
      </x:c>
      <x:c r="E4665" s="18" t="n">
        <x:v>6.02</x:v>
      </x:c>
      <x:c r="F4665" s="18" t="n">
        <x:v>10.27</x:v>
      </x:c>
      <x:c r="G4665" t="n">
        <x:v>60</x:v>
      </x:c>
      <x:c r="H4665" t="str">
        <x:v>C</x:v>
      </x:c>
      <x:c r="I4665" t="str">
        <x:v>10+ years</x:v>
      </x:c>
      <x:c r="J4665" t="str">
        <x:v>MORTGAGE</x:v>
      </x:c>
      <x:c r="K4665" t="str">
        <x:v>debt_consolidation</x:v>
      </x:c>
      <x:c r="L4665" t="n">
        <x:v>0</x:v>
      </x:c>
      <x:c r="M4665" t="n">
        <x:v>0</x:v>
      </x:c>
      <x:c r="N4665" t="str">
        <x:v>Fully Paid</x:v>
      </x:c>
      <x:c r="O4665" t="str">
        <x:f>IF(D4665="","Unknown",IF(D4665&lt;25000,"&lt;$25k",IF(D4665&lt;50000,"$25k-$50k",IF(D4665&lt;75000,"$50k-$75k",IF(D4665&lt;100000,"$75k-$100k","$100k+")))))</x:f>
        <x:v>$100k+</x:v>
      </x:c>
      <x:c r="P4665" t="str">
        <x:f>IF(E4665="","Unknown",IF(E4665&lt;10,"&lt;10",IF(E4665&lt;20,"10-&lt;20",IF(E4665&lt;25,"20-&lt;25",IF(E4665&lt;35,"25-&lt;35","35+")))))</x:f>
        <x:v>&lt;10</x:v>
      </x:c>
    </x:row>
    <x:row r="4666">
      <x:c r="A4666" t="str">
        <x:v>SYN0004665</x:v>
      </x:c>
      <x:c r="B4666" s="12" t="n">
        <x:v>41935</x:v>
      </x:c>
      <x:c r="C4666" s="18" t="n">
        <x:v>6350</x:v>
      </x:c>
      <x:c r="D4666" s="18" t="n">
        <x:v>139323</x:v>
      </x:c>
      <x:c r="E4666" s="18" t="n">
        <x:v>18.37</x:v>
      </x:c>
      <x:c r="F4666" s="18" t="n">
        <x:v>9.22</x:v>
      </x:c>
      <x:c r="G4666" t="n">
        <x:v>36</x:v>
      </x:c>
      <x:c r="H4666" t="str">
        <x:v>B</x:v>
      </x:c>
      <x:c r="I4666" t="str">
        <x:v>1-3 years</x:v>
      </x:c>
      <x:c r="J4666" t="str">
        <x:v>MORTGAGE</x:v>
      </x:c>
      <x:c r="K4666" t="str">
        <x:v>major_purchase</x:v>
      </x:c>
      <x:c r="L4666" t="n">
        <x:v>0</x:v>
      </x:c>
      <x:c r="M4666" t="n">
        <x:v>0</x:v>
      </x:c>
      <x:c r="N4666" t="str">
        <x:v>Fully Paid</x:v>
      </x:c>
      <x:c r="O4666" t="str">
        <x:f>IF(D4666="","Unknown",IF(D4666&lt;25000,"&lt;$25k",IF(D4666&lt;50000,"$25k-$50k",IF(D4666&lt;75000,"$50k-$75k",IF(D4666&lt;100000,"$75k-$100k","$100k+")))))</x:f>
        <x:v>$100k+</x:v>
      </x:c>
      <x:c r="P4666" t="str">
        <x:f>IF(E4666="","Unknown",IF(E4666&lt;10,"&lt;10",IF(E4666&lt;20,"10-&lt;20",IF(E4666&lt;25,"20-&lt;25",IF(E4666&lt;35,"25-&lt;35","35+")))))</x:f>
        <x:v>10-&lt;20</x:v>
      </x:c>
    </x:row>
    <x:row r="4667">
      <x:c r="A4667" t="str">
        <x:v>SYN0004666</x:v>
      </x:c>
      <x:c r="B4667" s="12" t="n">
        <x:v>41935</x:v>
      </x:c>
      <x:c r="C4667" s="18" t="n">
        <x:v>27609</x:v>
      </x:c>
      <x:c r="D4667" s="18" t="n">
        <x:v>57981</x:v>
      </x:c>
      <x:c r="E4667" s="18" t="n">
        <x:v>18.41</x:v>
      </x:c>
      <x:c r="F4667" s="18" t="n">
        <x:v>5.51</x:v>
      </x:c>
      <x:c r="G4667" t="n">
        <x:v>36</x:v>
      </x:c>
      <x:c r="H4667" t="str">
        <x:v>A</x:v>
      </x:c>
      <x:c r="I4667" t="str">
        <x:v>10+ years</x:v>
      </x:c>
      <x:c r="J4667" t="str">
        <x:v>MORTGAGE</x:v>
      </x:c>
      <x:c r="K4667" t="str">
        <x:v>major_purchase</x:v>
      </x:c>
      <x:c r="L4667" t="n">
        <x:v>1</x:v>
      </x:c>
      <x:c r="M4667" t="n">
        <x:v>0</x:v>
      </x:c>
      <x:c r="N4667" t="str">
        <x:v>Fully Paid</x:v>
      </x:c>
      <x:c r="O4667" t="str">
        <x:f>IF(D4667="","Unknown",IF(D4667&lt;25000,"&lt;$25k",IF(D4667&lt;50000,"$25k-$50k",IF(D4667&lt;75000,"$50k-$75k",IF(D4667&lt;100000,"$75k-$100k","$100k+")))))</x:f>
        <x:v>$50k-$75k</x:v>
      </x:c>
      <x:c r="P4667" t="str">
        <x:f>IF(E4667="","Unknown",IF(E4667&lt;10,"&lt;10",IF(E4667&lt;20,"10-&lt;20",IF(E4667&lt;25,"20-&lt;25",IF(E4667&lt;35,"25-&lt;35","35+")))))</x:f>
        <x:v>10-&lt;20</x:v>
      </x:c>
    </x:row>
    <x:row r="4668">
      <x:c r="A4668" t="str">
        <x:v>SYN0004667</x:v>
      </x:c>
      <x:c r="B4668" s="12" t="n">
        <x:v>42115</x:v>
      </x:c>
      <x:c r="C4668" s="18" t="n">
        <x:v>6635</x:v>
      </x:c>
      <x:c r="D4668" s="18" t="n">
        <x:v>38511</x:v>
      </x:c>
      <x:c r="E4668" s="18" t="n">
        <x:v>26.94</x:v>
      </x:c>
      <x:c r="F4668" s="18" t="n">
        <x:v>13.3</x:v>
      </x:c>
      <x:c r="G4668" t="n">
        <x:v>60</x:v>
      </x:c>
      <x:c r="H4668" t="str">
        <x:v>D</x:v>
      </x:c>
      <x:c r="I4668" t="str">
        <x:v>1-3 years</x:v>
      </x:c>
      <x:c r="J4668" t="str">
        <x:v>RENT</x:v>
      </x:c>
      <x:c r="K4668" t="str">
        <x:v>debt_consolidation</x:v>
      </x:c>
      <x:c r="L4668" t="n">
        <x:v>1</x:v>
      </x:c>
      <x:c r="M4668" t="n">
        <x:v>0</x:v>
      </x:c>
      <x:c r="N4668" t="str">
        <x:v>Fully Paid</x:v>
      </x:c>
      <x:c r="O4668" t="str">
        <x:f>IF(D4668="","Unknown",IF(D4668&lt;25000,"&lt;$25k",IF(D4668&lt;50000,"$25k-$50k",IF(D4668&lt;75000,"$50k-$75k",IF(D4668&lt;100000,"$75k-$100k","$100k+")))))</x:f>
        <x:v>$25k-$50k</x:v>
      </x:c>
      <x:c r="P4668" t="str">
        <x:f>IF(E4668="","Unknown",IF(E4668&lt;10,"&lt;10",IF(E4668&lt;20,"10-&lt;20",IF(E4668&lt;25,"20-&lt;25",IF(E4668&lt;35,"25-&lt;35","35+")))))</x:f>
        <x:v>25-&lt;35</x:v>
      </x:c>
    </x:row>
    <x:row r="4669">
      <x:c r="A4669" t="str">
        <x:v>SYN0004668</x:v>
      </x:c>
      <x:c r="B4669" s="12" t="n">
        <x:v>41875</x:v>
      </x:c>
      <x:c r="C4669" s="18" t="n">
        <x:v>8477</x:v>
      </x:c>
      <x:c r="D4669" s="18" t="n">
        <x:v>138134</x:v>
      </x:c>
      <x:c r="E4669" s="18" t="n">
        <x:v>24.19</x:v>
      </x:c>
      <x:c r="F4669" s="18" t="n">
        <x:v>7.84</x:v>
      </x:c>
      <x:c r="G4669" t="n">
        <x:v>36</x:v>
      </x:c>
      <x:c r="H4669" t="str">
        <x:v>B</x:v>
      </x:c>
      <x:c r="I4669" t="str">
        <x:v>&lt;1 year</x:v>
      </x:c>
      <x:c r="J4669" t="str">
        <x:v>MORTGAGE</x:v>
      </x:c>
      <x:c r="K4669" t="str">
        <x:v>home_improvement</x:v>
      </x:c>
      <x:c r="L4669" t="n">
        <x:v>0</x:v>
      </x:c>
      <x:c r="M4669" t="n">
        <x:v>0</x:v>
      </x:c>
      <x:c r="N4669" t="str">
        <x:v>Fully Paid</x:v>
      </x:c>
      <x:c r="O4669" t="str">
        <x:f>IF(D4669="","Unknown",IF(D4669&lt;25000,"&lt;$25k",IF(D4669&lt;50000,"$25k-$50k",IF(D4669&lt;75000,"$50k-$75k",IF(D4669&lt;100000,"$75k-$100k","$100k+")))))</x:f>
        <x:v>$100k+</x:v>
      </x:c>
      <x:c r="P4669" t="str">
        <x:f>IF(E4669="","Unknown",IF(E4669&lt;10,"&lt;10",IF(E4669&lt;20,"10-&lt;20",IF(E4669&lt;25,"20-&lt;25",IF(E4669&lt;35,"25-&lt;35","35+")))))</x:f>
        <x:v>20-&lt;25</x:v>
      </x:c>
    </x:row>
    <x:row r="4670">
      <x:c r="A4670" t="str">
        <x:v>SYN0004669</x:v>
      </x:c>
      <x:c r="B4670" s="12" t="n">
        <x:v>41425</x:v>
      </x:c>
      <x:c r="C4670" s="18" t="n">
        <x:v>19116</x:v>
      </x:c>
      <x:c r="D4670" s="18" t="n">
        <x:v>250000</x:v>
      </x:c>
      <x:c r="E4670" s="18" t="n">
        <x:v>27.07</x:v>
      </x:c>
      <x:c r="F4670" s="18" t="n">
        <x:v>6.58</x:v>
      </x:c>
      <x:c r="G4670" t="n">
        <x:v>36</x:v>
      </x:c>
      <x:c r="H4670" t="str">
        <x:v>B</x:v>
      </x:c>
      <x:c r="I4670" t="str">
        <x:v>4-6 years</x:v>
      </x:c>
      <x:c r="J4670" t="str">
        <x:v>RENT</x:v>
      </x:c>
      <x:c r="K4670" t="str">
        <x:v>home_improvement</x:v>
      </x:c>
      <x:c r="L4670" t="n">
        <x:v>0</x:v>
      </x:c>
      <x:c r="M4670" t="n">
        <x:v>0</x:v>
      </x:c>
      <x:c r="N4670" t="str">
        <x:v>Fully Paid</x:v>
      </x:c>
      <x:c r="O4670" t="str">
        <x:f>IF(D4670="","Unknown",IF(D4670&lt;25000,"&lt;$25k",IF(D4670&lt;50000,"$25k-$50k",IF(D4670&lt;75000,"$50k-$75k",IF(D4670&lt;100000,"$75k-$100k","$100k+")))))</x:f>
        <x:v>$100k+</x:v>
      </x:c>
      <x:c r="P4670" t="str">
        <x:f>IF(E4670="","Unknown",IF(E4670&lt;10,"&lt;10",IF(E4670&lt;20,"10-&lt;20",IF(E4670&lt;25,"20-&lt;25",IF(E4670&lt;35,"25-&lt;35","35+")))))</x:f>
        <x:v>25-&lt;35</x:v>
      </x:c>
    </x:row>
    <x:row r="4671">
      <x:c r="A4671" t="str">
        <x:v>SYN0004670</x:v>
      </x:c>
      <x:c r="B4671" s="12" t="n">
        <x:v>42475</x:v>
      </x:c>
      <x:c r="C4671" s="18" t="n">
        <x:v>12765</x:v>
      </x:c>
      <x:c r="D4671" s="18" t="n">
        <x:v>143681</x:v>
      </x:c>
      <x:c r="E4671" s="18" t="n">
        <x:v>0</x:v>
      </x:c>
      <x:c r="F4671" s="18" t="n">
        <x:v>18.13</x:v>
      </x:c>
      <x:c r="G4671" t="n">
        <x:v>36</x:v>
      </x:c>
      <x:c r="H4671" t="str">
        <x:v>E</x:v>
      </x:c>
      <x:c r="I4671" t="str">
        <x:v>1-3 years</x:v>
      </x:c>
      <x:c r="J4671" t="str">
        <x:v>RENT</x:v>
      </x:c>
      <x:c r="K4671" t="str">
        <x:v>major_purchase</x:v>
      </x:c>
      <x:c r="L4671" t="n">
        <x:v>1</x:v>
      </x:c>
      <x:c r="M4671" t="n">
        <x:v>0</x:v>
      </x:c>
      <x:c r="N4671" t="str">
        <x:v>Fully Paid</x:v>
      </x:c>
      <x:c r="O4671" t="str">
        <x:f>IF(D4671="","Unknown",IF(D4671&lt;25000,"&lt;$25k",IF(D4671&lt;50000,"$25k-$50k",IF(D4671&lt;75000,"$50k-$75k",IF(D4671&lt;100000,"$75k-$100k","$100k+")))))</x:f>
        <x:v>$100k+</x:v>
      </x:c>
      <x:c r="P4671" t="str">
        <x:f>IF(E4671="","Unknown",IF(E4671&lt;10,"&lt;10",IF(E4671&lt;20,"10-&lt;20",IF(E4671&lt;25,"20-&lt;25",IF(E4671&lt;35,"25-&lt;35","35+")))))</x:f>
        <x:v>Unknown</x:v>
      </x:c>
    </x:row>
    <x:row r="4672">
      <x:c r="A4672" t="str">
        <x:v>SYN0004671</x:v>
      </x:c>
      <x:c r="B4672" s="12" t="n">
        <x:v>42505</x:v>
      </x:c>
      <x:c r="C4672" s="18" t="n">
        <x:v>14271</x:v>
      </x:c>
      <x:c r="D4672" s="18" t="n">
        <x:v>82964</x:v>
      </x:c>
      <x:c r="E4672" s="18" t="n">
        <x:v>25.49</x:v>
      </x:c>
      <x:c r="F4672" s="18" t="n">
        <x:v>14.56</x:v>
      </x:c>
      <x:c r="G4672" t="n">
        <x:v>36</x:v>
      </x:c>
      <x:c r="H4672" t="str">
        <x:v>D</x:v>
      </x:c>
      <x:c r="I4672" t="str">
        <x:v>1-3 years</x:v>
      </x:c>
      <x:c r="J4672" t="str">
        <x:v>MORTGAGE</x:v>
      </x:c>
      <x:c r="K4672" t="str">
        <x:v>debt_consolidation</x:v>
      </x:c>
      <x:c r="L4672" t="n">
        <x:v>0</x:v>
      </x:c>
      <x:c r="M4672" t="n">
        <x:v>0</x:v>
      </x:c>
      <x:c r="N4672" t="str">
        <x:v>Fully Paid</x:v>
      </x:c>
      <x:c r="O4672" t="str">
        <x:f>IF(D4672="","Unknown",IF(D4672&lt;25000,"&lt;$25k",IF(D4672&lt;50000,"$25k-$50k",IF(D4672&lt;75000,"$50k-$75k",IF(D4672&lt;100000,"$75k-$100k","$100k+")))))</x:f>
        <x:v>$75k-$100k</x:v>
      </x:c>
      <x:c r="P4672" t="str">
        <x:f>IF(E4672="","Unknown",IF(E4672&lt;10,"&lt;10",IF(E4672&lt;20,"10-&lt;20",IF(E4672&lt;25,"20-&lt;25",IF(E4672&lt;35,"25-&lt;35","35+")))))</x:f>
        <x:v>25-&lt;35</x:v>
      </x:c>
    </x:row>
    <x:row r="4673">
      <x:c r="A4673" t="str">
        <x:v>SYN0004672</x:v>
      </x:c>
      <x:c r="B4673" s="12" t="n">
        <x:v>42085</x:v>
      </x:c>
      <x:c r="C4673" s="18" t="n">
        <x:v>29210</x:v>
      </x:c>
      <x:c r="D4673" s="18" t="n">
        <x:v>51089</x:v>
      </x:c>
      <x:c r="E4673" s="18" t="n">
        <x:v>30.33</x:v>
      </x:c>
      <x:c r="F4673" s="18" t="n">
        <x:v>14.11</x:v>
      </x:c>
      <x:c r="G4673" t="n">
        <x:v>36</x:v>
      </x:c>
      <x:c r="H4673" t="str">
        <x:v>D</x:v>
      </x:c>
      <x:c r="I4673" t="str">
        <x:v>10+ years</x:v>
      </x:c>
      <x:c r="J4673" t="str">
        <x:v>OWN</x:v>
      </x:c>
      <x:c r="K4673" t="str">
        <x:v>debt_consolidation</x:v>
      </x:c>
      <x:c r="L4673" t="n">
        <x:v>3</x:v>
      </x:c>
      <x:c r="M4673" t="n">
        <x:v>1</x:v>
      </x:c>
      <x:c r="N4673" t="str">
        <x:v>Charged Off</x:v>
      </x:c>
      <x:c r="O4673" t="str">
        <x:f>IF(D4673="","Unknown",IF(D4673&lt;25000,"&lt;$25k",IF(D4673&lt;50000,"$25k-$50k",IF(D4673&lt;75000,"$50k-$75k",IF(D4673&lt;100000,"$75k-$100k","$100k+")))))</x:f>
        <x:v>$50k-$75k</x:v>
      </x:c>
      <x:c r="P4673" t="str">
        <x:f>IF(E4673="","Unknown",IF(E4673&lt;10,"&lt;10",IF(E4673&lt;20,"10-&lt;20",IF(E4673&lt;25,"20-&lt;25",IF(E4673&lt;35,"25-&lt;35","35+")))))</x:f>
        <x:v>25-&lt;35</x:v>
      </x:c>
    </x:row>
    <x:row r="4674">
      <x:c r="A4674" t="str">
        <x:v>SYN0004673</x:v>
      </x:c>
      <x:c r="B4674" s="12" t="n">
        <x:v>41425</x:v>
      </x:c>
      <x:c r="C4674" s="18" t="n">
        <x:v>7847</x:v>
      </x:c>
      <x:c r="D4674" s="18" t="n">
        <x:v>20597</x:v>
      </x:c>
      <x:c r="E4674" s="18" t="n">
        <x:v>25.3</x:v>
      </x:c>
      <x:c r="F4674" s="18" t="n">
        <x:v>13.39</x:v>
      </x:c>
      <x:c r="G4674" t="n">
        <x:v>60</x:v>
      </x:c>
      <x:c r="H4674" t="str">
        <x:v>D</x:v>
      </x:c>
      <x:c r="I4674" t="str">
        <x:v>10+ years</x:v>
      </x:c>
      <x:c r="J4674" t="str">
        <x:v>OWN</x:v>
      </x:c>
      <x:c r="K4674" t="str">
        <x:v>credit_card</x:v>
      </x:c>
      <x:c r="L4674" t="n">
        <x:v>1</x:v>
      </x:c>
      <x:c r="M4674" t="n">
        <x:v>0</x:v>
      </x:c>
      <x:c r="N4674" t="str">
        <x:v>Fully Paid</x:v>
      </x:c>
      <x:c r="O4674" t="str">
        <x:f>IF(D4674="","Unknown",IF(D4674&lt;25000,"&lt;$25k",IF(D4674&lt;50000,"$25k-$50k",IF(D4674&lt;75000,"$50k-$75k",IF(D4674&lt;100000,"$75k-$100k","$100k+")))))</x:f>
        <x:v>&lt;$25k</x:v>
      </x:c>
      <x:c r="P4674" t="str">
        <x:f>IF(E4674="","Unknown",IF(E4674&lt;10,"&lt;10",IF(E4674&lt;20,"10-&lt;20",IF(E4674&lt;25,"20-&lt;25",IF(E4674&lt;35,"25-&lt;35","35+")))))</x:f>
        <x:v>25-&lt;35</x:v>
      </x:c>
    </x:row>
    <x:row r="4675">
      <x:c r="A4675" t="str">
        <x:v>SYN0004674</x:v>
      </x:c>
      <x:c r="B4675" s="12" t="n">
        <x:v>42355</x:v>
      </x:c>
      <x:c r="C4675" s="18" t="n">
        <x:v>14605</x:v>
      </x:c>
      <x:c r="D4675" s="18" t="n">
        <x:v>89725</x:v>
      </x:c>
      <x:c r="E4675" s="18" t="n">
        <x:v>16.95</x:v>
      </x:c>
      <x:c r="F4675" s="18" t="n">
        <x:v>12.85</x:v>
      </x:c>
      <x:c r="G4675" t="n">
        <x:v>60</x:v>
      </x:c>
      <x:c r="H4675" t="str">
        <x:v>D</x:v>
      </x:c>
      <x:c r="I4675" t="str">
        <x:v>4-6 years</x:v>
      </x:c>
      <x:c r="J4675" t="str">
        <x:v>OWN</x:v>
      </x:c>
      <x:c r="K4675" t="str">
        <x:v>home_improvement</x:v>
      </x:c>
      <x:c r="L4675" t="n">
        <x:v>1</x:v>
      </x:c>
      <x:c r="M4675" t="n">
        <x:v>0</x:v>
      </x:c>
      <x:c r="N4675" t="str">
        <x:v>Fully Paid</x:v>
      </x:c>
      <x:c r="O4675" t="str">
        <x:f>IF(D4675="","Unknown",IF(D4675&lt;25000,"&lt;$25k",IF(D4675&lt;50000,"$25k-$50k",IF(D4675&lt;75000,"$50k-$75k",IF(D4675&lt;100000,"$75k-$100k","$100k+")))))</x:f>
        <x:v>$75k-$100k</x:v>
      </x:c>
      <x:c r="P4675" t="str">
        <x:f>IF(E4675="","Unknown",IF(E4675&lt;10,"&lt;10",IF(E4675&lt;20,"10-&lt;20",IF(E4675&lt;25,"20-&lt;25",IF(E4675&lt;35,"25-&lt;35","35+")))))</x:f>
        <x:v>10-&lt;20</x:v>
      </x:c>
    </x:row>
    <x:row r="4676">
      <x:c r="A4676" t="str">
        <x:v>SYN0004675</x:v>
      </x:c>
      <x:c r="B4676" s="12" t="n">
        <x:v>43075</x:v>
      </x:c>
      <x:c r="C4676" s="18" t="n">
        <x:v>9141</x:v>
      </x:c>
      <x:c r="D4676" s="18" t="n">
        <x:v>81578</x:v>
      </x:c>
      <x:c r="E4676" s="18" t="n">
        <x:v>29.79</x:v>
      </x:c>
      <x:c r="F4676" s="18" t="n">
        <x:v>6.5</x:v>
      </x:c>
      <x:c r="G4676" t="n">
        <x:v>36</x:v>
      </x:c>
      <x:c r="H4676" t="str">
        <x:v>A</x:v>
      </x:c>
      <x:c r="I4676" t="str">
        <x:v>4-6 years</x:v>
      </x:c>
      <x:c r="J4676" t="str">
        <x:v>RENT</x:v>
      </x:c>
      <x:c r="K4676" t="str">
        <x:v>other</x:v>
      </x:c>
      <x:c r="L4676" t="n">
        <x:v>0</x:v>
      </x:c>
      <x:c r="M4676" t="n">
        <x:v>0</x:v>
      </x:c>
      <x:c r="N4676" t="str">
        <x:v>Fully Paid</x:v>
      </x:c>
      <x:c r="O4676" t="str">
        <x:f>IF(D4676="","Unknown",IF(D4676&lt;25000,"&lt;$25k",IF(D4676&lt;50000,"$25k-$50k",IF(D4676&lt;75000,"$50k-$75k",IF(D4676&lt;100000,"$75k-$100k","$100k+")))))</x:f>
        <x:v>$75k-$100k</x:v>
      </x:c>
      <x:c r="P4676" t="str">
        <x:f>IF(E4676="","Unknown",IF(E4676&lt;10,"&lt;10",IF(E4676&lt;20,"10-&lt;20",IF(E4676&lt;25,"20-&lt;25",IF(E4676&lt;35,"25-&lt;35","35+")))))</x:f>
        <x:v>25-&lt;35</x:v>
      </x:c>
    </x:row>
    <x:row r="4677">
      <x:c r="A4677" t="str">
        <x:v>SYN0004676</x:v>
      </x:c>
      <x:c r="B4677" s="12" t="n">
        <x:v>41515</x:v>
      </x:c>
      <x:c r="C4677" s="18" t="n">
        <x:v>22583</x:v>
      </x:c>
      <x:c r="D4677" s="18" t="n">
        <x:v>37416</x:v>
      </x:c>
      <x:c r="E4677" s="18" t="n">
        <x:v>38.55</x:v>
      </x:c>
      <x:c r="F4677" s="18" t="n">
        <x:v>10.62</x:v>
      </x:c>
      <x:c r="G4677" t="n">
        <x:v>36</x:v>
      </x:c>
      <x:c r="H4677" t="str">
        <x:v>C</x:v>
      </x:c>
      <x:c r="I4677" t="str">
        <x:v>1-3 years</x:v>
      </x:c>
      <x:c r="J4677" t="str">
        <x:v>RENT</x:v>
      </x:c>
      <x:c r="K4677" t="str">
        <x:v>debt_consolidation</x:v>
      </x:c>
      <x:c r="L4677" t="n">
        <x:v>1</x:v>
      </x:c>
      <x:c r="M4677" t="n">
        <x:v>1</x:v>
      </x:c>
      <x:c r="N4677" t="str">
        <x:v>Charged Off</x:v>
      </x:c>
      <x:c r="O4677" t="str">
        <x:f>IF(D4677="","Unknown",IF(D4677&lt;25000,"&lt;$25k",IF(D4677&lt;50000,"$25k-$50k",IF(D4677&lt;75000,"$50k-$75k",IF(D4677&lt;100000,"$75k-$100k","$100k+")))))</x:f>
        <x:v>$25k-$50k</x:v>
      </x:c>
      <x:c r="P4677" t="str">
        <x:f>IF(E4677="","Unknown",IF(E4677&lt;10,"&lt;10",IF(E4677&lt;20,"10-&lt;20",IF(E4677&lt;25,"20-&lt;25",IF(E4677&lt;35,"25-&lt;35","35+")))))</x:f>
        <x:v>35+</x:v>
      </x:c>
    </x:row>
    <x:row r="4678">
      <x:c r="A4678" t="str">
        <x:v>SYN0004677</x:v>
      </x:c>
      <x:c r="B4678" s="12" t="n">
        <x:v>43225</x:v>
      </x:c>
      <x:c r="C4678" s="18" t="n">
        <x:v>10076</x:v>
      </x:c>
      <x:c r="D4678" s="18" t="n">
        <x:v>28780</x:v>
      </x:c>
      <x:c r="E4678" s="18" t="n">
        <x:v>33.26</x:v>
      </x:c>
      <x:c r="F4678" s="18" t="n">
        <x:v>8</x:v>
      </x:c>
      <x:c r="G4678" t="n">
        <x:v>36</x:v>
      </x:c>
      <x:c r="H4678" t="str">
        <x:v>B</x:v>
      </x:c>
      <x:c r="I4678" t="str">
        <x:v>&lt;1 year</x:v>
      </x:c>
      <x:c r="J4678" t="str">
        <x:v>RENT</x:v>
      </x:c>
      <x:c r="K4678" t="str">
        <x:v>home_improvement</x:v>
      </x:c>
      <x:c r="L4678" t="n">
        <x:v>0</x:v>
      </x:c>
      <x:c r="M4678" t="n">
        <x:v>0</x:v>
      </x:c>
      <x:c r="N4678" t="str">
        <x:v>Fully Paid</x:v>
      </x:c>
      <x:c r="O4678" t="str">
        <x:f>IF(D4678="","Unknown",IF(D4678&lt;25000,"&lt;$25k",IF(D4678&lt;50000,"$25k-$50k",IF(D4678&lt;75000,"$50k-$75k",IF(D4678&lt;100000,"$75k-$100k","$100k+")))))</x:f>
        <x:v>$25k-$50k</x:v>
      </x:c>
      <x:c r="P4678" t="str">
        <x:f>IF(E4678="","Unknown",IF(E4678&lt;10,"&lt;10",IF(E4678&lt;20,"10-&lt;20",IF(E4678&lt;25,"20-&lt;25",IF(E4678&lt;35,"25-&lt;35","35+")))))</x:f>
        <x:v>25-&lt;35</x:v>
      </x:c>
    </x:row>
    <x:row r="4679">
      <x:c r="A4679" t="str">
        <x:v>SYN0004678</x:v>
      </x:c>
      <x:c r="B4679" s="12" t="n">
        <x:v>42925</x:v>
      </x:c>
      <x:c r="C4679" s="18" t="n">
        <x:v>16277</x:v>
      </x:c>
      <x:c r="D4679" s="18" t="n">
        <x:v>197897</x:v>
      </x:c>
      <x:c r="E4679" s="18" t="n">
        <x:v>26.96</x:v>
      </x:c>
      <x:c r="F4679" s="18" t="n">
        <x:v>11.17</x:v>
      </x:c>
      <x:c r="G4679" t="n">
        <x:v>36</x:v>
      </x:c>
      <x:c r="H4679" t="str">
        <x:v>C</x:v>
      </x:c>
      <x:c r="I4679" t="str">
        <x:v>1-3 years</x:v>
      </x:c>
      <x:c r="J4679" t="str">
        <x:v>OWN</x:v>
      </x:c>
      <x:c r="K4679" t="str">
        <x:v>other</x:v>
      </x:c>
      <x:c r="L4679" t="n">
        <x:v>0</x:v>
      </x:c>
      <x:c r="M4679" t="n">
        <x:v>1</x:v>
      </x:c>
      <x:c r="N4679" t="str">
        <x:v>Charged Off</x:v>
      </x:c>
      <x:c r="O4679" t="str">
        <x:f>IF(D4679="","Unknown",IF(D4679&lt;25000,"&lt;$25k",IF(D4679&lt;50000,"$25k-$50k",IF(D4679&lt;75000,"$50k-$75k",IF(D4679&lt;100000,"$75k-$100k","$100k+")))))</x:f>
        <x:v>$100k+</x:v>
      </x:c>
      <x:c r="P4679" t="str">
        <x:f>IF(E4679="","Unknown",IF(E4679&lt;10,"&lt;10",IF(E4679&lt;20,"10-&lt;20",IF(E4679&lt;25,"20-&lt;25",IF(E4679&lt;35,"25-&lt;35","35+")))))</x:f>
        <x:v>25-&lt;35</x:v>
      </x:c>
    </x:row>
    <x:row r="4680">
      <x:c r="A4680" t="str">
        <x:v>SYN0004679</x:v>
      </x:c>
      <x:c r="B4680" s="12" t="n">
        <x:v>42295</x:v>
      </x:c>
      <x:c r="C4680" s="18" t="n">
        <x:v>4827</x:v>
      </x:c>
      <x:c r="D4680" s="18" t="n">
        <x:v>28421</x:v>
      </x:c>
      <x:c r="E4680" s="18" t="n">
        <x:v>19.14</x:v>
      </x:c>
      <x:c r="F4680" s="18" t="n">
        <x:v>27.28</x:v>
      </x:c>
      <x:c r="G4680" t="n">
        <x:v>36</x:v>
      </x:c>
      <x:c r="H4680" t="str">
        <x:v>G</x:v>
      </x:c>
      <x:c r="I4680" t="str">
        <x:v>4-6 years</x:v>
      </x:c>
      <x:c r="J4680" t="str">
        <x:v>MORTGAGE</x:v>
      </x:c>
      <x:c r="K4680" t="str">
        <x:v>debt_consolidation</x:v>
      </x:c>
      <x:c r="L4680" t="n">
        <x:v>1</x:v>
      </x:c>
      <x:c r="M4680" t="n">
        <x:v>1</x:v>
      </x:c>
      <x:c r="N4680" t="str">
        <x:v>Charged Off</x:v>
      </x:c>
      <x:c r="O4680" t="str">
        <x:f>IF(D4680="","Unknown",IF(D4680&lt;25000,"&lt;$25k",IF(D4680&lt;50000,"$25k-$50k",IF(D4680&lt;75000,"$50k-$75k",IF(D4680&lt;100000,"$75k-$100k","$100k+")))))</x:f>
        <x:v>$25k-$50k</x:v>
      </x:c>
      <x:c r="P4680" t="str">
        <x:f>IF(E4680="","Unknown",IF(E4680&lt;10,"&lt;10",IF(E4680&lt;20,"10-&lt;20",IF(E4680&lt;25,"20-&lt;25",IF(E4680&lt;35,"25-&lt;35","35+")))))</x:f>
        <x:v>10-&lt;20</x:v>
      </x:c>
    </x:row>
    <x:row r="4681">
      <x:c r="A4681" t="str">
        <x:v>SYN0004680</x:v>
      </x:c>
      <x:c r="B4681" s="12" t="n">
        <x:v>41575</x:v>
      </x:c>
      <x:c r="C4681" s="18" t="n">
        <x:v>15026</x:v>
      </x:c>
      <x:c r="D4681" s="18" t="n">
        <x:v>63708</x:v>
      </x:c>
      <x:c r="E4681" s="18" t="n">
        <x:v>20.03</x:v>
      </x:c>
      <x:c r="F4681" s="18" t="n">
        <x:v>13.6</x:v>
      </x:c>
      <x:c r="G4681" t="n">
        <x:v>60</x:v>
      </x:c>
      <x:c r="H4681" t="str">
        <x:v>D</x:v>
      </x:c>
      <x:c r="I4681" t="str">
        <x:v>4-6 years</x:v>
      </x:c>
      <x:c r="J4681" t="str">
        <x:v>OWN</x:v>
      </x:c>
      <x:c r="K4681" t="str">
        <x:v>major_purchase</x:v>
      </x:c>
      <x:c r="L4681" t="n">
        <x:v>0</x:v>
      </x:c>
      <x:c r="M4681" t="n">
        <x:v>0</x:v>
      </x:c>
      <x:c r="N4681" t="str">
        <x:v>Fully Paid</x:v>
      </x:c>
      <x:c r="O4681" t="str">
        <x:f>IF(D4681="","Unknown",IF(D4681&lt;25000,"&lt;$25k",IF(D4681&lt;50000,"$25k-$50k",IF(D4681&lt;75000,"$50k-$75k",IF(D4681&lt;100000,"$75k-$100k","$100k+")))))</x:f>
        <x:v>$50k-$75k</x:v>
      </x:c>
      <x:c r="P4681" t="str">
        <x:f>IF(E4681="","Unknown",IF(E4681&lt;10,"&lt;10",IF(E4681&lt;20,"10-&lt;20",IF(E4681&lt;25,"20-&lt;25",IF(E4681&lt;35,"25-&lt;35","35+")))))</x:f>
        <x:v>20-&lt;25</x:v>
      </x:c>
    </x:row>
    <x:row r="4682">
      <x:c r="A4682" t="str">
        <x:v>SYN0004681</x:v>
      </x:c>
      <x:c r="B4682" s="12" t="n">
        <x:v>43075</x:v>
      </x:c>
      <x:c r="C4682" s="18" t="n">
        <x:v>6174</x:v>
      </x:c>
      <x:c r="D4682" s="18" t="n">
        <x:v>153015</x:v>
      </x:c>
      <x:c r="E4682" s="18" t="n">
        <x:v>31.5</x:v>
      </x:c>
      <x:c r="F4682" s="18" t="n">
        <x:v>15.48</x:v>
      </x:c>
      <x:c r="G4682" t="n">
        <x:v>36</x:v>
      </x:c>
      <x:c r="H4682" t="str">
        <x:v>D</x:v>
      </x:c>
      <x:c r="I4682" t="str">
        <x:v>10+ years</x:v>
      </x:c>
      <x:c r="J4682" t="str">
        <x:v>RENT</x:v>
      </x:c>
      <x:c r="K4682" t="str">
        <x:v>credit_card</x:v>
      </x:c>
      <x:c r="L4682" t="n">
        <x:v>2</x:v>
      </x:c>
      <x:c r="M4682" t="n">
        <x:v>0</x:v>
      </x:c>
      <x:c r="N4682" t="str">
        <x:v>Fully Paid</x:v>
      </x:c>
      <x:c r="O4682" t="str">
        <x:f>IF(D4682="","Unknown",IF(D4682&lt;25000,"&lt;$25k",IF(D4682&lt;50000,"$25k-$50k",IF(D4682&lt;75000,"$50k-$75k",IF(D4682&lt;100000,"$75k-$100k","$100k+")))))</x:f>
        <x:v>$100k+</x:v>
      </x:c>
      <x:c r="P4682" t="str">
        <x:f>IF(E4682="","Unknown",IF(E4682&lt;10,"&lt;10",IF(E4682&lt;20,"10-&lt;20",IF(E4682&lt;25,"20-&lt;25",IF(E4682&lt;35,"25-&lt;35","35+")))))</x:f>
        <x:v>25-&lt;35</x:v>
      </x:c>
    </x:row>
    <x:row r="4683">
      <x:c r="A4683" t="str">
        <x:v>SYN0004682</x:v>
      </x:c>
      <x:c r="B4683" s="12" t="n">
        <x:v>42625</x:v>
      </x:c>
      <x:c r="C4683" s="18" t="n">
        <x:v>21728</x:v>
      </x:c>
      <x:c r="D4683" s="18" t="n">
        <x:v>68468</x:v>
      </x:c>
      <x:c r="E4683" s="18" t="n">
        <x:v>4.02</x:v>
      </x:c>
      <x:c r="F4683" s="18" t="n">
        <x:v>9.05</x:v>
      </x:c>
      <x:c r="G4683" t="n">
        <x:v>36</x:v>
      </x:c>
      <x:c r="H4683" t="str">
        <x:v>B</x:v>
      </x:c>
      <x:c r="I4683" t="str">
        <x:v>10+ years</x:v>
      </x:c>
      <x:c r="J4683" t="str">
        <x:v>RENT</x:v>
      </x:c>
      <x:c r="K4683" t="str">
        <x:v>credit_card</x:v>
      </x:c>
      <x:c r="L4683" t="n">
        <x:v>0</x:v>
      </x:c>
      <x:c r="M4683" t="n">
        <x:v>0</x:v>
      </x:c>
      <x:c r="N4683" t="str">
        <x:v>Fully Paid</x:v>
      </x:c>
      <x:c r="O4683" t="str">
        <x:f>IF(D4683="","Unknown",IF(D4683&lt;25000,"&lt;$25k",IF(D4683&lt;50000,"$25k-$50k",IF(D4683&lt;75000,"$50k-$75k",IF(D4683&lt;100000,"$75k-$100k","$100k+")))))</x:f>
        <x:v>$50k-$75k</x:v>
      </x:c>
      <x:c r="P4683" t="str">
        <x:f>IF(E4683="","Unknown",IF(E4683&lt;10,"&lt;10",IF(E4683&lt;20,"10-&lt;20",IF(E4683&lt;25,"20-&lt;25",IF(E4683&lt;35,"25-&lt;35","35+")))))</x:f>
        <x:v>&lt;10</x:v>
      </x:c>
    </x:row>
    <x:row r="4684">
      <x:c r="A4684" t="str">
        <x:v>SYN0004683</x:v>
      </x:c>
      <x:c r="B4684" s="12" t="n">
        <x:v>43315</x:v>
      </x:c>
      <x:c r="C4684" s="18" t="n">
        <x:v>14207</x:v>
      </x:c>
      <x:c r="D4684" s="18" t="n">
        <x:v>28769</x:v>
      </x:c>
      <x:c r="E4684" s="18" t="n">
        <x:v>35.51</x:v>
      </x:c>
      <x:c r="F4684" s="18" t="n">
        <x:v>5</x:v>
      </x:c>
      <x:c r="G4684" t="n">
        <x:v>36</x:v>
      </x:c>
      <x:c r="H4684" t="str">
        <x:v>A</x:v>
      </x:c>
      <x:c r="I4684" t="str">
        <x:v>1-3 years</x:v>
      </x:c>
      <x:c r="J4684" t="str">
        <x:v>RENT</x:v>
      </x:c>
      <x:c r="K4684" t="str">
        <x:v>debt_consolidation</x:v>
      </x:c>
      <x:c r="L4684" t="n">
        <x:v>0</x:v>
      </x:c>
      <x:c r="M4684" t="n">
        <x:v>0</x:v>
      </x:c>
      <x:c r="N4684" t="str">
        <x:v>Fully Paid</x:v>
      </x:c>
      <x:c r="O4684" t="str">
        <x:f>IF(D4684="","Unknown",IF(D4684&lt;25000,"&lt;$25k",IF(D4684&lt;50000,"$25k-$50k",IF(D4684&lt;75000,"$50k-$75k",IF(D4684&lt;100000,"$75k-$100k","$100k+")))))</x:f>
        <x:v>$25k-$50k</x:v>
      </x:c>
      <x:c r="P4684" t="str">
        <x:f>IF(E4684="","Unknown",IF(E4684&lt;10,"&lt;10",IF(E4684&lt;20,"10-&lt;20",IF(E4684&lt;25,"20-&lt;25",IF(E4684&lt;35,"25-&lt;35","35+")))))</x:f>
        <x:v>35+</x:v>
      </x:c>
    </x:row>
    <x:row r="4685">
      <x:c r="A4685" t="str">
        <x:v>SYN0004684</x:v>
      </x:c>
      <x:c r="B4685" s="12" t="n">
        <x:v>43405</x:v>
      </x:c>
      <x:c r="C4685" s="18" t="n">
        <x:v>15335</x:v>
      </x:c>
      <x:c r="D4685" s="18" t="n">
        <x:v>51532</x:v>
      </x:c>
      <x:c r="E4685" s="18" t="n">
        <x:v>29.97</x:v>
      </x:c>
      <x:c r="F4685" s="18" t="n">
        <x:v>10.69</x:v>
      </x:c>
      <x:c r="G4685" t="n">
        <x:v>36</x:v>
      </x:c>
      <x:c r="H4685" t="str">
        <x:v>C</x:v>
      </x:c>
      <x:c r="I4685" t="str">
        <x:v>1-3 years</x:v>
      </x:c>
      <x:c r="J4685" t="str">
        <x:v>OWN</x:v>
      </x:c>
      <x:c r="K4685" t="str">
        <x:v>debt_consolidation</x:v>
      </x:c>
      <x:c r="L4685" t="n">
        <x:v>2</x:v>
      </x:c>
      <x:c r="M4685" t="n">
        <x:v>0</x:v>
      </x:c>
      <x:c r="N4685" t="str">
        <x:v>Fully Paid</x:v>
      </x:c>
      <x:c r="O4685" t="str">
        <x:f>IF(D4685="","Unknown",IF(D4685&lt;25000,"&lt;$25k",IF(D4685&lt;50000,"$25k-$50k",IF(D4685&lt;75000,"$50k-$75k",IF(D4685&lt;100000,"$75k-$100k","$100k+")))))</x:f>
        <x:v>$50k-$75k</x:v>
      </x:c>
      <x:c r="P4685" t="str">
        <x:f>IF(E4685="","Unknown",IF(E4685&lt;10,"&lt;10",IF(E4685&lt;20,"10-&lt;20",IF(E4685&lt;25,"20-&lt;25",IF(E4685&lt;35,"25-&lt;35","35+")))))</x:f>
        <x:v>25-&lt;35</x:v>
      </x:c>
    </x:row>
    <x:row r="4686">
      <x:c r="A4686" t="str">
        <x:v>SYN0004685</x:v>
      </x:c>
      <x:c r="B4686" s="12" t="n">
        <x:v>43075</x:v>
      </x:c>
      <x:c r="C4686" s="18" t="n">
        <x:v>15997</x:v>
      </x:c>
      <x:c r="D4686" s="18" t="n">
        <x:v>119257</x:v>
      </x:c>
      <x:c r="E4686" s="18" t="n">
        <x:v>32.06</x:v>
      </x:c>
      <x:c r="F4686" s="18" t="n">
        <x:v>23.16</x:v>
      </x:c>
      <x:c r="G4686" t="n">
        <x:v>60</x:v>
      </x:c>
      <x:c r="H4686" t="str">
        <x:v>G</x:v>
      </x:c>
      <x:c r="I4686" t="str">
        <x:v>4-6 years</x:v>
      </x:c>
      <x:c r="J4686" t="str">
        <x:v>OWN</x:v>
      </x:c>
      <x:c r="K4686" t="str">
        <x:v>other</x:v>
      </x:c>
      <x:c r="L4686" t="n">
        <x:v>2</x:v>
      </x:c>
      <x:c r="M4686" t="n">
        <x:v>1</x:v>
      </x:c>
      <x:c r="N4686" t="str">
        <x:v>Charged Off</x:v>
      </x:c>
      <x:c r="O4686" t="str">
        <x:f>IF(D4686="","Unknown",IF(D4686&lt;25000,"&lt;$25k",IF(D4686&lt;50000,"$25k-$50k",IF(D4686&lt;75000,"$50k-$75k",IF(D4686&lt;100000,"$75k-$100k","$100k+")))))</x:f>
        <x:v>$100k+</x:v>
      </x:c>
      <x:c r="P4686" t="str">
        <x:f>IF(E4686="","Unknown",IF(E4686&lt;10,"&lt;10",IF(E4686&lt;20,"10-&lt;20",IF(E4686&lt;25,"20-&lt;25",IF(E4686&lt;35,"25-&lt;35","35+")))))</x:f>
        <x:v>25-&lt;35</x:v>
      </x:c>
    </x:row>
    <x:row r="4687">
      <x:c r="A4687" t="str">
        <x:v>SYN0004686</x:v>
      </x:c>
      <x:c r="B4687" s="12" t="n">
        <x:v>42805</x:v>
      </x:c>
      <x:c r="C4687" s="18" t="n">
        <x:v>15658</x:v>
      </x:c>
      <x:c r="D4687" s="18" t="n">
        <x:v>44224</x:v>
      </x:c>
      <x:c r="E4687" s="18" t="n">
        <x:v>6.76</x:v>
      </x:c>
      <x:c r="F4687" s="18" t="n">
        <x:v>5.74</x:v>
      </x:c>
      <x:c r="G4687" t="n">
        <x:v>36</x:v>
      </x:c>
      <x:c r="H4687" t="str">
        <x:v>A</x:v>
      </x:c>
      <x:c r="I4687" t="str">
        <x:v>1-3 years</x:v>
      </x:c>
      <x:c r="J4687" t="str">
        <x:v>MORTGAGE</x:v>
      </x:c>
      <x:c r="K4687" t="str">
        <x:v>debt_consolidation</x:v>
      </x:c>
      <x:c r="L4687" t="n">
        <x:v>0</x:v>
      </x:c>
      <x:c r="M4687" t="n">
        <x:v>0</x:v>
      </x:c>
      <x:c r="N4687" t="str">
        <x:v>Fully Paid</x:v>
      </x:c>
      <x:c r="O4687" t="str">
        <x:f>IF(D4687="","Unknown",IF(D4687&lt;25000,"&lt;$25k",IF(D4687&lt;50000,"$25k-$50k",IF(D4687&lt;75000,"$50k-$75k",IF(D4687&lt;100000,"$75k-$100k","$100k+")))))</x:f>
        <x:v>$25k-$50k</x:v>
      </x:c>
      <x:c r="P4687" t="str">
        <x:f>IF(E4687="","Unknown",IF(E4687&lt;10,"&lt;10",IF(E4687&lt;20,"10-&lt;20",IF(E4687&lt;25,"20-&lt;25",IF(E4687&lt;35,"25-&lt;35","35+")))))</x:f>
        <x:v>&lt;10</x:v>
      </x:c>
    </x:row>
    <x:row r="4688">
      <x:c r="A4688" t="str">
        <x:v>SYN0004687</x:v>
      </x:c>
      <x:c r="B4688" s="12" t="n">
        <x:v>41395</x:v>
      </x:c>
      <x:c r="C4688" s="18" t="n">
        <x:v>19878</x:v>
      </x:c>
      <x:c r="D4688" s="18" t="n">
        <x:v>75947</x:v>
      </x:c>
      <x:c r="E4688" s="18" t="n">
        <x:v>21.77</x:v>
      </x:c>
      <x:c r="F4688" s="18" t="n">
        <x:v>13.96</x:v>
      </x:c>
      <x:c r="G4688" t="n">
        <x:v>36</x:v>
      </x:c>
      <x:c r="H4688" t="str">
        <x:v>D</x:v>
      </x:c>
      <x:c r="I4688" t="str">
        <x:v>7-9 years</x:v>
      </x:c>
      <x:c r="J4688" t="str">
        <x:v>MORTGAGE</x:v>
      </x:c>
      <x:c r="K4688" t="str">
        <x:v>credit_card</x:v>
      </x:c>
      <x:c r="L4688" t="n">
        <x:v>0</x:v>
      </x:c>
      <x:c r="M4688" t="n">
        <x:v>0</x:v>
      </x:c>
      <x:c r="N4688" t="str">
        <x:v>Fully Paid</x:v>
      </x:c>
      <x:c r="O4688" t="str">
        <x:f>IF(D4688="","Unknown",IF(D4688&lt;25000,"&lt;$25k",IF(D4688&lt;50000,"$25k-$50k",IF(D4688&lt;75000,"$50k-$75k",IF(D4688&lt;100000,"$75k-$100k","$100k+")))))</x:f>
        <x:v>$75k-$100k</x:v>
      </x:c>
      <x:c r="P4688" t="str">
        <x:f>IF(E4688="","Unknown",IF(E4688&lt;10,"&lt;10",IF(E4688&lt;20,"10-&lt;20",IF(E4688&lt;25,"20-&lt;25",IF(E4688&lt;35,"25-&lt;35","35+")))))</x:f>
        <x:v>20-&lt;25</x:v>
      </x:c>
    </x:row>
    <x:row r="4689">
      <x:c r="A4689" t="str">
        <x:v>SYN0004688</x:v>
      </x:c>
      <x:c r="B4689" s="12" t="n">
        <x:v>43135</x:v>
      </x:c>
      <x:c r="C4689" s="18" t="n">
        <x:v>11666</x:v>
      </x:c>
      <x:c r="D4689" s="18" t="n">
        <x:v>23598</x:v>
      </x:c>
      <x:c r="E4689" s="18" t="n">
        <x:v>19.38</x:v>
      </x:c>
      <x:c r="F4689" s="18" t="n">
        <x:v>18.68</x:v>
      </x:c>
      <x:c r="G4689" t="n">
        <x:v>60</x:v>
      </x:c>
      <x:c r="H4689" t="str">
        <x:v>E</x:v>
      </x:c>
      <x:c r="I4689" t="str">
        <x:v>4-6 years</x:v>
      </x:c>
      <x:c r="J4689" t="str">
        <x:v>MORTGAGE</x:v>
      </x:c>
      <x:c r="K4689" t="str">
        <x:v>debt_consolidation</x:v>
      </x:c>
      <x:c r="L4689" t="n">
        <x:v>1</x:v>
      </x:c>
      <x:c r="M4689" t="n">
        <x:v>1</x:v>
      </x:c>
      <x:c r="N4689" t="str">
        <x:v>Charged Off</x:v>
      </x:c>
      <x:c r="O4689" t="str">
        <x:f>IF(D4689="","Unknown",IF(D4689&lt;25000,"&lt;$25k",IF(D4689&lt;50000,"$25k-$50k",IF(D4689&lt;75000,"$50k-$75k",IF(D4689&lt;100000,"$75k-$100k","$100k+")))))</x:f>
        <x:v>&lt;$25k</x:v>
      </x:c>
      <x:c r="P4689" t="str">
        <x:f>IF(E4689="","Unknown",IF(E4689&lt;10,"&lt;10",IF(E4689&lt;20,"10-&lt;20",IF(E4689&lt;25,"20-&lt;25",IF(E4689&lt;35,"25-&lt;35","35+")))))</x:f>
        <x:v>10-&lt;20</x:v>
      </x:c>
    </x:row>
    <x:row r="4690">
      <x:c r="A4690" t="str">
        <x:v>SYN0004689</x:v>
      </x:c>
      <x:c r="B4690" s="12" t="n">
        <x:v>42235</x:v>
      </x:c>
      <x:c r="C4690" s="18" t="n">
        <x:v>17208</x:v>
      </x:c>
      <x:c r="D4690" s="18" t="n">
        <x:v>34559</x:v>
      </x:c>
      <x:c r="E4690" s="18" t="n">
        <x:v>24.73</x:v>
      </x:c>
      <x:c r="F4690" s="18" t="n">
        <x:v>8.69</x:v>
      </x:c>
      <x:c r="G4690" t="n">
        <x:v>36</x:v>
      </x:c>
      <x:c r="H4690" t="str">
        <x:v>B</x:v>
      </x:c>
      <x:c r="I4690" t="str">
        <x:v>&lt;1 year</x:v>
      </x:c>
      <x:c r="J4690" t="str">
        <x:v>MORTGAGE</x:v>
      </x:c>
      <x:c r="K4690" t="str">
        <x:v>debt_consolidation</x:v>
      </x:c>
      <x:c r="L4690" t="n">
        <x:v>0</x:v>
      </x:c>
      <x:c r="M4690" t="n">
        <x:v>0</x:v>
      </x:c>
      <x:c r="N4690" t="str">
        <x:v>Fully Paid</x:v>
      </x:c>
      <x:c r="O4690" t="str">
        <x:f>IF(D4690="","Unknown",IF(D4690&lt;25000,"&lt;$25k",IF(D4690&lt;50000,"$25k-$50k",IF(D4690&lt;75000,"$50k-$75k",IF(D4690&lt;100000,"$75k-$100k","$100k+")))))</x:f>
        <x:v>$25k-$50k</x:v>
      </x:c>
      <x:c r="P4690" t="str">
        <x:f>IF(E4690="","Unknown",IF(E4690&lt;10,"&lt;10",IF(E4690&lt;20,"10-&lt;20",IF(E4690&lt;25,"20-&lt;25",IF(E4690&lt;35,"25-&lt;35","35+")))))</x:f>
        <x:v>20-&lt;25</x:v>
      </x:c>
    </x:row>
    <x:row r="4691">
      <x:c r="A4691" t="str">
        <x:v>SYN0004690</x:v>
      </x:c>
      <x:c r="B4691" s="12" t="n">
        <x:v>42805</x:v>
      </x:c>
      <x:c r="C4691" s="18" t="n">
        <x:v>13879</x:v>
      </x:c>
      <x:c r="D4691" s="18" t="n">
        <x:v>28794</x:v>
      </x:c>
      <x:c r="E4691" s="18" t="n">
        <x:v>24.4</x:v>
      </x:c>
      <x:c r="F4691" s="18" t="n">
        <x:v>8.52</x:v>
      </x:c>
      <x:c r="G4691" t="n">
        <x:v>36</x:v>
      </x:c>
      <x:c r="H4691" t="str">
        <x:v>A</x:v>
      </x:c>
      <x:c r="I4691" t="str">
        <x:v>7-9 years</x:v>
      </x:c>
      <x:c r="J4691" t="str">
        <x:v>MORTGAGE</x:v>
      </x:c>
      <x:c r="K4691" t="str">
        <x:v>credit_card</x:v>
      </x:c>
      <x:c r="L4691" t="n">
        <x:v>0</x:v>
      </x:c>
      <x:c r="M4691" t="n">
        <x:v>0</x:v>
      </x:c>
      <x:c r="N4691" t="str">
        <x:v>Fully Paid</x:v>
      </x:c>
      <x:c r="O4691" t="str">
        <x:f>IF(D4691="","Unknown",IF(D4691&lt;25000,"&lt;$25k",IF(D4691&lt;50000,"$25k-$50k",IF(D4691&lt;75000,"$50k-$75k",IF(D4691&lt;100000,"$75k-$100k","$100k+")))))</x:f>
        <x:v>$25k-$50k</x:v>
      </x:c>
      <x:c r="P4691" t="str">
        <x:f>IF(E4691="","Unknown",IF(E4691&lt;10,"&lt;10",IF(E4691&lt;20,"10-&lt;20",IF(E4691&lt;25,"20-&lt;25",IF(E4691&lt;35,"25-&lt;35","35+")))))</x:f>
        <x:v>20-&lt;25</x:v>
      </x:c>
    </x:row>
    <x:row r="4692">
      <x:c r="A4692" t="str">
        <x:v>SYN0004691</x:v>
      </x:c>
      <x:c r="B4692" s="12" t="n">
        <x:v>43225</x:v>
      </x:c>
      <x:c r="C4692" s="18" t="n">
        <x:v>5856</x:v>
      </x:c>
      <x:c r="D4692" s="18" t="n">
        <x:v>47566</x:v>
      </x:c>
      <x:c r="E4692" s="18" t="n">
        <x:v>5.3</x:v>
      </x:c>
      <x:c r="F4692" s="18" t="n">
        <x:v>10.96</x:v>
      </x:c>
      <x:c r="G4692" t="n">
        <x:v>36</x:v>
      </x:c>
      <x:c r="H4692" t="str">
        <x:v>C</x:v>
      </x:c>
      <x:c r="I4692" t="str">
        <x:v>1-3 years</x:v>
      </x:c>
      <x:c r="J4692" t="str">
        <x:v>RENT</x:v>
      </x:c>
      <x:c r="K4692" t="str">
        <x:v>debt_consolidation</x:v>
      </x:c>
      <x:c r="L4692" t="n">
        <x:v>0</x:v>
      </x:c>
      <x:c r="M4692" t="n">
        <x:v>0</x:v>
      </x:c>
      <x:c r="N4692" t="str">
        <x:v>Fully Paid</x:v>
      </x:c>
      <x:c r="O4692" t="str">
        <x:f>IF(D4692="","Unknown",IF(D4692&lt;25000,"&lt;$25k",IF(D4692&lt;50000,"$25k-$50k",IF(D4692&lt;75000,"$50k-$75k",IF(D4692&lt;100000,"$75k-$100k","$100k+")))))</x:f>
        <x:v>$25k-$50k</x:v>
      </x:c>
      <x:c r="P4692" t="str">
        <x:f>IF(E4692="","Unknown",IF(E4692&lt;10,"&lt;10",IF(E4692&lt;20,"10-&lt;20",IF(E4692&lt;25,"20-&lt;25",IF(E4692&lt;35,"25-&lt;35","35+")))))</x:f>
        <x:v>&lt;10</x:v>
      </x:c>
    </x:row>
    <x:row r="4693">
      <x:c r="A4693" t="str">
        <x:v>SYN0004692</x:v>
      </x:c>
      <x:c r="B4693" s="12" t="n">
        <x:v>41455</x:v>
      </x:c>
      <x:c r="C4693" s="18" t="n">
        <x:v>25498</x:v>
      </x:c>
      <x:c r="D4693" s="18" t="n">
        <x:v>110002</x:v>
      </x:c>
      <x:c r="E4693" s="18" t="n">
        <x:v>21.21</x:v>
      </x:c>
      <x:c r="F4693" s="18" t="n">
        <x:v>8.2</x:v>
      </x:c>
      <x:c r="G4693" t="n">
        <x:v>36</x:v>
      </x:c>
      <x:c r="H4693" t="str">
        <x:v>B</x:v>
      </x:c>
      <x:c r="I4693" t="str">
        <x:v>10+ years</x:v>
      </x:c>
      <x:c r="J4693" t="str">
        <x:v>RENT</x:v>
      </x:c>
      <x:c r="K4693" t="str">
        <x:v>debt_consolidation</x:v>
      </x:c>
      <x:c r="L4693" t="n">
        <x:v>1</x:v>
      </x:c>
      <x:c r="M4693" t="n">
        <x:v>0</x:v>
      </x:c>
      <x:c r="N4693" t="str">
        <x:v>Fully Paid</x:v>
      </x:c>
      <x:c r="O4693" t="str">
        <x:f>IF(D4693="","Unknown",IF(D4693&lt;25000,"&lt;$25k",IF(D4693&lt;50000,"$25k-$50k",IF(D4693&lt;75000,"$50k-$75k",IF(D4693&lt;100000,"$75k-$100k","$100k+")))))</x:f>
        <x:v>$100k+</x:v>
      </x:c>
      <x:c r="P4693" t="str">
        <x:f>IF(E4693="","Unknown",IF(E4693&lt;10,"&lt;10",IF(E4693&lt;20,"10-&lt;20",IF(E4693&lt;25,"20-&lt;25",IF(E4693&lt;35,"25-&lt;35","35+")))))</x:f>
        <x:v>20-&lt;25</x:v>
      </x:c>
    </x:row>
    <x:row r="4694">
      <x:c r="A4694" t="str">
        <x:v>SYN0004693</x:v>
      </x:c>
      <x:c r="B4694" s="12" t="n">
        <x:v>41275</x:v>
      </x:c>
      <x:c r="C4694" s="18" t="n">
        <x:v>15429</x:v>
      </x:c>
      <x:c r="D4694" s="18" t="n">
        <x:v>39268</x:v>
      </x:c>
      <x:c r="E4694" s="18" t="n">
        <x:v>11.19</x:v>
      </x:c>
      <x:c r="F4694" s="18" t="n">
        <x:v>10.59</x:v>
      </x:c>
      <x:c r="G4694" t="n">
        <x:v>36</x:v>
      </x:c>
      <x:c r="H4694" t="str">
        <x:v>C</x:v>
      </x:c>
      <x:c r="I4694" t="str">
        <x:v>4-6 years</x:v>
      </x:c>
      <x:c r="J4694" t="str">
        <x:v>MORTGAGE</x:v>
      </x:c>
      <x:c r="K4694" t="str">
        <x:v>credit_card</x:v>
      </x:c>
      <x:c r="L4694" t="n">
        <x:v>0</x:v>
      </x:c>
      <x:c r="M4694" t="n">
        <x:v>0</x:v>
      </x:c>
      <x:c r="N4694" t="str">
        <x:v>Fully Paid</x:v>
      </x:c>
      <x:c r="O4694" t="str">
        <x:f>IF(D4694="","Unknown",IF(D4694&lt;25000,"&lt;$25k",IF(D4694&lt;50000,"$25k-$50k",IF(D4694&lt;75000,"$50k-$75k",IF(D4694&lt;100000,"$75k-$100k","$100k+")))))</x:f>
        <x:v>$25k-$50k</x:v>
      </x:c>
      <x:c r="P4694" t="str">
        <x:f>IF(E4694="","Unknown",IF(E4694&lt;10,"&lt;10",IF(E4694&lt;20,"10-&lt;20",IF(E4694&lt;25,"20-&lt;25",IF(E4694&lt;35,"25-&lt;35","35+")))))</x:f>
        <x:v>10-&lt;20</x:v>
      </x:c>
    </x:row>
    <x:row r="4695">
      <x:c r="A4695" t="str">
        <x:v>SYN0004694</x:v>
      </x:c>
      <x:c r="B4695" s="12" t="n">
        <x:v>43135</x:v>
      </x:c>
      <x:c r="C4695" s="18" t="n">
        <x:v>14628</x:v>
      </x:c>
      <x:c r="D4695" s="18" t="n">
        <x:v>28498</x:v>
      </x:c>
      <x:c r="E4695" s="18" t="n">
        <x:v>25.1</x:v>
      </x:c>
      <x:c r="F4695" s="18" t="n">
        <x:v>8.95</x:v>
      </x:c>
      <x:c r="G4695" t="n">
        <x:v>36</x:v>
      </x:c>
      <x:c r="H4695" t="str">
        <x:v>B</x:v>
      </x:c>
      <x:c r="I4695" t="str">
        <x:v>7-9 years</x:v>
      </x:c>
      <x:c r="J4695" t="str">
        <x:v>MORTGAGE</x:v>
      </x:c>
      <x:c r="K4695" t="str">
        <x:v>debt_consolidation</x:v>
      </x:c>
      <x:c r="L4695" t="n">
        <x:v>0</x:v>
      </x:c>
      <x:c r="M4695" t="n">
        <x:v>0</x:v>
      </x:c>
      <x:c r="N4695" t="str">
        <x:v>Fully Paid</x:v>
      </x:c>
      <x:c r="O4695" t="str">
        <x:f>IF(D4695="","Unknown",IF(D4695&lt;25000,"&lt;$25k",IF(D4695&lt;50000,"$25k-$50k",IF(D4695&lt;75000,"$50k-$75k",IF(D4695&lt;100000,"$75k-$100k","$100k+")))))</x:f>
        <x:v>$25k-$50k</x:v>
      </x:c>
      <x:c r="P4695" t="str">
        <x:f>IF(E4695="","Unknown",IF(E4695&lt;10,"&lt;10",IF(E4695&lt;20,"10-&lt;20",IF(E4695&lt;25,"20-&lt;25",IF(E4695&lt;35,"25-&lt;35","35+")))))</x:f>
        <x:v>25-&lt;35</x:v>
      </x:c>
    </x:row>
    <x:row r="4696">
      <x:c r="A4696" t="str">
        <x:v>SYN0004695</x:v>
      </x:c>
      <x:c r="B4696" s="12" t="n">
        <x:v>41755</x:v>
      </x:c>
      <x:c r="C4696" s="18" t="n">
        <x:v>8992</x:v>
      </x:c>
      <x:c r="D4696" s="18" t="n">
        <x:v>15876</x:v>
      </x:c>
      <x:c r="E4696" s="18" t="n">
        <x:v>25.37</x:v>
      </x:c>
      <x:c r="F4696" s="18" t="n">
        <x:v>14.96</x:v>
      </x:c>
      <x:c r="G4696" t="n">
        <x:v>36</x:v>
      </x:c>
      <x:c r="H4696" t="str">
        <x:v>D</x:v>
      </x:c>
      <x:c r="I4696" t="str">
        <x:v>7-9 years</x:v>
      </x:c>
      <x:c r="J4696" t="str">
        <x:v>RENT</x:v>
      </x:c>
      <x:c r="K4696" t="str">
        <x:v>debt_consolidation</x:v>
      </x:c>
      <x:c r="L4696" t="n">
        <x:v>3</x:v>
      </x:c>
      <x:c r="M4696" t="n">
        <x:v>0</x:v>
      </x:c>
      <x:c r="N4696" t="str">
        <x:v>Fully Paid</x:v>
      </x:c>
      <x:c r="O4696" t="str">
        <x:f>IF(D4696="","Unknown",IF(D4696&lt;25000,"&lt;$25k",IF(D4696&lt;50000,"$25k-$50k",IF(D4696&lt;75000,"$50k-$75k",IF(D4696&lt;100000,"$75k-$100k","$100k+")))))</x:f>
        <x:v>&lt;$25k</x:v>
      </x:c>
      <x:c r="P4696" t="str">
        <x:f>IF(E4696="","Unknown",IF(E4696&lt;10,"&lt;10",IF(E4696&lt;20,"10-&lt;20",IF(E4696&lt;25,"20-&lt;25",IF(E4696&lt;35,"25-&lt;35","35+")))))</x:f>
        <x:v>25-&lt;35</x:v>
      </x:c>
    </x:row>
    <x:row r="4697">
      <x:c r="A4697" t="str">
        <x:v>SYN0004696</x:v>
      </x:c>
      <x:c r="B4697" s="12" t="n">
        <x:v>42175</x:v>
      </x:c>
      <x:c r="C4697" s="18" t="n">
        <x:v>15135</x:v>
      </x:c>
      <x:c r="D4697" s="18" t="n">
        <x:v>51588</x:v>
      </x:c>
      <x:c r="E4697" s="18" t="n">
        <x:v>9.23</x:v>
      </x:c>
      <x:c r="F4697" s="18" t="n">
        <x:v>9.06</x:v>
      </x:c>
      <x:c r="G4697" t="n">
        <x:v>36</x:v>
      </x:c>
      <x:c r="H4697" t="str">
        <x:v>B</x:v>
      </x:c>
      <x:c r="I4697" t="str">
        <x:v>4-6 years</x:v>
      </x:c>
      <x:c r="J4697" t="str">
        <x:v>MORTGAGE</x:v>
      </x:c>
      <x:c r="K4697" t="str">
        <x:v>debt_consolidation</x:v>
      </x:c>
      <x:c r="L4697" t="n">
        <x:v>0</x:v>
      </x:c>
      <x:c r="M4697" t="n">
        <x:v>0</x:v>
      </x:c>
      <x:c r="N4697" t="str">
        <x:v>Fully Paid</x:v>
      </x:c>
      <x:c r="O4697" t="str">
        <x:f>IF(D4697="","Unknown",IF(D4697&lt;25000,"&lt;$25k",IF(D4697&lt;50000,"$25k-$50k",IF(D4697&lt;75000,"$50k-$75k",IF(D4697&lt;100000,"$75k-$100k","$100k+")))))</x:f>
        <x:v>$50k-$75k</x:v>
      </x:c>
      <x:c r="P4697" t="str">
        <x:f>IF(E4697="","Unknown",IF(E4697&lt;10,"&lt;10",IF(E4697&lt;20,"10-&lt;20",IF(E4697&lt;25,"20-&lt;25",IF(E4697&lt;35,"25-&lt;35","35+")))))</x:f>
        <x:v>&lt;10</x:v>
      </x:c>
    </x:row>
    <x:row r="4698">
      <x:c r="A4698" t="str">
        <x:v>SYN0004697</x:v>
      </x:c>
      <x:c r="B4698" s="12" t="n">
        <x:v>42505</x:v>
      </x:c>
      <x:c r="C4698" s="18" t="n">
        <x:v>9457</x:v>
      </x:c>
      <x:c r="D4698" s="18" t="n">
        <x:v>59549</x:v>
      </x:c>
      <x:c r="E4698" s="18" t="n">
        <x:v>25.97</x:v>
      </x:c>
      <x:c r="F4698" s="18" t="n">
        <x:v>7.64</x:v>
      </x:c>
      <x:c r="G4698" t="n">
        <x:v>60</x:v>
      </x:c>
      <x:c r="H4698" t="str">
        <x:v>B</x:v>
      </x:c>
      <x:c r="I4698" t="str">
        <x:v>10+ years</x:v>
      </x:c>
      <x:c r="J4698" t="str">
        <x:v>MORTGAGE</x:v>
      </x:c>
      <x:c r="K4698" t="str">
        <x:v>debt_consolidation</x:v>
      </x:c>
      <x:c r="L4698" t="n">
        <x:v>0</x:v>
      </x:c>
      <x:c r="M4698" t="n">
        <x:v>0</x:v>
      </x:c>
      <x:c r="N4698" t="str">
        <x:v>Fully Paid</x:v>
      </x:c>
      <x:c r="O4698" t="str">
        <x:f>IF(D4698="","Unknown",IF(D4698&lt;25000,"&lt;$25k",IF(D4698&lt;50000,"$25k-$50k",IF(D4698&lt;75000,"$50k-$75k",IF(D4698&lt;100000,"$75k-$100k","$100k+")))))</x:f>
        <x:v>$50k-$75k</x:v>
      </x:c>
      <x:c r="P4698" t="str">
        <x:f>IF(E4698="","Unknown",IF(E4698&lt;10,"&lt;10",IF(E4698&lt;20,"10-&lt;20",IF(E4698&lt;25,"20-&lt;25",IF(E4698&lt;35,"25-&lt;35","35+")))))</x:f>
        <x:v>25-&lt;35</x:v>
      </x:c>
    </x:row>
    <x:row r="4699">
      <x:c r="A4699" t="str">
        <x:v>SYN0004698</x:v>
      </x:c>
      <x:c r="B4699" s="12" t="n">
        <x:v>41905</x:v>
      </x:c>
      <x:c r="C4699" s="18" t="n">
        <x:v>27727</x:v>
      </x:c>
      <x:c r="D4699" s="18" t="n">
        <x:v>100931</x:v>
      </x:c>
      <x:c r="E4699" s="18" t="n">
        <x:v>22.3</x:v>
      </x:c>
      <x:c r="F4699" s="18" t="n">
        <x:v>20.95</x:v>
      </x:c>
      <x:c r="G4699" t="n">
        <x:v>60</x:v>
      </x:c>
      <x:c r="H4699" t="str">
        <x:v>F</x:v>
      </x:c>
      <x:c r="I4699" t="str">
        <x:v>10+ years</x:v>
      </x:c>
      <x:c r="J4699" t="str">
        <x:v>RENT</x:v>
      </x:c>
      <x:c r="K4699" t="str">
        <x:v>home_improvement</x:v>
      </x:c>
      <x:c r="L4699" t="n">
        <x:v>2</x:v>
      </x:c>
      <x:c r="M4699" t="n">
        <x:v>0</x:v>
      </x:c>
      <x:c r="N4699" t="str">
        <x:v>Fully Paid</x:v>
      </x:c>
      <x:c r="O4699" t="str">
        <x:f>IF(D4699="","Unknown",IF(D4699&lt;25000,"&lt;$25k",IF(D4699&lt;50000,"$25k-$50k",IF(D4699&lt;75000,"$50k-$75k",IF(D4699&lt;100000,"$75k-$100k","$100k+")))))</x:f>
        <x:v>$100k+</x:v>
      </x:c>
      <x:c r="P4699" t="str">
        <x:f>IF(E4699="","Unknown",IF(E4699&lt;10,"&lt;10",IF(E4699&lt;20,"10-&lt;20",IF(E4699&lt;25,"20-&lt;25",IF(E4699&lt;35,"25-&lt;35","35+")))))</x:f>
        <x:v>20-&lt;25</x:v>
      </x:c>
    </x:row>
    <x:row r="4700">
      <x:c r="A4700" t="str">
        <x:v>SYN0004699</x:v>
      </x:c>
      <x:c r="B4700" s="12" t="n">
        <x:v>42415</x:v>
      </x:c>
      <x:c r="C4700" s="18" t="n">
        <x:v>8853</x:v>
      </x:c>
      <x:c r="D4700" s="18" t="n">
        <x:v>31433</x:v>
      </x:c>
      <x:c r="E4700" s="18" t="n">
        <x:v>25.8</x:v>
      </x:c>
      <x:c r="F4700" s="18" t="n">
        <x:v>13.05</x:v>
      </x:c>
      <x:c r="G4700" t="n">
        <x:v>36</x:v>
      </x:c>
      <x:c r="H4700" t="str">
        <x:v>C</x:v>
      </x:c>
      <x:c r="I4700" t="str">
        <x:v>1-3 years</x:v>
      </x:c>
      <x:c r="J4700" t="str">
        <x:v>RENT</x:v>
      </x:c>
      <x:c r="K4700" t="str">
        <x:v>debt_consolidation</x:v>
      </x:c>
      <x:c r="L4700" t="n">
        <x:v>0</x:v>
      </x:c>
      <x:c r="M4700" t="n">
        <x:v>0</x:v>
      </x:c>
      <x:c r="N4700" t="str">
        <x:v>Fully Paid</x:v>
      </x:c>
      <x:c r="O4700" t="str">
        <x:f>IF(D4700="","Unknown",IF(D4700&lt;25000,"&lt;$25k",IF(D4700&lt;50000,"$25k-$50k",IF(D4700&lt;75000,"$50k-$75k",IF(D4700&lt;100000,"$75k-$100k","$100k+")))))</x:f>
        <x:v>$25k-$50k</x:v>
      </x:c>
      <x:c r="P4700" t="str">
        <x:f>IF(E4700="","Unknown",IF(E4700&lt;10,"&lt;10",IF(E4700&lt;20,"10-&lt;20",IF(E4700&lt;25,"20-&lt;25",IF(E4700&lt;35,"25-&lt;35","35+")))))</x:f>
        <x:v>25-&lt;35</x:v>
      </x:c>
    </x:row>
    <x:row r="4701">
      <x:c r="A4701" t="str">
        <x:v>SYN0004700</x:v>
      </x:c>
      <x:c r="B4701" s="12" t="n">
        <x:v>42325</x:v>
      </x:c>
      <x:c r="C4701" s="18" t="n">
        <x:v>15817</x:v>
      </x:c>
      <x:c r="D4701" s="18" t="n">
        <x:v>155743</x:v>
      </x:c>
      <x:c r="E4701" s="18" t="n">
        <x:v>7.11</x:v>
      </x:c>
      <x:c r="F4701" s="18" t="n">
        <x:v>8.16</x:v>
      </x:c>
      <x:c r="G4701" t="n">
        <x:v>60</x:v>
      </x:c>
      <x:c r="H4701" t="str">
        <x:v>A</x:v>
      </x:c>
      <x:c r="I4701" t="str">
        <x:v>4-6 years</x:v>
      </x:c>
      <x:c r="J4701" t="str">
        <x:v>RENT</x:v>
      </x:c>
      <x:c r="K4701" t="str">
        <x:v>home_improvement</x:v>
      </x:c>
      <x:c r="L4701" t="n">
        <x:v>0</x:v>
      </x:c>
      <x:c r="M4701" t="n">
        <x:v>0</x:v>
      </x:c>
      <x:c r="N4701" t="str">
        <x:v>Fully Paid</x:v>
      </x:c>
      <x:c r="O4701" t="str">
        <x:f>IF(D4701="","Unknown",IF(D4701&lt;25000,"&lt;$25k",IF(D4701&lt;50000,"$25k-$50k",IF(D4701&lt;75000,"$50k-$75k",IF(D4701&lt;100000,"$75k-$100k","$100k+")))))</x:f>
        <x:v>$100k+</x:v>
      </x:c>
      <x:c r="P4701" t="str">
        <x:f>IF(E4701="","Unknown",IF(E4701&lt;10,"&lt;10",IF(E4701&lt;20,"10-&lt;20",IF(E4701&lt;25,"20-&lt;25",IF(E4701&lt;35,"25-&lt;35","35+")))))</x:f>
        <x:v>&lt;10</x:v>
      </x:c>
    </x:row>
    <x:row r="4702">
      <x:c r="A4702" t="str">
        <x:v>SYN0004701</x:v>
      </x:c>
      <x:c r="B4702" s="12" t="n">
        <x:v>42985</x:v>
      </x:c>
      <x:c r="C4702" s="18" t="n">
        <x:v>7849</x:v>
      </x:c>
      <x:c r="D4702" s="18" t="n">
        <x:v>153442</x:v>
      </x:c>
      <x:c r="E4702" s="18" t="n">
        <x:v>20.17</x:v>
      </x:c>
      <x:c r="F4702" s="18" t="n">
        <x:v>8.16</x:v>
      </x:c>
      <x:c r="G4702" t="n">
        <x:v>36</x:v>
      </x:c>
      <x:c r="H4702" t="str">
        <x:v>A</x:v>
      </x:c>
      <x:c r="I4702" t="str">
        <x:v>&lt;1 year</x:v>
      </x:c>
      <x:c r="J4702" t="str">
        <x:v>MORTGAGE</x:v>
      </x:c>
      <x:c r="K4702" t="str">
        <x:v>debt_consolidation</x:v>
      </x:c>
      <x:c r="L4702" t="n">
        <x:v>3</x:v>
      </x:c>
      <x:c r="M4702" t="n">
        <x:v>0</x:v>
      </x:c>
      <x:c r="N4702" t="str">
        <x:v>Fully Paid</x:v>
      </x:c>
      <x:c r="O4702" t="str">
        <x:f>IF(D4702="","Unknown",IF(D4702&lt;25000,"&lt;$25k",IF(D4702&lt;50000,"$25k-$50k",IF(D4702&lt;75000,"$50k-$75k",IF(D4702&lt;100000,"$75k-$100k","$100k+")))))</x:f>
        <x:v>$100k+</x:v>
      </x:c>
      <x:c r="P4702" t="str">
        <x:f>IF(E4702="","Unknown",IF(E4702&lt;10,"&lt;10",IF(E4702&lt;20,"10-&lt;20",IF(E4702&lt;25,"20-&lt;25",IF(E4702&lt;35,"25-&lt;35","35+")))))</x:f>
        <x:v>20-&lt;25</x:v>
      </x:c>
    </x:row>
    <x:row r="4703">
      <x:c r="A4703" t="str">
        <x:v>SYN0004702</x:v>
      </x:c>
      <x:c r="B4703" s="12" t="n">
        <x:v>42715</x:v>
      </x:c>
      <x:c r="C4703" s="18" t="n">
        <x:v>9203</x:v>
      </x:c>
      <x:c r="D4703" s="18" t="n">
        <x:v>116382</x:v>
      </x:c>
      <x:c r="E4703" s="18" t="n">
        <x:v>40.62</x:v>
      </x:c>
      <x:c r="F4703" s="18" t="n">
        <x:v>12.46</x:v>
      </x:c>
      <x:c r="G4703" t="n">
        <x:v>36</x:v>
      </x:c>
      <x:c r="H4703" t="str">
        <x:v>D</x:v>
      </x:c>
      <x:c r="I4703" t="str">
        <x:v>10+ years</x:v>
      </x:c>
      <x:c r="J4703" t="str">
        <x:v>RENT</x:v>
      </x:c>
      <x:c r="K4703" t="str">
        <x:v>major_purchase</x:v>
      </x:c>
      <x:c r="L4703" t="n">
        <x:v>0</x:v>
      </x:c>
      <x:c r="M4703" t="n">
        <x:v>0</x:v>
      </x:c>
      <x:c r="N4703" t="str">
        <x:v>Fully Paid</x:v>
      </x:c>
      <x:c r="O4703" t="str">
        <x:f>IF(D4703="","Unknown",IF(D4703&lt;25000,"&lt;$25k",IF(D4703&lt;50000,"$25k-$50k",IF(D4703&lt;75000,"$50k-$75k",IF(D4703&lt;100000,"$75k-$100k","$100k+")))))</x:f>
        <x:v>$100k+</x:v>
      </x:c>
      <x:c r="P4703" t="str">
        <x:f>IF(E4703="","Unknown",IF(E4703&lt;10,"&lt;10",IF(E4703&lt;20,"10-&lt;20",IF(E4703&lt;25,"20-&lt;25",IF(E4703&lt;35,"25-&lt;35","35+")))))</x:f>
        <x:v>35+</x:v>
      </x:c>
    </x:row>
    <x:row r="4704">
      <x:c r="A4704" t="str">
        <x:v>SYN0004703</x:v>
      </x:c>
      <x:c r="B4704" s="12" t="n">
        <x:v>42625</x:v>
      </x:c>
      <x:c r="C4704" s="18" t="n">
        <x:v>8733</x:v>
      </x:c>
      <x:c r="D4704" s="18" t="n">
        <x:v>20515</x:v>
      </x:c>
      <x:c r="E4704" s="18" t="n">
        <x:v>36.01</x:v>
      </x:c>
      <x:c r="F4704" s="18" t="n">
        <x:v>23.63</x:v>
      </x:c>
      <x:c r="G4704" t="n">
        <x:v>36</x:v>
      </x:c>
      <x:c r="H4704" t="str">
        <x:v>F</x:v>
      </x:c>
      <x:c r="I4704" t="str">
        <x:v>7-9 years</x:v>
      </x:c>
      <x:c r="J4704" t="str">
        <x:v>RENT</x:v>
      </x:c>
      <x:c r="K4704" t="str">
        <x:v>debt_consolidation</x:v>
      </x:c>
      <x:c r="L4704" t="n">
        <x:v>1</x:v>
      </x:c>
      <x:c r="M4704" t="n">
        <x:v>0</x:v>
      </x:c>
      <x:c r="N4704" t="str">
        <x:v>Fully Paid</x:v>
      </x:c>
      <x:c r="O4704" t="str">
        <x:f>IF(D4704="","Unknown",IF(D4704&lt;25000,"&lt;$25k",IF(D4704&lt;50000,"$25k-$50k",IF(D4704&lt;75000,"$50k-$75k",IF(D4704&lt;100000,"$75k-$100k","$100k+")))))</x:f>
        <x:v>&lt;$25k</x:v>
      </x:c>
      <x:c r="P4704" t="str">
        <x:f>IF(E4704="","Unknown",IF(E4704&lt;10,"&lt;10",IF(E4704&lt;20,"10-&lt;20",IF(E4704&lt;25,"20-&lt;25",IF(E4704&lt;35,"25-&lt;35","35+")))))</x:f>
        <x:v>35+</x:v>
      </x:c>
    </x:row>
    <x:row r="4705">
      <x:c r="A4705" t="str">
        <x:v>SYN0004704</x:v>
      </x:c>
      <x:c r="B4705" s="12" t="n">
        <x:v>42235</x:v>
      </x:c>
      <x:c r="C4705" s="18" t="n">
        <x:v>18524</x:v>
      </x:c>
      <x:c r="D4705" s="18" t="n">
        <x:v>13363</x:v>
      </x:c>
      <x:c r="E4705" s="18" t="n">
        <x:v>23.48</x:v>
      </x:c>
      <x:c r="F4705" s="18" t="n">
        <x:v>25.78</x:v>
      </x:c>
      <x:c r="G4705" t="n">
        <x:v>60</x:v>
      </x:c>
      <x:c r="H4705" t="str">
        <x:v>F</x:v>
      </x:c>
      <x:c r="I4705" t="str">
        <x:v>7-9 years</x:v>
      </x:c>
      <x:c r="J4705" t="str">
        <x:v>MORTGAGE</x:v>
      </x:c>
      <x:c r="K4705" t="str">
        <x:v>home_improvement</x:v>
      </x:c>
      <x:c r="L4705" t="n">
        <x:v>0</x:v>
      </x:c>
      <x:c r="M4705" t="n">
        <x:v>0</x:v>
      </x:c>
      <x:c r="N4705" t="str">
        <x:v>Fully Paid</x:v>
      </x:c>
      <x:c r="O4705" t="str">
        <x:f>IF(D4705="","Unknown",IF(D4705&lt;25000,"&lt;$25k",IF(D4705&lt;50000,"$25k-$50k",IF(D4705&lt;75000,"$50k-$75k",IF(D4705&lt;100000,"$75k-$100k","$100k+")))))</x:f>
        <x:v>&lt;$25k</x:v>
      </x:c>
      <x:c r="P4705" t="str">
        <x:f>IF(E4705="","Unknown",IF(E4705&lt;10,"&lt;10",IF(E4705&lt;20,"10-&lt;20",IF(E4705&lt;25,"20-&lt;25",IF(E4705&lt;35,"25-&lt;35","35+")))))</x:f>
        <x:v>20-&lt;25</x:v>
      </x:c>
    </x:row>
    <x:row r="4706">
      <x:c r="A4706" t="str">
        <x:v>SYN0004705</x:v>
      </x:c>
      <x:c r="B4706" s="12" t="n">
        <x:v>41905</x:v>
      </x:c>
      <x:c r="C4706" s="18" t="n">
        <x:v>18054</x:v>
      </x:c>
      <x:c r="D4706" s="18" t="n">
        <x:v>43544</x:v>
      </x:c>
      <x:c r="E4706" s="18" t="n">
        <x:v>22.7</x:v>
      </x:c>
      <x:c r="F4706" s="18" t="n">
        <x:v>22.08</x:v>
      </x:c>
      <x:c r="G4706" t="n">
        <x:v>60</x:v>
      </x:c>
      <x:c r="H4706" t="str">
        <x:v>F</x:v>
      </x:c>
      <x:c r="I4706" t="str">
        <x:v>10+ years</x:v>
      </x:c>
      <x:c r="J4706" t="str">
        <x:v>MORTGAGE</x:v>
      </x:c>
      <x:c r="K4706" t="str">
        <x:v>debt_consolidation</x:v>
      </x:c>
      <x:c r="L4706" t="n">
        <x:v>2</x:v>
      </x:c>
      <x:c r="M4706" t="n">
        <x:v>1</x:v>
      </x:c>
      <x:c r="N4706" t="str">
        <x:v>Charged Off</x:v>
      </x:c>
      <x:c r="O4706" t="str">
        <x:f>IF(D4706="","Unknown",IF(D4706&lt;25000,"&lt;$25k",IF(D4706&lt;50000,"$25k-$50k",IF(D4706&lt;75000,"$50k-$75k",IF(D4706&lt;100000,"$75k-$100k","$100k+")))))</x:f>
        <x:v>$25k-$50k</x:v>
      </x:c>
      <x:c r="P4706" t="str">
        <x:f>IF(E4706="","Unknown",IF(E4706&lt;10,"&lt;10",IF(E4706&lt;20,"10-&lt;20",IF(E4706&lt;25,"20-&lt;25",IF(E4706&lt;35,"25-&lt;35","35+")))))</x:f>
        <x:v>20-&lt;25</x:v>
      </x:c>
    </x:row>
    <x:row r="4707">
      <x:c r="A4707" t="str">
        <x:v>SYN0004706</x:v>
      </x:c>
      <x:c r="B4707" s="12" t="n">
        <x:v>41455</x:v>
      </x:c>
      <x:c r="C4707" s="18" t="n">
        <x:v>15317</x:v>
      </x:c>
      <x:c r="D4707" s="18" t="n">
        <x:v>63847</x:v>
      </x:c>
      <x:c r="E4707" s="18" t="n">
        <x:v>11.1</x:v>
      </x:c>
      <x:c r="F4707" s="18" t="n">
        <x:v>11.22</x:v>
      </x:c>
      <x:c r="G4707" t="n">
        <x:v>36</x:v>
      </x:c>
      <x:c r="H4707" t="str">
        <x:v>D</x:v>
      </x:c>
      <x:c r="I4707" t="str">
        <x:v>7-9 years</x:v>
      </x:c>
      <x:c r="J4707" t="str">
        <x:v>RENT</x:v>
      </x:c>
      <x:c r="K4707" t="str">
        <x:v>debt_consolidation</x:v>
      </x:c>
      <x:c r="L4707" t="n">
        <x:v>1</x:v>
      </x:c>
      <x:c r="M4707" t="n">
        <x:v>0</x:v>
      </x:c>
      <x:c r="N4707" t="str">
        <x:v>Fully Paid</x:v>
      </x:c>
      <x:c r="O4707" t="str">
        <x:f>IF(D4707="","Unknown",IF(D4707&lt;25000,"&lt;$25k",IF(D4707&lt;50000,"$25k-$50k",IF(D4707&lt;75000,"$50k-$75k",IF(D4707&lt;100000,"$75k-$100k","$100k+")))))</x:f>
        <x:v>$50k-$75k</x:v>
      </x:c>
      <x:c r="P4707" t="str">
        <x:f>IF(E4707="","Unknown",IF(E4707&lt;10,"&lt;10",IF(E4707&lt;20,"10-&lt;20",IF(E4707&lt;25,"20-&lt;25",IF(E4707&lt;35,"25-&lt;35","35+")))))</x:f>
        <x:v>10-&lt;20</x:v>
      </x:c>
    </x:row>
    <x:row r="4708">
      <x:c r="A4708" t="str">
        <x:v>SYN0004707</x:v>
      </x:c>
      <x:c r="B4708" s="12" t="n">
        <x:v>41545</x:v>
      </x:c>
      <x:c r="C4708" s="18" t="n">
        <x:v>12125</x:v>
      </x:c>
      <x:c r="D4708" s="18" t="n">
        <x:v>88156</x:v>
      </x:c>
      <x:c r="E4708" s="18" t="n">
        <x:v>21.08</x:v>
      </x:c>
      <x:c r="F4708" s="18" t="n">
        <x:v>10.1</x:v>
      </x:c>
      <x:c r="G4708" t="n">
        <x:v>36</x:v>
      </x:c>
      <x:c r="H4708" t="str">
        <x:v>C</x:v>
      </x:c>
      <x:c r="I4708" t="str">
        <x:v>&lt;1 year</x:v>
      </x:c>
      <x:c r="J4708" t="str">
        <x:v>MORTGAGE</x:v>
      </x:c>
      <x:c r="K4708" t="str">
        <x:v>debt_consolidation</x:v>
      </x:c>
      <x:c r="L4708" t="n">
        <x:v>0</x:v>
      </x:c>
      <x:c r="M4708" t="n">
        <x:v>0</x:v>
      </x:c>
      <x:c r="N4708" t="str">
        <x:v>Fully Paid</x:v>
      </x:c>
      <x:c r="O4708" t="str">
        <x:f>IF(D4708="","Unknown",IF(D4708&lt;25000,"&lt;$25k",IF(D4708&lt;50000,"$25k-$50k",IF(D4708&lt;75000,"$50k-$75k",IF(D4708&lt;100000,"$75k-$100k","$100k+")))))</x:f>
        <x:v>$75k-$100k</x:v>
      </x:c>
      <x:c r="P4708" t="str">
        <x:f>IF(E4708="","Unknown",IF(E4708&lt;10,"&lt;10",IF(E4708&lt;20,"10-&lt;20",IF(E4708&lt;25,"20-&lt;25",IF(E4708&lt;35,"25-&lt;35","35+")))))</x:f>
        <x:v>20-&lt;25</x:v>
      </x:c>
    </x:row>
    <x:row r="4709">
      <x:c r="A4709" t="str">
        <x:v>SYN0004708</x:v>
      </x:c>
      <x:c r="B4709" s="12" t="n">
        <x:v>43165</x:v>
      </x:c>
      <x:c r="C4709" s="18" t="n">
        <x:v>25545</x:v>
      </x:c>
      <x:c r="D4709" s="18" t="n">
        <x:v>77266</x:v>
      </x:c>
      <x:c r="E4709" s="18" t="n">
        <x:v>5.77</x:v>
      </x:c>
      <x:c r="F4709" s="18" t="n">
        <x:v>21.18</x:v>
      </x:c>
      <x:c r="G4709" t="n">
        <x:v>36</x:v>
      </x:c>
      <x:c r="H4709" t="str">
        <x:v>F</x:v>
      </x:c>
      <x:c r="I4709" t="str">
        <x:v>4-6 years</x:v>
      </x:c>
      <x:c r="J4709" t="str">
        <x:v>RENT</x:v>
      </x:c>
      <x:c r="K4709" t="str">
        <x:v>debt_consolidation</x:v>
      </x:c>
      <x:c r="L4709" t="n">
        <x:v>0</x:v>
      </x:c>
      <x:c r="M4709" t="n">
        <x:v>0</x:v>
      </x:c>
      <x:c r="N4709" t="str">
        <x:v>Fully Paid</x:v>
      </x:c>
      <x:c r="O4709" t="str">
        <x:f>IF(D4709="","Unknown",IF(D4709&lt;25000,"&lt;$25k",IF(D4709&lt;50000,"$25k-$50k",IF(D4709&lt;75000,"$50k-$75k",IF(D4709&lt;100000,"$75k-$100k","$100k+")))))</x:f>
        <x:v>$75k-$100k</x:v>
      </x:c>
      <x:c r="P4709" t="str">
        <x:f>IF(E4709="","Unknown",IF(E4709&lt;10,"&lt;10",IF(E4709&lt;20,"10-&lt;20",IF(E4709&lt;25,"20-&lt;25",IF(E4709&lt;35,"25-&lt;35","35+")))))</x:f>
        <x:v>&lt;10</x:v>
      </x:c>
    </x:row>
    <x:row r="4710">
      <x:c r="A4710" t="str">
        <x:v>SYN0004709</x:v>
      </x:c>
      <x:c r="B4710" s="12" t="n">
        <x:v>43165</x:v>
      </x:c>
      <x:c r="C4710" s="18" t="n">
        <x:v>24094</x:v>
      </x:c>
      <x:c r="D4710" s="18" t="n">
        <x:v>31240</x:v>
      </x:c>
      <x:c r="E4710" s="18" t="n">
        <x:v>18.57</x:v>
      </x:c>
      <x:c r="F4710" s="18" t="n">
        <x:v>7.86</x:v>
      </x:c>
      <x:c r="G4710" t="n">
        <x:v>36</x:v>
      </x:c>
      <x:c r="H4710" t="str">
        <x:v>B</x:v>
      </x:c>
      <x:c r="I4710" t="str">
        <x:v>1-3 years</x:v>
      </x:c>
      <x:c r="J4710" t="str">
        <x:v>RENT</x:v>
      </x:c>
      <x:c r="K4710" t="str">
        <x:v>home_improvement</x:v>
      </x:c>
      <x:c r="L4710" t="n">
        <x:v>0</x:v>
      </x:c>
      <x:c r="M4710" t="n">
        <x:v>0</x:v>
      </x:c>
      <x:c r="N4710" t="str">
        <x:v>Fully Paid</x:v>
      </x:c>
      <x:c r="O4710" t="str">
        <x:f>IF(D4710="","Unknown",IF(D4710&lt;25000,"&lt;$25k",IF(D4710&lt;50000,"$25k-$50k",IF(D4710&lt;75000,"$50k-$75k",IF(D4710&lt;100000,"$75k-$100k","$100k+")))))</x:f>
        <x:v>$25k-$50k</x:v>
      </x:c>
      <x:c r="P4710" t="str">
        <x:f>IF(E4710="","Unknown",IF(E4710&lt;10,"&lt;10",IF(E4710&lt;20,"10-&lt;20",IF(E4710&lt;25,"20-&lt;25",IF(E4710&lt;35,"25-&lt;35","35+")))))</x:f>
        <x:v>10-&lt;20</x:v>
      </x:c>
    </x:row>
    <x:row r="4711">
      <x:c r="A4711" t="str">
        <x:v>SYN0004710</x:v>
      </x:c>
      <x:c r="B4711" s="12" t="n">
        <x:v>42145</x:v>
      </x:c>
      <x:c r="C4711" s="18" t="n">
        <x:v>7187</x:v>
      </x:c>
      <x:c r="D4711" s="18" t="n">
        <x:v>55918</x:v>
      </x:c>
      <x:c r="E4711" s="18" t="n">
        <x:v>30.34</x:v>
      </x:c>
      <x:c r="F4711" s="18" t="n">
        <x:v>14.06</x:v>
      </x:c>
      <x:c r="G4711" t="n">
        <x:v>36</x:v>
      </x:c>
      <x:c r="H4711" t="str">
        <x:v>D</x:v>
      </x:c>
      <x:c r="I4711" t="str">
        <x:v>7-9 years</x:v>
      </x:c>
      <x:c r="J4711" t="str">
        <x:v>RENT</x:v>
      </x:c>
      <x:c r="K4711" t="str">
        <x:v>debt_consolidation</x:v>
      </x:c>
      <x:c r="L4711" t="n">
        <x:v>0</x:v>
      </x:c>
      <x:c r="M4711" t="n">
        <x:v>0</x:v>
      </x:c>
      <x:c r="N4711" t="str">
        <x:v>Fully Paid</x:v>
      </x:c>
      <x:c r="O4711" t="str">
        <x:f>IF(D4711="","Unknown",IF(D4711&lt;25000,"&lt;$25k",IF(D4711&lt;50000,"$25k-$50k",IF(D4711&lt;75000,"$50k-$75k",IF(D4711&lt;100000,"$75k-$100k","$100k+")))))</x:f>
        <x:v>$50k-$75k</x:v>
      </x:c>
      <x:c r="P4711" t="str">
        <x:f>IF(E4711="","Unknown",IF(E4711&lt;10,"&lt;10",IF(E4711&lt;20,"10-&lt;20",IF(E4711&lt;25,"20-&lt;25",IF(E4711&lt;35,"25-&lt;35","35+")))))</x:f>
        <x:v>25-&lt;35</x:v>
      </x:c>
    </x:row>
    <x:row r="4712">
      <x:c r="A4712" t="str">
        <x:v>SYN0004711</x:v>
      </x:c>
      <x:c r="B4712" s="12" t="n">
        <x:v>42415</x:v>
      </x:c>
      <x:c r="C4712" s="18" t="n">
        <x:v>8507</x:v>
      </x:c>
      <x:c r="D4712" s="18" t="n">
        <x:v>61466</x:v>
      </x:c>
      <x:c r="E4712" s="18" t="n">
        <x:v>16.02</x:v>
      </x:c>
      <x:c r="F4712" s="18" t="n">
        <x:v>14.28</x:v>
      </x:c>
      <x:c r="G4712" t="n">
        <x:v>36</x:v>
      </x:c>
      <x:c r="H4712" t="str">
        <x:v>C</x:v>
      </x:c>
      <x:c r="I4712" t="str">
        <x:v>10+ years</x:v>
      </x:c>
      <x:c r="J4712" t="str">
        <x:v>MORTGAGE</x:v>
      </x:c>
      <x:c r="K4712" t="str">
        <x:v>debt_consolidation</x:v>
      </x:c>
      <x:c r="L4712" t="n">
        <x:v>0</x:v>
      </x:c>
      <x:c r="M4712" t="n">
        <x:v>0</x:v>
      </x:c>
      <x:c r="N4712" t="str">
        <x:v>Fully Paid</x:v>
      </x:c>
      <x:c r="O4712" t="str">
        <x:f>IF(D4712="","Unknown",IF(D4712&lt;25000,"&lt;$25k",IF(D4712&lt;50000,"$25k-$50k",IF(D4712&lt;75000,"$50k-$75k",IF(D4712&lt;100000,"$75k-$100k","$100k+")))))</x:f>
        <x:v>$50k-$75k</x:v>
      </x:c>
      <x:c r="P4712" t="str">
        <x:f>IF(E4712="","Unknown",IF(E4712&lt;10,"&lt;10",IF(E4712&lt;20,"10-&lt;20",IF(E4712&lt;25,"20-&lt;25",IF(E4712&lt;35,"25-&lt;35","35+")))))</x:f>
        <x:v>10-&lt;20</x:v>
      </x:c>
    </x:row>
    <x:row r="4713">
      <x:c r="A4713" t="str">
        <x:v>SYN0004712</x:v>
      </x:c>
      <x:c r="B4713" s="12" t="n">
        <x:v>42385</x:v>
      </x:c>
      <x:c r="C4713" s="18" t="n">
        <x:v>7639</x:v>
      </x:c>
      <x:c r="D4713" s="18" t="n">
        <x:v>110306</x:v>
      </x:c>
      <x:c r="E4713" s="18" t="n">
        <x:v>18.52</x:v>
      </x:c>
      <x:c r="F4713" s="18" t="n">
        <x:v>6.8</x:v>
      </x:c>
      <x:c r="G4713" t="n">
        <x:v>36</x:v>
      </x:c>
      <x:c r="H4713" t="str">
        <x:v>A</x:v>
      </x:c>
      <x:c r="I4713" t="str">
        <x:v>&lt;1 year</x:v>
      </x:c>
      <x:c r="J4713" t="str">
        <x:v>MORTGAGE</x:v>
      </x:c>
      <x:c r="K4713" t="str">
        <x:v>credit_card</x:v>
      </x:c>
      <x:c r="L4713" t="n">
        <x:v>1</x:v>
      </x:c>
      <x:c r="M4713" t="n">
        <x:v>0</x:v>
      </x:c>
      <x:c r="N4713" t="str">
        <x:v>Fully Paid</x:v>
      </x:c>
      <x:c r="O4713" t="str">
        <x:f>IF(D4713="","Unknown",IF(D4713&lt;25000,"&lt;$25k",IF(D4713&lt;50000,"$25k-$50k",IF(D4713&lt;75000,"$50k-$75k",IF(D4713&lt;100000,"$75k-$100k","$100k+")))))</x:f>
        <x:v>$100k+</x:v>
      </x:c>
      <x:c r="P4713" t="str">
        <x:f>IF(E4713="","Unknown",IF(E4713&lt;10,"&lt;10",IF(E4713&lt;20,"10-&lt;20",IF(E4713&lt;25,"20-&lt;25",IF(E4713&lt;35,"25-&lt;35","35+")))))</x:f>
        <x:v>10-&lt;20</x:v>
      </x:c>
    </x:row>
    <x:row r="4714">
      <x:c r="A4714" t="str">
        <x:v>SYN0004713</x:v>
      </x:c>
      <x:c r="B4714" s="12" t="n">
        <x:v>41785</x:v>
      </x:c>
      <x:c r="C4714" s="18" t="n">
        <x:v>11130</x:v>
      </x:c>
      <x:c r="D4714" s="18" t="n">
        <x:v>60355</x:v>
      </x:c>
      <x:c r="E4714" s="18" t="n">
        <x:v>2.3</x:v>
      </x:c>
      <x:c r="F4714" s="18" t="n">
        <x:v>8.11</x:v>
      </x:c>
      <x:c r="G4714" t="n">
        <x:v>36</x:v>
      </x:c>
      <x:c r="H4714" t="str">
        <x:v>A</x:v>
      </x:c>
      <x:c r="I4714" t="str">
        <x:v>7-9 years</x:v>
      </x:c>
      <x:c r="J4714" t="str">
        <x:v>RENT</x:v>
      </x:c>
      <x:c r="K4714" t="str">
        <x:v>debt_consolidation</x:v>
      </x:c>
      <x:c r="L4714" t="n">
        <x:v>0</x:v>
      </x:c>
      <x:c r="M4714" t="n">
        <x:v>0</x:v>
      </x:c>
      <x:c r="N4714" t="str">
        <x:v>Fully Paid</x:v>
      </x:c>
      <x:c r="O4714" t="str">
        <x:f>IF(D4714="","Unknown",IF(D4714&lt;25000,"&lt;$25k",IF(D4714&lt;50000,"$25k-$50k",IF(D4714&lt;75000,"$50k-$75k",IF(D4714&lt;100000,"$75k-$100k","$100k+")))))</x:f>
        <x:v>$50k-$75k</x:v>
      </x:c>
      <x:c r="P4714" t="str">
        <x:f>IF(E4714="","Unknown",IF(E4714&lt;10,"&lt;10",IF(E4714&lt;20,"10-&lt;20",IF(E4714&lt;25,"20-&lt;25",IF(E4714&lt;35,"25-&lt;35","35+")))))</x:f>
        <x:v>&lt;10</x:v>
      </x:c>
    </x:row>
    <x:row r="4715">
      <x:c r="A4715" t="str">
        <x:v>SYN0004714</x:v>
      </x:c>
      <x:c r="B4715" s="12" t="n">
        <x:v>42235</x:v>
      </x:c>
      <x:c r="C4715" s="18" t="n">
        <x:v>17732</x:v>
      </x:c>
      <x:c r="D4715" s="18" t="n">
        <x:v>37976</x:v>
      </x:c>
      <x:c r="E4715" s="18" t="n">
        <x:v>33.01</x:v>
      </x:c>
      <x:c r="F4715" s="18" t="n">
        <x:v>16.27</x:v>
      </x:c>
      <x:c r="G4715" t="n">
        <x:v>36</x:v>
      </x:c>
      <x:c r="H4715" t="str">
        <x:v>E</x:v>
      </x:c>
      <x:c r="I4715" t="str">
        <x:v>4-6 years</x:v>
      </x:c>
      <x:c r="J4715" t="str">
        <x:v>MORTGAGE</x:v>
      </x:c>
      <x:c r="K4715" t="str">
        <x:v>home_improvement</x:v>
      </x:c>
      <x:c r="L4715" t="n">
        <x:v>0</x:v>
      </x:c>
      <x:c r="M4715" t="n">
        <x:v>0</x:v>
      </x:c>
      <x:c r="N4715" t="str">
        <x:v>Fully Paid</x:v>
      </x:c>
      <x:c r="O4715" t="str">
        <x:f>IF(D4715="","Unknown",IF(D4715&lt;25000,"&lt;$25k",IF(D4715&lt;50000,"$25k-$50k",IF(D4715&lt;75000,"$50k-$75k",IF(D4715&lt;100000,"$75k-$100k","$100k+")))))</x:f>
        <x:v>$25k-$50k</x:v>
      </x:c>
      <x:c r="P4715" t="str">
        <x:f>IF(E4715="","Unknown",IF(E4715&lt;10,"&lt;10",IF(E4715&lt;20,"10-&lt;20",IF(E4715&lt;25,"20-&lt;25",IF(E4715&lt;35,"25-&lt;35","35+")))))</x:f>
        <x:v>25-&lt;35</x:v>
      </x:c>
    </x:row>
    <x:row r="4716">
      <x:c r="A4716" t="str">
        <x:v>SYN0004715</x:v>
      </x:c>
      <x:c r="B4716" s="12" t="n">
        <x:v>43225</x:v>
      </x:c>
      <x:c r="C4716" s="18" t="n">
        <x:v>8491</x:v>
      </x:c>
      <x:c r="D4716" s="18" t="n">
        <x:v>23553</x:v>
      </x:c>
      <x:c r="E4716" s="18" t="n">
        <x:v>15.84</x:v>
      </x:c>
      <x:c r="F4716" s="18" t="n">
        <x:v>9.12</x:v>
      </x:c>
      <x:c r="G4716" t="n">
        <x:v>36</x:v>
      </x:c>
      <x:c r="H4716" t="str">
        <x:v>B</x:v>
      </x:c>
      <x:c r="I4716" t="str">
        <x:v>4-6 years</x:v>
      </x:c>
      <x:c r="J4716" t="str">
        <x:v>MORTGAGE</x:v>
      </x:c>
      <x:c r="K4716" t="str">
        <x:v>debt_consolidation</x:v>
      </x:c>
      <x:c r="L4716" t="n">
        <x:v>2</x:v>
      </x:c>
      <x:c r="M4716" t="n">
        <x:v>0</x:v>
      </x:c>
      <x:c r="N4716" t="str">
        <x:v>Fully Paid</x:v>
      </x:c>
      <x:c r="O4716" t="str">
        <x:f>IF(D4716="","Unknown",IF(D4716&lt;25000,"&lt;$25k",IF(D4716&lt;50000,"$25k-$50k",IF(D4716&lt;75000,"$50k-$75k",IF(D4716&lt;100000,"$75k-$100k","$100k+")))))</x:f>
        <x:v>&lt;$25k</x:v>
      </x:c>
      <x:c r="P4716" t="str">
        <x:f>IF(E4716="","Unknown",IF(E4716&lt;10,"&lt;10",IF(E4716&lt;20,"10-&lt;20",IF(E4716&lt;25,"20-&lt;25",IF(E4716&lt;35,"25-&lt;35","35+")))))</x:f>
        <x:v>10-&lt;20</x:v>
      </x:c>
    </x:row>
    <x:row r="4717">
      <x:c r="A4717" t="str">
        <x:v>SYN0004716</x:v>
      </x:c>
      <x:c r="B4717" s="12" t="n">
        <x:v>42085</x:v>
      </x:c>
      <x:c r="C4717" s="18" t="n">
        <x:v>8216</x:v>
      </x:c>
      <x:c r="D4717" s="18" t="n">
        <x:v>29863</x:v>
      </x:c>
      <x:c r="E4717" s="18" t="n">
        <x:v>12.7</x:v>
      </x:c>
      <x:c r="F4717" s="18" t="n">
        <x:v>10.52</x:v>
      </x:c>
      <x:c r="G4717" t="n">
        <x:v>36</x:v>
      </x:c>
      <x:c r="H4717" t="str">
        <x:v>B</x:v>
      </x:c>
      <x:c r="I4717" t="str">
        <x:v>7-9 years</x:v>
      </x:c>
      <x:c r="J4717" t="str">
        <x:v>OWN</x:v>
      </x:c>
      <x:c r="K4717" t="str">
        <x:v>debt_consolidation</x:v>
      </x:c>
      <x:c r="L4717" t="n">
        <x:v>1</x:v>
      </x:c>
      <x:c r="M4717" t="n">
        <x:v>0</x:v>
      </x:c>
      <x:c r="N4717" t="str">
        <x:v>Fully Paid</x:v>
      </x:c>
      <x:c r="O4717" t="str">
        <x:f>IF(D4717="","Unknown",IF(D4717&lt;25000,"&lt;$25k",IF(D4717&lt;50000,"$25k-$50k",IF(D4717&lt;75000,"$50k-$75k",IF(D4717&lt;100000,"$75k-$100k","$100k+")))))</x:f>
        <x:v>$25k-$50k</x:v>
      </x:c>
      <x:c r="P4717" t="str">
        <x:f>IF(E4717="","Unknown",IF(E4717&lt;10,"&lt;10",IF(E4717&lt;20,"10-&lt;20",IF(E4717&lt;25,"20-&lt;25",IF(E4717&lt;35,"25-&lt;35","35+")))))</x:f>
        <x:v>10-&lt;20</x:v>
      </x:c>
    </x:row>
    <x:row r="4718">
      <x:c r="A4718" t="str">
        <x:v>SYN0004717</x:v>
      </x:c>
      <x:c r="B4718" s="12" t="n">
        <x:v>42295</x:v>
      </x:c>
      <x:c r="C4718" s="18" t="n">
        <x:v>14914</x:v>
      </x:c>
      <x:c r="D4718" s="18" t="n">
        <x:v>69990</x:v>
      </x:c>
      <x:c r="E4718" s="18" t="n">
        <x:v>10.28</x:v>
      </x:c>
      <x:c r="F4718" s="18" t="n">
        <x:v>11.73</x:v>
      </x:c>
      <x:c r="G4718" t="n">
        <x:v>60</x:v>
      </x:c>
      <x:c r="H4718" t="str">
        <x:v>C</x:v>
      </x:c>
      <x:c r="I4718" t="str">
        <x:v>7-9 years</x:v>
      </x:c>
      <x:c r="J4718" t="str">
        <x:v>OWN</x:v>
      </x:c>
      <x:c r="K4718" t="str">
        <x:v>debt_consolidation</x:v>
      </x:c>
      <x:c r="L4718" t="n">
        <x:v>0</x:v>
      </x:c>
      <x:c r="M4718" t="n">
        <x:v>0</x:v>
      </x:c>
      <x:c r="N4718" t="str">
        <x:v>Fully Paid</x:v>
      </x:c>
      <x:c r="O4718" t="str">
        <x:f>IF(D4718="","Unknown",IF(D4718&lt;25000,"&lt;$25k",IF(D4718&lt;50000,"$25k-$50k",IF(D4718&lt;75000,"$50k-$75k",IF(D4718&lt;100000,"$75k-$100k","$100k+")))))</x:f>
        <x:v>$50k-$75k</x:v>
      </x:c>
      <x:c r="P4718" t="str">
        <x:f>IF(E4718="","Unknown",IF(E4718&lt;10,"&lt;10",IF(E4718&lt;20,"10-&lt;20",IF(E4718&lt;25,"20-&lt;25",IF(E4718&lt;35,"25-&lt;35","35+")))))</x:f>
        <x:v>10-&lt;20</x:v>
      </x:c>
    </x:row>
    <x:row r="4719">
      <x:c r="A4719" t="str">
        <x:v>SYN0004718</x:v>
      </x:c>
      <x:c r="B4719" s="12" t="n">
        <x:v>42145</x:v>
      </x:c>
      <x:c r="C4719" s="18" t="n">
        <x:v>11548</x:v>
      </x:c>
      <x:c r="D4719" s="18" t="n">
        <x:v>47266</x:v>
      </x:c>
      <x:c r="E4719" s="18" t="n">
        <x:v>13.68</x:v>
      </x:c>
      <x:c r="F4719" s="18" t="n">
        <x:v>10.69</x:v>
      </x:c>
      <x:c r="G4719" t="n">
        <x:v>36</x:v>
      </x:c>
      <x:c r="H4719" t="str">
        <x:v>B</x:v>
      </x:c>
      <x:c r="I4719" t="str">
        <x:v>4-6 years</x:v>
      </x:c>
      <x:c r="J4719" t="str">
        <x:v>RENT</x:v>
      </x:c>
      <x:c r="K4719" t="str">
        <x:v>debt_consolidation</x:v>
      </x:c>
      <x:c r="L4719" t="n">
        <x:v>0</x:v>
      </x:c>
      <x:c r="M4719" t="n">
        <x:v>0</x:v>
      </x:c>
      <x:c r="N4719" t="str">
        <x:v>Fully Paid</x:v>
      </x:c>
      <x:c r="O4719" t="str">
        <x:f>IF(D4719="","Unknown",IF(D4719&lt;25000,"&lt;$25k",IF(D4719&lt;50000,"$25k-$50k",IF(D4719&lt;75000,"$50k-$75k",IF(D4719&lt;100000,"$75k-$100k","$100k+")))))</x:f>
        <x:v>$25k-$50k</x:v>
      </x:c>
      <x:c r="P4719" t="str">
        <x:f>IF(E4719="","Unknown",IF(E4719&lt;10,"&lt;10",IF(E4719&lt;20,"10-&lt;20",IF(E4719&lt;25,"20-&lt;25",IF(E4719&lt;35,"25-&lt;35","35+")))))</x:f>
        <x:v>10-&lt;20</x:v>
      </x:c>
    </x:row>
    <x:row r="4720">
      <x:c r="A4720" t="str">
        <x:v>SYN0004719</x:v>
      </x:c>
      <x:c r="B4720" s="12" t="n">
        <x:v>42775</x:v>
      </x:c>
      <x:c r="C4720" s="18" t="n">
        <x:v>40000</x:v>
      </x:c>
      <x:c r="D4720" s="18" t="n">
        <x:v>135784</x:v>
      </x:c>
      <x:c r="E4720" s="18" t="n">
        <x:v>11.31</x:v>
      </x:c>
      <x:c r="F4720" s="18" t="n">
        <x:v>17.36</x:v>
      </x:c>
      <x:c r="G4720" t="n">
        <x:v>36</x:v>
      </x:c>
      <x:c r="H4720" t="str">
        <x:v>E</x:v>
      </x:c>
      <x:c r="I4720" t="str">
        <x:v>1-3 years</x:v>
      </x:c>
      <x:c r="J4720" t="str">
        <x:v>OWN</x:v>
      </x:c>
      <x:c r="K4720" t="str">
        <x:v>credit_card</x:v>
      </x:c>
      <x:c r="L4720" t="n">
        <x:v>0</x:v>
      </x:c>
      <x:c r="M4720" t="n">
        <x:v>0</x:v>
      </x:c>
      <x:c r="N4720" t="str">
        <x:v>Fully Paid</x:v>
      </x:c>
      <x:c r="O4720" t="str">
        <x:f>IF(D4720="","Unknown",IF(D4720&lt;25000,"&lt;$25k",IF(D4720&lt;50000,"$25k-$50k",IF(D4720&lt;75000,"$50k-$75k",IF(D4720&lt;100000,"$75k-$100k","$100k+")))))</x:f>
        <x:v>$100k+</x:v>
      </x:c>
      <x:c r="P4720" t="str">
        <x:f>IF(E4720="","Unknown",IF(E4720&lt;10,"&lt;10",IF(E4720&lt;20,"10-&lt;20",IF(E4720&lt;25,"20-&lt;25",IF(E4720&lt;35,"25-&lt;35","35+")))))</x:f>
        <x:v>10-&lt;20</x:v>
      </x:c>
    </x:row>
    <x:row r="4721">
      <x:c r="A4721" t="str">
        <x:v>SYN0004720</x:v>
      </x:c>
      <x:c r="B4721" s="12" t="n">
        <x:v>41545</x:v>
      </x:c>
      <x:c r="C4721" s="18" t="n">
        <x:v>13319</x:v>
      </x:c>
      <x:c r="D4721" s="18" t="n">
        <x:v>138881</x:v>
      </x:c>
      <x:c r="E4721" s="18" t="n">
        <x:v>16.33</x:v>
      </x:c>
      <x:c r="F4721" s="18" t="n">
        <x:v>9.28</x:v>
      </x:c>
      <x:c r="G4721" t="n">
        <x:v>36</x:v>
      </x:c>
      <x:c r="H4721" t="str">
        <x:v>C</x:v>
      </x:c>
      <x:c r="I4721" t="str">
        <x:v>4-6 years</x:v>
      </x:c>
      <x:c r="J4721" t="str">
        <x:v>MORTGAGE</x:v>
      </x:c>
      <x:c r="K4721" t="str">
        <x:v>debt_consolidation</x:v>
      </x:c>
      <x:c r="L4721" t="n">
        <x:v>0</x:v>
      </x:c>
      <x:c r="M4721" t="n">
        <x:v>0</x:v>
      </x:c>
      <x:c r="N4721" t="str">
        <x:v>Fully Paid</x:v>
      </x:c>
      <x:c r="O4721" t="str">
        <x:f>IF(D4721="","Unknown",IF(D4721&lt;25000,"&lt;$25k",IF(D4721&lt;50000,"$25k-$50k",IF(D4721&lt;75000,"$50k-$75k",IF(D4721&lt;100000,"$75k-$100k","$100k+")))))</x:f>
        <x:v>$100k+</x:v>
      </x:c>
      <x:c r="P4721" t="str">
        <x:f>IF(E4721="","Unknown",IF(E4721&lt;10,"&lt;10",IF(E4721&lt;20,"10-&lt;20",IF(E4721&lt;25,"20-&lt;25",IF(E4721&lt;35,"25-&lt;35","35+")))))</x:f>
        <x:v>10-&lt;20</x:v>
      </x:c>
    </x:row>
    <x:row r="4722">
      <x:c r="A4722" t="str">
        <x:v>SYN0004721</x:v>
      </x:c>
      <x:c r="B4722" s="12" t="n">
        <x:v>41665</x:v>
      </x:c>
      <x:c r="C4722" s="18" t="n">
        <x:v>29922</x:v>
      </x:c>
      <x:c r="D4722" s="18" t="n">
        <x:v>65628</x:v>
      </x:c>
      <x:c r="E4722" s="18" t="n">
        <x:v>15.92</x:v>
      </x:c>
      <x:c r="F4722" s="18" t="n">
        <x:v>13.73</x:v>
      </x:c>
      <x:c r="G4722" t="n">
        <x:v>36</x:v>
      </x:c>
      <x:c r="H4722" t="str">
        <x:v>D</x:v>
      </x:c>
      <x:c r="I4722" t="str">
        <x:v>4-6 years</x:v>
      </x:c>
      <x:c r="J4722" t="str">
        <x:v>MORTGAGE</x:v>
      </x:c>
      <x:c r="K4722" t="str">
        <x:v>home_improvement</x:v>
      </x:c>
      <x:c r="L4722" t="n">
        <x:v>0</x:v>
      </x:c>
      <x:c r="M4722" t="n">
        <x:v>0</x:v>
      </x:c>
      <x:c r="N4722" t="str">
        <x:v>Fully Paid</x:v>
      </x:c>
      <x:c r="O4722" t="str">
        <x:f>IF(D4722="","Unknown",IF(D4722&lt;25000,"&lt;$25k",IF(D4722&lt;50000,"$25k-$50k",IF(D4722&lt;75000,"$50k-$75k",IF(D4722&lt;100000,"$75k-$100k","$100k+")))))</x:f>
        <x:v>$50k-$75k</x:v>
      </x:c>
      <x:c r="P4722" t="str">
        <x:f>IF(E4722="","Unknown",IF(E4722&lt;10,"&lt;10",IF(E4722&lt;20,"10-&lt;20",IF(E4722&lt;25,"20-&lt;25",IF(E4722&lt;35,"25-&lt;35","35+")))))</x:f>
        <x:v>10-&lt;20</x:v>
      </x:c>
    </x:row>
    <x:row r="4723">
      <x:c r="A4723" t="str">
        <x:v>SYN0004722</x:v>
      </x:c>
      <x:c r="B4723" s="12" t="n">
        <x:v>42985</x:v>
      </x:c>
      <x:c r="C4723" s="18" t="n">
        <x:v>8348</x:v>
      </x:c>
      <x:c r="D4723" s="18" t="n">
        <x:v>25215</x:v>
      </x:c>
      <x:c r="E4723" s="18" t="n">
        <x:v>16.11</x:v>
      </x:c>
      <x:c r="F4723" s="18" t="n">
        <x:v>18.4</x:v>
      </x:c>
      <x:c r="G4723" t="n">
        <x:v>60</x:v>
      </x:c>
      <x:c r="H4723" t="str">
        <x:v>E</x:v>
      </x:c>
      <x:c r="I4723" t="str">
        <x:v>1-3 years</x:v>
      </x:c>
      <x:c r="J4723" t="str">
        <x:v>MORTGAGE</x:v>
      </x:c>
      <x:c r="K4723" t="str">
        <x:v>other</x:v>
      </x:c>
      <x:c r="L4723" t="n">
        <x:v>0</x:v>
      </x:c>
      <x:c r="M4723" t="n">
        <x:v>0</x:v>
      </x:c>
      <x:c r="N4723" t="str">
        <x:v>Fully Paid</x:v>
      </x:c>
      <x:c r="O4723" t="str">
        <x:f>IF(D4723="","Unknown",IF(D4723&lt;25000,"&lt;$25k",IF(D4723&lt;50000,"$25k-$50k",IF(D4723&lt;75000,"$50k-$75k",IF(D4723&lt;100000,"$75k-$100k","$100k+")))))</x:f>
        <x:v>$25k-$50k</x:v>
      </x:c>
      <x:c r="P4723" t="str">
        <x:f>IF(E4723="","Unknown",IF(E4723&lt;10,"&lt;10",IF(E4723&lt;20,"10-&lt;20",IF(E4723&lt;25,"20-&lt;25",IF(E4723&lt;35,"25-&lt;35","35+")))))</x:f>
        <x:v>10-&lt;20</x:v>
      </x:c>
    </x:row>
    <x:row r="4724">
      <x:c r="A4724" t="str">
        <x:v>SYN0004723</x:v>
      </x:c>
      <x:c r="B4724" s="12" t="n">
        <x:v>43135</x:v>
      </x:c>
      <x:c r="C4724" s="18" t="n">
        <x:v>12172</x:v>
      </x:c>
      <x:c r="D4724" s="18" t="n">
        <x:v>55412</x:v>
      </x:c>
      <x:c r="E4724" s="18" t="n">
        <x:v>26.34</x:v>
      </x:c>
      <x:c r="F4724" s="18" t="n">
        <x:v>10.74</x:v>
      </x:c>
      <x:c r="G4724" t="n">
        <x:v>36</x:v>
      </x:c>
      <x:c r="H4724" t="str">
        <x:v>C</x:v>
      </x:c>
      <x:c r="I4724" t="str">
        <x:v>4-6 years</x:v>
      </x:c>
      <x:c r="J4724" t="str">
        <x:v>MORTGAGE</x:v>
      </x:c>
      <x:c r="K4724" t="str">
        <x:v>debt_consolidation</x:v>
      </x:c>
      <x:c r="L4724" t="n">
        <x:v>1</x:v>
      </x:c>
      <x:c r="M4724" t="n">
        <x:v>0</x:v>
      </x:c>
      <x:c r="N4724" t="str">
        <x:v>Fully Paid</x:v>
      </x:c>
      <x:c r="O4724" t="str">
        <x:f>IF(D4724="","Unknown",IF(D4724&lt;25000,"&lt;$25k",IF(D4724&lt;50000,"$25k-$50k",IF(D4724&lt;75000,"$50k-$75k",IF(D4724&lt;100000,"$75k-$100k","$100k+")))))</x:f>
        <x:v>$50k-$75k</x:v>
      </x:c>
      <x:c r="P4724" t="str">
        <x:f>IF(E4724="","Unknown",IF(E4724&lt;10,"&lt;10",IF(E4724&lt;20,"10-&lt;20",IF(E4724&lt;25,"20-&lt;25",IF(E4724&lt;35,"25-&lt;35","35+")))))</x:f>
        <x:v>25-&lt;35</x:v>
      </x:c>
    </x:row>
    <x:row r="4725">
      <x:c r="A4725" t="str">
        <x:v>SYN0004724</x:v>
      </x:c>
      <x:c r="B4725" s="12" t="n">
        <x:v>42535</x:v>
      </x:c>
      <x:c r="C4725" s="18" t="n">
        <x:v>15791</x:v>
      </x:c>
      <x:c r="D4725" s="18" t="n">
        <x:v>50869</x:v>
      </x:c>
      <x:c r="E4725" s="18" t="n">
        <x:v>12.6</x:v>
      </x:c>
      <x:c r="F4725" s="18" t="n">
        <x:v>6.89</x:v>
      </x:c>
      <x:c r="G4725" t="n">
        <x:v>36</x:v>
      </x:c>
      <x:c r="H4725" t="str">
        <x:v>A</x:v>
      </x:c>
      <x:c r="I4725" t="str">
        <x:v>4-6 years</x:v>
      </x:c>
      <x:c r="J4725" t="str">
        <x:v>MORTGAGE</x:v>
      </x:c>
      <x:c r="K4725" t="str">
        <x:v>home_improvement</x:v>
      </x:c>
      <x:c r="L4725" t="n">
        <x:v>0</x:v>
      </x:c>
      <x:c r="M4725" t="n">
        <x:v>1</x:v>
      </x:c>
      <x:c r="N4725" t="str">
        <x:v>Charged Off</x:v>
      </x:c>
      <x:c r="O4725" t="str">
        <x:f>IF(D4725="","Unknown",IF(D4725&lt;25000,"&lt;$25k",IF(D4725&lt;50000,"$25k-$50k",IF(D4725&lt;75000,"$50k-$75k",IF(D4725&lt;100000,"$75k-$100k","$100k+")))))</x:f>
        <x:v>$50k-$75k</x:v>
      </x:c>
      <x:c r="P4725" t="str">
        <x:f>IF(E4725="","Unknown",IF(E4725&lt;10,"&lt;10",IF(E4725&lt;20,"10-&lt;20",IF(E4725&lt;25,"20-&lt;25",IF(E4725&lt;35,"25-&lt;35","35+")))))</x:f>
        <x:v>10-&lt;20</x:v>
      </x:c>
    </x:row>
    <x:row r="4726">
      <x:c r="A4726" t="str">
        <x:v>SYN0004725</x:v>
      </x:c>
      <x:c r="B4726" s="12" t="n">
        <x:v>42355</x:v>
      </x:c>
      <x:c r="C4726" s="18" t="n">
        <x:v>6540</x:v>
      </x:c>
      <x:c r="D4726" s="18" t="n">
        <x:v>78433</x:v>
      </x:c>
      <x:c r="E4726" s="18" t="n">
        <x:v>2.37</x:v>
      </x:c>
      <x:c r="F4726" s="18" t="n">
        <x:v>8.99</x:v>
      </x:c>
      <x:c r="G4726" t="n">
        <x:v>36</x:v>
      </x:c>
      <x:c r="H4726" t="str">
        <x:v>B</x:v>
      </x:c>
      <x:c r="I4726" t="str">
        <x:v>10+ years</x:v>
      </x:c>
      <x:c r="J4726" t="str">
        <x:v>RENT</x:v>
      </x:c>
      <x:c r="K4726" t="str">
        <x:v>debt_consolidation</x:v>
      </x:c>
      <x:c r="L4726" t="n">
        <x:v>0</x:v>
      </x:c>
      <x:c r="M4726" t="n">
        <x:v>0</x:v>
      </x:c>
      <x:c r="N4726" t="str">
        <x:v>Fully Paid</x:v>
      </x:c>
      <x:c r="O4726" t="str">
        <x:f>IF(D4726="","Unknown",IF(D4726&lt;25000,"&lt;$25k",IF(D4726&lt;50000,"$25k-$50k",IF(D4726&lt;75000,"$50k-$75k",IF(D4726&lt;100000,"$75k-$100k","$100k+")))))</x:f>
        <x:v>$75k-$100k</x:v>
      </x:c>
      <x:c r="P4726" t="str">
        <x:f>IF(E4726="","Unknown",IF(E4726&lt;10,"&lt;10",IF(E4726&lt;20,"10-&lt;20",IF(E4726&lt;25,"20-&lt;25",IF(E4726&lt;35,"25-&lt;35","35+")))))</x:f>
        <x:v>&lt;10</x:v>
      </x:c>
    </x:row>
    <x:row r="4727">
      <x:c r="A4727" t="str">
        <x:v>SYN0004726</x:v>
      </x:c>
      <x:c r="B4727" s="12" t="n">
        <x:v>43225</x:v>
      </x:c>
      <x:c r="C4727" s="18" t="n">
        <x:v>7235</x:v>
      </x:c>
      <x:c r="D4727" s="18" t="n">
        <x:v>80200</x:v>
      </x:c>
      <x:c r="E4727" s="18" t="n">
        <x:v>25.82</x:v>
      </x:c>
      <x:c r="F4727" s="18" t="n">
        <x:v>14.01</x:v>
      </x:c>
      <x:c r="G4727" t="n">
        <x:v>60</x:v>
      </x:c>
      <x:c r="H4727" t="str">
        <x:v>D</x:v>
      </x:c>
      <x:c r="I4727" t="str">
        <x:v>4-6 years</x:v>
      </x:c>
      <x:c r="J4727" t="str">
        <x:v>RENT</x:v>
      </x:c>
      <x:c r="K4727" t="str">
        <x:v>medical</x:v>
      </x:c>
      <x:c r="L4727" t="n">
        <x:v>1</x:v>
      </x:c>
      <x:c r="M4727" t="n">
        <x:v>0</x:v>
      </x:c>
      <x:c r="N4727" t="str">
        <x:v>Fully Paid</x:v>
      </x:c>
      <x:c r="O4727" t="str">
        <x:f>IF(D4727="","Unknown",IF(D4727&lt;25000,"&lt;$25k",IF(D4727&lt;50000,"$25k-$50k",IF(D4727&lt;75000,"$50k-$75k",IF(D4727&lt;100000,"$75k-$100k","$100k+")))))</x:f>
        <x:v>$75k-$100k</x:v>
      </x:c>
      <x:c r="P4727" t="str">
        <x:f>IF(E4727="","Unknown",IF(E4727&lt;10,"&lt;10",IF(E4727&lt;20,"10-&lt;20",IF(E4727&lt;25,"20-&lt;25",IF(E4727&lt;35,"25-&lt;35","35+")))))</x:f>
        <x:v>25-&lt;35</x:v>
      </x:c>
    </x:row>
    <x:row r="4728">
      <x:c r="A4728" t="str">
        <x:v>SYN0004727</x:v>
      </x:c>
      <x:c r="B4728" s="12" t="n">
        <x:v>41425</x:v>
      </x:c>
      <x:c r="C4728" s="18" t="n">
        <x:v>6729</x:v>
      </x:c>
      <x:c r="D4728" s="18" t="n">
        <x:v>74819</x:v>
      </x:c>
      <x:c r="E4728" s="18" t="n">
        <x:v>13.45</x:v>
      </x:c>
      <x:c r="F4728" s="18" t="n">
        <x:v>12.13</x:v>
      </x:c>
      <x:c r="G4728" t="n">
        <x:v>60</x:v>
      </x:c>
      <x:c r="H4728" t="str">
        <x:v>C</x:v>
      </x:c>
      <x:c r="I4728" t="str">
        <x:v>1-3 years</x:v>
      </x:c>
      <x:c r="J4728" t="str">
        <x:v>MORTGAGE</x:v>
      </x:c>
      <x:c r="K4728" t="str">
        <x:v>debt_consolidation</x:v>
      </x:c>
      <x:c r="L4728" t="n">
        <x:v>1</x:v>
      </x:c>
      <x:c r="M4728" t="n">
        <x:v>0</x:v>
      </x:c>
      <x:c r="N4728" t="str">
        <x:v>Fully Paid</x:v>
      </x:c>
      <x:c r="O4728" t="str">
        <x:f>IF(D4728="","Unknown",IF(D4728&lt;25000,"&lt;$25k",IF(D4728&lt;50000,"$25k-$50k",IF(D4728&lt;75000,"$50k-$75k",IF(D4728&lt;100000,"$75k-$100k","$100k+")))))</x:f>
        <x:v>$50k-$75k</x:v>
      </x:c>
      <x:c r="P4728" t="str">
        <x:f>IF(E4728="","Unknown",IF(E4728&lt;10,"&lt;10",IF(E4728&lt;20,"10-&lt;20",IF(E4728&lt;25,"20-&lt;25",IF(E4728&lt;35,"25-&lt;35","35+")))))</x:f>
        <x:v>10-&lt;20</x:v>
      </x:c>
    </x:row>
    <x:row r="4729">
      <x:c r="A4729" t="str">
        <x:v>SYN0004728</x:v>
      </x:c>
      <x:c r="B4729" s="12" t="n">
        <x:v>42835</x:v>
      </x:c>
      <x:c r="C4729" s="18" t="n">
        <x:v>16952</x:v>
      </x:c>
      <x:c r="D4729" s="18" t="n">
        <x:v>29919</x:v>
      </x:c>
      <x:c r="E4729" s="18" t="n">
        <x:v>29.76</x:v>
      </x:c>
      <x:c r="F4729" s="18" t="n">
        <x:v>8.73</x:v>
      </x:c>
      <x:c r="G4729" t="n">
        <x:v>36</x:v>
      </x:c>
      <x:c r="H4729" t="str">
        <x:v>C</x:v>
      </x:c>
      <x:c r="I4729" t="str">
        <x:v>4-6 years</x:v>
      </x:c>
      <x:c r="J4729" t="str">
        <x:v>RENT</x:v>
      </x:c>
      <x:c r="K4729" t="str">
        <x:v>home_improvement</x:v>
      </x:c>
      <x:c r="L4729" t="n">
        <x:v>0</x:v>
      </x:c>
      <x:c r="M4729" t="n">
        <x:v>0</x:v>
      </x:c>
      <x:c r="N4729" t="str">
        <x:v>Fully Paid</x:v>
      </x:c>
      <x:c r="O4729" t="str">
        <x:f>IF(D4729="","Unknown",IF(D4729&lt;25000,"&lt;$25k",IF(D4729&lt;50000,"$25k-$50k",IF(D4729&lt;75000,"$50k-$75k",IF(D4729&lt;100000,"$75k-$100k","$100k+")))))</x:f>
        <x:v>$25k-$50k</x:v>
      </x:c>
      <x:c r="P4729" t="str">
        <x:f>IF(E4729="","Unknown",IF(E4729&lt;10,"&lt;10",IF(E4729&lt;20,"10-&lt;20",IF(E4729&lt;25,"20-&lt;25",IF(E4729&lt;35,"25-&lt;35","35+")))))</x:f>
        <x:v>25-&lt;35</x:v>
      </x:c>
    </x:row>
    <x:row r="4730">
      <x:c r="A4730" t="str">
        <x:v>SYN0004729</x:v>
      </x:c>
      <x:c r="B4730" s="12" t="n">
        <x:v>42925</x:v>
      </x:c>
      <x:c r="C4730" s="18" t="n">
        <x:v>7796</x:v>
      </x:c>
      <x:c r="D4730" s="18" t="n">
        <x:v>15923</x:v>
      </x:c>
      <x:c r="E4730" s="18" t="n">
        <x:v>22.14</x:v>
      </x:c>
      <x:c r="F4730" s="18" t="n">
        <x:v>21.29</x:v>
      </x:c>
      <x:c r="G4730" t="n">
        <x:v>36</x:v>
      </x:c>
      <x:c r="H4730" t="str">
        <x:v>F</x:v>
      </x:c>
      <x:c r="I4730" t="str">
        <x:v>1-3 years</x:v>
      </x:c>
      <x:c r="J4730" t="str">
        <x:v>OWN</x:v>
      </x:c>
      <x:c r="K4730" t="str">
        <x:v>debt_consolidation</x:v>
      </x:c>
      <x:c r="L4730" t="n">
        <x:v>2</x:v>
      </x:c>
      <x:c r="M4730" t="n">
        <x:v>1</x:v>
      </x:c>
      <x:c r="N4730" t="str">
        <x:v>Charged Off</x:v>
      </x:c>
      <x:c r="O4730" t="str">
        <x:f>IF(D4730="","Unknown",IF(D4730&lt;25000,"&lt;$25k",IF(D4730&lt;50000,"$25k-$50k",IF(D4730&lt;75000,"$50k-$75k",IF(D4730&lt;100000,"$75k-$100k","$100k+")))))</x:f>
        <x:v>&lt;$25k</x:v>
      </x:c>
      <x:c r="P4730" t="str">
        <x:f>IF(E4730="","Unknown",IF(E4730&lt;10,"&lt;10",IF(E4730&lt;20,"10-&lt;20",IF(E4730&lt;25,"20-&lt;25",IF(E4730&lt;35,"25-&lt;35","35+")))))</x:f>
        <x:v>20-&lt;25</x:v>
      </x:c>
    </x:row>
    <x:row r="4731">
      <x:c r="A4731" t="str">
        <x:v>SYN0004730</x:v>
      </x:c>
      <x:c r="B4731" s="12" t="n">
        <x:v>43015</x:v>
      </x:c>
      <x:c r="C4731" s="18" t="n">
        <x:v>7194</x:v>
      </x:c>
      <x:c r="D4731" s="18" t="n">
        <x:v>54279</x:v>
      </x:c>
      <x:c r="E4731" s="18" t="n">
        <x:v>35.67</x:v>
      </x:c>
      <x:c r="F4731" s="18" t="n">
        <x:v>10.2</x:v>
      </x:c>
      <x:c r="G4731" t="n">
        <x:v>36</x:v>
      </x:c>
      <x:c r="H4731" t="str">
        <x:v>B</x:v>
      </x:c>
      <x:c r="I4731" t="str">
        <x:v>7-9 years</x:v>
      </x:c>
      <x:c r="J4731" t="str">
        <x:v>MORTGAGE</x:v>
      </x:c>
      <x:c r="K4731" t="str">
        <x:v>major_purchase</x:v>
      </x:c>
      <x:c r="L4731" t="n">
        <x:v>1</x:v>
      </x:c>
      <x:c r="M4731" t="n">
        <x:v>0</x:v>
      </x:c>
      <x:c r="N4731" t="str">
        <x:v>Fully Paid</x:v>
      </x:c>
      <x:c r="O4731" t="str">
        <x:f>IF(D4731="","Unknown",IF(D4731&lt;25000,"&lt;$25k",IF(D4731&lt;50000,"$25k-$50k",IF(D4731&lt;75000,"$50k-$75k",IF(D4731&lt;100000,"$75k-$100k","$100k+")))))</x:f>
        <x:v>$50k-$75k</x:v>
      </x:c>
      <x:c r="P4731" t="str">
        <x:f>IF(E4731="","Unknown",IF(E4731&lt;10,"&lt;10",IF(E4731&lt;20,"10-&lt;20",IF(E4731&lt;25,"20-&lt;25",IF(E4731&lt;35,"25-&lt;35","35+")))))</x:f>
        <x:v>35+</x:v>
      </x:c>
    </x:row>
    <x:row r="4732">
      <x:c r="A4732" t="str">
        <x:v>SYN0004731</x:v>
      </x:c>
      <x:c r="B4732" s="12" t="n">
        <x:v>42025</x:v>
      </x:c>
      <x:c r="C4732" s="18" t="n">
        <x:v>20621</x:v>
      </x:c>
      <x:c r="D4732" s="18" t="n">
        <x:v>65240</x:v>
      </x:c>
      <x:c r="E4732" s="18" t="n">
        <x:v>11.1</x:v>
      </x:c>
      <x:c r="F4732" s="18" t="n">
        <x:v>11.28</x:v>
      </x:c>
      <x:c r="G4732" t="n">
        <x:v>36</x:v>
      </x:c>
      <x:c r="H4732" t="str">
        <x:v>B</x:v>
      </x:c>
      <x:c r="I4732" t="str">
        <x:v>&lt;1 year</x:v>
      </x:c>
      <x:c r="J4732" t="str">
        <x:v>RENT</x:v>
      </x:c>
      <x:c r="K4732" t="str">
        <x:v>home_improvement</x:v>
      </x:c>
      <x:c r="L4732" t="n">
        <x:v>1</x:v>
      </x:c>
      <x:c r="M4732" t="n">
        <x:v>0</x:v>
      </x:c>
      <x:c r="N4732" t="str">
        <x:v>Fully Paid</x:v>
      </x:c>
      <x:c r="O4732" t="str">
        <x:f>IF(D4732="","Unknown",IF(D4732&lt;25000,"&lt;$25k",IF(D4732&lt;50000,"$25k-$50k",IF(D4732&lt;75000,"$50k-$75k",IF(D4732&lt;100000,"$75k-$100k","$100k+")))))</x:f>
        <x:v>$50k-$75k</x:v>
      </x:c>
      <x:c r="P4732" t="str">
        <x:f>IF(E4732="","Unknown",IF(E4732&lt;10,"&lt;10",IF(E4732&lt;20,"10-&lt;20",IF(E4732&lt;25,"20-&lt;25",IF(E4732&lt;35,"25-&lt;35","35+")))))</x:f>
        <x:v>10-&lt;20</x:v>
      </x:c>
    </x:row>
    <x:row r="4733">
      <x:c r="A4733" t="str">
        <x:v>SYN0004732</x:v>
      </x:c>
      <x:c r="B4733" s="12" t="n">
        <x:v>42955</x:v>
      </x:c>
      <x:c r="C4733" s="18" t="n">
        <x:v>9298</x:v>
      </x:c>
      <x:c r="D4733" s="18" t="n">
        <x:v>47585</x:v>
      </x:c>
      <x:c r="E4733" s="18" t="n">
        <x:v>12.84</x:v>
      </x:c>
      <x:c r="F4733" s="18" t="n">
        <x:v>11.97</x:v>
      </x:c>
      <x:c r="G4733" t="n">
        <x:v>60</x:v>
      </x:c>
      <x:c r="H4733" t="str">
        <x:v>C</x:v>
      </x:c>
      <x:c r="I4733" t="str">
        <x:v>&lt;1 year</x:v>
      </x:c>
      <x:c r="J4733" t="str">
        <x:v>RENT</x:v>
      </x:c>
      <x:c r="K4733" t="str">
        <x:v>debt_consolidation</x:v>
      </x:c>
      <x:c r="L4733" t="n">
        <x:v>0</x:v>
      </x:c>
      <x:c r="M4733" t="n">
        <x:v>0</x:v>
      </x:c>
      <x:c r="N4733" t="str">
        <x:v>Fully Paid</x:v>
      </x:c>
      <x:c r="O4733" t="str">
        <x:f>IF(D4733="","Unknown",IF(D4733&lt;25000,"&lt;$25k",IF(D4733&lt;50000,"$25k-$50k",IF(D4733&lt;75000,"$50k-$75k",IF(D4733&lt;100000,"$75k-$100k","$100k+")))))</x:f>
        <x:v>$25k-$50k</x:v>
      </x:c>
      <x:c r="P4733" t="str">
        <x:f>IF(E4733="","Unknown",IF(E4733&lt;10,"&lt;10",IF(E4733&lt;20,"10-&lt;20",IF(E4733&lt;25,"20-&lt;25",IF(E4733&lt;35,"25-&lt;35","35+")))))</x:f>
        <x:v>10-&lt;20</x:v>
      </x:c>
    </x:row>
    <x:row r="4734">
      <x:c r="A4734" t="str">
        <x:v>SYN0004733</x:v>
      </x:c>
      <x:c r="B4734" s="12" t="n">
        <x:v>42475</x:v>
      </x:c>
      <x:c r="C4734" s="18" t="n">
        <x:v>11676</x:v>
      </x:c>
      <x:c r="D4734" s="18" t="n">
        <x:v>40967</x:v>
      </x:c>
      <x:c r="E4734" s="18" t="n">
        <x:v>24.03</x:v>
      </x:c>
      <x:c r="F4734" s="18" t="n">
        <x:v>5.9</x:v>
      </x:c>
      <x:c r="G4734" t="n">
        <x:v>36</x:v>
      </x:c>
      <x:c r="H4734" t="str">
        <x:v>A</x:v>
      </x:c>
      <x:c r="I4734" t="str">
        <x:v>4-6 years</x:v>
      </x:c>
      <x:c r="J4734" t="str">
        <x:v>OWN</x:v>
      </x:c>
      <x:c r="K4734" t="str">
        <x:v>major_purchase</x:v>
      </x:c>
      <x:c r="L4734" t="n">
        <x:v>0</x:v>
      </x:c>
      <x:c r="M4734" t="n">
        <x:v>0</x:v>
      </x:c>
      <x:c r="N4734" t="str">
        <x:v>Fully Paid</x:v>
      </x:c>
      <x:c r="O4734" t="str">
        <x:f>IF(D4734="","Unknown",IF(D4734&lt;25000,"&lt;$25k",IF(D4734&lt;50000,"$25k-$50k",IF(D4734&lt;75000,"$50k-$75k",IF(D4734&lt;100000,"$75k-$100k","$100k+")))))</x:f>
        <x:v>$25k-$50k</x:v>
      </x:c>
      <x:c r="P4734" t="str">
        <x:f>IF(E4734="","Unknown",IF(E4734&lt;10,"&lt;10",IF(E4734&lt;20,"10-&lt;20",IF(E4734&lt;25,"20-&lt;25",IF(E4734&lt;35,"25-&lt;35","35+")))))</x:f>
        <x:v>20-&lt;25</x:v>
      </x:c>
    </x:row>
    <x:row r="4735">
      <x:c r="A4735" t="str">
        <x:v>SYN0004734</x:v>
      </x:c>
      <x:c r="B4735" s="12" t="n">
        <x:v>42745</x:v>
      </x:c>
      <x:c r="C4735" s="18" t="n">
        <x:v>9785</x:v>
      </x:c>
      <x:c r="D4735" s="18" t="n">
        <x:v>37177</x:v>
      </x:c>
      <x:c r="E4735" s="18" t="n">
        <x:v>27.94</x:v>
      </x:c>
      <x:c r="F4735" s="18" t="n">
        <x:v>6.73</x:v>
      </x:c>
      <x:c r="G4735" t="n">
        <x:v>36</x:v>
      </x:c>
      <x:c r="H4735" t="str">
        <x:v>A</x:v>
      </x:c>
      <x:c r="I4735" t="str">
        <x:v>1-3 years</x:v>
      </x:c>
      <x:c r="J4735" t="str">
        <x:v>RENT</x:v>
      </x:c>
      <x:c r="K4735" t="str">
        <x:v>home_improvement</x:v>
      </x:c>
      <x:c r="L4735" t="n">
        <x:v>1</x:v>
      </x:c>
      <x:c r="M4735" t="n">
        <x:v>0</x:v>
      </x:c>
      <x:c r="N4735" t="str">
        <x:v>Fully Paid</x:v>
      </x:c>
      <x:c r="O4735" t="str">
        <x:f>IF(D4735="","Unknown",IF(D4735&lt;25000,"&lt;$25k",IF(D4735&lt;50000,"$25k-$50k",IF(D4735&lt;75000,"$50k-$75k",IF(D4735&lt;100000,"$75k-$100k","$100k+")))))</x:f>
        <x:v>$25k-$50k</x:v>
      </x:c>
      <x:c r="P4735" t="str">
        <x:f>IF(E4735="","Unknown",IF(E4735&lt;10,"&lt;10",IF(E4735&lt;20,"10-&lt;20",IF(E4735&lt;25,"20-&lt;25",IF(E4735&lt;35,"25-&lt;35","35+")))))</x:f>
        <x:v>25-&lt;35</x:v>
      </x:c>
    </x:row>
    <x:row r="4736">
      <x:c r="A4736" t="str">
        <x:v>SYN0004735</x:v>
      </x:c>
      <x:c r="B4736" s="12" t="n">
        <x:v>42595</x:v>
      </x:c>
      <x:c r="C4736" s="18" t="n">
        <x:v>5013</x:v>
      </x:c>
      <x:c r="D4736" s="18" t="n">
        <x:v>64235</x:v>
      </x:c>
      <x:c r="E4736" s="18" t="n">
        <x:v>28.42</x:v>
      </x:c>
      <x:c r="F4736" s="18" t="n">
        <x:v>12.15</x:v>
      </x:c>
      <x:c r="G4736" t="n">
        <x:v>60</x:v>
      </x:c>
      <x:c r="H4736" t="str">
        <x:v>D</x:v>
      </x:c>
      <x:c r="I4736" t="str">
        <x:v>10+ years</x:v>
      </x:c>
      <x:c r="J4736" t="str">
        <x:v>OWN</x:v>
      </x:c>
      <x:c r="K4736" t="str">
        <x:v>debt_consolidation</x:v>
      </x:c>
      <x:c r="L4736" t="n">
        <x:v>0</x:v>
      </x:c>
      <x:c r="M4736" t="n">
        <x:v>0</x:v>
      </x:c>
      <x:c r="N4736" t="str">
        <x:v>Fully Paid</x:v>
      </x:c>
      <x:c r="O4736" t="str">
        <x:f>IF(D4736="","Unknown",IF(D4736&lt;25000,"&lt;$25k",IF(D4736&lt;50000,"$25k-$50k",IF(D4736&lt;75000,"$50k-$75k",IF(D4736&lt;100000,"$75k-$100k","$100k+")))))</x:f>
        <x:v>$50k-$75k</x:v>
      </x:c>
      <x:c r="P4736" t="str">
        <x:f>IF(E4736="","Unknown",IF(E4736&lt;10,"&lt;10",IF(E4736&lt;20,"10-&lt;20",IF(E4736&lt;25,"20-&lt;25",IF(E4736&lt;35,"25-&lt;35","35+")))))</x:f>
        <x:v>25-&lt;35</x:v>
      </x:c>
    </x:row>
    <x:row r="4737">
      <x:c r="A4737" t="str">
        <x:v>SYN0004736</x:v>
      </x:c>
      <x:c r="B4737" s="12" t="n">
        <x:v>41335</x:v>
      </x:c>
      <x:c r="C4737" s="18" t="n">
        <x:v>10348</x:v>
      </x:c>
      <x:c r="D4737" s="18" t="n">
        <x:v>87868</x:v>
      </x:c>
      <x:c r="E4737" s="18" t="n">
        <x:v>13.78</x:v>
      </x:c>
      <x:c r="F4737" s="18" t="n">
        <x:v>9.82</x:v>
      </x:c>
      <x:c r="G4737" t="n">
        <x:v>36</x:v>
      </x:c>
      <x:c r="H4737" t="str">
        <x:v>C</x:v>
      </x:c>
      <x:c r="I4737" t="str">
        <x:v>10+ years</x:v>
      </x:c>
      <x:c r="J4737" t="str">
        <x:v>RENT</x:v>
      </x:c>
      <x:c r="K4737" t="str">
        <x:v>home_improvement</x:v>
      </x:c>
      <x:c r="L4737" t="n">
        <x:v>0</x:v>
      </x:c>
      <x:c r="M4737" t="n">
        <x:v>0</x:v>
      </x:c>
      <x:c r="N4737" t="str">
        <x:v>Fully Paid</x:v>
      </x:c>
      <x:c r="O4737" t="str">
        <x:f>IF(D4737="","Unknown",IF(D4737&lt;25000,"&lt;$25k",IF(D4737&lt;50000,"$25k-$50k",IF(D4737&lt;75000,"$50k-$75k",IF(D4737&lt;100000,"$75k-$100k","$100k+")))))</x:f>
        <x:v>$75k-$100k</x:v>
      </x:c>
      <x:c r="P4737" t="str">
        <x:f>IF(E4737="","Unknown",IF(E4737&lt;10,"&lt;10",IF(E4737&lt;20,"10-&lt;20",IF(E4737&lt;25,"20-&lt;25",IF(E4737&lt;35,"25-&lt;35","35+")))))</x:f>
        <x:v>10-&lt;20</x:v>
      </x:c>
    </x:row>
    <x:row r="4738">
      <x:c r="A4738" t="str">
        <x:v>SYN0004737</x:v>
      </x:c>
      <x:c r="B4738" s="12" t="n">
        <x:v>43135</x:v>
      </x:c>
      <x:c r="C4738" s="18" t="n">
        <x:v>25555</x:v>
      </x:c>
      <x:c r="D4738" s="18" t="n">
        <x:v>38682</x:v>
      </x:c>
      <x:c r="E4738" s="18" t="n">
        <x:v>6.92</x:v>
      </x:c>
      <x:c r="F4738" s="18" t="n">
        <x:v>6.04</x:v>
      </x:c>
      <x:c r="G4738" t="n">
        <x:v>36</x:v>
      </x:c>
      <x:c r="H4738" t="str">
        <x:v>A</x:v>
      </x:c>
      <x:c r="I4738" t="str">
        <x:v>10+ years</x:v>
      </x:c>
      <x:c r="J4738" t="str">
        <x:v>RENT</x:v>
      </x:c>
      <x:c r="K4738" t="str">
        <x:v>other</x:v>
      </x:c>
      <x:c r="L4738" t="n">
        <x:v>0</x:v>
      </x:c>
      <x:c r="M4738" t="n">
        <x:v>0</x:v>
      </x:c>
      <x:c r="N4738" t="str">
        <x:v>Fully Paid</x:v>
      </x:c>
      <x:c r="O4738" t="str">
        <x:f>IF(D4738="","Unknown",IF(D4738&lt;25000,"&lt;$25k",IF(D4738&lt;50000,"$25k-$50k",IF(D4738&lt;75000,"$50k-$75k",IF(D4738&lt;100000,"$75k-$100k","$100k+")))))</x:f>
        <x:v>$25k-$50k</x:v>
      </x:c>
      <x:c r="P4738" t="str">
        <x:f>IF(E4738="","Unknown",IF(E4738&lt;10,"&lt;10",IF(E4738&lt;20,"10-&lt;20",IF(E4738&lt;25,"20-&lt;25",IF(E4738&lt;35,"25-&lt;35","35+")))))</x:f>
        <x:v>&lt;10</x:v>
      </x:c>
    </x:row>
    <x:row r="4739">
      <x:c r="A4739" t="str">
        <x:v>SYN0004738</x:v>
      </x:c>
      <x:c r="B4739" s="12" t="n">
        <x:v>42205</x:v>
      </x:c>
      <x:c r="C4739" s="18" t="n">
        <x:v>12668</x:v>
      </x:c>
      <x:c r="D4739" s="18" t="n">
        <x:v>26669</x:v>
      </x:c>
      <x:c r="E4739" s="18" t="n">
        <x:v>15.76</x:v>
      </x:c>
      <x:c r="F4739" s="18" t="n">
        <x:v>5</x:v>
      </x:c>
      <x:c r="G4739" t="n">
        <x:v>36</x:v>
      </x:c>
      <x:c r="H4739" t="str">
        <x:v>B</x:v>
      </x:c>
      <x:c r="I4739" t="str">
        <x:v>4-6 years</x:v>
      </x:c>
      <x:c r="J4739" t="str">
        <x:v>RENT</x:v>
      </x:c>
      <x:c r="K4739" t="str">
        <x:v>home_improvement</x:v>
      </x:c>
      <x:c r="L4739" t="n">
        <x:v>0</x:v>
      </x:c>
      <x:c r="M4739" t="n">
        <x:v>0</x:v>
      </x:c>
      <x:c r="N4739" t="str">
        <x:v>Fully Paid</x:v>
      </x:c>
      <x:c r="O4739" t="str">
        <x:f>IF(D4739="","Unknown",IF(D4739&lt;25000,"&lt;$25k",IF(D4739&lt;50000,"$25k-$50k",IF(D4739&lt;75000,"$50k-$75k",IF(D4739&lt;100000,"$75k-$100k","$100k+")))))</x:f>
        <x:v>$25k-$50k</x:v>
      </x:c>
      <x:c r="P4739" t="str">
        <x:f>IF(E4739="","Unknown",IF(E4739&lt;10,"&lt;10",IF(E4739&lt;20,"10-&lt;20",IF(E4739&lt;25,"20-&lt;25",IF(E4739&lt;35,"25-&lt;35","35+")))))</x:f>
        <x:v>10-&lt;20</x:v>
      </x:c>
    </x:row>
    <x:row r="4740">
      <x:c r="A4740" t="str">
        <x:v>SYN0004739</x:v>
      </x:c>
      <x:c r="B4740" s="12" t="n">
        <x:v>42595</x:v>
      </x:c>
      <x:c r="C4740" s="18" t="n">
        <x:v>21208</x:v>
      </x:c>
      <x:c r="D4740" s="18" t="n">
        <x:v>43845</x:v>
      </x:c>
      <x:c r="E4740" s="18" t="n">
        <x:v>23.21</x:v>
      </x:c>
      <x:c r="F4740" s="18" t="n">
        <x:v>12.55</x:v>
      </x:c>
      <x:c r="G4740" t="n">
        <x:v>60</x:v>
      </x:c>
      <x:c r="H4740" t="str">
        <x:v>C</x:v>
      </x:c>
      <x:c r="I4740" t="str">
        <x:v>4-6 years</x:v>
      </x:c>
      <x:c r="J4740" t="str">
        <x:v>OWN</x:v>
      </x:c>
      <x:c r="K4740" t="str">
        <x:v>debt_consolidation</x:v>
      </x:c>
      <x:c r="L4740" t="n">
        <x:v>2</x:v>
      </x:c>
      <x:c r="M4740" t="n">
        <x:v>0</x:v>
      </x:c>
      <x:c r="N4740" t="str">
        <x:v>Fully Paid</x:v>
      </x:c>
      <x:c r="O4740" t="str">
        <x:f>IF(D4740="","Unknown",IF(D4740&lt;25000,"&lt;$25k",IF(D4740&lt;50000,"$25k-$50k",IF(D4740&lt;75000,"$50k-$75k",IF(D4740&lt;100000,"$75k-$100k","$100k+")))))</x:f>
        <x:v>$25k-$50k</x:v>
      </x:c>
      <x:c r="P4740" t="str">
        <x:f>IF(E4740="","Unknown",IF(E4740&lt;10,"&lt;10",IF(E4740&lt;20,"10-&lt;20",IF(E4740&lt;25,"20-&lt;25",IF(E4740&lt;35,"25-&lt;35","35+")))))</x:f>
        <x:v>20-&lt;25</x:v>
      </x:c>
    </x:row>
    <x:row r="4741">
      <x:c r="A4741" t="str">
        <x:v>SYN0004740</x:v>
      </x:c>
      <x:c r="B4741" s="12" t="n">
        <x:v>41815</x:v>
      </x:c>
      <x:c r="C4741" s="18" t="n">
        <x:v>6675</x:v>
      </x:c>
      <x:c r="D4741" s="18" t="n">
        <x:v>79662</x:v>
      </x:c>
      <x:c r="E4741" s="18" t="n">
        <x:v>7.7</x:v>
      </x:c>
      <x:c r="F4741" s="18" t="n">
        <x:v>7.67</x:v>
      </x:c>
      <x:c r="G4741" t="n">
        <x:v>36</x:v>
      </x:c>
      <x:c r="H4741" t="str">
        <x:v>A</x:v>
      </x:c>
      <x:c r="I4741" t="str">
        <x:v>1-3 years</x:v>
      </x:c>
      <x:c r="J4741" t="str">
        <x:v>MORTGAGE</x:v>
      </x:c>
      <x:c r="K4741" t="str">
        <x:v>home_improvement</x:v>
      </x:c>
      <x:c r="L4741" t="n">
        <x:v>0</x:v>
      </x:c>
      <x:c r="M4741" t="n">
        <x:v>0</x:v>
      </x:c>
      <x:c r="N4741" t="str">
        <x:v>Fully Paid</x:v>
      </x:c>
      <x:c r="O4741" t="str">
        <x:f>IF(D4741="","Unknown",IF(D4741&lt;25000,"&lt;$25k",IF(D4741&lt;50000,"$25k-$50k",IF(D4741&lt;75000,"$50k-$75k",IF(D4741&lt;100000,"$75k-$100k","$100k+")))))</x:f>
        <x:v>$75k-$100k</x:v>
      </x:c>
      <x:c r="P4741" t="str">
        <x:f>IF(E4741="","Unknown",IF(E4741&lt;10,"&lt;10",IF(E4741&lt;20,"10-&lt;20",IF(E4741&lt;25,"20-&lt;25",IF(E4741&lt;35,"25-&lt;35","35+")))))</x:f>
        <x:v>&lt;10</x:v>
      </x:c>
    </x:row>
    <x:row r="4742">
      <x:c r="A4742" t="str">
        <x:v>SYN0004741</x:v>
      </x:c>
      <x:c r="B4742" s="12" t="n">
        <x:v>42595</x:v>
      </x:c>
      <x:c r="C4742" s="18" t="n">
        <x:v>7475</x:v>
      </x:c>
      <x:c r="D4742" s="18" t="n">
        <x:v>120250</x:v>
      </x:c>
      <x:c r="E4742" s="18" t="n">
        <x:v>7.75</x:v>
      </x:c>
      <x:c r="F4742" s="18" t="n">
        <x:v>9.79</x:v>
      </x:c>
      <x:c r="G4742" t="n">
        <x:v>36</x:v>
      </x:c>
      <x:c r="H4742" t="str">
        <x:v>C</x:v>
      </x:c>
      <x:c r="I4742" t="str">
        <x:v>10+ years</x:v>
      </x:c>
      <x:c r="J4742" t="str">
        <x:v>MORTGAGE</x:v>
      </x:c>
      <x:c r="K4742" t="str">
        <x:v>debt_consolidation</x:v>
      </x:c>
      <x:c r="L4742" t="n">
        <x:v>1</x:v>
      </x:c>
      <x:c r="M4742" t="n">
        <x:v>0</x:v>
      </x:c>
      <x:c r="N4742" t="str">
        <x:v>Fully Paid</x:v>
      </x:c>
      <x:c r="O4742" t="str">
        <x:f>IF(D4742="","Unknown",IF(D4742&lt;25000,"&lt;$25k",IF(D4742&lt;50000,"$25k-$50k",IF(D4742&lt;75000,"$50k-$75k",IF(D4742&lt;100000,"$75k-$100k","$100k+")))))</x:f>
        <x:v>$100k+</x:v>
      </x:c>
      <x:c r="P4742" t="str">
        <x:f>IF(E4742="","Unknown",IF(E4742&lt;10,"&lt;10",IF(E4742&lt;20,"10-&lt;20",IF(E4742&lt;25,"20-&lt;25",IF(E4742&lt;35,"25-&lt;35","35+")))))</x:f>
        <x:v>&lt;10</x:v>
      </x:c>
    </x:row>
    <x:row r="4743">
      <x:c r="A4743" t="str">
        <x:v>SYN0004742</x:v>
      </x:c>
      <x:c r="B4743" s="12" t="n">
        <x:v>42025</x:v>
      </x:c>
      <x:c r="C4743" s="18" t="n">
        <x:v>6269</x:v>
      </x:c>
      <x:c r="D4743" s="18" t="n">
        <x:v>78085</x:v>
      </x:c>
      <x:c r="E4743" s="18" t="n">
        <x:v>28.36</x:v>
      </x:c>
      <x:c r="F4743" s="18" t="n">
        <x:v>16.13</x:v>
      </x:c>
      <x:c r="G4743" t="n">
        <x:v>36</x:v>
      </x:c>
      <x:c r="H4743" t="str">
        <x:v>E</x:v>
      </x:c>
      <x:c r="I4743" t="str">
        <x:v>10+ years</x:v>
      </x:c>
      <x:c r="J4743" t="str">
        <x:v>MORTGAGE</x:v>
      </x:c>
      <x:c r="K4743" t="str">
        <x:v>medical</x:v>
      </x:c>
      <x:c r="L4743" t="n">
        <x:v>1</x:v>
      </x:c>
      <x:c r="M4743" t="n">
        <x:v>0</x:v>
      </x:c>
      <x:c r="N4743" t="str">
        <x:v>Fully Paid</x:v>
      </x:c>
      <x:c r="O4743" t="str">
        <x:f>IF(D4743="","Unknown",IF(D4743&lt;25000,"&lt;$25k",IF(D4743&lt;50000,"$25k-$50k",IF(D4743&lt;75000,"$50k-$75k",IF(D4743&lt;100000,"$75k-$100k","$100k+")))))</x:f>
        <x:v>$75k-$100k</x:v>
      </x:c>
      <x:c r="P4743" t="str">
        <x:f>IF(E4743="","Unknown",IF(E4743&lt;10,"&lt;10",IF(E4743&lt;20,"10-&lt;20",IF(E4743&lt;25,"20-&lt;25",IF(E4743&lt;35,"25-&lt;35","35+")))))</x:f>
        <x:v>25-&lt;35</x:v>
      </x:c>
    </x:row>
    <x:row r="4744">
      <x:c r="A4744" t="str">
        <x:v>SYN0004743</x:v>
      </x:c>
      <x:c r="B4744" s="12" t="n">
        <x:v>42865</x:v>
      </x:c>
      <x:c r="C4744" s="18" t="n">
        <x:v>18676</x:v>
      </x:c>
      <x:c r="D4744" s="18" t="n">
        <x:v>25503</x:v>
      </x:c>
      <x:c r="E4744" s="18" t="n">
        <x:v>18.73</x:v>
      </x:c>
      <x:c r="F4744" s="18" t="n">
        <x:v>24.59</x:v>
      </x:c>
      <x:c r="G4744" t="n">
        <x:v>36</x:v>
      </x:c>
      <x:c r="H4744" t="str">
        <x:v>G</x:v>
      </x:c>
      <x:c r="I4744" t="str">
        <x:v>1-3 years</x:v>
      </x:c>
      <x:c r="J4744" t="str">
        <x:v>RENT</x:v>
      </x:c>
      <x:c r="K4744" t="str">
        <x:v>other</x:v>
      </x:c>
      <x:c r="L4744" t="n">
        <x:v>0</x:v>
      </x:c>
      <x:c r="M4744" t="n">
        <x:v>0</x:v>
      </x:c>
      <x:c r="N4744" t="str">
        <x:v>Fully Paid</x:v>
      </x:c>
      <x:c r="O4744" t="str">
        <x:f>IF(D4744="","Unknown",IF(D4744&lt;25000,"&lt;$25k",IF(D4744&lt;50000,"$25k-$50k",IF(D4744&lt;75000,"$50k-$75k",IF(D4744&lt;100000,"$75k-$100k","$100k+")))))</x:f>
        <x:v>$25k-$50k</x:v>
      </x:c>
      <x:c r="P4744" t="str">
        <x:f>IF(E4744="","Unknown",IF(E4744&lt;10,"&lt;10",IF(E4744&lt;20,"10-&lt;20",IF(E4744&lt;25,"20-&lt;25",IF(E4744&lt;35,"25-&lt;35","35+")))))</x:f>
        <x:v>10-&lt;20</x:v>
      </x:c>
    </x:row>
    <x:row r="4745">
      <x:c r="A4745" t="str">
        <x:v>SYN0004744</x:v>
      </x:c>
      <x:c r="B4745" s="12" t="n">
        <x:v>43285</x:v>
      </x:c>
      <x:c r="C4745" s="18" t="n">
        <x:v>21109</x:v>
      </x:c>
      <x:c r="D4745" s="18" t="n">
        <x:v>23012</x:v>
      </x:c>
      <x:c r="E4745" s="18" t="n">
        <x:v>35.38</x:v>
      </x:c>
      <x:c r="F4745" s="18" t="n">
        <x:v>5.96</x:v>
      </x:c>
      <x:c r="G4745" t="n">
        <x:v>36</x:v>
      </x:c>
      <x:c r="H4745" t="str">
        <x:v>B</x:v>
      </x:c>
      <x:c r="I4745" t="str">
        <x:v>&lt;1 year</x:v>
      </x:c>
      <x:c r="J4745" t="str">
        <x:v>MORTGAGE</x:v>
      </x:c>
      <x:c r="K4745" t="str">
        <x:v>medical</x:v>
      </x:c>
      <x:c r="L4745" t="n">
        <x:v>0</x:v>
      </x:c>
      <x:c r="M4745" t="n">
        <x:v>0</x:v>
      </x:c>
      <x:c r="N4745" t="str">
        <x:v>Fully Paid</x:v>
      </x:c>
      <x:c r="O4745" t="str">
        <x:f>IF(D4745="","Unknown",IF(D4745&lt;25000,"&lt;$25k",IF(D4745&lt;50000,"$25k-$50k",IF(D4745&lt;75000,"$50k-$75k",IF(D4745&lt;100000,"$75k-$100k","$100k+")))))</x:f>
        <x:v>&lt;$25k</x:v>
      </x:c>
      <x:c r="P4745" t="str">
        <x:f>IF(E4745="","Unknown",IF(E4745&lt;10,"&lt;10",IF(E4745&lt;20,"10-&lt;20",IF(E4745&lt;25,"20-&lt;25",IF(E4745&lt;35,"25-&lt;35","35+")))))</x:f>
        <x:v>35+</x:v>
      </x:c>
    </x:row>
    <x:row r="4746">
      <x:c r="A4746" t="str">
        <x:v>SYN0004745</x:v>
      </x:c>
      <x:c r="B4746" s="12" t="n">
        <x:v>41815</x:v>
      </x:c>
      <x:c r="C4746" s="18" t="n">
        <x:v>17061</x:v>
      </x:c>
      <x:c r="D4746" s="18" t="n">
        <x:v>37659</x:v>
      </x:c>
      <x:c r="E4746" s="18" t="n">
        <x:v>21.49</x:v>
      </x:c>
      <x:c r="F4746" s="18" t="n">
        <x:v>10.51</x:v>
      </x:c>
      <x:c r="G4746" t="n">
        <x:v>36</x:v>
      </x:c>
      <x:c r="H4746" t="str">
        <x:v>B</x:v>
      </x:c>
      <x:c r="I4746" t="str">
        <x:v>10+ years</x:v>
      </x:c>
      <x:c r="J4746" t="str">
        <x:v>OWN</x:v>
      </x:c>
      <x:c r="K4746" t="str">
        <x:v>other</x:v>
      </x:c>
      <x:c r="L4746" t="n">
        <x:v>0</x:v>
      </x:c>
      <x:c r="M4746" t="n">
        <x:v>0</x:v>
      </x:c>
      <x:c r="N4746" t="str">
        <x:v>Fully Paid</x:v>
      </x:c>
      <x:c r="O4746" t="str">
        <x:f>IF(D4746="","Unknown",IF(D4746&lt;25000,"&lt;$25k",IF(D4746&lt;50000,"$25k-$50k",IF(D4746&lt;75000,"$50k-$75k",IF(D4746&lt;100000,"$75k-$100k","$100k+")))))</x:f>
        <x:v>$25k-$50k</x:v>
      </x:c>
      <x:c r="P4746" t="str">
        <x:f>IF(E4746="","Unknown",IF(E4746&lt;10,"&lt;10",IF(E4746&lt;20,"10-&lt;20",IF(E4746&lt;25,"20-&lt;25",IF(E4746&lt;35,"25-&lt;35","35+")))))</x:f>
        <x:v>20-&lt;25</x:v>
      </x:c>
    </x:row>
    <x:row r="4747">
      <x:c r="A4747" t="str">
        <x:v>SYN0004746</x:v>
      </x:c>
      <x:c r="B4747" s="12" t="n">
        <x:v>43135</x:v>
      </x:c>
      <x:c r="C4747" s="18" t="n">
        <x:v>15332</x:v>
      </x:c>
      <x:c r="D4747" s="18" t="n">
        <x:v>41800</x:v>
      </x:c>
      <x:c r="E4747" s="18" t="n">
        <x:v>19.98</x:v>
      </x:c>
      <x:c r="F4747" s="18" t="n">
        <x:v>12.98</x:v>
      </x:c>
      <x:c r="G4747" t="n">
        <x:v>60</x:v>
      </x:c>
      <x:c r="H4747" t="str">
        <x:v>D</x:v>
      </x:c>
      <x:c r="I4747" t="str">
        <x:v>7-9 years</x:v>
      </x:c>
      <x:c r="J4747" t="str">
        <x:v>OTHER</x:v>
      </x:c>
      <x:c r="K4747" t="str">
        <x:v>debt_consolidation</x:v>
      </x:c>
      <x:c r="L4747" t="n">
        <x:v>2</x:v>
      </x:c>
      <x:c r="M4747" t="n">
        <x:v>0</x:v>
      </x:c>
      <x:c r="N4747" t="str">
        <x:v>Fully Paid</x:v>
      </x:c>
      <x:c r="O4747" t="str">
        <x:f>IF(D4747="","Unknown",IF(D4747&lt;25000,"&lt;$25k",IF(D4747&lt;50000,"$25k-$50k",IF(D4747&lt;75000,"$50k-$75k",IF(D4747&lt;100000,"$75k-$100k","$100k+")))))</x:f>
        <x:v>$25k-$50k</x:v>
      </x:c>
      <x:c r="P4747" t="str">
        <x:f>IF(E4747="","Unknown",IF(E4747&lt;10,"&lt;10",IF(E4747&lt;20,"10-&lt;20",IF(E4747&lt;25,"20-&lt;25",IF(E4747&lt;35,"25-&lt;35","35+")))))</x:f>
        <x:v>10-&lt;20</x:v>
      </x:c>
    </x:row>
    <x:row r="4748">
      <x:c r="A4748" t="str">
        <x:v>SYN0004747</x:v>
      </x:c>
      <x:c r="B4748" s="12" t="n">
        <x:v>42925</x:v>
      </x:c>
      <x:c r="C4748" s="18" t="n">
        <x:v>8654</x:v>
      </x:c>
      <x:c r="D4748" s="18" t="n">
        <x:v>42791</x:v>
      </x:c>
      <x:c r="E4748" s="18" t="n">
        <x:v>24.72</x:v>
      </x:c>
      <x:c r="F4748" s="18" t="n">
        <x:v>15.19</x:v>
      </x:c>
      <x:c r="G4748" t="n">
        <x:v>60</x:v>
      </x:c>
      <x:c r="H4748" t="str">
        <x:v>E</x:v>
      </x:c>
      <x:c r="I4748" t="str">
        <x:v>1-3 years</x:v>
      </x:c>
      <x:c r="J4748" t="str">
        <x:v>RENT</x:v>
      </x:c>
      <x:c r="K4748" t="str">
        <x:v>credit_card</x:v>
      </x:c>
      <x:c r="L4748" t="n">
        <x:v>1</x:v>
      </x:c>
      <x:c r="M4748" t="n">
        <x:v>0</x:v>
      </x:c>
      <x:c r="N4748" t="str">
        <x:v>Fully Paid</x:v>
      </x:c>
      <x:c r="O4748" t="str">
        <x:f>IF(D4748="","Unknown",IF(D4748&lt;25000,"&lt;$25k",IF(D4748&lt;50000,"$25k-$50k",IF(D4748&lt;75000,"$50k-$75k",IF(D4748&lt;100000,"$75k-$100k","$100k+")))))</x:f>
        <x:v>$25k-$50k</x:v>
      </x:c>
      <x:c r="P4748" t="str">
        <x:f>IF(E4748="","Unknown",IF(E4748&lt;10,"&lt;10",IF(E4748&lt;20,"10-&lt;20",IF(E4748&lt;25,"20-&lt;25",IF(E4748&lt;35,"25-&lt;35","35+")))))</x:f>
        <x:v>20-&lt;25</x:v>
      </x:c>
    </x:row>
    <x:row r="4749">
      <x:c r="A4749" t="str">
        <x:v>SYN0004748</x:v>
      </x:c>
      <x:c r="B4749" s="12" t="n">
        <x:v>42715</x:v>
      </x:c>
      <x:c r="C4749" s="18" t="n">
        <x:v>11935</x:v>
      </x:c>
      <x:c r="D4749" s="18" t="n">
        <x:v>56519</x:v>
      </x:c>
      <x:c r="E4749" s="18" t="n">
        <x:v>34.31</x:v>
      </x:c>
      <x:c r="F4749" s="18" t="n">
        <x:v>11.94</x:v>
      </x:c>
      <x:c r="G4749" t="n">
        <x:v>60</x:v>
      </x:c>
      <x:c r="H4749" t="str">
        <x:v>D</x:v>
      </x:c>
      <x:c r="I4749" t="str">
        <x:v>4-6 years</x:v>
      </x:c>
      <x:c r="J4749" t="str">
        <x:v>OWN</x:v>
      </x:c>
      <x:c r="K4749" t="str">
        <x:v>debt_consolidation</x:v>
      </x:c>
      <x:c r="L4749" t="n">
        <x:v>0</x:v>
      </x:c>
      <x:c r="M4749" t="n">
        <x:v>0</x:v>
      </x:c>
      <x:c r="N4749" t="str">
        <x:v>Fully Paid</x:v>
      </x:c>
      <x:c r="O4749" t="str">
        <x:f>IF(D4749="","Unknown",IF(D4749&lt;25000,"&lt;$25k",IF(D4749&lt;50000,"$25k-$50k",IF(D4749&lt;75000,"$50k-$75k",IF(D4749&lt;100000,"$75k-$100k","$100k+")))))</x:f>
        <x:v>$50k-$75k</x:v>
      </x:c>
      <x:c r="P4749" t="str">
        <x:f>IF(E4749="","Unknown",IF(E4749&lt;10,"&lt;10",IF(E4749&lt;20,"10-&lt;20",IF(E4749&lt;25,"20-&lt;25",IF(E4749&lt;35,"25-&lt;35","35+")))))</x:f>
        <x:v>25-&lt;35</x:v>
      </x:c>
    </x:row>
    <x:row r="4750">
      <x:c r="A4750" t="str">
        <x:v>SYN0004749</x:v>
      </x:c>
      <x:c r="B4750" s="12" t="n">
        <x:v>42175</x:v>
      </x:c>
      <x:c r="C4750" s="18" t="n">
        <x:v>13172</x:v>
      </x:c>
      <x:c r="D4750" s="18" t="n">
        <x:v>34993</x:v>
      </x:c>
      <x:c r="E4750" s="18" t="n">
        <x:v>23.76</x:v>
      </x:c>
      <x:c r="F4750" s="18" t="n">
        <x:v>16.25</x:v>
      </x:c>
      <x:c r="G4750" t="n">
        <x:v>36</x:v>
      </x:c>
      <x:c r="H4750" t="str">
        <x:v>D</x:v>
      </x:c>
      <x:c r="I4750" t="str">
        <x:v>7-9 years</x:v>
      </x:c>
      <x:c r="J4750" t="str">
        <x:v>MORTGAGE</x:v>
      </x:c>
      <x:c r="K4750" t="str">
        <x:v>debt_consolidation</x:v>
      </x:c>
      <x:c r="L4750" t="n">
        <x:v>0</x:v>
      </x:c>
      <x:c r="M4750" t="n">
        <x:v>0</x:v>
      </x:c>
      <x:c r="N4750" t="str">
        <x:v>Fully Paid</x:v>
      </x:c>
      <x:c r="O4750" t="str">
        <x:f>IF(D4750="","Unknown",IF(D4750&lt;25000,"&lt;$25k",IF(D4750&lt;50000,"$25k-$50k",IF(D4750&lt;75000,"$50k-$75k",IF(D4750&lt;100000,"$75k-$100k","$100k+")))))</x:f>
        <x:v>$25k-$50k</x:v>
      </x:c>
      <x:c r="P4750" t="str">
        <x:f>IF(E4750="","Unknown",IF(E4750&lt;10,"&lt;10",IF(E4750&lt;20,"10-&lt;20",IF(E4750&lt;25,"20-&lt;25",IF(E4750&lt;35,"25-&lt;35","35+")))))</x:f>
        <x:v>20-&lt;25</x:v>
      </x:c>
    </x:row>
    <x:row r="4751">
      <x:c r="A4751" t="str">
        <x:v>SYN0004750</x:v>
      </x:c>
      <x:c r="B4751" s="12" t="n">
        <x:v>43225</x:v>
      </x:c>
      <x:c r="C4751" s="18" t="n">
        <x:v>15240</x:v>
      </x:c>
      <x:c r="D4751" s="18" t="n">
        <x:v>56064</x:v>
      </x:c>
      <x:c r="E4751" s="18" t="n">
        <x:v>13.45</x:v>
      </x:c>
      <x:c r="F4751" s="18" t="n">
        <x:v>5.32</x:v>
      </x:c>
      <x:c r="G4751" t="n">
        <x:v>60</x:v>
      </x:c>
      <x:c r="H4751" t="str">
        <x:v>A</x:v>
      </x:c>
      <x:c r="I4751" t="str">
        <x:v>10+ years</x:v>
      </x:c>
      <x:c r="J4751" t="str">
        <x:v>OWN</x:v>
      </x:c>
      <x:c r="K4751" t="str">
        <x:v>credit_card</x:v>
      </x:c>
      <x:c r="L4751" t="n">
        <x:v>0</x:v>
      </x:c>
      <x:c r="M4751" t="n">
        <x:v>0</x:v>
      </x:c>
      <x:c r="N4751" t="str">
        <x:v>Fully Paid</x:v>
      </x:c>
      <x:c r="O4751" t="str">
        <x:f>IF(D4751="","Unknown",IF(D4751&lt;25000,"&lt;$25k",IF(D4751&lt;50000,"$25k-$50k",IF(D4751&lt;75000,"$50k-$75k",IF(D4751&lt;100000,"$75k-$100k","$100k+")))))</x:f>
        <x:v>$50k-$75k</x:v>
      </x:c>
      <x:c r="P4751" t="str">
        <x:f>IF(E4751="","Unknown",IF(E4751&lt;10,"&lt;10",IF(E4751&lt;20,"10-&lt;20",IF(E4751&lt;25,"20-&lt;25",IF(E4751&lt;35,"25-&lt;35","35+")))))</x:f>
        <x:v>10-&lt;20</x:v>
      </x:c>
    </x:row>
    <x:row r="4752">
      <x:c r="A4752" t="str">
        <x:v>SYN0004751</x:v>
      </x:c>
      <x:c r="B4752" s="12" t="n">
        <x:v>42325</x:v>
      </x:c>
      <x:c r="C4752" s="18" t="n">
        <x:v>9962</x:v>
      </x:c>
      <x:c r="D4752" s="18" t="n">
        <x:v>20204</x:v>
      </x:c>
      <x:c r="E4752" s="18" t="n">
        <x:v>24.36</x:v>
      </x:c>
      <x:c r="F4752" s="18" t="n">
        <x:v>19.45</x:v>
      </x:c>
      <x:c r="G4752" t="n">
        <x:v>60</x:v>
      </x:c>
      <x:c r="H4752" t="str">
        <x:v>E</x:v>
      </x:c>
      <x:c r="I4752" t="str">
        <x:v>4-6 years</x:v>
      </x:c>
      <x:c r="J4752" t="str">
        <x:v>MORTGAGE</x:v>
      </x:c>
      <x:c r="K4752" t="str">
        <x:v>home_improvement</x:v>
      </x:c>
      <x:c r="L4752" t="n">
        <x:v>0</x:v>
      </x:c>
      <x:c r="M4752" t="n">
        <x:v>1</x:v>
      </x:c>
      <x:c r="N4752" t="str">
        <x:v>Charged Off</x:v>
      </x:c>
      <x:c r="O4752" t="str">
        <x:f>IF(D4752="","Unknown",IF(D4752&lt;25000,"&lt;$25k",IF(D4752&lt;50000,"$25k-$50k",IF(D4752&lt;75000,"$50k-$75k",IF(D4752&lt;100000,"$75k-$100k","$100k+")))))</x:f>
        <x:v>&lt;$25k</x:v>
      </x:c>
      <x:c r="P4752" t="str">
        <x:f>IF(E4752="","Unknown",IF(E4752&lt;10,"&lt;10",IF(E4752&lt;20,"10-&lt;20",IF(E4752&lt;25,"20-&lt;25",IF(E4752&lt;35,"25-&lt;35","35+")))))</x:f>
        <x:v>20-&lt;25</x:v>
      </x:c>
    </x:row>
    <x:row r="4753">
      <x:c r="A4753" t="str">
        <x:v>SYN0004752</x:v>
      </x:c>
      <x:c r="B4753" s="12" t="n">
        <x:v>42445</x:v>
      </x:c>
      <x:c r="C4753" s="18" t="n">
        <x:v>28267</x:v>
      </x:c>
      <x:c r="D4753" s="18" t="n">
        <x:v>33897</x:v>
      </x:c>
      <x:c r="E4753" s="18" t="n">
        <x:v>19.42</x:v>
      </x:c>
      <x:c r="F4753" s="18" t="n">
        <x:v>10.53</x:v>
      </x:c>
      <x:c r="G4753" t="n">
        <x:v>36</x:v>
      </x:c>
      <x:c r="H4753" t="str">
        <x:v>C</x:v>
      </x:c>
      <x:c r="I4753" t="str">
        <x:v>7-9 years</x:v>
      </x:c>
      <x:c r="J4753" t="str">
        <x:v>RENT</x:v>
      </x:c>
      <x:c r="K4753" t="str">
        <x:v>major_purchase</x:v>
      </x:c>
      <x:c r="L4753" t="n">
        <x:v>0</x:v>
      </x:c>
      <x:c r="M4753" t="n">
        <x:v>0</x:v>
      </x:c>
      <x:c r="N4753" t="str">
        <x:v>Fully Paid</x:v>
      </x:c>
      <x:c r="O4753" t="str">
        <x:f>IF(D4753="","Unknown",IF(D4753&lt;25000,"&lt;$25k",IF(D4753&lt;50000,"$25k-$50k",IF(D4753&lt;75000,"$50k-$75k",IF(D4753&lt;100000,"$75k-$100k","$100k+")))))</x:f>
        <x:v>$25k-$50k</x:v>
      </x:c>
      <x:c r="P4753" t="str">
        <x:f>IF(E4753="","Unknown",IF(E4753&lt;10,"&lt;10",IF(E4753&lt;20,"10-&lt;20",IF(E4753&lt;25,"20-&lt;25",IF(E4753&lt;35,"25-&lt;35","35+")))))</x:f>
        <x:v>10-&lt;20</x:v>
      </x:c>
    </x:row>
    <x:row r="4754">
      <x:c r="A4754" t="str">
        <x:v>SYN0004753</x:v>
      </x:c>
      <x:c r="B4754" s="12" t="n">
        <x:v>42145</x:v>
      </x:c>
      <x:c r="C4754" s="18" t="n">
        <x:v>11899</x:v>
      </x:c>
      <x:c r="D4754" s="18" t="n">
        <x:v>250000</x:v>
      </x:c>
      <x:c r="E4754" s="18" t="n">
        <x:v>8.86</x:v>
      </x:c>
      <x:c r="F4754" s="18" t="n">
        <x:v>8.12</x:v>
      </x:c>
      <x:c r="G4754" t="n">
        <x:v>36</x:v>
      </x:c>
      <x:c r="H4754" t="str">
        <x:v>A</x:v>
      </x:c>
      <x:c r="I4754" t="str">
        <x:v>10+ years</x:v>
      </x:c>
      <x:c r="J4754" t="str">
        <x:v>OWN</x:v>
      </x:c>
      <x:c r="K4754" t="str">
        <x:v>debt_consolidation</x:v>
      </x:c>
      <x:c r="L4754" t="n">
        <x:v>0</x:v>
      </x:c>
      <x:c r="M4754" t="n">
        <x:v>0</x:v>
      </x:c>
      <x:c r="N4754" t="str">
        <x:v>Fully Paid</x:v>
      </x:c>
      <x:c r="O4754" t="str">
        <x:f>IF(D4754="","Unknown",IF(D4754&lt;25000,"&lt;$25k",IF(D4754&lt;50000,"$25k-$50k",IF(D4754&lt;75000,"$50k-$75k",IF(D4754&lt;100000,"$75k-$100k","$100k+")))))</x:f>
        <x:v>$100k+</x:v>
      </x:c>
      <x:c r="P4754" t="str">
        <x:f>IF(E4754="","Unknown",IF(E4754&lt;10,"&lt;10",IF(E4754&lt;20,"10-&lt;20",IF(E4754&lt;25,"20-&lt;25",IF(E4754&lt;35,"25-&lt;35","35+")))))</x:f>
        <x:v>&lt;10</x:v>
      </x:c>
    </x:row>
    <x:row r="4755">
      <x:c r="A4755" t="str">
        <x:v>SYN0004754</x:v>
      </x:c>
      <x:c r="B4755" s="12" t="n">
        <x:v>42745</x:v>
      </x:c>
      <x:c r="C4755" s="18" t="n">
        <x:v>14740</x:v>
      </x:c>
      <x:c r="D4755" s="18" t="n">
        <x:v>140080</x:v>
      </x:c>
      <x:c r="E4755" s="18" t="n">
        <x:v>18.57</x:v>
      </x:c>
      <x:c r="F4755" s="18" t="n">
        <x:v>11.18</x:v>
      </x:c>
      <x:c r="G4755" t="n">
        <x:v>36</x:v>
      </x:c>
      <x:c r="H4755" t="str">
        <x:v>C</x:v>
      </x:c>
      <x:c r="I4755" t="str">
        <x:v>10+ years</x:v>
      </x:c>
      <x:c r="J4755" t="str">
        <x:v>OTHER</x:v>
      </x:c>
      <x:c r="K4755" t="str">
        <x:v>medical</x:v>
      </x:c>
      <x:c r="L4755" t="n">
        <x:v>0</x:v>
      </x:c>
      <x:c r="M4755" t="n">
        <x:v>0</x:v>
      </x:c>
      <x:c r="N4755" t="str">
        <x:v>Fully Paid</x:v>
      </x:c>
      <x:c r="O4755" t="str">
        <x:f>IF(D4755="","Unknown",IF(D4755&lt;25000,"&lt;$25k",IF(D4755&lt;50000,"$25k-$50k",IF(D4755&lt;75000,"$50k-$75k",IF(D4755&lt;100000,"$75k-$100k","$100k+")))))</x:f>
        <x:v>$100k+</x:v>
      </x:c>
      <x:c r="P4755" t="str">
        <x:f>IF(E4755="","Unknown",IF(E4755&lt;10,"&lt;10",IF(E4755&lt;20,"10-&lt;20",IF(E4755&lt;25,"20-&lt;25",IF(E4755&lt;35,"25-&lt;35","35+")))))</x:f>
        <x:v>10-&lt;20</x:v>
      </x:c>
    </x:row>
    <x:row r="4756">
      <x:c r="A4756" t="str">
        <x:v>SYN0004755</x:v>
      </x:c>
      <x:c r="B4756" s="12" t="n">
        <x:v>41695</x:v>
      </x:c>
      <x:c r="C4756" s="18" t="n">
        <x:v>9855</x:v>
      </x:c>
      <x:c r="D4756" s="18" t="n">
        <x:v>33091</x:v>
      </x:c>
      <x:c r="E4756" s="18" t="n">
        <x:v>34.59</x:v>
      </x:c>
      <x:c r="F4756" s="18" t="n">
        <x:v>17.48</x:v>
      </x:c>
      <x:c r="G4756" t="n">
        <x:v>36</x:v>
      </x:c>
      <x:c r="H4756" t="str">
        <x:v>E</x:v>
      </x:c>
      <x:c r="I4756" t="str">
        <x:v>4-6 years</x:v>
      </x:c>
      <x:c r="J4756" t="str">
        <x:v>MORTGAGE</x:v>
      </x:c>
      <x:c r="K4756" t="str">
        <x:v>debt_consolidation</x:v>
      </x:c>
      <x:c r="L4756" t="n">
        <x:v>1</x:v>
      </x:c>
      <x:c r="M4756" t="n">
        <x:v>0</x:v>
      </x:c>
      <x:c r="N4756" t="str">
        <x:v>Fully Paid</x:v>
      </x:c>
      <x:c r="O4756" t="str">
        <x:f>IF(D4756="","Unknown",IF(D4756&lt;25000,"&lt;$25k",IF(D4756&lt;50000,"$25k-$50k",IF(D4756&lt;75000,"$50k-$75k",IF(D4756&lt;100000,"$75k-$100k","$100k+")))))</x:f>
        <x:v>$25k-$50k</x:v>
      </x:c>
      <x:c r="P4756" t="str">
        <x:f>IF(E4756="","Unknown",IF(E4756&lt;10,"&lt;10",IF(E4756&lt;20,"10-&lt;20",IF(E4756&lt;25,"20-&lt;25",IF(E4756&lt;35,"25-&lt;35","35+")))))</x:f>
        <x:v>25-&lt;35</x:v>
      </x:c>
    </x:row>
    <x:row r="4757">
      <x:c r="A4757" t="str">
        <x:v>SYN0004756</x:v>
      </x:c>
      <x:c r="B4757" s="12" t="n">
        <x:v>43375</x:v>
      </x:c>
      <x:c r="C4757" s="18" t="n">
        <x:v>40000</x:v>
      </x:c>
      <x:c r="D4757" s="18" t="n">
        <x:v>48749</x:v>
      </x:c>
      <x:c r="E4757" s="18" t="n">
        <x:v>15.7</x:v>
      </x:c>
      <x:c r="F4757" s="18" t="n">
        <x:v>7.58</x:v>
      </x:c>
      <x:c r="G4757" t="n">
        <x:v>36</x:v>
      </x:c>
      <x:c r="H4757" t="str">
        <x:v>B</x:v>
      </x:c>
      <x:c r="I4757" t="str">
        <x:v>&lt;1 year</x:v>
      </x:c>
      <x:c r="J4757" t="str">
        <x:v>MORTGAGE</x:v>
      </x:c>
      <x:c r="K4757" t="str">
        <x:v>credit_card</x:v>
      </x:c>
      <x:c r="L4757" t="n">
        <x:v>0</x:v>
      </x:c>
      <x:c r="M4757" t="n">
        <x:v>0</x:v>
      </x:c>
      <x:c r="N4757" t="str">
        <x:v>Fully Paid</x:v>
      </x:c>
      <x:c r="O4757" t="str">
        <x:f>IF(D4757="","Unknown",IF(D4757&lt;25000,"&lt;$25k",IF(D4757&lt;50000,"$25k-$50k",IF(D4757&lt;75000,"$50k-$75k",IF(D4757&lt;100000,"$75k-$100k","$100k+")))))</x:f>
        <x:v>$25k-$50k</x:v>
      </x:c>
      <x:c r="P4757" t="str">
        <x:f>IF(E4757="","Unknown",IF(E4757&lt;10,"&lt;10",IF(E4757&lt;20,"10-&lt;20",IF(E4757&lt;25,"20-&lt;25",IF(E4757&lt;35,"25-&lt;35","35+")))))</x:f>
        <x:v>10-&lt;20</x:v>
      </x:c>
    </x:row>
    <x:row r="4758">
      <x:c r="A4758" t="str">
        <x:v>SYN0004757</x:v>
      </x:c>
      <x:c r="B4758" s="12" t="n">
        <x:v>43255</x:v>
      </x:c>
      <x:c r="C4758" s="18" t="n">
        <x:v>8666</x:v>
      </x:c>
      <x:c r="D4758" s="18" t="n">
        <x:v>43849</x:v>
      </x:c>
      <x:c r="E4758" s="18" t="n">
        <x:v>16.05</x:v>
      </x:c>
      <x:c r="F4758" s="18" t="n">
        <x:v>19.42</x:v>
      </x:c>
      <x:c r="G4758" t="n">
        <x:v>36</x:v>
      </x:c>
      <x:c r="H4758" t="str">
        <x:v>F</x:v>
      </x:c>
      <x:c r="I4758" t="str">
        <x:v>&lt;1 year</x:v>
      </x:c>
      <x:c r="J4758" t="str">
        <x:v>MORTGAGE</x:v>
      </x:c>
      <x:c r="K4758" t="str">
        <x:v>home_improvement</x:v>
      </x:c>
      <x:c r="L4758" t="n">
        <x:v>2</x:v>
      </x:c>
      <x:c r="M4758" t="n">
        <x:v>1</x:v>
      </x:c>
      <x:c r="N4758" t="str">
        <x:v>Charged Off</x:v>
      </x:c>
      <x:c r="O4758" t="str">
        <x:f>IF(D4758="","Unknown",IF(D4758&lt;25000,"&lt;$25k",IF(D4758&lt;50000,"$25k-$50k",IF(D4758&lt;75000,"$50k-$75k",IF(D4758&lt;100000,"$75k-$100k","$100k+")))))</x:f>
        <x:v>$25k-$50k</x:v>
      </x:c>
      <x:c r="P4758" t="str">
        <x:f>IF(E4758="","Unknown",IF(E4758&lt;10,"&lt;10",IF(E4758&lt;20,"10-&lt;20",IF(E4758&lt;25,"20-&lt;25",IF(E4758&lt;35,"25-&lt;35","35+")))))</x:f>
        <x:v>10-&lt;20</x:v>
      </x:c>
    </x:row>
    <x:row r="4759">
      <x:c r="A4759" t="str">
        <x:v>SYN0004758</x:v>
      </x:c>
      <x:c r="B4759" s="12" t="n">
        <x:v>42835</x:v>
      </x:c>
      <x:c r="C4759" s="18" t="n">
        <x:v>18755</x:v>
      </x:c>
      <x:c r="D4759" s="18" t="n">
        <x:v>186107</x:v>
      </x:c>
      <x:c r="E4759" s="18" t="n">
        <x:v>12.82</x:v>
      </x:c>
      <x:c r="F4759" s="18" t="n">
        <x:v>6.48</x:v>
      </x:c>
      <x:c r="G4759" t="n">
        <x:v>36</x:v>
      </x:c>
      <x:c r="H4759" t="str">
        <x:v>B</x:v>
      </x:c>
      <x:c r="I4759" t="str">
        <x:v>1-3 years</x:v>
      </x:c>
      <x:c r="J4759" t="str">
        <x:v>OTHER</x:v>
      </x:c>
      <x:c r="K4759" t="str">
        <x:v>debt_consolidation</x:v>
      </x:c>
      <x:c r="L4759" t="n">
        <x:v>0</x:v>
      </x:c>
      <x:c r="M4759" t="n">
        <x:v>0</x:v>
      </x:c>
      <x:c r="N4759" t="str">
        <x:v>Fully Paid</x:v>
      </x:c>
      <x:c r="O4759" t="str">
        <x:f>IF(D4759="","Unknown",IF(D4759&lt;25000,"&lt;$25k",IF(D4759&lt;50000,"$25k-$50k",IF(D4759&lt;75000,"$50k-$75k",IF(D4759&lt;100000,"$75k-$100k","$100k+")))))</x:f>
        <x:v>$100k+</x:v>
      </x:c>
      <x:c r="P4759" t="str">
        <x:f>IF(E4759="","Unknown",IF(E4759&lt;10,"&lt;10",IF(E4759&lt;20,"10-&lt;20",IF(E4759&lt;25,"20-&lt;25",IF(E4759&lt;35,"25-&lt;35","35+")))))</x:f>
        <x:v>10-&lt;20</x:v>
      </x:c>
    </x:row>
    <x:row r="4760">
      <x:c r="A4760" t="str">
        <x:v>SYN0004759</x:v>
      </x:c>
      <x:c r="B4760" s="12" t="n">
        <x:v>42145</x:v>
      </x:c>
      <x:c r="C4760" s="18" t="n">
        <x:v>11241</x:v>
      </x:c>
      <x:c r="D4760" s="18" t="n">
        <x:v>23610</x:v>
      </x:c>
      <x:c r="E4760" s="18" t="n">
        <x:v>22.61</x:v>
      </x:c>
      <x:c r="F4760" s="18" t="n">
        <x:v>16.61</x:v>
      </x:c>
      <x:c r="G4760" t="n">
        <x:v>36</x:v>
      </x:c>
      <x:c r="H4760" t="str">
        <x:v>E</x:v>
      </x:c>
      <x:c r="I4760" t="str">
        <x:v>4-6 years</x:v>
      </x:c>
      <x:c r="J4760" t="str">
        <x:v>MORTGAGE</x:v>
      </x:c>
      <x:c r="K4760" t="str">
        <x:v>other</x:v>
      </x:c>
      <x:c r="L4760" t="n">
        <x:v>2</x:v>
      </x:c>
      <x:c r="M4760" t="n">
        <x:v>0</x:v>
      </x:c>
      <x:c r="N4760" t="str">
        <x:v>Fully Paid</x:v>
      </x:c>
      <x:c r="O4760" t="str">
        <x:f>IF(D4760="","Unknown",IF(D4760&lt;25000,"&lt;$25k",IF(D4760&lt;50000,"$25k-$50k",IF(D4760&lt;75000,"$50k-$75k",IF(D4760&lt;100000,"$75k-$100k","$100k+")))))</x:f>
        <x:v>&lt;$25k</x:v>
      </x:c>
      <x:c r="P4760" t="str">
        <x:f>IF(E4760="","Unknown",IF(E4760&lt;10,"&lt;10",IF(E4760&lt;20,"10-&lt;20",IF(E4760&lt;25,"20-&lt;25",IF(E4760&lt;35,"25-&lt;35","35+")))))</x:f>
        <x:v>20-&lt;25</x:v>
      </x:c>
    </x:row>
    <x:row r="4761">
      <x:c r="A4761" t="str">
        <x:v>SYN0004760</x:v>
      </x:c>
      <x:c r="B4761" s="12" t="n">
        <x:v>42445</x:v>
      </x:c>
      <x:c r="C4761" s="18" t="n">
        <x:v>15060</x:v>
      </x:c>
      <x:c r="D4761" s="18" t="n">
        <x:v>72176</x:v>
      </x:c>
      <x:c r="E4761" s="18" t="n">
        <x:v>39.55</x:v>
      </x:c>
      <x:c r="F4761" s="18" t="n">
        <x:v>7.66</x:v>
      </x:c>
      <x:c r="G4761" t="n">
        <x:v>36</x:v>
      </x:c>
      <x:c r="H4761" t="str">
        <x:v>B</x:v>
      </x:c>
      <x:c r="I4761" t="str">
        <x:v>1-3 years</x:v>
      </x:c>
      <x:c r="J4761" t="str">
        <x:v>MORTGAGE</x:v>
      </x:c>
      <x:c r="K4761" t="str">
        <x:v>major_purchase</x:v>
      </x:c>
      <x:c r="L4761" t="n">
        <x:v>1</x:v>
      </x:c>
      <x:c r="M4761" t="n">
        <x:v>0</x:v>
      </x:c>
      <x:c r="N4761" t="str">
        <x:v>Fully Paid</x:v>
      </x:c>
      <x:c r="O4761" t="str">
        <x:f>IF(D4761="","Unknown",IF(D4761&lt;25000,"&lt;$25k",IF(D4761&lt;50000,"$25k-$50k",IF(D4761&lt;75000,"$50k-$75k",IF(D4761&lt;100000,"$75k-$100k","$100k+")))))</x:f>
        <x:v>$50k-$75k</x:v>
      </x:c>
      <x:c r="P4761" t="str">
        <x:f>IF(E4761="","Unknown",IF(E4761&lt;10,"&lt;10",IF(E4761&lt;20,"10-&lt;20",IF(E4761&lt;25,"20-&lt;25",IF(E4761&lt;35,"25-&lt;35","35+")))))</x:f>
        <x:v>35+</x:v>
      </x:c>
    </x:row>
    <x:row r="4762">
      <x:c r="A4762" t="str">
        <x:v>SYN0004761</x:v>
      </x:c>
      <x:c r="B4762" s="12" t="n">
        <x:v>43375</x:v>
      </x:c>
      <x:c r="C4762" s="18" t="n">
        <x:v>12397</x:v>
      </x:c>
      <x:c r="D4762" s="18" t="n">
        <x:v>41388</x:v>
      </x:c>
      <x:c r="E4762" s="18" t="n">
        <x:v>18.24</x:v>
      </x:c>
      <x:c r="F4762" s="18" t="n">
        <x:v>17.65</x:v>
      </x:c>
      <x:c r="G4762" t="n">
        <x:v>36</x:v>
      </x:c>
      <x:c r="H4762" t="str">
        <x:v>E</x:v>
      </x:c>
      <x:c r="I4762" t="str">
        <x:v>10+ years</x:v>
      </x:c>
      <x:c r="J4762" t="str">
        <x:v>RENT</x:v>
      </x:c>
      <x:c r="K4762" t="str">
        <x:v>debt_consolidation</x:v>
      </x:c>
      <x:c r="L4762" t="n">
        <x:v>1</x:v>
      </x:c>
      <x:c r="M4762" t="n">
        <x:v>0</x:v>
      </x:c>
      <x:c r="N4762" t="str">
        <x:v>Fully Paid</x:v>
      </x:c>
      <x:c r="O4762" t="str">
        <x:f>IF(D4762="","Unknown",IF(D4762&lt;25000,"&lt;$25k",IF(D4762&lt;50000,"$25k-$50k",IF(D4762&lt;75000,"$50k-$75k",IF(D4762&lt;100000,"$75k-$100k","$100k+")))))</x:f>
        <x:v>$25k-$50k</x:v>
      </x:c>
      <x:c r="P4762" t="str">
        <x:f>IF(E4762="","Unknown",IF(E4762&lt;10,"&lt;10",IF(E4762&lt;20,"10-&lt;20",IF(E4762&lt;25,"20-&lt;25",IF(E4762&lt;35,"25-&lt;35","35+")))))</x:f>
        <x:v>10-&lt;20</x:v>
      </x:c>
    </x:row>
    <x:row r="4763">
      <x:c r="A4763" t="str">
        <x:v>SYN0004762</x:v>
      </x:c>
      <x:c r="B4763" s="12" t="n">
        <x:v>42625</x:v>
      </x:c>
      <x:c r="C4763" s="18" t="n">
        <x:v>18574</x:v>
      </x:c>
      <x:c r="D4763" s="18" t="n">
        <x:v>21018</x:v>
      </x:c>
      <x:c r="E4763" s="18" t="n">
        <x:v>13.32</x:v>
      </x:c>
      <x:c r="F4763" s="18" t="n">
        <x:v>6.08</x:v>
      </x:c>
      <x:c r="G4763" t="n">
        <x:v>36</x:v>
      </x:c>
      <x:c r="H4763" t="str">
        <x:v>B</x:v>
      </x:c>
      <x:c r="I4763" t="str">
        <x:v>1-3 years</x:v>
      </x:c>
      <x:c r="J4763" t="str">
        <x:v>MORTGAGE</x:v>
      </x:c>
      <x:c r="K4763" t="str">
        <x:v>debt_consolidation</x:v>
      </x:c>
      <x:c r="L4763" t="n">
        <x:v>0</x:v>
      </x:c>
      <x:c r="M4763" t="n">
        <x:v>0</x:v>
      </x:c>
      <x:c r="N4763" t="str">
        <x:v>Fully Paid</x:v>
      </x:c>
      <x:c r="O4763" t="str">
        <x:f>IF(D4763="","Unknown",IF(D4763&lt;25000,"&lt;$25k",IF(D4763&lt;50000,"$25k-$50k",IF(D4763&lt;75000,"$50k-$75k",IF(D4763&lt;100000,"$75k-$100k","$100k+")))))</x:f>
        <x:v>&lt;$25k</x:v>
      </x:c>
      <x:c r="P4763" t="str">
        <x:f>IF(E4763="","Unknown",IF(E4763&lt;10,"&lt;10",IF(E4763&lt;20,"10-&lt;20",IF(E4763&lt;25,"20-&lt;25",IF(E4763&lt;35,"25-&lt;35","35+")))))</x:f>
        <x:v>10-&lt;20</x:v>
      </x:c>
    </x:row>
    <x:row r="4764">
      <x:c r="A4764" t="str">
        <x:v>SYN0004763</x:v>
      </x:c>
      <x:c r="B4764" s="12" t="n">
        <x:v>41725</x:v>
      </x:c>
      <x:c r="C4764" s="18" t="n">
        <x:v>19095</x:v>
      </x:c>
      <x:c r="D4764" s="18" t="n">
        <x:v>39759</x:v>
      </x:c>
      <x:c r="E4764" s="18" t="n">
        <x:v>27.58</x:v>
      </x:c>
      <x:c r="F4764" s="18" t="n">
        <x:v>6.66</x:v>
      </x:c>
      <x:c r="G4764" t="n">
        <x:v>36</x:v>
      </x:c>
      <x:c r="H4764" t="str">
        <x:v>A</x:v>
      </x:c>
      <x:c r="I4764" t="str">
        <x:v>10+ years</x:v>
      </x:c>
      <x:c r="J4764" t="str">
        <x:v>OTHER</x:v>
      </x:c>
      <x:c r="K4764" t="str">
        <x:v>debt_consolidation</x:v>
      </x:c>
      <x:c r="L4764" t="n">
        <x:v>0</x:v>
      </x:c>
      <x:c r="M4764" t="n">
        <x:v>0</x:v>
      </x:c>
      <x:c r="N4764" t="str">
        <x:v>Fully Paid</x:v>
      </x:c>
      <x:c r="O4764" t="str">
        <x:f>IF(D4764="","Unknown",IF(D4764&lt;25000,"&lt;$25k",IF(D4764&lt;50000,"$25k-$50k",IF(D4764&lt;75000,"$50k-$75k",IF(D4764&lt;100000,"$75k-$100k","$100k+")))))</x:f>
        <x:v>$25k-$50k</x:v>
      </x:c>
      <x:c r="P4764" t="str">
        <x:f>IF(E4764="","Unknown",IF(E4764&lt;10,"&lt;10",IF(E4764&lt;20,"10-&lt;20",IF(E4764&lt;25,"20-&lt;25",IF(E4764&lt;35,"25-&lt;35","35+")))))</x:f>
        <x:v>25-&lt;35</x:v>
      </x:c>
    </x:row>
    <x:row r="4765">
      <x:c r="A4765" t="str">
        <x:v>SYN0004764</x:v>
      </x:c>
      <x:c r="B4765" s="12" t="n">
        <x:v>42325</x:v>
      </x:c>
      <x:c r="C4765" s="18" t="n">
        <x:v>11322</x:v>
      </x:c>
      <x:c r="D4765" s="18" t="n">
        <x:v>16792</x:v>
      </x:c>
      <x:c r="E4765" s="18" t="n">
        <x:v>10.5</x:v>
      </x:c>
      <x:c r="F4765" s="18" t="n">
        <x:v>6</x:v>
      </x:c>
      <x:c r="G4765" t="n">
        <x:v>36</x:v>
      </x:c>
      <x:c r="H4765" t="str">
        <x:v>A</x:v>
      </x:c>
      <x:c r="I4765" t="str">
        <x:v>1-3 years</x:v>
      </x:c>
      <x:c r="J4765" t="str">
        <x:v>MORTGAGE</x:v>
      </x:c>
      <x:c r="K4765" t="str">
        <x:v>debt_consolidation</x:v>
      </x:c>
      <x:c r="L4765" t="n">
        <x:v>1</x:v>
      </x:c>
      <x:c r="M4765" t="n">
        <x:v>0</x:v>
      </x:c>
      <x:c r="N4765" t="str">
        <x:v>Fully Paid</x:v>
      </x:c>
      <x:c r="O4765" t="str">
        <x:f>IF(D4765="","Unknown",IF(D4765&lt;25000,"&lt;$25k",IF(D4765&lt;50000,"$25k-$50k",IF(D4765&lt;75000,"$50k-$75k",IF(D4765&lt;100000,"$75k-$100k","$100k+")))))</x:f>
        <x:v>&lt;$25k</x:v>
      </x:c>
      <x:c r="P4765" t="str">
        <x:f>IF(E4765="","Unknown",IF(E4765&lt;10,"&lt;10",IF(E4765&lt;20,"10-&lt;20",IF(E4765&lt;25,"20-&lt;25",IF(E4765&lt;35,"25-&lt;35","35+")))))</x:f>
        <x:v>10-&lt;20</x:v>
      </x:c>
    </x:row>
    <x:row r="4766">
      <x:c r="A4766" t="str">
        <x:v>SYN0004765</x:v>
      </x:c>
      <x:c r="B4766" s="12" t="n">
        <x:v>43135</x:v>
      </x:c>
      <x:c r="C4766" s="18" t="n">
        <x:v>10932</x:v>
      </x:c>
      <x:c r="D4766" s="18" t="n">
        <x:v>168462</x:v>
      </x:c>
      <x:c r="E4766" s="18" t="n">
        <x:v>29.74</x:v>
      </x:c>
      <x:c r="F4766" s="18" t="n">
        <x:v>10.74</x:v>
      </x:c>
      <x:c r="G4766" t="n">
        <x:v>60</x:v>
      </x:c>
      <x:c r="H4766" t="str">
        <x:v>C</x:v>
      </x:c>
      <x:c r="I4766" t="str">
        <x:v>10+ years</x:v>
      </x:c>
      <x:c r="J4766" t="str">
        <x:v>MORTGAGE</x:v>
      </x:c>
      <x:c r="K4766" t="str">
        <x:v>debt_consolidation</x:v>
      </x:c>
      <x:c r="L4766" t="n">
        <x:v>3</x:v>
      </x:c>
      <x:c r="M4766" t="n">
        <x:v>0</x:v>
      </x:c>
      <x:c r="N4766" t="str">
        <x:v>Fully Paid</x:v>
      </x:c>
      <x:c r="O4766" t="str">
        <x:f>IF(D4766="","Unknown",IF(D4766&lt;25000,"&lt;$25k",IF(D4766&lt;50000,"$25k-$50k",IF(D4766&lt;75000,"$50k-$75k",IF(D4766&lt;100000,"$75k-$100k","$100k+")))))</x:f>
        <x:v>$100k+</x:v>
      </x:c>
      <x:c r="P4766" t="str">
        <x:f>IF(E4766="","Unknown",IF(E4766&lt;10,"&lt;10",IF(E4766&lt;20,"10-&lt;20",IF(E4766&lt;25,"20-&lt;25",IF(E4766&lt;35,"25-&lt;35","35+")))))</x:f>
        <x:v>25-&lt;35</x:v>
      </x:c>
    </x:row>
    <x:row r="4767">
      <x:c r="A4767" t="str">
        <x:v>SYN0004766</x:v>
      </x:c>
      <x:c r="B4767" s="12" t="n">
        <x:v>43375</x:v>
      </x:c>
      <x:c r="C4767" s="18" t="n">
        <x:v>18748</x:v>
      </x:c>
      <x:c r="D4767" s="18" t="n">
        <x:v>107551</x:v>
      </x:c>
      <x:c r="E4767" s="18" t="n">
        <x:v>12.65</x:v>
      </x:c>
      <x:c r="F4767" s="18" t="n">
        <x:v>16.1</x:v>
      </x:c>
      <x:c r="G4767" t="n">
        <x:v>36</x:v>
      </x:c>
      <x:c r="H4767" t="str">
        <x:v>E</x:v>
      </x:c>
      <x:c r="I4767" t="str">
        <x:v>7-9 years</x:v>
      </x:c>
      <x:c r="J4767" t="str">
        <x:v>MORTGAGE</x:v>
      </x:c>
      <x:c r="K4767" t="str">
        <x:v>credit_card</x:v>
      </x:c>
      <x:c r="L4767" t="n">
        <x:v>0</x:v>
      </x:c>
      <x:c r="M4767" t="n">
        <x:v>0</x:v>
      </x:c>
      <x:c r="N4767" t="str">
        <x:v>Fully Paid</x:v>
      </x:c>
      <x:c r="O4767" t="str">
        <x:f>IF(D4767="","Unknown",IF(D4767&lt;25000,"&lt;$25k",IF(D4767&lt;50000,"$25k-$50k",IF(D4767&lt;75000,"$50k-$75k",IF(D4767&lt;100000,"$75k-$100k","$100k+")))))</x:f>
        <x:v>$100k+</x:v>
      </x:c>
      <x:c r="P4767" t="str">
        <x:f>IF(E4767="","Unknown",IF(E4767&lt;10,"&lt;10",IF(E4767&lt;20,"10-&lt;20",IF(E4767&lt;25,"20-&lt;25",IF(E4767&lt;35,"25-&lt;35","35+")))))</x:f>
        <x:v>10-&lt;20</x:v>
      </x:c>
    </x:row>
    <x:row r="4768">
      <x:c r="A4768" t="str">
        <x:v>SYN0004767</x:v>
      </x:c>
      <x:c r="B4768" s="12" t="n">
        <x:v>41305</x:v>
      </x:c>
      <x:c r="C4768" s="18" t="n">
        <x:v>8749</x:v>
      </x:c>
      <x:c r="D4768" s="18" t="n">
        <x:v>29522</x:v>
      </x:c>
      <x:c r="E4768" s="18" t="n">
        <x:v>32.67</x:v>
      </x:c>
      <x:c r="F4768" s="18" t="n">
        <x:v>13.44</x:v>
      </x:c>
      <x:c r="G4768" t="n">
        <x:v>60</x:v>
      </x:c>
      <x:c r="H4768" t="str">
        <x:v>D</x:v>
      </x:c>
      <x:c r="I4768" t="str">
        <x:v>1-3 years</x:v>
      </x:c>
      <x:c r="J4768" t="str">
        <x:v>RENT</x:v>
      </x:c>
      <x:c r="K4768" t="str">
        <x:v>debt_consolidation</x:v>
      </x:c>
      <x:c r="L4768" t="n">
        <x:v>0</x:v>
      </x:c>
      <x:c r="M4768" t="n">
        <x:v>0</x:v>
      </x:c>
      <x:c r="N4768" t="str">
        <x:v>Fully Paid</x:v>
      </x:c>
      <x:c r="O4768" t="str">
        <x:f>IF(D4768="","Unknown",IF(D4768&lt;25000,"&lt;$25k",IF(D4768&lt;50000,"$25k-$50k",IF(D4768&lt;75000,"$50k-$75k",IF(D4768&lt;100000,"$75k-$100k","$100k+")))))</x:f>
        <x:v>$25k-$50k</x:v>
      </x:c>
      <x:c r="P4768" t="str">
        <x:f>IF(E4768="","Unknown",IF(E4768&lt;10,"&lt;10",IF(E4768&lt;20,"10-&lt;20",IF(E4768&lt;25,"20-&lt;25",IF(E4768&lt;35,"25-&lt;35","35+")))))</x:f>
        <x:v>25-&lt;35</x:v>
      </x:c>
    </x:row>
    <x:row r="4769">
      <x:c r="A4769" t="str">
        <x:v>SYN0004768</x:v>
      </x:c>
      <x:c r="B4769" s="12" t="n">
        <x:v>43225</x:v>
      </x:c>
      <x:c r="C4769" s="18" t="n">
        <x:v>5563</x:v>
      </x:c>
      <x:c r="D4769" s="18" t="n">
        <x:v>71097</x:v>
      </x:c>
      <x:c r="E4769" s="18" t="n">
        <x:v>20.35</x:v>
      </x:c>
      <x:c r="F4769" s="18" t="n">
        <x:v>24.63</x:v>
      </x:c>
      <x:c r="G4769" t="n">
        <x:v>36</x:v>
      </x:c>
      <x:c r="H4769" t="str">
        <x:v>G</x:v>
      </x:c>
      <x:c r="I4769" t="str">
        <x:v>10+ years</x:v>
      </x:c>
      <x:c r="J4769" t="str">
        <x:v>MORTGAGE</x:v>
      </x:c>
      <x:c r="K4769" t="str">
        <x:v>debt_consolidation</x:v>
      </x:c>
      <x:c r="L4769" t="n">
        <x:v>0</x:v>
      </x:c>
      <x:c r="M4769" t="n">
        <x:v>1</x:v>
      </x:c>
      <x:c r="N4769" t="str">
        <x:v>Charged Off</x:v>
      </x:c>
      <x:c r="O4769" t="str">
        <x:f>IF(D4769="","Unknown",IF(D4769&lt;25000,"&lt;$25k",IF(D4769&lt;50000,"$25k-$50k",IF(D4769&lt;75000,"$50k-$75k",IF(D4769&lt;100000,"$75k-$100k","$100k+")))))</x:f>
        <x:v>$50k-$75k</x:v>
      </x:c>
      <x:c r="P4769" t="str">
        <x:f>IF(E4769="","Unknown",IF(E4769&lt;10,"&lt;10",IF(E4769&lt;20,"10-&lt;20",IF(E4769&lt;25,"20-&lt;25",IF(E4769&lt;35,"25-&lt;35","35+")))))</x:f>
        <x:v>20-&lt;25</x:v>
      </x:c>
    </x:row>
    <x:row r="4770">
      <x:c r="A4770" t="str">
        <x:v>SYN0004769</x:v>
      </x:c>
      <x:c r="B4770" s="12" t="n">
        <x:v>43045</x:v>
      </x:c>
      <x:c r="C4770" s="18" t="n">
        <x:v>11846</x:v>
      </x:c>
      <x:c r="D4770" s="18" t="n">
        <x:v>41973</x:v>
      </x:c>
      <x:c r="E4770" s="18" t="n">
        <x:v>22.17</x:v>
      </x:c>
      <x:c r="F4770" s="18" t="n">
        <x:v>5.84</x:v>
      </x:c>
      <x:c r="G4770" t="n">
        <x:v>36</x:v>
      </x:c>
      <x:c r="H4770" t="str">
        <x:v>A</x:v>
      </x:c>
      <x:c r="I4770" t="str">
        <x:v>1-3 years</x:v>
      </x:c>
      <x:c r="J4770" t="str">
        <x:v>RENT</x:v>
      </x:c>
      <x:c r="K4770" t="str">
        <x:v>debt_consolidation</x:v>
      </x:c>
      <x:c r="L4770" t="n">
        <x:v>2</x:v>
      </x:c>
      <x:c r="M4770" t="n">
        <x:v>0</x:v>
      </x:c>
      <x:c r="N4770" t="str">
        <x:v>Fully Paid</x:v>
      </x:c>
      <x:c r="O4770" t="str">
        <x:f>IF(D4770="","Unknown",IF(D4770&lt;25000,"&lt;$25k",IF(D4770&lt;50000,"$25k-$50k",IF(D4770&lt;75000,"$50k-$75k",IF(D4770&lt;100000,"$75k-$100k","$100k+")))))</x:f>
        <x:v>$25k-$50k</x:v>
      </x:c>
      <x:c r="P4770" t="str">
        <x:f>IF(E4770="","Unknown",IF(E4770&lt;10,"&lt;10",IF(E4770&lt;20,"10-&lt;20",IF(E4770&lt;25,"20-&lt;25",IF(E4770&lt;35,"25-&lt;35","35+")))))</x:f>
        <x:v>20-&lt;25</x:v>
      </x:c>
    </x:row>
    <x:row r="4771">
      <x:c r="A4771" t="str">
        <x:v>SYN0004770</x:v>
      </x:c>
      <x:c r="B4771" s="12" t="n">
        <x:v>42655</x:v>
      </x:c>
      <x:c r="C4771" s="18" t="n">
        <x:v>10325</x:v>
      </x:c>
      <x:c r="D4771" s="18" t="n">
        <x:v>25032</x:v>
      </x:c>
      <x:c r="E4771" s="18" t="n">
        <x:v>12.07</x:v>
      </x:c>
      <x:c r="F4771" s="18" t="n">
        <x:v>10.41</x:v>
      </x:c>
      <x:c r="G4771" t="n">
        <x:v>60</x:v>
      </x:c>
      <x:c r="H4771" t="str">
        <x:v>C</x:v>
      </x:c>
      <x:c r="I4771" t="str">
        <x:v>4-6 years</x:v>
      </x:c>
      <x:c r="J4771" t="str">
        <x:v>RENT</x:v>
      </x:c>
      <x:c r="K4771" t="str">
        <x:v>credit_card</x:v>
      </x:c>
      <x:c r="L4771" t="n">
        <x:v>1</x:v>
      </x:c>
      <x:c r="M4771" t="n">
        <x:v>0</x:v>
      </x:c>
      <x:c r="N4771" t="str">
        <x:v>Fully Paid</x:v>
      </x:c>
      <x:c r="O4771" t="str">
        <x:f>IF(D4771="","Unknown",IF(D4771&lt;25000,"&lt;$25k",IF(D4771&lt;50000,"$25k-$50k",IF(D4771&lt;75000,"$50k-$75k",IF(D4771&lt;100000,"$75k-$100k","$100k+")))))</x:f>
        <x:v>$25k-$50k</x:v>
      </x:c>
      <x:c r="P4771" t="str">
        <x:f>IF(E4771="","Unknown",IF(E4771&lt;10,"&lt;10",IF(E4771&lt;20,"10-&lt;20",IF(E4771&lt;25,"20-&lt;25",IF(E4771&lt;35,"25-&lt;35","35+")))))</x:f>
        <x:v>10-&lt;20</x:v>
      </x:c>
    </x:row>
    <x:row r="4772">
      <x:c r="A4772" t="str">
        <x:v>SYN0004771</x:v>
      </x:c>
      <x:c r="B4772" s="12" t="n">
        <x:v>41515</x:v>
      </x:c>
      <x:c r="C4772" s="18" t="n">
        <x:v>14723</x:v>
      </x:c>
      <x:c r="D4772" s="18" t="n">
        <x:v>65079</x:v>
      </x:c>
      <x:c r="E4772" s="18" t="n">
        <x:v>18.41</x:v>
      </x:c>
      <x:c r="F4772" s="18" t="n">
        <x:v>5.13</x:v>
      </x:c>
      <x:c r="G4772" t="n">
        <x:v>36</x:v>
      </x:c>
      <x:c r="H4772" t="str">
        <x:v>A</x:v>
      </x:c>
      <x:c r="I4772" t="str">
        <x:v>10+ years</x:v>
      </x:c>
      <x:c r="J4772" t="str">
        <x:v>OWN</x:v>
      </x:c>
      <x:c r="K4772" t="str">
        <x:v>debt_consolidation</x:v>
      </x:c>
      <x:c r="L4772" t="n">
        <x:v>0</x:v>
      </x:c>
      <x:c r="M4772" t="n">
        <x:v>0</x:v>
      </x:c>
      <x:c r="N4772" t="str">
        <x:v>Fully Paid</x:v>
      </x:c>
      <x:c r="O4772" t="str">
        <x:f>IF(D4772="","Unknown",IF(D4772&lt;25000,"&lt;$25k",IF(D4772&lt;50000,"$25k-$50k",IF(D4772&lt;75000,"$50k-$75k",IF(D4772&lt;100000,"$75k-$100k","$100k+")))))</x:f>
        <x:v>$50k-$75k</x:v>
      </x:c>
      <x:c r="P4772" t="str">
        <x:f>IF(E4772="","Unknown",IF(E4772&lt;10,"&lt;10",IF(E4772&lt;20,"10-&lt;20",IF(E4772&lt;25,"20-&lt;25",IF(E4772&lt;35,"25-&lt;35","35+")))))</x:f>
        <x:v>10-&lt;20</x:v>
      </x:c>
    </x:row>
    <x:row r="4773">
      <x:c r="A4773" t="str">
        <x:v>SYN0004772</x:v>
      </x:c>
      <x:c r="B4773" s="12" t="n">
        <x:v>42655</x:v>
      </x:c>
      <x:c r="C4773" s="18" t="n">
        <x:v>12961</x:v>
      </x:c>
      <x:c r="D4773" s="18" t="n">
        <x:v>57216</x:v>
      </x:c>
      <x:c r="E4773" s="18" t="n">
        <x:v>0.42</x:v>
      </x:c>
      <x:c r="F4773" s="18" t="n">
        <x:v>9.92</x:v>
      </x:c>
      <x:c r="G4773" t="n">
        <x:v>36</x:v>
      </x:c>
      <x:c r="H4773" t="str">
        <x:v>B</x:v>
      </x:c>
      <x:c r="I4773" t="str">
        <x:v>10+ years</x:v>
      </x:c>
      <x:c r="J4773" t="str">
        <x:v>RENT</x:v>
      </x:c>
      <x:c r="K4773" t="str">
        <x:v>credit_card</x:v>
      </x:c>
      <x:c r="L4773" t="n">
        <x:v>2</x:v>
      </x:c>
      <x:c r="M4773" t="n">
        <x:v>0</x:v>
      </x:c>
      <x:c r="N4773" t="str">
        <x:v>Fully Paid</x:v>
      </x:c>
      <x:c r="O4773" t="str">
        <x:f>IF(D4773="","Unknown",IF(D4773&lt;25000,"&lt;$25k",IF(D4773&lt;50000,"$25k-$50k",IF(D4773&lt;75000,"$50k-$75k",IF(D4773&lt;100000,"$75k-$100k","$100k+")))))</x:f>
        <x:v>$50k-$75k</x:v>
      </x:c>
      <x:c r="P4773" t="str">
        <x:f>IF(E4773="","Unknown",IF(E4773&lt;10,"&lt;10",IF(E4773&lt;20,"10-&lt;20",IF(E4773&lt;25,"20-&lt;25",IF(E4773&lt;35,"25-&lt;35","35+")))))</x:f>
        <x:v>&lt;10</x:v>
      </x:c>
    </x:row>
    <x:row r="4774">
      <x:c r="A4774" t="str">
        <x:v>SYN0004773</x:v>
      </x:c>
      <x:c r="B4774" s="12" t="n">
        <x:v>42625</x:v>
      </x:c>
      <x:c r="C4774" s="18" t="n">
        <x:v>6796</x:v>
      </x:c>
      <x:c r="D4774" s="18" t="n">
        <x:v>43896</x:v>
      </x:c>
      <x:c r="E4774" s="18" t="n">
        <x:v>20.48</x:v>
      </x:c>
      <x:c r="F4774" s="18" t="n">
        <x:v>13.94</x:v>
      </x:c>
      <x:c r="G4774" t="n">
        <x:v>36</x:v>
      </x:c>
      <x:c r="H4774" t="str">
        <x:v>D</x:v>
      </x:c>
      <x:c r="I4774" t="str">
        <x:v>7-9 years</x:v>
      </x:c>
      <x:c r="J4774" t="str">
        <x:v>MORTGAGE</x:v>
      </x:c>
      <x:c r="K4774" t="str">
        <x:v>credit_card</x:v>
      </x:c>
      <x:c r="L4774" t="n">
        <x:v>0</x:v>
      </x:c>
      <x:c r="M4774" t="n">
        <x:v>0</x:v>
      </x:c>
      <x:c r="N4774" t="str">
        <x:v>Fully Paid</x:v>
      </x:c>
      <x:c r="O4774" t="str">
        <x:f>IF(D4774="","Unknown",IF(D4774&lt;25000,"&lt;$25k",IF(D4774&lt;50000,"$25k-$50k",IF(D4774&lt;75000,"$50k-$75k",IF(D4774&lt;100000,"$75k-$100k","$100k+")))))</x:f>
        <x:v>$25k-$50k</x:v>
      </x:c>
      <x:c r="P4774" t="str">
        <x:f>IF(E4774="","Unknown",IF(E4774&lt;10,"&lt;10",IF(E4774&lt;20,"10-&lt;20",IF(E4774&lt;25,"20-&lt;25",IF(E4774&lt;35,"25-&lt;35","35+")))))</x:f>
        <x:v>20-&lt;25</x:v>
      </x:c>
    </x:row>
    <x:row r="4775">
      <x:c r="A4775" t="str">
        <x:v>SYN0004774</x:v>
      </x:c>
      <x:c r="B4775" s="12" t="n">
        <x:v>43285</x:v>
      </x:c>
      <x:c r="C4775" s="18" t="n">
        <x:v>9067</x:v>
      </x:c>
      <x:c r="D4775" s="18" t="n">
        <x:v>47925</x:v>
      </x:c>
      <x:c r="E4775" s="18" t="n">
        <x:v>22.15</x:v>
      </x:c>
      <x:c r="F4775" s="18" t="n">
        <x:v>6.04</x:v>
      </x:c>
      <x:c r="G4775" t="n">
        <x:v>60</x:v>
      </x:c>
      <x:c r="H4775" t="str">
        <x:v>A</x:v>
      </x:c>
      <x:c r="I4775" t="str">
        <x:v>7-9 years</x:v>
      </x:c>
      <x:c r="J4775" t="str">
        <x:v>MORTGAGE</x:v>
      </x:c>
      <x:c r="K4775" t="str">
        <x:v>major_purchase</x:v>
      </x:c>
      <x:c r="L4775" t="n">
        <x:v>0</x:v>
      </x:c>
      <x:c r="M4775" t="n">
        <x:v>0</x:v>
      </x:c>
      <x:c r="N4775" t="str">
        <x:v>Fully Paid</x:v>
      </x:c>
      <x:c r="O4775" t="str">
        <x:f>IF(D4775="","Unknown",IF(D4775&lt;25000,"&lt;$25k",IF(D4775&lt;50000,"$25k-$50k",IF(D4775&lt;75000,"$50k-$75k",IF(D4775&lt;100000,"$75k-$100k","$100k+")))))</x:f>
        <x:v>$25k-$50k</x:v>
      </x:c>
      <x:c r="P4775" t="str">
        <x:f>IF(E4775="","Unknown",IF(E4775&lt;10,"&lt;10",IF(E4775&lt;20,"10-&lt;20",IF(E4775&lt;25,"20-&lt;25",IF(E4775&lt;35,"25-&lt;35","35+")))))</x:f>
        <x:v>20-&lt;25</x:v>
      </x:c>
    </x:row>
    <x:row r="4776">
      <x:c r="A4776" t="str">
        <x:v>SYN0004775</x:v>
      </x:c>
      <x:c r="B4776" s="12" t="n">
        <x:v>41425</x:v>
      </x:c>
      <x:c r="C4776" s="18" t="n">
        <x:v>10823</x:v>
      </x:c>
      <x:c r="D4776" s="18" t="n">
        <x:v>96668</x:v>
      </x:c>
      <x:c r="E4776" s="18" t="n">
        <x:v>11.61</x:v>
      </x:c>
      <x:c r="F4776" s="18" t="n">
        <x:v>8.14</x:v>
      </x:c>
      <x:c r="G4776" t="n">
        <x:v>36</x:v>
      </x:c>
      <x:c r="H4776" t="str">
        <x:v>C</x:v>
      </x:c>
      <x:c r="I4776" t="str">
        <x:v>&lt;1 year</x:v>
      </x:c>
      <x:c r="J4776" t="str">
        <x:v>RENT</x:v>
      </x:c>
      <x:c r="K4776" t="str">
        <x:v>credit_card</x:v>
      </x:c>
      <x:c r="L4776" t="n">
        <x:v>0</x:v>
      </x:c>
      <x:c r="M4776" t="n">
        <x:v>0</x:v>
      </x:c>
      <x:c r="N4776" t="str">
        <x:v>Fully Paid</x:v>
      </x:c>
      <x:c r="O4776" t="str">
        <x:f>IF(D4776="","Unknown",IF(D4776&lt;25000,"&lt;$25k",IF(D4776&lt;50000,"$25k-$50k",IF(D4776&lt;75000,"$50k-$75k",IF(D4776&lt;100000,"$75k-$100k","$100k+")))))</x:f>
        <x:v>$75k-$100k</x:v>
      </x:c>
      <x:c r="P4776" t="str">
        <x:f>IF(E4776="","Unknown",IF(E4776&lt;10,"&lt;10",IF(E4776&lt;20,"10-&lt;20",IF(E4776&lt;25,"20-&lt;25",IF(E4776&lt;35,"25-&lt;35","35+")))))</x:f>
        <x:v>10-&lt;20</x:v>
      </x:c>
    </x:row>
    <x:row r="4777">
      <x:c r="A4777" t="str">
        <x:v>SYN0004776</x:v>
      </x:c>
      <x:c r="B4777" s="12" t="n">
        <x:v>43375</x:v>
      </x:c>
      <x:c r="C4777" s="18" t="n">
        <x:v>7610</x:v>
      </x:c>
      <x:c r="D4777" s="18" t="n">
        <x:v>55460</x:v>
      </x:c>
      <x:c r="E4777" s="18" t="n">
        <x:v>20.32</x:v>
      </x:c>
      <x:c r="F4777" s="18" t="n">
        <x:v>24.07</x:v>
      </x:c>
      <x:c r="G4777" t="n">
        <x:v>36</x:v>
      </x:c>
      <x:c r="H4777" t="str">
        <x:v>F</x:v>
      </x:c>
      <x:c r="I4777" t="str">
        <x:v>7-9 years</x:v>
      </x:c>
      <x:c r="J4777" t="str">
        <x:v>MORTGAGE</x:v>
      </x:c>
      <x:c r="K4777" t="str">
        <x:v>major_purchase</x:v>
      </x:c>
      <x:c r="L4777" t="n">
        <x:v>1</x:v>
      </x:c>
      <x:c r="M4777" t="n">
        <x:v>0</x:v>
      </x:c>
      <x:c r="N4777" t="str">
        <x:v>Fully Paid</x:v>
      </x:c>
      <x:c r="O4777" t="str">
        <x:f>IF(D4777="","Unknown",IF(D4777&lt;25000,"&lt;$25k",IF(D4777&lt;50000,"$25k-$50k",IF(D4777&lt;75000,"$50k-$75k",IF(D4777&lt;100000,"$75k-$100k","$100k+")))))</x:f>
        <x:v>$50k-$75k</x:v>
      </x:c>
      <x:c r="P4777" t="str">
        <x:f>IF(E4777="","Unknown",IF(E4777&lt;10,"&lt;10",IF(E4777&lt;20,"10-&lt;20",IF(E4777&lt;25,"20-&lt;25",IF(E4777&lt;35,"25-&lt;35","35+")))))</x:f>
        <x:v>20-&lt;25</x:v>
      </x:c>
    </x:row>
    <x:row r="4778">
      <x:c r="A4778" t="str">
        <x:v>SYN0004777</x:v>
      </x:c>
      <x:c r="B4778" s="12" t="n">
        <x:v>41305</x:v>
      </x:c>
      <x:c r="C4778" s="18" t="n">
        <x:v>9796</x:v>
      </x:c>
      <x:c r="D4778" s="18" t="n">
        <x:v>52864</x:v>
      </x:c>
      <x:c r="E4778" s="18" t="n">
        <x:v>11</x:v>
      </x:c>
      <x:c r="F4778" s="18" t="n">
        <x:v>10.99</x:v>
      </x:c>
      <x:c r="G4778" t="n">
        <x:v>36</x:v>
      </x:c>
      <x:c r="H4778" t="str">
        <x:v>B</x:v>
      </x:c>
      <x:c r="I4778" t="str">
        <x:v>10+ years</x:v>
      </x:c>
      <x:c r="J4778" t="str">
        <x:v>MORTGAGE</x:v>
      </x:c>
      <x:c r="K4778" t="str">
        <x:v>other</x:v>
      </x:c>
      <x:c r="L4778" t="n">
        <x:v>0</x:v>
      </x:c>
      <x:c r="M4778" t="n">
        <x:v>0</x:v>
      </x:c>
      <x:c r="N4778" t="str">
        <x:v>Fully Paid</x:v>
      </x:c>
      <x:c r="O4778" t="str">
        <x:f>IF(D4778="","Unknown",IF(D4778&lt;25000,"&lt;$25k",IF(D4778&lt;50000,"$25k-$50k",IF(D4778&lt;75000,"$50k-$75k",IF(D4778&lt;100000,"$75k-$100k","$100k+")))))</x:f>
        <x:v>$50k-$75k</x:v>
      </x:c>
      <x:c r="P4778" t="str">
        <x:f>IF(E4778="","Unknown",IF(E4778&lt;10,"&lt;10",IF(E4778&lt;20,"10-&lt;20",IF(E4778&lt;25,"20-&lt;25",IF(E4778&lt;35,"25-&lt;35","35+")))))</x:f>
        <x:v>10-&lt;20</x:v>
      </x:c>
    </x:row>
    <x:row r="4779">
      <x:c r="A4779" t="str">
        <x:v>SYN0004778</x:v>
      </x:c>
      <x:c r="B4779" s="12" t="n">
        <x:v>41425</x:v>
      </x:c>
      <x:c r="C4779" s="18" t="n">
        <x:v>9934</x:v>
      </x:c>
      <x:c r="D4779" s="18" t="n">
        <x:v>35906</x:v>
      </x:c>
      <x:c r="E4779" s="18" t="n">
        <x:v>7.67</x:v>
      </x:c>
      <x:c r="F4779" s="18" t="n">
        <x:v>6.47</x:v>
      </x:c>
      <x:c r="G4779" t="n">
        <x:v>36</x:v>
      </x:c>
      <x:c r="H4779" t="str">
        <x:v>B</x:v>
      </x:c>
      <x:c r="I4779" t="str">
        <x:v>4-6 years</x:v>
      </x:c>
      <x:c r="J4779" t="str">
        <x:v>MORTGAGE</x:v>
      </x:c>
      <x:c r="K4779" t="str">
        <x:v>major_purchase</x:v>
      </x:c>
      <x:c r="L4779" t="n">
        <x:v>1</x:v>
      </x:c>
      <x:c r="M4779" t="n">
        <x:v>1</x:v>
      </x:c>
      <x:c r="N4779" t="str">
        <x:v>Charged Off</x:v>
      </x:c>
      <x:c r="O4779" t="str">
        <x:f>IF(D4779="","Unknown",IF(D4779&lt;25000,"&lt;$25k",IF(D4779&lt;50000,"$25k-$50k",IF(D4779&lt;75000,"$50k-$75k",IF(D4779&lt;100000,"$75k-$100k","$100k+")))))</x:f>
        <x:v>$25k-$50k</x:v>
      </x:c>
      <x:c r="P4779" t="str">
        <x:f>IF(E4779="","Unknown",IF(E4779&lt;10,"&lt;10",IF(E4779&lt;20,"10-&lt;20",IF(E4779&lt;25,"20-&lt;25",IF(E4779&lt;35,"25-&lt;35","35+")))))</x:f>
        <x:v>&lt;10</x:v>
      </x:c>
    </x:row>
    <x:row r="4780">
      <x:c r="A4780" t="str">
        <x:v>SYN0004779</x:v>
      </x:c>
      <x:c r="B4780" s="12" t="n">
        <x:v>42925</x:v>
      </x:c>
      <x:c r="C4780" s="18" t="n">
        <x:v>11591</x:v>
      </x:c>
      <x:c r="D4780" s="18" t="n">
        <x:v>57460</x:v>
      </x:c>
      <x:c r="E4780" s="18" t="n">
        <x:v>10.09</x:v>
      </x:c>
      <x:c r="F4780" s="18" t="n">
        <x:v>11.27</x:v>
      </x:c>
      <x:c r="G4780" t="n">
        <x:v>60</x:v>
      </x:c>
      <x:c r="H4780" t="str">
        <x:v>B</x:v>
      </x:c>
      <x:c r="I4780" t="str">
        <x:v>4-6 years</x:v>
      </x:c>
      <x:c r="J4780" t="str">
        <x:v>RENT</x:v>
      </x:c>
      <x:c r="K4780" t="str">
        <x:v>home_improvement</x:v>
      </x:c>
      <x:c r="L4780" t="n">
        <x:v>0</x:v>
      </x:c>
      <x:c r="M4780" t="n">
        <x:v>0</x:v>
      </x:c>
      <x:c r="N4780" t="str">
        <x:v>Fully Paid</x:v>
      </x:c>
      <x:c r="O4780" t="str">
        <x:f>IF(D4780="","Unknown",IF(D4780&lt;25000,"&lt;$25k",IF(D4780&lt;50000,"$25k-$50k",IF(D4780&lt;75000,"$50k-$75k",IF(D4780&lt;100000,"$75k-$100k","$100k+")))))</x:f>
        <x:v>$50k-$75k</x:v>
      </x:c>
      <x:c r="P4780" t="str">
        <x:f>IF(E4780="","Unknown",IF(E4780&lt;10,"&lt;10",IF(E4780&lt;20,"10-&lt;20",IF(E4780&lt;25,"20-&lt;25",IF(E4780&lt;35,"25-&lt;35","35+")))))</x:f>
        <x:v>10-&lt;20</x:v>
      </x:c>
    </x:row>
    <x:row r="4781">
      <x:c r="A4781" t="str">
        <x:v>SYN0004780</x:v>
      </x:c>
      <x:c r="B4781" s="12" t="n">
        <x:v>42325</x:v>
      </x:c>
      <x:c r="C4781" s="18" t="n">
        <x:v>18760</x:v>
      </x:c>
      <x:c r="D4781" s="18" t="n">
        <x:v>33305</x:v>
      </x:c>
      <x:c r="E4781" s="18" t="n">
        <x:v>30.2</x:v>
      </x:c>
      <x:c r="F4781" s="18" t="n">
        <x:v>8.68</x:v>
      </x:c>
      <x:c r="G4781" t="n">
        <x:v>60</x:v>
      </x:c>
      <x:c r="H4781" t="str">
        <x:v>C</x:v>
      </x:c>
      <x:c r="I4781" t="str">
        <x:v>1-3 years</x:v>
      </x:c>
      <x:c r="J4781" t="str">
        <x:v>RENT</x:v>
      </x:c>
      <x:c r="K4781" t="str">
        <x:v>credit_card</x:v>
      </x:c>
      <x:c r="L4781" t="n">
        <x:v>0</x:v>
      </x:c>
      <x:c r="M4781" t="n">
        <x:v>1</x:v>
      </x:c>
      <x:c r="N4781" t="str">
        <x:v>Charged Off</x:v>
      </x:c>
      <x:c r="O4781" t="str">
        <x:f>IF(D4781="","Unknown",IF(D4781&lt;25000,"&lt;$25k",IF(D4781&lt;50000,"$25k-$50k",IF(D4781&lt;75000,"$50k-$75k",IF(D4781&lt;100000,"$75k-$100k","$100k+")))))</x:f>
        <x:v>$25k-$50k</x:v>
      </x:c>
      <x:c r="P4781" t="str">
        <x:f>IF(E4781="","Unknown",IF(E4781&lt;10,"&lt;10",IF(E4781&lt;20,"10-&lt;20",IF(E4781&lt;25,"20-&lt;25",IF(E4781&lt;35,"25-&lt;35","35+")))))</x:f>
        <x:v>25-&lt;35</x:v>
      </x:c>
    </x:row>
    <x:row r="4782">
      <x:c r="A4782" t="str">
        <x:v>SYN0004781</x:v>
      </x:c>
      <x:c r="B4782" s="12" t="n">
        <x:v>41695</x:v>
      </x:c>
      <x:c r="C4782" s="18" t="n">
        <x:v>13552</x:v>
      </x:c>
      <x:c r="D4782" s="18" t="n">
        <x:v>62742</x:v>
      </x:c>
      <x:c r="E4782" s="18" t="n">
        <x:v>26.5</x:v>
      </x:c>
      <x:c r="F4782" s="18" t="n">
        <x:v>13.09</x:v>
      </x:c>
      <x:c r="G4782" t="n">
        <x:v>36</x:v>
      </x:c>
      <x:c r="H4782" t="str">
        <x:v>C</x:v>
      </x:c>
      <x:c r="I4782" t="str">
        <x:v>4-6 years</x:v>
      </x:c>
      <x:c r="J4782" t="str">
        <x:v>MORTGAGE</x:v>
      </x:c>
      <x:c r="K4782" t="str">
        <x:v>debt_consolidation</x:v>
      </x:c>
      <x:c r="L4782" t="n">
        <x:v>0</x:v>
      </x:c>
      <x:c r="M4782" t="n">
        <x:v>0</x:v>
      </x:c>
      <x:c r="N4782" t="str">
        <x:v>Fully Paid</x:v>
      </x:c>
      <x:c r="O4782" t="str">
        <x:f>IF(D4782="","Unknown",IF(D4782&lt;25000,"&lt;$25k",IF(D4782&lt;50000,"$25k-$50k",IF(D4782&lt;75000,"$50k-$75k",IF(D4782&lt;100000,"$75k-$100k","$100k+")))))</x:f>
        <x:v>$50k-$75k</x:v>
      </x:c>
      <x:c r="P4782" t="str">
        <x:f>IF(E4782="","Unknown",IF(E4782&lt;10,"&lt;10",IF(E4782&lt;20,"10-&lt;20",IF(E4782&lt;25,"20-&lt;25",IF(E4782&lt;35,"25-&lt;35","35+")))))</x:f>
        <x:v>25-&lt;35</x:v>
      </x:c>
    </x:row>
    <x:row r="4783">
      <x:c r="A4783" t="str">
        <x:v>SYN0004782</x:v>
      </x:c>
      <x:c r="B4783" s="12" t="n">
        <x:v>42715</x:v>
      </x:c>
      <x:c r="C4783" s="18" t="n">
        <x:v>6306</x:v>
      </x:c>
      <x:c r="D4783" s="18" t="n">
        <x:v>12000</x:v>
      </x:c>
      <x:c r="E4783" s="18" t="n">
        <x:v>11.53</x:v>
      </x:c>
      <x:c r="F4783" s="18" t="n">
        <x:v>9.75</x:v>
      </x:c>
      <x:c r="G4783" t="n">
        <x:v>60</x:v>
      </x:c>
      <x:c r="H4783" t="str">
        <x:v>C</x:v>
      </x:c>
      <x:c r="I4783" t="str">
        <x:v>10+ years</x:v>
      </x:c>
      <x:c r="J4783" t="str">
        <x:v>RENT</x:v>
      </x:c>
      <x:c r="K4783" t="str">
        <x:v>debt_consolidation</x:v>
      </x:c>
      <x:c r="L4783" t="n">
        <x:v>0</x:v>
      </x:c>
      <x:c r="M4783" t="n">
        <x:v>0</x:v>
      </x:c>
      <x:c r="N4783" t="str">
        <x:v>Fully Paid</x:v>
      </x:c>
      <x:c r="O4783" t="str">
        <x:f>IF(D4783="","Unknown",IF(D4783&lt;25000,"&lt;$25k",IF(D4783&lt;50000,"$25k-$50k",IF(D4783&lt;75000,"$50k-$75k",IF(D4783&lt;100000,"$75k-$100k","$100k+")))))</x:f>
        <x:v>&lt;$25k</x:v>
      </x:c>
      <x:c r="P4783" t="str">
        <x:f>IF(E4783="","Unknown",IF(E4783&lt;10,"&lt;10",IF(E4783&lt;20,"10-&lt;20",IF(E4783&lt;25,"20-&lt;25",IF(E4783&lt;35,"25-&lt;35","35+")))))</x:f>
        <x:v>10-&lt;20</x:v>
      </x:c>
    </x:row>
    <x:row r="4784">
      <x:c r="A4784" t="str">
        <x:v>SYN0004783</x:v>
      </x:c>
      <x:c r="B4784" s="12" t="n">
        <x:v>42985</x:v>
      </x:c>
      <x:c r="C4784" s="18" t="n">
        <x:v>9922</x:v>
      </x:c>
      <x:c r="D4784" s="18" t="n">
        <x:v>71640</x:v>
      </x:c>
      <x:c r="E4784" s="18" t="n">
        <x:v>32.77</x:v>
      </x:c>
      <x:c r="F4784" s="18" t="n">
        <x:v>25.73</x:v>
      </x:c>
      <x:c r="G4784" t="n">
        <x:v>60</x:v>
      </x:c>
      <x:c r="H4784" t="str">
        <x:v>G</x:v>
      </x:c>
      <x:c r="I4784" t="str">
        <x:v>4-6 years</x:v>
      </x:c>
      <x:c r="J4784" t="str">
        <x:v>RENT</x:v>
      </x:c>
      <x:c r="K4784" t="str">
        <x:v>credit_card</x:v>
      </x:c>
      <x:c r="L4784" t="n">
        <x:v>1</x:v>
      </x:c>
      <x:c r="M4784" t="n">
        <x:v>0</x:v>
      </x:c>
      <x:c r="N4784" t="str">
        <x:v>Fully Paid</x:v>
      </x:c>
      <x:c r="O4784" t="str">
        <x:f>IF(D4784="","Unknown",IF(D4784&lt;25000,"&lt;$25k",IF(D4784&lt;50000,"$25k-$50k",IF(D4784&lt;75000,"$50k-$75k",IF(D4784&lt;100000,"$75k-$100k","$100k+")))))</x:f>
        <x:v>$50k-$75k</x:v>
      </x:c>
      <x:c r="P4784" t="str">
        <x:f>IF(E4784="","Unknown",IF(E4784&lt;10,"&lt;10",IF(E4784&lt;20,"10-&lt;20",IF(E4784&lt;25,"20-&lt;25",IF(E4784&lt;35,"25-&lt;35","35+")))))</x:f>
        <x:v>25-&lt;35</x:v>
      </x:c>
    </x:row>
    <x:row r="4785">
      <x:c r="A4785" t="str">
        <x:v>SYN0004784</x:v>
      </x:c>
      <x:c r="B4785" s="12" t="n">
        <x:v>42715</x:v>
      </x:c>
      <x:c r="C4785" s="18" t="n">
        <x:v>8370</x:v>
      </x:c>
      <x:c r="D4785" s="18" t="n">
        <x:v>28283</x:v>
      </x:c>
      <x:c r="E4785" s="18" t="n">
        <x:v>24.95</x:v>
      </x:c>
      <x:c r="F4785" s="18" t="n">
        <x:v>17.53</x:v>
      </x:c>
      <x:c r="G4785" t="n">
        <x:v>60</x:v>
      </x:c>
      <x:c r="H4785" t="str">
        <x:v>E</x:v>
      </x:c>
      <x:c r="I4785" t="str">
        <x:v>1-3 years</x:v>
      </x:c>
      <x:c r="J4785" t="str">
        <x:v>OWN</x:v>
      </x:c>
      <x:c r="K4785" t="str">
        <x:v>medical</x:v>
      </x:c>
      <x:c r="L4785" t="n">
        <x:v>0</x:v>
      </x:c>
      <x:c r="M4785" t="n">
        <x:v>0</x:v>
      </x:c>
      <x:c r="N4785" t="str">
        <x:v>Fully Paid</x:v>
      </x:c>
      <x:c r="O4785" t="str">
        <x:f>IF(D4785="","Unknown",IF(D4785&lt;25000,"&lt;$25k",IF(D4785&lt;50000,"$25k-$50k",IF(D4785&lt;75000,"$50k-$75k",IF(D4785&lt;100000,"$75k-$100k","$100k+")))))</x:f>
        <x:v>$25k-$50k</x:v>
      </x:c>
      <x:c r="P4785" t="str">
        <x:f>IF(E4785="","Unknown",IF(E4785&lt;10,"&lt;10",IF(E4785&lt;20,"10-&lt;20",IF(E4785&lt;25,"20-&lt;25",IF(E4785&lt;35,"25-&lt;35","35+")))))</x:f>
        <x:v>20-&lt;25</x:v>
      </x:c>
    </x:row>
    <x:row r="4786">
      <x:c r="A4786" t="str">
        <x:v>SYN0004785</x:v>
      </x:c>
      <x:c r="B4786" s="12" t="n">
        <x:v>42145</x:v>
      </x:c>
      <x:c r="C4786" s="18" t="n">
        <x:v>10174</x:v>
      </x:c>
      <x:c r="D4786" s="18" t="n">
        <x:v>74748</x:v>
      </x:c>
      <x:c r="E4786" s="18" t="n">
        <x:v>6.78</x:v>
      </x:c>
      <x:c r="F4786" s="18" t="n">
        <x:v>21.88</x:v>
      </x:c>
      <x:c r="G4786" t="n">
        <x:v>36</x:v>
      </x:c>
      <x:c r="H4786" t="str">
        <x:v>F</x:v>
      </x:c>
      <x:c r="I4786" t="str">
        <x:v>10+ years</x:v>
      </x:c>
      <x:c r="J4786" t="str">
        <x:v>MORTGAGE</x:v>
      </x:c>
      <x:c r="K4786" t="str">
        <x:v>other</x:v>
      </x:c>
      <x:c r="L4786" t="n">
        <x:v>1</x:v>
      </x:c>
      <x:c r="M4786" t="n">
        <x:v>1</x:v>
      </x:c>
      <x:c r="N4786" t="str">
        <x:v>Charged Off</x:v>
      </x:c>
      <x:c r="O4786" t="str">
        <x:f>IF(D4786="","Unknown",IF(D4786&lt;25000,"&lt;$25k",IF(D4786&lt;50000,"$25k-$50k",IF(D4786&lt;75000,"$50k-$75k",IF(D4786&lt;100000,"$75k-$100k","$100k+")))))</x:f>
        <x:v>$50k-$75k</x:v>
      </x:c>
      <x:c r="P4786" t="str">
        <x:f>IF(E4786="","Unknown",IF(E4786&lt;10,"&lt;10",IF(E4786&lt;20,"10-&lt;20",IF(E4786&lt;25,"20-&lt;25",IF(E4786&lt;35,"25-&lt;35","35+")))))</x:f>
        <x:v>&lt;10</x:v>
      </x:c>
    </x:row>
    <x:row r="4787">
      <x:c r="A4787" t="str">
        <x:v>SYN0004786</x:v>
      </x:c>
      <x:c r="B4787" s="12" t="n">
        <x:v>41605</x:v>
      </x:c>
      <x:c r="C4787" s="18" t="n">
        <x:v>16197</x:v>
      </x:c>
      <x:c r="D4787" s="18" t="n">
        <x:v>65676</x:v>
      </x:c>
      <x:c r="E4787" s="18" t="n">
        <x:v>29.47</x:v>
      </x:c>
      <x:c r="F4787" s="18" t="n">
        <x:v>5.8</x:v>
      </x:c>
      <x:c r="G4787" t="n">
        <x:v>36</x:v>
      </x:c>
      <x:c r="H4787" t="str">
        <x:v>A</x:v>
      </x:c>
      <x:c r="I4787" t="str">
        <x:v>7-9 years</x:v>
      </x:c>
      <x:c r="J4787" t="str">
        <x:v>OTHER</x:v>
      </x:c>
      <x:c r="K4787" t="str">
        <x:v>debt_consolidation</x:v>
      </x:c>
      <x:c r="L4787" t="n">
        <x:v>0</x:v>
      </x:c>
      <x:c r="M4787" t="n">
        <x:v>0</x:v>
      </x:c>
      <x:c r="N4787" t="str">
        <x:v>Fully Paid</x:v>
      </x:c>
      <x:c r="O4787" t="str">
        <x:f>IF(D4787="","Unknown",IF(D4787&lt;25000,"&lt;$25k",IF(D4787&lt;50000,"$25k-$50k",IF(D4787&lt;75000,"$50k-$75k",IF(D4787&lt;100000,"$75k-$100k","$100k+")))))</x:f>
        <x:v>$50k-$75k</x:v>
      </x:c>
      <x:c r="P4787" t="str">
        <x:f>IF(E4787="","Unknown",IF(E4787&lt;10,"&lt;10",IF(E4787&lt;20,"10-&lt;20",IF(E4787&lt;25,"20-&lt;25",IF(E4787&lt;35,"25-&lt;35","35+")))))</x:f>
        <x:v>25-&lt;35</x:v>
      </x:c>
    </x:row>
    <x:row r="4788">
      <x:c r="A4788" t="str">
        <x:v>SYN0004787</x:v>
      </x:c>
      <x:c r="B4788" s="12" t="n">
        <x:v>42985</x:v>
      </x:c>
      <x:c r="C4788" s="18" t="n">
        <x:v>16477</x:v>
      </x:c>
      <x:c r="D4788" s="18" t="n">
        <x:v>21927</x:v>
      </x:c>
      <x:c r="E4788" s="18" t="n">
        <x:v>17.4</x:v>
      </x:c>
      <x:c r="F4788" s="18" t="n">
        <x:v>18.06</x:v>
      </x:c>
      <x:c r="G4788" t="n">
        <x:v>36</x:v>
      </x:c>
      <x:c r="H4788" t="str">
        <x:v>E</x:v>
      </x:c>
      <x:c r="I4788" t="str">
        <x:v>1-3 years</x:v>
      </x:c>
      <x:c r="J4788" t="str">
        <x:v>OWN</x:v>
      </x:c>
      <x:c r="K4788" t="str">
        <x:v>debt_consolidation</x:v>
      </x:c>
      <x:c r="L4788" t="n">
        <x:v>0</x:v>
      </x:c>
      <x:c r="M4788" t="n">
        <x:v>0</x:v>
      </x:c>
      <x:c r="N4788" t="str">
        <x:v>Fully Paid</x:v>
      </x:c>
      <x:c r="O4788" t="str">
        <x:f>IF(D4788="","Unknown",IF(D4788&lt;25000,"&lt;$25k",IF(D4788&lt;50000,"$25k-$50k",IF(D4788&lt;75000,"$50k-$75k",IF(D4788&lt;100000,"$75k-$100k","$100k+")))))</x:f>
        <x:v>&lt;$25k</x:v>
      </x:c>
      <x:c r="P4788" t="str">
        <x:f>IF(E4788="","Unknown",IF(E4788&lt;10,"&lt;10",IF(E4788&lt;20,"10-&lt;20",IF(E4788&lt;25,"20-&lt;25",IF(E4788&lt;35,"25-&lt;35","35+")))))</x:f>
        <x:v>10-&lt;20</x:v>
      </x:c>
    </x:row>
    <x:row r="4789">
      <x:c r="A4789" t="str">
        <x:v>SYN0004788</x:v>
      </x:c>
      <x:c r="B4789" s="12" t="n">
        <x:v>43255</x:v>
      </x:c>
      <x:c r="C4789" s="18" t="n">
        <x:v>15684</x:v>
      </x:c>
      <x:c r="D4789" s="18" t="n">
        <x:v>59673</x:v>
      </x:c>
      <x:c r="E4789" s="18" t="n">
        <x:v>29.01</x:v>
      </x:c>
      <x:c r="F4789" s="18" t="n">
        <x:v>25.16</x:v>
      </x:c>
      <x:c r="G4789" t="n">
        <x:v>36</x:v>
      </x:c>
      <x:c r="H4789" t="str">
        <x:v>G</x:v>
      </x:c>
      <x:c r="I4789" t="str">
        <x:v>4-6 years</x:v>
      </x:c>
      <x:c r="J4789" t="str">
        <x:v>MORTGAGE</x:v>
      </x:c>
      <x:c r="K4789" t="str">
        <x:v>debt_consolidation</x:v>
      </x:c>
      <x:c r="L4789" t="n">
        <x:v>3</x:v>
      </x:c>
      <x:c r="M4789" t="n">
        <x:v>1</x:v>
      </x:c>
      <x:c r="N4789" t="str">
        <x:v>Charged Off</x:v>
      </x:c>
      <x:c r="O4789" t="str">
        <x:f>IF(D4789="","Unknown",IF(D4789&lt;25000,"&lt;$25k",IF(D4789&lt;50000,"$25k-$50k",IF(D4789&lt;75000,"$50k-$75k",IF(D4789&lt;100000,"$75k-$100k","$100k+")))))</x:f>
        <x:v>$50k-$75k</x:v>
      </x:c>
      <x:c r="P4789" t="str">
        <x:f>IF(E4789="","Unknown",IF(E4789&lt;10,"&lt;10",IF(E4789&lt;20,"10-&lt;20",IF(E4789&lt;25,"20-&lt;25",IF(E4789&lt;35,"25-&lt;35","35+")))))</x:f>
        <x:v>25-&lt;35</x:v>
      </x:c>
    </x:row>
    <x:row r="4790">
      <x:c r="A4790" t="str">
        <x:v>SYN0004789</x:v>
      </x:c>
      <x:c r="B4790" s="12" t="n">
        <x:v>42145</x:v>
      </x:c>
      <x:c r="C4790" s="18" t="n">
        <x:v>9890</x:v>
      </x:c>
      <x:c r="D4790" s="18" t="n">
        <x:v>112059</x:v>
      </x:c>
      <x:c r="E4790" s="18" t="n">
        <x:v>13.69</x:v>
      </x:c>
      <x:c r="F4790" s="18" t="n">
        <x:v>15.63</x:v>
      </x:c>
      <x:c r="G4790" t="n">
        <x:v>36</x:v>
      </x:c>
      <x:c r="H4790" t="str">
        <x:v>D</x:v>
      </x:c>
      <x:c r="I4790" t="str">
        <x:v>1-3 years</x:v>
      </x:c>
      <x:c r="J4790" t="str">
        <x:v>RENT</x:v>
      </x:c>
      <x:c r="K4790" t="str">
        <x:v>home_improvement</x:v>
      </x:c>
      <x:c r="L4790" t="n">
        <x:v>2</x:v>
      </x:c>
      <x:c r="M4790" t="n">
        <x:v>1</x:v>
      </x:c>
      <x:c r="N4790" t="str">
        <x:v>Charged Off</x:v>
      </x:c>
      <x:c r="O4790" t="str">
        <x:f>IF(D4790="","Unknown",IF(D4790&lt;25000,"&lt;$25k",IF(D4790&lt;50000,"$25k-$50k",IF(D4790&lt;75000,"$50k-$75k",IF(D4790&lt;100000,"$75k-$100k","$100k+")))))</x:f>
        <x:v>$100k+</x:v>
      </x:c>
      <x:c r="P4790" t="str">
        <x:f>IF(E4790="","Unknown",IF(E4790&lt;10,"&lt;10",IF(E4790&lt;20,"10-&lt;20",IF(E4790&lt;25,"20-&lt;25",IF(E4790&lt;35,"25-&lt;35","35+")))))</x:f>
        <x:v>10-&lt;20</x:v>
      </x:c>
    </x:row>
    <x:row r="4791">
      <x:c r="A4791" t="str">
        <x:v>SYN0004790</x:v>
      </x:c>
      <x:c r="B4791" s="12" t="n">
        <x:v>43075</x:v>
      </x:c>
      <x:c r="C4791" s="18" t="n">
        <x:v>7144</x:v>
      </x:c>
      <x:c r="D4791" s="18" t="n">
        <x:v>42325</x:v>
      </x:c>
      <x:c r="E4791" s="18" t="n">
        <x:v>22.23</x:v>
      </x:c>
      <x:c r="F4791" s="18" t="n">
        <x:v>8.82</x:v>
      </x:c>
      <x:c r="G4791" t="n">
        <x:v>60</x:v>
      </x:c>
      <x:c r="H4791" t="str">
        <x:v>B</x:v>
      </x:c>
      <x:c r="I4791" t="str">
        <x:v>&lt;1 year</x:v>
      </x:c>
      <x:c r="J4791" t="str">
        <x:v>MORTGAGE</x:v>
      </x:c>
      <x:c r="K4791" t="str">
        <x:v>other</x:v>
      </x:c>
      <x:c r="L4791" t="n">
        <x:v>0</x:v>
      </x:c>
      <x:c r="M4791" t="n">
        <x:v>0</x:v>
      </x:c>
      <x:c r="N4791" t="str">
        <x:v>Fully Paid</x:v>
      </x:c>
      <x:c r="O4791" t="str">
        <x:f>IF(D4791="","Unknown",IF(D4791&lt;25000,"&lt;$25k",IF(D4791&lt;50000,"$25k-$50k",IF(D4791&lt;75000,"$50k-$75k",IF(D4791&lt;100000,"$75k-$100k","$100k+")))))</x:f>
        <x:v>$25k-$50k</x:v>
      </x:c>
      <x:c r="P4791" t="str">
        <x:f>IF(E4791="","Unknown",IF(E4791&lt;10,"&lt;10",IF(E4791&lt;20,"10-&lt;20",IF(E4791&lt;25,"20-&lt;25",IF(E4791&lt;35,"25-&lt;35","35+")))))</x:f>
        <x:v>20-&lt;25</x:v>
      </x:c>
    </x:row>
    <x:row r="4792">
      <x:c r="A4792" t="str">
        <x:v>SYN0004791</x:v>
      </x:c>
      <x:c r="B4792" s="12" t="n">
        <x:v>42985</x:v>
      </x:c>
      <x:c r="C4792" s="18" t="n">
        <x:v>9950</x:v>
      </x:c>
      <x:c r="D4792" s="18" t="n">
        <x:v>26154</x:v>
      </x:c>
      <x:c r="E4792" s="18" t="n">
        <x:v>15.63</x:v>
      </x:c>
      <x:c r="F4792" s="18" t="n">
        <x:v>7.74</x:v>
      </x:c>
      <x:c r="G4792" t="n">
        <x:v>60</x:v>
      </x:c>
      <x:c r="H4792" t="str">
        <x:v>B</x:v>
      </x:c>
      <x:c r="I4792" t="str">
        <x:v>10+ years</x:v>
      </x:c>
      <x:c r="J4792" t="str">
        <x:v>MORTGAGE</x:v>
      </x:c>
      <x:c r="K4792" t="str">
        <x:v>debt_consolidation</x:v>
      </x:c>
      <x:c r="L4792" t="n">
        <x:v>0</x:v>
      </x:c>
      <x:c r="M4792" t="n">
        <x:v>0</x:v>
      </x:c>
      <x:c r="N4792" t="str">
        <x:v>Fully Paid</x:v>
      </x:c>
      <x:c r="O4792" t="str">
        <x:f>IF(D4792="","Unknown",IF(D4792&lt;25000,"&lt;$25k",IF(D4792&lt;50000,"$25k-$50k",IF(D4792&lt;75000,"$50k-$75k",IF(D4792&lt;100000,"$75k-$100k","$100k+")))))</x:f>
        <x:v>$25k-$50k</x:v>
      </x:c>
      <x:c r="P4792" t="str">
        <x:f>IF(E4792="","Unknown",IF(E4792&lt;10,"&lt;10",IF(E4792&lt;20,"10-&lt;20",IF(E4792&lt;25,"20-&lt;25",IF(E4792&lt;35,"25-&lt;35","35+")))))</x:f>
        <x:v>10-&lt;20</x:v>
      </x:c>
    </x:row>
    <x:row r="4793">
      <x:c r="A4793" t="str">
        <x:v>SYN0004792</x:v>
      </x:c>
      <x:c r="B4793" s="12" t="n">
        <x:v>42865</x:v>
      </x:c>
      <x:c r="C4793" s="18" t="n">
        <x:v>14657</x:v>
      </x:c>
      <x:c r="D4793" s="18" t="n">
        <x:v>20610</x:v>
      </x:c>
      <x:c r="E4793" s="18" t="n">
        <x:v>26.06</x:v>
      </x:c>
      <x:c r="F4793" s="18" t="n">
        <x:v>8.22</x:v>
      </x:c>
      <x:c r="G4793" t="n">
        <x:v>36</x:v>
      </x:c>
      <x:c r="H4793" t="str">
        <x:v>C</x:v>
      </x:c>
      <x:c r="I4793" t="str">
        <x:v>10+ years</x:v>
      </x:c>
      <x:c r="J4793" t="str">
        <x:v>RENT</x:v>
      </x:c>
      <x:c r="K4793" t="str">
        <x:v>debt_consolidation</x:v>
      </x:c>
      <x:c r="L4793" t="n">
        <x:v>1</x:v>
      </x:c>
      <x:c r="M4793" t="n">
        <x:v>0</x:v>
      </x:c>
      <x:c r="N4793" t="str">
        <x:v>Fully Paid</x:v>
      </x:c>
      <x:c r="O4793" t="str">
        <x:f>IF(D4793="","Unknown",IF(D4793&lt;25000,"&lt;$25k",IF(D4793&lt;50000,"$25k-$50k",IF(D4793&lt;75000,"$50k-$75k",IF(D4793&lt;100000,"$75k-$100k","$100k+")))))</x:f>
        <x:v>&lt;$25k</x:v>
      </x:c>
      <x:c r="P4793" t="str">
        <x:f>IF(E4793="","Unknown",IF(E4793&lt;10,"&lt;10",IF(E4793&lt;20,"10-&lt;20",IF(E4793&lt;25,"20-&lt;25",IF(E4793&lt;35,"25-&lt;35","35+")))))</x:f>
        <x:v>25-&lt;35</x:v>
      </x:c>
    </x:row>
    <x:row r="4794">
      <x:c r="A4794" t="str">
        <x:v>SYN0004793</x:v>
      </x:c>
      <x:c r="B4794" s="12" t="n">
        <x:v>42835</x:v>
      </x:c>
      <x:c r="C4794" s="18" t="n">
        <x:v>7488</x:v>
      </x:c>
      <x:c r="D4794" s="18" t="n">
        <x:v>58004</x:v>
      </x:c>
      <x:c r="E4794" s="18" t="n">
        <x:v>7.09</x:v>
      </x:c>
      <x:c r="F4794" s="18" t="n">
        <x:v>5</x:v>
      </x:c>
      <x:c r="G4794" t="n">
        <x:v>36</x:v>
      </x:c>
      <x:c r="H4794" t="str">
        <x:v>A</x:v>
      </x:c>
      <x:c r="I4794" t="str">
        <x:v>7-9 years</x:v>
      </x:c>
      <x:c r="J4794" t="str">
        <x:v>RENT</x:v>
      </x:c>
      <x:c r="K4794" t="str">
        <x:v>debt_consolidation</x:v>
      </x:c>
      <x:c r="L4794" t="n">
        <x:v>0</x:v>
      </x:c>
      <x:c r="M4794" t="n">
        <x:v>0</x:v>
      </x:c>
      <x:c r="N4794" t="str">
        <x:v>Fully Paid</x:v>
      </x:c>
      <x:c r="O4794" t="str">
        <x:f>IF(D4794="","Unknown",IF(D4794&lt;25000,"&lt;$25k",IF(D4794&lt;50000,"$25k-$50k",IF(D4794&lt;75000,"$50k-$75k",IF(D4794&lt;100000,"$75k-$100k","$100k+")))))</x:f>
        <x:v>$50k-$75k</x:v>
      </x:c>
      <x:c r="P4794" t="str">
        <x:f>IF(E4794="","Unknown",IF(E4794&lt;10,"&lt;10",IF(E4794&lt;20,"10-&lt;20",IF(E4794&lt;25,"20-&lt;25",IF(E4794&lt;35,"25-&lt;35","35+")))))</x:f>
        <x:v>&lt;10</x:v>
      </x:c>
    </x:row>
    <x:row r="4795">
      <x:c r="A4795" t="str">
        <x:v>SYN0004794</x:v>
      </x:c>
      <x:c r="B4795" s="12" t="n">
        <x:v>41785</x:v>
      </x:c>
      <x:c r="C4795" s="18" t="n">
        <x:v>4421</x:v>
      </x:c>
      <x:c r="D4795" s="18" t="n">
        <x:v>152540</x:v>
      </x:c>
      <x:c r="E4795" s="18" t="n">
        <x:v>18.91</x:v>
      </x:c>
      <x:c r="F4795" s="18" t="n">
        <x:v>9.27</x:v>
      </x:c>
      <x:c r="G4795" t="n">
        <x:v>36</x:v>
      </x:c>
      <x:c r="H4795" t="str">
        <x:v>B</x:v>
      </x:c>
      <x:c r="I4795" t="str">
        <x:v>7-9 years</x:v>
      </x:c>
      <x:c r="J4795" t="str">
        <x:v>MORTGAGE</x:v>
      </x:c>
      <x:c r="K4795" t="str">
        <x:v>debt_consolidation</x:v>
      </x:c>
      <x:c r="L4795" t="n">
        <x:v>0</x:v>
      </x:c>
      <x:c r="M4795" t="n">
        <x:v>1</x:v>
      </x:c>
      <x:c r="N4795" t="str">
        <x:v>Charged Off</x:v>
      </x:c>
      <x:c r="O4795" t="str">
        <x:f>IF(D4795="","Unknown",IF(D4795&lt;25000,"&lt;$25k",IF(D4795&lt;50000,"$25k-$50k",IF(D4795&lt;75000,"$50k-$75k",IF(D4795&lt;100000,"$75k-$100k","$100k+")))))</x:f>
        <x:v>$100k+</x:v>
      </x:c>
      <x:c r="P4795" t="str">
        <x:f>IF(E4795="","Unknown",IF(E4795&lt;10,"&lt;10",IF(E4795&lt;20,"10-&lt;20",IF(E4795&lt;25,"20-&lt;25",IF(E4795&lt;35,"25-&lt;35","35+")))))</x:f>
        <x:v>10-&lt;20</x:v>
      </x:c>
    </x:row>
    <x:row r="4796">
      <x:c r="A4796" t="str">
        <x:v>SYN0004795</x:v>
      </x:c>
      <x:c r="B4796" s="12" t="n">
        <x:v>41815</x:v>
      </x:c>
      <x:c r="C4796" s="18" t="n">
        <x:v>8236</x:v>
      </x:c>
      <x:c r="D4796" s="18" t="n">
        <x:v>33866</x:v>
      </x:c>
      <x:c r="E4796" s="18" t="n">
        <x:v>8.56</x:v>
      </x:c>
      <x:c r="F4796" s="18" t="n">
        <x:v>7.04</x:v>
      </x:c>
      <x:c r="G4796" t="n">
        <x:v>60</x:v>
      </x:c>
      <x:c r="H4796" t="str">
        <x:v>A</x:v>
      </x:c>
      <x:c r="I4796" t="str">
        <x:v>4-6 years</x:v>
      </x:c>
      <x:c r="J4796" t="str">
        <x:v>RENT</x:v>
      </x:c>
      <x:c r="K4796" t="str">
        <x:v>medical</x:v>
      </x:c>
      <x:c r="L4796" t="n">
        <x:v>0</x:v>
      </x:c>
      <x:c r="M4796" t="n">
        <x:v>0</x:v>
      </x:c>
      <x:c r="N4796" t="str">
        <x:v>Fully Paid</x:v>
      </x:c>
      <x:c r="O4796" t="str">
        <x:f>IF(D4796="","Unknown",IF(D4796&lt;25000,"&lt;$25k",IF(D4796&lt;50000,"$25k-$50k",IF(D4796&lt;75000,"$50k-$75k",IF(D4796&lt;100000,"$75k-$100k","$100k+")))))</x:f>
        <x:v>$25k-$50k</x:v>
      </x:c>
      <x:c r="P4796" t="str">
        <x:f>IF(E4796="","Unknown",IF(E4796&lt;10,"&lt;10",IF(E4796&lt;20,"10-&lt;20",IF(E4796&lt;25,"20-&lt;25",IF(E4796&lt;35,"25-&lt;35","35+")))))</x:f>
        <x:v>&lt;10</x:v>
      </x:c>
    </x:row>
    <x:row r="4797">
      <x:c r="A4797" t="str">
        <x:v>SYN0004796</x:v>
      </x:c>
      <x:c r="B4797" s="12" t="n">
        <x:v>41365</x:v>
      </x:c>
      <x:c r="C4797" s="18" t="n">
        <x:v>23163</x:v>
      </x:c>
      <x:c r="D4797" s="18" t="n">
        <x:v>45566</x:v>
      </x:c>
      <x:c r="E4797" s="18" t="n">
        <x:v>13.6</x:v>
      </x:c>
      <x:c r="F4797" s="18" t="n">
        <x:v>10.83</x:v>
      </x:c>
      <x:c r="G4797" t="n">
        <x:v>60</x:v>
      </x:c>
      <x:c r="H4797" t="str">
        <x:v>C</x:v>
      </x:c>
      <x:c r="I4797" t="str">
        <x:v>10+ years</x:v>
      </x:c>
      <x:c r="J4797" t="str">
        <x:v>MORTGAGE</x:v>
      </x:c>
      <x:c r="K4797" t="str">
        <x:v>debt_consolidation</x:v>
      </x:c>
      <x:c r="L4797" t="n">
        <x:v>0</x:v>
      </x:c>
      <x:c r="M4797" t="n">
        <x:v>0</x:v>
      </x:c>
      <x:c r="N4797" t="str">
        <x:v>Fully Paid</x:v>
      </x:c>
      <x:c r="O4797" t="str">
        <x:f>IF(D4797="","Unknown",IF(D4797&lt;25000,"&lt;$25k",IF(D4797&lt;50000,"$25k-$50k",IF(D4797&lt;75000,"$50k-$75k",IF(D4797&lt;100000,"$75k-$100k","$100k+")))))</x:f>
        <x:v>$25k-$50k</x:v>
      </x:c>
      <x:c r="P4797" t="str">
        <x:f>IF(E4797="","Unknown",IF(E4797&lt;10,"&lt;10",IF(E4797&lt;20,"10-&lt;20",IF(E4797&lt;25,"20-&lt;25",IF(E4797&lt;35,"25-&lt;35","35+")))))</x:f>
        <x:v>10-&lt;20</x:v>
      </x:c>
    </x:row>
    <x:row r="4798">
      <x:c r="A4798" t="str">
        <x:v>SYN0004797</x:v>
      </x:c>
      <x:c r="B4798" s="12" t="n">
        <x:v>42355</x:v>
      </x:c>
      <x:c r="C4798" s="18" t="n">
        <x:v>15713</x:v>
      </x:c>
      <x:c r="D4798" s="18" t="n">
        <x:v>87751</x:v>
      </x:c>
      <x:c r="E4798" s="18" t="n">
        <x:v>18.03</x:v>
      </x:c>
      <x:c r="F4798" s="18" t="n">
        <x:v>9.43</x:v>
      </x:c>
      <x:c r="G4798" t="n">
        <x:v>60</x:v>
      </x:c>
      <x:c r="H4798" t="str">
        <x:v>A</x:v>
      </x:c>
      <x:c r="I4798" t="str">
        <x:v>&lt;1 year</x:v>
      </x:c>
      <x:c r="J4798" t="str">
        <x:v>MORTGAGE</x:v>
      </x:c>
      <x:c r="K4798" t="str">
        <x:v>debt_consolidation</x:v>
      </x:c>
      <x:c r="L4798" t="n">
        <x:v>0</x:v>
      </x:c>
      <x:c r="M4798" t="n">
        <x:v>0</x:v>
      </x:c>
      <x:c r="N4798" t="str">
        <x:v>Fully Paid</x:v>
      </x:c>
      <x:c r="O4798" t="str">
        <x:f>IF(D4798="","Unknown",IF(D4798&lt;25000,"&lt;$25k",IF(D4798&lt;50000,"$25k-$50k",IF(D4798&lt;75000,"$50k-$75k",IF(D4798&lt;100000,"$75k-$100k","$100k+")))))</x:f>
        <x:v>$75k-$100k</x:v>
      </x:c>
      <x:c r="P4798" t="str">
        <x:f>IF(E4798="","Unknown",IF(E4798&lt;10,"&lt;10",IF(E4798&lt;20,"10-&lt;20",IF(E4798&lt;25,"20-&lt;25",IF(E4798&lt;35,"25-&lt;35","35+")))))</x:f>
        <x:v>10-&lt;20</x:v>
      </x:c>
    </x:row>
    <x:row r="4799">
      <x:c r="A4799" t="str">
        <x:v>SYN0004798</x:v>
      </x:c>
      <x:c r="B4799" s="12" t="n">
        <x:v>42025</x:v>
      </x:c>
      <x:c r="C4799" s="18" t="n">
        <x:v>10852</x:v>
      </x:c>
      <x:c r="D4799" s="18" t="n">
        <x:v>31687</x:v>
      </x:c>
      <x:c r="E4799" s="18" t="n">
        <x:v>23.19</x:v>
      </x:c>
      <x:c r="F4799" s="18" t="n">
        <x:v>13.26</x:v>
      </x:c>
      <x:c r="G4799" t="n">
        <x:v>36</x:v>
      </x:c>
      <x:c r="H4799" t="str">
        <x:v>D</x:v>
      </x:c>
      <x:c r="I4799" t="str">
        <x:v>1-3 years</x:v>
      </x:c>
      <x:c r="J4799" t="str">
        <x:v>RENT</x:v>
      </x:c>
      <x:c r="K4799" t="str">
        <x:v>debt_consolidation</x:v>
      </x:c>
      <x:c r="L4799" t="n">
        <x:v>0</x:v>
      </x:c>
      <x:c r="M4799" t="n">
        <x:v>0</x:v>
      </x:c>
      <x:c r="N4799" t="str">
        <x:v>Fully Paid</x:v>
      </x:c>
      <x:c r="O4799" t="str">
        <x:f>IF(D4799="","Unknown",IF(D4799&lt;25000,"&lt;$25k",IF(D4799&lt;50000,"$25k-$50k",IF(D4799&lt;75000,"$50k-$75k",IF(D4799&lt;100000,"$75k-$100k","$100k+")))))</x:f>
        <x:v>$25k-$50k</x:v>
      </x:c>
      <x:c r="P4799" t="str">
        <x:f>IF(E4799="","Unknown",IF(E4799&lt;10,"&lt;10",IF(E4799&lt;20,"10-&lt;20",IF(E4799&lt;25,"20-&lt;25",IF(E4799&lt;35,"25-&lt;35","35+")))))</x:f>
        <x:v>20-&lt;25</x:v>
      </x:c>
    </x:row>
    <x:row r="4800">
      <x:c r="A4800" t="str">
        <x:v>SYN0004799</x:v>
      </x:c>
      <x:c r="B4800" s="12" t="n">
        <x:v>42625</x:v>
      </x:c>
      <x:c r="C4800" s="18" t="n">
        <x:v>6790</x:v>
      </x:c>
      <x:c r="D4800" s="18" t="n">
        <x:v>75400</x:v>
      </x:c>
      <x:c r="E4800" s="18" t="n">
        <x:v>23.18</x:v>
      </x:c>
      <x:c r="F4800" s="18" t="n">
        <x:v>12.54</x:v>
      </x:c>
      <x:c r="G4800" t="n">
        <x:v>36</x:v>
      </x:c>
      <x:c r="H4800" t="str">
        <x:v>D</x:v>
      </x:c>
      <x:c r="I4800" t="str">
        <x:v>1-3 years</x:v>
      </x:c>
      <x:c r="J4800" t="str">
        <x:v>MORTGAGE</x:v>
      </x:c>
      <x:c r="K4800" t="str">
        <x:v>debt_consolidation</x:v>
      </x:c>
      <x:c r="L4800" t="n">
        <x:v>2</x:v>
      </x:c>
      <x:c r="M4800" t="n">
        <x:v>0</x:v>
      </x:c>
      <x:c r="N4800" t="str">
        <x:v>Fully Paid</x:v>
      </x:c>
      <x:c r="O4800" t="str">
        <x:f>IF(D4800="","Unknown",IF(D4800&lt;25000,"&lt;$25k",IF(D4800&lt;50000,"$25k-$50k",IF(D4800&lt;75000,"$50k-$75k",IF(D4800&lt;100000,"$75k-$100k","$100k+")))))</x:f>
        <x:v>$75k-$100k</x:v>
      </x:c>
      <x:c r="P4800" t="str">
        <x:f>IF(E4800="","Unknown",IF(E4800&lt;10,"&lt;10",IF(E4800&lt;20,"10-&lt;20",IF(E4800&lt;25,"20-&lt;25",IF(E4800&lt;35,"25-&lt;35","35+")))))</x:f>
        <x:v>20-&lt;25</x:v>
      </x:c>
    </x:row>
    <x:row r="4801">
      <x:c r="A4801" t="str">
        <x:v>SYN0004800</x:v>
      </x:c>
      <x:c r="B4801" s="12" t="n">
        <x:v>42895</x:v>
      </x:c>
      <x:c r="C4801" s="18" t="n">
        <x:v>9399</x:v>
      </x:c>
      <x:c r="D4801" s="18" t="n">
        <x:v>32245</x:v>
      </x:c>
      <x:c r="E4801" s="18" t="n">
        <x:v>5.6</x:v>
      </x:c>
      <x:c r="F4801" s="18" t="n">
        <x:v>8.91</x:v>
      </x:c>
      <x:c r="G4801" t="n">
        <x:v>36</x:v>
      </x:c>
      <x:c r="H4801" t="str">
        <x:v>B</x:v>
      </x:c>
      <x:c r="I4801" t="str">
        <x:v>4-6 years</x:v>
      </x:c>
      <x:c r="J4801" t="str">
        <x:v>MORTGAGE</x:v>
      </x:c>
      <x:c r="K4801" t="str">
        <x:v>debt_consolidation</x:v>
      </x:c>
      <x:c r="L4801" t="n">
        <x:v>1</x:v>
      </x:c>
      <x:c r="M4801" t="n">
        <x:v>0</x:v>
      </x:c>
      <x:c r="N4801" t="str">
        <x:v>Fully Paid</x:v>
      </x:c>
      <x:c r="O4801" t="str">
        <x:f>IF(D4801="","Unknown",IF(D4801&lt;25000,"&lt;$25k",IF(D4801&lt;50000,"$25k-$50k",IF(D4801&lt;75000,"$50k-$75k",IF(D4801&lt;100000,"$75k-$100k","$100k+")))))</x:f>
        <x:v>$25k-$50k</x:v>
      </x:c>
      <x:c r="P4801" t="str">
        <x:f>IF(E4801="","Unknown",IF(E4801&lt;10,"&lt;10",IF(E4801&lt;20,"10-&lt;20",IF(E4801&lt;25,"20-&lt;25",IF(E4801&lt;35,"25-&lt;35","35+")))))</x:f>
        <x:v>&lt;10</x:v>
      </x:c>
    </x:row>
    <x:row r="4802">
      <x:c r="A4802" t="str">
        <x:v>SYN0004801</x:v>
      </x:c>
      <x:c r="B4802" s="12" t="n">
        <x:v>42505</x:v>
      </x:c>
      <x:c r="C4802" s="18" t="n">
        <x:v>11557</x:v>
      </x:c>
      <x:c r="D4802" s="18" t="n">
        <x:v>37340</x:v>
      </x:c>
      <x:c r="E4802" s="18" t="n">
        <x:v>30.84</x:v>
      </x:c>
      <x:c r="F4802" s="18" t="n">
        <x:v>15.75</x:v>
      </x:c>
      <x:c r="G4802" t="n">
        <x:v>36</x:v>
      </x:c>
      <x:c r="H4802" t="str">
        <x:v>D</x:v>
      </x:c>
      <x:c r="I4802" t="str">
        <x:v>4-6 years</x:v>
      </x:c>
      <x:c r="J4802" t="str">
        <x:v>OWN</x:v>
      </x:c>
      <x:c r="K4802" t="str">
        <x:v>credit_card</x:v>
      </x:c>
      <x:c r="L4802" t="n">
        <x:v>2</x:v>
      </x:c>
      <x:c r="M4802" t="n">
        <x:v>0</x:v>
      </x:c>
      <x:c r="N4802" t="str">
        <x:v>Fully Paid</x:v>
      </x:c>
      <x:c r="O4802" t="str">
        <x:f>IF(D4802="","Unknown",IF(D4802&lt;25000,"&lt;$25k",IF(D4802&lt;50000,"$25k-$50k",IF(D4802&lt;75000,"$50k-$75k",IF(D4802&lt;100000,"$75k-$100k","$100k+")))))</x:f>
        <x:v>$25k-$50k</x:v>
      </x:c>
      <x:c r="P4802" t="str">
        <x:f>IF(E4802="","Unknown",IF(E4802&lt;10,"&lt;10",IF(E4802&lt;20,"10-&lt;20",IF(E4802&lt;25,"20-&lt;25",IF(E4802&lt;35,"25-&lt;35","35+")))))</x:f>
        <x:v>25-&lt;35</x:v>
      </x:c>
    </x:row>
    <x:row r="4803">
      <x:c r="A4803" t="str">
        <x:v>SYN0004802</x:v>
      </x:c>
      <x:c r="B4803" s="12" t="n">
        <x:v>42115</x:v>
      </x:c>
      <x:c r="C4803" s="18" t="n">
        <x:v>16591</x:v>
      </x:c>
      <x:c r="D4803" s="18" t="n">
        <x:v>38203</x:v>
      </x:c>
      <x:c r="E4803" s="18" t="n">
        <x:v>13.21</x:v>
      </x:c>
      <x:c r="F4803" s="18" t="n">
        <x:v>7.99</x:v>
      </x:c>
      <x:c r="G4803" t="n">
        <x:v>36</x:v>
      </x:c>
      <x:c r="H4803" t="str">
        <x:v>B</x:v>
      </x:c>
      <x:c r="I4803" t="str">
        <x:v>&lt;1 year</x:v>
      </x:c>
      <x:c r="J4803" t="str">
        <x:v>MORTGAGE</x:v>
      </x:c>
      <x:c r="K4803" t="str">
        <x:v>debt_consolidation</x:v>
      </x:c>
      <x:c r="L4803" t="n">
        <x:v>0</x:v>
      </x:c>
      <x:c r="M4803" t="n">
        <x:v>0</x:v>
      </x:c>
      <x:c r="N4803" t="str">
        <x:v>Fully Paid</x:v>
      </x:c>
      <x:c r="O4803" t="str">
        <x:f>IF(D4803="","Unknown",IF(D4803&lt;25000,"&lt;$25k",IF(D4803&lt;50000,"$25k-$50k",IF(D4803&lt;75000,"$50k-$75k",IF(D4803&lt;100000,"$75k-$100k","$100k+")))))</x:f>
        <x:v>$25k-$50k</x:v>
      </x:c>
      <x:c r="P4803" t="str">
        <x:f>IF(E4803="","Unknown",IF(E4803&lt;10,"&lt;10",IF(E4803&lt;20,"10-&lt;20",IF(E4803&lt;25,"20-&lt;25",IF(E4803&lt;35,"25-&lt;35","35+")))))</x:f>
        <x:v>10-&lt;20</x:v>
      </x:c>
    </x:row>
    <x:row r="4804">
      <x:c r="A4804" t="str">
        <x:v>SYN0004803</x:v>
      </x:c>
      <x:c r="B4804" s="12" t="n">
        <x:v>42325</x:v>
      </x:c>
      <x:c r="C4804" s="18" t="n">
        <x:v>12561</x:v>
      </x:c>
      <x:c r="D4804" s="18" t="n">
        <x:v>90057</x:v>
      </x:c>
      <x:c r="E4804" s="18" t="n">
        <x:v>27.44</x:v>
      </x:c>
      <x:c r="F4804" s="18" t="n">
        <x:v>16.06</x:v>
      </x:c>
      <x:c r="G4804" t="n">
        <x:v>60</x:v>
      </x:c>
      <x:c r="H4804" t="str">
        <x:v>E</x:v>
      </x:c>
      <x:c r="I4804" t="str">
        <x:v>1-3 years</x:v>
      </x:c>
      <x:c r="J4804" t="str">
        <x:v>RENT</x:v>
      </x:c>
      <x:c r="K4804" t="str">
        <x:v>home_improvement</x:v>
      </x:c>
      <x:c r="L4804" t="n">
        <x:v>2</x:v>
      </x:c>
      <x:c r="M4804" t="n">
        <x:v>0</x:v>
      </x:c>
      <x:c r="N4804" t="str">
        <x:v>Fully Paid</x:v>
      </x:c>
      <x:c r="O4804" t="str">
        <x:f>IF(D4804="","Unknown",IF(D4804&lt;25000,"&lt;$25k",IF(D4804&lt;50000,"$25k-$50k",IF(D4804&lt;75000,"$50k-$75k",IF(D4804&lt;100000,"$75k-$100k","$100k+")))))</x:f>
        <x:v>$75k-$100k</x:v>
      </x:c>
      <x:c r="P4804" t="str">
        <x:f>IF(E4804="","Unknown",IF(E4804&lt;10,"&lt;10",IF(E4804&lt;20,"10-&lt;20",IF(E4804&lt;25,"20-&lt;25",IF(E4804&lt;35,"25-&lt;35","35+")))))</x:f>
        <x:v>25-&lt;35</x:v>
      </x:c>
    </x:row>
    <x:row r="4805">
      <x:c r="A4805" t="str">
        <x:v>SYN0004804</x:v>
      </x:c>
      <x:c r="B4805" s="12" t="n">
        <x:v>41755</x:v>
      </x:c>
      <x:c r="C4805" s="18" t="n">
        <x:v>15153</x:v>
      </x:c>
      <x:c r="D4805" s="18" t="n">
        <x:v>63447</x:v>
      </x:c>
      <x:c r="E4805" s="18" t="n">
        <x:v>6.51</x:v>
      </x:c>
      <x:c r="F4805" s="18" t="n">
        <x:v>9.19</x:v>
      </x:c>
      <x:c r="G4805" t="n">
        <x:v>36</x:v>
      </x:c>
      <x:c r="H4805" t="str">
        <x:v>B</x:v>
      </x:c>
      <x:c r="I4805" t="str">
        <x:v>4-6 years</x:v>
      </x:c>
      <x:c r="J4805" t="str">
        <x:v>MORTGAGE</x:v>
      </x:c>
      <x:c r="K4805" t="str">
        <x:v>major_purchase</x:v>
      </x:c>
      <x:c r="L4805" t="n">
        <x:v>0</x:v>
      </x:c>
      <x:c r="M4805" t="n">
        <x:v>0</x:v>
      </x:c>
      <x:c r="N4805" t="str">
        <x:v>Fully Paid</x:v>
      </x:c>
      <x:c r="O4805" t="str">
        <x:f>IF(D4805="","Unknown",IF(D4805&lt;25000,"&lt;$25k",IF(D4805&lt;50000,"$25k-$50k",IF(D4805&lt;75000,"$50k-$75k",IF(D4805&lt;100000,"$75k-$100k","$100k+")))))</x:f>
        <x:v>$50k-$75k</x:v>
      </x:c>
      <x:c r="P4805" t="str">
        <x:f>IF(E4805="","Unknown",IF(E4805&lt;10,"&lt;10",IF(E4805&lt;20,"10-&lt;20",IF(E4805&lt;25,"20-&lt;25",IF(E4805&lt;35,"25-&lt;35","35+")))))</x:f>
        <x:v>&lt;10</x:v>
      </x:c>
    </x:row>
    <x:row r="4806">
      <x:c r="A4806" t="str">
        <x:v>SYN0004805</x:v>
      </x:c>
      <x:c r="B4806" s="12" t="n">
        <x:v>41605</x:v>
      </x:c>
      <x:c r="C4806" s="18" t="n">
        <x:v>12636</x:v>
      </x:c>
      <x:c r="D4806" s="18" t="n">
        <x:v>91034</x:v>
      </x:c>
      <x:c r="E4806" s="18" t="n">
        <x:v>39.62</x:v>
      </x:c>
      <x:c r="F4806" s="18" t="n">
        <x:v>10.75</x:v>
      </x:c>
      <x:c r="G4806" t="n">
        <x:v>60</x:v>
      </x:c>
      <x:c r="H4806" t="str">
        <x:v>C</x:v>
      </x:c>
      <x:c r="I4806" t="str">
        <x:v>4-6 years</x:v>
      </x:c>
      <x:c r="J4806" t="str">
        <x:v>MORTGAGE</x:v>
      </x:c>
      <x:c r="K4806" t="str">
        <x:v>debt_consolidation</x:v>
      </x:c>
      <x:c r="L4806" t="n">
        <x:v>0</x:v>
      </x:c>
      <x:c r="M4806" t="n">
        <x:v>0</x:v>
      </x:c>
      <x:c r="N4806" t="str">
        <x:v>Fully Paid</x:v>
      </x:c>
      <x:c r="O4806" t="str">
        <x:f>IF(D4806="","Unknown",IF(D4806&lt;25000,"&lt;$25k",IF(D4806&lt;50000,"$25k-$50k",IF(D4806&lt;75000,"$50k-$75k",IF(D4806&lt;100000,"$75k-$100k","$100k+")))))</x:f>
        <x:v>$75k-$100k</x:v>
      </x:c>
      <x:c r="P4806" t="str">
        <x:f>IF(E4806="","Unknown",IF(E4806&lt;10,"&lt;10",IF(E4806&lt;20,"10-&lt;20",IF(E4806&lt;25,"20-&lt;25",IF(E4806&lt;35,"25-&lt;35","35+")))))</x:f>
        <x:v>35+</x:v>
      </x:c>
    </x:row>
    <x:row r="4807">
      <x:c r="A4807" t="str">
        <x:v>SYN0004806</x:v>
      </x:c>
      <x:c r="B4807" s="12" t="n">
        <x:v>41335</x:v>
      </x:c>
      <x:c r="C4807" s="18" t="n">
        <x:v>14924</x:v>
      </x:c>
      <x:c r="D4807" s="18" t="n">
        <x:v>24755</x:v>
      </x:c>
      <x:c r="E4807" s="18" t="n">
        <x:v>9.36</x:v>
      </x:c>
      <x:c r="F4807" s="18" t="n">
        <x:v>10.85</x:v>
      </x:c>
      <x:c r="G4807" t="n">
        <x:v>36</x:v>
      </x:c>
      <x:c r="H4807" t="str">
        <x:v>A</x:v>
      </x:c>
      <x:c r="I4807" t="str">
        <x:v>10+ years</x:v>
      </x:c>
      <x:c r="J4807" t="str">
        <x:v>RENT</x:v>
      </x:c>
      <x:c r="K4807" t="str">
        <x:v>debt_consolidation</x:v>
      </x:c>
      <x:c r="L4807" t="n">
        <x:v>0</x:v>
      </x:c>
      <x:c r="M4807" t="n">
        <x:v>0</x:v>
      </x:c>
      <x:c r="N4807" t="str">
        <x:v>Fully Paid</x:v>
      </x:c>
      <x:c r="O4807" t="str">
        <x:f>IF(D4807="","Unknown",IF(D4807&lt;25000,"&lt;$25k",IF(D4807&lt;50000,"$25k-$50k",IF(D4807&lt;75000,"$50k-$75k",IF(D4807&lt;100000,"$75k-$100k","$100k+")))))</x:f>
        <x:v>&lt;$25k</x:v>
      </x:c>
      <x:c r="P4807" t="str">
        <x:f>IF(E4807="","Unknown",IF(E4807&lt;10,"&lt;10",IF(E4807&lt;20,"10-&lt;20",IF(E4807&lt;25,"20-&lt;25",IF(E4807&lt;35,"25-&lt;35","35+")))))</x:f>
        <x:v>&lt;10</x:v>
      </x:c>
    </x:row>
    <x:row r="4808">
      <x:c r="A4808" t="str">
        <x:v>SYN0004807</x:v>
      </x:c>
      <x:c r="B4808" s="12" t="n">
        <x:v>41425</x:v>
      </x:c>
      <x:c r="C4808" s="18" t="n">
        <x:v>5930</x:v>
      </x:c>
      <x:c r="D4808" s="18" t="n">
        <x:v>55015</x:v>
      </x:c>
      <x:c r="E4808" s="18" t="n">
        <x:v>17.27</x:v>
      </x:c>
      <x:c r="F4808" s="18" t="n">
        <x:v>12.43</x:v>
      </x:c>
      <x:c r="G4808" t="n">
        <x:v>60</x:v>
      </x:c>
      <x:c r="H4808" t="str">
        <x:v>C</x:v>
      </x:c>
      <x:c r="I4808" t="str">
        <x:v>1-3 years</x:v>
      </x:c>
      <x:c r="J4808" t="str">
        <x:v>MORTGAGE</x:v>
      </x:c>
      <x:c r="K4808" t="str">
        <x:v>credit_card</x:v>
      </x:c>
      <x:c r="L4808" t="n">
        <x:v>0</x:v>
      </x:c>
      <x:c r="M4808" t="n">
        <x:v>0</x:v>
      </x:c>
      <x:c r="N4808" t="str">
        <x:v>Fully Paid</x:v>
      </x:c>
      <x:c r="O4808" t="str">
        <x:f>IF(D4808="","Unknown",IF(D4808&lt;25000,"&lt;$25k",IF(D4808&lt;50000,"$25k-$50k",IF(D4808&lt;75000,"$50k-$75k",IF(D4808&lt;100000,"$75k-$100k","$100k+")))))</x:f>
        <x:v>$50k-$75k</x:v>
      </x:c>
      <x:c r="P4808" t="str">
        <x:f>IF(E4808="","Unknown",IF(E4808&lt;10,"&lt;10",IF(E4808&lt;20,"10-&lt;20",IF(E4808&lt;25,"20-&lt;25",IF(E4808&lt;35,"25-&lt;35","35+")))))</x:f>
        <x:v>10-&lt;20</x:v>
      </x:c>
    </x:row>
    <x:row r="4809">
      <x:c r="A4809" t="str">
        <x:v>SYN0004808</x:v>
      </x:c>
      <x:c r="B4809" s="12" t="n">
        <x:v>41665</x:v>
      </x:c>
      <x:c r="C4809" s="18" t="n">
        <x:v>10890</x:v>
      </x:c>
      <x:c r="D4809" s="18" t="n">
        <x:v>42455</x:v>
      </x:c>
      <x:c r="E4809" s="18" t="n">
        <x:v>23.82</x:v>
      </x:c>
      <x:c r="F4809" s="18" t="n">
        <x:v>11.88</x:v>
      </x:c>
      <x:c r="G4809" t="n">
        <x:v>36</x:v>
      </x:c>
      <x:c r="H4809" t="str">
        <x:v>D</x:v>
      </x:c>
      <x:c r="I4809" t="str">
        <x:v>1-3 years</x:v>
      </x:c>
      <x:c r="J4809" t="str">
        <x:v>MORTGAGE</x:v>
      </x:c>
      <x:c r="K4809" t="str">
        <x:v>other</x:v>
      </x:c>
      <x:c r="L4809" t="n">
        <x:v>2</x:v>
      </x:c>
      <x:c r="M4809" t="n">
        <x:v>0</x:v>
      </x:c>
      <x:c r="N4809" t="str">
        <x:v>Fully Paid</x:v>
      </x:c>
      <x:c r="O4809" t="str">
        <x:f>IF(D4809="","Unknown",IF(D4809&lt;25000,"&lt;$25k",IF(D4809&lt;50000,"$25k-$50k",IF(D4809&lt;75000,"$50k-$75k",IF(D4809&lt;100000,"$75k-$100k","$100k+")))))</x:f>
        <x:v>$25k-$50k</x:v>
      </x:c>
      <x:c r="P4809" t="str">
        <x:f>IF(E4809="","Unknown",IF(E4809&lt;10,"&lt;10",IF(E4809&lt;20,"10-&lt;20",IF(E4809&lt;25,"20-&lt;25",IF(E4809&lt;35,"25-&lt;35","35+")))))</x:f>
        <x:v>20-&lt;25</x:v>
      </x:c>
    </x:row>
    <x:row r="4810">
      <x:c r="A4810" t="str">
        <x:v>SYN0004809</x:v>
      </x:c>
      <x:c r="B4810" s="12" t="n">
        <x:v>42535</x:v>
      </x:c>
      <x:c r="C4810" s="18" t="n">
        <x:v>13855</x:v>
      </x:c>
      <x:c r="D4810" s="18" t="n">
        <x:v>46366</x:v>
      </x:c>
      <x:c r="E4810" s="18" t="n">
        <x:v>25.24</x:v>
      </x:c>
      <x:c r="F4810" s="18" t="n">
        <x:v>9.99</x:v>
      </x:c>
      <x:c r="G4810" t="n">
        <x:v>36</x:v>
      </x:c>
      <x:c r="H4810" t="str">
        <x:v>B</x:v>
      </x:c>
      <x:c r="I4810" t="str">
        <x:v>4-6 years</x:v>
      </x:c>
      <x:c r="J4810" t="str">
        <x:v>RENT</x:v>
      </x:c>
      <x:c r="K4810" t="str">
        <x:v>debt_consolidation</x:v>
      </x:c>
      <x:c r="L4810" t="n">
        <x:v>1</x:v>
      </x:c>
      <x:c r="M4810" t="n">
        <x:v>0</x:v>
      </x:c>
      <x:c r="N4810" t="str">
        <x:v>Fully Paid</x:v>
      </x:c>
      <x:c r="O4810" t="str">
        <x:f>IF(D4810="","Unknown",IF(D4810&lt;25000,"&lt;$25k",IF(D4810&lt;50000,"$25k-$50k",IF(D4810&lt;75000,"$50k-$75k",IF(D4810&lt;100000,"$75k-$100k","$100k+")))))</x:f>
        <x:v>$25k-$50k</x:v>
      </x:c>
      <x:c r="P4810" t="str">
        <x:f>IF(E4810="","Unknown",IF(E4810&lt;10,"&lt;10",IF(E4810&lt;20,"10-&lt;20",IF(E4810&lt;25,"20-&lt;25",IF(E4810&lt;35,"25-&lt;35","35+")))))</x:f>
        <x:v>25-&lt;35</x:v>
      </x:c>
    </x:row>
    <x:row r="4811">
      <x:c r="A4811" t="str">
        <x:v>SYN0004810</x:v>
      </x:c>
      <x:c r="B4811" s="12" t="n">
        <x:v>42685</x:v>
      </x:c>
      <x:c r="C4811" s="18" t="n">
        <x:v>33037</x:v>
      </x:c>
      <x:c r="D4811" s="18" t="n">
        <x:v>14463</x:v>
      </x:c>
      <x:c r="E4811" s="18" t="n">
        <x:v>29.23</x:v>
      </x:c>
      <x:c r="F4811" s="18" t="n">
        <x:v>9.54</x:v>
      </x:c>
      <x:c r="G4811" t="n">
        <x:v>36</x:v>
      </x:c>
      <x:c r="H4811" t="str">
        <x:v>B</x:v>
      </x:c>
      <x:c r="I4811" t="str">
        <x:v>7-9 years</x:v>
      </x:c>
      <x:c r="J4811" t="str">
        <x:v>RENT</x:v>
      </x:c>
      <x:c r="K4811" t="str">
        <x:v>major_purchase</x:v>
      </x:c>
      <x:c r="L4811" t="n">
        <x:v>0</x:v>
      </x:c>
      <x:c r="M4811" t="n">
        <x:v>0</x:v>
      </x:c>
      <x:c r="N4811" t="str">
        <x:v>Fully Paid</x:v>
      </x:c>
      <x:c r="O4811" t="str">
        <x:f>IF(D4811="","Unknown",IF(D4811&lt;25000,"&lt;$25k",IF(D4811&lt;50000,"$25k-$50k",IF(D4811&lt;75000,"$50k-$75k",IF(D4811&lt;100000,"$75k-$100k","$100k+")))))</x:f>
        <x:v>&lt;$25k</x:v>
      </x:c>
      <x:c r="P4811" t="str">
        <x:f>IF(E4811="","Unknown",IF(E4811&lt;10,"&lt;10",IF(E4811&lt;20,"10-&lt;20",IF(E4811&lt;25,"20-&lt;25",IF(E4811&lt;35,"25-&lt;35","35+")))))</x:f>
        <x:v>25-&lt;35</x:v>
      </x:c>
    </x:row>
    <x:row r="4812">
      <x:c r="A4812" t="str">
        <x:v>SYN0004811</x:v>
      </x:c>
      <x:c r="B4812" s="12" t="n">
        <x:v>43105</x:v>
      </x:c>
      <x:c r="C4812" s="18" t="n">
        <x:v>6975</x:v>
      </x:c>
      <x:c r="D4812" s="18" t="n">
        <x:v>81633</x:v>
      </x:c>
      <x:c r="E4812" s="18" t="n">
        <x:v>28.81</x:v>
      </x:c>
      <x:c r="F4812" s="18" t="n">
        <x:v>16.53</x:v>
      </x:c>
      <x:c r="G4812" t="n">
        <x:v>36</x:v>
      </x:c>
      <x:c r="H4812" t="str">
        <x:v>D</x:v>
      </x:c>
      <x:c r="I4812" t="str">
        <x:v>10+ years</x:v>
      </x:c>
      <x:c r="J4812" t="str">
        <x:v>OWN</x:v>
      </x:c>
      <x:c r="K4812" t="str">
        <x:v>other</x:v>
      </x:c>
      <x:c r="L4812" t="n">
        <x:v>0</x:v>
      </x:c>
      <x:c r="M4812" t="n">
        <x:v>0</x:v>
      </x:c>
      <x:c r="N4812" t="str">
        <x:v>Fully Paid</x:v>
      </x:c>
      <x:c r="O4812" t="str">
        <x:f>IF(D4812="","Unknown",IF(D4812&lt;25000,"&lt;$25k",IF(D4812&lt;50000,"$25k-$50k",IF(D4812&lt;75000,"$50k-$75k",IF(D4812&lt;100000,"$75k-$100k","$100k+")))))</x:f>
        <x:v>$75k-$100k</x:v>
      </x:c>
      <x:c r="P4812" t="str">
        <x:f>IF(E4812="","Unknown",IF(E4812&lt;10,"&lt;10",IF(E4812&lt;20,"10-&lt;20",IF(E4812&lt;25,"20-&lt;25",IF(E4812&lt;35,"25-&lt;35","35+")))))</x:f>
        <x:v>25-&lt;35</x:v>
      </x:c>
    </x:row>
    <x:row r="4813">
      <x:c r="A4813" t="str">
        <x:v>SYN0004812</x:v>
      </x:c>
      <x:c r="B4813" s="12" t="n">
        <x:v>43165</x:v>
      </x:c>
      <x:c r="C4813" s="18" t="n">
        <x:v>11652</x:v>
      </x:c>
      <x:c r="D4813" s="18" t="n">
        <x:v>18072</x:v>
      </x:c>
      <x:c r="E4813" s="18" t="n">
        <x:v>15.62</x:v>
      </x:c>
      <x:c r="F4813" s="18" t="n">
        <x:v>15.35</x:v>
      </x:c>
      <x:c r="G4813" t="n">
        <x:v>60</x:v>
      </x:c>
      <x:c r="H4813" t="str">
        <x:v>E</x:v>
      </x:c>
      <x:c r="I4813" t="str">
        <x:v>1-3 years</x:v>
      </x:c>
      <x:c r="J4813" t="str">
        <x:v>MORTGAGE</x:v>
      </x:c>
      <x:c r="K4813" t="str">
        <x:v>credit_card</x:v>
      </x:c>
      <x:c r="L4813" t="n">
        <x:v>0</x:v>
      </x:c>
      <x:c r="M4813" t="n">
        <x:v>0</x:v>
      </x:c>
      <x:c r="N4813" t="str">
        <x:v>Fully Paid</x:v>
      </x:c>
      <x:c r="O4813" t="str">
        <x:f>IF(D4813="","Unknown",IF(D4813&lt;25000,"&lt;$25k",IF(D4813&lt;50000,"$25k-$50k",IF(D4813&lt;75000,"$50k-$75k",IF(D4813&lt;100000,"$75k-$100k","$100k+")))))</x:f>
        <x:v>&lt;$25k</x:v>
      </x:c>
      <x:c r="P4813" t="str">
        <x:f>IF(E4813="","Unknown",IF(E4813&lt;10,"&lt;10",IF(E4813&lt;20,"10-&lt;20",IF(E4813&lt;25,"20-&lt;25",IF(E4813&lt;35,"25-&lt;35","35+")))))</x:f>
        <x:v>10-&lt;20</x:v>
      </x:c>
    </x:row>
    <x:row r="4814">
      <x:c r="A4814" t="str">
        <x:v>SYN0004813</x:v>
      </x:c>
      <x:c r="B4814" s="12" t="n">
        <x:v>43105</x:v>
      </x:c>
      <x:c r="C4814" s="18" t="n">
        <x:v>9635</x:v>
      </x:c>
      <x:c r="D4814" s="18" t="n">
        <x:v>58754</x:v>
      </x:c>
      <x:c r="E4814" s="18" t="n">
        <x:v>31.67</x:v>
      </x:c>
      <x:c r="F4814" s="18" t="n">
        <x:v>17.71</x:v>
      </x:c>
      <x:c r="G4814" t="n">
        <x:v>36</x:v>
      </x:c>
      <x:c r="H4814" t="str">
        <x:v>D</x:v>
      </x:c>
      <x:c r="I4814" t="str">
        <x:v>10+ years</x:v>
      </x:c>
      <x:c r="J4814" t="str">
        <x:v>RENT</x:v>
      </x:c>
      <x:c r="K4814" t="str">
        <x:v>debt_consolidation</x:v>
      </x:c>
      <x:c r="L4814" t="n">
        <x:v>1</x:v>
      </x:c>
      <x:c r="M4814" t="n">
        <x:v>0</x:v>
      </x:c>
      <x:c r="N4814" t="str">
        <x:v>Fully Paid</x:v>
      </x:c>
      <x:c r="O4814" t="str">
        <x:f>IF(D4814="","Unknown",IF(D4814&lt;25000,"&lt;$25k",IF(D4814&lt;50000,"$25k-$50k",IF(D4814&lt;75000,"$50k-$75k",IF(D4814&lt;100000,"$75k-$100k","$100k+")))))</x:f>
        <x:v>$50k-$75k</x:v>
      </x:c>
      <x:c r="P4814" t="str">
        <x:f>IF(E4814="","Unknown",IF(E4814&lt;10,"&lt;10",IF(E4814&lt;20,"10-&lt;20",IF(E4814&lt;25,"20-&lt;25",IF(E4814&lt;35,"25-&lt;35","35+")))))</x:f>
        <x:v>25-&lt;35</x:v>
      </x:c>
    </x:row>
    <x:row r="4815">
      <x:c r="A4815" t="str">
        <x:v>SYN0004814</x:v>
      </x:c>
      <x:c r="B4815" s="12" t="n">
        <x:v>42085</x:v>
      </x:c>
      <x:c r="C4815" s="18" t="n">
        <x:v>17621</x:v>
      </x:c>
      <x:c r="D4815" s="18" t="n">
        <x:v>20918</x:v>
      </x:c>
      <x:c r="E4815" s="18" t="n">
        <x:v>19.98</x:v>
      </x:c>
      <x:c r="F4815" s="18" t="n">
        <x:v>9.37</x:v>
      </x:c>
      <x:c r="G4815" t="n">
        <x:v>60</x:v>
      </x:c>
      <x:c r="H4815" t="str">
        <x:v>C</x:v>
      </x:c>
      <x:c r="I4815" t="str">
        <x:v>7-9 years</x:v>
      </x:c>
      <x:c r="J4815" t="str">
        <x:v>OWN</x:v>
      </x:c>
      <x:c r="K4815" t="str">
        <x:v>other</x:v>
      </x:c>
      <x:c r="L4815" t="n">
        <x:v>0</x:v>
      </x:c>
      <x:c r="M4815" t="n">
        <x:v>0</x:v>
      </x:c>
      <x:c r="N4815" t="str">
        <x:v>Fully Paid</x:v>
      </x:c>
      <x:c r="O4815" t="str">
        <x:f>IF(D4815="","Unknown",IF(D4815&lt;25000,"&lt;$25k",IF(D4815&lt;50000,"$25k-$50k",IF(D4815&lt;75000,"$50k-$75k",IF(D4815&lt;100000,"$75k-$100k","$100k+")))))</x:f>
        <x:v>&lt;$25k</x:v>
      </x:c>
      <x:c r="P4815" t="str">
        <x:f>IF(E4815="","Unknown",IF(E4815&lt;10,"&lt;10",IF(E4815&lt;20,"10-&lt;20",IF(E4815&lt;25,"20-&lt;25",IF(E4815&lt;35,"25-&lt;35","35+")))))</x:f>
        <x:v>10-&lt;20</x:v>
      </x:c>
    </x:row>
    <x:row r="4816">
      <x:c r="A4816" t="str">
        <x:v>SYN0004815</x:v>
      </x:c>
      <x:c r="B4816" s="12" t="n">
        <x:v>43135</x:v>
      </x:c>
      <x:c r="C4816" s="18" t="n">
        <x:v>8449</x:v>
      </x:c>
      <x:c r="D4816" s="18" t="n">
        <x:v>231533</x:v>
      </x:c>
      <x:c r="E4816" s="18" t="n">
        <x:v>28.6</x:v>
      </x:c>
      <x:c r="F4816" s="18" t="n">
        <x:v>21.02</x:v>
      </x:c>
      <x:c r="G4816" t="n">
        <x:v>36</x:v>
      </x:c>
      <x:c r="H4816" t="str">
        <x:v>F</x:v>
      </x:c>
      <x:c r="I4816" t="str">
        <x:v>10+ years</x:v>
      </x:c>
      <x:c r="J4816" t="str">
        <x:v>RENT</x:v>
      </x:c>
      <x:c r="K4816" t="str">
        <x:v>debt_consolidation</x:v>
      </x:c>
      <x:c r="L4816" t="n">
        <x:v>2</x:v>
      </x:c>
      <x:c r="M4816" t="n">
        <x:v>0</x:v>
      </x:c>
      <x:c r="N4816" t="str">
        <x:v>Fully Paid</x:v>
      </x:c>
      <x:c r="O4816" t="str">
        <x:f>IF(D4816="","Unknown",IF(D4816&lt;25000,"&lt;$25k",IF(D4816&lt;50000,"$25k-$50k",IF(D4816&lt;75000,"$50k-$75k",IF(D4816&lt;100000,"$75k-$100k","$100k+")))))</x:f>
        <x:v>$100k+</x:v>
      </x:c>
      <x:c r="P4816" t="str">
        <x:f>IF(E4816="","Unknown",IF(E4816&lt;10,"&lt;10",IF(E4816&lt;20,"10-&lt;20",IF(E4816&lt;25,"20-&lt;25",IF(E4816&lt;35,"25-&lt;35","35+")))))</x:f>
        <x:v>25-&lt;35</x:v>
      </x:c>
    </x:row>
    <x:row r="4817">
      <x:c r="A4817" t="str">
        <x:v>SYN0004816</x:v>
      </x:c>
      <x:c r="B4817" s="12" t="n">
        <x:v>42055</x:v>
      </x:c>
      <x:c r="C4817" s="18" t="n">
        <x:v>13817</x:v>
      </x:c>
      <x:c r="D4817" s="18" t="n">
        <x:v>28924</x:v>
      </x:c>
      <x:c r="E4817" s="18" t="n">
        <x:v>15.65</x:v>
      </x:c>
      <x:c r="F4817" s="18" t="n">
        <x:v>9.61</x:v>
      </x:c>
      <x:c r="G4817" t="n">
        <x:v>60</x:v>
      </x:c>
      <x:c r="H4817" t="str">
        <x:v>C</x:v>
      </x:c>
      <x:c r="I4817" t="str">
        <x:v>4-6 years</x:v>
      </x:c>
      <x:c r="J4817" t="str">
        <x:v>RENT</x:v>
      </x:c>
      <x:c r="K4817" t="str">
        <x:v>debt_consolidation</x:v>
      </x:c>
      <x:c r="L4817" t="n">
        <x:v>1</x:v>
      </x:c>
      <x:c r="M4817" t="n">
        <x:v>0</x:v>
      </x:c>
      <x:c r="N4817" t="str">
        <x:v>Fully Paid</x:v>
      </x:c>
      <x:c r="O4817" t="str">
        <x:f>IF(D4817="","Unknown",IF(D4817&lt;25000,"&lt;$25k",IF(D4817&lt;50000,"$25k-$50k",IF(D4817&lt;75000,"$50k-$75k",IF(D4817&lt;100000,"$75k-$100k","$100k+")))))</x:f>
        <x:v>$25k-$50k</x:v>
      </x:c>
      <x:c r="P4817" t="str">
        <x:f>IF(E4817="","Unknown",IF(E4817&lt;10,"&lt;10",IF(E4817&lt;20,"10-&lt;20",IF(E4817&lt;25,"20-&lt;25",IF(E4817&lt;35,"25-&lt;35","35+")))))</x:f>
        <x:v>10-&lt;20</x:v>
      </x:c>
    </x:row>
    <x:row r="4818">
      <x:c r="A4818" t="str">
        <x:v>SYN0004817</x:v>
      </x:c>
      <x:c r="B4818" s="12" t="n">
        <x:v>43255</x:v>
      </x:c>
      <x:c r="C4818" s="18" t="n">
        <x:v>9826</x:v>
      </x:c>
      <x:c r="D4818" s="18" t="n">
        <x:v>33718</x:v>
      </x:c>
      <x:c r="E4818" s="18" t="n">
        <x:v>13.18</x:v>
      </x:c>
      <x:c r="F4818" s="18" t="n">
        <x:v>7.75</x:v>
      </x:c>
      <x:c r="G4818" t="n">
        <x:v>36</x:v>
      </x:c>
      <x:c r="H4818" t="str">
        <x:v>A</x:v>
      </x:c>
      <x:c r="I4818" t="str">
        <x:v>10+ years</x:v>
      </x:c>
      <x:c r="J4818" t="str">
        <x:v>RENT</x:v>
      </x:c>
      <x:c r="K4818" t="str">
        <x:v>medical</x:v>
      </x:c>
      <x:c r="L4818" t="n">
        <x:v>0</x:v>
      </x:c>
      <x:c r="M4818" t="n">
        <x:v>0</x:v>
      </x:c>
      <x:c r="N4818" t="str">
        <x:v>Fully Paid</x:v>
      </x:c>
      <x:c r="O4818" t="str">
        <x:f>IF(D4818="","Unknown",IF(D4818&lt;25000,"&lt;$25k",IF(D4818&lt;50000,"$25k-$50k",IF(D4818&lt;75000,"$50k-$75k",IF(D4818&lt;100000,"$75k-$100k","$100k+")))))</x:f>
        <x:v>$25k-$50k</x:v>
      </x:c>
      <x:c r="P4818" t="str">
        <x:f>IF(E4818="","Unknown",IF(E4818&lt;10,"&lt;10",IF(E4818&lt;20,"10-&lt;20",IF(E4818&lt;25,"20-&lt;25",IF(E4818&lt;35,"25-&lt;35","35+")))))</x:f>
        <x:v>10-&lt;20</x:v>
      </x:c>
    </x:row>
    <x:row r="4819">
      <x:c r="A4819" t="str">
        <x:v>SYN0004818</x:v>
      </x:c>
      <x:c r="B4819" s="12" t="n">
        <x:v>43375</x:v>
      </x:c>
      <x:c r="C4819" s="18" t="n">
        <x:v>10400</x:v>
      </x:c>
      <x:c r="D4819" s="18" t="n">
        <x:v>72772</x:v>
      </x:c>
      <x:c r="E4819" s="18" t="n">
        <x:v>26.37</x:v>
      </x:c>
      <x:c r="F4819" s="18" t="n">
        <x:v>18.13</x:v>
      </x:c>
      <x:c r="G4819" t="n">
        <x:v>60</x:v>
      </x:c>
      <x:c r="H4819" t="str">
        <x:v>E</x:v>
      </x:c>
      <x:c r="I4819" t="str">
        <x:v>10+ years</x:v>
      </x:c>
      <x:c r="J4819" t="str">
        <x:v>MORTGAGE</x:v>
      </x:c>
      <x:c r="K4819" t="str">
        <x:v>credit_card</x:v>
      </x:c>
      <x:c r="L4819" t="n">
        <x:v>0</x:v>
      </x:c>
      <x:c r="M4819" t="n">
        <x:v>0</x:v>
      </x:c>
      <x:c r="N4819" t="str">
        <x:v>Fully Paid</x:v>
      </x:c>
      <x:c r="O4819" t="str">
        <x:f>IF(D4819="","Unknown",IF(D4819&lt;25000,"&lt;$25k",IF(D4819&lt;50000,"$25k-$50k",IF(D4819&lt;75000,"$50k-$75k",IF(D4819&lt;100000,"$75k-$100k","$100k+")))))</x:f>
        <x:v>$50k-$75k</x:v>
      </x:c>
      <x:c r="P4819" t="str">
        <x:f>IF(E4819="","Unknown",IF(E4819&lt;10,"&lt;10",IF(E4819&lt;20,"10-&lt;20",IF(E4819&lt;25,"20-&lt;25",IF(E4819&lt;35,"25-&lt;35","35+")))))</x:f>
        <x:v>25-&lt;35</x:v>
      </x:c>
    </x:row>
    <x:row r="4820">
      <x:c r="A4820" t="str">
        <x:v>SYN0004819</x:v>
      </x:c>
      <x:c r="B4820" s="12" t="n">
        <x:v>41785</x:v>
      </x:c>
      <x:c r="C4820" s="18" t="n">
        <x:v>4690</x:v>
      </x:c>
      <x:c r="D4820" s="18" t="n">
        <x:v>27900</x:v>
      </x:c>
      <x:c r="E4820" s="18" t="n">
        <x:v>6.28</x:v>
      </x:c>
      <x:c r="F4820" s="18" t="n">
        <x:v>6.67</x:v>
      </x:c>
      <x:c r="G4820" t="n">
        <x:v>36</x:v>
      </x:c>
      <x:c r="H4820" t="str">
        <x:v>A</x:v>
      </x:c>
      <x:c r="I4820" t="str">
        <x:v>1-3 years</x:v>
      </x:c>
      <x:c r="J4820" t="str">
        <x:v>RENT</x:v>
      </x:c>
      <x:c r="K4820" t="str">
        <x:v>debt_consolidation</x:v>
      </x:c>
      <x:c r="L4820" t="n">
        <x:v>0</x:v>
      </x:c>
      <x:c r="M4820" t="n">
        <x:v>0</x:v>
      </x:c>
      <x:c r="N4820" t="str">
        <x:v>Fully Paid</x:v>
      </x:c>
      <x:c r="O4820" t="str">
        <x:f>IF(D4820="","Unknown",IF(D4820&lt;25000,"&lt;$25k",IF(D4820&lt;50000,"$25k-$50k",IF(D4820&lt;75000,"$50k-$75k",IF(D4820&lt;100000,"$75k-$100k","$100k+")))))</x:f>
        <x:v>$25k-$50k</x:v>
      </x:c>
      <x:c r="P4820" t="str">
        <x:f>IF(E4820="","Unknown",IF(E4820&lt;10,"&lt;10",IF(E4820&lt;20,"10-&lt;20",IF(E4820&lt;25,"20-&lt;25",IF(E4820&lt;35,"25-&lt;35","35+")))))</x:f>
        <x:v>&lt;10</x:v>
      </x:c>
    </x:row>
    <x:row r="4821">
      <x:c r="A4821" t="str">
        <x:v>SYN0004820</x:v>
      </x:c>
      <x:c r="B4821" s="12" t="n">
        <x:v>42535</x:v>
      </x:c>
      <x:c r="C4821" s="18" t="n">
        <x:v>8768</x:v>
      </x:c>
      <x:c r="D4821" s="18" t="n">
        <x:v>34394</x:v>
      </x:c>
      <x:c r="E4821" s="18" t="n">
        <x:v>28.54</x:v>
      </x:c>
      <x:c r="F4821" s="18" t="n">
        <x:v>11.07</x:v>
      </x:c>
      <x:c r="G4821" t="n">
        <x:v>36</x:v>
      </x:c>
      <x:c r="H4821" t="str">
        <x:v>C</x:v>
      </x:c>
      <x:c r="I4821" t="str">
        <x:v>10+ years</x:v>
      </x:c>
      <x:c r="J4821" t="str">
        <x:v>MORTGAGE</x:v>
      </x:c>
      <x:c r="K4821" t="str">
        <x:v>medical</x:v>
      </x:c>
      <x:c r="L4821" t="n">
        <x:v>0</x:v>
      </x:c>
      <x:c r="M4821" t="n">
        <x:v>0</x:v>
      </x:c>
      <x:c r="N4821" t="str">
        <x:v>Fully Paid</x:v>
      </x:c>
      <x:c r="O4821" t="str">
        <x:f>IF(D4821="","Unknown",IF(D4821&lt;25000,"&lt;$25k",IF(D4821&lt;50000,"$25k-$50k",IF(D4821&lt;75000,"$50k-$75k",IF(D4821&lt;100000,"$75k-$100k","$100k+")))))</x:f>
        <x:v>$25k-$50k</x:v>
      </x:c>
      <x:c r="P4821" t="str">
        <x:f>IF(E4821="","Unknown",IF(E4821&lt;10,"&lt;10",IF(E4821&lt;20,"10-&lt;20",IF(E4821&lt;25,"20-&lt;25",IF(E4821&lt;35,"25-&lt;35","35+")))))</x:f>
        <x:v>25-&lt;35</x:v>
      </x:c>
    </x:row>
    <x:row r="4822">
      <x:c r="A4822" t="str">
        <x:v>SYN0004821</x:v>
      </x:c>
      <x:c r="B4822" s="12" t="n">
        <x:v>41485</x:v>
      </x:c>
      <x:c r="C4822" s="18" t="n">
        <x:v>25604</x:v>
      </x:c>
      <x:c r="D4822" s="18" t="n">
        <x:v>28552</x:v>
      </x:c>
      <x:c r="E4822" s="18" t="n">
        <x:v>38.8</x:v>
      </x:c>
      <x:c r="F4822" s="18" t="n">
        <x:v>14.49</x:v>
      </x:c>
      <x:c r="G4822" t="n">
        <x:v>36</x:v>
      </x:c>
      <x:c r="H4822" t="str">
        <x:v>D</x:v>
      </x:c>
      <x:c r="I4822" t="str">
        <x:v>4-6 years</x:v>
      </x:c>
      <x:c r="J4822" t="str">
        <x:v>MORTGAGE</x:v>
      </x:c>
      <x:c r="K4822" t="str">
        <x:v>major_purchase</x:v>
      </x:c>
      <x:c r="L4822" t="n">
        <x:v>1</x:v>
      </x:c>
      <x:c r="M4822" t="n">
        <x:v>1</x:v>
      </x:c>
      <x:c r="N4822" t="str">
        <x:v>Charged Off</x:v>
      </x:c>
      <x:c r="O4822" t="str">
        <x:f>IF(D4822="","Unknown",IF(D4822&lt;25000,"&lt;$25k",IF(D4822&lt;50000,"$25k-$50k",IF(D4822&lt;75000,"$50k-$75k",IF(D4822&lt;100000,"$75k-$100k","$100k+")))))</x:f>
        <x:v>$25k-$50k</x:v>
      </x:c>
      <x:c r="P4822" t="str">
        <x:f>IF(E4822="","Unknown",IF(E4822&lt;10,"&lt;10",IF(E4822&lt;20,"10-&lt;20",IF(E4822&lt;25,"20-&lt;25",IF(E4822&lt;35,"25-&lt;35","35+")))))</x:f>
        <x:v>35+</x:v>
      </x:c>
    </x:row>
    <x:row r="4823">
      <x:c r="A4823" t="str">
        <x:v>SYN0004822</x:v>
      </x:c>
      <x:c r="B4823" s="12" t="n">
        <x:v>43045</x:v>
      </x:c>
      <x:c r="C4823" s="18" t="n">
        <x:v>15013</x:v>
      </x:c>
      <x:c r="D4823" s="18" t="n">
        <x:v>71673</x:v>
      </x:c>
      <x:c r="E4823" s="18" t="n">
        <x:v>14.09</x:v>
      </x:c>
      <x:c r="F4823" s="18" t="n">
        <x:v>21.5</x:v>
      </x:c>
      <x:c r="G4823" t="n">
        <x:v>36</x:v>
      </x:c>
      <x:c r="H4823" t="str">
        <x:v>F</x:v>
      </x:c>
      <x:c r="I4823" t="str">
        <x:v>10+ years</x:v>
      </x:c>
      <x:c r="J4823" t="str">
        <x:v>RENT</x:v>
      </x:c>
      <x:c r="K4823" t="str">
        <x:v>major_purchase</x:v>
      </x:c>
      <x:c r="L4823" t="n">
        <x:v>2</x:v>
      </x:c>
      <x:c r="M4823" t="n">
        <x:v>0</x:v>
      </x:c>
      <x:c r="N4823" t="str">
        <x:v>Fully Paid</x:v>
      </x:c>
      <x:c r="O4823" t="str">
        <x:f>IF(D4823="","Unknown",IF(D4823&lt;25000,"&lt;$25k",IF(D4823&lt;50000,"$25k-$50k",IF(D4823&lt;75000,"$50k-$75k",IF(D4823&lt;100000,"$75k-$100k","$100k+")))))</x:f>
        <x:v>$50k-$75k</x:v>
      </x:c>
      <x:c r="P4823" t="str">
        <x:f>IF(E4823="","Unknown",IF(E4823&lt;10,"&lt;10",IF(E4823&lt;20,"10-&lt;20",IF(E4823&lt;25,"20-&lt;25",IF(E4823&lt;35,"25-&lt;35","35+")))))</x:f>
        <x:v>10-&lt;20</x:v>
      </x:c>
    </x:row>
    <x:row r="4824">
      <x:c r="A4824" t="str">
        <x:v>SYN0004823</x:v>
      </x:c>
      <x:c r="B4824" s="12" t="n">
        <x:v>42265</x:v>
      </x:c>
      <x:c r="C4824" s="18" t="n">
        <x:v>25419</x:v>
      </x:c>
      <x:c r="D4824" s="18" t="n">
        <x:v>29207</x:v>
      </x:c>
      <x:c r="E4824" s="18" t="n">
        <x:v>3.72</x:v>
      </x:c>
      <x:c r="F4824" s="18" t="n">
        <x:v>7.55</x:v>
      </x:c>
      <x:c r="G4824" t="n">
        <x:v>60</x:v>
      </x:c>
      <x:c r="H4824" t="str">
        <x:v>B</x:v>
      </x:c>
      <x:c r="I4824" t="str">
        <x:v>4-6 years</x:v>
      </x:c>
      <x:c r="J4824" t="str">
        <x:v>MORTGAGE</x:v>
      </x:c>
      <x:c r="K4824" t="str">
        <x:v>major_purchase</x:v>
      </x:c>
      <x:c r="L4824" t="n">
        <x:v>1</x:v>
      </x:c>
      <x:c r="M4824" t="n">
        <x:v>0</x:v>
      </x:c>
      <x:c r="N4824" t="str">
        <x:v>Fully Paid</x:v>
      </x:c>
      <x:c r="O4824" t="str">
        <x:f>IF(D4824="","Unknown",IF(D4824&lt;25000,"&lt;$25k",IF(D4824&lt;50000,"$25k-$50k",IF(D4824&lt;75000,"$50k-$75k",IF(D4824&lt;100000,"$75k-$100k","$100k+")))))</x:f>
        <x:v>$25k-$50k</x:v>
      </x:c>
      <x:c r="P4824" t="str">
        <x:f>IF(E4824="","Unknown",IF(E4824&lt;10,"&lt;10",IF(E4824&lt;20,"10-&lt;20",IF(E4824&lt;25,"20-&lt;25",IF(E4824&lt;35,"25-&lt;35","35+")))))</x:f>
        <x:v>&lt;10</x:v>
      </x:c>
    </x:row>
    <x:row r="4825">
      <x:c r="A4825" t="str">
        <x:v>SYN0004824</x:v>
      </x:c>
      <x:c r="B4825" s="12" t="n">
        <x:v>42145</x:v>
      </x:c>
      <x:c r="C4825" s="18" t="n">
        <x:v>7822</x:v>
      </x:c>
      <x:c r="D4825" s="18" t="n">
        <x:v>23934</x:v>
      </x:c>
      <x:c r="E4825" s="18" t="n">
        <x:v>30.96</x:v>
      </x:c>
      <x:c r="F4825" s="18" t="n">
        <x:v>12.31</x:v>
      </x:c>
      <x:c r="G4825" t="n">
        <x:v>60</x:v>
      </x:c>
      <x:c r="H4825" t="str">
        <x:v>C</x:v>
      </x:c>
      <x:c r="I4825" t="str">
        <x:v>10+ years</x:v>
      </x:c>
      <x:c r="J4825" t="str">
        <x:v>RENT</x:v>
      </x:c>
      <x:c r="K4825" t="str">
        <x:v>debt_consolidation</x:v>
      </x:c>
      <x:c r="L4825" t="n">
        <x:v>1</x:v>
      </x:c>
      <x:c r="M4825" t="n">
        <x:v>0</x:v>
      </x:c>
      <x:c r="N4825" t="str">
        <x:v>Fully Paid</x:v>
      </x:c>
      <x:c r="O4825" t="str">
        <x:f>IF(D4825="","Unknown",IF(D4825&lt;25000,"&lt;$25k",IF(D4825&lt;50000,"$25k-$50k",IF(D4825&lt;75000,"$50k-$75k",IF(D4825&lt;100000,"$75k-$100k","$100k+")))))</x:f>
        <x:v>&lt;$25k</x:v>
      </x:c>
      <x:c r="P4825" t="str">
        <x:f>IF(E4825="","Unknown",IF(E4825&lt;10,"&lt;10",IF(E4825&lt;20,"10-&lt;20",IF(E4825&lt;25,"20-&lt;25",IF(E4825&lt;35,"25-&lt;35","35+")))))</x:f>
        <x:v>25-&lt;35</x:v>
      </x:c>
    </x:row>
    <x:row r="4826">
      <x:c r="A4826" t="str">
        <x:v>SYN0004825</x:v>
      </x:c>
      <x:c r="B4826" s="12" t="n">
        <x:v>41875</x:v>
      </x:c>
      <x:c r="C4826" s="18" t="n">
        <x:v>8186</x:v>
      </x:c>
      <x:c r="D4826" s="18" t="n">
        <x:v>172933</x:v>
      </x:c>
      <x:c r="E4826" s="18" t="n">
        <x:v>15.15</x:v>
      </x:c>
      <x:c r="F4826" s="18" t="n">
        <x:v>5</x:v>
      </x:c>
      <x:c r="G4826" t="n">
        <x:v>36</x:v>
      </x:c>
      <x:c r="H4826" t="str">
        <x:v>A</x:v>
      </x:c>
      <x:c r="I4826" t="str">
        <x:v>7-9 years</x:v>
      </x:c>
      <x:c r="J4826" t="str">
        <x:v>MORTGAGE</x:v>
      </x:c>
      <x:c r="K4826" t="str">
        <x:v>credit_card</x:v>
      </x:c>
      <x:c r="L4826" t="n">
        <x:v>0</x:v>
      </x:c>
      <x:c r="M4826" t="n">
        <x:v>0</x:v>
      </x:c>
      <x:c r="N4826" t="str">
        <x:v>Fully Paid</x:v>
      </x:c>
      <x:c r="O4826" t="str">
        <x:f>IF(D4826="","Unknown",IF(D4826&lt;25000,"&lt;$25k",IF(D4826&lt;50000,"$25k-$50k",IF(D4826&lt;75000,"$50k-$75k",IF(D4826&lt;100000,"$75k-$100k","$100k+")))))</x:f>
        <x:v>$100k+</x:v>
      </x:c>
      <x:c r="P4826" t="str">
        <x:f>IF(E4826="","Unknown",IF(E4826&lt;10,"&lt;10",IF(E4826&lt;20,"10-&lt;20",IF(E4826&lt;25,"20-&lt;25",IF(E4826&lt;35,"25-&lt;35","35+")))))</x:f>
        <x:v>10-&lt;20</x:v>
      </x:c>
    </x:row>
    <x:row r="4827">
      <x:c r="A4827" t="str">
        <x:v>SYN0004826</x:v>
      </x:c>
      <x:c r="B4827" s="12" t="n">
        <x:v>42025</x:v>
      </x:c>
      <x:c r="C4827" s="18" t="n">
        <x:v>18796</x:v>
      </x:c>
      <x:c r="D4827" s="18" t="n">
        <x:v>29844</x:v>
      </x:c>
      <x:c r="E4827" s="18" t="n">
        <x:v>22.73</x:v>
      </x:c>
      <x:c r="F4827" s="18" t="n">
        <x:v>5.82</x:v>
      </x:c>
      <x:c r="G4827" t="n">
        <x:v>60</x:v>
      </x:c>
      <x:c r="H4827" t="str">
        <x:v>B</x:v>
      </x:c>
      <x:c r="I4827" t="str">
        <x:v>10+ years</x:v>
      </x:c>
      <x:c r="J4827" t="str">
        <x:v>MORTGAGE</x:v>
      </x:c>
      <x:c r="K4827" t="str">
        <x:v>debt_consolidation</x:v>
      </x:c>
      <x:c r="L4827" t="n">
        <x:v>0</x:v>
      </x:c>
      <x:c r="M4827" t="n">
        <x:v>0</x:v>
      </x:c>
      <x:c r="N4827" t="str">
        <x:v>Fully Paid</x:v>
      </x:c>
      <x:c r="O4827" t="str">
        <x:f>IF(D4827="","Unknown",IF(D4827&lt;25000,"&lt;$25k",IF(D4827&lt;50000,"$25k-$50k",IF(D4827&lt;75000,"$50k-$75k",IF(D4827&lt;100000,"$75k-$100k","$100k+")))))</x:f>
        <x:v>$25k-$50k</x:v>
      </x:c>
      <x:c r="P4827" t="str">
        <x:f>IF(E4827="","Unknown",IF(E4827&lt;10,"&lt;10",IF(E4827&lt;20,"10-&lt;20",IF(E4827&lt;25,"20-&lt;25",IF(E4827&lt;35,"25-&lt;35","35+")))))</x:f>
        <x:v>20-&lt;25</x:v>
      </x:c>
    </x:row>
    <x:row r="4828">
      <x:c r="A4828" t="str">
        <x:v>SYN0004827</x:v>
      </x:c>
      <x:c r="B4828" s="12" t="n">
        <x:v>42895</x:v>
      </x:c>
      <x:c r="C4828" s="18" t="n">
        <x:v>27981</x:v>
      </x:c>
      <x:c r="D4828" s="18" t="n">
        <x:v>80385</x:v>
      </x:c>
      <x:c r="E4828" s="18" t="n">
        <x:v>23.43</x:v>
      </x:c>
      <x:c r="F4828" s="18" t="n">
        <x:v>21.4</x:v>
      </x:c>
      <x:c r="G4828" t="n">
        <x:v>60</x:v>
      </x:c>
      <x:c r="H4828" t="str">
        <x:v>E</x:v>
      </x:c>
      <x:c r="I4828" t="str">
        <x:v>7-9 years</x:v>
      </x:c>
      <x:c r="J4828" t="str">
        <x:v>MORTGAGE</x:v>
      </x:c>
      <x:c r="K4828" t="str">
        <x:v>credit_card</x:v>
      </x:c>
      <x:c r="L4828" t="n">
        <x:v>1</x:v>
      </x:c>
      <x:c r="M4828" t="n">
        <x:v>0</x:v>
      </x:c>
      <x:c r="N4828" t="str">
        <x:v>Fully Paid</x:v>
      </x:c>
      <x:c r="O4828" t="str">
        <x:f>IF(D4828="","Unknown",IF(D4828&lt;25000,"&lt;$25k",IF(D4828&lt;50000,"$25k-$50k",IF(D4828&lt;75000,"$50k-$75k",IF(D4828&lt;100000,"$75k-$100k","$100k+")))))</x:f>
        <x:v>$75k-$100k</x:v>
      </x:c>
      <x:c r="P4828" t="str">
        <x:f>IF(E4828="","Unknown",IF(E4828&lt;10,"&lt;10",IF(E4828&lt;20,"10-&lt;20",IF(E4828&lt;25,"20-&lt;25",IF(E4828&lt;35,"25-&lt;35","35+")))))</x:f>
        <x:v>20-&lt;25</x:v>
      </x:c>
    </x:row>
    <x:row r="4829">
      <x:c r="A4829" t="str">
        <x:v>SYN0004828</x:v>
      </x:c>
      <x:c r="B4829" s="12" t="n">
        <x:v>43405</x:v>
      </x:c>
      <x:c r="C4829" s="18" t="n">
        <x:v>22476</x:v>
      </x:c>
      <x:c r="D4829" s="18" t="n">
        <x:v>18693</x:v>
      </x:c>
      <x:c r="E4829" s="18" t="n">
        <x:v>16.96</x:v>
      </x:c>
      <x:c r="F4829" s="18" t="n">
        <x:v>7.97</x:v>
      </x:c>
      <x:c r="G4829" t="n">
        <x:v>60</x:v>
      </x:c>
      <x:c r="H4829" t="str">
        <x:v>B</x:v>
      </x:c>
      <x:c r="I4829" t="str">
        <x:v>7-9 years</x:v>
      </x:c>
      <x:c r="J4829" t="str">
        <x:v>RENT</x:v>
      </x:c>
      <x:c r="K4829" t="str">
        <x:v>major_purchase</x:v>
      </x:c>
      <x:c r="L4829" t="n">
        <x:v>0</x:v>
      </x:c>
      <x:c r="M4829" t="n">
        <x:v>1</x:v>
      </x:c>
      <x:c r="N4829" t="str">
        <x:v>Charged Off</x:v>
      </x:c>
      <x:c r="O4829" t="str">
        <x:f>IF(D4829="","Unknown",IF(D4829&lt;25000,"&lt;$25k",IF(D4829&lt;50000,"$25k-$50k",IF(D4829&lt;75000,"$50k-$75k",IF(D4829&lt;100000,"$75k-$100k","$100k+")))))</x:f>
        <x:v>&lt;$25k</x:v>
      </x:c>
      <x:c r="P4829" t="str">
        <x:f>IF(E4829="","Unknown",IF(E4829&lt;10,"&lt;10",IF(E4829&lt;20,"10-&lt;20",IF(E4829&lt;25,"20-&lt;25",IF(E4829&lt;35,"25-&lt;35","35+")))))</x:f>
        <x:v>10-&lt;20</x:v>
      </x:c>
    </x:row>
    <x:row r="4830">
      <x:c r="A4830" t="str">
        <x:v>SYN0004829</x:v>
      </x:c>
      <x:c r="B4830" s="12" t="n">
        <x:v>41545</x:v>
      </x:c>
      <x:c r="C4830" s="18" t="n">
        <x:v>36593</x:v>
      </x:c>
      <x:c r="D4830" s="18" t="n">
        <x:v>92527</x:v>
      </x:c>
      <x:c r="E4830" s="18" t="n">
        <x:v>22.72</x:v>
      </x:c>
      <x:c r="F4830" s="18" t="n">
        <x:v>9.25</x:v>
      </x:c>
      <x:c r="G4830" t="n">
        <x:v>36</x:v>
      </x:c>
      <x:c r="H4830" t="str">
        <x:v>A</x:v>
      </x:c>
      <x:c r="I4830" t="str">
        <x:v>10+ years</x:v>
      </x:c>
      <x:c r="J4830" t="str">
        <x:v>MORTGAGE</x:v>
      </x:c>
      <x:c r="K4830" t="str">
        <x:v>credit_card</x:v>
      </x:c>
      <x:c r="L4830" t="n">
        <x:v>0</x:v>
      </x:c>
      <x:c r="M4830" t="n">
        <x:v>0</x:v>
      </x:c>
      <x:c r="N4830" t="str">
        <x:v>Fully Paid</x:v>
      </x:c>
      <x:c r="O4830" t="str">
        <x:f>IF(D4830="","Unknown",IF(D4830&lt;25000,"&lt;$25k",IF(D4830&lt;50000,"$25k-$50k",IF(D4830&lt;75000,"$50k-$75k",IF(D4830&lt;100000,"$75k-$100k","$100k+")))))</x:f>
        <x:v>$75k-$100k</x:v>
      </x:c>
      <x:c r="P4830" t="str">
        <x:f>IF(E4830="","Unknown",IF(E4830&lt;10,"&lt;10",IF(E4830&lt;20,"10-&lt;20",IF(E4830&lt;25,"20-&lt;25",IF(E4830&lt;35,"25-&lt;35","35+")))))</x:f>
        <x:v>20-&lt;25</x:v>
      </x:c>
    </x:row>
    <x:row r="4831">
      <x:c r="A4831" t="str">
        <x:v>SYN0004830</x:v>
      </x:c>
      <x:c r="B4831" s="12" t="n">
        <x:v>42835</x:v>
      </x:c>
      <x:c r="C4831" s="18" t="n">
        <x:v>23122</x:v>
      </x:c>
      <x:c r="D4831" s="18" t="n">
        <x:v>92206</x:v>
      </x:c>
      <x:c r="E4831" s="18" t="n">
        <x:v>19.71</x:v>
      </x:c>
      <x:c r="F4831" s="18" t="n">
        <x:v>9.65</x:v>
      </x:c>
      <x:c r="G4831" t="n">
        <x:v>36</x:v>
      </x:c>
      <x:c r="H4831" t="str">
        <x:v>C</x:v>
      </x:c>
      <x:c r="I4831" t="str">
        <x:v>&lt;1 year</x:v>
      </x:c>
      <x:c r="J4831" t="str">
        <x:v>MORTGAGE</x:v>
      </x:c>
      <x:c r="K4831" t="str">
        <x:v>debt_consolidation</x:v>
      </x:c>
      <x:c r="L4831" t="n">
        <x:v>0</x:v>
      </x:c>
      <x:c r="M4831" t="n">
        <x:v>0</x:v>
      </x:c>
      <x:c r="N4831" t="str">
        <x:v>Fully Paid</x:v>
      </x:c>
      <x:c r="O4831" t="str">
        <x:f>IF(D4831="","Unknown",IF(D4831&lt;25000,"&lt;$25k",IF(D4831&lt;50000,"$25k-$50k",IF(D4831&lt;75000,"$50k-$75k",IF(D4831&lt;100000,"$75k-$100k","$100k+")))))</x:f>
        <x:v>$75k-$100k</x:v>
      </x:c>
      <x:c r="P4831" t="str">
        <x:f>IF(E4831="","Unknown",IF(E4831&lt;10,"&lt;10",IF(E4831&lt;20,"10-&lt;20",IF(E4831&lt;25,"20-&lt;25",IF(E4831&lt;35,"25-&lt;35","35+")))))</x:f>
        <x:v>10-&lt;20</x:v>
      </x:c>
    </x:row>
    <x:row r="4832">
      <x:c r="A4832" t="str">
        <x:v>SYN0004831</x:v>
      </x:c>
      <x:c r="B4832" s="12" t="n">
        <x:v>42385</x:v>
      </x:c>
      <x:c r="C4832" s="18" t="n">
        <x:v>15968</x:v>
      </x:c>
      <x:c r="D4832" s="18" t="n">
        <x:v>64273</x:v>
      </x:c>
      <x:c r="E4832" s="18" t="n">
        <x:v>15.31</x:v>
      </x:c>
      <x:c r="F4832" s="18" t="n">
        <x:v>22.63</x:v>
      </x:c>
      <x:c r="G4832" t="n">
        <x:v>36</x:v>
      </x:c>
      <x:c r="H4832" t="str">
        <x:v>F</x:v>
      </x:c>
      <x:c r="I4832" t="str">
        <x:v>4-6 years</x:v>
      </x:c>
      <x:c r="J4832" t="str">
        <x:v>RENT</x:v>
      </x:c>
      <x:c r="K4832" t="str">
        <x:v>debt_consolidation</x:v>
      </x:c>
      <x:c r="L4832" t="n">
        <x:v>0</x:v>
      </x:c>
      <x:c r="M4832" t="n">
        <x:v>0</x:v>
      </x:c>
      <x:c r="N4832" t="str">
        <x:v>Fully Paid</x:v>
      </x:c>
      <x:c r="O4832" t="str">
        <x:f>IF(D4832="","Unknown",IF(D4832&lt;25000,"&lt;$25k",IF(D4832&lt;50000,"$25k-$50k",IF(D4832&lt;75000,"$50k-$75k",IF(D4832&lt;100000,"$75k-$100k","$100k+")))))</x:f>
        <x:v>$50k-$75k</x:v>
      </x:c>
      <x:c r="P4832" t="str">
        <x:f>IF(E4832="","Unknown",IF(E4832&lt;10,"&lt;10",IF(E4832&lt;20,"10-&lt;20",IF(E4832&lt;25,"20-&lt;25",IF(E4832&lt;35,"25-&lt;35","35+")))))</x:f>
        <x:v>10-&lt;20</x:v>
      </x:c>
    </x:row>
    <x:row r="4833">
      <x:c r="A4833" t="str">
        <x:v>SYN0004832</x:v>
      </x:c>
      <x:c r="B4833" s="12" t="n">
        <x:v>43105</x:v>
      </x:c>
      <x:c r="C4833" s="18" t="n">
        <x:v>8007</x:v>
      </x:c>
      <x:c r="D4833" s="18" t="n">
        <x:v>77215</x:v>
      </x:c>
      <x:c r="E4833" s="18" t="n">
        <x:v>17.19</x:v>
      </x:c>
      <x:c r="F4833" s="18" t="n">
        <x:v>8.88</x:v>
      </x:c>
      <x:c r="G4833" t="n">
        <x:v>36</x:v>
      </x:c>
      <x:c r="H4833" t="str">
        <x:v>C</x:v>
      </x:c>
      <x:c r="I4833" t="str">
        <x:v>1-3 years</x:v>
      </x:c>
      <x:c r="J4833" t="str">
        <x:v>RENT</x:v>
      </x:c>
      <x:c r="K4833" t="str">
        <x:v>medical</x:v>
      </x:c>
      <x:c r="L4833" t="n">
        <x:v>0</x:v>
      </x:c>
      <x:c r="M4833" t="n">
        <x:v>0</x:v>
      </x:c>
      <x:c r="N4833" t="str">
        <x:v>Fully Paid</x:v>
      </x:c>
      <x:c r="O4833" t="str">
        <x:f>IF(D4833="","Unknown",IF(D4833&lt;25000,"&lt;$25k",IF(D4833&lt;50000,"$25k-$50k",IF(D4833&lt;75000,"$50k-$75k",IF(D4833&lt;100000,"$75k-$100k","$100k+")))))</x:f>
        <x:v>$75k-$100k</x:v>
      </x:c>
      <x:c r="P4833" t="str">
        <x:f>IF(E4833="","Unknown",IF(E4833&lt;10,"&lt;10",IF(E4833&lt;20,"10-&lt;20",IF(E4833&lt;25,"20-&lt;25",IF(E4833&lt;35,"25-&lt;35","35+")))))</x:f>
        <x:v>10-&lt;20</x:v>
      </x:c>
    </x:row>
    <x:row r="4834">
      <x:c r="A4834" t="str">
        <x:v>SYN0004833</x:v>
      </x:c>
      <x:c r="B4834" s="12" t="n">
        <x:v>41305</x:v>
      </x:c>
      <x:c r="C4834" s="18" t="n">
        <x:v>20275</x:v>
      </x:c>
      <x:c r="D4834" s="18" t="n">
        <x:v>96955</x:v>
      </x:c>
      <x:c r="E4834" s="18" t="n">
        <x:v>35.48</x:v>
      </x:c>
      <x:c r="F4834" s="18" t="n">
        <x:v>25.88</x:v>
      </x:c>
      <x:c r="G4834" t="n">
        <x:v>36</x:v>
      </x:c>
      <x:c r="H4834" t="str">
        <x:v>G</x:v>
      </x:c>
      <x:c r="I4834" t="str">
        <x:v>10+ years</x:v>
      </x:c>
      <x:c r="J4834" t="str">
        <x:v>RENT</x:v>
      </x:c>
      <x:c r="K4834" t="str">
        <x:v>major_purchase</x:v>
      </x:c>
      <x:c r="L4834" t="n">
        <x:v>0</x:v>
      </x:c>
      <x:c r="M4834" t="n">
        <x:v>0</x:v>
      </x:c>
      <x:c r="N4834" t="str">
        <x:v>Fully Paid</x:v>
      </x:c>
      <x:c r="O4834" t="str">
        <x:f>IF(D4834="","Unknown",IF(D4834&lt;25000,"&lt;$25k",IF(D4834&lt;50000,"$25k-$50k",IF(D4834&lt;75000,"$50k-$75k",IF(D4834&lt;100000,"$75k-$100k","$100k+")))))</x:f>
        <x:v>$75k-$100k</x:v>
      </x:c>
      <x:c r="P4834" t="str">
        <x:f>IF(E4834="","Unknown",IF(E4834&lt;10,"&lt;10",IF(E4834&lt;20,"10-&lt;20",IF(E4834&lt;25,"20-&lt;25",IF(E4834&lt;35,"25-&lt;35","35+")))))</x:f>
        <x:v>35+</x:v>
      </x:c>
    </x:row>
    <x:row r="4835">
      <x:c r="A4835" t="str">
        <x:v>SYN0004834</x:v>
      </x:c>
      <x:c r="B4835" s="12" t="n">
        <x:v>42415</x:v>
      </x:c>
      <x:c r="C4835" s="18" t="n">
        <x:v>13307</x:v>
      </x:c>
      <x:c r="D4835" s="18" t="n">
        <x:v>32871</x:v>
      </x:c>
      <x:c r="E4835" s="18" t="n">
        <x:v>30.21</x:v>
      </x:c>
      <x:c r="F4835" s="18" t="n">
        <x:v>8.32</x:v>
      </x:c>
      <x:c r="G4835" t="n">
        <x:v>36</x:v>
      </x:c>
      <x:c r="H4835" t="str">
        <x:v>C</x:v>
      </x:c>
      <x:c r="I4835" t="str">
        <x:v>10+ years</x:v>
      </x:c>
      <x:c r="J4835" t="str">
        <x:v>OWN</x:v>
      </x:c>
      <x:c r="K4835" t="str">
        <x:v>other</x:v>
      </x:c>
      <x:c r="L4835" t="n">
        <x:v>3</x:v>
      </x:c>
      <x:c r="M4835" t="n">
        <x:v>0</x:v>
      </x:c>
      <x:c r="N4835" t="str">
        <x:v>Fully Paid</x:v>
      </x:c>
      <x:c r="O4835" t="str">
        <x:f>IF(D4835="","Unknown",IF(D4835&lt;25000,"&lt;$25k",IF(D4835&lt;50000,"$25k-$50k",IF(D4835&lt;75000,"$50k-$75k",IF(D4835&lt;100000,"$75k-$100k","$100k+")))))</x:f>
        <x:v>$25k-$50k</x:v>
      </x:c>
      <x:c r="P4835" t="str">
        <x:f>IF(E4835="","Unknown",IF(E4835&lt;10,"&lt;10",IF(E4835&lt;20,"10-&lt;20",IF(E4835&lt;25,"20-&lt;25",IF(E4835&lt;35,"25-&lt;35","35+")))))</x:f>
        <x:v>25-&lt;35</x:v>
      </x:c>
    </x:row>
    <x:row r="4836">
      <x:c r="A4836" t="str">
        <x:v>SYN0004835</x:v>
      </x:c>
      <x:c r="B4836" s="12" t="n">
        <x:v>42535</x:v>
      </x:c>
      <x:c r="C4836" s="18" t="n">
        <x:v>19367</x:v>
      </x:c>
      <x:c r="D4836" s="18" t="n">
        <x:v>89519</x:v>
      </x:c>
      <x:c r="E4836" s="18" t="n">
        <x:v>18.22</x:v>
      </x:c>
      <x:c r="F4836" s="18" t="n">
        <x:v>16.68</x:v>
      </x:c>
      <x:c r="G4836" t="n">
        <x:v>36</x:v>
      </x:c>
      <x:c r="H4836" t="str">
        <x:v>E</x:v>
      </x:c>
      <x:c r="I4836" t="str">
        <x:v>&lt;1 year</x:v>
      </x:c>
      <x:c r="J4836" t="str">
        <x:v>RENT</x:v>
      </x:c>
      <x:c r="K4836" t="str">
        <x:v>debt_consolidation</x:v>
      </x:c>
      <x:c r="L4836" t="n">
        <x:v>2</x:v>
      </x:c>
      <x:c r="M4836" t="n">
        <x:v>0</x:v>
      </x:c>
      <x:c r="N4836" t="str">
        <x:v>Fully Paid</x:v>
      </x:c>
      <x:c r="O4836" t="str">
        <x:f>IF(D4836="","Unknown",IF(D4836&lt;25000,"&lt;$25k",IF(D4836&lt;50000,"$25k-$50k",IF(D4836&lt;75000,"$50k-$75k",IF(D4836&lt;100000,"$75k-$100k","$100k+")))))</x:f>
        <x:v>$75k-$100k</x:v>
      </x:c>
      <x:c r="P4836" t="str">
        <x:f>IF(E4836="","Unknown",IF(E4836&lt;10,"&lt;10",IF(E4836&lt;20,"10-&lt;20",IF(E4836&lt;25,"20-&lt;25",IF(E4836&lt;35,"25-&lt;35","35+")))))</x:f>
        <x:v>10-&lt;20</x:v>
      </x:c>
    </x:row>
    <x:row r="4837">
      <x:c r="A4837" t="str">
        <x:v>SYN0004836</x:v>
      </x:c>
      <x:c r="B4837" s="12" t="n">
        <x:v>41965</x:v>
      </x:c>
      <x:c r="C4837" s="18" t="n">
        <x:v>11811</x:v>
      </x:c>
      <x:c r="D4837" s="18" t="n">
        <x:v>119707</x:v>
      </x:c>
      <x:c r="E4837" s="18" t="n">
        <x:v>24.2</x:v>
      </x:c>
      <x:c r="F4837" s="18" t="n">
        <x:v>9.76</x:v>
      </x:c>
      <x:c r="G4837" t="n">
        <x:v>60</x:v>
      </x:c>
      <x:c r="H4837" t="str">
        <x:v>C</x:v>
      </x:c>
      <x:c r="I4837" t="str">
        <x:v>4-6 years</x:v>
      </x:c>
      <x:c r="J4837" t="str">
        <x:v>RENT</x:v>
      </x:c>
      <x:c r="K4837" t="str">
        <x:v>other</x:v>
      </x:c>
      <x:c r="L4837" t="n">
        <x:v>0</x:v>
      </x:c>
      <x:c r="M4837" t="n">
        <x:v>0</x:v>
      </x:c>
      <x:c r="N4837" t="str">
        <x:v>Fully Paid</x:v>
      </x:c>
      <x:c r="O4837" t="str">
        <x:f>IF(D4837="","Unknown",IF(D4837&lt;25000,"&lt;$25k",IF(D4837&lt;50000,"$25k-$50k",IF(D4837&lt;75000,"$50k-$75k",IF(D4837&lt;100000,"$75k-$100k","$100k+")))))</x:f>
        <x:v>$100k+</x:v>
      </x:c>
      <x:c r="P4837" t="str">
        <x:f>IF(E4837="","Unknown",IF(E4837&lt;10,"&lt;10",IF(E4837&lt;20,"10-&lt;20",IF(E4837&lt;25,"20-&lt;25",IF(E4837&lt;35,"25-&lt;35","35+")))))</x:f>
        <x:v>20-&lt;25</x:v>
      </x:c>
    </x:row>
    <x:row r="4838">
      <x:c r="A4838" t="str">
        <x:v>SYN0004837</x:v>
      </x:c>
      <x:c r="B4838" s="12" t="n">
        <x:v>42955</x:v>
      </x:c>
      <x:c r="C4838" s="18" t="n">
        <x:v>14260</x:v>
      </x:c>
      <x:c r="D4838" s="18" t="n">
        <x:v>71004</x:v>
      </x:c>
      <x:c r="E4838" s="18" t="n">
        <x:v>15.31</x:v>
      </x:c>
      <x:c r="F4838" s="18" t="n">
        <x:v>13.11</x:v>
      </x:c>
      <x:c r="G4838" t="n">
        <x:v>36</x:v>
      </x:c>
      <x:c r="H4838" t="str">
        <x:v>D</x:v>
      </x:c>
      <x:c r="I4838" t="str">
        <x:v>4-6 years</x:v>
      </x:c>
      <x:c r="J4838" t="str">
        <x:v>RENT</x:v>
      </x:c>
      <x:c r="K4838" t="str">
        <x:v>credit_card</x:v>
      </x:c>
      <x:c r="L4838" t="n">
        <x:v>0</x:v>
      </x:c>
      <x:c r="M4838" t="n">
        <x:v>1</x:v>
      </x:c>
      <x:c r="N4838" t="str">
        <x:v>Charged Off</x:v>
      </x:c>
      <x:c r="O4838" t="str">
        <x:f>IF(D4838="","Unknown",IF(D4838&lt;25000,"&lt;$25k",IF(D4838&lt;50000,"$25k-$50k",IF(D4838&lt;75000,"$50k-$75k",IF(D4838&lt;100000,"$75k-$100k","$100k+")))))</x:f>
        <x:v>$50k-$75k</x:v>
      </x:c>
      <x:c r="P4838" t="str">
        <x:f>IF(E4838="","Unknown",IF(E4838&lt;10,"&lt;10",IF(E4838&lt;20,"10-&lt;20",IF(E4838&lt;25,"20-&lt;25",IF(E4838&lt;35,"25-&lt;35","35+")))))</x:f>
        <x:v>10-&lt;20</x:v>
      </x:c>
    </x:row>
    <x:row r="4839">
      <x:c r="A4839" t="str">
        <x:v>SYN0004838</x:v>
      </x:c>
      <x:c r="B4839" s="12" t="n">
        <x:v>42085</x:v>
      </x:c>
      <x:c r="C4839" s="18" t="n">
        <x:v>8430</x:v>
      </x:c>
      <x:c r="D4839" s="18" t="n">
        <x:v>26059</x:v>
      </x:c>
      <x:c r="E4839" s="18" t="n">
        <x:v>9.95</x:v>
      </x:c>
      <x:c r="F4839" s="18" t="n">
        <x:v>9.2</x:v>
      </x:c>
      <x:c r="G4839" t="n">
        <x:v>36</x:v>
      </x:c>
      <x:c r="H4839" t="str">
        <x:v>C</x:v>
      </x:c>
      <x:c r="I4839" t="str">
        <x:v>10+ years</x:v>
      </x:c>
      <x:c r="J4839" t="str">
        <x:v>RENT</x:v>
      </x:c>
      <x:c r="K4839" t="str">
        <x:v>debt_consolidation</x:v>
      </x:c>
      <x:c r="L4839" t="n">
        <x:v>0</x:v>
      </x:c>
      <x:c r="M4839" t="n">
        <x:v>0</x:v>
      </x:c>
      <x:c r="N4839" t="str">
        <x:v>Fully Paid</x:v>
      </x:c>
      <x:c r="O4839" t="str">
        <x:f>IF(D4839="","Unknown",IF(D4839&lt;25000,"&lt;$25k",IF(D4839&lt;50000,"$25k-$50k",IF(D4839&lt;75000,"$50k-$75k",IF(D4839&lt;100000,"$75k-$100k","$100k+")))))</x:f>
        <x:v>$25k-$50k</x:v>
      </x:c>
      <x:c r="P4839" t="str">
        <x:f>IF(E4839="","Unknown",IF(E4839&lt;10,"&lt;10",IF(E4839&lt;20,"10-&lt;20",IF(E4839&lt;25,"20-&lt;25",IF(E4839&lt;35,"25-&lt;35","35+")))))</x:f>
        <x:v>&lt;10</x:v>
      </x:c>
    </x:row>
    <x:row r="4840">
      <x:c r="A4840" t="str">
        <x:v>SYN0004839</x:v>
      </x:c>
      <x:c r="B4840" s="12" t="n">
        <x:v>41905</x:v>
      </x:c>
      <x:c r="C4840" s="18" t="n">
        <x:v>9902</x:v>
      </x:c>
      <x:c r="D4840" s="18" t="n">
        <x:v>128799</x:v>
      </x:c>
      <x:c r="E4840" s="18" t="n">
        <x:v>14.89</x:v>
      </x:c>
      <x:c r="F4840" s="18" t="n">
        <x:v>17.03</x:v>
      </x:c>
      <x:c r="G4840" t="n">
        <x:v>60</x:v>
      </x:c>
      <x:c r="H4840" t="str">
        <x:v>E</x:v>
      </x:c>
      <x:c r="I4840" t="str">
        <x:v>4-6 years</x:v>
      </x:c>
      <x:c r="J4840" t="str">
        <x:v>RENT</x:v>
      </x:c>
      <x:c r="K4840" t="str">
        <x:v>debt_consolidation</x:v>
      </x:c>
      <x:c r="L4840" t="n">
        <x:v>1</x:v>
      </x:c>
      <x:c r="M4840" t="n">
        <x:v>0</x:v>
      </x:c>
      <x:c r="N4840" t="str">
        <x:v>Fully Paid</x:v>
      </x:c>
      <x:c r="O4840" t="str">
        <x:f>IF(D4840="","Unknown",IF(D4840&lt;25000,"&lt;$25k",IF(D4840&lt;50000,"$25k-$50k",IF(D4840&lt;75000,"$50k-$75k",IF(D4840&lt;100000,"$75k-$100k","$100k+")))))</x:f>
        <x:v>$100k+</x:v>
      </x:c>
      <x:c r="P4840" t="str">
        <x:f>IF(E4840="","Unknown",IF(E4840&lt;10,"&lt;10",IF(E4840&lt;20,"10-&lt;20",IF(E4840&lt;25,"20-&lt;25",IF(E4840&lt;35,"25-&lt;35","35+")))))</x:f>
        <x:v>10-&lt;20</x:v>
      </x:c>
    </x:row>
    <x:row r="4841">
      <x:c r="A4841" t="str">
        <x:v>SYN0004840</x:v>
      </x:c>
      <x:c r="B4841" s="12" t="n">
        <x:v>42625</x:v>
      </x:c>
      <x:c r="C4841" s="18" t="n">
        <x:v>14396</x:v>
      </x:c>
      <x:c r="D4841" s="18" t="n">
        <x:v>61332</x:v>
      </x:c>
      <x:c r="E4841" s="18" t="n">
        <x:v>26.16</x:v>
      </x:c>
      <x:c r="F4841" s="18" t="n">
        <x:v>5.98</x:v>
      </x:c>
      <x:c r="G4841" t="n">
        <x:v>60</x:v>
      </x:c>
      <x:c r="H4841" t="str">
        <x:v>A</x:v>
      </x:c>
      <x:c r="I4841" t="str">
        <x:v>7-9 years</x:v>
      </x:c>
      <x:c r="J4841" t="str">
        <x:v>MORTGAGE</x:v>
      </x:c>
      <x:c r="K4841" t="str">
        <x:v>major_purchase</x:v>
      </x:c>
      <x:c r="L4841" t="n">
        <x:v>1</x:v>
      </x:c>
      <x:c r="M4841" t="n">
        <x:v>0</x:v>
      </x:c>
      <x:c r="N4841" t="str">
        <x:v>Fully Paid</x:v>
      </x:c>
      <x:c r="O4841" t="str">
        <x:f>IF(D4841="","Unknown",IF(D4841&lt;25000,"&lt;$25k",IF(D4841&lt;50000,"$25k-$50k",IF(D4841&lt;75000,"$50k-$75k",IF(D4841&lt;100000,"$75k-$100k","$100k+")))))</x:f>
        <x:v>$50k-$75k</x:v>
      </x:c>
      <x:c r="P4841" t="str">
        <x:f>IF(E4841="","Unknown",IF(E4841&lt;10,"&lt;10",IF(E4841&lt;20,"10-&lt;20",IF(E4841&lt;25,"20-&lt;25",IF(E4841&lt;35,"25-&lt;35","35+")))))</x:f>
        <x:v>25-&lt;35</x:v>
      </x:c>
    </x:row>
    <x:row r="4842">
      <x:c r="A4842" t="str">
        <x:v>SYN0004841</x:v>
      </x:c>
      <x:c r="B4842" s="12" t="n">
        <x:v>41725</x:v>
      </x:c>
      <x:c r="C4842" s="18" t="n">
        <x:v>20996</x:v>
      </x:c>
      <x:c r="D4842" s="18" t="n">
        <x:v>37207</x:v>
      </x:c>
      <x:c r="E4842" s="18" t="n">
        <x:v>19.01</x:v>
      </x:c>
      <x:c r="F4842" s="18" t="n">
        <x:v>12.64</x:v>
      </x:c>
      <x:c r="G4842" t="n">
        <x:v>36</x:v>
      </x:c>
      <x:c r="H4842" t="str">
        <x:v>C</x:v>
      </x:c>
      <x:c r="I4842" t="str">
        <x:v>7-9 years</x:v>
      </x:c>
      <x:c r="J4842" t="str">
        <x:v>MORTGAGE</x:v>
      </x:c>
      <x:c r="K4842" t="str">
        <x:v>debt_consolidation</x:v>
      </x:c>
      <x:c r="L4842" t="n">
        <x:v>0</x:v>
      </x:c>
      <x:c r="M4842" t="n">
        <x:v>0</x:v>
      </x:c>
      <x:c r="N4842" t="str">
        <x:v>Fully Paid</x:v>
      </x:c>
      <x:c r="O4842" t="str">
        <x:f>IF(D4842="","Unknown",IF(D4842&lt;25000,"&lt;$25k",IF(D4842&lt;50000,"$25k-$50k",IF(D4842&lt;75000,"$50k-$75k",IF(D4842&lt;100000,"$75k-$100k","$100k+")))))</x:f>
        <x:v>$25k-$50k</x:v>
      </x:c>
      <x:c r="P4842" t="str">
        <x:f>IF(E4842="","Unknown",IF(E4842&lt;10,"&lt;10",IF(E4842&lt;20,"10-&lt;20",IF(E4842&lt;25,"20-&lt;25",IF(E4842&lt;35,"25-&lt;35","35+")))))</x:f>
        <x:v>10-&lt;20</x:v>
      </x:c>
    </x:row>
    <x:row r="4843">
      <x:c r="A4843" t="str">
        <x:v>SYN0004842</x:v>
      </x:c>
      <x:c r="B4843" s="12" t="n">
        <x:v>42115</x:v>
      </x:c>
      <x:c r="C4843" s="18" t="n">
        <x:v>19839</x:v>
      </x:c>
      <x:c r="D4843" s="18" t="n">
        <x:v>37432</x:v>
      </x:c>
      <x:c r="E4843" s="18" t="n">
        <x:v>28.35</x:v>
      </x:c>
      <x:c r="F4843" s="18" t="n">
        <x:v>21.56</x:v>
      </x:c>
      <x:c r="G4843" t="n">
        <x:v>36</x:v>
      </x:c>
      <x:c r="H4843" t="str">
        <x:v>F</x:v>
      </x:c>
      <x:c r="I4843" t="str">
        <x:v>10+ years</x:v>
      </x:c>
      <x:c r="J4843" t="str">
        <x:v>RENT</x:v>
      </x:c>
      <x:c r="K4843" t="str">
        <x:v>other</x:v>
      </x:c>
      <x:c r="L4843" t="n">
        <x:v>1</x:v>
      </x:c>
      <x:c r="M4843" t="n">
        <x:v>0</x:v>
      </x:c>
      <x:c r="N4843" t="str">
        <x:v>Fully Paid</x:v>
      </x:c>
      <x:c r="O4843" t="str">
        <x:f>IF(D4843="","Unknown",IF(D4843&lt;25000,"&lt;$25k",IF(D4843&lt;50000,"$25k-$50k",IF(D4843&lt;75000,"$50k-$75k",IF(D4843&lt;100000,"$75k-$100k","$100k+")))))</x:f>
        <x:v>$25k-$50k</x:v>
      </x:c>
      <x:c r="P4843" t="str">
        <x:f>IF(E4843="","Unknown",IF(E4843&lt;10,"&lt;10",IF(E4843&lt;20,"10-&lt;20",IF(E4843&lt;25,"20-&lt;25",IF(E4843&lt;35,"25-&lt;35","35+")))))</x:f>
        <x:v>25-&lt;35</x:v>
      </x:c>
    </x:row>
    <x:row r="4844">
      <x:c r="A4844" t="str">
        <x:v>SYN0004843</x:v>
      </x:c>
      <x:c r="B4844" s="12" t="n">
        <x:v>42895</x:v>
      </x:c>
      <x:c r="C4844" s="18" t="n">
        <x:v>14332</x:v>
      </x:c>
      <x:c r="D4844" s="18" t="n">
        <x:v>113300</x:v>
      </x:c>
      <x:c r="E4844" s="18" t="n">
        <x:v>18.19</x:v>
      </x:c>
      <x:c r="F4844" s="18" t="n">
        <x:v>15.16</x:v>
      </x:c>
      <x:c r="G4844" t="n">
        <x:v>36</x:v>
      </x:c>
      <x:c r="H4844" t="str">
        <x:v>D</x:v>
      </x:c>
      <x:c r="I4844" t="str">
        <x:v>1-3 years</x:v>
      </x:c>
      <x:c r="J4844" t="str">
        <x:v>OTHER</x:v>
      </x:c>
      <x:c r="K4844" t="str">
        <x:v>debt_consolidation</x:v>
      </x:c>
      <x:c r="L4844" t="n">
        <x:v>0</x:v>
      </x:c>
      <x:c r="M4844" t="n">
        <x:v>0</x:v>
      </x:c>
      <x:c r="N4844" t="str">
        <x:v>Fully Paid</x:v>
      </x:c>
      <x:c r="O4844" t="str">
        <x:f>IF(D4844="","Unknown",IF(D4844&lt;25000,"&lt;$25k",IF(D4844&lt;50000,"$25k-$50k",IF(D4844&lt;75000,"$50k-$75k",IF(D4844&lt;100000,"$75k-$100k","$100k+")))))</x:f>
        <x:v>$100k+</x:v>
      </x:c>
      <x:c r="P4844" t="str">
        <x:f>IF(E4844="","Unknown",IF(E4844&lt;10,"&lt;10",IF(E4844&lt;20,"10-&lt;20",IF(E4844&lt;25,"20-&lt;25",IF(E4844&lt;35,"25-&lt;35","35+")))))</x:f>
        <x:v>10-&lt;20</x:v>
      </x:c>
    </x:row>
    <x:row r="4845">
      <x:c r="A4845" t="str">
        <x:v>SYN0004844</x:v>
      </x:c>
      <x:c r="B4845" s="12" t="n">
        <x:v>41455</x:v>
      </x:c>
      <x:c r="C4845" s="18" t="n">
        <x:v>10678</x:v>
      </x:c>
      <x:c r="D4845" s="18" t="n">
        <x:v>43576</x:v>
      </x:c>
      <x:c r="E4845" s="18" t="n">
        <x:v>8.23</x:v>
      </x:c>
      <x:c r="F4845" s="18" t="n">
        <x:v>20.27</x:v>
      </x:c>
      <x:c r="G4845" t="n">
        <x:v>60</x:v>
      </x:c>
      <x:c r="H4845" t="str">
        <x:v>F</x:v>
      </x:c>
      <x:c r="I4845" t="str">
        <x:v>4-6 years</x:v>
      </x:c>
      <x:c r="J4845" t="str">
        <x:v>RENT</x:v>
      </x:c>
      <x:c r="K4845" t="str">
        <x:v>other</x:v>
      </x:c>
      <x:c r="L4845" t="n">
        <x:v>2</x:v>
      </x:c>
      <x:c r="M4845" t="n">
        <x:v>0</x:v>
      </x:c>
      <x:c r="N4845" t="str">
        <x:v>Fully Paid</x:v>
      </x:c>
      <x:c r="O4845" t="str">
        <x:f>IF(D4845="","Unknown",IF(D4845&lt;25000,"&lt;$25k",IF(D4845&lt;50000,"$25k-$50k",IF(D4845&lt;75000,"$50k-$75k",IF(D4845&lt;100000,"$75k-$100k","$100k+")))))</x:f>
        <x:v>$25k-$50k</x:v>
      </x:c>
      <x:c r="P4845" t="str">
        <x:f>IF(E4845="","Unknown",IF(E4845&lt;10,"&lt;10",IF(E4845&lt;20,"10-&lt;20",IF(E4845&lt;25,"20-&lt;25",IF(E4845&lt;35,"25-&lt;35","35+")))))</x:f>
        <x:v>&lt;10</x:v>
      </x:c>
    </x:row>
    <x:row r="4846">
      <x:c r="A4846" t="str">
        <x:v>SYN0004845</x:v>
      </x:c>
      <x:c r="B4846" s="12" t="n">
        <x:v>43405</x:v>
      </x:c>
      <x:c r="C4846" s="18" t="n">
        <x:v>16285</x:v>
      </x:c>
      <x:c r="D4846" s="18" t="n">
        <x:v>56164</x:v>
      </x:c>
      <x:c r="E4846" s="18" t="n">
        <x:v>15.67</x:v>
      </x:c>
      <x:c r="F4846" s="18" t="n">
        <x:v>7.2</x:v>
      </x:c>
      <x:c r="G4846" t="n">
        <x:v>36</x:v>
      </x:c>
      <x:c r="H4846" t="str">
        <x:v>B</x:v>
      </x:c>
      <x:c r="I4846" t="str">
        <x:v>7-9 years</x:v>
      </x:c>
      <x:c r="J4846" t="str">
        <x:v>RENT</x:v>
      </x:c>
      <x:c r="K4846" t="str">
        <x:v>home_improvement</x:v>
      </x:c>
      <x:c r="L4846" t="n">
        <x:v>0</x:v>
      </x:c>
      <x:c r="M4846" t="n">
        <x:v>0</x:v>
      </x:c>
      <x:c r="N4846" t="str">
        <x:v>Fully Paid</x:v>
      </x:c>
      <x:c r="O4846" t="str">
        <x:f>IF(D4846="","Unknown",IF(D4846&lt;25000,"&lt;$25k",IF(D4846&lt;50000,"$25k-$50k",IF(D4846&lt;75000,"$50k-$75k",IF(D4846&lt;100000,"$75k-$100k","$100k+")))))</x:f>
        <x:v>$50k-$75k</x:v>
      </x:c>
      <x:c r="P4846" t="str">
        <x:f>IF(E4846="","Unknown",IF(E4846&lt;10,"&lt;10",IF(E4846&lt;20,"10-&lt;20",IF(E4846&lt;25,"20-&lt;25",IF(E4846&lt;35,"25-&lt;35","35+")))))</x:f>
        <x:v>10-&lt;20</x:v>
      </x:c>
    </x:row>
    <x:row r="4847">
      <x:c r="A4847" t="str">
        <x:v>SYN0004846</x:v>
      </x:c>
      <x:c r="B4847" s="12" t="n">
        <x:v>41335</x:v>
      </x:c>
      <x:c r="C4847" s="18" t="n">
        <x:v>7215</x:v>
      </x:c>
      <x:c r="D4847" s="18" t="n">
        <x:v>178401</x:v>
      </x:c>
      <x:c r="E4847" s="18" t="n">
        <x:v>22.12</x:v>
      </x:c>
      <x:c r="F4847" s="18" t="n">
        <x:v>18.33</x:v>
      </x:c>
      <x:c r="G4847" t="n">
        <x:v>36</x:v>
      </x:c>
      <x:c r="H4847" t="str">
        <x:v>E</x:v>
      </x:c>
      <x:c r="I4847" t="str">
        <x:v>4-6 years</x:v>
      </x:c>
      <x:c r="J4847" t="str">
        <x:v>RENT</x:v>
      </x:c>
      <x:c r="K4847" t="str">
        <x:v>credit_card</x:v>
      </x:c>
      <x:c r="L4847" t="n">
        <x:v>0</x:v>
      </x:c>
      <x:c r="M4847" t="n">
        <x:v>0</x:v>
      </x:c>
      <x:c r="N4847" t="str">
        <x:v>Fully Paid</x:v>
      </x:c>
      <x:c r="O4847" t="str">
        <x:f>IF(D4847="","Unknown",IF(D4847&lt;25000,"&lt;$25k",IF(D4847&lt;50000,"$25k-$50k",IF(D4847&lt;75000,"$50k-$75k",IF(D4847&lt;100000,"$75k-$100k","$100k+")))))</x:f>
        <x:v>$100k+</x:v>
      </x:c>
      <x:c r="P4847" t="str">
        <x:f>IF(E4847="","Unknown",IF(E4847&lt;10,"&lt;10",IF(E4847&lt;20,"10-&lt;20",IF(E4847&lt;25,"20-&lt;25",IF(E4847&lt;35,"25-&lt;35","35+")))))</x:f>
        <x:v>20-&lt;25</x:v>
      </x:c>
    </x:row>
    <x:row r="4848">
      <x:c r="A4848" t="str">
        <x:v>SYN0004847</x:v>
      </x:c>
      <x:c r="B4848" s="12" t="n">
        <x:v>41275</x:v>
      </x:c>
      <x:c r="C4848" s="18" t="n">
        <x:v>15140</x:v>
      </x:c>
      <x:c r="D4848" s="18" t="n">
        <x:v>28129</x:v>
      </x:c>
      <x:c r="E4848" s="18" t="n">
        <x:v>14.44</x:v>
      </x:c>
      <x:c r="F4848" s="18" t="n">
        <x:v>12.97</x:v>
      </x:c>
      <x:c r="G4848" t="n">
        <x:v>36</x:v>
      </x:c>
      <x:c r="H4848" t="str">
        <x:v>D</x:v>
      </x:c>
      <x:c r="I4848" t="str">
        <x:v>1-3 years</x:v>
      </x:c>
      <x:c r="J4848" t="str">
        <x:v>RENT</x:v>
      </x:c>
      <x:c r="K4848" t="str">
        <x:v>major_purchase</x:v>
      </x:c>
      <x:c r="L4848" t="n">
        <x:v>1</x:v>
      </x:c>
      <x:c r="M4848" t="n">
        <x:v>0</x:v>
      </x:c>
      <x:c r="N4848" t="str">
        <x:v>Fully Paid</x:v>
      </x:c>
      <x:c r="O4848" t="str">
        <x:f>IF(D4848="","Unknown",IF(D4848&lt;25000,"&lt;$25k",IF(D4848&lt;50000,"$25k-$50k",IF(D4848&lt;75000,"$50k-$75k",IF(D4848&lt;100000,"$75k-$100k","$100k+")))))</x:f>
        <x:v>$25k-$50k</x:v>
      </x:c>
      <x:c r="P4848" t="str">
        <x:f>IF(E4848="","Unknown",IF(E4848&lt;10,"&lt;10",IF(E4848&lt;20,"10-&lt;20",IF(E4848&lt;25,"20-&lt;25",IF(E4848&lt;35,"25-&lt;35","35+")))))</x:f>
        <x:v>10-&lt;20</x:v>
      </x:c>
    </x:row>
    <x:row r="4849">
      <x:c r="A4849" t="str">
        <x:v>SYN0004848</x:v>
      </x:c>
      <x:c r="B4849" s="12" t="n">
        <x:v>42505</x:v>
      </x:c>
      <x:c r="C4849" s="18" t="n">
        <x:v>16551</x:v>
      </x:c>
      <x:c r="D4849" s="18" t="n">
        <x:v>34440</x:v>
      </x:c>
      <x:c r="E4849" s="18" t="n">
        <x:v>30</x:v>
      </x:c>
      <x:c r="F4849" s="18" t="n">
        <x:v>9.14</x:v>
      </x:c>
      <x:c r="G4849" t="n">
        <x:v>60</x:v>
      </x:c>
      <x:c r="H4849" t="str">
        <x:v>B</x:v>
      </x:c>
      <x:c r="I4849" t="str">
        <x:v>10+ years</x:v>
      </x:c>
      <x:c r="J4849" t="str">
        <x:v>MORTGAGE</x:v>
      </x:c>
      <x:c r="K4849" t="str">
        <x:v>debt_consolidation</x:v>
      </x:c>
      <x:c r="L4849" t="n">
        <x:v>0</x:v>
      </x:c>
      <x:c r="M4849" t="n">
        <x:v>0</x:v>
      </x:c>
      <x:c r="N4849" t="str">
        <x:v>Fully Paid</x:v>
      </x:c>
      <x:c r="O4849" t="str">
        <x:f>IF(D4849="","Unknown",IF(D4849&lt;25000,"&lt;$25k",IF(D4849&lt;50000,"$25k-$50k",IF(D4849&lt;75000,"$50k-$75k",IF(D4849&lt;100000,"$75k-$100k","$100k+")))))</x:f>
        <x:v>$25k-$50k</x:v>
      </x:c>
      <x:c r="P4849" t="str">
        <x:f>IF(E4849="","Unknown",IF(E4849&lt;10,"&lt;10",IF(E4849&lt;20,"10-&lt;20",IF(E4849&lt;25,"20-&lt;25",IF(E4849&lt;35,"25-&lt;35","35+")))))</x:f>
        <x:v>25-&lt;35</x:v>
      </x:c>
    </x:row>
    <x:row r="4850">
      <x:c r="A4850" t="str">
        <x:v>SYN0004849</x:v>
      </x:c>
      <x:c r="B4850" s="12" t="n">
        <x:v>42265</x:v>
      </x:c>
      <x:c r="C4850" s="18" t="n">
        <x:v>10414</x:v>
      </x:c>
      <x:c r="D4850" s="18" t="n">
        <x:v>122920</x:v>
      </x:c>
      <x:c r="E4850" s="18" t="n">
        <x:v>35.91</x:v>
      </x:c>
      <x:c r="F4850" s="18" t="n">
        <x:v>16.25</x:v>
      </x:c>
      <x:c r="G4850" t="n">
        <x:v>36</x:v>
      </x:c>
      <x:c r="H4850" t="str">
        <x:v>D</x:v>
      </x:c>
      <x:c r="I4850" t="str">
        <x:v>10+ years</x:v>
      </x:c>
      <x:c r="J4850" t="str">
        <x:v>MORTGAGE</x:v>
      </x:c>
      <x:c r="K4850" t="str">
        <x:v>home_improvement</x:v>
      </x:c>
      <x:c r="L4850" t="n">
        <x:v>1</x:v>
      </x:c>
      <x:c r="M4850" t="n">
        <x:v>0</x:v>
      </x:c>
      <x:c r="N4850" t="str">
        <x:v>Fully Paid</x:v>
      </x:c>
      <x:c r="O4850" t="str">
        <x:f>IF(D4850="","Unknown",IF(D4850&lt;25000,"&lt;$25k",IF(D4850&lt;50000,"$25k-$50k",IF(D4850&lt;75000,"$50k-$75k",IF(D4850&lt;100000,"$75k-$100k","$100k+")))))</x:f>
        <x:v>$100k+</x:v>
      </x:c>
      <x:c r="P4850" t="str">
        <x:f>IF(E4850="","Unknown",IF(E4850&lt;10,"&lt;10",IF(E4850&lt;20,"10-&lt;20",IF(E4850&lt;25,"20-&lt;25",IF(E4850&lt;35,"25-&lt;35","35+")))))</x:f>
        <x:v>35+</x:v>
      </x:c>
    </x:row>
    <x:row r="4851">
      <x:c r="A4851" t="str">
        <x:v>SYN0004850</x:v>
      </x:c>
      <x:c r="B4851" s="12" t="n">
        <x:v>41755</x:v>
      </x:c>
      <x:c r="C4851" s="18" t="n">
        <x:v>10852</x:v>
      </x:c>
      <x:c r="D4851" s="18" t="n">
        <x:v>29564</x:v>
      </x:c>
      <x:c r="E4851" s="18" t="n">
        <x:v>17.81</x:v>
      </x:c>
      <x:c r="F4851" s="18" t="n">
        <x:v>8.8</x:v>
      </x:c>
      <x:c r="G4851" t="n">
        <x:v>60</x:v>
      </x:c>
      <x:c r="H4851" t="str">
        <x:v>B</x:v>
      </x:c>
      <x:c r="I4851" t="str">
        <x:v>4-6 years</x:v>
      </x:c>
      <x:c r="J4851" t="str">
        <x:v>MORTGAGE</x:v>
      </x:c>
      <x:c r="K4851" t="str">
        <x:v>debt_consolidation</x:v>
      </x:c>
      <x:c r="L4851" t="n">
        <x:v>1</x:v>
      </x:c>
      <x:c r="M4851" t="n">
        <x:v>0</x:v>
      </x:c>
      <x:c r="N4851" t="str">
        <x:v>Fully Paid</x:v>
      </x:c>
      <x:c r="O4851" t="str">
        <x:f>IF(D4851="","Unknown",IF(D4851&lt;25000,"&lt;$25k",IF(D4851&lt;50000,"$25k-$50k",IF(D4851&lt;75000,"$50k-$75k",IF(D4851&lt;100000,"$75k-$100k","$100k+")))))</x:f>
        <x:v>$25k-$50k</x:v>
      </x:c>
      <x:c r="P4851" t="str">
        <x:f>IF(E4851="","Unknown",IF(E4851&lt;10,"&lt;10",IF(E4851&lt;20,"10-&lt;20",IF(E4851&lt;25,"20-&lt;25",IF(E4851&lt;35,"25-&lt;35","35+")))))</x:f>
        <x:v>10-&lt;20</x:v>
      </x:c>
    </x:row>
    <x:row r="4852">
      <x:c r="A4852" t="str">
        <x:v>SYN0004851</x:v>
      </x:c>
      <x:c r="B4852" s="12" t="n">
        <x:v>42805</x:v>
      </x:c>
      <x:c r="C4852" s="18" t="n">
        <x:v>24277</x:v>
      </x:c>
      <x:c r="D4852" s="18" t="n">
        <x:v>26343</x:v>
      </x:c>
      <x:c r="E4852" s="18" t="n">
        <x:v>33.6</x:v>
      </x:c>
      <x:c r="F4852" s="18" t="n">
        <x:v>13.54</x:v>
      </x:c>
      <x:c r="G4852" t="n">
        <x:v>60</x:v>
      </x:c>
      <x:c r="H4852" t="str">
        <x:v>C</x:v>
      </x:c>
      <x:c r="I4852" t="str">
        <x:v>7-9 years</x:v>
      </x:c>
      <x:c r="J4852" t="str">
        <x:v>OWN</x:v>
      </x:c>
      <x:c r="K4852" t="str">
        <x:v>credit_card</x:v>
      </x:c>
      <x:c r="L4852" t="n">
        <x:v>2</x:v>
      </x:c>
      <x:c r="M4852" t="n">
        <x:v>1</x:v>
      </x:c>
      <x:c r="N4852" t="str">
        <x:v>Charged Off</x:v>
      </x:c>
      <x:c r="O4852" t="str">
        <x:f>IF(D4852="","Unknown",IF(D4852&lt;25000,"&lt;$25k",IF(D4852&lt;50000,"$25k-$50k",IF(D4852&lt;75000,"$50k-$75k",IF(D4852&lt;100000,"$75k-$100k","$100k+")))))</x:f>
        <x:v>$25k-$50k</x:v>
      </x:c>
      <x:c r="P4852" t="str">
        <x:f>IF(E4852="","Unknown",IF(E4852&lt;10,"&lt;10",IF(E4852&lt;20,"10-&lt;20",IF(E4852&lt;25,"20-&lt;25",IF(E4852&lt;35,"25-&lt;35","35+")))))</x:f>
        <x:v>25-&lt;35</x:v>
      </x:c>
    </x:row>
    <x:row r="4853">
      <x:c r="A4853" t="str">
        <x:v>SYN0004852</x:v>
      </x:c>
      <x:c r="B4853" s="12" t="n">
        <x:v>43285</x:v>
      </x:c>
      <x:c r="C4853" s="18" t="n">
        <x:v>6215</x:v>
      </x:c>
      <x:c r="D4853" s="18" t="n">
        <x:v>32885</x:v>
      </x:c>
      <x:c r="E4853" s="18" t="n">
        <x:v>30.46</x:v>
      </x:c>
      <x:c r="F4853" s="18" t="n">
        <x:v>11.94</x:v>
      </x:c>
      <x:c r="G4853" t="n">
        <x:v>36</x:v>
      </x:c>
      <x:c r="H4853" t="str">
        <x:v>B</x:v>
      </x:c>
      <x:c r="I4853" t="str">
        <x:v>10+ years</x:v>
      </x:c>
      <x:c r="J4853" t="str">
        <x:v>MORTGAGE</x:v>
      </x:c>
      <x:c r="K4853" t="str">
        <x:v>major_purchase</x:v>
      </x:c>
      <x:c r="L4853" t="n">
        <x:v>0</x:v>
      </x:c>
      <x:c r="M4853" t="n">
        <x:v>0</x:v>
      </x:c>
      <x:c r="N4853" t="str">
        <x:v>Fully Paid</x:v>
      </x:c>
      <x:c r="O4853" t="str">
        <x:f>IF(D4853="","Unknown",IF(D4853&lt;25000,"&lt;$25k",IF(D4853&lt;50000,"$25k-$50k",IF(D4853&lt;75000,"$50k-$75k",IF(D4853&lt;100000,"$75k-$100k","$100k+")))))</x:f>
        <x:v>$25k-$50k</x:v>
      </x:c>
      <x:c r="P4853" t="str">
        <x:f>IF(E4853="","Unknown",IF(E4853&lt;10,"&lt;10",IF(E4853&lt;20,"10-&lt;20",IF(E4853&lt;25,"20-&lt;25",IF(E4853&lt;35,"25-&lt;35","35+")))))</x:f>
        <x:v>25-&lt;35</x:v>
      </x:c>
    </x:row>
    <x:row r="4854">
      <x:c r="A4854" t="str">
        <x:v>SYN0004853</x:v>
      </x:c>
      <x:c r="B4854" s="12" t="n">
        <x:v>42115</x:v>
      </x:c>
      <x:c r="C4854" s="18" t="n">
        <x:v>13330</x:v>
      </x:c>
      <x:c r="D4854" s="18" t="n">
        <x:v>80638</x:v>
      </x:c>
      <x:c r="E4854" s="18" t="n">
        <x:v>29.45</x:v>
      </x:c>
      <x:c r="F4854" s="18" t="n">
        <x:v>10.75</x:v>
      </x:c>
      <x:c r="G4854" t="n">
        <x:v>36</x:v>
      </x:c>
      <x:c r="H4854" t="str">
        <x:v>D</x:v>
      </x:c>
      <x:c r="I4854" t="str">
        <x:v>10+ years</x:v>
      </x:c>
      <x:c r="J4854" t="str">
        <x:v>RENT</x:v>
      </x:c>
      <x:c r="K4854" t="str">
        <x:v>major_purchase</x:v>
      </x:c>
      <x:c r="L4854" t="n">
        <x:v>0</x:v>
      </x:c>
      <x:c r="M4854" t="n">
        <x:v>0</x:v>
      </x:c>
      <x:c r="N4854" t="str">
        <x:v>Fully Paid</x:v>
      </x:c>
      <x:c r="O4854" t="str">
        <x:f>IF(D4854="","Unknown",IF(D4854&lt;25000,"&lt;$25k",IF(D4854&lt;50000,"$25k-$50k",IF(D4854&lt;75000,"$50k-$75k",IF(D4854&lt;100000,"$75k-$100k","$100k+")))))</x:f>
        <x:v>$75k-$100k</x:v>
      </x:c>
      <x:c r="P4854" t="str">
        <x:f>IF(E4854="","Unknown",IF(E4854&lt;10,"&lt;10",IF(E4854&lt;20,"10-&lt;20",IF(E4854&lt;25,"20-&lt;25",IF(E4854&lt;35,"25-&lt;35","35+")))))</x:f>
        <x:v>25-&lt;35</x:v>
      </x:c>
    </x:row>
    <x:row r="4855">
      <x:c r="A4855" t="str">
        <x:v>SYN0004854</x:v>
      </x:c>
      <x:c r="B4855" s="12" t="n">
        <x:v>43345</x:v>
      </x:c>
      <x:c r="C4855" s="18" t="n">
        <x:v>28440</x:v>
      </x:c>
      <x:c r="D4855" s="18" t="n">
        <x:v>54593</x:v>
      </x:c>
      <x:c r="E4855" s="18" t="n">
        <x:v>19.67</x:v>
      </x:c>
      <x:c r="F4855" s="18" t="n">
        <x:v>13.48</x:v>
      </x:c>
      <x:c r="G4855" t="n">
        <x:v>36</x:v>
      </x:c>
      <x:c r="H4855" t="str">
        <x:v>D</x:v>
      </x:c>
      <x:c r="I4855" t="str">
        <x:v>10+ years</x:v>
      </x:c>
      <x:c r="J4855" t="str">
        <x:v>OWN</x:v>
      </x:c>
      <x:c r="K4855" t="str">
        <x:v>debt_consolidation</x:v>
      </x:c>
      <x:c r="L4855" t="n">
        <x:v>2</x:v>
      </x:c>
      <x:c r="M4855" t="n">
        <x:v>0</x:v>
      </x:c>
      <x:c r="N4855" t="str">
        <x:v>Fully Paid</x:v>
      </x:c>
      <x:c r="O4855" t="str">
        <x:f>IF(D4855="","Unknown",IF(D4855&lt;25000,"&lt;$25k",IF(D4855&lt;50000,"$25k-$50k",IF(D4855&lt;75000,"$50k-$75k",IF(D4855&lt;100000,"$75k-$100k","$100k+")))))</x:f>
        <x:v>$50k-$75k</x:v>
      </x:c>
      <x:c r="P4855" t="str">
        <x:f>IF(E4855="","Unknown",IF(E4855&lt;10,"&lt;10",IF(E4855&lt;20,"10-&lt;20",IF(E4855&lt;25,"20-&lt;25",IF(E4855&lt;35,"25-&lt;35","35+")))))</x:f>
        <x:v>10-&lt;20</x:v>
      </x:c>
    </x:row>
    <x:row r="4856">
      <x:c r="A4856" t="str">
        <x:v>SYN0004855</x:v>
      </x:c>
      <x:c r="B4856" s="12" t="n">
        <x:v>42775</x:v>
      </x:c>
      <x:c r="C4856" s="18" t="n">
        <x:v>29605</x:v>
      </x:c>
      <x:c r="D4856" s="18" t="n">
        <x:v>102080</x:v>
      </x:c>
      <x:c r="E4856" s="18" t="n">
        <x:v>26.3</x:v>
      </x:c>
      <x:c r="F4856" s="18" t="n">
        <x:v>23.33</x:v>
      </x:c>
      <x:c r="G4856" t="n">
        <x:v>36</x:v>
      </x:c>
      <x:c r="H4856" t="str">
        <x:v>F</x:v>
      </x:c>
      <x:c r="I4856" t="str">
        <x:v>10+ years</x:v>
      </x:c>
      <x:c r="J4856" t="str">
        <x:v>RENT</x:v>
      </x:c>
      <x:c r="K4856" t="str">
        <x:v>credit_card</x:v>
      </x:c>
      <x:c r="L4856" t="n">
        <x:v>0</x:v>
      </x:c>
      <x:c r="M4856" t="n">
        <x:v>0</x:v>
      </x:c>
      <x:c r="N4856" t="str">
        <x:v>Fully Paid</x:v>
      </x:c>
      <x:c r="O4856" t="str">
        <x:f>IF(D4856="","Unknown",IF(D4856&lt;25000,"&lt;$25k",IF(D4856&lt;50000,"$25k-$50k",IF(D4856&lt;75000,"$50k-$75k",IF(D4856&lt;100000,"$75k-$100k","$100k+")))))</x:f>
        <x:v>$100k+</x:v>
      </x:c>
      <x:c r="P4856" t="str">
        <x:f>IF(E4856="","Unknown",IF(E4856&lt;10,"&lt;10",IF(E4856&lt;20,"10-&lt;20",IF(E4856&lt;25,"20-&lt;25",IF(E4856&lt;35,"25-&lt;35","35+")))))</x:f>
        <x:v>25-&lt;35</x:v>
      </x:c>
    </x:row>
    <x:row r="4857">
      <x:c r="A4857" t="str">
        <x:v>SYN0004856</x:v>
      </x:c>
      <x:c r="B4857" s="12" t="n">
        <x:v>41665</x:v>
      </x:c>
      <x:c r="C4857" s="18" t="n">
        <x:v>17978</x:v>
      </x:c>
      <x:c r="D4857" s="18" t="n">
        <x:v>121494</x:v>
      </x:c>
      <x:c r="E4857" s="18" t="n">
        <x:v>28.82</x:v>
      </x:c>
      <x:c r="F4857" s="18" t="n">
        <x:v>8.73</x:v>
      </x:c>
      <x:c r="G4857" t="n">
        <x:v>36</x:v>
      </x:c>
      <x:c r="H4857" t="str">
        <x:v>C</x:v>
      </x:c>
      <x:c r="I4857" t="str">
        <x:v>4-6 years</x:v>
      </x:c>
      <x:c r="J4857" t="str">
        <x:v>RENT</x:v>
      </x:c>
      <x:c r="K4857" t="str">
        <x:v>home_improvement</x:v>
      </x:c>
      <x:c r="L4857" t="n">
        <x:v>0</x:v>
      </x:c>
      <x:c r="M4857" t="n">
        <x:v>0</x:v>
      </x:c>
      <x:c r="N4857" t="str">
        <x:v>Fully Paid</x:v>
      </x:c>
      <x:c r="O4857" t="str">
        <x:f>IF(D4857="","Unknown",IF(D4857&lt;25000,"&lt;$25k",IF(D4857&lt;50000,"$25k-$50k",IF(D4857&lt;75000,"$50k-$75k",IF(D4857&lt;100000,"$75k-$100k","$100k+")))))</x:f>
        <x:v>$100k+</x:v>
      </x:c>
      <x:c r="P4857" t="str">
        <x:f>IF(E4857="","Unknown",IF(E4857&lt;10,"&lt;10",IF(E4857&lt;20,"10-&lt;20",IF(E4857&lt;25,"20-&lt;25",IF(E4857&lt;35,"25-&lt;35","35+")))))</x:f>
        <x:v>25-&lt;35</x:v>
      </x:c>
    </x:row>
    <x:row r="4858">
      <x:c r="A4858" t="str">
        <x:v>SYN0004857</x:v>
      </x:c>
      <x:c r="B4858" s="12" t="n">
        <x:v>41395</x:v>
      </x:c>
      <x:c r="C4858" s="18" t="n">
        <x:v>15133</x:v>
      </x:c>
      <x:c r="D4858" s="18" t="n">
        <x:v>42833</x:v>
      </x:c>
      <x:c r="E4858" s="18" t="n">
        <x:v>29.52</x:v>
      </x:c>
      <x:c r="F4858" s="18" t="n">
        <x:v>17.09</x:v>
      </x:c>
      <x:c r="G4858" t="n">
        <x:v>36</x:v>
      </x:c>
      <x:c r="H4858" t="str">
        <x:v>E</x:v>
      </x:c>
      <x:c r="I4858" t="str">
        <x:v>4-6 years</x:v>
      </x:c>
      <x:c r="J4858" t="str">
        <x:v>MORTGAGE</x:v>
      </x:c>
      <x:c r="K4858" t="str">
        <x:v>other</x:v>
      </x:c>
      <x:c r="L4858" t="n">
        <x:v>0</x:v>
      </x:c>
      <x:c r="M4858" t="n">
        <x:v>0</x:v>
      </x:c>
      <x:c r="N4858" t="str">
        <x:v>Fully Paid</x:v>
      </x:c>
      <x:c r="O4858" t="str">
        <x:f>IF(D4858="","Unknown",IF(D4858&lt;25000,"&lt;$25k",IF(D4858&lt;50000,"$25k-$50k",IF(D4858&lt;75000,"$50k-$75k",IF(D4858&lt;100000,"$75k-$100k","$100k+")))))</x:f>
        <x:v>$25k-$50k</x:v>
      </x:c>
      <x:c r="P4858" t="str">
        <x:f>IF(E4858="","Unknown",IF(E4858&lt;10,"&lt;10",IF(E4858&lt;20,"10-&lt;20",IF(E4858&lt;25,"20-&lt;25",IF(E4858&lt;35,"25-&lt;35","35+")))))</x:f>
        <x:v>25-&lt;35</x:v>
      </x:c>
    </x:row>
    <x:row r="4859">
      <x:c r="A4859" t="str">
        <x:v>SYN0004858</x:v>
      </x:c>
      <x:c r="B4859" s="12" t="n">
        <x:v>42055</x:v>
      </x:c>
      <x:c r="C4859" s="18" t="n">
        <x:v>17423</x:v>
      </x:c>
      <x:c r="D4859" s="18" t="n">
        <x:v>116864</x:v>
      </x:c>
      <x:c r="E4859" s="18" t="n">
        <x:v>2.89</x:v>
      </x:c>
      <x:c r="F4859" s="18" t="n">
        <x:v>7.1</x:v>
      </x:c>
      <x:c r="G4859" t="n">
        <x:v>36</x:v>
      </x:c>
      <x:c r="H4859" t="str">
        <x:v>A</x:v>
      </x:c>
      <x:c r="I4859" t="str">
        <x:v>10+ years</x:v>
      </x:c>
      <x:c r="J4859" t="str">
        <x:v>MORTGAGE</x:v>
      </x:c>
      <x:c r="K4859" t="str">
        <x:v>credit_card</x:v>
      </x:c>
      <x:c r="L4859" t="n">
        <x:v>1</x:v>
      </x:c>
      <x:c r="M4859" t="n">
        <x:v>0</x:v>
      </x:c>
      <x:c r="N4859" t="str">
        <x:v>Fully Paid</x:v>
      </x:c>
      <x:c r="O4859" t="str">
        <x:f>IF(D4859="","Unknown",IF(D4859&lt;25000,"&lt;$25k",IF(D4859&lt;50000,"$25k-$50k",IF(D4859&lt;75000,"$50k-$75k",IF(D4859&lt;100000,"$75k-$100k","$100k+")))))</x:f>
        <x:v>$100k+</x:v>
      </x:c>
      <x:c r="P4859" t="str">
        <x:f>IF(E4859="","Unknown",IF(E4859&lt;10,"&lt;10",IF(E4859&lt;20,"10-&lt;20",IF(E4859&lt;25,"20-&lt;25",IF(E4859&lt;35,"25-&lt;35","35+")))))</x:f>
        <x:v>&lt;10</x:v>
      </x:c>
    </x:row>
    <x:row r="4860">
      <x:c r="A4860" t="str">
        <x:v>SYN0004859</x:v>
      </x:c>
      <x:c r="B4860" s="12" t="n">
        <x:v>43255</x:v>
      </x:c>
      <x:c r="C4860" s="18" t="n">
        <x:v>33503</x:v>
      </x:c>
      <x:c r="D4860" s="18" t="n">
        <x:v>96899</x:v>
      </x:c>
      <x:c r="E4860" s="18" t="n">
        <x:v>17.64</x:v>
      </x:c>
      <x:c r="F4860" s="18" t="n">
        <x:v>6.98</x:v>
      </x:c>
      <x:c r="G4860" t="n">
        <x:v>36</x:v>
      </x:c>
      <x:c r="H4860" t="str">
        <x:v>A</x:v>
      </x:c>
      <x:c r="I4860" t="str">
        <x:v>7-9 years</x:v>
      </x:c>
      <x:c r="J4860" t="str">
        <x:v>RENT</x:v>
      </x:c>
      <x:c r="K4860" t="str">
        <x:v>debt_consolidation</x:v>
      </x:c>
      <x:c r="L4860" t="n">
        <x:v>0</x:v>
      </x:c>
      <x:c r="M4860" t="n">
        <x:v>0</x:v>
      </x:c>
      <x:c r="N4860" t="str">
        <x:v>Fully Paid</x:v>
      </x:c>
      <x:c r="O4860" t="str">
        <x:f>IF(D4860="","Unknown",IF(D4860&lt;25000,"&lt;$25k",IF(D4860&lt;50000,"$25k-$50k",IF(D4860&lt;75000,"$50k-$75k",IF(D4860&lt;100000,"$75k-$100k","$100k+")))))</x:f>
        <x:v>$75k-$100k</x:v>
      </x:c>
      <x:c r="P4860" t="str">
        <x:f>IF(E4860="","Unknown",IF(E4860&lt;10,"&lt;10",IF(E4860&lt;20,"10-&lt;20",IF(E4860&lt;25,"20-&lt;25",IF(E4860&lt;35,"25-&lt;35","35+")))))</x:f>
        <x:v>10-&lt;20</x:v>
      </x:c>
    </x:row>
    <x:row r="4861">
      <x:c r="A4861" t="str">
        <x:v>SYN0004860</x:v>
      </x:c>
      <x:c r="B4861" s="12" t="n">
        <x:v>43315</x:v>
      </x:c>
      <x:c r="C4861" s="18" t="n">
        <x:v>10132</x:v>
      </x:c>
      <x:c r="D4861" s="18" t="n">
        <x:v>93319</x:v>
      </x:c>
      <x:c r="E4861" s="18" t="n">
        <x:v>25.98</x:v>
      </x:c>
      <x:c r="F4861" s="18" t="n">
        <x:v>11.27</x:v>
      </x:c>
      <x:c r="G4861" t="n">
        <x:v>36</x:v>
      </x:c>
      <x:c r="H4861" t="str">
        <x:v>C</x:v>
      </x:c>
      <x:c r="I4861" t="str">
        <x:v>7-9 years</x:v>
      </x:c>
      <x:c r="J4861" t="str">
        <x:v>RENT</x:v>
      </x:c>
      <x:c r="K4861" t="str">
        <x:v>debt_consolidation</x:v>
      </x:c>
      <x:c r="L4861" t="n">
        <x:v>1</x:v>
      </x:c>
      <x:c r="M4861" t="n">
        <x:v>0</x:v>
      </x:c>
      <x:c r="N4861" t="str">
        <x:v>Fully Paid</x:v>
      </x:c>
      <x:c r="O4861" t="str">
        <x:f>IF(D4861="","Unknown",IF(D4861&lt;25000,"&lt;$25k",IF(D4861&lt;50000,"$25k-$50k",IF(D4861&lt;75000,"$50k-$75k",IF(D4861&lt;100000,"$75k-$100k","$100k+")))))</x:f>
        <x:v>$75k-$100k</x:v>
      </x:c>
      <x:c r="P4861" t="str">
        <x:f>IF(E4861="","Unknown",IF(E4861&lt;10,"&lt;10",IF(E4861&lt;20,"10-&lt;20",IF(E4861&lt;25,"20-&lt;25",IF(E4861&lt;35,"25-&lt;35","35+")))))</x:f>
        <x:v>25-&lt;35</x:v>
      </x:c>
    </x:row>
    <x:row r="4862">
      <x:c r="A4862" t="str">
        <x:v>SYN0004861</x:v>
      </x:c>
      <x:c r="B4862" s="12" t="n">
        <x:v>41395</x:v>
      </x:c>
      <x:c r="C4862" s="18" t="n">
        <x:v>14922</x:v>
      </x:c>
      <x:c r="D4862" s="18" t="n">
        <x:v>74000</x:v>
      </x:c>
      <x:c r="E4862" s="18" t="n">
        <x:v>20.74</x:v>
      </x:c>
      <x:c r="F4862" s="18" t="n">
        <x:v>6.19</x:v>
      </x:c>
      <x:c r="G4862" t="n">
        <x:v>60</x:v>
      </x:c>
      <x:c r="H4862" t="str">
        <x:v>A</x:v>
      </x:c>
      <x:c r="I4862" t="str">
        <x:v>4-6 years</x:v>
      </x:c>
      <x:c r="J4862" t="str">
        <x:v>RENT</x:v>
      </x:c>
      <x:c r="K4862" t="str">
        <x:v>credit_card</x:v>
      </x:c>
      <x:c r="L4862" t="n">
        <x:v>0</x:v>
      </x:c>
      <x:c r="M4862" t="n">
        <x:v>0</x:v>
      </x:c>
      <x:c r="N4862" t="str">
        <x:v>Fully Paid</x:v>
      </x:c>
      <x:c r="O4862" t="str">
        <x:f>IF(D4862="","Unknown",IF(D4862&lt;25000,"&lt;$25k",IF(D4862&lt;50000,"$25k-$50k",IF(D4862&lt;75000,"$50k-$75k",IF(D4862&lt;100000,"$75k-$100k","$100k+")))))</x:f>
        <x:v>$50k-$75k</x:v>
      </x:c>
      <x:c r="P4862" t="str">
        <x:f>IF(E4862="","Unknown",IF(E4862&lt;10,"&lt;10",IF(E4862&lt;20,"10-&lt;20",IF(E4862&lt;25,"20-&lt;25",IF(E4862&lt;35,"25-&lt;35","35+")))))</x:f>
        <x:v>20-&lt;25</x:v>
      </x:c>
    </x:row>
    <x:row r="4863">
      <x:c r="A4863" t="str">
        <x:v>SYN0004862</x:v>
      </x:c>
      <x:c r="B4863" s="12" t="n">
        <x:v>43075</x:v>
      </x:c>
      <x:c r="C4863" s="18" t="n">
        <x:v>29375</x:v>
      </x:c>
      <x:c r="D4863" s="18" t="n">
        <x:v>41747</x:v>
      </x:c>
      <x:c r="E4863" s="18" t="n">
        <x:v>19.65</x:v>
      </x:c>
      <x:c r="F4863" s="18" t="n">
        <x:v>19.69</x:v>
      </x:c>
      <x:c r="G4863" t="n">
        <x:v>36</x:v>
      </x:c>
      <x:c r="H4863" t="str">
        <x:v>E</x:v>
      </x:c>
      <x:c r="I4863" t="str">
        <x:v>4-6 years</x:v>
      </x:c>
      <x:c r="J4863" t="str">
        <x:v>MORTGAGE</x:v>
      </x:c>
      <x:c r="K4863" t="str">
        <x:v>debt_consolidation</x:v>
      </x:c>
      <x:c r="L4863" t="n">
        <x:v>0</x:v>
      </x:c>
      <x:c r="M4863" t="n">
        <x:v>0</x:v>
      </x:c>
      <x:c r="N4863" t="str">
        <x:v>Fully Paid</x:v>
      </x:c>
      <x:c r="O4863" t="str">
        <x:f>IF(D4863="","Unknown",IF(D4863&lt;25000,"&lt;$25k",IF(D4863&lt;50000,"$25k-$50k",IF(D4863&lt;75000,"$50k-$75k",IF(D4863&lt;100000,"$75k-$100k","$100k+")))))</x:f>
        <x:v>$25k-$50k</x:v>
      </x:c>
      <x:c r="P4863" t="str">
        <x:f>IF(E4863="","Unknown",IF(E4863&lt;10,"&lt;10",IF(E4863&lt;20,"10-&lt;20",IF(E4863&lt;25,"20-&lt;25",IF(E4863&lt;35,"25-&lt;35","35+")))))</x:f>
        <x:v>10-&lt;20</x:v>
      </x:c>
    </x:row>
    <x:row r="4864">
      <x:c r="A4864" t="str">
        <x:v>SYN0004863</x:v>
      </x:c>
      <x:c r="B4864" s="12" t="n">
        <x:v>42265</x:v>
      </x:c>
      <x:c r="C4864" s="18" t="n">
        <x:v>10198</x:v>
      </x:c>
      <x:c r="D4864" s="18" t="n">
        <x:v>31830</x:v>
      </x:c>
      <x:c r="E4864" s="18" t="n">
        <x:v>19.27</x:v>
      </x:c>
      <x:c r="F4864" s="18" t="n">
        <x:v>7.95</x:v>
      </x:c>
      <x:c r="G4864" t="n">
        <x:v>36</x:v>
      </x:c>
      <x:c r="H4864" t="str">
        <x:v>B</x:v>
      </x:c>
      <x:c r="I4864" t="str">
        <x:v>7-9 years</x:v>
      </x:c>
      <x:c r="J4864" t="str">
        <x:v>RENT</x:v>
      </x:c>
      <x:c r="K4864" t="str">
        <x:v>home_improvement</x:v>
      </x:c>
      <x:c r="L4864" t="n">
        <x:v>0</x:v>
      </x:c>
      <x:c r="M4864" t="n">
        <x:v>0</x:v>
      </x:c>
      <x:c r="N4864" t="str">
        <x:v>Fully Paid</x:v>
      </x:c>
      <x:c r="O4864" t="str">
        <x:f>IF(D4864="","Unknown",IF(D4864&lt;25000,"&lt;$25k",IF(D4864&lt;50000,"$25k-$50k",IF(D4864&lt;75000,"$50k-$75k",IF(D4864&lt;100000,"$75k-$100k","$100k+")))))</x:f>
        <x:v>$25k-$50k</x:v>
      </x:c>
      <x:c r="P4864" t="str">
        <x:f>IF(E4864="","Unknown",IF(E4864&lt;10,"&lt;10",IF(E4864&lt;20,"10-&lt;20",IF(E4864&lt;25,"20-&lt;25",IF(E4864&lt;35,"25-&lt;35","35+")))))</x:f>
        <x:v>10-&lt;20</x:v>
      </x:c>
    </x:row>
    <x:row r="4865">
      <x:c r="A4865" t="str">
        <x:v>SYN0004864</x:v>
      </x:c>
      <x:c r="B4865" s="12" t="n">
        <x:v>43375</x:v>
      </x:c>
      <x:c r="C4865" s="18" t="n">
        <x:v>39314</x:v>
      </x:c>
      <x:c r="D4865" s="18" t="n">
        <x:v>30983</x:v>
      </x:c>
      <x:c r="E4865" s="18" t="n">
        <x:v>11.14</x:v>
      </x:c>
      <x:c r="F4865" s="18" t="n">
        <x:v>6.42</x:v>
      </x:c>
      <x:c r="G4865" t="n">
        <x:v>36</x:v>
      </x:c>
      <x:c r="H4865" t="str">
        <x:v>B</x:v>
      </x:c>
      <x:c r="I4865" t="str">
        <x:v>10+ years</x:v>
      </x:c>
      <x:c r="J4865" t="str">
        <x:v>MORTGAGE</x:v>
      </x:c>
      <x:c r="K4865" t="str">
        <x:v>medical</x:v>
      </x:c>
      <x:c r="L4865" t="n">
        <x:v>0</x:v>
      </x:c>
      <x:c r="M4865" t="n">
        <x:v>0</x:v>
      </x:c>
      <x:c r="N4865" t="str">
        <x:v>Fully Paid</x:v>
      </x:c>
      <x:c r="O4865" t="str">
        <x:f>IF(D4865="","Unknown",IF(D4865&lt;25000,"&lt;$25k",IF(D4865&lt;50000,"$25k-$50k",IF(D4865&lt;75000,"$50k-$75k",IF(D4865&lt;100000,"$75k-$100k","$100k+")))))</x:f>
        <x:v>$25k-$50k</x:v>
      </x:c>
      <x:c r="P4865" t="str">
        <x:f>IF(E4865="","Unknown",IF(E4865&lt;10,"&lt;10",IF(E4865&lt;20,"10-&lt;20",IF(E4865&lt;25,"20-&lt;25",IF(E4865&lt;35,"25-&lt;35","35+")))))</x:f>
        <x:v>10-&lt;20</x:v>
      </x:c>
    </x:row>
    <x:row r="4866">
      <x:c r="A4866" t="str">
        <x:v>SYN0004865</x:v>
      </x:c>
      <x:c r="B4866" s="12" t="n">
        <x:v>42115</x:v>
      </x:c>
      <x:c r="C4866" s="18" t="n">
        <x:v>40000</x:v>
      </x:c>
      <x:c r="D4866" s="18" t="n">
        <x:v>32479</x:v>
      </x:c>
      <x:c r="E4866" s="18" t="n">
        <x:v>17.74</x:v>
      </x:c>
      <x:c r="F4866" s="18" t="n">
        <x:v>9.79</x:v>
      </x:c>
      <x:c r="G4866" t="n">
        <x:v>36</x:v>
      </x:c>
      <x:c r="H4866" t="str">
        <x:v>B</x:v>
      </x:c>
      <x:c r="I4866" t="str">
        <x:v>7-9 years</x:v>
      </x:c>
      <x:c r="J4866" t="str">
        <x:v>OWN</x:v>
      </x:c>
      <x:c r="K4866" t="str">
        <x:v>home_improvement</x:v>
      </x:c>
      <x:c r="L4866" t="n">
        <x:v>1</x:v>
      </x:c>
      <x:c r="M4866" t="n">
        <x:v>0</x:v>
      </x:c>
      <x:c r="N4866" t="str">
        <x:v>Fully Paid</x:v>
      </x:c>
      <x:c r="O4866" t="str">
        <x:f>IF(D4866="","Unknown",IF(D4866&lt;25000,"&lt;$25k",IF(D4866&lt;50000,"$25k-$50k",IF(D4866&lt;75000,"$50k-$75k",IF(D4866&lt;100000,"$75k-$100k","$100k+")))))</x:f>
        <x:v>$25k-$50k</x:v>
      </x:c>
      <x:c r="P4866" t="str">
        <x:f>IF(E4866="","Unknown",IF(E4866&lt;10,"&lt;10",IF(E4866&lt;20,"10-&lt;20",IF(E4866&lt;25,"20-&lt;25",IF(E4866&lt;35,"25-&lt;35","35+")))))</x:f>
        <x:v>10-&lt;20</x:v>
      </x:c>
    </x:row>
    <x:row r="4867">
      <x:c r="A4867" t="str">
        <x:v>SYN0004866</x:v>
      </x:c>
      <x:c r="B4867" s="12" t="n">
        <x:v>42565</x:v>
      </x:c>
      <x:c r="C4867" s="18" t="n">
        <x:v>13479</x:v>
      </x:c>
      <x:c r="D4867" s="18" t="n">
        <x:v>41522</x:v>
      </x:c>
      <x:c r="E4867" s="18" t="n">
        <x:v>27.26</x:v>
      </x:c>
      <x:c r="F4867" s="18" t="n">
        <x:v>10.79</x:v>
      </x:c>
      <x:c r="G4867" t="n">
        <x:v>36</x:v>
      </x:c>
      <x:c r="H4867" t="str">
        <x:v>B</x:v>
      </x:c>
      <x:c r="I4867" t="str">
        <x:v>7-9 years</x:v>
      </x:c>
      <x:c r="J4867" t="str">
        <x:v>MORTGAGE</x:v>
      </x:c>
      <x:c r="K4867" t="str">
        <x:v>credit_card</x:v>
      </x:c>
      <x:c r="L4867" t="n">
        <x:v>0</x:v>
      </x:c>
      <x:c r="M4867" t="n">
        <x:v>0</x:v>
      </x:c>
      <x:c r="N4867" t="str">
        <x:v>Fully Paid</x:v>
      </x:c>
      <x:c r="O4867" t="str">
        <x:f>IF(D4867="","Unknown",IF(D4867&lt;25000,"&lt;$25k",IF(D4867&lt;50000,"$25k-$50k",IF(D4867&lt;75000,"$50k-$75k",IF(D4867&lt;100000,"$75k-$100k","$100k+")))))</x:f>
        <x:v>$25k-$50k</x:v>
      </x:c>
      <x:c r="P4867" t="str">
        <x:f>IF(E4867="","Unknown",IF(E4867&lt;10,"&lt;10",IF(E4867&lt;20,"10-&lt;20",IF(E4867&lt;25,"20-&lt;25",IF(E4867&lt;35,"25-&lt;35","35+")))))</x:f>
        <x:v>25-&lt;35</x:v>
      </x:c>
    </x:row>
    <x:row r="4868">
      <x:c r="A4868" t="str">
        <x:v>SYN0004867</x:v>
      </x:c>
      <x:c r="B4868" s="12" t="n">
        <x:v>43255</x:v>
      </x:c>
      <x:c r="C4868" s="18" t="n">
        <x:v>9329</x:v>
      </x:c>
      <x:c r="D4868" s="18" t="n">
        <x:v>67500</x:v>
      </x:c>
      <x:c r="E4868" s="18" t="n">
        <x:v>37.62</x:v>
      </x:c>
      <x:c r="F4868" s="18" t="n">
        <x:v>9.96</x:v>
      </x:c>
      <x:c r="G4868" t="n">
        <x:v>60</x:v>
      </x:c>
      <x:c r="H4868" t="str">
        <x:v>C</x:v>
      </x:c>
      <x:c r="I4868" t="str">
        <x:v>7-9 years</x:v>
      </x:c>
      <x:c r="J4868" t="str">
        <x:v>MORTGAGE</x:v>
      </x:c>
      <x:c r="K4868" t="str">
        <x:v>debt_consolidation</x:v>
      </x:c>
      <x:c r="L4868" t="n">
        <x:v>3</x:v>
      </x:c>
      <x:c r="M4868" t="n">
        <x:v>0</x:v>
      </x:c>
      <x:c r="N4868" t="str">
        <x:v>Fully Paid</x:v>
      </x:c>
      <x:c r="O4868" t="str">
        <x:f>IF(D4868="","Unknown",IF(D4868&lt;25000,"&lt;$25k",IF(D4868&lt;50000,"$25k-$50k",IF(D4868&lt;75000,"$50k-$75k",IF(D4868&lt;100000,"$75k-$100k","$100k+")))))</x:f>
        <x:v>$50k-$75k</x:v>
      </x:c>
      <x:c r="P4868" t="str">
        <x:f>IF(E4868="","Unknown",IF(E4868&lt;10,"&lt;10",IF(E4868&lt;20,"10-&lt;20",IF(E4868&lt;25,"20-&lt;25",IF(E4868&lt;35,"25-&lt;35","35+")))))</x:f>
        <x:v>35+</x:v>
      </x:c>
    </x:row>
    <x:row r="4869">
      <x:c r="A4869" t="str">
        <x:v>SYN0004868</x:v>
      </x:c>
      <x:c r="B4869" s="12" t="n">
        <x:v>41365</x:v>
      </x:c>
      <x:c r="C4869" s="18" t="n">
        <x:v>9843</x:v>
      </x:c>
      <x:c r="D4869" s="18" t="n">
        <x:v>20450</x:v>
      </x:c>
      <x:c r="E4869" s="18" t="n">
        <x:v>18.01</x:v>
      </x:c>
      <x:c r="F4869" s="18" t="n">
        <x:v>15.73</x:v>
      </x:c>
      <x:c r="G4869" t="n">
        <x:v>36</x:v>
      </x:c>
      <x:c r="H4869" t="str">
        <x:v>D</x:v>
      </x:c>
      <x:c r="I4869" t="str">
        <x:v>10+ years</x:v>
      </x:c>
      <x:c r="J4869" t="str">
        <x:v>RENT</x:v>
      </x:c>
      <x:c r="K4869" t="str">
        <x:v>debt_consolidation</x:v>
      </x:c>
      <x:c r="L4869" t="n">
        <x:v>0</x:v>
      </x:c>
      <x:c r="M4869" t="n">
        <x:v>0</x:v>
      </x:c>
      <x:c r="N4869" t="str">
        <x:v>Fully Paid</x:v>
      </x:c>
      <x:c r="O4869" t="str">
        <x:f>IF(D4869="","Unknown",IF(D4869&lt;25000,"&lt;$25k",IF(D4869&lt;50000,"$25k-$50k",IF(D4869&lt;75000,"$50k-$75k",IF(D4869&lt;100000,"$75k-$100k","$100k+")))))</x:f>
        <x:v>&lt;$25k</x:v>
      </x:c>
      <x:c r="P4869" t="str">
        <x:f>IF(E4869="","Unknown",IF(E4869&lt;10,"&lt;10",IF(E4869&lt;20,"10-&lt;20",IF(E4869&lt;25,"20-&lt;25",IF(E4869&lt;35,"25-&lt;35","35+")))))</x:f>
        <x:v>10-&lt;20</x:v>
      </x:c>
    </x:row>
    <x:row r="4870">
      <x:c r="A4870" t="str">
        <x:v>SYN0004869</x:v>
      </x:c>
      <x:c r="B4870" s="12" t="n">
        <x:v>41305</x:v>
      </x:c>
      <x:c r="C4870" s="18" t="n">
        <x:v>6858</x:v>
      </x:c>
      <x:c r="D4870" s="18" t="n">
        <x:v>26380</x:v>
      </x:c>
      <x:c r="E4870" s="18" t="n">
        <x:v>26.44</x:v>
      </x:c>
      <x:c r="F4870" s="18" t="n">
        <x:v>12.56</x:v>
      </x:c>
      <x:c r="G4870" t="n">
        <x:v>36</x:v>
      </x:c>
      <x:c r="H4870" t="str">
        <x:v>C</x:v>
      </x:c>
      <x:c r="I4870" t="str">
        <x:v>7-9 years</x:v>
      </x:c>
      <x:c r="J4870" t="str">
        <x:v>MORTGAGE</x:v>
      </x:c>
      <x:c r="K4870" t="str">
        <x:v>other</x:v>
      </x:c>
      <x:c r="L4870" t="n">
        <x:v>0</x:v>
      </x:c>
      <x:c r="M4870" t="n">
        <x:v>0</x:v>
      </x:c>
      <x:c r="N4870" t="str">
        <x:v>Fully Paid</x:v>
      </x:c>
      <x:c r="O4870" t="str">
        <x:f>IF(D4870="","Unknown",IF(D4870&lt;25000,"&lt;$25k",IF(D4870&lt;50000,"$25k-$50k",IF(D4870&lt;75000,"$50k-$75k",IF(D4870&lt;100000,"$75k-$100k","$100k+")))))</x:f>
        <x:v>$25k-$50k</x:v>
      </x:c>
      <x:c r="P4870" t="str">
        <x:f>IF(E4870="","Unknown",IF(E4870&lt;10,"&lt;10",IF(E4870&lt;20,"10-&lt;20",IF(E4870&lt;25,"20-&lt;25",IF(E4870&lt;35,"25-&lt;35","35+")))))</x:f>
        <x:v>25-&lt;35</x:v>
      </x:c>
    </x:row>
    <x:row r="4871">
      <x:c r="A4871" t="str">
        <x:v>SYN0004870</x:v>
      </x:c>
      <x:c r="B4871" s="12" t="n">
        <x:v>42985</x:v>
      </x:c>
      <x:c r="C4871" s="18" t="n">
        <x:v>5482</x:v>
      </x:c>
      <x:c r="D4871" s="18" t="n">
        <x:v>55311</x:v>
      </x:c>
      <x:c r="E4871" s="18" t="n">
        <x:v>18.47</x:v>
      </x:c>
      <x:c r="F4871" s="18" t="n">
        <x:v>18.52</x:v>
      </x:c>
      <x:c r="G4871" t="n">
        <x:v>60</x:v>
      </x:c>
      <x:c r="H4871" t="str">
        <x:v>E</x:v>
      </x:c>
      <x:c r="I4871" t="str">
        <x:v>&lt;1 year</x:v>
      </x:c>
      <x:c r="J4871" t="str">
        <x:v>RENT</x:v>
      </x:c>
      <x:c r="K4871" t="str">
        <x:v>debt_consolidation</x:v>
      </x:c>
      <x:c r="L4871" t="n">
        <x:v>1</x:v>
      </x:c>
      <x:c r="M4871" t="n">
        <x:v>0</x:v>
      </x:c>
      <x:c r="N4871" t="str">
        <x:v>Fully Paid</x:v>
      </x:c>
      <x:c r="O4871" t="str">
        <x:f>IF(D4871="","Unknown",IF(D4871&lt;25000,"&lt;$25k",IF(D4871&lt;50000,"$25k-$50k",IF(D4871&lt;75000,"$50k-$75k",IF(D4871&lt;100000,"$75k-$100k","$100k+")))))</x:f>
        <x:v>$50k-$75k</x:v>
      </x:c>
      <x:c r="P4871" t="str">
        <x:f>IF(E4871="","Unknown",IF(E4871&lt;10,"&lt;10",IF(E4871&lt;20,"10-&lt;20",IF(E4871&lt;25,"20-&lt;25",IF(E4871&lt;35,"25-&lt;35","35+")))))</x:f>
        <x:v>10-&lt;20</x:v>
      </x:c>
    </x:row>
    <x:row r="4872">
      <x:c r="A4872" t="str">
        <x:v>SYN0004871</x:v>
      </x:c>
      <x:c r="B4872" s="12" t="n">
        <x:v>41485</x:v>
      </x:c>
      <x:c r="C4872" s="18" t="n">
        <x:v>15208</x:v>
      </x:c>
      <x:c r="D4872" s="18" t="n">
        <x:v>76492</x:v>
      </x:c>
      <x:c r="E4872" s="18" t="n">
        <x:v>34.37</x:v>
      </x:c>
      <x:c r="F4872" s="18" t="n">
        <x:v>6.7</x:v>
      </x:c>
      <x:c r="G4872" t="n">
        <x:v>36</x:v>
      </x:c>
      <x:c r="H4872" t="str">
        <x:v>A</x:v>
      </x:c>
      <x:c r="I4872" t="str">
        <x:v>4-6 years</x:v>
      </x:c>
      <x:c r="J4872" t="str">
        <x:v>RENT</x:v>
      </x:c>
      <x:c r="K4872" t="str">
        <x:v>credit_card</x:v>
      </x:c>
      <x:c r="L4872" t="n">
        <x:v>3</x:v>
      </x:c>
      <x:c r="M4872" t="n">
        <x:v>0</x:v>
      </x:c>
      <x:c r="N4872" t="str">
        <x:v>Fully Paid</x:v>
      </x:c>
      <x:c r="O4872" t="str">
        <x:f>IF(D4872="","Unknown",IF(D4872&lt;25000,"&lt;$25k",IF(D4872&lt;50000,"$25k-$50k",IF(D4872&lt;75000,"$50k-$75k",IF(D4872&lt;100000,"$75k-$100k","$100k+")))))</x:f>
        <x:v>$75k-$100k</x:v>
      </x:c>
      <x:c r="P4872" t="str">
        <x:f>IF(E4872="","Unknown",IF(E4872&lt;10,"&lt;10",IF(E4872&lt;20,"10-&lt;20",IF(E4872&lt;25,"20-&lt;25",IF(E4872&lt;35,"25-&lt;35","35+")))))</x:f>
        <x:v>25-&lt;35</x:v>
      </x:c>
    </x:row>
    <x:row r="4873">
      <x:c r="A4873" t="str">
        <x:v>SYN0004872</x:v>
      </x:c>
      <x:c r="B4873" s="12" t="n">
        <x:v>42475</x:v>
      </x:c>
      <x:c r="C4873" s="18" t="n">
        <x:v>14853</x:v>
      </x:c>
      <x:c r="D4873" s="18" t="n">
        <x:v>22138</x:v>
      </x:c>
      <x:c r="E4873" s="18" t="n">
        <x:v>9.83</x:v>
      </x:c>
      <x:c r="F4873" s="18" t="n">
        <x:v>9.91</x:v>
      </x:c>
      <x:c r="G4873" t="n">
        <x:v>60</x:v>
      </x:c>
      <x:c r="H4873" t="str">
        <x:v>B</x:v>
      </x:c>
      <x:c r="I4873" t="str">
        <x:v>7-9 years</x:v>
      </x:c>
      <x:c r="J4873" t="str">
        <x:v>RENT</x:v>
      </x:c>
      <x:c r="K4873" t="str">
        <x:v>major_purchase</x:v>
      </x:c>
      <x:c r="L4873" t="n">
        <x:v>2</x:v>
      </x:c>
      <x:c r="M4873" t="n">
        <x:v>0</x:v>
      </x:c>
      <x:c r="N4873" t="str">
        <x:v>Fully Paid</x:v>
      </x:c>
      <x:c r="O4873" t="str">
        <x:f>IF(D4873="","Unknown",IF(D4873&lt;25000,"&lt;$25k",IF(D4873&lt;50000,"$25k-$50k",IF(D4873&lt;75000,"$50k-$75k",IF(D4873&lt;100000,"$75k-$100k","$100k+")))))</x:f>
        <x:v>&lt;$25k</x:v>
      </x:c>
      <x:c r="P4873" t="str">
        <x:f>IF(E4873="","Unknown",IF(E4873&lt;10,"&lt;10",IF(E4873&lt;20,"10-&lt;20",IF(E4873&lt;25,"20-&lt;25",IF(E4873&lt;35,"25-&lt;35","35+")))))</x:f>
        <x:v>&lt;10</x:v>
      </x:c>
    </x:row>
    <x:row r="4874">
      <x:c r="A4874" t="str">
        <x:v>SYN0004873</x:v>
      </x:c>
      <x:c r="B4874" s="12" t="n">
        <x:v>41785</x:v>
      </x:c>
      <x:c r="C4874" s="18" t="n">
        <x:v>17331</x:v>
      </x:c>
      <x:c r="D4874" s="18" t="n">
        <x:v>45735</x:v>
      </x:c>
      <x:c r="E4874" s="18" t="n">
        <x:v>19.22</x:v>
      </x:c>
      <x:c r="F4874" s="18" t="n">
        <x:v>7.42</x:v>
      </x:c>
      <x:c r="G4874" t="n">
        <x:v>60</x:v>
      </x:c>
      <x:c r="H4874" t="str">
        <x:v>A</x:v>
      </x:c>
      <x:c r="I4874" t="str">
        <x:v>1-3 years</x:v>
      </x:c>
      <x:c r="J4874" t="str">
        <x:v>MORTGAGE</x:v>
      </x:c>
      <x:c r="K4874" t="str">
        <x:v>credit_card</x:v>
      </x:c>
      <x:c r="L4874" t="n">
        <x:v>0</x:v>
      </x:c>
      <x:c r="M4874" t="n">
        <x:v>0</x:v>
      </x:c>
      <x:c r="N4874" t="str">
        <x:v>Fully Paid</x:v>
      </x:c>
      <x:c r="O4874" t="str">
        <x:f>IF(D4874="","Unknown",IF(D4874&lt;25000,"&lt;$25k",IF(D4874&lt;50000,"$25k-$50k",IF(D4874&lt;75000,"$50k-$75k",IF(D4874&lt;100000,"$75k-$100k","$100k+")))))</x:f>
        <x:v>$25k-$50k</x:v>
      </x:c>
      <x:c r="P4874" t="str">
        <x:f>IF(E4874="","Unknown",IF(E4874&lt;10,"&lt;10",IF(E4874&lt;20,"10-&lt;20",IF(E4874&lt;25,"20-&lt;25",IF(E4874&lt;35,"25-&lt;35","35+")))))</x:f>
        <x:v>10-&lt;20</x:v>
      </x:c>
    </x:row>
    <x:row r="4875">
      <x:c r="A4875" t="str">
        <x:v>SYN0004874</x:v>
      </x:c>
      <x:c r="B4875" s="12" t="n">
        <x:v>42625</x:v>
      </x:c>
      <x:c r="C4875" s="18" t="n">
        <x:v>5284</x:v>
      </x:c>
      <x:c r="D4875" s="18" t="n">
        <x:v>36783</x:v>
      </x:c>
      <x:c r="E4875" s="18" t="n">
        <x:v>11.72</x:v>
      </x:c>
      <x:c r="F4875" s="18" t="n">
        <x:v>18.69</x:v>
      </x:c>
      <x:c r="G4875" t="n">
        <x:v>36</x:v>
      </x:c>
      <x:c r="H4875" t="str">
        <x:v>E</x:v>
      </x:c>
      <x:c r="I4875" t="str">
        <x:v>1-3 years</x:v>
      </x:c>
      <x:c r="J4875" t="str">
        <x:v>OWN</x:v>
      </x:c>
      <x:c r="K4875" t="str">
        <x:v>other</x:v>
      </x:c>
      <x:c r="L4875" t="n">
        <x:v>3</x:v>
      </x:c>
      <x:c r="M4875" t="n">
        <x:v>0</x:v>
      </x:c>
      <x:c r="N4875" t="str">
        <x:v>Fully Paid</x:v>
      </x:c>
      <x:c r="O4875" t="str">
        <x:f>IF(D4875="","Unknown",IF(D4875&lt;25000,"&lt;$25k",IF(D4875&lt;50000,"$25k-$50k",IF(D4875&lt;75000,"$50k-$75k",IF(D4875&lt;100000,"$75k-$100k","$100k+")))))</x:f>
        <x:v>$25k-$50k</x:v>
      </x:c>
      <x:c r="P4875" t="str">
        <x:f>IF(E4875="","Unknown",IF(E4875&lt;10,"&lt;10",IF(E4875&lt;20,"10-&lt;20",IF(E4875&lt;25,"20-&lt;25",IF(E4875&lt;35,"25-&lt;35","35+")))))</x:f>
        <x:v>10-&lt;20</x:v>
      </x:c>
    </x:row>
    <x:row r="4876">
      <x:c r="A4876" t="str">
        <x:v>SYN0004875</x:v>
      </x:c>
      <x:c r="B4876" s="12" t="n">
        <x:v>43405</x:v>
      </x:c>
      <x:c r="C4876" s="18" t="n">
        <x:v>10154</x:v>
      </x:c>
      <x:c r="D4876" s="18" t="n">
        <x:v>57301</x:v>
      </x:c>
      <x:c r="E4876" s="18" t="n">
        <x:v>14.6</x:v>
      </x:c>
      <x:c r="F4876" s="18" t="n">
        <x:v>25.83</x:v>
      </x:c>
      <x:c r="G4876" t="n">
        <x:v>60</x:v>
      </x:c>
      <x:c r="H4876" t="str">
        <x:v>F</x:v>
      </x:c>
      <x:c r="I4876" t="str">
        <x:v>1-3 years</x:v>
      </x:c>
      <x:c r="J4876" t="str">
        <x:v>MORTGAGE</x:v>
      </x:c>
      <x:c r="K4876" t="str">
        <x:v>debt_consolidation</x:v>
      </x:c>
      <x:c r="L4876" t="n">
        <x:v>0</x:v>
      </x:c>
      <x:c r="M4876" t="n">
        <x:v>0</x:v>
      </x:c>
      <x:c r="N4876" t="str">
        <x:v>Fully Paid</x:v>
      </x:c>
      <x:c r="O4876" t="str">
        <x:f>IF(D4876="","Unknown",IF(D4876&lt;25000,"&lt;$25k",IF(D4876&lt;50000,"$25k-$50k",IF(D4876&lt;75000,"$50k-$75k",IF(D4876&lt;100000,"$75k-$100k","$100k+")))))</x:f>
        <x:v>$50k-$75k</x:v>
      </x:c>
      <x:c r="P4876" t="str">
        <x:f>IF(E4876="","Unknown",IF(E4876&lt;10,"&lt;10",IF(E4876&lt;20,"10-&lt;20",IF(E4876&lt;25,"20-&lt;25",IF(E4876&lt;35,"25-&lt;35","35+")))))</x:f>
        <x:v>10-&lt;20</x:v>
      </x:c>
    </x:row>
    <x:row r="4877">
      <x:c r="A4877" t="str">
        <x:v>SYN0004876</x:v>
      </x:c>
      <x:c r="B4877" s="12" t="n">
        <x:v>42985</x:v>
      </x:c>
      <x:c r="C4877" s="18" t="n">
        <x:v>5712</x:v>
      </x:c>
      <x:c r="D4877" s="18" t="n">
        <x:v>47767</x:v>
      </x:c>
      <x:c r="E4877" s="18" t="n">
        <x:v>22.22</x:v>
      </x:c>
      <x:c r="F4877" s="18" t="n">
        <x:v>13.32</x:v>
      </x:c>
      <x:c r="G4877" t="n">
        <x:v>60</x:v>
      </x:c>
      <x:c r="H4877" t="str">
        <x:v>D</x:v>
      </x:c>
      <x:c r="I4877" t="str">
        <x:v>7-9 years</x:v>
      </x:c>
      <x:c r="J4877" t="str">
        <x:v>MORTGAGE</x:v>
      </x:c>
      <x:c r="K4877" t="str">
        <x:v>debt_consolidation</x:v>
      </x:c>
      <x:c r="L4877" t="n">
        <x:v>0</x:v>
      </x:c>
      <x:c r="M4877" t="n">
        <x:v>0</x:v>
      </x:c>
      <x:c r="N4877" t="str">
        <x:v>Fully Paid</x:v>
      </x:c>
      <x:c r="O4877" t="str">
        <x:f>IF(D4877="","Unknown",IF(D4877&lt;25000,"&lt;$25k",IF(D4877&lt;50000,"$25k-$50k",IF(D4877&lt;75000,"$50k-$75k",IF(D4877&lt;100000,"$75k-$100k","$100k+")))))</x:f>
        <x:v>$25k-$50k</x:v>
      </x:c>
      <x:c r="P4877" t="str">
        <x:f>IF(E4877="","Unknown",IF(E4877&lt;10,"&lt;10",IF(E4877&lt;20,"10-&lt;20",IF(E4877&lt;25,"20-&lt;25",IF(E4877&lt;35,"25-&lt;35","35+")))))</x:f>
        <x:v>20-&lt;25</x:v>
      </x:c>
    </x:row>
    <x:row r="4878">
      <x:c r="A4878" t="str">
        <x:v>SYN0004877</x:v>
      </x:c>
      <x:c r="B4878" s="12" t="n">
        <x:v>43225</x:v>
      </x:c>
      <x:c r="C4878" s="18" t="n">
        <x:v>26010</x:v>
      </x:c>
      <x:c r="D4878" s="18" t="n">
        <x:v>58254</x:v>
      </x:c>
      <x:c r="E4878" s="18" t="n">
        <x:v>30.3</x:v>
      </x:c>
      <x:c r="F4878" s="18" t="n">
        <x:v>8.17</x:v>
      </x:c>
      <x:c r="G4878" t="n">
        <x:v>36</x:v>
      </x:c>
      <x:c r="H4878" t="str">
        <x:v>B</x:v>
      </x:c>
      <x:c r="I4878" t="str">
        <x:v>4-6 years</x:v>
      </x:c>
      <x:c r="J4878" t="str">
        <x:v>MORTGAGE</x:v>
      </x:c>
      <x:c r="K4878" t="str">
        <x:v>major_purchase</x:v>
      </x:c>
      <x:c r="L4878" t="n">
        <x:v>0</x:v>
      </x:c>
      <x:c r="M4878" t="n">
        <x:v>0</x:v>
      </x:c>
      <x:c r="N4878" t="str">
        <x:v>Fully Paid</x:v>
      </x:c>
      <x:c r="O4878" t="str">
        <x:f>IF(D4878="","Unknown",IF(D4878&lt;25000,"&lt;$25k",IF(D4878&lt;50000,"$25k-$50k",IF(D4878&lt;75000,"$50k-$75k",IF(D4878&lt;100000,"$75k-$100k","$100k+")))))</x:f>
        <x:v>$50k-$75k</x:v>
      </x:c>
      <x:c r="P4878" t="str">
        <x:f>IF(E4878="","Unknown",IF(E4878&lt;10,"&lt;10",IF(E4878&lt;20,"10-&lt;20",IF(E4878&lt;25,"20-&lt;25",IF(E4878&lt;35,"25-&lt;35","35+")))))</x:f>
        <x:v>25-&lt;35</x:v>
      </x:c>
    </x:row>
    <x:row r="4879">
      <x:c r="A4879" t="str">
        <x:v>SYN0004878</x:v>
      </x:c>
      <x:c r="B4879" s="12" t="n">
        <x:v>42295</x:v>
      </x:c>
      <x:c r="C4879" s="18" t="n">
        <x:v>13651</x:v>
      </x:c>
      <x:c r="D4879" s="18" t="n">
        <x:v>73047</x:v>
      </x:c>
      <x:c r="E4879" s="18" t="n">
        <x:v>22.04</x:v>
      </x:c>
      <x:c r="F4879" s="18" t="n">
        <x:v>7.32</x:v>
      </x:c>
      <x:c r="G4879" t="n">
        <x:v>36</x:v>
      </x:c>
      <x:c r="H4879" t="str">
        <x:v>B</x:v>
      </x:c>
      <x:c r="I4879" t="str">
        <x:v>7-9 years</x:v>
      </x:c>
      <x:c r="J4879" t="str">
        <x:v>MORTGAGE</x:v>
      </x:c>
      <x:c r="K4879" t="str">
        <x:v>debt_consolidation</x:v>
      </x:c>
      <x:c r="L4879" t="n">
        <x:v>0</x:v>
      </x:c>
      <x:c r="M4879" t="n">
        <x:v>0</x:v>
      </x:c>
      <x:c r="N4879" t="str">
        <x:v>Fully Paid</x:v>
      </x:c>
      <x:c r="O4879" t="str">
        <x:f>IF(D4879="","Unknown",IF(D4879&lt;25000,"&lt;$25k",IF(D4879&lt;50000,"$25k-$50k",IF(D4879&lt;75000,"$50k-$75k",IF(D4879&lt;100000,"$75k-$100k","$100k+")))))</x:f>
        <x:v>$50k-$75k</x:v>
      </x:c>
      <x:c r="P4879" t="str">
        <x:f>IF(E4879="","Unknown",IF(E4879&lt;10,"&lt;10",IF(E4879&lt;20,"10-&lt;20",IF(E4879&lt;25,"20-&lt;25",IF(E4879&lt;35,"25-&lt;35","35+")))))</x:f>
        <x:v>20-&lt;25</x:v>
      </x:c>
    </x:row>
    <x:row r="4880">
      <x:c r="A4880" t="str">
        <x:v>SYN0004879</x:v>
      </x:c>
      <x:c r="B4880" s="12" t="n">
        <x:v>41755</x:v>
      </x:c>
      <x:c r="C4880" s="18" t="n">
        <x:v>9059</x:v>
      </x:c>
      <x:c r="D4880" s="18" t="n">
        <x:v>44118</x:v>
      </x:c>
      <x:c r="E4880" s="18" t="n">
        <x:v>27.7</x:v>
      </x:c>
      <x:c r="F4880" s="18" t="n">
        <x:v>16.21</x:v>
      </x:c>
      <x:c r="G4880" t="n">
        <x:v>60</x:v>
      </x:c>
      <x:c r="H4880" t="str">
        <x:v>D</x:v>
      </x:c>
      <x:c r="I4880" t="str">
        <x:v>&lt;1 year</x:v>
      </x:c>
      <x:c r="J4880" t="str">
        <x:v>RENT</x:v>
      </x:c>
      <x:c r="K4880" t="str">
        <x:v>debt_consolidation</x:v>
      </x:c>
      <x:c r="L4880" t="n">
        <x:v>1</x:v>
      </x:c>
      <x:c r="M4880" t="n">
        <x:v>0</x:v>
      </x:c>
      <x:c r="N4880" t="str">
        <x:v>Fully Paid</x:v>
      </x:c>
      <x:c r="O4880" t="str">
        <x:f>IF(D4880="","Unknown",IF(D4880&lt;25000,"&lt;$25k",IF(D4880&lt;50000,"$25k-$50k",IF(D4880&lt;75000,"$50k-$75k",IF(D4880&lt;100000,"$75k-$100k","$100k+")))))</x:f>
        <x:v>$25k-$50k</x:v>
      </x:c>
      <x:c r="P4880" t="str">
        <x:f>IF(E4880="","Unknown",IF(E4880&lt;10,"&lt;10",IF(E4880&lt;20,"10-&lt;20",IF(E4880&lt;25,"20-&lt;25",IF(E4880&lt;35,"25-&lt;35","35+")))))</x:f>
        <x:v>25-&lt;35</x:v>
      </x:c>
    </x:row>
    <x:row r="4881">
      <x:c r="A4881" t="str">
        <x:v>SYN0004880</x:v>
      </x:c>
      <x:c r="B4881" s="12" t="n">
        <x:v>42805</x:v>
      </x:c>
      <x:c r="C4881" s="18" t="n">
        <x:v>7662</x:v>
      </x:c>
      <x:c r="D4881" s="18" t="n">
        <x:v>134654</x:v>
      </x:c>
      <x:c r="E4881" s="18" t="n">
        <x:v>26.94</x:v>
      </x:c>
      <x:c r="F4881" s="18" t="n">
        <x:v>8.6</x:v>
      </x:c>
      <x:c r="G4881" t="n">
        <x:v>36</x:v>
      </x:c>
      <x:c r="H4881" t="str">
        <x:v>C</x:v>
      </x:c>
      <x:c r="I4881" t="str">
        <x:v>7-9 years</x:v>
      </x:c>
      <x:c r="J4881" t="str">
        <x:v>RENT</x:v>
      </x:c>
      <x:c r="K4881" t="str">
        <x:v>debt_consolidation</x:v>
      </x:c>
      <x:c r="L4881" t="n">
        <x:v>0</x:v>
      </x:c>
      <x:c r="M4881" t="n">
        <x:v>0</x:v>
      </x:c>
      <x:c r="N4881" t="str">
        <x:v>Fully Paid</x:v>
      </x:c>
      <x:c r="O4881" t="str">
        <x:f>IF(D4881="","Unknown",IF(D4881&lt;25000,"&lt;$25k",IF(D4881&lt;50000,"$25k-$50k",IF(D4881&lt;75000,"$50k-$75k",IF(D4881&lt;100000,"$75k-$100k","$100k+")))))</x:f>
        <x:v>$100k+</x:v>
      </x:c>
      <x:c r="P4881" t="str">
        <x:f>IF(E4881="","Unknown",IF(E4881&lt;10,"&lt;10",IF(E4881&lt;20,"10-&lt;20",IF(E4881&lt;25,"20-&lt;25",IF(E4881&lt;35,"25-&lt;35","35+")))))</x:f>
        <x:v>25-&lt;35</x:v>
      </x:c>
    </x:row>
    <x:row r="4882">
      <x:c r="A4882" t="str">
        <x:v>SYN0004881</x:v>
      </x:c>
      <x:c r="B4882" s="12" t="n">
        <x:v>43375</x:v>
      </x:c>
      <x:c r="C4882" s="18" t="n">
        <x:v>26259</x:v>
      </x:c>
      <x:c r="D4882" s="18" t="n">
        <x:v>121155</x:v>
      </x:c>
      <x:c r="E4882" s="18" t="n">
        <x:v>24.89</x:v>
      </x:c>
      <x:c r="F4882" s="18" t="n">
        <x:v>24.3</x:v>
      </x:c>
      <x:c r="G4882" t="n">
        <x:v>36</x:v>
      </x:c>
      <x:c r="H4882" t="str">
        <x:v>G</x:v>
      </x:c>
      <x:c r="I4882" t="str">
        <x:v>4-6 years</x:v>
      </x:c>
      <x:c r="J4882" t="str">
        <x:v>RENT</x:v>
      </x:c>
      <x:c r="K4882" t="str">
        <x:v>major_purchase</x:v>
      </x:c>
      <x:c r="L4882" t="n">
        <x:v>1</x:v>
      </x:c>
      <x:c r="M4882" t="n">
        <x:v>1</x:v>
      </x:c>
      <x:c r="N4882" t="str">
        <x:v>Charged Off</x:v>
      </x:c>
      <x:c r="O4882" t="str">
        <x:f>IF(D4882="","Unknown",IF(D4882&lt;25000,"&lt;$25k",IF(D4882&lt;50000,"$25k-$50k",IF(D4882&lt;75000,"$50k-$75k",IF(D4882&lt;100000,"$75k-$100k","$100k+")))))</x:f>
        <x:v>$100k+</x:v>
      </x:c>
      <x:c r="P4882" t="str">
        <x:f>IF(E4882="","Unknown",IF(E4882&lt;10,"&lt;10",IF(E4882&lt;20,"10-&lt;20",IF(E4882&lt;25,"20-&lt;25",IF(E4882&lt;35,"25-&lt;35","35+")))))</x:f>
        <x:v>20-&lt;25</x:v>
      </x:c>
    </x:row>
    <x:row r="4883">
      <x:c r="A4883" t="str">
        <x:v>SYN0004882</x:v>
      </x:c>
      <x:c r="B4883" s="12" t="n">
        <x:v>41485</x:v>
      </x:c>
      <x:c r="C4883" s="18" t="n">
        <x:v>12654</x:v>
      </x:c>
      <x:c r="D4883" s="18" t="n">
        <x:v>29831</x:v>
      </x:c>
      <x:c r="E4883" s="18" t="n">
        <x:v>33.25</x:v>
      </x:c>
      <x:c r="F4883" s="18" t="n">
        <x:v>10.64</x:v>
      </x:c>
      <x:c r="G4883" t="n">
        <x:v>60</x:v>
      </x:c>
      <x:c r="H4883" t="str">
        <x:v>B</x:v>
      </x:c>
      <x:c r="I4883" t="str">
        <x:v>4-6 years</x:v>
      </x:c>
      <x:c r="J4883" t="str">
        <x:v>RENT</x:v>
      </x:c>
      <x:c r="K4883" t="str">
        <x:v>credit_card</x:v>
      </x:c>
      <x:c r="L4883" t="n">
        <x:v>0</x:v>
      </x:c>
      <x:c r="M4883" t="n">
        <x:v>0</x:v>
      </x:c>
      <x:c r="N4883" t="str">
        <x:v>Fully Paid</x:v>
      </x:c>
      <x:c r="O4883" t="str">
        <x:f>IF(D4883="","Unknown",IF(D4883&lt;25000,"&lt;$25k",IF(D4883&lt;50000,"$25k-$50k",IF(D4883&lt;75000,"$50k-$75k",IF(D4883&lt;100000,"$75k-$100k","$100k+")))))</x:f>
        <x:v>$25k-$50k</x:v>
      </x:c>
      <x:c r="P4883" t="str">
        <x:f>IF(E4883="","Unknown",IF(E4883&lt;10,"&lt;10",IF(E4883&lt;20,"10-&lt;20",IF(E4883&lt;25,"20-&lt;25",IF(E4883&lt;35,"25-&lt;35","35+")))))</x:f>
        <x:v>25-&lt;35</x:v>
      </x:c>
    </x:row>
    <x:row r="4884">
      <x:c r="A4884" t="str">
        <x:v>SYN0004883</x:v>
      </x:c>
      <x:c r="B4884" s="12" t="n">
        <x:v>41965</x:v>
      </x:c>
      <x:c r="C4884" s="18" t="n">
        <x:v>6390</x:v>
      </x:c>
      <x:c r="D4884" s="18" t="n">
        <x:v>44056</x:v>
      </x:c>
      <x:c r="E4884" s="18" t="n">
        <x:v>20.14</x:v>
      </x:c>
      <x:c r="F4884" s="18" t="n">
        <x:v>9.92</x:v>
      </x:c>
      <x:c r="G4884" t="n">
        <x:v>60</x:v>
      </x:c>
      <x:c r="H4884" t="str">
        <x:v>B</x:v>
      </x:c>
      <x:c r="I4884" t="str">
        <x:v>10+ years</x:v>
      </x:c>
      <x:c r="J4884" t="str">
        <x:v>OWN</x:v>
      </x:c>
      <x:c r="K4884" t="str">
        <x:v>debt_consolidation</x:v>
      </x:c>
      <x:c r="L4884" t="n">
        <x:v>1</x:v>
      </x:c>
      <x:c r="M4884" t="n">
        <x:v>0</x:v>
      </x:c>
      <x:c r="N4884" t="str">
        <x:v>Fully Paid</x:v>
      </x:c>
      <x:c r="O4884" t="str">
        <x:f>IF(D4884="","Unknown",IF(D4884&lt;25000,"&lt;$25k",IF(D4884&lt;50000,"$25k-$50k",IF(D4884&lt;75000,"$50k-$75k",IF(D4884&lt;100000,"$75k-$100k","$100k+")))))</x:f>
        <x:v>$25k-$50k</x:v>
      </x:c>
      <x:c r="P4884" t="str">
        <x:f>IF(E4884="","Unknown",IF(E4884&lt;10,"&lt;10",IF(E4884&lt;20,"10-&lt;20",IF(E4884&lt;25,"20-&lt;25",IF(E4884&lt;35,"25-&lt;35","35+")))))</x:f>
        <x:v>20-&lt;25</x:v>
      </x:c>
    </x:row>
    <x:row r="4885">
      <x:c r="A4885" t="str">
        <x:v>SYN0004884</x:v>
      </x:c>
      <x:c r="B4885" s="12" t="n">
        <x:v>42115</x:v>
      </x:c>
      <x:c r="C4885" s="18" t="n">
        <x:v>11929</x:v>
      </x:c>
      <x:c r="D4885" s="18" t="n">
        <x:v>28683</x:v>
      </x:c>
      <x:c r="E4885" s="18" t="n">
        <x:v>23.76</x:v>
      </x:c>
      <x:c r="F4885" s="18" t="n">
        <x:v>6.8</x:v>
      </x:c>
      <x:c r="G4885" t="n">
        <x:v>60</x:v>
      </x:c>
      <x:c r="H4885" t="str">
        <x:v>A</x:v>
      </x:c>
      <x:c r="I4885" t="str">
        <x:v>4-6 years</x:v>
      </x:c>
      <x:c r="J4885" t="str">
        <x:v>OWN</x:v>
      </x:c>
      <x:c r="K4885" t="str">
        <x:v>home_improvement</x:v>
      </x:c>
      <x:c r="L4885" t="n">
        <x:v>0</x:v>
      </x:c>
      <x:c r="M4885" t="n">
        <x:v>0</x:v>
      </x:c>
      <x:c r="N4885" t="str">
        <x:v>Fully Paid</x:v>
      </x:c>
      <x:c r="O4885" t="str">
        <x:f>IF(D4885="","Unknown",IF(D4885&lt;25000,"&lt;$25k",IF(D4885&lt;50000,"$25k-$50k",IF(D4885&lt;75000,"$50k-$75k",IF(D4885&lt;100000,"$75k-$100k","$100k+")))))</x:f>
        <x:v>$25k-$50k</x:v>
      </x:c>
      <x:c r="P4885" t="str">
        <x:f>IF(E4885="","Unknown",IF(E4885&lt;10,"&lt;10",IF(E4885&lt;20,"10-&lt;20",IF(E4885&lt;25,"20-&lt;25",IF(E4885&lt;35,"25-&lt;35","35+")))))</x:f>
        <x:v>20-&lt;25</x:v>
      </x:c>
    </x:row>
    <x:row r="4886">
      <x:c r="A4886" t="str">
        <x:v>SYN0004885</x:v>
      </x:c>
      <x:c r="B4886" s="12" t="n">
        <x:v>43135</x:v>
      </x:c>
      <x:c r="C4886" s="18" t="n">
        <x:v>11445</x:v>
      </x:c>
      <x:c r="D4886" s="18" t="n">
        <x:v>18044</x:v>
      </x:c>
      <x:c r="E4886" s="18" t="n">
        <x:v>17.43</x:v>
      </x:c>
      <x:c r="F4886" s="18" t="n">
        <x:v>8.58</x:v>
      </x:c>
      <x:c r="G4886" t="n">
        <x:v>36</x:v>
      </x:c>
      <x:c r="H4886" t="str">
        <x:v>B</x:v>
      </x:c>
      <x:c r="I4886" t="str">
        <x:v>10+ years</x:v>
      </x:c>
      <x:c r="J4886" t="str">
        <x:v>RENT</x:v>
      </x:c>
      <x:c r="K4886" t="str">
        <x:v>home_improvement</x:v>
      </x:c>
      <x:c r="L4886" t="n">
        <x:v>0</x:v>
      </x:c>
      <x:c r="M4886" t="n">
        <x:v>0</x:v>
      </x:c>
      <x:c r="N4886" t="str">
        <x:v>Fully Paid</x:v>
      </x:c>
      <x:c r="O4886" t="str">
        <x:f>IF(D4886="","Unknown",IF(D4886&lt;25000,"&lt;$25k",IF(D4886&lt;50000,"$25k-$50k",IF(D4886&lt;75000,"$50k-$75k",IF(D4886&lt;100000,"$75k-$100k","$100k+")))))</x:f>
        <x:v>&lt;$25k</x:v>
      </x:c>
      <x:c r="P4886" t="str">
        <x:f>IF(E4886="","Unknown",IF(E4886&lt;10,"&lt;10",IF(E4886&lt;20,"10-&lt;20",IF(E4886&lt;25,"20-&lt;25",IF(E4886&lt;35,"25-&lt;35","35+")))))</x:f>
        <x:v>10-&lt;20</x:v>
      </x:c>
    </x:row>
    <x:row r="4887">
      <x:c r="A4887" t="str">
        <x:v>SYN0004886</x:v>
      </x:c>
      <x:c r="B4887" s="12" t="n">
        <x:v>41575</x:v>
      </x:c>
      <x:c r="C4887" s="18" t="n">
        <x:v>7234</x:v>
      </x:c>
      <x:c r="D4887" s="18" t="n">
        <x:v>114952</x:v>
      </x:c>
      <x:c r="E4887" s="18" t="n">
        <x:v>24.59</x:v>
      </x:c>
      <x:c r="F4887" s="18" t="n">
        <x:v>9.6</x:v>
      </x:c>
      <x:c r="G4887" t="n">
        <x:v>36</x:v>
      </x:c>
      <x:c r="H4887" t="str">
        <x:v>C</x:v>
      </x:c>
      <x:c r="I4887" t="str">
        <x:v>&lt;1 year</x:v>
      </x:c>
      <x:c r="J4887" t="str">
        <x:v>RENT</x:v>
      </x:c>
      <x:c r="K4887" t="str">
        <x:v>home_improvement</x:v>
      </x:c>
      <x:c r="L4887" t="n">
        <x:v>0</x:v>
      </x:c>
      <x:c r="M4887" t="n">
        <x:v>0</x:v>
      </x:c>
      <x:c r="N4887" t="str">
        <x:v>Fully Paid</x:v>
      </x:c>
      <x:c r="O4887" t="str">
        <x:f>IF(D4887="","Unknown",IF(D4887&lt;25000,"&lt;$25k",IF(D4887&lt;50000,"$25k-$50k",IF(D4887&lt;75000,"$50k-$75k",IF(D4887&lt;100000,"$75k-$100k","$100k+")))))</x:f>
        <x:v>$100k+</x:v>
      </x:c>
      <x:c r="P4887" t="str">
        <x:f>IF(E4887="","Unknown",IF(E4887&lt;10,"&lt;10",IF(E4887&lt;20,"10-&lt;20",IF(E4887&lt;25,"20-&lt;25",IF(E4887&lt;35,"25-&lt;35","35+")))))</x:f>
        <x:v>20-&lt;25</x:v>
      </x:c>
    </x:row>
    <x:row r="4888">
      <x:c r="A4888" t="str">
        <x:v>SYN0004887</x:v>
      </x:c>
      <x:c r="B4888" s="12" t="n">
        <x:v>43345</x:v>
      </x:c>
      <x:c r="C4888" s="18" t="n">
        <x:v>15664</x:v>
      </x:c>
      <x:c r="D4888" s="18" t="n">
        <x:v>51875</x:v>
      </x:c>
      <x:c r="E4888" s="18" t="n">
        <x:v>16.82</x:v>
      </x:c>
      <x:c r="F4888" s="18" t="n">
        <x:v>6.53</x:v>
      </x:c>
      <x:c r="G4888" t="n">
        <x:v>36</x:v>
      </x:c>
      <x:c r="H4888" t="str">
        <x:v>B</x:v>
      </x:c>
      <x:c r="I4888" t="str">
        <x:v>10+ years</x:v>
      </x:c>
      <x:c r="J4888" t="str">
        <x:v>RENT</x:v>
      </x:c>
      <x:c r="K4888" t="str">
        <x:v>credit_card</x:v>
      </x:c>
      <x:c r="L4888" t="n">
        <x:v>3</x:v>
      </x:c>
      <x:c r="M4888" t="n">
        <x:v>0</x:v>
      </x:c>
      <x:c r="N4888" t="str">
        <x:v>Fully Paid</x:v>
      </x:c>
      <x:c r="O4888" t="str">
        <x:f>IF(D4888="","Unknown",IF(D4888&lt;25000,"&lt;$25k",IF(D4888&lt;50000,"$25k-$50k",IF(D4888&lt;75000,"$50k-$75k",IF(D4888&lt;100000,"$75k-$100k","$100k+")))))</x:f>
        <x:v>$50k-$75k</x:v>
      </x:c>
      <x:c r="P4888" t="str">
        <x:f>IF(E4888="","Unknown",IF(E4888&lt;10,"&lt;10",IF(E4888&lt;20,"10-&lt;20",IF(E4888&lt;25,"20-&lt;25",IF(E4888&lt;35,"25-&lt;35","35+")))))</x:f>
        <x:v>10-&lt;20</x:v>
      </x:c>
    </x:row>
    <x:row r="4889">
      <x:c r="A4889" t="str">
        <x:v>SYN0004888</x:v>
      </x:c>
      <x:c r="B4889" s="12" t="n">
        <x:v>41575</x:v>
      </x:c>
      <x:c r="C4889" s="18" t="n">
        <x:v>33207</x:v>
      </x:c>
      <x:c r="D4889" s="18" t="n">
        <x:v>49465</x:v>
      </x:c>
      <x:c r="E4889" s="18" t="n">
        <x:v>22.6</x:v>
      </x:c>
      <x:c r="F4889" s="18" t="n">
        <x:v>12.11</x:v>
      </x:c>
      <x:c r="G4889" t="n">
        <x:v>60</x:v>
      </x:c>
      <x:c r="H4889" t="str">
        <x:v>C</x:v>
      </x:c>
      <x:c r="I4889" t="str">
        <x:v>7-9 years</x:v>
      </x:c>
      <x:c r="J4889" t="str">
        <x:v>OTHER</x:v>
      </x:c>
      <x:c r="K4889" t="str">
        <x:v>other</x:v>
      </x:c>
      <x:c r="L4889" t="n">
        <x:v>1</x:v>
      </x:c>
      <x:c r="M4889" t="n">
        <x:v>0</x:v>
      </x:c>
      <x:c r="N4889" t="str">
        <x:v>Fully Paid</x:v>
      </x:c>
      <x:c r="O4889" t="str">
        <x:f>IF(D4889="","Unknown",IF(D4889&lt;25000,"&lt;$25k",IF(D4889&lt;50000,"$25k-$50k",IF(D4889&lt;75000,"$50k-$75k",IF(D4889&lt;100000,"$75k-$100k","$100k+")))))</x:f>
        <x:v>$25k-$50k</x:v>
      </x:c>
      <x:c r="P4889" t="str">
        <x:f>IF(E4889="","Unknown",IF(E4889&lt;10,"&lt;10",IF(E4889&lt;20,"10-&lt;20",IF(E4889&lt;25,"20-&lt;25",IF(E4889&lt;35,"25-&lt;35","35+")))))</x:f>
        <x:v>20-&lt;25</x:v>
      </x:c>
    </x:row>
    <x:row r="4890">
      <x:c r="A4890" t="str">
        <x:v>SYN0004889</x:v>
      </x:c>
      <x:c r="B4890" s="12" t="n">
        <x:v>41665</x:v>
      </x:c>
      <x:c r="C4890" s="18" t="n">
        <x:v>7061</x:v>
      </x:c>
      <x:c r="D4890" s="18" t="n">
        <x:v>49403</x:v>
      </x:c>
      <x:c r="E4890" s="18" t="n">
        <x:v>20.39</x:v>
      </x:c>
      <x:c r="F4890" s="18" t="n">
        <x:v>6.11</x:v>
      </x:c>
      <x:c r="G4890" t="n">
        <x:v>60</x:v>
      </x:c>
      <x:c r="H4890" t="str">
        <x:v>A</x:v>
      </x:c>
      <x:c r="I4890" t="str">
        <x:v>7-9 years</x:v>
      </x:c>
      <x:c r="J4890" t="str">
        <x:v>RENT</x:v>
      </x:c>
      <x:c r="K4890" t="str">
        <x:v>debt_consolidation</x:v>
      </x:c>
      <x:c r="L4890" t="n">
        <x:v>1</x:v>
      </x:c>
      <x:c r="M4890" t="n">
        <x:v>0</x:v>
      </x:c>
      <x:c r="N4890" t="str">
        <x:v>Fully Paid</x:v>
      </x:c>
      <x:c r="O4890" t="str">
        <x:f>IF(D4890="","Unknown",IF(D4890&lt;25000,"&lt;$25k",IF(D4890&lt;50000,"$25k-$50k",IF(D4890&lt;75000,"$50k-$75k",IF(D4890&lt;100000,"$75k-$100k","$100k+")))))</x:f>
        <x:v>$25k-$50k</x:v>
      </x:c>
      <x:c r="P4890" t="str">
        <x:f>IF(E4890="","Unknown",IF(E4890&lt;10,"&lt;10",IF(E4890&lt;20,"10-&lt;20",IF(E4890&lt;25,"20-&lt;25",IF(E4890&lt;35,"25-&lt;35","35+")))))</x:f>
        <x:v>20-&lt;25</x:v>
      </x:c>
    </x:row>
    <x:row r="4891">
      <x:c r="A4891" t="str">
        <x:v>SYN0004890</x:v>
      </x:c>
      <x:c r="B4891" s="12" t="n">
        <x:v>42355</x:v>
      </x:c>
      <x:c r="C4891" s="18" t="n">
        <x:v>17426</x:v>
      </x:c>
      <x:c r="D4891" s="18" t="n">
        <x:v>26802</x:v>
      </x:c>
      <x:c r="E4891" s="18" t="n">
        <x:v>19.62</x:v>
      </x:c>
      <x:c r="F4891" s="18" t="n">
        <x:v>9.33</x:v>
      </x:c>
      <x:c r="G4891" t="n">
        <x:v>60</x:v>
      </x:c>
      <x:c r="H4891" t="str">
        <x:v>B</x:v>
      </x:c>
      <x:c r="I4891" t="str">
        <x:v>10+ years</x:v>
      </x:c>
      <x:c r="J4891" t="str">
        <x:v>MORTGAGE</x:v>
      </x:c>
      <x:c r="K4891" t="str">
        <x:v>debt_consolidation</x:v>
      </x:c>
      <x:c r="L4891" t="n">
        <x:v>0</x:v>
      </x:c>
      <x:c r="M4891" t="n">
        <x:v>0</x:v>
      </x:c>
      <x:c r="N4891" t="str">
        <x:v>Fully Paid</x:v>
      </x:c>
      <x:c r="O4891" t="str">
        <x:f>IF(D4891="","Unknown",IF(D4891&lt;25000,"&lt;$25k",IF(D4891&lt;50000,"$25k-$50k",IF(D4891&lt;75000,"$50k-$75k",IF(D4891&lt;100000,"$75k-$100k","$100k+")))))</x:f>
        <x:v>$25k-$50k</x:v>
      </x:c>
      <x:c r="P4891" t="str">
        <x:f>IF(E4891="","Unknown",IF(E4891&lt;10,"&lt;10",IF(E4891&lt;20,"10-&lt;20",IF(E4891&lt;25,"20-&lt;25",IF(E4891&lt;35,"25-&lt;35","35+")))))</x:f>
        <x:v>10-&lt;20</x:v>
      </x:c>
    </x:row>
    <x:row r="4892">
      <x:c r="A4892" t="str">
        <x:v>SYN0004891</x:v>
      </x:c>
      <x:c r="B4892" s="12" t="n">
        <x:v>43255</x:v>
      </x:c>
      <x:c r="C4892" s="18" t="n">
        <x:v>15791</x:v>
      </x:c>
      <x:c r="D4892" s="18" t="n">
        <x:v>103585</x:v>
      </x:c>
      <x:c r="E4892" s="18" t="n">
        <x:v>25.26</x:v>
      </x:c>
      <x:c r="F4892" s="18" t="n">
        <x:v>9.63</x:v>
      </x:c>
      <x:c r="G4892" t="n">
        <x:v>60</x:v>
      </x:c>
      <x:c r="H4892" t="str">
        <x:v>C</x:v>
      </x:c>
      <x:c r="I4892" t="str">
        <x:v>10+ years</x:v>
      </x:c>
      <x:c r="J4892" t="str">
        <x:v>OWN</x:v>
      </x:c>
      <x:c r="K4892" t="str">
        <x:v>debt_consolidation</x:v>
      </x:c>
      <x:c r="L4892" t="n">
        <x:v>3</x:v>
      </x:c>
      <x:c r="M4892" t="n">
        <x:v>0</x:v>
      </x:c>
      <x:c r="N4892" t="str">
        <x:v>Fully Paid</x:v>
      </x:c>
      <x:c r="O4892" t="str">
        <x:f>IF(D4892="","Unknown",IF(D4892&lt;25000,"&lt;$25k",IF(D4892&lt;50000,"$25k-$50k",IF(D4892&lt;75000,"$50k-$75k",IF(D4892&lt;100000,"$75k-$100k","$100k+")))))</x:f>
        <x:v>$100k+</x:v>
      </x:c>
      <x:c r="P4892" t="str">
        <x:f>IF(E4892="","Unknown",IF(E4892&lt;10,"&lt;10",IF(E4892&lt;20,"10-&lt;20",IF(E4892&lt;25,"20-&lt;25",IF(E4892&lt;35,"25-&lt;35","35+")))))</x:f>
        <x:v>25-&lt;35</x:v>
      </x:c>
    </x:row>
    <x:row r="4893">
      <x:c r="A4893" t="str">
        <x:v>SYN0004892</x:v>
      </x:c>
      <x:c r="B4893" s="12" t="n">
        <x:v>41395</x:v>
      </x:c>
      <x:c r="C4893" s="18" t="n">
        <x:v>13705</x:v>
      </x:c>
      <x:c r="D4893" s="18" t="n">
        <x:v>79387</x:v>
      </x:c>
      <x:c r="E4893" s="18" t="n">
        <x:v>15.09</x:v>
      </x:c>
      <x:c r="F4893" s="18" t="n">
        <x:v>7.98</x:v>
      </x:c>
      <x:c r="G4893" t="n">
        <x:v>36</x:v>
      </x:c>
      <x:c r="H4893" t="str">
        <x:v>A</x:v>
      </x:c>
      <x:c r="I4893" t="str">
        <x:v>4-6 years</x:v>
      </x:c>
      <x:c r="J4893" t="str">
        <x:v>MORTGAGE</x:v>
      </x:c>
      <x:c r="K4893" t="str">
        <x:v>credit_card</x:v>
      </x:c>
      <x:c r="L4893" t="n">
        <x:v>0</x:v>
      </x:c>
      <x:c r="M4893" t="n">
        <x:v>0</x:v>
      </x:c>
      <x:c r="N4893" t="str">
        <x:v>Fully Paid</x:v>
      </x:c>
      <x:c r="O4893" t="str">
        <x:f>IF(D4893="","Unknown",IF(D4893&lt;25000,"&lt;$25k",IF(D4893&lt;50000,"$25k-$50k",IF(D4893&lt;75000,"$50k-$75k",IF(D4893&lt;100000,"$75k-$100k","$100k+")))))</x:f>
        <x:v>$75k-$100k</x:v>
      </x:c>
      <x:c r="P4893" t="str">
        <x:f>IF(E4893="","Unknown",IF(E4893&lt;10,"&lt;10",IF(E4893&lt;20,"10-&lt;20",IF(E4893&lt;25,"20-&lt;25",IF(E4893&lt;35,"25-&lt;35","35+")))))</x:f>
        <x:v>10-&lt;20</x:v>
      </x:c>
    </x:row>
    <x:row r="4894">
      <x:c r="A4894" t="str">
        <x:v>SYN0004893</x:v>
      </x:c>
      <x:c r="B4894" s="12" t="n">
        <x:v>41665</x:v>
      </x:c>
      <x:c r="C4894" s="18" t="n">
        <x:v>9524</x:v>
      </x:c>
      <x:c r="D4894" s="18" t="n">
        <x:v>45833</x:v>
      </x:c>
      <x:c r="E4894" s="18" t="n">
        <x:v>20.63</x:v>
      </x:c>
      <x:c r="F4894" s="18" t="n">
        <x:v>16.26</x:v>
      </x:c>
      <x:c r="G4894" t="n">
        <x:v>60</x:v>
      </x:c>
      <x:c r="H4894" t="str">
        <x:v>D</x:v>
      </x:c>
      <x:c r="I4894" t="str">
        <x:v>&lt;1 year</x:v>
      </x:c>
      <x:c r="J4894" t="str">
        <x:v>RENT</x:v>
      </x:c>
      <x:c r="K4894" t="str">
        <x:v>medical</x:v>
      </x:c>
      <x:c r="L4894" t="n">
        <x:v>1</x:v>
      </x:c>
      <x:c r="M4894" t="n">
        <x:v>0</x:v>
      </x:c>
      <x:c r="N4894" t="str">
        <x:v>Fully Paid</x:v>
      </x:c>
      <x:c r="O4894" t="str">
        <x:f>IF(D4894="","Unknown",IF(D4894&lt;25000,"&lt;$25k",IF(D4894&lt;50000,"$25k-$50k",IF(D4894&lt;75000,"$50k-$75k",IF(D4894&lt;100000,"$75k-$100k","$100k+")))))</x:f>
        <x:v>$25k-$50k</x:v>
      </x:c>
      <x:c r="P4894" t="str">
        <x:f>IF(E4894="","Unknown",IF(E4894&lt;10,"&lt;10",IF(E4894&lt;20,"10-&lt;20",IF(E4894&lt;25,"20-&lt;25",IF(E4894&lt;35,"25-&lt;35","35+")))))</x:f>
        <x:v>20-&lt;25</x:v>
      </x:c>
    </x:row>
    <x:row r="4895">
      <x:c r="A4895" t="str">
        <x:v>SYN0004894</x:v>
      </x:c>
      <x:c r="B4895" s="12" t="n">
        <x:v>41755</x:v>
      </x:c>
      <x:c r="C4895" s="18" t="n">
        <x:v>14103</x:v>
      </x:c>
      <x:c r="D4895" s="18" t="n">
        <x:v>46854</x:v>
      </x:c>
      <x:c r="E4895" s="18" t="n">
        <x:v>17.63</x:v>
      </x:c>
      <x:c r="F4895" s="18" t="n">
        <x:v>13.25</x:v>
      </x:c>
      <x:c r="G4895" t="n">
        <x:v>36</x:v>
      </x:c>
      <x:c r="H4895" t="str">
        <x:v>D</x:v>
      </x:c>
      <x:c r="I4895" t="str">
        <x:v>4-6 years</x:v>
      </x:c>
      <x:c r="J4895" t="str">
        <x:v>RENT</x:v>
      </x:c>
      <x:c r="K4895" t="str">
        <x:v>home_improvement</x:v>
      </x:c>
      <x:c r="L4895" t="n">
        <x:v>1</x:v>
      </x:c>
      <x:c r="M4895" t="n">
        <x:v>0</x:v>
      </x:c>
      <x:c r="N4895" t="str">
        <x:v>Fully Paid</x:v>
      </x:c>
      <x:c r="O4895" t="str">
        <x:f>IF(D4895="","Unknown",IF(D4895&lt;25000,"&lt;$25k",IF(D4895&lt;50000,"$25k-$50k",IF(D4895&lt;75000,"$50k-$75k",IF(D4895&lt;100000,"$75k-$100k","$100k+")))))</x:f>
        <x:v>$25k-$50k</x:v>
      </x:c>
      <x:c r="P4895" t="str">
        <x:f>IF(E4895="","Unknown",IF(E4895&lt;10,"&lt;10",IF(E4895&lt;20,"10-&lt;20",IF(E4895&lt;25,"20-&lt;25",IF(E4895&lt;35,"25-&lt;35","35+")))))</x:f>
        <x:v>10-&lt;20</x:v>
      </x:c>
    </x:row>
    <x:row r="4896">
      <x:c r="A4896" t="str">
        <x:v>SYN0004895</x:v>
      </x:c>
      <x:c r="B4896" s="12" t="n">
        <x:v>42925</x:v>
      </x:c>
      <x:c r="C4896" s="18" t="n">
        <x:v>12852</x:v>
      </x:c>
      <x:c r="D4896" s="18" t="n">
        <x:v>43459</x:v>
      </x:c>
      <x:c r="E4896" s="18" t="n">
        <x:v>33.57</x:v>
      </x:c>
      <x:c r="F4896" s="18" t="n">
        <x:v>20.46</x:v>
      </x:c>
      <x:c r="G4896" t="n">
        <x:v>36</x:v>
      </x:c>
      <x:c r="H4896" t="str">
        <x:v>F</x:v>
      </x:c>
      <x:c r="I4896" t="str">
        <x:v>&lt;1 year</x:v>
      </x:c>
      <x:c r="J4896" t="str">
        <x:v>MORTGAGE</x:v>
      </x:c>
      <x:c r="K4896" t="str">
        <x:v>credit_card</x:v>
      </x:c>
      <x:c r="L4896" t="n">
        <x:v>1</x:v>
      </x:c>
      <x:c r="M4896" t="n">
        <x:v>0</x:v>
      </x:c>
      <x:c r="N4896" t="str">
        <x:v>Fully Paid</x:v>
      </x:c>
      <x:c r="O4896" t="str">
        <x:f>IF(D4896="","Unknown",IF(D4896&lt;25000,"&lt;$25k",IF(D4896&lt;50000,"$25k-$50k",IF(D4896&lt;75000,"$50k-$75k",IF(D4896&lt;100000,"$75k-$100k","$100k+")))))</x:f>
        <x:v>$25k-$50k</x:v>
      </x:c>
      <x:c r="P4896" t="str">
        <x:f>IF(E4896="","Unknown",IF(E4896&lt;10,"&lt;10",IF(E4896&lt;20,"10-&lt;20",IF(E4896&lt;25,"20-&lt;25",IF(E4896&lt;35,"25-&lt;35","35+")))))</x:f>
        <x:v>25-&lt;35</x:v>
      </x:c>
    </x:row>
    <x:row r="4897">
      <x:c r="A4897" t="str">
        <x:v>SYN0004896</x:v>
      </x:c>
      <x:c r="B4897" s="12" t="n">
        <x:v>42025</x:v>
      </x:c>
      <x:c r="C4897" s="18" t="n">
        <x:v>16957</x:v>
      </x:c>
      <x:c r="D4897" s="18" t="n">
        <x:v>31657</x:v>
      </x:c>
      <x:c r="E4897" s="18" t="n">
        <x:v>18.06</x:v>
      </x:c>
      <x:c r="F4897" s="18" t="n">
        <x:v>8.81</x:v>
      </x:c>
      <x:c r="G4897" t="n">
        <x:v>36</x:v>
      </x:c>
      <x:c r="H4897" t="str">
        <x:v>B</x:v>
      </x:c>
      <x:c r="I4897" t="str">
        <x:v>10+ years</x:v>
      </x:c>
      <x:c r="J4897" t="str">
        <x:v>RENT</x:v>
      </x:c>
      <x:c r="K4897" t="str">
        <x:v>credit_card</x:v>
      </x:c>
      <x:c r="L4897" t="n">
        <x:v>0</x:v>
      </x:c>
      <x:c r="M4897" t="n">
        <x:v>0</x:v>
      </x:c>
      <x:c r="N4897" t="str">
        <x:v>Fully Paid</x:v>
      </x:c>
      <x:c r="O4897" t="str">
        <x:f>IF(D4897="","Unknown",IF(D4897&lt;25000,"&lt;$25k",IF(D4897&lt;50000,"$25k-$50k",IF(D4897&lt;75000,"$50k-$75k",IF(D4897&lt;100000,"$75k-$100k","$100k+")))))</x:f>
        <x:v>$25k-$50k</x:v>
      </x:c>
      <x:c r="P4897" t="str">
        <x:f>IF(E4897="","Unknown",IF(E4897&lt;10,"&lt;10",IF(E4897&lt;20,"10-&lt;20",IF(E4897&lt;25,"20-&lt;25",IF(E4897&lt;35,"25-&lt;35","35+")))))</x:f>
        <x:v>10-&lt;20</x:v>
      </x:c>
    </x:row>
    <x:row r="4898">
      <x:c r="A4898" t="str">
        <x:v>SYN0004897</x:v>
      </x:c>
      <x:c r="B4898" s="12" t="n">
        <x:v>42685</x:v>
      </x:c>
      <x:c r="C4898" s="18" t="n">
        <x:v>32789</x:v>
      </x:c>
      <x:c r="D4898" s="18" t="n">
        <x:v>106708</x:v>
      </x:c>
      <x:c r="E4898" s="18" t="n">
        <x:v>27.73</x:v>
      </x:c>
      <x:c r="F4898" s="18" t="n">
        <x:v>19.83</x:v>
      </x:c>
      <x:c r="G4898" t="n">
        <x:v>60</x:v>
      </x:c>
      <x:c r="H4898" t="str">
        <x:v>E</x:v>
      </x:c>
      <x:c r="I4898" t="str">
        <x:v>&lt;1 year</x:v>
      </x:c>
      <x:c r="J4898" t="str">
        <x:v>MORTGAGE</x:v>
      </x:c>
      <x:c r="K4898" t="str">
        <x:v>debt_consolidation</x:v>
      </x:c>
      <x:c r="L4898" t="n">
        <x:v>1</x:v>
      </x:c>
      <x:c r="M4898" t="n">
        <x:v>0</x:v>
      </x:c>
      <x:c r="N4898" t="str">
        <x:v>Fully Paid</x:v>
      </x:c>
      <x:c r="O4898" t="str">
        <x:f>IF(D4898="","Unknown",IF(D4898&lt;25000,"&lt;$25k",IF(D4898&lt;50000,"$25k-$50k",IF(D4898&lt;75000,"$50k-$75k",IF(D4898&lt;100000,"$75k-$100k","$100k+")))))</x:f>
        <x:v>$100k+</x:v>
      </x:c>
      <x:c r="P4898" t="str">
        <x:f>IF(E4898="","Unknown",IF(E4898&lt;10,"&lt;10",IF(E4898&lt;20,"10-&lt;20",IF(E4898&lt;25,"20-&lt;25",IF(E4898&lt;35,"25-&lt;35","35+")))))</x:f>
        <x:v>25-&lt;35</x:v>
      </x:c>
    </x:row>
    <x:row r="4899">
      <x:c r="A4899" t="str">
        <x:v>SYN0004898</x:v>
      </x:c>
      <x:c r="B4899" s="12" t="n">
        <x:v>42295</x:v>
      </x:c>
      <x:c r="C4899" s="18" t="n">
        <x:v>10002</x:v>
      </x:c>
      <x:c r="D4899" s="18" t="n">
        <x:v>60270</x:v>
      </x:c>
      <x:c r="E4899" s="18" t="n">
        <x:v>19.05</x:v>
      </x:c>
      <x:c r="F4899" s="18" t="n">
        <x:v>11.63</x:v>
      </x:c>
      <x:c r="G4899" t="n">
        <x:v>60</x:v>
      </x:c>
      <x:c r="H4899" t="str">
        <x:v>C</x:v>
      </x:c>
      <x:c r="I4899" t="str">
        <x:v>10+ years</x:v>
      </x:c>
      <x:c r="J4899" t="str">
        <x:v>OWN</x:v>
      </x:c>
      <x:c r="K4899" t="str">
        <x:v>other</x:v>
      </x:c>
      <x:c r="L4899" t="n">
        <x:v>0</x:v>
      </x:c>
      <x:c r="M4899" t="n">
        <x:v>0</x:v>
      </x:c>
      <x:c r="N4899" t="str">
        <x:v>Fully Paid</x:v>
      </x:c>
      <x:c r="O4899" t="str">
        <x:f>IF(D4899="","Unknown",IF(D4899&lt;25000,"&lt;$25k",IF(D4899&lt;50000,"$25k-$50k",IF(D4899&lt;75000,"$50k-$75k",IF(D4899&lt;100000,"$75k-$100k","$100k+")))))</x:f>
        <x:v>$50k-$75k</x:v>
      </x:c>
      <x:c r="P4899" t="str">
        <x:f>IF(E4899="","Unknown",IF(E4899&lt;10,"&lt;10",IF(E4899&lt;20,"10-&lt;20",IF(E4899&lt;25,"20-&lt;25",IF(E4899&lt;35,"25-&lt;35","35+")))))</x:f>
        <x:v>10-&lt;20</x:v>
      </x:c>
    </x:row>
    <x:row r="4900">
      <x:c r="A4900" t="str">
        <x:v>SYN0004899</x:v>
      </x:c>
      <x:c r="B4900" s="12" t="n">
        <x:v>41965</x:v>
      </x:c>
      <x:c r="C4900" s="18" t="n">
        <x:v>8719</x:v>
      </x:c>
      <x:c r="D4900" s="18" t="n">
        <x:v>41872</x:v>
      </x:c>
      <x:c r="E4900" s="18" t="n">
        <x:v>18.81</x:v>
      </x:c>
      <x:c r="F4900" s="18" t="n">
        <x:v>5.26</x:v>
      </x:c>
      <x:c r="G4900" t="n">
        <x:v>36</x:v>
      </x:c>
      <x:c r="H4900" t="str">
        <x:v>A</x:v>
      </x:c>
      <x:c r="I4900" t="str">
        <x:v>7-9 years</x:v>
      </x:c>
      <x:c r="J4900" t="str">
        <x:v>OWN</x:v>
      </x:c>
      <x:c r="K4900" t="str">
        <x:v>debt_consolidation</x:v>
      </x:c>
      <x:c r="L4900" t="n">
        <x:v>0</x:v>
      </x:c>
      <x:c r="M4900" t="n">
        <x:v>0</x:v>
      </x:c>
      <x:c r="N4900" t="str">
        <x:v>Fully Paid</x:v>
      </x:c>
      <x:c r="O4900" t="str">
        <x:f>IF(D4900="","Unknown",IF(D4900&lt;25000,"&lt;$25k",IF(D4900&lt;50000,"$25k-$50k",IF(D4900&lt;75000,"$50k-$75k",IF(D4900&lt;100000,"$75k-$100k","$100k+")))))</x:f>
        <x:v>$25k-$50k</x:v>
      </x:c>
      <x:c r="P4900" t="str">
        <x:f>IF(E4900="","Unknown",IF(E4900&lt;10,"&lt;10",IF(E4900&lt;20,"10-&lt;20",IF(E4900&lt;25,"20-&lt;25",IF(E4900&lt;35,"25-&lt;35","35+")))))</x:f>
        <x:v>10-&lt;20</x:v>
      </x:c>
    </x:row>
    <x:row r="4901">
      <x:c r="A4901" t="str">
        <x:v>SYN0004900</x:v>
      </x:c>
      <x:c r="B4901" s="12" t="n">
        <x:v>42565</x:v>
      </x:c>
      <x:c r="C4901" s="18" t="n">
        <x:v>9893</x:v>
      </x:c>
      <x:c r="D4901" s="18" t="n">
        <x:v>37220</x:v>
      </x:c>
      <x:c r="E4901" s="18" t="n">
        <x:v>21.45</x:v>
      </x:c>
      <x:c r="F4901" s="18" t="n">
        <x:v>9.32</x:v>
      </x:c>
      <x:c r="G4901" t="n">
        <x:v>36</x:v>
      </x:c>
      <x:c r="H4901" t="str">
        <x:v>B</x:v>
      </x:c>
      <x:c r="I4901" t="str">
        <x:v>4-6 years</x:v>
      </x:c>
      <x:c r="J4901" t="str">
        <x:v>MORTGAGE</x:v>
      </x:c>
      <x:c r="K4901" t="str">
        <x:v>credit_card</x:v>
      </x:c>
      <x:c r="L4901" t="n">
        <x:v>0</x:v>
      </x:c>
      <x:c r="M4901" t="n">
        <x:v>0</x:v>
      </x:c>
      <x:c r="N4901" t="str">
        <x:v>Fully Paid</x:v>
      </x:c>
      <x:c r="O4901" t="str">
        <x:f>IF(D4901="","Unknown",IF(D4901&lt;25000,"&lt;$25k",IF(D4901&lt;50000,"$25k-$50k",IF(D4901&lt;75000,"$50k-$75k",IF(D4901&lt;100000,"$75k-$100k","$100k+")))))</x:f>
        <x:v>$25k-$50k</x:v>
      </x:c>
      <x:c r="P4901" t="str">
        <x:f>IF(E4901="","Unknown",IF(E4901&lt;10,"&lt;10",IF(E4901&lt;20,"10-&lt;20",IF(E4901&lt;25,"20-&lt;25",IF(E4901&lt;35,"25-&lt;35","35+")))))</x:f>
        <x:v>20-&lt;25</x:v>
      </x:c>
    </x:row>
    <x:row r="4902">
      <x:c r="A4902" t="str">
        <x:v>SYN0004901</x:v>
      </x:c>
      <x:c r="B4902" s="12" t="n">
        <x:v>42685</x:v>
      </x:c>
      <x:c r="C4902" s="18" t="n">
        <x:v>8185</x:v>
      </x:c>
      <x:c r="D4902" s="18" t="n">
        <x:v>88005</x:v>
      </x:c>
      <x:c r="E4902" s="18" t="n">
        <x:v>36.73</x:v>
      </x:c>
      <x:c r="F4902" s="18" t="n">
        <x:v>23.66</x:v>
      </x:c>
      <x:c r="G4902" t="n">
        <x:v>36</x:v>
      </x:c>
      <x:c r="H4902" t="str">
        <x:v>G</x:v>
      </x:c>
      <x:c r="I4902" t="str">
        <x:v>10+ years</x:v>
      </x:c>
      <x:c r="J4902" t="str">
        <x:v>MORTGAGE</x:v>
      </x:c>
      <x:c r="K4902" t="str">
        <x:v>debt_consolidation</x:v>
      </x:c>
      <x:c r="L4902" t="n">
        <x:v>0</x:v>
      </x:c>
      <x:c r="M4902" t="n">
        <x:v>0</x:v>
      </x:c>
      <x:c r="N4902" t="str">
        <x:v>Fully Paid</x:v>
      </x:c>
      <x:c r="O4902" t="str">
        <x:f>IF(D4902="","Unknown",IF(D4902&lt;25000,"&lt;$25k",IF(D4902&lt;50000,"$25k-$50k",IF(D4902&lt;75000,"$50k-$75k",IF(D4902&lt;100000,"$75k-$100k","$100k+")))))</x:f>
        <x:v>$75k-$100k</x:v>
      </x:c>
      <x:c r="P4902" t="str">
        <x:f>IF(E4902="","Unknown",IF(E4902&lt;10,"&lt;10",IF(E4902&lt;20,"10-&lt;20",IF(E4902&lt;25,"20-&lt;25",IF(E4902&lt;35,"25-&lt;35","35+")))))</x:f>
        <x:v>35+</x:v>
      </x:c>
    </x:row>
    <x:row r="4903">
      <x:c r="A4903" t="str">
        <x:v>SYN0004902</x:v>
      </x:c>
      <x:c r="B4903" s="12" t="n">
        <x:v>43255</x:v>
      </x:c>
      <x:c r="C4903" s="18" t="n">
        <x:v>5066</x:v>
      </x:c>
      <x:c r="D4903" s="18" t="n">
        <x:v>27983</x:v>
      </x:c>
      <x:c r="E4903" s="18" t="n">
        <x:v>37.38</x:v>
      </x:c>
      <x:c r="F4903" s="18" t="n">
        <x:v>14.37</x:v>
      </x:c>
      <x:c r="G4903" t="n">
        <x:v>60</x:v>
      </x:c>
      <x:c r="H4903" t="str">
        <x:v>D</x:v>
      </x:c>
      <x:c r="I4903" t="str">
        <x:v>7-9 years</x:v>
      </x:c>
      <x:c r="J4903" t="str">
        <x:v>OWN</x:v>
      </x:c>
      <x:c r="K4903" t="str">
        <x:v>debt_consolidation</x:v>
      </x:c>
      <x:c r="L4903" t="n">
        <x:v>1</x:v>
      </x:c>
      <x:c r="M4903" t="n">
        <x:v>0</x:v>
      </x:c>
      <x:c r="N4903" t="str">
        <x:v>Fully Paid</x:v>
      </x:c>
      <x:c r="O4903" t="str">
        <x:f>IF(D4903="","Unknown",IF(D4903&lt;25000,"&lt;$25k",IF(D4903&lt;50000,"$25k-$50k",IF(D4903&lt;75000,"$50k-$75k",IF(D4903&lt;100000,"$75k-$100k","$100k+")))))</x:f>
        <x:v>$25k-$50k</x:v>
      </x:c>
      <x:c r="P4903" t="str">
        <x:f>IF(E4903="","Unknown",IF(E4903&lt;10,"&lt;10",IF(E4903&lt;20,"10-&lt;20",IF(E4903&lt;25,"20-&lt;25",IF(E4903&lt;35,"25-&lt;35","35+")))))</x:f>
        <x:v>35+</x:v>
      </x:c>
    </x:row>
    <x:row r="4904">
      <x:c r="A4904" t="str">
        <x:v>SYN0004903</x:v>
      </x:c>
      <x:c r="B4904" s="12" t="n">
        <x:v>42955</x:v>
      </x:c>
      <x:c r="C4904" s="18" t="n">
        <x:v>10965</x:v>
      </x:c>
      <x:c r="D4904" s="18" t="n">
        <x:v>39184</x:v>
      </x:c>
      <x:c r="E4904" s="18" t="n">
        <x:v>23.78</x:v>
      </x:c>
      <x:c r="F4904" s="18" t="n">
        <x:v>7.14</x:v>
      </x:c>
      <x:c r="G4904" t="n">
        <x:v>60</x:v>
      </x:c>
      <x:c r="H4904" t="str">
        <x:v>A</x:v>
      </x:c>
      <x:c r="I4904" t="str">
        <x:v>&lt;1 year</x:v>
      </x:c>
      <x:c r="J4904" t="str">
        <x:v>RENT</x:v>
      </x:c>
      <x:c r="K4904" t="str">
        <x:v>other</x:v>
      </x:c>
      <x:c r="L4904" t="n">
        <x:v>0</x:v>
      </x:c>
      <x:c r="M4904" t="n">
        <x:v>0</x:v>
      </x:c>
      <x:c r="N4904" t="str">
        <x:v>Fully Paid</x:v>
      </x:c>
      <x:c r="O4904" t="str">
        <x:f>IF(D4904="","Unknown",IF(D4904&lt;25000,"&lt;$25k",IF(D4904&lt;50000,"$25k-$50k",IF(D4904&lt;75000,"$50k-$75k",IF(D4904&lt;100000,"$75k-$100k","$100k+")))))</x:f>
        <x:v>$25k-$50k</x:v>
      </x:c>
      <x:c r="P4904" t="str">
        <x:f>IF(E4904="","Unknown",IF(E4904&lt;10,"&lt;10",IF(E4904&lt;20,"10-&lt;20",IF(E4904&lt;25,"20-&lt;25",IF(E4904&lt;35,"25-&lt;35","35+")))))</x:f>
        <x:v>20-&lt;25</x:v>
      </x:c>
    </x:row>
    <x:row r="4905">
      <x:c r="A4905" t="str">
        <x:v>SYN0004904</x:v>
      </x:c>
      <x:c r="B4905" s="12" t="n">
        <x:v>42205</x:v>
      </x:c>
      <x:c r="C4905" s="18" t="n">
        <x:v>34007</x:v>
      </x:c>
      <x:c r="D4905" s="18" t="n">
        <x:v>169124</x:v>
      </x:c>
      <x:c r="E4905" s="18" t="n">
        <x:v>22.34</x:v>
      </x:c>
      <x:c r="F4905" s="18" t="n">
        <x:v>9.64</x:v>
      </x:c>
      <x:c r="G4905" t="n">
        <x:v>36</x:v>
      </x:c>
      <x:c r="H4905" t="str">
        <x:v>C</x:v>
      </x:c>
      <x:c r="I4905" t="str">
        <x:v>4-6 years</x:v>
      </x:c>
      <x:c r="J4905" t="str">
        <x:v>RENT</x:v>
      </x:c>
      <x:c r="K4905" t="str">
        <x:v>debt_consolidation</x:v>
      </x:c>
      <x:c r="L4905" t="n">
        <x:v>0</x:v>
      </x:c>
      <x:c r="M4905" t="n">
        <x:v>0</x:v>
      </x:c>
      <x:c r="N4905" t="str">
        <x:v>Fully Paid</x:v>
      </x:c>
      <x:c r="O4905" t="str">
        <x:f>IF(D4905="","Unknown",IF(D4905&lt;25000,"&lt;$25k",IF(D4905&lt;50000,"$25k-$50k",IF(D4905&lt;75000,"$50k-$75k",IF(D4905&lt;100000,"$75k-$100k","$100k+")))))</x:f>
        <x:v>$100k+</x:v>
      </x:c>
      <x:c r="P4905" t="str">
        <x:f>IF(E4905="","Unknown",IF(E4905&lt;10,"&lt;10",IF(E4905&lt;20,"10-&lt;20",IF(E4905&lt;25,"20-&lt;25",IF(E4905&lt;35,"25-&lt;35","35+")))))</x:f>
        <x:v>20-&lt;25</x:v>
      </x:c>
    </x:row>
    <x:row r="4906">
      <x:c r="A4906" t="str">
        <x:v>SYN0004905</x:v>
      </x:c>
      <x:c r="B4906" s="12" t="n">
        <x:v>42925</x:v>
      </x:c>
      <x:c r="C4906" s="18" t="n">
        <x:v>12782</x:v>
      </x:c>
      <x:c r="D4906" s="18" t="n">
        <x:v>45558</x:v>
      </x:c>
      <x:c r="E4906" s="18" t="n">
        <x:v>34.33</x:v>
      </x:c>
      <x:c r="F4906" s="18" t="n">
        <x:v>9.82</x:v>
      </x:c>
      <x:c r="G4906" t="n">
        <x:v>36</x:v>
      </x:c>
      <x:c r="H4906" t="str">
        <x:v>C</x:v>
      </x:c>
      <x:c r="I4906" t="str">
        <x:v>4-6 years</x:v>
      </x:c>
      <x:c r="J4906" t="str">
        <x:v>RENT</x:v>
      </x:c>
      <x:c r="K4906" t="str">
        <x:v>home_improvement</x:v>
      </x:c>
      <x:c r="L4906" t="n">
        <x:v>1</x:v>
      </x:c>
      <x:c r="M4906" t="n">
        <x:v>0</x:v>
      </x:c>
      <x:c r="N4906" t="str">
        <x:v>Fully Paid</x:v>
      </x:c>
      <x:c r="O4906" t="str">
        <x:f>IF(D4906="","Unknown",IF(D4906&lt;25000,"&lt;$25k",IF(D4906&lt;50000,"$25k-$50k",IF(D4906&lt;75000,"$50k-$75k",IF(D4906&lt;100000,"$75k-$100k","$100k+")))))</x:f>
        <x:v>$25k-$50k</x:v>
      </x:c>
      <x:c r="P4906" t="str">
        <x:f>IF(E4906="","Unknown",IF(E4906&lt;10,"&lt;10",IF(E4906&lt;20,"10-&lt;20",IF(E4906&lt;25,"20-&lt;25",IF(E4906&lt;35,"25-&lt;35","35+")))))</x:f>
        <x:v>25-&lt;35</x:v>
      </x:c>
    </x:row>
    <x:row r="4907">
      <x:c r="A4907" t="str">
        <x:v>SYN0004906</x:v>
      </x:c>
      <x:c r="B4907" s="12" t="n">
        <x:v>41665</x:v>
      </x:c>
      <x:c r="C4907" s="18" t="n">
        <x:v>6479</x:v>
      </x:c>
      <x:c r="D4907" s="18" t="n">
        <x:v>85131</x:v>
      </x:c>
      <x:c r="E4907" s="18" t="n">
        <x:v>13.68</x:v>
      </x:c>
      <x:c r="F4907" s="18" t="n">
        <x:v>5</x:v>
      </x:c>
      <x:c r="G4907" t="n">
        <x:v>36</x:v>
      </x:c>
      <x:c r="H4907" t="str">
        <x:v>A</x:v>
      </x:c>
      <x:c r="I4907" t="str">
        <x:v>7-9 years</x:v>
      </x:c>
      <x:c r="J4907" t="str">
        <x:v>RENT</x:v>
      </x:c>
      <x:c r="K4907" t="str">
        <x:v>debt_consolidation</x:v>
      </x:c>
      <x:c r="L4907" t="n">
        <x:v>0</x:v>
      </x:c>
      <x:c r="M4907" t="n">
        <x:v>0</x:v>
      </x:c>
      <x:c r="N4907" t="str">
        <x:v>Fully Paid</x:v>
      </x:c>
      <x:c r="O4907" t="str">
        <x:f>IF(D4907="","Unknown",IF(D4907&lt;25000,"&lt;$25k",IF(D4907&lt;50000,"$25k-$50k",IF(D4907&lt;75000,"$50k-$75k",IF(D4907&lt;100000,"$75k-$100k","$100k+")))))</x:f>
        <x:v>$75k-$100k</x:v>
      </x:c>
      <x:c r="P4907" t="str">
        <x:f>IF(E4907="","Unknown",IF(E4907&lt;10,"&lt;10",IF(E4907&lt;20,"10-&lt;20",IF(E4907&lt;25,"20-&lt;25",IF(E4907&lt;35,"25-&lt;35","35+")))))</x:f>
        <x:v>10-&lt;20</x:v>
      </x:c>
    </x:row>
    <x:row r="4908">
      <x:c r="A4908" t="str">
        <x:v>SYN0004907</x:v>
      </x:c>
      <x:c r="B4908" s="12" t="n">
        <x:v>41515</x:v>
      </x:c>
      <x:c r="C4908" s="18" t="n">
        <x:v>11472</x:v>
      </x:c>
      <x:c r="D4908" s="18" t="n">
        <x:v>75842</x:v>
      </x:c>
      <x:c r="E4908" s="18" t="n">
        <x:v>6.92</x:v>
      </x:c>
      <x:c r="F4908" s="18" t="n">
        <x:v>10.18</x:v>
      </x:c>
      <x:c r="G4908" t="n">
        <x:v>36</x:v>
      </x:c>
      <x:c r="H4908" t="str">
        <x:v>C</x:v>
      </x:c>
      <x:c r="I4908" t="str">
        <x:v>4-6 years</x:v>
      </x:c>
      <x:c r="J4908" t="str">
        <x:v>OWN</x:v>
      </x:c>
      <x:c r="K4908" t="str">
        <x:v>other</x:v>
      </x:c>
      <x:c r="L4908" t="n">
        <x:v>1</x:v>
      </x:c>
      <x:c r="M4908" t="n">
        <x:v>0</x:v>
      </x:c>
      <x:c r="N4908" t="str">
        <x:v>Fully Paid</x:v>
      </x:c>
      <x:c r="O4908" t="str">
        <x:f>IF(D4908="","Unknown",IF(D4908&lt;25000,"&lt;$25k",IF(D4908&lt;50000,"$25k-$50k",IF(D4908&lt;75000,"$50k-$75k",IF(D4908&lt;100000,"$75k-$100k","$100k+")))))</x:f>
        <x:v>$75k-$100k</x:v>
      </x:c>
      <x:c r="P4908" t="str">
        <x:f>IF(E4908="","Unknown",IF(E4908&lt;10,"&lt;10",IF(E4908&lt;20,"10-&lt;20",IF(E4908&lt;25,"20-&lt;25",IF(E4908&lt;35,"25-&lt;35","35+")))))</x:f>
        <x:v>&lt;10</x:v>
      </x:c>
    </x:row>
    <x:row r="4909">
      <x:c r="A4909" t="str">
        <x:v>SYN0004908</x:v>
      </x:c>
      <x:c r="B4909" s="12" t="n">
        <x:v>41515</x:v>
      </x:c>
      <x:c r="C4909" s="18" t="n">
        <x:v>9063</x:v>
      </x:c>
      <x:c r="D4909" s="18" t="n">
        <x:v>21164</x:v>
      </x:c>
      <x:c r="E4909" s="18" t="n">
        <x:v>7.6</x:v>
      </x:c>
      <x:c r="F4909" s="18" t="n">
        <x:v>6.96</x:v>
      </x:c>
      <x:c r="G4909" t="n">
        <x:v>36</x:v>
      </x:c>
      <x:c r="H4909" t="str">
        <x:v>A</x:v>
      </x:c>
      <x:c r="I4909" t="str">
        <x:v>10+ years</x:v>
      </x:c>
      <x:c r="J4909" t="str">
        <x:v>MORTGAGE</x:v>
      </x:c>
      <x:c r="K4909" t="str">
        <x:v>debt_consolidation</x:v>
      </x:c>
      <x:c r="L4909" t="n">
        <x:v>0</x:v>
      </x:c>
      <x:c r="M4909" t="n">
        <x:v>0</x:v>
      </x:c>
      <x:c r="N4909" t="str">
        <x:v>Fully Paid</x:v>
      </x:c>
      <x:c r="O4909" t="str">
        <x:f>IF(D4909="","Unknown",IF(D4909&lt;25000,"&lt;$25k",IF(D4909&lt;50000,"$25k-$50k",IF(D4909&lt;75000,"$50k-$75k",IF(D4909&lt;100000,"$75k-$100k","$100k+")))))</x:f>
        <x:v>&lt;$25k</x:v>
      </x:c>
      <x:c r="P4909" t="str">
        <x:f>IF(E4909="","Unknown",IF(E4909&lt;10,"&lt;10",IF(E4909&lt;20,"10-&lt;20",IF(E4909&lt;25,"20-&lt;25",IF(E4909&lt;35,"25-&lt;35","35+")))))</x:f>
        <x:v>&lt;10</x:v>
      </x:c>
    </x:row>
    <x:row r="4910">
      <x:c r="A4910" t="str">
        <x:v>SYN0004909</x:v>
      </x:c>
      <x:c r="B4910" s="12" t="n">
        <x:v>41365</x:v>
      </x:c>
      <x:c r="C4910" s="18" t="n">
        <x:v>20469</x:v>
      </x:c>
      <x:c r="D4910" s="18" t="n">
        <x:v>12000</x:v>
      </x:c>
      <x:c r="E4910" s="18" t="n">
        <x:v>31.31</x:v>
      </x:c>
      <x:c r="F4910" s="18" t="n">
        <x:v>21.41</x:v>
      </x:c>
      <x:c r="G4910" t="n">
        <x:v>36</x:v>
      </x:c>
      <x:c r="H4910" t="str">
        <x:v>F</x:v>
      </x:c>
      <x:c r="I4910" t="str">
        <x:v>4-6 years</x:v>
      </x:c>
      <x:c r="J4910" t="str">
        <x:v>MORTGAGE</x:v>
      </x:c>
      <x:c r="K4910" t="str">
        <x:v>medical</x:v>
      </x:c>
      <x:c r="L4910" t="n">
        <x:v>2</x:v>
      </x:c>
      <x:c r="M4910" t="n">
        <x:v>0</x:v>
      </x:c>
      <x:c r="N4910" t="str">
        <x:v>Fully Paid</x:v>
      </x:c>
      <x:c r="O4910" t="str">
        <x:f>IF(D4910="","Unknown",IF(D4910&lt;25000,"&lt;$25k",IF(D4910&lt;50000,"$25k-$50k",IF(D4910&lt;75000,"$50k-$75k",IF(D4910&lt;100000,"$75k-$100k","$100k+")))))</x:f>
        <x:v>&lt;$25k</x:v>
      </x:c>
      <x:c r="P4910" t="str">
        <x:f>IF(E4910="","Unknown",IF(E4910&lt;10,"&lt;10",IF(E4910&lt;20,"10-&lt;20",IF(E4910&lt;25,"20-&lt;25",IF(E4910&lt;35,"25-&lt;35","35+")))))</x:f>
        <x:v>25-&lt;35</x:v>
      </x:c>
    </x:row>
    <x:row r="4911">
      <x:c r="A4911" t="str">
        <x:v>SYN0004910</x:v>
      </x:c>
      <x:c r="B4911" s="12" t="n">
        <x:v>42625</x:v>
      </x:c>
      <x:c r="C4911" s="18" t="n">
        <x:v>9841</x:v>
      </x:c>
      <x:c r="D4911" s="18" t="n">
        <x:v>86786</x:v>
      </x:c>
      <x:c r="E4911" s="18" t="n">
        <x:v>32.3</x:v>
      </x:c>
      <x:c r="F4911" s="18" t="n">
        <x:v>10.99</x:v>
      </x:c>
      <x:c r="G4911" t="n">
        <x:v>36</x:v>
      </x:c>
      <x:c r="H4911" t="str">
        <x:v>B</x:v>
      </x:c>
      <x:c r="I4911" t="str">
        <x:v>1-3 years</x:v>
      </x:c>
      <x:c r="J4911" t="str">
        <x:v>RENT</x:v>
      </x:c>
      <x:c r="K4911" t="str">
        <x:v>credit_card</x:v>
      </x:c>
      <x:c r="L4911" t="n">
        <x:v>0</x:v>
      </x:c>
      <x:c r="M4911" t="n">
        <x:v>0</x:v>
      </x:c>
      <x:c r="N4911" t="str">
        <x:v>Fully Paid</x:v>
      </x:c>
      <x:c r="O4911" t="str">
        <x:f>IF(D4911="","Unknown",IF(D4911&lt;25000,"&lt;$25k",IF(D4911&lt;50000,"$25k-$50k",IF(D4911&lt;75000,"$50k-$75k",IF(D4911&lt;100000,"$75k-$100k","$100k+")))))</x:f>
        <x:v>$75k-$100k</x:v>
      </x:c>
      <x:c r="P4911" t="str">
        <x:f>IF(E4911="","Unknown",IF(E4911&lt;10,"&lt;10",IF(E4911&lt;20,"10-&lt;20",IF(E4911&lt;25,"20-&lt;25",IF(E4911&lt;35,"25-&lt;35","35+")))))</x:f>
        <x:v>25-&lt;35</x:v>
      </x:c>
    </x:row>
    <x:row r="4912">
      <x:c r="A4912" t="str">
        <x:v>SYN0004911</x:v>
      </x:c>
      <x:c r="B4912" s="12" t="n">
        <x:v>43015</x:v>
      </x:c>
      <x:c r="C4912" s="18" t="n">
        <x:v>14716</x:v>
      </x:c>
      <x:c r="D4912" s="18" t="n">
        <x:v>35398</x:v>
      </x:c>
      <x:c r="E4912" s="18" t="n">
        <x:v>10.49</x:v>
      </x:c>
      <x:c r="F4912" s="18" t="n">
        <x:v>9.61</x:v>
      </x:c>
      <x:c r="G4912" t="n">
        <x:v>60</x:v>
      </x:c>
      <x:c r="H4912" t="str">
        <x:v>B</x:v>
      </x:c>
      <x:c r="I4912" t="str">
        <x:v>10+ years</x:v>
      </x:c>
      <x:c r="J4912" t="str">
        <x:v>RENT</x:v>
      </x:c>
      <x:c r="K4912" t="str">
        <x:v>credit_card</x:v>
      </x:c>
      <x:c r="L4912" t="n">
        <x:v>0</x:v>
      </x:c>
      <x:c r="M4912" t="n">
        <x:v>0</x:v>
      </x:c>
      <x:c r="N4912" t="str">
        <x:v>Fully Paid</x:v>
      </x:c>
      <x:c r="O4912" t="str">
        <x:f>IF(D4912="","Unknown",IF(D4912&lt;25000,"&lt;$25k",IF(D4912&lt;50000,"$25k-$50k",IF(D4912&lt;75000,"$50k-$75k",IF(D4912&lt;100000,"$75k-$100k","$100k+")))))</x:f>
        <x:v>$25k-$50k</x:v>
      </x:c>
      <x:c r="P4912" t="str">
        <x:f>IF(E4912="","Unknown",IF(E4912&lt;10,"&lt;10",IF(E4912&lt;20,"10-&lt;20",IF(E4912&lt;25,"20-&lt;25",IF(E4912&lt;35,"25-&lt;35","35+")))))</x:f>
        <x:v>10-&lt;20</x:v>
      </x:c>
    </x:row>
    <x:row r="4913">
      <x:c r="A4913" t="str">
        <x:v>SYN0004912</x:v>
      </x:c>
      <x:c r="B4913" s="12" t="n">
        <x:v>41305</x:v>
      </x:c>
      <x:c r="C4913" s="18" t="n">
        <x:v>6384</x:v>
      </x:c>
      <x:c r="D4913" s="18" t="n">
        <x:v>71906</x:v>
      </x:c>
      <x:c r="E4913" s="18" t="n">
        <x:v>25.05</x:v>
      </x:c>
      <x:c r="F4913" s="18" t="n">
        <x:v>11.75</x:v>
      </x:c>
      <x:c r="G4913" t="n">
        <x:v>36</x:v>
      </x:c>
      <x:c r="H4913" t="str">
        <x:v>C</x:v>
      </x:c>
      <x:c r="I4913" t="str">
        <x:v>4-6 years</x:v>
      </x:c>
      <x:c r="J4913" t="str">
        <x:v>RENT</x:v>
      </x:c>
      <x:c r="K4913" t="str">
        <x:v>debt_consolidation</x:v>
      </x:c>
      <x:c r="L4913" t="n">
        <x:v>1</x:v>
      </x:c>
      <x:c r="M4913" t="n">
        <x:v>1</x:v>
      </x:c>
      <x:c r="N4913" t="str">
        <x:v>Charged Off</x:v>
      </x:c>
      <x:c r="O4913" t="str">
        <x:f>IF(D4913="","Unknown",IF(D4913&lt;25000,"&lt;$25k",IF(D4913&lt;50000,"$25k-$50k",IF(D4913&lt;75000,"$50k-$75k",IF(D4913&lt;100000,"$75k-$100k","$100k+")))))</x:f>
        <x:v>$50k-$75k</x:v>
      </x:c>
      <x:c r="P4913" t="str">
        <x:f>IF(E4913="","Unknown",IF(E4913&lt;10,"&lt;10",IF(E4913&lt;20,"10-&lt;20",IF(E4913&lt;25,"20-&lt;25",IF(E4913&lt;35,"25-&lt;35","35+")))))</x:f>
        <x:v>25-&lt;35</x:v>
      </x:c>
    </x:row>
    <x:row r="4914">
      <x:c r="A4914" t="str">
        <x:v>SYN0004913</x:v>
      </x:c>
      <x:c r="B4914" s="12" t="n">
        <x:v>42595</x:v>
      </x:c>
      <x:c r="C4914" s="18" t="n">
        <x:v>24173</x:v>
      </x:c>
      <x:c r="D4914" s="18" t="n">
        <x:v>95007</x:v>
      </x:c>
      <x:c r="E4914" s="18" t="n">
        <x:v>14.16</x:v>
      </x:c>
      <x:c r="F4914" s="18" t="n">
        <x:v>12.39</x:v>
      </x:c>
      <x:c r="G4914" t="n">
        <x:v>36</x:v>
      </x:c>
      <x:c r="H4914" t="str">
        <x:v>C</x:v>
      </x:c>
      <x:c r="I4914" t="str">
        <x:v>1-3 years</x:v>
      </x:c>
      <x:c r="J4914" t="str">
        <x:v>OWN</x:v>
      </x:c>
      <x:c r="K4914" t="str">
        <x:v>debt_consolidation</x:v>
      </x:c>
      <x:c r="L4914" t="n">
        <x:v>0</x:v>
      </x:c>
      <x:c r="M4914" t="n">
        <x:v>0</x:v>
      </x:c>
      <x:c r="N4914" t="str">
        <x:v>Fully Paid</x:v>
      </x:c>
      <x:c r="O4914" t="str">
        <x:f>IF(D4914="","Unknown",IF(D4914&lt;25000,"&lt;$25k",IF(D4914&lt;50000,"$25k-$50k",IF(D4914&lt;75000,"$50k-$75k",IF(D4914&lt;100000,"$75k-$100k","$100k+")))))</x:f>
        <x:v>$75k-$100k</x:v>
      </x:c>
      <x:c r="P4914" t="str">
        <x:f>IF(E4914="","Unknown",IF(E4914&lt;10,"&lt;10",IF(E4914&lt;20,"10-&lt;20",IF(E4914&lt;25,"20-&lt;25",IF(E4914&lt;35,"25-&lt;35","35+")))))</x:f>
        <x:v>10-&lt;20</x:v>
      </x:c>
    </x:row>
    <x:row r="4915">
      <x:c r="A4915" t="str">
        <x:v>SYN0004914</x:v>
      </x:c>
      <x:c r="B4915" s="12" t="n">
        <x:v>42295</x:v>
      </x:c>
      <x:c r="C4915" s="18" t="n">
        <x:v>11586</x:v>
      </x:c>
      <x:c r="D4915" s="18" t="n">
        <x:v>86454</x:v>
      </x:c>
      <x:c r="E4915" s="18" t="n">
        <x:v>22.47</x:v>
      </x:c>
      <x:c r="F4915" s="18" t="n">
        <x:v>7.01</x:v>
      </x:c>
      <x:c r="G4915" t="n">
        <x:v>36</x:v>
      </x:c>
      <x:c r="H4915" t="str">
        <x:v>A</x:v>
      </x:c>
      <x:c r="I4915" t="str">
        <x:v>10+ years</x:v>
      </x:c>
      <x:c r="J4915" t="str">
        <x:v>MORTGAGE</x:v>
      </x:c>
      <x:c r="K4915" t="str">
        <x:v>other</x:v>
      </x:c>
      <x:c r="L4915" t="n">
        <x:v>1</x:v>
      </x:c>
      <x:c r="M4915" t="n">
        <x:v>0</x:v>
      </x:c>
      <x:c r="N4915" t="str">
        <x:v>Fully Paid</x:v>
      </x:c>
      <x:c r="O4915" t="str">
        <x:f>IF(D4915="","Unknown",IF(D4915&lt;25000,"&lt;$25k",IF(D4915&lt;50000,"$25k-$50k",IF(D4915&lt;75000,"$50k-$75k",IF(D4915&lt;100000,"$75k-$100k","$100k+")))))</x:f>
        <x:v>$75k-$100k</x:v>
      </x:c>
      <x:c r="P4915" t="str">
        <x:f>IF(E4915="","Unknown",IF(E4915&lt;10,"&lt;10",IF(E4915&lt;20,"10-&lt;20",IF(E4915&lt;25,"20-&lt;25",IF(E4915&lt;35,"25-&lt;35","35+")))))</x:f>
        <x:v>20-&lt;25</x:v>
      </x:c>
    </x:row>
    <x:row r="4916">
      <x:c r="A4916" t="str">
        <x:v>SYN0004915</x:v>
      </x:c>
      <x:c r="B4916" s="12" t="n">
        <x:v>43375</x:v>
      </x:c>
      <x:c r="C4916" s="18" t="n">
        <x:v>11186</x:v>
      </x:c>
      <x:c r="D4916" s="18" t="n">
        <x:v>46099</x:v>
      </x:c>
      <x:c r="E4916" s="18" t="n">
        <x:v>34.11</x:v>
      </x:c>
      <x:c r="F4916" s="18" t="n">
        <x:v>7.41</x:v>
      </x:c>
      <x:c r="G4916" t="n">
        <x:v>36</x:v>
      </x:c>
      <x:c r="H4916" t="str">
        <x:v>B</x:v>
      </x:c>
      <x:c r="I4916" t="str">
        <x:v>10+ years</x:v>
      </x:c>
      <x:c r="J4916" t="str">
        <x:v>MORTGAGE</x:v>
      </x:c>
      <x:c r="K4916" t="str">
        <x:v>medical</x:v>
      </x:c>
      <x:c r="L4916" t="n">
        <x:v>1</x:v>
      </x:c>
      <x:c r="M4916" t="n">
        <x:v>0</x:v>
      </x:c>
      <x:c r="N4916" t="str">
        <x:v>Fully Paid</x:v>
      </x:c>
      <x:c r="O4916" t="str">
        <x:f>IF(D4916="","Unknown",IF(D4916&lt;25000,"&lt;$25k",IF(D4916&lt;50000,"$25k-$50k",IF(D4916&lt;75000,"$50k-$75k",IF(D4916&lt;100000,"$75k-$100k","$100k+")))))</x:f>
        <x:v>$25k-$50k</x:v>
      </x:c>
      <x:c r="P4916" t="str">
        <x:f>IF(E4916="","Unknown",IF(E4916&lt;10,"&lt;10",IF(E4916&lt;20,"10-&lt;20",IF(E4916&lt;25,"20-&lt;25",IF(E4916&lt;35,"25-&lt;35","35+")))))</x:f>
        <x:v>25-&lt;35</x:v>
      </x:c>
    </x:row>
    <x:row r="4917">
      <x:c r="A4917" t="str">
        <x:v>SYN0004916</x:v>
      </x:c>
      <x:c r="B4917" s="12" t="n">
        <x:v>41995</x:v>
      </x:c>
      <x:c r="C4917" s="18" t="n">
        <x:v>22566</x:v>
      </x:c>
      <x:c r="D4917" s="18" t="n">
        <x:v>65881</x:v>
      </x:c>
      <x:c r="E4917" s="18" t="n">
        <x:v>23.19</x:v>
      </x:c>
      <x:c r="F4917" s="18" t="n">
        <x:v>12.99</x:v>
      </x:c>
      <x:c r="G4917" t="n">
        <x:v>36</x:v>
      </x:c>
      <x:c r="H4917" t="str">
        <x:v>C</x:v>
      </x:c>
      <x:c r="I4917" t="str">
        <x:v>1-3 years</x:v>
      </x:c>
      <x:c r="J4917" t="str">
        <x:v>MORTGAGE</x:v>
      </x:c>
      <x:c r="K4917" t="str">
        <x:v>major_purchase</x:v>
      </x:c>
      <x:c r="L4917" t="n">
        <x:v>4</x:v>
      </x:c>
      <x:c r="M4917" t="n">
        <x:v>0</x:v>
      </x:c>
      <x:c r="N4917" t="str">
        <x:v>Fully Paid</x:v>
      </x:c>
      <x:c r="O4917" t="str">
        <x:f>IF(D4917="","Unknown",IF(D4917&lt;25000,"&lt;$25k",IF(D4917&lt;50000,"$25k-$50k",IF(D4917&lt;75000,"$50k-$75k",IF(D4917&lt;100000,"$75k-$100k","$100k+")))))</x:f>
        <x:v>$50k-$75k</x:v>
      </x:c>
      <x:c r="P4917" t="str">
        <x:f>IF(E4917="","Unknown",IF(E4917&lt;10,"&lt;10",IF(E4917&lt;20,"10-&lt;20",IF(E4917&lt;25,"20-&lt;25",IF(E4917&lt;35,"25-&lt;35","35+")))))</x:f>
        <x:v>20-&lt;25</x:v>
      </x:c>
    </x:row>
    <x:row r="4918">
      <x:c r="A4918" t="str">
        <x:v>SYN0004917</x:v>
      </x:c>
      <x:c r="B4918" s="12" t="n">
        <x:v>43375</x:v>
      </x:c>
      <x:c r="C4918" s="18" t="n">
        <x:v>9225</x:v>
      </x:c>
      <x:c r="D4918" s="18" t="n">
        <x:v>32587</x:v>
      </x:c>
      <x:c r="E4918" s="18" t="n">
        <x:v>22.58</x:v>
      </x:c>
      <x:c r="F4918" s="18" t="n">
        <x:v>14.71</x:v>
      </x:c>
      <x:c r="G4918" t="n">
        <x:v>36</x:v>
      </x:c>
      <x:c r="H4918" t="str">
        <x:v>D</x:v>
      </x:c>
      <x:c r="I4918" t="str">
        <x:v>1-3 years</x:v>
      </x:c>
      <x:c r="J4918" t="str">
        <x:v>OTHER</x:v>
      </x:c>
      <x:c r="K4918" t="str">
        <x:v>home_improvement</x:v>
      </x:c>
      <x:c r="L4918" t="n">
        <x:v>0</x:v>
      </x:c>
      <x:c r="M4918" t="n">
        <x:v>0</x:v>
      </x:c>
      <x:c r="N4918" t="str">
        <x:v>Fully Paid</x:v>
      </x:c>
      <x:c r="O4918" t="str">
        <x:f>IF(D4918="","Unknown",IF(D4918&lt;25000,"&lt;$25k",IF(D4918&lt;50000,"$25k-$50k",IF(D4918&lt;75000,"$50k-$75k",IF(D4918&lt;100000,"$75k-$100k","$100k+")))))</x:f>
        <x:v>$25k-$50k</x:v>
      </x:c>
      <x:c r="P4918" t="str">
        <x:f>IF(E4918="","Unknown",IF(E4918&lt;10,"&lt;10",IF(E4918&lt;20,"10-&lt;20",IF(E4918&lt;25,"20-&lt;25",IF(E4918&lt;35,"25-&lt;35","35+")))))</x:f>
        <x:v>20-&lt;25</x:v>
      </x:c>
    </x:row>
    <x:row r="4919">
      <x:c r="A4919" t="str">
        <x:v>SYN0004918</x:v>
      </x:c>
      <x:c r="B4919" s="12" t="n">
        <x:v>41695</x:v>
      </x:c>
      <x:c r="C4919" s="18" t="n">
        <x:v>6802</x:v>
      </x:c>
      <x:c r="D4919" s="18" t="n">
        <x:v>51838</x:v>
      </x:c>
      <x:c r="E4919" s="18" t="n">
        <x:v>27.73</x:v>
      </x:c>
      <x:c r="F4919" s="18" t="n">
        <x:v>26.39</x:v>
      </x:c>
      <x:c r="G4919" t="n">
        <x:v>36</x:v>
      </x:c>
      <x:c r="H4919" t="str">
        <x:v>G</x:v>
      </x:c>
      <x:c r="I4919" t="str">
        <x:v>4-6 years</x:v>
      </x:c>
      <x:c r="J4919" t="str">
        <x:v>MORTGAGE</x:v>
      </x:c>
      <x:c r="K4919" t="str">
        <x:v>debt_consolidation</x:v>
      </x:c>
      <x:c r="L4919" t="n">
        <x:v>0</x:v>
      </x:c>
      <x:c r="M4919" t="n">
        <x:v>1</x:v>
      </x:c>
      <x:c r="N4919" t="str">
        <x:v>Charged Off</x:v>
      </x:c>
      <x:c r="O4919" t="str">
        <x:f>IF(D4919="","Unknown",IF(D4919&lt;25000,"&lt;$25k",IF(D4919&lt;50000,"$25k-$50k",IF(D4919&lt;75000,"$50k-$75k",IF(D4919&lt;100000,"$75k-$100k","$100k+")))))</x:f>
        <x:v>$50k-$75k</x:v>
      </x:c>
      <x:c r="P4919" t="str">
        <x:f>IF(E4919="","Unknown",IF(E4919&lt;10,"&lt;10",IF(E4919&lt;20,"10-&lt;20",IF(E4919&lt;25,"20-&lt;25",IF(E4919&lt;35,"25-&lt;35","35+")))))</x:f>
        <x:v>25-&lt;35</x:v>
      </x:c>
    </x:row>
    <x:row r="4920">
      <x:c r="A4920" t="str">
        <x:v>SYN0004919</x:v>
      </x:c>
      <x:c r="B4920" s="12" t="n">
        <x:v>41275</x:v>
      </x:c>
      <x:c r="C4920" s="18" t="n">
        <x:v>14355</x:v>
      </x:c>
      <x:c r="D4920" s="18" t="n">
        <x:v>77403</x:v>
      </x:c>
      <x:c r="E4920" s="18" t="n">
        <x:v>33.74</x:v>
      </x:c>
      <x:c r="F4920" s="18" t="n">
        <x:v>18.69</x:v>
      </x:c>
      <x:c r="G4920" t="n">
        <x:v>36</x:v>
      </x:c>
      <x:c r="H4920" t="str">
        <x:v>E</x:v>
      </x:c>
      <x:c r="I4920" t="str">
        <x:v>1-3 years</x:v>
      </x:c>
      <x:c r="J4920" t="str">
        <x:v>MORTGAGE</x:v>
      </x:c>
      <x:c r="K4920" t="str">
        <x:v>medical</x:v>
      </x:c>
      <x:c r="L4920" t="n">
        <x:v>1</x:v>
      </x:c>
      <x:c r="M4920" t="n">
        <x:v>1</x:v>
      </x:c>
      <x:c r="N4920" t="str">
        <x:v>Charged Off</x:v>
      </x:c>
      <x:c r="O4920" t="str">
        <x:f>IF(D4920="","Unknown",IF(D4920&lt;25000,"&lt;$25k",IF(D4920&lt;50000,"$25k-$50k",IF(D4920&lt;75000,"$50k-$75k",IF(D4920&lt;100000,"$75k-$100k","$100k+")))))</x:f>
        <x:v>$75k-$100k</x:v>
      </x:c>
      <x:c r="P4920" t="str">
        <x:f>IF(E4920="","Unknown",IF(E4920&lt;10,"&lt;10",IF(E4920&lt;20,"10-&lt;20",IF(E4920&lt;25,"20-&lt;25",IF(E4920&lt;35,"25-&lt;35","35+")))))</x:f>
        <x:v>25-&lt;35</x:v>
      </x:c>
    </x:row>
    <x:row r="4921">
      <x:c r="A4921" t="str">
        <x:v>SYN0004920</x:v>
      </x:c>
      <x:c r="B4921" s="12" t="n">
        <x:v>42475</x:v>
      </x:c>
      <x:c r="C4921" s="18" t="n">
        <x:v>15279</x:v>
      </x:c>
      <x:c r="D4921" s="18" t="n">
        <x:v>87526</x:v>
      </x:c>
      <x:c r="E4921" s="18" t="n">
        <x:v>27.91</x:v>
      </x:c>
      <x:c r="F4921" s="18" t="n">
        <x:v>6.87</x:v>
      </x:c>
      <x:c r="G4921" t="n">
        <x:v>36</x:v>
      </x:c>
      <x:c r="H4921" t="str">
        <x:v>A</x:v>
      </x:c>
      <x:c r="I4921" t="str">
        <x:v>10+ years</x:v>
      </x:c>
      <x:c r="J4921" t="str">
        <x:v>RENT</x:v>
      </x:c>
      <x:c r="K4921" t="str">
        <x:v>other</x:v>
      </x:c>
      <x:c r="L4921" t="n">
        <x:v>2</x:v>
      </x:c>
      <x:c r="M4921" t="n">
        <x:v>0</x:v>
      </x:c>
      <x:c r="N4921" t="str">
        <x:v>Fully Paid</x:v>
      </x:c>
      <x:c r="O4921" t="str">
        <x:f>IF(D4921="","Unknown",IF(D4921&lt;25000,"&lt;$25k",IF(D4921&lt;50000,"$25k-$50k",IF(D4921&lt;75000,"$50k-$75k",IF(D4921&lt;100000,"$75k-$100k","$100k+")))))</x:f>
        <x:v>$75k-$100k</x:v>
      </x:c>
      <x:c r="P4921" t="str">
        <x:f>IF(E4921="","Unknown",IF(E4921&lt;10,"&lt;10",IF(E4921&lt;20,"10-&lt;20",IF(E4921&lt;25,"20-&lt;25",IF(E4921&lt;35,"25-&lt;35","35+")))))</x:f>
        <x:v>25-&lt;35</x:v>
      </x:c>
    </x:row>
    <x:row r="4922">
      <x:c r="A4922" t="str">
        <x:v>SYN0004921</x:v>
      </x:c>
      <x:c r="B4922" s="12" t="n">
        <x:v>43105</x:v>
      </x:c>
      <x:c r="C4922" s="18" t="n">
        <x:v>15240</x:v>
      </x:c>
      <x:c r="D4922" s="18" t="n">
        <x:v>59193</x:v>
      </x:c>
      <x:c r="E4922" s="18" t="n">
        <x:v>14.1</x:v>
      </x:c>
      <x:c r="F4922" s="18" t="n">
        <x:v>19.17</x:v>
      </x:c>
      <x:c r="G4922" t="n">
        <x:v>36</x:v>
      </x:c>
      <x:c r="H4922" t="str">
        <x:v>E</x:v>
      </x:c>
      <x:c r="I4922" t="str">
        <x:v>1-3 years</x:v>
      </x:c>
      <x:c r="J4922" t="str">
        <x:v>MORTGAGE</x:v>
      </x:c>
      <x:c r="K4922" t="str">
        <x:v>debt_consolidation</x:v>
      </x:c>
      <x:c r="L4922" t="n">
        <x:v>0</x:v>
      </x:c>
      <x:c r="M4922" t="n">
        <x:v>0</x:v>
      </x:c>
      <x:c r="N4922" t="str">
        <x:v>Fully Paid</x:v>
      </x:c>
      <x:c r="O4922" t="str">
        <x:f>IF(D4922="","Unknown",IF(D4922&lt;25000,"&lt;$25k",IF(D4922&lt;50000,"$25k-$50k",IF(D4922&lt;75000,"$50k-$75k",IF(D4922&lt;100000,"$75k-$100k","$100k+")))))</x:f>
        <x:v>$50k-$75k</x:v>
      </x:c>
      <x:c r="P4922" t="str">
        <x:f>IF(E4922="","Unknown",IF(E4922&lt;10,"&lt;10",IF(E4922&lt;20,"10-&lt;20",IF(E4922&lt;25,"20-&lt;25",IF(E4922&lt;35,"25-&lt;35","35+")))))</x:f>
        <x:v>10-&lt;20</x:v>
      </x:c>
    </x:row>
    <x:row r="4923">
      <x:c r="A4923" t="str">
        <x:v>SYN0004922</x:v>
      </x:c>
      <x:c r="B4923" s="12" t="n">
        <x:v>43195</x:v>
      </x:c>
      <x:c r="C4923" s="18" t="n">
        <x:v>7598</x:v>
      </x:c>
      <x:c r="D4923" s="18" t="n">
        <x:v>36872</x:v>
      </x:c>
      <x:c r="E4923" s="18" t="n">
        <x:v>23.08</x:v>
      </x:c>
      <x:c r="F4923" s="18" t="n">
        <x:v>5.05</x:v>
      </x:c>
      <x:c r="G4923" t="n">
        <x:v>36</x:v>
      </x:c>
      <x:c r="H4923" t="str">
        <x:v>A</x:v>
      </x:c>
      <x:c r="I4923" t="str">
        <x:v>7-9 years</x:v>
      </x:c>
      <x:c r="J4923" t="str">
        <x:v>RENT</x:v>
      </x:c>
      <x:c r="K4923" t="str">
        <x:v>major_purchase</x:v>
      </x:c>
      <x:c r="L4923" t="n">
        <x:v>0</x:v>
      </x:c>
      <x:c r="M4923" t="n">
        <x:v>0</x:v>
      </x:c>
      <x:c r="N4923" t="str">
        <x:v>Fully Paid</x:v>
      </x:c>
      <x:c r="O4923" t="str">
        <x:f>IF(D4923="","Unknown",IF(D4923&lt;25000,"&lt;$25k",IF(D4923&lt;50000,"$25k-$50k",IF(D4923&lt;75000,"$50k-$75k",IF(D4923&lt;100000,"$75k-$100k","$100k+")))))</x:f>
        <x:v>$25k-$50k</x:v>
      </x:c>
      <x:c r="P4923" t="str">
        <x:f>IF(E4923="","Unknown",IF(E4923&lt;10,"&lt;10",IF(E4923&lt;20,"10-&lt;20",IF(E4923&lt;25,"20-&lt;25",IF(E4923&lt;35,"25-&lt;35","35+")))))</x:f>
        <x:v>20-&lt;25</x:v>
      </x:c>
    </x:row>
    <x:row r="4924">
      <x:c r="A4924" t="str">
        <x:v>SYN0004923</x:v>
      </x:c>
      <x:c r="B4924" s="12" t="n">
        <x:v>42085</x:v>
      </x:c>
      <x:c r="C4924" s="18" t="n">
        <x:v>8220</x:v>
      </x:c>
      <x:c r="D4924" s="18" t="n">
        <x:v>91524</x:v>
      </x:c>
      <x:c r="E4924" s="18" t="n">
        <x:v>38.79</x:v>
      </x:c>
      <x:c r="F4924" s="18" t="n">
        <x:v>11.34</x:v>
      </x:c>
      <x:c r="G4924" t="n">
        <x:v>36</x:v>
      </x:c>
      <x:c r="H4924" t="str">
        <x:v>C</x:v>
      </x:c>
      <x:c r="I4924" t="str">
        <x:v>7-9 years</x:v>
      </x:c>
      <x:c r="J4924" t="str">
        <x:v>MORTGAGE</x:v>
      </x:c>
      <x:c r="K4924" t="str">
        <x:v>debt_consolidation</x:v>
      </x:c>
      <x:c r="L4924" t="n">
        <x:v>1</x:v>
      </x:c>
      <x:c r="M4924" t="n">
        <x:v>1</x:v>
      </x:c>
      <x:c r="N4924" t="str">
        <x:v>Charged Off</x:v>
      </x:c>
      <x:c r="O4924" t="str">
        <x:f>IF(D4924="","Unknown",IF(D4924&lt;25000,"&lt;$25k",IF(D4924&lt;50000,"$25k-$50k",IF(D4924&lt;75000,"$50k-$75k",IF(D4924&lt;100000,"$75k-$100k","$100k+")))))</x:f>
        <x:v>$75k-$100k</x:v>
      </x:c>
      <x:c r="P4924" t="str">
        <x:f>IF(E4924="","Unknown",IF(E4924&lt;10,"&lt;10",IF(E4924&lt;20,"10-&lt;20",IF(E4924&lt;25,"20-&lt;25",IF(E4924&lt;35,"25-&lt;35","35+")))))</x:f>
        <x:v>35+</x:v>
      </x:c>
    </x:row>
    <x:row r="4925">
      <x:c r="A4925" t="str">
        <x:v>SYN0004924</x:v>
      </x:c>
      <x:c r="B4925" s="12" t="n">
        <x:v>42025</x:v>
      </x:c>
      <x:c r="C4925" s="18" t="n">
        <x:v>8415</x:v>
      </x:c>
      <x:c r="D4925" s="18" t="n">
        <x:v>64617</x:v>
      </x:c>
      <x:c r="E4925" s="18" t="n">
        <x:v>32.35</x:v>
      </x:c>
      <x:c r="F4925" s="18" t="n">
        <x:v>11.08</x:v>
      </x:c>
      <x:c r="G4925" t="n">
        <x:v>36</x:v>
      </x:c>
      <x:c r="H4925" t="str">
        <x:v>C</x:v>
      </x:c>
      <x:c r="I4925" t="str">
        <x:v>10+ years</x:v>
      </x:c>
      <x:c r="J4925" t="str">
        <x:v>RENT</x:v>
      </x:c>
      <x:c r="K4925" t="str">
        <x:v>debt_consolidation</x:v>
      </x:c>
      <x:c r="L4925" t="n">
        <x:v>1</x:v>
      </x:c>
      <x:c r="M4925" t="n">
        <x:v>0</x:v>
      </x:c>
      <x:c r="N4925" t="str">
        <x:v>Fully Paid</x:v>
      </x:c>
      <x:c r="O4925" t="str">
        <x:f>IF(D4925="","Unknown",IF(D4925&lt;25000,"&lt;$25k",IF(D4925&lt;50000,"$25k-$50k",IF(D4925&lt;75000,"$50k-$75k",IF(D4925&lt;100000,"$75k-$100k","$100k+")))))</x:f>
        <x:v>$50k-$75k</x:v>
      </x:c>
      <x:c r="P4925" t="str">
        <x:f>IF(E4925="","Unknown",IF(E4925&lt;10,"&lt;10",IF(E4925&lt;20,"10-&lt;20",IF(E4925&lt;25,"20-&lt;25",IF(E4925&lt;35,"25-&lt;35","35+")))))</x:f>
        <x:v>25-&lt;35</x:v>
      </x:c>
    </x:row>
    <x:row r="4926">
      <x:c r="A4926" t="str">
        <x:v>SYN0004925</x:v>
      </x:c>
      <x:c r="B4926" s="12" t="n">
        <x:v>41785</x:v>
      </x:c>
      <x:c r="C4926" s="18" t="n">
        <x:v>21713</x:v>
      </x:c>
      <x:c r="D4926" s="18" t="n">
        <x:v>83315</x:v>
      </x:c>
      <x:c r="E4926" s="18" t="n">
        <x:v>28.25</x:v>
      </x:c>
      <x:c r="F4926" s="18" t="n">
        <x:v>8.14</x:v>
      </x:c>
      <x:c r="G4926" t="n">
        <x:v>36</x:v>
      </x:c>
      <x:c r="H4926" t="str">
        <x:v>B</x:v>
      </x:c>
      <x:c r="I4926" t="str">
        <x:v>4-6 years</x:v>
      </x:c>
      <x:c r="J4926" t="str">
        <x:v>MORTGAGE</x:v>
      </x:c>
      <x:c r="K4926" t="str">
        <x:v>home_improvement</x:v>
      </x:c>
      <x:c r="L4926" t="n">
        <x:v>0</x:v>
      </x:c>
      <x:c r="M4926" t="n">
        <x:v>0</x:v>
      </x:c>
      <x:c r="N4926" t="str">
        <x:v>Fully Paid</x:v>
      </x:c>
      <x:c r="O4926" t="str">
        <x:f>IF(D4926="","Unknown",IF(D4926&lt;25000,"&lt;$25k",IF(D4926&lt;50000,"$25k-$50k",IF(D4926&lt;75000,"$50k-$75k",IF(D4926&lt;100000,"$75k-$100k","$100k+")))))</x:f>
        <x:v>$75k-$100k</x:v>
      </x:c>
      <x:c r="P4926" t="str">
        <x:f>IF(E4926="","Unknown",IF(E4926&lt;10,"&lt;10",IF(E4926&lt;20,"10-&lt;20",IF(E4926&lt;25,"20-&lt;25",IF(E4926&lt;35,"25-&lt;35","35+")))))</x:f>
        <x:v>25-&lt;35</x:v>
      </x:c>
    </x:row>
    <x:row r="4927">
      <x:c r="A4927" t="str">
        <x:v>SYN0004926</x:v>
      </x:c>
      <x:c r="B4927" s="12" t="n">
        <x:v>41995</x:v>
      </x:c>
      <x:c r="C4927" s="18" t="n">
        <x:v>24016</x:v>
      </x:c>
      <x:c r="D4927" s="18" t="n">
        <x:v>39927</x:v>
      </x:c>
      <x:c r="E4927" s="18" t="n">
        <x:v>13.64</x:v>
      </x:c>
      <x:c r="F4927" s="18" t="n">
        <x:v>11.84</x:v>
      </x:c>
      <x:c r="G4927" t="n">
        <x:v>36</x:v>
      </x:c>
      <x:c r="H4927" t="str">
        <x:v>B</x:v>
      </x:c>
      <x:c r="I4927" t="str">
        <x:v>&lt;1 year</x:v>
      </x:c>
      <x:c r="J4927" t="str">
        <x:v>RENT</x:v>
      </x:c>
      <x:c r="K4927" t="str">
        <x:v>credit_card</x:v>
      </x:c>
      <x:c r="L4927" t="n">
        <x:v>0</x:v>
      </x:c>
      <x:c r="M4927" t="n">
        <x:v>0</x:v>
      </x:c>
      <x:c r="N4927" t="str">
        <x:v>Fully Paid</x:v>
      </x:c>
      <x:c r="O4927" t="str">
        <x:f>IF(D4927="","Unknown",IF(D4927&lt;25000,"&lt;$25k",IF(D4927&lt;50000,"$25k-$50k",IF(D4927&lt;75000,"$50k-$75k",IF(D4927&lt;100000,"$75k-$100k","$100k+")))))</x:f>
        <x:v>$25k-$50k</x:v>
      </x:c>
      <x:c r="P4927" t="str">
        <x:f>IF(E4927="","Unknown",IF(E4927&lt;10,"&lt;10",IF(E4927&lt;20,"10-&lt;20",IF(E4927&lt;25,"20-&lt;25",IF(E4927&lt;35,"25-&lt;35","35+")))))</x:f>
        <x:v>10-&lt;20</x:v>
      </x:c>
    </x:row>
    <x:row r="4928">
      <x:c r="A4928" t="str">
        <x:v>SYN0004927</x:v>
      </x:c>
      <x:c r="B4928" s="12" t="n">
        <x:v>43195</x:v>
      </x:c>
      <x:c r="C4928" s="18" t="n">
        <x:v>8260</x:v>
      </x:c>
      <x:c r="D4928" s="18" t="n">
        <x:v>124560</x:v>
      </x:c>
      <x:c r="E4928" s="18" t="n">
        <x:v>29.91</x:v>
      </x:c>
      <x:c r="F4928" s="18" t="n">
        <x:v>7.1</x:v>
      </x:c>
      <x:c r="G4928" t="n">
        <x:v>36</x:v>
      </x:c>
      <x:c r="H4928" t="str">
        <x:v>A</x:v>
      </x:c>
      <x:c r="I4928" t="str">
        <x:v>4-6 years</x:v>
      </x:c>
      <x:c r="J4928" t="str">
        <x:v>MORTGAGE</x:v>
      </x:c>
      <x:c r="K4928" t="str">
        <x:v>credit_card</x:v>
      </x:c>
      <x:c r="L4928" t="n">
        <x:v>1</x:v>
      </x:c>
      <x:c r="M4928" t="n">
        <x:v>0</x:v>
      </x:c>
      <x:c r="N4928" t="str">
        <x:v>Fully Paid</x:v>
      </x:c>
      <x:c r="O4928" t="str">
        <x:f>IF(D4928="","Unknown",IF(D4928&lt;25000,"&lt;$25k",IF(D4928&lt;50000,"$25k-$50k",IF(D4928&lt;75000,"$50k-$75k",IF(D4928&lt;100000,"$75k-$100k","$100k+")))))</x:f>
        <x:v>$100k+</x:v>
      </x:c>
      <x:c r="P4928" t="str">
        <x:f>IF(E4928="","Unknown",IF(E4928&lt;10,"&lt;10",IF(E4928&lt;20,"10-&lt;20",IF(E4928&lt;25,"20-&lt;25",IF(E4928&lt;35,"25-&lt;35","35+")))))</x:f>
        <x:v>25-&lt;35</x:v>
      </x:c>
    </x:row>
    <x:row r="4929">
      <x:c r="A4929" t="str">
        <x:v>SYN0004928</x:v>
      </x:c>
      <x:c r="B4929" s="12" t="n">
        <x:v>42985</x:v>
      </x:c>
      <x:c r="C4929" s="18" t="n">
        <x:v>18895</x:v>
      </x:c>
      <x:c r="D4929" s="18" t="n">
        <x:v>32200</x:v>
      </x:c>
      <x:c r="E4929" s="18" t="n">
        <x:v>21.76</x:v>
      </x:c>
      <x:c r="F4929" s="18" t="n">
        <x:v>11.84</x:v>
      </x:c>
      <x:c r="G4929" t="n">
        <x:v>36</x:v>
      </x:c>
      <x:c r="H4929" t="str">
        <x:v>D</x:v>
      </x:c>
      <x:c r="I4929" t="str">
        <x:v>7-9 years</x:v>
      </x:c>
      <x:c r="J4929" t="str">
        <x:v>OWN</x:v>
      </x:c>
      <x:c r="K4929" t="str">
        <x:v>debt_consolidation</x:v>
      </x:c>
      <x:c r="L4929" t="n">
        <x:v>0</x:v>
      </x:c>
      <x:c r="M4929" t="n">
        <x:v>0</x:v>
      </x:c>
      <x:c r="N4929" t="str">
        <x:v>Fully Paid</x:v>
      </x:c>
      <x:c r="O4929" t="str">
        <x:f>IF(D4929="","Unknown",IF(D4929&lt;25000,"&lt;$25k",IF(D4929&lt;50000,"$25k-$50k",IF(D4929&lt;75000,"$50k-$75k",IF(D4929&lt;100000,"$75k-$100k","$100k+")))))</x:f>
        <x:v>$25k-$50k</x:v>
      </x:c>
      <x:c r="P4929" t="str">
        <x:f>IF(E4929="","Unknown",IF(E4929&lt;10,"&lt;10",IF(E4929&lt;20,"10-&lt;20",IF(E4929&lt;25,"20-&lt;25",IF(E4929&lt;35,"25-&lt;35","35+")))))</x:f>
        <x:v>20-&lt;25</x:v>
      </x:c>
    </x:row>
    <x:row r="4930">
      <x:c r="A4930" t="str">
        <x:v>SYN0004929</x:v>
      </x:c>
      <x:c r="B4930" s="12" t="n">
        <x:v>42715</x:v>
      </x:c>
      <x:c r="C4930" s="18" t="n">
        <x:v>22087</x:v>
      </x:c>
      <x:c r="D4930" s="18" t="n">
        <x:v>69155</x:v>
      </x:c>
      <x:c r="E4930" s="18" t="n">
        <x:v>23.54</x:v>
      </x:c>
      <x:c r="F4930" s="18" t="n">
        <x:v>13.98</x:v>
      </x:c>
      <x:c r="G4930" t="n">
        <x:v>36</x:v>
      </x:c>
      <x:c r="H4930" t="str">
        <x:v>D</x:v>
      </x:c>
      <x:c r="I4930" t="str">
        <x:v>1-3 years</x:v>
      </x:c>
      <x:c r="J4930" t="str">
        <x:v>MORTGAGE</x:v>
      </x:c>
      <x:c r="K4930" t="str">
        <x:v>credit_card</x:v>
      </x:c>
      <x:c r="L4930" t="n">
        <x:v>0</x:v>
      </x:c>
      <x:c r="M4930" t="n">
        <x:v>0</x:v>
      </x:c>
      <x:c r="N4930" t="str">
        <x:v>Fully Paid</x:v>
      </x:c>
      <x:c r="O4930" t="str">
        <x:f>IF(D4930="","Unknown",IF(D4930&lt;25000,"&lt;$25k",IF(D4930&lt;50000,"$25k-$50k",IF(D4930&lt;75000,"$50k-$75k",IF(D4930&lt;100000,"$75k-$100k","$100k+")))))</x:f>
        <x:v>$50k-$75k</x:v>
      </x:c>
      <x:c r="P4930" t="str">
        <x:f>IF(E4930="","Unknown",IF(E4930&lt;10,"&lt;10",IF(E4930&lt;20,"10-&lt;20",IF(E4930&lt;25,"20-&lt;25",IF(E4930&lt;35,"25-&lt;35","35+")))))</x:f>
        <x:v>20-&lt;25</x:v>
      </x:c>
    </x:row>
    <x:row r="4931">
      <x:c r="A4931" t="str">
        <x:v>SYN0004930</x:v>
      </x:c>
      <x:c r="B4931" s="12" t="n">
        <x:v>42595</x:v>
      </x:c>
      <x:c r="C4931" s="18" t="n">
        <x:v>11781</x:v>
      </x:c>
      <x:c r="D4931" s="18" t="n">
        <x:v>109802</x:v>
      </x:c>
      <x:c r="E4931" s="18" t="n">
        <x:v>15.56</x:v>
      </x:c>
      <x:c r="F4931" s="18" t="n">
        <x:v>6.73</x:v>
      </x:c>
      <x:c r="G4931" t="n">
        <x:v>60</x:v>
      </x:c>
      <x:c r="H4931" t="str">
        <x:v>A</x:v>
      </x:c>
      <x:c r="I4931" t="str">
        <x:v>7-9 years</x:v>
      </x:c>
      <x:c r="J4931" t="str">
        <x:v>RENT</x:v>
      </x:c>
      <x:c r="K4931" t="str">
        <x:v>major_purchase</x:v>
      </x:c>
      <x:c r="L4931" t="n">
        <x:v>0</x:v>
      </x:c>
      <x:c r="M4931" t="n">
        <x:v>0</x:v>
      </x:c>
      <x:c r="N4931" t="str">
        <x:v>Fully Paid</x:v>
      </x:c>
      <x:c r="O4931" t="str">
        <x:f>IF(D4931="","Unknown",IF(D4931&lt;25000,"&lt;$25k",IF(D4931&lt;50000,"$25k-$50k",IF(D4931&lt;75000,"$50k-$75k",IF(D4931&lt;100000,"$75k-$100k","$100k+")))))</x:f>
        <x:v>$100k+</x:v>
      </x:c>
      <x:c r="P4931" t="str">
        <x:f>IF(E4931="","Unknown",IF(E4931&lt;10,"&lt;10",IF(E4931&lt;20,"10-&lt;20",IF(E4931&lt;25,"20-&lt;25",IF(E4931&lt;35,"25-&lt;35","35+")))))</x:f>
        <x:v>10-&lt;20</x:v>
      </x:c>
    </x:row>
    <x:row r="4932">
      <x:c r="A4932" t="str">
        <x:v>SYN0004931</x:v>
      </x:c>
      <x:c r="B4932" s="12" t="n">
        <x:v>41425</x:v>
      </x:c>
      <x:c r="C4932" s="18" t="n">
        <x:v>13670</x:v>
      </x:c>
      <x:c r="D4932" s="18" t="n">
        <x:v>82159</x:v>
      </x:c>
      <x:c r="E4932" s="18" t="n">
        <x:v>24.99</x:v>
      </x:c>
      <x:c r="F4932" s="18" t="n">
        <x:v>8.62</x:v>
      </x:c>
      <x:c r="G4932" t="n">
        <x:v>36</x:v>
      </x:c>
      <x:c r="H4932" t="str">
        <x:v>C</x:v>
      </x:c>
      <x:c r="I4932" t="str">
        <x:v>1-3 years</x:v>
      </x:c>
      <x:c r="J4932" t="str">
        <x:v>RENT</x:v>
      </x:c>
      <x:c r="K4932" t="str">
        <x:v>debt_consolidation</x:v>
      </x:c>
      <x:c r="L4932" t="n">
        <x:v>1</x:v>
      </x:c>
      <x:c r="M4932" t="n">
        <x:v>0</x:v>
      </x:c>
      <x:c r="N4932" t="str">
        <x:v>Fully Paid</x:v>
      </x:c>
      <x:c r="O4932" t="str">
        <x:f>IF(D4932="","Unknown",IF(D4932&lt;25000,"&lt;$25k",IF(D4932&lt;50000,"$25k-$50k",IF(D4932&lt;75000,"$50k-$75k",IF(D4932&lt;100000,"$75k-$100k","$100k+")))))</x:f>
        <x:v>$75k-$100k</x:v>
      </x:c>
      <x:c r="P4932" t="str">
        <x:f>IF(E4932="","Unknown",IF(E4932&lt;10,"&lt;10",IF(E4932&lt;20,"10-&lt;20",IF(E4932&lt;25,"20-&lt;25",IF(E4932&lt;35,"25-&lt;35","35+")))))</x:f>
        <x:v>20-&lt;25</x:v>
      </x:c>
    </x:row>
    <x:row r="4933">
      <x:c r="A4933" t="str">
        <x:v>SYN0004932</x:v>
      </x:c>
      <x:c r="B4933" s="12" t="n">
        <x:v>43225</x:v>
      </x:c>
      <x:c r="C4933" s="18" t="n">
        <x:v>9166</x:v>
      </x:c>
      <x:c r="D4933" s="18" t="n">
        <x:v>138486</x:v>
      </x:c>
      <x:c r="E4933" s="18" t="n">
        <x:v>1.05</x:v>
      </x:c>
      <x:c r="F4933" s="18" t="n">
        <x:v>5</x:v>
      </x:c>
      <x:c r="G4933" t="n">
        <x:v>60</x:v>
      </x:c>
      <x:c r="H4933" t="str">
        <x:v>B</x:v>
      </x:c>
      <x:c r="I4933" t="str">
        <x:v>7-9 years</x:v>
      </x:c>
      <x:c r="J4933" t="str">
        <x:v>MORTGAGE</x:v>
      </x:c>
      <x:c r="K4933" t="str">
        <x:v>debt_consolidation</x:v>
      </x:c>
      <x:c r="L4933" t="n">
        <x:v>1</x:v>
      </x:c>
      <x:c r="M4933" t="n">
        <x:v>0</x:v>
      </x:c>
      <x:c r="N4933" t="str">
        <x:v>Fully Paid</x:v>
      </x:c>
      <x:c r="O4933" t="str">
        <x:f>IF(D4933="","Unknown",IF(D4933&lt;25000,"&lt;$25k",IF(D4933&lt;50000,"$25k-$50k",IF(D4933&lt;75000,"$50k-$75k",IF(D4933&lt;100000,"$75k-$100k","$100k+")))))</x:f>
        <x:v>$100k+</x:v>
      </x:c>
      <x:c r="P4933" t="str">
        <x:f>IF(E4933="","Unknown",IF(E4933&lt;10,"&lt;10",IF(E4933&lt;20,"10-&lt;20",IF(E4933&lt;25,"20-&lt;25",IF(E4933&lt;35,"25-&lt;35","35+")))))</x:f>
        <x:v>&lt;10</x:v>
      </x:c>
    </x:row>
    <x:row r="4934">
      <x:c r="A4934" t="str">
        <x:v>SYN0004933</x:v>
      </x:c>
      <x:c r="B4934" s="12" t="n">
        <x:v>41515</x:v>
      </x:c>
      <x:c r="C4934" s="18" t="n">
        <x:v>12702</x:v>
      </x:c>
      <x:c r="D4934" s="18" t="n">
        <x:v>27924</x:v>
      </x:c>
      <x:c r="E4934" s="18" t="n">
        <x:v>20.02</x:v>
      </x:c>
      <x:c r="F4934" s="18" t="n">
        <x:v>12.72</x:v>
      </x:c>
      <x:c r="G4934" t="n">
        <x:v>36</x:v>
      </x:c>
      <x:c r="H4934" t="str">
        <x:v>D</x:v>
      </x:c>
      <x:c r="I4934" t="str">
        <x:v>10+ years</x:v>
      </x:c>
      <x:c r="J4934" t="str">
        <x:v>RENT</x:v>
      </x:c>
      <x:c r="K4934" t="str">
        <x:v>debt_consolidation</x:v>
      </x:c>
      <x:c r="L4934" t="n">
        <x:v>1</x:v>
      </x:c>
      <x:c r="M4934" t="n">
        <x:v>0</x:v>
      </x:c>
      <x:c r="N4934" t="str">
        <x:v>Fully Paid</x:v>
      </x:c>
      <x:c r="O4934" t="str">
        <x:f>IF(D4934="","Unknown",IF(D4934&lt;25000,"&lt;$25k",IF(D4934&lt;50000,"$25k-$50k",IF(D4934&lt;75000,"$50k-$75k",IF(D4934&lt;100000,"$75k-$100k","$100k+")))))</x:f>
        <x:v>$25k-$50k</x:v>
      </x:c>
      <x:c r="P4934" t="str">
        <x:f>IF(E4934="","Unknown",IF(E4934&lt;10,"&lt;10",IF(E4934&lt;20,"10-&lt;20",IF(E4934&lt;25,"20-&lt;25",IF(E4934&lt;35,"25-&lt;35","35+")))))</x:f>
        <x:v>20-&lt;25</x:v>
      </x:c>
    </x:row>
    <x:row r="4935">
      <x:c r="A4935" t="str">
        <x:v>SYN0004934</x:v>
      </x:c>
      <x:c r="B4935" s="12" t="n">
        <x:v>41875</x:v>
      </x:c>
      <x:c r="C4935" s="18" t="n">
        <x:v>9034</x:v>
      </x:c>
      <x:c r="D4935" s="18" t="n">
        <x:v>42290</x:v>
      </x:c>
      <x:c r="E4935" s="18" t="n">
        <x:v>17.51</x:v>
      </x:c>
      <x:c r="F4935" s="18" t="n">
        <x:v>5</x:v>
      </x:c>
      <x:c r="G4935" t="n">
        <x:v>60</x:v>
      </x:c>
      <x:c r="H4935" t="str">
        <x:v>A</x:v>
      </x:c>
      <x:c r="I4935" t="str">
        <x:v>10+ years</x:v>
      </x:c>
      <x:c r="J4935" t="str">
        <x:v>RENT</x:v>
      </x:c>
      <x:c r="K4935" t="str">
        <x:v>home_improvement</x:v>
      </x:c>
      <x:c r="L4935" t="n">
        <x:v>0</x:v>
      </x:c>
      <x:c r="M4935" t="n">
        <x:v>0</x:v>
      </x:c>
      <x:c r="N4935" t="str">
        <x:v>Fully Paid</x:v>
      </x:c>
      <x:c r="O4935" t="str">
        <x:f>IF(D4935="","Unknown",IF(D4935&lt;25000,"&lt;$25k",IF(D4935&lt;50000,"$25k-$50k",IF(D4935&lt;75000,"$50k-$75k",IF(D4935&lt;100000,"$75k-$100k","$100k+")))))</x:f>
        <x:v>$25k-$50k</x:v>
      </x:c>
      <x:c r="P4935" t="str">
        <x:f>IF(E4935="","Unknown",IF(E4935&lt;10,"&lt;10",IF(E4935&lt;20,"10-&lt;20",IF(E4935&lt;25,"20-&lt;25",IF(E4935&lt;35,"25-&lt;35","35+")))))</x:f>
        <x:v>10-&lt;20</x:v>
      </x:c>
    </x:row>
    <x:row r="4936">
      <x:c r="A4936" t="str">
        <x:v>SYN0004935</x:v>
      </x:c>
      <x:c r="B4936" s="12" t="n">
        <x:v>43345</x:v>
      </x:c>
      <x:c r="C4936" s="18" t="n">
        <x:v>12970</x:v>
      </x:c>
      <x:c r="D4936" s="18" t="n">
        <x:v>44411</x:v>
      </x:c>
      <x:c r="E4936" s="18" t="n">
        <x:v>22.8</x:v>
      </x:c>
      <x:c r="F4936" s="18" t="n">
        <x:v>16.88</x:v>
      </x:c>
      <x:c r="G4936" t="n">
        <x:v>36</x:v>
      </x:c>
      <x:c r="H4936" t="str">
        <x:v>D</x:v>
      </x:c>
      <x:c r="I4936" t="str">
        <x:v>7-9 years</x:v>
      </x:c>
      <x:c r="J4936" t="str">
        <x:v>RENT</x:v>
      </x:c>
      <x:c r="K4936" t="str">
        <x:v>medical</x:v>
      </x:c>
      <x:c r="L4936" t="n">
        <x:v>0</x:v>
      </x:c>
      <x:c r="M4936" t="n">
        <x:v>0</x:v>
      </x:c>
      <x:c r="N4936" t="str">
        <x:v>Fully Paid</x:v>
      </x:c>
      <x:c r="O4936" t="str">
        <x:f>IF(D4936="","Unknown",IF(D4936&lt;25000,"&lt;$25k",IF(D4936&lt;50000,"$25k-$50k",IF(D4936&lt;75000,"$50k-$75k",IF(D4936&lt;100000,"$75k-$100k","$100k+")))))</x:f>
        <x:v>$25k-$50k</x:v>
      </x:c>
      <x:c r="P4936" t="str">
        <x:f>IF(E4936="","Unknown",IF(E4936&lt;10,"&lt;10",IF(E4936&lt;20,"10-&lt;20",IF(E4936&lt;25,"20-&lt;25",IF(E4936&lt;35,"25-&lt;35","35+")))))</x:f>
        <x:v>20-&lt;25</x:v>
      </x:c>
    </x:row>
    <x:row r="4937">
      <x:c r="A4937" t="str">
        <x:v>SYN0004936</x:v>
      </x:c>
      <x:c r="B4937" s="12" t="n">
        <x:v>42775</x:v>
      </x:c>
      <x:c r="C4937" s="18" t="n">
        <x:v>27464</x:v>
      </x:c>
      <x:c r="D4937" s="18" t="n">
        <x:v>123632</x:v>
      </x:c>
      <x:c r="E4937" s="18" t="n">
        <x:v>38.93</x:v>
      </x:c>
      <x:c r="F4937" s="18" t="n">
        <x:v>18.34</x:v>
      </x:c>
      <x:c r="G4937" t="n">
        <x:v>36</x:v>
      </x:c>
      <x:c r="H4937" t="str">
        <x:v>E</x:v>
      </x:c>
      <x:c r="I4937" t="str">
        <x:v>7-9 years</x:v>
      </x:c>
      <x:c r="J4937" t="str">
        <x:v>RENT</x:v>
      </x:c>
      <x:c r="K4937" t="str">
        <x:v>debt_consolidation</x:v>
      </x:c>
      <x:c r="L4937" t="n">
        <x:v>0</x:v>
      </x:c>
      <x:c r="M4937" t="n">
        <x:v>0</x:v>
      </x:c>
      <x:c r="N4937" t="str">
        <x:v>Fully Paid</x:v>
      </x:c>
      <x:c r="O4937" t="str">
        <x:f>IF(D4937="","Unknown",IF(D4937&lt;25000,"&lt;$25k",IF(D4937&lt;50000,"$25k-$50k",IF(D4937&lt;75000,"$50k-$75k",IF(D4937&lt;100000,"$75k-$100k","$100k+")))))</x:f>
        <x:v>$100k+</x:v>
      </x:c>
      <x:c r="P4937" t="str">
        <x:f>IF(E4937="","Unknown",IF(E4937&lt;10,"&lt;10",IF(E4937&lt;20,"10-&lt;20",IF(E4937&lt;25,"20-&lt;25",IF(E4937&lt;35,"25-&lt;35","35+")))))</x:f>
        <x:v>35+</x:v>
      </x:c>
    </x:row>
    <x:row r="4938">
      <x:c r="A4938" t="str">
        <x:v>SYN0004937</x:v>
      </x:c>
      <x:c r="B4938" s="12" t="n">
        <x:v>41725</x:v>
      </x:c>
      <x:c r="C4938" s="18" t="n">
        <x:v>17376</x:v>
      </x:c>
      <x:c r="D4938" s="18" t="n">
        <x:v>38017</x:v>
      </x:c>
      <x:c r="E4938" s="18" t="n">
        <x:v>12.86</x:v>
      </x:c>
      <x:c r="F4938" s="18" t="n">
        <x:v>8.23</x:v>
      </x:c>
      <x:c r="G4938" t="n">
        <x:v>60</x:v>
      </x:c>
      <x:c r="H4938" t="str">
        <x:v>B</x:v>
      </x:c>
      <x:c r="I4938" t="str">
        <x:v>7-9 years</x:v>
      </x:c>
      <x:c r="J4938" t="str">
        <x:v>RENT</x:v>
      </x:c>
      <x:c r="K4938" t="str">
        <x:v>other</x:v>
      </x:c>
      <x:c r="L4938" t="n">
        <x:v>1</x:v>
      </x:c>
      <x:c r="M4938" t="n">
        <x:v>0</x:v>
      </x:c>
      <x:c r="N4938" t="str">
        <x:v>Fully Paid</x:v>
      </x:c>
      <x:c r="O4938" t="str">
        <x:f>IF(D4938="","Unknown",IF(D4938&lt;25000,"&lt;$25k",IF(D4938&lt;50000,"$25k-$50k",IF(D4938&lt;75000,"$50k-$75k",IF(D4938&lt;100000,"$75k-$100k","$100k+")))))</x:f>
        <x:v>$25k-$50k</x:v>
      </x:c>
      <x:c r="P4938" t="str">
        <x:f>IF(E4938="","Unknown",IF(E4938&lt;10,"&lt;10",IF(E4938&lt;20,"10-&lt;20",IF(E4938&lt;25,"20-&lt;25",IF(E4938&lt;35,"25-&lt;35","35+")))))</x:f>
        <x:v>10-&lt;20</x:v>
      </x:c>
    </x:row>
    <x:row r="4939">
      <x:c r="A4939" t="str">
        <x:v>SYN0004938</x:v>
      </x:c>
      <x:c r="B4939" s="12" t="n">
        <x:v>41605</x:v>
      </x:c>
      <x:c r="C4939" s="18" t="n">
        <x:v>11312</x:v>
      </x:c>
      <x:c r="D4939" s="18" t="n">
        <x:v>25305</x:v>
      </x:c>
      <x:c r="E4939" s="18" t="n">
        <x:v>43.23</x:v>
      </x:c>
      <x:c r="F4939" s="18" t="n">
        <x:v>29.26</x:v>
      </x:c>
      <x:c r="G4939" t="n">
        <x:v>36</x:v>
      </x:c>
      <x:c r="H4939" t="str">
        <x:v>G</x:v>
      </x:c>
      <x:c r="I4939" t="str">
        <x:v>10+ years</x:v>
      </x:c>
      <x:c r="J4939" t="str">
        <x:v>MORTGAGE</x:v>
      </x:c>
      <x:c r="K4939" t="str">
        <x:v>other</x:v>
      </x:c>
      <x:c r="L4939" t="n">
        <x:v>0</x:v>
      </x:c>
      <x:c r="M4939" t="n">
        <x:v>1</x:v>
      </x:c>
      <x:c r="N4939" t="str">
        <x:v>Charged Off</x:v>
      </x:c>
      <x:c r="O4939" t="str">
        <x:f>IF(D4939="","Unknown",IF(D4939&lt;25000,"&lt;$25k",IF(D4939&lt;50000,"$25k-$50k",IF(D4939&lt;75000,"$50k-$75k",IF(D4939&lt;100000,"$75k-$100k","$100k+")))))</x:f>
        <x:v>$25k-$50k</x:v>
      </x:c>
      <x:c r="P4939" t="str">
        <x:f>IF(E4939="","Unknown",IF(E4939&lt;10,"&lt;10",IF(E4939&lt;20,"10-&lt;20",IF(E4939&lt;25,"20-&lt;25",IF(E4939&lt;35,"25-&lt;35","35+")))))</x:f>
        <x:v>35+</x:v>
      </x:c>
    </x:row>
    <x:row r="4940">
      <x:c r="A4940" t="str">
        <x:v>SYN0004939</x:v>
      </x:c>
      <x:c r="B4940" s="12" t="n">
        <x:v>41305</x:v>
      </x:c>
      <x:c r="C4940" s="18" t="n">
        <x:v>33763</x:v>
      </x:c>
      <x:c r="D4940" s="18" t="n">
        <x:v>27237</x:v>
      </x:c>
      <x:c r="E4940" s="18" t="n">
        <x:v>17.6</x:v>
      </x:c>
      <x:c r="F4940" s="18" t="n">
        <x:v>16.66</x:v>
      </x:c>
      <x:c r="G4940" t="n">
        <x:v>36</x:v>
      </x:c>
      <x:c r="H4940" t="str">
        <x:v>E</x:v>
      </x:c>
      <x:c r="I4940" t="str">
        <x:v>1-3 years</x:v>
      </x:c>
      <x:c r="J4940" t="str">
        <x:v>RENT</x:v>
      </x:c>
      <x:c r="K4940" t="str">
        <x:v>credit_card</x:v>
      </x:c>
      <x:c r="L4940" t="n">
        <x:v>1</x:v>
      </x:c>
      <x:c r="M4940" t="n">
        <x:v>0</x:v>
      </x:c>
      <x:c r="N4940" t="str">
        <x:v>Fully Paid</x:v>
      </x:c>
      <x:c r="O4940" t="str">
        <x:f>IF(D4940="","Unknown",IF(D4940&lt;25000,"&lt;$25k",IF(D4940&lt;50000,"$25k-$50k",IF(D4940&lt;75000,"$50k-$75k",IF(D4940&lt;100000,"$75k-$100k","$100k+")))))</x:f>
        <x:v>$25k-$50k</x:v>
      </x:c>
      <x:c r="P4940" t="str">
        <x:f>IF(E4940="","Unknown",IF(E4940&lt;10,"&lt;10",IF(E4940&lt;20,"10-&lt;20",IF(E4940&lt;25,"20-&lt;25",IF(E4940&lt;35,"25-&lt;35","35+")))))</x:f>
        <x:v>10-&lt;20</x:v>
      </x:c>
    </x:row>
    <x:row r="4941">
      <x:c r="A4941" t="str">
        <x:v>SYN0004940</x:v>
      </x:c>
      <x:c r="B4941" s="12" t="n">
        <x:v>42715</x:v>
      </x:c>
      <x:c r="C4941" s="18" t="n">
        <x:v>13343</x:v>
      </x:c>
      <x:c r="D4941" s="18" t="n">
        <x:v>29319</x:v>
      </x:c>
      <x:c r="E4941" s="18" t="n">
        <x:v>26.31</x:v>
      </x:c>
      <x:c r="F4941" s="18" t="n">
        <x:v>29.07</x:v>
      </x:c>
      <x:c r="G4941" t="n">
        <x:v>36</x:v>
      </x:c>
      <x:c r="H4941" t="str">
        <x:v>G</x:v>
      </x:c>
      <x:c r="I4941" t="str">
        <x:v>10+ years</x:v>
      </x:c>
      <x:c r="J4941" t="str">
        <x:v>OWN</x:v>
      </x:c>
      <x:c r="K4941" t="str">
        <x:v>debt_consolidation</x:v>
      </x:c>
      <x:c r="L4941" t="n">
        <x:v>1</x:v>
      </x:c>
      <x:c r="M4941" t="n">
        <x:v>0</x:v>
      </x:c>
      <x:c r="N4941" t="str">
        <x:v>Fully Paid</x:v>
      </x:c>
      <x:c r="O4941" t="str">
        <x:f>IF(D4941="","Unknown",IF(D4941&lt;25000,"&lt;$25k",IF(D4941&lt;50000,"$25k-$50k",IF(D4941&lt;75000,"$50k-$75k",IF(D4941&lt;100000,"$75k-$100k","$100k+")))))</x:f>
        <x:v>$25k-$50k</x:v>
      </x:c>
      <x:c r="P4941" t="str">
        <x:f>IF(E4941="","Unknown",IF(E4941&lt;10,"&lt;10",IF(E4941&lt;20,"10-&lt;20",IF(E4941&lt;25,"20-&lt;25",IF(E4941&lt;35,"25-&lt;35","35+")))))</x:f>
        <x:v>25-&lt;35</x:v>
      </x:c>
    </x:row>
    <x:row r="4942">
      <x:c r="A4942" t="str">
        <x:v>SYN0004941</x:v>
      </x:c>
      <x:c r="B4942" s="12" t="n">
        <x:v>42265</x:v>
      </x:c>
      <x:c r="C4942" s="18" t="n">
        <x:v>14024</x:v>
      </x:c>
      <x:c r="D4942" s="18" t="n">
        <x:v>18391</x:v>
      </x:c>
      <x:c r="E4942" s="18" t="n">
        <x:v>5.41</x:v>
      </x:c>
      <x:c r="F4942" s="18" t="n">
        <x:v>16.68</x:v>
      </x:c>
      <x:c r="G4942" t="n">
        <x:v>36</x:v>
      </x:c>
      <x:c r="H4942" t="str">
        <x:v>D</x:v>
      </x:c>
      <x:c r="I4942" t="str">
        <x:v>&lt;1 year</x:v>
      </x:c>
      <x:c r="J4942" t="str">
        <x:v>MORTGAGE</x:v>
      </x:c>
      <x:c r="K4942" t="str">
        <x:v>credit_card</x:v>
      </x:c>
      <x:c r="L4942" t="n">
        <x:v>1</x:v>
      </x:c>
      <x:c r="M4942" t="n">
        <x:v>0</x:v>
      </x:c>
      <x:c r="N4942" t="str">
        <x:v>Fully Paid</x:v>
      </x:c>
      <x:c r="O4942" t="str">
        <x:f>IF(D4942="","Unknown",IF(D4942&lt;25000,"&lt;$25k",IF(D4942&lt;50000,"$25k-$50k",IF(D4942&lt;75000,"$50k-$75k",IF(D4942&lt;100000,"$75k-$100k","$100k+")))))</x:f>
        <x:v>&lt;$25k</x:v>
      </x:c>
      <x:c r="P4942" t="str">
        <x:f>IF(E4942="","Unknown",IF(E4942&lt;10,"&lt;10",IF(E4942&lt;20,"10-&lt;20",IF(E4942&lt;25,"20-&lt;25",IF(E4942&lt;35,"25-&lt;35","35+")))))</x:f>
        <x:v>&lt;10</x:v>
      </x:c>
    </x:row>
    <x:row r="4943">
      <x:c r="A4943" t="str">
        <x:v>SYN0004942</x:v>
      </x:c>
      <x:c r="B4943" s="12" t="n">
        <x:v>42745</x:v>
      </x:c>
      <x:c r="C4943" s="18" t="n">
        <x:v>8544</x:v>
      </x:c>
      <x:c r="D4943" s="18" t="n">
        <x:v>87173</x:v>
      </x:c>
      <x:c r="E4943" s="18" t="n">
        <x:v>23.02</x:v>
      </x:c>
      <x:c r="F4943" s="18" t="n">
        <x:v>20.64</x:v>
      </x:c>
      <x:c r="G4943" t="n">
        <x:v>36</x:v>
      </x:c>
      <x:c r="H4943" t="str">
        <x:v>E</x:v>
      </x:c>
      <x:c r="I4943" t="str">
        <x:v>4-6 years</x:v>
      </x:c>
      <x:c r="J4943" t="str">
        <x:v>MORTGAGE</x:v>
      </x:c>
      <x:c r="K4943" t="str">
        <x:v>debt_consolidation</x:v>
      </x:c>
      <x:c r="L4943" t="n">
        <x:v>2</x:v>
      </x:c>
      <x:c r="M4943" t="n">
        <x:v>0</x:v>
      </x:c>
      <x:c r="N4943" t="str">
        <x:v>Fully Paid</x:v>
      </x:c>
      <x:c r="O4943" t="str">
        <x:f>IF(D4943="","Unknown",IF(D4943&lt;25000,"&lt;$25k",IF(D4943&lt;50000,"$25k-$50k",IF(D4943&lt;75000,"$50k-$75k",IF(D4943&lt;100000,"$75k-$100k","$100k+")))))</x:f>
        <x:v>$75k-$100k</x:v>
      </x:c>
      <x:c r="P4943" t="str">
        <x:f>IF(E4943="","Unknown",IF(E4943&lt;10,"&lt;10",IF(E4943&lt;20,"10-&lt;20",IF(E4943&lt;25,"20-&lt;25",IF(E4943&lt;35,"25-&lt;35","35+")))))</x:f>
        <x:v>20-&lt;25</x:v>
      </x:c>
    </x:row>
    <x:row r="4944">
      <x:c r="A4944" t="str">
        <x:v>SYN0004943</x:v>
      </x:c>
      <x:c r="B4944" s="12" t="n">
        <x:v>42655</x:v>
      </x:c>
      <x:c r="C4944" s="18" t="n">
        <x:v>9185</x:v>
      </x:c>
      <x:c r="D4944" s="18" t="n">
        <x:v>171829</x:v>
      </x:c>
      <x:c r="E4944" s="18" t="n">
        <x:v>41.07</x:v>
      </x:c>
      <x:c r="F4944" s="18" t="n">
        <x:v>7.83</x:v>
      </x:c>
      <x:c r="G4944" t="n">
        <x:v>36</x:v>
      </x:c>
      <x:c r="H4944" t="str">
        <x:v>B</x:v>
      </x:c>
      <x:c r="I4944" t="str">
        <x:v>10+ years</x:v>
      </x:c>
      <x:c r="J4944" t="str">
        <x:v>OWN</x:v>
      </x:c>
      <x:c r="K4944" t="str">
        <x:v>credit_card</x:v>
      </x:c>
      <x:c r="L4944" t="n">
        <x:v>0</x:v>
      </x:c>
      <x:c r="M4944" t="n">
        <x:v>0</x:v>
      </x:c>
      <x:c r="N4944" t="str">
        <x:v>Fully Paid</x:v>
      </x:c>
      <x:c r="O4944" t="str">
        <x:f>IF(D4944="","Unknown",IF(D4944&lt;25000,"&lt;$25k",IF(D4944&lt;50000,"$25k-$50k",IF(D4944&lt;75000,"$50k-$75k",IF(D4944&lt;100000,"$75k-$100k","$100k+")))))</x:f>
        <x:v>$100k+</x:v>
      </x:c>
      <x:c r="P4944" t="str">
        <x:f>IF(E4944="","Unknown",IF(E4944&lt;10,"&lt;10",IF(E4944&lt;20,"10-&lt;20",IF(E4944&lt;25,"20-&lt;25",IF(E4944&lt;35,"25-&lt;35","35+")))))</x:f>
        <x:v>35+</x:v>
      </x:c>
    </x:row>
    <x:row r="4945">
      <x:c r="A4945" t="str">
        <x:v>SYN0004944</x:v>
      </x:c>
      <x:c r="B4945" s="12" t="n">
        <x:v>43405</x:v>
      </x:c>
      <x:c r="C4945" s="18" t="n">
        <x:v>7930</x:v>
      </x:c>
      <x:c r="D4945" s="18" t="n">
        <x:v>73170</x:v>
      </x:c>
      <x:c r="E4945" s="18" t="n">
        <x:v>20.31</x:v>
      </x:c>
      <x:c r="F4945" s="18" t="n">
        <x:v>13.64</x:v>
      </x:c>
      <x:c r="G4945" t="n">
        <x:v>36</x:v>
      </x:c>
      <x:c r="H4945" t="str">
        <x:v>D</x:v>
      </x:c>
      <x:c r="I4945" t="str">
        <x:v>10+ years</x:v>
      </x:c>
      <x:c r="J4945" t="str">
        <x:v>RENT</x:v>
      </x:c>
      <x:c r="K4945" t="str">
        <x:v>debt_consolidation</x:v>
      </x:c>
      <x:c r="L4945" t="n">
        <x:v>0</x:v>
      </x:c>
      <x:c r="M4945" t="n">
        <x:v>0</x:v>
      </x:c>
      <x:c r="N4945" t="str">
        <x:v>Fully Paid</x:v>
      </x:c>
      <x:c r="O4945" t="str">
        <x:f>IF(D4945="","Unknown",IF(D4945&lt;25000,"&lt;$25k",IF(D4945&lt;50000,"$25k-$50k",IF(D4945&lt;75000,"$50k-$75k",IF(D4945&lt;100000,"$75k-$100k","$100k+")))))</x:f>
        <x:v>$50k-$75k</x:v>
      </x:c>
      <x:c r="P4945" t="str">
        <x:f>IF(E4945="","Unknown",IF(E4945&lt;10,"&lt;10",IF(E4945&lt;20,"10-&lt;20",IF(E4945&lt;25,"20-&lt;25",IF(E4945&lt;35,"25-&lt;35","35+")))))</x:f>
        <x:v>20-&lt;25</x:v>
      </x:c>
    </x:row>
    <x:row r="4946">
      <x:c r="A4946" t="str">
        <x:v>SYN0004945</x:v>
      </x:c>
      <x:c r="B4946" s="12" t="n">
        <x:v>43345</x:v>
      </x:c>
      <x:c r="C4946" s="18" t="n">
        <x:v>16138</x:v>
      </x:c>
      <x:c r="D4946" s="18" t="n">
        <x:v>12000</x:v>
      </x:c>
      <x:c r="E4946" s="18" t="n">
        <x:v>19.42</x:v>
      </x:c>
      <x:c r="F4946" s="18" t="n">
        <x:v>16.68</x:v>
      </x:c>
      <x:c r="G4946" t="n">
        <x:v>36</x:v>
      </x:c>
      <x:c r="H4946" t="str">
        <x:v>D</x:v>
      </x:c>
      <x:c r="I4946" t="str">
        <x:v>1-3 years</x:v>
      </x:c>
      <x:c r="J4946" t="str">
        <x:v>OWN</x:v>
      </x:c>
      <x:c r="K4946" t="str">
        <x:v>debt_consolidation</x:v>
      </x:c>
      <x:c r="L4946" t="n">
        <x:v>1</x:v>
      </x:c>
      <x:c r="M4946" t="n">
        <x:v>0</x:v>
      </x:c>
      <x:c r="N4946" t="str">
        <x:v>Fully Paid</x:v>
      </x:c>
      <x:c r="O4946" t="str">
        <x:f>IF(D4946="","Unknown",IF(D4946&lt;25000,"&lt;$25k",IF(D4946&lt;50000,"$25k-$50k",IF(D4946&lt;75000,"$50k-$75k",IF(D4946&lt;100000,"$75k-$100k","$100k+")))))</x:f>
        <x:v>&lt;$25k</x:v>
      </x:c>
      <x:c r="P4946" t="str">
        <x:f>IF(E4946="","Unknown",IF(E4946&lt;10,"&lt;10",IF(E4946&lt;20,"10-&lt;20",IF(E4946&lt;25,"20-&lt;25",IF(E4946&lt;35,"25-&lt;35","35+")))))</x:f>
        <x:v>10-&lt;20</x:v>
      </x:c>
    </x:row>
    <x:row r="4947">
      <x:c r="A4947" t="str">
        <x:v>SYN0004946</x:v>
      </x:c>
      <x:c r="B4947" s="12" t="n">
        <x:v>41935</x:v>
      </x:c>
      <x:c r="C4947" s="18" t="n">
        <x:v>21630</x:v>
      </x:c>
      <x:c r="D4947" s="18" t="n">
        <x:v>65701</x:v>
      </x:c>
      <x:c r="E4947" s="18" t="n">
        <x:v>31.95</x:v>
      </x:c>
      <x:c r="F4947" s="18" t="n">
        <x:v>10.62</x:v>
      </x:c>
      <x:c r="G4947" t="n">
        <x:v>36</x:v>
      </x:c>
      <x:c r="H4947" t="str">
        <x:v>C</x:v>
      </x:c>
      <x:c r="I4947" t="str">
        <x:v>7-9 years</x:v>
      </x:c>
      <x:c r="J4947" t="str">
        <x:v>RENT</x:v>
      </x:c>
      <x:c r="K4947" t="str">
        <x:v>debt_consolidation</x:v>
      </x:c>
      <x:c r="L4947" t="n">
        <x:v>0</x:v>
      </x:c>
      <x:c r="M4947" t="n">
        <x:v>0</x:v>
      </x:c>
      <x:c r="N4947" t="str">
        <x:v>Fully Paid</x:v>
      </x:c>
      <x:c r="O4947" t="str">
        <x:f>IF(D4947="","Unknown",IF(D4947&lt;25000,"&lt;$25k",IF(D4947&lt;50000,"$25k-$50k",IF(D4947&lt;75000,"$50k-$75k",IF(D4947&lt;100000,"$75k-$100k","$100k+")))))</x:f>
        <x:v>$50k-$75k</x:v>
      </x:c>
      <x:c r="P4947" t="str">
        <x:f>IF(E4947="","Unknown",IF(E4947&lt;10,"&lt;10",IF(E4947&lt;20,"10-&lt;20",IF(E4947&lt;25,"20-&lt;25",IF(E4947&lt;35,"25-&lt;35","35+")))))</x:f>
        <x:v>25-&lt;35</x:v>
      </x:c>
    </x:row>
    <x:row r="4948">
      <x:c r="A4948" t="str">
        <x:v>SYN0004947</x:v>
      </x:c>
      <x:c r="B4948" s="12" t="n">
        <x:v>41425</x:v>
      </x:c>
      <x:c r="C4948" s="18" t="n">
        <x:v>8693</x:v>
      </x:c>
      <x:c r="D4948" s="18" t="n">
        <x:v>103695</x:v>
      </x:c>
      <x:c r="E4948" s="18" t="n">
        <x:v>20.81</x:v>
      </x:c>
      <x:c r="F4948" s="18" t="n">
        <x:v>6.26</x:v>
      </x:c>
      <x:c r="G4948" t="n">
        <x:v>36</x:v>
      </x:c>
      <x:c r="H4948" t="str">
        <x:v>A</x:v>
      </x:c>
      <x:c r="I4948" t="str">
        <x:v>4-6 years</x:v>
      </x:c>
      <x:c r="J4948" t="str">
        <x:v>RENT</x:v>
      </x:c>
      <x:c r="K4948" t="str">
        <x:v>debt_consolidation</x:v>
      </x:c>
      <x:c r="L4948" t="n">
        <x:v>0</x:v>
      </x:c>
      <x:c r="M4948" t="n">
        <x:v>0</x:v>
      </x:c>
      <x:c r="N4948" t="str">
        <x:v>Fully Paid</x:v>
      </x:c>
      <x:c r="O4948" t="str">
        <x:f>IF(D4948="","Unknown",IF(D4948&lt;25000,"&lt;$25k",IF(D4948&lt;50000,"$25k-$50k",IF(D4948&lt;75000,"$50k-$75k",IF(D4948&lt;100000,"$75k-$100k","$100k+")))))</x:f>
        <x:v>$100k+</x:v>
      </x:c>
      <x:c r="P4948" t="str">
        <x:f>IF(E4948="","Unknown",IF(E4948&lt;10,"&lt;10",IF(E4948&lt;20,"10-&lt;20",IF(E4948&lt;25,"20-&lt;25",IF(E4948&lt;35,"25-&lt;35","35+")))))</x:f>
        <x:v>20-&lt;25</x:v>
      </x:c>
    </x:row>
    <x:row r="4949">
      <x:c r="A4949" t="str">
        <x:v>SYN0004948</x:v>
      </x:c>
      <x:c r="B4949" s="12" t="n">
        <x:v>42505</x:v>
      </x:c>
      <x:c r="C4949" s="18" t="n">
        <x:v>11053</x:v>
      </x:c>
      <x:c r="D4949" s="18" t="n">
        <x:v>56463</x:v>
      </x:c>
      <x:c r="E4949" s="18" t="n">
        <x:v>31.4</x:v>
      </x:c>
      <x:c r="F4949" s="18" t="n">
        <x:v>24.98</x:v>
      </x:c>
      <x:c r="G4949" t="n">
        <x:v>60</x:v>
      </x:c>
      <x:c r="H4949" t="str">
        <x:v>G</x:v>
      </x:c>
      <x:c r="I4949" t="str">
        <x:v>4-6 years</x:v>
      </x:c>
      <x:c r="J4949" t="str">
        <x:v>MORTGAGE</x:v>
      </x:c>
      <x:c r="K4949" t="str">
        <x:v>debt_consolidation</x:v>
      </x:c>
      <x:c r="L4949" t="n">
        <x:v>0</x:v>
      </x:c>
      <x:c r="M4949" t="n">
        <x:v>1</x:v>
      </x:c>
      <x:c r="N4949" t="str">
        <x:v>Charged Off</x:v>
      </x:c>
      <x:c r="O4949" t="str">
        <x:f>IF(D4949="","Unknown",IF(D4949&lt;25000,"&lt;$25k",IF(D4949&lt;50000,"$25k-$50k",IF(D4949&lt;75000,"$50k-$75k",IF(D4949&lt;100000,"$75k-$100k","$100k+")))))</x:f>
        <x:v>$50k-$75k</x:v>
      </x:c>
      <x:c r="P4949" t="str">
        <x:f>IF(E4949="","Unknown",IF(E4949&lt;10,"&lt;10",IF(E4949&lt;20,"10-&lt;20",IF(E4949&lt;25,"20-&lt;25",IF(E4949&lt;35,"25-&lt;35","35+")))))</x:f>
        <x:v>25-&lt;35</x:v>
      </x:c>
    </x:row>
    <x:row r="4950">
      <x:c r="A4950" t="str">
        <x:v>SYN0004949</x:v>
      </x:c>
      <x:c r="B4950" s="12" t="n">
        <x:v>42055</x:v>
      </x:c>
      <x:c r="C4950" s="18" t="n">
        <x:v>10182</x:v>
      </x:c>
      <x:c r="D4950" s="18" t="n">
        <x:v>42810</x:v>
      </x:c>
      <x:c r="E4950" s="18" t="n">
        <x:v>23.61</x:v>
      </x:c>
      <x:c r="F4950" s="18" t="n">
        <x:v>21.74</x:v>
      </x:c>
      <x:c r="G4950" t="n">
        <x:v>36</x:v>
      </x:c>
      <x:c r="H4950" t="str">
        <x:v>F</x:v>
      </x:c>
      <x:c r="I4950" t="str">
        <x:v>4-6 years</x:v>
      </x:c>
      <x:c r="J4950" t="str">
        <x:v>MORTGAGE</x:v>
      </x:c>
      <x:c r="K4950" t="str">
        <x:v>credit_card</x:v>
      </x:c>
      <x:c r="L4950" t="n">
        <x:v>1</x:v>
      </x:c>
      <x:c r="M4950" t="n">
        <x:v>0</x:v>
      </x:c>
      <x:c r="N4950" t="str">
        <x:v>Fully Paid</x:v>
      </x:c>
      <x:c r="O4950" t="str">
        <x:f>IF(D4950="","Unknown",IF(D4950&lt;25000,"&lt;$25k",IF(D4950&lt;50000,"$25k-$50k",IF(D4950&lt;75000,"$50k-$75k",IF(D4950&lt;100000,"$75k-$100k","$100k+")))))</x:f>
        <x:v>$25k-$50k</x:v>
      </x:c>
      <x:c r="P4950" t="str">
        <x:f>IF(E4950="","Unknown",IF(E4950&lt;10,"&lt;10",IF(E4950&lt;20,"10-&lt;20",IF(E4950&lt;25,"20-&lt;25",IF(E4950&lt;35,"25-&lt;35","35+")))))</x:f>
        <x:v>20-&lt;25</x:v>
      </x:c>
    </x:row>
    <x:row r="4951">
      <x:c r="A4951" t="str">
        <x:v>SYN0004950</x:v>
      </x:c>
      <x:c r="B4951" s="12" t="n">
        <x:v>41755</x:v>
      </x:c>
      <x:c r="C4951" s="18" t="n">
        <x:v>4193</x:v>
      </x:c>
      <x:c r="D4951" s="18" t="n">
        <x:v>25949</x:v>
      </x:c>
      <x:c r="E4951" s="18" t="n">
        <x:v>15.72</x:v>
      </x:c>
      <x:c r="F4951" s="18" t="n">
        <x:v>18.44</x:v>
      </x:c>
      <x:c r="G4951" t="n">
        <x:v>36</x:v>
      </x:c>
      <x:c r="H4951" t="str">
        <x:v>E</x:v>
      </x:c>
      <x:c r="I4951" t="str">
        <x:v>7-9 years</x:v>
      </x:c>
      <x:c r="J4951" t="str">
        <x:v>MORTGAGE</x:v>
      </x:c>
      <x:c r="K4951" t="str">
        <x:v>home_improvement</x:v>
      </x:c>
      <x:c r="L4951" t="n">
        <x:v>1</x:v>
      </x:c>
      <x:c r="M4951" t="n">
        <x:v>1</x:v>
      </x:c>
      <x:c r="N4951" t="str">
        <x:v>Charged Off</x:v>
      </x:c>
      <x:c r="O4951" t="str">
        <x:f>IF(D4951="","Unknown",IF(D4951&lt;25000,"&lt;$25k",IF(D4951&lt;50000,"$25k-$50k",IF(D4951&lt;75000,"$50k-$75k",IF(D4951&lt;100000,"$75k-$100k","$100k+")))))</x:f>
        <x:v>$25k-$50k</x:v>
      </x:c>
      <x:c r="P4951" t="str">
        <x:f>IF(E4951="","Unknown",IF(E4951&lt;10,"&lt;10",IF(E4951&lt;20,"10-&lt;20",IF(E4951&lt;25,"20-&lt;25",IF(E4951&lt;35,"25-&lt;35","35+")))))</x:f>
        <x:v>10-&lt;20</x:v>
      </x:c>
    </x:row>
    <x:row r="4952">
      <x:c r="A4952" t="str">
        <x:v>SYN0004951</x:v>
      </x:c>
      <x:c r="B4952" s="12" t="n">
        <x:v>41395</x:v>
      </x:c>
      <x:c r="C4952" s="18" t="n">
        <x:v>16091</x:v>
      </x:c>
      <x:c r="D4952" s="18" t="n">
        <x:v>106606</x:v>
      </x:c>
      <x:c r="E4952" s="18" t="n">
        <x:v>4.49</x:v>
      </x:c>
      <x:c r="F4952" s="18" t="n">
        <x:v>8.1</x:v>
      </x:c>
      <x:c r="G4952" t="n">
        <x:v>36</x:v>
      </x:c>
      <x:c r="H4952" t="str">
        <x:v>B</x:v>
      </x:c>
      <x:c r="I4952" t="str">
        <x:v>7-9 years</x:v>
      </x:c>
      <x:c r="J4952" t="str">
        <x:v>MORTGAGE</x:v>
      </x:c>
      <x:c r="K4952" t="str">
        <x:v>debt_consolidation</x:v>
      </x:c>
      <x:c r="L4952" t="n">
        <x:v>1</x:v>
      </x:c>
      <x:c r="M4952" t="n">
        <x:v>0</x:v>
      </x:c>
      <x:c r="N4952" t="str">
        <x:v>Fully Paid</x:v>
      </x:c>
      <x:c r="O4952" t="str">
        <x:f>IF(D4952="","Unknown",IF(D4952&lt;25000,"&lt;$25k",IF(D4952&lt;50000,"$25k-$50k",IF(D4952&lt;75000,"$50k-$75k",IF(D4952&lt;100000,"$75k-$100k","$100k+")))))</x:f>
        <x:v>$100k+</x:v>
      </x:c>
      <x:c r="P4952" t="str">
        <x:f>IF(E4952="","Unknown",IF(E4952&lt;10,"&lt;10",IF(E4952&lt;20,"10-&lt;20",IF(E4952&lt;25,"20-&lt;25",IF(E4952&lt;35,"25-&lt;35","35+")))))</x:f>
        <x:v>&lt;10</x:v>
      </x:c>
    </x:row>
    <x:row r="4953">
      <x:c r="A4953" t="str">
        <x:v>SYN0004952</x:v>
      </x:c>
      <x:c r="B4953" s="12" t="n">
        <x:v>43105</x:v>
      </x:c>
      <x:c r="C4953" s="18" t="n">
        <x:v>9715</x:v>
      </x:c>
      <x:c r="D4953" s="18" t="n">
        <x:v>113054</x:v>
      </x:c>
      <x:c r="E4953" s="18" t="n">
        <x:v>23.35</x:v>
      </x:c>
      <x:c r="F4953" s="18" t="n">
        <x:v>11.78</x:v>
      </x:c>
      <x:c r="G4953" t="n">
        <x:v>60</x:v>
      </x:c>
      <x:c r="H4953" t="str">
        <x:v>C</x:v>
      </x:c>
      <x:c r="I4953" t="str">
        <x:v>7-9 years</x:v>
      </x:c>
      <x:c r="J4953" t="str">
        <x:v>OWN</x:v>
      </x:c>
      <x:c r="K4953" t="str">
        <x:v>debt_consolidation</x:v>
      </x:c>
      <x:c r="L4953" t="n">
        <x:v>0</x:v>
      </x:c>
      <x:c r="M4953" t="n">
        <x:v>0</x:v>
      </x:c>
      <x:c r="N4953" t="str">
        <x:v>Fully Paid</x:v>
      </x:c>
      <x:c r="O4953" t="str">
        <x:f>IF(D4953="","Unknown",IF(D4953&lt;25000,"&lt;$25k",IF(D4953&lt;50000,"$25k-$50k",IF(D4953&lt;75000,"$50k-$75k",IF(D4953&lt;100000,"$75k-$100k","$100k+")))))</x:f>
        <x:v>$100k+</x:v>
      </x:c>
      <x:c r="P4953" t="str">
        <x:f>IF(E4953="","Unknown",IF(E4953&lt;10,"&lt;10",IF(E4953&lt;20,"10-&lt;20",IF(E4953&lt;25,"20-&lt;25",IF(E4953&lt;35,"25-&lt;35","35+")))))</x:f>
        <x:v>20-&lt;25</x:v>
      </x:c>
    </x:row>
    <x:row r="4954">
      <x:c r="A4954" t="str">
        <x:v>SYN0004953</x:v>
      </x:c>
      <x:c r="B4954" s="12" t="n">
        <x:v>41815</x:v>
      </x:c>
      <x:c r="C4954" s="18" t="n">
        <x:v>9108</x:v>
      </x:c>
      <x:c r="D4954" s="18" t="n">
        <x:v>22786</x:v>
      </x:c>
      <x:c r="E4954" s="18" t="n">
        <x:v>29.08</x:v>
      </x:c>
      <x:c r="F4954" s="18" t="n">
        <x:v>21.11</x:v>
      </x:c>
      <x:c r="G4954" t="n">
        <x:v>36</x:v>
      </x:c>
      <x:c r="H4954" t="str">
        <x:v>F</x:v>
      </x:c>
      <x:c r="I4954" t="str">
        <x:v>1-3 years</x:v>
      </x:c>
      <x:c r="J4954" t="str">
        <x:v>RENT</x:v>
      </x:c>
      <x:c r="K4954" t="str">
        <x:v>debt_consolidation</x:v>
      </x:c>
      <x:c r="L4954" t="n">
        <x:v>0</x:v>
      </x:c>
      <x:c r="M4954" t="n">
        <x:v>1</x:v>
      </x:c>
      <x:c r="N4954" t="str">
        <x:v>Charged Off</x:v>
      </x:c>
      <x:c r="O4954" t="str">
        <x:f>IF(D4954="","Unknown",IF(D4954&lt;25000,"&lt;$25k",IF(D4954&lt;50000,"$25k-$50k",IF(D4954&lt;75000,"$50k-$75k",IF(D4954&lt;100000,"$75k-$100k","$100k+")))))</x:f>
        <x:v>&lt;$25k</x:v>
      </x:c>
      <x:c r="P4954" t="str">
        <x:f>IF(E4954="","Unknown",IF(E4954&lt;10,"&lt;10",IF(E4954&lt;20,"10-&lt;20",IF(E4954&lt;25,"20-&lt;25",IF(E4954&lt;35,"25-&lt;35","35+")))))</x:f>
        <x:v>25-&lt;35</x:v>
      </x:c>
    </x:row>
    <x:row r="4955">
      <x:c r="A4955" t="str">
        <x:v>SYN0004954</x:v>
      </x:c>
      <x:c r="B4955" s="12" t="n">
        <x:v>41965</x:v>
      </x:c>
      <x:c r="C4955" s="18" t="n">
        <x:v>11361</x:v>
      </x:c>
      <x:c r="D4955" s="18" t="n">
        <x:v>81672</x:v>
      </x:c>
      <x:c r="E4955" s="18" t="n">
        <x:v>5.03</x:v>
      </x:c>
      <x:c r="F4955" s="18" t="n">
        <x:v>12.35</x:v>
      </x:c>
      <x:c r="G4955" t="n">
        <x:v>36</x:v>
      </x:c>
      <x:c r="H4955" t="str">
        <x:v>D</x:v>
      </x:c>
      <x:c r="I4955" t="str">
        <x:v>4-6 years</x:v>
      </x:c>
      <x:c r="J4955" t="str">
        <x:v>RENT</x:v>
      </x:c>
      <x:c r="K4955" t="str">
        <x:v>debt_consolidation</x:v>
      </x:c>
      <x:c r="L4955" t="n">
        <x:v>0</x:v>
      </x:c>
      <x:c r="M4955" t="n">
        <x:v>0</x:v>
      </x:c>
      <x:c r="N4955" t="str">
        <x:v>Fully Paid</x:v>
      </x:c>
      <x:c r="O4955" t="str">
        <x:f>IF(D4955="","Unknown",IF(D4955&lt;25000,"&lt;$25k",IF(D4955&lt;50000,"$25k-$50k",IF(D4955&lt;75000,"$50k-$75k",IF(D4955&lt;100000,"$75k-$100k","$100k+")))))</x:f>
        <x:v>$75k-$100k</x:v>
      </x:c>
      <x:c r="P4955" t="str">
        <x:f>IF(E4955="","Unknown",IF(E4955&lt;10,"&lt;10",IF(E4955&lt;20,"10-&lt;20",IF(E4955&lt;25,"20-&lt;25",IF(E4955&lt;35,"25-&lt;35","35+")))))</x:f>
        <x:v>&lt;10</x:v>
      </x:c>
    </x:row>
    <x:row r="4956">
      <x:c r="A4956" t="str">
        <x:v>SYN0004955</x:v>
      </x:c>
      <x:c r="B4956" s="12" t="n">
        <x:v>42775</x:v>
      </x:c>
      <x:c r="C4956" s="18" t="n">
        <x:v>15897</x:v>
      </x:c>
      <x:c r="D4956" s="18" t="n">
        <x:v>31571</x:v>
      </x:c>
      <x:c r="E4956" s="18" t="n">
        <x:v>33.62</x:v>
      </x:c>
      <x:c r="F4956" s="18" t="n">
        <x:v>8.62</x:v>
      </x:c>
      <x:c r="G4956" t="n">
        <x:v>36</x:v>
      </x:c>
      <x:c r="H4956" t="str">
        <x:v>B</x:v>
      </x:c>
      <x:c r="I4956" t="str">
        <x:v>1-3 years</x:v>
      </x:c>
      <x:c r="J4956" t="str">
        <x:v>MORTGAGE</x:v>
      </x:c>
      <x:c r="K4956" t="str">
        <x:v>home_improvement</x:v>
      </x:c>
      <x:c r="L4956" t="n">
        <x:v>0</x:v>
      </x:c>
      <x:c r="M4956" t="n">
        <x:v>0</x:v>
      </x:c>
      <x:c r="N4956" t="str">
        <x:v>Fully Paid</x:v>
      </x:c>
      <x:c r="O4956" t="str">
        <x:f>IF(D4956="","Unknown",IF(D4956&lt;25000,"&lt;$25k",IF(D4956&lt;50000,"$25k-$50k",IF(D4956&lt;75000,"$50k-$75k",IF(D4956&lt;100000,"$75k-$100k","$100k+")))))</x:f>
        <x:v>$25k-$50k</x:v>
      </x:c>
      <x:c r="P4956" t="str">
        <x:f>IF(E4956="","Unknown",IF(E4956&lt;10,"&lt;10",IF(E4956&lt;20,"10-&lt;20",IF(E4956&lt;25,"20-&lt;25",IF(E4956&lt;35,"25-&lt;35","35+")))))</x:f>
        <x:v>25-&lt;35</x:v>
      </x:c>
    </x:row>
    <x:row r="4957">
      <x:c r="A4957" t="str">
        <x:v>SYN0004956</x:v>
      </x:c>
      <x:c r="B4957" s="12" t="n">
        <x:v>43285</x:v>
      </x:c>
      <x:c r="C4957" s="18" t="n">
        <x:v>7801</x:v>
      </x:c>
      <x:c r="D4957" s="18" t="n">
        <x:v>66734</x:v>
      </x:c>
      <x:c r="E4957" s="18" t="n">
        <x:v>10.84</x:v>
      </x:c>
      <x:c r="F4957" s="18" t="n">
        <x:v>7.92</x:v>
      </x:c>
      <x:c r="G4957" t="n">
        <x:v>36</x:v>
      </x:c>
      <x:c r="H4957" t="str">
        <x:v>B</x:v>
      </x:c>
      <x:c r="I4957" t="str">
        <x:v>1-3 years</x:v>
      </x:c>
      <x:c r="J4957" t="str">
        <x:v>RENT</x:v>
      </x:c>
      <x:c r="K4957" t="str">
        <x:v>credit_card</x:v>
      </x:c>
      <x:c r="L4957" t="n">
        <x:v>1</x:v>
      </x:c>
      <x:c r="M4957" t="n">
        <x:v>1</x:v>
      </x:c>
      <x:c r="N4957" t="str">
        <x:v>Charged Off</x:v>
      </x:c>
      <x:c r="O4957" t="str">
        <x:f>IF(D4957="","Unknown",IF(D4957&lt;25000,"&lt;$25k",IF(D4957&lt;50000,"$25k-$50k",IF(D4957&lt;75000,"$50k-$75k",IF(D4957&lt;100000,"$75k-$100k","$100k+")))))</x:f>
        <x:v>$50k-$75k</x:v>
      </x:c>
      <x:c r="P4957" t="str">
        <x:f>IF(E4957="","Unknown",IF(E4957&lt;10,"&lt;10",IF(E4957&lt;20,"10-&lt;20",IF(E4957&lt;25,"20-&lt;25",IF(E4957&lt;35,"25-&lt;35","35+")))))</x:f>
        <x:v>10-&lt;20</x:v>
      </x:c>
    </x:row>
    <x:row r="4958">
      <x:c r="A4958" t="str">
        <x:v>SYN0004957</x:v>
      </x:c>
      <x:c r="B4958" s="12" t="n">
        <x:v>43045</x:v>
      </x:c>
      <x:c r="C4958" s="18" t="n">
        <x:v>15695</x:v>
      </x:c>
      <x:c r="D4958" s="18" t="n">
        <x:v>15444</x:v>
      </x:c>
      <x:c r="E4958" s="18" t="n">
        <x:v>28.19</x:v>
      </x:c>
      <x:c r="F4958" s="18" t="n">
        <x:v>7.77</x:v>
      </x:c>
      <x:c r="G4958" t="n">
        <x:v>60</x:v>
      </x:c>
      <x:c r="H4958" t="str">
        <x:v>B</x:v>
      </x:c>
      <x:c r="I4958" t="str">
        <x:v>10+ years</x:v>
      </x:c>
      <x:c r="J4958" t="str">
        <x:v>OWN</x:v>
      </x:c>
      <x:c r="K4958" t="str">
        <x:v>home_improvement</x:v>
      </x:c>
      <x:c r="L4958" t="n">
        <x:v>0</x:v>
      </x:c>
      <x:c r="M4958" t="n">
        <x:v>0</x:v>
      </x:c>
      <x:c r="N4958" t="str">
        <x:v>Fully Paid</x:v>
      </x:c>
      <x:c r="O4958" t="str">
        <x:f>IF(D4958="","Unknown",IF(D4958&lt;25000,"&lt;$25k",IF(D4958&lt;50000,"$25k-$50k",IF(D4958&lt;75000,"$50k-$75k",IF(D4958&lt;100000,"$75k-$100k","$100k+")))))</x:f>
        <x:v>&lt;$25k</x:v>
      </x:c>
      <x:c r="P4958" t="str">
        <x:f>IF(E4958="","Unknown",IF(E4958&lt;10,"&lt;10",IF(E4958&lt;20,"10-&lt;20",IF(E4958&lt;25,"20-&lt;25",IF(E4958&lt;35,"25-&lt;35","35+")))))</x:f>
        <x:v>25-&lt;35</x:v>
      </x:c>
    </x:row>
    <x:row r="4959">
      <x:c r="A4959" t="str">
        <x:v>SYN0004958</x:v>
      </x:c>
      <x:c r="B4959" s="12" t="n">
        <x:v>42115</x:v>
      </x:c>
      <x:c r="C4959" s="18" t="n">
        <x:v>10007</x:v>
      </x:c>
      <x:c r="D4959" s="18" t="n">
        <x:v>63534</x:v>
      </x:c>
      <x:c r="E4959" s="18" t="n">
        <x:v>11.28</x:v>
      </x:c>
      <x:c r="F4959" s="18" t="n">
        <x:v>10.44</x:v>
      </x:c>
      <x:c r="G4959" t="n">
        <x:v>36</x:v>
      </x:c>
      <x:c r="H4959" t="str">
        <x:v>B</x:v>
      </x:c>
      <x:c r="I4959" t="str">
        <x:v>10+ years</x:v>
      </x:c>
      <x:c r="J4959" t="str">
        <x:v>MORTGAGE</x:v>
      </x:c>
      <x:c r="K4959" t="str">
        <x:v>major_purchase</x:v>
      </x:c>
      <x:c r="L4959" t="n">
        <x:v>1</x:v>
      </x:c>
      <x:c r="M4959" t="n">
        <x:v>0</x:v>
      </x:c>
      <x:c r="N4959" t="str">
        <x:v>Fully Paid</x:v>
      </x:c>
      <x:c r="O4959" t="str">
        <x:f>IF(D4959="","Unknown",IF(D4959&lt;25000,"&lt;$25k",IF(D4959&lt;50000,"$25k-$50k",IF(D4959&lt;75000,"$50k-$75k",IF(D4959&lt;100000,"$75k-$100k","$100k+")))))</x:f>
        <x:v>$50k-$75k</x:v>
      </x:c>
      <x:c r="P4959" t="str">
        <x:f>IF(E4959="","Unknown",IF(E4959&lt;10,"&lt;10",IF(E4959&lt;20,"10-&lt;20",IF(E4959&lt;25,"20-&lt;25",IF(E4959&lt;35,"25-&lt;35","35+")))))</x:f>
        <x:v>10-&lt;20</x:v>
      </x:c>
    </x:row>
    <x:row r="4960">
      <x:c r="A4960" t="str">
        <x:v>SYN0004959</x:v>
      </x:c>
      <x:c r="B4960" s="12" t="n">
        <x:v>43345</x:v>
      </x:c>
      <x:c r="C4960" s="18" t="n">
        <x:v>9947</x:v>
      </x:c>
      <x:c r="D4960" s="18" t="n">
        <x:v>66884</x:v>
      </x:c>
      <x:c r="E4960" s="18" t="n">
        <x:v>20.59</x:v>
      </x:c>
      <x:c r="F4960" s="18" t="n">
        <x:v>24.29</x:v>
      </x:c>
      <x:c r="G4960" t="n">
        <x:v>60</x:v>
      </x:c>
      <x:c r="H4960" t="str">
        <x:v>F</x:v>
      </x:c>
      <x:c r="I4960" t="str">
        <x:v>&lt;1 year</x:v>
      </x:c>
      <x:c r="J4960" t="str">
        <x:v>MORTGAGE</x:v>
      </x:c>
      <x:c r="K4960" t="str">
        <x:v>credit_card</x:v>
      </x:c>
      <x:c r="L4960" t="n">
        <x:v>0</x:v>
      </x:c>
      <x:c r="M4960" t="n">
        <x:v>0</x:v>
      </x:c>
      <x:c r="N4960" t="str">
        <x:v>Fully Paid</x:v>
      </x:c>
      <x:c r="O4960" t="str">
        <x:f>IF(D4960="","Unknown",IF(D4960&lt;25000,"&lt;$25k",IF(D4960&lt;50000,"$25k-$50k",IF(D4960&lt;75000,"$50k-$75k",IF(D4960&lt;100000,"$75k-$100k","$100k+")))))</x:f>
        <x:v>$50k-$75k</x:v>
      </x:c>
      <x:c r="P4960" t="str">
        <x:f>IF(E4960="","Unknown",IF(E4960&lt;10,"&lt;10",IF(E4960&lt;20,"10-&lt;20",IF(E4960&lt;25,"20-&lt;25",IF(E4960&lt;35,"25-&lt;35","35+")))))</x:f>
        <x:v>20-&lt;25</x:v>
      </x:c>
    </x:row>
    <x:row r="4961">
      <x:c r="A4961" t="str">
        <x:v>SYN0004960</x:v>
      </x:c>
      <x:c r="B4961" s="12" t="n">
        <x:v>43135</x:v>
      </x:c>
      <x:c r="C4961" s="18" t="n">
        <x:v>12632</x:v>
      </x:c>
      <x:c r="D4961" s="18" t="n">
        <x:v>34023</x:v>
      </x:c>
      <x:c r="E4961" s="18" t="n">
        <x:v>10.56</x:v>
      </x:c>
      <x:c r="F4961" s="18" t="n">
        <x:v>7.39</x:v>
      </x:c>
      <x:c r="G4961" t="n">
        <x:v>36</x:v>
      </x:c>
      <x:c r="H4961" t="str">
        <x:v>A</x:v>
      </x:c>
      <x:c r="I4961" t="str">
        <x:v>7-9 years</x:v>
      </x:c>
      <x:c r="J4961" t="str">
        <x:v>RENT</x:v>
      </x:c>
      <x:c r="K4961" t="str">
        <x:v>credit_card</x:v>
      </x:c>
      <x:c r="L4961" t="n">
        <x:v>1</x:v>
      </x:c>
      <x:c r="M4961" t="n">
        <x:v>0</x:v>
      </x:c>
      <x:c r="N4961" t="str">
        <x:v>Fully Paid</x:v>
      </x:c>
      <x:c r="O4961" t="str">
        <x:f>IF(D4961="","Unknown",IF(D4961&lt;25000,"&lt;$25k",IF(D4961&lt;50000,"$25k-$50k",IF(D4961&lt;75000,"$50k-$75k",IF(D4961&lt;100000,"$75k-$100k","$100k+")))))</x:f>
        <x:v>$25k-$50k</x:v>
      </x:c>
      <x:c r="P4961" t="str">
        <x:f>IF(E4961="","Unknown",IF(E4961&lt;10,"&lt;10",IF(E4961&lt;20,"10-&lt;20",IF(E4961&lt;25,"20-&lt;25",IF(E4961&lt;35,"25-&lt;35","35+")))))</x:f>
        <x:v>10-&lt;20</x:v>
      </x:c>
    </x:row>
    <x:row r="4962">
      <x:c r="A4962" t="str">
        <x:v>SYN0004961</x:v>
      </x:c>
      <x:c r="B4962" s="12" t="n">
        <x:v>43405</x:v>
      </x:c>
      <x:c r="C4962" s="18" t="n">
        <x:v>11526</x:v>
      </x:c>
      <x:c r="D4962" s="18" t="n">
        <x:v>85580</x:v>
      </x:c>
      <x:c r="E4962" s="18" t="n">
        <x:v>6.42</x:v>
      </x:c>
      <x:c r="F4962" s="18" t="n">
        <x:v>8.36</x:v>
      </x:c>
      <x:c r="G4962" t="n">
        <x:v>36</x:v>
      </x:c>
      <x:c r="H4962" t="str">
        <x:v>C</x:v>
      </x:c>
      <x:c r="I4962" t="str">
        <x:v>10+ years</x:v>
      </x:c>
      <x:c r="J4962" t="str">
        <x:v>RENT</x:v>
      </x:c>
      <x:c r="K4962" t="str">
        <x:v>debt_consolidation</x:v>
      </x:c>
      <x:c r="L4962" t="n">
        <x:v>0</x:v>
      </x:c>
      <x:c r="M4962" t="n">
        <x:v>0</x:v>
      </x:c>
      <x:c r="N4962" t="str">
        <x:v>Fully Paid</x:v>
      </x:c>
      <x:c r="O4962" t="str">
        <x:f>IF(D4962="","Unknown",IF(D4962&lt;25000,"&lt;$25k",IF(D4962&lt;50000,"$25k-$50k",IF(D4962&lt;75000,"$50k-$75k",IF(D4962&lt;100000,"$75k-$100k","$100k+")))))</x:f>
        <x:v>$75k-$100k</x:v>
      </x:c>
      <x:c r="P4962" t="str">
        <x:f>IF(E4962="","Unknown",IF(E4962&lt;10,"&lt;10",IF(E4962&lt;20,"10-&lt;20",IF(E4962&lt;25,"20-&lt;25",IF(E4962&lt;35,"25-&lt;35","35+")))))</x:f>
        <x:v>&lt;10</x:v>
      </x:c>
    </x:row>
    <x:row r="4963">
      <x:c r="A4963" t="str">
        <x:v>SYN0004962</x:v>
      </x:c>
      <x:c r="B4963" s="12" t="n">
        <x:v>43345</x:v>
      </x:c>
      <x:c r="C4963" s="18" t="n">
        <x:v>6182</x:v>
      </x:c>
      <x:c r="D4963" s="18" t="n">
        <x:v>43947</x:v>
      </x:c>
      <x:c r="E4963" s="18" t="n">
        <x:v>15.89</x:v>
      </x:c>
      <x:c r="F4963" s="18" t="n">
        <x:v>12.21</x:v>
      </x:c>
      <x:c r="G4963" t="n">
        <x:v>36</x:v>
      </x:c>
      <x:c r="H4963" t="str">
        <x:v>C</x:v>
      </x:c>
      <x:c r="I4963" t="str">
        <x:v>4-6 years</x:v>
      </x:c>
      <x:c r="J4963" t="str">
        <x:v>MORTGAGE</x:v>
      </x:c>
      <x:c r="K4963" t="str">
        <x:v>debt_consolidation</x:v>
      </x:c>
      <x:c r="L4963" t="n">
        <x:v>1</x:v>
      </x:c>
      <x:c r="M4963" t="n">
        <x:v>0</x:v>
      </x:c>
      <x:c r="N4963" t="str">
        <x:v>Fully Paid</x:v>
      </x:c>
      <x:c r="O4963" t="str">
        <x:f>IF(D4963="","Unknown",IF(D4963&lt;25000,"&lt;$25k",IF(D4963&lt;50000,"$25k-$50k",IF(D4963&lt;75000,"$50k-$75k",IF(D4963&lt;100000,"$75k-$100k","$100k+")))))</x:f>
        <x:v>$25k-$50k</x:v>
      </x:c>
      <x:c r="P4963" t="str">
        <x:f>IF(E4963="","Unknown",IF(E4963&lt;10,"&lt;10",IF(E4963&lt;20,"10-&lt;20",IF(E4963&lt;25,"20-&lt;25",IF(E4963&lt;35,"25-&lt;35","35+")))))</x:f>
        <x:v>10-&lt;20</x:v>
      </x:c>
    </x:row>
    <x:row r="4964">
      <x:c r="A4964" t="str">
        <x:v>SYN0004963</x:v>
      </x:c>
      <x:c r="B4964" s="12" t="n">
        <x:v>42775</x:v>
      </x:c>
      <x:c r="C4964" s="18" t="n">
        <x:v>12594</x:v>
      </x:c>
      <x:c r="D4964" s="18" t="n">
        <x:v>38868</x:v>
      </x:c>
      <x:c r="E4964" s="18" t="n">
        <x:v>33.94</x:v>
      </x:c>
      <x:c r="F4964" s="18" t="n">
        <x:v>12.48</x:v>
      </x:c>
      <x:c r="G4964" t="n">
        <x:v>36</x:v>
      </x:c>
      <x:c r="H4964" t="str">
        <x:v>D</x:v>
      </x:c>
      <x:c r="I4964" t="str">
        <x:v>4-6 years</x:v>
      </x:c>
      <x:c r="J4964" t="str">
        <x:v>OTHER</x:v>
      </x:c>
      <x:c r="K4964" t="str">
        <x:v>debt_consolidation</x:v>
      </x:c>
      <x:c r="L4964" t="n">
        <x:v>0</x:v>
      </x:c>
      <x:c r="M4964" t="n">
        <x:v>1</x:v>
      </x:c>
      <x:c r="N4964" t="str">
        <x:v>Charged Off</x:v>
      </x:c>
      <x:c r="O4964" t="str">
        <x:f>IF(D4964="","Unknown",IF(D4964&lt;25000,"&lt;$25k",IF(D4964&lt;50000,"$25k-$50k",IF(D4964&lt;75000,"$50k-$75k",IF(D4964&lt;100000,"$75k-$100k","$100k+")))))</x:f>
        <x:v>$25k-$50k</x:v>
      </x:c>
      <x:c r="P4964" t="str">
        <x:f>IF(E4964="","Unknown",IF(E4964&lt;10,"&lt;10",IF(E4964&lt;20,"10-&lt;20",IF(E4964&lt;25,"20-&lt;25",IF(E4964&lt;35,"25-&lt;35","35+")))))</x:f>
        <x:v>25-&lt;35</x:v>
      </x:c>
    </x:row>
    <x:row r="4965">
      <x:c r="A4965" t="str">
        <x:v>SYN0004964</x:v>
      </x:c>
      <x:c r="B4965" s="12" t="n">
        <x:v>43405</x:v>
      </x:c>
      <x:c r="C4965" s="18" t="n">
        <x:v>10733</x:v>
      </x:c>
      <x:c r="D4965" s="18" t="n">
        <x:v>123193</x:v>
      </x:c>
      <x:c r="E4965" s="18" t="n">
        <x:v>30.27</x:v>
      </x:c>
      <x:c r="F4965" s="18" t="n">
        <x:v>8.73</x:v>
      </x:c>
      <x:c r="G4965" t="n">
        <x:v>36</x:v>
      </x:c>
      <x:c r="H4965" t="str">
        <x:v>C</x:v>
      </x:c>
      <x:c r="I4965" t="str">
        <x:v>1-3 years</x:v>
      </x:c>
      <x:c r="J4965" t="str">
        <x:v>OWN</x:v>
      </x:c>
      <x:c r="K4965" t="str">
        <x:v>debt_consolidation</x:v>
      </x:c>
      <x:c r="L4965" t="n">
        <x:v>0</x:v>
      </x:c>
      <x:c r="M4965" t="n">
        <x:v>0</x:v>
      </x:c>
      <x:c r="N4965" t="str">
        <x:v>Fully Paid</x:v>
      </x:c>
      <x:c r="O4965" t="str">
        <x:f>IF(D4965="","Unknown",IF(D4965&lt;25000,"&lt;$25k",IF(D4965&lt;50000,"$25k-$50k",IF(D4965&lt;75000,"$50k-$75k",IF(D4965&lt;100000,"$75k-$100k","$100k+")))))</x:f>
        <x:v>$100k+</x:v>
      </x:c>
      <x:c r="P4965" t="str">
        <x:f>IF(E4965="","Unknown",IF(E4965&lt;10,"&lt;10",IF(E4965&lt;20,"10-&lt;20",IF(E4965&lt;25,"20-&lt;25",IF(E4965&lt;35,"25-&lt;35","35+")))))</x:f>
        <x:v>25-&lt;35</x:v>
      </x:c>
    </x:row>
    <x:row r="4966">
      <x:c r="A4966" t="str">
        <x:v>SYN0004965</x:v>
      </x:c>
      <x:c r="B4966" s="12" t="n">
        <x:v>42475</x:v>
      </x:c>
      <x:c r="C4966" s="18" t="n">
        <x:v>19676</x:v>
      </x:c>
      <x:c r="D4966" s="18" t="n">
        <x:v>34069</x:v>
      </x:c>
      <x:c r="E4966" s="18" t="n">
        <x:v>25.07</x:v>
      </x:c>
      <x:c r="F4966" s="18" t="n">
        <x:v>9.06</x:v>
      </x:c>
      <x:c r="G4966" t="n">
        <x:v>36</x:v>
      </x:c>
      <x:c r="H4966" t="str">
        <x:v>B</x:v>
      </x:c>
      <x:c r="I4966" t="str">
        <x:v>4-6 years</x:v>
      </x:c>
      <x:c r="J4966" t="str">
        <x:v>RENT</x:v>
      </x:c>
      <x:c r="K4966" t="str">
        <x:v>debt_consolidation</x:v>
      </x:c>
      <x:c r="L4966" t="n">
        <x:v>0</x:v>
      </x:c>
      <x:c r="M4966" t="n">
        <x:v>0</x:v>
      </x:c>
      <x:c r="N4966" t="str">
        <x:v>Fully Paid</x:v>
      </x:c>
      <x:c r="O4966" t="str">
        <x:f>IF(D4966="","Unknown",IF(D4966&lt;25000,"&lt;$25k",IF(D4966&lt;50000,"$25k-$50k",IF(D4966&lt;75000,"$50k-$75k",IF(D4966&lt;100000,"$75k-$100k","$100k+")))))</x:f>
        <x:v>$25k-$50k</x:v>
      </x:c>
      <x:c r="P4966" t="str">
        <x:f>IF(E4966="","Unknown",IF(E4966&lt;10,"&lt;10",IF(E4966&lt;20,"10-&lt;20",IF(E4966&lt;25,"20-&lt;25",IF(E4966&lt;35,"25-&lt;35","35+")))))</x:f>
        <x:v>25-&lt;35</x:v>
      </x:c>
    </x:row>
    <x:row r="4967">
      <x:c r="A4967" t="str">
        <x:v>SYN0004966</x:v>
      </x:c>
      <x:c r="B4967" s="12" t="n">
        <x:v>42475</x:v>
      </x:c>
      <x:c r="C4967" s="18" t="n">
        <x:v>23983</x:v>
      </x:c>
      <x:c r="D4967" s="18" t="n">
        <x:v>23141</x:v>
      </x:c>
      <x:c r="E4967" s="18" t="n">
        <x:v>29.93</x:v>
      </x:c>
      <x:c r="F4967" s="18" t="n">
        <x:v>7.86</x:v>
      </x:c>
      <x:c r="G4967" t="n">
        <x:v>60</x:v>
      </x:c>
      <x:c r="H4967" t="str">
        <x:v>C</x:v>
      </x:c>
      <x:c r="I4967" t="str">
        <x:v>1-3 years</x:v>
      </x:c>
      <x:c r="J4967" t="str">
        <x:v>RENT</x:v>
      </x:c>
      <x:c r="K4967" t="str">
        <x:v>debt_consolidation</x:v>
      </x:c>
      <x:c r="L4967" t="n">
        <x:v>0</x:v>
      </x:c>
      <x:c r="M4967" t="n">
        <x:v>0</x:v>
      </x:c>
      <x:c r="N4967" t="str">
        <x:v>Fully Paid</x:v>
      </x:c>
      <x:c r="O4967" t="str">
        <x:f>IF(D4967="","Unknown",IF(D4967&lt;25000,"&lt;$25k",IF(D4967&lt;50000,"$25k-$50k",IF(D4967&lt;75000,"$50k-$75k",IF(D4967&lt;100000,"$75k-$100k","$100k+")))))</x:f>
        <x:v>&lt;$25k</x:v>
      </x:c>
      <x:c r="P4967" t="str">
        <x:f>IF(E4967="","Unknown",IF(E4967&lt;10,"&lt;10",IF(E4967&lt;20,"10-&lt;20",IF(E4967&lt;25,"20-&lt;25",IF(E4967&lt;35,"25-&lt;35","35+")))))</x:f>
        <x:v>25-&lt;35</x:v>
      </x:c>
    </x:row>
    <x:row r="4968">
      <x:c r="A4968" t="str">
        <x:v>SYN0004967</x:v>
      </x:c>
      <x:c r="B4968" s="12" t="n">
        <x:v>41755</x:v>
      </x:c>
      <x:c r="C4968" s="18" t="n">
        <x:v>10381</x:v>
      </x:c>
      <x:c r="D4968" s="18" t="n">
        <x:v>32030</x:v>
      </x:c>
      <x:c r="E4968" s="18" t="n">
        <x:v>8.45</x:v>
      </x:c>
      <x:c r="F4968" s="18" t="n">
        <x:v>10.58</x:v>
      </x:c>
      <x:c r="G4968" t="n">
        <x:v>36</x:v>
      </x:c>
      <x:c r="H4968" t="str">
        <x:v>C</x:v>
      </x:c>
      <x:c r="I4968" t="str">
        <x:v>10+ years</x:v>
      </x:c>
      <x:c r="J4968" t="str">
        <x:v>MORTGAGE</x:v>
      </x:c>
      <x:c r="K4968" t="str">
        <x:v>medical</x:v>
      </x:c>
      <x:c r="L4968" t="n">
        <x:v>0</x:v>
      </x:c>
      <x:c r="M4968" t="n">
        <x:v>0</x:v>
      </x:c>
      <x:c r="N4968" t="str">
        <x:v>Fully Paid</x:v>
      </x:c>
      <x:c r="O4968" t="str">
        <x:f>IF(D4968="","Unknown",IF(D4968&lt;25000,"&lt;$25k",IF(D4968&lt;50000,"$25k-$50k",IF(D4968&lt;75000,"$50k-$75k",IF(D4968&lt;100000,"$75k-$100k","$100k+")))))</x:f>
        <x:v>$25k-$50k</x:v>
      </x:c>
      <x:c r="P4968" t="str">
        <x:f>IF(E4968="","Unknown",IF(E4968&lt;10,"&lt;10",IF(E4968&lt;20,"10-&lt;20",IF(E4968&lt;25,"20-&lt;25",IF(E4968&lt;35,"25-&lt;35","35+")))))</x:f>
        <x:v>&lt;10</x:v>
      </x:c>
    </x:row>
    <x:row r="4969">
      <x:c r="A4969" t="str">
        <x:v>SYN0004968</x:v>
      </x:c>
      <x:c r="B4969" s="12" t="n">
        <x:v>42805</x:v>
      </x:c>
      <x:c r="C4969" s="18" t="n">
        <x:v>32144</x:v>
      </x:c>
      <x:c r="D4969" s="18" t="n">
        <x:v>28091</x:v>
      </x:c>
      <x:c r="E4969" s="18" t="n">
        <x:v>26.42</x:v>
      </x:c>
      <x:c r="F4969" s="18" t="n">
        <x:v>15.44</x:v>
      </x:c>
      <x:c r="G4969" t="n">
        <x:v>36</x:v>
      </x:c>
      <x:c r="H4969" t="str">
        <x:v>D</x:v>
      </x:c>
      <x:c r="I4969" t="str">
        <x:v>10+ years</x:v>
      </x:c>
      <x:c r="J4969" t="str">
        <x:v>OWN</x:v>
      </x:c>
      <x:c r="K4969" t="str">
        <x:v>debt_consolidation</x:v>
      </x:c>
      <x:c r="L4969" t="n">
        <x:v>0</x:v>
      </x:c>
      <x:c r="M4969" t="n">
        <x:v>0</x:v>
      </x:c>
      <x:c r="N4969" t="str">
        <x:v>Fully Paid</x:v>
      </x:c>
      <x:c r="O4969" t="str">
        <x:f>IF(D4969="","Unknown",IF(D4969&lt;25000,"&lt;$25k",IF(D4969&lt;50000,"$25k-$50k",IF(D4969&lt;75000,"$50k-$75k",IF(D4969&lt;100000,"$75k-$100k","$100k+")))))</x:f>
        <x:v>$25k-$50k</x:v>
      </x:c>
      <x:c r="P4969" t="str">
        <x:f>IF(E4969="","Unknown",IF(E4969&lt;10,"&lt;10",IF(E4969&lt;20,"10-&lt;20",IF(E4969&lt;25,"20-&lt;25",IF(E4969&lt;35,"25-&lt;35","35+")))))</x:f>
        <x:v>25-&lt;35</x:v>
      </x:c>
    </x:row>
    <x:row r="4970">
      <x:c r="A4970" t="str">
        <x:v>SYN0004969</x:v>
      </x:c>
      <x:c r="B4970" s="12" t="n">
        <x:v>43405</x:v>
      </x:c>
      <x:c r="C4970" s="18" t="n">
        <x:v>13210</x:v>
      </x:c>
      <x:c r="D4970" s="18" t="n">
        <x:v>61630</x:v>
      </x:c>
      <x:c r="E4970" s="18" t="n">
        <x:v>18.18</x:v>
      </x:c>
      <x:c r="F4970" s="18" t="n">
        <x:v>12.24</x:v>
      </x:c>
      <x:c r="G4970" t="n">
        <x:v>60</x:v>
      </x:c>
      <x:c r="H4970" t="str">
        <x:v>C</x:v>
      </x:c>
      <x:c r="I4970" t="str">
        <x:v>&lt;1 year</x:v>
      </x:c>
      <x:c r="J4970" t="str">
        <x:v>OWN</x:v>
      </x:c>
      <x:c r="K4970" t="str">
        <x:v>home_improvement</x:v>
      </x:c>
      <x:c r="L4970" t="n">
        <x:v>1</x:v>
      </x:c>
      <x:c r="M4970" t="n">
        <x:v>0</x:v>
      </x:c>
      <x:c r="N4970" t="str">
        <x:v>Fully Paid</x:v>
      </x:c>
      <x:c r="O4970" t="str">
        <x:f>IF(D4970="","Unknown",IF(D4970&lt;25000,"&lt;$25k",IF(D4970&lt;50000,"$25k-$50k",IF(D4970&lt;75000,"$50k-$75k",IF(D4970&lt;100000,"$75k-$100k","$100k+")))))</x:f>
        <x:v>$50k-$75k</x:v>
      </x:c>
      <x:c r="P4970" t="str">
        <x:f>IF(E4970="","Unknown",IF(E4970&lt;10,"&lt;10",IF(E4970&lt;20,"10-&lt;20",IF(E4970&lt;25,"20-&lt;25",IF(E4970&lt;35,"25-&lt;35","35+")))))</x:f>
        <x:v>10-&lt;20</x:v>
      </x:c>
    </x:row>
    <x:row r="4971">
      <x:c r="A4971" t="str">
        <x:v>SYN0004970</x:v>
      </x:c>
      <x:c r="B4971" s="12" t="n">
        <x:v>42955</x:v>
      </x:c>
      <x:c r="C4971" s="18" t="n">
        <x:v>10798</x:v>
      </x:c>
      <x:c r="D4971" s="18" t="n">
        <x:v>30404</x:v>
      </x:c>
      <x:c r="E4971" s="18" t="n">
        <x:v>19.2</x:v>
      </x:c>
      <x:c r="F4971" s="18" t="n">
        <x:v>15.39</x:v>
      </x:c>
      <x:c r="G4971" t="n">
        <x:v>36</x:v>
      </x:c>
      <x:c r="H4971" t="str">
        <x:v>E</x:v>
      </x:c>
      <x:c r="I4971" t="str">
        <x:v>4-6 years</x:v>
      </x:c>
      <x:c r="J4971" t="str">
        <x:v>MORTGAGE</x:v>
      </x:c>
      <x:c r="K4971" t="str">
        <x:v>debt_consolidation</x:v>
      </x:c>
      <x:c r="L4971" t="n">
        <x:v>2</x:v>
      </x:c>
      <x:c r="M4971" t="n">
        <x:v>0</x:v>
      </x:c>
      <x:c r="N4971" t="str">
        <x:v>Fully Paid</x:v>
      </x:c>
      <x:c r="O4971" t="str">
        <x:f>IF(D4971="","Unknown",IF(D4971&lt;25000,"&lt;$25k",IF(D4971&lt;50000,"$25k-$50k",IF(D4971&lt;75000,"$50k-$75k",IF(D4971&lt;100000,"$75k-$100k","$100k+")))))</x:f>
        <x:v>$25k-$50k</x:v>
      </x:c>
      <x:c r="P4971" t="str">
        <x:f>IF(E4971="","Unknown",IF(E4971&lt;10,"&lt;10",IF(E4971&lt;20,"10-&lt;20",IF(E4971&lt;25,"20-&lt;25",IF(E4971&lt;35,"25-&lt;35","35+")))))</x:f>
        <x:v>10-&lt;20</x:v>
      </x:c>
    </x:row>
    <x:row r="4972">
      <x:c r="A4972" t="str">
        <x:v>SYN0004971</x:v>
      </x:c>
      <x:c r="B4972" s="12" t="n">
        <x:v>43195</x:v>
      </x:c>
      <x:c r="C4972" s="18" t="n">
        <x:v>9441</x:v>
      </x:c>
      <x:c r="D4972" s="18" t="n">
        <x:v>49042</x:v>
      </x:c>
      <x:c r="E4972" s="18" t="n">
        <x:v>15.08</x:v>
      </x:c>
      <x:c r="F4972" s="18" t="n">
        <x:v>5</x:v>
      </x:c>
      <x:c r="G4972" t="n">
        <x:v>36</x:v>
      </x:c>
      <x:c r="H4972" t="str">
        <x:v>A</x:v>
      </x:c>
      <x:c r="I4972" t="str">
        <x:v>1-3 years</x:v>
      </x:c>
      <x:c r="J4972" t="str">
        <x:v>MORTGAGE</x:v>
      </x:c>
      <x:c r="K4972" t="str">
        <x:v>home_improvement</x:v>
      </x:c>
      <x:c r="L4972" t="n">
        <x:v>0</x:v>
      </x:c>
      <x:c r="M4972" t="n">
        <x:v>0</x:v>
      </x:c>
      <x:c r="N4972" t="str">
        <x:v>Fully Paid</x:v>
      </x:c>
      <x:c r="O4972" t="str">
        <x:f>IF(D4972="","Unknown",IF(D4972&lt;25000,"&lt;$25k",IF(D4972&lt;50000,"$25k-$50k",IF(D4972&lt;75000,"$50k-$75k",IF(D4972&lt;100000,"$75k-$100k","$100k+")))))</x:f>
        <x:v>$25k-$50k</x:v>
      </x:c>
      <x:c r="P4972" t="str">
        <x:f>IF(E4972="","Unknown",IF(E4972&lt;10,"&lt;10",IF(E4972&lt;20,"10-&lt;20",IF(E4972&lt;25,"20-&lt;25",IF(E4972&lt;35,"25-&lt;35","35+")))))</x:f>
        <x:v>10-&lt;20</x:v>
      </x:c>
    </x:row>
    <x:row r="4973">
      <x:c r="A4973" t="str">
        <x:v>SYN0004972</x:v>
      </x:c>
      <x:c r="B4973" s="12" t="n">
        <x:v>42445</x:v>
      </x:c>
      <x:c r="C4973" s="18" t="n">
        <x:v>13958</x:v>
      </x:c>
      <x:c r="D4973" s="18" t="n">
        <x:v>35536</x:v>
      </x:c>
      <x:c r="E4973" s="18" t="n">
        <x:v>32.15</x:v>
      </x:c>
      <x:c r="F4973" s="18" t="n">
        <x:v>15.06</x:v>
      </x:c>
      <x:c r="G4973" t="n">
        <x:v>36</x:v>
      </x:c>
      <x:c r="H4973" t="str">
        <x:v>D</x:v>
      </x:c>
      <x:c r="I4973" t="str">
        <x:v>1-3 years</x:v>
      </x:c>
      <x:c r="J4973" t="str">
        <x:v>RENT</x:v>
      </x:c>
      <x:c r="K4973" t="str">
        <x:v>debt_consolidation</x:v>
      </x:c>
      <x:c r="L4973" t="n">
        <x:v>2</x:v>
      </x:c>
      <x:c r="M4973" t="n">
        <x:v>0</x:v>
      </x:c>
      <x:c r="N4973" t="str">
        <x:v>Fully Paid</x:v>
      </x:c>
      <x:c r="O4973" t="str">
        <x:f>IF(D4973="","Unknown",IF(D4973&lt;25000,"&lt;$25k",IF(D4973&lt;50000,"$25k-$50k",IF(D4973&lt;75000,"$50k-$75k",IF(D4973&lt;100000,"$75k-$100k","$100k+")))))</x:f>
        <x:v>$25k-$50k</x:v>
      </x:c>
      <x:c r="P4973" t="str">
        <x:f>IF(E4973="","Unknown",IF(E4973&lt;10,"&lt;10",IF(E4973&lt;20,"10-&lt;20",IF(E4973&lt;25,"20-&lt;25",IF(E4973&lt;35,"25-&lt;35","35+")))))</x:f>
        <x:v>25-&lt;35</x:v>
      </x:c>
    </x:row>
    <x:row r="4974">
      <x:c r="A4974" t="str">
        <x:v>SYN0004973</x:v>
      </x:c>
      <x:c r="B4974" s="12" t="n">
        <x:v>42175</x:v>
      </x:c>
      <x:c r="C4974" s="18" t="n">
        <x:v>18970</x:v>
      </x:c>
      <x:c r="D4974" s="18" t="n">
        <x:v>37979</x:v>
      </x:c>
      <x:c r="E4974" s="18" t="n">
        <x:v>19.87</x:v>
      </x:c>
      <x:c r="F4974" s="18" t="n">
        <x:v>11.72</x:v>
      </x:c>
      <x:c r="G4974" t="n">
        <x:v>36</x:v>
      </x:c>
      <x:c r="H4974" t="str">
        <x:v>C</x:v>
      </x:c>
      <x:c r="I4974" t="str">
        <x:v>1-3 years</x:v>
      </x:c>
      <x:c r="J4974" t="str">
        <x:v>RENT</x:v>
      </x:c>
      <x:c r="K4974" t="str">
        <x:v>debt_consolidation</x:v>
      </x:c>
      <x:c r="L4974" t="n">
        <x:v>0</x:v>
      </x:c>
      <x:c r="M4974" t="n">
        <x:v>0</x:v>
      </x:c>
      <x:c r="N4974" t="str">
        <x:v>Fully Paid</x:v>
      </x:c>
      <x:c r="O4974" t="str">
        <x:f>IF(D4974="","Unknown",IF(D4974&lt;25000,"&lt;$25k",IF(D4974&lt;50000,"$25k-$50k",IF(D4974&lt;75000,"$50k-$75k",IF(D4974&lt;100000,"$75k-$100k","$100k+")))))</x:f>
        <x:v>$25k-$50k</x:v>
      </x:c>
      <x:c r="P4974" t="str">
        <x:f>IF(E4974="","Unknown",IF(E4974&lt;10,"&lt;10",IF(E4974&lt;20,"10-&lt;20",IF(E4974&lt;25,"20-&lt;25",IF(E4974&lt;35,"25-&lt;35","35+")))))</x:f>
        <x:v>10-&lt;20</x:v>
      </x:c>
    </x:row>
    <x:row r="4975">
      <x:c r="A4975" t="str">
        <x:v>SYN0004974</x:v>
      </x:c>
      <x:c r="B4975" s="12" t="n">
        <x:v>41575</x:v>
      </x:c>
      <x:c r="C4975" s="18" t="n">
        <x:v>11858</x:v>
      </x:c>
      <x:c r="D4975" s="18" t="n">
        <x:v>55496</x:v>
      </x:c>
      <x:c r="E4975" s="18" t="n">
        <x:v>30.24</x:v>
      </x:c>
      <x:c r="F4975" s="18" t="n">
        <x:v>23.98</x:v>
      </x:c>
      <x:c r="G4975" t="n">
        <x:v>60</x:v>
      </x:c>
      <x:c r="H4975" t="str">
        <x:v>F</x:v>
      </x:c>
      <x:c r="I4975" t="str">
        <x:v>1-3 years</x:v>
      </x:c>
      <x:c r="J4975" t="str">
        <x:v>MORTGAGE</x:v>
      </x:c>
      <x:c r="K4975" t="str">
        <x:v>debt_consolidation</x:v>
      </x:c>
      <x:c r="L4975" t="n">
        <x:v>3</x:v>
      </x:c>
      <x:c r="M4975" t="n">
        <x:v>0</x:v>
      </x:c>
      <x:c r="N4975" t="str">
        <x:v>Fully Paid</x:v>
      </x:c>
      <x:c r="O4975" t="str">
        <x:f>IF(D4975="","Unknown",IF(D4975&lt;25000,"&lt;$25k",IF(D4975&lt;50000,"$25k-$50k",IF(D4975&lt;75000,"$50k-$75k",IF(D4975&lt;100000,"$75k-$100k","$100k+")))))</x:f>
        <x:v>$50k-$75k</x:v>
      </x:c>
      <x:c r="P4975" t="str">
        <x:f>IF(E4975="","Unknown",IF(E4975&lt;10,"&lt;10",IF(E4975&lt;20,"10-&lt;20",IF(E4975&lt;25,"20-&lt;25",IF(E4975&lt;35,"25-&lt;35","35+")))))</x:f>
        <x:v>25-&lt;35</x:v>
      </x:c>
    </x:row>
    <x:row r="4976">
      <x:c r="A4976" t="str">
        <x:v>SYN0004975</x:v>
      </x:c>
      <x:c r="B4976" s="12" t="n">
        <x:v>41695</x:v>
      </x:c>
      <x:c r="C4976" s="18" t="n">
        <x:v>40000</x:v>
      </x:c>
      <x:c r="D4976" s="18" t="n">
        <x:v>64057</x:v>
      </x:c>
      <x:c r="E4976" s="18" t="n">
        <x:v>13.5</x:v>
      </x:c>
      <x:c r="F4976" s="18" t="n">
        <x:v>20.44</x:v>
      </x:c>
      <x:c r="G4976" t="n">
        <x:v>36</x:v>
      </x:c>
      <x:c r="H4976" t="str">
        <x:v>E</x:v>
      </x:c>
      <x:c r="I4976" t="str">
        <x:v>&lt;1 year</x:v>
      </x:c>
      <x:c r="J4976" t="str">
        <x:v>RENT</x:v>
      </x:c>
      <x:c r="K4976" t="str">
        <x:v>credit_card</x:v>
      </x:c>
      <x:c r="L4976" t="n">
        <x:v>0</x:v>
      </x:c>
      <x:c r="M4976" t="n">
        <x:v>0</x:v>
      </x:c>
      <x:c r="N4976" t="str">
        <x:v>Fully Paid</x:v>
      </x:c>
      <x:c r="O4976" t="str">
        <x:f>IF(D4976="","Unknown",IF(D4976&lt;25000,"&lt;$25k",IF(D4976&lt;50000,"$25k-$50k",IF(D4976&lt;75000,"$50k-$75k",IF(D4976&lt;100000,"$75k-$100k","$100k+")))))</x:f>
        <x:v>$50k-$75k</x:v>
      </x:c>
      <x:c r="P4976" t="str">
        <x:f>IF(E4976="","Unknown",IF(E4976&lt;10,"&lt;10",IF(E4976&lt;20,"10-&lt;20",IF(E4976&lt;25,"20-&lt;25",IF(E4976&lt;35,"25-&lt;35","35+")))))</x:f>
        <x:v>10-&lt;20</x:v>
      </x:c>
    </x:row>
    <x:row r="4977">
      <x:c r="A4977" t="str">
        <x:v>SYN0004976</x:v>
      </x:c>
      <x:c r="B4977" s="12" t="n">
        <x:v>42745</x:v>
      </x:c>
      <x:c r="C4977" s="18" t="n">
        <x:v>13344</x:v>
      </x:c>
      <x:c r="D4977" s="18" t="n">
        <x:v>29766</x:v>
      </x:c>
      <x:c r="E4977" s="18" t="n">
        <x:v>29.86</x:v>
      </x:c>
      <x:c r="F4977" s="18" t="n">
        <x:v>7.92</x:v>
      </x:c>
      <x:c r="G4977" t="n">
        <x:v>36</x:v>
      </x:c>
      <x:c r="H4977" t="str">
        <x:v>A</x:v>
      </x:c>
      <x:c r="I4977" t="str">
        <x:v>&lt;1 year</x:v>
      </x:c>
      <x:c r="J4977" t="str">
        <x:v>MORTGAGE</x:v>
      </x:c>
      <x:c r="K4977" t="str">
        <x:v>home_improvement</x:v>
      </x:c>
      <x:c r="L4977" t="n">
        <x:v>0</x:v>
      </x:c>
      <x:c r="M4977" t="n">
        <x:v>1</x:v>
      </x:c>
      <x:c r="N4977" t="str">
        <x:v>Charged Off</x:v>
      </x:c>
      <x:c r="O4977" t="str">
        <x:f>IF(D4977="","Unknown",IF(D4977&lt;25000,"&lt;$25k",IF(D4977&lt;50000,"$25k-$50k",IF(D4977&lt;75000,"$50k-$75k",IF(D4977&lt;100000,"$75k-$100k","$100k+")))))</x:f>
        <x:v>$25k-$50k</x:v>
      </x:c>
      <x:c r="P4977" t="str">
        <x:f>IF(E4977="","Unknown",IF(E4977&lt;10,"&lt;10",IF(E4977&lt;20,"10-&lt;20",IF(E4977&lt;25,"20-&lt;25",IF(E4977&lt;35,"25-&lt;35","35+")))))</x:f>
        <x:v>25-&lt;35</x:v>
      </x:c>
    </x:row>
    <x:row r="4978">
      <x:c r="A4978" t="str">
        <x:v>SYN0004977</x:v>
      </x:c>
      <x:c r="B4978" s="12" t="n">
        <x:v>43045</x:v>
      </x:c>
      <x:c r="C4978" s="18" t="n">
        <x:v>23459</x:v>
      </x:c>
      <x:c r="D4978" s="18" t="n">
        <x:v>91377</x:v>
      </x:c>
      <x:c r="E4978" s="18" t="n">
        <x:v>27.16</x:v>
      </x:c>
      <x:c r="F4978" s="18" t="n">
        <x:v>13.53</x:v>
      </x:c>
      <x:c r="G4978" t="n">
        <x:v>36</x:v>
      </x:c>
      <x:c r="H4978" t="str">
        <x:v>D</x:v>
      </x:c>
      <x:c r="I4978" t="str">
        <x:v>7-9 years</x:v>
      </x:c>
      <x:c r="J4978" t="str">
        <x:v>RENT</x:v>
      </x:c>
      <x:c r="K4978" t="str">
        <x:v>home_improvement</x:v>
      </x:c>
      <x:c r="L4978" t="n">
        <x:v>1</x:v>
      </x:c>
      <x:c r="M4978" t="n">
        <x:v>0</x:v>
      </x:c>
      <x:c r="N4978" t="str">
        <x:v>Fully Paid</x:v>
      </x:c>
      <x:c r="O4978" t="str">
        <x:f>IF(D4978="","Unknown",IF(D4978&lt;25000,"&lt;$25k",IF(D4978&lt;50000,"$25k-$50k",IF(D4978&lt;75000,"$50k-$75k",IF(D4978&lt;100000,"$75k-$100k","$100k+")))))</x:f>
        <x:v>$75k-$100k</x:v>
      </x:c>
      <x:c r="P4978" t="str">
        <x:f>IF(E4978="","Unknown",IF(E4978&lt;10,"&lt;10",IF(E4978&lt;20,"10-&lt;20",IF(E4978&lt;25,"20-&lt;25",IF(E4978&lt;35,"25-&lt;35","35+")))))</x:f>
        <x:v>25-&lt;35</x:v>
      </x:c>
    </x:row>
    <x:row r="4979">
      <x:c r="A4979" t="str">
        <x:v>SYN0004978</x:v>
      </x:c>
      <x:c r="B4979" s="12" t="n">
        <x:v>41815</x:v>
      </x:c>
      <x:c r="C4979" s="18" t="n">
        <x:v>28165</x:v>
      </x:c>
      <x:c r="D4979" s="18" t="n">
        <x:v>48978</x:v>
      </x:c>
      <x:c r="E4979" s="18" t="n">
        <x:v>24.58</x:v>
      </x:c>
      <x:c r="F4979" s="18" t="n">
        <x:v>8.89</x:v>
      </x:c>
      <x:c r="G4979" t="n">
        <x:v>36</x:v>
      </x:c>
      <x:c r="H4979" t="str">
        <x:v>C</x:v>
      </x:c>
      <x:c r="I4979" t="str">
        <x:v>10+ years</x:v>
      </x:c>
      <x:c r="J4979" t="str">
        <x:v>MORTGAGE</x:v>
      </x:c>
      <x:c r="K4979" t="str">
        <x:v>other</x:v>
      </x:c>
      <x:c r="L4979" t="n">
        <x:v>1</x:v>
      </x:c>
      <x:c r="M4979" t="n">
        <x:v>0</x:v>
      </x:c>
      <x:c r="N4979" t="str">
        <x:v>Fully Paid</x:v>
      </x:c>
      <x:c r="O4979" t="str">
        <x:f>IF(D4979="","Unknown",IF(D4979&lt;25000,"&lt;$25k",IF(D4979&lt;50000,"$25k-$50k",IF(D4979&lt;75000,"$50k-$75k",IF(D4979&lt;100000,"$75k-$100k","$100k+")))))</x:f>
        <x:v>$25k-$50k</x:v>
      </x:c>
      <x:c r="P4979" t="str">
        <x:f>IF(E4979="","Unknown",IF(E4979&lt;10,"&lt;10",IF(E4979&lt;20,"10-&lt;20",IF(E4979&lt;25,"20-&lt;25",IF(E4979&lt;35,"25-&lt;35","35+")))))</x:f>
        <x:v>20-&lt;25</x:v>
      </x:c>
    </x:row>
    <x:row r="4980">
      <x:c r="A4980" t="str">
        <x:v>SYN0004979</x:v>
      </x:c>
      <x:c r="B4980" s="12" t="n">
        <x:v>43015</x:v>
      </x:c>
      <x:c r="C4980" s="18" t="n">
        <x:v>8248</x:v>
      </x:c>
      <x:c r="D4980" s="18" t="n">
        <x:v>58676</x:v>
      </x:c>
      <x:c r="E4980" s="18" t="n">
        <x:v>28.93</x:v>
      </x:c>
      <x:c r="F4980" s="18" t="n">
        <x:v>17.83</x:v>
      </x:c>
      <x:c r="G4980" t="n">
        <x:v>36</x:v>
      </x:c>
      <x:c r="H4980" t="str">
        <x:v>E</x:v>
      </x:c>
      <x:c r="I4980" t="str">
        <x:v>4-6 years</x:v>
      </x:c>
      <x:c r="J4980" t="str">
        <x:v>RENT</x:v>
      </x:c>
      <x:c r="K4980" t="str">
        <x:v>home_improvement</x:v>
      </x:c>
      <x:c r="L4980" t="n">
        <x:v>0</x:v>
      </x:c>
      <x:c r="M4980" t="n">
        <x:v>1</x:v>
      </x:c>
      <x:c r="N4980" t="str">
        <x:v>Charged Off</x:v>
      </x:c>
      <x:c r="O4980" t="str">
        <x:f>IF(D4980="","Unknown",IF(D4980&lt;25000,"&lt;$25k",IF(D4980&lt;50000,"$25k-$50k",IF(D4980&lt;75000,"$50k-$75k",IF(D4980&lt;100000,"$75k-$100k","$100k+")))))</x:f>
        <x:v>$50k-$75k</x:v>
      </x:c>
      <x:c r="P4980" t="str">
        <x:f>IF(E4980="","Unknown",IF(E4980&lt;10,"&lt;10",IF(E4980&lt;20,"10-&lt;20",IF(E4980&lt;25,"20-&lt;25",IF(E4980&lt;35,"25-&lt;35","35+")))))</x:f>
        <x:v>25-&lt;35</x:v>
      </x:c>
    </x:row>
    <x:row r="4981">
      <x:c r="A4981" t="str">
        <x:v>SYN0004980</x:v>
      </x:c>
      <x:c r="B4981" s="12" t="n">
        <x:v>42415</x:v>
      </x:c>
      <x:c r="C4981" s="18" t="n">
        <x:v>5643</x:v>
      </x:c>
      <x:c r="D4981" s="18" t="n">
        <x:v>30675</x:v>
      </x:c>
      <x:c r="E4981" s="18" t="n">
        <x:v>17.05</x:v>
      </x:c>
      <x:c r="F4981" s="18" t="n">
        <x:v>8.43</x:v>
      </x:c>
      <x:c r="G4981" t="n">
        <x:v>36</x:v>
      </x:c>
      <x:c r="H4981" t="str">
        <x:v>C</x:v>
      </x:c>
      <x:c r="I4981" t="str">
        <x:v>1-3 years</x:v>
      </x:c>
      <x:c r="J4981" t="str">
        <x:v>MORTGAGE</x:v>
      </x:c>
      <x:c r="K4981" t="str">
        <x:v>other</x:v>
      </x:c>
      <x:c r="L4981" t="n">
        <x:v>1</x:v>
      </x:c>
      <x:c r="M4981" t="n">
        <x:v>0</x:v>
      </x:c>
      <x:c r="N4981" t="str">
        <x:v>Fully Paid</x:v>
      </x:c>
      <x:c r="O4981" t="str">
        <x:f>IF(D4981="","Unknown",IF(D4981&lt;25000,"&lt;$25k",IF(D4981&lt;50000,"$25k-$50k",IF(D4981&lt;75000,"$50k-$75k",IF(D4981&lt;100000,"$75k-$100k","$100k+")))))</x:f>
        <x:v>$25k-$50k</x:v>
      </x:c>
      <x:c r="P4981" t="str">
        <x:f>IF(E4981="","Unknown",IF(E4981&lt;10,"&lt;10",IF(E4981&lt;20,"10-&lt;20",IF(E4981&lt;25,"20-&lt;25",IF(E4981&lt;35,"25-&lt;35","35+")))))</x:f>
        <x:v>10-&lt;20</x:v>
      </x:c>
    </x:row>
    <x:row r="4982">
      <x:c r="A4982" t="str">
        <x:v>SYN0004981</x:v>
      </x:c>
      <x:c r="B4982" s="12" t="n">
        <x:v>43255</x:v>
      </x:c>
      <x:c r="C4982" s="18" t="n">
        <x:v>9824</x:v>
      </x:c>
      <x:c r="D4982" s="18" t="n">
        <x:v>23445</x:v>
      </x:c>
      <x:c r="E4982" s="18" t="n">
        <x:v>38.62</x:v>
      </x:c>
      <x:c r="F4982" s="18" t="n">
        <x:v>8.19</x:v>
      </x:c>
      <x:c r="G4982" t="n">
        <x:v>36</x:v>
      </x:c>
      <x:c r="H4982" t="str">
        <x:v>A</x:v>
      </x:c>
      <x:c r="I4982" t="str">
        <x:v>4-6 years</x:v>
      </x:c>
      <x:c r="J4982" t="str">
        <x:v>RENT</x:v>
      </x:c>
      <x:c r="K4982" t="str">
        <x:v>major_purchase</x:v>
      </x:c>
      <x:c r="L4982" t="n">
        <x:v>0</x:v>
      </x:c>
      <x:c r="M4982" t="n">
        <x:v>0</x:v>
      </x:c>
      <x:c r="N4982" t="str">
        <x:v>Fully Paid</x:v>
      </x:c>
      <x:c r="O4982" t="str">
        <x:f>IF(D4982="","Unknown",IF(D4982&lt;25000,"&lt;$25k",IF(D4982&lt;50000,"$25k-$50k",IF(D4982&lt;75000,"$50k-$75k",IF(D4982&lt;100000,"$75k-$100k","$100k+")))))</x:f>
        <x:v>&lt;$25k</x:v>
      </x:c>
      <x:c r="P4982" t="str">
        <x:f>IF(E4982="","Unknown",IF(E4982&lt;10,"&lt;10",IF(E4982&lt;20,"10-&lt;20",IF(E4982&lt;25,"20-&lt;25",IF(E4982&lt;35,"25-&lt;35","35+")))))</x:f>
        <x:v>35+</x:v>
      </x:c>
    </x:row>
    <x:row r="4983">
      <x:c r="A4983" t="str">
        <x:v>SYN0004982</x:v>
      </x:c>
      <x:c r="B4983" s="12" t="n">
        <x:v>42205</x:v>
      </x:c>
      <x:c r="C4983" s="18" t="n">
        <x:v>13301</x:v>
      </x:c>
      <x:c r="D4983" s="18" t="n">
        <x:v>102052</x:v>
      </x:c>
      <x:c r="E4983" s="18" t="n">
        <x:v>15.31</x:v>
      </x:c>
      <x:c r="F4983" s="18" t="n">
        <x:v>7.15</x:v>
      </x:c>
      <x:c r="G4983" t="n">
        <x:v>36</x:v>
      </x:c>
      <x:c r="H4983" t="str">
        <x:v>A</x:v>
      </x:c>
      <x:c r="I4983" t="str">
        <x:v>7-9 years</x:v>
      </x:c>
      <x:c r="J4983" t="str">
        <x:v>RENT</x:v>
      </x:c>
      <x:c r="K4983" t="str">
        <x:v>debt_consolidation</x:v>
      </x:c>
      <x:c r="L4983" t="n">
        <x:v>1</x:v>
      </x:c>
      <x:c r="M4983" t="n">
        <x:v>0</x:v>
      </x:c>
      <x:c r="N4983" t="str">
        <x:v>Fully Paid</x:v>
      </x:c>
      <x:c r="O4983" t="str">
        <x:f>IF(D4983="","Unknown",IF(D4983&lt;25000,"&lt;$25k",IF(D4983&lt;50000,"$25k-$50k",IF(D4983&lt;75000,"$50k-$75k",IF(D4983&lt;100000,"$75k-$100k","$100k+")))))</x:f>
        <x:v>$100k+</x:v>
      </x:c>
      <x:c r="P4983" t="str">
        <x:f>IF(E4983="","Unknown",IF(E4983&lt;10,"&lt;10",IF(E4983&lt;20,"10-&lt;20",IF(E4983&lt;25,"20-&lt;25",IF(E4983&lt;35,"25-&lt;35","35+")))))</x:f>
        <x:v>10-&lt;20</x:v>
      </x:c>
    </x:row>
    <x:row r="4984">
      <x:c r="A4984" t="str">
        <x:v>SYN0004983</x:v>
      </x:c>
      <x:c r="B4984" s="12" t="n">
        <x:v>41545</x:v>
      </x:c>
      <x:c r="C4984" s="18" t="n">
        <x:v>7365</x:v>
      </x:c>
      <x:c r="D4984" s="18" t="n">
        <x:v>28824</x:v>
      </x:c>
      <x:c r="E4984" s="18" t="n">
        <x:v>20.06</x:v>
      </x:c>
      <x:c r="F4984" s="18" t="n">
        <x:v>6.9</x:v>
      </x:c>
      <x:c r="G4984" t="n">
        <x:v>36</x:v>
      </x:c>
      <x:c r="H4984" t="str">
        <x:v>A</x:v>
      </x:c>
      <x:c r="I4984" t="str">
        <x:v>7-9 years</x:v>
      </x:c>
      <x:c r="J4984" t="str">
        <x:v>MORTGAGE</x:v>
      </x:c>
      <x:c r="K4984" t="str">
        <x:v>debt_consolidation</x:v>
      </x:c>
      <x:c r="L4984" t="n">
        <x:v>2</x:v>
      </x:c>
      <x:c r="M4984" t="n">
        <x:v>0</x:v>
      </x:c>
      <x:c r="N4984" t="str">
        <x:v>Fully Paid</x:v>
      </x:c>
      <x:c r="O4984" t="str">
        <x:f>IF(D4984="","Unknown",IF(D4984&lt;25000,"&lt;$25k",IF(D4984&lt;50000,"$25k-$50k",IF(D4984&lt;75000,"$50k-$75k",IF(D4984&lt;100000,"$75k-$100k","$100k+")))))</x:f>
        <x:v>$25k-$50k</x:v>
      </x:c>
      <x:c r="P4984" t="str">
        <x:f>IF(E4984="","Unknown",IF(E4984&lt;10,"&lt;10",IF(E4984&lt;20,"10-&lt;20",IF(E4984&lt;25,"20-&lt;25",IF(E4984&lt;35,"25-&lt;35","35+")))))</x:f>
        <x:v>20-&lt;25</x:v>
      </x:c>
    </x:row>
    <x:row r="4985">
      <x:c r="A4985" t="str">
        <x:v>SYN0004984</x:v>
      </x:c>
      <x:c r="B4985" s="12" t="n">
        <x:v>42985</x:v>
      </x:c>
      <x:c r="C4985" s="18" t="n">
        <x:v>6930</x:v>
      </x:c>
      <x:c r="D4985" s="18" t="n">
        <x:v>30759</x:v>
      </x:c>
      <x:c r="E4985" s="18" t="n">
        <x:v>27.19</x:v>
      </x:c>
      <x:c r="F4985" s="18" t="n">
        <x:v>7.08</x:v>
      </x:c>
      <x:c r="G4985" t="n">
        <x:v>60</x:v>
      </x:c>
      <x:c r="H4985" t="str">
        <x:v>B</x:v>
      </x:c>
      <x:c r="I4985" t="str">
        <x:v>1-3 years</x:v>
      </x:c>
      <x:c r="J4985" t="str">
        <x:v>RENT</x:v>
      </x:c>
      <x:c r="K4985" t="str">
        <x:v>home_improvement</x:v>
      </x:c>
      <x:c r="L4985" t="n">
        <x:v>0</x:v>
      </x:c>
      <x:c r="M4985" t="n">
        <x:v>0</x:v>
      </x:c>
      <x:c r="N4985" t="str">
        <x:v>Fully Paid</x:v>
      </x:c>
      <x:c r="O4985" t="str">
        <x:f>IF(D4985="","Unknown",IF(D4985&lt;25000,"&lt;$25k",IF(D4985&lt;50000,"$25k-$50k",IF(D4985&lt;75000,"$50k-$75k",IF(D4985&lt;100000,"$75k-$100k","$100k+")))))</x:f>
        <x:v>$25k-$50k</x:v>
      </x:c>
      <x:c r="P4985" t="str">
        <x:f>IF(E4985="","Unknown",IF(E4985&lt;10,"&lt;10",IF(E4985&lt;20,"10-&lt;20",IF(E4985&lt;25,"20-&lt;25",IF(E4985&lt;35,"25-&lt;35","35+")))))</x:f>
        <x:v>25-&lt;35</x:v>
      </x:c>
    </x:row>
    <x:row r="4986">
      <x:c r="A4986" t="str">
        <x:v>SYN0004985</x:v>
      </x:c>
      <x:c r="B4986" s="12" t="n">
        <x:v>41305</x:v>
      </x:c>
      <x:c r="C4986" s="18" t="n">
        <x:v>12345</x:v>
      </x:c>
      <x:c r="D4986" s="18" t="n">
        <x:v>39682</x:v>
      </x:c>
      <x:c r="E4986" s="18" t="n">
        <x:v>28.7</x:v>
      </x:c>
      <x:c r="F4986" s="18" t="n">
        <x:v>8.82</x:v>
      </x:c>
      <x:c r="G4986" t="n">
        <x:v>60</x:v>
      </x:c>
      <x:c r="H4986" t="str">
        <x:v>B</x:v>
      </x:c>
      <x:c r="I4986" t="str">
        <x:v>&lt;1 year</x:v>
      </x:c>
      <x:c r="J4986" t="str">
        <x:v>OWN</x:v>
      </x:c>
      <x:c r="K4986" t="str">
        <x:v>credit_card</x:v>
      </x:c>
      <x:c r="L4986" t="n">
        <x:v>1</x:v>
      </x:c>
      <x:c r="M4986" t="n">
        <x:v>0</x:v>
      </x:c>
      <x:c r="N4986" t="str">
        <x:v>Fully Paid</x:v>
      </x:c>
      <x:c r="O4986" t="str">
        <x:f>IF(D4986="","Unknown",IF(D4986&lt;25000,"&lt;$25k",IF(D4986&lt;50000,"$25k-$50k",IF(D4986&lt;75000,"$50k-$75k",IF(D4986&lt;100000,"$75k-$100k","$100k+")))))</x:f>
        <x:v>$25k-$50k</x:v>
      </x:c>
      <x:c r="P4986" t="str">
        <x:f>IF(E4986="","Unknown",IF(E4986&lt;10,"&lt;10",IF(E4986&lt;20,"10-&lt;20",IF(E4986&lt;25,"20-&lt;25",IF(E4986&lt;35,"25-&lt;35","35+")))))</x:f>
        <x:v>25-&lt;35</x:v>
      </x:c>
    </x:row>
    <x:row r="4987">
      <x:c r="A4987" t="str">
        <x:v>SYN0004986</x:v>
      </x:c>
      <x:c r="B4987" s="12" t="n">
        <x:v>42925</x:v>
      </x:c>
      <x:c r="C4987" s="18" t="n">
        <x:v>10226</x:v>
      </x:c>
      <x:c r="D4987" s="18" t="n">
        <x:v>92557</x:v>
      </x:c>
      <x:c r="E4987" s="18" t="n">
        <x:v>22.44</x:v>
      </x:c>
      <x:c r="F4987" s="18" t="n">
        <x:v>22.91</x:v>
      </x:c>
      <x:c r="G4987" t="n">
        <x:v>60</x:v>
      </x:c>
      <x:c r="H4987" t="str">
        <x:v>F</x:v>
      </x:c>
      <x:c r="I4987" t="str">
        <x:v>4-6 years</x:v>
      </x:c>
      <x:c r="J4987" t="str">
        <x:v>RENT</x:v>
      </x:c>
      <x:c r="K4987" t="str">
        <x:v>debt_consolidation</x:v>
      </x:c>
      <x:c r="L4987" t="n">
        <x:v>1</x:v>
      </x:c>
      <x:c r="M4987" t="n">
        <x:v>0</x:v>
      </x:c>
      <x:c r="N4987" t="str">
        <x:v>Fully Paid</x:v>
      </x:c>
      <x:c r="O4987" t="str">
        <x:f>IF(D4987="","Unknown",IF(D4987&lt;25000,"&lt;$25k",IF(D4987&lt;50000,"$25k-$50k",IF(D4987&lt;75000,"$50k-$75k",IF(D4987&lt;100000,"$75k-$100k","$100k+")))))</x:f>
        <x:v>$75k-$100k</x:v>
      </x:c>
      <x:c r="P4987" t="str">
        <x:f>IF(E4987="","Unknown",IF(E4987&lt;10,"&lt;10",IF(E4987&lt;20,"10-&lt;20",IF(E4987&lt;25,"20-&lt;25",IF(E4987&lt;35,"25-&lt;35","35+")))))</x:f>
        <x:v>20-&lt;25</x:v>
      </x:c>
    </x:row>
    <x:row r="4988">
      <x:c r="A4988" t="str">
        <x:v>SYN0004987</x:v>
      </x:c>
      <x:c r="B4988" s="12" t="n">
        <x:v>41485</x:v>
      </x:c>
      <x:c r="C4988" s="18" t="n">
        <x:v>7200</x:v>
      </x:c>
      <x:c r="D4988" s="18" t="n">
        <x:v>30558</x:v>
      </x:c>
      <x:c r="E4988" s="18" t="n">
        <x:v>6.54</x:v>
      </x:c>
      <x:c r="F4988" s="18" t="n">
        <x:v>8</x:v>
      </x:c>
      <x:c r="G4988" t="n">
        <x:v>36</x:v>
      </x:c>
      <x:c r="H4988" t="str">
        <x:v>A</x:v>
      </x:c>
      <x:c r="I4988" t="str">
        <x:v>7-9 years</x:v>
      </x:c>
      <x:c r="J4988" t="str">
        <x:v>MORTGAGE</x:v>
      </x:c>
      <x:c r="K4988" t="str">
        <x:v>home_improvement</x:v>
      </x:c>
      <x:c r="L4988" t="n">
        <x:v>1</x:v>
      </x:c>
      <x:c r="M4988" t="n">
        <x:v>0</x:v>
      </x:c>
      <x:c r="N4988" t="str">
        <x:v>Fully Paid</x:v>
      </x:c>
      <x:c r="O4988" t="str">
        <x:f>IF(D4988="","Unknown",IF(D4988&lt;25000,"&lt;$25k",IF(D4988&lt;50000,"$25k-$50k",IF(D4988&lt;75000,"$50k-$75k",IF(D4988&lt;100000,"$75k-$100k","$100k+")))))</x:f>
        <x:v>$25k-$50k</x:v>
      </x:c>
      <x:c r="P4988" t="str">
        <x:f>IF(E4988="","Unknown",IF(E4988&lt;10,"&lt;10",IF(E4988&lt;20,"10-&lt;20",IF(E4988&lt;25,"20-&lt;25",IF(E4988&lt;35,"25-&lt;35","35+")))))</x:f>
        <x:v>&lt;10</x:v>
      </x:c>
    </x:row>
    <x:row r="4989">
      <x:c r="A4989" t="str">
        <x:v>SYN0004988</x:v>
      </x:c>
      <x:c r="B4989" s="12" t="n">
        <x:v>41455</x:v>
      </x:c>
      <x:c r="C4989" s="18" t="n">
        <x:v>6053</x:v>
      </x:c>
      <x:c r="D4989" s="18" t="n">
        <x:v>16368</x:v>
      </x:c>
      <x:c r="E4989" s="18" t="n">
        <x:v>9.82</x:v>
      </x:c>
      <x:c r="F4989" s="18" t="n">
        <x:v>10.33</x:v>
      </x:c>
      <x:c r="G4989" t="n">
        <x:v>36</x:v>
      </x:c>
      <x:c r="H4989" t="str">
        <x:v>B</x:v>
      </x:c>
      <x:c r="I4989" t="str">
        <x:v>1-3 years</x:v>
      </x:c>
      <x:c r="J4989" t="str">
        <x:v>RENT</x:v>
      </x:c>
      <x:c r="K4989" t="str">
        <x:v>other</x:v>
      </x:c>
      <x:c r="L4989" t="n">
        <x:v>0</x:v>
      </x:c>
      <x:c r="M4989" t="n">
        <x:v>0</x:v>
      </x:c>
      <x:c r="N4989" t="str">
        <x:v>Fully Paid</x:v>
      </x:c>
      <x:c r="O4989" t="str">
        <x:f>IF(D4989="","Unknown",IF(D4989&lt;25000,"&lt;$25k",IF(D4989&lt;50000,"$25k-$50k",IF(D4989&lt;75000,"$50k-$75k",IF(D4989&lt;100000,"$75k-$100k","$100k+")))))</x:f>
        <x:v>&lt;$25k</x:v>
      </x:c>
      <x:c r="P4989" t="str">
        <x:f>IF(E4989="","Unknown",IF(E4989&lt;10,"&lt;10",IF(E4989&lt;20,"10-&lt;20",IF(E4989&lt;25,"20-&lt;25",IF(E4989&lt;35,"25-&lt;35","35+")))))</x:f>
        <x:v>&lt;10</x:v>
      </x:c>
    </x:row>
    <x:row r="4990">
      <x:c r="A4990" t="str">
        <x:v>SYN0004989</x:v>
      </x:c>
      <x:c r="B4990" s="12" t="n">
        <x:v>42595</x:v>
      </x:c>
      <x:c r="C4990" s="18" t="n">
        <x:v>14057</x:v>
      </x:c>
      <x:c r="D4990" s="18" t="n">
        <x:v>85997</x:v>
      </x:c>
      <x:c r="E4990" s="18" t="n">
        <x:v>26.2</x:v>
      </x:c>
      <x:c r="F4990" s="18" t="n">
        <x:v>9.22</x:v>
      </x:c>
      <x:c r="G4990" t="n">
        <x:v>36</x:v>
      </x:c>
      <x:c r="H4990" t="str">
        <x:v>C</x:v>
      </x:c>
      <x:c r="I4990" t="str">
        <x:v>4-6 years</x:v>
      </x:c>
      <x:c r="J4990" t="str">
        <x:v>MORTGAGE</x:v>
      </x:c>
      <x:c r="K4990" t="str">
        <x:v>other</x:v>
      </x:c>
      <x:c r="L4990" t="n">
        <x:v>0</x:v>
      </x:c>
      <x:c r="M4990" t="n">
        <x:v>0</x:v>
      </x:c>
      <x:c r="N4990" t="str">
        <x:v>Fully Paid</x:v>
      </x:c>
      <x:c r="O4990" t="str">
        <x:f>IF(D4990="","Unknown",IF(D4990&lt;25000,"&lt;$25k",IF(D4990&lt;50000,"$25k-$50k",IF(D4990&lt;75000,"$50k-$75k",IF(D4990&lt;100000,"$75k-$100k","$100k+")))))</x:f>
        <x:v>$75k-$100k</x:v>
      </x:c>
      <x:c r="P4990" t="str">
        <x:f>IF(E4990="","Unknown",IF(E4990&lt;10,"&lt;10",IF(E4990&lt;20,"10-&lt;20",IF(E4990&lt;25,"20-&lt;25",IF(E4990&lt;35,"25-&lt;35","35+")))))</x:f>
        <x:v>25-&lt;35</x:v>
      </x:c>
    </x:row>
    <x:row r="4991">
      <x:c r="A4991" t="str">
        <x:v>SYN0004990</x:v>
      </x:c>
      <x:c r="B4991" s="12" t="n">
        <x:v>41545</x:v>
      </x:c>
      <x:c r="C4991" s="18" t="n">
        <x:v>12384</x:v>
      </x:c>
      <x:c r="D4991" s="18" t="n">
        <x:v>73338</x:v>
      </x:c>
      <x:c r="E4991" s="18" t="n">
        <x:v>0</x:v>
      </x:c>
      <x:c r="F4991" s="18" t="n">
        <x:v>27.09</x:v>
      </x:c>
      <x:c r="G4991" t="n">
        <x:v>36</x:v>
      </x:c>
      <x:c r="H4991" t="str">
        <x:v>G</x:v>
      </x:c>
      <x:c r="I4991" t="str">
        <x:v>&lt;1 year</x:v>
      </x:c>
      <x:c r="J4991" t="str">
        <x:v>RENT</x:v>
      </x:c>
      <x:c r="K4991" t="str">
        <x:v>home_improvement</x:v>
      </x:c>
      <x:c r="L4991" t="n">
        <x:v>2</x:v>
      </x:c>
      <x:c r="M4991" t="n">
        <x:v>1</x:v>
      </x:c>
      <x:c r="N4991" t="str">
        <x:v>Charged Off</x:v>
      </x:c>
      <x:c r="O4991" t="str">
        <x:f>IF(D4991="","Unknown",IF(D4991&lt;25000,"&lt;$25k",IF(D4991&lt;50000,"$25k-$50k",IF(D4991&lt;75000,"$50k-$75k",IF(D4991&lt;100000,"$75k-$100k","$100k+")))))</x:f>
        <x:v>$50k-$75k</x:v>
      </x:c>
      <x:c r="P4991" t="str">
        <x:f>IF(E4991="","Unknown",IF(E4991&lt;10,"&lt;10",IF(E4991&lt;20,"10-&lt;20",IF(E4991&lt;25,"20-&lt;25",IF(E4991&lt;35,"25-&lt;35","35+")))))</x:f>
        <x:v>Unknown</x:v>
      </x:c>
    </x:row>
    <x:row r="4992">
      <x:c r="A4992" t="str">
        <x:v>SYN0004991</x:v>
      </x:c>
      <x:c r="B4992" s="12" t="n">
        <x:v>42055</x:v>
      </x:c>
      <x:c r="C4992" s="18" t="n">
        <x:v>10087</x:v>
      </x:c>
      <x:c r="D4992" s="18" t="n">
        <x:v>36235</x:v>
      </x:c>
      <x:c r="E4992" s="18" t="n">
        <x:v>17.56</x:v>
      </x:c>
      <x:c r="F4992" s="18" t="n">
        <x:v>5</x:v>
      </x:c>
      <x:c r="G4992" t="n">
        <x:v>36</x:v>
      </x:c>
      <x:c r="H4992" t="str">
        <x:v>B</x:v>
      </x:c>
      <x:c r="I4992" t="str">
        <x:v>10+ years</x:v>
      </x:c>
      <x:c r="J4992" t="str">
        <x:v>MORTGAGE</x:v>
      </x:c>
      <x:c r="K4992" t="str">
        <x:v>home_improvement</x:v>
      </x:c>
      <x:c r="L4992" t="n">
        <x:v>0</x:v>
      </x:c>
      <x:c r="M4992" t="n">
        <x:v>0</x:v>
      </x:c>
      <x:c r="N4992" t="str">
        <x:v>Fully Paid</x:v>
      </x:c>
      <x:c r="O4992" t="str">
        <x:f>IF(D4992="","Unknown",IF(D4992&lt;25000,"&lt;$25k",IF(D4992&lt;50000,"$25k-$50k",IF(D4992&lt;75000,"$50k-$75k",IF(D4992&lt;100000,"$75k-$100k","$100k+")))))</x:f>
        <x:v>$25k-$50k</x:v>
      </x:c>
      <x:c r="P4992" t="str">
        <x:f>IF(E4992="","Unknown",IF(E4992&lt;10,"&lt;10",IF(E4992&lt;20,"10-&lt;20",IF(E4992&lt;25,"20-&lt;25",IF(E4992&lt;35,"25-&lt;35","35+")))))</x:f>
        <x:v>10-&lt;20</x:v>
      </x:c>
    </x:row>
    <x:row r="4993">
      <x:c r="A4993" t="str">
        <x:v>SYN0004992</x:v>
      </x:c>
      <x:c r="B4993" s="12" t="n">
        <x:v>42115</x:v>
      </x:c>
      <x:c r="C4993" s="18" t="n">
        <x:v>12844</x:v>
      </x:c>
      <x:c r="D4993" s="18" t="n">
        <x:v>69144</x:v>
      </x:c>
      <x:c r="E4993" s="18" t="n">
        <x:v>26.67</x:v>
      </x:c>
      <x:c r="F4993" s="18" t="n">
        <x:v>15</x:v>
      </x:c>
      <x:c r="G4993" t="n">
        <x:v>36</x:v>
      </x:c>
      <x:c r="H4993" t="str">
        <x:v>D</x:v>
      </x:c>
      <x:c r="I4993" t="str">
        <x:v>4-6 years</x:v>
      </x:c>
      <x:c r="J4993" t="str">
        <x:v>OWN</x:v>
      </x:c>
      <x:c r="K4993" t="str">
        <x:v>major_purchase</x:v>
      </x:c>
      <x:c r="L4993" t="n">
        <x:v>0</x:v>
      </x:c>
      <x:c r="M4993" t="n">
        <x:v>0</x:v>
      </x:c>
      <x:c r="N4993" t="str">
        <x:v>Fully Paid</x:v>
      </x:c>
      <x:c r="O4993" t="str">
        <x:f>IF(D4993="","Unknown",IF(D4993&lt;25000,"&lt;$25k",IF(D4993&lt;50000,"$25k-$50k",IF(D4993&lt;75000,"$50k-$75k",IF(D4993&lt;100000,"$75k-$100k","$100k+")))))</x:f>
        <x:v>$50k-$75k</x:v>
      </x:c>
      <x:c r="P4993" t="str">
        <x:f>IF(E4993="","Unknown",IF(E4993&lt;10,"&lt;10",IF(E4993&lt;20,"10-&lt;20",IF(E4993&lt;25,"20-&lt;25",IF(E4993&lt;35,"25-&lt;35","35+")))))</x:f>
        <x:v>25-&lt;35</x:v>
      </x:c>
    </x:row>
    <x:row r="4994">
      <x:c r="A4994" t="str">
        <x:v>SYN0004993</x:v>
      </x:c>
      <x:c r="B4994" s="12" t="n">
        <x:v>41545</x:v>
      </x:c>
      <x:c r="C4994" s="18" t="n">
        <x:v>10818</x:v>
      </x:c>
      <x:c r="D4994" s="18" t="n">
        <x:v>41262</x:v>
      </x:c>
      <x:c r="E4994" s="18" t="n">
        <x:v>12.14</x:v>
      </x:c>
      <x:c r="F4994" s="18" t="n">
        <x:v>6.65</x:v>
      </x:c>
      <x:c r="G4994" t="n">
        <x:v>60</x:v>
      </x:c>
      <x:c r="H4994" t="str">
        <x:v>B</x:v>
      </x:c>
      <x:c r="I4994" t="str">
        <x:v>7-9 years</x:v>
      </x:c>
      <x:c r="J4994" t="str">
        <x:v>RENT</x:v>
      </x:c>
      <x:c r="K4994" t="str">
        <x:v>credit_card</x:v>
      </x:c>
      <x:c r="L4994" t="n">
        <x:v>0</x:v>
      </x:c>
      <x:c r="M4994" t="n">
        <x:v>0</x:v>
      </x:c>
      <x:c r="N4994" t="str">
        <x:v>Fully Paid</x:v>
      </x:c>
      <x:c r="O4994" t="str">
        <x:f>IF(D4994="","Unknown",IF(D4994&lt;25000,"&lt;$25k",IF(D4994&lt;50000,"$25k-$50k",IF(D4994&lt;75000,"$50k-$75k",IF(D4994&lt;100000,"$75k-$100k","$100k+")))))</x:f>
        <x:v>$25k-$50k</x:v>
      </x:c>
      <x:c r="P4994" t="str">
        <x:f>IF(E4994="","Unknown",IF(E4994&lt;10,"&lt;10",IF(E4994&lt;20,"10-&lt;20",IF(E4994&lt;25,"20-&lt;25",IF(E4994&lt;35,"25-&lt;35","35+")))))</x:f>
        <x:v>10-&lt;20</x:v>
      </x:c>
    </x:row>
    <x:row r="4995">
      <x:c r="A4995" t="str">
        <x:v>SYN0004994</x:v>
      </x:c>
      <x:c r="B4995" s="12" t="n">
        <x:v>41845</x:v>
      </x:c>
      <x:c r="C4995" s="18" t="n">
        <x:v>6071</x:v>
      </x:c>
      <x:c r="D4995" s="18" t="n">
        <x:v>17454</x:v>
      </x:c>
      <x:c r="E4995" s="18" t="n">
        <x:v>38.35</x:v>
      </x:c>
      <x:c r="F4995" s="18" t="n">
        <x:v>13.1</x:v>
      </x:c>
      <x:c r="G4995" t="n">
        <x:v>60</x:v>
      </x:c>
      <x:c r="H4995" t="str">
        <x:v>D</x:v>
      </x:c>
      <x:c r="I4995" t="str">
        <x:v>4-6 years</x:v>
      </x:c>
      <x:c r="J4995" t="str">
        <x:v>MORTGAGE</x:v>
      </x:c>
      <x:c r="K4995" t="str">
        <x:v>debt_consolidation</x:v>
      </x:c>
      <x:c r="L4995" t="n">
        <x:v>1</x:v>
      </x:c>
      <x:c r="M4995" t="n">
        <x:v>0</x:v>
      </x:c>
      <x:c r="N4995" t="str">
        <x:v>Fully Paid</x:v>
      </x:c>
      <x:c r="O4995" t="str">
        <x:f>IF(D4995="","Unknown",IF(D4995&lt;25000,"&lt;$25k",IF(D4995&lt;50000,"$25k-$50k",IF(D4995&lt;75000,"$50k-$75k",IF(D4995&lt;100000,"$75k-$100k","$100k+")))))</x:f>
        <x:v>&lt;$25k</x:v>
      </x:c>
      <x:c r="P4995" t="str">
        <x:f>IF(E4995="","Unknown",IF(E4995&lt;10,"&lt;10",IF(E4995&lt;20,"10-&lt;20",IF(E4995&lt;25,"20-&lt;25",IF(E4995&lt;35,"25-&lt;35","35+")))))</x:f>
        <x:v>35+</x:v>
      </x:c>
    </x:row>
    <x:row r="4996">
      <x:c r="A4996" t="str">
        <x:v>SYN0004995</x:v>
      </x:c>
      <x:c r="B4996" s="12" t="n">
        <x:v>42175</x:v>
      </x:c>
      <x:c r="C4996" s="18" t="n">
        <x:v>10580</x:v>
      </x:c>
      <x:c r="D4996" s="18" t="n">
        <x:v>109603</x:v>
      </x:c>
      <x:c r="E4996" s="18" t="n">
        <x:v>37.11</x:v>
      </x:c>
      <x:c r="F4996" s="18" t="n">
        <x:v>27.38</x:v>
      </x:c>
      <x:c r="G4996" t="n">
        <x:v>36</x:v>
      </x:c>
      <x:c r="H4996" t="str">
        <x:v>G</x:v>
      </x:c>
      <x:c r="I4996" t="str">
        <x:v>10+ years</x:v>
      </x:c>
      <x:c r="J4996" t="str">
        <x:v>OWN</x:v>
      </x:c>
      <x:c r="K4996" t="str">
        <x:v>credit_card</x:v>
      </x:c>
      <x:c r="L4996" t="n">
        <x:v>1</x:v>
      </x:c>
      <x:c r="M4996" t="n">
        <x:v>0</x:v>
      </x:c>
      <x:c r="N4996" t="str">
        <x:v>Fully Paid</x:v>
      </x:c>
      <x:c r="O4996" t="str">
        <x:f>IF(D4996="","Unknown",IF(D4996&lt;25000,"&lt;$25k",IF(D4996&lt;50000,"$25k-$50k",IF(D4996&lt;75000,"$50k-$75k",IF(D4996&lt;100000,"$75k-$100k","$100k+")))))</x:f>
        <x:v>$100k+</x:v>
      </x:c>
      <x:c r="P4996" t="str">
        <x:f>IF(E4996="","Unknown",IF(E4996&lt;10,"&lt;10",IF(E4996&lt;20,"10-&lt;20",IF(E4996&lt;25,"20-&lt;25",IF(E4996&lt;35,"25-&lt;35","35+")))))</x:f>
        <x:v>35+</x:v>
      </x:c>
    </x:row>
    <x:row r="4997">
      <x:c r="A4997" t="str">
        <x:v>SYN0004996</x:v>
      </x:c>
      <x:c r="B4997" s="12" t="n">
        <x:v>41575</x:v>
      </x:c>
      <x:c r="C4997" s="18" t="n">
        <x:v>10154</x:v>
      </x:c>
      <x:c r="D4997" s="18" t="n">
        <x:v>37388</x:v>
      </x:c>
      <x:c r="E4997" s="18" t="n">
        <x:v>25.62</x:v>
      </x:c>
      <x:c r="F4997" s="18" t="n">
        <x:v>11.18</x:v>
      </x:c>
      <x:c r="G4997" t="n">
        <x:v>36</x:v>
      </x:c>
      <x:c r="H4997" t="str">
        <x:v>B</x:v>
      </x:c>
      <x:c r="I4997" t="str">
        <x:v>4-6 years</x:v>
      </x:c>
      <x:c r="J4997" t="str">
        <x:v>MORTGAGE</x:v>
      </x:c>
      <x:c r="K4997" t="str">
        <x:v>other</x:v>
      </x:c>
      <x:c r="L4997" t="n">
        <x:v>0</x:v>
      </x:c>
      <x:c r="M4997" t="n">
        <x:v>0</x:v>
      </x:c>
      <x:c r="N4997" t="str">
        <x:v>Fully Paid</x:v>
      </x:c>
      <x:c r="O4997" t="str">
        <x:f>IF(D4997="","Unknown",IF(D4997&lt;25000,"&lt;$25k",IF(D4997&lt;50000,"$25k-$50k",IF(D4997&lt;75000,"$50k-$75k",IF(D4997&lt;100000,"$75k-$100k","$100k+")))))</x:f>
        <x:v>$25k-$50k</x:v>
      </x:c>
      <x:c r="P4997" t="str">
        <x:f>IF(E4997="","Unknown",IF(E4997&lt;10,"&lt;10",IF(E4997&lt;20,"10-&lt;20",IF(E4997&lt;25,"20-&lt;25",IF(E4997&lt;35,"25-&lt;35","35+")))))</x:f>
        <x:v>25-&lt;35</x:v>
      </x:c>
    </x:row>
    <x:row r="4998">
      <x:c r="A4998" t="str">
        <x:v>SYN0004997</x:v>
      </x:c>
      <x:c r="B4998" s="12" t="n">
        <x:v>42115</x:v>
      </x:c>
      <x:c r="C4998" s="18" t="n">
        <x:v>10510</x:v>
      </x:c>
      <x:c r="D4998" s="18" t="n">
        <x:v>92921</x:v>
      </x:c>
      <x:c r="E4998" s="18" t="n">
        <x:v>9.02</x:v>
      </x:c>
      <x:c r="F4998" s="18" t="n">
        <x:v>7.45</x:v>
      </x:c>
      <x:c r="G4998" t="n">
        <x:v>60</x:v>
      </x:c>
      <x:c r="H4998" t="str">
        <x:v>C</x:v>
      </x:c>
      <x:c r="I4998" t="str">
        <x:v>4-6 years</x:v>
      </x:c>
      <x:c r="J4998" t="str">
        <x:v>MORTGAGE</x:v>
      </x:c>
      <x:c r="K4998" t="str">
        <x:v>debt_consolidation</x:v>
      </x:c>
      <x:c r="L4998" t="n">
        <x:v>0</x:v>
      </x:c>
      <x:c r="M4998" t="n">
        <x:v>0</x:v>
      </x:c>
      <x:c r="N4998" t="str">
        <x:v>Fully Paid</x:v>
      </x:c>
      <x:c r="O4998" t="str">
        <x:f>IF(D4998="","Unknown",IF(D4998&lt;25000,"&lt;$25k",IF(D4998&lt;50000,"$25k-$50k",IF(D4998&lt;75000,"$50k-$75k",IF(D4998&lt;100000,"$75k-$100k","$100k+")))))</x:f>
        <x:v>$75k-$100k</x:v>
      </x:c>
      <x:c r="P4998" t="str">
        <x:f>IF(E4998="","Unknown",IF(E4998&lt;10,"&lt;10",IF(E4998&lt;20,"10-&lt;20",IF(E4998&lt;25,"20-&lt;25",IF(E4998&lt;35,"25-&lt;35","35+")))))</x:f>
        <x:v>&lt;10</x:v>
      </x:c>
    </x:row>
    <x:row r="4999">
      <x:c r="A4999" t="str">
        <x:v>SYN0004998</x:v>
      </x:c>
      <x:c r="B4999" s="12" t="n">
        <x:v>42715</x:v>
      </x:c>
      <x:c r="C4999" s="18" t="n">
        <x:v>5798</x:v>
      </x:c>
      <x:c r="D4999" s="18" t="n">
        <x:v>29820</x:v>
      </x:c>
      <x:c r="E4999" s="18" t="n">
        <x:v>16.26</x:v>
      </x:c>
      <x:c r="F4999" s="18" t="n">
        <x:v>11.85</x:v>
      </x:c>
      <x:c r="G4999" t="n">
        <x:v>36</x:v>
      </x:c>
      <x:c r="H4999" t="str">
        <x:v>C</x:v>
      </x:c>
      <x:c r="I4999" t="str">
        <x:v>10+ years</x:v>
      </x:c>
      <x:c r="J4999" t="str">
        <x:v>MORTGAGE</x:v>
      </x:c>
      <x:c r="K4999" t="str">
        <x:v>debt_consolidation</x:v>
      </x:c>
      <x:c r="L4999" t="n">
        <x:v>0</x:v>
      </x:c>
      <x:c r="M4999" t="n">
        <x:v>0</x:v>
      </x:c>
      <x:c r="N4999" t="str">
        <x:v>Fully Paid</x:v>
      </x:c>
      <x:c r="O4999" t="str">
        <x:f>IF(D4999="","Unknown",IF(D4999&lt;25000,"&lt;$25k",IF(D4999&lt;50000,"$25k-$50k",IF(D4999&lt;75000,"$50k-$75k",IF(D4999&lt;100000,"$75k-$100k","$100k+")))))</x:f>
        <x:v>$25k-$50k</x:v>
      </x:c>
      <x:c r="P4999" t="str">
        <x:f>IF(E4999="","Unknown",IF(E4999&lt;10,"&lt;10",IF(E4999&lt;20,"10-&lt;20",IF(E4999&lt;25,"20-&lt;25",IF(E4999&lt;35,"25-&lt;35","35+")))))</x:f>
        <x:v>10-&lt;20</x:v>
      </x:c>
    </x:row>
    <x:row r="5000">
      <x:c r="A5000" t="str">
        <x:v>SYN0004999</x:v>
      </x:c>
      <x:c r="B5000" s="12" t="n">
        <x:v>42475</x:v>
      </x:c>
      <x:c r="C5000" s="18" t="n">
        <x:v>21141</x:v>
      </x:c>
      <x:c r="D5000" s="18" t="n">
        <x:v>32015</x:v>
      </x:c>
      <x:c r="E5000" s="18" t="n">
        <x:v>31.59</x:v>
      </x:c>
      <x:c r="F5000" s="18" t="n">
        <x:v>11</x:v>
      </x:c>
      <x:c r="G5000" t="n">
        <x:v>36</x:v>
      </x:c>
      <x:c r="H5000" t="str">
        <x:v>C</x:v>
      </x:c>
      <x:c r="I5000" t="str">
        <x:v>7-9 years</x:v>
      </x:c>
      <x:c r="J5000" t="str">
        <x:v>RENT</x:v>
      </x:c>
      <x:c r="K5000" t="str">
        <x:v>home_improvement</x:v>
      </x:c>
      <x:c r="L5000" t="n">
        <x:v>1</x:v>
      </x:c>
      <x:c r="M5000" t="n">
        <x:v>0</x:v>
      </x:c>
      <x:c r="N5000" t="str">
        <x:v>Fully Paid</x:v>
      </x:c>
      <x:c r="O5000" t="str">
        <x:f>IF(D5000="","Unknown",IF(D5000&lt;25000,"&lt;$25k",IF(D5000&lt;50000,"$25k-$50k",IF(D5000&lt;75000,"$50k-$75k",IF(D5000&lt;100000,"$75k-$100k","$100k+")))))</x:f>
        <x:v>$25k-$50k</x:v>
      </x:c>
      <x:c r="P5000" t="str">
        <x:f>IF(E5000="","Unknown",IF(E5000&lt;10,"&lt;10",IF(E5000&lt;20,"10-&lt;20",IF(E5000&lt;25,"20-&lt;25",IF(E5000&lt;35,"25-&lt;35","35+")))))</x:f>
        <x:v>25-&lt;35</x:v>
      </x:c>
    </x:row>
    <x:row r="5001">
      <x:c r="A5001" t="str">
        <x:v>SYN0005000</x:v>
      </x:c>
      <x:c r="B5001" s="12" t="n">
        <x:v>42985</x:v>
      </x:c>
      <x:c r="C5001" s="18" t="n">
        <x:v>10444</x:v>
      </x:c>
      <x:c r="D5001" s="18" t="n">
        <x:v>140554</x:v>
      </x:c>
      <x:c r="E5001" s="18" t="n">
        <x:v>18.61</x:v>
      </x:c>
      <x:c r="F5001" s="18" t="n">
        <x:v>8.72</x:v>
      </x:c>
      <x:c r="G5001" t="n">
        <x:v>60</x:v>
      </x:c>
      <x:c r="H5001" t="str">
        <x:v>B</x:v>
      </x:c>
      <x:c r="I5001" t="str">
        <x:v>&lt;1 year</x:v>
      </x:c>
      <x:c r="J5001" t="str">
        <x:v>RENT</x:v>
      </x:c>
      <x:c r="K5001" t="str">
        <x:v>home_improvement</x:v>
      </x:c>
      <x:c r="L5001" t="n">
        <x:v>1</x:v>
      </x:c>
      <x:c r="M5001" t="n">
        <x:v>0</x:v>
      </x:c>
      <x:c r="N5001" t="str">
        <x:v>Fully Paid</x:v>
      </x:c>
      <x:c r="O5001" t="str">
        <x:f>IF(D5001="","Unknown",IF(D5001&lt;25000,"&lt;$25k",IF(D5001&lt;50000,"$25k-$50k",IF(D5001&lt;75000,"$50k-$75k",IF(D5001&lt;100000,"$75k-$100k","$100k+")))))</x:f>
        <x:v>$100k+</x:v>
      </x:c>
      <x:c r="P5001" t="str">
        <x:f>IF(E5001="","Unknown",IF(E5001&lt;10,"&lt;10",IF(E5001&lt;20,"10-&lt;20",IF(E5001&lt;25,"20-&lt;25",IF(E5001&lt;35,"25-&lt;35","35+")))))</x:f>
        <x:v>10-&lt;20</x:v>
      </x:c>
    </x:row>
    <x:row r="5002">
      <x:c r="A5002" t="str">
        <x:v>SYN0005001</x:v>
      </x:c>
      <x:c r="B5002" s="12" t="n">
        <x:v>43345</x:v>
      </x:c>
      <x:c r="C5002" s="18" t="n">
        <x:v>15083</x:v>
      </x:c>
      <x:c r="D5002" s="18" t="n">
        <x:v>86076</x:v>
      </x:c>
      <x:c r="E5002" s="18" t="n">
        <x:v>14.45</x:v>
      </x:c>
      <x:c r="F5002" s="18" t="n">
        <x:v>20.95</x:v>
      </x:c>
      <x:c r="G5002" t="n">
        <x:v>36</x:v>
      </x:c>
      <x:c r="H5002" t="str">
        <x:v>F</x:v>
      </x:c>
      <x:c r="I5002" t="str">
        <x:v>&lt;1 year</x:v>
      </x:c>
      <x:c r="J5002" t="str">
        <x:v>MORTGAGE</x:v>
      </x:c>
      <x:c r="K5002" t="str">
        <x:v>debt_consolidation</x:v>
      </x:c>
      <x:c r="L5002" t="n">
        <x:v>1</x:v>
      </x:c>
      <x:c r="M5002" t="n">
        <x:v>0</x:v>
      </x:c>
      <x:c r="N5002" t="str">
        <x:v>Fully Paid</x:v>
      </x:c>
      <x:c r="O5002" t="str">
        <x:f>IF(D5002="","Unknown",IF(D5002&lt;25000,"&lt;$25k",IF(D5002&lt;50000,"$25k-$50k",IF(D5002&lt;75000,"$50k-$75k",IF(D5002&lt;100000,"$75k-$100k","$100k+")))))</x:f>
        <x:v>$75k-$100k</x:v>
      </x:c>
      <x:c r="P5002" t="str">
        <x:f>IF(E5002="","Unknown",IF(E5002&lt;10,"&lt;10",IF(E5002&lt;20,"10-&lt;20",IF(E5002&lt;25,"20-&lt;25",IF(E5002&lt;35,"25-&lt;35","35+")))))</x:f>
        <x:v>10-&lt;20</x:v>
      </x:c>
    </x:row>
    <x:row r="5003">
      <x:c r="A5003" t="str">
        <x:v>SYN0005002</x:v>
      </x:c>
      <x:c r="B5003" s="12" t="n">
        <x:v>41455</x:v>
      </x:c>
      <x:c r="C5003" s="18" t="n">
        <x:v>14662</x:v>
      </x:c>
      <x:c r="D5003" s="18" t="n">
        <x:v>39472</x:v>
      </x:c>
      <x:c r="E5003" s="18" t="n">
        <x:v>9.97</x:v>
      </x:c>
      <x:c r="F5003" s="18" t="n">
        <x:v>14.45</x:v>
      </x:c>
      <x:c r="G5003" t="n">
        <x:v>36</x:v>
      </x:c>
      <x:c r="H5003" t="str">
        <x:v>C</x:v>
      </x:c>
      <x:c r="I5003" t="str">
        <x:v>1-3 years</x:v>
      </x:c>
      <x:c r="J5003" t="str">
        <x:v>MORTGAGE</x:v>
      </x:c>
      <x:c r="K5003" t="str">
        <x:v>credit_card</x:v>
      </x:c>
      <x:c r="L5003" t="n">
        <x:v>0</x:v>
      </x:c>
      <x:c r="M5003" t="n">
        <x:v>0</x:v>
      </x:c>
      <x:c r="N5003" t="str">
        <x:v>Fully Paid</x:v>
      </x:c>
      <x:c r="O5003" t="str">
        <x:f>IF(D5003="","Unknown",IF(D5003&lt;25000,"&lt;$25k",IF(D5003&lt;50000,"$25k-$50k",IF(D5003&lt;75000,"$50k-$75k",IF(D5003&lt;100000,"$75k-$100k","$100k+")))))</x:f>
        <x:v>$25k-$50k</x:v>
      </x:c>
      <x:c r="P5003" t="str">
        <x:f>IF(E5003="","Unknown",IF(E5003&lt;10,"&lt;10",IF(E5003&lt;20,"10-&lt;20",IF(E5003&lt;25,"20-&lt;25",IF(E5003&lt;35,"25-&lt;35","35+")))))</x:f>
        <x:v>&lt;10</x:v>
      </x:c>
    </x:row>
    <x:row r="5004">
      <x:c r="A5004" t="str">
        <x:v>SYN0005003</x:v>
      </x:c>
      <x:c r="B5004" s="12" t="n">
        <x:v>41335</x:v>
      </x:c>
      <x:c r="C5004" s="18" t="n">
        <x:v>9712</x:v>
      </x:c>
      <x:c r="D5004" s="18" t="n">
        <x:v>58318</x:v>
      </x:c>
      <x:c r="E5004" s="18" t="n">
        <x:v>22.35</x:v>
      </x:c>
      <x:c r="F5004" s="18" t="n">
        <x:v>18.82</x:v>
      </x:c>
      <x:c r="G5004" t="n">
        <x:v>36</x:v>
      </x:c>
      <x:c r="H5004" t="str">
        <x:v>E</x:v>
      </x:c>
      <x:c r="I5004" t="str">
        <x:v>4-6 years</x:v>
      </x:c>
      <x:c r="J5004" t="str">
        <x:v>OTHER</x:v>
      </x:c>
      <x:c r="K5004" t="str">
        <x:v>home_improvement</x:v>
      </x:c>
      <x:c r="L5004" t="n">
        <x:v>2</x:v>
      </x:c>
      <x:c r="M5004" t="n">
        <x:v>0</x:v>
      </x:c>
      <x:c r="N5004" t="str">
        <x:v>Fully Paid</x:v>
      </x:c>
      <x:c r="O5004" t="str">
        <x:f>IF(D5004="","Unknown",IF(D5004&lt;25000,"&lt;$25k",IF(D5004&lt;50000,"$25k-$50k",IF(D5004&lt;75000,"$50k-$75k",IF(D5004&lt;100000,"$75k-$100k","$100k+")))))</x:f>
        <x:v>$50k-$75k</x:v>
      </x:c>
      <x:c r="P5004" t="str">
        <x:f>IF(E5004="","Unknown",IF(E5004&lt;10,"&lt;10",IF(E5004&lt;20,"10-&lt;20",IF(E5004&lt;25,"20-&lt;25",IF(E5004&lt;35,"25-&lt;35","35+")))))</x:f>
        <x:v>20-&lt;25</x:v>
      </x:c>
    </x:row>
    <x:row r="5005">
      <x:c r="A5005" t="str">
        <x:v>SYN0005004</x:v>
      </x:c>
      <x:c r="B5005" s="12" t="n">
        <x:v>42835</x:v>
      </x:c>
      <x:c r="C5005" s="18" t="n">
        <x:v>5220</x:v>
      </x:c>
      <x:c r="D5005" s="18" t="n">
        <x:v>142652</x:v>
      </x:c>
      <x:c r="E5005" s="18" t="n">
        <x:v>12.42</x:v>
      </x:c>
      <x:c r="F5005" s="18" t="n">
        <x:v>10.4</x:v>
      </x:c>
      <x:c r="G5005" t="n">
        <x:v>36</x:v>
      </x:c>
      <x:c r="H5005" t="str">
        <x:v>A</x:v>
      </x:c>
      <x:c r="I5005" t="str">
        <x:v>10+ years</x:v>
      </x:c>
      <x:c r="J5005" t="str">
        <x:v>MORTGAGE</x:v>
      </x:c>
      <x:c r="K5005" t="str">
        <x:v>medical</x:v>
      </x:c>
      <x:c r="L5005" t="n">
        <x:v>0</x:v>
      </x:c>
      <x:c r="M5005" t="n">
        <x:v>0</x:v>
      </x:c>
      <x:c r="N5005" t="str">
        <x:v>Fully Paid</x:v>
      </x:c>
      <x:c r="O5005" t="str">
        <x:f>IF(D5005="","Unknown",IF(D5005&lt;25000,"&lt;$25k",IF(D5005&lt;50000,"$25k-$50k",IF(D5005&lt;75000,"$50k-$75k",IF(D5005&lt;100000,"$75k-$100k","$100k+")))))</x:f>
        <x:v>$100k+</x:v>
      </x:c>
      <x:c r="P5005" t="str">
        <x:f>IF(E5005="","Unknown",IF(E5005&lt;10,"&lt;10",IF(E5005&lt;20,"10-&lt;20",IF(E5005&lt;25,"20-&lt;25",IF(E5005&lt;35,"25-&lt;35","35+")))))</x:f>
        <x:v>10-&lt;20</x:v>
      </x:c>
    </x:row>
    <x:row r="5006">
      <x:c r="A5006" t="str">
        <x:v>SYN0005005</x:v>
      </x:c>
      <x:c r="B5006" s="12" t="n">
        <x:v>42475</x:v>
      </x:c>
      <x:c r="C5006" s="18" t="n">
        <x:v>22147</x:v>
      </x:c>
      <x:c r="D5006" s="18" t="n">
        <x:v>30754</x:v>
      </x:c>
      <x:c r="E5006" s="18" t="n">
        <x:v>23.61</x:v>
      </x:c>
      <x:c r="F5006" s="18" t="n">
        <x:v>9.21</x:v>
      </x:c>
      <x:c r="G5006" t="n">
        <x:v>36</x:v>
      </x:c>
      <x:c r="H5006" t="str">
        <x:v>B</x:v>
      </x:c>
      <x:c r="I5006" t="str">
        <x:v>10+ years</x:v>
      </x:c>
      <x:c r="J5006" t="str">
        <x:v>MORTGAGE</x:v>
      </x:c>
      <x:c r="K5006" t="str">
        <x:v>home_improvement</x:v>
      </x:c>
      <x:c r="L5006" t="n">
        <x:v>0</x:v>
      </x:c>
      <x:c r="M5006" t="n">
        <x:v>0</x:v>
      </x:c>
      <x:c r="N5006" t="str">
        <x:v>Fully Paid</x:v>
      </x:c>
      <x:c r="O5006" t="str">
        <x:f>IF(D5006="","Unknown",IF(D5006&lt;25000,"&lt;$25k",IF(D5006&lt;50000,"$25k-$50k",IF(D5006&lt;75000,"$50k-$75k",IF(D5006&lt;100000,"$75k-$100k","$100k+")))))</x:f>
        <x:v>$25k-$50k</x:v>
      </x:c>
      <x:c r="P5006" t="str">
        <x:f>IF(E5006="","Unknown",IF(E5006&lt;10,"&lt;10",IF(E5006&lt;20,"10-&lt;20",IF(E5006&lt;25,"20-&lt;25",IF(E5006&lt;35,"25-&lt;35","35+")))))</x:f>
        <x:v>20-&lt;25</x:v>
      </x:c>
    </x:row>
    <x:row r="5007">
      <x:c r="A5007" t="str">
        <x:v>SYN0005006</x:v>
      </x:c>
      <x:c r="B5007" s="12" t="n">
        <x:v>41545</x:v>
      </x:c>
      <x:c r="C5007" s="18" t="n">
        <x:v>16788</x:v>
      </x:c>
      <x:c r="D5007" s="18" t="n">
        <x:v>107427</x:v>
      </x:c>
      <x:c r="E5007" s="18" t="n">
        <x:v>22.17</x:v>
      </x:c>
      <x:c r="F5007" s="18" t="n">
        <x:v>9.16</x:v>
      </x:c>
      <x:c r="G5007" t="n">
        <x:v>36</x:v>
      </x:c>
      <x:c r="H5007" t="str">
        <x:v>B</x:v>
      </x:c>
      <x:c r="I5007" t="str">
        <x:v>10+ years</x:v>
      </x:c>
      <x:c r="J5007" t="str">
        <x:v>RENT</x:v>
      </x:c>
      <x:c r="K5007" t="str">
        <x:v>credit_card</x:v>
      </x:c>
      <x:c r="L5007" t="n">
        <x:v>1</x:v>
      </x:c>
      <x:c r="M5007" t="n">
        <x:v>0</x:v>
      </x:c>
      <x:c r="N5007" t="str">
        <x:v>Fully Paid</x:v>
      </x:c>
      <x:c r="O5007" t="str">
        <x:f>IF(D5007="","Unknown",IF(D5007&lt;25000,"&lt;$25k",IF(D5007&lt;50000,"$25k-$50k",IF(D5007&lt;75000,"$50k-$75k",IF(D5007&lt;100000,"$75k-$100k","$100k+")))))</x:f>
        <x:v>$100k+</x:v>
      </x:c>
      <x:c r="P5007" t="str">
        <x:f>IF(E5007="","Unknown",IF(E5007&lt;10,"&lt;10",IF(E5007&lt;20,"10-&lt;20",IF(E5007&lt;25,"20-&lt;25",IF(E5007&lt;35,"25-&lt;35","35+")))))</x:f>
        <x:v>20-&lt;25</x:v>
      </x:c>
    </x:row>
    <x:row r="5008">
      <x:c r="A5008" t="str">
        <x:v>SYN0005007</x:v>
      </x:c>
      <x:c r="B5008" s="12" t="n">
        <x:v>42655</x:v>
      </x:c>
      <x:c r="C5008" s="18" t="n">
        <x:v>18281</x:v>
      </x:c>
      <x:c r="D5008" s="18" t="n">
        <x:v>33749</x:v>
      </x:c>
      <x:c r="E5008" s="18" t="n">
        <x:v>26.27</x:v>
      </x:c>
      <x:c r="F5008" s="18" t="n">
        <x:v>13.65</x:v>
      </x:c>
      <x:c r="G5008" t="n">
        <x:v>60</x:v>
      </x:c>
      <x:c r="H5008" t="str">
        <x:v>D</x:v>
      </x:c>
      <x:c r="I5008" t="str">
        <x:v>4-6 years</x:v>
      </x:c>
      <x:c r="J5008" t="str">
        <x:v>MORTGAGE</x:v>
      </x:c>
      <x:c r="K5008" t="str">
        <x:v>medical</x:v>
      </x:c>
      <x:c r="L5008" t="n">
        <x:v>2</x:v>
      </x:c>
      <x:c r="M5008" t="n">
        <x:v>0</x:v>
      </x:c>
      <x:c r="N5008" t="str">
        <x:v>Fully Paid</x:v>
      </x:c>
      <x:c r="O5008" t="str">
        <x:f>IF(D5008="","Unknown",IF(D5008&lt;25000,"&lt;$25k",IF(D5008&lt;50000,"$25k-$50k",IF(D5008&lt;75000,"$50k-$75k",IF(D5008&lt;100000,"$75k-$100k","$100k+")))))</x:f>
        <x:v>$25k-$50k</x:v>
      </x:c>
      <x:c r="P5008" t="str">
        <x:f>IF(E5008="","Unknown",IF(E5008&lt;10,"&lt;10",IF(E5008&lt;20,"10-&lt;20",IF(E5008&lt;25,"20-&lt;25",IF(E5008&lt;35,"25-&lt;35","35+")))))</x:f>
        <x:v>25-&lt;35</x:v>
      </x:c>
    </x:row>
    <x:row r="5009">
      <x:c r="A5009" t="str">
        <x:v>SYN0005008</x:v>
      </x:c>
      <x:c r="B5009" s="12" t="n">
        <x:v>43315</x:v>
      </x:c>
      <x:c r="C5009" s="18" t="n">
        <x:v>17670</x:v>
      </x:c>
      <x:c r="D5009" s="18" t="n">
        <x:v>53713</x:v>
      </x:c>
      <x:c r="E5009" s="18" t="n">
        <x:v>9.91</x:v>
      </x:c>
      <x:c r="F5009" s="18" t="n">
        <x:v>8.79</x:v>
      </x:c>
      <x:c r="G5009" t="n">
        <x:v>60</x:v>
      </x:c>
      <x:c r="H5009" t="str">
        <x:v>A</x:v>
      </x:c>
      <x:c r="I5009" t="str">
        <x:v>1-3 years</x:v>
      </x:c>
      <x:c r="J5009" t="str">
        <x:v>RENT</x:v>
      </x:c>
      <x:c r="K5009" t="str">
        <x:v>home_improvement</x:v>
      </x:c>
      <x:c r="L5009" t="n">
        <x:v>0</x:v>
      </x:c>
      <x:c r="M5009" t="n">
        <x:v>0</x:v>
      </x:c>
      <x:c r="N5009" t="str">
        <x:v>Fully Paid</x:v>
      </x:c>
      <x:c r="O5009" t="str">
        <x:f>IF(D5009="","Unknown",IF(D5009&lt;25000,"&lt;$25k",IF(D5009&lt;50000,"$25k-$50k",IF(D5009&lt;75000,"$50k-$75k",IF(D5009&lt;100000,"$75k-$100k","$100k+")))))</x:f>
        <x:v>$50k-$75k</x:v>
      </x:c>
      <x:c r="P5009" t="str">
        <x:f>IF(E5009="","Unknown",IF(E5009&lt;10,"&lt;10",IF(E5009&lt;20,"10-&lt;20",IF(E5009&lt;25,"20-&lt;25",IF(E5009&lt;35,"25-&lt;35","35+")))))</x:f>
        <x:v>&lt;10</x:v>
      </x:c>
    </x:row>
    <x:row r="5010">
      <x:c r="A5010" t="str">
        <x:v>SYN0005009</x:v>
      </x:c>
      <x:c r="B5010" s="12" t="n">
        <x:v>41395</x:v>
      </x:c>
      <x:c r="C5010" s="18" t="n">
        <x:v>10378</x:v>
      </x:c>
      <x:c r="D5010" s="18" t="n">
        <x:v>40753</x:v>
      </x:c>
      <x:c r="E5010" s="18" t="n">
        <x:v>32.44</x:v>
      </x:c>
      <x:c r="F5010" s="18" t="n">
        <x:v>15.47</x:v>
      </x:c>
      <x:c r="G5010" t="n">
        <x:v>36</x:v>
      </x:c>
      <x:c r="H5010" t="str">
        <x:v>D</x:v>
      </x:c>
      <x:c r="I5010" t="str">
        <x:v>1-3 years</x:v>
      </x:c>
      <x:c r="J5010" t="str">
        <x:v>MORTGAGE</x:v>
      </x:c>
      <x:c r="K5010" t="str">
        <x:v>other</x:v>
      </x:c>
      <x:c r="L5010" t="n">
        <x:v>2</x:v>
      </x:c>
      <x:c r="M5010" t="n">
        <x:v>0</x:v>
      </x:c>
      <x:c r="N5010" t="str">
        <x:v>Fully Paid</x:v>
      </x:c>
      <x:c r="O5010" t="str">
        <x:f>IF(D5010="","Unknown",IF(D5010&lt;25000,"&lt;$25k",IF(D5010&lt;50000,"$25k-$50k",IF(D5010&lt;75000,"$50k-$75k",IF(D5010&lt;100000,"$75k-$100k","$100k+")))))</x:f>
        <x:v>$25k-$50k</x:v>
      </x:c>
      <x:c r="P5010" t="str">
        <x:f>IF(E5010="","Unknown",IF(E5010&lt;10,"&lt;10",IF(E5010&lt;20,"10-&lt;20",IF(E5010&lt;25,"20-&lt;25",IF(E5010&lt;35,"25-&lt;35","35+")))))</x:f>
        <x:v>25-&lt;35</x:v>
      </x:c>
    </x:row>
    <x:row r="5011">
      <x:c r="A5011" t="str">
        <x:v>SYN0005010</x:v>
      </x:c>
      <x:c r="B5011" s="12" t="n">
        <x:v>41725</x:v>
      </x:c>
      <x:c r="C5011" s="18" t="n">
        <x:v>9084</x:v>
      </x:c>
      <x:c r="D5011" s="18" t="n">
        <x:v>24849</x:v>
      </x:c>
      <x:c r="E5011" s="18" t="n">
        <x:v>21.68</x:v>
      </x:c>
      <x:c r="F5011" s="18" t="n">
        <x:v>7.76</x:v>
      </x:c>
      <x:c r="G5011" t="n">
        <x:v>60</x:v>
      </x:c>
      <x:c r="H5011" t="str">
        <x:v>B</x:v>
      </x:c>
      <x:c r="I5011" t="str">
        <x:v>7-9 years</x:v>
      </x:c>
      <x:c r="J5011" t="str">
        <x:v>RENT</x:v>
      </x:c>
      <x:c r="K5011" t="str">
        <x:v>medical</x:v>
      </x:c>
      <x:c r="L5011" t="n">
        <x:v>0</x:v>
      </x:c>
      <x:c r="M5011" t="n">
        <x:v>0</x:v>
      </x:c>
      <x:c r="N5011" t="str">
        <x:v>Fully Paid</x:v>
      </x:c>
      <x:c r="O5011" t="str">
        <x:f>IF(D5011="","Unknown",IF(D5011&lt;25000,"&lt;$25k",IF(D5011&lt;50000,"$25k-$50k",IF(D5011&lt;75000,"$50k-$75k",IF(D5011&lt;100000,"$75k-$100k","$100k+")))))</x:f>
        <x:v>&lt;$25k</x:v>
      </x:c>
      <x:c r="P5011" t="str">
        <x:f>IF(E5011="","Unknown",IF(E5011&lt;10,"&lt;10",IF(E5011&lt;20,"10-&lt;20",IF(E5011&lt;25,"20-&lt;25",IF(E5011&lt;35,"25-&lt;35","35+")))))</x:f>
        <x:v>20-&lt;25</x:v>
      </x:c>
    </x:row>
    <x:row r="5012">
      <x:c r="A5012" t="str">
        <x:v>SYN0005011</x:v>
      </x:c>
      <x:c r="B5012" s="12" t="n">
        <x:v>41395</x:v>
      </x:c>
      <x:c r="C5012" s="18" t="n">
        <x:v>7739</x:v>
      </x:c>
      <x:c r="D5012" s="18" t="n">
        <x:v>32693</x:v>
      </x:c>
      <x:c r="E5012" s="18" t="n">
        <x:v>18.6</x:v>
      </x:c>
      <x:c r="F5012" s="18" t="n">
        <x:v>20.69</x:v>
      </x:c>
      <x:c r="G5012" t="n">
        <x:v>36</x:v>
      </x:c>
      <x:c r="H5012" t="str">
        <x:v>F</x:v>
      </x:c>
      <x:c r="I5012" t="str">
        <x:v>7-9 years</x:v>
      </x:c>
      <x:c r="J5012" t="str">
        <x:v>RENT</x:v>
      </x:c>
      <x:c r="K5012" t="str">
        <x:v>home_improvement</x:v>
      </x:c>
      <x:c r="L5012" t="n">
        <x:v>2</x:v>
      </x:c>
      <x:c r="M5012" t="n">
        <x:v>0</x:v>
      </x:c>
      <x:c r="N5012" t="str">
        <x:v>Fully Paid</x:v>
      </x:c>
      <x:c r="O5012" t="str">
        <x:f>IF(D5012="","Unknown",IF(D5012&lt;25000,"&lt;$25k",IF(D5012&lt;50000,"$25k-$50k",IF(D5012&lt;75000,"$50k-$75k",IF(D5012&lt;100000,"$75k-$100k","$100k+")))))</x:f>
        <x:v>$25k-$50k</x:v>
      </x:c>
      <x:c r="P5012" t="str">
        <x:f>IF(E5012="","Unknown",IF(E5012&lt;10,"&lt;10",IF(E5012&lt;20,"10-&lt;20",IF(E5012&lt;25,"20-&lt;25",IF(E5012&lt;35,"25-&lt;35","35+")))))</x:f>
        <x:v>10-&lt;20</x:v>
      </x:c>
    </x:row>
    <x:row r="5013">
      <x:c r="A5013" t="str">
        <x:v>SYN0005012</x:v>
      </x:c>
      <x:c r="B5013" s="12" t="n">
        <x:v>41395</x:v>
      </x:c>
      <x:c r="C5013" s="18" t="n">
        <x:v>8628</x:v>
      </x:c>
      <x:c r="D5013" s="18" t="n">
        <x:v>95774</x:v>
      </x:c>
      <x:c r="E5013" s="18" t="n">
        <x:v>15.4</x:v>
      </x:c>
      <x:c r="F5013" s="18" t="n">
        <x:v>9.08</x:v>
      </x:c>
      <x:c r="G5013" t="n">
        <x:v>60</x:v>
      </x:c>
      <x:c r="H5013" t="str">
        <x:v>B</x:v>
      </x:c>
      <x:c r="I5013" t="str">
        <x:v>4-6 years</x:v>
      </x:c>
      <x:c r="J5013" t="str">
        <x:v>MORTGAGE</x:v>
      </x:c>
      <x:c r="K5013" t="str">
        <x:v>debt_consolidation</x:v>
      </x:c>
      <x:c r="L5013" t="n">
        <x:v>0</x:v>
      </x:c>
      <x:c r="M5013" t="n">
        <x:v>0</x:v>
      </x:c>
      <x:c r="N5013" t="str">
        <x:v>Fully Paid</x:v>
      </x:c>
      <x:c r="O5013" t="str">
        <x:f>IF(D5013="","Unknown",IF(D5013&lt;25000,"&lt;$25k",IF(D5013&lt;50000,"$25k-$50k",IF(D5013&lt;75000,"$50k-$75k",IF(D5013&lt;100000,"$75k-$100k","$100k+")))))</x:f>
        <x:v>$75k-$100k</x:v>
      </x:c>
      <x:c r="P5013" t="str">
        <x:f>IF(E5013="","Unknown",IF(E5013&lt;10,"&lt;10",IF(E5013&lt;20,"10-&lt;20",IF(E5013&lt;25,"20-&lt;25",IF(E5013&lt;35,"25-&lt;35","35+")))))</x:f>
        <x:v>10-&lt;20</x:v>
      </x:c>
    </x:row>
    <x:row r="5014">
      <x:c r="A5014" t="str">
        <x:v>SYN0005013</x:v>
      </x:c>
      <x:c r="B5014" s="12" t="n">
        <x:v>42985</x:v>
      </x:c>
      <x:c r="C5014" s="18" t="n">
        <x:v>8953</x:v>
      </x:c>
      <x:c r="D5014" s="18" t="n">
        <x:v>23080</x:v>
      </x:c>
      <x:c r="E5014" s="18" t="n">
        <x:v>31.66</x:v>
      </x:c>
      <x:c r="F5014" s="18" t="n">
        <x:v>18.79</x:v>
      </x:c>
      <x:c r="G5014" t="n">
        <x:v>60</x:v>
      </x:c>
      <x:c r="H5014" t="str">
        <x:v>E</x:v>
      </x:c>
      <x:c r="I5014" t="str">
        <x:v>10+ years</x:v>
      </x:c>
      <x:c r="J5014" t="str">
        <x:v>RENT</x:v>
      </x:c>
      <x:c r="K5014" t="str">
        <x:v>debt_consolidation</x:v>
      </x:c>
      <x:c r="L5014" t="n">
        <x:v>0</x:v>
      </x:c>
      <x:c r="M5014" t="n">
        <x:v>0</x:v>
      </x:c>
      <x:c r="N5014" t="str">
        <x:v>Fully Paid</x:v>
      </x:c>
      <x:c r="O5014" t="str">
        <x:f>IF(D5014="","Unknown",IF(D5014&lt;25000,"&lt;$25k",IF(D5014&lt;50000,"$25k-$50k",IF(D5014&lt;75000,"$50k-$75k",IF(D5014&lt;100000,"$75k-$100k","$100k+")))))</x:f>
        <x:v>&lt;$25k</x:v>
      </x:c>
      <x:c r="P5014" t="str">
        <x:f>IF(E5014="","Unknown",IF(E5014&lt;10,"&lt;10",IF(E5014&lt;20,"10-&lt;20",IF(E5014&lt;25,"20-&lt;25",IF(E5014&lt;35,"25-&lt;35","35+")))))</x:f>
        <x:v>25-&lt;35</x:v>
      </x:c>
    </x:row>
    <x:row r="5015">
      <x:c r="A5015" t="str">
        <x:v>SYN0005014</x:v>
      </x:c>
      <x:c r="B5015" s="12" t="n">
        <x:v>42835</x:v>
      </x:c>
      <x:c r="C5015" s="18" t="n">
        <x:v>14795</x:v>
      </x:c>
      <x:c r="D5015" s="18" t="n">
        <x:v>56865</x:v>
      </x:c>
      <x:c r="E5015" s="18" t="n">
        <x:v>7.82</x:v>
      </x:c>
      <x:c r="F5015" s="18" t="n">
        <x:v>11.88</x:v>
      </x:c>
      <x:c r="G5015" t="n">
        <x:v>36</x:v>
      </x:c>
      <x:c r="H5015" t="str">
        <x:v>C</x:v>
      </x:c>
      <x:c r="I5015" t="str">
        <x:v>4-6 years</x:v>
      </x:c>
      <x:c r="J5015" t="str">
        <x:v>RENT</x:v>
      </x:c>
      <x:c r="K5015" t="str">
        <x:v>home_improvement</x:v>
      </x:c>
      <x:c r="L5015" t="n">
        <x:v>1</x:v>
      </x:c>
      <x:c r="M5015" t="n">
        <x:v>1</x:v>
      </x:c>
      <x:c r="N5015" t="str">
        <x:v>Charged Off</x:v>
      </x:c>
      <x:c r="O5015" t="str">
        <x:f>IF(D5015="","Unknown",IF(D5015&lt;25000,"&lt;$25k",IF(D5015&lt;50000,"$25k-$50k",IF(D5015&lt;75000,"$50k-$75k",IF(D5015&lt;100000,"$75k-$100k","$100k+")))))</x:f>
        <x:v>$50k-$75k</x:v>
      </x:c>
      <x:c r="P5015" t="str">
        <x:f>IF(E5015="","Unknown",IF(E5015&lt;10,"&lt;10",IF(E5015&lt;20,"10-&lt;20",IF(E5015&lt;25,"20-&lt;25",IF(E5015&lt;35,"25-&lt;35","35+")))))</x:f>
        <x:v>&lt;10</x:v>
      </x:c>
    </x:row>
    <x:row r="5016">
      <x:c r="A5016" t="str">
        <x:v>SYN0005015</x:v>
      </x:c>
      <x:c r="B5016" s="12" t="n">
        <x:v>42115</x:v>
      </x:c>
      <x:c r="C5016" s="18" t="n">
        <x:v>5461</x:v>
      </x:c>
      <x:c r="D5016" s="18" t="n">
        <x:v>39232</x:v>
      </x:c>
      <x:c r="E5016" s="18" t="n">
        <x:v>22.81</x:v>
      </x:c>
      <x:c r="F5016" s="18" t="n">
        <x:v>12.26</x:v>
      </x:c>
      <x:c r="G5016" t="n">
        <x:v>36</x:v>
      </x:c>
      <x:c r="H5016" t="str">
        <x:v>D</x:v>
      </x:c>
      <x:c r="I5016" t="str">
        <x:v>10+ years</x:v>
      </x:c>
      <x:c r="J5016" t="str">
        <x:v>MORTGAGE</x:v>
      </x:c>
      <x:c r="K5016" t="str">
        <x:v>debt_consolidation</x:v>
      </x:c>
      <x:c r="L5016" t="n">
        <x:v>0</x:v>
      </x:c>
      <x:c r="M5016" t="n">
        <x:v>0</x:v>
      </x:c>
      <x:c r="N5016" t="str">
        <x:v>Fully Paid</x:v>
      </x:c>
      <x:c r="O5016" t="str">
        <x:f>IF(D5016="","Unknown",IF(D5016&lt;25000,"&lt;$25k",IF(D5016&lt;50000,"$25k-$50k",IF(D5016&lt;75000,"$50k-$75k",IF(D5016&lt;100000,"$75k-$100k","$100k+")))))</x:f>
        <x:v>$25k-$50k</x:v>
      </x:c>
      <x:c r="P5016" t="str">
        <x:f>IF(E5016="","Unknown",IF(E5016&lt;10,"&lt;10",IF(E5016&lt;20,"10-&lt;20",IF(E5016&lt;25,"20-&lt;25",IF(E5016&lt;35,"25-&lt;35","35+")))))</x:f>
        <x:v>20-&lt;25</x:v>
      </x:c>
    </x:row>
    <x:row r="5017">
      <x:c r="A5017" t="str">
        <x:v>SYN0005016</x:v>
      </x:c>
      <x:c r="B5017" s="12" t="n">
        <x:v>42055</x:v>
      </x:c>
      <x:c r="C5017" s="18" t="n">
        <x:v>10237</x:v>
      </x:c>
      <x:c r="D5017" s="18" t="n">
        <x:v>78931</x:v>
      </x:c>
      <x:c r="E5017" s="18" t="n">
        <x:v>25.33</x:v>
      </x:c>
      <x:c r="F5017" s="18" t="n">
        <x:v>17.27</x:v>
      </x:c>
      <x:c r="G5017" t="n">
        <x:v>36</x:v>
      </x:c>
      <x:c r="H5017" t="str">
        <x:v>D</x:v>
      </x:c>
      <x:c r="I5017" t="str">
        <x:v>4-6 years</x:v>
      </x:c>
      <x:c r="J5017" t="str">
        <x:v>RENT</x:v>
      </x:c>
      <x:c r="K5017" t="str">
        <x:v>debt_consolidation</x:v>
      </x:c>
      <x:c r="L5017" t="n">
        <x:v>1</x:v>
      </x:c>
      <x:c r="M5017" t="n">
        <x:v>0</x:v>
      </x:c>
      <x:c r="N5017" t="str">
        <x:v>Fully Paid</x:v>
      </x:c>
      <x:c r="O5017" t="str">
        <x:f>IF(D5017="","Unknown",IF(D5017&lt;25000,"&lt;$25k",IF(D5017&lt;50000,"$25k-$50k",IF(D5017&lt;75000,"$50k-$75k",IF(D5017&lt;100000,"$75k-$100k","$100k+")))))</x:f>
        <x:v>$75k-$100k</x:v>
      </x:c>
      <x:c r="P5017" t="str">
        <x:f>IF(E5017="","Unknown",IF(E5017&lt;10,"&lt;10",IF(E5017&lt;20,"10-&lt;20",IF(E5017&lt;25,"20-&lt;25",IF(E5017&lt;35,"25-&lt;35","35+")))))</x:f>
        <x:v>25-&lt;35</x:v>
      </x:c>
    </x:row>
    <x:row r="5018">
      <x:c r="A5018" t="str">
        <x:v>SYN0005017</x:v>
      </x:c>
      <x:c r="B5018" s="12" t="n">
        <x:v>42505</x:v>
      </x:c>
      <x:c r="C5018" s="18" t="n">
        <x:v>9079</x:v>
      </x:c>
      <x:c r="D5018" s="18" t="n">
        <x:v>12000</x:v>
      </x:c>
      <x:c r="E5018" s="18" t="n">
        <x:v>19.29</x:v>
      </x:c>
      <x:c r="F5018" s="18" t="n">
        <x:v>15.42</x:v>
      </x:c>
      <x:c r="G5018" t="n">
        <x:v>36</x:v>
      </x:c>
      <x:c r="H5018" t="str">
        <x:v>D</x:v>
      </x:c>
      <x:c r="I5018" t="str">
        <x:v>7-9 years</x:v>
      </x:c>
      <x:c r="J5018" t="str">
        <x:v>OWN</x:v>
      </x:c>
      <x:c r="K5018" t="str">
        <x:v>credit_card</x:v>
      </x:c>
      <x:c r="L5018" t="n">
        <x:v>0</x:v>
      </x:c>
      <x:c r="M5018" t="n">
        <x:v>0</x:v>
      </x:c>
      <x:c r="N5018" t="str">
        <x:v>Fully Paid</x:v>
      </x:c>
      <x:c r="O5018" t="str">
        <x:f>IF(D5018="","Unknown",IF(D5018&lt;25000,"&lt;$25k",IF(D5018&lt;50000,"$25k-$50k",IF(D5018&lt;75000,"$50k-$75k",IF(D5018&lt;100000,"$75k-$100k","$100k+")))))</x:f>
        <x:v>&lt;$25k</x:v>
      </x:c>
      <x:c r="P5018" t="str">
        <x:f>IF(E5018="","Unknown",IF(E5018&lt;10,"&lt;10",IF(E5018&lt;20,"10-&lt;20",IF(E5018&lt;25,"20-&lt;25",IF(E5018&lt;35,"25-&lt;35","35+")))))</x:f>
        <x:v>10-&lt;20</x:v>
      </x:c>
    </x:row>
    <x:row r="5019">
      <x:c r="A5019" t="str">
        <x:v>SYN0005018</x:v>
      </x:c>
      <x:c r="B5019" s="12" t="n">
        <x:v>41665</x:v>
      </x:c>
      <x:c r="C5019" s="18" t="n">
        <x:v>12215</x:v>
      </x:c>
      <x:c r="D5019" s="18" t="n">
        <x:v>35469</x:v>
      </x:c>
      <x:c r="E5019" s="18" t="n">
        <x:v>0</x:v>
      </x:c>
      <x:c r="F5019" s="18" t="n">
        <x:v>5</x:v>
      </x:c>
      <x:c r="G5019" t="n">
        <x:v>36</x:v>
      </x:c>
      <x:c r="H5019" t="str">
        <x:v>A</x:v>
      </x:c>
      <x:c r="I5019" t="str">
        <x:v>1-3 years</x:v>
      </x:c>
      <x:c r="J5019" t="str">
        <x:v>MORTGAGE</x:v>
      </x:c>
      <x:c r="K5019" t="str">
        <x:v>home_improvement</x:v>
      </x:c>
      <x:c r="L5019" t="n">
        <x:v>0</x:v>
      </x:c>
      <x:c r="M5019" t="n">
        <x:v>0</x:v>
      </x:c>
      <x:c r="N5019" t="str">
        <x:v>Fully Paid</x:v>
      </x:c>
      <x:c r="O5019" t="str">
        <x:f>IF(D5019="","Unknown",IF(D5019&lt;25000,"&lt;$25k",IF(D5019&lt;50000,"$25k-$50k",IF(D5019&lt;75000,"$50k-$75k",IF(D5019&lt;100000,"$75k-$100k","$100k+")))))</x:f>
        <x:v>$25k-$50k</x:v>
      </x:c>
      <x:c r="P5019" t="str">
        <x:f>IF(E5019="","Unknown",IF(E5019&lt;10,"&lt;10",IF(E5019&lt;20,"10-&lt;20",IF(E5019&lt;25,"20-&lt;25",IF(E5019&lt;35,"25-&lt;35","35+")))))</x:f>
        <x:v>Unknown</x:v>
      </x:c>
    </x:row>
    <x:row r="5020">
      <x:c r="A5020" t="str">
        <x:v>SYN0005019</x:v>
      </x:c>
      <x:c r="B5020" s="12" t="n">
        <x:v>43315</x:v>
      </x:c>
      <x:c r="C5020" s="18" t="n">
        <x:v>6372</x:v>
      </x:c>
      <x:c r="D5020" s="18" t="n">
        <x:v>59260</x:v>
      </x:c>
      <x:c r="E5020" s="18" t="n">
        <x:v>28.2</x:v>
      </x:c>
      <x:c r="F5020" s="18" t="n">
        <x:v>10.88</x:v>
      </x:c>
      <x:c r="G5020" t="n">
        <x:v>36</x:v>
      </x:c>
      <x:c r="H5020" t="str">
        <x:v>C</x:v>
      </x:c>
      <x:c r="I5020" t="str">
        <x:v>10+ years</x:v>
      </x:c>
      <x:c r="J5020" t="str">
        <x:v>MORTGAGE</x:v>
      </x:c>
      <x:c r="K5020" t="str">
        <x:v>credit_card</x:v>
      </x:c>
      <x:c r="L5020" t="n">
        <x:v>0</x:v>
      </x:c>
      <x:c r="M5020" t="n">
        <x:v>0</x:v>
      </x:c>
      <x:c r="N5020" t="str">
        <x:v>Fully Paid</x:v>
      </x:c>
      <x:c r="O5020" t="str">
        <x:f>IF(D5020="","Unknown",IF(D5020&lt;25000,"&lt;$25k",IF(D5020&lt;50000,"$25k-$50k",IF(D5020&lt;75000,"$50k-$75k",IF(D5020&lt;100000,"$75k-$100k","$100k+")))))</x:f>
        <x:v>$50k-$75k</x:v>
      </x:c>
      <x:c r="P5020" t="str">
        <x:f>IF(E5020="","Unknown",IF(E5020&lt;10,"&lt;10",IF(E5020&lt;20,"10-&lt;20",IF(E5020&lt;25,"20-&lt;25",IF(E5020&lt;35,"25-&lt;35","35+")))))</x:f>
        <x:v>25-&lt;35</x:v>
      </x:c>
    </x:row>
    <x:row r="5021">
      <x:c r="A5021" t="str">
        <x:v>SYN0005020</x:v>
      </x:c>
      <x:c r="B5021" s="12" t="n">
        <x:v>41665</x:v>
      </x:c>
      <x:c r="C5021" s="18" t="n">
        <x:v>17349</x:v>
      </x:c>
      <x:c r="D5021" s="18" t="n">
        <x:v>72950</x:v>
      </x:c>
      <x:c r="E5021" s="18" t="n">
        <x:v>12.95</x:v>
      </x:c>
      <x:c r="F5021" s="18" t="n">
        <x:v>11.84</x:v>
      </x:c>
      <x:c r="G5021" t="n">
        <x:v>36</x:v>
      </x:c>
      <x:c r="H5021" t="str">
        <x:v>C</x:v>
      </x:c>
      <x:c r="I5021" t="str">
        <x:v>10+ years</x:v>
      </x:c>
      <x:c r="J5021" t="str">
        <x:v>MORTGAGE</x:v>
      </x:c>
      <x:c r="K5021" t="str">
        <x:v>major_purchase</x:v>
      </x:c>
      <x:c r="L5021" t="n">
        <x:v>1</x:v>
      </x:c>
      <x:c r="M5021" t="n">
        <x:v>0</x:v>
      </x:c>
      <x:c r="N5021" t="str">
        <x:v>Fully Paid</x:v>
      </x:c>
      <x:c r="O5021" t="str">
        <x:f>IF(D5021="","Unknown",IF(D5021&lt;25000,"&lt;$25k",IF(D5021&lt;50000,"$25k-$50k",IF(D5021&lt;75000,"$50k-$75k",IF(D5021&lt;100000,"$75k-$100k","$100k+")))))</x:f>
        <x:v>$50k-$75k</x:v>
      </x:c>
      <x:c r="P5021" t="str">
        <x:f>IF(E5021="","Unknown",IF(E5021&lt;10,"&lt;10",IF(E5021&lt;20,"10-&lt;20",IF(E5021&lt;25,"20-&lt;25",IF(E5021&lt;35,"25-&lt;35","35+")))))</x:f>
        <x:v>10-&lt;20</x:v>
      </x:c>
    </x:row>
    <x:row r="5022">
      <x:c r="A5022" t="str">
        <x:v>SYN0005021</x:v>
      </x:c>
      <x:c r="B5022" s="12" t="n">
        <x:v>41395</x:v>
      </x:c>
      <x:c r="C5022" s="18" t="n">
        <x:v>13883</x:v>
      </x:c>
      <x:c r="D5022" s="18" t="n">
        <x:v>19389</x:v>
      </x:c>
      <x:c r="E5022" s="18" t="n">
        <x:v>18.23</x:v>
      </x:c>
      <x:c r="F5022" s="18" t="n">
        <x:v>17.4</x:v>
      </x:c>
      <x:c r="G5022" t="n">
        <x:v>36</x:v>
      </x:c>
      <x:c r="H5022" t="str">
        <x:v>D</x:v>
      </x:c>
      <x:c r="I5022" t="str">
        <x:v>10+ years</x:v>
      </x:c>
      <x:c r="J5022" t="str">
        <x:v>RENT</x:v>
      </x:c>
      <x:c r="K5022" t="str">
        <x:v>credit_card</x:v>
      </x:c>
      <x:c r="L5022" t="n">
        <x:v>1</x:v>
      </x:c>
      <x:c r="M5022" t="n">
        <x:v>0</x:v>
      </x:c>
      <x:c r="N5022" t="str">
        <x:v>Fully Paid</x:v>
      </x:c>
      <x:c r="O5022" t="str">
        <x:f>IF(D5022="","Unknown",IF(D5022&lt;25000,"&lt;$25k",IF(D5022&lt;50000,"$25k-$50k",IF(D5022&lt;75000,"$50k-$75k",IF(D5022&lt;100000,"$75k-$100k","$100k+")))))</x:f>
        <x:v>&lt;$25k</x:v>
      </x:c>
      <x:c r="P5022" t="str">
        <x:f>IF(E5022="","Unknown",IF(E5022&lt;10,"&lt;10",IF(E5022&lt;20,"10-&lt;20",IF(E5022&lt;25,"20-&lt;25",IF(E5022&lt;35,"25-&lt;35","35+")))))</x:f>
        <x:v>10-&lt;20</x:v>
      </x:c>
    </x:row>
    <x:row r="5023">
      <x:c r="A5023" t="str">
        <x:v>SYN0005022</x:v>
      </x:c>
      <x:c r="B5023" s="12" t="n">
        <x:v>43075</x:v>
      </x:c>
      <x:c r="C5023" s="18" t="n">
        <x:v>14933</x:v>
      </x:c>
      <x:c r="D5023" s="18" t="n">
        <x:v>49595</x:v>
      </x:c>
      <x:c r="E5023" s="18" t="n">
        <x:v>17.48</x:v>
      </x:c>
      <x:c r="F5023" s="18" t="n">
        <x:v>7.85</x:v>
      </x:c>
      <x:c r="G5023" t="n">
        <x:v>36</x:v>
      </x:c>
      <x:c r="H5023" t="str">
        <x:v>B</x:v>
      </x:c>
      <x:c r="I5023" t="str">
        <x:v>1-3 years</x:v>
      </x:c>
      <x:c r="J5023" t="str">
        <x:v>MORTGAGE</x:v>
      </x:c>
      <x:c r="K5023" t="str">
        <x:v>home_improvement</x:v>
      </x:c>
      <x:c r="L5023" t="n">
        <x:v>0</x:v>
      </x:c>
      <x:c r="M5023" t="n">
        <x:v>0</x:v>
      </x:c>
      <x:c r="N5023" t="str">
        <x:v>Fully Paid</x:v>
      </x:c>
      <x:c r="O5023" t="str">
        <x:f>IF(D5023="","Unknown",IF(D5023&lt;25000,"&lt;$25k",IF(D5023&lt;50000,"$25k-$50k",IF(D5023&lt;75000,"$50k-$75k",IF(D5023&lt;100000,"$75k-$100k","$100k+")))))</x:f>
        <x:v>$25k-$50k</x:v>
      </x:c>
      <x:c r="P5023" t="str">
        <x:f>IF(E5023="","Unknown",IF(E5023&lt;10,"&lt;10",IF(E5023&lt;20,"10-&lt;20",IF(E5023&lt;25,"20-&lt;25",IF(E5023&lt;35,"25-&lt;35","35+")))))</x:f>
        <x:v>10-&lt;20</x:v>
      </x:c>
    </x:row>
    <x:row r="5024">
      <x:c r="A5024" t="str">
        <x:v>SYN0005023</x:v>
      </x:c>
      <x:c r="B5024" s="12" t="n">
        <x:v>41875</x:v>
      </x:c>
      <x:c r="C5024" s="18" t="n">
        <x:v>11419</x:v>
      </x:c>
      <x:c r="D5024" s="18" t="n">
        <x:v>18796</x:v>
      </x:c>
      <x:c r="E5024" s="18" t="n">
        <x:v>16.94</x:v>
      </x:c>
      <x:c r="F5024" s="18" t="n">
        <x:v>8.85</x:v>
      </x:c>
      <x:c r="G5024" t="n">
        <x:v>36</x:v>
      </x:c>
      <x:c r="H5024" t="str">
        <x:v>B</x:v>
      </x:c>
      <x:c r="I5024" t="str">
        <x:v>4-6 years</x:v>
      </x:c>
      <x:c r="J5024" t="str">
        <x:v>RENT</x:v>
      </x:c>
      <x:c r="K5024" t="str">
        <x:v>debt_consolidation</x:v>
      </x:c>
      <x:c r="L5024" t="n">
        <x:v>0</x:v>
      </x:c>
      <x:c r="M5024" t="n">
        <x:v>0</x:v>
      </x:c>
      <x:c r="N5024" t="str">
        <x:v>Fully Paid</x:v>
      </x:c>
      <x:c r="O5024" t="str">
        <x:f>IF(D5024="","Unknown",IF(D5024&lt;25000,"&lt;$25k",IF(D5024&lt;50000,"$25k-$50k",IF(D5024&lt;75000,"$50k-$75k",IF(D5024&lt;100000,"$75k-$100k","$100k+")))))</x:f>
        <x:v>&lt;$25k</x:v>
      </x:c>
      <x:c r="P5024" t="str">
        <x:f>IF(E5024="","Unknown",IF(E5024&lt;10,"&lt;10",IF(E5024&lt;20,"10-&lt;20",IF(E5024&lt;25,"20-&lt;25",IF(E5024&lt;35,"25-&lt;35","35+")))))</x:f>
        <x:v>10-&lt;20</x:v>
      </x:c>
    </x:row>
    <x:row r="5025">
      <x:c r="A5025" t="str">
        <x:v>SYN0005024</x:v>
      </x:c>
      <x:c r="B5025" s="12" t="n">
        <x:v>42085</x:v>
      </x:c>
      <x:c r="C5025" s="18" t="n">
        <x:v>6843</x:v>
      </x:c>
      <x:c r="D5025" s="18" t="n">
        <x:v>27326</x:v>
      </x:c>
      <x:c r="E5025" s="18" t="n">
        <x:v>3.86</x:v>
      </x:c>
      <x:c r="F5025" s="18" t="n">
        <x:v>15.1</x:v>
      </x:c>
      <x:c r="G5025" t="n">
        <x:v>60</x:v>
      </x:c>
      <x:c r="H5025" t="str">
        <x:v>D</x:v>
      </x:c>
      <x:c r="I5025" t="str">
        <x:v>10+ years</x:v>
      </x:c>
      <x:c r="J5025" t="str">
        <x:v>RENT</x:v>
      </x:c>
      <x:c r="K5025" t="str">
        <x:v>debt_consolidation</x:v>
      </x:c>
      <x:c r="L5025" t="n">
        <x:v>0</x:v>
      </x:c>
      <x:c r="M5025" t="n">
        <x:v>0</x:v>
      </x:c>
      <x:c r="N5025" t="str">
        <x:v>Fully Paid</x:v>
      </x:c>
      <x:c r="O5025" t="str">
        <x:f>IF(D5025="","Unknown",IF(D5025&lt;25000,"&lt;$25k",IF(D5025&lt;50000,"$25k-$50k",IF(D5025&lt;75000,"$50k-$75k",IF(D5025&lt;100000,"$75k-$100k","$100k+")))))</x:f>
        <x:v>$25k-$50k</x:v>
      </x:c>
      <x:c r="P5025" t="str">
        <x:f>IF(E5025="","Unknown",IF(E5025&lt;10,"&lt;10",IF(E5025&lt;20,"10-&lt;20",IF(E5025&lt;25,"20-&lt;25",IF(E5025&lt;35,"25-&lt;35","35+")))))</x:f>
        <x:v>&lt;10</x:v>
      </x:c>
    </x:row>
    <x:row r="5026">
      <x:c r="A5026" t="str">
        <x:v>SYN0005025</x:v>
      </x:c>
      <x:c r="B5026" s="12" t="n">
        <x:v>42175</x:v>
      </x:c>
      <x:c r="C5026" s="18" t="n">
        <x:v>9405</x:v>
      </x:c>
      <x:c r="D5026" s="18" t="n">
        <x:v>63610</x:v>
      </x:c>
      <x:c r="E5026" s="18" t="n">
        <x:v>24.98</x:v>
      </x:c>
      <x:c r="F5026" s="18" t="n">
        <x:v>10.14</x:v>
      </x:c>
      <x:c r="G5026" t="n">
        <x:v>60</x:v>
      </x:c>
      <x:c r="H5026" t="str">
        <x:v>C</x:v>
      </x:c>
      <x:c r="I5026" t="str">
        <x:v>7-9 years</x:v>
      </x:c>
      <x:c r="J5026" t="str">
        <x:v>RENT</x:v>
      </x:c>
      <x:c r="K5026" t="str">
        <x:v>debt_consolidation</x:v>
      </x:c>
      <x:c r="L5026" t="n">
        <x:v>1</x:v>
      </x:c>
      <x:c r="M5026" t="n">
        <x:v>0</x:v>
      </x:c>
      <x:c r="N5026" t="str">
        <x:v>Fully Paid</x:v>
      </x:c>
      <x:c r="O5026" t="str">
        <x:f>IF(D5026="","Unknown",IF(D5026&lt;25000,"&lt;$25k",IF(D5026&lt;50000,"$25k-$50k",IF(D5026&lt;75000,"$50k-$75k",IF(D5026&lt;100000,"$75k-$100k","$100k+")))))</x:f>
        <x:v>$50k-$75k</x:v>
      </x:c>
      <x:c r="P5026" t="str">
        <x:f>IF(E5026="","Unknown",IF(E5026&lt;10,"&lt;10",IF(E5026&lt;20,"10-&lt;20",IF(E5026&lt;25,"20-&lt;25",IF(E5026&lt;35,"25-&lt;35","35+")))))</x:f>
        <x:v>20-&lt;25</x:v>
      </x:c>
    </x:row>
    <x:row r="5027">
      <x:c r="A5027" t="str">
        <x:v>SYN0005026</x:v>
      </x:c>
      <x:c r="B5027" s="12" t="n">
        <x:v>41875</x:v>
      </x:c>
      <x:c r="C5027" s="18" t="n">
        <x:v>22355</x:v>
      </x:c>
      <x:c r="D5027" s="18" t="n">
        <x:v>12000</x:v>
      </x:c>
      <x:c r="E5027" s="18" t="n">
        <x:v>16.49</x:v>
      </x:c>
      <x:c r="F5027" s="18" t="n">
        <x:v>17.26</x:v>
      </x:c>
      <x:c r="G5027" t="n">
        <x:v>36</x:v>
      </x:c>
      <x:c r="H5027" t="str">
        <x:v>E</x:v>
      </x:c>
      <x:c r="I5027" t="str">
        <x:v>7-9 years</x:v>
      </x:c>
      <x:c r="J5027" t="str">
        <x:v>MORTGAGE</x:v>
      </x:c>
      <x:c r="K5027" t="str">
        <x:v>debt_consolidation</x:v>
      </x:c>
      <x:c r="L5027" t="n">
        <x:v>0</x:v>
      </x:c>
      <x:c r="M5027" t="n">
        <x:v>0</x:v>
      </x:c>
      <x:c r="N5027" t="str">
        <x:v>Fully Paid</x:v>
      </x:c>
      <x:c r="O5027" t="str">
        <x:f>IF(D5027="","Unknown",IF(D5027&lt;25000,"&lt;$25k",IF(D5027&lt;50000,"$25k-$50k",IF(D5027&lt;75000,"$50k-$75k",IF(D5027&lt;100000,"$75k-$100k","$100k+")))))</x:f>
        <x:v>&lt;$25k</x:v>
      </x:c>
      <x:c r="P5027" t="str">
        <x:f>IF(E5027="","Unknown",IF(E5027&lt;10,"&lt;10",IF(E5027&lt;20,"10-&lt;20",IF(E5027&lt;25,"20-&lt;25",IF(E5027&lt;35,"25-&lt;35","35+")))))</x:f>
        <x:v>10-&lt;20</x:v>
      </x:c>
    </x:row>
    <x:row r="5028">
      <x:c r="A5028" t="str">
        <x:v>SYN0005027</x:v>
      </x:c>
      <x:c r="B5028" s="12" t="n">
        <x:v>42625</x:v>
      </x:c>
      <x:c r="C5028" s="18" t="n">
        <x:v>12780</x:v>
      </x:c>
      <x:c r="D5028" s="18" t="n">
        <x:v>86287</x:v>
      </x:c>
      <x:c r="E5028" s="18" t="n">
        <x:v>16.04</x:v>
      </x:c>
      <x:c r="F5028" s="18" t="n">
        <x:v>16.49</x:v>
      </x:c>
      <x:c r="G5028" t="n">
        <x:v>36</x:v>
      </x:c>
      <x:c r="H5028" t="str">
        <x:v>E</x:v>
      </x:c>
      <x:c r="I5028" t="str">
        <x:v>10+ years</x:v>
      </x:c>
      <x:c r="J5028" t="str">
        <x:v>OWN</x:v>
      </x:c>
      <x:c r="K5028" t="str">
        <x:v>home_improvement</x:v>
      </x:c>
      <x:c r="L5028" t="n">
        <x:v>1</x:v>
      </x:c>
      <x:c r="M5028" t="n">
        <x:v>0</x:v>
      </x:c>
      <x:c r="N5028" t="str">
        <x:v>Fully Paid</x:v>
      </x:c>
      <x:c r="O5028" t="str">
        <x:f>IF(D5028="","Unknown",IF(D5028&lt;25000,"&lt;$25k",IF(D5028&lt;50000,"$25k-$50k",IF(D5028&lt;75000,"$50k-$75k",IF(D5028&lt;100000,"$75k-$100k","$100k+")))))</x:f>
        <x:v>$75k-$100k</x:v>
      </x:c>
      <x:c r="P5028" t="str">
        <x:f>IF(E5028="","Unknown",IF(E5028&lt;10,"&lt;10",IF(E5028&lt;20,"10-&lt;20",IF(E5028&lt;25,"20-&lt;25",IF(E5028&lt;35,"25-&lt;35","35+")))))</x:f>
        <x:v>10-&lt;20</x:v>
      </x:c>
    </x:row>
    <x:row r="5029">
      <x:c r="A5029" t="str">
        <x:v>SYN0005028</x:v>
      </x:c>
      <x:c r="B5029" s="12" t="n">
        <x:v>42895</x:v>
      </x:c>
      <x:c r="C5029" s="18" t="n">
        <x:v>12812</x:v>
      </x:c>
      <x:c r="D5029" s="18" t="n">
        <x:v>101457</x:v>
      </x:c>
      <x:c r="E5029" s="18" t="n">
        <x:v>39.3</x:v>
      </x:c>
      <x:c r="F5029" s="18" t="n">
        <x:v>15.62</x:v>
      </x:c>
      <x:c r="G5029" t="n">
        <x:v>36</x:v>
      </x:c>
      <x:c r="H5029" t="str">
        <x:v>E</x:v>
      </x:c>
      <x:c r="I5029" t="str">
        <x:v>7-9 years</x:v>
      </x:c>
      <x:c r="J5029" t="str">
        <x:v>MORTGAGE</x:v>
      </x:c>
      <x:c r="K5029" t="str">
        <x:v>other</x:v>
      </x:c>
      <x:c r="L5029" t="n">
        <x:v>2</x:v>
      </x:c>
      <x:c r="M5029" t="n">
        <x:v>0</x:v>
      </x:c>
      <x:c r="N5029" t="str">
        <x:v>Fully Paid</x:v>
      </x:c>
      <x:c r="O5029" t="str">
        <x:f>IF(D5029="","Unknown",IF(D5029&lt;25000,"&lt;$25k",IF(D5029&lt;50000,"$25k-$50k",IF(D5029&lt;75000,"$50k-$75k",IF(D5029&lt;100000,"$75k-$100k","$100k+")))))</x:f>
        <x:v>$100k+</x:v>
      </x:c>
      <x:c r="P5029" t="str">
        <x:f>IF(E5029="","Unknown",IF(E5029&lt;10,"&lt;10",IF(E5029&lt;20,"10-&lt;20",IF(E5029&lt;25,"20-&lt;25",IF(E5029&lt;35,"25-&lt;35","35+")))))</x:f>
        <x:v>35+</x:v>
      </x:c>
    </x:row>
    <x:row r="5030">
      <x:c r="A5030" t="str">
        <x:v>SYN0005029</x:v>
      </x:c>
      <x:c r="B5030" s="12" t="n">
        <x:v>42925</x:v>
      </x:c>
      <x:c r="C5030" s="18" t="n">
        <x:v>27947</x:v>
      </x:c>
      <x:c r="D5030" s="18" t="n">
        <x:v>40399</x:v>
      </x:c>
      <x:c r="E5030" s="18" t="n">
        <x:v>36.8</x:v>
      </x:c>
      <x:c r="F5030" s="18" t="n">
        <x:v>7.8</x:v>
      </x:c>
      <x:c r="G5030" t="n">
        <x:v>36</x:v>
      </x:c>
      <x:c r="H5030" t="str">
        <x:v>B</x:v>
      </x:c>
      <x:c r="I5030" t="str">
        <x:v>1-3 years</x:v>
      </x:c>
      <x:c r="J5030" t="str">
        <x:v>RENT</x:v>
      </x:c>
      <x:c r="K5030" t="str">
        <x:v>credit_card</x:v>
      </x:c>
      <x:c r="L5030" t="n">
        <x:v>1</x:v>
      </x:c>
      <x:c r="M5030" t="n">
        <x:v>0</x:v>
      </x:c>
      <x:c r="N5030" t="str">
        <x:v>Fully Paid</x:v>
      </x:c>
      <x:c r="O5030" t="str">
        <x:f>IF(D5030="","Unknown",IF(D5030&lt;25000,"&lt;$25k",IF(D5030&lt;50000,"$25k-$50k",IF(D5030&lt;75000,"$50k-$75k",IF(D5030&lt;100000,"$75k-$100k","$100k+")))))</x:f>
        <x:v>$25k-$50k</x:v>
      </x:c>
      <x:c r="P5030" t="str">
        <x:f>IF(E5030="","Unknown",IF(E5030&lt;10,"&lt;10",IF(E5030&lt;20,"10-&lt;20",IF(E5030&lt;25,"20-&lt;25",IF(E5030&lt;35,"25-&lt;35","35+")))))</x:f>
        <x:v>35+</x:v>
      </x:c>
    </x:row>
    <x:row r="5031">
      <x:c r="A5031" t="str">
        <x:v>SYN0005030</x:v>
      </x:c>
      <x:c r="B5031" s="12" t="n">
        <x:v>43195</x:v>
      </x:c>
      <x:c r="C5031" s="18" t="n">
        <x:v>13890</x:v>
      </x:c>
      <x:c r="D5031" s="18" t="n">
        <x:v>72711</x:v>
      </x:c>
      <x:c r="E5031" s="18" t="n">
        <x:v>27.21</x:v>
      </x:c>
      <x:c r="F5031" s="18" t="n">
        <x:v>9.02</x:v>
      </x:c>
      <x:c r="G5031" t="n">
        <x:v>36</x:v>
      </x:c>
      <x:c r="H5031" t="str">
        <x:v>C</x:v>
      </x:c>
      <x:c r="I5031" t="str">
        <x:v>10+ years</x:v>
      </x:c>
      <x:c r="J5031" t="str">
        <x:v>RENT</x:v>
      </x:c>
      <x:c r="K5031" t="str">
        <x:v>home_improvement</x:v>
      </x:c>
      <x:c r="L5031" t="n">
        <x:v>0</x:v>
      </x:c>
      <x:c r="M5031" t="n">
        <x:v>0</x:v>
      </x:c>
      <x:c r="N5031" t="str">
        <x:v>Fully Paid</x:v>
      </x:c>
      <x:c r="O5031" t="str">
        <x:f>IF(D5031="","Unknown",IF(D5031&lt;25000,"&lt;$25k",IF(D5031&lt;50000,"$25k-$50k",IF(D5031&lt;75000,"$50k-$75k",IF(D5031&lt;100000,"$75k-$100k","$100k+")))))</x:f>
        <x:v>$50k-$75k</x:v>
      </x:c>
      <x:c r="P5031" t="str">
        <x:f>IF(E5031="","Unknown",IF(E5031&lt;10,"&lt;10",IF(E5031&lt;20,"10-&lt;20",IF(E5031&lt;25,"20-&lt;25",IF(E5031&lt;35,"25-&lt;35","35+")))))</x:f>
        <x:v>25-&lt;35</x:v>
      </x:c>
    </x:row>
    <x:row r="5032">
      <x:c r="A5032" t="str">
        <x:v>SYN0005031</x:v>
      </x:c>
      <x:c r="B5032" s="12" t="n">
        <x:v>41545</x:v>
      </x:c>
      <x:c r="C5032" s="18" t="n">
        <x:v>7093</x:v>
      </x:c>
      <x:c r="D5032" s="18" t="n">
        <x:v>23576</x:v>
      </x:c>
      <x:c r="E5032" s="18" t="n">
        <x:v>27.3</x:v>
      </x:c>
      <x:c r="F5032" s="18" t="n">
        <x:v>18.61</x:v>
      </x:c>
      <x:c r="G5032" t="n">
        <x:v>60</x:v>
      </x:c>
      <x:c r="H5032" t="str">
        <x:v>E</x:v>
      </x:c>
      <x:c r="I5032" t="str">
        <x:v>7-9 years</x:v>
      </x:c>
      <x:c r="J5032" t="str">
        <x:v>RENT</x:v>
      </x:c>
      <x:c r="K5032" t="str">
        <x:v>debt_consolidation</x:v>
      </x:c>
      <x:c r="L5032" t="n">
        <x:v>2</x:v>
      </x:c>
      <x:c r="M5032" t="n">
        <x:v>0</x:v>
      </x:c>
      <x:c r="N5032" t="str">
        <x:v>Fully Paid</x:v>
      </x:c>
      <x:c r="O5032" t="str">
        <x:f>IF(D5032="","Unknown",IF(D5032&lt;25000,"&lt;$25k",IF(D5032&lt;50000,"$25k-$50k",IF(D5032&lt;75000,"$50k-$75k",IF(D5032&lt;100000,"$75k-$100k","$100k+")))))</x:f>
        <x:v>&lt;$25k</x:v>
      </x:c>
      <x:c r="P5032" t="str">
        <x:f>IF(E5032="","Unknown",IF(E5032&lt;10,"&lt;10",IF(E5032&lt;20,"10-&lt;20",IF(E5032&lt;25,"20-&lt;25",IF(E5032&lt;35,"25-&lt;35","35+")))))</x:f>
        <x:v>25-&lt;35</x:v>
      </x:c>
    </x:row>
    <x:row r="5033">
      <x:c r="A5033" t="str">
        <x:v>SYN0005032</x:v>
      </x:c>
      <x:c r="B5033" s="12" t="n">
        <x:v>42715</x:v>
      </x:c>
      <x:c r="C5033" s="18" t="n">
        <x:v>15009</x:v>
      </x:c>
      <x:c r="D5033" s="18" t="n">
        <x:v>38115</x:v>
      </x:c>
      <x:c r="E5033" s="18" t="n">
        <x:v>29.68</x:v>
      </x:c>
      <x:c r="F5033" s="18" t="n">
        <x:v>14.48</x:v>
      </x:c>
      <x:c r="G5033" t="n">
        <x:v>36</x:v>
      </x:c>
      <x:c r="H5033" t="str">
        <x:v>D</x:v>
      </x:c>
      <x:c r="I5033" t="str">
        <x:v>4-6 years</x:v>
      </x:c>
      <x:c r="J5033" t="str">
        <x:v>RENT</x:v>
      </x:c>
      <x:c r="K5033" t="str">
        <x:v>credit_card</x:v>
      </x:c>
      <x:c r="L5033" t="n">
        <x:v>0</x:v>
      </x:c>
      <x:c r="M5033" t="n">
        <x:v>0</x:v>
      </x:c>
      <x:c r="N5033" t="str">
        <x:v>Fully Paid</x:v>
      </x:c>
      <x:c r="O5033" t="str">
        <x:f>IF(D5033="","Unknown",IF(D5033&lt;25000,"&lt;$25k",IF(D5033&lt;50000,"$25k-$50k",IF(D5033&lt;75000,"$50k-$75k",IF(D5033&lt;100000,"$75k-$100k","$100k+")))))</x:f>
        <x:v>$25k-$50k</x:v>
      </x:c>
      <x:c r="P5033" t="str">
        <x:f>IF(E5033="","Unknown",IF(E5033&lt;10,"&lt;10",IF(E5033&lt;20,"10-&lt;20",IF(E5033&lt;25,"20-&lt;25",IF(E5033&lt;35,"25-&lt;35","35+")))))</x:f>
        <x:v>25-&lt;35</x:v>
      </x:c>
    </x:row>
    <x:row r="5034">
      <x:c r="A5034" t="str">
        <x:v>SYN0005033</x:v>
      </x:c>
      <x:c r="B5034" s="12" t="n">
        <x:v>42865</x:v>
      </x:c>
      <x:c r="C5034" s="18" t="n">
        <x:v>16841</x:v>
      </x:c>
      <x:c r="D5034" s="18" t="n">
        <x:v>18955</x:v>
      </x:c>
      <x:c r="E5034" s="18" t="n">
        <x:v>27.1</x:v>
      </x:c>
      <x:c r="F5034" s="18" t="n">
        <x:v>20.77</x:v>
      </x:c>
      <x:c r="G5034" t="n">
        <x:v>60</x:v>
      </x:c>
      <x:c r="H5034" t="str">
        <x:v>F</x:v>
      </x:c>
      <x:c r="I5034" t="str">
        <x:v>10+ years</x:v>
      </x:c>
      <x:c r="J5034" t="str">
        <x:v>OWN</x:v>
      </x:c>
      <x:c r="K5034" t="str">
        <x:v>debt_consolidation</x:v>
      </x:c>
      <x:c r="L5034" t="n">
        <x:v>3</x:v>
      </x:c>
      <x:c r="M5034" t="n">
        <x:v>1</x:v>
      </x:c>
      <x:c r="N5034" t="str">
        <x:v>Charged Off</x:v>
      </x:c>
      <x:c r="O5034" t="str">
        <x:f>IF(D5034="","Unknown",IF(D5034&lt;25000,"&lt;$25k",IF(D5034&lt;50000,"$25k-$50k",IF(D5034&lt;75000,"$50k-$75k",IF(D5034&lt;100000,"$75k-$100k","$100k+")))))</x:f>
        <x:v>&lt;$25k</x:v>
      </x:c>
      <x:c r="P5034" t="str">
        <x:f>IF(E5034="","Unknown",IF(E5034&lt;10,"&lt;10",IF(E5034&lt;20,"10-&lt;20",IF(E5034&lt;25,"20-&lt;25",IF(E5034&lt;35,"25-&lt;35","35+")))))</x:f>
        <x:v>25-&lt;35</x:v>
      </x:c>
    </x:row>
    <x:row r="5035">
      <x:c r="A5035" t="str">
        <x:v>SYN0005034</x:v>
      </x:c>
      <x:c r="B5035" s="12" t="n">
        <x:v>42505</x:v>
      </x:c>
      <x:c r="C5035" s="18" t="n">
        <x:v>18715</x:v>
      </x:c>
      <x:c r="D5035" s="18" t="n">
        <x:v>59650</x:v>
      </x:c>
      <x:c r="E5035" s="18" t="n">
        <x:v>22.41</x:v>
      </x:c>
      <x:c r="F5035" s="18" t="n">
        <x:v>14.57</x:v>
      </x:c>
      <x:c r="G5035" t="n">
        <x:v>36</x:v>
      </x:c>
      <x:c r="H5035" t="str">
        <x:v>D</x:v>
      </x:c>
      <x:c r="I5035" t="str">
        <x:v>4-6 years</x:v>
      </x:c>
      <x:c r="J5035" t="str">
        <x:v>RENT</x:v>
      </x:c>
      <x:c r="K5035" t="str">
        <x:v>debt_consolidation</x:v>
      </x:c>
      <x:c r="L5035" t="n">
        <x:v>0</x:v>
      </x:c>
      <x:c r="M5035" t="n">
        <x:v>0</x:v>
      </x:c>
      <x:c r="N5035" t="str">
        <x:v>Fully Paid</x:v>
      </x:c>
      <x:c r="O5035" t="str">
        <x:f>IF(D5035="","Unknown",IF(D5035&lt;25000,"&lt;$25k",IF(D5035&lt;50000,"$25k-$50k",IF(D5035&lt;75000,"$50k-$75k",IF(D5035&lt;100000,"$75k-$100k","$100k+")))))</x:f>
        <x:v>$50k-$75k</x:v>
      </x:c>
      <x:c r="P5035" t="str">
        <x:f>IF(E5035="","Unknown",IF(E5035&lt;10,"&lt;10",IF(E5035&lt;20,"10-&lt;20",IF(E5035&lt;25,"20-&lt;25",IF(E5035&lt;35,"25-&lt;35","35+")))))</x:f>
        <x:v>20-&lt;25</x:v>
      </x:c>
    </x:row>
    <x:row r="5036">
      <x:c r="A5036" t="str">
        <x:v>SYN0005035</x:v>
      </x:c>
      <x:c r="B5036" s="12" t="n">
        <x:v>41695</x:v>
      </x:c>
      <x:c r="C5036" s="18" t="n">
        <x:v>10509</x:v>
      </x:c>
      <x:c r="D5036" s="18" t="n">
        <x:v>71049</x:v>
      </x:c>
      <x:c r="E5036" s="18" t="n">
        <x:v>23.59</x:v>
      </x:c>
      <x:c r="F5036" s="18" t="n">
        <x:v>8.69</x:v>
      </x:c>
      <x:c r="G5036" t="n">
        <x:v>36</x:v>
      </x:c>
      <x:c r="H5036" t="str">
        <x:v>B</x:v>
      </x:c>
      <x:c r="I5036" t="str">
        <x:v>&lt;1 year</x:v>
      </x:c>
      <x:c r="J5036" t="str">
        <x:v>MORTGAGE</x:v>
      </x:c>
      <x:c r="K5036" t="str">
        <x:v>credit_card</x:v>
      </x:c>
      <x:c r="L5036" t="n">
        <x:v>1</x:v>
      </x:c>
      <x:c r="M5036" t="n">
        <x:v>0</x:v>
      </x:c>
      <x:c r="N5036" t="str">
        <x:v>Fully Paid</x:v>
      </x:c>
      <x:c r="O5036" t="str">
        <x:f>IF(D5036="","Unknown",IF(D5036&lt;25000,"&lt;$25k",IF(D5036&lt;50000,"$25k-$50k",IF(D5036&lt;75000,"$50k-$75k",IF(D5036&lt;100000,"$75k-$100k","$100k+")))))</x:f>
        <x:v>$50k-$75k</x:v>
      </x:c>
      <x:c r="P5036" t="str">
        <x:f>IF(E5036="","Unknown",IF(E5036&lt;10,"&lt;10",IF(E5036&lt;20,"10-&lt;20",IF(E5036&lt;25,"20-&lt;25",IF(E5036&lt;35,"25-&lt;35","35+")))))</x:f>
        <x:v>20-&lt;25</x:v>
      </x:c>
    </x:row>
    <x:row r="5037">
      <x:c r="A5037" t="str">
        <x:v>SYN0005036</x:v>
      </x:c>
      <x:c r="B5037" s="12" t="n">
        <x:v>42085</x:v>
      </x:c>
      <x:c r="C5037" s="18" t="n">
        <x:v>18226</x:v>
      </x:c>
      <x:c r="D5037" s="18" t="n">
        <x:v>81146</x:v>
      </x:c>
      <x:c r="E5037" s="18" t="n">
        <x:v>30.94</x:v>
      </x:c>
      <x:c r="F5037" s="18" t="n">
        <x:v>10.21</x:v>
      </x:c>
      <x:c r="G5037" t="n">
        <x:v>60</x:v>
      </x:c>
      <x:c r="H5037" t="str">
        <x:v>C</x:v>
      </x:c>
      <x:c r="I5037" t="str">
        <x:v>7-9 years</x:v>
      </x:c>
      <x:c r="J5037" t="str">
        <x:v>OWN</x:v>
      </x:c>
      <x:c r="K5037" t="str">
        <x:v>debt_consolidation</x:v>
      </x:c>
      <x:c r="L5037" t="n">
        <x:v>1</x:v>
      </x:c>
      <x:c r="M5037" t="n">
        <x:v>0</x:v>
      </x:c>
      <x:c r="N5037" t="str">
        <x:v>Fully Paid</x:v>
      </x:c>
      <x:c r="O5037" t="str">
        <x:f>IF(D5037="","Unknown",IF(D5037&lt;25000,"&lt;$25k",IF(D5037&lt;50000,"$25k-$50k",IF(D5037&lt;75000,"$50k-$75k",IF(D5037&lt;100000,"$75k-$100k","$100k+")))))</x:f>
        <x:v>$75k-$100k</x:v>
      </x:c>
      <x:c r="P5037" t="str">
        <x:f>IF(E5037="","Unknown",IF(E5037&lt;10,"&lt;10",IF(E5037&lt;20,"10-&lt;20",IF(E5037&lt;25,"20-&lt;25",IF(E5037&lt;35,"25-&lt;35","35+")))))</x:f>
        <x:v>25-&lt;35</x:v>
      </x:c>
    </x:row>
    <x:row r="5038">
      <x:c r="A5038" t="str">
        <x:v>SYN0005037</x:v>
      </x:c>
      <x:c r="B5038" s="12" t="n">
        <x:v>42265</x:v>
      </x:c>
      <x:c r="C5038" s="18" t="n">
        <x:v>40000</x:v>
      </x:c>
      <x:c r="D5038" s="18" t="n">
        <x:v>18928</x:v>
      </x:c>
      <x:c r="E5038" s="18" t="n">
        <x:v>21.63</x:v>
      </x:c>
      <x:c r="F5038" s="18" t="n">
        <x:v>6.39</x:v>
      </x:c>
      <x:c r="G5038" t="n">
        <x:v>36</x:v>
      </x:c>
      <x:c r="H5038" t="str">
        <x:v>A</x:v>
      </x:c>
      <x:c r="I5038" t="str">
        <x:v>7-9 years</x:v>
      </x:c>
      <x:c r="J5038" t="str">
        <x:v>RENT</x:v>
      </x:c>
      <x:c r="K5038" t="str">
        <x:v>debt_consolidation</x:v>
      </x:c>
      <x:c r="L5038" t="n">
        <x:v>0</x:v>
      </x:c>
      <x:c r="M5038" t="n">
        <x:v>0</x:v>
      </x:c>
      <x:c r="N5038" t="str">
        <x:v>Fully Paid</x:v>
      </x:c>
      <x:c r="O5038" t="str">
        <x:f>IF(D5038="","Unknown",IF(D5038&lt;25000,"&lt;$25k",IF(D5038&lt;50000,"$25k-$50k",IF(D5038&lt;75000,"$50k-$75k",IF(D5038&lt;100000,"$75k-$100k","$100k+")))))</x:f>
        <x:v>&lt;$25k</x:v>
      </x:c>
      <x:c r="P5038" t="str">
        <x:f>IF(E5038="","Unknown",IF(E5038&lt;10,"&lt;10",IF(E5038&lt;20,"10-&lt;20",IF(E5038&lt;25,"20-&lt;25",IF(E5038&lt;35,"25-&lt;35","35+")))))</x:f>
        <x:v>20-&lt;25</x:v>
      </x:c>
    </x:row>
    <x:row r="5039">
      <x:c r="A5039" t="str">
        <x:v>SYN0005038</x:v>
      </x:c>
      <x:c r="B5039" s="12" t="n">
        <x:v>42565</x:v>
      </x:c>
      <x:c r="C5039" s="18" t="n">
        <x:v>19439</x:v>
      </x:c>
      <x:c r="D5039" s="18" t="n">
        <x:v>44042</x:v>
      </x:c>
      <x:c r="E5039" s="18" t="n">
        <x:v>19.29</x:v>
      </x:c>
      <x:c r="F5039" s="18" t="n">
        <x:v>22.1</x:v>
      </x:c>
      <x:c r="G5039" t="n">
        <x:v>60</x:v>
      </x:c>
      <x:c r="H5039" t="str">
        <x:v>F</x:v>
      </x:c>
      <x:c r="I5039" t="str">
        <x:v>10+ years</x:v>
      </x:c>
      <x:c r="J5039" t="str">
        <x:v>RENT</x:v>
      </x:c>
      <x:c r="K5039" t="str">
        <x:v>credit_card</x:v>
      </x:c>
      <x:c r="L5039" t="n">
        <x:v>1</x:v>
      </x:c>
      <x:c r="M5039" t="n">
        <x:v>0</x:v>
      </x:c>
      <x:c r="N5039" t="str">
        <x:v>Fully Paid</x:v>
      </x:c>
      <x:c r="O5039" t="str">
        <x:f>IF(D5039="","Unknown",IF(D5039&lt;25000,"&lt;$25k",IF(D5039&lt;50000,"$25k-$50k",IF(D5039&lt;75000,"$50k-$75k",IF(D5039&lt;100000,"$75k-$100k","$100k+")))))</x:f>
        <x:v>$25k-$50k</x:v>
      </x:c>
      <x:c r="P5039" t="str">
        <x:f>IF(E5039="","Unknown",IF(E5039&lt;10,"&lt;10",IF(E5039&lt;20,"10-&lt;20",IF(E5039&lt;25,"20-&lt;25",IF(E5039&lt;35,"25-&lt;35","35+")))))</x:f>
        <x:v>10-&lt;20</x:v>
      </x:c>
    </x:row>
    <x:row r="5040">
      <x:c r="A5040" t="str">
        <x:v>SYN0005039</x:v>
      </x:c>
      <x:c r="B5040" s="12" t="n">
        <x:v>41665</x:v>
      </x:c>
      <x:c r="C5040" s="18" t="n">
        <x:v>14431</x:v>
      </x:c>
      <x:c r="D5040" s="18" t="n">
        <x:v>45365</x:v>
      </x:c>
      <x:c r="E5040" s="18" t="n">
        <x:v>16.13</x:v>
      </x:c>
      <x:c r="F5040" s="18" t="n">
        <x:v>15.18</x:v>
      </x:c>
      <x:c r="G5040" t="n">
        <x:v>60</x:v>
      </x:c>
      <x:c r="H5040" t="str">
        <x:v>D</x:v>
      </x:c>
      <x:c r="I5040" t="str">
        <x:v>7-9 years</x:v>
      </x:c>
      <x:c r="J5040" t="str">
        <x:v>RENT</x:v>
      </x:c>
      <x:c r="K5040" t="str">
        <x:v>credit_card</x:v>
      </x:c>
      <x:c r="L5040" t="n">
        <x:v>0</x:v>
      </x:c>
      <x:c r="M5040" t="n">
        <x:v>1</x:v>
      </x:c>
      <x:c r="N5040" t="str">
        <x:v>Charged Off</x:v>
      </x:c>
      <x:c r="O5040" t="str">
        <x:f>IF(D5040="","Unknown",IF(D5040&lt;25000,"&lt;$25k",IF(D5040&lt;50000,"$25k-$50k",IF(D5040&lt;75000,"$50k-$75k",IF(D5040&lt;100000,"$75k-$100k","$100k+")))))</x:f>
        <x:v>$25k-$50k</x:v>
      </x:c>
      <x:c r="P5040" t="str">
        <x:f>IF(E5040="","Unknown",IF(E5040&lt;10,"&lt;10",IF(E5040&lt;20,"10-&lt;20",IF(E5040&lt;25,"20-&lt;25",IF(E5040&lt;35,"25-&lt;35","35+")))))</x:f>
        <x:v>10-&lt;20</x:v>
      </x:c>
    </x:row>
    <x:row r="5041">
      <x:c r="A5041" t="str">
        <x:v>SYN0005040</x:v>
      </x:c>
      <x:c r="B5041" s="12" t="n">
        <x:v>42895</x:v>
      </x:c>
      <x:c r="C5041" s="18" t="n">
        <x:v>8889</x:v>
      </x:c>
      <x:c r="D5041" s="18" t="n">
        <x:v>39163</x:v>
      </x:c>
      <x:c r="E5041" s="18" t="n">
        <x:v>5.87</x:v>
      </x:c>
      <x:c r="F5041" s="18" t="n">
        <x:v>12.07</x:v>
      </x:c>
      <x:c r="G5041" t="n">
        <x:v>60</x:v>
      </x:c>
      <x:c r="H5041" t="str">
        <x:v>C</x:v>
      </x:c>
      <x:c r="I5041" t="str">
        <x:v>4-6 years</x:v>
      </x:c>
      <x:c r="J5041" t="str">
        <x:v>RENT</x:v>
      </x:c>
      <x:c r="K5041" t="str">
        <x:v>credit_card</x:v>
      </x:c>
      <x:c r="L5041" t="n">
        <x:v>1</x:v>
      </x:c>
      <x:c r="M5041" t="n">
        <x:v>0</x:v>
      </x:c>
      <x:c r="N5041" t="str">
        <x:v>Fully Paid</x:v>
      </x:c>
      <x:c r="O5041" t="str">
        <x:f>IF(D5041="","Unknown",IF(D5041&lt;25000,"&lt;$25k",IF(D5041&lt;50000,"$25k-$50k",IF(D5041&lt;75000,"$50k-$75k",IF(D5041&lt;100000,"$75k-$100k","$100k+")))))</x:f>
        <x:v>$25k-$50k</x:v>
      </x:c>
      <x:c r="P5041" t="str">
        <x:f>IF(E5041="","Unknown",IF(E5041&lt;10,"&lt;10",IF(E5041&lt;20,"10-&lt;20",IF(E5041&lt;25,"20-&lt;25",IF(E5041&lt;35,"25-&lt;35","35+")))))</x:f>
        <x:v>&lt;10</x:v>
      </x:c>
    </x:row>
    <x:row r="5042">
      <x:c r="A5042" t="str">
        <x:v>SYN0005041</x:v>
      </x:c>
      <x:c r="B5042" s="12" t="n">
        <x:v>41365</x:v>
      </x:c>
      <x:c r="C5042" s="18" t="n">
        <x:v>19736</x:v>
      </x:c>
      <x:c r="D5042" s="18" t="n">
        <x:v>15906</x:v>
      </x:c>
      <x:c r="E5042" s="18" t="n">
        <x:v>19.47</x:v>
      </x:c>
      <x:c r="F5042" s="18" t="n">
        <x:v>16</x:v>
      </x:c>
      <x:c r="G5042" t="n">
        <x:v>36</x:v>
      </x:c>
      <x:c r="H5042" t="str">
        <x:v>D</x:v>
      </x:c>
      <x:c r="I5042" t="str">
        <x:v>10+ years</x:v>
      </x:c>
      <x:c r="J5042" t="str">
        <x:v>RENT</x:v>
      </x:c>
      <x:c r="K5042" t="str">
        <x:v>debt_consolidation</x:v>
      </x:c>
      <x:c r="L5042" t="n">
        <x:v>0</x:v>
      </x:c>
      <x:c r="M5042" t="n">
        <x:v>0</x:v>
      </x:c>
      <x:c r="N5042" t="str">
        <x:v>Fully Paid</x:v>
      </x:c>
      <x:c r="O5042" t="str">
        <x:f>IF(D5042="","Unknown",IF(D5042&lt;25000,"&lt;$25k",IF(D5042&lt;50000,"$25k-$50k",IF(D5042&lt;75000,"$50k-$75k",IF(D5042&lt;100000,"$75k-$100k","$100k+")))))</x:f>
        <x:v>&lt;$25k</x:v>
      </x:c>
      <x:c r="P5042" t="str">
        <x:f>IF(E5042="","Unknown",IF(E5042&lt;10,"&lt;10",IF(E5042&lt;20,"10-&lt;20",IF(E5042&lt;25,"20-&lt;25",IF(E5042&lt;35,"25-&lt;35","35+")))))</x:f>
        <x:v>10-&lt;20</x:v>
      </x:c>
    </x:row>
    <x:row r="5043">
      <x:c r="A5043" t="str">
        <x:v>SYN0005042</x:v>
      </x:c>
      <x:c r="B5043" s="12" t="n">
        <x:v>43075</x:v>
      </x:c>
      <x:c r="C5043" s="18" t="n">
        <x:v>10870</x:v>
      </x:c>
      <x:c r="D5043" s="18" t="n">
        <x:v>61600</x:v>
      </x:c>
      <x:c r="E5043" s="18" t="n">
        <x:v>17.79</x:v>
      </x:c>
      <x:c r="F5043" s="18" t="n">
        <x:v>8.04</x:v>
      </x:c>
      <x:c r="G5043" t="n">
        <x:v>36</x:v>
      </x:c>
      <x:c r="H5043" t="str">
        <x:v>A</x:v>
      </x:c>
      <x:c r="I5043" t="str">
        <x:v>4-6 years</x:v>
      </x:c>
      <x:c r="J5043" t="str">
        <x:v>OWN</x:v>
      </x:c>
      <x:c r="K5043" t="str">
        <x:v>debt_consolidation</x:v>
      </x:c>
      <x:c r="L5043" t="n">
        <x:v>1</x:v>
      </x:c>
      <x:c r="M5043" t="n">
        <x:v>0</x:v>
      </x:c>
      <x:c r="N5043" t="str">
        <x:v>Fully Paid</x:v>
      </x:c>
      <x:c r="O5043" t="str">
        <x:f>IF(D5043="","Unknown",IF(D5043&lt;25000,"&lt;$25k",IF(D5043&lt;50000,"$25k-$50k",IF(D5043&lt;75000,"$50k-$75k",IF(D5043&lt;100000,"$75k-$100k","$100k+")))))</x:f>
        <x:v>$50k-$75k</x:v>
      </x:c>
      <x:c r="P5043" t="str">
        <x:f>IF(E5043="","Unknown",IF(E5043&lt;10,"&lt;10",IF(E5043&lt;20,"10-&lt;20",IF(E5043&lt;25,"20-&lt;25",IF(E5043&lt;35,"25-&lt;35","35+")))))</x:f>
        <x:v>10-&lt;20</x:v>
      </x:c>
    </x:row>
    <x:row r="5044">
      <x:c r="A5044" t="str">
        <x:v>SYN0005043</x:v>
      </x:c>
      <x:c r="B5044" s="12" t="n">
        <x:v>42175</x:v>
      </x:c>
      <x:c r="C5044" s="18" t="n">
        <x:v>10173</x:v>
      </x:c>
      <x:c r="D5044" s="18" t="n">
        <x:v>83516</x:v>
      </x:c>
      <x:c r="E5044" s="18" t="n">
        <x:v>28.2</x:v>
      </x:c>
      <x:c r="F5044" s="18" t="n">
        <x:v>8.41</x:v>
      </x:c>
      <x:c r="G5044" t="n">
        <x:v>60</x:v>
      </x:c>
      <x:c r="H5044" t="str">
        <x:v>B</x:v>
      </x:c>
      <x:c r="I5044" t="str">
        <x:v>10+ years</x:v>
      </x:c>
      <x:c r="J5044" t="str">
        <x:v>RENT</x:v>
      </x:c>
      <x:c r="K5044" t="str">
        <x:v>credit_card</x:v>
      </x:c>
      <x:c r="L5044" t="n">
        <x:v>0</x:v>
      </x:c>
      <x:c r="M5044" t="n">
        <x:v>0</x:v>
      </x:c>
      <x:c r="N5044" t="str">
        <x:v>Fully Paid</x:v>
      </x:c>
      <x:c r="O5044" t="str">
        <x:f>IF(D5044="","Unknown",IF(D5044&lt;25000,"&lt;$25k",IF(D5044&lt;50000,"$25k-$50k",IF(D5044&lt;75000,"$50k-$75k",IF(D5044&lt;100000,"$75k-$100k","$100k+")))))</x:f>
        <x:v>$75k-$100k</x:v>
      </x:c>
      <x:c r="P5044" t="str">
        <x:f>IF(E5044="","Unknown",IF(E5044&lt;10,"&lt;10",IF(E5044&lt;20,"10-&lt;20",IF(E5044&lt;25,"20-&lt;25",IF(E5044&lt;35,"25-&lt;35","35+")))))</x:f>
        <x:v>25-&lt;35</x:v>
      </x:c>
    </x:row>
    <x:row r="5045">
      <x:c r="A5045" t="str">
        <x:v>SYN0005044</x:v>
      </x:c>
      <x:c r="B5045" s="12" t="n">
        <x:v>42265</x:v>
      </x:c>
      <x:c r="C5045" s="18" t="n">
        <x:v>15846</x:v>
      </x:c>
      <x:c r="D5045" s="18" t="n">
        <x:v>66380</x:v>
      </x:c>
      <x:c r="E5045" s="18" t="n">
        <x:v>21.26</x:v>
      </x:c>
      <x:c r="F5045" s="18" t="n">
        <x:v>15.13</x:v>
      </x:c>
      <x:c r="G5045" t="n">
        <x:v>60</x:v>
      </x:c>
      <x:c r="H5045" t="str">
        <x:v>D</x:v>
      </x:c>
      <x:c r="I5045" t="str">
        <x:v>4-6 years</x:v>
      </x:c>
      <x:c r="J5045" t="str">
        <x:v>RENT</x:v>
      </x:c>
      <x:c r="K5045" t="str">
        <x:v>credit_card</x:v>
      </x:c>
      <x:c r="L5045" t="n">
        <x:v>1</x:v>
      </x:c>
      <x:c r="M5045" t="n">
        <x:v>0</x:v>
      </x:c>
      <x:c r="N5045" t="str">
        <x:v>Fully Paid</x:v>
      </x:c>
      <x:c r="O5045" t="str">
        <x:f>IF(D5045="","Unknown",IF(D5045&lt;25000,"&lt;$25k",IF(D5045&lt;50000,"$25k-$50k",IF(D5045&lt;75000,"$50k-$75k",IF(D5045&lt;100000,"$75k-$100k","$100k+")))))</x:f>
        <x:v>$50k-$75k</x:v>
      </x:c>
      <x:c r="P5045" t="str">
        <x:f>IF(E5045="","Unknown",IF(E5045&lt;10,"&lt;10",IF(E5045&lt;20,"10-&lt;20",IF(E5045&lt;25,"20-&lt;25",IF(E5045&lt;35,"25-&lt;35","35+")))))</x:f>
        <x:v>20-&lt;25</x:v>
      </x:c>
    </x:row>
    <x:row r="5046">
      <x:c r="A5046" t="str">
        <x:v>SYN0005045</x:v>
      </x:c>
      <x:c r="B5046" s="12" t="n">
        <x:v>41275</x:v>
      </x:c>
      <x:c r="C5046" s="18" t="n">
        <x:v>12705</x:v>
      </x:c>
      <x:c r="D5046" s="18" t="n">
        <x:v>77475</x:v>
      </x:c>
      <x:c r="E5046" s="18" t="n">
        <x:v>12.41</x:v>
      </x:c>
      <x:c r="F5046" s="18" t="n">
        <x:v>10.32</x:v>
      </x:c>
      <x:c r="G5046" t="n">
        <x:v>36</x:v>
      </x:c>
      <x:c r="H5046" t="str">
        <x:v>B</x:v>
      </x:c>
      <x:c r="I5046" t="str">
        <x:v>10+ years</x:v>
      </x:c>
      <x:c r="J5046" t="str">
        <x:v>RENT</x:v>
      </x:c>
      <x:c r="K5046" t="str">
        <x:v>medical</x:v>
      </x:c>
      <x:c r="L5046" t="n">
        <x:v>0</x:v>
      </x:c>
      <x:c r="M5046" t="n">
        <x:v>0</x:v>
      </x:c>
      <x:c r="N5046" t="str">
        <x:v>Fully Paid</x:v>
      </x:c>
      <x:c r="O5046" t="str">
        <x:f>IF(D5046="","Unknown",IF(D5046&lt;25000,"&lt;$25k",IF(D5046&lt;50000,"$25k-$50k",IF(D5046&lt;75000,"$50k-$75k",IF(D5046&lt;100000,"$75k-$100k","$100k+")))))</x:f>
        <x:v>$75k-$100k</x:v>
      </x:c>
      <x:c r="P5046" t="str">
        <x:f>IF(E5046="","Unknown",IF(E5046&lt;10,"&lt;10",IF(E5046&lt;20,"10-&lt;20",IF(E5046&lt;25,"20-&lt;25",IF(E5046&lt;35,"25-&lt;35","35+")))))</x:f>
        <x:v>10-&lt;20</x:v>
      </x:c>
    </x:row>
    <x:row r="5047">
      <x:c r="A5047" t="str">
        <x:v>SYN0005046</x:v>
      </x:c>
      <x:c r="B5047" s="12" t="n">
        <x:v>42805</x:v>
      </x:c>
      <x:c r="C5047" s="18" t="n">
        <x:v>23451</x:v>
      </x:c>
      <x:c r="D5047" s="18" t="n">
        <x:v>74936</x:v>
      </x:c>
      <x:c r="E5047" s="18" t="n">
        <x:v>19.3</x:v>
      </x:c>
      <x:c r="F5047" s="18" t="n">
        <x:v>8.68</x:v>
      </x:c>
      <x:c r="G5047" t="n">
        <x:v>36</x:v>
      </x:c>
      <x:c r="H5047" t="str">
        <x:v>B</x:v>
      </x:c>
      <x:c r="I5047" t="str">
        <x:v>4-6 years</x:v>
      </x:c>
      <x:c r="J5047" t="str">
        <x:v>RENT</x:v>
      </x:c>
      <x:c r="K5047" t="str">
        <x:v>credit_card</x:v>
      </x:c>
      <x:c r="L5047" t="n">
        <x:v>0</x:v>
      </x:c>
      <x:c r="M5047" t="n">
        <x:v>0</x:v>
      </x:c>
      <x:c r="N5047" t="str">
        <x:v>Fully Paid</x:v>
      </x:c>
      <x:c r="O5047" t="str">
        <x:f>IF(D5047="","Unknown",IF(D5047&lt;25000,"&lt;$25k",IF(D5047&lt;50000,"$25k-$50k",IF(D5047&lt;75000,"$50k-$75k",IF(D5047&lt;100000,"$75k-$100k","$100k+")))))</x:f>
        <x:v>$50k-$75k</x:v>
      </x:c>
      <x:c r="P5047" t="str">
        <x:f>IF(E5047="","Unknown",IF(E5047&lt;10,"&lt;10",IF(E5047&lt;20,"10-&lt;20",IF(E5047&lt;25,"20-&lt;25",IF(E5047&lt;35,"25-&lt;35","35+")))))</x:f>
        <x:v>10-&lt;20</x:v>
      </x:c>
    </x:row>
    <x:row r="5048">
      <x:c r="A5048" t="str">
        <x:v>SYN0005047</x:v>
      </x:c>
      <x:c r="B5048" s="12" t="n">
        <x:v>41935</x:v>
      </x:c>
      <x:c r="C5048" s="18" t="n">
        <x:v>8672</x:v>
      </x:c>
      <x:c r="D5048" s="18" t="n">
        <x:v>62501</x:v>
      </x:c>
      <x:c r="E5048" s="18" t="n">
        <x:v>13.25</x:v>
      </x:c>
      <x:c r="F5048" s="18" t="n">
        <x:v>11.85</x:v>
      </x:c>
      <x:c r="G5048" t="n">
        <x:v>36</x:v>
      </x:c>
      <x:c r="H5048" t="str">
        <x:v>C</x:v>
      </x:c>
      <x:c r="I5048" t="str">
        <x:v>10+ years</x:v>
      </x:c>
      <x:c r="J5048" t="str">
        <x:v>OTHER</x:v>
      </x:c>
      <x:c r="K5048" t="str">
        <x:v>credit_card</x:v>
      </x:c>
      <x:c r="L5048" t="n">
        <x:v>0</x:v>
      </x:c>
      <x:c r="M5048" t="n">
        <x:v>1</x:v>
      </x:c>
      <x:c r="N5048" t="str">
        <x:v>Charged Off</x:v>
      </x:c>
      <x:c r="O5048" t="str">
        <x:f>IF(D5048="","Unknown",IF(D5048&lt;25000,"&lt;$25k",IF(D5048&lt;50000,"$25k-$50k",IF(D5048&lt;75000,"$50k-$75k",IF(D5048&lt;100000,"$75k-$100k","$100k+")))))</x:f>
        <x:v>$50k-$75k</x:v>
      </x:c>
      <x:c r="P5048" t="str">
        <x:f>IF(E5048="","Unknown",IF(E5048&lt;10,"&lt;10",IF(E5048&lt;20,"10-&lt;20",IF(E5048&lt;25,"20-&lt;25",IF(E5048&lt;35,"25-&lt;35","35+")))))</x:f>
        <x:v>10-&lt;20</x:v>
      </x:c>
    </x:row>
    <x:row r="5049">
      <x:c r="A5049" t="str">
        <x:v>SYN0005048</x:v>
      </x:c>
      <x:c r="B5049" s="12" t="n">
        <x:v>42595</x:v>
      </x:c>
      <x:c r="C5049" s="18" t="n">
        <x:v>24899</x:v>
      </x:c>
      <x:c r="D5049" s="18" t="n">
        <x:v>49129</x:v>
      </x:c>
      <x:c r="E5049" s="18" t="n">
        <x:v>22.97</x:v>
      </x:c>
      <x:c r="F5049" s="18" t="n">
        <x:v>10.85</x:v>
      </x:c>
      <x:c r="G5049" t="n">
        <x:v>36</x:v>
      </x:c>
      <x:c r="H5049" t="str">
        <x:v>B</x:v>
      </x:c>
      <x:c r="I5049" t="str">
        <x:v>10+ years</x:v>
      </x:c>
      <x:c r="J5049" t="str">
        <x:v>RENT</x:v>
      </x:c>
      <x:c r="K5049" t="str">
        <x:v>debt_consolidation</x:v>
      </x:c>
      <x:c r="L5049" t="n">
        <x:v>1</x:v>
      </x:c>
      <x:c r="M5049" t="n">
        <x:v>0</x:v>
      </x:c>
      <x:c r="N5049" t="str">
        <x:v>Fully Paid</x:v>
      </x:c>
      <x:c r="O5049" t="str">
        <x:f>IF(D5049="","Unknown",IF(D5049&lt;25000,"&lt;$25k",IF(D5049&lt;50000,"$25k-$50k",IF(D5049&lt;75000,"$50k-$75k",IF(D5049&lt;100000,"$75k-$100k","$100k+")))))</x:f>
        <x:v>$25k-$50k</x:v>
      </x:c>
      <x:c r="P5049" t="str">
        <x:f>IF(E5049="","Unknown",IF(E5049&lt;10,"&lt;10",IF(E5049&lt;20,"10-&lt;20",IF(E5049&lt;25,"20-&lt;25",IF(E5049&lt;35,"25-&lt;35","35+")))))</x:f>
        <x:v>20-&lt;25</x:v>
      </x:c>
    </x:row>
    <x:row r="5050">
      <x:c r="A5050" t="str">
        <x:v>SYN0005049</x:v>
      </x:c>
      <x:c r="B5050" s="12" t="n">
        <x:v>43315</x:v>
      </x:c>
      <x:c r="C5050" s="18" t="n">
        <x:v>13377</x:v>
      </x:c>
      <x:c r="D5050" s="18" t="n">
        <x:v>82834</x:v>
      </x:c>
      <x:c r="E5050" s="18" t="n">
        <x:v>34.94</x:v>
      </x:c>
      <x:c r="F5050" s="18" t="n">
        <x:v>6.38</x:v>
      </x:c>
      <x:c r="G5050" t="n">
        <x:v>36</x:v>
      </x:c>
      <x:c r="H5050" t="str">
        <x:v>A</x:v>
      </x:c>
      <x:c r="I5050" t="str">
        <x:v>4-6 years</x:v>
      </x:c>
      <x:c r="J5050" t="str">
        <x:v>RENT</x:v>
      </x:c>
      <x:c r="K5050" t="str">
        <x:v>credit_card</x:v>
      </x:c>
      <x:c r="L5050" t="n">
        <x:v>0</x:v>
      </x:c>
      <x:c r="M5050" t="n">
        <x:v>0</x:v>
      </x:c>
      <x:c r="N5050" t="str">
        <x:v>Fully Paid</x:v>
      </x:c>
      <x:c r="O5050" t="str">
        <x:f>IF(D5050="","Unknown",IF(D5050&lt;25000,"&lt;$25k",IF(D5050&lt;50000,"$25k-$50k",IF(D5050&lt;75000,"$50k-$75k",IF(D5050&lt;100000,"$75k-$100k","$100k+")))))</x:f>
        <x:v>$75k-$100k</x:v>
      </x:c>
      <x:c r="P5050" t="str">
        <x:f>IF(E5050="","Unknown",IF(E5050&lt;10,"&lt;10",IF(E5050&lt;20,"10-&lt;20",IF(E5050&lt;25,"20-&lt;25",IF(E5050&lt;35,"25-&lt;35","35+")))))</x:f>
        <x:v>25-&lt;35</x:v>
      </x:c>
    </x:row>
    <x:row r="5051">
      <x:c r="A5051" t="str">
        <x:v>SYN0005050</x:v>
      </x:c>
      <x:c r="B5051" s="12" t="n">
        <x:v>43255</x:v>
      </x:c>
      <x:c r="C5051" s="18" t="n">
        <x:v>6061</x:v>
      </x:c>
      <x:c r="D5051" s="18" t="n">
        <x:v>43260</x:v>
      </x:c>
      <x:c r="E5051" s="18" t="n">
        <x:v>35.27</x:v>
      </x:c>
      <x:c r="F5051" s="18" t="n">
        <x:v>25.05</x:v>
      </x:c>
      <x:c r="G5051" t="n">
        <x:v>36</x:v>
      </x:c>
      <x:c r="H5051" t="str">
        <x:v>G</x:v>
      </x:c>
      <x:c r="I5051" t="str">
        <x:v>1-3 years</x:v>
      </x:c>
      <x:c r="J5051" t="str">
        <x:v>MORTGAGE</x:v>
      </x:c>
      <x:c r="K5051" t="str">
        <x:v>credit_card</x:v>
      </x:c>
      <x:c r="L5051" t="n">
        <x:v>1</x:v>
      </x:c>
      <x:c r="M5051" t="n">
        <x:v>0</x:v>
      </x:c>
      <x:c r="N5051" t="str">
        <x:v>Fully Paid</x:v>
      </x:c>
      <x:c r="O5051" t="str">
        <x:f>IF(D5051="","Unknown",IF(D5051&lt;25000,"&lt;$25k",IF(D5051&lt;50000,"$25k-$50k",IF(D5051&lt;75000,"$50k-$75k",IF(D5051&lt;100000,"$75k-$100k","$100k+")))))</x:f>
        <x:v>$25k-$50k</x:v>
      </x:c>
      <x:c r="P5051" t="str">
        <x:f>IF(E5051="","Unknown",IF(E5051&lt;10,"&lt;10",IF(E5051&lt;20,"10-&lt;20",IF(E5051&lt;25,"20-&lt;25",IF(E5051&lt;35,"25-&lt;35","35+")))))</x:f>
        <x:v>35+</x:v>
      </x:c>
    </x:row>
    <x:row r="5052">
      <x:c r="A5052" t="str">
        <x:v>SYN0005051</x:v>
      </x:c>
      <x:c r="B5052" s="12" t="n">
        <x:v>42475</x:v>
      </x:c>
      <x:c r="C5052" s="18" t="n">
        <x:v>6986</x:v>
      </x:c>
      <x:c r="D5052" s="18" t="n">
        <x:v>212723</x:v>
      </x:c>
      <x:c r="E5052" s="18" t="n">
        <x:v>19.39</x:v>
      </x:c>
      <x:c r="F5052" s="18" t="n">
        <x:v>10.06</x:v>
      </x:c>
      <x:c r="G5052" t="n">
        <x:v>36</x:v>
      </x:c>
      <x:c r="H5052" t="str">
        <x:v>C</x:v>
      </x:c>
      <x:c r="I5052" t="str">
        <x:v>&lt;1 year</x:v>
      </x:c>
      <x:c r="J5052" t="str">
        <x:v>MORTGAGE</x:v>
      </x:c>
      <x:c r="K5052" t="str">
        <x:v>credit_card</x:v>
      </x:c>
      <x:c r="L5052" t="n">
        <x:v>0</x:v>
      </x:c>
      <x:c r="M5052" t="n">
        <x:v>0</x:v>
      </x:c>
      <x:c r="N5052" t="str">
        <x:v>Fully Paid</x:v>
      </x:c>
      <x:c r="O5052" t="str">
        <x:f>IF(D5052="","Unknown",IF(D5052&lt;25000,"&lt;$25k",IF(D5052&lt;50000,"$25k-$50k",IF(D5052&lt;75000,"$50k-$75k",IF(D5052&lt;100000,"$75k-$100k","$100k+")))))</x:f>
        <x:v>$100k+</x:v>
      </x:c>
      <x:c r="P5052" t="str">
        <x:f>IF(E5052="","Unknown",IF(E5052&lt;10,"&lt;10",IF(E5052&lt;20,"10-&lt;20",IF(E5052&lt;25,"20-&lt;25",IF(E5052&lt;35,"25-&lt;35","35+")))))</x:f>
        <x:v>10-&lt;20</x:v>
      </x:c>
    </x:row>
    <x:row r="5053">
      <x:c r="A5053" t="str">
        <x:v>SYN0005052</x:v>
      </x:c>
      <x:c r="B5053" s="12" t="n">
        <x:v>41605</x:v>
      </x:c>
      <x:c r="C5053" s="18" t="n">
        <x:v>17930</x:v>
      </x:c>
      <x:c r="D5053" s="18" t="n">
        <x:v>54931</x:v>
      </x:c>
      <x:c r="E5053" s="18" t="n">
        <x:v>32.43</x:v>
      </x:c>
      <x:c r="F5053" s="18" t="n">
        <x:v>5.95</x:v>
      </x:c>
      <x:c r="G5053" t="n">
        <x:v>36</x:v>
      </x:c>
      <x:c r="H5053" t="str">
        <x:v>B</x:v>
      </x:c>
      <x:c r="I5053" t="str">
        <x:v>10+ years</x:v>
      </x:c>
      <x:c r="J5053" t="str">
        <x:v>OWN</x:v>
      </x:c>
      <x:c r="K5053" t="str">
        <x:v>debt_consolidation</x:v>
      </x:c>
      <x:c r="L5053" t="n">
        <x:v>0</x:v>
      </x:c>
      <x:c r="M5053" t="n">
        <x:v>0</x:v>
      </x:c>
      <x:c r="N5053" t="str">
        <x:v>Fully Paid</x:v>
      </x:c>
      <x:c r="O5053" t="str">
        <x:f>IF(D5053="","Unknown",IF(D5053&lt;25000,"&lt;$25k",IF(D5053&lt;50000,"$25k-$50k",IF(D5053&lt;75000,"$50k-$75k",IF(D5053&lt;100000,"$75k-$100k","$100k+")))))</x:f>
        <x:v>$50k-$75k</x:v>
      </x:c>
      <x:c r="P5053" t="str">
        <x:f>IF(E5053="","Unknown",IF(E5053&lt;10,"&lt;10",IF(E5053&lt;20,"10-&lt;20",IF(E5053&lt;25,"20-&lt;25",IF(E5053&lt;35,"25-&lt;35","35+")))))</x:f>
        <x:v>25-&lt;35</x:v>
      </x:c>
    </x:row>
    <x:row r="5054">
      <x:c r="A5054" t="str">
        <x:v>SYN0005053</x:v>
      </x:c>
      <x:c r="B5054" s="12" t="n">
        <x:v>42295</x:v>
      </x:c>
      <x:c r="C5054" s="18" t="n">
        <x:v>18472</x:v>
      </x:c>
      <x:c r="D5054" s="18" t="n">
        <x:v>17068</x:v>
      </x:c>
      <x:c r="E5054" s="18" t="n">
        <x:v>10.37</x:v>
      </x:c>
      <x:c r="F5054" s="18" t="n">
        <x:v>12.45</x:v>
      </x:c>
      <x:c r="G5054" t="n">
        <x:v>36</x:v>
      </x:c>
      <x:c r="H5054" t="str">
        <x:v>B</x:v>
      </x:c>
      <x:c r="I5054" t="str">
        <x:v>7-9 years</x:v>
      </x:c>
      <x:c r="J5054" t="str">
        <x:v>MORTGAGE</x:v>
      </x:c>
      <x:c r="K5054" t="str">
        <x:v>home_improvement</x:v>
      </x:c>
      <x:c r="L5054" t="n">
        <x:v>0</x:v>
      </x:c>
      <x:c r="M5054" t="n">
        <x:v>0</x:v>
      </x:c>
      <x:c r="N5054" t="str">
        <x:v>Fully Paid</x:v>
      </x:c>
      <x:c r="O5054" t="str">
        <x:f>IF(D5054="","Unknown",IF(D5054&lt;25000,"&lt;$25k",IF(D5054&lt;50000,"$25k-$50k",IF(D5054&lt;75000,"$50k-$75k",IF(D5054&lt;100000,"$75k-$100k","$100k+")))))</x:f>
        <x:v>&lt;$25k</x:v>
      </x:c>
      <x:c r="P5054" t="str">
        <x:f>IF(E5054="","Unknown",IF(E5054&lt;10,"&lt;10",IF(E5054&lt;20,"10-&lt;20",IF(E5054&lt;25,"20-&lt;25",IF(E5054&lt;35,"25-&lt;35","35+")))))</x:f>
        <x:v>10-&lt;20</x:v>
      </x:c>
    </x:row>
    <x:row r="5055">
      <x:c r="A5055" t="str">
        <x:v>SYN0005054</x:v>
      </x:c>
      <x:c r="B5055" s="12" t="n">
        <x:v>42385</x:v>
      </x:c>
      <x:c r="C5055" s="18" t="n">
        <x:v>12879</x:v>
      </x:c>
      <x:c r="D5055" s="18" t="n">
        <x:v>98338</x:v>
      </x:c>
      <x:c r="E5055" s="18" t="n">
        <x:v>17.13</x:v>
      </x:c>
      <x:c r="F5055" s="18" t="n">
        <x:v>7.2</x:v>
      </x:c>
      <x:c r="G5055" t="n">
        <x:v>36</x:v>
      </x:c>
      <x:c r="H5055" t="str">
        <x:v>A</x:v>
      </x:c>
      <x:c r="I5055" t="str">
        <x:v>&lt;1 year</x:v>
      </x:c>
      <x:c r="J5055" t="str">
        <x:v>MORTGAGE</x:v>
      </x:c>
      <x:c r="K5055" t="str">
        <x:v>credit_card</x:v>
      </x:c>
      <x:c r="L5055" t="n">
        <x:v>0</x:v>
      </x:c>
      <x:c r="M5055" t="n">
        <x:v>0</x:v>
      </x:c>
      <x:c r="N5055" t="str">
        <x:v>Fully Paid</x:v>
      </x:c>
      <x:c r="O5055" t="str">
        <x:f>IF(D5055="","Unknown",IF(D5055&lt;25000,"&lt;$25k",IF(D5055&lt;50000,"$25k-$50k",IF(D5055&lt;75000,"$50k-$75k",IF(D5055&lt;100000,"$75k-$100k","$100k+")))))</x:f>
        <x:v>$75k-$100k</x:v>
      </x:c>
      <x:c r="P5055" t="str">
        <x:f>IF(E5055="","Unknown",IF(E5055&lt;10,"&lt;10",IF(E5055&lt;20,"10-&lt;20",IF(E5055&lt;25,"20-&lt;25",IF(E5055&lt;35,"25-&lt;35","35+")))))</x:f>
        <x:v>10-&lt;20</x:v>
      </x:c>
    </x:row>
    <x:row r="5056">
      <x:c r="A5056" t="str">
        <x:v>SYN0005055</x:v>
      </x:c>
      <x:c r="B5056" s="12" t="n">
        <x:v>41755</x:v>
      </x:c>
      <x:c r="C5056" s="18" t="n">
        <x:v>33757</x:v>
      </x:c>
      <x:c r="D5056" s="18" t="n">
        <x:v>17851</x:v>
      </x:c>
      <x:c r="E5056" s="18" t="n">
        <x:v>33.6</x:v>
      </x:c>
      <x:c r="F5056" s="18" t="n">
        <x:v>11.4</x:v>
      </x:c>
      <x:c r="G5056" t="n">
        <x:v>60</x:v>
      </x:c>
      <x:c r="H5056" t="str">
        <x:v>C</x:v>
      </x:c>
      <x:c r="I5056" t="str">
        <x:v>10+ years</x:v>
      </x:c>
      <x:c r="J5056" t="str">
        <x:v>MORTGAGE</x:v>
      </x:c>
      <x:c r="K5056" t="str">
        <x:v>home_improvement</x:v>
      </x:c>
      <x:c r="L5056" t="n">
        <x:v>1</x:v>
      </x:c>
      <x:c r="M5056" t="n">
        <x:v>0</x:v>
      </x:c>
      <x:c r="N5056" t="str">
        <x:v>Fully Paid</x:v>
      </x:c>
      <x:c r="O5056" t="str">
        <x:f>IF(D5056="","Unknown",IF(D5056&lt;25000,"&lt;$25k",IF(D5056&lt;50000,"$25k-$50k",IF(D5056&lt;75000,"$50k-$75k",IF(D5056&lt;100000,"$75k-$100k","$100k+")))))</x:f>
        <x:v>&lt;$25k</x:v>
      </x:c>
      <x:c r="P5056" t="str">
        <x:f>IF(E5056="","Unknown",IF(E5056&lt;10,"&lt;10",IF(E5056&lt;20,"10-&lt;20",IF(E5056&lt;25,"20-&lt;25",IF(E5056&lt;35,"25-&lt;35","35+")))))</x:f>
        <x:v>25-&lt;35</x:v>
      </x:c>
    </x:row>
    <x:row r="5057">
      <x:c r="A5057" t="str">
        <x:v>SYN0005056</x:v>
      </x:c>
      <x:c r="B5057" s="12" t="n">
        <x:v>42295</x:v>
      </x:c>
      <x:c r="C5057" s="18" t="n">
        <x:v>13421</x:v>
      </x:c>
      <x:c r="D5057" s="18" t="n">
        <x:v>122688</x:v>
      </x:c>
      <x:c r="E5057" s="18" t="n">
        <x:v>5.8</x:v>
      </x:c>
      <x:c r="F5057" s="18" t="n">
        <x:v>7.37</x:v>
      </x:c>
      <x:c r="G5057" t="n">
        <x:v>36</x:v>
      </x:c>
      <x:c r="H5057" t="str">
        <x:v>C</x:v>
      </x:c>
      <x:c r="I5057" t="str">
        <x:v>10+ years</x:v>
      </x:c>
      <x:c r="J5057" t="str">
        <x:v>OWN</x:v>
      </x:c>
      <x:c r="K5057" t="str">
        <x:v>other</x:v>
      </x:c>
      <x:c r="L5057" t="n">
        <x:v>0</x:v>
      </x:c>
      <x:c r="M5057" t="n">
        <x:v>0</x:v>
      </x:c>
      <x:c r="N5057" t="str">
        <x:v>Fully Paid</x:v>
      </x:c>
      <x:c r="O5057" t="str">
        <x:f>IF(D5057="","Unknown",IF(D5057&lt;25000,"&lt;$25k",IF(D5057&lt;50000,"$25k-$50k",IF(D5057&lt;75000,"$50k-$75k",IF(D5057&lt;100000,"$75k-$100k","$100k+")))))</x:f>
        <x:v>$100k+</x:v>
      </x:c>
      <x:c r="P5057" t="str">
        <x:f>IF(E5057="","Unknown",IF(E5057&lt;10,"&lt;10",IF(E5057&lt;20,"10-&lt;20",IF(E5057&lt;25,"20-&lt;25",IF(E5057&lt;35,"25-&lt;35","35+")))))</x:f>
        <x:v>&lt;10</x:v>
      </x:c>
    </x:row>
    <x:row r="5058">
      <x:c r="A5058" t="str">
        <x:v>SYN0005057</x:v>
      </x:c>
      <x:c r="B5058" s="12" t="n">
        <x:v>42505</x:v>
      </x:c>
      <x:c r="C5058" s="18" t="n">
        <x:v>9277</x:v>
      </x:c>
      <x:c r="D5058" s="18" t="n">
        <x:v>22218</x:v>
      </x:c>
      <x:c r="E5058" s="18" t="n">
        <x:v>11.91</x:v>
      </x:c>
      <x:c r="F5058" s="18" t="n">
        <x:v>5</x:v>
      </x:c>
      <x:c r="G5058" t="n">
        <x:v>36</x:v>
      </x:c>
      <x:c r="H5058" t="str">
        <x:v>A</x:v>
      </x:c>
      <x:c r="I5058" t="str">
        <x:v>4-6 years</x:v>
      </x:c>
      <x:c r="J5058" t="str">
        <x:v>OWN</x:v>
      </x:c>
      <x:c r="K5058" t="str">
        <x:v>home_improvement</x:v>
      </x:c>
      <x:c r="L5058" t="n">
        <x:v>1</x:v>
      </x:c>
      <x:c r="M5058" t="n">
        <x:v>0</x:v>
      </x:c>
      <x:c r="N5058" t="str">
        <x:v>Fully Paid</x:v>
      </x:c>
      <x:c r="O5058" t="str">
        <x:f>IF(D5058="","Unknown",IF(D5058&lt;25000,"&lt;$25k",IF(D5058&lt;50000,"$25k-$50k",IF(D5058&lt;75000,"$50k-$75k",IF(D5058&lt;100000,"$75k-$100k","$100k+")))))</x:f>
        <x:v>&lt;$25k</x:v>
      </x:c>
      <x:c r="P5058" t="str">
        <x:f>IF(E5058="","Unknown",IF(E5058&lt;10,"&lt;10",IF(E5058&lt;20,"10-&lt;20",IF(E5058&lt;25,"20-&lt;25",IF(E5058&lt;35,"25-&lt;35","35+")))))</x:f>
        <x:v>10-&lt;20</x:v>
      </x:c>
    </x:row>
    <x:row r="5059">
      <x:c r="A5059" t="str">
        <x:v>SYN0005058</x:v>
      </x:c>
      <x:c r="B5059" s="12" t="n">
        <x:v>42265</x:v>
      </x:c>
      <x:c r="C5059" s="18" t="n">
        <x:v>23121</x:v>
      </x:c>
      <x:c r="D5059" s="18" t="n">
        <x:v>15991</x:v>
      </x:c>
      <x:c r="E5059" s="18" t="n">
        <x:v>34.82</x:v>
      </x:c>
      <x:c r="F5059" s="18" t="n">
        <x:v>23.23</x:v>
      </x:c>
      <x:c r="G5059" t="n">
        <x:v>36</x:v>
      </x:c>
      <x:c r="H5059" t="str">
        <x:v>F</x:v>
      </x:c>
      <x:c r="I5059" t="str">
        <x:v>7-9 years</x:v>
      </x:c>
      <x:c r="J5059" t="str">
        <x:v>RENT</x:v>
      </x:c>
      <x:c r="K5059" t="str">
        <x:v>debt_consolidation</x:v>
      </x:c>
      <x:c r="L5059" t="n">
        <x:v>0</x:v>
      </x:c>
      <x:c r="M5059" t="n">
        <x:v>1</x:v>
      </x:c>
      <x:c r="N5059" t="str">
        <x:v>Charged Off</x:v>
      </x:c>
      <x:c r="O5059" t="str">
        <x:f>IF(D5059="","Unknown",IF(D5059&lt;25000,"&lt;$25k",IF(D5059&lt;50000,"$25k-$50k",IF(D5059&lt;75000,"$50k-$75k",IF(D5059&lt;100000,"$75k-$100k","$100k+")))))</x:f>
        <x:v>&lt;$25k</x:v>
      </x:c>
      <x:c r="P5059" t="str">
        <x:f>IF(E5059="","Unknown",IF(E5059&lt;10,"&lt;10",IF(E5059&lt;20,"10-&lt;20",IF(E5059&lt;25,"20-&lt;25",IF(E5059&lt;35,"25-&lt;35","35+")))))</x:f>
        <x:v>25-&lt;35</x:v>
      </x:c>
    </x:row>
    <x:row r="5060">
      <x:c r="A5060" t="str">
        <x:v>SYN0005059</x:v>
      </x:c>
      <x:c r="B5060" s="12" t="n">
        <x:v>41965</x:v>
      </x:c>
      <x:c r="C5060" s="18" t="n">
        <x:v>11163</x:v>
      </x:c>
      <x:c r="D5060" s="18" t="n">
        <x:v>30102</x:v>
      </x:c>
      <x:c r="E5060" s="18" t="n">
        <x:v>21.4</x:v>
      </x:c>
      <x:c r="F5060" s="18" t="n">
        <x:v>26.27</x:v>
      </x:c>
      <x:c r="G5060" t="n">
        <x:v>36</x:v>
      </x:c>
      <x:c r="H5060" t="str">
        <x:v>G</x:v>
      </x:c>
      <x:c r="I5060" t="str">
        <x:v>1-3 years</x:v>
      </x:c>
      <x:c r="J5060" t="str">
        <x:v>RENT</x:v>
      </x:c>
      <x:c r="K5060" t="str">
        <x:v>debt_consolidation</x:v>
      </x:c>
      <x:c r="L5060" t="n">
        <x:v>1</x:v>
      </x:c>
      <x:c r="M5060" t="n">
        <x:v>1</x:v>
      </x:c>
      <x:c r="N5060" t="str">
        <x:v>Charged Off</x:v>
      </x:c>
      <x:c r="O5060" t="str">
        <x:f>IF(D5060="","Unknown",IF(D5060&lt;25000,"&lt;$25k",IF(D5060&lt;50000,"$25k-$50k",IF(D5060&lt;75000,"$50k-$75k",IF(D5060&lt;100000,"$75k-$100k","$100k+")))))</x:f>
        <x:v>$25k-$50k</x:v>
      </x:c>
      <x:c r="P5060" t="str">
        <x:f>IF(E5060="","Unknown",IF(E5060&lt;10,"&lt;10",IF(E5060&lt;20,"10-&lt;20",IF(E5060&lt;25,"20-&lt;25",IF(E5060&lt;35,"25-&lt;35","35+")))))</x:f>
        <x:v>20-&lt;25</x:v>
      </x:c>
    </x:row>
    <x:row r="5061">
      <x:c r="A5061" t="str">
        <x:v>SYN0005060</x:v>
      </x:c>
      <x:c r="B5061" s="12" t="n">
        <x:v>41995</x:v>
      </x:c>
      <x:c r="C5061" s="18" t="n">
        <x:v>16985</x:v>
      </x:c>
      <x:c r="D5061" s="18" t="n">
        <x:v>118411</x:v>
      </x:c>
      <x:c r="E5061" s="18" t="n">
        <x:v>19.6</x:v>
      </x:c>
      <x:c r="F5061" s="18" t="n">
        <x:v>16.59</x:v>
      </x:c>
      <x:c r="G5061" t="n">
        <x:v>36</x:v>
      </x:c>
      <x:c r="H5061" t="str">
        <x:v>D</x:v>
      </x:c>
      <x:c r="I5061" t="str">
        <x:v>4-6 years</x:v>
      </x:c>
      <x:c r="J5061" t="str">
        <x:v>OWN</x:v>
      </x:c>
      <x:c r="K5061" t="str">
        <x:v>debt_consolidation</x:v>
      </x:c>
      <x:c r="L5061" t="n">
        <x:v>0</x:v>
      </x:c>
      <x:c r="M5061" t="n">
        <x:v>0</x:v>
      </x:c>
      <x:c r="N5061" t="str">
        <x:v>Fully Paid</x:v>
      </x:c>
      <x:c r="O5061" t="str">
        <x:f>IF(D5061="","Unknown",IF(D5061&lt;25000,"&lt;$25k",IF(D5061&lt;50000,"$25k-$50k",IF(D5061&lt;75000,"$50k-$75k",IF(D5061&lt;100000,"$75k-$100k","$100k+")))))</x:f>
        <x:v>$100k+</x:v>
      </x:c>
      <x:c r="P5061" t="str">
        <x:f>IF(E5061="","Unknown",IF(E5061&lt;10,"&lt;10",IF(E5061&lt;20,"10-&lt;20",IF(E5061&lt;25,"20-&lt;25",IF(E5061&lt;35,"25-&lt;35","35+")))))</x:f>
        <x:v>10-&lt;20</x:v>
      </x:c>
    </x:row>
    <x:row r="5062">
      <x:c r="A5062" t="str">
        <x:v>SYN0005061</x:v>
      </x:c>
      <x:c r="B5062" s="12" t="n">
        <x:v>42925</x:v>
      </x:c>
      <x:c r="C5062" s="18" t="n">
        <x:v>15151</x:v>
      </x:c>
      <x:c r="D5062" s="18" t="n">
        <x:v>39222</x:v>
      </x:c>
      <x:c r="E5062" s="18" t="n">
        <x:v>26.11</x:v>
      </x:c>
      <x:c r="F5062" s="18" t="n">
        <x:v>24.03</x:v>
      </x:c>
      <x:c r="G5062" t="n">
        <x:v>36</x:v>
      </x:c>
      <x:c r="H5062" t="str">
        <x:v>F</x:v>
      </x:c>
      <x:c r="I5062" t="str">
        <x:v>10+ years</x:v>
      </x:c>
      <x:c r="J5062" t="str">
        <x:v>RENT</x:v>
      </x:c>
      <x:c r="K5062" t="str">
        <x:v>debt_consolidation</x:v>
      </x:c>
      <x:c r="L5062" t="n">
        <x:v>0</x:v>
      </x:c>
      <x:c r="M5062" t="n">
        <x:v>0</x:v>
      </x:c>
      <x:c r="N5062" t="str">
        <x:v>Fully Paid</x:v>
      </x:c>
      <x:c r="O5062" t="str">
        <x:f>IF(D5062="","Unknown",IF(D5062&lt;25000,"&lt;$25k",IF(D5062&lt;50000,"$25k-$50k",IF(D5062&lt;75000,"$50k-$75k",IF(D5062&lt;100000,"$75k-$100k","$100k+")))))</x:f>
        <x:v>$25k-$50k</x:v>
      </x:c>
      <x:c r="P5062" t="str">
        <x:f>IF(E5062="","Unknown",IF(E5062&lt;10,"&lt;10",IF(E5062&lt;20,"10-&lt;20",IF(E5062&lt;25,"20-&lt;25",IF(E5062&lt;35,"25-&lt;35","35+")))))</x:f>
        <x:v>25-&lt;35</x:v>
      </x:c>
    </x:row>
    <x:row r="5063">
      <x:c r="A5063" t="str">
        <x:v>SYN0005062</x:v>
      </x:c>
      <x:c r="B5063" s="12" t="n">
        <x:v>41455</x:v>
      </x:c>
      <x:c r="C5063" s="18" t="n">
        <x:v>7161</x:v>
      </x:c>
      <x:c r="D5063" s="18" t="n">
        <x:v>56296</x:v>
      </x:c>
      <x:c r="E5063" s="18" t="n">
        <x:v>20.93</x:v>
      </x:c>
      <x:c r="F5063" s="18" t="n">
        <x:v>24.92</x:v>
      </x:c>
      <x:c r="G5063" t="n">
        <x:v>36</x:v>
      </x:c>
      <x:c r="H5063" t="str">
        <x:v>F</x:v>
      </x:c>
      <x:c r="I5063" t="str">
        <x:v>10+ years</x:v>
      </x:c>
      <x:c r="J5063" t="str">
        <x:v>RENT</x:v>
      </x:c>
      <x:c r="K5063" t="str">
        <x:v>other</x:v>
      </x:c>
      <x:c r="L5063" t="n">
        <x:v>2</x:v>
      </x:c>
      <x:c r="M5063" t="n">
        <x:v>1</x:v>
      </x:c>
      <x:c r="N5063" t="str">
        <x:v>Charged Off</x:v>
      </x:c>
      <x:c r="O5063" t="str">
        <x:f>IF(D5063="","Unknown",IF(D5063&lt;25000,"&lt;$25k",IF(D5063&lt;50000,"$25k-$50k",IF(D5063&lt;75000,"$50k-$75k",IF(D5063&lt;100000,"$75k-$100k","$100k+")))))</x:f>
        <x:v>$50k-$75k</x:v>
      </x:c>
      <x:c r="P5063" t="str">
        <x:f>IF(E5063="","Unknown",IF(E5063&lt;10,"&lt;10",IF(E5063&lt;20,"10-&lt;20",IF(E5063&lt;25,"20-&lt;25",IF(E5063&lt;35,"25-&lt;35","35+")))))</x:f>
        <x:v>20-&lt;25</x:v>
      </x:c>
    </x:row>
    <x:row r="5064">
      <x:c r="A5064" t="str">
        <x:v>SYN0005063</x:v>
      </x:c>
      <x:c r="B5064" s="12" t="n">
        <x:v>43315</x:v>
      </x:c>
      <x:c r="C5064" s="18" t="n">
        <x:v>40000</x:v>
      </x:c>
      <x:c r="D5064" s="18" t="n">
        <x:v>93339</x:v>
      </x:c>
      <x:c r="E5064" s="18" t="n">
        <x:v>22.67</x:v>
      </x:c>
      <x:c r="F5064" s="18" t="n">
        <x:v>22</x:v>
      </x:c>
      <x:c r="G5064" t="n">
        <x:v>36</x:v>
      </x:c>
      <x:c r="H5064" t="str">
        <x:v>F</x:v>
      </x:c>
      <x:c r="I5064" t="str">
        <x:v>10+ years</x:v>
      </x:c>
      <x:c r="J5064" t="str">
        <x:v>RENT</x:v>
      </x:c>
      <x:c r="K5064" t="str">
        <x:v>debt_consolidation</x:v>
      </x:c>
      <x:c r="L5064" t="n">
        <x:v>0</x:v>
      </x:c>
      <x:c r="M5064" t="n">
        <x:v>1</x:v>
      </x:c>
      <x:c r="N5064" t="str">
        <x:v>Charged Off</x:v>
      </x:c>
      <x:c r="O5064" t="str">
        <x:f>IF(D5064="","Unknown",IF(D5064&lt;25000,"&lt;$25k",IF(D5064&lt;50000,"$25k-$50k",IF(D5064&lt;75000,"$50k-$75k",IF(D5064&lt;100000,"$75k-$100k","$100k+")))))</x:f>
        <x:v>$75k-$100k</x:v>
      </x:c>
      <x:c r="P5064" t="str">
        <x:f>IF(E5064="","Unknown",IF(E5064&lt;10,"&lt;10",IF(E5064&lt;20,"10-&lt;20",IF(E5064&lt;25,"20-&lt;25",IF(E5064&lt;35,"25-&lt;35","35+")))))</x:f>
        <x:v>20-&lt;25</x:v>
      </x:c>
    </x:row>
    <x:row r="5065">
      <x:c r="A5065" t="str">
        <x:v>SYN0005064</x:v>
      </x:c>
      <x:c r="B5065" s="12" t="n">
        <x:v>43045</x:v>
      </x:c>
      <x:c r="C5065" s="18" t="n">
        <x:v>8190</x:v>
      </x:c>
      <x:c r="D5065" s="18" t="n">
        <x:v>37511</x:v>
      </x:c>
      <x:c r="E5065" s="18" t="n">
        <x:v>25.02</x:v>
      </x:c>
      <x:c r="F5065" s="18" t="n">
        <x:v>8.24</x:v>
      </x:c>
      <x:c r="G5065" t="n">
        <x:v>36</x:v>
      </x:c>
      <x:c r="H5065" t="str">
        <x:v>B</x:v>
      </x:c>
      <x:c r="I5065" t="str">
        <x:v>&lt;1 year</x:v>
      </x:c>
      <x:c r="J5065" t="str">
        <x:v>OWN</x:v>
      </x:c>
      <x:c r="K5065" t="str">
        <x:v>home_improvement</x:v>
      </x:c>
      <x:c r="L5065" t="n">
        <x:v>0</x:v>
      </x:c>
      <x:c r="M5065" t="n">
        <x:v>0</x:v>
      </x:c>
      <x:c r="N5065" t="str">
        <x:v>Fully Paid</x:v>
      </x:c>
      <x:c r="O5065" t="str">
        <x:f>IF(D5065="","Unknown",IF(D5065&lt;25000,"&lt;$25k",IF(D5065&lt;50000,"$25k-$50k",IF(D5065&lt;75000,"$50k-$75k",IF(D5065&lt;100000,"$75k-$100k","$100k+")))))</x:f>
        <x:v>$25k-$50k</x:v>
      </x:c>
      <x:c r="P5065" t="str">
        <x:f>IF(E5065="","Unknown",IF(E5065&lt;10,"&lt;10",IF(E5065&lt;20,"10-&lt;20",IF(E5065&lt;25,"20-&lt;25",IF(E5065&lt;35,"25-&lt;35","35+")))))</x:f>
        <x:v>25-&lt;35</x:v>
      </x:c>
    </x:row>
    <x:row r="5066">
      <x:c r="A5066" t="str">
        <x:v>SYN0005065</x:v>
      </x:c>
      <x:c r="B5066" s="12" t="n">
        <x:v>41665</x:v>
      </x:c>
      <x:c r="C5066" s="18" t="n">
        <x:v>12801</x:v>
      </x:c>
      <x:c r="D5066" s="18" t="n">
        <x:v>24161</x:v>
      </x:c>
      <x:c r="E5066" s="18" t="n">
        <x:v>19.25</x:v>
      </x:c>
      <x:c r="F5066" s="18" t="n">
        <x:v>12.15</x:v>
      </x:c>
      <x:c r="G5066" t="n">
        <x:v>60</x:v>
      </x:c>
      <x:c r="H5066" t="str">
        <x:v>C</x:v>
      </x:c>
      <x:c r="I5066" t="str">
        <x:v>10+ years</x:v>
      </x:c>
      <x:c r="J5066" t="str">
        <x:v>OWN</x:v>
      </x:c>
      <x:c r="K5066" t="str">
        <x:v>credit_card</x:v>
      </x:c>
      <x:c r="L5066" t="n">
        <x:v>2</x:v>
      </x:c>
      <x:c r="M5066" t="n">
        <x:v>0</x:v>
      </x:c>
      <x:c r="N5066" t="str">
        <x:v>Fully Paid</x:v>
      </x:c>
      <x:c r="O5066" t="str">
        <x:f>IF(D5066="","Unknown",IF(D5066&lt;25000,"&lt;$25k",IF(D5066&lt;50000,"$25k-$50k",IF(D5066&lt;75000,"$50k-$75k",IF(D5066&lt;100000,"$75k-$100k","$100k+")))))</x:f>
        <x:v>&lt;$25k</x:v>
      </x:c>
      <x:c r="P5066" t="str">
        <x:f>IF(E5066="","Unknown",IF(E5066&lt;10,"&lt;10",IF(E5066&lt;20,"10-&lt;20",IF(E5066&lt;25,"20-&lt;25",IF(E5066&lt;35,"25-&lt;35","35+")))))</x:f>
        <x:v>10-&lt;20</x:v>
      </x:c>
    </x:row>
    <x:row r="5067">
      <x:c r="A5067" t="str">
        <x:v>SYN0005066</x:v>
      </x:c>
      <x:c r="B5067" s="12" t="n">
        <x:v>42505</x:v>
      </x:c>
      <x:c r="C5067" s="18" t="n">
        <x:v>15130</x:v>
      </x:c>
      <x:c r="D5067" s="18" t="n">
        <x:v>30096</x:v>
      </x:c>
      <x:c r="E5067" s="18" t="n">
        <x:v>23.58</x:v>
      </x:c>
      <x:c r="F5067" s="18" t="n">
        <x:v>16.23</x:v>
      </x:c>
      <x:c r="G5067" t="n">
        <x:v>36</x:v>
      </x:c>
      <x:c r="H5067" t="str">
        <x:v>E</x:v>
      </x:c>
      <x:c r="I5067" t="str">
        <x:v>10+ years</x:v>
      </x:c>
      <x:c r="J5067" t="str">
        <x:v>RENT</x:v>
      </x:c>
      <x:c r="K5067" t="str">
        <x:v>credit_card</x:v>
      </x:c>
      <x:c r="L5067" t="n">
        <x:v>1</x:v>
      </x:c>
      <x:c r="M5067" t="n">
        <x:v>1</x:v>
      </x:c>
      <x:c r="N5067" t="str">
        <x:v>Charged Off</x:v>
      </x:c>
      <x:c r="O5067" t="str">
        <x:f>IF(D5067="","Unknown",IF(D5067&lt;25000,"&lt;$25k",IF(D5067&lt;50000,"$25k-$50k",IF(D5067&lt;75000,"$50k-$75k",IF(D5067&lt;100000,"$75k-$100k","$100k+")))))</x:f>
        <x:v>$25k-$50k</x:v>
      </x:c>
      <x:c r="P5067" t="str">
        <x:f>IF(E5067="","Unknown",IF(E5067&lt;10,"&lt;10",IF(E5067&lt;20,"10-&lt;20",IF(E5067&lt;25,"20-&lt;25",IF(E5067&lt;35,"25-&lt;35","35+")))))</x:f>
        <x:v>20-&lt;25</x:v>
      </x:c>
    </x:row>
    <x:row r="5068">
      <x:c r="A5068" t="str">
        <x:v>SYN0005067</x:v>
      </x:c>
      <x:c r="B5068" s="12" t="n">
        <x:v>42505</x:v>
      </x:c>
      <x:c r="C5068" s="18" t="n">
        <x:v>7593</x:v>
      </x:c>
      <x:c r="D5068" s="18" t="n">
        <x:v>15869</x:v>
      </x:c>
      <x:c r="E5068" s="18" t="n">
        <x:v>14.12</x:v>
      </x:c>
      <x:c r="F5068" s="18" t="n">
        <x:v>12.93</x:v>
      </x:c>
      <x:c r="G5068" t="n">
        <x:v>36</x:v>
      </x:c>
      <x:c r="H5068" t="str">
        <x:v>C</x:v>
      </x:c>
      <x:c r="I5068" t="str">
        <x:v>10+ years</x:v>
      </x:c>
      <x:c r="J5068" t="str">
        <x:v>MORTGAGE</x:v>
      </x:c>
      <x:c r="K5068" t="str">
        <x:v>credit_card</x:v>
      </x:c>
      <x:c r="L5068" t="n">
        <x:v>1</x:v>
      </x:c>
      <x:c r="M5068" t="n">
        <x:v>1</x:v>
      </x:c>
      <x:c r="N5068" t="str">
        <x:v>Charged Off</x:v>
      </x:c>
      <x:c r="O5068" t="str">
        <x:f>IF(D5068="","Unknown",IF(D5068&lt;25000,"&lt;$25k",IF(D5068&lt;50000,"$25k-$50k",IF(D5068&lt;75000,"$50k-$75k",IF(D5068&lt;100000,"$75k-$100k","$100k+")))))</x:f>
        <x:v>&lt;$25k</x:v>
      </x:c>
      <x:c r="P5068" t="str">
        <x:f>IF(E5068="","Unknown",IF(E5068&lt;10,"&lt;10",IF(E5068&lt;20,"10-&lt;20",IF(E5068&lt;25,"20-&lt;25",IF(E5068&lt;35,"25-&lt;35","35+")))))</x:f>
        <x:v>10-&lt;20</x:v>
      </x:c>
    </x:row>
    <x:row r="5069">
      <x:c r="A5069" t="str">
        <x:v>SYN0005068</x:v>
      </x:c>
      <x:c r="B5069" s="12" t="n">
        <x:v>41785</x:v>
      </x:c>
      <x:c r="C5069" s="18" t="n">
        <x:v>23252</x:v>
      </x:c>
      <x:c r="D5069" s="18" t="n">
        <x:v>12036</x:v>
      </x:c>
      <x:c r="E5069" s="18" t="n">
        <x:v>20.57</x:v>
      </x:c>
      <x:c r="F5069" s="18" t="n">
        <x:v>6.41</x:v>
      </x:c>
      <x:c r="G5069" t="n">
        <x:v>60</x:v>
      </x:c>
      <x:c r="H5069" t="str">
        <x:v>B</x:v>
      </x:c>
      <x:c r="I5069" t="str">
        <x:v>4-6 years</x:v>
      </x:c>
      <x:c r="J5069" t="str">
        <x:v>OWN</x:v>
      </x:c>
      <x:c r="K5069" t="str">
        <x:v>debt_consolidation</x:v>
      </x:c>
      <x:c r="L5069" t="n">
        <x:v>1</x:v>
      </x:c>
      <x:c r="M5069" t="n">
        <x:v>0</x:v>
      </x:c>
      <x:c r="N5069" t="str">
        <x:v>Fully Paid</x:v>
      </x:c>
      <x:c r="O5069" t="str">
        <x:f>IF(D5069="","Unknown",IF(D5069&lt;25000,"&lt;$25k",IF(D5069&lt;50000,"$25k-$50k",IF(D5069&lt;75000,"$50k-$75k",IF(D5069&lt;100000,"$75k-$100k","$100k+")))))</x:f>
        <x:v>&lt;$25k</x:v>
      </x:c>
      <x:c r="P5069" t="str">
        <x:f>IF(E5069="","Unknown",IF(E5069&lt;10,"&lt;10",IF(E5069&lt;20,"10-&lt;20",IF(E5069&lt;25,"20-&lt;25",IF(E5069&lt;35,"25-&lt;35","35+")))))</x:f>
        <x:v>20-&lt;25</x:v>
      </x:c>
    </x:row>
    <x:row r="5070">
      <x:c r="A5070" t="str">
        <x:v>SYN0005069</x:v>
      </x:c>
      <x:c r="B5070" s="12" t="n">
        <x:v>43045</x:v>
      </x:c>
      <x:c r="C5070" s="18" t="n">
        <x:v>16168</x:v>
      </x:c>
      <x:c r="D5070" s="18" t="n">
        <x:v>33726</x:v>
      </x:c>
      <x:c r="E5070" s="18" t="n">
        <x:v>37.58</x:v>
      </x:c>
      <x:c r="F5070" s="18" t="n">
        <x:v>12.97</x:v>
      </x:c>
      <x:c r="G5070" t="n">
        <x:v>36</x:v>
      </x:c>
      <x:c r="H5070" t="str">
        <x:v>D</x:v>
      </x:c>
      <x:c r="I5070" t="str">
        <x:v>10+ years</x:v>
      </x:c>
      <x:c r="J5070" t="str">
        <x:v>MORTGAGE</x:v>
      </x:c>
      <x:c r="K5070" t="str">
        <x:v>credit_card</x:v>
      </x:c>
      <x:c r="L5070" t="n">
        <x:v>0</x:v>
      </x:c>
      <x:c r="M5070" t="n">
        <x:v>0</x:v>
      </x:c>
      <x:c r="N5070" t="str">
        <x:v>Fully Paid</x:v>
      </x:c>
      <x:c r="O5070" t="str">
        <x:f>IF(D5070="","Unknown",IF(D5070&lt;25000,"&lt;$25k",IF(D5070&lt;50000,"$25k-$50k",IF(D5070&lt;75000,"$50k-$75k",IF(D5070&lt;100000,"$75k-$100k","$100k+")))))</x:f>
        <x:v>$25k-$50k</x:v>
      </x:c>
      <x:c r="P5070" t="str">
        <x:f>IF(E5070="","Unknown",IF(E5070&lt;10,"&lt;10",IF(E5070&lt;20,"10-&lt;20",IF(E5070&lt;25,"20-&lt;25",IF(E5070&lt;35,"25-&lt;35","35+")))))</x:f>
        <x:v>35+</x:v>
      </x:c>
    </x:row>
    <x:row r="5071">
      <x:c r="A5071" t="str">
        <x:v>SYN0005070</x:v>
      </x:c>
      <x:c r="B5071" s="12" t="n">
        <x:v>42955</x:v>
      </x:c>
      <x:c r="C5071" s="18" t="n">
        <x:v>10513</x:v>
      </x:c>
      <x:c r="D5071" s="18" t="n">
        <x:v>41403</x:v>
      </x:c>
      <x:c r="E5071" s="18" t="n">
        <x:v>28.95</x:v>
      </x:c>
      <x:c r="F5071" s="18" t="n">
        <x:v>8.38</x:v>
      </x:c>
      <x:c r="G5071" t="n">
        <x:v>36</x:v>
      </x:c>
      <x:c r="H5071" t="str">
        <x:v>B</x:v>
      </x:c>
      <x:c r="I5071" t="str">
        <x:v>1-3 years</x:v>
      </x:c>
      <x:c r="J5071" t="str">
        <x:v>MORTGAGE</x:v>
      </x:c>
      <x:c r="K5071" t="str">
        <x:v>debt_consolidation</x:v>
      </x:c>
      <x:c r="L5071" t="n">
        <x:v>1</x:v>
      </x:c>
      <x:c r="M5071" t="n">
        <x:v>0</x:v>
      </x:c>
      <x:c r="N5071" t="str">
        <x:v>Fully Paid</x:v>
      </x:c>
      <x:c r="O5071" t="str">
        <x:f>IF(D5071="","Unknown",IF(D5071&lt;25000,"&lt;$25k",IF(D5071&lt;50000,"$25k-$50k",IF(D5071&lt;75000,"$50k-$75k",IF(D5071&lt;100000,"$75k-$100k","$100k+")))))</x:f>
        <x:v>$25k-$50k</x:v>
      </x:c>
      <x:c r="P5071" t="str">
        <x:f>IF(E5071="","Unknown",IF(E5071&lt;10,"&lt;10",IF(E5071&lt;20,"10-&lt;20",IF(E5071&lt;25,"20-&lt;25",IF(E5071&lt;35,"25-&lt;35","35+")))))</x:f>
        <x:v>25-&lt;35</x:v>
      </x:c>
    </x:row>
    <x:row r="5072">
      <x:c r="A5072" t="str">
        <x:v>SYN0005071</x:v>
      </x:c>
      <x:c r="B5072" s="12" t="n">
        <x:v>42895</x:v>
      </x:c>
      <x:c r="C5072" s="18" t="n">
        <x:v>18972</x:v>
      </x:c>
      <x:c r="D5072" s="18" t="n">
        <x:v>15994</x:v>
      </x:c>
      <x:c r="E5072" s="18" t="n">
        <x:v>27.76</x:v>
      </x:c>
      <x:c r="F5072" s="18" t="n">
        <x:v>11.16</x:v>
      </x:c>
      <x:c r="G5072" t="n">
        <x:v>60</x:v>
      </x:c>
      <x:c r="H5072" t="str">
        <x:v>C</x:v>
      </x:c>
      <x:c r="I5072" t="str">
        <x:v>1-3 years</x:v>
      </x:c>
      <x:c r="J5072" t="str">
        <x:v>RENT</x:v>
      </x:c>
      <x:c r="K5072" t="str">
        <x:v>debt_consolidation</x:v>
      </x:c>
      <x:c r="L5072" t="n">
        <x:v>1</x:v>
      </x:c>
      <x:c r="M5072" t="n">
        <x:v>1</x:v>
      </x:c>
      <x:c r="N5072" t="str">
        <x:v>Charged Off</x:v>
      </x:c>
      <x:c r="O5072" t="str">
        <x:f>IF(D5072="","Unknown",IF(D5072&lt;25000,"&lt;$25k",IF(D5072&lt;50000,"$25k-$50k",IF(D5072&lt;75000,"$50k-$75k",IF(D5072&lt;100000,"$75k-$100k","$100k+")))))</x:f>
        <x:v>&lt;$25k</x:v>
      </x:c>
      <x:c r="P5072" t="str">
        <x:f>IF(E5072="","Unknown",IF(E5072&lt;10,"&lt;10",IF(E5072&lt;20,"10-&lt;20",IF(E5072&lt;25,"20-&lt;25",IF(E5072&lt;35,"25-&lt;35","35+")))))</x:f>
        <x:v>25-&lt;35</x:v>
      </x:c>
    </x:row>
    <x:row r="5073">
      <x:c r="A5073" t="str">
        <x:v>SYN0005072</x:v>
      </x:c>
      <x:c r="B5073" s="12" t="n">
        <x:v>41515</x:v>
      </x:c>
      <x:c r="C5073" s="18" t="n">
        <x:v>25511</x:v>
      </x:c>
      <x:c r="D5073" s="18" t="n">
        <x:v>17239</x:v>
      </x:c>
      <x:c r="E5073" s="18" t="n">
        <x:v>35.61</x:v>
      </x:c>
      <x:c r="F5073" s="18" t="n">
        <x:v>22.33</x:v>
      </x:c>
      <x:c r="G5073" t="n">
        <x:v>36</x:v>
      </x:c>
      <x:c r="H5073" t="str">
        <x:v>F</x:v>
      </x:c>
      <x:c r="I5073" t="str">
        <x:v>7-9 years</x:v>
      </x:c>
      <x:c r="J5073" t="str">
        <x:v>MORTGAGE</x:v>
      </x:c>
      <x:c r="K5073" t="str">
        <x:v>debt_consolidation</x:v>
      </x:c>
      <x:c r="L5073" t="n">
        <x:v>1</x:v>
      </x:c>
      <x:c r="M5073" t="n">
        <x:v>1</x:v>
      </x:c>
      <x:c r="N5073" t="str">
        <x:v>Charged Off</x:v>
      </x:c>
      <x:c r="O5073" t="str">
        <x:f>IF(D5073="","Unknown",IF(D5073&lt;25000,"&lt;$25k",IF(D5073&lt;50000,"$25k-$50k",IF(D5073&lt;75000,"$50k-$75k",IF(D5073&lt;100000,"$75k-$100k","$100k+")))))</x:f>
        <x:v>&lt;$25k</x:v>
      </x:c>
      <x:c r="P5073" t="str">
        <x:f>IF(E5073="","Unknown",IF(E5073&lt;10,"&lt;10",IF(E5073&lt;20,"10-&lt;20",IF(E5073&lt;25,"20-&lt;25",IF(E5073&lt;35,"25-&lt;35","35+")))))</x:f>
        <x:v>35+</x:v>
      </x:c>
    </x:row>
    <x:row r="5074">
      <x:c r="A5074" t="str">
        <x:v>SYN0005073</x:v>
      </x:c>
      <x:c r="B5074" s="12" t="n">
        <x:v>41935</x:v>
      </x:c>
      <x:c r="C5074" s="18" t="n">
        <x:v>11245</x:v>
      </x:c>
      <x:c r="D5074" s="18" t="n">
        <x:v>42867</x:v>
      </x:c>
      <x:c r="E5074" s="18" t="n">
        <x:v>29.16</x:v>
      </x:c>
      <x:c r="F5074" s="18" t="n">
        <x:v>20.18</x:v>
      </x:c>
      <x:c r="G5074" t="n">
        <x:v>36</x:v>
      </x:c>
      <x:c r="H5074" t="str">
        <x:v>F</x:v>
      </x:c>
      <x:c r="I5074" t="str">
        <x:v>10+ years</x:v>
      </x:c>
      <x:c r="J5074" t="str">
        <x:v>MORTGAGE</x:v>
      </x:c>
      <x:c r="K5074" t="str">
        <x:v>credit_card</x:v>
      </x:c>
      <x:c r="L5074" t="n">
        <x:v>1</x:v>
      </x:c>
      <x:c r="M5074" t="n">
        <x:v>0</x:v>
      </x:c>
      <x:c r="N5074" t="str">
        <x:v>Fully Paid</x:v>
      </x:c>
      <x:c r="O5074" t="str">
        <x:f>IF(D5074="","Unknown",IF(D5074&lt;25000,"&lt;$25k",IF(D5074&lt;50000,"$25k-$50k",IF(D5074&lt;75000,"$50k-$75k",IF(D5074&lt;100000,"$75k-$100k","$100k+")))))</x:f>
        <x:v>$25k-$50k</x:v>
      </x:c>
      <x:c r="P5074" t="str">
        <x:f>IF(E5074="","Unknown",IF(E5074&lt;10,"&lt;10",IF(E5074&lt;20,"10-&lt;20",IF(E5074&lt;25,"20-&lt;25",IF(E5074&lt;35,"25-&lt;35","35+")))))</x:f>
        <x:v>25-&lt;35</x:v>
      </x:c>
    </x:row>
    <x:row r="5075">
      <x:c r="A5075" t="str">
        <x:v>SYN0005074</x:v>
      </x:c>
      <x:c r="B5075" s="12" t="n">
        <x:v>43015</x:v>
      </x:c>
      <x:c r="C5075" s="18" t="n">
        <x:v>16236</x:v>
      </x:c>
      <x:c r="D5075" s="18" t="n">
        <x:v>15824</x:v>
      </x:c>
      <x:c r="E5075" s="18" t="n">
        <x:v>26.91</x:v>
      </x:c>
      <x:c r="F5075" s="18" t="n">
        <x:v>10.33</x:v>
      </x:c>
      <x:c r="G5075" t="n">
        <x:v>60</x:v>
      </x:c>
      <x:c r="H5075" t="str">
        <x:v>B</x:v>
      </x:c>
      <x:c r="I5075" t="str">
        <x:v>10+ years</x:v>
      </x:c>
      <x:c r="J5075" t="str">
        <x:v>RENT</x:v>
      </x:c>
      <x:c r="K5075" t="str">
        <x:v>credit_card</x:v>
      </x:c>
      <x:c r="L5075" t="n">
        <x:v>1</x:v>
      </x:c>
      <x:c r="M5075" t="n">
        <x:v>0</x:v>
      </x:c>
      <x:c r="N5075" t="str">
        <x:v>Fully Paid</x:v>
      </x:c>
      <x:c r="O5075" t="str">
        <x:f>IF(D5075="","Unknown",IF(D5075&lt;25000,"&lt;$25k",IF(D5075&lt;50000,"$25k-$50k",IF(D5075&lt;75000,"$50k-$75k",IF(D5075&lt;100000,"$75k-$100k","$100k+")))))</x:f>
        <x:v>&lt;$25k</x:v>
      </x:c>
      <x:c r="P5075" t="str">
        <x:f>IF(E5075="","Unknown",IF(E5075&lt;10,"&lt;10",IF(E5075&lt;20,"10-&lt;20",IF(E5075&lt;25,"20-&lt;25",IF(E5075&lt;35,"25-&lt;35","35+")))))</x:f>
        <x:v>25-&lt;35</x:v>
      </x:c>
    </x:row>
    <x:row r="5076">
      <x:c r="A5076" t="str">
        <x:v>SYN0005075</x:v>
      </x:c>
      <x:c r="B5076" s="12" t="n">
        <x:v>42835</x:v>
      </x:c>
      <x:c r="C5076" s="18" t="n">
        <x:v>7714</x:v>
      </x:c>
      <x:c r="D5076" s="18" t="n">
        <x:v>47578</x:v>
      </x:c>
      <x:c r="E5076" s="18" t="n">
        <x:v>29.83</x:v>
      </x:c>
      <x:c r="F5076" s="18" t="n">
        <x:v>9.27</x:v>
      </x:c>
      <x:c r="G5076" t="n">
        <x:v>36</x:v>
      </x:c>
      <x:c r="H5076" t="str">
        <x:v>B</x:v>
      </x:c>
      <x:c r="I5076" t="str">
        <x:v>10+ years</x:v>
      </x:c>
      <x:c r="J5076" t="str">
        <x:v>RENT</x:v>
      </x:c>
      <x:c r="K5076" t="str">
        <x:v>credit_card</x:v>
      </x:c>
      <x:c r="L5076" t="n">
        <x:v>0</x:v>
      </x:c>
      <x:c r="M5076" t="n">
        <x:v>1</x:v>
      </x:c>
      <x:c r="N5076" t="str">
        <x:v>Charged Off</x:v>
      </x:c>
      <x:c r="O5076" t="str">
        <x:f>IF(D5076="","Unknown",IF(D5076&lt;25000,"&lt;$25k",IF(D5076&lt;50000,"$25k-$50k",IF(D5076&lt;75000,"$50k-$75k",IF(D5076&lt;100000,"$75k-$100k","$100k+")))))</x:f>
        <x:v>$25k-$50k</x:v>
      </x:c>
      <x:c r="P5076" t="str">
        <x:f>IF(E5076="","Unknown",IF(E5076&lt;10,"&lt;10",IF(E5076&lt;20,"10-&lt;20",IF(E5076&lt;25,"20-&lt;25",IF(E5076&lt;35,"25-&lt;35","35+")))))</x:f>
        <x:v>25-&lt;35</x:v>
      </x:c>
    </x:row>
    <x:row r="5077">
      <x:c r="A5077" t="str">
        <x:v>SYN0005076</x:v>
      </x:c>
      <x:c r="B5077" s="12" t="n">
        <x:v>43165</x:v>
      </x:c>
      <x:c r="C5077" s="18" t="n">
        <x:v>30251</x:v>
      </x:c>
      <x:c r="D5077" s="18" t="n">
        <x:v>28012</x:v>
      </x:c>
      <x:c r="E5077" s="18" t="n">
        <x:v>20.38</x:v>
      </x:c>
      <x:c r="F5077" s="18" t="n">
        <x:v>8.9</x:v>
      </x:c>
      <x:c r="G5077" t="n">
        <x:v>36</x:v>
      </x:c>
      <x:c r="H5077" t="str">
        <x:v>C</x:v>
      </x:c>
      <x:c r="I5077" t="str">
        <x:v>10+ years</x:v>
      </x:c>
      <x:c r="J5077" t="str">
        <x:v>OTHER</x:v>
      </x:c>
      <x:c r="K5077" t="str">
        <x:v>debt_consolidation</x:v>
      </x:c>
      <x:c r="L5077" t="n">
        <x:v>1</x:v>
      </x:c>
      <x:c r="M5077" t="n">
        <x:v>0</x:v>
      </x:c>
      <x:c r="N5077" t="str">
        <x:v>Fully Paid</x:v>
      </x:c>
      <x:c r="O5077" t="str">
        <x:f>IF(D5077="","Unknown",IF(D5077&lt;25000,"&lt;$25k",IF(D5077&lt;50000,"$25k-$50k",IF(D5077&lt;75000,"$50k-$75k",IF(D5077&lt;100000,"$75k-$100k","$100k+")))))</x:f>
        <x:v>$25k-$50k</x:v>
      </x:c>
      <x:c r="P5077" t="str">
        <x:f>IF(E5077="","Unknown",IF(E5077&lt;10,"&lt;10",IF(E5077&lt;20,"10-&lt;20",IF(E5077&lt;25,"20-&lt;25",IF(E5077&lt;35,"25-&lt;35","35+")))))</x:f>
        <x:v>20-&lt;25</x:v>
      </x:c>
    </x:row>
    <x:row r="5078">
      <x:c r="A5078" t="str">
        <x:v>SYN0005077</x:v>
      </x:c>
      <x:c r="B5078" s="12" t="n">
        <x:v>41575</x:v>
      </x:c>
      <x:c r="C5078" s="18" t="n">
        <x:v>12765</x:v>
      </x:c>
      <x:c r="D5078" s="18" t="n">
        <x:v>17312</x:v>
      </x:c>
      <x:c r="E5078" s="18" t="n">
        <x:v>34.74</x:v>
      </x:c>
      <x:c r="F5078" s="18" t="n">
        <x:v>16.94</x:v>
      </x:c>
      <x:c r="G5078" t="n">
        <x:v>36</x:v>
      </x:c>
      <x:c r="H5078" t="str">
        <x:v>E</x:v>
      </x:c>
      <x:c r="I5078" t="str">
        <x:v>10+ years</x:v>
      </x:c>
      <x:c r="J5078" t="str">
        <x:v>RENT</x:v>
      </x:c>
      <x:c r="K5078" t="str">
        <x:v>major_purchase</x:v>
      </x:c>
      <x:c r="L5078" t="n">
        <x:v>2</x:v>
      </x:c>
      <x:c r="M5078" t="n">
        <x:v>0</x:v>
      </x:c>
      <x:c r="N5078" t="str">
        <x:v>Fully Paid</x:v>
      </x:c>
      <x:c r="O5078" t="str">
        <x:f>IF(D5078="","Unknown",IF(D5078&lt;25000,"&lt;$25k",IF(D5078&lt;50000,"$25k-$50k",IF(D5078&lt;75000,"$50k-$75k",IF(D5078&lt;100000,"$75k-$100k","$100k+")))))</x:f>
        <x:v>&lt;$25k</x:v>
      </x:c>
      <x:c r="P5078" t="str">
        <x:f>IF(E5078="","Unknown",IF(E5078&lt;10,"&lt;10",IF(E5078&lt;20,"10-&lt;20",IF(E5078&lt;25,"20-&lt;25",IF(E5078&lt;35,"25-&lt;35","35+")))))</x:f>
        <x:v>25-&lt;35</x:v>
      </x:c>
    </x:row>
    <x:row r="5079">
      <x:c r="A5079" t="str">
        <x:v>SYN0005078</x:v>
      </x:c>
      <x:c r="B5079" s="12" t="n">
        <x:v>41635</x:v>
      </x:c>
      <x:c r="C5079" s="18" t="n">
        <x:v>5467</x:v>
      </x:c>
      <x:c r="D5079" s="18" t="n">
        <x:v>35446</x:v>
      </x:c>
      <x:c r="E5079" s="18" t="n">
        <x:v>32.1</x:v>
      </x:c>
      <x:c r="F5079" s="18" t="n">
        <x:v>26.16</x:v>
      </x:c>
      <x:c r="G5079" t="n">
        <x:v>60</x:v>
      </x:c>
      <x:c r="H5079" t="str">
        <x:v>G</x:v>
      </x:c>
      <x:c r="I5079" t="str">
        <x:v>10+ years</x:v>
      </x:c>
      <x:c r="J5079" t="str">
        <x:v>MORTGAGE</x:v>
      </x:c>
      <x:c r="K5079" t="str">
        <x:v>major_purchase</x:v>
      </x:c>
      <x:c r="L5079" t="n">
        <x:v>1</x:v>
      </x:c>
      <x:c r="M5079" t="n">
        <x:v>0</x:v>
      </x:c>
      <x:c r="N5079" t="str">
        <x:v>Fully Paid</x:v>
      </x:c>
      <x:c r="O5079" t="str">
        <x:f>IF(D5079="","Unknown",IF(D5079&lt;25000,"&lt;$25k",IF(D5079&lt;50000,"$25k-$50k",IF(D5079&lt;75000,"$50k-$75k",IF(D5079&lt;100000,"$75k-$100k","$100k+")))))</x:f>
        <x:v>$25k-$50k</x:v>
      </x:c>
      <x:c r="P5079" t="str">
        <x:f>IF(E5079="","Unknown",IF(E5079&lt;10,"&lt;10",IF(E5079&lt;20,"10-&lt;20",IF(E5079&lt;25,"20-&lt;25",IF(E5079&lt;35,"25-&lt;35","35+")))))</x:f>
        <x:v>25-&lt;35</x:v>
      </x:c>
    </x:row>
    <x:row r="5080">
      <x:c r="A5080" t="str">
        <x:v>SYN0005079</x:v>
      </x:c>
      <x:c r="B5080" s="12" t="n">
        <x:v>41395</x:v>
      </x:c>
      <x:c r="C5080" s="18" t="n">
        <x:v>11799</x:v>
      </x:c>
      <x:c r="D5080" s="18" t="n">
        <x:v>29359</x:v>
      </x:c>
      <x:c r="E5080" s="18" t="n">
        <x:v>19.94</x:v>
      </x:c>
      <x:c r="F5080" s="18" t="n">
        <x:v>15.37</x:v>
      </x:c>
      <x:c r="G5080" t="n">
        <x:v>60</x:v>
      </x:c>
      <x:c r="H5080" t="str">
        <x:v>D</x:v>
      </x:c>
      <x:c r="I5080" t="str">
        <x:v>7-9 years</x:v>
      </x:c>
      <x:c r="J5080" t="str">
        <x:v>OWN</x:v>
      </x:c>
      <x:c r="K5080" t="str">
        <x:v>credit_card</x:v>
      </x:c>
      <x:c r="L5080" t="n">
        <x:v>0</x:v>
      </x:c>
      <x:c r="M5080" t="n">
        <x:v>1</x:v>
      </x:c>
      <x:c r="N5080" t="str">
        <x:v>Charged Off</x:v>
      </x:c>
      <x:c r="O5080" t="str">
        <x:f>IF(D5080="","Unknown",IF(D5080&lt;25000,"&lt;$25k",IF(D5080&lt;50000,"$25k-$50k",IF(D5080&lt;75000,"$50k-$75k",IF(D5080&lt;100000,"$75k-$100k","$100k+")))))</x:f>
        <x:v>$25k-$50k</x:v>
      </x:c>
      <x:c r="P5080" t="str">
        <x:f>IF(E5080="","Unknown",IF(E5080&lt;10,"&lt;10",IF(E5080&lt;20,"10-&lt;20",IF(E5080&lt;25,"20-&lt;25",IF(E5080&lt;35,"25-&lt;35","35+")))))</x:f>
        <x:v>10-&lt;20</x:v>
      </x:c>
    </x:row>
    <x:row r="5081">
      <x:c r="A5081" t="str">
        <x:v>SYN0005080</x:v>
      </x:c>
      <x:c r="B5081" s="12" t="n">
        <x:v>41785</x:v>
      </x:c>
      <x:c r="C5081" s="18" t="n">
        <x:v>11290</x:v>
      </x:c>
      <x:c r="D5081" s="18" t="n">
        <x:v>20340</x:v>
      </x:c>
      <x:c r="E5081" s="18" t="n">
        <x:v>23.1</x:v>
      </x:c>
      <x:c r="F5081" s="18" t="n">
        <x:v>6.49</x:v>
      </x:c>
      <x:c r="G5081" t="n">
        <x:v>36</x:v>
      </x:c>
      <x:c r="H5081" t="str">
        <x:v>C</x:v>
      </x:c>
      <x:c r="I5081" t="str">
        <x:v>10+ years</x:v>
      </x:c>
      <x:c r="J5081" t="str">
        <x:v>RENT</x:v>
      </x:c>
      <x:c r="K5081" t="str">
        <x:v>debt_consolidation</x:v>
      </x:c>
      <x:c r="L5081" t="n">
        <x:v>1</x:v>
      </x:c>
      <x:c r="M5081" t="n">
        <x:v>0</x:v>
      </x:c>
      <x:c r="N5081" t="str">
        <x:v>Fully Paid</x:v>
      </x:c>
      <x:c r="O5081" t="str">
        <x:f>IF(D5081="","Unknown",IF(D5081&lt;25000,"&lt;$25k",IF(D5081&lt;50000,"$25k-$50k",IF(D5081&lt;75000,"$50k-$75k",IF(D5081&lt;100000,"$75k-$100k","$100k+")))))</x:f>
        <x:v>&lt;$25k</x:v>
      </x:c>
      <x:c r="P5081" t="str">
        <x:f>IF(E5081="","Unknown",IF(E5081&lt;10,"&lt;10",IF(E5081&lt;20,"10-&lt;20",IF(E5081&lt;25,"20-&lt;25",IF(E5081&lt;35,"25-&lt;35","35+")))))</x:f>
        <x:v>20-&lt;25</x:v>
      </x:c>
    </x:row>
    <x:row r="5082">
      <x:c r="A5082" t="str">
        <x:v>SYN0005081</x:v>
      </x:c>
      <x:c r="B5082" s="12" t="n">
        <x:v>42445</x:v>
      </x:c>
      <x:c r="C5082" s="18" t="n">
        <x:v>3218</x:v>
      </x:c>
      <x:c r="D5082" s="18" t="n">
        <x:v>131074</x:v>
      </x:c>
      <x:c r="E5082" s="18" t="n">
        <x:v>15.99</x:v>
      </x:c>
      <x:c r="F5082" s="18" t="n">
        <x:v>5.4</x:v>
      </x:c>
      <x:c r="G5082" t="n">
        <x:v>36</x:v>
      </x:c>
      <x:c r="H5082" t="str">
        <x:v>A</x:v>
      </x:c>
      <x:c r="I5082" t="str">
        <x:v>&lt;1 year</x:v>
      </x:c>
      <x:c r="J5082" t="str">
        <x:v>MORTGAGE</x:v>
      </x:c>
      <x:c r="K5082" t="str">
        <x:v>debt_consolidation</x:v>
      </x:c>
      <x:c r="L5082" t="n">
        <x:v>0</x:v>
      </x:c>
      <x:c r="M5082" t="n">
        <x:v>0</x:v>
      </x:c>
      <x:c r="N5082" t="str">
        <x:v>Fully Paid</x:v>
      </x:c>
      <x:c r="O5082" t="str">
        <x:f>IF(D5082="","Unknown",IF(D5082&lt;25000,"&lt;$25k",IF(D5082&lt;50000,"$25k-$50k",IF(D5082&lt;75000,"$50k-$75k",IF(D5082&lt;100000,"$75k-$100k","$100k+")))))</x:f>
        <x:v>$100k+</x:v>
      </x:c>
      <x:c r="P5082" t="str">
        <x:f>IF(E5082="","Unknown",IF(E5082&lt;10,"&lt;10",IF(E5082&lt;20,"10-&lt;20",IF(E5082&lt;25,"20-&lt;25",IF(E5082&lt;35,"25-&lt;35","35+")))))</x:f>
        <x:v>10-&lt;20</x:v>
      </x:c>
    </x:row>
    <x:row r="5083">
      <x:c r="A5083" t="str">
        <x:v>SYN0005082</x:v>
      </x:c>
      <x:c r="B5083" s="12" t="n">
        <x:v>41755</x:v>
      </x:c>
      <x:c r="C5083" s="18" t="n">
        <x:v>31904</x:v>
      </x:c>
      <x:c r="D5083" s="18" t="n">
        <x:v>45055</x:v>
      </x:c>
      <x:c r="E5083" s="18" t="n">
        <x:v>18.67</x:v>
      </x:c>
      <x:c r="F5083" s="18" t="n">
        <x:v>11.18</x:v>
      </x:c>
      <x:c r="G5083" t="n">
        <x:v>36</x:v>
      </x:c>
      <x:c r="H5083" t="str">
        <x:v>D</x:v>
      </x:c>
      <x:c r="I5083" t="str">
        <x:v>7-9 years</x:v>
      </x:c>
      <x:c r="J5083" t="str">
        <x:v>RENT</x:v>
      </x:c>
      <x:c r="K5083" t="str">
        <x:v>home_improvement</x:v>
      </x:c>
      <x:c r="L5083" t="n">
        <x:v>0</x:v>
      </x:c>
      <x:c r="M5083" t="n">
        <x:v>0</x:v>
      </x:c>
      <x:c r="N5083" t="str">
        <x:v>Fully Paid</x:v>
      </x:c>
      <x:c r="O5083" t="str">
        <x:f>IF(D5083="","Unknown",IF(D5083&lt;25000,"&lt;$25k",IF(D5083&lt;50000,"$25k-$50k",IF(D5083&lt;75000,"$50k-$75k",IF(D5083&lt;100000,"$75k-$100k","$100k+")))))</x:f>
        <x:v>$25k-$50k</x:v>
      </x:c>
      <x:c r="P5083" t="str">
        <x:f>IF(E5083="","Unknown",IF(E5083&lt;10,"&lt;10",IF(E5083&lt;20,"10-&lt;20",IF(E5083&lt;25,"20-&lt;25",IF(E5083&lt;35,"25-&lt;35","35+")))))</x:f>
        <x:v>10-&lt;20</x:v>
      </x:c>
    </x:row>
    <x:row r="5084">
      <x:c r="A5084" t="str">
        <x:v>SYN0005083</x:v>
      </x:c>
      <x:c r="B5084" s="12" t="n">
        <x:v>42745</x:v>
      </x:c>
      <x:c r="C5084" s="18" t="n">
        <x:v>12503</x:v>
      </x:c>
      <x:c r="D5084" s="18" t="n">
        <x:v>120602</x:v>
      </x:c>
      <x:c r="E5084" s="18" t="n">
        <x:v>21.61</x:v>
      </x:c>
      <x:c r="F5084" s="18" t="n">
        <x:v>12.65</x:v>
      </x:c>
      <x:c r="G5084" t="n">
        <x:v>36</x:v>
      </x:c>
      <x:c r="H5084" t="str">
        <x:v>C</x:v>
      </x:c>
      <x:c r="I5084" t="str">
        <x:v>7-9 years</x:v>
      </x:c>
      <x:c r="J5084" t="str">
        <x:v>RENT</x:v>
      </x:c>
      <x:c r="K5084" t="str">
        <x:v>credit_card</x:v>
      </x:c>
      <x:c r="L5084" t="n">
        <x:v>0</x:v>
      </x:c>
      <x:c r="M5084" t="n">
        <x:v>0</x:v>
      </x:c>
      <x:c r="N5084" t="str">
        <x:v>Fully Paid</x:v>
      </x:c>
      <x:c r="O5084" t="str">
        <x:f>IF(D5084="","Unknown",IF(D5084&lt;25000,"&lt;$25k",IF(D5084&lt;50000,"$25k-$50k",IF(D5084&lt;75000,"$50k-$75k",IF(D5084&lt;100000,"$75k-$100k","$100k+")))))</x:f>
        <x:v>$100k+</x:v>
      </x:c>
      <x:c r="P5084" t="str">
        <x:f>IF(E5084="","Unknown",IF(E5084&lt;10,"&lt;10",IF(E5084&lt;20,"10-&lt;20",IF(E5084&lt;25,"20-&lt;25",IF(E5084&lt;35,"25-&lt;35","35+")))))</x:f>
        <x:v>20-&lt;25</x:v>
      </x:c>
    </x:row>
    <x:row r="5085">
      <x:c r="A5085" t="str">
        <x:v>SYN0005084</x:v>
      </x:c>
      <x:c r="B5085" s="12" t="n">
        <x:v>41545</x:v>
      </x:c>
      <x:c r="C5085" s="18" t="n">
        <x:v>12164</x:v>
      </x:c>
      <x:c r="D5085" s="18" t="n">
        <x:v>221314</x:v>
      </x:c>
      <x:c r="E5085" s="18" t="n">
        <x:v>10.78</x:v>
      </x:c>
      <x:c r="F5085" s="18" t="n">
        <x:v>14.7</x:v>
      </x:c>
      <x:c r="G5085" t="n">
        <x:v>36</x:v>
      </x:c>
      <x:c r="H5085" t="str">
        <x:v>C</x:v>
      </x:c>
      <x:c r="I5085" t="str">
        <x:v>4-6 years</x:v>
      </x:c>
      <x:c r="J5085" t="str">
        <x:v>RENT</x:v>
      </x:c>
      <x:c r="K5085" t="str">
        <x:v>medical</x:v>
      </x:c>
      <x:c r="L5085" t="n">
        <x:v>0</x:v>
      </x:c>
      <x:c r="M5085" t="n">
        <x:v>0</x:v>
      </x:c>
      <x:c r="N5085" t="str">
        <x:v>Fully Paid</x:v>
      </x:c>
      <x:c r="O5085" t="str">
        <x:f>IF(D5085="","Unknown",IF(D5085&lt;25000,"&lt;$25k",IF(D5085&lt;50000,"$25k-$50k",IF(D5085&lt;75000,"$50k-$75k",IF(D5085&lt;100000,"$75k-$100k","$100k+")))))</x:f>
        <x:v>$100k+</x:v>
      </x:c>
      <x:c r="P5085" t="str">
        <x:f>IF(E5085="","Unknown",IF(E5085&lt;10,"&lt;10",IF(E5085&lt;20,"10-&lt;20",IF(E5085&lt;25,"20-&lt;25",IF(E5085&lt;35,"25-&lt;35","35+")))))</x:f>
        <x:v>10-&lt;20</x:v>
      </x:c>
    </x:row>
    <x:row r="5086">
      <x:c r="A5086" t="str">
        <x:v>SYN0005085</x:v>
      </x:c>
      <x:c r="B5086" s="12" t="n">
        <x:v>42955</x:v>
      </x:c>
      <x:c r="C5086" s="18" t="n">
        <x:v>29798</x:v>
      </x:c>
      <x:c r="D5086" s="18" t="n">
        <x:v>163887</x:v>
      </x:c>
      <x:c r="E5086" s="18" t="n">
        <x:v>15.24</x:v>
      </x:c>
      <x:c r="F5086" s="18" t="n">
        <x:v>10.39</x:v>
      </x:c>
      <x:c r="G5086" t="n">
        <x:v>36</x:v>
      </x:c>
      <x:c r="H5086" t="str">
        <x:v>B</x:v>
      </x:c>
      <x:c r="I5086" t="str">
        <x:v>4-6 years</x:v>
      </x:c>
      <x:c r="J5086" t="str">
        <x:v>RENT</x:v>
      </x:c>
      <x:c r="K5086" t="str">
        <x:v>debt_consolidation</x:v>
      </x:c>
      <x:c r="L5086" t="n">
        <x:v>0</x:v>
      </x:c>
      <x:c r="M5086" t="n">
        <x:v>1</x:v>
      </x:c>
      <x:c r="N5086" t="str">
        <x:v>Charged Off</x:v>
      </x:c>
      <x:c r="O5086" t="str">
        <x:f>IF(D5086="","Unknown",IF(D5086&lt;25000,"&lt;$25k",IF(D5086&lt;50000,"$25k-$50k",IF(D5086&lt;75000,"$50k-$75k",IF(D5086&lt;100000,"$75k-$100k","$100k+")))))</x:f>
        <x:v>$100k+</x:v>
      </x:c>
      <x:c r="P5086" t="str">
        <x:f>IF(E5086="","Unknown",IF(E5086&lt;10,"&lt;10",IF(E5086&lt;20,"10-&lt;20",IF(E5086&lt;25,"20-&lt;25",IF(E5086&lt;35,"25-&lt;35","35+")))))</x:f>
        <x:v>10-&lt;20</x:v>
      </x:c>
    </x:row>
    <x:row r="5087">
      <x:c r="A5087" t="str">
        <x:v>SYN0005086</x:v>
      </x:c>
      <x:c r="B5087" s="12" t="n">
        <x:v>43165</x:v>
      </x:c>
      <x:c r="C5087" s="18" t="n">
        <x:v>10388</x:v>
      </x:c>
      <x:c r="D5087" s="18" t="n">
        <x:v>44767</x:v>
      </x:c>
      <x:c r="E5087" s="18" t="n">
        <x:v>9.39</x:v>
      </x:c>
      <x:c r="F5087" s="18" t="n">
        <x:v>8.63</x:v>
      </x:c>
      <x:c r="G5087" t="n">
        <x:v>60</x:v>
      </x:c>
      <x:c r="H5087" t="str">
        <x:v>B</x:v>
      </x:c>
      <x:c r="I5087" t="str">
        <x:v>&lt;1 year</x:v>
      </x:c>
      <x:c r="J5087" t="str">
        <x:v>OWN</x:v>
      </x:c>
      <x:c r="K5087" t="str">
        <x:v>credit_card</x:v>
      </x:c>
      <x:c r="L5087" t="n">
        <x:v>0</x:v>
      </x:c>
      <x:c r="M5087" t="n">
        <x:v>0</x:v>
      </x:c>
      <x:c r="N5087" t="str">
        <x:v>Fully Paid</x:v>
      </x:c>
      <x:c r="O5087" t="str">
        <x:f>IF(D5087="","Unknown",IF(D5087&lt;25000,"&lt;$25k",IF(D5087&lt;50000,"$25k-$50k",IF(D5087&lt;75000,"$50k-$75k",IF(D5087&lt;100000,"$75k-$100k","$100k+")))))</x:f>
        <x:v>$25k-$50k</x:v>
      </x:c>
      <x:c r="P5087" t="str">
        <x:f>IF(E5087="","Unknown",IF(E5087&lt;10,"&lt;10",IF(E5087&lt;20,"10-&lt;20",IF(E5087&lt;25,"20-&lt;25",IF(E5087&lt;35,"25-&lt;35","35+")))))</x:f>
        <x:v>&lt;10</x:v>
      </x:c>
    </x:row>
    <x:row r="5088">
      <x:c r="A5088" t="str">
        <x:v>SYN0005087</x:v>
      </x:c>
      <x:c r="B5088" s="12" t="n">
        <x:v>41665</x:v>
      </x:c>
      <x:c r="C5088" s="18" t="n">
        <x:v>15406</x:v>
      </x:c>
      <x:c r="D5088" s="18" t="n">
        <x:v>26114</x:v>
      </x:c>
      <x:c r="E5088" s="18" t="n">
        <x:v>43.49</x:v>
      </x:c>
      <x:c r="F5088" s="18" t="n">
        <x:v>21.46</x:v>
      </x:c>
      <x:c r="G5088" t="n">
        <x:v>36</x:v>
      </x:c>
      <x:c r="H5088" t="str">
        <x:v>F</x:v>
      </x:c>
      <x:c r="I5088" t="str">
        <x:v>4-6 years</x:v>
      </x:c>
      <x:c r="J5088" t="str">
        <x:v>OWN</x:v>
      </x:c>
      <x:c r="K5088" t="str">
        <x:v>debt_consolidation</x:v>
      </x:c>
      <x:c r="L5088" t="n">
        <x:v>0</x:v>
      </x:c>
      <x:c r="M5088" t="n">
        <x:v>1</x:v>
      </x:c>
      <x:c r="N5088" t="str">
        <x:v>Charged Off</x:v>
      </x:c>
      <x:c r="O5088" t="str">
        <x:f>IF(D5088="","Unknown",IF(D5088&lt;25000,"&lt;$25k",IF(D5088&lt;50000,"$25k-$50k",IF(D5088&lt;75000,"$50k-$75k",IF(D5088&lt;100000,"$75k-$100k","$100k+")))))</x:f>
        <x:v>$25k-$50k</x:v>
      </x:c>
      <x:c r="P5088" t="str">
        <x:f>IF(E5088="","Unknown",IF(E5088&lt;10,"&lt;10",IF(E5088&lt;20,"10-&lt;20",IF(E5088&lt;25,"20-&lt;25",IF(E5088&lt;35,"25-&lt;35","35+")))))</x:f>
        <x:v>35+</x:v>
      </x:c>
    </x:row>
    <x:row r="5089">
      <x:c r="A5089" t="str">
        <x:v>SYN0005088</x:v>
      </x:c>
      <x:c r="B5089" s="12" t="n">
        <x:v>42205</x:v>
      </x:c>
      <x:c r="C5089" s="18" t="n">
        <x:v>17340</x:v>
      </x:c>
      <x:c r="D5089" s="18" t="n">
        <x:v>41043</x:v>
      </x:c>
      <x:c r="E5089" s="18" t="n">
        <x:v>34.37</x:v>
      </x:c>
      <x:c r="F5089" s="18" t="n">
        <x:v>24.87</x:v>
      </x:c>
      <x:c r="G5089" t="n">
        <x:v>36</x:v>
      </x:c>
      <x:c r="H5089" t="str">
        <x:v>G</x:v>
      </x:c>
      <x:c r="I5089" t="str">
        <x:v>4-6 years</x:v>
      </x:c>
      <x:c r="J5089" t="str">
        <x:v>RENT</x:v>
      </x:c>
      <x:c r="K5089" t="str">
        <x:v>credit_card</x:v>
      </x:c>
      <x:c r="L5089" t="n">
        <x:v>0</x:v>
      </x:c>
      <x:c r="M5089" t="n">
        <x:v>0</x:v>
      </x:c>
      <x:c r="N5089" t="str">
        <x:v>Fully Paid</x:v>
      </x:c>
      <x:c r="O5089" t="str">
        <x:f>IF(D5089="","Unknown",IF(D5089&lt;25000,"&lt;$25k",IF(D5089&lt;50000,"$25k-$50k",IF(D5089&lt;75000,"$50k-$75k",IF(D5089&lt;100000,"$75k-$100k","$100k+")))))</x:f>
        <x:v>$25k-$50k</x:v>
      </x:c>
      <x:c r="P5089" t="str">
        <x:f>IF(E5089="","Unknown",IF(E5089&lt;10,"&lt;10",IF(E5089&lt;20,"10-&lt;20",IF(E5089&lt;25,"20-&lt;25",IF(E5089&lt;35,"25-&lt;35","35+")))))</x:f>
        <x:v>25-&lt;35</x:v>
      </x:c>
    </x:row>
    <x:row r="5090">
      <x:c r="A5090" t="str">
        <x:v>SYN0005089</x:v>
      </x:c>
      <x:c r="B5090" s="12" t="n">
        <x:v>42685</x:v>
      </x:c>
      <x:c r="C5090" s="18" t="n">
        <x:v>15465</x:v>
      </x:c>
      <x:c r="D5090" s="18" t="n">
        <x:v>38175</x:v>
      </x:c>
      <x:c r="E5090" s="18" t="n">
        <x:v>10.86</x:v>
      </x:c>
      <x:c r="F5090" s="18" t="n">
        <x:v>8.01</x:v>
      </x:c>
      <x:c r="G5090" t="n">
        <x:v>36</x:v>
      </x:c>
      <x:c r="H5090" t="str">
        <x:v>B</x:v>
      </x:c>
      <x:c r="I5090" t="str">
        <x:v>4-6 years</x:v>
      </x:c>
      <x:c r="J5090" t="str">
        <x:v>OWN</x:v>
      </x:c>
      <x:c r="K5090" t="str">
        <x:v>debt_consolidation</x:v>
      </x:c>
      <x:c r="L5090" t="n">
        <x:v>0</x:v>
      </x:c>
      <x:c r="M5090" t="n">
        <x:v>0</x:v>
      </x:c>
      <x:c r="N5090" t="str">
        <x:v>Fully Paid</x:v>
      </x:c>
      <x:c r="O5090" t="str">
        <x:f>IF(D5090="","Unknown",IF(D5090&lt;25000,"&lt;$25k",IF(D5090&lt;50000,"$25k-$50k",IF(D5090&lt;75000,"$50k-$75k",IF(D5090&lt;100000,"$75k-$100k","$100k+")))))</x:f>
        <x:v>$25k-$50k</x:v>
      </x:c>
      <x:c r="P5090" t="str">
        <x:f>IF(E5090="","Unknown",IF(E5090&lt;10,"&lt;10",IF(E5090&lt;20,"10-&lt;20",IF(E5090&lt;25,"20-&lt;25",IF(E5090&lt;35,"25-&lt;35","35+")))))</x:f>
        <x:v>10-&lt;20</x:v>
      </x:c>
    </x:row>
    <x:row r="5091">
      <x:c r="A5091" t="str">
        <x:v>SYN0005090</x:v>
      </x:c>
      <x:c r="B5091" s="12" t="n">
        <x:v>42025</x:v>
      </x:c>
      <x:c r="C5091" s="18" t="n">
        <x:v>8691</x:v>
      </x:c>
      <x:c r="D5091" s="18" t="n">
        <x:v>35379</x:v>
      </x:c>
      <x:c r="E5091" s="18" t="n">
        <x:v>6.97</x:v>
      </x:c>
      <x:c r="F5091" s="18" t="n">
        <x:v>13.6</x:v>
      </x:c>
      <x:c r="G5091" t="n">
        <x:v>36</x:v>
      </x:c>
      <x:c r="H5091" t="str">
        <x:v>C</x:v>
      </x:c>
      <x:c r="I5091" t="str">
        <x:v>1-3 years</x:v>
      </x:c>
      <x:c r="J5091" t="str">
        <x:v>MORTGAGE</x:v>
      </x:c>
      <x:c r="K5091" t="str">
        <x:v>debt_consolidation</x:v>
      </x:c>
      <x:c r="L5091" t="n">
        <x:v>0</x:v>
      </x:c>
      <x:c r="M5091" t="n">
        <x:v>0</x:v>
      </x:c>
      <x:c r="N5091" t="str">
        <x:v>Fully Paid</x:v>
      </x:c>
      <x:c r="O5091" t="str">
        <x:f>IF(D5091="","Unknown",IF(D5091&lt;25000,"&lt;$25k",IF(D5091&lt;50000,"$25k-$50k",IF(D5091&lt;75000,"$50k-$75k",IF(D5091&lt;100000,"$75k-$100k","$100k+")))))</x:f>
        <x:v>$25k-$50k</x:v>
      </x:c>
      <x:c r="P5091" t="str">
        <x:f>IF(E5091="","Unknown",IF(E5091&lt;10,"&lt;10",IF(E5091&lt;20,"10-&lt;20",IF(E5091&lt;25,"20-&lt;25",IF(E5091&lt;35,"25-&lt;35","35+")))))</x:f>
        <x:v>&lt;10</x:v>
      </x:c>
    </x:row>
    <x:row r="5092">
      <x:c r="A5092" t="str">
        <x:v>SYN0005091</x:v>
      </x:c>
      <x:c r="B5092" s="12" t="n">
        <x:v>41935</x:v>
      </x:c>
      <x:c r="C5092" s="18" t="n">
        <x:v>20081</x:v>
      </x:c>
      <x:c r="D5092" s="18" t="n">
        <x:v>34832</x:v>
      </x:c>
      <x:c r="E5092" s="18" t="n">
        <x:v>17.57</x:v>
      </x:c>
      <x:c r="F5092" s="18" t="n">
        <x:v>11.35</x:v>
      </x:c>
      <x:c r="G5092" t="n">
        <x:v>36</x:v>
      </x:c>
      <x:c r="H5092" t="str">
        <x:v>B</x:v>
      </x:c>
      <x:c r="I5092" t="str">
        <x:v>10+ years</x:v>
      </x:c>
      <x:c r="J5092" t="str">
        <x:v>RENT</x:v>
      </x:c>
      <x:c r="K5092" t="str">
        <x:v>debt_consolidation</x:v>
      </x:c>
      <x:c r="L5092" t="n">
        <x:v>2</x:v>
      </x:c>
      <x:c r="M5092" t="n">
        <x:v>0</x:v>
      </x:c>
      <x:c r="N5092" t="str">
        <x:v>Fully Paid</x:v>
      </x:c>
      <x:c r="O5092" t="str">
        <x:f>IF(D5092="","Unknown",IF(D5092&lt;25000,"&lt;$25k",IF(D5092&lt;50000,"$25k-$50k",IF(D5092&lt;75000,"$50k-$75k",IF(D5092&lt;100000,"$75k-$100k","$100k+")))))</x:f>
        <x:v>$25k-$50k</x:v>
      </x:c>
      <x:c r="P5092" t="str">
        <x:f>IF(E5092="","Unknown",IF(E5092&lt;10,"&lt;10",IF(E5092&lt;20,"10-&lt;20",IF(E5092&lt;25,"20-&lt;25",IF(E5092&lt;35,"25-&lt;35","35+")))))</x:f>
        <x:v>10-&lt;20</x:v>
      </x:c>
    </x:row>
    <x:row r="5093">
      <x:c r="A5093" t="str">
        <x:v>SYN0005092</x:v>
      </x:c>
      <x:c r="B5093" s="12" t="n">
        <x:v>41905</x:v>
      </x:c>
      <x:c r="C5093" s="18" t="n">
        <x:v>9863</x:v>
      </x:c>
      <x:c r="D5093" s="18" t="n">
        <x:v>37675</x:v>
      </x:c>
      <x:c r="E5093" s="18" t="n">
        <x:v>17.11</x:v>
      </x:c>
      <x:c r="F5093" s="18" t="n">
        <x:v>8.48</x:v>
      </x:c>
      <x:c r="G5093" t="n">
        <x:v>60</x:v>
      </x:c>
      <x:c r="H5093" t="str">
        <x:v>B</x:v>
      </x:c>
      <x:c r="I5093" t="str">
        <x:v>10+ years</x:v>
      </x:c>
      <x:c r="J5093" t="str">
        <x:v>RENT</x:v>
      </x:c>
      <x:c r="K5093" t="str">
        <x:v>credit_card</x:v>
      </x:c>
      <x:c r="L5093" t="n">
        <x:v>0</x:v>
      </x:c>
      <x:c r="M5093" t="n">
        <x:v>0</x:v>
      </x:c>
      <x:c r="N5093" t="str">
        <x:v>Fully Paid</x:v>
      </x:c>
      <x:c r="O5093" t="str">
        <x:f>IF(D5093="","Unknown",IF(D5093&lt;25000,"&lt;$25k",IF(D5093&lt;50000,"$25k-$50k",IF(D5093&lt;75000,"$50k-$75k",IF(D5093&lt;100000,"$75k-$100k","$100k+")))))</x:f>
        <x:v>$25k-$50k</x:v>
      </x:c>
      <x:c r="P5093" t="str">
        <x:f>IF(E5093="","Unknown",IF(E5093&lt;10,"&lt;10",IF(E5093&lt;20,"10-&lt;20",IF(E5093&lt;25,"20-&lt;25",IF(E5093&lt;35,"25-&lt;35","35+")))))</x:f>
        <x:v>10-&lt;20</x:v>
      </x:c>
    </x:row>
    <x:row r="5094">
      <x:c r="A5094" t="str">
        <x:v>SYN0005093</x:v>
      </x:c>
      <x:c r="B5094" s="12" t="n">
        <x:v>41335</x:v>
      </x:c>
      <x:c r="C5094" s="18" t="n">
        <x:v>22650</x:v>
      </x:c>
      <x:c r="D5094" s="18" t="n">
        <x:v>145785</x:v>
      </x:c>
      <x:c r="E5094" s="18" t="n">
        <x:v>4.48</x:v>
      </x:c>
      <x:c r="F5094" s="18" t="n">
        <x:v>19.47</x:v>
      </x:c>
      <x:c r="G5094" t="n">
        <x:v>60</x:v>
      </x:c>
      <x:c r="H5094" t="str">
        <x:v>E</x:v>
      </x:c>
      <x:c r="I5094" t="str">
        <x:v>4-6 years</x:v>
      </x:c>
      <x:c r="J5094" t="str">
        <x:v>RENT</x:v>
      </x:c>
      <x:c r="K5094" t="str">
        <x:v>home_improvement</x:v>
      </x:c>
      <x:c r="L5094" t="n">
        <x:v>0</x:v>
      </x:c>
      <x:c r="M5094" t="n">
        <x:v>0</x:v>
      </x:c>
      <x:c r="N5094" t="str">
        <x:v>Fully Paid</x:v>
      </x:c>
      <x:c r="O5094" t="str">
        <x:f>IF(D5094="","Unknown",IF(D5094&lt;25000,"&lt;$25k",IF(D5094&lt;50000,"$25k-$50k",IF(D5094&lt;75000,"$50k-$75k",IF(D5094&lt;100000,"$75k-$100k","$100k+")))))</x:f>
        <x:v>$100k+</x:v>
      </x:c>
      <x:c r="P5094" t="str">
        <x:f>IF(E5094="","Unknown",IF(E5094&lt;10,"&lt;10",IF(E5094&lt;20,"10-&lt;20",IF(E5094&lt;25,"20-&lt;25",IF(E5094&lt;35,"25-&lt;35","35+")))))</x:f>
        <x:v>&lt;10</x:v>
      </x:c>
    </x:row>
    <x:row r="5095">
      <x:c r="A5095" t="str">
        <x:v>SYN0005094</x:v>
      </x:c>
      <x:c r="B5095" s="12" t="n">
        <x:v>41485</x:v>
      </x:c>
      <x:c r="C5095" s="18" t="n">
        <x:v>12303</x:v>
      </x:c>
      <x:c r="D5095" s="18" t="n">
        <x:v>78911</x:v>
      </x:c>
      <x:c r="E5095" s="18" t="n">
        <x:v>0</x:v>
      </x:c>
      <x:c r="F5095" s="18" t="n">
        <x:v>8.52</x:v>
      </x:c>
      <x:c r="G5095" t="n">
        <x:v>36</x:v>
      </x:c>
      <x:c r="H5095" t="str">
        <x:v>B</x:v>
      </x:c>
      <x:c r="I5095" t="str">
        <x:v>7-9 years</x:v>
      </x:c>
      <x:c r="J5095" t="str">
        <x:v>RENT</x:v>
      </x:c>
      <x:c r="K5095" t="str">
        <x:v>medical</x:v>
      </x:c>
      <x:c r="L5095" t="n">
        <x:v>0</x:v>
      </x:c>
      <x:c r="M5095" t="n">
        <x:v>0</x:v>
      </x:c>
      <x:c r="N5095" t="str">
        <x:v>Fully Paid</x:v>
      </x:c>
      <x:c r="O5095" t="str">
        <x:f>IF(D5095="","Unknown",IF(D5095&lt;25000,"&lt;$25k",IF(D5095&lt;50000,"$25k-$50k",IF(D5095&lt;75000,"$50k-$75k",IF(D5095&lt;100000,"$75k-$100k","$100k+")))))</x:f>
        <x:v>$75k-$100k</x:v>
      </x:c>
      <x:c r="P5095" t="str">
        <x:f>IF(E5095="","Unknown",IF(E5095&lt;10,"&lt;10",IF(E5095&lt;20,"10-&lt;20",IF(E5095&lt;25,"20-&lt;25",IF(E5095&lt;35,"25-&lt;35","35+")))))</x:f>
        <x:v>Unknown</x:v>
      </x:c>
    </x:row>
    <x:row r="5096">
      <x:c r="A5096" t="str">
        <x:v>SYN0005095</x:v>
      </x:c>
      <x:c r="B5096" s="12" t="n">
        <x:v>41335</x:v>
      </x:c>
      <x:c r="C5096" s="18" t="n">
        <x:v>8942</x:v>
      </x:c>
      <x:c r="D5096" s="18" t="n">
        <x:v>35890</x:v>
      </x:c>
      <x:c r="E5096" s="18" t="n">
        <x:v>27.99</x:v>
      </x:c>
      <x:c r="F5096" s="18" t="n">
        <x:v>17.57</x:v>
      </x:c>
      <x:c r="G5096" t="n">
        <x:v>36</x:v>
      </x:c>
      <x:c r="H5096" t="str">
        <x:v>D</x:v>
      </x:c>
      <x:c r="I5096" t="str">
        <x:v>10+ years</x:v>
      </x:c>
      <x:c r="J5096" t="str">
        <x:v>OTHER</x:v>
      </x:c>
      <x:c r="K5096" t="str">
        <x:v>other</x:v>
      </x:c>
      <x:c r="L5096" t="n">
        <x:v>0</x:v>
      </x:c>
      <x:c r="M5096" t="n">
        <x:v>0</x:v>
      </x:c>
      <x:c r="N5096" t="str">
        <x:v>Fully Paid</x:v>
      </x:c>
      <x:c r="O5096" t="str">
        <x:f>IF(D5096="","Unknown",IF(D5096&lt;25000,"&lt;$25k",IF(D5096&lt;50000,"$25k-$50k",IF(D5096&lt;75000,"$50k-$75k",IF(D5096&lt;100000,"$75k-$100k","$100k+")))))</x:f>
        <x:v>$25k-$50k</x:v>
      </x:c>
      <x:c r="P5096" t="str">
        <x:f>IF(E5096="","Unknown",IF(E5096&lt;10,"&lt;10",IF(E5096&lt;20,"10-&lt;20",IF(E5096&lt;25,"20-&lt;25",IF(E5096&lt;35,"25-&lt;35","35+")))))</x:f>
        <x:v>25-&lt;35</x:v>
      </x:c>
    </x:row>
    <x:row r="5097">
      <x:c r="A5097" t="str">
        <x:v>SYN0005096</x:v>
      </x:c>
      <x:c r="B5097" s="12" t="n">
        <x:v>41305</x:v>
      </x:c>
      <x:c r="C5097" s="18" t="n">
        <x:v>11309</x:v>
      </x:c>
      <x:c r="D5097" s="18" t="n">
        <x:v>78836</x:v>
      </x:c>
      <x:c r="E5097" s="18" t="n">
        <x:v>10.93</x:v>
      </x:c>
      <x:c r="F5097" s="18" t="n">
        <x:v>11.53</x:v>
      </x:c>
      <x:c r="G5097" t="n">
        <x:v>36</x:v>
      </x:c>
      <x:c r="H5097" t="str">
        <x:v>C</x:v>
      </x:c>
      <x:c r="I5097" t="str">
        <x:v>7-9 years</x:v>
      </x:c>
      <x:c r="J5097" t="str">
        <x:v>MORTGAGE</x:v>
      </x:c>
      <x:c r="K5097" t="str">
        <x:v>major_purchase</x:v>
      </x:c>
      <x:c r="L5097" t="n">
        <x:v>0</x:v>
      </x:c>
      <x:c r="M5097" t="n">
        <x:v>0</x:v>
      </x:c>
      <x:c r="N5097" t="str">
        <x:v>Fully Paid</x:v>
      </x:c>
      <x:c r="O5097" t="str">
        <x:f>IF(D5097="","Unknown",IF(D5097&lt;25000,"&lt;$25k",IF(D5097&lt;50000,"$25k-$50k",IF(D5097&lt;75000,"$50k-$75k",IF(D5097&lt;100000,"$75k-$100k","$100k+")))))</x:f>
        <x:v>$75k-$100k</x:v>
      </x:c>
      <x:c r="P5097" t="str">
        <x:f>IF(E5097="","Unknown",IF(E5097&lt;10,"&lt;10",IF(E5097&lt;20,"10-&lt;20",IF(E5097&lt;25,"20-&lt;25",IF(E5097&lt;35,"25-&lt;35","35+")))))</x:f>
        <x:v>10-&lt;20</x:v>
      </x:c>
    </x:row>
    <x:row r="5098">
      <x:c r="A5098" t="str">
        <x:v>SYN0005097</x:v>
      </x:c>
      <x:c r="B5098" s="12" t="n">
        <x:v>42295</x:v>
      </x:c>
      <x:c r="C5098" s="18" t="n">
        <x:v>10609</x:v>
      </x:c>
      <x:c r="D5098" s="18" t="n">
        <x:v>58470</x:v>
      </x:c>
      <x:c r="E5098" s="18" t="n">
        <x:v>31.72</x:v>
      </x:c>
      <x:c r="F5098" s="18" t="n">
        <x:v>6.24</x:v>
      </x:c>
      <x:c r="G5098" t="n">
        <x:v>36</x:v>
      </x:c>
      <x:c r="H5098" t="str">
        <x:v>B</x:v>
      </x:c>
      <x:c r="I5098" t="str">
        <x:v>1-3 years</x:v>
      </x:c>
      <x:c r="J5098" t="str">
        <x:v>MORTGAGE</x:v>
      </x:c>
      <x:c r="K5098" t="str">
        <x:v>debt_consolidation</x:v>
      </x:c>
      <x:c r="L5098" t="n">
        <x:v>0</x:v>
      </x:c>
      <x:c r="M5098" t="n">
        <x:v>0</x:v>
      </x:c>
      <x:c r="N5098" t="str">
        <x:v>Fully Paid</x:v>
      </x:c>
      <x:c r="O5098" t="str">
        <x:f>IF(D5098="","Unknown",IF(D5098&lt;25000,"&lt;$25k",IF(D5098&lt;50000,"$25k-$50k",IF(D5098&lt;75000,"$50k-$75k",IF(D5098&lt;100000,"$75k-$100k","$100k+")))))</x:f>
        <x:v>$50k-$75k</x:v>
      </x:c>
      <x:c r="P5098" t="str">
        <x:f>IF(E5098="","Unknown",IF(E5098&lt;10,"&lt;10",IF(E5098&lt;20,"10-&lt;20",IF(E5098&lt;25,"20-&lt;25",IF(E5098&lt;35,"25-&lt;35","35+")))))</x:f>
        <x:v>25-&lt;35</x:v>
      </x:c>
    </x:row>
    <x:row r="5099">
      <x:c r="A5099" t="str">
        <x:v>SYN0005098</x:v>
      </x:c>
      <x:c r="B5099" s="12" t="n">
        <x:v>43225</x:v>
      </x:c>
      <x:c r="C5099" s="18" t="n">
        <x:v>9903</x:v>
      </x:c>
      <x:c r="D5099" s="18" t="n">
        <x:v>139684</x:v>
      </x:c>
      <x:c r="E5099" s="18" t="n">
        <x:v>20.57</x:v>
      </x:c>
      <x:c r="F5099" s="18" t="n">
        <x:v>14.16</x:v>
      </x:c>
      <x:c r="G5099" t="n">
        <x:v>36</x:v>
      </x:c>
      <x:c r="H5099" t="str">
        <x:v>D</x:v>
      </x:c>
      <x:c r="I5099" t="str">
        <x:v>1-3 years</x:v>
      </x:c>
      <x:c r="J5099" t="str">
        <x:v>RENT</x:v>
      </x:c>
      <x:c r="K5099" t="str">
        <x:v>home_improvement</x:v>
      </x:c>
      <x:c r="L5099" t="n">
        <x:v>1</x:v>
      </x:c>
      <x:c r="M5099" t="n">
        <x:v>0</x:v>
      </x:c>
      <x:c r="N5099" t="str">
        <x:v>Fully Paid</x:v>
      </x:c>
      <x:c r="O5099" t="str">
        <x:f>IF(D5099="","Unknown",IF(D5099&lt;25000,"&lt;$25k",IF(D5099&lt;50000,"$25k-$50k",IF(D5099&lt;75000,"$50k-$75k",IF(D5099&lt;100000,"$75k-$100k","$100k+")))))</x:f>
        <x:v>$100k+</x:v>
      </x:c>
      <x:c r="P5099" t="str">
        <x:f>IF(E5099="","Unknown",IF(E5099&lt;10,"&lt;10",IF(E5099&lt;20,"10-&lt;20",IF(E5099&lt;25,"20-&lt;25",IF(E5099&lt;35,"25-&lt;35","35+")))))</x:f>
        <x:v>20-&lt;25</x:v>
      </x:c>
    </x:row>
    <x:row r="5100">
      <x:c r="A5100" t="str">
        <x:v>SYN0005099</x:v>
      </x:c>
      <x:c r="B5100" s="12" t="n">
        <x:v>41515</x:v>
      </x:c>
      <x:c r="C5100" s="18" t="n">
        <x:v>9183</x:v>
      </x:c>
      <x:c r="D5100" s="18" t="n">
        <x:v>108428</x:v>
      </x:c>
      <x:c r="E5100" s="18" t="n">
        <x:v>5.95</x:v>
      </x:c>
      <x:c r="F5100" s="18" t="n">
        <x:v>5.06</x:v>
      </x:c>
      <x:c r="G5100" t="n">
        <x:v>36</x:v>
      </x:c>
      <x:c r="H5100" t="str">
        <x:v>A</x:v>
      </x:c>
      <x:c r="I5100" t="str">
        <x:v>4-6 years</x:v>
      </x:c>
      <x:c r="J5100" t="str">
        <x:v>RENT</x:v>
      </x:c>
      <x:c r="K5100" t="str">
        <x:v>debt_consolidation</x:v>
      </x:c>
      <x:c r="L5100" t="n">
        <x:v>0</x:v>
      </x:c>
      <x:c r="M5100" t="n">
        <x:v>0</x:v>
      </x:c>
      <x:c r="N5100" t="str">
        <x:v>Fully Paid</x:v>
      </x:c>
      <x:c r="O5100" t="str">
        <x:f>IF(D5100="","Unknown",IF(D5100&lt;25000,"&lt;$25k",IF(D5100&lt;50000,"$25k-$50k",IF(D5100&lt;75000,"$50k-$75k",IF(D5100&lt;100000,"$75k-$100k","$100k+")))))</x:f>
        <x:v>$100k+</x:v>
      </x:c>
      <x:c r="P5100" t="str">
        <x:f>IF(E5100="","Unknown",IF(E5100&lt;10,"&lt;10",IF(E5100&lt;20,"10-&lt;20",IF(E5100&lt;25,"20-&lt;25",IF(E5100&lt;35,"25-&lt;35","35+")))))</x:f>
        <x:v>&lt;10</x:v>
      </x:c>
    </x:row>
    <x:row r="5101">
      <x:c r="A5101" t="str">
        <x:v>SYN0005100</x:v>
      </x:c>
      <x:c r="B5101" s="12" t="n">
        <x:v>42175</x:v>
      </x:c>
      <x:c r="C5101" s="18" t="n">
        <x:v>14080</x:v>
      </x:c>
      <x:c r="D5101" s="18" t="n">
        <x:v>35830</x:v>
      </x:c>
      <x:c r="E5101" s="18" t="n">
        <x:v>13.05</x:v>
      </x:c>
      <x:c r="F5101" s="18" t="n">
        <x:v>8.34</x:v>
      </x:c>
      <x:c r="G5101" t="n">
        <x:v>36</x:v>
      </x:c>
      <x:c r="H5101" t="str">
        <x:v>B</x:v>
      </x:c>
      <x:c r="I5101" t="str">
        <x:v>7-9 years</x:v>
      </x:c>
      <x:c r="J5101" t="str">
        <x:v>RENT</x:v>
      </x:c>
      <x:c r="K5101" t="str">
        <x:v>credit_card</x:v>
      </x:c>
      <x:c r="L5101" t="n">
        <x:v>0</x:v>
      </x:c>
      <x:c r="M5101" t="n">
        <x:v>0</x:v>
      </x:c>
      <x:c r="N5101" t="str">
        <x:v>Fully Paid</x:v>
      </x:c>
      <x:c r="O5101" t="str">
        <x:f>IF(D5101="","Unknown",IF(D5101&lt;25000,"&lt;$25k",IF(D5101&lt;50000,"$25k-$50k",IF(D5101&lt;75000,"$50k-$75k",IF(D5101&lt;100000,"$75k-$100k","$100k+")))))</x:f>
        <x:v>$25k-$50k</x:v>
      </x:c>
      <x:c r="P5101" t="str">
        <x:f>IF(E5101="","Unknown",IF(E5101&lt;10,"&lt;10",IF(E5101&lt;20,"10-&lt;20",IF(E5101&lt;25,"20-&lt;25",IF(E5101&lt;35,"25-&lt;35","35+")))))</x:f>
        <x:v>10-&lt;20</x:v>
      </x:c>
    </x:row>
    <x:row r="5102">
      <x:c r="A5102" t="str">
        <x:v>SYN0005101</x:v>
      </x:c>
      <x:c r="B5102" s="12" t="n">
        <x:v>41305</x:v>
      </x:c>
      <x:c r="C5102" s="18" t="n">
        <x:v>12835</x:v>
      </x:c>
      <x:c r="D5102" s="18" t="n">
        <x:v>41916</x:v>
      </x:c>
      <x:c r="E5102" s="18" t="n">
        <x:v>22.61</x:v>
      </x:c>
      <x:c r="F5102" s="18" t="n">
        <x:v>16.78</x:v>
      </x:c>
      <x:c r="G5102" t="n">
        <x:v>36</x:v>
      </x:c>
      <x:c r="H5102" t="str">
        <x:v>D</x:v>
      </x:c>
      <x:c r="I5102" t="str">
        <x:v>10+ years</x:v>
      </x:c>
      <x:c r="J5102" t="str">
        <x:v>RENT</x:v>
      </x:c>
      <x:c r="K5102" t="str">
        <x:v>debt_consolidation</x:v>
      </x:c>
      <x:c r="L5102" t="n">
        <x:v>0</x:v>
      </x:c>
      <x:c r="M5102" t="n">
        <x:v>0</x:v>
      </x:c>
      <x:c r="N5102" t="str">
        <x:v>Fully Paid</x:v>
      </x:c>
      <x:c r="O5102" t="str">
        <x:f>IF(D5102="","Unknown",IF(D5102&lt;25000,"&lt;$25k",IF(D5102&lt;50000,"$25k-$50k",IF(D5102&lt;75000,"$50k-$75k",IF(D5102&lt;100000,"$75k-$100k","$100k+")))))</x:f>
        <x:v>$25k-$50k</x:v>
      </x:c>
      <x:c r="P5102" t="str">
        <x:f>IF(E5102="","Unknown",IF(E5102&lt;10,"&lt;10",IF(E5102&lt;20,"10-&lt;20",IF(E5102&lt;25,"20-&lt;25",IF(E5102&lt;35,"25-&lt;35","35+")))))</x:f>
        <x:v>20-&lt;25</x:v>
      </x:c>
    </x:row>
    <x:row r="5103">
      <x:c r="A5103" t="str">
        <x:v>SYN0005102</x:v>
      </x:c>
      <x:c r="B5103" s="12" t="n">
        <x:v>41755</x:v>
      </x:c>
      <x:c r="C5103" s="18" t="n">
        <x:v>8402</x:v>
      </x:c>
      <x:c r="D5103" s="18" t="n">
        <x:v>32663</x:v>
      </x:c>
      <x:c r="E5103" s="18" t="n">
        <x:v>26.23</x:v>
      </x:c>
      <x:c r="F5103" s="18" t="n">
        <x:v>9.39</x:v>
      </x:c>
      <x:c r="G5103" t="n">
        <x:v>36</x:v>
      </x:c>
      <x:c r="H5103" t="str">
        <x:v>B</x:v>
      </x:c>
      <x:c r="I5103" t="str">
        <x:v>1-3 years</x:v>
      </x:c>
      <x:c r="J5103" t="str">
        <x:v>OTHER</x:v>
      </x:c>
      <x:c r="K5103" t="str">
        <x:v>debt_consolidation</x:v>
      </x:c>
      <x:c r="L5103" t="n">
        <x:v>1</x:v>
      </x:c>
      <x:c r="M5103" t="n">
        <x:v>0</x:v>
      </x:c>
      <x:c r="N5103" t="str">
        <x:v>Fully Paid</x:v>
      </x:c>
      <x:c r="O5103" t="str">
        <x:f>IF(D5103="","Unknown",IF(D5103&lt;25000,"&lt;$25k",IF(D5103&lt;50000,"$25k-$50k",IF(D5103&lt;75000,"$50k-$75k",IF(D5103&lt;100000,"$75k-$100k","$100k+")))))</x:f>
        <x:v>$25k-$50k</x:v>
      </x:c>
      <x:c r="P5103" t="str">
        <x:f>IF(E5103="","Unknown",IF(E5103&lt;10,"&lt;10",IF(E5103&lt;20,"10-&lt;20",IF(E5103&lt;25,"20-&lt;25",IF(E5103&lt;35,"25-&lt;35","35+")))))</x:f>
        <x:v>25-&lt;35</x:v>
      </x:c>
    </x:row>
    <x:row r="5104">
      <x:c r="A5104" t="str">
        <x:v>SYN0005103</x:v>
      </x:c>
      <x:c r="B5104" s="12" t="n">
        <x:v>42475</x:v>
      </x:c>
      <x:c r="C5104" s="18" t="n">
        <x:v>10854</x:v>
      </x:c>
      <x:c r="D5104" s="18" t="n">
        <x:v>73298</x:v>
      </x:c>
      <x:c r="E5104" s="18" t="n">
        <x:v>39.48</x:v>
      </x:c>
      <x:c r="F5104" s="18" t="n">
        <x:v>25.38</x:v>
      </x:c>
      <x:c r="G5104" t="n">
        <x:v>60</x:v>
      </x:c>
      <x:c r="H5104" t="str">
        <x:v>F</x:v>
      </x:c>
      <x:c r="I5104" t="str">
        <x:v>&lt;1 year</x:v>
      </x:c>
      <x:c r="J5104" t="str">
        <x:v>RENT</x:v>
      </x:c>
      <x:c r="K5104" t="str">
        <x:v>debt_consolidation</x:v>
      </x:c>
      <x:c r="L5104" t="n">
        <x:v>1</x:v>
      </x:c>
      <x:c r="M5104" t="n">
        <x:v>0</x:v>
      </x:c>
      <x:c r="N5104" t="str">
        <x:v>Fully Paid</x:v>
      </x:c>
      <x:c r="O5104" t="str">
        <x:f>IF(D5104="","Unknown",IF(D5104&lt;25000,"&lt;$25k",IF(D5104&lt;50000,"$25k-$50k",IF(D5104&lt;75000,"$50k-$75k",IF(D5104&lt;100000,"$75k-$100k","$100k+")))))</x:f>
        <x:v>$50k-$75k</x:v>
      </x:c>
      <x:c r="P5104" t="str">
        <x:f>IF(E5104="","Unknown",IF(E5104&lt;10,"&lt;10",IF(E5104&lt;20,"10-&lt;20",IF(E5104&lt;25,"20-&lt;25",IF(E5104&lt;35,"25-&lt;35","35+")))))</x:f>
        <x:v>35+</x:v>
      </x:c>
    </x:row>
    <x:row r="5105">
      <x:c r="A5105" t="str">
        <x:v>SYN0005104</x:v>
      </x:c>
      <x:c r="B5105" s="12" t="n">
        <x:v>42865</x:v>
      </x:c>
      <x:c r="C5105" s="18" t="n">
        <x:v>19189</x:v>
      </x:c>
      <x:c r="D5105" s="18" t="n">
        <x:v>37371</x:v>
      </x:c>
      <x:c r="E5105" s="18" t="n">
        <x:v>19.14</x:v>
      </x:c>
      <x:c r="F5105" s="18" t="n">
        <x:v>27.87</x:v>
      </x:c>
      <x:c r="G5105" t="n">
        <x:v>36</x:v>
      </x:c>
      <x:c r="H5105" t="str">
        <x:v>G</x:v>
      </x:c>
      <x:c r="I5105" t="str">
        <x:v>10+ years</x:v>
      </x:c>
      <x:c r="J5105" t="str">
        <x:v>OWN</x:v>
      </x:c>
      <x:c r="K5105" t="str">
        <x:v>debt_consolidation</x:v>
      </x:c>
      <x:c r="L5105" t="n">
        <x:v>0</x:v>
      </x:c>
      <x:c r="M5105" t="n">
        <x:v>1</x:v>
      </x:c>
      <x:c r="N5105" t="str">
        <x:v>Charged Off</x:v>
      </x:c>
      <x:c r="O5105" t="str">
        <x:f>IF(D5105="","Unknown",IF(D5105&lt;25000,"&lt;$25k",IF(D5105&lt;50000,"$25k-$50k",IF(D5105&lt;75000,"$50k-$75k",IF(D5105&lt;100000,"$75k-$100k","$100k+")))))</x:f>
        <x:v>$25k-$50k</x:v>
      </x:c>
      <x:c r="P5105" t="str">
        <x:f>IF(E5105="","Unknown",IF(E5105&lt;10,"&lt;10",IF(E5105&lt;20,"10-&lt;20",IF(E5105&lt;25,"20-&lt;25",IF(E5105&lt;35,"25-&lt;35","35+")))))</x:f>
        <x:v>10-&lt;20</x:v>
      </x:c>
    </x:row>
    <x:row r="5106">
      <x:c r="A5106" t="str">
        <x:v>SYN0005105</x:v>
      </x:c>
      <x:c r="B5106" s="12" t="n">
        <x:v>43315</x:v>
      </x:c>
      <x:c r="C5106" s="18" t="n">
        <x:v>40000</x:v>
      </x:c>
      <x:c r="D5106" s="18" t="n">
        <x:v>126023</x:v>
      </x:c>
      <x:c r="E5106" s="18" t="n">
        <x:v>12.61</x:v>
      </x:c>
      <x:c r="F5106" s="18" t="n">
        <x:v>5.59</x:v>
      </x:c>
      <x:c r="G5106" t="n">
        <x:v>36</x:v>
      </x:c>
      <x:c r="H5106" t="str">
        <x:v>A</x:v>
      </x:c>
      <x:c r="I5106" t="str">
        <x:v>10+ years</x:v>
      </x:c>
      <x:c r="J5106" t="str">
        <x:v>MORTGAGE</x:v>
      </x:c>
      <x:c r="K5106" t="str">
        <x:v>debt_consolidation</x:v>
      </x:c>
      <x:c r="L5106" t="n">
        <x:v>0</x:v>
      </x:c>
      <x:c r="M5106" t="n">
        <x:v>0</x:v>
      </x:c>
      <x:c r="N5106" t="str">
        <x:v>Fully Paid</x:v>
      </x:c>
      <x:c r="O5106" t="str">
        <x:f>IF(D5106="","Unknown",IF(D5106&lt;25000,"&lt;$25k",IF(D5106&lt;50000,"$25k-$50k",IF(D5106&lt;75000,"$50k-$75k",IF(D5106&lt;100000,"$75k-$100k","$100k+")))))</x:f>
        <x:v>$100k+</x:v>
      </x:c>
      <x:c r="P5106" t="str">
        <x:f>IF(E5106="","Unknown",IF(E5106&lt;10,"&lt;10",IF(E5106&lt;20,"10-&lt;20",IF(E5106&lt;25,"20-&lt;25",IF(E5106&lt;35,"25-&lt;35","35+")))))</x:f>
        <x:v>10-&lt;20</x:v>
      </x:c>
    </x:row>
    <x:row r="5107">
      <x:c r="A5107" t="str">
        <x:v>SYN0005106</x:v>
      </x:c>
      <x:c r="B5107" s="12" t="n">
        <x:v>41365</x:v>
      </x:c>
      <x:c r="C5107" s="18" t="n">
        <x:v>12326</x:v>
      </x:c>
      <x:c r="D5107" s="18" t="n">
        <x:v>30918</x:v>
      </x:c>
      <x:c r="E5107" s="18" t="n">
        <x:v>32.31</x:v>
      </x:c>
      <x:c r="F5107" s="18" t="n">
        <x:v>25.81</x:v>
      </x:c>
      <x:c r="G5107" t="n">
        <x:v>36</x:v>
      </x:c>
      <x:c r="H5107" t="str">
        <x:v>G</x:v>
      </x:c>
      <x:c r="I5107" t="str">
        <x:v>10+ years</x:v>
      </x:c>
      <x:c r="J5107" t="str">
        <x:v>RENT</x:v>
      </x:c>
      <x:c r="K5107" t="str">
        <x:v>debt_consolidation</x:v>
      </x:c>
      <x:c r="L5107" t="n">
        <x:v>1</x:v>
      </x:c>
      <x:c r="M5107" t="n">
        <x:v>1</x:v>
      </x:c>
      <x:c r="N5107" t="str">
        <x:v>Charged Off</x:v>
      </x:c>
      <x:c r="O5107" t="str">
        <x:f>IF(D5107="","Unknown",IF(D5107&lt;25000,"&lt;$25k",IF(D5107&lt;50000,"$25k-$50k",IF(D5107&lt;75000,"$50k-$75k",IF(D5107&lt;100000,"$75k-$100k","$100k+")))))</x:f>
        <x:v>$25k-$50k</x:v>
      </x:c>
      <x:c r="P5107" t="str">
        <x:f>IF(E5107="","Unknown",IF(E5107&lt;10,"&lt;10",IF(E5107&lt;20,"10-&lt;20",IF(E5107&lt;25,"20-&lt;25",IF(E5107&lt;35,"25-&lt;35","35+")))))</x:f>
        <x:v>25-&lt;35</x:v>
      </x:c>
    </x:row>
    <x:row r="5108">
      <x:c r="A5108" t="str">
        <x:v>SYN0005107</x:v>
      </x:c>
      <x:c r="B5108" s="12" t="n">
        <x:v>42055</x:v>
      </x:c>
      <x:c r="C5108" s="18" t="n">
        <x:v>11948</x:v>
      </x:c>
      <x:c r="D5108" s="18" t="n">
        <x:v>46264</x:v>
      </x:c>
      <x:c r="E5108" s="18" t="n">
        <x:v>23.8</x:v>
      </x:c>
      <x:c r="F5108" s="18" t="n">
        <x:v>6.66</x:v>
      </x:c>
      <x:c r="G5108" t="n">
        <x:v>36</x:v>
      </x:c>
      <x:c r="H5108" t="str">
        <x:v>B</x:v>
      </x:c>
      <x:c r="I5108" t="str">
        <x:v>1-3 years</x:v>
      </x:c>
      <x:c r="J5108" t="str">
        <x:v>RENT</x:v>
      </x:c>
      <x:c r="K5108" t="str">
        <x:v>debt_consolidation</x:v>
      </x:c>
      <x:c r="L5108" t="n">
        <x:v>1</x:v>
      </x:c>
      <x:c r="M5108" t="n">
        <x:v>0</x:v>
      </x:c>
      <x:c r="N5108" t="str">
        <x:v>Fully Paid</x:v>
      </x:c>
      <x:c r="O5108" t="str">
        <x:f>IF(D5108="","Unknown",IF(D5108&lt;25000,"&lt;$25k",IF(D5108&lt;50000,"$25k-$50k",IF(D5108&lt;75000,"$50k-$75k",IF(D5108&lt;100000,"$75k-$100k","$100k+")))))</x:f>
        <x:v>$25k-$50k</x:v>
      </x:c>
      <x:c r="P5108" t="str">
        <x:f>IF(E5108="","Unknown",IF(E5108&lt;10,"&lt;10",IF(E5108&lt;20,"10-&lt;20",IF(E5108&lt;25,"20-&lt;25",IF(E5108&lt;35,"25-&lt;35","35+")))))</x:f>
        <x:v>20-&lt;25</x:v>
      </x:c>
    </x:row>
    <x:row r="5109">
      <x:c r="A5109" t="str">
        <x:v>SYN0005108</x:v>
      </x:c>
      <x:c r="B5109" s="12" t="n">
        <x:v>41665</x:v>
      </x:c>
      <x:c r="C5109" s="18" t="n">
        <x:v>14152</x:v>
      </x:c>
      <x:c r="D5109" s="18" t="n">
        <x:v>16448</x:v>
      </x:c>
      <x:c r="E5109" s="18" t="n">
        <x:v>10.01</x:v>
      </x:c>
      <x:c r="F5109" s="18" t="n">
        <x:v>11.88</x:v>
      </x:c>
      <x:c r="G5109" t="n">
        <x:v>36</x:v>
      </x:c>
      <x:c r="H5109" t="str">
        <x:v>C</x:v>
      </x:c>
      <x:c r="I5109" t="str">
        <x:v>1-3 years</x:v>
      </x:c>
      <x:c r="J5109" t="str">
        <x:v>RENT</x:v>
      </x:c>
      <x:c r="K5109" t="str">
        <x:v>debt_consolidation</x:v>
      </x:c>
      <x:c r="L5109" t="n">
        <x:v>0</x:v>
      </x:c>
      <x:c r="M5109" t="n">
        <x:v>0</x:v>
      </x:c>
      <x:c r="N5109" t="str">
        <x:v>Fully Paid</x:v>
      </x:c>
      <x:c r="O5109" t="str">
        <x:f>IF(D5109="","Unknown",IF(D5109&lt;25000,"&lt;$25k",IF(D5109&lt;50000,"$25k-$50k",IF(D5109&lt;75000,"$50k-$75k",IF(D5109&lt;100000,"$75k-$100k","$100k+")))))</x:f>
        <x:v>&lt;$25k</x:v>
      </x:c>
      <x:c r="P5109" t="str">
        <x:f>IF(E5109="","Unknown",IF(E5109&lt;10,"&lt;10",IF(E5109&lt;20,"10-&lt;20",IF(E5109&lt;25,"20-&lt;25",IF(E5109&lt;35,"25-&lt;35","35+")))))</x:f>
        <x:v>10-&lt;20</x:v>
      </x:c>
    </x:row>
    <x:row r="5110">
      <x:c r="A5110" t="str">
        <x:v>SYN0005109</x:v>
      </x:c>
      <x:c r="B5110" s="12" t="n">
        <x:v>41395</x:v>
      </x:c>
      <x:c r="C5110" s="18" t="n">
        <x:v>10496</x:v>
      </x:c>
      <x:c r="D5110" s="18" t="n">
        <x:v>63299</x:v>
      </x:c>
      <x:c r="E5110" s="18" t="n">
        <x:v>21.43</x:v>
      </x:c>
      <x:c r="F5110" s="18" t="n">
        <x:v>10.83</x:v>
      </x:c>
      <x:c r="G5110" t="n">
        <x:v>36</x:v>
      </x:c>
      <x:c r="H5110" t="str">
        <x:v>C</x:v>
      </x:c>
      <x:c r="I5110" t="str">
        <x:v>1-3 years</x:v>
      </x:c>
      <x:c r="J5110" t="str">
        <x:v>RENT</x:v>
      </x:c>
      <x:c r="K5110" t="str">
        <x:v>credit_card</x:v>
      </x:c>
      <x:c r="L5110" t="n">
        <x:v>0</x:v>
      </x:c>
      <x:c r="M5110" t="n">
        <x:v>0</x:v>
      </x:c>
      <x:c r="N5110" t="str">
        <x:v>Fully Paid</x:v>
      </x:c>
      <x:c r="O5110" t="str">
        <x:f>IF(D5110="","Unknown",IF(D5110&lt;25000,"&lt;$25k",IF(D5110&lt;50000,"$25k-$50k",IF(D5110&lt;75000,"$50k-$75k",IF(D5110&lt;100000,"$75k-$100k","$100k+")))))</x:f>
        <x:v>$50k-$75k</x:v>
      </x:c>
      <x:c r="P5110" t="str">
        <x:f>IF(E5110="","Unknown",IF(E5110&lt;10,"&lt;10",IF(E5110&lt;20,"10-&lt;20",IF(E5110&lt;25,"20-&lt;25",IF(E5110&lt;35,"25-&lt;35","35+")))))</x:f>
        <x:v>20-&lt;25</x:v>
      </x:c>
    </x:row>
    <x:row r="5111">
      <x:c r="A5111" t="str">
        <x:v>SYN0005110</x:v>
      </x:c>
      <x:c r="B5111" s="12" t="n">
        <x:v>42805</x:v>
      </x:c>
      <x:c r="C5111" s="18" t="n">
        <x:v>8026</x:v>
      </x:c>
      <x:c r="D5111" s="18" t="n">
        <x:v>18996</x:v>
      </x:c>
      <x:c r="E5111" s="18" t="n">
        <x:v>17.63</x:v>
      </x:c>
      <x:c r="F5111" s="18" t="n">
        <x:v>12.88</x:v>
      </x:c>
      <x:c r="G5111" t="n">
        <x:v>60</x:v>
      </x:c>
      <x:c r="H5111" t="str">
        <x:v>C</x:v>
      </x:c>
      <x:c r="I5111" t="str">
        <x:v>1-3 years</x:v>
      </x:c>
      <x:c r="J5111" t="str">
        <x:v>RENT</x:v>
      </x:c>
      <x:c r="K5111" t="str">
        <x:v>debt_consolidation</x:v>
      </x:c>
      <x:c r="L5111" t="n">
        <x:v>1</x:v>
      </x:c>
      <x:c r="M5111" t="n">
        <x:v>1</x:v>
      </x:c>
      <x:c r="N5111" t="str">
        <x:v>Charged Off</x:v>
      </x:c>
      <x:c r="O5111" t="str">
        <x:f>IF(D5111="","Unknown",IF(D5111&lt;25000,"&lt;$25k",IF(D5111&lt;50000,"$25k-$50k",IF(D5111&lt;75000,"$50k-$75k",IF(D5111&lt;100000,"$75k-$100k","$100k+")))))</x:f>
        <x:v>&lt;$25k</x:v>
      </x:c>
      <x:c r="P5111" t="str">
        <x:f>IF(E5111="","Unknown",IF(E5111&lt;10,"&lt;10",IF(E5111&lt;20,"10-&lt;20",IF(E5111&lt;25,"20-&lt;25",IF(E5111&lt;35,"25-&lt;35","35+")))))</x:f>
        <x:v>10-&lt;20</x:v>
      </x:c>
    </x:row>
    <x:row r="5112">
      <x:c r="A5112" t="str">
        <x:v>SYN0005111</x:v>
      </x:c>
      <x:c r="B5112" s="12" t="n">
        <x:v>41425</x:v>
      </x:c>
      <x:c r="C5112" s="18" t="n">
        <x:v>18635</x:v>
      </x:c>
      <x:c r="D5112" s="18" t="n">
        <x:v>15804</x:v>
      </x:c>
      <x:c r="E5112" s="18" t="n">
        <x:v>24.46</x:v>
      </x:c>
      <x:c r="F5112" s="18" t="n">
        <x:v>14.83</x:v>
      </x:c>
      <x:c r="G5112" t="n">
        <x:v>36</x:v>
      </x:c>
      <x:c r="H5112" t="str">
        <x:v>D</x:v>
      </x:c>
      <x:c r="I5112" t="str">
        <x:v>4-6 years</x:v>
      </x:c>
      <x:c r="J5112" t="str">
        <x:v>RENT</x:v>
      </x:c>
      <x:c r="K5112" t="str">
        <x:v>debt_consolidation</x:v>
      </x:c>
      <x:c r="L5112" t="n">
        <x:v>0</x:v>
      </x:c>
      <x:c r="M5112" t="n">
        <x:v>0</x:v>
      </x:c>
      <x:c r="N5112" t="str">
        <x:v>Fully Paid</x:v>
      </x:c>
      <x:c r="O5112" t="str">
        <x:f>IF(D5112="","Unknown",IF(D5112&lt;25000,"&lt;$25k",IF(D5112&lt;50000,"$25k-$50k",IF(D5112&lt;75000,"$50k-$75k",IF(D5112&lt;100000,"$75k-$100k","$100k+")))))</x:f>
        <x:v>&lt;$25k</x:v>
      </x:c>
      <x:c r="P5112" t="str">
        <x:f>IF(E5112="","Unknown",IF(E5112&lt;10,"&lt;10",IF(E5112&lt;20,"10-&lt;20",IF(E5112&lt;25,"20-&lt;25",IF(E5112&lt;35,"25-&lt;35","35+")))))</x:f>
        <x:v>20-&lt;25</x:v>
      </x:c>
    </x:row>
    <x:row r="5113">
      <x:c r="A5113" t="str">
        <x:v>SYN0005112</x:v>
      </x:c>
      <x:c r="B5113" s="12" t="n">
        <x:v>42295</x:v>
      </x:c>
      <x:c r="C5113" s="18" t="n">
        <x:v>20591</x:v>
      </x:c>
      <x:c r="D5113" s="18" t="n">
        <x:v>136401</x:v>
      </x:c>
      <x:c r="E5113" s="18" t="n">
        <x:v>10.17</x:v>
      </x:c>
      <x:c r="F5113" s="18" t="n">
        <x:v>7.07</x:v>
      </x:c>
      <x:c r="G5113" t="n">
        <x:v>36</x:v>
      </x:c>
      <x:c r="H5113" t="str">
        <x:v>A</x:v>
      </x:c>
      <x:c r="I5113" t="str">
        <x:v>7-9 years</x:v>
      </x:c>
      <x:c r="J5113" t="str">
        <x:v>MORTGAGE</x:v>
      </x:c>
      <x:c r="K5113" t="str">
        <x:v>debt_consolidation</x:v>
      </x:c>
      <x:c r="L5113" t="n">
        <x:v>0</x:v>
      </x:c>
      <x:c r="M5113" t="n">
        <x:v>0</x:v>
      </x:c>
      <x:c r="N5113" t="str">
        <x:v>Fully Paid</x:v>
      </x:c>
      <x:c r="O5113" t="str">
        <x:f>IF(D5113="","Unknown",IF(D5113&lt;25000,"&lt;$25k",IF(D5113&lt;50000,"$25k-$50k",IF(D5113&lt;75000,"$50k-$75k",IF(D5113&lt;100000,"$75k-$100k","$100k+")))))</x:f>
        <x:v>$100k+</x:v>
      </x:c>
      <x:c r="P5113" t="str">
        <x:f>IF(E5113="","Unknown",IF(E5113&lt;10,"&lt;10",IF(E5113&lt;20,"10-&lt;20",IF(E5113&lt;25,"20-&lt;25",IF(E5113&lt;35,"25-&lt;35","35+")))))</x:f>
        <x:v>10-&lt;20</x:v>
      </x:c>
    </x:row>
    <x:row r="5114">
      <x:c r="A5114" t="str">
        <x:v>SYN0005113</x:v>
      </x:c>
      <x:c r="B5114" s="12" t="n">
        <x:v>42985</x:v>
      </x:c>
      <x:c r="C5114" s="18" t="n">
        <x:v>4685</x:v>
      </x:c>
      <x:c r="D5114" s="18" t="n">
        <x:v>163496</x:v>
      </x:c>
      <x:c r="E5114" s="18" t="n">
        <x:v>36.66</x:v>
      </x:c>
      <x:c r="F5114" s="18" t="n">
        <x:v>21.04</x:v>
      </x:c>
      <x:c r="G5114" t="n">
        <x:v>60</x:v>
      </x:c>
      <x:c r="H5114" t="str">
        <x:v>E</x:v>
      </x:c>
      <x:c r="I5114" t="str">
        <x:v>1-3 years</x:v>
      </x:c>
      <x:c r="J5114" t="str">
        <x:v>RENT</x:v>
      </x:c>
      <x:c r="K5114" t="str">
        <x:v>home_improvement</x:v>
      </x:c>
      <x:c r="L5114" t="n">
        <x:v>0</x:v>
      </x:c>
      <x:c r="M5114" t="n">
        <x:v>0</x:v>
      </x:c>
      <x:c r="N5114" t="str">
        <x:v>Fully Paid</x:v>
      </x:c>
      <x:c r="O5114" t="str">
        <x:f>IF(D5114="","Unknown",IF(D5114&lt;25000,"&lt;$25k",IF(D5114&lt;50000,"$25k-$50k",IF(D5114&lt;75000,"$50k-$75k",IF(D5114&lt;100000,"$75k-$100k","$100k+")))))</x:f>
        <x:v>$100k+</x:v>
      </x:c>
      <x:c r="P5114" t="str">
        <x:f>IF(E5114="","Unknown",IF(E5114&lt;10,"&lt;10",IF(E5114&lt;20,"10-&lt;20",IF(E5114&lt;25,"20-&lt;25",IF(E5114&lt;35,"25-&lt;35","35+")))))</x:f>
        <x:v>35+</x:v>
      </x:c>
    </x:row>
    <x:row r="5115">
      <x:c r="A5115" t="str">
        <x:v>SYN0005114</x:v>
      </x:c>
      <x:c r="B5115" s="12" t="n">
        <x:v>42235</x:v>
      </x:c>
      <x:c r="C5115" s="18" t="n">
        <x:v>30550</x:v>
      </x:c>
      <x:c r="D5115" s="18" t="n">
        <x:v>52384</x:v>
      </x:c>
      <x:c r="E5115" s="18" t="n">
        <x:v>35.25</x:v>
      </x:c>
      <x:c r="F5115" s="18" t="n">
        <x:v>17.37</x:v>
      </x:c>
      <x:c r="G5115" t="n">
        <x:v>36</x:v>
      </x:c>
      <x:c r="H5115" t="str">
        <x:v>E</x:v>
      </x:c>
      <x:c r="I5115" t="str">
        <x:v>1-3 years</x:v>
      </x:c>
      <x:c r="J5115" t="str">
        <x:v>OWN</x:v>
      </x:c>
      <x:c r="K5115" t="str">
        <x:v>debt_consolidation</x:v>
      </x:c>
      <x:c r="L5115" t="n">
        <x:v>0</x:v>
      </x:c>
      <x:c r="M5115" t="n">
        <x:v>0</x:v>
      </x:c>
      <x:c r="N5115" t="str">
        <x:v>Fully Paid</x:v>
      </x:c>
      <x:c r="O5115" t="str">
        <x:f>IF(D5115="","Unknown",IF(D5115&lt;25000,"&lt;$25k",IF(D5115&lt;50000,"$25k-$50k",IF(D5115&lt;75000,"$50k-$75k",IF(D5115&lt;100000,"$75k-$100k","$100k+")))))</x:f>
        <x:v>$50k-$75k</x:v>
      </x:c>
      <x:c r="P5115" t="str">
        <x:f>IF(E5115="","Unknown",IF(E5115&lt;10,"&lt;10",IF(E5115&lt;20,"10-&lt;20",IF(E5115&lt;25,"20-&lt;25",IF(E5115&lt;35,"25-&lt;35","35+")))))</x:f>
        <x:v>35+</x:v>
      </x:c>
    </x:row>
    <x:row r="5116">
      <x:c r="A5116" t="str">
        <x:v>SYN0005115</x:v>
      </x:c>
      <x:c r="B5116" s="12" t="n">
        <x:v>41335</x:v>
      </x:c>
      <x:c r="C5116" s="18" t="n">
        <x:v>15653</x:v>
      </x:c>
      <x:c r="D5116" s="18" t="n">
        <x:v>34707</x:v>
      </x:c>
      <x:c r="E5116" s="18" t="n">
        <x:v>19.18</x:v>
      </x:c>
      <x:c r="F5116" s="18" t="n">
        <x:v>6.84</x:v>
      </x:c>
      <x:c r="G5116" t="n">
        <x:v>36</x:v>
      </x:c>
      <x:c r="H5116" t="str">
        <x:v>B</x:v>
      </x:c>
      <x:c r="I5116" t="str">
        <x:v>10+ years</x:v>
      </x:c>
      <x:c r="J5116" t="str">
        <x:v>RENT</x:v>
      </x:c>
      <x:c r="K5116" t="str">
        <x:v>debt_consolidation</x:v>
      </x:c>
      <x:c r="L5116" t="n">
        <x:v>1</x:v>
      </x:c>
      <x:c r="M5116" t="n">
        <x:v>0</x:v>
      </x:c>
      <x:c r="N5116" t="str">
        <x:v>Fully Paid</x:v>
      </x:c>
      <x:c r="O5116" t="str">
        <x:f>IF(D5116="","Unknown",IF(D5116&lt;25000,"&lt;$25k",IF(D5116&lt;50000,"$25k-$50k",IF(D5116&lt;75000,"$50k-$75k",IF(D5116&lt;100000,"$75k-$100k","$100k+")))))</x:f>
        <x:v>$25k-$50k</x:v>
      </x:c>
      <x:c r="P5116" t="str">
        <x:f>IF(E5116="","Unknown",IF(E5116&lt;10,"&lt;10",IF(E5116&lt;20,"10-&lt;20",IF(E5116&lt;25,"20-&lt;25",IF(E5116&lt;35,"25-&lt;35","35+")))))</x:f>
        <x:v>10-&lt;20</x:v>
      </x:c>
    </x:row>
    <x:row r="5117">
      <x:c r="A5117" t="str">
        <x:v>SYN0005116</x:v>
      </x:c>
      <x:c r="B5117" s="12" t="n">
        <x:v>41455</x:v>
      </x:c>
      <x:c r="C5117" s="18" t="n">
        <x:v>15525</x:v>
      </x:c>
      <x:c r="D5117" s="18" t="n">
        <x:v>36312</x:v>
      </x:c>
      <x:c r="E5117" s="18" t="n">
        <x:v>7.72</x:v>
      </x:c>
      <x:c r="F5117" s="18" t="n">
        <x:v>8.99</x:v>
      </x:c>
      <x:c r="G5117" t="n">
        <x:v>36</x:v>
      </x:c>
      <x:c r="H5117" t="str">
        <x:v>C</x:v>
      </x:c>
      <x:c r="I5117" t="str">
        <x:v>1-3 years</x:v>
      </x:c>
      <x:c r="J5117" t="str">
        <x:v>RENT</x:v>
      </x:c>
      <x:c r="K5117" t="str">
        <x:v>debt_consolidation</x:v>
      </x:c>
      <x:c r="L5117" t="n">
        <x:v>0</x:v>
      </x:c>
      <x:c r="M5117" t="n">
        <x:v>0</x:v>
      </x:c>
      <x:c r="N5117" t="str">
        <x:v>Fully Paid</x:v>
      </x:c>
      <x:c r="O5117" t="str">
        <x:f>IF(D5117="","Unknown",IF(D5117&lt;25000,"&lt;$25k",IF(D5117&lt;50000,"$25k-$50k",IF(D5117&lt;75000,"$50k-$75k",IF(D5117&lt;100000,"$75k-$100k","$100k+")))))</x:f>
        <x:v>$25k-$50k</x:v>
      </x:c>
      <x:c r="P5117" t="str">
        <x:f>IF(E5117="","Unknown",IF(E5117&lt;10,"&lt;10",IF(E5117&lt;20,"10-&lt;20",IF(E5117&lt;25,"20-&lt;25",IF(E5117&lt;35,"25-&lt;35","35+")))))</x:f>
        <x:v>&lt;10</x:v>
      </x:c>
    </x:row>
    <x:row r="5118">
      <x:c r="A5118" t="str">
        <x:v>SYN0005117</x:v>
      </x:c>
      <x:c r="B5118" s="12" t="n">
        <x:v>43075</x:v>
      </x:c>
      <x:c r="C5118" s="18" t="n">
        <x:v>13049</x:v>
      </x:c>
      <x:c r="D5118" s="18" t="n">
        <x:v>41399</x:v>
      </x:c>
      <x:c r="E5118" s="18" t="n">
        <x:v>10.72</x:v>
      </x:c>
      <x:c r="F5118" s="18" t="n">
        <x:v>7.55</x:v>
      </x:c>
      <x:c r="G5118" t="n">
        <x:v>60</x:v>
      </x:c>
      <x:c r="H5118" t="str">
        <x:v>B</x:v>
      </x:c>
      <x:c r="I5118" t="str">
        <x:v>4-6 years</x:v>
      </x:c>
      <x:c r="J5118" t="str">
        <x:v>MORTGAGE</x:v>
      </x:c>
      <x:c r="K5118" t="str">
        <x:v>other</x:v>
      </x:c>
      <x:c r="L5118" t="n">
        <x:v>0</x:v>
      </x:c>
      <x:c r="M5118" t="n">
        <x:v>0</x:v>
      </x:c>
      <x:c r="N5118" t="str">
        <x:v>Fully Paid</x:v>
      </x:c>
      <x:c r="O5118" t="str">
        <x:f>IF(D5118="","Unknown",IF(D5118&lt;25000,"&lt;$25k",IF(D5118&lt;50000,"$25k-$50k",IF(D5118&lt;75000,"$50k-$75k",IF(D5118&lt;100000,"$75k-$100k","$100k+")))))</x:f>
        <x:v>$25k-$50k</x:v>
      </x:c>
      <x:c r="P5118" t="str">
        <x:f>IF(E5118="","Unknown",IF(E5118&lt;10,"&lt;10",IF(E5118&lt;20,"10-&lt;20",IF(E5118&lt;25,"20-&lt;25",IF(E5118&lt;35,"25-&lt;35","35+")))))</x:f>
        <x:v>10-&lt;20</x:v>
      </x:c>
    </x:row>
    <x:row r="5119">
      <x:c r="A5119" t="str">
        <x:v>SYN0005118</x:v>
      </x:c>
      <x:c r="B5119" s="12" t="n">
        <x:v>43285</x:v>
      </x:c>
      <x:c r="C5119" s="18" t="n">
        <x:v>16124</x:v>
      </x:c>
      <x:c r="D5119" s="18" t="n">
        <x:v>14856</x:v>
      </x:c>
      <x:c r="E5119" s="18" t="n">
        <x:v>10.61</x:v>
      </x:c>
      <x:c r="F5119" s="18" t="n">
        <x:v>11.39</x:v>
      </x:c>
      <x:c r="G5119" t="n">
        <x:v>36</x:v>
      </x:c>
      <x:c r="H5119" t="str">
        <x:v>C</x:v>
      </x:c>
      <x:c r="I5119" t="str">
        <x:v>1-3 years</x:v>
      </x:c>
      <x:c r="J5119" t="str">
        <x:v>RENT</x:v>
      </x:c>
      <x:c r="K5119" t="str">
        <x:v>debt_consolidation</x:v>
      </x:c>
      <x:c r="L5119" t="n">
        <x:v>0</x:v>
      </x:c>
      <x:c r="M5119" t="n">
        <x:v>0</x:v>
      </x:c>
      <x:c r="N5119" t="str">
        <x:v>Fully Paid</x:v>
      </x:c>
      <x:c r="O5119" t="str">
        <x:f>IF(D5119="","Unknown",IF(D5119&lt;25000,"&lt;$25k",IF(D5119&lt;50000,"$25k-$50k",IF(D5119&lt;75000,"$50k-$75k",IF(D5119&lt;100000,"$75k-$100k","$100k+")))))</x:f>
        <x:v>&lt;$25k</x:v>
      </x:c>
      <x:c r="P5119" t="str">
        <x:f>IF(E5119="","Unknown",IF(E5119&lt;10,"&lt;10",IF(E5119&lt;20,"10-&lt;20",IF(E5119&lt;25,"20-&lt;25",IF(E5119&lt;35,"25-&lt;35","35+")))))</x:f>
        <x:v>10-&lt;20</x:v>
      </x:c>
    </x:row>
    <x:row r="5120">
      <x:c r="A5120" t="str">
        <x:v>SYN0005119</x:v>
      </x:c>
      <x:c r="B5120" s="12" t="n">
        <x:v>42775</x:v>
      </x:c>
      <x:c r="C5120" s="18" t="n">
        <x:v>17409</x:v>
      </x:c>
      <x:c r="D5120" s="18" t="n">
        <x:v>85845</x:v>
      </x:c>
      <x:c r="E5120" s="18" t="n">
        <x:v>8.4</x:v>
      </x:c>
      <x:c r="F5120" s="18" t="n">
        <x:v>9.43</x:v>
      </x:c>
      <x:c r="G5120" t="n">
        <x:v>36</x:v>
      </x:c>
      <x:c r="H5120" t="str">
        <x:v>B</x:v>
      </x:c>
      <x:c r="I5120" t="str">
        <x:v>4-6 years</x:v>
      </x:c>
      <x:c r="J5120" t="str">
        <x:v>RENT</x:v>
      </x:c>
      <x:c r="K5120" t="str">
        <x:v>debt_consolidation</x:v>
      </x:c>
      <x:c r="L5120" t="n">
        <x:v>0</x:v>
      </x:c>
      <x:c r="M5120" t="n">
        <x:v>0</x:v>
      </x:c>
      <x:c r="N5120" t="str">
        <x:v>Fully Paid</x:v>
      </x:c>
      <x:c r="O5120" t="str">
        <x:f>IF(D5120="","Unknown",IF(D5120&lt;25000,"&lt;$25k",IF(D5120&lt;50000,"$25k-$50k",IF(D5120&lt;75000,"$50k-$75k",IF(D5120&lt;100000,"$75k-$100k","$100k+")))))</x:f>
        <x:v>$75k-$100k</x:v>
      </x:c>
      <x:c r="P5120" t="str">
        <x:f>IF(E5120="","Unknown",IF(E5120&lt;10,"&lt;10",IF(E5120&lt;20,"10-&lt;20",IF(E5120&lt;25,"20-&lt;25",IF(E5120&lt;35,"25-&lt;35","35+")))))</x:f>
        <x:v>&lt;10</x:v>
      </x:c>
    </x:row>
    <x:row r="5121">
      <x:c r="A5121" t="str">
        <x:v>SYN0005120</x:v>
      </x:c>
      <x:c r="B5121" s="12" t="n">
        <x:v>43255</x:v>
      </x:c>
      <x:c r="C5121" s="18" t="n">
        <x:v>9030</x:v>
      </x:c>
      <x:c r="D5121" s="18" t="n">
        <x:v>54268</x:v>
      </x:c>
      <x:c r="E5121" s="18" t="n">
        <x:v>17.84</x:v>
      </x:c>
      <x:c r="F5121" s="18" t="n">
        <x:v>15.05</x:v>
      </x:c>
      <x:c r="G5121" t="n">
        <x:v>36</x:v>
      </x:c>
      <x:c r="H5121" t="str">
        <x:v>D</x:v>
      </x:c>
      <x:c r="I5121" t="str">
        <x:v>&lt;1 year</x:v>
      </x:c>
      <x:c r="J5121" t="str">
        <x:v>MORTGAGE</x:v>
      </x:c>
      <x:c r="K5121" t="str">
        <x:v>debt_consolidation</x:v>
      </x:c>
      <x:c r="L5121" t="n">
        <x:v>0</x:v>
      </x:c>
      <x:c r="M5121" t="n">
        <x:v>0</x:v>
      </x:c>
      <x:c r="N5121" t="str">
        <x:v>Fully Paid</x:v>
      </x:c>
      <x:c r="O5121" t="str">
        <x:f>IF(D5121="","Unknown",IF(D5121&lt;25000,"&lt;$25k",IF(D5121&lt;50000,"$25k-$50k",IF(D5121&lt;75000,"$50k-$75k",IF(D5121&lt;100000,"$75k-$100k","$100k+")))))</x:f>
        <x:v>$50k-$75k</x:v>
      </x:c>
      <x:c r="P5121" t="str">
        <x:f>IF(E5121="","Unknown",IF(E5121&lt;10,"&lt;10",IF(E5121&lt;20,"10-&lt;20",IF(E5121&lt;25,"20-&lt;25",IF(E5121&lt;35,"25-&lt;35","35+")))))</x:f>
        <x:v>10-&lt;20</x:v>
      </x:c>
    </x:row>
    <x:row r="5122">
      <x:c r="A5122" t="str">
        <x:v>SYN0005121</x:v>
      </x:c>
      <x:c r="B5122" s="12" t="n">
        <x:v>42535</x:v>
      </x:c>
      <x:c r="C5122" s="18" t="n">
        <x:v>17121</x:v>
      </x:c>
      <x:c r="D5122" s="18" t="n">
        <x:v>31519</x:v>
      </x:c>
      <x:c r="E5122" s="18" t="n">
        <x:v>27.09</x:v>
      </x:c>
      <x:c r="F5122" s="18" t="n">
        <x:v>6.93</x:v>
      </x:c>
      <x:c r="G5122" t="n">
        <x:v>36</x:v>
      </x:c>
      <x:c r="H5122" t="str">
        <x:v>A</x:v>
      </x:c>
      <x:c r="I5122" t="str">
        <x:v>1-3 years</x:v>
      </x:c>
      <x:c r="J5122" t="str">
        <x:v>MORTGAGE</x:v>
      </x:c>
      <x:c r="K5122" t="str">
        <x:v>debt_consolidation</x:v>
      </x:c>
      <x:c r="L5122" t="n">
        <x:v>0</x:v>
      </x:c>
      <x:c r="M5122" t="n">
        <x:v>0</x:v>
      </x:c>
      <x:c r="N5122" t="str">
        <x:v>Fully Paid</x:v>
      </x:c>
      <x:c r="O5122" t="str">
        <x:f>IF(D5122="","Unknown",IF(D5122&lt;25000,"&lt;$25k",IF(D5122&lt;50000,"$25k-$50k",IF(D5122&lt;75000,"$50k-$75k",IF(D5122&lt;100000,"$75k-$100k","$100k+")))))</x:f>
        <x:v>$25k-$50k</x:v>
      </x:c>
      <x:c r="P5122" t="str">
        <x:f>IF(E5122="","Unknown",IF(E5122&lt;10,"&lt;10",IF(E5122&lt;20,"10-&lt;20",IF(E5122&lt;25,"20-&lt;25",IF(E5122&lt;35,"25-&lt;35","35+")))))</x:f>
        <x:v>25-&lt;35</x:v>
      </x:c>
    </x:row>
    <x:row r="5123">
      <x:c r="A5123" t="str">
        <x:v>SYN0005122</x:v>
      </x:c>
      <x:c r="B5123" s="12" t="n">
        <x:v>42595</x:v>
      </x:c>
      <x:c r="C5123" s="18" t="n">
        <x:v>16817</x:v>
      </x:c>
      <x:c r="D5123" s="18" t="n">
        <x:v>33047</x:v>
      </x:c>
      <x:c r="E5123" s="18" t="n">
        <x:v>25.23</x:v>
      </x:c>
      <x:c r="F5123" s="18" t="n">
        <x:v>9.86</x:v>
      </x:c>
      <x:c r="G5123" t="n">
        <x:v>36</x:v>
      </x:c>
      <x:c r="H5123" t="str">
        <x:v>B</x:v>
      </x:c>
      <x:c r="I5123" t="str">
        <x:v>10+ years</x:v>
      </x:c>
      <x:c r="J5123" t="str">
        <x:v>RENT</x:v>
      </x:c>
      <x:c r="K5123" t="str">
        <x:v>home_improvement</x:v>
      </x:c>
      <x:c r="L5123" t="n">
        <x:v>0</x:v>
      </x:c>
      <x:c r="M5123" t="n">
        <x:v>0</x:v>
      </x:c>
      <x:c r="N5123" t="str">
        <x:v>Fully Paid</x:v>
      </x:c>
      <x:c r="O5123" t="str">
        <x:f>IF(D5123="","Unknown",IF(D5123&lt;25000,"&lt;$25k",IF(D5123&lt;50000,"$25k-$50k",IF(D5123&lt;75000,"$50k-$75k",IF(D5123&lt;100000,"$75k-$100k","$100k+")))))</x:f>
        <x:v>$25k-$50k</x:v>
      </x:c>
      <x:c r="P5123" t="str">
        <x:f>IF(E5123="","Unknown",IF(E5123&lt;10,"&lt;10",IF(E5123&lt;20,"10-&lt;20",IF(E5123&lt;25,"20-&lt;25",IF(E5123&lt;35,"25-&lt;35","35+")))))</x:f>
        <x:v>25-&lt;35</x:v>
      </x:c>
    </x:row>
    <x:row r="5124">
      <x:c r="A5124" t="str">
        <x:v>SYN0005123</x:v>
      </x:c>
      <x:c r="B5124" s="12" t="n">
        <x:v>41935</x:v>
      </x:c>
      <x:c r="C5124" s="18" t="n">
        <x:v>9554</x:v>
      </x:c>
      <x:c r="D5124" s="18" t="n">
        <x:v>62249</x:v>
      </x:c>
      <x:c r="E5124" s="18" t="n">
        <x:v>11.75</x:v>
      </x:c>
      <x:c r="F5124" s="18" t="n">
        <x:v>21.47</x:v>
      </x:c>
      <x:c r="G5124" t="n">
        <x:v>36</x:v>
      </x:c>
      <x:c r="H5124" t="str">
        <x:v>F</x:v>
      </x:c>
      <x:c r="I5124" t="str">
        <x:v>1-3 years</x:v>
      </x:c>
      <x:c r="J5124" t="str">
        <x:v>MORTGAGE</x:v>
      </x:c>
      <x:c r="K5124" t="str">
        <x:v>debt_consolidation</x:v>
      </x:c>
      <x:c r="L5124" t="n">
        <x:v>1</x:v>
      </x:c>
      <x:c r="M5124" t="n">
        <x:v>1</x:v>
      </x:c>
      <x:c r="N5124" t="str">
        <x:v>Charged Off</x:v>
      </x:c>
      <x:c r="O5124" t="str">
        <x:f>IF(D5124="","Unknown",IF(D5124&lt;25000,"&lt;$25k",IF(D5124&lt;50000,"$25k-$50k",IF(D5124&lt;75000,"$50k-$75k",IF(D5124&lt;100000,"$75k-$100k","$100k+")))))</x:f>
        <x:v>$50k-$75k</x:v>
      </x:c>
      <x:c r="P5124" t="str">
        <x:f>IF(E5124="","Unknown",IF(E5124&lt;10,"&lt;10",IF(E5124&lt;20,"10-&lt;20",IF(E5124&lt;25,"20-&lt;25",IF(E5124&lt;35,"25-&lt;35","35+")))))</x:f>
        <x:v>10-&lt;20</x:v>
      </x:c>
    </x:row>
    <x:row r="5125">
      <x:c r="A5125" t="str">
        <x:v>SYN0005124</x:v>
      </x:c>
      <x:c r="B5125" s="12" t="n">
        <x:v>41965</x:v>
      </x:c>
      <x:c r="C5125" s="18" t="n">
        <x:v>12101</x:v>
      </x:c>
      <x:c r="D5125" s="18" t="n">
        <x:v>81445</x:v>
      </x:c>
      <x:c r="E5125" s="18" t="n">
        <x:v>29.98</x:v>
      </x:c>
      <x:c r="F5125" s="18" t="n">
        <x:v>11.29</x:v>
      </x:c>
      <x:c r="G5125" t="n">
        <x:v>36</x:v>
      </x:c>
      <x:c r="H5125" t="str">
        <x:v>C</x:v>
      </x:c>
      <x:c r="I5125" t="str">
        <x:v>7-9 years</x:v>
      </x:c>
      <x:c r="J5125" t="str">
        <x:v>RENT</x:v>
      </x:c>
      <x:c r="K5125" t="str">
        <x:v>home_improvement</x:v>
      </x:c>
      <x:c r="L5125" t="n">
        <x:v>1</x:v>
      </x:c>
      <x:c r="M5125" t="n">
        <x:v>0</x:v>
      </x:c>
      <x:c r="N5125" t="str">
        <x:v>Fully Paid</x:v>
      </x:c>
      <x:c r="O5125" t="str">
        <x:f>IF(D5125="","Unknown",IF(D5125&lt;25000,"&lt;$25k",IF(D5125&lt;50000,"$25k-$50k",IF(D5125&lt;75000,"$50k-$75k",IF(D5125&lt;100000,"$75k-$100k","$100k+")))))</x:f>
        <x:v>$75k-$100k</x:v>
      </x:c>
      <x:c r="P5125" t="str">
        <x:f>IF(E5125="","Unknown",IF(E5125&lt;10,"&lt;10",IF(E5125&lt;20,"10-&lt;20",IF(E5125&lt;25,"20-&lt;25",IF(E5125&lt;35,"25-&lt;35","35+")))))</x:f>
        <x:v>25-&lt;35</x:v>
      </x:c>
    </x:row>
    <x:row r="5126">
      <x:c r="A5126" t="str">
        <x:v>SYN0005125</x:v>
      </x:c>
      <x:c r="B5126" s="12" t="n">
        <x:v>42415</x:v>
      </x:c>
      <x:c r="C5126" s="18" t="n">
        <x:v>24275</x:v>
      </x:c>
      <x:c r="D5126" s="18" t="n">
        <x:v>38204</x:v>
      </x:c>
      <x:c r="E5126" s="18" t="n">
        <x:v>11.61</x:v>
      </x:c>
      <x:c r="F5126" s="18" t="n">
        <x:v>8.85</x:v>
      </x:c>
      <x:c r="G5126" t="n">
        <x:v>36</x:v>
      </x:c>
      <x:c r="H5126" t="str">
        <x:v>B</x:v>
      </x:c>
      <x:c r="I5126" t="str">
        <x:v>4-6 years</x:v>
      </x:c>
      <x:c r="J5126" t="str">
        <x:v>MORTGAGE</x:v>
      </x:c>
      <x:c r="K5126" t="str">
        <x:v>other</x:v>
      </x:c>
      <x:c r="L5126" t="n">
        <x:v>0</x:v>
      </x:c>
      <x:c r="M5126" t="n">
        <x:v>0</x:v>
      </x:c>
      <x:c r="N5126" t="str">
        <x:v>Fully Paid</x:v>
      </x:c>
      <x:c r="O5126" t="str">
        <x:f>IF(D5126="","Unknown",IF(D5126&lt;25000,"&lt;$25k",IF(D5126&lt;50000,"$25k-$50k",IF(D5126&lt;75000,"$50k-$75k",IF(D5126&lt;100000,"$75k-$100k","$100k+")))))</x:f>
        <x:v>$25k-$50k</x:v>
      </x:c>
      <x:c r="P5126" t="str">
        <x:f>IF(E5126="","Unknown",IF(E5126&lt;10,"&lt;10",IF(E5126&lt;20,"10-&lt;20",IF(E5126&lt;25,"20-&lt;25",IF(E5126&lt;35,"25-&lt;35","35+")))))</x:f>
        <x:v>10-&lt;20</x:v>
      </x:c>
    </x:row>
    <x:row r="5127">
      <x:c r="A5127" t="str">
        <x:v>SYN0005126</x:v>
      </x:c>
      <x:c r="B5127" s="12" t="n">
        <x:v>41365</x:v>
      </x:c>
      <x:c r="C5127" s="18" t="n">
        <x:v>10390</x:v>
      </x:c>
      <x:c r="D5127" s="18" t="n">
        <x:v>103608</x:v>
      </x:c>
      <x:c r="E5127" s="18" t="n">
        <x:v>18.02</x:v>
      </x:c>
      <x:c r="F5127" s="18" t="n">
        <x:v>8.46</x:v>
      </x:c>
      <x:c r="G5127" t="n">
        <x:v>36</x:v>
      </x:c>
      <x:c r="H5127" t="str">
        <x:v>B</x:v>
      </x:c>
      <x:c r="I5127" t="str">
        <x:v>1-3 years</x:v>
      </x:c>
      <x:c r="J5127" t="str">
        <x:v>RENT</x:v>
      </x:c>
      <x:c r="K5127" t="str">
        <x:v>credit_card</x:v>
      </x:c>
      <x:c r="L5127" t="n">
        <x:v>0</x:v>
      </x:c>
      <x:c r="M5127" t="n">
        <x:v>0</x:v>
      </x:c>
      <x:c r="N5127" t="str">
        <x:v>Fully Paid</x:v>
      </x:c>
      <x:c r="O5127" t="str">
        <x:f>IF(D5127="","Unknown",IF(D5127&lt;25000,"&lt;$25k",IF(D5127&lt;50000,"$25k-$50k",IF(D5127&lt;75000,"$50k-$75k",IF(D5127&lt;100000,"$75k-$100k","$100k+")))))</x:f>
        <x:v>$100k+</x:v>
      </x:c>
      <x:c r="P5127" t="str">
        <x:f>IF(E5127="","Unknown",IF(E5127&lt;10,"&lt;10",IF(E5127&lt;20,"10-&lt;20",IF(E5127&lt;25,"20-&lt;25",IF(E5127&lt;35,"25-&lt;35","35+")))))</x:f>
        <x:v>10-&lt;20</x:v>
      </x:c>
    </x:row>
    <x:row r="5128">
      <x:c r="A5128" t="str">
        <x:v>SYN0005127</x:v>
      </x:c>
      <x:c r="B5128" s="12" t="n">
        <x:v>41395</x:v>
      </x:c>
      <x:c r="C5128" s="18" t="n">
        <x:v>40000</x:v>
      </x:c>
      <x:c r="D5128" s="18" t="n">
        <x:v>25513</x:v>
      </x:c>
      <x:c r="E5128" s="18" t="n">
        <x:v>20.91</x:v>
      </x:c>
      <x:c r="F5128" s="18" t="n">
        <x:v>21.17</x:v>
      </x:c>
      <x:c r="G5128" t="n">
        <x:v>36</x:v>
      </x:c>
      <x:c r="H5128" t="str">
        <x:v>F</x:v>
      </x:c>
      <x:c r="I5128" t="str">
        <x:v>1-3 years</x:v>
      </x:c>
      <x:c r="J5128" t="str">
        <x:v>RENT</x:v>
      </x:c>
      <x:c r="K5128" t="str">
        <x:v>credit_card</x:v>
      </x:c>
      <x:c r="L5128" t="n">
        <x:v>0</x:v>
      </x:c>
      <x:c r="M5128" t="n">
        <x:v>0</x:v>
      </x:c>
      <x:c r="N5128" t="str">
        <x:v>Fully Paid</x:v>
      </x:c>
      <x:c r="O5128" t="str">
        <x:f>IF(D5128="","Unknown",IF(D5128&lt;25000,"&lt;$25k",IF(D5128&lt;50000,"$25k-$50k",IF(D5128&lt;75000,"$50k-$75k",IF(D5128&lt;100000,"$75k-$100k","$100k+")))))</x:f>
        <x:v>$25k-$50k</x:v>
      </x:c>
      <x:c r="P5128" t="str">
        <x:f>IF(E5128="","Unknown",IF(E5128&lt;10,"&lt;10",IF(E5128&lt;20,"10-&lt;20",IF(E5128&lt;25,"20-&lt;25",IF(E5128&lt;35,"25-&lt;35","35+")))))</x:f>
        <x:v>20-&lt;25</x:v>
      </x:c>
    </x:row>
    <x:row r="5129">
      <x:c r="A5129" t="str">
        <x:v>SYN0005128</x:v>
      </x:c>
      <x:c r="B5129" s="12" t="n">
        <x:v>42775</x:v>
      </x:c>
      <x:c r="C5129" s="18" t="n">
        <x:v>14868</x:v>
      </x:c>
      <x:c r="D5129" s="18" t="n">
        <x:v>105016</x:v>
      </x:c>
      <x:c r="E5129" s="18" t="n">
        <x:v>18.85</x:v>
      </x:c>
      <x:c r="F5129" s="18" t="n">
        <x:v>13.29</x:v>
      </x:c>
      <x:c r="G5129" t="n">
        <x:v>36</x:v>
      </x:c>
      <x:c r="H5129" t="str">
        <x:v>C</x:v>
      </x:c>
      <x:c r="I5129" t="str">
        <x:v>4-6 years</x:v>
      </x:c>
      <x:c r="J5129" t="str">
        <x:v>OWN</x:v>
      </x:c>
      <x:c r="K5129" t="str">
        <x:v>debt_consolidation</x:v>
      </x:c>
      <x:c r="L5129" t="n">
        <x:v>0</x:v>
      </x:c>
      <x:c r="M5129" t="n">
        <x:v>0</x:v>
      </x:c>
      <x:c r="N5129" t="str">
        <x:v>Fully Paid</x:v>
      </x:c>
      <x:c r="O5129" t="str">
        <x:f>IF(D5129="","Unknown",IF(D5129&lt;25000,"&lt;$25k",IF(D5129&lt;50000,"$25k-$50k",IF(D5129&lt;75000,"$50k-$75k",IF(D5129&lt;100000,"$75k-$100k","$100k+")))))</x:f>
        <x:v>$100k+</x:v>
      </x:c>
      <x:c r="P5129" t="str">
        <x:f>IF(E5129="","Unknown",IF(E5129&lt;10,"&lt;10",IF(E5129&lt;20,"10-&lt;20",IF(E5129&lt;25,"20-&lt;25",IF(E5129&lt;35,"25-&lt;35","35+")))))</x:f>
        <x:v>10-&lt;20</x:v>
      </x:c>
    </x:row>
    <x:row r="5130">
      <x:c r="A5130" t="str">
        <x:v>SYN0005129</x:v>
      </x:c>
      <x:c r="B5130" s="12" t="n">
        <x:v>42475</x:v>
      </x:c>
      <x:c r="C5130" s="18" t="n">
        <x:v>17655</x:v>
      </x:c>
      <x:c r="D5130" s="18" t="n">
        <x:v>54150</x:v>
      </x:c>
      <x:c r="E5130" s="18" t="n">
        <x:v>4.76</x:v>
      </x:c>
      <x:c r="F5130" s="18" t="n">
        <x:v>16.48</x:v>
      </x:c>
      <x:c r="G5130" t="n">
        <x:v>36</x:v>
      </x:c>
      <x:c r="H5130" t="str">
        <x:v>E</x:v>
      </x:c>
      <x:c r="I5130" t="str">
        <x:v>1-3 years</x:v>
      </x:c>
      <x:c r="J5130" t="str">
        <x:v>MORTGAGE</x:v>
      </x:c>
      <x:c r="K5130" t="str">
        <x:v>debt_consolidation</x:v>
      </x:c>
      <x:c r="L5130" t="n">
        <x:v>4</x:v>
      </x:c>
      <x:c r="M5130" t="n">
        <x:v>0</x:v>
      </x:c>
      <x:c r="N5130" t="str">
        <x:v>Fully Paid</x:v>
      </x:c>
      <x:c r="O5130" t="str">
        <x:f>IF(D5130="","Unknown",IF(D5130&lt;25000,"&lt;$25k",IF(D5130&lt;50000,"$25k-$50k",IF(D5130&lt;75000,"$50k-$75k",IF(D5130&lt;100000,"$75k-$100k","$100k+")))))</x:f>
        <x:v>$50k-$75k</x:v>
      </x:c>
      <x:c r="P5130" t="str">
        <x:f>IF(E5130="","Unknown",IF(E5130&lt;10,"&lt;10",IF(E5130&lt;20,"10-&lt;20",IF(E5130&lt;25,"20-&lt;25",IF(E5130&lt;35,"25-&lt;35","35+")))))</x:f>
        <x:v>&lt;10</x:v>
      </x:c>
    </x:row>
    <x:row r="5131">
      <x:c r="A5131" t="str">
        <x:v>SYN0005130</x:v>
      </x:c>
      <x:c r="B5131" s="12" t="n">
        <x:v>41755</x:v>
      </x:c>
      <x:c r="C5131" s="18" t="n">
        <x:v>9857</x:v>
      </x:c>
      <x:c r="D5131" s="18" t="n">
        <x:v>96199</x:v>
      </x:c>
      <x:c r="E5131" s="18" t="n">
        <x:v>20.52</x:v>
      </x:c>
      <x:c r="F5131" s="18" t="n">
        <x:v>5</x:v>
      </x:c>
      <x:c r="G5131" t="n">
        <x:v>60</x:v>
      </x:c>
      <x:c r="H5131" t="str">
        <x:v>B</x:v>
      </x:c>
      <x:c r="I5131" t="str">
        <x:v>1-3 years</x:v>
      </x:c>
      <x:c r="J5131" t="str">
        <x:v>RENT</x:v>
      </x:c>
      <x:c r="K5131" t="str">
        <x:v>debt_consolidation</x:v>
      </x:c>
      <x:c r="L5131" t="n">
        <x:v>0</x:v>
      </x:c>
      <x:c r="M5131" t="n">
        <x:v>0</x:v>
      </x:c>
      <x:c r="N5131" t="str">
        <x:v>Fully Paid</x:v>
      </x:c>
      <x:c r="O5131" t="str">
        <x:f>IF(D5131="","Unknown",IF(D5131&lt;25000,"&lt;$25k",IF(D5131&lt;50000,"$25k-$50k",IF(D5131&lt;75000,"$50k-$75k",IF(D5131&lt;100000,"$75k-$100k","$100k+")))))</x:f>
        <x:v>$75k-$100k</x:v>
      </x:c>
      <x:c r="P5131" t="str">
        <x:f>IF(E5131="","Unknown",IF(E5131&lt;10,"&lt;10",IF(E5131&lt;20,"10-&lt;20",IF(E5131&lt;25,"20-&lt;25",IF(E5131&lt;35,"25-&lt;35","35+")))))</x:f>
        <x:v>20-&lt;25</x:v>
      </x:c>
    </x:row>
    <x:row r="5132">
      <x:c r="A5132" t="str">
        <x:v>SYN0005131</x:v>
      </x:c>
      <x:c r="B5132" s="12" t="n">
        <x:v>42685</x:v>
      </x:c>
      <x:c r="C5132" s="18" t="n">
        <x:v>14886</x:v>
      </x:c>
      <x:c r="D5132" s="18" t="n">
        <x:v>12517</x:v>
      </x:c>
      <x:c r="E5132" s="18" t="n">
        <x:v>1.81</x:v>
      </x:c>
      <x:c r="F5132" s="18" t="n">
        <x:v>5</x:v>
      </x:c>
      <x:c r="G5132" t="n">
        <x:v>36</x:v>
      </x:c>
      <x:c r="H5132" t="str">
        <x:v>B</x:v>
      </x:c>
      <x:c r="I5132" t="str">
        <x:v>4-6 years</x:v>
      </x:c>
      <x:c r="J5132" t="str">
        <x:v>MORTGAGE</x:v>
      </x:c>
      <x:c r="K5132" t="str">
        <x:v>other</x:v>
      </x:c>
      <x:c r="L5132" t="n">
        <x:v>0</x:v>
      </x:c>
      <x:c r="M5132" t="n">
        <x:v>0</x:v>
      </x:c>
      <x:c r="N5132" t="str">
        <x:v>Fully Paid</x:v>
      </x:c>
      <x:c r="O5132" t="str">
        <x:f>IF(D5132="","Unknown",IF(D5132&lt;25000,"&lt;$25k",IF(D5132&lt;50000,"$25k-$50k",IF(D5132&lt;75000,"$50k-$75k",IF(D5132&lt;100000,"$75k-$100k","$100k+")))))</x:f>
        <x:v>&lt;$25k</x:v>
      </x:c>
      <x:c r="P5132" t="str">
        <x:f>IF(E5132="","Unknown",IF(E5132&lt;10,"&lt;10",IF(E5132&lt;20,"10-&lt;20",IF(E5132&lt;25,"20-&lt;25",IF(E5132&lt;35,"25-&lt;35","35+")))))</x:f>
        <x:v>&lt;10</x:v>
      </x:c>
    </x:row>
    <x:row r="5133">
      <x:c r="A5133" t="str">
        <x:v>SYN0005132</x:v>
      </x:c>
      <x:c r="B5133" s="12" t="n">
        <x:v>42325</x:v>
      </x:c>
      <x:c r="C5133" s="18" t="n">
        <x:v>29106</x:v>
      </x:c>
      <x:c r="D5133" s="18" t="n">
        <x:v>34357</x:v>
      </x:c>
      <x:c r="E5133" s="18" t="n">
        <x:v>18.31</x:v>
      </x:c>
      <x:c r="F5133" s="18" t="n">
        <x:v>9.88</x:v>
      </x:c>
      <x:c r="G5133" t="n">
        <x:v>36</x:v>
      </x:c>
      <x:c r="H5133" t="str">
        <x:v>B</x:v>
      </x:c>
      <x:c r="I5133" t="str">
        <x:v>1-3 years</x:v>
      </x:c>
      <x:c r="J5133" t="str">
        <x:v>MORTGAGE</x:v>
      </x:c>
      <x:c r="K5133" t="str">
        <x:v>debt_consolidation</x:v>
      </x:c>
      <x:c r="L5133" t="n">
        <x:v>0</x:v>
      </x:c>
      <x:c r="M5133" t="n">
        <x:v>0</x:v>
      </x:c>
      <x:c r="N5133" t="str">
        <x:v>Fully Paid</x:v>
      </x:c>
      <x:c r="O5133" t="str">
        <x:f>IF(D5133="","Unknown",IF(D5133&lt;25000,"&lt;$25k",IF(D5133&lt;50000,"$25k-$50k",IF(D5133&lt;75000,"$50k-$75k",IF(D5133&lt;100000,"$75k-$100k","$100k+")))))</x:f>
        <x:v>$25k-$50k</x:v>
      </x:c>
      <x:c r="P5133" t="str">
        <x:f>IF(E5133="","Unknown",IF(E5133&lt;10,"&lt;10",IF(E5133&lt;20,"10-&lt;20",IF(E5133&lt;25,"20-&lt;25",IF(E5133&lt;35,"25-&lt;35","35+")))))</x:f>
        <x:v>10-&lt;20</x:v>
      </x:c>
    </x:row>
    <x:row r="5134">
      <x:c r="A5134" t="str">
        <x:v>SYN0005133</x:v>
      </x:c>
      <x:c r="B5134" s="12" t="n">
        <x:v>43315</x:v>
      </x:c>
      <x:c r="C5134" s="18" t="n">
        <x:v>9911</x:v>
      </x:c>
      <x:c r="D5134" s="18" t="n">
        <x:v>39392</x:v>
      </x:c>
      <x:c r="E5134" s="18" t="n">
        <x:v>20.74</x:v>
      </x:c>
      <x:c r="F5134" s="18" t="n">
        <x:v>26.64</x:v>
      </x:c>
      <x:c r="G5134" t="n">
        <x:v>36</x:v>
      </x:c>
      <x:c r="H5134" t="str">
        <x:v>G</x:v>
      </x:c>
      <x:c r="I5134" t="str">
        <x:v>7-9 years</x:v>
      </x:c>
      <x:c r="J5134" t="str">
        <x:v>RENT</x:v>
      </x:c>
      <x:c r="K5134" t="str">
        <x:v>debt_consolidation</x:v>
      </x:c>
      <x:c r="L5134" t="n">
        <x:v>3</x:v>
      </x:c>
      <x:c r="M5134" t="n">
        <x:v>1</x:v>
      </x:c>
      <x:c r="N5134" t="str">
        <x:v>Charged Off</x:v>
      </x:c>
      <x:c r="O5134" t="str">
        <x:f>IF(D5134="","Unknown",IF(D5134&lt;25000,"&lt;$25k",IF(D5134&lt;50000,"$25k-$50k",IF(D5134&lt;75000,"$50k-$75k",IF(D5134&lt;100000,"$75k-$100k","$100k+")))))</x:f>
        <x:v>$25k-$50k</x:v>
      </x:c>
      <x:c r="P5134" t="str">
        <x:f>IF(E5134="","Unknown",IF(E5134&lt;10,"&lt;10",IF(E5134&lt;20,"10-&lt;20",IF(E5134&lt;25,"20-&lt;25",IF(E5134&lt;35,"25-&lt;35","35+")))))</x:f>
        <x:v>20-&lt;25</x:v>
      </x:c>
    </x:row>
    <x:row r="5135">
      <x:c r="A5135" t="str">
        <x:v>SYN0005134</x:v>
      </x:c>
      <x:c r="B5135" s="12" t="n">
        <x:v>42985</x:v>
      </x:c>
      <x:c r="C5135" s="18" t="n">
        <x:v>17311</x:v>
      </x:c>
      <x:c r="D5135" s="18" t="n">
        <x:v>83301</x:v>
      </x:c>
      <x:c r="E5135" s="18" t="n">
        <x:v>16.69</x:v>
      </x:c>
      <x:c r="F5135" s="18" t="n">
        <x:v>5.36</x:v>
      </x:c>
      <x:c r="G5135" t="n">
        <x:v>36</x:v>
      </x:c>
      <x:c r="H5135" t="str">
        <x:v>B</x:v>
      </x:c>
      <x:c r="I5135" t="str">
        <x:v>4-6 years</x:v>
      </x:c>
      <x:c r="J5135" t="str">
        <x:v>MORTGAGE</x:v>
      </x:c>
      <x:c r="K5135" t="str">
        <x:v>home_improvement</x:v>
      </x:c>
      <x:c r="L5135" t="n">
        <x:v>0</x:v>
      </x:c>
      <x:c r="M5135" t="n">
        <x:v>0</x:v>
      </x:c>
      <x:c r="N5135" t="str">
        <x:v>Fully Paid</x:v>
      </x:c>
      <x:c r="O5135" t="str">
        <x:f>IF(D5135="","Unknown",IF(D5135&lt;25000,"&lt;$25k",IF(D5135&lt;50000,"$25k-$50k",IF(D5135&lt;75000,"$50k-$75k",IF(D5135&lt;100000,"$75k-$100k","$100k+")))))</x:f>
        <x:v>$75k-$100k</x:v>
      </x:c>
      <x:c r="P5135" t="str">
        <x:f>IF(E5135="","Unknown",IF(E5135&lt;10,"&lt;10",IF(E5135&lt;20,"10-&lt;20",IF(E5135&lt;25,"20-&lt;25",IF(E5135&lt;35,"25-&lt;35","35+")))))</x:f>
        <x:v>10-&lt;20</x:v>
      </x:c>
    </x:row>
    <x:row r="5136">
      <x:c r="A5136" t="str">
        <x:v>SYN0005135</x:v>
      </x:c>
      <x:c r="B5136" s="12" t="n">
        <x:v>41995</x:v>
      </x:c>
      <x:c r="C5136" s="18" t="n">
        <x:v>6237</x:v>
      </x:c>
      <x:c r="D5136" s="18" t="n">
        <x:v>33592</x:v>
      </x:c>
      <x:c r="E5136" s="18" t="n">
        <x:v>19.88</x:v>
      </x:c>
      <x:c r="F5136" s="18" t="n">
        <x:v>13.84</x:v>
      </x:c>
      <x:c r="G5136" t="n">
        <x:v>60</x:v>
      </x:c>
      <x:c r="H5136" t="str">
        <x:v>C</x:v>
      </x:c>
      <x:c r="I5136" t="str">
        <x:v>7-9 years</x:v>
      </x:c>
      <x:c r="J5136" t="str">
        <x:v>RENT</x:v>
      </x:c>
      <x:c r="K5136" t="str">
        <x:v>other</x:v>
      </x:c>
      <x:c r="L5136" t="n">
        <x:v>0</x:v>
      </x:c>
      <x:c r="M5136" t="n">
        <x:v>0</x:v>
      </x:c>
      <x:c r="N5136" t="str">
        <x:v>Fully Paid</x:v>
      </x:c>
      <x:c r="O5136" t="str">
        <x:f>IF(D5136="","Unknown",IF(D5136&lt;25000,"&lt;$25k",IF(D5136&lt;50000,"$25k-$50k",IF(D5136&lt;75000,"$50k-$75k",IF(D5136&lt;100000,"$75k-$100k","$100k+")))))</x:f>
        <x:v>$25k-$50k</x:v>
      </x:c>
      <x:c r="P5136" t="str">
        <x:f>IF(E5136="","Unknown",IF(E5136&lt;10,"&lt;10",IF(E5136&lt;20,"10-&lt;20",IF(E5136&lt;25,"20-&lt;25",IF(E5136&lt;35,"25-&lt;35","35+")))))</x:f>
        <x:v>10-&lt;20</x:v>
      </x:c>
    </x:row>
    <x:row r="5137">
      <x:c r="A5137" t="str">
        <x:v>SYN0005136</x:v>
      </x:c>
      <x:c r="B5137" s="12" t="n">
        <x:v>41335</x:v>
      </x:c>
      <x:c r="C5137" s="18" t="n">
        <x:v>13922</x:v>
      </x:c>
      <x:c r="D5137" s="18" t="n">
        <x:v>126042</x:v>
      </x:c>
      <x:c r="E5137" s="18" t="n">
        <x:v>20.64</x:v>
      </x:c>
      <x:c r="F5137" s="18" t="n">
        <x:v>11.27</x:v>
      </x:c>
      <x:c r="G5137" t="n">
        <x:v>36</x:v>
      </x:c>
      <x:c r="H5137" t="str">
        <x:v>C</x:v>
      </x:c>
      <x:c r="I5137" t="str">
        <x:v>4-6 years</x:v>
      </x:c>
      <x:c r="J5137" t="str">
        <x:v>RENT</x:v>
      </x:c>
      <x:c r="K5137" t="str">
        <x:v>debt_consolidation</x:v>
      </x:c>
      <x:c r="L5137" t="n">
        <x:v>0</x:v>
      </x:c>
      <x:c r="M5137" t="n">
        <x:v>0</x:v>
      </x:c>
      <x:c r="N5137" t="str">
        <x:v>Fully Paid</x:v>
      </x:c>
      <x:c r="O5137" t="str">
        <x:f>IF(D5137="","Unknown",IF(D5137&lt;25000,"&lt;$25k",IF(D5137&lt;50000,"$25k-$50k",IF(D5137&lt;75000,"$50k-$75k",IF(D5137&lt;100000,"$75k-$100k","$100k+")))))</x:f>
        <x:v>$100k+</x:v>
      </x:c>
      <x:c r="P5137" t="str">
        <x:f>IF(E5137="","Unknown",IF(E5137&lt;10,"&lt;10",IF(E5137&lt;20,"10-&lt;20",IF(E5137&lt;25,"20-&lt;25",IF(E5137&lt;35,"25-&lt;35","35+")))))</x:f>
        <x:v>20-&lt;25</x:v>
      </x:c>
    </x:row>
    <x:row r="5138">
      <x:c r="A5138" t="str">
        <x:v>SYN0005137</x:v>
      </x:c>
      <x:c r="B5138" s="12" t="n">
        <x:v>41635</x:v>
      </x:c>
      <x:c r="C5138" s="18" t="n">
        <x:v>14754</x:v>
      </x:c>
      <x:c r="D5138" s="18" t="n">
        <x:v>112170</x:v>
      </x:c>
      <x:c r="E5138" s="18" t="n">
        <x:v>28.88</x:v>
      </x:c>
      <x:c r="F5138" s="18" t="n">
        <x:v>5.58</x:v>
      </x:c>
      <x:c r="G5138" t="n">
        <x:v>36</x:v>
      </x:c>
      <x:c r="H5138" t="str">
        <x:v>A</x:v>
      </x:c>
      <x:c r="I5138" t="str">
        <x:v>4-6 years</x:v>
      </x:c>
      <x:c r="J5138" t="str">
        <x:v>RENT</x:v>
      </x:c>
      <x:c r="K5138" t="str">
        <x:v>home_improvement</x:v>
      </x:c>
      <x:c r="L5138" t="n">
        <x:v>0</x:v>
      </x:c>
      <x:c r="M5138" t="n">
        <x:v>0</x:v>
      </x:c>
      <x:c r="N5138" t="str">
        <x:v>Fully Paid</x:v>
      </x:c>
      <x:c r="O5138" t="str">
        <x:f>IF(D5138="","Unknown",IF(D5138&lt;25000,"&lt;$25k",IF(D5138&lt;50000,"$25k-$50k",IF(D5138&lt;75000,"$50k-$75k",IF(D5138&lt;100000,"$75k-$100k","$100k+")))))</x:f>
        <x:v>$100k+</x:v>
      </x:c>
      <x:c r="P5138" t="str">
        <x:f>IF(E5138="","Unknown",IF(E5138&lt;10,"&lt;10",IF(E5138&lt;20,"10-&lt;20",IF(E5138&lt;25,"20-&lt;25",IF(E5138&lt;35,"25-&lt;35","35+")))))</x:f>
        <x:v>25-&lt;35</x:v>
      </x:c>
    </x:row>
    <x:row r="5139">
      <x:c r="A5139" t="str">
        <x:v>SYN0005138</x:v>
      </x:c>
      <x:c r="B5139" s="12" t="n">
        <x:v>42475</x:v>
      </x:c>
      <x:c r="C5139" s="18" t="n">
        <x:v>17633</x:v>
      </x:c>
      <x:c r="D5139" s="18" t="n">
        <x:v>65145</x:v>
      </x:c>
      <x:c r="E5139" s="18" t="n">
        <x:v>30.71</x:v>
      </x:c>
      <x:c r="F5139" s="18" t="n">
        <x:v>17.06</x:v>
      </x:c>
      <x:c r="G5139" t="n">
        <x:v>36</x:v>
      </x:c>
      <x:c r="H5139" t="str">
        <x:v>E</x:v>
      </x:c>
      <x:c r="I5139" t="str">
        <x:v>4-6 years</x:v>
      </x:c>
      <x:c r="J5139" t="str">
        <x:v>RENT</x:v>
      </x:c>
      <x:c r="K5139" t="str">
        <x:v>home_improvement</x:v>
      </x:c>
      <x:c r="L5139" t="n">
        <x:v>0</x:v>
      </x:c>
      <x:c r="M5139" t="n">
        <x:v>0</x:v>
      </x:c>
      <x:c r="N5139" t="str">
        <x:v>Fully Paid</x:v>
      </x:c>
      <x:c r="O5139" t="str">
        <x:f>IF(D5139="","Unknown",IF(D5139&lt;25000,"&lt;$25k",IF(D5139&lt;50000,"$25k-$50k",IF(D5139&lt;75000,"$50k-$75k",IF(D5139&lt;100000,"$75k-$100k","$100k+")))))</x:f>
        <x:v>$50k-$75k</x:v>
      </x:c>
      <x:c r="P5139" t="str">
        <x:f>IF(E5139="","Unknown",IF(E5139&lt;10,"&lt;10",IF(E5139&lt;20,"10-&lt;20",IF(E5139&lt;25,"20-&lt;25",IF(E5139&lt;35,"25-&lt;35","35+")))))</x:f>
        <x:v>25-&lt;35</x:v>
      </x:c>
    </x:row>
    <x:row r="5140">
      <x:c r="A5140" t="str">
        <x:v>SYN0005139</x:v>
      </x:c>
      <x:c r="B5140" s="12" t="n">
        <x:v>43015</x:v>
      </x:c>
      <x:c r="C5140" s="18" t="n">
        <x:v>15658</x:v>
      </x:c>
      <x:c r="D5140" s="18" t="n">
        <x:v>50234</x:v>
      </x:c>
      <x:c r="E5140" s="18" t="n">
        <x:v>17.73</x:v>
      </x:c>
      <x:c r="F5140" s="18" t="n">
        <x:v>8.61</x:v>
      </x:c>
      <x:c r="G5140" t="n">
        <x:v>60</x:v>
      </x:c>
      <x:c r="H5140" t="str">
        <x:v>B</x:v>
      </x:c>
      <x:c r="I5140" t="str">
        <x:v>4-6 years</x:v>
      </x:c>
      <x:c r="J5140" t="str">
        <x:v>MORTGAGE</x:v>
      </x:c>
      <x:c r="K5140" t="str">
        <x:v>debt_consolidation</x:v>
      </x:c>
      <x:c r="L5140" t="n">
        <x:v>0</x:v>
      </x:c>
      <x:c r="M5140" t="n">
        <x:v>0</x:v>
      </x:c>
      <x:c r="N5140" t="str">
        <x:v>Fully Paid</x:v>
      </x:c>
      <x:c r="O5140" t="str">
        <x:f>IF(D5140="","Unknown",IF(D5140&lt;25000,"&lt;$25k",IF(D5140&lt;50000,"$25k-$50k",IF(D5140&lt;75000,"$50k-$75k",IF(D5140&lt;100000,"$75k-$100k","$100k+")))))</x:f>
        <x:v>$50k-$75k</x:v>
      </x:c>
      <x:c r="P5140" t="str">
        <x:f>IF(E5140="","Unknown",IF(E5140&lt;10,"&lt;10",IF(E5140&lt;20,"10-&lt;20",IF(E5140&lt;25,"20-&lt;25",IF(E5140&lt;35,"25-&lt;35","35+")))))</x:f>
        <x:v>10-&lt;20</x:v>
      </x:c>
    </x:row>
    <x:row r="5141">
      <x:c r="A5141" t="str">
        <x:v>SYN0005140</x:v>
      </x:c>
      <x:c r="B5141" s="12" t="n">
        <x:v>42055</x:v>
      </x:c>
      <x:c r="C5141" s="18" t="n">
        <x:v>7443</x:v>
      </x:c>
      <x:c r="D5141" s="18" t="n">
        <x:v>122273</x:v>
      </x:c>
      <x:c r="E5141" s="18" t="n">
        <x:v>9.78</x:v>
      </x:c>
      <x:c r="F5141" s="18" t="n">
        <x:v>7.34</x:v>
      </x:c>
      <x:c r="G5141" t="n">
        <x:v>36</x:v>
      </x:c>
      <x:c r="H5141" t="str">
        <x:v>A</x:v>
      </x:c>
      <x:c r="I5141" t="str">
        <x:v>10+ years</x:v>
      </x:c>
      <x:c r="J5141" t="str">
        <x:v>MORTGAGE</x:v>
      </x:c>
      <x:c r="K5141" t="str">
        <x:v>other</x:v>
      </x:c>
      <x:c r="L5141" t="n">
        <x:v>0</x:v>
      </x:c>
      <x:c r="M5141" t="n">
        <x:v>0</x:v>
      </x:c>
      <x:c r="N5141" t="str">
        <x:v>Fully Paid</x:v>
      </x:c>
      <x:c r="O5141" t="str">
        <x:f>IF(D5141="","Unknown",IF(D5141&lt;25000,"&lt;$25k",IF(D5141&lt;50000,"$25k-$50k",IF(D5141&lt;75000,"$50k-$75k",IF(D5141&lt;100000,"$75k-$100k","$100k+")))))</x:f>
        <x:v>$100k+</x:v>
      </x:c>
      <x:c r="P5141" t="str">
        <x:f>IF(E5141="","Unknown",IF(E5141&lt;10,"&lt;10",IF(E5141&lt;20,"10-&lt;20",IF(E5141&lt;25,"20-&lt;25",IF(E5141&lt;35,"25-&lt;35","35+")))))</x:f>
        <x:v>&lt;10</x:v>
      </x:c>
    </x:row>
    <x:row r="5142">
      <x:c r="A5142" t="str">
        <x:v>SYN0005141</x:v>
      </x:c>
      <x:c r="B5142" s="12" t="n">
        <x:v>41305</x:v>
      </x:c>
      <x:c r="C5142" s="18" t="n">
        <x:v>12391</x:v>
      </x:c>
      <x:c r="D5142" s="18" t="n">
        <x:v>16096</x:v>
      </x:c>
      <x:c r="E5142" s="18" t="n">
        <x:v>11.36</x:v>
      </x:c>
      <x:c r="F5142" s="18" t="n">
        <x:v>13.69</x:v>
      </x:c>
      <x:c r="G5142" t="n">
        <x:v>36</x:v>
      </x:c>
      <x:c r="H5142" t="str">
        <x:v>D</x:v>
      </x:c>
      <x:c r="I5142" t="str">
        <x:v>7-9 years</x:v>
      </x:c>
      <x:c r="J5142" t="str">
        <x:v>RENT</x:v>
      </x:c>
      <x:c r="K5142" t="str">
        <x:v>home_improvement</x:v>
      </x:c>
      <x:c r="L5142" t="n">
        <x:v>0</x:v>
      </x:c>
      <x:c r="M5142" t="n">
        <x:v>0</x:v>
      </x:c>
      <x:c r="N5142" t="str">
        <x:v>Fully Paid</x:v>
      </x:c>
      <x:c r="O5142" t="str">
        <x:f>IF(D5142="","Unknown",IF(D5142&lt;25000,"&lt;$25k",IF(D5142&lt;50000,"$25k-$50k",IF(D5142&lt;75000,"$50k-$75k",IF(D5142&lt;100000,"$75k-$100k","$100k+")))))</x:f>
        <x:v>&lt;$25k</x:v>
      </x:c>
      <x:c r="P5142" t="str">
        <x:f>IF(E5142="","Unknown",IF(E5142&lt;10,"&lt;10",IF(E5142&lt;20,"10-&lt;20",IF(E5142&lt;25,"20-&lt;25",IF(E5142&lt;35,"25-&lt;35","35+")))))</x:f>
        <x:v>10-&lt;20</x:v>
      </x:c>
    </x:row>
    <x:row r="5143">
      <x:c r="A5143" t="str">
        <x:v>SYN0005142</x:v>
      </x:c>
      <x:c r="B5143" s="12" t="n">
        <x:v>41725</x:v>
      </x:c>
      <x:c r="C5143" s="18" t="n">
        <x:v>16959</x:v>
      </x:c>
      <x:c r="D5143" s="18" t="n">
        <x:v>121150</x:v>
      </x:c>
      <x:c r="E5143" s="18" t="n">
        <x:v>19.5</x:v>
      </x:c>
      <x:c r="F5143" s="18" t="n">
        <x:v>7.85</x:v>
      </x:c>
      <x:c r="G5143" t="n">
        <x:v>36</x:v>
      </x:c>
      <x:c r="H5143" t="str">
        <x:v>A</x:v>
      </x:c>
      <x:c r="I5143" t="str">
        <x:v>10+ years</x:v>
      </x:c>
      <x:c r="J5143" t="str">
        <x:v>RENT</x:v>
      </x:c>
      <x:c r="K5143" t="str">
        <x:v>credit_card</x:v>
      </x:c>
      <x:c r="L5143" t="n">
        <x:v>1</x:v>
      </x:c>
      <x:c r="M5143" t="n">
        <x:v>0</x:v>
      </x:c>
      <x:c r="N5143" t="str">
        <x:v>Fully Paid</x:v>
      </x:c>
      <x:c r="O5143" t="str">
        <x:f>IF(D5143="","Unknown",IF(D5143&lt;25000,"&lt;$25k",IF(D5143&lt;50000,"$25k-$50k",IF(D5143&lt;75000,"$50k-$75k",IF(D5143&lt;100000,"$75k-$100k","$100k+")))))</x:f>
        <x:v>$100k+</x:v>
      </x:c>
      <x:c r="P5143" t="str">
        <x:f>IF(E5143="","Unknown",IF(E5143&lt;10,"&lt;10",IF(E5143&lt;20,"10-&lt;20",IF(E5143&lt;25,"20-&lt;25",IF(E5143&lt;35,"25-&lt;35","35+")))))</x:f>
        <x:v>10-&lt;20</x:v>
      </x:c>
    </x:row>
    <x:row r="5144">
      <x:c r="A5144" t="str">
        <x:v>SYN0005143</x:v>
      </x:c>
      <x:c r="B5144" s="12" t="n">
        <x:v>42115</x:v>
      </x:c>
      <x:c r="C5144" s="18" t="n">
        <x:v>12975</x:v>
      </x:c>
      <x:c r="D5144" s="18" t="n">
        <x:v>45733</x:v>
      </x:c>
      <x:c r="E5144" s="18" t="n">
        <x:v>5.64</x:v>
      </x:c>
      <x:c r="F5144" s="18" t="n">
        <x:v>13.5</x:v>
      </x:c>
      <x:c r="G5144" t="n">
        <x:v>36</x:v>
      </x:c>
      <x:c r="H5144" t="str">
        <x:v>D</x:v>
      </x:c>
      <x:c r="I5144" t="str">
        <x:v>7-9 years</x:v>
      </x:c>
      <x:c r="J5144" t="str">
        <x:v>MORTGAGE</x:v>
      </x:c>
      <x:c r="K5144" t="str">
        <x:v>debt_consolidation</x:v>
      </x:c>
      <x:c r="L5144" t="n">
        <x:v>0</x:v>
      </x:c>
      <x:c r="M5144" t="n">
        <x:v>0</x:v>
      </x:c>
      <x:c r="N5144" t="str">
        <x:v>Fully Paid</x:v>
      </x:c>
      <x:c r="O5144" t="str">
        <x:f>IF(D5144="","Unknown",IF(D5144&lt;25000,"&lt;$25k",IF(D5144&lt;50000,"$25k-$50k",IF(D5144&lt;75000,"$50k-$75k",IF(D5144&lt;100000,"$75k-$100k","$100k+")))))</x:f>
        <x:v>$25k-$50k</x:v>
      </x:c>
      <x:c r="P5144" t="str">
        <x:f>IF(E5144="","Unknown",IF(E5144&lt;10,"&lt;10",IF(E5144&lt;20,"10-&lt;20",IF(E5144&lt;25,"20-&lt;25",IF(E5144&lt;35,"25-&lt;35","35+")))))</x:f>
        <x:v>&lt;10</x:v>
      </x:c>
    </x:row>
    <x:row r="5145">
      <x:c r="A5145" t="str">
        <x:v>SYN0005144</x:v>
      </x:c>
      <x:c r="B5145" s="12" t="n">
        <x:v>42925</x:v>
      </x:c>
      <x:c r="C5145" s="18" t="n">
        <x:v>15860</x:v>
      </x:c>
      <x:c r="D5145" s="18" t="n">
        <x:v>60679</x:v>
      </x:c>
      <x:c r="E5145" s="18" t="n">
        <x:v>15.82</x:v>
      </x:c>
      <x:c r="F5145" s="18" t="n">
        <x:v>5.91</x:v>
      </x:c>
      <x:c r="G5145" t="n">
        <x:v>36</x:v>
      </x:c>
      <x:c r="H5145" t="str">
        <x:v>A</x:v>
      </x:c>
      <x:c r="I5145" t="str">
        <x:v>7-9 years</x:v>
      </x:c>
      <x:c r="J5145" t="str">
        <x:v>OWN</x:v>
      </x:c>
      <x:c r="K5145" t="str">
        <x:v>debt_consolidation</x:v>
      </x:c>
      <x:c r="L5145" t="n">
        <x:v>0</x:v>
      </x:c>
      <x:c r="M5145" t="n">
        <x:v>0</x:v>
      </x:c>
      <x:c r="N5145" t="str">
        <x:v>Fully Paid</x:v>
      </x:c>
      <x:c r="O5145" t="str">
        <x:f>IF(D5145="","Unknown",IF(D5145&lt;25000,"&lt;$25k",IF(D5145&lt;50000,"$25k-$50k",IF(D5145&lt;75000,"$50k-$75k",IF(D5145&lt;100000,"$75k-$100k","$100k+")))))</x:f>
        <x:v>$50k-$75k</x:v>
      </x:c>
      <x:c r="P5145" t="str">
        <x:f>IF(E5145="","Unknown",IF(E5145&lt;10,"&lt;10",IF(E5145&lt;20,"10-&lt;20",IF(E5145&lt;25,"20-&lt;25",IF(E5145&lt;35,"25-&lt;35","35+")))))</x:f>
        <x:v>10-&lt;20</x:v>
      </x:c>
    </x:row>
    <x:row r="5146">
      <x:c r="A5146" t="str">
        <x:v>SYN0005145</x:v>
      </x:c>
      <x:c r="B5146" s="12" t="n">
        <x:v>42265</x:v>
      </x:c>
      <x:c r="C5146" s="18" t="n">
        <x:v>16201</x:v>
      </x:c>
      <x:c r="D5146" s="18" t="n">
        <x:v>14909</x:v>
      </x:c>
      <x:c r="E5146" s="18" t="n">
        <x:v>18.76</x:v>
      </x:c>
      <x:c r="F5146" s="18" t="n">
        <x:v>7.88</x:v>
      </x:c>
      <x:c r="G5146" t="n">
        <x:v>60</x:v>
      </x:c>
      <x:c r="H5146" t="str">
        <x:v>B</x:v>
      </x:c>
      <x:c r="I5146" t="str">
        <x:v>10+ years</x:v>
      </x:c>
      <x:c r="J5146" t="str">
        <x:v>OWN</x:v>
      </x:c>
      <x:c r="K5146" t="str">
        <x:v>major_purchase</x:v>
      </x:c>
      <x:c r="L5146" t="n">
        <x:v>0</x:v>
      </x:c>
      <x:c r="M5146" t="n">
        <x:v>0</x:v>
      </x:c>
      <x:c r="N5146" t="str">
        <x:v>Fully Paid</x:v>
      </x:c>
      <x:c r="O5146" t="str">
        <x:f>IF(D5146="","Unknown",IF(D5146&lt;25000,"&lt;$25k",IF(D5146&lt;50000,"$25k-$50k",IF(D5146&lt;75000,"$50k-$75k",IF(D5146&lt;100000,"$75k-$100k","$100k+")))))</x:f>
        <x:v>&lt;$25k</x:v>
      </x:c>
      <x:c r="P5146" t="str">
        <x:f>IF(E5146="","Unknown",IF(E5146&lt;10,"&lt;10",IF(E5146&lt;20,"10-&lt;20",IF(E5146&lt;25,"20-&lt;25",IF(E5146&lt;35,"25-&lt;35","35+")))))</x:f>
        <x:v>10-&lt;20</x:v>
      </x:c>
    </x:row>
    <x:row r="5147">
      <x:c r="A5147" t="str">
        <x:v>SYN0005146</x:v>
      </x:c>
      <x:c r="B5147" s="12" t="n">
        <x:v>42385</x:v>
      </x:c>
      <x:c r="C5147" s="18" t="n">
        <x:v>14271</x:v>
      </x:c>
      <x:c r="D5147" s="18" t="n">
        <x:v>128502</x:v>
      </x:c>
      <x:c r="E5147" s="18" t="n">
        <x:v>36.41</x:v>
      </x:c>
      <x:c r="F5147" s="18" t="n">
        <x:v>13.81</x:v>
      </x:c>
      <x:c r="G5147" t="n">
        <x:v>60</x:v>
      </x:c>
      <x:c r="H5147" t="str">
        <x:v>D</x:v>
      </x:c>
      <x:c r="I5147" t="str">
        <x:v>10+ years</x:v>
      </x:c>
      <x:c r="J5147" t="str">
        <x:v>RENT</x:v>
      </x:c>
      <x:c r="K5147" t="str">
        <x:v>debt_consolidation</x:v>
      </x:c>
      <x:c r="L5147" t="n">
        <x:v>0</x:v>
      </x:c>
      <x:c r="M5147" t="n">
        <x:v>0</x:v>
      </x:c>
      <x:c r="N5147" t="str">
        <x:v>Fully Paid</x:v>
      </x:c>
      <x:c r="O5147" t="str">
        <x:f>IF(D5147="","Unknown",IF(D5147&lt;25000,"&lt;$25k",IF(D5147&lt;50000,"$25k-$50k",IF(D5147&lt;75000,"$50k-$75k",IF(D5147&lt;100000,"$75k-$100k","$100k+")))))</x:f>
        <x:v>$100k+</x:v>
      </x:c>
      <x:c r="P5147" t="str">
        <x:f>IF(E5147="","Unknown",IF(E5147&lt;10,"&lt;10",IF(E5147&lt;20,"10-&lt;20",IF(E5147&lt;25,"20-&lt;25",IF(E5147&lt;35,"25-&lt;35","35+")))))</x:f>
        <x:v>35+</x:v>
      </x:c>
    </x:row>
    <x:row r="5148">
      <x:c r="A5148" t="str">
        <x:v>SYN0005147</x:v>
      </x:c>
      <x:c r="B5148" s="12" t="n">
        <x:v>42235</x:v>
      </x:c>
      <x:c r="C5148" s="18" t="n">
        <x:v>17759</x:v>
      </x:c>
      <x:c r="D5148" s="18" t="n">
        <x:v>35176</x:v>
      </x:c>
      <x:c r="E5148" s="18" t="n">
        <x:v>23.94</x:v>
      </x:c>
      <x:c r="F5148" s="18" t="n">
        <x:v>9.18</x:v>
      </x:c>
      <x:c r="G5148" t="n">
        <x:v>36</x:v>
      </x:c>
      <x:c r="H5148" t="str">
        <x:v>B</x:v>
      </x:c>
      <x:c r="I5148" t="str">
        <x:v>1-3 years</x:v>
      </x:c>
      <x:c r="J5148" t="str">
        <x:v>RENT</x:v>
      </x:c>
      <x:c r="K5148" t="str">
        <x:v>debt_consolidation</x:v>
      </x:c>
      <x:c r="L5148" t="n">
        <x:v>1</x:v>
      </x:c>
      <x:c r="M5148" t="n">
        <x:v>0</x:v>
      </x:c>
      <x:c r="N5148" t="str">
        <x:v>Fully Paid</x:v>
      </x:c>
      <x:c r="O5148" t="str">
        <x:f>IF(D5148="","Unknown",IF(D5148&lt;25000,"&lt;$25k",IF(D5148&lt;50000,"$25k-$50k",IF(D5148&lt;75000,"$50k-$75k",IF(D5148&lt;100000,"$75k-$100k","$100k+")))))</x:f>
        <x:v>$25k-$50k</x:v>
      </x:c>
      <x:c r="P5148" t="str">
        <x:f>IF(E5148="","Unknown",IF(E5148&lt;10,"&lt;10",IF(E5148&lt;20,"10-&lt;20",IF(E5148&lt;25,"20-&lt;25",IF(E5148&lt;35,"25-&lt;35","35+")))))</x:f>
        <x:v>20-&lt;25</x:v>
      </x:c>
    </x:row>
    <x:row r="5149">
      <x:c r="A5149" t="str">
        <x:v>SYN0005148</x:v>
      </x:c>
      <x:c r="B5149" s="12" t="n">
        <x:v>42235</x:v>
      </x:c>
      <x:c r="C5149" s="18" t="n">
        <x:v>15775</x:v>
      </x:c>
      <x:c r="D5149" s="18" t="n">
        <x:v>102733</x:v>
      </x:c>
      <x:c r="E5149" s="18" t="n">
        <x:v>19.06</x:v>
      </x:c>
      <x:c r="F5149" s="18" t="n">
        <x:v>11.31</x:v>
      </x:c>
      <x:c r="G5149" t="n">
        <x:v>60</x:v>
      </x:c>
      <x:c r="H5149" t="str">
        <x:v>C</x:v>
      </x:c>
      <x:c r="I5149" t="str">
        <x:v>4-6 years</x:v>
      </x:c>
      <x:c r="J5149" t="str">
        <x:v>MORTGAGE</x:v>
      </x:c>
      <x:c r="K5149" t="str">
        <x:v>debt_consolidation</x:v>
      </x:c>
      <x:c r="L5149" t="n">
        <x:v>0</x:v>
      </x:c>
      <x:c r="M5149" t="n">
        <x:v>0</x:v>
      </x:c>
      <x:c r="N5149" t="str">
        <x:v>Fully Paid</x:v>
      </x:c>
      <x:c r="O5149" t="str">
        <x:f>IF(D5149="","Unknown",IF(D5149&lt;25000,"&lt;$25k",IF(D5149&lt;50000,"$25k-$50k",IF(D5149&lt;75000,"$50k-$75k",IF(D5149&lt;100000,"$75k-$100k","$100k+")))))</x:f>
        <x:v>$100k+</x:v>
      </x:c>
      <x:c r="P5149" t="str">
        <x:f>IF(E5149="","Unknown",IF(E5149&lt;10,"&lt;10",IF(E5149&lt;20,"10-&lt;20",IF(E5149&lt;25,"20-&lt;25",IF(E5149&lt;35,"25-&lt;35","35+")))))</x:f>
        <x:v>10-&lt;20</x:v>
      </x:c>
    </x:row>
    <x:row r="5150">
      <x:c r="A5150" t="str">
        <x:v>SYN0005149</x:v>
      </x:c>
      <x:c r="B5150" s="12" t="n">
        <x:v>41275</x:v>
      </x:c>
      <x:c r="C5150" s="18" t="n">
        <x:v>6170</x:v>
      </x:c>
      <x:c r="D5150" s="18" t="n">
        <x:v>29256</x:v>
      </x:c>
      <x:c r="E5150" s="18" t="n">
        <x:v>26.11</x:v>
      </x:c>
      <x:c r="F5150" s="18" t="n">
        <x:v>19.6</x:v>
      </x:c>
      <x:c r="G5150" t="n">
        <x:v>36</x:v>
      </x:c>
      <x:c r="H5150" t="str">
        <x:v>E</x:v>
      </x:c>
      <x:c r="I5150" t="str">
        <x:v>7-9 years</x:v>
      </x:c>
      <x:c r="J5150" t="str">
        <x:v>OWN</x:v>
      </x:c>
      <x:c r="K5150" t="str">
        <x:v>debt_consolidation</x:v>
      </x:c>
      <x:c r="L5150" t="n">
        <x:v>2</x:v>
      </x:c>
      <x:c r="M5150" t="n">
        <x:v>0</x:v>
      </x:c>
      <x:c r="N5150" t="str">
        <x:v>Fully Paid</x:v>
      </x:c>
      <x:c r="O5150" t="str">
        <x:f>IF(D5150="","Unknown",IF(D5150&lt;25000,"&lt;$25k",IF(D5150&lt;50000,"$25k-$50k",IF(D5150&lt;75000,"$50k-$75k",IF(D5150&lt;100000,"$75k-$100k","$100k+")))))</x:f>
        <x:v>$25k-$50k</x:v>
      </x:c>
      <x:c r="P5150" t="str">
        <x:f>IF(E5150="","Unknown",IF(E5150&lt;10,"&lt;10",IF(E5150&lt;20,"10-&lt;20",IF(E5150&lt;25,"20-&lt;25",IF(E5150&lt;35,"25-&lt;35","35+")))))</x:f>
        <x:v>25-&lt;35</x:v>
      </x:c>
    </x:row>
    <x:row r="5151">
      <x:c r="A5151" t="str">
        <x:v>SYN0005150</x:v>
      </x:c>
      <x:c r="B5151" s="12" t="n">
        <x:v>42325</x:v>
      </x:c>
      <x:c r="C5151" s="18" t="n">
        <x:v>19823</x:v>
      </x:c>
      <x:c r="D5151" s="18" t="n">
        <x:v>76667</x:v>
      </x:c>
      <x:c r="E5151" s="18" t="n">
        <x:v>18.72</x:v>
      </x:c>
      <x:c r="F5151" s="18" t="n">
        <x:v>8.1</x:v>
      </x:c>
      <x:c r="G5151" t="n">
        <x:v>36</x:v>
      </x:c>
      <x:c r="H5151" t="str">
        <x:v>B</x:v>
      </x:c>
      <x:c r="I5151" t="str">
        <x:v>7-9 years</x:v>
      </x:c>
      <x:c r="J5151" t="str">
        <x:v>MORTGAGE</x:v>
      </x:c>
      <x:c r="K5151" t="str">
        <x:v>credit_card</x:v>
      </x:c>
      <x:c r="L5151" t="n">
        <x:v>1</x:v>
      </x:c>
      <x:c r="M5151" t="n">
        <x:v>1</x:v>
      </x:c>
      <x:c r="N5151" t="str">
        <x:v>Charged Off</x:v>
      </x:c>
      <x:c r="O5151" t="str">
        <x:f>IF(D5151="","Unknown",IF(D5151&lt;25000,"&lt;$25k",IF(D5151&lt;50000,"$25k-$50k",IF(D5151&lt;75000,"$50k-$75k",IF(D5151&lt;100000,"$75k-$100k","$100k+")))))</x:f>
        <x:v>$75k-$100k</x:v>
      </x:c>
      <x:c r="P5151" t="str">
        <x:f>IF(E5151="","Unknown",IF(E5151&lt;10,"&lt;10",IF(E5151&lt;20,"10-&lt;20",IF(E5151&lt;25,"20-&lt;25",IF(E5151&lt;35,"25-&lt;35","35+")))))</x:f>
        <x:v>10-&lt;20</x:v>
      </x:c>
    </x:row>
    <x:row r="5152">
      <x:c r="A5152" t="str">
        <x:v>SYN0005151</x:v>
      </x:c>
      <x:c r="B5152" s="12" t="n">
        <x:v>42715</x:v>
      </x:c>
      <x:c r="C5152" s="18" t="n">
        <x:v>10037</x:v>
      </x:c>
      <x:c r="D5152" s="18" t="n">
        <x:v>47733</x:v>
      </x:c>
      <x:c r="E5152" s="18" t="n">
        <x:v>23.35</x:v>
      </x:c>
      <x:c r="F5152" s="18" t="n">
        <x:v>20.26</x:v>
      </x:c>
      <x:c r="G5152" t="n">
        <x:v>36</x:v>
      </x:c>
      <x:c r="H5152" t="str">
        <x:v>E</x:v>
      </x:c>
      <x:c r="I5152" t="str">
        <x:v>7-9 years</x:v>
      </x:c>
      <x:c r="J5152" t="str">
        <x:v>MORTGAGE</x:v>
      </x:c>
      <x:c r="K5152" t="str">
        <x:v>credit_card</x:v>
      </x:c>
      <x:c r="L5152" t="n">
        <x:v>0</x:v>
      </x:c>
      <x:c r="M5152" t="n">
        <x:v>0</x:v>
      </x:c>
      <x:c r="N5152" t="str">
        <x:v>Fully Paid</x:v>
      </x:c>
      <x:c r="O5152" t="str">
        <x:f>IF(D5152="","Unknown",IF(D5152&lt;25000,"&lt;$25k",IF(D5152&lt;50000,"$25k-$50k",IF(D5152&lt;75000,"$50k-$75k",IF(D5152&lt;100000,"$75k-$100k","$100k+")))))</x:f>
        <x:v>$25k-$50k</x:v>
      </x:c>
      <x:c r="P5152" t="str">
        <x:f>IF(E5152="","Unknown",IF(E5152&lt;10,"&lt;10",IF(E5152&lt;20,"10-&lt;20",IF(E5152&lt;25,"20-&lt;25",IF(E5152&lt;35,"25-&lt;35","35+")))))</x:f>
        <x:v>20-&lt;25</x:v>
      </x:c>
    </x:row>
    <x:row r="5153">
      <x:c r="A5153" t="str">
        <x:v>SYN0005152</x:v>
      </x:c>
      <x:c r="B5153" s="12" t="n">
        <x:v>41695</x:v>
      </x:c>
      <x:c r="C5153" s="18" t="n">
        <x:v>11865</x:v>
      </x:c>
      <x:c r="D5153" s="18" t="n">
        <x:v>59194</x:v>
      </x:c>
      <x:c r="E5153" s="18" t="n">
        <x:v>12.45</x:v>
      </x:c>
      <x:c r="F5153" s="18" t="n">
        <x:v>10.4</x:v>
      </x:c>
      <x:c r="G5153" t="n">
        <x:v>36</x:v>
      </x:c>
      <x:c r="H5153" t="str">
        <x:v>B</x:v>
      </x:c>
      <x:c r="I5153" t="str">
        <x:v>1-3 years</x:v>
      </x:c>
      <x:c r="J5153" t="str">
        <x:v>MORTGAGE</x:v>
      </x:c>
      <x:c r="K5153" t="str">
        <x:v>credit_card</x:v>
      </x:c>
      <x:c r="L5153" t="n">
        <x:v>0</x:v>
      </x:c>
      <x:c r="M5153" t="n">
        <x:v>0</x:v>
      </x:c>
      <x:c r="N5153" t="str">
        <x:v>Fully Paid</x:v>
      </x:c>
      <x:c r="O5153" t="str">
        <x:f>IF(D5153="","Unknown",IF(D5153&lt;25000,"&lt;$25k",IF(D5153&lt;50000,"$25k-$50k",IF(D5153&lt;75000,"$50k-$75k",IF(D5153&lt;100000,"$75k-$100k","$100k+")))))</x:f>
        <x:v>$50k-$75k</x:v>
      </x:c>
      <x:c r="P5153" t="str">
        <x:f>IF(E5153="","Unknown",IF(E5153&lt;10,"&lt;10",IF(E5153&lt;20,"10-&lt;20",IF(E5153&lt;25,"20-&lt;25",IF(E5153&lt;35,"25-&lt;35","35+")))))</x:f>
        <x:v>10-&lt;20</x:v>
      </x:c>
    </x:row>
    <x:row r="5154">
      <x:c r="A5154" t="str">
        <x:v>SYN0005153</x:v>
      </x:c>
      <x:c r="B5154" s="12" t="n">
        <x:v>42595</x:v>
      </x:c>
      <x:c r="C5154" s="18" t="n">
        <x:v>14856</x:v>
      </x:c>
      <x:c r="D5154" s="18" t="n">
        <x:v>117393</x:v>
      </x:c>
      <x:c r="E5154" s="18" t="n">
        <x:v>30.95</x:v>
      </x:c>
      <x:c r="F5154" s="18" t="n">
        <x:v>14.82</x:v>
      </x:c>
      <x:c r="G5154" t="n">
        <x:v>36</x:v>
      </x:c>
      <x:c r="H5154" t="str">
        <x:v>D</x:v>
      </x:c>
      <x:c r="I5154" t="str">
        <x:v>10+ years</x:v>
      </x:c>
      <x:c r="J5154" t="str">
        <x:v>OWN</x:v>
      </x:c>
      <x:c r="K5154" t="str">
        <x:v>debt_consolidation</x:v>
      </x:c>
      <x:c r="L5154" t="n">
        <x:v>0</x:v>
      </x:c>
      <x:c r="M5154" t="n">
        <x:v>0</x:v>
      </x:c>
      <x:c r="N5154" t="str">
        <x:v>Fully Paid</x:v>
      </x:c>
      <x:c r="O5154" t="str">
        <x:f>IF(D5154="","Unknown",IF(D5154&lt;25000,"&lt;$25k",IF(D5154&lt;50000,"$25k-$50k",IF(D5154&lt;75000,"$50k-$75k",IF(D5154&lt;100000,"$75k-$100k","$100k+")))))</x:f>
        <x:v>$100k+</x:v>
      </x:c>
      <x:c r="P5154" t="str">
        <x:f>IF(E5154="","Unknown",IF(E5154&lt;10,"&lt;10",IF(E5154&lt;20,"10-&lt;20",IF(E5154&lt;25,"20-&lt;25",IF(E5154&lt;35,"25-&lt;35","35+")))))</x:f>
        <x:v>25-&lt;35</x:v>
      </x:c>
    </x:row>
    <x:row r="5155">
      <x:c r="A5155" t="str">
        <x:v>SYN0005154</x:v>
      </x:c>
      <x:c r="B5155" s="12" t="n">
        <x:v>43345</x:v>
      </x:c>
      <x:c r="C5155" s="18" t="n">
        <x:v>22890</x:v>
      </x:c>
      <x:c r="D5155" s="18" t="n">
        <x:v>90517</x:v>
      </x:c>
      <x:c r="E5155" s="18" t="n">
        <x:v>19.07</x:v>
      </x:c>
      <x:c r="F5155" s="18" t="n">
        <x:v>11.56</x:v>
      </x:c>
      <x:c r="G5155" t="n">
        <x:v>36</x:v>
      </x:c>
      <x:c r="H5155" t="str">
        <x:v>C</x:v>
      </x:c>
      <x:c r="I5155" t="str">
        <x:v>10+ years</x:v>
      </x:c>
      <x:c r="J5155" t="str">
        <x:v>OWN</x:v>
      </x:c>
      <x:c r="K5155" t="str">
        <x:v>debt_consolidation</x:v>
      </x:c>
      <x:c r="L5155" t="n">
        <x:v>1</x:v>
      </x:c>
      <x:c r="M5155" t="n">
        <x:v>0</x:v>
      </x:c>
      <x:c r="N5155" t="str">
        <x:v>Fully Paid</x:v>
      </x:c>
      <x:c r="O5155" t="str">
        <x:f>IF(D5155="","Unknown",IF(D5155&lt;25000,"&lt;$25k",IF(D5155&lt;50000,"$25k-$50k",IF(D5155&lt;75000,"$50k-$75k",IF(D5155&lt;100000,"$75k-$100k","$100k+")))))</x:f>
        <x:v>$75k-$100k</x:v>
      </x:c>
      <x:c r="P5155" t="str">
        <x:f>IF(E5155="","Unknown",IF(E5155&lt;10,"&lt;10",IF(E5155&lt;20,"10-&lt;20",IF(E5155&lt;25,"20-&lt;25",IF(E5155&lt;35,"25-&lt;35","35+")))))</x:f>
        <x:v>10-&lt;20</x:v>
      </x:c>
    </x:row>
    <x:row r="5156">
      <x:c r="A5156" t="str">
        <x:v>SYN0005155</x:v>
      </x:c>
      <x:c r="B5156" s="12" t="n">
        <x:v>42955</x:v>
      </x:c>
      <x:c r="C5156" s="18" t="n">
        <x:v>20019</x:v>
      </x:c>
      <x:c r="D5156" s="18" t="n">
        <x:v>48209</x:v>
      </x:c>
      <x:c r="E5156" s="18" t="n">
        <x:v>20.27</x:v>
      </x:c>
      <x:c r="F5156" s="18" t="n">
        <x:v>9.77</x:v>
      </x:c>
      <x:c r="G5156" t="n">
        <x:v>60</x:v>
      </x:c>
      <x:c r="H5156" t="str">
        <x:v>B</x:v>
      </x:c>
      <x:c r="I5156" t="str">
        <x:v>10+ years</x:v>
      </x:c>
      <x:c r="J5156" t="str">
        <x:v>MORTGAGE</x:v>
      </x:c>
      <x:c r="K5156" t="str">
        <x:v>debt_consolidation</x:v>
      </x:c>
      <x:c r="L5156" t="n">
        <x:v>0</x:v>
      </x:c>
      <x:c r="M5156" t="n">
        <x:v>0</x:v>
      </x:c>
      <x:c r="N5156" t="str">
        <x:v>Fully Paid</x:v>
      </x:c>
      <x:c r="O5156" t="str">
        <x:f>IF(D5156="","Unknown",IF(D5156&lt;25000,"&lt;$25k",IF(D5156&lt;50000,"$25k-$50k",IF(D5156&lt;75000,"$50k-$75k",IF(D5156&lt;100000,"$75k-$100k","$100k+")))))</x:f>
        <x:v>$25k-$50k</x:v>
      </x:c>
      <x:c r="P5156" t="str">
        <x:f>IF(E5156="","Unknown",IF(E5156&lt;10,"&lt;10",IF(E5156&lt;20,"10-&lt;20",IF(E5156&lt;25,"20-&lt;25",IF(E5156&lt;35,"25-&lt;35","35+")))))</x:f>
        <x:v>20-&lt;25</x:v>
      </x:c>
    </x:row>
    <x:row r="5157">
      <x:c r="A5157" t="str">
        <x:v>SYN0005156</x:v>
      </x:c>
      <x:c r="B5157" s="12" t="n">
        <x:v>42235</x:v>
      </x:c>
      <x:c r="C5157" s="18" t="n">
        <x:v>9806</x:v>
      </x:c>
      <x:c r="D5157" s="18" t="n">
        <x:v>33329</x:v>
      </x:c>
      <x:c r="E5157" s="18" t="n">
        <x:v>26.94</x:v>
      </x:c>
      <x:c r="F5157" s="18" t="n">
        <x:v>13.95</x:v>
      </x:c>
      <x:c r="G5157" t="n">
        <x:v>36</x:v>
      </x:c>
      <x:c r="H5157" t="str">
        <x:v>D</x:v>
      </x:c>
      <x:c r="I5157" t="str">
        <x:v>10+ years</x:v>
      </x:c>
      <x:c r="J5157" t="str">
        <x:v>MORTGAGE</x:v>
      </x:c>
      <x:c r="K5157" t="str">
        <x:v>credit_card</x:v>
      </x:c>
      <x:c r="L5157" t="n">
        <x:v>0</x:v>
      </x:c>
      <x:c r="M5157" t="n">
        <x:v>0</x:v>
      </x:c>
      <x:c r="N5157" t="str">
        <x:v>Fully Paid</x:v>
      </x:c>
      <x:c r="O5157" t="str">
        <x:f>IF(D5157="","Unknown",IF(D5157&lt;25000,"&lt;$25k",IF(D5157&lt;50000,"$25k-$50k",IF(D5157&lt;75000,"$50k-$75k",IF(D5157&lt;100000,"$75k-$100k","$100k+")))))</x:f>
        <x:v>$25k-$50k</x:v>
      </x:c>
      <x:c r="P5157" t="str">
        <x:f>IF(E5157="","Unknown",IF(E5157&lt;10,"&lt;10",IF(E5157&lt;20,"10-&lt;20",IF(E5157&lt;25,"20-&lt;25",IF(E5157&lt;35,"25-&lt;35","35+")))))</x:f>
        <x:v>25-&lt;35</x:v>
      </x:c>
    </x:row>
    <x:row r="5158">
      <x:c r="A5158" t="str">
        <x:v>SYN0005157</x:v>
      </x:c>
      <x:c r="B5158" s="12" t="n">
        <x:v>42085</x:v>
      </x:c>
      <x:c r="C5158" s="18" t="n">
        <x:v>10903</x:v>
      </x:c>
      <x:c r="D5158" s="18" t="n">
        <x:v>55060</x:v>
      </x:c>
      <x:c r="E5158" s="18" t="n">
        <x:v>16.64</x:v>
      </x:c>
      <x:c r="F5158" s="18" t="n">
        <x:v>8.26</x:v>
      </x:c>
      <x:c r="G5158" t="n">
        <x:v>60</x:v>
      </x:c>
      <x:c r="H5158" t="str">
        <x:v>B</x:v>
      </x:c>
      <x:c r="I5158" t="str">
        <x:v>10+ years</x:v>
      </x:c>
      <x:c r="J5158" t="str">
        <x:v>MORTGAGE</x:v>
      </x:c>
      <x:c r="K5158" t="str">
        <x:v>debt_consolidation</x:v>
      </x:c>
      <x:c r="L5158" t="n">
        <x:v>1</x:v>
      </x:c>
      <x:c r="M5158" t="n">
        <x:v>0</x:v>
      </x:c>
      <x:c r="N5158" t="str">
        <x:v>Fully Paid</x:v>
      </x:c>
      <x:c r="O5158" t="str">
        <x:f>IF(D5158="","Unknown",IF(D5158&lt;25000,"&lt;$25k",IF(D5158&lt;50000,"$25k-$50k",IF(D5158&lt;75000,"$50k-$75k",IF(D5158&lt;100000,"$75k-$100k","$100k+")))))</x:f>
        <x:v>$50k-$75k</x:v>
      </x:c>
      <x:c r="P5158" t="str">
        <x:f>IF(E5158="","Unknown",IF(E5158&lt;10,"&lt;10",IF(E5158&lt;20,"10-&lt;20",IF(E5158&lt;25,"20-&lt;25",IF(E5158&lt;35,"25-&lt;35","35+")))))</x:f>
        <x:v>10-&lt;20</x:v>
      </x:c>
    </x:row>
    <x:row r="5159">
      <x:c r="A5159" t="str">
        <x:v>SYN0005158</x:v>
      </x:c>
      <x:c r="B5159" s="12" t="n">
        <x:v>41725</x:v>
      </x:c>
      <x:c r="C5159" s="18" t="n">
        <x:v>13180</x:v>
      </x:c>
      <x:c r="D5159" s="18" t="n">
        <x:v>73466</x:v>
      </x:c>
      <x:c r="E5159" s="18" t="n">
        <x:v>12.08</x:v>
      </x:c>
      <x:c r="F5159" s="18" t="n">
        <x:v>5.44</x:v>
      </x:c>
      <x:c r="G5159" t="n">
        <x:v>36</x:v>
      </x:c>
      <x:c r="H5159" t="str">
        <x:v>A</x:v>
      </x:c>
      <x:c r="I5159" t="str">
        <x:v>4-6 years</x:v>
      </x:c>
      <x:c r="J5159" t="str">
        <x:v>RENT</x:v>
      </x:c>
      <x:c r="K5159" t="str">
        <x:v>credit_card</x:v>
      </x:c>
      <x:c r="L5159" t="n">
        <x:v>0</x:v>
      </x:c>
      <x:c r="M5159" t="n">
        <x:v>0</x:v>
      </x:c>
      <x:c r="N5159" t="str">
        <x:v>Fully Paid</x:v>
      </x:c>
      <x:c r="O5159" t="str">
        <x:f>IF(D5159="","Unknown",IF(D5159&lt;25000,"&lt;$25k",IF(D5159&lt;50000,"$25k-$50k",IF(D5159&lt;75000,"$50k-$75k",IF(D5159&lt;100000,"$75k-$100k","$100k+")))))</x:f>
        <x:v>$50k-$75k</x:v>
      </x:c>
      <x:c r="P5159" t="str">
        <x:f>IF(E5159="","Unknown",IF(E5159&lt;10,"&lt;10",IF(E5159&lt;20,"10-&lt;20",IF(E5159&lt;25,"20-&lt;25",IF(E5159&lt;35,"25-&lt;35","35+")))))</x:f>
        <x:v>10-&lt;20</x:v>
      </x:c>
    </x:row>
    <x:row r="5160">
      <x:c r="A5160" t="str">
        <x:v>SYN0005159</x:v>
      </x:c>
      <x:c r="B5160" s="12" t="n">
        <x:v>42415</x:v>
      </x:c>
      <x:c r="C5160" s="18" t="n">
        <x:v>5820</x:v>
      </x:c>
      <x:c r="D5160" s="18" t="n">
        <x:v>74726</x:v>
      </x:c>
      <x:c r="E5160" s="18" t="n">
        <x:v>25.58</x:v>
      </x:c>
      <x:c r="F5160" s="18" t="n">
        <x:v>13.38</x:v>
      </x:c>
      <x:c r="G5160" t="n">
        <x:v>60</x:v>
      </x:c>
      <x:c r="H5160" t="str">
        <x:v>D</x:v>
      </x:c>
      <x:c r="I5160" t="str">
        <x:v>1-3 years</x:v>
      </x:c>
      <x:c r="J5160" t="str">
        <x:v>RENT</x:v>
      </x:c>
      <x:c r="K5160" t="str">
        <x:v>debt_consolidation</x:v>
      </x:c>
      <x:c r="L5160" t="n">
        <x:v>0</x:v>
      </x:c>
      <x:c r="M5160" t="n">
        <x:v>1</x:v>
      </x:c>
      <x:c r="N5160" t="str">
        <x:v>Charged Off</x:v>
      </x:c>
      <x:c r="O5160" t="str">
        <x:f>IF(D5160="","Unknown",IF(D5160&lt;25000,"&lt;$25k",IF(D5160&lt;50000,"$25k-$50k",IF(D5160&lt;75000,"$50k-$75k",IF(D5160&lt;100000,"$75k-$100k","$100k+")))))</x:f>
        <x:v>$50k-$75k</x:v>
      </x:c>
      <x:c r="P5160" t="str">
        <x:f>IF(E5160="","Unknown",IF(E5160&lt;10,"&lt;10",IF(E5160&lt;20,"10-&lt;20",IF(E5160&lt;25,"20-&lt;25",IF(E5160&lt;35,"25-&lt;35","35+")))))</x:f>
        <x:v>25-&lt;35</x:v>
      </x:c>
    </x:row>
    <x:row r="5161">
      <x:c r="A5161" t="str">
        <x:v>SYN0005160</x:v>
      </x:c>
      <x:c r="B5161" s="12" t="n">
        <x:v>42655</x:v>
      </x:c>
      <x:c r="C5161" s="18" t="n">
        <x:v>10707</x:v>
      </x:c>
      <x:c r="D5161" s="18" t="n">
        <x:v>38543</x:v>
      </x:c>
      <x:c r="E5161" s="18" t="n">
        <x:v>14.49</x:v>
      </x:c>
      <x:c r="F5161" s="18" t="n">
        <x:v>9.75</x:v>
      </x:c>
      <x:c r="G5161" t="n">
        <x:v>36</x:v>
      </x:c>
      <x:c r="H5161" t="str">
        <x:v>C</x:v>
      </x:c>
      <x:c r="I5161" t="str">
        <x:v>10+ years</x:v>
      </x:c>
      <x:c r="J5161" t="str">
        <x:v>OWN</x:v>
      </x:c>
      <x:c r="K5161" t="str">
        <x:v>home_improvement</x:v>
      </x:c>
      <x:c r="L5161" t="n">
        <x:v>0</x:v>
      </x:c>
      <x:c r="M5161" t="n">
        <x:v>0</x:v>
      </x:c>
      <x:c r="N5161" t="str">
        <x:v>Fully Paid</x:v>
      </x:c>
      <x:c r="O5161" t="str">
        <x:f>IF(D5161="","Unknown",IF(D5161&lt;25000,"&lt;$25k",IF(D5161&lt;50000,"$25k-$50k",IF(D5161&lt;75000,"$50k-$75k",IF(D5161&lt;100000,"$75k-$100k","$100k+")))))</x:f>
        <x:v>$25k-$50k</x:v>
      </x:c>
      <x:c r="P5161" t="str">
        <x:f>IF(E5161="","Unknown",IF(E5161&lt;10,"&lt;10",IF(E5161&lt;20,"10-&lt;20",IF(E5161&lt;25,"20-&lt;25",IF(E5161&lt;35,"25-&lt;35","35+")))))</x:f>
        <x:v>10-&lt;20</x:v>
      </x:c>
    </x:row>
    <x:row r="5162">
      <x:c r="A5162" t="str">
        <x:v>SYN0005161</x:v>
      </x:c>
      <x:c r="B5162" s="12" t="n">
        <x:v>42025</x:v>
      </x:c>
      <x:c r="C5162" s="18" t="n">
        <x:v>4687</x:v>
      </x:c>
      <x:c r="D5162" s="18" t="n">
        <x:v>55342</x:v>
      </x:c>
      <x:c r="E5162" s="18" t="n">
        <x:v>15.93</x:v>
      </x:c>
      <x:c r="F5162" s="18" t="n">
        <x:v>15.76</x:v>
      </x:c>
      <x:c r="G5162" t="n">
        <x:v>36</x:v>
      </x:c>
      <x:c r="H5162" t="str">
        <x:v>D</x:v>
      </x:c>
      <x:c r="I5162" t="str">
        <x:v>1-3 years</x:v>
      </x:c>
      <x:c r="J5162" t="str">
        <x:v>MORTGAGE</x:v>
      </x:c>
      <x:c r="K5162" t="str">
        <x:v>debt_consolidation</x:v>
      </x:c>
      <x:c r="L5162" t="n">
        <x:v>1</x:v>
      </x:c>
      <x:c r="M5162" t="n">
        <x:v>0</x:v>
      </x:c>
      <x:c r="N5162" t="str">
        <x:v>Fully Paid</x:v>
      </x:c>
      <x:c r="O5162" t="str">
        <x:f>IF(D5162="","Unknown",IF(D5162&lt;25000,"&lt;$25k",IF(D5162&lt;50000,"$25k-$50k",IF(D5162&lt;75000,"$50k-$75k",IF(D5162&lt;100000,"$75k-$100k","$100k+")))))</x:f>
        <x:v>$50k-$75k</x:v>
      </x:c>
      <x:c r="P5162" t="str">
        <x:f>IF(E5162="","Unknown",IF(E5162&lt;10,"&lt;10",IF(E5162&lt;20,"10-&lt;20",IF(E5162&lt;25,"20-&lt;25",IF(E5162&lt;35,"25-&lt;35","35+")))))</x:f>
        <x:v>10-&lt;20</x:v>
      </x:c>
    </x:row>
    <x:row r="5163">
      <x:c r="A5163" t="str">
        <x:v>SYN0005162</x:v>
      </x:c>
      <x:c r="B5163" s="12" t="n">
        <x:v>43105</x:v>
      </x:c>
      <x:c r="C5163" s="18" t="n">
        <x:v>5282</x:v>
      </x:c>
      <x:c r="D5163" s="18" t="n">
        <x:v>64200</x:v>
      </x:c>
      <x:c r="E5163" s="18" t="n">
        <x:v>17.5</x:v>
      </x:c>
      <x:c r="F5163" s="18" t="n">
        <x:v>8.99</x:v>
      </x:c>
      <x:c r="G5163" t="n">
        <x:v>60</x:v>
      </x:c>
      <x:c r="H5163" t="str">
        <x:v>B</x:v>
      </x:c>
      <x:c r="I5163" t="str">
        <x:v>&lt;1 year</x:v>
      </x:c>
      <x:c r="J5163" t="str">
        <x:v>RENT</x:v>
      </x:c>
      <x:c r="K5163" t="str">
        <x:v>other</x:v>
      </x:c>
      <x:c r="L5163" t="n">
        <x:v>2</x:v>
      </x:c>
      <x:c r="M5163" t="n">
        <x:v>0</x:v>
      </x:c>
      <x:c r="N5163" t="str">
        <x:v>Fully Paid</x:v>
      </x:c>
      <x:c r="O5163" t="str">
        <x:f>IF(D5163="","Unknown",IF(D5163&lt;25000,"&lt;$25k",IF(D5163&lt;50000,"$25k-$50k",IF(D5163&lt;75000,"$50k-$75k",IF(D5163&lt;100000,"$75k-$100k","$100k+")))))</x:f>
        <x:v>$50k-$75k</x:v>
      </x:c>
      <x:c r="P5163" t="str">
        <x:f>IF(E5163="","Unknown",IF(E5163&lt;10,"&lt;10",IF(E5163&lt;20,"10-&lt;20",IF(E5163&lt;25,"20-&lt;25",IF(E5163&lt;35,"25-&lt;35","35+")))))</x:f>
        <x:v>10-&lt;20</x:v>
      </x:c>
    </x:row>
    <x:row r="5164">
      <x:c r="A5164" t="str">
        <x:v>SYN0005163</x:v>
      </x:c>
      <x:c r="B5164" s="12" t="n">
        <x:v>43195</x:v>
      </x:c>
      <x:c r="C5164" s="18" t="n">
        <x:v>8034</x:v>
      </x:c>
      <x:c r="D5164" s="18" t="n">
        <x:v>49021</x:v>
      </x:c>
      <x:c r="E5164" s="18" t="n">
        <x:v>32.51</x:v>
      </x:c>
      <x:c r="F5164" s="18" t="n">
        <x:v>25.11</x:v>
      </x:c>
      <x:c r="G5164" t="n">
        <x:v>36</x:v>
      </x:c>
      <x:c r="H5164" t="str">
        <x:v>F</x:v>
      </x:c>
      <x:c r="I5164" t="str">
        <x:v>1-3 years</x:v>
      </x:c>
      <x:c r="J5164" t="str">
        <x:v>MORTGAGE</x:v>
      </x:c>
      <x:c r="K5164" t="str">
        <x:v>debt_consolidation</x:v>
      </x:c>
      <x:c r="L5164" t="n">
        <x:v>4</x:v>
      </x:c>
      <x:c r="M5164" t="n">
        <x:v>1</x:v>
      </x:c>
      <x:c r="N5164" t="str">
        <x:v>Charged Off</x:v>
      </x:c>
      <x:c r="O5164" t="str">
        <x:f>IF(D5164="","Unknown",IF(D5164&lt;25000,"&lt;$25k",IF(D5164&lt;50000,"$25k-$50k",IF(D5164&lt;75000,"$50k-$75k",IF(D5164&lt;100000,"$75k-$100k","$100k+")))))</x:f>
        <x:v>$25k-$50k</x:v>
      </x:c>
      <x:c r="P5164" t="str">
        <x:f>IF(E5164="","Unknown",IF(E5164&lt;10,"&lt;10",IF(E5164&lt;20,"10-&lt;20",IF(E5164&lt;25,"20-&lt;25",IF(E5164&lt;35,"25-&lt;35","35+")))))</x:f>
        <x:v>25-&lt;35</x:v>
      </x:c>
    </x:row>
    <x:row r="5165">
      <x:c r="A5165" t="str">
        <x:v>SYN0005164</x:v>
      </x:c>
      <x:c r="B5165" s="12" t="n">
        <x:v>41365</x:v>
      </x:c>
      <x:c r="C5165" s="18" t="n">
        <x:v>7551</x:v>
      </x:c>
      <x:c r="D5165" s="18" t="n">
        <x:v>63101</x:v>
      </x:c>
      <x:c r="E5165" s="18" t="n">
        <x:v>7.25</x:v>
      </x:c>
      <x:c r="F5165" s="18" t="n">
        <x:v>7.95</x:v>
      </x:c>
      <x:c r="G5165" t="n">
        <x:v>60</x:v>
      </x:c>
      <x:c r="H5165" t="str">
        <x:v>A</x:v>
      </x:c>
      <x:c r="I5165" t="str">
        <x:v>&lt;1 year</x:v>
      </x:c>
      <x:c r="J5165" t="str">
        <x:v>RENT</x:v>
      </x:c>
      <x:c r="K5165" t="str">
        <x:v>debt_consolidation</x:v>
      </x:c>
      <x:c r="L5165" t="n">
        <x:v>0</x:v>
      </x:c>
      <x:c r="M5165" t="n">
        <x:v>0</x:v>
      </x:c>
      <x:c r="N5165" t="str">
        <x:v>Fully Paid</x:v>
      </x:c>
      <x:c r="O5165" t="str">
        <x:f>IF(D5165="","Unknown",IF(D5165&lt;25000,"&lt;$25k",IF(D5165&lt;50000,"$25k-$50k",IF(D5165&lt;75000,"$50k-$75k",IF(D5165&lt;100000,"$75k-$100k","$100k+")))))</x:f>
        <x:v>$50k-$75k</x:v>
      </x:c>
      <x:c r="P5165" t="str">
        <x:f>IF(E5165="","Unknown",IF(E5165&lt;10,"&lt;10",IF(E5165&lt;20,"10-&lt;20",IF(E5165&lt;25,"20-&lt;25",IF(E5165&lt;35,"25-&lt;35","35+")))))</x:f>
        <x:v>&lt;10</x:v>
      </x:c>
    </x:row>
    <x:row r="5166">
      <x:c r="A5166" t="str">
        <x:v>SYN0005165</x:v>
      </x:c>
      <x:c r="B5166" s="12" t="n">
        <x:v>41455</x:v>
      </x:c>
      <x:c r="C5166" s="18" t="n">
        <x:v>8345</x:v>
      </x:c>
      <x:c r="D5166" s="18" t="n">
        <x:v>21953</x:v>
      </x:c>
      <x:c r="E5166" s="18" t="n">
        <x:v>21.85</x:v>
      </x:c>
      <x:c r="F5166" s="18" t="n">
        <x:v>6.59</x:v>
      </x:c>
      <x:c r="G5166" t="n">
        <x:v>36</x:v>
      </x:c>
      <x:c r="H5166" t="str">
        <x:v>A</x:v>
      </x:c>
      <x:c r="I5166" t="str">
        <x:v>10+ years</x:v>
      </x:c>
      <x:c r="J5166" t="str">
        <x:v>MORTGAGE</x:v>
      </x:c>
      <x:c r="K5166" t="str">
        <x:v>credit_card</x:v>
      </x:c>
      <x:c r="L5166" t="n">
        <x:v>0</x:v>
      </x:c>
      <x:c r="M5166" t="n">
        <x:v>0</x:v>
      </x:c>
      <x:c r="N5166" t="str">
        <x:v>Fully Paid</x:v>
      </x:c>
      <x:c r="O5166" t="str">
        <x:f>IF(D5166="","Unknown",IF(D5166&lt;25000,"&lt;$25k",IF(D5166&lt;50000,"$25k-$50k",IF(D5166&lt;75000,"$50k-$75k",IF(D5166&lt;100000,"$75k-$100k","$100k+")))))</x:f>
        <x:v>&lt;$25k</x:v>
      </x:c>
      <x:c r="P5166" t="str">
        <x:f>IF(E5166="","Unknown",IF(E5166&lt;10,"&lt;10",IF(E5166&lt;20,"10-&lt;20",IF(E5166&lt;25,"20-&lt;25",IF(E5166&lt;35,"25-&lt;35","35+")))))</x:f>
        <x:v>20-&lt;25</x:v>
      </x:c>
    </x:row>
    <x:row r="5167">
      <x:c r="A5167" t="str">
        <x:v>SYN0005166</x:v>
      </x:c>
      <x:c r="B5167" s="12" t="n">
        <x:v>42565</x:v>
      </x:c>
      <x:c r="C5167" s="18" t="n">
        <x:v>11926</x:v>
      </x:c>
      <x:c r="D5167" s="18" t="n">
        <x:v>63634</x:v>
      </x:c>
      <x:c r="E5167" s="18" t="n">
        <x:v>27.23</x:v>
      </x:c>
      <x:c r="F5167" s="18" t="n">
        <x:v>6.36</x:v>
      </x:c>
      <x:c r="G5167" t="n">
        <x:v>36</x:v>
      </x:c>
      <x:c r="H5167" t="str">
        <x:v>A</x:v>
      </x:c>
      <x:c r="I5167" t="str">
        <x:v>4-6 years</x:v>
      </x:c>
      <x:c r="J5167" t="str">
        <x:v>MORTGAGE</x:v>
      </x:c>
      <x:c r="K5167" t="str">
        <x:v>credit_card</x:v>
      </x:c>
      <x:c r="L5167" t="n">
        <x:v>0</x:v>
      </x:c>
      <x:c r="M5167" t="n">
        <x:v>0</x:v>
      </x:c>
      <x:c r="N5167" t="str">
        <x:v>Fully Paid</x:v>
      </x:c>
      <x:c r="O5167" t="str">
        <x:f>IF(D5167="","Unknown",IF(D5167&lt;25000,"&lt;$25k",IF(D5167&lt;50000,"$25k-$50k",IF(D5167&lt;75000,"$50k-$75k",IF(D5167&lt;100000,"$75k-$100k","$100k+")))))</x:f>
        <x:v>$50k-$75k</x:v>
      </x:c>
      <x:c r="P5167" t="str">
        <x:f>IF(E5167="","Unknown",IF(E5167&lt;10,"&lt;10",IF(E5167&lt;20,"10-&lt;20",IF(E5167&lt;25,"20-&lt;25",IF(E5167&lt;35,"25-&lt;35","35+")))))</x:f>
        <x:v>25-&lt;35</x:v>
      </x:c>
    </x:row>
    <x:row r="5168">
      <x:c r="A5168" t="str">
        <x:v>SYN0005167</x:v>
      </x:c>
      <x:c r="B5168" s="12" t="n">
        <x:v>42895</x:v>
      </x:c>
      <x:c r="C5168" s="18" t="n">
        <x:v>11467</x:v>
      </x:c>
      <x:c r="D5168" s="18" t="n">
        <x:v>35059</x:v>
      </x:c>
      <x:c r="E5168" s="18" t="n">
        <x:v>25.6</x:v>
      </x:c>
      <x:c r="F5168" s="18" t="n">
        <x:v>12.5</x:v>
      </x:c>
      <x:c r="G5168" t="n">
        <x:v>36</x:v>
      </x:c>
      <x:c r="H5168" t="str">
        <x:v>D</x:v>
      </x:c>
      <x:c r="I5168" t="str">
        <x:v>10+ years</x:v>
      </x:c>
      <x:c r="J5168" t="str">
        <x:v>RENT</x:v>
      </x:c>
      <x:c r="K5168" t="str">
        <x:v>debt_consolidation</x:v>
      </x:c>
      <x:c r="L5168" t="n">
        <x:v>3</x:v>
      </x:c>
      <x:c r="M5168" t="n">
        <x:v>0</x:v>
      </x:c>
      <x:c r="N5168" t="str">
        <x:v>Fully Paid</x:v>
      </x:c>
      <x:c r="O5168" t="str">
        <x:f>IF(D5168="","Unknown",IF(D5168&lt;25000,"&lt;$25k",IF(D5168&lt;50000,"$25k-$50k",IF(D5168&lt;75000,"$50k-$75k",IF(D5168&lt;100000,"$75k-$100k","$100k+")))))</x:f>
        <x:v>$25k-$50k</x:v>
      </x:c>
      <x:c r="P5168" t="str">
        <x:f>IF(E5168="","Unknown",IF(E5168&lt;10,"&lt;10",IF(E5168&lt;20,"10-&lt;20",IF(E5168&lt;25,"20-&lt;25",IF(E5168&lt;35,"25-&lt;35","35+")))))</x:f>
        <x:v>25-&lt;35</x:v>
      </x:c>
    </x:row>
    <x:row r="5169">
      <x:c r="A5169" t="str">
        <x:v>SYN0005168</x:v>
      </x:c>
      <x:c r="B5169" s="12" t="n">
        <x:v>42415</x:v>
      </x:c>
      <x:c r="C5169" s="18" t="n">
        <x:v>9060</x:v>
      </x:c>
      <x:c r="D5169" s="18" t="n">
        <x:v>98454</x:v>
      </x:c>
      <x:c r="E5169" s="18" t="n">
        <x:v>19.98</x:v>
      </x:c>
      <x:c r="F5169" s="18" t="n">
        <x:v>6.32</x:v>
      </x:c>
      <x:c r="G5169" t="n">
        <x:v>36</x:v>
      </x:c>
      <x:c r="H5169" t="str">
        <x:v>A</x:v>
      </x:c>
      <x:c r="I5169" t="str">
        <x:v>7-9 years</x:v>
      </x:c>
      <x:c r="J5169" t="str">
        <x:v>RENT</x:v>
      </x:c>
      <x:c r="K5169" t="str">
        <x:v>major_purchase</x:v>
      </x:c>
      <x:c r="L5169" t="n">
        <x:v>0</x:v>
      </x:c>
      <x:c r="M5169" t="n">
        <x:v>0</x:v>
      </x:c>
      <x:c r="N5169" t="str">
        <x:v>Fully Paid</x:v>
      </x:c>
      <x:c r="O5169" t="str">
        <x:f>IF(D5169="","Unknown",IF(D5169&lt;25000,"&lt;$25k",IF(D5169&lt;50000,"$25k-$50k",IF(D5169&lt;75000,"$50k-$75k",IF(D5169&lt;100000,"$75k-$100k","$100k+")))))</x:f>
        <x:v>$75k-$100k</x:v>
      </x:c>
      <x:c r="P5169" t="str">
        <x:f>IF(E5169="","Unknown",IF(E5169&lt;10,"&lt;10",IF(E5169&lt;20,"10-&lt;20",IF(E5169&lt;25,"20-&lt;25",IF(E5169&lt;35,"25-&lt;35","35+")))))</x:f>
        <x:v>10-&lt;20</x:v>
      </x:c>
    </x:row>
    <x:row r="5170">
      <x:c r="A5170" t="str">
        <x:v>SYN0005169</x:v>
      </x:c>
      <x:c r="B5170" s="12" t="n">
        <x:v>42805</x:v>
      </x:c>
      <x:c r="C5170" s="18" t="n">
        <x:v>18333</x:v>
      </x:c>
      <x:c r="D5170" s="18" t="n">
        <x:v>29129</x:v>
      </x:c>
      <x:c r="E5170" s="18" t="n">
        <x:v>16.56</x:v>
      </x:c>
      <x:c r="F5170" s="18" t="n">
        <x:v>16.38</x:v>
      </x:c>
      <x:c r="G5170" t="n">
        <x:v>36</x:v>
      </x:c>
      <x:c r="H5170" t="str">
        <x:v>D</x:v>
      </x:c>
      <x:c r="I5170" t="str">
        <x:v>1-3 years</x:v>
      </x:c>
      <x:c r="J5170" t="str">
        <x:v>MORTGAGE</x:v>
      </x:c>
      <x:c r="K5170" t="str">
        <x:v>debt_consolidation</x:v>
      </x:c>
      <x:c r="L5170" t="n">
        <x:v>1</x:v>
      </x:c>
      <x:c r="M5170" t="n">
        <x:v>0</x:v>
      </x:c>
      <x:c r="N5170" t="str">
        <x:v>Fully Paid</x:v>
      </x:c>
      <x:c r="O5170" t="str">
        <x:f>IF(D5170="","Unknown",IF(D5170&lt;25000,"&lt;$25k",IF(D5170&lt;50000,"$25k-$50k",IF(D5170&lt;75000,"$50k-$75k",IF(D5170&lt;100000,"$75k-$100k","$100k+")))))</x:f>
        <x:v>$25k-$50k</x:v>
      </x:c>
      <x:c r="P5170" t="str">
        <x:f>IF(E5170="","Unknown",IF(E5170&lt;10,"&lt;10",IF(E5170&lt;20,"10-&lt;20",IF(E5170&lt;25,"20-&lt;25",IF(E5170&lt;35,"25-&lt;35","35+")))))</x:f>
        <x:v>10-&lt;20</x:v>
      </x:c>
    </x:row>
    <x:row r="5171">
      <x:c r="A5171" t="str">
        <x:v>SYN0005170</x:v>
      </x:c>
      <x:c r="B5171" s="12" t="n">
        <x:v>41995</x:v>
      </x:c>
      <x:c r="C5171" s="18" t="n">
        <x:v>18228</x:v>
      </x:c>
      <x:c r="D5171" s="18" t="n">
        <x:v>53253</x:v>
      </x:c>
      <x:c r="E5171" s="18" t="n">
        <x:v>25.7</x:v>
      </x:c>
      <x:c r="F5171" s="18" t="n">
        <x:v>10.46</x:v>
      </x:c>
      <x:c r="G5171" t="n">
        <x:v>36</x:v>
      </x:c>
      <x:c r="H5171" t="str">
        <x:v>C</x:v>
      </x:c>
      <x:c r="I5171" t="str">
        <x:v>10+ years</x:v>
      </x:c>
      <x:c r="J5171" t="str">
        <x:v>MORTGAGE</x:v>
      </x:c>
      <x:c r="K5171" t="str">
        <x:v>medical</x:v>
      </x:c>
      <x:c r="L5171" t="n">
        <x:v>1</x:v>
      </x:c>
      <x:c r="M5171" t="n">
        <x:v>0</x:v>
      </x:c>
      <x:c r="N5171" t="str">
        <x:v>Fully Paid</x:v>
      </x:c>
      <x:c r="O5171" t="str">
        <x:f>IF(D5171="","Unknown",IF(D5171&lt;25000,"&lt;$25k",IF(D5171&lt;50000,"$25k-$50k",IF(D5171&lt;75000,"$50k-$75k",IF(D5171&lt;100000,"$75k-$100k","$100k+")))))</x:f>
        <x:v>$50k-$75k</x:v>
      </x:c>
      <x:c r="P5171" t="str">
        <x:f>IF(E5171="","Unknown",IF(E5171&lt;10,"&lt;10",IF(E5171&lt;20,"10-&lt;20",IF(E5171&lt;25,"20-&lt;25",IF(E5171&lt;35,"25-&lt;35","35+")))))</x:f>
        <x:v>25-&lt;35</x:v>
      </x:c>
    </x:row>
    <x:row r="5172">
      <x:c r="A5172" t="str">
        <x:v>SYN0005171</x:v>
      </x:c>
      <x:c r="B5172" s="12" t="n">
        <x:v>43195</x:v>
      </x:c>
      <x:c r="C5172" s="18" t="n">
        <x:v>8076</x:v>
      </x:c>
      <x:c r="D5172" s="18" t="n">
        <x:v>36225</x:v>
      </x:c>
      <x:c r="E5172" s="18" t="n">
        <x:v>19.95</x:v>
      </x:c>
      <x:c r="F5172" s="18" t="n">
        <x:v>5.36</x:v>
      </x:c>
      <x:c r="G5172" t="n">
        <x:v>36</x:v>
      </x:c>
      <x:c r="H5172" t="str">
        <x:v>B</x:v>
      </x:c>
      <x:c r="I5172" t="str">
        <x:v>7-9 years</x:v>
      </x:c>
      <x:c r="J5172" t="str">
        <x:v>RENT</x:v>
      </x:c>
      <x:c r="K5172" t="str">
        <x:v>credit_card</x:v>
      </x:c>
      <x:c r="L5172" t="n">
        <x:v>0</x:v>
      </x:c>
      <x:c r="M5172" t="n">
        <x:v>0</x:v>
      </x:c>
      <x:c r="N5172" t="str">
        <x:v>Fully Paid</x:v>
      </x:c>
      <x:c r="O5172" t="str">
        <x:f>IF(D5172="","Unknown",IF(D5172&lt;25000,"&lt;$25k",IF(D5172&lt;50000,"$25k-$50k",IF(D5172&lt;75000,"$50k-$75k",IF(D5172&lt;100000,"$75k-$100k","$100k+")))))</x:f>
        <x:v>$25k-$50k</x:v>
      </x:c>
      <x:c r="P5172" t="str">
        <x:f>IF(E5172="","Unknown",IF(E5172&lt;10,"&lt;10",IF(E5172&lt;20,"10-&lt;20",IF(E5172&lt;25,"20-&lt;25",IF(E5172&lt;35,"25-&lt;35","35+")))))</x:f>
        <x:v>10-&lt;20</x:v>
      </x:c>
    </x:row>
    <x:row r="5173">
      <x:c r="A5173" t="str">
        <x:v>SYN0005172</x:v>
      </x:c>
      <x:c r="B5173" s="12" t="n">
        <x:v>41425</x:v>
      </x:c>
      <x:c r="C5173" s="18" t="n">
        <x:v>7191</x:v>
      </x:c>
      <x:c r="D5173" s="18" t="n">
        <x:v>55600</x:v>
      </x:c>
      <x:c r="E5173" s="18" t="n">
        <x:v>22.03</x:v>
      </x:c>
      <x:c r="F5173" s="18" t="n">
        <x:v>13.54</x:v>
      </x:c>
      <x:c r="G5173" t="n">
        <x:v>36</x:v>
      </x:c>
      <x:c r="H5173" t="str">
        <x:v>D</x:v>
      </x:c>
      <x:c r="I5173" t="str">
        <x:v>7-9 years</x:v>
      </x:c>
      <x:c r="J5173" t="str">
        <x:v>MORTGAGE</x:v>
      </x:c>
      <x:c r="K5173" t="str">
        <x:v>debt_consolidation</x:v>
      </x:c>
      <x:c r="L5173" t="n">
        <x:v>1</x:v>
      </x:c>
      <x:c r="M5173" t="n">
        <x:v>1</x:v>
      </x:c>
      <x:c r="N5173" t="str">
        <x:v>Charged Off</x:v>
      </x:c>
      <x:c r="O5173" t="str">
        <x:f>IF(D5173="","Unknown",IF(D5173&lt;25000,"&lt;$25k",IF(D5173&lt;50000,"$25k-$50k",IF(D5173&lt;75000,"$50k-$75k",IF(D5173&lt;100000,"$75k-$100k","$100k+")))))</x:f>
        <x:v>$50k-$75k</x:v>
      </x:c>
      <x:c r="P5173" t="str">
        <x:f>IF(E5173="","Unknown",IF(E5173&lt;10,"&lt;10",IF(E5173&lt;20,"10-&lt;20",IF(E5173&lt;25,"20-&lt;25",IF(E5173&lt;35,"25-&lt;35","35+")))))</x:f>
        <x:v>20-&lt;25</x:v>
      </x:c>
    </x:row>
    <x:row r="5174">
      <x:c r="A5174" t="str">
        <x:v>SYN0005173</x:v>
      </x:c>
      <x:c r="B5174" s="12" t="n">
        <x:v>41545</x:v>
      </x:c>
      <x:c r="C5174" s="18" t="n">
        <x:v>14070</x:v>
      </x:c>
      <x:c r="D5174" s="18" t="n">
        <x:v>56517</x:v>
      </x:c>
      <x:c r="E5174" s="18" t="n">
        <x:v>11.87</x:v>
      </x:c>
      <x:c r="F5174" s="18" t="n">
        <x:v>18.41</x:v>
      </x:c>
      <x:c r="G5174" t="n">
        <x:v>36</x:v>
      </x:c>
      <x:c r="H5174" t="str">
        <x:v>E</x:v>
      </x:c>
      <x:c r="I5174" t="str">
        <x:v>4-6 years</x:v>
      </x:c>
      <x:c r="J5174" t="str">
        <x:v>MORTGAGE</x:v>
      </x:c>
      <x:c r="K5174" t="str">
        <x:v>credit_card</x:v>
      </x:c>
      <x:c r="L5174" t="n">
        <x:v>1</x:v>
      </x:c>
      <x:c r="M5174" t="n">
        <x:v>0</x:v>
      </x:c>
      <x:c r="N5174" t="str">
        <x:v>Fully Paid</x:v>
      </x:c>
      <x:c r="O5174" t="str">
        <x:f>IF(D5174="","Unknown",IF(D5174&lt;25000,"&lt;$25k",IF(D5174&lt;50000,"$25k-$50k",IF(D5174&lt;75000,"$50k-$75k",IF(D5174&lt;100000,"$75k-$100k","$100k+")))))</x:f>
        <x:v>$50k-$75k</x:v>
      </x:c>
      <x:c r="P5174" t="str">
        <x:f>IF(E5174="","Unknown",IF(E5174&lt;10,"&lt;10",IF(E5174&lt;20,"10-&lt;20",IF(E5174&lt;25,"20-&lt;25",IF(E5174&lt;35,"25-&lt;35","35+")))))</x:f>
        <x:v>10-&lt;20</x:v>
      </x:c>
    </x:row>
    <x:row r="5175">
      <x:c r="A5175" t="str">
        <x:v>SYN0005174</x:v>
      </x:c>
      <x:c r="B5175" s="12" t="n">
        <x:v>42775</x:v>
      </x:c>
      <x:c r="C5175" s="18" t="n">
        <x:v>17945</x:v>
      </x:c>
      <x:c r="D5175" s="18" t="n">
        <x:v>69163</x:v>
      </x:c>
      <x:c r="E5175" s="18" t="n">
        <x:v>15.03</x:v>
      </x:c>
      <x:c r="F5175" s="18" t="n">
        <x:v>7.84</x:v>
      </x:c>
      <x:c r="G5175" t="n">
        <x:v>36</x:v>
      </x:c>
      <x:c r="H5175" t="str">
        <x:v>A</x:v>
      </x:c>
      <x:c r="I5175" t="str">
        <x:v>10+ years</x:v>
      </x:c>
      <x:c r="J5175" t="str">
        <x:v>MORTGAGE</x:v>
      </x:c>
      <x:c r="K5175" t="str">
        <x:v>major_purchase</x:v>
      </x:c>
      <x:c r="L5175" t="n">
        <x:v>0</x:v>
      </x:c>
      <x:c r="M5175" t="n">
        <x:v>0</x:v>
      </x:c>
      <x:c r="N5175" t="str">
        <x:v>Fully Paid</x:v>
      </x:c>
      <x:c r="O5175" t="str">
        <x:f>IF(D5175="","Unknown",IF(D5175&lt;25000,"&lt;$25k",IF(D5175&lt;50000,"$25k-$50k",IF(D5175&lt;75000,"$50k-$75k",IF(D5175&lt;100000,"$75k-$100k","$100k+")))))</x:f>
        <x:v>$50k-$75k</x:v>
      </x:c>
      <x:c r="P5175" t="str">
        <x:f>IF(E5175="","Unknown",IF(E5175&lt;10,"&lt;10",IF(E5175&lt;20,"10-&lt;20",IF(E5175&lt;25,"20-&lt;25",IF(E5175&lt;35,"25-&lt;35","35+")))))</x:f>
        <x:v>10-&lt;20</x:v>
      </x:c>
    </x:row>
    <x:row r="5176">
      <x:c r="A5176" t="str">
        <x:v>SYN0005175</x:v>
      </x:c>
      <x:c r="B5176" s="12" t="n">
        <x:v>42895</x:v>
      </x:c>
      <x:c r="C5176" s="18" t="n">
        <x:v>10017</x:v>
      </x:c>
      <x:c r="D5176" s="18" t="n">
        <x:v>176623</x:v>
      </x:c>
      <x:c r="E5176" s="18" t="n">
        <x:v>24.58</x:v>
      </x:c>
      <x:c r="F5176" s="18" t="n">
        <x:v>5.01</x:v>
      </x:c>
      <x:c r="G5176" t="n">
        <x:v>36</x:v>
      </x:c>
      <x:c r="H5176" t="str">
        <x:v>A</x:v>
      </x:c>
      <x:c r="I5176" t="str">
        <x:v>10+ years</x:v>
      </x:c>
      <x:c r="J5176" t="str">
        <x:v>MORTGAGE</x:v>
      </x:c>
      <x:c r="K5176" t="str">
        <x:v>credit_card</x:v>
      </x:c>
      <x:c r="L5176" t="n">
        <x:v>0</x:v>
      </x:c>
      <x:c r="M5176" t="n">
        <x:v>0</x:v>
      </x:c>
      <x:c r="N5176" t="str">
        <x:v>Fully Paid</x:v>
      </x:c>
      <x:c r="O5176" t="str">
        <x:f>IF(D5176="","Unknown",IF(D5176&lt;25000,"&lt;$25k",IF(D5176&lt;50000,"$25k-$50k",IF(D5176&lt;75000,"$50k-$75k",IF(D5176&lt;100000,"$75k-$100k","$100k+")))))</x:f>
        <x:v>$100k+</x:v>
      </x:c>
      <x:c r="P5176" t="str">
        <x:f>IF(E5176="","Unknown",IF(E5176&lt;10,"&lt;10",IF(E5176&lt;20,"10-&lt;20",IF(E5176&lt;25,"20-&lt;25",IF(E5176&lt;35,"25-&lt;35","35+")))))</x:f>
        <x:v>20-&lt;25</x:v>
      </x:c>
    </x:row>
    <x:row r="5177">
      <x:c r="A5177" t="str">
        <x:v>SYN0005176</x:v>
      </x:c>
      <x:c r="B5177" s="12" t="n">
        <x:v>41755</x:v>
      </x:c>
      <x:c r="C5177" s="18" t="n">
        <x:v>13411</x:v>
      </x:c>
      <x:c r="D5177" s="18" t="n">
        <x:v>72455</x:v>
      </x:c>
      <x:c r="E5177" s="18" t="n">
        <x:v>29.4</x:v>
      </x:c>
      <x:c r="F5177" s="18" t="n">
        <x:v>7.84</x:v>
      </x:c>
      <x:c r="G5177" t="n">
        <x:v>36</x:v>
      </x:c>
      <x:c r="H5177" t="str">
        <x:v>B</x:v>
      </x:c>
      <x:c r="I5177" t="str">
        <x:v>10+ years</x:v>
      </x:c>
      <x:c r="J5177" t="str">
        <x:v>MORTGAGE</x:v>
      </x:c>
      <x:c r="K5177" t="str">
        <x:v>home_improvement</x:v>
      </x:c>
      <x:c r="L5177" t="n">
        <x:v>1</x:v>
      </x:c>
      <x:c r="M5177" t="n">
        <x:v>0</x:v>
      </x:c>
      <x:c r="N5177" t="str">
        <x:v>Fully Paid</x:v>
      </x:c>
      <x:c r="O5177" t="str">
        <x:f>IF(D5177="","Unknown",IF(D5177&lt;25000,"&lt;$25k",IF(D5177&lt;50000,"$25k-$50k",IF(D5177&lt;75000,"$50k-$75k",IF(D5177&lt;100000,"$75k-$100k","$100k+")))))</x:f>
        <x:v>$50k-$75k</x:v>
      </x:c>
      <x:c r="P5177" t="str">
        <x:f>IF(E5177="","Unknown",IF(E5177&lt;10,"&lt;10",IF(E5177&lt;20,"10-&lt;20",IF(E5177&lt;25,"20-&lt;25",IF(E5177&lt;35,"25-&lt;35","35+")))))</x:f>
        <x:v>25-&lt;35</x:v>
      </x:c>
    </x:row>
    <x:row r="5178">
      <x:c r="A5178" t="str">
        <x:v>SYN0005177</x:v>
      </x:c>
      <x:c r="B5178" s="12" t="n">
        <x:v>42985</x:v>
      </x:c>
      <x:c r="C5178" s="18" t="n">
        <x:v>7283</x:v>
      </x:c>
      <x:c r="D5178" s="18" t="n">
        <x:v>31306</x:v>
      </x:c>
      <x:c r="E5178" s="18" t="n">
        <x:v>22.27</x:v>
      </x:c>
      <x:c r="F5178" s="18" t="n">
        <x:v>21.39</x:v>
      </x:c>
      <x:c r="G5178" t="n">
        <x:v>36</x:v>
      </x:c>
      <x:c r="H5178" t="str">
        <x:v>F</x:v>
      </x:c>
      <x:c r="I5178" t="str">
        <x:v>4-6 years</x:v>
      </x:c>
      <x:c r="J5178" t="str">
        <x:v>MORTGAGE</x:v>
      </x:c>
      <x:c r="K5178" t="str">
        <x:v>other</x:v>
      </x:c>
      <x:c r="L5178" t="n">
        <x:v>0</x:v>
      </x:c>
      <x:c r="M5178" t="n">
        <x:v>0</x:v>
      </x:c>
      <x:c r="N5178" t="str">
        <x:v>Fully Paid</x:v>
      </x:c>
      <x:c r="O5178" t="str">
        <x:f>IF(D5178="","Unknown",IF(D5178&lt;25000,"&lt;$25k",IF(D5178&lt;50000,"$25k-$50k",IF(D5178&lt;75000,"$50k-$75k",IF(D5178&lt;100000,"$75k-$100k","$100k+")))))</x:f>
        <x:v>$25k-$50k</x:v>
      </x:c>
      <x:c r="P5178" t="str">
        <x:f>IF(E5178="","Unknown",IF(E5178&lt;10,"&lt;10",IF(E5178&lt;20,"10-&lt;20",IF(E5178&lt;25,"20-&lt;25",IF(E5178&lt;35,"25-&lt;35","35+")))))</x:f>
        <x:v>20-&lt;25</x:v>
      </x:c>
    </x:row>
    <x:row r="5179">
      <x:c r="A5179" t="str">
        <x:v>SYN0005178</x:v>
      </x:c>
      <x:c r="B5179" s="12" t="n">
        <x:v>42325</x:v>
      </x:c>
      <x:c r="C5179" s="18" t="n">
        <x:v>10455</x:v>
      </x:c>
      <x:c r="D5179" s="18" t="n">
        <x:v>45775</x:v>
      </x:c>
      <x:c r="E5179" s="18" t="n">
        <x:v>12.14</x:v>
      </x:c>
      <x:c r="F5179" s="18" t="n">
        <x:v>16.6</x:v>
      </x:c>
      <x:c r="G5179" t="n">
        <x:v>60</x:v>
      </x:c>
      <x:c r="H5179" t="str">
        <x:v>D</x:v>
      </x:c>
      <x:c r="I5179" t="str">
        <x:v>4-6 years</x:v>
      </x:c>
      <x:c r="J5179" t="str">
        <x:v>RENT</x:v>
      </x:c>
      <x:c r="K5179" t="str">
        <x:v>debt_consolidation</x:v>
      </x:c>
      <x:c r="L5179" t="n">
        <x:v>0</x:v>
      </x:c>
      <x:c r="M5179" t="n">
        <x:v>0</x:v>
      </x:c>
      <x:c r="N5179" t="str">
        <x:v>Fully Paid</x:v>
      </x:c>
      <x:c r="O5179" t="str">
        <x:f>IF(D5179="","Unknown",IF(D5179&lt;25000,"&lt;$25k",IF(D5179&lt;50000,"$25k-$50k",IF(D5179&lt;75000,"$50k-$75k",IF(D5179&lt;100000,"$75k-$100k","$100k+")))))</x:f>
        <x:v>$25k-$50k</x:v>
      </x:c>
      <x:c r="P5179" t="str">
        <x:f>IF(E5179="","Unknown",IF(E5179&lt;10,"&lt;10",IF(E5179&lt;20,"10-&lt;20",IF(E5179&lt;25,"20-&lt;25",IF(E5179&lt;35,"25-&lt;35","35+")))))</x:f>
        <x:v>10-&lt;20</x:v>
      </x:c>
    </x:row>
    <x:row r="5180">
      <x:c r="A5180" t="str">
        <x:v>SYN0005179</x:v>
      </x:c>
      <x:c r="B5180" s="12" t="n">
        <x:v>42805</x:v>
      </x:c>
      <x:c r="C5180" s="18" t="n">
        <x:v>11175</x:v>
      </x:c>
      <x:c r="D5180" s="18" t="n">
        <x:v>57726</x:v>
      </x:c>
      <x:c r="E5180" s="18" t="n">
        <x:v>3.89</x:v>
      </x:c>
      <x:c r="F5180" s="18" t="n">
        <x:v>5.45</x:v>
      </x:c>
      <x:c r="G5180" t="n">
        <x:v>60</x:v>
      </x:c>
      <x:c r="H5180" t="str">
        <x:v>A</x:v>
      </x:c>
      <x:c r="I5180" t="str">
        <x:v>7-9 years</x:v>
      </x:c>
      <x:c r="J5180" t="str">
        <x:v>RENT</x:v>
      </x:c>
      <x:c r="K5180" t="str">
        <x:v>major_purchase</x:v>
      </x:c>
      <x:c r="L5180" t="n">
        <x:v>0</x:v>
      </x:c>
      <x:c r="M5180" t="n">
        <x:v>0</x:v>
      </x:c>
      <x:c r="N5180" t="str">
        <x:v>Fully Paid</x:v>
      </x:c>
      <x:c r="O5180" t="str">
        <x:f>IF(D5180="","Unknown",IF(D5180&lt;25000,"&lt;$25k",IF(D5180&lt;50000,"$25k-$50k",IF(D5180&lt;75000,"$50k-$75k",IF(D5180&lt;100000,"$75k-$100k","$100k+")))))</x:f>
        <x:v>$50k-$75k</x:v>
      </x:c>
      <x:c r="P5180" t="str">
        <x:f>IF(E5180="","Unknown",IF(E5180&lt;10,"&lt;10",IF(E5180&lt;20,"10-&lt;20",IF(E5180&lt;25,"20-&lt;25",IF(E5180&lt;35,"25-&lt;35","35+")))))</x:f>
        <x:v>&lt;10</x:v>
      </x:c>
    </x:row>
    <x:row r="5181">
      <x:c r="A5181" t="str">
        <x:v>SYN0005180</x:v>
      </x:c>
      <x:c r="B5181" s="12" t="n">
        <x:v>42685</x:v>
      </x:c>
      <x:c r="C5181" s="18" t="n">
        <x:v>8388</x:v>
      </x:c>
      <x:c r="D5181" s="18" t="n">
        <x:v>121604</x:v>
      </x:c>
      <x:c r="E5181" s="18" t="n">
        <x:v>36.58</x:v>
      </x:c>
      <x:c r="F5181" s="18" t="n">
        <x:v>19</x:v>
      </x:c>
      <x:c r="G5181" t="n">
        <x:v>36</x:v>
      </x:c>
      <x:c r="H5181" t="str">
        <x:v>F</x:v>
      </x:c>
      <x:c r="I5181" t="str">
        <x:v>4-6 years</x:v>
      </x:c>
      <x:c r="J5181" t="str">
        <x:v>MORTGAGE</x:v>
      </x:c>
      <x:c r="K5181" t="str">
        <x:v>credit_card</x:v>
      </x:c>
      <x:c r="L5181" t="n">
        <x:v>1</x:v>
      </x:c>
      <x:c r="M5181" t="n">
        <x:v>1</x:v>
      </x:c>
      <x:c r="N5181" t="str">
        <x:v>Charged Off</x:v>
      </x:c>
      <x:c r="O5181" t="str">
        <x:f>IF(D5181="","Unknown",IF(D5181&lt;25000,"&lt;$25k",IF(D5181&lt;50000,"$25k-$50k",IF(D5181&lt;75000,"$50k-$75k",IF(D5181&lt;100000,"$75k-$100k","$100k+")))))</x:f>
        <x:v>$100k+</x:v>
      </x:c>
      <x:c r="P5181" t="str">
        <x:f>IF(E5181="","Unknown",IF(E5181&lt;10,"&lt;10",IF(E5181&lt;20,"10-&lt;20",IF(E5181&lt;25,"20-&lt;25",IF(E5181&lt;35,"25-&lt;35","35+")))))</x:f>
        <x:v>35+</x:v>
      </x:c>
    </x:row>
    <x:row r="5182">
      <x:c r="A5182" t="str">
        <x:v>SYN0005181</x:v>
      </x:c>
      <x:c r="B5182" s="12" t="n">
        <x:v>42025</x:v>
      </x:c>
      <x:c r="C5182" s="18" t="n">
        <x:v>5773</x:v>
      </x:c>
      <x:c r="D5182" s="18" t="n">
        <x:v>80085</x:v>
      </x:c>
      <x:c r="E5182" s="18" t="n">
        <x:v>20.2</x:v>
      </x:c>
      <x:c r="F5182" s="18" t="n">
        <x:v>12.85</x:v>
      </x:c>
      <x:c r="G5182" t="n">
        <x:v>60</x:v>
      </x:c>
      <x:c r="H5182" t="str">
        <x:v>D</x:v>
      </x:c>
      <x:c r="I5182" t="str">
        <x:v>4-6 years</x:v>
      </x:c>
      <x:c r="J5182" t="str">
        <x:v>RENT</x:v>
      </x:c>
      <x:c r="K5182" t="str">
        <x:v>debt_consolidation</x:v>
      </x:c>
      <x:c r="L5182" t="n">
        <x:v>0</x:v>
      </x:c>
      <x:c r="M5182" t="n">
        <x:v>0</x:v>
      </x:c>
      <x:c r="N5182" t="str">
        <x:v>Fully Paid</x:v>
      </x:c>
      <x:c r="O5182" t="str">
        <x:f>IF(D5182="","Unknown",IF(D5182&lt;25000,"&lt;$25k",IF(D5182&lt;50000,"$25k-$50k",IF(D5182&lt;75000,"$50k-$75k",IF(D5182&lt;100000,"$75k-$100k","$100k+")))))</x:f>
        <x:v>$75k-$100k</x:v>
      </x:c>
      <x:c r="P5182" t="str">
        <x:f>IF(E5182="","Unknown",IF(E5182&lt;10,"&lt;10",IF(E5182&lt;20,"10-&lt;20",IF(E5182&lt;25,"20-&lt;25",IF(E5182&lt;35,"25-&lt;35","35+")))))</x:f>
        <x:v>20-&lt;25</x:v>
      </x:c>
    </x:row>
    <x:row r="5183">
      <x:c r="A5183" t="str">
        <x:v>SYN0005182</x:v>
      </x:c>
      <x:c r="B5183" s="12" t="n">
        <x:v>42835</x:v>
      </x:c>
      <x:c r="C5183" s="18" t="n">
        <x:v>6060</x:v>
      </x:c>
      <x:c r="D5183" s="18" t="n">
        <x:v>54045</x:v>
      </x:c>
      <x:c r="E5183" s="18" t="n">
        <x:v>33.36</x:v>
      </x:c>
      <x:c r="F5183" s="18" t="n">
        <x:v>11.91</x:v>
      </x:c>
      <x:c r="G5183" t="n">
        <x:v>36</x:v>
      </x:c>
      <x:c r="H5183" t="str">
        <x:v>C</x:v>
      </x:c>
      <x:c r="I5183" t="str">
        <x:v>4-6 years</x:v>
      </x:c>
      <x:c r="J5183" t="str">
        <x:v>RENT</x:v>
      </x:c>
      <x:c r="K5183" t="str">
        <x:v>credit_card</x:v>
      </x:c>
      <x:c r="L5183" t="n">
        <x:v>1</x:v>
      </x:c>
      <x:c r="M5183" t="n">
        <x:v>0</x:v>
      </x:c>
      <x:c r="N5183" t="str">
        <x:v>Fully Paid</x:v>
      </x:c>
      <x:c r="O5183" t="str">
        <x:f>IF(D5183="","Unknown",IF(D5183&lt;25000,"&lt;$25k",IF(D5183&lt;50000,"$25k-$50k",IF(D5183&lt;75000,"$50k-$75k",IF(D5183&lt;100000,"$75k-$100k","$100k+")))))</x:f>
        <x:v>$50k-$75k</x:v>
      </x:c>
      <x:c r="P5183" t="str">
        <x:f>IF(E5183="","Unknown",IF(E5183&lt;10,"&lt;10",IF(E5183&lt;20,"10-&lt;20",IF(E5183&lt;25,"20-&lt;25",IF(E5183&lt;35,"25-&lt;35","35+")))))</x:f>
        <x:v>25-&lt;35</x:v>
      </x:c>
    </x:row>
    <x:row r="5184">
      <x:c r="A5184" t="str">
        <x:v>SYN0005183</x:v>
      </x:c>
      <x:c r="B5184" s="12" t="n">
        <x:v>42565</x:v>
      </x:c>
      <x:c r="C5184" s="18" t="n">
        <x:v>15577</x:v>
      </x:c>
      <x:c r="D5184" s="18" t="n">
        <x:v>46139</x:v>
      </x:c>
      <x:c r="E5184" s="18" t="n">
        <x:v>19.92</x:v>
      </x:c>
      <x:c r="F5184" s="18" t="n">
        <x:v>14.81</x:v>
      </x:c>
      <x:c r="G5184" t="n">
        <x:v>36</x:v>
      </x:c>
      <x:c r="H5184" t="str">
        <x:v>D</x:v>
      </x:c>
      <x:c r="I5184" t="str">
        <x:v>10+ years</x:v>
      </x:c>
      <x:c r="J5184" t="str">
        <x:v>MORTGAGE</x:v>
      </x:c>
      <x:c r="K5184" t="str">
        <x:v>credit_card</x:v>
      </x:c>
      <x:c r="L5184" t="n">
        <x:v>0</x:v>
      </x:c>
      <x:c r="M5184" t="n">
        <x:v>0</x:v>
      </x:c>
      <x:c r="N5184" t="str">
        <x:v>Fully Paid</x:v>
      </x:c>
      <x:c r="O5184" t="str">
        <x:f>IF(D5184="","Unknown",IF(D5184&lt;25000,"&lt;$25k",IF(D5184&lt;50000,"$25k-$50k",IF(D5184&lt;75000,"$50k-$75k",IF(D5184&lt;100000,"$75k-$100k","$100k+")))))</x:f>
        <x:v>$25k-$50k</x:v>
      </x:c>
      <x:c r="P5184" t="str">
        <x:f>IF(E5184="","Unknown",IF(E5184&lt;10,"&lt;10",IF(E5184&lt;20,"10-&lt;20",IF(E5184&lt;25,"20-&lt;25",IF(E5184&lt;35,"25-&lt;35","35+")))))</x:f>
        <x:v>10-&lt;20</x:v>
      </x:c>
    </x:row>
    <x:row r="5185">
      <x:c r="A5185" t="str">
        <x:v>SYN0005184</x:v>
      </x:c>
      <x:c r="B5185" s="12" t="n">
        <x:v>43165</x:v>
      </x:c>
      <x:c r="C5185" s="18" t="n">
        <x:v>10539</x:v>
      </x:c>
      <x:c r="D5185" s="18" t="n">
        <x:v>27521</x:v>
      </x:c>
      <x:c r="E5185" s="18" t="n">
        <x:v>14.51</x:v>
      </x:c>
      <x:c r="F5185" s="18" t="n">
        <x:v>6.78</x:v>
      </x:c>
      <x:c r="G5185" t="n">
        <x:v>36</x:v>
      </x:c>
      <x:c r="H5185" t="str">
        <x:v>A</x:v>
      </x:c>
      <x:c r="I5185" t="str">
        <x:v>4-6 years</x:v>
      </x:c>
      <x:c r="J5185" t="str">
        <x:v>RENT</x:v>
      </x:c>
      <x:c r="K5185" t="str">
        <x:v>home_improvement</x:v>
      </x:c>
      <x:c r="L5185" t="n">
        <x:v>1</x:v>
      </x:c>
      <x:c r="M5185" t="n">
        <x:v>0</x:v>
      </x:c>
      <x:c r="N5185" t="str">
        <x:v>Fully Paid</x:v>
      </x:c>
      <x:c r="O5185" t="str">
        <x:f>IF(D5185="","Unknown",IF(D5185&lt;25000,"&lt;$25k",IF(D5185&lt;50000,"$25k-$50k",IF(D5185&lt;75000,"$50k-$75k",IF(D5185&lt;100000,"$75k-$100k","$100k+")))))</x:f>
        <x:v>$25k-$50k</x:v>
      </x:c>
      <x:c r="P5185" t="str">
        <x:f>IF(E5185="","Unknown",IF(E5185&lt;10,"&lt;10",IF(E5185&lt;20,"10-&lt;20",IF(E5185&lt;25,"20-&lt;25",IF(E5185&lt;35,"25-&lt;35","35+")))))</x:f>
        <x:v>10-&lt;20</x:v>
      </x:c>
    </x:row>
    <x:row r="5186">
      <x:c r="A5186" t="str">
        <x:v>SYN0005185</x:v>
      </x:c>
      <x:c r="B5186" s="12" t="n">
        <x:v>41695</x:v>
      </x:c>
      <x:c r="C5186" s="18" t="n">
        <x:v>8299</x:v>
      </x:c>
      <x:c r="D5186" s="18" t="n">
        <x:v>20873</x:v>
      </x:c>
      <x:c r="E5186" s="18" t="n">
        <x:v>1.16</x:v>
      </x:c>
      <x:c r="F5186" s="18" t="n">
        <x:v>10.43</x:v>
      </x:c>
      <x:c r="G5186" t="n">
        <x:v>36</x:v>
      </x:c>
      <x:c r="H5186" t="str">
        <x:v>B</x:v>
      </x:c>
      <x:c r="I5186" t="str">
        <x:v>10+ years</x:v>
      </x:c>
      <x:c r="J5186" t="str">
        <x:v>MORTGAGE</x:v>
      </x:c>
      <x:c r="K5186" t="str">
        <x:v>credit_card</x:v>
      </x:c>
      <x:c r="L5186" t="n">
        <x:v>1</x:v>
      </x:c>
      <x:c r="M5186" t="n">
        <x:v>0</x:v>
      </x:c>
      <x:c r="N5186" t="str">
        <x:v>Fully Paid</x:v>
      </x:c>
      <x:c r="O5186" t="str">
        <x:f>IF(D5186="","Unknown",IF(D5186&lt;25000,"&lt;$25k",IF(D5186&lt;50000,"$25k-$50k",IF(D5186&lt;75000,"$50k-$75k",IF(D5186&lt;100000,"$75k-$100k","$100k+")))))</x:f>
        <x:v>&lt;$25k</x:v>
      </x:c>
      <x:c r="P5186" t="str">
        <x:f>IF(E5186="","Unknown",IF(E5186&lt;10,"&lt;10",IF(E5186&lt;20,"10-&lt;20",IF(E5186&lt;25,"20-&lt;25",IF(E5186&lt;35,"25-&lt;35","35+")))))</x:f>
        <x:v>&lt;10</x:v>
      </x:c>
    </x:row>
    <x:row r="5187">
      <x:c r="A5187" t="str">
        <x:v>SYN0005186</x:v>
      </x:c>
      <x:c r="B5187" s="12" t="n">
        <x:v>42115</x:v>
      </x:c>
      <x:c r="C5187" s="18" t="n">
        <x:v>8144</x:v>
      </x:c>
      <x:c r="D5187" s="18" t="n">
        <x:v>113379</x:v>
      </x:c>
      <x:c r="E5187" s="18" t="n">
        <x:v>12.77</x:v>
      </x:c>
      <x:c r="F5187" s="18" t="n">
        <x:v>13.13</x:v>
      </x:c>
      <x:c r="G5187" t="n">
        <x:v>60</x:v>
      </x:c>
      <x:c r="H5187" t="str">
        <x:v>C</x:v>
      </x:c>
      <x:c r="I5187" t="str">
        <x:v>4-6 years</x:v>
      </x:c>
      <x:c r="J5187" t="str">
        <x:v>RENT</x:v>
      </x:c>
      <x:c r="K5187" t="str">
        <x:v>other</x:v>
      </x:c>
      <x:c r="L5187" t="n">
        <x:v>0</x:v>
      </x:c>
      <x:c r="M5187" t="n">
        <x:v>0</x:v>
      </x:c>
      <x:c r="N5187" t="str">
        <x:v>Fully Paid</x:v>
      </x:c>
      <x:c r="O5187" t="str">
        <x:f>IF(D5187="","Unknown",IF(D5187&lt;25000,"&lt;$25k",IF(D5187&lt;50000,"$25k-$50k",IF(D5187&lt;75000,"$50k-$75k",IF(D5187&lt;100000,"$75k-$100k","$100k+")))))</x:f>
        <x:v>$100k+</x:v>
      </x:c>
      <x:c r="P5187" t="str">
        <x:f>IF(E5187="","Unknown",IF(E5187&lt;10,"&lt;10",IF(E5187&lt;20,"10-&lt;20",IF(E5187&lt;25,"20-&lt;25",IF(E5187&lt;35,"25-&lt;35","35+")))))</x:f>
        <x:v>10-&lt;20</x:v>
      </x:c>
    </x:row>
    <x:row r="5188">
      <x:c r="A5188" t="str">
        <x:v>SYN0005187</x:v>
      </x:c>
      <x:c r="B5188" s="12" t="n">
        <x:v>42835</x:v>
      </x:c>
      <x:c r="C5188" s="18" t="n">
        <x:v>21452</x:v>
      </x:c>
      <x:c r="D5188" s="18" t="n">
        <x:v>28311</x:v>
      </x:c>
      <x:c r="E5188" s="18" t="n">
        <x:v>16.51</x:v>
      </x:c>
      <x:c r="F5188" s="18" t="n">
        <x:v>6.8</x:v>
      </x:c>
      <x:c r="G5188" t="n">
        <x:v>36</x:v>
      </x:c>
      <x:c r="H5188" t="str">
        <x:v>A</x:v>
      </x:c>
      <x:c r="I5188" t="str">
        <x:v>4-6 years</x:v>
      </x:c>
      <x:c r="J5188" t="str">
        <x:v>MORTGAGE</x:v>
      </x:c>
      <x:c r="K5188" t="str">
        <x:v>other</x:v>
      </x:c>
      <x:c r="L5188" t="n">
        <x:v>0</x:v>
      </x:c>
      <x:c r="M5188" t="n">
        <x:v>0</x:v>
      </x:c>
      <x:c r="N5188" t="str">
        <x:v>Fully Paid</x:v>
      </x:c>
      <x:c r="O5188" t="str">
        <x:f>IF(D5188="","Unknown",IF(D5188&lt;25000,"&lt;$25k",IF(D5188&lt;50000,"$25k-$50k",IF(D5188&lt;75000,"$50k-$75k",IF(D5188&lt;100000,"$75k-$100k","$100k+")))))</x:f>
        <x:v>$25k-$50k</x:v>
      </x:c>
      <x:c r="P5188" t="str">
        <x:f>IF(E5188="","Unknown",IF(E5188&lt;10,"&lt;10",IF(E5188&lt;20,"10-&lt;20",IF(E5188&lt;25,"20-&lt;25",IF(E5188&lt;35,"25-&lt;35","35+")))))</x:f>
        <x:v>10-&lt;20</x:v>
      </x:c>
    </x:row>
    <x:row r="5189">
      <x:c r="A5189" t="str">
        <x:v>SYN0005188</x:v>
      </x:c>
      <x:c r="B5189" s="12" t="n">
        <x:v>42565</x:v>
      </x:c>
      <x:c r="C5189" s="18" t="n">
        <x:v>9027</x:v>
      </x:c>
      <x:c r="D5189" s="18" t="n">
        <x:v>51990</x:v>
      </x:c>
      <x:c r="E5189" s="18" t="n">
        <x:v>16.35</x:v>
      </x:c>
      <x:c r="F5189" s="18" t="n">
        <x:v>5</x:v>
      </x:c>
      <x:c r="G5189" t="n">
        <x:v>36</x:v>
      </x:c>
      <x:c r="H5189" t="str">
        <x:v>A</x:v>
      </x:c>
      <x:c r="I5189" t="str">
        <x:v>4-6 years</x:v>
      </x:c>
      <x:c r="J5189" t="str">
        <x:v>RENT</x:v>
      </x:c>
      <x:c r="K5189" t="str">
        <x:v>debt_consolidation</x:v>
      </x:c>
      <x:c r="L5189" t="n">
        <x:v>1</x:v>
      </x:c>
      <x:c r="M5189" t="n">
        <x:v>0</x:v>
      </x:c>
      <x:c r="N5189" t="str">
        <x:v>Fully Paid</x:v>
      </x:c>
      <x:c r="O5189" t="str">
        <x:f>IF(D5189="","Unknown",IF(D5189&lt;25000,"&lt;$25k",IF(D5189&lt;50000,"$25k-$50k",IF(D5189&lt;75000,"$50k-$75k",IF(D5189&lt;100000,"$75k-$100k","$100k+")))))</x:f>
        <x:v>$50k-$75k</x:v>
      </x:c>
      <x:c r="P5189" t="str">
        <x:f>IF(E5189="","Unknown",IF(E5189&lt;10,"&lt;10",IF(E5189&lt;20,"10-&lt;20",IF(E5189&lt;25,"20-&lt;25",IF(E5189&lt;35,"25-&lt;35","35+")))))</x:f>
        <x:v>10-&lt;20</x:v>
      </x:c>
    </x:row>
    <x:row r="5190">
      <x:c r="A5190" t="str">
        <x:v>SYN0005189</x:v>
      </x:c>
      <x:c r="B5190" s="12" t="n">
        <x:v>41365</x:v>
      </x:c>
      <x:c r="C5190" s="18" t="n">
        <x:v>36074</x:v>
      </x:c>
      <x:c r="D5190" s="18" t="n">
        <x:v>52086</x:v>
      </x:c>
      <x:c r="E5190" s="18" t="n">
        <x:v>19.38</x:v>
      </x:c>
      <x:c r="F5190" s="18" t="n">
        <x:v>10.13</x:v>
      </x:c>
      <x:c r="G5190" t="n">
        <x:v>36</x:v>
      </x:c>
      <x:c r="H5190" t="str">
        <x:v>C</x:v>
      </x:c>
      <x:c r="I5190" t="str">
        <x:v>1-3 years</x:v>
      </x:c>
      <x:c r="J5190" t="str">
        <x:v>MORTGAGE</x:v>
      </x:c>
      <x:c r="K5190" t="str">
        <x:v>credit_card</x:v>
      </x:c>
      <x:c r="L5190" t="n">
        <x:v>0</x:v>
      </x:c>
      <x:c r="M5190" t="n">
        <x:v>0</x:v>
      </x:c>
      <x:c r="N5190" t="str">
        <x:v>Fully Paid</x:v>
      </x:c>
      <x:c r="O5190" t="str">
        <x:f>IF(D5190="","Unknown",IF(D5190&lt;25000,"&lt;$25k",IF(D5190&lt;50000,"$25k-$50k",IF(D5190&lt;75000,"$50k-$75k",IF(D5190&lt;100000,"$75k-$100k","$100k+")))))</x:f>
        <x:v>$50k-$75k</x:v>
      </x:c>
      <x:c r="P5190" t="str">
        <x:f>IF(E5190="","Unknown",IF(E5190&lt;10,"&lt;10",IF(E5190&lt;20,"10-&lt;20",IF(E5190&lt;25,"20-&lt;25",IF(E5190&lt;35,"25-&lt;35","35+")))))</x:f>
        <x:v>10-&lt;20</x:v>
      </x:c>
    </x:row>
    <x:row r="5191">
      <x:c r="A5191" t="str">
        <x:v>SYN0005190</x:v>
      </x:c>
      <x:c r="B5191" s="12" t="n">
        <x:v>43285</x:v>
      </x:c>
      <x:c r="C5191" s="18" t="n">
        <x:v>13304</x:v>
      </x:c>
      <x:c r="D5191" s="18" t="n">
        <x:v>96416</x:v>
      </x:c>
      <x:c r="E5191" s="18" t="n">
        <x:v>33.09</x:v>
      </x:c>
      <x:c r="F5191" s="18" t="n">
        <x:v>15.28</x:v>
      </x:c>
      <x:c r="G5191" t="n">
        <x:v>36</x:v>
      </x:c>
      <x:c r="H5191" t="str">
        <x:v>D</x:v>
      </x:c>
      <x:c r="I5191" t="str">
        <x:v>10+ years</x:v>
      </x:c>
      <x:c r="J5191" t="str">
        <x:v>MORTGAGE</x:v>
      </x:c>
      <x:c r="K5191" t="str">
        <x:v>debt_consolidation</x:v>
      </x:c>
      <x:c r="L5191" t="n">
        <x:v>3</x:v>
      </x:c>
      <x:c r="M5191" t="n">
        <x:v>0</x:v>
      </x:c>
      <x:c r="N5191" t="str">
        <x:v>Fully Paid</x:v>
      </x:c>
      <x:c r="O5191" t="str">
        <x:f>IF(D5191="","Unknown",IF(D5191&lt;25000,"&lt;$25k",IF(D5191&lt;50000,"$25k-$50k",IF(D5191&lt;75000,"$50k-$75k",IF(D5191&lt;100000,"$75k-$100k","$100k+")))))</x:f>
        <x:v>$75k-$100k</x:v>
      </x:c>
      <x:c r="P5191" t="str">
        <x:f>IF(E5191="","Unknown",IF(E5191&lt;10,"&lt;10",IF(E5191&lt;20,"10-&lt;20",IF(E5191&lt;25,"20-&lt;25",IF(E5191&lt;35,"25-&lt;35","35+")))))</x:f>
        <x:v>25-&lt;35</x:v>
      </x:c>
    </x:row>
    <x:row r="5192">
      <x:c r="A5192" t="str">
        <x:v>SYN0005191</x:v>
      </x:c>
      <x:c r="B5192" s="12" t="n">
        <x:v>41395</x:v>
      </x:c>
      <x:c r="C5192" s="18" t="n">
        <x:v>13027</x:v>
      </x:c>
      <x:c r="D5192" s="18" t="n">
        <x:v>93958</x:v>
      </x:c>
      <x:c r="E5192" s="18" t="n">
        <x:v>12.58</x:v>
      </x:c>
      <x:c r="F5192" s="18" t="n">
        <x:v>7.95</x:v>
      </x:c>
      <x:c r="G5192" t="n">
        <x:v>36</x:v>
      </x:c>
      <x:c r="H5192" t="str">
        <x:v>B</x:v>
      </x:c>
      <x:c r="I5192" t="str">
        <x:v>1-3 years</x:v>
      </x:c>
      <x:c r="J5192" t="str">
        <x:v>RENT</x:v>
      </x:c>
      <x:c r="K5192" t="str">
        <x:v>medical</x:v>
      </x:c>
      <x:c r="L5192" t="n">
        <x:v>0</x:v>
      </x:c>
      <x:c r="M5192" t="n">
        <x:v>0</x:v>
      </x:c>
      <x:c r="N5192" t="str">
        <x:v>Fully Paid</x:v>
      </x:c>
      <x:c r="O5192" t="str">
        <x:f>IF(D5192="","Unknown",IF(D5192&lt;25000,"&lt;$25k",IF(D5192&lt;50000,"$25k-$50k",IF(D5192&lt;75000,"$50k-$75k",IF(D5192&lt;100000,"$75k-$100k","$100k+")))))</x:f>
        <x:v>$75k-$100k</x:v>
      </x:c>
      <x:c r="P5192" t="str">
        <x:f>IF(E5192="","Unknown",IF(E5192&lt;10,"&lt;10",IF(E5192&lt;20,"10-&lt;20",IF(E5192&lt;25,"20-&lt;25",IF(E5192&lt;35,"25-&lt;35","35+")))))</x:f>
        <x:v>10-&lt;20</x:v>
      </x:c>
    </x:row>
    <x:row r="5193">
      <x:c r="A5193" t="str">
        <x:v>SYN0005192</x:v>
      </x:c>
      <x:c r="B5193" s="12" t="n">
        <x:v>42295</x:v>
      </x:c>
      <x:c r="C5193" s="18" t="n">
        <x:v>13368</x:v>
      </x:c>
      <x:c r="D5193" s="18" t="n">
        <x:v>70098</x:v>
      </x:c>
      <x:c r="E5193" s="18" t="n">
        <x:v>11.35</x:v>
      </x:c>
      <x:c r="F5193" s="18" t="n">
        <x:v>10.34</x:v>
      </x:c>
      <x:c r="G5193" t="n">
        <x:v>36</x:v>
      </x:c>
      <x:c r="H5193" t="str">
        <x:v>C</x:v>
      </x:c>
      <x:c r="I5193" t="str">
        <x:v>1-3 years</x:v>
      </x:c>
      <x:c r="J5193" t="str">
        <x:v>MORTGAGE</x:v>
      </x:c>
      <x:c r="K5193" t="str">
        <x:v>major_purchase</x:v>
      </x:c>
      <x:c r="L5193" t="n">
        <x:v>0</x:v>
      </x:c>
      <x:c r="M5193" t="n">
        <x:v>0</x:v>
      </x:c>
      <x:c r="N5193" t="str">
        <x:v>Fully Paid</x:v>
      </x:c>
      <x:c r="O5193" t="str">
        <x:f>IF(D5193="","Unknown",IF(D5193&lt;25000,"&lt;$25k",IF(D5193&lt;50000,"$25k-$50k",IF(D5193&lt;75000,"$50k-$75k",IF(D5193&lt;100000,"$75k-$100k","$100k+")))))</x:f>
        <x:v>$50k-$75k</x:v>
      </x:c>
      <x:c r="P5193" t="str">
        <x:f>IF(E5193="","Unknown",IF(E5193&lt;10,"&lt;10",IF(E5193&lt;20,"10-&lt;20",IF(E5193&lt;25,"20-&lt;25",IF(E5193&lt;35,"25-&lt;35","35+")))))</x:f>
        <x:v>10-&lt;20</x:v>
      </x:c>
    </x:row>
    <x:row r="5194">
      <x:c r="A5194" t="str">
        <x:v>SYN0005193</x:v>
      </x:c>
      <x:c r="B5194" s="12" t="n">
        <x:v>41275</x:v>
      </x:c>
      <x:c r="C5194" s="18" t="n">
        <x:v>5552</x:v>
      </x:c>
      <x:c r="D5194" s="18" t="n">
        <x:v>89984</x:v>
      </x:c>
      <x:c r="E5194" s="18" t="n">
        <x:v>21.29</x:v>
      </x:c>
      <x:c r="F5194" s="18" t="n">
        <x:v>10.88</x:v>
      </x:c>
      <x:c r="G5194" t="n">
        <x:v>36</x:v>
      </x:c>
      <x:c r="H5194" t="str">
        <x:v>C</x:v>
      </x:c>
      <x:c r="I5194" t="str">
        <x:v>4-6 years</x:v>
      </x:c>
      <x:c r="J5194" t="str">
        <x:v>OWN</x:v>
      </x:c>
      <x:c r="K5194" t="str">
        <x:v>debt_consolidation</x:v>
      </x:c>
      <x:c r="L5194" t="n">
        <x:v>0</x:v>
      </x:c>
      <x:c r="M5194" t="n">
        <x:v>0</x:v>
      </x:c>
      <x:c r="N5194" t="str">
        <x:v>Fully Paid</x:v>
      </x:c>
      <x:c r="O5194" t="str">
        <x:f>IF(D5194="","Unknown",IF(D5194&lt;25000,"&lt;$25k",IF(D5194&lt;50000,"$25k-$50k",IF(D5194&lt;75000,"$50k-$75k",IF(D5194&lt;100000,"$75k-$100k","$100k+")))))</x:f>
        <x:v>$75k-$100k</x:v>
      </x:c>
      <x:c r="P5194" t="str">
        <x:f>IF(E5194="","Unknown",IF(E5194&lt;10,"&lt;10",IF(E5194&lt;20,"10-&lt;20",IF(E5194&lt;25,"20-&lt;25",IF(E5194&lt;35,"25-&lt;35","35+")))))</x:f>
        <x:v>20-&lt;25</x:v>
      </x:c>
    </x:row>
    <x:row r="5195">
      <x:c r="A5195" t="str">
        <x:v>SYN0005194</x:v>
      </x:c>
      <x:c r="B5195" s="12" t="n">
        <x:v>42535</x:v>
      </x:c>
      <x:c r="C5195" s="18" t="n">
        <x:v>13278</x:v>
      </x:c>
      <x:c r="D5195" s="18" t="n">
        <x:v>64407</x:v>
      </x:c>
      <x:c r="E5195" s="18" t="n">
        <x:v>29.19</x:v>
      </x:c>
      <x:c r="F5195" s="18" t="n">
        <x:v>12.47</x:v>
      </x:c>
      <x:c r="G5195" t="n">
        <x:v>36</x:v>
      </x:c>
      <x:c r="H5195" t="str">
        <x:v>C</x:v>
      </x:c>
      <x:c r="I5195" t="str">
        <x:v>4-6 years</x:v>
      </x:c>
      <x:c r="J5195" t="str">
        <x:v>RENT</x:v>
      </x:c>
      <x:c r="K5195" t="str">
        <x:v>debt_consolidation</x:v>
      </x:c>
      <x:c r="L5195" t="n">
        <x:v>0</x:v>
      </x:c>
      <x:c r="M5195" t="n">
        <x:v>0</x:v>
      </x:c>
      <x:c r="N5195" t="str">
        <x:v>Fully Paid</x:v>
      </x:c>
      <x:c r="O5195" t="str">
        <x:f>IF(D5195="","Unknown",IF(D5195&lt;25000,"&lt;$25k",IF(D5195&lt;50000,"$25k-$50k",IF(D5195&lt;75000,"$50k-$75k",IF(D5195&lt;100000,"$75k-$100k","$100k+")))))</x:f>
        <x:v>$50k-$75k</x:v>
      </x:c>
      <x:c r="P5195" t="str">
        <x:f>IF(E5195="","Unknown",IF(E5195&lt;10,"&lt;10",IF(E5195&lt;20,"10-&lt;20",IF(E5195&lt;25,"20-&lt;25",IF(E5195&lt;35,"25-&lt;35","35+")))))</x:f>
        <x:v>25-&lt;35</x:v>
      </x:c>
    </x:row>
    <x:row r="5196">
      <x:c r="A5196" t="str">
        <x:v>SYN0005195</x:v>
      </x:c>
      <x:c r="B5196" s="12" t="n">
        <x:v>43285</x:v>
      </x:c>
      <x:c r="C5196" s="18" t="n">
        <x:v>15028</x:v>
      </x:c>
      <x:c r="D5196" s="18" t="n">
        <x:v>36028</x:v>
      </x:c>
      <x:c r="E5196" s="18" t="n">
        <x:v>28.62</x:v>
      </x:c>
      <x:c r="F5196" s="18" t="n">
        <x:v>18.54</x:v>
      </x:c>
      <x:c r="G5196" t="n">
        <x:v>36</x:v>
      </x:c>
      <x:c r="H5196" t="str">
        <x:v>E</x:v>
      </x:c>
      <x:c r="I5196" t="str">
        <x:v>1-3 years</x:v>
      </x:c>
      <x:c r="J5196" t="str">
        <x:v>RENT</x:v>
      </x:c>
      <x:c r="K5196" t="str">
        <x:v>credit_card</x:v>
      </x:c>
      <x:c r="L5196" t="n">
        <x:v>0</x:v>
      </x:c>
      <x:c r="M5196" t="n">
        <x:v>0</x:v>
      </x:c>
      <x:c r="N5196" t="str">
        <x:v>Fully Paid</x:v>
      </x:c>
      <x:c r="O5196" t="str">
        <x:f>IF(D5196="","Unknown",IF(D5196&lt;25000,"&lt;$25k",IF(D5196&lt;50000,"$25k-$50k",IF(D5196&lt;75000,"$50k-$75k",IF(D5196&lt;100000,"$75k-$100k","$100k+")))))</x:f>
        <x:v>$25k-$50k</x:v>
      </x:c>
      <x:c r="P5196" t="str">
        <x:f>IF(E5196="","Unknown",IF(E5196&lt;10,"&lt;10",IF(E5196&lt;20,"10-&lt;20",IF(E5196&lt;25,"20-&lt;25",IF(E5196&lt;35,"25-&lt;35","35+")))))</x:f>
        <x:v>25-&lt;35</x:v>
      </x:c>
    </x:row>
    <x:row r="5197">
      <x:c r="A5197" t="str">
        <x:v>SYN0005196</x:v>
      </x:c>
      <x:c r="B5197" s="12" t="n">
        <x:v>42235</x:v>
      </x:c>
      <x:c r="C5197" s="18" t="n">
        <x:v>7424</x:v>
      </x:c>
      <x:c r="D5197" s="18" t="n">
        <x:v>50470</x:v>
      </x:c>
      <x:c r="E5197" s="18" t="n">
        <x:v>31.13</x:v>
      </x:c>
      <x:c r="F5197" s="18" t="n">
        <x:v>9.98</x:v>
      </x:c>
      <x:c r="G5197" t="n">
        <x:v>60</x:v>
      </x:c>
      <x:c r="H5197" t="str">
        <x:v>C</x:v>
      </x:c>
      <x:c r="I5197" t="str">
        <x:v>7-9 years</x:v>
      </x:c>
      <x:c r="J5197" t="str">
        <x:v>MORTGAGE</x:v>
      </x:c>
      <x:c r="K5197" t="str">
        <x:v>debt_consolidation</x:v>
      </x:c>
      <x:c r="L5197" t="n">
        <x:v>0</x:v>
      </x:c>
      <x:c r="M5197" t="n">
        <x:v>1</x:v>
      </x:c>
      <x:c r="N5197" t="str">
        <x:v>Charged Off</x:v>
      </x:c>
      <x:c r="O5197" t="str">
        <x:f>IF(D5197="","Unknown",IF(D5197&lt;25000,"&lt;$25k",IF(D5197&lt;50000,"$25k-$50k",IF(D5197&lt;75000,"$50k-$75k",IF(D5197&lt;100000,"$75k-$100k","$100k+")))))</x:f>
        <x:v>$50k-$75k</x:v>
      </x:c>
      <x:c r="P5197" t="str">
        <x:f>IF(E5197="","Unknown",IF(E5197&lt;10,"&lt;10",IF(E5197&lt;20,"10-&lt;20",IF(E5197&lt;25,"20-&lt;25",IF(E5197&lt;35,"25-&lt;35","35+")))))</x:f>
        <x:v>25-&lt;35</x:v>
      </x:c>
    </x:row>
    <x:row r="5198">
      <x:c r="A5198" t="str">
        <x:v>SYN0005197</x:v>
      </x:c>
      <x:c r="B5198" s="12" t="n">
        <x:v>42355</x:v>
      </x:c>
      <x:c r="C5198" s="18" t="n">
        <x:v>8787</x:v>
      </x:c>
      <x:c r="D5198" s="18" t="n">
        <x:v>43962</x:v>
      </x:c>
      <x:c r="E5198" s="18" t="n">
        <x:v>17.52</x:v>
      </x:c>
      <x:c r="F5198" s="18" t="n">
        <x:v>16.08</x:v>
      </x:c>
      <x:c r="G5198" t="n">
        <x:v>36</x:v>
      </x:c>
      <x:c r="H5198" t="str">
        <x:v>D</x:v>
      </x:c>
      <x:c r="I5198" t="str">
        <x:v>7-9 years</x:v>
      </x:c>
      <x:c r="J5198" t="str">
        <x:v>RENT</x:v>
      </x:c>
      <x:c r="K5198" t="str">
        <x:v>home_improvement</x:v>
      </x:c>
      <x:c r="L5198" t="n">
        <x:v>0</x:v>
      </x:c>
      <x:c r="M5198" t="n">
        <x:v>0</x:v>
      </x:c>
      <x:c r="N5198" t="str">
        <x:v>Fully Paid</x:v>
      </x:c>
      <x:c r="O5198" t="str">
        <x:f>IF(D5198="","Unknown",IF(D5198&lt;25000,"&lt;$25k",IF(D5198&lt;50000,"$25k-$50k",IF(D5198&lt;75000,"$50k-$75k",IF(D5198&lt;100000,"$75k-$100k","$100k+")))))</x:f>
        <x:v>$25k-$50k</x:v>
      </x:c>
      <x:c r="P5198" t="str">
        <x:f>IF(E5198="","Unknown",IF(E5198&lt;10,"&lt;10",IF(E5198&lt;20,"10-&lt;20",IF(E5198&lt;25,"20-&lt;25",IF(E5198&lt;35,"25-&lt;35","35+")))))</x:f>
        <x:v>10-&lt;20</x:v>
      </x:c>
    </x:row>
    <x:row r="5199">
      <x:c r="A5199" t="str">
        <x:v>SYN0005198</x:v>
      </x:c>
      <x:c r="B5199" s="12" t="n">
        <x:v>43195</x:v>
      </x:c>
      <x:c r="C5199" s="18" t="n">
        <x:v>11479</x:v>
      </x:c>
      <x:c r="D5199" s="18" t="n">
        <x:v>46597</x:v>
      </x:c>
      <x:c r="E5199" s="18" t="n">
        <x:v>20.82</x:v>
      </x:c>
      <x:c r="F5199" s="18" t="n">
        <x:v>8.11</x:v>
      </x:c>
      <x:c r="G5199" t="n">
        <x:v>60</x:v>
      </x:c>
      <x:c r="H5199" t="str">
        <x:v>B</x:v>
      </x:c>
      <x:c r="I5199" t="str">
        <x:v>&lt;1 year</x:v>
      </x:c>
      <x:c r="J5199" t="str">
        <x:v>OWN</x:v>
      </x:c>
      <x:c r="K5199" t="str">
        <x:v>credit_card</x:v>
      </x:c>
      <x:c r="L5199" t="n">
        <x:v>1</x:v>
      </x:c>
      <x:c r="M5199" t="n">
        <x:v>0</x:v>
      </x:c>
      <x:c r="N5199" t="str">
        <x:v>Fully Paid</x:v>
      </x:c>
      <x:c r="O5199" t="str">
        <x:f>IF(D5199="","Unknown",IF(D5199&lt;25000,"&lt;$25k",IF(D5199&lt;50000,"$25k-$50k",IF(D5199&lt;75000,"$50k-$75k",IF(D5199&lt;100000,"$75k-$100k","$100k+")))))</x:f>
        <x:v>$25k-$50k</x:v>
      </x:c>
      <x:c r="P5199" t="str">
        <x:f>IF(E5199="","Unknown",IF(E5199&lt;10,"&lt;10",IF(E5199&lt;20,"10-&lt;20",IF(E5199&lt;25,"20-&lt;25",IF(E5199&lt;35,"25-&lt;35","35+")))))</x:f>
        <x:v>20-&lt;25</x:v>
      </x:c>
    </x:row>
    <x:row r="5200">
      <x:c r="A5200" t="str">
        <x:v>SYN0005199</x:v>
      </x:c>
      <x:c r="B5200" s="12" t="n">
        <x:v>42955</x:v>
      </x:c>
      <x:c r="C5200" s="18" t="n">
        <x:v>21882</x:v>
      </x:c>
      <x:c r="D5200" s="18" t="n">
        <x:v>103096</x:v>
      </x:c>
      <x:c r="E5200" s="18" t="n">
        <x:v>33.43</x:v>
      </x:c>
      <x:c r="F5200" s="18" t="n">
        <x:v>9.39</x:v>
      </x:c>
      <x:c r="G5200" t="n">
        <x:v>36</x:v>
      </x:c>
      <x:c r="H5200" t="str">
        <x:v>B</x:v>
      </x:c>
      <x:c r="I5200" t="str">
        <x:v>4-6 years</x:v>
      </x:c>
      <x:c r="J5200" t="str">
        <x:v>OWN</x:v>
      </x:c>
      <x:c r="K5200" t="str">
        <x:v>debt_consolidation</x:v>
      </x:c>
      <x:c r="L5200" t="n">
        <x:v>1</x:v>
      </x:c>
      <x:c r="M5200" t="n">
        <x:v>0</x:v>
      </x:c>
      <x:c r="N5200" t="str">
        <x:v>Fully Paid</x:v>
      </x:c>
      <x:c r="O5200" t="str">
        <x:f>IF(D5200="","Unknown",IF(D5200&lt;25000,"&lt;$25k",IF(D5200&lt;50000,"$25k-$50k",IF(D5200&lt;75000,"$50k-$75k",IF(D5200&lt;100000,"$75k-$100k","$100k+")))))</x:f>
        <x:v>$100k+</x:v>
      </x:c>
      <x:c r="P5200" t="str">
        <x:f>IF(E5200="","Unknown",IF(E5200&lt;10,"&lt;10",IF(E5200&lt;20,"10-&lt;20",IF(E5200&lt;25,"20-&lt;25",IF(E5200&lt;35,"25-&lt;35","35+")))))</x:f>
        <x:v>25-&lt;35</x:v>
      </x:c>
    </x:row>
    <x:row r="5201">
      <x:c r="A5201" t="str">
        <x:v>SYN0005200</x:v>
      </x:c>
      <x:c r="B5201" s="12" t="n">
        <x:v>42535</x:v>
      </x:c>
      <x:c r="C5201" s="18" t="n">
        <x:v>10742</x:v>
      </x:c>
      <x:c r="D5201" s="18" t="n">
        <x:v>67130</x:v>
      </x:c>
      <x:c r="E5201" s="18" t="n">
        <x:v>22.75</x:v>
      </x:c>
      <x:c r="F5201" s="18" t="n">
        <x:v>5.45</x:v>
      </x:c>
      <x:c r="G5201" t="n">
        <x:v>36</x:v>
      </x:c>
      <x:c r="H5201" t="str">
        <x:v>A</x:v>
      </x:c>
      <x:c r="I5201" t="str">
        <x:v>4-6 years</x:v>
      </x:c>
      <x:c r="J5201" t="str">
        <x:v>OTHER</x:v>
      </x:c>
      <x:c r="K5201" t="str">
        <x:v>debt_consolidation</x:v>
      </x:c>
      <x:c r="L5201" t="n">
        <x:v>0</x:v>
      </x:c>
      <x:c r="M5201" t="n">
        <x:v>0</x:v>
      </x:c>
      <x:c r="N5201" t="str">
        <x:v>Fully Paid</x:v>
      </x:c>
      <x:c r="O5201" t="str">
        <x:f>IF(D5201="","Unknown",IF(D5201&lt;25000,"&lt;$25k",IF(D5201&lt;50000,"$25k-$50k",IF(D5201&lt;75000,"$50k-$75k",IF(D5201&lt;100000,"$75k-$100k","$100k+")))))</x:f>
        <x:v>$50k-$75k</x:v>
      </x:c>
      <x:c r="P5201" t="str">
        <x:f>IF(E5201="","Unknown",IF(E5201&lt;10,"&lt;10",IF(E5201&lt;20,"10-&lt;20",IF(E5201&lt;25,"20-&lt;25",IF(E5201&lt;35,"25-&lt;35","35+")))))</x:f>
        <x:v>20-&lt;25</x:v>
      </x:c>
    </x:row>
    <x:row r="5202">
      <x:c r="A5202" t="str">
        <x:v>SYN0005201</x:v>
      </x:c>
      <x:c r="B5202" s="12" t="n">
        <x:v>41455</x:v>
      </x:c>
      <x:c r="C5202" s="18" t="n">
        <x:v>7147</x:v>
      </x:c>
      <x:c r="D5202" s="18" t="n">
        <x:v>46010</x:v>
      </x:c>
      <x:c r="E5202" s="18" t="n">
        <x:v>24.88</x:v>
      </x:c>
      <x:c r="F5202" s="18" t="n">
        <x:v>19.04</x:v>
      </x:c>
      <x:c r="G5202" t="n">
        <x:v>36</x:v>
      </x:c>
      <x:c r="H5202" t="str">
        <x:v>E</x:v>
      </x:c>
      <x:c r="I5202" t="str">
        <x:v>&lt;1 year</x:v>
      </x:c>
      <x:c r="J5202" t="str">
        <x:v>RENT</x:v>
      </x:c>
      <x:c r="K5202" t="str">
        <x:v>debt_consolidation</x:v>
      </x:c>
      <x:c r="L5202" t="n">
        <x:v>0</x:v>
      </x:c>
      <x:c r="M5202" t="n">
        <x:v>0</x:v>
      </x:c>
      <x:c r="N5202" t="str">
        <x:v>Fully Paid</x:v>
      </x:c>
      <x:c r="O5202" t="str">
        <x:f>IF(D5202="","Unknown",IF(D5202&lt;25000,"&lt;$25k",IF(D5202&lt;50000,"$25k-$50k",IF(D5202&lt;75000,"$50k-$75k",IF(D5202&lt;100000,"$75k-$100k","$100k+")))))</x:f>
        <x:v>$25k-$50k</x:v>
      </x:c>
      <x:c r="P5202" t="str">
        <x:f>IF(E5202="","Unknown",IF(E5202&lt;10,"&lt;10",IF(E5202&lt;20,"10-&lt;20",IF(E5202&lt;25,"20-&lt;25",IF(E5202&lt;35,"25-&lt;35","35+")))))</x:f>
        <x:v>20-&lt;25</x:v>
      </x:c>
    </x:row>
    <x:row r="5203">
      <x:c r="A5203" t="str">
        <x:v>SYN0005202</x:v>
      </x:c>
      <x:c r="B5203" s="12" t="n">
        <x:v>41485</x:v>
      </x:c>
      <x:c r="C5203" s="18" t="n">
        <x:v>9812</x:v>
      </x:c>
      <x:c r="D5203" s="18" t="n">
        <x:v>30842</x:v>
      </x:c>
      <x:c r="E5203" s="18" t="n">
        <x:v>0</x:v>
      </x:c>
      <x:c r="F5203" s="18" t="n">
        <x:v>5</x:v>
      </x:c>
      <x:c r="G5203" t="n">
        <x:v>60</x:v>
      </x:c>
      <x:c r="H5203" t="str">
        <x:v>A</x:v>
      </x:c>
      <x:c r="I5203" t="str">
        <x:v>1-3 years</x:v>
      </x:c>
      <x:c r="J5203" t="str">
        <x:v>MORTGAGE</x:v>
      </x:c>
      <x:c r="K5203" t="str">
        <x:v>debt_consolidation</x:v>
      </x:c>
      <x:c r="L5203" t="n">
        <x:v>0</x:v>
      </x:c>
      <x:c r="M5203" t="n">
        <x:v>0</x:v>
      </x:c>
      <x:c r="N5203" t="str">
        <x:v>Fully Paid</x:v>
      </x:c>
      <x:c r="O5203" t="str">
        <x:f>IF(D5203="","Unknown",IF(D5203&lt;25000,"&lt;$25k",IF(D5203&lt;50000,"$25k-$50k",IF(D5203&lt;75000,"$50k-$75k",IF(D5203&lt;100000,"$75k-$100k","$100k+")))))</x:f>
        <x:v>$25k-$50k</x:v>
      </x:c>
      <x:c r="P5203" t="str">
        <x:f>IF(E5203="","Unknown",IF(E5203&lt;10,"&lt;10",IF(E5203&lt;20,"10-&lt;20",IF(E5203&lt;25,"20-&lt;25",IF(E5203&lt;35,"25-&lt;35","35+")))))</x:f>
        <x:v>Unknown</x:v>
      </x:c>
    </x:row>
    <x:row r="5204">
      <x:c r="A5204" t="str">
        <x:v>SYN0005203</x:v>
      </x:c>
      <x:c r="B5204" s="12" t="n">
        <x:v>41425</x:v>
      </x:c>
      <x:c r="C5204" s="18" t="n">
        <x:v>8477</x:v>
      </x:c>
      <x:c r="D5204" s="18" t="n">
        <x:v>26218</x:v>
      </x:c>
      <x:c r="E5204" s="18" t="n">
        <x:v>16.55</x:v>
      </x:c>
      <x:c r="F5204" s="18" t="n">
        <x:v>5.6</x:v>
      </x:c>
      <x:c r="G5204" t="n">
        <x:v>36</x:v>
      </x:c>
      <x:c r="H5204" t="str">
        <x:v>A</x:v>
      </x:c>
      <x:c r="I5204" t="str">
        <x:v>&lt;1 year</x:v>
      </x:c>
      <x:c r="J5204" t="str">
        <x:v>OWN</x:v>
      </x:c>
      <x:c r="K5204" t="str">
        <x:v>debt_consolidation</x:v>
      </x:c>
      <x:c r="L5204" t="n">
        <x:v>0</x:v>
      </x:c>
      <x:c r="M5204" t="n">
        <x:v>0</x:v>
      </x:c>
      <x:c r="N5204" t="str">
        <x:v>Fully Paid</x:v>
      </x:c>
      <x:c r="O5204" t="str">
        <x:f>IF(D5204="","Unknown",IF(D5204&lt;25000,"&lt;$25k",IF(D5204&lt;50000,"$25k-$50k",IF(D5204&lt;75000,"$50k-$75k",IF(D5204&lt;100000,"$75k-$100k","$100k+")))))</x:f>
        <x:v>$25k-$50k</x:v>
      </x:c>
      <x:c r="P5204" t="str">
        <x:f>IF(E5204="","Unknown",IF(E5204&lt;10,"&lt;10",IF(E5204&lt;20,"10-&lt;20",IF(E5204&lt;25,"20-&lt;25",IF(E5204&lt;35,"25-&lt;35","35+")))))</x:f>
        <x:v>10-&lt;20</x:v>
      </x:c>
    </x:row>
    <x:row r="5205">
      <x:c r="A5205" t="str">
        <x:v>SYN0005204</x:v>
      </x:c>
      <x:c r="B5205" s="12" t="n">
        <x:v>41725</x:v>
      </x:c>
      <x:c r="C5205" s="18" t="n">
        <x:v>13335</x:v>
      </x:c>
      <x:c r="D5205" s="18" t="n">
        <x:v>42560</x:v>
      </x:c>
      <x:c r="E5205" s="18" t="n">
        <x:v>26.33</x:v>
      </x:c>
      <x:c r="F5205" s="18" t="n">
        <x:v>9.42</x:v>
      </x:c>
      <x:c r="G5205" t="n">
        <x:v>60</x:v>
      </x:c>
      <x:c r="H5205" t="str">
        <x:v>A</x:v>
      </x:c>
      <x:c r="I5205" t="str">
        <x:v>7-9 years</x:v>
      </x:c>
      <x:c r="J5205" t="str">
        <x:v>MORTGAGE</x:v>
      </x:c>
      <x:c r="K5205" t="str">
        <x:v>debt_consolidation</x:v>
      </x:c>
      <x:c r="L5205" t="n">
        <x:v>0</x:v>
      </x:c>
      <x:c r="M5205" t="n">
        <x:v>0</x:v>
      </x:c>
      <x:c r="N5205" t="str">
        <x:v>Fully Paid</x:v>
      </x:c>
      <x:c r="O5205" t="str">
        <x:f>IF(D5205="","Unknown",IF(D5205&lt;25000,"&lt;$25k",IF(D5205&lt;50000,"$25k-$50k",IF(D5205&lt;75000,"$50k-$75k",IF(D5205&lt;100000,"$75k-$100k","$100k+")))))</x:f>
        <x:v>$25k-$50k</x:v>
      </x:c>
      <x:c r="P5205" t="str">
        <x:f>IF(E5205="","Unknown",IF(E5205&lt;10,"&lt;10",IF(E5205&lt;20,"10-&lt;20",IF(E5205&lt;25,"20-&lt;25",IF(E5205&lt;35,"25-&lt;35","35+")))))</x:f>
        <x:v>25-&lt;35</x:v>
      </x:c>
    </x:row>
    <x:row r="5206">
      <x:c r="A5206" t="str">
        <x:v>SYN0005205</x:v>
      </x:c>
      <x:c r="B5206" s="12" t="n">
        <x:v>41605</x:v>
      </x:c>
      <x:c r="C5206" s="18" t="n">
        <x:v>7348</x:v>
      </x:c>
      <x:c r="D5206" s="18" t="n">
        <x:v>130940</x:v>
      </x:c>
      <x:c r="E5206" s="18" t="n">
        <x:v>20.04</x:v>
      </x:c>
      <x:c r="F5206" s="18" t="n">
        <x:v>9.09</x:v>
      </x:c>
      <x:c r="G5206" t="n">
        <x:v>60</x:v>
      </x:c>
      <x:c r="H5206" t="str">
        <x:v>B</x:v>
      </x:c>
      <x:c r="I5206" t="str">
        <x:v>1-3 years</x:v>
      </x:c>
      <x:c r="J5206" t="str">
        <x:v>RENT</x:v>
      </x:c>
      <x:c r="K5206" t="str">
        <x:v>debt_consolidation</x:v>
      </x:c>
      <x:c r="L5206" t="n">
        <x:v>1</x:v>
      </x:c>
      <x:c r="M5206" t="n">
        <x:v>0</x:v>
      </x:c>
      <x:c r="N5206" t="str">
        <x:v>Fully Paid</x:v>
      </x:c>
      <x:c r="O5206" t="str">
        <x:f>IF(D5206="","Unknown",IF(D5206&lt;25000,"&lt;$25k",IF(D5206&lt;50000,"$25k-$50k",IF(D5206&lt;75000,"$50k-$75k",IF(D5206&lt;100000,"$75k-$100k","$100k+")))))</x:f>
        <x:v>$100k+</x:v>
      </x:c>
      <x:c r="P5206" t="str">
        <x:f>IF(E5206="","Unknown",IF(E5206&lt;10,"&lt;10",IF(E5206&lt;20,"10-&lt;20",IF(E5206&lt;25,"20-&lt;25",IF(E5206&lt;35,"25-&lt;35","35+")))))</x:f>
        <x:v>20-&lt;25</x:v>
      </x:c>
    </x:row>
    <x:row r="5207">
      <x:c r="A5207" t="str">
        <x:v>SYN0005206</x:v>
      </x:c>
      <x:c r="B5207" s="12" t="n">
        <x:v>42145</x:v>
      </x:c>
      <x:c r="C5207" s="18" t="n">
        <x:v>5457</x:v>
      </x:c>
      <x:c r="D5207" s="18" t="n">
        <x:v>41559</x:v>
      </x:c>
      <x:c r="E5207" s="18" t="n">
        <x:v>19.17</x:v>
      </x:c>
      <x:c r="F5207" s="18" t="n">
        <x:v>5.89</x:v>
      </x:c>
      <x:c r="G5207" t="n">
        <x:v>36</x:v>
      </x:c>
      <x:c r="H5207" t="str">
        <x:v>A</x:v>
      </x:c>
      <x:c r="I5207" t="str">
        <x:v>10+ years</x:v>
      </x:c>
      <x:c r="J5207" t="str">
        <x:v>RENT</x:v>
      </x:c>
      <x:c r="K5207" t="str">
        <x:v>credit_card</x:v>
      </x:c>
      <x:c r="L5207" t="n">
        <x:v>0</x:v>
      </x:c>
      <x:c r="M5207" t="n">
        <x:v>0</x:v>
      </x:c>
      <x:c r="N5207" t="str">
        <x:v>Fully Paid</x:v>
      </x:c>
      <x:c r="O5207" t="str">
        <x:f>IF(D5207="","Unknown",IF(D5207&lt;25000,"&lt;$25k",IF(D5207&lt;50000,"$25k-$50k",IF(D5207&lt;75000,"$50k-$75k",IF(D5207&lt;100000,"$75k-$100k","$100k+")))))</x:f>
        <x:v>$25k-$50k</x:v>
      </x:c>
      <x:c r="P5207" t="str">
        <x:f>IF(E5207="","Unknown",IF(E5207&lt;10,"&lt;10",IF(E5207&lt;20,"10-&lt;20",IF(E5207&lt;25,"20-&lt;25",IF(E5207&lt;35,"25-&lt;35","35+")))))</x:f>
        <x:v>10-&lt;20</x:v>
      </x:c>
    </x:row>
    <x:row r="5208">
      <x:c r="A5208" t="str">
        <x:v>SYN0005207</x:v>
      </x:c>
      <x:c r="B5208" s="12" t="n">
        <x:v>41695</x:v>
      </x:c>
      <x:c r="C5208" s="18" t="n">
        <x:v>17008</x:v>
      </x:c>
      <x:c r="D5208" s="18" t="n">
        <x:v>33728</x:v>
      </x:c>
      <x:c r="E5208" s="18" t="n">
        <x:v>17.39</x:v>
      </x:c>
      <x:c r="F5208" s="18" t="n">
        <x:v>11.22</x:v>
      </x:c>
      <x:c r="G5208" t="n">
        <x:v>36</x:v>
      </x:c>
      <x:c r="H5208" t="str">
        <x:v>C</x:v>
      </x:c>
      <x:c r="I5208" t="str">
        <x:v>1-3 years</x:v>
      </x:c>
      <x:c r="J5208" t="str">
        <x:v>OWN</x:v>
      </x:c>
      <x:c r="K5208" t="str">
        <x:v>home_improvement</x:v>
      </x:c>
      <x:c r="L5208" t="n">
        <x:v>0</x:v>
      </x:c>
      <x:c r="M5208" t="n">
        <x:v>0</x:v>
      </x:c>
      <x:c r="N5208" t="str">
        <x:v>Fully Paid</x:v>
      </x:c>
      <x:c r="O5208" t="str">
        <x:f>IF(D5208="","Unknown",IF(D5208&lt;25000,"&lt;$25k",IF(D5208&lt;50000,"$25k-$50k",IF(D5208&lt;75000,"$50k-$75k",IF(D5208&lt;100000,"$75k-$100k","$100k+")))))</x:f>
        <x:v>$25k-$50k</x:v>
      </x:c>
      <x:c r="P5208" t="str">
        <x:f>IF(E5208="","Unknown",IF(E5208&lt;10,"&lt;10",IF(E5208&lt;20,"10-&lt;20",IF(E5208&lt;25,"20-&lt;25",IF(E5208&lt;35,"25-&lt;35","35+")))))</x:f>
        <x:v>10-&lt;20</x:v>
      </x:c>
    </x:row>
    <x:row r="5209">
      <x:c r="A5209" t="str">
        <x:v>SYN0005208</x:v>
      </x:c>
      <x:c r="B5209" s="12" t="n">
        <x:v>43195</x:v>
      </x:c>
      <x:c r="C5209" s="18" t="n">
        <x:v>6877</x:v>
      </x:c>
      <x:c r="D5209" s="18" t="n">
        <x:v>70279</x:v>
      </x:c>
      <x:c r="E5209" s="18" t="n">
        <x:v>32.95</x:v>
      </x:c>
      <x:c r="F5209" s="18" t="n">
        <x:v>10.26</x:v>
      </x:c>
      <x:c r="G5209" t="n">
        <x:v>36</x:v>
      </x:c>
      <x:c r="H5209" t="str">
        <x:v>B</x:v>
      </x:c>
      <x:c r="I5209" t="str">
        <x:v>4-6 years</x:v>
      </x:c>
      <x:c r="J5209" t="str">
        <x:v>MORTGAGE</x:v>
      </x:c>
      <x:c r="K5209" t="str">
        <x:v>debt_consolidation</x:v>
      </x:c>
      <x:c r="L5209" t="n">
        <x:v>0</x:v>
      </x:c>
      <x:c r="M5209" t="n">
        <x:v>0</x:v>
      </x:c>
      <x:c r="N5209" t="str">
        <x:v>Fully Paid</x:v>
      </x:c>
      <x:c r="O5209" t="str">
        <x:f>IF(D5209="","Unknown",IF(D5209&lt;25000,"&lt;$25k",IF(D5209&lt;50000,"$25k-$50k",IF(D5209&lt;75000,"$50k-$75k",IF(D5209&lt;100000,"$75k-$100k","$100k+")))))</x:f>
        <x:v>$50k-$75k</x:v>
      </x:c>
      <x:c r="P5209" t="str">
        <x:f>IF(E5209="","Unknown",IF(E5209&lt;10,"&lt;10",IF(E5209&lt;20,"10-&lt;20",IF(E5209&lt;25,"20-&lt;25",IF(E5209&lt;35,"25-&lt;35","35+")))))</x:f>
        <x:v>25-&lt;35</x:v>
      </x:c>
    </x:row>
    <x:row r="5210">
      <x:c r="A5210" t="str">
        <x:v>SYN0005209</x:v>
      </x:c>
      <x:c r="B5210" s="12" t="n">
        <x:v>42745</x:v>
      </x:c>
      <x:c r="C5210" s="18" t="n">
        <x:v>9614</x:v>
      </x:c>
      <x:c r="D5210" s="18" t="n">
        <x:v>15062</x:v>
      </x:c>
      <x:c r="E5210" s="18" t="n">
        <x:v>6.4</x:v>
      </x:c>
      <x:c r="F5210" s="18" t="n">
        <x:v>8.36</x:v>
      </x:c>
      <x:c r="G5210" t="n">
        <x:v>36</x:v>
      </x:c>
      <x:c r="H5210" t="str">
        <x:v>B</x:v>
      </x:c>
      <x:c r="I5210" t="str">
        <x:v>4-6 years</x:v>
      </x:c>
      <x:c r="J5210" t="str">
        <x:v>RENT</x:v>
      </x:c>
      <x:c r="K5210" t="str">
        <x:v>home_improvement</x:v>
      </x:c>
      <x:c r="L5210" t="n">
        <x:v>0</x:v>
      </x:c>
      <x:c r="M5210" t="n">
        <x:v>0</x:v>
      </x:c>
      <x:c r="N5210" t="str">
        <x:v>Fully Paid</x:v>
      </x:c>
      <x:c r="O5210" t="str">
        <x:f>IF(D5210="","Unknown",IF(D5210&lt;25000,"&lt;$25k",IF(D5210&lt;50000,"$25k-$50k",IF(D5210&lt;75000,"$50k-$75k",IF(D5210&lt;100000,"$75k-$100k","$100k+")))))</x:f>
        <x:v>&lt;$25k</x:v>
      </x:c>
      <x:c r="P5210" t="str">
        <x:f>IF(E5210="","Unknown",IF(E5210&lt;10,"&lt;10",IF(E5210&lt;20,"10-&lt;20",IF(E5210&lt;25,"20-&lt;25",IF(E5210&lt;35,"25-&lt;35","35+")))))</x:f>
        <x:v>&lt;10</x:v>
      </x:c>
    </x:row>
    <x:row r="5211">
      <x:c r="A5211" t="str">
        <x:v>SYN0005210</x:v>
      </x:c>
      <x:c r="B5211" s="12" t="n">
        <x:v>42115</x:v>
      </x:c>
      <x:c r="C5211" s="18" t="n">
        <x:v>11015</x:v>
      </x:c>
      <x:c r="D5211" s="18" t="n">
        <x:v>53378</x:v>
      </x:c>
      <x:c r="E5211" s="18" t="n">
        <x:v>19.3</x:v>
      </x:c>
      <x:c r="F5211" s="18" t="n">
        <x:v>12.24</x:v>
      </x:c>
      <x:c r="G5211" t="n">
        <x:v>60</x:v>
      </x:c>
      <x:c r="H5211" t="str">
        <x:v>B</x:v>
      </x:c>
      <x:c r="I5211" t="str">
        <x:v>1-3 years</x:v>
      </x:c>
      <x:c r="J5211" t="str">
        <x:v>RENT</x:v>
      </x:c>
      <x:c r="K5211" t="str">
        <x:v>debt_consolidation</x:v>
      </x:c>
      <x:c r="L5211" t="n">
        <x:v>0</x:v>
      </x:c>
      <x:c r="M5211" t="n">
        <x:v>0</x:v>
      </x:c>
      <x:c r="N5211" t="str">
        <x:v>Fully Paid</x:v>
      </x:c>
      <x:c r="O5211" t="str">
        <x:f>IF(D5211="","Unknown",IF(D5211&lt;25000,"&lt;$25k",IF(D5211&lt;50000,"$25k-$50k",IF(D5211&lt;75000,"$50k-$75k",IF(D5211&lt;100000,"$75k-$100k","$100k+")))))</x:f>
        <x:v>$50k-$75k</x:v>
      </x:c>
      <x:c r="P5211" t="str">
        <x:f>IF(E5211="","Unknown",IF(E5211&lt;10,"&lt;10",IF(E5211&lt;20,"10-&lt;20",IF(E5211&lt;25,"20-&lt;25",IF(E5211&lt;35,"25-&lt;35","35+")))))</x:f>
        <x:v>10-&lt;20</x:v>
      </x:c>
    </x:row>
    <x:row r="5212">
      <x:c r="A5212" t="str">
        <x:v>SYN0005211</x:v>
      </x:c>
      <x:c r="B5212" s="12" t="n">
        <x:v>41935</x:v>
      </x:c>
      <x:c r="C5212" s="18" t="n">
        <x:v>14062</x:v>
      </x:c>
      <x:c r="D5212" s="18" t="n">
        <x:v>124444</x:v>
      </x:c>
      <x:c r="E5212" s="18" t="n">
        <x:v>25.17</x:v>
      </x:c>
      <x:c r="F5212" s="18" t="n">
        <x:v>19.55</x:v>
      </x:c>
      <x:c r="G5212" t="n">
        <x:v>36</x:v>
      </x:c>
      <x:c r="H5212" t="str">
        <x:v>E</x:v>
      </x:c>
      <x:c r="I5212" t="str">
        <x:v>7-9 years</x:v>
      </x:c>
      <x:c r="J5212" t="str">
        <x:v>RENT</x:v>
      </x:c>
      <x:c r="K5212" t="str">
        <x:v>home_improvement</x:v>
      </x:c>
      <x:c r="L5212" t="n">
        <x:v>1</x:v>
      </x:c>
      <x:c r="M5212" t="n">
        <x:v>0</x:v>
      </x:c>
      <x:c r="N5212" t="str">
        <x:v>Fully Paid</x:v>
      </x:c>
      <x:c r="O5212" t="str">
        <x:f>IF(D5212="","Unknown",IF(D5212&lt;25000,"&lt;$25k",IF(D5212&lt;50000,"$25k-$50k",IF(D5212&lt;75000,"$50k-$75k",IF(D5212&lt;100000,"$75k-$100k","$100k+")))))</x:f>
        <x:v>$100k+</x:v>
      </x:c>
      <x:c r="P5212" t="str">
        <x:f>IF(E5212="","Unknown",IF(E5212&lt;10,"&lt;10",IF(E5212&lt;20,"10-&lt;20",IF(E5212&lt;25,"20-&lt;25",IF(E5212&lt;35,"25-&lt;35","35+")))))</x:f>
        <x:v>25-&lt;35</x:v>
      </x:c>
    </x:row>
    <x:row r="5213">
      <x:c r="A5213" t="str">
        <x:v>SYN0005212</x:v>
      </x:c>
      <x:c r="B5213" s="12" t="n">
        <x:v>42925</x:v>
      </x:c>
      <x:c r="C5213" s="18" t="n">
        <x:v>7849</x:v>
      </x:c>
      <x:c r="D5213" s="18" t="n">
        <x:v>27581</x:v>
      </x:c>
      <x:c r="E5213" s="18" t="n">
        <x:v>16.88</x:v>
      </x:c>
      <x:c r="F5213" s="18" t="n">
        <x:v>24.47</x:v>
      </x:c>
      <x:c r="G5213" t="n">
        <x:v>60</x:v>
      </x:c>
      <x:c r="H5213" t="str">
        <x:v>G</x:v>
      </x:c>
      <x:c r="I5213" t="str">
        <x:v>7-9 years</x:v>
      </x:c>
      <x:c r="J5213" t="str">
        <x:v>RENT</x:v>
      </x:c>
      <x:c r="K5213" t="str">
        <x:v>major_purchase</x:v>
      </x:c>
      <x:c r="L5213" t="n">
        <x:v>1</x:v>
      </x:c>
      <x:c r="M5213" t="n">
        <x:v>1</x:v>
      </x:c>
      <x:c r="N5213" t="str">
        <x:v>Charged Off</x:v>
      </x:c>
      <x:c r="O5213" t="str">
        <x:f>IF(D5213="","Unknown",IF(D5213&lt;25000,"&lt;$25k",IF(D5213&lt;50000,"$25k-$50k",IF(D5213&lt;75000,"$50k-$75k",IF(D5213&lt;100000,"$75k-$100k","$100k+")))))</x:f>
        <x:v>$25k-$50k</x:v>
      </x:c>
      <x:c r="P5213" t="str">
        <x:f>IF(E5213="","Unknown",IF(E5213&lt;10,"&lt;10",IF(E5213&lt;20,"10-&lt;20",IF(E5213&lt;25,"20-&lt;25",IF(E5213&lt;35,"25-&lt;35","35+")))))</x:f>
        <x:v>10-&lt;20</x:v>
      </x:c>
    </x:row>
    <x:row r="5214">
      <x:c r="A5214" t="str">
        <x:v>SYN0005213</x:v>
      </x:c>
      <x:c r="B5214" s="12" t="n">
        <x:v>42535</x:v>
      </x:c>
      <x:c r="C5214" s="18" t="n">
        <x:v>9266</x:v>
      </x:c>
      <x:c r="D5214" s="18" t="n">
        <x:v>30847</x:v>
      </x:c>
      <x:c r="E5214" s="18" t="n">
        <x:v>20.12</x:v>
      </x:c>
      <x:c r="F5214" s="18" t="n">
        <x:v>8.93</x:v>
      </x:c>
      <x:c r="G5214" t="n">
        <x:v>60</x:v>
      </x:c>
      <x:c r="H5214" t="str">
        <x:v>B</x:v>
      </x:c>
      <x:c r="I5214" t="str">
        <x:v>7-9 years</x:v>
      </x:c>
      <x:c r="J5214" t="str">
        <x:v>OWN</x:v>
      </x:c>
      <x:c r="K5214" t="str">
        <x:v>home_improvement</x:v>
      </x:c>
      <x:c r="L5214" t="n">
        <x:v>0</x:v>
      </x:c>
      <x:c r="M5214" t="n">
        <x:v>0</x:v>
      </x:c>
      <x:c r="N5214" t="str">
        <x:v>Fully Paid</x:v>
      </x:c>
      <x:c r="O5214" t="str">
        <x:f>IF(D5214="","Unknown",IF(D5214&lt;25000,"&lt;$25k",IF(D5214&lt;50000,"$25k-$50k",IF(D5214&lt;75000,"$50k-$75k",IF(D5214&lt;100000,"$75k-$100k","$100k+")))))</x:f>
        <x:v>$25k-$50k</x:v>
      </x:c>
      <x:c r="P5214" t="str">
        <x:f>IF(E5214="","Unknown",IF(E5214&lt;10,"&lt;10",IF(E5214&lt;20,"10-&lt;20",IF(E5214&lt;25,"20-&lt;25",IF(E5214&lt;35,"25-&lt;35","35+")))))</x:f>
        <x:v>20-&lt;25</x:v>
      </x:c>
    </x:row>
    <x:row r="5215">
      <x:c r="A5215" t="str">
        <x:v>SYN0005214</x:v>
      </x:c>
      <x:c r="B5215" s="12" t="n">
        <x:v>42745</x:v>
      </x:c>
      <x:c r="C5215" s="18" t="n">
        <x:v>9244</x:v>
      </x:c>
      <x:c r="D5215" s="18" t="n">
        <x:v>44804</x:v>
      </x:c>
      <x:c r="E5215" s="18" t="n">
        <x:v>28.32</x:v>
      </x:c>
      <x:c r="F5215" s="18" t="n">
        <x:v>19.13</x:v>
      </x:c>
      <x:c r="G5215" t="n">
        <x:v>60</x:v>
      </x:c>
      <x:c r="H5215" t="str">
        <x:v>F</x:v>
      </x:c>
      <x:c r="I5215" t="str">
        <x:v>4-6 years</x:v>
      </x:c>
      <x:c r="J5215" t="str">
        <x:v>MORTGAGE</x:v>
      </x:c>
      <x:c r="K5215" t="str">
        <x:v>debt_consolidation</x:v>
      </x:c>
      <x:c r="L5215" t="n">
        <x:v>0</x:v>
      </x:c>
      <x:c r="M5215" t="n">
        <x:v>0</x:v>
      </x:c>
      <x:c r="N5215" t="str">
        <x:v>Fully Paid</x:v>
      </x:c>
      <x:c r="O5215" t="str">
        <x:f>IF(D5215="","Unknown",IF(D5215&lt;25000,"&lt;$25k",IF(D5215&lt;50000,"$25k-$50k",IF(D5215&lt;75000,"$50k-$75k",IF(D5215&lt;100000,"$75k-$100k","$100k+")))))</x:f>
        <x:v>$25k-$50k</x:v>
      </x:c>
      <x:c r="P5215" t="str">
        <x:f>IF(E5215="","Unknown",IF(E5215&lt;10,"&lt;10",IF(E5215&lt;20,"10-&lt;20",IF(E5215&lt;25,"20-&lt;25",IF(E5215&lt;35,"25-&lt;35","35+")))))</x:f>
        <x:v>25-&lt;35</x:v>
      </x:c>
    </x:row>
    <x:row r="5216">
      <x:c r="A5216" t="str">
        <x:v>SYN0005215</x:v>
      </x:c>
      <x:c r="B5216" s="12" t="n">
        <x:v>43375</x:v>
      </x:c>
      <x:c r="C5216" s="18" t="n">
        <x:v>7212</x:v>
      </x:c>
      <x:c r="D5216" s="18" t="n">
        <x:v>71504</x:v>
      </x:c>
      <x:c r="E5216" s="18" t="n">
        <x:v>24.21</x:v>
      </x:c>
      <x:c r="F5216" s="18" t="n">
        <x:v>22.31</x:v>
      </x:c>
      <x:c r="G5216" t="n">
        <x:v>36</x:v>
      </x:c>
      <x:c r="H5216" t="str">
        <x:v>G</x:v>
      </x:c>
      <x:c r="I5216" t="str">
        <x:v>10+ years</x:v>
      </x:c>
      <x:c r="J5216" t="str">
        <x:v>RENT</x:v>
      </x:c>
      <x:c r="K5216" t="str">
        <x:v>debt_consolidation</x:v>
      </x:c>
      <x:c r="L5216" t="n">
        <x:v>0</x:v>
      </x:c>
      <x:c r="M5216" t="n">
        <x:v>0</x:v>
      </x:c>
      <x:c r="N5216" t="str">
        <x:v>Fully Paid</x:v>
      </x:c>
      <x:c r="O5216" t="str">
        <x:f>IF(D5216="","Unknown",IF(D5216&lt;25000,"&lt;$25k",IF(D5216&lt;50000,"$25k-$50k",IF(D5216&lt;75000,"$50k-$75k",IF(D5216&lt;100000,"$75k-$100k","$100k+")))))</x:f>
        <x:v>$50k-$75k</x:v>
      </x:c>
      <x:c r="P5216" t="str">
        <x:f>IF(E5216="","Unknown",IF(E5216&lt;10,"&lt;10",IF(E5216&lt;20,"10-&lt;20",IF(E5216&lt;25,"20-&lt;25",IF(E5216&lt;35,"25-&lt;35","35+")))))</x:f>
        <x:v>20-&lt;25</x:v>
      </x:c>
    </x:row>
    <x:row r="5217">
      <x:c r="A5217" t="str">
        <x:v>SYN0005216</x:v>
      </x:c>
      <x:c r="B5217" s="12" t="n">
        <x:v>43165</x:v>
      </x:c>
      <x:c r="C5217" s="18" t="n">
        <x:v>15269</x:v>
      </x:c>
      <x:c r="D5217" s="18" t="n">
        <x:v>45668</x:v>
      </x:c>
      <x:c r="E5217" s="18" t="n">
        <x:v>25.11</x:v>
      </x:c>
      <x:c r="F5217" s="18" t="n">
        <x:v>11.05</x:v>
      </x:c>
      <x:c r="G5217" t="n">
        <x:v>60</x:v>
      </x:c>
      <x:c r="H5217" t="str">
        <x:v>B</x:v>
      </x:c>
      <x:c r="I5217" t="str">
        <x:v>4-6 years</x:v>
      </x:c>
      <x:c r="J5217" t="str">
        <x:v>MORTGAGE</x:v>
      </x:c>
      <x:c r="K5217" t="str">
        <x:v>major_purchase</x:v>
      </x:c>
      <x:c r="L5217" t="n">
        <x:v>0</x:v>
      </x:c>
      <x:c r="M5217" t="n">
        <x:v>0</x:v>
      </x:c>
      <x:c r="N5217" t="str">
        <x:v>Fully Paid</x:v>
      </x:c>
      <x:c r="O5217" t="str">
        <x:f>IF(D5217="","Unknown",IF(D5217&lt;25000,"&lt;$25k",IF(D5217&lt;50000,"$25k-$50k",IF(D5217&lt;75000,"$50k-$75k",IF(D5217&lt;100000,"$75k-$100k","$100k+")))))</x:f>
        <x:v>$25k-$50k</x:v>
      </x:c>
      <x:c r="P5217" t="str">
        <x:f>IF(E5217="","Unknown",IF(E5217&lt;10,"&lt;10",IF(E5217&lt;20,"10-&lt;20",IF(E5217&lt;25,"20-&lt;25",IF(E5217&lt;35,"25-&lt;35","35+")))))</x:f>
        <x:v>25-&lt;35</x:v>
      </x:c>
    </x:row>
    <x:row r="5218">
      <x:c r="A5218" t="str">
        <x:v>SYN0005217</x:v>
      </x:c>
      <x:c r="B5218" s="12" t="n">
        <x:v>43255</x:v>
      </x:c>
      <x:c r="C5218" s="18" t="n">
        <x:v>18710</x:v>
      </x:c>
      <x:c r="D5218" s="18" t="n">
        <x:v>80593</x:v>
      </x:c>
      <x:c r="E5218" s="18" t="n">
        <x:v>9.47</x:v>
      </x:c>
      <x:c r="F5218" s="18" t="n">
        <x:v>8.38</x:v>
      </x:c>
      <x:c r="G5218" t="n">
        <x:v>36</x:v>
      </x:c>
      <x:c r="H5218" t="str">
        <x:v>B</x:v>
      </x:c>
      <x:c r="I5218" t="str">
        <x:v>10+ years</x:v>
      </x:c>
      <x:c r="J5218" t="str">
        <x:v>RENT</x:v>
      </x:c>
      <x:c r="K5218" t="str">
        <x:v>debt_consolidation</x:v>
      </x:c>
      <x:c r="L5218" t="n">
        <x:v>1</x:v>
      </x:c>
      <x:c r="M5218" t="n">
        <x:v>1</x:v>
      </x:c>
      <x:c r="N5218" t="str">
        <x:v>Charged Off</x:v>
      </x:c>
      <x:c r="O5218" t="str">
        <x:f>IF(D5218="","Unknown",IF(D5218&lt;25000,"&lt;$25k",IF(D5218&lt;50000,"$25k-$50k",IF(D5218&lt;75000,"$50k-$75k",IF(D5218&lt;100000,"$75k-$100k","$100k+")))))</x:f>
        <x:v>$75k-$100k</x:v>
      </x:c>
      <x:c r="P5218" t="str">
        <x:f>IF(E5218="","Unknown",IF(E5218&lt;10,"&lt;10",IF(E5218&lt;20,"10-&lt;20",IF(E5218&lt;25,"20-&lt;25",IF(E5218&lt;35,"25-&lt;35","35+")))))</x:f>
        <x:v>&lt;10</x:v>
      </x:c>
    </x:row>
    <x:row r="5219">
      <x:c r="A5219" t="str">
        <x:v>SYN0005218</x:v>
      </x:c>
      <x:c r="B5219" s="12" t="n">
        <x:v>43105</x:v>
      </x:c>
      <x:c r="C5219" s="18" t="n">
        <x:v>8431</x:v>
      </x:c>
      <x:c r="D5219" s="18" t="n">
        <x:v>31950</x:v>
      </x:c>
      <x:c r="E5219" s="18" t="n">
        <x:v>9.36</x:v>
      </x:c>
      <x:c r="F5219" s="18" t="n">
        <x:v>10.43</x:v>
      </x:c>
      <x:c r="G5219" t="n">
        <x:v>36</x:v>
      </x:c>
      <x:c r="H5219" t="str">
        <x:v>C</x:v>
      </x:c>
      <x:c r="I5219" t="str">
        <x:v>1-3 years</x:v>
      </x:c>
      <x:c r="J5219" t="str">
        <x:v>RENT</x:v>
      </x:c>
      <x:c r="K5219" t="str">
        <x:v>major_purchase</x:v>
      </x:c>
      <x:c r="L5219" t="n">
        <x:v>0</x:v>
      </x:c>
      <x:c r="M5219" t="n">
        <x:v>0</x:v>
      </x:c>
      <x:c r="N5219" t="str">
        <x:v>Fully Paid</x:v>
      </x:c>
      <x:c r="O5219" t="str">
        <x:f>IF(D5219="","Unknown",IF(D5219&lt;25000,"&lt;$25k",IF(D5219&lt;50000,"$25k-$50k",IF(D5219&lt;75000,"$50k-$75k",IF(D5219&lt;100000,"$75k-$100k","$100k+")))))</x:f>
        <x:v>$25k-$50k</x:v>
      </x:c>
      <x:c r="P5219" t="str">
        <x:f>IF(E5219="","Unknown",IF(E5219&lt;10,"&lt;10",IF(E5219&lt;20,"10-&lt;20",IF(E5219&lt;25,"20-&lt;25",IF(E5219&lt;35,"25-&lt;35","35+")))))</x:f>
        <x:v>&lt;10</x:v>
      </x:c>
    </x:row>
    <x:row r="5220">
      <x:c r="A5220" t="str">
        <x:v>SYN0005219</x:v>
      </x:c>
      <x:c r="B5220" s="12" t="n">
        <x:v>43045</x:v>
      </x:c>
      <x:c r="C5220" s="18" t="n">
        <x:v>12662</x:v>
      </x:c>
      <x:c r="D5220" s="18" t="n">
        <x:v>97279</x:v>
      </x:c>
      <x:c r="E5220" s="18" t="n">
        <x:v>35.47</x:v>
      </x:c>
      <x:c r="F5220" s="18" t="n">
        <x:v>7.96</x:v>
      </x:c>
      <x:c r="G5220" t="n">
        <x:v>36</x:v>
      </x:c>
      <x:c r="H5220" t="str">
        <x:v>B</x:v>
      </x:c>
      <x:c r="I5220" t="str">
        <x:v>&lt;1 year</x:v>
      </x:c>
      <x:c r="J5220" t="str">
        <x:v>MORTGAGE</x:v>
      </x:c>
      <x:c r="K5220" t="str">
        <x:v>credit_card</x:v>
      </x:c>
      <x:c r="L5220" t="n">
        <x:v>0</x:v>
      </x:c>
      <x:c r="M5220" t="n">
        <x:v>0</x:v>
      </x:c>
      <x:c r="N5220" t="str">
        <x:v>Fully Paid</x:v>
      </x:c>
      <x:c r="O5220" t="str">
        <x:f>IF(D5220="","Unknown",IF(D5220&lt;25000,"&lt;$25k",IF(D5220&lt;50000,"$25k-$50k",IF(D5220&lt;75000,"$50k-$75k",IF(D5220&lt;100000,"$75k-$100k","$100k+")))))</x:f>
        <x:v>$75k-$100k</x:v>
      </x:c>
      <x:c r="P5220" t="str">
        <x:f>IF(E5220="","Unknown",IF(E5220&lt;10,"&lt;10",IF(E5220&lt;20,"10-&lt;20",IF(E5220&lt;25,"20-&lt;25",IF(E5220&lt;35,"25-&lt;35","35+")))))</x:f>
        <x:v>35+</x:v>
      </x:c>
    </x:row>
    <x:row r="5221">
      <x:c r="A5221" t="str">
        <x:v>SYN0005220</x:v>
      </x:c>
      <x:c r="B5221" s="12" t="n">
        <x:v>41575</x:v>
      </x:c>
      <x:c r="C5221" s="18" t="n">
        <x:v>22642</x:v>
      </x:c>
      <x:c r="D5221" s="18" t="n">
        <x:v>130670</x:v>
      </x:c>
      <x:c r="E5221" s="18" t="n">
        <x:v>25.6</x:v>
      </x:c>
      <x:c r="F5221" s="18" t="n">
        <x:v>13.65</x:v>
      </x:c>
      <x:c r="G5221" t="n">
        <x:v>36</x:v>
      </x:c>
      <x:c r="H5221" t="str">
        <x:v>D</x:v>
      </x:c>
      <x:c r="I5221" t="str">
        <x:v>4-6 years</x:v>
      </x:c>
      <x:c r="J5221" t="str">
        <x:v>RENT</x:v>
      </x:c>
      <x:c r="K5221" t="str">
        <x:v>debt_consolidation</x:v>
      </x:c>
      <x:c r="L5221" t="n">
        <x:v>0</x:v>
      </x:c>
      <x:c r="M5221" t="n">
        <x:v>1</x:v>
      </x:c>
      <x:c r="N5221" t="str">
        <x:v>Charged Off</x:v>
      </x:c>
      <x:c r="O5221" t="str">
        <x:f>IF(D5221="","Unknown",IF(D5221&lt;25000,"&lt;$25k",IF(D5221&lt;50000,"$25k-$50k",IF(D5221&lt;75000,"$50k-$75k",IF(D5221&lt;100000,"$75k-$100k","$100k+")))))</x:f>
        <x:v>$100k+</x:v>
      </x:c>
      <x:c r="P5221" t="str">
        <x:f>IF(E5221="","Unknown",IF(E5221&lt;10,"&lt;10",IF(E5221&lt;20,"10-&lt;20",IF(E5221&lt;25,"20-&lt;25",IF(E5221&lt;35,"25-&lt;35","35+")))))</x:f>
        <x:v>25-&lt;35</x:v>
      </x:c>
    </x:row>
    <x:row r="5222">
      <x:c r="A5222" t="str">
        <x:v>SYN0005221</x:v>
      </x:c>
      <x:c r="B5222" s="12" t="n">
        <x:v>42835</x:v>
      </x:c>
      <x:c r="C5222" s="18" t="n">
        <x:v>3470</x:v>
      </x:c>
      <x:c r="D5222" s="18" t="n">
        <x:v>29646</x:v>
      </x:c>
      <x:c r="E5222" s="18" t="n">
        <x:v>23.9</x:v>
      </x:c>
      <x:c r="F5222" s="18" t="n">
        <x:v>10.55</x:v>
      </x:c>
      <x:c r="G5222" t="n">
        <x:v>60</x:v>
      </x:c>
      <x:c r="H5222" t="str">
        <x:v>C</x:v>
      </x:c>
      <x:c r="I5222" t="str">
        <x:v>7-9 years</x:v>
      </x:c>
      <x:c r="J5222" t="str">
        <x:v>MORTGAGE</x:v>
      </x:c>
      <x:c r="K5222" t="str">
        <x:v>debt_consolidation</x:v>
      </x:c>
      <x:c r="L5222" t="n">
        <x:v>0</x:v>
      </x:c>
      <x:c r="M5222" t="n">
        <x:v>1</x:v>
      </x:c>
      <x:c r="N5222" t="str">
        <x:v>Charged Off</x:v>
      </x:c>
      <x:c r="O5222" t="str">
        <x:f>IF(D5222="","Unknown",IF(D5222&lt;25000,"&lt;$25k",IF(D5222&lt;50000,"$25k-$50k",IF(D5222&lt;75000,"$50k-$75k",IF(D5222&lt;100000,"$75k-$100k","$100k+")))))</x:f>
        <x:v>$25k-$50k</x:v>
      </x:c>
      <x:c r="P5222" t="str">
        <x:f>IF(E5222="","Unknown",IF(E5222&lt;10,"&lt;10",IF(E5222&lt;20,"10-&lt;20",IF(E5222&lt;25,"20-&lt;25",IF(E5222&lt;35,"25-&lt;35","35+")))))</x:f>
        <x:v>20-&lt;25</x:v>
      </x:c>
    </x:row>
    <x:row r="5223">
      <x:c r="A5223" t="str">
        <x:v>SYN0005222</x:v>
      </x:c>
      <x:c r="B5223" s="12" t="n">
        <x:v>42595</x:v>
      </x:c>
      <x:c r="C5223" s="18" t="n">
        <x:v>12096</x:v>
      </x:c>
      <x:c r="D5223" s="18" t="n">
        <x:v>39197</x:v>
      </x:c>
      <x:c r="E5223" s="18" t="n">
        <x:v>32.96</x:v>
      </x:c>
      <x:c r="F5223" s="18" t="n">
        <x:v>24.06</x:v>
      </x:c>
      <x:c r="G5223" t="n">
        <x:v>36</x:v>
      </x:c>
      <x:c r="H5223" t="str">
        <x:v>G</x:v>
      </x:c>
      <x:c r="I5223" t="str">
        <x:v>7-9 years</x:v>
      </x:c>
      <x:c r="J5223" t="str">
        <x:v>RENT</x:v>
      </x:c>
      <x:c r="K5223" t="str">
        <x:v>debt_consolidation</x:v>
      </x:c>
      <x:c r="L5223" t="n">
        <x:v>0</x:v>
      </x:c>
      <x:c r="M5223" t="n">
        <x:v>0</x:v>
      </x:c>
      <x:c r="N5223" t="str">
        <x:v>Fully Paid</x:v>
      </x:c>
      <x:c r="O5223" t="str">
        <x:f>IF(D5223="","Unknown",IF(D5223&lt;25000,"&lt;$25k",IF(D5223&lt;50000,"$25k-$50k",IF(D5223&lt;75000,"$50k-$75k",IF(D5223&lt;100000,"$75k-$100k","$100k+")))))</x:f>
        <x:v>$25k-$50k</x:v>
      </x:c>
      <x:c r="P5223" t="str">
        <x:f>IF(E5223="","Unknown",IF(E5223&lt;10,"&lt;10",IF(E5223&lt;20,"10-&lt;20",IF(E5223&lt;25,"20-&lt;25",IF(E5223&lt;35,"25-&lt;35","35+")))))</x:f>
        <x:v>25-&lt;35</x:v>
      </x:c>
    </x:row>
    <x:row r="5224">
      <x:c r="A5224" t="str">
        <x:v>SYN0005223</x:v>
      </x:c>
      <x:c r="B5224" s="12" t="n">
        <x:v>41515</x:v>
      </x:c>
      <x:c r="C5224" s="18" t="n">
        <x:v>14188</x:v>
      </x:c>
      <x:c r="D5224" s="18" t="n">
        <x:v>118714</x:v>
      </x:c>
      <x:c r="E5224" s="18" t="n">
        <x:v>18.84</x:v>
      </x:c>
      <x:c r="F5224" s="18" t="n">
        <x:v>15.45</x:v>
      </x:c>
      <x:c r="G5224" t="n">
        <x:v>36</x:v>
      </x:c>
      <x:c r="H5224" t="str">
        <x:v>D</x:v>
      </x:c>
      <x:c r="I5224" t="str">
        <x:v>&lt;1 year</x:v>
      </x:c>
      <x:c r="J5224" t="str">
        <x:v>RENT</x:v>
      </x:c>
      <x:c r="K5224" t="str">
        <x:v>debt_consolidation</x:v>
      </x:c>
      <x:c r="L5224" t="n">
        <x:v>1</x:v>
      </x:c>
      <x:c r="M5224" t="n">
        <x:v>0</x:v>
      </x:c>
      <x:c r="N5224" t="str">
        <x:v>Fully Paid</x:v>
      </x:c>
      <x:c r="O5224" t="str">
        <x:f>IF(D5224="","Unknown",IF(D5224&lt;25000,"&lt;$25k",IF(D5224&lt;50000,"$25k-$50k",IF(D5224&lt;75000,"$50k-$75k",IF(D5224&lt;100000,"$75k-$100k","$100k+")))))</x:f>
        <x:v>$100k+</x:v>
      </x:c>
      <x:c r="P5224" t="str">
        <x:f>IF(E5224="","Unknown",IF(E5224&lt;10,"&lt;10",IF(E5224&lt;20,"10-&lt;20",IF(E5224&lt;25,"20-&lt;25",IF(E5224&lt;35,"25-&lt;35","35+")))))</x:f>
        <x:v>10-&lt;20</x:v>
      </x:c>
    </x:row>
    <x:row r="5225">
      <x:c r="A5225" t="str">
        <x:v>SYN0005224</x:v>
      </x:c>
      <x:c r="B5225" s="12" t="n">
        <x:v>41725</x:v>
      </x:c>
      <x:c r="C5225" s="18" t="n">
        <x:v>11306</x:v>
      </x:c>
      <x:c r="D5225" s="18" t="n">
        <x:v>28446</x:v>
      </x:c>
      <x:c r="E5225" s="18" t="n">
        <x:v>24.9</x:v>
      </x:c>
      <x:c r="F5225" s="18" t="n">
        <x:v>10.28</x:v>
      </x:c>
      <x:c r="G5225" t="n">
        <x:v>36</x:v>
      </x:c>
      <x:c r="H5225" t="str">
        <x:v>B</x:v>
      </x:c>
      <x:c r="I5225" t="str">
        <x:v>10+ years</x:v>
      </x:c>
      <x:c r="J5225" t="str">
        <x:v>MORTGAGE</x:v>
      </x:c>
      <x:c r="K5225" t="str">
        <x:v>credit_card</x:v>
      </x:c>
      <x:c r="L5225" t="n">
        <x:v>0</x:v>
      </x:c>
      <x:c r="M5225" t="n">
        <x:v>0</x:v>
      </x:c>
      <x:c r="N5225" t="str">
        <x:v>Fully Paid</x:v>
      </x:c>
      <x:c r="O5225" t="str">
        <x:f>IF(D5225="","Unknown",IF(D5225&lt;25000,"&lt;$25k",IF(D5225&lt;50000,"$25k-$50k",IF(D5225&lt;75000,"$50k-$75k",IF(D5225&lt;100000,"$75k-$100k","$100k+")))))</x:f>
        <x:v>$25k-$50k</x:v>
      </x:c>
      <x:c r="P5225" t="str">
        <x:f>IF(E5225="","Unknown",IF(E5225&lt;10,"&lt;10",IF(E5225&lt;20,"10-&lt;20",IF(E5225&lt;25,"20-&lt;25",IF(E5225&lt;35,"25-&lt;35","35+")))))</x:f>
        <x:v>20-&lt;25</x:v>
      </x:c>
    </x:row>
    <x:row r="5226">
      <x:c r="A5226" t="str">
        <x:v>SYN0005225</x:v>
      </x:c>
      <x:c r="B5226" s="12" t="n">
        <x:v>41275</x:v>
      </x:c>
      <x:c r="C5226" s="18" t="n">
        <x:v>11150</x:v>
      </x:c>
      <x:c r="D5226" s="18" t="n">
        <x:v>26644</x:v>
      </x:c>
      <x:c r="E5226" s="18" t="n">
        <x:v>17.72</x:v>
      </x:c>
      <x:c r="F5226" s="18" t="n">
        <x:v>14.21</x:v>
      </x:c>
      <x:c r="G5226" t="n">
        <x:v>36</x:v>
      </x:c>
      <x:c r="H5226" t="str">
        <x:v>E</x:v>
      </x:c>
      <x:c r="I5226" t="str">
        <x:v>4-6 years</x:v>
      </x:c>
      <x:c r="J5226" t="str">
        <x:v>OWN</x:v>
      </x:c>
      <x:c r="K5226" t="str">
        <x:v>debt_consolidation</x:v>
      </x:c>
      <x:c r="L5226" t="n">
        <x:v>0</x:v>
      </x:c>
      <x:c r="M5226" t="n">
        <x:v>0</x:v>
      </x:c>
      <x:c r="N5226" t="str">
        <x:v>Fully Paid</x:v>
      </x:c>
      <x:c r="O5226" t="str">
        <x:f>IF(D5226="","Unknown",IF(D5226&lt;25000,"&lt;$25k",IF(D5226&lt;50000,"$25k-$50k",IF(D5226&lt;75000,"$50k-$75k",IF(D5226&lt;100000,"$75k-$100k","$100k+")))))</x:f>
        <x:v>$25k-$50k</x:v>
      </x:c>
      <x:c r="P5226" t="str">
        <x:f>IF(E5226="","Unknown",IF(E5226&lt;10,"&lt;10",IF(E5226&lt;20,"10-&lt;20",IF(E5226&lt;25,"20-&lt;25",IF(E5226&lt;35,"25-&lt;35","35+")))))</x:f>
        <x:v>10-&lt;20</x:v>
      </x:c>
    </x:row>
    <x:row r="5227">
      <x:c r="A5227" t="str">
        <x:v>SYN0005226</x:v>
      </x:c>
      <x:c r="B5227" s="12" t="n">
        <x:v>42565</x:v>
      </x:c>
      <x:c r="C5227" s="18" t="n">
        <x:v>14641</x:v>
      </x:c>
      <x:c r="D5227" s="18" t="n">
        <x:v>133043</x:v>
      </x:c>
      <x:c r="E5227" s="18" t="n">
        <x:v>12.55</x:v>
      </x:c>
      <x:c r="F5227" s="18" t="n">
        <x:v>9.93</x:v>
      </x:c>
      <x:c r="G5227" t="n">
        <x:v>36</x:v>
      </x:c>
      <x:c r="H5227" t="str">
        <x:v>B</x:v>
      </x:c>
      <x:c r="I5227" t="str">
        <x:v>7-9 years</x:v>
      </x:c>
      <x:c r="J5227" t="str">
        <x:v>RENT</x:v>
      </x:c>
      <x:c r="K5227" t="str">
        <x:v>debt_consolidation</x:v>
      </x:c>
      <x:c r="L5227" t="n">
        <x:v>0</x:v>
      </x:c>
      <x:c r="M5227" t="n">
        <x:v>0</x:v>
      </x:c>
      <x:c r="N5227" t="str">
        <x:v>Fully Paid</x:v>
      </x:c>
      <x:c r="O5227" t="str">
        <x:f>IF(D5227="","Unknown",IF(D5227&lt;25000,"&lt;$25k",IF(D5227&lt;50000,"$25k-$50k",IF(D5227&lt;75000,"$50k-$75k",IF(D5227&lt;100000,"$75k-$100k","$100k+")))))</x:f>
        <x:v>$100k+</x:v>
      </x:c>
      <x:c r="P5227" t="str">
        <x:f>IF(E5227="","Unknown",IF(E5227&lt;10,"&lt;10",IF(E5227&lt;20,"10-&lt;20",IF(E5227&lt;25,"20-&lt;25",IF(E5227&lt;35,"25-&lt;35","35+")))))</x:f>
        <x:v>10-&lt;20</x:v>
      </x:c>
    </x:row>
    <x:row r="5228">
      <x:c r="A5228" t="str">
        <x:v>SYN0005227</x:v>
      </x:c>
      <x:c r="B5228" s="12" t="n">
        <x:v>41365</x:v>
      </x:c>
      <x:c r="C5228" s="18" t="n">
        <x:v>8802</x:v>
      </x:c>
      <x:c r="D5228" s="18" t="n">
        <x:v>12000</x:v>
      </x:c>
      <x:c r="E5228" s="18" t="n">
        <x:v>24.67</x:v>
      </x:c>
      <x:c r="F5228" s="18" t="n">
        <x:v>5.91</x:v>
      </x:c>
      <x:c r="G5228" t="n">
        <x:v>36</x:v>
      </x:c>
      <x:c r="H5228" t="str">
        <x:v>C</x:v>
      </x:c>
      <x:c r="I5228" t="str">
        <x:v>10+ years</x:v>
      </x:c>
      <x:c r="J5228" t="str">
        <x:v>RENT</x:v>
      </x:c>
      <x:c r="K5228" t="str">
        <x:v>major_purchase</x:v>
      </x:c>
      <x:c r="L5228" t="n">
        <x:v>0</x:v>
      </x:c>
      <x:c r="M5228" t="n">
        <x:v>0</x:v>
      </x:c>
      <x:c r="N5228" t="str">
        <x:v>Fully Paid</x:v>
      </x:c>
      <x:c r="O5228" t="str">
        <x:f>IF(D5228="","Unknown",IF(D5228&lt;25000,"&lt;$25k",IF(D5228&lt;50000,"$25k-$50k",IF(D5228&lt;75000,"$50k-$75k",IF(D5228&lt;100000,"$75k-$100k","$100k+")))))</x:f>
        <x:v>&lt;$25k</x:v>
      </x:c>
      <x:c r="P5228" t="str">
        <x:f>IF(E5228="","Unknown",IF(E5228&lt;10,"&lt;10",IF(E5228&lt;20,"10-&lt;20",IF(E5228&lt;25,"20-&lt;25",IF(E5228&lt;35,"25-&lt;35","35+")))))</x:f>
        <x:v>20-&lt;25</x:v>
      </x:c>
    </x:row>
    <x:row r="5229">
      <x:c r="A5229" t="str">
        <x:v>SYN0005228</x:v>
      </x:c>
      <x:c r="B5229" s="12" t="n">
        <x:v>42445</x:v>
      </x:c>
      <x:c r="C5229" s="18" t="n">
        <x:v>8669</x:v>
      </x:c>
      <x:c r="D5229" s="18" t="n">
        <x:v>43772</x:v>
      </x:c>
      <x:c r="E5229" s="18" t="n">
        <x:v>33.46</x:v>
      </x:c>
      <x:c r="F5229" s="18" t="n">
        <x:v>13.07</x:v>
      </x:c>
      <x:c r="G5229" t="n">
        <x:v>36</x:v>
      </x:c>
      <x:c r="H5229" t="str">
        <x:v>D</x:v>
      </x:c>
      <x:c r="I5229" t="str">
        <x:v>4-6 years</x:v>
      </x:c>
      <x:c r="J5229" t="str">
        <x:v>MORTGAGE</x:v>
      </x:c>
      <x:c r="K5229" t="str">
        <x:v>debt_consolidation</x:v>
      </x:c>
      <x:c r="L5229" t="n">
        <x:v>0</x:v>
      </x:c>
      <x:c r="M5229" t="n">
        <x:v>1</x:v>
      </x:c>
      <x:c r="N5229" t="str">
        <x:v>Charged Off</x:v>
      </x:c>
      <x:c r="O5229" t="str">
        <x:f>IF(D5229="","Unknown",IF(D5229&lt;25000,"&lt;$25k",IF(D5229&lt;50000,"$25k-$50k",IF(D5229&lt;75000,"$50k-$75k",IF(D5229&lt;100000,"$75k-$100k","$100k+")))))</x:f>
        <x:v>$25k-$50k</x:v>
      </x:c>
      <x:c r="P5229" t="str">
        <x:f>IF(E5229="","Unknown",IF(E5229&lt;10,"&lt;10",IF(E5229&lt;20,"10-&lt;20",IF(E5229&lt;25,"20-&lt;25",IF(E5229&lt;35,"25-&lt;35","35+")))))</x:f>
        <x:v>25-&lt;35</x:v>
      </x:c>
    </x:row>
    <x:row r="5230">
      <x:c r="A5230" t="str">
        <x:v>SYN0005229</x:v>
      </x:c>
      <x:c r="B5230" s="12" t="n">
        <x:v>42325</x:v>
      </x:c>
      <x:c r="C5230" s="18" t="n">
        <x:v>21023</x:v>
      </x:c>
      <x:c r="D5230" s="18" t="n">
        <x:v>101885</x:v>
      </x:c>
      <x:c r="E5230" s="18" t="n">
        <x:v>18.91</x:v>
      </x:c>
      <x:c r="F5230" s="18" t="n">
        <x:v>10.03</x:v>
      </x:c>
      <x:c r="G5230" t="n">
        <x:v>36</x:v>
      </x:c>
      <x:c r="H5230" t="str">
        <x:v>C</x:v>
      </x:c>
      <x:c r="I5230" t="str">
        <x:v>1-3 years</x:v>
      </x:c>
      <x:c r="J5230" t="str">
        <x:v>RENT</x:v>
      </x:c>
      <x:c r="K5230" t="str">
        <x:v>major_purchase</x:v>
      </x:c>
      <x:c r="L5230" t="n">
        <x:v>0</x:v>
      </x:c>
      <x:c r="M5230" t="n">
        <x:v>0</x:v>
      </x:c>
      <x:c r="N5230" t="str">
        <x:v>Fully Paid</x:v>
      </x:c>
      <x:c r="O5230" t="str">
        <x:f>IF(D5230="","Unknown",IF(D5230&lt;25000,"&lt;$25k",IF(D5230&lt;50000,"$25k-$50k",IF(D5230&lt;75000,"$50k-$75k",IF(D5230&lt;100000,"$75k-$100k","$100k+")))))</x:f>
        <x:v>$100k+</x:v>
      </x:c>
      <x:c r="P5230" t="str">
        <x:f>IF(E5230="","Unknown",IF(E5230&lt;10,"&lt;10",IF(E5230&lt;20,"10-&lt;20",IF(E5230&lt;25,"20-&lt;25",IF(E5230&lt;35,"25-&lt;35","35+")))))</x:f>
        <x:v>10-&lt;20</x:v>
      </x:c>
    </x:row>
    <x:row r="5231">
      <x:c r="A5231" t="str">
        <x:v>SYN0005230</x:v>
      </x:c>
      <x:c r="B5231" s="12" t="n">
        <x:v>41485</x:v>
      </x:c>
      <x:c r="C5231" s="18" t="n">
        <x:v>17929</x:v>
      </x:c>
      <x:c r="D5231" s="18" t="n">
        <x:v>128386</x:v>
      </x:c>
      <x:c r="E5231" s="18" t="n">
        <x:v>30.76</x:v>
      </x:c>
      <x:c r="F5231" s="18" t="n">
        <x:v>19.27</x:v>
      </x:c>
      <x:c r="G5231" t="n">
        <x:v>36</x:v>
      </x:c>
      <x:c r="H5231" t="str">
        <x:v>E</x:v>
      </x:c>
      <x:c r="I5231" t="str">
        <x:v>4-6 years</x:v>
      </x:c>
      <x:c r="J5231" t="str">
        <x:v>RENT</x:v>
      </x:c>
      <x:c r="K5231" t="str">
        <x:v>home_improvement</x:v>
      </x:c>
      <x:c r="L5231" t="n">
        <x:v>1</x:v>
      </x:c>
      <x:c r="M5231" t="n">
        <x:v>0</x:v>
      </x:c>
      <x:c r="N5231" t="str">
        <x:v>Fully Paid</x:v>
      </x:c>
      <x:c r="O5231" t="str">
        <x:f>IF(D5231="","Unknown",IF(D5231&lt;25000,"&lt;$25k",IF(D5231&lt;50000,"$25k-$50k",IF(D5231&lt;75000,"$50k-$75k",IF(D5231&lt;100000,"$75k-$100k","$100k+")))))</x:f>
        <x:v>$100k+</x:v>
      </x:c>
      <x:c r="P5231" t="str">
        <x:f>IF(E5231="","Unknown",IF(E5231&lt;10,"&lt;10",IF(E5231&lt;20,"10-&lt;20",IF(E5231&lt;25,"20-&lt;25",IF(E5231&lt;35,"25-&lt;35","35+")))))</x:f>
        <x:v>25-&lt;35</x:v>
      </x:c>
    </x:row>
    <x:row r="5232">
      <x:c r="A5232" t="str">
        <x:v>SYN0005231</x:v>
      </x:c>
      <x:c r="B5232" s="12" t="n">
        <x:v>42655</x:v>
      </x:c>
      <x:c r="C5232" s="18" t="n">
        <x:v>10413</x:v>
      </x:c>
      <x:c r="D5232" s="18" t="n">
        <x:v>56663</x:v>
      </x:c>
      <x:c r="E5232" s="18" t="n">
        <x:v>20.16</x:v>
      </x:c>
      <x:c r="F5232" s="18" t="n">
        <x:v>21.43</x:v>
      </x:c>
      <x:c r="G5232" t="n">
        <x:v>36</x:v>
      </x:c>
      <x:c r="H5232" t="str">
        <x:v>F</x:v>
      </x:c>
      <x:c r="I5232" t="str">
        <x:v>10+ years</x:v>
      </x:c>
      <x:c r="J5232" t="str">
        <x:v>OWN</x:v>
      </x:c>
      <x:c r="K5232" t="str">
        <x:v>other</x:v>
      </x:c>
      <x:c r="L5232" t="n">
        <x:v>0</x:v>
      </x:c>
      <x:c r="M5232" t="n">
        <x:v>0</x:v>
      </x:c>
      <x:c r="N5232" t="str">
        <x:v>Fully Paid</x:v>
      </x:c>
      <x:c r="O5232" t="str">
        <x:f>IF(D5232="","Unknown",IF(D5232&lt;25000,"&lt;$25k",IF(D5232&lt;50000,"$25k-$50k",IF(D5232&lt;75000,"$50k-$75k",IF(D5232&lt;100000,"$75k-$100k","$100k+")))))</x:f>
        <x:v>$50k-$75k</x:v>
      </x:c>
      <x:c r="P5232" t="str">
        <x:f>IF(E5232="","Unknown",IF(E5232&lt;10,"&lt;10",IF(E5232&lt;20,"10-&lt;20",IF(E5232&lt;25,"20-&lt;25",IF(E5232&lt;35,"25-&lt;35","35+")))))</x:f>
        <x:v>20-&lt;25</x:v>
      </x:c>
    </x:row>
    <x:row r="5233">
      <x:c r="A5233" t="str">
        <x:v>SYN0005232</x:v>
      </x:c>
      <x:c r="B5233" s="12" t="n">
        <x:v>41665</x:v>
      </x:c>
      <x:c r="C5233" s="18" t="n">
        <x:v>8306</x:v>
      </x:c>
      <x:c r="D5233" s="18" t="n">
        <x:v>159932</x:v>
      </x:c>
      <x:c r="E5233" s="18" t="n">
        <x:v>21.44</x:v>
      </x:c>
      <x:c r="F5233" s="18" t="n">
        <x:v>5.91</x:v>
      </x:c>
      <x:c r="G5233" t="n">
        <x:v>36</x:v>
      </x:c>
      <x:c r="H5233" t="str">
        <x:v>A</x:v>
      </x:c>
      <x:c r="I5233" t="str">
        <x:v>4-6 years</x:v>
      </x:c>
      <x:c r="J5233" t="str">
        <x:v>RENT</x:v>
      </x:c>
      <x:c r="K5233" t="str">
        <x:v>credit_card</x:v>
      </x:c>
      <x:c r="L5233" t="n">
        <x:v>0</x:v>
      </x:c>
      <x:c r="M5233" t="n">
        <x:v>0</x:v>
      </x:c>
      <x:c r="N5233" t="str">
        <x:v>Fully Paid</x:v>
      </x:c>
      <x:c r="O5233" t="str">
        <x:f>IF(D5233="","Unknown",IF(D5233&lt;25000,"&lt;$25k",IF(D5233&lt;50000,"$25k-$50k",IF(D5233&lt;75000,"$50k-$75k",IF(D5233&lt;100000,"$75k-$100k","$100k+")))))</x:f>
        <x:v>$100k+</x:v>
      </x:c>
      <x:c r="P5233" t="str">
        <x:f>IF(E5233="","Unknown",IF(E5233&lt;10,"&lt;10",IF(E5233&lt;20,"10-&lt;20",IF(E5233&lt;25,"20-&lt;25",IF(E5233&lt;35,"25-&lt;35","35+")))))</x:f>
        <x:v>20-&lt;25</x:v>
      </x:c>
    </x:row>
    <x:row r="5234">
      <x:c r="A5234" t="str">
        <x:v>SYN0005233</x:v>
      </x:c>
      <x:c r="B5234" s="12" t="n">
        <x:v>42565</x:v>
      </x:c>
      <x:c r="C5234" s="18" t="n">
        <x:v>13788</x:v>
      </x:c>
      <x:c r="D5234" s="18" t="n">
        <x:v>54340</x:v>
      </x:c>
      <x:c r="E5234" s="18" t="n">
        <x:v>25.23</x:v>
      </x:c>
      <x:c r="F5234" s="18" t="n">
        <x:v>24.16</x:v>
      </x:c>
      <x:c r="G5234" t="n">
        <x:v>60</x:v>
      </x:c>
      <x:c r="H5234" t="str">
        <x:v>G</x:v>
      </x:c>
      <x:c r="I5234" t="str">
        <x:v>4-6 years</x:v>
      </x:c>
      <x:c r="J5234" t="str">
        <x:v>MORTGAGE</x:v>
      </x:c>
      <x:c r="K5234" t="str">
        <x:v>credit_card</x:v>
      </x:c>
      <x:c r="L5234" t="n">
        <x:v>1</x:v>
      </x:c>
      <x:c r="M5234" t="n">
        <x:v>0</x:v>
      </x:c>
      <x:c r="N5234" t="str">
        <x:v>Fully Paid</x:v>
      </x:c>
      <x:c r="O5234" t="str">
        <x:f>IF(D5234="","Unknown",IF(D5234&lt;25000,"&lt;$25k",IF(D5234&lt;50000,"$25k-$50k",IF(D5234&lt;75000,"$50k-$75k",IF(D5234&lt;100000,"$75k-$100k","$100k+")))))</x:f>
        <x:v>$50k-$75k</x:v>
      </x:c>
      <x:c r="P5234" t="str">
        <x:f>IF(E5234="","Unknown",IF(E5234&lt;10,"&lt;10",IF(E5234&lt;20,"10-&lt;20",IF(E5234&lt;25,"20-&lt;25",IF(E5234&lt;35,"25-&lt;35","35+")))))</x:f>
        <x:v>25-&lt;35</x:v>
      </x:c>
    </x:row>
    <x:row r="5235">
      <x:c r="A5235" t="str">
        <x:v>SYN0005234</x:v>
      </x:c>
      <x:c r="B5235" s="12" t="n">
        <x:v>42205</x:v>
      </x:c>
      <x:c r="C5235" s="18" t="n">
        <x:v>9053</x:v>
      </x:c>
      <x:c r="D5235" s="18" t="n">
        <x:v>45931</x:v>
      </x:c>
      <x:c r="E5235" s="18" t="n">
        <x:v>24.62</x:v>
      </x:c>
      <x:c r="F5235" s="18" t="n">
        <x:v>11.17</x:v>
      </x:c>
      <x:c r="G5235" t="n">
        <x:v>60</x:v>
      </x:c>
      <x:c r="H5235" t="str">
        <x:v>C</x:v>
      </x:c>
      <x:c r="I5235" t="str">
        <x:v>4-6 years</x:v>
      </x:c>
      <x:c r="J5235" t="str">
        <x:v>OWN</x:v>
      </x:c>
      <x:c r="K5235" t="str">
        <x:v>credit_card</x:v>
      </x:c>
      <x:c r="L5235" t="n">
        <x:v>0</x:v>
      </x:c>
      <x:c r="M5235" t="n">
        <x:v>0</x:v>
      </x:c>
      <x:c r="N5235" t="str">
        <x:v>Fully Paid</x:v>
      </x:c>
      <x:c r="O5235" t="str">
        <x:f>IF(D5235="","Unknown",IF(D5235&lt;25000,"&lt;$25k",IF(D5235&lt;50000,"$25k-$50k",IF(D5235&lt;75000,"$50k-$75k",IF(D5235&lt;100000,"$75k-$100k","$100k+")))))</x:f>
        <x:v>$25k-$50k</x:v>
      </x:c>
      <x:c r="P5235" t="str">
        <x:f>IF(E5235="","Unknown",IF(E5235&lt;10,"&lt;10",IF(E5235&lt;20,"10-&lt;20",IF(E5235&lt;25,"20-&lt;25",IF(E5235&lt;35,"25-&lt;35","35+")))))</x:f>
        <x:v>20-&lt;25</x:v>
      </x:c>
    </x:row>
    <x:row r="5236">
      <x:c r="A5236" t="str">
        <x:v>SYN0005235</x:v>
      </x:c>
      <x:c r="B5236" s="12" t="n">
        <x:v>41875</x:v>
      </x:c>
      <x:c r="C5236" s="18" t="n">
        <x:v>25329</x:v>
      </x:c>
      <x:c r="D5236" s="18" t="n">
        <x:v>44224</x:v>
      </x:c>
      <x:c r="E5236" s="18" t="n">
        <x:v>15.44</x:v>
      </x:c>
      <x:c r="F5236" s="18" t="n">
        <x:v>18</x:v>
      </x:c>
      <x:c r="G5236" t="n">
        <x:v>60</x:v>
      </x:c>
      <x:c r="H5236" t="str">
        <x:v>E</x:v>
      </x:c>
      <x:c r="I5236" t="str">
        <x:v>10+ years</x:v>
      </x:c>
      <x:c r="J5236" t="str">
        <x:v>MORTGAGE</x:v>
      </x:c>
      <x:c r="K5236" t="str">
        <x:v>debt_consolidation</x:v>
      </x:c>
      <x:c r="L5236" t="n">
        <x:v>0</x:v>
      </x:c>
      <x:c r="M5236" t="n">
        <x:v>0</x:v>
      </x:c>
      <x:c r="N5236" t="str">
        <x:v>Fully Paid</x:v>
      </x:c>
      <x:c r="O5236" t="str">
        <x:f>IF(D5236="","Unknown",IF(D5236&lt;25000,"&lt;$25k",IF(D5236&lt;50000,"$25k-$50k",IF(D5236&lt;75000,"$50k-$75k",IF(D5236&lt;100000,"$75k-$100k","$100k+")))))</x:f>
        <x:v>$25k-$50k</x:v>
      </x:c>
      <x:c r="P5236" t="str">
        <x:f>IF(E5236="","Unknown",IF(E5236&lt;10,"&lt;10",IF(E5236&lt;20,"10-&lt;20",IF(E5236&lt;25,"20-&lt;25",IF(E5236&lt;35,"25-&lt;35","35+")))))</x:f>
        <x:v>10-&lt;20</x:v>
      </x:c>
    </x:row>
    <x:row r="5237">
      <x:c r="A5237" t="str">
        <x:v>SYN0005236</x:v>
      </x:c>
      <x:c r="B5237" s="12" t="n">
        <x:v>41335</x:v>
      </x:c>
      <x:c r="C5237" s="18" t="n">
        <x:v>11342</x:v>
      </x:c>
      <x:c r="D5237" s="18" t="n">
        <x:v>81979</x:v>
      </x:c>
      <x:c r="E5237" s="18" t="n">
        <x:v>8.4</x:v>
      </x:c>
      <x:c r="F5237" s="18" t="n">
        <x:v>8.81</x:v>
      </x:c>
      <x:c r="G5237" t="n">
        <x:v>36</x:v>
      </x:c>
      <x:c r="H5237" t="str">
        <x:v>B</x:v>
      </x:c>
      <x:c r="I5237" t="str">
        <x:v>4-6 years</x:v>
      </x:c>
      <x:c r="J5237" t="str">
        <x:v>RENT</x:v>
      </x:c>
      <x:c r="K5237" t="str">
        <x:v>debt_consolidation</x:v>
      </x:c>
      <x:c r="L5237" t="n">
        <x:v>1</x:v>
      </x:c>
      <x:c r="M5237" t="n">
        <x:v>0</x:v>
      </x:c>
      <x:c r="N5237" t="str">
        <x:v>Fully Paid</x:v>
      </x:c>
      <x:c r="O5237" t="str">
        <x:f>IF(D5237="","Unknown",IF(D5237&lt;25000,"&lt;$25k",IF(D5237&lt;50000,"$25k-$50k",IF(D5237&lt;75000,"$50k-$75k",IF(D5237&lt;100000,"$75k-$100k","$100k+")))))</x:f>
        <x:v>$75k-$100k</x:v>
      </x:c>
      <x:c r="P5237" t="str">
        <x:f>IF(E5237="","Unknown",IF(E5237&lt;10,"&lt;10",IF(E5237&lt;20,"10-&lt;20",IF(E5237&lt;25,"20-&lt;25",IF(E5237&lt;35,"25-&lt;35","35+")))))</x:f>
        <x:v>&lt;10</x:v>
      </x:c>
    </x:row>
    <x:row r="5238">
      <x:c r="A5238" t="str">
        <x:v>SYN0005237</x:v>
      </x:c>
      <x:c r="B5238" s="12" t="n">
        <x:v>42925</x:v>
      </x:c>
      <x:c r="C5238" s="18" t="n">
        <x:v>24605</x:v>
      </x:c>
      <x:c r="D5238" s="18" t="n">
        <x:v>51785</x:v>
      </x:c>
      <x:c r="E5238" s="18" t="n">
        <x:v>25.72</x:v>
      </x:c>
      <x:c r="F5238" s="18" t="n">
        <x:v>15.25</x:v>
      </x:c>
      <x:c r="G5238" t="n">
        <x:v>60</x:v>
      </x:c>
      <x:c r="H5238" t="str">
        <x:v>D</x:v>
      </x:c>
      <x:c r="I5238" t="str">
        <x:v>10+ years</x:v>
      </x:c>
      <x:c r="J5238" t="str">
        <x:v>RENT</x:v>
      </x:c>
      <x:c r="K5238" t="str">
        <x:v>medical</x:v>
      </x:c>
      <x:c r="L5238" t="n">
        <x:v>0</x:v>
      </x:c>
      <x:c r="M5238" t="n">
        <x:v>0</x:v>
      </x:c>
      <x:c r="N5238" t="str">
        <x:v>Fully Paid</x:v>
      </x:c>
      <x:c r="O5238" t="str">
        <x:f>IF(D5238="","Unknown",IF(D5238&lt;25000,"&lt;$25k",IF(D5238&lt;50000,"$25k-$50k",IF(D5238&lt;75000,"$50k-$75k",IF(D5238&lt;100000,"$75k-$100k","$100k+")))))</x:f>
        <x:v>$50k-$75k</x:v>
      </x:c>
      <x:c r="P5238" t="str">
        <x:f>IF(E5238="","Unknown",IF(E5238&lt;10,"&lt;10",IF(E5238&lt;20,"10-&lt;20",IF(E5238&lt;25,"20-&lt;25",IF(E5238&lt;35,"25-&lt;35","35+")))))</x:f>
        <x:v>25-&lt;35</x:v>
      </x:c>
    </x:row>
    <x:row r="5239">
      <x:c r="A5239" t="str">
        <x:v>SYN0005238</x:v>
      </x:c>
      <x:c r="B5239" s="12" t="n">
        <x:v>42415</x:v>
      </x:c>
      <x:c r="C5239" s="18" t="n">
        <x:v>13170</x:v>
      </x:c>
      <x:c r="D5239" s="18" t="n">
        <x:v>70084</x:v>
      </x:c>
      <x:c r="E5239" s="18" t="n">
        <x:v>22.63</x:v>
      </x:c>
      <x:c r="F5239" s="18" t="n">
        <x:v>7.11</x:v>
      </x:c>
      <x:c r="G5239" t="n">
        <x:v>36</x:v>
      </x:c>
      <x:c r="H5239" t="str">
        <x:v>B</x:v>
      </x:c>
      <x:c r="I5239" t="str">
        <x:v>10+ years</x:v>
      </x:c>
      <x:c r="J5239" t="str">
        <x:v>RENT</x:v>
      </x:c>
      <x:c r="K5239" t="str">
        <x:v>credit_card</x:v>
      </x:c>
      <x:c r="L5239" t="n">
        <x:v>1</x:v>
      </x:c>
      <x:c r="M5239" t="n">
        <x:v>0</x:v>
      </x:c>
      <x:c r="N5239" t="str">
        <x:v>Fully Paid</x:v>
      </x:c>
      <x:c r="O5239" t="str">
        <x:f>IF(D5239="","Unknown",IF(D5239&lt;25000,"&lt;$25k",IF(D5239&lt;50000,"$25k-$50k",IF(D5239&lt;75000,"$50k-$75k",IF(D5239&lt;100000,"$75k-$100k","$100k+")))))</x:f>
        <x:v>$50k-$75k</x:v>
      </x:c>
      <x:c r="P5239" t="str">
        <x:f>IF(E5239="","Unknown",IF(E5239&lt;10,"&lt;10",IF(E5239&lt;20,"10-&lt;20",IF(E5239&lt;25,"20-&lt;25",IF(E5239&lt;35,"25-&lt;35","35+")))))</x:f>
        <x:v>20-&lt;25</x:v>
      </x:c>
    </x:row>
    <x:row r="5240">
      <x:c r="A5240" t="str">
        <x:v>SYN0005239</x:v>
      </x:c>
      <x:c r="B5240" s="12" t="n">
        <x:v>42235</x:v>
      </x:c>
      <x:c r="C5240" s="18" t="n">
        <x:v>20997</x:v>
      </x:c>
      <x:c r="D5240" s="18" t="n">
        <x:v>29125</x:v>
      </x:c>
      <x:c r="E5240" s="18" t="n">
        <x:v>19.88</x:v>
      </x:c>
      <x:c r="F5240" s="18" t="n">
        <x:v>16.9</x:v>
      </x:c>
      <x:c r="G5240" t="n">
        <x:v>36</x:v>
      </x:c>
      <x:c r="H5240" t="str">
        <x:v>E</x:v>
      </x:c>
      <x:c r="I5240" t="str">
        <x:v>10+ years</x:v>
      </x:c>
      <x:c r="J5240" t="str">
        <x:v>MORTGAGE</x:v>
      </x:c>
      <x:c r="K5240" t="str">
        <x:v>debt_consolidation</x:v>
      </x:c>
      <x:c r="L5240" t="n">
        <x:v>0</x:v>
      </x:c>
      <x:c r="M5240" t="n">
        <x:v>0</x:v>
      </x:c>
      <x:c r="N5240" t="str">
        <x:v>Fully Paid</x:v>
      </x:c>
      <x:c r="O5240" t="str">
        <x:f>IF(D5240="","Unknown",IF(D5240&lt;25000,"&lt;$25k",IF(D5240&lt;50000,"$25k-$50k",IF(D5240&lt;75000,"$50k-$75k",IF(D5240&lt;100000,"$75k-$100k","$100k+")))))</x:f>
        <x:v>$25k-$50k</x:v>
      </x:c>
      <x:c r="P5240" t="str">
        <x:f>IF(E5240="","Unknown",IF(E5240&lt;10,"&lt;10",IF(E5240&lt;20,"10-&lt;20",IF(E5240&lt;25,"20-&lt;25",IF(E5240&lt;35,"25-&lt;35","35+")))))</x:f>
        <x:v>10-&lt;20</x:v>
      </x:c>
    </x:row>
    <x:row r="5241">
      <x:c r="A5241" t="str">
        <x:v>SYN0005240</x:v>
      </x:c>
      <x:c r="B5241" s="12" t="n">
        <x:v>42535</x:v>
      </x:c>
      <x:c r="C5241" s="18" t="n">
        <x:v>13120</x:v>
      </x:c>
      <x:c r="D5241" s="18" t="n">
        <x:v>29604</x:v>
      </x:c>
      <x:c r="E5241" s="18" t="n">
        <x:v>32.46</x:v>
      </x:c>
      <x:c r="F5241" s="18" t="n">
        <x:v>19.65</x:v>
      </x:c>
      <x:c r="G5241" t="n">
        <x:v>60</x:v>
      </x:c>
      <x:c r="H5241" t="str">
        <x:v>E</x:v>
      </x:c>
      <x:c r="I5241" t="str">
        <x:v>4-6 years</x:v>
      </x:c>
      <x:c r="J5241" t="str">
        <x:v>MORTGAGE</x:v>
      </x:c>
      <x:c r="K5241" t="str">
        <x:v>credit_card</x:v>
      </x:c>
      <x:c r="L5241" t="n">
        <x:v>2</x:v>
      </x:c>
      <x:c r="M5241" t="n">
        <x:v>1</x:v>
      </x:c>
      <x:c r="N5241" t="str">
        <x:v>Charged Off</x:v>
      </x:c>
      <x:c r="O5241" t="str">
        <x:f>IF(D5241="","Unknown",IF(D5241&lt;25000,"&lt;$25k",IF(D5241&lt;50000,"$25k-$50k",IF(D5241&lt;75000,"$50k-$75k",IF(D5241&lt;100000,"$75k-$100k","$100k+")))))</x:f>
        <x:v>$25k-$50k</x:v>
      </x:c>
      <x:c r="P5241" t="str">
        <x:f>IF(E5241="","Unknown",IF(E5241&lt;10,"&lt;10",IF(E5241&lt;20,"10-&lt;20",IF(E5241&lt;25,"20-&lt;25",IF(E5241&lt;35,"25-&lt;35","35+")))))</x:f>
        <x:v>25-&lt;35</x:v>
      </x:c>
    </x:row>
    <x:row r="5242">
      <x:c r="A5242" t="str">
        <x:v>SYN0005241</x:v>
      </x:c>
      <x:c r="B5242" s="12" t="n">
        <x:v>43345</x:v>
      </x:c>
      <x:c r="C5242" s="18" t="n">
        <x:v>7318</x:v>
      </x:c>
      <x:c r="D5242" s="18" t="n">
        <x:v>30573</x:v>
      </x:c>
      <x:c r="E5242" s="18" t="n">
        <x:v>19.66</x:v>
      </x:c>
      <x:c r="F5242" s="18" t="n">
        <x:v>11.63</x:v>
      </x:c>
      <x:c r="G5242" t="n">
        <x:v>60</x:v>
      </x:c>
      <x:c r="H5242" t="str">
        <x:v>C</x:v>
      </x:c>
      <x:c r="I5242" t="str">
        <x:v>10+ years</x:v>
      </x:c>
      <x:c r="J5242" t="str">
        <x:v>RENT</x:v>
      </x:c>
      <x:c r="K5242" t="str">
        <x:v>debt_consolidation</x:v>
      </x:c>
      <x:c r="L5242" t="n">
        <x:v>0</x:v>
      </x:c>
      <x:c r="M5242" t="n">
        <x:v>0</x:v>
      </x:c>
      <x:c r="N5242" t="str">
        <x:v>Fully Paid</x:v>
      </x:c>
      <x:c r="O5242" t="str">
        <x:f>IF(D5242="","Unknown",IF(D5242&lt;25000,"&lt;$25k",IF(D5242&lt;50000,"$25k-$50k",IF(D5242&lt;75000,"$50k-$75k",IF(D5242&lt;100000,"$75k-$100k","$100k+")))))</x:f>
        <x:v>$25k-$50k</x:v>
      </x:c>
      <x:c r="P5242" t="str">
        <x:f>IF(E5242="","Unknown",IF(E5242&lt;10,"&lt;10",IF(E5242&lt;20,"10-&lt;20",IF(E5242&lt;25,"20-&lt;25",IF(E5242&lt;35,"25-&lt;35","35+")))))</x:f>
        <x:v>10-&lt;20</x:v>
      </x:c>
    </x:row>
    <x:row r="5243">
      <x:c r="A5243" t="str">
        <x:v>SYN0005242</x:v>
      </x:c>
      <x:c r="B5243" s="12" t="n">
        <x:v>43045</x:v>
      </x:c>
      <x:c r="C5243" s="18" t="n">
        <x:v>7029</x:v>
      </x:c>
      <x:c r="D5243" s="18" t="n">
        <x:v>21205</x:v>
      </x:c>
      <x:c r="E5243" s="18" t="n">
        <x:v>12.21</x:v>
      </x:c>
      <x:c r="F5243" s="18" t="n">
        <x:v>11.85</x:v>
      </x:c>
      <x:c r="G5243" t="n">
        <x:v>36</x:v>
      </x:c>
      <x:c r="H5243" t="str">
        <x:v>D</x:v>
      </x:c>
      <x:c r="I5243" t="str">
        <x:v>7-9 years</x:v>
      </x:c>
      <x:c r="J5243" t="str">
        <x:v>MORTGAGE</x:v>
      </x:c>
      <x:c r="K5243" t="str">
        <x:v>credit_card</x:v>
      </x:c>
      <x:c r="L5243" t="n">
        <x:v>0</x:v>
      </x:c>
      <x:c r="M5243" t="n">
        <x:v>0</x:v>
      </x:c>
      <x:c r="N5243" t="str">
        <x:v>Fully Paid</x:v>
      </x:c>
      <x:c r="O5243" t="str">
        <x:f>IF(D5243="","Unknown",IF(D5243&lt;25000,"&lt;$25k",IF(D5243&lt;50000,"$25k-$50k",IF(D5243&lt;75000,"$50k-$75k",IF(D5243&lt;100000,"$75k-$100k","$100k+")))))</x:f>
        <x:v>&lt;$25k</x:v>
      </x:c>
      <x:c r="P5243" t="str">
        <x:f>IF(E5243="","Unknown",IF(E5243&lt;10,"&lt;10",IF(E5243&lt;20,"10-&lt;20",IF(E5243&lt;25,"20-&lt;25",IF(E5243&lt;35,"25-&lt;35","35+")))))</x:f>
        <x:v>10-&lt;20</x:v>
      </x:c>
    </x:row>
    <x:row r="5244">
      <x:c r="A5244" t="str">
        <x:v>SYN0005243</x:v>
      </x:c>
      <x:c r="B5244" s="12" t="n">
        <x:v>42655</x:v>
      </x:c>
      <x:c r="C5244" s="18" t="n">
        <x:v>9474</x:v>
      </x:c>
      <x:c r="D5244" s="18" t="n">
        <x:v>172695</x:v>
      </x:c>
      <x:c r="E5244" s="18" t="n">
        <x:v>0.39</x:v>
      </x:c>
      <x:c r="F5244" s="18" t="n">
        <x:v>10.56</x:v>
      </x:c>
      <x:c r="G5244" t="n">
        <x:v>60</x:v>
      </x:c>
      <x:c r="H5244" t="str">
        <x:v>C</x:v>
      </x:c>
      <x:c r="I5244" t="str">
        <x:v>4-6 years</x:v>
      </x:c>
      <x:c r="J5244" t="str">
        <x:v>OWN</x:v>
      </x:c>
      <x:c r="K5244" t="str">
        <x:v>debt_consolidation</x:v>
      </x:c>
      <x:c r="L5244" t="n">
        <x:v>1</x:v>
      </x:c>
      <x:c r="M5244" t="n">
        <x:v>0</x:v>
      </x:c>
      <x:c r="N5244" t="str">
        <x:v>Fully Paid</x:v>
      </x:c>
      <x:c r="O5244" t="str">
        <x:f>IF(D5244="","Unknown",IF(D5244&lt;25000,"&lt;$25k",IF(D5244&lt;50000,"$25k-$50k",IF(D5244&lt;75000,"$50k-$75k",IF(D5244&lt;100000,"$75k-$100k","$100k+")))))</x:f>
        <x:v>$100k+</x:v>
      </x:c>
      <x:c r="P5244" t="str">
        <x:f>IF(E5244="","Unknown",IF(E5244&lt;10,"&lt;10",IF(E5244&lt;20,"10-&lt;20",IF(E5244&lt;25,"20-&lt;25",IF(E5244&lt;35,"25-&lt;35","35+")))))</x:f>
        <x:v>&lt;10</x:v>
      </x:c>
    </x:row>
    <x:row r="5245">
      <x:c r="A5245" t="str">
        <x:v>SYN0005244</x:v>
      </x:c>
      <x:c r="B5245" s="12" t="n">
        <x:v>41695</x:v>
      </x:c>
      <x:c r="C5245" s="18" t="n">
        <x:v>13199</x:v>
      </x:c>
      <x:c r="D5245" s="18" t="n">
        <x:v>41026</x:v>
      </x:c>
      <x:c r="E5245" s="18" t="n">
        <x:v>21.29</x:v>
      </x:c>
      <x:c r="F5245" s="18" t="n">
        <x:v>5.93</x:v>
      </x:c>
      <x:c r="G5245" t="n">
        <x:v>60</x:v>
      </x:c>
      <x:c r="H5245" t="str">
        <x:v>A</x:v>
      </x:c>
      <x:c r="I5245" t="str">
        <x:v>4-6 years</x:v>
      </x:c>
      <x:c r="J5245" t="str">
        <x:v>MORTGAGE</x:v>
      </x:c>
      <x:c r="K5245" t="str">
        <x:v>credit_card</x:v>
      </x:c>
      <x:c r="L5245" t="n">
        <x:v>0</x:v>
      </x:c>
      <x:c r="M5245" t="n">
        <x:v>0</x:v>
      </x:c>
      <x:c r="N5245" t="str">
        <x:v>Fully Paid</x:v>
      </x:c>
      <x:c r="O5245" t="str">
        <x:f>IF(D5245="","Unknown",IF(D5245&lt;25000,"&lt;$25k",IF(D5245&lt;50000,"$25k-$50k",IF(D5245&lt;75000,"$50k-$75k",IF(D5245&lt;100000,"$75k-$100k","$100k+")))))</x:f>
        <x:v>$25k-$50k</x:v>
      </x:c>
      <x:c r="P5245" t="str">
        <x:f>IF(E5245="","Unknown",IF(E5245&lt;10,"&lt;10",IF(E5245&lt;20,"10-&lt;20",IF(E5245&lt;25,"20-&lt;25",IF(E5245&lt;35,"25-&lt;35","35+")))))</x:f>
        <x:v>20-&lt;25</x:v>
      </x:c>
    </x:row>
    <x:row r="5246">
      <x:c r="A5246" t="str">
        <x:v>SYN0005245</x:v>
      </x:c>
      <x:c r="B5246" s="12" t="n">
        <x:v>42175</x:v>
      </x:c>
      <x:c r="C5246" s="18" t="n">
        <x:v>15436</x:v>
      </x:c>
      <x:c r="D5246" s="18" t="n">
        <x:v>84171</x:v>
      </x:c>
      <x:c r="E5246" s="18" t="n">
        <x:v>36.95</x:v>
      </x:c>
      <x:c r="F5246" s="18" t="n">
        <x:v>9.23</x:v>
      </x:c>
      <x:c r="G5246" t="n">
        <x:v>36</x:v>
      </x:c>
      <x:c r="H5246" t="str">
        <x:v>A</x:v>
      </x:c>
      <x:c r="I5246" t="str">
        <x:v>1-3 years</x:v>
      </x:c>
      <x:c r="J5246" t="str">
        <x:v>RENT</x:v>
      </x:c>
      <x:c r="K5246" t="str">
        <x:v>home_improvement</x:v>
      </x:c>
      <x:c r="L5246" t="n">
        <x:v>0</x:v>
      </x:c>
      <x:c r="M5246" t="n">
        <x:v>0</x:v>
      </x:c>
      <x:c r="N5246" t="str">
        <x:v>Fully Paid</x:v>
      </x:c>
      <x:c r="O5246" t="str">
        <x:f>IF(D5246="","Unknown",IF(D5246&lt;25000,"&lt;$25k",IF(D5246&lt;50000,"$25k-$50k",IF(D5246&lt;75000,"$50k-$75k",IF(D5246&lt;100000,"$75k-$100k","$100k+")))))</x:f>
        <x:v>$75k-$100k</x:v>
      </x:c>
      <x:c r="P5246" t="str">
        <x:f>IF(E5246="","Unknown",IF(E5246&lt;10,"&lt;10",IF(E5246&lt;20,"10-&lt;20",IF(E5246&lt;25,"20-&lt;25",IF(E5246&lt;35,"25-&lt;35","35+")))))</x:f>
        <x:v>35+</x:v>
      </x:c>
    </x:row>
    <x:row r="5247">
      <x:c r="A5247" t="str">
        <x:v>SYN0005246</x:v>
      </x:c>
      <x:c r="B5247" s="12" t="n">
        <x:v>42265</x:v>
      </x:c>
      <x:c r="C5247" s="18" t="n">
        <x:v>10674</x:v>
      </x:c>
      <x:c r="D5247" s="18" t="n">
        <x:v>17332</x:v>
      </x:c>
      <x:c r="E5247" s="18" t="n">
        <x:v>21.3</x:v>
      </x:c>
      <x:c r="F5247" s="18" t="n">
        <x:v>18.94</x:v>
      </x:c>
      <x:c r="G5247" t="n">
        <x:v>60</x:v>
      </x:c>
      <x:c r="H5247" t="str">
        <x:v>E</x:v>
      </x:c>
      <x:c r="I5247" t="str">
        <x:v>4-6 years</x:v>
      </x:c>
      <x:c r="J5247" t="str">
        <x:v>RENT</x:v>
      </x:c>
      <x:c r="K5247" t="str">
        <x:v>debt_consolidation</x:v>
      </x:c>
      <x:c r="L5247" t="n">
        <x:v>2</x:v>
      </x:c>
      <x:c r="M5247" t="n">
        <x:v>0</x:v>
      </x:c>
      <x:c r="N5247" t="str">
        <x:v>Fully Paid</x:v>
      </x:c>
      <x:c r="O5247" t="str">
        <x:f>IF(D5247="","Unknown",IF(D5247&lt;25000,"&lt;$25k",IF(D5247&lt;50000,"$25k-$50k",IF(D5247&lt;75000,"$50k-$75k",IF(D5247&lt;100000,"$75k-$100k","$100k+")))))</x:f>
        <x:v>&lt;$25k</x:v>
      </x:c>
      <x:c r="P5247" t="str">
        <x:f>IF(E5247="","Unknown",IF(E5247&lt;10,"&lt;10",IF(E5247&lt;20,"10-&lt;20",IF(E5247&lt;25,"20-&lt;25",IF(E5247&lt;35,"25-&lt;35","35+")))))</x:f>
        <x:v>20-&lt;25</x:v>
      </x:c>
    </x:row>
    <x:row r="5248">
      <x:c r="A5248" t="str">
        <x:v>SYN0005247</x:v>
      </x:c>
      <x:c r="B5248" s="12" t="n">
        <x:v>42445</x:v>
      </x:c>
      <x:c r="C5248" s="18" t="n">
        <x:v>28744</x:v>
      </x:c>
      <x:c r="D5248" s="18" t="n">
        <x:v>51966</x:v>
      </x:c>
      <x:c r="E5248" s="18" t="n">
        <x:v>36.54</x:v>
      </x:c>
      <x:c r="F5248" s="18" t="n">
        <x:v>10.98</x:v>
      </x:c>
      <x:c r="G5248" t="n">
        <x:v>36</x:v>
      </x:c>
      <x:c r="H5248" t="str">
        <x:v>C</x:v>
      </x:c>
      <x:c r="I5248" t="str">
        <x:v>10+ years</x:v>
      </x:c>
      <x:c r="J5248" t="str">
        <x:v>MORTGAGE</x:v>
      </x:c>
      <x:c r="K5248" t="str">
        <x:v>major_purchase</x:v>
      </x:c>
      <x:c r="L5248" t="n">
        <x:v>1</x:v>
      </x:c>
      <x:c r="M5248" t="n">
        <x:v>0</x:v>
      </x:c>
      <x:c r="N5248" t="str">
        <x:v>Fully Paid</x:v>
      </x:c>
      <x:c r="O5248" t="str">
        <x:f>IF(D5248="","Unknown",IF(D5248&lt;25000,"&lt;$25k",IF(D5248&lt;50000,"$25k-$50k",IF(D5248&lt;75000,"$50k-$75k",IF(D5248&lt;100000,"$75k-$100k","$100k+")))))</x:f>
        <x:v>$50k-$75k</x:v>
      </x:c>
      <x:c r="P5248" t="str">
        <x:f>IF(E5248="","Unknown",IF(E5248&lt;10,"&lt;10",IF(E5248&lt;20,"10-&lt;20",IF(E5248&lt;25,"20-&lt;25",IF(E5248&lt;35,"25-&lt;35","35+")))))</x:f>
        <x:v>35+</x:v>
      </x:c>
    </x:row>
    <x:row r="5249">
      <x:c r="A5249" t="str">
        <x:v>SYN0005248</x:v>
      </x:c>
      <x:c r="B5249" s="12" t="n">
        <x:v>41935</x:v>
      </x:c>
      <x:c r="C5249" s="18" t="n">
        <x:v>10034</x:v>
      </x:c>
      <x:c r="D5249" s="18" t="n">
        <x:v>50628</x:v>
      </x:c>
      <x:c r="E5249" s="18" t="n">
        <x:v>30.87</x:v>
      </x:c>
      <x:c r="F5249" s="18" t="n">
        <x:v>8.31</x:v>
      </x:c>
      <x:c r="G5249" t="n">
        <x:v>36</x:v>
      </x:c>
      <x:c r="H5249" t="str">
        <x:v>C</x:v>
      </x:c>
      <x:c r="I5249" t="str">
        <x:v>4-6 years</x:v>
      </x:c>
      <x:c r="J5249" t="str">
        <x:v>MORTGAGE</x:v>
      </x:c>
      <x:c r="K5249" t="str">
        <x:v>medical</x:v>
      </x:c>
      <x:c r="L5249" t="n">
        <x:v>1</x:v>
      </x:c>
      <x:c r="M5249" t="n">
        <x:v>0</x:v>
      </x:c>
      <x:c r="N5249" t="str">
        <x:v>Fully Paid</x:v>
      </x:c>
      <x:c r="O5249" t="str">
        <x:f>IF(D5249="","Unknown",IF(D5249&lt;25000,"&lt;$25k",IF(D5249&lt;50000,"$25k-$50k",IF(D5249&lt;75000,"$50k-$75k",IF(D5249&lt;100000,"$75k-$100k","$100k+")))))</x:f>
        <x:v>$50k-$75k</x:v>
      </x:c>
      <x:c r="P5249" t="str">
        <x:f>IF(E5249="","Unknown",IF(E5249&lt;10,"&lt;10",IF(E5249&lt;20,"10-&lt;20",IF(E5249&lt;25,"20-&lt;25",IF(E5249&lt;35,"25-&lt;35","35+")))))</x:f>
        <x:v>25-&lt;35</x:v>
      </x:c>
    </x:row>
    <x:row r="5250">
      <x:c r="A5250" t="str">
        <x:v>SYN0005249</x:v>
      </x:c>
      <x:c r="B5250" s="12" t="n">
        <x:v>41935</x:v>
      </x:c>
      <x:c r="C5250" s="18" t="n">
        <x:v>30291</x:v>
      </x:c>
      <x:c r="D5250" s="18" t="n">
        <x:v>98888</x:v>
      </x:c>
      <x:c r="E5250" s="18" t="n">
        <x:v>27.5</x:v>
      </x:c>
      <x:c r="F5250" s="18" t="n">
        <x:v>15.6</x:v>
      </x:c>
      <x:c r="G5250" t="n">
        <x:v>36</x:v>
      </x:c>
      <x:c r="H5250" t="str">
        <x:v>E</x:v>
      </x:c>
      <x:c r="I5250" t="str">
        <x:v>1-3 years</x:v>
      </x:c>
      <x:c r="J5250" t="str">
        <x:v>MORTGAGE</x:v>
      </x:c>
      <x:c r="K5250" t="str">
        <x:v>home_improvement</x:v>
      </x:c>
      <x:c r="L5250" t="n">
        <x:v>1</x:v>
      </x:c>
      <x:c r="M5250" t="n">
        <x:v>1</x:v>
      </x:c>
      <x:c r="N5250" t="str">
        <x:v>Charged Off</x:v>
      </x:c>
      <x:c r="O5250" t="str">
        <x:f>IF(D5250="","Unknown",IF(D5250&lt;25000,"&lt;$25k",IF(D5250&lt;50000,"$25k-$50k",IF(D5250&lt;75000,"$50k-$75k",IF(D5250&lt;100000,"$75k-$100k","$100k+")))))</x:f>
        <x:v>$75k-$100k</x:v>
      </x:c>
      <x:c r="P5250" t="str">
        <x:f>IF(E5250="","Unknown",IF(E5250&lt;10,"&lt;10",IF(E5250&lt;20,"10-&lt;20",IF(E5250&lt;25,"20-&lt;25",IF(E5250&lt;35,"25-&lt;35","35+")))))</x:f>
        <x:v>25-&lt;35</x:v>
      </x:c>
    </x:row>
    <x:row r="5251">
      <x:c r="A5251" t="str">
        <x:v>SYN0005250</x:v>
      </x:c>
      <x:c r="B5251" s="12" t="n">
        <x:v>42265</x:v>
      </x:c>
      <x:c r="C5251" s="18" t="n">
        <x:v>18494</x:v>
      </x:c>
      <x:c r="D5251" s="18" t="n">
        <x:v>94062</x:v>
      </x:c>
      <x:c r="E5251" s="18" t="n">
        <x:v>10.15</x:v>
      </x:c>
      <x:c r="F5251" s="18" t="n">
        <x:v>6.43</x:v>
      </x:c>
      <x:c r="G5251" t="n">
        <x:v>36</x:v>
      </x:c>
      <x:c r="H5251" t="str">
        <x:v>A</x:v>
      </x:c>
      <x:c r="I5251" t="str">
        <x:v>4-6 years</x:v>
      </x:c>
      <x:c r="J5251" t="str">
        <x:v>RENT</x:v>
      </x:c>
      <x:c r="K5251" t="str">
        <x:v>credit_card</x:v>
      </x:c>
      <x:c r="L5251" t="n">
        <x:v>0</x:v>
      </x:c>
      <x:c r="M5251" t="n">
        <x:v>0</x:v>
      </x:c>
      <x:c r="N5251" t="str">
        <x:v>Fully Paid</x:v>
      </x:c>
      <x:c r="O5251" t="str">
        <x:f>IF(D5251="","Unknown",IF(D5251&lt;25000,"&lt;$25k",IF(D5251&lt;50000,"$25k-$50k",IF(D5251&lt;75000,"$50k-$75k",IF(D5251&lt;100000,"$75k-$100k","$100k+")))))</x:f>
        <x:v>$75k-$100k</x:v>
      </x:c>
      <x:c r="P5251" t="str">
        <x:f>IF(E5251="","Unknown",IF(E5251&lt;10,"&lt;10",IF(E5251&lt;20,"10-&lt;20",IF(E5251&lt;25,"20-&lt;25",IF(E5251&lt;35,"25-&lt;35","35+")))))</x:f>
        <x:v>10-&lt;20</x:v>
      </x:c>
    </x:row>
    <x:row r="5252">
      <x:c r="A5252" t="str">
        <x:v>SYN0005251</x:v>
      </x:c>
      <x:c r="B5252" s="12" t="n">
        <x:v>42775</x:v>
      </x:c>
      <x:c r="C5252" s="18" t="n">
        <x:v>16673</x:v>
      </x:c>
      <x:c r="D5252" s="18" t="n">
        <x:v>54448</x:v>
      </x:c>
      <x:c r="E5252" s="18" t="n">
        <x:v>27.66</x:v>
      </x:c>
      <x:c r="F5252" s="18" t="n">
        <x:v>7.48</x:v>
      </x:c>
      <x:c r="G5252" t="n">
        <x:v>36</x:v>
      </x:c>
      <x:c r="H5252" t="str">
        <x:v>A</x:v>
      </x:c>
      <x:c r="I5252" t="str">
        <x:v>1-3 years</x:v>
      </x:c>
      <x:c r="J5252" t="str">
        <x:v>RENT</x:v>
      </x:c>
      <x:c r="K5252" t="str">
        <x:v>credit_card</x:v>
      </x:c>
      <x:c r="L5252" t="n">
        <x:v>0</x:v>
      </x:c>
      <x:c r="M5252" t="n">
        <x:v>1</x:v>
      </x:c>
      <x:c r="N5252" t="str">
        <x:v>Charged Off</x:v>
      </x:c>
      <x:c r="O5252" t="str">
        <x:f>IF(D5252="","Unknown",IF(D5252&lt;25000,"&lt;$25k",IF(D5252&lt;50000,"$25k-$50k",IF(D5252&lt;75000,"$50k-$75k",IF(D5252&lt;100000,"$75k-$100k","$100k+")))))</x:f>
        <x:v>$50k-$75k</x:v>
      </x:c>
      <x:c r="P5252" t="str">
        <x:f>IF(E5252="","Unknown",IF(E5252&lt;10,"&lt;10",IF(E5252&lt;20,"10-&lt;20",IF(E5252&lt;25,"20-&lt;25",IF(E5252&lt;35,"25-&lt;35","35+")))))</x:f>
        <x:v>25-&lt;35</x:v>
      </x:c>
    </x:row>
    <x:row r="5253">
      <x:c r="A5253" t="str">
        <x:v>SYN0005252</x:v>
      </x:c>
      <x:c r="B5253" s="12" t="n">
        <x:v>42235</x:v>
      </x:c>
      <x:c r="C5253" s="18" t="n">
        <x:v>11870</x:v>
      </x:c>
      <x:c r="D5253" s="18" t="n">
        <x:v>31948</x:v>
      </x:c>
      <x:c r="E5253" s="18" t="n">
        <x:v>10.08</x:v>
      </x:c>
      <x:c r="F5253" s="18" t="n">
        <x:v>10.48</x:v>
      </x:c>
      <x:c r="G5253" t="n">
        <x:v>36</x:v>
      </x:c>
      <x:c r="H5253" t="str">
        <x:v>B</x:v>
      </x:c>
      <x:c r="I5253" t="str">
        <x:v>7-9 years</x:v>
      </x:c>
      <x:c r="J5253" t="str">
        <x:v>MORTGAGE</x:v>
      </x:c>
      <x:c r="K5253" t="str">
        <x:v>debt_consolidation</x:v>
      </x:c>
      <x:c r="L5253" t="n">
        <x:v>0</x:v>
      </x:c>
      <x:c r="M5253" t="n">
        <x:v>1</x:v>
      </x:c>
      <x:c r="N5253" t="str">
        <x:v>Charged Off</x:v>
      </x:c>
      <x:c r="O5253" t="str">
        <x:f>IF(D5253="","Unknown",IF(D5253&lt;25000,"&lt;$25k",IF(D5253&lt;50000,"$25k-$50k",IF(D5253&lt;75000,"$50k-$75k",IF(D5253&lt;100000,"$75k-$100k","$100k+")))))</x:f>
        <x:v>$25k-$50k</x:v>
      </x:c>
      <x:c r="P5253" t="str">
        <x:f>IF(E5253="","Unknown",IF(E5253&lt;10,"&lt;10",IF(E5253&lt;20,"10-&lt;20",IF(E5253&lt;25,"20-&lt;25",IF(E5253&lt;35,"25-&lt;35","35+")))))</x:f>
        <x:v>10-&lt;20</x:v>
      </x:c>
    </x:row>
    <x:row r="5254">
      <x:c r="A5254" t="str">
        <x:v>SYN0005253</x:v>
      </x:c>
      <x:c r="B5254" s="12" t="n">
        <x:v>43225</x:v>
      </x:c>
      <x:c r="C5254" s="18" t="n">
        <x:v>16607</x:v>
      </x:c>
      <x:c r="D5254" s="18" t="n">
        <x:v>27759</x:v>
      </x:c>
      <x:c r="E5254" s="18" t="n">
        <x:v>29.29</x:v>
      </x:c>
      <x:c r="F5254" s="18" t="n">
        <x:v>15.52</x:v>
      </x:c>
      <x:c r="G5254" t="n">
        <x:v>60</x:v>
      </x:c>
      <x:c r="H5254" t="str">
        <x:v>D</x:v>
      </x:c>
      <x:c r="I5254" t="str">
        <x:v>10+ years</x:v>
      </x:c>
      <x:c r="J5254" t="str">
        <x:v>RENT</x:v>
      </x:c>
      <x:c r="K5254" t="str">
        <x:v>home_improvement</x:v>
      </x:c>
      <x:c r="L5254" t="n">
        <x:v>0</x:v>
      </x:c>
      <x:c r="M5254" t="n">
        <x:v>0</x:v>
      </x:c>
      <x:c r="N5254" t="str">
        <x:v>Fully Paid</x:v>
      </x:c>
      <x:c r="O5254" t="str">
        <x:f>IF(D5254="","Unknown",IF(D5254&lt;25000,"&lt;$25k",IF(D5254&lt;50000,"$25k-$50k",IF(D5254&lt;75000,"$50k-$75k",IF(D5254&lt;100000,"$75k-$100k","$100k+")))))</x:f>
        <x:v>$25k-$50k</x:v>
      </x:c>
      <x:c r="P5254" t="str">
        <x:f>IF(E5254="","Unknown",IF(E5254&lt;10,"&lt;10",IF(E5254&lt;20,"10-&lt;20",IF(E5254&lt;25,"20-&lt;25",IF(E5254&lt;35,"25-&lt;35","35+")))))</x:f>
        <x:v>25-&lt;35</x:v>
      </x:c>
    </x:row>
    <x:row r="5255">
      <x:c r="A5255" t="str">
        <x:v>SYN0005254</x:v>
      </x:c>
      <x:c r="B5255" s="12" t="n">
        <x:v>41515</x:v>
      </x:c>
      <x:c r="C5255" s="18" t="n">
        <x:v>6981</x:v>
      </x:c>
      <x:c r="D5255" s="18" t="n">
        <x:v>83186</x:v>
      </x:c>
      <x:c r="E5255" s="18" t="n">
        <x:v>26.06</x:v>
      </x:c>
      <x:c r="F5255" s="18" t="n">
        <x:v>9.3</x:v>
      </x:c>
      <x:c r="G5255" t="n">
        <x:v>60</x:v>
      </x:c>
      <x:c r="H5255" t="str">
        <x:v>B</x:v>
      </x:c>
      <x:c r="I5255" t="str">
        <x:v>10+ years</x:v>
      </x:c>
      <x:c r="J5255" t="str">
        <x:v>OWN</x:v>
      </x:c>
      <x:c r="K5255" t="str">
        <x:v>debt_consolidation</x:v>
      </x:c>
      <x:c r="L5255" t="n">
        <x:v>1</x:v>
      </x:c>
      <x:c r="M5255" t="n">
        <x:v>0</x:v>
      </x:c>
      <x:c r="N5255" t="str">
        <x:v>Fully Paid</x:v>
      </x:c>
      <x:c r="O5255" t="str">
        <x:f>IF(D5255="","Unknown",IF(D5255&lt;25000,"&lt;$25k",IF(D5255&lt;50000,"$25k-$50k",IF(D5255&lt;75000,"$50k-$75k",IF(D5255&lt;100000,"$75k-$100k","$100k+")))))</x:f>
        <x:v>$75k-$100k</x:v>
      </x:c>
      <x:c r="P5255" t="str">
        <x:f>IF(E5255="","Unknown",IF(E5255&lt;10,"&lt;10",IF(E5255&lt;20,"10-&lt;20",IF(E5255&lt;25,"20-&lt;25",IF(E5255&lt;35,"25-&lt;35","35+")))))</x:f>
        <x:v>25-&lt;35</x:v>
      </x:c>
    </x:row>
    <x:row r="5256">
      <x:c r="A5256" t="str">
        <x:v>SYN0005255</x:v>
      </x:c>
      <x:c r="B5256" s="12" t="n">
        <x:v>42835</x:v>
      </x:c>
      <x:c r="C5256" s="18" t="n">
        <x:v>11404</x:v>
      </x:c>
      <x:c r="D5256" s="18" t="n">
        <x:v>66010</x:v>
      </x:c>
      <x:c r="E5256" s="18" t="n">
        <x:v>26.16</x:v>
      </x:c>
      <x:c r="F5256" s="18" t="n">
        <x:v>5.31</x:v>
      </x:c>
      <x:c r="G5256" t="n">
        <x:v>36</x:v>
      </x:c>
      <x:c r="H5256" t="str">
        <x:v>B</x:v>
      </x:c>
      <x:c r="I5256" t="str">
        <x:v>4-6 years</x:v>
      </x:c>
      <x:c r="J5256" t="str">
        <x:v>MORTGAGE</x:v>
      </x:c>
      <x:c r="K5256" t="str">
        <x:v>debt_consolidation</x:v>
      </x:c>
      <x:c r="L5256" t="n">
        <x:v>0</x:v>
      </x:c>
      <x:c r="M5256" t="n">
        <x:v>0</x:v>
      </x:c>
      <x:c r="N5256" t="str">
        <x:v>Fully Paid</x:v>
      </x:c>
      <x:c r="O5256" t="str">
        <x:f>IF(D5256="","Unknown",IF(D5256&lt;25000,"&lt;$25k",IF(D5256&lt;50000,"$25k-$50k",IF(D5256&lt;75000,"$50k-$75k",IF(D5256&lt;100000,"$75k-$100k","$100k+")))))</x:f>
        <x:v>$50k-$75k</x:v>
      </x:c>
      <x:c r="P5256" t="str">
        <x:f>IF(E5256="","Unknown",IF(E5256&lt;10,"&lt;10",IF(E5256&lt;20,"10-&lt;20",IF(E5256&lt;25,"20-&lt;25",IF(E5256&lt;35,"25-&lt;35","35+")))))</x:f>
        <x:v>25-&lt;35</x:v>
      </x:c>
    </x:row>
    <x:row r="5257">
      <x:c r="A5257" t="str">
        <x:v>SYN0005256</x:v>
      </x:c>
      <x:c r="B5257" s="12" t="n">
        <x:v>42805</x:v>
      </x:c>
      <x:c r="C5257" s="18" t="n">
        <x:v>12118</x:v>
      </x:c>
      <x:c r="D5257" s="18" t="n">
        <x:v>25842</x:v>
      </x:c>
      <x:c r="E5257" s="18" t="n">
        <x:v>11.99</x:v>
      </x:c>
      <x:c r="F5257" s="18" t="n">
        <x:v>14.69</x:v>
      </x:c>
      <x:c r="G5257" t="n">
        <x:v>60</x:v>
      </x:c>
      <x:c r="H5257" t="str">
        <x:v>D</x:v>
      </x:c>
      <x:c r="I5257" t="str">
        <x:v>7-9 years</x:v>
      </x:c>
      <x:c r="J5257" t="str">
        <x:v>OWN</x:v>
      </x:c>
      <x:c r="K5257" t="str">
        <x:v>debt_consolidation</x:v>
      </x:c>
      <x:c r="L5257" t="n">
        <x:v>0</x:v>
      </x:c>
      <x:c r="M5257" t="n">
        <x:v>0</x:v>
      </x:c>
      <x:c r="N5257" t="str">
        <x:v>Fully Paid</x:v>
      </x:c>
      <x:c r="O5257" t="str">
        <x:f>IF(D5257="","Unknown",IF(D5257&lt;25000,"&lt;$25k",IF(D5257&lt;50000,"$25k-$50k",IF(D5257&lt;75000,"$50k-$75k",IF(D5257&lt;100000,"$75k-$100k","$100k+")))))</x:f>
        <x:v>$25k-$50k</x:v>
      </x:c>
      <x:c r="P5257" t="str">
        <x:f>IF(E5257="","Unknown",IF(E5257&lt;10,"&lt;10",IF(E5257&lt;20,"10-&lt;20",IF(E5257&lt;25,"20-&lt;25",IF(E5257&lt;35,"25-&lt;35","35+")))))</x:f>
        <x:v>10-&lt;20</x:v>
      </x:c>
    </x:row>
    <x:row r="5258">
      <x:c r="A5258" t="str">
        <x:v>SYN0005257</x:v>
      </x:c>
      <x:c r="B5258" s="12" t="n">
        <x:v>43405</x:v>
      </x:c>
      <x:c r="C5258" s="18" t="n">
        <x:v>12725</x:v>
      </x:c>
      <x:c r="D5258" s="18" t="n">
        <x:v>77822</x:v>
      </x:c>
      <x:c r="E5258" s="18" t="n">
        <x:v>22.78</x:v>
      </x:c>
      <x:c r="F5258" s="18" t="n">
        <x:v>7.56</x:v>
      </x:c>
      <x:c r="G5258" t="n">
        <x:v>36</x:v>
      </x:c>
      <x:c r="H5258" t="str">
        <x:v>B</x:v>
      </x:c>
      <x:c r="I5258" t="str">
        <x:v>7-9 years</x:v>
      </x:c>
      <x:c r="J5258" t="str">
        <x:v>RENT</x:v>
      </x:c>
      <x:c r="K5258" t="str">
        <x:v>debt_consolidation</x:v>
      </x:c>
      <x:c r="L5258" t="n">
        <x:v>1</x:v>
      </x:c>
      <x:c r="M5258" t="n">
        <x:v>0</x:v>
      </x:c>
      <x:c r="N5258" t="str">
        <x:v>Fully Paid</x:v>
      </x:c>
      <x:c r="O5258" t="str">
        <x:f>IF(D5258="","Unknown",IF(D5258&lt;25000,"&lt;$25k",IF(D5258&lt;50000,"$25k-$50k",IF(D5258&lt;75000,"$50k-$75k",IF(D5258&lt;100000,"$75k-$100k","$100k+")))))</x:f>
        <x:v>$75k-$100k</x:v>
      </x:c>
      <x:c r="P5258" t="str">
        <x:f>IF(E5258="","Unknown",IF(E5258&lt;10,"&lt;10",IF(E5258&lt;20,"10-&lt;20",IF(E5258&lt;25,"20-&lt;25",IF(E5258&lt;35,"25-&lt;35","35+")))))</x:f>
        <x:v>20-&lt;25</x:v>
      </x:c>
    </x:row>
    <x:row r="5259">
      <x:c r="A5259" t="str">
        <x:v>SYN0005258</x:v>
      </x:c>
      <x:c r="B5259" s="12" t="n">
        <x:v>41335</x:v>
      </x:c>
      <x:c r="C5259" s="18" t="n">
        <x:v>15002</x:v>
      </x:c>
      <x:c r="D5259" s="18" t="n">
        <x:v>77159</x:v>
      </x:c>
      <x:c r="E5259" s="18" t="n">
        <x:v>29.07</x:v>
      </x:c>
      <x:c r="F5259" s="18" t="n">
        <x:v>6.72</x:v>
      </x:c>
      <x:c r="G5259" t="n">
        <x:v>36</x:v>
      </x:c>
      <x:c r="H5259" t="str">
        <x:v>B</x:v>
      </x:c>
      <x:c r="I5259" t="str">
        <x:v>7-9 years</x:v>
      </x:c>
      <x:c r="J5259" t="str">
        <x:v>MORTGAGE</x:v>
      </x:c>
      <x:c r="K5259" t="str">
        <x:v>debt_consolidation</x:v>
      </x:c>
      <x:c r="L5259" t="n">
        <x:v>0</x:v>
      </x:c>
      <x:c r="M5259" t="n">
        <x:v>0</x:v>
      </x:c>
      <x:c r="N5259" t="str">
        <x:v>Fully Paid</x:v>
      </x:c>
      <x:c r="O5259" t="str">
        <x:f>IF(D5259="","Unknown",IF(D5259&lt;25000,"&lt;$25k",IF(D5259&lt;50000,"$25k-$50k",IF(D5259&lt;75000,"$50k-$75k",IF(D5259&lt;100000,"$75k-$100k","$100k+")))))</x:f>
        <x:v>$75k-$100k</x:v>
      </x:c>
      <x:c r="P5259" t="str">
        <x:f>IF(E5259="","Unknown",IF(E5259&lt;10,"&lt;10",IF(E5259&lt;20,"10-&lt;20",IF(E5259&lt;25,"20-&lt;25",IF(E5259&lt;35,"25-&lt;35","35+")))))</x:f>
        <x:v>25-&lt;35</x:v>
      </x:c>
    </x:row>
    <x:row r="5260">
      <x:c r="A5260" t="str">
        <x:v>SYN0005259</x:v>
      </x:c>
      <x:c r="B5260" s="12" t="n">
        <x:v>43345</x:v>
      </x:c>
      <x:c r="C5260" s="18" t="n">
        <x:v>6494</x:v>
      </x:c>
      <x:c r="D5260" s="18" t="n">
        <x:v>57053</x:v>
      </x:c>
      <x:c r="E5260" s="18" t="n">
        <x:v>24.99</x:v>
      </x:c>
      <x:c r="F5260" s="18" t="n">
        <x:v>23.43</x:v>
      </x:c>
      <x:c r="G5260" t="n">
        <x:v>36</x:v>
      </x:c>
      <x:c r="H5260" t="str">
        <x:v>F</x:v>
      </x:c>
      <x:c r="I5260" t="str">
        <x:v>10+ years</x:v>
      </x:c>
      <x:c r="J5260" t="str">
        <x:v>RENT</x:v>
      </x:c>
      <x:c r="K5260" t="str">
        <x:v>major_purchase</x:v>
      </x:c>
      <x:c r="L5260" t="n">
        <x:v>1</x:v>
      </x:c>
      <x:c r="M5260" t="n">
        <x:v>0</x:v>
      </x:c>
      <x:c r="N5260" t="str">
        <x:v>Fully Paid</x:v>
      </x:c>
      <x:c r="O5260" t="str">
        <x:f>IF(D5260="","Unknown",IF(D5260&lt;25000,"&lt;$25k",IF(D5260&lt;50000,"$25k-$50k",IF(D5260&lt;75000,"$50k-$75k",IF(D5260&lt;100000,"$75k-$100k","$100k+")))))</x:f>
        <x:v>$50k-$75k</x:v>
      </x:c>
      <x:c r="P5260" t="str">
        <x:f>IF(E5260="","Unknown",IF(E5260&lt;10,"&lt;10",IF(E5260&lt;20,"10-&lt;20",IF(E5260&lt;25,"20-&lt;25",IF(E5260&lt;35,"25-&lt;35","35+")))))</x:f>
        <x:v>20-&lt;25</x:v>
      </x:c>
    </x:row>
    <x:row r="5261">
      <x:c r="A5261" t="str">
        <x:v>SYN0005260</x:v>
      </x:c>
      <x:c r="B5261" s="12" t="n">
        <x:v>42895</x:v>
      </x:c>
      <x:c r="C5261" s="18" t="n">
        <x:v>25507</x:v>
      </x:c>
      <x:c r="D5261" s="18" t="n">
        <x:v>33063</x:v>
      </x:c>
      <x:c r="E5261" s="18" t="n">
        <x:v>15.92</x:v>
      </x:c>
      <x:c r="F5261" s="18" t="n">
        <x:v>8.4</x:v>
      </x:c>
      <x:c r="G5261" t="n">
        <x:v>36</x:v>
      </x:c>
      <x:c r="H5261" t="str">
        <x:v>A</x:v>
      </x:c>
      <x:c r="I5261" t="str">
        <x:v>4-6 years</x:v>
      </x:c>
      <x:c r="J5261" t="str">
        <x:v>MORTGAGE</x:v>
      </x:c>
      <x:c r="K5261" t="str">
        <x:v>credit_card</x:v>
      </x:c>
      <x:c r="L5261" t="n">
        <x:v>0</x:v>
      </x:c>
      <x:c r="M5261" t="n">
        <x:v>0</x:v>
      </x:c>
      <x:c r="N5261" t="str">
        <x:v>Fully Paid</x:v>
      </x:c>
      <x:c r="O5261" t="str">
        <x:f>IF(D5261="","Unknown",IF(D5261&lt;25000,"&lt;$25k",IF(D5261&lt;50000,"$25k-$50k",IF(D5261&lt;75000,"$50k-$75k",IF(D5261&lt;100000,"$75k-$100k","$100k+")))))</x:f>
        <x:v>$25k-$50k</x:v>
      </x:c>
      <x:c r="P5261" t="str">
        <x:f>IF(E5261="","Unknown",IF(E5261&lt;10,"&lt;10",IF(E5261&lt;20,"10-&lt;20",IF(E5261&lt;25,"20-&lt;25",IF(E5261&lt;35,"25-&lt;35","35+")))))</x:f>
        <x:v>10-&lt;20</x:v>
      </x:c>
    </x:row>
    <x:row r="5262">
      <x:c r="A5262" t="str">
        <x:v>SYN0005261</x:v>
      </x:c>
      <x:c r="B5262" s="12" t="n">
        <x:v>41665</x:v>
      </x:c>
      <x:c r="C5262" s="18" t="n">
        <x:v>7313</x:v>
      </x:c>
      <x:c r="D5262" s="18" t="n">
        <x:v>78720</x:v>
      </x:c>
      <x:c r="E5262" s="18" t="n">
        <x:v>28.69</x:v>
      </x:c>
      <x:c r="F5262" s="18" t="n">
        <x:v>9.88</x:v>
      </x:c>
      <x:c r="G5262" t="n">
        <x:v>36</x:v>
      </x:c>
      <x:c r="H5262" t="str">
        <x:v>C</x:v>
      </x:c>
      <x:c r="I5262" t="str">
        <x:v>10+ years</x:v>
      </x:c>
      <x:c r="J5262" t="str">
        <x:v>RENT</x:v>
      </x:c>
      <x:c r="K5262" t="str">
        <x:v>debt_consolidation</x:v>
      </x:c>
      <x:c r="L5262" t="n">
        <x:v>0</x:v>
      </x:c>
      <x:c r="M5262" t="n">
        <x:v>0</x:v>
      </x:c>
      <x:c r="N5262" t="str">
        <x:v>Fully Paid</x:v>
      </x:c>
      <x:c r="O5262" t="str">
        <x:f>IF(D5262="","Unknown",IF(D5262&lt;25000,"&lt;$25k",IF(D5262&lt;50000,"$25k-$50k",IF(D5262&lt;75000,"$50k-$75k",IF(D5262&lt;100000,"$75k-$100k","$100k+")))))</x:f>
        <x:v>$75k-$100k</x:v>
      </x:c>
      <x:c r="P5262" t="str">
        <x:f>IF(E5262="","Unknown",IF(E5262&lt;10,"&lt;10",IF(E5262&lt;20,"10-&lt;20",IF(E5262&lt;25,"20-&lt;25",IF(E5262&lt;35,"25-&lt;35","35+")))))</x:f>
        <x:v>25-&lt;35</x:v>
      </x:c>
    </x:row>
    <x:row r="5263">
      <x:c r="A5263" t="str">
        <x:v>SYN0005262</x:v>
      </x:c>
      <x:c r="B5263" s="12" t="n">
        <x:v>42985</x:v>
      </x:c>
      <x:c r="C5263" s="18" t="n">
        <x:v>13664</x:v>
      </x:c>
      <x:c r="D5263" s="18" t="n">
        <x:v>72415</x:v>
      </x:c>
      <x:c r="E5263" s="18" t="n">
        <x:v>9.08</x:v>
      </x:c>
      <x:c r="F5263" s="18" t="n">
        <x:v>13.27</x:v>
      </x:c>
      <x:c r="G5263" t="n">
        <x:v>36</x:v>
      </x:c>
      <x:c r="H5263" t="str">
        <x:v>C</x:v>
      </x:c>
      <x:c r="I5263" t="str">
        <x:v>1-3 years</x:v>
      </x:c>
      <x:c r="J5263" t="str">
        <x:v>RENT</x:v>
      </x:c>
      <x:c r="K5263" t="str">
        <x:v>medical</x:v>
      </x:c>
      <x:c r="L5263" t="n">
        <x:v>2</x:v>
      </x:c>
      <x:c r="M5263" t="n">
        <x:v>0</x:v>
      </x:c>
      <x:c r="N5263" t="str">
        <x:v>Fully Paid</x:v>
      </x:c>
      <x:c r="O5263" t="str">
        <x:f>IF(D5263="","Unknown",IF(D5263&lt;25000,"&lt;$25k",IF(D5263&lt;50000,"$25k-$50k",IF(D5263&lt;75000,"$50k-$75k",IF(D5263&lt;100000,"$75k-$100k","$100k+")))))</x:f>
        <x:v>$50k-$75k</x:v>
      </x:c>
      <x:c r="P5263" t="str">
        <x:f>IF(E5263="","Unknown",IF(E5263&lt;10,"&lt;10",IF(E5263&lt;20,"10-&lt;20",IF(E5263&lt;25,"20-&lt;25",IF(E5263&lt;35,"25-&lt;35","35+")))))</x:f>
        <x:v>&lt;10</x:v>
      </x:c>
    </x:row>
    <x:row r="5264">
      <x:c r="A5264" t="str">
        <x:v>SYN0005263</x:v>
      </x:c>
      <x:c r="B5264" s="12" t="n">
        <x:v>42925</x:v>
      </x:c>
      <x:c r="C5264" s="18" t="n">
        <x:v>14298</x:v>
      </x:c>
      <x:c r="D5264" s="18" t="n">
        <x:v>90544</x:v>
      </x:c>
      <x:c r="E5264" s="18" t="n">
        <x:v>17.58</x:v>
      </x:c>
      <x:c r="F5264" s="18" t="n">
        <x:v>13.51</x:v>
      </x:c>
      <x:c r="G5264" t="n">
        <x:v>60</x:v>
      </x:c>
      <x:c r="H5264" t="str">
        <x:v>C</x:v>
      </x:c>
      <x:c r="I5264" t="str">
        <x:v>4-6 years</x:v>
      </x:c>
      <x:c r="J5264" t="str">
        <x:v>OWN</x:v>
      </x:c>
      <x:c r="K5264" t="str">
        <x:v>home_improvement</x:v>
      </x:c>
      <x:c r="L5264" t="n">
        <x:v>1</x:v>
      </x:c>
      <x:c r="M5264" t="n">
        <x:v>0</x:v>
      </x:c>
      <x:c r="N5264" t="str">
        <x:v>Fully Paid</x:v>
      </x:c>
      <x:c r="O5264" t="str">
        <x:f>IF(D5264="","Unknown",IF(D5264&lt;25000,"&lt;$25k",IF(D5264&lt;50000,"$25k-$50k",IF(D5264&lt;75000,"$50k-$75k",IF(D5264&lt;100000,"$75k-$100k","$100k+")))))</x:f>
        <x:v>$75k-$100k</x:v>
      </x:c>
      <x:c r="P5264" t="str">
        <x:f>IF(E5264="","Unknown",IF(E5264&lt;10,"&lt;10",IF(E5264&lt;20,"10-&lt;20",IF(E5264&lt;25,"20-&lt;25",IF(E5264&lt;35,"25-&lt;35","35+")))))</x:f>
        <x:v>10-&lt;20</x:v>
      </x:c>
    </x:row>
    <x:row r="5265">
      <x:c r="A5265" t="str">
        <x:v>SYN0005264</x:v>
      </x:c>
      <x:c r="B5265" s="12" t="n">
        <x:v>42475</x:v>
      </x:c>
      <x:c r="C5265" s="18" t="n">
        <x:v>25334</x:v>
      </x:c>
      <x:c r="D5265" s="18" t="n">
        <x:v>37479</x:v>
      </x:c>
      <x:c r="E5265" s="18" t="n">
        <x:v>25.37</x:v>
      </x:c>
      <x:c r="F5265" s="18" t="n">
        <x:v>11.7</x:v>
      </x:c>
      <x:c r="G5265" t="n">
        <x:v>60</x:v>
      </x:c>
      <x:c r="H5265" t="str">
        <x:v>C</x:v>
      </x:c>
      <x:c r="I5265" t="str">
        <x:v>7-9 years</x:v>
      </x:c>
      <x:c r="J5265" t="str">
        <x:v>RENT</x:v>
      </x:c>
      <x:c r="K5265" t="str">
        <x:v>debt_consolidation</x:v>
      </x:c>
      <x:c r="L5265" t="n">
        <x:v>1</x:v>
      </x:c>
      <x:c r="M5265" t="n">
        <x:v>0</x:v>
      </x:c>
      <x:c r="N5265" t="str">
        <x:v>Fully Paid</x:v>
      </x:c>
      <x:c r="O5265" t="str">
        <x:f>IF(D5265="","Unknown",IF(D5265&lt;25000,"&lt;$25k",IF(D5265&lt;50000,"$25k-$50k",IF(D5265&lt;75000,"$50k-$75k",IF(D5265&lt;100000,"$75k-$100k","$100k+")))))</x:f>
        <x:v>$25k-$50k</x:v>
      </x:c>
      <x:c r="P5265" t="str">
        <x:f>IF(E5265="","Unknown",IF(E5265&lt;10,"&lt;10",IF(E5265&lt;20,"10-&lt;20",IF(E5265&lt;25,"20-&lt;25",IF(E5265&lt;35,"25-&lt;35","35+")))))</x:f>
        <x:v>25-&lt;35</x:v>
      </x:c>
    </x:row>
    <x:row r="5266">
      <x:c r="A5266" t="str">
        <x:v>SYN0005265</x:v>
      </x:c>
      <x:c r="B5266" s="12" t="n">
        <x:v>43105</x:v>
      </x:c>
      <x:c r="C5266" s="18" t="n">
        <x:v>8596</x:v>
      </x:c>
      <x:c r="D5266" s="18" t="n">
        <x:v>111883</x:v>
      </x:c>
      <x:c r="E5266" s="18" t="n">
        <x:v>12.27</x:v>
      </x:c>
      <x:c r="F5266" s="18" t="n">
        <x:v>7.41</x:v>
      </x:c>
      <x:c r="G5266" t="n">
        <x:v>36</x:v>
      </x:c>
      <x:c r="H5266" t="str">
        <x:v>A</x:v>
      </x:c>
      <x:c r="I5266" t="str">
        <x:v>&lt;1 year</x:v>
      </x:c>
      <x:c r="J5266" t="str">
        <x:v>MORTGAGE</x:v>
      </x:c>
      <x:c r="K5266" t="str">
        <x:v>home_improvement</x:v>
      </x:c>
      <x:c r="L5266" t="n">
        <x:v>0</x:v>
      </x:c>
      <x:c r="M5266" t="n">
        <x:v>0</x:v>
      </x:c>
      <x:c r="N5266" t="str">
        <x:v>Fully Paid</x:v>
      </x:c>
      <x:c r="O5266" t="str">
        <x:f>IF(D5266="","Unknown",IF(D5266&lt;25000,"&lt;$25k",IF(D5266&lt;50000,"$25k-$50k",IF(D5266&lt;75000,"$50k-$75k",IF(D5266&lt;100000,"$75k-$100k","$100k+")))))</x:f>
        <x:v>$100k+</x:v>
      </x:c>
      <x:c r="P5266" t="str">
        <x:f>IF(E5266="","Unknown",IF(E5266&lt;10,"&lt;10",IF(E5266&lt;20,"10-&lt;20",IF(E5266&lt;25,"20-&lt;25",IF(E5266&lt;35,"25-&lt;35","35+")))))</x:f>
        <x:v>10-&lt;20</x:v>
      </x:c>
    </x:row>
    <x:row r="5267">
      <x:c r="A5267" t="str">
        <x:v>SYN0005266</x:v>
      </x:c>
      <x:c r="B5267" s="12" t="n">
        <x:v>41995</x:v>
      </x:c>
      <x:c r="C5267" s="18" t="n">
        <x:v>30822</x:v>
      </x:c>
      <x:c r="D5267" s="18" t="n">
        <x:v>25588</x:v>
      </x:c>
      <x:c r="E5267" s="18" t="n">
        <x:v>6.57</x:v>
      </x:c>
      <x:c r="F5267" s="18" t="n">
        <x:v>8.28</x:v>
      </x:c>
      <x:c r="G5267" t="n">
        <x:v>36</x:v>
      </x:c>
      <x:c r="H5267" t="str">
        <x:v>B</x:v>
      </x:c>
      <x:c r="I5267" t="str">
        <x:v>4-6 years</x:v>
      </x:c>
      <x:c r="J5267" t="str">
        <x:v>MORTGAGE</x:v>
      </x:c>
      <x:c r="K5267" t="str">
        <x:v>debt_consolidation</x:v>
      </x:c>
      <x:c r="L5267" t="n">
        <x:v>1</x:v>
      </x:c>
      <x:c r="M5267" t="n">
        <x:v>0</x:v>
      </x:c>
      <x:c r="N5267" t="str">
        <x:v>Fully Paid</x:v>
      </x:c>
      <x:c r="O5267" t="str">
        <x:f>IF(D5267="","Unknown",IF(D5267&lt;25000,"&lt;$25k",IF(D5267&lt;50000,"$25k-$50k",IF(D5267&lt;75000,"$50k-$75k",IF(D5267&lt;100000,"$75k-$100k","$100k+")))))</x:f>
        <x:v>$25k-$50k</x:v>
      </x:c>
      <x:c r="P5267" t="str">
        <x:f>IF(E5267="","Unknown",IF(E5267&lt;10,"&lt;10",IF(E5267&lt;20,"10-&lt;20",IF(E5267&lt;25,"20-&lt;25",IF(E5267&lt;35,"25-&lt;35","35+")))))</x:f>
        <x:v>&lt;10</x:v>
      </x:c>
    </x:row>
    <x:row r="5268">
      <x:c r="A5268" t="str">
        <x:v>SYN0005267</x:v>
      </x:c>
      <x:c r="B5268" s="12" t="n">
        <x:v>41635</x:v>
      </x:c>
      <x:c r="C5268" s="18" t="n">
        <x:v>10572</x:v>
      </x:c>
      <x:c r="D5268" s="18" t="n">
        <x:v>123979</x:v>
      </x:c>
      <x:c r="E5268" s="18" t="n">
        <x:v>20.27</x:v>
      </x:c>
      <x:c r="F5268" s="18" t="n">
        <x:v>11.46</x:v>
      </x:c>
      <x:c r="G5268" t="n">
        <x:v>36</x:v>
      </x:c>
      <x:c r="H5268" t="str">
        <x:v>D</x:v>
      </x:c>
      <x:c r="I5268" t="str">
        <x:v>1-3 years</x:v>
      </x:c>
      <x:c r="J5268" t="str">
        <x:v>MORTGAGE</x:v>
      </x:c>
      <x:c r="K5268" t="str">
        <x:v>debt_consolidation</x:v>
      </x:c>
      <x:c r="L5268" t="n">
        <x:v>0</x:v>
      </x:c>
      <x:c r="M5268" t="n">
        <x:v>0</x:v>
      </x:c>
      <x:c r="N5268" t="str">
        <x:v>Fully Paid</x:v>
      </x:c>
      <x:c r="O5268" t="str">
        <x:f>IF(D5268="","Unknown",IF(D5268&lt;25000,"&lt;$25k",IF(D5268&lt;50000,"$25k-$50k",IF(D5268&lt;75000,"$50k-$75k",IF(D5268&lt;100000,"$75k-$100k","$100k+")))))</x:f>
        <x:v>$100k+</x:v>
      </x:c>
      <x:c r="P5268" t="str">
        <x:f>IF(E5268="","Unknown",IF(E5268&lt;10,"&lt;10",IF(E5268&lt;20,"10-&lt;20",IF(E5268&lt;25,"20-&lt;25",IF(E5268&lt;35,"25-&lt;35","35+")))))</x:f>
        <x:v>20-&lt;25</x:v>
      </x:c>
    </x:row>
    <x:row r="5269">
      <x:c r="A5269" t="str">
        <x:v>SYN0005268</x:v>
      </x:c>
      <x:c r="B5269" s="12" t="n">
        <x:v>41815</x:v>
      </x:c>
      <x:c r="C5269" s="18" t="n">
        <x:v>9035</x:v>
      </x:c>
      <x:c r="D5269" s="18" t="n">
        <x:v>43367</x:v>
      </x:c>
      <x:c r="E5269" s="18" t="n">
        <x:v>4.95</x:v>
      </x:c>
      <x:c r="F5269" s="18" t="n">
        <x:v>7.08</x:v>
      </x:c>
      <x:c r="G5269" t="n">
        <x:v>36</x:v>
      </x:c>
      <x:c r="H5269" t="str">
        <x:v>B</x:v>
      </x:c>
      <x:c r="I5269" t="str">
        <x:v>10+ years</x:v>
      </x:c>
      <x:c r="J5269" t="str">
        <x:v>MORTGAGE</x:v>
      </x:c>
      <x:c r="K5269" t="str">
        <x:v>other</x:v>
      </x:c>
      <x:c r="L5269" t="n">
        <x:v>1</x:v>
      </x:c>
      <x:c r="M5269" t="n">
        <x:v>0</x:v>
      </x:c>
      <x:c r="N5269" t="str">
        <x:v>Fully Paid</x:v>
      </x:c>
      <x:c r="O5269" t="str">
        <x:f>IF(D5269="","Unknown",IF(D5269&lt;25000,"&lt;$25k",IF(D5269&lt;50000,"$25k-$50k",IF(D5269&lt;75000,"$50k-$75k",IF(D5269&lt;100000,"$75k-$100k","$100k+")))))</x:f>
        <x:v>$25k-$50k</x:v>
      </x:c>
      <x:c r="P5269" t="str">
        <x:f>IF(E5269="","Unknown",IF(E5269&lt;10,"&lt;10",IF(E5269&lt;20,"10-&lt;20",IF(E5269&lt;25,"20-&lt;25",IF(E5269&lt;35,"25-&lt;35","35+")))))</x:f>
        <x:v>&lt;10</x:v>
      </x:c>
    </x:row>
    <x:row r="5270">
      <x:c r="A5270" t="str">
        <x:v>SYN0005269</x:v>
      </x:c>
      <x:c r="B5270" s="12" t="n">
        <x:v>43105</x:v>
      </x:c>
      <x:c r="C5270" s="18" t="n">
        <x:v>14667</x:v>
      </x:c>
      <x:c r="D5270" s="18" t="n">
        <x:v>14271</x:v>
      </x:c>
      <x:c r="E5270" s="18" t="n">
        <x:v>21.51</x:v>
      </x:c>
      <x:c r="F5270" s="18" t="n">
        <x:v>8.22</x:v>
      </x:c>
      <x:c r="G5270" t="n">
        <x:v>36</x:v>
      </x:c>
      <x:c r="H5270" t="str">
        <x:v>A</x:v>
      </x:c>
      <x:c r="I5270" t="str">
        <x:v>7-9 years</x:v>
      </x:c>
      <x:c r="J5270" t="str">
        <x:v>RENT</x:v>
      </x:c>
      <x:c r="K5270" t="str">
        <x:v>debt_consolidation</x:v>
      </x:c>
      <x:c r="L5270" t="n">
        <x:v>0</x:v>
      </x:c>
      <x:c r="M5270" t="n">
        <x:v>0</x:v>
      </x:c>
      <x:c r="N5270" t="str">
        <x:v>Fully Paid</x:v>
      </x:c>
      <x:c r="O5270" t="str">
        <x:f>IF(D5270="","Unknown",IF(D5270&lt;25000,"&lt;$25k",IF(D5270&lt;50000,"$25k-$50k",IF(D5270&lt;75000,"$50k-$75k",IF(D5270&lt;100000,"$75k-$100k","$100k+")))))</x:f>
        <x:v>&lt;$25k</x:v>
      </x:c>
      <x:c r="P5270" t="str">
        <x:f>IF(E5270="","Unknown",IF(E5270&lt;10,"&lt;10",IF(E5270&lt;20,"10-&lt;20",IF(E5270&lt;25,"20-&lt;25",IF(E5270&lt;35,"25-&lt;35","35+")))))</x:f>
        <x:v>20-&lt;25</x:v>
      </x:c>
    </x:row>
    <x:row r="5271">
      <x:c r="A5271" t="str">
        <x:v>SYN0005270</x:v>
      </x:c>
      <x:c r="B5271" s="12" t="n">
        <x:v>42835</x:v>
      </x:c>
      <x:c r="C5271" s="18" t="n">
        <x:v>17101</x:v>
      </x:c>
      <x:c r="D5271" s="18" t="n">
        <x:v>19701</x:v>
      </x:c>
      <x:c r="E5271" s="18" t="n">
        <x:v>29.19</x:v>
      </x:c>
      <x:c r="F5271" s="18" t="n">
        <x:v>21.26</x:v>
      </x:c>
      <x:c r="G5271" t="n">
        <x:v>36</x:v>
      </x:c>
      <x:c r="H5271" t="str">
        <x:v>F</x:v>
      </x:c>
      <x:c r="I5271" t="str">
        <x:v>7-9 years</x:v>
      </x:c>
      <x:c r="J5271" t="str">
        <x:v>MORTGAGE</x:v>
      </x:c>
      <x:c r="K5271" t="str">
        <x:v>debt_consolidation</x:v>
      </x:c>
      <x:c r="L5271" t="n">
        <x:v>2</x:v>
      </x:c>
      <x:c r="M5271" t="n">
        <x:v>0</x:v>
      </x:c>
      <x:c r="N5271" t="str">
        <x:v>Fully Paid</x:v>
      </x:c>
      <x:c r="O5271" t="str">
        <x:f>IF(D5271="","Unknown",IF(D5271&lt;25000,"&lt;$25k",IF(D5271&lt;50000,"$25k-$50k",IF(D5271&lt;75000,"$50k-$75k",IF(D5271&lt;100000,"$75k-$100k","$100k+")))))</x:f>
        <x:v>&lt;$25k</x:v>
      </x:c>
      <x:c r="P5271" t="str">
        <x:f>IF(E5271="","Unknown",IF(E5271&lt;10,"&lt;10",IF(E5271&lt;20,"10-&lt;20",IF(E5271&lt;25,"20-&lt;25",IF(E5271&lt;35,"25-&lt;35","35+")))))</x:f>
        <x:v>25-&lt;35</x:v>
      </x:c>
    </x:row>
    <x:row r="5272">
      <x:c r="A5272" t="str">
        <x:v>SYN0005271</x:v>
      </x:c>
      <x:c r="B5272" s="12" t="n">
        <x:v>41635</x:v>
      </x:c>
      <x:c r="C5272" s="18" t="n">
        <x:v>9834</x:v>
      </x:c>
      <x:c r="D5272" s="18" t="n">
        <x:v>137944</x:v>
      </x:c>
      <x:c r="E5272" s="18" t="n">
        <x:v>26.67</x:v>
      </x:c>
      <x:c r="F5272" s="18" t="n">
        <x:v>13.95</x:v>
      </x:c>
      <x:c r="G5272" t="n">
        <x:v>36</x:v>
      </x:c>
      <x:c r="H5272" t="str">
        <x:v>D</x:v>
      </x:c>
      <x:c r="I5272" t="str">
        <x:v>10+ years</x:v>
      </x:c>
      <x:c r="J5272" t="str">
        <x:v>RENT</x:v>
      </x:c>
      <x:c r="K5272" t="str">
        <x:v>debt_consolidation</x:v>
      </x:c>
      <x:c r="L5272" t="n">
        <x:v>0</x:v>
      </x:c>
      <x:c r="M5272" t="n">
        <x:v>0</x:v>
      </x:c>
      <x:c r="N5272" t="str">
        <x:v>Fully Paid</x:v>
      </x:c>
      <x:c r="O5272" t="str">
        <x:f>IF(D5272="","Unknown",IF(D5272&lt;25000,"&lt;$25k",IF(D5272&lt;50000,"$25k-$50k",IF(D5272&lt;75000,"$50k-$75k",IF(D5272&lt;100000,"$75k-$100k","$100k+")))))</x:f>
        <x:v>$100k+</x:v>
      </x:c>
      <x:c r="P5272" t="str">
        <x:f>IF(E5272="","Unknown",IF(E5272&lt;10,"&lt;10",IF(E5272&lt;20,"10-&lt;20",IF(E5272&lt;25,"20-&lt;25",IF(E5272&lt;35,"25-&lt;35","35+")))))</x:f>
        <x:v>25-&lt;35</x:v>
      </x:c>
    </x:row>
    <x:row r="5273">
      <x:c r="A5273" t="str">
        <x:v>SYN0005272</x:v>
      </x:c>
      <x:c r="B5273" s="12" t="n">
        <x:v>42505</x:v>
      </x:c>
      <x:c r="C5273" s="18" t="n">
        <x:v>6197</x:v>
      </x:c>
      <x:c r="D5273" s="18" t="n">
        <x:v>91534</x:v>
      </x:c>
      <x:c r="E5273" s="18" t="n">
        <x:v>16.88</x:v>
      </x:c>
      <x:c r="F5273" s="18" t="n">
        <x:v>5.6</x:v>
      </x:c>
      <x:c r="G5273" t="n">
        <x:v>60</x:v>
      </x:c>
      <x:c r="H5273" t="str">
        <x:v>B</x:v>
      </x:c>
      <x:c r="I5273" t="str">
        <x:v>4-6 years</x:v>
      </x:c>
      <x:c r="J5273" t="str">
        <x:v>RENT</x:v>
      </x:c>
      <x:c r="K5273" t="str">
        <x:v>other</x:v>
      </x:c>
      <x:c r="L5273" t="n">
        <x:v>1</x:v>
      </x:c>
      <x:c r="M5273" t="n">
        <x:v>0</x:v>
      </x:c>
      <x:c r="N5273" t="str">
        <x:v>Fully Paid</x:v>
      </x:c>
      <x:c r="O5273" t="str">
        <x:f>IF(D5273="","Unknown",IF(D5273&lt;25000,"&lt;$25k",IF(D5273&lt;50000,"$25k-$50k",IF(D5273&lt;75000,"$50k-$75k",IF(D5273&lt;100000,"$75k-$100k","$100k+")))))</x:f>
        <x:v>$75k-$100k</x:v>
      </x:c>
      <x:c r="P5273" t="str">
        <x:f>IF(E5273="","Unknown",IF(E5273&lt;10,"&lt;10",IF(E5273&lt;20,"10-&lt;20",IF(E5273&lt;25,"20-&lt;25",IF(E5273&lt;35,"25-&lt;35","35+")))))</x:f>
        <x:v>10-&lt;20</x:v>
      </x:c>
    </x:row>
    <x:row r="5274">
      <x:c r="A5274" t="str">
        <x:v>SYN0005273</x:v>
      </x:c>
      <x:c r="B5274" s="12" t="n">
        <x:v>42715</x:v>
      </x:c>
      <x:c r="C5274" s="18" t="n">
        <x:v>7121</x:v>
      </x:c>
      <x:c r="D5274" s="18" t="n">
        <x:v>50663</x:v>
      </x:c>
      <x:c r="E5274" s="18" t="n">
        <x:v>12.35</x:v>
      </x:c>
      <x:c r="F5274" s="18" t="n">
        <x:v>5</x:v>
      </x:c>
      <x:c r="G5274" t="n">
        <x:v>36</x:v>
      </x:c>
      <x:c r="H5274" t="str">
        <x:v>A</x:v>
      </x:c>
      <x:c r="I5274" t="str">
        <x:v>1-3 years</x:v>
      </x:c>
      <x:c r="J5274" t="str">
        <x:v>RENT</x:v>
      </x:c>
      <x:c r="K5274" t="str">
        <x:v>major_purchase</x:v>
      </x:c>
      <x:c r="L5274" t="n">
        <x:v>0</x:v>
      </x:c>
      <x:c r="M5274" t="n">
        <x:v>0</x:v>
      </x:c>
      <x:c r="N5274" t="str">
        <x:v>Fully Paid</x:v>
      </x:c>
      <x:c r="O5274" t="str">
        <x:f>IF(D5274="","Unknown",IF(D5274&lt;25000,"&lt;$25k",IF(D5274&lt;50000,"$25k-$50k",IF(D5274&lt;75000,"$50k-$75k",IF(D5274&lt;100000,"$75k-$100k","$100k+")))))</x:f>
        <x:v>$50k-$75k</x:v>
      </x:c>
      <x:c r="P5274" t="str">
        <x:f>IF(E5274="","Unknown",IF(E5274&lt;10,"&lt;10",IF(E5274&lt;20,"10-&lt;20",IF(E5274&lt;25,"20-&lt;25",IF(E5274&lt;35,"25-&lt;35","35+")))))</x:f>
        <x:v>10-&lt;20</x:v>
      </x:c>
    </x:row>
    <x:row r="5275">
      <x:c r="A5275" t="str">
        <x:v>SYN0005274</x:v>
      </x:c>
      <x:c r="B5275" s="12" t="n">
        <x:v>43075</x:v>
      </x:c>
      <x:c r="C5275" s="18" t="n">
        <x:v>20432</x:v>
      </x:c>
      <x:c r="D5275" s="18" t="n">
        <x:v>30200</x:v>
      </x:c>
      <x:c r="E5275" s="18" t="n">
        <x:v>41.61</x:v>
      </x:c>
      <x:c r="F5275" s="18" t="n">
        <x:v>14.39</x:v>
      </x:c>
      <x:c r="G5275" t="n">
        <x:v>36</x:v>
      </x:c>
      <x:c r="H5275" t="str">
        <x:v>D</x:v>
      </x:c>
      <x:c r="I5275" t="str">
        <x:v>4-6 years</x:v>
      </x:c>
      <x:c r="J5275" t="str">
        <x:v>MORTGAGE</x:v>
      </x:c>
      <x:c r="K5275" t="str">
        <x:v>credit_card</x:v>
      </x:c>
      <x:c r="L5275" t="n">
        <x:v>0</x:v>
      </x:c>
      <x:c r="M5275" t="n">
        <x:v>0</x:v>
      </x:c>
      <x:c r="N5275" t="str">
        <x:v>Fully Paid</x:v>
      </x:c>
      <x:c r="O5275" t="str">
        <x:f>IF(D5275="","Unknown",IF(D5275&lt;25000,"&lt;$25k",IF(D5275&lt;50000,"$25k-$50k",IF(D5275&lt;75000,"$50k-$75k",IF(D5275&lt;100000,"$75k-$100k","$100k+")))))</x:f>
        <x:v>$25k-$50k</x:v>
      </x:c>
      <x:c r="P5275" t="str">
        <x:f>IF(E5275="","Unknown",IF(E5275&lt;10,"&lt;10",IF(E5275&lt;20,"10-&lt;20",IF(E5275&lt;25,"20-&lt;25",IF(E5275&lt;35,"25-&lt;35","35+")))))</x:f>
        <x:v>35+</x:v>
      </x:c>
    </x:row>
    <x:row r="5276">
      <x:c r="A5276" t="str">
        <x:v>SYN0005275</x:v>
      </x:c>
      <x:c r="B5276" s="12" t="n">
        <x:v>42145</x:v>
      </x:c>
      <x:c r="C5276" s="18" t="n">
        <x:v>9809</x:v>
      </x:c>
      <x:c r="D5276" s="18" t="n">
        <x:v>18946</x:v>
      </x:c>
      <x:c r="E5276" s="18" t="n">
        <x:v>19.98</x:v>
      </x:c>
      <x:c r="F5276" s="18" t="n">
        <x:v>13.07</x:v>
      </x:c>
      <x:c r="G5276" t="n">
        <x:v>60</x:v>
      </x:c>
      <x:c r="H5276" t="str">
        <x:v>D</x:v>
      </x:c>
      <x:c r="I5276" t="str">
        <x:v>&lt;1 year</x:v>
      </x:c>
      <x:c r="J5276" t="str">
        <x:v>MORTGAGE</x:v>
      </x:c>
      <x:c r="K5276" t="str">
        <x:v>credit_card</x:v>
      </x:c>
      <x:c r="L5276" t="n">
        <x:v>1</x:v>
      </x:c>
      <x:c r="M5276" t="n">
        <x:v>1</x:v>
      </x:c>
      <x:c r="N5276" t="str">
        <x:v>Charged Off</x:v>
      </x:c>
      <x:c r="O5276" t="str">
        <x:f>IF(D5276="","Unknown",IF(D5276&lt;25000,"&lt;$25k",IF(D5276&lt;50000,"$25k-$50k",IF(D5276&lt;75000,"$50k-$75k",IF(D5276&lt;100000,"$75k-$100k","$100k+")))))</x:f>
        <x:v>&lt;$25k</x:v>
      </x:c>
      <x:c r="P5276" t="str">
        <x:f>IF(E5276="","Unknown",IF(E5276&lt;10,"&lt;10",IF(E5276&lt;20,"10-&lt;20",IF(E5276&lt;25,"20-&lt;25",IF(E5276&lt;35,"25-&lt;35","35+")))))</x:f>
        <x:v>10-&lt;20</x:v>
      </x:c>
    </x:row>
    <x:row r="5277">
      <x:c r="A5277" t="str">
        <x:v>SYN0005276</x:v>
      </x:c>
      <x:c r="B5277" s="12" t="n">
        <x:v>42085</x:v>
      </x:c>
      <x:c r="C5277" s="18" t="n">
        <x:v>11967</x:v>
      </x:c>
      <x:c r="D5277" s="18" t="n">
        <x:v>51730</x:v>
      </x:c>
      <x:c r="E5277" s="18" t="n">
        <x:v>2.44</x:v>
      </x:c>
      <x:c r="F5277" s="18" t="n">
        <x:v>10.35</x:v>
      </x:c>
      <x:c r="G5277" t="n">
        <x:v>36</x:v>
      </x:c>
      <x:c r="H5277" t="str">
        <x:v>C</x:v>
      </x:c>
      <x:c r="I5277" t="str">
        <x:v>7-9 years</x:v>
      </x:c>
      <x:c r="J5277" t="str">
        <x:v>MORTGAGE</x:v>
      </x:c>
      <x:c r="K5277" t="str">
        <x:v>debt_consolidation</x:v>
      </x:c>
      <x:c r="L5277" t="n">
        <x:v>1</x:v>
      </x:c>
      <x:c r="M5277" t="n">
        <x:v>0</x:v>
      </x:c>
      <x:c r="N5277" t="str">
        <x:v>Fully Paid</x:v>
      </x:c>
      <x:c r="O5277" t="str">
        <x:f>IF(D5277="","Unknown",IF(D5277&lt;25000,"&lt;$25k",IF(D5277&lt;50000,"$25k-$50k",IF(D5277&lt;75000,"$50k-$75k",IF(D5277&lt;100000,"$75k-$100k","$100k+")))))</x:f>
        <x:v>$50k-$75k</x:v>
      </x:c>
      <x:c r="P5277" t="str">
        <x:f>IF(E5277="","Unknown",IF(E5277&lt;10,"&lt;10",IF(E5277&lt;20,"10-&lt;20",IF(E5277&lt;25,"20-&lt;25",IF(E5277&lt;35,"25-&lt;35","35+")))))</x:f>
        <x:v>&lt;10</x:v>
      </x:c>
    </x:row>
    <x:row r="5278">
      <x:c r="A5278" t="str">
        <x:v>SYN0005277</x:v>
      </x:c>
      <x:c r="B5278" s="12" t="n">
        <x:v>42925</x:v>
      </x:c>
      <x:c r="C5278" s="18" t="n">
        <x:v>17795</x:v>
      </x:c>
      <x:c r="D5278" s="18" t="n">
        <x:v>103496</x:v>
      </x:c>
      <x:c r="E5278" s="18" t="n">
        <x:v>21.1</x:v>
      </x:c>
      <x:c r="F5278" s="18" t="n">
        <x:v>9.62</x:v>
      </x:c>
      <x:c r="G5278" t="n">
        <x:v>36</x:v>
      </x:c>
      <x:c r="H5278" t="str">
        <x:v>B</x:v>
      </x:c>
      <x:c r="I5278" t="str">
        <x:v>4-6 years</x:v>
      </x:c>
      <x:c r="J5278" t="str">
        <x:v>RENT</x:v>
      </x:c>
      <x:c r="K5278" t="str">
        <x:v>medical</x:v>
      </x:c>
      <x:c r="L5278" t="n">
        <x:v>0</x:v>
      </x:c>
      <x:c r="M5278" t="n">
        <x:v>0</x:v>
      </x:c>
      <x:c r="N5278" t="str">
        <x:v>Fully Paid</x:v>
      </x:c>
      <x:c r="O5278" t="str">
        <x:f>IF(D5278="","Unknown",IF(D5278&lt;25000,"&lt;$25k",IF(D5278&lt;50000,"$25k-$50k",IF(D5278&lt;75000,"$50k-$75k",IF(D5278&lt;100000,"$75k-$100k","$100k+")))))</x:f>
        <x:v>$100k+</x:v>
      </x:c>
      <x:c r="P5278" t="str">
        <x:f>IF(E5278="","Unknown",IF(E5278&lt;10,"&lt;10",IF(E5278&lt;20,"10-&lt;20",IF(E5278&lt;25,"20-&lt;25",IF(E5278&lt;35,"25-&lt;35","35+")))))</x:f>
        <x:v>20-&lt;25</x:v>
      </x:c>
    </x:row>
    <x:row r="5279">
      <x:c r="A5279" t="str">
        <x:v>SYN0005278</x:v>
      </x:c>
      <x:c r="B5279" s="12" t="n">
        <x:v>43195</x:v>
      </x:c>
      <x:c r="C5279" s="18" t="n">
        <x:v>6563</x:v>
      </x:c>
      <x:c r="D5279" s="18" t="n">
        <x:v>53594</x:v>
      </x:c>
      <x:c r="E5279" s="18" t="n">
        <x:v>18.66</x:v>
      </x:c>
      <x:c r="F5279" s="18" t="n">
        <x:v>15.56</x:v>
      </x:c>
      <x:c r="G5279" t="n">
        <x:v>60</x:v>
      </x:c>
      <x:c r="H5279" t="str">
        <x:v>D</x:v>
      </x:c>
      <x:c r="I5279" t="str">
        <x:v>4-6 years</x:v>
      </x:c>
      <x:c r="J5279" t="str">
        <x:v>RENT</x:v>
      </x:c>
      <x:c r="K5279" t="str">
        <x:v>debt_consolidation</x:v>
      </x:c>
      <x:c r="L5279" t="n">
        <x:v>0</x:v>
      </x:c>
      <x:c r="M5279" t="n">
        <x:v>1</x:v>
      </x:c>
      <x:c r="N5279" t="str">
        <x:v>Charged Off</x:v>
      </x:c>
      <x:c r="O5279" t="str">
        <x:f>IF(D5279="","Unknown",IF(D5279&lt;25000,"&lt;$25k",IF(D5279&lt;50000,"$25k-$50k",IF(D5279&lt;75000,"$50k-$75k",IF(D5279&lt;100000,"$75k-$100k","$100k+")))))</x:f>
        <x:v>$50k-$75k</x:v>
      </x:c>
      <x:c r="P5279" t="str">
        <x:f>IF(E5279="","Unknown",IF(E5279&lt;10,"&lt;10",IF(E5279&lt;20,"10-&lt;20",IF(E5279&lt;25,"20-&lt;25",IF(E5279&lt;35,"25-&lt;35","35+")))))</x:f>
        <x:v>10-&lt;20</x:v>
      </x:c>
    </x:row>
    <x:row r="5280">
      <x:c r="A5280" t="str">
        <x:v>SYN0005279</x:v>
      </x:c>
      <x:c r="B5280" s="12" t="n">
        <x:v>42205</x:v>
      </x:c>
      <x:c r="C5280" s="18" t="n">
        <x:v>8777</x:v>
      </x:c>
      <x:c r="D5280" s="18" t="n">
        <x:v>39339</x:v>
      </x:c>
      <x:c r="E5280" s="18" t="n">
        <x:v>26.69</x:v>
      </x:c>
      <x:c r="F5280" s="18" t="n">
        <x:v>10.48</x:v>
      </x:c>
      <x:c r="G5280" t="n">
        <x:v>60</x:v>
      </x:c>
      <x:c r="H5280" t="str">
        <x:v>C</x:v>
      </x:c>
      <x:c r="I5280" t="str">
        <x:v>1-3 years</x:v>
      </x:c>
      <x:c r="J5280" t="str">
        <x:v>OWN</x:v>
      </x:c>
      <x:c r="K5280" t="str">
        <x:v>debt_consolidation</x:v>
      </x:c>
      <x:c r="L5280" t="n">
        <x:v>0</x:v>
      </x:c>
      <x:c r="M5280" t="n">
        <x:v>0</x:v>
      </x:c>
      <x:c r="N5280" t="str">
        <x:v>Fully Paid</x:v>
      </x:c>
      <x:c r="O5280" t="str">
        <x:f>IF(D5280="","Unknown",IF(D5280&lt;25000,"&lt;$25k",IF(D5280&lt;50000,"$25k-$50k",IF(D5280&lt;75000,"$50k-$75k",IF(D5280&lt;100000,"$75k-$100k","$100k+")))))</x:f>
        <x:v>$25k-$50k</x:v>
      </x:c>
      <x:c r="P5280" t="str">
        <x:f>IF(E5280="","Unknown",IF(E5280&lt;10,"&lt;10",IF(E5280&lt;20,"10-&lt;20",IF(E5280&lt;25,"20-&lt;25",IF(E5280&lt;35,"25-&lt;35","35+")))))</x:f>
        <x:v>25-&lt;35</x:v>
      </x:c>
    </x:row>
    <x:row r="5281">
      <x:c r="A5281" t="str">
        <x:v>SYN0005280</x:v>
      </x:c>
      <x:c r="B5281" s="12" t="n">
        <x:v>42355</x:v>
      </x:c>
      <x:c r="C5281" s="18" t="n">
        <x:v>29608</x:v>
      </x:c>
      <x:c r="D5281" s="18" t="n">
        <x:v>43384</x:v>
      </x:c>
      <x:c r="E5281" s="18" t="n">
        <x:v>18.81</x:v>
      </x:c>
      <x:c r="F5281" s="18" t="n">
        <x:v>11.8</x:v>
      </x:c>
      <x:c r="G5281" t="n">
        <x:v>60</x:v>
      </x:c>
      <x:c r="H5281" t="str">
        <x:v>C</x:v>
      </x:c>
      <x:c r="I5281" t="str">
        <x:v>7-9 years</x:v>
      </x:c>
      <x:c r="J5281" t="str">
        <x:v>MORTGAGE</x:v>
      </x:c>
      <x:c r="K5281" t="str">
        <x:v>debt_consolidation</x:v>
      </x:c>
      <x:c r="L5281" t="n">
        <x:v>1</x:v>
      </x:c>
      <x:c r="M5281" t="n">
        <x:v>1</x:v>
      </x:c>
      <x:c r="N5281" t="str">
        <x:v>Charged Off</x:v>
      </x:c>
      <x:c r="O5281" t="str">
        <x:f>IF(D5281="","Unknown",IF(D5281&lt;25000,"&lt;$25k",IF(D5281&lt;50000,"$25k-$50k",IF(D5281&lt;75000,"$50k-$75k",IF(D5281&lt;100000,"$75k-$100k","$100k+")))))</x:f>
        <x:v>$25k-$50k</x:v>
      </x:c>
      <x:c r="P5281" t="str">
        <x:f>IF(E5281="","Unknown",IF(E5281&lt;10,"&lt;10",IF(E5281&lt;20,"10-&lt;20",IF(E5281&lt;25,"20-&lt;25",IF(E5281&lt;35,"25-&lt;35","35+")))))</x:f>
        <x:v>10-&lt;20</x:v>
      </x:c>
    </x:row>
    <x:row r="5282">
      <x:c r="A5282" t="str">
        <x:v>SYN0005281</x:v>
      </x:c>
      <x:c r="B5282" s="12" t="n">
        <x:v>42895</x:v>
      </x:c>
      <x:c r="C5282" s="18" t="n">
        <x:v>11560</x:v>
      </x:c>
      <x:c r="D5282" s="18" t="n">
        <x:v>30530</x:v>
      </x:c>
      <x:c r="E5282" s="18" t="n">
        <x:v>25.58</x:v>
      </x:c>
      <x:c r="F5282" s="18" t="n">
        <x:v>16.63</x:v>
      </x:c>
      <x:c r="G5282" t="n">
        <x:v>60</x:v>
      </x:c>
      <x:c r="H5282" t="str">
        <x:v>D</x:v>
      </x:c>
      <x:c r="I5282" t="str">
        <x:v>10+ years</x:v>
      </x:c>
      <x:c r="J5282" t="str">
        <x:v>RENT</x:v>
      </x:c>
      <x:c r="K5282" t="str">
        <x:v>major_purchase</x:v>
      </x:c>
      <x:c r="L5282" t="n">
        <x:v>1</x:v>
      </x:c>
      <x:c r="M5282" t="n">
        <x:v>0</x:v>
      </x:c>
      <x:c r="N5282" t="str">
        <x:v>Fully Paid</x:v>
      </x:c>
      <x:c r="O5282" t="str">
        <x:f>IF(D5282="","Unknown",IF(D5282&lt;25000,"&lt;$25k",IF(D5282&lt;50000,"$25k-$50k",IF(D5282&lt;75000,"$50k-$75k",IF(D5282&lt;100000,"$75k-$100k","$100k+")))))</x:f>
        <x:v>$25k-$50k</x:v>
      </x:c>
      <x:c r="P5282" t="str">
        <x:f>IF(E5282="","Unknown",IF(E5282&lt;10,"&lt;10",IF(E5282&lt;20,"10-&lt;20",IF(E5282&lt;25,"20-&lt;25",IF(E5282&lt;35,"25-&lt;35","35+")))))</x:f>
        <x:v>25-&lt;35</x:v>
      </x:c>
    </x:row>
    <x:row r="5283">
      <x:c r="A5283" t="str">
        <x:v>SYN0005282</x:v>
      </x:c>
      <x:c r="B5283" s="12" t="n">
        <x:v>42595</x:v>
      </x:c>
      <x:c r="C5283" s="18" t="n">
        <x:v>11831</x:v>
      </x:c>
      <x:c r="D5283" s="18" t="n">
        <x:v>26327</x:v>
      </x:c>
      <x:c r="E5283" s="18" t="n">
        <x:v>21.91</x:v>
      </x:c>
      <x:c r="F5283" s="18" t="n">
        <x:v>18.1</x:v>
      </x:c>
      <x:c r="G5283" t="n">
        <x:v>60</x:v>
      </x:c>
      <x:c r="H5283" t="str">
        <x:v>E</x:v>
      </x:c>
      <x:c r="I5283" t="str">
        <x:v>10+ years</x:v>
      </x:c>
      <x:c r="J5283" t="str">
        <x:v>MORTGAGE</x:v>
      </x:c>
      <x:c r="K5283" t="str">
        <x:v>debt_consolidation</x:v>
      </x:c>
      <x:c r="L5283" t="n">
        <x:v>0</x:v>
      </x:c>
      <x:c r="M5283" t="n">
        <x:v>0</x:v>
      </x:c>
      <x:c r="N5283" t="str">
        <x:v>Fully Paid</x:v>
      </x:c>
      <x:c r="O5283" t="str">
        <x:f>IF(D5283="","Unknown",IF(D5283&lt;25000,"&lt;$25k",IF(D5283&lt;50000,"$25k-$50k",IF(D5283&lt;75000,"$50k-$75k",IF(D5283&lt;100000,"$75k-$100k","$100k+")))))</x:f>
        <x:v>$25k-$50k</x:v>
      </x:c>
      <x:c r="P5283" t="str">
        <x:f>IF(E5283="","Unknown",IF(E5283&lt;10,"&lt;10",IF(E5283&lt;20,"10-&lt;20",IF(E5283&lt;25,"20-&lt;25",IF(E5283&lt;35,"25-&lt;35","35+")))))</x:f>
        <x:v>20-&lt;25</x:v>
      </x:c>
    </x:row>
    <x:row r="5284">
      <x:c r="A5284" t="str">
        <x:v>SYN0005283</x:v>
      </x:c>
      <x:c r="B5284" s="12" t="n">
        <x:v>41845</x:v>
      </x:c>
      <x:c r="C5284" s="18" t="n">
        <x:v>10709</x:v>
      </x:c>
      <x:c r="D5284" s="18" t="n">
        <x:v>160043</x:v>
      </x:c>
      <x:c r="E5284" s="18" t="n">
        <x:v>23.65</x:v>
      </x:c>
      <x:c r="F5284" s="18" t="n">
        <x:v>8.29</x:v>
      </x:c>
      <x:c r="G5284" t="n">
        <x:v>36</x:v>
      </x:c>
      <x:c r="H5284" t="str">
        <x:v>C</x:v>
      </x:c>
      <x:c r="I5284" t="str">
        <x:v>10+ years</x:v>
      </x:c>
      <x:c r="J5284" t="str">
        <x:v>OTHER</x:v>
      </x:c>
      <x:c r="K5284" t="str">
        <x:v>other</x:v>
      </x:c>
      <x:c r="L5284" t="n">
        <x:v>0</x:v>
      </x:c>
      <x:c r="M5284" t="n">
        <x:v>0</x:v>
      </x:c>
      <x:c r="N5284" t="str">
        <x:v>Fully Paid</x:v>
      </x:c>
      <x:c r="O5284" t="str">
        <x:f>IF(D5284="","Unknown",IF(D5284&lt;25000,"&lt;$25k",IF(D5284&lt;50000,"$25k-$50k",IF(D5284&lt;75000,"$50k-$75k",IF(D5284&lt;100000,"$75k-$100k","$100k+")))))</x:f>
        <x:v>$100k+</x:v>
      </x:c>
      <x:c r="P5284" t="str">
        <x:f>IF(E5284="","Unknown",IF(E5284&lt;10,"&lt;10",IF(E5284&lt;20,"10-&lt;20",IF(E5284&lt;25,"20-&lt;25",IF(E5284&lt;35,"25-&lt;35","35+")))))</x:f>
        <x:v>20-&lt;25</x:v>
      </x:c>
    </x:row>
    <x:row r="5285">
      <x:c r="A5285" t="str">
        <x:v>SYN0005284</x:v>
      </x:c>
      <x:c r="B5285" s="12" t="n">
        <x:v>41395</x:v>
      </x:c>
      <x:c r="C5285" s="18" t="n">
        <x:v>12443</x:v>
      </x:c>
      <x:c r="D5285" s="18" t="n">
        <x:v>81119</x:v>
      </x:c>
      <x:c r="E5285" s="18" t="n">
        <x:v>22.47</x:v>
      </x:c>
      <x:c r="F5285" s="18" t="n">
        <x:v>28.18</x:v>
      </x:c>
      <x:c r="G5285" t="n">
        <x:v>36</x:v>
      </x:c>
      <x:c r="H5285" t="str">
        <x:v>G</x:v>
      </x:c>
      <x:c r="I5285" t="str">
        <x:v>7-9 years</x:v>
      </x:c>
      <x:c r="J5285" t="str">
        <x:v>RENT</x:v>
      </x:c>
      <x:c r="K5285" t="str">
        <x:v>other</x:v>
      </x:c>
      <x:c r="L5285" t="n">
        <x:v>3</x:v>
      </x:c>
      <x:c r="M5285" t="n">
        <x:v>1</x:v>
      </x:c>
      <x:c r="N5285" t="str">
        <x:v>Charged Off</x:v>
      </x:c>
      <x:c r="O5285" t="str">
        <x:f>IF(D5285="","Unknown",IF(D5285&lt;25000,"&lt;$25k",IF(D5285&lt;50000,"$25k-$50k",IF(D5285&lt;75000,"$50k-$75k",IF(D5285&lt;100000,"$75k-$100k","$100k+")))))</x:f>
        <x:v>$75k-$100k</x:v>
      </x:c>
      <x:c r="P5285" t="str">
        <x:f>IF(E5285="","Unknown",IF(E5285&lt;10,"&lt;10",IF(E5285&lt;20,"10-&lt;20",IF(E5285&lt;25,"20-&lt;25",IF(E5285&lt;35,"25-&lt;35","35+")))))</x:f>
        <x:v>20-&lt;25</x:v>
      </x:c>
    </x:row>
    <x:row r="5286">
      <x:c r="A5286" t="str">
        <x:v>SYN0005285</x:v>
      </x:c>
      <x:c r="B5286" s="12" t="n">
        <x:v>42655</x:v>
      </x:c>
      <x:c r="C5286" s="18" t="n">
        <x:v>7813</x:v>
      </x:c>
      <x:c r="D5286" s="18" t="n">
        <x:v>165220</x:v>
      </x:c>
      <x:c r="E5286" s="18" t="n">
        <x:v>28.15</x:v>
      </x:c>
      <x:c r="F5286" s="18" t="n">
        <x:v>9.46</x:v>
      </x:c>
      <x:c r="G5286" t="n">
        <x:v>36</x:v>
      </x:c>
      <x:c r="H5286" t="str">
        <x:v>B</x:v>
      </x:c>
      <x:c r="I5286" t="str">
        <x:v>&lt;1 year</x:v>
      </x:c>
      <x:c r="J5286" t="str">
        <x:v>RENT</x:v>
      </x:c>
      <x:c r="K5286" t="str">
        <x:v>debt_consolidation</x:v>
      </x:c>
      <x:c r="L5286" t="n">
        <x:v>0</x:v>
      </x:c>
      <x:c r="M5286" t="n">
        <x:v>0</x:v>
      </x:c>
      <x:c r="N5286" t="str">
        <x:v>Fully Paid</x:v>
      </x:c>
      <x:c r="O5286" t="str">
        <x:f>IF(D5286="","Unknown",IF(D5286&lt;25000,"&lt;$25k",IF(D5286&lt;50000,"$25k-$50k",IF(D5286&lt;75000,"$50k-$75k",IF(D5286&lt;100000,"$75k-$100k","$100k+")))))</x:f>
        <x:v>$100k+</x:v>
      </x:c>
      <x:c r="P5286" t="str">
        <x:f>IF(E5286="","Unknown",IF(E5286&lt;10,"&lt;10",IF(E5286&lt;20,"10-&lt;20",IF(E5286&lt;25,"20-&lt;25",IF(E5286&lt;35,"25-&lt;35","35+")))))</x:f>
        <x:v>25-&lt;35</x:v>
      </x:c>
    </x:row>
    <x:row r="5287">
      <x:c r="A5287" t="str">
        <x:v>SYN0005286</x:v>
      </x:c>
      <x:c r="B5287" s="12" t="n">
        <x:v>42685</x:v>
      </x:c>
      <x:c r="C5287" s="18" t="n">
        <x:v>9975</x:v>
      </x:c>
      <x:c r="D5287" s="18" t="n">
        <x:v>52576</x:v>
      </x:c>
      <x:c r="E5287" s="18" t="n">
        <x:v>46.83</x:v>
      </x:c>
      <x:c r="F5287" s="18" t="n">
        <x:v>14.4</x:v>
      </x:c>
      <x:c r="G5287" t="n">
        <x:v>36</x:v>
      </x:c>
      <x:c r="H5287" t="str">
        <x:v>D</x:v>
      </x:c>
      <x:c r="I5287" t="str">
        <x:v>1-3 years</x:v>
      </x:c>
      <x:c r="J5287" t="str">
        <x:v>RENT</x:v>
      </x:c>
      <x:c r="K5287" t="str">
        <x:v>debt_consolidation</x:v>
      </x:c>
      <x:c r="L5287" t="n">
        <x:v>1</x:v>
      </x:c>
      <x:c r="M5287" t="n">
        <x:v>0</x:v>
      </x:c>
      <x:c r="N5287" t="str">
        <x:v>Fully Paid</x:v>
      </x:c>
      <x:c r="O5287" t="str">
        <x:f>IF(D5287="","Unknown",IF(D5287&lt;25000,"&lt;$25k",IF(D5287&lt;50000,"$25k-$50k",IF(D5287&lt;75000,"$50k-$75k",IF(D5287&lt;100000,"$75k-$100k","$100k+")))))</x:f>
        <x:v>$50k-$75k</x:v>
      </x:c>
      <x:c r="P5287" t="str">
        <x:f>IF(E5287="","Unknown",IF(E5287&lt;10,"&lt;10",IF(E5287&lt;20,"10-&lt;20",IF(E5287&lt;25,"20-&lt;25",IF(E5287&lt;35,"25-&lt;35","35+")))))</x:f>
        <x:v>35+</x:v>
      </x:c>
    </x:row>
    <x:row r="5288">
      <x:c r="A5288" t="str">
        <x:v>SYN0005287</x:v>
      </x:c>
      <x:c r="B5288" s="12" t="n">
        <x:v>42175</x:v>
      </x:c>
      <x:c r="C5288" s="18" t="n">
        <x:v>10899</x:v>
      </x:c>
      <x:c r="D5288" s="18" t="n">
        <x:v>153726</x:v>
      </x:c>
      <x:c r="E5288" s="18" t="n">
        <x:v>20.36</x:v>
      </x:c>
      <x:c r="F5288" s="18" t="n">
        <x:v>6.64</x:v>
      </x:c>
      <x:c r="G5288" t="n">
        <x:v>36</x:v>
      </x:c>
      <x:c r="H5288" t="str">
        <x:v>A</x:v>
      </x:c>
      <x:c r="I5288" t="str">
        <x:v>4-6 years</x:v>
      </x:c>
      <x:c r="J5288" t="str">
        <x:v>RENT</x:v>
      </x:c>
      <x:c r="K5288" t="str">
        <x:v>home_improvement</x:v>
      </x:c>
      <x:c r="L5288" t="n">
        <x:v>0</x:v>
      </x:c>
      <x:c r="M5288" t="n">
        <x:v>0</x:v>
      </x:c>
      <x:c r="N5288" t="str">
        <x:v>Fully Paid</x:v>
      </x:c>
      <x:c r="O5288" t="str">
        <x:f>IF(D5288="","Unknown",IF(D5288&lt;25000,"&lt;$25k",IF(D5288&lt;50000,"$25k-$50k",IF(D5288&lt;75000,"$50k-$75k",IF(D5288&lt;100000,"$75k-$100k","$100k+")))))</x:f>
        <x:v>$100k+</x:v>
      </x:c>
      <x:c r="P5288" t="str">
        <x:f>IF(E5288="","Unknown",IF(E5288&lt;10,"&lt;10",IF(E5288&lt;20,"10-&lt;20",IF(E5288&lt;25,"20-&lt;25",IF(E5288&lt;35,"25-&lt;35","35+")))))</x:f>
        <x:v>20-&lt;25</x:v>
      </x:c>
    </x:row>
    <x:row r="5289">
      <x:c r="A5289" t="str">
        <x:v>SYN0005288</x:v>
      </x:c>
      <x:c r="B5289" s="12" t="n">
        <x:v>42535</x:v>
      </x:c>
      <x:c r="C5289" s="18" t="n">
        <x:v>10828</x:v>
      </x:c>
      <x:c r="D5289" s="18" t="n">
        <x:v>62403</x:v>
      </x:c>
      <x:c r="E5289" s="18" t="n">
        <x:v>20.7</x:v>
      </x:c>
      <x:c r="F5289" s="18" t="n">
        <x:v>8.06</x:v>
      </x:c>
      <x:c r="G5289" t="n">
        <x:v>60</x:v>
      </x:c>
      <x:c r="H5289" t="str">
        <x:v>C</x:v>
      </x:c>
      <x:c r="I5289" t="str">
        <x:v>&lt;1 year</x:v>
      </x:c>
      <x:c r="J5289" t="str">
        <x:v>OWN</x:v>
      </x:c>
      <x:c r="K5289" t="str">
        <x:v>credit_card</x:v>
      </x:c>
      <x:c r="L5289" t="n">
        <x:v>1</x:v>
      </x:c>
      <x:c r="M5289" t="n">
        <x:v>1</x:v>
      </x:c>
      <x:c r="N5289" t="str">
        <x:v>Charged Off</x:v>
      </x:c>
      <x:c r="O5289" t="str">
        <x:f>IF(D5289="","Unknown",IF(D5289&lt;25000,"&lt;$25k",IF(D5289&lt;50000,"$25k-$50k",IF(D5289&lt;75000,"$50k-$75k",IF(D5289&lt;100000,"$75k-$100k","$100k+")))))</x:f>
        <x:v>$50k-$75k</x:v>
      </x:c>
      <x:c r="P5289" t="str">
        <x:f>IF(E5289="","Unknown",IF(E5289&lt;10,"&lt;10",IF(E5289&lt;20,"10-&lt;20",IF(E5289&lt;25,"20-&lt;25",IF(E5289&lt;35,"25-&lt;35","35+")))))</x:f>
        <x:v>20-&lt;25</x:v>
      </x:c>
    </x:row>
    <x:row r="5290">
      <x:c r="A5290" t="str">
        <x:v>SYN0005289</x:v>
      </x:c>
      <x:c r="B5290" s="12" t="n">
        <x:v>41995</x:v>
      </x:c>
      <x:c r="C5290" s="18" t="n">
        <x:v>11491</x:v>
      </x:c>
      <x:c r="D5290" s="18" t="n">
        <x:v>57986</x:v>
      </x:c>
      <x:c r="E5290" s="18" t="n">
        <x:v>9.44</x:v>
      </x:c>
      <x:c r="F5290" s="18" t="n">
        <x:v>5</x:v>
      </x:c>
      <x:c r="G5290" t="n">
        <x:v>36</x:v>
      </x:c>
      <x:c r="H5290" t="str">
        <x:v>B</x:v>
      </x:c>
      <x:c r="I5290" t="str">
        <x:v>7-9 years</x:v>
      </x:c>
      <x:c r="J5290" t="str">
        <x:v>RENT</x:v>
      </x:c>
      <x:c r="K5290" t="str">
        <x:v>major_purchase</x:v>
      </x:c>
      <x:c r="L5290" t="n">
        <x:v>1</x:v>
      </x:c>
      <x:c r="M5290" t="n">
        <x:v>0</x:v>
      </x:c>
      <x:c r="N5290" t="str">
        <x:v>Fully Paid</x:v>
      </x:c>
      <x:c r="O5290" t="str">
        <x:f>IF(D5290="","Unknown",IF(D5290&lt;25000,"&lt;$25k",IF(D5290&lt;50000,"$25k-$50k",IF(D5290&lt;75000,"$50k-$75k",IF(D5290&lt;100000,"$75k-$100k","$100k+")))))</x:f>
        <x:v>$50k-$75k</x:v>
      </x:c>
      <x:c r="P5290" t="str">
        <x:f>IF(E5290="","Unknown",IF(E5290&lt;10,"&lt;10",IF(E5290&lt;20,"10-&lt;20",IF(E5290&lt;25,"20-&lt;25",IF(E5290&lt;35,"25-&lt;35","35+")))))</x:f>
        <x:v>&lt;10</x:v>
      </x:c>
    </x:row>
    <x:row r="5291">
      <x:c r="A5291" t="str">
        <x:v>SYN0005290</x:v>
      </x:c>
      <x:c r="B5291" s="12" t="n">
        <x:v>43075</x:v>
      </x:c>
      <x:c r="C5291" s="18" t="n">
        <x:v>21411</x:v>
      </x:c>
      <x:c r="D5291" s="18" t="n">
        <x:v>16116</x:v>
      </x:c>
      <x:c r="E5291" s="18" t="n">
        <x:v>22.89</x:v>
      </x:c>
      <x:c r="F5291" s="18" t="n">
        <x:v>5</x:v>
      </x:c>
      <x:c r="G5291" t="n">
        <x:v>36</x:v>
      </x:c>
      <x:c r="H5291" t="str">
        <x:v>A</x:v>
      </x:c>
      <x:c r="I5291" t="str">
        <x:v>1-3 years</x:v>
      </x:c>
      <x:c r="J5291" t="str">
        <x:v>RENT</x:v>
      </x:c>
      <x:c r="K5291" t="str">
        <x:v>credit_card</x:v>
      </x:c>
      <x:c r="L5291" t="n">
        <x:v>1</x:v>
      </x:c>
      <x:c r="M5291" t="n">
        <x:v>0</x:v>
      </x:c>
      <x:c r="N5291" t="str">
        <x:v>Fully Paid</x:v>
      </x:c>
      <x:c r="O5291" t="str">
        <x:f>IF(D5291="","Unknown",IF(D5291&lt;25000,"&lt;$25k",IF(D5291&lt;50000,"$25k-$50k",IF(D5291&lt;75000,"$50k-$75k",IF(D5291&lt;100000,"$75k-$100k","$100k+")))))</x:f>
        <x:v>&lt;$25k</x:v>
      </x:c>
      <x:c r="P5291" t="str">
        <x:f>IF(E5291="","Unknown",IF(E5291&lt;10,"&lt;10",IF(E5291&lt;20,"10-&lt;20",IF(E5291&lt;25,"20-&lt;25",IF(E5291&lt;35,"25-&lt;35","35+")))))</x:f>
        <x:v>20-&lt;25</x:v>
      </x:c>
    </x:row>
    <x:row r="5292">
      <x:c r="A5292" t="str">
        <x:v>SYN0005291</x:v>
      </x:c>
      <x:c r="B5292" s="12" t="n">
        <x:v>41575</x:v>
      </x:c>
      <x:c r="C5292" s="18" t="n">
        <x:v>26102</x:v>
      </x:c>
      <x:c r="D5292" s="18" t="n">
        <x:v>82794</x:v>
      </x:c>
      <x:c r="E5292" s="18" t="n">
        <x:v>21.23</x:v>
      </x:c>
      <x:c r="F5292" s="18" t="n">
        <x:v>5</x:v>
      </x:c>
      <x:c r="G5292" t="n">
        <x:v>36</x:v>
      </x:c>
      <x:c r="H5292" t="str">
        <x:v>B</x:v>
      </x:c>
      <x:c r="I5292" t="str">
        <x:v>1-3 years</x:v>
      </x:c>
      <x:c r="J5292" t="str">
        <x:v>RENT</x:v>
      </x:c>
      <x:c r="K5292" t="str">
        <x:v>debt_consolidation</x:v>
      </x:c>
      <x:c r="L5292" t="n">
        <x:v>0</x:v>
      </x:c>
      <x:c r="M5292" t="n">
        <x:v>0</x:v>
      </x:c>
      <x:c r="N5292" t="str">
        <x:v>Fully Paid</x:v>
      </x:c>
      <x:c r="O5292" t="str">
        <x:f>IF(D5292="","Unknown",IF(D5292&lt;25000,"&lt;$25k",IF(D5292&lt;50000,"$25k-$50k",IF(D5292&lt;75000,"$50k-$75k",IF(D5292&lt;100000,"$75k-$100k","$100k+")))))</x:f>
        <x:v>$75k-$100k</x:v>
      </x:c>
      <x:c r="P5292" t="str">
        <x:f>IF(E5292="","Unknown",IF(E5292&lt;10,"&lt;10",IF(E5292&lt;20,"10-&lt;20",IF(E5292&lt;25,"20-&lt;25",IF(E5292&lt;35,"25-&lt;35","35+")))))</x:f>
        <x:v>20-&lt;25</x:v>
      </x:c>
    </x:row>
    <x:row r="5293">
      <x:c r="A5293" t="str">
        <x:v>SYN0005292</x:v>
      </x:c>
      <x:c r="B5293" s="12" t="n">
        <x:v>42685</x:v>
      </x:c>
      <x:c r="C5293" s="18" t="n">
        <x:v>12753</x:v>
      </x:c>
      <x:c r="D5293" s="18" t="n">
        <x:v>20848</x:v>
      </x:c>
      <x:c r="E5293" s="18" t="n">
        <x:v>17.01</x:v>
      </x:c>
      <x:c r="F5293" s="18" t="n">
        <x:v>8.5</x:v>
      </x:c>
      <x:c r="G5293" t="n">
        <x:v>36</x:v>
      </x:c>
      <x:c r="H5293" t="str">
        <x:v>C</x:v>
      </x:c>
      <x:c r="I5293" t="str">
        <x:v>10+ years</x:v>
      </x:c>
      <x:c r="J5293" t="str">
        <x:v>RENT</x:v>
      </x:c>
      <x:c r="K5293" t="str">
        <x:v>credit_card</x:v>
      </x:c>
      <x:c r="L5293" t="n">
        <x:v>1</x:v>
      </x:c>
      <x:c r="M5293" t="n">
        <x:v>0</x:v>
      </x:c>
      <x:c r="N5293" t="str">
        <x:v>Fully Paid</x:v>
      </x:c>
      <x:c r="O5293" t="str">
        <x:f>IF(D5293="","Unknown",IF(D5293&lt;25000,"&lt;$25k",IF(D5293&lt;50000,"$25k-$50k",IF(D5293&lt;75000,"$50k-$75k",IF(D5293&lt;100000,"$75k-$100k","$100k+")))))</x:f>
        <x:v>&lt;$25k</x:v>
      </x:c>
      <x:c r="P5293" t="str">
        <x:f>IF(E5293="","Unknown",IF(E5293&lt;10,"&lt;10",IF(E5293&lt;20,"10-&lt;20",IF(E5293&lt;25,"20-&lt;25",IF(E5293&lt;35,"25-&lt;35","35+")))))</x:f>
        <x:v>10-&lt;20</x:v>
      </x:c>
    </x:row>
    <x:row r="5294">
      <x:c r="A5294" t="str">
        <x:v>SYN0005293</x:v>
      </x:c>
      <x:c r="B5294" s="12" t="n">
        <x:v>41275</x:v>
      </x:c>
      <x:c r="C5294" s="18" t="n">
        <x:v>22602</x:v>
      </x:c>
      <x:c r="D5294" s="18" t="n">
        <x:v>22928</x:v>
      </x:c>
      <x:c r="E5294" s="18" t="n">
        <x:v>6.76</x:v>
      </x:c>
      <x:c r="F5294" s="18" t="n">
        <x:v>13.88</x:v>
      </x:c>
      <x:c r="G5294" t="n">
        <x:v>36</x:v>
      </x:c>
      <x:c r="H5294" t="str">
        <x:v>C</x:v>
      </x:c>
      <x:c r="I5294" t="str">
        <x:v>10+ years</x:v>
      </x:c>
      <x:c r="J5294" t="str">
        <x:v>OWN</x:v>
      </x:c>
      <x:c r="K5294" t="str">
        <x:v>debt_consolidation</x:v>
      </x:c>
      <x:c r="L5294" t="n">
        <x:v>0</x:v>
      </x:c>
      <x:c r="M5294" t="n">
        <x:v>0</x:v>
      </x:c>
      <x:c r="N5294" t="str">
        <x:v>Fully Paid</x:v>
      </x:c>
      <x:c r="O5294" t="str">
        <x:f>IF(D5294="","Unknown",IF(D5294&lt;25000,"&lt;$25k",IF(D5294&lt;50000,"$25k-$50k",IF(D5294&lt;75000,"$50k-$75k",IF(D5294&lt;100000,"$75k-$100k","$100k+")))))</x:f>
        <x:v>&lt;$25k</x:v>
      </x:c>
      <x:c r="P5294" t="str">
        <x:f>IF(E5294="","Unknown",IF(E5294&lt;10,"&lt;10",IF(E5294&lt;20,"10-&lt;20",IF(E5294&lt;25,"20-&lt;25",IF(E5294&lt;35,"25-&lt;35","35+")))))</x:f>
        <x:v>&lt;10</x:v>
      </x:c>
    </x:row>
    <x:row r="5295">
      <x:c r="A5295" t="str">
        <x:v>SYN0005294</x:v>
      </x:c>
      <x:c r="B5295" s="12" t="n">
        <x:v>41335</x:v>
      </x:c>
      <x:c r="C5295" s="18" t="n">
        <x:v>13421</x:v>
      </x:c>
      <x:c r="D5295" s="18" t="n">
        <x:v>35484</x:v>
      </x:c>
      <x:c r="E5295" s="18" t="n">
        <x:v>26.74</x:v>
      </x:c>
      <x:c r="F5295" s="18" t="n">
        <x:v>6.11</x:v>
      </x:c>
      <x:c r="G5295" t="n">
        <x:v>60</x:v>
      </x:c>
      <x:c r="H5295" t="str">
        <x:v>A</x:v>
      </x:c>
      <x:c r="I5295" t="str">
        <x:v>7-9 years</x:v>
      </x:c>
      <x:c r="J5295" t="str">
        <x:v>RENT</x:v>
      </x:c>
      <x:c r="K5295" t="str">
        <x:v>debt_consolidation</x:v>
      </x:c>
      <x:c r="L5295" t="n">
        <x:v>0</x:v>
      </x:c>
      <x:c r="M5295" t="n">
        <x:v>0</x:v>
      </x:c>
      <x:c r="N5295" t="str">
        <x:v>Fully Paid</x:v>
      </x:c>
      <x:c r="O5295" t="str">
        <x:f>IF(D5295="","Unknown",IF(D5295&lt;25000,"&lt;$25k",IF(D5295&lt;50000,"$25k-$50k",IF(D5295&lt;75000,"$50k-$75k",IF(D5295&lt;100000,"$75k-$100k","$100k+")))))</x:f>
        <x:v>$25k-$50k</x:v>
      </x:c>
      <x:c r="P5295" t="str">
        <x:f>IF(E5295="","Unknown",IF(E5295&lt;10,"&lt;10",IF(E5295&lt;20,"10-&lt;20",IF(E5295&lt;25,"20-&lt;25",IF(E5295&lt;35,"25-&lt;35","35+")))))</x:f>
        <x:v>25-&lt;35</x:v>
      </x:c>
    </x:row>
    <x:row r="5296">
      <x:c r="A5296" t="str">
        <x:v>SYN0005295</x:v>
      </x:c>
      <x:c r="B5296" s="12" t="n">
        <x:v>41995</x:v>
      </x:c>
      <x:c r="C5296" s="18" t="n">
        <x:v>22703</x:v>
      </x:c>
      <x:c r="D5296" s="18" t="n">
        <x:v>31876</x:v>
      </x:c>
      <x:c r="E5296" s="18" t="n">
        <x:v>11.33</x:v>
      </x:c>
      <x:c r="F5296" s="18" t="n">
        <x:v>14.98</x:v>
      </x:c>
      <x:c r="G5296" t="n">
        <x:v>36</x:v>
      </x:c>
      <x:c r="H5296" t="str">
        <x:v>D</x:v>
      </x:c>
      <x:c r="I5296" t="str">
        <x:v>4-6 years</x:v>
      </x:c>
      <x:c r="J5296" t="str">
        <x:v>RENT</x:v>
      </x:c>
      <x:c r="K5296" t="str">
        <x:v>debt_consolidation</x:v>
      </x:c>
      <x:c r="L5296" t="n">
        <x:v>0</x:v>
      </x:c>
      <x:c r="M5296" t="n">
        <x:v>1</x:v>
      </x:c>
      <x:c r="N5296" t="str">
        <x:v>Charged Off</x:v>
      </x:c>
      <x:c r="O5296" t="str">
        <x:f>IF(D5296="","Unknown",IF(D5296&lt;25000,"&lt;$25k",IF(D5296&lt;50000,"$25k-$50k",IF(D5296&lt;75000,"$50k-$75k",IF(D5296&lt;100000,"$75k-$100k","$100k+")))))</x:f>
        <x:v>$25k-$50k</x:v>
      </x:c>
      <x:c r="P5296" t="str">
        <x:f>IF(E5296="","Unknown",IF(E5296&lt;10,"&lt;10",IF(E5296&lt;20,"10-&lt;20",IF(E5296&lt;25,"20-&lt;25",IF(E5296&lt;35,"25-&lt;35","35+")))))</x:f>
        <x:v>10-&lt;20</x:v>
      </x:c>
    </x:row>
    <x:row r="5297">
      <x:c r="A5297" t="str">
        <x:v>SYN0005296</x:v>
      </x:c>
      <x:c r="B5297" s="12" t="n">
        <x:v>42865</x:v>
      </x:c>
      <x:c r="C5297" s="18" t="n">
        <x:v>16207</x:v>
      </x:c>
      <x:c r="D5297" s="18" t="n">
        <x:v>52386</x:v>
      </x:c>
      <x:c r="E5297" s="18" t="n">
        <x:v>31.97</x:v>
      </x:c>
      <x:c r="F5297" s="18" t="n">
        <x:v>27.81</x:v>
      </x:c>
      <x:c r="G5297" t="n">
        <x:v>60</x:v>
      </x:c>
      <x:c r="H5297" t="str">
        <x:v>G</x:v>
      </x:c>
      <x:c r="I5297" t="str">
        <x:v>7-9 years</x:v>
      </x:c>
      <x:c r="J5297" t="str">
        <x:v>RENT</x:v>
      </x:c>
      <x:c r="K5297" t="str">
        <x:v>debt_consolidation</x:v>
      </x:c>
      <x:c r="L5297" t="n">
        <x:v>0</x:v>
      </x:c>
      <x:c r="M5297" t="n">
        <x:v>1</x:v>
      </x:c>
      <x:c r="N5297" t="str">
        <x:v>Charged Off</x:v>
      </x:c>
      <x:c r="O5297" t="str">
        <x:f>IF(D5297="","Unknown",IF(D5297&lt;25000,"&lt;$25k",IF(D5297&lt;50000,"$25k-$50k",IF(D5297&lt;75000,"$50k-$75k",IF(D5297&lt;100000,"$75k-$100k","$100k+")))))</x:f>
        <x:v>$50k-$75k</x:v>
      </x:c>
      <x:c r="P5297" t="str">
        <x:f>IF(E5297="","Unknown",IF(E5297&lt;10,"&lt;10",IF(E5297&lt;20,"10-&lt;20",IF(E5297&lt;25,"20-&lt;25",IF(E5297&lt;35,"25-&lt;35","35+")))))</x:f>
        <x:v>25-&lt;35</x:v>
      </x:c>
    </x:row>
    <x:row r="5298">
      <x:c r="A5298" t="str">
        <x:v>SYN0005297</x:v>
      </x:c>
      <x:c r="B5298" s="12" t="n">
        <x:v>42145</x:v>
      </x:c>
      <x:c r="C5298" s="18" t="n">
        <x:v>25197</x:v>
      </x:c>
      <x:c r="D5298" s="18" t="n">
        <x:v>23197</x:v>
      </x:c>
      <x:c r="E5298" s="18" t="n">
        <x:v>26.66</x:v>
      </x:c>
      <x:c r="F5298" s="18" t="n">
        <x:v>12.99</x:v>
      </x:c>
      <x:c r="G5298" t="n">
        <x:v>36</x:v>
      </x:c>
      <x:c r="H5298" t="str">
        <x:v>D</x:v>
      </x:c>
      <x:c r="I5298" t="str">
        <x:v>1-3 years</x:v>
      </x:c>
      <x:c r="J5298" t="str">
        <x:v>RENT</x:v>
      </x:c>
      <x:c r="K5298" t="str">
        <x:v>debt_consolidation</x:v>
      </x:c>
      <x:c r="L5298" t="n">
        <x:v>2</x:v>
      </x:c>
      <x:c r="M5298" t="n">
        <x:v>0</x:v>
      </x:c>
      <x:c r="N5298" t="str">
        <x:v>Fully Paid</x:v>
      </x:c>
      <x:c r="O5298" t="str">
        <x:f>IF(D5298="","Unknown",IF(D5298&lt;25000,"&lt;$25k",IF(D5298&lt;50000,"$25k-$50k",IF(D5298&lt;75000,"$50k-$75k",IF(D5298&lt;100000,"$75k-$100k","$100k+")))))</x:f>
        <x:v>&lt;$25k</x:v>
      </x:c>
      <x:c r="P5298" t="str">
        <x:f>IF(E5298="","Unknown",IF(E5298&lt;10,"&lt;10",IF(E5298&lt;20,"10-&lt;20",IF(E5298&lt;25,"20-&lt;25",IF(E5298&lt;35,"25-&lt;35","35+")))))</x:f>
        <x:v>25-&lt;35</x:v>
      </x:c>
    </x:row>
    <x:row r="5299">
      <x:c r="A5299" t="str">
        <x:v>SYN0005298</x:v>
      </x:c>
      <x:c r="B5299" s="12" t="n">
        <x:v>41695</x:v>
      </x:c>
      <x:c r="C5299" s="18" t="n">
        <x:v>9115</x:v>
      </x:c>
      <x:c r="D5299" s="18" t="n">
        <x:v>29829</x:v>
      </x:c>
      <x:c r="E5299" s="18" t="n">
        <x:v>33.36</x:v>
      </x:c>
      <x:c r="F5299" s="18" t="n">
        <x:v>15.07</x:v>
      </x:c>
      <x:c r="G5299" t="n">
        <x:v>60</x:v>
      </x:c>
      <x:c r="H5299" t="str">
        <x:v>E</x:v>
      </x:c>
      <x:c r="I5299" t="str">
        <x:v>4-6 years</x:v>
      </x:c>
      <x:c r="J5299" t="str">
        <x:v>RENT</x:v>
      </x:c>
      <x:c r="K5299" t="str">
        <x:v>debt_consolidation</x:v>
      </x:c>
      <x:c r="L5299" t="n">
        <x:v>3</x:v>
      </x:c>
      <x:c r="M5299" t="n">
        <x:v>0</x:v>
      </x:c>
      <x:c r="N5299" t="str">
        <x:v>Fully Paid</x:v>
      </x:c>
      <x:c r="O5299" t="str">
        <x:f>IF(D5299="","Unknown",IF(D5299&lt;25000,"&lt;$25k",IF(D5299&lt;50000,"$25k-$50k",IF(D5299&lt;75000,"$50k-$75k",IF(D5299&lt;100000,"$75k-$100k","$100k+")))))</x:f>
        <x:v>$25k-$50k</x:v>
      </x:c>
      <x:c r="P5299" t="str">
        <x:f>IF(E5299="","Unknown",IF(E5299&lt;10,"&lt;10",IF(E5299&lt;20,"10-&lt;20",IF(E5299&lt;25,"20-&lt;25",IF(E5299&lt;35,"25-&lt;35","35+")))))</x:f>
        <x:v>25-&lt;35</x:v>
      </x:c>
    </x:row>
    <x:row r="5300">
      <x:c r="A5300" t="str">
        <x:v>SYN0005299</x:v>
      </x:c>
      <x:c r="B5300" s="12" t="n">
        <x:v>43345</x:v>
      </x:c>
      <x:c r="C5300" s="18" t="n">
        <x:v>5435</x:v>
      </x:c>
      <x:c r="D5300" s="18" t="n">
        <x:v>137174</x:v>
      </x:c>
      <x:c r="E5300" s="18" t="n">
        <x:v>10.36</x:v>
      </x:c>
      <x:c r="F5300" s="18" t="n">
        <x:v>8.09</x:v>
      </x:c>
      <x:c r="G5300" t="n">
        <x:v>36</x:v>
      </x:c>
      <x:c r="H5300" t="str">
        <x:v>B</x:v>
      </x:c>
      <x:c r="I5300" t="str">
        <x:v>10+ years</x:v>
      </x:c>
      <x:c r="J5300" t="str">
        <x:v>RENT</x:v>
      </x:c>
      <x:c r="K5300" t="str">
        <x:v>debt_consolidation</x:v>
      </x:c>
      <x:c r="L5300" t="n">
        <x:v>0</x:v>
      </x:c>
      <x:c r="M5300" t="n">
        <x:v>0</x:v>
      </x:c>
      <x:c r="N5300" t="str">
        <x:v>Fully Paid</x:v>
      </x:c>
      <x:c r="O5300" t="str">
        <x:f>IF(D5300="","Unknown",IF(D5300&lt;25000,"&lt;$25k",IF(D5300&lt;50000,"$25k-$50k",IF(D5300&lt;75000,"$50k-$75k",IF(D5300&lt;100000,"$75k-$100k","$100k+")))))</x:f>
        <x:v>$100k+</x:v>
      </x:c>
      <x:c r="P5300" t="str">
        <x:f>IF(E5300="","Unknown",IF(E5300&lt;10,"&lt;10",IF(E5300&lt;20,"10-&lt;20",IF(E5300&lt;25,"20-&lt;25",IF(E5300&lt;35,"25-&lt;35","35+")))))</x:f>
        <x:v>10-&lt;20</x:v>
      </x:c>
    </x:row>
    <x:row r="5301">
      <x:c r="A5301" t="str">
        <x:v>SYN0005300</x:v>
      </x:c>
      <x:c r="B5301" s="12" t="n">
        <x:v>43345</x:v>
      </x:c>
      <x:c r="C5301" s="18" t="n">
        <x:v>12959</x:v>
      </x:c>
      <x:c r="D5301" s="18" t="n">
        <x:v>157411</x:v>
      </x:c>
      <x:c r="E5301" s="18" t="n">
        <x:v>20.71</x:v>
      </x:c>
      <x:c r="F5301" s="18" t="n">
        <x:v>9.13</x:v>
      </x:c>
      <x:c r="G5301" t="n">
        <x:v>60</x:v>
      </x:c>
      <x:c r="H5301" t="str">
        <x:v>A</x:v>
      </x:c>
      <x:c r="I5301" t="str">
        <x:v>4-6 years</x:v>
      </x:c>
      <x:c r="J5301" t="str">
        <x:v>RENT</x:v>
      </x:c>
      <x:c r="K5301" t="str">
        <x:v>credit_card</x:v>
      </x:c>
      <x:c r="L5301" t="n">
        <x:v>0</x:v>
      </x:c>
      <x:c r="M5301" t="n">
        <x:v>0</x:v>
      </x:c>
      <x:c r="N5301" t="str">
        <x:v>Fully Paid</x:v>
      </x:c>
      <x:c r="O5301" t="str">
        <x:f>IF(D5301="","Unknown",IF(D5301&lt;25000,"&lt;$25k",IF(D5301&lt;50000,"$25k-$50k",IF(D5301&lt;75000,"$50k-$75k",IF(D5301&lt;100000,"$75k-$100k","$100k+")))))</x:f>
        <x:v>$100k+</x:v>
      </x:c>
      <x:c r="P5301" t="str">
        <x:f>IF(E5301="","Unknown",IF(E5301&lt;10,"&lt;10",IF(E5301&lt;20,"10-&lt;20",IF(E5301&lt;25,"20-&lt;25",IF(E5301&lt;35,"25-&lt;35","35+")))))</x:f>
        <x:v>20-&lt;25</x:v>
      </x:c>
    </x:row>
    <x:row r="5302">
      <x:c r="A5302" t="str">
        <x:v>SYN0005301</x:v>
      </x:c>
      <x:c r="B5302" s="12" t="n">
        <x:v>41395</x:v>
      </x:c>
      <x:c r="C5302" s="18" t="n">
        <x:v>11527</x:v>
      </x:c>
      <x:c r="D5302" s="18" t="n">
        <x:v>20501</x:v>
      </x:c>
      <x:c r="E5302" s="18" t="n">
        <x:v>22.3</x:v>
      </x:c>
      <x:c r="F5302" s="18" t="n">
        <x:v>10.19</x:v>
      </x:c>
      <x:c r="G5302" t="n">
        <x:v>60</x:v>
      </x:c>
      <x:c r="H5302" t="str">
        <x:v>C</x:v>
      </x:c>
      <x:c r="I5302" t="str">
        <x:v>10+ years</x:v>
      </x:c>
      <x:c r="J5302" t="str">
        <x:v>RENT</x:v>
      </x:c>
      <x:c r="K5302" t="str">
        <x:v>debt_consolidation</x:v>
      </x:c>
      <x:c r="L5302" t="n">
        <x:v>2</x:v>
      </x:c>
      <x:c r="M5302" t="n">
        <x:v>0</x:v>
      </x:c>
      <x:c r="N5302" t="str">
        <x:v>Fully Paid</x:v>
      </x:c>
      <x:c r="O5302" t="str">
        <x:f>IF(D5302="","Unknown",IF(D5302&lt;25000,"&lt;$25k",IF(D5302&lt;50000,"$25k-$50k",IF(D5302&lt;75000,"$50k-$75k",IF(D5302&lt;100000,"$75k-$100k","$100k+")))))</x:f>
        <x:v>&lt;$25k</x:v>
      </x:c>
      <x:c r="P5302" t="str">
        <x:f>IF(E5302="","Unknown",IF(E5302&lt;10,"&lt;10",IF(E5302&lt;20,"10-&lt;20",IF(E5302&lt;25,"20-&lt;25",IF(E5302&lt;35,"25-&lt;35","35+")))))</x:f>
        <x:v>20-&lt;25</x:v>
      </x:c>
    </x:row>
    <x:row r="5303">
      <x:c r="A5303" t="str">
        <x:v>SYN0005302</x:v>
      </x:c>
      <x:c r="B5303" s="12" t="n">
        <x:v>42565</x:v>
      </x:c>
      <x:c r="C5303" s="18" t="n">
        <x:v>5548</x:v>
      </x:c>
      <x:c r="D5303" s="18" t="n">
        <x:v>28070</x:v>
      </x:c>
      <x:c r="E5303" s="18" t="n">
        <x:v>24.3</x:v>
      </x:c>
      <x:c r="F5303" s="18" t="n">
        <x:v>22.53</x:v>
      </x:c>
      <x:c r="G5303" t="n">
        <x:v>60</x:v>
      </x:c>
      <x:c r="H5303" t="str">
        <x:v>F</x:v>
      </x:c>
      <x:c r="I5303" t="str">
        <x:v>10+ years</x:v>
      </x:c>
      <x:c r="J5303" t="str">
        <x:v>RENT</x:v>
      </x:c>
      <x:c r="K5303" t="str">
        <x:v>other</x:v>
      </x:c>
      <x:c r="L5303" t="n">
        <x:v>0</x:v>
      </x:c>
      <x:c r="M5303" t="n">
        <x:v>1</x:v>
      </x:c>
      <x:c r="N5303" t="str">
        <x:v>Charged Off</x:v>
      </x:c>
      <x:c r="O5303" t="str">
        <x:f>IF(D5303="","Unknown",IF(D5303&lt;25000,"&lt;$25k",IF(D5303&lt;50000,"$25k-$50k",IF(D5303&lt;75000,"$50k-$75k",IF(D5303&lt;100000,"$75k-$100k","$100k+")))))</x:f>
        <x:v>$25k-$50k</x:v>
      </x:c>
      <x:c r="P5303" t="str">
        <x:f>IF(E5303="","Unknown",IF(E5303&lt;10,"&lt;10",IF(E5303&lt;20,"10-&lt;20",IF(E5303&lt;25,"20-&lt;25",IF(E5303&lt;35,"25-&lt;35","35+")))))</x:f>
        <x:v>20-&lt;25</x:v>
      </x:c>
    </x:row>
    <x:row r="5304">
      <x:c r="A5304" t="str">
        <x:v>SYN0005303</x:v>
      </x:c>
      <x:c r="B5304" s="12" t="n">
        <x:v>42325</x:v>
      </x:c>
      <x:c r="C5304" s="18" t="n">
        <x:v>14125</x:v>
      </x:c>
      <x:c r="D5304" s="18" t="n">
        <x:v>119402</x:v>
      </x:c>
      <x:c r="E5304" s="18" t="n">
        <x:v>2.06</x:v>
      </x:c>
      <x:c r="F5304" s="18" t="n">
        <x:v>11.46</x:v>
      </x:c>
      <x:c r="G5304" t="n">
        <x:v>60</x:v>
      </x:c>
      <x:c r="H5304" t="str">
        <x:v>C</x:v>
      </x:c>
      <x:c r="I5304" t="str">
        <x:v>1-3 years</x:v>
      </x:c>
      <x:c r="J5304" t="str">
        <x:v>OWN</x:v>
      </x:c>
      <x:c r="K5304" t="str">
        <x:v>debt_consolidation</x:v>
      </x:c>
      <x:c r="L5304" t="n">
        <x:v>1</x:v>
      </x:c>
      <x:c r="M5304" t="n">
        <x:v>0</x:v>
      </x:c>
      <x:c r="N5304" t="str">
        <x:v>Fully Paid</x:v>
      </x:c>
      <x:c r="O5304" t="str">
        <x:f>IF(D5304="","Unknown",IF(D5304&lt;25000,"&lt;$25k",IF(D5304&lt;50000,"$25k-$50k",IF(D5304&lt;75000,"$50k-$75k",IF(D5304&lt;100000,"$75k-$100k","$100k+")))))</x:f>
        <x:v>$100k+</x:v>
      </x:c>
      <x:c r="P5304" t="str">
        <x:f>IF(E5304="","Unknown",IF(E5304&lt;10,"&lt;10",IF(E5304&lt;20,"10-&lt;20",IF(E5304&lt;25,"20-&lt;25",IF(E5304&lt;35,"25-&lt;35","35+")))))</x:f>
        <x:v>&lt;10</x:v>
      </x:c>
    </x:row>
    <x:row r="5305">
      <x:c r="A5305" t="str">
        <x:v>SYN0005304</x:v>
      </x:c>
      <x:c r="B5305" s="12" t="n">
        <x:v>42775</x:v>
      </x:c>
      <x:c r="C5305" s="18" t="n">
        <x:v>3858</x:v>
      </x:c>
      <x:c r="D5305" s="18" t="n">
        <x:v>63074</x:v>
      </x:c>
      <x:c r="E5305" s="18" t="n">
        <x:v>11.45</x:v>
      </x:c>
      <x:c r="F5305" s="18" t="n">
        <x:v>11.36</x:v>
      </x:c>
      <x:c r="G5305" t="n">
        <x:v>60</x:v>
      </x:c>
      <x:c r="H5305" t="str">
        <x:v>A</x:v>
      </x:c>
      <x:c r="I5305" t="str">
        <x:v>4-6 years</x:v>
      </x:c>
      <x:c r="J5305" t="str">
        <x:v>MORTGAGE</x:v>
      </x:c>
      <x:c r="K5305" t="str">
        <x:v>debt_consolidation</x:v>
      </x:c>
      <x:c r="L5305" t="n">
        <x:v>0</x:v>
      </x:c>
      <x:c r="M5305" t="n">
        <x:v>0</x:v>
      </x:c>
      <x:c r="N5305" t="str">
        <x:v>Fully Paid</x:v>
      </x:c>
      <x:c r="O5305" t="str">
        <x:f>IF(D5305="","Unknown",IF(D5305&lt;25000,"&lt;$25k",IF(D5305&lt;50000,"$25k-$50k",IF(D5305&lt;75000,"$50k-$75k",IF(D5305&lt;100000,"$75k-$100k","$100k+")))))</x:f>
        <x:v>$50k-$75k</x:v>
      </x:c>
      <x:c r="P5305" t="str">
        <x:f>IF(E5305="","Unknown",IF(E5305&lt;10,"&lt;10",IF(E5305&lt;20,"10-&lt;20",IF(E5305&lt;25,"20-&lt;25",IF(E5305&lt;35,"25-&lt;35","35+")))))</x:f>
        <x:v>10-&lt;20</x:v>
      </x:c>
    </x:row>
    <x:row r="5306">
      <x:c r="A5306" t="str">
        <x:v>SYN0005305</x:v>
      </x:c>
      <x:c r="B5306" s="12" t="n">
        <x:v>41755</x:v>
      </x:c>
      <x:c r="C5306" s="18" t="n">
        <x:v>11795</x:v>
      </x:c>
      <x:c r="D5306" s="18" t="n">
        <x:v>72013</x:v>
      </x:c>
      <x:c r="E5306" s="18" t="n">
        <x:v>7.55</x:v>
      </x:c>
      <x:c r="F5306" s="18" t="n">
        <x:v>10.73</x:v>
      </x:c>
      <x:c r="G5306" t="n">
        <x:v>36</x:v>
      </x:c>
      <x:c r="H5306" t="str">
        <x:v>C</x:v>
      </x:c>
      <x:c r="I5306" t="str">
        <x:v>1-3 years</x:v>
      </x:c>
      <x:c r="J5306" t="str">
        <x:v>OWN</x:v>
      </x:c>
      <x:c r="K5306" t="str">
        <x:v>other</x:v>
      </x:c>
      <x:c r="L5306" t="n">
        <x:v>0</x:v>
      </x:c>
      <x:c r="M5306" t="n">
        <x:v>0</x:v>
      </x:c>
      <x:c r="N5306" t="str">
        <x:v>Fully Paid</x:v>
      </x:c>
      <x:c r="O5306" t="str">
        <x:f>IF(D5306="","Unknown",IF(D5306&lt;25000,"&lt;$25k",IF(D5306&lt;50000,"$25k-$50k",IF(D5306&lt;75000,"$50k-$75k",IF(D5306&lt;100000,"$75k-$100k","$100k+")))))</x:f>
        <x:v>$50k-$75k</x:v>
      </x:c>
      <x:c r="P5306" t="str">
        <x:f>IF(E5306="","Unknown",IF(E5306&lt;10,"&lt;10",IF(E5306&lt;20,"10-&lt;20",IF(E5306&lt;25,"20-&lt;25",IF(E5306&lt;35,"25-&lt;35","35+")))))</x:f>
        <x:v>&lt;10</x:v>
      </x:c>
    </x:row>
    <x:row r="5307">
      <x:c r="A5307" t="str">
        <x:v>SYN0005306</x:v>
      </x:c>
      <x:c r="B5307" s="12" t="n">
        <x:v>41725</x:v>
      </x:c>
      <x:c r="C5307" s="18" t="n">
        <x:v>11225</x:v>
      </x:c>
      <x:c r="D5307" s="18" t="n">
        <x:v>62210</x:v>
      </x:c>
      <x:c r="E5307" s="18" t="n">
        <x:v>20.96</x:v>
      </x:c>
      <x:c r="F5307" s="18" t="n">
        <x:v>15.78</x:v>
      </x:c>
      <x:c r="G5307" t="n">
        <x:v>36</x:v>
      </x:c>
      <x:c r="H5307" t="str">
        <x:v>D</x:v>
      </x:c>
      <x:c r="I5307" t="str">
        <x:v>1-3 years</x:v>
      </x:c>
      <x:c r="J5307" t="str">
        <x:v>MORTGAGE</x:v>
      </x:c>
      <x:c r="K5307" t="str">
        <x:v>debt_consolidation</x:v>
      </x:c>
      <x:c r="L5307" t="n">
        <x:v>0</x:v>
      </x:c>
      <x:c r="M5307" t="n">
        <x:v>0</x:v>
      </x:c>
      <x:c r="N5307" t="str">
        <x:v>Fully Paid</x:v>
      </x:c>
      <x:c r="O5307" t="str">
        <x:f>IF(D5307="","Unknown",IF(D5307&lt;25000,"&lt;$25k",IF(D5307&lt;50000,"$25k-$50k",IF(D5307&lt;75000,"$50k-$75k",IF(D5307&lt;100000,"$75k-$100k","$100k+")))))</x:f>
        <x:v>$50k-$75k</x:v>
      </x:c>
      <x:c r="P5307" t="str">
        <x:f>IF(E5307="","Unknown",IF(E5307&lt;10,"&lt;10",IF(E5307&lt;20,"10-&lt;20",IF(E5307&lt;25,"20-&lt;25",IF(E5307&lt;35,"25-&lt;35","35+")))))</x:f>
        <x:v>20-&lt;25</x:v>
      </x:c>
    </x:row>
    <x:row r="5308">
      <x:c r="A5308" t="str">
        <x:v>SYN0005307</x:v>
      </x:c>
      <x:c r="B5308" s="12" t="n">
        <x:v>43045</x:v>
      </x:c>
      <x:c r="C5308" s="18" t="n">
        <x:v>13431</x:v>
      </x:c>
      <x:c r="D5308" s="18" t="n">
        <x:v>14630</x:v>
      </x:c>
      <x:c r="E5308" s="18" t="n">
        <x:v>21.81</x:v>
      </x:c>
      <x:c r="F5308" s="18" t="n">
        <x:v>6.93</x:v>
      </x:c>
      <x:c r="G5308" t="n">
        <x:v>36</x:v>
      </x:c>
      <x:c r="H5308" t="str">
        <x:v>B</x:v>
      </x:c>
      <x:c r="I5308" t="str">
        <x:v>4-6 years</x:v>
      </x:c>
      <x:c r="J5308" t="str">
        <x:v>MORTGAGE</x:v>
      </x:c>
      <x:c r="K5308" t="str">
        <x:v>debt_consolidation</x:v>
      </x:c>
      <x:c r="L5308" t="n">
        <x:v>0</x:v>
      </x:c>
      <x:c r="M5308" t="n">
        <x:v>0</x:v>
      </x:c>
      <x:c r="N5308" t="str">
        <x:v>Fully Paid</x:v>
      </x:c>
      <x:c r="O5308" t="str">
        <x:f>IF(D5308="","Unknown",IF(D5308&lt;25000,"&lt;$25k",IF(D5308&lt;50000,"$25k-$50k",IF(D5308&lt;75000,"$50k-$75k",IF(D5308&lt;100000,"$75k-$100k","$100k+")))))</x:f>
        <x:v>&lt;$25k</x:v>
      </x:c>
      <x:c r="P5308" t="str">
        <x:f>IF(E5308="","Unknown",IF(E5308&lt;10,"&lt;10",IF(E5308&lt;20,"10-&lt;20",IF(E5308&lt;25,"20-&lt;25",IF(E5308&lt;35,"25-&lt;35","35+")))))</x:f>
        <x:v>20-&lt;25</x:v>
      </x:c>
    </x:row>
    <x:row r="5309">
      <x:c r="A5309" t="str">
        <x:v>SYN0005308</x:v>
      </x:c>
      <x:c r="B5309" s="12" t="n">
        <x:v>42745</x:v>
      </x:c>
      <x:c r="C5309" s="18" t="n">
        <x:v>19398</x:v>
      </x:c>
      <x:c r="D5309" s="18" t="n">
        <x:v>72488</x:v>
      </x:c>
      <x:c r="E5309" s="18" t="n">
        <x:v>19.3</x:v>
      </x:c>
      <x:c r="F5309" s="18" t="n">
        <x:v>11.59</x:v>
      </x:c>
      <x:c r="G5309" t="n">
        <x:v>60</x:v>
      </x:c>
      <x:c r="H5309" t="str">
        <x:v>D</x:v>
      </x:c>
      <x:c r="I5309" t="str">
        <x:v>4-6 years</x:v>
      </x:c>
      <x:c r="J5309" t="str">
        <x:v>OWN</x:v>
      </x:c>
      <x:c r="K5309" t="str">
        <x:v>credit_card</x:v>
      </x:c>
      <x:c r="L5309" t="n">
        <x:v>1</x:v>
      </x:c>
      <x:c r="M5309" t="n">
        <x:v>0</x:v>
      </x:c>
      <x:c r="N5309" t="str">
        <x:v>Fully Paid</x:v>
      </x:c>
      <x:c r="O5309" t="str">
        <x:f>IF(D5309="","Unknown",IF(D5309&lt;25000,"&lt;$25k",IF(D5309&lt;50000,"$25k-$50k",IF(D5309&lt;75000,"$50k-$75k",IF(D5309&lt;100000,"$75k-$100k","$100k+")))))</x:f>
        <x:v>$50k-$75k</x:v>
      </x:c>
      <x:c r="P5309" t="str">
        <x:f>IF(E5309="","Unknown",IF(E5309&lt;10,"&lt;10",IF(E5309&lt;20,"10-&lt;20",IF(E5309&lt;25,"20-&lt;25",IF(E5309&lt;35,"25-&lt;35","35+")))))</x:f>
        <x:v>10-&lt;20</x:v>
      </x:c>
    </x:row>
    <x:row r="5310">
      <x:c r="A5310" t="str">
        <x:v>SYN0005309</x:v>
      </x:c>
      <x:c r="B5310" s="12" t="n">
        <x:v>42205</x:v>
      </x:c>
      <x:c r="C5310" s="18" t="n">
        <x:v>12388</x:v>
      </x:c>
      <x:c r="D5310" s="18" t="n">
        <x:v>168508</x:v>
      </x:c>
      <x:c r="E5310" s="18" t="n">
        <x:v>30.43</x:v>
      </x:c>
      <x:c r="F5310" s="18" t="n">
        <x:v>13.62</x:v>
      </x:c>
      <x:c r="G5310" t="n">
        <x:v>60</x:v>
      </x:c>
      <x:c r="H5310" t="str">
        <x:v>D</x:v>
      </x:c>
      <x:c r="I5310" t="str">
        <x:v>4-6 years</x:v>
      </x:c>
      <x:c r="J5310" t="str">
        <x:v>RENT</x:v>
      </x:c>
      <x:c r="K5310" t="str">
        <x:v>debt_consolidation</x:v>
      </x:c>
      <x:c r="L5310" t="n">
        <x:v>0</x:v>
      </x:c>
      <x:c r="M5310" t="n">
        <x:v>1</x:v>
      </x:c>
      <x:c r="N5310" t="str">
        <x:v>Charged Off</x:v>
      </x:c>
      <x:c r="O5310" t="str">
        <x:f>IF(D5310="","Unknown",IF(D5310&lt;25000,"&lt;$25k",IF(D5310&lt;50000,"$25k-$50k",IF(D5310&lt;75000,"$50k-$75k",IF(D5310&lt;100000,"$75k-$100k","$100k+")))))</x:f>
        <x:v>$100k+</x:v>
      </x:c>
      <x:c r="P5310" t="str">
        <x:f>IF(E5310="","Unknown",IF(E5310&lt;10,"&lt;10",IF(E5310&lt;20,"10-&lt;20",IF(E5310&lt;25,"20-&lt;25",IF(E5310&lt;35,"25-&lt;35","35+")))))</x:f>
        <x:v>25-&lt;35</x:v>
      </x:c>
    </x:row>
    <x:row r="5311">
      <x:c r="A5311" t="str">
        <x:v>SYN0005310</x:v>
      </x:c>
      <x:c r="B5311" s="12" t="n">
        <x:v>41785</x:v>
      </x:c>
      <x:c r="C5311" s="18" t="n">
        <x:v>15494</x:v>
      </x:c>
      <x:c r="D5311" s="18" t="n">
        <x:v>97670</x:v>
      </x:c>
      <x:c r="E5311" s="18" t="n">
        <x:v>14.09</x:v>
      </x:c>
      <x:c r="F5311" s="18" t="n">
        <x:v>8.76</x:v>
      </x:c>
      <x:c r="G5311" t="n">
        <x:v>60</x:v>
      </x:c>
      <x:c r="H5311" t="str">
        <x:v>B</x:v>
      </x:c>
      <x:c r="I5311" t="str">
        <x:v>1-3 years</x:v>
      </x:c>
      <x:c r="J5311" t="str">
        <x:v>RENT</x:v>
      </x:c>
      <x:c r="K5311" t="str">
        <x:v>debt_consolidation</x:v>
      </x:c>
      <x:c r="L5311" t="n">
        <x:v>0</x:v>
      </x:c>
      <x:c r="M5311" t="n">
        <x:v>0</x:v>
      </x:c>
      <x:c r="N5311" t="str">
        <x:v>Fully Paid</x:v>
      </x:c>
      <x:c r="O5311" t="str">
        <x:f>IF(D5311="","Unknown",IF(D5311&lt;25000,"&lt;$25k",IF(D5311&lt;50000,"$25k-$50k",IF(D5311&lt;75000,"$50k-$75k",IF(D5311&lt;100000,"$75k-$100k","$100k+")))))</x:f>
        <x:v>$75k-$100k</x:v>
      </x:c>
      <x:c r="P5311" t="str">
        <x:f>IF(E5311="","Unknown",IF(E5311&lt;10,"&lt;10",IF(E5311&lt;20,"10-&lt;20",IF(E5311&lt;25,"20-&lt;25",IF(E5311&lt;35,"25-&lt;35","35+")))))</x:f>
        <x:v>10-&lt;20</x:v>
      </x:c>
    </x:row>
    <x:row r="5312">
      <x:c r="A5312" t="str">
        <x:v>SYN0005311</x:v>
      </x:c>
      <x:c r="B5312" s="12" t="n">
        <x:v>41725</x:v>
      </x:c>
      <x:c r="C5312" s="18" t="n">
        <x:v>19635</x:v>
      </x:c>
      <x:c r="D5312" s="18" t="n">
        <x:v>61674</x:v>
      </x:c>
      <x:c r="E5312" s="18" t="n">
        <x:v>14.88</x:v>
      </x:c>
      <x:c r="F5312" s="18" t="n">
        <x:v>9.77</x:v>
      </x:c>
      <x:c r="G5312" t="n">
        <x:v>36</x:v>
      </x:c>
      <x:c r="H5312" t="str">
        <x:v>C</x:v>
      </x:c>
      <x:c r="I5312" t="str">
        <x:v>7-9 years</x:v>
      </x:c>
      <x:c r="J5312" t="str">
        <x:v>MORTGAGE</x:v>
      </x:c>
      <x:c r="K5312" t="str">
        <x:v>credit_card</x:v>
      </x:c>
      <x:c r="L5312" t="n">
        <x:v>0</x:v>
      </x:c>
      <x:c r="M5312" t="n">
        <x:v>0</x:v>
      </x:c>
      <x:c r="N5312" t="str">
        <x:v>Fully Paid</x:v>
      </x:c>
      <x:c r="O5312" t="str">
        <x:f>IF(D5312="","Unknown",IF(D5312&lt;25000,"&lt;$25k",IF(D5312&lt;50000,"$25k-$50k",IF(D5312&lt;75000,"$50k-$75k",IF(D5312&lt;100000,"$75k-$100k","$100k+")))))</x:f>
        <x:v>$50k-$75k</x:v>
      </x:c>
      <x:c r="P5312" t="str">
        <x:f>IF(E5312="","Unknown",IF(E5312&lt;10,"&lt;10",IF(E5312&lt;20,"10-&lt;20",IF(E5312&lt;25,"20-&lt;25",IF(E5312&lt;35,"25-&lt;35","35+")))))</x:f>
        <x:v>10-&lt;20</x:v>
      </x:c>
    </x:row>
    <x:row r="5313">
      <x:c r="A5313" t="str">
        <x:v>SYN0005312</x:v>
      </x:c>
      <x:c r="B5313" s="12" t="n">
        <x:v>41845</x:v>
      </x:c>
      <x:c r="C5313" s="18" t="n">
        <x:v>11759</x:v>
      </x:c>
      <x:c r="D5313" s="18" t="n">
        <x:v>86403</x:v>
      </x:c>
      <x:c r="E5313" s="18" t="n">
        <x:v>41.89</x:v>
      </x:c>
      <x:c r="F5313" s="18" t="n">
        <x:v>11.13</x:v>
      </x:c>
      <x:c r="G5313" t="n">
        <x:v>36</x:v>
      </x:c>
      <x:c r="H5313" t="str">
        <x:v>D</x:v>
      </x:c>
      <x:c r="I5313" t="str">
        <x:v>&lt;1 year</x:v>
      </x:c>
      <x:c r="J5313" t="str">
        <x:v>MORTGAGE</x:v>
      </x:c>
      <x:c r="K5313" t="str">
        <x:v>credit_card</x:v>
      </x:c>
      <x:c r="L5313" t="n">
        <x:v>0</x:v>
      </x:c>
      <x:c r="M5313" t="n">
        <x:v>0</x:v>
      </x:c>
      <x:c r="N5313" t="str">
        <x:v>Fully Paid</x:v>
      </x:c>
      <x:c r="O5313" t="str">
        <x:f>IF(D5313="","Unknown",IF(D5313&lt;25000,"&lt;$25k",IF(D5313&lt;50000,"$25k-$50k",IF(D5313&lt;75000,"$50k-$75k",IF(D5313&lt;100000,"$75k-$100k","$100k+")))))</x:f>
        <x:v>$75k-$100k</x:v>
      </x:c>
      <x:c r="P5313" t="str">
        <x:f>IF(E5313="","Unknown",IF(E5313&lt;10,"&lt;10",IF(E5313&lt;20,"10-&lt;20",IF(E5313&lt;25,"20-&lt;25",IF(E5313&lt;35,"25-&lt;35","35+")))))</x:f>
        <x:v>35+</x:v>
      </x:c>
    </x:row>
    <x:row r="5314">
      <x:c r="A5314" t="str">
        <x:v>SYN0005313</x:v>
      </x:c>
      <x:c r="B5314" s="12" t="n">
        <x:v>42265</x:v>
      </x:c>
      <x:c r="C5314" s="18" t="n">
        <x:v>16845</x:v>
      </x:c>
      <x:c r="D5314" s="18" t="n">
        <x:v>30394</x:v>
      </x:c>
      <x:c r="E5314" s="18" t="n">
        <x:v>29.61</x:v>
      </x:c>
      <x:c r="F5314" s="18" t="n">
        <x:v>22.22</x:v>
      </x:c>
      <x:c r="G5314" t="n">
        <x:v>36</x:v>
      </x:c>
      <x:c r="H5314" t="str">
        <x:v>F</x:v>
      </x:c>
      <x:c r="I5314" t="str">
        <x:v>4-6 years</x:v>
      </x:c>
      <x:c r="J5314" t="str">
        <x:v>RENT</x:v>
      </x:c>
      <x:c r="K5314" t="str">
        <x:v>debt_consolidation</x:v>
      </x:c>
      <x:c r="L5314" t="n">
        <x:v>2</x:v>
      </x:c>
      <x:c r="M5314" t="n">
        <x:v>0</x:v>
      </x:c>
      <x:c r="N5314" t="str">
        <x:v>Fully Paid</x:v>
      </x:c>
      <x:c r="O5314" t="str">
        <x:f>IF(D5314="","Unknown",IF(D5314&lt;25000,"&lt;$25k",IF(D5314&lt;50000,"$25k-$50k",IF(D5314&lt;75000,"$50k-$75k",IF(D5314&lt;100000,"$75k-$100k","$100k+")))))</x:f>
        <x:v>$25k-$50k</x:v>
      </x:c>
      <x:c r="P5314" t="str">
        <x:f>IF(E5314="","Unknown",IF(E5314&lt;10,"&lt;10",IF(E5314&lt;20,"10-&lt;20",IF(E5314&lt;25,"20-&lt;25",IF(E5314&lt;35,"25-&lt;35","35+")))))</x:f>
        <x:v>25-&lt;35</x:v>
      </x:c>
    </x:row>
    <x:row r="5315">
      <x:c r="A5315" t="str">
        <x:v>SYN0005314</x:v>
      </x:c>
      <x:c r="B5315" s="12" t="n">
        <x:v>43075</x:v>
      </x:c>
      <x:c r="C5315" s="18" t="n">
        <x:v>8653</x:v>
      </x:c>
      <x:c r="D5315" s="18" t="n">
        <x:v>53035</x:v>
      </x:c>
      <x:c r="E5315" s="18" t="n">
        <x:v>12.89</x:v>
      </x:c>
      <x:c r="F5315" s="18" t="n">
        <x:v>7.84</x:v>
      </x:c>
      <x:c r="G5315" t="n">
        <x:v>60</x:v>
      </x:c>
      <x:c r="H5315" t="str">
        <x:v>A</x:v>
      </x:c>
      <x:c r="I5315" t="str">
        <x:v>4-6 years</x:v>
      </x:c>
      <x:c r="J5315" t="str">
        <x:v>MORTGAGE</x:v>
      </x:c>
      <x:c r="K5315" t="str">
        <x:v>home_improvement</x:v>
      </x:c>
      <x:c r="L5315" t="n">
        <x:v>0</x:v>
      </x:c>
      <x:c r="M5315" t="n">
        <x:v>1</x:v>
      </x:c>
      <x:c r="N5315" t="str">
        <x:v>Charged Off</x:v>
      </x:c>
      <x:c r="O5315" t="str">
        <x:f>IF(D5315="","Unknown",IF(D5315&lt;25000,"&lt;$25k",IF(D5315&lt;50000,"$25k-$50k",IF(D5315&lt;75000,"$50k-$75k",IF(D5315&lt;100000,"$75k-$100k","$100k+")))))</x:f>
        <x:v>$50k-$75k</x:v>
      </x:c>
      <x:c r="P5315" t="str">
        <x:f>IF(E5315="","Unknown",IF(E5315&lt;10,"&lt;10",IF(E5315&lt;20,"10-&lt;20",IF(E5315&lt;25,"20-&lt;25",IF(E5315&lt;35,"25-&lt;35","35+")))))</x:f>
        <x:v>10-&lt;20</x:v>
      </x:c>
    </x:row>
    <x:row r="5316">
      <x:c r="A5316" t="str">
        <x:v>SYN0005315</x:v>
      </x:c>
      <x:c r="B5316" s="12" t="n">
        <x:v>42445</x:v>
      </x:c>
      <x:c r="C5316" s="18" t="n">
        <x:v>16577</x:v>
      </x:c>
      <x:c r="D5316" s="18" t="n">
        <x:v>34244</x:v>
      </x:c>
      <x:c r="E5316" s="18" t="n">
        <x:v>20.8</x:v>
      </x:c>
      <x:c r="F5316" s="18" t="n">
        <x:v>24.53</x:v>
      </x:c>
      <x:c r="G5316" t="n">
        <x:v>36</x:v>
      </x:c>
      <x:c r="H5316" t="str">
        <x:v>F</x:v>
      </x:c>
      <x:c r="I5316" t="str">
        <x:v>4-6 years</x:v>
      </x:c>
      <x:c r="J5316" t="str">
        <x:v>RENT</x:v>
      </x:c>
      <x:c r="K5316" t="str">
        <x:v>debt_consolidation</x:v>
      </x:c>
      <x:c r="L5316" t="n">
        <x:v>0</x:v>
      </x:c>
      <x:c r="M5316" t="n">
        <x:v>0</x:v>
      </x:c>
      <x:c r="N5316" t="str">
        <x:v>Fully Paid</x:v>
      </x:c>
      <x:c r="O5316" t="str">
        <x:f>IF(D5316="","Unknown",IF(D5316&lt;25000,"&lt;$25k",IF(D5316&lt;50000,"$25k-$50k",IF(D5316&lt;75000,"$50k-$75k",IF(D5316&lt;100000,"$75k-$100k","$100k+")))))</x:f>
        <x:v>$25k-$50k</x:v>
      </x:c>
      <x:c r="P5316" t="str">
        <x:f>IF(E5316="","Unknown",IF(E5316&lt;10,"&lt;10",IF(E5316&lt;20,"10-&lt;20",IF(E5316&lt;25,"20-&lt;25",IF(E5316&lt;35,"25-&lt;35","35+")))))</x:f>
        <x:v>20-&lt;25</x:v>
      </x:c>
    </x:row>
    <x:row r="5317">
      <x:c r="A5317" t="str">
        <x:v>SYN0005316</x:v>
      </x:c>
      <x:c r="B5317" s="12" t="n">
        <x:v>43135</x:v>
      </x:c>
      <x:c r="C5317" s="18" t="n">
        <x:v>12756</x:v>
      </x:c>
      <x:c r="D5317" s="18" t="n">
        <x:v>250000</x:v>
      </x:c>
      <x:c r="E5317" s="18" t="n">
        <x:v>12.67</x:v>
      </x:c>
      <x:c r="F5317" s="18" t="n">
        <x:v>15.34</x:v>
      </x:c>
      <x:c r="G5317" t="n">
        <x:v>36</x:v>
      </x:c>
      <x:c r="H5317" t="str">
        <x:v>D</x:v>
      </x:c>
      <x:c r="I5317" t="str">
        <x:v>&lt;1 year</x:v>
      </x:c>
      <x:c r="J5317" t="str">
        <x:v>OWN</x:v>
      </x:c>
      <x:c r="K5317" t="str">
        <x:v>debt_consolidation</x:v>
      </x:c>
      <x:c r="L5317" t="n">
        <x:v>1</x:v>
      </x:c>
      <x:c r="M5317" t="n">
        <x:v>0</x:v>
      </x:c>
      <x:c r="N5317" t="str">
        <x:v>Fully Paid</x:v>
      </x:c>
      <x:c r="O5317" t="str">
        <x:f>IF(D5317="","Unknown",IF(D5317&lt;25000,"&lt;$25k",IF(D5317&lt;50000,"$25k-$50k",IF(D5317&lt;75000,"$50k-$75k",IF(D5317&lt;100000,"$75k-$100k","$100k+")))))</x:f>
        <x:v>$100k+</x:v>
      </x:c>
      <x:c r="P5317" t="str">
        <x:f>IF(E5317="","Unknown",IF(E5317&lt;10,"&lt;10",IF(E5317&lt;20,"10-&lt;20",IF(E5317&lt;25,"20-&lt;25",IF(E5317&lt;35,"25-&lt;35","35+")))))</x:f>
        <x:v>10-&lt;20</x:v>
      </x:c>
    </x:row>
    <x:row r="5318">
      <x:c r="A5318" t="str">
        <x:v>SYN0005317</x:v>
      </x:c>
      <x:c r="B5318" s="12" t="n">
        <x:v>42745</x:v>
      </x:c>
      <x:c r="C5318" s="18" t="n">
        <x:v>14317</x:v>
      </x:c>
      <x:c r="D5318" s="18" t="n">
        <x:v>23030</x:v>
      </x:c>
      <x:c r="E5318" s="18" t="n">
        <x:v>12.21</x:v>
      </x:c>
      <x:c r="F5318" s="18" t="n">
        <x:v>18.69</x:v>
      </x:c>
      <x:c r="G5318" t="n">
        <x:v>60</x:v>
      </x:c>
      <x:c r="H5318" t="str">
        <x:v>D</x:v>
      </x:c>
      <x:c r="I5318" t="str">
        <x:v>4-6 years</x:v>
      </x:c>
      <x:c r="J5318" t="str">
        <x:v>MORTGAGE</x:v>
      </x:c>
      <x:c r="K5318" t="str">
        <x:v>debt_consolidation</x:v>
      </x:c>
      <x:c r="L5318" t="n">
        <x:v>0</x:v>
      </x:c>
      <x:c r="M5318" t="n">
        <x:v>0</x:v>
      </x:c>
      <x:c r="N5318" t="str">
        <x:v>Fully Paid</x:v>
      </x:c>
      <x:c r="O5318" t="str">
        <x:f>IF(D5318="","Unknown",IF(D5318&lt;25000,"&lt;$25k",IF(D5318&lt;50000,"$25k-$50k",IF(D5318&lt;75000,"$50k-$75k",IF(D5318&lt;100000,"$75k-$100k","$100k+")))))</x:f>
        <x:v>&lt;$25k</x:v>
      </x:c>
      <x:c r="P5318" t="str">
        <x:f>IF(E5318="","Unknown",IF(E5318&lt;10,"&lt;10",IF(E5318&lt;20,"10-&lt;20",IF(E5318&lt;25,"20-&lt;25",IF(E5318&lt;35,"25-&lt;35","35+")))))</x:f>
        <x:v>10-&lt;20</x:v>
      </x:c>
    </x:row>
    <x:row r="5319">
      <x:c r="A5319" t="str">
        <x:v>SYN0005318</x:v>
      </x:c>
      <x:c r="B5319" s="12" t="n">
        <x:v>41395</x:v>
      </x:c>
      <x:c r="C5319" s="18" t="n">
        <x:v>9041</x:v>
      </x:c>
      <x:c r="D5319" s="18" t="n">
        <x:v>30795</x:v>
      </x:c>
      <x:c r="E5319" s="18" t="n">
        <x:v>31.98</x:v>
      </x:c>
      <x:c r="F5319" s="18" t="n">
        <x:v>23.87</x:v>
      </x:c>
      <x:c r="G5319" t="n">
        <x:v>60</x:v>
      </x:c>
      <x:c r="H5319" t="str">
        <x:v>F</x:v>
      </x:c>
      <x:c r="I5319" t="str">
        <x:v>7-9 years</x:v>
      </x:c>
      <x:c r="J5319" t="str">
        <x:v>RENT</x:v>
      </x:c>
      <x:c r="K5319" t="str">
        <x:v>credit_card</x:v>
      </x:c>
      <x:c r="L5319" t="n">
        <x:v>2</x:v>
      </x:c>
      <x:c r="M5319" t="n">
        <x:v>1</x:v>
      </x:c>
      <x:c r="N5319" t="str">
        <x:v>Charged Off</x:v>
      </x:c>
      <x:c r="O5319" t="str">
        <x:f>IF(D5319="","Unknown",IF(D5319&lt;25000,"&lt;$25k",IF(D5319&lt;50000,"$25k-$50k",IF(D5319&lt;75000,"$50k-$75k",IF(D5319&lt;100000,"$75k-$100k","$100k+")))))</x:f>
        <x:v>$25k-$50k</x:v>
      </x:c>
      <x:c r="P5319" t="str">
        <x:f>IF(E5319="","Unknown",IF(E5319&lt;10,"&lt;10",IF(E5319&lt;20,"10-&lt;20",IF(E5319&lt;25,"20-&lt;25",IF(E5319&lt;35,"25-&lt;35","35+")))))</x:f>
        <x:v>25-&lt;35</x:v>
      </x:c>
    </x:row>
    <x:row r="5320">
      <x:c r="A5320" t="str">
        <x:v>SYN0005319</x:v>
      </x:c>
      <x:c r="B5320" s="12" t="n">
        <x:v>41965</x:v>
      </x:c>
      <x:c r="C5320" s="18" t="n">
        <x:v>12291</x:v>
      </x:c>
      <x:c r="D5320" s="18" t="n">
        <x:v>12000</x:v>
      </x:c>
      <x:c r="E5320" s="18" t="n">
        <x:v>31.86</x:v>
      </x:c>
      <x:c r="F5320" s="18" t="n">
        <x:v>17.86</x:v>
      </x:c>
      <x:c r="G5320" t="n">
        <x:v>60</x:v>
      </x:c>
      <x:c r="H5320" t="str">
        <x:v>E</x:v>
      </x:c>
      <x:c r="I5320" t="str">
        <x:v>7-9 years</x:v>
      </x:c>
      <x:c r="J5320" t="str">
        <x:v>RENT</x:v>
      </x:c>
      <x:c r="K5320" t="str">
        <x:v>medical</x:v>
      </x:c>
      <x:c r="L5320" t="n">
        <x:v>0</x:v>
      </x:c>
      <x:c r="M5320" t="n">
        <x:v>0</x:v>
      </x:c>
      <x:c r="N5320" t="str">
        <x:v>Fully Paid</x:v>
      </x:c>
      <x:c r="O5320" t="str">
        <x:f>IF(D5320="","Unknown",IF(D5320&lt;25000,"&lt;$25k",IF(D5320&lt;50000,"$25k-$50k",IF(D5320&lt;75000,"$50k-$75k",IF(D5320&lt;100000,"$75k-$100k","$100k+")))))</x:f>
        <x:v>&lt;$25k</x:v>
      </x:c>
      <x:c r="P5320" t="str">
        <x:f>IF(E5320="","Unknown",IF(E5320&lt;10,"&lt;10",IF(E5320&lt;20,"10-&lt;20",IF(E5320&lt;25,"20-&lt;25",IF(E5320&lt;35,"25-&lt;35","35+")))))</x:f>
        <x:v>25-&lt;35</x:v>
      </x:c>
    </x:row>
    <x:row r="5321">
      <x:c r="A5321" t="str">
        <x:v>SYN0005320</x:v>
      </x:c>
      <x:c r="B5321" s="12" t="n">
        <x:v>41575</x:v>
      </x:c>
      <x:c r="C5321" s="18" t="n">
        <x:v>30713</x:v>
      </x:c>
      <x:c r="D5321" s="18" t="n">
        <x:v>58939</x:v>
      </x:c>
      <x:c r="E5321" s="18" t="n">
        <x:v>15.64</x:v>
      </x:c>
      <x:c r="F5321" s="18" t="n">
        <x:v>8.12</x:v>
      </x:c>
      <x:c r="G5321" t="n">
        <x:v>36</x:v>
      </x:c>
      <x:c r="H5321" t="str">
        <x:v>B</x:v>
      </x:c>
      <x:c r="I5321" t="str">
        <x:v>&lt;1 year</x:v>
      </x:c>
      <x:c r="J5321" t="str">
        <x:v>RENT</x:v>
      </x:c>
      <x:c r="K5321" t="str">
        <x:v>debt_consolidation</x:v>
      </x:c>
      <x:c r="L5321" t="n">
        <x:v>1</x:v>
      </x:c>
      <x:c r="M5321" t="n">
        <x:v>0</x:v>
      </x:c>
      <x:c r="N5321" t="str">
        <x:v>Fully Paid</x:v>
      </x:c>
      <x:c r="O5321" t="str">
        <x:f>IF(D5321="","Unknown",IF(D5321&lt;25000,"&lt;$25k",IF(D5321&lt;50000,"$25k-$50k",IF(D5321&lt;75000,"$50k-$75k",IF(D5321&lt;100000,"$75k-$100k","$100k+")))))</x:f>
        <x:v>$50k-$75k</x:v>
      </x:c>
      <x:c r="P5321" t="str">
        <x:f>IF(E5321="","Unknown",IF(E5321&lt;10,"&lt;10",IF(E5321&lt;20,"10-&lt;20",IF(E5321&lt;25,"20-&lt;25",IF(E5321&lt;35,"25-&lt;35","35+")))))</x:f>
        <x:v>10-&lt;20</x:v>
      </x:c>
    </x:row>
    <x:row r="5322">
      <x:c r="A5322" t="str">
        <x:v>SYN0005321</x:v>
      </x:c>
      <x:c r="B5322" s="12" t="n">
        <x:v>43375</x:v>
      </x:c>
      <x:c r="C5322" s="18" t="n">
        <x:v>6569</x:v>
      </x:c>
      <x:c r="D5322" s="18" t="n">
        <x:v>59211</x:v>
      </x:c>
      <x:c r="E5322" s="18" t="n">
        <x:v>17.07</x:v>
      </x:c>
      <x:c r="F5322" s="18" t="n">
        <x:v>12.64</x:v>
      </x:c>
      <x:c r="G5322" t="n">
        <x:v>36</x:v>
      </x:c>
      <x:c r="H5322" t="str">
        <x:v>D</x:v>
      </x:c>
      <x:c r="I5322" t="str">
        <x:v>1-3 years</x:v>
      </x:c>
      <x:c r="J5322" t="str">
        <x:v>RENT</x:v>
      </x:c>
      <x:c r="K5322" t="str">
        <x:v>debt_consolidation</x:v>
      </x:c>
      <x:c r="L5322" t="n">
        <x:v>1</x:v>
      </x:c>
      <x:c r="M5322" t="n">
        <x:v>1</x:v>
      </x:c>
      <x:c r="N5322" t="str">
        <x:v>Charged Off</x:v>
      </x:c>
      <x:c r="O5322" t="str">
        <x:f>IF(D5322="","Unknown",IF(D5322&lt;25000,"&lt;$25k",IF(D5322&lt;50000,"$25k-$50k",IF(D5322&lt;75000,"$50k-$75k",IF(D5322&lt;100000,"$75k-$100k","$100k+")))))</x:f>
        <x:v>$50k-$75k</x:v>
      </x:c>
      <x:c r="P5322" t="str">
        <x:f>IF(E5322="","Unknown",IF(E5322&lt;10,"&lt;10",IF(E5322&lt;20,"10-&lt;20",IF(E5322&lt;25,"20-&lt;25",IF(E5322&lt;35,"25-&lt;35","35+")))))</x:f>
        <x:v>10-&lt;20</x:v>
      </x:c>
    </x:row>
    <x:row r="5323">
      <x:c r="A5323" t="str">
        <x:v>SYN0005322</x:v>
      </x:c>
      <x:c r="B5323" s="12" t="n">
        <x:v>42835</x:v>
      </x:c>
      <x:c r="C5323" s="18" t="n">
        <x:v>9243</x:v>
      </x:c>
      <x:c r="D5323" s="18" t="n">
        <x:v>40194</x:v>
      </x:c>
      <x:c r="E5323" s="18" t="n">
        <x:v>29.63</x:v>
      </x:c>
      <x:c r="F5323" s="18" t="n">
        <x:v>14.31</x:v>
      </x:c>
      <x:c r="G5323" t="n">
        <x:v>36</x:v>
      </x:c>
      <x:c r="H5323" t="str">
        <x:v>D</x:v>
      </x:c>
      <x:c r="I5323" t="str">
        <x:v>7-9 years</x:v>
      </x:c>
      <x:c r="J5323" t="str">
        <x:v>OWN</x:v>
      </x:c>
      <x:c r="K5323" t="str">
        <x:v>debt_consolidation</x:v>
      </x:c>
      <x:c r="L5323" t="n">
        <x:v>0</x:v>
      </x:c>
      <x:c r="M5323" t="n">
        <x:v>1</x:v>
      </x:c>
      <x:c r="N5323" t="str">
        <x:v>Charged Off</x:v>
      </x:c>
      <x:c r="O5323" t="str">
        <x:f>IF(D5323="","Unknown",IF(D5323&lt;25000,"&lt;$25k",IF(D5323&lt;50000,"$25k-$50k",IF(D5323&lt;75000,"$50k-$75k",IF(D5323&lt;100000,"$75k-$100k","$100k+")))))</x:f>
        <x:v>$25k-$50k</x:v>
      </x:c>
      <x:c r="P5323" t="str">
        <x:f>IF(E5323="","Unknown",IF(E5323&lt;10,"&lt;10",IF(E5323&lt;20,"10-&lt;20",IF(E5323&lt;25,"20-&lt;25",IF(E5323&lt;35,"25-&lt;35","35+")))))</x:f>
        <x:v>25-&lt;35</x:v>
      </x:c>
    </x:row>
    <x:row r="5324">
      <x:c r="A5324" t="str">
        <x:v>SYN0005323</x:v>
      </x:c>
      <x:c r="B5324" s="12" t="n">
        <x:v>42625</x:v>
      </x:c>
      <x:c r="C5324" s="18" t="n">
        <x:v>9739</x:v>
      </x:c>
      <x:c r="D5324" s="18" t="n">
        <x:v>44588</x:v>
      </x:c>
      <x:c r="E5324" s="18" t="n">
        <x:v>9.15</x:v>
      </x:c>
      <x:c r="F5324" s="18" t="n">
        <x:v>10.47</x:v>
      </x:c>
      <x:c r="G5324" t="n">
        <x:v>36</x:v>
      </x:c>
      <x:c r="H5324" t="str">
        <x:v>C</x:v>
      </x:c>
      <x:c r="I5324" t="str">
        <x:v>10+ years</x:v>
      </x:c>
      <x:c r="J5324" t="str">
        <x:v>RENT</x:v>
      </x:c>
      <x:c r="K5324" t="str">
        <x:v>other</x:v>
      </x:c>
      <x:c r="L5324" t="n">
        <x:v>0</x:v>
      </x:c>
      <x:c r="M5324" t="n">
        <x:v>1</x:v>
      </x:c>
      <x:c r="N5324" t="str">
        <x:v>Charged Off</x:v>
      </x:c>
      <x:c r="O5324" t="str">
        <x:f>IF(D5324="","Unknown",IF(D5324&lt;25000,"&lt;$25k",IF(D5324&lt;50000,"$25k-$50k",IF(D5324&lt;75000,"$50k-$75k",IF(D5324&lt;100000,"$75k-$100k","$100k+")))))</x:f>
        <x:v>$25k-$50k</x:v>
      </x:c>
      <x:c r="P5324" t="str">
        <x:f>IF(E5324="","Unknown",IF(E5324&lt;10,"&lt;10",IF(E5324&lt;20,"10-&lt;20",IF(E5324&lt;25,"20-&lt;25",IF(E5324&lt;35,"25-&lt;35","35+")))))</x:f>
        <x:v>&lt;10</x:v>
      </x:c>
    </x:row>
    <x:row r="5325">
      <x:c r="A5325" t="str">
        <x:v>SYN0005324</x:v>
      </x:c>
      <x:c r="B5325" s="12" t="n">
        <x:v>42145</x:v>
      </x:c>
      <x:c r="C5325" s="18" t="n">
        <x:v>15187</x:v>
      </x:c>
      <x:c r="D5325" s="18" t="n">
        <x:v>102189</x:v>
      </x:c>
      <x:c r="E5325" s="18" t="n">
        <x:v>22.92</x:v>
      </x:c>
      <x:c r="F5325" s="18" t="n">
        <x:v>5</x:v>
      </x:c>
      <x:c r="G5325" t="n">
        <x:v>36</x:v>
      </x:c>
      <x:c r="H5325" t="str">
        <x:v>A</x:v>
      </x:c>
      <x:c r="I5325" t="str">
        <x:v>4-6 years</x:v>
      </x:c>
      <x:c r="J5325" t="str">
        <x:v>OWN</x:v>
      </x:c>
      <x:c r="K5325" t="str">
        <x:v>debt_consolidation</x:v>
      </x:c>
      <x:c r="L5325" t="n">
        <x:v>0</x:v>
      </x:c>
      <x:c r="M5325" t="n">
        <x:v>0</x:v>
      </x:c>
      <x:c r="N5325" t="str">
        <x:v>Fully Paid</x:v>
      </x:c>
      <x:c r="O5325" t="str">
        <x:f>IF(D5325="","Unknown",IF(D5325&lt;25000,"&lt;$25k",IF(D5325&lt;50000,"$25k-$50k",IF(D5325&lt;75000,"$50k-$75k",IF(D5325&lt;100000,"$75k-$100k","$100k+")))))</x:f>
        <x:v>$100k+</x:v>
      </x:c>
      <x:c r="P5325" t="str">
        <x:f>IF(E5325="","Unknown",IF(E5325&lt;10,"&lt;10",IF(E5325&lt;20,"10-&lt;20",IF(E5325&lt;25,"20-&lt;25",IF(E5325&lt;35,"25-&lt;35","35+")))))</x:f>
        <x:v>20-&lt;25</x:v>
      </x:c>
    </x:row>
    <x:row r="5326">
      <x:c r="A5326" t="str">
        <x:v>SYN0005325</x:v>
      </x:c>
      <x:c r="B5326" s="12" t="n">
        <x:v>41395</x:v>
      </x:c>
      <x:c r="C5326" s="18" t="n">
        <x:v>5831</x:v>
      </x:c>
      <x:c r="D5326" s="18" t="n">
        <x:v>123975</x:v>
      </x:c>
      <x:c r="E5326" s="18" t="n">
        <x:v>7.99</x:v>
      </x:c>
      <x:c r="F5326" s="18" t="n">
        <x:v>17.61</x:v>
      </x:c>
      <x:c r="G5326" t="n">
        <x:v>36</x:v>
      </x:c>
      <x:c r="H5326" t="str">
        <x:v>D</x:v>
      </x:c>
      <x:c r="I5326" t="str">
        <x:v>10+ years</x:v>
      </x:c>
      <x:c r="J5326" t="str">
        <x:v>RENT</x:v>
      </x:c>
      <x:c r="K5326" t="str">
        <x:v>credit_card</x:v>
      </x:c>
      <x:c r="L5326" t="n">
        <x:v>2</x:v>
      </x:c>
      <x:c r="M5326" t="n">
        <x:v>0</x:v>
      </x:c>
      <x:c r="N5326" t="str">
        <x:v>Fully Paid</x:v>
      </x:c>
      <x:c r="O5326" t="str">
        <x:f>IF(D5326="","Unknown",IF(D5326&lt;25000,"&lt;$25k",IF(D5326&lt;50000,"$25k-$50k",IF(D5326&lt;75000,"$50k-$75k",IF(D5326&lt;100000,"$75k-$100k","$100k+")))))</x:f>
        <x:v>$100k+</x:v>
      </x:c>
      <x:c r="P5326" t="str">
        <x:f>IF(E5326="","Unknown",IF(E5326&lt;10,"&lt;10",IF(E5326&lt;20,"10-&lt;20",IF(E5326&lt;25,"20-&lt;25",IF(E5326&lt;35,"25-&lt;35","35+")))))</x:f>
        <x:v>&lt;10</x:v>
      </x:c>
    </x:row>
    <x:row r="5327">
      <x:c r="A5327" t="str">
        <x:v>SYN0005326</x:v>
      </x:c>
      <x:c r="B5327" s="12" t="n">
        <x:v>43165</x:v>
      </x:c>
      <x:c r="C5327" s="18" t="n">
        <x:v>10862</x:v>
      </x:c>
      <x:c r="D5327" s="18" t="n">
        <x:v>64136</x:v>
      </x:c>
      <x:c r="E5327" s="18" t="n">
        <x:v>13.42</x:v>
      </x:c>
      <x:c r="F5327" s="18" t="n">
        <x:v>19.25</x:v>
      </x:c>
      <x:c r="G5327" t="n">
        <x:v>60</x:v>
      </x:c>
      <x:c r="H5327" t="str">
        <x:v>E</x:v>
      </x:c>
      <x:c r="I5327" t="str">
        <x:v>4-6 years</x:v>
      </x:c>
      <x:c r="J5327" t="str">
        <x:v>OWN</x:v>
      </x:c>
      <x:c r="K5327" t="str">
        <x:v>debt_consolidation</x:v>
      </x:c>
      <x:c r="L5327" t="n">
        <x:v>1</x:v>
      </x:c>
      <x:c r="M5327" t="n">
        <x:v>0</x:v>
      </x:c>
      <x:c r="N5327" t="str">
        <x:v>Fully Paid</x:v>
      </x:c>
      <x:c r="O5327" t="str">
        <x:f>IF(D5327="","Unknown",IF(D5327&lt;25000,"&lt;$25k",IF(D5327&lt;50000,"$25k-$50k",IF(D5327&lt;75000,"$50k-$75k",IF(D5327&lt;100000,"$75k-$100k","$100k+")))))</x:f>
        <x:v>$50k-$75k</x:v>
      </x:c>
      <x:c r="P5327" t="str">
        <x:f>IF(E5327="","Unknown",IF(E5327&lt;10,"&lt;10",IF(E5327&lt;20,"10-&lt;20",IF(E5327&lt;25,"20-&lt;25",IF(E5327&lt;35,"25-&lt;35","35+")))))</x:f>
        <x:v>10-&lt;20</x:v>
      </x:c>
    </x:row>
    <x:row r="5328">
      <x:c r="A5328" t="str">
        <x:v>SYN0005327</x:v>
      </x:c>
      <x:c r="B5328" s="12" t="n">
        <x:v>42625</x:v>
      </x:c>
      <x:c r="C5328" s="18" t="n">
        <x:v>7607</x:v>
      </x:c>
      <x:c r="D5328" s="18" t="n">
        <x:v>106308</x:v>
      </x:c>
      <x:c r="E5328" s="18" t="n">
        <x:v>5.39</x:v>
      </x:c>
      <x:c r="F5328" s="18" t="n">
        <x:v>11.83</x:v>
      </x:c>
      <x:c r="G5328" t="n">
        <x:v>36</x:v>
      </x:c>
      <x:c r="H5328" t="str">
        <x:v>C</x:v>
      </x:c>
      <x:c r="I5328" t="str">
        <x:v>1-3 years</x:v>
      </x:c>
      <x:c r="J5328" t="str">
        <x:v>RENT</x:v>
      </x:c>
      <x:c r="K5328" t="str">
        <x:v>debt_consolidation</x:v>
      </x:c>
      <x:c r="L5328" t="n">
        <x:v>0</x:v>
      </x:c>
      <x:c r="M5328" t="n">
        <x:v>0</x:v>
      </x:c>
      <x:c r="N5328" t="str">
        <x:v>Fully Paid</x:v>
      </x:c>
      <x:c r="O5328" t="str">
        <x:f>IF(D5328="","Unknown",IF(D5328&lt;25000,"&lt;$25k",IF(D5328&lt;50000,"$25k-$50k",IF(D5328&lt;75000,"$50k-$75k",IF(D5328&lt;100000,"$75k-$100k","$100k+")))))</x:f>
        <x:v>$100k+</x:v>
      </x:c>
      <x:c r="P5328" t="str">
        <x:f>IF(E5328="","Unknown",IF(E5328&lt;10,"&lt;10",IF(E5328&lt;20,"10-&lt;20",IF(E5328&lt;25,"20-&lt;25",IF(E5328&lt;35,"25-&lt;35","35+")))))</x:f>
        <x:v>&lt;10</x:v>
      </x:c>
    </x:row>
    <x:row r="5329">
      <x:c r="A5329" t="str">
        <x:v>SYN0005328</x:v>
      </x:c>
      <x:c r="B5329" s="12" t="n">
        <x:v>41695</x:v>
      </x:c>
      <x:c r="C5329" s="18" t="n">
        <x:v>19932</x:v>
      </x:c>
      <x:c r="D5329" s="18" t="n">
        <x:v>92412</x:v>
      </x:c>
      <x:c r="E5329" s="18" t="n">
        <x:v>33.99</x:v>
      </x:c>
      <x:c r="F5329" s="18" t="n">
        <x:v>9.36</x:v>
      </x:c>
      <x:c r="G5329" t="n">
        <x:v>60</x:v>
      </x:c>
      <x:c r="H5329" t="str">
        <x:v>B</x:v>
      </x:c>
      <x:c r="I5329" t="str">
        <x:v>1-3 years</x:v>
      </x:c>
      <x:c r="J5329" t="str">
        <x:v>MORTGAGE</x:v>
      </x:c>
      <x:c r="K5329" t="str">
        <x:v>debt_consolidation</x:v>
      </x:c>
      <x:c r="L5329" t="n">
        <x:v>1</x:v>
      </x:c>
      <x:c r="M5329" t="n">
        <x:v>0</x:v>
      </x:c>
      <x:c r="N5329" t="str">
        <x:v>Fully Paid</x:v>
      </x:c>
      <x:c r="O5329" t="str">
        <x:f>IF(D5329="","Unknown",IF(D5329&lt;25000,"&lt;$25k",IF(D5329&lt;50000,"$25k-$50k",IF(D5329&lt;75000,"$50k-$75k",IF(D5329&lt;100000,"$75k-$100k","$100k+")))))</x:f>
        <x:v>$75k-$100k</x:v>
      </x:c>
      <x:c r="P5329" t="str">
        <x:f>IF(E5329="","Unknown",IF(E5329&lt;10,"&lt;10",IF(E5329&lt;20,"10-&lt;20",IF(E5329&lt;25,"20-&lt;25",IF(E5329&lt;35,"25-&lt;35","35+")))))</x:f>
        <x:v>25-&lt;35</x:v>
      </x:c>
    </x:row>
    <x:row r="5330">
      <x:c r="A5330" t="str">
        <x:v>SYN0005329</x:v>
      </x:c>
      <x:c r="B5330" s="12" t="n">
        <x:v>42865</x:v>
      </x:c>
      <x:c r="C5330" s="18" t="n">
        <x:v>13917</x:v>
      </x:c>
      <x:c r="D5330" s="18" t="n">
        <x:v>79534</x:v>
      </x:c>
      <x:c r="E5330" s="18" t="n">
        <x:v>31.51</x:v>
      </x:c>
      <x:c r="F5330" s="18" t="n">
        <x:v>15.15</x:v>
      </x:c>
      <x:c r="G5330" t="n">
        <x:v>36</x:v>
      </x:c>
      <x:c r="H5330" t="str">
        <x:v>D</x:v>
      </x:c>
      <x:c r="I5330" t="str">
        <x:v>4-6 years</x:v>
      </x:c>
      <x:c r="J5330" t="str">
        <x:v>MORTGAGE</x:v>
      </x:c>
      <x:c r="K5330" t="str">
        <x:v>debt_consolidation</x:v>
      </x:c>
      <x:c r="L5330" t="n">
        <x:v>0</x:v>
      </x:c>
      <x:c r="M5330" t="n">
        <x:v>0</x:v>
      </x:c>
      <x:c r="N5330" t="str">
        <x:v>Fully Paid</x:v>
      </x:c>
      <x:c r="O5330" t="str">
        <x:f>IF(D5330="","Unknown",IF(D5330&lt;25000,"&lt;$25k",IF(D5330&lt;50000,"$25k-$50k",IF(D5330&lt;75000,"$50k-$75k",IF(D5330&lt;100000,"$75k-$100k","$100k+")))))</x:f>
        <x:v>$75k-$100k</x:v>
      </x:c>
      <x:c r="P5330" t="str">
        <x:f>IF(E5330="","Unknown",IF(E5330&lt;10,"&lt;10",IF(E5330&lt;20,"10-&lt;20",IF(E5330&lt;25,"20-&lt;25",IF(E5330&lt;35,"25-&lt;35","35+")))))</x:f>
        <x:v>25-&lt;35</x:v>
      </x:c>
    </x:row>
    <x:row r="5331">
      <x:c r="A5331" t="str">
        <x:v>SYN0005330</x:v>
      </x:c>
      <x:c r="B5331" s="12" t="n">
        <x:v>41395</x:v>
      </x:c>
      <x:c r="C5331" s="18" t="n">
        <x:v>14331</x:v>
      </x:c>
      <x:c r="D5331" s="18" t="n">
        <x:v>50586</x:v>
      </x:c>
      <x:c r="E5331" s="18" t="n">
        <x:v>19.61</x:v>
      </x:c>
      <x:c r="F5331" s="18" t="n">
        <x:v>28.16</x:v>
      </x:c>
      <x:c r="G5331" t="n">
        <x:v>60</x:v>
      </x:c>
      <x:c r="H5331" t="str">
        <x:v>G</x:v>
      </x:c>
      <x:c r="I5331" t="str">
        <x:v>10+ years</x:v>
      </x:c>
      <x:c r="J5331" t="str">
        <x:v>MORTGAGE</x:v>
      </x:c>
      <x:c r="K5331" t="str">
        <x:v>debt_consolidation</x:v>
      </x:c>
      <x:c r="L5331" t="n">
        <x:v>2</x:v>
      </x:c>
      <x:c r="M5331" t="n">
        <x:v>1</x:v>
      </x:c>
      <x:c r="N5331" t="str">
        <x:v>Charged Off</x:v>
      </x:c>
      <x:c r="O5331" t="str">
        <x:f>IF(D5331="","Unknown",IF(D5331&lt;25000,"&lt;$25k",IF(D5331&lt;50000,"$25k-$50k",IF(D5331&lt;75000,"$50k-$75k",IF(D5331&lt;100000,"$75k-$100k","$100k+")))))</x:f>
        <x:v>$50k-$75k</x:v>
      </x:c>
      <x:c r="P5331" t="str">
        <x:f>IF(E5331="","Unknown",IF(E5331&lt;10,"&lt;10",IF(E5331&lt;20,"10-&lt;20",IF(E5331&lt;25,"20-&lt;25",IF(E5331&lt;35,"25-&lt;35","35+")))))</x:f>
        <x:v>10-&lt;20</x:v>
      </x:c>
    </x:row>
    <x:row r="5332">
      <x:c r="A5332" t="str">
        <x:v>SYN0005331</x:v>
      </x:c>
      <x:c r="B5332" s="12" t="n">
        <x:v>41875</x:v>
      </x:c>
      <x:c r="C5332" s="18" t="n">
        <x:v>15834</x:v>
      </x:c>
      <x:c r="D5332" s="18" t="n">
        <x:v>45454</x:v>
      </x:c>
      <x:c r="E5332" s="18" t="n">
        <x:v>27.53</x:v>
      </x:c>
      <x:c r="F5332" s="18" t="n">
        <x:v>9.13</x:v>
      </x:c>
      <x:c r="G5332" t="n">
        <x:v>36</x:v>
      </x:c>
      <x:c r="H5332" t="str">
        <x:v>A</x:v>
      </x:c>
      <x:c r="I5332" t="str">
        <x:v>10+ years</x:v>
      </x:c>
      <x:c r="J5332" t="str">
        <x:v>OWN</x:v>
      </x:c>
      <x:c r="K5332" t="str">
        <x:v>other</x:v>
      </x:c>
      <x:c r="L5332" t="n">
        <x:v>1</x:v>
      </x:c>
      <x:c r="M5332" t="n">
        <x:v>0</x:v>
      </x:c>
      <x:c r="N5332" t="str">
        <x:v>Fully Paid</x:v>
      </x:c>
      <x:c r="O5332" t="str">
        <x:f>IF(D5332="","Unknown",IF(D5332&lt;25000,"&lt;$25k",IF(D5332&lt;50000,"$25k-$50k",IF(D5332&lt;75000,"$50k-$75k",IF(D5332&lt;100000,"$75k-$100k","$100k+")))))</x:f>
        <x:v>$25k-$50k</x:v>
      </x:c>
      <x:c r="P5332" t="str">
        <x:f>IF(E5332="","Unknown",IF(E5332&lt;10,"&lt;10",IF(E5332&lt;20,"10-&lt;20",IF(E5332&lt;25,"20-&lt;25",IF(E5332&lt;35,"25-&lt;35","35+")))))</x:f>
        <x:v>25-&lt;35</x:v>
      </x:c>
    </x:row>
    <x:row r="5333">
      <x:c r="A5333" t="str">
        <x:v>SYN0005332</x:v>
      </x:c>
      <x:c r="B5333" s="12" t="n">
        <x:v>43195</x:v>
      </x:c>
      <x:c r="C5333" s="18" t="n">
        <x:v>15356</x:v>
      </x:c>
      <x:c r="D5333" s="18" t="n">
        <x:v>35112</x:v>
      </x:c>
      <x:c r="E5333" s="18" t="n">
        <x:v>12.96</x:v>
      </x:c>
      <x:c r="F5333" s="18" t="n">
        <x:v>5.51</x:v>
      </x:c>
      <x:c r="G5333" t="n">
        <x:v>36</x:v>
      </x:c>
      <x:c r="H5333" t="str">
        <x:v>A</x:v>
      </x:c>
      <x:c r="I5333" t="str">
        <x:v>1-3 years</x:v>
      </x:c>
      <x:c r="J5333" t="str">
        <x:v>MORTGAGE</x:v>
      </x:c>
      <x:c r="K5333" t="str">
        <x:v>debt_consolidation</x:v>
      </x:c>
      <x:c r="L5333" t="n">
        <x:v>0</x:v>
      </x:c>
      <x:c r="M5333" t="n">
        <x:v>0</x:v>
      </x:c>
      <x:c r="N5333" t="str">
        <x:v>Fully Paid</x:v>
      </x:c>
      <x:c r="O5333" t="str">
        <x:f>IF(D5333="","Unknown",IF(D5333&lt;25000,"&lt;$25k",IF(D5333&lt;50000,"$25k-$50k",IF(D5333&lt;75000,"$50k-$75k",IF(D5333&lt;100000,"$75k-$100k","$100k+")))))</x:f>
        <x:v>$25k-$50k</x:v>
      </x:c>
      <x:c r="P5333" t="str">
        <x:f>IF(E5333="","Unknown",IF(E5333&lt;10,"&lt;10",IF(E5333&lt;20,"10-&lt;20",IF(E5333&lt;25,"20-&lt;25",IF(E5333&lt;35,"25-&lt;35","35+")))))</x:f>
        <x:v>10-&lt;20</x:v>
      </x:c>
    </x:row>
    <x:row r="5334">
      <x:c r="A5334" t="str">
        <x:v>SYN0005333</x:v>
      </x:c>
      <x:c r="B5334" s="12" t="n">
        <x:v>42685</x:v>
      </x:c>
      <x:c r="C5334" s="18" t="n">
        <x:v>6513</x:v>
      </x:c>
      <x:c r="D5334" s="18" t="n">
        <x:v>61974</x:v>
      </x:c>
      <x:c r="E5334" s="18" t="n">
        <x:v>31.77</x:v>
      </x:c>
      <x:c r="F5334" s="18" t="n">
        <x:v>16.35</x:v>
      </x:c>
      <x:c r="G5334" t="n">
        <x:v>36</x:v>
      </x:c>
      <x:c r="H5334" t="str">
        <x:v>D</x:v>
      </x:c>
      <x:c r="I5334" t="str">
        <x:v>7-9 years</x:v>
      </x:c>
      <x:c r="J5334" t="str">
        <x:v>MORTGAGE</x:v>
      </x:c>
      <x:c r="K5334" t="str">
        <x:v>debt_consolidation</x:v>
      </x:c>
      <x:c r="L5334" t="n">
        <x:v>0</x:v>
      </x:c>
      <x:c r="M5334" t="n">
        <x:v>0</x:v>
      </x:c>
      <x:c r="N5334" t="str">
        <x:v>Fully Paid</x:v>
      </x:c>
      <x:c r="O5334" t="str">
        <x:f>IF(D5334="","Unknown",IF(D5334&lt;25000,"&lt;$25k",IF(D5334&lt;50000,"$25k-$50k",IF(D5334&lt;75000,"$50k-$75k",IF(D5334&lt;100000,"$75k-$100k","$100k+")))))</x:f>
        <x:v>$50k-$75k</x:v>
      </x:c>
      <x:c r="P5334" t="str">
        <x:f>IF(E5334="","Unknown",IF(E5334&lt;10,"&lt;10",IF(E5334&lt;20,"10-&lt;20",IF(E5334&lt;25,"20-&lt;25",IF(E5334&lt;35,"25-&lt;35","35+")))))</x:f>
        <x:v>25-&lt;35</x:v>
      </x:c>
    </x:row>
    <x:row r="5335">
      <x:c r="A5335" t="str">
        <x:v>SYN0005334</x:v>
      </x:c>
      <x:c r="B5335" s="12" t="n">
        <x:v>42235</x:v>
      </x:c>
      <x:c r="C5335" s="18" t="n">
        <x:v>12422</x:v>
      </x:c>
      <x:c r="D5335" s="18" t="n">
        <x:v>29439</x:v>
      </x:c>
      <x:c r="E5335" s="18" t="n">
        <x:v>35.33</x:v>
      </x:c>
      <x:c r="F5335" s="18" t="n">
        <x:v>26.66</x:v>
      </x:c>
      <x:c r="G5335" t="n">
        <x:v>36</x:v>
      </x:c>
      <x:c r="H5335" t="str">
        <x:v>G</x:v>
      </x:c>
      <x:c r="I5335" t="str">
        <x:v>1-3 years</x:v>
      </x:c>
      <x:c r="J5335" t="str">
        <x:v>MORTGAGE</x:v>
      </x:c>
      <x:c r="K5335" t="str">
        <x:v>other</x:v>
      </x:c>
      <x:c r="L5335" t="n">
        <x:v>0</x:v>
      </x:c>
      <x:c r="M5335" t="n">
        <x:v>1</x:v>
      </x:c>
      <x:c r="N5335" t="str">
        <x:v>Charged Off</x:v>
      </x:c>
      <x:c r="O5335" t="str">
        <x:f>IF(D5335="","Unknown",IF(D5335&lt;25000,"&lt;$25k",IF(D5335&lt;50000,"$25k-$50k",IF(D5335&lt;75000,"$50k-$75k",IF(D5335&lt;100000,"$75k-$100k","$100k+")))))</x:f>
        <x:v>$25k-$50k</x:v>
      </x:c>
      <x:c r="P5335" t="str">
        <x:f>IF(E5335="","Unknown",IF(E5335&lt;10,"&lt;10",IF(E5335&lt;20,"10-&lt;20",IF(E5335&lt;25,"20-&lt;25",IF(E5335&lt;35,"25-&lt;35","35+")))))</x:f>
        <x:v>35+</x:v>
      </x:c>
    </x:row>
    <x:row r="5336">
      <x:c r="A5336" t="str">
        <x:v>SYN0005335</x:v>
      </x:c>
      <x:c r="B5336" s="12" t="n">
        <x:v>42955</x:v>
      </x:c>
      <x:c r="C5336" s="18" t="n">
        <x:v>13723</x:v>
      </x:c>
      <x:c r="D5336" s="18" t="n">
        <x:v>36627</x:v>
      </x:c>
      <x:c r="E5336" s="18" t="n">
        <x:v>8.31</x:v>
      </x:c>
      <x:c r="F5336" s="18" t="n">
        <x:v>12.61</x:v>
      </x:c>
      <x:c r="G5336" t="n">
        <x:v>36</x:v>
      </x:c>
      <x:c r="H5336" t="str">
        <x:v>C</x:v>
      </x:c>
      <x:c r="I5336" t="str">
        <x:v>4-6 years</x:v>
      </x:c>
      <x:c r="J5336" t="str">
        <x:v>OWN</x:v>
      </x:c>
      <x:c r="K5336" t="str">
        <x:v>credit_card</x:v>
      </x:c>
      <x:c r="L5336" t="n">
        <x:v>1</x:v>
      </x:c>
      <x:c r="M5336" t="n">
        <x:v>0</x:v>
      </x:c>
      <x:c r="N5336" t="str">
        <x:v>Fully Paid</x:v>
      </x:c>
      <x:c r="O5336" t="str">
        <x:f>IF(D5336="","Unknown",IF(D5336&lt;25000,"&lt;$25k",IF(D5336&lt;50000,"$25k-$50k",IF(D5336&lt;75000,"$50k-$75k",IF(D5336&lt;100000,"$75k-$100k","$100k+")))))</x:f>
        <x:v>$25k-$50k</x:v>
      </x:c>
      <x:c r="P5336" t="str">
        <x:f>IF(E5336="","Unknown",IF(E5336&lt;10,"&lt;10",IF(E5336&lt;20,"10-&lt;20",IF(E5336&lt;25,"20-&lt;25",IF(E5336&lt;35,"25-&lt;35","35+")))))</x:f>
        <x:v>&lt;10</x:v>
      </x:c>
    </x:row>
    <x:row r="5337">
      <x:c r="A5337" t="str">
        <x:v>SYN0005336</x:v>
      </x:c>
      <x:c r="B5337" s="12" t="n">
        <x:v>42895</x:v>
      </x:c>
      <x:c r="C5337" s="18" t="n">
        <x:v>16566</x:v>
      </x:c>
      <x:c r="D5337" s="18" t="n">
        <x:v>191724</x:v>
      </x:c>
      <x:c r="E5337" s="18" t="n">
        <x:v>17.41</x:v>
      </x:c>
      <x:c r="F5337" s="18" t="n">
        <x:v>11.53</x:v>
      </x:c>
      <x:c r="G5337" t="n">
        <x:v>60</x:v>
      </x:c>
      <x:c r="H5337" t="str">
        <x:v>B</x:v>
      </x:c>
      <x:c r="I5337" t="str">
        <x:v>1-3 years</x:v>
      </x:c>
      <x:c r="J5337" t="str">
        <x:v>OWN</x:v>
      </x:c>
      <x:c r="K5337" t="str">
        <x:v>debt_consolidation</x:v>
      </x:c>
      <x:c r="L5337" t="n">
        <x:v>0</x:v>
      </x:c>
      <x:c r="M5337" t="n">
        <x:v>0</x:v>
      </x:c>
      <x:c r="N5337" t="str">
        <x:v>Fully Paid</x:v>
      </x:c>
      <x:c r="O5337" t="str">
        <x:f>IF(D5337="","Unknown",IF(D5337&lt;25000,"&lt;$25k",IF(D5337&lt;50000,"$25k-$50k",IF(D5337&lt;75000,"$50k-$75k",IF(D5337&lt;100000,"$75k-$100k","$100k+")))))</x:f>
        <x:v>$100k+</x:v>
      </x:c>
      <x:c r="P5337" t="str">
        <x:f>IF(E5337="","Unknown",IF(E5337&lt;10,"&lt;10",IF(E5337&lt;20,"10-&lt;20",IF(E5337&lt;25,"20-&lt;25",IF(E5337&lt;35,"25-&lt;35","35+")))))</x:f>
        <x:v>10-&lt;20</x:v>
      </x:c>
    </x:row>
    <x:row r="5338">
      <x:c r="A5338" t="str">
        <x:v>SYN0005337</x:v>
      </x:c>
      <x:c r="B5338" s="12" t="n">
        <x:v>43405</x:v>
      </x:c>
      <x:c r="C5338" s="18" t="n">
        <x:v>20040</x:v>
      </x:c>
      <x:c r="D5338" s="18" t="n">
        <x:v>12000</x:v>
      </x:c>
      <x:c r="E5338" s="18" t="n">
        <x:v>21.56</x:v>
      </x:c>
      <x:c r="F5338" s="18" t="n">
        <x:v>16.47</x:v>
      </x:c>
      <x:c r="G5338" t="n">
        <x:v>36</x:v>
      </x:c>
      <x:c r="H5338" t="str">
        <x:v>E</x:v>
      </x:c>
      <x:c r="I5338" t="str">
        <x:v>1-3 years</x:v>
      </x:c>
      <x:c r="J5338" t="str">
        <x:v>MORTGAGE</x:v>
      </x:c>
      <x:c r="K5338" t="str">
        <x:v>home_improvement</x:v>
      </x:c>
      <x:c r="L5338" t="n">
        <x:v>2</x:v>
      </x:c>
      <x:c r="M5338" t="n">
        <x:v>0</x:v>
      </x:c>
      <x:c r="N5338" t="str">
        <x:v>Fully Paid</x:v>
      </x:c>
      <x:c r="O5338" t="str">
        <x:f>IF(D5338="","Unknown",IF(D5338&lt;25000,"&lt;$25k",IF(D5338&lt;50000,"$25k-$50k",IF(D5338&lt;75000,"$50k-$75k",IF(D5338&lt;100000,"$75k-$100k","$100k+")))))</x:f>
        <x:v>&lt;$25k</x:v>
      </x:c>
      <x:c r="P5338" t="str">
        <x:f>IF(E5338="","Unknown",IF(E5338&lt;10,"&lt;10",IF(E5338&lt;20,"10-&lt;20",IF(E5338&lt;25,"20-&lt;25",IF(E5338&lt;35,"25-&lt;35","35+")))))</x:f>
        <x:v>20-&lt;25</x:v>
      </x:c>
    </x:row>
    <x:row r="5339">
      <x:c r="A5339" t="str">
        <x:v>SYN0005338</x:v>
      </x:c>
      <x:c r="B5339" s="12" t="n">
        <x:v>42835</x:v>
      </x:c>
      <x:c r="C5339" s="18" t="n">
        <x:v>9061</x:v>
      </x:c>
      <x:c r="D5339" s="18" t="n">
        <x:v>33692</x:v>
      </x:c>
      <x:c r="E5339" s="18" t="n">
        <x:v>22.63</x:v>
      </x:c>
      <x:c r="F5339" s="18" t="n">
        <x:v>8.67</x:v>
      </x:c>
      <x:c r="G5339" t="n">
        <x:v>60</x:v>
      </x:c>
      <x:c r="H5339" t="str">
        <x:v>B</x:v>
      </x:c>
      <x:c r="I5339" t="str">
        <x:v>4-6 years</x:v>
      </x:c>
      <x:c r="J5339" t="str">
        <x:v>RENT</x:v>
      </x:c>
      <x:c r="K5339" t="str">
        <x:v>major_purchase</x:v>
      </x:c>
      <x:c r="L5339" t="n">
        <x:v>0</x:v>
      </x:c>
      <x:c r="M5339" t="n">
        <x:v>0</x:v>
      </x:c>
      <x:c r="N5339" t="str">
        <x:v>Fully Paid</x:v>
      </x:c>
      <x:c r="O5339" t="str">
        <x:f>IF(D5339="","Unknown",IF(D5339&lt;25000,"&lt;$25k",IF(D5339&lt;50000,"$25k-$50k",IF(D5339&lt;75000,"$50k-$75k",IF(D5339&lt;100000,"$75k-$100k","$100k+")))))</x:f>
        <x:v>$25k-$50k</x:v>
      </x:c>
      <x:c r="P5339" t="str">
        <x:f>IF(E5339="","Unknown",IF(E5339&lt;10,"&lt;10",IF(E5339&lt;20,"10-&lt;20",IF(E5339&lt;25,"20-&lt;25",IF(E5339&lt;35,"25-&lt;35","35+")))))</x:f>
        <x:v>20-&lt;25</x:v>
      </x:c>
    </x:row>
    <x:row r="5340">
      <x:c r="A5340" t="str">
        <x:v>SYN0005339</x:v>
      </x:c>
      <x:c r="B5340" s="12" t="n">
        <x:v>42805</x:v>
      </x:c>
      <x:c r="C5340" s="18" t="n">
        <x:v>7632</x:v>
      </x:c>
      <x:c r="D5340" s="18" t="n">
        <x:v>51519</x:v>
      </x:c>
      <x:c r="E5340" s="18" t="n">
        <x:v>29.21</x:v>
      </x:c>
      <x:c r="F5340" s="18" t="n">
        <x:v>9.03</x:v>
      </x:c>
      <x:c r="G5340" t="n">
        <x:v>36</x:v>
      </x:c>
      <x:c r="H5340" t="str">
        <x:v>B</x:v>
      </x:c>
      <x:c r="I5340" t="str">
        <x:v>4-6 years</x:v>
      </x:c>
      <x:c r="J5340" t="str">
        <x:v>MORTGAGE</x:v>
      </x:c>
      <x:c r="K5340" t="str">
        <x:v>credit_card</x:v>
      </x:c>
      <x:c r="L5340" t="n">
        <x:v>0</x:v>
      </x:c>
      <x:c r="M5340" t="n">
        <x:v>0</x:v>
      </x:c>
      <x:c r="N5340" t="str">
        <x:v>Fully Paid</x:v>
      </x:c>
      <x:c r="O5340" t="str">
        <x:f>IF(D5340="","Unknown",IF(D5340&lt;25000,"&lt;$25k",IF(D5340&lt;50000,"$25k-$50k",IF(D5340&lt;75000,"$50k-$75k",IF(D5340&lt;100000,"$75k-$100k","$100k+")))))</x:f>
        <x:v>$50k-$75k</x:v>
      </x:c>
      <x:c r="P5340" t="str">
        <x:f>IF(E5340="","Unknown",IF(E5340&lt;10,"&lt;10",IF(E5340&lt;20,"10-&lt;20",IF(E5340&lt;25,"20-&lt;25",IF(E5340&lt;35,"25-&lt;35","35+")))))</x:f>
        <x:v>25-&lt;35</x:v>
      </x:c>
    </x:row>
    <x:row r="5341">
      <x:c r="A5341" t="str">
        <x:v>SYN0005340</x:v>
      </x:c>
      <x:c r="B5341" s="12" t="n">
        <x:v>43405</x:v>
      </x:c>
      <x:c r="C5341" s="18" t="n">
        <x:v>6773</x:v>
      </x:c>
      <x:c r="D5341" s="18" t="n">
        <x:v>69931</x:v>
      </x:c>
      <x:c r="E5341" s="18" t="n">
        <x:v>26.67</x:v>
      </x:c>
      <x:c r="F5341" s="18" t="n">
        <x:v>13.29</x:v>
      </x:c>
      <x:c r="G5341" t="n">
        <x:v>60</x:v>
      </x:c>
      <x:c r="H5341" t="str">
        <x:v>C</x:v>
      </x:c>
      <x:c r="I5341" t="str">
        <x:v>10+ years</x:v>
      </x:c>
      <x:c r="J5341" t="str">
        <x:v>RENT</x:v>
      </x:c>
      <x:c r="K5341" t="str">
        <x:v>credit_card</x:v>
      </x:c>
      <x:c r="L5341" t="n">
        <x:v>0</x:v>
      </x:c>
      <x:c r="M5341" t="n">
        <x:v>0</x:v>
      </x:c>
      <x:c r="N5341" t="str">
        <x:v>Fully Paid</x:v>
      </x:c>
      <x:c r="O5341" t="str">
        <x:f>IF(D5341="","Unknown",IF(D5341&lt;25000,"&lt;$25k",IF(D5341&lt;50000,"$25k-$50k",IF(D5341&lt;75000,"$50k-$75k",IF(D5341&lt;100000,"$75k-$100k","$100k+")))))</x:f>
        <x:v>$50k-$75k</x:v>
      </x:c>
      <x:c r="P5341" t="str">
        <x:f>IF(E5341="","Unknown",IF(E5341&lt;10,"&lt;10",IF(E5341&lt;20,"10-&lt;20",IF(E5341&lt;25,"20-&lt;25",IF(E5341&lt;35,"25-&lt;35","35+")))))</x:f>
        <x:v>25-&lt;35</x:v>
      </x:c>
    </x:row>
    <x:row r="5342">
      <x:c r="A5342" t="str">
        <x:v>SYN0005341</x:v>
      </x:c>
      <x:c r="B5342" s="12" t="n">
        <x:v>41935</x:v>
      </x:c>
      <x:c r="C5342" s="18" t="n">
        <x:v>13769</x:v>
      </x:c>
      <x:c r="D5342" s="18" t="n">
        <x:v>76014</x:v>
      </x:c>
      <x:c r="E5342" s="18" t="n">
        <x:v>27.98</x:v>
      </x:c>
      <x:c r="F5342" s="18" t="n">
        <x:v>22.89</x:v>
      </x:c>
      <x:c r="G5342" t="n">
        <x:v>60</x:v>
      </x:c>
      <x:c r="H5342" t="str">
        <x:v>F</x:v>
      </x:c>
      <x:c r="I5342" t="str">
        <x:v>4-6 years</x:v>
      </x:c>
      <x:c r="J5342" t="str">
        <x:v>RENT</x:v>
      </x:c>
      <x:c r="K5342" t="str">
        <x:v>debt_consolidation</x:v>
      </x:c>
      <x:c r="L5342" t="n">
        <x:v>0</x:v>
      </x:c>
      <x:c r="M5342" t="n">
        <x:v>0</x:v>
      </x:c>
      <x:c r="N5342" t="str">
        <x:v>Fully Paid</x:v>
      </x:c>
      <x:c r="O5342" t="str">
        <x:f>IF(D5342="","Unknown",IF(D5342&lt;25000,"&lt;$25k",IF(D5342&lt;50000,"$25k-$50k",IF(D5342&lt;75000,"$50k-$75k",IF(D5342&lt;100000,"$75k-$100k","$100k+")))))</x:f>
        <x:v>$75k-$100k</x:v>
      </x:c>
      <x:c r="P5342" t="str">
        <x:f>IF(E5342="","Unknown",IF(E5342&lt;10,"&lt;10",IF(E5342&lt;20,"10-&lt;20",IF(E5342&lt;25,"20-&lt;25",IF(E5342&lt;35,"25-&lt;35","35+")))))</x:f>
        <x:v>25-&lt;35</x:v>
      </x:c>
    </x:row>
    <x:row r="5343">
      <x:c r="A5343" t="str">
        <x:v>SYN0005342</x:v>
      </x:c>
      <x:c r="B5343" s="12" t="n">
        <x:v>42715</x:v>
      </x:c>
      <x:c r="C5343" s="18" t="n">
        <x:v>7721</x:v>
      </x:c>
      <x:c r="D5343" s="18" t="n">
        <x:v>59350</x:v>
      </x:c>
      <x:c r="E5343" s="18" t="n">
        <x:v>15.73</x:v>
      </x:c>
      <x:c r="F5343" s="18" t="n">
        <x:v>14.47</x:v>
      </x:c>
      <x:c r="G5343" t="n">
        <x:v>60</x:v>
      </x:c>
      <x:c r="H5343" t="str">
        <x:v>D</x:v>
      </x:c>
      <x:c r="I5343" t="str">
        <x:v>4-6 years</x:v>
      </x:c>
      <x:c r="J5343" t="str">
        <x:v>RENT</x:v>
      </x:c>
      <x:c r="K5343" t="str">
        <x:v>other</x:v>
      </x:c>
      <x:c r="L5343" t="n">
        <x:v>0</x:v>
      </x:c>
      <x:c r="M5343" t="n">
        <x:v>0</x:v>
      </x:c>
      <x:c r="N5343" t="str">
        <x:v>Fully Paid</x:v>
      </x:c>
      <x:c r="O5343" t="str">
        <x:f>IF(D5343="","Unknown",IF(D5343&lt;25000,"&lt;$25k",IF(D5343&lt;50000,"$25k-$50k",IF(D5343&lt;75000,"$50k-$75k",IF(D5343&lt;100000,"$75k-$100k","$100k+")))))</x:f>
        <x:v>$50k-$75k</x:v>
      </x:c>
      <x:c r="P5343" t="str">
        <x:f>IF(E5343="","Unknown",IF(E5343&lt;10,"&lt;10",IF(E5343&lt;20,"10-&lt;20",IF(E5343&lt;25,"20-&lt;25",IF(E5343&lt;35,"25-&lt;35","35+")))))</x:f>
        <x:v>10-&lt;20</x:v>
      </x:c>
    </x:row>
    <x:row r="5344">
      <x:c r="A5344" t="str">
        <x:v>SYN0005343</x:v>
      </x:c>
      <x:c r="B5344" s="12" t="n">
        <x:v>42715</x:v>
      </x:c>
      <x:c r="C5344" s="18" t="n">
        <x:v>14100</x:v>
      </x:c>
      <x:c r="D5344" s="18" t="n">
        <x:v>46292</x:v>
      </x:c>
      <x:c r="E5344" s="18" t="n">
        <x:v>26.09</x:v>
      </x:c>
      <x:c r="F5344" s="18" t="n">
        <x:v>12.08</x:v>
      </x:c>
      <x:c r="G5344" t="n">
        <x:v>36</x:v>
      </x:c>
      <x:c r="H5344" t="str">
        <x:v>C</x:v>
      </x:c>
      <x:c r="I5344" t="str">
        <x:v>7-9 years</x:v>
      </x:c>
      <x:c r="J5344" t="str">
        <x:v>RENT</x:v>
      </x:c>
      <x:c r="K5344" t="str">
        <x:v>home_improvement</x:v>
      </x:c>
      <x:c r="L5344" t="n">
        <x:v>0</x:v>
      </x:c>
      <x:c r="M5344" t="n">
        <x:v>0</x:v>
      </x:c>
      <x:c r="N5344" t="str">
        <x:v>Fully Paid</x:v>
      </x:c>
      <x:c r="O5344" t="str">
        <x:f>IF(D5344="","Unknown",IF(D5344&lt;25000,"&lt;$25k",IF(D5344&lt;50000,"$25k-$50k",IF(D5344&lt;75000,"$50k-$75k",IF(D5344&lt;100000,"$75k-$100k","$100k+")))))</x:f>
        <x:v>$25k-$50k</x:v>
      </x:c>
      <x:c r="P5344" t="str">
        <x:f>IF(E5344="","Unknown",IF(E5344&lt;10,"&lt;10",IF(E5344&lt;20,"10-&lt;20",IF(E5344&lt;25,"20-&lt;25",IF(E5344&lt;35,"25-&lt;35","35+")))))</x:f>
        <x:v>25-&lt;35</x:v>
      </x:c>
    </x:row>
    <x:row r="5345">
      <x:c r="A5345" t="str">
        <x:v>SYN0005344</x:v>
      </x:c>
      <x:c r="B5345" s="12" t="n">
        <x:v>41365</x:v>
      </x:c>
      <x:c r="C5345" s="18" t="n">
        <x:v>11466</x:v>
      </x:c>
      <x:c r="D5345" s="18" t="n">
        <x:v>34373</x:v>
      </x:c>
      <x:c r="E5345" s="18" t="n">
        <x:v>22.84</x:v>
      </x:c>
      <x:c r="F5345" s="18" t="n">
        <x:v>7.24</x:v>
      </x:c>
      <x:c r="G5345" t="n">
        <x:v>60</x:v>
      </x:c>
      <x:c r="H5345" t="str">
        <x:v>A</x:v>
      </x:c>
      <x:c r="I5345" t="str">
        <x:v>1-3 years</x:v>
      </x:c>
      <x:c r="J5345" t="str">
        <x:v>RENT</x:v>
      </x:c>
      <x:c r="K5345" t="str">
        <x:v>debt_consolidation</x:v>
      </x:c>
      <x:c r="L5345" t="n">
        <x:v>1</x:v>
      </x:c>
      <x:c r="M5345" t="n">
        <x:v>0</x:v>
      </x:c>
      <x:c r="N5345" t="str">
        <x:v>Fully Paid</x:v>
      </x:c>
      <x:c r="O5345" t="str">
        <x:f>IF(D5345="","Unknown",IF(D5345&lt;25000,"&lt;$25k",IF(D5345&lt;50000,"$25k-$50k",IF(D5345&lt;75000,"$50k-$75k",IF(D5345&lt;100000,"$75k-$100k","$100k+")))))</x:f>
        <x:v>$25k-$50k</x:v>
      </x:c>
      <x:c r="P5345" t="str">
        <x:f>IF(E5345="","Unknown",IF(E5345&lt;10,"&lt;10",IF(E5345&lt;20,"10-&lt;20",IF(E5345&lt;25,"20-&lt;25",IF(E5345&lt;35,"25-&lt;35","35+")))))</x:f>
        <x:v>20-&lt;25</x:v>
      </x:c>
    </x:row>
    <x:row r="5346">
      <x:c r="A5346" t="str">
        <x:v>SYN0005345</x:v>
      </x:c>
      <x:c r="B5346" s="12" t="n">
        <x:v>42415</x:v>
      </x:c>
      <x:c r="C5346" s="18" t="n">
        <x:v>8142</x:v>
      </x:c>
      <x:c r="D5346" s="18" t="n">
        <x:v>52627</x:v>
      </x:c>
      <x:c r="E5346" s="18" t="n">
        <x:v>19.56</x:v>
      </x:c>
      <x:c r="F5346" s="18" t="n">
        <x:v>8.11</x:v>
      </x:c>
      <x:c r="G5346" t="n">
        <x:v>36</x:v>
      </x:c>
      <x:c r="H5346" t="str">
        <x:v>A</x:v>
      </x:c>
      <x:c r="I5346" t="str">
        <x:v>1-3 years</x:v>
      </x:c>
      <x:c r="J5346" t="str">
        <x:v>RENT</x:v>
      </x:c>
      <x:c r="K5346" t="str">
        <x:v>major_purchase</x:v>
      </x:c>
      <x:c r="L5346" t="n">
        <x:v>0</x:v>
      </x:c>
      <x:c r="M5346" t="n">
        <x:v>0</x:v>
      </x:c>
      <x:c r="N5346" t="str">
        <x:v>Fully Paid</x:v>
      </x:c>
      <x:c r="O5346" t="str">
        <x:f>IF(D5346="","Unknown",IF(D5346&lt;25000,"&lt;$25k",IF(D5346&lt;50000,"$25k-$50k",IF(D5346&lt;75000,"$50k-$75k",IF(D5346&lt;100000,"$75k-$100k","$100k+")))))</x:f>
        <x:v>$50k-$75k</x:v>
      </x:c>
      <x:c r="P5346" t="str">
        <x:f>IF(E5346="","Unknown",IF(E5346&lt;10,"&lt;10",IF(E5346&lt;20,"10-&lt;20",IF(E5346&lt;25,"20-&lt;25",IF(E5346&lt;35,"25-&lt;35","35+")))))</x:f>
        <x:v>10-&lt;20</x:v>
      </x:c>
    </x:row>
    <x:row r="5347">
      <x:c r="A5347" t="str">
        <x:v>SYN0005346</x:v>
      </x:c>
      <x:c r="B5347" s="12" t="n">
        <x:v>42865</x:v>
      </x:c>
      <x:c r="C5347" s="18" t="n">
        <x:v>15238</x:v>
      </x:c>
      <x:c r="D5347" s="18" t="n">
        <x:v>45712</x:v>
      </x:c>
      <x:c r="E5347" s="18" t="n">
        <x:v>26.7</x:v>
      </x:c>
      <x:c r="F5347" s="18" t="n">
        <x:v>14.67</x:v>
      </x:c>
      <x:c r="G5347" t="n">
        <x:v>36</x:v>
      </x:c>
      <x:c r="H5347" t="str">
        <x:v>D</x:v>
      </x:c>
      <x:c r="I5347" t="str">
        <x:v>7-9 years</x:v>
      </x:c>
      <x:c r="J5347" t="str">
        <x:v>OWN</x:v>
      </x:c>
      <x:c r="K5347" t="str">
        <x:v>debt_consolidation</x:v>
      </x:c>
      <x:c r="L5347" t="n">
        <x:v>1</x:v>
      </x:c>
      <x:c r="M5347" t="n">
        <x:v>0</x:v>
      </x:c>
      <x:c r="N5347" t="str">
        <x:v>Fully Paid</x:v>
      </x:c>
      <x:c r="O5347" t="str">
        <x:f>IF(D5347="","Unknown",IF(D5347&lt;25000,"&lt;$25k",IF(D5347&lt;50000,"$25k-$50k",IF(D5347&lt;75000,"$50k-$75k",IF(D5347&lt;100000,"$75k-$100k","$100k+")))))</x:f>
        <x:v>$25k-$50k</x:v>
      </x:c>
      <x:c r="P5347" t="str">
        <x:f>IF(E5347="","Unknown",IF(E5347&lt;10,"&lt;10",IF(E5347&lt;20,"10-&lt;20",IF(E5347&lt;25,"20-&lt;25",IF(E5347&lt;35,"25-&lt;35","35+")))))</x:f>
        <x:v>25-&lt;35</x:v>
      </x:c>
    </x:row>
    <x:row r="5348">
      <x:c r="A5348" t="str">
        <x:v>SYN0005347</x:v>
      </x:c>
      <x:c r="B5348" s="12" t="n">
        <x:v>41395</x:v>
      </x:c>
      <x:c r="C5348" s="18" t="n">
        <x:v>13995</x:v>
      </x:c>
      <x:c r="D5348" s="18" t="n">
        <x:v>51934</x:v>
      </x:c>
      <x:c r="E5348" s="18" t="n">
        <x:v>28.16</x:v>
      </x:c>
      <x:c r="F5348" s="18" t="n">
        <x:v>18.96</x:v>
      </x:c>
      <x:c r="G5348" t="n">
        <x:v>36</x:v>
      </x:c>
      <x:c r="H5348" t="str">
        <x:v>E</x:v>
      </x:c>
      <x:c r="I5348" t="str">
        <x:v>&lt;1 year</x:v>
      </x:c>
      <x:c r="J5348" t="str">
        <x:v>RENT</x:v>
      </x:c>
      <x:c r="K5348" t="str">
        <x:v>medical</x:v>
      </x:c>
      <x:c r="L5348" t="n">
        <x:v>2</x:v>
      </x:c>
      <x:c r="M5348" t="n">
        <x:v>1</x:v>
      </x:c>
      <x:c r="N5348" t="str">
        <x:v>Charged Off</x:v>
      </x:c>
      <x:c r="O5348" t="str">
        <x:f>IF(D5348="","Unknown",IF(D5348&lt;25000,"&lt;$25k",IF(D5348&lt;50000,"$25k-$50k",IF(D5348&lt;75000,"$50k-$75k",IF(D5348&lt;100000,"$75k-$100k","$100k+")))))</x:f>
        <x:v>$50k-$75k</x:v>
      </x:c>
      <x:c r="P5348" t="str">
        <x:f>IF(E5348="","Unknown",IF(E5348&lt;10,"&lt;10",IF(E5348&lt;20,"10-&lt;20",IF(E5348&lt;25,"20-&lt;25",IF(E5348&lt;35,"25-&lt;35","35+")))))</x:f>
        <x:v>25-&lt;35</x:v>
      </x:c>
    </x:row>
    <x:row r="5349">
      <x:c r="A5349" t="str">
        <x:v>SYN0005348</x:v>
      </x:c>
      <x:c r="B5349" s="12" t="n">
        <x:v>41845</x:v>
      </x:c>
      <x:c r="C5349" s="18" t="n">
        <x:v>15071</x:v>
      </x:c>
      <x:c r="D5349" s="18" t="n">
        <x:v>30755</x:v>
      </x:c>
      <x:c r="E5349" s="18" t="n">
        <x:v>13.67</x:v>
      </x:c>
      <x:c r="F5349" s="18" t="n">
        <x:v>10.31</x:v>
      </x:c>
      <x:c r="G5349" t="n">
        <x:v>36</x:v>
      </x:c>
      <x:c r="H5349" t="str">
        <x:v>C</x:v>
      </x:c>
      <x:c r="I5349" t="str">
        <x:v>10+ years</x:v>
      </x:c>
      <x:c r="J5349" t="str">
        <x:v>OWN</x:v>
      </x:c>
      <x:c r="K5349" t="str">
        <x:v>debt_consolidation</x:v>
      </x:c>
      <x:c r="L5349" t="n">
        <x:v>0</x:v>
      </x:c>
      <x:c r="M5349" t="n">
        <x:v>0</x:v>
      </x:c>
      <x:c r="N5349" t="str">
        <x:v>Fully Paid</x:v>
      </x:c>
      <x:c r="O5349" t="str">
        <x:f>IF(D5349="","Unknown",IF(D5349&lt;25000,"&lt;$25k",IF(D5349&lt;50000,"$25k-$50k",IF(D5349&lt;75000,"$50k-$75k",IF(D5349&lt;100000,"$75k-$100k","$100k+")))))</x:f>
        <x:v>$25k-$50k</x:v>
      </x:c>
      <x:c r="P5349" t="str">
        <x:f>IF(E5349="","Unknown",IF(E5349&lt;10,"&lt;10",IF(E5349&lt;20,"10-&lt;20",IF(E5349&lt;25,"20-&lt;25",IF(E5349&lt;35,"25-&lt;35","35+")))))</x:f>
        <x:v>10-&lt;20</x:v>
      </x:c>
    </x:row>
    <x:row r="5350">
      <x:c r="A5350" t="str">
        <x:v>SYN0005349</x:v>
      </x:c>
      <x:c r="B5350" s="12" t="n">
        <x:v>42535</x:v>
      </x:c>
      <x:c r="C5350" s="18" t="n">
        <x:v>13092</x:v>
      </x:c>
      <x:c r="D5350" s="18" t="n">
        <x:v>49528</x:v>
      </x:c>
      <x:c r="E5350" s="18" t="n">
        <x:v>33.88</x:v>
      </x:c>
      <x:c r="F5350" s="18" t="n">
        <x:v>14.5</x:v>
      </x:c>
      <x:c r="G5350" t="n">
        <x:v>60</x:v>
      </x:c>
      <x:c r="H5350" t="str">
        <x:v>D</x:v>
      </x:c>
      <x:c r="I5350" t="str">
        <x:v>1-3 years</x:v>
      </x:c>
      <x:c r="J5350" t="str">
        <x:v>OWN</x:v>
      </x:c>
      <x:c r="K5350" t="str">
        <x:v>major_purchase</x:v>
      </x:c>
      <x:c r="L5350" t="n">
        <x:v>0</x:v>
      </x:c>
      <x:c r="M5350" t="n">
        <x:v>0</x:v>
      </x:c>
      <x:c r="N5350" t="str">
        <x:v>Fully Paid</x:v>
      </x:c>
      <x:c r="O5350" t="str">
        <x:f>IF(D5350="","Unknown",IF(D5350&lt;25000,"&lt;$25k",IF(D5350&lt;50000,"$25k-$50k",IF(D5350&lt;75000,"$50k-$75k",IF(D5350&lt;100000,"$75k-$100k","$100k+")))))</x:f>
        <x:v>$25k-$50k</x:v>
      </x:c>
      <x:c r="P5350" t="str">
        <x:f>IF(E5350="","Unknown",IF(E5350&lt;10,"&lt;10",IF(E5350&lt;20,"10-&lt;20",IF(E5350&lt;25,"20-&lt;25",IF(E5350&lt;35,"25-&lt;35","35+")))))</x:f>
        <x:v>25-&lt;35</x:v>
      </x:c>
    </x:row>
    <x:row r="5351">
      <x:c r="A5351" t="str">
        <x:v>SYN0005350</x:v>
      </x:c>
      <x:c r="B5351" s="12" t="n">
        <x:v>42085</x:v>
      </x:c>
      <x:c r="C5351" s="18" t="n">
        <x:v>14208</x:v>
      </x:c>
      <x:c r="D5351" s="18" t="n">
        <x:v>47215</x:v>
      </x:c>
      <x:c r="E5351" s="18" t="n">
        <x:v>0</x:v>
      </x:c>
      <x:c r="F5351" s="18" t="n">
        <x:v>6.66</x:v>
      </x:c>
      <x:c r="G5351" t="n">
        <x:v>60</x:v>
      </x:c>
      <x:c r="H5351" t="str">
        <x:v>A</x:v>
      </x:c>
      <x:c r="I5351" t="str">
        <x:v>4-6 years</x:v>
      </x:c>
      <x:c r="J5351" t="str">
        <x:v>OWN</x:v>
      </x:c>
      <x:c r="K5351" t="str">
        <x:v>credit_card</x:v>
      </x:c>
      <x:c r="L5351" t="n">
        <x:v>0</x:v>
      </x:c>
      <x:c r="M5351" t="n">
        <x:v>0</x:v>
      </x:c>
      <x:c r="N5351" t="str">
        <x:v>Fully Paid</x:v>
      </x:c>
      <x:c r="O5351" t="str">
        <x:f>IF(D5351="","Unknown",IF(D5351&lt;25000,"&lt;$25k",IF(D5351&lt;50000,"$25k-$50k",IF(D5351&lt;75000,"$50k-$75k",IF(D5351&lt;100000,"$75k-$100k","$100k+")))))</x:f>
        <x:v>$25k-$50k</x:v>
      </x:c>
      <x:c r="P5351" t="str">
        <x:f>IF(E5351="","Unknown",IF(E5351&lt;10,"&lt;10",IF(E5351&lt;20,"10-&lt;20",IF(E5351&lt;25,"20-&lt;25",IF(E5351&lt;35,"25-&lt;35","35+")))))</x:f>
        <x:v>Unknown</x:v>
      </x:c>
    </x:row>
    <x:row r="5352">
      <x:c r="A5352" t="str">
        <x:v>SYN0005351</x:v>
      </x:c>
      <x:c r="B5352" s="12" t="n">
        <x:v>41365</x:v>
      </x:c>
      <x:c r="C5352" s="18" t="n">
        <x:v>10828</x:v>
      </x:c>
      <x:c r="D5352" s="18" t="n">
        <x:v>25823</x:v>
      </x:c>
      <x:c r="E5352" s="18" t="n">
        <x:v>26.46</x:v>
      </x:c>
      <x:c r="F5352" s="18" t="n">
        <x:v>20.13</x:v>
      </x:c>
      <x:c r="G5352" t="n">
        <x:v>60</x:v>
      </x:c>
      <x:c r="H5352" t="str">
        <x:v>E</x:v>
      </x:c>
      <x:c r="I5352" t="str">
        <x:v>1-3 years</x:v>
      </x:c>
      <x:c r="J5352" t="str">
        <x:v>OWN</x:v>
      </x:c>
      <x:c r="K5352" t="str">
        <x:v>debt_consolidation</x:v>
      </x:c>
      <x:c r="L5352" t="n">
        <x:v>0</x:v>
      </x:c>
      <x:c r="M5352" t="n">
        <x:v>0</x:v>
      </x:c>
      <x:c r="N5352" t="str">
        <x:v>Fully Paid</x:v>
      </x:c>
      <x:c r="O5352" t="str">
        <x:f>IF(D5352="","Unknown",IF(D5352&lt;25000,"&lt;$25k",IF(D5352&lt;50000,"$25k-$50k",IF(D5352&lt;75000,"$50k-$75k",IF(D5352&lt;100000,"$75k-$100k","$100k+")))))</x:f>
        <x:v>$25k-$50k</x:v>
      </x:c>
      <x:c r="P5352" t="str">
        <x:f>IF(E5352="","Unknown",IF(E5352&lt;10,"&lt;10",IF(E5352&lt;20,"10-&lt;20",IF(E5352&lt;25,"20-&lt;25",IF(E5352&lt;35,"25-&lt;35","35+")))))</x:f>
        <x:v>25-&lt;35</x:v>
      </x:c>
    </x:row>
    <x:row r="5353">
      <x:c r="A5353" t="str">
        <x:v>SYN0005352</x:v>
      </x:c>
      <x:c r="B5353" s="12" t="n">
        <x:v>42745</x:v>
      </x:c>
      <x:c r="C5353" s="18" t="n">
        <x:v>28568</x:v>
      </x:c>
      <x:c r="D5353" s="18" t="n">
        <x:v>158646</x:v>
      </x:c>
      <x:c r="E5353" s="18" t="n">
        <x:v>7.17</x:v>
      </x:c>
      <x:c r="F5353" s="18" t="n">
        <x:v>9.36</x:v>
      </x:c>
      <x:c r="G5353" t="n">
        <x:v>36</x:v>
      </x:c>
      <x:c r="H5353" t="str">
        <x:v>A</x:v>
      </x:c>
      <x:c r="I5353" t="str">
        <x:v>&lt;1 year</x:v>
      </x:c>
      <x:c r="J5353" t="str">
        <x:v>MORTGAGE</x:v>
      </x:c>
      <x:c r="K5353" t="str">
        <x:v>debt_consolidation</x:v>
      </x:c>
      <x:c r="L5353" t="n">
        <x:v>0</x:v>
      </x:c>
      <x:c r="M5353" t="n">
        <x:v>0</x:v>
      </x:c>
      <x:c r="N5353" t="str">
        <x:v>Fully Paid</x:v>
      </x:c>
      <x:c r="O5353" t="str">
        <x:f>IF(D5353="","Unknown",IF(D5353&lt;25000,"&lt;$25k",IF(D5353&lt;50000,"$25k-$50k",IF(D5353&lt;75000,"$50k-$75k",IF(D5353&lt;100000,"$75k-$100k","$100k+")))))</x:f>
        <x:v>$100k+</x:v>
      </x:c>
      <x:c r="P5353" t="str">
        <x:f>IF(E5353="","Unknown",IF(E5353&lt;10,"&lt;10",IF(E5353&lt;20,"10-&lt;20",IF(E5353&lt;25,"20-&lt;25",IF(E5353&lt;35,"25-&lt;35","35+")))))</x:f>
        <x:v>&lt;10</x:v>
      </x:c>
    </x:row>
    <x:row r="5354">
      <x:c r="A5354" t="str">
        <x:v>SYN0005353</x:v>
      </x:c>
      <x:c r="B5354" s="12" t="n">
        <x:v>42055</x:v>
      </x:c>
      <x:c r="C5354" s="18" t="n">
        <x:v>15063</x:v>
      </x:c>
      <x:c r="D5354" s="18" t="n">
        <x:v>60095</x:v>
      </x:c>
      <x:c r="E5354" s="18" t="n">
        <x:v>31.13</x:v>
      </x:c>
      <x:c r="F5354" s="18" t="n">
        <x:v>17.96</x:v>
      </x:c>
      <x:c r="G5354" t="n">
        <x:v>36</x:v>
      </x:c>
      <x:c r="H5354" t="str">
        <x:v>E</x:v>
      </x:c>
      <x:c r="I5354" t="str">
        <x:v>7-9 years</x:v>
      </x:c>
      <x:c r="J5354" t="str">
        <x:v>RENT</x:v>
      </x:c>
      <x:c r="K5354" t="str">
        <x:v>credit_card</x:v>
      </x:c>
      <x:c r="L5354" t="n">
        <x:v>2</x:v>
      </x:c>
      <x:c r="M5354" t="n">
        <x:v>0</x:v>
      </x:c>
      <x:c r="N5354" t="str">
        <x:v>Fully Paid</x:v>
      </x:c>
      <x:c r="O5354" t="str">
        <x:f>IF(D5354="","Unknown",IF(D5354&lt;25000,"&lt;$25k",IF(D5354&lt;50000,"$25k-$50k",IF(D5354&lt;75000,"$50k-$75k",IF(D5354&lt;100000,"$75k-$100k","$100k+")))))</x:f>
        <x:v>$50k-$75k</x:v>
      </x:c>
      <x:c r="P5354" t="str">
        <x:f>IF(E5354="","Unknown",IF(E5354&lt;10,"&lt;10",IF(E5354&lt;20,"10-&lt;20",IF(E5354&lt;25,"20-&lt;25",IF(E5354&lt;35,"25-&lt;35","35+")))))</x:f>
        <x:v>25-&lt;35</x:v>
      </x:c>
    </x:row>
    <x:row r="5355">
      <x:c r="A5355" t="str">
        <x:v>SYN0005354</x:v>
      </x:c>
      <x:c r="B5355" s="12" t="n">
        <x:v>42565</x:v>
      </x:c>
      <x:c r="C5355" s="18" t="n">
        <x:v>5300</x:v>
      </x:c>
      <x:c r="D5355" s="18" t="n">
        <x:v>29653</x:v>
      </x:c>
      <x:c r="E5355" s="18" t="n">
        <x:v>22.09</x:v>
      </x:c>
      <x:c r="F5355" s="18" t="n">
        <x:v>13.26</x:v>
      </x:c>
      <x:c r="G5355" t="n">
        <x:v>60</x:v>
      </x:c>
      <x:c r="H5355" t="str">
        <x:v>C</x:v>
      </x:c>
      <x:c r="I5355" t="str">
        <x:v>&lt;1 year</x:v>
      </x:c>
      <x:c r="J5355" t="str">
        <x:v>RENT</x:v>
      </x:c>
      <x:c r="K5355" t="str">
        <x:v>medical</x:v>
      </x:c>
      <x:c r="L5355" t="n">
        <x:v>0</x:v>
      </x:c>
      <x:c r="M5355" t="n">
        <x:v>0</x:v>
      </x:c>
      <x:c r="N5355" t="str">
        <x:v>Fully Paid</x:v>
      </x:c>
      <x:c r="O5355" t="str">
        <x:f>IF(D5355="","Unknown",IF(D5355&lt;25000,"&lt;$25k",IF(D5355&lt;50000,"$25k-$50k",IF(D5355&lt;75000,"$50k-$75k",IF(D5355&lt;100000,"$75k-$100k","$100k+")))))</x:f>
        <x:v>$25k-$50k</x:v>
      </x:c>
      <x:c r="P5355" t="str">
        <x:f>IF(E5355="","Unknown",IF(E5355&lt;10,"&lt;10",IF(E5355&lt;20,"10-&lt;20",IF(E5355&lt;25,"20-&lt;25",IF(E5355&lt;35,"25-&lt;35","35+")))))</x:f>
        <x:v>20-&lt;25</x:v>
      </x:c>
    </x:row>
    <x:row r="5356">
      <x:c r="A5356" t="str">
        <x:v>SYN0005355</x:v>
      </x:c>
      <x:c r="B5356" s="12" t="n">
        <x:v>43045</x:v>
      </x:c>
      <x:c r="C5356" s="18" t="n">
        <x:v>16867</x:v>
      </x:c>
      <x:c r="D5356" s="18" t="n">
        <x:v>66083</x:v>
      </x:c>
      <x:c r="E5356" s="18" t="n">
        <x:v>16.99</x:v>
      </x:c>
      <x:c r="F5356" s="18" t="n">
        <x:v>9.08</x:v>
      </x:c>
      <x:c r="G5356" t="n">
        <x:v>36</x:v>
      </x:c>
      <x:c r="H5356" t="str">
        <x:v>B</x:v>
      </x:c>
      <x:c r="I5356" t="str">
        <x:v>10+ years</x:v>
      </x:c>
      <x:c r="J5356" t="str">
        <x:v>RENT</x:v>
      </x:c>
      <x:c r="K5356" t="str">
        <x:v>debt_consolidation</x:v>
      </x:c>
      <x:c r="L5356" t="n">
        <x:v>0</x:v>
      </x:c>
      <x:c r="M5356" t="n">
        <x:v>0</x:v>
      </x:c>
      <x:c r="N5356" t="str">
        <x:v>Fully Paid</x:v>
      </x:c>
      <x:c r="O5356" t="str">
        <x:f>IF(D5356="","Unknown",IF(D5356&lt;25000,"&lt;$25k",IF(D5356&lt;50000,"$25k-$50k",IF(D5356&lt;75000,"$50k-$75k",IF(D5356&lt;100000,"$75k-$100k","$100k+")))))</x:f>
        <x:v>$50k-$75k</x:v>
      </x:c>
      <x:c r="P5356" t="str">
        <x:f>IF(E5356="","Unknown",IF(E5356&lt;10,"&lt;10",IF(E5356&lt;20,"10-&lt;20",IF(E5356&lt;25,"20-&lt;25",IF(E5356&lt;35,"25-&lt;35","35+")))))</x:f>
        <x:v>10-&lt;20</x:v>
      </x:c>
    </x:row>
    <x:row r="5357">
      <x:c r="A5357" t="str">
        <x:v>SYN0005356</x:v>
      </x:c>
      <x:c r="B5357" s="12" t="n">
        <x:v>42175</x:v>
      </x:c>
      <x:c r="C5357" s="18" t="n">
        <x:v>9076</x:v>
      </x:c>
      <x:c r="D5357" s="18" t="n">
        <x:v>47730</x:v>
      </x:c>
      <x:c r="E5357" s="18" t="n">
        <x:v>6.12</x:v>
      </x:c>
      <x:c r="F5357" s="18" t="n">
        <x:v>7.33</x:v>
      </x:c>
      <x:c r="G5357" t="n">
        <x:v>36</x:v>
      </x:c>
      <x:c r="H5357" t="str">
        <x:v>A</x:v>
      </x:c>
      <x:c r="I5357" t="str">
        <x:v>7-9 years</x:v>
      </x:c>
      <x:c r="J5357" t="str">
        <x:v>MORTGAGE</x:v>
      </x:c>
      <x:c r="K5357" t="str">
        <x:v>major_purchase</x:v>
      </x:c>
      <x:c r="L5357" t="n">
        <x:v>1</x:v>
      </x:c>
      <x:c r="M5357" t="n">
        <x:v>0</x:v>
      </x:c>
      <x:c r="N5357" t="str">
        <x:v>Fully Paid</x:v>
      </x:c>
      <x:c r="O5357" t="str">
        <x:f>IF(D5357="","Unknown",IF(D5357&lt;25000,"&lt;$25k",IF(D5357&lt;50000,"$25k-$50k",IF(D5357&lt;75000,"$50k-$75k",IF(D5357&lt;100000,"$75k-$100k","$100k+")))))</x:f>
        <x:v>$25k-$50k</x:v>
      </x:c>
      <x:c r="P5357" t="str">
        <x:f>IF(E5357="","Unknown",IF(E5357&lt;10,"&lt;10",IF(E5357&lt;20,"10-&lt;20",IF(E5357&lt;25,"20-&lt;25",IF(E5357&lt;35,"25-&lt;35","35+")))))</x:f>
        <x:v>&lt;10</x:v>
      </x:c>
    </x:row>
    <x:row r="5358">
      <x:c r="A5358" t="str">
        <x:v>SYN0005357</x:v>
      </x:c>
      <x:c r="B5358" s="12" t="n">
        <x:v>42205</x:v>
      </x:c>
      <x:c r="C5358" s="18" t="n">
        <x:v>9295</x:v>
      </x:c>
      <x:c r="D5358" s="18" t="n">
        <x:v>35972</x:v>
      </x:c>
      <x:c r="E5358" s="18" t="n">
        <x:v>29.57</x:v>
      </x:c>
      <x:c r="F5358" s="18" t="n">
        <x:v>13.5</x:v>
      </x:c>
      <x:c r="G5358" t="n">
        <x:v>60</x:v>
      </x:c>
      <x:c r="H5358" t="str">
        <x:v>C</x:v>
      </x:c>
      <x:c r="I5358" t="str">
        <x:v>7-9 years</x:v>
      </x:c>
      <x:c r="J5358" t="str">
        <x:v>OWN</x:v>
      </x:c>
      <x:c r="K5358" t="str">
        <x:v>other</x:v>
      </x:c>
      <x:c r="L5358" t="n">
        <x:v>3</x:v>
      </x:c>
      <x:c r="M5358" t="n">
        <x:v>0</x:v>
      </x:c>
      <x:c r="N5358" t="str">
        <x:v>Fully Paid</x:v>
      </x:c>
      <x:c r="O5358" t="str">
        <x:f>IF(D5358="","Unknown",IF(D5358&lt;25000,"&lt;$25k",IF(D5358&lt;50000,"$25k-$50k",IF(D5358&lt;75000,"$50k-$75k",IF(D5358&lt;100000,"$75k-$100k","$100k+")))))</x:f>
        <x:v>$25k-$50k</x:v>
      </x:c>
      <x:c r="P5358" t="str">
        <x:f>IF(E5358="","Unknown",IF(E5358&lt;10,"&lt;10",IF(E5358&lt;20,"10-&lt;20",IF(E5358&lt;25,"20-&lt;25",IF(E5358&lt;35,"25-&lt;35","35+")))))</x:f>
        <x:v>25-&lt;35</x:v>
      </x:c>
    </x:row>
    <x:row r="5359">
      <x:c r="A5359" t="str">
        <x:v>SYN0005358</x:v>
      </x:c>
      <x:c r="B5359" s="12" t="n">
        <x:v>42865</x:v>
      </x:c>
      <x:c r="C5359" s="18" t="n">
        <x:v>17034</x:v>
      </x:c>
      <x:c r="D5359" s="18" t="n">
        <x:v>85021</x:v>
      </x:c>
      <x:c r="E5359" s="18" t="n">
        <x:v>14.26</x:v>
      </x:c>
      <x:c r="F5359" s="18" t="n">
        <x:v>25.77</x:v>
      </x:c>
      <x:c r="G5359" t="n">
        <x:v>60</x:v>
      </x:c>
      <x:c r="H5359" t="str">
        <x:v>G</x:v>
      </x:c>
      <x:c r="I5359" t="str">
        <x:v>10+ years</x:v>
      </x:c>
      <x:c r="J5359" t="str">
        <x:v>RENT</x:v>
      </x:c>
      <x:c r="K5359" t="str">
        <x:v>debt_consolidation</x:v>
      </x:c>
      <x:c r="L5359" t="n">
        <x:v>1</x:v>
      </x:c>
      <x:c r="M5359" t="n">
        <x:v>1</x:v>
      </x:c>
      <x:c r="N5359" t="str">
        <x:v>Charged Off</x:v>
      </x:c>
      <x:c r="O5359" t="str">
        <x:f>IF(D5359="","Unknown",IF(D5359&lt;25000,"&lt;$25k",IF(D5359&lt;50000,"$25k-$50k",IF(D5359&lt;75000,"$50k-$75k",IF(D5359&lt;100000,"$75k-$100k","$100k+")))))</x:f>
        <x:v>$75k-$100k</x:v>
      </x:c>
      <x:c r="P5359" t="str">
        <x:f>IF(E5359="","Unknown",IF(E5359&lt;10,"&lt;10",IF(E5359&lt;20,"10-&lt;20",IF(E5359&lt;25,"20-&lt;25",IF(E5359&lt;35,"25-&lt;35","35+")))))</x:f>
        <x:v>10-&lt;20</x:v>
      </x:c>
    </x:row>
    <x:row r="5360">
      <x:c r="A5360" t="str">
        <x:v>SYN0005359</x:v>
      </x:c>
      <x:c r="B5360" s="12" t="n">
        <x:v>43165</x:v>
      </x:c>
      <x:c r="C5360" s="18" t="n">
        <x:v>11960</x:v>
      </x:c>
      <x:c r="D5360" s="18" t="n">
        <x:v>37468</x:v>
      </x:c>
      <x:c r="E5360" s="18" t="n">
        <x:v>13.12</x:v>
      </x:c>
      <x:c r="F5360" s="18" t="n">
        <x:v>11.46</x:v>
      </x:c>
      <x:c r="G5360" t="n">
        <x:v>60</x:v>
      </x:c>
      <x:c r="H5360" t="str">
        <x:v>C</x:v>
      </x:c>
      <x:c r="I5360" t="str">
        <x:v>4-6 years</x:v>
      </x:c>
      <x:c r="J5360" t="str">
        <x:v>MORTGAGE</x:v>
      </x:c>
      <x:c r="K5360" t="str">
        <x:v>debt_consolidation</x:v>
      </x:c>
      <x:c r="L5360" t="n">
        <x:v>0</x:v>
      </x:c>
      <x:c r="M5360" t="n">
        <x:v>0</x:v>
      </x:c>
      <x:c r="N5360" t="str">
        <x:v>Fully Paid</x:v>
      </x:c>
      <x:c r="O5360" t="str">
        <x:f>IF(D5360="","Unknown",IF(D5360&lt;25000,"&lt;$25k",IF(D5360&lt;50000,"$25k-$50k",IF(D5360&lt;75000,"$50k-$75k",IF(D5360&lt;100000,"$75k-$100k","$100k+")))))</x:f>
        <x:v>$25k-$50k</x:v>
      </x:c>
      <x:c r="P5360" t="str">
        <x:f>IF(E5360="","Unknown",IF(E5360&lt;10,"&lt;10",IF(E5360&lt;20,"10-&lt;20",IF(E5360&lt;25,"20-&lt;25",IF(E5360&lt;35,"25-&lt;35","35+")))))</x:f>
        <x:v>10-&lt;20</x:v>
      </x:c>
    </x:row>
    <x:row r="5361">
      <x:c r="A5361" t="str">
        <x:v>SYN0005360</x:v>
      </x:c>
      <x:c r="B5361" s="12" t="n">
        <x:v>42055</x:v>
      </x:c>
      <x:c r="C5361" s="18" t="n">
        <x:v>11583</x:v>
      </x:c>
      <x:c r="D5361" s="18" t="n">
        <x:v>101233</x:v>
      </x:c>
      <x:c r="E5361" s="18" t="n">
        <x:v>22.89</x:v>
      </x:c>
      <x:c r="F5361" s="18" t="n">
        <x:v>7.48</x:v>
      </x:c>
      <x:c r="G5361" t="n">
        <x:v>36</x:v>
      </x:c>
      <x:c r="H5361" t="str">
        <x:v>A</x:v>
      </x:c>
      <x:c r="I5361" t="str">
        <x:v>10+ years</x:v>
      </x:c>
      <x:c r="J5361" t="str">
        <x:v>MORTGAGE</x:v>
      </x:c>
      <x:c r="K5361" t="str">
        <x:v>debt_consolidation</x:v>
      </x:c>
      <x:c r="L5361" t="n">
        <x:v>3</x:v>
      </x:c>
      <x:c r="M5361" t="n">
        <x:v>0</x:v>
      </x:c>
      <x:c r="N5361" t="str">
        <x:v>Fully Paid</x:v>
      </x:c>
      <x:c r="O5361" t="str">
        <x:f>IF(D5361="","Unknown",IF(D5361&lt;25000,"&lt;$25k",IF(D5361&lt;50000,"$25k-$50k",IF(D5361&lt;75000,"$50k-$75k",IF(D5361&lt;100000,"$75k-$100k","$100k+")))))</x:f>
        <x:v>$100k+</x:v>
      </x:c>
      <x:c r="P5361" t="str">
        <x:f>IF(E5361="","Unknown",IF(E5361&lt;10,"&lt;10",IF(E5361&lt;20,"10-&lt;20",IF(E5361&lt;25,"20-&lt;25",IF(E5361&lt;35,"25-&lt;35","35+")))))</x:f>
        <x:v>20-&lt;25</x:v>
      </x:c>
    </x:row>
    <x:row r="5362">
      <x:c r="A5362" t="str">
        <x:v>SYN0005361</x:v>
      </x:c>
      <x:c r="B5362" s="12" t="n">
        <x:v>41395</x:v>
      </x:c>
      <x:c r="C5362" s="18" t="n">
        <x:v>7402</x:v>
      </x:c>
      <x:c r="D5362" s="18" t="n">
        <x:v>196853</x:v>
      </x:c>
      <x:c r="E5362" s="18" t="n">
        <x:v>8.35</x:v>
      </x:c>
      <x:c r="F5362" s="18" t="n">
        <x:v>7.26</x:v>
      </x:c>
      <x:c r="G5362" t="n">
        <x:v>36</x:v>
      </x:c>
      <x:c r="H5362" t="str">
        <x:v>B</x:v>
      </x:c>
      <x:c r="I5362" t="str">
        <x:v>7-9 years</x:v>
      </x:c>
      <x:c r="J5362" t="str">
        <x:v>MORTGAGE</x:v>
      </x:c>
      <x:c r="K5362" t="str">
        <x:v>other</x:v>
      </x:c>
      <x:c r="L5362" t="n">
        <x:v>0</x:v>
      </x:c>
      <x:c r="M5362" t="n">
        <x:v>0</x:v>
      </x:c>
      <x:c r="N5362" t="str">
        <x:v>Fully Paid</x:v>
      </x:c>
      <x:c r="O5362" t="str">
        <x:f>IF(D5362="","Unknown",IF(D5362&lt;25000,"&lt;$25k",IF(D5362&lt;50000,"$25k-$50k",IF(D5362&lt;75000,"$50k-$75k",IF(D5362&lt;100000,"$75k-$100k","$100k+")))))</x:f>
        <x:v>$100k+</x:v>
      </x:c>
      <x:c r="P5362" t="str">
        <x:f>IF(E5362="","Unknown",IF(E5362&lt;10,"&lt;10",IF(E5362&lt;20,"10-&lt;20",IF(E5362&lt;25,"20-&lt;25",IF(E5362&lt;35,"25-&lt;35","35+")))))</x:f>
        <x:v>&lt;10</x:v>
      </x:c>
    </x:row>
    <x:row r="5363">
      <x:c r="A5363" t="str">
        <x:v>SYN0005362</x:v>
      </x:c>
      <x:c r="B5363" s="12" t="n">
        <x:v>42355</x:v>
      </x:c>
      <x:c r="C5363" s="18" t="n">
        <x:v>14347</x:v>
      </x:c>
      <x:c r="D5363" s="18" t="n">
        <x:v>18504</x:v>
      </x:c>
      <x:c r="E5363" s="18" t="n">
        <x:v>33.47</x:v>
      </x:c>
      <x:c r="F5363" s="18" t="n">
        <x:v>14.65</x:v>
      </x:c>
      <x:c r="G5363" t="n">
        <x:v>60</x:v>
      </x:c>
      <x:c r="H5363" t="str">
        <x:v>D</x:v>
      </x:c>
      <x:c r="I5363" t="str">
        <x:v>7-9 years</x:v>
      </x:c>
      <x:c r="J5363" t="str">
        <x:v>RENT</x:v>
      </x:c>
      <x:c r="K5363" t="str">
        <x:v>home_improvement</x:v>
      </x:c>
      <x:c r="L5363" t="n">
        <x:v>1</x:v>
      </x:c>
      <x:c r="M5363" t="n">
        <x:v>0</x:v>
      </x:c>
      <x:c r="N5363" t="str">
        <x:v>Fully Paid</x:v>
      </x:c>
      <x:c r="O5363" t="str">
        <x:f>IF(D5363="","Unknown",IF(D5363&lt;25000,"&lt;$25k",IF(D5363&lt;50000,"$25k-$50k",IF(D5363&lt;75000,"$50k-$75k",IF(D5363&lt;100000,"$75k-$100k","$100k+")))))</x:f>
        <x:v>&lt;$25k</x:v>
      </x:c>
      <x:c r="P5363" t="str">
        <x:f>IF(E5363="","Unknown",IF(E5363&lt;10,"&lt;10",IF(E5363&lt;20,"10-&lt;20",IF(E5363&lt;25,"20-&lt;25",IF(E5363&lt;35,"25-&lt;35","35+")))))</x:f>
        <x:v>25-&lt;35</x:v>
      </x:c>
    </x:row>
    <x:row r="5364">
      <x:c r="A5364" t="str">
        <x:v>SYN0005363</x:v>
      </x:c>
      <x:c r="B5364" s="12" t="n">
        <x:v>41335</x:v>
      </x:c>
      <x:c r="C5364" s="18" t="n">
        <x:v>4169</x:v>
      </x:c>
      <x:c r="D5364" s="18" t="n">
        <x:v>73250</x:v>
      </x:c>
      <x:c r="E5364" s="18" t="n">
        <x:v>23.97</x:v>
      </x:c>
      <x:c r="F5364" s="18" t="n">
        <x:v>15.42</x:v>
      </x:c>
      <x:c r="G5364" t="n">
        <x:v>60</x:v>
      </x:c>
      <x:c r="H5364" t="str">
        <x:v>D</x:v>
      </x:c>
      <x:c r="I5364" t="str">
        <x:v>10+ years</x:v>
      </x:c>
      <x:c r="J5364" t="str">
        <x:v>RENT</x:v>
      </x:c>
      <x:c r="K5364" t="str">
        <x:v>credit_card</x:v>
      </x:c>
      <x:c r="L5364" t="n">
        <x:v>0</x:v>
      </x:c>
      <x:c r="M5364" t="n">
        <x:v>1</x:v>
      </x:c>
      <x:c r="N5364" t="str">
        <x:v>Charged Off</x:v>
      </x:c>
      <x:c r="O5364" t="str">
        <x:f>IF(D5364="","Unknown",IF(D5364&lt;25000,"&lt;$25k",IF(D5364&lt;50000,"$25k-$50k",IF(D5364&lt;75000,"$50k-$75k",IF(D5364&lt;100000,"$75k-$100k","$100k+")))))</x:f>
        <x:v>$50k-$75k</x:v>
      </x:c>
      <x:c r="P5364" t="str">
        <x:f>IF(E5364="","Unknown",IF(E5364&lt;10,"&lt;10",IF(E5364&lt;20,"10-&lt;20",IF(E5364&lt;25,"20-&lt;25",IF(E5364&lt;35,"25-&lt;35","35+")))))</x:f>
        <x:v>20-&lt;25</x:v>
      </x:c>
    </x:row>
    <x:row r="5365">
      <x:c r="A5365" t="str">
        <x:v>SYN0005364</x:v>
      </x:c>
      <x:c r="B5365" s="12" t="n">
        <x:v>41425</x:v>
      </x:c>
      <x:c r="C5365" s="18" t="n">
        <x:v>5422</x:v>
      </x:c>
      <x:c r="D5365" s="18" t="n">
        <x:v>28612</x:v>
      </x:c>
      <x:c r="E5365" s="18" t="n">
        <x:v>12.23</x:v>
      </x:c>
      <x:c r="F5365" s="18" t="n">
        <x:v>6.64</x:v>
      </x:c>
      <x:c r="G5365" t="n">
        <x:v>36</x:v>
      </x:c>
      <x:c r="H5365" t="str">
        <x:v>A</x:v>
      </x:c>
      <x:c r="I5365" t="str">
        <x:v>1-3 years</x:v>
      </x:c>
      <x:c r="J5365" t="str">
        <x:v>OWN</x:v>
      </x:c>
      <x:c r="K5365" t="str">
        <x:v>home_improvement</x:v>
      </x:c>
      <x:c r="L5365" t="n">
        <x:v>0</x:v>
      </x:c>
      <x:c r="M5365" t="n">
        <x:v>1</x:v>
      </x:c>
      <x:c r="N5365" t="str">
        <x:v>Charged Off</x:v>
      </x:c>
      <x:c r="O5365" t="str">
        <x:f>IF(D5365="","Unknown",IF(D5365&lt;25000,"&lt;$25k",IF(D5365&lt;50000,"$25k-$50k",IF(D5365&lt;75000,"$50k-$75k",IF(D5365&lt;100000,"$75k-$100k","$100k+")))))</x:f>
        <x:v>$25k-$50k</x:v>
      </x:c>
      <x:c r="P5365" t="str">
        <x:f>IF(E5365="","Unknown",IF(E5365&lt;10,"&lt;10",IF(E5365&lt;20,"10-&lt;20",IF(E5365&lt;25,"20-&lt;25",IF(E5365&lt;35,"25-&lt;35","35+")))))</x:f>
        <x:v>10-&lt;20</x:v>
      </x:c>
    </x:row>
    <x:row r="5366">
      <x:c r="A5366" t="str">
        <x:v>SYN0005365</x:v>
      </x:c>
      <x:c r="B5366" s="12" t="n">
        <x:v>43105</x:v>
      </x:c>
      <x:c r="C5366" s="18" t="n">
        <x:v>14336</x:v>
      </x:c>
      <x:c r="D5366" s="18" t="n">
        <x:v>75545</x:v>
      </x:c>
      <x:c r="E5366" s="18" t="n">
        <x:v>13.31</x:v>
      </x:c>
      <x:c r="F5366" s="18" t="n">
        <x:v>17.65</x:v>
      </x:c>
      <x:c r="G5366" t="n">
        <x:v>36</x:v>
      </x:c>
      <x:c r="H5366" t="str">
        <x:v>E</x:v>
      </x:c>
      <x:c r="I5366" t="str">
        <x:v>10+ years</x:v>
      </x:c>
      <x:c r="J5366" t="str">
        <x:v>MORTGAGE</x:v>
      </x:c>
      <x:c r="K5366" t="str">
        <x:v>credit_card</x:v>
      </x:c>
      <x:c r="L5366" t="n">
        <x:v>1</x:v>
      </x:c>
      <x:c r="M5366" t="n">
        <x:v>0</x:v>
      </x:c>
      <x:c r="N5366" t="str">
        <x:v>Fully Paid</x:v>
      </x:c>
      <x:c r="O5366" t="str">
        <x:f>IF(D5366="","Unknown",IF(D5366&lt;25000,"&lt;$25k",IF(D5366&lt;50000,"$25k-$50k",IF(D5366&lt;75000,"$50k-$75k",IF(D5366&lt;100000,"$75k-$100k","$100k+")))))</x:f>
        <x:v>$75k-$100k</x:v>
      </x:c>
      <x:c r="P5366" t="str">
        <x:f>IF(E5366="","Unknown",IF(E5366&lt;10,"&lt;10",IF(E5366&lt;20,"10-&lt;20",IF(E5366&lt;25,"20-&lt;25",IF(E5366&lt;35,"25-&lt;35","35+")))))</x:f>
        <x:v>10-&lt;20</x:v>
      </x:c>
    </x:row>
    <x:row r="5367">
      <x:c r="A5367" t="str">
        <x:v>SYN0005366</x:v>
      </x:c>
      <x:c r="B5367" s="12" t="n">
        <x:v>43105</x:v>
      </x:c>
      <x:c r="C5367" s="18" t="n">
        <x:v>8075</x:v>
      </x:c>
      <x:c r="D5367" s="18" t="n">
        <x:v>57772</x:v>
      </x:c>
      <x:c r="E5367" s="18" t="n">
        <x:v>17.47</x:v>
      </x:c>
      <x:c r="F5367" s="18" t="n">
        <x:v>7.85</x:v>
      </x:c>
      <x:c r="G5367" t="n">
        <x:v>36</x:v>
      </x:c>
      <x:c r="H5367" t="str">
        <x:v>A</x:v>
      </x:c>
      <x:c r="I5367" t="str">
        <x:v>1-3 years</x:v>
      </x:c>
      <x:c r="J5367" t="str">
        <x:v>MORTGAGE</x:v>
      </x:c>
      <x:c r="K5367" t="str">
        <x:v>home_improvement</x:v>
      </x:c>
      <x:c r="L5367" t="n">
        <x:v>0</x:v>
      </x:c>
      <x:c r="M5367" t="n">
        <x:v>0</x:v>
      </x:c>
      <x:c r="N5367" t="str">
        <x:v>Fully Paid</x:v>
      </x:c>
      <x:c r="O5367" t="str">
        <x:f>IF(D5367="","Unknown",IF(D5367&lt;25000,"&lt;$25k",IF(D5367&lt;50000,"$25k-$50k",IF(D5367&lt;75000,"$50k-$75k",IF(D5367&lt;100000,"$75k-$100k","$100k+")))))</x:f>
        <x:v>$50k-$75k</x:v>
      </x:c>
      <x:c r="P5367" t="str">
        <x:f>IF(E5367="","Unknown",IF(E5367&lt;10,"&lt;10",IF(E5367&lt;20,"10-&lt;20",IF(E5367&lt;25,"20-&lt;25",IF(E5367&lt;35,"25-&lt;35","35+")))))</x:f>
        <x:v>10-&lt;20</x:v>
      </x:c>
    </x:row>
    <x:row r="5368">
      <x:c r="A5368" t="str">
        <x:v>SYN0005367</x:v>
      </x:c>
      <x:c r="B5368" s="12" t="n">
        <x:v>41575</x:v>
      </x:c>
      <x:c r="C5368" s="18" t="n">
        <x:v>5703</x:v>
      </x:c>
      <x:c r="D5368" s="18" t="n">
        <x:v>200876</x:v>
      </x:c>
      <x:c r="E5368" s="18" t="n">
        <x:v>10.96</x:v>
      </x:c>
      <x:c r="F5368" s="18" t="n">
        <x:v>7.27</x:v>
      </x:c>
      <x:c r="G5368" t="n">
        <x:v>36</x:v>
      </x:c>
      <x:c r="H5368" t="str">
        <x:v>A</x:v>
      </x:c>
      <x:c r="I5368" t="str">
        <x:v>10+ years</x:v>
      </x:c>
      <x:c r="J5368" t="str">
        <x:v>MORTGAGE</x:v>
      </x:c>
      <x:c r="K5368" t="str">
        <x:v>debt_consolidation</x:v>
      </x:c>
      <x:c r="L5368" t="n">
        <x:v>1</x:v>
      </x:c>
      <x:c r="M5368" t="n">
        <x:v>0</x:v>
      </x:c>
      <x:c r="N5368" t="str">
        <x:v>Fully Paid</x:v>
      </x:c>
      <x:c r="O5368" t="str">
        <x:f>IF(D5368="","Unknown",IF(D5368&lt;25000,"&lt;$25k",IF(D5368&lt;50000,"$25k-$50k",IF(D5368&lt;75000,"$50k-$75k",IF(D5368&lt;100000,"$75k-$100k","$100k+")))))</x:f>
        <x:v>$100k+</x:v>
      </x:c>
      <x:c r="P5368" t="str">
        <x:f>IF(E5368="","Unknown",IF(E5368&lt;10,"&lt;10",IF(E5368&lt;20,"10-&lt;20",IF(E5368&lt;25,"20-&lt;25",IF(E5368&lt;35,"25-&lt;35","35+")))))</x:f>
        <x:v>10-&lt;20</x:v>
      </x:c>
    </x:row>
    <x:row r="5369">
      <x:c r="A5369" t="str">
        <x:v>SYN0005368</x:v>
      </x:c>
      <x:c r="B5369" s="12" t="n">
        <x:v>42625</x:v>
      </x:c>
      <x:c r="C5369" s="18" t="n">
        <x:v>20585</x:v>
      </x:c>
      <x:c r="D5369" s="18" t="n">
        <x:v>73284</x:v>
      </x:c>
      <x:c r="E5369" s="18" t="n">
        <x:v>11.16</x:v>
      </x:c>
      <x:c r="F5369" s="18" t="n">
        <x:v>11.86</x:v>
      </x:c>
      <x:c r="G5369" t="n">
        <x:v>36</x:v>
      </x:c>
      <x:c r="H5369" t="str">
        <x:v>C</x:v>
      </x:c>
      <x:c r="I5369" t="str">
        <x:v>7-9 years</x:v>
      </x:c>
      <x:c r="J5369" t="str">
        <x:v>RENT</x:v>
      </x:c>
      <x:c r="K5369" t="str">
        <x:v>debt_consolidation</x:v>
      </x:c>
      <x:c r="L5369" t="n">
        <x:v>2</x:v>
      </x:c>
      <x:c r="M5369" t="n">
        <x:v>0</x:v>
      </x:c>
      <x:c r="N5369" t="str">
        <x:v>Fully Paid</x:v>
      </x:c>
      <x:c r="O5369" t="str">
        <x:f>IF(D5369="","Unknown",IF(D5369&lt;25000,"&lt;$25k",IF(D5369&lt;50000,"$25k-$50k",IF(D5369&lt;75000,"$50k-$75k",IF(D5369&lt;100000,"$75k-$100k","$100k+")))))</x:f>
        <x:v>$50k-$75k</x:v>
      </x:c>
      <x:c r="P5369" t="str">
        <x:f>IF(E5369="","Unknown",IF(E5369&lt;10,"&lt;10",IF(E5369&lt;20,"10-&lt;20",IF(E5369&lt;25,"20-&lt;25",IF(E5369&lt;35,"25-&lt;35","35+")))))</x:f>
        <x:v>10-&lt;20</x:v>
      </x:c>
    </x:row>
    <x:row r="5370">
      <x:c r="A5370" t="str">
        <x:v>SYN0005369</x:v>
      </x:c>
      <x:c r="B5370" s="12" t="n">
        <x:v>41875</x:v>
      </x:c>
      <x:c r="C5370" s="18" t="n">
        <x:v>20044</x:v>
      </x:c>
      <x:c r="D5370" s="18" t="n">
        <x:v>53856</x:v>
      </x:c>
      <x:c r="E5370" s="18" t="n">
        <x:v>8.53</x:v>
      </x:c>
      <x:c r="F5370" s="18" t="n">
        <x:v>6.64</x:v>
      </x:c>
      <x:c r="G5370" t="n">
        <x:v>36</x:v>
      </x:c>
      <x:c r="H5370" t="str">
        <x:v>A</x:v>
      </x:c>
      <x:c r="I5370" t="str">
        <x:v>7-9 years</x:v>
      </x:c>
      <x:c r="J5370" t="str">
        <x:v>MORTGAGE</x:v>
      </x:c>
      <x:c r="K5370" t="str">
        <x:v>credit_card</x:v>
      </x:c>
      <x:c r="L5370" t="n">
        <x:v>0</x:v>
      </x:c>
      <x:c r="M5370" t="n">
        <x:v>0</x:v>
      </x:c>
      <x:c r="N5370" t="str">
        <x:v>Fully Paid</x:v>
      </x:c>
      <x:c r="O5370" t="str">
        <x:f>IF(D5370="","Unknown",IF(D5370&lt;25000,"&lt;$25k",IF(D5370&lt;50000,"$25k-$50k",IF(D5370&lt;75000,"$50k-$75k",IF(D5370&lt;100000,"$75k-$100k","$100k+")))))</x:f>
        <x:v>$50k-$75k</x:v>
      </x:c>
      <x:c r="P5370" t="str">
        <x:f>IF(E5370="","Unknown",IF(E5370&lt;10,"&lt;10",IF(E5370&lt;20,"10-&lt;20",IF(E5370&lt;25,"20-&lt;25",IF(E5370&lt;35,"25-&lt;35","35+")))))</x:f>
        <x:v>&lt;10</x:v>
      </x:c>
    </x:row>
    <x:row r="5371">
      <x:c r="A5371" t="str">
        <x:v>SYN0005370</x:v>
      </x:c>
      <x:c r="B5371" s="12" t="n">
        <x:v>41275</x:v>
      </x:c>
      <x:c r="C5371" s="18" t="n">
        <x:v>10481</x:v>
      </x:c>
      <x:c r="D5371" s="18" t="n">
        <x:v>57503</x:v>
      </x:c>
      <x:c r="E5371" s="18" t="n">
        <x:v>21.43</x:v>
      </x:c>
      <x:c r="F5371" s="18" t="n">
        <x:v>12.35</x:v>
      </x:c>
      <x:c r="G5371" t="n">
        <x:v>36</x:v>
      </x:c>
      <x:c r="H5371" t="str">
        <x:v>C</x:v>
      </x:c>
      <x:c r="I5371" t="str">
        <x:v>10+ years</x:v>
      </x:c>
      <x:c r="J5371" t="str">
        <x:v>MORTGAGE</x:v>
      </x:c>
      <x:c r="K5371" t="str">
        <x:v>home_improvement</x:v>
      </x:c>
      <x:c r="L5371" t="n">
        <x:v>0</x:v>
      </x:c>
      <x:c r="M5371" t="n">
        <x:v>0</x:v>
      </x:c>
      <x:c r="N5371" t="str">
        <x:v>Fully Paid</x:v>
      </x:c>
      <x:c r="O5371" t="str">
        <x:f>IF(D5371="","Unknown",IF(D5371&lt;25000,"&lt;$25k",IF(D5371&lt;50000,"$25k-$50k",IF(D5371&lt;75000,"$50k-$75k",IF(D5371&lt;100000,"$75k-$100k","$100k+")))))</x:f>
        <x:v>$50k-$75k</x:v>
      </x:c>
      <x:c r="P5371" t="str">
        <x:f>IF(E5371="","Unknown",IF(E5371&lt;10,"&lt;10",IF(E5371&lt;20,"10-&lt;20",IF(E5371&lt;25,"20-&lt;25",IF(E5371&lt;35,"25-&lt;35","35+")))))</x:f>
        <x:v>20-&lt;25</x:v>
      </x:c>
    </x:row>
    <x:row r="5372">
      <x:c r="A5372" t="str">
        <x:v>SYN0005371</x:v>
      </x:c>
      <x:c r="B5372" s="12" t="n">
        <x:v>42835</x:v>
      </x:c>
      <x:c r="C5372" s="18" t="n">
        <x:v>24564</x:v>
      </x:c>
      <x:c r="D5372" s="18" t="n">
        <x:v>86015</x:v>
      </x:c>
      <x:c r="E5372" s="18" t="n">
        <x:v>21.03</x:v>
      </x:c>
      <x:c r="F5372" s="18" t="n">
        <x:v>11.6</x:v>
      </x:c>
      <x:c r="G5372" t="n">
        <x:v>36</x:v>
      </x:c>
      <x:c r="H5372" t="str">
        <x:v>C</x:v>
      </x:c>
      <x:c r="I5372" t="str">
        <x:v>&lt;1 year</x:v>
      </x:c>
      <x:c r="J5372" t="str">
        <x:v>MORTGAGE</x:v>
      </x:c>
      <x:c r="K5372" t="str">
        <x:v>home_improvement</x:v>
      </x:c>
      <x:c r="L5372" t="n">
        <x:v>0</x:v>
      </x:c>
      <x:c r="M5372" t="n">
        <x:v>0</x:v>
      </x:c>
      <x:c r="N5372" t="str">
        <x:v>Fully Paid</x:v>
      </x:c>
      <x:c r="O5372" t="str">
        <x:f>IF(D5372="","Unknown",IF(D5372&lt;25000,"&lt;$25k",IF(D5372&lt;50000,"$25k-$50k",IF(D5372&lt;75000,"$50k-$75k",IF(D5372&lt;100000,"$75k-$100k","$100k+")))))</x:f>
        <x:v>$75k-$100k</x:v>
      </x:c>
      <x:c r="P5372" t="str">
        <x:f>IF(E5372="","Unknown",IF(E5372&lt;10,"&lt;10",IF(E5372&lt;20,"10-&lt;20",IF(E5372&lt;25,"20-&lt;25",IF(E5372&lt;35,"25-&lt;35","35+")))))</x:f>
        <x:v>20-&lt;25</x:v>
      </x:c>
    </x:row>
    <x:row r="5373">
      <x:c r="A5373" t="str">
        <x:v>SYN0005372</x:v>
      </x:c>
      <x:c r="B5373" s="12" t="n">
        <x:v>43105</x:v>
      </x:c>
      <x:c r="C5373" s="18" t="n">
        <x:v>10755</x:v>
      </x:c>
      <x:c r="D5373" s="18" t="n">
        <x:v>45482</x:v>
      </x:c>
      <x:c r="E5373" s="18" t="n">
        <x:v>12.2</x:v>
      </x:c>
      <x:c r="F5373" s="18" t="n">
        <x:v>10.56</x:v>
      </x:c>
      <x:c r="G5373" t="n">
        <x:v>60</x:v>
      </x:c>
      <x:c r="H5373" t="str">
        <x:v>A</x:v>
      </x:c>
      <x:c r="I5373" t="str">
        <x:v>4-6 years</x:v>
      </x:c>
      <x:c r="J5373" t="str">
        <x:v>RENT</x:v>
      </x:c>
      <x:c r="K5373" t="str">
        <x:v>debt_consolidation</x:v>
      </x:c>
      <x:c r="L5373" t="n">
        <x:v>0</x:v>
      </x:c>
      <x:c r="M5373" t="n">
        <x:v>0</x:v>
      </x:c>
      <x:c r="N5373" t="str">
        <x:v>Fully Paid</x:v>
      </x:c>
      <x:c r="O5373" t="str">
        <x:f>IF(D5373="","Unknown",IF(D5373&lt;25000,"&lt;$25k",IF(D5373&lt;50000,"$25k-$50k",IF(D5373&lt;75000,"$50k-$75k",IF(D5373&lt;100000,"$75k-$100k","$100k+")))))</x:f>
        <x:v>$25k-$50k</x:v>
      </x:c>
      <x:c r="P5373" t="str">
        <x:f>IF(E5373="","Unknown",IF(E5373&lt;10,"&lt;10",IF(E5373&lt;20,"10-&lt;20",IF(E5373&lt;25,"20-&lt;25",IF(E5373&lt;35,"25-&lt;35","35+")))))</x:f>
        <x:v>10-&lt;20</x:v>
      </x:c>
    </x:row>
    <x:row r="5374">
      <x:c r="A5374" t="str">
        <x:v>SYN0005373</x:v>
      </x:c>
      <x:c r="B5374" s="12" t="n">
        <x:v>41605</x:v>
      </x:c>
      <x:c r="C5374" s="18" t="n">
        <x:v>6175</x:v>
      </x:c>
      <x:c r="D5374" s="18" t="n">
        <x:v>77671</x:v>
      </x:c>
      <x:c r="E5374" s="18" t="n">
        <x:v>24.62</x:v>
      </x:c>
      <x:c r="F5374" s="18" t="n">
        <x:v>10.78</x:v>
      </x:c>
      <x:c r="G5374" t="n">
        <x:v>60</x:v>
      </x:c>
      <x:c r="H5374" t="str">
        <x:v>B</x:v>
      </x:c>
      <x:c r="I5374" t="str">
        <x:v>4-6 years</x:v>
      </x:c>
      <x:c r="J5374" t="str">
        <x:v>MORTGAGE</x:v>
      </x:c>
      <x:c r="K5374" t="str">
        <x:v>debt_consolidation</x:v>
      </x:c>
      <x:c r="L5374" t="n">
        <x:v>0</x:v>
      </x:c>
      <x:c r="M5374" t="n">
        <x:v>0</x:v>
      </x:c>
      <x:c r="N5374" t="str">
        <x:v>Fully Paid</x:v>
      </x:c>
      <x:c r="O5374" t="str">
        <x:f>IF(D5374="","Unknown",IF(D5374&lt;25000,"&lt;$25k",IF(D5374&lt;50000,"$25k-$50k",IF(D5374&lt;75000,"$50k-$75k",IF(D5374&lt;100000,"$75k-$100k","$100k+")))))</x:f>
        <x:v>$75k-$100k</x:v>
      </x:c>
      <x:c r="P5374" t="str">
        <x:f>IF(E5374="","Unknown",IF(E5374&lt;10,"&lt;10",IF(E5374&lt;20,"10-&lt;20",IF(E5374&lt;25,"20-&lt;25",IF(E5374&lt;35,"25-&lt;35","35+")))))</x:f>
        <x:v>20-&lt;25</x:v>
      </x:c>
    </x:row>
    <x:row r="5375">
      <x:c r="A5375" t="str">
        <x:v>SYN0005374</x:v>
      </x:c>
      <x:c r="B5375" s="12" t="n">
        <x:v>41665</x:v>
      </x:c>
      <x:c r="C5375" s="18" t="n">
        <x:v>7725</x:v>
      </x:c>
      <x:c r="D5375" s="18" t="n">
        <x:v>62924</x:v>
      </x:c>
      <x:c r="E5375" s="18" t="n">
        <x:v>45.93</x:v>
      </x:c>
      <x:c r="F5375" s="18" t="n">
        <x:v>27.18</x:v>
      </x:c>
      <x:c r="G5375" t="n">
        <x:v>36</x:v>
      </x:c>
      <x:c r="H5375" t="str">
        <x:v>G</x:v>
      </x:c>
      <x:c r="I5375" t="str">
        <x:v>&lt;1 year</x:v>
      </x:c>
      <x:c r="J5375" t="str">
        <x:v>MORTGAGE</x:v>
      </x:c>
      <x:c r="K5375" t="str">
        <x:v>other</x:v>
      </x:c>
      <x:c r="L5375" t="n">
        <x:v>0</x:v>
      </x:c>
      <x:c r="M5375" t="n">
        <x:v>1</x:v>
      </x:c>
      <x:c r="N5375" t="str">
        <x:v>Charged Off</x:v>
      </x:c>
      <x:c r="O5375" t="str">
        <x:f>IF(D5375="","Unknown",IF(D5375&lt;25000,"&lt;$25k",IF(D5375&lt;50000,"$25k-$50k",IF(D5375&lt;75000,"$50k-$75k",IF(D5375&lt;100000,"$75k-$100k","$100k+")))))</x:f>
        <x:v>$50k-$75k</x:v>
      </x:c>
      <x:c r="P5375" t="str">
        <x:f>IF(E5375="","Unknown",IF(E5375&lt;10,"&lt;10",IF(E5375&lt;20,"10-&lt;20",IF(E5375&lt;25,"20-&lt;25",IF(E5375&lt;35,"25-&lt;35","35+")))))</x:f>
        <x:v>35+</x:v>
      </x:c>
    </x:row>
    <x:row r="5376">
      <x:c r="A5376" t="str">
        <x:v>SYN0005375</x:v>
      </x:c>
      <x:c r="B5376" s="12" t="n">
        <x:v>42985</x:v>
      </x:c>
      <x:c r="C5376" s="18" t="n">
        <x:v>12934</x:v>
      </x:c>
      <x:c r="D5376" s="18" t="n">
        <x:v>52218</x:v>
      </x:c>
      <x:c r="E5376" s="18" t="n">
        <x:v>35.53</x:v>
      </x:c>
      <x:c r="F5376" s="18" t="n">
        <x:v>22.14</x:v>
      </x:c>
      <x:c r="G5376" t="n">
        <x:v>36</x:v>
      </x:c>
      <x:c r="H5376" t="str">
        <x:v>F</x:v>
      </x:c>
      <x:c r="I5376" t="str">
        <x:v>4-6 years</x:v>
      </x:c>
      <x:c r="J5376" t="str">
        <x:v>MORTGAGE</x:v>
      </x:c>
      <x:c r="K5376" t="str">
        <x:v>other</x:v>
      </x:c>
      <x:c r="L5376" t="n">
        <x:v>3</x:v>
      </x:c>
      <x:c r="M5376" t="n">
        <x:v>0</x:v>
      </x:c>
      <x:c r="N5376" t="str">
        <x:v>Fully Paid</x:v>
      </x:c>
      <x:c r="O5376" t="str">
        <x:f>IF(D5376="","Unknown",IF(D5376&lt;25000,"&lt;$25k",IF(D5376&lt;50000,"$25k-$50k",IF(D5376&lt;75000,"$50k-$75k",IF(D5376&lt;100000,"$75k-$100k","$100k+")))))</x:f>
        <x:v>$50k-$75k</x:v>
      </x:c>
      <x:c r="P5376" t="str">
        <x:f>IF(E5376="","Unknown",IF(E5376&lt;10,"&lt;10",IF(E5376&lt;20,"10-&lt;20",IF(E5376&lt;25,"20-&lt;25",IF(E5376&lt;35,"25-&lt;35","35+")))))</x:f>
        <x:v>35+</x:v>
      </x:c>
    </x:row>
    <x:row r="5377">
      <x:c r="A5377" t="str">
        <x:v>SYN0005376</x:v>
      </x:c>
      <x:c r="B5377" s="12" t="n">
        <x:v>42475</x:v>
      </x:c>
      <x:c r="C5377" s="18" t="n">
        <x:v>20969</x:v>
      </x:c>
      <x:c r="D5377" s="18" t="n">
        <x:v>79666</x:v>
      </x:c>
      <x:c r="E5377" s="18" t="n">
        <x:v>24.2</x:v>
      </x:c>
      <x:c r="F5377" s="18" t="n">
        <x:v>16.12</x:v>
      </x:c>
      <x:c r="G5377" t="n">
        <x:v>60</x:v>
      </x:c>
      <x:c r="H5377" t="str">
        <x:v>D</x:v>
      </x:c>
      <x:c r="I5377" t="str">
        <x:v>10+ years</x:v>
      </x:c>
      <x:c r="J5377" t="str">
        <x:v>OWN</x:v>
      </x:c>
      <x:c r="K5377" t="str">
        <x:v>credit_card</x:v>
      </x:c>
      <x:c r="L5377" t="n">
        <x:v>0</x:v>
      </x:c>
      <x:c r="M5377" t="n">
        <x:v>0</x:v>
      </x:c>
      <x:c r="N5377" t="str">
        <x:v>Fully Paid</x:v>
      </x:c>
      <x:c r="O5377" t="str">
        <x:f>IF(D5377="","Unknown",IF(D5377&lt;25000,"&lt;$25k",IF(D5377&lt;50000,"$25k-$50k",IF(D5377&lt;75000,"$50k-$75k",IF(D5377&lt;100000,"$75k-$100k","$100k+")))))</x:f>
        <x:v>$75k-$100k</x:v>
      </x:c>
      <x:c r="P5377" t="str">
        <x:f>IF(E5377="","Unknown",IF(E5377&lt;10,"&lt;10",IF(E5377&lt;20,"10-&lt;20",IF(E5377&lt;25,"20-&lt;25",IF(E5377&lt;35,"25-&lt;35","35+")))))</x:f>
        <x:v>20-&lt;25</x:v>
      </x:c>
    </x:row>
    <x:row r="5378">
      <x:c r="A5378" t="str">
        <x:v>SYN0005377</x:v>
      </x:c>
      <x:c r="B5378" s="12" t="n">
        <x:v>43015</x:v>
      </x:c>
      <x:c r="C5378" s="18" t="n">
        <x:v>13175</x:v>
      </x:c>
      <x:c r="D5378" s="18" t="n">
        <x:v>111062</x:v>
      </x:c>
      <x:c r="E5378" s="18" t="n">
        <x:v>18.9</x:v>
      </x:c>
      <x:c r="F5378" s="18" t="n">
        <x:v>8.06</x:v>
      </x:c>
      <x:c r="G5378" t="n">
        <x:v>60</x:v>
      </x:c>
      <x:c r="H5378" t="str">
        <x:v>B</x:v>
      </x:c>
      <x:c r="I5378" t="str">
        <x:v>7-9 years</x:v>
      </x:c>
      <x:c r="J5378" t="str">
        <x:v>RENT</x:v>
      </x:c>
      <x:c r="K5378" t="str">
        <x:v>major_purchase</x:v>
      </x:c>
      <x:c r="L5378" t="n">
        <x:v>0</x:v>
      </x:c>
      <x:c r="M5378" t="n">
        <x:v>0</x:v>
      </x:c>
      <x:c r="N5378" t="str">
        <x:v>Fully Paid</x:v>
      </x:c>
      <x:c r="O5378" t="str">
        <x:f>IF(D5378="","Unknown",IF(D5378&lt;25000,"&lt;$25k",IF(D5378&lt;50000,"$25k-$50k",IF(D5378&lt;75000,"$50k-$75k",IF(D5378&lt;100000,"$75k-$100k","$100k+")))))</x:f>
        <x:v>$100k+</x:v>
      </x:c>
      <x:c r="P5378" t="str">
        <x:f>IF(E5378="","Unknown",IF(E5378&lt;10,"&lt;10",IF(E5378&lt;20,"10-&lt;20",IF(E5378&lt;25,"20-&lt;25",IF(E5378&lt;35,"25-&lt;35","35+")))))</x:f>
        <x:v>10-&lt;20</x:v>
      </x:c>
    </x:row>
    <x:row r="5379">
      <x:c r="A5379" t="str">
        <x:v>SYN0005378</x:v>
      </x:c>
      <x:c r="B5379" s="12" t="n">
        <x:v>42595</x:v>
      </x:c>
      <x:c r="C5379" s="18" t="n">
        <x:v>16330</x:v>
      </x:c>
      <x:c r="D5379" s="18" t="n">
        <x:v>36782</x:v>
      </x:c>
      <x:c r="E5379" s="18" t="n">
        <x:v>23.9</x:v>
      </x:c>
      <x:c r="F5379" s="18" t="n">
        <x:v>25.6</x:v>
      </x:c>
      <x:c r="G5379" t="n">
        <x:v>36</x:v>
      </x:c>
      <x:c r="H5379" t="str">
        <x:v>G</x:v>
      </x:c>
      <x:c r="I5379" t="str">
        <x:v>7-9 years</x:v>
      </x:c>
      <x:c r="J5379" t="str">
        <x:v>MORTGAGE</x:v>
      </x:c>
      <x:c r="K5379" t="str">
        <x:v>debt_consolidation</x:v>
      </x:c>
      <x:c r="L5379" t="n">
        <x:v>1</x:v>
      </x:c>
      <x:c r="M5379" t="n">
        <x:v>0</x:v>
      </x:c>
      <x:c r="N5379" t="str">
        <x:v>Fully Paid</x:v>
      </x:c>
      <x:c r="O5379" t="str">
        <x:f>IF(D5379="","Unknown",IF(D5379&lt;25000,"&lt;$25k",IF(D5379&lt;50000,"$25k-$50k",IF(D5379&lt;75000,"$50k-$75k",IF(D5379&lt;100000,"$75k-$100k","$100k+")))))</x:f>
        <x:v>$25k-$50k</x:v>
      </x:c>
      <x:c r="P5379" t="str">
        <x:f>IF(E5379="","Unknown",IF(E5379&lt;10,"&lt;10",IF(E5379&lt;20,"10-&lt;20",IF(E5379&lt;25,"20-&lt;25",IF(E5379&lt;35,"25-&lt;35","35+")))))</x:f>
        <x:v>20-&lt;25</x:v>
      </x:c>
    </x:row>
    <x:row r="5380">
      <x:c r="A5380" t="str">
        <x:v>SYN0005379</x:v>
      </x:c>
      <x:c r="B5380" s="12" t="n">
        <x:v>42835</x:v>
      </x:c>
      <x:c r="C5380" s="18" t="n">
        <x:v>14196</x:v>
      </x:c>
      <x:c r="D5380" s="18" t="n">
        <x:v>20793</x:v>
      </x:c>
      <x:c r="E5380" s="18" t="n">
        <x:v>27.33</x:v>
      </x:c>
      <x:c r="F5380" s="18" t="n">
        <x:v>12.05</x:v>
      </x:c>
      <x:c r="G5380" t="n">
        <x:v>36</x:v>
      </x:c>
      <x:c r="H5380" t="str">
        <x:v>C</x:v>
      </x:c>
      <x:c r="I5380" t="str">
        <x:v>7-9 years</x:v>
      </x:c>
      <x:c r="J5380" t="str">
        <x:v>OWN</x:v>
      </x:c>
      <x:c r="K5380" t="str">
        <x:v>debt_consolidation</x:v>
      </x:c>
      <x:c r="L5380" t="n">
        <x:v>1</x:v>
      </x:c>
      <x:c r="M5380" t="n">
        <x:v>0</x:v>
      </x:c>
      <x:c r="N5380" t="str">
        <x:v>Fully Paid</x:v>
      </x:c>
      <x:c r="O5380" t="str">
        <x:f>IF(D5380="","Unknown",IF(D5380&lt;25000,"&lt;$25k",IF(D5380&lt;50000,"$25k-$50k",IF(D5380&lt;75000,"$50k-$75k",IF(D5380&lt;100000,"$75k-$100k","$100k+")))))</x:f>
        <x:v>&lt;$25k</x:v>
      </x:c>
      <x:c r="P5380" t="str">
        <x:f>IF(E5380="","Unknown",IF(E5380&lt;10,"&lt;10",IF(E5380&lt;20,"10-&lt;20",IF(E5380&lt;25,"20-&lt;25",IF(E5380&lt;35,"25-&lt;35","35+")))))</x:f>
        <x:v>25-&lt;35</x:v>
      </x:c>
    </x:row>
    <x:row r="5381">
      <x:c r="A5381" t="str">
        <x:v>SYN0005380</x:v>
      </x:c>
      <x:c r="B5381" s="12" t="n">
        <x:v>42595</x:v>
      </x:c>
      <x:c r="C5381" s="18" t="n">
        <x:v>6335</x:v>
      </x:c>
      <x:c r="D5381" s="18" t="n">
        <x:v>79763</x:v>
      </x:c>
      <x:c r="E5381" s="18" t="n">
        <x:v>3.72</x:v>
      </x:c>
      <x:c r="F5381" s="18" t="n">
        <x:v>5</x:v>
      </x:c>
      <x:c r="G5381" t="n">
        <x:v>36</x:v>
      </x:c>
      <x:c r="H5381" t="str">
        <x:v>A</x:v>
      </x:c>
      <x:c r="I5381" t="str">
        <x:v>&lt;1 year</x:v>
      </x:c>
      <x:c r="J5381" t="str">
        <x:v>RENT</x:v>
      </x:c>
      <x:c r="K5381" t="str">
        <x:v>debt_consolidation</x:v>
      </x:c>
      <x:c r="L5381" t="n">
        <x:v>0</x:v>
      </x:c>
      <x:c r="M5381" t="n">
        <x:v>0</x:v>
      </x:c>
      <x:c r="N5381" t="str">
        <x:v>Fully Paid</x:v>
      </x:c>
      <x:c r="O5381" t="str">
        <x:f>IF(D5381="","Unknown",IF(D5381&lt;25000,"&lt;$25k",IF(D5381&lt;50000,"$25k-$50k",IF(D5381&lt;75000,"$50k-$75k",IF(D5381&lt;100000,"$75k-$100k","$100k+")))))</x:f>
        <x:v>$75k-$100k</x:v>
      </x:c>
      <x:c r="P5381" t="str">
        <x:f>IF(E5381="","Unknown",IF(E5381&lt;10,"&lt;10",IF(E5381&lt;20,"10-&lt;20",IF(E5381&lt;25,"20-&lt;25",IF(E5381&lt;35,"25-&lt;35","35+")))))</x:f>
        <x:v>&lt;10</x:v>
      </x:c>
    </x:row>
    <x:row r="5382">
      <x:c r="A5382" t="str">
        <x:v>SYN0005381</x:v>
      </x:c>
      <x:c r="B5382" s="12" t="n">
        <x:v>42175</x:v>
      </x:c>
      <x:c r="C5382" s="18" t="n">
        <x:v>12113</x:v>
      </x:c>
      <x:c r="D5382" s="18" t="n">
        <x:v>16748</x:v>
      </x:c>
      <x:c r="E5382" s="18" t="n">
        <x:v>24.9</x:v>
      </x:c>
      <x:c r="F5382" s="18" t="n">
        <x:v>16.9</x:v>
      </x:c>
      <x:c r="G5382" t="n">
        <x:v>36</x:v>
      </x:c>
      <x:c r="H5382" t="str">
        <x:v>E</x:v>
      </x:c>
      <x:c r="I5382" t="str">
        <x:v>4-6 years</x:v>
      </x:c>
      <x:c r="J5382" t="str">
        <x:v>RENT</x:v>
      </x:c>
      <x:c r="K5382" t="str">
        <x:v>debt_consolidation</x:v>
      </x:c>
      <x:c r="L5382" t="n">
        <x:v>0</x:v>
      </x:c>
      <x:c r="M5382" t="n">
        <x:v>0</x:v>
      </x:c>
      <x:c r="N5382" t="str">
        <x:v>Fully Paid</x:v>
      </x:c>
      <x:c r="O5382" t="str">
        <x:f>IF(D5382="","Unknown",IF(D5382&lt;25000,"&lt;$25k",IF(D5382&lt;50000,"$25k-$50k",IF(D5382&lt;75000,"$50k-$75k",IF(D5382&lt;100000,"$75k-$100k","$100k+")))))</x:f>
        <x:v>&lt;$25k</x:v>
      </x:c>
      <x:c r="P5382" t="str">
        <x:f>IF(E5382="","Unknown",IF(E5382&lt;10,"&lt;10",IF(E5382&lt;20,"10-&lt;20",IF(E5382&lt;25,"20-&lt;25",IF(E5382&lt;35,"25-&lt;35","35+")))))</x:f>
        <x:v>20-&lt;25</x:v>
      </x:c>
    </x:row>
    <x:row r="5383">
      <x:c r="A5383" t="str">
        <x:v>SYN0005382</x:v>
      </x:c>
      <x:c r="B5383" s="12" t="n">
        <x:v>41275</x:v>
      </x:c>
      <x:c r="C5383" s="18" t="n">
        <x:v>20818</x:v>
      </x:c>
      <x:c r="D5383" s="18" t="n">
        <x:v>24412</x:v>
      </x:c>
      <x:c r="E5383" s="18" t="n">
        <x:v>25.22</x:v>
      </x:c>
      <x:c r="F5383" s="18" t="n">
        <x:v>13.86</x:v>
      </x:c>
      <x:c r="G5383" t="n">
        <x:v>36</x:v>
      </x:c>
      <x:c r="H5383" t="str">
        <x:v>D</x:v>
      </x:c>
      <x:c r="I5383" t="str">
        <x:v>10+ years</x:v>
      </x:c>
      <x:c r="J5383" t="str">
        <x:v>RENT</x:v>
      </x:c>
      <x:c r="K5383" t="str">
        <x:v>major_purchase</x:v>
      </x:c>
      <x:c r="L5383" t="n">
        <x:v>0</x:v>
      </x:c>
      <x:c r="M5383" t="n">
        <x:v>0</x:v>
      </x:c>
      <x:c r="N5383" t="str">
        <x:v>Fully Paid</x:v>
      </x:c>
      <x:c r="O5383" t="str">
        <x:f>IF(D5383="","Unknown",IF(D5383&lt;25000,"&lt;$25k",IF(D5383&lt;50000,"$25k-$50k",IF(D5383&lt;75000,"$50k-$75k",IF(D5383&lt;100000,"$75k-$100k","$100k+")))))</x:f>
        <x:v>&lt;$25k</x:v>
      </x:c>
      <x:c r="P5383" t="str">
        <x:f>IF(E5383="","Unknown",IF(E5383&lt;10,"&lt;10",IF(E5383&lt;20,"10-&lt;20",IF(E5383&lt;25,"20-&lt;25",IF(E5383&lt;35,"25-&lt;35","35+")))))</x:f>
        <x:v>25-&lt;35</x:v>
      </x:c>
    </x:row>
    <x:row r="5384">
      <x:c r="A5384" t="str">
        <x:v>SYN0005383</x:v>
      </x:c>
      <x:c r="B5384" s="12" t="n">
        <x:v>41485</x:v>
      </x:c>
      <x:c r="C5384" s="18" t="n">
        <x:v>16938</x:v>
      </x:c>
      <x:c r="D5384" s="18" t="n">
        <x:v>107903</x:v>
      </x:c>
      <x:c r="E5384" s="18" t="n">
        <x:v>9.17</x:v>
      </x:c>
      <x:c r="F5384" s="18" t="n">
        <x:v>7.81</x:v>
      </x:c>
      <x:c r="G5384" t="n">
        <x:v>60</x:v>
      </x:c>
      <x:c r="H5384" t="str">
        <x:v>B</x:v>
      </x:c>
      <x:c r="I5384" t="str">
        <x:v>1-3 years</x:v>
      </x:c>
      <x:c r="J5384" t="str">
        <x:v>MORTGAGE</x:v>
      </x:c>
      <x:c r="K5384" t="str">
        <x:v>major_purchase</x:v>
      </x:c>
      <x:c r="L5384" t="n">
        <x:v>0</x:v>
      </x:c>
      <x:c r="M5384" t="n">
        <x:v>0</x:v>
      </x:c>
      <x:c r="N5384" t="str">
        <x:v>Fully Paid</x:v>
      </x:c>
      <x:c r="O5384" t="str">
        <x:f>IF(D5384="","Unknown",IF(D5384&lt;25000,"&lt;$25k",IF(D5384&lt;50000,"$25k-$50k",IF(D5384&lt;75000,"$50k-$75k",IF(D5384&lt;100000,"$75k-$100k","$100k+")))))</x:f>
        <x:v>$100k+</x:v>
      </x:c>
      <x:c r="P5384" t="str">
        <x:f>IF(E5384="","Unknown",IF(E5384&lt;10,"&lt;10",IF(E5384&lt;20,"10-&lt;20",IF(E5384&lt;25,"20-&lt;25",IF(E5384&lt;35,"25-&lt;35","35+")))))</x:f>
        <x:v>&lt;10</x:v>
      </x:c>
    </x:row>
    <x:row r="5385">
      <x:c r="A5385" t="str">
        <x:v>SYN0005384</x:v>
      </x:c>
      <x:c r="B5385" s="12" t="n">
        <x:v>42205</x:v>
      </x:c>
      <x:c r="C5385" s="18" t="n">
        <x:v>7233</x:v>
      </x:c>
      <x:c r="D5385" s="18" t="n">
        <x:v>27251</x:v>
      </x:c>
      <x:c r="E5385" s="18" t="n">
        <x:v>25.86</x:v>
      </x:c>
      <x:c r="F5385" s="18" t="n">
        <x:v>6.39</x:v>
      </x:c>
      <x:c r="G5385" t="n">
        <x:v>36</x:v>
      </x:c>
      <x:c r="H5385" t="str">
        <x:v>B</x:v>
      </x:c>
      <x:c r="I5385" t="str">
        <x:v>10+ years</x:v>
      </x:c>
      <x:c r="J5385" t="str">
        <x:v>MORTGAGE</x:v>
      </x:c>
      <x:c r="K5385" t="str">
        <x:v>credit_card</x:v>
      </x:c>
      <x:c r="L5385" t="n">
        <x:v>0</x:v>
      </x:c>
      <x:c r="M5385" t="n">
        <x:v>0</x:v>
      </x:c>
      <x:c r="N5385" t="str">
        <x:v>Fully Paid</x:v>
      </x:c>
      <x:c r="O5385" t="str">
        <x:f>IF(D5385="","Unknown",IF(D5385&lt;25000,"&lt;$25k",IF(D5385&lt;50000,"$25k-$50k",IF(D5385&lt;75000,"$50k-$75k",IF(D5385&lt;100000,"$75k-$100k","$100k+")))))</x:f>
        <x:v>$25k-$50k</x:v>
      </x:c>
      <x:c r="P5385" t="str">
        <x:f>IF(E5385="","Unknown",IF(E5385&lt;10,"&lt;10",IF(E5385&lt;20,"10-&lt;20",IF(E5385&lt;25,"20-&lt;25",IF(E5385&lt;35,"25-&lt;35","35+")))))</x:f>
        <x:v>25-&lt;35</x:v>
      </x:c>
    </x:row>
    <x:row r="5386">
      <x:c r="A5386" t="str">
        <x:v>SYN0005385</x:v>
      </x:c>
      <x:c r="B5386" s="12" t="n">
        <x:v>43015</x:v>
      </x:c>
      <x:c r="C5386" s="18" t="n">
        <x:v>18008</x:v>
      </x:c>
      <x:c r="D5386" s="18" t="n">
        <x:v>48279</x:v>
      </x:c>
      <x:c r="E5386" s="18" t="n">
        <x:v>22.04</x:v>
      </x:c>
      <x:c r="F5386" s="18" t="n">
        <x:v>8.19</x:v>
      </x:c>
      <x:c r="G5386" t="n">
        <x:v>60</x:v>
      </x:c>
      <x:c r="H5386" t="str">
        <x:v>A</x:v>
      </x:c>
      <x:c r="I5386" t="str">
        <x:v>4-6 years</x:v>
      </x:c>
      <x:c r="J5386" t="str">
        <x:v>RENT</x:v>
      </x:c>
      <x:c r="K5386" t="str">
        <x:v>debt_consolidation</x:v>
      </x:c>
      <x:c r="L5386" t="n">
        <x:v>1</x:v>
      </x:c>
      <x:c r="M5386" t="n">
        <x:v>0</x:v>
      </x:c>
      <x:c r="N5386" t="str">
        <x:v>Fully Paid</x:v>
      </x:c>
      <x:c r="O5386" t="str">
        <x:f>IF(D5386="","Unknown",IF(D5386&lt;25000,"&lt;$25k",IF(D5386&lt;50000,"$25k-$50k",IF(D5386&lt;75000,"$50k-$75k",IF(D5386&lt;100000,"$75k-$100k","$100k+")))))</x:f>
        <x:v>$25k-$50k</x:v>
      </x:c>
      <x:c r="P5386" t="str">
        <x:f>IF(E5386="","Unknown",IF(E5386&lt;10,"&lt;10",IF(E5386&lt;20,"10-&lt;20",IF(E5386&lt;25,"20-&lt;25",IF(E5386&lt;35,"25-&lt;35","35+")))))</x:f>
        <x:v>20-&lt;25</x:v>
      </x:c>
    </x:row>
    <x:row r="5387">
      <x:c r="A5387" t="str">
        <x:v>SYN0005386</x:v>
      </x:c>
      <x:c r="B5387" s="12" t="n">
        <x:v>42295</x:v>
      </x:c>
      <x:c r="C5387" s="18" t="n">
        <x:v>14535</x:v>
      </x:c>
      <x:c r="D5387" s="18" t="n">
        <x:v>123938</x:v>
      </x:c>
      <x:c r="E5387" s="18" t="n">
        <x:v>8.15</x:v>
      </x:c>
      <x:c r="F5387" s="18" t="n">
        <x:v>10.19</x:v>
      </x:c>
      <x:c r="G5387" t="n">
        <x:v>36</x:v>
      </x:c>
      <x:c r="H5387" t="str">
        <x:v>B</x:v>
      </x:c>
      <x:c r="I5387" t="str">
        <x:v>1-3 years</x:v>
      </x:c>
      <x:c r="J5387" t="str">
        <x:v>RENT</x:v>
      </x:c>
      <x:c r="K5387" t="str">
        <x:v>debt_consolidation</x:v>
      </x:c>
      <x:c r="L5387" t="n">
        <x:v>0</x:v>
      </x:c>
      <x:c r="M5387" t="n">
        <x:v>0</x:v>
      </x:c>
      <x:c r="N5387" t="str">
        <x:v>Fully Paid</x:v>
      </x:c>
      <x:c r="O5387" t="str">
        <x:f>IF(D5387="","Unknown",IF(D5387&lt;25000,"&lt;$25k",IF(D5387&lt;50000,"$25k-$50k",IF(D5387&lt;75000,"$50k-$75k",IF(D5387&lt;100000,"$75k-$100k","$100k+")))))</x:f>
        <x:v>$100k+</x:v>
      </x:c>
      <x:c r="P5387" t="str">
        <x:f>IF(E5387="","Unknown",IF(E5387&lt;10,"&lt;10",IF(E5387&lt;20,"10-&lt;20",IF(E5387&lt;25,"20-&lt;25",IF(E5387&lt;35,"25-&lt;35","35+")))))</x:f>
        <x:v>&lt;10</x:v>
      </x:c>
    </x:row>
    <x:row r="5388">
      <x:c r="A5388" t="str">
        <x:v>SYN0005387</x:v>
      </x:c>
      <x:c r="B5388" s="12" t="n">
        <x:v>43195</x:v>
      </x:c>
      <x:c r="C5388" s="18" t="n">
        <x:v>6326</x:v>
      </x:c>
      <x:c r="D5388" s="18" t="n">
        <x:v>63400</x:v>
      </x:c>
      <x:c r="E5388" s="18" t="n">
        <x:v>28.29</x:v>
      </x:c>
      <x:c r="F5388" s="18" t="n">
        <x:v>14.25</x:v>
      </x:c>
      <x:c r="G5388" t="n">
        <x:v>36</x:v>
      </x:c>
      <x:c r="H5388" t="str">
        <x:v>D</x:v>
      </x:c>
      <x:c r="I5388" t="str">
        <x:v>4-6 years</x:v>
      </x:c>
      <x:c r="J5388" t="str">
        <x:v>RENT</x:v>
      </x:c>
      <x:c r="K5388" t="str">
        <x:v>debt_consolidation</x:v>
      </x:c>
      <x:c r="L5388" t="n">
        <x:v>0</x:v>
      </x:c>
      <x:c r="M5388" t="n">
        <x:v>0</x:v>
      </x:c>
      <x:c r="N5388" t="str">
        <x:v>Fully Paid</x:v>
      </x:c>
      <x:c r="O5388" t="str">
        <x:f>IF(D5388="","Unknown",IF(D5388&lt;25000,"&lt;$25k",IF(D5388&lt;50000,"$25k-$50k",IF(D5388&lt;75000,"$50k-$75k",IF(D5388&lt;100000,"$75k-$100k","$100k+")))))</x:f>
        <x:v>$50k-$75k</x:v>
      </x:c>
      <x:c r="P5388" t="str">
        <x:f>IF(E5388="","Unknown",IF(E5388&lt;10,"&lt;10",IF(E5388&lt;20,"10-&lt;20",IF(E5388&lt;25,"20-&lt;25",IF(E5388&lt;35,"25-&lt;35","35+")))))</x:f>
        <x:v>25-&lt;35</x:v>
      </x:c>
    </x:row>
    <x:row r="5389">
      <x:c r="A5389" t="str">
        <x:v>SYN0005388</x:v>
      </x:c>
      <x:c r="B5389" s="12" t="n">
        <x:v>41695</x:v>
      </x:c>
      <x:c r="C5389" s="18" t="n">
        <x:v>6108</x:v>
      </x:c>
      <x:c r="D5389" s="18" t="n">
        <x:v>82110</x:v>
      </x:c>
      <x:c r="E5389" s="18" t="n">
        <x:v>30.85</x:v>
      </x:c>
      <x:c r="F5389" s="18" t="n">
        <x:v>24.71</x:v>
      </x:c>
      <x:c r="G5389" t="n">
        <x:v>36</x:v>
      </x:c>
      <x:c r="H5389" t="str">
        <x:v>F</x:v>
      </x:c>
      <x:c r="I5389" t="str">
        <x:v>1-3 years</x:v>
      </x:c>
      <x:c r="J5389" t="str">
        <x:v>RENT</x:v>
      </x:c>
      <x:c r="K5389" t="str">
        <x:v>debt_consolidation</x:v>
      </x:c>
      <x:c r="L5389" t="n">
        <x:v>0</x:v>
      </x:c>
      <x:c r="M5389" t="n">
        <x:v>1</x:v>
      </x:c>
      <x:c r="N5389" t="str">
        <x:v>Charged Off</x:v>
      </x:c>
      <x:c r="O5389" t="str">
        <x:f>IF(D5389="","Unknown",IF(D5389&lt;25000,"&lt;$25k",IF(D5389&lt;50000,"$25k-$50k",IF(D5389&lt;75000,"$50k-$75k",IF(D5389&lt;100000,"$75k-$100k","$100k+")))))</x:f>
        <x:v>$75k-$100k</x:v>
      </x:c>
      <x:c r="P5389" t="str">
        <x:f>IF(E5389="","Unknown",IF(E5389&lt;10,"&lt;10",IF(E5389&lt;20,"10-&lt;20",IF(E5389&lt;25,"20-&lt;25",IF(E5389&lt;35,"25-&lt;35","35+")))))</x:f>
        <x:v>25-&lt;35</x:v>
      </x:c>
    </x:row>
    <x:row r="5390">
      <x:c r="A5390" t="str">
        <x:v>SYN0005389</x:v>
      </x:c>
      <x:c r="B5390" s="12" t="n">
        <x:v>41965</x:v>
      </x:c>
      <x:c r="C5390" s="18" t="n">
        <x:v>13936</x:v>
      </x:c>
      <x:c r="D5390" s="18" t="n">
        <x:v>85557</x:v>
      </x:c>
      <x:c r="E5390" s="18" t="n">
        <x:v>13.18</x:v>
      </x:c>
      <x:c r="F5390" s="18" t="n">
        <x:v>17.75</x:v>
      </x:c>
      <x:c r="G5390" t="n">
        <x:v>36</x:v>
      </x:c>
      <x:c r="H5390" t="str">
        <x:v>E</x:v>
      </x:c>
      <x:c r="I5390" t="str">
        <x:v>&lt;1 year</x:v>
      </x:c>
      <x:c r="J5390" t="str">
        <x:v>MORTGAGE</x:v>
      </x:c>
      <x:c r="K5390" t="str">
        <x:v>debt_consolidation</x:v>
      </x:c>
      <x:c r="L5390" t="n">
        <x:v>1</x:v>
      </x:c>
      <x:c r="M5390" t="n">
        <x:v>0</x:v>
      </x:c>
      <x:c r="N5390" t="str">
        <x:v>Fully Paid</x:v>
      </x:c>
      <x:c r="O5390" t="str">
        <x:f>IF(D5390="","Unknown",IF(D5390&lt;25000,"&lt;$25k",IF(D5390&lt;50000,"$25k-$50k",IF(D5390&lt;75000,"$50k-$75k",IF(D5390&lt;100000,"$75k-$100k","$100k+")))))</x:f>
        <x:v>$75k-$100k</x:v>
      </x:c>
      <x:c r="P5390" t="str">
        <x:f>IF(E5390="","Unknown",IF(E5390&lt;10,"&lt;10",IF(E5390&lt;20,"10-&lt;20",IF(E5390&lt;25,"20-&lt;25",IF(E5390&lt;35,"25-&lt;35","35+")))))</x:f>
        <x:v>10-&lt;20</x:v>
      </x:c>
    </x:row>
    <x:row r="5391">
      <x:c r="A5391" t="str">
        <x:v>SYN0005390</x:v>
      </x:c>
      <x:c r="B5391" s="12" t="n">
        <x:v>41455</x:v>
      </x:c>
      <x:c r="C5391" s="18" t="n">
        <x:v>10330</x:v>
      </x:c>
      <x:c r="D5391" s="18" t="n">
        <x:v>26119</x:v>
      </x:c>
      <x:c r="E5391" s="18" t="n">
        <x:v>21.27</x:v>
      </x:c>
      <x:c r="F5391" s="18" t="n">
        <x:v>6.89</x:v>
      </x:c>
      <x:c r="G5391" t="n">
        <x:v>36</x:v>
      </x:c>
      <x:c r="H5391" t="str">
        <x:v>A</x:v>
      </x:c>
      <x:c r="I5391" t="str">
        <x:v>1-3 years</x:v>
      </x:c>
      <x:c r="J5391" t="str">
        <x:v>OWN</x:v>
      </x:c>
      <x:c r="K5391" t="str">
        <x:v>home_improvement</x:v>
      </x:c>
      <x:c r="L5391" t="n">
        <x:v>0</x:v>
      </x:c>
      <x:c r="M5391" t="n">
        <x:v>0</x:v>
      </x:c>
      <x:c r="N5391" t="str">
        <x:v>Fully Paid</x:v>
      </x:c>
      <x:c r="O5391" t="str">
        <x:f>IF(D5391="","Unknown",IF(D5391&lt;25000,"&lt;$25k",IF(D5391&lt;50000,"$25k-$50k",IF(D5391&lt;75000,"$50k-$75k",IF(D5391&lt;100000,"$75k-$100k","$100k+")))))</x:f>
        <x:v>$25k-$50k</x:v>
      </x:c>
      <x:c r="P5391" t="str">
        <x:f>IF(E5391="","Unknown",IF(E5391&lt;10,"&lt;10",IF(E5391&lt;20,"10-&lt;20",IF(E5391&lt;25,"20-&lt;25",IF(E5391&lt;35,"25-&lt;35","35+")))))</x:f>
        <x:v>20-&lt;25</x:v>
      </x:c>
    </x:row>
    <x:row r="5392">
      <x:c r="A5392" t="str">
        <x:v>SYN0005391</x:v>
      </x:c>
      <x:c r="B5392" s="12" t="n">
        <x:v>41935</x:v>
      </x:c>
      <x:c r="C5392" s="18" t="n">
        <x:v>12428</x:v>
      </x:c>
      <x:c r="D5392" s="18" t="n">
        <x:v>31865</x:v>
      </x:c>
      <x:c r="E5392" s="18" t="n">
        <x:v>7.73</x:v>
      </x:c>
      <x:c r="F5392" s="18" t="n">
        <x:v>7.35</x:v>
      </x:c>
      <x:c r="G5392" t="n">
        <x:v>36</x:v>
      </x:c>
      <x:c r="H5392" t="str">
        <x:v>C</x:v>
      </x:c>
      <x:c r="I5392" t="str">
        <x:v>7-9 years</x:v>
      </x:c>
      <x:c r="J5392" t="str">
        <x:v>RENT</x:v>
      </x:c>
      <x:c r="K5392" t="str">
        <x:v>debt_consolidation</x:v>
      </x:c>
      <x:c r="L5392" t="n">
        <x:v>0</x:v>
      </x:c>
      <x:c r="M5392" t="n">
        <x:v>0</x:v>
      </x:c>
      <x:c r="N5392" t="str">
        <x:v>Fully Paid</x:v>
      </x:c>
      <x:c r="O5392" t="str">
        <x:f>IF(D5392="","Unknown",IF(D5392&lt;25000,"&lt;$25k",IF(D5392&lt;50000,"$25k-$50k",IF(D5392&lt;75000,"$50k-$75k",IF(D5392&lt;100000,"$75k-$100k","$100k+")))))</x:f>
        <x:v>$25k-$50k</x:v>
      </x:c>
      <x:c r="P5392" t="str">
        <x:f>IF(E5392="","Unknown",IF(E5392&lt;10,"&lt;10",IF(E5392&lt;20,"10-&lt;20",IF(E5392&lt;25,"20-&lt;25",IF(E5392&lt;35,"25-&lt;35","35+")))))</x:f>
        <x:v>&lt;10</x:v>
      </x:c>
    </x:row>
    <x:row r="5393">
      <x:c r="A5393" t="str">
        <x:v>SYN0005392</x:v>
      </x:c>
      <x:c r="B5393" s="12" t="n">
        <x:v>42745</x:v>
      </x:c>
      <x:c r="C5393" s="18" t="n">
        <x:v>12307</x:v>
      </x:c>
      <x:c r="D5393" s="18" t="n">
        <x:v>29258</x:v>
      </x:c>
      <x:c r="E5393" s="18" t="n">
        <x:v>17.82</x:v>
      </x:c>
      <x:c r="F5393" s="18" t="n">
        <x:v>11.57</x:v>
      </x:c>
      <x:c r="G5393" t="n">
        <x:v>60</x:v>
      </x:c>
      <x:c r="H5393" t="str">
        <x:v>C</x:v>
      </x:c>
      <x:c r="I5393" t="str">
        <x:v>10+ years</x:v>
      </x:c>
      <x:c r="J5393" t="str">
        <x:v>RENT</x:v>
      </x:c>
      <x:c r="K5393" t="str">
        <x:v>major_purchase</x:v>
      </x:c>
      <x:c r="L5393" t="n">
        <x:v>2</x:v>
      </x:c>
      <x:c r="M5393" t="n">
        <x:v>0</x:v>
      </x:c>
      <x:c r="N5393" t="str">
        <x:v>Fully Paid</x:v>
      </x:c>
      <x:c r="O5393" t="str">
        <x:f>IF(D5393="","Unknown",IF(D5393&lt;25000,"&lt;$25k",IF(D5393&lt;50000,"$25k-$50k",IF(D5393&lt;75000,"$50k-$75k",IF(D5393&lt;100000,"$75k-$100k","$100k+")))))</x:f>
        <x:v>$25k-$50k</x:v>
      </x:c>
      <x:c r="P5393" t="str">
        <x:f>IF(E5393="","Unknown",IF(E5393&lt;10,"&lt;10",IF(E5393&lt;20,"10-&lt;20",IF(E5393&lt;25,"20-&lt;25",IF(E5393&lt;35,"25-&lt;35","35+")))))</x:f>
        <x:v>10-&lt;20</x:v>
      </x:c>
    </x:row>
    <x:row r="5394">
      <x:c r="A5394" t="str">
        <x:v>SYN0005393</x:v>
      </x:c>
      <x:c r="B5394" s="12" t="n">
        <x:v>41485</x:v>
      </x:c>
      <x:c r="C5394" s="18" t="n">
        <x:v>12590</x:v>
      </x:c>
      <x:c r="D5394" s="18" t="n">
        <x:v>36015</x:v>
      </x:c>
      <x:c r="E5394" s="18" t="n">
        <x:v>22.79</x:v>
      </x:c>
      <x:c r="F5394" s="18" t="n">
        <x:v>8.93</x:v>
      </x:c>
      <x:c r="G5394" t="n">
        <x:v>60</x:v>
      </x:c>
      <x:c r="H5394" t="str">
        <x:v>C</x:v>
      </x:c>
      <x:c r="I5394" t="str">
        <x:v>10+ years</x:v>
      </x:c>
      <x:c r="J5394" t="str">
        <x:v>RENT</x:v>
      </x:c>
      <x:c r="K5394" t="str">
        <x:v>home_improvement</x:v>
      </x:c>
      <x:c r="L5394" t="n">
        <x:v>0</x:v>
      </x:c>
      <x:c r="M5394" t="n">
        <x:v>0</x:v>
      </x:c>
      <x:c r="N5394" t="str">
        <x:v>Fully Paid</x:v>
      </x:c>
      <x:c r="O5394" t="str">
        <x:f>IF(D5394="","Unknown",IF(D5394&lt;25000,"&lt;$25k",IF(D5394&lt;50000,"$25k-$50k",IF(D5394&lt;75000,"$50k-$75k",IF(D5394&lt;100000,"$75k-$100k","$100k+")))))</x:f>
        <x:v>$25k-$50k</x:v>
      </x:c>
      <x:c r="P5394" t="str">
        <x:f>IF(E5394="","Unknown",IF(E5394&lt;10,"&lt;10",IF(E5394&lt;20,"10-&lt;20",IF(E5394&lt;25,"20-&lt;25",IF(E5394&lt;35,"25-&lt;35","35+")))))</x:f>
        <x:v>20-&lt;25</x:v>
      </x:c>
    </x:row>
    <x:row r="5395">
      <x:c r="A5395" t="str">
        <x:v>SYN0005394</x:v>
      </x:c>
      <x:c r="B5395" s="12" t="n">
        <x:v>42115</x:v>
      </x:c>
      <x:c r="C5395" s="18" t="n">
        <x:v>12221</x:v>
      </x:c>
      <x:c r="D5395" s="18" t="n">
        <x:v>84163</x:v>
      </x:c>
      <x:c r="E5395" s="18" t="n">
        <x:v>18.59</x:v>
      </x:c>
      <x:c r="F5395" s="18" t="n">
        <x:v>18.54</x:v>
      </x:c>
      <x:c r="G5395" t="n">
        <x:v>36</x:v>
      </x:c>
      <x:c r="H5395" t="str">
        <x:v>E</x:v>
      </x:c>
      <x:c r="I5395" t="str">
        <x:v>10+ years</x:v>
      </x:c>
      <x:c r="J5395" t="str">
        <x:v>RENT</x:v>
      </x:c>
      <x:c r="K5395" t="str">
        <x:v>credit_card</x:v>
      </x:c>
      <x:c r="L5395" t="n">
        <x:v>1</x:v>
      </x:c>
      <x:c r="M5395" t="n">
        <x:v>0</x:v>
      </x:c>
      <x:c r="N5395" t="str">
        <x:v>Fully Paid</x:v>
      </x:c>
      <x:c r="O5395" t="str">
        <x:f>IF(D5395="","Unknown",IF(D5395&lt;25000,"&lt;$25k",IF(D5395&lt;50000,"$25k-$50k",IF(D5395&lt;75000,"$50k-$75k",IF(D5395&lt;100000,"$75k-$100k","$100k+")))))</x:f>
        <x:v>$75k-$100k</x:v>
      </x:c>
      <x:c r="P5395" t="str">
        <x:f>IF(E5395="","Unknown",IF(E5395&lt;10,"&lt;10",IF(E5395&lt;20,"10-&lt;20",IF(E5395&lt;25,"20-&lt;25",IF(E5395&lt;35,"25-&lt;35","35+")))))</x:f>
        <x:v>10-&lt;20</x:v>
      </x:c>
    </x:row>
    <x:row r="5396">
      <x:c r="A5396" t="str">
        <x:v>SYN0005395</x:v>
      </x:c>
      <x:c r="B5396" s="12" t="n">
        <x:v>41395</x:v>
      </x:c>
      <x:c r="C5396" s="18" t="n">
        <x:v>19802</x:v>
      </x:c>
      <x:c r="D5396" s="18" t="n">
        <x:v>23130</x:v>
      </x:c>
      <x:c r="E5396" s="18" t="n">
        <x:v>18.08</x:v>
      </x:c>
      <x:c r="F5396" s="18" t="n">
        <x:v>7.41</x:v>
      </x:c>
      <x:c r="G5396" t="n">
        <x:v>36</x:v>
      </x:c>
      <x:c r="H5396" t="str">
        <x:v>B</x:v>
      </x:c>
      <x:c r="I5396" t="str">
        <x:v>4-6 years</x:v>
      </x:c>
      <x:c r="J5396" t="str">
        <x:v>RENT</x:v>
      </x:c>
      <x:c r="K5396" t="str">
        <x:v>debt_consolidation</x:v>
      </x:c>
      <x:c r="L5396" t="n">
        <x:v>1</x:v>
      </x:c>
      <x:c r="M5396" t="n">
        <x:v>0</x:v>
      </x:c>
      <x:c r="N5396" t="str">
        <x:v>Fully Paid</x:v>
      </x:c>
      <x:c r="O5396" t="str">
        <x:f>IF(D5396="","Unknown",IF(D5396&lt;25000,"&lt;$25k",IF(D5396&lt;50000,"$25k-$50k",IF(D5396&lt;75000,"$50k-$75k",IF(D5396&lt;100000,"$75k-$100k","$100k+")))))</x:f>
        <x:v>&lt;$25k</x:v>
      </x:c>
      <x:c r="P5396" t="str">
        <x:f>IF(E5396="","Unknown",IF(E5396&lt;10,"&lt;10",IF(E5396&lt;20,"10-&lt;20",IF(E5396&lt;25,"20-&lt;25",IF(E5396&lt;35,"25-&lt;35","35+")))))</x:f>
        <x:v>10-&lt;20</x:v>
      </x:c>
    </x:row>
    <x:row r="5397">
      <x:c r="A5397" t="str">
        <x:v>SYN0005396</x:v>
      </x:c>
      <x:c r="B5397" s="12" t="n">
        <x:v>42475</x:v>
      </x:c>
      <x:c r="C5397" s="18" t="n">
        <x:v>4842</x:v>
      </x:c>
      <x:c r="D5397" s="18" t="n">
        <x:v>43590</x:v>
      </x:c>
      <x:c r="E5397" s="18" t="n">
        <x:v>29.05</x:v>
      </x:c>
      <x:c r="F5397" s="18" t="n">
        <x:v>12.61</x:v>
      </x:c>
      <x:c r="G5397" t="n">
        <x:v>36</x:v>
      </x:c>
      <x:c r="H5397" t="str">
        <x:v>D</x:v>
      </x:c>
      <x:c r="I5397" t="str">
        <x:v>10+ years</x:v>
      </x:c>
      <x:c r="J5397" t="str">
        <x:v>RENT</x:v>
      </x:c>
      <x:c r="K5397" t="str">
        <x:v>other</x:v>
      </x:c>
      <x:c r="L5397" t="n">
        <x:v>1</x:v>
      </x:c>
      <x:c r="M5397" t="n">
        <x:v>0</x:v>
      </x:c>
      <x:c r="N5397" t="str">
        <x:v>Fully Paid</x:v>
      </x:c>
      <x:c r="O5397" t="str">
        <x:f>IF(D5397="","Unknown",IF(D5397&lt;25000,"&lt;$25k",IF(D5397&lt;50000,"$25k-$50k",IF(D5397&lt;75000,"$50k-$75k",IF(D5397&lt;100000,"$75k-$100k","$100k+")))))</x:f>
        <x:v>$25k-$50k</x:v>
      </x:c>
      <x:c r="P5397" t="str">
        <x:f>IF(E5397="","Unknown",IF(E5397&lt;10,"&lt;10",IF(E5397&lt;20,"10-&lt;20",IF(E5397&lt;25,"20-&lt;25",IF(E5397&lt;35,"25-&lt;35","35+")))))</x:f>
        <x:v>25-&lt;35</x:v>
      </x:c>
    </x:row>
    <x:row r="5398">
      <x:c r="A5398" t="str">
        <x:v>SYN0005397</x:v>
      </x:c>
      <x:c r="B5398" s="12" t="n">
        <x:v>41785</x:v>
      </x:c>
      <x:c r="C5398" s="18" t="n">
        <x:v>19947</x:v>
      </x:c>
      <x:c r="D5398" s="18" t="n">
        <x:v>35607</x:v>
      </x:c>
      <x:c r="E5398" s="18" t="n">
        <x:v>34.54</x:v>
      </x:c>
      <x:c r="F5398" s="18" t="n">
        <x:v>20.32</x:v>
      </x:c>
      <x:c r="G5398" t="n">
        <x:v>60</x:v>
      </x:c>
      <x:c r="H5398" t="str">
        <x:v>F</x:v>
      </x:c>
      <x:c r="I5398" t="str">
        <x:v>7-9 years</x:v>
      </x:c>
      <x:c r="J5398" t="str">
        <x:v>OWN</x:v>
      </x:c>
      <x:c r="K5398" t="str">
        <x:v>credit_card</x:v>
      </x:c>
      <x:c r="L5398" t="n">
        <x:v>1</x:v>
      </x:c>
      <x:c r="M5398" t="n">
        <x:v>0</x:v>
      </x:c>
      <x:c r="N5398" t="str">
        <x:v>Fully Paid</x:v>
      </x:c>
      <x:c r="O5398" t="str">
        <x:f>IF(D5398="","Unknown",IF(D5398&lt;25000,"&lt;$25k",IF(D5398&lt;50000,"$25k-$50k",IF(D5398&lt;75000,"$50k-$75k",IF(D5398&lt;100000,"$75k-$100k","$100k+")))))</x:f>
        <x:v>$25k-$50k</x:v>
      </x:c>
      <x:c r="P5398" t="str">
        <x:f>IF(E5398="","Unknown",IF(E5398&lt;10,"&lt;10",IF(E5398&lt;20,"10-&lt;20",IF(E5398&lt;25,"20-&lt;25",IF(E5398&lt;35,"25-&lt;35","35+")))))</x:f>
        <x:v>25-&lt;35</x:v>
      </x:c>
    </x:row>
    <x:row r="5399">
      <x:c r="A5399" t="str">
        <x:v>SYN0005398</x:v>
      </x:c>
      <x:c r="B5399" s="12" t="n">
        <x:v>42835</x:v>
      </x:c>
      <x:c r="C5399" s="18" t="n">
        <x:v>11198</x:v>
      </x:c>
      <x:c r="D5399" s="18" t="n">
        <x:v>48213</x:v>
      </x:c>
      <x:c r="E5399" s="18" t="n">
        <x:v>42.27</x:v>
      </x:c>
      <x:c r="F5399" s="18" t="n">
        <x:v>11.73</x:v>
      </x:c>
      <x:c r="G5399" t="n">
        <x:v>36</x:v>
      </x:c>
      <x:c r="H5399" t="str">
        <x:v>C</x:v>
      </x:c>
      <x:c r="I5399" t="str">
        <x:v>4-6 years</x:v>
      </x:c>
      <x:c r="J5399" t="str">
        <x:v>RENT</x:v>
      </x:c>
      <x:c r="K5399" t="str">
        <x:v>home_improvement</x:v>
      </x:c>
      <x:c r="L5399" t="n">
        <x:v>0</x:v>
      </x:c>
      <x:c r="M5399" t="n">
        <x:v>1</x:v>
      </x:c>
      <x:c r="N5399" t="str">
        <x:v>Charged Off</x:v>
      </x:c>
      <x:c r="O5399" t="str">
        <x:f>IF(D5399="","Unknown",IF(D5399&lt;25000,"&lt;$25k",IF(D5399&lt;50000,"$25k-$50k",IF(D5399&lt;75000,"$50k-$75k",IF(D5399&lt;100000,"$75k-$100k","$100k+")))))</x:f>
        <x:v>$25k-$50k</x:v>
      </x:c>
      <x:c r="P5399" t="str">
        <x:f>IF(E5399="","Unknown",IF(E5399&lt;10,"&lt;10",IF(E5399&lt;20,"10-&lt;20",IF(E5399&lt;25,"20-&lt;25",IF(E5399&lt;35,"25-&lt;35","35+")))))</x:f>
        <x:v>35+</x:v>
      </x:c>
    </x:row>
    <x:row r="5400">
      <x:c r="A5400" t="str">
        <x:v>SYN0005399</x:v>
      </x:c>
      <x:c r="B5400" s="12" t="n">
        <x:v>43045</x:v>
      </x:c>
      <x:c r="C5400" s="18" t="n">
        <x:v>7597</x:v>
      </x:c>
      <x:c r="D5400" s="18" t="n">
        <x:v>91726</x:v>
      </x:c>
      <x:c r="E5400" s="18" t="n">
        <x:v>11.36</x:v>
      </x:c>
      <x:c r="F5400" s="18" t="n">
        <x:v>8.4</x:v>
      </x:c>
      <x:c r="G5400" t="n">
        <x:v>36</x:v>
      </x:c>
      <x:c r="H5400" t="str">
        <x:v>A</x:v>
      </x:c>
      <x:c r="I5400" t="str">
        <x:v>&lt;1 year</x:v>
      </x:c>
      <x:c r="J5400" t="str">
        <x:v>RENT</x:v>
      </x:c>
      <x:c r="K5400" t="str">
        <x:v>home_improvement</x:v>
      </x:c>
      <x:c r="L5400" t="n">
        <x:v>0</x:v>
      </x:c>
      <x:c r="M5400" t="n">
        <x:v>1</x:v>
      </x:c>
      <x:c r="N5400" t="str">
        <x:v>Charged Off</x:v>
      </x:c>
      <x:c r="O5400" t="str">
        <x:f>IF(D5400="","Unknown",IF(D5400&lt;25000,"&lt;$25k",IF(D5400&lt;50000,"$25k-$50k",IF(D5400&lt;75000,"$50k-$75k",IF(D5400&lt;100000,"$75k-$100k","$100k+")))))</x:f>
        <x:v>$75k-$100k</x:v>
      </x:c>
      <x:c r="P5400" t="str">
        <x:f>IF(E5400="","Unknown",IF(E5400&lt;10,"&lt;10",IF(E5400&lt;20,"10-&lt;20",IF(E5400&lt;25,"20-&lt;25",IF(E5400&lt;35,"25-&lt;35","35+")))))</x:f>
        <x:v>10-&lt;20</x:v>
      </x:c>
    </x:row>
    <x:row r="5401">
      <x:c r="A5401" t="str">
        <x:v>SYN0005400</x:v>
      </x:c>
      <x:c r="B5401" s="12" t="n">
        <x:v>43165</x:v>
      </x:c>
      <x:c r="C5401" s="18" t="n">
        <x:v>7995</x:v>
      </x:c>
      <x:c r="D5401" s="18" t="n">
        <x:v>60989</x:v>
      </x:c>
      <x:c r="E5401" s="18" t="n">
        <x:v>9.2</x:v>
      </x:c>
      <x:c r="F5401" s="18" t="n">
        <x:v>18.39</x:v>
      </x:c>
      <x:c r="G5401" t="n">
        <x:v>36</x:v>
      </x:c>
      <x:c r="H5401" t="str">
        <x:v>E</x:v>
      </x:c>
      <x:c r="I5401" t="str">
        <x:v>10+ years</x:v>
      </x:c>
      <x:c r="J5401" t="str">
        <x:v>RENT</x:v>
      </x:c>
      <x:c r="K5401" t="str">
        <x:v>credit_card</x:v>
      </x:c>
      <x:c r="L5401" t="n">
        <x:v>1</x:v>
      </x:c>
      <x:c r="M5401" t="n">
        <x:v>0</x:v>
      </x:c>
      <x:c r="N5401" t="str">
        <x:v>Fully Paid</x:v>
      </x:c>
      <x:c r="O5401" t="str">
        <x:f>IF(D5401="","Unknown",IF(D5401&lt;25000,"&lt;$25k",IF(D5401&lt;50000,"$25k-$50k",IF(D5401&lt;75000,"$50k-$75k",IF(D5401&lt;100000,"$75k-$100k","$100k+")))))</x:f>
        <x:v>$50k-$75k</x:v>
      </x:c>
      <x:c r="P5401" t="str">
        <x:f>IF(E5401="","Unknown",IF(E5401&lt;10,"&lt;10",IF(E5401&lt;20,"10-&lt;20",IF(E5401&lt;25,"20-&lt;25",IF(E5401&lt;35,"25-&lt;35","35+")))))</x:f>
        <x:v>&lt;10</x:v>
      </x:c>
    </x:row>
    <x:row r="5402">
      <x:c r="A5402" t="str">
        <x:v>SYN0005401</x:v>
      </x:c>
      <x:c r="B5402" s="12" t="n">
        <x:v>42265</x:v>
      </x:c>
      <x:c r="C5402" s="18" t="n">
        <x:v>18356</x:v>
      </x:c>
      <x:c r="D5402" s="18" t="n">
        <x:v>91174</x:v>
      </x:c>
      <x:c r="E5402" s="18" t="n">
        <x:v>23.98</x:v>
      </x:c>
      <x:c r="F5402" s="18" t="n">
        <x:v>16.24</x:v>
      </x:c>
      <x:c r="G5402" t="n">
        <x:v>36</x:v>
      </x:c>
      <x:c r="H5402" t="str">
        <x:v>E</x:v>
      </x:c>
      <x:c r="I5402" t="str">
        <x:v>10+ years</x:v>
      </x:c>
      <x:c r="J5402" t="str">
        <x:v>MORTGAGE</x:v>
      </x:c>
      <x:c r="K5402" t="str">
        <x:v>major_purchase</x:v>
      </x:c>
      <x:c r="L5402" t="n">
        <x:v>1</x:v>
      </x:c>
      <x:c r="M5402" t="n">
        <x:v>0</x:v>
      </x:c>
      <x:c r="N5402" t="str">
        <x:v>Fully Paid</x:v>
      </x:c>
      <x:c r="O5402" t="str">
        <x:f>IF(D5402="","Unknown",IF(D5402&lt;25000,"&lt;$25k",IF(D5402&lt;50000,"$25k-$50k",IF(D5402&lt;75000,"$50k-$75k",IF(D5402&lt;100000,"$75k-$100k","$100k+")))))</x:f>
        <x:v>$75k-$100k</x:v>
      </x:c>
      <x:c r="P5402" t="str">
        <x:f>IF(E5402="","Unknown",IF(E5402&lt;10,"&lt;10",IF(E5402&lt;20,"10-&lt;20",IF(E5402&lt;25,"20-&lt;25",IF(E5402&lt;35,"25-&lt;35","35+")))))</x:f>
        <x:v>20-&lt;25</x:v>
      </x:c>
    </x:row>
    <x:row r="5403">
      <x:c r="A5403" t="str">
        <x:v>SYN0005402</x:v>
      </x:c>
      <x:c r="B5403" s="12" t="n">
        <x:v>42865</x:v>
      </x:c>
      <x:c r="C5403" s="18" t="n">
        <x:v>12268</x:v>
      </x:c>
      <x:c r="D5403" s="18" t="n">
        <x:v>39697</x:v>
      </x:c>
      <x:c r="E5403" s="18" t="n">
        <x:v>32.71</x:v>
      </x:c>
      <x:c r="F5403" s="18" t="n">
        <x:v>8.72</x:v>
      </x:c>
      <x:c r="G5403" t="n">
        <x:v>60</x:v>
      </x:c>
      <x:c r="H5403" t="str">
        <x:v>B</x:v>
      </x:c>
      <x:c r="I5403" t="str">
        <x:v>7-9 years</x:v>
      </x:c>
      <x:c r="J5403" t="str">
        <x:v>MORTGAGE</x:v>
      </x:c>
      <x:c r="K5403" t="str">
        <x:v>debt_consolidation</x:v>
      </x:c>
      <x:c r="L5403" t="n">
        <x:v>0</x:v>
      </x:c>
      <x:c r="M5403" t="n">
        <x:v>0</x:v>
      </x:c>
      <x:c r="N5403" t="str">
        <x:v>Fully Paid</x:v>
      </x:c>
      <x:c r="O5403" t="str">
        <x:f>IF(D5403="","Unknown",IF(D5403&lt;25000,"&lt;$25k",IF(D5403&lt;50000,"$25k-$50k",IF(D5403&lt;75000,"$50k-$75k",IF(D5403&lt;100000,"$75k-$100k","$100k+")))))</x:f>
        <x:v>$25k-$50k</x:v>
      </x:c>
      <x:c r="P5403" t="str">
        <x:f>IF(E5403="","Unknown",IF(E5403&lt;10,"&lt;10",IF(E5403&lt;20,"10-&lt;20",IF(E5403&lt;25,"20-&lt;25",IF(E5403&lt;35,"25-&lt;35","35+")))))</x:f>
        <x:v>25-&lt;35</x:v>
      </x:c>
    </x:row>
    <x:row r="5404">
      <x:c r="A5404" t="str">
        <x:v>SYN0005403</x:v>
      </x:c>
      <x:c r="B5404" s="12" t="n">
        <x:v>41845</x:v>
      </x:c>
      <x:c r="C5404" s="18" t="n">
        <x:v>11716</x:v>
      </x:c>
      <x:c r="D5404" s="18" t="n">
        <x:v>57691</x:v>
      </x:c>
      <x:c r="E5404" s="18" t="n">
        <x:v>35.27</x:v>
      </x:c>
      <x:c r="F5404" s="18" t="n">
        <x:v>25.23</x:v>
      </x:c>
      <x:c r="G5404" t="n">
        <x:v>36</x:v>
      </x:c>
      <x:c r="H5404" t="str">
        <x:v>G</x:v>
      </x:c>
      <x:c r="I5404" t="str">
        <x:v>&lt;1 year</x:v>
      </x:c>
      <x:c r="J5404" t="str">
        <x:v>RENT</x:v>
      </x:c>
      <x:c r="K5404" t="str">
        <x:v>major_purchase</x:v>
      </x:c>
      <x:c r="L5404" t="n">
        <x:v>0</x:v>
      </x:c>
      <x:c r="M5404" t="n">
        <x:v>0</x:v>
      </x:c>
      <x:c r="N5404" t="str">
        <x:v>Fully Paid</x:v>
      </x:c>
      <x:c r="O5404" t="str">
        <x:f>IF(D5404="","Unknown",IF(D5404&lt;25000,"&lt;$25k",IF(D5404&lt;50000,"$25k-$50k",IF(D5404&lt;75000,"$50k-$75k",IF(D5404&lt;100000,"$75k-$100k","$100k+")))))</x:f>
        <x:v>$50k-$75k</x:v>
      </x:c>
      <x:c r="P5404" t="str">
        <x:f>IF(E5404="","Unknown",IF(E5404&lt;10,"&lt;10",IF(E5404&lt;20,"10-&lt;20",IF(E5404&lt;25,"20-&lt;25",IF(E5404&lt;35,"25-&lt;35","35+")))))</x:f>
        <x:v>35+</x:v>
      </x:c>
    </x:row>
    <x:row r="5405">
      <x:c r="A5405" t="str">
        <x:v>SYN0005404</x:v>
      </x:c>
      <x:c r="B5405" s="12" t="n">
        <x:v>42715</x:v>
      </x:c>
      <x:c r="C5405" s="18" t="n">
        <x:v>11792</x:v>
      </x:c>
      <x:c r="D5405" s="18" t="n">
        <x:v>78031</x:v>
      </x:c>
      <x:c r="E5405" s="18" t="n">
        <x:v>18.51</x:v>
      </x:c>
      <x:c r="F5405" s="18" t="n">
        <x:v>17.69</x:v>
      </x:c>
      <x:c r="G5405" t="n">
        <x:v>36</x:v>
      </x:c>
      <x:c r="H5405" t="str">
        <x:v>E</x:v>
      </x:c>
      <x:c r="I5405" t="str">
        <x:v>4-6 years</x:v>
      </x:c>
      <x:c r="J5405" t="str">
        <x:v>RENT</x:v>
      </x:c>
      <x:c r="K5405" t="str">
        <x:v>debt_consolidation</x:v>
      </x:c>
      <x:c r="L5405" t="n">
        <x:v>0</x:v>
      </x:c>
      <x:c r="M5405" t="n">
        <x:v>0</x:v>
      </x:c>
      <x:c r="N5405" t="str">
        <x:v>Fully Paid</x:v>
      </x:c>
      <x:c r="O5405" t="str">
        <x:f>IF(D5405="","Unknown",IF(D5405&lt;25000,"&lt;$25k",IF(D5405&lt;50000,"$25k-$50k",IF(D5405&lt;75000,"$50k-$75k",IF(D5405&lt;100000,"$75k-$100k","$100k+")))))</x:f>
        <x:v>$75k-$100k</x:v>
      </x:c>
      <x:c r="P5405" t="str">
        <x:f>IF(E5405="","Unknown",IF(E5405&lt;10,"&lt;10",IF(E5405&lt;20,"10-&lt;20",IF(E5405&lt;25,"20-&lt;25",IF(E5405&lt;35,"25-&lt;35","35+")))))</x:f>
        <x:v>10-&lt;20</x:v>
      </x:c>
    </x:row>
    <x:row r="5406">
      <x:c r="A5406" t="str">
        <x:v>SYN0005405</x:v>
      </x:c>
      <x:c r="B5406" s="12" t="n">
        <x:v>41905</x:v>
      </x:c>
      <x:c r="C5406" s="18" t="n">
        <x:v>11923</x:v>
      </x:c>
      <x:c r="D5406" s="18" t="n">
        <x:v>77713</x:v>
      </x:c>
      <x:c r="E5406" s="18" t="n">
        <x:v>22.13</x:v>
      </x:c>
      <x:c r="F5406" s="18" t="n">
        <x:v>15.25</x:v>
      </x:c>
      <x:c r="G5406" t="n">
        <x:v>36</x:v>
      </x:c>
      <x:c r="H5406" t="str">
        <x:v>D</x:v>
      </x:c>
      <x:c r="I5406" t="str">
        <x:v>&lt;1 year</x:v>
      </x:c>
      <x:c r="J5406" t="str">
        <x:v>RENT</x:v>
      </x:c>
      <x:c r="K5406" t="str">
        <x:v>debt_consolidation</x:v>
      </x:c>
      <x:c r="L5406" t="n">
        <x:v>0</x:v>
      </x:c>
      <x:c r="M5406" t="n">
        <x:v>0</x:v>
      </x:c>
      <x:c r="N5406" t="str">
        <x:v>Fully Paid</x:v>
      </x:c>
      <x:c r="O5406" t="str">
        <x:f>IF(D5406="","Unknown",IF(D5406&lt;25000,"&lt;$25k",IF(D5406&lt;50000,"$25k-$50k",IF(D5406&lt;75000,"$50k-$75k",IF(D5406&lt;100000,"$75k-$100k","$100k+")))))</x:f>
        <x:v>$75k-$100k</x:v>
      </x:c>
      <x:c r="P5406" t="str">
        <x:f>IF(E5406="","Unknown",IF(E5406&lt;10,"&lt;10",IF(E5406&lt;20,"10-&lt;20",IF(E5406&lt;25,"20-&lt;25",IF(E5406&lt;35,"25-&lt;35","35+")))))</x:f>
        <x:v>20-&lt;25</x:v>
      </x:c>
    </x:row>
    <x:row r="5407">
      <x:c r="A5407" t="str">
        <x:v>SYN0005406</x:v>
      </x:c>
      <x:c r="B5407" s="12" t="n">
        <x:v>42895</x:v>
      </x:c>
      <x:c r="C5407" s="18" t="n">
        <x:v>19997</x:v>
      </x:c>
      <x:c r="D5407" s="18" t="n">
        <x:v>30134</x:v>
      </x:c>
      <x:c r="E5407" s="18" t="n">
        <x:v>14.37</x:v>
      </x:c>
      <x:c r="F5407" s="18" t="n">
        <x:v>11.19</x:v>
      </x:c>
      <x:c r="G5407" t="n">
        <x:v>36</x:v>
      </x:c>
      <x:c r="H5407" t="str">
        <x:v>C</x:v>
      </x:c>
      <x:c r="I5407" t="str">
        <x:v>4-6 years</x:v>
      </x:c>
      <x:c r="J5407" t="str">
        <x:v>MORTGAGE</x:v>
      </x:c>
      <x:c r="K5407" t="str">
        <x:v>debt_consolidation</x:v>
      </x:c>
      <x:c r="L5407" t="n">
        <x:v>1</x:v>
      </x:c>
      <x:c r="M5407" t="n">
        <x:v>0</x:v>
      </x:c>
      <x:c r="N5407" t="str">
        <x:v>Fully Paid</x:v>
      </x:c>
      <x:c r="O5407" t="str">
        <x:f>IF(D5407="","Unknown",IF(D5407&lt;25000,"&lt;$25k",IF(D5407&lt;50000,"$25k-$50k",IF(D5407&lt;75000,"$50k-$75k",IF(D5407&lt;100000,"$75k-$100k","$100k+")))))</x:f>
        <x:v>$25k-$50k</x:v>
      </x:c>
      <x:c r="P5407" t="str">
        <x:f>IF(E5407="","Unknown",IF(E5407&lt;10,"&lt;10",IF(E5407&lt;20,"10-&lt;20",IF(E5407&lt;25,"20-&lt;25",IF(E5407&lt;35,"25-&lt;35","35+")))))</x:f>
        <x:v>10-&lt;20</x:v>
      </x:c>
    </x:row>
    <x:row r="5408">
      <x:c r="A5408" t="str">
        <x:v>SYN0005407</x:v>
      </x:c>
      <x:c r="B5408" s="12" t="n">
        <x:v>43045</x:v>
      </x:c>
      <x:c r="C5408" s="18" t="n">
        <x:v>7185</x:v>
      </x:c>
      <x:c r="D5408" s="18" t="n">
        <x:v>22337</x:v>
      </x:c>
      <x:c r="E5408" s="18" t="n">
        <x:v>33.79</x:v>
      </x:c>
      <x:c r="F5408" s="18" t="n">
        <x:v>9.79</x:v>
      </x:c>
      <x:c r="G5408" t="n">
        <x:v>36</x:v>
      </x:c>
      <x:c r="H5408" t="str">
        <x:v>C</x:v>
      </x:c>
      <x:c r="I5408" t="str">
        <x:v>7-9 years</x:v>
      </x:c>
      <x:c r="J5408" t="str">
        <x:v>MORTGAGE</x:v>
      </x:c>
      <x:c r="K5408" t="str">
        <x:v>debt_consolidation</x:v>
      </x:c>
      <x:c r="L5408" t="n">
        <x:v>1</x:v>
      </x:c>
      <x:c r="M5408" t="n">
        <x:v>0</x:v>
      </x:c>
      <x:c r="N5408" t="str">
        <x:v>Fully Paid</x:v>
      </x:c>
      <x:c r="O5408" t="str">
        <x:f>IF(D5408="","Unknown",IF(D5408&lt;25000,"&lt;$25k",IF(D5408&lt;50000,"$25k-$50k",IF(D5408&lt;75000,"$50k-$75k",IF(D5408&lt;100000,"$75k-$100k","$100k+")))))</x:f>
        <x:v>&lt;$25k</x:v>
      </x:c>
      <x:c r="P5408" t="str">
        <x:f>IF(E5408="","Unknown",IF(E5408&lt;10,"&lt;10",IF(E5408&lt;20,"10-&lt;20",IF(E5408&lt;25,"20-&lt;25",IF(E5408&lt;35,"25-&lt;35","35+")))))</x:f>
        <x:v>25-&lt;35</x:v>
      </x:c>
    </x:row>
    <x:row r="5409">
      <x:c r="A5409" t="str">
        <x:v>SYN0005408</x:v>
      </x:c>
      <x:c r="B5409" s="12" t="n">
        <x:v>41995</x:v>
      </x:c>
      <x:c r="C5409" s="18" t="n">
        <x:v>11162</x:v>
      </x:c>
      <x:c r="D5409" s="18" t="n">
        <x:v>12000</x:v>
      </x:c>
      <x:c r="E5409" s="18" t="n">
        <x:v>5.65</x:v>
      </x:c>
      <x:c r="F5409" s="18" t="n">
        <x:v>9.47</x:v>
      </x:c>
      <x:c r="G5409" t="n">
        <x:v>60</x:v>
      </x:c>
      <x:c r="H5409" t="str">
        <x:v>B</x:v>
      </x:c>
      <x:c r="I5409" t="str">
        <x:v>4-6 years</x:v>
      </x:c>
      <x:c r="J5409" t="str">
        <x:v>OWN</x:v>
      </x:c>
      <x:c r="K5409" t="str">
        <x:v>credit_card</x:v>
      </x:c>
      <x:c r="L5409" t="n">
        <x:v>0</x:v>
      </x:c>
      <x:c r="M5409" t="n">
        <x:v>0</x:v>
      </x:c>
      <x:c r="N5409" t="str">
        <x:v>Fully Paid</x:v>
      </x:c>
      <x:c r="O5409" t="str">
        <x:f>IF(D5409="","Unknown",IF(D5409&lt;25000,"&lt;$25k",IF(D5409&lt;50000,"$25k-$50k",IF(D5409&lt;75000,"$50k-$75k",IF(D5409&lt;100000,"$75k-$100k","$100k+")))))</x:f>
        <x:v>&lt;$25k</x:v>
      </x:c>
      <x:c r="P5409" t="str">
        <x:f>IF(E5409="","Unknown",IF(E5409&lt;10,"&lt;10",IF(E5409&lt;20,"10-&lt;20",IF(E5409&lt;25,"20-&lt;25",IF(E5409&lt;35,"25-&lt;35","35+")))))</x:f>
        <x:v>&lt;10</x:v>
      </x:c>
    </x:row>
    <x:row r="5410">
      <x:c r="A5410" t="str">
        <x:v>SYN0005409</x:v>
      </x:c>
      <x:c r="B5410" s="12" t="n">
        <x:v>42205</x:v>
      </x:c>
      <x:c r="C5410" s="18" t="n">
        <x:v>17926</x:v>
      </x:c>
      <x:c r="D5410" s="18" t="n">
        <x:v>83781</x:v>
      </x:c>
      <x:c r="E5410" s="18" t="n">
        <x:v>18.48</x:v>
      </x:c>
      <x:c r="F5410" s="18" t="n">
        <x:v>12.11</x:v>
      </x:c>
      <x:c r="G5410" t="n">
        <x:v>36</x:v>
      </x:c>
      <x:c r="H5410" t="str">
        <x:v>D</x:v>
      </x:c>
      <x:c r="I5410" t="str">
        <x:v>&lt;1 year</x:v>
      </x:c>
      <x:c r="J5410" t="str">
        <x:v>RENT</x:v>
      </x:c>
      <x:c r="K5410" t="str">
        <x:v>debt_consolidation</x:v>
      </x:c>
      <x:c r="L5410" t="n">
        <x:v>0</x:v>
      </x:c>
      <x:c r="M5410" t="n">
        <x:v>0</x:v>
      </x:c>
      <x:c r="N5410" t="str">
        <x:v>Fully Paid</x:v>
      </x:c>
      <x:c r="O5410" t="str">
        <x:f>IF(D5410="","Unknown",IF(D5410&lt;25000,"&lt;$25k",IF(D5410&lt;50000,"$25k-$50k",IF(D5410&lt;75000,"$50k-$75k",IF(D5410&lt;100000,"$75k-$100k","$100k+")))))</x:f>
        <x:v>$75k-$100k</x:v>
      </x:c>
      <x:c r="P5410" t="str">
        <x:f>IF(E5410="","Unknown",IF(E5410&lt;10,"&lt;10",IF(E5410&lt;20,"10-&lt;20",IF(E5410&lt;25,"20-&lt;25",IF(E5410&lt;35,"25-&lt;35","35+")))))</x:f>
        <x:v>10-&lt;20</x:v>
      </x:c>
    </x:row>
    <x:row r="5411">
      <x:c r="A5411" t="str">
        <x:v>SYN0005410</x:v>
      </x:c>
      <x:c r="B5411" s="12" t="n">
        <x:v>43375</x:v>
      </x:c>
      <x:c r="C5411" s="18" t="n">
        <x:v>18984</x:v>
      </x:c>
      <x:c r="D5411" s="18" t="n">
        <x:v>39388</x:v>
      </x:c>
      <x:c r="E5411" s="18" t="n">
        <x:v>23.88</x:v>
      </x:c>
      <x:c r="F5411" s="18" t="n">
        <x:v>11.26</x:v>
      </x:c>
      <x:c r="G5411" t="n">
        <x:v>60</x:v>
      </x:c>
      <x:c r="H5411" t="str">
        <x:v>B</x:v>
      </x:c>
      <x:c r="I5411" t="str">
        <x:v>10+ years</x:v>
      </x:c>
      <x:c r="J5411" t="str">
        <x:v>MORTGAGE</x:v>
      </x:c>
      <x:c r="K5411" t="str">
        <x:v>home_improvement</x:v>
      </x:c>
      <x:c r="L5411" t="n">
        <x:v>0</x:v>
      </x:c>
      <x:c r="M5411" t="n">
        <x:v>0</x:v>
      </x:c>
      <x:c r="N5411" t="str">
        <x:v>Fully Paid</x:v>
      </x:c>
      <x:c r="O5411" t="str">
        <x:f>IF(D5411="","Unknown",IF(D5411&lt;25000,"&lt;$25k",IF(D5411&lt;50000,"$25k-$50k",IF(D5411&lt;75000,"$50k-$75k",IF(D5411&lt;100000,"$75k-$100k","$100k+")))))</x:f>
        <x:v>$25k-$50k</x:v>
      </x:c>
      <x:c r="P5411" t="str">
        <x:f>IF(E5411="","Unknown",IF(E5411&lt;10,"&lt;10",IF(E5411&lt;20,"10-&lt;20",IF(E5411&lt;25,"20-&lt;25",IF(E5411&lt;35,"25-&lt;35","35+")))))</x:f>
        <x:v>20-&lt;25</x:v>
      </x:c>
    </x:row>
    <x:row r="5412">
      <x:c r="A5412" t="str">
        <x:v>SYN0005411</x:v>
      </x:c>
      <x:c r="B5412" s="12" t="n">
        <x:v>43345</x:v>
      </x:c>
      <x:c r="C5412" s="18" t="n">
        <x:v>8793</x:v>
      </x:c>
      <x:c r="D5412" s="18" t="n">
        <x:v>26767</x:v>
      </x:c>
      <x:c r="E5412" s="18" t="n">
        <x:v>34.9</x:v>
      </x:c>
      <x:c r="F5412" s="18" t="n">
        <x:v>16.57</x:v>
      </x:c>
      <x:c r="G5412" t="n">
        <x:v>60</x:v>
      </x:c>
      <x:c r="H5412" t="str">
        <x:v>E</x:v>
      </x:c>
      <x:c r="I5412" t="str">
        <x:v>1-3 years</x:v>
      </x:c>
      <x:c r="J5412" t="str">
        <x:v>MORTGAGE</x:v>
      </x:c>
      <x:c r="K5412" t="str">
        <x:v>other</x:v>
      </x:c>
      <x:c r="L5412" t="n">
        <x:v>0</x:v>
      </x:c>
      <x:c r="M5412" t="n">
        <x:v>1</x:v>
      </x:c>
      <x:c r="N5412" t="str">
        <x:v>Charged Off</x:v>
      </x:c>
      <x:c r="O5412" t="str">
        <x:f>IF(D5412="","Unknown",IF(D5412&lt;25000,"&lt;$25k",IF(D5412&lt;50000,"$25k-$50k",IF(D5412&lt;75000,"$50k-$75k",IF(D5412&lt;100000,"$75k-$100k","$100k+")))))</x:f>
        <x:v>$25k-$50k</x:v>
      </x:c>
      <x:c r="P5412" t="str">
        <x:f>IF(E5412="","Unknown",IF(E5412&lt;10,"&lt;10",IF(E5412&lt;20,"10-&lt;20",IF(E5412&lt;25,"20-&lt;25",IF(E5412&lt;35,"25-&lt;35","35+")))))</x:f>
        <x:v>25-&lt;35</x:v>
      </x:c>
    </x:row>
    <x:row r="5413">
      <x:c r="A5413" t="str">
        <x:v>SYN0005412</x:v>
      </x:c>
      <x:c r="B5413" s="12" t="n">
        <x:v>41485</x:v>
      </x:c>
      <x:c r="C5413" s="18" t="n">
        <x:v>4389</x:v>
      </x:c>
      <x:c r="D5413" s="18" t="n">
        <x:v>137690</x:v>
      </x:c>
      <x:c r="E5413" s="18" t="n">
        <x:v>28.61</x:v>
      </x:c>
      <x:c r="F5413" s="18" t="n">
        <x:v>7.75</x:v>
      </x:c>
      <x:c r="G5413" t="n">
        <x:v>60</x:v>
      </x:c>
      <x:c r="H5413" t="str">
        <x:v>B</x:v>
      </x:c>
      <x:c r="I5413" t="str">
        <x:v>1-3 years</x:v>
      </x:c>
      <x:c r="J5413" t="str">
        <x:v>RENT</x:v>
      </x:c>
      <x:c r="K5413" t="str">
        <x:v>debt_consolidation</x:v>
      </x:c>
      <x:c r="L5413" t="n">
        <x:v>0</x:v>
      </x:c>
      <x:c r="M5413" t="n">
        <x:v>0</x:v>
      </x:c>
      <x:c r="N5413" t="str">
        <x:v>Fully Paid</x:v>
      </x:c>
      <x:c r="O5413" t="str">
        <x:f>IF(D5413="","Unknown",IF(D5413&lt;25000,"&lt;$25k",IF(D5413&lt;50000,"$25k-$50k",IF(D5413&lt;75000,"$50k-$75k",IF(D5413&lt;100000,"$75k-$100k","$100k+")))))</x:f>
        <x:v>$100k+</x:v>
      </x:c>
      <x:c r="P5413" t="str">
        <x:f>IF(E5413="","Unknown",IF(E5413&lt;10,"&lt;10",IF(E5413&lt;20,"10-&lt;20",IF(E5413&lt;25,"20-&lt;25",IF(E5413&lt;35,"25-&lt;35","35+")))))</x:f>
        <x:v>25-&lt;35</x:v>
      </x:c>
    </x:row>
    <x:row r="5414">
      <x:c r="A5414" t="str">
        <x:v>SYN0005413</x:v>
      </x:c>
      <x:c r="B5414" s="12" t="n">
        <x:v>41815</x:v>
      </x:c>
      <x:c r="C5414" s="18" t="n">
        <x:v>19196</x:v>
      </x:c>
      <x:c r="D5414" s="18" t="n">
        <x:v>25752</x:v>
      </x:c>
      <x:c r="E5414" s="18" t="n">
        <x:v>5.45</x:v>
      </x:c>
      <x:c r="F5414" s="18" t="n">
        <x:v>7.85</x:v>
      </x:c>
      <x:c r="G5414" t="n">
        <x:v>36</x:v>
      </x:c>
      <x:c r="H5414" t="str">
        <x:v>B</x:v>
      </x:c>
      <x:c r="I5414" t="str">
        <x:v>&lt;1 year</x:v>
      </x:c>
      <x:c r="J5414" t="str">
        <x:v>MORTGAGE</x:v>
      </x:c>
      <x:c r="K5414" t="str">
        <x:v>debt_consolidation</x:v>
      </x:c>
      <x:c r="L5414" t="n">
        <x:v>0</x:v>
      </x:c>
      <x:c r="M5414" t="n">
        <x:v>0</x:v>
      </x:c>
      <x:c r="N5414" t="str">
        <x:v>Fully Paid</x:v>
      </x:c>
      <x:c r="O5414" t="str">
        <x:f>IF(D5414="","Unknown",IF(D5414&lt;25000,"&lt;$25k",IF(D5414&lt;50000,"$25k-$50k",IF(D5414&lt;75000,"$50k-$75k",IF(D5414&lt;100000,"$75k-$100k","$100k+")))))</x:f>
        <x:v>$25k-$50k</x:v>
      </x:c>
      <x:c r="P5414" t="str">
        <x:f>IF(E5414="","Unknown",IF(E5414&lt;10,"&lt;10",IF(E5414&lt;20,"10-&lt;20",IF(E5414&lt;25,"20-&lt;25",IF(E5414&lt;35,"25-&lt;35","35+")))))</x:f>
        <x:v>&lt;10</x:v>
      </x:c>
    </x:row>
    <x:row r="5415">
      <x:c r="A5415" t="str">
        <x:v>SYN0005414</x:v>
      </x:c>
      <x:c r="B5415" s="12" t="n">
        <x:v>42415</x:v>
      </x:c>
      <x:c r="C5415" s="18" t="n">
        <x:v>7738</x:v>
      </x:c>
      <x:c r="D5415" s="18" t="n">
        <x:v>89149</x:v>
      </x:c>
      <x:c r="E5415" s="18" t="n">
        <x:v>16.72</x:v>
      </x:c>
      <x:c r="F5415" s="18" t="n">
        <x:v>11.38</x:v>
      </x:c>
      <x:c r="G5415" t="n">
        <x:v>36</x:v>
      </x:c>
      <x:c r="H5415" t="str">
        <x:v>C</x:v>
      </x:c>
      <x:c r="I5415" t="str">
        <x:v>7-9 years</x:v>
      </x:c>
      <x:c r="J5415" t="str">
        <x:v>MORTGAGE</x:v>
      </x:c>
      <x:c r="K5415" t="str">
        <x:v>debt_consolidation</x:v>
      </x:c>
      <x:c r="L5415" t="n">
        <x:v>0</x:v>
      </x:c>
      <x:c r="M5415" t="n">
        <x:v>0</x:v>
      </x:c>
      <x:c r="N5415" t="str">
        <x:v>Fully Paid</x:v>
      </x:c>
      <x:c r="O5415" t="str">
        <x:f>IF(D5415="","Unknown",IF(D5415&lt;25000,"&lt;$25k",IF(D5415&lt;50000,"$25k-$50k",IF(D5415&lt;75000,"$50k-$75k",IF(D5415&lt;100000,"$75k-$100k","$100k+")))))</x:f>
        <x:v>$75k-$100k</x:v>
      </x:c>
      <x:c r="P5415" t="str">
        <x:f>IF(E5415="","Unknown",IF(E5415&lt;10,"&lt;10",IF(E5415&lt;20,"10-&lt;20",IF(E5415&lt;25,"20-&lt;25",IF(E5415&lt;35,"25-&lt;35","35+")))))</x:f>
        <x:v>10-&lt;20</x:v>
      </x:c>
    </x:row>
    <x:row r="5416">
      <x:c r="A5416" t="str">
        <x:v>SYN0005415</x:v>
      </x:c>
      <x:c r="B5416" s="12" t="n">
        <x:v>42805</x:v>
      </x:c>
      <x:c r="C5416" s="18" t="n">
        <x:v>10853</x:v>
      </x:c>
      <x:c r="D5416" s="18" t="n">
        <x:v>40194</x:v>
      </x:c>
      <x:c r="E5416" s="18" t="n">
        <x:v>8.62</x:v>
      </x:c>
      <x:c r="F5416" s="18" t="n">
        <x:v>6.42</x:v>
      </x:c>
      <x:c r="G5416" t="n">
        <x:v>60</x:v>
      </x:c>
      <x:c r="H5416" t="str">
        <x:v>A</x:v>
      </x:c>
      <x:c r="I5416" t="str">
        <x:v>10+ years</x:v>
      </x:c>
      <x:c r="J5416" t="str">
        <x:v>MORTGAGE</x:v>
      </x:c>
      <x:c r="K5416" t="str">
        <x:v>debt_consolidation</x:v>
      </x:c>
      <x:c r="L5416" t="n">
        <x:v>0</x:v>
      </x:c>
      <x:c r="M5416" t="n">
        <x:v>0</x:v>
      </x:c>
      <x:c r="N5416" t="str">
        <x:v>Fully Paid</x:v>
      </x:c>
      <x:c r="O5416" t="str">
        <x:f>IF(D5416="","Unknown",IF(D5416&lt;25000,"&lt;$25k",IF(D5416&lt;50000,"$25k-$50k",IF(D5416&lt;75000,"$50k-$75k",IF(D5416&lt;100000,"$75k-$100k","$100k+")))))</x:f>
        <x:v>$25k-$50k</x:v>
      </x:c>
      <x:c r="P5416" t="str">
        <x:f>IF(E5416="","Unknown",IF(E5416&lt;10,"&lt;10",IF(E5416&lt;20,"10-&lt;20",IF(E5416&lt;25,"20-&lt;25",IF(E5416&lt;35,"25-&lt;35","35+")))))</x:f>
        <x:v>&lt;10</x:v>
      </x:c>
    </x:row>
    <x:row r="5417">
      <x:c r="A5417" t="str">
        <x:v>SYN0005416</x:v>
      </x:c>
      <x:c r="B5417" s="12" t="n">
        <x:v>41875</x:v>
      </x:c>
      <x:c r="C5417" s="18" t="n">
        <x:v>9159</x:v>
      </x:c>
      <x:c r="D5417" s="18" t="n">
        <x:v>67531</x:v>
      </x:c>
      <x:c r="E5417" s="18" t="n">
        <x:v>1.66</x:v>
      </x:c>
      <x:c r="F5417" s="18" t="n">
        <x:v>11.69</x:v>
      </x:c>
      <x:c r="G5417" t="n">
        <x:v>60</x:v>
      </x:c>
      <x:c r="H5417" t="str">
        <x:v>B</x:v>
      </x:c>
      <x:c r="I5417" t="str">
        <x:v>1-3 years</x:v>
      </x:c>
      <x:c r="J5417" t="str">
        <x:v>OWN</x:v>
      </x:c>
      <x:c r="K5417" t="str">
        <x:v>debt_consolidation</x:v>
      </x:c>
      <x:c r="L5417" t="n">
        <x:v>1</x:v>
      </x:c>
      <x:c r="M5417" t="n">
        <x:v>0</x:v>
      </x:c>
      <x:c r="N5417" t="str">
        <x:v>Fully Paid</x:v>
      </x:c>
      <x:c r="O5417" t="str">
        <x:f>IF(D5417="","Unknown",IF(D5417&lt;25000,"&lt;$25k",IF(D5417&lt;50000,"$25k-$50k",IF(D5417&lt;75000,"$50k-$75k",IF(D5417&lt;100000,"$75k-$100k","$100k+")))))</x:f>
        <x:v>$50k-$75k</x:v>
      </x:c>
      <x:c r="P5417" t="str">
        <x:f>IF(E5417="","Unknown",IF(E5417&lt;10,"&lt;10",IF(E5417&lt;20,"10-&lt;20",IF(E5417&lt;25,"20-&lt;25",IF(E5417&lt;35,"25-&lt;35","35+")))))</x:f>
        <x:v>&lt;10</x:v>
      </x:c>
    </x:row>
    <x:row r="5418">
      <x:c r="A5418" t="str">
        <x:v>SYN0005417</x:v>
      </x:c>
      <x:c r="B5418" s="12" t="n">
        <x:v>43135</x:v>
      </x:c>
      <x:c r="C5418" s="18" t="n">
        <x:v>23936</x:v>
      </x:c>
      <x:c r="D5418" s="18" t="n">
        <x:v>25189</x:v>
      </x:c>
      <x:c r="E5418" s="18" t="n">
        <x:v>12.79</x:v>
      </x:c>
      <x:c r="F5418" s="18" t="n">
        <x:v>5.13</x:v>
      </x:c>
      <x:c r="G5418" t="n">
        <x:v>36</x:v>
      </x:c>
      <x:c r="H5418" t="str">
        <x:v>A</x:v>
      </x:c>
      <x:c r="I5418" t="str">
        <x:v>10+ years</x:v>
      </x:c>
      <x:c r="J5418" t="str">
        <x:v>OWN</x:v>
      </x:c>
      <x:c r="K5418" t="str">
        <x:v>credit_card</x:v>
      </x:c>
      <x:c r="L5418" t="n">
        <x:v>0</x:v>
      </x:c>
      <x:c r="M5418" t="n">
        <x:v>0</x:v>
      </x:c>
      <x:c r="N5418" t="str">
        <x:v>Fully Paid</x:v>
      </x:c>
      <x:c r="O5418" t="str">
        <x:f>IF(D5418="","Unknown",IF(D5418&lt;25000,"&lt;$25k",IF(D5418&lt;50000,"$25k-$50k",IF(D5418&lt;75000,"$50k-$75k",IF(D5418&lt;100000,"$75k-$100k","$100k+")))))</x:f>
        <x:v>$25k-$50k</x:v>
      </x:c>
      <x:c r="P5418" t="str">
        <x:f>IF(E5418="","Unknown",IF(E5418&lt;10,"&lt;10",IF(E5418&lt;20,"10-&lt;20",IF(E5418&lt;25,"20-&lt;25",IF(E5418&lt;35,"25-&lt;35","35+")))))</x:f>
        <x:v>10-&lt;20</x:v>
      </x:c>
    </x:row>
    <x:row r="5419">
      <x:c r="A5419" t="str">
        <x:v>SYN0005418</x:v>
      </x:c>
      <x:c r="B5419" s="12" t="n">
        <x:v>42655</x:v>
      </x:c>
      <x:c r="C5419" s="18" t="n">
        <x:v>14588</x:v>
      </x:c>
      <x:c r="D5419" s="18" t="n">
        <x:v>46913</x:v>
      </x:c>
      <x:c r="E5419" s="18" t="n">
        <x:v>18.13</x:v>
      </x:c>
      <x:c r="F5419" s="18" t="n">
        <x:v>10.69</x:v>
      </x:c>
      <x:c r="G5419" t="n">
        <x:v>60</x:v>
      </x:c>
      <x:c r="H5419" t="str">
        <x:v>B</x:v>
      </x:c>
      <x:c r="I5419" t="str">
        <x:v>4-6 years</x:v>
      </x:c>
      <x:c r="J5419" t="str">
        <x:v>RENT</x:v>
      </x:c>
      <x:c r="K5419" t="str">
        <x:v>debt_consolidation</x:v>
      </x:c>
      <x:c r="L5419" t="n">
        <x:v>0</x:v>
      </x:c>
      <x:c r="M5419" t="n">
        <x:v>0</x:v>
      </x:c>
      <x:c r="N5419" t="str">
        <x:v>Fully Paid</x:v>
      </x:c>
      <x:c r="O5419" t="str">
        <x:f>IF(D5419="","Unknown",IF(D5419&lt;25000,"&lt;$25k",IF(D5419&lt;50000,"$25k-$50k",IF(D5419&lt;75000,"$50k-$75k",IF(D5419&lt;100000,"$75k-$100k","$100k+")))))</x:f>
        <x:v>$25k-$50k</x:v>
      </x:c>
      <x:c r="P5419" t="str">
        <x:f>IF(E5419="","Unknown",IF(E5419&lt;10,"&lt;10",IF(E5419&lt;20,"10-&lt;20",IF(E5419&lt;25,"20-&lt;25",IF(E5419&lt;35,"25-&lt;35","35+")))))</x:f>
        <x:v>10-&lt;20</x:v>
      </x:c>
    </x:row>
    <x:row r="5420">
      <x:c r="A5420" t="str">
        <x:v>SYN0005419</x:v>
      </x:c>
      <x:c r="B5420" s="12" t="n">
        <x:v>42745</x:v>
      </x:c>
      <x:c r="C5420" s="18" t="n">
        <x:v>15296</x:v>
      </x:c>
      <x:c r="D5420" s="18" t="n">
        <x:v>70194</x:v>
      </x:c>
      <x:c r="E5420" s="18" t="n">
        <x:v>17.49</x:v>
      </x:c>
      <x:c r="F5420" s="18" t="n">
        <x:v>9.25</x:v>
      </x:c>
      <x:c r="G5420" t="n">
        <x:v>36</x:v>
      </x:c>
      <x:c r="H5420" t="str">
        <x:v>B</x:v>
      </x:c>
      <x:c r="I5420" t="str">
        <x:v>4-6 years</x:v>
      </x:c>
      <x:c r="J5420" t="str">
        <x:v>OWN</x:v>
      </x:c>
      <x:c r="K5420" t="str">
        <x:v>debt_consolidation</x:v>
      </x:c>
      <x:c r="L5420" t="n">
        <x:v>0</x:v>
      </x:c>
      <x:c r="M5420" t="n">
        <x:v>0</x:v>
      </x:c>
      <x:c r="N5420" t="str">
        <x:v>Fully Paid</x:v>
      </x:c>
      <x:c r="O5420" t="str">
        <x:f>IF(D5420="","Unknown",IF(D5420&lt;25000,"&lt;$25k",IF(D5420&lt;50000,"$25k-$50k",IF(D5420&lt;75000,"$50k-$75k",IF(D5420&lt;100000,"$75k-$100k","$100k+")))))</x:f>
        <x:v>$50k-$75k</x:v>
      </x:c>
      <x:c r="P5420" t="str">
        <x:f>IF(E5420="","Unknown",IF(E5420&lt;10,"&lt;10",IF(E5420&lt;20,"10-&lt;20",IF(E5420&lt;25,"20-&lt;25",IF(E5420&lt;35,"25-&lt;35","35+")))))</x:f>
        <x:v>10-&lt;20</x:v>
      </x:c>
    </x:row>
    <x:row r="5421">
      <x:c r="A5421" t="str">
        <x:v>SYN0005420</x:v>
      </x:c>
      <x:c r="B5421" s="12" t="n">
        <x:v>42175</x:v>
      </x:c>
      <x:c r="C5421" s="18" t="n">
        <x:v>8813</x:v>
      </x:c>
      <x:c r="D5421" s="18" t="n">
        <x:v>43805</x:v>
      </x:c>
      <x:c r="E5421" s="18" t="n">
        <x:v>16.07</x:v>
      </x:c>
      <x:c r="F5421" s="18" t="n">
        <x:v>12.18</x:v>
      </x:c>
      <x:c r="G5421" t="n">
        <x:v>36</x:v>
      </x:c>
      <x:c r="H5421" t="str">
        <x:v>C</x:v>
      </x:c>
      <x:c r="I5421" t="str">
        <x:v>4-6 years</x:v>
      </x:c>
      <x:c r="J5421" t="str">
        <x:v>MORTGAGE</x:v>
      </x:c>
      <x:c r="K5421" t="str">
        <x:v>credit_card</x:v>
      </x:c>
      <x:c r="L5421" t="n">
        <x:v>0</x:v>
      </x:c>
      <x:c r="M5421" t="n">
        <x:v>0</x:v>
      </x:c>
      <x:c r="N5421" t="str">
        <x:v>Fully Paid</x:v>
      </x:c>
      <x:c r="O5421" t="str">
        <x:f>IF(D5421="","Unknown",IF(D5421&lt;25000,"&lt;$25k",IF(D5421&lt;50000,"$25k-$50k",IF(D5421&lt;75000,"$50k-$75k",IF(D5421&lt;100000,"$75k-$100k","$100k+")))))</x:f>
        <x:v>$25k-$50k</x:v>
      </x:c>
      <x:c r="P5421" t="str">
        <x:f>IF(E5421="","Unknown",IF(E5421&lt;10,"&lt;10",IF(E5421&lt;20,"10-&lt;20",IF(E5421&lt;25,"20-&lt;25",IF(E5421&lt;35,"25-&lt;35","35+")))))</x:f>
        <x:v>10-&lt;20</x:v>
      </x:c>
    </x:row>
    <x:row r="5422">
      <x:c r="A5422" t="str">
        <x:v>SYN0005421</x:v>
      </x:c>
      <x:c r="B5422" s="12" t="n">
        <x:v>41815</x:v>
      </x:c>
      <x:c r="C5422" s="18" t="n">
        <x:v>13787</x:v>
      </x:c>
      <x:c r="D5422" s="18" t="n">
        <x:v>88390</x:v>
      </x:c>
      <x:c r="E5422" s="18" t="n">
        <x:v>19.32</x:v>
      </x:c>
      <x:c r="F5422" s="18" t="n">
        <x:v>7.96</x:v>
      </x:c>
      <x:c r="G5422" t="n">
        <x:v>36</x:v>
      </x:c>
      <x:c r="H5422" t="str">
        <x:v>B</x:v>
      </x:c>
      <x:c r="I5422" t="str">
        <x:v>4-6 years</x:v>
      </x:c>
      <x:c r="J5422" t="str">
        <x:v>MORTGAGE</x:v>
      </x:c>
      <x:c r="K5422" t="str">
        <x:v>home_improvement</x:v>
      </x:c>
      <x:c r="L5422" t="n">
        <x:v>0</x:v>
      </x:c>
      <x:c r="M5422" t="n">
        <x:v>0</x:v>
      </x:c>
      <x:c r="N5422" t="str">
        <x:v>Fully Paid</x:v>
      </x:c>
      <x:c r="O5422" t="str">
        <x:f>IF(D5422="","Unknown",IF(D5422&lt;25000,"&lt;$25k",IF(D5422&lt;50000,"$25k-$50k",IF(D5422&lt;75000,"$50k-$75k",IF(D5422&lt;100000,"$75k-$100k","$100k+")))))</x:f>
        <x:v>$75k-$100k</x:v>
      </x:c>
      <x:c r="P5422" t="str">
        <x:f>IF(E5422="","Unknown",IF(E5422&lt;10,"&lt;10",IF(E5422&lt;20,"10-&lt;20",IF(E5422&lt;25,"20-&lt;25",IF(E5422&lt;35,"25-&lt;35","35+")))))</x:f>
        <x:v>10-&lt;20</x:v>
      </x:c>
    </x:row>
    <x:row r="5423">
      <x:c r="A5423" t="str">
        <x:v>SYN0005422</x:v>
      </x:c>
      <x:c r="B5423" s="12" t="n">
        <x:v>42925</x:v>
      </x:c>
      <x:c r="C5423" s="18" t="n">
        <x:v>10107</x:v>
      </x:c>
      <x:c r="D5423" s="18" t="n">
        <x:v>155883</x:v>
      </x:c>
      <x:c r="E5423" s="18" t="n">
        <x:v>21.58</x:v>
      </x:c>
      <x:c r="F5423" s="18" t="n">
        <x:v>11.9</x:v>
      </x:c>
      <x:c r="G5423" t="n">
        <x:v>36</x:v>
      </x:c>
      <x:c r="H5423" t="str">
        <x:v>B</x:v>
      </x:c>
      <x:c r="I5423" t="str">
        <x:v>4-6 years</x:v>
      </x:c>
      <x:c r="J5423" t="str">
        <x:v>RENT</x:v>
      </x:c>
      <x:c r="K5423" t="str">
        <x:v>debt_consolidation</x:v>
      </x:c>
      <x:c r="L5423" t="n">
        <x:v>0</x:v>
      </x:c>
      <x:c r="M5423" t="n">
        <x:v>0</x:v>
      </x:c>
      <x:c r="N5423" t="str">
        <x:v>Fully Paid</x:v>
      </x:c>
      <x:c r="O5423" t="str">
        <x:f>IF(D5423="","Unknown",IF(D5423&lt;25000,"&lt;$25k",IF(D5423&lt;50000,"$25k-$50k",IF(D5423&lt;75000,"$50k-$75k",IF(D5423&lt;100000,"$75k-$100k","$100k+")))))</x:f>
        <x:v>$100k+</x:v>
      </x:c>
      <x:c r="P5423" t="str">
        <x:f>IF(E5423="","Unknown",IF(E5423&lt;10,"&lt;10",IF(E5423&lt;20,"10-&lt;20",IF(E5423&lt;25,"20-&lt;25",IF(E5423&lt;35,"25-&lt;35","35+")))))</x:f>
        <x:v>20-&lt;25</x:v>
      </x:c>
    </x:row>
    <x:row r="5424">
      <x:c r="A5424" t="str">
        <x:v>SYN0005423</x:v>
      </x:c>
      <x:c r="B5424" s="12" t="n">
        <x:v>43345</x:v>
      </x:c>
      <x:c r="C5424" s="18" t="n">
        <x:v>8551</x:v>
      </x:c>
      <x:c r="D5424" s="18" t="n">
        <x:v>109641</x:v>
      </x:c>
      <x:c r="E5424" s="18" t="n">
        <x:v>26.01</x:v>
      </x:c>
      <x:c r="F5424" s="18" t="n">
        <x:v>19.71</x:v>
      </x:c>
      <x:c r="G5424" t="n">
        <x:v>36</x:v>
      </x:c>
      <x:c r="H5424" t="str">
        <x:v>E</x:v>
      </x:c>
      <x:c r="I5424" t="str">
        <x:v>4-6 years</x:v>
      </x:c>
      <x:c r="J5424" t="str">
        <x:v>MORTGAGE</x:v>
      </x:c>
      <x:c r="K5424" t="str">
        <x:v>home_improvement</x:v>
      </x:c>
      <x:c r="L5424" t="n">
        <x:v>0</x:v>
      </x:c>
      <x:c r="M5424" t="n">
        <x:v>0</x:v>
      </x:c>
      <x:c r="N5424" t="str">
        <x:v>Fully Paid</x:v>
      </x:c>
      <x:c r="O5424" t="str">
        <x:f>IF(D5424="","Unknown",IF(D5424&lt;25000,"&lt;$25k",IF(D5424&lt;50000,"$25k-$50k",IF(D5424&lt;75000,"$50k-$75k",IF(D5424&lt;100000,"$75k-$100k","$100k+")))))</x:f>
        <x:v>$100k+</x:v>
      </x:c>
      <x:c r="P5424" t="str">
        <x:f>IF(E5424="","Unknown",IF(E5424&lt;10,"&lt;10",IF(E5424&lt;20,"10-&lt;20",IF(E5424&lt;25,"20-&lt;25",IF(E5424&lt;35,"25-&lt;35","35+")))))</x:f>
        <x:v>25-&lt;35</x:v>
      </x:c>
    </x:row>
    <x:row r="5425">
      <x:c r="A5425" t="str">
        <x:v>SYN0005424</x:v>
      </x:c>
      <x:c r="B5425" s="12" t="n">
        <x:v>43165</x:v>
      </x:c>
      <x:c r="C5425" s="18" t="n">
        <x:v>16594</x:v>
      </x:c>
      <x:c r="D5425" s="18" t="n">
        <x:v>29870</x:v>
      </x:c>
      <x:c r="E5425" s="18" t="n">
        <x:v>13.62</x:v>
      </x:c>
      <x:c r="F5425" s="18" t="n">
        <x:v>9.13</x:v>
      </x:c>
      <x:c r="G5425" t="n">
        <x:v>60</x:v>
      </x:c>
      <x:c r="H5425" t="str">
        <x:v>B</x:v>
      </x:c>
      <x:c r="I5425" t="str">
        <x:v>1-3 years</x:v>
      </x:c>
      <x:c r="J5425" t="str">
        <x:v>MORTGAGE</x:v>
      </x:c>
      <x:c r="K5425" t="str">
        <x:v>home_improvement</x:v>
      </x:c>
      <x:c r="L5425" t="n">
        <x:v>0</x:v>
      </x:c>
      <x:c r="M5425" t="n">
        <x:v>0</x:v>
      </x:c>
      <x:c r="N5425" t="str">
        <x:v>Fully Paid</x:v>
      </x:c>
      <x:c r="O5425" t="str">
        <x:f>IF(D5425="","Unknown",IF(D5425&lt;25000,"&lt;$25k",IF(D5425&lt;50000,"$25k-$50k",IF(D5425&lt;75000,"$50k-$75k",IF(D5425&lt;100000,"$75k-$100k","$100k+")))))</x:f>
        <x:v>$25k-$50k</x:v>
      </x:c>
      <x:c r="P5425" t="str">
        <x:f>IF(E5425="","Unknown",IF(E5425&lt;10,"&lt;10",IF(E5425&lt;20,"10-&lt;20",IF(E5425&lt;25,"20-&lt;25",IF(E5425&lt;35,"25-&lt;35","35+")))))</x:f>
        <x:v>10-&lt;20</x:v>
      </x:c>
    </x:row>
    <x:row r="5426">
      <x:c r="A5426" t="str">
        <x:v>SYN0005425</x:v>
      </x:c>
      <x:c r="B5426" s="12" t="n">
        <x:v>41335</x:v>
      </x:c>
      <x:c r="C5426" s="18" t="n">
        <x:v>15671</x:v>
      </x:c>
      <x:c r="D5426" s="18" t="n">
        <x:v>26478</x:v>
      </x:c>
      <x:c r="E5426" s="18" t="n">
        <x:v>13.1</x:v>
      </x:c>
      <x:c r="F5426" s="18" t="n">
        <x:v>11.38</x:v>
      </x:c>
      <x:c r="G5426" t="n">
        <x:v>60</x:v>
      </x:c>
      <x:c r="H5426" t="str">
        <x:v>B</x:v>
      </x:c>
      <x:c r="I5426" t="str">
        <x:v>&lt;1 year</x:v>
      </x:c>
      <x:c r="J5426" t="str">
        <x:v>MORTGAGE</x:v>
      </x:c>
      <x:c r="K5426" t="str">
        <x:v>home_improvement</x:v>
      </x:c>
      <x:c r="L5426" t="n">
        <x:v>0</x:v>
      </x:c>
      <x:c r="M5426" t="n">
        <x:v>0</x:v>
      </x:c>
      <x:c r="N5426" t="str">
        <x:v>Fully Paid</x:v>
      </x:c>
      <x:c r="O5426" t="str">
        <x:f>IF(D5426="","Unknown",IF(D5426&lt;25000,"&lt;$25k",IF(D5426&lt;50000,"$25k-$50k",IF(D5426&lt;75000,"$50k-$75k",IF(D5426&lt;100000,"$75k-$100k","$100k+")))))</x:f>
        <x:v>$25k-$50k</x:v>
      </x:c>
      <x:c r="P5426" t="str">
        <x:f>IF(E5426="","Unknown",IF(E5426&lt;10,"&lt;10",IF(E5426&lt;20,"10-&lt;20",IF(E5426&lt;25,"20-&lt;25",IF(E5426&lt;35,"25-&lt;35","35+")))))</x:f>
        <x:v>10-&lt;20</x:v>
      </x:c>
    </x:row>
    <x:row r="5427">
      <x:c r="A5427" t="str">
        <x:v>SYN0005426</x:v>
      </x:c>
      <x:c r="B5427" s="12" t="n">
        <x:v>41455</x:v>
      </x:c>
      <x:c r="C5427" s="18" t="n">
        <x:v>21160</x:v>
      </x:c>
      <x:c r="D5427" s="18" t="n">
        <x:v>14890</x:v>
      </x:c>
      <x:c r="E5427" s="18" t="n">
        <x:v>18.71</x:v>
      </x:c>
      <x:c r="F5427" s="18" t="n">
        <x:v>8.26</x:v>
      </x:c>
      <x:c r="G5427" t="n">
        <x:v>36</x:v>
      </x:c>
      <x:c r="H5427" t="str">
        <x:v>B</x:v>
      </x:c>
      <x:c r="I5427" t="str">
        <x:v>10+ years</x:v>
      </x:c>
      <x:c r="J5427" t="str">
        <x:v>RENT</x:v>
      </x:c>
      <x:c r="K5427" t="str">
        <x:v>credit_card</x:v>
      </x:c>
      <x:c r="L5427" t="n">
        <x:v>0</x:v>
      </x:c>
      <x:c r="M5427" t="n">
        <x:v>0</x:v>
      </x:c>
      <x:c r="N5427" t="str">
        <x:v>Fully Paid</x:v>
      </x:c>
      <x:c r="O5427" t="str">
        <x:f>IF(D5427="","Unknown",IF(D5427&lt;25000,"&lt;$25k",IF(D5427&lt;50000,"$25k-$50k",IF(D5427&lt;75000,"$50k-$75k",IF(D5427&lt;100000,"$75k-$100k","$100k+")))))</x:f>
        <x:v>&lt;$25k</x:v>
      </x:c>
      <x:c r="P5427" t="str">
        <x:f>IF(E5427="","Unknown",IF(E5427&lt;10,"&lt;10",IF(E5427&lt;20,"10-&lt;20",IF(E5427&lt;25,"20-&lt;25",IF(E5427&lt;35,"25-&lt;35","35+")))))</x:f>
        <x:v>10-&lt;20</x:v>
      </x:c>
    </x:row>
    <x:row r="5428">
      <x:c r="A5428" t="str">
        <x:v>SYN0005427</x:v>
      </x:c>
      <x:c r="B5428" s="12" t="n">
        <x:v>43075</x:v>
      </x:c>
      <x:c r="C5428" s="18" t="n">
        <x:v>21113</x:v>
      </x:c>
      <x:c r="D5428" s="18" t="n">
        <x:v>15236</x:v>
      </x:c>
      <x:c r="E5428" s="18" t="n">
        <x:v>34.14</x:v>
      </x:c>
      <x:c r="F5428" s="18" t="n">
        <x:v>20.65</x:v>
      </x:c>
      <x:c r="G5428" t="n">
        <x:v>36</x:v>
      </x:c>
      <x:c r="H5428" t="str">
        <x:v>F</x:v>
      </x:c>
      <x:c r="I5428" t="str">
        <x:v>&lt;1 year</x:v>
      </x:c>
      <x:c r="J5428" t="str">
        <x:v>MORTGAGE</x:v>
      </x:c>
      <x:c r="K5428" t="str">
        <x:v>credit_card</x:v>
      </x:c>
      <x:c r="L5428" t="n">
        <x:v>1</x:v>
      </x:c>
      <x:c r="M5428" t="n">
        <x:v>0</x:v>
      </x:c>
      <x:c r="N5428" t="str">
        <x:v>Fully Paid</x:v>
      </x:c>
      <x:c r="O5428" t="str">
        <x:f>IF(D5428="","Unknown",IF(D5428&lt;25000,"&lt;$25k",IF(D5428&lt;50000,"$25k-$50k",IF(D5428&lt;75000,"$50k-$75k",IF(D5428&lt;100000,"$75k-$100k","$100k+")))))</x:f>
        <x:v>&lt;$25k</x:v>
      </x:c>
      <x:c r="P5428" t="str">
        <x:f>IF(E5428="","Unknown",IF(E5428&lt;10,"&lt;10",IF(E5428&lt;20,"10-&lt;20",IF(E5428&lt;25,"20-&lt;25",IF(E5428&lt;35,"25-&lt;35","35+")))))</x:f>
        <x:v>25-&lt;35</x:v>
      </x:c>
    </x:row>
    <x:row r="5429">
      <x:c r="A5429" t="str">
        <x:v>SYN0005428</x:v>
      </x:c>
      <x:c r="B5429" s="12" t="n">
        <x:v>41635</x:v>
      </x:c>
      <x:c r="C5429" s="18" t="n">
        <x:v>16813</x:v>
      </x:c>
      <x:c r="D5429" s="18" t="n">
        <x:v>52677</x:v>
      </x:c>
      <x:c r="E5429" s="18" t="n">
        <x:v>21.53</x:v>
      </x:c>
      <x:c r="F5429" s="18" t="n">
        <x:v>20.44</x:v>
      </x:c>
      <x:c r="G5429" t="n">
        <x:v>36</x:v>
      </x:c>
      <x:c r="H5429" t="str">
        <x:v>E</x:v>
      </x:c>
      <x:c r="I5429" t="str">
        <x:v>7-9 years</x:v>
      </x:c>
      <x:c r="J5429" t="str">
        <x:v>MORTGAGE</x:v>
      </x:c>
      <x:c r="K5429" t="str">
        <x:v>debt_consolidation</x:v>
      </x:c>
      <x:c r="L5429" t="n">
        <x:v>1</x:v>
      </x:c>
      <x:c r="M5429" t="n">
        <x:v>0</x:v>
      </x:c>
      <x:c r="N5429" t="str">
        <x:v>Fully Paid</x:v>
      </x:c>
      <x:c r="O5429" t="str">
        <x:f>IF(D5429="","Unknown",IF(D5429&lt;25000,"&lt;$25k",IF(D5429&lt;50000,"$25k-$50k",IF(D5429&lt;75000,"$50k-$75k",IF(D5429&lt;100000,"$75k-$100k","$100k+")))))</x:f>
        <x:v>$50k-$75k</x:v>
      </x:c>
      <x:c r="P5429" t="str">
        <x:f>IF(E5429="","Unknown",IF(E5429&lt;10,"&lt;10",IF(E5429&lt;20,"10-&lt;20",IF(E5429&lt;25,"20-&lt;25",IF(E5429&lt;35,"25-&lt;35","35+")))))</x:f>
        <x:v>20-&lt;25</x:v>
      </x:c>
    </x:row>
    <x:row r="5430">
      <x:c r="A5430" t="str">
        <x:v>SYN0005429</x:v>
      </x:c>
      <x:c r="B5430" s="12" t="n">
        <x:v>43135</x:v>
      </x:c>
      <x:c r="C5430" s="18" t="n">
        <x:v>10322</x:v>
      </x:c>
      <x:c r="D5430" s="18" t="n">
        <x:v>48110</x:v>
      </x:c>
      <x:c r="E5430" s="18" t="n">
        <x:v>19.28</x:v>
      </x:c>
      <x:c r="F5430" s="18" t="n">
        <x:v>16.77</x:v>
      </x:c>
      <x:c r="G5430" t="n">
        <x:v>60</x:v>
      </x:c>
      <x:c r="H5430" t="str">
        <x:v>E</x:v>
      </x:c>
      <x:c r="I5430" t="str">
        <x:v>10+ years</x:v>
      </x:c>
      <x:c r="J5430" t="str">
        <x:v>RENT</x:v>
      </x:c>
      <x:c r="K5430" t="str">
        <x:v>debt_consolidation</x:v>
      </x:c>
      <x:c r="L5430" t="n">
        <x:v>0</x:v>
      </x:c>
      <x:c r="M5430" t="n">
        <x:v>0</x:v>
      </x:c>
      <x:c r="N5430" t="str">
        <x:v>Fully Paid</x:v>
      </x:c>
      <x:c r="O5430" t="str">
        <x:f>IF(D5430="","Unknown",IF(D5430&lt;25000,"&lt;$25k",IF(D5430&lt;50000,"$25k-$50k",IF(D5430&lt;75000,"$50k-$75k",IF(D5430&lt;100000,"$75k-$100k","$100k+")))))</x:f>
        <x:v>$25k-$50k</x:v>
      </x:c>
      <x:c r="P5430" t="str">
        <x:f>IF(E5430="","Unknown",IF(E5430&lt;10,"&lt;10",IF(E5430&lt;20,"10-&lt;20",IF(E5430&lt;25,"20-&lt;25",IF(E5430&lt;35,"25-&lt;35","35+")))))</x:f>
        <x:v>10-&lt;20</x:v>
      </x:c>
    </x:row>
    <x:row r="5431">
      <x:c r="A5431" t="str">
        <x:v>SYN0005430</x:v>
      </x:c>
      <x:c r="B5431" s="12" t="n">
        <x:v>42115</x:v>
      </x:c>
      <x:c r="C5431" s="18" t="n">
        <x:v>20983</x:v>
      </x:c>
      <x:c r="D5431" s="18" t="n">
        <x:v>37622</x:v>
      </x:c>
      <x:c r="E5431" s="18" t="n">
        <x:v>14.96</x:v>
      </x:c>
      <x:c r="F5431" s="18" t="n">
        <x:v>12.16</x:v>
      </x:c>
      <x:c r="G5431" t="n">
        <x:v>36</x:v>
      </x:c>
      <x:c r="H5431" t="str">
        <x:v>C</x:v>
      </x:c>
      <x:c r="I5431" t="str">
        <x:v>4-6 years</x:v>
      </x:c>
      <x:c r="J5431" t="str">
        <x:v>MORTGAGE</x:v>
      </x:c>
      <x:c r="K5431" t="str">
        <x:v>credit_card</x:v>
      </x:c>
      <x:c r="L5431" t="n">
        <x:v>1</x:v>
      </x:c>
      <x:c r="M5431" t="n">
        <x:v>0</x:v>
      </x:c>
      <x:c r="N5431" t="str">
        <x:v>Fully Paid</x:v>
      </x:c>
      <x:c r="O5431" t="str">
        <x:f>IF(D5431="","Unknown",IF(D5431&lt;25000,"&lt;$25k",IF(D5431&lt;50000,"$25k-$50k",IF(D5431&lt;75000,"$50k-$75k",IF(D5431&lt;100000,"$75k-$100k","$100k+")))))</x:f>
        <x:v>$25k-$50k</x:v>
      </x:c>
      <x:c r="P5431" t="str">
        <x:f>IF(E5431="","Unknown",IF(E5431&lt;10,"&lt;10",IF(E5431&lt;20,"10-&lt;20",IF(E5431&lt;25,"20-&lt;25",IF(E5431&lt;35,"25-&lt;35","35+")))))</x:f>
        <x:v>10-&lt;20</x:v>
      </x:c>
    </x:row>
    <x:row r="5432">
      <x:c r="A5432" t="str">
        <x:v>SYN0005431</x:v>
      </x:c>
      <x:c r="B5432" s="12" t="n">
        <x:v>42775</x:v>
      </x:c>
      <x:c r="C5432" s="18" t="n">
        <x:v>15658</x:v>
      </x:c>
      <x:c r="D5432" s="18" t="n">
        <x:v>80562</x:v>
      </x:c>
      <x:c r="E5432" s="18" t="n">
        <x:v>33.39</x:v>
      </x:c>
      <x:c r="F5432" s="18" t="n">
        <x:v>19.82</x:v>
      </x:c>
      <x:c r="G5432" t="n">
        <x:v>36</x:v>
      </x:c>
      <x:c r="H5432" t="str">
        <x:v>F</x:v>
      </x:c>
      <x:c r="I5432" t="str">
        <x:v>7-9 years</x:v>
      </x:c>
      <x:c r="J5432" t="str">
        <x:v>MORTGAGE</x:v>
      </x:c>
      <x:c r="K5432" t="str">
        <x:v>credit_card</x:v>
      </x:c>
      <x:c r="L5432" t="n">
        <x:v>0</x:v>
      </x:c>
      <x:c r="M5432" t="n">
        <x:v>1</x:v>
      </x:c>
      <x:c r="N5432" t="str">
        <x:v>Charged Off</x:v>
      </x:c>
      <x:c r="O5432" t="str">
        <x:f>IF(D5432="","Unknown",IF(D5432&lt;25000,"&lt;$25k",IF(D5432&lt;50000,"$25k-$50k",IF(D5432&lt;75000,"$50k-$75k",IF(D5432&lt;100000,"$75k-$100k","$100k+")))))</x:f>
        <x:v>$75k-$100k</x:v>
      </x:c>
      <x:c r="P5432" t="str">
        <x:f>IF(E5432="","Unknown",IF(E5432&lt;10,"&lt;10",IF(E5432&lt;20,"10-&lt;20",IF(E5432&lt;25,"20-&lt;25",IF(E5432&lt;35,"25-&lt;35","35+")))))</x:f>
        <x:v>25-&lt;35</x:v>
      </x:c>
    </x:row>
    <x:row r="5433">
      <x:c r="A5433" t="str">
        <x:v>SYN0005432</x:v>
      </x:c>
      <x:c r="B5433" s="12" t="n">
        <x:v>42565</x:v>
      </x:c>
      <x:c r="C5433" s="18" t="n">
        <x:v>6617</x:v>
      </x:c>
      <x:c r="D5433" s="18" t="n">
        <x:v>27197</x:v>
      </x:c>
      <x:c r="E5433" s="18" t="n">
        <x:v>17.92</x:v>
      </x:c>
      <x:c r="F5433" s="18" t="n">
        <x:v>11.6</x:v>
      </x:c>
      <x:c r="G5433" t="n">
        <x:v>60</x:v>
      </x:c>
      <x:c r="H5433" t="str">
        <x:v>D</x:v>
      </x:c>
      <x:c r="I5433" t="str">
        <x:v>&lt;1 year</x:v>
      </x:c>
      <x:c r="J5433" t="str">
        <x:v>MORTGAGE</x:v>
      </x:c>
      <x:c r="K5433" t="str">
        <x:v>credit_card</x:v>
      </x:c>
      <x:c r="L5433" t="n">
        <x:v>0</x:v>
      </x:c>
      <x:c r="M5433" t="n">
        <x:v>0</x:v>
      </x:c>
      <x:c r="N5433" t="str">
        <x:v>Fully Paid</x:v>
      </x:c>
      <x:c r="O5433" t="str">
        <x:f>IF(D5433="","Unknown",IF(D5433&lt;25000,"&lt;$25k",IF(D5433&lt;50000,"$25k-$50k",IF(D5433&lt;75000,"$50k-$75k",IF(D5433&lt;100000,"$75k-$100k","$100k+")))))</x:f>
        <x:v>$25k-$50k</x:v>
      </x:c>
      <x:c r="P5433" t="str">
        <x:f>IF(E5433="","Unknown",IF(E5433&lt;10,"&lt;10",IF(E5433&lt;20,"10-&lt;20",IF(E5433&lt;25,"20-&lt;25",IF(E5433&lt;35,"25-&lt;35","35+")))))</x:f>
        <x:v>10-&lt;20</x:v>
      </x:c>
    </x:row>
    <x:row r="5434">
      <x:c r="A5434" t="str">
        <x:v>SYN0005433</x:v>
      </x:c>
      <x:c r="B5434" s="12" t="n">
        <x:v>42595</x:v>
      </x:c>
      <x:c r="C5434" s="18" t="n">
        <x:v>14790</x:v>
      </x:c>
      <x:c r="D5434" s="18" t="n">
        <x:v>12000</x:v>
      </x:c>
      <x:c r="E5434" s="18" t="n">
        <x:v>15.62</x:v>
      </x:c>
      <x:c r="F5434" s="18" t="n">
        <x:v>20.99</x:v>
      </x:c>
      <x:c r="G5434" t="n">
        <x:v>36</x:v>
      </x:c>
      <x:c r="H5434" t="str">
        <x:v>F</x:v>
      </x:c>
      <x:c r="I5434" t="str">
        <x:v>1-3 years</x:v>
      </x:c>
      <x:c r="J5434" t="str">
        <x:v>MORTGAGE</x:v>
      </x:c>
      <x:c r="K5434" t="str">
        <x:v>debt_consolidation</x:v>
      </x:c>
      <x:c r="L5434" t="n">
        <x:v>0</x:v>
      </x:c>
      <x:c r="M5434" t="n">
        <x:v>0</x:v>
      </x:c>
      <x:c r="N5434" t="str">
        <x:v>Fully Paid</x:v>
      </x:c>
      <x:c r="O5434" t="str">
        <x:f>IF(D5434="","Unknown",IF(D5434&lt;25000,"&lt;$25k",IF(D5434&lt;50000,"$25k-$50k",IF(D5434&lt;75000,"$50k-$75k",IF(D5434&lt;100000,"$75k-$100k","$100k+")))))</x:f>
        <x:v>&lt;$25k</x:v>
      </x:c>
      <x:c r="P5434" t="str">
        <x:f>IF(E5434="","Unknown",IF(E5434&lt;10,"&lt;10",IF(E5434&lt;20,"10-&lt;20",IF(E5434&lt;25,"20-&lt;25",IF(E5434&lt;35,"25-&lt;35","35+")))))</x:f>
        <x:v>10-&lt;20</x:v>
      </x:c>
    </x:row>
    <x:row r="5435">
      <x:c r="A5435" t="str">
        <x:v>SYN0005434</x:v>
      </x:c>
      <x:c r="B5435" s="12" t="n">
        <x:v>42985</x:v>
      </x:c>
      <x:c r="C5435" s="18" t="n">
        <x:v>8581</x:v>
      </x:c>
      <x:c r="D5435" s="18" t="n">
        <x:v>35709</x:v>
      </x:c>
      <x:c r="E5435" s="18" t="n">
        <x:v>16.99</x:v>
      </x:c>
      <x:c r="F5435" s="18" t="n">
        <x:v>5</x:v>
      </x:c>
      <x:c r="G5435" t="n">
        <x:v>60</x:v>
      </x:c>
      <x:c r="H5435" t="str">
        <x:v>B</x:v>
      </x:c>
      <x:c r="I5435" t="str">
        <x:v>7-9 years</x:v>
      </x:c>
      <x:c r="J5435" t="str">
        <x:v>MORTGAGE</x:v>
      </x:c>
      <x:c r="K5435" t="str">
        <x:v>credit_card</x:v>
      </x:c>
      <x:c r="L5435" t="n">
        <x:v>0</x:v>
      </x:c>
      <x:c r="M5435" t="n">
        <x:v>0</x:v>
      </x:c>
      <x:c r="N5435" t="str">
        <x:v>Fully Paid</x:v>
      </x:c>
      <x:c r="O5435" t="str">
        <x:f>IF(D5435="","Unknown",IF(D5435&lt;25000,"&lt;$25k",IF(D5435&lt;50000,"$25k-$50k",IF(D5435&lt;75000,"$50k-$75k",IF(D5435&lt;100000,"$75k-$100k","$100k+")))))</x:f>
        <x:v>$25k-$50k</x:v>
      </x:c>
      <x:c r="P5435" t="str">
        <x:f>IF(E5435="","Unknown",IF(E5435&lt;10,"&lt;10",IF(E5435&lt;20,"10-&lt;20",IF(E5435&lt;25,"20-&lt;25",IF(E5435&lt;35,"25-&lt;35","35+")))))</x:f>
        <x:v>10-&lt;20</x:v>
      </x:c>
    </x:row>
    <x:row r="5436">
      <x:c r="A5436" t="str">
        <x:v>SYN0005435</x:v>
      </x:c>
      <x:c r="B5436" s="12" t="n">
        <x:v>41365</x:v>
      </x:c>
      <x:c r="C5436" s="18" t="n">
        <x:v>8654</x:v>
      </x:c>
      <x:c r="D5436" s="18" t="n">
        <x:v>29772</x:v>
      </x:c>
      <x:c r="E5436" s="18" t="n">
        <x:v>28.68</x:v>
      </x:c>
      <x:c r="F5436" s="18" t="n">
        <x:v>25.51</x:v>
      </x:c>
      <x:c r="G5436" t="n">
        <x:v>36</x:v>
      </x:c>
      <x:c r="H5436" t="str">
        <x:v>G</x:v>
      </x:c>
      <x:c r="I5436" t="str">
        <x:v>1-3 years</x:v>
      </x:c>
      <x:c r="J5436" t="str">
        <x:v>MORTGAGE</x:v>
      </x:c>
      <x:c r="K5436" t="str">
        <x:v>other</x:v>
      </x:c>
      <x:c r="L5436" t="n">
        <x:v>0</x:v>
      </x:c>
      <x:c r="M5436" t="n">
        <x:v>1</x:v>
      </x:c>
      <x:c r="N5436" t="str">
        <x:v>Charged Off</x:v>
      </x:c>
      <x:c r="O5436" t="str">
        <x:f>IF(D5436="","Unknown",IF(D5436&lt;25000,"&lt;$25k",IF(D5436&lt;50000,"$25k-$50k",IF(D5436&lt;75000,"$50k-$75k",IF(D5436&lt;100000,"$75k-$100k","$100k+")))))</x:f>
        <x:v>$25k-$50k</x:v>
      </x:c>
      <x:c r="P5436" t="str">
        <x:f>IF(E5436="","Unknown",IF(E5436&lt;10,"&lt;10",IF(E5436&lt;20,"10-&lt;20",IF(E5436&lt;25,"20-&lt;25",IF(E5436&lt;35,"25-&lt;35","35+")))))</x:f>
        <x:v>25-&lt;35</x:v>
      </x:c>
    </x:row>
    <x:row r="5437">
      <x:c r="A5437" t="str">
        <x:v>SYN0005436</x:v>
      </x:c>
      <x:c r="B5437" s="12" t="n">
        <x:v>42475</x:v>
      </x:c>
      <x:c r="C5437" s="18" t="n">
        <x:v>11746</x:v>
      </x:c>
      <x:c r="D5437" s="18" t="n">
        <x:v>79714</x:v>
      </x:c>
      <x:c r="E5437" s="18" t="n">
        <x:v>25.7</x:v>
      </x:c>
      <x:c r="F5437" s="18" t="n">
        <x:v>15.98</x:v>
      </x:c>
      <x:c r="G5437" t="n">
        <x:v>36</x:v>
      </x:c>
      <x:c r="H5437" t="str">
        <x:v>D</x:v>
      </x:c>
      <x:c r="I5437" t="str">
        <x:v>4-6 years</x:v>
      </x:c>
      <x:c r="J5437" t="str">
        <x:v>RENT</x:v>
      </x:c>
      <x:c r="K5437" t="str">
        <x:v>credit_card</x:v>
      </x:c>
      <x:c r="L5437" t="n">
        <x:v>0</x:v>
      </x:c>
      <x:c r="M5437" t="n">
        <x:v>0</x:v>
      </x:c>
      <x:c r="N5437" t="str">
        <x:v>Fully Paid</x:v>
      </x:c>
      <x:c r="O5437" t="str">
        <x:f>IF(D5437="","Unknown",IF(D5437&lt;25000,"&lt;$25k",IF(D5437&lt;50000,"$25k-$50k",IF(D5437&lt;75000,"$50k-$75k",IF(D5437&lt;100000,"$75k-$100k","$100k+")))))</x:f>
        <x:v>$75k-$100k</x:v>
      </x:c>
      <x:c r="P5437" t="str">
        <x:f>IF(E5437="","Unknown",IF(E5437&lt;10,"&lt;10",IF(E5437&lt;20,"10-&lt;20",IF(E5437&lt;25,"20-&lt;25",IF(E5437&lt;35,"25-&lt;35","35+")))))</x:f>
        <x:v>25-&lt;35</x:v>
      </x:c>
    </x:row>
    <x:row r="5438">
      <x:c r="A5438" t="str">
        <x:v>SYN0005437</x:v>
      </x:c>
      <x:c r="B5438" s="12" t="n">
        <x:v>42835</x:v>
      </x:c>
      <x:c r="C5438" s="18" t="n">
        <x:v>10895</x:v>
      </x:c>
      <x:c r="D5438" s="18" t="n">
        <x:v>50075</x:v>
      </x:c>
      <x:c r="E5438" s="18" t="n">
        <x:v>20.19</x:v>
      </x:c>
      <x:c r="F5438" s="18" t="n">
        <x:v>9.82</x:v>
      </x:c>
      <x:c r="G5438" t="n">
        <x:v>36</x:v>
      </x:c>
      <x:c r="H5438" t="str">
        <x:v>B</x:v>
      </x:c>
      <x:c r="I5438" t="str">
        <x:v>&lt;1 year</x:v>
      </x:c>
      <x:c r="J5438" t="str">
        <x:v>OWN</x:v>
      </x:c>
      <x:c r="K5438" t="str">
        <x:v>debt_consolidation</x:v>
      </x:c>
      <x:c r="L5438" t="n">
        <x:v>0</x:v>
      </x:c>
      <x:c r="M5438" t="n">
        <x:v>0</x:v>
      </x:c>
      <x:c r="N5438" t="str">
        <x:v>Fully Paid</x:v>
      </x:c>
      <x:c r="O5438" t="str">
        <x:f>IF(D5438="","Unknown",IF(D5438&lt;25000,"&lt;$25k",IF(D5438&lt;50000,"$25k-$50k",IF(D5438&lt;75000,"$50k-$75k",IF(D5438&lt;100000,"$75k-$100k","$100k+")))))</x:f>
        <x:v>$50k-$75k</x:v>
      </x:c>
      <x:c r="P5438" t="str">
        <x:f>IF(E5438="","Unknown",IF(E5438&lt;10,"&lt;10",IF(E5438&lt;20,"10-&lt;20",IF(E5438&lt;25,"20-&lt;25",IF(E5438&lt;35,"25-&lt;35","35+")))))</x:f>
        <x:v>20-&lt;25</x:v>
      </x:c>
    </x:row>
    <x:row r="5439">
      <x:c r="A5439" t="str">
        <x:v>SYN0005438</x:v>
      </x:c>
      <x:c r="B5439" s="12" t="n">
        <x:v>41815</x:v>
      </x:c>
      <x:c r="C5439" s="18" t="n">
        <x:v>6543</x:v>
      </x:c>
      <x:c r="D5439" s="18" t="n">
        <x:v>32698</x:v>
      </x:c>
      <x:c r="E5439" s="18" t="n">
        <x:v>31.75</x:v>
      </x:c>
      <x:c r="F5439" s="18" t="n">
        <x:v>5</x:v>
      </x:c>
      <x:c r="G5439" t="n">
        <x:v>36</x:v>
      </x:c>
      <x:c r="H5439" t="str">
        <x:v>A</x:v>
      </x:c>
      <x:c r="I5439" t="str">
        <x:v>&lt;1 year</x:v>
      </x:c>
      <x:c r="J5439" t="str">
        <x:v>MORTGAGE</x:v>
      </x:c>
      <x:c r="K5439" t="str">
        <x:v>major_purchase</x:v>
      </x:c>
      <x:c r="L5439" t="n">
        <x:v>0</x:v>
      </x:c>
      <x:c r="M5439" t="n">
        <x:v>0</x:v>
      </x:c>
      <x:c r="N5439" t="str">
        <x:v>Fully Paid</x:v>
      </x:c>
      <x:c r="O5439" t="str">
        <x:f>IF(D5439="","Unknown",IF(D5439&lt;25000,"&lt;$25k",IF(D5439&lt;50000,"$25k-$50k",IF(D5439&lt;75000,"$50k-$75k",IF(D5439&lt;100000,"$75k-$100k","$100k+")))))</x:f>
        <x:v>$25k-$50k</x:v>
      </x:c>
      <x:c r="P5439" t="str">
        <x:f>IF(E5439="","Unknown",IF(E5439&lt;10,"&lt;10",IF(E5439&lt;20,"10-&lt;20",IF(E5439&lt;25,"20-&lt;25",IF(E5439&lt;35,"25-&lt;35","35+")))))</x:f>
        <x:v>25-&lt;35</x:v>
      </x:c>
    </x:row>
    <x:row r="5440">
      <x:c r="A5440" t="str">
        <x:v>SYN0005439</x:v>
      </x:c>
      <x:c r="B5440" s="12" t="n">
        <x:v>42535</x:v>
      </x:c>
      <x:c r="C5440" s="18" t="n">
        <x:v>10907</x:v>
      </x:c>
      <x:c r="D5440" s="18" t="n">
        <x:v>19428</x:v>
      </x:c>
      <x:c r="E5440" s="18" t="n">
        <x:v>21.27</x:v>
      </x:c>
      <x:c r="F5440" s="18" t="n">
        <x:v>7.57</x:v>
      </x:c>
      <x:c r="G5440" t="n">
        <x:v>36</x:v>
      </x:c>
      <x:c r="H5440" t="str">
        <x:v>A</x:v>
      </x:c>
      <x:c r="I5440" t="str">
        <x:v>&lt;1 year</x:v>
      </x:c>
      <x:c r="J5440" t="str">
        <x:v>MORTGAGE</x:v>
      </x:c>
      <x:c r="K5440" t="str">
        <x:v>debt_consolidation</x:v>
      </x:c>
      <x:c r="L5440" t="n">
        <x:v>0</x:v>
      </x:c>
      <x:c r="M5440" t="n">
        <x:v>0</x:v>
      </x:c>
      <x:c r="N5440" t="str">
        <x:v>Fully Paid</x:v>
      </x:c>
      <x:c r="O5440" t="str">
        <x:f>IF(D5440="","Unknown",IF(D5440&lt;25000,"&lt;$25k",IF(D5440&lt;50000,"$25k-$50k",IF(D5440&lt;75000,"$50k-$75k",IF(D5440&lt;100000,"$75k-$100k","$100k+")))))</x:f>
        <x:v>&lt;$25k</x:v>
      </x:c>
      <x:c r="P5440" t="str">
        <x:f>IF(E5440="","Unknown",IF(E5440&lt;10,"&lt;10",IF(E5440&lt;20,"10-&lt;20",IF(E5440&lt;25,"20-&lt;25",IF(E5440&lt;35,"25-&lt;35","35+")))))</x:f>
        <x:v>20-&lt;25</x:v>
      </x:c>
    </x:row>
    <x:row r="5441">
      <x:c r="A5441" t="str">
        <x:v>SYN0005440</x:v>
      </x:c>
      <x:c r="B5441" s="12" t="n">
        <x:v>41965</x:v>
      </x:c>
      <x:c r="C5441" s="18" t="n">
        <x:v>10559</x:v>
      </x:c>
      <x:c r="D5441" s="18" t="n">
        <x:v>105979</x:v>
      </x:c>
      <x:c r="E5441" s="18" t="n">
        <x:v>14.21</x:v>
      </x:c>
      <x:c r="F5441" s="18" t="n">
        <x:v>12.01</x:v>
      </x:c>
      <x:c r="G5441" t="n">
        <x:v>60</x:v>
      </x:c>
      <x:c r="H5441" t="str">
        <x:v>C</x:v>
      </x:c>
      <x:c r="I5441" t="str">
        <x:v>10+ years</x:v>
      </x:c>
      <x:c r="J5441" t="str">
        <x:v>RENT</x:v>
      </x:c>
      <x:c r="K5441" t="str">
        <x:v>home_improvement</x:v>
      </x:c>
      <x:c r="L5441" t="n">
        <x:v>0</x:v>
      </x:c>
      <x:c r="M5441" t="n">
        <x:v>0</x:v>
      </x:c>
      <x:c r="N5441" t="str">
        <x:v>Fully Paid</x:v>
      </x:c>
      <x:c r="O5441" t="str">
        <x:f>IF(D5441="","Unknown",IF(D5441&lt;25000,"&lt;$25k",IF(D5441&lt;50000,"$25k-$50k",IF(D5441&lt;75000,"$50k-$75k",IF(D5441&lt;100000,"$75k-$100k","$100k+")))))</x:f>
        <x:v>$100k+</x:v>
      </x:c>
      <x:c r="P5441" t="str">
        <x:f>IF(E5441="","Unknown",IF(E5441&lt;10,"&lt;10",IF(E5441&lt;20,"10-&lt;20",IF(E5441&lt;25,"20-&lt;25",IF(E5441&lt;35,"25-&lt;35","35+")))))</x:f>
        <x:v>10-&lt;20</x:v>
      </x:c>
    </x:row>
    <x:row r="5442">
      <x:c r="A5442" t="str">
        <x:v>SYN0005441</x:v>
      </x:c>
      <x:c r="B5442" s="12" t="n">
        <x:v>41545</x:v>
      </x:c>
      <x:c r="C5442" s="18" t="n">
        <x:v>6126</x:v>
      </x:c>
      <x:c r="D5442" s="18" t="n">
        <x:v>20207</x:v>
      </x:c>
      <x:c r="E5442" s="18" t="n">
        <x:v>15.08</x:v>
      </x:c>
      <x:c r="F5442" s="18" t="n">
        <x:v>9.33</x:v>
      </x:c>
      <x:c r="G5442" t="n">
        <x:v>60</x:v>
      </x:c>
      <x:c r="H5442" t="str">
        <x:v>B</x:v>
      </x:c>
      <x:c r="I5442" t="str">
        <x:v>1-3 years</x:v>
      </x:c>
      <x:c r="J5442" t="str">
        <x:v>MORTGAGE</x:v>
      </x:c>
      <x:c r="K5442" t="str">
        <x:v>credit_card</x:v>
      </x:c>
      <x:c r="L5442" t="n">
        <x:v>0</x:v>
      </x:c>
      <x:c r="M5442" t="n">
        <x:v>0</x:v>
      </x:c>
      <x:c r="N5442" t="str">
        <x:v>Fully Paid</x:v>
      </x:c>
      <x:c r="O5442" t="str">
        <x:f>IF(D5442="","Unknown",IF(D5442&lt;25000,"&lt;$25k",IF(D5442&lt;50000,"$25k-$50k",IF(D5442&lt;75000,"$50k-$75k",IF(D5442&lt;100000,"$75k-$100k","$100k+")))))</x:f>
        <x:v>&lt;$25k</x:v>
      </x:c>
      <x:c r="P5442" t="str">
        <x:f>IF(E5442="","Unknown",IF(E5442&lt;10,"&lt;10",IF(E5442&lt;20,"10-&lt;20",IF(E5442&lt;25,"20-&lt;25",IF(E5442&lt;35,"25-&lt;35","35+")))))</x:f>
        <x:v>10-&lt;20</x:v>
      </x:c>
    </x:row>
    <x:row r="5443">
      <x:c r="A5443" t="str">
        <x:v>SYN0005442</x:v>
      </x:c>
      <x:c r="B5443" s="12" t="n">
        <x:v>43225</x:v>
      </x:c>
      <x:c r="C5443" s="18" t="n">
        <x:v>22407</x:v>
      </x:c>
      <x:c r="D5443" s="18" t="n">
        <x:v>88222</x:v>
      </x:c>
      <x:c r="E5443" s="18" t="n">
        <x:v>17.09</x:v>
      </x:c>
      <x:c r="F5443" s="18" t="n">
        <x:v>6.64</x:v>
      </x:c>
      <x:c r="G5443" t="n">
        <x:v>36</x:v>
      </x:c>
      <x:c r="H5443" t="str">
        <x:v>A</x:v>
      </x:c>
      <x:c r="I5443" t="str">
        <x:v>4-6 years</x:v>
      </x:c>
      <x:c r="J5443" t="str">
        <x:v>MORTGAGE</x:v>
      </x:c>
      <x:c r="K5443" t="str">
        <x:v>medical</x:v>
      </x:c>
      <x:c r="L5443" t="n">
        <x:v>0</x:v>
      </x:c>
      <x:c r="M5443" t="n">
        <x:v>0</x:v>
      </x:c>
      <x:c r="N5443" t="str">
        <x:v>Fully Paid</x:v>
      </x:c>
      <x:c r="O5443" t="str">
        <x:f>IF(D5443="","Unknown",IF(D5443&lt;25000,"&lt;$25k",IF(D5443&lt;50000,"$25k-$50k",IF(D5443&lt;75000,"$50k-$75k",IF(D5443&lt;100000,"$75k-$100k","$100k+")))))</x:f>
        <x:v>$75k-$100k</x:v>
      </x:c>
      <x:c r="P5443" t="str">
        <x:f>IF(E5443="","Unknown",IF(E5443&lt;10,"&lt;10",IF(E5443&lt;20,"10-&lt;20",IF(E5443&lt;25,"20-&lt;25",IF(E5443&lt;35,"25-&lt;35","35+")))))</x:f>
        <x:v>10-&lt;20</x:v>
      </x:c>
    </x:row>
    <x:row r="5444">
      <x:c r="A5444" t="str">
        <x:v>SYN0005443</x:v>
      </x:c>
      <x:c r="B5444" s="12" t="n">
        <x:v>42205</x:v>
      </x:c>
      <x:c r="C5444" s="18" t="n">
        <x:v>9304</x:v>
      </x:c>
      <x:c r="D5444" s="18" t="n">
        <x:v>89473</x:v>
      </x:c>
      <x:c r="E5444" s="18" t="n">
        <x:v>20.22</x:v>
      </x:c>
      <x:c r="F5444" s="18" t="n">
        <x:v>13.45</x:v>
      </x:c>
      <x:c r="G5444" t="n">
        <x:v>36</x:v>
      </x:c>
      <x:c r="H5444" t="str">
        <x:v>D</x:v>
      </x:c>
      <x:c r="I5444" t="str">
        <x:v>4-6 years</x:v>
      </x:c>
      <x:c r="J5444" t="str">
        <x:v>RENT</x:v>
      </x:c>
      <x:c r="K5444" t="str">
        <x:v>home_improvement</x:v>
      </x:c>
      <x:c r="L5444" t="n">
        <x:v>0</x:v>
      </x:c>
      <x:c r="M5444" t="n">
        <x:v>0</x:v>
      </x:c>
      <x:c r="N5444" t="str">
        <x:v>Fully Paid</x:v>
      </x:c>
      <x:c r="O5444" t="str">
        <x:f>IF(D5444="","Unknown",IF(D5444&lt;25000,"&lt;$25k",IF(D5444&lt;50000,"$25k-$50k",IF(D5444&lt;75000,"$50k-$75k",IF(D5444&lt;100000,"$75k-$100k","$100k+")))))</x:f>
        <x:v>$75k-$100k</x:v>
      </x:c>
      <x:c r="P5444" t="str">
        <x:f>IF(E5444="","Unknown",IF(E5444&lt;10,"&lt;10",IF(E5444&lt;20,"10-&lt;20",IF(E5444&lt;25,"20-&lt;25",IF(E5444&lt;35,"25-&lt;35","35+")))))</x:f>
        <x:v>20-&lt;25</x:v>
      </x:c>
    </x:row>
    <x:row r="5445">
      <x:c r="A5445" t="str">
        <x:v>SYN0005444</x:v>
      </x:c>
      <x:c r="B5445" s="12" t="n">
        <x:v>42775</x:v>
      </x:c>
      <x:c r="C5445" s="18" t="n">
        <x:v>19667</x:v>
      </x:c>
      <x:c r="D5445" s="18" t="n">
        <x:v>68026</x:v>
      </x:c>
      <x:c r="E5445" s="18" t="n">
        <x:v>22.54</x:v>
      </x:c>
      <x:c r="F5445" s="18" t="n">
        <x:v>5.79</x:v>
      </x:c>
      <x:c r="G5445" t="n">
        <x:v>36</x:v>
      </x:c>
      <x:c r="H5445" t="str">
        <x:v>A</x:v>
      </x:c>
      <x:c r="I5445" t="str">
        <x:v>1-3 years</x:v>
      </x:c>
      <x:c r="J5445" t="str">
        <x:v>OWN</x:v>
      </x:c>
      <x:c r="K5445" t="str">
        <x:v>debt_consolidation</x:v>
      </x:c>
      <x:c r="L5445" t="n">
        <x:v>0</x:v>
      </x:c>
      <x:c r="M5445" t="n">
        <x:v>0</x:v>
      </x:c>
      <x:c r="N5445" t="str">
        <x:v>Fully Paid</x:v>
      </x:c>
      <x:c r="O5445" t="str">
        <x:f>IF(D5445="","Unknown",IF(D5445&lt;25000,"&lt;$25k",IF(D5445&lt;50000,"$25k-$50k",IF(D5445&lt;75000,"$50k-$75k",IF(D5445&lt;100000,"$75k-$100k","$100k+")))))</x:f>
        <x:v>$50k-$75k</x:v>
      </x:c>
      <x:c r="P5445" t="str">
        <x:f>IF(E5445="","Unknown",IF(E5445&lt;10,"&lt;10",IF(E5445&lt;20,"10-&lt;20",IF(E5445&lt;25,"20-&lt;25",IF(E5445&lt;35,"25-&lt;35","35+")))))</x:f>
        <x:v>20-&lt;25</x:v>
      </x:c>
    </x:row>
    <x:row r="5446">
      <x:c r="A5446" t="str">
        <x:v>SYN0005445</x:v>
      </x:c>
      <x:c r="B5446" s="12" t="n">
        <x:v>41875</x:v>
      </x:c>
      <x:c r="C5446" s="18" t="n">
        <x:v>13002</x:v>
      </x:c>
      <x:c r="D5446" s="18" t="n">
        <x:v>71362</x:v>
      </x:c>
      <x:c r="E5446" s="18" t="n">
        <x:v>19.85</x:v>
      </x:c>
      <x:c r="F5446" s="18" t="n">
        <x:v>11.38</x:v>
      </x:c>
      <x:c r="G5446" t="n">
        <x:v>60</x:v>
      </x:c>
      <x:c r="H5446" t="str">
        <x:v>C</x:v>
      </x:c>
      <x:c r="I5446" t="str">
        <x:v>4-6 years</x:v>
      </x:c>
      <x:c r="J5446" t="str">
        <x:v>OTHER</x:v>
      </x:c>
      <x:c r="K5446" t="str">
        <x:v>debt_consolidation</x:v>
      </x:c>
      <x:c r="L5446" t="n">
        <x:v>1</x:v>
      </x:c>
      <x:c r="M5446" t="n">
        <x:v>0</x:v>
      </x:c>
      <x:c r="N5446" t="str">
        <x:v>Fully Paid</x:v>
      </x:c>
      <x:c r="O5446" t="str">
        <x:f>IF(D5446="","Unknown",IF(D5446&lt;25000,"&lt;$25k",IF(D5446&lt;50000,"$25k-$50k",IF(D5446&lt;75000,"$50k-$75k",IF(D5446&lt;100000,"$75k-$100k","$100k+")))))</x:f>
        <x:v>$50k-$75k</x:v>
      </x:c>
      <x:c r="P5446" t="str">
        <x:f>IF(E5446="","Unknown",IF(E5446&lt;10,"&lt;10",IF(E5446&lt;20,"10-&lt;20",IF(E5446&lt;25,"20-&lt;25",IF(E5446&lt;35,"25-&lt;35","35+")))))</x:f>
        <x:v>10-&lt;20</x:v>
      </x:c>
    </x:row>
    <x:row r="5447">
      <x:c r="A5447" t="str">
        <x:v>SYN0005446</x:v>
      </x:c>
      <x:c r="B5447" s="12" t="n">
        <x:v>42925</x:v>
      </x:c>
      <x:c r="C5447" s="18" t="n">
        <x:v>11970</x:v>
      </x:c>
      <x:c r="D5447" s="18" t="n">
        <x:v>98858</x:v>
      </x:c>
      <x:c r="E5447" s="18" t="n">
        <x:v>12.71</x:v>
      </x:c>
      <x:c r="F5447" s="18" t="n">
        <x:v>11.78</x:v>
      </x:c>
      <x:c r="G5447" t="n">
        <x:v>36</x:v>
      </x:c>
      <x:c r="H5447" t="str">
        <x:v>D</x:v>
      </x:c>
      <x:c r="I5447" t="str">
        <x:v>10+ years</x:v>
      </x:c>
      <x:c r="J5447" t="str">
        <x:v>OWN</x:v>
      </x:c>
      <x:c r="K5447" t="str">
        <x:v>credit_card</x:v>
      </x:c>
      <x:c r="L5447" t="n">
        <x:v>0</x:v>
      </x:c>
      <x:c r="M5447" t="n">
        <x:v>0</x:v>
      </x:c>
      <x:c r="N5447" t="str">
        <x:v>Fully Paid</x:v>
      </x:c>
      <x:c r="O5447" t="str">
        <x:f>IF(D5447="","Unknown",IF(D5447&lt;25000,"&lt;$25k",IF(D5447&lt;50000,"$25k-$50k",IF(D5447&lt;75000,"$50k-$75k",IF(D5447&lt;100000,"$75k-$100k","$100k+")))))</x:f>
        <x:v>$75k-$100k</x:v>
      </x:c>
      <x:c r="P5447" t="str">
        <x:f>IF(E5447="","Unknown",IF(E5447&lt;10,"&lt;10",IF(E5447&lt;20,"10-&lt;20",IF(E5447&lt;25,"20-&lt;25",IF(E5447&lt;35,"25-&lt;35","35+")))))</x:f>
        <x:v>10-&lt;20</x:v>
      </x:c>
    </x:row>
    <x:row r="5448">
      <x:c r="A5448" t="str">
        <x:v>SYN0005447</x:v>
      </x:c>
      <x:c r="B5448" s="12" t="n">
        <x:v>43045</x:v>
      </x:c>
      <x:c r="C5448" s="18" t="n">
        <x:v>16553</x:v>
      </x:c>
      <x:c r="D5448" s="18" t="n">
        <x:v>49355</x:v>
      </x:c>
      <x:c r="E5448" s="18" t="n">
        <x:v>23.31</x:v>
      </x:c>
      <x:c r="F5448" s="18" t="n">
        <x:v>11.34</x:v>
      </x:c>
      <x:c r="G5448" t="n">
        <x:v>36</x:v>
      </x:c>
      <x:c r="H5448" t="str">
        <x:v>C</x:v>
      </x:c>
      <x:c r="I5448" t="str">
        <x:v>7-9 years</x:v>
      </x:c>
      <x:c r="J5448" t="str">
        <x:v>MORTGAGE</x:v>
      </x:c>
      <x:c r="K5448" t="str">
        <x:v>debt_consolidation</x:v>
      </x:c>
      <x:c r="L5448" t="n">
        <x:v>2</x:v>
      </x:c>
      <x:c r="M5448" t="n">
        <x:v>0</x:v>
      </x:c>
      <x:c r="N5448" t="str">
        <x:v>Fully Paid</x:v>
      </x:c>
      <x:c r="O5448" t="str">
        <x:f>IF(D5448="","Unknown",IF(D5448&lt;25000,"&lt;$25k",IF(D5448&lt;50000,"$25k-$50k",IF(D5448&lt;75000,"$50k-$75k",IF(D5448&lt;100000,"$75k-$100k","$100k+")))))</x:f>
        <x:v>$25k-$50k</x:v>
      </x:c>
      <x:c r="P5448" t="str">
        <x:f>IF(E5448="","Unknown",IF(E5448&lt;10,"&lt;10",IF(E5448&lt;20,"10-&lt;20",IF(E5448&lt;25,"20-&lt;25",IF(E5448&lt;35,"25-&lt;35","35+")))))</x:f>
        <x:v>20-&lt;25</x:v>
      </x:c>
    </x:row>
    <x:row r="5449">
      <x:c r="A5449" t="str">
        <x:v>SYN0005448</x:v>
      </x:c>
      <x:c r="B5449" s="12" t="n">
        <x:v>42115</x:v>
      </x:c>
      <x:c r="C5449" s="18" t="n">
        <x:v>23985</x:v>
      </x:c>
      <x:c r="D5449" s="18" t="n">
        <x:v>65715</x:v>
      </x:c>
      <x:c r="E5449" s="18" t="n">
        <x:v>19.44</x:v>
      </x:c>
      <x:c r="F5449" s="18" t="n">
        <x:v>10.69</x:v>
      </x:c>
      <x:c r="G5449" t="n">
        <x:v>60</x:v>
      </x:c>
      <x:c r="H5449" t="str">
        <x:v>B</x:v>
      </x:c>
      <x:c r="I5449" t="str">
        <x:v>4-6 years</x:v>
      </x:c>
      <x:c r="J5449" t="str">
        <x:v>RENT</x:v>
      </x:c>
      <x:c r="K5449" t="str">
        <x:v>home_improvement</x:v>
      </x:c>
      <x:c r="L5449" t="n">
        <x:v>0</x:v>
      </x:c>
      <x:c r="M5449" t="n">
        <x:v>0</x:v>
      </x:c>
      <x:c r="N5449" t="str">
        <x:v>Fully Paid</x:v>
      </x:c>
      <x:c r="O5449" t="str">
        <x:f>IF(D5449="","Unknown",IF(D5449&lt;25000,"&lt;$25k",IF(D5449&lt;50000,"$25k-$50k",IF(D5449&lt;75000,"$50k-$75k",IF(D5449&lt;100000,"$75k-$100k","$100k+")))))</x:f>
        <x:v>$50k-$75k</x:v>
      </x:c>
      <x:c r="P5449" t="str">
        <x:f>IF(E5449="","Unknown",IF(E5449&lt;10,"&lt;10",IF(E5449&lt;20,"10-&lt;20",IF(E5449&lt;25,"20-&lt;25",IF(E5449&lt;35,"25-&lt;35","35+")))))</x:f>
        <x:v>10-&lt;20</x:v>
      </x:c>
    </x:row>
    <x:row r="5450">
      <x:c r="A5450" t="str">
        <x:v>SYN0005449</x:v>
      </x:c>
      <x:c r="B5450" s="12" t="n">
        <x:v>41395</x:v>
      </x:c>
      <x:c r="C5450" s="18" t="n">
        <x:v>12230</x:v>
      </x:c>
      <x:c r="D5450" s="18" t="n">
        <x:v>93106</x:v>
      </x:c>
      <x:c r="E5450" s="18" t="n">
        <x:v>7.12</x:v>
      </x:c>
      <x:c r="F5450" s="18" t="n">
        <x:v>11.29</x:v>
      </x:c>
      <x:c r="G5450" t="n">
        <x:v>60</x:v>
      </x:c>
      <x:c r="H5450" t="str">
        <x:v>D</x:v>
      </x:c>
      <x:c r="I5450" t="str">
        <x:v>7-9 years</x:v>
      </x:c>
      <x:c r="J5450" t="str">
        <x:v>RENT</x:v>
      </x:c>
      <x:c r="K5450" t="str">
        <x:v>debt_consolidation</x:v>
      </x:c>
      <x:c r="L5450" t="n">
        <x:v>0</x:v>
      </x:c>
      <x:c r="M5450" t="n">
        <x:v>0</x:v>
      </x:c>
      <x:c r="N5450" t="str">
        <x:v>Fully Paid</x:v>
      </x:c>
      <x:c r="O5450" t="str">
        <x:f>IF(D5450="","Unknown",IF(D5450&lt;25000,"&lt;$25k",IF(D5450&lt;50000,"$25k-$50k",IF(D5450&lt;75000,"$50k-$75k",IF(D5450&lt;100000,"$75k-$100k","$100k+")))))</x:f>
        <x:v>$75k-$100k</x:v>
      </x:c>
      <x:c r="P5450" t="str">
        <x:f>IF(E5450="","Unknown",IF(E5450&lt;10,"&lt;10",IF(E5450&lt;20,"10-&lt;20",IF(E5450&lt;25,"20-&lt;25",IF(E5450&lt;35,"25-&lt;35","35+")))))</x:f>
        <x:v>&lt;10</x:v>
      </x:c>
    </x:row>
    <x:row r="5451">
      <x:c r="A5451" t="str">
        <x:v>SYN0005450</x:v>
      </x:c>
      <x:c r="B5451" s="12" t="n">
        <x:v>41755</x:v>
      </x:c>
      <x:c r="C5451" s="18" t="n">
        <x:v>15461</x:v>
      </x:c>
      <x:c r="D5451" s="18" t="n">
        <x:v>80317</x:v>
      </x:c>
      <x:c r="E5451" s="18" t="n">
        <x:v>20.8</x:v>
      </x:c>
      <x:c r="F5451" s="18" t="n">
        <x:v>17.27</x:v>
      </x:c>
      <x:c r="G5451" t="n">
        <x:v>60</x:v>
      </x:c>
      <x:c r="H5451" t="str">
        <x:v>E</x:v>
      </x:c>
      <x:c r="I5451" t="str">
        <x:v>&lt;1 year</x:v>
      </x:c>
      <x:c r="J5451" t="str">
        <x:v>MORTGAGE</x:v>
      </x:c>
      <x:c r="K5451" t="str">
        <x:v>other</x:v>
      </x:c>
      <x:c r="L5451" t="n">
        <x:v>0</x:v>
      </x:c>
      <x:c r="M5451" t="n">
        <x:v>0</x:v>
      </x:c>
      <x:c r="N5451" t="str">
        <x:v>Fully Paid</x:v>
      </x:c>
      <x:c r="O5451" t="str">
        <x:f>IF(D5451="","Unknown",IF(D5451&lt;25000,"&lt;$25k",IF(D5451&lt;50000,"$25k-$50k",IF(D5451&lt;75000,"$50k-$75k",IF(D5451&lt;100000,"$75k-$100k","$100k+")))))</x:f>
        <x:v>$75k-$100k</x:v>
      </x:c>
      <x:c r="P5451" t="str">
        <x:f>IF(E5451="","Unknown",IF(E5451&lt;10,"&lt;10",IF(E5451&lt;20,"10-&lt;20",IF(E5451&lt;25,"20-&lt;25",IF(E5451&lt;35,"25-&lt;35","35+")))))</x:f>
        <x:v>20-&lt;25</x:v>
      </x:c>
    </x:row>
    <x:row r="5452">
      <x:c r="A5452" t="str">
        <x:v>SYN0005451</x:v>
      </x:c>
      <x:c r="B5452" s="12" t="n">
        <x:v>41935</x:v>
      </x:c>
      <x:c r="C5452" s="18" t="n">
        <x:v>22998</x:v>
      </x:c>
      <x:c r="D5452" s="18" t="n">
        <x:v>32196</x:v>
      </x:c>
      <x:c r="E5452" s="18" t="n">
        <x:v>23.4</x:v>
      </x:c>
      <x:c r="F5452" s="18" t="n">
        <x:v>14.98</x:v>
      </x:c>
      <x:c r="G5452" t="n">
        <x:v>60</x:v>
      </x:c>
      <x:c r="H5452" t="str">
        <x:v>D</x:v>
      </x:c>
      <x:c r="I5452" t="str">
        <x:v>10+ years</x:v>
      </x:c>
      <x:c r="J5452" t="str">
        <x:v>RENT</x:v>
      </x:c>
      <x:c r="K5452" t="str">
        <x:v>debt_consolidation</x:v>
      </x:c>
      <x:c r="L5452" t="n">
        <x:v>0</x:v>
      </x:c>
      <x:c r="M5452" t="n">
        <x:v>0</x:v>
      </x:c>
      <x:c r="N5452" t="str">
        <x:v>Fully Paid</x:v>
      </x:c>
      <x:c r="O5452" t="str">
        <x:f>IF(D5452="","Unknown",IF(D5452&lt;25000,"&lt;$25k",IF(D5452&lt;50000,"$25k-$50k",IF(D5452&lt;75000,"$50k-$75k",IF(D5452&lt;100000,"$75k-$100k","$100k+")))))</x:f>
        <x:v>$25k-$50k</x:v>
      </x:c>
      <x:c r="P5452" t="str">
        <x:f>IF(E5452="","Unknown",IF(E5452&lt;10,"&lt;10",IF(E5452&lt;20,"10-&lt;20",IF(E5452&lt;25,"20-&lt;25",IF(E5452&lt;35,"25-&lt;35","35+")))))</x:f>
        <x:v>20-&lt;25</x:v>
      </x:c>
    </x:row>
    <x:row r="5453">
      <x:c r="A5453" t="str">
        <x:v>SYN0005452</x:v>
      </x:c>
      <x:c r="B5453" s="12" t="n">
        <x:v>41305</x:v>
      </x:c>
      <x:c r="C5453" s="18" t="n">
        <x:v>19841</x:v>
      </x:c>
      <x:c r="D5453" s="18" t="n">
        <x:v>31136</x:v>
      </x:c>
      <x:c r="E5453" s="18" t="n">
        <x:v>21.14</x:v>
      </x:c>
      <x:c r="F5453" s="18" t="n">
        <x:v>10.11</x:v>
      </x:c>
      <x:c r="G5453" t="n">
        <x:v>36</x:v>
      </x:c>
      <x:c r="H5453" t="str">
        <x:v>B</x:v>
      </x:c>
      <x:c r="I5453" t="str">
        <x:v>7-9 years</x:v>
      </x:c>
      <x:c r="J5453" t="str">
        <x:v>RENT</x:v>
      </x:c>
      <x:c r="K5453" t="str">
        <x:v>medical</x:v>
      </x:c>
      <x:c r="L5453" t="n">
        <x:v>0</x:v>
      </x:c>
      <x:c r="M5453" t="n">
        <x:v>0</x:v>
      </x:c>
      <x:c r="N5453" t="str">
        <x:v>Fully Paid</x:v>
      </x:c>
      <x:c r="O5453" t="str">
        <x:f>IF(D5453="","Unknown",IF(D5453&lt;25000,"&lt;$25k",IF(D5453&lt;50000,"$25k-$50k",IF(D5453&lt;75000,"$50k-$75k",IF(D5453&lt;100000,"$75k-$100k","$100k+")))))</x:f>
        <x:v>$25k-$50k</x:v>
      </x:c>
      <x:c r="P5453" t="str">
        <x:f>IF(E5453="","Unknown",IF(E5453&lt;10,"&lt;10",IF(E5453&lt;20,"10-&lt;20",IF(E5453&lt;25,"20-&lt;25",IF(E5453&lt;35,"25-&lt;35","35+")))))</x:f>
        <x:v>20-&lt;25</x:v>
      </x:c>
    </x:row>
    <x:row r="5454">
      <x:c r="A5454" t="str">
        <x:v>SYN0005453</x:v>
      </x:c>
      <x:c r="B5454" s="12" t="n">
        <x:v>41995</x:v>
      </x:c>
      <x:c r="C5454" s="18" t="n">
        <x:v>24591</x:v>
      </x:c>
      <x:c r="D5454" s="18" t="n">
        <x:v>33328</x:v>
      </x:c>
      <x:c r="E5454" s="18" t="n">
        <x:v>12.47</x:v>
      </x:c>
      <x:c r="F5454" s="18" t="n">
        <x:v>7.25</x:v>
      </x:c>
      <x:c r="G5454" t="n">
        <x:v>36</x:v>
      </x:c>
      <x:c r="H5454" t="str">
        <x:v>B</x:v>
      </x:c>
      <x:c r="I5454" t="str">
        <x:v>4-6 years</x:v>
      </x:c>
      <x:c r="J5454" t="str">
        <x:v>RENT</x:v>
      </x:c>
      <x:c r="K5454" t="str">
        <x:v>debt_consolidation</x:v>
      </x:c>
      <x:c r="L5454" t="n">
        <x:v>1</x:v>
      </x:c>
      <x:c r="M5454" t="n">
        <x:v>0</x:v>
      </x:c>
      <x:c r="N5454" t="str">
        <x:v>Fully Paid</x:v>
      </x:c>
      <x:c r="O5454" t="str">
        <x:f>IF(D5454="","Unknown",IF(D5454&lt;25000,"&lt;$25k",IF(D5454&lt;50000,"$25k-$50k",IF(D5454&lt;75000,"$50k-$75k",IF(D5454&lt;100000,"$75k-$100k","$100k+")))))</x:f>
        <x:v>$25k-$50k</x:v>
      </x:c>
      <x:c r="P5454" t="str">
        <x:f>IF(E5454="","Unknown",IF(E5454&lt;10,"&lt;10",IF(E5454&lt;20,"10-&lt;20",IF(E5454&lt;25,"20-&lt;25",IF(E5454&lt;35,"25-&lt;35","35+")))))</x:f>
        <x:v>10-&lt;20</x:v>
      </x:c>
    </x:row>
    <x:row r="5455">
      <x:c r="A5455" t="str">
        <x:v>SYN0005454</x:v>
      </x:c>
      <x:c r="B5455" s="12" t="n">
        <x:v>41605</x:v>
      </x:c>
      <x:c r="C5455" s="18" t="n">
        <x:v>9976</x:v>
      </x:c>
      <x:c r="D5455" s="18" t="n">
        <x:v>75194</x:v>
      </x:c>
      <x:c r="E5455" s="18" t="n">
        <x:v>26.98</x:v>
      </x:c>
      <x:c r="F5455" s="18" t="n">
        <x:v>16.97</x:v>
      </x:c>
      <x:c r="G5455" t="n">
        <x:v>36</x:v>
      </x:c>
      <x:c r="H5455" t="str">
        <x:v>D</x:v>
      </x:c>
      <x:c r="I5455" t="str">
        <x:v>7-9 years</x:v>
      </x:c>
      <x:c r="J5455" t="str">
        <x:v>MORTGAGE</x:v>
      </x:c>
      <x:c r="K5455" t="str">
        <x:v>debt_consolidation</x:v>
      </x:c>
      <x:c r="L5455" t="n">
        <x:v>1</x:v>
      </x:c>
      <x:c r="M5455" t="n">
        <x:v>0</x:v>
      </x:c>
      <x:c r="N5455" t="str">
        <x:v>Fully Paid</x:v>
      </x:c>
      <x:c r="O5455" t="str">
        <x:f>IF(D5455="","Unknown",IF(D5455&lt;25000,"&lt;$25k",IF(D5455&lt;50000,"$25k-$50k",IF(D5455&lt;75000,"$50k-$75k",IF(D5455&lt;100000,"$75k-$100k","$100k+")))))</x:f>
        <x:v>$75k-$100k</x:v>
      </x:c>
      <x:c r="P5455" t="str">
        <x:f>IF(E5455="","Unknown",IF(E5455&lt;10,"&lt;10",IF(E5455&lt;20,"10-&lt;20",IF(E5455&lt;25,"20-&lt;25",IF(E5455&lt;35,"25-&lt;35","35+")))))</x:f>
        <x:v>25-&lt;35</x:v>
      </x:c>
    </x:row>
    <x:row r="5456">
      <x:c r="A5456" t="str">
        <x:v>SYN0005455</x:v>
      </x:c>
      <x:c r="B5456" s="12" t="n">
        <x:v>43105</x:v>
      </x:c>
      <x:c r="C5456" s="18" t="n">
        <x:v>17466</x:v>
      </x:c>
      <x:c r="D5456" s="18" t="n">
        <x:v>32027</x:v>
      </x:c>
      <x:c r="E5456" s="18" t="n">
        <x:v>10.36</x:v>
      </x:c>
      <x:c r="F5456" s="18" t="n">
        <x:v>8.85</x:v>
      </x:c>
      <x:c r="G5456" t="n">
        <x:v>36</x:v>
      </x:c>
      <x:c r="H5456" t="str">
        <x:v>B</x:v>
      </x:c>
      <x:c r="I5456" t="str">
        <x:v>1-3 years</x:v>
      </x:c>
      <x:c r="J5456" t="str">
        <x:v>RENT</x:v>
      </x:c>
      <x:c r="K5456" t="str">
        <x:v>debt_consolidation</x:v>
      </x:c>
      <x:c r="L5456" t="n">
        <x:v>1</x:v>
      </x:c>
      <x:c r="M5456" t="n">
        <x:v>0</x:v>
      </x:c>
      <x:c r="N5456" t="str">
        <x:v>Fully Paid</x:v>
      </x:c>
      <x:c r="O5456" t="str">
        <x:f>IF(D5456="","Unknown",IF(D5456&lt;25000,"&lt;$25k",IF(D5456&lt;50000,"$25k-$50k",IF(D5456&lt;75000,"$50k-$75k",IF(D5456&lt;100000,"$75k-$100k","$100k+")))))</x:f>
        <x:v>$25k-$50k</x:v>
      </x:c>
      <x:c r="P5456" t="str">
        <x:f>IF(E5456="","Unknown",IF(E5456&lt;10,"&lt;10",IF(E5456&lt;20,"10-&lt;20",IF(E5456&lt;25,"20-&lt;25",IF(E5456&lt;35,"25-&lt;35","35+")))))</x:f>
        <x:v>10-&lt;20</x:v>
      </x:c>
    </x:row>
    <x:row r="5457">
      <x:c r="A5457" t="str">
        <x:v>SYN0005456</x:v>
      </x:c>
      <x:c r="B5457" s="12" t="n">
        <x:v>42505</x:v>
      </x:c>
      <x:c r="C5457" s="18" t="n">
        <x:v>16754</x:v>
      </x:c>
      <x:c r="D5457" s="18" t="n">
        <x:v>89866</x:v>
      </x:c>
      <x:c r="E5457" s="18" t="n">
        <x:v>27.59</x:v>
      </x:c>
      <x:c r="F5457" s="18" t="n">
        <x:v>7.59</x:v>
      </x:c>
      <x:c r="G5457" t="n">
        <x:v>36</x:v>
      </x:c>
      <x:c r="H5457" t="str">
        <x:v>C</x:v>
      </x:c>
      <x:c r="I5457" t="str">
        <x:v>10+ years</x:v>
      </x:c>
      <x:c r="J5457" t="str">
        <x:v>OWN</x:v>
      </x:c>
      <x:c r="K5457" t="str">
        <x:v>debt_consolidation</x:v>
      </x:c>
      <x:c r="L5457" t="n">
        <x:v>1</x:v>
      </x:c>
      <x:c r="M5457" t="n">
        <x:v>0</x:v>
      </x:c>
      <x:c r="N5457" t="str">
        <x:v>Fully Paid</x:v>
      </x:c>
      <x:c r="O5457" t="str">
        <x:f>IF(D5457="","Unknown",IF(D5457&lt;25000,"&lt;$25k",IF(D5457&lt;50000,"$25k-$50k",IF(D5457&lt;75000,"$50k-$75k",IF(D5457&lt;100000,"$75k-$100k","$100k+")))))</x:f>
        <x:v>$75k-$100k</x:v>
      </x:c>
      <x:c r="P5457" t="str">
        <x:f>IF(E5457="","Unknown",IF(E5457&lt;10,"&lt;10",IF(E5457&lt;20,"10-&lt;20",IF(E5457&lt;25,"20-&lt;25",IF(E5457&lt;35,"25-&lt;35","35+")))))</x:f>
        <x:v>25-&lt;35</x:v>
      </x:c>
    </x:row>
    <x:row r="5458">
      <x:c r="A5458" t="str">
        <x:v>SYN0005457</x:v>
      </x:c>
      <x:c r="B5458" s="12" t="n">
        <x:v>42265</x:v>
      </x:c>
      <x:c r="C5458" s="18" t="n">
        <x:v>10574</x:v>
      </x:c>
      <x:c r="D5458" s="18" t="n">
        <x:v>59412</x:v>
      </x:c>
      <x:c r="E5458" s="18" t="n">
        <x:v>39.14</x:v>
      </x:c>
      <x:c r="F5458" s="18" t="n">
        <x:v>12.73</x:v>
      </x:c>
      <x:c r="G5458" t="n">
        <x:v>36</x:v>
      </x:c>
      <x:c r="H5458" t="str">
        <x:v>D</x:v>
      </x:c>
      <x:c r="I5458" t="str">
        <x:v>&lt;1 year</x:v>
      </x:c>
      <x:c r="J5458" t="str">
        <x:v>OWN</x:v>
      </x:c>
      <x:c r="K5458" t="str">
        <x:v>debt_consolidation</x:v>
      </x:c>
      <x:c r="L5458" t="n">
        <x:v>2</x:v>
      </x:c>
      <x:c r="M5458" t="n">
        <x:v>0</x:v>
      </x:c>
      <x:c r="N5458" t="str">
        <x:v>Fully Paid</x:v>
      </x:c>
      <x:c r="O5458" t="str">
        <x:f>IF(D5458="","Unknown",IF(D5458&lt;25000,"&lt;$25k",IF(D5458&lt;50000,"$25k-$50k",IF(D5458&lt;75000,"$50k-$75k",IF(D5458&lt;100000,"$75k-$100k","$100k+")))))</x:f>
        <x:v>$50k-$75k</x:v>
      </x:c>
      <x:c r="P5458" t="str">
        <x:f>IF(E5458="","Unknown",IF(E5458&lt;10,"&lt;10",IF(E5458&lt;20,"10-&lt;20",IF(E5458&lt;25,"20-&lt;25",IF(E5458&lt;35,"25-&lt;35","35+")))))</x:f>
        <x:v>35+</x:v>
      </x:c>
    </x:row>
    <x:row r="5459">
      <x:c r="A5459" t="str">
        <x:v>SYN0005458</x:v>
      </x:c>
      <x:c r="B5459" s="12" t="n">
        <x:v>43285</x:v>
      </x:c>
      <x:c r="C5459" s="18" t="n">
        <x:v>9156</x:v>
      </x:c>
      <x:c r="D5459" s="18" t="n">
        <x:v>20038</x:v>
      </x:c>
      <x:c r="E5459" s="18" t="n">
        <x:v>13.28</x:v>
      </x:c>
      <x:c r="F5459" s="18" t="n">
        <x:v>9.85</x:v>
      </x:c>
      <x:c r="G5459" t="n">
        <x:v>36</x:v>
      </x:c>
      <x:c r="H5459" t="str">
        <x:v>A</x:v>
      </x:c>
      <x:c r="I5459" t="str">
        <x:v>10+ years</x:v>
      </x:c>
      <x:c r="J5459" t="str">
        <x:v>MORTGAGE</x:v>
      </x:c>
      <x:c r="K5459" t="str">
        <x:v>credit_card</x:v>
      </x:c>
      <x:c r="L5459" t="n">
        <x:v>1</x:v>
      </x:c>
      <x:c r="M5459" t="n">
        <x:v>0</x:v>
      </x:c>
      <x:c r="N5459" t="str">
        <x:v>Fully Paid</x:v>
      </x:c>
      <x:c r="O5459" t="str">
        <x:f>IF(D5459="","Unknown",IF(D5459&lt;25000,"&lt;$25k",IF(D5459&lt;50000,"$25k-$50k",IF(D5459&lt;75000,"$50k-$75k",IF(D5459&lt;100000,"$75k-$100k","$100k+")))))</x:f>
        <x:v>&lt;$25k</x:v>
      </x:c>
      <x:c r="P5459" t="str">
        <x:f>IF(E5459="","Unknown",IF(E5459&lt;10,"&lt;10",IF(E5459&lt;20,"10-&lt;20",IF(E5459&lt;25,"20-&lt;25",IF(E5459&lt;35,"25-&lt;35","35+")))))</x:f>
        <x:v>10-&lt;20</x:v>
      </x:c>
    </x:row>
    <x:row r="5460">
      <x:c r="A5460" t="str">
        <x:v>SYN0005459</x:v>
      </x:c>
      <x:c r="B5460" s="12" t="n">
        <x:v>42355</x:v>
      </x:c>
      <x:c r="C5460" s="18" t="n">
        <x:v>10368</x:v>
      </x:c>
      <x:c r="D5460" s="18" t="n">
        <x:v>250000</x:v>
      </x:c>
      <x:c r="E5460" s="18" t="n">
        <x:v>15.87</x:v>
      </x:c>
      <x:c r="F5460" s="18" t="n">
        <x:v>8.59</x:v>
      </x:c>
      <x:c r="G5460" t="n">
        <x:v>60</x:v>
      </x:c>
      <x:c r="H5460" t="str">
        <x:v>B</x:v>
      </x:c>
      <x:c r="I5460" t="str">
        <x:v>7-9 years</x:v>
      </x:c>
      <x:c r="J5460" t="str">
        <x:v>OWN</x:v>
      </x:c>
      <x:c r="K5460" t="str">
        <x:v>other</x:v>
      </x:c>
      <x:c r="L5460" t="n">
        <x:v>0</x:v>
      </x:c>
      <x:c r="M5460" t="n">
        <x:v>0</x:v>
      </x:c>
      <x:c r="N5460" t="str">
        <x:v>Fully Paid</x:v>
      </x:c>
      <x:c r="O5460" t="str">
        <x:f>IF(D5460="","Unknown",IF(D5460&lt;25000,"&lt;$25k",IF(D5460&lt;50000,"$25k-$50k",IF(D5460&lt;75000,"$50k-$75k",IF(D5460&lt;100000,"$75k-$100k","$100k+")))))</x:f>
        <x:v>$100k+</x:v>
      </x:c>
      <x:c r="P5460" t="str">
        <x:f>IF(E5460="","Unknown",IF(E5460&lt;10,"&lt;10",IF(E5460&lt;20,"10-&lt;20",IF(E5460&lt;25,"20-&lt;25",IF(E5460&lt;35,"25-&lt;35","35+")))))</x:f>
        <x:v>10-&lt;20</x:v>
      </x:c>
    </x:row>
    <x:row r="5461">
      <x:c r="A5461" t="str">
        <x:v>SYN0005460</x:v>
      </x:c>
      <x:c r="B5461" s="12" t="n">
        <x:v>42685</x:v>
      </x:c>
      <x:c r="C5461" s="18" t="n">
        <x:v>19075</x:v>
      </x:c>
      <x:c r="D5461" s="18" t="n">
        <x:v>104913</x:v>
      </x:c>
      <x:c r="E5461" s="18" t="n">
        <x:v>14.85</x:v>
      </x:c>
      <x:c r="F5461" s="18" t="n">
        <x:v>10.04</x:v>
      </x:c>
      <x:c r="G5461" t="n">
        <x:v>36</x:v>
      </x:c>
      <x:c r="H5461" t="str">
        <x:v>B</x:v>
      </x:c>
      <x:c r="I5461" t="str">
        <x:v>1-3 years</x:v>
      </x:c>
      <x:c r="J5461" t="str">
        <x:v>MORTGAGE</x:v>
      </x:c>
      <x:c r="K5461" t="str">
        <x:v>major_purchase</x:v>
      </x:c>
      <x:c r="L5461" t="n">
        <x:v>0</x:v>
      </x:c>
      <x:c r="M5461" t="n">
        <x:v>0</x:v>
      </x:c>
      <x:c r="N5461" t="str">
        <x:v>Fully Paid</x:v>
      </x:c>
      <x:c r="O5461" t="str">
        <x:f>IF(D5461="","Unknown",IF(D5461&lt;25000,"&lt;$25k",IF(D5461&lt;50000,"$25k-$50k",IF(D5461&lt;75000,"$50k-$75k",IF(D5461&lt;100000,"$75k-$100k","$100k+")))))</x:f>
        <x:v>$100k+</x:v>
      </x:c>
      <x:c r="P5461" t="str">
        <x:f>IF(E5461="","Unknown",IF(E5461&lt;10,"&lt;10",IF(E5461&lt;20,"10-&lt;20",IF(E5461&lt;25,"20-&lt;25",IF(E5461&lt;35,"25-&lt;35","35+")))))</x:f>
        <x:v>10-&lt;20</x:v>
      </x:c>
    </x:row>
    <x:row r="5462">
      <x:c r="A5462" t="str">
        <x:v>SYN0005461</x:v>
      </x:c>
      <x:c r="B5462" s="12" t="n">
        <x:v>43255</x:v>
      </x:c>
      <x:c r="C5462" s="18" t="n">
        <x:v>40000</x:v>
      </x:c>
      <x:c r="D5462" s="18" t="n">
        <x:v>62452</x:v>
      </x:c>
      <x:c r="E5462" s="18" t="n">
        <x:v>15.86</x:v>
      </x:c>
      <x:c r="F5462" s="18" t="n">
        <x:v>14.44</x:v>
      </x:c>
      <x:c r="G5462" t="n">
        <x:v>36</x:v>
      </x:c>
      <x:c r="H5462" t="str">
        <x:v>D</x:v>
      </x:c>
      <x:c r="I5462" t="str">
        <x:v>7-9 years</x:v>
      </x:c>
      <x:c r="J5462" t="str">
        <x:v>RENT</x:v>
      </x:c>
      <x:c r="K5462" t="str">
        <x:v>debt_consolidation</x:v>
      </x:c>
      <x:c r="L5462" t="n">
        <x:v>0</x:v>
      </x:c>
      <x:c r="M5462" t="n">
        <x:v>1</x:v>
      </x:c>
      <x:c r="N5462" t="str">
        <x:v>Charged Off</x:v>
      </x:c>
      <x:c r="O5462" t="str">
        <x:f>IF(D5462="","Unknown",IF(D5462&lt;25000,"&lt;$25k",IF(D5462&lt;50000,"$25k-$50k",IF(D5462&lt;75000,"$50k-$75k",IF(D5462&lt;100000,"$75k-$100k","$100k+")))))</x:f>
        <x:v>$50k-$75k</x:v>
      </x:c>
      <x:c r="P5462" t="str">
        <x:f>IF(E5462="","Unknown",IF(E5462&lt;10,"&lt;10",IF(E5462&lt;20,"10-&lt;20",IF(E5462&lt;25,"20-&lt;25",IF(E5462&lt;35,"25-&lt;35","35+")))))</x:f>
        <x:v>10-&lt;20</x:v>
      </x:c>
    </x:row>
    <x:row r="5463">
      <x:c r="A5463" t="str">
        <x:v>SYN0005462</x:v>
      </x:c>
      <x:c r="B5463" s="12" t="n">
        <x:v>43105</x:v>
      </x:c>
      <x:c r="C5463" s="18" t="n">
        <x:v>26547</x:v>
      </x:c>
      <x:c r="D5463" s="18" t="n">
        <x:v>74139</x:v>
      </x:c>
      <x:c r="E5463" s="18" t="n">
        <x:v>21.67</x:v>
      </x:c>
      <x:c r="F5463" s="18" t="n">
        <x:v>13.07</x:v>
      </x:c>
      <x:c r="G5463" t="n">
        <x:v>36</x:v>
      </x:c>
      <x:c r="H5463" t="str">
        <x:v>D</x:v>
      </x:c>
      <x:c r="I5463" t="str">
        <x:v>4-6 years</x:v>
      </x:c>
      <x:c r="J5463" t="str">
        <x:v>MORTGAGE</x:v>
      </x:c>
      <x:c r="K5463" t="str">
        <x:v>other</x:v>
      </x:c>
      <x:c r="L5463" t="n">
        <x:v>0</x:v>
      </x:c>
      <x:c r="M5463" t="n">
        <x:v>0</x:v>
      </x:c>
      <x:c r="N5463" t="str">
        <x:v>Fully Paid</x:v>
      </x:c>
      <x:c r="O5463" t="str">
        <x:f>IF(D5463="","Unknown",IF(D5463&lt;25000,"&lt;$25k",IF(D5463&lt;50000,"$25k-$50k",IF(D5463&lt;75000,"$50k-$75k",IF(D5463&lt;100000,"$75k-$100k","$100k+")))))</x:f>
        <x:v>$50k-$75k</x:v>
      </x:c>
      <x:c r="P5463" t="str">
        <x:f>IF(E5463="","Unknown",IF(E5463&lt;10,"&lt;10",IF(E5463&lt;20,"10-&lt;20",IF(E5463&lt;25,"20-&lt;25",IF(E5463&lt;35,"25-&lt;35","35+")))))</x:f>
        <x:v>20-&lt;25</x:v>
      </x:c>
    </x:row>
    <x:row r="5464">
      <x:c r="A5464" t="str">
        <x:v>SYN0005463</x:v>
      </x:c>
      <x:c r="B5464" s="12" t="n">
        <x:v>41785</x:v>
      </x:c>
      <x:c r="C5464" s="18" t="n">
        <x:v>5750</x:v>
      </x:c>
      <x:c r="D5464" s="18" t="n">
        <x:v>53794</x:v>
      </x:c>
      <x:c r="E5464" s="18" t="n">
        <x:v>21.27</x:v>
      </x:c>
      <x:c r="F5464" s="18" t="n">
        <x:v>21.01</x:v>
      </x:c>
      <x:c r="G5464" t="n">
        <x:v>36</x:v>
      </x:c>
      <x:c r="H5464" t="str">
        <x:v>E</x:v>
      </x:c>
      <x:c r="I5464" t="str">
        <x:v>1-3 years</x:v>
      </x:c>
      <x:c r="J5464" t="str">
        <x:v>RENT</x:v>
      </x:c>
      <x:c r="K5464" t="str">
        <x:v>debt_consolidation</x:v>
      </x:c>
      <x:c r="L5464" t="n">
        <x:v>0</x:v>
      </x:c>
      <x:c r="M5464" t="n">
        <x:v>0</x:v>
      </x:c>
      <x:c r="N5464" t="str">
        <x:v>Fully Paid</x:v>
      </x:c>
      <x:c r="O5464" t="str">
        <x:f>IF(D5464="","Unknown",IF(D5464&lt;25000,"&lt;$25k",IF(D5464&lt;50000,"$25k-$50k",IF(D5464&lt;75000,"$50k-$75k",IF(D5464&lt;100000,"$75k-$100k","$100k+")))))</x:f>
        <x:v>$50k-$75k</x:v>
      </x:c>
      <x:c r="P5464" t="str">
        <x:f>IF(E5464="","Unknown",IF(E5464&lt;10,"&lt;10",IF(E5464&lt;20,"10-&lt;20",IF(E5464&lt;25,"20-&lt;25",IF(E5464&lt;35,"25-&lt;35","35+")))))</x:f>
        <x:v>20-&lt;25</x:v>
      </x:c>
    </x:row>
    <x:row r="5465">
      <x:c r="A5465" t="str">
        <x:v>SYN0005464</x:v>
      </x:c>
      <x:c r="B5465" s="12" t="n">
        <x:v>42535</x:v>
      </x:c>
      <x:c r="C5465" s="18" t="n">
        <x:v>17504</x:v>
      </x:c>
      <x:c r="D5465" s="18" t="n">
        <x:v>46699</x:v>
      </x:c>
      <x:c r="E5465" s="18" t="n">
        <x:v>33</x:v>
      </x:c>
      <x:c r="F5465" s="18" t="n">
        <x:v>25.15</x:v>
      </x:c>
      <x:c r="G5465" t="n">
        <x:v>36</x:v>
      </x:c>
      <x:c r="H5465" t="str">
        <x:v>G</x:v>
      </x:c>
      <x:c r="I5465" t="str">
        <x:v>10+ years</x:v>
      </x:c>
      <x:c r="J5465" t="str">
        <x:v>MORTGAGE</x:v>
      </x:c>
      <x:c r="K5465" t="str">
        <x:v>debt_consolidation</x:v>
      </x:c>
      <x:c r="L5465" t="n">
        <x:v>0</x:v>
      </x:c>
      <x:c r="M5465" t="n">
        <x:v>0</x:v>
      </x:c>
      <x:c r="N5465" t="str">
        <x:v>Fully Paid</x:v>
      </x:c>
      <x:c r="O5465" t="str">
        <x:f>IF(D5465="","Unknown",IF(D5465&lt;25000,"&lt;$25k",IF(D5465&lt;50000,"$25k-$50k",IF(D5465&lt;75000,"$50k-$75k",IF(D5465&lt;100000,"$75k-$100k","$100k+")))))</x:f>
        <x:v>$25k-$50k</x:v>
      </x:c>
      <x:c r="P5465" t="str">
        <x:f>IF(E5465="","Unknown",IF(E5465&lt;10,"&lt;10",IF(E5465&lt;20,"10-&lt;20",IF(E5465&lt;25,"20-&lt;25",IF(E5465&lt;35,"25-&lt;35","35+")))))</x:f>
        <x:v>25-&lt;35</x:v>
      </x:c>
    </x:row>
    <x:row r="5466">
      <x:c r="A5466" t="str">
        <x:v>SYN0005465</x:v>
      </x:c>
      <x:c r="B5466" s="12" t="n">
        <x:v>42985</x:v>
      </x:c>
      <x:c r="C5466" s="18" t="n">
        <x:v>17357</x:v>
      </x:c>
      <x:c r="D5466" s="18" t="n">
        <x:v>75875</x:v>
      </x:c>
      <x:c r="E5466" s="18" t="n">
        <x:v>4.49</x:v>
      </x:c>
      <x:c r="F5466" s="18" t="n">
        <x:v>9.22</x:v>
      </x:c>
      <x:c r="G5466" t="n">
        <x:v>60</x:v>
      </x:c>
      <x:c r="H5466" t="str">
        <x:v>A</x:v>
      </x:c>
      <x:c r="I5466" t="str">
        <x:v>&lt;1 year</x:v>
      </x:c>
      <x:c r="J5466" t="str">
        <x:v>MORTGAGE</x:v>
      </x:c>
      <x:c r="K5466" t="str">
        <x:v>debt_consolidation</x:v>
      </x:c>
      <x:c r="L5466" t="n">
        <x:v>0</x:v>
      </x:c>
      <x:c r="M5466" t="n">
        <x:v>0</x:v>
      </x:c>
      <x:c r="N5466" t="str">
        <x:v>Fully Paid</x:v>
      </x:c>
      <x:c r="O5466" t="str">
        <x:f>IF(D5466="","Unknown",IF(D5466&lt;25000,"&lt;$25k",IF(D5466&lt;50000,"$25k-$50k",IF(D5466&lt;75000,"$50k-$75k",IF(D5466&lt;100000,"$75k-$100k","$100k+")))))</x:f>
        <x:v>$75k-$100k</x:v>
      </x:c>
      <x:c r="P5466" t="str">
        <x:f>IF(E5466="","Unknown",IF(E5466&lt;10,"&lt;10",IF(E5466&lt;20,"10-&lt;20",IF(E5466&lt;25,"20-&lt;25",IF(E5466&lt;35,"25-&lt;35","35+")))))</x:f>
        <x:v>&lt;10</x:v>
      </x:c>
    </x:row>
    <x:row r="5467">
      <x:c r="A5467" t="str">
        <x:v>SYN0005466</x:v>
      </x:c>
      <x:c r="B5467" s="12" t="n">
        <x:v>41635</x:v>
      </x:c>
      <x:c r="C5467" s="18" t="n">
        <x:v>7595</x:v>
      </x:c>
      <x:c r="D5467" s="18" t="n">
        <x:v>41100</x:v>
      </x:c>
      <x:c r="E5467" s="18" t="n">
        <x:v>26.14</x:v>
      </x:c>
      <x:c r="F5467" s="18" t="n">
        <x:v>10.57</x:v>
      </x:c>
      <x:c r="G5467" t="n">
        <x:v>36</x:v>
      </x:c>
      <x:c r="H5467" t="str">
        <x:v>C</x:v>
      </x:c>
      <x:c r="I5467" t="str">
        <x:v>1-3 years</x:v>
      </x:c>
      <x:c r="J5467" t="str">
        <x:v>MORTGAGE</x:v>
      </x:c>
      <x:c r="K5467" t="str">
        <x:v>debt_consolidation</x:v>
      </x:c>
      <x:c r="L5467" t="n">
        <x:v>0</x:v>
      </x:c>
      <x:c r="M5467" t="n">
        <x:v>1</x:v>
      </x:c>
      <x:c r="N5467" t="str">
        <x:v>Charged Off</x:v>
      </x:c>
      <x:c r="O5467" t="str">
        <x:f>IF(D5467="","Unknown",IF(D5467&lt;25000,"&lt;$25k",IF(D5467&lt;50000,"$25k-$50k",IF(D5467&lt;75000,"$50k-$75k",IF(D5467&lt;100000,"$75k-$100k","$100k+")))))</x:f>
        <x:v>$25k-$50k</x:v>
      </x:c>
      <x:c r="P5467" t="str">
        <x:f>IF(E5467="","Unknown",IF(E5467&lt;10,"&lt;10",IF(E5467&lt;20,"10-&lt;20",IF(E5467&lt;25,"20-&lt;25",IF(E5467&lt;35,"25-&lt;35","35+")))))</x:f>
        <x:v>25-&lt;35</x:v>
      </x:c>
    </x:row>
    <x:row r="5468">
      <x:c r="A5468" t="str">
        <x:v>SYN0005467</x:v>
      </x:c>
      <x:c r="B5468" s="12" t="n">
        <x:v>42805</x:v>
      </x:c>
      <x:c r="C5468" s="18" t="n">
        <x:v>30851</x:v>
      </x:c>
      <x:c r="D5468" s="18" t="n">
        <x:v>121062</x:v>
      </x:c>
      <x:c r="E5468" s="18" t="n">
        <x:v>19.46</x:v>
      </x:c>
      <x:c r="F5468" s="18" t="n">
        <x:v>10.42</x:v>
      </x:c>
      <x:c r="G5468" t="n">
        <x:v>60</x:v>
      </x:c>
      <x:c r="H5468" t="str">
        <x:v>A</x:v>
      </x:c>
      <x:c r="I5468" t="str">
        <x:v>4-6 years</x:v>
      </x:c>
      <x:c r="J5468" t="str">
        <x:v>MORTGAGE</x:v>
      </x:c>
      <x:c r="K5468" t="str">
        <x:v>major_purchase</x:v>
      </x:c>
      <x:c r="L5468" t="n">
        <x:v>0</x:v>
      </x:c>
      <x:c r="M5468" t="n">
        <x:v>0</x:v>
      </x:c>
      <x:c r="N5468" t="str">
        <x:v>Fully Paid</x:v>
      </x:c>
      <x:c r="O5468" t="str">
        <x:f>IF(D5468="","Unknown",IF(D5468&lt;25000,"&lt;$25k",IF(D5468&lt;50000,"$25k-$50k",IF(D5468&lt;75000,"$50k-$75k",IF(D5468&lt;100000,"$75k-$100k","$100k+")))))</x:f>
        <x:v>$100k+</x:v>
      </x:c>
      <x:c r="P5468" t="str">
        <x:f>IF(E5468="","Unknown",IF(E5468&lt;10,"&lt;10",IF(E5468&lt;20,"10-&lt;20",IF(E5468&lt;25,"20-&lt;25",IF(E5468&lt;35,"25-&lt;35","35+")))))</x:f>
        <x:v>10-&lt;20</x:v>
      </x:c>
    </x:row>
    <x:row r="5469">
      <x:c r="A5469" t="str">
        <x:v>SYN0005468</x:v>
      </x:c>
      <x:c r="B5469" s="12" t="n">
        <x:v>42295</x:v>
      </x:c>
      <x:c r="C5469" s="18" t="n">
        <x:v>20941</x:v>
      </x:c>
      <x:c r="D5469" s="18" t="n">
        <x:v>57295</x:v>
      </x:c>
      <x:c r="E5469" s="18" t="n">
        <x:v>14.17</x:v>
      </x:c>
      <x:c r="F5469" s="18" t="n">
        <x:v>11.29</x:v>
      </x:c>
      <x:c r="G5469" t="n">
        <x:v>36</x:v>
      </x:c>
      <x:c r="H5469" t="str">
        <x:v>C</x:v>
      </x:c>
      <x:c r="I5469" t="str">
        <x:v>&lt;1 year</x:v>
      </x:c>
      <x:c r="J5469" t="str">
        <x:v>RENT</x:v>
      </x:c>
      <x:c r="K5469" t="str">
        <x:v>home_improvement</x:v>
      </x:c>
      <x:c r="L5469" t="n">
        <x:v>0</x:v>
      </x:c>
      <x:c r="M5469" t="n">
        <x:v>0</x:v>
      </x:c>
      <x:c r="N5469" t="str">
        <x:v>Fully Paid</x:v>
      </x:c>
      <x:c r="O5469" t="str">
        <x:f>IF(D5469="","Unknown",IF(D5469&lt;25000,"&lt;$25k",IF(D5469&lt;50000,"$25k-$50k",IF(D5469&lt;75000,"$50k-$75k",IF(D5469&lt;100000,"$75k-$100k","$100k+")))))</x:f>
        <x:v>$50k-$75k</x:v>
      </x:c>
      <x:c r="P5469" t="str">
        <x:f>IF(E5469="","Unknown",IF(E5469&lt;10,"&lt;10",IF(E5469&lt;20,"10-&lt;20",IF(E5469&lt;25,"20-&lt;25",IF(E5469&lt;35,"25-&lt;35","35+")))))</x:f>
        <x:v>10-&lt;20</x:v>
      </x:c>
    </x:row>
    <x:row r="5470">
      <x:c r="A5470" t="str">
        <x:v>SYN0005469</x:v>
      </x:c>
      <x:c r="B5470" s="12" t="n">
        <x:v>41365</x:v>
      </x:c>
      <x:c r="C5470" s="18" t="n">
        <x:v>16737</x:v>
      </x:c>
      <x:c r="D5470" s="18" t="n">
        <x:v>51514</x:v>
      </x:c>
      <x:c r="E5470" s="18" t="n">
        <x:v>16.78</x:v>
      </x:c>
      <x:c r="F5470" s="18" t="n">
        <x:v>7.61</x:v>
      </x:c>
      <x:c r="G5470" t="n">
        <x:v>36</x:v>
      </x:c>
      <x:c r="H5470" t="str">
        <x:v>B</x:v>
      </x:c>
      <x:c r="I5470" t="str">
        <x:v>1-3 years</x:v>
      </x:c>
      <x:c r="J5470" t="str">
        <x:v>MORTGAGE</x:v>
      </x:c>
      <x:c r="K5470" t="str">
        <x:v>credit_card</x:v>
      </x:c>
      <x:c r="L5470" t="n">
        <x:v>0</x:v>
      </x:c>
      <x:c r="M5470" t="n">
        <x:v>0</x:v>
      </x:c>
      <x:c r="N5470" t="str">
        <x:v>Fully Paid</x:v>
      </x:c>
      <x:c r="O5470" t="str">
        <x:f>IF(D5470="","Unknown",IF(D5470&lt;25000,"&lt;$25k",IF(D5470&lt;50000,"$25k-$50k",IF(D5470&lt;75000,"$50k-$75k",IF(D5470&lt;100000,"$75k-$100k","$100k+")))))</x:f>
        <x:v>$50k-$75k</x:v>
      </x:c>
      <x:c r="P5470" t="str">
        <x:f>IF(E5470="","Unknown",IF(E5470&lt;10,"&lt;10",IF(E5470&lt;20,"10-&lt;20",IF(E5470&lt;25,"20-&lt;25",IF(E5470&lt;35,"25-&lt;35","35+")))))</x:f>
        <x:v>10-&lt;20</x:v>
      </x:c>
    </x:row>
    <x:row r="5471">
      <x:c r="A5471" t="str">
        <x:v>SYN0005470</x:v>
      </x:c>
      <x:c r="B5471" s="12" t="n">
        <x:v>41905</x:v>
      </x:c>
      <x:c r="C5471" s="18" t="n">
        <x:v>16157</x:v>
      </x:c>
      <x:c r="D5471" s="18" t="n">
        <x:v>76241</x:v>
      </x:c>
      <x:c r="E5471" s="18" t="n">
        <x:v>8.8</x:v>
      </x:c>
      <x:c r="F5471" s="18" t="n">
        <x:v>5</x:v>
      </x:c>
      <x:c r="G5471" t="n">
        <x:v>36</x:v>
      </x:c>
      <x:c r="H5471" t="str">
        <x:v>A</x:v>
      </x:c>
      <x:c r="I5471" t="str">
        <x:v>1-3 years</x:v>
      </x:c>
      <x:c r="J5471" t="str">
        <x:v>RENT</x:v>
      </x:c>
      <x:c r="K5471" t="str">
        <x:v>major_purchase</x:v>
      </x:c>
      <x:c r="L5471" t="n">
        <x:v>0</x:v>
      </x:c>
      <x:c r="M5471" t="n">
        <x:v>0</x:v>
      </x:c>
      <x:c r="N5471" t="str">
        <x:v>Fully Paid</x:v>
      </x:c>
      <x:c r="O5471" t="str">
        <x:f>IF(D5471="","Unknown",IF(D5471&lt;25000,"&lt;$25k",IF(D5471&lt;50000,"$25k-$50k",IF(D5471&lt;75000,"$50k-$75k",IF(D5471&lt;100000,"$75k-$100k","$100k+")))))</x:f>
        <x:v>$75k-$100k</x:v>
      </x:c>
      <x:c r="P5471" t="str">
        <x:f>IF(E5471="","Unknown",IF(E5471&lt;10,"&lt;10",IF(E5471&lt;20,"10-&lt;20",IF(E5471&lt;25,"20-&lt;25",IF(E5471&lt;35,"25-&lt;35","35+")))))</x:f>
        <x:v>&lt;10</x:v>
      </x:c>
    </x:row>
    <x:row r="5472">
      <x:c r="A5472" t="str">
        <x:v>SYN0005471</x:v>
      </x:c>
      <x:c r="B5472" s="12" t="n">
        <x:v>41725</x:v>
      </x:c>
      <x:c r="C5472" s="18" t="n">
        <x:v>9748</x:v>
      </x:c>
      <x:c r="D5472" s="18" t="n">
        <x:v>39442</x:v>
      </x:c>
      <x:c r="E5472" s="18" t="n">
        <x:v>34.85</x:v>
      </x:c>
      <x:c r="F5472" s="18" t="n">
        <x:v>19.41</x:v>
      </x:c>
      <x:c r="G5472" t="n">
        <x:v>36</x:v>
      </x:c>
      <x:c r="H5472" t="str">
        <x:v>E</x:v>
      </x:c>
      <x:c r="I5472" t="str">
        <x:v>7-9 years</x:v>
      </x:c>
      <x:c r="J5472" t="str">
        <x:v>MORTGAGE</x:v>
      </x:c>
      <x:c r="K5472" t="str">
        <x:v>debt_consolidation</x:v>
      </x:c>
      <x:c r="L5472" t="n">
        <x:v>0</x:v>
      </x:c>
      <x:c r="M5472" t="n">
        <x:v>0</x:v>
      </x:c>
      <x:c r="N5472" t="str">
        <x:v>Fully Paid</x:v>
      </x:c>
      <x:c r="O5472" t="str">
        <x:f>IF(D5472="","Unknown",IF(D5472&lt;25000,"&lt;$25k",IF(D5472&lt;50000,"$25k-$50k",IF(D5472&lt;75000,"$50k-$75k",IF(D5472&lt;100000,"$75k-$100k","$100k+")))))</x:f>
        <x:v>$25k-$50k</x:v>
      </x:c>
      <x:c r="P5472" t="str">
        <x:f>IF(E5472="","Unknown",IF(E5472&lt;10,"&lt;10",IF(E5472&lt;20,"10-&lt;20",IF(E5472&lt;25,"20-&lt;25",IF(E5472&lt;35,"25-&lt;35","35+")))))</x:f>
        <x:v>25-&lt;35</x:v>
      </x:c>
    </x:row>
    <x:row r="5473">
      <x:c r="A5473" t="str">
        <x:v>SYN0005472</x:v>
      </x:c>
      <x:c r="B5473" s="12" t="n">
        <x:v>42565</x:v>
      </x:c>
      <x:c r="C5473" s="18" t="n">
        <x:v>17274</x:v>
      </x:c>
      <x:c r="D5473" s="18" t="n">
        <x:v>31004</x:v>
      </x:c>
      <x:c r="E5473" s="18" t="n">
        <x:v>15</x:v>
      </x:c>
      <x:c r="F5473" s="18" t="n">
        <x:v>11.19</x:v>
      </x:c>
      <x:c r="G5473" t="n">
        <x:v>36</x:v>
      </x:c>
      <x:c r="H5473" t="str">
        <x:v>C</x:v>
      </x:c>
      <x:c r="I5473" t="str">
        <x:v>7-9 years</x:v>
      </x:c>
      <x:c r="J5473" t="str">
        <x:v>MORTGAGE</x:v>
      </x:c>
      <x:c r="K5473" t="str">
        <x:v>debt_consolidation</x:v>
      </x:c>
      <x:c r="L5473" t="n">
        <x:v>0</x:v>
      </x:c>
      <x:c r="M5473" t="n">
        <x:v>0</x:v>
      </x:c>
      <x:c r="N5473" t="str">
        <x:v>Fully Paid</x:v>
      </x:c>
      <x:c r="O5473" t="str">
        <x:f>IF(D5473="","Unknown",IF(D5473&lt;25000,"&lt;$25k",IF(D5473&lt;50000,"$25k-$50k",IF(D5473&lt;75000,"$50k-$75k",IF(D5473&lt;100000,"$75k-$100k","$100k+")))))</x:f>
        <x:v>$25k-$50k</x:v>
      </x:c>
      <x:c r="P5473" t="str">
        <x:f>IF(E5473="","Unknown",IF(E5473&lt;10,"&lt;10",IF(E5473&lt;20,"10-&lt;20",IF(E5473&lt;25,"20-&lt;25",IF(E5473&lt;35,"25-&lt;35","35+")))))</x:f>
        <x:v>10-&lt;20</x:v>
      </x:c>
    </x:row>
    <x:row r="5474">
      <x:c r="A5474" t="str">
        <x:v>SYN0005473</x:v>
      </x:c>
      <x:c r="B5474" s="12" t="n">
        <x:v>41665</x:v>
      </x:c>
      <x:c r="C5474" s="18" t="n">
        <x:v>21672</x:v>
      </x:c>
      <x:c r="D5474" s="18" t="n">
        <x:v>55276</x:v>
      </x:c>
      <x:c r="E5474" s="18" t="n">
        <x:v>13.34</x:v>
      </x:c>
      <x:c r="F5474" s="18" t="n">
        <x:v>9.81</x:v>
      </x:c>
      <x:c r="G5474" t="n">
        <x:v>60</x:v>
      </x:c>
      <x:c r="H5474" t="str">
        <x:v>B</x:v>
      </x:c>
      <x:c r="I5474" t="str">
        <x:v>4-6 years</x:v>
      </x:c>
      <x:c r="J5474" t="str">
        <x:v>OWN</x:v>
      </x:c>
      <x:c r="K5474" t="str">
        <x:v>home_improvement</x:v>
      </x:c>
      <x:c r="L5474" t="n">
        <x:v>0</x:v>
      </x:c>
      <x:c r="M5474" t="n">
        <x:v>0</x:v>
      </x:c>
      <x:c r="N5474" t="str">
        <x:v>Fully Paid</x:v>
      </x:c>
      <x:c r="O5474" t="str">
        <x:f>IF(D5474="","Unknown",IF(D5474&lt;25000,"&lt;$25k",IF(D5474&lt;50000,"$25k-$50k",IF(D5474&lt;75000,"$50k-$75k",IF(D5474&lt;100000,"$75k-$100k","$100k+")))))</x:f>
        <x:v>$50k-$75k</x:v>
      </x:c>
      <x:c r="P5474" t="str">
        <x:f>IF(E5474="","Unknown",IF(E5474&lt;10,"&lt;10",IF(E5474&lt;20,"10-&lt;20",IF(E5474&lt;25,"20-&lt;25",IF(E5474&lt;35,"25-&lt;35","35+")))))</x:f>
        <x:v>10-&lt;20</x:v>
      </x:c>
    </x:row>
    <x:row r="5475">
      <x:c r="A5475" t="str">
        <x:v>SYN0005474</x:v>
      </x:c>
      <x:c r="B5475" s="12" t="n">
        <x:v>43375</x:v>
      </x:c>
      <x:c r="C5475" s="18" t="n">
        <x:v>29090</x:v>
      </x:c>
      <x:c r="D5475" s="18" t="n">
        <x:v>70620</x:v>
      </x:c>
      <x:c r="E5475" s="18" t="n">
        <x:v>25.78</x:v>
      </x:c>
      <x:c r="F5475" s="18" t="n">
        <x:v>10.78</x:v>
      </x:c>
      <x:c r="G5475" t="n">
        <x:v>36</x:v>
      </x:c>
      <x:c r="H5475" t="str">
        <x:v>C</x:v>
      </x:c>
      <x:c r="I5475" t="str">
        <x:v>1-3 years</x:v>
      </x:c>
      <x:c r="J5475" t="str">
        <x:v>RENT</x:v>
      </x:c>
      <x:c r="K5475" t="str">
        <x:v>home_improvement</x:v>
      </x:c>
      <x:c r="L5475" t="n">
        <x:v>1</x:v>
      </x:c>
      <x:c r="M5475" t="n">
        <x:v>0</x:v>
      </x:c>
      <x:c r="N5475" t="str">
        <x:v>Fully Paid</x:v>
      </x:c>
      <x:c r="O5475" t="str">
        <x:f>IF(D5475="","Unknown",IF(D5475&lt;25000,"&lt;$25k",IF(D5475&lt;50000,"$25k-$50k",IF(D5475&lt;75000,"$50k-$75k",IF(D5475&lt;100000,"$75k-$100k","$100k+")))))</x:f>
        <x:v>$50k-$75k</x:v>
      </x:c>
      <x:c r="P5475" t="str">
        <x:f>IF(E5475="","Unknown",IF(E5475&lt;10,"&lt;10",IF(E5475&lt;20,"10-&lt;20",IF(E5475&lt;25,"20-&lt;25",IF(E5475&lt;35,"25-&lt;35","35+")))))</x:f>
        <x:v>25-&lt;35</x:v>
      </x:c>
    </x:row>
    <x:row r="5476">
      <x:c r="A5476" t="str">
        <x:v>SYN0005475</x:v>
      </x:c>
      <x:c r="B5476" s="12" t="n">
        <x:v>41545</x:v>
      </x:c>
      <x:c r="C5476" s="18" t="n">
        <x:v>29861</x:v>
      </x:c>
      <x:c r="D5476" s="18" t="n">
        <x:v>77365</x:v>
      </x:c>
      <x:c r="E5476" s="18" t="n">
        <x:v>8.04</x:v>
      </x:c>
      <x:c r="F5476" s="18" t="n">
        <x:v>10.52</x:v>
      </x:c>
      <x:c r="G5476" t="n">
        <x:v>36</x:v>
      </x:c>
      <x:c r="H5476" t="str">
        <x:v>B</x:v>
      </x:c>
      <x:c r="I5476" t="str">
        <x:v>7-9 years</x:v>
      </x:c>
      <x:c r="J5476" t="str">
        <x:v>RENT</x:v>
      </x:c>
      <x:c r="K5476" t="str">
        <x:v>debt_consolidation</x:v>
      </x:c>
      <x:c r="L5476" t="n">
        <x:v>0</x:v>
      </x:c>
      <x:c r="M5476" t="n">
        <x:v>0</x:v>
      </x:c>
      <x:c r="N5476" t="str">
        <x:v>Fully Paid</x:v>
      </x:c>
      <x:c r="O5476" t="str">
        <x:f>IF(D5476="","Unknown",IF(D5476&lt;25000,"&lt;$25k",IF(D5476&lt;50000,"$25k-$50k",IF(D5476&lt;75000,"$50k-$75k",IF(D5476&lt;100000,"$75k-$100k","$100k+")))))</x:f>
        <x:v>$75k-$100k</x:v>
      </x:c>
      <x:c r="P5476" t="str">
        <x:f>IF(E5476="","Unknown",IF(E5476&lt;10,"&lt;10",IF(E5476&lt;20,"10-&lt;20",IF(E5476&lt;25,"20-&lt;25",IF(E5476&lt;35,"25-&lt;35","35+")))))</x:f>
        <x:v>&lt;10</x:v>
      </x:c>
    </x:row>
    <x:row r="5477">
      <x:c r="A5477" t="str">
        <x:v>SYN0005476</x:v>
      </x:c>
      <x:c r="B5477" s="12" t="n">
        <x:v>42385</x:v>
      </x:c>
      <x:c r="C5477" s="18" t="n">
        <x:v>23687</x:v>
      </x:c>
      <x:c r="D5477" s="18" t="n">
        <x:v>128418</x:v>
      </x:c>
      <x:c r="E5477" s="18" t="n">
        <x:v>23.83</x:v>
      </x:c>
      <x:c r="F5477" s="18" t="n">
        <x:v>16.53</x:v>
      </x:c>
      <x:c r="G5477" t="n">
        <x:v>60</x:v>
      </x:c>
      <x:c r="H5477" t="str">
        <x:v>E</x:v>
      </x:c>
      <x:c r="I5477" t="str">
        <x:v>&lt;1 year</x:v>
      </x:c>
      <x:c r="J5477" t="str">
        <x:v>OWN</x:v>
      </x:c>
      <x:c r="K5477" t="str">
        <x:v>credit_card</x:v>
      </x:c>
      <x:c r="L5477" t="n">
        <x:v>1</x:v>
      </x:c>
      <x:c r="M5477" t="n">
        <x:v>1</x:v>
      </x:c>
      <x:c r="N5477" t="str">
        <x:v>Charged Off</x:v>
      </x:c>
      <x:c r="O5477" t="str">
        <x:f>IF(D5477="","Unknown",IF(D5477&lt;25000,"&lt;$25k",IF(D5477&lt;50000,"$25k-$50k",IF(D5477&lt;75000,"$50k-$75k",IF(D5477&lt;100000,"$75k-$100k","$100k+")))))</x:f>
        <x:v>$100k+</x:v>
      </x:c>
      <x:c r="P5477" t="str">
        <x:f>IF(E5477="","Unknown",IF(E5477&lt;10,"&lt;10",IF(E5477&lt;20,"10-&lt;20",IF(E5477&lt;25,"20-&lt;25",IF(E5477&lt;35,"25-&lt;35","35+")))))</x:f>
        <x:v>20-&lt;25</x:v>
      </x:c>
    </x:row>
    <x:row r="5478">
      <x:c r="A5478" t="str">
        <x:v>SYN0005477</x:v>
      </x:c>
      <x:c r="B5478" s="12" t="n">
        <x:v>42145</x:v>
      </x:c>
      <x:c r="C5478" s="18" t="n">
        <x:v>23968</x:v>
      </x:c>
      <x:c r="D5478" s="18" t="n">
        <x:v>187051</x:v>
      </x:c>
      <x:c r="E5478" s="18" t="n">
        <x:v>6.95</x:v>
      </x:c>
      <x:c r="F5478" s="18" t="n">
        <x:v>7.32</x:v>
      </x:c>
      <x:c r="G5478" t="n">
        <x:v>36</x:v>
      </x:c>
      <x:c r="H5478" t="str">
        <x:v>A</x:v>
      </x:c>
      <x:c r="I5478" t="str">
        <x:v>7-9 years</x:v>
      </x:c>
      <x:c r="J5478" t="str">
        <x:v>RENT</x:v>
      </x:c>
      <x:c r="K5478" t="str">
        <x:v>credit_card</x:v>
      </x:c>
      <x:c r="L5478" t="n">
        <x:v>1</x:v>
      </x:c>
      <x:c r="M5478" t="n">
        <x:v>0</x:v>
      </x:c>
      <x:c r="N5478" t="str">
        <x:v>Fully Paid</x:v>
      </x:c>
      <x:c r="O5478" t="str">
        <x:f>IF(D5478="","Unknown",IF(D5478&lt;25000,"&lt;$25k",IF(D5478&lt;50000,"$25k-$50k",IF(D5478&lt;75000,"$50k-$75k",IF(D5478&lt;100000,"$75k-$100k","$100k+")))))</x:f>
        <x:v>$100k+</x:v>
      </x:c>
      <x:c r="P5478" t="str">
        <x:f>IF(E5478="","Unknown",IF(E5478&lt;10,"&lt;10",IF(E5478&lt;20,"10-&lt;20",IF(E5478&lt;25,"20-&lt;25",IF(E5478&lt;35,"25-&lt;35","35+")))))</x:f>
        <x:v>&lt;10</x:v>
      </x:c>
    </x:row>
    <x:row r="5479">
      <x:c r="A5479" t="str">
        <x:v>SYN0005478</x:v>
      </x:c>
      <x:c r="B5479" s="12" t="n">
        <x:v>42325</x:v>
      </x:c>
      <x:c r="C5479" s="18" t="n">
        <x:v>36911</x:v>
      </x:c>
      <x:c r="D5479" s="18" t="n">
        <x:v>83269</x:v>
      </x:c>
      <x:c r="E5479" s="18" t="n">
        <x:v>20.97</x:v>
      </x:c>
      <x:c r="F5479" s="18" t="n">
        <x:v>11.94</x:v>
      </x:c>
      <x:c r="G5479" t="n">
        <x:v>36</x:v>
      </x:c>
      <x:c r="H5479" t="str">
        <x:v>C</x:v>
      </x:c>
      <x:c r="I5479" t="str">
        <x:v>4-6 years</x:v>
      </x:c>
      <x:c r="J5479" t="str">
        <x:v>OTHER</x:v>
      </x:c>
      <x:c r="K5479" t="str">
        <x:v>debt_consolidation</x:v>
      </x:c>
      <x:c r="L5479" t="n">
        <x:v>1</x:v>
      </x:c>
      <x:c r="M5479" t="n">
        <x:v>0</x:v>
      </x:c>
      <x:c r="N5479" t="str">
        <x:v>Fully Paid</x:v>
      </x:c>
      <x:c r="O5479" t="str">
        <x:f>IF(D5479="","Unknown",IF(D5479&lt;25000,"&lt;$25k",IF(D5479&lt;50000,"$25k-$50k",IF(D5479&lt;75000,"$50k-$75k",IF(D5479&lt;100000,"$75k-$100k","$100k+")))))</x:f>
        <x:v>$75k-$100k</x:v>
      </x:c>
      <x:c r="P5479" t="str">
        <x:f>IF(E5479="","Unknown",IF(E5479&lt;10,"&lt;10",IF(E5479&lt;20,"10-&lt;20",IF(E5479&lt;25,"20-&lt;25",IF(E5479&lt;35,"25-&lt;35","35+")))))</x:f>
        <x:v>20-&lt;25</x:v>
      </x:c>
    </x:row>
    <x:row r="5480">
      <x:c r="A5480" t="str">
        <x:v>SYN0005479</x:v>
      </x:c>
      <x:c r="B5480" s="12" t="n">
        <x:v>42565</x:v>
      </x:c>
      <x:c r="C5480" s="18" t="n">
        <x:v>11799</x:v>
      </x:c>
      <x:c r="D5480" s="18" t="n">
        <x:v>109493</x:v>
      </x:c>
      <x:c r="E5480" s="18" t="n">
        <x:v>9.2</x:v>
      </x:c>
      <x:c r="F5480" s="18" t="n">
        <x:v>18.89</x:v>
      </x:c>
      <x:c r="G5480" t="n">
        <x:v>36</x:v>
      </x:c>
      <x:c r="H5480" t="str">
        <x:v>E</x:v>
      </x:c>
      <x:c r="I5480" t="str">
        <x:v>1-3 years</x:v>
      </x:c>
      <x:c r="J5480" t="str">
        <x:v>MORTGAGE</x:v>
      </x:c>
      <x:c r="K5480" t="str">
        <x:v>debt_consolidation</x:v>
      </x:c>
      <x:c r="L5480" t="n">
        <x:v>2</x:v>
      </x:c>
      <x:c r="M5480" t="n">
        <x:v>0</x:v>
      </x:c>
      <x:c r="N5480" t="str">
        <x:v>Fully Paid</x:v>
      </x:c>
      <x:c r="O5480" t="str">
        <x:f>IF(D5480="","Unknown",IF(D5480&lt;25000,"&lt;$25k",IF(D5480&lt;50000,"$25k-$50k",IF(D5480&lt;75000,"$50k-$75k",IF(D5480&lt;100000,"$75k-$100k","$100k+")))))</x:f>
        <x:v>$100k+</x:v>
      </x:c>
      <x:c r="P5480" t="str">
        <x:f>IF(E5480="","Unknown",IF(E5480&lt;10,"&lt;10",IF(E5480&lt;20,"10-&lt;20",IF(E5480&lt;25,"20-&lt;25",IF(E5480&lt;35,"25-&lt;35","35+")))))</x:f>
        <x:v>&lt;10</x:v>
      </x:c>
    </x:row>
    <x:row r="5481">
      <x:c r="A5481" t="str">
        <x:v>SYN0005480</x:v>
      </x:c>
      <x:c r="B5481" s="12" t="n">
        <x:v>42865</x:v>
      </x:c>
      <x:c r="C5481" s="18" t="n">
        <x:v>11200</x:v>
      </x:c>
      <x:c r="D5481" s="18" t="n">
        <x:v>125204</x:v>
      </x:c>
      <x:c r="E5481" s="18" t="n">
        <x:v>21.72</x:v>
      </x:c>
      <x:c r="F5481" s="18" t="n">
        <x:v>13.44</x:v>
      </x:c>
      <x:c r="G5481" t="n">
        <x:v>36</x:v>
      </x:c>
      <x:c r="H5481" t="str">
        <x:v>D</x:v>
      </x:c>
      <x:c r="I5481" t="str">
        <x:v>10+ years</x:v>
      </x:c>
      <x:c r="J5481" t="str">
        <x:v>OWN</x:v>
      </x:c>
      <x:c r="K5481" t="str">
        <x:v>debt_consolidation</x:v>
      </x:c>
      <x:c r="L5481" t="n">
        <x:v>0</x:v>
      </x:c>
      <x:c r="M5481" t="n">
        <x:v>0</x:v>
      </x:c>
      <x:c r="N5481" t="str">
        <x:v>Fully Paid</x:v>
      </x:c>
      <x:c r="O5481" t="str">
        <x:f>IF(D5481="","Unknown",IF(D5481&lt;25000,"&lt;$25k",IF(D5481&lt;50000,"$25k-$50k",IF(D5481&lt;75000,"$50k-$75k",IF(D5481&lt;100000,"$75k-$100k","$100k+")))))</x:f>
        <x:v>$100k+</x:v>
      </x:c>
      <x:c r="P5481" t="str">
        <x:f>IF(E5481="","Unknown",IF(E5481&lt;10,"&lt;10",IF(E5481&lt;20,"10-&lt;20",IF(E5481&lt;25,"20-&lt;25",IF(E5481&lt;35,"25-&lt;35","35+")))))</x:f>
        <x:v>20-&lt;25</x:v>
      </x:c>
    </x:row>
    <x:row r="5482">
      <x:c r="A5482" t="str">
        <x:v>SYN0005481</x:v>
      </x:c>
      <x:c r="B5482" s="12" t="n">
        <x:v>41815</x:v>
      </x:c>
      <x:c r="C5482" s="18" t="n">
        <x:v>13316</x:v>
      </x:c>
      <x:c r="D5482" s="18" t="n">
        <x:v>98861</x:v>
      </x:c>
      <x:c r="E5482" s="18" t="n">
        <x:v>18.31</x:v>
      </x:c>
      <x:c r="F5482" s="18" t="n">
        <x:v>27.24</x:v>
      </x:c>
      <x:c r="G5482" t="n">
        <x:v>36</x:v>
      </x:c>
      <x:c r="H5482" t="str">
        <x:v>G</x:v>
      </x:c>
      <x:c r="I5482" t="str">
        <x:v>10+ years</x:v>
      </x:c>
      <x:c r="J5482" t="str">
        <x:v>OWN</x:v>
      </x:c>
      <x:c r="K5482" t="str">
        <x:v>other</x:v>
      </x:c>
      <x:c r="L5482" t="n">
        <x:v>0</x:v>
      </x:c>
      <x:c r="M5482" t="n">
        <x:v>1</x:v>
      </x:c>
      <x:c r="N5482" t="str">
        <x:v>Charged Off</x:v>
      </x:c>
      <x:c r="O5482" t="str">
        <x:f>IF(D5482="","Unknown",IF(D5482&lt;25000,"&lt;$25k",IF(D5482&lt;50000,"$25k-$50k",IF(D5482&lt;75000,"$50k-$75k",IF(D5482&lt;100000,"$75k-$100k","$100k+")))))</x:f>
        <x:v>$75k-$100k</x:v>
      </x:c>
      <x:c r="P5482" t="str">
        <x:f>IF(E5482="","Unknown",IF(E5482&lt;10,"&lt;10",IF(E5482&lt;20,"10-&lt;20",IF(E5482&lt;25,"20-&lt;25",IF(E5482&lt;35,"25-&lt;35","35+")))))</x:f>
        <x:v>10-&lt;20</x:v>
      </x:c>
    </x:row>
    <x:row r="5483">
      <x:c r="A5483" t="str">
        <x:v>SYN0005482</x:v>
      </x:c>
      <x:c r="B5483" s="12" t="n">
        <x:v>42145</x:v>
      </x:c>
      <x:c r="C5483" s="18" t="n">
        <x:v>15351</x:v>
      </x:c>
      <x:c r="D5483" s="18" t="n">
        <x:v>112714</x:v>
      </x:c>
      <x:c r="E5483" s="18" t="n">
        <x:v>4.66</x:v>
      </x:c>
      <x:c r="F5483" s="18" t="n">
        <x:v>11.29</x:v>
      </x:c>
      <x:c r="G5483" t="n">
        <x:v>36</x:v>
      </x:c>
      <x:c r="H5483" t="str">
        <x:v>B</x:v>
      </x:c>
      <x:c r="I5483" t="str">
        <x:v>1-3 years</x:v>
      </x:c>
      <x:c r="J5483" t="str">
        <x:v>OWN</x:v>
      </x:c>
      <x:c r="K5483" t="str">
        <x:v>major_purchase</x:v>
      </x:c>
      <x:c r="L5483" t="n">
        <x:v>1</x:v>
      </x:c>
      <x:c r="M5483" t="n">
        <x:v>0</x:v>
      </x:c>
      <x:c r="N5483" t="str">
        <x:v>Fully Paid</x:v>
      </x:c>
      <x:c r="O5483" t="str">
        <x:f>IF(D5483="","Unknown",IF(D5483&lt;25000,"&lt;$25k",IF(D5483&lt;50000,"$25k-$50k",IF(D5483&lt;75000,"$50k-$75k",IF(D5483&lt;100000,"$75k-$100k","$100k+")))))</x:f>
        <x:v>$100k+</x:v>
      </x:c>
      <x:c r="P5483" t="str">
        <x:f>IF(E5483="","Unknown",IF(E5483&lt;10,"&lt;10",IF(E5483&lt;20,"10-&lt;20",IF(E5483&lt;25,"20-&lt;25",IF(E5483&lt;35,"25-&lt;35","35+")))))</x:f>
        <x:v>&lt;10</x:v>
      </x:c>
    </x:row>
    <x:row r="5484">
      <x:c r="A5484" t="str">
        <x:v>SYN0005483</x:v>
      </x:c>
      <x:c r="B5484" s="12" t="n">
        <x:v>42025</x:v>
      </x:c>
      <x:c r="C5484" s="18" t="n">
        <x:v>19798</x:v>
      </x:c>
      <x:c r="D5484" s="18" t="n">
        <x:v>68049</x:v>
      </x:c>
      <x:c r="E5484" s="18" t="n">
        <x:v>5.84</x:v>
      </x:c>
      <x:c r="F5484" s="18" t="n">
        <x:v>9.76</x:v>
      </x:c>
      <x:c r="G5484" t="n">
        <x:v>36</x:v>
      </x:c>
      <x:c r="H5484" t="str">
        <x:v>C</x:v>
      </x:c>
      <x:c r="I5484" t="str">
        <x:v>7-9 years</x:v>
      </x:c>
      <x:c r="J5484" t="str">
        <x:v>MORTGAGE</x:v>
      </x:c>
      <x:c r="K5484" t="str">
        <x:v>debt_consolidation</x:v>
      </x:c>
      <x:c r="L5484" t="n">
        <x:v>0</x:v>
      </x:c>
      <x:c r="M5484" t="n">
        <x:v>0</x:v>
      </x:c>
      <x:c r="N5484" t="str">
        <x:v>Fully Paid</x:v>
      </x:c>
      <x:c r="O5484" t="str">
        <x:f>IF(D5484="","Unknown",IF(D5484&lt;25000,"&lt;$25k",IF(D5484&lt;50000,"$25k-$50k",IF(D5484&lt;75000,"$50k-$75k",IF(D5484&lt;100000,"$75k-$100k","$100k+")))))</x:f>
        <x:v>$50k-$75k</x:v>
      </x:c>
      <x:c r="P5484" t="str">
        <x:f>IF(E5484="","Unknown",IF(E5484&lt;10,"&lt;10",IF(E5484&lt;20,"10-&lt;20",IF(E5484&lt;25,"20-&lt;25",IF(E5484&lt;35,"25-&lt;35","35+")))))</x:f>
        <x:v>&lt;10</x:v>
      </x:c>
    </x:row>
    <x:row r="5485">
      <x:c r="A5485" t="str">
        <x:v>SYN0005484</x:v>
      </x:c>
      <x:c r="B5485" s="12" t="n">
        <x:v>42505</x:v>
      </x:c>
      <x:c r="C5485" s="18" t="n">
        <x:v>13489</x:v>
      </x:c>
      <x:c r="D5485" s="18" t="n">
        <x:v>84644</x:v>
      </x:c>
      <x:c r="E5485" s="18" t="n">
        <x:v>19.29</x:v>
      </x:c>
      <x:c r="F5485" s="18" t="n">
        <x:v>6.27</x:v>
      </x:c>
      <x:c r="G5485" t="n">
        <x:v>60</x:v>
      </x:c>
      <x:c r="H5485" t="str">
        <x:v>A</x:v>
      </x:c>
      <x:c r="I5485" t="str">
        <x:v>10+ years</x:v>
      </x:c>
      <x:c r="J5485" t="str">
        <x:v>RENT</x:v>
      </x:c>
      <x:c r="K5485" t="str">
        <x:v>other</x:v>
      </x:c>
      <x:c r="L5485" t="n">
        <x:v>0</x:v>
      </x:c>
      <x:c r="M5485" t="n">
        <x:v>0</x:v>
      </x:c>
      <x:c r="N5485" t="str">
        <x:v>Fully Paid</x:v>
      </x:c>
      <x:c r="O5485" t="str">
        <x:f>IF(D5485="","Unknown",IF(D5485&lt;25000,"&lt;$25k",IF(D5485&lt;50000,"$25k-$50k",IF(D5485&lt;75000,"$50k-$75k",IF(D5485&lt;100000,"$75k-$100k","$100k+")))))</x:f>
        <x:v>$75k-$100k</x:v>
      </x:c>
      <x:c r="P5485" t="str">
        <x:f>IF(E5485="","Unknown",IF(E5485&lt;10,"&lt;10",IF(E5485&lt;20,"10-&lt;20",IF(E5485&lt;25,"20-&lt;25",IF(E5485&lt;35,"25-&lt;35","35+")))))</x:f>
        <x:v>10-&lt;20</x:v>
      </x:c>
    </x:row>
    <x:row r="5486">
      <x:c r="A5486" t="str">
        <x:v>SYN0005485</x:v>
      </x:c>
      <x:c r="B5486" s="12" t="n">
        <x:v>41845</x:v>
      </x:c>
      <x:c r="C5486" s="18" t="n">
        <x:v>12057</x:v>
      </x:c>
      <x:c r="D5486" s="18" t="n">
        <x:v>36141</x:v>
      </x:c>
      <x:c r="E5486" s="18" t="n">
        <x:v>28.48</x:v>
      </x:c>
      <x:c r="F5486" s="18" t="n">
        <x:v>22.75</x:v>
      </x:c>
      <x:c r="G5486" t="n">
        <x:v>36</x:v>
      </x:c>
      <x:c r="H5486" t="str">
        <x:v>F</x:v>
      </x:c>
      <x:c r="I5486" t="str">
        <x:v>4-6 years</x:v>
      </x:c>
      <x:c r="J5486" t="str">
        <x:v>MORTGAGE</x:v>
      </x:c>
      <x:c r="K5486" t="str">
        <x:v>credit_card</x:v>
      </x:c>
      <x:c r="L5486" t="n">
        <x:v>0</x:v>
      </x:c>
      <x:c r="M5486" t="n">
        <x:v>0</x:v>
      </x:c>
      <x:c r="N5486" t="str">
        <x:v>Fully Paid</x:v>
      </x:c>
      <x:c r="O5486" t="str">
        <x:f>IF(D5486="","Unknown",IF(D5486&lt;25000,"&lt;$25k",IF(D5486&lt;50000,"$25k-$50k",IF(D5486&lt;75000,"$50k-$75k",IF(D5486&lt;100000,"$75k-$100k","$100k+")))))</x:f>
        <x:v>$25k-$50k</x:v>
      </x:c>
      <x:c r="P5486" t="str">
        <x:f>IF(E5486="","Unknown",IF(E5486&lt;10,"&lt;10",IF(E5486&lt;20,"10-&lt;20",IF(E5486&lt;25,"20-&lt;25",IF(E5486&lt;35,"25-&lt;35","35+")))))</x:f>
        <x:v>25-&lt;35</x:v>
      </x:c>
    </x:row>
    <x:row r="5487">
      <x:c r="A5487" t="str">
        <x:v>SYN0005486</x:v>
      </x:c>
      <x:c r="B5487" s="12" t="n">
        <x:v>41515</x:v>
      </x:c>
      <x:c r="C5487" s="18" t="n">
        <x:v>15674</x:v>
      </x:c>
      <x:c r="D5487" s="18" t="n">
        <x:v>72895</x:v>
      </x:c>
      <x:c r="E5487" s="18" t="n">
        <x:v>36.63</x:v>
      </x:c>
      <x:c r="F5487" s="18" t="n">
        <x:v>23.17</x:v>
      </x:c>
      <x:c r="G5487" t="n">
        <x:v>36</x:v>
      </x:c>
      <x:c r="H5487" t="str">
        <x:v>F</x:v>
      </x:c>
      <x:c r="I5487" t="str">
        <x:v>10+ years</x:v>
      </x:c>
      <x:c r="J5487" t="str">
        <x:v>MORTGAGE</x:v>
      </x:c>
      <x:c r="K5487" t="str">
        <x:v>credit_card</x:v>
      </x:c>
      <x:c r="L5487" t="n">
        <x:v>0</x:v>
      </x:c>
      <x:c r="M5487" t="n">
        <x:v>1</x:v>
      </x:c>
      <x:c r="N5487" t="str">
        <x:v>Charged Off</x:v>
      </x:c>
      <x:c r="O5487" t="str">
        <x:f>IF(D5487="","Unknown",IF(D5487&lt;25000,"&lt;$25k",IF(D5487&lt;50000,"$25k-$50k",IF(D5487&lt;75000,"$50k-$75k",IF(D5487&lt;100000,"$75k-$100k","$100k+")))))</x:f>
        <x:v>$50k-$75k</x:v>
      </x:c>
      <x:c r="P5487" t="str">
        <x:f>IF(E5487="","Unknown",IF(E5487&lt;10,"&lt;10",IF(E5487&lt;20,"10-&lt;20",IF(E5487&lt;25,"20-&lt;25",IF(E5487&lt;35,"25-&lt;35","35+")))))</x:f>
        <x:v>35+</x:v>
      </x:c>
    </x:row>
    <x:row r="5488">
      <x:c r="A5488" t="str">
        <x:v>SYN0005487</x:v>
      </x:c>
      <x:c r="B5488" s="12" t="n">
        <x:v>42775</x:v>
      </x:c>
      <x:c r="C5488" s="18" t="n">
        <x:v>8803</x:v>
      </x:c>
      <x:c r="D5488" s="18" t="n">
        <x:v>41873</x:v>
      </x:c>
      <x:c r="E5488" s="18" t="n">
        <x:v>13.13</x:v>
      </x:c>
      <x:c r="F5488" s="18" t="n">
        <x:v>5.09</x:v>
      </x:c>
      <x:c r="G5488" t="n">
        <x:v>60</x:v>
      </x:c>
      <x:c r="H5488" t="str">
        <x:v>B</x:v>
      </x:c>
      <x:c r="I5488" t="str">
        <x:v>1-3 years</x:v>
      </x:c>
      <x:c r="J5488" t="str">
        <x:v>MORTGAGE</x:v>
      </x:c>
      <x:c r="K5488" t="str">
        <x:v>debt_consolidation</x:v>
      </x:c>
      <x:c r="L5488" t="n">
        <x:v>0</x:v>
      </x:c>
      <x:c r="M5488" t="n">
        <x:v>0</x:v>
      </x:c>
      <x:c r="N5488" t="str">
        <x:v>Fully Paid</x:v>
      </x:c>
      <x:c r="O5488" t="str">
        <x:f>IF(D5488="","Unknown",IF(D5488&lt;25000,"&lt;$25k",IF(D5488&lt;50000,"$25k-$50k",IF(D5488&lt;75000,"$50k-$75k",IF(D5488&lt;100000,"$75k-$100k","$100k+")))))</x:f>
        <x:v>$25k-$50k</x:v>
      </x:c>
      <x:c r="P5488" t="str">
        <x:f>IF(E5488="","Unknown",IF(E5488&lt;10,"&lt;10",IF(E5488&lt;20,"10-&lt;20",IF(E5488&lt;25,"20-&lt;25",IF(E5488&lt;35,"25-&lt;35","35+")))))</x:f>
        <x:v>10-&lt;20</x:v>
      </x:c>
    </x:row>
    <x:row r="5489">
      <x:c r="A5489" t="str">
        <x:v>SYN0005488</x:v>
      </x:c>
      <x:c r="B5489" s="12" t="n">
        <x:v>43135</x:v>
      </x:c>
      <x:c r="C5489" s="18" t="n">
        <x:v>8243</x:v>
      </x:c>
      <x:c r="D5489" s="18" t="n">
        <x:v>107050</x:v>
      </x:c>
      <x:c r="E5489" s="18" t="n">
        <x:v>20.13</x:v>
      </x:c>
      <x:c r="F5489" s="18" t="n">
        <x:v>9.44</x:v>
      </x:c>
      <x:c r="G5489" t="n">
        <x:v>36</x:v>
      </x:c>
      <x:c r="H5489" t="str">
        <x:v>B</x:v>
      </x:c>
      <x:c r="I5489" t="str">
        <x:v>10+ years</x:v>
      </x:c>
      <x:c r="J5489" t="str">
        <x:v>RENT</x:v>
      </x:c>
      <x:c r="K5489" t="str">
        <x:v>credit_card</x:v>
      </x:c>
      <x:c r="L5489" t="n">
        <x:v>0</x:v>
      </x:c>
      <x:c r="M5489" t="n">
        <x:v>0</x:v>
      </x:c>
      <x:c r="N5489" t="str">
        <x:v>Fully Paid</x:v>
      </x:c>
      <x:c r="O5489" t="str">
        <x:f>IF(D5489="","Unknown",IF(D5489&lt;25000,"&lt;$25k",IF(D5489&lt;50000,"$25k-$50k",IF(D5489&lt;75000,"$50k-$75k",IF(D5489&lt;100000,"$75k-$100k","$100k+")))))</x:f>
        <x:v>$100k+</x:v>
      </x:c>
      <x:c r="P5489" t="str">
        <x:f>IF(E5489="","Unknown",IF(E5489&lt;10,"&lt;10",IF(E5489&lt;20,"10-&lt;20",IF(E5489&lt;25,"20-&lt;25",IF(E5489&lt;35,"25-&lt;35","35+")))))</x:f>
        <x:v>20-&lt;25</x:v>
      </x:c>
    </x:row>
    <x:row r="5490">
      <x:c r="A5490" t="str">
        <x:v>SYN0005489</x:v>
      </x:c>
      <x:c r="B5490" s="12" t="n">
        <x:v>41575</x:v>
      </x:c>
      <x:c r="C5490" s="18" t="n">
        <x:v>9932</x:v>
      </x:c>
      <x:c r="D5490" s="18" t="n">
        <x:v>82827</x:v>
      </x:c>
      <x:c r="E5490" s="18" t="n">
        <x:v>17.61</x:v>
      </x:c>
      <x:c r="F5490" s="18" t="n">
        <x:v>8.71</x:v>
      </x:c>
      <x:c r="G5490" t="n">
        <x:v>60</x:v>
      </x:c>
      <x:c r="H5490" t="str">
        <x:v>B</x:v>
      </x:c>
      <x:c r="I5490" t="str">
        <x:v>&lt;1 year</x:v>
      </x:c>
      <x:c r="J5490" t="str">
        <x:v>MORTGAGE</x:v>
      </x:c>
      <x:c r="K5490" t="str">
        <x:v>credit_card</x:v>
      </x:c>
      <x:c r="L5490" t="n">
        <x:v>1</x:v>
      </x:c>
      <x:c r="M5490" t="n">
        <x:v>0</x:v>
      </x:c>
      <x:c r="N5490" t="str">
        <x:v>Fully Paid</x:v>
      </x:c>
      <x:c r="O5490" t="str">
        <x:f>IF(D5490="","Unknown",IF(D5490&lt;25000,"&lt;$25k",IF(D5490&lt;50000,"$25k-$50k",IF(D5490&lt;75000,"$50k-$75k",IF(D5490&lt;100000,"$75k-$100k","$100k+")))))</x:f>
        <x:v>$75k-$100k</x:v>
      </x:c>
      <x:c r="P5490" t="str">
        <x:f>IF(E5490="","Unknown",IF(E5490&lt;10,"&lt;10",IF(E5490&lt;20,"10-&lt;20",IF(E5490&lt;25,"20-&lt;25",IF(E5490&lt;35,"25-&lt;35","35+")))))</x:f>
        <x:v>10-&lt;20</x:v>
      </x:c>
    </x:row>
    <x:row r="5491">
      <x:c r="A5491" t="str">
        <x:v>SYN0005490</x:v>
      </x:c>
      <x:c r="B5491" s="12" t="n">
        <x:v>41395</x:v>
      </x:c>
      <x:c r="C5491" s="18" t="n">
        <x:v>13494</x:v>
      </x:c>
      <x:c r="D5491" s="18" t="n">
        <x:v>36029</x:v>
      </x:c>
      <x:c r="E5491" s="18" t="n">
        <x:v>12.37</x:v>
      </x:c>
      <x:c r="F5491" s="18" t="n">
        <x:v>10.19</x:v>
      </x:c>
      <x:c r="G5491" t="n">
        <x:v>36</x:v>
      </x:c>
      <x:c r="H5491" t="str">
        <x:v>C</x:v>
      </x:c>
      <x:c r="I5491" t="str">
        <x:v>4-6 years</x:v>
      </x:c>
      <x:c r="J5491" t="str">
        <x:v>MORTGAGE</x:v>
      </x:c>
      <x:c r="K5491" t="str">
        <x:v>debt_consolidation</x:v>
      </x:c>
      <x:c r="L5491" t="n">
        <x:v>2</x:v>
      </x:c>
      <x:c r="M5491" t="n">
        <x:v>0</x:v>
      </x:c>
      <x:c r="N5491" t="str">
        <x:v>Fully Paid</x:v>
      </x:c>
      <x:c r="O5491" t="str">
        <x:f>IF(D5491="","Unknown",IF(D5491&lt;25000,"&lt;$25k",IF(D5491&lt;50000,"$25k-$50k",IF(D5491&lt;75000,"$50k-$75k",IF(D5491&lt;100000,"$75k-$100k","$100k+")))))</x:f>
        <x:v>$25k-$50k</x:v>
      </x:c>
      <x:c r="P5491" t="str">
        <x:f>IF(E5491="","Unknown",IF(E5491&lt;10,"&lt;10",IF(E5491&lt;20,"10-&lt;20",IF(E5491&lt;25,"20-&lt;25",IF(E5491&lt;35,"25-&lt;35","35+")))))</x:f>
        <x:v>10-&lt;20</x:v>
      </x:c>
    </x:row>
    <x:row r="5492">
      <x:c r="A5492" t="str">
        <x:v>SYN0005491</x:v>
      </x:c>
      <x:c r="B5492" s="12" t="n">
        <x:v>42175</x:v>
      </x:c>
      <x:c r="C5492" s="18" t="n">
        <x:v>10932</x:v>
      </x:c>
      <x:c r="D5492" s="18" t="n">
        <x:v>31230</x:v>
      </x:c>
      <x:c r="E5492" s="18" t="n">
        <x:v>2.09</x:v>
      </x:c>
      <x:c r="F5492" s="18" t="n">
        <x:v>5.06</x:v>
      </x:c>
      <x:c r="G5492" t="n">
        <x:v>36</x:v>
      </x:c>
      <x:c r="H5492" t="str">
        <x:v>B</x:v>
      </x:c>
      <x:c r="I5492" t="str">
        <x:v>10+ years</x:v>
      </x:c>
      <x:c r="J5492" t="str">
        <x:v>OWN</x:v>
      </x:c>
      <x:c r="K5492" t="str">
        <x:v>debt_consolidation</x:v>
      </x:c>
      <x:c r="L5492" t="n">
        <x:v>1</x:v>
      </x:c>
      <x:c r="M5492" t="n">
        <x:v>0</x:v>
      </x:c>
      <x:c r="N5492" t="str">
        <x:v>Fully Paid</x:v>
      </x:c>
      <x:c r="O5492" t="str">
        <x:f>IF(D5492="","Unknown",IF(D5492&lt;25000,"&lt;$25k",IF(D5492&lt;50000,"$25k-$50k",IF(D5492&lt;75000,"$50k-$75k",IF(D5492&lt;100000,"$75k-$100k","$100k+")))))</x:f>
        <x:v>$25k-$50k</x:v>
      </x:c>
      <x:c r="P5492" t="str">
        <x:f>IF(E5492="","Unknown",IF(E5492&lt;10,"&lt;10",IF(E5492&lt;20,"10-&lt;20",IF(E5492&lt;25,"20-&lt;25",IF(E5492&lt;35,"25-&lt;35","35+")))))</x:f>
        <x:v>&lt;10</x:v>
      </x:c>
    </x:row>
    <x:row r="5493">
      <x:c r="A5493" t="str">
        <x:v>SYN0005492</x:v>
      </x:c>
      <x:c r="B5493" s="12" t="n">
        <x:v>41395</x:v>
      </x:c>
      <x:c r="C5493" s="18" t="n">
        <x:v>9323</x:v>
      </x:c>
      <x:c r="D5493" s="18" t="n">
        <x:v>15920</x:v>
      </x:c>
      <x:c r="E5493" s="18" t="n">
        <x:v>28.43</x:v>
      </x:c>
      <x:c r="F5493" s="18" t="n">
        <x:v>10.66</x:v>
      </x:c>
      <x:c r="G5493" t="n">
        <x:v>36</x:v>
      </x:c>
      <x:c r="H5493" t="str">
        <x:v>C</x:v>
      </x:c>
      <x:c r="I5493" t="str">
        <x:v>4-6 years</x:v>
      </x:c>
      <x:c r="J5493" t="str">
        <x:v>MORTGAGE</x:v>
      </x:c>
      <x:c r="K5493" t="str">
        <x:v>credit_card</x:v>
      </x:c>
      <x:c r="L5493" t="n">
        <x:v>0</x:v>
      </x:c>
      <x:c r="M5493" t="n">
        <x:v>0</x:v>
      </x:c>
      <x:c r="N5493" t="str">
        <x:v>Fully Paid</x:v>
      </x:c>
      <x:c r="O5493" t="str">
        <x:f>IF(D5493="","Unknown",IF(D5493&lt;25000,"&lt;$25k",IF(D5493&lt;50000,"$25k-$50k",IF(D5493&lt;75000,"$50k-$75k",IF(D5493&lt;100000,"$75k-$100k","$100k+")))))</x:f>
        <x:v>&lt;$25k</x:v>
      </x:c>
      <x:c r="P5493" t="str">
        <x:f>IF(E5493="","Unknown",IF(E5493&lt;10,"&lt;10",IF(E5493&lt;20,"10-&lt;20",IF(E5493&lt;25,"20-&lt;25",IF(E5493&lt;35,"25-&lt;35","35+")))))</x:f>
        <x:v>25-&lt;35</x:v>
      </x:c>
    </x:row>
    <x:row r="5494">
      <x:c r="A5494" t="str">
        <x:v>SYN0005493</x:v>
      </x:c>
      <x:c r="B5494" s="12" t="n">
        <x:v>41635</x:v>
      </x:c>
      <x:c r="C5494" s="18" t="n">
        <x:v>17112</x:v>
      </x:c>
      <x:c r="D5494" s="18" t="n">
        <x:v>38691</x:v>
      </x:c>
      <x:c r="E5494" s="18" t="n">
        <x:v>25.61</x:v>
      </x:c>
      <x:c r="F5494" s="18" t="n">
        <x:v>16.53</x:v>
      </x:c>
      <x:c r="G5494" t="n">
        <x:v>36</x:v>
      </x:c>
      <x:c r="H5494" t="str">
        <x:v>D</x:v>
      </x:c>
      <x:c r="I5494" t="str">
        <x:v>10+ years</x:v>
      </x:c>
      <x:c r="J5494" t="str">
        <x:v>MORTGAGE</x:v>
      </x:c>
      <x:c r="K5494" t="str">
        <x:v>major_purchase</x:v>
      </x:c>
      <x:c r="L5494" t="n">
        <x:v>1</x:v>
      </x:c>
      <x:c r="M5494" t="n">
        <x:v>0</x:v>
      </x:c>
      <x:c r="N5494" t="str">
        <x:v>Fully Paid</x:v>
      </x:c>
      <x:c r="O5494" t="str">
        <x:f>IF(D5494="","Unknown",IF(D5494&lt;25000,"&lt;$25k",IF(D5494&lt;50000,"$25k-$50k",IF(D5494&lt;75000,"$50k-$75k",IF(D5494&lt;100000,"$75k-$100k","$100k+")))))</x:f>
        <x:v>$25k-$50k</x:v>
      </x:c>
      <x:c r="P5494" t="str">
        <x:f>IF(E5494="","Unknown",IF(E5494&lt;10,"&lt;10",IF(E5494&lt;20,"10-&lt;20",IF(E5494&lt;25,"20-&lt;25",IF(E5494&lt;35,"25-&lt;35","35+")))))</x:f>
        <x:v>25-&lt;35</x:v>
      </x:c>
    </x:row>
    <x:row r="5495">
      <x:c r="A5495" t="str">
        <x:v>SYN0005494</x:v>
      </x:c>
      <x:c r="B5495" s="12" t="n">
        <x:v>43165</x:v>
      </x:c>
      <x:c r="C5495" s="18" t="n">
        <x:v>12605</x:v>
      </x:c>
      <x:c r="D5495" s="18" t="n">
        <x:v>61535</x:v>
      </x:c>
      <x:c r="E5495" s="18" t="n">
        <x:v>20.58</x:v>
      </x:c>
      <x:c r="F5495" s="18" t="n">
        <x:v>9.88</x:v>
      </x:c>
      <x:c r="G5495" t="n">
        <x:v>60</x:v>
      </x:c>
      <x:c r="H5495" t="str">
        <x:v>B</x:v>
      </x:c>
      <x:c r="I5495" t="str">
        <x:v>4-6 years</x:v>
      </x:c>
      <x:c r="J5495" t="str">
        <x:v>RENT</x:v>
      </x:c>
      <x:c r="K5495" t="str">
        <x:v>debt_consolidation</x:v>
      </x:c>
      <x:c r="L5495" t="n">
        <x:v>0</x:v>
      </x:c>
      <x:c r="M5495" t="n">
        <x:v>0</x:v>
      </x:c>
      <x:c r="N5495" t="str">
        <x:v>Fully Paid</x:v>
      </x:c>
      <x:c r="O5495" t="str">
        <x:f>IF(D5495="","Unknown",IF(D5495&lt;25000,"&lt;$25k",IF(D5495&lt;50000,"$25k-$50k",IF(D5495&lt;75000,"$50k-$75k",IF(D5495&lt;100000,"$75k-$100k","$100k+")))))</x:f>
        <x:v>$50k-$75k</x:v>
      </x:c>
      <x:c r="P5495" t="str">
        <x:f>IF(E5495="","Unknown",IF(E5495&lt;10,"&lt;10",IF(E5495&lt;20,"10-&lt;20",IF(E5495&lt;25,"20-&lt;25",IF(E5495&lt;35,"25-&lt;35","35+")))))</x:f>
        <x:v>20-&lt;25</x:v>
      </x:c>
    </x:row>
    <x:row r="5496">
      <x:c r="A5496" t="str">
        <x:v>SYN0005495</x:v>
      </x:c>
      <x:c r="B5496" s="12" t="n">
        <x:v>42985</x:v>
      </x:c>
      <x:c r="C5496" s="18" t="n">
        <x:v>13104</x:v>
      </x:c>
      <x:c r="D5496" s="18" t="n">
        <x:v>103174</x:v>
      </x:c>
      <x:c r="E5496" s="18" t="n">
        <x:v>31.89</x:v>
      </x:c>
      <x:c r="F5496" s="18" t="n">
        <x:v>11.36</x:v>
      </x:c>
      <x:c r="G5496" t="n">
        <x:v>60</x:v>
      </x:c>
      <x:c r="H5496" t="str">
        <x:v>C</x:v>
      </x:c>
      <x:c r="I5496" t="str">
        <x:v>&lt;1 year</x:v>
      </x:c>
      <x:c r="J5496" t="str">
        <x:v>MORTGAGE</x:v>
      </x:c>
      <x:c r="K5496" t="str">
        <x:v>credit_card</x:v>
      </x:c>
      <x:c r="L5496" t="n">
        <x:v>0</x:v>
      </x:c>
      <x:c r="M5496" t="n">
        <x:v>0</x:v>
      </x:c>
      <x:c r="N5496" t="str">
        <x:v>Fully Paid</x:v>
      </x:c>
      <x:c r="O5496" t="str">
        <x:f>IF(D5496="","Unknown",IF(D5496&lt;25000,"&lt;$25k",IF(D5496&lt;50000,"$25k-$50k",IF(D5496&lt;75000,"$50k-$75k",IF(D5496&lt;100000,"$75k-$100k","$100k+")))))</x:f>
        <x:v>$100k+</x:v>
      </x:c>
      <x:c r="P5496" t="str">
        <x:f>IF(E5496="","Unknown",IF(E5496&lt;10,"&lt;10",IF(E5496&lt;20,"10-&lt;20",IF(E5496&lt;25,"20-&lt;25",IF(E5496&lt;35,"25-&lt;35","35+")))))</x:f>
        <x:v>25-&lt;35</x:v>
      </x:c>
    </x:row>
    <x:row r="5497">
      <x:c r="A5497" t="str">
        <x:v>SYN0005496</x:v>
      </x:c>
      <x:c r="B5497" s="12" t="n">
        <x:v>42715</x:v>
      </x:c>
      <x:c r="C5497" s="18" t="n">
        <x:v>9791</x:v>
      </x:c>
      <x:c r="D5497" s="18" t="n">
        <x:v>36061</x:v>
      </x:c>
      <x:c r="E5497" s="18" t="n">
        <x:v>17.99</x:v>
      </x:c>
      <x:c r="F5497" s="18" t="n">
        <x:v>19.03</x:v>
      </x:c>
      <x:c r="G5497" t="n">
        <x:v>36</x:v>
      </x:c>
      <x:c r="H5497" t="str">
        <x:v>E</x:v>
      </x:c>
      <x:c r="I5497" t="str">
        <x:v>4-6 years</x:v>
      </x:c>
      <x:c r="J5497" t="str">
        <x:v>RENT</x:v>
      </x:c>
      <x:c r="K5497" t="str">
        <x:v>credit_card</x:v>
      </x:c>
      <x:c r="L5497" t="n">
        <x:v>0</x:v>
      </x:c>
      <x:c r="M5497" t="n">
        <x:v>1</x:v>
      </x:c>
      <x:c r="N5497" t="str">
        <x:v>Charged Off</x:v>
      </x:c>
      <x:c r="O5497" t="str">
        <x:f>IF(D5497="","Unknown",IF(D5497&lt;25000,"&lt;$25k",IF(D5497&lt;50000,"$25k-$50k",IF(D5497&lt;75000,"$50k-$75k",IF(D5497&lt;100000,"$75k-$100k","$100k+")))))</x:f>
        <x:v>$25k-$50k</x:v>
      </x:c>
      <x:c r="P5497" t="str">
        <x:f>IF(E5497="","Unknown",IF(E5497&lt;10,"&lt;10",IF(E5497&lt;20,"10-&lt;20",IF(E5497&lt;25,"20-&lt;25",IF(E5497&lt;35,"25-&lt;35","35+")))))</x:f>
        <x:v>10-&lt;20</x:v>
      </x:c>
    </x:row>
    <x:row r="5498">
      <x:c r="A5498" t="str">
        <x:v>SYN0005497</x:v>
      </x:c>
      <x:c r="B5498" s="12" t="n">
        <x:v>42895</x:v>
      </x:c>
      <x:c r="C5498" s="18" t="n">
        <x:v>15844</x:v>
      </x:c>
      <x:c r="D5498" s="18" t="n">
        <x:v>65298</x:v>
      </x:c>
      <x:c r="E5498" s="18" t="n">
        <x:v>19.4</x:v>
      </x:c>
      <x:c r="F5498" s="18" t="n">
        <x:v>13.86</x:v>
      </x:c>
      <x:c r="G5498" t="n">
        <x:v>36</x:v>
      </x:c>
      <x:c r="H5498" t="str">
        <x:v>C</x:v>
      </x:c>
      <x:c r="I5498" t="str">
        <x:v>10+ years</x:v>
      </x:c>
      <x:c r="J5498" t="str">
        <x:v>RENT</x:v>
      </x:c>
      <x:c r="K5498" t="str">
        <x:v>home_improvement</x:v>
      </x:c>
      <x:c r="L5498" t="n">
        <x:v>1</x:v>
      </x:c>
      <x:c r="M5498" t="n">
        <x:v>0</x:v>
      </x:c>
      <x:c r="N5498" t="str">
        <x:v>Fully Paid</x:v>
      </x:c>
      <x:c r="O5498" t="str">
        <x:f>IF(D5498="","Unknown",IF(D5498&lt;25000,"&lt;$25k",IF(D5498&lt;50000,"$25k-$50k",IF(D5498&lt;75000,"$50k-$75k",IF(D5498&lt;100000,"$75k-$100k","$100k+")))))</x:f>
        <x:v>$50k-$75k</x:v>
      </x:c>
      <x:c r="P5498" t="str">
        <x:f>IF(E5498="","Unknown",IF(E5498&lt;10,"&lt;10",IF(E5498&lt;20,"10-&lt;20",IF(E5498&lt;25,"20-&lt;25",IF(E5498&lt;35,"25-&lt;35","35+")))))</x:f>
        <x:v>10-&lt;20</x:v>
      </x:c>
    </x:row>
    <x:row r="5499">
      <x:c r="A5499" t="str">
        <x:v>SYN0005498</x:v>
      </x:c>
      <x:c r="B5499" s="12" t="n">
        <x:v>41485</x:v>
      </x:c>
      <x:c r="C5499" s="18" t="n">
        <x:v>7433</x:v>
      </x:c>
      <x:c r="D5499" s="18" t="n">
        <x:v>65194</x:v>
      </x:c>
      <x:c r="E5499" s="18" t="n">
        <x:v>18.2</x:v>
      </x:c>
      <x:c r="F5499" s="18" t="n">
        <x:v>8.05</x:v>
      </x:c>
      <x:c r="G5499" t="n">
        <x:v>36</x:v>
      </x:c>
      <x:c r="H5499" t="str">
        <x:v>B</x:v>
      </x:c>
      <x:c r="I5499" t="str">
        <x:v>&lt;1 year</x:v>
      </x:c>
      <x:c r="J5499" t="str">
        <x:v>MORTGAGE</x:v>
      </x:c>
      <x:c r="K5499" t="str">
        <x:v>other</x:v>
      </x:c>
      <x:c r="L5499" t="n">
        <x:v>0</x:v>
      </x:c>
      <x:c r="M5499" t="n">
        <x:v>0</x:v>
      </x:c>
      <x:c r="N5499" t="str">
        <x:v>Fully Paid</x:v>
      </x:c>
      <x:c r="O5499" t="str">
        <x:f>IF(D5499="","Unknown",IF(D5499&lt;25000,"&lt;$25k",IF(D5499&lt;50000,"$25k-$50k",IF(D5499&lt;75000,"$50k-$75k",IF(D5499&lt;100000,"$75k-$100k","$100k+")))))</x:f>
        <x:v>$50k-$75k</x:v>
      </x:c>
      <x:c r="P5499" t="str">
        <x:f>IF(E5499="","Unknown",IF(E5499&lt;10,"&lt;10",IF(E5499&lt;20,"10-&lt;20",IF(E5499&lt;25,"20-&lt;25",IF(E5499&lt;35,"25-&lt;35","35+")))))</x:f>
        <x:v>10-&lt;20</x:v>
      </x:c>
    </x:row>
    <x:row r="5500">
      <x:c r="A5500" t="str">
        <x:v>SYN0005499</x:v>
      </x:c>
      <x:c r="B5500" s="12" t="n">
        <x:v>42805</x:v>
      </x:c>
      <x:c r="C5500" s="18" t="n">
        <x:v>5279</x:v>
      </x:c>
      <x:c r="D5500" s="18" t="n">
        <x:v>53559</x:v>
      </x:c>
      <x:c r="E5500" s="18" t="n">
        <x:v>29.14</x:v>
      </x:c>
      <x:c r="F5500" s="18" t="n">
        <x:v>13.85</x:v>
      </x:c>
      <x:c r="G5500" t="n">
        <x:v>36</x:v>
      </x:c>
      <x:c r="H5500" t="str">
        <x:v>D</x:v>
      </x:c>
      <x:c r="I5500" t="str">
        <x:v>10+ years</x:v>
      </x:c>
      <x:c r="J5500" t="str">
        <x:v>RENT</x:v>
      </x:c>
      <x:c r="K5500" t="str">
        <x:v>debt_consolidation</x:v>
      </x:c>
      <x:c r="L5500" t="n">
        <x:v>2</x:v>
      </x:c>
      <x:c r="M5500" t="n">
        <x:v>0</x:v>
      </x:c>
      <x:c r="N5500" t="str">
        <x:v>Fully Paid</x:v>
      </x:c>
      <x:c r="O5500" t="str">
        <x:f>IF(D5500="","Unknown",IF(D5500&lt;25000,"&lt;$25k",IF(D5500&lt;50000,"$25k-$50k",IF(D5500&lt;75000,"$50k-$75k",IF(D5500&lt;100000,"$75k-$100k","$100k+")))))</x:f>
        <x:v>$50k-$75k</x:v>
      </x:c>
      <x:c r="P5500" t="str">
        <x:f>IF(E5500="","Unknown",IF(E5500&lt;10,"&lt;10",IF(E5500&lt;20,"10-&lt;20",IF(E5500&lt;25,"20-&lt;25",IF(E5500&lt;35,"25-&lt;35","35+")))))</x:f>
        <x:v>25-&lt;35</x:v>
      </x:c>
    </x:row>
    <x:row r="5501">
      <x:c r="A5501" t="str">
        <x:v>SYN0005500</x:v>
      </x:c>
      <x:c r="B5501" s="12" t="n">
        <x:v>42835</x:v>
      </x:c>
      <x:c r="C5501" s="18" t="n">
        <x:v>24926</x:v>
      </x:c>
      <x:c r="D5501" s="18" t="n">
        <x:v>30228</x:v>
      </x:c>
      <x:c r="E5501" s="18" t="n">
        <x:v>20.82</x:v>
      </x:c>
      <x:c r="F5501" s="18" t="n">
        <x:v>20.5</x:v>
      </x:c>
      <x:c r="G5501" t="n">
        <x:v>36</x:v>
      </x:c>
      <x:c r="H5501" t="str">
        <x:v>E</x:v>
      </x:c>
      <x:c r="I5501" t="str">
        <x:v>1-3 years</x:v>
      </x:c>
      <x:c r="J5501" t="str">
        <x:v>MORTGAGE</x:v>
      </x:c>
      <x:c r="K5501" t="str">
        <x:v>debt_consolidation</x:v>
      </x:c>
      <x:c r="L5501" t="n">
        <x:v>1</x:v>
      </x:c>
      <x:c r="M5501" t="n">
        <x:v>1</x:v>
      </x:c>
      <x:c r="N5501" t="str">
        <x:v>Charged Off</x:v>
      </x:c>
      <x:c r="O5501" t="str">
        <x:f>IF(D5501="","Unknown",IF(D5501&lt;25000,"&lt;$25k",IF(D5501&lt;50000,"$25k-$50k",IF(D5501&lt;75000,"$50k-$75k",IF(D5501&lt;100000,"$75k-$100k","$100k+")))))</x:f>
        <x:v>$25k-$50k</x:v>
      </x:c>
      <x:c r="P5501" t="str">
        <x:f>IF(E5501="","Unknown",IF(E5501&lt;10,"&lt;10",IF(E5501&lt;20,"10-&lt;20",IF(E5501&lt;25,"20-&lt;25",IF(E5501&lt;35,"25-&lt;35","35+")))))</x:f>
        <x:v>20-&lt;25</x:v>
      </x:c>
    </x:row>
    <x:row r="5502">
      <x:c r="A5502" t="str">
        <x:v>SYN0005501</x:v>
      </x:c>
      <x:c r="B5502" s="12" t="n">
        <x:v>42265</x:v>
      </x:c>
      <x:c r="C5502" s="18" t="n">
        <x:v>4884</x:v>
      </x:c>
      <x:c r="D5502" s="18" t="n">
        <x:v>42128</x:v>
      </x:c>
      <x:c r="E5502" s="18" t="n">
        <x:v>22.07</x:v>
      </x:c>
      <x:c r="F5502" s="18" t="n">
        <x:v>17.11</x:v>
      </x:c>
      <x:c r="G5502" t="n">
        <x:v>36</x:v>
      </x:c>
      <x:c r="H5502" t="str">
        <x:v>E</x:v>
      </x:c>
      <x:c r="I5502" t="str">
        <x:v>4-6 years</x:v>
      </x:c>
      <x:c r="J5502" t="str">
        <x:v>RENT</x:v>
      </x:c>
      <x:c r="K5502" t="str">
        <x:v>debt_consolidation</x:v>
      </x:c>
      <x:c r="L5502" t="n">
        <x:v>1</x:v>
      </x:c>
      <x:c r="M5502" t="n">
        <x:v>0</x:v>
      </x:c>
      <x:c r="N5502" t="str">
        <x:v>Fully Paid</x:v>
      </x:c>
      <x:c r="O5502" t="str">
        <x:f>IF(D5502="","Unknown",IF(D5502&lt;25000,"&lt;$25k",IF(D5502&lt;50000,"$25k-$50k",IF(D5502&lt;75000,"$50k-$75k",IF(D5502&lt;100000,"$75k-$100k","$100k+")))))</x:f>
        <x:v>$25k-$50k</x:v>
      </x:c>
      <x:c r="P5502" t="str">
        <x:f>IF(E5502="","Unknown",IF(E5502&lt;10,"&lt;10",IF(E5502&lt;20,"10-&lt;20",IF(E5502&lt;25,"20-&lt;25",IF(E5502&lt;35,"25-&lt;35","35+")))))</x:f>
        <x:v>20-&lt;25</x:v>
      </x:c>
    </x:row>
    <x:row r="5503">
      <x:c r="A5503" t="str">
        <x:v>SYN0005502</x:v>
      </x:c>
      <x:c r="B5503" s="12" t="n">
        <x:v>42325</x:v>
      </x:c>
      <x:c r="C5503" s="18" t="n">
        <x:v>18483</x:v>
      </x:c>
      <x:c r="D5503" s="18" t="n">
        <x:v>64400</x:v>
      </x:c>
      <x:c r="E5503" s="18" t="n">
        <x:v>23.77</x:v>
      </x:c>
      <x:c r="F5503" s="18" t="n">
        <x:v>16.05</x:v>
      </x:c>
      <x:c r="G5503" t="n">
        <x:v>60</x:v>
      </x:c>
      <x:c r="H5503" t="str">
        <x:v>D</x:v>
      </x:c>
      <x:c r="I5503" t="str">
        <x:v>10+ years</x:v>
      </x:c>
      <x:c r="J5503" t="str">
        <x:v>RENT</x:v>
      </x:c>
      <x:c r="K5503" t="str">
        <x:v>debt_consolidation</x:v>
      </x:c>
      <x:c r="L5503" t="n">
        <x:v>1</x:v>
      </x:c>
      <x:c r="M5503" t="n">
        <x:v>0</x:v>
      </x:c>
      <x:c r="N5503" t="str">
        <x:v>Fully Paid</x:v>
      </x:c>
      <x:c r="O5503" t="str">
        <x:f>IF(D5503="","Unknown",IF(D5503&lt;25000,"&lt;$25k",IF(D5503&lt;50000,"$25k-$50k",IF(D5503&lt;75000,"$50k-$75k",IF(D5503&lt;100000,"$75k-$100k","$100k+")))))</x:f>
        <x:v>$50k-$75k</x:v>
      </x:c>
      <x:c r="P5503" t="str">
        <x:f>IF(E5503="","Unknown",IF(E5503&lt;10,"&lt;10",IF(E5503&lt;20,"10-&lt;20",IF(E5503&lt;25,"20-&lt;25",IF(E5503&lt;35,"25-&lt;35","35+")))))</x:f>
        <x:v>20-&lt;25</x:v>
      </x:c>
    </x:row>
    <x:row r="5504">
      <x:c r="A5504" t="str">
        <x:v>SYN0005503</x:v>
      </x:c>
      <x:c r="B5504" s="12" t="n">
        <x:v>42055</x:v>
      </x:c>
      <x:c r="C5504" s="18" t="n">
        <x:v>10972</x:v>
      </x:c>
      <x:c r="D5504" s="18" t="n">
        <x:v>25192</x:v>
      </x:c>
      <x:c r="E5504" s="18" t="n">
        <x:v>16.83</x:v>
      </x:c>
      <x:c r="F5504" s="18" t="n">
        <x:v>5</x:v>
      </x:c>
      <x:c r="G5504" t="n">
        <x:v>36</x:v>
      </x:c>
      <x:c r="H5504" t="str">
        <x:v>A</x:v>
      </x:c>
      <x:c r="I5504" t="str">
        <x:v>&lt;1 year</x:v>
      </x:c>
      <x:c r="J5504" t="str">
        <x:v>RENT</x:v>
      </x:c>
      <x:c r="K5504" t="str">
        <x:v>other</x:v>
      </x:c>
      <x:c r="L5504" t="n">
        <x:v>1</x:v>
      </x:c>
      <x:c r="M5504" t="n">
        <x:v>0</x:v>
      </x:c>
      <x:c r="N5504" t="str">
        <x:v>Fully Paid</x:v>
      </x:c>
      <x:c r="O5504" t="str">
        <x:f>IF(D5504="","Unknown",IF(D5504&lt;25000,"&lt;$25k",IF(D5504&lt;50000,"$25k-$50k",IF(D5504&lt;75000,"$50k-$75k",IF(D5504&lt;100000,"$75k-$100k","$100k+")))))</x:f>
        <x:v>$25k-$50k</x:v>
      </x:c>
      <x:c r="P5504" t="str">
        <x:f>IF(E5504="","Unknown",IF(E5504&lt;10,"&lt;10",IF(E5504&lt;20,"10-&lt;20",IF(E5504&lt;25,"20-&lt;25",IF(E5504&lt;35,"25-&lt;35","35+")))))</x:f>
        <x:v>10-&lt;20</x:v>
      </x:c>
    </x:row>
    <x:row r="5505">
      <x:c r="A5505" t="str">
        <x:v>SYN0005504</x:v>
      </x:c>
      <x:c r="B5505" s="12" t="n">
        <x:v>42175</x:v>
      </x:c>
      <x:c r="C5505" s="18" t="n">
        <x:v>5952</x:v>
      </x:c>
      <x:c r="D5505" s="18" t="n">
        <x:v>38452</x:v>
      </x:c>
      <x:c r="E5505" s="18" t="n">
        <x:v>10.51</x:v>
      </x:c>
      <x:c r="F5505" s="18" t="n">
        <x:v>14.48</x:v>
      </x:c>
      <x:c r="G5505" t="n">
        <x:v>36</x:v>
      </x:c>
      <x:c r="H5505" t="str">
        <x:v>E</x:v>
      </x:c>
      <x:c r="I5505" t="str">
        <x:v>&lt;1 year</x:v>
      </x:c>
      <x:c r="J5505" t="str">
        <x:v>RENT</x:v>
      </x:c>
      <x:c r="K5505" t="str">
        <x:v>debt_consolidation</x:v>
      </x:c>
      <x:c r="L5505" t="n">
        <x:v>0</x:v>
      </x:c>
      <x:c r="M5505" t="n">
        <x:v>0</x:v>
      </x:c>
      <x:c r="N5505" t="str">
        <x:v>Fully Paid</x:v>
      </x:c>
      <x:c r="O5505" t="str">
        <x:f>IF(D5505="","Unknown",IF(D5505&lt;25000,"&lt;$25k",IF(D5505&lt;50000,"$25k-$50k",IF(D5505&lt;75000,"$50k-$75k",IF(D5505&lt;100000,"$75k-$100k","$100k+")))))</x:f>
        <x:v>$25k-$50k</x:v>
      </x:c>
      <x:c r="P5505" t="str">
        <x:f>IF(E5505="","Unknown",IF(E5505&lt;10,"&lt;10",IF(E5505&lt;20,"10-&lt;20",IF(E5505&lt;25,"20-&lt;25",IF(E5505&lt;35,"25-&lt;35","35+")))))</x:f>
        <x:v>10-&lt;20</x:v>
      </x:c>
    </x:row>
    <x:row r="5506">
      <x:c r="A5506" t="str">
        <x:v>SYN0005505</x:v>
      </x:c>
      <x:c r="B5506" s="12" t="n">
        <x:v>41335</x:v>
      </x:c>
      <x:c r="C5506" s="18" t="n">
        <x:v>11823</x:v>
      </x:c>
      <x:c r="D5506" s="18" t="n">
        <x:v>85351</x:v>
      </x:c>
      <x:c r="E5506" s="18" t="n">
        <x:v>19.56</x:v>
      </x:c>
      <x:c r="F5506" s="18" t="n">
        <x:v>9.78</x:v>
      </x:c>
      <x:c r="G5506" t="n">
        <x:v>60</x:v>
      </x:c>
      <x:c r="H5506" t="str">
        <x:v>C</x:v>
      </x:c>
      <x:c r="I5506" t="str">
        <x:v>1-3 years</x:v>
      </x:c>
      <x:c r="J5506" t="str">
        <x:v>MORTGAGE</x:v>
      </x:c>
      <x:c r="K5506" t="str">
        <x:v>credit_card</x:v>
      </x:c>
      <x:c r="L5506" t="n">
        <x:v>0</x:v>
      </x:c>
      <x:c r="M5506" t="n">
        <x:v>0</x:v>
      </x:c>
      <x:c r="N5506" t="str">
        <x:v>Fully Paid</x:v>
      </x:c>
      <x:c r="O5506" t="str">
        <x:f>IF(D5506="","Unknown",IF(D5506&lt;25000,"&lt;$25k",IF(D5506&lt;50000,"$25k-$50k",IF(D5506&lt;75000,"$50k-$75k",IF(D5506&lt;100000,"$75k-$100k","$100k+")))))</x:f>
        <x:v>$75k-$100k</x:v>
      </x:c>
      <x:c r="P5506" t="str">
        <x:f>IF(E5506="","Unknown",IF(E5506&lt;10,"&lt;10",IF(E5506&lt;20,"10-&lt;20",IF(E5506&lt;25,"20-&lt;25",IF(E5506&lt;35,"25-&lt;35","35+")))))</x:f>
        <x:v>10-&lt;20</x:v>
      </x:c>
    </x:row>
    <x:row r="5507">
      <x:c r="A5507" t="str">
        <x:v>SYN0005506</x:v>
      </x:c>
      <x:c r="B5507" s="12" t="n">
        <x:v>41455</x:v>
      </x:c>
      <x:c r="C5507" s="18" t="n">
        <x:v>7890</x:v>
      </x:c>
      <x:c r="D5507" s="18" t="n">
        <x:v>32054</x:v>
      </x:c>
      <x:c r="E5507" s="18" t="n">
        <x:v>12.04</x:v>
      </x:c>
      <x:c r="F5507" s="18" t="n">
        <x:v>5.65</x:v>
      </x:c>
      <x:c r="G5507" t="n">
        <x:v>36</x:v>
      </x:c>
      <x:c r="H5507" t="str">
        <x:v>A</x:v>
      </x:c>
      <x:c r="I5507" t="str">
        <x:v>1-3 years</x:v>
      </x:c>
      <x:c r="J5507" t="str">
        <x:v>RENT</x:v>
      </x:c>
      <x:c r="K5507" t="str">
        <x:v>debt_consolidation</x:v>
      </x:c>
      <x:c r="L5507" t="n">
        <x:v>2</x:v>
      </x:c>
      <x:c r="M5507" t="n">
        <x:v>0</x:v>
      </x:c>
      <x:c r="N5507" t="str">
        <x:v>Fully Paid</x:v>
      </x:c>
      <x:c r="O5507" t="str">
        <x:f>IF(D5507="","Unknown",IF(D5507&lt;25000,"&lt;$25k",IF(D5507&lt;50000,"$25k-$50k",IF(D5507&lt;75000,"$50k-$75k",IF(D5507&lt;100000,"$75k-$100k","$100k+")))))</x:f>
        <x:v>$25k-$50k</x:v>
      </x:c>
      <x:c r="P5507" t="str">
        <x:f>IF(E5507="","Unknown",IF(E5507&lt;10,"&lt;10",IF(E5507&lt;20,"10-&lt;20",IF(E5507&lt;25,"20-&lt;25",IF(E5507&lt;35,"25-&lt;35","35+")))))</x:f>
        <x:v>10-&lt;20</x:v>
      </x:c>
    </x:row>
    <x:row r="5508">
      <x:c r="A5508" t="str">
        <x:v>SYN0005507</x:v>
      </x:c>
      <x:c r="B5508" s="12" t="n">
        <x:v>42595</x:v>
      </x:c>
      <x:c r="C5508" s="18" t="n">
        <x:v>25807</x:v>
      </x:c>
      <x:c r="D5508" s="18" t="n">
        <x:v>41061</x:v>
      </x:c>
      <x:c r="E5508" s="18" t="n">
        <x:v>17.35</x:v>
      </x:c>
      <x:c r="F5508" s="18" t="n">
        <x:v>9.97</x:v>
      </x:c>
      <x:c r="G5508" t="n">
        <x:v>36</x:v>
      </x:c>
      <x:c r="H5508" t="str">
        <x:v>B</x:v>
      </x:c>
      <x:c r="I5508" t="str">
        <x:v>4-6 years</x:v>
      </x:c>
      <x:c r="J5508" t="str">
        <x:v>MORTGAGE</x:v>
      </x:c>
      <x:c r="K5508" t="str">
        <x:v>other</x:v>
      </x:c>
      <x:c r="L5508" t="n">
        <x:v>0</x:v>
      </x:c>
      <x:c r="M5508" t="n">
        <x:v>0</x:v>
      </x:c>
      <x:c r="N5508" t="str">
        <x:v>Fully Paid</x:v>
      </x:c>
      <x:c r="O5508" t="str">
        <x:f>IF(D5508="","Unknown",IF(D5508&lt;25000,"&lt;$25k",IF(D5508&lt;50000,"$25k-$50k",IF(D5508&lt;75000,"$50k-$75k",IF(D5508&lt;100000,"$75k-$100k","$100k+")))))</x:f>
        <x:v>$25k-$50k</x:v>
      </x:c>
      <x:c r="P5508" t="str">
        <x:f>IF(E5508="","Unknown",IF(E5508&lt;10,"&lt;10",IF(E5508&lt;20,"10-&lt;20",IF(E5508&lt;25,"20-&lt;25",IF(E5508&lt;35,"25-&lt;35","35+")))))</x:f>
        <x:v>10-&lt;20</x:v>
      </x:c>
    </x:row>
    <x:row r="5509">
      <x:c r="A5509" t="str">
        <x:v>SYN0005508</x:v>
      </x:c>
      <x:c r="B5509" s="12" t="n">
        <x:v>41665</x:v>
      </x:c>
      <x:c r="C5509" s="18" t="n">
        <x:v>5991</x:v>
      </x:c>
      <x:c r="D5509" s="18" t="n">
        <x:v>110232</x:v>
      </x:c>
      <x:c r="E5509" s="18" t="n">
        <x:v>27.72</x:v>
      </x:c>
      <x:c r="F5509" s="18" t="n">
        <x:v>11.62</x:v>
      </x:c>
      <x:c r="G5509" t="n">
        <x:v>36</x:v>
      </x:c>
      <x:c r="H5509" t="str">
        <x:v>B</x:v>
      </x:c>
      <x:c r="I5509" t="str">
        <x:v>10+ years</x:v>
      </x:c>
      <x:c r="J5509" t="str">
        <x:v>RENT</x:v>
      </x:c>
      <x:c r="K5509" t="str">
        <x:v>home_improvement</x:v>
      </x:c>
      <x:c r="L5509" t="n">
        <x:v>0</x:v>
      </x:c>
      <x:c r="M5509" t="n">
        <x:v>0</x:v>
      </x:c>
      <x:c r="N5509" t="str">
        <x:v>Fully Paid</x:v>
      </x:c>
      <x:c r="O5509" t="str">
        <x:f>IF(D5509="","Unknown",IF(D5509&lt;25000,"&lt;$25k",IF(D5509&lt;50000,"$25k-$50k",IF(D5509&lt;75000,"$50k-$75k",IF(D5509&lt;100000,"$75k-$100k","$100k+")))))</x:f>
        <x:v>$100k+</x:v>
      </x:c>
      <x:c r="P5509" t="str">
        <x:f>IF(E5509="","Unknown",IF(E5509&lt;10,"&lt;10",IF(E5509&lt;20,"10-&lt;20",IF(E5509&lt;25,"20-&lt;25",IF(E5509&lt;35,"25-&lt;35","35+")))))</x:f>
        <x:v>25-&lt;35</x:v>
      </x:c>
    </x:row>
    <x:row r="5510">
      <x:c r="A5510" t="str">
        <x:v>SYN0005509</x:v>
      </x:c>
      <x:c r="B5510" s="12" t="n">
        <x:v>42145</x:v>
      </x:c>
      <x:c r="C5510" s="18" t="n">
        <x:v>8865</x:v>
      </x:c>
      <x:c r="D5510" s="18" t="n">
        <x:v>29092</x:v>
      </x:c>
      <x:c r="E5510" s="18" t="n">
        <x:v>17.87</x:v>
      </x:c>
      <x:c r="F5510" s="18" t="n">
        <x:v>11.81</x:v>
      </x:c>
      <x:c r="G5510" t="n">
        <x:v>36</x:v>
      </x:c>
      <x:c r="H5510" t="str">
        <x:v>C</x:v>
      </x:c>
      <x:c r="I5510" t="str">
        <x:v>4-6 years</x:v>
      </x:c>
      <x:c r="J5510" t="str">
        <x:v>RENT</x:v>
      </x:c>
      <x:c r="K5510" t="str">
        <x:v>debt_consolidation</x:v>
      </x:c>
      <x:c r="L5510" t="n">
        <x:v>0</x:v>
      </x:c>
      <x:c r="M5510" t="n">
        <x:v>1</x:v>
      </x:c>
      <x:c r="N5510" t="str">
        <x:v>Charged Off</x:v>
      </x:c>
      <x:c r="O5510" t="str">
        <x:f>IF(D5510="","Unknown",IF(D5510&lt;25000,"&lt;$25k",IF(D5510&lt;50000,"$25k-$50k",IF(D5510&lt;75000,"$50k-$75k",IF(D5510&lt;100000,"$75k-$100k","$100k+")))))</x:f>
        <x:v>$25k-$50k</x:v>
      </x:c>
      <x:c r="P5510" t="str">
        <x:f>IF(E5510="","Unknown",IF(E5510&lt;10,"&lt;10",IF(E5510&lt;20,"10-&lt;20",IF(E5510&lt;25,"20-&lt;25",IF(E5510&lt;35,"25-&lt;35","35+")))))</x:f>
        <x:v>10-&lt;20</x:v>
      </x:c>
    </x:row>
    <x:row r="5511">
      <x:c r="A5511" t="str">
        <x:v>SYN0005510</x:v>
      </x:c>
      <x:c r="B5511" s="12" t="n">
        <x:v>42295</x:v>
      </x:c>
      <x:c r="C5511" s="18" t="n">
        <x:v>6148</x:v>
      </x:c>
      <x:c r="D5511" s="18" t="n">
        <x:v>97357</x:v>
      </x:c>
      <x:c r="E5511" s="18" t="n">
        <x:v>29.43</x:v>
      </x:c>
      <x:c r="F5511" s="18" t="n">
        <x:v>16.39</x:v>
      </x:c>
      <x:c r="G5511" t="n">
        <x:v>36</x:v>
      </x:c>
      <x:c r="H5511" t="str">
        <x:v>E</x:v>
      </x:c>
      <x:c r="I5511" t="str">
        <x:v>10+ years</x:v>
      </x:c>
      <x:c r="J5511" t="str">
        <x:v>RENT</x:v>
      </x:c>
      <x:c r="K5511" t="str">
        <x:v>other</x:v>
      </x:c>
      <x:c r="L5511" t="n">
        <x:v>1</x:v>
      </x:c>
      <x:c r="M5511" t="n">
        <x:v>1</x:v>
      </x:c>
      <x:c r="N5511" t="str">
        <x:v>Charged Off</x:v>
      </x:c>
      <x:c r="O5511" t="str">
        <x:f>IF(D5511="","Unknown",IF(D5511&lt;25000,"&lt;$25k",IF(D5511&lt;50000,"$25k-$50k",IF(D5511&lt;75000,"$50k-$75k",IF(D5511&lt;100000,"$75k-$100k","$100k+")))))</x:f>
        <x:v>$75k-$100k</x:v>
      </x:c>
      <x:c r="P5511" t="str">
        <x:f>IF(E5511="","Unknown",IF(E5511&lt;10,"&lt;10",IF(E5511&lt;20,"10-&lt;20",IF(E5511&lt;25,"20-&lt;25",IF(E5511&lt;35,"25-&lt;35","35+")))))</x:f>
        <x:v>25-&lt;35</x:v>
      </x:c>
    </x:row>
    <x:row r="5512">
      <x:c r="A5512" t="str">
        <x:v>SYN0005511</x:v>
      </x:c>
      <x:c r="B5512" s="12" t="n">
        <x:v>42985</x:v>
      </x:c>
      <x:c r="C5512" s="18" t="n">
        <x:v>17271</x:v>
      </x:c>
      <x:c r="D5512" s="18" t="n">
        <x:v>85669</x:v>
      </x:c>
      <x:c r="E5512" s="18" t="n">
        <x:v>26.72</x:v>
      </x:c>
      <x:c r="F5512" s="18" t="n">
        <x:v>12.52</x:v>
      </x:c>
      <x:c r="G5512" t="n">
        <x:v>36</x:v>
      </x:c>
      <x:c r="H5512" t="str">
        <x:v>D</x:v>
      </x:c>
      <x:c r="I5512" t="str">
        <x:v>10+ years</x:v>
      </x:c>
      <x:c r="J5512" t="str">
        <x:v>RENT</x:v>
      </x:c>
      <x:c r="K5512" t="str">
        <x:v>debt_consolidation</x:v>
      </x:c>
      <x:c r="L5512" t="n">
        <x:v>2</x:v>
      </x:c>
      <x:c r="M5512" t="n">
        <x:v>0</x:v>
      </x:c>
      <x:c r="N5512" t="str">
        <x:v>Fully Paid</x:v>
      </x:c>
      <x:c r="O5512" t="str">
        <x:f>IF(D5512="","Unknown",IF(D5512&lt;25000,"&lt;$25k",IF(D5512&lt;50000,"$25k-$50k",IF(D5512&lt;75000,"$50k-$75k",IF(D5512&lt;100000,"$75k-$100k","$100k+")))))</x:f>
        <x:v>$75k-$100k</x:v>
      </x:c>
      <x:c r="P5512" t="str">
        <x:f>IF(E5512="","Unknown",IF(E5512&lt;10,"&lt;10",IF(E5512&lt;20,"10-&lt;20",IF(E5512&lt;25,"20-&lt;25",IF(E5512&lt;35,"25-&lt;35","35+")))))</x:f>
        <x:v>25-&lt;35</x:v>
      </x:c>
    </x:row>
    <x:row r="5513">
      <x:c r="A5513" t="str">
        <x:v>SYN0005512</x:v>
      </x:c>
      <x:c r="B5513" s="12" t="n">
        <x:v>42235</x:v>
      </x:c>
      <x:c r="C5513" s="18" t="n">
        <x:v>11518</x:v>
      </x:c>
      <x:c r="D5513" s="18" t="n">
        <x:v>119688</x:v>
      </x:c>
      <x:c r="E5513" s="18" t="n">
        <x:v>21.2</x:v>
      </x:c>
      <x:c r="F5513" s="18" t="n">
        <x:v>14.24</x:v>
      </x:c>
      <x:c r="G5513" t="n">
        <x:v>36</x:v>
      </x:c>
      <x:c r="H5513" t="str">
        <x:v>C</x:v>
      </x:c>
      <x:c r="I5513" t="str">
        <x:v>10+ years</x:v>
      </x:c>
      <x:c r="J5513" t="str">
        <x:v>RENT</x:v>
      </x:c>
      <x:c r="K5513" t="str">
        <x:v>debt_consolidation</x:v>
      </x:c>
      <x:c r="L5513" t="n">
        <x:v>0</x:v>
      </x:c>
      <x:c r="M5513" t="n">
        <x:v>0</x:v>
      </x:c>
      <x:c r="N5513" t="str">
        <x:v>Fully Paid</x:v>
      </x:c>
      <x:c r="O5513" t="str">
        <x:f>IF(D5513="","Unknown",IF(D5513&lt;25000,"&lt;$25k",IF(D5513&lt;50000,"$25k-$50k",IF(D5513&lt;75000,"$50k-$75k",IF(D5513&lt;100000,"$75k-$100k","$100k+")))))</x:f>
        <x:v>$100k+</x:v>
      </x:c>
      <x:c r="P5513" t="str">
        <x:f>IF(E5513="","Unknown",IF(E5513&lt;10,"&lt;10",IF(E5513&lt;20,"10-&lt;20",IF(E5513&lt;25,"20-&lt;25",IF(E5513&lt;35,"25-&lt;35","35+")))))</x:f>
        <x:v>20-&lt;25</x:v>
      </x:c>
    </x:row>
    <x:row r="5514">
      <x:c r="A5514" t="str">
        <x:v>SYN0005513</x:v>
      </x:c>
      <x:c r="B5514" s="12" t="n">
        <x:v>42655</x:v>
      </x:c>
      <x:c r="C5514" s="18" t="n">
        <x:v>13522</x:v>
      </x:c>
      <x:c r="D5514" s="18" t="n">
        <x:v>39037</x:v>
      </x:c>
      <x:c r="E5514" s="18" t="n">
        <x:v>1.21</x:v>
      </x:c>
      <x:c r="F5514" s="18" t="n">
        <x:v>9.29</x:v>
      </x:c>
      <x:c r="G5514" t="n">
        <x:v>36</x:v>
      </x:c>
      <x:c r="H5514" t="str">
        <x:v>B</x:v>
      </x:c>
      <x:c r="I5514" t="str">
        <x:v>&lt;1 year</x:v>
      </x:c>
      <x:c r="J5514" t="str">
        <x:v>RENT</x:v>
      </x:c>
      <x:c r="K5514" t="str">
        <x:v>debt_consolidation</x:v>
      </x:c>
      <x:c r="L5514" t="n">
        <x:v>0</x:v>
      </x:c>
      <x:c r="M5514" t="n">
        <x:v>0</x:v>
      </x:c>
      <x:c r="N5514" t="str">
        <x:v>Fully Paid</x:v>
      </x:c>
      <x:c r="O5514" t="str">
        <x:f>IF(D5514="","Unknown",IF(D5514&lt;25000,"&lt;$25k",IF(D5514&lt;50000,"$25k-$50k",IF(D5514&lt;75000,"$50k-$75k",IF(D5514&lt;100000,"$75k-$100k","$100k+")))))</x:f>
        <x:v>$25k-$50k</x:v>
      </x:c>
      <x:c r="P5514" t="str">
        <x:f>IF(E5514="","Unknown",IF(E5514&lt;10,"&lt;10",IF(E5514&lt;20,"10-&lt;20",IF(E5514&lt;25,"20-&lt;25",IF(E5514&lt;35,"25-&lt;35","35+")))))</x:f>
        <x:v>&lt;10</x:v>
      </x:c>
    </x:row>
    <x:row r="5515">
      <x:c r="A5515" t="str">
        <x:v>SYN0005514</x:v>
      </x:c>
      <x:c r="B5515" s="12" t="n">
        <x:v>41365</x:v>
      </x:c>
      <x:c r="C5515" s="18" t="n">
        <x:v>19940</x:v>
      </x:c>
      <x:c r="D5515" s="18" t="n">
        <x:v>144140</x:v>
      </x:c>
      <x:c r="E5515" s="18" t="n">
        <x:v>27.4</x:v>
      </x:c>
      <x:c r="F5515" s="18" t="n">
        <x:v>14.68</x:v>
      </x:c>
      <x:c r="G5515" t="n">
        <x:v>36</x:v>
      </x:c>
      <x:c r="H5515" t="str">
        <x:v>E</x:v>
      </x:c>
      <x:c r="I5515" t="str">
        <x:v>&lt;1 year</x:v>
      </x:c>
      <x:c r="J5515" t="str">
        <x:v>OWN</x:v>
      </x:c>
      <x:c r="K5515" t="str">
        <x:v>other</x:v>
      </x:c>
      <x:c r="L5515" t="n">
        <x:v>0</x:v>
      </x:c>
      <x:c r="M5515" t="n">
        <x:v>0</x:v>
      </x:c>
      <x:c r="N5515" t="str">
        <x:v>Fully Paid</x:v>
      </x:c>
      <x:c r="O5515" t="str">
        <x:f>IF(D5515="","Unknown",IF(D5515&lt;25000,"&lt;$25k",IF(D5515&lt;50000,"$25k-$50k",IF(D5515&lt;75000,"$50k-$75k",IF(D5515&lt;100000,"$75k-$100k","$100k+")))))</x:f>
        <x:v>$100k+</x:v>
      </x:c>
      <x:c r="P5515" t="str">
        <x:f>IF(E5515="","Unknown",IF(E5515&lt;10,"&lt;10",IF(E5515&lt;20,"10-&lt;20",IF(E5515&lt;25,"20-&lt;25",IF(E5515&lt;35,"25-&lt;35","35+")))))</x:f>
        <x:v>25-&lt;35</x:v>
      </x:c>
    </x:row>
    <x:row r="5516">
      <x:c r="A5516" t="str">
        <x:v>SYN0005515</x:v>
      </x:c>
      <x:c r="B5516" s="12" t="n">
        <x:v>42625</x:v>
      </x:c>
      <x:c r="C5516" s="18" t="n">
        <x:v>13264</x:v>
      </x:c>
      <x:c r="D5516" s="18" t="n">
        <x:v>37912</x:v>
      </x:c>
      <x:c r="E5516" s="18" t="n">
        <x:v>27.21</x:v>
      </x:c>
      <x:c r="F5516" s="18" t="n">
        <x:v>28.62</x:v>
      </x:c>
      <x:c r="G5516" t="n">
        <x:v>36</x:v>
      </x:c>
      <x:c r="H5516" t="str">
        <x:v>G</x:v>
      </x:c>
      <x:c r="I5516" t="str">
        <x:v>10+ years</x:v>
      </x:c>
      <x:c r="J5516" t="str">
        <x:v>OWN</x:v>
      </x:c>
      <x:c r="K5516" t="str">
        <x:v>credit_card</x:v>
      </x:c>
      <x:c r="L5516" t="n">
        <x:v>5</x:v>
      </x:c>
      <x:c r="M5516" t="n">
        <x:v>1</x:v>
      </x:c>
      <x:c r="N5516" t="str">
        <x:v>Charged Off</x:v>
      </x:c>
      <x:c r="O5516" t="str">
        <x:f>IF(D5516="","Unknown",IF(D5516&lt;25000,"&lt;$25k",IF(D5516&lt;50000,"$25k-$50k",IF(D5516&lt;75000,"$50k-$75k",IF(D5516&lt;100000,"$75k-$100k","$100k+")))))</x:f>
        <x:v>$25k-$50k</x:v>
      </x:c>
      <x:c r="P5516" t="str">
        <x:f>IF(E5516="","Unknown",IF(E5516&lt;10,"&lt;10",IF(E5516&lt;20,"10-&lt;20",IF(E5516&lt;25,"20-&lt;25",IF(E5516&lt;35,"25-&lt;35","35+")))))</x:f>
        <x:v>25-&lt;35</x:v>
      </x:c>
    </x:row>
    <x:row r="5517">
      <x:c r="A5517" t="str">
        <x:v>SYN0005516</x:v>
      </x:c>
      <x:c r="B5517" s="12" t="n">
        <x:v>42265</x:v>
      </x:c>
      <x:c r="C5517" s="18" t="n">
        <x:v>12641</x:v>
      </x:c>
      <x:c r="D5517" s="18" t="n">
        <x:v>118654</x:v>
      </x:c>
      <x:c r="E5517" s="18" t="n">
        <x:v>18.63</x:v>
      </x:c>
      <x:c r="F5517" s="18" t="n">
        <x:v>14.7</x:v>
      </x:c>
      <x:c r="G5517" t="n">
        <x:v>60</x:v>
      </x:c>
      <x:c r="H5517" t="str">
        <x:v>D</x:v>
      </x:c>
      <x:c r="I5517" t="str">
        <x:v>1-3 years</x:v>
      </x:c>
      <x:c r="J5517" t="str">
        <x:v>MORTGAGE</x:v>
      </x:c>
      <x:c r="K5517" t="str">
        <x:v>credit_card</x:v>
      </x:c>
      <x:c r="L5517" t="n">
        <x:v>0</x:v>
      </x:c>
      <x:c r="M5517" t="n">
        <x:v>0</x:v>
      </x:c>
      <x:c r="N5517" t="str">
        <x:v>Fully Paid</x:v>
      </x:c>
      <x:c r="O5517" t="str">
        <x:f>IF(D5517="","Unknown",IF(D5517&lt;25000,"&lt;$25k",IF(D5517&lt;50000,"$25k-$50k",IF(D5517&lt;75000,"$50k-$75k",IF(D5517&lt;100000,"$75k-$100k","$100k+")))))</x:f>
        <x:v>$100k+</x:v>
      </x:c>
      <x:c r="P5517" t="str">
        <x:f>IF(E5517="","Unknown",IF(E5517&lt;10,"&lt;10",IF(E5517&lt;20,"10-&lt;20",IF(E5517&lt;25,"20-&lt;25",IF(E5517&lt;35,"25-&lt;35","35+")))))</x:f>
        <x:v>10-&lt;20</x:v>
      </x:c>
    </x:row>
    <x:row r="5518">
      <x:c r="A5518" t="str">
        <x:v>SYN0005517</x:v>
      </x:c>
      <x:c r="B5518" s="12" t="n">
        <x:v>42415</x:v>
      </x:c>
      <x:c r="C5518" s="18" t="n">
        <x:v>14528</x:v>
      </x:c>
      <x:c r="D5518" s="18" t="n">
        <x:v>51032</x:v>
      </x:c>
      <x:c r="E5518" s="18" t="n">
        <x:v>26.05</x:v>
      </x:c>
      <x:c r="F5518" s="18" t="n">
        <x:v>8.3</x:v>
      </x:c>
      <x:c r="G5518" t="n">
        <x:v>60</x:v>
      </x:c>
      <x:c r="H5518" t="str">
        <x:v>A</x:v>
      </x:c>
      <x:c r="I5518" t="str">
        <x:v>10+ years</x:v>
      </x:c>
      <x:c r="J5518" t="str">
        <x:v>MORTGAGE</x:v>
      </x:c>
      <x:c r="K5518" t="str">
        <x:v>home_improvement</x:v>
      </x:c>
      <x:c r="L5518" t="n">
        <x:v>0</x:v>
      </x:c>
      <x:c r="M5518" t="n">
        <x:v>0</x:v>
      </x:c>
      <x:c r="N5518" t="str">
        <x:v>Fully Paid</x:v>
      </x:c>
      <x:c r="O5518" t="str">
        <x:f>IF(D5518="","Unknown",IF(D5518&lt;25000,"&lt;$25k",IF(D5518&lt;50000,"$25k-$50k",IF(D5518&lt;75000,"$50k-$75k",IF(D5518&lt;100000,"$75k-$100k","$100k+")))))</x:f>
        <x:v>$50k-$75k</x:v>
      </x:c>
      <x:c r="P5518" t="str">
        <x:f>IF(E5518="","Unknown",IF(E5518&lt;10,"&lt;10",IF(E5518&lt;20,"10-&lt;20",IF(E5518&lt;25,"20-&lt;25",IF(E5518&lt;35,"25-&lt;35","35+")))))</x:f>
        <x:v>25-&lt;35</x:v>
      </x:c>
    </x:row>
    <x:row r="5519">
      <x:c r="A5519" t="str">
        <x:v>SYN0005518</x:v>
      </x:c>
      <x:c r="B5519" s="12" t="n">
        <x:v>41545</x:v>
      </x:c>
      <x:c r="C5519" s="18" t="n">
        <x:v>11063</x:v>
      </x:c>
      <x:c r="D5519" s="18" t="n">
        <x:v>60697</x:v>
      </x:c>
      <x:c r="E5519" s="18" t="n">
        <x:v>34.77</x:v>
      </x:c>
      <x:c r="F5519" s="18" t="n">
        <x:v>10.44</x:v>
      </x:c>
      <x:c r="G5519" t="n">
        <x:v>36</x:v>
      </x:c>
      <x:c r="H5519" t="str">
        <x:v>B</x:v>
      </x:c>
      <x:c r="I5519" t="str">
        <x:v>4-6 years</x:v>
      </x:c>
      <x:c r="J5519" t="str">
        <x:v>RENT</x:v>
      </x:c>
      <x:c r="K5519" t="str">
        <x:v>credit_card</x:v>
      </x:c>
      <x:c r="L5519" t="n">
        <x:v>1</x:v>
      </x:c>
      <x:c r="M5519" t="n">
        <x:v>0</x:v>
      </x:c>
      <x:c r="N5519" t="str">
        <x:v>Fully Paid</x:v>
      </x:c>
      <x:c r="O5519" t="str">
        <x:f>IF(D5519="","Unknown",IF(D5519&lt;25000,"&lt;$25k",IF(D5519&lt;50000,"$25k-$50k",IF(D5519&lt;75000,"$50k-$75k",IF(D5519&lt;100000,"$75k-$100k","$100k+")))))</x:f>
        <x:v>$50k-$75k</x:v>
      </x:c>
      <x:c r="P5519" t="str">
        <x:f>IF(E5519="","Unknown",IF(E5519&lt;10,"&lt;10",IF(E5519&lt;20,"10-&lt;20",IF(E5519&lt;25,"20-&lt;25",IF(E5519&lt;35,"25-&lt;35","35+")))))</x:f>
        <x:v>25-&lt;35</x:v>
      </x:c>
    </x:row>
    <x:row r="5520">
      <x:c r="A5520" t="str">
        <x:v>SYN0005519</x:v>
      </x:c>
      <x:c r="B5520" s="12" t="n">
        <x:v>42025</x:v>
      </x:c>
      <x:c r="C5520" s="18" t="n">
        <x:v>13233</x:v>
      </x:c>
      <x:c r="D5520" s="18" t="n">
        <x:v>56826</x:v>
      </x:c>
      <x:c r="E5520" s="18" t="n">
        <x:v>33.16</x:v>
      </x:c>
      <x:c r="F5520" s="18" t="n">
        <x:v>12.28</x:v>
      </x:c>
      <x:c r="G5520" t="n">
        <x:v>60</x:v>
      </x:c>
      <x:c r="H5520" t="str">
        <x:v>C</x:v>
      </x:c>
      <x:c r="I5520" t="str">
        <x:v>1-3 years</x:v>
      </x:c>
      <x:c r="J5520" t="str">
        <x:v>RENT</x:v>
      </x:c>
      <x:c r="K5520" t="str">
        <x:v>debt_consolidation</x:v>
      </x:c>
      <x:c r="L5520" t="n">
        <x:v>2</x:v>
      </x:c>
      <x:c r="M5520" t="n">
        <x:v>0</x:v>
      </x:c>
      <x:c r="N5520" t="str">
        <x:v>Fully Paid</x:v>
      </x:c>
      <x:c r="O5520" t="str">
        <x:f>IF(D5520="","Unknown",IF(D5520&lt;25000,"&lt;$25k",IF(D5520&lt;50000,"$25k-$50k",IF(D5520&lt;75000,"$50k-$75k",IF(D5520&lt;100000,"$75k-$100k","$100k+")))))</x:f>
        <x:v>$50k-$75k</x:v>
      </x:c>
      <x:c r="P5520" t="str">
        <x:f>IF(E5520="","Unknown",IF(E5520&lt;10,"&lt;10",IF(E5520&lt;20,"10-&lt;20",IF(E5520&lt;25,"20-&lt;25",IF(E5520&lt;35,"25-&lt;35","35+")))))</x:f>
        <x:v>25-&lt;35</x:v>
      </x:c>
    </x:row>
    <x:row r="5521">
      <x:c r="A5521" t="str">
        <x:v>SYN0005520</x:v>
      </x:c>
      <x:c r="B5521" s="12" t="n">
        <x:v>42625</x:v>
      </x:c>
      <x:c r="C5521" s="18" t="n">
        <x:v>14255</x:v>
      </x:c>
      <x:c r="D5521" s="18" t="n">
        <x:v>20850</x:v>
      </x:c>
      <x:c r="E5521" s="18" t="n">
        <x:v>15.18</x:v>
      </x:c>
      <x:c r="F5521" s="18" t="n">
        <x:v>9.42</x:v>
      </x:c>
      <x:c r="G5521" t="n">
        <x:v>60</x:v>
      </x:c>
      <x:c r="H5521" t="str">
        <x:v>B</x:v>
      </x:c>
      <x:c r="I5521" t="str">
        <x:v>10+ years</x:v>
      </x:c>
      <x:c r="J5521" t="str">
        <x:v>RENT</x:v>
      </x:c>
      <x:c r="K5521" t="str">
        <x:v>credit_card</x:v>
      </x:c>
      <x:c r="L5521" t="n">
        <x:v>0</x:v>
      </x:c>
      <x:c r="M5521" t="n">
        <x:v>0</x:v>
      </x:c>
      <x:c r="N5521" t="str">
        <x:v>Fully Paid</x:v>
      </x:c>
      <x:c r="O5521" t="str">
        <x:f>IF(D5521="","Unknown",IF(D5521&lt;25000,"&lt;$25k",IF(D5521&lt;50000,"$25k-$50k",IF(D5521&lt;75000,"$50k-$75k",IF(D5521&lt;100000,"$75k-$100k","$100k+")))))</x:f>
        <x:v>&lt;$25k</x:v>
      </x:c>
      <x:c r="P5521" t="str">
        <x:f>IF(E5521="","Unknown",IF(E5521&lt;10,"&lt;10",IF(E5521&lt;20,"10-&lt;20",IF(E5521&lt;25,"20-&lt;25",IF(E5521&lt;35,"25-&lt;35","35+")))))</x:f>
        <x:v>10-&lt;20</x:v>
      </x:c>
    </x:row>
    <x:row r="5522">
      <x:c r="A5522" t="str">
        <x:v>SYN0005521</x:v>
      </x:c>
      <x:c r="B5522" s="12" t="n">
        <x:v>42955</x:v>
      </x:c>
      <x:c r="C5522" s="18" t="n">
        <x:v>10990</x:v>
      </x:c>
      <x:c r="D5522" s="18" t="n">
        <x:v>24055</x:v>
      </x:c>
      <x:c r="E5522" s="18" t="n">
        <x:v>4.22</x:v>
      </x:c>
      <x:c r="F5522" s="18" t="n">
        <x:v>11.72</x:v>
      </x:c>
      <x:c r="G5522" t="n">
        <x:v>36</x:v>
      </x:c>
      <x:c r="H5522" t="str">
        <x:v>C</x:v>
      </x:c>
      <x:c r="I5522" t="str">
        <x:v>7-9 years</x:v>
      </x:c>
      <x:c r="J5522" t="str">
        <x:v>MORTGAGE</x:v>
      </x:c>
      <x:c r="K5522" t="str">
        <x:v>major_purchase</x:v>
      </x:c>
      <x:c r="L5522" t="n">
        <x:v>1</x:v>
      </x:c>
      <x:c r="M5522" t="n">
        <x:v>0</x:v>
      </x:c>
      <x:c r="N5522" t="str">
        <x:v>Fully Paid</x:v>
      </x:c>
      <x:c r="O5522" t="str">
        <x:f>IF(D5522="","Unknown",IF(D5522&lt;25000,"&lt;$25k",IF(D5522&lt;50000,"$25k-$50k",IF(D5522&lt;75000,"$50k-$75k",IF(D5522&lt;100000,"$75k-$100k","$100k+")))))</x:f>
        <x:v>&lt;$25k</x:v>
      </x:c>
      <x:c r="P5522" t="str">
        <x:f>IF(E5522="","Unknown",IF(E5522&lt;10,"&lt;10",IF(E5522&lt;20,"10-&lt;20",IF(E5522&lt;25,"20-&lt;25",IF(E5522&lt;35,"25-&lt;35","35+")))))</x:f>
        <x:v>&lt;10</x:v>
      </x:c>
    </x:row>
    <x:row r="5523">
      <x:c r="A5523" t="str">
        <x:v>SYN0005522</x:v>
      </x:c>
      <x:c r="B5523" s="12" t="n">
        <x:v>43255</x:v>
      </x:c>
      <x:c r="C5523" s="18" t="n">
        <x:v>15831</x:v>
      </x:c>
      <x:c r="D5523" s="18" t="n">
        <x:v>74689</x:v>
      </x:c>
      <x:c r="E5523" s="18" t="n">
        <x:v>12.61</x:v>
      </x:c>
      <x:c r="F5523" s="18" t="n">
        <x:v>9.12</x:v>
      </x:c>
      <x:c r="G5523" t="n">
        <x:v>60</x:v>
      </x:c>
      <x:c r="H5523" t="str">
        <x:v>B</x:v>
      </x:c>
      <x:c r="I5523" t="str">
        <x:v>7-9 years</x:v>
      </x:c>
      <x:c r="J5523" t="str">
        <x:v>MORTGAGE</x:v>
      </x:c>
      <x:c r="K5523" t="str">
        <x:v>home_improvement</x:v>
      </x:c>
      <x:c r="L5523" t="n">
        <x:v>0</x:v>
      </x:c>
      <x:c r="M5523" t="n">
        <x:v>0</x:v>
      </x:c>
      <x:c r="N5523" t="str">
        <x:v>Fully Paid</x:v>
      </x:c>
      <x:c r="O5523" t="str">
        <x:f>IF(D5523="","Unknown",IF(D5523&lt;25000,"&lt;$25k",IF(D5523&lt;50000,"$25k-$50k",IF(D5523&lt;75000,"$50k-$75k",IF(D5523&lt;100000,"$75k-$100k","$100k+")))))</x:f>
        <x:v>$50k-$75k</x:v>
      </x:c>
      <x:c r="P5523" t="str">
        <x:f>IF(E5523="","Unknown",IF(E5523&lt;10,"&lt;10",IF(E5523&lt;20,"10-&lt;20",IF(E5523&lt;25,"20-&lt;25",IF(E5523&lt;35,"25-&lt;35","35+")))))</x:f>
        <x:v>10-&lt;20</x:v>
      </x:c>
    </x:row>
    <x:row r="5524">
      <x:c r="A5524" t="str">
        <x:v>SYN0005523</x:v>
      </x:c>
      <x:c r="B5524" s="12" t="n">
        <x:v>41395</x:v>
      </x:c>
      <x:c r="C5524" s="18" t="n">
        <x:v>5492</x:v>
      </x:c>
      <x:c r="D5524" s="18" t="n">
        <x:v>123489</x:v>
      </x:c>
      <x:c r="E5524" s="18" t="n">
        <x:v>9.93</x:v>
      </x:c>
      <x:c r="F5524" s="18" t="n">
        <x:v>9.51</x:v>
      </x:c>
      <x:c r="G5524" t="n">
        <x:v>36</x:v>
      </x:c>
      <x:c r="H5524" t="str">
        <x:v>B</x:v>
      </x:c>
      <x:c r="I5524" t="str">
        <x:v>10+ years</x:v>
      </x:c>
      <x:c r="J5524" t="str">
        <x:v>RENT</x:v>
      </x:c>
      <x:c r="K5524" t="str">
        <x:v>other</x:v>
      </x:c>
      <x:c r="L5524" t="n">
        <x:v>0</x:v>
      </x:c>
      <x:c r="M5524" t="n">
        <x:v>0</x:v>
      </x:c>
      <x:c r="N5524" t="str">
        <x:v>Fully Paid</x:v>
      </x:c>
      <x:c r="O5524" t="str">
        <x:f>IF(D5524="","Unknown",IF(D5524&lt;25000,"&lt;$25k",IF(D5524&lt;50000,"$25k-$50k",IF(D5524&lt;75000,"$50k-$75k",IF(D5524&lt;100000,"$75k-$100k","$100k+")))))</x:f>
        <x:v>$100k+</x:v>
      </x:c>
      <x:c r="P5524" t="str">
        <x:f>IF(E5524="","Unknown",IF(E5524&lt;10,"&lt;10",IF(E5524&lt;20,"10-&lt;20",IF(E5524&lt;25,"20-&lt;25",IF(E5524&lt;35,"25-&lt;35","35+")))))</x:f>
        <x:v>&lt;10</x:v>
      </x:c>
    </x:row>
    <x:row r="5525">
      <x:c r="A5525" t="str">
        <x:v>SYN0005524</x:v>
      </x:c>
      <x:c r="B5525" s="12" t="n">
        <x:v>41965</x:v>
      </x:c>
      <x:c r="C5525" s="18" t="n">
        <x:v>15405</x:v>
      </x:c>
      <x:c r="D5525" s="18" t="n">
        <x:v>69384</x:v>
      </x:c>
      <x:c r="E5525" s="18" t="n">
        <x:v>20.85</x:v>
      </x:c>
      <x:c r="F5525" s="18" t="n">
        <x:v>19.33</x:v>
      </x:c>
      <x:c r="G5525" t="n">
        <x:v>36</x:v>
      </x:c>
      <x:c r="H5525" t="str">
        <x:v>E</x:v>
      </x:c>
      <x:c r="I5525" t="str">
        <x:v>1-3 years</x:v>
      </x:c>
      <x:c r="J5525" t="str">
        <x:v>RENT</x:v>
      </x:c>
      <x:c r="K5525" t="str">
        <x:v>debt_consolidation</x:v>
      </x:c>
      <x:c r="L5525" t="n">
        <x:v>3</x:v>
      </x:c>
      <x:c r="M5525" t="n">
        <x:v>0</x:v>
      </x:c>
      <x:c r="N5525" t="str">
        <x:v>Fully Paid</x:v>
      </x:c>
      <x:c r="O5525" t="str">
        <x:f>IF(D5525="","Unknown",IF(D5525&lt;25000,"&lt;$25k",IF(D5525&lt;50000,"$25k-$50k",IF(D5525&lt;75000,"$50k-$75k",IF(D5525&lt;100000,"$75k-$100k","$100k+")))))</x:f>
        <x:v>$50k-$75k</x:v>
      </x:c>
      <x:c r="P5525" t="str">
        <x:f>IF(E5525="","Unknown",IF(E5525&lt;10,"&lt;10",IF(E5525&lt;20,"10-&lt;20",IF(E5525&lt;25,"20-&lt;25",IF(E5525&lt;35,"25-&lt;35","35+")))))</x:f>
        <x:v>20-&lt;25</x:v>
      </x:c>
    </x:row>
    <x:row r="5526">
      <x:c r="A5526" t="str">
        <x:v>SYN0005525</x:v>
      </x:c>
      <x:c r="B5526" s="12" t="n">
        <x:v>42025</x:v>
      </x:c>
      <x:c r="C5526" s="18" t="n">
        <x:v>7581</x:v>
      </x:c>
      <x:c r="D5526" s="18" t="n">
        <x:v>72352</x:v>
      </x:c>
      <x:c r="E5526" s="18" t="n">
        <x:v>38.48</x:v>
      </x:c>
      <x:c r="F5526" s="18" t="n">
        <x:v>18.53</x:v>
      </x:c>
      <x:c r="G5526" t="n">
        <x:v>36</x:v>
      </x:c>
      <x:c r="H5526" t="str">
        <x:v>E</x:v>
      </x:c>
      <x:c r="I5526" t="str">
        <x:v>4-6 years</x:v>
      </x:c>
      <x:c r="J5526" t="str">
        <x:v>MORTGAGE</x:v>
      </x:c>
      <x:c r="K5526" t="str">
        <x:v>credit_card</x:v>
      </x:c>
      <x:c r="L5526" t="n">
        <x:v>2</x:v>
      </x:c>
      <x:c r="M5526" t="n">
        <x:v>0</x:v>
      </x:c>
      <x:c r="N5526" t="str">
        <x:v>Fully Paid</x:v>
      </x:c>
      <x:c r="O5526" t="str">
        <x:f>IF(D5526="","Unknown",IF(D5526&lt;25000,"&lt;$25k",IF(D5526&lt;50000,"$25k-$50k",IF(D5526&lt;75000,"$50k-$75k",IF(D5526&lt;100000,"$75k-$100k","$100k+")))))</x:f>
        <x:v>$50k-$75k</x:v>
      </x:c>
      <x:c r="P5526" t="str">
        <x:f>IF(E5526="","Unknown",IF(E5526&lt;10,"&lt;10",IF(E5526&lt;20,"10-&lt;20",IF(E5526&lt;25,"20-&lt;25",IF(E5526&lt;35,"25-&lt;35","35+")))))</x:f>
        <x:v>35+</x:v>
      </x:c>
    </x:row>
    <x:row r="5527">
      <x:c r="A5527" t="str">
        <x:v>SYN0005526</x:v>
      </x:c>
      <x:c r="B5527" s="12" t="n">
        <x:v>41665</x:v>
      </x:c>
      <x:c r="C5527" s="18" t="n">
        <x:v>12957</x:v>
      </x:c>
      <x:c r="D5527" s="18" t="n">
        <x:v>25061</x:v>
      </x:c>
      <x:c r="E5527" s="18" t="n">
        <x:v>9.64</x:v>
      </x:c>
      <x:c r="F5527" s="18" t="n">
        <x:v>11.39</x:v>
      </x:c>
      <x:c r="G5527" t="n">
        <x:v>36</x:v>
      </x:c>
      <x:c r="H5527" t="str">
        <x:v>C</x:v>
      </x:c>
      <x:c r="I5527" t="str">
        <x:v>4-6 years</x:v>
      </x:c>
      <x:c r="J5527" t="str">
        <x:v>RENT</x:v>
      </x:c>
      <x:c r="K5527" t="str">
        <x:v>home_improvement</x:v>
      </x:c>
      <x:c r="L5527" t="n">
        <x:v>0</x:v>
      </x:c>
      <x:c r="M5527" t="n">
        <x:v>0</x:v>
      </x:c>
      <x:c r="N5527" t="str">
        <x:v>Fully Paid</x:v>
      </x:c>
      <x:c r="O5527" t="str">
        <x:f>IF(D5527="","Unknown",IF(D5527&lt;25000,"&lt;$25k",IF(D5527&lt;50000,"$25k-$50k",IF(D5527&lt;75000,"$50k-$75k",IF(D5527&lt;100000,"$75k-$100k","$100k+")))))</x:f>
        <x:v>$25k-$50k</x:v>
      </x:c>
      <x:c r="P5527" t="str">
        <x:f>IF(E5527="","Unknown",IF(E5527&lt;10,"&lt;10",IF(E5527&lt;20,"10-&lt;20",IF(E5527&lt;25,"20-&lt;25",IF(E5527&lt;35,"25-&lt;35","35+")))))</x:f>
        <x:v>&lt;10</x:v>
      </x:c>
    </x:row>
    <x:row r="5528">
      <x:c r="A5528" t="str">
        <x:v>SYN0005527</x:v>
      </x:c>
      <x:c r="B5528" s="12" t="n">
        <x:v>41575</x:v>
      </x:c>
      <x:c r="C5528" s="18" t="n">
        <x:v>7769</x:v>
      </x:c>
      <x:c r="D5528" s="18" t="n">
        <x:v>100372</x:v>
      </x:c>
      <x:c r="E5528" s="18" t="n">
        <x:v>13.28</x:v>
      </x:c>
      <x:c r="F5528" s="18" t="n">
        <x:v>7.76</x:v>
      </x:c>
      <x:c r="G5528" t="n">
        <x:v>36</x:v>
      </x:c>
      <x:c r="H5528" t="str">
        <x:v>B</x:v>
      </x:c>
      <x:c r="I5528" t="str">
        <x:v>1-3 years</x:v>
      </x:c>
      <x:c r="J5528" t="str">
        <x:v>RENT</x:v>
      </x:c>
      <x:c r="K5528" t="str">
        <x:v>debt_consolidation</x:v>
      </x:c>
      <x:c r="L5528" t="n">
        <x:v>0</x:v>
      </x:c>
      <x:c r="M5528" t="n">
        <x:v>0</x:v>
      </x:c>
      <x:c r="N5528" t="str">
        <x:v>Fully Paid</x:v>
      </x:c>
      <x:c r="O5528" t="str">
        <x:f>IF(D5528="","Unknown",IF(D5528&lt;25000,"&lt;$25k",IF(D5528&lt;50000,"$25k-$50k",IF(D5528&lt;75000,"$50k-$75k",IF(D5528&lt;100000,"$75k-$100k","$100k+")))))</x:f>
        <x:v>$100k+</x:v>
      </x:c>
      <x:c r="P5528" t="str">
        <x:f>IF(E5528="","Unknown",IF(E5528&lt;10,"&lt;10",IF(E5528&lt;20,"10-&lt;20",IF(E5528&lt;25,"20-&lt;25",IF(E5528&lt;35,"25-&lt;35","35+")))))</x:f>
        <x:v>10-&lt;20</x:v>
      </x:c>
    </x:row>
    <x:row r="5529">
      <x:c r="A5529" t="str">
        <x:v>SYN0005528</x:v>
      </x:c>
      <x:c r="B5529" s="12" t="n">
        <x:v>42475</x:v>
      </x:c>
      <x:c r="C5529" s="18" t="n">
        <x:v>7424</x:v>
      </x:c>
      <x:c r="D5529" s="18" t="n">
        <x:v>87414</x:v>
      </x:c>
      <x:c r="E5529" s="18" t="n">
        <x:v>5.27</x:v>
      </x:c>
      <x:c r="F5529" s="18" t="n">
        <x:v>9.63</x:v>
      </x:c>
      <x:c r="G5529" t="n">
        <x:v>36</x:v>
      </x:c>
      <x:c r="H5529" t="str">
        <x:v>C</x:v>
      </x:c>
      <x:c r="I5529" t="str">
        <x:v>1-3 years</x:v>
      </x:c>
      <x:c r="J5529" t="str">
        <x:v>RENT</x:v>
      </x:c>
      <x:c r="K5529" t="str">
        <x:v>other</x:v>
      </x:c>
      <x:c r="L5529" t="n">
        <x:v>1</x:v>
      </x:c>
      <x:c r="M5529" t="n">
        <x:v>0</x:v>
      </x:c>
      <x:c r="N5529" t="str">
        <x:v>Fully Paid</x:v>
      </x:c>
      <x:c r="O5529" t="str">
        <x:f>IF(D5529="","Unknown",IF(D5529&lt;25000,"&lt;$25k",IF(D5529&lt;50000,"$25k-$50k",IF(D5529&lt;75000,"$50k-$75k",IF(D5529&lt;100000,"$75k-$100k","$100k+")))))</x:f>
        <x:v>$75k-$100k</x:v>
      </x:c>
      <x:c r="P5529" t="str">
        <x:f>IF(E5529="","Unknown",IF(E5529&lt;10,"&lt;10",IF(E5529&lt;20,"10-&lt;20",IF(E5529&lt;25,"20-&lt;25",IF(E5529&lt;35,"25-&lt;35","35+")))))</x:f>
        <x:v>&lt;10</x:v>
      </x:c>
    </x:row>
    <x:row r="5530">
      <x:c r="A5530" t="str">
        <x:v>SYN0005529</x:v>
      </x:c>
      <x:c r="B5530" s="12" t="n">
        <x:v>42055</x:v>
      </x:c>
      <x:c r="C5530" s="18" t="n">
        <x:v>11236</x:v>
      </x:c>
      <x:c r="D5530" s="18" t="n">
        <x:v>91374</x:v>
      </x:c>
      <x:c r="E5530" s="18" t="n">
        <x:v>27.47</x:v>
      </x:c>
      <x:c r="F5530" s="18" t="n">
        <x:v>22.76</x:v>
      </x:c>
      <x:c r="G5530" t="n">
        <x:v>36</x:v>
      </x:c>
      <x:c r="H5530" t="str">
        <x:v>G</x:v>
      </x:c>
      <x:c r="I5530" t="str">
        <x:v>1-3 years</x:v>
      </x:c>
      <x:c r="J5530" t="str">
        <x:v>OWN</x:v>
      </x:c>
      <x:c r="K5530" t="str">
        <x:v>home_improvement</x:v>
      </x:c>
      <x:c r="L5530" t="n">
        <x:v>1</x:v>
      </x:c>
      <x:c r="M5530" t="n">
        <x:v>0</x:v>
      </x:c>
      <x:c r="N5530" t="str">
        <x:v>Fully Paid</x:v>
      </x:c>
      <x:c r="O5530" t="str">
        <x:f>IF(D5530="","Unknown",IF(D5530&lt;25000,"&lt;$25k",IF(D5530&lt;50000,"$25k-$50k",IF(D5530&lt;75000,"$50k-$75k",IF(D5530&lt;100000,"$75k-$100k","$100k+")))))</x:f>
        <x:v>$75k-$100k</x:v>
      </x:c>
      <x:c r="P5530" t="str">
        <x:f>IF(E5530="","Unknown",IF(E5530&lt;10,"&lt;10",IF(E5530&lt;20,"10-&lt;20",IF(E5530&lt;25,"20-&lt;25",IF(E5530&lt;35,"25-&lt;35","35+")))))</x:f>
        <x:v>25-&lt;35</x:v>
      </x:c>
    </x:row>
    <x:row r="5531">
      <x:c r="A5531" t="str">
        <x:v>SYN0005530</x:v>
      </x:c>
      <x:c r="B5531" s="12" t="n">
        <x:v>41485</x:v>
      </x:c>
      <x:c r="C5531" s="18" t="n">
        <x:v>14844</x:v>
      </x:c>
      <x:c r="D5531" s="18" t="n">
        <x:v>33597</x:v>
      </x:c>
      <x:c r="E5531" s="18" t="n">
        <x:v>25.44</x:v>
      </x:c>
      <x:c r="F5531" s="18" t="n">
        <x:v>18.13</x:v>
      </x:c>
      <x:c r="G5531" t="n">
        <x:v>36</x:v>
      </x:c>
      <x:c r="H5531" t="str">
        <x:v>E</x:v>
      </x:c>
      <x:c r="I5531" t="str">
        <x:v>4-6 years</x:v>
      </x:c>
      <x:c r="J5531" t="str">
        <x:v>RENT</x:v>
      </x:c>
      <x:c r="K5531" t="str">
        <x:v>debt_consolidation</x:v>
      </x:c>
      <x:c r="L5531" t="n">
        <x:v>2</x:v>
      </x:c>
      <x:c r="M5531" t="n">
        <x:v>0</x:v>
      </x:c>
      <x:c r="N5531" t="str">
        <x:v>Fully Paid</x:v>
      </x:c>
      <x:c r="O5531" t="str">
        <x:f>IF(D5531="","Unknown",IF(D5531&lt;25000,"&lt;$25k",IF(D5531&lt;50000,"$25k-$50k",IF(D5531&lt;75000,"$50k-$75k",IF(D5531&lt;100000,"$75k-$100k","$100k+")))))</x:f>
        <x:v>$25k-$50k</x:v>
      </x:c>
      <x:c r="P5531" t="str">
        <x:f>IF(E5531="","Unknown",IF(E5531&lt;10,"&lt;10",IF(E5531&lt;20,"10-&lt;20",IF(E5531&lt;25,"20-&lt;25",IF(E5531&lt;35,"25-&lt;35","35+")))))</x:f>
        <x:v>25-&lt;35</x:v>
      </x:c>
    </x:row>
    <x:row r="5532">
      <x:c r="A5532" t="str">
        <x:v>SYN0005531</x:v>
      </x:c>
      <x:c r="B5532" s="12" t="n">
        <x:v>43405</x:v>
      </x:c>
      <x:c r="C5532" s="18" t="n">
        <x:v>6327</x:v>
      </x:c>
      <x:c r="D5532" s="18" t="n">
        <x:v>71001</x:v>
      </x:c>
      <x:c r="E5532" s="18" t="n">
        <x:v>23.75</x:v>
      </x:c>
      <x:c r="F5532" s="18" t="n">
        <x:v>9.77</x:v>
      </x:c>
      <x:c r="G5532" t="n">
        <x:v>60</x:v>
      </x:c>
      <x:c r="H5532" t="str">
        <x:v>C</x:v>
      </x:c>
      <x:c r="I5532" t="str">
        <x:v>1-3 years</x:v>
      </x:c>
      <x:c r="J5532" t="str">
        <x:v>MORTGAGE</x:v>
      </x:c>
      <x:c r="K5532" t="str">
        <x:v>credit_card</x:v>
      </x:c>
      <x:c r="L5532" t="n">
        <x:v>4</x:v>
      </x:c>
      <x:c r="M5532" t="n">
        <x:v>0</x:v>
      </x:c>
      <x:c r="N5532" t="str">
        <x:v>Fully Paid</x:v>
      </x:c>
      <x:c r="O5532" t="str">
        <x:f>IF(D5532="","Unknown",IF(D5532&lt;25000,"&lt;$25k",IF(D5532&lt;50000,"$25k-$50k",IF(D5532&lt;75000,"$50k-$75k",IF(D5532&lt;100000,"$75k-$100k","$100k+")))))</x:f>
        <x:v>$50k-$75k</x:v>
      </x:c>
      <x:c r="P5532" t="str">
        <x:f>IF(E5532="","Unknown",IF(E5532&lt;10,"&lt;10",IF(E5532&lt;20,"10-&lt;20",IF(E5532&lt;25,"20-&lt;25",IF(E5532&lt;35,"25-&lt;35","35+")))))</x:f>
        <x:v>20-&lt;25</x:v>
      </x:c>
    </x:row>
    <x:row r="5533">
      <x:c r="A5533" t="str">
        <x:v>SYN0005532</x:v>
      </x:c>
      <x:c r="B5533" s="12" t="n">
        <x:v>41695</x:v>
      </x:c>
      <x:c r="C5533" s="18" t="n">
        <x:v>13765</x:v>
      </x:c>
      <x:c r="D5533" s="18" t="n">
        <x:v>81469</x:v>
      </x:c>
      <x:c r="E5533" s="18" t="n">
        <x:v>33.03</x:v>
      </x:c>
      <x:c r="F5533" s="18" t="n">
        <x:v>10.37</x:v>
      </x:c>
      <x:c r="G5533" t="n">
        <x:v>36</x:v>
      </x:c>
      <x:c r="H5533" t="str">
        <x:v>C</x:v>
      </x:c>
      <x:c r="I5533" t="str">
        <x:v>10+ years</x:v>
      </x:c>
      <x:c r="J5533" t="str">
        <x:v>RENT</x:v>
      </x:c>
      <x:c r="K5533" t="str">
        <x:v>credit_card</x:v>
      </x:c>
      <x:c r="L5533" t="n">
        <x:v>1</x:v>
      </x:c>
      <x:c r="M5533" t="n">
        <x:v>0</x:v>
      </x:c>
      <x:c r="N5533" t="str">
        <x:v>Fully Paid</x:v>
      </x:c>
      <x:c r="O5533" t="str">
        <x:f>IF(D5533="","Unknown",IF(D5533&lt;25000,"&lt;$25k",IF(D5533&lt;50000,"$25k-$50k",IF(D5533&lt;75000,"$50k-$75k",IF(D5533&lt;100000,"$75k-$100k","$100k+")))))</x:f>
        <x:v>$75k-$100k</x:v>
      </x:c>
      <x:c r="P5533" t="str">
        <x:f>IF(E5533="","Unknown",IF(E5533&lt;10,"&lt;10",IF(E5533&lt;20,"10-&lt;20",IF(E5533&lt;25,"20-&lt;25",IF(E5533&lt;35,"25-&lt;35","35+")))))</x:f>
        <x:v>25-&lt;35</x:v>
      </x:c>
    </x:row>
    <x:row r="5534">
      <x:c r="A5534" t="str">
        <x:v>SYN0005533</x:v>
      </x:c>
      <x:c r="B5534" s="12" t="n">
        <x:v>41755</x:v>
      </x:c>
      <x:c r="C5534" s="18" t="n">
        <x:v>23126</x:v>
      </x:c>
      <x:c r="D5534" s="18" t="n">
        <x:v>64709</x:v>
      </x:c>
      <x:c r="E5534" s="18" t="n">
        <x:v>0</x:v>
      </x:c>
      <x:c r="F5534" s="18" t="n">
        <x:v>16.13</x:v>
      </x:c>
      <x:c r="G5534" t="n">
        <x:v>60</x:v>
      </x:c>
      <x:c r="H5534" t="str">
        <x:v>D</x:v>
      </x:c>
      <x:c r="I5534" t="str">
        <x:v>4-6 years</x:v>
      </x:c>
      <x:c r="J5534" t="str">
        <x:v>OWN</x:v>
      </x:c>
      <x:c r="K5534" t="str">
        <x:v>credit_card</x:v>
      </x:c>
      <x:c r="L5534" t="n">
        <x:v>0</x:v>
      </x:c>
      <x:c r="M5534" t="n">
        <x:v>1</x:v>
      </x:c>
      <x:c r="N5534" t="str">
        <x:v>Charged Off</x:v>
      </x:c>
      <x:c r="O5534" t="str">
        <x:f>IF(D5534="","Unknown",IF(D5534&lt;25000,"&lt;$25k",IF(D5534&lt;50000,"$25k-$50k",IF(D5534&lt;75000,"$50k-$75k",IF(D5534&lt;100000,"$75k-$100k","$100k+")))))</x:f>
        <x:v>$50k-$75k</x:v>
      </x:c>
      <x:c r="P5534" t="str">
        <x:f>IF(E5534="","Unknown",IF(E5534&lt;10,"&lt;10",IF(E5534&lt;20,"10-&lt;20",IF(E5534&lt;25,"20-&lt;25",IF(E5534&lt;35,"25-&lt;35","35+")))))</x:f>
        <x:v>Unknown</x:v>
      </x:c>
    </x:row>
    <x:row r="5535">
      <x:c r="A5535" t="str">
        <x:v>SYN0005534</x:v>
      </x:c>
      <x:c r="B5535" s="12" t="n">
        <x:v>42085</x:v>
      </x:c>
      <x:c r="C5535" s="18" t="n">
        <x:v>6345</x:v>
      </x:c>
      <x:c r="D5535" s="18" t="n">
        <x:v>25762</x:v>
      </x:c>
      <x:c r="E5535" s="18" t="n">
        <x:v>31.13</x:v>
      </x:c>
      <x:c r="F5535" s="18" t="n">
        <x:v>14.96</x:v>
      </x:c>
      <x:c r="G5535" t="n">
        <x:v>36</x:v>
      </x:c>
      <x:c r="H5535" t="str">
        <x:v>D</x:v>
      </x:c>
      <x:c r="I5535" t="str">
        <x:v>7-9 years</x:v>
      </x:c>
      <x:c r="J5535" t="str">
        <x:v>RENT</x:v>
      </x:c>
      <x:c r="K5535" t="str">
        <x:v>debt_consolidation</x:v>
      </x:c>
      <x:c r="L5535" t="n">
        <x:v>1</x:v>
      </x:c>
      <x:c r="M5535" t="n">
        <x:v>0</x:v>
      </x:c>
      <x:c r="N5535" t="str">
        <x:v>Fully Paid</x:v>
      </x:c>
      <x:c r="O5535" t="str">
        <x:f>IF(D5535="","Unknown",IF(D5535&lt;25000,"&lt;$25k",IF(D5535&lt;50000,"$25k-$50k",IF(D5535&lt;75000,"$50k-$75k",IF(D5535&lt;100000,"$75k-$100k","$100k+")))))</x:f>
        <x:v>$25k-$50k</x:v>
      </x:c>
      <x:c r="P5535" t="str">
        <x:f>IF(E5535="","Unknown",IF(E5535&lt;10,"&lt;10",IF(E5535&lt;20,"10-&lt;20",IF(E5535&lt;25,"20-&lt;25",IF(E5535&lt;35,"25-&lt;35","35+")))))</x:f>
        <x:v>25-&lt;35</x:v>
      </x:c>
    </x:row>
    <x:row r="5536">
      <x:c r="A5536" t="str">
        <x:v>SYN0005535</x:v>
      </x:c>
      <x:c r="B5536" s="12" t="n">
        <x:v>42265</x:v>
      </x:c>
      <x:c r="C5536" s="18" t="n">
        <x:v>13496</x:v>
      </x:c>
      <x:c r="D5536" s="18" t="n">
        <x:v>14861</x:v>
      </x:c>
      <x:c r="E5536" s="18" t="n">
        <x:v>23.41</x:v>
      </x:c>
      <x:c r="F5536" s="18" t="n">
        <x:v>5</x:v>
      </x:c>
      <x:c r="G5536" t="n">
        <x:v>36</x:v>
      </x:c>
      <x:c r="H5536" t="str">
        <x:v>A</x:v>
      </x:c>
      <x:c r="I5536" t="str">
        <x:v>1-3 years</x:v>
      </x:c>
      <x:c r="J5536" t="str">
        <x:v>MORTGAGE</x:v>
      </x:c>
      <x:c r="K5536" t="str">
        <x:v>debt_consolidation</x:v>
      </x:c>
      <x:c r="L5536" t="n">
        <x:v>0</x:v>
      </x:c>
      <x:c r="M5536" t="n">
        <x:v>0</x:v>
      </x:c>
      <x:c r="N5536" t="str">
        <x:v>Fully Paid</x:v>
      </x:c>
      <x:c r="O5536" t="str">
        <x:f>IF(D5536="","Unknown",IF(D5536&lt;25000,"&lt;$25k",IF(D5536&lt;50000,"$25k-$50k",IF(D5536&lt;75000,"$50k-$75k",IF(D5536&lt;100000,"$75k-$100k","$100k+")))))</x:f>
        <x:v>&lt;$25k</x:v>
      </x:c>
      <x:c r="P5536" t="str">
        <x:f>IF(E5536="","Unknown",IF(E5536&lt;10,"&lt;10",IF(E5536&lt;20,"10-&lt;20",IF(E5536&lt;25,"20-&lt;25",IF(E5536&lt;35,"25-&lt;35","35+")))))</x:f>
        <x:v>20-&lt;25</x:v>
      </x:c>
    </x:row>
    <x:row r="5537">
      <x:c r="A5537" t="str">
        <x:v>SYN0005536</x:v>
      </x:c>
      <x:c r="B5537" s="12" t="n">
        <x:v>41635</x:v>
      </x:c>
      <x:c r="C5537" s="18" t="n">
        <x:v>11625</x:v>
      </x:c>
      <x:c r="D5537" s="18" t="n">
        <x:v>37660</x:v>
      </x:c>
      <x:c r="E5537" s="18" t="n">
        <x:v>18.94</x:v>
      </x:c>
      <x:c r="F5537" s="18" t="n">
        <x:v>6.18</x:v>
      </x:c>
      <x:c r="G5537" t="n">
        <x:v>36</x:v>
      </x:c>
      <x:c r="H5537" t="str">
        <x:v>A</x:v>
      </x:c>
      <x:c r="I5537" t="str">
        <x:v>1-3 years</x:v>
      </x:c>
      <x:c r="J5537" t="str">
        <x:v>OWN</x:v>
      </x:c>
      <x:c r="K5537" t="str">
        <x:v>debt_consolidation</x:v>
      </x:c>
      <x:c r="L5537" t="n">
        <x:v>0</x:v>
      </x:c>
      <x:c r="M5537" t="n">
        <x:v>0</x:v>
      </x:c>
      <x:c r="N5537" t="str">
        <x:v>Fully Paid</x:v>
      </x:c>
      <x:c r="O5537" t="str">
        <x:f>IF(D5537="","Unknown",IF(D5537&lt;25000,"&lt;$25k",IF(D5537&lt;50000,"$25k-$50k",IF(D5537&lt;75000,"$50k-$75k",IF(D5537&lt;100000,"$75k-$100k","$100k+")))))</x:f>
        <x:v>$25k-$50k</x:v>
      </x:c>
      <x:c r="P5537" t="str">
        <x:f>IF(E5537="","Unknown",IF(E5537&lt;10,"&lt;10",IF(E5537&lt;20,"10-&lt;20",IF(E5537&lt;25,"20-&lt;25",IF(E5537&lt;35,"25-&lt;35","35+")))))</x:f>
        <x:v>10-&lt;20</x:v>
      </x:c>
    </x:row>
    <x:row r="5538">
      <x:c r="A5538" t="str">
        <x:v>SYN0005537</x:v>
      </x:c>
      <x:c r="B5538" s="12" t="n">
        <x:v>41755</x:v>
      </x:c>
      <x:c r="C5538" s="18" t="n">
        <x:v>27900</x:v>
      </x:c>
      <x:c r="D5538" s="18" t="n">
        <x:v>32966</x:v>
      </x:c>
      <x:c r="E5538" s="18" t="n">
        <x:v>32.03</x:v>
      </x:c>
      <x:c r="F5538" s="18" t="n">
        <x:v>10.45</x:v>
      </x:c>
      <x:c r="G5538" t="n">
        <x:v>36</x:v>
      </x:c>
      <x:c r="H5538" t="str">
        <x:v>C</x:v>
      </x:c>
      <x:c r="I5538" t="str">
        <x:v>10+ years</x:v>
      </x:c>
      <x:c r="J5538" t="str">
        <x:v>MORTGAGE</x:v>
      </x:c>
      <x:c r="K5538" t="str">
        <x:v>home_improvement</x:v>
      </x:c>
      <x:c r="L5538" t="n">
        <x:v>0</x:v>
      </x:c>
      <x:c r="M5538" t="n">
        <x:v>0</x:v>
      </x:c>
      <x:c r="N5538" t="str">
        <x:v>Fully Paid</x:v>
      </x:c>
      <x:c r="O5538" t="str">
        <x:f>IF(D5538="","Unknown",IF(D5538&lt;25000,"&lt;$25k",IF(D5538&lt;50000,"$25k-$50k",IF(D5538&lt;75000,"$50k-$75k",IF(D5538&lt;100000,"$75k-$100k","$100k+")))))</x:f>
        <x:v>$25k-$50k</x:v>
      </x:c>
      <x:c r="P5538" t="str">
        <x:f>IF(E5538="","Unknown",IF(E5538&lt;10,"&lt;10",IF(E5538&lt;20,"10-&lt;20",IF(E5538&lt;25,"20-&lt;25",IF(E5538&lt;35,"25-&lt;35","35+")))))</x:f>
        <x:v>25-&lt;35</x:v>
      </x:c>
    </x:row>
    <x:row r="5539">
      <x:c r="A5539" t="str">
        <x:v>SYN0005538</x:v>
      </x:c>
      <x:c r="B5539" s="12" t="n">
        <x:v>42685</x:v>
      </x:c>
      <x:c r="C5539" s="18" t="n">
        <x:v>7869</x:v>
      </x:c>
      <x:c r="D5539" s="18" t="n">
        <x:v>23756</x:v>
      </x:c>
      <x:c r="E5539" s="18" t="n">
        <x:v>22.4</x:v>
      </x:c>
      <x:c r="F5539" s="18" t="n">
        <x:v>9.03</x:v>
      </x:c>
      <x:c r="G5539" t="n">
        <x:v>36</x:v>
      </x:c>
      <x:c r="H5539" t="str">
        <x:v>C</x:v>
      </x:c>
      <x:c r="I5539" t="str">
        <x:v>1-3 years</x:v>
      </x:c>
      <x:c r="J5539" t="str">
        <x:v>MORTGAGE</x:v>
      </x:c>
      <x:c r="K5539" t="str">
        <x:v>debt_consolidation</x:v>
      </x:c>
      <x:c r="L5539" t="n">
        <x:v>0</x:v>
      </x:c>
      <x:c r="M5539" t="n">
        <x:v>0</x:v>
      </x:c>
      <x:c r="N5539" t="str">
        <x:v>Fully Paid</x:v>
      </x:c>
      <x:c r="O5539" t="str">
        <x:f>IF(D5539="","Unknown",IF(D5539&lt;25000,"&lt;$25k",IF(D5539&lt;50000,"$25k-$50k",IF(D5539&lt;75000,"$50k-$75k",IF(D5539&lt;100000,"$75k-$100k","$100k+")))))</x:f>
        <x:v>&lt;$25k</x:v>
      </x:c>
      <x:c r="P5539" t="str">
        <x:f>IF(E5539="","Unknown",IF(E5539&lt;10,"&lt;10",IF(E5539&lt;20,"10-&lt;20",IF(E5539&lt;25,"20-&lt;25",IF(E5539&lt;35,"25-&lt;35","35+")))))</x:f>
        <x:v>20-&lt;25</x:v>
      </x:c>
    </x:row>
    <x:row r="5540">
      <x:c r="A5540" t="str">
        <x:v>SYN0005539</x:v>
      </x:c>
      <x:c r="B5540" s="12" t="n">
        <x:v>42295</x:v>
      </x:c>
      <x:c r="C5540" s="18" t="n">
        <x:v>9092</x:v>
      </x:c>
      <x:c r="D5540" s="18" t="n">
        <x:v>63393</x:v>
      </x:c>
      <x:c r="E5540" s="18" t="n">
        <x:v>22.18</x:v>
      </x:c>
      <x:c r="F5540" s="18" t="n">
        <x:v>15.05</x:v>
      </x:c>
      <x:c r="G5540" t="n">
        <x:v>60</x:v>
      </x:c>
      <x:c r="H5540" t="str">
        <x:v>D</x:v>
      </x:c>
      <x:c r="I5540" t="str">
        <x:v>1-3 years</x:v>
      </x:c>
      <x:c r="J5540" t="str">
        <x:v>MORTGAGE</x:v>
      </x:c>
      <x:c r="K5540" t="str">
        <x:v>major_purchase</x:v>
      </x:c>
      <x:c r="L5540" t="n">
        <x:v>0</x:v>
      </x:c>
      <x:c r="M5540" t="n">
        <x:v>0</x:v>
      </x:c>
      <x:c r="N5540" t="str">
        <x:v>Fully Paid</x:v>
      </x:c>
      <x:c r="O5540" t="str">
        <x:f>IF(D5540="","Unknown",IF(D5540&lt;25000,"&lt;$25k",IF(D5540&lt;50000,"$25k-$50k",IF(D5540&lt;75000,"$50k-$75k",IF(D5540&lt;100000,"$75k-$100k","$100k+")))))</x:f>
        <x:v>$50k-$75k</x:v>
      </x:c>
      <x:c r="P5540" t="str">
        <x:f>IF(E5540="","Unknown",IF(E5540&lt;10,"&lt;10",IF(E5540&lt;20,"10-&lt;20",IF(E5540&lt;25,"20-&lt;25",IF(E5540&lt;35,"25-&lt;35","35+")))))</x:f>
        <x:v>20-&lt;25</x:v>
      </x:c>
    </x:row>
    <x:row r="5541">
      <x:c r="A5541" t="str">
        <x:v>SYN0005540</x:v>
      </x:c>
      <x:c r="B5541" s="12" t="n">
        <x:v>41815</x:v>
      </x:c>
      <x:c r="C5541" s="18" t="n">
        <x:v>8815</x:v>
      </x:c>
      <x:c r="D5541" s="18" t="n">
        <x:v>24355</x:v>
      </x:c>
      <x:c r="E5541" s="18" t="n">
        <x:v>23.14</x:v>
      </x:c>
      <x:c r="F5541" s="18" t="n">
        <x:v>8.88</x:v>
      </x:c>
      <x:c r="G5541" t="n">
        <x:v>36</x:v>
      </x:c>
      <x:c r="H5541" t="str">
        <x:v>C</x:v>
      </x:c>
      <x:c r="I5541" t="str">
        <x:v>10+ years</x:v>
      </x:c>
      <x:c r="J5541" t="str">
        <x:v>MORTGAGE</x:v>
      </x:c>
      <x:c r="K5541" t="str">
        <x:v>debt_consolidation</x:v>
      </x:c>
      <x:c r="L5541" t="n">
        <x:v>0</x:v>
      </x:c>
      <x:c r="M5541" t="n">
        <x:v>0</x:v>
      </x:c>
      <x:c r="N5541" t="str">
        <x:v>Fully Paid</x:v>
      </x:c>
      <x:c r="O5541" t="str">
        <x:f>IF(D5541="","Unknown",IF(D5541&lt;25000,"&lt;$25k",IF(D5541&lt;50000,"$25k-$50k",IF(D5541&lt;75000,"$50k-$75k",IF(D5541&lt;100000,"$75k-$100k","$100k+")))))</x:f>
        <x:v>&lt;$25k</x:v>
      </x:c>
      <x:c r="P5541" t="str">
        <x:f>IF(E5541="","Unknown",IF(E5541&lt;10,"&lt;10",IF(E5541&lt;20,"10-&lt;20",IF(E5541&lt;25,"20-&lt;25",IF(E5541&lt;35,"25-&lt;35","35+")))))</x:f>
        <x:v>20-&lt;25</x:v>
      </x:c>
    </x:row>
    <x:row r="5542">
      <x:c r="A5542" t="str">
        <x:v>SYN0005541</x:v>
      </x:c>
      <x:c r="B5542" s="12" t="n">
        <x:v>41365</x:v>
      </x:c>
      <x:c r="C5542" s="18" t="n">
        <x:v>9498</x:v>
      </x:c>
      <x:c r="D5542" s="18" t="n">
        <x:v>97119</x:v>
      </x:c>
      <x:c r="E5542" s="18" t="n">
        <x:v>12.12</x:v>
      </x:c>
      <x:c r="F5542" s="18" t="n">
        <x:v>9.82</x:v>
      </x:c>
      <x:c r="G5542" t="n">
        <x:v>36</x:v>
      </x:c>
      <x:c r="H5542" t="str">
        <x:v>B</x:v>
      </x:c>
      <x:c r="I5542" t="str">
        <x:v>7-9 years</x:v>
      </x:c>
      <x:c r="J5542" t="str">
        <x:v>RENT</x:v>
      </x:c>
      <x:c r="K5542" t="str">
        <x:v>credit_card</x:v>
      </x:c>
      <x:c r="L5542" t="n">
        <x:v>0</x:v>
      </x:c>
      <x:c r="M5542" t="n">
        <x:v>0</x:v>
      </x:c>
      <x:c r="N5542" t="str">
        <x:v>Fully Paid</x:v>
      </x:c>
      <x:c r="O5542" t="str">
        <x:f>IF(D5542="","Unknown",IF(D5542&lt;25000,"&lt;$25k",IF(D5542&lt;50000,"$25k-$50k",IF(D5542&lt;75000,"$50k-$75k",IF(D5542&lt;100000,"$75k-$100k","$100k+")))))</x:f>
        <x:v>$75k-$100k</x:v>
      </x:c>
      <x:c r="P5542" t="str">
        <x:f>IF(E5542="","Unknown",IF(E5542&lt;10,"&lt;10",IF(E5542&lt;20,"10-&lt;20",IF(E5542&lt;25,"20-&lt;25",IF(E5542&lt;35,"25-&lt;35","35+")))))</x:f>
        <x:v>10-&lt;20</x:v>
      </x:c>
    </x:row>
    <x:row r="5543">
      <x:c r="A5543" t="str">
        <x:v>SYN0005542</x:v>
      </x:c>
      <x:c r="B5543" s="12" t="n">
        <x:v>43375</x:v>
      </x:c>
      <x:c r="C5543" s="18" t="n">
        <x:v>21343</x:v>
      </x:c>
      <x:c r="D5543" s="18" t="n">
        <x:v>32688</x:v>
      </x:c>
      <x:c r="E5543" s="18" t="n">
        <x:v>4.27</x:v>
      </x:c>
      <x:c r="F5543" s="18" t="n">
        <x:v>12.17</x:v>
      </x:c>
      <x:c r="G5543" t="n">
        <x:v>60</x:v>
      </x:c>
      <x:c r="H5543" t="str">
        <x:v>C</x:v>
      </x:c>
      <x:c r="I5543" t="str">
        <x:v>7-9 years</x:v>
      </x:c>
      <x:c r="J5543" t="str">
        <x:v>MORTGAGE</x:v>
      </x:c>
      <x:c r="K5543" t="str">
        <x:v>credit_card</x:v>
      </x:c>
      <x:c r="L5543" t="n">
        <x:v>0</x:v>
      </x:c>
      <x:c r="M5543" t="n">
        <x:v>0</x:v>
      </x:c>
      <x:c r="N5543" t="str">
        <x:v>Fully Paid</x:v>
      </x:c>
      <x:c r="O5543" t="str">
        <x:f>IF(D5543="","Unknown",IF(D5543&lt;25000,"&lt;$25k",IF(D5543&lt;50000,"$25k-$50k",IF(D5543&lt;75000,"$50k-$75k",IF(D5543&lt;100000,"$75k-$100k","$100k+")))))</x:f>
        <x:v>$25k-$50k</x:v>
      </x:c>
      <x:c r="P5543" t="str">
        <x:f>IF(E5543="","Unknown",IF(E5543&lt;10,"&lt;10",IF(E5543&lt;20,"10-&lt;20",IF(E5543&lt;25,"20-&lt;25",IF(E5543&lt;35,"25-&lt;35","35+")))))</x:f>
        <x:v>&lt;10</x:v>
      </x:c>
    </x:row>
    <x:row r="5544">
      <x:c r="A5544" t="str">
        <x:v>SYN0005543</x:v>
      </x:c>
      <x:c r="B5544" s="12" t="n">
        <x:v>42205</x:v>
      </x:c>
      <x:c r="C5544" s="18" t="n">
        <x:v>7619</x:v>
      </x:c>
      <x:c r="D5544" s="18" t="n">
        <x:v>107205</x:v>
      </x:c>
      <x:c r="E5544" s="18" t="n">
        <x:v>14.9</x:v>
      </x:c>
      <x:c r="F5544" s="18" t="n">
        <x:v>7.7</x:v>
      </x:c>
      <x:c r="G5544" t="n">
        <x:v>36</x:v>
      </x:c>
      <x:c r="H5544" t="str">
        <x:v>B</x:v>
      </x:c>
      <x:c r="I5544" t="str">
        <x:v>4-6 years</x:v>
      </x:c>
      <x:c r="J5544" t="str">
        <x:v>MORTGAGE</x:v>
      </x:c>
      <x:c r="K5544" t="str">
        <x:v>other</x:v>
      </x:c>
      <x:c r="L5544" t="n">
        <x:v>0</x:v>
      </x:c>
      <x:c r="M5544" t="n">
        <x:v>0</x:v>
      </x:c>
      <x:c r="N5544" t="str">
        <x:v>Fully Paid</x:v>
      </x:c>
      <x:c r="O5544" t="str">
        <x:f>IF(D5544="","Unknown",IF(D5544&lt;25000,"&lt;$25k",IF(D5544&lt;50000,"$25k-$50k",IF(D5544&lt;75000,"$50k-$75k",IF(D5544&lt;100000,"$75k-$100k","$100k+")))))</x:f>
        <x:v>$100k+</x:v>
      </x:c>
      <x:c r="P5544" t="str">
        <x:f>IF(E5544="","Unknown",IF(E5544&lt;10,"&lt;10",IF(E5544&lt;20,"10-&lt;20",IF(E5544&lt;25,"20-&lt;25",IF(E5544&lt;35,"25-&lt;35","35+")))))</x:f>
        <x:v>10-&lt;20</x:v>
      </x:c>
    </x:row>
    <x:row r="5545">
      <x:c r="A5545" t="str">
        <x:v>SYN0005544</x:v>
      </x:c>
      <x:c r="B5545" s="12" t="n">
        <x:v>42775</x:v>
      </x:c>
      <x:c r="C5545" s="18" t="n">
        <x:v>11489</x:v>
      </x:c>
      <x:c r="D5545" s="18" t="n">
        <x:v>48271</x:v>
      </x:c>
      <x:c r="E5545" s="18" t="n">
        <x:v>38.89</x:v>
      </x:c>
      <x:c r="F5545" s="18" t="n">
        <x:v>5.85</x:v>
      </x:c>
      <x:c r="G5545" t="n">
        <x:v>60</x:v>
      </x:c>
      <x:c r="H5545" t="str">
        <x:v>B</x:v>
      </x:c>
      <x:c r="I5545" t="str">
        <x:v>1-3 years</x:v>
      </x:c>
      <x:c r="J5545" t="str">
        <x:v>RENT</x:v>
      </x:c>
      <x:c r="K5545" t="str">
        <x:v>credit_card</x:v>
      </x:c>
      <x:c r="L5545" t="n">
        <x:v>0</x:v>
      </x:c>
      <x:c r="M5545" t="n">
        <x:v>0</x:v>
      </x:c>
      <x:c r="N5545" t="str">
        <x:v>Fully Paid</x:v>
      </x:c>
      <x:c r="O5545" t="str">
        <x:f>IF(D5545="","Unknown",IF(D5545&lt;25000,"&lt;$25k",IF(D5545&lt;50000,"$25k-$50k",IF(D5545&lt;75000,"$50k-$75k",IF(D5545&lt;100000,"$75k-$100k","$100k+")))))</x:f>
        <x:v>$25k-$50k</x:v>
      </x:c>
      <x:c r="P5545" t="str">
        <x:f>IF(E5545="","Unknown",IF(E5545&lt;10,"&lt;10",IF(E5545&lt;20,"10-&lt;20",IF(E5545&lt;25,"20-&lt;25",IF(E5545&lt;35,"25-&lt;35","35+")))))</x:f>
        <x:v>35+</x:v>
      </x:c>
    </x:row>
    <x:row r="5546">
      <x:c r="A5546" t="str">
        <x:v>SYN0005545</x:v>
      </x:c>
      <x:c r="B5546" s="12" t="n">
        <x:v>41515</x:v>
      </x:c>
      <x:c r="C5546" s="18" t="n">
        <x:v>8049</x:v>
      </x:c>
      <x:c r="D5546" s="18" t="n">
        <x:v>37466</x:v>
      </x:c>
      <x:c r="E5546" s="18" t="n">
        <x:v>17.95</x:v>
      </x:c>
      <x:c r="F5546" s="18" t="n">
        <x:v>19.26</x:v>
      </x:c>
      <x:c r="G5546" t="n">
        <x:v>36</x:v>
      </x:c>
      <x:c r="H5546" t="str">
        <x:v>F</x:v>
      </x:c>
      <x:c r="I5546" t="str">
        <x:v>7-9 years</x:v>
      </x:c>
      <x:c r="J5546" t="str">
        <x:v>MORTGAGE</x:v>
      </x:c>
      <x:c r="K5546" t="str">
        <x:v>credit_card</x:v>
      </x:c>
      <x:c r="L5546" t="n">
        <x:v>0</x:v>
      </x:c>
      <x:c r="M5546" t="n">
        <x:v>1</x:v>
      </x:c>
      <x:c r="N5546" t="str">
        <x:v>Charged Off</x:v>
      </x:c>
      <x:c r="O5546" t="str">
        <x:f>IF(D5546="","Unknown",IF(D5546&lt;25000,"&lt;$25k",IF(D5546&lt;50000,"$25k-$50k",IF(D5546&lt;75000,"$50k-$75k",IF(D5546&lt;100000,"$75k-$100k","$100k+")))))</x:f>
        <x:v>$25k-$50k</x:v>
      </x:c>
      <x:c r="P5546" t="str">
        <x:f>IF(E5546="","Unknown",IF(E5546&lt;10,"&lt;10",IF(E5546&lt;20,"10-&lt;20",IF(E5546&lt;25,"20-&lt;25",IF(E5546&lt;35,"25-&lt;35","35+")))))</x:f>
        <x:v>10-&lt;20</x:v>
      </x:c>
    </x:row>
    <x:row r="5547">
      <x:c r="A5547" t="str">
        <x:v>SYN0005546</x:v>
      </x:c>
      <x:c r="B5547" s="12" t="n">
        <x:v>41275</x:v>
      </x:c>
      <x:c r="C5547" s="18" t="n">
        <x:v>12997</x:v>
      </x:c>
      <x:c r="D5547" s="18" t="n">
        <x:v>50391</x:v>
      </x:c>
      <x:c r="E5547" s="18" t="n">
        <x:v>19.41</x:v>
      </x:c>
      <x:c r="F5547" s="18" t="n">
        <x:v>9.47</x:v>
      </x:c>
      <x:c r="G5547" t="n">
        <x:v>36</x:v>
      </x:c>
      <x:c r="H5547" t="str">
        <x:v>B</x:v>
      </x:c>
      <x:c r="I5547" t="str">
        <x:v>1-3 years</x:v>
      </x:c>
      <x:c r="J5547" t="str">
        <x:v>RENT</x:v>
      </x:c>
      <x:c r="K5547" t="str">
        <x:v>debt_consolidation</x:v>
      </x:c>
      <x:c r="L5547" t="n">
        <x:v>0</x:v>
      </x:c>
      <x:c r="M5547" t="n">
        <x:v>0</x:v>
      </x:c>
      <x:c r="N5547" t="str">
        <x:v>Fully Paid</x:v>
      </x:c>
      <x:c r="O5547" t="str">
        <x:f>IF(D5547="","Unknown",IF(D5547&lt;25000,"&lt;$25k",IF(D5547&lt;50000,"$25k-$50k",IF(D5547&lt;75000,"$50k-$75k",IF(D5547&lt;100000,"$75k-$100k","$100k+")))))</x:f>
        <x:v>$50k-$75k</x:v>
      </x:c>
      <x:c r="P5547" t="str">
        <x:f>IF(E5547="","Unknown",IF(E5547&lt;10,"&lt;10",IF(E5547&lt;20,"10-&lt;20",IF(E5547&lt;25,"20-&lt;25",IF(E5547&lt;35,"25-&lt;35","35+")))))</x:f>
        <x:v>10-&lt;20</x:v>
      </x:c>
    </x:row>
    <x:row r="5548">
      <x:c r="A5548" t="str">
        <x:v>SYN0005547</x:v>
      </x:c>
      <x:c r="B5548" s="12" t="n">
        <x:v>42385</x:v>
      </x:c>
      <x:c r="C5548" s="18" t="n">
        <x:v>13969</x:v>
      </x:c>
      <x:c r="D5548" s="18" t="n">
        <x:v>137274</x:v>
      </x:c>
      <x:c r="E5548" s="18" t="n">
        <x:v>17.45</x:v>
      </x:c>
      <x:c r="F5548" s="18" t="n">
        <x:v>5.43</x:v>
      </x:c>
      <x:c r="G5548" t="n">
        <x:v>36</x:v>
      </x:c>
      <x:c r="H5548" t="str">
        <x:v>A</x:v>
      </x:c>
      <x:c r="I5548" t="str">
        <x:v>10+ years</x:v>
      </x:c>
      <x:c r="J5548" t="str">
        <x:v>OWN</x:v>
      </x:c>
      <x:c r="K5548" t="str">
        <x:v>debt_consolidation</x:v>
      </x:c>
      <x:c r="L5548" t="n">
        <x:v>0</x:v>
      </x:c>
      <x:c r="M5548" t="n">
        <x:v>0</x:v>
      </x:c>
      <x:c r="N5548" t="str">
        <x:v>Fully Paid</x:v>
      </x:c>
      <x:c r="O5548" t="str">
        <x:f>IF(D5548="","Unknown",IF(D5548&lt;25000,"&lt;$25k",IF(D5548&lt;50000,"$25k-$50k",IF(D5548&lt;75000,"$50k-$75k",IF(D5548&lt;100000,"$75k-$100k","$100k+")))))</x:f>
        <x:v>$100k+</x:v>
      </x:c>
      <x:c r="P5548" t="str">
        <x:f>IF(E5548="","Unknown",IF(E5548&lt;10,"&lt;10",IF(E5548&lt;20,"10-&lt;20",IF(E5548&lt;25,"20-&lt;25",IF(E5548&lt;35,"25-&lt;35","35+")))))</x:f>
        <x:v>10-&lt;20</x:v>
      </x:c>
    </x:row>
    <x:row r="5549">
      <x:c r="A5549" t="str">
        <x:v>SYN0005548</x:v>
      </x:c>
      <x:c r="B5549" s="12" t="n">
        <x:v>42025</x:v>
      </x:c>
      <x:c r="C5549" s="18" t="n">
        <x:v>23712</x:v>
      </x:c>
      <x:c r="D5549" s="18" t="n">
        <x:v>70631</x:v>
      </x:c>
      <x:c r="E5549" s="18" t="n">
        <x:v>36.65</x:v>
      </x:c>
      <x:c r="F5549" s="18" t="n">
        <x:v>15.25</x:v>
      </x:c>
      <x:c r="G5549" t="n">
        <x:v>36</x:v>
      </x:c>
      <x:c r="H5549" t="str">
        <x:v>E</x:v>
      </x:c>
      <x:c r="I5549" t="str">
        <x:v>4-6 years</x:v>
      </x:c>
      <x:c r="J5549" t="str">
        <x:v>RENT</x:v>
      </x:c>
      <x:c r="K5549" t="str">
        <x:v>other</x:v>
      </x:c>
      <x:c r="L5549" t="n">
        <x:v>0</x:v>
      </x:c>
      <x:c r="M5549" t="n">
        <x:v>0</x:v>
      </x:c>
      <x:c r="N5549" t="str">
        <x:v>Fully Paid</x:v>
      </x:c>
      <x:c r="O5549" t="str">
        <x:f>IF(D5549="","Unknown",IF(D5549&lt;25000,"&lt;$25k",IF(D5549&lt;50000,"$25k-$50k",IF(D5549&lt;75000,"$50k-$75k",IF(D5549&lt;100000,"$75k-$100k","$100k+")))))</x:f>
        <x:v>$50k-$75k</x:v>
      </x:c>
      <x:c r="P5549" t="str">
        <x:f>IF(E5549="","Unknown",IF(E5549&lt;10,"&lt;10",IF(E5549&lt;20,"10-&lt;20",IF(E5549&lt;25,"20-&lt;25",IF(E5549&lt;35,"25-&lt;35","35+")))))</x:f>
        <x:v>35+</x:v>
      </x:c>
    </x:row>
    <x:row r="5550">
      <x:c r="A5550" t="str">
        <x:v>SYN0005549</x:v>
      </x:c>
      <x:c r="B5550" s="12" t="n">
        <x:v>42055</x:v>
      </x:c>
      <x:c r="C5550" s="18" t="n">
        <x:v>10897</x:v>
      </x:c>
      <x:c r="D5550" s="18" t="n">
        <x:v>34815</x:v>
      </x:c>
      <x:c r="E5550" s="18" t="n">
        <x:v>22.76</x:v>
      </x:c>
      <x:c r="F5550" s="18" t="n">
        <x:v>7.99</x:v>
      </x:c>
      <x:c r="G5550" t="n">
        <x:v>36</x:v>
      </x:c>
      <x:c r="H5550" t="str">
        <x:v>B</x:v>
      </x:c>
      <x:c r="I5550" t="str">
        <x:v>1-3 years</x:v>
      </x:c>
      <x:c r="J5550" t="str">
        <x:v>MORTGAGE</x:v>
      </x:c>
      <x:c r="K5550" t="str">
        <x:v>credit_card</x:v>
      </x:c>
      <x:c r="L5550" t="n">
        <x:v>0</x:v>
      </x:c>
      <x:c r="M5550" t="n">
        <x:v>0</x:v>
      </x:c>
      <x:c r="N5550" t="str">
        <x:v>Fully Paid</x:v>
      </x:c>
      <x:c r="O5550" t="str">
        <x:f>IF(D5550="","Unknown",IF(D5550&lt;25000,"&lt;$25k",IF(D5550&lt;50000,"$25k-$50k",IF(D5550&lt;75000,"$50k-$75k",IF(D5550&lt;100000,"$75k-$100k","$100k+")))))</x:f>
        <x:v>$25k-$50k</x:v>
      </x:c>
      <x:c r="P5550" t="str">
        <x:f>IF(E5550="","Unknown",IF(E5550&lt;10,"&lt;10",IF(E5550&lt;20,"10-&lt;20",IF(E5550&lt;25,"20-&lt;25",IF(E5550&lt;35,"25-&lt;35","35+")))))</x:f>
        <x:v>20-&lt;25</x:v>
      </x:c>
    </x:row>
    <x:row r="5551">
      <x:c r="A5551" t="str">
        <x:v>SYN0005550</x:v>
      </x:c>
      <x:c r="B5551" s="12" t="n">
        <x:v>42775</x:v>
      </x:c>
      <x:c r="C5551" s="18" t="n">
        <x:v>21916</x:v>
      </x:c>
      <x:c r="D5551" s="18" t="n">
        <x:v>42143</x:v>
      </x:c>
      <x:c r="E5551" s="18" t="n">
        <x:v>24.97</x:v>
      </x:c>
      <x:c r="F5551" s="18" t="n">
        <x:v>12.38</x:v>
      </x:c>
      <x:c r="G5551" t="n">
        <x:v>36</x:v>
      </x:c>
      <x:c r="H5551" t="str">
        <x:v>D</x:v>
      </x:c>
      <x:c r="I5551" t="str">
        <x:v>1-3 years</x:v>
      </x:c>
      <x:c r="J5551" t="str">
        <x:v>MORTGAGE</x:v>
      </x:c>
      <x:c r="K5551" t="str">
        <x:v>debt_consolidation</x:v>
      </x:c>
      <x:c r="L5551" t="n">
        <x:v>1</x:v>
      </x:c>
      <x:c r="M5551" t="n">
        <x:v>0</x:v>
      </x:c>
      <x:c r="N5551" t="str">
        <x:v>Fully Paid</x:v>
      </x:c>
      <x:c r="O5551" t="str">
        <x:f>IF(D5551="","Unknown",IF(D5551&lt;25000,"&lt;$25k",IF(D5551&lt;50000,"$25k-$50k",IF(D5551&lt;75000,"$50k-$75k",IF(D5551&lt;100000,"$75k-$100k","$100k+")))))</x:f>
        <x:v>$25k-$50k</x:v>
      </x:c>
      <x:c r="P5551" t="str">
        <x:f>IF(E5551="","Unknown",IF(E5551&lt;10,"&lt;10",IF(E5551&lt;20,"10-&lt;20",IF(E5551&lt;25,"20-&lt;25",IF(E5551&lt;35,"25-&lt;35","35+")))))</x:f>
        <x:v>20-&lt;25</x:v>
      </x:c>
    </x:row>
    <x:row r="5552">
      <x:c r="A5552" t="str">
        <x:v>SYN0005551</x:v>
      </x:c>
      <x:c r="B5552" s="12" t="n">
        <x:v>43195</x:v>
      </x:c>
      <x:c r="C5552" s="18" t="n">
        <x:v>10245</x:v>
      </x:c>
      <x:c r="D5552" s="18" t="n">
        <x:v>57014</x:v>
      </x:c>
      <x:c r="E5552" s="18" t="n">
        <x:v>17.32</x:v>
      </x:c>
      <x:c r="F5552" s="18" t="n">
        <x:v>14.58</x:v>
      </x:c>
      <x:c r="G5552" t="n">
        <x:v>36</x:v>
      </x:c>
      <x:c r="H5552" t="str">
        <x:v>D</x:v>
      </x:c>
      <x:c r="I5552" t="str">
        <x:v>7-9 years</x:v>
      </x:c>
      <x:c r="J5552" t="str">
        <x:v>RENT</x:v>
      </x:c>
      <x:c r="K5552" t="str">
        <x:v>credit_card</x:v>
      </x:c>
      <x:c r="L5552" t="n">
        <x:v>2</x:v>
      </x:c>
      <x:c r="M5552" t="n">
        <x:v>0</x:v>
      </x:c>
      <x:c r="N5552" t="str">
        <x:v>Fully Paid</x:v>
      </x:c>
      <x:c r="O5552" t="str">
        <x:f>IF(D5552="","Unknown",IF(D5552&lt;25000,"&lt;$25k",IF(D5552&lt;50000,"$25k-$50k",IF(D5552&lt;75000,"$50k-$75k",IF(D5552&lt;100000,"$75k-$100k","$100k+")))))</x:f>
        <x:v>$50k-$75k</x:v>
      </x:c>
      <x:c r="P5552" t="str">
        <x:f>IF(E5552="","Unknown",IF(E5552&lt;10,"&lt;10",IF(E5552&lt;20,"10-&lt;20",IF(E5552&lt;25,"20-&lt;25",IF(E5552&lt;35,"25-&lt;35","35+")))))</x:f>
        <x:v>10-&lt;20</x:v>
      </x:c>
    </x:row>
    <x:row r="5553">
      <x:c r="A5553" t="str">
        <x:v>SYN0005552</x:v>
      </x:c>
      <x:c r="B5553" s="12" t="n">
        <x:v>42535</x:v>
      </x:c>
      <x:c r="C5553" s="18" t="n">
        <x:v>23319</x:v>
      </x:c>
      <x:c r="D5553" s="18" t="n">
        <x:v>72297</x:v>
      </x:c>
      <x:c r="E5553" s="18" t="n">
        <x:v>27.91</x:v>
      </x:c>
      <x:c r="F5553" s="18" t="n">
        <x:v>8.33</x:v>
      </x:c>
      <x:c r="G5553" t="n">
        <x:v>60</x:v>
      </x:c>
      <x:c r="H5553" t="str">
        <x:v>B</x:v>
      </x:c>
      <x:c r="I5553" t="str">
        <x:v>7-9 years</x:v>
      </x:c>
      <x:c r="J5553" t="str">
        <x:v>RENT</x:v>
      </x:c>
      <x:c r="K5553" t="str">
        <x:v>debt_consolidation</x:v>
      </x:c>
      <x:c r="L5553" t="n">
        <x:v>1</x:v>
      </x:c>
      <x:c r="M5553" t="n">
        <x:v>0</x:v>
      </x:c>
      <x:c r="N5553" t="str">
        <x:v>Fully Paid</x:v>
      </x:c>
      <x:c r="O5553" t="str">
        <x:f>IF(D5553="","Unknown",IF(D5553&lt;25000,"&lt;$25k",IF(D5553&lt;50000,"$25k-$50k",IF(D5553&lt;75000,"$50k-$75k",IF(D5553&lt;100000,"$75k-$100k","$100k+")))))</x:f>
        <x:v>$50k-$75k</x:v>
      </x:c>
      <x:c r="P5553" t="str">
        <x:f>IF(E5553="","Unknown",IF(E5553&lt;10,"&lt;10",IF(E5553&lt;20,"10-&lt;20",IF(E5553&lt;25,"20-&lt;25",IF(E5553&lt;35,"25-&lt;35","35+")))))</x:f>
        <x:v>25-&lt;35</x:v>
      </x:c>
    </x:row>
    <x:row r="5554">
      <x:c r="A5554" t="str">
        <x:v>SYN0005553</x:v>
      </x:c>
      <x:c r="B5554" s="12" t="n">
        <x:v>42325</x:v>
      </x:c>
      <x:c r="C5554" s="18" t="n">
        <x:v>16784</x:v>
      </x:c>
      <x:c r="D5554" s="18" t="n">
        <x:v>57290</x:v>
      </x:c>
      <x:c r="E5554" s="18" t="n">
        <x:v>25.13</x:v>
      </x:c>
      <x:c r="F5554" s="18" t="n">
        <x:v>28.1</x:v>
      </x:c>
      <x:c r="G5554" t="n">
        <x:v>60</x:v>
      </x:c>
      <x:c r="H5554" t="str">
        <x:v>G</x:v>
      </x:c>
      <x:c r="I5554" t="str">
        <x:v>10+ years</x:v>
      </x:c>
      <x:c r="J5554" t="str">
        <x:v>MORTGAGE</x:v>
      </x:c>
      <x:c r="K5554" t="str">
        <x:v>debt_consolidation</x:v>
      </x:c>
      <x:c r="L5554" t="n">
        <x:v>0</x:v>
      </x:c>
      <x:c r="M5554" t="n">
        <x:v>0</x:v>
      </x:c>
      <x:c r="N5554" t="str">
        <x:v>Fully Paid</x:v>
      </x:c>
      <x:c r="O5554" t="str">
        <x:f>IF(D5554="","Unknown",IF(D5554&lt;25000,"&lt;$25k",IF(D5554&lt;50000,"$25k-$50k",IF(D5554&lt;75000,"$50k-$75k",IF(D5554&lt;100000,"$75k-$100k","$100k+")))))</x:f>
        <x:v>$50k-$75k</x:v>
      </x:c>
      <x:c r="P5554" t="str">
        <x:f>IF(E5554="","Unknown",IF(E5554&lt;10,"&lt;10",IF(E5554&lt;20,"10-&lt;20",IF(E5554&lt;25,"20-&lt;25",IF(E5554&lt;35,"25-&lt;35","35+")))))</x:f>
        <x:v>25-&lt;35</x:v>
      </x:c>
    </x:row>
    <x:row r="5555">
      <x:c r="A5555" t="str">
        <x:v>SYN0005554</x:v>
      </x:c>
      <x:c r="B5555" s="12" t="n">
        <x:v>42835</x:v>
      </x:c>
      <x:c r="C5555" s="18" t="n">
        <x:v>8915</x:v>
      </x:c>
      <x:c r="D5555" s="18" t="n">
        <x:v>56974</x:v>
      </x:c>
      <x:c r="E5555" s="18" t="n">
        <x:v>12.19</x:v>
      </x:c>
      <x:c r="F5555" s="18" t="n">
        <x:v>20.3</x:v>
      </x:c>
      <x:c r="G5555" t="n">
        <x:v>36</x:v>
      </x:c>
      <x:c r="H5555" t="str">
        <x:v>E</x:v>
      </x:c>
      <x:c r="I5555" t="str">
        <x:v>4-6 years</x:v>
      </x:c>
      <x:c r="J5555" t="str">
        <x:v>RENT</x:v>
      </x:c>
      <x:c r="K5555" t="str">
        <x:v>debt_consolidation</x:v>
      </x:c>
      <x:c r="L5555" t="n">
        <x:v>1</x:v>
      </x:c>
      <x:c r="M5555" t="n">
        <x:v>0</x:v>
      </x:c>
      <x:c r="N5555" t="str">
        <x:v>Fully Paid</x:v>
      </x:c>
      <x:c r="O5555" t="str">
        <x:f>IF(D5555="","Unknown",IF(D5555&lt;25000,"&lt;$25k",IF(D5555&lt;50000,"$25k-$50k",IF(D5555&lt;75000,"$50k-$75k",IF(D5555&lt;100000,"$75k-$100k","$100k+")))))</x:f>
        <x:v>$50k-$75k</x:v>
      </x:c>
      <x:c r="P5555" t="str">
        <x:f>IF(E5555="","Unknown",IF(E5555&lt;10,"&lt;10",IF(E5555&lt;20,"10-&lt;20",IF(E5555&lt;25,"20-&lt;25",IF(E5555&lt;35,"25-&lt;35","35+")))))</x:f>
        <x:v>10-&lt;20</x:v>
      </x:c>
    </x:row>
    <x:row r="5556">
      <x:c r="A5556" t="str">
        <x:v>SYN0005555</x:v>
      </x:c>
      <x:c r="B5556" s="12" t="n">
        <x:v>41755</x:v>
      </x:c>
      <x:c r="C5556" s="18" t="n">
        <x:v>27811</x:v>
      </x:c>
      <x:c r="D5556" s="18" t="n">
        <x:v>39607</x:v>
      </x:c>
      <x:c r="E5556" s="18" t="n">
        <x:v>35.59</x:v>
      </x:c>
      <x:c r="F5556" s="18" t="n">
        <x:v>26.62</x:v>
      </x:c>
      <x:c r="G5556" t="n">
        <x:v>36</x:v>
      </x:c>
      <x:c r="H5556" t="str">
        <x:v>G</x:v>
      </x:c>
      <x:c r="I5556" t="str">
        <x:v>4-6 years</x:v>
      </x:c>
      <x:c r="J5556" t="str">
        <x:v>MORTGAGE</x:v>
      </x:c>
      <x:c r="K5556" t="str">
        <x:v>other</x:v>
      </x:c>
      <x:c r="L5556" t="n">
        <x:v>2</x:v>
      </x:c>
      <x:c r="M5556" t="n">
        <x:v>1</x:v>
      </x:c>
      <x:c r="N5556" t="str">
        <x:v>Charged Off</x:v>
      </x:c>
      <x:c r="O5556" t="str">
        <x:f>IF(D5556="","Unknown",IF(D5556&lt;25000,"&lt;$25k",IF(D5556&lt;50000,"$25k-$50k",IF(D5556&lt;75000,"$50k-$75k",IF(D5556&lt;100000,"$75k-$100k","$100k+")))))</x:f>
        <x:v>$25k-$50k</x:v>
      </x:c>
      <x:c r="P5556" t="str">
        <x:f>IF(E5556="","Unknown",IF(E5556&lt;10,"&lt;10",IF(E5556&lt;20,"10-&lt;20",IF(E5556&lt;25,"20-&lt;25",IF(E5556&lt;35,"25-&lt;35","35+")))))</x:f>
        <x:v>35+</x:v>
      </x:c>
    </x:row>
    <x:row r="5557">
      <x:c r="A5557" t="str">
        <x:v>SYN0005556</x:v>
      </x:c>
      <x:c r="B5557" s="12" t="n">
        <x:v>42655</x:v>
      </x:c>
      <x:c r="C5557" s="18" t="n">
        <x:v>19484</x:v>
      </x:c>
      <x:c r="D5557" s="18" t="n">
        <x:v>59027</x:v>
      </x:c>
      <x:c r="E5557" s="18" t="n">
        <x:v>20.2</x:v>
      </x:c>
      <x:c r="F5557" s="18" t="n">
        <x:v>8.92</x:v>
      </x:c>
      <x:c r="G5557" t="n">
        <x:v>60</x:v>
      </x:c>
      <x:c r="H5557" t="str">
        <x:v>B</x:v>
      </x:c>
      <x:c r="I5557" t="str">
        <x:v>4-6 years</x:v>
      </x:c>
      <x:c r="J5557" t="str">
        <x:v>OWN</x:v>
      </x:c>
      <x:c r="K5557" t="str">
        <x:v>credit_card</x:v>
      </x:c>
      <x:c r="L5557" t="n">
        <x:v>0</x:v>
      </x:c>
      <x:c r="M5557" t="n">
        <x:v>0</x:v>
      </x:c>
      <x:c r="N5557" t="str">
        <x:v>Fully Paid</x:v>
      </x:c>
      <x:c r="O5557" t="str">
        <x:f>IF(D5557="","Unknown",IF(D5557&lt;25000,"&lt;$25k",IF(D5557&lt;50000,"$25k-$50k",IF(D5557&lt;75000,"$50k-$75k",IF(D5557&lt;100000,"$75k-$100k","$100k+")))))</x:f>
        <x:v>$50k-$75k</x:v>
      </x:c>
      <x:c r="P5557" t="str">
        <x:f>IF(E5557="","Unknown",IF(E5557&lt;10,"&lt;10",IF(E5557&lt;20,"10-&lt;20",IF(E5557&lt;25,"20-&lt;25",IF(E5557&lt;35,"25-&lt;35","35+")))))</x:f>
        <x:v>20-&lt;25</x:v>
      </x:c>
    </x:row>
    <x:row r="5558">
      <x:c r="A5558" t="str">
        <x:v>SYN0005557</x:v>
      </x:c>
      <x:c r="B5558" s="12" t="n">
        <x:v>43255</x:v>
      </x:c>
      <x:c r="C5558" s="18" t="n">
        <x:v>7292</x:v>
      </x:c>
      <x:c r="D5558" s="18" t="n">
        <x:v>109589</x:v>
      </x:c>
      <x:c r="E5558" s="18" t="n">
        <x:v>24.42</x:v>
      </x:c>
      <x:c r="F5558" s="18" t="n">
        <x:v>13.31</x:v>
      </x:c>
      <x:c r="G5558" t="n">
        <x:v>36</x:v>
      </x:c>
      <x:c r="H5558" t="str">
        <x:v>D</x:v>
      </x:c>
      <x:c r="I5558" t="str">
        <x:v>1-3 years</x:v>
      </x:c>
      <x:c r="J5558" t="str">
        <x:v>MORTGAGE</x:v>
      </x:c>
      <x:c r="K5558" t="str">
        <x:v>credit_card</x:v>
      </x:c>
      <x:c r="L5558" t="n">
        <x:v>1</x:v>
      </x:c>
      <x:c r="M5558" t="n">
        <x:v>0</x:v>
      </x:c>
      <x:c r="N5558" t="str">
        <x:v>Fully Paid</x:v>
      </x:c>
      <x:c r="O5558" t="str">
        <x:f>IF(D5558="","Unknown",IF(D5558&lt;25000,"&lt;$25k",IF(D5558&lt;50000,"$25k-$50k",IF(D5558&lt;75000,"$50k-$75k",IF(D5558&lt;100000,"$75k-$100k","$100k+")))))</x:f>
        <x:v>$100k+</x:v>
      </x:c>
      <x:c r="P5558" t="str">
        <x:f>IF(E5558="","Unknown",IF(E5558&lt;10,"&lt;10",IF(E5558&lt;20,"10-&lt;20",IF(E5558&lt;25,"20-&lt;25",IF(E5558&lt;35,"25-&lt;35","35+")))))</x:f>
        <x:v>20-&lt;25</x:v>
      </x:c>
    </x:row>
    <x:row r="5559">
      <x:c r="A5559" t="str">
        <x:v>SYN0005558</x:v>
      </x:c>
      <x:c r="B5559" s="12" t="n">
        <x:v>42835</x:v>
      </x:c>
      <x:c r="C5559" s="18" t="n">
        <x:v>15601</x:v>
      </x:c>
      <x:c r="D5559" s="18" t="n">
        <x:v>74800</x:v>
      </x:c>
      <x:c r="E5559" s="18" t="n">
        <x:v>15.79</x:v>
      </x:c>
      <x:c r="F5559" s="18" t="n">
        <x:v>7.76</x:v>
      </x:c>
      <x:c r="G5559" t="n">
        <x:v>60</x:v>
      </x:c>
      <x:c r="H5559" t="str">
        <x:v>B</x:v>
      </x:c>
      <x:c r="I5559" t="str">
        <x:v>7-9 years</x:v>
      </x:c>
      <x:c r="J5559" t="str">
        <x:v>OWN</x:v>
      </x:c>
      <x:c r="K5559" t="str">
        <x:v>credit_card</x:v>
      </x:c>
      <x:c r="L5559" t="n">
        <x:v>0</x:v>
      </x:c>
      <x:c r="M5559" t="n">
        <x:v>0</x:v>
      </x:c>
      <x:c r="N5559" t="str">
        <x:v>Fully Paid</x:v>
      </x:c>
      <x:c r="O5559" t="str">
        <x:f>IF(D5559="","Unknown",IF(D5559&lt;25000,"&lt;$25k",IF(D5559&lt;50000,"$25k-$50k",IF(D5559&lt;75000,"$50k-$75k",IF(D5559&lt;100000,"$75k-$100k","$100k+")))))</x:f>
        <x:v>$50k-$75k</x:v>
      </x:c>
      <x:c r="P5559" t="str">
        <x:f>IF(E5559="","Unknown",IF(E5559&lt;10,"&lt;10",IF(E5559&lt;20,"10-&lt;20",IF(E5559&lt;25,"20-&lt;25",IF(E5559&lt;35,"25-&lt;35","35+")))))</x:f>
        <x:v>10-&lt;20</x:v>
      </x:c>
    </x:row>
    <x:row r="5560">
      <x:c r="A5560" t="str">
        <x:v>SYN0005559</x:v>
      </x:c>
      <x:c r="B5560" s="12" t="n">
        <x:v>42565</x:v>
      </x:c>
      <x:c r="C5560" s="18" t="n">
        <x:v>9656</x:v>
      </x:c>
      <x:c r="D5560" s="18" t="n">
        <x:v>21587</x:v>
      </x:c>
      <x:c r="E5560" s="18" t="n">
        <x:v>31.68</x:v>
      </x:c>
      <x:c r="F5560" s="18" t="n">
        <x:v>7.59</x:v>
      </x:c>
      <x:c r="G5560" t="n">
        <x:v>60</x:v>
      </x:c>
      <x:c r="H5560" t="str">
        <x:v>B</x:v>
      </x:c>
      <x:c r="I5560" t="str">
        <x:v>1-3 years</x:v>
      </x:c>
      <x:c r="J5560" t="str">
        <x:v>OWN</x:v>
      </x:c>
      <x:c r="K5560" t="str">
        <x:v>home_improvement</x:v>
      </x:c>
      <x:c r="L5560" t="n">
        <x:v>0</x:v>
      </x:c>
      <x:c r="M5560" t="n">
        <x:v>1</x:v>
      </x:c>
      <x:c r="N5560" t="str">
        <x:v>Charged Off</x:v>
      </x:c>
      <x:c r="O5560" t="str">
        <x:f>IF(D5560="","Unknown",IF(D5560&lt;25000,"&lt;$25k",IF(D5560&lt;50000,"$25k-$50k",IF(D5560&lt;75000,"$50k-$75k",IF(D5560&lt;100000,"$75k-$100k","$100k+")))))</x:f>
        <x:v>&lt;$25k</x:v>
      </x:c>
      <x:c r="P5560" t="str">
        <x:f>IF(E5560="","Unknown",IF(E5560&lt;10,"&lt;10",IF(E5560&lt;20,"10-&lt;20",IF(E5560&lt;25,"20-&lt;25",IF(E5560&lt;35,"25-&lt;35","35+")))))</x:f>
        <x:v>25-&lt;35</x:v>
      </x:c>
    </x:row>
    <x:row r="5561">
      <x:c r="A5561" t="str">
        <x:v>SYN0005560</x:v>
      </x:c>
      <x:c r="B5561" s="12" t="n">
        <x:v>43075</x:v>
      </x:c>
      <x:c r="C5561" s="18" t="n">
        <x:v>14247</x:v>
      </x:c>
      <x:c r="D5561" s="18" t="n">
        <x:v>24996</x:v>
      </x:c>
      <x:c r="E5561" s="18" t="n">
        <x:v>13.44</x:v>
      </x:c>
      <x:c r="F5561" s="18" t="n">
        <x:v>9.47</x:v>
      </x:c>
      <x:c r="G5561" t="n">
        <x:v>60</x:v>
      </x:c>
      <x:c r="H5561" t="str">
        <x:v>C</x:v>
      </x:c>
      <x:c r="I5561" t="str">
        <x:v>10+ years</x:v>
      </x:c>
      <x:c r="J5561" t="str">
        <x:v>OWN</x:v>
      </x:c>
      <x:c r="K5561" t="str">
        <x:v>debt_consolidation</x:v>
      </x:c>
      <x:c r="L5561" t="n">
        <x:v>0</x:v>
      </x:c>
      <x:c r="M5561" t="n">
        <x:v>1</x:v>
      </x:c>
      <x:c r="N5561" t="str">
        <x:v>Charged Off</x:v>
      </x:c>
      <x:c r="O5561" t="str">
        <x:f>IF(D5561="","Unknown",IF(D5561&lt;25000,"&lt;$25k",IF(D5561&lt;50000,"$25k-$50k",IF(D5561&lt;75000,"$50k-$75k",IF(D5561&lt;100000,"$75k-$100k","$100k+")))))</x:f>
        <x:v>&lt;$25k</x:v>
      </x:c>
      <x:c r="P5561" t="str">
        <x:f>IF(E5561="","Unknown",IF(E5561&lt;10,"&lt;10",IF(E5561&lt;20,"10-&lt;20",IF(E5561&lt;25,"20-&lt;25",IF(E5561&lt;35,"25-&lt;35","35+")))))</x:f>
        <x:v>10-&lt;20</x:v>
      </x:c>
    </x:row>
    <x:row r="5562">
      <x:c r="A5562" t="str">
        <x:v>SYN0005561</x:v>
      </x:c>
      <x:c r="B5562" s="12" t="n">
        <x:v>41335</x:v>
      </x:c>
      <x:c r="C5562" s="18" t="n">
        <x:v>13378</x:v>
      </x:c>
      <x:c r="D5562" s="18" t="n">
        <x:v>38389</x:v>
      </x:c>
      <x:c r="E5562" s="18" t="n">
        <x:v>31.61</x:v>
      </x:c>
      <x:c r="F5562" s="18" t="n">
        <x:v>19.17</x:v>
      </x:c>
      <x:c r="G5562" t="n">
        <x:v>60</x:v>
      </x:c>
      <x:c r="H5562" t="str">
        <x:v>E</x:v>
      </x:c>
      <x:c r="I5562" t="str">
        <x:v>10+ years</x:v>
      </x:c>
      <x:c r="J5562" t="str">
        <x:v>OWN</x:v>
      </x:c>
      <x:c r="K5562" t="str">
        <x:v>other</x:v>
      </x:c>
      <x:c r="L5562" t="n">
        <x:v>1</x:v>
      </x:c>
      <x:c r="M5562" t="n">
        <x:v>0</x:v>
      </x:c>
      <x:c r="N5562" t="str">
        <x:v>Fully Paid</x:v>
      </x:c>
      <x:c r="O5562" t="str">
        <x:f>IF(D5562="","Unknown",IF(D5562&lt;25000,"&lt;$25k",IF(D5562&lt;50000,"$25k-$50k",IF(D5562&lt;75000,"$50k-$75k",IF(D5562&lt;100000,"$75k-$100k","$100k+")))))</x:f>
        <x:v>$25k-$50k</x:v>
      </x:c>
      <x:c r="P5562" t="str">
        <x:f>IF(E5562="","Unknown",IF(E5562&lt;10,"&lt;10",IF(E5562&lt;20,"10-&lt;20",IF(E5562&lt;25,"20-&lt;25",IF(E5562&lt;35,"25-&lt;35","35+")))))</x:f>
        <x:v>25-&lt;35</x:v>
      </x:c>
    </x:row>
    <x:row r="5563">
      <x:c r="A5563" t="str">
        <x:v>SYN0005562</x:v>
      </x:c>
      <x:c r="B5563" s="12" t="n">
        <x:v>43105</x:v>
      </x:c>
      <x:c r="C5563" s="18" t="n">
        <x:v>5456</x:v>
      </x:c>
      <x:c r="D5563" s="18" t="n">
        <x:v>50814</x:v>
      </x:c>
      <x:c r="E5563" s="18" t="n">
        <x:v>16.09</x:v>
      </x:c>
      <x:c r="F5563" s="18" t="n">
        <x:v>5</x:v>
      </x:c>
      <x:c r="G5563" t="n">
        <x:v>36</x:v>
      </x:c>
      <x:c r="H5563" t="str">
        <x:v>A</x:v>
      </x:c>
      <x:c r="I5563" t="str">
        <x:v>1-3 years</x:v>
      </x:c>
      <x:c r="J5563" t="str">
        <x:v>MORTGAGE</x:v>
      </x:c>
      <x:c r="K5563" t="str">
        <x:v>debt_consolidation</x:v>
      </x:c>
      <x:c r="L5563" t="n">
        <x:v>0</x:v>
      </x:c>
      <x:c r="M5563" t="n">
        <x:v>0</x:v>
      </x:c>
      <x:c r="N5563" t="str">
        <x:v>Fully Paid</x:v>
      </x:c>
      <x:c r="O5563" t="str">
        <x:f>IF(D5563="","Unknown",IF(D5563&lt;25000,"&lt;$25k",IF(D5563&lt;50000,"$25k-$50k",IF(D5563&lt;75000,"$50k-$75k",IF(D5563&lt;100000,"$75k-$100k","$100k+")))))</x:f>
        <x:v>$50k-$75k</x:v>
      </x:c>
      <x:c r="P5563" t="str">
        <x:f>IF(E5563="","Unknown",IF(E5563&lt;10,"&lt;10",IF(E5563&lt;20,"10-&lt;20",IF(E5563&lt;25,"20-&lt;25",IF(E5563&lt;35,"25-&lt;35","35+")))))</x:f>
        <x:v>10-&lt;20</x:v>
      </x:c>
    </x:row>
    <x:row r="5564">
      <x:c r="A5564" t="str">
        <x:v>SYN0005563</x:v>
      </x:c>
      <x:c r="B5564" s="12" t="n">
        <x:v>41545</x:v>
      </x:c>
      <x:c r="C5564" s="18" t="n">
        <x:v>14306</x:v>
      </x:c>
      <x:c r="D5564" s="18" t="n">
        <x:v>57889</x:v>
      </x:c>
      <x:c r="E5564" s="18" t="n">
        <x:v>22.76</x:v>
      </x:c>
      <x:c r="F5564" s="18" t="n">
        <x:v>6.97</x:v>
      </x:c>
      <x:c r="G5564" t="n">
        <x:v>36</x:v>
      </x:c>
      <x:c r="H5564" t="str">
        <x:v>B</x:v>
      </x:c>
      <x:c r="I5564" t="str">
        <x:v>1-3 years</x:v>
      </x:c>
      <x:c r="J5564" t="str">
        <x:v>RENT</x:v>
      </x:c>
      <x:c r="K5564" t="str">
        <x:v>debt_consolidation</x:v>
      </x:c>
      <x:c r="L5564" t="n">
        <x:v>0</x:v>
      </x:c>
      <x:c r="M5564" t="n">
        <x:v>0</x:v>
      </x:c>
      <x:c r="N5564" t="str">
        <x:v>Fully Paid</x:v>
      </x:c>
      <x:c r="O5564" t="str">
        <x:f>IF(D5564="","Unknown",IF(D5564&lt;25000,"&lt;$25k",IF(D5564&lt;50000,"$25k-$50k",IF(D5564&lt;75000,"$50k-$75k",IF(D5564&lt;100000,"$75k-$100k","$100k+")))))</x:f>
        <x:v>$50k-$75k</x:v>
      </x:c>
      <x:c r="P5564" t="str">
        <x:f>IF(E5564="","Unknown",IF(E5564&lt;10,"&lt;10",IF(E5564&lt;20,"10-&lt;20",IF(E5564&lt;25,"20-&lt;25",IF(E5564&lt;35,"25-&lt;35","35+")))))</x:f>
        <x:v>20-&lt;25</x:v>
      </x:c>
    </x:row>
    <x:row r="5565">
      <x:c r="A5565" t="str">
        <x:v>SYN0005564</x:v>
      </x:c>
      <x:c r="B5565" s="12" t="n">
        <x:v>42895</x:v>
      </x:c>
      <x:c r="C5565" s="18" t="n">
        <x:v>17251</x:v>
      </x:c>
      <x:c r="D5565" s="18" t="n">
        <x:v>84327</x:v>
      </x:c>
      <x:c r="E5565" s="18" t="n">
        <x:v>5.76</x:v>
      </x:c>
      <x:c r="F5565" s="18" t="n">
        <x:v>6.64</x:v>
      </x:c>
      <x:c r="G5565" t="n">
        <x:v>36</x:v>
      </x:c>
      <x:c r="H5565" t="str">
        <x:v>A</x:v>
      </x:c>
      <x:c r="I5565" t="str">
        <x:v>4-6 years</x:v>
      </x:c>
      <x:c r="J5565" t="str">
        <x:v>MORTGAGE</x:v>
      </x:c>
      <x:c r="K5565" t="str">
        <x:v>credit_card</x:v>
      </x:c>
      <x:c r="L5565" t="n">
        <x:v>0</x:v>
      </x:c>
      <x:c r="M5565" t="n">
        <x:v>0</x:v>
      </x:c>
      <x:c r="N5565" t="str">
        <x:v>Fully Paid</x:v>
      </x:c>
      <x:c r="O5565" t="str">
        <x:f>IF(D5565="","Unknown",IF(D5565&lt;25000,"&lt;$25k",IF(D5565&lt;50000,"$25k-$50k",IF(D5565&lt;75000,"$50k-$75k",IF(D5565&lt;100000,"$75k-$100k","$100k+")))))</x:f>
        <x:v>$75k-$100k</x:v>
      </x:c>
      <x:c r="P5565" t="str">
        <x:f>IF(E5565="","Unknown",IF(E5565&lt;10,"&lt;10",IF(E5565&lt;20,"10-&lt;20",IF(E5565&lt;25,"20-&lt;25",IF(E5565&lt;35,"25-&lt;35","35+")))))</x:f>
        <x:v>&lt;10</x:v>
      </x:c>
    </x:row>
    <x:row r="5566">
      <x:c r="A5566" t="str">
        <x:v>SYN0005565</x:v>
      </x:c>
      <x:c r="B5566" s="12" t="n">
        <x:v>41845</x:v>
      </x:c>
      <x:c r="C5566" s="18" t="n">
        <x:v>8538</x:v>
      </x:c>
      <x:c r="D5566" s="18" t="n">
        <x:v>25636</x:v>
      </x:c>
      <x:c r="E5566" s="18" t="n">
        <x:v>25.29</x:v>
      </x:c>
      <x:c r="F5566" s="18" t="n">
        <x:v>24.76</x:v>
      </x:c>
      <x:c r="G5566" t="n">
        <x:v>60</x:v>
      </x:c>
      <x:c r="H5566" t="str">
        <x:v>F</x:v>
      </x:c>
      <x:c r="I5566" t="str">
        <x:v>4-6 years</x:v>
      </x:c>
      <x:c r="J5566" t="str">
        <x:v>RENT</x:v>
      </x:c>
      <x:c r="K5566" t="str">
        <x:v>other</x:v>
      </x:c>
      <x:c r="L5566" t="n">
        <x:v>1</x:v>
      </x:c>
      <x:c r="M5566" t="n">
        <x:v>1</x:v>
      </x:c>
      <x:c r="N5566" t="str">
        <x:v>Charged Off</x:v>
      </x:c>
      <x:c r="O5566" t="str">
        <x:f>IF(D5566="","Unknown",IF(D5566&lt;25000,"&lt;$25k",IF(D5566&lt;50000,"$25k-$50k",IF(D5566&lt;75000,"$50k-$75k",IF(D5566&lt;100000,"$75k-$100k","$100k+")))))</x:f>
        <x:v>$25k-$50k</x:v>
      </x:c>
      <x:c r="P5566" t="str">
        <x:f>IF(E5566="","Unknown",IF(E5566&lt;10,"&lt;10",IF(E5566&lt;20,"10-&lt;20",IF(E5566&lt;25,"20-&lt;25",IF(E5566&lt;35,"25-&lt;35","35+")))))</x:f>
        <x:v>25-&lt;35</x:v>
      </x:c>
    </x:row>
    <x:row r="5567">
      <x:c r="A5567" t="str">
        <x:v>SYN0005566</x:v>
      </x:c>
      <x:c r="B5567" s="12" t="n">
        <x:v>41605</x:v>
      </x:c>
      <x:c r="C5567" s="18" t="n">
        <x:v>8018</x:v>
      </x:c>
      <x:c r="D5567" s="18" t="n">
        <x:v>56589</x:v>
      </x:c>
      <x:c r="E5567" s="18" t="n">
        <x:v>24.72</x:v>
      </x:c>
      <x:c r="F5567" s="18" t="n">
        <x:v>11.62</x:v>
      </x:c>
      <x:c r="G5567" t="n">
        <x:v>60</x:v>
      </x:c>
      <x:c r="H5567" t="str">
        <x:v>C</x:v>
      </x:c>
      <x:c r="I5567" t="str">
        <x:v>4-6 years</x:v>
      </x:c>
      <x:c r="J5567" t="str">
        <x:v>MORTGAGE</x:v>
      </x:c>
      <x:c r="K5567" t="str">
        <x:v>other</x:v>
      </x:c>
      <x:c r="L5567" t="n">
        <x:v>1</x:v>
      </x:c>
      <x:c r="M5567" t="n">
        <x:v>1</x:v>
      </x:c>
      <x:c r="N5567" t="str">
        <x:v>Charged Off</x:v>
      </x:c>
      <x:c r="O5567" t="str">
        <x:f>IF(D5567="","Unknown",IF(D5567&lt;25000,"&lt;$25k",IF(D5567&lt;50000,"$25k-$50k",IF(D5567&lt;75000,"$50k-$75k",IF(D5567&lt;100000,"$75k-$100k","$100k+")))))</x:f>
        <x:v>$50k-$75k</x:v>
      </x:c>
      <x:c r="P5567" t="str">
        <x:f>IF(E5567="","Unknown",IF(E5567&lt;10,"&lt;10",IF(E5567&lt;20,"10-&lt;20",IF(E5567&lt;25,"20-&lt;25",IF(E5567&lt;35,"25-&lt;35","35+")))))</x:f>
        <x:v>20-&lt;25</x:v>
      </x:c>
    </x:row>
    <x:row r="5568">
      <x:c r="A5568" t="str">
        <x:v>SYN0005567</x:v>
      </x:c>
      <x:c r="B5568" s="12" t="n">
        <x:v>41455</x:v>
      </x:c>
      <x:c r="C5568" s="18" t="n">
        <x:v>11035</x:v>
      </x:c>
      <x:c r="D5568" s="18" t="n">
        <x:v>46556</x:v>
      </x:c>
      <x:c r="E5568" s="18" t="n">
        <x:v>7.63</x:v>
      </x:c>
      <x:c r="F5568" s="18" t="n">
        <x:v>22.23</x:v>
      </x:c>
      <x:c r="G5568" t="n">
        <x:v>36</x:v>
      </x:c>
      <x:c r="H5568" t="str">
        <x:v>F</x:v>
      </x:c>
      <x:c r="I5568" t="str">
        <x:v>10+ years</x:v>
      </x:c>
      <x:c r="J5568" t="str">
        <x:v>RENT</x:v>
      </x:c>
      <x:c r="K5568" t="str">
        <x:v>major_purchase</x:v>
      </x:c>
      <x:c r="L5568" t="n">
        <x:v>2</x:v>
      </x:c>
      <x:c r="M5568" t="n">
        <x:v>0</x:v>
      </x:c>
      <x:c r="N5568" t="str">
        <x:v>Fully Paid</x:v>
      </x:c>
      <x:c r="O5568" t="str">
        <x:f>IF(D5568="","Unknown",IF(D5568&lt;25000,"&lt;$25k",IF(D5568&lt;50000,"$25k-$50k",IF(D5568&lt;75000,"$50k-$75k",IF(D5568&lt;100000,"$75k-$100k","$100k+")))))</x:f>
        <x:v>$25k-$50k</x:v>
      </x:c>
      <x:c r="P5568" t="str">
        <x:f>IF(E5568="","Unknown",IF(E5568&lt;10,"&lt;10",IF(E5568&lt;20,"10-&lt;20",IF(E5568&lt;25,"20-&lt;25",IF(E5568&lt;35,"25-&lt;35","35+")))))</x:f>
        <x:v>&lt;10</x:v>
      </x:c>
    </x:row>
    <x:row r="5569">
      <x:c r="A5569" t="str">
        <x:v>SYN0005568</x:v>
      </x:c>
      <x:c r="B5569" s="12" t="n">
        <x:v>42565</x:v>
      </x:c>
      <x:c r="C5569" s="18" t="n">
        <x:v>15277</x:v>
      </x:c>
      <x:c r="D5569" s="18" t="n">
        <x:v>21937</x:v>
      </x:c>
      <x:c r="E5569" s="18" t="n">
        <x:v>27.53</x:v>
      </x:c>
      <x:c r="F5569" s="18" t="n">
        <x:v>7.39</x:v>
      </x:c>
      <x:c r="G5569" t="n">
        <x:v>36</x:v>
      </x:c>
      <x:c r="H5569" t="str">
        <x:v>B</x:v>
      </x:c>
      <x:c r="I5569" t="str">
        <x:v>&lt;1 year</x:v>
      </x:c>
      <x:c r="J5569" t="str">
        <x:v>RENT</x:v>
      </x:c>
      <x:c r="K5569" t="str">
        <x:v>debt_consolidation</x:v>
      </x:c>
      <x:c r="L5569" t="n">
        <x:v>0</x:v>
      </x:c>
      <x:c r="M5569" t="n">
        <x:v>0</x:v>
      </x:c>
      <x:c r="N5569" t="str">
        <x:v>Fully Paid</x:v>
      </x:c>
      <x:c r="O5569" t="str">
        <x:f>IF(D5569="","Unknown",IF(D5569&lt;25000,"&lt;$25k",IF(D5569&lt;50000,"$25k-$50k",IF(D5569&lt;75000,"$50k-$75k",IF(D5569&lt;100000,"$75k-$100k","$100k+")))))</x:f>
        <x:v>&lt;$25k</x:v>
      </x:c>
      <x:c r="P5569" t="str">
        <x:f>IF(E5569="","Unknown",IF(E5569&lt;10,"&lt;10",IF(E5569&lt;20,"10-&lt;20",IF(E5569&lt;25,"20-&lt;25",IF(E5569&lt;35,"25-&lt;35","35+")))))</x:f>
        <x:v>25-&lt;35</x:v>
      </x:c>
    </x:row>
    <x:row r="5570">
      <x:c r="A5570" t="str">
        <x:v>SYN0005569</x:v>
      </x:c>
      <x:c r="B5570" s="12" t="n">
        <x:v>41305</x:v>
      </x:c>
      <x:c r="C5570" s="18" t="n">
        <x:v>28538</x:v>
      </x:c>
      <x:c r="D5570" s="18" t="n">
        <x:v>29556</x:v>
      </x:c>
      <x:c r="E5570" s="18" t="n">
        <x:v>18.61</x:v>
      </x:c>
      <x:c r="F5570" s="18" t="n">
        <x:v>7.96</x:v>
      </x:c>
      <x:c r="G5570" t="n">
        <x:v>36</x:v>
      </x:c>
      <x:c r="H5570" t="str">
        <x:v>B</x:v>
      </x:c>
      <x:c r="I5570" t="str">
        <x:v>10+ years</x:v>
      </x:c>
      <x:c r="J5570" t="str">
        <x:v>MORTGAGE</x:v>
      </x:c>
      <x:c r="K5570" t="str">
        <x:v>other</x:v>
      </x:c>
      <x:c r="L5570" t="n">
        <x:v>0</x:v>
      </x:c>
      <x:c r="M5570" t="n">
        <x:v>0</x:v>
      </x:c>
      <x:c r="N5570" t="str">
        <x:v>Fully Paid</x:v>
      </x:c>
      <x:c r="O5570" t="str">
        <x:f>IF(D5570="","Unknown",IF(D5570&lt;25000,"&lt;$25k",IF(D5570&lt;50000,"$25k-$50k",IF(D5570&lt;75000,"$50k-$75k",IF(D5570&lt;100000,"$75k-$100k","$100k+")))))</x:f>
        <x:v>$25k-$50k</x:v>
      </x:c>
      <x:c r="P5570" t="str">
        <x:f>IF(E5570="","Unknown",IF(E5570&lt;10,"&lt;10",IF(E5570&lt;20,"10-&lt;20",IF(E5570&lt;25,"20-&lt;25",IF(E5570&lt;35,"25-&lt;35","35+")))))</x:f>
        <x:v>10-&lt;20</x:v>
      </x:c>
    </x:row>
    <x:row r="5571">
      <x:c r="A5571" t="str">
        <x:v>SYN0005570</x:v>
      </x:c>
      <x:c r="B5571" s="12" t="n">
        <x:v>41455</x:v>
      </x:c>
      <x:c r="C5571" s="18" t="n">
        <x:v>4743</x:v>
      </x:c>
      <x:c r="D5571" s="18" t="n">
        <x:v>55360</x:v>
      </x:c>
      <x:c r="E5571" s="18" t="n">
        <x:v>37.97</x:v>
      </x:c>
      <x:c r="F5571" s="18" t="n">
        <x:v>11.68</x:v>
      </x:c>
      <x:c r="G5571" t="n">
        <x:v>36</x:v>
      </x:c>
      <x:c r="H5571" t="str">
        <x:v>C</x:v>
      </x:c>
      <x:c r="I5571" t="str">
        <x:v>4-6 years</x:v>
      </x:c>
      <x:c r="J5571" t="str">
        <x:v>OWN</x:v>
      </x:c>
      <x:c r="K5571" t="str">
        <x:v>debt_consolidation</x:v>
      </x:c>
      <x:c r="L5571" t="n">
        <x:v>2</x:v>
      </x:c>
      <x:c r="M5571" t="n">
        <x:v>0</x:v>
      </x:c>
      <x:c r="N5571" t="str">
        <x:v>Fully Paid</x:v>
      </x:c>
      <x:c r="O5571" t="str">
        <x:f>IF(D5571="","Unknown",IF(D5571&lt;25000,"&lt;$25k",IF(D5571&lt;50000,"$25k-$50k",IF(D5571&lt;75000,"$50k-$75k",IF(D5571&lt;100000,"$75k-$100k","$100k+")))))</x:f>
        <x:v>$50k-$75k</x:v>
      </x:c>
      <x:c r="P5571" t="str">
        <x:f>IF(E5571="","Unknown",IF(E5571&lt;10,"&lt;10",IF(E5571&lt;20,"10-&lt;20",IF(E5571&lt;25,"20-&lt;25",IF(E5571&lt;35,"25-&lt;35","35+")))))</x:f>
        <x:v>35+</x:v>
      </x:c>
    </x:row>
    <x:row r="5572">
      <x:c r="A5572" t="str">
        <x:v>SYN0005571</x:v>
      </x:c>
      <x:c r="B5572" s="12" t="n">
        <x:v>41605</x:v>
      </x:c>
      <x:c r="C5572" s="18" t="n">
        <x:v>5343</x:v>
      </x:c>
      <x:c r="D5572" s="18" t="n">
        <x:v>29934</x:v>
      </x:c>
      <x:c r="E5572" s="18" t="n">
        <x:v>12.37</x:v>
      </x:c>
      <x:c r="F5572" s="18" t="n">
        <x:v>5.94</x:v>
      </x:c>
      <x:c r="G5572" t="n">
        <x:v>60</x:v>
      </x:c>
      <x:c r="H5572" t="str">
        <x:v>A</x:v>
      </x:c>
      <x:c r="I5572" t="str">
        <x:v>&lt;1 year</x:v>
      </x:c>
      <x:c r="J5572" t="str">
        <x:v>OWN</x:v>
      </x:c>
      <x:c r="K5572" t="str">
        <x:v>debt_consolidation</x:v>
      </x:c>
      <x:c r="L5572" t="n">
        <x:v>0</x:v>
      </x:c>
      <x:c r="M5572" t="n">
        <x:v>0</x:v>
      </x:c>
      <x:c r="N5572" t="str">
        <x:v>Fully Paid</x:v>
      </x:c>
      <x:c r="O5572" t="str">
        <x:f>IF(D5572="","Unknown",IF(D5572&lt;25000,"&lt;$25k",IF(D5572&lt;50000,"$25k-$50k",IF(D5572&lt;75000,"$50k-$75k",IF(D5572&lt;100000,"$75k-$100k","$100k+")))))</x:f>
        <x:v>$25k-$50k</x:v>
      </x:c>
      <x:c r="P5572" t="str">
        <x:f>IF(E5572="","Unknown",IF(E5572&lt;10,"&lt;10",IF(E5572&lt;20,"10-&lt;20",IF(E5572&lt;25,"20-&lt;25",IF(E5572&lt;35,"25-&lt;35","35+")))))</x:f>
        <x:v>10-&lt;20</x:v>
      </x:c>
    </x:row>
    <x:row r="5573">
      <x:c r="A5573" t="str">
        <x:v>SYN0005572</x:v>
      </x:c>
      <x:c r="B5573" s="12" t="n">
        <x:v>41275</x:v>
      </x:c>
      <x:c r="C5573" s="18" t="n">
        <x:v>10038</x:v>
      </x:c>
      <x:c r="D5573" s="18" t="n">
        <x:v>53782</x:v>
      </x:c>
      <x:c r="E5573" s="18" t="n">
        <x:v>17.89</x:v>
      </x:c>
      <x:c r="F5573" s="18" t="n">
        <x:v>11.39</x:v>
      </x:c>
      <x:c r="G5573" t="n">
        <x:v>36</x:v>
      </x:c>
      <x:c r="H5573" t="str">
        <x:v>C</x:v>
      </x:c>
      <x:c r="I5573" t="str">
        <x:v>7-9 years</x:v>
      </x:c>
      <x:c r="J5573" t="str">
        <x:v>MORTGAGE</x:v>
      </x:c>
      <x:c r="K5573" t="str">
        <x:v>home_improvement</x:v>
      </x:c>
      <x:c r="L5573" t="n">
        <x:v>0</x:v>
      </x:c>
      <x:c r="M5573" t="n">
        <x:v>0</x:v>
      </x:c>
      <x:c r="N5573" t="str">
        <x:v>Fully Paid</x:v>
      </x:c>
      <x:c r="O5573" t="str">
        <x:f>IF(D5573="","Unknown",IF(D5573&lt;25000,"&lt;$25k",IF(D5573&lt;50000,"$25k-$50k",IF(D5573&lt;75000,"$50k-$75k",IF(D5573&lt;100000,"$75k-$100k","$100k+")))))</x:f>
        <x:v>$50k-$75k</x:v>
      </x:c>
      <x:c r="P5573" t="str">
        <x:f>IF(E5573="","Unknown",IF(E5573&lt;10,"&lt;10",IF(E5573&lt;20,"10-&lt;20",IF(E5573&lt;25,"20-&lt;25",IF(E5573&lt;35,"25-&lt;35","35+")))))</x:f>
        <x:v>10-&lt;20</x:v>
      </x:c>
    </x:row>
    <x:row r="5574">
      <x:c r="A5574" t="str">
        <x:v>SYN0005573</x:v>
      </x:c>
      <x:c r="B5574" s="12" t="n">
        <x:v>41695</x:v>
      </x:c>
      <x:c r="C5574" s="18" t="n">
        <x:v>17349</x:v>
      </x:c>
      <x:c r="D5574" s="18" t="n">
        <x:v>154383</x:v>
      </x:c>
      <x:c r="E5574" s="18" t="n">
        <x:v>41.93</x:v>
      </x:c>
      <x:c r="F5574" s="18" t="n">
        <x:v>23.46</x:v>
      </x:c>
      <x:c r="G5574" t="n">
        <x:v>60</x:v>
      </x:c>
      <x:c r="H5574" t="str">
        <x:v>F</x:v>
      </x:c>
      <x:c r="I5574" t="str">
        <x:v>1-3 years</x:v>
      </x:c>
      <x:c r="J5574" t="str">
        <x:v>RENT</x:v>
      </x:c>
      <x:c r="K5574" t="str">
        <x:v>debt_consolidation</x:v>
      </x:c>
      <x:c r="L5574" t="n">
        <x:v>0</x:v>
      </x:c>
      <x:c r="M5574" t="n">
        <x:v>0</x:v>
      </x:c>
      <x:c r="N5574" t="str">
        <x:v>Fully Paid</x:v>
      </x:c>
      <x:c r="O5574" t="str">
        <x:f>IF(D5574="","Unknown",IF(D5574&lt;25000,"&lt;$25k",IF(D5574&lt;50000,"$25k-$50k",IF(D5574&lt;75000,"$50k-$75k",IF(D5574&lt;100000,"$75k-$100k","$100k+")))))</x:f>
        <x:v>$100k+</x:v>
      </x:c>
      <x:c r="P5574" t="str">
        <x:f>IF(E5574="","Unknown",IF(E5574&lt;10,"&lt;10",IF(E5574&lt;20,"10-&lt;20",IF(E5574&lt;25,"20-&lt;25",IF(E5574&lt;35,"25-&lt;35","35+")))))</x:f>
        <x:v>35+</x:v>
      </x:c>
    </x:row>
    <x:row r="5575">
      <x:c r="A5575" t="str">
        <x:v>SYN0005574</x:v>
      </x:c>
      <x:c r="B5575" s="12" t="n">
        <x:v>41605</x:v>
      </x:c>
      <x:c r="C5575" s="18" t="n">
        <x:v>8167</x:v>
      </x:c>
      <x:c r="D5575" s="18" t="n">
        <x:v>72208</x:v>
      </x:c>
      <x:c r="E5575" s="18" t="n">
        <x:v>17.27</x:v>
      </x:c>
      <x:c r="F5575" s="18" t="n">
        <x:v>9.6</x:v>
      </x:c>
      <x:c r="G5575" t="n">
        <x:v>36</x:v>
      </x:c>
      <x:c r="H5575" t="str">
        <x:v>C</x:v>
      </x:c>
      <x:c r="I5575" t="str">
        <x:v>10+ years</x:v>
      </x:c>
      <x:c r="J5575" t="str">
        <x:v>RENT</x:v>
      </x:c>
      <x:c r="K5575" t="str">
        <x:v>debt_consolidation</x:v>
      </x:c>
      <x:c r="L5575" t="n">
        <x:v>1</x:v>
      </x:c>
      <x:c r="M5575" t="n">
        <x:v>0</x:v>
      </x:c>
      <x:c r="N5575" t="str">
        <x:v>Fully Paid</x:v>
      </x:c>
      <x:c r="O5575" t="str">
        <x:f>IF(D5575="","Unknown",IF(D5575&lt;25000,"&lt;$25k",IF(D5575&lt;50000,"$25k-$50k",IF(D5575&lt;75000,"$50k-$75k",IF(D5575&lt;100000,"$75k-$100k","$100k+")))))</x:f>
        <x:v>$50k-$75k</x:v>
      </x:c>
      <x:c r="P5575" t="str">
        <x:f>IF(E5575="","Unknown",IF(E5575&lt;10,"&lt;10",IF(E5575&lt;20,"10-&lt;20",IF(E5575&lt;25,"20-&lt;25",IF(E5575&lt;35,"25-&lt;35","35+")))))</x:f>
        <x:v>10-&lt;20</x:v>
      </x:c>
    </x:row>
    <x:row r="5576">
      <x:c r="A5576" t="str">
        <x:v>SYN0005575</x:v>
      </x:c>
      <x:c r="B5576" s="12" t="n">
        <x:v>43405</x:v>
      </x:c>
      <x:c r="C5576" s="18" t="n">
        <x:v>25438</x:v>
      </x:c>
      <x:c r="D5576" s="18" t="n">
        <x:v>45039</x:v>
      </x:c>
      <x:c r="E5576" s="18" t="n">
        <x:v>1.83</x:v>
      </x:c>
      <x:c r="F5576" s="18" t="n">
        <x:v>10.25</x:v>
      </x:c>
      <x:c r="G5576" t="n">
        <x:v>36</x:v>
      </x:c>
      <x:c r="H5576" t="str">
        <x:v>C</x:v>
      </x:c>
      <x:c r="I5576" t="str">
        <x:v>10+ years</x:v>
      </x:c>
      <x:c r="J5576" t="str">
        <x:v>RENT</x:v>
      </x:c>
      <x:c r="K5576" t="str">
        <x:v>debt_consolidation</x:v>
      </x:c>
      <x:c r="L5576" t="n">
        <x:v>1</x:v>
      </x:c>
      <x:c r="M5576" t="n">
        <x:v>0</x:v>
      </x:c>
      <x:c r="N5576" t="str">
        <x:v>Fully Paid</x:v>
      </x:c>
      <x:c r="O5576" t="str">
        <x:f>IF(D5576="","Unknown",IF(D5576&lt;25000,"&lt;$25k",IF(D5576&lt;50000,"$25k-$50k",IF(D5576&lt;75000,"$50k-$75k",IF(D5576&lt;100000,"$75k-$100k","$100k+")))))</x:f>
        <x:v>$25k-$50k</x:v>
      </x:c>
      <x:c r="P5576" t="str">
        <x:f>IF(E5576="","Unknown",IF(E5576&lt;10,"&lt;10",IF(E5576&lt;20,"10-&lt;20",IF(E5576&lt;25,"20-&lt;25",IF(E5576&lt;35,"25-&lt;35","35+")))))</x:f>
        <x:v>&lt;10</x:v>
      </x:c>
    </x:row>
    <x:row r="5577">
      <x:c r="A5577" t="str">
        <x:v>SYN0005576</x:v>
      </x:c>
      <x:c r="B5577" s="12" t="n">
        <x:v>42955</x:v>
      </x:c>
      <x:c r="C5577" s="18" t="n">
        <x:v>20172</x:v>
      </x:c>
      <x:c r="D5577" s="18" t="n">
        <x:v>148866</x:v>
      </x:c>
      <x:c r="E5577" s="18" t="n">
        <x:v>20.05</x:v>
      </x:c>
      <x:c r="F5577" s="18" t="n">
        <x:v>18.53</x:v>
      </x:c>
      <x:c r="G5577" t="n">
        <x:v>36</x:v>
      </x:c>
      <x:c r="H5577" t="str">
        <x:v>E</x:v>
      </x:c>
      <x:c r="I5577" t="str">
        <x:v>7-9 years</x:v>
      </x:c>
      <x:c r="J5577" t="str">
        <x:v>OWN</x:v>
      </x:c>
      <x:c r="K5577" t="str">
        <x:v>credit_card</x:v>
      </x:c>
      <x:c r="L5577" t="n">
        <x:v>0</x:v>
      </x:c>
      <x:c r="M5577" t="n">
        <x:v>0</x:v>
      </x:c>
      <x:c r="N5577" t="str">
        <x:v>Fully Paid</x:v>
      </x:c>
      <x:c r="O5577" t="str">
        <x:f>IF(D5577="","Unknown",IF(D5577&lt;25000,"&lt;$25k",IF(D5577&lt;50000,"$25k-$50k",IF(D5577&lt;75000,"$50k-$75k",IF(D5577&lt;100000,"$75k-$100k","$100k+")))))</x:f>
        <x:v>$100k+</x:v>
      </x:c>
      <x:c r="P5577" t="str">
        <x:f>IF(E5577="","Unknown",IF(E5577&lt;10,"&lt;10",IF(E5577&lt;20,"10-&lt;20",IF(E5577&lt;25,"20-&lt;25",IF(E5577&lt;35,"25-&lt;35","35+")))))</x:f>
        <x:v>20-&lt;25</x:v>
      </x:c>
    </x:row>
    <x:row r="5578">
      <x:c r="A5578" t="str">
        <x:v>SYN0005577</x:v>
      </x:c>
      <x:c r="B5578" s="12" t="n">
        <x:v>42085</x:v>
      </x:c>
      <x:c r="C5578" s="18" t="n">
        <x:v>28657</x:v>
      </x:c>
      <x:c r="D5578" s="18" t="n">
        <x:v>74062</x:v>
      </x:c>
      <x:c r="E5578" s="18" t="n">
        <x:v>11.83</x:v>
      </x:c>
      <x:c r="F5578" s="18" t="n">
        <x:v>7.88</x:v>
      </x:c>
      <x:c r="G5578" t="n">
        <x:v>36</x:v>
      </x:c>
      <x:c r="H5578" t="str">
        <x:v>A</x:v>
      </x:c>
      <x:c r="I5578" t="str">
        <x:v>4-6 years</x:v>
      </x:c>
      <x:c r="J5578" t="str">
        <x:v>MORTGAGE</x:v>
      </x:c>
      <x:c r="K5578" t="str">
        <x:v>debt_consolidation</x:v>
      </x:c>
      <x:c r="L5578" t="n">
        <x:v>0</x:v>
      </x:c>
      <x:c r="M5578" t="n">
        <x:v>0</x:v>
      </x:c>
      <x:c r="N5578" t="str">
        <x:v>Fully Paid</x:v>
      </x:c>
      <x:c r="O5578" t="str">
        <x:f>IF(D5578="","Unknown",IF(D5578&lt;25000,"&lt;$25k",IF(D5578&lt;50000,"$25k-$50k",IF(D5578&lt;75000,"$50k-$75k",IF(D5578&lt;100000,"$75k-$100k","$100k+")))))</x:f>
        <x:v>$50k-$75k</x:v>
      </x:c>
      <x:c r="P5578" t="str">
        <x:f>IF(E5578="","Unknown",IF(E5578&lt;10,"&lt;10",IF(E5578&lt;20,"10-&lt;20",IF(E5578&lt;25,"20-&lt;25",IF(E5578&lt;35,"25-&lt;35","35+")))))</x:f>
        <x:v>10-&lt;20</x:v>
      </x:c>
    </x:row>
    <x:row r="5579">
      <x:c r="A5579" t="str">
        <x:v>SYN0005578</x:v>
      </x:c>
      <x:c r="B5579" s="12" t="n">
        <x:v>43405</x:v>
      </x:c>
      <x:c r="C5579" s="18" t="n">
        <x:v>20994</x:v>
      </x:c>
      <x:c r="D5579" s="18" t="n">
        <x:v>46591</x:v>
      </x:c>
      <x:c r="E5579" s="18" t="n">
        <x:v>18.88</x:v>
      </x:c>
      <x:c r="F5579" s="18" t="n">
        <x:v>19.63</x:v>
      </x:c>
      <x:c r="G5579" t="n">
        <x:v>36</x:v>
      </x:c>
      <x:c r="H5579" t="str">
        <x:v>E</x:v>
      </x:c>
      <x:c r="I5579" t="str">
        <x:v>7-9 years</x:v>
      </x:c>
      <x:c r="J5579" t="str">
        <x:v>OWN</x:v>
      </x:c>
      <x:c r="K5579" t="str">
        <x:v>credit_card</x:v>
      </x:c>
      <x:c r="L5579" t="n">
        <x:v>0</x:v>
      </x:c>
      <x:c r="M5579" t="n">
        <x:v>0</x:v>
      </x:c>
      <x:c r="N5579" t="str">
        <x:v>Fully Paid</x:v>
      </x:c>
      <x:c r="O5579" t="str">
        <x:f>IF(D5579="","Unknown",IF(D5579&lt;25000,"&lt;$25k",IF(D5579&lt;50000,"$25k-$50k",IF(D5579&lt;75000,"$50k-$75k",IF(D5579&lt;100000,"$75k-$100k","$100k+")))))</x:f>
        <x:v>$25k-$50k</x:v>
      </x:c>
      <x:c r="P5579" t="str">
        <x:f>IF(E5579="","Unknown",IF(E5579&lt;10,"&lt;10",IF(E5579&lt;20,"10-&lt;20",IF(E5579&lt;25,"20-&lt;25",IF(E5579&lt;35,"25-&lt;35","35+")))))</x:f>
        <x:v>10-&lt;20</x:v>
      </x:c>
    </x:row>
    <x:row r="5580">
      <x:c r="A5580" t="str">
        <x:v>SYN0005579</x:v>
      </x:c>
      <x:c r="B5580" s="12" t="n">
        <x:v>42955</x:v>
      </x:c>
      <x:c r="C5580" s="18" t="n">
        <x:v>6771</x:v>
      </x:c>
      <x:c r="D5580" s="18" t="n">
        <x:v>80334</x:v>
      </x:c>
      <x:c r="E5580" s="18" t="n">
        <x:v>18.58</x:v>
      </x:c>
      <x:c r="F5580" s="18" t="n">
        <x:v>10.72</x:v>
      </x:c>
      <x:c r="G5580" t="n">
        <x:v>36</x:v>
      </x:c>
      <x:c r="H5580" t="str">
        <x:v>C</x:v>
      </x:c>
      <x:c r="I5580" t="str">
        <x:v>4-6 years</x:v>
      </x:c>
      <x:c r="J5580" t="str">
        <x:v>OWN</x:v>
      </x:c>
      <x:c r="K5580" t="str">
        <x:v>credit_card</x:v>
      </x:c>
      <x:c r="L5580" t="n">
        <x:v>2</x:v>
      </x:c>
      <x:c r="M5580" t="n">
        <x:v>0</x:v>
      </x:c>
      <x:c r="N5580" t="str">
        <x:v>Fully Paid</x:v>
      </x:c>
      <x:c r="O5580" t="str">
        <x:f>IF(D5580="","Unknown",IF(D5580&lt;25000,"&lt;$25k",IF(D5580&lt;50000,"$25k-$50k",IF(D5580&lt;75000,"$50k-$75k",IF(D5580&lt;100000,"$75k-$100k","$100k+")))))</x:f>
        <x:v>$75k-$100k</x:v>
      </x:c>
      <x:c r="P5580" t="str">
        <x:f>IF(E5580="","Unknown",IF(E5580&lt;10,"&lt;10",IF(E5580&lt;20,"10-&lt;20",IF(E5580&lt;25,"20-&lt;25",IF(E5580&lt;35,"25-&lt;35","35+")))))</x:f>
        <x:v>10-&lt;20</x:v>
      </x:c>
    </x:row>
    <x:row r="5581">
      <x:c r="A5581" t="str">
        <x:v>SYN0005580</x:v>
      </x:c>
      <x:c r="B5581" s="12" t="n">
        <x:v>43285</x:v>
      </x:c>
      <x:c r="C5581" s="18" t="n">
        <x:v>22102</x:v>
      </x:c>
      <x:c r="D5581" s="18" t="n">
        <x:v>113067</x:v>
      </x:c>
      <x:c r="E5581" s="18" t="n">
        <x:v>34.42</x:v>
      </x:c>
      <x:c r="F5581" s="18" t="n">
        <x:v>20.11</x:v>
      </x:c>
      <x:c r="G5581" t="n">
        <x:v>36</x:v>
      </x:c>
      <x:c r="H5581" t="str">
        <x:v>F</x:v>
      </x:c>
      <x:c r="I5581" t="str">
        <x:v>4-6 years</x:v>
      </x:c>
      <x:c r="J5581" t="str">
        <x:v>MORTGAGE</x:v>
      </x:c>
      <x:c r="K5581" t="str">
        <x:v>home_improvement</x:v>
      </x:c>
      <x:c r="L5581" t="n">
        <x:v>0</x:v>
      </x:c>
      <x:c r="M5581" t="n">
        <x:v>0</x:v>
      </x:c>
      <x:c r="N5581" t="str">
        <x:v>Fully Paid</x:v>
      </x:c>
      <x:c r="O5581" t="str">
        <x:f>IF(D5581="","Unknown",IF(D5581&lt;25000,"&lt;$25k",IF(D5581&lt;50000,"$25k-$50k",IF(D5581&lt;75000,"$50k-$75k",IF(D5581&lt;100000,"$75k-$100k","$100k+")))))</x:f>
        <x:v>$100k+</x:v>
      </x:c>
      <x:c r="P5581" t="str">
        <x:f>IF(E5581="","Unknown",IF(E5581&lt;10,"&lt;10",IF(E5581&lt;20,"10-&lt;20",IF(E5581&lt;25,"20-&lt;25",IF(E5581&lt;35,"25-&lt;35","35+")))))</x:f>
        <x:v>25-&lt;35</x:v>
      </x:c>
    </x:row>
    <x:row r="5582">
      <x:c r="A5582" t="str">
        <x:v>SYN0005581</x:v>
      </x:c>
      <x:c r="B5582" s="12" t="n">
        <x:v>42595</x:v>
      </x:c>
      <x:c r="C5582" s="18" t="n">
        <x:v>7058</x:v>
      </x:c>
      <x:c r="D5582" s="18" t="n">
        <x:v>106428</x:v>
      </x:c>
      <x:c r="E5582" s="18" t="n">
        <x:v>25.37</x:v>
      </x:c>
      <x:c r="F5582" s="18" t="n">
        <x:v>10.39</x:v>
      </x:c>
      <x:c r="G5582" t="n">
        <x:v>60</x:v>
      </x:c>
      <x:c r="H5582" t="str">
        <x:v>C</x:v>
      </x:c>
      <x:c r="I5582" t="str">
        <x:v>1-3 years</x:v>
      </x:c>
      <x:c r="J5582" t="str">
        <x:v>MORTGAGE</x:v>
      </x:c>
      <x:c r="K5582" t="str">
        <x:v>debt_consolidation</x:v>
      </x:c>
      <x:c r="L5582" t="n">
        <x:v>1</x:v>
      </x:c>
      <x:c r="M5582" t="n">
        <x:v>0</x:v>
      </x:c>
      <x:c r="N5582" t="str">
        <x:v>Fully Paid</x:v>
      </x:c>
      <x:c r="O5582" t="str">
        <x:f>IF(D5582="","Unknown",IF(D5582&lt;25000,"&lt;$25k",IF(D5582&lt;50000,"$25k-$50k",IF(D5582&lt;75000,"$50k-$75k",IF(D5582&lt;100000,"$75k-$100k","$100k+")))))</x:f>
        <x:v>$100k+</x:v>
      </x:c>
      <x:c r="P5582" t="str">
        <x:f>IF(E5582="","Unknown",IF(E5582&lt;10,"&lt;10",IF(E5582&lt;20,"10-&lt;20",IF(E5582&lt;25,"20-&lt;25",IF(E5582&lt;35,"25-&lt;35","35+")))))</x:f>
        <x:v>25-&lt;35</x:v>
      </x:c>
    </x:row>
    <x:row r="5583">
      <x:c r="A5583" t="str">
        <x:v>SYN0005582</x:v>
      </x:c>
      <x:c r="B5583" s="12" t="n">
        <x:v>41425</x:v>
      </x:c>
      <x:c r="C5583" s="18" t="n">
        <x:v>10088</x:v>
      </x:c>
      <x:c r="D5583" s="18" t="n">
        <x:v>61302</x:v>
      </x:c>
      <x:c r="E5583" s="18" t="n">
        <x:v>13.51</x:v>
      </x:c>
      <x:c r="F5583" s="18" t="n">
        <x:v>10.29</x:v>
      </x:c>
      <x:c r="G5583" t="n">
        <x:v>36</x:v>
      </x:c>
      <x:c r="H5583" t="str">
        <x:v>C</x:v>
      </x:c>
      <x:c r="I5583" t="str">
        <x:v>7-9 years</x:v>
      </x:c>
      <x:c r="J5583" t="str">
        <x:v>MORTGAGE</x:v>
      </x:c>
      <x:c r="K5583" t="str">
        <x:v>debt_consolidation</x:v>
      </x:c>
      <x:c r="L5583" t="n">
        <x:v>0</x:v>
      </x:c>
      <x:c r="M5583" t="n">
        <x:v>0</x:v>
      </x:c>
      <x:c r="N5583" t="str">
        <x:v>Fully Paid</x:v>
      </x:c>
      <x:c r="O5583" t="str">
        <x:f>IF(D5583="","Unknown",IF(D5583&lt;25000,"&lt;$25k",IF(D5583&lt;50000,"$25k-$50k",IF(D5583&lt;75000,"$50k-$75k",IF(D5583&lt;100000,"$75k-$100k","$100k+")))))</x:f>
        <x:v>$50k-$75k</x:v>
      </x:c>
      <x:c r="P5583" t="str">
        <x:f>IF(E5583="","Unknown",IF(E5583&lt;10,"&lt;10",IF(E5583&lt;20,"10-&lt;20",IF(E5583&lt;25,"20-&lt;25",IF(E5583&lt;35,"25-&lt;35","35+")))))</x:f>
        <x:v>10-&lt;20</x:v>
      </x:c>
    </x:row>
    <x:row r="5584">
      <x:c r="A5584" t="str">
        <x:v>SYN0005583</x:v>
      </x:c>
      <x:c r="B5584" s="12" t="n">
        <x:v>42925</x:v>
      </x:c>
      <x:c r="C5584" s="18" t="n">
        <x:v>9199</x:v>
      </x:c>
      <x:c r="D5584" s="18" t="n">
        <x:v>35534</x:v>
      </x:c>
      <x:c r="E5584" s="18" t="n">
        <x:v>8.43</x:v>
      </x:c>
      <x:c r="F5584" s="18" t="n">
        <x:v>19.98</x:v>
      </x:c>
      <x:c r="G5584" t="n">
        <x:v>36</x:v>
      </x:c>
      <x:c r="H5584" t="str">
        <x:v>F</x:v>
      </x:c>
      <x:c r="I5584" t="str">
        <x:v>7-9 years</x:v>
      </x:c>
      <x:c r="J5584" t="str">
        <x:v>OWN</x:v>
      </x:c>
      <x:c r="K5584" t="str">
        <x:v>debt_consolidation</x:v>
      </x:c>
      <x:c r="L5584" t="n">
        <x:v>4</x:v>
      </x:c>
      <x:c r="M5584" t="n">
        <x:v>1</x:v>
      </x:c>
      <x:c r="N5584" t="str">
        <x:v>Charged Off</x:v>
      </x:c>
      <x:c r="O5584" t="str">
        <x:f>IF(D5584="","Unknown",IF(D5584&lt;25000,"&lt;$25k",IF(D5584&lt;50000,"$25k-$50k",IF(D5584&lt;75000,"$50k-$75k",IF(D5584&lt;100000,"$75k-$100k","$100k+")))))</x:f>
        <x:v>$25k-$50k</x:v>
      </x:c>
      <x:c r="P5584" t="str">
        <x:f>IF(E5584="","Unknown",IF(E5584&lt;10,"&lt;10",IF(E5584&lt;20,"10-&lt;20",IF(E5584&lt;25,"20-&lt;25",IF(E5584&lt;35,"25-&lt;35","35+")))))</x:f>
        <x:v>&lt;10</x:v>
      </x:c>
    </x:row>
    <x:row r="5585">
      <x:c r="A5585" t="str">
        <x:v>SYN0005584</x:v>
      </x:c>
      <x:c r="B5585" s="12" t="n">
        <x:v>41605</x:v>
      </x:c>
      <x:c r="C5585" s="18" t="n">
        <x:v>10395</x:v>
      </x:c>
      <x:c r="D5585" s="18" t="n">
        <x:v>64545</x:v>
      </x:c>
      <x:c r="E5585" s="18" t="n">
        <x:v>32.69</x:v>
      </x:c>
      <x:c r="F5585" s="18" t="n">
        <x:v>12.51</x:v>
      </x:c>
      <x:c r="G5585" t="n">
        <x:v>36</x:v>
      </x:c>
      <x:c r="H5585" t="str">
        <x:v>C</x:v>
      </x:c>
      <x:c r="I5585" t="str">
        <x:v>&lt;1 year</x:v>
      </x:c>
      <x:c r="J5585" t="str">
        <x:v>MORTGAGE</x:v>
      </x:c>
      <x:c r="K5585" t="str">
        <x:v>credit_card</x:v>
      </x:c>
      <x:c r="L5585" t="n">
        <x:v>1</x:v>
      </x:c>
      <x:c r="M5585" t="n">
        <x:v>0</x:v>
      </x:c>
      <x:c r="N5585" t="str">
        <x:v>Fully Paid</x:v>
      </x:c>
      <x:c r="O5585" t="str">
        <x:f>IF(D5585="","Unknown",IF(D5585&lt;25000,"&lt;$25k",IF(D5585&lt;50000,"$25k-$50k",IF(D5585&lt;75000,"$50k-$75k",IF(D5585&lt;100000,"$75k-$100k","$100k+")))))</x:f>
        <x:v>$50k-$75k</x:v>
      </x:c>
      <x:c r="P5585" t="str">
        <x:f>IF(E5585="","Unknown",IF(E5585&lt;10,"&lt;10",IF(E5585&lt;20,"10-&lt;20",IF(E5585&lt;25,"20-&lt;25",IF(E5585&lt;35,"25-&lt;35","35+")))))</x:f>
        <x:v>25-&lt;35</x:v>
      </x:c>
    </x:row>
    <x:row r="5586">
      <x:c r="A5586" t="str">
        <x:v>SYN0005585</x:v>
      </x:c>
      <x:c r="B5586" s="12" t="n">
        <x:v>43375</x:v>
      </x:c>
      <x:c r="C5586" s="18" t="n">
        <x:v>3202</x:v>
      </x:c>
      <x:c r="D5586" s="18" t="n">
        <x:v>65792</x:v>
      </x:c>
      <x:c r="E5586" s="18" t="n">
        <x:v>27.69</x:v>
      </x:c>
      <x:c r="F5586" s="18" t="n">
        <x:v>19.21</x:v>
      </x:c>
      <x:c r="G5586" t="n">
        <x:v>36</x:v>
      </x:c>
      <x:c r="H5586" t="str">
        <x:v>E</x:v>
      </x:c>
      <x:c r="I5586" t="str">
        <x:v>1-3 years</x:v>
      </x:c>
      <x:c r="J5586" t="str">
        <x:v>MORTGAGE</x:v>
      </x:c>
      <x:c r="K5586" t="str">
        <x:v>other</x:v>
      </x:c>
      <x:c r="L5586" t="n">
        <x:v>1</x:v>
      </x:c>
      <x:c r="M5586" t="n">
        <x:v>0</x:v>
      </x:c>
      <x:c r="N5586" t="str">
        <x:v>Fully Paid</x:v>
      </x:c>
      <x:c r="O5586" t="str">
        <x:f>IF(D5586="","Unknown",IF(D5586&lt;25000,"&lt;$25k",IF(D5586&lt;50000,"$25k-$50k",IF(D5586&lt;75000,"$50k-$75k",IF(D5586&lt;100000,"$75k-$100k","$100k+")))))</x:f>
        <x:v>$50k-$75k</x:v>
      </x:c>
      <x:c r="P5586" t="str">
        <x:f>IF(E5586="","Unknown",IF(E5586&lt;10,"&lt;10",IF(E5586&lt;20,"10-&lt;20",IF(E5586&lt;25,"20-&lt;25",IF(E5586&lt;35,"25-&lt;35","35+")))))</x:f>
        <x:v>25-&lt;35</x:v>
      </x:c>
    </x:row>
    <x:row r="5587">
      <x:c r="A5587" t="str">
        <x:v>SYN0005586</x:v>
      </x:c>
      <x:c r="B5587" s="12" t="n">
        <x:v>41545</x:v>
      </x:c>
      <x:c r="C5587" s="18" t="n">
        <x:v>30494</x:v>
      </x:c>
      <x:c r="D5587" s="18" t="n">
        <x:v>49133</x:v>
      </x:c>
      <x:c r="E5587" s="18" t="n">
        <x:v>10.26</x:v>
      </x:c>
      <x:c r="F5587" s="18" t="n">
        <x:v>13.71</x:v>
      </x:c>
      <x:c r="G5587" t="n">
        <x:v>36</x:v>
      </x:c>
      <x:c r="H5587" t="str">
        <x:v>D</x:v>
      </x:c>
      <x:c r="I5587" t="str">
        <x:v>10+ years</x:v>
      </x:c>
      <x:c r="J5587" t="str">
        <x:v>OWN</x:v>
      </x:c>
      <x:c r="K5587" t="str">
        <x:v>medical</x:v>
      </x:c>
      <x:c r="L5587" t="n">
        <x:v>0</x:v>
      </x:c>
      <x:c r="M5587" t="n">
        <x:v>0</x:v>
      </x:c>
      <x:c r="N5587" t="str">
        <x:v>Fully Paid</x:v>
      </x:c>
      <x:c r="O5587" t="str">
        <x:f>IF(D5587="","Unknown",IF(D5587&lt;25000,"&lt;$25k",IF(D5587&lt;50000,"$25k-$50k",IF(D5587&lt;75000,"$50k-$75k",IF(D5587&lt;100000,"$75k-$100k","$100k+")))))</x:f>
        <x:v>$25k-$50k</x:v>
      </x:c>
      <x:c r="P5587" t="str">
        <x:f>IF(E5587="","Unknown",IF(E5587&lt;10,"&lt;10",IF(E5587&lt;20,"10-&lt;20",IF(E5587&lt;25,"20-&lt;25",IF(E5587&lt;35,"25-&lt;35","35+")))))</x:f>
        <x:v>10-&lt;20</x:v>
      </x:c>
    </x:row>
    <x:row r="5588">
      <x:c r="A5588" t="str">
        <x:v>SYN0005587</x:v>
      </x:c>
      <x:c r="B5588" s="12" t="n">
        <x:v>42085</x:v>
      </x:c>
      <x:c r="C5588" s="18" t="n">
        <x:v>23377</x:v>
      </x:c>
      <x:c r="D5588" s="18" t="n">
        <x:v>52055</x:v>
      </x:c>
      <x:c r="E5588" s="18" t="n">
        <x:v>11.13</x:v>
      </x:c>
      <x:c r="F5588" s="18" t="n">
        <x:v>14.72</x:v>
      </x:c>
      <x:c r="G5588" t="n">
        <x:v>36</x:v>
      </x:c>
      <x:c r="H5588" t="str">
        <x:v>D</x:v>
      </x:c>
      <x:c r="I5588" t="str">
        <x:v>1-3 years</x:v>
      </x:c>
      <x:c r="J5588" t="str">
        <x:v>RENT</x:v>
      </x:c>
      <x:c r="K5588" t="str">
        <x:v>debt_consolidation</x:v>
      </x:c>
      <x:c r="L5588" t="n">
        <x:v>1</x:v>
      </x:c>
      <x:c r="M5588" t="n">
        <x:v>0</x:v>
      </x:c>
      <x:c r="N5588" t="str">
        <x:v>Fully Paid</x:v>
      </x:c>
      <x:c r="O5588" t="str">
        <x:f>IF(D5588="","Unknown",IF(D5588&lt;25000,"&lt;$25k",IF(D5588&lt;50000,"$25k-$50k",IF(D5588&lt;75000,"$50k-$75k",IF(D5588&lt;100000,"$75k-$100k","$100k+")))))</x:f>
        <x:v>$50k-$75k</x:v>
      </x:c>
      <x:c r="P5588" t="str">
        <x:f>IF(E5588="","Unknown",IF(E5588&lt;10,"&lt;10",IF(E5588&lt;20,"10-&lt;20",IF(E5588&lt;25,"20-&lt;25",IF(E5588&lt;35,"25-&lt;35","35+")))))</x:f>
        <x:v>10-&lt;20</x:v>
      </x:c>
    </x:row>
    <x:row r="5589">
      <x:c r="A5589" t="str">
        <x:v>SYN0005588</x:v>
      </x:c>
      <x:c r="B5589" s="12" t="n">
        <x:v>42115</x:v>
      </x:c>
      <x:c r="C5589" s="18" t="n">
        <x:v>13113</x:v>
      </x:c>
      <x:c r="D5589" s="18" t="n">
        <x:v>49219</x:v>
      </x:c>
      <x:c r="E5589" s="18" t="n">
        <x:v>29.29</x:v>
      </x:c>
      <x:c r="F5589" s="18" t="n">
        <x:v>17.64</x:v>
      </x:c>
      <x:c r="G5589" t="n">
        <x:v>36</x:v>
      </x:c>
      <x:c r="H5589" t="str">
        <x:v>E</x:v>
      </x:c>
      <x:c r="I5589" t="str">
        <x:v>4-6 years</x:v>
      </x:c>
      <x:c r="J5589" t="str">
        <x:v>RENT</x:v>
      </x:c>
      <x:c r="K5589" t="str">
        <x:v>other</x:v>
      </x:c>
      <x:c r="L5589" t="n">
        <x:v>1</x:v>
      </x:c>
      <x:c r="M5589" t="n">
        <x:v>0</x:v>
      </x:c>
      <x:c r="N5589" t="str">
        <x:v>Fully Paid</x:v>
      </x:c>
      <x:c r="O5589" t="str">
        <x:f>IF(D5589="","Unknown",IF(D5589&lt;25000,"&lt;$25k",IF(D5589&lt;50000,"$25k-$50k",IF(D5589&lt;75000,"$50k-$75k",IF(D5589&lt;100000,"$75k-$100k","$100k+")))))</x:f>
        <x:v>$25k-$50k</x:v>
      </x:c>
      <x:c r="P5589" t="str">
        <x:f>IF(E5589="","Unknown",IF(E5589&lt;10,"&lt;10",IF(E5589&lt;20,"10-&lt;20",IF(E5589&lt;25,"20-&lt;25",IF(E5589&lt;35,"25-&lt;35","35+")))))</x:f>
        <x:v>25-&lt;35</x:v>
      </x:c>
    </x:row>
    <x:row r="5590">
      <x:c r="A5590" t="str">
        <x:v>SYN0005589</x:v>
      </x:c>
      <x:c r="B5590" s="12" t="n">
        <x:v>41515</x:v>
      </x:c>
      <x:c r="C5590" s="18" t="n">
        <x:v>13135</x:v>
      </x:c>
      <x:c r="D5590" s="18" t="n">
        <x:v>56944</x:v>
      </x:c>
      <x:c r="E5590" s="18" t="n">
        <x:v>27.8</x:v>
      </x:c>
      <x:c r="F5590" s="18" t="n">
        <x:v>7.41</x:v>
      </x:c>
      <x:c r="G5590" t="n">
        <x:v>36</x:v>
      </x:c>
      <x:c r="H5590" t="str">
        <x:v>B</x:v>
      </x:c>
      <x:c r="I5590" t="str">
        <x:v>10+ years</x:v>
      </x:c>
      <x:c r="J5590" t="str">
        <x:v>RENT</x:v>
      </x:c>
      <x:c r="K5590" t="str">
        <x:v>home_improvement</x:v>
      </x:c>
      <x:c r="L5590" t="n">
        <x:v>0</x:v>
      </x:c>
      <x:c r="M5590" t="n">
        <x:v>0</x:v>
      </x:c>
      <x:c r="N5590" t="str">
        <x:v>Fully Paid</x:v>
      </x:c>
      <x:c r="O5590" t="str">
        <x:f>IF(D5590="","Unknown",IF(D5590&lt;25000,"&lt;$25k",IF(D5590&lt;50000,"$25k-$50k",IF(D5590&lt;75000,"$50k-$75k",IF(D5590&lt;100000,"$75k-$100k","$100k+")))))</x:f>
        <x:v>$50k-$75k</x:v>
      </x:c>
      <x:c r="P5590" t="str">
        <x:f>IF(E5590="","Unknown",IF(E5590&lt;10,"&lt;10",IF(E5590&lt;20,"10-&lt;20",IF(E5590&lt;25,"20-&lt;25",IF(E5590&lt;35,"25-&lt;35","35+")))))</x:f>
        <x:v>25-&lt;35</x:v>
      </x:c>
    </x:row>
    <x:row r="5591">
      <x:c r="A5591" t="str">
        <x:v>SYN0005590</x:v>
      </x:c>
      <x:c r="B5591" s="12" t="n">
        <x:v>42415</x:v>
      </x:c>
      <x:c r="C5591" s="18" t="n">
        <x:v>28331</x:v>
      </x:c>
      <x:c r="D5591" s="18" t="n">
        <x:v>23983</x:v>
      </x:c>
      <x:c r="E5591" s="18" t="n">
        <x:v>26.02</x:v>
      </x:c>
      <x:c r="F5591" s="18" t="n">
        <x:v>5.33</x:v>
      </x:c>
      <x:c r="G5591" t="n">
        <x:v>36</x:v>
      </x:c>
      <x:c r="H5591" t="str">
        <x:v>A</x:v>
      </x:c>
      <x:c r="I5591" t="str">
        <x:v>7-9 years</x:v>
      </x:c>
      <x:c r="J5591" t="str">
        <x:v>RENT</x:v>
      </x:c>
      <x:c r="K5591" t="str">
        <x:v>debt_consolidation</x:v>
      </x:c>
      <x:c r="L5591" t="n">
        <x:v>0</x:v>
      </x:c>
      <x:c r="M5591" t="n">
        <x:v>0</x:v>
      </x:c>
      <x:c r="N5591" t="str">
        <x:v>Fully Paid</x:v>
      </x:c>
      <x:c r="O5591" t="str">
        <x:f>IF(D5591="","Unknown",IF(D5591&lt;25000,"&lt;$25k",IF(D5591&lt;50000,"$25k-$50k",IF(D5591&lt;75000,"$50k-$75k",IF(D5591&lt;100000,"$75k-$100k","$100k+")))))</x:f>
        <x:v>&lt;$25k</x:v>
      </x:c>
      <x:c r="P5591" t="str">
        <x:f>IF(E5591="","Unknown",IF(E5591&lt;10,"&lt;10",IF(E5591&lt;20,"10-&lt;20",IF(E5591&lt;25,"20-&lt;25",IF(E5591&lt;35,"25-&lt;35","35+")))))</x:f>
        <x:v>25-&lt;35</x:v>
      </x:c>
    </x:row>
    <x:row r="5592">
      <x:c r="A5592" t="str">
        <x:v>SYN0005591</x:v>
      </x:c>
      <x:c r="B5592" s="12" t="n">
        <x:v>43255</x:v>
      </x:c>
      <x:c r="C5592" s="18" t="n">
        <x:v>29956</x:v>
      </x:c>
      <x:c r="D5592" s="18" t="n">
        <x:v>49284</x:v>
      </x:c>
      <x:c r="E5592" s="18" t="n">
        <x:v>25.49</x:v>
      </x:c>
      <x:c r="F5592" s="18" t="n">
        <x:v>14.86</x:v>
      </x:c>
      <x:c r="G5592" t="n">
        <x:v>36</x:v>
      </x:c>
      <x:c r="H5592" t="str">
        <x:v>D</x:v>
      </x:c>
      <x:c r="I5592" t="str">
        <x:v>1-3 years</x:v>
      </x:c>
      <x:c r="J5592" t="str">
        <x:v>MORTGAGE</x:v>
      </x:c>
      <x:c r="K5592" t="str">
        <x:v>debt_consolidation</x:v>
      </x:c>
      <x:c r="L5592" t="n">
        <x:v>0</x:v>
      </x:c>
      <x:c r="M5592" t="n">
        <x:v>0</x:v>
      </x:c>
      <x:c r="N5592" t="str">
        <x:v>Fully Paid</x:v>
      </x:c>
      <x:c r="O5592" t="str">
        <x:f>IF(D5592="","Unknown",IF(D5592&lt;25000,"&lt;$25k",IF(D5592&lt;50000,"$25k-$50k",IF(D5592&lt;75000,"$50k-$75k",IF(D5592&lt;100000,"$75k-$100k","$100k+")))))</x:f>
        <x:v>$25k-$50k</x:v>
      </x:c>
      <x:c r="P5592" t="str">
        <x:f>IF(E5592="","Unknown",IF(E5592&lt;10,"&lt;10",IF(E5592&lt;20,"10-&lt;20",IF(E5592&lt;25,"20-&lt;25",IF(E5592&lt;35,"25-&lt;35","35+")))))</x:f>
        <x:v>25-&lt;35</x:v>
      </x:c>
    </x:row>
    <x:row r="5593">
      <x:c r="A5593" t="str">
        <x:v>SYN0005592</x:v>
      </x:c>
      <x:c r="B5593" s="12" t="n">
        <x:v>41695</x:v>
      </x:c>
      <x:c r="C5593" s="18" t="n">
        <x:v>12328</x:v>
      </x:c>
      <x:c r="D5593" s="18" t="n">
        <x:v>38477</x:v>
      </x:c>
      <x:c r="E5593" s="18" t="n">
        <x:v>19.88</x:v>
      </x:c>
      <x:c r="F5593" s="18" t="n">
        <x:v>6.96</x:v>
      </x:c>
      <x:c r="G5593" t="n">
        <x:v>36</x:v>
      </x:c>
      <x:c r="H5593" t="str">
        <x:v>B</x:v>
      </x:c>
      <x:c r="I5593" t="str">
        <x:v>4-6 years</x:v>
      </x:c>
      <x:c r="J5593" t="str">
        <x:v>MORTGAGE</x:v>
      </x:c>
      <x:c r="K5593" t="str">
        <x:v>home_improvement</x:v>
      </x:c>
      <x:c r="L5593" t="n">
        <x:v>1</x:v>
      </x:c>
      <x:c r="M5593" t="n">
        <x:v>0</x:v>
      </x:c>
      <x:c r="N5593" t="str">
        <x:v>Fully Paid</x:v>
      </x:c>
      <x:c r="O5593" t="str">
        <x:f>IF(D5593="","Unknown",IF(D5593&lt;25000,"&lt;$25k",IF(D5593&lt;50000,"$25k-$50k",IF(D5593&lt;75000,"$50k-$75k",IF(D5593&lt;100000,"$75k-$100k","$100k+")))))</x:f>
        <x:v>$25k-$50k</x:v>
      </x:c>
      <x:c r="P5593" t="str">
        <x:f>IF(E5593="","Unknown",IF(E5593&lt;10,"&lt;10",IF(E5593&lt;20,"10-&lt;20",IF(E5593&lt;25,"20-&lt;25",IF(E5593&lt;35,"25-&lt;35","35+")))))</x:f>
        <x:v>10-&lt;20</x:v>
      </x:c>
    </x:row>
    <x:row r="5594">
      <x:c r="A5594" t="str">
        <x:v>SYN0005593</x:v>
      </x:c>
      <x:c r="B5594" s="12" t="n">
        <x:v>43015</x:v>
      </x:c>
      <x:c r="C5594" s="18" t="n">
        <x:v>11710</x:v>
      </x:c>
      <x:c r="D5594" s="18" t="n">
        <x:v>60248</x:v>
      </x:c>
      <x:c r="E5594" s="18" t="n">
        <x:v>24.93</x:v>
      </x:c>
      <x:c r="F5594" s="18" t="n">
        <x:v>10.52</x:v>
      </x:c>
      <x:c r="G5594" t="n">
        <x:v>36</x:v>
      </x:c>
      <x:c r="H5594" t="str">
        <x:v>B</x:v>
      </x:c>
      <x:c r="I5594" t="str">
        <x:v>1-3 years</x:v>
      </x:c>
      <x:c r="J5594" t="str">
        <x:v>MORTGAGE</x:v>
      </x:c>
      <x:c r="K5594" t="str">
        <x:v>credit_card</x:v>
      </x:c>
      <x:c r="L5594" t="n">
        <x:v>0</x:v>
      </x:c>
      <x:c r="M5594" t="n">
        <x:v>0</x:v>
      </x:c>
      <x:c r="N5594" t="str">
        <x:v>Fully Paid</x:v>
      </x:c>
      <x:c r="O5594" t="str">
        <x:f>IF(D5594="","Unknown",IF(D5594&lt;25000,"&lt;$25k",IF(D5594&lt;50000,"$25k-$50k",IF(D5594&lt;75000,"$50k-$75k",IF(D5594&lt;100000,"$75k-$100k","$100k+")))))</x:f>
        <x:v>$50k-$75k</x:v>
      </x:c>
      <x:c r="P5594" t="str">
        <x:f>IF(E5594="","Unknown",IF(E5594&lt;10,"&lt;10",IF(E5594&lt;20,"10-&lt;20",IF(E5594&lt;25,"20-&lt;25",IF(E5594&lt;35,"25-&lt;35","35+")))))</x:f>
        <x:v>20-&lt;25</x:v>
      </x:c>
    </x:row>
    <x:row r="5595">
      <x:c r="A5595" t="str">
        <x:v>SYN0005594</x:v>
      </x:c>
      <x:c r="B5595" s="12" t="n">
        <x:v>41905</x:v>
      </x:c>
      <x:c r="C5595" s="18" t="n">
        <x:v>15028</x:v>
      </x:c>
      <x:c r="D5595" s="18" t="n">
        <x:v>59926</x:v>
      </x:c>
      <x:c r="E5595" s="18" t="n">
        <x:v>23.5</x:v>
      </x:c>
      <x:c r="F5595" s="18" t="n">
        <x:v>20.2</x:v>
      </x:c>
      <x:c r="G5595" t="n">
        <x:v>36</x:v>
      </x:c>
      <x:c r="H5595" t="str">
        <x:v>E</x:v>
      </x:c>
      <x:c r="I5595" t="str">
        <x:v>4-6 years</x:v>
      </x:c>
      <x:c r="J5595" t="str">
        <x:v>OWN</x:v>
      </x:c>
      <x:c r="K5595" t="str">
        <x:v>debt_consolidation</x:v>
      </x:c>
      <x:c r="L5595" t="n">
        <x:v>0</x:v>
      </x:c>
      <x:c r="M5595" t="n">
        <x:v>0</x:v>
      </x:c>
      <x:c r="N5595" t="str">
        <x:v>Fully Paid</x:v>
      </x:c>
      <x:c r="O5595" t="str">
        <x:f>IF(D5595="","Unknown",IF(D5595&lt;25000,"&lt;$25k",IF(D5595&lt;50000,"$25k-$50k",IF(D5595&lt;75000,"$50k-$75k",IF(D5595&lt;100000,"$75k-$100k","$100k+")))))</x:f>
        <x:v>$50k-$75k</x:v>
      </x:c>
      <x:c r="P5595" t="str">
        <x:f>IF(E5595="","Unknown",IF(E5595&lt;10,"&lt;10",IF(E5595&lt;20,"10-&lt;20",IF(E5595&lt;25,"20-&lt;25",IF(E5595&lt;35,"25-&lt;35","35+")))))</x:f>
        <x:v>20-&lt;25</x:v>
      </x:c>
    </x:row>
    <x:row r="5596">
      <x:c r="A5596" t="str">
        <x:v>SYN0005595</x:v>
      </x:c>
      <x:c r="B5596" s="12" t="n">
        <x:v>43015</x:v>
      </x:c>
      <x:c r="C5596" s="18" t="n">
        <x:v>16094</x:v>
      </x:c>
      <x:c r="D5596" s="18" t="n">
        <x:v>27242</x:v>
      </x:c>
      <x:c r="E5596" s="18" t="n">
        <x:v>25.29</x:v>
      </x:c>
      <x:c r="F5596" s="18" t="n">
        <x:v>10.13</x:v>
      </x:c>
      <x:c r="G5596" t="n">
        <x:v>36</x:v>
      </x:c>
      <x:c r="H5596" t="str">
        <x:v>C</x:v>
      </x:c>
      <x:c r="I5596" t="str">
        <x:v>7-9 years</x:v>
      </x:c>
      <x:c r="J5596" t="str">
        <x:v>RENT</x:v>
      </x:c>
      <x:c r="K5596" t="str">
        <x:v>debt_consolidation</x:v>
      </x:c>
      <x:c r="L5596" t="n">
        <x:v>1</x:v>
      </x:c>
      <x:c r="M5596" t="n">
        <x:v>0</x:v>
      </x:c>
      <x:c r="N5596" t="str">
        <x:v>Fully Paid</x:v>
      </x:c>
      <x:c r="O5596" t="str">
        <x:f>IF(D5596="","Unknown",IF(D5596&lt;25000,"&lt;$25k",IF(D5596&lt;50000,"$25k-$50k",IF(D5596&lt;75000,"$50k-$75k",IF(D5596&lt;100000,"$75k-$100k","$100k+")))))</x:f>
        <x:v>$25k-$50k</x:v>
      </x:c>
      <x:c r="P5596" t="str">
        <x:f>IF(E5596="","Unknown",IF(E5596&lt;10,"&lt;10",IF(E5596&lt;20,"10-&lt;20",IF(E5596&lt;25,"20-&lt;25",IF(E5596&lt;35,"25-&lt;35","35+")))))</x:f>
        <x:v>25-&lt;35</x:v>
      </x:c>
    </x:row>
    <x:row r="5597">
      <x:c r="A5597" t="str">
        <x:v>SYN0005596</x:v>
      </x:c>
      <x:c r="B5597" s="12" t="n">
        <x:v>42565</x:v>
      </x:c>
      <x:c r="C5597" s="18" t="n">
        <x:v>16118</x:v>
      </x:c>
      <x:c r="D5597" s="18" t="n">
        <x:v>33185</x:v>
      </x:c>
      <x:c r="E5597" s="18" t="n">
        <x:v>27.64</x:v>
      </x:c>
      <x:c r="F5597" s="18" t="n">
        <x:v>17.83</x:v>
      </x:c>
      <x:c r="G5597" t="n">
        <x:v>60</x:v>
      </x:c>
      <x:c r="H5597" t="str">
        <x:v>D</x:v>
      </x:c>
      <x:c r="I5597" t="str">
        <x:v>10+ years</x:v>
      </x:c>
      <x:c r="J5597" t="str">
        <x:v>OWN</x:v>
      </x:c>
      <x:c r="K5597" t="str">
        <x:v>debt_consolidation</x:v>
      </x:c>
      <x:c r="L5597" t="n">
        <x:v>0</x:v>
      </x:c>
      <x:c r="M5597" t="n">
        <x:v>1</x:v>
      </x:c>
      <x:c r="N5597" t="str">
        <x:v>Charged Off</x:v>
      </x:c>
      <x:c r="O5597" t="str">
        <x:f>IF(D5597="","Unknown",IF(D5597&lt;25000,"&lt;$25k",IF(D5597&lt;50000,"$25k-$50k",IF(D5597&lt;75000,"$50k-$75k",IF(D5597&lt;100000,"$75k-$100k","$100k+")))))</x:f>
        <x:v>$25k-$50k</x:v>
      </x:c>
      <x:c r="P5597" t="str">
        <x:f>IF(E5597="","Unknown",IF(E5597&lt;10,"&lt;10",IF(E5597&lt;20,"10-&lt;20",IF(E5597&lt;25,"20-&lt;25",IF(E5597&lt;35,"25-&lt;35","35+")))))</x:f>
        <x:v>25-&lt;35</x:v>
      </x:c>
    </x:row>
    <x:row r="5598">
      <x:c r="A5598" t="str">
        <x:v>SYN0005597</x:v>
      </x:c>
      <x:c r="B5598" s="12" t="n">
        <x:v>41425</x:v>
      </x:c>
      <x:c r="C5598" s="18" t="n">
        <x:v>14829</x:v>
      </x:c>
      <x:c r="D5598" s="18" t="n">
        <x:v>41807</x:v>
      </x:c>
      <x:c r="E5598" s="18" t="n">
        <x:v>13.74</x:v>
      </x:c>
      <x:c r="F5598" s="18" t="n">
        <x:v>13.9</x:v>
      </x:c>
      <x:c r="G5598" t="n">
        <x:v>60</x:v>
      </x:c>
      <x:c r="H5598" t="str">
        <x:v>C</x:v>
      </x:c>
      <x:c r="I5598" t="str">
        <x:v>10+ years</x:v>
      </x:c>
      <x:c r="J5598" t="str">
        <x:v>RENT</x:v>
      </x:c>
      <x:c r="K5598" t="str">
        <x:v>debt_consolidation</x:v>
      </x:c>
      <x:c r="L5598" t="n">
        <x:v>0</x:v>
      </x:c>
      <x:c r="M5598" t="n">
        <x:v>0</x:v>
      </x:c>
      <x:c r="N5598" t="str">
        <x:v>Fully Paid</x:v>
      </x:c>
      <x:c r="O5598" t="str">
        <x:f>IF(D5598="","Unknown",IF(D5598&lt;25000,"&lt;$25k",IF(D5598&lt;50000,"$25k-$50k",IF(D5598&lt;75000,"$50k-$75k",IF(D5598&lt;100000,"$75k-$100k","$100k+")))))</x:f>
        <x:v>$25k-$50k</x:v>
      </x:c>
      <x:c r="P5598" t="str">
        <x:f>IF(E5598="","Unknown",IF(E5598&lt;10,"&lt;10",IF(E5598&lt;20,"10-&lt;20",IF(E5598&lt;25,"20-&lt;25",IF(E5598&lt;35,"25-&lt;35","35+")))))</x:f>
        <x:v>10-&lt;20</x:v>
      </x:c>
    </x:row>
    <x:row r="5599">
      <x:c r="A5599" t="str">
        <x:v>SYN0005598</x:v>
      </x:c>
      <x:c r="B5599" s="12" t="n">
        <x:v>42115</x:v>
      </x:c>
      <x:c r="C5599" s="18" t="n">
        <x:v>11419</x:v>
      </x:c>
      <x:c r="D5599" s="18" t="n">
        <x:v>73139</x:v>
      </x:c>
      <x:c r="E5599" s="18" t="n">
        <x:v>42.82</x:v>
      </x:c>
      <x:c r="F5599" s="18" t="n">
        <x:v>14.79</x:v>
      </x:c>
      <x:c r="G5599" t="n">
        <x:v>60</x:v>
      </x:c>
      <x:c r="H5599" t="str">
        <x:v>D</x:v>
      </x:c>
      <x:c r="I5599" t="str">
        <x:v>10+ years</x:v>
      </x:c>
      <x:c r="J5599" t="str">
        <x:v>MORTGAGE</x:v>
      </x:c>
      <x:c r="K5599" t="str">
        <x:v>debt_consolidation</x:v>
      </x:c>
      <x:c r="L5599" t="n">
        <x:v>1</x:v>
      </x:c>
      <x:c r="M5599" t="n">
        <x:v>0</x:v>
      </x:c>
      <x:c r="N5599" t="str">
        <x:v>Fully Paid</x:v>
      </x:c>
      <x:c r="O5599" t="str">
        <x:f>IF(D5599="","Unknown",IF(D5599&lt;25000,"&lt;$25k",IF(D5599&lt;50000,"$25k-$50k",IF(D5599&lt;75000,"$50k-$75k",IF(D5599&lt;100000,"$75k-$100k","$100k+")))))</x:f>
        <x:v>$50k-$75k</x:v>
      </x:c>
      <x:c r="P5599" t="str">
        <x:f>IF(E5599="","Unknown",IF(E5599&lt;10,"&lt;10",IF(E5599&lt;20,"10-&lt;20",IF(E5599&lt;25,"20-&lt;25",IF(E5599&lt;35,"25-&lt;35","35+")))))</x:f>
        <x:v>35+</x:v>
      </x:c>
    </x:row>
    <x:row r="5600">
      <x:c r="A5600" t="str">
        <x:v>SYN0005599</x:v>
      </x:c>
      <x:c r="B5600" s="12" t="n">
        <x:v>43015</x:v>
      </x:c>
      <x:c r="C5600" s="18" t="n">
        <x:v>10059</x:v>
      </x:c>
      <x:c r="D5600" s="18" t="n">
        <x:v>33149</x:v>
      </x:c>
      <x:c r="E5600" s="18" t="n">
        <x:v>9.59</x:v>
      </x:c>
      <x:c r="F5600" s="18" t="n">
        <x:v>7.22</x:v>
      </x:c>
      <x:c r="G5600" t="n">
        <x:v>36</x:v>
      </x:c>
      <x:c r="H5600" t="str">
        <x:v>A</x:v>
      </x:c>
      <x:c r="I5600" t="str">
        <x:v>1-3 years</x:v>
      </x:c>
      <x:c r="J5600" t="str">
        <x:v>MORTGAGE</x:v>
      </x:c>
      <x:c r="K5600" t="str">
        <x:v>credit_card</x:v>
      </x:c>
      <x:c r="L5600" t="n">
        <x:v>0</x:v>
      </x:c>
      <x:c r="M5600" t="n">
        <x:v>0</x:v>
      </x:c>
      <x:c r="N5600" t="str">
        <x:v>Fully Paid</x:v>
      </x:c>
      <x:c r="O5600" t="str">
        <x:f>IF(D5600="","Unknown",IF(D5600&lt;25000,"&lt;$25k",IF(D5600&lt;50000,"$25k-$50k",IF(D5600&lt;75000,"$50k-$75k",IF(D5600&lt;100000,"$75k-$100k","$100k+")))))</x:f>
        <x:v>$25k-$50k</x:v>
      </x:c>
      <x:c r="P5600" t="str">
        <x:f>IF(E5600="","Unknown",IF(E5600&lt;10,"&lt;10",IF(E5600&lt;20,"10-&lt;20",IF(E5600&lt;25,"20-&lt;25",IF(E5600&lt;35,"25-&lt;35","35+")))))</x:f>
        <x:v>&lt;10</x:v>
      </x:c>
    </x:row>
    <x:row r="5601">
      <x:c r="A5601" t="str">
        <x:v>SYN0005600</x:v>
      </x:c>
      <x:c r="B5601" s="12" t="n">
        <x:v>43225</x:v>
      </x:c>
      <x:c r="C5601" s="18" t="n">
        <x:v>4689</x:v>
      </x:c>
      <x:c r="D5601" s="18" t="n">
        <x:v>112103</x:v>
      </x:c>
      <x:c r="E5601" s="18" t="n">
        <x:v>15.26</x:v>
      </x:c>
      <x:c r="F5601" s="18" t="n">
        <x:v>6.76</x:v>
      </x:c>
      <x:c r="G5601" t="n">
        <x:v>36</x:v>
      </x:c>
      <x:c r="H5601" t="str">
        <x:v>B</x:v>
      </x:c>
      <x:c r="I5601" t="str">
        <x:v>10+ years</x:v>
      </x:c>
      <x:c r="J5601" t="str">
        <x:v>MORTGAGE</x:v>
      </x:c>
      <x:c r="K5601" t="str">
        <x:v>major_purchase</x:v>
      </x:c>
      <x:c r="L5601" t="n">
        <x:v>0</x:v>
      </x:c>
      <x:c r="M5601" t="n">
        <x:v>0</x:v>
      </x:c>
      <x:c r="N5601" t="str">
        <x:v>Fully Paid</x:v>
      </x:c>
      <x:c r="O5601" t="str">
        <x:f>IF(D5601="","Unknown",IF(D5601&lt;25000,"&lt;$25k",IF(D5601&lt;50000,"$25k-$50k",IF(D5601&lt;75000,"$50k-$75k",IF(D5601&lt;100000,"$75k-$100k","$100k+")))))</x:f>
        <x:v>$100k+</x:v>
      </x:c>
      <x:c r="P5601" t="str">
        <x:f>IF(E5601="","Unknown",IF(E5601&lt;10,"&lt;10",IF(E5601&lt;20,"10-&lt;20",IF(E5601&lt;25,"20-&lt;25",IF(E5601&lt;35,"25-&lt;35","35+")))))</x:f>
        <x:v>10-&lt;20</x:v>
      </x:c>
    </x:row>
    <x:row r="5602">
      <x:c r="A5602" t="str">
        <x:v>SYN0005601</x:v>
      </x:c>
      <x:c r="B5602" s="12" t="n">
        <x:v>41545</x:v>
      </x:c>
      <x:c r="C5602" s="18" t="n">
        <x:v>22842</x:v>
      </x:c>
      <x:c r="D5602" s="18" t="n">
        <x:v>67749</x:v>
      </x:c>
      <x:c r="E5602" s="18" t="n">
        <x:v>4.21</x:v>
      </x:c>
      <x:c r="F5602" s="18" t="n">
        <x:v>6.06</x:v>
      </x:c>
      <x:c r="G5602" t="n">
        <x:v>36</x:v>
      </x:c>
      <x:c r="H5602" t="str">
        <x:v>B</x:v>
      </x:c>
      <x:c r="I5602" t="str">
        <x:v>&lt;1 year</x:v>
      </x:c>
      <x:c r="J5602" t="str">
        <x:v>RENT</x:v>
      </x:c>
      <x:c r="K5602" t="str">
        <x:v>credit_card</x:v>
      </x:c>
      <x:c r="L5602" t="n">
        <x:v>1</x:v>
      </x:c>
      <x:c r="M5602" t="n">
        <x:v>0</x:v>
      </x:c>
      <x:c r="N5602" t="str">
        <x:v>Fully Paid</x:v>
      </x:c>
      <x:c r="O5602" t="str">
        <x:f>IF(D5602="","Unknown",IF(D5602&lt;25000,"&lt;$25k",IF(D5602&lt;50000,"$25k-$50k",IF(D5602&lt;75000,"$50k-$75k",IF(D5602&lt;100000,"$75k-$100k","$100k+")))))</x:f>
        <x:v>$50k-$75k</x:v>
      </x:c>
      <x:c r="P5602" t="str">
        <x:f>IF(E5602="","Unknown",IF(E5602&lt;10,"&lt;10",IF(E5602&lt;20,"10-&lt;20",IF(E5602&lt;25,"20-&lt;25",IF(E5602&lt;35,"25-&lt;35","35+")))))</x:f>
        <x:v>&lt;10</x:v>
      </x:c>
    </x:row>
    <x:row r="5603">
      <x:c r="A5603" t="str">
        <x:v>SYN0005602</x:v>
      </x:c>
      <x:c r="B5603" s="12" t="n">
        <x:v>42715</x:v>
      </x:c>
      <x:c r="C5603" s="18" t="n">
        <x:v>8531</x:v>
      </x:c>
      <x:c r="D5603" s="18" t="n">
        <x:v>67680</x:v>
      </x:c>
      <x:c r="E5603" s="18" t="n">
        <x:v>17.25</x:v>
      </x:c>
      <x:c r="F5603" s="18" t="n">
        <x:v>8.91</x:v>
      </x:c>
      <x:c r="G5603" t="n">
        <x:v>60</x:v>
      </x:c>
      <x:c r="H5603" t="str">
        <x:v>B</x:v>
      </x:c>
      <x:c r="I5603" t="str">
        <x:v>10+ years</x:v>
      </x:c>
      <x:c r="J5603" t="str">
        <x:v>OTHER</x:v>
      </x:c>
      <x:c r="K5603" t="str">
        <x:v>debt_consolidation</x:v>
      </x:c>
      <x:c r="L5603" t="n">
        <x:v>0</x:v>
      </x:c>
      <x:c r="M5603" t="n">
        <x:v>0</x:v>
      </x:c>
      <x:c r="N5603" t="str">
        <x:v>Fully Paid</x:v>
      </x:c>
      <x:c r="O5603" t="str">
        <x:f>IF(D5603="","Unknown",IF(D5603&lt;25000,"&lt;$25k",IF(D5603&lt;50000,"$25k-$50k",IF(D5603&lt;75000,"$50k-$75k",IF(D5603&lt;100000,"$75k-$100k","$100k+")))))</x:f>
        <x:v>$50k-$75k</x:v>
      </x:c>
      <x:c r="P5603" t="str">
        <x:f>IF(E5603="","Unknown",IF(E5603&lt;10,"&lt;10",IF(E5603&lt;20,"10-&lt;20",IF(E5603&lt;25,"20-&lt;25",IF(E5603&lt;35,"25-&lt;35","35+")))))</x:f>
        <x:v>10-&lt;20</x:v>
      </x:c>
    </x:row>
    <x:row r="5604">
      <x:c r="A5604" t="str">
        <x:v>SYN0005603</x:v>
      </x:c>
      <x:c r="B5604" s="12" t="n">
        <x:v>42895</x:v>
      </x:c>
      <x:c r="C5604" s="18" t="n">
        <x:v>19139</x:v>
      </x:c>
      <x:c r="D5604" s="18" t="n">
        <x:v>51812</x:v>
      </x:c>
      <x:c r="E5604" s="18" t="n">
        <x:v>26.98</x:v>
      </x:c>
      <x:c r="F5604" s="18" t="n">
        <x:v>12.4</x:v>
      </x:c>
      <x:c r="G5604" t="n">
        <x:v>36</x:v>
      </x:c>
      <x:c r="H5604" t="str">
        <x:v>D</x:v>
      </x:c>
      <x:c r="I5604" t="str">
        <x:v>7-9 years</x:v>
      </x:c>
      <x:c r="J5604" t="str">
        <x:v>RENT</x:v>
      </x:c>
      <x:c r="K5604" t="str">
        <x:v>credit_card</x:v>
      </x:c>
      <x:c r="L5604" t="n">
        <x:v>1</x:v>
      </x:c>
      <x:c r="M5604" t="n">
        <x:v>1</x:v>
      </x:c>
      <x:c r="N5604" t="str">
        <x:v>Charged Off</x:v>
      </x:c>
      <x:c r="O5604" t="str">
        <x:f>IF(D5604="","Unknown",IF(D5604&lt;25000,"&lt;$25k",IF(D5604&lt;50000,"$25k-$50k",IF(D5604&lt;75000,"$50k-$75k",IF(D5604&lt;100000,"$75k-$100k","$100k+")))))</x:f>
        <x:v>$50k-$75k</x:v>
      </x:c>
      <x:c r="P5604" t="str">
        <x:f>IF(E5604="","Unknown",IF(E5604&lt;10,"&lt;10",IF(E5604&lt;20,"10-&lt;20",IF(E5604&lt;25,"20-&lt;25",IF(E5604&lt;35,"25-&lt;35","35+")))))</x:f>
        <x:v>25-&lt;35</x:v>
      </x:c>
    </x:row>
    <x:row r="5605">
      <x:c r="A5605" t="str">
        <x:v>SYN0005604</x:v>
      </x:c>
      <x:c r="B5605" s="12" t="n">
        <x:v>42775</x:v>
      </x:c>
      <x:c r="C5605" s="18" t="n">
        <x:v>8454</x:v>
      </x:c>
      <x:c r="D5605" s="18" t="n">
        <x:v>57073</x:v>
      </x:c>
      <x:c r="E5605" s="18" t="n">
        <x:v>14.3</x:v>
      </x:c>
      <x:c r="F5605" s="18" t="n">
        <x:v>5.95</x:v>
      </x:c>
      <x:c r="G5605" t="n">
        <x:v>60</x:v>
      </x:c>
      <x:c r="H5605" t="str">
        <x:v>A</x:v>
      </x:c>
      <x:c r="I5605" t="str">
        <x:v>4-6 years</x:v>
      </x:c>
      <x:c r="J5605" t="str">
        <x:v>MORTGAGE</x:v>
      </x:c>
      <x:c r="K5605" t="str">
        <x:v>medical</x:v>
      </x:c>
      <x:c r="L5605" t="n">
        <x:v>0</x:v>
      </x:c>
      <x:c r="M5605" t="n">
        <x:v>0</x:v>
      </x:c>
      <x:c r="N5605" t="str">
        <x:v>Fully Paid</x:v>
      </x:c>
      <x:c r="O5605" t="str">
        <x:f>IF(D5605="","Unknown",IF(D5605&lt;25000,"&lt;$25k",IF(D5605&lt;50000,"$25k-$50k",IF(D5605&lt;75000,"$50k-$75k",IF(D5605&lt;100000,"$75k-$100k","$100k+")))))</x:f>
        <x:v>$50k-$75k</x:v>
      </x:c>
      <x:c r="P5605" t="str">
        <x:f>IF(E5605="","Unknown",IF(E5605&lt;10,"&lt;10",IF(E5605&lt;20,"10-&lt;20",IF(E5605&lt;25,"20-&lt;25",IF(E5605&lt;35,"25-&lt;35","35+")))))</x:f>
        <x:v>10-&lt;20</x:v>
      </x:c>
    </x:row>
    <x:row r="5606">
      <x:c r="A5606" t="str">
        <x:v>SYN0005605</x:v>
      </x:c>
      <x:c r="B5606" s="12" t="n">
        <x:v>42175</x:v>
      </x:c>
      <x:c r="C5606" s="18" t="n">
        <x:v>11014</x:v>
      </x:c>
      <x:c r="D5606" s="18" t="n">
        <x:v>15591</x:v>
      </x:c>
      <x:c r="E5606" s="18" t="n">
        <x:v>24.99</x:v>
      </x:c>
      <x:c r="F5606" s="18" t="n">
        <x:v>16.87</x:v>
      </x:c>
      <x:c r="G5606" t="n">
        <x:v>36</x:v>
      </x:c>
      <x:c r="H5606" t="str">
        <x:v>D</x:v>
      </x:c>
      <x:c r="I5606" t="str">
        <x:v>1-3 years</x:v>
      </x:c>
      <x:c r="J5606" t="str">
        <x:v>RENT</x:v>
      </x:c>
      <x:c r="K5606" t="str">
        <x:v>major_purchase</x:v>
      </x:c>
      <x:c r="L5606" t="n">
        <x:v>1</x:v>
      </x:c>
      <x:c r="M5606" t="n">
        <x:v>0</x:v>
      </x:c>
      <x:c r="N5606" t="str">
        <x:v>Fully Paid</x:v>
      </x:c>
      <x:c r="O5606" t="str">
        <x:f>IF(D5606="","Unknown",IF(D5606&lt;25000,"&lt;$25k",IF(D5606&lt;50000,"$25k-$50k",IF(D5606&lt;75000,"$50k-$75k",IF(D5606&lt;100000,"$75k-$100k","$100k+")))))</x:f>
        <x:v>&lt;$25k</x:v>
      </x:c>
      <x:c r="P5606" t="str">
        <x:f>IF(E5606="","Unknown",IF(E5606&lt;10,"&lt;10",IF(E5606&lt;20,"10-&lt;20",IF(E5606&lt;25,"20-&lt;25",IF(E5606&lt;35,"25-&lt;35","35+")))))</x:f>
        <x:v>20-&lt;25</x:v>
      </x:c>
    </x:row>
    <x:row r="5607">
      <x:c r="A5607" t="str">
        <x:v>SYN0005606</x:v>
      </x:c>
      <x:c r="B5607" s="12" t="n">
        <x:v>42985</x:v>
      </x:c>
      <x:c r="C5607" s="18" t="n">
        <x:v>12974</x:v>
      </x:c>
      <x:c r="D5607" s="18" t="n">
        <x:v>72712</x:v>
      </x:c>
      <x:c r="E5607" s="18" t="n">
        <x:v>12.72</x:v>
      </x:c>
      <x:c r="F5607" s="18" t="n">
        <x:v>5</x:v>
      </x:c>
      <x:c r="G5607" t="n">
        <x:v>36</x:v>
      </x:c>
      <x:c r="H5607" t="str">
        <x:v>A</x:v>
      </x:c>
      <x:c r="I5607" t="str">
        <x:v>4-6 years</x:v>
      </x:c>
      <x:c r="J5607" t="str">
        <x:v>MORTGAGE</x:v>
      </x:c>
      <x:c r="K5607" t="str">
        <x:v>home_improvement</x:v>
      </x:c>
      <x:c r="L5607" t="n">
        <x:v>0</x:v>
      </x:c>
      <x:c r="M5607" t="n">
        <x:v>0</x:v>
      </x:c>
      <x:c r="N5607" t="str">
        <x:v>Fully Paid</x:v>
      </x:c>
      <x:c r="O5607" t="str">
        <x:f>IF(D5607="","Unknown",IF(D5607&lt;25000,"&lt;$25k",IF(D5607&lt;50000,"$25k-$50k",IF(D5607&lt;75000,"$50k-$75k",IF(D5607&lt;100000,"$75k-$100k","$100k+")))))</x:f>
        <x:v>$50k-$75k</x:v>
      </x:c>
      <x:c r="P5607" t="str">
        <x:f>IF(E5607="","Unknown",IF(E5607&lt;10,"&lt;10",IF(E5607&lt;20,"10-&lt;20",IF(E5607&lt;25,"20-&lt;25",IF(E5607&lt;35,"25-&lt;35","35+")))))</x:f>
        <x:v>10-&lt;20</x:v>
      </x:c>
    </x:row>
    <x:row r="5608">
      <x:c r="A5608" t="str">
        <x:v>SYN0005607</x:v>
      </x:c>
      <x:c r="B5608" s="12" t="n">
        <x:v>43015</x:v>
      </x:c>
      <x:c r="C5608" s="18" t="n">
        <x:v>13134</x:v>
      </x:c>
      <x:c r="D5608" s="18" t="n">
        <x:v>41367</x:v>
      </x:c>
      <x:c r="E5608" s="18" t="n">
        <x:v>14.22</x:v>
      </x:c>
      <x:c r="F5608" s="18" t="n">
        <x:v>11.04</x:v>
      </x:c>
      <x:c r="G5608" t="n">
        <x:v>36</x:v>
      </x:c>
      <x:c r="H5608" t="str">
        <x:v>B</x:v>
      </x:c>
      <x:c r="I5608" t="str">
        <x:v>7-9 years</x:v>
      </x:c>
      <x:c r="J5608" t="str">
        <x:v>MORTGAGE</x:v>
      </x:c>
      <x:c r="K5608" t="str">
        <x:v>other</x:v>
      </x:c>
      <x:c r="L5608" t="n">
        <x:v>1</x:v>
      </x:c>
      <x:c r="M5608" t="n">
        <x:v>0</x:v>
      </x:c>
      <x:c r="N5608" t="str">
        <x:v>Fully Paid</x:v>
      </x:c>
      <x:c r="O5608" t="str">
        <x:f>IF(D5608="","Unknown",IF(D5608&lt;25000,"&lt;$25k",IF(D5608&lt;50000,"$25k-$50k",IF(D5608&lt;75000,"$50k-$75k",IF(D5608&lt;100000,"$75k-$100k","$100k+")))))</x:f>
        <x:v>$25k-$50k</x:v>
      </x:c>
      <x:c r="P5608" t="str">
        <x:f>IF(E5608="","Unknown",IF(E5608&lt;10,"&lt;10",IF(E5608&lt;20,"10-&lt;20",IF(E5608&lt;25,"20-&lt;25",IF(E5608&lt;35,"25-&lt;35","35+")))))</x:f>
        <x:v>10-&lt;20</x:v>
      </x:c>
    </x:row>
    <x:row r="5609">
      <x:c r="A5609" t="str">
        <x:v>SYN0005608</x:v>
      </x:c>
      <x:c r="B5609" s="12" t="n">
        <x:v>42625</x:v>
      </x:c>
      <x:c r="C5609" s="18" t="n">
        <x:v>9708</x:v>
      </x:c>
      <x:c r="D5609" s="18" t="n">
        <x:v>100731</x:v>
      </x:c>
      <x:c r="E5609" s="18" t="n">
        <x:v>26.86</x:v>
      </x:c>
      <x:c r="F5609" s="18" t="n">
        <x:v>6.99</x:v>
      </x:c>
      <x:c r="G5609" t="n">
        <x:v>36</x:v>
      </x:c>
      <x:c r="H5609" t="str">
        <x:v>B</x:v>
      </x:c>
      <x:c r="I5609" t="str">
        <x:v>10+ years</x:v>
      </x:c>
      <x:c r="J5609" t="str">
        <x:v>RENT</x:v>
      </x:c>
      <x:c r="K5609" t="str">
        <x:v>debt_consolidation</x:v>
      </x:c>
      <x:c r="L5609" t="n">
        <x:v>0</x:v>
      </x:c>
      <x:c r="M5609" t="n">
        <x:v>0</x:v>
      </x:c>
      <x:c r="N5609" t="str">
        <x:v>Fully Paid</x:v>
      </x:c>
      <x:c r="O5609" t="str">
        <x:f>IF(D5609="","Unknown",IF(D5609&lt;25000,"&lt;$25k",IF(D5609&lt;50000,"$25k-$50k",IF(D5609&lt;75000,"$50k-$75k",IF(D5609&lt;100000,"$75k-$100k","$100k+")))))</x:f>
        <x:v>$100k+</x:v>
      </x:c>
      <x:c r="P5609" t="str">
        <x:f>IF(E5609="","Unknown",IF(E5609&lt;10,"&lt;10",IF(E5609&lt;20,"10-&lt;20",IF(E5609&lt;25,"20-&lt;25",IF(E5609&lt;35,"25-&lt;35","35+")))))</x:f>
        <x:v>25-&lt;35</x:v>
      </x:c>
    </x:row>
    <x:row r="5610">
      <x:c r="A5610" t="str">
        <x:v>SYN0005609</x:v>
      </x:c>
      <x:c r="B5610" s="12" t="n">
        <x:v>42025</x:v>
      </x:c>
      <x:c r="C5610" s="18" t="n">
        <x:v>9476</x:v>
      </x:c>
      <x:c r="D5610" s="18" t="n">
        <x:v>68384</x:v>
      </x:c>
      <x:c r="E5610" s="18" t="n">
        <x:v>38.1</x:v>
      </x:c>
      <x:c r="F5610" s="18" t="n">
        <x:v>20.34</x:v>
      </x:c>
      <x:c r="G5610" t="n">
        <x:v>60</x:v>
      </x:c>
      <x:c r="H5610" t="str">
        <x:v>F</x:v>
      </x:c>
      <x:c r="I5610" t="str">
        <x:v>4-6 years</x:v>
      </x:c>
      <x:c r="J5610" t="str">
        <x:v>RENT</x:v>
      </x:c>
      <x:c r="K5610" t="str">
        <x:v>debt_consolidation</x:v>
      </x:c>
      <x:c r="L5610" t="n">
        <x:v>2</x:v>
      </x:c>
      <x:c r="M5610" t="n">
        <x:v>0</x:v>
      </x:c>
      <x:c r="N5610" t="str">
        <x:v>Fully Paid</x:v>
      </x:c>
      <x:c r="O5610" t="str">
        <x:f>IF(D5610="","Unknown",IF(D5610&lt;25000,"&lt;$25k",IF(D5610&lt;50000,"$25k-$50k",IF(D5610&lt;75000,"$50k-$75k",IF(D5610&lt;100000,"$75k-$100k","$100k+")))))</x:f>
        <x:v>$50k-$75k</x:v>
      </x:c>
      <x:c r="P5610" t="str">
        <x:f>IF(E5610="","Unknown",IF(E5610&lt;10,"&lt;10",IF(E5610&lt;20,"10-&lt;20",IF(E5610&lt;25,"20-&lt;25",IF(E5610&lt;35,"25-&lt;35","35+")))))</x:f>
        <x:v>35+</x:v>
      </x:c>
    </x:row>
    <x:row r="5611">
      <x:c r="A5611" t="str">
        <x:v>SYN0005610</x:v>
      </x:c>
      <x:c r="B5611" s="12" t="n">
        <x:v>42985</x:v>
      </x:c>
      <x:c r="C5611" s="18" t="n">
        <x:v>14570</x:v>
      </x:c>
      <x:c r="D5611" s="18" t="n">
        <x:v>76847</x:v>
      </x:c>
      <x:c r="E5611" s="18" t="n">
        <x:v>18.11</x:v>
      </x:c>
      <x:c r="F5611" s="18" t="n">
        <x:v>8.23</x:v>
      </x:c>
      <x:c r="G5611" t="n">
        <x:v>36</x:v>
      </x:c>
      <x:c r="H5611" t="str">
        <x:v>A</x:v>
      </x:c>
      <x:c r="I5611" t="str">
        <x:v>10+ years</x:v>
      </x:c>
      <x:c r="J5611" t="str">
        <x:v>RENT</x:v>
      </x:c>
      <x:c r="K5611" t="str">
        <x:v>credit_card</x:v>
      </x:c>
      <x:c r="L5611" t="n">
        <x:v>0</x:v>
      </x:c>
      <x:c r="M5611" t="n">
        <x:v>0</x:v>
      </x:c>
      <x:c r="N5611" t="str">
        <x:v>Fully Paid</x:v>
      </x:c>
      <x:c r="O5611" t="str">
        <x:f>IF(D5611="","Unknown",IF(D5611&lt;25000,"&lt;$25k",IF(D5611&lt;50000,"$25k-$50k",IF(D5611&lt;75000,"$50k-$75k",IF(D5611&lt;100000,"$75k-$100k","$100k+")))))</x:f>
        <x:v>$75k-$100k</x:v>
      </x:c>
      <x:c r="P5611" t="str">
        <x:f>IF(E5611="","Unknown",IF(E5611&lt;10,"&lt;10",IF(E5611&lt;20,"10-&lt;20",IF(E5611&lt;25,"20-&lt;25",IF(E5611&lt;35,"25-&lt;35","35+")))))</x:f>
        <x:v>10-&lt;20</x:v>
      </x:c>
    </x:row>
    <x:row r="5612">
      <x:c r="A5612" t="str">
        <x:v>SYN0005611</x:v>
      </x:c>
      <x:c r="B5612" s="12" t="n">
        <x:v>41455</x:v>
      </x:c>
      <x:c r="C5612" s="18" t="n">
        <x:v>7102</x:v>
      </x:c>
      <x:c r="D5612" s="18" t="n">
        <x:v>58142</x:v>
      </x:c>
      <x:c r="E5612" s="18" t="n">
        <x:v>18.64</x:v>
      </x:c>
      <x:c r="F5612" s="18" t="n">
        <x:v>19.34</x:v>
      </x:c>
      <x:c r="G5612" t="n">
        <x:v>36</x:v>
      </x:c>
      <x:c r="H5612" t="str">
        <x:v>E</x:v>
      </x:c>
      <x:c r="I5612" t="str">
        <x:v>4-6 years</x:v>
      </x:c>
      <x:c r="J5612" t="str">
        <x:v>MORTGAGE</x:v>
      </x:c>
      <x:c r="K5612" t="str">
        <x:v>home_improvement</x:v>
      </x:c>
      <x:c r="L5612" t="n">
        <x:v>0</x:v>
      </x:c>
      <x:c r="M5612" t="n">
        <x:v>0</x:v>
      </x:c>
      <x:c r="N5612" t="str">
        <x:v>Fully Paid</x:v>
      </x:c>
      <x:c r="O5612" t="str">
        <x:f>IF(D5612="","Unknown",IF(D5612&lt;25000,"&lt;$25k",IF(D5612&lt;50000,"$25k-$50k",IF(D5612&lt;75000,"$50k-$75k",IF(D5612&lt;100000,"$75k-$100k","$100k+")))))</x:f>
        <x:v>$50k-$75k</x:v>
      </x:c>
      <x:c r="P5612" t="str">
        <x:f>IF(E5612="","Unknown",IF(E5612&lt;10,"&lt;10",IF(E5612&lt;20,"10-&lt;20",IF(E5612&lt;25,"20-&lt;25",IF(E5612&lt;35,"25-&lt;35","35+")))))</x:f>
        <x:v>10-&lt;20</x:v>
      </x:c>
    </x:row>
    <x:row r="5613">
      <x:c r="A5613" t="str">
        <x:v>SYN0005612</x:v>
      </x:c>
      <x:c r="B5613" s="12" t="n">
        <x:v>42265</x:v>
      </x:c>
      <x:c r="C5613" s="18" t="n">
        <x:v>17173</x:v>
      </x:c>
      <x:c r="D5613" s="18" t="n">
        <x:v>250000</x:v>
      </x:c>
      <x:c r="E5613" s="18" t="n">
        <x:v>27.14</x:v>
      </x:c>
      <x:c r="F5613" s="18" t="n">
        <x:v>23.59</x:v>
      </x:c>
      <x:c r="G5613" t="n">
        <x:v>60</x:v>
      </x:c>
      <x:c r="H5613" t="str">
        <x:v>F</x:v>
      </x:c>
      <x:c r="I5613" t="str">
        <x:v>10+ years</x:v>
      </x:c>
      <x:c r="J5613" t="str">
        <x:v>MORTGAGE</x:v>
      </x:c>
      <x:c r="K5613" t="str">
        <x:v>credit_card</x:v>
      </x:c>
      <x:c r="L5613" t="n">
        <x:v>0</x:v>
      </x:c>
      <x:c r="M5613" t="n">
        <x:v>0</x:v>
      </x:c>
      <x:c r="N5613" t="str">
        <x:v>Fully Paid</x:v>
      </x:c>
      <x:c r="O5613" t="str">
        <x:f>IF(D5613="","Unknown",IF(D5613&lt;25000,"&lt;$25k",IF(D5613&lt;50000,"$25k-$50k",IF(D5613&lt;75000,"$50k-$75k",IF(D5613&lt;100000,"$75k-$100k","$100k+")))))</x:f>
        <x:v>$100k+</x:v>
      </x:c>
      <x:c r="P5613" t="str">
        <x:f>IF(E5613="","Unknown",IF(E5613&lt;10,"&lt;10",IF(E5613&lt;20,"10-&lt;20",IF(E5613&lt;25,"20-&lt;25",IF(E5613&lt;35,"25-&lt;35","35+")))))</x:f>
        <x:v>25-&lt;35</x:v>
      </x:c>
    </x:row>
    <x:row r="5614">
      <x:c r="A5614" t="str">
        <x:v>SYN0005613</x:v>
      </x:c>
      <x:c r="B5614" s="12" t="n">
        <x:v>43255</x:v>
      </x:c>
      <x:c r="C5614" s="18" t="n">
        <x:v>11797</x:v>
      </x:c>
      <x:c r="D5614" s="18" t="n">
        <x:v>54056</x:v>
      </x:c>
      <x:c r="E5614" s="18" t="n">
        <x:v>24.85</x:v>
      </x:c>
      <x:c r="F5614" s="18" t="n">
        <x:v>8.35</x:v>
      </x:c>
      <x:c r="G5614" t="n">
        <x:v>36</x:v>
      </x:c>
      <x:c r="H5614" t="str">
        <x:v>B</x:v>
      </x:c>
      <x:c r="I5614" t="str">
        <x:v>10+ years</x:v>
      </x:c>
      <x:c r="J5614" t="str">
        <x:v>RENT</x:v>
      </x:c>
      <x:c r="K5614" t="str">
        <x:v>debt_consolidation</x:v>
      </x:c>
      <x:c r="L5614" t="n">
        <x:v>2</x:v>
      </x:c>
      <x:c r="M5614" t="n">
        <x:v>0</x:v>
      </x:c>
      <x:c r="N5614" t="str">
        <x:v>Fully Paid</x:v>
      </x:c>
      <x:c r="O5614" t="str">
        <x:f>IF(D5614="","Unknown",IF(D5614&lt;25000,"&lt;$25k",IF(D5614&lt;50000,"$25k-$50k",IF(D5614&lt;75000,"$50k-$75k",IF(D5614&lt;100000,"$75k-$100k","$100k+")))))</x:f>
        <x:v>$50k-$75k</x:v>
      </x:c>
      <x:c r="P5614" t="str">
        <x:f>IF(E5614="","Unknown",IF(E5614&lt;10,"&lt;10",IF(E5614&lt;20,"10-&lt;20",IF(E5614&lt;25,"20-&lt;25",IF(E5614&lt;35,"25-&lt;35","35+")))))</x:f>
        <x:v>20-&lt;25</x:v>
      </x:c>
    </x:row>
    <x:row r="5615">
      <x:c r="A5615" t="str">
        <x:v>SYN0005614</x:v>
      </x:c>
      <x:c r="B5615" s="12" t="n">
        <x:v>42865</x:v>
      </x:c>
      <x:c r="C5615" s="18" t="n">
        <x:v>40000</x:v>
      </x:c>
      <x:c r="D5615" s="18" t="n">
        <x:v>26080</x:v>
      </x:c>
      <x:c r="E5615" s="18" t="n">
        <x:v>20.71</x:v>
      </x:c>
      <x:c r="F5615" s="18" t="n">
        <x:v>16.91</x:v>
      </x:c>
      <x:c r="G5615" t="n">
        <x:v>60</x:v>
      </x:c>
      <x:c r="H5615" t="str">
        <x:v>E</x:v>
      </x:c>
      <x:c r="I5615" t="str">
        <x:v>10+ years</x:v>
      </x:c>
      <x:c r="J5615" t="str">
        <x:v>MORTGAGE</x:v>
      </x:c>
      <x:c r="K5615" t="str">
        <x:v>debt_consolidation</x:v>
      </x:c>
      <x:c r="L5615" t="n">
        <x:v>1</x:v>
      </x:c>
      <x:c r="M5615" t="n">
        <x:v>1</x:v>
      </x:c>
      <x:c r="N5615" t="str">
        <x:v>Charged Off</x:v>
      </x:c>
      <x:c r="O5615" t="str">
        <x:f>IF(D5615="","Unknown",IF(D5615&lt;25000,"&lt;$25k",IF(D5615&lt;50000,"$25k-$50k",IF(D5615&lt;75000,"$50k-$75k",IF(D5615&lt;100000,"$75k-$100k","$100k+")))))</x:f>
        <x:v>$25k-$50k</x:v>
      </x:c>
      <x:c r="P5615" t="str">
        <x:f>IF(E5615="","Unknown",IF(E5615&lt;10,"&lt;10",IF(E5615&lt;20,"10-&lt;20",IF(E5615&lt;25,"20-&lt;25",IF(E5615&lt;35,"25-&lt;35","35+")))))</x:f>
        <x:v>20-&lt;25</x:v>
      </x:c>
    </x:row>
    <x:row r="5616">
      <x:c r="A5616" t="str">
        <x:v>SYN0005615</x:v>
      </x:c>
      <x:c r="B5616" s="12" t="n">
        <x:v>42895</x:v>
      </x:c>
      <x:c r="C5616" s="18" t="n">
        <x:v>27231</x:v>
      </x:c>
      <x:c r="D5616" s="18" t="n">
        <x:v>126550</x:v>
      </x:c>
      <x:c r="E5616" s="18" t="n">
        <x:v>14.47</x:v>
      </x:c>
      <x:c r="F5616" s="18" t="n">
        <x:v>7.22</x:v>
      </x:c>
      <x:c r="G5616" t="n">
        <x:v>36</x:v>
      </x:c>
      <x:c r="H5616" t="str">
        <x:v>A</x:v>
      </x:c>
      <x:c r="I5616" t="str">
        <x:v>10+ years</x:v>
      </x:c>
      <x:c r="J5616" t="str">
        <x:v>OWN</x:v>
      </x:c>
      <x:c r="K5616" t="str">
        <x:v>credit_card</x:v>
      </x:c>
      <x:c r="L5616" t="n">
        <x:v>0</x:v>
      </x:c>
      <x:c r="M5616" t="n">
        <x:v>0</x:v>
      </x:c>
      <x:c r="N5616" t="str">
        <x:v>Fully Paid</x:v>
      </x:c>
      <x:c r="O5616" t="str">
        <x:f>IF(D5616="","Unknown",IF(D5616&lt;25000,"&lt;$25k",IF(D5616&lt;50000,"$25k-$50k",IF(D5616&lt;75000,"$50k-$75k",IF(D5616&lt;100000,"$75k-$100k","$100k+")))))</x:f>
        <x:v>$100k+</x:v>
      </x:c>
      <x:c r="P5616" t="str">
        <x:f>IF(E5616="","Unknown",IF(E5616&lt;10,"&lt;10",IF(E5616&lt;20,"10-&lt;20",IF(E5616&lt;25,"20-&lt;25",IF(E5616&lt;35,"25-&lt;35","35+")))))</x:f>
        <x:v>10-&lt;20</x:v>
      </x:c>
    </x:row>
    <x:row r="5617">
      <x:c r="A5617" t="str">
        <x:v>SYN0005616</x:v>
      </x:c>
      <x:c r="B5617" s="12" t="n">
        <x:v>42895</x:v>
      </x:c>
      <x:c r="C5617" s="18" t="n">
        <x:v>11715</x:v>
      </x:c>
      <x:c r="D5617" s="18" t="n">
        <x:v>60984</x:v>
      </x:c>
      <x:c r="E5617" s="18" t="n">
        <x:v>14.56</x:v>
      </x:c>
      <x:c r="F5617" s="18" t="n">
        <x:v>6.65</x:v>
      </x:c>
      <x:c r="G5617" t="n">
        <x:v>36</x:v>
      </x:c>
      <x:c r="H5617" t="str">
        <x:v>A</x:v>
      </x:c>
      <x:c r="I5617" t="str">
        <x:v>1-3 years</x:v>
      </x:c>
      <x:c r="J5617" t="str">
        <x:v>RENT</x:v>
      </x:c>
      <x:c r="K5617" t="str">
        <x:v>debt_consolidation</x:v>
      </x:c>
      <x:c r="L5617" t="n">
        <x:v>0</x:v>
      </x:c>
      <x:c r="M5617" t="n">
        <x:v>0</x:v>
      </x:c>
      <x:c r="N5617" t="str">
        <x:v>Fully Paid</x:v>
      </x:c>
      <x:c r="O5617" t="str">
        <x:f>IF(D5617="","Unknown",IF(D5617&lt;25000,"&lt;$25k",IF(D5617&lt;50000,"$25k-$50k",IF(D5617&lt;75000,"$50k-$75k",IF(D5617&lt;100000,"$75k-$100k","$100k+")))))</x:f>
        <x:v>$50k-$75k</x:v>
      </x:c>
      <x:c r="P5617" t="str">
        <x:f>IF(E5617="","Unknown",IF(E5617&lt;10,"&lt;10",IF(E5617&lt;20,"10-&lt;20",IF(E5617&lt;25,"20-&lt;25",IF(E5617&lt;35,"25-&lt;35","35+")))))</x:f>
        <x:v>10-&lt;20</x:v>
      </x:c>
    </x:row>
    <x:row r="5618">
      <x:c r="A5618" t="str">
        <x:v>SYN0005617</x:v>
      </x:c>
      <x:c r="B5618" s="12" t="n">
        <x:v>41935</x:v>
      </x:c>
      <x:c r="C5618" s="18" t="n">
        <x:v>32794</x:v>
      </x:c>
      <x:c r="D5618" s="18" t="n">
        <x:v>108226</x:v>
      </x:c>
      <x:c r="E5618" s="18" t="n">
        <x:v>3.85</x:v>
      </x:c>
      <x:c r="F5618" s="18" t="n">
        <x:v>9.9</x:v>
      </x:c>
      <x:c r="G5618" t="n">
        <x:v>36</x:v>
      </x:c>
      <x:c r="H5618" t="str">
        <x:v>B</x:v>
      </x:c>
      <x:c r="I5618" t="str">
        <x:v>&lt;1 year</x:v>
      </x:c>
      <x:c r="J5618" t="str">
        <x:v>OTHER</x:v>
      </x:c>
      <x:c r="K5618" t="str">
        <x:v>debt_consolidation</x:v>
      </x:c>
      <x:c r="L5618" t="n">
        <x:v>0</x:v>
      </x:c>
      <x:c r="M5618" t="n">
        <x:v>0</x:v>
      </x:c>
      <x:c r="N5618" t="str">
        <x:v>Fully Paid</x:v>
      </x:c>
      <x:c r="O5618" t="str">
        <x:f>IF(D5618="","Unknown",IF(D5618&lt;25000,"&lt;$25k",IF(D5618&lt;50000,"$25k-$50k",IF(D5618&lt;75000,"$50k-$75k",IF(D5618&lt;100000,"$75k-$100k","$100k+")))))</x:f>
        <x:v>$100k+</x:v>
      </x:c>
      <x:c r="P5618" t="str">
        <x:f>IF(E5618="","Unknown",IF(E5618&lt;10,"&lt;10",IF(E5618&lt;20,"10-&lt;20",IF(E5618&lt;25,"20-&lt;25",IF(E5618&lt;35,"25-&lt;35","35+")))))</x:f>
        <x:v>&lt;10</x:v>
      </x:c>
    </x:row>
    <x:row r="5619">
      <x:c r="A5619" t="str">
        <x:v>SYN0005618</x:v>
      </x:c>
      <x:c r="B5619" s="12" t="n">
        <x:v>42595</x:v>
      </x:c>
      <x:c r="C5619" s="18" t="n">
        <x:v>17485</x:v>
      </x:c>
      <x:c r="D5619" s="18" t="n">
        <x:v>31038</x:v>
      </x:c>
      <x:c r="E5619" s="18" t="n">
        <x:v>27.83</x:v>
      </x:c>
      <x:c r="F5619" s="18" t="n">
        <x:v>19.38</x:v>
      </x:c>
      <x:c r="G5619" t="n">
        <x:v>36</x:v>
      </x:c>
      <x:c r="H5619" t="str">
        <x:v>E</x:v>
      </x:c>
      <x:c r="I5619" t="str">
        <x:v>1-3 years</x:v>
      </x:c>
      <x:c r="J5619" t="str">
        <x:v>MORTGAGE</x:v>
      </x:c>
      <x:c r="K5619" t="str">
        <x:v>debt_consolidation</x:v>
      </x:c>
      <x:c r="L5619" t="n">
        <x:v>0</x:v>
      </x:c>
      <x:c r="M5619" t="n">
        <x:v>0</x:v>
      </x:c>
      <x:c r="N5619" t="str">
        <x:v>Fully Paid</x:v>
      </x:c>
      <x:c r="O5619" t="str">
        <x:f>IF(D5619="","Unknown",IF(D5619&lt;25000,"&lt;$25k",IF(D5619&lt;50000,"$25k-$50k",IF(D5619&lt;75000,"$50k-$75k",IF(D5619&lt;100000,"$75k-$100k","$100k+")))))</x:f>
        <x:v>$25k-$50k</x:v>
      </x:c>
      <x:c r="P5619" t="str">
        <x:f>IF(E5619="","Unknown",IF(E5619&lt;10,"&lt;10",IF(E5619&lt;20,"10-&lt;20",IF(E5619&lt;25,"20-&lt;25",IF(E5619&lt;35,"25-&lt;35","35+")))))</x:f>
        <x:v>25-&lt;35</x:v>
      </x:c>
    </x:row>
    <x:row r="5620">
      <x:c r="A5620" t="str">
        <x:v>SYN0005619</x:v>
      </x:c>
      <x:c r="B5620" s="12" t="n">
        <x:v>41335</x:v>
      </x:c>
      <x:c r="C5620" s="18" t="n">
        <x:v>12448</x:v>
      </x:c>
      <x:c r="D5620" s="18" t="n">
        <x:v>33079</x:v>
      </x:c>
      <x:c r="E5620" s="18" t="n">
        <x:v>21.26</x:v>
      </x:c>
      <x:c r="F5620" s="18" t="n">
        <x:v>12.89</x:v>
      </x:c>
      <x:c r="G5620" t="n">
        <x:v>36</x:v>
      </x:c>
      <x:c r="H5620" t="str">
        <x:v>D</x:v>
      </x:c>
      <x:c r="I5620" t="str">
        <x:v>1-3 years</x:v>
      </x:c>
      <x:c r="J5620" t="str">
        <x:v>MORTGAGE</x:v>
      </x:c>
      <x:c r="K5620" t="str">
        <x:v>debt_consolidation</x:v>
      </x:c>
      <x:c r="L5620" t="n">
        <x:v>0</x:v>
      </x:c>
      <x:c r="M5620" t="n">
        <x:v>0</x:v>
      </x:c>
      <x:c r="N5620" t="str">
        <x:v>Fully Paid</x:v>
      </x:c>
      <x:c r="O5620" t="str">
        <x:f>IF(D5620="","Unknown",IF(D5620&lt;25000,"&lt;$25k",IF(D5620&lt;50000,"$25k-$50k",IF(D5620&lt;75000,"$50k-$75k",IF(D5620&lt;100000,"$75k-$100k","$100k+")))))</x:f>
        <x:v>$25k-$50k</x:v>
      </x:c>
      <x:c r="P5620" t="str">
        <x:f>IF(E5620="","Unknown",IF(E5620&lt;10,"&lt;10",IF(E5620&lt;20,"10-&lt;20",IF(E5620&lt;25,"20-&lt;25",IF(E5620&lt;35,"25-&lt;35","35+")))))</x:f>
        <x:v>20-&lt;25</x:v>
      </x:c>
    </x:row>
    <x:row r="5621">
      <x:c r="A5621" t="str">
        <x:v>SYN0005620</x:v>
      </x:c>
      <x:c r="B5621" s="12" t="n">
        <x:v>42385</x:v>
      </x:c>
      <x:c r="C5621" s="18" t="n">
        <x:v>5395</x:v>
      </x:c>
      <x:c r="D5621" s="18" t="n">
        <x:v>115223</x:v>
      </x:c>
      <x:c r="E5621" s="18" t="n">
        <x:v>16.16</x:v>
      </x:c>
      <x:c r="F5621" s="18" t="n">
        <x:v>12.35</x:v>
      </x:c>
      <x:c r="G5621" t="n">
        <x:v>36</x:v>
      </x:c>
      <x:c r="H5621" t="str">
        <x:v>C</x:v>
      </x:c>
      <x:c r="I5621" t="str">
        <x:v>4-6 years</x:v>
      </x:c>
      <x:c r="J5621" t="str">
        <x:v>RENT</x:v>
      </x:c>
      <x:c r="K5621" t="str">
        <x:v>home_improvement</x:v>
      </x:c>
      <x:c r="L5621" t="n">
        <x:v>1</x:v>
      </x:c>
      <x:c r="M5621" t="n">
        <x:v>0</x:v>
      </x:c>
      <x:c r="N5621" t="str">
        <x:v>Fully Paid</x:v>
      </x:c>
      <x:c r="O5621" t="str">
        <x:f>IF(D5621="","Unknown",IF(D5621&lt;25000,"&lt;$25k",IF(D5621&lt;50000,"$25k-$50k",IF(D5621&lt;75000,"$50k-$75k",IF(D5621&lt;100000,"$75k-$100k","$100k+")))))</x:f>
        <x:v>$100k+</x:v>
      </x:c>
      <x:c r="P5621" t="str">
        <x:f>IF(E5621="","Unknown",IF(E5621&lt;10,"&lt;10",IF(E5621&lt;20,"10-&lt;20",IF(E5621&lt;25,"20-&lt;25",IF(E5621&lt;35,"25-&lt;35","35+")))))</x:f>
        <x:v>10-&lt;20</x:v>
      </x:c>
    </x:row>
    <x:row r="5622">
      <x:c r="A5622" t="str">
        <x:v>SYN0005621</x:v>
      </x:c>
      <x:c r="B5622" s="12" t="n">
        <x:v>41755</x:v>
      </x:c>
      <x:c r="C5622" s="18" t="n">
        <x:v>6796</x:v>
      </x:c>
      <x:c r="D5622" s="18" t="n">
        <x:v>130956</x:v>
      </x:c>
      <x:c r="E5622" s="18" t="n">
        <x:v>16.76</x:v>
      </x:c>
      <x:c r="F5622" s="18" t="n">
        <x:v>12.41</x:v>
      </x:c>
      <x:c r="G5622" t="n">
        <x:v>60</x:v>
      </x:c>
      <x:c r="H5622" t="str">
        <x:v>D</x:v>
      </x:c>
      <x:c r="I5622" t="str">
        <x:v>1-3 years</x:v>
      </x:c>
      <x:c r="J5622" t="str">
        <x:v>RENT</x:v>
      </x:c>
      <x:c r="K5622" t="str">
        <x:v>credit_card</x:v>
      </x:c>
      <x:c r="L5622" t="n">
        <x:v>0</x:v>
      </x:c>
      <x:c r="M5622" t="n">
        <x:v>0</x:v>
      </x:c>
      <x:c r="N5622" t="str">
        <x:v>Fully Paid</x:v>
      </x:c>
      <x:c r="O5622" t="str">
        <x:f>IF(D5622="","Unknown",IF(D5622&lt;25000,"&lt;$25k",IF(D5622&lt;50000,"$25k-$50k",IF(D5622&lt;75000,"$50k-$75k",IF(D5622&lt;100000,"$75k-$100k","$100k+")))))</x:f>
        <x:v>$100k+</x:v>
      </x:c>
      <x:c r="P5622" t="str">
        <x:f>IF(E5622="","Unknown",IF(E5622&lt;10,"&lt;10",IF(E5622&lt;20,"10-&lt;20",IF(E5622&lt;25,"20-&lt;25",IF(E5622&lt;35,"25-&lt;35","35+")))))</x:f>
        <x:v>10-&lt;20</x:v>
      </x:c>
    </x:row>
    <x:row r="5623">
      <x:c r="A5623" t="str">
        <x:v>SYN0005622</x:v>
      </x:c>
      <x:c r="B5623" s="12" t="n">
        <x:v>42835</x:v>
      </x:c>
      <x:c r="C5623" s="18" t="n">
        <x:v>22838</x:v>
      </x:c>
      <x:c r="D5623" s="18" t="n">
        <x:v>119783</x:v>
      </x:c>
      <x:c r="E5623" s="18" t="n">
        <x:v>28.73</x:v>
      </x:c>
      <x:c r="F5623" s="18" t="n">
        <x:v>23.96</x:v>
      </x:c>
      <x:c r="G5623" t="n">
        <x:v>60</x:v>
      </x:c>
      <x:c r="H5623" t="str">
        <x:v>F</x:v>
      </x:c>
      <x:c r="I5623" t="str">
        <x:v>1-3 years</x:v>
      </x:c>
      <x:c r="J5623" t="str">
        <x:v>MORTGAGE</x:v>
      </x:c>
      <x:c r="K5623" t="str">
        <x:v>medical</x:v>
      </x:c>
      <x:c r="L5623" t="n">
        <x:v>0</x:v>
      </x:c>
      <x:c r="M5623" t="n">
        <x:v>0</x:v>
      </x:c>
      <x:c r="N5623" t="str">
        <x:v>Fully Paid</x:v>
      </x:c>
      <x:c r="O5623" t="str">
        <x:f>IF(D5623="","Unknown",IF(D5623&lt;25000,"&lt;$25k",IF(D5623&lt;50000,"$25k-$50k",IF(D5623&lt;75000,"$50k-$75k",IF(D5623&lt;100000,"$75k-$100k","$100k+")))))</x:f>
        <x:v>$100k+</x:v>
      </x:c>
      <x:c r="P5623" t="str">
        <x:f>IF(E5623="","Unknown",IF(E5623&lt;10,"&lt;10",IF(E5623&lt;20,"10-&lt;20",IF(E5623&lt;25,"20-&lt;25",IF(E5623&lt;35,"25-&lt;35","35+")))))</x:f>
        <x:v>25-&lt;35</x:v>
      </x:c>
    </x:row>
    <x:row r="5624">
      <x:c r="A5624" t="str">
        <x:v>SYN0005623</x:v>
      </x:c>
      <x:c r="B5624" s="12" t="n">
        <x:v>42475</x:v>
      </x:c>
      <x:c r="C5624" s="18" t="n">
        <x:v>7001</x:v>
      </x:c>
      <x:c r="D5624" s="18" t="n">
        <x:v>56707</x:v>
      </x:c>
      <x:c r="E5624" s="18" t="n">
        <x:v>0.68</x:v>
      </x:c>
      <x:c r="F5624" s="18" t="n">
        <x:v>15.49</x:v>
      </x:c>
      <x:c r="G5624" t="n">
        <x:v>36</x:v>
      </x:c>
      <x:c r="H5624" t="str">
        <x:v>E</x:v>
      </x:c>
      <x:c r="I5624" t="str">
        <x:v>4-6 years</x:v>
      </x:c>
      <x:c r="J5624" t="str">
        <x:v>RENT</x:v>
      </x:c>
      <x:c r="K5624" t="str">
        <x:v>debt_consolidation</x:v>
      </x:c>
      <x:c r="L5624" t="n">
        <x:v>2</x:v>
      </x:c>
      <x:c r="M5624" t="n">
        <x:v>0</x:v>
      </x:c>
      <x:c r="N5624" t="str">
        <x:v>Fully Paid</x:v>
      </x:c>
      <x:c r="O5624" t="str">
        <x:f>IF(D5624="","Unknown",IF(D5624&lt;25000,"&lt;$25k",IF(D5624&lt;50000,"$25k-$50k",IF(D5624&lt;75000,"$50k-$75k",IF(D5624&lt;100000,"$75k-$100k","$100k+")))))</x:f>
        <x:v>$50k-$75k</x:v>
      </x:c>
      <x:c r="P5624" t="str">
        <x:f>IF(E5624="","Unknown",IF(E5624&lt;10,"&lt;10",IF(E5624&lt;20,"10-&lt;20",IF(E5624&lt;25,"20-&lt;25",IF(E5624&lt;35,"25-&lt;35","35+")))))</x:f>
        <x:v>&lt;10</x:v>
      </x:c>
    </x:row>
    <x:row r="5625">
      <x:c r="A5625" t="str">
        <x:v>SYN0005624</x:v>
      </x:c>
      <x:c r="B5625" s="12" t="n">
        <x:v>41995</x:v>
      </x:c>
      <x:c r="C5625" s="18" t="n">
        <x:v>8809</x:v>
      </x:c>
      <x:c r="D5625" s="18" t="n">
        <x:v>82078</x:v>
      </x:c>
      <x:c r="E5625" s="18" t="n">
        <x:v>29.35</x:v>
      </x:c>
      <x:c r="F5625" s="18" t="n">
        <x:v>6.03</x:v>
      </x:c>
      <x:c r="G5625" t="n">
        <x:v>36</x:v>
      </x:c>
      <x:c r="H5625" t="str">
        <x:v>A</x:v>
      </x:c>
      <x:c r="I5625" t="str">
        <x:v>1-3 years</x:v>
      </x:c>
      <x:c r="J5625" t="str">
        <x:v>RENT</x:v>
      </x:c>
      <x:c r="K5625" t="str">
        <x:v>debt_consolidation</x:v>
      </x:c>
      <x:c r="L5625" t="n">
        <x:v>0</x:v>
      </x:c>
      <x:c r="M5625" t="n">
        <x:v>0</x:v>
      </x:c>
      <x:c r="N5625" t="str">
        <x:v>Fully Paid</x:v>
      </x:c>
      <x:c r="O5625" t="str">
        <x:f>IF(D5625="","Unknown",IF(D5625&lt;25000,"&lt;$25k",IF(D5625&lt;50000,"$25k-$50k",IF(D5625&lt;75000,"$50k-$75k",IF(D5625&lt;100000,"$75k-$100k","$100k+")))))</x:f>
        <x:v>$75k-$100k</x:v>
      </x:c>
      <x:c r="P5625" t="str">
        <x:f>IF(E5625="","Unknown",IF(E5625&lt;10,"&lt;10",IF(E5625&lt;20,"10-&lt;20",IF(E5625&lt;25,"20-&lt;25",IF(E5625&lt;35,"25-&lt;35","35+")))))</x:f>
        <x:v>25-&lt;35</x:v>
      </x:c>
    </x:row>
    <x:row r="5626">
      <x:c r="A5626" t="str">
        <x:v>SYN0005625</x:v>
      </x:c>
      <x:c r="B5626" s="12" t="n">
        <x:v>41845</x:v>
      </x:c>
      <x:c r="C5626" s="18" t="n">
        <x:v>24704</x:v>
      </x:c>
      <x:c r="D5626" s="18" t="n">
        <x:v>71250</x:v>
      </x:c>
      <x:c r="E5626" s="18" t="n">
        <x:v>42.4</x:v>
      </x:c>
      <x:c r="F5626" s="18" t="n">
        <x:v>7.78</x:v>
      </x:c>
      <x:c r="G5626" t="n">
        <x:v>60</x:v>
      </x:c>
      <x:c r="H5626" t="str">
        <x:v>B</x:v>
      </x:c>
      <x:c r="I5626" t="str">
        <x:v>7-9 years</x:v>
      </x:c>
      <x:c r="J5626" t="str">
        <x:v>OWN</x:v>
      </x:c>
      <x:c r="K5626" t="str">
        <x:v>credit_card</x:v>
      </x:c>
      <x:c r="L5626" t="n">
        <x:v>0</x:v>
      </x:c>
      <x:c r="M5626" t="n">
        <x:v>0</x:v>
      </x:c>
      <x:c r="N5626" t="str">
        <x:v>Fully Paid</x:v>
      </x:c>
      <x:c r="O5626" t="str">
        <x:f>IF(D5626="","Unknown",IF(D5626&lt;25000,"&lt;$25k",IF(D5626&lt;50000,"$25k-$50k",IF(D5626&lt;75000,"$50k-$75k",IF(D5626&lt;100000,"$75k-$100k","$100k+")))))</x:f>
        <x:v>$50k-$75k</x:v>
      </x:c>
      <x:c r="P5626" t="str">
        <x:f>IF(E5626="","Unknown",IF(E5626&lt;10,"&lt;10",IF(E5626&lt;20,"10-&lt;20",IF(E5626&lt;25,"20-&lt;25",IF(E5626&lt;35,"25-&lt;35","35+")))))</x:f>
        <x:v>35+</x:v>
      </x:c>
    </x:row>
    <x:row r="5627">
      <x:c r="A5627" t="str">
        <x:v>SYN0005626</x:v>
      </x:c>
      <x:c r="B5627" s="12" t="n">
        <x:v>42565</x:v>
      </x:c>
      <x:c r="C5627" s="18" t="n">
        <x:v>15940</x:v>
      </x:c>
      <x:c r="D5627" s="18" t="n">
        <x:v>74526</x:v>
      </x:c>
      <x:c r="E5627" s="18" t="n">
        <x:v>34.93</x:v>
      </x:c>
      <x:c r="F5627" s="18" t="n">
        <x:v>19.1</x:v>
      </x:c>
      <x:c r="G5627" t="n">
        <x:v>36</x:v>
      </x:c>
      <x:c r="H5627" t="str">
        <x:v>E</x:v>
      </x:c>
      <x:c r="I5627" t="str">
        <x:v>7-9 years</x:v>
      </x:c>
      <x:c r="J5627" t="str">
        <x:v>RENT</x:v>
      </x:c>
      <x:c r="K5627" t="str">
        <x:v>credit_card</x:v>
      </x:c>
      <x:c r="L5627" t="n">
        <x:v>1</x:v>
      </x:c>
      <x:c r="M5627" t="n">
        <x:v>0</x:v>
      </x:c>
      <x:c r="N5627" t="str">
        <x:v>Fully Paid</x:v>
      </x:c>
      <x:c r="O5627" t="str">
        <x:f>IF(D5627="","Unknown",IF(D5627&lt;25000,"&lt;$25k",IF(D5627&lt;50000,"$25k-$50k",IF(D5627&lt;75000,"$50k-$75k",IF(D5627&lt;100000,"$75k-$100k","$100k+")))))</x:f>
        <x:v>$50k-$75k</x:v>
      </x:c>
      <x:c r="P5627" t="str">
        <x:f>IF(E5627="","Unknown",IF(E5627&lt;10,"&lt;10",IF(E5627&lt;20,"10-&lt;20",IF(E5627&lt;25,"20-&lt;25",IF(E5627&lt;35,"25-&lt;35","35+")))))</x:f>
        <x:v>25-&lt;35</x:v>
      </x:c>
    </x:row>
    <x:row r="5628">
      <x:c r="A5628" t="str">
        <x:v>SYN0005627</x:v>
      </x:c>
      <x:c r="B5628" s="12" t="n">
        <x:v>42805</x:v>
      </x:c>
      <x:c r="C5628" s="18" t="n">
        <x:v>24360</x:v>
      </x:c>
      <x:c r="D5628" s="18" t="n">
        <x:v>48296</x:v>
      </x:c>
      <x:c r="E5628" s="18" t="n">
        <x:v>28.64</x:v>
      </x:c>
      <x:c r="F5628" s="18" t="n">
        <x:v>22.31</x:v>
      </x:c>
      <x:c r="G5628" t="n">
        <x:v>36</x:v>
      </x:c>
      <x:c r="H5628" t="str">
        <x:v>F</x:v>
      </x:c>
      <x:c r="I5628" t="str">
        <x:v>10+ years</x:v>
      </x:c>
      <x:c r="J5628" t="str">
        <x:v>RENT</x:v>
      </x:c>
      <x:c r="K5628" t="str">
        <x:v>other</x:v>
      </x:c>
      <x:c r="L5628" t="n">
        <x:v>0</x:v>
      </x:c>
      <x:c r="M5628" t="n">
        <x:v>0</x:v>
      </x:c>
      <x:c r="N5628" t="str">
        <x:v>Fully Paid</x:v>
      </x:c>
      <x:c r="O5628" t="str">
        <x:f>IF(D5628="","Unknown",IF(D5628&lt;25000,"&lt;$25k",IF(D5628&lt;50000,"$25k-$50k",IF(D5628&lt;75000,"$50k-$75k",IF(D5628&lt;100000,"$75k-$100k","$100k+")))))</x:f>
        <x:v>$25k-$50k</x:v>
      </x:c>
      <x:c r="P5628" t="str">
        <x:f>IF(E5628="","Unknown",IF(E5628&lt;10,"&lt;10",IF(E5628&lt;20,"10-&lt;20",IF(E5628&lt;25,"20-&lt;25",IF(E5628&lt;35,"25-&lt;35","35+")))))</x:f>
        <x:v>25-&lt;35</x:v>
      </x:c>
    </x:row>
    <x:row r="5629">
      <x:c r="A5629" t="str">
        <x:v>SYN0005628</x:v>
      </x:c>
      <x:c r="B5629" s="12" t="n">
        <x:v>43165</x:v>
      </x:c>
      <x:c r="C5629" s="18" t="n">
        <x:v>11367</x:v>
      </x:c>
      <x:c r="D5629" s="18" t="n">
        <x:v>34391</x:v>
      </x:c>
      <x:c r="E5629" s="18" t="n">
        <x:v>16.67</x:v>
      </x:c>
      <x:c r="F5629" s="18" t="n">
        <x:v>20.22</x:v>
      </x:c>
      <x:c r="G5629" t="n">
        <x:v>36</x:v>
      </x:c>
      <x:c r="H5629" t="str">
        <x:v>F</x:v>
      </x:c>
      <x:c r="I5629" t="str">
        <x:v>&lt;1 year</x:v>
      </x:c>
      <x:c r="J5629" t="str">
        <x:v>MORTGAGE</x:v>
      </x:c>
      <x:c r="K5629" t="str">
        <x:v>credit_card</x:v>
      </x:c>
      <x:c r="L5629" t="n">
        <x:v>1</x:v>
      </x:c>
      <x:c r="M5629" t="n">
        <x:v>1</x:v>
      </x:c>
      <x:c r="N5629" t="str">
        <x:v>Charged Off</x:v>
      </x:c>
      <x:c r="O5629" t="str">
        <x:f>IF(D5629="","Unknown",IF(D5629&lt;25000,"&lt;$25k",IF(D5629&lt;50000,"$25k-$50k",IF(D5629&lt;75000,"$50k-$75k",IF(D5629&lt;100000,"$75k-$100k","$100k+")))))</x:f>
        <x:v>$25k-$50k</x:v>
      </x:c>
      <x:c r="P5629" t="str">
        <x:f>IF(E5629="","Unknown",IF(E5629&lt;10,"&lt;10",IF(E5629&lt;20,"10-&lt;20",IF(E5629&lt;25,"20-&lt;25",IF(E5629&lt;35,"25-&lt;35","35+")))))</x:f>
        <x:v>10-&lt;20</x:v>
      </x:c>
    </x:row>
    <x:row r="5630">
      <x:c r="A5630" t="str">
        <x:v>SYN0005629</x:v>
      </x:c>
      <x:c r="B5630" s="12" t="n">
        <x:v>42805</x:v>
      </x:c>
      <x:c r="C5630" s="18" t="n">
        <x:v>13397</x:v>
      </x:c>
      <x:c r="D5630" s="18" t="n">
        <x:v>91924</x:v>
      </x:c>
      <x:c r="E5630" s="18" t="n">
        <x:v>33.9</x:v>
      </x:c>
      <x:c r="F5630" s="18" t="n">
        <x:v>5.38</x:v>
      </x:c>
      <x:c r="G5630" t="n">
        <x:v>36</x:v>
      </x:c>
      <x:c r="H5630" t="str">
        <x:v>A</x:v>
      </x:c>
      <x:c r="I5630" t="str">
        <x:v>10+ years</x:v>
      </x:c>
      <x:c r="J5630" t="str">
        <x:v>RENT</x:v>
      </x:c>
      <x:c r="K5630" t="str">
        <x:v>home_improvement</x:v>
      </x:c>
      <x:c r="L5630" t="n">
        <x:v>1</x:v>
      </x:c>
      <x:c r="M5630" t="n">
        <x:v>0</x:v>
      </x:c>
      <x:c r="N5630" t="str">
        <x:v>Fully Paid</x:v>
      </x:c>
      <x:c r="O5630" t="str">
        <x:f>IF(D5630="","Unknown",IF(D5630&lt;25000,"&lt;$25k",IF(D5630&lt;50000,"$25k-$50k",IF(D5630&lt;75000,"$50k-$75k",IF(D5630&lt;100000,"$75k-$100k","$100k+")))))</x:f>
        <x:v>$75k-$100k</x:v>
      </x:c>
      <x:c r="P5630" t="str">
        <x:f>IF(E5630="","Unknown",IF(E5630&lt;10,"&lt;10",IF(E5630&lt;20,"10-&lt;20",IF(E5630&lt;25,"20-&lt;25",IF(E5630&lt;35,"25-&lt;35","35+")))))</x:f>
        <x:v>25-&lt;35</x:v>
      </x:c>
    </x:row>
    <x:row r="5631">
      <x:c r="A5631" t="str">
        <x:v>SYN0005630</x:v>
      </x:c>
      <x:c r="B5631" s="12" t="n">
        <x:v>41935</x:v>
      </x:c>
      <x:c r="C5631" s="18" t="n">
        <x:v>7271</x:v>
      </x:c>
      <x:c r="D5631" s="18" t="n">
        <x:v>47282</x:v>
      </x:c>
      <x:c r="E5631" s="18" t="n">
        <x:v>24.17</x:v>
      </x:c>
      <x:c r="F5631" s="18" t="n">
        <x:v>11.9</x:v>
      </x:c>
      <x:c r="G5631" t="n">
        <x:v>36</x:v>
      </x:c>
      <x:c r="H5631" t="str">
        <x:v>C</x:v>
      </x:c>
      <x:c r="I5631" t="str">
        <x:v>1-3 years</x:v>
      </x:c>
      <x:c r="J5631" t="str">
        <x:v>RENT</x:v>
      </x:c>
      <x:c r="K5631" t="str">
        <x:v>debt_consolidation</x:v>
      </x:c>
      <x:c r="L5631" t="n">
        <x:v>2</x:v>
      </x:c>
      <x:c r="M5631" t="n">
        <x:v>0</x:v>
      </x:c>
      <x:c r="N5631" t="str">
        <x:v>Fully Paid</x:v>
      </x:c>
      <x:c r="O5631" t="str">
        <x:f>IF(D5631="","Unknown",IF(D5631&lt;25000,"&lt;$25k",IF(D5631&lt;50000,"$25k-$50k",IF(D5631&lt;75000,"$50k-$75k",IF(D5631&lt;100000,"$75k-$100k","$100k+")))))</x:f>
        <x:v>$25k-$50k</x:v>
      </x:c>
      <x:c r="P5631" t="str">
        <x:f>IF(E5631="","Unknown",IF(E5631&lt;10,"&lt;10",IF(E5631&lt;20,"10-&lt;20",IF(E5631&lt;25,"20-&lt;25",IF(E5631&lt;35,"25-&lt;35","35+")))))</x:f>
        <x:v>20-&lt;25</x:v>
      </x:c>
    </x:row>
    <x:row r="5632">
      <x:c r="A5632" t="str">
        <x:v>SYN0005631</x:v>
      </x:c>
      <x:c r="B5632" s="12" t="n">
        <x:v>42055</x:v>
      </x:c>
      <x:c r="C5632" s="18" t="n">
        <x:v>4854</x:v>
      </x:c>
      <x:c r="D5632" s="18" t="n">
        <x:v>15609</x:v>
      </x:c>
      <x:c r="E5632" s="18" t="n">
        <x:v>26.15</x:v>
      </x:c>
      <x:c r="F5632" s="18" t="n">
        <x:v>14.02</x:v>
      </x:c>
      <x:c r="G5632" t="n">
        <x:v>36</x:v>
      </x:c>
      <x:c r="H5632" t="str">
        <x:v>D</x:v>
      </x:c>
      <x:c r="I5632" t="str">
        <x:v>4-6 years</x:v>
      </x:c>
      <x:c r="J5632" t="str">
        <x:v>MORTGAGE</x:v>
      </x:c>
      <x:c r="K5632" t="str">
        <x:v>credit_card</x:v>
      </x:c>
      <x:c r="L5632" t="n">
        <x:v>0</x:v>
      </x:c>
      <x:c r="M5632" t="n">
        <x:v>0</x:v>
      </x:c>
      <x:c r="N5632" t="str">
        <x:v>Fully Paid</x:v>
      </x:c>
      <x:c r="O5632" t="str">
        <x:f>IF(D5632="","Unknown",IF(D5632&lt;25000,"&lt;$25k",IF(D5632&lt;50000,"$25k-$50k",IF(D5632&lt;75000,"$50k-$75k",IF(D5632&lt;100000,"$75k-$100k","$100k+")))))</x:f>
        <x:v>&lt;$25k</x:v>
      </x:c>
      <x:c r="P5632" t="str">
        <x:f>IF(E5632="","Unknown",IF(E5632&lt;10,"&lt;10",IF(E5632&lt;20,"10-&lt;20",IF(E5632&lt;25,"20-&lt;25",IF(E5632&lt;35,"25-&lt;35","35+")))))</x:f>
        <x:v>25-&lt;35</x:v>
      </x:c>
    </x:row>
    <x:row r="5633">
      <x:c r="A5633" t="str">
        <x:v>SYN0005632</x:v>
      </x:c>
      <x:c r="B5633" s="12" t="n">
        <x:v>41305</x:v>
      </x:c>
      <x:c r="C5633" s="18" t="n">
        <x:v>23303</x:v>
      </x:c>
      <x:c r="D5633" s="18" t="n">
        <x:v>40384</x:v>
      </x:c>
      <x:c r="E5633" s="18" t="n">
        <x:v>17.67</x:v>
      </x:c>
      <x:c r="F5633" s="18" t="n">
        <x:v>12.59</x:v>
      </x:c>
      <x:c r="G5633" t="n">
        <x:v>36</x:v>
      </x:c>
      <x:c r="H5633" t="str">
        <x:v>C</x:v>
      </x:c>
      <x:c r="I5633" t="str">
        <x:v>1-3 years</x:v>
      </x:c>
      <x:c r="J5633" t="str">
        <x:v>MORTGAGE</x:v>
      </x:c>
      <x:c r="K5633" t="str">
        <x:v>debt_consolidation</x:v>
      </x:c>
      <x:c r="L5633" t="n">
        <x:v>0</x:v>
      </x:c>
      <x:c r="M5633" t="n">
        <x:v>0</x:v>
      </x:c>
      <x:c r="N5633" t="str">
        <x:v>Fully Paid</x:v>
      </x:c>
      <x:c r="O5633" t="str">
        <x:f>IF(D5633="","Unknown",IF(D5633&lt;25000,"&lt;$25k",IF(D5633&lt;50000,"$25k-$50k",IF(D5633&lt;75000,"$50k-$75k",IF(D5633&lt;100000,"$75k-$100k","$100k+")))))</x:f>
        <x:v>$25k-$50k</x:v>
      </x:c>
      <x:c r="P5633" t="str">
        <x:f>IF(E5633="","Unknown",IF(E5633&lt;10,"&lt;10",IF(E5633&lt;20,"10-&lt;20",IF(E5633&lt;25,"20-&lt;25",IF(E5633&lt;35,"25-&lt;35","35+")))))</x:f>
        <x:v>10-&lt;20</x:v>
      </x:c>
    </x:row>
    <x:row r="5634">
      <x:c r="A5634" t="str">
        <x:v>SYN0005633</x:v>
      </x:c>
      <x:c r="B5634" s="12" t="n">
        <x:v>42145</x:v>
      </x:c>
      <x:c r="C5634" s="18" t="n">
        <x:v>10213</x:v>
      </x:c>
      <x:c r="D5634" s="18" t="n">
        <x:v>59227</x:v>
      </x:c>
      <x:c r="E5634" s="18" t="n">
        <x:v>25.52</x:v>
      </x:c>
      <x:c r="F5634" s="18" t="n">
        <x:v>23.77</x:v>
      </x:c>
      <x:c r="G5634" t="n">
        <x:v>60</x:v>
      </x:c>
      <x:c r="H5634" t="str">
        <x:v>F</x:v>
      </x:c>
      <x:c r="I5634" t="str">
        <x:v>4-6 years</x:v>
      </x:c>
      <x:c r="J5634" t="str">
        <x:v>MORTGAGE</x:v>
      </x:c>
      <x:c r="K5634" t="str">
        <x:v>debt_consolidation</x:v>
      </x:c>
      <x:c r="L5634" t="n">
        <x:v>2</x:v>
      </x:c>
      <x:c r="M5634" t="n">
        <x:v>1</x:v>
      </x:c>
      <x:c r="N5634" t="str">
        <x:v>Charged Off</x:v>
      </x:c>
      <x:c r="O5634" t="str">
        <x:f>IF(D5634="","Unknown",IF(D5634&lt;25000,"&lt;$25k",IF(D5634&lt;50000,"$25k-$50k",IF(D5634&lt;75000,"$50k-$75k",IF(D5634&lt;100000,"$75k-$100k","$100k+")))))</x:f>
        <x:v>$50k-$75k</x:v>
      </x:c>
      <x:c r="P5634" t="str">
        <x:f>IF(E5634="","Unknown",IF(E5634&lt;10,"&lt;10",IF(E5634&lt;20,"10-&lt;20",IF(E5634&lt;25,"20-&lt;25",IF(E5634&lt;35,"25-&lt;35","35+")))))</x:f>
        <x:v>25-&lt;35</x:v>
      </x:c>
    </x:row>
    <x:row r="5635">
      <x:c r="A5635" t="str">
        <x:v>SYN0005634</x:v>
      </x:c>
      <x:c r="B5635" s="12" t="n">
        <x:v>42925</x:v>
      </x:c>
      <x:c r="C5635" s="18" t="n">
        <x:v>19456</x:v>
      </x:c>
      <x:c r="D5635" s="18" t="n">
        <x:v>54052</x:v>
      </x:c>
      <x:c r="E5635" s="18" t="n">
        <x:v>10.65</x:v>
      </x:c>
      <x:c r="F5635" s="18" t="n">
        <x:v>11.27</x:v>
      </x:c>
      <x:c r="G5635" t="n">
        <x:v>36</x:v>
      </x:c>
      <x:c r="H5635" t="str">
        <x:v>C</x:v>
      </x:c>
      <x:c r="I5635" t="str">
        <x:v>10+ years</x:v>
      </x:c>
      <x:c r="J5635" t="str">
        <x:v>RENT</x:v>
      </x:c>
      <x:c r="K5635" t="str">
        <x:v>medical</x:v>
      </x:c>
      <x:c r="L5635" t="n">
        <x:v>0</x:v>
      </x:c>
      <x:c r="M5635" t="n">
        <x:v>0</x:v>
      </x:c>
      <x:c r="N5635" t="str">
        <x:v>Fully Paid</x:v>
      </x:c>
      <x:c r="O5635" t="str">
        <x:f>IF(D5635="","Unknown",IF(D5635&lt;25000,"&lt;$25k",IF(D5635&lt;50000,"$25k-$50k",IF(D5635&lt;75000,"$50k-$75k",IF(D5635&lt;100000,"$75k-$100k","$100k+")))))</x:f>
        <x:v>$50k-$75k</x:v>
      </x:c>
      <x:c r="P5635" t="str">
        <x:f>IF(E5635="","Unknown",IF(E5635&lt;10,"&lt;10",IF(E5635&lt;20,"10-&lt;20",IF(E5635&lt;25,"20-&lt;25",IF(E5635&lt;35,"25-&lt;35","35+")))))</x:f>
        <x:v>10-&lt;20</x:v>
      </x:c>
    </x:row>
    <x:row r="5636">
      <x:c r="A5636" t="str">
        <x:v>SYN0005635</x:v>
      </x:c>
      <x:c r="B5636" s="12" t="n">
        <x:v>41605</x:v>
      </x:c>
      <x:c r="C5636" s="18" t="n">
        <x:v>14241</x:v>
      </x:c>
      <x:c r="D5636" s="18" t="n">
        <x:v>34621</x:v>
      </x:c>
      <x:c r="E5636" s="18" t="n">
        <x:v>24.51</x:v>
      </x:c>
      <x:c r="F5636" s="18" t="n">
        <x:v>9.39</x:v>
      </x:c>
      <x:c r="G5636" t="n">
        <x:v>36</x:v>
      </x:c>
      <x:c r="H5636" t="str">
        <x:v>B</x:v>
      </x:c>
      <x:c r="I5636" t="str">
        <x:v>10+ years</x:v>
      </x:c>
      <x:c r="J5636" t="str">
        <x:v>MORTGAGE</x:v>
      </x:c>
      <x:c r="K5636" t="str">
        <x:v>debt_consolidation</x:v>
      </x:c>
      <x:c r="L5636" t="n">
        <x:v>2</x:v>
      </x:c>
      <x:c r="M5636" t="n">
        <x:v>0</x:v>
      </x:c>
      <x:c r="N5636" t="str">
        <x:v>Fully Paid</x:v>
      </x:c>
      <x:c r="O5636" t="str">
        <x:f>IF(D5636="","Unknown",IF(D5636&lt;25000,"&lt;$25k",IF(D5636&lt;50000,"$25k-$50k",IF(D5636&lt;75000,"$50k-$75k",IF(D5636&lt;100000,"$75k-$100k","$100k+")))))</x:f>
        <x:v>$25k-$50k</x:v>
      </x:c>
      <x:c r="P5636" t="str">
        <x:f>IF(E5636="","Unknown",IF(E5636&lt;10,"&lt;10",IF(E5636&lt;20,"10-&lt;20",IF(E5636&lt;25,"20-&lt;25",IF(E5636&lt;35,"25-&lt;35","35+")))))</x:f>
        <x:v>20-&lt;25</x:v>
      </x:c>
    </x:row>
    <x:row r="5637">
      <x:c r="A5637" t="str">
        <x:v>SYN0005636</x:v>
      </x:c>
      <x:c r="B5637" s="12" t="n">
        <x:v>43075</x:v>
      </x:c>
      <x:c r="C5637" s="18" t="n">
        <x:v>17584</x:v>
      </x:c>
      <x:c r="D5637" s="18" t="n">
        <x:v>111827</x:v>
      </x:c>
      <x:c r="E5637" s="18" t="n">
        <x:v>20.43</x:v>
      </x:c>
      <x:c r="F5637" s="18" t="n">
        <x:v>5</x:v>
      </x:c>
      <x:c r="G5637" t="n">
        <x:v>36</x:v>
      </x:c>
      <x:c r="H5637" t="str">
        <x:v>A</x:v>
      </x:c>
      <x:c r="I5637" t="str">
        <x:v>10+ years</x:v>
      </x:c>
      <x:c r="J5637" t="str">
        <x:v>MORTGAGE</x:v>
      </x:c>
      <x:c r="K5637" t="str">
        <x:v>credit_card</x:v>
      </x:c>
      <x:c r="L5637" t="n">
        <x:v>0</x:v>
      </x:c>
      <x:c r="M5637" t="n">
        <x:v>0</x:v>
      </x:c>
      <x:c r="N5637" t="str">
        <x:v>Fully Paid</x:v>
      </x:c>
      <x:c r="O5637" t="str">
        <x:f>IF(D5637="","Unknown",IF(D5637&lt;25000,"&lt;$25k",IF(D5637&lt;50000,"$25k-$50k",IF(D5637&lt;75000,"$50k-$75k",IF(D5637&lt;100000,"$75k-$100k","$100k+")))))</x:f>
        <x:v>$100k+</x:v>
      </x:c>
      <x:c r="P5637" t="str">
        <x:f>IF(E5637="","Unknown",IF(E5637&lt;10,"&lt;10",IF(E5637&lt;20,"10-&lt;20",IF(E5637&lt;25,"20-&lt;25",IF(E5637&lt;35,"25-&lt;35","35+")))))</x:f>
        <x:v>20-&lt;25</x:v>
      </x:c>
    </x:row>
    <x:row r="5638">
      <x:c r="A5638" t="str">
        <x:v>SYN0005637</x:v>
      </x:c>
      <x:c r="B5638" s="12" t="n">
        <x:v>42745</x:v>
      </x:c>
      <x:c r="C5638" s="18" t="n">
        <x:v>10948</x:v>
      </x:c>
      <x:c r="D5638" s="18" t="n">
        <x:v>68784</x:v>
      </x:c>
      <x:c r="E5638" s="18" t="n">
        <x:v>16.97</x:v>
      </x:c>
      <x:c r="F5638" s="18" t="n">
        <x:v>16.48</x:v>
      </x:c>
      <x:c r="G5638" t="n">
        <x:v>60</x:v>
      </x:c>
      <x:c r="H5638" t="str">
        <x:v>E</x:v>
      </x:c>
      <x:c r="I5638" t="str">
        <x:v>4-6 years</x:v>
      </x:c>
      <x:c r="J5638" t="str">
        <x:v>RENT</x:v>
      </x:c>
      <x:c r="K5638" t="str">
        <x:v>credit_card</x:v>
      </x:c>
      <x:c r="L5638" t="n">
        <x:v>2</x:v>
      </x:c>
      <x:c r="M5638" t="n">
        <x:v>1</x:v>
      </x:c>
      <x:c r="N5638" t="str">
        <x:v>Charged Off</x:v>
      </x:c>
      <x:c r="O5638" t="str">
        <x:f>IF(D5638="","Unknown",IF(D5638&lt;25000,"&lt;$25k",IF(D5638&lt;50000,"$25k-$50k",IF(D5638&lt;75000,"$50k-$75k",IF(D5638&lt;100000,"$75k-$100k","$100k+")))))</x:f>
        <x:v>$50k-$75k</x:v>
      </x:c>
      <x:c r="P5638" t="str">
        <x:f>IF(E5638="","Unknown",IF(E5638&lt;10,"&lt;10",IF(E5638&lt;20,"10-&lt;20",IF(E5638&lt;25,"20-&lt;25",IF(E5638&lt;35,"25-&lt;35","35+")))))</x:f>
        <x:v>10-&lt;20</x:v>
      </x:c>
    </x:row>
    <x:row r="5639">
      <x:c r="A5639" t="str">
        <x:v>SYN0005638</x:v>
      </x:c>
      <x:c r="B5639" s="12" t="n">
        <x:v>41755</x:v>
      </x:c>
      <x:c r="C5639" s="18" t="n">
        <x:v>8611</x:v>
      </x:c>
      <x:c r="D5639" s="18" t="n">
        <x:v>33823</x:v>
      </x:c>
      <x:c r="E5639" s="18" t="n">
        <x:v>29.06</x:v>
      </x:c>
      <x:c r="F5639" s="18" t="n">
        <x:v>16.74</x:v>
      </x:c>
      <x:c r="G5639" t="n">
        <x:v>36</x:v>
      </x:c>
      <x:c r="H5639" t="str">
        <x:v>D</x:v>
      </x:c>
      <x:c r="I5639" t="str">
        <x:v>4-6 years</x:v>
      </x:c>
      <x:c r="J5639" t="str">
        <x:v>MORTGAGE</x:v>
      </x:c>
      <x:c r="K5639" t="str">
        <x:v>debt_consolidation</x:v>
      </x:c>
      <x:c r="L5639" t="n">
        <x:v>0</x:v>
      </x:c>
      <x:c r="M5639" t="n">
        <x:v>0</x:v>
      </x:c>
      <x:c r="N5639" t="str">
        <x:v>Fully Paid</x:v>
      </x:c>
      <x:c r="O5639" t="str">
        <x:f>IF(D5639="","Unknown",IF(D5639&lt;25000,"&lt;$25k",IF(D5639&lt;50000,"$25k-$50k",IF(D5639&lt;75000,"$50k-$75k",IF(D5639&lt;100000,"$75k-$100k","$100k+")))))</x:f>
        <x:v>$25k-$50k</x:v>
      </x:c>
      <x:c r="P5639" t="str">
        <x:f>IF(E5639="","Unknown",IF(E5639&lt;10,"&lt;10",IF(E5639&lt;20,"10-&lt;20",IF(E5639&lt;25,"20-&lt;25",IF(E5639&lt;35,"25-&lt;35","35+")))))</x:f>
        <x:v>25-&lt;35</x:v>
      </x:c>
    </x:row>
    <x:row r="5640">
      <x:c r="A5640" t="str">
        <x:v>SYN0005639</x:v>
      </x:c>
      <x:c r="B5640" s="12" t="n">
        <x:v>42295</x:v>
      </x:c>
      <x:c r="C5640" s="18" t="n">
        <x:v>17303</x:v>
      </x:c>
      <x:c r="D5640" s="18" t="n">
        <x:v>41604</x:v>
      </x:c>
      <x:c r="E5640" s="18" t="n">
        <x:v>19.1</x:v>
      </x:c>
      <x:c r="F5640" s="18" t="n">
        <x:v>9.67</x:v>
      </x:c>
      <x:c r="G5640" t="n">
        <x:v>36</x:v>
      </x:c>
      <x:c r="H5640" t="str">
        <x:v>C</x:v>
      </x:c>
      <x:c r="I5640" t="str">
        <x:v>&lt;1 year</x:v>
      </x:c>
      <x:c r="J5640" t="str">
        <x:v>MORTGAGE</x:v>
      </x:c>
      <x:c r="K5640" t="str">
        <x:v>major_purchase</x:v>
      </x:c>
      <x:c r="L5640" t="n">
        <x:v>0</x:v>
      </x:c>
      <x:c r="M5640" t="n">
        <x:v>0</x:v>
      </x:c>
      <x:c r="N5640" t="str">
        <x:v>Fully Paid</x:v>
      </x:c>
      <x:c r="O5640" t="str">
        <x:f>IF(D5640="","Unknown",IF(D5640&lt;25000,"&lt;$25k",IF(D5640&lt;50000,"$25k-$50k",IF(D5640&lt;75000,"$50k-$75k",IF(D5640&lt;100000,"$75k-$100k","$100k+")))))</x:f>
        <x:v>$25k-$50k</x:v>
      </x:c>
      <x:c r="P5640" t="str">
        <x:f>IF(E5640="","Unknown",IF(E5640&lt;10,"&lt;10",IF(E5640&lt;20,"10-&lt;20",IF(E5640&lt;25,"20-&lt;25",IF(E5640&lt;35,"25-&lt;35","35+")))))</x:f>
        <x:v>10-&lt;20</x:v>
      </x:c>
    </x:row>
    <x:row r="5641">
      <x:c r="A5641" t="str">
        <x:v>SYN0005640</x:v>
      </x:c>
      <x:c r="B5641" s="12" t="n">
        <x:v>42745</x:v>
      </x:c>
      <x:c r="C5641" s="18" t="n">
        <x:v>14534</x:v>
      </x:c>
      <x:c r="D5641" s="18" t="n">
        <x:v>49250</x:v>
      </x:c>
      <x:c r="E5641" s="18" t="n">
        <x:v>20.74</x:v>
      </x:c>
      <x:c r="F5641" s="18" t="n">
        <x:v>16.14</x:v>
      </x:c>
      <x:c r="G5641" t="n">
        <x:v>36</x:v>
      </x:c>
      <x:c r="H5641" t="str">
        <x:v>D</x:v>
      </x:c>
      <x:c r="I5641" t="str">
        <x:v>7-9 years</x:v>
      </x:c>
      <x:c r="J5641" t="str">
        <x:v>RENT</x:v>
      </x:c>
      <x:c r="K5641" t="str">
        <x:v>debt_consolidation</x:v>
      </x:c>
      <x:c r="L5641" t="n">
        <x:v>1</x:v>
      </x:c>
      <x:c r="M5641" t="n">
        <x:v>0</x:v>
      </x:c>
      <x:c r="N5641" t="str">
        <x:v>Fully Paid</x:v>
      </x:c>
      <x:c r="O5641" t="str">
        <x:f>IF(D5641="","Unknown",IF(D5641&lt;25000,"&lt;$25k",IF(D5641&lt;50000,"$25k-$50k",IF(D5641&lt;75000,"$50k-$75k",IF(D5641&lt;100000,"$75k-$100k","$100k+")))))</x:f>
        <x:v>$25k-$50k</x:v>
      </x:c>
      <x:c r="P5641" t="str">
        <x:f>IF(E5641="","Unknown",IF(E5641&lt;10,"&lt;10",IF(E5641&lt;20,"10-&lt;20",IF(E5641&lt;25,"20-&lt;25",IF(E5641&lt;35,"25-&lt;35","35+")))))</x:f>
        <x:v>20-&lt;25</x:v>
      </x:c>
    </x:row>
    <x:row r="5642">
      <x:c r="A5642" t="str">
        <x:v>SYN0005641</x:v>
      </x:c>
      <x:c r="B5642" s="12" t="n">
        <x:v>41575</x:v>
      </x:c>
      <x:c r="C5642" s="18" t="n">
        <x:v>4650</x:v>
      </x:c>
      <x:c r="D5642" s="18" t="n">
        <x:v>48930</x:v>
      </x:c>
      <x:c r="E5642" s="18" t="n">
        <x:v>18.31</x:v>
      </x:c>
      <x:c r="F5642" s="18" t="n">
        <x:v>13.57</x:v>
      </x:c>
      <x:c r="G5642" t="n">
        <x:v>36</x:v>
      </x:c>
      <x:c r="H5642" t="str">
        <x:v>D</x:v>
      </x:c>
      <x:c r="I5642" t="str">
        <x:v>10+ years</x:v>
      </x:c>
      <x:c r="J5642" t="str">
        <x:v>OTHER</x:v>
      </x:c>
      <x:c r="K5642" t="str">
        <x:v>home_improvement</x:v>
      </x:c>
      <x:c r="L5642" t="n">
        <x:v>0</x:v>
      </x:c>
      <x:c r="M5642" t="n">
        <x:v>0</x:v>
      </x:c>
      <x:c r="N5642" t="str">
        <x:v>Fully Paid</x:v>
      </x:c>
      <x:c r="O5642" t="str">
        <x:f>IF(D5642="","Unknown",IF(D5642&lt;25000,"&lt;$25k",IF(D5642&lt;50000,"$25k-$50k",IF(D5642&lt;75000,"$50k-$75k",IF(D5642&lt;100000,"$75k-$100k","$100k+")))))</x:f>
        <x:v>$25k-$50k</x:v>
      </x:c>
      <x:c r="P5642" t="str">
        <x:f>IF(E5642="","Unknown",IF(E5642&lt;10,"&lt;10",IF(E5642&lt;20,"10-&lt;20",IF(E5642&lt;25,"20-&lt;25",IF(E5642&lt;35,"25-&lt;35","35+")))))</x:f>
        <x:v>10-&lt;20</x:v>
      </x:c>
    </x:row>
    <x:row r="5643">
      <x:c r="A5643" t="str">
        <x:v>SYN0005642</x:v>
      </x:c>
      <x:c r="B5643" s="12" t="n">
        <x:v>43405</x:v>
      </x:c>
      <x:c r="C5643" s="18" t="n">
        <x:v>7972</x:v>
      </x:c>
      <x:c r="D5643" s="18" t="n">
        <x:v>67768</x:v>
      </x:c>
      <x:c r="E5643" s="18" t="n">
        <x:v>5.87</x:v>
      </x:c>
      <x:c r="F5643" s="18" t="n">
        <x:v>10.59</x:v>
      </x:c>
      <x:c r="G5643" t="n">
        <x:v>36</x:v>
      </x:c>
      <x:c r="H5643" t="str">
        <x:v>C</x:v>
      </x:c>
      <x:c r="I5643" t="str">
        <x:v>10+ years</x:v>
      </x:c>
      <x:c r="J5643" t="str">
        <x:v>RENT</x:v>
      </x:c>
      <x:c r="K5643" t="str">
        <x:v>debt_consolidation</x:v>
      </x:c>
      <x:c r="L5643" t="n">
        <x:v>0</x:v>
      </x:c>
      <x:c r="M5643" t="n">
        <x:v>0</x:v>
      </x:c>
      <x:c r="N5643" t="str">
        <x:v>Fully Paid</x:v>
      </x:c>
      <x:c r="O5643" t="str">
        <x:f>IF(D5643="","Unknown",IF(D5643&lt;25000,"&lt;$25k",IF(D5643&lt;50000,"$25k-$50k",IF(D5643&lt;75000,"$50k-$75k",IF(D5643&lt;100000,"$75k-$100k","$100k+")))))</x:f>
        <x:v>$50k-$75k</x:v>
      </x:c>
      <x:c r="P5643" t="str">
        <x:f>IF(E5643="","Unknown",IF(E5643&lt;10,"&lt;10",IF(E5643&lt;20,"10-&lt;20",IF(E5643&lt;25,"20-&lt;25",IF(E5643&lt;35,"25-&lt;35","35+")))))</x:f>
        <x:v>&lt;10</x:v>
      </x:c>
    </x:row>
    <x:row r="5644">
      <x:c r="A5644" t="str">
        <x:v>SYN0005643</x:v>
      </x:c>
      <x:c r="B5644" s="12" t="n">
        <x:v>43225</x:v>
      </x:c>
      <x:c r="C5644" s="18" t="n">
        <x:v>6093</x:v>
      </x:c>
      <x:c r="D5644" s="18" t="n">
        <x:v>132669</x:v>
      </x:c>
      <x:c r="E5644" s="18" t="n">
        <x:v>17.09</x:v>
      </x:c>
      <x:c r="F5644" s="18" t="n">
        <x:v>8.36</x:v>
      </x:c>
      <x:c r="G5644" t="n">
        <x:v>60</x:v>
      </x:c>
      <x:c r="H5644" t="str">
        <x:v>A</x:v>
      </x:c>
      <x:c r="I5644" t="str">
        <x:v>1-3 years</x:v>
      </x:c>
      <x:c r="J5644" t="str">
        <x:v>MORTGAGE</x:v>
      </x:c>
      <x:c r="K5644" t="str">
        <x:v>medical</x:v>
      </x:c>
      <x:c r="L5644" t="n">
        <x:v>0</x:v>
      </x:c>
      <x:c r="M5644" t="n">
        <x:v>0</x:v>
      </x:c>
      <x:c r="N5644" t="str">
        <x:v>Fully Paid</x:v>
      </x:c>
      <x:c r="O5644" t="str">
        <x:f>IF(D5644="","Unknown",IF(D5644&lt;25000,"&lt;$25k",IF(D5644&lt;50000,"$25k-$50k",IF(D5644&lt;75000,"$50k-$75k",IF(D5644&lt;100000,"$75k-$100k","$100k+")))))</x:f>
        <x:v>$100k+</x:v>
      </x:c>
      <x:c r="P5644" t="str">
        <x:f>IF(E5644="","Unknown",IF(E5644&lt;10,"&lt;10",IF(E5644&lt;20,"10-&lt;20",IF(E5644&lt;25,"20-&lt;25",IF(E5644&lt;35,"25-&lt;35","35+")))))</x:f>
        <x:v>10-&lt;20</x:v>
      </x:c>
    </x:row>
    <x:row r="5645">
      <x:c r="A5645" t="str">
        <x:v>SYN0005644</x:v>
      </x:c>
      <x:c r="B5645" s="12" t="n">
        <x:v>43405</x:v>
      </x:c>
      <x:c r="C5645" s="18" t="n">
        <x:v>24867</x:v>
      </x:c>
      <x:c r="D5645" s="18" t="n">
        <x:v>58588</x:v>
      </x:c>
      <x:c r="E5645" s="18" t="n">
        <x:v>9.73</x:v>
      </x:c>
      <x:c r="F5645" s="18" t="n">
        <x:v>12.41</x:v>
      </x:c>
      <x:c r="G5645" t="n">
        <x:v>36</x:v>
      </x:c>
      <x:c r="H5645" t="str">
        <x:v>C</x:v>
      </x:c>
      <x:c r="I5645" t="str">
        <x:v>1-3 years</x:v>
      </x:c>
      <x:c r="J5645" t="str">
        <x:v>MORTGAGE</x:v>
      </x:c>
      <x:c r="K5645" t="str">
        <x:v>major_purchase</x:v>
      </x:c>
      <x:c r="L5645" t="n">
        <x:v>1</x:v>
      </x:c>
      <x:c r="M5645" t="n">
        <x:v>0</x:v>
      </x:c>
      <x:c r="N5645" t="str">
        <x:v>Fully Paid</x:v>
      </x:c>
      <x:c r="O5645" t="str">
        <x:f>IF(D5645="","Unknown",IF(D5645&lt;25000,"&lt;$25k",IF(D5645&lt;50000,"$25k-$50k",IF(D5645&lt;75000,"$50k-$75k",IF(D5645&lt;100000,"$75k-$100k","$100k+")))))</x:f>
        <x:v>$50k-$75k</x:v>
      </x:c>
      <x:c r="P5645" t="str">
        <x:f>IF(E5645="","Unknown",IF(E5645&lt;10,"&lt;10",IF(E5645&lt;20,"10-&lt;20",IF(E5645&lt;25,"20-&lt;25",IF(E5645&lt;35,"25-&lt;35","35+")))))</x:f>
        <x:v>&lt;10</x:v>
      </x:c>
    </x:row>
    <x:row r="5646">
      <x:c r="A5646" t="str">
        <x:v>SYN0005645</x:v>
      </x:c>
      <x:c r="B5646" s="12" t="n">
        <x:v>42415</x:v>
      </x:c>
      <x:c r="C5646" s="18" t="n">
        <x:v>31706</x:v>
      </x:c>
      <x:c r="D5646" s="18" t="n">
        <x:v>81901</x:v>
      </x:c>
      <x:c r="E5646" s="18" t="n">
        <x:v>10.2</x:v>
      </x:c>
      <x:c r="F5646" s="18" t="n">
        <x:v>5.07</x:v>
      </x:c>
      <x:c r="G5646" t="n">
        <x:v>36</x:v>
      </x:c>
      <x:c r="H5646" t="str">
        <x:v>A</x:v>
      </x:c>
      <x:c r="I5646" t="str">
        <x:v>7-9 years</x:v>
      </x:c>
      <x:c r="J5646" t="str">
        <x:v>OWN</x:v>
      </x:c>
      <x:c r="K5646" t="str">
        <x:v>debt_consolidation</x:v>
      </x:c>
      <x:c r="L5646" t="n">
        <x:v>0</x:v>
      </x:c>
      <x:c r="M5646" t="n">
        <x:v>0</x:v>
      </x:c>
      <x:c r="N5646" t="str">
        <x:v>Fully Paid</x:v>
      </x:c>
      <x:c r="O5646" t="str">
        <x:f>IF(D5646="","Unknown",IF(D5646&lt;25000,"&lt;$25k",IF(D5646&lt;50000,"$25k-$50k",IF(D5646&lt;75000,"$50k-$75k",IF(D5646&lt;100000,"$75k-$100k","$100k+")))))</x:f>
        <x:v>$75k-$100k</x:v>
      </x:c>
      <x:c r="P5646" t="str">
        <x:f>IF(E5646="","Unknown",IF(E5646&lt;10,"&lt;10",IF(E5646&lt;20,"10-&lt;20",IF(E5646&lt;25,"20-&lt;25",IF(E5646&lt;35,"25-&lt;35","35+")))))</x:f>
        <x:v>10-&lt;20</x:v>
      </x:c>
    </x:row>
    <x:row r="5647">
      <x:c r="A5647" t="str">
        <x:v>SYN0005646</x:v>
      </x:c>
      <x:c r="B5647" s="12" t="n">
        <x:v>42505</x:v>
      </x:c>
      <x:c r="C5647" s="18" t="n">
        <x:v>11312</x:v>
      </x:c>
      <x:c r="D5647" s="18" t="n">
        <x:v>51378</x:v>
      </x:c>
      <x:c r="E5647" s="18" t="n">
        <x:v>20.44</x:v>
      </x:c>
      <x:c r="F5647" s="18" t="n">
        <x:v>17.94</x:v>
      </x:c>
      <x:c r="G5647" t="n">
        <x:v>36</x:v>
      </x:c>
      <x:c r="H5647" t="str">
        <x:v>D</x:v>
      </x:c>
      <x:c r="I5647" t="str">
        <x:v>1-3 years</x:v>
      </x:c>
      <x:c r="J5647" t="str">
        <x:v>MORTGAGE</x:v>
      </x:c>
      <x:c r="K5647" t="str">
        <x:v>home_improvement</x:v>
      </x:c>
      <x:c r="L5647" t="n">
        <x:v>1</x:v>
      </x:c>
      <x:c r="M5647" t="n">
        <x:v>0</x:v>
      </x:c>
      <x:c r="N5647" t="str">
        <x:v>Fully Paid</x:v>
      </x:c>
      <x:c r="O5647" t="str">
        <x:f>IF(D5647="","Unknown",IF(D5647&lt;25000,"&lt;$25k",IF(D5647&lt;50000,"$25k-$50k",IF(D5647&lt;75000,"$50k-$75k",IF(D5647&lt;100000,"$75k-$100k","$100k+")))))</x:f>
        <x:v>$50k-$75k</x:v>
      </x:c>
      <x:c r="P5647" t="str">
        <x:f>IF(E5647="","Unknown",IF(E5647&lt;10,"&lt;10",IF(E5647&lt;20,"10-&lt;20",IF(E5647&lt;25,"20-&lt;25",IF(E5647&lt;35,"25-&lt;35","35+")))))</x:f>
        <x:v>20-&lt;25</x:v>
      </x:c>
    </x:row>
    <x:row r="5648">
      <x:c r="A5648" t="str">
        <x:v>SYN0005647</x:v>
      </x:c>
      <x:c r="B5648" s="12" t="n">
        <x:v>41365</x:v>
      </x:c>
      <x:c r="C5648" s="18" t="n">
        <x:v>6510</x:v>
      </x:c>
      <x:c r="D5648" s="18" t="n">
        <x:v>105998</x:v>
      </x:c>
      <x:c r="E5648" s="18" t="n">
        <x:v>2.95</x:v>
      </x:c>
      <x:c r="F5648" s="18" t="n">
        <x:v>10.01</x:v>
      </x:c>
      <x:c r="G5648" t="n">
        <x:v>36</x:v>
      </x:c>
      <x:c r="H5648" t="str">
        <x:v>B</x:v>
      </x:c>
      <x:c r="I5648" t="str">
        <x:v>1-3 years</x:v>
      </x:c>
      <x:c r="J5648" t="str">
        <x:v>MORTGAGE</x:v>
      </x:c>
      <x:c r="K5648" t="str">
        <x:v>debt_consolidation</x:v>
      </x:c>
      <x:c r="L5648" t="n">
        <x:v>0</x:v>
      </x:c>
      <x:c r="M5648" t="n">
        <x:v>1</x:v>
      </x:c>
      <x:c r="N5648" t="str">
        <x:v>Charged Off</x:v>
      </x:c>
      <x:c r="O5648" t="str">
        <x:f>IF(D5648="","Unknown",IF(D5648&lt;25000,"&lt;$25k",IF(D5648&lt;50000,"$25k-$50k",IF(D5648&lt;75000,"$50k-$75k",IF(D5648&lt;100000,"$75k-$100k","$100k+")))))</x:f>
        <x:v>$100k+</x:v>
      </x:c>
      <x:c r="P5648" t="str">
        <x:f>IF(E5648="","Unknown",IF(E5648&lt;10,"&lt;10",IF(E5648&lt;20,"10-&lt;20",IF(E5648&lt;25,"20-&lt;25",IF(E5648&lt;35,"25-&lt;35","35+")))))</x:f>
        <x:v>&lt;10</x:v>
      </x:c>
    </x:row>
    <x:row r="5649">
      <x:c r="A5649" t="str">
        <x:v>SYN0005648</x:v>
      </x:c>
      <x:c r="B5649" s="12" t="n">
        <x:v>41815</x:v>
      </x:c>
      <x:c r="C5649" s="18" t="n">
        <x:v>10060</x:v>
      </x:c>
      <x:c r="D5649" s="18" t="n">
        <x:v>57942</x:v>
      </x:c>
      <x:c r="E5649" s="18" t="n">
        <x:v>21.55</x:v>
      </x:c>
      <x:c r="F5649" s="18" t="n">
        <x:v>11.61</x:v>
      </x:c>
      <x:c r="G5649" t="n">
        <x:v>60</x:v>
      </x:c>
      <x:c r="H5649" t="str">
        <x:v>C</x:v>
      </x:c>
      <x:c r="I5649" t="str">
        <x:v>10+ years</x:v>
      </x:c>
      <x:c r="J5649" t="str">
        <x:v>RENT</x:v>
      </x:c>
      <x:c r="K5649" t="str">
        <x:v>debt_consolidation</x:v>
      </x:c>
      <x:c r="L5649" t="n">
        <x:v>1</x:v>
      </x:c>
      <x:c r="M5649" t="n">
        <x:v>1</x:v>
      </x:c>
      <x:c r="N5649" t="str">
        <x:v>Charged Off</x:v>
      </x:c>
      <x:c r="O5649" t="str">
        <x:f>IF(D5649="","Unknown",IF(D5649&lt;25000,"&lt;$25k",IF(D5649&lt;50000,"$25k-$50k",IF(D5649&lt;75000,"$50k-$75k",IF(D5649&lt;100000,"$75k-$100k","$100k+")))))</x:f>
        <x:v>$50k-$75k</x:v>
      </x:c>
      <x:c r="P5649" t="str">
        <x:f>IF(E5649="","Unknown",IF(E5649&lt;10,"&lt;10",IF(E5649&lt;20,"10-&lt;20",IF(E5649&lt;25,"20-&lt;25",IF(E5649&lt;35,"25-&lt;35","35+")))))</x:f>
        <x:v>20-&lt;25</x:v>
      </x:c>
    </x:row>
    <x:row r="5650">
      <x:c r="A5650" t="str">
        <x:v>SYN0005649</x:v>
      </x:c>
      <x:c r="B5650" s="12" t="n">
        <x:v>42745</x:v>
      </x:c>
      <x:c r="C5650" s="18" t="n">
        <x:v>16664</x:v>
      </x:c>
      <x:c r="D5650" s="18" t="n">
        <x:v>52376</x:v>
      </x:c>
      <x:c r="E5650" s="18" t="n">
        <x:v>8.36</x:v>
      </x:c>
      <x:c r="F5650" s="18" t="n">
        <x:v>15.79</x:v>
      </x:c>
      <x:c r="G5650" t="n">
        <x:v>36</x:v>
      </x:c>
      <x:c r="H5650" t="str">
        <x:v>E</x:v>
      </x:c>
      <x:c r="I5650" t="str">
        <x:v>1-3 years</x:v>
      </x:c>
      <x:c r="J5650" t="str">
        <x:v>OWN</x:v>
      </x:c>
      <x:c r="K5650" t="str">
        <x:v>credit_card</x:v>
      </x:c>
      <x:c r="L5650" t="n">
        <x:v>2</x:v>
      </x:c>
      <x:c r="M5650" t="n">
        <x:v>0</x:v>
      </x:c>
      <x:c r="N5650" t="str">
        <x:v>Fully Paid</x:v>
      </x:c>
      <x:c r="O5650" t="str">
        <x:f>IF(D5650="","Unknown",IF(D5650&lt;25000,"&lt;$25k",IF(D5650&lt;50000,"$25k-$50k",IF(D5650&lt;75000,"$50k-$75k",IF(D5650&lt;100000,"$75k-$100k","$100k+")))))</x:f>
        <x:v>$50k-$75k</x:v>
      </x:c>
      <x:c r="P5650" t="str">
        <x:f>IF(E5650="","Unknown",IF(E5650&lt;10,"&lt;10",IF(E5650&lt;20,"10-&lt;20",IF(E5650&lt;25,"20-&lt;25",IF(E5650&lt;35,"25-&lt;35","35+")))))</x:f>
        <x:v>&lt;10</x:v>
      </x:c>
    </x:row>
    <x:row r="5651">
      <x:c r="A5651" t="str">
        <x:v>SYN0005650</x:v>
      </x:c>
      <x:c r="B5651" s="12" t="n">
        <x:v>41515</x:v>
      </x:c>
      <x:c r="C5651" s="18" t="n">
        <x:v>10043</x:v>
      </x:c>
      <x:c r="D5651" s="18" t="n">
        <x:v>74931</x:v>
      </x:c>
      <x:c r="E5651" s="18" t="n">
        <x:v>18.23</x:v>
      </x:c>
      <x:c r="F5651" s="18" t="n">
        <x:v>17.74</x:v>
      </x:c>
      <x:c r="G5651" t="n">
        <x:v>60</x:v>
      </x:c>
      <x:c r="H5651" t="str">
        <x:v>D</x:v>
      </x:c>
      <x:c r="I5651" t="str">
        <x:v>&lt;1 year</x:v>
      </x:c>
      <x:c r="J5651" t="str">
        <x:v>MORTGAGE</x:v>
      </x:c>
      <x:c r="K5651" t="str">
        <x:v>debt_consolidation</x:v>
      </x:c>
      <x:c r="L5651" t="n">
        <x:v>0</x:v>
      </x:c>
      <x:c r="M5651" t="n">
        <x:v>0</x:v>
      </x:c>
      <x:c r="N5651" t="str">
        <x:v>Fully Paid</x:v>
      </x:c>
      <x:c r="O5651" t="str">
        <x:f>IF(D5651="","Unknown",IF(D5651&lt;25000,"&lt;$25k",IF(D5651&lt;50000,"$25k-$50k",IF(D5651&lt;75000,"$50k-$75k",IF(D5651&lt;100000,"$75k-$100k","$100k+")))))</x:f>
        <x:v>$50k-$75k</x:v>
      </x:c>
      <x:c r="P5651" t="str">
        <x:f>IF(E5651="","Unknown",IF(E5651&lt;10,"&lt;10",IF(E5651&lt;20,"10-&lt;20",IF(E5651&lt;25,"20-&lt;25",IF(E5651&lt;35,"25-&lt;35","35+")))))</x:f>
        <x:v>10-&lt;20</x:v>
      </x:c>
    </x:row>
    <x:row r="5652">
      <x:c r="A5652" t="str">
        <x:v>SYN0005651</x:v>
      </x:c>
      <x:c r="B5652" s="12" t="n">
        <x:v>43075</x:v>
      </x:c>
      <x:c r="C5652" s="18" t="n">
        <x:v>6331</x:v>
      </x:c>
      <x:c r="D5652" s="18" t="n">
        <x:v>24365</x:v>
      </x:c>
      <x:c r="E5652" s="18" t="n">
        <x:v>17.09</x:v>
      </x:c>
      <x:c r="F5652" s="18" t="n">
        <x:v>8.66</x:v>
      </x:c>
      <x:c r="G5652" t="n">
        <x:v>60</x:v>
      </x:c>
      <x:c r="H5652" t="str">
        <x:v>A</x:v>
      </x:c>
      <x:c r="I5652" t="str">
        <x:v>7-9 years</x:v>
      </x:c>
      <x:c r="J5652" t="str">
        <x:v>RENT</x:v>
      </x:c>
      <x:c r="K5652" t="str">
        <x:v>medical</x:v>
      </x:c>
      <x:c r="L5652" t="n">
        <x:v>0</x:v>
      </x:c>
      <x:c r="M5652" t="n">
        <x:v>0</x:v>
      </x:c>
      <x:c r="N5652" t="str">
        <x:v>Fully Paid</x:v>
      </x:c>
      <x:c r="O5652" t="str">
        <x:f>IF(D5652="","Unknown",IF(D5652&lt;25000,"&lt;$25k",IF(D5652&lt;50000,"$25k-$50k",IF(D5652&lt;75000,"$50k-$75k",IF(D5652&lt;100000,"$75k-$100k","$100k+")))))</x:f>
        <x:v>&lt;$25k</x:v>
      </x:c>
      <x:c r="P5652" t="str">
        <x:f>IF(E5652="","Unknown",IF(E5652&lt;10,"&lt;10",IF(E5652&lt;20,"10-&lt;20",IF(E5652&lt;25,"20-&lt;25",IF(E5652&lt;35,"25-&lt;35","35+")))))</x:f>
        <x:v>10-&lt;20</x:v>
      </x:c>
    </x:row>
    <x:row r="5653">
      <x:c r="A5653" t="str">
        <x:v>SYN0005652</x:v>
      </x:c>
      <x:c r="B5653" s="12" t="n">
        <x:v>42235</x:v>
      </x:c>
      <x:c r="C5653" s="18" t="n">
        <x:v>10120</x:v>
      </x:c>
      <x:c r="D5653" s="18" t="n">
        <x:v>37035</x:v>
      </x:c>
      <x:c r="E5653" s="18" t="n">
        <x:v>15.39</x:v>
      </x:c>
      <x:c r="F5653" s="18" t="n">
        <x:v>5.08</x:v>
      </x:c>
      <x:c r="G5653" t="n">
        <x:v>36</x:v>
      </x:c>
      <x:c r="H5653" t="str">
        <x:v>A</x:v>
      </x:c>
      <x:c r="I5653" t="str">
        <x:v>10+ years</x:v>
      </x:c>
      <x:c r="J5653" t="str">
        <x:v>MORTGAGE</x:v>
      </x:c>
      <x:c r="K5653" t="str">
        <x:v>home_improvement</x:v>
      </x:c>
      <x:c r="L5653" t="n">
        <x:v>0</x:v>
      </x:c>
      <x:c r="M5653" t="n">
        <x:v>0</x:v>
      </x:c>
      <x:c r="N5653" t="str">
        <x:v>Fully Paid</x:v>
      </x:c>
      <x:c r="O5653" t="str">
        <x:f>IF(D5653="","Unknown",IF(D5653&lt;25000,"&lt;$25k",IF(D5653&lt;50000,"$25k-$50k",IF(D5653&lt;75000,"$50k-$75k",IF(D5653&lt;100000,"$75k-$100k","$100k+")))))</x:f>
        <x:v>$25k-$50k</x:v>
      </x:c>
      <x:c r="P5653" t="str">
        <x:f>IF(E5653="","Unknown",IF(E5653&lt;10,"&lt;10",IF(E5653&lt;20,"10-&lt;20",IF(E5653&lt;25,"20-&lt;25",IF(E5653&lt;35,"25-&lt;35","35+")))))</x:f>
        <x:v>10-&lt;20</x:v>
      </x:c>
    </x:row>
    <x:row r="5654">
      <x:c r="A5654" t="str">
        <x:v>SYN0005653</x:v>
      </x:c>
      <x:c r="B5654" s="12" t="n">
        <x:v>42085</x:v>
      </x:c>
      <x:c r="C5654" s="18" t="n">
        <x:v>21914</x:v>
      </x:c>
      <x:c r="D5654" s="18" t="n">
        <x:v>68543</x:v>
      </x:c>
      <x:c r="E5654" s="18" t="n">
        <x:v>21.04</x:v>
      </x:c>
      <x:c r="F5654" s="18" t="n">
        <x:v>27.27</x:v>
      </x:c>
      <x:c r="G5654" t="n">
        <x:v>36</x:v>
      </x:c>
      <x:c r="H5654" t="str">
        <x:v>G</x:v>
      </x:c>
      <x:c r="I5654" t="str">
        <x:v>&lt;1 year</x:v>
      </x:c>
      <x:c r="J5654" t="str">
        <x:v>RENT</x:v>
      </x:c>
      <x:c r="K5654" t="str">
        <x:v>credit_card</x:v>
      </x:c>
      <x:c r="L5654" t="n">
        <x:v>1</x:v>
      </x:c>
      <x:c r="M5654" t="n">
        <x:v>0</x:v>
      </x:c>
      <x:c r="N5654" t="str">
        <x:v>Fully Paid</x:v>
      </x:c>
      <x:c r="O5654" t="str">
        <x:f>IF(D5654="","Unknown",IF(D5654&lt;25000,"&lt;$25k",IF(D5654&lt;50000,"$25k-$50k",IF(D5654&lt;75000,"$50k-$75k",IF(D5654&lt;100000,"$75k-$100k","$100k+")))))</x:f>
        <x:v>$50k-$75k</x:v>
      </x:c>
      <x:c r="P5654" t="str">
        <x:f>IF(E5654="","Unknown",IF(E5654&lt;10,"&lt;10",IF(E5654&lt;20,"10-&lt;20",IF(E5654&lt;25,"20-&lt;25",IF(E5654&lt;35,"25-&lt;35","35+")))))</x:f>
        <x:v>20-&lt;25</x:v>
      </x:c>
    </x:row>
    <x:row r="5655">
      <x:c r="A5655" t="str">
        <x:v>SYN0005654</x:v>
      </x:c>
      <x:c r="B5655" s="12" t="n">
        <x:v>41815</x:v>
      </x:c>
      <x:c r="C5655" s="18" t="n">
        <x:v>10491</x:v>
      </x:c>
      <x:c r="D5655" s="18" t="n">
        <x:v>44624</x:v>
      </x:c>
      <x:c r="E5655" s="18" t="n">
        <x:v>47.19</x:v>
      </x:c>
      <x:c r="F5655" s="18" t="n">
        <x:v>26.34</x:v>
      </x:c>
      <x:c r="G5655" t="n">
        <x:v>60</x:v>
      </x:c>
      <x:c r="H5655" t="str">
        <x:v>G</x:v>
      </x:c>
      <x:c r="I5655" t="str">
        <x:v>4-6 years</x:v>
      </x:c>
      <x:c r="J5655" t="str">
        <x:v>RENT</x:v>
      </x:c>
      <x:c r="K5655" t="str">
        <x:v>debt_consolidation</x:v>
      </x:c>
      <x:c r="L5655" t="n">
        <x:v>0</x:v>
      </x:c>
      <x:c r="M5655" t="n">
        <x:v>1</x:v>
      </x:c>
      <x:c r="N5655" t="str">
        <x:v>Charged Off</x:v>
      </x:c>
      <x:c r="O5655" t="str">
        <x:f>IF(D5655="","Unknown",IF(D5655&lt;25000,"&lt;$25k",IF(D5655&lt;50000,"$25k-$50k",IF(D5655&lt;75000,"$50k-$75k",IF(D5655&lt;100000,"$75k-$100k","$100k+")))))</x:f>
        <x:v>$25k-$50k</x:v>
      </x:c>
      <x:c r="P5655" t="str">
        <x:f>IF(E5655="","Unknown",IF(E5655&lt;10,"&lt;10",IF(E5655&lt;20,"10-&lt;20",IF(E5655&lt;25,"20-&lt;25",IF(E5655&lt;35,"25-&lt;35","35+")))))</x:f>
        <x:v>35+</x:v>
      </x:c>
    </x:row>
    <x:row r="5656">
      <x:c r="A5656" t="str">
        <x:v>SYN0005655</x:v>
      </x:c>
      <x:c r="B5656" s="12" t="n">
        <x:v>41695</x:v>
      </x:c>
      <x:c r="C5656" s="18" t="n">
        <x:v>11925</x:v>
      </x:c>
      <x:c r="D5656" s="18" t="n">
        <x:v>33793</x:v>
      </x:c>
      <x:c r="E5656" s="18" t="n">
        <x:v>29.54</x:v>
      </x:c>
      <x:c r="F5656" s="18" t="n">
        <x:v>14.14</x:v>
      </x:c>
      <x:c r="G5656" t="n">
        <x:v>36</x:v>
      </x:c>
      <x:c r="H5656" t="str">
        <x:v>D</x:v>
      </x:c>
      <x:c r="I5656" t="str">
        <x:v>1-3 years</x:v>
      </x:c>
      <x:c r="J5656" t="str">
        <x:v>MORTGAGE</x:v>
      </x:c>
      <x:c r="K5656" t="str">
        <x:v>other</x:v>
      </x:c>
      <x:c r="L5656" t="n">
        <x:v>2</x:v>
      </x:c>
      <x:c r="M5656" t="n">
        <x:v>0</x:v>
      </x:c>
      <x:c r="N5656" t="str">
        <x:v>Fully Paid</x:v>
      </x:c>
      <x:c r="O5656" t="str">
        <x:f>IF(D5656="","Unknown",IF(D5656&lt;25000,"&lt;$25k",IF(D5656&lt;50000,"$25k-$50k",IF(D5656&lt;75000,"$50k-$75k",IF(D5656&lt;100000,"$75k-$100k","$100k+")))))</x:f>
        <x:v>$25k-$50k</x:v>
      </x:c>
      <x:c r="P5656" t="str">
        <x:f>IF(E5656="","Unknown",IF(E5656&lt;10,"&lt;10",IF(E5656&lt;20,"10-&lt;20",IF(E5656&lt;25,"20-&lt;25",IF(E5656&lt;35,"25-&lt;35","35+")))))</x:f>
        <x:v>25-&lt;35</x:v>
      </x:c>
    </x:row>
    <x:row r="5657">
      <x:c r="A5657" t="str">
        <x:v>SYN0005656</x:v>
      </x:c>
      <x:c r="B5657" s="12" t="n">
        <x:v>41485</x:v>
      </x:c>
      <x:c r="C5657" s="18" t="n">
        <x:v>15734</x:v>
      </x:c>
      <x:c r="D5657" s="18" t="n">
        <x:v>22254</x:v>
      </x:c>
      <x:c r="E5657" s="18" t="n">
        <x:v>26.17</x:v>
      </x:c>
      <x:c r="F5657" s="18" t="n">
        <x:v>7.26</x:v>
      </x:c>
      <x:c r="G5657" t="n">
        <x:v>36</x:v>
      </x:c>
      <x:c r="H5657" t="str">
        <x:v>B</x:v>
      </x:c>
      <x:c r="I5657" t="str">
        <x:v>7-9 years</x:v>
      </x:c>
      <x:c r="J5657" t="str">
        <x:v>MORTGAGE</x:v>
      </x:c>
      <x:c r="K5657" t="str">
        <x:v>other</x:v>
      </x:c>
      <x:c r="L5657" t="n">
        <x:v>0</x:v>
      </x:c>
      <x:c r="M5657" t="n">
        <x:v>0</x:v>
      </x:c>
      <x:c r="N5657" t="str">
        <x:v>Fully Paid</x:v>
      </x:c>
      <x:c r="O5657" t="str">
        <x:f>IF(D5657="","Unknown",IF(D5657&lt;25000,"&lt;$25k",IF(D5657&lt;50000,"$25k-$50k",IF(D5657&lt;75000,"$50k-$75k",IF(D5657&lt;100000,"$75k-$100k","$100k+")))))</x:f>
        <x:v>&lt;$25k</x:v>
      </x:c>
      <x:c r="P5657" t="str">
        <x:f>IF(E5657="","Unknown",IF(E5657&lt;10,"&lt;10",IF(E5657&lt;20,"10-&lt;20",IF(E5657&lt;25,"20-&lt;25",IF(E5657&lt;35,"25-&lt;35","35+")))))</x:f>
        <x:v>25-&lt;35</x:v>
      </x:c>
    </x:row>
    <x:row r="5658">
      <x:c r="A5658" t="str">
        <x:v>SYN0005657</x:v>
      </x:c>
      <x:c r="B5658" s="12" t="n">
        <x:v>42295</x:v>
      </x:c>
      <x:c r="C5658" s="18" t="n">
        <x:v>20220</x:v>
      </x:c>
      <x:c r="D5658" s="18" t="n">
        <x:v>108098</x:v>
      </x:c>
      <x:c r="E5658" s="18" t="n">
        <x:v>16.32</x:v>
      </x:c>
      <x:c r="F5658" s="18" t="n">
        <x:v>10.99</x:v>
      </x:c>
      <x:c r="G5658" t="n">
        <x:v>36</x:v>
      </x:c>
      <x:c r="H5658" t="str">
        <x:v>C</x:v>
      </x:c>
      <x:c r="I5658" t="str">
        <x:v>10+ years</x:v>
      </x:c>
      <x:c r="J5658" t="str">
        <x:v>RENT</x:v>
      </x:c>
      <x:c r="K5658" t="str">
        <x:v>home_improvement</x:v>
      </x:c>
      <x:c r="L5658" t="n">
        <x:v>0</x:v>
      </x:c>
      <x:c r="M5658" t="n">
        <x:v>0</x:v>
      </x:c>
      <x:c r="N5658" t="str">
        <x:v>Fully Paid</x:v>
      </x:c>
      <x:c r="O5658" t="str">
        <x:f>IF(D5658="","Unknown",IF(D5658&lt;25000,"&lt;$25k",IF(D5658&lt;50000,"$25k-$50k",IF(D5658&lt;75000,"$50k-$75k",IF(D5658&lt;100000,"$75k-$100k","$100k+")))))</x:f>
        <x:v>$100k+</x:v>
      </x:c>
      <x:c r="P5658" t="str">
        <x:f>IF(E5658="","Unknown",IF(E5658&lt;10,"&lt;10",IF(E5658&lt;20,"10-&lt;20",IF(E5658&lt;25,"20-&lt;25",IF(E5658&lt;35,"25-&lt;35","35+")))))</x:f>
        <x:v>10-&lt;20</x:v>
      </x:c>
    </x:row>
    <x:row r="5659">
      <x:c r="A5659" t="str">
        <x:v>SYN0005658</x:v>
      </x:c>
      <x:c r="B5659" s="12" t="n">
        <x:v>43135</x:v>
      </x:c>
      <x:c r="C5659" s="18" t="n">
        <x:v>15682</x:v>
      </x:c>
      <x:c r="D5659" s="18" t="n">
        <x:v>107029</x:v>
      </x:c>
      <x:c r="E5659" s="18" t="n">
        <x:v>18.1</x:v>
      </x:c>
      <x:c r="F5659" s="18" t="n">
        <x:v>22.57</x:v>
      </x:c>
      <x:c r="G5659" t="n">
        <x:v>36</x:v>
      </x:c>
      <x:c r="H5659" t="str">
        <x:v>F</x:v>
      </x:c>
      <x:c r="I5659" t="str">
        <x:v>10+ years</x:v>
      </x:c>
      <x:c r="J5659" t="str">
        <x:v>OWN</x:v>
      </x:c>
      <x:c r="K5659" t="str">
        <x:v>home_improvement</x:v>
      </x:c>
      <x:c r="L5659" t="n">
        <x:v>2</x:v>
      </x:c>
      <x:c r="M5659" t="n">
        <x:v>1</x:v>
      </x:c>
      <x:c r="N5659" t="str">
        <x:v>Charged Off</x:v>
      </x:c>
      <x:c r="O5659" t="str">
        <x:f>IF(D5659="","Unknown",IF(D5659&lt;25000,"&lt;$25k",IF(D5659&lt;50000,"$25k-$50k",IF(D5659&lt;75000,"$50k-$75k",IF(D5659&lt;100000,"$75k-$100k","$100k+")))))</x:f>
        <x:v>$100k+</x:v>
      </x:c>
      <x:c r="P5659" t="str">
        <x:f>IF(E5659="","Unknown",IF(E5659&lt;10,"&lt;10",IF(E5659&lt;20,"10-&lt;20",IF(E5659&lt;25,"20-&lt;25",IF(E5659&lt;35,"25-&lt;35","35+")))))</x:f>
        <x:v>10-&lt;20</x:v>
      </x:c>
    </x:row>
    <x:row r="5660">
      <x:c r="A5660" t="str">
        <x:v>SYN0005659</x:v>
      </x:c>
      <x:c r="B5660" s="12" t="n">
        <x:v>41365</x:v>
      </x:c>
      <x:c r="C5660" s="18" t="n">
        <x:v>12171</x:v>
      </x:c>
      <x:c r="D5660" s="18" t="n">
        <x:v>53501</x:v>
      </x:c>
      <x:c r="E5660" s="18" t="n">
        <x:v>15.8</x:v>
      </x:c>
      <x:c r="F5660" s="18" t="n">
        <x:v>26.76</x:v>
      </x:c>
      <x:c r="G5660" t="n">
        <x:v>36</x:v>
      </x:c>
      <x:c r="H5660" t="str">
        <x:v>G</x:v>
      </x:c>
      <x:c r="I5660" t="str">
        <x:v>4-6 years</x:v>
      </x:c>
      <x:c r="J5660" t="str">
        <x:v>RENT</x:v>
      </x:c>
      <x:c r="K5660" t="str">
        <x:v>home_improvement</x:v>
      </x:c>
      <x:c r="L5660" t="n">
        <x:v>1</x:v>
      </x:c>
      <x:c r="M5660" t="n">
        <x:v>0</x:v>
      </x:c>
      <x:c r="N5660" t="str">
        <x:v>Fully Paid</x:v>
      </x:c>
      <x:c r="O5660" t="str">
        <x:f>IF(D5660="","Unknown",IF(D5660&lt;25000,"&lt;$25k",IF(D5660&lt;50000,"$25k-$50k",IF(D5660&lt;75000,"$50k-$75k",IF(D5660&lt;100000,"$75k-$100k","$100k+")))))</x:f>
        <x:v>$50k-$75k</x:v>
      </x:c>
      <x:c r="P5660" t="str">
        <x:f>IF(E5660="","Unknown",IF(E5660&lt;10,"&lt;10",IF(E5660&lt;20,"10-&lt;20",IF(E5660&lt;25,"20-&lt;25",IF(E5660&lt;35,"25-&lt;35","35+")))))</x:f>
        <x:v>10-&lt;20</x:v>
      </x:c>
    </x:row>
    <x:row r="5661">
      <x:c r="A5661" t="str">
        <x:v>SYN0005660</x:v>
      </x:c>
      <x:c r="B5661" s="12" t="n">
        <x:v>43345</x:v>
      </x:c>
      <x:c r="C5661" s="18" t="n">
        <x:v>11077</x:v>
      </x:c>
      <x:c r="D5661" s="18" t="n">
        <x:v>61990</x:v>
      </x:c>
      <x:c r="E5661" s="18" t="n">
        <x:v>21.85</x:v>
      </x:c>
      <x:c r="F5661" s="18" t="n">
        <x:v>6.24</x:v>
      </x:c>
      <x:c r="G5661" t="n">
        <x:v>36</x:v>
      </x:c>
      <x:c r="H5661" t="str">
        <x:v>A</x:v>
      </x:c>
      <x:c r="I5661" t="str">
        <x:v>&lt;1 year</x:v>
      </x:c>
      <x:c r="J5661" t="str">
        <x:v>MORTGAGE</x:v>
      </x:c>
      <x:c r="K5661" t="str">
        <x:v>debt_consolidation</x:v>
      </x:c>
      <x:c r="L5661" t="n">
        <x:v>1</x:v>
      </x:c>
      <x:c r="M5661" t="n">
        <x:v>0</x:v>
      </x:c>
      <x:c r="N5661" t="str">
        <x:v>Fully Paid</x:v>
      </x:c>
      <x:c r="O5661" t="str">
        <x:f>IF(D5661="","Unknown",IF(D5661&lt;25000,"&lt;$25k",IF(D5661&lt;50000,"$25k-$50k",IF(D5661&lt;75000,"$50k-$75k",IF(D5661&lt;100000,"$75k-$100k","$100k+")))))</x:f>
        <x:v>$50k-$75k</x:v>
      </x:c>
      <x:c r="P5661" t="str">
        <x:f>IF(E5661="","Unknown",IF(E5661&lt;10,"&lt;10",IF(E5661&lt;20,"10-&lt;20",IF(E5661&lt;25,"20-&lt;25",IF(E5661&lt;35,"25-&lt;35","35+")))))</x:f>
        <x:v>20-&lt;25</x:v>
      </x:c>
    </x:row>
    <x:row r="5662">
      <x:c r="A5662" t="str">
        <x:v>SYN0005661</x:v>
      </x:c>
      <x:c r="B5662" s="12" t="n">
        <x:v>43315</x:v>
      </x:c>
      <x:c r="C5662" s="18" t="n">
        <x:v>14192</x:v>
      </x:c>
      <x:c r="D5662" s="18" t="n">
        <x:v>109526</x:v>
      </x:c>
      <x:c r="E5662" s="18" t="n">
        <x:v>15.65</x:v>
      </x:c>
      <x:c r="F5662" s="18" t="n">
        <x:v>9.42</x:v>
      </x:c>
      <x:c r="G5662" t="n">
        <x:v>60</x:v>
      </x:c>
      <x:c r="H5662" t="str">
        <x:v>C</x:v>
      </x:c>
      <x:c r="I5662" t="str">
        <x:v>&lt;1 year</x:v>
      </x:c>
      <x:c r="J5662" t="str">
        <x:v>MORTGAGE</x:v>
      </x:c>
      <x:c r="K5662" t="str">
        <x:v>debt_consolidation</x:v>
      </x:c>
      <x:c r="L5662" t="n">
        <x:v>0</x:v>
      </x:c>
      <x:c r="M5662" t="n">
        <x:v>0</x:v>
      </x:c>
      <x:c r="N5662" t="str">
        <x:v>Fully Paid</x:v>
      </x:c>
      <x:c r="O5662" t="str">
        <x:f>IF(D5662="","Unknown",IF(D5662&lt;25000,"&lt;$25k",IF(D5662&lt;50000,"$25k-$50k",IF(D5662&lt;75000,"$50k-$75k",IF(D5662&lt;100000,"$75k-$100k","$100k+")))))</x:f>
        <x:v>$100k+</x:v>
      </x:c>
      <x:c r="P5662" t="str">
        <x:f>IF(E5662="","Unknown",IF(E5662&lt;10,"&lt;10",IF(E5662&lt;20,"10-&lt;20",IF(E5662&lt;25,"20-&lt;25",IF(E5662&lt;35,"25-&lt;35","35+")))))</x:f>
        <x:v>10-&lt;20</x:v>
      </x:c>
    </x:row>
    <x:row r="5663">
      <x:c r="A5663" t="str">
        <x:v>SYN0005662</x:v>
      </x:c>
      <x:c r="B5663" s="12" t="n">
        <x:v>41695</x:v>
      </x:c>
      <x:c r="C5663" s="18" t="n">
        <x:v>13111</x:v>
      </x:c>
      <x:c r="D5663" s="18" t="n">
        <x:v>64615</x:v>
      </x:c>
      <x:c r="E5663" s="18" t="n">
        <x:v>3.32</x:v>
      </x:c>
      <x:c r="F5663" s="18" t="n">
        <x:v>14.16</x:v>
      </x:c>
      <x:c r="G5663" t="n">
        <x:v>36</x:v>
      </x:c>
      <x:c r="H5663" t="str">
        <x:v>D</x:v>
      </x:c>
      <x:c r="I5663" t="str">
        <x:v>4-6 years</x:v>
      </x:c>
      <x:c r="J5663" t="str">
        <x:v>RENT</x:v>
      </x:c>
      <x:c r="K5663" t="str">
        <x:v>credit_card</x:v>
      </x:c>
      <x:c r="L5663" t="n">
        <x:v>0</x:v>
      </x:c>
      <x:c r="M5663" t="n">
        <x:v>0</x:v>
      </x:c>
      <x:c r="N5663" t="str">
        <x:v>Fully Paid</x:v>
      </x:c>
      <x:c r="O5663" t="str">
        <x:f>IF(D5663="","Unknown",IF(D5663&lt;25000,"&lt;$25k",IF(D5663&lt;50000,"$25k-$50k",IF(D5663&lt;75000,"$50k-$75k",IF(D5663&lt;100000,"$75k-$100k","$100k+")))))</x:f>
        <x:v>$50k-$75k</x:v>
      </x:c>
      <x:c r="P5663" t="str">
        <x:f>IF(E5663="","Unknown",IF(E5663&lt;10,"&lt;10",IF(E5663&lt;20,"10-&lt;20",IF(E5663&lt;25,"20-&lt;25",IF(E5663&lt;35,"25-&lt;35","35+")))))</x:f>
        <x:v>&lt;10</x:v>
      </x:c>
    </x:row>
    <x:row r="5664">
      <x:c r="A5664" t="str">
        <x:v>SYN0005663</x:v>
      </x:c>
      <x:c r="B5664" s="12" t="n">
        <x:v>42805</x:v>
      </x:c>
      <x:c r="C5664" s="18" t="n">
        <x:v>18190</x:v>
      </x:c>
      <x:c r="D5664" s="18" t="n">
        <x:v>24989</x:v>
      </x:c>
      <x:c r="E5664" s="18" t="n">
        <x:v>14.18</x:v>
      </x:c>
      <x:c r="F5664" s="18" t="n">
        <x:v>17.46</x:v>
      </x:c>
      <x:c r="G5664" t="n">
        <x:v>36</x:v>
      </x:c>
      <x:c r="H5664" t="str">
        <x:v>E</x:v>
      </x:c>
      <x:c r="I5664" t="str">
        <x:v>4-6 years</x:v>
      </x:c>
      <x:c r="J5664" t="str">
        <x:v>MORTGAGE</x:v>
      </x:c>
      <x:c r="K5664" t="str">
        <x:v>debt_consolidation</x:v>
      </x:c>
      <x:c r="L5664" t="n">
        <x:v>1</x:v>
      </x:c>
      <x:c r="M5664" t="n">
        <x:v>0</x:v>
      </x:c>
      <x:c r="N5664" t="str">
        <x:v>Fully Paid</x:v>
      </x:c>
      <x:c r="O5664" t="str">
        <x:f>IF(D5664="","Unknown",IF(D5664&lt;25000,"&lt;$25k",IF(D5664&lt;50000,"$25k-$50k",IF(D5664&lt;75000,"$50k-$75k",IF(D5664&lt;100000,"$75k-$100k","$100k+")))))</x:f>
        <x:v>&lt;$25k</x:v>
      </x:c>
      <x:c r="P5664" t="str">
        <x:f>IF(E5664="","Unknown",IF(E5664&lt;10,"&lt;10",IF(E5664&lt;20,"10-&lt;20",IF(E5664&lt;25,"20-&lt;25",IF(E5664&lt;35,"25-&lt;35","35+")))))</x:f>
        <x:v>10-&lt;20</x:v>
      </x:c>
    </x:row>
    <x:row r="5665">
      <x:c r="A5665" t="str">
        <x:v>SYN0005664</x:v>
      </x:c>
      <x:c r="B5665" s="12" t="n">
        <x:v>43075</x:v>
      </x:c>
      <x:c r="C5665" s="18" t="n">
        <x:v>9868</x:v>
      </x:c>
      <x:c r="D5665" s="18" t="n">
        <x:v>69477</x:v>
      </x:c>
      <x:c r="E5665" s="18" t="n">
        <x:v>12.46</x:v>
      </x:c>
      <x:c r="F5665" s="18" t="n">
        <x:v>6.66</x:v>
      </x:c>
      <x:c r="G5665" t="n">
        <x:v>36</x:v>
      </x:c>
      <x:c r="H5665" t="str">
        <x:v>A</x:v>
      </x:c>
      <x:c r="I5665" t="str">
        <x:v>4-6 years</x:v>
      </x:c>
      <x:c r="J5665" t="str">
        <x:v>RENT</x:v>
      </x:c>
      <x:c r="K5665" t="str">
        <x:v>debt_consolidation</x:v>
      </x:c>
      <x:c r="L5665" t="n">
        <x:v>0</x:v>
      </x:c>
      <x:c r="M5665" t="n">
        <x:v>0</x:v>
      </x:c>
      <x:c r="N5665" t="str">
        <x:v>Fully Paid</x:v>
      </x:c>
      <x:c r="O5665" t="str">
        <x:f>IF(D5665="","Unknown",IF(D5665&lt;25000,"&lt;$25k",IF(D5665&lt;50000,"$25k-$50k",IF(D5665&lt;75000,"$50k-$75k",IF(D5665&lt;100000,"$75k-$100k","$100k+")))))</x:f>
        <x:v>$50k-$75k</x:v>
      </x:c>
      <x:c r="P5665" t="str">
        <x:f>IF(E5665="","Unknown",IF(E5665&lt;10,"&lt;10",IF(E5665&lt;20,"10-&lt;20",IF(E5665&lt;25,"20-&lt;25",IF(E5665&lt;35,"25-&lt;35","35+")))))</x:f>
        <x:v>10-&lt;20</x:v>
      </x:c>
    </x:row>
    <x:row r="5666">
      <x:c r="A5666" t="str">
        <x:v>SYN0005665</x:v>
      </x:c>
      <x:c r="B5666" s="12" t="n">
        <x:v>42325</x:v>
      </x:c>
      <x:c r="C5666" s="18" t="n">
        <x:v>16094</x:v>
      </x:c>
      <x:c r="D5666" s="18" t="n">
        <x:v>26029</x:v>
      </x:c>
      <x:c r="E5666" s="18" t="n">
        <x:v>22.9</x:v>
      </x:c>
      <x:c r="F5666" s="18" t="n">
        <x:v>11.22</x:v>
      </x:c>
      <x:c r="G5666" t="n">
        <x:v>36</x:v>
      </x:c>
      <x:c r="H5666" t="str">
        <x:v>B</x:v>
      </x:c>
      <x:c r="I5666" t="str">
        <x:v>4-6 years</x:v>
      </x:c>
      <x:c r="J5666" t="str">
        <x:v>MORTGAGE</x:v>
      </x:c>
      <x:c r="K5666" t="str">
        <x:v>debt_consolidation</x:v>
      </x:c>
      <x:c r="L5666" t="n">
        <x:v>0</x:v>
      </x:c>
      <x:c r="M5666" t="n">
        <x:v>0</x:v>
      </x:c>
      <x:c r="N5666" t="str">
        <x:v>Fully Paid</x:v>
      </x:c>
      <x:c r="O5666" t="str">
        <x:f>IF(D5666="","Unknown",IF(D5666&lt;25000,"&lt;$25k",IF(D5666&lt;50000,"$25k-$50k",IF(D5666&lt;75000,"$50k-$75k",IF(D5666&lt;100000,"$75k-$100k","$100k+")))))</x:f>
        <x:v>$25k-$50k</x:v>
      </x:c>
      <x:c r="P5666" t="str">
        <x:f>IF(E5666="","Unknown",IF(E5666&lt;10,"&lt;10",IF(E5666&lt;20,"10-&lt;20",IF(E5666&lt;25,"20-&lt;25",IF(E5666&lt;35,"25-&lt;35","35+")))))</x:f>
        <x:v>20-&lt;25</x:v>
      </x:c>
    </x:row>
    <x:row r="5667">
      <x:c r="A5667" t="str">
        <x:v>SYN0005666</x:v>
      </x:c>
      <x:c r="B5667" s="12" t="n">
        <x:v>42955</x:v>
      </x:c>
      <x:c r="C5667" s="18" t="n">
        <x:v>20493</x:v>
      </x:c>
      <x:c r="D5667" s="18" t="n">
        <x:v>199230</x:v>
      </x:c>
      <x:c r="E5667" s="18" t="n">
        <x:v>40.28</x:v>
      </x:c>
      <x:c r="F5667" s="18" t="n">
        <x:v>11.13</x:v>
      </x:c>
      <x:c r="G5667" t="n">
        <x:v>36</x:v>
      </x:c>
      <x:c r="H5667" t="str">
        <x:v>D</x:v>
      </x:c>
      <x:c r="I5667" t="str">
        <x:v>4-6 years</x:v>
      </x:c>
      <x:c r="J5667" t="str">
        <x:v>MORTGAGE</x:v>
      </x:c>
      <x:c r="K5667" t="str">
        <x:v>debt_consolidation</x:v>
      </x:c>
      <x:c r="L5667" t="n">
        <x:v>0</x:v>
      </x:c>
      <x:c r="M5667" t="n">
        <x:v>0</x:v>
      </x:c>
      <x:c r="N5667" t="str">
        <x:v>Fully Paid</x:v>
      </x:c>
      <x:c r="O5667" t="str">
        <x:f>IF(D5667="","Unknown",IF(D5667&lt;25000,"&lt;$25k",IF(D5667&lt;50000,"$25k-$50k",IF(D5667&lt;75000,"$50k-$75k",IF(D5667&lt;100000,"$75k-$100k","$100k+")))))</x:f>
        <x:v>$100k+</x:v>
      </x:c>
      <x:c r="P5667" t="str">
        <x:f>IF(E5667="","Unknown",IF(E5667&lt;10,"&lt;10",IF(E5667&lt;20,"10-&lt;20",IF(E5667&lt;25,"20-&lt;25",IF(E5667&lt;35,"25-&lt;35","35+")))))</x:f>
        <x:v>35+</x:v>
      </x:c>
    </x:row>
    <x:row r="5668">
      <x:c r="A5668" t="str">
        <x:v>SYN0005667</x:v>
      </x:c>
      <x:c r="B5668" s="12" t="n">
        <x:v>43225</x:v>
      </x:c>
      <x:c r="C5668" s="18" t="n">
        <x:v>22953</x:v>
      </x:c>
      <x:c r="D5668" s="18" t="n">
        <x:v>206136</x:v>
      </x:c>
      <x:c r="E5668" s="18" t="n">
        <x:v>25.35</x:v>
      </x:c>
      <x:c r="F5668" s="18" t="n">
        <x:v>6.57</x:v>
      </x:c>
      <x:c r="G5668" t="n">
        <x:v>36</x:v>
      </x:c>
      <x:c r="H5668" t="str">
        <x:v>B</x:v>
      </x:c>
      <x:c r="I5668" t="str">
        <x:v>&lt;1 year</x:v>
      </x:c>
      <x:c r="J5668" t="str">
        <x:v>RENT</x:v>
      </x:c>
      <x:c r="K5668" t="str">
        <x:v>other</x:v>
      </x:c>
      <x:c r="L5668" t="n">
        <x:v>0</x:v>
      </x:c>
      <x:c r="M5668" t="n">
        <x:v>0</x:v>
      </x:c>
      <x:c r="N5668" t="str">
        <x:v>Fully Paid</x:v>
      </x:c>
      <x:c r="O5668" t="str">
        <x:f>IF(D5668="","Unknown",IF(D5668&lt;25000,"&lt;$25k",IF(D5668&lt;50000,"$25k-$50k",IF(D5668&lt;75000,"$50k-$75k",IF(D5668&lt;100000,"$75k-$100k","$100k+")))))</x:f>
        <x:v>$100k+</x:v>
      </x:c>
      <x:c r="P5668" t="str">
        <x:f>IF(E5668="","Unknown",IF(E5668&lt;10,"&lt;10",IF(E5668&lt;20,"10-&lt;20",IF(E5668&lt;25,"20-&lt;25",IF(E5668&lt;35,"25-&lt;35","35+")))))</x:f>
        <x:v>25-&lt;35</x:v>
      </x:c>
    </x:row>
    <x:row r="5669">
      <x:c r="A5669" t="str">
        <x:v>SYN0005668</x:v>
      </x:c>
      <x:c r="B5669" s="12" t="n">
        <x:v>43315</x:v>
      </x:c>
      <x:c r="C5669" s="18" t="n">
        <x:v>10794</x:v>
      </x:c>
      <x:c r="D5669" s="18" t="n">
        <x:v>35046</x:v>
      </x:c>
      <x:c r="E5669" s="18" t="n">
        <x:v>16.88</x:v>
      </x:c>
      <x:c r="F5669" s="18" t="n">
        <x:v>10.61</x:v>
      </x:c>
      <x:c r="G5669" t="n">
        <x:v>60</x:v>
      </x:c>
      <x:c r="H5669" t="str">
        <x:v>C</x:v>
      </x:c>
      <x:c r="I5669" t="str">
        <x:v>10+ years</x:v>
      </x:c>
      <x:c r="J5669" t="str">
        <x:v>MORTGAGE</x:v>
      </x:c>
      <x:c r="K5669" t="str">
        <x:v>other</x:v>
      </x:c>
      <x:c r="L5669" t="n">
        <x:v>0</x:v>
      </x:c>
      <x:c r="M5669" t="n">
        <x:v>0</x:v>
      </x:c>
      <x:c r="N5669" t="str">
        <x:v>Fully Paid</x:v>
      </x:c>
      <x:c r="O5669" t="str">
        <x:f>IF(D5669="","Unknown",IF(D5669&lt;25000,"&lt;$25k",IF(D5669&lt;50000,"$25k-$50k",IF(D5669&lt;75000,"$50k-$75k",IF(D5669&lt;100000,"$75k-$100k","$100k+")))))</x:f>
        <x:v>$25k-$50k</x:v>
      </x:c>
      <x:c r="P5669" t="str">
        <x:f>IF(E5669="","Unknown",IF(E5669&lt;10,"&lt;10",IF(E5669&lt;20,"10-&lt;20",IF(E5669&lt;25,"20-&lt;25",IF(E5669&lt;35,"25-&lt;35","35+")))))</x:f>
        <x:v>10-&lt;20</x:v>
      </x:c>
    </x:row>
    <x:row r="5670">
      <x:c r="A5670" t="str">
        <x:v>SYN0005669</x:v>
      </x:c>
      <x:c r="B5670" s="12" t="n">
        <x:v>42205</x:v>
      </x:c>
      <x:c r="C5670" s="18" t="n">
        <x:v>17626</x:v>
      </x:c>
      <x:c r="D5670" s="18" t="n">
        <x:v>12000</x:v>
      </x:c>
      <x:c r="E5670" s="18" t="n">
        <x:v>24.71</x:v>
      </x:c>
      <x:c r="F5670" s="18" t="n">
        <x:v>18.13</x:v>
      </x:c>
      <x:c r="G5670" t="n">
        <x:v>36</x:v>
      </x:c>
      <x:c r="H5670" t="str">
        <x:v>E</x:v>
      </x:c>
      <x:c r="I5670" t="str">
        <x:v>7-9 years</x:v>
      </x:c>
      <x:c r="J5670" t="str">
        <x:v>OWN</x:v>
      </x:c>
      <x:c r="K5670" t="str">
        <x:v>debt_consolidation</x:v>
      </x:c>
      <x:c r="L5670" t="n">
        <x:v>0</x:v>
      </x:c>
      <x:c r="M5670" t="n">
        <x:v>0</x:v>
      </x:c>
      <x:c r="N5670" t="str">
        <x:v>Fully Paid</x:v>
      </x:c>
      <x:c r="O5670" t="str">
        <x:f>IF(D5670="","Unknown",IF(D5670&lt;25000,"&lt;$25k",IF(D5670&lt;50000,"$25k-$50k",IF(D5670&lt;75000,"$50k-$75k",IF(D5670&lt;100000,"$75k-$100k","$100k+")))))</x:f>
        <x:v>&lt;$25k</x:v>
      </x:c>
      <x:c r="P5670" t="str">
        <x:f>IF(E5670="","Unknown",IF(E5670&lt;10,"&lt;10",IF(E5670&lt;20,"10-&lt;20",IF(E5670&lt;25,"20-&lt;25",IF(E5670&lt;35,"25-&lt;35","35+")))))</x:f>
        <x:v>20-&lt;25</x:v>
      </x:c>
    </x:row>
    <x:row r="5671">
      <x:c r="A5671" t="str">
        <x:v>SYN0005670</x:v>
      </x:c>
      <x:c r="B5671" s="12" t="n">
        <x:v>42415</x:v>
      </x:c>
      <x:c r="C5671" s="18" t="n">
        <x:v>17696</x:v>
      </x:c>
      <x:c r="D5671" s="18" t="n">
        <x:v>14385</x:v>
      </x:c>
      <x:c r="E5671" s="18" t="n">
        <x:v>17.9</x:v>
      </x:c>
      <x:c r="F5671" s="18" t="n">
        <x:v>11.23</x:v>
      </x:c>
      <x:c r="G5671" t="n">
        <x:v>36</x:v>
      </x:c>
      <x:c r="H5671" t="str">
        <x:v>C</x:v>
      </x:c>
      <x:c r="I5671" t="str">
        <x:v>4-6 years</x:v>
      </x:c>
      <x:c r="J5671" t="str">
        <x:v>MORTGAGE</x:v>
      </x:c>
      <x:c r="K5671" t="str">
        <x:v>medical</x:v>
      </x:c>
      <x:c r="L5671" t="n">
        <x:v>1</x:v>
      </x:c>
      <x:c r="M5671" t="n">
        <x:v>0</x:v>
      </x:c>
      <x:c r="N5671" t="str">
        <x:v>Fully Paid</x:v>
      </x:c>
      <x:c r="O5671" t="str">
        <x:f>IF(D5671="","Unknown",IF(D5671&lt;25000,"&lt;$25k",IF(D5671&lt;50000,"$25k-$50k",IF(D5671&lt;75000,"$50k-$75k",IF(D5671&lt;100000,"$75k-$100k","$100k+")))))</x:f>
        <x:v>&lt;$25k</x:v>
      </x:c>
      <x:c r="P5671" t="str">
        <x:f>IF(E5671="","Unknown",IF(E5671&lt;10,"&lt;10",IF(E5671&lt;20,"10-&lt;20",IF(E5671&lt;25,"20-&lt;25",IF(E5671&lt;35,"25-&lt;35","35+")))))</x:f>
        <x:v>10-&lt;20</x:v>
      </x:c>
    </x:row>
    <x:row r="5672">
      <x:c r="A5672" t="str">
        <x:v>SYN0005671</x:v>
      </x:c>
      <x:c r="B5672" s="12" t="n">
        <x:v>43045</x:v>
      </x:c>
      <x:c r="C5672" s="18" t="n">
        <x:v>7910</x:v>
      </x:c>
      <x:c r="D5672" s="18" t="n">
        <x:v>81106</x:v>
      </x:c>
      <x:c r="E5672" s="18" t="n">
        <x:v>28.18</x:v>
      </x:c>
      <x:c r="F5672" s="18" t="n">
        <x:v>10.06</x:v>
      </x:c>
      <x:c r="G5672" t="n">
        <x:v>36</x:v>
      </x:c>
      <x:c r="H5672" t="str">
        <x:v>A</x:v>
      </x:c>
      <x:c r="I5672" t="str">
        <x:v>10+ years</x:v>
      </x:c>
      <x:c r="J5672" t="str">
        <x:v>MORTGAGE</x:v>
      </x:c>
      <x:c r="K5672" t="str">
        <x:v>credit_card</x:v>
      </x:c>
      <x:c r="L5672" t="n">
        <x:v>0</x:v>
      </x:c>
      <x:c r="M5672" t="n">
        <x:v>0</x:v>
      </x:c>
      <x:c r="N5672" t="str">
        <x:v>Fully Paid</x:v>
      </x:c>
      <x:c r="O5672" t="str">
        <x:f>IF(D5672="","Unknown",IF(D5672&lt;25000,"&lt;$25k",IF(D5672&lt;50000,"$25k-$50k",IF(D5672&lt;75000,"$50k-$75k",IF(D5672&lt;100000,"$75k-$100k","$100k+")))))</x:f>
        <x:v>$75k-$100k</x:v>
      </x:c>
      <x:c r="P5672" t="str">
        <x:f>IF(E5672="","Unknown",IF(E5672&lt;10,"&lt;10",IF(E5672&lt;20,"10-&lt;20",IF(E5672&lt;25,"20-&lt;25",IF(E5672&lt;35,"25-&lt;35","35+")))))</x:f>
        <x:v>25-&lt;35</x:v>
      </x:c>
    </x:row>
    <x:row r="5673">
      <x:c r="A5673" t="str">
        <x:v>SYN0005672</x:v>
      </x:c>
      <x:c r="B5673" s="12" t="n">
        <x:v>41365</x:v>
      </x:c>
      <x:c r="C5673" s="18" t="n">
        <x:v>16711</x:v>
      </x:c>
      <x:c r="D5673" s="18" t="n">
        <x:v>74532</x:v>
      </x:c>
      <x:c r="E5673" s="18" t="n">
        <x:v>15.35</x:v>
      </x:c>
      <x:c r="F5673" s="18" t="n">
        <x:v>8.79</x:v>
      </x:c>
      <x:c r="G5673" t="n">
        <x:v>60</x:v>
      </x:c>
      <x:c r="H5673" t="str">
        <x:v>B</x:v>
      </x:c>
      <x:c r="I5673" t="str">
        <x:v>1-3 years</x:v>
      </x:c>
      <x:c r="J5673" t="str">
        <x:v>MORTGAGE</x:v>
      </x:c>
      <x:c r="K5673" t="str">
        <x:v>credit_card</x:v>
      </x:c>
      <x:c r="L5673" t="n">
        <x:v>0</x:v>
      </x:c>
      <x:c r="M5673" t="n">
        <x:v>0</x:v>
      </x:c>
      <x:c r="N5673" t="str">
        <x:v>Fully Paid</x:v>
      </x:c>
      <x:c r="O5673" t="str">
        <x:f>IF(D5673="","Unknown",IF(D5673&lt;25000,"&lt;$25k",IF(D5673&lt;50000,"$25k-$50k",IF(D5673&lt;75000,"$50k-$75k",IF(D5673&lt;100000,"$75k-$100k","$100k+")))))</x:f>
        <x:v>$50k-$75k</x:v>
      </x:c>
      <x:c r="P5673" t="str">
        <x:f>IF(E5673="","Unknown",IF(E5673&lt;10,"&lt;10",IF(E5673&lt;20,"10-&lt;20",IF(E5673&lt;25,"20-&lt;25",IF(E5673&lt;35,"25-&lt;35","35+")))))</x:f>
        <x:v>10-&lt;20</x:v>
      </x:c>
    </x:row>
    <x:row r="5674">
      <x:c r="A5674" t="str">
        <x:v>SYN0005673</x:v>
      </x:c>
      <x:c r="B5674" s="12" t="n">
        <x:v>43345</x:v>
      </x:c>
      <x:c r="C5674" s="18" t="n">
        <x:v>9217</x:v>
      </x:c>
      <x:c r="D5674" s="18" t="n">
        <x:v>59763</x:v>
      </x:c>
      <x:c r="E5674" s="18" t="n">
        <x:v>30.03</x:v>
      </x:c>
      <x:c r="F5674" s="18" t="n">
        <x:v>17.44</x:v>
      </x:c>
      <x:c r="G5674" t="n">
        <x:v>60</x:v>
      </x:c>
      <x:c r="H5674" t="str">
        <x:v>D</x:v>
      </x:c>
      <x:c r="I5674" t="str">
        <x:v>7-9 years</x:v>
      </x:c>
      <x:c r="J5674" t="str">
        <x:v>MORTGAGE</x:v>
      </x:c>
      <x:c r="K5674" t="str">
        <x:v>home_improvement</x:v>
      </x:c>
      <x:c r="L5674" t="n">
        <x:v>1</x:v>
      </x:c>
      <x:c r="M5674" t="n">
        <x:v>0</x:v>
      </x:c>
      <x:c r="N5674" t="str">
        <x:v>Fully Paid</x:v>
      </x:c>
      <x:c r="O5674" t="str">
        <x:f>IF(D5674="","Unknown",IF(D5674&lt;25000,"&lt;$25k",IF(D5674&lt;50000,"$25k-$50k",IF(D5674&lt;75000,"$50k-$75k",IF(D5674&lt;100000,"$75k-$100k","$100k+")))))</x:f>
        <x:v>$50k-$75k</x:v>
      </x:c>
      <x:c r="P5674" t="str">
        <x:f>IF(E5674="","Unknown",IF(E5674&lt;10,"&lt;10",IF(E5674&lt;20,"10-&lt;20",IF(E5674&lt;25,"20-&lt;25",IF(E5674&lt;35,"25-&lt;35","35+")))))</x:f>
        <x:v>25-&lt;35</x:v>
      </x:c>
    </x:row>
    <x:row r="5675">
      <x:c r="A5675" t="str">
        <x:v>SYN0005674</x:v>
      </x:c>
      <x:c r="B5675" s="12" t="n">
        <x:v>42145</x:v>
      </x:c>
      <x:c r="C5675" s="18" t="n">
        <x:v>9262</x:v>
      </x:c>
      <x:c r="D5675" s="18" t="n">
        <x:v>52113</x:v>
      </x:c>
      <x:c r="E5675" s="18" t="n">
        <x:v>24.54</x:v>
      </x:c>
      <x:c r="F5675" s="18" t="n">
        <x:v>17.22</x:v>
      </x:c>
      <x:c r="G5675" t="n">
        <x:v>36</x:v>
      </x:c>
      <x:c r="H5675" t="str">
        <x:v>D</x:v>
      </x:c>
      <x:c r="I5675" t="str">
        <x:v>1-3 years</x:v>
      </x:c>
      <x:c r="J5675" t="str">
        <x:v>RENT</x:v>
      </x:c>
      <x:c r="K5675" t="str">
        <x:v>home_improvement</x:v>
      </x:c>
      <x:c r="L5675" t="n">
        <x:v>1</x:v>
      </x:c>
      <x:c r="M5675" t="n">
        <x:v>0</x:v>
      </x:c>
      <x:c r="N5675" t="str">
        <x:v>Fully Paid</x:v>
      </x:c>
      <x:c r="O5675" t="str">
        <x:f>IF(D5675="","Unknown",IF(D5675&lt;25000,"&lt;$25k",IF(D5675&lt;50000,"$25k-$50k",IF(D5675&lt;75000,"$50k-$75k",IF(D5675&lt;100000,"$75k-$100k","$100k+")))))</x:f>
        <x:v>$50k-$75k</x:v>
      </x:c>
      <x:c r="P5675" t="str">
        <x:f>IF(E5675="","Unknown",IF(E5675&lt;10,"&lt;10",IF(E5675&lt;20,"10-&lt;20",IF(E5675&lt;25,"20-&lt;25",IF(E5675&lt;35,"25-&lt;35","35+")))))</x:f>
        <x:v>20-&lt;25</x:v>
      </x:c>
    </x:row>
    <x:row r="5676">
      <x:c r="A5676" t="str">
        <x:v>SYN0005675</x:v>
      </x:c>
      <x:c r="B5676" s="12" t="n">
        <x:v>41305</x:v>
      </x:c>
      <x:c r="C5676" s="18" t="n">
        <x:v>8528</x:v>
      </x:c>
      <x:c r="D5676" s="18" t="n">
        <x:v>35641</x:v>
      </x:c>
      <x:c r="E5676" s="18" t="n">
        <x:v>30.92</x:v>
      </x:c>
      <x:c r="F5676" s="18" t="n">
        <x:v>22.24</x:v>
      </x:c>
      <x:c r="G5676" t="n">
        <x:v>60</x:v>
      </x:c>
      <x:c r="H5676" t="str">
        <x:v>F</x:v>
      </x:c>
      <x:c r="I5676" t="str">
        <x:v>&lt;1 year</x:v>
      </x:c>
      <x:c r="J5676" t="str">
        <x:v>MORTGAGE</x:v>
      </x:c>
      <x:c r="K5676" t="str">
        <x:v>debt_consolidation</x:v>
      </x:c>
      <x:c r="L5676" t="n">
        <x:v>1</x:v>
      </x:c>
      <x:c r="M5676" t="n">
        <x:v>0</x:v>
      </x:c>
      <x:c r="N5676" t="str">
        <x:v>Fully Paid</x:v>
      </x:c>
      <x:c r="O5676" t="str">
        <x:f>IF(D5676="","Unknown",IF(D5676&lt;25000,"&lt;$25k",IF(D5676&lt;50000,"$25k-$50k",IF(D5676&lt;75000,"$50k-$75k",IF(D5676&lt;100000,"$75k-$100k","$100k+")))))</x:f>
        <x:v>$25k-$50k</x:v>
      </x:c>
      <x:c r="P5676" t="str">
        <x:f>IF(E5676="","Unknown",IF(E5676&lt;10,"&lt;10",IF(E5676&lt;20,"10-&lt;20",IF(E5676&lt;25,"20-&lt;25",IF(E5676&lt;35,"25-&lt;35","35+")))))</x:f>
        <x:v>25-&lt;35</x:v>
      </x:c>
    </x:row>
    <x:row r="5677">
      <x:c r="A5677" t="str">
        <x:v>SYN0005676</x:v>
      </x:c>
      <x:c r="B5677" s="12" t="n">
        <x:v>42895</x:v>
      </x:c>
      <x:c r="C5677" s="18" t="n">
        <x:v>37959</x:v>
      </x:c>
      <x:c r="D5677" s="18" t="n">
        <x:v>20527</x:v>
      </x:c>
      <x:c r="E5677" s="18" t="n">
        <x:v>32.81</x:v>
      </x:c>
      <x:c r="F5677" s="18" t="n">
        <x:v>9.29</x:v>
      </x:c>
      <x:c r="G5677" t="n">
        <x:v>36</x:v>
      </x:c>
      <x:c r="H5677" t="str">
        <x:v>C</x:v>
      </x:c>
      <x:c r="I5677" t="str">
        <x:v>4-6 years</x:v>
      </x:c>
      <x:c r="J5677" t="str">
        <x:v>OTHER</x:v>
      </x:c>
      <x:c r="K5677" t="str">
        <x:v>debt_consolidation</x:v>
      </x:c>
      <x:c r="L5677" t="n">
        <x:v>0</x:v>
      </x:c>
      <x:c r="M5677" t="n">
        <x:v>0</x:v>
      </x:c>
      <x:c r="N5677" t="str">
        <x:v>Fully Paid</x:v>
      </x:c>
      <x:c r="O5677" t="str">
        <x:f>IF(D5677="","Unknown",IF(D5677&lt;25000,"&lt;$25k",IF(D5677&lt;50000,"$25k-$50k",IF(D5677&lt;75000,"$50k-$75k",IF(D5677&lt;100000,"$75k-$100k","$100k+")))))</x:f>
        <x:v>&lt;$25k</x:v>
      </x:c>
      <x:c r="P5677" t="str">
        <x:f>IF(E5677="","Unknown",IF(E5677&lt;10,"&lt;10",IF(E5677&lt;20,"10-&lt;20",IF(E5677&lt;25,"20-&lt;25",IF(E5677&lt;35,"25-&lt;35","35+")))))</x:f>
        <x:v>25-&lt;35</x:v>
      </x:c>
    </x:row>
    <x:row r="5678">
      <x:c r="A5678" t="str">
        <x:v>SYN0005677</x:v>
      </x:c>
      <x:c r="B5678" s="12" t="n">
        <x:v>41965</x:v>
      </x:c>
      <x:c r="C5678" s="18" t="n">
        <x:v>8851</x:v>
      </x:c>
      <x:c r="D5678" s="18" t="n">
        <x:v>71266</x:v>
      </x:c>
      <x:c r="E5678" s="18" t="n">
        <x:v>23.17</x:v>
      </x:c>
      <x:c r="F5678" s="18" t="n">
        <x:v>9.29</x:v>
      </x:c>
      <x:c r="G5678" t="n">
        <x:v>36</x:v>
      </x:c>
      <x:c r="H5678" t="str">
        <x:v>B</x:v>
      </x:c>
      <x:c r="I5678" t="str">
        <x:v>4-6 years</x:v>
      </x:c>
      <x:c r="J5678" t="str">
        <x:v>MORTGAGE</x:v>
      </x:c>
      <x:c r="K5678" t="str">
        <x:v>debt_consolidation</x:v>
      </x:c>
      <x:c r="L5678" t="n">
        <x:v>0</x:v>
      </x:c>
      <x:c r="M5678" t="n">
        <x:v>0</x:v>
      </x:c>
      <x:c r="N5678" t="str">
        <x:v>Fully Paid</x:v>
      </x:c>
      <x:c r="O5678" t="str">
        <x:f>IF(D5678="","Unknown",IF(D5678&lt;25000,"&lt;$25k",IF(D5678&lt;50000,"$25k-$50k",IF(D5678&lt;75000,"$50k-$75k",IF(D5678&lt;100000,"$75k-$100k","$100k+")))))</x:f>
        <x:v>$50k-$75k</x:v>
      </x:c>
      <x:c r="P5678" t="str">
        <x:f>IF(E5678="","Unknown",IF(E5678&lt;10,"&lt;10",IF(E5678&lt;20,"10-&lt;20",IF(E5678&lt;25,"20-&lt;25",IF(E5678&lt;35,"25-&lt;35","35+")))))</x:f>
        <x:v>20-&lt;25</x:v>
      </x:c>
    </x:row>
    <x:row r="5679">
      <x:c r="A5679" t="str">
        <x:v>SYN0005678</x:v>
      </x:c>
      <x:c r="B5679" s="12" t="n">
        <x:v>41485</x:v>
      </x:c>
      <x:c r="C5679" s="18" t="n">
        <x:v>17380</x:v>
      </x:c>
      <x:c r="D5679" s="18" t="n">
        <x:v>29185</x:v>
      </x:c>
      <x:c r="E5679" s="18" t="n">
        <x:v>19.96</x:v>
      </x:c>
      <x:c r="F5679" s="18" t="n">
        <x:v>8.02</x:v>
      </x:c>
      <x:c r="G5679" t="n">
        <x:v>36</x:v>
      </x:c>
      <x:c r="H5679" t="str">
        <x:v>B</x:v>
      </x:c>
      <x:c r="I5679" t="str">
        <x:v>4-6 years</x:v>
      </x:c>
      <x:c r="J5679" t="str">
        <x:v>MORTGAGE</x:v>
      </x:c>
      <x:c r="K5679" t="str">
        <x:v>debt_consolidation</x:v>
      </x:c>
      <x:c r="L5679" t="n">
        <x:v>0</x:v>
      </x:c>
      <x:c r="M5679" t="n">
        <x:v>0</x:v>
      </x:c>
      <x:c r="N5679" t="str">
        <x:v>Fully Paid</x:v>
      </x:c>
      <x:c r="O5679" t="str">
        <x:f>IF(D5679="","Unknown",IF(D5679&lt;25000,"&lt;$25k",IF(D5679&lt;50000,"$25k-$50k",IF(D5679&lt;75000,"$50k-$75k",IF(D5679&lt;100000,"$75k-$100k","$100k+")))))</x:f>
        <x:v>$25k-$50k</x:v>
      </x:c>
      <x:c r="P5679" t="str">
        <x:f>IF(E5679="","Unknown",IF(E5679&lt;10,"&lt;10",IF(E5679&lt;20,"10-&lt;20",IF(E5679&lt;25,"20-&lt;25",IF(E5679&lt;35,"25-&lt;35","35+")))))</x:f>
        <x:v>10-&lt;20</x:v>
      </x:c>
    </x:row>
    <x:row r="5680">
      <x:c r="A5680" t="str">
        <x:v>SYN0005679</x:v>
      </x:c>
      <x:c r="B5680" s="12" t="n">
        <x:v>42985</x:v>
      </x:c>
      <x:c r="C5680" s="18" t="n">
        <x:v>14163</x:v>
      </x:c>
      <x:c r="D5680" s="18" t="n">
        <x:v>98325</x:v>
      </x:c>
      <x:c r="E5680" s="18" t="n">
        <x:v>20.51</x:v>
      </x:c>
      <x:c r="F5680" s="18" t="n">
        <x:v>6.56</x:v>
      </x:c>
      <x:c r="G5680" t="n">
        <x:v>60</x:v>
      </x:c>
      <x:c r="H5680" t="str">
        <x:v>A</x:v>
      </x:c>
      <x:c r="I5680" t="str">
        <x:v>1-3 years</x:v>
      </x:c>
      <x:c r="J5680" t="str">
        <x:v>MORTGAGE</x:v>
      </x:c>
      <x:c r="K5680" t="str">
        <x:v>home_improvement</x:v>
      </x:c>
      <x:c r="L5680" t="n">
        <x:v>0</x:v>
      </x:c>
      <x:c r="M5680" t="n">
        <x:v>0</x:v>
      </x:c>
      <x:c r="N5680" t="str">
        <x:v>Fully Paid</x:v>
      </x:c>
      <x:c r="O5680" t="str">
        <x:f>IF(D5680="","Unknown",IF(D5680&lt;25000,"&lt;$25k",IF(D5680&lt;50000,"$25k-$50k",IF(D5680&lt;75000,"$50k-$75k",IF(D5680&lt;100000,"$75k-$100k","$100k+")))))</x:f>
        <x:v>$75k-$100k</x:v>
      </x:c>
      <x:c r="P5680" t="str">
        <x:f>IF(E5680="","Unknown",IF(E5680&lt;10,"&lt;10",IF(E5680&lt;20,"10-&lt;20",IF(E5680&lt;25,"20-&lt;25",IF(E5680&lt;35,"25-&lt;35","35+")))))</x:f>
        <x:v>20-&lt;25</x:v>
      </x:c>
    </x:row>
    <x:row r="5681">
      <x:c r="A5681" t="str">
        <x:v>SYN0005680</x:v>
      </x:c>
      <x:c r="B5681" s="12" t="n">
        <x:v>42835</x:v>
      </x:c>
      <x:c r="C5681" s="18" t="n">
        <x:v>25318</x:v>
      </x:c>
      <x:c r="D5681" s="18" t="n">
        <x:v>36405</x:v>
      </x:c>
      <x:c r="E5681" s="18" t="n">
        <x:v>21.51</x:v>
      </x:c>
      <x:c r="F5681" s="18" t="n">
        <x:v>7.92</x:v>
      </x:c>
      <x:c r="G5681" t="n">
        <x:v>36</x:v>
      </x:c>
      <x:c r="H5681" t="str">
        <x:v>B</x:v>
      </x:c>
      <x:c r="I5681" t="str">
        <x:v>1-3 years</x:v>
      </x:c>
      <x:c r="J5681" t="str">
        <x:v>OTHER</x:v>
      </x:c>
      <x:c r="K5681" t="str">
        <x:v>major_purchase</x:v>
      </x:c>
      <x:c r="L5681" t="n">
        <x:v>0</x:v>
      </x:c>
      <x:c r="M5681" t="n">
        <x:v>0</x:v>
      </x:c>
      <x:c r="N5681" t="str">
        <x:v>Fully Paid</x:v>
      </x:c>
      <x:c r="O5681" t="str">
        <x:f>IF(D5681="","Unknown",IF(D5681&lt;25000,"&lt;$25k",IF(D5681&lt;50000,"$25k-$50k",IF(D5681&lt;75000,"$50k-$75k",IF(D5681&lt;100000,"$75k-$100k","$100k+")))))</x:f>
        <x:v>$25k-$50k</x:v>
      </x:c>
      <x:c r="P5681" t="str">
        <x:f>IF(E5681="","Unknown",IF(E5681&lt;10,"&lt;10",IF(E5681&lt;20,"10-&lt;20",IF(E5681&lt;25,"20-&lt;25",IF(E5681&lt;35,"25-&lt;35","35+")))))</x:f>
        <x:v>20-&lt;25</x:v>
      </x:c>
    </x:row>
    <x:row r="5682">
      <x:c r="A5682" t="str">
        <x:v>SYN0005681</x:v>
      </x:c>
      <x:c r="B5682" s="12" t="n">
        <x:v>42145</x:v>
      </x:c>
      <x:c r="C5682" s="18" t="n">
        <x:v>32005</x:v>
      </x:c>
      <x:c r="D5682" s="18" t="n">
        <x:v>49097</x:v>
      </x:c>
      <x:c r="E5682" s="18" t="n">
        <x:v>9.34</x:v>
      </x:c>
      <x:c r="F5682" s="18" t="n">
        <x:v>20.58</x:v>
      </x:c>
      <x:c r="G5682" t="n">
        <x:v>36</x:v>
      </x:c>
      <x:c r="H5682" t="str">
        <x:v>F</x:v>
      </x:c>
      <x:c r="I5682" t="str">
        <x:v>4-6 years</x:v>
      </x:c>
      <x:c r="J5682" t="str">
        <x:v>MORTGAGE</x:v>
      </x:c>
      <x:c r="K5682" t="str">
        <x:v>medical</x:v>
      </x:c>
      <x:c r="L5682" t="n">
        <x:v>1</x:v>
      </x:c>
      <x:c r="M5682" t="n">
        <x:v>0</x:v>
      </x:c>
      <x:c r="N5682" t="str">
        <x:v>Fully Paid</x:v>
      </x:c>
      <x:c r="O5682" t="str">
        <x:f>IF(D5682="","Unknown",IF(D5682&lt;25000,"&lt;$25k",IF(D5682&lt;50000,"$25k-$50k",IF(D5682&lt;75000,"$50k-$75k",IF(D5682&lt;100000,"$75k-$100k","$100k+")))))</x:f>
        <x:v>$25k-$50k</x:v>
      </x:c>
      <x:c r="P5682" t="str">
        <x:f>IF(E5682="","Unknown",IF(E5682&lt;10,"&lt;10",IF(E5682&lt;20,"10-&lt;20",IF(E5682&lt;25,"20-&lt;25",IF(E5682&lt;35,"25-&lt;35","35+")))))</x:f>
        <x:v>&lt;10</x:v>
      </x:c>
    </x:row>
    <x:row r="5683">
      <x:c r="A5683" t="str">
        <x:v>SYN0005682</x:v>
      </x:c>
      <x:c r="B5683" s="12" t="n">
        <x:v>42415</x:v>
      </x:c>
      <x:c r="C5683" s="18" t="n">
        <x:v>14668</x:v>
      </x:c>
      <x:c r="D5683" s="18" t="n">
        <x:v>53795</x:v>
      </x:c>
      <x:c r="E5683" s="18" t="n">
        <x:v>21.8</x:v>
      </x:c>
      <x:c r="F5683" s="18" t="n">
        <x:v>8.12</x:v>
      </x:c>
      <x:c r="G5683" t="n">
        <x:v>36</x:v>
      </x:c>
      <x:c r="H5683" t="str">
        <x:v>B</x:v>
      </x:c>
      <x:c r="I5683" t="str">
        <x:v>4-6 years</x:v>
      </x:c>
      <x:c r="J5683" t="str">
        <x:v>MORTGAGE</x:v>
      </x:c>
      <x:c r="K5683" t="str">
        <x:v>home_improvement</x:v>
      </x:c>
      <x:c r="L5683" t="n">
        <x:v>0</x:v>
      </x:c>
      <x:c r="M5683" t="n">
        <x:v>0</x:v>
      </x:c>
      <x:c r="N5683" t="str">
        <x:v>Fully Paid</x:v>
      </x:c>
      <x:c r="O5683" t="str">
        <x:f>IF(D5683="","Unknown",IF(D5683&lt;25000,"&lt;$25k",IF(D5683&lt;50000,"$25k-$50k",IF(D5683&lt;75000,"$50k-$75k",IF(D5683&lt;100000,"$75k-$100k","$100k+")))))</x:f>
        <x:v>$50k-$75k</x:v>
      </x:c>
      <x:c r="P5683" t="str">
        <x:f>IF(E5683="","Unknown",IF(E5683&lt;10,"&lt;10",IF(E5683&lt;20,"10-&lt;20",IF(E5683&lt;25,"20-&lt;25",IF(E5683&lt;35,"25-&lt;35","35+")))))</x:f>
        <x:v>20-&lt;25</x:v>
      </x:c>
    </x:row>
    <x:row r="5684">
      <x:c r="A5684" t="str">
        <x:v>SYN0005683</x:v>
      </x:c>
      <x:c r="B5684" s="12" t="n">
        <x:v>42085</x:v>
      </x:c>
      <x:c r="C5684" s="18" t="n">
        <x:v>16462</x:v>
      </x:c>
      <x:c r="D5684" s="18" t="n">
        <x:v>35246</x:v>
      </x:c>
      <x:c r="E5684" s="18" t="n">
        <x:v>14.83</x:v>
      </x:c>
      <x:c r="F5684" s="18" t="n">
        <x:v>17.6</x:v>
      </x:c>
      <x:c r="G5684" t="n">
        <x:v>60</x:v>
      </x:c>
      <x:c r="H5684" t="str">
        <x:v>E</x:v>
      </x:c>
      <x:c r="I5684" t="str">
        <x:v>7-9 years</x:v>
      </x:c>
      <x:c r="J5684" t="str">
        <x:v>MORTGAGE</x:v>
      </x:c>
      <x:c r="K5684" t="str">
        <x:v>debt_consolidation</x:v>
      </x:c>
      <x:c r="L5684" t="n">
        <x:v>1</x:v>
      </x:c>
      <x:c r="M5684" t="n">
        <x:v>1</x:v>
      </x:c>
      <x:c r="N5684" t="str">
        <x:v>Charged Off</x:v>
      </x:c>
      <x:c r="O5684" t="str">
        <x:f>IF(D5684="","Unknown",IF(D5684&lt;25000,"&lt;$25k",IF(D5684&lt;50000,"$25k-$50k",IF(D5684&lt;75000,"$50k-$75k",IF(D5684&lt;100000,"$75k-$100k","$100k+")))))</x:f>
        <x:v>$25k-$50k</x:v>
      </x:c>
      <x:c r="P5684" t="str">
        <x:f>IF(E5684="","Unknown",IF(E5684&lt;10,"&lt;10",IF(E5684&lt;20,"10-&lt;20",IF(E5684&lt;25,"20-&lt;25",IF(E5684&lt;35,"25-&lt;35","35+")))))</x:f>
        <x:v>10-&lt;20</x:v>
      </x:c>
    </x:row>
    <x:row r="5685">
      <x:c r="A5685" t="str">
        <x:v>SYN0005684</x:v>
      </x:c>
      <x:c r="B5685" s="12" t="n">
        <x:v>42625</x:v>
      </x:c>
      <x:c r="C5685" s="18" t="n">
        <x:v>24813</x:v>
      </x:c>
      <x:c r="D5685" s="18" t="n">
        <x:v>32697</x:v>
      </x:c>
      <x:c r="E5685" s="18" t="n">
        <x:v>20.02</x:v>
      </x:c>
      <x:c r="F5685" s="18" t="n">
        <x:v>9.85</x:v>
      </x:c>
      <x:c r="G5685" t="n">
        <x:v>60</x:v>
      </x:c>
      <x:c r="H5685" t="str">
        <x:v>B</x:v>
      </x:c>
      <x:c r="I5685" t="str">
        <x:v>&lt;1 year</x:v>
      </x:c>
      <x:c r="J5685" t="str">
        <x:v>RENT</x:v>
      </x:c>
      <x:c r="K5685" t="str">
        <x:v>home_improvement</x:v>
      </x:c>
      <x:c r="L5685" t="n">
        <x:v>0</x:v>
      </x:c>
      <x:c r="M5685" t="n">
        <x:v>0</x:v>
      </x:c>
      <x:c r="N5685" t="str">
        <x:v>Fully Paid</x:v>
      </x:c>
      <x:c r="O5685" t="str">
        <x:f>IF(D5685="","Unknown",IF(D5685&lt;25000,"&lt;$25k",IF(D5685&lt;50000,"$25k-$50k",IF(D5685&lt;75000,"$50k-$75k",IF(D5685&lt;100000,"$75k-$100k","$100k+")))))</x:f>
        <x:v>$25k-$50k</x:v>
      </x:c>
      <x:c r="P5685" t="str">
        <x:f>IF(E5685="","Unknown",IF(E5685&lt;10,"&lt;10",IF(E5685&lt;20,"10-&lt;20",IF(E5685&lt;25,"20-&lt;25",IF(E5685&lt;35,"25-&lt;35","35+")))))</x:f>
        <x:v>20-&lt;25</x:v>
      </x:c>
    </x:row>
    <x:row r="5686">
      <x:c r="A5686" t="str">
        <x:v>SYN0005685</x:v>
      </x:c>
      <x:c r="B5686" s="12" t="n">
        <x:v>42955</x:v>
      </x:c>
      <x:c r="C5686" s="18" t="n">
        <x:v>10875</x:v>
      </x:c>
      <x:c r="D5686" s="18" t="n">
        <x:v>24431</x:v>
      </x:c>
      <x:c r="E5686" s="18" t="n">
        <x:v>14.63</x:v>
      </x:c>
      <x:c r="F5686" s="18" t="n">
        <x:v>5.78</x:v>
      </x:c>
      <x:c r="G5686" t="n">
        <x:v>60</x:v>
      </x:c>
      <x:c r="H5686" t="str">
        <x:v>A</x:v>
      </x:c>
      <x:c r="I5686" t="str">
        <x:v>1-3 years</x:v>
      </x:c>
      <x:c r="J5686" t="str">
        <x:v>RENT</x:v>
      </x:c>
      <x:c r="K5686" t="str">
        <x:v>credit_card</x:v>
      </x:c>
      <x:c r="L5686" t="n">
        <x:v>0</x:v>
      </x:c>
      <x:c r="M5686" t="n">
        <x:v>0</x:v>
      </x:c>
      <x:c r="N5686" t="str">
        <x:v>Fully Paid</x:v>
      </x:c>
      <x:c r="O5686" t="str">
        <x:f>IF(D5686="","Unknown",IF(D5686&lt;25000,"&lt;$25k",IF(D5686&lt;50000,"$25k-$50k",IF(D5686&lt;75000,"$50k-$75k",IF(D5686&lt;100000,"$75k-$100k","$100k+")))))</x:f>
        <x:v>&lt;$25k</x:v>
      </x:c>
      <x:c r="P5686" t="str">
        <x:f>IF(E5686="","Unknown",IF(E5686&lt;10,"&lt;10",IF(E5686&lt;20,"10-&lt;20",IF(E5686&lt;25,"20-&lt;25",IF(E5686&lt;35,"25-&lt;35","35+")))))</x:f>
        <x:v>10-&lt;20</x:v>
      </x:c>
    </x:row>
    <x:row r="5687">
      <x:c r="A5687" t="str">
        <x:v>SYN0005686</x:v>
      </x:c>
      <x:c r="B5687" s="12" t="n">
        <x:v>42985</x:v>
      </x:c>
      <x:c r="C5687" s="18" t="n">
        <x:v>13241</x:v>
      </x:c>
      <x:c r="D5687" s="18" t="n">
        <x:v>51202</x:v>
      </x:c>
      <x:c r="E5687" s="18" t="n">
        <x:v>34.37</x:v>
      </x:c>
      <x:c r="F5687" s="18" t="n">
        <x:v>29.71</x:v>
      </x:c>
      <x:c r="G5687" t="n">
        <x:v>60</x:v>
      </x:c>
      <x:c r="H5687" t="str">
        <x:v>G</x:v>
      </x:c>
      <x:c r="I5687" t="str">
        <x:v>4-6 years</x:v>
      </x:c>
      <x:c r="J5687" t="str">
        <x:v>OWN</x:v>
      </x:c>
      <x:c r="K5687" t="str">
        <x:v>debt_consolidation</x:v>
      </x:c>
      <x:c r="L5687" t="n">
        <x:v>0</x:v>
      </x:c>
      <x:c r="M5687" t="n">
        <x:v>1</x:v>
      </x:c>
      <x:c r="N5687" t="str">
        <x:v>Charged Off</x:v>
      </x:c>
      <x:c r="O5687" t="str">
        <x:f>IF(D5687="","Unknown",IF(D5687&lt;25000,"&lt;$25k",IF(D5687&lt;50000,"$25k-$50k",IF(D5687&lt;75000,"$50k-$75k",IF(D5687&lt;100000,"$75k-$100k","$100k+")))))</x:f>
        <x:v>$50k-$75k</x:v>
      </x:c>
      <x:c r="P5687" t="str">
        <x:f>IF(E5687="","Unknown",IF(E5687&lt;10,"&lt;10",IF(E5687&lt;20,"10-&lt;20",IF(E5687&lt;25,"20-&lt;25",IF(E5687&lt;35,"25-&lt;35","35+")))))</x:f>
        <x:v>25-&lt;35</x:v>
      </x:c>
    </x:row>
    <x:row r="5688">
      <x:c r="A5688" t="str">
        <x:v>SYN0005687</x:v>
      </x:c>
      <x:c r="B5688" s="12" t="n">
        <x:v>42085</x:v>
      </x:c>
      <x:c r="C5688" s="18" t="n">
        <x:v>7654</x:v>
      </x:c>
      <x:c r="D5688" s="18" t="n">
        <x:v>88485</x:v>
      </x:c>
      <x:c r="E5688" s="18" t="n">
        <x:v>11.84</x:v>
      </x:c>
      <x:c r="F5688" s="18" t="n">
        <x:v>10.65</x:v>
      </x:c>
      <x:c r="G5688" t="n">
        <x:v>36</x:v>
      </x:c>
      <x:c r="H5688" t="str">
        <x:v>C</x:v>
      </x:c>
      <x:c r="I5688" t="str">
        <x:v>4-6 years</x:v>
      </x:c>
      <x:c r="J5688" t="str">
        <x:v>OWN</x:v>
      </x:c>
      <x:c r="K5688" t="str">
        <x:v>debt_consolidation</x:v>
      </x:c>
      <x:c r="L5688" t="n">
        <x:v>0</x:v>
      </x:c>
      <x:c r="M5688" t="n">
        <x:v>0</x:v>
      </x:c>
      <x:c r="N5688" t="str">
        <x:v>Fully Paid</x:v>
      </x:c>
      <x:c r="O5688" t="str">
        <x:f>IF(D5688="","Unknown",IF(D5688&lt;25000,"&lt;$25k",IF(D5688&lt;50000,"$25k-$50k",IF(D5688&lt;75000,"$50k-$75k",IF(D5688&lt;100000,"$75k-$100k","$100k+")))))</x:f>
        <x:v>$75k-$100k</x:v>
      </x:c>
      <x:c r="P5688" t="str">
        <x:f>IF(E5688="","Unknown",IF(E5688&lt;10,"&lt;10",IF(E5688&lt;20,"10-&lt;20",IF(E5688&lt;25,"20-&lt;25",IF(E5688&lt;35,"25-&lt;35","35+")))))</x:f>
        <x:v>10-&lt;20</x:v>
      </x:c>
    </x:row>
    <x:row r="5689">
      <x:c r="A5689" t="str">
        <x:v>SYN0005688</x:v>
      </x:c>
      <x:c r="B5689" s="12" t="n">
        <x:v>42985</x:v>
      </x:c>
      <x:c r="C5689" s="18" t="n">
        <x:v>28550</x:v>
      </x:c>
      <x:c r="D5689" s="18" t="n">
        <x:v>18927</x:v>
      </x:c>
      <x:c r="E5689" s="18" t="n">
        <x:v>27.33</x:v>
      </x:c>
      <x:c r="F5689" s="18" t="n">
        <x:v>13.98</x:v>
      </x:c>
      <x:c r="G5689" t="n">
        <x:v>36</x:v>
      </x:c>
      <x:c r="H5689" t="str">
        <x:v>D</x:v>
      </x:c>
      <x:c r="I5689" t="str">
        <x:v>4-6 years</x:v>
      </x:c>
      <x:c r="J5689" t="str">
        <x:v>RENT</x:v>
      </x:c>
      <x:c r="K5689" t="str">
        <x:v>medical</x:v>
      </x:c>
      <x:c r="L5689" t="n">
        <x:v>1</x:v>
      </x:c>
      <x:c r="M5689" t="n">
        <x:v>0</x:v>
      </x:c>
      <x:c r="N5689" t="str">
        <x:v>Fully Paid</x:v>
      </x:c>
      <x:c r="O5689" t="str">
        <x:f>IF(D5689="","Unknown",IF(D5689&lt;25000,"&lt;$25k",IF(D5689&lt;50000,"$25k-$50k",IF(D5689&lt;75000,"$50k-$75k",IF(D5689&lt;100000,"$75k-$100k","$100k+")))))</x:f>
        <x:v>&lt;$25k</x:v>
      </x:c>
      <x:c r="P5689" t="str">
        <x:f>IF(E5689="","Unknown",IF(E5689&lt;10,"&lt;10",IF(E5689&lt;20,"10-&lt;20",IF(E5689&lt;25,"20-&lt;25",IF(E5689&lt;35,"25-&lt;35","35+")))))</x:f>
        <x:v>25-&lt;35</x:v>
      </x:c>
    </x:row>
    <x:row r="5690">
      <x:c r="A5690" t="str">
        <x:v>SYN0005689</x:v>
      </x:c>
      <x:c r="B5690" s="12" t="n">
        <x:v>41695</x:v>
      </x:c>
      <x:c r="C5690" s="18" t="n">
        <x:v>16600</x:v>
      </x:c>
      <x:c r="D5690" s="18" t="n">
        <x:v>33468</x:v>
      </x:c>
      <x:c r="E5690" s="18" t="n">
        <x:v>20.16</x:v>
      </x:c>
      <x:c r="F5690" s="18" t="n">
        <x:v>7.37</x:v>
      </x:c>
      <x:c r="G5690" t="n">
        <x:v>36</x:v>
      </x:c>
      <x:c r="H5690" t="str">
        <x:v>B</x:v>
      </x:c>
      <x:c r="I5690" t="str">
        <x:v>7-9 years</x:v>
      </x:c>
      <x:c r="J5690" t="str">
        <x:v>MORTGAGE</x:v>
      </x:c>
      <x:c r="K5690" t="str">
        <x:v>debt_consolidation</x:v>
      </x:c>
      <x:c r="L5690" t="n">
        <x:v>0</x:v>
      </x:c>
      <x:c r="M5690" t="n">
        <x:v>0</x:v>
      </x:c>
      <x:c r="N5690" t="str">
        <x:v>Fully Paid</x:v>
      </x:c>
      <x:c r="O5690" t="str">
        <x:f>IF(D5690="","Unknown",IF(D5690&lt;25000,"&lt;$25k",IF(D5690&lt;50000,"$25k-$50k",IF(D5690&lt;75000,"$50k-$75k",IF(D5690&lt;100000,"$75k-$100k","$100k+")))))</x:f>
        <x:v>$25k-$50k</x:v>
      </x:c>
      <x:c r="P5690" t="str">
        <x:f>IF(E5690="","Unknown",IF(E5690&lt;10,"&lt;10",IF(E5690&lt;20,"10-&lt;20",IF(E5690&lt;25,"20-&lt;25",IF(E5690&lt;35,"25-&lt;35","35+")))))</x:f>
        <x:v>20-&lt;25</x:v>
      </x:c>
    </x:row>
    <x:row r="5691">
      <x:c r="A5691" t="str">
        <x:v>SYN0005690</x:v>
      </x:c>
      <x:c r="B5691" s="12" t="n">
        <x:v>42745</x:v>
      </x:c>
      <x:c r="C5691" s="18" t="n">
        <x:v>22221</x:v>
      </x:c>
      <x:c r="D5691" s="18" t="n">
        <x:v>32220</x:v>
      </x:c>
      <x:c r="E5691" s="18" t="n">
        <x:v>21.94</x:v>
      </x:c>
      <x:c r="F5691" s="18" t="n">
        <x:v>19.95</x:v>
      </x:c>
      <x:c r="G5691" t="n">
        <x:v>60</x:v>
      </x:c>
      <x:c r="H5691" t="str">
        <x:v>E</x:v>
      </x:c>
      <x:c r="I5691" t="str">
        <x:v>7-9 years</x:v>
      </x:c>
      <x:c r="J5691" t="str">
        <x:v>MORTGAGE</x:v>
      </x:c>
      <x:c r="K5691" t="str">
        <x:v>debt_consolidation</x:v>
      </x:c>
      <x:c r="L5691" t="n">
        <x:v>1</x:v>
      </x:c>
      <x:c r="M5691" t="n">
        <x:v>0</x:v>
      </x:c>
      <x:c r="N5691" t="str">
        <x:v>Fully Paid</x:v>
      </x:c>
      <x:c r="O5691" t="str">
        <x:f>IF(D5691="","Unknown",IF(D5691&lt;25000,"&lt;$25k",IF(D5691&lt;50000,"$25k-$50k",IF(D5691&lt;75000,"$50k-$75k",IF(D5691&lt;100000,"$75k-$100k","$100k+")))))</x:f>
        <x:v>$25k-$50k</x:v>
      </x:c>
      <x:c r="P5691" t="str">
        <x:f>IF(E5691="","Unknown",IF(E5691&lt;10,"&lt;10",IF(E5691&lt;20,"10-&lt;20",IF(E5691&lt;25,"20-&lt;25",IF(E5691&lt;35,"25-&lt;35","35+")))))</x:f>
        <x:v>20-&lt;25</x:v>
      </x:c>
    </x:row>
    <x:row r="5692">
      <x:c r="A5692" t="str">
        <x:v>SYN0005691</x:v>
      </x:c>
      <x:c r="B5692" s="12" t="n">
        <x:v>43045</x:v>
      </x:c>
      <x:c r="C5692" s="18" t="n">
        <x:v>5772</x:v>
      </x:c>
      <x:c r="D5692" s="18" t="n">
        <x:v>49660</x:v>
      </x:c>
      <x:c r="E5692" s="18" t="n">
        <x:v>13.16</x:v>
      </x:c>
      <x:c r="F5692" s="18" t="n">
        <x:v>11.54</x:v>
      </x:c>
      <x:c r="G5692" t="n">
        <x:v>60</x:v>
      </x:c>
      <x:c r="H5692" t="str">
        <x:v>D</x:v>
      </x:c>
      <x:c r="I5692" t="str">
        <x:v>4-6 years</x:v>
      </x:c>
      <x:c r="J5692" t="str">
        <x:v>OWN</x:v>
      </x:c>
      <x:c r="K5692" t="str">
        <x:v>debt_consolidation</x:v>
      </x:c>
      <x:c r="L5692" t="n">
        <x:v>0</x:v>
      </x:c>
      <x:c r="M5692" t="n">
        <x:v>0</x:v>
      </x:c>
      <x:c r="N5692" t="str">
        <x:v>Fully Paid</x:v>
      </x:c>
      <x:c r="O5692" t="str">
        <x:f>IF(D5692="","Unknown",IF(D5692&lt;25000,"&lt;$25k",IF(D5692&lt;50000,"$25k-$50k",IF(D5692&lt;75000,"$50k-$75k",IF(D5692&lt;100000,"$75k-$100k","$100k+")))))</x:f>
        <x:v>$25k-$50k</x:v>
      </x:c>
      <x:c r="P5692" t="str">
        <x:f>IF(E5692="","Unknown",IF(E5692&lt;10,"&lt;10",IF(E5692&lt;20,"10-&lt;20",IF(E5692&lt;25,"20-&lt;25",IF(E5692&lt;35,"25-&lt;35","35+")))))</x:f>
        <x:v>10-&lt;20</x:v>
      </x:c>
    </x:row>
    <x:row r="5693">
      <x:c r="A5693" t="str">
        <x:v>SYN0005692</x:v>
      </x:c>
      <x:c r="B5693" s="12" t="n">
        <x:v>41395</x:v>
      </x:c>
      <x:c r="C5693" s="18" t="n">
        <x:v>23634</x:v>
      </x:c>
      <x:c r="D5693" s="18" t="n">
        <x:v>63118</x:v>
      </x:c>
      <x:c r="E5693" s="18" t="n">
        <x:v>24.79</x:v>
      </x:c>
      <x:c r="F5693" s="18" t="n">
        <x:v>17.3</x:v>
      </x:c>
      <x:c r="G5693" t="n">
        <x:v>60</x:v>
      </x:c>
      <x:c r="H5693" t="str">
        <x:v>E</x:v>
      </x:c>
      <x:c r="I5693" t="str">
        <x:v>10+ years</x:v>
      </x:c>
      <x:c r="J5693" t="str">
        <x:v>RENT</x:v>
      </x:c>
      <x:c r="K5693" t="str">
        <x:v>credit_card</x:v>
      </x:c>
      <x:c r="L5693" t="n">
        <x:v>0</x:v>
      </x:c>
      <x:c r="M5693" t="n">
        <x:v>0</x:v>
      </x:c>
      <x:c r="N5693" t="str">
        <x:v>Fully Paid</x:v>
      </x:c>
      <x:c r="O5693" t="str">
        <x:f>IF(D5693="","Unknown",IF(D5693&lt;25000,"&lt;$25k",IF(D5693&lt;50000,"$25k-$50k",IF(D5693&lt;75000,"$50k-$75k",IF(D5693&lt;100000,"$75k-$100k","$100k+")))))</x:f>
        <x:v>$50k-$75k</x:v>
      </x:c>
      <x:c r="P5693" t="str">
        <x:f>IF(E5693="","Unknown",IF(E5693&lt;10,"&lt;10",IF(E5693&lt;20,"10-&lt;20",IF(E5693&lt;25,"20-&lt;25",IF(E5693&lt;35,"25-&lt;35","35+")))))</x:f>
        <x:v>20-&lt;25</x:v>
      </x:c>
    </x:row>
    <x:row r="5694">
      <x:c r="A5694" t="str">
        <x:v>SYN0005693</x:v>
      </x:c>
      <x:c r="B5694" s="12" t="n">
        <x:v>41875</x:v>
      </x:c>
      <x:c r="C5694" s="18" t="n">
        <x:v>14609</x:v>
      </x:c>
      <x:c r="D5694" s="18" t="n">
        <x:v>36778</x:v>
      </x:c>
      <x:c r="E5694" s="18" t="n">
        <x:v>3.82</x:v>
      </x:c>
      <x:c r="F5694" s="18" t="n">
        <x:v>9.99</x:v>
      </x:c>
      <x:c r="G5694" t="n">
        <x:v>60</x:v>
      </x:c>
      <x:c r="H5694" t="str">
        <x:v>C</x:v>
      </x:c>
      <x:c r="I5694" t="str">
        <x:v>10+ years</x:v>
      </x:c>
      <x:c r="J5694" t="str">
        <x:v>MORTGAGE</x:v>
      </x:c>
      <x:c r="K5694" t="str">
        <x:v>credit_card</x:v>
      </x:c>
      <x:c r="L5694" t="n">
        <x:v>0</x:v>
      </x:c>
      <x:c r="M5694" t="n">
        <x:v>0</x:v>
      </x:c>
      <x:c r="N5694" t="str">
        <x:v>Fully Paid</x:v>
      </x:c>
      <x:c r="O5694" t="str">
        <x:f>IF(D5694="","Unknown",IF(D5694&lt;25000,"&lt;$25k",IF(D5694&lt;50000,"$25k-$50k",IF(D5694&lt;75000,"$50k-$75k",IF(D5694&lt;100000,"$75k-$100k","$100k+")))))</x:f>
        <x:v>$25k-$50k</x:v>
      </x:c>
      <x:c r="P5694" t="str">
        <x:f>IF(E5694="","Unknown",IF(E5694&lt;10,"&lt;10",IF(E5694&lt;20,"10-&lt;20",IF(E5694&lt;25,"20-&lt;25",IF(E5694&lt;35,"25-&lt;35","35+")))))</x:f>
        <x:v>&lt;10</x:v>
      </x:c>
    </x:row>
    <x:row r="5695">
      <x:c r="A5695" t="str">
        <x:v>SYN0005694</x:v>
      </x:c>
      <x:c r="B5695" s="12" t="n">
        <x:v>41515</x:v>
      </x:c>
      <x:c r="C5695" s="18" t="n">
        <x:v>22670</x:v>
      </x:c>
      <x:c r="D5695" s="18" t="n">
        <x:v>54174</x:v>
      </x:c>
      <x:c r="E5695" s="18" t="n">
        <x:v>20.38</x:v>
      </x:c>
      <x:c r="F5695" s="18" t="n">
        <x:v>17.12</x:v>
      </x:c>
      <x:c r="G5695" t="n">
        <x:v>36</x:v>
      </x:c>
      <x:c r="H5695" t="str">
        <x:v>E</x:v>
      </x:c>
      <x:c r="I5695" t="str">
        <x:v>10+ years</x:v>
      </x:c>
      <x:c r="J5695" t="str">
        <x:v>MORTGAGE</x:v>
      </x:c>
      <x:c r="K5695" t="str">
        <x:v>debt_consolidation</x:v>
      </x:c>
      <x:c r="L5695" t="n">
        <x:v>0</x:v>
      </x:c>
      <x:c r="M5695" t="n">
        <x:v>1</x:v>
      </x:c>
      <x:c r="N5695" t="str">
        <x:v>Charged Off</x:v>
      </x:c>
      <x:c r="O5695" t="str">
        <x:f>IF(D5695="","Unknown",IF(D5695&lt;25000,"&lt;$25k",IF(D5695&lt;50000,"$25k-$50k",IF(D5695&lt;75000,"$50k-$75k",IF(D5695&lt;100000,"$75k-$100k","$100k+")))))</x:f>
        <x:v>$50k-$75k</x:v>
      </x:c>
      <x:c r="P5695" t="str">
        <x:f>IF(E5695="","Unknown",IF(E5695&lt;10,"&lt;10",IF(E5695&lt;20,"10-&lt;20",IF(E5695&lt;25,"20-&lt;25",IF(E5695&lt;35,"25-&lt;35","35+")))))</x:f>
        <x:v>20-&lt;25</x:v>
      </x:c>
    </x:row>
    <x:row r="5696">
      <x:c r="A5696" t="str">
        <x:v>SYN0005695</x:v>
      </x:c>
      <x:c r="B5696" s="12" t="n">
        <x:v>42085</x:v>
      </x:c>
      <x:c r="C5696" s="18" t="n">
        <x:v>12719</x:v>
      </x:c>
      <x:c r="D5696" s="18" t="n">
        <x:v>84277</x:v>
      </x:c>
      <x:c r="E5696" s="18" t="n">
        <x:v>31.74</x:v>
      </x:c>
      <x:c r="F5696" s="18" t="n">
        <x:v>21.8</x:v>
      </x:c>
      <x:c r="G5696" t="n">
        <x:v>36</x:v>
      </x:c>
      <x:c r="H5696" t="str">
        <x:v>F</x:v>
      </x:c>
      <x:c r="I5696" t="str">
        <x:v>4-6 years</x:v>
      </x:c>
      <x:c r="J5696" t="str">
        <x:v>MORTGAGE</x:v>
      </x:c>
      <x:c r="K5696" t="str">
        <x:v>credit_card</x:v>
      </x:c>
      <x:c r="L5696" t="n">
        <x:v>0</x:v>
      </x:c>
      <x:c r="M5696" t="n">
        <x:v>0</x:v>
      </x:c>
      <x:c r="N5696" t="str">
        <x:v>Fully Paid</x:v>
      </x:c>
      <x:c r="O5696" t="str">
        <x:f>IF(D5696="","Unknown",IF(D5696&lt;25000,"&lt;$25k",IF(D5696&lt;50000,"$25k-$50k",IF(D5696&lt;75000,"$50k-$75k",IF(D5696&lt;100000,"$75k-$100k","$100k+")))))</x:f>
        <x:v>$75k-$100k</x:v>
      </x:c>
      <x:c r="P5696" t="str">
        <x:f>IF(E5696="","Unknown",IF(E5696&lt;10,"&lt;10",IF(E5696&lt;20,"10-&lt;20",IF(E5696&lt;25,"20-&lt;25",IF(E5696&lt;35,"25-&lt;35","35+")))))</x:f>
        <x:v>25-&lt;35</x:v>
      </x:c>
    </x:row>
    <x:row r="5697">
      <x:c r="A5697" t="str">
        <x:v>SYN0005696</x:v>
      </x:c>
      <x:c r="B5697" s="12" t="n">
        <x:v>42385</x:v>
      </x:c>
      <x:c r="C5697" s="18" t="n">
        <x:v>8122</x:v>
      </x:c>
      <x:c r="D5697" s="18" t="n">
        <x:v>140147</x:v>
      </x:c>
      <x:c r="E5697" s="18" t="n">
        <x:v>13.89</x:v>
      </x:c>
      <x:c r="F5697" s="18" t="n">
        <x:v>15.82</x:v>
      </x:c>
      <x:c r="G5697" t="n">
        <x:v>60</x:v>
      </x:c>
      <x:c r="H5697" t="str">
        <x:v>E</x:v>
      </x:c>
      <x:c r="I5697" t="str">
        <x:v>10+ years</x:v>
      </x:c>
      <x:c r="J5697" t="str">
        <x:v>RENT</x:v>
      </x:c>
      <x:c r="K5697" t="str">
        <x:v>debt_consolidation</x:v>
      </x:c>
      <x:c r="L5697" t="n">
        <x:v>0</x:v>
      </x:c>
      <x:c r="M5697" t="n">
        <x:v>0</x:v>
      </x:c>
      <x:c r="N5697" t="str">
        <x:v>Fully Paid</x:v>
      </x:c>
      <x:c r="O5697" t="str">
        <x:f>IF(D5697="","Unknown",IF(D5697&lt;25000,"&lt;$25k",IF(D5697&lt;50000,"$25k-$50k",IF(D5697&lt;75000,"$50k-$75k",IF(D5697&lt;100000,"$75k-$100k","$100k+")))))</x:f>
        <x:v>$100k+</x:v>
      </x:c>
      <x:c r="P5697" t="str">
        <x:f>IF(E5697="","Unknown",IF(E5697&lt;10,"&lt;10",IF(E5697&lt;20,"10-&lt;20",IF(E5697&lt;25,"20-&lt;25",IF(E5697&lt;35,"25-&lt;35","35+")))))</x:f>
        <x:v>10-&lt;20</x:v>
      </x:c>
    </x:row>
    <x:row r="5698">
      <x:c r="A5698" t="str">
        <x:v>SYN0005697</x:v>
      </x:c>
      <x:c r="B5698" s="12" t="n">
        <x:v>43075</x:v>
      </x:c>
      <x:c r="C5698" s="18" t="n">
        <x:v>29395</x:v>
      </x:c>
      <x:c r="D5698" s="18" t="n">
        <x:v>20684</x:v>
      </x:c>
      <x:c r="E5698" s="18" t="n">
        <x:v>15.24</x:v>
      </x:c>
      <x:c r="F5698" s="18" t="n">
        <x:v>13.13</x:v>
      </x:c>
      <x:c r="G5698" t="n">
        <x:v>36</x:v>
      </x:c>
      <x:c r="H5698" t="str">
        <x:v>D</x:v>
      </x:c>
      <x:c r="I5698" t="str">
        <x:v>10+ years</x:v>
      </x:c>
      <x:c r="J5698" t="str">
        <x:v>RENT</x:v>
      </x:c>
      <x:c r="K5698" t="str">
        <x:v>debt_consolidation</x:v>
      </x:c>
      <x:c r="L5698" t="n">
        <x:v>1</x:v>
      </x:c>
      <x:c r="M5698" t="n">
        <x:v>0</x:v>
      </x:c>
      <x:c r="N5698" t="str">
        <x:v>Fully Paid</x:v>
      </x:c>
      <x:c r="O5698" t="str">
        <x:f>IF(D5698="","Unknown",IF(D5698&lt;25000,"&lt;$25k",IF(D5698&lt;50000,"$25k-$50k",IF(D5698&lt;75000,"$50k-$75k",IF(D5698&lt;100000,"$75k-$100k","$100k+")))))</x:f>
        <x:v>&lt;$25k</x:v>
      </x:c>
      <x:c r="P5698" t="str">
        <x:f>IF(E5698="","Unknown",IF(E5698&lt;10,"&lt;10",IF(E5698&lt;20,"10-&lt;20",IF(E5698&lt;25,"20-&lt;25",IF(E5698&lt;35,"25-&lt;35","35+")))))</x:f>
        <x:v>10-&lt;20</x:v>
      </x:c>
    </x:row>
    <x:row r="5699">
      <x:c r="A5699" t="str">
        <x:v>SYN0005698</x:v>
      </x:c>
      <x:c r="B5699" s="12" t="n">
        <x:v>42565</x:v>
      </x:c>
      <x:c r="C5699" s="18" t="n">
        <x:v>13394</x:v>
      </x:c>
      <x:c r="D5699" s="18" t="n">
        <x:v>25834</x:v>
      </x:c>
      <x:c r="E5699" s="18" t="n">
        <x:v>20.19</x:v>
      </x:c>
      <x:c r="F5699" s="18" t="n">
        <x:v>6.36</x:v>
      </x:c>
      <x:c r="G5699" t="n">
        <x:v>36</x:v>
      </x:c>
      <x:c r="H5699" t="str">
        <x:v>A</x:v>
      </x:c>
      <x:c r="I5699" t="str">
        <x:v>7-9 years</x:v>
      </x:c>
      <x:c r="J5699" t="str">
        <x:v>OWN</x:v>
      </x:c>
      <x:c r="K5699" t="str">
        <x:v>medical</x:v>
      </x:c>
      <x:c r="L5699" t="n">
        <x:v>0</x:v>
      </x:c>
      <x:c r="M5699" t="n">
        <x:v>0</x:v>
      </x:c>
      <x:c r="N5699" t="str">
        <x:v>Fully Paid</x:v>
      </x:c>
      <x:c r="O5699" t="str">
        <x:f>IF(D5699="","Unknown",IF(D5699&lt;25000,"&lt;$25k",IF(D5699&lt;50000,"$25k-$50k",IF(D5699&lt;75000,"$50k-$75k",IF(D5699&lt;100000,"$75k-$100k","$100k+")))))</x:f>
        <x:v>$25k-$50k</x:v>
      </x:c>
      <x:c r="P5699" t="str">
        <x:f>IF(E5699="","Unknown",IF(E5699&lt;10,"&lt;10",IF(E5699&lt;20,"10-&lt;20",IF(E5699&lt;25,"20-&lt;25",IF(E5699&lt;35,"25-&lt;35","35+")))))</x:f>
        <x:v>20-&lt;25</x:v>
      </x:c>
    </x:row>
    <x:row r="5700">
      <x:c r="A5700" t="str">
        <x:v>SYN0005699</x:v>
      </x:c>
      <x:c r="B5700" s="12" t="n">
        <x:v>43285</x:v>
      </x:c>
      <x:c r="C5700" s="18" t="n">
        <x:v>9730</x:v>
      </x:c>
      <x:c r="D5700" s="18" t="n">
        <x:v>30951</x:v>
      </x:c>
      <x:c r="E5700" s="18" t="n">
        <x:v>18.12</x:v>
      </x:c>
      <x:c r="F5700" s="18" t="n">
        <x:v>8.15</x:v>
      </x:c>
      <x:c r="G5700" t="n">
        <x:v>60</x:v>
      </x:c>
      <x:c r="H5700" t="str">
        <x:v>A</x:v>
      </x:c>
      <x:c r="I5700" t="str">
        <x:v>7-9 years</x:v>
      </x:c>
      <x:c r="J5700" t="str">
        <x:v>RENT</x:v>
      </x:c>
      <x:c r="K5700" t="str">
        <x:v>other</x:v>
      </x:c>
      <x:c r="L5700" t="n">
        <x:v>0</x:v>
      </x:c>
      <x:c r="M5700" t="n">
        <x:v>0</x:v>
      </x:c>
      <x:c r="N5700" t="str">
        <x:v>Fully Paid</x:v>
      </x:c>
      <x:c r="O5700" t="str">
        <x:f>IF(D5700="","Unknown",IF(D5700&lt;25000,"&lt;$25k",IF(D5700&lt;50000,"$25k-$50k",IF(D5700&lt;75000,"$50k-$75k",IF(D5700&lt;100000,"$75k-$100k","$100k+")))))</x:f>
        <x:v>$25k-$50k</x:v>
      </x:c>
      <x:c r="P5700" t="str">
        <x:f>IF(E5700="","Unknown",IF(E5700&lt;10,"&lt;10",IF(E5700&lt;20,"10-&lt;20",IF(E5700&lt;25,"20-&lt;25",IF(E5700&lt;35,"25-&lt;35","35+")))))</x:f>
        <x:v>10-&lt;20</x:v>
      </x:c>
    </x:row>
    <x:row r="5701">
      <x:c r="A5701" t="str">
        <x:v>SYN0005700</x:v>
      </x:c>
      <x:c r="B5701" s="12" t="n">
        <x:v>41365</x:v>
      </x:c>
      <x:c r="C5701" s="18" t="n">
        <x:v>19318</x:v>
      </x:c>
      <x:c r="D5701" s="18" t="n">
        <x:v>51067</x:v>
      </x:c>
      <x:c r="E5701" s="18" t="n">
        <x:v>25.51</x:v>
      </x:c>
      <x:c r="F5701" s="18" t="n">
        <x:v>11.98</x:v>
      </x:c>
      <x:c r="G5701" t="n">
        <x:v>36</x:v>
      </x:c>
      <x:c r="H5701" t="str">
        <x:v>D</x:v>
      </x:c>
      <x:c r="I5701" t="str">
        <x:v>7-9 years</x:v>
      </x:c>
      <x:c r="J5701" t="str">
        <x:v>MORTGAGE</x:v>
      </x:c>
      <x:c r="K5701" t="str">
        <x:v>medical</x:v>
      </x:c>
      <x:c r="L5701" t="n">
        <x:v>0</x:v>
      </x:c>
      <x:c r="M5701" t="n">
        <x:v>0</x:v>
      </x:c>
      <x:c r="N5701" t="str">
        <x:v>Fully Paid</x:v>
      </x:c>
      <x:c r="O5701" t="str">
        <x:f>IF(D5701="","Unknown",IF(D5701&lt;25000,"&lt;$25k",IF(D5701&lt;50000,"$25k-$50k",IF(D5701&lt;75000,"$50k-$75k",IF(D5701&lt;100000,"$75k-$100k","$100k+")))))</x:f>
        <x:v>$50k-$75k</x:v>
      </x:c>
      <x:c r="P5701" t="str">
        <x:f>IF(E5701="","Unknown",IF(E5701&lt;10,"&lt;10",IF(E5701&lt;20,"10-&lt;20",IF(E5701&lt;25,"20-&lt;25",IF(E5701&lt;35,"25-&lt;35","35+")))))</x:f>
        <x:v>25-&lt;35</x:v>
      </x:c>
    </x:row>
    <x:row r="5702">
      <x:c r="A5702" t="str">
        <x:v>SYN0005701</x:v>
      </x:c>
      <x:c r="B5702" s="12" t="n">
        <x:v>42805</x:v>
      </x:c>
      <x:c r="C5702" s="18" t="n">
        <x:v>17760</x:v>
      </x:c>
      <x:c r="D5702" s="18" t="n">
        <x:v>110952</x:v>
      </x:c>
      <x:c r="E5702" s="18" t="n">
        <x:v>27.79</x:v>
      </x:c>
      <x:c r="F5702" s="18" t="n">
        <x:v>14.45</x:v>
      </x:c>
      <x:c r="G5702" t="n">
        <x:v>36</x:v>
      </x:c>
      <x:c r="H5702" t="str">
        <x:v>D</x:v>
      </x:c>
      <x:c r="I5702" t="str">
        <x:v>1-3 years</x:v>
      </x:c>
      <x:c r="J5702" t="str">
        <x:v>RENT</x:v>
      </x:c>
      <x:c r="K5702" t="str">
        <x:v>debt_consolidation</x:v>
      </x:c>
      <x:c r="L5702" t="n">
        <x:v>1</x:v>
      </x:c>
      <x:c r="M5702" t="n">
        <x:v>0</x:v>
      </x:c>
      <x:c r="N5702" t="str">
        <x:v>Fully Paid</x:v>
      </x:c>
      <x:c r="O5702" t="str">
        <x:f>IF(D5702="","Unknown",IF(D5702&lt;25000,"&lt;$25k",IF(D5702&lt;50000,"$25k-$50k",IF(D5702&lt;75000,"$50k-$75k",IF(D5702&lt;100000,"$75k-$100k","$100k+")))))</x:f>
        <x:v>$100k+</x:v>
      </x:c>
      <x:c r="P5702" t="str">
        <x:f>IF(E5702="","Unknown",IF(E5702&lt;10,"&lt;10",IF(E5702&lt;20,"10-&lt;20",IF(E5702&lt;25,"20-&lt;25",IF(E5702&lt;35,"25-&lt;35","35+")))))</x:f>
        <x:v>25-&lt;35</x:v>
      </x:c>
    </x:row>
    <x:row r="5703">
      <x:c r="A5703" t="str">
        <x:v>SYN0005702</x:v>
      </x:c>
      <x:c r="B5703" s="12" t="n">
        <x:v>43405</x:v>
      </x:c>
      <x:c r="C5703" s="18" t="n">
        <x:v>17868</x:v>
      </x:c>
      <x:c r="D5703" s="18" t="n">
        <x:v>47038</x:v>
      </x:c>
      <x:c r="E5703" s="18" t="n">
        <x:v>25.77</x:v>
      </x:c>
      <x:c r="F5703" s="18" t="n">
        <x:v>18.96</x:v>
      </x:c>
      <x:c r="G5703" t="n">
        <x:v>36</x:v>
      </x:c>
      <x:c r="H5703" t="str">
        <x:v>E</x:v>
      </x:c>
      <x:c r="I5703" t="str">
        <x:v>1-3 years</x:v>
      </x:c>
      <x:c r="J5703" t="str">
        <x:v>MORTGAGE</x:v>
      </x:c>
      <x:c r="K5703" t="str">
        <x:v>debt_consolidation</x:v>
      </x:c>
      <x:c r="L5703" t="n">
        <x:v>2</x:v>
      </x:c>
      <x:c r="M5703" t="n">
        <x:v>0</x:v>
      </x:c>
      <x:c r="N5703" t="str">
        <x:v>Fully Paid</x:v>
      </x:c>
      <x:c r="O5703" t="str">
        <x:f>IF(D5703="","Unknown",IF(D5703&lt;25000,"&lt;$25k",IF(D5703&lt;50000,"$25k-$50k",IF(D5703&lt;75000,"$50k-$75k",IF(D5703&lt;100000,"$75k-$100k","$100k+")))))</x:f>
        <x:v>$25k-$50k</x:v>
      </x:c>
      <x:c r="P5703" t="str">
        <x:f>IF(E5703="","Unknown",IF(E5703&lt;10,"&lt;10",IF(E5703&lt;20,"10-&lt;20",IF(E5703&lt;25,"20-&lt;25",IF(E5703&lt;35,"25-&lt;35","35+")))))</x:f>
        <x:v>25-&lt;35</x:v>
      </x:c>
    </x:row>
    <x:row r="5704">
      <x:c r="A5704" t="str">
        <x:v>SYN0005703</x:v>
      </x:c>
      <x:c r="B5704" s="12" t="n">
        <x:v>42925</x:v>
      </x:c>
      <x:c r="C5704" s="18" t="n">
        <x:v>8056</x:v>
      </x:c>
      <x:c r="D5704" s="18" t="n">
        <x:v>227751</x:v>
      </x:c>
      <x:c r="E5704" s="18" t="n">
        <x:v>25.74</x:v>
      </x:c>
      <x:c r="F5704" s="18" t="n">
        <x:v>8.76</x:v>
      </x:c>
      <x:c r="G5704" t="n">
        <x:v>36</x:v>
      </x:c>
      <x:c r="H5704" t="str">
        <x:v>C</x:v>
      </x:c>
      <x:c r="I5704" t="str">
        <x:v>7-9 years</x:v>
      </x:c>
      <x:c r="J5704" t="str">
        <x:v>MORTGAGE</x:v>
      </x:c>
      <x:c r="K5704" t="str">
        <x:v>credit_card</x:v>
      </x:c>
      <x:c r="L5704" t="n">
        <x:v>0</x:v>
      </x:c>
      <x:c r="M5704" t="n">
        <x:v>0</x:v>
      </x:c>
      <x:c r="N5704" t="str">
        <x:v>Fully Paid</x:v>
      </x:c>
      <x:c r="O5704" t="str">
        <x:f>IF(D5704="","Unknown",IF(D5704&lt;25000,"&lt;$25k",IF(D5704&lt;50000,"$25k-$50k",IF(D5704&lt;75000,"$50k-$75k",IF(D5704&lt;100000,"$75k-$100k","$100k+")))))</x:f>
        <x:v>$100k+</x:v>
      </x:c>
      <x:c r="P5704" t="str">
        <x:f>IF(E5704="","Unknown",IF(E5704&lt;10,"&lt;10",IF(E5704&lt;20,"10-&lt;20",IF(E5704&lt;25,"20-&lt;25",IF(E5704&lt;35,"25-&lt;35","35+")))))</x:f>
        <x:v>25-&lt;35</x:v>
      </x:c>
    </x:row>
    <x:row r="5705">
      <x:c r="A5705" t="str">
        <x:v>SYN0005704</x:v>
      </x:c>
      <x:c r="B5705" s="12" t="n">
        <x:v>41845</x:v>
      </x:c>
      <x:c r="C5705" s="18" t="n">
        <x:v>14116</x:v>
      </x:c>
      <x:c r="D5705" s="18" t="n">
        <x:v>86876</x:v>
      </x:c>
      <x:c r="E5705" s="18" t="n">
        <x:v>23.27</x:v>
      </x:c>
      <x:c r="F5705" s="18" t="n">
        <x:v>7.52</x:v>
      </x:c>
      <x:c r="G5705" t="n">
        <x:v>60</x:v>
      </x:c>
      <x:c r="H5705" t="str">
        <x:v>B</x:v>
      </x:c>
      <x:c r="I5705" t="str">
        <x:v>&lt;1 year</x:v>
      </x:c>
      <x:c r="J5705" t="str">
        <x:v>MORTGAGE</x:v>
      </x:c>
      <x:c r="K5705" t="str">
        <x:v>debt_consolidation</x:v>
      </x:c>
      <x:c r="L5705" t="n">
        <x:v>0</x:v>
      </x:c>
      <x:c r="M5705" t="n">
        <x:v>0</x:v>
      </x:c>
      <x:c r="N5705" t="str">
        <x:v>Fully Paid</x:v>
      </x:c>
      <x:c r="O5705" t="str">
        <x:f>IF(D5705="","Unknown",IF(D5705&lt;25000,"&lt;$25k",IF(D5705&lt;50000,"$25k-$50k",IF(D5705&lt;75000,"$50k-$75k",IF(D5705&lt;100000,"$75k-$100k","$100k+")))))</x:f>
        <x:v>$75k-$100k</x:v>
      </x:c>
      <x:c r="P5705" t="str">
        <x:f>IF(E5705="","Unknown",IF(E5705&lt;10,"&lt;10",IF(E5705&lt;20,"10-&lt;20",IF(E5705&lt;25,"20-&lt;25",IF(E5705&lt;35,"25-&lt;35","35+")))))</x:f>
        <x:v>20-&lt;25</x:v>
      </x:c>
    </x:row>
    <x:row r="5706">
      <x:c r="A5706" t="str">
        <x:v>SYN0005705</x:v>
      </x:c>
      <x:c r="B5706" s="12" t="n">
        <x:v>41455</x:v>
      </x:c>
      <x:c r="C5706" s="18" t="n">
        <x:v>5938</x:v>
      </x:c>
      <x:c r="D5706" s="18" t="n">
        <x:v>169173</x:v>
      </x:c>
      <x:c r="E5706" s="18" t="n">
        <x:v>10.11</x:v>
      </x:c>
      <x:c r="F5706" s="18" t="n">
        <x:v>7.22</x:v>
      </x:c>
      <x:c r="G5706" t="n">
        <x:v>36</x:v>
      </x:c>
      <x:c r="H5706" t="str">
        <x:v>B</x:v>
      </x:c>
      <x:c r="I5706" t="str">
        <x:v>7-9 years</x:v>
      </x:c>
      <x:c r="J5706" t="str">
        <x:v>OWN</x:v>
      </x:c>
      <x:c r="K5706" t="str">
        <x:v>credit_card</x:v>
      </x:c>
      <x:c r="L5706" t="n">
        <x:v>0</x:v>
      </x:c>
      <x:c r="M5706" t="n">
        <x:v>0</x:v>
      </x:c>
      <x:c r="N5706" t="str">
        <x:v>Fully Paid</x:v>
      </x:c>
      <x:c r="O5706" t="str">
        <x:f>IF(D5706="","Unknown",IF(D5706&lt;25000,"&lt;$25k",IF(D5706&lt;50000,"$25k-$50k",IF(D5706&lt;75000,"$50k-$75k",IF(D5706&lt;100000,"$75k-$100k","$100k+")))))</x:f>
        <x:v>$100k+</x:v>
      </x:c>
      <x:c r="P5706" t="str">
        <x:f>IF(E5706="","Unknown",IF(E5706&lt;10,"&lt;10",IF(E5706&lt;20,"10-&lt;20",IF(E5706&lt;25,"20-&lt;25",IF(E5706&lt;35,"25-&lt;35","35+")))))</x:f>
        <x:v>10-&lt;20</x:v>
      </x:c>
    </x:row>
    <x:row r="5707">
      <x:c r="A5707" t="str">
        <x:v>SYN0005706</x:v>
      </x:c>
      <x:c r="B5707" s="12" t="n">
        <x:v>42475</x:v>
      </x:c>
      <x:c r="C5707" s="18" t="n">
        <x:v>7752</x:v>
      </x:c>
      <x:c r="D5707" s="18" t="n">
        <x:v>27110</x:v>
      </x:c>
      <x:c r="E5707" s="18" t="n">
        <x:v>22.42</x:v>
      </x:c>
      <x:c r="F5707" s="18" t="n">
        <x:v>11.76</x:v>
      </x:c>
      <x:c r="G5707" t="n">
        <x:v>36</x:v>
      </x:c>
      <x:c r="H5707" t="str">
        <x:v>C</x:v>
      </x:c>
      <x:c r="I5707" t="str">
        <x:v>4-6 years</x:v>
      </x:c>
      <x:c r="J5707" t="str">
        <x:v>RENT</x:v>
      </x:c>
      <x:c r="K5707" t="str">
        <x:v>debt_consolidation</x:v>
      </x:c>
      <x:c r="L5707" t="n">
        <x:v>1</x:v>
      </x:c>
      <x:c r="M5707" t="n">
        <x:v>1</x:v>
      </x:c>
      <x:c r="N5707" t="str">
        <x:v>Charged Off</x:v>
      </x:c>
      <x:c r="O5707" t="str">
        <x:f>IF(D5707="","Unknown",IF(D5707&lt;25000,"&lt;$25k",IF(D5707&lt;50000,"$25k-$50k",IF(D5707&lt;75000,"$50k-$75k",IF(D5707&lt;100000,"$75k-$100k","$100k+")))))</x:f>
        <x:v>$25k-$50k</x:v>
      </x:c>
      <x:c r="P5707" t="str">
        <x:f>IF(E5707="","Unknown",IF(E5707&lt;10,"&lt;10",IF(E5707&lt;20,"10-&lt;20",IF(E5707&lt;25,"20-&lt;25",IF(E5707&lt;35,"25-&lt;35","35+")))))</x:f>
        <x:v>20-&lt;25</x:v>
      </x:c>
    </x:row>
    <x:row r="5708">
      <x:c r="A5708" t="str">
        <x:v>SYN0005707</x:v>
      </x:c>
      <x:c r="B5708" s="12" t="n">
        <x:v>42025</x:v>
      </x:c>
      <x:c r="C5708" s="18" t="n">
        <x:v>15064</x:v>
      </x:c>
      <x:c r="D5708" s="18" t="n">
        <x:v>34511</x:v>
      </x:c>
      <x:c r="E5708" s="18" t="n">
        <x:v>16.35</x:v>
      </x:c>
      <x:c r="F5708" s="18" t="n">
        <x:v>15.43</x:v>
      </x:c>
      <x:c r="G5708" t="n">
        <x:v>36</x:v>
      </x:c>
      <x:c r="H5708" t="str">
        <x:v>D</x:v>
      </x:c>
      <x:c r="I5708" t="str">
        <x:v>1-3 years</x:v>
      </x:c>
      <x:c r="J5708" t="str">
        <x:v>RENT</x:v>
      </x:c>
      <x:c r="K5708" t="str">
        <x:v>medical</x:v>
      </x:c>
      <x:c r="L5708" t="n">
        <x:v>1</x:v>
      </x:c>
      <x:c r="M5708" t="n">
        <x:v>1</x:v>
      </x:c>
      <x:c r="N5708" t="str">
        <x:v>Charged Off</x:v>
      </x:c>
      <x:c r="O5708" t="str">
        <x:f>IF(D5708="","Unknown",IF(D5708&lt;25000,"&lt;$25k",IF(D5708&lt;50000,"$25k-$50k",IF(D5708&lt;75000,"$50k-$75k",IF(D5708&lt;100000,"$75k-$100k","$100k+")))))</x:f>
        <x:v>$25k-$50k</x:v>
      </x:c>
      <x:c r="P5708" t="str">
        <x:f>IF(E5708="","Unknown",IF(E5708&lt;10,"&lt;10",IF(E5708&lt;20,"10-&lt;20",IF(E5708&lt;25,"20-&lt;25",IF(E5708&lt;35,"25-&lt;35","35+")))))</x:f>
        <x:v>10-&lt;20</x:v>
      </x:c>
    </x:row>
    <x:row r="5709">
      <x:c r="A5709" t="str">
        <x:v>SYN0005708</x:v>
      </x:c>
      <x:c r="B5709" s="12" t="n">
        <x:v>41695</x:v>
      </x:c>
      <x:c r="C5709" s="18" t="n">
        <x:v>12360</x:v>
      </x:c>
      <x:c r="D5709" s="18" t="n">
        <x:v>36728</x:v>
      </x:c>
      <x:c r="E5709" s="18" t="n">
        <x:v>18.5</x:v>
      </x:c>
      <x:c r="F5709" s="18" t="n">
        <x:v>27.38</x:v>
      </x:c>
      <x:c r="G5709" t="n">
        <x:v>60</x:v>
      </x:c>
      <x:c r="H5709" t="str">
        <x:v>G</x:v>
      </x:c>
      <x:c r="I5709" t="str">
        <x:v>1-3 years</x:v>
      </x:c>
      <x:c r="J5709" t="str">
        <x:v>MORTGAGE</x:v>
      </x:c>
      <x:c r="K5709" t="str">
        <x:v>credit_card</x:v>
      </x:c>
      <x:c r="L5709" t="n">
        <x:v>0</x:v>
      </x:c>
      <x:c r="M5709" t="n">
        <x:v>1</x:v>
      </x:c>
      <x:c r="N5709" t="str">
        <x:v>Charged Off</x:v>
      </x:c>
      <x:c r="O5709" t="str">
        <x:f>IF(D5709="","Unknown",IF(D5709&lt;25000,"&lt;$25k",IF(D5709&lt;50000,"$25k-$50k",IF(D5709&lt;75000,"$50k-$75k",IF(D5709&lt;100000,"$75k-$100k","$100k+")))))</x:f>
        <x:v>$25k-$50k</x:v>
      </x:c>
      <x:c r="P5709" t="str">
        <x:f>IF(E5709="","Unknown",IF(E5709&lt;10,"&lt;10",IF(E5709&lt;20,"10-&lt;20",IF(E5709&lt;25,"20-&lt;25",IF(E5709&lt;35,"25-&lt;35","35+")))))</x:f>
        <x:v>10-&lt;20</x:v>
      </x:c>
    </x:row>
    <x:row r="5710">
      <x:c r="A5710" t="str">
        <x:v>SYN0005709</x:v>
      </x:c>
      <x:c r="B5710" s="12" t="n">
        <x:v>43255</x:v>
      </x:c>
      <x:c r="C5710" s="18" t="n">
        <x:v>17135</x:v>
      </x:c>
      <x:c r="D5710" s="18" t="n">
        <x:v>22557</x:v>
      </x:c>
      <x:c r="E5710" s="18" t="n">
        <x:v>31.56</x:v>
      </x:c>
      <x:c r="F5710" s="18" t="n">
        <x:v>8.87</x:v>
      </x:c>
      <x:c r="G5710" t="n">
        <x:v>60</x:v>
      </x:c>
      <x:c r="H5710" t="str">
        <x:v>B</x:v>
      </x:c>
      <x:c r="I5710" t="str">
        <x:v>10+ years</x:v>
      </x:c>
      <x:c r="J5710" t="str">
        <x:v>RENT</x:v>
      </x:c>
      <x:c r="K5710" t="str">
        <x:v>major_purchase</x:v>
      </x:c>
      <x:c r="L5710" t="n">
        <x:v>1</x:v>
      </x:c>
      <x:c r="M5710" t="n">
        <x:v>1</x:v>
      </x:c>
      <x:c r="N5710" t="str">
        <x:v>Charged Off</x:v>
      </x:c>
      <x:c r="O5710" t="str">
        <x:f>IF(D5710="","Unknown",IF(D5710&lt;25000,"&lt;$25k",IF(D5710&lt;50000,"$25k-$50k",IF(D5710&lt;75000,"$50k-$75k",IF(D5710&lt;100000,"$75k-$100k","$100k+")))))</x:f>
        <x:v>&lt;$25k</x:v>
      </x:c>
      <x:c r="P5710" t="str">
        <x:f>IF(E5710="","Unknown",IF(E5710&lt;10,"&lt;10",IF(E5710&lt;20,"10-&lt;20",IF(E5710&lt;25,"20-&lt;25",IF(E5710&lt;35,"25-&lt;35","35+")))))</x:f>
        <x:v>25-&lt;35</x:v>
      </x:c>
    </x:row>
    <x:row r="5711">
      <x:c r="A5711" t="str">
        <x:v>SYN0005710</x:v>
      </x:c>
      <x:c r="B5711" s="12" t="n">
        <x:v>43255</x:v>
      </x:c>
      <x:c r="C5711" s="18" t="n">
        <x:v>7321</x:v>
      </x:c>
      <x:c r="D5711" s="18" t="n">
        <x:v>105727</x:v>
      </x:c>
      <x:c r="E5711" s="18" t="n">
        <x:v>18.6</x:v>
      </x:c>
      <x:c r="F5711" s="18" t="n">
        <x:v>25.11</x:v>
      </x:c>
      <x:c r="G5711" t="n">
        <x:v>36</x:v>
      </x:c>
      <x:c r="H5711" t="str">
        <x:v>G</x:v>
      </x:c>
      <x:c r="I5711" t="str">
        <x:v>4-6 years</x:v>
      </x:c>
      <x:c r="J5711" t="str">
        <x:v>RENT</x:v>
      </x:c>
      <x:c r="K5711" t="str">
        <x:v>credit_card</x:v>
      </x:c>
      <x:c r="L5711" t="n">
        <x:v>0</x:v>
      </x:c>
      <x:c r="M5711" t="n">
        <x:v>0</x:v>
      </x:c>
      <x:c r="N5711" t="str">
        <x:v>Fully Paid</x:v>
      </x:c>
      <x:c r="O5711" t="str">
        <x:f>IF(D5711="","Unknown",IF(D5711&lt;25000,"&lt;$25k",IF(D5711&lt;50000,"$25k-$50k",IF(D5711&lt;75000,"$50k-$75k",IF(D5711&lt;100000,"$75k-$100k","$100k+")))))</x:f>
        <x:v>$100k+</x:v>
      </x:c>
      <x:c r="P5711" t="str">
        <x:f>IF(E5711="","Unknown",IF(E5711&lt;10,"&lt;10",IF(E5711&lt;20,"10-&lt;20",IF(E5711&lt;25,"20-&lt;25",IF(E5711&lt;35,"25-&lt;35","35+")))))</x:f>
        <x:v>10-&lt;20</x:v>
      </x:c>
    </x:row>
    <x:row r="5712">
      <x:c r="A5712" t="str">
        <x:v>SYN0005711</x:v>
      </x:c>
      <x:c r="B5712" s="12" t="n">
        <x:v>43285</x:v>
      </x:c>
      <x:c r="C5712" s="18" t="n">
        <x:v>13880</x:v>
      </x:c>
      <x:c r="D5712" s="18" t="n">
        <x:v>32297</x:v>
      </x:c>
      <x:c r="E5712" s="18" t="n">
        <x:v>24.45</x:v>
      </x:c>
      <x:c r="F5712" s="18" t="n">
        <x:v>12.71</x:v>
      </x:c>
      <x:c r="G5712" t="n">
        <x:v>36</x:v>
      </x:c>
      <x:c r="H5712" t="str">
        <x:v>D</x:v>
      </x:c>
      <x:c r="I5712" t="str">
        <x:v>7-9 years</x:v>
      </x:c>
      <x:c r="J5712" t="str">
        <x:v>MORTGAGE</x:v>
      </x:c>
      <x:c r="K5712" t="str">
        <x:v>major_purchase</x:v>
      </x:c>
      <x:c r="L5712" t="n">
        <x:v>0</x:v>
      </x:c>
      <x:c r="M5712" t="n">
        <x:v>0</x:v>
      </x:c>
      <x:c r="N5712" t="str">
        <x:v>Fully Paid</x:v>
      </x:c>
      <x:c r="O5712" t="str">
        <x:f>IF(D5712="","Unknown",IF(D5712&lt;25000,"&lt;$25k",IF(D5712&lt;50000,"$25k-$50k",IF(D5712&lt;75000,"$50k-$75k",IF(D5712&lt;100000,"$75k-$100k","$100k+")))))</x:f>
        <x:v>$25k-$50k</x:v>
      </x:c>
      <x:c r="P5712" t="str">
        <x:f>IF(E5712="","Unknown",IF(E5712&lt;10,"&lt;10",IF(E5712&lt;20,"10-&lt;20",IF(E5712&lt;25,"20-&lt;25",IF(E5712&lt;35,"25-&lt;35","35+")))))</x:f>
        <x:v>20-&lt;25</x:v>
      </x:c>
    </x:row>
    <x:row r="5713">
      <x:c r="A5713" t="str">
        <x:v>SYN0005712</x:v>
      </x:c>
      <x:c r="B5713" s="12" t="n">
        <x:v>42715</x:v>
      </x:c>
      <x:c r="C5713" s="18" t="n">
        <x:v>10454</x:v>
      </x:c>
      <x:c r="D5713" s="18" t="n">
        <x:v>29100</x:v>
      </x:c>
      <x:c r="E5713" s="18" t="n">
        <x:v>15.64</x:v>
      </x:c>
      <x:c r="F5713" s="18" t="n">
        <x:v>5.44</x:v>
      </x:c>
      <x:c r="G5713" t="n">
        <x:v>60</x:v>
      </x:c>
      <x:c r="H5713" t="str">
        <x:v>B</x:v>
      </x:c>
      <x:c r="I5713" t="str">
        <x:v>7-9 years</x:v>
      </x:c>
      <x:c r="J5713" t="str">
        <x:v>MORTGAGE</x:v>
      </x:c>
      <x:c r="K5713" t="str">
        <x:v>debt_consolidation</x:v>
      </x:c>
      <x:c r="L5713" t="n">
        <x:v>1</x:v>
      </x:c>
      <x:c r="M5713" t="n">
        <x:v>0</x:v>
      </x:c>
      <x:c r="N5713" t="str">
        <x:v>Fully Paid</x:v>
      </x:c>
      <x:c r="O5713" t="str">
        <x:f>IF(D5713="","Unknown",IF(D5713&lt;25000,"&lt;$25k",IF(D5713&lt;50000,"$25k-$50k",IF(D5713&lt;75000,"$50k-$75k",IF(D5713&lt;100000,"$75k-$100k","$100k+")))))</x:f>
        <x:v>$25k-$50k</x:v>
      </x:c>
      <x:c r="P5713" t="str">
        <x:f>IF(E5713="","Unknown",IF(E5713&lt;10,"&lt;10",IF(E5713&lt;20,"10-&lt;20",IF(E5713&lt;25,"20-&lt;25",IF(E5713&lt;35,"25-&lt;35","35+")))))</x:f>
        <x:v>10-&lt;20</x:v>
      </x:c>
    </x:row>
    <x:row r="5714">
      <x:c r="A5714" t="str">
        <x:v>SYN0005713</x:v>
      </x:c>
      <x:c r="B5714" s="12" t="n">
        <x:v>42325</x:v>
      </x:c>
      <x:c r="C5714" s="18" t="n">
        <x:v>7384</x:v>
      </x:c>
      <x:c r="D5714" s="18" t="n">
        <x:v>95286</x:v>
      </x:c>
      <x:c r="E5714" s="18" t="n">
        <x:v>22.13</x:v>
      </x:c>
      <x:c r="F5714" s="18" t="n">
        <x:v>6.94</x:v>
      </x:c>
      <x:c r="G5714" t="n">
        <x:v>36</x:v>
      </x:c>
      <x:c r="H5714" t="str">
        <x:v>A</x:v>
      </x:c>
      <x:c r="I5714" t="str">
        <x:v>1-3 years</x:v>
      </x:c>
      <x:c r="J5714" t="str">
        <x:v>OWN</x:v>
      </x:c>
      <x:c r="K5714" t="str">
        <x:v>debt_consolidation</x:v>
      </x:c>
      <x:c r="L5714" t="n">
        <x:v>1</x:v>
      </x:c>
      <x:c r="M5714" t="n">
        <x:v>0</x:v>
      </x:c>
      <x:c r="N5714" t="str">
        <x:v>Fully Paid</x:v>
      </x:c>
      <x:c r="O5714" t="str">
        <x:f>IF(D5714="","Unknown",IF(D5714&lt;25000,"&lt;$25k",IF(D5714&lt;50000,"$25k-$50k",IF(D5714&lt;75000,"$50k-$75k",IF(D5714&lt;100000,"$75k-$100k","$100k+")))))</x:f>
        <x:v>$75k-$100k</x:v>
      </x:c>
      <x:c r="P5714" t="str">
        <x:f>IF(E5714="","Unknown",IF(E5714&lt;10,"&lt;10",IF(E5714&lt;20,"10-&lt;20",IF(E5714&lt;25,"20-&lt;25",IF(E5714&lt;35,"25-&lt;35","35+")))))</x:f>
        <x:v>20-&lt;25</x:v>
      </x:c>
    </x:row>
    <x:row r="5715">
      <x:c r="A5715" t="str">
        <x:v>SYN0005714</x:v>
      </x:c>
      <x:c r="B5715" s="12" t="n">
        <x:v>41395</x:v>
      </x:c>
      <x:c r="C5715" s="18" t="n">
        <x:v>11416</x:v>
      </x:c>
      <x:c r="D5715" s="18" t="n">
        <x:v>97792</x:v>
      </x:c>
      <x:c r="E5715" s="18" t="n">
        <x:v>19.48</x:v>
      </x:c>
      <x:c r="F5715" s="18" t="n">
        <x:v>10.48</x:v>
      </x:c>
      <x:c r="G5715" t="n">
        <x:v>36</x:v>
      </x:c>
      <x:c r="H5715" t="str">
        <x:v>C</x:v>
      </x:c>
      <x:c r="I5715" t="str">
        <x:v>10+ years</x:v>
      </x:c>
      <x:c r="J5715" t="str">
        <x:v>MORTGAGE</x:v>
      </x:c>
      <x:c r="K5715" t="str">
        <x:v>other</x:v>
      </x:c>
      <x:c r="L5715" t="n">
        <x:v>0</x:v>
      </x:c>
      <x:c r="M5715" t="n">
        <x:v>0</x:v>
      </x:c>
      <x:c r="N5715" t="str">
        <x:v>Fully Paid</x:v>
      </x:c>
      <x:c r="O5715" t="str">
        <x:f>IF(D5715="","Unknown",IF(D5715&lt;25000,"&lt;$25k",IF(D5715&lt;50000,"$25k-$50k",IF(D5715&lt;75000,"$50k-$75k",IF(D5715&lt;100000,"$75k-$100k","$100k+")))))</x:f>
        <x:v>$75k-$100k</x:v>
      </x:c>
      <x:c r="P5715" t="str">
        <x:f>IF(E5715="","Unknown",IF(E5715&lt;10,"&lt;10",IF(E5715&lt;20,"10-&lt;20",IF(E5715&lt;25,"20-&lt;25",IF(E5715&lt;35,"25-&lt;35","35+")))))</x:f>
        <x:v>10-&lt;20</x:v>
      </x:c>
    </x:row>
    <x:row r="5716">
      <x:c r="A5716" t="str">
        <x:v>SYN0005715</x:v>
      </x:c>
      <x:c r="B5716" s="12" t="n">
        <x:v>41335</x:v>
      </x:c>
      <x:c r="C5716" s="18" t="n">
        <x:v>21482</x:v>
      </x:c>
      <x:c r="D5716" s="18" t="n">
        <x:v>164303</x:v>
      </x:c>
      <x:c r="E5716" s="18" t="n">
        <x:v>33.8</x:v>
      </x:c>
      <x:c r="F5716" s="18" t="n">
        <x:v>16.12</x:v>
      </x:c>
      <x:c r="G5716" t="n">
        <x:v>36</x:v>
      </x:c>
      <x:c r="H5716" t="str">
        <x:v>D</x:v>
      </x:c>
      <x:c r="I5716" t="str">
        <x:v>7-9 years</x:v>
      </x:c>
      <x:c r="J5716" t="str">
        <x:v>MORTGAGE</x:v>
      </x:c>
      <x:c r="K5716" t="str">
        <x:v>credit_card</x:v>
      </x:c>
      <x:c r="L5716" t="n">
        <x:v>0</x:v>
      </x:c>
      <x:c r="M5716" t="n">
        <x:v>1</x:v>
      </x:c>
      <x:c r="N5716" t="str">
        <x:v>Charged Off</x:v>
      </x:c>
      <x:c r="O5716" t="str">
        <x:f>IF(D5716="","Unknown",IF(D5716&lt;25000,"&lt;$25k",IF(D5716&lt;50000,"$25k-$50k",IF(D5716&lt;75000,"$50k-$75k",IF(D5716&lt;100000,"$75k-$100k","$100k+")))))</x:f>
        <x:v>$100k+</x:v>
      </x:c>
      <x:c r="P5716" t="str">
        <x:f>IF(E5716="","Unknown",IF(E5716&lt;10,"&lt;10",IF(E5716&lt;20,"10-&lt;20",IF(E5716&lt;25,"20-&lt;25",IF(E5716&lt;35,"25-&lt;35","35+")))))</x:f>
        <x:v>25-&lt;35</x:v>
      </x:c>
    </x:row>
    <x:row r="5717">
      <x:c r="A5717" t="str">
        <x:v>SYN0005716</x:v>
      </x:c>
      <x:c r="B5717" s="12" t="n">
        <x:v>42985</x:v>
      </x:c>
      <x:c r="C5717" s="18" t="n">
        <x:v>9965</x:v>
      </x:c>
      <x:c r="D5717" s="18" t="n">
        <x:v>59153</x:v>
      </x:c>
      <x:c r="E5717" s="18" t="n">
        <x:v>7.87</x:v>
      </x:c>
      <x:c r="F5717" s="18" t="n">
        <x:v>14.62</x:v>
      </x:c>
      <x:c r="G5717" t="n">
        <x:v>36</x:v>
      </x:c>
      <x:c r="H5717" t="str">
        <x:v>D</x:v>
      </x:c>
      <x:c r="I5717" t="str">
        <x:v>10+ years</x:v>
      </x:c>
      <x:c r="J5717" t="str">
        <x:v>RENT</x:v>
      </x:c>
      <x:c r="K5717" t="str">
        <x:v>credit_card</x:v>
      </x:c>
      <x:c r="L5717" t="n">
        <x:v>0</x:v>
      </x:c>
      <x:c r="M5717" t="n">
        <x:v>0</x:v>
      </x:c>
      <x:c r="N5717" t="str">
        <x:v>Fully Paid</x:v>
      </x:c>
      <x:c r="O5717" t="str">
        <x:f>IF(D5717="","Unknown",IF(D5717&lt;25000,"&lt;$25k",IF(D5717&lt;50000,"$25k-$50k",IF(D5717&lt;75000,"$50k-$75k",IF(D5717&lt;100000,"$75k-$100k","$100k+")))))</x:f>
        <x:v>$50k-$75k</x:v>
      </x:c>
      <x:c r="P5717" t="str">
        <x:f>IF(E5717="","Unknown",IF(E5717&lt;10,"&lt;10",IF(E5717&lt;20,"10-&lt;20",IF(E5717&lt;25,"20-&lt;25",IF(E5717&lt;35,"25-&lt;35","35+")))))</x:f>
        <x:v>&lt;10</x:v>
      </x:c>
    </x:row>
    <x:row r="5718">
      <x:c r="A5718" t="str">
        <x:v>SYN0005717</x:v>
      </x:c>
      <x:c r="B5718" s="12" t="n">
        <x:v>42805</x:v>
      </x:c>
      <x:c r="C5718" s="18" t="n">
        <x:v>8983</x:v>
      </x:c>
      <x:c r="D5718" s="18" t="n">
        <x:v>41196</x:v>
      </x:c>
      <x:c r="E5718" s="18" t="n">
        <x:v>32</x:v>
      </x:c>
      <x:c r="F5718" s="18" t="n">
        <x:v>18.52</x:v>
      </x:c>
      <x:c r="G5718" t="n">
        <x:v>36</x:v>
      </x:c>
      <x:c r="H5718" t="str">
        <x:v>E</x:v>
      </x:c>
      <x:c r="I5718" t="str">
        <x:v>1-3 years</x:v>
      </x:c>
      <x:c r="J5718" t="str">
        <x:v>RENT</x:v>
      </x:c>
      <x:c r="K5718" t="str">
        <x:v>debt_consolidation</x:v>
      </x:c>
      <x:c r="L5718" t="n">
        <x:v>0</x:v>
      </x:c>
      <x:c r="M5718" t="n">
        <x:v>0</x:v>
      </x:c>
      <x:c r="N5718" t="str">
        <x:v>Fully Paid</x:v>
      </x:c>
      <x:c r="O5718" t="str">
        <x:f>IF(D5718="","Unknown",IF(D5718&lt;25000,"&lt;$25k",IF(D5718&lt;50000,"$25k-$50k",IF(D5718&lt;75000,"$50k-$75k",IF(D5718&lt;100000,"$75k-$100k","$100k+")))))</x:f>
        <x:v>$25k-$50k</x:v>
      </x:c>
      <x:c r="P5718" t="str">
        <x:f>IF(E5718="","Unknown",IF(E5718&lt;10,"&lt;10",IF(E5718&lt;20,"10-&lt;20",IF(E5718&lt;25,"20-&lt;25",IF(E5718&lt;35,"25-&lt;35","35+")))))</x:f>
        <x:v>25-&lt;35</x:v>
      </x:c>
    </x:row>
    <x:row r="5719">
      <x:c r="A5719" t="str">
        <x:v>SYN0005718</x:v>
      </x:c>
      <x:c r="B5719" s="12" t="n">
        <x:v>43045</x:v>
      </x:c>
      <x:c r="C5719" s="18" t="n">
        <x:v>10393</x:v>
      </x:c>
      <x:c r="D5719" s="18" t="n">
        <x:v>33303</x:v>
      </x:c>
      <x:c r="E5719" s="18" t="n">
        <x:v>25.11</x:v>
      </x:c>
      <x:c r="F5719" s="18" t="n">
        <x:v>22.56</x:v>
      </x:c>
      <x:c r="G5719" t="n">
        <x:v>60</x:v>
      </x:c>
      <x:c r="H5719" t="str">
        <x:v>F</x:v>
      </x:c>
      <x:c r="I5719" t="str">
        <x:v>&lt;1 year</x:v>
      </x:c>
      <x:c r="J5719" t="str">
        <x:v>RENT</x:v>
      </x:c>
      <x:c r="K5719" t="str">
        <x:v>medical</x:v>
      </x:c>
      <x:c r="L5719" t="n">
        <x:v>1</x:v>
      </x:c>
      <x:c r="M5719" t="n">
        <x:v>0</x:v>
      </x:c>
      <x:c r="N5719" t="str">
        <x:v>Fully Paid</x:v>
      </x:c>
      <x:c r="O5719" t="str">
        <x:f>IF(D5719="","Unknown",IF(D5719&lt;25000,"&lt;$25k",IF(D5719&lt;50000,"$25k-$50k",IF(D5719&lt;75000,"$50k-$75k",IF(D5719&lt;100000,"$75k-$100k","$100k+")))))</x:f>
        <x:v>$25k-$50k</x:v>
      </x:c>
      <x:c r="P5719" t="str">
        <x:f>IF(E5719="","Unknown",IF(E5719&lt;10,"&lt;10",IF(E5719&lt;20,"10-&lt;20",IF(E5719&lt;25,"20-&lt;25",IF(E5719&lt;35,"25-&lt;35","35+")))))</x:f>
        <x:v>25-&lt;35</x:v>
      </x:c>
    </x:row>
    <x:row r="5720">
      <x:c r="A5720" t="str">
        <x:v>SYN0005719</x:v>
      </x:c>
      <x:c r="B5720" s="12" t="n">
        <x:v>41935</x:v>
      </x:c>
      <x:c r="C5720" s="18" t="n">
        <x:v>6839</x:v>
      </x:c>
      <x:c r="D5720" s="18" t="n">
        <x:v>123399</x:v>
      </x:c>
      <x:c r="E5720" s="18" t="n">
        <x:v>22.21</x:v>
      </x:c>
      <x:c r="F5720" s="18" t="n">
        <x:v>8.43</x:v>
      </x:c>
      <x:c r="G5720" t="n">
        <x:v>36</x:v>
      </x:c>
      <x:c r="H5720" t="str">
        <x:v>C</x:v>
      </x:c>
      <x:c r="I5720" t="str">
        <x:v>10+ years</x:v>
      </x:c>
      <x:c r="J5720" t="str">
        <x:v>RENT</x:v>
      </x:c>
      <x:c r="K5720" t="str">
        <x:v>debt_consolidation</x:v>
      </x:c>
      <x:c r="L5720" t="n">
        <x:v>1</x:v>
      </x:c>
      <x:c r="M5720" t="n">
        <x:v>0</x:v>
      </x:c>
      <x:c r="N5720" t="str">
        <x:v>Fully Paid</x:v>
      </x:c>
      <x:c r="O5720" t="str">
        <x:f>IF(D5720="","Unknown",IF(D5720&lt;25000,"&lt;$25k",IF(D5720&lt;50000,"$25k-$50k",IF(D5720&lt;75000,"$50k-$75k",IF(D5720&lt;100000,"$75k-$100k","$100k+")))))</x:f>
        <x:v>$100k+</x:v>
      </x:c>
      <x:c r="P5720" t="str">
        <x:f>IF(E5720="","Unknown",IF(E5720&lt;10,"&lt;10",IF(E5720&lt;20,"10-&lt;20",IF(E5720&lt;25,"20-&lt;25",IF(E5720&lt;35,"25-&lt;35","35+")))))</x:f>
        <x:v>20-&lt;25</x:v>
      </x:c>
    </x:row>
    <x:row r="5721">
      <x:c r="A5721" t="str">
        <x:v>SYN0005720</x:v>
      </x:c>
      <x:c r="B5721" s="12" t="n">
        <x:v>41305</x:v>
      </x:c>
      <x:c r="C5721" s="18" t="n">
        <x:v>31837</x:v>
      </x:c>
      <x:c r="D5721" s="18" t="n">
        <x:v>53224</x:v>
      </x:c>
      <x:c r="E5721" s="18" t="n">
        <x:v>22.26</x:v>
      </x:c>
      <x:c r="F5721" s="18" t="n">
        <x:v>19.36</x:v>
      </x:c>
      <x:c r="G5721" t="n">
        <x:v>36</x:v>
      </x:c>
      <x:c r="H5721" t="str">
        <x:v>E</x:v>
      </x:c>
      <x:c r="I5721" t="str">
        <x:v>4-6 years</x:v>
      </x:c>
      <x:c r="J5721" t="str">
        <x:v>RENT</x:v>
      </x:c>
      <x:c r="K5721" t="str">
        <x:v>debt_consolidation</x:v>
      </x:c>
      <x:c r="L5721" t="n">
        <x:v>0</x:v>
      </x:c>
      <x:c r="M5721" t="n">
        <x:v>0</x:v>
      </x:c>
      <x:c r="N5721" t="str">
        <x:v>Fully Paid</x:v>
      </x:c>
      <x:c r="O5721" t="str">
        <x:f>IF(D5721="","Unknown",IF(D5721&lt;25000,"&lt;$25k",IF(D5721&lt;50000,"$25k-$50k",IF(D5721&lt;75000,"$50k-$75k",IF(D5721&lt;100000,"$75k-$100k","$100k+")))))</x:f>
        <x:v>$50k-$75k</x:v>
      </x:c>
      <x:c r="P5721" t="str">
        <x:f>IF(E5721="","Unknown",IF(E5721&lt;10,"&lt;10",IF(E5721&lt;20,"10-&lt;20",IF(E5721&lt;25,"20-&lt;25",IF(E5721&lt;35,"25-&lt;35","35+")))))</x:f>
        <x:v>20-&lt;25</x:v>
      </x:c>
    </x:row>
    <x:row r="5722">
      <x:c r="A5722" t="str">
        <x:v>SYN0005721</x:v>
      </x:c>
      <x:c r="B5722" s="12" t="n">
        <x:v>43315</x:v>
      </x:c>
      <x:c r="C5722" s="18" t="n">
        <x:v>7671</x:v>
      </x:c>
      <x:c r="D5722" s="18" t="n">
        <x:v>44944</x:v>
      </x:c>
      <x:c r="E5722" s="18" t="n">
        <x:v>18.31</x:v>
      </x:c>
      <x:c r="F5722" s="18" t="n">
        <x:v>6.75</x:v>
      </x:c>
      <x:c r="G5722" t="n">
        <x:v>36</x:v>
      </x:c>
      <x:c r="H5722" t="str">
        <x:v>A</x:v>
      </x:c>
      <x:c r="I5722" t="str">
        <x:v>1-3 years</x:v>
      </x:c>
      <x:c r="J5722" t="str">
        <x:v>RENT</x:v>
      </x:c>
      <x:c r="K5722" t="str">
        <x:v>debt_consolidation</x:v>
      </x:c>
      <x:c r="L5722" t="n">
        <x:v>0</x:v>
      </x:c>
      <x:c r="M5722" t="n">
        <x:v>0</x:v>
      </x:c>
      <x:c r="N5722" t="str">
        <x:v>Fully Paid</x:v>
      </x:c>
      <x:c r="O5722" t="str">
        <x:f>IF(D5722="","Unknown",IF(D5722&lt;25000,"&lt;$25k",IF(D5722&lt;50000,"$25k-$50k",IF(D5722&lt;75000,"$50k-$75k",IF(D5722&lt;100000,"$75k-$100k","$100k+")))))</x:f>
        <x:v>$25k-$50k</x:v>
      </x:c>
      <x:c r="P5722" t="str">
        <x:f>IF(E5722="","Unknown",IF(E5722&lt;10,"&lt;10",IF(E5722&lt;20,"10-&lt;20",IF(E5722&lt;25,"20-&lt;25",IF(E5722&lt;35,"25-&lt;35","35+")))))</x:f>
        <x:v>10-&lt;20</x:v>
      </x:c>
    </x:row>
    <x:row r="5723">
      <x:c r="A5723" t="str">
        <x:v>SYN0005722</x:v>
      </x:c>
      <x:c r="B5723" s="12" t="n">
        <x:v>42745</x:v>
      </x:c>
      <x:c r="C5723" s="18" t="n">
        <x:v>17310</x:v>
      </x:c>
      <x:c r="D5723" s="18" t="n">
        <x:v>70871</x:v>
      </x:c>
      <x:c r="E5723" s="18" t="n">
        <x:v>19.79</x:v>
      </x:c>
      <x:c r="F5723" s="18" t="n">
        <x:v>7.57</x:v>
      </x:c>
      <x:c r="G5723" t="n">
        <x:v>36</x:v>
      </x:c>
      <x:c r="H5723" t="str">
        <x:v>B</x:v>
      </x:c>
      <x:c r="I5723" t="str">
        <x:v>1-3 years</x:v>
      </x:c>
      <x:c r="J5723" t="str">
        <x:v>MORTGAGE</x:v>
      </x:c>
      <x:c r="K5723" t="str">
        <x:v>major_purchase</x:v>
      </x:c>
      <x:c r="L5723" t="n">
        <x:v>0</x:v>
      </x:c>
      <x:c r="M5723" t="n">
        <x:v>0</x:v>
      </x:c>
      <x:c r="N5723" t="str">
        <x:v>Fully Paid</x:v>
      </x:c>
      <x:c r="O5723" t="str">
        <x:f>IF(D5723="","Unknown",IF(D5723&lt;25000,"&lt;$25k",IF(D5723&lt;50000,"$25k-$50k",IF(D5723&lt;75000,"$50k-$75k",IF(D5723&lt;100000,"$75k-$100k","$100k+")))))</x:f>
        <x:v>$50k-$75k</x:v>
      </x:c>
      <x:c r="P5723" t="str">
        <x:f>IF(E5723="","Unknown",IF(E5723&lt;10,"&lt;10",IF(E5723&lt;20,"10-&lt;20",IF(E5723&lt;25,"20-&lt;25",IF(E5723&lt;35,"25-&lt;35","35+")))))</x:f>
        <x:v>10-&lt;20</x:v>
      </x:c>
    </x:row>
    <x:row r="5724">
      <x:c r="A5724" t="str">
        <x:v>SYN0005723</x:v>
      </x:c>
      <x:c r="B5724" s="12" t="n">
        <x:v>42295</x:v>
      </x:c>
      <x:c r="C5724" s="18" t="n">
        <x:v>18097</x:v>
      </x:c>
      <x:c r="D5724" s="18" t="n">
        <x:v>68119</x:v>
      </x:c>
      <x:c r="E5724" s="18" t="n">
        <x:v>24.98</x:v>
      </x:c>
      <x:c r="F5724" s="18" t="n">
        <x:v>27.61</x:v>
      </x:c>
      <x:c r="G5724" t="n">
        <x:v>36</x:v>
      </x:c>
      <x:c r="H5724" t="str">
        <x:v>G</x:v>
      </x:c>
      <x:c r="I5724" t="str">
        <x:v>4-6 years</x:v>
      </x:c>
      <x:c r="J5724" t="str">
        <x:v>MORTGAGE</x:v>
      </x:c>
      <x:c r="K5724" t="str">
        <x:v>other</x:v>
      </x:c>
      <x:c r="L5724" t="n">
        <x:v>2</x:v>
      </x:c>
      <x:c r="M5724" t="n">
        <x:v>0</x:v>
      </x:c>
      <x:c r="N5724" t="str">
        <x:v>Fully Paid</x:v>
      </x:c>
      <x:c r="O5724" t="str">
        <x:f>IF(D5724="","Unknown",IF(D5724&lt;25000,"&lt;$25k",IF(D5724&lt;50000,"$25k-$50k",IF(D5724&lt;75000,"$50k-$75k",IF(D5724&lt;100000,"$75k-$100k","$100k+")))))</x:f>
        <x:v>$50k-$75k</x:v>
      </x:c>
      <x:c r="P5724" t="str">
        <x:f>IF(E5724="","Unknown",IF(E5724&lt;10,"&lt;10",IF(E5724&lt;20,"10-&lt;20",IF(E5724&lt;25,"20-&lt;25",IF(E5724&lt;35,"25-&lt;35","35+")))))</x:f>
        <x:v>20-&lt;25</x:v>
      </x:c>
    </x:row>
    <x:row r="5725">
      <x:c r="A5725" t="str">
        <x:v>SYN0005724</x:v>
      </x:c>
      <x:c r="B5725" s="12" t="n">
        <x:v>42985</x:v>
      </x:c>
      <x:c r="C5725" s="18" t="n">
        <x:v>8782</x:v>
      </x:c>
      <x:c r="D5725" s="18" t="n">
        <x:v>91018</x:v>
      </x:c>
      <x:c r="E5725" s="18" t="n">
        <x:v>12.4</x:v>
      </x:c>
      <x:c r="F5725" s="18" t="n">
        <x:v>8.89</x:v>
      </x:c>
      <x:c r="G5725" t="n">
        <x:v>36</x:v>
      </x:c>
      <x:c r="H5725" t="str">
        <x:v>C</x:v>
      </x:c>
      <x:c r="I5725" t="str">
        <x:v>1-3 years</x:v>
      </x:c>
      <x:c r="J5725" t="str">
        <x:v>RENT</x:v>
      </x:c>
      <x:c r="K5725" t="str">
        <x:v>debt_consolidation</x:v>
      </x:c>
      <x:c r="L5725" t="n">
        <x:v>0</x:v>
      </x:c>
      <x:c r="M5725" t="n">
        <x:v>0</x:v>
      </x:c>
      <x:c r="N5725" t="str">
        <x:v>Fully Paid</x:v>
      </x:c>
      <x:c r="O5725" t="str">
        <x:f>IF(D5725="","Unknown",IF(D5725&lt;25000,"&lt;$25k",IF(D5725&lt;50000,"$25k-$50k",IF(D5725&lt;75000,"$50k-$75k",IF(D5725&lt;100000,"$75k-$100k","$100k+")))))</x:f>
        <x:v>$75k-$100k</x:v>
      </x:c>
      <x:c r="P5725" t="str">
        <x:f>IF(E5725="","Unknown",IF(E5725&lt;10,"&lt;10",IF(E5725&lt;20,"10-&lt;20",IF(E5725&lt;25,"20-&lt;25",IF(E5725&lt;35,"25-&lt;35","35+")))))</x:f>
        <x:v>10-&lt;20</x:v>
      </x:c>
    </x:row>
    <x:row r="5726">
      <x:c r="A5726" t="str">
        <x:v>SYN0005725</x:v>
      </x:c>
      <x:c r="B5726" s="12" t="n">
        <x:v>42205</x:v>
      </x:c>
      <x:c r="C5726" s="18" t="n">
        <x:v>13560</x:v>
      </x:c>
      <x:c r="D5726" s="18" t="n">
        <x:v>86469</x:v>
      </x:c>
      <x:c r="E5726" s="18" t="n">
        <x:v>26.13</x:v>
      </x:c>
      <x:c r="F5726" s="18" t="n">
        <x:v>12.3</x:v>
      </x:c>
      <x:c r="G5726" t="n">
        <x:v>36</x:v>
      </x:c>
      <x:c r="H5726" t="str">
        <x:v>D</x:v>
      </x:c>
      <x:c r="I5726" t="str">
        <x:v>1-3 years</x:v>
      </x:c>
      <x:c r="J5726" t="str">
        <x:v>OWN</x:v>
      </x:c>
      <x:c r="K5726" t="str">
        <x:v>major_purchase</x:v>
      </x:c>
      <x:c r="L5726" t="n">
        <x:v>2</x:v>
      </x:c>
      <x:c r="M5726" t="n">
        <x:v>0</x:v>
      </x:c>
      <x:c r="N5726" t="str">
        <x:v>Fully Paid</x:v>
      </x:c>
      <x:c r="O5726" t="str">
        <x:f>IF(D5726="","Unknown",IF(D5726&lt;25000,"&lt;$25k",IF(D5726&lt;50000,"$25k-$50k",IF(D5726&lt;75000,"$50k-$75k",IF(D5726&lt;100000,"$75k-$100k","$100k+")))))</x:f>
        <x:v>$75k-$100k</x:v>
      </x:c>
      <x:c r="P5726" t="str">
        <x:f>IF(E5726="","Unknown",IF(E5726&lt;10,"&lt;10",IF(E5726&lt;20,"10-&lt;20",IF(E5726&lt;25,"20-&lt;25",IF(E5726&lt;35,"25-&lt;35","35+")))))</x:f>
        <x:v>25-&lt;35</x:v>
      </x:c>
    </x:row>
    <x:row r="5727">
      <x:c r="A5727" t="str">
        <x:v>SYN0005726</x:v>
      </x:c>
      <x:c r="B5727" s="12" t="n">
        <x:v>42985</x:v>
      </x:c>
      <x:c r="C5727" s="18" t="n">
        <x:v>7329</x:v>
      </x:c>
      <x:c r="D5727" s="18" t="n">
        <x:v>150837</x:v>
      </x:c>
      <x:c r="E5727" s="18" t="n">
        <x:v>0</x:v>
      </x:c>
      <x:c r="F5727" s="18" t="n">
        <x:v>11.23</x:v>
      </x:c>
      <x:c r="G5727" t="n">
        <x:v>36</x:v>
      </x:c>
      <x:c r="H5727" t="str">
        <x:v>B</x:v>
      </x:c>
      <x:c r="I5727" t="str">
        <x:v>4-6 years</x:v>
      </x:c>
      <x:c r="J5727" t="str">
        <x:v>OWN</x:v>
      </x:c>
      <x:c r="K5727" t="str">
        <x:v>debt_consolidation</x:v>
      </x:c>
      <x:c r="L5727" t="n">
        <x:v>0</x:v>
      </x:c>
      <x:c r="M5727" t="n">
        <x:v>0</x:v>
      </x:c>
      <x:c r="N5727" t="str">
        <x:v>Fully Paid</x:v>
      </x:c>
      <x:c r="O5727" t="str">
        <x:f>IF(D5727="","Unknown",IF(D5727&lt;25000,"&lt;$25k",IF(D5727&lt;50000,"$25k-$50k",IF(D5727&lt;75000,"$50k-$75k",IF(D5727&lt;100000,"$75k-$100k","$100k+")))))</x:f>
        <x:v>$100k+</x:v>
      </x:c>
      <x:c r="P5727" t="str">
        <x:f>IF(E5727="","Unknown",IF(E5727&lt;10,"&lt;10",IF(E5727&lt;20,"10-&lt;20",IF(E5727&lt;25,"20-&lt;25",IF(E5727&lt;35,"25-&lt;35","35+")))))</x:f>
        <x:v>Unknown</x:v>
      </x:c>
    </x:row>
    <x:row r="5728">
      <x:c r="A5728" t="str">
        <x:v>SYN0005727</x:v>
      </x:c>
      <x:c r="B5728" s="12" t="n">
        <x:v>41905</x:v>
      </x:c>
      <x:c r="C5728" s="18" t="n">
        <x:v>17571</x:v>
      </x:c>
      <x:c r="D5728" s="18" t="n">
        <x:v>51871</x:v>
      </x:c>
      <x:c r="E5728" s="18" t="n">
        <x:v>20.83</x:v>
      </x:c>
      <x:c r="F5728" s="18" t="n">
        <x:v>11.31</x:v>
      </x:c>
      <x:c r="G5728" t="n">
        <x:v>36</x:v>
      </x:c>
      <x:c r="H5728" t="str">
        <x:v>C</x:v>
      </x:c>
      <x:c r="I5728" t="str">
        <x:v>4-6 years</x:v>
      </x:c>
      <x:c r="J5728" t="str">
        <x:v>RENT</x:v>
      </x:c>
      <x:c r="K5728" t="str">
        <x:v>other</x:v>
      </x:c>
      <x:c r="L5728" t="n">
        <x:v>0</x:v>
      </x:c>
      <x:c r="M5728" t="n">
        <x:v>0</x:v>
      </x:c>
      <x:c r="N5728" t="str">
        <x:v>Fully Paid</x:v>
      </x:c>
      <x:c r="O5728" t="str">
        <x:f>IF(D5728="","Unknown",IF(D5728&lt;25000,"&lt;$25k",IF(D5728&lt;50000,"$25k-$50k",IF(D5728&lt;75000,"$50k-$75k",IF(D5728&lt;100000,"$75k-$100k","$100k+")))))</x:f>
        <x:v>$50k-$75k</x:v>
      </x:c>
      <x:c r="P5728" t="str">
        <x:f>IF(E5728="","Unknown",IF(E5728&lt;10,"&lt;10",IF(E5728&lt;20,"10-&lt;20",IF(E5728&lt;25,"20-&lt;25",IF(E5728&lt;35,"25-&lt;35","35+")))))</x:f>
        <x:v>20-&lt;25</x:v>
      </x:c>
    </x:row>
    <x:row r="5729">
      <x:c r="A5729" t="str">
        <x:v>SYN0005728</x:v>
      </x:c>
      <x:c r="B5729" s="12" t="n">
        <x:v>42625</x:v>
      </x:c>
      <x:c r="C5729" s="18" t="n">
        <x:v>14606</x:v>
      </x:c>
      <x:c r="D5729" s="18" t="n">
        <x:v>67355</x:v>
      </x:c>
      <x:c r="E5729" s="18" t="n">
        <x:v>9</x:v>
      </x:c>
      <x:c r="F5729" s="18" t="n">
        <x:v>11.09</x:v>
      </x:c>
      <x:c r="G5729" t="n">
        <x:v>60</x:v>
      </x:c>
      <x:c r="H5729" t="str">
        <x:v>B</x:v>
      </x:c>
      <x:c r="I5729" t="str">
        <x:v>10+ years</x:v>
      </x:c>
      <x:c r="J5729" t="str">
        <x:v>OWN</x:v>
      </x:c>
      <x:c r="K5729" t="str">
        <x:v>medical</x:v>
      </x:c>
      <x:c r="L5729" t="n">
        <x:v>1</x:v>
      </x:c>
      <x:c r="M5729" t="n">
        <x:v>0</x:v>
      </x:c>
      <x:c r="N5729" t="str">
        <x:v>Fully Paid</x:v>
      </x:c>
      <x:c r="O5729" t="str">
        <x:f>IF(D5729="","Unknown",IF(D5729&lt;25000,"&lt;$25k",IF(D5729&lt;50000,"$25k-$50k",IF(D5729&lt;75000,"$50k-$75k",IF(D5729&lt;100000,"$75k-$100k","$100k+")))))</x:f>
        <x:v>$50k-$75k</x:v>
      </x:c>
      <x:c r="P5729" t="str">
        <x:f>IF(E5729="","Unknown",IF(E5729&lt;10,"&lt;10",IF(E5729&lt;20,"10-&lt;20",IF(E5729&lt;25,"20-&lt;25",IF(E5729&lt;35,"25-&lt;35","35+")))))</x:f>
        <x:v>&lt;10</x:v>
      </x:c>
    </x:row>
    <x:row r="5730">
      <x:c r="A5730" t="str">
        <x:v>SYN0005729</x:v>
      </x:c>
      <x:c r="B5730" s="12" t="n">
        <x:v>43165</x:v>
      </x:c>
      <x:c r="C5730" s="18" t="n">
        <x:v>11983</x:v>
      </x:c>
      <x:c r="D5730" s="18" t="n">
        <x:v>47443</x:v>
      </x:c>
      <x:c r="E5730" s="18" t="n">
        <x:v>26.75</x:v>
      </x:c>
      <x:c r="F5730" s="18" t="n">
        <x:v>18.78</x:v>
      </x:c>
      <x:c r="G5730" t="n">
        <x:v>36</x:v>
      </x:c>
      <x:c r="H5730" t="str">
        <x:v>E</x:v>
      </x:c>
      <x:c r="I5730" t="str">
        <x:v>7-9 years</x:v>
      </x:c>
      <x:c r="J5730" t="str">
        <x:v>MORTGAGE</x:v>
      </x:c>
      <x:c r="K5730" t="str">
        <x:v>debt_consolidation</x:v>
      </x:c>
      <x:c r="L5730" t="n">
        <x:v>1</x:v>
      </x:c>
      <x:c r="M5730" t="n">
        <x:v>0</x:v>
      </x:c>
      <x:c r="N5730" t="str">
        <x:v>Fully Paid</x:v>
      </x:c>
      <x:c r="O5730" t="str">
        <x:f>IF(D5730="","Unknown",IF(D5730&lt;25000,"&lt;$25k",IF(D5730&lt;50000,"$25k-$50k",IF(D5730&lt;75000,"$50k-$75k",IF(D5730&lt;100000,"$75k-$100k","$100k+")))))</x:f>
        <x:v>$25k-$50k</x:v>
      </x:c>
      <x:c r="P5730" t="str">
        <x:f>IF(E5730="","Unknown",IF(E5730&lt;10,"&lt;10",IF(E5730&lt;20,"10-&lt;20",IF(E5730&lt;25,"20-&lt;25",IF(E5730&lt;35,"25-&lt;35","35+")))))</x:f>
        <x:v>25-&lt;35</x:v>
      </x:c>
    </x:row>
    <x:row r="5731">
      <x:c r="A5731" t="str">
        <x:v>SYN0005730</x:v>
      </x:c>
      <x:c r="B5731" s="12" t="n">
        <x:v>42385</x:v>
      </x:c>
      <x:c r="C5731" s="18" t="n">
        <x:v>34925</x:v>
      </x:c>
      <x:c r="D5731" s="18" t="n">
        <x:v>81153</x:v>
      </x:c>
      <x:c r="E5731" s="18" t="n">
        <x:v>15.42</x:v>
      </x:c>
      <x:c r="F5731" s="18" t="n">
        <x:v>8.9</x:v>
      </x:c>
      <x:c r="G5731" t="n">
        <x:v>60</x:v>
      </x:c>
      <x:c r="H5731" t="str">
        <x:v>B</x:v>
      </x:c>
      <x:c r="I5731" t="str">
        <x:v>1-3 years</x:v>
      </x:c>
      <x:c r="J5731" t="str">
        <x:v>RENT</x:v>
      </x:c>
      <x:c r="K5731" t="str">
        <x:v>debt_consolidation</x:v>
      </x:c>
      <x:c r="L5731" t="n">
        <x:v>1</x:v>
      </x:c>
      <x:c r="M5731" t="n">
        <x:v>0</x:v>
      </x:c>
      <x:c r="N5731" t="str">
        <x:v>Fully Paid</x:v>
      </x:c>
      <x:c r="O5731" t="str">
        <x:f>IF(D5731="","Unknown",IF(D5731&lt;25000,"&lt;$25k",IF(D5731&lt;50000,"$25k-$50k",IF(D5731&lt;75000,"$50k-$75k",IF(D5731&lt;100000,"$75k-$100k","$100k+")))))</x:f>
        <x:v>$75k-$100k</x:v>
      </x:c>
      <x:c r="P5731" t="str">
        <x:f>IF(E5731="","Unknown",IF(E5731&lt;10,"&lt;10",IF(E5731&lt;20,"10-&lt;20",IF(E5731&lt;25,"20-&lt;25",IF(E5731&lt;35,"25-&lt;35","35+")))))</x:f>
        <x:v>10-&lt;20</x:v>
      </x:c>
    </x:row>
    <x:row r="5732">
      <x:c r="A5732" t="str">
        <x:v>SYN0005731</x:v>
      </x:c>
      <x:c r="B5732" s="12" t="n">
        <x:v>41365</x:v>
      </x:c>
      <x:c r="C5732" s="18" t="n">
        <x:v>12618</x:v>
      </x:c>
      <x:c r="D5732" s="18" t="n">
        <x:v>99212</x:v>
      </x:c>
      <x:c r="E5732" s="18" t="n">
        <x:v>23.28</x:v>
      </x:c>
      <x:c r="F5732" s="18" t="n">
        <x:v>10.06</x:v>
      </x:c>
      <x:c r="G5732" t="n">
        <x:v>60</x:v>
      </x:c>
      <x:c r="H5732" t="str">
        <x:v>C</x:v>
      </x:c>
      <x:c r="I5732" t="str">
        <x:v>4-6 years</x:v>
      </x:c>
      <x:c r="J5732" t="str">
        <x:v>RENT</x:v>
      </x:c>
      <x:c r="K5732" t="str">
        <x:v>credit_card</x:v>
      </x:c>
      <x:c r="L5732" t="n">
        <x:v>2</x:v>
      </x:c>
      <x:c r="M5732" t="n">
        <x:v>0</x:v>
      </x:c>
      <x:c r="N5732" t="str">
        <x:v>Fully Paid</x:v>
      </x:c>
      <x:c r="O5732" t="str">
        <x:f>IF(D5732="","Unknown",IF(D5732&lt;25000,"&lt;$25k",IF(D5732&lt;50000,"$25k-$50k",IF(D5732&lt;75000,"$50k-$75k",IF(D5732&lt;100000,"$75k-$100k","$100k+")))))</x:f>
        <x:v>$75k-$100k</x:v>
      </x:c>
      <x:c r="P5732" t="str">
        <x:f>IF(E5732="","Unknown",IF(E5732&lt;10,"&lt;10",IF(E5732&lt;20,"10-&lt;20",IF(E5732&lt;25,"20-&lt;25",IF(E5732&lt;35,"25-&lt;35","35+")))))</x:f>
        <x:v>20-&lt;25</x:v>
      </x:c>
    </x:row>
    <x:row r="5733">
      <x:c r="A5733" t="str">
        <x:v>SYN0005732</x:v>
      </x:c>
      <x:c r="B5733" s="12" t="n">
        <x:v>42655</x:v>
      </x:c>
      <x:c r="C5733" s="18" t="n">
        <x:v>40000</x:v>
      </x:c>
      <x:c r="D5733" s="18" t="n">
        <x:v>43522</x:v>
      </x:c>
      <x:c r="E5733" s="18" t="n">
        <x:v>29.79</x:v>
      </x:c>
      <x:c r="F5733" s="18" t="n">
        <x:v>13.23</x:v>
      </x:c>
      <x:c r="G5733" t="n">
        <x:v>60</x:v>
      </x:c>
      <x:c r="H5733" t="str">
        <x:v>C</x:v>
      </x:c>
      <x:c r="I5733" t="str">
        <x:v>4-6 years</x:v>
      </x:c>
      <x:c r="J5733" t="str">
        <x:v>MORTGAGE</x:v>
      </x:c>
      <x:c r="K5733" t="str">
        <x:v>debt_consolidation</x:v>
      </x:c>
      <x:c r="L5733" t="n">
        <x:v>1</x:v>
      </x:c>
      <x:c r="M5733" t="n">
        <x:v>0</x:v>
      </x:c>
      <x:c r="N5733" t="str">
        <x:v>Fully Paid</x:v>
      </x:c>
      <x:c r="O5733" t="str">
        <x:f>IF(D5733="","Unknown",IF(D5733&lt;25000,"&lt;$25k",IF(D5733&lt;50000,"$25k-$50k",IF(D5733&lt;75000,"$50k-$75k",IF(D5733&lt;100000,"$75k-$100k","$100k+")))))</x:f>
        <x:v>$25k-$50k</x:v>
      </x:c>
      <x:c r="P5733" t="str">
        <x:f>IF(E5733="","Unknown",IF(E5733&lt;10,"&lt;10",IF(E5733&lt;20,"10-&lt;20",IF(E5733&lt;25,"20-&lt;25",IF(E5733&lt;35,"25-&lt;35","35+")))))</x:f>
        <x:v>25-&lt;35</x:v>
      </x:c>
    </x:row>
    <x:row r="5734">
      <x:c r="A5734" t="str">
        <x:v>SYN0005733</x:v>
      </x:c>
      <x:c r="B5734" s="12" t="n">
        <x:v>43015</x:v>
      </x:c>
      <x:c r="C5734" s="18" t="n">
        <x:v>12614</x:v>
      </x:c>
      <x:c r="D5734" s="18" t="n">
        <x:v>37355</x:v>
      </x:c>
      <x:c r="E5734" s="18" t="n">
        <x:v>33.98</x:v>
      </x:c>
      <x:c r="F5734" s="18" t="n">
        <x:v>15.54</x:v>
      </x:c>
      <x:c r="G5734" t="n">
        <x:v>36</x:v>
      </x:c>
      <x:c r="H5734" t="str">
        <x:v>D</x:v>
      </x:c>
      <x:c r="I5734" t="str">
        <x:v>1-3 years</x:v>
      </x:c>
      <x:c r="J5734" t="str">
        <x:v>RENT</x:v>
      </x:c>
      <x:c r="K5734" t="str">
        <x:v>home_improvement</x:v>
      </x:c>
      <x:c r="L5734" t="n">
        <x:v>2</x:v>
      </x:c>
      <x:c r="M5734" t="n">
        <x:v>0</x:v>
      </x:c>
      <x:c r="N5734" t="str">
        <x:v>Fully Paid</x:v>
      </x:c>
      <x:c r="O5734" t="str">
        <x:f>IF(D5734="","Unknown",IF(D5734&lt;25000,"&lt;$25k",IF(D5734&lt;50000,"$25k-$50k",IF(D5734&lt;75000,"$50k-$75k",IF(D5734&lt;100000,"$75k-$100k","$100k+")))))</x:f>
        <x:v>$25k-$50k</x:v>
      </x:c>
      <x:c r="P5734" t="str">
        <x:f>IF(E5734="","Unknown",IF(E5734&lt;10,"&lt;10",IF(E5734&lt;20,"10-&lt;20",IF(E5734&lt;25,"20-&lt;25",IF(E5734&lt;35,"25-&lt;35","35+")))))</x:f>
        <x:v>25-&lt;35</x:v>
      </x:c>
    </x:row>
    <x:row r="5735">
      <x:c r="A5735" t="str">
        <x:v>SYN0005734</x:v>
      </x:c>
      <x:c r="B5735" s="12" t="n">
        <x:v>42925</x:v>
      </x:c>
      <x:c r="C5735" s="18" t="n">
        <x:v>12910</x:v>
      </x:c>
      <x:c r="D5735" s="18" t="n">
        <x:v>128642</x:v>
      </x:c>
      <x:c r="E5735" s="18" t="n">
        <x:v>17.04</x:v>
      </x:c>
      <x:c r="F5735" s="18" t="n">
        <x:v>16.41</x:v>
      </x:c>
      <x:c r="G5735" t="n">
        <x:v>36</x:v>
      </x:c>
      <x:c r="H5735" t="str">
        <x:v>D</x:v>
      </x:c>
      <x:c r="I5735" t="str">
        <x:v>7-9 years</x:v>
      </x:c>
      <x:c r="J5735" t="str">
        <x:v>MORTGAGE</x:v>
      </x:c>
      <x:c r="K5735" t="str">
        <x:v>medical</x:v>
      </x:c>
      <x:c r="L5735" t="n">
        <x:v>0</x:v>
      </x:c>
      <x:c r="M5735" t="n">
        <x:v>0</x:v>
      </x:c>
      <x:c r="N5735" t="str">
        <x:v>Fully Paid</x:v>
      </x:c>
      <x:c r="O5735" t="str">
        <x:f>IF(D5735="","Unknown",IF(D5735&lt;25000,"&lt;$25k",IF(D5735&lt;50000,"$25k-$50k",IF(D5735&lt;75000,"$50k-$75k",IF(D5735&lt;100000,"$75k-$100k","$100k+")))))</x:f>
        <x:v>$100k+</x:v>
      </x:c>
      <x:c r="P5735" t="str">
        <x:f>IF(E5735="","Unknown",IF(E5735&lt;10,"&lt;10",IF(E5735&lt;20,"10-&lt;20",IF(E5735&lt;25,"20-&lt;25",IF(E5735&lt;35,"25-&lt;35","35+")))))</x:f>
        <x:v>10-&lt;20</x:v>
      </x:c>
    </x:row>
    <x:row r="5736">
      <x:c r="A5736" t="str">
        <x:v>SYN0005735</x:v>
      </x:c>
      <x:c r="B5736" s="12" t="n">
        <x:v>41995</x:v>
      </x:c>
      <x:c r="C5736" s="18" t="n">
        <x:v>6410</x:v>
      </x:c>
      <x:c r="D5736" s="18" t="n">
        <x:v>59598</x:v>
      </x:c>
      <x:c r="E5736" s="18" t="n">
        <x:v>10.62</x:v>
      </x:c>
      <x:c r="F5736" s="18" t="n">
        <x:v>14.33</x:v>
      </x:c>
      <x:c r="G5736" t="n">
        <x:v>36</x:v>
      </x:c>
      <x:c r="H5736" t="str">
        <x:v>C</x:v>
      </x:c>
      <x:c r="I5736" t="str">
        <x:v>4-6 years</x:v>
      </x:c>
      <x:c r="J5736" t="str">
        <x:v>MORTGAGE</x:v>
      </x:c>
      <x:c r="K5736" t="str">
        <x:v>debt_consolidation</x:v>
      </x:c>
      <x:c r="L5736" t="n">
        <x:v>0</x:v>
      </x:c>
      <x:c r="M5736" t="n">
        <x:v>0</x:v>
      </x:c>
      <x:c r="N5736" t="str">
        <x:v>Fully Paid</x:v>
      </x:c>
      <x:c r="O5736" t="str">
        <x:f>IF(D5736="","Unknown",IF(D5736&lt;25000,"&lt;$25k",IF(D5736&lt;50000,"$25k-$50k",IF(D5736&lt;75000,"$50k-$75k",IF(D5736&lt;100000,"$75k-$100k","$100k+")))))</x:f>
        <x:v>$50k-$75k</x:v>
      </x:c>
      <x:c r="P5736" t="str">
        <x:f>IF(E5736="","Unknown",IF(E5736&lt;10,"&lt;10",IF(E5736&lt;20,"10-&lt;20",IF(E5736&lt;25,"20-&lt;25",IF(E5736&lt;35,"25-&lt;35","35+")))))</x:f>
        <x:v>10-&lt;20</x:v>
      </x:c>
    </x:row>
    <x:row r="5737">
      <x:c r="A5737" t="str">
        <x:v>SYN0005736</x:v>
      </x:c>
      <x:c r="B5737" s="12" t="n">
        <x:v>43315</x:v>
      </x:c>
      <x:c r="C5737" s="18" t="n">
        <x:v>13685</x:v>
      </x:c>
      <x:c r="D5737" s="18" t="n">
        <x:v>77123</x:v>
      </x:c>
      <x:c r="E5737" s="18" t="n">
        <x:v>0</x:v>
      </x:c>
      <x:c r="F5737" s="18" t="n">
        <x:v>5.53</x:v>
      </x:c>
      <x:c r="G5737" t="n">
        <x:v>36</x:v>
      </x:c>
      <x:c r="H5737" t="str">
        <x:v>A</x:v>
      </x:c>
      <x:c r="I5737" t="str">
        <x:v>10+ years</x:v>
      </x:c>
      <x:c r="J5737" t="str">
        <x:v>RENT</x:v>
      </x:c>
      <x:c r="K5737" t="str">
        <x:v>major_purchase</x:v>
      </x:c>
      <x:c r="L5737" t="n">
        <x:v>0</x:v>
      </x:c>
      <x:c r="M5737" t="n">
        <x:v>0</x:v>
      </x:c>
      <x:c r="N5737" t="str">
        <x:v>Fully Paid</x:v>
      </x:c>
      <x:c r="O5737" t="str">
        <x:f>IF(D5737="","Unknown",IF(D5737&lt;25000,"&lt;$25k",IF(D5737&lt;50000,"$25k-$50k",IF(D5737&lt;75000,"$50k-$75k",IF(D5737&lt;100000,"$75k-$100k","$100k+")))))</x:f>
        <x:v>$75k-$100k</x:v>
      </x:c>
      <x:c r="P5737" t="str">
        <x:f>IF(E5737="","Unknown",IF(E5737&lt;10,"&lt;10",IF(E5737&lt;20,"10-&lt;20",IF(E5737&lt;25,"20-&lt;25",IF(E5737&lt;35,"25-&lt;35","35+")))))</x:f>
        <x:v>Unknown</x:v>
      </x:c>
    </x:row>
    <x:row r="5738">
      <x:c r="A5738" t="str">
        <x:v>SYN0005737</x:v>
      </x:c>
      <x:c r="B5738" s="12" t="n">
        <x:v>41815</x:v>
      </x:c>
      <x:c r="C5738" s="18" t="n">
        <x:v>30596</x:v>
      </x:c>
      <x:c r="D5738" s="18" t="n">
        <x:v>19368</x:v>
      </x:c>
      <x:c r="E5738" s="18" t="n">
        <x:v>22.71</x:v>
      </x:c>
      <x:c r="F5738" s="18" t="n">
        <x:v>19.14</x:v>
      </x:c>
      <x:c r="G5738" t="n">
        <x:v>60</x:v>
      </x:c>
      <x:c r="H5738" t="str">
        <x:v>E</x:v>
      </x:c>
      <x:c r="I5738" t="str">
        <x:v>4-6 years</x:v>
      </x:c>
      <x:c r="J5738" t="str">
        <x:v>RENT</x:v>
      </x:c>
      <x:c r="K5738" t="str">
        <x:v>other</x:v>
      </x:c>
      <x:c r="L5738" t="n">
        <x:v>1</x:v>
      </x:c>
      <x:c r="M5738" t="n">
        <x:v>1</x:v>
      </x:c>
      <x:c r="N5738" t="str">
        <x:v>Charged Off</x:v>
      </x:c>
      <x:c r="O5738" t="str">
        <x:f>IF(D5738="","Unknown",IF(D5738&lt;25000,"&lt;$25k",IF(D5738&lt;50000,"$25k-$50k",IF(D5738&lt;75000,"$50k-$75k",IF(D5738&lt;100000,"$75k-$100k","$100k+")))))</x:f>
        <x:v>&lt;$25k</x:v>
      </x:c>
      <x:c r="P5738" t="str">
        <x:f>IF(E5738="","Unknown",IF(E5738&lt;10,"&lt;10",IF(E5738&lt;20,"10-&lt;20",IF(E5738&lt;25,"20-&lt;25",IF(E5738&lt;35,"25-&lt;35","35+")))))</x:f>
        <x:v>20-&lt;25</x:v>
      </x:c>
    </x:row>
    <x:row r="5739">
      <x:c r="A5739" t="str">
        <x:v>SYN0005738</x:v>
      </x:c>
      <x:c r="B5739" s="12" t="n">
        <x:v>41845</x:v>
      </x:c>
      <x:c r="C5739" s="18" t="n">
        <x:v>20113</x:v>
      </x:c>
      <x:c r="D5739" s="18" t="n">
        <x:v>29436</x:v>
      </x:c>
      <x:c r="E5739" s="18" t="n">
        <x:v>24.27</x:v>
      </x:c>
      <x:c r="F5739" s="18" t="n">
        <x:v>19.16</x:v>
      </x:c>
      <x:c r="G5739" t="n">
        <x:v>36</x:v>
      </x:c>
      <x:c r="H5739" t="str">
        <x:v>F</x:v>
      </x:c>
      <x:c r="I5739" t="str">
        <x:v>4-6 years</x:v>
      </x:c>
      <x:c r="J5739" t="str">
        <x:v>RENT</x:v>
      </x:c>
      <x:c r="K5739" t="str">
        <x:v>credit_card</x:v>
      </x:c>
      <x:c r="L5739" t="n">
        <x:v>1</x:v>
      </x:c>
      <x:c r="M5739" t="n">
        <x:v>0</x:v>
      </x:c>
      <x:c r="N5739" t="str">
        <x:v>Fully Paid</x:v>
      </x:c>
      <x:c r="O5739" t="str">
        <x:f>IF(D5739="","Unknown",IF(D5739&lt;25000,"&lt;$25k",IF(D5739&lt;50000,"$25k-$50k",IF(D5739&lt;75000,"$50k-$75k",IF(D5739&lt;100000,"$75k-$100k","$100k+")))))</x:f>
        <x:v>$25k-$50k</x:v>
      </x:c>
      <x:c r="P5739" t="str">
        <x:f>IF(E5739="","Unknown",IF(E5739&lt;10,"&lt;10",IF(E5739&lt;20,"10-&lt;20",IF(E5739&lt;25,"20-&lt;25",IF(E5739&lt;35,"25-&lt;35","35+")))))</x:f>
        <x:v>20-&lt;25</x:v>
      </x:c>
    </x:row>
    <x:row r="5740">
      <x:c r="A5740" t="str">
        <x:v>SYN0005739</x:v>
      </x:c>
      <x:c r="B5740" s="12" t="n">
        <x:v>41965</x:v>
      </x:c>
      <x:c r="C5740" s="18" t="n">
        <x:v>10066</x:v>
      </x:c>
      <x:c r="D5740" s="18" t="n">
        <x:v>100126</x:v>
      </x:c>
      <x:c r="E5740" s="18" t="n">
        <x:v>9.61</x:v>
      </x:c>
      <x:c r="F5740" s="18" t="n">
        <x:v>8.87</x:v>
      </x:c>
      <x:c r="G5740" t="n">
        <x:v>36</x:v>
      </x:c>
      <x:c r="H5740" t="str">
        <x:v>B</x:v>
      </x:c>
      <x:c r="I5740" t="str">
        <x:v>10+ years</x:v>
      </x:c>
      <x:c r="J5740" t="str">
        <x:v>MORTGAGE</x:v>
      </x:c>
      <x:c r="K5740" t="str">
        <x:v>debt_consolidation</x:v>
      </x:c>
      <x:c r="L5740" t="n">
        <x:v>1</x:v>
      </x:c>
      <x:c r="M5740" t="n">
        <x:v>0</x:v>
      </x:c>
      <x:c r="N5740" t="str">
        <x:v>Fully Paid</x:v>
      </x:c>
      <x:c r="O5740" t="str">
        <x:f>IF(D5740="","Unknown",IF(D5740&lt;25000,"&lt;$25k",IF(D5740&lt;50000,"$25k-$50k",IF(D5740&lt;75000,"$50k-$75k",IF(D5740&lt;100000,"$75k-$100k","$100k+")))))</x:f>
        <x:v>$100k+</x:v>
      </x:c>
      <x:c r="P5740" t="str">
        <x:f>IF(E5740="","Unknown",IF(E5740&lt;10,"&lt;10",IF(E5740&lt;20,"10-&lt;20",IF(E5740&lt;25,"20-&lt;25",IF(E5740&lt;35,"25-&lt;35","35+")))))</x:f>
        <x:v>&lt;10</x:v>
      </x:c>
    </x:row>
    <x:row r="5741">
      <x:c r="A5741" t="str">
        <x:v>SYN0005740</x:v>
      </x:c>
      <x:c r="B5741" s="12" t="n">
        <x:v>42415</x:v>
      </x:c>
      <x:c r="C5741" s="18" t="n">
        <x:v>18541</x:v>
      </x:c>
      <x:c r="D5741" s="18" t="n">
        <x:v>45745</x:v>
      </x:c>
      <x:c r="E5741" s="18" t="n">
        <x:v>7.16</x:v>
      </x:c>
      <x:c r="F5741" s="18" t="n">
        <x:v>8.47</x:v>
      </x:c>
      <x:c r="G5741" t="n">
        <x:v>36</x:v>
      </x:c>
      <x:c r="H5741" t="str">
        <x:v>A</x:v>
      </x:c>
      <x:c r="I5741" t="str">
        <x:v>7-9 years</x:v>
      </x:c>
      <x:c r="J5741" t="str">
        <x:v>RENT</x:v>
      </x:c>
      <x:c r="K5741" t="str">
        <x:v>credit_card</x:v>
      </x:c>
      <x:c r="L5741" t="n">
        <x:v>0</x:v>
      </x:c>
      <x:c r="M5741" t="n">
        <x:v>0</x:v>
      </x:c>
      <x:c r="N5741" t="str">
        <x:v>Fully Paid</x:v>
      </x:c>
      <x:c r="O5741" t="str">
        <x:f>IF(D5741="","Unknown",IF(D5741&lt;25000,"&lt;$25k",IF(D5741&lt;50000,"$25k-$50k",IF(D5741&lt;75000,"$50k-$75k",IF(D5741&lt;100000,"$75k-$100k","$100k+")))))</x:f>
        <x:v>$25k-$50k</x:v>
      </x:c>
      <x:c r="P5741" t="str">
        <x:f>IF(E5741="","Unknown",IF(E5741&lt;10,"&lt;10",IF(E5741&lt;20,"10-&lt;20",IF(E5741&lt;25,"20-&lt;25",IF(E5741&lt;35,"25-&lt;35","35+")))))</x:f>
        <x:v>&lt;10</x:v>
      </x:c>
    </x:row>
    <x:row r="5742">
      <x:c r="A5742" t="str">
        <x:v>SYN0005741</x:v>
      </x:c>
      <x:c r="B5742" s="12" t="n">
        <x:v>42505</x:v>
      </x:c>
      <x:c r="C5742" s="18" t="n">
        <x:v>21542</x:v>
      </x:c>
      <x:c r="D5742" s="18" t="n">
        <x:v>41198</x:v>
      </x:c>
      <x:c r="E5742" s="18" t="n">
        <x:v>8.72</x:v>
      </x:c>
      <x:c r="F5742" s="18" t="n">
        <x:v>21.64</x:v>
      </x:c>
      <x:c r="G5742" t="n">
        <x:v>60</x:v>
      </x:c>
      <x:c r="H5742" t="str">
        <x:v>F</x:v>
      </x:c>
      <x:c r="I5742" t="str">
        <x:v>10+ years</x:v>
      </x:c>
      <x:c r="J5742" t="str">
        <x:v>MORTGAGE</x:v>
      </x:c>
      <x:c r="K5742" t="str">
        <x:v>debt_consolidation</x:v>
      </x:c>
      <x:c r="L5742" t="n">
        <x:v>2</x:v>
      </x:c>
      <x:c r="M5742" t="n">
        <x:v>1</x:v>
      </x:c>
      <x:c r="N5742" t="str">
        <x:v>Charged Off</x:v>
      </x:c>
      <x:c r="O5742" t="str">
        <x:f>IF(D5742="","Unknown",IF(D5742&lt;25000,"&lt;$25k",IF(D5742&lt;50000,"$25k-$50k",IF(D5742&lt;75000,"$50k-$75k",IF(D5742&lt;100000,"$75k-$100k","$100k+")))))</x:f>
        <x:v>$25k-$50k</x:v>
      </x:c>
      <x:c r="P5742" t="str">
        <x:f>IF(E5742="","Unknown",IF(E5742&lt;10,"&lt;10",IF(E5742&lt;20,"10-&lt;20",IF(E5742&lt;25,"20-&lt;25",IF(E5742&lt;35,"25-&lt;35","35+")))))</x:f>
        <x:v>&lt;10</x:v>
      </x:c>
    </x:row>
    <x:row r="5743">
      <x:c r="A5743" t="str">
        <x:v>SYN0005742</x:v>
      </x:c>
      <x:c r="B5743" s="12" t="n">
        <x:v>41515</x:v>
      </x:c>
      <x:c r="C5743" s="18" t="n">
        <x:v>36411</x:v>
      </x:c>
      <x:c r="D5743" s="18" t="n">
        <x:v>132303</x:v>
      </x:c>
      <x:c r="E5743" s="18" t="n">
        <x:v>25.52</x:v>
      </x:c>
      <x:c r="F5743" s="18" t="n">
        <x:v>8.11</x:v>
      </x:c>
      <x:c r="G5743" t="n">
        <x:v>36</x:v>
      </x:c>
      <x:c r="H5743" t="str">
        <x:v>B</x:v>
      </x:c>
      <x:c r="I5743" t="str">
        <x:v>10+ years</x:v>
      </x:c>
      <x:c r="J5743" t="str">
        <x:v>MORTGAGE</x:v>
      </x:c>
      <x:c r="K5743" t="str">
        <x:v>major_purchase</x:v>
      </x:c>
      <x:c r="L5743" t="n">
        <x:v>0</x:v>
      </x:c>
      <x:c r="M5743" t="n">
        <x:v>0</x:v>
      </x:c>
      <x:c r="N5743" t="str">
        <x:v>Fully Paid</x:v>
      </x:c>
      <x:c r="O5743" t="str">
        <x:f>IF(D5743="","Unknown",IF(D5743&lt;25000,"&lt;$25k",IF(D5743&lt;50000,"$25k-$50k",IF(D5743&lt;75000,"$50k-$75k",IF(D5743&lt;100000,"$75k-$100k","$100k+")))))</x:f>
        <x:v>$100k+</x:v>
      </x:c>
      <x:c r="P5743" t="str">
        <x:f>IF(E5743="","Unknown",IF(E5743&lt;10,"&lt;10",IF(E5743&lt;20,"10-&lt;20",IF(E5743&lt;25,"20-&lt;25",IF(E5743&lt;35,"25-&lt;35","35+")))))</x:f>
        <x:v>25-&lt;35</x:v>
      </x:c>
    </x:row>
    <x:row r="5744">
      <x:c r="A5744" t="str">
        <x:v>SYN0005743</x:v>
      </x:c>
      <x:c r="B5744" s="12" t="n">
        <x:v>41965</x:v>
      </x:c>
      <x:c r="C5744" s="18" t="n">
        <x:v>24275</x:v>
      </x:c>
      <x:c r="D5744" s="18" t="n">
        <x:v>54935</x:v>
      </x:c>
      <x:c r="E5744" s="18" t="n">
        <x:v>21.39</x:v>
      </x:c>
      <x:c r="F5744" s="18" t="n">
        <x:v>9.39</x:v>
      </x:c>
      <x:c r="G5744" t="n">
        <x:v>36</x:v>
      </x:c>
      <x:c r="H5744" t="str">
        <x:v>B</x:v>
      </x:c>
      <x:c r="I5744" t="str">
        <x:v>7-9 years</x:v>
      </x:c>
      <x:c r="J5744" t="str">
        <x:v>MORTGAGE</x:v>
      </x:c>
      <x:c r="K5744" t="str">
        <x:v>credit_card</x:v>
      </x:c>
      <x:c r="L5744" t="n">
        <x:v>2</x:v>
      </x:c>
      <x:c r="M5744" t="n">
        <x:v>0</x:v>
      </x:c>
      <x:c r="N5744" t="str">
        <x:v>Fully Paid</x:v>
      </x:c>
      <x:c r="O5744" t="str">
        <x:f>IF(D5744="","Unknown",IF(D5744&lt;25000,"&lt;$25k",IF(D5744&lt;50000,"$25k-$50k",IF(D5744&lt;75000,"$50k-$75k",IF(D5744&lt;100000,"$75k-$100k","$100k+")))))</x:f>
        <x:v>$50k-$75k</x:v>
      </x:c>
      <x:c r="P5744" t="str">
        <x:f>IF(E5744="","Unknown",IF(E5744&lt;10,"&lt;10",IF(E5744&lt;20,"10-&lt;20",IF(E5744&lt;25,"20-&lt;25",IF(E5744&lt;35,"25-&lt;35","35+")))))</x:f>
        <x:v>20-&lt;25</x:v>
      </x:c>
    </x:row>
    <x:row r="5745">
      <x:c r="A5745" t="str">
        <x:v>SYN0005744</x:v>
      </x:c>
      <x:c r="B5745" s="12" t="n">
        <x:v>42895</x:v>
      </x:c>
      <x:c r="C5745" s="18" t="n">
        <x:v>11315</x:v>
      </x:c>
      <x:c r="D5745" s="18" t="n">
        <x:v>74165</x:v>
      </x:c>
      <x:c r="E5745" s="18" t="n">
        <x:v>11</x:v>
      </x:c>
      <x:c r="F5745" s="18" t="n">
        <x:v>5</x:v>
      </x:c>
      <x:c r="G5745" t="n">
        <x:v>36</x:v>
      </x:c>
      <x:c r="H5745" t="str">
        <x:v>A</x:v>
      </x:c>
      <x:c r="I5745" t="str">
        <x:v>10+ years</x:v>
      </x:c>
      <x:c r="J5745" t="str">
        <x:v>MORTGAGE</x:v>
      </x:c>
      <x:c r="K5745" t="str">
        <x:v>debt_consolidation</x:v>
      </x:c>
      <x:c r="L5745" t="n">
        <x:v>0</x:v>
      </x:c>
      <x:c r="M5745" t="n">
        <x:v>0</x:v>
      </x:c>
      <x:c r="N5745" t="str">
        <x:v>Fully Paid</x:v>
      </x:c>
      <x:c r="O5745" t="str">
        <x:f>IF(D5745="","Unknown",IF(D5745&lt;25000,"&lt;$25k",IF(D5745&lt;50000,"$25k-$50k",IF(D5745&lt;75000,"$50k-$75k",IF(D5745&lt;100000,"$75k-$100k","$100k+")))))</x:f>
        <x:v>$50k-$75k</x:v>
      </x:c>
      <x:c r="P5745" t="str">
        <x:f>IF(E5745="","Unknown",IF(E5745&lt;10,"&lt;10",IF(E5745&lt;20,"10-&lt;20",IF(E5745&lt;25,"20-&lt;25",IF(E5745&lt;35,"25-&lt;35","35+")))))</x:f>
        <x:v>10-&lt;20</x:v>
      </x:c>
    </x:row>
    <x:row r="5746">
      <x:c r="A5746" t="str">
        <x:v>SYN0005745</x:v>
      </x:c>
      <x:c r="B5746" s="12" t="n">
        <x:v>41335</x:v>
      </x:c>
      <x:c r="C5746" s="18" t="n">
        <x:v>15056</x:v>
      </x:c>
      <x:c r="D5746" s="18" t="n">
        <x:v>120770</x:v>
      </x:c>
      <x:c r="E5746" s="18" t="n">
        <x:v>33.19</x:v>
      </x:c>
      <x:c r="F5746" s="18" t="n">
        <x:v>9.17</x:v>
      </x:c>
      <x:c r="G5746" t="n">
        <x:v>60</x:v>
      </x:c>
      <x:c r="H5746" t="str">
        <x:v>C</x:v>
      </x:c>
      <x:c r="I5746" t="str">
        <x:v>10+ years</x:v>
      </x:c>
      <x:c r="J5746" t="str">
        <x:v>RENT</x:v>
      </x:c>
      <x:c r="K5746" t="str">
        <x:v>debt_consolidation</x:v>
      </x:c>
      <x:c r="L5746" t="n">
        <x:v>0</x:v>
      </x:c>
      <x:c r="M5746" t="n">
        <x:v>0</x:v>
      </x:c>
      <x:c r="N5746" t="str">
        <x:v>Fully Paid</x:v>
      </x:c>
      <x:c r="O5746" t="str">
        <x:f>IF(D5746="","Unknown",IF(D5746&lt;25000,"&lt;$25k",IF(D5746&lt;50000,"$25k-$50k",IF(D5746&lt;75000,"$50k-$75k",IF(D5746&lt;100000,"$75k-$100k","$100k+")))))</x:f>
        <x:v>$100k+</x:v>
      </x:c>
      <x:c r="P5746" t="str">
        <x:f>IF(E5746="","Unknown",IF(E5746&lt;10,"&lt;10",IF(E5746&lt;20,"10-&lt;20",IF(E5746&lt;25,"20-&lt;25",IF(E5746&lt;35,"25-&lt;35","35+")))))</x:f>
        <x:v>25-&lt;35</x:v>
      </x:c>
    </x:row>
    <x:row r="5747">
      <x:c r="A5747" t="str">
        <x:v>SYN0005746</x:v>
      </x:c>
      <x:c r="B5747" s="12" t="n">
        <x:v>42535</x:v>
      </x:c>
      <x:c r="C5747" s="18" t="n">
        <x:v>20774</x:v>
      </x:c>
      <x:c r="D5747" s="18" t="n">
        <x:v>40040</x:v>
      </x:c>
      <x:c r="E5747" s="18" t="n">
        <x:v>22.7</x:v>
      </x:c>
      <x:c r="F5747" s="18" t="n">
        <x:v>20.49</x:v>
      </x:c>
      <x:c r="G5747" t="n">
        <x:v>36</x:v>
      </x:c>
      <x:c r="H5747" t="str">
        <x:v>F</x:v>
      </x:c>
      <x:c r="I5747" t="str">
        <x:v>1-3 years</x:v>
      </x:c>
      <x:c r="J5747" t="str">
        <x:v>RENT</x:v>
      </x:c>
      <x:c r="K5747" t="str">
        <x:v>home_improvement</x:v>
      </x:c>
      <x:c r="L5747" t="n">
        <x:v>0</x:v>
      </x:c>
      <x:c r="M5747" t="n">
        <x:v>0</x:v>
      </x:c>
      <x:c r="N5747" t="str">
        <x:v>Fully Paid</x:v>
      </x:c>
      <x:c r="O5747" t="str">
        <x:f>IF(D5747="","Unknown",IF(D5747&lt;25000,"&lt;$25k",IF(D5747&lt;50000,"$25k-$50k",IF(D5747&lt;75000,"$50k-$75k",IF(D5747&lt;100000,"$75k-$100k","$100k+")))))</x:f>
        <x:v>$25k-$50k</x:v>
      </x:c>
      <x:c r="P5747" t="str">
        <x:f>IF(E5747="","Unknown",IF(E5747&lt;10,"&lt;10",IF(E5747&lt;20,"10-&lt;20",IF(E5747&lt;25,"20-&lt;25",IF(E5747&lt;35,"25-&lt;35","35+")))))</x:f>
        <x:v>20-&lt;25</x:v>
      </x:c>
    </x:row>
    <x:row r="5748">
      <x:c r="A5748" t="str">
        <x:v>SYN0005747</x:v>
      </x:c>
      <x:c r="B5748" s="12" t="n">
        <x:v>41605</x:v>
      </x:c>
      <x:c r="C5748" s="18" t="n">
        <x:v>10407</x:v>
      </x:c>
      <x:c r="D5748" s="18" t="n">
        <x:v>22553</x:v>
      </x:c>
      <x:c r="E5748" s="18" t="n">
        <x:v>21.83</x:v>
      </x:c>
      <x:c r="F5748" s="18" t="n">
        <x:v>13.39</x:v>
      </x:c>
      <x:c r="G5748" t="n">
        <x:v>36</x:v>
      </x:c>
      <x:c r="H5748" t="str">
        <x:v>D</x:v>
      </x:c>
      <x:c r="I5748" t="str">
        <x:v>1-3 years</x:v>
      </x:c>
      <x:c r="J5748" t="str">
        <x:v>MORTGAGE</x:v>
      </x:c>
      <x:c r="K5748" t="str">
        <x:v>credit_card</x:v>
      </x:c>
      <x:c r="L5748" t="n">
        <x:v>0</x:v>
      </x:c>
      <x:c r="M5748" t="n">
        <x:v>0</x:v>
      </x:c>
      <x:c r="N5748" t="str">
        <x:v>Fully Paid</x:v>
      </x:c>
      <x:c r="O5748" t="str">
        <x:f>IF(D5748="","Unknown",IF(D5748&lt;25000,"&lt;$25k",IF(D5748&lt;50000,"$25k-$50k",IF(D5748&lt;75000,"$50k-$75k",IF(D5748&lt;100000,"$75k-$100k","$100k+")))))</x:f>
        <x:v>&lt;$25k</x:v>
      </x:c>
      <x:c r="P5748" t="str">
        <x:f>IF(E5748="","Unknown",IF(E5748&lt;10,"&lt;10",IF(E5748&lt;20,"10-&lt;20",IF(E5748&lt;25,"20-&lt;25",IF(E5748&lt;35,"25-&lt;35","35+")))))</x:f>
        <x:v>20-&lt;25</x:v>
      </x:c>
    </x:row>
    <x:row r="5749">
      <x:c r="A5749" t="str">
        <x:v>SYN0005748</x:v>
      </x:c>
      <x:c r="B5749" s="12" t="n">
        <x:v>43165</x:v>
      </x:c>
      <x:c r="C5749" s="18" t="n">
        <x:v>8898</x:v>
      </x:c>
      <x:c r="D5749" s="18" t="n">
        <x:v>46712</x:v>
      </x:c>
      <x:c r="E5749" s="18" t="n">
        <x:v>10.65</x:v>
      </x:c>
      <x:c r="F5749" s="18" t="n">
        <x:v>6.38</x:v>
      </x:c>
      <x:c r="G5749" t="n">
        <x:v>36</x:v>
      </x:c>
      <x:c r="H5749" t="str">
        <x:v>A</x:v>
      </x:c>
      <x:c r="I5749" t="str">
        <x:v>1-3 years</x:v>
      </x:c>
      <x:c r="J5749" t="str">
        <x:v>OWN</x:v>
      </x:c>
      <x:c r="K5749" t="str">
        <x:v>credit_card</x:v>
      </x:c>
      <x:c r="L5749" t="n">
        <x:v>1</x:v>
      </x:c>
      <x:c r="M5749" t="n">
        <x:v>0</x:v>
      </x:c>
      <x:c r="N5749" t="str">
        <x:v>Fully Paid</x:v>
      </x:c>
      <x:c r="O5749" t="str">
        <x:f>IF(D5749="","Unknown",IF(D5749&lt;25000,"&lt;$25k",IF(D5749&lt;50000,"$25k-$50k",IF(D5749&lt;75000,"$50k-$75k",IF(D5749&lt;100000,"$75k-$100k","$100k+")))))</x:f>
        <x:v>$25k-$50k</x:v>
      </x:c>
      <x:c r="P5749" t="str">
        <x:f>IF(E5749="","Unknown",IF(E5749&lt;10,"&lt;10",IF(E5749&lt;20,"10-&lt;20",IF(E5749&lt;25,"20-&lt;25",IF(E5749&lt;35,"25-&lt;35","35+")))))</x:f>
        <x:v>10-&lt;20</x:v>
      </x:c>
    </x:row>
    <x:row r="5750">
      <x:c r="A5750" t="str">
        <x:v>SYN0005749</x:v>
      </x:c>
      <x:c r="B5750" s="12" t="n">
        <x:v>42625</x:v>
      </x:c>
      <x:c r="C5750" s="18" t="n">
        <x:v>36135</x:v>
      </x:c>
      <x:c r="D5750" s="18" t="n">
        <x:v>43473</x:v>
      </x:c>
      <x:c r="E5750" s="18" t="n">
        <x:v>30.47</x:v>
      </x:c>
      <x:c r="F5750" s="18" t="n">
        <x:v>11.07</x:v>
      </x:c>
      <x:c r="G5750" t="n">
        <x:v>36</x:v>
      </x:c>
      <x:c r="H5750" t="str">
        <x:v>C</x:v>
      </x:c>
      <x:c r="I5750" t="str">
        <x:v>1-3 years</x:v>
      </x:c>
      <x:c r="J5750" t="str">
        <x:v>RENT</x:v>
      </x:c>
      <x:c r="K5750" t="str">
        <x:v>debt_consolidation</x:v>
      </x:c>
      <x:c r="L5750" t="n">
        <x:v>0</x:v>
      </x:c>
      <x:c r="M5750" t="n">
        <x:v>0</x:v>
      </x:c>
      <x:c r="N5750" t="str">
        <x:v>Fully Paid</x:v>
      </x:c>
      <x:c r="O5750" t="str">
        <x:f>IF(D5750="","Unknown",IF(D5750&lt;25000,"&lt;$25k",IF(D5750&lt;50000,"$25k-$50k",IF(D5750&lt;75000,"$50k-$75k",IF(D5750&lt;100000,"$75k-$100k","$100k+")))))</x:f>
        <x:v>$25k-$50k</x:v>
      </x:c>
      <x:c r="P5750" t="str">
        <x:f>IF(E5750="","Unknown",IF(E5750&lt;10,"&lt;10",IF(E5750&lt;20,"10-&lt;20",IF(E5750&lt;25,"20-&lt;25",IF(E5750&lt;35,"25-&lt;35","35+")))))</x:f>
        <x:v>25-&lt;35</x:v>
      </x:c>
    </x:row>
    <x:row r="5751">
      <x:c r="A5751" t="str">
        <x:v>SYN0005750</x:v>
      </x:c>
      <x:c r="B5751" s="12" t="n">
        <x:v>42505</x:v>
      </x:c>
      <x:c r="C5751" s="18" t="n">
        <x:v>8561</x:v>
      </x:c>
      <x:c r="D5751" s="18" t="n">
        <x:v>21631</x:v>
      </x:c>
      <x:c r="E5751" s="18" t="n">
        <x:v>5.1</x:v>
      </x:c>
      <x:c r="F5751" s="18" t="n">
        <x:v>15.77</x:v>
      </x:c>
      <x:c r="G5751" t="n">
        <x:v>36</x:v>
      </x:c>
      <x:c r="H5751" t="str">
        <x:v>D</x:v>
      </x:c>
      <x:c r="I5751" t="str">
        <x:v>10+ years</x:v>
      </x:c>
      <x:c r="J5751" t="str">
        <x:v>MORTGAGE</x:v>
      </x:c>
      <x:c r="K5751" t="str">
        <x:v>home_improvement</x:v>
      </x:c>
      <x:c r="L5751" t="n">
        <x:v>2</x:v>
      </x:c>
      <x:c r="M5751" t="n">
        <x:v>0</x:v>
      </x:c>
      <x:c r="N5751" t="str">
        <x:v>Fully Paid</x:v>
      </x:c>
      <x:c r="O5751" t="str">
        <x:f>IF(D5751="","Unknown",IF(D5751&lt;25000,"&lt;$25k",IF(D5751&lt;50000,"$25k-$50k",IF(D5751&lt;75000,"$50k-$75k",IF(D5751&lt;100000,"$75k-$100k","$100k+")))))</x:f>
        <x:v>&lt;$25k</x:v>
      </x:c>
      <x:c r="P5751" t="str">
        <x:f>IF(E5751="","Unknown",IF(E5751&lt;10,"&lt;10",IF(E5751&lt;20,"10-&lt;20",IF(E5751&lt;25,"20-&lt;25",IF(E5751&lt;35,"25-&lt;35","35+")))))</x:f>
        <x:v>&lt;10</x:v>
      </x:c>
    </x:row>
    <x:row r="5752">
      <x:c r="A5752" t="str">
        <x:v>SYN0005751</x:v>
      </x:c>
      <x:c r="B5752" s="12" t="n">
        <x:v>42625</x:v>
      </x:c>
      <x:c r="C5752" s="18" t="n">
        <x:v>9832</x:v>
      </x:c>
      <x:c r="D5752" s="18" t="n">
        <x:v>42731</x:v>
      </x:c>
      <x:c r="E5752" s="18" t="n">
        <x:v>36.96</x:v>
      </x:c>
      <x:c r="F5752" s="18" t="n">
        <x:v>14.7</x:v>
      </x:c>
      <x:c r="G5752" t="n">
        <x:v>60</x:v>
      </x:c>
      <x:c r="H5752" t="str">
        <x:v>D</x:v>
      </x:c>
      <x:c r="I5752" t="str">
        <x:v>10+ years</x:v>
      </x:c>
      <x:c r="J5752" t="str">
        <x:v>RENT</x:v>
      </x:c>
      <x:c r="K5752" t="str">
        <x:v>debt_consolidation</x:v>
      </x:c>
      <x:c r="L5752" t="n">
        <x:v>0</x:v>
      </x:c>
      <x:c r="M5752" t="n">
        <x:v>0</x:v>
      </x:c>
      <x:c r="N5752" t="str">
        <x:v>Fully Paid</x:v>
      </x:c>
      <x:c r="O5752" t="str">
        <x:f>IF(D5752="","Unknown",IF(D5752&lt;25000,"&lt;$25k",IF(D5752&lt;50000,"$25k-$50k",IF(D5752&lt;75000,"$50k-$75k",IF(D5752&lt;100000,"$75k-$100k","$100k+")))))</x:f>
        <x:v>$25k-$50k</x:v>
      </x:c>
      <x:c r="P5752" t="str">
        <x:f>IF(E5752="","Unknown",IF(E5752&lt;10,"&lt;10",IF(E5752&lt;20,"10-&lt;20",IF(E5752&lt;25,"20-&lt;25",IF(E5752&lt;35,"25-&lt;35","35+")))))</x:f>
        <x:v>35+</x:v>
      </x:c>
    </x:row>
    <x:row r="5753">
      <x:c r="A5753" t="str">
        <x:v>SYN0005752</x:v>
      </x:c>
      <x:c r="B5753" s="12" t="n">
        <x:v>41875</x:v>
      </x:c>
      <x:c r="C5753" s="18" t="n">
        <x:v>9946</x:v>
      </x:c>
      <x:c r="D5753" s="18" t="n">
        <x:v>63420</x:v>
      </x:c>
      <x:c r="E5753" s="18" t="n">
        <x:v>22.97</x:v>
      </x:c>
      <x:c r="F5753" s="18" t="n">
        <x:v>8.06</x:v>
      </x:c>
      <x:c r="G5753" t="n">
        <x:v>36</x:v>
      </x:c>
      <x:c r="H5753" t="str">
        <x:v>B</x:v>
      </x:c>
      <x:c r="I5753" t="str">
        <x:v>7-9 years</x:v>
      </x:c>
      <x:c r="J5753" t="str">
        <x:v>MORTGAGE</x:v>
      </x:c>
      <x:c r="K5753" t="str">
        <x:v>home_improvement</x:v>
      </x:c>
      <x:c r="L5753" t="n">
        <x:v>0</x:v>
      </x:c>
      <x:c r="M5753" t="n">
        <x:v>0</x:v>
      </x:c>
      <x:c r="N5753" t="str">
        <x:v>Fully Paid</x:v>
      </x:c>
      <x:c r="O5753" t="str">
        <x:f>IF(D5753="","Unknown",IF(D5753&lt;25000,"&lt;$25k",IF(D5753&lt;50000,"$25k-$50k",IF(D5753&lt;75000,"$50k-$75k",IF(D5753&lt;100000,"$75k-$100k","$100k+")))))</x:f>
        <x:v>$50k-$75k</x:v>
      </x:c>
      <x:c r="P5753" t="str">
        <x:f>IF(E5753="","Unknown",IF(E5753&lt;10,"&lt;10",IF(E5753&lt;20,"10-&lt;20",IF(E5753&lt;25,"20-&lt;25",IF(E5753&lt;35,"25-&lt;35","35+")))))</x:f>
        <x:v>20-&lt;25</x:v>
      </x:c>
    </x:row>
    <x:row r="5754">
      <x:c r="A5754" t="str">
        <x:v>SYN0005753</x:v>
      </x:c>
      <x:c r="B5754" s="12" t="n">
        <x:v>42655</x:v>
      </x:c>
      <x:c r="C5754" s="18" t="n">
        <x:v>15096</x:v>
      </x:c>
      <x:c r="D5754" s="18" t="n">
        <x:v>26020</x:v>
      </x:c>
      <x:c r="E5754" s="18" t="n">
        <x:v>22.73</x:v>
      </x:c>
      <x:c r="F5754" s="18" t="n">
        <x:v>21.1</x:v>
      </x:c>
      <x:c r="G5754" t="n">
        <x:v>60</x:v>
      </x:c>
      <x:c r="H5754" t="str">
        <x:v>E</x:v>
      </x:c>
      <x:c r="I5754" t="str">
        <x:v>&lt;1 year</x:v>
      </x:c>
      <x:c r="J5754" t="str">
        <x:v>MORTGAGE</x:v>
      </x:c>
      <x:c r="K5754" t="str">
        <x:v>credit_card</x:v>
      </x:c>
      <x:c r="L5754" t="n">
        <x:v>0</x:v>
      </x:c>
      <x:c r="M5754" t="n">
        <x:v>0</x:v>
      </x:c>
      <x:c r="N5754" t="str">
        <x:v>Fully Paid</x:v>
      </x:c>
      <x:c r="O5754" t="str">
        <x:f>IF(D5754="","Unknown",IF(D5754&lt;25000,"&lt;$25k",IF(D5754&lt;50000,"$25k-$50k",IF(D5754&lt;75000,"$50k-$75k",IF(D5754&lt;100000,"$75k-$100k","$100k+")))))</x:f>
        <x:v>$25k-$50k</x:v>
      </x:c>
      <x:c r="P5754" t="str">
        <x:f>IF(E5754="","Unknown",IF(E5754&lt;10,"&lt;10",IF(E5754&lt;20,"10-&lt;20",IF(E5754&lt;25,"20-&lt;25",IF(E5754&lt;35,"25-&lt;35","35+")))))</x:f>
        <x:v>20-&lt;25</x:v>
      </x:c>
    </x:row>
    <x:row r="5755">
      <x:c r="A5755" t="str">
        <x:v>SYN0005754</x:v>
      </x:c>
      <x:c r="B5755" s="12" t="n">
        <x:v>42385</x:v>
      </x:c>
      <x:c r="C5755" s="18" t="n">
        <x:v>14626</x:v>
      </x:c>
      <x:c r="D5755" s="18" t="n">
        <x:v>62180</x:v>
      </x:c>
      <x:c r="E5755" s="18" t="n">
        <x:v>8.61</x:v>
      </x:c>
      <x:c r="F5755" s="18" t="n">
        <x:v>10.16</x:v>
      </x:c>
      <x:c r="G5755" t="n">
        <x:v>36</x:v>
      </x:c>
      <x:c r="H5755" t="str">
        <x:v>B</x:v>
      </x:c>
      <x:c r="I5755" t="str">
        <x:v>4-6 years</x:v>
      </x:c>
      <x:c r="J5755" t="str">
        <x:v>OWN</x:v>
      </x:c>
      <x:c r="K5755" t="str">
        <x:v>other</x:v>
      </x:c>
      <x:c r="L5755" t="n">
        <x:v>0</x:v>
      </x:c>
      <x:c r="M5755" t="n">
        <x:v>0</x:v>
      </x:c>
      <x:c r="N5755" t="str">
        <x:v>Fully Paid</x:v>
      </x:c>
      <x:c r="O5755" t="str">
        <x:f>IF(D5755="","Unknown",IF(D5755&lt;25000,"&lt;$25k",IF(D5755&lt;50000,"$25k-$50k",IF(D5755&lt;75000,"$50k-$75k",IF(D5755&lt;100000,"$75k-$100k","$100k+")))))</x:f>
        <x:v>$50k-$75k</x:v>
      </x:c>
      <x:c r="P5755" t="str">
        <x:f>IF(E5755="","Unknown",IF(E5755&lt;10,"&lt;10",IF(E5755&lt;20,"10-&lt;20",IF(E5755&lt;25,"20-&lt;25",IF(E5755&lt;35,"25-&lt;35","35+")))))</x:f>
        <x:v>&lt;10</x:v>
      </x:c>
    </x:row>
    <x:row r="5756">
      <x:c r="A5756" t="str">
        <x:v>SYN0005755</x:v>
      </x:c>
      <x:c r="B5756" s="12" t="n">
        <x:v>41455</x:v>
      </x:c>
      <x:c r="C5756" s="18" t="n">
        <x:v>14546</x:v>
      </x:c>
      <x:c r="D5756" s="18" t="n">
        <x:v>50174</x:v>
      </x:c>
      <x:c r="E5756" s="18" t="n">
        <x:v>34.86</x:v>
      </x:c>
      <x:c r="F5756" s="18" t="n">
        <x:v>10.99</x:v>
      </x:c>
      <x:c r="G5756" t="n">
        <x:v>36</x:v>
      </x:c>
      <x:c r="H5756" t="str">
        <x:v>B</x:v>
      </x:c>
      <x:c r="I5756" t="str">
        <x:v>1-3 years</x:v>
      </x:c>
      <x:c r="J5756" t="str">
        <x:v>MORTGAGE</x:v>
      </x:c>
      <x:c r="K5756" t="str">
        <x:v>home_improvement</x:v>
      </x:c>
      <x:c r="L5756" t="n">
        <x:v>1</x:v>
      </x:c>
      <x:c r="M5756" t="n">
        <x:v>0</x:v>
      </x:c>
      <x:c r="N5756" t="str">
        <x:v>Fully Paid</x:v>
      </x:c>
      <x:c r="O5756" t="str">
        <x:f>IF(D5756="","Unknown",IF(D5756&lt;25000,"&lt;$25k",IF(D5756&lt;50000,"$25k-$50k",IF(D5756&lt;75000,"$50k-$75k",IF(D5756&lt;100000,"$75k-$100k","$100k+")))))</x:f>
        <x:v>$50k-$75k</x:v>
      </x:c>
      <x:c r="P5756" t="str">
        <x:f>IF(E5756="","Unknown",IF(E5756&lt;10,"&lt;10",IF(E5756&lt;20,"10-&lt;20",IF(E5756&lt;25,"20-&lt;25",IF(E5756&lt;35,"25-&lt;35","35+")))))</x:f>
        <x:v>25-&lt;35</x:v>
      </x:c>
    </x:row>
    <x:row r="5757">
      <x:c r="A5757" t="str">
        <x:v>SYN0005756</x:v>
      </x:c>
      <x:c r="B5757" s="12" t="n">
        <x:v>41275</x:v>
      </x:c>
      <x:c r="C5757" s="18" t="n">
        <x:v>6602</x:v>
      </x:c>
      <x:c r="D5757" s="18" t="n">
        <x:v>43240</x:v>
      </x:c>
      <x:c r="E5757" s="18" t="n">
        <x:v>17.9</x:v>
      </x:c>
      <x:c r="F5757" s="18" t="n">
        <x:v>15.25</x:v>
      </x:c>
      <x:c r="G5757" t="n">
        <x:v>36</x:v>
      </x:c>
      <x:c r="H5757" t="str">
        <x:v>E</x:v>
      </x:c>
      <x:c r="I5757" t="str">
        <x:v>10+ years</x:v>
      </x:c>
      <x:c r="J5757" t="str">
        <x:v>RENT</x:v>
      </x:c>
      <x:c r="K5757" t="str">
        <x:v>major_purchase</x:v>
      </x:c>
      <x:c r="L5757" t="n">
        <x:v>2</x:v>
      </x:c>
      <x:c r="M5757" t="n">
        <x:v>0</x:v>
      </x:c>
      <x:c r="N5757" t="str">
        <x:v>Fully Paid</x:v>
      </x:c>
      <x:c r="O5757" t="str">
        <x:f>IF(D5757="","Unknown",IF(D5757&lt;25000,"&lt;$25k",IF(D5757&lt;50000,"$25k-$50k",IF(D5757&lt;75000,"$50k-$75k",IF(D5757&lt;100000,"$75k-$100k","$100k+")))))</x:f>
        <x:v>$25k-$50k</x:v>
      </x:c>
      <x:c r="P5757" t="str">
        <x:f>IF(E5757="","Unknown",IF(E5757&lt;10,"&lt;10",IF(E5757&lt;20,"10-&lt;20",IF(E5757&lt;25,"20-&lt;25",IF(E5757&lt;35,"25-&lt;35","35+")))))</x:f>
        <x:v>10-&lt;20</x:v>
      </x:c>
    </x:row>
    <x:row r="5758">
      <x:c r="A5758" t="str">
        <x:v>SYN0005757</x:v>
      </x:c>
      <x:c r="B5758" s="12" t="n">
        <x:v>43135</x:v>
      </x:c>
      <x:c r="C5758" s="18" t="n">
        <x:v>21325</x:v>
      </x:c>
      <x:c r="D5758" s="18" t="n">
        <x:v>43053</x:v>
      </x:c>
      <x:c r="E5758" s="18" t="n">
        <x:v>16.29</x:v>
      </x:c>
      <x:c r="F5758" s="18" t="n">
        <x:v>7.68</x:v>
      </x:c>
      <x:c r="G5758" t="n">
        <x:v>36</x:v>
      </x:c>
      <x:c r="H5758" t="str">
        <x:v>B</x:v>
      </x:c>
      <x:c r="I5758" t="str">
        <x:v>10+ years</x:v>
      </x:c>
      <x:c r="J5758" t="str">
        <x:v>OWN</x:v>
      </x:c>
      <x:c r="K5758" t="str">
        <x:v>debt_consolidation</x:v>
      </x:c>
      <x:c r="L5758" t="n">
        <x:v>0</x:v>
      </x:c>
      <x:c r="M5758" t="n">
        <x:v>0</x:v>
      </x:c>
      <x:c r="N5758" t="str">
        <x:v>Fully Paid</x:v>
      </x:c>
      <x:c r="O5758" t="str">
        <x:f>IF(D5758="","Unknown",IF(D5758&lt;25000,"&lt;$25k",IF(D5758&lt;50000,"$25k-$50k",IF(D5758&lt;75000,"$50k-$75k",IF(D5758&lt;100000,"$75k-$100k","$100k+")))))</x:f>
        <x:v>$25k-$50k</x:v>
      </x:c>
      <x:c r="P5758" t="str">
        <x:f>IF(E5758="","Unknown",IF(E5758&lt;10,"&lt;10",IF(E5758&lt;20,"10-&lt;20",IF(E5758&lt;25,"20-&lt;25",IF(E5758&lt;35,"25-&lt;35","35+")))))</x:f>
        <x:v>10-&lt;20</x:v>
      </x:c>
    </x:row>
    <x:row r="5759">
      <x:c r="A5759" t="str">
        <x:v>SYN0005758</x:v>
      </x:c>
      <x:c r="B5759" s="12" t="n">
        <x:v>41335</x:v>
      </x:c>
      <x:c r="C5759" s="18" t="n">
        <x:v>10428</x:v>
      </x:c>
      <x:c r="D5759" s="18" t="n">
        <x:v>73775</x:v>
      </x:c>
      <x:c r="E5759" s="18" t="n">
        <x:v>14.55</x:v>
      </x:c>
      <x:c r="F5759" s="18" t="n">
        <x:v>8.01</x:v>
      </x:c>
      <x:c r="G5759" t="n">
        <x:v>36</x:v>
      </x:c>
      <x:c r="H5759" t="str">
        <x:v>B</x:v>
      </x:c>
      <x:c r="I5759" t="str">
        <x:v>1-3 years</x:v>
      </x:c>
      <x:c r="J5759" t="str">
        <x:v>RENT</x:v>
      </x:c>
      <x:c r="K5759" t="str">
        <x:v>debt_consolidation</x:v>
      </x:c>
      <x:c r="L5759" t="n">
        <x:v>0</x:v>
      </x:c>
      <x:c r="M5759" t="n">
        <x:v>0</x:v>
      </x:c>
      <x:c r="N5759" t="str">
        <x:v>Fully Paid</x:v>
      </x:c>
      <x:c r="O5759" t="str">
        <x:f>IF(D5759="","Unknown",IF(D5759&lt;25000,"&lt;$25k",IF(D5759&lt;50000,"$25k-$50k",IF(D5759&lt;75000,"$50k-$75k",IF(D5759&lt;100000,"$75k-$100k","$100k+")))))</x:f>
        <x:v>$50k-$75k</x:v>
      </x:c>
      <x:c r="P5759" t="str">
        <x:f>IF(E5759="","Unknown",IF(E5759&lt;10,"&lt;10",IF(E5759&lt;20,"10-&lt;20",IF(E5759&lt;25,"20-&lt;25",IF(E5759&lt;35,"25-&lt;35","35+")))))</x:f>
        <x:v>10-&lt;20</x:v>
      </x:c>
    </x:row>
    <x:row r="5760">
      <x:c r="A5760" t="str">
        <x:v>SYN0005759</x:v>
      </x:c>
      <x:c r="B5760" s="12" t="n">
        <x:v>41665</x:v>
      </x:c>
      <x:c r="C5760" s="18" t="n">
        <x:v>30911</x:v>
      </x:c>
      <x:c r="D5760" s="18" t="n">
        <x:v>29648</x:v>
      </x:c>
      <x:c r="E5760" s="18" t="n">
        <x:v>31.47</x:v>
      </x:c>
      <x:c r="F5760" s="18" t="n">
        <x:v>8.96</x:v>
      </x:c>
      <x:c r="G5760" t="n">
        <x:v>36</x:v>
      </x:c>
      <x:c r="H5760" t="str">
        <x:v>A</x:v>
      </x:c>
      <x:c r="I5760" t="str">
        <x:v>1-3 years</x:v>
      </x:c>
      <x:c r="J5760" t="str">
        <x:v>MORTGAGE</x:v>
      </x:c>
      <x:c r="K5760" t="str">
        <x:v>credit_card</x:v>
      </x:c>
      <x:c r="L5760" t="n">
        <x:v>1</x:v>
      </x:c>
      <x:c r="M5760" t="n">
        <x:v>0</x:v>
      </x:c>
      <x:c r="N5760" t="str">
        <x:v>Fully Paid</x:v>
      </x:c>
      <x:c r="O5760" t="str">
        <x:f>IF(D5760="","Unknown",IF(D5760&lt;25000,"&lt;$25k",IF(D5760&lt;50000,"$25k-$50k",IF(D5760&lt;75000,"$50k-$75k",IF(D5760&lt;100000,"$75k-$100k","$100k+")))))</x:f>
        <x:v>$25k-$50k</x:v>
      </x:c>
      <x:c r="P5760" t="str">
        <x:f>IF(E5760="","Unknown",IF(E5760&lt;10,"&lt;10",IF(E5760&lt;20,"10-&lt;20",IF(E5760&lt;25,"20-&lt;25",IF(E5760&lt;35,"25-&lt;35","35+")))))</x:f>
        <x:v>25-&lt;35</x:v>
      </x:c>
    </x:row>
    <x:row r="5761">
      <x:c r="A5761" t="str">
        <x:v>SYN0005760</x:v>
      </x:c>
      <x:c r="B5761" s="12" t="n">
        <x:v>42895</x:v>
      </x:c>
      <x:c r="C5761" s="18" t="n">
        <x:v>9567</x:v>
      </x:c>
      <x:c r="D5761" s="18" t="n">
        <x:v>60734</x:v>
      </x:c>
      <x:c r="E5761" s="18" t="n">
        <x:v>6.9</x:v>
      </x:c>
      <x:c r="F5761" s="18" t="n">
        <x:v>10.94</x:v>
      </x:c>
      <x:c r="G5761" t="n">
        <x:v>36</x:v>
      </x:c>
      <x:c r="H5761" t="str">
        <x:v>C</x:v>
      </x:c>
      <x:c r="I5761" t="str">
        <x:v>10+ years</x:v>
      </x:c>
      <x:c r="J5761" t="str">
        <x:v>MORTGAGE</x:v>
      </x:c>
      <x:c r="K5761" t="str">
        <x:v>debt_consolidation</x:v>
      </x:c>
      <x:c r="L5761" t="n">
        <x:v>2</x:v>
      </x:c>
      <x:c r="M5761" t="n">
        <x:v>0</x:v>
      </x:c>
      <x:c r="N5761" t="str">
        <x:v>Fully Paid</x:v>
      </x:c>
      <x:c r="O5761" t="str">
        <x:f>IF(D5761="","Unknown",IF(D5761&lt;25000,"&lt;$25k",IF(D5761&lt;50000,"$25k-$50k",IF(D5761&lt;75000,"$50k-$75k",IF(D5761&lt;100000,"$75k-$100k","$100k+")))))</x:f>
        <x:v>$50k-$75k</x:v>
      </x:c>
      <x:c r="P5761" t="str">
        <x:f>IF(E5761="","Unknown",IF(E5761&lt;10,"&lt;10",IF(E5761&lt;20,"10-&lt;20",IF(E5761&lt;25,"20-&lt;25",IF(E5761&lt;35,"25-&lt;35","35+")))))</x:f>
        <x:v>&lt;10</x:v>
      </x:c>
    </x:row>
    <x:row r="5762">
      <x:c r="A5762" t="str">
        <x:v>SYN0005761</x:v>
      </x:c>
      <x:c r="B5762" s="12" t="n">
        <x:v>42385</x:v>
      </x:c>
      <x:c r="C5762" s="18" t="n">
        <x:v>26465</x:v>
      </x:c>
      <x:c r="D5762" s="18" t="n">
        <x:v>66157</x:v>
      </x:c>
      <x:c r="E5762" s="18" t="n">
        <x:v>28.33</x:v>
      </x:c>
      <x:c r="F5762" s="18" t="n">
        <x:v>9.34</x:v>
      </x:c>
      <x:c r="G5762" t="n">
        <x:v>36</x:v>
      </x:c>
      <x:c r="H5762" t="str">
        <x:v>C</x:v>
      </x:c>
      <x:c r="I5762" t="str">
        <x:v>7-9 years</x:v>
      </x:c>
      <x:c r="J5762" t="str">
        <x:v>RENT</x:v>
      </x:c>
      <x:c r="K5762" t="str">
        <x:v>debt_consolidation</x:v>
      </x:c>
      <x:c r="L5762" t="n">
        <x:v>2</x:v>
      </x:c>
      <x:c r="M5762" t="n">
        <x:v>0</x:v>
      </x:c>
      <x:c r="N5762" t="str">
        <x:v>Fully Paid</x:v>
      </x:c>
      <x:c r="O5762" t="str">
        <x:f>IF(D5762="","Unknown",IF(D5762&lt;25000,"&lt;$25k",IF(D5762&lt;50000,"$25k-$50k",IF(D5762&lt;75000,"$50k-$75k",IF(D5762&lt;100000,"$75k-$100k","$100k+")))))</x:f>
        <x:v>$50k-$75k</x:v>
      </x:c>
      <x:c r="P5762" t="str">
        <x:f>IF(E5762="","Unknown",IF(E5762&lt;10,"&lt;10",IF(E5762&lt;20,"10-&lt;20",IF(E5762&lt;25,"20-&lt;25",IF(E5762&lt;35,"25-&lt;35","35+")))))</x:f>
        <x:v>25-&lt;35</x:v>
      </x:c>
    </x:row>
    <x:row r="5763">
      <x:c r="A5763" t="str">
        <x:v>SYN0005762</x:v>
      </x:c>
      <x:c r="B5763" s="12" t="n">
        <x:v>42055</x:v>
      </x:c>
      <x:c r="C5763" s="18" t="n">
        <x:v>11358</x:v>
      </x:c>
      <x:c r="D5763" s="18" t="n">
        <x:v>47875</x:v>
      </x:c>
      <x:c r="E5763" s="18" t="n">
        <x:v>27.93</x:v>
      </x:c>
      <x:c r="F5763" s="18" t="n">
        <x:v>6.77</x:v>
      </x:c>
      <x:c r="G5763" t="n">
        <x:v>36</x:v>
      </x:c>
      <x:c r="H5763" t="str">
        <x:v>B</x:v>
      </x:c>
      <x:c r="I5763" t="str">
        <x:v>10+ years</x:v>
      </x:c>
      <x:c r="J5763" t="str">
        <x:v>MORTGAGE</x:v>
      </x:c>
      <x:c r="K5763" t="str">
        <x:v>major_purchase</x:v>
      </x:c>
      <x:c r="L5763" t="n">
        <x:v>1</x:v>
      </x:c>
      <x:c r="M5763" t="n">
        <x:v>0</x:v>
      </x:c>
      <x:c r="N5763" t="str">
        <x:v>Fully Paid</x:v>
      </x:c>
      <x:c r="O5763" t="str">
        <x:f>IF(D5763="","Unknown",IF(D5763&lt;25000,"&lt;$25k",IF(D5763&lt;50000,"$25k-$50k",IF(D5763&lt;75000,"$50k-$75k",IF(D5763&lt;100000,"$75k-$100k","$100k+")))))</x:f>
        <x:v>$25k-$50k</x:v>
      </x:c>
      <x:c r="P5763" t="str">
        <x:f>IF(E5763="","Unknown",IF(E5763&lt;10,"&lt;10",IF(E5763&lt;20,"10-&lt;20",IF(E5763&lt;25,"20-&lt;25",IF(E5763&lt;35,"25-&lt;35","35+")))))</x:f>
        <x:v>25-&lt;35</x:v>
      </x:c>
    </x:row>
    <x:row r="5764">
      <x:c r="A5764" t="str">
        <x:v>SYN0005763</x:v>
      </x:c>
      <x:c r="B5764" s="12" t="n">
        <x:v>41365</x:v>
      </x:c>
      <x:c r="C5764" s="18" t="n">
        <x:v>10585</x:v>
      </x:c>
      <x:c r="D5764" s="18" t="n">
        <x:v>51623</x:v>
      </x:c>
      <x:c r="E5764" s="18" t="n">
        <x:v>16.65</x:v>
      </x:c>
      <x:c r="F5764" s="18" t="n">
        <x:v>12.8</x:v>
      </x:c>
      <x:c r="G5764" t="n">
        <x:v>36</x:v>
      </x:c>
      <x:c r="H5764" t="str">
        <x:v>D</x:v>
      </x:c>
      <x:c r="I5764" t="str">
        <x:v>10+ years</x:v>
      </x:c>
      <x:c r="J5764" t="str">
        <x:v>MORTGAGE</x:v>
      </x:c>
      <x:c r="K5764" t="str">
        <x:v>credit_card</x:v>
      </x:c>
      <x:c r="L5764" t="n">
        <x:v>1</x:v>
      </x:c>
      <x:c r="M5764" t="n">
        <x:v>1</x:v>
      </x:c>
      <x:c r="N5764" t="str">
        <x:v>Charged Off</x:v>
      </x:c>
      <x:c r="O5764" t="str">
        <x:f>IF(D5764="","Unknown",IF(D5764&lt;25000,"&lt;$25k",IF(D5764&lt;50000,"$25k-$50k",IF(D5764&lt;75000,"$50k-$75k",IF(D5764&lt;100000,"$75k-$100k","$100k+")))))</x:f>
        <x:v>$50k-$75k</x:v>
      </x:c>
      <x:c r="P5764" t="str">
        <x:f>IF(E5764="","Unknown",IF(E5764&lt;10,"&lt;10",IF(E5764&lt;20,"10-&lt;20",IF(E5764&lt;25,"20-&lt;25",IF(E5764&lt;35,"25-&lt;35","35+")))))</x:f>
        <x:v>10-&lt;20</x:v>
      </x:c>
    </x:row>
    <x:row r="5765">
      <x:c r="A5765" t="str">
        <x:v>SYN0005764</x:v>
      </x:c>
      <x:c r="B5765" s="12" t="n">
        <x:v>42985</x:v>
      </x:c>
      <x:c r="C5765" s="18" t="n">
        <x:v>6345</x:v>
      </x:c>
      <x:c r="D5765" s="18" t="n">
        <x:v>73335</x:v>
      </x:c>
      <x:c r="E5765" s="18" t="n">
        <x:v>15.97</x:v>
      </x:c>
      <x:c r="F5765" s="18" t="n">
        <x:v>12.42</x:v>
      </x:c>
      <x:c r="G5765" t="n">
        <x:v>60</x:v>
      </x:c>
      <x:c r="H5765" t="str">
        <x:v>C</x:v>
      </x:c>
      <x:c r="I5765" t="str">
        <x:v>10+ years</x:v>
      </x:c>
      <x:c r="J5765" t="str">
        <x:v>OWN</x:v>
      </x:c>
      <x:c r="K5765" t="str">
        <x:v>medical</x:v>
      </x:c>
      <x:c r="L5765" t="n">
        <x:v>0</x:v>
      </x:c>
      <x:c r="M5765" t="n">
        <x:v>0</x:v>
      </x:c>
      <x:c r="N5765" t="str">
        <x:v>Fully Paid</x:v>
      </x:c>
      <x:c r="O5765" t="str">
        <x:f>IF(D5765="","Unknown",IF(D5765&lt;25000,"&lt;$25k",IF(D5765&lt;50000,"$25k-$50k",IF(D5765&lt;75000,"$50k-$75k",IF(D5765&lt;100000,"$75k-$100k","$100k+")))))</x:f>
        <x:v>$50k-$75k</x:v>
      </x:c>
      <x:c r="P5765" t="str">
        <x:f>IF(E5765="","Unknown",IF(E5765&lt;10,"&lt;10",IF(E5765&lt;20,"10-&lt;20",IF(E5765&lt;25,"20-&lt;25",IF(E5765&lt;35,"25-&lt;35","35+")))))</x:f>
        <x:v>10-&lt;20</x:v>
      </x:c>
    </x:row>
    <x:row r="5766">
      <x:c r="A5766" t="str">
        <x:v>SYN0005765</x:v>
      </x:c>
      <x:c r="B5766" s="12" t="n">
        <x:v>41785</x:v>
      </x:c>
      <x:c r="C5766" s="18" t="n">
        <x:v>12063</x:v>
      </x:c>
      <x:c r="D5766" s="18" t="n">
        <x:v>16864</x:v>
      </x:c>
      <x:c r="E5766" s="18" t="n">
        <x:v>32.33</x:v>
      </x:c>
      <x:c r="F5766" s="18" t="n">
        <x:v>17.47</x:v>
      </x:c>
      <x:c r="G5766" t="n">
        <x:v>36</x:v>
      </x:c>
      <x:c r="H5766" t="str">
        <x:v>E</x:v>
      </x:c>
      <x:c r="I5766" t="str">
        <x:v>10+ years</x:v>
      </x:c>
      <x:c r="J5766" t="str">
        <x:v>RENT</x:v>
      </x:c>
      <x:c r="K5766" t="str">
        <x:v>debt_consolidation</x:v>
      </x:c>
      <x:c r="L5766" t="n">
        <x:v>1</x:v>
      </x:c>
      <x:c r="M5766" t="n">
        <x:v>0</x:v>
      </x:c>
      <x:c r="N5766" t="str">
        <x:v>Fully Paid</x:v>
      </x:c>
      <x:c r="O5766" t="str">
        <x:f>IF(D5766="","Unknown",IF(D5766&lt;25000,"&lt;$25k",IF(D5766&lt;50000,"$25k-$50k",IF(D5766&lt;75000,"$50k-$75k",IF(D5766&lt;100000,"$75k-$100k","$100k+")))))</x:f>
        <x:v>&lt;$25k</x:v>
      </x:c>
      <x:c r="P5766" t="str">
        <x:f>IF(E5766="","Unknown",IF(E5766&lt;10,"&lt;10",IF(E5766&lt;20,"10-&lt;20",IF(E5766&lt;25,"20-&lt;25",IF(E5766&lt;35,"25-&lt;35","35+")))))</x:f>
        <x:v>25-&lt;35</x:v>
      </x:c>
    </x:row>
    <x:row r="5767">
      <x:c r="A5767" t="str">
        <x:v>SYN0005766</x:v>
      </x:c>
      <x:c r="B5767" s="12" t="n">
        <x:v>42595</x:v>
      </x:c>
      <x:c r="C5767" s="18" t="n">
        <x:v>12733</x:v>
      </x:c>
      <x:c r="D5767" s="18" t="n">
        <x:v>160326</x:v>
      </x:c>
      <x:c r="E5767" s="18" t="n">
        <x:v>20.45</x:v>
      </x:c>
      <x:c r="F5767" s="18" t="n">
        <x:v>9.39</x:v>
      </x:c>
      <x:c r="G5767" t="n">
        <x:v>36</x:v>
      </x:c>
      <x:c r="H5767" t="str">
        <x:v>B</x:v>
      </x:c>
      <x:c r="I5767" t="str">
        <x:v>7-9 years</x:v>
      </x:c>
      <x:c r="J5767" t="str">
        <x:v>RENT</x:v>
      </x:c>
      <x:c r="K5767" t="str">
        <x:v>debt_consolidation</x:v>
      </x:c>
      <x:c r="L5767" t="n">
        <x:v>0</x:v>
      </x:c>
      <x:c r="M5767" t="n">
        <x:v>0</x:v>
      </x:c>
      <x:c r="N5767" t="str">
        <x:v>Fully Paid</x:v>
      </x:c>
      <x:c r="O5767" t="str">
        <x:f>IF(D5767="","Unknown",IF(D5767&lt;25000,"&lt;$25k",IF(D5767&lt;50000,"$25k-$50k",IF(D5767&lt;75000,"$50k-$75k",IF(D5767&lt;100000,"$75k-$100k","$100k+")))))</x:f>
        <x:v>$100k+</x:v>
      </x:c>
      <x:c r="P5767" t="str">
        <x:f>IF(E5767="","Unknown",IF(E5767&lt;10,"&lt;10",IF(E5767&lt;20,"10-&lt;20",IF(E5767&lt;25,"20-&lt;25",IF(E5767&lt;35,"25-&lt;35","35+")))))</x:f>
        <x:v>20-&lt;25</x:v>
      </x:c>
    </x:row>
    <x:row r="5768">
      <x:c r="A5768" t="str">
        <x:v>SYN0005767</x:v>
      </x:c>
      <x:c r="B5768" s="12" t="n">
        <x:v>42295</x:v>
      </x:c>
      <x:c r="C5768" s="18" t="n">
        <x:v>4084</x:v>
      </x:c>
      <x:c r="D5768" s="18" t="n">
        <x:v>59670</x:v>
      </x:c>
      <x:c r="E5768" s="18" t="n">
        <x:v>25.53</x:v>
      </x:c>
      <x:c r="F5768" s="18" t="n">
        <x:v>6.14</x:v>
      </x:c>
      <x:c r="G5768" t="n">
        <x:v>36</x:v>
      </x:c>
      <x:c r="H5768" t="str">
        <x:v>A</x:v>
      </x:c>
      <x:c r="I5768" t="str">
        <x:v>1-3 years</x:v>
      </x:c>
      <x:c r="J5768" t="str">
        <x:v>RENT</x:v>
      </x:c>
      <x:c r="K5768" t="str">
        <x:v>medical</x:v>
      </x:c>
      <x:c r="L5768" t="n">
        <x:v>0</x:v>
      </x:c>
      <x:c r="M5768" t="n">
        <x:v>0</x:v>
      </x:c>
      <x:c r="N5768" t="str">
        <x:v>Fully Paid</x:v>
      </x:c>
      <x:c r="O5768" t="str">
        <x:f>IF(D5768="","Unknown",IF(D5768&lt;25000,"&lt;$25k",IF(D5768&lt;50000,"$25k-$50k",IF(D5768&lt;75000,"$50k-$75k",IF(D5768&lt;100000,"$75k-$100k","$100k+")))))</x:f>
        <x:v>$50k-$75k</x:v>
      </x:c>
      <x:c r="P5768" t="str">
        <x:f>IF(E5768="","Unknown",IF(E5768&lt;10,"&lt;10",IF(E5768&lt;20,"10-&lt;20",IF(E5768&lt;25,"20-&lt;25",IF(E5768&lt;35,"25-&lt;35","35+")))))</x:f>
        <x:v>25-&lt;35</x:v>
      </x:c>
    </x:row>
    <x:row r="5769">
      <x:c r="A5769" t="str">
        <x:v>SYN0005768</x:v>
      </x:c>
      <x:c r="B5769" s="12" t="n">
        <x:v>41815</x:v>
      </x:c>
      <x:c r="C5769" s="18" t="n">
        <x:v>6710</x:v>
      </x:c>
      <x:c r="D5769" s="18" t="n">
        <x:v>65807</x:v>
      </x:c>
      <x:c r="E5769" s="18" t="n">
        <x:v>22.87</x:v>
      </x:c>
      <x:c r="F5769" s="18" t="n">
        <x:v>9.86</x:v>
      </x:c>
      <x:c r="G5769" t="n">
        <x:v>36</x:v>
      </x:c>
      <x:c r="H5769" t="str">
        <x:v>B</x:v>
      </x:c>
      <x:c r="I5769" t="str">
        <x:v>1-3 years</x:v>
      </x:c>
      <x:c r="J5769" t="str">
        <x:v>MORTGAGE</x:v>
      </x:c>
      <x:c r="K5769" t="str">
        <x:v>credit_card</x:v>
      </x:c>
      <x:c r="L5769" t="n">
        <x:v>0</x:v>
      </x:c>
      <x:c r="M5769" t="n">
        <x:v>0</x:v>
      </x:c>
      <x:c r="N5769" t="str">
        <x:v>Fully Paid</x:v>
      </x:c>
      <x:c r="O5769" t="str">
        <x:f>IF(D5769="","Unknown",IF(D5769&lt;25000,"&lt;$25k",IF(D5769&lt;50000,"$25k-$50k",IF(D5769&lt;75000,"$50k-$75k",IF(D5769&lt;100000,"$75k-$100k","$100k+")))))</x:f>
        <x:v>$50k-$75k</x:v>
      </x:c>
      <x:c r="P5769" t="str">
        <x:f>IF(E5769="","Unknown",IF(E5769&lt;10,"&lt;10",IF(E5769&lt;20,"10-&lt;20",IF(E5769&lt;25,"20-&lt;25",IF(E5769&lt;35,"25-&lt;35","35+")))))</x:f>
        <x:v>20-&lt;25</x:v>
      </x:c>
    </x:row>
    <x:row r="5770">
      <x:c r="A5770" t="str">
        <x:v>SYN0005769</x:v>
      </x:c>
      <x:c r="B5770" s="12" t="n">
        <x:v>43075</x:v>
      </x:c>
      <x:c r="C5770" s="18" t="n">
        <x:v>15435</x:v>
      </x:c>
      <x:c r="D5770" s="18" t="n">
        <x:v>22745</x:v>
      </x:c>
      <x:c r="E5770" s="18" t="n">
        <x:v>7.66</x:v>
      </x:c>
      <x:c r="F5770" s="18" t="n">
        <x:v>12.18</x:v>
      </x:c>
      <x:c r="G5770" t="n">
        <x:v>36</x:v>
      </x:c>
      <x:c r="H5770" t="str">
        <x:v>B</x:v>
      </x:c>
      <x:c r="I5770" t="str">
        <x:v>1-3 years</x:v>
      </x:c>
      <x:c r="J5770" t="str">
        <x:v>MORTGAGE</x:v>
      </x:c>
      <x:c r="K5770" t="str">
        <x:v>debt_consolidation</x:v>
      </x:c>
      <x:c r="L5770" t="n">
        <x:v>1</x:v>
      </x:c>
      <x:c r="M5770" t="n">
        <x:v>0</x:v>
      </x:c>
      <x:c r="N5770" t="str">
        <x:v>Fully Paid</x:v>
      </x:c>
      <x:c r="O5770" t="str">
        <x:f>IF(D5770="","Unknown",IF(D5770&lt;25000,"&lt;$25k",IF(D5770&lt;50000,"$25k-$50k",IF(D5770&lt;75000,"$50k-$75k",IF(D5770&lt;100000,"$75k-$100k","$100k+")))))</x:f>
        <x:v>&lt;$25k</x:v>
      </x:c>
      <x:c r="P5770" t="str">
        <x:f>IF(E5770="","Unknown",IF(E5770&lt;10,"&lt;10",IF(E5770&lt;20,"10-&lt;20",IF(E5770&lt;25,"20-&lt;25",IF(E5770&lt;35,"25-&lt;35","35+")))))</x:f>
        <x:v>&lt;10</x:v>
      </x:c>
    </x:row>
    <x:row r="5771">
      <x:c r="A5771" t="str">
        <x:v>SYN0005770</x:v>
      </x:c>
      <x:c r="B5771" s="12" t="n">
        <x:v>43195</x:v>
      </x:c>
      <x:c r="C5771" s="18" t="n">
        <x:v>15922</x:v>
      </x:c>
      <x:c r="D5771" s="18" t="n">
        <x:v>20399</x:v>
      </x:c>
      <x:c r="E5771" s="18" t="n">
        <x:v>3.81</x:v>
      </x:c>
      <x:c r="F5771" s="18" t="n">
        <x:v>10.36</x:v>
      </x:c>
      <x:c r="G5771" t="n">
        <x:v>36</x:v>
      </x:c>
      <x:c r="H5771" t="str">
        <x:v>B</x:v>
      </x:c>
      <x:c r="I5771" t="str">
        <x:v>1-3 years</x:v>
      </x:c>
      <x:c r="J5771" t="str">
        <x:v>RENT</x:v>
      </x:c>
      <x:c r="K5771" t="str">
        <x:v>debt_consolidation</x:v>
      </x:c>
      <x:c r="L5771" t="n">
        <x:v>0</x:v>
      </x:c>
      <x:c r="M5771" t="n">
        <x:v>0</x:v>
      </x:c>
      <x:c r="N5771" t="str">
        <x:v>Fully Paid</x:v>
      </x:c>
      <x:c r="O5771" t="str">
        <x:f>IF(D5771="","Unknown",IF(D5771&lt;25000,"&lt;$25k",IF(D5771&lt;50000,"$25k-$50k",IF(D5771&lt;75000,"$50k-$75k",IF(D5771&lt;100000,"$75k-$100k","$100k+")))))</x:f>
        <x:v>&lt;$25k</x:v>
      </x:c>
      <x:c r="P5771" t="str">
        <x:f>IF(E5771="","Unknown",IF(E5771&lt;10,"&lt;10",IF(E5771&lt;20,"10-&lt;20",IF(E5771&lt;25,"20-&lt;25",IF(E5771&lt;35,"25-&lt;35","35+")))))</x:f>
        <x:v>&lt;10</x:v>
      </x:c>
    </x:row>
    <x:row r="5772">
      <x:c r="A5772" t="str">
        <x:v>SYN0005771</x:v>
      </x:c>
      <x:c r="B5772" s="12" t="n">
        <x:v>41545</x:v>
      </x:c>
      <x:c r="C5772" s="18" t="n">
        <x:v>8107</x:v>
      </x:c>
      <x:c r="D5772" s="18" t="n">
        <x:v>34586</x:v>
      </x:c>
      <x:c r="E5772" s="18" t="n">
        <x:v>21.47</x:v>
      </x:c>
      <x:c r="F5772" s="18" t="n">
        <x:v>8</x:v>
      </x:c>
      <x:c r="G5772" t="n">
        <x:v>36</x:v>
      </x:c>
      <x:c r="H5772" t="str">
        <x:v>B</x:v>
      </x:c>
      <x:c r="I5772" t="str">
        <x:v>10+ years</x:v>
      </x:c>
      <x:c r="J5772" t="str">
        <x:v>OTHER</x:v>
      </x:c>
      <x:c r="K5772" t="str">
        <x:v>other</x:v>
      </x:c>
      <x:c r="L5772" t="n">
        <x:v>0</x:v>
      </x:c>
      <x:c r="M5772" t="n">
        <x:v>0</x:v>
      </x:c>
      <x:c r="N5772" t="str">
        <x:v>Fully Paid</x:v>
      </x:c>
      <x:c r="O5772" t="str">
        <x:f>IF(D5772="","Unknown",IF(D5772&lt;25000,"&lt;$25k",IF(D5772&lt;50000,"$25k-$50k",IF(D5772&lt;75000,"$50k-$75k",IF(D5772&lt;100000,"$75k-$100k","$100k+")))))</x:f>
        <x:v>$25k-$50k</x:v>
      </x:c>
      <x:c r="P5772" t="str">
        <x:f>IF(E5772="","Unknown",IF(E5772&lt;10,"&lt;10",IF(E5772&lt;20,"10-&lt;20",IF(E5772&lt;25,"20-&lt;25",IF(E5772&lt;35,"25-&lt;35","35+")))))</x:f>
        <x:v>20-&lt;25</x:v>
      </x:c>
    </x:row>
    <x:row r="5773">
      <x:c r="A5773" t="str">
        <x:v>SYN0005772</x:v>
      </x:c>
      <x:c r="B5773" s="12" t="n">
        <x:v>42145</x:v>
      </x:c>
      <x:c r="C5773" s="18" t="n">
        <x:v>14555</x:v>
      </x:c>
      <x:c r="D5773" s="18" t="n">
        <x:v>94982</x:v>
      </x:c>
      <x:c r="E5773" s="18" t="n">
        <x:v>12.31</x:v>
      </x:c>
      <x:c r="F5773" s="18" t="n">
        <x:v>12.96</x:v>
      </x:c>
      <x:c r="G5773" t="n">
        <x:v>36</x:v>
      </x:c>
      <x:c r="H5773" t="str">
        <x:v>C</x:v>
      </x:c>
      <x:c r="I5773" t="str">
        <x:v>7-9 years</x:v>
      </x:c>
      <x:c r="J5773" t="str">
        <x:v>MORTGAGE</x:v>
      </x:c>
      <x:c r="K5773" t="str">
        <x:v>debt_consolidation</x:v>
      </x:c>
      <x:c r="L5773" t="n">
        <x:v>0</x:v>
      </x:c>
      <x:c r="M5773" t="n">
        <x:v>0</x:v>
      </x:c>
      <x:c r="N5773" t="str">
        <x:v>Fully Paid</x:v>
      </x:c>
      <x:c r="O5773" t="str">
        <x:f>IF(D5773="","Unknown",IF(D5773&lt;25000,"&lt;$25k",IF(D5773&lt;50000,"$25k-$50k",IF(D5773&lt;75000,"$50k-$75k",IF(D5773&lt;100000,"$75k-$100k","$100k+")))))</x:f>
        <x:v>$75k-$100k</x:v>
      </x:c>
      <x:c r="P5773" t="str">
        <x:f>IF(E5773="","Unknown",IF(E5773&lt;10,"&lt;10",IF(E5773&lt;20,"10-&lt;20",IF(E5773&lt;25,"20-&lt;25",IF(E5773&lt;35,"25-&lt;35","35+")))))</x:f>
        <x:v>10-&lt;20</x:v>
      </x:c>
    </x:row>
    <x:row r="5774">
      <x:c r="A5774" t="str">
        <x:v>SYN0005773</x:v>
      </x:c>
      <x:c r="B5774" s="12" t="n">
        <x:v>42925</x:v>
      </x:c>
      <x:c r="C5774" s="18" t="n">
        <x:v>16396</x:v>
      </x:c>
      <x:c r="D5774" s="18" t="n">
        <x:v>93583</x:v>
      </x:c>
      <x:c r="E5774" s="18" t="n">
        <x:v>14</x:v>
      </x:c>
      <x:c r="F5774" s="18" t="n">
        <x:v>7.5</x:v>
      </x:c>
      <x:c r="G5774" t="n">
        <x:v>60</x:v>
      </x:c>
      <x:c r="H5774" t="str">
        <x:v>A</x:v>
      </x:c>
      <x:c r="I5774" t="str">
        <x:v>10+ years</x:v>
      </x:c>
      <x:c r="J5774" t="str">
        <x:v>RENT</x:v>
      </x:c>
      <x:c r="K5774" t="str">
        <x:v>credit_card</x:v>
      </x:c>
      <x:c r="L5774" t="n">
        <x:v>0</x:v>
      </x:c>
      <x:c r="M5774" t="n">
        <x:v>0</x:v>
      </x:c>
      <x:c r="N5774" t="str">
        <x:v>Fully Paid</x:v>
      </x:c>
      <x:c r="O5774" t="str">
        <x:f>IF(D5774="","Unknown",IF(D5774&lt;25000,"&lt;$25k",IF(D5774&lt;50000,"$25k-$50k",IF(D5774&lt;75000,"$50k-$75k",IF(D5774&lt;100000,"$75k-$100k","$100k+")))))</x:f>
        <x:v>$75k-$100k</x:v>
      </x:c>
      <x:c r="P5774" t="str">
        <x:f>IF(E5774="","Unknown",IF(E5774&lt;10,"&lt;10",IF(E5774&lt;20,"10-&lt;20",IF(E5774&lt;25,"20-&lt;25",IF(E5774&lt;35,"25-&lt;35","35+")))))</x:f>
        <x:v>10-&lt;20</x:v>
      </x:c>
    </x:row>
    <x:row r="5775">
      <x:c r="A5775" t="str">
        <x:v>SYN0005774</x:v>
      </x:c>
      <x:c r="B5775" s="12" t="n">
        <x:v>42055</x:v>
      </x:c>
      <x:c r="C5775" s="18" t="n">
        <x:v>20778</x:v>
      </x:c>
      <x:c r="D5775" s="18" t="n">
        <x:v>62632</x:v>
      </x:c>
      <x:c r="E5775" s="18" t="n">
        <x:v>18.42</x:v>
      </x:c>
      <x:c r="F5775" s="18" t="n">
        <x:v>19.76</x:v>
      </x:c>
      <x:c r="G5775" t="n">
        <x:v>36</x:v>
      </x:c>
      <x:c r="H5775" t="str">
        <x:v>E</x:v>
      </x:c>
      <x:c r="I5775" t="str">
        <x:v>1-3 years</x:v>
      </x:c>
      <x:c r="J5775" t="str">
        <x:v>OWN</x:v>
      </x:c>
      <x:c r="K5775" t="str">
        <x:v>home_improvement</x:v>
      </x:c>
      <x:c r="L5775" t="n">
        <x:v>1</x:v>
      </x:c>
      <x:c r="M5775" t="n">
        <x:v>0</x:v>
      </x:c>
      <x:c r="N5775" t="str">
        <x:v>Fully Paid</x:v>
      </x:c>
      <x:c r="O5775" t="str">
        <x:f>IF(D5775="","Unknown",IF(D5775&lt;25000,"&lt;$25k",IF(D5775&lt;50000,"$25k-$50k",IF(D5775&lt;75000,"$50k-$75k",IF(D5775&lt;100000,"$75k-$100k","$100k+")))))</x:f>
        <x:v>$50k-$75k</x:v>
      </x:c>
      <x:c r="P5775" t="str">
        <x:f>IF(E5775="","Unknown",IF(E5775&lt;10,"&lt;10",IF(E5775&lt;20,"10-&lt;20",IF(E5775&lt;25,"20-&lt;25",IF(E5775&lt;35,"25-&lt;35","35+")))))</x:f>
        <x:v>10-&lt;20</x:v>
      </x:c>
    </x:row>
    <x:row r="5776">
      <x:c r="A5776" t="str">
        <x:v>SYN0005775</x:v>
      </x:c>
      <x:c r="B5776" s="12" t="n">
        <x:v>42895</x:v>
      </x:c>
      <x:c r="C5776" s="18" t="n">
        <x:v>24355</x:v>
      </x:c>
      <x:c r="D5776" s="18" t="n">
        <x:v>50455</x:v>
      </x:c>
      <x:c r="E5776" s="18" t="n">
        <x:v>32.25</x:v>
      </x:c>
      <x:c r="F5776" s="18" t="n">
        <x:v>20.71</x:v>
      </x:c>
      <x:c r="G5776" t="n">
        <x:v>36</x:v>
      </x:c>
      <x:c r="H5776" t="str">
        <x:v>F</x:v>
      </x:c>
      <x:c r="I5776" t="str">
        <x:v>7-9 years</x:v>
      </x:c>
      <x:c r="J5776" t="str">
        <x:v>RENT</x:v>
      </x:c>
      <x:c r="K5776" t="str">
        <x:v>debt_consolidation</x:v>
      </x:c>
      <x:c r="L5776" t="n">
        <x:v>0</x:v>
      </x:c>
      <x:c r="M5776" t="n">
        <x:v>0</x:v>
      </x:c>
      <x:c r="N5776" t="str">
        <x:v>Fully Paid</x:v>
      </x:c>
      <x:c r="O5776" t="str">
        <x:f>IF(D5776="","Unknown",IF(D5776&lt;25000,"&lt;$25k",IF(D5776&lt;50000,"$25k-$50k",IF(D5776&lt;75000,"$50k-$75k",IF(D5776&lt;100000,"$75k-$100k","$100k+")))))</x:f>
        <x:v>$50k-$75k</x:v>
      </x:c>
      <x:c r="P5776" t="str">
        <x:f>IF(E5776="","Unknown",IF(E5776&lt;10,"&lt;10",IF(E5776&lt;20,"10-&lt;20",IF(E5776&lt;25,"20-&lt;25",IF(E5776&lt;35,"25-&lt;35","35+")))))</x:f>
        <x:v>25-&lt;35</x:v>
      </x:c>
    </x:row>
    <x:row r="5777">
      <x:c r="A5777" t="str">
        <x:v>SYN0005776</x:v>
      </x:c>
      <x:c r="B5777" s="12" t="n">
        <x:v>42325</x:v>
      </x:c>
      <x:c r="C5777" s="18" t="n">
        <x:v>18111</x:v>
      </x:c>
      <x:c r="D5777" s="18" t="n">
        <x:v>96234</x:v>
      </x:c>
      <x:c r="E5777" s="18" t="n">
        <x:v>17.4</x:v>
      </x:c>
      <x:c r="F5777" s="18" t="n">
        <x:v>10.3</x:v>
      </x:c>
      <x:c r="G5777" t="n">
        <x:v>36</x:v>
      </x:c>
      <x:c r="H5777" t="str">
        <x:v>A</x:v>
      </x:c>
      <x:c r="I5777" t="str">
        <x:v>4-6 years</x:v>
      </x:c>
      <x:c r="J5777" t="str">
        <x:v>MORTGAGE</x:v>
      </x:c>
      <x:c r="K5777" t="str">
        <x:v>major_purchase</x:v>
      </x:c>
      <x:c r="L5777" t="n">
        <x:v>0</x:v>
      </x:c>
      <x:c r="M5777" t="n">
        <x:v>0</x:v>
      </x:c>
      <x:c r="N5777" t="str">
        <x:v>Fully Paid</x:v>
      </x:c>
      <x:c r="O5777" t="str">
        <x:f>IF(D5777="","Unknown",IF(D5777&lt;25000,"&lt;$25k",IF(D5777&lt;50000,"$25k-$50k",IF(D5777&lt;75000,"$50k-$75k",IF(D5777&lt;100000,"$75k-$100k","$100k+")))))</x:f>
        <x:v>$75k-$100k</x:v>
      </x:c>
      <x:c r="P5777" t="str">
        <x:f>IF(E5777="","Unknown",IF(E5777&lt;10,"&lt;10",IF(E5777&lt;20,"10-&lt;20",IF(E5777&lt;25,"20-&lt;25",IF(E5777&lt;35,"25-&lt;35","35+")))))</x:f>
        <x:v>10-&lt;20</x:v>
      </x:c>
    </x:row>
    <x:row r="5778">
      <x:c r="A5778" t="str">
        <x:v>SYN0005777</x:v>
      </x:c>
      <x:c r="B5778" s="12" t="n">
        <x:v>41425</x:v>
      </x:c>
      <x:c r="C5778" s="18" t="n">
        <x:v>9137</x:v>
      </x:c>
      <x:c r="D5778" s="18" t="n">
        <x:v>34606</x:v>
      </x:c>
      <x:c r="E5778" s="18" t="n">
        <x:v>29.64</x:v>
      </x:c>
      <x:c r="F5778" s="18" t="n">
        <x:v>6.51</x:v>
      </x:c>
      <x:c r="G5778" t="n">
        <x:v>60</x:v>
      </x:c>
      <x:c r="H5778" t="str">
        <x:v>B</x:v>
      </x:c>
      <x:c r="I5778" t="str">
        <x:v>&lt;1 year</x:v>
      </x:c>
      <x:c r="J5778" t="str">
        <x:v>RENT</x:v>
      </x:c>
      <x:c r="K5778" t="str">
        <x:v>debt_consolidation</x:v>
      </x:c>
      <x:c r="L5778" t="n">
        <x:v>0</x:v>
      </x:c>
      <x:c r="M5778" t="n">
        <x:v>0</x:v>
      </x:c>
      <x:c r="N5778" t="str">
        <x:v>Fully Paid</x:v>
      </x:c>
      <x:c r="O5778" t="str">
        <x:f>IF(D5778="","Unknown",IF(D5778&lt;25000,"&lt;$25k",IF(D5778&lt;50000,"$25k-$50k",IF(D5778&lt;75000,"$50k-$75k",IF(D5778&lt;100000,"$75k-$100k","$100k+")))))</x:f>
        <x:v>$25k-$50k</x:v>
      </x:c>
      <x:c r="P5778" t="str">
        <x:f>IF(E5778="","Unknown",IF(E5778&lt;10,"&lt;10",IF(E5778&lt;20,"10-&lt;20",IF(E5778&lt;25,"20-&lt;25",IF(E5778&lt;35,"25-&lt;35","35+")))))</x:f>
        <x:v>25-&lt;35</x:v>
      </x:c>
    </x:row>
    <x:row r="5779">
      <x:c r="A5779" t="str">
        <x:v>SYN0005778</x:v>
      </x:c>
      <x:c r="B5779" s="12" t="n">
        <x:v>43045</x:v>
      </x:c>
      <x:c r="C5779" s="18" t="n">
        <x:v>27033</x:v>
      </x:c>
      <x:c r="D5779" s="18" t="n">
        <x:v>44498</x:v>
      </x:c>
      <x:c r="E5779" s="18" t="n">
        <x:v>20.72</x:v>
      </x:c>
      <x:c r="F5779" s="18" t="n">
        <x:v>19.33</x:v>
      </x:c>
      <x:c r="G5779" t="n">
        <x:v>36</x:v>
      </x:c>
      <x:c r="H5779" t="str">
        <x:v>E</x:v>
      </x:c>
      <x:c r="I5779" t="str">
        <x:v>10+ years</x:v>
      </x:c>
      <x:c r="J5779" t="str">
        <x:v>MORTGAGE</x:v>
      </x:c>
      <x:c r="K5779" t="str">
        <x:v>other</x:v>
      </x:c>
      <x:c r="L5779" t="n">
        <x:v>1</x:v>
      </x:c>
      <x:c r="M5779" t="n">
        <x:v>0</x:v>
      </x:c>
      <x:c r="N5779" t="str">
        <x:v>Fully Paid</x:v>
      </x:c>
      <x:c r="O5779" t="str">
        <x:f>IF(D5779="","Unknown",IF(D5779&lt;25000,"&lt;$25k",IF(D5779&lt;50000,"$25k-$50k",IF(D5779&lt;75000,"$50k-$75k",IF(D5779&lt;100000,"$75k-$100k","$100k+")))))</x:f>
        <x:v>$25k-$50k</x:v>
      </x:c>
      <x:c r="P5779" t="str">
        <x:f>IF(E5779="","Unknown",IF(E5779&lt;10,"&lt;10",IF(E5779&lt;20,"10-&lt;20",IF(E5779&lt;25,"20-&lt;25",IF(E5779&lt;35,"25-&lt;35","35+")))))</x:f>
        <x:v>20-&lt;25</x:v>
      </x:c>
    </x:row>
    <x:row r="5780">
      <x:c r="A5780" t="str">
        <x:v>SYN0005779</x:v>
      </x:c>
      <x:c r="B5780" s="12" t="n">
        <x:v>42265</x:v>
      </x:c>
      <x:c r="C5780" s="18" t="n">
        <x:v>11777</x:v>
      </x:c>
      <x:c r="D5780" s="18" t="n">
        <x:v>16384</x:v>
      </x:c>
      <x:c r="E5780" s="18" t="n">
        <x:v>30.45</x:v>
      </x:c>
      <x:c r="F5780" s="18" t="n">
        <x:v>11.55</x:v>
      </x:c>
      <x:c r="G5780" t="n">
        <x:v>36</x:v>
      </x:c>
      <x:c r="H5780" t="str">
        <x:v>C</x:v>
      </x:c>
      <x:c r="I5780" t="str">
        <x:v>10+ years</x:v>
      </x:c>
      <x:c r="J5780" t="str">
        <x:v>MORTGAGE</x:v>
      </x:c>
      <x:c r="K5780" t="str">
        <x:v>credit_card</x:v>
      </x:c>
      <x:c r="L5780" t="n">
        <x:v>0</x:v>
      </x:c>
      <x:c r="M5780" t="n">
        <x:v>0</x:v>
      </x:c>
      <x:c r="N5780" t="str">
        <x:v>Fully Paid</x:v>
      </x:c>
      <x:c r="O5780" t="str">
        <x:f>IF(D5780="","Unknown",IF(D5780&lt;25000,"&lt;$25k",IF(D5780&lt;50000,"$25k-$50k",IF(D5780&lt;75000,"$50k-$75k",IF(D5780&lt;100000,"$75k-$100k","$100k+")))))</x:f>
        <x:v>&lt;$25k</x:v>
      </x:c>
      <x:c r="P5780" t="str">
        <x:f>IF(E5780="","Unknown",IF(E5780&lt;10,"&lt;10",IF(E5780&lt;20,"10-&lt;20",IF(E5780&lt;25,"20-&lt;25",IF(E5780&lt;35,"25-&lt;35","35+")))))</x:f>
        <x:v>25-&lt;35</x:v>
      </x:c>
    </x:row>
    <x:row r="5781">
      <x:c r="A5781" t="str">
        <x:v>SYN0005780</x:v>
      </x:c>
      <x:c r="B5781" s="12" t="n">
        <x:v>43075</x:v>
      </x:c>
      <x:c r="C5781" s="18" t="n">
        <x:v>20661</x:v>
      </x:c>
      <x:c r="D5781" s="18" t="n">
        <x:v>67146</x:v>
      </x:c>
      <x:c r="E5781" s="18" t="n">
        <x:v>11.61</x:v>
      </x:c>
      <x:c r="F5781" s="18" t="n">
        <x:v>16.89</x:v>
      </x:c>
      <x:c r="G5781" t="n">
        <x:v>36</x:v>
      </x:c>
      <x:c r="H5781" t="str">
        <x:v>D</x:v>
      </x:c>
      <x:c r="I5781" t="str">
        <x:v>4-6 years</x:v>
      </x:c>
      <x:c r="J5781" t="str">
        <x:v>MORTGAGE</x:v>
      </x:c>
      <x:c r="K5781" t="str">
        <x:v>other</x:v>
      </x:c>
      <x:c r="L5781" t="n">
        <x:v>1</x:v>
      </x:c>
      <x:c r="M5781" t="n">
        <x:v>0</x:v>
      </x:c>
      <x:c r="N5781" t="str">
        <x:v>Fully Paid</x:v>
      </x:c>
      <x:c r="O5781" t="str">
        <x:f>IF(D5781="","Unknown",IF(D5781&lt;25000,"&lt;$25k",IF(D5781&lt;50000,"$25k-$50k",IF(D5781&lt;75000,"$50k-$75k",IF(D5781&lt;100000,"$75k-$100k","$100k+")))))</x:f>
        <x:v>$50k-$75k</x:v>
      </x:c>
      <x:c r="P5781" t="str">
        <x:f>IF(E5781="","Unknown",IF(E5781&lt;10,"&lt;10",IF(E5781&lt;20,"10-&lt;20",IF(E5781&lt;25,"20-&lt;25",IF(E5781&lt;35,"25-&lt;35","35+")))))</x:f>
        <x:v>10-&lt;20</x:v>
      </x:c>
    </x:row>
    <x:row r="5782">
      <x:c r="A5782" t="str">
        <x:v>SYN0005781</x:v>
      </x:c>
      <x:c r="B5782" s="12" t="n">
        <x:v>42655</x:v>
      </x:c>
      <x:c r="C5782" s="18" t="n">
        <x:v>7256</x:v>
      </x:c>
      <x:c r="D5782" s="18" t="n">
        <x:v>45748</x:v>
      </x:c>
      <x:c r="E5782" s="18" t="n">
        <x:v>14.91</x:v>
      </x:c>
      <x:c r="F5782" s="18" t="n">
        <x:v>5</x:v>
      </x:c>
      <x:c r="G5782" t="n">
        <x:v>36</x:v>
      </x:c>
      <x:c r="H5782" t="str">
        <x:v>A</x:v>
      </x:c>
      <x:c r="I5782" t="str">
        <x:v>1-3 years</x:v>
      </x:c>
      <x:c r="J5782" t="str">
        <x:v>MORTGAGE</x:v>
      </x:c>
      <x:c r="K5782" t="str">
        <x:v>debt_consolidation</x:v>
      </x:c>
      <x:c r="L5782" t="n">
        <x:v>1</x:v>
      </x:c>
      <x:c r="M5782" t="n">
        <x:v>0</x:v>
      </x:c>
      <x:c r="N5782" t="str">
        <x:v>Fully Paid</x:v>
      </x:c>
      <x:c r="O5782" t="str">
        <x:f>IF(D5782="","Unknown",IF(D5782&lt;25000,"&lt;$25k",IF(D5782&lt;50000,"$25k-$50k",IF(D5782&lt;75000,"$50k-$75k",IF(D5782&lt;100000,"$75k-$100k","$100k+")))))</x:f>
        <x:v>$25k-$50k</x:v>
      </x:c>
      <x:c r="P5782" t="str">
        <x:f>IF(E5782="","Unknown",IF(E5782&lt;10,"&lt;10",IF(E5782&lt;20,"10-&lt;20",IF(E5782&lt;25,"20-&lt;25",IF(E5782&lt;35,"25-&lt;35","35+")))))</x:f>
        <x:v>10-&lt;20</x:v>
      </x:c>
    </x:row>
    <x:row r="5783">
      <x:c r="A5783" t="str">
        <x:v>SYN0005782</x:v>
      </x:c>
      <x:c r="B5783" s="12" t="n">
        <x:v>43135</x:v>
      </x:c>
      <x:c r="C5783" s="18" t="n">
        <x:v>27113</x:v>
      </x:c>
      <x:c r="D5783" s="18" t="n">
        <x:v>13692</x:v>
      </x:c>
      <x:c r="E5783" s="18" t="n">
        <x:v>27.64</x:v>
      </x:c>
      <x:c r="F5783" s="18" t="n">
        <x:v>21.82</x:v>
      </x:c>
      <x:c r="G5783" t="n">
        <x:v>36</x:v>
      </x:c>
      <x:c r="H5783" t="str">
        <x:v>F</x:v>
      </x:c>
      <x:c r="I5783" t="str">
        <x:v>&lt;1 year</x:v>
      </x:c>
      <x:c r="J5783" t="str">
        <x:v>MORTGAGE</x:v>
      </x:c>
      <x:c r="K5783" t="str">
        <x:v>credit_card</x:v>
      </x:c>
      <x:c r="L5783" t="n">
        <x:v>0</x:v>
      </x:c>
      <x:c r="M5783" t="n">
        <x:v>1</x:v>
      </x:c>
      <x:c r="N5783" t="str">
        <x:v>Charged Off</x:v>
      </x:c>
      <x:c r="O5783" t="str">
        <x:f>IF(D5783="","Unknown",IF(D5783&lt;25000,"&lt;$25k",IF(D5783&lt;50000,"$25k-$50k",IF(D5783&lt;75000,"$50k-$75k",IF(D5783&lt;100000,"$75k-$100k","$100k+")))))</x:f>
        <x:v>&lt;$25k</x:v>
      </x:c>
      <x:c r="P5783" t="str">
        <x:f>IF(E5783="","Unknown",IF(E5783&lt;10,"&lt;10",IF(E5783&lt;20,"10-&lt;20",IF(E5783&lt;25,"20-&lt;25",IF(E5783&lt;35,"25-&lt;35","35+")))))</x:f>
        <x:v>25-&lt;35</x:v>
      </x:c>
    </x:row>
    <x:row r="5784">
      <x:c r="A5784" t="str">
        <x:v>SYN0005783</x:v>
      </x:c>
      <x:c r="B5784" s="12" t="n">
        <x:v>41845</x:v>
      </x:c>
      <x:c r="C5784" s="18" t="n">
        <x:v>11031</x:v>
      </x:c>
      <x:c r="D5784" s="18" t="n">
        <x:v>25035</x:v>
      </x:c>
      <x:c r="E5784" s="18" t="n">
        <x:v>38.44</x:v>
      </x:c>
      <x:c r="F5784" s="18" t="n">
        <x:v>7.78</x:v>
      </x:c>
      <x:c r="G5784" t="n">
        <x:v>60</x:v>
      </x:c>
      <x:c r="H5784" t="str">
        <x:v>B</x:v>
      </x:c>
      <x:c r="I5784" t="str">
        <x:v>10+ years</x:v>
      </x:c>
      <x:c r="J5784" t="str">
        <x:v>RENT</x:v>
      </x:c>
      <x:c r="K5784" t="str">
        <x:v>debt_consolidation</x:v>
      </x:c>
      <x:c r="L5784" t="n">
        <x:v>0</x:v>
      </x:c>
      <x:c r="M5784" t="n">
        <x:v>0</x:v>
      </x:c>
      <x:c r="N5784" t="str">
        <x:v>Fully Paid</x:v>
      </x:c>
      <x:c r="O5784" t="str">
        <x:f>IF(D5784="","Unknown",IF(D5784&lt;25000,"&lt;$25k",IF(D5784&lt;50000,"$25k-$50k",IF(D5784&lt;75000,"$50k-$75k",IF(D5784&lt;100000,"$75k-$100k","$100k+")))))</x:f>
        <x:v>$25k-$50k</x:v>
      </x:c>
      <x:c r="P5784" t="str">
        <x:f>IF(E5784="","Unknown",IF(E5784&lt;10,"&lt;10",IF(E5784&lt;20,"10-&lt;20",IF(E5784&lt;25,"20-&lt;25",IF(E5784&lt;35,"25-&lt;35","35+")))))</x:f>
        <x:v>35+</x:v>
      </x:c>
    </x:row>
    <x:row r="5785">
      <x:c r="A5785" t="str">
        <x:v>SYN0005784</x:v>
      </x:c>
      <x:c r="B5785" s="12" t="n">
        <x:v>42175</x:v>
      </x:c>
      <x:c r="C5785" s="18" t="n">
        <x:v>7828</x:v>
      </x:c>
      <x:c r="D5785" s="18" t="n">
        <x:v>21585</x:v>
      </x:c>
      <x:c r="E5785" s="18" t="n">
        <x:v>24.11</x:v>
      </x:c>
      <x:c r="F5785" s="18" t="n">
        <x:v>11.75</x:v>
      </x:c>
      <x:c r="G5785" t="n">
        <x:v>36</x:v>
      </x:c>
      <x:c r="H5785" t="str">
        <x:v>D</x:v>
      </x:c>
      <x:c r="I5785" t="str">
        <x:v>10+ years</x:v>
      </x:c>
      <x:c r="J5785" t="str">
        <x:v>MORTGAGE</x:v>
      </x:c>
      <x:c r="K5785" t="str">
        <x:v>debt_consolidation</x:v>
      </x:c>
      <x:c r="L5785" t="n">
        <x:v>0</x:v>
      </x:c>
      <x:c r="M5785" t="n">
        <x:v>0</x:v>
      </x:c>
      <x:c r="N5785" t="str">
        <x:v>Fully Paid</x:v>
      </x:c>
      <x:c r="O5785" t="str">
        <x:f>IF(D5785="","Unknown",IF(D5785&lt;25000,"&lt;$25k",IF(D5785&lt;50000,"$25k-$50k",IF(D5785&lt;75000,"$50k-$75k",IF(D5785&lt;100000,"$75k-$100k","$100k+")))))</x:f>
        <x:v>&lt;$25k</x:v>
      </x:c>
      <x:c r="P5785" t="str">
        <x:f>IF(E5785="","Unknown",IF(E5785&lt;10,"&lt;10",IF(E5785&lt;20,"10-&lt;20",IF(E5785&lt;25,"20-&lt;25",IF(E5785&lt;35,"25-&lt;35","35+")))))</x:f>
        <x:v>20-&lt;25</x:v>
      </x:c>
    </x:row>
    <x:row r="5786">
      <x:c r="A5786" t="str">
        <x:v>SYN0005785</x:v>
      </x:c>
      <x:c r="B5786" s="12" t="n">
        <x:v>43105</x:v>
      </x:c>
      <x:c r="C5786" s="18" t="n">
        <x:v>7135</x:v>
      </x:c>
      <x:c r="D5786" s="18" t="n">
        <x:v>84869</x:v>
      </x:c>
      <x:c r="E5786" s="18" t="n">
        <x:v>17.36</x:v>
      </x:c>
      <x:c r="F5786" s="18" t="n">
        <x:v>9.01</x:v>
      </x:c>
      <x:c r="G5786" t="n">
        <x:v>36</x:v>
      </x:c>
      <x:c r="H5786" t="str">
        <x:v>B</x:v>
      </x:c>
      <x:c r="I5786" t="str">
        <x:v>4-6 years</x:v>
      </x:c>
      <x:c r="J5786" t="str">
        <x:v>MORTGAGE</x:v>
      </x:c>
      <x:c r="K5786" t="str">
        <x:v>debt_consolidation</x:v>
      </x:c>
      <x:c r="L5786" t="n">
        <x:v>0</x:v>
      </x:c>
      <x:c r="M5786" t="n">
        <x:v>0</x:v>
      </x:c>
      <x:c r="N5786" t="str">
        <x:v>Fully Paid</x:v>
      </x:c>
      <x:c r="O5786" t="str">
        <x:f>IF(D5786="","Unknown",IF(D5786&lt;25000,"&lt;$25k",IF(D5786&lt;50000,"$25k-$50k",IF(D5786&lt;75000,"$50k-$75k",IF(D5786&lt;100000,"$75k-$100k","$100k+")))))</x:f>
        <x:v>$75k-$100k</x:v>
      </x:c>
      <x:c r="P5786" t="str">
        <x:f>IF(E5786="","Unknown",IF(E5786&lt;10,"&lt;10",IF(E5786&lt;20,"10-&lt;20",IF(E5786&lt;25,"20-&lt;25",IF(E5786&lt;35,"25-&lt;35","35+")))))</x:f>
        <x:v>10-&lt;20</x:v>
      </x:c>
    </x:row>
    <x:row r="5787">
      <x:c r="A5787" t="str">
        <x:v>SYN0005786</x:v>
      </x:c>
      <x:c r="B5787" s="12" t="n">
        <x:v>42565</x:v>
      </x:c>
      <x:c r="C5787" s="18" t="n">
        <x:v>14252</x:v>
      </x:c>
      <x:c r="D5787" s="18" t="n">
        <x:v>98573</x:v>
      </x:c>
      <x:c r="E5787" s="18" t="n">
        <x:v>10.33</x:v>
      </x:c>
      <x:c r="F5787" s="18" t="n">
        <x:v>7.31</x:v>
      </x:c>
      <x:c r="G5787" t="n">
        <x:v>36</x:v>
      </x:c>
      <x:c r="H5787" t="str">
        <x:v>B</x:v>
      </x:c>
      <x:c r="I5787" t="str">
        <x:v>1-3 years</x:v>
      </x:c>
      <x:c r="J5787" t="str">
        <x:v>MORTGAGE</x:v>
      </x:c>
      <x:c r="K5787" t="str">
        <x:v>debt_consolidation</x:v>
      </x:c>
      <x:c r="L5787" t="n">
        <x:v>0</x:v>
      </x:c>
      <x:c r="M5787" t="n">
        <x:v>0</x:v>
      </x:c>
      <x:c r="N5787" t="str">
        <x:v>Fully Paid</x:v>
      </x:c>
      <x:c r="O5787" t="str">
        <x:f>IF(D5787="","Unknown",IF(D5787&lt;25000,"&lt;$25k",IF(D5787&lt;50000,"$25k-$50k",IF(D5787&lt;75000,"$50k-$75k",IF(D5787&lt;100000,"$75k-$100k","$100k+")))))</x:f>
        <x:v>$75k-$100k</x:v>
      </x:c>
      <x:c r="P5787" t="str">
        <x:f>IF(E5787="","Unknown",IF(E5787&lt;10,"&lt;10",IF(E5787&lt;20,"10-&lt;20",IF(E5787&lt;25,"20-&lt;25",IF(E5787&lt;35,"25-&lt;35","35+")))))</x:f>
        <x:v>10-&lt;20</x:v>
      </x:c>
    </x:row>
    <x:row r="5788">
      <x:c r="A5788" t="str">
        <x:v>SYN0005787</x:v>
      </x:c>
      <x:c r="B5788" s="12" t="n">
        <x:v>41995</x:v>
      </x:c>
      <x:c r="C5788" s="18" t="n">
        <x:v>23532</x:v>
      </x:c>
      <x:c r="D5788" s="18" t="n">
        <x:v>59934</x:v>
      </x:c>
      <x:c r="E5788" s="18" t="n">
        <x:v>18.16</x:v>
      </x:c>
      <x:c r="F5788" s="18" t="n">
        <x:v>12.88</x:v>
      </x:c>
      <x:c r="G5788" t="n">
        <x:v>36</x:v>
      </x:c>
      <x:c r="H5788" t="str">
        <x:v>C</x:v>
      </x:c>
      <x:c r="I5788" t="str">
        <x:v>4-6 years</x:v>
      </x:c>
      <x:c r="J5788" t="str">
        <x:v>OWN</x:v>
      </x:c>
      <x:c r="K5788" t="str">
        <x:v>credit_card</x:v>
      </x:c>
      <x:c r="L5788" t="n">
        <x:v>1</x:v>
      </x:c>
      <x:c r="M5788" t="n">
        <x:v>0</x:v>
      </x:c>
      <x:c r="N5788" t="str">
        <x:v>Fully Paid</x:v>
      </x:c>
      <x:c r="O5788" t="str">
        <x:f>IF(D5788="","Unknown",IF(D5788&lt;25000,"&lt;$25k",IF(D5788&lt;50000,"$25k-$50k",IF(D5788&lt;75000,"$50k-$75k",IF(D5788&lt;100000,"$75k-$100k","$100k+")))))</x:f>
        <x:v>$50k-$75k</x:v>
      </x:c>
      <x:c r="P5788" t="str">
        <x:f>IF(E5788="","Unknown",IF(E5788&lt;10,"&lt;10",IF(E5788&lt;20,"10-&lt;20",IF(E5788&lt;25,"20-&lt;25",IF(E5788&lt;35,"25-&lt;35","35+")))))</x:f>
        <x:v>10-&lt;20</x:v>
      </x:c>
    </x:row>
    <x:row r="5789">
      <x:c r="A5789" t="str">
        <x:v>SYN0005788</x:v>
      </x:c>
      <x:c r="B5789" s="12" t="n">
        <x:v>42625</x:v>
      </x:c>
      <x:c r="C5789" s="18" t="n">
        <x:v>27323</x:v>
      </x:c>
      <x:c r="D5789" s="18" t="n">
        <x:v>68530</x:v>
      </x:c>
      <x:c r="E5789" s="18" t="n">
        <x:v>15.37</x:v>
      </x:c>
      <x:c r="F5789" s="18" t="n">
        <x:v>16.42</x:v>
      </x:c>
      <x:c r="G5789" t="n">
        <x:v>36</x:v>
      </x:c>
      <x:c r="H5789" t="str">
        <x:v>D</x:v>
      </x:c>
      <x:c r="I5789" t="str">
        <x:v>7-9 years</x:v>
      </x:c>
      <x:c r="J5789" t="str">
        <x:v>OWN</x:v>
      </x:c>
      <x:c r="K5789" t="str">
        <x:v>credit_card</x:v>
      </x:c>
      <x:c r="L5789" t="n">
        <x:v>1</x:v>
      </x:c>
      <x:c r="M5789" t="n">
        <x:v>0</x:v>
      </x:c>
      <x:c r="N5789" t="str">
        <x:v>Fully Paid</x:v>
      </x:c>
      <x:c r="O5789" t="str">
        <x:f>IF(D5789="","Unknown",IF(D5789&lt;25000,"&lt;$25k",IF(D5789&lt;50000,"$25k-$50k",IF(D5789&lt;75000,"$50k-$75k",IF(D5789&lt;100000,"$75k-$100k","$100k+")))))</x:f>
        <x:v>$50k-$75k</x:v>
      </x:c>
      <x:c r="P5789" t="str">
        <x:f>IF(E5789="","Unknown",IF(E5789&lt;10,"&lt;10",IF(E5789&lt;20,"10-&lt;20",IF(E5789&lt;25,"20-&lt;25",IF(E5789&lt;35,"25-&lt;35","35+")))))</x:f>
        <x:v>10-&lt;20</x:v>
      </x:c>
    </x:row>
    <x:row r="5790">
      <x:c r="A5790" t="str">
        <x:v>SYN0005789</x:v>
      </x:c>
      <x:c r="B5790" s="12" t="n">
        <x:v>42415</x:v>
      </x:c>
      <x:c r="C5790" s="18" t="n">
        <x:v>10598</x:v>
      </x:c>
      <x:c r="D5790" s="18" t="n">
        <x:v>34277</x:v>
      </x:c>
      <x:c r="E5790" s="18" t="n">
        <x:v>22.72</x:v>
      </x:c>
      <x:c r="F5790" s="18" t="n">
        <x:v>8.94</x:v>
      </x:c>
      <x:c r="G5790" t="n">
        <x:v>36</x:v>
      </x:c>
      <x:c r="H5790" t="str">
        <x:v>B</x:v>
      </x:c>
      <x:c r="I5790" t="str">
        <x:v>10+ years</x:v>
      </x:c>
      <x:c r="J5790" t="str">
        <x:v>RENT</x:v>
      </x:c>
      <x:c r="K5790" t="str">
        <x:v>debt_consolidation</x:v>
      </x:c>
      <x:c r="L5790" t="n">
        <x:v>0</x:v>
      </x:c>
      <x:c r="M5790" t="n">
        <x:v>0</x:v>
      </x:c>
      <x:c r="N5790" t="str">
        <x:v>Fully Paid</x:v>
      </x:c>
      <x:c r="O5790" t="str">
        <x:f>IF(D5790="","Unknown",IF(D5790&lt;25000,"&lt;$25k",IF(D5790&lt;50000,"$25k-$50k",IF(D5790&lt;75000,"$50k-$75k",IF(D5790&lt;100000,"$75k-$100k","$100k+")))))</x:f>
        <x:v>$25k-$50k</x:v>
      </x:c>
      <x:c r="P5790" t="str">
        <x:f>IF(E5790="","Unknown",IF(E5790&lt;10,"&lt;10",IF(E5790&lt;20,"10-&lt;20",IF(E5790&lt;25,"20-&lt;25",IF(E5790&lt;35,"25-&lt;35","35+")))))</x:f>
        <x:v>20-&lt;25</x:v>
      </x:c>
    </x:row>
    <x:row r="5791">
      <x:c r="A5791" t="str">
        <x:v>SYN0005790</x:v>
      </x:c>
      <x:c r="B5791" s="12" t="n">
        <x:v>41275</x:v>
      </x:c>
      <x:c r="C5791" s="18" t="n">
        <x:v>12613</x:v>
      </x:c>
      <x:c r="D5791" s="18" t="n">
        <x:v>71281</x:v>
      </x:c>
      <x:c r="E5791" s="18" t="n">
        <x:v>20.9</x:v>
      </x:c>
      <x:c r="F5791" s="18" t="n">
        <x:v>17.63</x:v>
      </x:c>
      <x:c r="G5791" t="n">
        <x:v>36</x:v>
      </x:c>
      <x:c r="H5791" t="str">
        <x:v>E</x:v>
      </x:c>
      <x:c r="I5791" t="str">
        <x:v>4-6 years</x:v>
      </x:c>
      <x:c r="J5791" t="str">
        <x:v>RENT</x:v>
      </x:c>
      <x:c r="K5791" t="str">
        <x:v>medical</x:v>
      </x:c>
      <x:c r="L5791" t="n">
        <x:v>0</x:v>
      </x:c>
      <x:c r="M5791" t="n">
        <x:v>0</x:v>
      </x:c>
      <x:c r="N5791" t="str">
        <x:v>Fully Paid</x:v>
      </x:c>
      <x:c r="O5791" t="str">
        <x:f>IF(D5791="","Unknown",IF(D5791&lt;25000,"&lt;$25k",IF(D5791&lt;50000,"$25k-$50k",IF(D5791&lt;75000,"$50k-$75k",IF(D5791&lt;100000,"$75k-$100k","$100k+")))))</x:f>
        <x:v>$50k-$75k</x:v>
      </x:c>
      <x:c r="P5791" t="str">
        <x:f>IF(E5791="","Unknown",IF(E5791&lt;10,"&lt;10",IF(E5791&lt;20,"10-&lt;20",IF(E5791&lt;25,"20-&lt;25",IF(E5791&lt;35,"25-&lt;35","35+")))))</x:f>
        <x:v>20-&lt;25</x:v>
      </x:c>
    </x:row>
    <x:row r="5792">
      <x:c r="A5792" t="str">
        <x:v>SYN0005791</x:v>
      </x:c>
      <x:c r="B5792" s="12" t="n">
        <x:v>41785</x:v>
      </x:c>
      <x:c r="C5792" s="18" t="n">
        <x:v>12808</x:v>
      </x:c>
      <x:c r="D5792" s="18" t="n">
        <x:v>19661</x:v>
      </x:c>
      <x:c r="E5792" s="18" t="n">
        <x:v>14.98</x:v>
      </x:c>
      <x:c r="F5792" s="18" t="n">
        <x:v>13.76</x:v>
      </x:c>
      <x:c r="G5792" t="n">
        <x:v>36</x:v>
      </x:c>
      <x:c r="H5792" t="str">
        <x:v>D</x:v>
      </x:c>
      <x:c r="I5792" t="str">
        <x:v>10+ years</x:v>
      </x:c>
      <x:c r="J5792" t="str">
        <x:v>RENT</x:v>
      </x:c>
      <x:c r="K5792" t="str">
        <x:v>debt_consolidation</x:v>
      </x:c>
      <x:c r="L5792" t="n">
        <x:v>3</x:v>
      </x:c>
      <x:c r="M5792" t="n">
        <x:v>0</x:v>
      </x:c>
      <x:c r="N5792" t="str">
        <x:v>Fully Paid</x:v>
      </x:c>
      <x:c r="O5792" t="str">
        <x:f>IF(D5792="","Unknown",IF(D5792&lt;25000,"&lt;$25k",IF(D5792&lt;50000,"$25k-$50k",IF(D5792&lt;75000,"$50k-$75k",IF(D5792&lt;100000,"$75k-$100k","$100k+")))))</x:f>
        <x:v>&lt;$25k</x:v>
      </x:c>
      <x:c r="P5792" t="str">
        <x:f>IF(E5792="","Unknown",IF(E5792&lt;10,"&lt;10",IF(E5792&lt;20,"10-&lt;20",IF(E5792&lt;25,"20-&lt;25",IF(E5792&lt;35,"25-&lt;35","35+")))))</x:f>
        <x:v>10-&lt;20</x:v>
      </x:c>
    </x:row>
    <x:row r="5793">
      <x:c r="A5793" t="str">
        <x:v>SYN0005792</x:v>
      </x:c>
      <x:c r="B5793" s="12" t="n">
        <x:v>42715</x:v>
      </x:c>
      <x:c r="C5793" s="18" t="n">
        <x:v>40000</x:v>
      </x:c>
      <x:c r="D5793" s="18" t="n">
        <x:v>41819</x:v>
      </x:c>
      <x:c r="E5793" s="18" t="n">
        <x:v>26.86</x:v>
      </x:c>
      <x:c r="F5793" s="18" t="n">
        <x:v>7.91</x:v>
      </x:c>
      <x:c r="G5793" t="n">
        <x:v>36</x:v>
      </x:c>
      <x:c r="H5793" t="str">
        <x:v>C</x:v>
      </x:c>
      <x:c r="I5793" t="str">
        <x:v>&lt;1 year</x:v>
      </x:c>
      <x:c r="J5793" t="str">
        <x:v>MORTGAGE</x:v>
      </x:c>
      <x:c r="K5793" t="str">
        <x:v>other</x:v>
      </x:c>
      <x:c r="L5793" t="n">
        <x:v>0</x:v>
      </x:c>
      <x:c r="M5793" t="n">
        <x:v>0</x:v>
      </x:c>
      <x:c r="N5793" t="str">
        <x:v>Fully Paid</x:v>
      </x:c>
      <x:c r="O5793" t="str">
        <x:f>IF(D5793="","Unknown",IF(D5793&lt;25000,"&lt;$25k",IF(D5793&lt;50000,"$25k-$50k",IF(D5793&lt;75000,"$50k-$75k",IF(D5793&lt;100000,"$75k-$100k","$100k+")))))</x:f>
        <x:v>$25k-$50k</x:v>
      </x:c>
      <x:c r="P5793" t="str">
        <x:f>IF(E5793="","Unknown",IF(E5793&lt;10,"&lt;10",IF(E5793&lt;20,"10-&lt;20",IF(E5793&lt;25,"20-&lt;25",IF(E5793&lt;35,"25-&lt;35","35+")))))</x:f>
        <x:v>25-&lt;35</x:v>
      </x:c>
    </x:row>
    <x:row r="5794">
      <x:c r="A5794" t="str">
        <x:v>SYN0005793</x:v>
      </x:c>
      <x:c r="B5794" s="12" t="n">
        <x:v>43225</x:v>
      </x:c>
      <x:c r="C5794" s="18" t="n">
        <x:v>8415</x:v>
      </x:c>
      <x:c r="D5794" s="18" t="n">
        <x:v>76279</x:v>
      </x:c>
      <x:c r="E5794" s="18" t="n">
        <x:v>23.33</x:v>
      </x:c>
      <x:c r="F5794" s="18" t="n">
        <x:v>8.32</x:v>
      </x:c>
      <x:c r="G5794" t="n">
        <x:v>36</x:v>
      </x:c>
      <x:c r="H5794" t="str">
        <x:v>A</x:v>
      </x:c>
      <x:c r="I5794" t="str">
        <x:v>10+ years</x:v>
      </x:c>
      <x:c r="J5794" t="str">
        <x:v>RENT</x:v>
      </x:c>
      <x:c r="K5794" t="str">
        <x:v>credit_card</x:v>
      </x:c>
      <x:c r="L5794" t="n">
        <x:v>0</x:v>
      </x:c>
      <x:c r="M5794" t="n">
        <x:v>0</x:v>
      </x:c>
      <x:c r="N5794" t="str">
        <x:v>Fully Paid</x:v>
      </x:c>
      <x:c r="O5794" t="str">
        <x:f>IF(D5794="","Unknown",IF(D5794&lt;25000,"&lt;$25k",IF(D5794&lt;50000,"$25k-$50k",IF(D5794&lt;75000,"$50k-$75k",IF(D5794&lt;100000,"$75k-$100k","$100k+")))))</x:f>
        <x:v>$75k-$100k</x:v>
      </x:c>
      <x:c r="P5794" t="str">
        <x:f>IF(E5794="","Unknown",IF(E5794&lt;10,"&lt;10",IF(E5794&lt;20,"10-&lt;20",IF(E5794&lt;25,"20-&lt;25",IF(E5794&lt;35,"25-&lt;35","35+")))))</x:f>
        <x:v>20-&lt;25</x:v>
      </x:c>
    </x:row>
    <x:row r="5795">
      <x:c r="A5795" t="str">
        <x:v>SYN0005794</x:v>
      </x:c>
      <x:c r="B5795" s="12" t="n">
        <x:v>41545</x:v>
      </x:c>
      <x:c r="C5795" s="18" t="n">
        <x:v>23775</x:v>
      </x:c>
      <x:c r="D5795" s="18" t="n">
        <x:v>45073</x:v>
      </x:c>
      <x:c r="E5795" s="18" t="n">
        <x:v>49.27</x:v>
      </x:c>
      <x:c r="F5795" s="18" t="n">
        <x:v>21.03</x:v>
      </x:c>
      <x:c r="G5795" t="n">
        <x:v>36</x:v>
      </x:c>
      <x:c r="H5795" t="str">
        <x:v>F</x:v>
      </x:c>
      <x:c r="I5795" t="str">
        <x:v>1-3 years</x:v>
      </x:c>
      <x:c r="J5795" t="str">
        <x:v>RENT</x:v>
      </x:c>
      <x:c r="K5795" t="str">
        <x:v>debt_consolidation</x:v>
      </x:c>
      <x:c r="L5795" t="n">
        <x:v>1</x:v>
      </x:c>
      <x:c r="M5795" t="n">
        <x:v>1</x:v>
      </x:c>
      <x:c r="N5795" t="str">
        <x:v>Charged Off</x:v>
      </x:c>
      <x:c r="O5795" t="str">
        <x:f>IF(D5795="","Unknown",IF(D5795&lt;25000,"&lt;$25k",IF(D5795&lt;50000,"$25k-$50k",IF(D5795&lt;75000,"$50k-$75k",IF(D5795&lt;100000,"$75k-$100k","$100k+")))))</x:f>
        <x:v>$25k-$50k</x:v>
      </x:c>
      <x:c r="P5795" t="str">
        <x:f>IF(E5795="","Unknown",IF(E5795&lt;10,"&lt;10",IF(E5795&lt;20,"10-&lt;20",IF(E5795&lt;25,"20-&lt;25",IF(E5795&lt;35,"25-&lt;35","35+")))))</x:f>
        <x:v>35+</x:v>
      </x:c>
    </x:row>
    <x:row r="5796">
      <x:c r="A5796" t="str">
        <x:v>SYN0005795</x:v>
      </x:c>
      <x:c r="B5796" s="12" t="n">
        <x:v>41605</x:v>
      </x:c>
      <x:c r="C5796" s="18" t="n">
        <x:v>13349</x:v>
      </x:c>
      <x:c r="D5796" s="18" t="n">
        <x:v>38790</x:v>
      </x:c>
      <x:c r="E5796" s="18" t="n">
        <x:v>23.12</x:v>
      </x:c>
      <x:c r="F5796" s="18" t="n">
        <x:v>8.42</x:v>
      </x:c>
      <x:c r="G5796" t="n">
        <x:v>36</x:v>
      </x:c>
      <x:c r="H5796" t="str">
        <x:v>A</x:v>
      </x:c>
      <x:c r="I5796" t="str">
        <x:v>4-6 years</x:v>
      </x:c>
      <x:c r="J5796" t="str">
        <x:v>MORTGAGE</x:v>
      </x:c>
      <x:c r="K5796" t="str">
        <x:v>other</x:v>
      </x:c>
      <x:c r="L5796" t="n">
        <x:v>0</x:v>
      </x:c>
      <x:c r="M5796" t="n">
        <x:v>0</x:v>
      </x:c>
      <x:c r="N5796" t="str">
        <x:v>Fully Paid</x:v>
      </x:c>
      <x:c r="O5796" t="str">
        <x:f>IF(D5796="","Unknown",IF(D5796&lt;25000,"&lt;$25k",IF(D5796&lt;50000,"$25k-$50k",IF(D5796&lt;75000,"$50k-$75k",IF(D5796&lt;100000,"$75k-$100k","$100k+")))))</x:f>
        <x:v>$25k-$50k</x:v>
      </x:c>
      <x:c r="P5796" t="str">
        <x:f>IF(E5796="","Unknown",IF(E5796&lt;10,"&lt;10",IF(E5796&lt;20,"10-&lt;20",IF(E5796&lt;25,"20-&lt;25",IF(E5796&lt;35,"25-&lt;35","35+")))))</x:f>
        <x:v>20-&lt;25</x:v>
      </x:c>
    </x:row>
    <x:row r="5797">
      <x:c r="A5797" t="str">
        <x:v>SYN0005796</x:v>
      </x:c>
      <x:c r="B5797" s="12" t="n">
        <x:v>41635</x:v>
      </x:c>
      <x:c r="C5797" s="18" t="n">
        <x:v>32770</x:v>
      </x:c>
      <x:c r="D5797" s="18" t="n">
        <x:v>12000</x:v>
      </x:c>
      <x:c r="E5797" s="18" t="n">
        <x:v>11.75</x:v>
      </x:c>
      <x:c r="F5797" s="18" t="n">
        <x:v>12.17</x:v>
      </x:c>
      <x:c r="G5797" t="n">
        <x:v>36</x:v>
      </x:c>
      <x:c r="H5797" t="str">
        <x:v>D</x:v>
      </x:c>
      <x:c r="I5797" t="str">
        <x:v>4-6 years</x:v>
      </x:c>
      <x:c r="J5797" t="str">
        <x:v>MORTGAGE</x:v>
      </x:c>
      <x:c r="K5797" t="str">
        <x:v>credit_card</x:v>
      </x:c>
      <x:c r="L5797" t="n">
        <x:v>0</x:v>
      </x:c>
      <x:c r="M5797" t="n">
        <x:v>0</x:v>
      </x:c>
      <x:c r="N5797" t="str">
        <x:v>Fully Paid</x:v>
      </x:c>
      <x:c r="O5797" t="str">
        <x:f>IF(D5797="","Unknown",IF(D5797&lt;25000,"&lt;$25k",IF(D5797&lt;50000,"$25k-$50k",IF(D5797&lt;75000,"$50k-$75k",IF(D5797&lt;100000,"$75k-$100k","$100k+")))))</x:f>
        <x:v>&lt;$25k</x:v>
      </x:c>
      <x:c r="P5797" t="str">
        <x:f>IF(E5797="","Unknown",IF(E5797&lt;10,"&lt;10",IF(E5797&lt;20,"10-&lt;20",IF(E5797&lt;25,"20-&lt;25",IF(E5797&lt;35,"25-&lt;35","35+")))))</x:f>
        <x:v>10-&lt;20</x:v>
      </x:c>
    </x:row>
    <x:row r="5798">
      <x:c r="A5798" t="str">
        <x:v>SYN0005797</x:v>
      </x:c>
      <x:c r="B5798" s="12" t="n">
        <x:v>42595</x:v>
      </x:c>
      <x:c r="C5798" s="18" t="n">
        <x:v>30911</x:v>
      </x:c>
      <x:c r="D5798" s="18" t="n">
        <x:v>49707</x:v>
      </x:c>
      <x:c r="E5798" s="18" t="n">
        <x:v>22.62</x:v>
      </x:c>
      <x:c r="F5798" s="18" t="n">
        <x:v>8.19</x:v>
      </x:c>
      <x:c r="G5798" t="n">
        <x:v>60</x:v>
      </x:c>
      <x:c r="H5798" t="str">
        <x:v>B</x:v>
      </x:c>
      <x:c r="I5798" t="str">
        <x:v>10+ years</x:v>
      </x:c>
      <x:c r="J5798" t="str">
        <x:v>RENT</x:v>
      </x:c>
      <x:c r="K5798" t="str">
        <x:v>debt_consolidation</x:v>
      </x:c>
      <x:c r="L5798" t="n">
        <x:v>0</x:v>
      </x:c>
      <x:c r="M5798" t="n">
        <x:v>0</x:v>
      </x:c>
      <x:c r="N5798" t="str">
        <x:v>Fully Paid</x:v>
      </x:c>
      <x:c r="O5798" t="str">
        <x:f>IF(D5798="","Unknown",IF(D5798&lt;25000,"&lt;$25k",IF(D5798&lt;50000,"$25k-$50k",IF(D5798&lt;75000,"$50k-$75k",IF(D5798&lt;100000,"$75k-$100k","$100k+")))))</x:f>
        <x:v>$25k-$50k</x:v>
      </x:c>
      <x:c r="P5798" t="str">
        <x:f>IF(E5798="","Unknown",IF(E5798&lt;10,"&lt;10",IF(E5798&lt;20,"10-&lt;20",IF(E5798&lt;25,"20-&lt;25",IF(E5798&lt;35,"25-&lt;35","35+")))))</x:f>
        <x:v>20-&lt;25</x:v>
      </x:c>
    </x:row>
    <x:row r="5799">
      <x:c r="A5799" t="str">
        <x:v>SYN0005798</x:v>
      </x:c>
      <x:c r="B5799" s="12" t="n">
        <x:v>42535</x:v>
      </x:c>
      <x:c r="C5799" s="18" t="n">
        <x:v>14056</x:v>
      </x:c>
      <x:c r="D5799" s="18" t="n">
        <x:v>56857</x:v>
      </x:c>
      <x:c r="E5799" s="18" t="n">
        <x:v>20.81</x:v>
      </x:c>
      <x:c r="F5799" s="18" t="n">
        <x:v>17.18</x:v>
      </x:c>
      <x:c r="G5799" t="n">
        <x:v>36</x:v>
      </x:c>
      <x:c r="H5799" t="str">
        <x:v>D</x:v>
      </x:c>
      <x:c r="I5799" t="str">
        <x:v>7-9 years</x:v>
      </x:c>
      <x:c r="J5799" t="str">
        <x:v>MORTGAGE</x:v>
      </x:c>
      <x:c r="K5799" t="str">
        <x:v>debt_consolidation</x:v>
      </x:c>
      <x:c r="L5799" t="n">
        <x:v>0</x:v>
      </x:c>
      <x:c r="M5799" t="n">
        <x:v>0</x:v>
      </x:c>
      <x:c r="N5799" t="str">
        <x:v>Fully Paid</x:v>
      </x:c>
      <x:c r="O5799" t="str">
        <x:f>IF(D5799="","Unknown",IF(D5799&lt;25000,"&lt;$25k",IF(D5799&lt;50000,"$25k-$50k",IF(D5799&lt;75000,"$50k-$75k",IF(D5799&lt;100000,"$75k-$100k","$100k+")))))</x:f>
        <x:v>$50k-$75k</x:v>
      </x:c>
      <x:c r="P5799" t="str">
        <x:f>IF(E5799="","Unknown",IF(E5799&lt;10,"&lt;10",IF(E5799&lt;20,"10-&lt;20",IF(E5799&lt;25,"20-&lt;25",IF(E5799&lt;35,"25-&lt;35","35+")))))</x:f>
        <x:v>20-&lt;25</x:v>
      </x:c>
    </x:row>
    <x:row r="5800">
      <x:c r="A5800" t="str">
        <x:v>SYN0005799</x:v>
      </x:c>
      <x:c r="B5800" s="12" t="n">
        <x:v>42055</x:v>
      </x:c>
      <x:c r="C5800" s="18" t="n">
        <x:v>19846</x:v>
      </x:c>
      <x:c r="D5800" s="18" t="n">
        <x:v>34366</x:v>
      </x:c>
      <x:c r="E5800" s="18" t="n">
        <x:v>18.75</x:v>
      </x:c>
      <x:c r="F5800" s="18" t="n">
        <x:v>16.94</x:v>
      </x:c>
      <x:c r="G5800" t="n">
        <x:v>36</x:v>
      </x:c>
      <x:c r="H5800" t="str">
        <x:v>D</x:v>
      </x:c>
      <x:c r="I5800" t="str">
        <x:v>1-3 years</x:v>
      </x:c>
      <x:c r="J5800" t="str">
        <x:v>MORTGAGE</x:v>
      </x:c>
      <x:c r="K5800" t="str">
        <x:v>home_improvement</x:v>
      </x:c>
      <x:c r="L5800" t="n">
        <x:v>1</x:v>
      </x:c>
      <x:c r="M5800" t="n">
        <x:v>0</x:v>
      </x:c>
      <x:c r="N5800" t="str">
        <x:v>Fully Paid</x:v>
      </x:c>
      <x:c r="O5800" t="str">
        <x:f>IF(D5800="","Unknown",IF(D5800&lt;25000,"&lt;$25k",IF(D5800&lt;50000,"$25k-$50k",IF(D5800&lt;75000,"$50k-$75k",IF(D5800&lt;100000,"$75k-$100k","$100k+")))))</x:f>
        <x:v>$25k-$50k</x:v>
      </x:c>
      <x:c r="P5800" t="str">
        <x:f>IF(E5800="","Unknown",IF(E5800&lt;10,"&lt;10",IF(E5800&lt;20,"10-&lt;20",IF(E5800&lt;25,"20-&lt;25",IF(E5800&lt;35,"25-&lt;35","35+")))))</x:f>
        <x:v>10-&lt;20</x:v>
      </x:c>
    </x:row>
    <x:row r="5801">
      <x:c r="A5801" t="str">
        <x:v>SYN0005800</x:v>
      </x:c>
      <x:c r="B5801" s="12" t="n">
        <x:v>41995</x:v>
      </x:c>
      <x:c r="C5801" s="18" t="n">
        <x:v>9853</x:v>
      </x:c>
      <x:c r="D5801" s="18" t="n">
        <x:v>36028</x:v>
      </x:c>
      <x:c r="E5801" s="18" t="n">
        <x:v>33.73</x:v>
      </x:c>
      <x:c r="F5801" s="18" t="n">
        <x:v>19.51</x:v>
      </x:c>
      <x:c r="G5801" t="n">
        <x:v>36</x:v>
      </x:c>
      <x:c r="H5801" t="str">
        <x:v>E</x:v>
      </x:c>
      <x:c r="I5801" t="str">
        <x:v>1-3 years</x:v>
      </x:c>
      <x:c r="J5801" t="str">
        <x:v>OWN</x:v>
      </x:c>
      <x:c r="K5801" t="str">
        <x:v>debt_consolidation</x:v>
      </x:c>
      <x:c r="L5801" t="n">
        <x:v>0</x:v>
      </x:c>
      <x:c r="M5801" t="n">
        <x:v>0</x:v>
      </x:c>
      <x:c r="N5801" t="str">
        <x:v>Fully Paid</x:v>
      </x:c>
      <x:c r="O5801" t="str">
        <x:f>IF(D5801="","Unknown",IF(D5801&lt;25000,"&lt;$25k",IF(D5801&lt;50000,"$25k-$50k",IF(D5801&lt;75000,"$50k-$75k",IF(D5801&lt;100000,"$75k-$100k","$100k+")))))</x:f>
        <x:v>$25k-$50k</x:v>
      </x:c>
      <x:c r="P5801" t="str">
        <x:f>IF(E5801="","Unknown",IF(E5801&lt;10,"&lt;10",IF(E5801&lt;20,"10-&lt;20",IF(E5801&lt;25,"20-&lt;25",IF(E5801&lt;35,"25-&lt;35","35+")))))</x:f>
        <x:v>25-&lt;35</x:v>
      </x:c>
    </x:row>
    <x:row r="5802">
      <x:c r="A5802" t="str">
        <x:v>SYN0005801</x:v>
      </x:c>
      <x:c r="B5802" s="12" t="n">
        <x:v>41965</x:v>
      </x:c>
      <x:c r="C5802" s="18" t="n">
        <x:v>7911</x:v>
      </x:c>
      <x:c r="D5802" s="18" t="n">
        <x:v>53206</x:v>
      </x:c>
      <x:c r="E5802" s="18" t="n">
        <x:v>23.33</x:v>
      </x:c>
      <x:c r="F5802" s="18" t="n">
        <x:v>8.06</x:v>
      </x:c>
      <x:c r="G5802" t="n">
        <x:v>36</x:v>
      </x:c>
      <x:c r="H5802" t="str">
        <x:v>A</x:v>
      </x:c>
      <x:c r="I5802" t="str">
        <x:v>10+ years</x:v>
      </x:c>
      <x:c r="J5802" t="str">
        <x:v>MORTGAGE</x:v>
      </x:c>
      <x:c r="K5802" t="str">
        <x:v>debt_consolidation</x:v>
      </x:c>
      <x:c r="L5802" t="n">
        <x:v>0</x:v>
      </x:c>
      <x:c r="M5802" t="n">
        <x:v>0</x:v>
      </x:c>
      <x:c r="N5802" t="str">
        <x:v>Fully Paid</x:v>
      </x:c>
      <x:c r="O5802" t="str">
        <x:f>IF(D5802="","Unknown",IF(D5802&lt;25000,"&lt;$25k",IF(D5802&lt;50000,"$25k-$50k",IF(D5802&lt;75000,"$50k-$75k",IF(D5802&lt;100000,"$75k-$100k","$100k+")))))</x:f>
        <x:v>$50k-$75k</x:v>
      </x:c>
      <x:c r="P5802" t="str">
        <x:f>IF(E5802="","Unknown",IF(E5802&lt;10,"&lt;10",IF(E5802&lt;20,"10-&lt;20",IF(E5802&lt;25,"20-&lt;25",IF(E5802&lt;35,"25-&lt;35","35+")))))</x:f>
        <x:v>20-&lt;25</x:v>
      </x:c>
    </x:row>
    <x:row r="5803">
      <x:c r="A5803" t="str">
        <x:v>SYN0005802</x:v>
      </x:c>
      <x:c r="B5803" s="12" t="n">
        <x:v>42295</x:v>
      </x:c>
      <x:c r="C5803" s="18" t="n">
        <x:v>8845</x:v>
      </x:c>
      <x:c r="D5803" s="18" t="n">
        <x:v>75042</x:v>
      </x:c>
      <x:c r="E5803" s="18" t="n">
        <x:v>12.82</x:v>
      </x:c>
      <x:c r="F5803" s="18" t="n">
        <x:v>7.64</x:v>
      </x:c>
      <x:c r="G5803" t="n">
        <x:v>36</x:v>
      </x:c>
      <x:c r="H5803" t="str">
        <x:v>A</x:v>
      </x:c>
      <x:c r="I5803" t="str">
        <x:v>4-6 years</x:v>
      </x:c>
      <x:c r="J5803" t="str">
        <x:v>OWN</x:v>
      </x:c>
      <x:c r="K5803" t="str">
        <x:v>debt_consolidation</x:v>
      </x:c>
      <x:c r="L5803" t="n">
        <x:v>0</x:v>
      </x:c>
      <x:c r="M5803" t="n">
        <x:v>0</x:v>
      </x:c>
      <x:c r="N5803" t="str">
        <x:v>Fully Paid</x:v>
      </x:c>
      <x:c r="O5803" t="str">
        <x:f>IF(D5803="","Unknown",IF(D5803&lt;25000,"&lt;$25k",IF(D5803&lt;50000,"$25k-$50k",IF(D5803&lt;75000,"$50k-$75k",IF(D5803&lt;100000,"$75k-$100k","$100k+")))))</x:f>
        <x:v>$75k-$100k</x:v>
      </x:c>
      <x:c r="P5803" t="str">
        <x:f>IF(E5803="","Unknown",IF(E5803&lt;10,"&lt;10",IF(E5803&lt;20,"10-&lt;20",IF(E5803&lt;25,"20-&lt;25",IF(E5803&lt;35,"25-&lt;35","35+")))))</x:f>
        <x:v>10-&lt;20</x:v>
      </x:c>
    </x:row>
    <x:row r="5804">
      <x:c r="A5804" t="str">
        <x:v>SYN0005803</x:v>
      </x:c>
      <x:c r="B5804" s="12" t="n">
        <x:v>42355</x:v>
      </x:c>
      <x:c r="C5804" s="18" t="n">
        <x:v>7980</x:v>
      </x:c>
      <x:c r="D5804" s="18" t="n">
        <x:v>26032</x:v>
      </x:c>
      <x:c r="E5804" s="18" t="n">
        <x:v>16.4</x:v>
      </x:c>
      <x:c r="F5804" s="18" t="n">
        <x:v>11.16</x:v>
      </x:c>
      <x:c r="G5804" t="n">
        <x:v>36</x:v>
      </x:c>
      <x:c r="H5804" t="str">
        <x:v>A</x:v>
      </x:c>
      <x:c r="I5804" t="str">
        <x:v>10+ years</x:v>
      </x:c>
      <x:c r="J5804" t="str">
        <x:v>MORTGAGE</x:v>
      </x:c>
      <x:c r="K5804" t="str">
        <x:v>credit_card</x:v>
      </x:c>
      <x:c r="L5804" t="n">
        <x:v>1</x:v>
      </x:c>
      <x:c r="M5804" t="n">
        <x:v>0</x:v>
      </x:c>
      <x:c r="N5804" t="str">
        <x:v>Fully Paid</x:v>
      </x:c>
      <x:c r="O5804" t="str">
        <x:f>IF(D5804="","Unknown",IF(D5804&lt;25000,"&lt;$25k",IF(D5804&lt;50000,"$25k-$50k",IF(D5804&lt;75000,"$50k-$75k",IF(D5804&lt;100000,"$75k-$100k","$100k+")))))</x:f>
        <x:v>$25k-$50k</x:v>
      </x:c>
      <x:c r="P5804" t="str">
        <x:f>IF(E5804="","Unknown",IF(E5804&lt;10,"&lt;10",IF(E5804&lt;20,"10-&lt;20",IF(E5804&lt;25,"20-&lt;25",IF(E5804&lt;35,"25-&lt;35","35+")))))</x:f>
        <x:v>10-&lt;20</x:v>
      </x:c>
    </x:row>
    <x:row r="5805">
      <x:c r="A5805" t="str">
        <x:v>SYN0005804</x:v>
      </x:c>
      <x:c r="B5805" s="12" t="n">
        <x:v>42295</x:v>
      </x:c>
      <x:c r="C5805" s="18" t="n">
        <x:v>18112</x:v>
      </x:c>
      <x:c r="D5805" s="18" t="n">
        <x:v>25290</x:v>
      </x:c>
      <x:c r="E5805" s="18" t="n">
        <x:v>21.1</x:v>
      </x:c>
      <x:c r="F5805" s="18" t="n">
        <x:v>11.78</x:v>
      </x:c>
      <x:c r="G5805" t="n">
        <x:v>60</x:v>
      </x:c>
      <x:c r="H5805" t="str">
        <x:v>C</x:v>
      </x:c>
      <x:c r="I5805" t="str">
        <x:v>10+ years</x:v>
      </x:c>
      <x:c r="J5805" t="str">
        <x:v>MORTGAGE</x:v>
      </x:c>
      <x:c r="K5805" t="str">
        <x:v>debt_consolidation</x:v>
      </x:c>
      <x:c r="L5805" t="n">
        <x:v>1</x:v>
      </x:c>
      <x:c r="M5805" t="n">
        <x:v>0</x:v>
      </x:c>
      <x:c r="N5805" t="str">
        <x:v>Fully Paid</x:v>
      </x:c>
      <x:c r="O5805" t="str">
        <x:f>IF(D5805="","Unknown",IF(D5805&lt;25000,"&lt;$25k",IF(D5805&lt;50000,"$25k-$50k",IF(D5805&lt;75000,"$50k-$75k",IF(D5805&lt;100000,"$75k-$100k","$100k+")))))</x:f>
        <x:v>$25k-$50k</x:v>
      </x:c>
      <x:c r="P5805" t="str">
        <x:f>IF(E5805="","Unknown",IF(E5805&lt;10,"&lt;10",IF(E5805&lt;20,"10-&lt;20",IF(E5805&lt;25,"20-&lt;25",IF(E5805&lt;35,"25-&lt;35","35+")))))</x:f>
        <x:v>20-&lt;25</x:v>
      </x:c>
    </x:row>
    <x:row r="5806">
      <x:c r="A5806" t="str">
        <x:v>SYN0005805</x:v>
      </x:c>
      <x:c r="B5806" s="12" t="n">
        <x:v>43405</x:v>
      </x:c>
      <x:c r="C5806" s="18" t="n">
        <x:v>5513</x:v>
      </x:c>
      <x:c r="D5806" s="18" t="n">
        <x:v>44478</x:v>
      </x:c>
      <x:c r="E5806" s="18" t="n">
        <x:v>35.72</x:v>
      </x:c>
      <x:c r="F5806" s="18" t="n">
        <x:v>17.05</x:v>
      </x:c>
      <x:c r="G5806" t="n">
        <x:v>36</x:v>
      </x:c>
      <x:c r="H5806" t="str">
        <x:v>E</x:v>
      </x:c>
      <x:c r="I5806" t="str">
        <x:v>&lt;1 year</x:v>
      </x:c>
      <x:c r="J5806" t="str">
        <x:v>MORTGAGE</x:v>
      </x:c>
      <x:c r="K5806" t="str">
        <x:v>credit_card</x:v>
      </x:c>
      <x:c r="L5806" t="n">
        <x:v>0</x:v>
      </x:c>
      <x:c r="M5806" t="n">
        <x:v>0</x:v>
      </x:c>
      <x:c r="N5806" t="str">
        <x:v>Fully Paid</x:v>
      </x:c>
      <x:c r="O5806" t="str">
        <x:f>IF(D5806="","Unknown",IF(D5806&lt;25000,"&lt;$25k",IF(D5806&lt;50000,"$25k-$50k",IF(D5806&lt;75000,"$50k-$75k",IF(D5806&lt;100000,"$75k-$100k","$100k+")))))</x:f>
        <x:v>$25k-$50k</x:v>
      </x:c>
      <x:c r="P5806" t="str">
        <x:f>IF(E5806="","Unknown",IF(E5806&lt;10,"&lt;10",IF(E5806&lt;20,"10-&lt;20",IF(E5806&lt;25,"20-&lt;25",IF(E5806&lt;35,"25-&lt;35","35+")))))</x:f>
        <x:v>35+</x:v>
      </x:c>
    </x:row>
    <x:row r="5807">
      <x:c r="A5807" t="str">
        <x:v>SYN0005806</x:v>
      </x:c>
      <x:c r="B5807" s="12" t="n">
        <x:v>42595</x:v>
      </x:c>
      <x:c r="C5807" s="18" t="n">
        <x:v>4796</x:v>
      </x:c>
      <x:c r="D5807" s="18" t="n">
        <x:v>46327</x:v>
      </x:c>
      <x:c r="E5807" s="18" t="n">
        <x:v>33.98</x:v>
      </x:c>
      <x:c r="F5807" s="18" t="n">
        <x:v>12.41</x:v>
      </x:c>
      <x:c r="G5807" t="n">
        <x:v>36</x:v>
      </x:c>
      <x:c r="H5807" t="str">
        <x:v>B</x:v>
      </x:c>
      <x:c r="I5807" t="str">
        <x:v>10+ years</x:v>
      </x:c>
      <x:c r="J5807" t="str">
        <x:v>RENT</x:v>
      </x:c>
      <x:c r="K5807" t="str">
        <x:v>home_improvement</x:v>
      </x:c>
      <x:c r="L5807" t="n">
        <x:v>0</x:v>
      </x:c>
      <x:c r="M5807" t="n">
        <x:v>1</x:v>
      </x:c>
      <x:c r="N5807" t="str">
        <x:v>Charged Off</x:v>
      </x:c>
      <x:c r="O5807" t="str">
        <x:f>IF(D5807="","Unknown",IF(D5807&lt;25000,"&lt;$25k",IF(D5807&lt;50000,"$25k-$50k",IF(D5807&lt;75000,"$50k-$75k",IF(D5807&lt;100000,"$75k-$100k","$100k+")))))</x:f>
        <x:v>$25k-$50k</x:v>
      </x:c>
      <x:c r="P5807" t="str">
        <x:f>IF(E5807="","Unknown",IF(E5807&lt;10,"&lt;10",IF(E5807&lt;20,"10-&lt;20",IF(E5807&lt;25,"20-&lt;25",IF(E5807&lt;35,"25-&lt;35","35+")))))</x:f>
        <x:v>25-&lt;35</x:v>
      </x:c>
    </x:row>
    <x:row r="5808">
      <x:c r="A5808" t="str">
        <x:v>SYN0005807</x:v>
      </x:c>
      <x:c r="B5808" s="12" t="n">
        <x:v>42685</x:v>
      </x:c>
      <x:c r="C5808" s="18" t="n">
        <x:v>8175</x:v>
      </x:c>
      <x:c r="D5808" s="18" t="n">
        <x:v>31630</x:v>
      </x:c>
      <x:c r="E5808" s="18" t="n">
        <x:v>22.96</x:v>
      </x:c>
      <x:c r="F5808" s="18" t="n">
        <x:v>8.68</x:v>
      </x:c>
      <x:c r="G5808" t="n">
        <x:v>36</x:v>
      </x:c>
      <x:c r="H5808" t="str">
        <x:v>B</x:v>
      </x:c>
      <x:c r="I5808" t="str">
        <x:v>4-6 years</x:v>
      </x:c>
      <x:c r="J5808" t="str">
        <x:v>OWN</x:v>
      </x:c>
      <x:c r="K5808" t="str">
        <x:v>home_improvement</x:v>
      </x:c>
      <x:c r="L5808" t="n">
        <x:v>0</x:v>
      </x:c>
      <x:c r="M5808" t="n">
        <x:v>0</x:v>
      </x:c>
      <x:c r="N5808" t="str">
        <x:v>Fully Paid</x:v>
      </x:c>
      <x:c r="O5808" t="str">
        <x:f>IF(D5808="","Unknown",IF(D5808&lt;25000,"&lt;$25k",IF(D5808&lt;50000,"$25k-$50k",IF(D5808&lt;75000,"$50k-$75k",IF(D5808&lt;100000,"$75k-$100k","$100k+")))))</x:f>
        <x:v>$25k-$50k</x:v>
      </x:c>
      <x:c r="P5808" t="str">
        <x:f>IF(E5808="","Unknown",IF(E5808&lt;10,"&lt;10",IF(E5808&lt;20,"10-&lt;20",IF(E5808&lt;25,"20-&lt;25",IF(E5808&lt;35,"25-&lt;35","35+")))))</x:f>
        <x:v>20-&lt;25</x:v>
      </x:c>
    </x:row>
    <x:row r="5809">
      <x:c r="A5809" t="str">
        <x:v>SYN0005808</x:v>
      </x:c>
      <x:c r="B5809" s="12" t="n">
        <x:v>42235</x:v>
      </x:c>
      <x:c r="C5809" s="18" t="n">
        <x:v>11649</x:v>
      </x:c>
      <x:c r="D5809" s="18" t="n">
        <x:v>12000</x:v>
      </x:c>
      <x:c r="E5809" s="18" t="n">
        <x:v>23.4</x:v>
      </x:c>
      <x:c r="F5809" s="18" t="n">
        <x:v>17.93</x:v>
      </x:c>
      <x:c r="G5809" t="n">
        <x:v>60</x:v>
      </x:c>
      <x:c r="H5809" t="str">
        <x:v>E</x:v>
      </x:c>
      <x:c r="I5809" t="str">
        <x:v>4-6 years</x:v>
      </x:c>
      <x:c r="J5809" t="str">
        <x:v>RENT</x:v>
      </x:c>
      <x:c r="K5809" t="str">
        <x:v>credit_card</x:v>
      </x:c>
      <x:c r="L5809" t="n">
        <x:v>2</x:v>
      </x:c>
      <x:c r="M5809" t="n">
        <x:v>0</x:v>
      </x:c>
      <x:c r="N5809" t="str">
        <x:v>Fully Paid</x:v>
      </x:c>
      <x:c r="O5809" t="str">
        <x:f>IF(D5809="","Unknown",IF(D5809&lt;25000,"&lt;$25k",IF(D5809&lt;50000,"$25k-$50k",IF(D5809&lt;75000,"$50k-$75k",IF(D5809&lt;100000,"$75k-$100k","$100k+")))))</x:f>
        <x:v>&lt;$25k</x:v>
      </x:c>
      <x:c r="P5809" t="str">
        <x:f>IF(E5809="","Unknown",IF(E5809&lt;10,"&lt;10",IF(E5809&lt;20,"10-&lt;20",IF(E5809&lt;25,"20-&lt;25",IF(E5809&lt;35,"25-&lt;35","35+")))))</x:f>
        <x:v>20-&lt;25</x:v>
      </x:c>
    </x:row>
    <x:row r="5810">
      <x:c r="A5810" t="str">
        <x:v>SYN0005809</x:v>
      </x:c>
      <x:c r="B5810" s="12" t="n">
        <x:v>42895</x:v>
      </x:c>
      <x:c r="C5810" s="18" t="n">
        <x:v>24424</x:v>
      </x:c>
      <x:c r="D5810" s="18" t="n">
        <x:v>51690</x:v>
      </x:c>
      <x:c r="E5810" s="18" t="n">
        <x:v>26.25</x:v>
      </x:c>
      <x:c r="F5810" s="18" t="n">
        <x:v>12.34</x:v>
      </x:c>
      <x:c r="G5810" t="n">
        <x:v>36</x:v>
      </x:c>
      <x:c r="H5810" t="str">
        <x:v>C</x:v>
      </x:c>
      <x:c r="I5810" t="str">
        <x:v>1-3 years</x:v>
      </x:c>
      <x:c r="J5810" t="str">
        <x:v>MORTGAGE</x:v>
      </x:c>
      <x:c r="K5810" t="str">
        <x:v>major_purchase</x:v>
      </x:c>
      <x:c r="L5810" t="n">
        <x:v>0</x:v>
      </x:c>
      <x:c r="M5810" t="n">
        <x:v>0</x:v>
      </x:c>
      <x:c r="N5810" t="str">
        <x:v>Fully Paid</x:v>
      </x:c>
      <x:c r="O5810" t="str">
        <x:f>IF(D5810="","Unknown",IF(D5810&lt;25000,"&lt;$25k",IF(D5810&lt;50000,"$25k-$50k",IF(D5810&lt;75000,"$50k-$75k",IF(D5810&lt;100000,"$75k-$100k","$100k+")))))</x:f>
        <x:v>$50k-$75k</x:v>
      </x:c>
      <x:c r="P5810" t="str">
        <x:f>IF(E5810="","Unknown",IF(E5810&lt;10,"&lt;10",IF(E5810&lt;20,"10-&lt;20",IF(E5810&lt;25,"20-&lt;25",IF(E5810&lt;35,"25-&lt;35","35+")))))</x:f>
        <x:v>25-&lt;35</x:v>
      </x:c>
    </x:row>
    <x:row r="5811">
      <x:c r="A5811" t="str">
        <x:v>SYN0005810</x:v>
      </x:c>
      <x:c r="B5811" s="12" t="n">
        <x:v>42895</x:v>
      </x:c>
      <x:c r="C5811" s="18" t="n">
        <x:v>10558</x:v>
      </x:c>
      <x:c r="D5811" s="18" t="n">
        <x:v>63593</x:v>
      </x:c>
      <x:c r="E5811" s="18" t="n">
        <x:v>21.75</x:v>
      </x:c>
      <x:c r="F5811" s="18" t="n">
        <x:v>11.26</x:v>
      </x:c>
      <x:c r="G5811" t="n">
        <x:v>36</x:v>
      </x:c>
      <x:c r="H5811" t="str">
        <x:v>C</x:v>
      </x:c>
      <x:c r="I5811" t="str">
        <x:v>7-9 years</x:v>
      </x:c>
      <x:c r="J5811" t="str">
        <x:v>MORTGAGE</x:v>
      </x:c>
      <x:c r="K5811" t="str">
        <x:v>debt_consolidation</x:v>
      </x:c>
      <x:c r="L5811" t="n">
        <x:v>1</x:v>
      </x:c>
      <x:c r="M5811" t="n">
        <x:v>0</x:v>
      </x:c>
      <x:c r="N5811" t="str">
        <x:v>Fully Paid</x:v>
      </x:c>
      <x:c r="O5811" t="str">
        <x:f>IF(D5811="","Unknown",IF(D5811&lt;25000,"&lt;$25k",IF(D5811&lt;50000,"$25k-$50k",IF(D5811&lt;75000,"$50k-$75k",IF(D5811&lt;100000,"$75k-$100k","$100k+")))))</x:f>
        <x:v>$50k-$75k</x:v>
      </x:c>
      <x:c r="P5811" t="str">
        <x:f>IF(E5811="","Unknown",IF(E5811&lt;10,"&lt;10",IF(E5811&lt;20,"10-&lt;20",IF(E5811&lt;25,"20-&lt;25",IF(E5811&lt;35,"25-&lt;35","35+")))))</x:f>
        <x:v>20-&lt;25</x:v>
      </x:c>
    </x:row>
    <x:row r="5812">
      <x:c r="A5812" t="str">
        <x:v>SYN0005811</x:v>
      </x:c>
      <x:c r="B5812" s="12" t="n">
        <x:v>42415</x:v>
      </x:c>
      <x:c r="C5812" s="18" t="n">
        <x:v>17146</x:v>
      </x:c>
      <x:c r="D5812" s="18" t="n">
        <x:v>33607</x:v>
      </x:c>
      <x:c r="E5812" s="18" t="n">
        <x:v>25.5</x:v>
      </x:c>
      <x:c r="F5812" s="18" t="n">
        <x:v>8.38</x:v>
      </x:c>
      <x:c r="G5812" t="n">
        <x:v>36</x:v>
      </x:c>
      <x:c r="H5812" t="str">
        <x:v>B</x:v>
      </x:c>
      <x:c r="I5812" t="str">
        <x:v>10+ years</x:v>
      </x:c>
      <x:c r="J5812" t="str">
        <x:v>RENT</x:v>
      </x:c>
      <x:c r="K5812" t="str">
        <x:v>debt_consolidation</x:v>
      </x:c>
      <x:c r="L5812" t="n">
        <x:v>0</x:v>
      </x:c>
      <x:c r="M5812" t="n">
        <x:v>0</x:v>
      </x:c>
      <x:c r="N5812" t="str">
        <x:v>Fully Paid</x:v>
      </x:c>
      <x:c r="O5812" t="str">
        <x:f>IF(D5812="","Unknown",IF(D5812&lt;25000,"&lt;$25k",IF(D5812&lt;50000,"$25k-$50k",IF(D5812&lt;75000,"$50k-$75k",IF(D5812&lt;100000,"$75k-$100k","$100k+")))))</x:f>
        <x:v>$25k-$50k</x:v>
      </x:c>
      <x:c r="P5812" t="str">
        <x:f>IF(E5812="","Unknown",IF(E5812&lt;10,"&lt;10",IF(E5812&lt;20,"10-&lt;20",IF(E5812&lt;25,"20-&lt;25",IF(E5812&lt;35,"25-&lt;35","35+")))))</x:f>
        <x:v>25-&lt;35</x:v>
      </x:c>
    </x:row>
    <x:row r="5813">
      <x:c r="A5813" t="str">
        <x:v>SYN0005812</x:v>
      </x:c>
      <x:c r="B5813" s="12" t="n">
        <x:v>42595</x:v>
      </x:c>
      <x:c r="C5813" s="18" t="n">
        <x:v>7372</x:v>
      </x:c>
      <x:c r="D5813" s="18" t="n">
        <x:v>67067</x:v>
      </x:c>
      <x:c r="E5813" s="18" t="n">
        <x:v>42.41</x:v>
      </x:c>
      <x:c r="F5813" s="18" t="n">
        <x:v>18.41</x:v>
      </x:c>
      <x:c r="G5813" t="n">
        <x:v>60</x:v>
      </x:c>
      <x:c r="H5813" t="str">
        <x:v>E</x:v>
      </x:c>
      <x:c r="I5813" t="str">
        <x:v>10+ years</x:v>
      </x:c>
      <x:c r="J5813" t="str">
        <x:v>MORTGAGE</x:v>
      </x:c>
      <x:c r="K5813" t="str">
        <x:v>credit_card</x:v>
      </x:c>
      <x:c r="L5813" t="n">
        <x:v>0</x:v>
      </x:c>
      <x:c r="M5813" t="n">
        <x:v>1</x:v>
      </x:c>
      <x:c r="N5813" t="str">
        <x:v>Charged Off</x:v>
      </x:c>
      <x:c r="O5813" t="str">
        <x:f>IF(D5813="","Unknown",IF(D5813&lt;25000,"&lt;$25k",IF(D5813&lt;50000,"$25k-$50k",IF(D5813&lt;75000,"$50k-$75k",IF(D5813&lt;100000,"$75k-$100k","$100k+")))))</x:f>
        <x:v>$50k-$75k</x:v>
      </x:c>
      <x:c r="P5813" t="str">
        <x:f>IF(E5813="","Unknown",IF(E5813&lt;10,"&lt;10",IF(E5813&lt;20,"10-&lt;20",IF(E5813&lt;25,"20-&lt;25",IF(E5813&lt;35,"25-&lt;35","35+")))))</x:f>
        <x:v>35+</x:v>
      </x:c>
    </x:row>
    <x:row r="5814">
      <x:c r="A5814" t="str">
        <x:v>SYN0005813</x:v>
      </x:c>
      <x:c r="B5814" s="12" t="n">
        <x:v>42625</x:v>
      </x:c>
      <x:c r="C5814" s="18" t="n">
        <x:v>11053</x:v>
      </x:c>
      <x:c r="D5814" s="18" t="n">
        <x:v>22807</x:v>
      </x:c>
      <x:c r="E5814" s="18" t="n">
        <x:v>10.97</x:v>
      </x:c>
      <x:c r="F5814" s="18" t="n">
        <x:v>9.22</x:v>
      </x:c>
      <x:c r="G5814" t="n">
        <x:v>36</x:v>
      </x:c>
      <x:c r="H5814" t="str">
        <x:v>C</x:v>
      </x:c>
      <x:c r="I5814" t="str">
        <x:v>7-9 years</x:v>
      </x:c>
      <x:c r="J5814" t="str">
        <x:v>MORTGAGE</x:v>
      </x:c>
      <x:c r="K5814" t="str">
        <x:v>debt_consolidation</x:v>
      </x:c>
      <x:c r="L5814" t="n">
        <x:v>0</x:v>
      </x:c>
      <x:c r="M5814" t="n">
        <x:v>0</x:v>
      </x:c>
      <x:c r="N5814" t="str">
        <x:v>Fully Paid</x:v>
      </x:c>
      <x:c r="O5814" t="str">
        <x:f>IF(D5814="","Unknown",IF(D5814&lt;25000,"&lt;$25k",IF(D5814&lt;50000,"$25k-$50k",IF(D5814&lt;75000,"$50k-$75k",IF(D5814&lt;100000,"$75k-$100k","$100k+")))))</x:f>
        <x:v>&lt;$25k</x:v>
      </x:c>
      <x:c r="P5814" t="str">
        <x:f>IF(E5814="","Unknown",IF(E5814&lt;10,"&lt;10",IF(E5814&lt;20,"10-&lt;20",IF(E5814&lt;25,"20-&lt;25",IF(E5814&lt;35,"25-&lt;35","35+")))))</x:f>
        <x:v>10-&lt;20</x:v>
      </x:c>
    </x:row>
    <x:row r="5815">
      <x:c r="A5815" t="str">
        <x:v>SYN0005814</x:v>
      </x:c>
      <x:c r="B5815" s="12" t="n">
        <x:v>43195</x:v>
      </x:c>
      <x:c r="C5815" s="18" t="n">
        <x:v>32574</x:v>
      </x:c>
      <x:c r="D5815" s="18" t="n">
        <x:v>80147</x:v>
      </x:c>
      <x:c r="E5815" s="18" t="n">
        <x:v>15.15</x:v>
      </x:c>
      <x:c r="F5815" s="18" t="n">
        <x:v>6.13</x:v>
      </x:c>
      <x:c r="G5815" t="n">
        <x:v>36</x:v>
      </x:c>
      <x:c r="H5815" t="str">
        <x:v>B</x:v>
      </x:c>
      <x:c r="I5815" t="str">
        <x:v>&lt;1 year</x:v>
      </x:c>
      <x:c r="J5815" t="str">
        <x:v>OWN</x:v>
      </x:c>
      <x:c r="K5815" t="str">
        <x:v>debt_consolidation</x:v>
      </x:c>
      <x:c r="L5815" t="n">
        <x:v>0</x:v>
      </x:c>
      <x:c r="M5815" t="n">
        <x:v>0</x:v>
      </x:c>
      <x:c r="N5815" t="str">
        <x:v>Fully Paid</x:v>
      </x:c>
      <x:c r="O5815" t="str">
        <x:f>IF(D5815="","Unknown",IF(D5815&lt;25000,"&lt;$25k",IF(D5815&lt;50000,"$25k-$50k",IF(D5815&lt;75000,"$50k-$75k",IF(D5815&lt;100000,"$75k-$100k","$100k+")))))</x:f>
        <x:v>$75k-$100k</x:v>
      </x:c>
      <x:c r="P5815" t="str">
        <x:f>IF(E5815="","Unknown",IF(E5815&lt;10,"&lt;10",IF(E5815&lt;20,"10-&lt;20",IF(E5815&lt;25,"20-&lt;25",IF(E5815&lt;35,"25-&lt;35","35+")))))</x:f>
        <x:v>10-&lt;20</x:v>
      </x:c>
    </x:row>
    <x:row r="5816">
      <x:c r="A5816" t="str">
        <x:v>SYN0005815</x:v>
      </x:c>
      <x:c r="B5816" s="12" t="n">
        <x:v>42265</x:v>
      </x:c>
      <x:c r="C5816" s="18" t="n">
        <x:v>11691</x:v>
      </x:c>
      <x:c r="D5816" s="18" t="n">
        <x:v>108202</x:v>
      </x:c>
      <x:c r="E5816" s="18" t="n">
        <x:v>25.16</x:v>
      </x:c>
      <x:c r="F5816" s="18" t="n">
        <x:v>5.04</x:v>
      </x:c>
      <x:c r="G5816" t="n">
        <x:v>36</x:v>
      </x:c>
      <x:c r="H5816" t="str">
        <x:v>A</x:v>
      </x:c>
      <x:c r="I5816" t="str">
        <x:v>1-3 years</x:v>
      </x:c>
      <x:c r="J5816" t="str">
        <x:v>MORTGAGE</x:v>
      </x:c>
      <x:c r="K5816" t="str">
        <x:v>home_improvement</x:v>
      </x:c>
      <x:c r="L5816" t="n">
        <x:v>0</x:v>
      </x:c>
      <x:c r="M5816" t="n">
        <x:v>0</x:v>
      </x:c>
      <x:c r="N5816" t="str">
        <x:v>Fully Paid</x:v>
      </x:c>
      <x:c r="O5816" t="str">
        <x:f>IF(D5816="","Unknown",IF(D5816&lt;25000,"&lt;$25k",IF(D5816&lt;50000,"$25k-$50k",IF(D5816&lt;75000,"$50k-$75k",IF(D5816&lt;100000,"$75k-$100k","$100k+")))))</x:f>
        <x:v>$100k+</x:v>
      </x:c>
      <x:c r="P5816" t="str">
        <x:f>IF(E5816="","Unknown",IF(E5816&lt;10,"&lt;10",IF(E5816&lt;20,"10-&lt;20",IF(E5816&lt;25,"20-&lt;25",IF(E5816&lt;35,"25-&lt;35","35+")))))</x:f>
        <x:v>25-&lt;35</x:v>
      </x:c>
    </x:row>
    <x:row r="5817">
      <x:c r="A5817" t="str">
        <x:v>SYN0005816</x:v>
      </x:c>
      <x:c r="B5817" s="12" t="n">
        <x:v>42085</x:v>
      </x:c>
      <x:c r="C5817" s="18" t="n">
        <x:v>6021</x:v>
      </x:c>
      <x:c r="D5817" s="18" t="n">
        <x:v>58376</x:v>
      </x:c>
      <x:c r="E5817" s="18" t="n">
        <x:v>0.38</x:v>
      </x:c>
      <x:c r="F5817" s="18" t="n">
        <x:v>9.29</x:v>
      </x:c>
      <x:c r="G5817" t="n">
        <x:v>60</x:v>
      </x:c>
      <x:c r="H5817" t="str">
        <x:v>B</x:v>
      </x:c>
      <x:c r="I5817" t="str">
        <x:v>1-3 years</x:v>
      </x:c>
      <x:c r="J5817" t="str">
        <x:v>MORTGAGE</x:v>
      </x:c>
      <x:c r="K5817" t="str">
        <x:v>other</x:v>
      </x:c>
      <x:c r="L5817" t="n">
        <x:v>0</x:v>
      </x:c>
      <x:c r="M5817" t="n">
        <x:v>0</x:v>
      </x:c>
      <x:c r="N5817" t="str">
        <x:v>Fully Paid</x:v>
      </x:c>
      <x:c r="O5817" t="str">
        <x:f>IF(D5817="","Unknown",IF(D5817&lt;25000,"&lt;$25k",IF(D5817&lt;50000,"$25k-$50k",IF(D5817&lt;75000,"$50k-$75k",IF(D5817&lt;100000,"$75k-$100k","$100k+")))))</x:f>
        <x:v>$50k-$75k</x:v>
      </x:c>
      <x:c r="P5817" t="str">
        <x:f>IF(E5817="","Unknown",IF(E5817&lt;10,"&lt;10",IF(E5817&lt;20,"10-&lt;20",IF(E5817&lt;25,"20-&lt;25",IF(E5817&lt;35,"25-&lt;35","35+")))))</x:f>
        <x:v>&lt;10</x:v>
      </x:c>
    </x:row>
    <x:row r="5818">
      <x:c r="A5818" t="str">
        <x:v>SYN0005817</x:v>
      </x:c>
      <x:c r="B5818" s="12" t="n">
        <x:v>42565</x:v>
      </x:c>
      <x:c r="C5818" s="18" t="n">
        <x:v>17777</x:v>
      </x:c>
      <x:c r="D5818" s="18" t="n">
        <x:v>123597</x:v>
      </x:c>
      <x:c r="E5818" s="18" t="n">
        <x:v>26.66</x:v>
      </x:c>
      <x:c r="F5818" s="18" t="n">
        <x:v>15.42</x:v>
      </x:c>
      <x:c r="G5818" t="n">
        <x:v>36</x:v>
      </x:c>
      <x:c r="H5818" t="str">
        <x:v>D</x:v>
      </x:c>
      <x:c r="I5818" t="str">
        <x:v>&lt;1 year</x:v>
      </x:c>
      <x:c r="J5818" t="str">
        <x:v>OWN</x:v>
      </x:c>
      <x:c r="K5818" t="str">
        <x:v>other</x:v>
      </x:c>
      <x:c r="L5818" t="n">
        <x:v>0</x:v>
      </x:c>
      <x:c r="M5818" t="n">
        <x:v>1</x:v>
      </x:c>
      <x:c r="N5818" t="str">
        <x:v>Charged Off</x:v>
      </x:c>
      <x:c r="O5818" t="str">
        <x:f>IF(D5818="","Unknown",IF(D5818&lt;25000,"&lt;$25k",IF(D5818&lt;50000,"$25k-$50k",IF(D5818&lt;75000,"$50k-$75k",IF(D5818&lt;100000,"$75k-$100k","$100k+")))))</x:f>
        <x:v>$100k+</x:v>
      </x:c>
      <x:c r="P5818" t="str">
        <x:f>IF(E5818="","Unknown",IF(E5818&lt;10,"&lt;10",IF(E5818&lt;20,"10-&lt;20",IF(E5818&lt;25,"20-&lt;25",IF(E5818&lt;35,"25-&lt;35","35+")))))</x:f>
        <x:v>25-&lt;35</x:v>
      </x:c>
    </x:row>
    <x:row r="5819">
      <x:c r="A5819" t="str">
        <x:v>SYN0005818</x:v>
      </x:c>
      <x:c r="B5819" s="12" t="n">
        <x:v>41665</x:v>
      </x:c>
      <x:c r="C5819" s="18" t="n">
        <x:v>6193</x:v>
      </x:c>
      <x:c r="D5819" s="18" t="n">
        <x:v>59188</x:v>
      </x:c>
      <x:c r="E5819" s="18" t="n">
        <x:v>18.04</x:v>
      </x:c>
      <x:c r="F5819" s="18" t="n">
        <x:v>9.7</x:v>
      </x:c>
      <x:c r="G5819" t="n">
        <x:v>36</x:v>
      </x:c>
      <x:c r="H5819" t="str">
        <x:v>B</x:v>
      </x:c>
      <x:c r="I5819" t="str">
        <x:v>4-6 years</x:v>
      </x:c>
      <x:c r="J5819" t="str">
        <x:v>OWN</x:v>
      </x:c>
      <x:c r="K5819" t="str">
        <x:v>credit_card</x:v>
      </x:c>
      <x:c r="L5819" t="n">
        <x:v>0</x:v>
      </x:c>
      <x:c r="M5819" t="n">
        <x:v>0</x:v>
      </x:c>
      <x:c r="N5819" t="str">
        <x:v>Fully Paid</x:v>
      </x:c>
      <x:c r="O5819" t="str">
        <x:f>IF(D5819="","Unknown",IF(D5819&lt;25000,"&lt;$25k",IF(D5819&lt;50000,"$25k-$50k",IF(D5819&lt;75000,"$50k-$75k",IF(D5819&lt;100000,"$75k-$100k","$100k+")))))</x:f>
        <x:v>$50k-$75k</x:v>
      </x:c>
      <x:c r="P5819" t="str">
        <x:f>IF(E5819="","Unknown",IF(E5819&lt;10,"&lt;10",IF(E5819&lt;20,"10-&lt;20",IF(E5819&lt;25,"20-&lt;25",IF(E5819&lt;35,"25-&lt;35","35+")))))</x:f>
        <x:v>10-&lt;20</x:v>
      </x:c>
    </x:row>
    <x:row r="5820">
      <x:c r="A5820" t="str">
        <x:v>SYN0005819</x:v>
      </x:c>
      <x:c r="B5820" s="12" t="n">
        <x:v>42175</x:v>
      </x:c>
      <x:c r="C5820" s="18" t="n">
        <x:v>15374</x:v>
      </x:c>
      <x:c r="D5820" s="18" t="n">
        <x:v>24331</x:v>
      </x:c>
      <x:c r="E5820" s="18" t="n">
        <x:v>23.41</x:v>
      </x:c>
      <x:c r="F5820" s="18" t="n">
        <x:v>7.39</x:v>
      </x:c>
      <x:c r="G5820" t="n">
        <x:v>60</x:v>
      </x:c>
      <x:c r="H5820" t="str">
        <x:v>B</x:v>
      </x:c>
      <x:c r="I5820" t="str">
        <x:v>10+ years</x:v>
      </x:c>
      <x:c r="J5820" t="str">
        <x:v>RENT</x:v>
      </x:c>
      <x:c r="K5820" t="str">
        <x:v>credit_card</x:v>
      </x:c>
      <x:c r="L5820" t="n">
        <x:v>0</x:v>
      </x:c>
      <x:c r="M5820" t="n">
        <x:v>0</x:v>
      </x:c>
      <x:c r="N5820" t="str">
        <x:v>Fully Paid</x:v>
      </x:c>
      <x:c r="O5820" t="str">
        <x:f>IF(D5820="","Unknown",IF(D5820&lt;25000,"&lt;$25k",IF(D5820&lt;50000,"$25k-$50k",IF(D5820&lt;75000,"$50k-$75k",IF(D5820&lt;100000,"$75k-$100k","$100k+")))))</x:f>
        <x:v>&lt;$25k</x:v>
      </x:c>
      <x:c r="P5820" t="str">
        <x:f>IF(E5820="","Unknown",IF(E5820&lt;10,"&lt;10",IF(E5820&lt;20,"10-&lt;20",IF(E5820&lt;25,"20-&lt;25",IF(E5820&lt;35,"25-&lt;35","35+")))))</x:f>
        <x:v>20-&lt;25</x:v>
      </x:c>
    </x:row>
    <x:row r="5821">
      <x:c r="A5821" t="str">
        <x:v>SYN0005820</x:v>
      </x:c>
      <x:c r="B5821" s="12" t="n">
        <x:v>42535</x:v>
      </x:c>
      <x:c r="C5821" s="18" t="n">
        <x:v>15606</x:v>
      </x:c>
      <x:c r="D5821" s="18" t="n">
        <x:v>38168</x:v>
      </x:c>
      <x:c r="E5821" s="18" t="n">
        <x:v>15.31</x:v>
      </x:c>
      <x:c r="F5821" s="18" t="n">
        <x:v>14.25</x:v>
      </x:c>
      <x:c r="G5821" t="n">
        <x:v>36</x:v>
      </x:c>
      <x:c r="H5821" t="str">
        <x:v>C</x:v>
      </x:c>
      <x:c r="I5821" t="str">
        <x:v>&lt;1 year</x:v>
      </x:c>
      <x:c r="J5821" t="str">
        <x:v>RENT</x:v>
      </x:c>
      <x:c r="K5821" t="str">
        <x:v>debt_consolidation</x:v>
      </x:c>
      <x:c r="L5821" t="n">
        <x:v>0</x:v>
      </x:c>
      <x:c r="M5821" t="n">
        <x:v>0</x:v>
      </x:c>
      <x:c r="N5821" t="str">
        <x:v>Fully Paid</x:v>
      </x:c>
      <x:c r="O5821" t="str">
        <x:f>IF(D5821="","Unknown",IF(D5821&lt;25000,"&lt;$25k",IF(D5821&lt;50000,"$25k-$50k",IF(D5821&lt;75000,"$50k-$75k",IF(D5821&lt;100000,"$75k-$100k","$100k+")))))</x:f>
        <x:v>$25k-$50k</x:v>
      </x:c>
      <x:c r="P5821" t="str">
        <x:f>IF(E5821="","Unknown",IF(E5821&lt;10,"&lt;10",IF(E5821&lt;20,"10-&lt;20",IF(E5821&lt;25,"20-&lt;25",IF(E5821&lt;35,"25-&lt;35","35+")))))</x:f>
        <x:v>10-&lt;20</x:v>
      </x:c>
    </x:row>
    <x:row r="5822">
      <x:c r="A5822" t="str">
        <x:v>SYN0005821</x:v>
      </x:c>
      <x:c r="B5822" s="12" t="n">
        <x:v>41845</x:v>
      </x:c>
      <x:c r="C5822" s="18" t="n">
        <x:v>11391</x:v>
      </x:c>
      <x:c r="D5822" s="18" t="n">
        <x:v>14281</x:v>
      </x:c>
      <x:c r="E5822" s="18" t="n">
        <x:v>24.61</x:v>
      </x:c>
      <x:c r="F5822" s="18" t="n">
        <x:v>8.69</x:v>
      </x:c>
      <x:c r="G5822" t="n">
        <x:v>36</x:v>
      </x:c>
      <x:c r="H5822" t="str">
        <x:v>C</x:v>
      </x:c>
      <x:c r="I5822" t="str">
        <x:v>10+ years</x:v>
      </x:c>
      <x:c r="J5822" t="str">
        <x:v>MORTGAGE</x:v>
      </x:c>
      <x:c r="K5822" t="str">
        <x:v>other</x:v>
      </x:c>
      <x:c r="L5822" t="n">
        <x:v>1</x:v>
      </x:c>
      <x:c r="M5822" t="n">
        <x:v>0</x:v>
      </x:c>
      <x:c r="N5822" t="str">
        <x:v>Fully Paid</x:v>
      </x:c>
      <x:c r="O5822" t="str">
        <x:f>IF(D5822="","Unknown",IF(D5822&lt;25000,"&lt;$25k",IF(D5822&lt;50000,"$25k-$50k",IF(D5822&lt;75000,"$50k-$75k",IF(D5822&lt;100000,"$75k-$100k","$100k+")))))</x:f>
        <x:v>&lt;$25k</x:v>
      </x:c>
      <x:c r="P5822" t="str">
        <x:f>IF(E5822="","Unknown",IF(E5822&lt;10,"&lt;10",IF(E5822&lt;20,"10-&lt;20",IF(E5822&lt;25,"20-&lt;25",IF(E5822&lt;35,"25-&lt;35","35+")))))</x:f>
        <x:v>20-&lt;25</x:v>
      </x:c>
    </x:row>
    <x:row r="5823">
      <x:c r="A5823" t="str">
        <x:v>SYN0005822</x:v>
      </x:c>
      <x:c r="B5823" s="12" t="n">
        <x:v>42895</x:v>
      </x:c>
      <x:c r="C5823" s="18" t="n">
        <x:v>12357</x:v>
      </x:c>
      <x:c r="D5823" s="18" t="n">
        <x:v>67649</x:v>
      </x:c>
      <x:c r="E5823" s="18" t="n">
        <x:v>20.15</x:v>
      </x:c>
      <x:c r="F5823" s="18" t="n">
        <x:v>8.43</x:v>
      </x:c>
      <x:c r="G5823" t="n">
        <x:v>36</x:v>
      </x:c>
      <x:c r="H5823" t="str">
        <x:v>C</x:v>
      </x:c>
      <x:c r="I5823" t="str">
        <x:v>7-9 years</x:v>
      </x:c>
      <x:c r="J5823" t="str">
        <x:v>MORTGAGE</x:v>
      </x:c>
      <x:c r="K5823" t="str">
        <x:v>debt_consolidation</x:v>
      </x:c>
      <x:c r="L5823" t="n">
        <x:v>0</x:v>
      </x:c>
      <x:c r="M5823" t="n">
        <x:v>0</x:v>
      </x:c>
      <x:c r="N5823" t="str">
        <x:v>Fully Paid</x:v>
      </x:c>
      <x:c r="O5823" t="str">
        <x:f>IF(D5823="","Unknown",IF(D5823&lt;25000,"&lt;$25k",IF(D5823&lt;50000,"$25k-$50k",IF(D5823&lt;75000,"$50k-$75k",IF(D5823&lt;100000,"$75k-$100k","$100k+")))))</x:f>
        <x:v>$50k-$75k</x:v>
      </x:c>
      <x:c r="P5823" t="str">
        <x:f>IF(E5823="","Unknown",IF(E5823&lt;10,"&lt;10",IF(E5823&lt;20,"10-&lt;20",IF(E5823&lt;25,"20-&lt;25",IF(E5823&lt;35,"25-&lt;35","35+")))))</x:f>
        <x:v>20-&lt;25</x:v>
      </x:c>
    </x:row>
    <x:row r="5824">
      <x:c r="A5824" t="str">
        <x:v>SYN0005823</x:v>
      </x:c>
      <x:c r="B5824" s="12" t="n">
        <x:v>43345</x:v>
      </x:c>
      <x:c r="C5824" s="18" t="n">
        <x:v>6128</x:v>
      </x:c>
      <x:c r="D5824" s="18" t="n">
        <x:v>56656</x:v>
      </x:c>
      <x:c r="E5824" s="18" t="n">
        <x:v>18.68</x:v>
      </x:c>
      <x:c r="F5824" s="18" t="n">
        <x:v>12.81</x:v>
      </x:c>
      <x:c r="G5824" t="n">
        <x:v>36</x:v>
      </x:c>
      <x:c r="H5824" t="str">
        <x:v>C</x:v>
      </x:c>
      <x:c r="I5824" t="str">
        <x:v>10+ years</x:v>
      </x:c>
      <x:c r="J5824" t="str">
        <x:v>MORTGAGE</x:v>
      </x:c>
      <x:c r="K5824" t="str">
        <x:v>debt_consolidation</x:v>
      </x:c>
      <x:c r="L5824" t="n">
        <x:v>0</x:v>
      </x:c>
      <x:c r="M5824" t="n">
        <x:v>0</x:v>
      </x:c>
      <x:c r="N5824" t="str">
        <x:v>Fully Paid</x:v>
      </x:c>
      <x:c r="O5824" t="str">
        <x:f>IF(D5824="","Unknown",IF(D5824&lt;25000,"&lt;$25k",IF(D5824&lt;50000,"$25k-$50k",IF(D5824&lt;75000,"$50k-$75k",IF(D5824&lt;100000,"$75k-$100k","$100k+")))))</x:f>
        <x:v>$50k-$75k</x:v>
      </x:c>
      <x:c r="P5824" t="str">
        <x:f>IF(E5824="","Unknown",IF(E5824&lt;10,"&lt;10",IF(E5824&lt;20,"10-&lt;20",IF(E5824&lt;25,"20-&lt;25",IF(E5824&lt;35,"25-&lt;35","35+")))))</x:f>
        <x:v>10-&lt;20</x:v>
      </x:c>
    </x:row>
    <x:row r="5825">
      <x:c r="A5825" t="str">
        <x:v>SYN0005824</x:v>
      </x:c>
      <x:c r="B5825" s="12" t="n">
        <x:v>42625</x:v>
      </x:c>
      <x:c r="C5825" s="18" t="n">
        <x:v>15964</x:v>
      </x:c>
      <x:c r="D5825" s="18" t="n">
        <x:v>87445</x:v>
      </x:c>
      <x:c r="E5825" s="18" t="n">
        <x:v>0</x:v>
      </x:c>
      <x:c r="F5825" s="18" t="n">
        <x:v>6.65</x:v>
      </x:c>
      <x:c r="G5825" t="n">
        <x:v>36</x:v>
      </x:c>
      <x:c r="H5825" t="str">
        <x:v>A</x:v>
      </x:c>
      <x:c r="I5825" t="str">
        <x:v>1-3 years</x:v>
      </x:c>
      <x:c r="J5825" t="str">
        <x:v>MORTGAGE</x:v>
      </x:c>
      <x:c r="K5825" t="str">
        <x:v>debt_consolidation</x:v>
      </x:c>
      <x:c r="L5825" t="n">
        <x:v>0</x:v>
      </x:c>
      <x:c r="M5825" t="n">
        <x:v>0</x:v>
      </x:c>
      <x:c r="N5825" t="str">
        <x:v>Fully Paid</x:v>
      </x:c>
      <x:c r="O5825" t="str">
        <x:f>IF(D5825="","Unknown",IF(D5825&lt;25000,"&lt;$25k",IF(D5825&lt;50000,"$25k-$50k",IF(D5825&lt;75000,"$50k-$75k",IF(D5825&lt;100000,"$75k-$100k","$100k+")))))</x:f>
        <x:v>$75k-$100k</x:v>
      </x:c>
      <x:c r="P5825" t="str">
        <x:f>IF(E5825="","Unknown",IF(E5825&lt;10,"&lt;10",IF(E5825&lt;20,"10-&lt;20",IF(E5825&lt;25,"20-&lt;25",IF(E5825&lt;35,"25-&lt;35","35+")))))</x:f>
        <x:v>Unknown</x:v>
      </x:c>
    </x:row>
    <x:row r="5826">
      <x:c r="A5826" t="str">
        <x:v>SYN0005825</x:v>
      </x:c>
      <x:c r="B5826" s="12" t="n">
        <x:v>42295</x:v>
      </x:c>
      <x:c r="C5826" s="18" t="n">
        <x:v>21194</x:v>
      </x:c>
      <x:c r="D5826" s="18" t="n">
        <x:v>48804</x:v>
      </x:c>
      <x:c r="E5826" s="18" t="n">
        <x:v>15.83</x:v>
      </x:c>
      <x:c r="F5826" s="18" t="n">
        <x:v>7.18</x:v>
      </x:c>
      <x:c r="G5826" t="n">
        <x:v>60</x:v>
      </x:c>
      <x:c r="H5826" t="str">
        <x:v>B</x:v>
      </x:c>
      <x:c r="I5826" t="str">
        <x:v>10+ years</x:v>
      </x:c>
      <x:c r="J5826" t="str">
        <x:v>MORTGAGE</x:v>
      </x:c>
      <x:c r="K5826" t="str">
        <x:v>debt_consolidation</x:v>
      </x:c>
      <x:c r="L5826" t="n">
        <x:v>1</x:v>
      </x:c>
      <x:c r="M5826" t="n">
        <x:v>0</x:v>
      </x:c>
      <x:c r="N5826" t="str">
        <x:v>Fully Paid</x:v>
      </x:c>
      <x:c r="O5826" t="str">
        <x:f>IF(D5826="","Unknown",IF(D5826&lt;25000,"&lt;$25k",IF(D5826&lt;50000,"$25k-$50k",IF(D5826&lt;75000,"$50k-$75k",IF(D5826&lt;100000,"$75k-$100k","$100k+")))))</x:f>
        <x:v>$25k-$50k</x:v>
      </x:c>
      <x:c r="P5826" t="str">
        <x:f>IF(E5826="","Unknown",IF(E5826&lt;10,"&lt;10",IF(E5826&lt;20,"10-&lt;20",IF(E5826&lt;25,"20-&lt;25",IF(E5826&lt;35,"25-&lt;35","35+")))))</x:f>
        <x:v>10-&lt;20</x:v>
      </x:c>
    </x:row>
    <x:row r="5827">
      <x:c r="A5827" t="str">
        <x:v>SYN0005826</x:v>
      </x:c>
      <x:c r="B5827" s="12" t="n">
        <x:v>43225</x:v>
      </x:c>
      <x:c r="C5827" s="18" t="n">
        <x:v>11899</x:v>
      </x:c>
      <x:c r="D5827" s="18" t="n">
        <x:v>248507</x:v>
      </x:c>
      <x:c r="E5827" s="18" t="n">
        <x:v>12.23</x:v>
      </x:c>
      <x:c r="F5827" s="18" t="n">
        <x:v>8.55</x:v>
      </x:c>
      <x:c r="G5827" t="n">
        <x:v>60</x:v>
      </x:c>
      <x:c r="H5827" t="str">
        <x:v>B</x:v>
      </x:c>
      <x:c r="I5827" t="str">
        <x:v>1-3 years</x:v>
      </x:c>
      <x:c r="J5827" t="str">
        <x:v>MORTGAGE</x:v>
      </x:c>
      <x:c r="K5827" t="str">
        <x:v>debt_consolidation</x:v>
      </x:c>
      <x:c r="L5827" t="n">
        <x:v>1</x:v>
      </x:c>
      <x:c r="M5827" t="n">
        <x:v>0</x:v>
      </x:c>
      <x:c r="N5827" t="str">
        <x:v>Fully Paid</x:v>
      </x:c>
      <x:c r="O5827" t="str">
        <x:f>IF(D5827="","Unknown",IF(D5827&lt;25000,"&lt;$25k",IF(D5827&lt;50000,"$25k-$50k",IF(D5827&lt;75000,"$50k-$75k",IF(D5827&lt;100000,"$75k-$100k","$100k+")))))</x:f>
        <x:v>$100k+</x:v>
      </x:c>
      <x:c r="P5827" t="str">
        <x:f>IF(E5827="","Unknown",IF(E5827&lt;10,"&lt;10",IF(E5827&lt;20,"10-&lt;20",IF(E5827&lt;25,"20-&lt;25",IF(E5827&lt;35,"25-&lt;35","35+")))))</x:f>
        <x:v>10-&lt;20</x:v>
      </x:c>
    </x:row>
    <x:row r="5828">
      <x:c r="A5828" t="str">
        <x:v>SYN0005827</x:v>
      </x:c>
      <x:c r="B5828" s="12" t="n">
        <x:v>43225</x:v>
      </x:c>
      <x:c r="C5828" s="18" t="n">
        <x:v>7091</x:v>
      </x:c>
      <x:c r="D5828" s="18" t="n">
        <x:v>64889</x:v>
      </x:c>
      <x:c r="E5828" s="18" t="n">
        <x:v>18.53</x:v>
      </x:c>
      <x:c r="F5828" s="18" t="n">
        <x:v>5.83</x:v>
      </x:c>
      <x:c r="G5828" t="n">
        <x:v>36</x:v>
      </x:c>
      <x:c r="H5828" t="str">
        <x:v>A</x:v>
      </x:c>
      <x:c r="I5828" t="str">
        <x:v>4-6 years</x:v>
      </x:c>
      <x:c r="J5828" t="str">
        <x:v>MORTGAGE</x:v>
      </x:c>
      <x:c r="K5828" t="str">
        <x:v>debt_consolidation</x:v>
      </x:c>
      <x:c r="L5828" t="n">
        <x:v>0</x:v>
      </x:c>
      <x:c r="M5828" t="n">
        <x:v>0</x:v>
      </x:c>
      <x:c r="N5828" t="str">
        <x:v>Fully Paid</x:v>
      </x:c>
      <x:c r="O5828" t="str">
        <x:f>IF(D5828="","Unknown",IF(D5828&lt;25000,"&lt;$25k",IF(D5828&lt;50000,"$25k-$50k",IF(D5828&lt;75000,"$50k-$75k",IF(D5828&lt;100000,"$75k-$100k","$100k+")))))</x:f>
        <x:v>$50k-$75k</x:v>
      </x:c>
      <x:c r="P5828" t="str">
        <x:f>IF(E5828="","Unknown",IF(E5828&lt;10,"&lt;10",IF(E5828&lt;20,"10-&lt;20",IF(E5828&lt;25,"20-&lt;25",IF(E5828&lt;35,"25-&lt;35","35+")))))</x:f>
        <x:v>10-&lt;20</x:v>
      </x:c>
    </x:row>
    <x:row r="5829">
      <x:c r="A5829" t="str">
        <x:v>SYN0005828</x:v>
      </x:c>
      <x:c r="B5829" s="12" t="n">
        <x:v>42925</x:v>
      </x:c>
      <x:c r="C5829" s="18" t="n">
        <x:v>10705</x:v>
      </x:c>
      <x:c r="D5829" s="18" t="n">
        <x:v>84369</x:v>
      </x:c>
      <x:c r="E5829" s="18" t="n">
        <x:v>6.1</x:v>
      </x:c>
      <x:c r="F5829" s="18" t="n">
        <x:v>9.12</x:v>
      </x:c>
      <x:c r="G5829" t="n">
        <x:v>36</x:v>
      </x:c>
      <x:c r="H5829" t="str">
        <x:v>B</x:v>
      </x:c>
      <x:c r="I5829" t="str">
        <x:v>1-3 years</x:v>
      </x:c>
      <x:c r="J5829" t="str">
        <x:v>RENT</x:v>
      </x:c>
      <x:c r="K5829" t="str">
        <x:v>credit_card</x:v>
      </x:c>
      <x:c r="L5829" t="n">
        <x:v>0</x:v>
      </x:c>
      <x:c r="M5829" t="n">
        <x:v>0</x:v>
      </x:c>
      <x:c r="N5829" t="str">
        <x:v>Fully Paid</x:v>
      </x:c>
      <x:c r="O5829" t="str">
        <x:f>IF(D5829="","Unknown",IF(D5829&lt;25000,"&lt;$25k",IF(D5829&lt;50000,"$25k-$50k",IF(D5829&lt;75000,"$50k-$75k",IF(D5829&lt;100000,"$75k-$100k","$100k+")))))</x:f>
        <x:v>$75k-$100k</x:v>
      </x:c>
      <x:c r="P5829" t="str">
        <x:f>IF(E5829="","Unknown",IF(E5829&lt;10,"&lt;10",IF(E5829&lt;20,"10-&lt;20",IF(E5829&lt;25,"20-&lt;25",IF(E5829&lt;35,"25-&lt;35","35+")))))</x:f>
        <x:v>&lt;10</x:v>
      </x:c>
    </x:row>
    <x:row r="5830">
      <x:c r="A5830" t="str">
        <x:v>SYN0005829</x:v>
      </x:c>
      <x:c r="B5830" s="12" t="n">
        <x:v>42595</x:v>
      </x:c>
      <x:c r="C5830" s="18" t="n">
        <x:v>12809</x:v>
      </x:c>
      <x:c r="D5830" s="18" t="n">
        <x:v>15294</x:v>
      </x:c>
      <x:c r="E5830" s="18" t="n">
        <x:v>34.05</x:v>
      </x:c>
      <x:c r="F5830" s="18" t="n">
        <x:v>11.69</x:v>
      </x:c>
      <x:c r="G5830" t="n">
        <x:v>36</x:v>
      </x:c>
      <x:c r="H5830" t="str">
        <x:v>C</x:v>
      </x:c>
      <x:c r="I5830" t="str">
        <x:v>10+ years</x:v>
      </x:c>
      <x:c r="J5830" t="str">
        <x:v>MORTGAGE</x:v>
      </x:c>
      <x:c r="K5830" t="str">
        <x:v>home_improvement</x:v>
      </x:c>
      <x:c r="L5830" t="n">
        <x:v>1</x:v>
      </x:c>
      <x:c r="M5830" t="n">
        <x:v>0</x:v>
      </x:c>
      <x:c r="N5830" t="str">
        <x:v>Fully Paid</x:v>
      </x:c>
      <x:c r="O5830" t="str">
        <x:f>IF(D5830="","Unknown",IF(D5830&lt;25000,"&lt;$25k",IF(D5830&lt;50000,"$25k-$50k",IF(D5830&lt;75000,"$50k-$75k",IF(D5830&lt;100000,"$75k-$100k","$100k+")))))</x:f>
        <x:v>&lt;$25k</x:v>
      </x:c>
      <x:c r="P5830" t="str">
        <x:f>IF(E5830="","Unknown",IF(E5830&lt;10,"&lt;10",IF(E5830&lt;20,"10-&lt;20",IF(E5830&lt;25,"20-&lt;25",IF(E5830&lt;35,"25-&lt;35","35+")))))</x:f>
        <x:v>25-&lt;35</x:v>
      </x:c>
    </x:row>
    <x:row r="5831">
      <x:c r="A5831" t="str">
        <x:v>SYN0005830</x:v>
      </x:c>
      <x:c r="B5831" s="12" t="n">
        <x:v>43135</x:v>
      </x:c>
      <x:c r="C5831" s="18" t="n">
        <x:v>8339</x:v>
      </x:c>
      <x:c r="D5831" s="18" t="n">
        <x:v>33383</x:v>
      </x:c>
      <x:c r="E5831" s="18" t="n">
        <x:v>0</x:v>
      </x:c>
      <x:c r="F5831" s="18" t="n">
        <x:v>5</x:v>
      </x:c>
      <x:c r="G5831" t="n">
        <x:v>36</x:v>
      </x:c>
      <x:c r="H5831" t="str">
        <x:v>A</x:v>
      </x:c>
      <x:c r="I5831" t="str">
        <x:v>10+ years</x:v>
      </x:c>
      <x:c r="J5831" t="str">
        <x:v>RENT</x:v>
      </x:c>
      <x:c r="K5831" t="str">
        <x:v>debt_consolidation</x:v>
      </x:c>
      <x:c r="L5831" t="n">
        <x:v>0</x:v>
      </x:c>
      <x:c r="M5831" t="n">
        <x:v>0</x:v>
      </x:c>
      <x:c r="N5831" t="str">
        <x:v>Fully Paid</x:v>
      </x:c>
      <x:c r="O5831" t="str">
        <x:f>IF(D5831="","Unknown",IF(D5831&lt;25000,"&lt;$25k",IF(D5831&lt;50000,"$25k-$50k",IF(D5831&lt;75000,"$50k-$75k",IF(D5831&lt;100000,"$75k-$100k","$100k+")))))</x:f>
        <x:v>$25k-$50k</x:v>
      </x:c>
      <x:c r="P5831" t="str">
        <x:f>IF(E5831="","Unknown",IF(E5831&lt;10,"&lt;10",IF(E5831&lt;20,"10-&lt;20",IF(E5831&lt;25,"20-&lt;25",IF(E5831&lt;35,"25-&lt;35","35+")))))</x:f>
        <x:v>Unknown</x:v>
      </x:c>
    </x:row>
    <x:row r="5832">
      <x:c r="A5832" t="str">
        <x:v>SYN0005831</x:v>
      </x:c>
      <x:c r="B5832" s="12" t="n">
        <x:v>42265</x:v>
      </x:c>
      <x:c r="C5832" s="18" t="n">
        <x:v>26912</x:v>
      </x:c>
      <x:c r="D5832" s="18" t="n">
        <x:v>67070</x:v>
      </x:c>
      <x:c r="E5832" s="18" t="n">
        <x:v>28.15</x:v>
      </x:c>
      <x:c r="F5832" s="18" t="n">
        <x:v>13.2</x:v>
      </x:c>
      <x:c r="G5832" t="n">
        <x:v>36</x:v>
      </x:c>
      <x:c r="H5832" t="str">
        <x:v>C</x:v>
      </x:c>
      <x:c r="I5832" t="str">
        <x:v>10+ years</x:v>
      </x:c>
      <x:c r="J5832" t="str">
        <x:v>MORTGAGE</x:v>
      </x:c>
      <x:c r="K5832" t="str">
        <x:v>debt_consolidation</x:v>
      </x:c>
      <x:c r="L5832" t="n">
        <x:v>1</x:v>
      </x:c>
      <x:c r="M5832" t="n">
        <x:v>0</x:v>
      </x:c>
      <x:c r="N5832" t="str">
        <x:v>Fully Paid</x:v>
      </x:c>
      <x:c r="O5832" t="str">
        <x:f>IF(D5832="","Unknown",IF(D5832&lt;25000,"&lt;$25k",IF(D5832&lt;50000,"$25k-$50k",IF(D5832&lt;75000,"$50k-$75k",IF(D5832&lt;100000,"$75k-$100k","$100k+")))))</x:f>
        <x:v>$50k-$75k</x:v>
      </x:c>
      <x:c r="P5832" t="str">
        <x:f>IF(E5832="","Unknown",IF(E5832&lt;10,"&lt;10",IF(E5832&lt;20,"10-&lt;20",IF(E5832&lt;25,"20-&lt;25",IF(E5832&lt;35,"25-&lt;35","35+")))))</x:f>
        <x:v>25-&lt;35</x:v>
      </x:c>
    </x:row>
    <x:row r="5833">
      <x:c r="A5833" t="str">
        <x:v>SYN0005832</x:v>
      </x:c>
      <x:c r="B5833" s="12" t="n">
        <x:v>41545</x:v>
      </x:c>
      <x:c r="C5833" s="18" t="n">
        <x:v>8843</x:v>
      </x:c>
      <x:c r="D5833" s="18" t="n">
        <x:v>21578</x:v>
      </x:c>
      <x:c r="E5833" s="18" t="n">
        <x:v>12.63</x:v>
      </x:c>
      <x:c r="F5833" s="18" t="n">
        <x:v>12.99</x:v>
      </x:c>
      <x:c r="G5833" t="n">
        <x:v>36</x:v>
      </x:c>
      <x:c r="H5833" t="str">
        <x:v>C</x:v>
      </x:c>
      <x:c r="I5833" t="str">
        <x:v>&lt;1 year</x:v>
      </x:c>
      <x:c r="J5833" t="str">
        <x:v>RENT</x:v>
      </x:c>
      <x:c r="K5833" t="str">
        <x:v>home_improvement</x:v>
      </x:c>
      <x:c r="L5833" t="n">
        <x:v>1</x:v>
      </x:c>
      <x:c r="M5833" t="n">
        <x:v>0</x:v>
      </x:c>
      <x:c r="N5833" t="str">
        <x:v>Fully Paid</x:v>
      </x:c>
      <x:c r="O5833" t="str">
        <x:f>IF(D5833="","Unknown",IF(D5833&lt;25000,"&lt;$25k",IF(D5833&lt;50000,"$25k-$50k",IF(D5833&lt;75000,"$50k-$75k",IF(D5833&lt;100000,"$75k-$100k","$100k+")))))</x:f>
        <x:v>&lt;$25k</x:v>
      </x:c>
      <x:c r="P5833" t="str">
        <x:f>IF(E5833="","Unknown",IF(E5833&lt;10,"&lt;10",IF(E5833&lt;20,"10-&lt;20",IF(E5833&lt;25,"20-&lt;25",IF(E5833&lt;35,"25-&lt;35","35+")))))</x:f>
        <x:v>10-&lt;20</x:v>
      </x:c>
    </x:row>
    <x:row r="5834">
      <x:c r="A5834" t="str">
        <x:v>SYN0005833</x:v>
      </x:c>
      <x:c r="B5834" s="12" t="n">
        <x:v>43315</x:v>
      </x:c>
      <x:c r="C5834" s="18" t="n">
        <x:v>11756</x:v>
      </x:c>
      <x:c r="D5834" s="18" t="n">
        <x:v>39530</x:v>
      </x:c>
      <x:c r="E5834" s="18" t="n">
        <x:v>26.9</x:v>
      </x:c>
      <x:c r="F5834" s="18" t="n">
        <x:v>7.37</x:v>
      </x:c>
      <x:c r="G5834" t="n">
        <x:v>36</x:v>
      </x:c>
      <x:c r="H5834" t="str">
        <x:v>A</x:v>
      </x:c>
      <x:c r="I5834" t="str">
        <x:v>10+ years</x:v>
      </x:c>
      <x:c r="J5834" t="str">
        <x:v>RENT</x:v>
      </x:c>
      <x:c r="K5834" t="str">
        <x:v>major_purchase</x:v>
      </x:c>
      <x:c r="L5834" t="n">
        <x:v>0</x:v>
      </x:c>
      <x:c r="M5834" t="n">
        <x:v>0</x:v>
      </x:c>
      <x:c r="N5834" t="str">
        <x:v>Fully Paid</x:v>
      </x:c>
      <x:c r="O5834" t="str">
        <x:f>IF(D5834="","Unknown",IF(D5834&lt;25000,"&lt;$25k",IF(D5834&lt;50000,"$25k-$50k",IF(D5834&lt;75000,"$50k-$75k",IF(D5834&lt;100000,"$75k-$100k","$100k+")))))</x:f>
        <x:v>$25k-$50k</x:v>
      </x:c>
      <x:c r="P5834" t="str">
        <x:f>IF(E5834="","Unknown",IF(E5834&lt;10,"&lt;10",IF(E5834&lt;20,"10-&lt;20",IF(E5834&lt;25,"20-&lt;25",IF(E5834&lt;35,"25-&lt;35","35+")))))</x:f>
        <x:v>25-&lt;35</x:v>
      </x:c>
    </x:row>
    <x:row r="5835">
      <x:c r="A5835" t="str">
        <x:v>SYN0005834</x:v>
      </x:c>
      <x:c r="B5835" s="12" t="n">
        <x:v>41755</x:v>
      </x:c>
      <x:c r="C5835" s="18" t="n">
        <x:v>16274</x:v>
      </x:c>
      <x:c r="D5835" s="18" t="n">
        <x:v>45732</x:v>
      </x:c>
      <x:c r="E5835" s="18" t="n">
        <x:v>4.71</x:v>
      </x:c>
      <x:c r="F5835" s="18" t="n">
        <x:v>13.35</x:v>
      </x:c>
      <x:c r="G5835" t="n">
        <x:v>60</x:v>
      </x:c>
      <x:c r="H5835" t="str">
        <x:v>C</x:v>
      </x:c>
      <x:c r="I5835" t="str">
        <x:v>10+ years</x:v>
      </x:c>
      <x:c r="J5835" t="str">
        <x:v>MORTGAGE</x:v>
      </x:c>
      <x:c r="K5835" t="str">
        <x:v>debt_consolidation</x:v>
      </x:c>
      <x:c r="L5835" t="n">
        <x:v>1</x:v>
      </x:c>
      <x:c r="M5835" t="n">
        <x:v>1</x:v>
      </x:c>
      <x:c r="N5835" t="str">
        <x:v>Charged Off</x:v>
      </x:c>
      <x:c r="O5835" t="str">
        <x:f>IF(D5835="","Unknown",IF(D5835&lt;25000,"&lt;$25k",IF(D5835&lt;50000,"$25k-$50k",IF(D5835&lt;75000,"$50k-$75k",IF(D5835&lt;100000,"$75k-$100k","$100k+")))))</x:f>
        <x:v>$25k-$50k</x:v>
      </x:c>
      <x:c r="P5835" t="str">
        <x:f>IF(E5835="","Unknown",IF(E5835&lt;10,"&lt;10",IF(E5835&lt;20,"10-&lt;20",IF(E5835&lt;25,"20-&lt;25",IF(E5835&lt;35,"25-&lt;35","35+")))))</x:f>
        <x:v>&lt;10</x:v>
      </x:c>
    </x:row>
    <x:row r="5836">
      <x:c r="A5836" t="str">
        <x:v>SYN0005835</x:v>
      </x:c>
      <x:c r="B5836" s="12" t="n">
        <x:v>41815</x:v>
      </x:c>
      <x:c r="C5836" s="18" t="n">
        <x:v>13856</x:v>
      </x:c>
      <x:c r="D5836" s="18" t="n">
        <x:v>62171</x:v>
      </x:c>
      <x:c r="E5836" s="18" t="n">
        <x:v>37.5</x:v>
      </x:c>
      <x:c r="F5836" s="18" t="n">
        <x:v>17.72</x:v>
      </x:c>
      <x:c r="G5836" t="n">
        <x:v>36</x:v>
      </x:c>
      <x:c r="H5836" t="str">
        <x:v>E</x:v>
      </x:c>
      <x:c r="I5836" t="str">
        <x:v>10+ years</x:v>
      </x:c>
      <x:c r="J5836" t="str">
        <x:v>MORTGAGE</x:v>
      </x:c>
      <x:c r="K5836" t="str">
        <x:v>home_improvement</x:v>
      </x:c>
      <x:c r="L5836" t="n">
        <x:v>0</x:v>
      </x:c>
      <x:c r="M5836" t="n">
        <x:v>0</x:v>
      </x:c>
      <x:c r="N5836" t="str">
        <x:v>Fully Paid</x:v>
      </x:c>
      <x:c r="O5836" t="str">
        <x:f>IF(D5836="","Unknown",IF(D5836&lt;25000,"&lt;$25k",IF(D5836&lt;50000,"$25k-$50k",IF(D5836&lt;75000,"$50k-$75k",IF(D5836&lt;100000,"$75k-$100k","$100k+")))))</x:f>
        <x:v>$50k-$75k</x:v>
      </x:c>
      <x:c r="P5836" t="str">
        <x:f>IF(E5836="","Unknown",IF(E5836&lt;10,"&lt;10",IF(E5836&lt;20,"10-&lt;20",IF(E5836&lt;25,"20-&lt;25",IF(E5836&lt;35,"25-&lt;35","35+")))))</x:f>
        <x:v>35+</x:v>
      </x:c>
    </x:row>
    <x:row r="5837">
      <x:c r="A5837" t="str">
        <x:v>SYN0005836</x:v>
      </x:c>
      <x:c r="B5837" s="12" t="n">
        <x:v>41275</x:v>
      </x:c>
      <x:c r="C5837" s="18" t="n">
        <x:v>28839</x:v>
      </x:c>
      <x:c r="D5837" s="18" t="n">
        <x:v>66478</x:v>
      </x:c>
      <x:c r="E5837" s="18" t="n">
        <x:v>30.07</x:v>
      </x:c>
      <x:c r="F5837" s="18" t="n">
        <x:v>8.04</x:v>
      </x:c>
      <x:c r="G5837" t="n">
        <x:v>60</x:v>
      </x:c>
      <x:c r="H5837" t="str">
        <x:v>A</x:v>
      </x:c>
      <x:c r="I5837" t="str">
        <x:v>1-3 years</x:v>
      </x:c>
      <x:c r="J5837" t="str">
        <x:v>OWN</x:v>
      </x:c>
      <x:c r="K5837" t="str">
        <x:v>debt_consolidation</x:v>
      </x:c>
      <x:c r="L5837" t="n">
        <x:v>0</x:v>
      </x:c>
      <x:c r="M5837" t="n">
        <x:v>0</x:v>
      </x:c>
      <x:c r="N5837" t="str">
        <x:v>Fully Paid</x:v>
      </x:c>
      <x:c r="O5837" t="str">
        <x:f>IF(D5837="","Unknown",IF(D5837&lt;25000,"&lt;$25k",IF(D5837&lt;50000,"$25k-$50k",IF(D5837&lt;75000,"$50k-$75k",IF(D5837&lt;100000,"$75k-$100k","$100k+")))))</x:f>
        <x:v>$50k-$75k</x:v>
      </x:c>
      <x:c r="P5837" t="str">
        <x:f>IF(E5837="","Unknown",IF(E5837&lt;10,"&lt;10",IF(E5837&lt;20,"10-&lt;20",IF(E5837&lt;25,"20-&lt;25",IF(E5837&lt;35,"25-&lt;35","35+")))))</x:f>
        <x:v>25-&lt;35</x:v>
      </x:c>
    </x:row>
    <x:row r="5838">
      <x:c r="A5838" t="str">
        <x:v>SYN0005837</x:v>
      </x:c>
      <x:c r="B5838" s="12" t="n">
        <x:v>42385</x:v>
      </x:c>
      <x:c r="C5838" s="18" t="n">
        <x:v>9979</x:v>
      </x:c>
      <x:c r="D5838" s="18" t="n">
        <x:v>125601</x:v>
      </x:c>
      <x:c r="E5838" s="18" t="n">
        <x:v>11.36</x:v>
      </x:c>
      <x:c r="F5838" s="18" t="n">
        <x:v>10.21</x:v>
      </x:c>
      <x:c r="G5838" t="n">
        <x:v>36</x:v>
      </x:c>
      <x:c r="H5838" t="str">
        <x:v>C</x:v>
      </x:c>
      <x:c r="I5838" t="str">
        <x:v>&lt;1 year</x:v>
      </x:c>
      <x:c r="J5838" t="str">
        <x:v>OWN</x:v>
      </x:c>
      <x:c r="K5838" t="str">
        <x:v>credit_card</x:v>
      </x:c>
      <x:c r="L5838" t="n">
        <x:v>0</x:v>
      </x:c>
      <x:c r="M5838" t="n">
        <x:v>0</x:v>
      </x:c>
      <x:c r="N5838" t="str">
        <x:v>Fully Paid</x:v>
      </x:c>
      <x:c r="O5838" t="str">
        <x:f>IF(D5838="","Unknown",IF(D5838&lt;25000,"&lt;$25k",IF(D5838&lt;50000,"$25k-$50k",IF(D5838&lt;75000,"$50k-$75k",IF(D5838&lt;100000,"$75k-$100k","$100k+")))))</x:f>
        <x:v>$100k+</x:v>
      </x:c>
      <x:c r="P5838" t="str">
        <x:f>IF(E5838="","Unknown",IF(E5838&lt;10,"&lt;10",IF(E5838&lt;20,"10-&lt;20",IF(E5838&lt;25,"20-&lt;25",IF(E5838&lt;35,"25-&lt;35","35+")))))</x:f>
        <x:v>10-&lt;20</x:v>
      </x:c>
    </x:row>
    <x:row r="5839">
      <x:c r="A5839" t="str">
        <x:v>SYN0005838</x:v>
      </x:c>
      <x:c r="B5839" s="12" t="n">
        <x:v>42865</x:v>
      </x:c>
      <x:c r="C5839" s="18" t="n">
        <x:v>7509</x:v>
      </x:c>
      <x:c r="D5839" s="18" t="n">
        <x:v>70550</x:v>
      </x:c>
      <x:c r="E5839" s="18" t="n">
        <x:v>28.55</x:v>
      </x:c>
      <x:c r="F5839" s="18" t="n">
        <x:v>15.9</x:v>
      </x:c>
      <x:c r="G5839" t="n">
        <x:v>36</x:v>
      </x:c>
      <x:c r="H5839" t="str">
        <x:v>E</x:v>
      </x:c>
      <x:c r="I5839" t="str">
        <x:v>1-3 years</x:v>
      </x:c>
      <x:c r="J5839" t="str">
        <x:v>RENT</x:v>
      </x:c>
      <x:c r="K5839" t="str">
        <x:v>debt_consolidation</x:v>
      </x:c>
      <x:c r="L5839" t="n">
        <x:v>1</x:v>
      </x:c>
      <x:c r="M5839" t="n">
        <x:v>0</x:v>
      </x:c>
      <x:c r="N5839" t="str">
        <x:v>Fully Paid</x:v>
      </x:c>
      <x:c r="O5839" t="str">
        <x:f>IF(D5839="","Unknown",IF(D5839&lt;25000,"&lt;$25k",IF(D5839&lt;50000,"$25k-$50k",IF(D5839&lt;75000,"$50k-$75k",IF(D5839&lt;100000,"$75k-$100k","$100k+")))))</x:f>
        <x:v>$50k-$75k</x:v>
      </x:c>
      <x:c r="P5839" t="str">
        <x:f>IF(E5839="","Unknown",IF(E5839&lt;10,"&lt;10",IF(E5839&lt;20,"10-&lt;20",IF(E5839&lt;25,"20-&lt;25",IF(E5839&lt;35,"25-&lt;35","35+")))))</x:f>
        <x:v>25-&lt;35</x:v>
      </x:c>
    </x:row>
    <x:row r="5840">
      <x:c r="A5840" t="str">
        <x:v>SYN0005839</x:v>
      </x:c>
      <x:c r="B5840" s="12" t="n">
        <x:v>42385</x:v>
      </x:c>
      <x:c r="C5840" s="18" t="n">
        <x:v>11761</x:v>
      </x:c>
      <x:c r="D5840" s="18" t="n">
        <x:v>250000</x:v>
      </x:c>
      <x:c r="E5840" s="18" t="n">
        <x:v>33.81</x:v>
      </x:c>
      <x:c r="F5840" s="18" t="n">
        <x:v>14.77</x:v>
      </x:c>
      <x:c r="G5840" t="n">
        <x:v>60</x:v>
      </x:c>
      <x:c r="H5840" t="str">
        <x:v>C</x:v>
      </x:c>
      <x:c r="I5840" t="str">
        <x:v>10+ years</x:v>
      </x:c>
      <x:c r="J5840" t="str">
        <x:v>RENT</x:v>
      </x:c>
      <x:c r="K5840" t="str">
        <x:v>debt_consolidation</x:v>
      </x:c>
      <x:c r="L5840" t="n">
        <x:v>0</x:v>
      </x:c>
      <x:c r="M5840" t="n">
        <x:v>0</x:v>
      </x:c>
      <x:c r="N5840" t="str">
        <x:v>Fully Paid</x:v>
      </x:c>
      <x:c r="O5840" t="str">
        <x:f>IF(D5840="","Unknown",IF(D5840&lt;25000,"&lt;$25k",IF(D5840&lt;50000,"$25k-$50k",IF(D5840&lt;75000,"$50k-$75k",IF(D5840&lt;100000,"$75k-$100k","$100k+")))))</x:f>
        <x:v>$100k+</x:v>
      </x:c>
      <x:c r="P5840" t="str">
        <x:f>IF(E5840="","Unknown",IF(E5840&lt;10,"&lt;10",IF(E5840&lt;20,"10-&lt;20",IF(E5840&lt;25,"20-&lt;25",IF(E5840&lt;35,"25-&lt;35","35+")))))</x:f>
        <x:v>25-&lt;35</x:v>
      </x:c>
    </x:row>
    <x:row r="5841">
      <x:c r="A5841" t="str">
        <x:v>SYN0005840</x:v>
      </x:c>
      <x:c r="B5841" s="12" t="n">
        <x:v>41995</x:v>
      </x:c>
      <x:c r="C5841" s="18" t="n">
        <x:v>7743</x:v>
      </x:c>
      <x:c r="D5841" s="18" t="n">
        <x:v>51762</x:v>
      </x:c>
      <x:c r="E5841" s="18" t="n">
        <x:v>34.31</x:v>
      </x:c>
      <x:c r="F5841" s="18" t="n">
        <x:v>21.19</x:v>
      </x:c>
      <x:c r="G5841" t="n">
        <x:v>36</x:v>
      </x:c>
      <x:c r="H5841" t="str">
        <x:v>E</x:v>
      </x:c>
      <x:c r="I5841" t="str">
        <x:v>4-6 years</x:v>
      </x:c>
      <x:c r="J5841" t="str">
        <x:v>MORTGAGE</x:v>
      </x:c>
      <x:c r="K5841" t="str">
        <x:v>debt_consolidation</x:v>
      </x:c>
      <x:c r="L5841" t="n">
        <x:v>5</x:v>
      </x:c>
      <x:c r="M5841" t="n">
        <x:v>0</x:v>
      </x:c>
      <x:c r="N5841" t="str">
        <x:v>Fully Paid</x:v>
      </x:c>
      <x:c r="O5841" t="str">
        <x:f>IF(D5841="","Unknown",IF(D5841&lt;25000,"&lt;$25k",IF(D5841&lt;50000,"$25k-$50k",IF(D5841&lt;75000,"$50k-$75k",IF(D5841&lt;100000,"$75k-$100k","$100k+")))))</x:f>
        <x:v>$50k-$75k</x:v>
      </x:c>
      <x:c r="P5841" t="str">
        <x:f>IF(E5841="","Unknown",IF(E5841&lt;10,"&lt;10",IF(E5841&lt;20,"10-&lt;20",IF(E5841&lt;25,"20-&lt;25",IF(E5841&lt;35,"25-&lt;35","35+")))))</x:f>
        <x:v>25-&lt;35</x:v>
      </x:c>
    </x:row>
    <x:row r="5842">
      <x:c r="A5842" t="str">
        <x:v>SYN0005841</x:v>
      </x:c>
      <x:c r="B5842" s="12" t="n">
        <x:v>41515</x:v>
      </x:c>
      <x:c r="C5842" s="18" t="n">
        <x:v>11929</x:v>
      </x:c>
      <x:c r="D5842" s="18" t="n">
        <x:v>38082</x:v>
      </x:c>
      <x:c r="E5842" s="18" t="n">
        <x:v>12.54</x:v>
      </x:c>
      <x:c r="F5842" s="18" t="n">
        <x:v>13.84</x:v>
      </x:c>
      <x:c r="G5842" t="n">
        <x:v>60</x:v>
      </x:c>
      <x:c r="H5842" t="str">
        <x:v>D</x:v>
      </x:c>
      <x:c r="I5842" t="str">
        <x:v>10+ years</x:v>
      </x:c>
      <x:c r="J5842" t="str">
        <x:v>MORTGAGE</x:v>
      </x:c>
      <x:c r="K5842" t="str">
        <x:v>home_improvement</x:v>
      </x:c>
      <x:c r="L5842" t="n">
        <x:v>0</x:v>
      </x:c>
      <x:c r="M5842" t="n">
        <x:v>1</x:v>
      </x:c>
      <x:c r="N5842" t="str">
        <x:v>Charged Off</x:v>
      </x:c>
      <x:c r="O5842" t="str">
        <x:f>IF(D5842="","Unknown",IF(D5842&lt;25000,"&lt;$25k",IF(D5842&lt;50000,"$25k-$50k",IF(D5842&lt;75000,"$50k-$75k",IF(D5842&lt;100000,"$75k-$100k","$100k+")))))</x:f>
        <x:v>$25k-$50k</x:v>
      </x:c>
      <x:c r="P5842" t="str">
        <x:f>IF(E5842="","Unknown",IF(E5842&lt;10,"&lt;10",IF(E5842&lt;20,"10-&lt;20",IF(E5842&lt;25,"20-&lt;25",IF(E5842&lt;35,"25-&lt;35","35+")))))</x:f>
        <x:v>10-&lt;20</x:v>
      </x:c>
    </x:row>
    <x:row r="5843">
      <x:c r="A5843" t="str">
        <x:v>SYN0005842</x:v>
      </x:c>
      <x:c r="B5843" s="12" t="n">
        <x:v>41695</x:v>
      </x:c>
      <x:c r="C5843" s="18" t="n">
        <x:v>18984</x:v>
      </x:c>
      <x:c r="D5843" s="18" t="n">
        <x:v>52471</x:v>
      </x:c>
      <x:c r="E5843" s="18" t="n">
        <x:v>20.41</x:v>
      </x:c>
      <x:c r="F5843" s="18" t="n">
        <x:v>18.52</x:v>
      </x:c>
      <x:c r="G5843" t="n">
        <x:v>36</x:v>
      </x:c>
      <x:c r="H5843" t="str">
        <x:v>D</x:v>
      </x:c>
      <x:c r="I5843" t="str">
        <x:v>7-9 years</x:v>
      </x:c>
      <x:c r="J5843" t="str">
        <x:v>MORTGAGE</x:v>
      </x:c>
      <x:c r="K5843" t="str">
        <x:v>debt_consolidation</x:v>
      </x:c>
      <x:c r="L5843" t="n">
        <x:v>0</x:v>
      </x:c>
      <x:c r="M5843" t="n">
        <x:v>0</x:v>
      </x:c>
      <x:c r="N5843" t="str">
        <x:v>Fully Paid</x:v>
      </x:c>
      <x:c r="O5843" t="str">
        <x:f>IF(D5843="","Unknown",IF(D5843&lt;25000,"&lt;$25k",IF(D5843&lt;50000,"$25k-$50k",IF(D5843&lt;75000,"$50k-$75k",IF(D5843&lt;100000,"$75k-$100k","$100k+")))))</x:f>
        <x:v>$50k-$75k</x:v>
      </x:c>
      <x:c r="P5843" t="str">
        <x:f>IF(E5843="","Unknown",IF(E5843&lt;10,"&lt;10",IF(E5843&lt;20,"10-&lt;20",IF(E5843&lt;25,"20-&lt;25",IF(E5843&lt;35,"25-&lt;35","35+")))))</x:f>
        <x:v>20-&lt;25</x:v>
      </x:c>
    </x:row>
    <x:row r="5844">
      <x:c r="A5844" t="str">
        <x:v>SYN0005843</x:v>
      </x:c>
      <x:c r="B5844" s="12" t="n">
        <x:v>41305</x:v>
      </x:c>
      <x:c r="C5844" s="18" t="n">
        <x:v>6776</x:v>
      </x:c>
      <x:c r="D5844" s="18" t="n">
        <x:v>56081</x:v>
      </x:c>
      <x:c r="E5844" s="18" t="n">
        <x:v>23.03</x:v>
      </x:c>
      <x:c r="F5844" s="18" t="n">
        <x:v>5</x:v>
      </x:c>
      <x:c r="G5844" t="n">
        <x:v>36</x:v>
      </x:c>
      <x:c r="H5844" t="str">
        <x:v>A</x:v>
      </x:c>
      <x:c r="I5844" t="str">
        <x:v>10+ years</x:v>
      </x:c>
      <x:c r="J5844" t="str">
        <x:v>OWN</x:v>
      </x:c>
      <x:c r="K5844" t="str">
        <x:v>debt_consolidation</x:v>
      </x:c>
      <x:c r="L5844" t="n">
        <x:v>1</x:v>
      </x:c>
      <x:c r="M5844" t="n">
        <x:v>0</x:v>
      </x:c>
      <x:c r="N5844" t="str">
        <x:v>Fully Paid</x:v>
      </x:c>
      <x:c r="O5844" t="str">
        <x:f>IF(D5844="","Unknown",IF(D5844&lt;25000,"&lt;$25k",IF(D5844&lt;50000,"$25k-$50k",IF(D5844&lt;75000,"$50k-$75k",IF(D5844&lt;100000,"$75k-$100k","$100k+")))))</x:f>
        <x:v>$50k-$75k</x:v>
      </x:c>
      <x:c r="P5844" t="str">
        <x:f>IF(E5844="","Unknown",IF(E5844&lt;10,"&lt;10",IF(E5844&lt;20,"10-&lt;20",IF(E5844&lt;25,"20-&lt;25",IF(E5844&lt;35,"25-&lt;35","35+")))))</x:f>
        <x:v>20-&lt;25</x:v>
      </x:c>
    </x:row>
    <x:row r="5845">
      <x:c r="A5845" t="str">
        <x:v>SYN0005844</x:v>
      </x:c>
      <x:c r="B5845" s="12" t="n">
        <x:v>42505</x:v>
      </x:c>
      <x:c r="C5845" s="18" t="n">
        <x:v>10915</x:v>
      </x:c>
      <x:c r="D5845" s="18" t="n">
        <x:v>28235</x:v>
      </x:c>
      <x:c r="E5845" s="18" t="n">
        <x:v>0</x:v>
      </x:c>
      <x:c r="F5845" s="18" t="n">
        <x:v>9.88</x:v>
      </x:c>
      <x:c r="G5845" t="n">
        <x:v>36</x:v>
      </x:c>
      <x:c r="H5845" t="str">
        <x:v>C</x:v>
      </x:c>
      <x:c r="I5845" t="str">
        <x:v>1-3 years</x:v>
      </x:c>
      <x:c r="J5845" t="str">
        <x:v>MORTGAGE</x:v>
      </x:c>
      <x:c r="K5845" t="str">
        <x:v>debt_consolidation</x:v>
      </x:c>
      <x:c r="L5845" t="n">
        <x:v>0</x:v>
      </x:c>
      <x:c r="M5845" t="n">
        <x:v>0</x:v>
      </x:c>
      <x:c r="N5845" t="str">
        <x:v>Fully Paid</x:v>
      </x:c>
      <x:c r="O5845" t="str">
        <x:f>IF(D5845="","Unknown",IF(D5845&lt;25000,"&lt;$25k",IF(D5845&lt;50000,"$25k-$50k",IF(D5845&lt;75000,"$50k-$75k",IF(D5845&lt;100000,"$75k-$100k","$100k+")))))</x:f>
        <x:v>$25k-$50k</x:v>
      </x:c>
      <x:c r="P5845" t="str">
        <x:f>IF(E5845="","Unknown",IF(E5845&lt;10,"&lt;10",IF(E5845&lt;20,"10-&lt;20",IF(E5845&lt;25,"20-&lt;25",IF(E5845&lt;35,"25-&lt;35","35+")))))</x:f>
        <x:v>Unknown</x:v>
      </x:c>
    </x:row>
    <x:row r="5846">
      <x:c r="A5846" t="str">
        <x:v>SYN0005845</x:v>
      </x:c>
      <x:c r="B5846" s="12" t="n">
        <x:v>43015</x:v>
      </x:c>
      <x:c r="C5846" s="18" t="n">
        <x:v>13561</x:v>
      </x:c>
      <x:c r="D5846" s="18" t="n">
        <x:v>17842</x:v>
      </x:c>
      <x:c r="E5846" s="18" t="n">
        <x:v>13.72</x:v>
      </x:c>
      <x:c r="F5846" s="18" t="n">
        <x:v>7.4</x:v>
      </x:c>
      <x:c r="G5846" t="n">
        <x:v>36</x:v>
      </x:c>
      <x:c r="H5846" t="str">
        <x:v>A</x:v>
      </x:c>
      <x:c r="I5846" t="str">
        <x:v>1-3 years</x:v>
      </x:c>
      <x:c r="J5846" t="str">
        <x:v>RENT</x:v>
      </x:c>
      <x:c r="K5846" t="str">
        <x:v>other</x:v>
      </x:c>
      <x:c r="L5846" t="n">
        <x:v>0</x:v>
      </x:c>
      <x:c r="M5846" t="n">
        <x:v>1</x:v>
      </x:c>
      <x:c r="N5846" t="str">
        <x:v>Charged Off</x:v>
      </x:c>
      <x:c r="O5846" t="str">
        <x:f>IF(D5846="","Unknown",IF(D5846&lt;25000,"&lt;$25k",IF(D5846&lt;50000,"$25k-$50k",IF(D5846&lt;75000,"$50k-$75k",IF(D5846&lt;100000,"$75k-$100k","$100k+")))))</x:f>
        <x:v>&lt;$25k</x:v>
      </x:c>
      <x:c r="P5846" t="str">
        <x:f>IF(E5846="","Unknown",IF(E5846&lt;10,"&lt;10",IF(E5846&lt;20,"10-&lt;20",IF(E5846&lt;25,"20-&lt;25",IF(E5846&lt;35,"25-&lt;35","35+")))))</x:f>
        <x:v>10-&lt;20</x:v>
      </x:c>
    </x:row>
    <x:row r="5847">
      <x:c r="A5847" t="str">
        <x:v>SYN0005846</x:v>
      </x:c>
      <x:c r="B5847" s="12" t="n">
        <x:v>43255</x:v>
      </x:c>
      <x:c r="C5847" s="18" t="n">
        <x:v>12913</x:v>
      </x:c>
      <x:c r="D5847" s="18" t="n">
        <x:v>48927</x:v>
      </x:c>
      <x:c r="E5847" s="18" t="n">
        <x:v>14.25</x:v>
      </x:c>
      <x:c r="F5847" s="18" t="n">
        <x:v>11.32</x:v>
      </x:c>
      <x:c r="G5847" t="n">
        <x:v>36</x:v>
      </x:c>
      <x:c r="H5847" t="str">
        <x:v>C</x:v>
      </x:c>
      <x:c r="I5847" t="str">
        <x:v>4-6 years</x:v>
      </x:c>
      <x:c r="J5847" t="str">
        <x:v>RENT</x:v>
      </x:c>
      <x:c r="K5847" t="str">
        <x:v>other</x:v>
      </x:c>
      <x:c r="L5847" t="n">
        <x:v>0</x:v>
      </x:c>
      <x:c r="M5847" t="n">
        <x:v>0</x:v>
      </x:c>
      <x:c r="N5847" t="str">
        <x:v>Fully Paid</x:v>
      </x:c>
      <x:c r="O5847" t="str">
        <x:f>IF(D5847="","Unknown",IF(D5847&lt;25000,"&lt;$25k",IF(D5847&lt;50000,"$25k-$50k",IF(D5847&lt;75000,"$50k-$75k",IF(D5847&lt;100000,"$75k-$100k","$100k+")))))</x:f>
        <x:v>$25k-$50k</x:v>
      </x:c>
      <x:c r="P5847" t="str">
        <x:f>IF(E5847="","Unknown",IF(E5847&lt;10,"&lt;10",IF(E5847&lt;20,"10-&lt;20",IF(E5847&lt;25,"20-&lt;25",IF(E5847&lt;35,"25-&lt;35","35+")))))</x:f>
        <x:v>10-&lt;20</x:v>
      </x:c>
    </x:row>
    <x:row r="5848">
      <x:c r="A5848" t="str">
        <x:v>SYN0005847</x:v>
      </x:c>
      <x:c r="B5848" s="12" t="n">
        <x:v>43315</x:v>
      </x:c>
      <x:c r="C5848" s="18" t="n">
        <x:v>19457</x:v>
      </x:c>
      <x:c r="D5848" s="18" t="n">
        <x:v>121543</x:v>
      </x:c>
      <x:c r="E5848" s="18" t="n">
        <x:v>18.08</x:v>
      </x:c>
      <x:c r="F5848" s="18" t="n">
        <x:v>12.84</x:v>
      </x:c>
      <x:c r="G5848" t="n">
        <x:v>60</x:v>
      </x:c>
      <x:c r="H5848" t="str">
        <x:v>D</x:v>
      </x:c>
      <x:c r="I5848" t="str">
        <x:v>4-6 years</x:v>
      </x:c>
      <x:c r="J5848" t="str">
        <x:v>MORTGAGE</x:v>
      </x:c>
      <x:c r="K5848" t="str">
        <x:v>home_improvement</x:v>
      </x:c>
      <x:c r="L5848" t="n">
        <x:v>0</x:v>
      </x:c>
      <x:c r="M5848" t="n">
        <x:v>0</x:v>
      </x:c>
      <x:c r="N5848" t="str">
        <x:v>Fully Paid</x:v>
      </x:c>
      <x:c r="O5848" t="str">
        <x:f>IF(D5848="","Unknown",IF(D5848&lt;25000,"&lt;$25k",IF(D5848&lt;50000,"$25k-$50k",IF(D5848&lt;75000,"$50k-$75k",IF(D5848&lt;100000,"$75k-$100k","$100k+")))))</x:f>
        <x:v>$100k+</x:v>
      </x:c>
      <x:c r="P5848" t="str">
        <x:f>IF(E5848="","Unknown",IF(E5848&lt;10,"&lt;10",IF(E5848&lt;20,"10-&lt;20",IF(E5848&lt;25,"20-&lt;25",IF(E5848&lt;35,"25-&lt;35","35+")))))</x:f>
        <x:v>10-&lt;20</x:v>
      </x:c>
    </x:row>
    <x:row r="5849">
      <x:c r="A5849" t="str">
        <x:v>SYN0005848</x:v>
      </x:c>
      <x:c r="B5849" s="12" t="n">
        <x:v>42505</x:v>
      </x:c>
      <x:c r="C5849" s="18" t="n">
        <x:v>20312</x:v>
      </x:c>
      <x:c r="D5849" s="18" t="n">
        <x:v>76477</x:v>
      </x:c>
      <x:c r="E5849" s="18" t="n">
        <x:v>22.87</x:v>
      </x:c>
      <x:c r="F5849" s="18" t="n">
        <x:v>13.2</x:v>
      </x:c>
      <x:c r="G5849" t="n">
        <x:v>60</x:v>
      </x:c>
      <x:c r="H5849" t="str">
        <x:v>D</x:v>
      </x:c>
      <x:c r="I5849" t="str">
        <x:v>7-9 years</x:v>
      </x:c>
      <x:c r="J5849" t="str">
        <x:v>MORTGAGE</x:v>
      </x:c>
      <x:c r="K5849" t="str">
        <x:v>major_purchase</x:v>
      </x:c>
      <x:c r="L5849" t="n">
        <x:v>0</x:v>
      </x:c>
      <x:c r="M5849" t="n">
        <x:v>0</x:v>
      </x:c>
      <x:c r="N5849" t="str">
        <x:v>Fully Paid</x:v>
      </x:c>
      <x:c r="O5849" t="str">
        <x:f>IF(D5849="","Unknown",IF(D5849&lt;25000,"&lt;$25k",IF(D5849&lt;50000,"$25k-$50k",IF(D5849&lt;75000,"$50k-$75k",IF(D5849&lt;100000,"$75k-$100k","$100k+")))))</x:f>
        <x:v>$75k-$100k</x:v>
      </x:c>
      <x:c r="P5849" t="str">
        <x:f>IF(E5849="","Unknown",IF(E5849&lt;10,"&lt;10",IF(E5849&lt;20,"10-&lt;20",IF(E5849&lt;25,"20-&lt;25",IF(E5849&lt;35,"25-&lt;35","35+")))))</x:f>
        <x:v>20-&lt;25</x:v>
      </x:c>
    </x:row>
    <x:row r="5850">
      <x:c r="A5850" t="str">
        <x:v>SYN0005849</x:v>
      </x:c>
      <x:c r="B5850" s="12" t="n">
        <x:v>42415</x:v>
      </x:c>
      <x:c r="C5850" s="18" t="n">
        <x:v>9822</x:v>
      </x:c>
      <x:c r="D5850" s="18" t="n">
        <x:v>66557</x:v>
      </x:c>
      <x:c r="E5850" s="18" t="n">
        <x:v>40.37</x:v>
      </x:c>
      <x:c r="F5850" s="18" t="n">
        <x:v>17.44</x:v>
      </x:c>
      <x:c r="G5850" t="n">
        <x:v>36</x:v>
      </x:c>
      <x:c r="H5850" t="str">
        <x:v>D</x:v>
      </x:c>
      <x:c r="I5850" t="str">
        <x:v>10+ years</x:v>
      </x:c>
      <x:c r="J5850" t="str">
        <x:v>RENT</x:v>
      </x:c>
      <x:c r="K5850" t="str">
        <x:v>major_purchase</x:v>
      </x:c>
      <x:c r="L5850" t="n">
        <x:v>2</x:v>
      </x:c>
      <x:c r="M5850" t="n">
        <x:v>0</x:v>
      </x:c>
      <x:c r="N5850" t="str">
        <x:v>Fully Paid</x:v>
      </x:c>
      <x:c r="O5850" t="str">
        <x:f>IF(D5850="","Unknown",IF(D5850&lt;25000,"&lt;$25k",IF(D5850&lt;50000,"$25k-$50k",IF(D5850&lt;75000,"$50k-$75k",IF(D5850&lt;100000,"$75k-$100k","$100k+")))))</x:f>
        <x:v>$50k-$75k</x:v>
      </x:c>
      <x:c r="P5850" t="str">
        <x:f>IF(E5850="","Unknown",IF(E5850&lt;10,"&lt;10",IF(E5850&lt;20,"10-&lt;20",IF(E5850&lt;25,"20-&lt;25",IF(E5850&lt;35,"25-&lt;35","35+")))))</x:f>
        <x:v>35+</x:v>
      </x:c>
    </x:row>
    <x:row r="5851">
      <x:c r="A5851" t="str">
        <x:v>SYN0005850</x:v>
      </x:c>
      <x:c r="B5851" s="12" t="n">
        <x:v>41365</x:v>
      </x:c>
      <x:c r="C5851" s="18" t="n">
        <x:v>12645</x:v>
      </x:c>
      <x:c r="D5851" s="18" t="n">
        <x:v>79363</x:v>
      </x:c>
      <x:c r="E5851" s="18" t="n">
        <x:v>11.24</x:v>
      </x:c>
      <x:c r="F5851" s="18" t="n">
        <x:v>18.72</x:v>
      </x:c>
      <x:c r="G5851" t="n">
        <x:v>36</x:v>
      </x:c>
      <x:c r="H5851" t="str">
        <x:v>E</x:v>
      </x:c>
      <x:c r="I5851" t="str">
        <x:v>4-6 years</x:v>
      </x:c>
      <x:c r="J5851" t="str">
        <x:v>RENT</x:v>
      </x:c>
      <x:c r="K5851" t="str">
        <x:v>debt_consolidation</x:v>
      </x:c>
      <x:c r="L5851" t="n">
        <x:v>0</x:v>
      </x:c>
      <x:c r="M5851" t="n">
        <x:v>1</x:v>
      </x:c>
      <x:c r="N5851" t="str">
        <x:v>Charged Off</x:v>
      </x:c>
      <x:c r="O5851" t="str">
        <x:f>IF(D5851="","Unknown",IF(D5851&lt;25000,"&lt;$25k",IF(D5851&lt;50000,"$25k-$50k",IF(D5851&lt;75000,"$50k-$75k",IF(D5851&lt;100000,"$75k-$100k","$100k+")))))</x:f>
        <x:v>$75k-$100k</x:v>
      </x:c>
      <x:c r="P5851" t="str">
        <x:f>IF(E5851="","Unknown",IF(E5851&lt;10,"&lt;10",IF(E5851&lt;20,"10-&lt;20",IF(E5851&lt;25,"20-&lt;25",IF(E5851&lt;35,"25-&lt;35","35+")))))</x:f>
        <x:v>10-&lt;20</x:v>
      </x:c>
    </x:row>
    <x:row r="5852">
      <x:c r="A5852" t="str">
        <x:v>SYN0005851</x:v>
      </x:c>
      <x:c r="B5852" s="12" t="n">
        <x:v>42325</x:v>
      </x:c>
      <x:c r="C5852" s="18" t="n">
        <x:v>7161</x:v>
      </x:c>
      <x:c r="D5852" s="18" t="n">
        <x:v>63131</x:v>
      </x:c>
      <x:c r="E5852" s="18" t="n">
        <x:v>15.78</x:v>
      </x:c>
      <x:c r="F5852" s="18" t="n">
        <x:v>9.52</x:v>
      </x:c>
      <x:c r="G5852" t="n">
        <x:v>36</x:v>
      </x:c>
      <x:c r="H5852" t="str">
        <x:v>C</x:v>
      </x:c>
      <x:c r="I5852" t="str">
        <x:v>10+ years</x:v>
      </x:c>
      <x:c r="J5852" t="str">
        <x:v>RENT</x:v>
      </x:c>
      <x:c r="K5852" t="str">
        <x:v>debt_consolidation</x:v>
      </x:c>
      <x:c r="L5852" t="n">
        <x:v>0</x:v>
      </x:c>
      <x:c r="M5852" t="n">
        <x:v>0</x:v>
      </x:c>
      <x:c r="N5852" t="str">
        <x:v>Fully Paid</x:v>
      </x:c>
      <x:c r="O5852" t="str">
        <x:f>IF(D5852="","Unknown",IF(D5852&lt;25000,"&lt;$25k",IF(D5852&lt;50000,"$25k-$50k",IF(D5852&lt;75000,"$50k-$75k",IF(D5852&lt;100000,"$75k-$100k","$100k+")))))</x:f>
        <x:v>$50k-$75k</x:v>
      </x:c>
      <x:c r="P5852" t="str">
        <x:f>IF(E5852="","Unknown",IF(E5852&lt;10,"&lt;10",IF(E5852&lt;20,"10-&lt;20",IF(E5852&lt;25,"20-&lt;25",IF(E5852&lt;35,"25-&lt;35","35+")))))</x:f>
        <x:v>10-&lt;20</x:v>
      </x:c>
    </x:row>
    <x:row r="5853">
      <x:c r="A5853" t="str">
        <x:v>SYN0005852</x:v>
      </x:c>
      <x:c r="B5853" s="12" t="n">
        <x:v>41425</x:v>
      </x:c>
      <x:c r="C5853" s="18" t="n">
        <x:v>14717</x:v>
      </x:c>
      <x:c r="D5853" s="18" t="n">
        <x:v>98854</x:v>
      </x:c>
      <x:c r="E5853" s="18" t="n">
        <x:v>26.59</x:v>
      </x:c>
      <x:c r="F5853" s="18" t="n">
        <x:v>11.61</x:v>
      </x:c>
      <x:c r="G5853" t="n">
        <x:v>60</x:v>
      </x:c>
      <x:c r="H5853" t="str">
        <x:v>C</x:v>
      </x:c>
      <x:c r="I5853" t="str">
        <x:v>4-6 years</x:v>
      </x:c>
      <x:c r="J5853" t="str">
        <x:v>RENT</x:v>
      </x:c>
      <x:c r="K5853" t="str">
        <x:v>debt_consolidation</x:v>
      </x:c>
      <x:c r="L5853" t="n">
        <x:v>1</x:v>
      </x:c>
      <x:c r="M5853" t="n">
        <x:v>0</x:v>
      </x:c>
      <x:c r="N5853" t="str">
        <x:v>Fully Paid</x:v>
      </x:c>
      <x:c r="O5853" t="str">
        <x:f>IF(D5853="","Unknown",IF(D5853&lt;25000,"&lt;$25k",IF(D5853&lt;50000,"$25k-$50k",IF(D5853&lt;75000,"$50k-$75k",IF(D5853&lt;100000,"$75k-$100k","$100k+")))))</x:f>
        <x:v>$75k-$100k</x:v>
      </x:c>
      <x:c r="P5853" t="str">
        <x:f>IF(E5853="","Unknown",IF(E5853&lt;10,"&lt;10",IF(E5853&lt;20,"10-&lt;20",IF(E5853&lt;25,"20-&lt;25",IF(E5853&lt;35,"25-&lt;35","35+")))))</x:f>
        <x:v>25-&lt;35</x:v>
      </x:c>
    </x:row>
    <x:row r="5854">
      <x:c r="A5854" t="str">
        <x:v>SYN0005853</x:v>
      </x:c>
      <x:c r="B5854" s="12" t="n">
        <x:v>41815</x:v>
      </x:c>
      <x:c r="C5854" s="18" t="n">
        <x:v>20508</x:v>
      </x:c>
      <x:c r="D5854" s="18" t="n">
        <x:v>42402</x:v>
      </x:c>
      <x:c r="E5854" s="18" t="n">
        <x:v>13.67</x:v>
      </x:c>
      <x:c r="F5854" s="18" t="n">
        <x:v>11.61</x:v>
      </x:c>
      <x:c r="G5854" t="n">
        <x:v>36</x:v>
      </x:c>
      <x:c r="H5854" t="str">
        <x:v>C</x:v>
      </x:c>
      <x:c r="I5854" t="str">
        <x:v>4-6 years</x:v>
      </x:c>
      <x:c r="J5854" t="str">
        <x:v>MORTGAGE</x:v>
      </x:c>
      <x:c r="K5854" t="str">
        <x:v>major_purchase</x:v>
      </x:c>
      <x:c r="L5854" t="n">
        <x:v>0</x:v>
      </x:c>
      <x:c r="M5854" t="n">
        <x:v>0</x:v>
      </x:c>
      <x:c r="N5854" t="str">
        <x:v>Fully Paid</x:v>
      </x:c>
      <x:c r="O5854" t="str">
        <x:f>IF(D5854="","Unknown",IF(D5854&lt;25000,"&lt;$25k",IF(D5854&lt;50000,"$25k-$50k",IF(D5854&lt;75000,"$50k-$75k",IF(D5854&lt;100000,"$75k-$100k","$100k+")))))</x:f>
        <x:v>$25k-$50k</x:v>
      </x:c>
      <x:c r="P5854" t="str">
        <x:f>IF(E5854="","Unknown",IF(E5854&lt;10,"&lt;10",IF(E5854&lt;20,"10-&lt;20",IF(E5854&lt;25,"20-&lt;25",IF(E5854&lt;35,"25-&lt;35","35+")))))</x:f>
        <x:v>10-&lt;20</x:v>
      </x:c>
    </x:row>
    <x:row r="5855">
      <x:c r="A5855" t="str">
        <x:v>SYN0005854</x:v>
      </x:c>
      <x:c r="B5855" s="12" t="n">
        <x:v>42175</x:v>
      </x:c>
      <x:c r="C5855" s="18" t="n">
        <x:v>14683</x:v>
      </x:c>
      <x:c r="D5855" s="18" t="n">
        <x:v>58822</x:v>
      </x:c>
      <x:c r="E5855" s="18" t="n">
        <x:v>12.45</x:v>
      </x:c>
      <x:c r="F5855" s="18" t="n">
        <x:v>12.19</x:v>
      </x:c>
      <x:c r="G5855" t="n">
        <x:v>36</x:v>
      </x:c>
      <x:c r="H5855" t="str">
        <x:v>C</x:v>
      </x:c>
      <x:c r="I5855" t="str">
        <x:v>4-6 years</x:v>
      </x:c>
      <x:c r="J5855" t="str">
        <x:v>MORTGAGE</x:v>
      </x:c>
      <x:c r="K5855" t="str">
        <x:v>debt_consolidation</x:v>
      </x:c>
      <x:c r="L5855" t="n">
        <x:v>1</x:v>
      </x:c>
      <x:c r="M5855" t="n">
        <x:v>0</x:v>
      </x:c>
      <x:c r="N5855" t="str">
        <x:v>Fully Paid</x:v>
      </x:c>
      <x:c r="O5855" t="str">
        <x:f>IF(D5855="","Unknown",IF(D5855&lt;25000,"&lt;$25k",IF(D5855&lt;50000,"$25k-$50k",IF(D5855&lt;75000,"$50k-$75k",IF(D5855&lt;100000,"$75k-$100k","$100k+")))))</x:f>
        <x:v>$50k-$75k</x:v>
      </x:c>
      <x:c r="P5855" t="str">
        <x:f>IF(E5855="","Unknown",IF(E5855&lt;10,"&lt;10",IF(E5855&lt;20,"10-&lt;20",IF(E5855&lt;25,"20-&lt;25",IF(E5855&lt;35,"25-&lt;35","35+")))))</x:f>
        <x:v>10-&lt;20</x:v>
      </x:c>
    </x:row>
    <x:row r="5856">
      <x:c r="A5856" t="str">
        <x:v>SYN0005855</x:v>
      </x:c>
      <x:c r="B5856" s="12" t="n">
        <x:v>43225</x:v>
      </x:c>
      <x:c r="C5856" s="18" t="n">
        <x:v>14698</x:v>
      </x:c>
      <x:c r="D5856" s="18" t="n">
        <x:v>59002</x:v>
      </x:c>
      <x:c r="E5856" s="18" t="n">
        <x:v>9.73</x:v>
      </x:c>
      <x:c r="F5856" s="18" t="n">
        <x:v>19.9</x:v>
      </x:c>
      <x:c r="G5856" t="n">
        <x:v>36</x:v>
      </x:c>
      <x:c r="H5856" t="str">
        <x:v>E</x:v>
      </x:c>
      <x:c r="I5856" t="str">
        <x:v>4-6 years</x:v>
      </x:c>
      <x:c r="J5856" t="str">
        <x:v>OWN</x:v>
      </x:c>
      <x:c r="K5856" t="str">
        <x:v>credit_card</x:v>
      </x:c>
      <x:c r="L5856" t="n">
        <x:v>0</x:v>
      </x:c>
      <x:c r="M5856" t="n">
        <x:v>0</x:v>
      </x:c>
      <x:c r="N5856" t="str">
        <x:v>Fully Paid</x:v>
      </x:c>
      <x:c r="O5856" t="str">
        <x:f>IF(D5856="","Unknown",IF(D5856&lt;25000,"&lt;$25k",IF(D5856&lt;50000,"$25k-$50k",IF(D5856&lt;75000,"$50k-$75k",IF(D5856&lt;100000,"$75k-$100k","$100k+")))))</x:f>
        <x:v>$50k-$75k</x:v>
      </x:c>
      <x:c r="P5856" t="str">
        <x:f>IF(E5856="","Unknown",IF(E5856&lt;10,"&lt;10",IF(E5856&lt;20,"10-&lt;20",IF(E5856&lt;25,"20-&lt;25",IF(E5856&lt;35,"25-&lt;35","35+")))))</x:f>
        <x:v>&lt;10</x:v>
      </x:c>
    </x:row>
    <x:row r="5857">
      <x:c r="A5857" t="str">
        <x:v>SYN0005856</x:v>
      </x:c>
      <x:c r="B5857" s="12" t="n">
        <x:v>42295</x:v>
      </x:c>
      <x:c r="C5857" s="18" t="n">
        <x:v>5549</x:v>
      </x:c>
      <x:c r="D5857" s="18" t="n">
        <x:v>58578</x:v>
      </x:c>
      <x:c r="E5857" s="18" t="n">
        <x:v>22.24</x:v>
      </x:c>
      <x:c r="F5857" s="18" t="n">
        <x:v>7.41</x:v>
      </x:c>
      <x:c r="G5857" t="n">
        <x:v>60</x:v>
      </x:c>
      <x:c r="H5857" t="str">
        <x:v>C</x:v>
      </x:c>
      <x:c r="I5857" t="str">
        <x:v>4-6 years</x:v>
      </x:c>
      <x:c r="J5857" t="str">
        <x:v>RENT</x:v>
      </x:c>
      <x:c r="K5857" t="str">
        <x:v>debt_consolidation</x:v>
      </x:c>
      <x:c r="L5857" t="n">
        <x:v>0</x:v>
      </x:c>
      <x:c r="M5857" t="n">
        <x:v>0</x:v>
      </x:c>
      <x:c r="N5857" t="str">
        <x:v>Fully Paid</x:v>
      </x:c>
      <x:c r="O5857" t="str">
        <x:f>IF(D5857="","Unknown",IF(D5857&lt;25000,"&lt;$25k",IF(D5857&lt;50000,"$25k-$50k",IF(D5857&lt;75000,"$50k-$75k",IF(D5857&lt;100000,"$75k-$100k","$100k+")))))</x:f>
        <x:v>$50k-$75k</x:v>
      </x:c>
      <x:c r="P5857" t="str">
        <x:f>IF(E5857="","Unknown",IF(E5857&lt;10,"&lt;10",IF(E5857&lt;20,"10-&lt;20",IF(E5857&lt;25,"20-&lt;25",IF(E5857&lt;35,"25-&lt;35","35+")))))</x:f>
        <x:v>20-&lt;25</x:v>
      </x:c>
    </x:row>
    <x:row r="5858">
      <x:c r="A5858" t="str">
        <x:v>SYN0005857</x:v>
      </x:c>
      <x:c r="B5858" s="12" t="n">
        <x:v>42325</x:v>
      </x:c>
      <x:c r="C5858" s="18" t="n">
        <x:v>13762</x:v>
      </x:c>
      <x:c r="D5858" s="18" t="n">
        <x:v>77858</x:v>
      </x:c>
      <x:c r="E5858" s="18" t="n">
        <x:v>28.09</x:v>
      </x:c>
      <x:c r="F5858" s="18" t="n">
        <x:v>24.65</x:v>
      </x:c>
      <x:c r="G5858" t="n">
        <x:v>36</x:v>
      </x:c>
      <x:c r="H5858" t="str">
        <x:v>G</x:v>
      </x:c>
      <x:c r="I5858" t="str">
        <x:v>4-6 years</x:v>
      </x:c>
      <x:c r="J5858" t="str">
        <x:v>RENT</x:v>
      </x:c>
      <x:c r="K5858" t="str">
        <x:v>major_purchase</x:v>
      </x:c>
      <x:c r="L5858" t="n">
        <x:v>1</x:v>
      </x:c>
      <x:c r="M5858" t="n">
        <x:v>0</x:v>
      </x:c>
      <x:c r="N5858" t="str">
        <x:v>Fully Paid</x:v>
      </x:c>
      <x:c r="O5858" t="str">
        <x:f>IF(D5858="","Unknown",IF(D5858&lt;25000,"&lt;$25k",IF(D5858&lt;50000,"$25k-$50k",IF(D5858&lt;75000,"$50k-$75k",IF(D5858&lt;100000,"$75k-$100k","$100k+")))))</x:f>
        <x:v>$75k-$100k</x:v>
      </x:c>
      <x:c r="P5858" t="str">
        <x:f>IF(E5858="","Unknown",IF(E5858&lt;10,"&lt;10",IF(E5858&lt;20,"10-&lt;20",IF(E5858&lt;25,"20-&lt;25",IF(E5858&lt;35,"25-&lt;35","35+")))))</x:f>
        <x:v>25-&lt;35</x:v>
      </x:c>
    </x:row>
    <x:row r="5859">
      <x:c r="A5859" t="str">
        <x:v>SYN0005858</x:v>
      </x:c>
      <x:c r="B5859" s="12" t="n">
        <x:v>41755</x:v>
      </x:c>
      <x:c r="C5859" s="18" t="n">
        <x:v>14269</x:v>
      </x:c>
      <x:c r="D5859" s="18" t="n">
        <x:v>72703</x:v>
      </x:c>
      <x:c r="E5859" s="18" t="n">
        <x:v>33.06</x:v>
      </x:c>
      <x:c r="F5859" s="18" t="n">
        <x:v>8.94</x:v>
      </x:c>
      <x:c r="G5859" t="n">
        <x:v>60</x:v>
      </x:c>
      <x:c r="H5859" t="str">
        <x:v>B</x:v>
      </x:c>
      <x:c r="I5859" t="str">
        <x:v>&lt;1 year</x:v>
      </x:c>
      <x:c r="J5859" t="str">
        <x:v>RENT</x:v>
      </x:c>
      <x:c r="K5859" t="str">
        <x:v>medical</x:v>
      </x:c>
      <x:c r="L5859" t="n">
        <x:v>0</x:v>
      </x:c>
      <x:c r="M5859" t="n">
        <x:v>0</x:v>
      </x:c>
      <x:c r="N5859" t="str">
        <x:v>Fully Paid</x:v>
      </x:c>
      <x:c r="O5859" t="str">
        <x:f>IF(D5859="","Unknown",IF(D5859&lt;25000,"&lt;$25k",IF(D5859&lt;50000,"$25k-$50k",IF(D5859&lt;75000,"$50k-$75k",IF(D5859&lt;100000,"$75k-$100k","$100k+")))))</x:f>
        <x:v>$50k-$75k</x:v>
      </x:c>
      <x:c r="P5859" t="str">
        <x:f>IF(E5859="","Unknown",IF(E5859&lt;10,"&lt;10",IF(E5859&lt;20,"10-&lt;20",IF(E5859&lt;25,"20-&lt;25",IF(E5859&lt;35,"25-&lt;35","35+")))))</x:f>
        <x:v>25-&lt;35</x:v>
      </x:c>
    </x:row>
    <x:row r="5860">
      <x:c r="A5860" t="str">
        <x:v>SYN0005859</x:v>
      </x:c>
      <x:c r="B5860" s="12" t="n">
        <x:v>42295</x:v>
      </x:c>
      <x:c r="C5860" s="18" t="n">
        <x:v>10073</x:v>
      </x:c>
      <x:c r="D5860" s="18" t="n">
        <x:v>142575</x:v>
      </x:c>
      <x:c r="E5860" s="18" t="n">
        <x:v>8.26</x:v>
      </x:c>
      <x:c r="F5860" s="18" t="n">
        <x:v>11.22</x:v>
      </x:c>
      <x:c r="G5860" t="n">
        <x:v>36</x:v>
      </x:c>
      <x:c r="H5860" t="str">
        <x:v>D</x:v>
      </x:c>
      <x:c r="I5860" t="str">
        <x:v>4-6 years</x:v>
      </x:c>
      <x:c r="J5860" t="str">
        <x:v>MORTGAGE</x:v>
      </x:c>
      <x:c r="K5860" t="str">
        <x:v>credit_card</x:v>
      </x:c>
      <x:c r="L5860" t="n">
        <x:v>0</x:v>
      </x:c>
      <x:c r="M5860" t="n">
        <x:v>0</x:v>
      </x:c>
      <x:c r="N5860" t="str">
        <x:v>Fully Paid</x:v>
      </x:c>
      <x:c r="O5860" t="str">
        <x:f>IF(D5860="","Unknown",IF(D5860&lt;25000,"&lt;$25k",IF(D5860&lt;50000,"$25k-$50k",IF(D5860&lt;75000,"$50k-$75k",IF(D5860&lt;100000,"$75k-$100k","$100k+")))))</x:f>
        <x:v>$100k+</x:v>
      </x:c>
      <x:c r="P5860" t="str">
        <x:f>IF(E5860="","Unknown",IF(E5860&lt;10,"&lt;10",IF(E5860&lt;20,"10-&lt;20",IF(E5860&lt;25,"20-&lt;25",IF(E5860&lt;35,"25-&lt;35","35+")))))</x:f>
        <x:v>&lt;10</x:v>
      </x:c>
    </x:row>
    <x:row r="5861">
      <x:c r="A5861" t="str">
        <x:v>SYN0005860</x:v>
      </x:c>
      <x:c r="B5861" s="12" t="n">
        <x:v>43285</x:v>
      </x:c>
      <x:c r="C5861" s="18" t="n">
        <x:v>40000</x:v>
      </x:c>
      <x:c r="D5861" s="18" t="n">
        <x:v>150435</x:v>
      </x:c>
      <x:c r="E5861" s="18" t="n">
        <x:v>6.68</x:v>
      </x:c>
      <x:c r="F5861" s="18" t="n">
        <x:v>11.39</x:v>
      </x:c>
      <x:c r="G5861" t="n">
        <x:v>36</x:v>
      </x:c>
      <x:c r="H5861" t="str">
        <x:v>C</x:v>
      </x:c>
      <x:c r="I5861" t="str">
        <x:v>10+ years</x:v>
      </x:c>
      <x:c r="J5861" t="str">
        <x:v>MORTGAGE</x:v>
      </x:c>
      <x:c r="K5861" t="str">
        <x:v>major_purchase</x:v>
      </x:c>
      <x:c r="L5861" t="n">
        <x:v>1</x:v>
      </x:c>
      <x:c r="M5861" t="n">
        <x:v>0</x:v>
      </x:c>
      <x:c r="N5861" t="str">
        <x:v>Fully Paid</x:v>
      </x:c>
      <x:c r="O5861" t="str">
        <x:f>IF(D5861="","Unknown",IF(D5861&lt;25000,"&lt;$25k",IF(D5861&lt;50000,"$25k-$50k",IF(D5861&lt;75000,"$50k-$75k",IF(D5861&lt;100000,"$75k-$100k","$100k+")))))</x:f>
        <x:v>$100k+</x:v>
      </x:c>
      <x:c r="P5861" t="str">
        <x:f>IF(E5861="","Unknown",IF(E5861&lt;10,"&lt;10",IF(E5861&lt;20,"10-&lt;20",IF(E5861&lt;25,"20-&lt;25",IF(E5861&lt;35,"25-&lt;35","35+")))))</x:f>
        <x:v>&lt;10</x:v>
      </x:c>
    </x:row>
    <x:row r="5862">
      <x:c r="A5862" t="str">
        <x:v>SYN0005861</x:v>
      </x:c>
      <x:c r="B5862" s="12" t="n">
        <x:v>42775</x:v>
      </x:c>
      <x:c r="C5862" s="18" t="n">
        <x:v>15032</x:v>
      </x:c>
      <x:c r="D5862" s="18" t="n">
        <x:v>52802</x:v>
      </x:c>
      <x:c r="E5862" s="18" t="n">
        <x:v>12.32</x:v>
      </x:c>
      <x:c r="F5862" s="18" t="n">
        <x:v>9.22</x:v>
      </x:c>
      <x:c r="G5862" t="n">
        <x:v>36</x:v>
      </x:c>
      <x:c r="H5862" t="str">
        <x:v>C</x:v>
      </x:c>
      <x:c r="I5862" t="str">
        <x:v>1-3 years</x:v>
      </x:c>
      <x:c r="J5862" t="str">
        <x:v>RENT</x:v>
      </x:c>
      <x:c r="K5862" t="str">
        <x:v>other</x:v>
      </x:c>
      <x:c r="L5862" t="n">
        <x:v>0</x:v>
      </x:c>
      <x:c r="M5862" t="n">
        <x:v>0</x:v>
      </x:c>
      <x:c r="N5862" t="str">
        <x:v>Fully Paid</x:v>
      </x:c>
      <x:c r="O5862" t="str">
        <x:f>IF(D5862="","Unknown",IF(D5862&lt;25000,"&lt;$25k",IF(D5862&lt;50000,"$25k-$50k",IF(D5862&lt;75000,"$50k-$75k",IF(D5862&lt;100000,"$75k-$100k","$100k+")))))</x:f>
        <x:v>$50k-$75k</x:v>
      </x:c>
      <x:c r="P5862" t="str">
        <x:f>IF(E5862="","Unknown",IF(E5862&lt;10,"&lt;10",IF(E5862&lt;20,"10-&lt;20",IF(E5862&lt;25,"20-&lt;25",IF(E5862&lt;35,"25-&lt;35","35+")))))</x:f>
        <x:v>10-&lt;20</x:v>
      </x:c>
    </x:row>
    <x:row r="5863">
      <x:c r="A5863" t="str">
        <x:v>SYN0005862</x:v>
      </x:c>
      <x:c r="B5863" s="12" t="n">
        <x:v>42595</x:v>
      </x:c>
      <x:c r="C5863" s="18" t="n">
        <x:v>10329</x:v>
      </x:c>
      <x:c r="D5863" s="18" t="n">
        <x:v>115585</x:v>
      </x:c>
      <x:c r="E5863" s="18" t="n">
        <x:v>10.86</x:v>
      </x:c>
      <x:c r="F5863" s="18" t="n">
        <x:v>6.74</x:v>
      </x:c>
      <x:c r="G5863" t="n">
        <x:v>60</x:v>
      </x:c>
      <x:c r="H5863" t="str">
        <x:v>B</x:v>
      </x:c>
      <x:c r="I5863" t="str">
        <x:v>7-9 years</x:v>
      </x:c>
      <x:c r="J5863" t="str">
        <x:v>OWN</x:v>
      </x:c>
      <x:c r="K5863" t="str">
        <x:v>medical</x:v>
      </x:c>
      <x:c r="L5863" t="n">
        <x:v>1</x:v>
      </x:c>
      <x:c r="M5863" t="n">
        <x:v>0</x:v>
      </x:c>
      <x:c r="N5863" t="str">
        <x:v>Fully Paid</x:v>
      </x:c>
      <x:c r="O5863" t="str">
        <x:f>IF(D5863="","Unknown",IF(D5863&lt;25000,"&lt;$25k",IF(D5863&lt;50000,"$25k-$50k",IF(D5863&lt;75000,"$50k-$75k",IF(D5863&lt;100000,"$75k-$100k","$100k+")))))</x:f>
        <x:v>$100k+</x:v>
      </x:c>
      <x:c r="P5863" t="str">
        <x:f>IF(E5863="","Unknown",IF(E5863&lt;10,"&lt;10",IF(E5863&lt;20,"10-&lt;20",IF(E5863&lt;25,"20-&lt;25",IF(E5863&lt;35,"25-&lt;35","35+")))))</x:f>
        <x:v>10-&lt;20</x:v>
      </x:c>
    </x:row>
    <x:row r="5864">
      <x:c r="A5864" t="str">
        <x:v>SYN0005863</x:v>
      </x:c>
      <x:c r="B5864" s="12" t="n">
        <x:v>41425</x:v>
      </x:c>
      <x:c r="C5864" s="18" t="n">
        <x:v>14984</x:v>
      </x:c>
      <x:c r="D5864" s="18" t="n">
        <x:v>46376</x:v>
      </x:c>
      <x:c r="E5864" s="18" t="n">
        <x:v>21.31</x:v>
      </x:c>
      <x:c r="F5864" s="18" t="n">
        <x:v>16.9</x:v>
      </x:c>
      <x:c r="G5864" t="n">
        <x:v>36</x:v>
      </x:c>
      <x:c r="H5864" t="str">
        <x:v>E</x:v>
      </x:c>
      <x:c r="I5864" t="str">
        <x:v>7-9 years</x:v>
      </x:c>
      <x:c r="J5864" t="str">
        <x:v>RENT</x:v>
      </x:c>
      <x:c r="K5864" t="str">
        <x:v>debt_consolidation</x:v>
      </x:c>
      <x:c r="L5864" t="n">
        <x:v>0</x:v>
      </x:c>
      <x:c r="M5864" t="n">
        <x:v>0</x:v>
      </x:c>
      <x:c r="N5864" t="str">
        <x:v>Fully Paid</x:v>
      </x:c>
      <x:c r="O5864" t="str">
        <x:f>IF(D5864="","Unknown",IF(D5864&lt;25000,"&lt;$25k",IF(D5864&lt;50000,"$25k-$50k",IF(D5864&lt;75000,"$50k-$75k",IF(D5864&lt;100000,"$75k-$100k","$100k+")))))</x:f>
        <x:v>$25k-$50k</x:v>
      </x:c>
      <x:c r="P5864" t="str">
        <x:f>IF(E5864="","Unknown",IF(E5864&lt;10,"&lt;10",IF(E5864&lt;20,"10-&lt;20",IF(E5864&lt;25,"20-&lt;25",IF(E5864&lt;35,"25-&lt;35","35+")))))</x:f>
        <x:v>20-&lt;25</x:v>
      </x:c>
    </x:row>
    <x:row r="5865">
      <x:c r="A5865" t="str">
        <x:v>SYN0005864</x:v>
      </x:c>
      <x:c r="B5865" s="12" t="n">
        <x:v>42475</x:v>
      </x:c>
      <x:c r="C5865" s="18" t="n">
        <x:v>16931</x:v>
      </x:c>
      <x:c r="D5865" s="18" t="n">
        <x:v>24906</x:v>
      </x:c>
      <x:c r="E5865" s="18" t="n">
        <x:v>11.92</x:v>
      </x:c>
      <x:c r="F5865" s="18" t="n">
        <x:v>5</x:v>
      </x:c>
      <x:c r="G5865" t="n">
        <x:v>36</x:v>
      </x:c>
      <x:c r="H5865" t="str">
        <x:v>B</x:v>
      </x:c>
      <x:c r="I5865" t="str">
        <x:v>10+ years</x:v>
      </x:c>
      <x:c r="J5865" t="str">
        <x:v>RENT</x:v>
      </x:c>
      <x:c r="K5865" t="str">
        <x:v>other</x:v>
      </x:c>
      <x:c r="L5865" t="n">
        <x:v>1</x:v>
      </x:c>
      <x:c r="M5865" t="n">
        <x:v>0</x:v>
      </x:c>
      <x:c r="N5865" t="str">
        <x:v>Fully Paid</x:v>
      </x:c>
      <x:c r="O5865" t="str">
        <x:f>IF(D5865="","Unknown",IF(D5865&lt;25000,"&lt;$25k",IF(D5865&lt;50000,"$25k-$50k",IF(D5865&lt;75000,"$50k-$75k",IF(D5865&lt;100000,"$75k-$100k","$100k+")))))</x:f>
        <x:v>&lt;$25k</x:v>
      </x:c>
      <x:c r="P5865" t="str">
        <x:f>IF(E5865="","Unknown",IF(E5865&lt;10,"&lt;10",IF(E5865&lt;20,"10-&lt;20",IF(E5865&lt;25,"20-&lt;25",IF(E5865&lt;35,"25-&lt;35","35+")))))</x:f>
        <x:v>10-&lt;20</x:v>
      </x:c>
    </x:row>
    <x:row r="5866">
      <x:c r="A5866" t="str">
        <x:v>SYN0005865</x:v>
      </x:c>
      <x:c r="B5866" s="12" t="n">
        <x:v>42115</x:v>
      </x:c>
      <x:c r="C5866" s="18" t="n">
        <x:v>3971</x:v>
      </x:c>
      <x:c r="D5866" s="18" t="n">
        <x:v>80542</x:v>
      </x:c>
      <x:c r="E5866" s="18" t="n">
        <x:v>16.23</x:v>
      </x:c>
      <x:c r="F5866" s="18" t="n">
        <x:v>10.58</x:v>
      </x:c>
      <x:c r="G5866" t="n">
        <x:v>36</x:v>
      </x:c>
      <x:c r="H5866" t="str">
        <x:v>C</x:v>
      </x:c>
      <x:c r="I5866" t="str">
        <x:v>4-6 years</x:v>
      </x:c>
      <x:c r="J5866" t="str">
        <x:v>MORTGAGE</x:v>
      </x:c>
      <x:c r="K5866" t="str">
        <x:v>debt_consolidation</x:v>
      </x:c>
      <x:c r="L5866" t="n">
        <x:v>0</x:v>
      </x:c>
      <x:c r="M5866" t="n">
        <x:v>0</x:v>
      </x:c>
      <x:c r="N5866" t="str">
        <x:v>Fully Paid</x:v>
      </x:c>
      <x:c r="O5866" t="str">
        <x:f>IF(D5866="","Unknown",IF(D5866&lt;25000,"&lt;$25k",IF(D5866&lt;50000,"$25k-$50k",IF(D5866&lt;75000,"$50k-$75k",IF(D5866&lt;100000,"$75k-$100k","$100k+")))))</x:f>
        <x:v>$75k-$100k</x:v>
      </x:c>
      <x:c r="P5866" t="str">
        <x:f>IF(E5866="","Unknown",IF(E5866&lt;10,"&lt;10",IF(E5866&lt;20,"10-&lt;20",IF(E5866&lt;25,"20-&lt;25",IF(E5866&lt;35,"25-&lt;35","35+")))))</x:f>
        <x:v>10-&lt;20</x:v>
      </x:c>
    </x:row>
    <x:row r="5867">
      <x:c r="A5867" t="str">
        <x:v>SYN0005866</x:v>
      </x:c>
      <x:c r="B5867" s="12" t="n">
        <x:v>42655</x:v>
      </x:c>
      <x:c r="C5867" s="18" t="n">
        <x:v>8093</x:v>
      </x:c>
      <x:c r="D5867" s="18" t="n">
        <x:v>53175</x:v>
      </x:c>
      <x:c r="E5867" s="18" t="n">
        <x:v>30.14</x:v>
      </x:c>
      <x:c r="F5867" s="18" t="n">
        <x:v>15.64</x:v>
      </x:c>
      <x:c r="G5867" t="n">
        <x:v>36</x:v>
      </x:c>
      <x:c r="H5867" t="str">
        <x:v>D</x:v>
      </x:c>
      <x:c r="I5867" t="str">
        <x:v>1-3 years</x:v>
      </x:c>
      <x:c r="J5867" t="str">
        <x:v>MORTGAGE</x:v>
      </x:c>
      <x:c r="K5867" t="str">
        <x:v>debt_consolidation</x:v>
      </x:c>
      <x:c r="L5867" t="n">
        <x:v>3</x:v>
      </x:c>
      <x:c r="M5867" t="n">
        <x:v>1</x:v>
      </x:c>
      <x:c r="N5867" t="str">
        <x:v>Charged Off</x:v>
      </x:c>
      <x:c r="O5867" t="str">
        <x:f>IF(D5867="","Unknown",IF(D5867&lt;25000,"&lt;$25k",IF(D5867&lt;50000,"$25k-$50k",IF(D5867&lt;75000,"$50k-$75k",IF(D5867&lt;100000,"$75k-$100k","$100k+")))))</x:f>
        <x:v>$50k-$75k</x:v>
      </x:c>
      <x:c r="P5867" t="str">
        <x:f>IF(E5867="","Unknown",IF(E5867&lt;10,"&lt;10",IF(E5867&lt;20,"10-&lt;20",IF(E5867&lt;25,"20-&lt;25",IF(E5867&lt;35,"25-&lt;35","35+")))))</x:f>
        <x:v>25-&lt;35</x:v>
      </x:c>
    </x:row>
    <x:row r="5868">
      <x:c r="A5868" t="str">
        <x:v>SYN0005867</x:v>
      </x:c>
      <x:c r="B5868" s="12" t="n">
        <x:v>42955</x:v>
      </x:c>
      <x:c r="C5868" s="18" t="n">
        <x:v>11902</x:v>
      </x:c>
      <x:c r="D5868" s="18" t="n">
        <x:v>67013</x:v>
      </x:c>
      <x:c r="E5868" s="18" t="n">
        <x:v>12.93</x:v>
      </x:c>
      <x:c r="F5868" s="18" t="n">
        <x:v>14.19</x:v>
      </x:c>
      <x:c r="G5868" t="n">
        <x:v>36</x:v>
      </x:c>
      <x:c r="H5868" t="str">
        <x:v>D</x:v>
      </x:c>
      <x:c r="I5868" t="str">
        <x:v>10+ years</x:v>
      </x:c>
      <x:c r="J5868" t="str">
        <x:v>MORTGAGE</x:v>
      </x:c>
      <x:c r="K5868" t="str">
        <x:v>debt_consolidation</x:v>
      </x:c>
      <x:c r="L5868" t="n">
        <x:v>1</x:v>
      </x:c>
      <x:c r="M5868" t="n">
        <x:v>0</x:v>
      </x:c>
      <x:c r="N5868" t="str">
        <x:v>Fully Paid</x:v>
      </x:c>
      <x:c r="O5868" t="str">
        <x:f>IF(D5868="","Unknown",IF(D5868&lt;25000,"&lt;$25k",IF(D5868&lt;50000,"$25k-$50k",IF(D5868&lt;75000,"$50k-$75k",IF(D5868&lt;100000,"$75k-$100k","$100k+")))))</x:f>
        <x:v>$50k-$75k</x:v>
      </x:c>
      <x:c r="P5868" t="str">
        <x:f>IF(E5868="","Unknown",IF(E5868&lt;10,"&lt;10",IF(E5868&lt;20,"10-&lt;20",IF(E5868&lt;25,"20-&lt;25",IF(E5868&lt;35,"25-&lt;35","35+")))))</x:f>
        <x:v>10-&lt;20</x:v>
      </x:c>
    </x:row>
    <x:row r="5869">
      <x:c r="A5869" t="str">
        <x:v>SYN0005868</x:v>
      </x:c>
      <x:c r="B5869" s="12" t="n">
        <x:v>42085</x:v>
      </x:c>
      <x:c r="C5869" s="18" t="n">
        <x:v>22415</x:v>
      </x:c>
      <x:c r="D5869" s="18" t="n">
        <x:v>75875</x:v>
      </x:c>
      <x:c r="E5869" s="18" t="n">
        <x:v>31.34</x:v>
      </x:c>
      <x:c r="F5869" s="18" t="n">
        <x:v>16.72</x:v>
      </x:c>
      <x:c r="G5869" t="n">
        <x:v>60</x:v>
      </x:c>
      <x:c r="H5869" t="str">
        <x:v>E</x:v>
      </x:c>
      <x:c r="I5869" t="str">
        <x:v>1-3 years</x:v>
      </x:c>
      <x:c r="J5869" t="str">
        <x:v>MORTGAGE</x:v>
      </x:c>
      <x:c r="K5869" t="str">
        <x:v>credit_card</x:v>
      </x:c>
      <x:c r="L5869" t="n">
        <x:v>0</x:v>
      </x:c>
      <x:c r="M5869" t="n">
        <x:v>0</x:v>
      </x:c>
      <x:c r="N5869" t="str">
        <x:v>Fully Paid</x:v>
      </x:c>
      <x:c r="O5869" t="str">
        <x:f>IF(D5869="","Unknown",IF(D5869&lt;25000,"&lt;$25k",IF(D5869&lt;50000,"$25k-$50k",IF(D5869&lt;75000,"$50k-$75k",IF(D5869&lt;100000,"$75k-$100k","$100k+")))))</x:f>
        <x:v>$75k-$100k</x:v>
      </x:c>
      <x:c r="P5869" t="str">
        <x:f>IF(E5869="","Unknown",IF(E5869&lt;10,"&lt;10",IF(E5869&lt;20,"10-&lt;20",IF(E5869&lt;25,"20-&lt;25",IF(E5869&lt;35,"25-&lt;35","35+")))))</x:f>
        <x:v>25-&lt;35</x:v>
      </x:c>
    </x:row>
    <x:row r="5870">
      <x:c r="A5870" t="str">
        <x:v>SYN0005869</x:v>
      </x:c>
      <x:c r="B5870" s="12" t="n">
        <x:v>41455</x:v>
      </x:c>
      <x:c r="C5870" s="18" t="n">
        <x:v>19306</x:v>
      </x:c>
      <x:c r="D5870" s="18" t="n">
        <x:v>42012</x:v>
      </x:c>
      <x:c r="E5870" s="18" t="n">
        <x:v>27.24</x:v>
      </x:c>
      <x:c r="F5870" s="18" t="n">
        <x:v>18.87</x:v>
      </x:c>
      <x:c r="G5870" t="n">
        <x:v>60</x:v>
      </x:c>
      <x:c r="H5870" t="str">
        <x:v>E</x:v>
      </x:c>
      <x:c r="I5870" t="str">
        <x:v>4-6 years</x:v>
      </x:c>
      <x:c r="J5870" t="str">
        <x:v>MORTGAGE</x:v>
      </x:c>
      <x:c r="K5870" t="str">
        <x:v>debt_consolidation</x:v>
      </x:c>
      <x:c r="L5870" t="n">
        <x:v>0</x:v>
      </x:c>
      <x:c r="M5870" t="n">
        <x:v>0</x:v>
      </x:c>
      <x:c r="N5870" t="str">
        <x:v>Fully Paid</x:v>
      </x:c>
      <x:c r="O5870" t="str">
        <x:f>IF(D5870="","Unknown",IF(D5870&lt;25000,"&lt;$25k",IF(D5870&lt;50000,"$25k-$50k",IF(D5870&lt;75000,"$50k-$75k",IF(D5870&lt;100000,"$75k-$100k","$100k+")))))</x:f>
        <x:v>$25k-$50k</x:v>
      </x:c>
      <x:c r="P5870" t="str">
        <x:f>IF(E5870="","Unknown",IF(E5870&lt;10,"&lt;10",IF(E5870&lt;20,"10-&lt;20",IF(E5870&lt;25,"20-&lt;25",IF(E5870&lt;35,"25-&lt;35","35+")))))</x:f>
        <x:v>25-&lt;35</x:v>
      </x:c>
    </x:row>
    <x:row r="5871">
      <x:c r="A5871" t="str">
        <x:v>SYN0005870</x:v>
      </x:c>
      <x:c r="B5871" s="12" t="n">
        <x:v>42295</x:v>
      </x:c>
      <x:c r="C5871" s="18" t="n">
        <x:v>5983</x:v>
      </x:c>
      <x:c r="D5871" s="18" t="n">
        <x:v>153069</x:v>
      </x:c>
      <x:c r="E5871" s="18" t="n">
        <x:v>12.27</x:v>
      </x:c>
      <x:c r="F5871" s="18" t="n">
        <x:v>16.47</x:v>
      </x:c>
      <x:c r="G5871" t="n">
        <x:v>60</x:v>
      </x:c>
      <x:c r="H5871" t="str">
        <x:v>D</x:v>
      </x:c>
      <x:c r="I5871" t="str">
        <x:v>4-6 years</x:v>
      </x:c>
      <x:c r="J5871" t="str">
        <x:v>MORTGAGE</x:v>
      </x:c>
      <x:c r="K5871" t="str">
        <x:v>credit_card</x:v>
      </x:c>
      <x:c r="L5871" t="n">
        <x:v>0</x:v>
      </x:c>
      <x:c r="M5871" t="n">
        <x:v>0</x:v>
      </x:c>
      <x:c r="N5871" t="str">
        <x:v>Fully Paid</x:v>
      </x:c>
      <x:c r="O5871" t="str">
        <x:f>IF(D5871="","Unknown",IF(D5871&lt;25000,"&lt;$25k",IF(D5871&lt;50000,"$25k-$50k",IF(D5871&lt;75000,"$50k-$75k",IF(D5871&lt;100000,"$75k-$100k","$100k+")))))</x:f>
        <x:v>$100k+</x:v>
      </x:c>
      <x:c r="P5871" t="str">
        <x:f>IF(E5871="","Unknown",IF(E5871&lt;10,"&lt;10",IF(E5871&lt;20,"10-&lt;20",IF(E5871&lt;25,"20-&lt;25",IF(E5871&lt;35,"25-&lt;35","35+")))))</x:f>
        <x:v>10-&lt;20</x:v>
      </x:c>
    </x:row>
    <x:row r="5872">
      <x:c r="A5872" t="str">
        <x:v>SYN0005871</x:v>
      </x:c>
      <x:c r="B5872" s="12" t="n">
        <x:v>41275</x:v>
      </x:c>
      <x:c r="C5872" s="18" t="n">
        <x:v>16942</x:v>
      </x:c>
      <x:c r="D5872" s="18" t="n">
        <x:v>17550</x:v>
      </x:c>
      <x:c r="E5872" s="18" t="n">
        <x:v>18.12</x:v>
      </x:c>
      <x:c r="F5872" s="18" t="n">
        <x:v>5.04</x:v>
      </x:c>
      <x:c r="G5872" t="n">
        <x:v>36</x:v>
      </x:c>
      <x:c r="H5872" t="str">
        <x:v>B</x:v>
      </x:c>
      <x:c r="I5872" t="str">
        <x:v>10+ years</x:v>
      </x:c>
      <x:c r="J5872" t="str">
        <x:v>RENT</x:v>
      </x:c>
      <x:c r="K5872" t="str">
        <x:v>debt_consolidation</x:v>
      </x:c>
      <x:c r="L5872" t="n">
        <x:v>0</x:v>
      </x:c>
      <x:c r="M5872" t="n">
        <x:v>0</x:v>
      </x:c>
      <x:c r="N5872" t="str">
        <x:v>Fully Paid</x:v>
      </x:c>
      <x:c r="O5872" t="str">
        <x:f>IF(D5872="","Unknown",IF(D5872&lt;25000,"&lt;$25k",IF(D5872&lt;50000,"$25k-$50k",IF(D5872&lt;75000,"$50k-$75k",IF(D5872&lt;100000,"$75k-$100k","$100k+")))))</x:f>
        <x:v>&lt;$25k</x:v>
      </x:c>
      <x:c r="P5872" t="str">
        <x:f>IF(E5872="","Unknown",IF(E5872&lt;10,"&lt;10",IF(E5872&lt;20,"10-&lt;20",IF(E5872&lt;25,"20-&lt;25",IF(E5872&lt;35,"25-&lt;35","35+")))))</x:f>
        <x:v>10-&lt;20</x:v>
      </x:c>
    </x:row>
    <x:row r="5873">
      <x:c r="A5873" t="str">
        <x:v>SYN0005872</x:v>
      </x:c>
      <x:c r="B5873" s="12" t="n">
        <x:v>42565</x:v>
      </x:c>
      <x:c r="C5873" s="18" t="n">
        <x:v>16514</x:v>
      </x:c>
      <x:c r="D5873" s="18" t="n">
        <x:v>79852</x:v>
      </x:c>
      <x:c r="E5873" s="18" t="n">
        <x:v>7.86</x:v>
      </x:c>
      <x:c r="F5873" s="18" t="n">
        <x:v>5</x:v>
      </x:c>
      <x:c r="G5873" t="n">
        <x:v>60</x:v>
      </x:c>
      <x:c r="H5873" t="str">
        <x:v>A</x:v>
      </x:c>
      <x:c r="I5873" t="str">
        <x:v>10+ years</x:v>
      </x:c>
      <x:c r="J5873" t="str">
        <x:v>RENT</x:v>
      </x:c>
      <x:c r="K5873" t="str">
        <x:v>debt_consolidation</x:v>
      </x:c>
      <x:c r="L5873" t="n">
        <x:v>0</x:v>
      </x:c>
      <x:c r="M5873" t="n">
        <x:v>0</x:v>
      </x:c>
      <x:c r="N5873" t="str">
        <x:v>Fully Paid</x:v>
      </x:c>
      <x:c r="O5873" t="str">
        <x:f>IF(D5873="","Unknown",IF(D5873&lt;25000,"&lt;$25k",IF(D5873&lt;50000,"$25k-$50k",IF(D5873&lt;75000,"$50k-$75k",IF(D5873&lt;100000,"$75k-$100k","$100k+")))))</x:f>
        <x:v>$75k-$100k</x:v>
      </x:c>
      <x:c r="P5873" t="str">
        <x:f>IF(E5873="","Unknown",IF(E5873&lt;10,"&lt;10",IF(E5873&lt;20,"10-&lt;20",IF(E5873&lt;25,"20-&lt;25",IF(E5873&lt;35,"25-&lt;35","35+")))))</x:f>
        <x:v>&lt;10</x:v>
      </x:c>
    </x:row>
    <x:row r="5874">
      <x:c r="A5874" t="str">
        <x:v>SYN0005873</x:v>
      </x:c>
      <x:c r="B5874" s="12" t="n">
        <x:v>41635</x:v>
      </x:c>
      <x:c r="C5874" s="18" t="n">
        <x:v>14500</x:v>
      </x:c>
      <x:c r="D5874" s="18" t="n">
        <x:v>92267</x:v>
      </x:c>
      <x:c r="E5874" s="18" t="n">
        <x:v>21.49</x:v>
      </x:c>
      <x:c r="F5874" s="18" t="n">
        <x:v>12.09</x:v>
      </x:c>
      <x:c r="G5874" t="n">
        <x:v>60</x:v>
      </x:c>
      <x:c r="H5874" t="str">
        <x:v>C</x:v>
      </x:c>
      <x:c r="I5874" t="str">
        <x:v>4-6 years</x:v>
      </x:c>
      <x:c r="J5874" t="str">
        <x:v>RENT</x:v>
      </x:c>
      <x:c r="K5874" t="str">
        <x:v>home_improvement</x:v>
      </x:c>
      <x:c r="L5874" t="n">
        <x:v>2</x:v>
      </x:c>
      <x:c r="M5874" t="n">
        <x:v>0</x:v>
      </x:c>
      <x:c r="N5874" t="str">
        <x:v>Fully Paid</x:v>
      </x:c>
      <x:c r="O5874" t="str">
        <x:f>IF(D5874="","Unknown",IF(D5874&lt;25000,"&lt;$25k",IF(D5874&lt;50000,"$25k-$50k",IF(D5874&lt;75000,"$50k-$75k",IF(D5874&lt;100000,"$75k-$100k","$100k+")))))</x:f>
        <x:v>$75k-$100k</x:v>
      </x:c>
      <x:c r="P5874" t="str">
        <x:f>IF(E5874="","Unknown",IF(E5874&lt;10,"&lt;10",IF(E5874&lt;20,"10-&lt;20",IF(E5874&lt;25,"20-&lt;25",IF(E5874&lt;35,"25-&lt;35","35+")))))</x:f>
        <x:v>20-&lt;25</x:v>
      </x:c>
    </x:row>
    <x:row r="5875">
      <x:c r="A5875" t="str">
        <x:v>SYN0005874</x:v>
      </x:c>
      <x:c r="B5875" s="12" t="n">
        <x:v>41815</x:v>
      </x:c>
      <x:c r="C5875" s="18" t="n">
        <x:v>8743</x:v>
      </x:c>
      <x:c r="D5875" s="18" t="n">
        <x:v>79000</x:v>
      </x:c>
      <x:c r="E5875" s="18" t="n">
        <x:v>14.27</x:v>
      </x:c>
      <x:c r="F5875" s="18" t="n">
        <x:v>6.9</x:v>
      </x:c>
      <x:c r="G5875" t="n">
        <x:v>36</x:v>
      </x:c>
      <x:c r="H5875" t="str">
        <x:v>B</x:v>
      </x:c>
      <x:c r="I5875" t="str">
        <x:v>7-9 years</x:v>
      </x:c>
      <x:c r="J5875" t="str">
        <x:v>MORTGAGE</x:v>
      </x:c>
      <x:c r="K5875" t="str">
        <x:v>major_purchase</x:v>
      </x:c>
      <x:c r="L5875" t="n">
        <x:v>1</x:v>
      </x:c>
      <x:c r="M5875" t="n">
        <x:v>0</x:v>
      </x:c>
      <x:c r="N5875" t="str">
        <x:v>Fully Paid</x:v>
      </x:c>
      <x:c r="O5875" t="str">
        <x:f>IF(D5875="","Unknown",IF(D5875&lt;25000,"&lt;$25k",IF(D5875&lt;50000,"$25k-$50k",IF(D5875&lt;75000,"$50k-$75k",IF(D5875&lt;100000,"$75k-$100k","$100k+")))))</x:f>
        <x:v>$75k-$100k</x:v>
      </x:c>
      <x:c r="P5875" t="str">
        <x:f>IF(E5875="","Unknown",IF(E5875&lt;10,"&lt;10",IF(E5875&lt;20,"10-&lt;20",IF(E5875&lt;25,"20-&lt;25",IF(E5875&lt;35,"25-&lt;35","35+")))))</x:f>
        <x:v>10-&lt;20</x:v>
      </x:c>
    </x:row>
    <x:row r="5876">
      <x:c r="A5876" t="str">
        <x:v>SYN0005875</x:v>
      </x:c>
      <x:c r="B5876" s="12" t="n">
        <x:v>43105</x:v>
      </x:c>
      <x:c r="C5876" s="18" t="n">
        <x:v>18454</x:v>
      </x:c>
      <x:c r="D5876" s="18" t="n">
        <x:v>30545</x:v>
      </x:c>
      <x:c r="E5876" s="18" t="n">
        <x:v>14.45</x:v>
      </x:c>
      <x:c r="F5876" s="18" t="n">
        <x:v>10.1</x:v>
      </x:c>
      <x:c r="G5876" t="n">
        <x:v>36</x:v>
      </x:c>
      <x:c r="H5876" t="str">
        <x:v>C</x:v>
      </x:c>
      <x:c r="I5876" t="str">
        <x:v>7-9 years</x:v>
      </x:c>
      <x:c r="J5876" t="str">
        <x:v>RENT</x:v>
      </x:c>
      <x:c r="K5876" t="str">
        <x:v>debt_consolidation</x:v>
      </x:c>
      <x:c r="L5876" t="n">
        <x:v>0</x:v>
      </x:c>
      <x:c r="M5876" t="n">
        <x:v>0</x:v>
      </x:c>
      <x:c r="N5876" t="str">
        <x:v>Fully Paid</x:v>
      </x:c>
      <x:c r="O5876" t="str">
        <x:f>IF(D5876="","Unknown",IF(D5876&lt;25000,"&lt;$25k",IF(D5876&lt;50000,"$25k-$50k",IF(D5876&lt;75000,"$50k-$75k",IF(D5876&lt;100000,"$75k-$100k","$100k+")))))</x:f>
        <x:v>$25k-$50k</x:v>
      </x:c>
      <x:c r="P5876" t="str">
        <x:f>IF(E5876="","Unknown",IF(E5876&lt;10,"&lt;10",IF(E5876&lt;20,"10-&lt;20",IF(E5876&lt;25,"20-&lt;25",IF(E5876&lt;35,"25-&lt;35","35+")))))</x:f>
        <x:v>10-&lt;20</x:v>
      </x:c>
    </x:row>
    <x:row r="5877">
      <x:c r="A5877" t="str">
        <x:v>SYN0005876</x:v>
      </x:c>
      <x:c r="B5877" s="12" t="n">
        <x:v>43105</x:v>
      </x:c>
      <x:c r="C5877" s="18" t="n">
        <x:v>12633</x:v>
      </x:c>
      <x:c r="D5877" s="18" t="n">
        <x:v>12000</x:v>
      </x:c>
      <x:c r="E5877" s="18" t="n">
        <x:v>12.11</x:v>
      </x:c>
      <x:c r="F5877" s="18" t="n">
        <x:v>9.48</x:v>
      </x:c>
      <x:c r="G5877" t="n">
        <x:v>36</x:v>
      </x:c>
      <x:c r="H5877" t="str">
        <x:v>B</x:v>
      </x:c>
      <x:c r="I5877" t="str">
        <x:v>10+ years</x:v>
      </x:c>
      <x:c r="J5877" t="str">
        <x:v>MORTGAGE</x:v>
      </x:c>
      <x:c r="K5877" t="str">
        <x:v>debt_consolidation</x:v>
      </x:c>
      <x:c r="L5877" t="n">
        <x:v>1</x:v>
      </x:c>
      <x:c r="M5877" t="n">
        <x:v>0</x:v>
      </x:c>
      <x:c r="N5877" t="str">
        <x:v>Fully Paid</x:v>
      </x:c>
      <x:c r="O5877" t="str">
        <x:f>IF(D5877="","Unknown",IF(D5877&lt;25000,"&lt;$25k",IF(D5877&lt;50000,"$25k-$50k",IF(D5877&lt;75000,"$50k-$75k",IF(D5877&lt;100000,"$75k-$100k","$100k+")))))</x:f>
        <x:v>&lt;$25k</x:v>
      </x:c>
      <x:c r="P5877" t="str">
        <x:f>IF(E5877="","Unknown",IF(E5877&lt;10,"&lt;10",IF(E5877&lt;20,"10-&lt;20",IF(E5877&lt;25,"20-&lt;25",IF(E5877&lt;35,"25-&lt;35","35+")))))</x:f>
        <x:v>10-&lt;20</x:v>
      </x:c>
    </x:row>
    <x:row r="5878">
      <x:c r="A5878" t="str">
        <x:v>SYN0005877</x:v>
      </x:c>
      <x:c r="B5878" s="12" t="n">
        <x:v>41575</x:v>
      </x:c>
      <x:c r="C5878" s="18" t="n">
        <x:v>31129</x:v>
      </x:c>
      <x:c r="D5878" s="18" t="n">
        <x:v>101333</x:v>
      </x:c>
      <x:c r="E5878" s="18" t="n">
        <x:v>16.71</x:v>
      </x:c>
      <x:c r="F5878" s="18" t="n">
        <x:v>5</x:v>
      </x:c>
      <x:c r="G5878" t="n">
        <x:v>36</x:v>
      </x:c>
      <x:c r="H5878" t="str">
        <x:v>A</x:v>
      </x:c>
      <x:c r="I5878" t="str">
        <x:v>&lt;1 year</x:v>
      </x:c>
      <x:c r="J5878" t="str">
        <x:v>MORTGAGE</x:v>
      </x:c>
      <x:c r="K5878" t="str">
        <x:v>debt_consolidation</x:v>
      </x:c>
      <x:c r="L5878" t="n">
        <x:v>2</x:v>
      </x:c>
      <x:c r="M5878" t="n">
        <x:v>0</x:v>
      </x:c>
      <x:c r="N5878" t="str">
        <x:v>Fully Paid</x:v>
      </x:c>
      <x:c r="O5878" t="str">
        <x:f>IF(D5878="","Unknown",IF(D5878&lt;25000,"&lt;$25k",IF(D5878&lt;50000,"$25k-$50k",IF(D5878&lt;75000,"$50k-$75k",IF(D5878&lt;100000,"$75k-$100k","$100k+")))))</x:f>
        <x:v>$100k+</x:v>
      </x:c>
      <x:c r="P5878" t="str">
        <x:f>IF(E5878="","Unknown",IF(E5878&lt;10,"&lt;10",IF(E5878&lt;20,"10-&lt;20",IF(E5878&lt;25,"20-&lt;25",IF(E5878&lt;35,"25-&lt;35","35+")))))</x:f>
        <x:v>10-&lt;20</x:v>
      </x:c>
    </x:row>
    <x:row r="5879">
      <x:c r="A5879" t="str">
        <x:v>SYN0005878</x:v>
      </x:c>
      <x:c r="B5879" s="12" t="n">
        <x:v>41545</x:v>
      </x:c>
      <x:c r="C5879" s="18" t="n">
        <x:v>23947</x:v>
      </x:c>
      <x:c r="D5879" s="18" t="n">
        <x:v>47283</x:v>
      </x:c>
      <x:c r="E5879" s="18" t="n">
        <x:v>38.35</x:v>
      </x:c>
      <x:c r="F5879" s="18" t="n">
        <x:v>7.36</x:v>
      </x:c>
      <x:c r="G5879" t="n">
        <x:v>36</x:v>
      </x:c>
      <x:c r="H5879" t="str">
        <x:v>B</x:v>
      </x:c>
      <x:c r="I5879" t="str">
        <x:v>10+ years</x:v>
      </x:c>
      <x:c r="J5879" t="str">
        <x:v>OTHER</x:v>
      </x:c>
      <x:c r="K5879" t="str">
        <x:v>credit_card</x:v>
      </x:c>
      <x:c r="L5879" t="n">
        <x:v>1</x:v>
      </x:c>
      <x:c r="M5879" t="n">
        <x:v>0</x:v>
      </x:c>
      <x:c r="N5879" t="str">
        <x:v>Fully Paid</x:v>
      </x:c>
      <x:c r="O5879" t="str">
        <x:f>IF(D5879="","Unknown",IF(D5879&lt;25000,"&lt;$25k",IF(D5879&lt;50000,"$25k-$50k",IF(D5879&lt;75000,"$50k-$75k",IF(D5879&lt;100000,"$75k-$100k","$100k+")))))</x:f>
        <x:v>$25k-$50k</x:v>
      </x:c>
      <x:c r="P5879" t="str">
        <x:f>IF(E5879="","Unknown",IF(E5879&lt;10,"&lt;10",IF(E5879&lt;20,"10-&lt;20",IF(E5879&lt;25,"20-&lt;25",IF(E5879&lt;35,"25-&lt;35","35+")))))</x:f>
        <x:v>35+</x:v>
      </x:c>
    </x:row>
    <x:row r="5880">
      <x:c r="A5880" t="str">
        <x:v>SYN0005879</x:v>
      </x:c>
      <x:c r="B5880" s="12" t="n">
        <x:v>41725</x:v>
      </x:c>
      <x:c r="C5880" s="18" t="n">
        <x:v>12071</x:v>
      </x:c>
      <x:c r="D5880" s="18" t="n">
        <x:v>46718</x:v>
      </x:c>
      <x:c r="E5880" s="18" t="n">
        <x:v>7.97</x:v>
      </x:c>
      <x:c r="F5880" s="18" t="n">
        <x:v>12.83</x:v>
      </x:c>
      <x:c r="G5880" t="n">
        <x:v>60</x:v>
      </x:c>
      <x:c r="H5880" t="str">
        <x:v>D</x:v>
      </x:c>
      <x:c r="I5880" t="str">
        <x:v>10+ years</x:v>
      </x:c>
      <x:c r="J5880" t="str">
        <x:v>OWN</x:v>
      </x:c>
      <x:c r="K5880" t="str">
        <x:v>credit_card</x:v>
      </x:c>
      <x:c r="L5880" t="n">
        <x:v>0</x:v>
      </x:c>
      <x:c r="M5880" t="n">
        <x:v>0</x:v>
      </x:c>
      <x:c r="N5880" t="str">
        <x:v>Fully Paid</x:v>
      </x:c>
      <x:c r="O5880" t="str">
        <x:f>IF(D5880="","Unknown",IF(D5880&lt;25000,"&lt;$25k",IF(D5880&lt;50000,"$25k-$50k",IF(D5880&lt;75000,"$50k-$75k",IF(D5880&lt;100000,"$75k-$100k","$100k+")))))</x:f>
        <x:v>$25k-$50k</x:v>
      </x:c>
      <x:c r="P5880" t="str">
        <x:f>IF(E5880="","Unknown",IF(E5880&lt;10,"&lt;10",IF(E5880&lt;20,"10-&lt;20",IF(E5880&lt;25,"20-&lt;25",IF(E5880&lt;35,"25-&lt;35","35+")))))</x:f>
        <x:v>&lt;10</x:v>
      </x:c>
    </x:row>
    <x:row r="5881">
      <x:c r="A5881" t="str">
        <x:v>SYN0005880</x:v>
      </x:c>
      <x:c r="B5881" s="12" t="n">
        <x:v>42895</x:v>
      </x:c>
      <x:c r="C5881" s="18" t="n">
        <x:v>21508</x:v>
      </x:c>
      <x:c r="D5881" s="18" t="n">
        <x:v>28069</x:v>
      </x:c>
      <x:c r="E5881" s="18" t="n">
        <x:v>16.75</x:v>
      </x:c>
      <x:c r="F5881" s="18" t="n">
        <x:v>9.46</x:v>
      </x:c>
      <x:c r="G5881" t="n">
        <x:v>36</x:v>
      </x:c>
      <x:c r="H5881" t="str">
        <x:v>B</x:v>
      </x:c>
      <x:c r="I5881" t="str">
        <x:v>10+ years</x:v>
      </x:c>
      <x:c r="J5881" t="str">
        <x:v>MORTGAGE</x:v>
      </x:c>
      <x:c r="K5881" t="str">
        <x:v>debt_consolidation</x:v>
      </x:c>
      <x:c r="L5881" t="n">
        <x:v>0</x:v>
      </x:c>
      <x:c r="M5881" t="n">
        <x:v>0</x:v>
      </x:c>
      <x:c r="N5881" t="str">
        <x:v>Fully Paid</x:v>
      </x:c>
      <x:c r="O5881" t="str">
        <x:f>IF(D5881="","Unknown",IF(D5881&lt;25000,"&lt;$25k",IF(D5881&lt;50000,"$25k-$50k",IF(D5881&lt;75000,"$50k-$75k",IF(D5881&lt;100000,"$75k-$100k","$100k+")))))</x:f>
        <x:v>$25k-$50k</x:v>
      </x:c>
      <x:c r="P5881" t="str">
        <x:f>IF(E5881="","Unknown",IF(E5881&lt;10,"&lt;10",IF(E5881&lt;20,"10-&lt;20",IF(E5881&lt;25,"20-&lt;25",IF(E5881&lt;35,"25-&lt;35","35+")))))</x:f>
        <x:v>10-&lt;20</x:v>
      </x:c>
    </x:row>
    <x:row r="5882">
      <x:c r="A5882" t="str">
        <x:v>SYN0005881</x:v>
      </x:c>
      <x:c r="B5882" s="12" t="n">
        <x:v>41755</x:v>
      </x:c>
      <x:c r="C5882" s="18" t="n">
        <x:v>7927</x:v>
      </x:c>
      <x:c r="D5882" s="18" t="n">
        <x:v>101739</x:v>
      </x:c>
      <x:c r="E5882" s="18" t="n">
        <x:v>20.85</x:v>
      </x:c>
      <x:c r="F5882" s="18" t="n">
        <x:v>10.15</x:v>
      </x:c>
      <x:c r="G5882" t="n">
        <x:v>36</x:v>
      </x:c>
      <x:c r="H5882" t="str">
        <x:v>B</x:v>
      </x:c>
      <x:c r="I5882" t="str">
        <x:v>7-9 years</x:v>
      </x:c>
      <x:c r="J5882" t="str">
        <x:v>RENT</x:v>
      </x:c>
      <x:c r="K5882" t="str">
        <x:v>major_purchase</x:v>
      </x:c>
      <x:c r="L5882" t="n">
        <x:v>0</x:v>
      </x:c>
      <x:c r="M5882" t="n">
        <x:v>0</x:v>
      </x:c>
      <x:c r="N5882" t="str">
        <x:v>Fully Paid</x:v>
      </x:c>
      <x:c r="O5882" t="str">
        <x:f>IF(D5882="","Unknown",IF(D5882&lt;25000,"&lt;$25k",IF(D5882&lt;50000,"$25k-$50k",IF(D5882&lt;75000,"$50k-$75k",IF(D5882&lt;100000,"$75k-$100k","$100k+")))))</x:f>
        <x:v>$100k+</x:v>
      </x:c>
      <x:c r="P5882" t="str">
        <x:f>IF(E5882="","Unknown",IF(E5882&lt;10,"&lt;10",IF(E5882&lt;20,"10-&lt;20",IF(E5882&lt;25,"20-&lt;25",IF(E5882&lt;35,"25-&lt;35","35+")))))</x:f>
        <x:v>20-&lt;25</x:v>
      </x:c>
    </x:row>
    <x:row r="5883">
      <x:c r="A5883" t="str">
        <x:v>SYN0005882</x:v>
      </x:c>
      <x:c r="B5883" s="12" t="n">
        <x:v>43075</x:v>
      </x:c>
      <x:c r="C5883" s="18" t="n">
        <x:v>10030</x:v>
      </x:c>
      <x:c r="D5883" s="18" t="n">
        <x:v>56560</x:v>
      </x:c>
      <x:c r="E5883" s="18" t="n">
        <x:v>25.59</x:v>
      </x:c>
      <x:c r="F5883" s="18" t="n">
        <x:v>26.9</x:v>
      </x:c>
      <x:c r="G5883" t="n">
        <x:v>36</x:v>
      </x:c>
      <x:c r="H5883" t="str">
        <x:v>G</x:v>
      </x:c>
      <x:c r="I5883" t="str">
        <x:v>10+ years</x:v>
      </x:c>
      <x:c r="J5883" t="str">
        <x:v>OWN</x:v>
      </x:c>
      <x:c r="K5883" t="str">
        <x:v>debt_consolidation</x:v>
      </x:c>
      <x:c r="L5883" t="n">
        <x:v>1</x:v>
      </x:c>
      <x:c r="M5883" t="n">
        <x:v>1</x:v>
      </x:c>
      <x:c r="N5883" t="str">
        <x:v>Charged Off</x:v>
      </x:c>
      <x:c r="O5883" t="str">
        <x:f>IF(D5883="","Unknown",IF(D5883&lt;25000,"&lt;$25k",IF(D5883&lt;50000,"$25k-$50k",IF(D5883&lt;75000,"$50k-$75k",IF(D5883&lt;100000,"$75k-$100k","$100k+")))))</x:f>
        <x:v>$50k-$75k</x:v>
      </x:c>
      <x:c r="P5883" t="str">
        <x:f>IF(E5883="","Unknown",IF(E5883&lt;10,"&lt;10",IF(E5883&lt;20,"10-&lt;20",IF(E5883&lt;25,"20-&lt;25",IF(E5883&lt;35,"25-&lt;35","35+")))))</x:f>
        <x:v>25-&lt;35</x:v>
      </x:c>
    </x:row>
    <x:row r="5884">
      <x:c r="A5884" t="str">
        <x:v>SYN0005883</x:v>
      </x:c>
      <x:c r="B5884" s="12" t="n">
        <x:v>43255</x:v>
      </x:c>
      <x:c r="C5884" s="18" t="n">
        <x:v>12264</x:v>
      </x:c>
      <x:c r="D5884" s="18" t="n">
        <x:v>53453</x:v>
      </x:c>
      <x:c r="E5884" s="18" t="n">
        <x:v>47.01</x:v>
      </x:c>
      <x:c r="F5884" s="18" t="n">
        <x:v>17.89</x:v>
      </x:c>
      <x:c r="G5884" t="n">
        <x:v>36</x:v>
      </x:c>
      <x:c r="H5884" t="str">
        <x:v>E</x:v>
      </x:c>
      <x:c r="I5884" t="str">
        <x:v>4-6 years</x:v>
      </x:c>
      <x:c r="J5884" t="str">
        <x:v>MORTGAGE</x:v>
      </x:c>
      <x:c r="K5884" t="str">
        <x:v>credit_card</x:v>
      </x:c>
      <x:c r="L5884" t="n">
        <x:v>0</x:v>
      </x:c>
      <x:c r="M5884" t="n">
        <x:v>0</x:v>
      </x:c>
      <x:c r="N5884" t="str">
        <x:v>Fully Paid</x:v>
      </x:c>
      <x:c r="O5884" t="str">
        <x:f>IF(D5884="","Unknown",IF(D5884&lt;25000,"&lt;$25k",IF(D5884&lt;50000,"$25k-$50k",IF(D5884&lt;75000,"$50k-$75k",IF(D5884&lt;100000,"$75k-$100k","$100k+")))))</x:f>
        <x:v>$50k-$75k</x:v>
      </x:c>
      <x:c r="P5884" t="str">
        <x:f>IF(E5884="","Unknown",IF(E5884&lt;10,"&lt;10",IF(E5884&lt;20,"10-&lt;20",IF(E5884&lt;25,"20-&lt;25",IF(E5884&lt;35,"25-&lt;35","35+")))))</x:f>
        <x:v>35+</x:v>
      </x:c>
    </x:row>
    <x:row r="5885">
      <x:c r="A5885" t="str">
        <x:v>SYN0005884</x:v>
      </x:c>
      <x:c r="B5885" s="12" t="n">
        <x:v>42655</x:v>
      </x:c>
      <x:c r="C5885" s="18" t="n">
        <x:v>13755</x:v>
      </x:c>
      <x:c r="D5885" s="18" t="n">
        <x:v>38375</x:v>
      </x:c>
      <x:c r="E5885" s="18" t="n">
        <x:v>39.61</x:v>
      </x:c>
      <x:c r="F5885" s="18" t="n">
        <x:v>14.42</x:v>
      </x:c>
      <x:c r="G5885" t="n">
        <x:v>36</x:v>
      </x:c>
      <x:c r="H5885" t="str">
        <x:v>D</x:v>
      </x:c>
      <x:c r="I5885" t="str">
        <x:v>4-6 years</x:v>
      </x:c>
      <x:c r="J5885" t="str">
        <x:v>OWN</x:v>
      </x:c>
      <x:c r="K5885" t="str">
        <x:v>debt_consolidation</x:v>
      </x:c>
      <x:c r="L5885" t="n">
        <x:v>1</x:v>
      </x:c>
      <x:c r="M5885" t="n">
        <x:v>1</x:v>
      </x:c>
      <x:c r="N5885" t="str">
        <x:v>Charged Off</x:v>
      </x:c>
      <x:c r="O5885" t="str">
        <x:f>IF(D5885="","Unknown",IF(D5885&lt;25000,"&lt;$25k",IF(D5885&lt;50000,"$25k-$50k",IF(D5885&lt;75000,"$50k-$75k",IF(D5885&lt;100000,"$75k-$100k","$100k+")))))</x:f>
        <x:v>$25k-$50k</x:v>
      </x:c>
      <x:c r="P5885" t="str">
        <x:f>IF(E5885="","Unknown",IF(E5885&lt;10,"&lt;10",IF(E5885&lt;20,"10-&lt;20",IF(E5885&lt;25,"20-&lt;25",IF(E5885&lt;35,"25-&lt;35","35+")))))</x:f>
        <x:v>35+</x:v>
      </x:c>
    </x:row>
    <x:row r="5886">
      <x:c r="A5886" t="str">
        <x:v>SYN0005885</x:v>
      </x:c>
      <x:c r="B5886" s="12" t="n">
        <x:v>41485</x:v>
      </x:c>
      <x:c r="C5886" s="18" t="n">
        <x:v>12063</x:v>
      </x:c>
      <x:c r="D5886" s="18" t="n">
        <x:v>106842</x:v>
      </x:c>
      <x:c r="E5886" s="18" t="n">
        <x:v>0</x:v>
      </x:c>
      <x:c r="F5886" s="18" t="n">
        <x:v>10.1</x:v>
      </x:c>
      <x:c r="G5886" t="n">
        <x:v>36</x:v>
      </x:c>
      <x:c r="H5886" t="str">
        <x:v>B</x:v>
      </x:c>
      <x:c r="I5886" t="str">
        <x:v>1-3 years</x:v>
      </x:c>
      <x:c r="J5886" t="str">
        <x:v>RENT</x:v>
      </x:c>
      <x:c r="K5886" t="str">
        <x:v>credit_card</x:v>
      </x:c>
      <x:c r="L5886" t="n">
        <x:v>0</x:v>
      </x:c>
      <x:c r="M5886" t="n">
        <x:v>0</x:v>
      </x:c>
      <x:c r="N5886" t="str">
        <x:v>Fully Paid</x:v>
      </x:c>
      <x:c r="O5886" t="str">
        <x:f>IF(D5886="","Unknown",IF(D5886&lt;25000,"&lt;$25k",IF(D5886&lt;50000,"$25k-$50k",IF(D5886&lt;75000,"$50k-$75k",IF(D5886&lt;100000,"$75k-$100k","$100k+")))))</x:f>
        <x:v>$100k+</x:v>
      </x:c>
      <x:c r="P5886" t="str">
        <x:f>IF(E5886="","Unknown",IF(E5886&lt;10,"&lt;10",IF(E5886&lt;20,"10-&lt;20",IF(E5886&lt;25,"20-&lt;25",IF(E5886&lt;35,"25-&lt;35","35+")))))</x:f>
        <x:v>Unknown</x:v>
      </x:c>
    </x:row>
    <x:row r="5887">
      <x:c r="A5887" t="str">
        <x:v>SYN0005886</x:v>
      </x:c>
      <x:c r="B5887" s="12" t="n">
        <x:v>42775</x:v>
      </x:c>
      <x:c r="C5887" s="18" t="n">
        <x:v>17762</x:v>
      </x:c>
      <x:c r="D5887" s="18" t="n">
        <x:v>72064</x:v>
      </x:c>
      <x:c r="E5887" s="18" t="n">
        <x:v>17.21</x:v>
      </x:c>
      <x:c r="F5887" s="18" t="n">
        <x:v>14.85</x:v>
      </x:c>
      <x:c r="G5887" t="n">
        <x:v>36</x:v>
      </x:c>
      <x:c r="H5887" t="str">
        <x:v>D</x:v>
      </x:c>
      <x:c r="I5887" t="str">
        <x:v>10+ years</x:v>
      </x:c>
      <x:c r="J5887" t="str">
        <x:v>RENT</x:v>
      </x:c>
      <x:c r="K5887" t="str">
        <x:v>debt_consolidation</x:v>
      </x:c>
      <x:c r="L5887" t="n">
        <x:v>0</x:v>
      </x:c>
      <x:c r="M5887" t="n">
        <x:v>0</x:v>
      </x:c>
      <x:c r="N5887" t="str">
        <x:v>Fully Paid</x:v>
      </x:c>
      <x:c r="O5887" t="str">
        <x:f>IF(D5887="","Unknown",IF(D5887&lt;25000,"&lt;$25k",IF(D5887&lt;50000,"$25k-$50k",IF(D5887&lt;75000,"$50k-$75k",IF(D5887&lt;100000,"$75k-$100k","$100k+")))))</x:f>
        <x:v>$50k-$75k</x:v>
      </x:c>
      <x:c r="P5887" t="str">
        <x:f>IF(E5887="","Unknown",IF(E5887&lt;10,"&lt;10",IF(E5887&lt;20,"10-&lt;20",IF(E5887&lt;25,"20-&lt;25",IF(E5887&lt;35,"25-&lt;35","35+")))))</x:f>
        <x:v>10-&lt;20</x:v>
      </x:c>
    </x:row>
    <x:row r="5888">
      <x:c r="A5888" t="str">
        <x:v>SYN0005887</x:v>
      </x:c>
      <x:c r="B5888" s="12" t="n">
        <x:v>41755</x:v>
      </x:c>
      <x:c r="C5888" s="18" t="n">
        <x:v>19297</x:v>
      </x:c>
      <x:c r="D5888" s="18" t="n">
        <x:v>158256</x:v>
      </x:c>
      <x:c r="E5888" s="18" t="n">
        <x:v>22.34</x:v>
      </x:c>
      <x:c r="F5888" s="18" t="n">
        <x:v>14.68</x:v>
      </x:c>
      <x:c r="G5888" t="n">
        <x:v>36</x:v>
      </x:c>
      <x:c r="H5888" t="str">
        <x:v>D</x:v>
      </x:c>
      <x:c r="I5888" t="str">
        <x:v>4-6 years</x:v>
      </x:c>
      <x:c r="J5888" t="str">
        <x:v>OWN</x:v>
      </x:c>
      <x:c r="K5888" t="str">
        <x:v>major_purchase</x:v>
      </x:c>
      <x:c r="L5888" t="n">
        <x:v>1</x:v>
      </x:c>
      <x:c r="M5888" t="n">
        <x:v>1</x:v>
      </x:c>
      <x:c r="N5888" t="str">
        <x:v>Charged Off</x:v>
      </x:c>
      <x:c r="O5888" t="str">
        <x:f>IF(D5888="","Unknown",IF(D5888&lt;25000,"&lt;$25k",IF(D5888&lt;50000,"$25k-$50k",IF(D5888&lt;75000,"$50k-$75k",IF(D5888&lt;100000,"$75k-$100k","$100k+")))))</x:f>
        <x:v>$100k+</x:v>
      </x:c>
      <x:c r="P5888" t="str">
        <x:f>IF(E5888="","Unknown",IF(E5888&lt;10,"&lt;10",IF(E5888&lt;20,"10-&lt;20",IF(E5888&lt;25,"20-&lt;25",IF(E5888&lt;35,"25-&lt;35","35+")))))</x:f>
        <x:v>20-&lt;25</x:v>
      </x:c>
    </x:row>
    <x:row r="5889">
      <x:c r="A5889" t="str">
        <x:v>SYN0005888</x:v>
      </x:c>
      <x:c r="B5889" s="12" t="n">
        <x:v>42895</x:v>
      </x:c>
      <x:c r="C5889" s="18" t="n">
        <x:v>14343</x:v>
      </x:c>
      <x:c r="D5889" s="18" t="n">
        <x:v>23999</x:v>
      </x:c>
      <x:c r="E5889" s="18" t="n">
        <x:v>24.28</x:v>
      </x:c>
      <x:c r="F5889" s="18" t="n">
        <x:v>17</x:v>
      </x:c>
      <x:c r="G5889" t="n">
        <x:v>60</x:v>
      </x:c>
      <x:c r="H5889" t="str">
        <x:v>D</x:v>
      </x:c>
      <x:c r="I5889" t="str">
        <x:v>1-3 years</x:v>
      </x:c>
      <x:c r="J5889" t="str">
        <x:v>MORTGAGE</x:v>
      </x:c>
      <x:c r="K5889" t="str">
        <x:v>credit_card</x:v>
      </x:c>
      <x:c r="L5889" t="n">
        <x:v>0</x:v>
      </x:c>
      <x:c r="M5889" t="n">
        <x:v>0</x:v>
      </x:c>
      <x:c r="N5889" t="str">
        <x:v>Fully Paid</x:v>
      </x:c>
      <x:c r="O5889" t="str">
        <x:f>IF(D5889="","Unknown",IF(D5889&lt;25000,"&lt;$25k",IF(D5889&lt;50000,"$25k-$50k",IF(D5889&lt;75000,"$50k-$75k",IF(D5889&lt;100000,"$75k-$100k","$100k+")))))</x:f>
        <x:v>&lt;$25k</x:v>
      </x:c>
      <x:c r="P5889" t="str">
        <x:f>IF(E5889="","Unknown",IF(E5889&lt;10,"&lt;10",IF(E5889&lt;20,"10-&lt;20",IF(E5889&lt;25,"20-&lt;25",IF(E5889&lt;35,"25-&lt;35","35+")))))</x:f>
        <x:v>20-&lt;25</x:v>
      </x:c>
    </x:row>
    <x:row r="5890">
      <x:c r="A5890" t="str">
        <x:v>SYN0005889</x:v>
      </x:c>
      <x:c r="B5890" s="12" t="n">
        <x:v>43225</x:v>
      </x:c>
      <x:c r="C5890" s="18" t="n">
        <x:v>10158</x:v>
      </x:c>
      <x:c r="D5890" s="18" t="n">
        <x:v>29222</x:v>
      </x:c>
      <x:c r="E5890" s="18" t="n">
        <x:v>21.7</x:v>
      </x:c>
      <x:c r="F5890" s="18" t="n">
        <x:v>11.89</x:v>
      </x:c>
      <x:c r="G5890" t="n">
        <x:v>36</x:v>
      </x:c>
      <x:c r="H5890" t="str">
        <x:v>C</x:v>
      </x:c>
      <x:c r="I5890" t="str">
        <x:v>4-6 years</x:v>
      </x:c>
      <x:c r="J5890" t="str">
        <x:v>MORTGAGE</x:v>
      </x:c>
      <x:c r="K5890" t="str">
        <x:v>home_improvement</x:v>
      </x:c>
      <x:c r="L5890" t="n">
        <x:v>0</x:v>
      </x:c>
      <x:c r="M5890" t="n">
        <x:v>0</x:v>
      </x:c>
      <x:c r="N5890" t="str">
        <x:v>Fully Paid</x:v>
      </x:c>
      <x:c r="O5890" t="str">
        <x:f>IF(D5890="","Unknown",IF(D5890&lt;25000,"&lt;$25k",IF(D5890&lt;50000,"$25k-$50k",IF(D5890&lt;75000,"$50k-$75k",IF(D5890&lt;100000,"$75k-$100k","$100k+")))))</x:f>
        <x:v>$25k-$50k</x:v>
      </x:c>
      <x:c r="P5890" t="str">
        <x:f>IF(E5890="","Unknown",IF(E5890&lt;10,"&lt;10",IF(E5890&lt;20,"10-&lt;20",IF(E5890&lt;25,"20-&lt;25",IF(E5890&lt;35,"25-&lt;35","35+")))))</x:f>
        <x:v>20-&lt;25</x:v>
      </x:c>
    </x:row>
    <x:row r="5891">
      <x:c r="A5891" t="str">
        <x:v>SYN0005890</x:v>
      </x:c>
      <x:c r="B5891" s="12" t="n">
        <x:v>42565</x:v>
      </x:c>
      <x:c r="C5891" s="18" t="n">
        <x:v>10992</x:v>
      </x:c>
      <x:c r="D5891" s="18" t="n">
        <x:v>100431</x:v>
      </x:c>
      <x:c r="E5891" s="18" t="n">
        <x:v>15.57</x:v>
      </x:c>
      <x:c r="F5891" s="18" t="n">
        <x:v>8.61</x:v>
      </x:c>
      <x:c r="G5891" t="n">
        <x:v>36</x:v>
      </x:c>
      <x:c r="H5891" t="str">
        <x:v>B</x:v>
      </x:c>
      <x:c r="I5891" t="str">
        <x:v>4-6 years</x:v>
      </x:c>
      <x:c r="J5891" t="str">
        <x:v>MORTGAGE</x:v>
      </x:c>
      <x:c r="K5891" t="str">
        <x:v>major_purchase</x:v>
      </x:c>
      <x:c r="L5891" t="n">
        <x:v>0</x:v>
      </x:c>
      <x:c r="M5891" t="n">
        <x:v>0</x:v>
      </x:c>
      <x:c r="N5891" t="str">
        <x:v>Fully Paid</x:v>
      </x:c>
      <x:c r="O5891" t="str">
        <x:f>IF(D5891="","Unknown",IF(D5891&lt;25000,"&lt;$25k",IF(D5891&lt;50000,"$25k-$50k",IF(D5891&lt;75000,"$50k-$75k",IF(D5891&lt;100000,"$75k-$100k","$100k+")))))</x:f>
        <x:v>$100k+</x:v>
      </x:c>
      <x:c r="P5891" t="str">
        <x:f>IF(E5891="","Unknown",IF(E5891&lt;10,"&lt;10",IF(E5891&lt;20,"10-&lt;20",IF(E5891&lt;25,"20-&lt;25",IF(E5891&lt;35,"25-&lt;35","35+")))))</x:f>
        <x:v>10-&lt;20</x:v>
      </x:c>
    </x:row>
    <x:row r="5892">
      <x:c r="A5892" t="str">
        <x:v>SYN0005891</x:v>
      </x:c>
      <x:c r="B5892" s="12" t="n">
        <x:v>43105</x:v>
      </x:c>
      <x:c r="C5892" s="18" t="n">
        <x:v>15265</x:v>
      </x:c>
      <x:c r="D5892" s="18" t="n">
        <x:v>68964</x:v>
      </x:c>
      <x:c r="E5892" s="18" t="n">
        <x:v>22.29</x:v>
      </x:c>
      <x:c r="F5892" s="18" t="n">
        <x:v>22.11</x:v>
      </x:c>
      <x:c r="G5892" t="n">
        <x:v>36</x:v>
      </x:c>
      <x:c r="H5892" t="str">
        <x:v>E</x:v>
      </x:c>
      <x:c r="I5892" t="str">
        <x:v>10+ years</x:v>
      </x:c>
      <x:c r="J5892" t="str">
        <x:v>OWN</x:v>
      </x:c>
      <x:c r="K5892" t="str">
        <x:v>credit_card</x:v>
      </x:c>
      <x:c r="L5892" t="n">
        <x:v>1</x:v>
      </x:c>
      <x:c r="M5892" t="n">
        <x:v>0</x:v>
      </x:c>
      <x:c r="N5892" t="str">
        <x:v>Fully Paid</x:v>
      </x:c>
      <x:c r="O5892" t="str">
        <x:f>IF(D5892="","Unknown",IF(D5892&lt;25000,"&lt;$25k",IF(D5892&lt;50000,"$25k-$50k",IF(D5892&lt;75000,"$50k-$75k",IF(D5892&lt;100000,"$75k-$100k","$100k+")))))</x:f>
        <x:v>$50k-$75k</x:v>
      </x:c>
      <x:c r="P5892" t="str">
        <x:f>IF(E5892="","Unknown",IF(E5892&lt;10,"&lt;10",IF(E5892&lt;20,"10-&lt;20",IF(E5892&lt;25,"20-&lt;25",IF(E5892&lt;35,"25-&lt;35","35+")))))</x:f>
        <x:v>20-&lt;25</x:v>
      </x:c>
    </x:row>
    <x:row r="5893">
      <x:c r="A5893" t="str">
        <x:v>SYN0005892</x:v>
      </x:c>
      <x:c r="B5893" s="12" t="n">
        <x:v>41875</x:v>
      </x:c>
      <x:c r="C5893" s="18" t="n">
        <x:v>12707</x:v>
      </x:c>
      <x:c r="D5893" s="18" t="n">
        <x:v>35942</x:v>
      </x:c>
      <x:c r="E5893" s="18" t="n">
        <x:v>22.38</x:v>
      </x:c>
      <x:c r="F5893" s="18" t="n">
        <x:v>5.31</x:v>
      </x:c>
      <x:c r="G5893" t="n">
        <x:v>36</x:v>
      </x:c>
      <x:c r="H5893" t="str">
        <x:v>A</x:v>
      </x:c>
      <x:c r="I5893" t="str">
        <x:v>1-3 years</x:v>
      </x:c>
      <x:c r="J5893" t="str">
        <x:v>RENT</x:v>
      </x:c>
      <x:c r="K5893" t="str">
        <x:v>debt_consolidation</x:v>
      </x:c>
      <x:c r="L5893" t="n">
        <x:v>2</x:v>
      </x:c>
      <x:c r="M5893" t="n">
        <x:v>0</x:v>
      </x:c>
      <x:c r="N5893" t="str">
        <x:v>Fully Paid</x:v>
      </x:c>
      <x:c r="O5893" t="str">
        <x:f>IF(D5893="","Unknown",IF(D5893&lt;25000,"&lt;$25k",IF(D5893&lt;50000,"$25k-$50k",IF(D5893&lt;75000,"$50k-$75k",IF(D5893&lt;100000,"$75k-$100k","$100k+")))))</x:f>
        <x:v>$25k-$50k</x:v>
      </x:c>
      <x:c r="P5893" t="str">
        <x:f>IF(E5893="","Unknown",IF(E5893&lt;10,"&lt;10",IF(E5893&lt;20,"10-&lt;20",IF(E5893&lt;25,"20-&lt;25",IF(E5893&lt;35,"25-&lt;35","35+")))))</x:f>
        <x:v>20-&lt;25</x:v>
      </x:c>
    </x:row>
    <x:row r="5894">
      <x:c r="A5894" t="str">
        <x:v>SYN0005893</x:v>
      </x:c>
      <x:c r="B5894" s="12" t="n">
        <x:v>43105</x:v>
      </x:c>
      <x:c r="C5894" s="18" t="n">
        <x:v>5540</x:v>
      </x:c>
      <x:c r="D5894" s="18" t="n">
        <x:v>125688</x:v>
      </x:c>
      <x:c r="E5894" s="18" t="n">
        <x:v>26</x:v>
      </x:c>
      <x:c r="F5894" s="18" t="n">
        <x:v>7.32</x:v>
      </x:c>
      <x:c r="G5894" t="n">
        <x:v>60</x:v>
      </x:c>
      <x:c r="H5894" t="str">
        <x:v>B</x:v>
      </x:c>
      <x:c r="I5894" t="str">
        <x:v>7-9 years</x:v>
      </x:c>
      <x:c r="J5894" t="str">
        <x:v>RENT</x:v>
      </x:c>
      <x:c r="K5894" t="str">
        <x:v>debt_consolidation</x:v>
      </x:c>
      <x:c r="L5894" t="n">
        <x:v>0</x:v>
      </x:c>
      <x:c r="M5894" t="n">
        <x:v>0</x:v>
      </x:c>
      <x:c r="N5894" t="str">
        <x:v>Fully Paid</x:v>
      </x:c>
      <x:c r="O5894" t="str">
        <x:f>IF(D5894="","Unknown",IF(D5894&lt;25000,"&lt;$25k",IF(D5894&lt;50000,"$25k-$50k",IF(D5894&lt;75000,"$50k-$75k",IF(D5894&lt;100000,"$75k-$100k","$100k+")))))</x:f>
        <x:v>$100k+</x:v>
      </x:c>
      <x:c r="P5894" t="str">
        <x:f>IF(E5894="","Unknown",IF(E5894&lt;10,"&lt;10",IF(E5894&lt;20,"10-&lt;20",IF(E5894&lt;25,"20-&lt;25",IF(E5894&lt;35,"25-&lt;35","35+")))))</x:f>
        <x:v>25-&lt;35</x:v>
      </x:c>
    </x:row>
    <x:row r="5895">
      <x:c r="A5895" t="str">
        <x:v>SYN0005894</x:v>
      </x:c>
      <x:c r="B5895" s="12" t="n">
        <x:v>43375</x:v>
      </x:c>
      <x:c r="C5895" s="18" t="n">
        <x:v>9115</x:v>
      </x:c>
      <x:c r="D5895" s="18" t="n">
        <x:v>134150</x:v>
      </x:c>
      <x:c r="E5895" s="18" t="n">
        <x:v>20.81</x:v>
      </x:c>
      <x:c r="F5895" s="18" t="n">
        <x:v>21.12</x:v>
      </x:c>
      <x:c r="G5895" t="n">
        <x:v>36</x:v>
      </x:c>
      <x:c r="H5895" t="str">
        <x:v>F</x:v>
      </x:c>
      <x:c r="I5895" t="str">
        <x:v>7-9 years</x:v>
      </x:c>
      <x:c r="J5895" t="str">
        <x:v>OWN</x:v>
      </x:c>
      <x:c r="K5895" t="str">
        <x:v>medical</x:v>
      </x:c>
      <x:c r="L5895" t="n">
        <x:v>2</x:v>
      </x:c>
      <x:c r="M5895" t="n">
        <x:v>0</x:v>
      </x:c>
      <x:c r="N5895" t="str">
        <x:v>Fully Paid</x:v>
      </x:c>
      <x:c r="O5895" t="str">
        <x:f>IF(D5895="","Unknown",IF(D5895&lt;25000,"&lt;$25k",IF(D5895&lt;50000,"$25k-$50k",IF(D5895&lt;75000,"$50k-$75k",IF(D5895&lt;100000,"$75k-$100k","$100k+")))))</x:f>
        <x:v>$100k+</x:v>
      </x:c>
      <x:c r="P5895" t="str">
        <x:f>IF(E5895="","Unknown",IF(E5895&lt;10,"&lt;10",IF(E5895&lt;20,"10-&lt;20",IF(E5895&lt;25,"20-&lt;25",IF(E5895&lt;35,"25-&lt;35","35+")))))</x:f>
        <x:v>20-&lt;25</x:v>
      </x:c>
    </x:row>
    <x:row r="5896">
      <x:c r="A5896" t="str">
        <x:v>SYN0005895</x:v>
      </x:c>
      <x:c r="B5896" s="12" t="n">
        <x:v>42235</x:v>
      </x:c>
      <x:c r="C5896" s="18" t="n">
        <x:v>14957</x:v>
      </x:c>
      <x:c r="D5896" s="18" t="n">
        <x:v>84379</x:v>
      </x:c>
      <x:c r="E5896" s="18" t="n">
        <x:v>9.75</x:v>
      </x:c>
      <x:c r="F5896" s="18" t="n">
        <x:v>16.97</x:v>
      </x:c>
      <x:c r="G5896" t="n">
        <x:v>36</x:v>
      </x:c>
      <x:c r="H5896" t="str">
        <x:v>E</x:v>
      </x:c>
      <x:c r="I5896" t="str">
        <x:v>1-3 years</x:v>
      </x:c>
      <x:c r="J5896" t="str">
        <x:v>RENT</x:v>
      </x:c>
      <x:c r="K5896" t="str">
        <x:v>home_improvement</x:v>
      </x:c>
      <x:c r="L5896" t="n">
        <x:v>0</x:v>
      </x:c>
      <x:c r="M5896" t="n">
        <x:v>0</x:v>
      </x:c>
      <x:c r="N5896" t="str">
        <x:v>Fully Paid</x:v>
      </x:c>
      <x:c r="O5896" t="str">
        <x:f>IF(D5896="","Unknown",IF(D5896&lt;25000,"&lt;$25k",IF(D5896&lt;50000,"$25k-$50k",IF(D5896&lt;75000,"$50k-$75k",IF(D5896&lt;100000,"$75k-$100k","$100k+")))))</x:f>
        <x:v>$75k-$100k</x:v>
      </x:c>
      <x:c r="P5896" t="str">
        <x:f>IF(E5896="","Unknown",IF(E5896&lt;10,"&lt;10",IF(E5896&lt;20,"10-&lt;20",IF(E5896&lt;25,"20-&lt;25",IF(E5896&lt;35,"25-&lt;35","35+")))))</x:f>
        <x:v>&lt;10</x:v>
      </x:c>
    </x:row>
    <x:row r="5897">
      <x:c r="A5897" t="str">
        <x:v>SYN0005896</x:v>
      </x:c>
      <x:c r="B5897" s="12" t="n">
        <x:v>43225</x:v>
      </x:c>
      <x:c r="C5897" s="18" t="n">
        <x:v>12003</x:v>
      </x:c>
      <x:c r="D5897" s="18" t="n">
        <x:v>25483</x:v>
      </x:c>
      <x:c r="E5897" s="18" t="n">
        <x:v>36.85</x:v>
      </x:c>
      <x:c r="F5897" s="18" t="n">
        <x:v>19.12</x:v>
      </x:c>
      <x:c r="G5897" t="n">
        <x:v>36</x:v>
      </x:c>
      <x:c r="H5897" t="str">
        <x:v>E</x:v>
      </x:c>
      <x:c r="I5897" t="str">
        <x:v>1-3 years</x:v>
      </x:c>
      <x:c r="J5897" t="str">
        <x:v>RENT</x:v>
      </x:c>
      <x:c r="K5897" t="str">
        <x:v>debt_consolidation</x:v>
      </x:c>
      <x:c r="L5897" t="n">
        <x:v>0</x:v>
      </x:c>
      <x:c r="M5897" t="n">
        <x:v>0</x:v>
      </x:c>
      <x:c r="N5897" t="str">
        <x:v>Fully Paid</x:v>
      </x:c>
      <x:c r="O5897" t="str">
        <x:f>IF(D5897="","Unknown",IF(D5897&lt;25000,"&lt;$25k",IF(D5897&lt;50000,"$25k-$50k",IF(D5897&lt;75000,"$50k-$75k",IF(D5897&lt;100000,"$75k-$100k","$100k+")))))</x:f>
        <x:v>$25k-$50k</x:v>
      </x:c>
      <x:c r="P5897" t="str">
        <x:f>IF(E5897="","Unknown",IF(E5897&lt;10,"&lt;10",IF(E5897&lt;20,"10-&lt;20",IF(E5897&lt;25,"20-&lt;25",IF(E5897&lt;35,"25-&lt;35","35+")))))</x:f>
        <x:v>35+</x:v>
      </x:c>
    </x:row>
    <x:row r="5898">
      <x:c r="A5898" t="str">
        <x:v>SYN0005897</x:v>
      </x:c>
      <x:c r="B5898" s="12" t="n">
        <x:v>42745</x:v>
      </x:c>
      <x:c r="C5898" s="18" t="n">
        <x:v>8896</x:v>
      </x:c>
      <x:c r="D5898" s="18" t="n">
        <x:v>41681</x:v>
      </x:c>
      <x:c r="E5898" s="18" t="n">
        <x:v>2.44</x:v>
      </x:c>
      <x:c r="F5898" s="18" t="n">
        <x:v>9.01</x:v>
      </x:c>
      <x:c r="G5898" t="n">
        <x:v>36</x:v>
      </x:c>
      <x:c r="H5898" t="str">
        <x:v>B</x:v>
      </x:c>
      <x:c r="I5898" t="str">
        <x:v>1-3 years</x:v>
      </x:c>
      <x:c r="J5898" t="str">
        <x:v>MORTGAGE</x:v>
      </x:c>
      <x:c r="K5898" t="str">
        <x:v>debt_consolidation</x:v>
      </x:c>
      <x:c r="L5898" t="n">
        <x:v>0</x:v>
      </x:c>
      <x:c r="M5898" t="n">
        <x:v>0</x:v>
      </x:c>
      <x:c r="N5898" t="str">
        <x:v>Fully Paid</x:v>
      </x:c>
      <x:c r="O5898" t="str">
        <x:f>IF(D5898="","Unknown",IF(D5898&lt;25000,"&lt;$25k",IF(D5898&lt;50000,"$25k-$50k",IF(D5898&lt;75000,"$50k-$75k",IF(D5898&lt;100000,"$75k-$100k","$100k+")))))</x:f>
        <x:v>$25k-$50k</x:v>
      </x:c>
      <x:c r="P5898" t="str">
        <x:f>IF(E5898="","Unknown",IF(E5898&lt;10,"&lt;10",IF(E5898&lt;20,"10-&lt;20",IF(E5898&lt;25,"20-&lt;25",IF(E5898&lt;35,"25-&lt;35","35+")))))</x:f>
        <x:v>&lt;10</x:v>
      </x:c>
    </x:row>
    <x:row r="5899">
      <x:c r="A5899" t="str">
        <x:v>SYN0005898</x:v>
      </x:c>
      <x:c r="B5899" s="12" t="n">
        <x:v>42745</x:v>
      </x:c>
      <x:c r="C5899" s="18" t="n">
        <x:v>19055</x:v>
      </x:c>
      <x:c r="D5899" s="18" t="n">
        <x:v>98710</x:v>
      </x:c>
      <x:c r="E5899" s="18" t="n">
        <x:v>24.23</x:v>
      </x:c>
      <x:c r="F5899" s="18" t="n">
        <x:v>10.33</x:v>
      </x:c>
      <x:c r="G5899" t="n">
        <x:v>36</x:v>
      </x:c>
      <x:c r="H5899" t="str">
        <x:v>B</x:v>
      </x:c>
      <x:c r="I5899" t="str">
        <x:v>10+ years</x:v>
      </x:c>
      <x:c r="J5899" t="str">
        <x:v>MORTGAGE</x:v>
      </x:c>
      <x:c r="K5899" t="str">
        <x:v>credit_card</x:v>
      </x:c>
      <x:c r="L5899" t="n">
        <x:v>1</x:v>
      </x:c>
      <x:c r="M5899" t="n">
        <x:v>0</x:v>
      </x:c>
      <x:c r="N5899" t="str">
        <x:v>Fully Paid</x:v>
      </x:c>
      <x:c r="O5899" t="str">
        <x:f>IF(D5899="","Unknown",IF(D5899&lt;25000,"&lt;$25k",IF(D5899&lt;50000,"$25k-$50k",IF(D5899&lt;75000,"$50k-$75k",IF(D5899&lt;100000,"$75k-$100k","$100k+")))))</x:f>
        <x:v>$75k-$100k</x:v>
      </x:c>
      <x:c r="P5899" t="str">
        <x:f>IF(E5899="","Unknown",IF(E5899&lt;10,"&lt;10",IF(E5899&lt;20,"10-&lt;20",IF(E5899&lt;25,"20-&lt;25",IF(E5899&lt;35,"25-&lt;35","35+")))))</x:f>
        <x:v>20-&lt;25</x:v>
      </x:c>
    </x:row>
    <x:row r="5900">
      <x:c r="A5900" t="str">
        <x:v>SYN0005899</x:v>
      </x:c>
      <x:c r="B5900" s="12" t="n">
        <x:v>41755</x:v>
      </x:c>
      <x:c r="C5900" s="18" t="n">
        <x:v>16476</x:v>
      </x:c>
      <x:c r="D5900" s="18" t="n">
        <x:v>82184</x:v>
      </x:c>
      <x:c r="E5900" s="18" t="n">
        <x:v>34.56</x:v>
      </x:c>
      <x:c r="F5900" s="18" t="n">
        <x:v>14.28</x:v>
      </x:c>
      <x:c r="G5900" t="n">
        <x:v>60</x:v>
      </x:c>
      <x:c r="H5900" t="str">
        <x:v>D</x:v>
      </x:c>
      <x:c r="I5900" t="str">
        <x:v>1-3 years</x:v>
      </x:c>
      <x:c r="J5900" t="str">
        <x:v>MORTGAGE</x:v>
      </x:c>
      <x:c r="K5900" t="str">
        <x:v>credit_card</x:v>
      </x:c>
      <x:c r="L5900" t="n">
        <x:v>0</x:v>
      </x:c>
      <x:c r="M5900" t="n">
        <x:v>0</x:v>
      </x:c>
      <x:c r="N5900" t="str">
        <x:v>Fully Paid</x:v>
      </x:c>
      <x:c r="O5900" t="str">
        <x:f>IF(D5900="","Unknown",IF(D5900&lt;25000,"&lt;$25k",IF(D5900&lt;50000,"$25k-$50k",IF(D5900&lt;75000,"$50k-$75k",IF(D5900&lt;100000,"$75k-$100k","$100k+")))))</x:f>
        <x:v>$75k-$100k</x:v>
      </x:c>
      <x:c r="P5900" t="str">
        <x:f>IF(E5900="","Unknown",IF(E5900&lt;10,"&lt;10",IF(E5900&lt;20,"10-&lt;20",IF(E5900&lt;25,"20-&lt;25",IF(E5900&lt;35,"25-&lt;35","35+")))))</x:f>
        <x:v>25-&lt;35</x:v>
      </x:c>
    </x:row>
    <x:row r="5901">
      <x:c r="A5901" t="str">
        <x:v>SYN0005900</x:v>
      </x:c>
      <x:c r="B5901" s="12" t="n">
        <x:v>42025</x:v>
      </x:c>
      <x:c r="C5901" s="18" t="n">
        <x:v>13851</x:v>
      </x:c>
      <x:c r="D5901" s="18" t="n">
        <x:v>39048</x:v>
      </x:c>
      <x:c r="E5901" s="18" t="n">
        <x:v>10.75</x:v>
      </x:c>
      <x:c r="F5901" s="18" t="n">
        <x:v>11.06</x:v>
      </x:c>
      <x:c r="G5901" t="n">
        <x:v>60</x:v>
      </x:c>
      <x:c r="H5901" t="str">
        <x:v>C</x:v>
      </x:c>
      <x:c r="I5901" t="str">
        <x:v>4-6 years</x:v>
      </x:c>
      <x:c r="J5901" t="str">
        <x:v>MORTGAGE</x:v>
      </x:c>
      <x:c r="K5901" t="str">
        <x:v>debt_consolidation</x:v>
      </x:c>
      <x:c r="L5901" t="n">
        <x:v>1</x:v>
      </x:c>
      <x:c r="M5901" t="n">
        <x:v>0</x:v>
      </x:c>
      <x:c r="N5901" t="str">
        <x:v>Fully Paid</x:v>
      </x:c>
      <x:c r="O5901" t="str">
        <x:f>IF(D5901="","Unknown",IF(D5901&lt;25000,"&lt;$25k",IF(D5901&lt;50000,"$25k-$50k",IF(D5901&lt;75000,"$50k-$75k",IF(D5901&lt;100000,"$75k-$100k","$100k+")))))</x:f>
        <x:v>$25k-$50k</x:v>
      </x:c>
      <x:c r="P5901" t="str">
        <x:f>IF(E5901="","Unknown",IF(E5901&lt;10,"&lt;10",IF(E5901&lt;20,"10-&lt;20",IF(E5901&lt;25,"20-&lt;25",IF(E5901&lt;35,"25-&lt;35","35+")))))</x:f>
        <x:v>10-&lt;20</x:v>
      </x:c>
    </x:row>
    <x:row r="5902">
      <x:c r="A5902" t="str">
        <x:v>SYN0005901</x:v>
      </x:c>
      <x:c r="B5902" s="12" t="n">
        <x:v>43105</x:v>
      </x:c>
      <x:c r="C5902" s="18" t="n">
        <x:v>24446</x:v>
      </x:c>
      <x:c r="D5902" s="18" t="n">
        <x:v>160732</x:v>
      </x:c>
      <x:c r="E5902" s="18" t="n">
        <x:v>17.67</x:v>
      </x:c>
      <x:c r="F5902" s="18" t="n">
        <x:v>12.62</x:v>
      </x:c>
      <x:c r="G5902" t="n">
        <x:v>36</x:v>
      </x:c>
      <x:c r="H5902" t="str">
        <x:v>C</x:v>
      </x:c>
      <x:c r="I5902" t="str">
        <x:v>4-6 years</x:v>
      </x:c>
      <x:c r="J5902" t="str">
        <x:v>RENT</x:v>
      </x:c>
      <x:c r="K5902" t="str">
        <x:v>major_purchase</x:v>
      </x:c>
      <x:c r="L5902" t="n">
        <x:v>0</x:v>
      </x:c>
      <x:c r="M5902" t="n">
        <x:v>0</x:v>
      </x:c>
      <x:c r="N5902" t="str">
        <x:v>Fully Paid</x:v>
      </x:c>
      <x:c r="O5902" t="str">
        <x:f>IF(D5902="","Unknown",IF(D5902&lt;25000,"&lt;$25k",IF(D5902&lt;50000,"$25k-$50k",IF(D5902&lt;75000,"$50k-$75k",IF(D5902&lt;100000,"$75k-$100k","$100k+")))))</x:f>
        <x:v>$100k+</x:v>
      </x:c>
      <x:c r="P5902" t="str">
        <x:f>IF(E5902="","Unknown",IF(E5902&lt;10,"&lt;10",IF(E5902&lt;20,"10-&lt;20",IF(E5902&lt;25,"20-&lt;25",IF(E5902&lt;35,"25-&lt;35","35+")))))</x:f>
        <x:v>10-&lt;20</x:v>
      </x:c>
    </x:row>
    <x:row r="5903">
      <x:c r="A5903" t="str">
        <x:v>SYN0005902</x:v>
      </x:c>
      <x:c r="B5903" s="12" t="n">
        <x:v>42295</x:v>
      </x:c>
      <x:c r="C5903" s="18" t="n">
        <x:v>17331</x:v>
      </x:c>
      <x:c r="D5903" s="18" t="n">
        <x:v>35210</x:v>
      </x:c>
      <x:c r="E5903" s="18" t="n">
        <x:v>16.99</x:v>
      </x:c>
      <x:c r="F5903" s="18" t="n">
        <x:v>9.26</x:v>
      </x:c>
      <x:c r="G5903" t="n">
        <x:v>36</x:v>
      </x:c>
      <x:c r="H5903" t="str">
        <x:v>C</x:v>
      </x:c>
      <x:c r="I5903" t="str">
        <x:v>1-3 years</x:v>
      </x:c>
      <x:c r="J5903" t="str">
        <x:v>RENT</x:v>
      </x:c>
      <x:c r="K5903" t="str">
        <x:v>major_purchase</x:v>
      </x:c>
      <x:c r="L5903" t="n">
        <x:v>1</x:v>
      </x:c>
      <x:c r="M5903" t="n">
        <x:v>0</x:v>
      </x:c>
      <x:c r="N5903" t="str">
        <x:v>Fully Paid</x:v>
      </x:c>
      <x:c r="O5903" t="str">
        <x:f>IF(D5903="","Unknown",IF(D5903&lt;25000,"&lt;$25k",IF(D5903&lt;50000,"$25k-$50k",IF(D5903&lt;75000,"$50k-$75k",IF(D5903&lt;100000,"$75k-$100k","$100k+")))))</x:f>
        <x:v>$25k-$50k</x:v>
      </x:c>
      <x:c r="P5903" t="str">
        <x:f>IF(E5903="","Unknown",IF(E5903&lt;10,"&lt;10",IF(E5903&lt;20,"10-&lt;20",IF(E5903&lt;25,"20-&lt;25",IF(E5903&lt;35,"25-&lt;35","35+")))))</x:f>
        <x:v>10-&lt;20</x:v>
      </x:c>
    </x:row>
    <x:row r="5904">
      <x:c r="A5904" t="str">
        <x:v>SYN0005903</x:v>
      </x:c>
      <x:c r="B5904" s="12" t="n">
        <x:v>42325</x:v>
      </x:c>
      <x:c r="C5904" s="18" t="n">
        <x:v>3230</x:v>
      </x:c>
      <x:c r="D5904" s="18" t="n">
        <x:v>31896</x:v>
      </x:c>
      <x:c r="E5904" s="18" t="n">
        <x:v>18.66</x:v>
      </x:c>
      <x:c r="F5904" s="18" t="n">
        <x:v>10.61</x:v>
      </x:c>
      <x:c r="G5904" t="n">
        <x:v>36</x:v>
      </x:c>
      <x:c r="H5904" t="str">
        <x:v>C</x:v>
      </x:c>
      <x:c r="I5904" t="str">
        <x:v>10+ years</x:v>
      </x:c>
      <x:c r="J5904" t="str">
        <x:v>OWN</x:v>
      </x:c>
      <x:c r="K5904" t="str">
        <x:v>home_improvement</x:v>
      </x:c>
      <x:c r="L5904" t="n">
        <x:v>0</x:v>
      </x:c>
      <x:c r="M5904" t="n">
        <x:v>0</x:v>
      </x:c>
      <x:c r="N5904" t="str">
        <x:v>Fully Paid</x:v>
      </x:c>
      <x:c r="O5904" t="str">
        <x:f>IF(D5904="","Unknown",IF(D5904&lt;25000,"&lt;$25k",IF(D5904&lt;50000,"$25k-$50k",IF(D5904&lt;75000,"$50k-$75k",IF(D5904&lt;100000,"$75k-$100k","$100k+")))))</x:f>
        <x:v>$25k-$50k</x:v>
      </x:c>
      <x:c r="P5904" t="str">
        <x:f>IF(E5904="","Unknown",IF(E5904&lt;10,"&lt;10",IF(E5904&lt;20,"10-&lt;20",IF(E5904&lt;25,"20-&lt;25",IF(E5904&lt;35,"25-&lt;35","35+")))))</x:f>
        <x:v>10-&lt;20</x:v>
      </x:c>
    </x:row>
    <x:row r="5905">
      <x:c r="A5905" t="str">
        <x:v>SYN0005904</x:v>
      </x:c>
      <x:c r="B5905" s="12" t="n">
        <x:v>41965</x:v>
      </x:c>
      <x:c r="C5905" s="18" t="n">
        <x:v>18408</x:v>
      </x:c>
      <x:c r="D5905" s="18" t="n">
        <x:v>61193</x:v>
      </x:c>
      <x:c r="E5905" s="18" t="n">
        <x:v>5.96</x:v>
      </x:c>
      <x:c r="F5905" s="18" t="n">
        <x:v>15.9</x:v>
      </x:c>
      <x:c r="G5905" t="n">
        <x:v>36</x:v>
      </x:c>
      <x:c r="H5905" t="str">
        <x:v>D</x:v>
      </x:c>
      <x:c r="I5905" t="str">
        <x:v>1-3 years</x:v>
      </x:c>
      <x:c r="J5905" t="str">
        <x:v>RENT</x:v>
      </x:c>
      <x:c r="K5905" t="str">
        <x:v>home_improvement</x:v>
      </x:c>
      <x:c r="L5905" t="n">
        <x:v>2</x:v>
      </x:c>
      <x:c r="M5905" t="n">
        <x:v>0</x:v>
      </x:c>
      <x:c r="N5905" t="str">
        <x:v>Fully Paid</x:v>
      </x:c>
      <x:c r="O5905" t="str">
        <x:f>IF(D5905="","Unknown",IF(D5905&lt;25000,"&lt;$25k",IF(D5905&lt;50000,"$25k-$50k",IF(D5905&lt;75000,"$50k-$75k",IF(D5905&lt;100000,"$75k-$100k","$100k+")))))</x:f>
        <x:v>$50k-$75k</x:v>
      </x:c>
      <x:c r="P5905" t="str">
        <x:f>IF(E5905="","Unknown",IF(E5905&lt;10,"&lt;10",IF(E5905&lt;20,"10-&lt;20",IF(E5905&lt;25,"20-&lt;25",IF(E5905&lt;35,"25-&lt;35","35+")))))</x:f>
        <x:v>&lt;10</x:v>
      </x:c>
    </x:row>
    <x:row r="5906">
      <x:c r="A5906" t="str">
        <x:v>SYN0005905</x:v>
      </x:c>
      <x:c r="B5906" s="12" t="n">
        <x:v>42925</x:v>
      </x:c>
      <x:c r="C5906" s="18" t="n">
        <x:v>14370</x:v>
      </x:c>
      <x:c r="D5906" s="18" t="n">
        <x:v>198028</x:v>
      </x:c>
      <x:c r="E5906" s="18" t="n">
        <x:v>20.32</x:v>
      </x:c>
      <x:c r="F5906" s="18" t="n">
        <x:v>7.97</x:v>
      </x:c>
      <x:c r="G5906" t="n">
        <x:v>60</x:v>
      </x:c>
      <x:c r="H5906" t="str">
        <x:v>A</x:v>
      </x:c>
      <x:c r="I5906" t="str">
        <x:v>1-3 years</x:v>
      </x:c>
      <x:c r="J5906" t="str">
        <x:v>RENT</x:v>
      </x:c>
      <x:c r="K5906" t="str">
        <x:v>debt_consolidation</x:v>
      </x:c>
      <x:c r="L5906" t="n">
        <x:v>0</x:v>
      </x:c>
      <x:c r="M5906" t="n">
        <x:v>0</x:v>
      </x:c>
      <x:c r="N5906" t="str">
        <x:v>Fully Paid</x:v>
      </x:c>
      <x:c r="O5906" t="str">
        <x:f>IF(D5906="","Unknown",IF(D5906&lt;25000,"&lt;$25k",IF(D5906&lt;50000,"$25k-$50k",IF(D5906&lt;75000,"$50k-$75k",IF(D5906&lt;100000,"$75k-$100k","$100k+")))))</x:f>
        <x:v>$100k+</x:v>
      </x:c>
      <x:c r="P5906" t="str">
        <x:f>IF(E5906="","Unknown",IF(E5906&lt;10,"&lt;10",IF(E5906&lt;20,"10-&lt;20",IF(E5906&lt;25,"20-&lt;25",IF(E5906&lt;35,"25-&lt;35","35+")))))</x:f>
        <x:v>20-&lt;25</x:v>
      </x:c>
    </x:row>
    <x:row r="5907">
      <x:c r="A5907" t="str">
        <x:v>SYN0005906</x:v>
      </x:c>
      <x:c r="B5907" s="12" t="n">
        <x:v>42535</x:v>
      </x:c>
      <x:c r="C5907" s="18" t="n">
        <x:v>4258</x:v>
      </x:c>
      <x:c r="D5907" s="18" t="n">
        <x:v>30387</x:v>
      </x:c>
      <x:c r="E5907" s="18" t="n">
        <x:v>17.18</x:v>
      </x:c>
      <x:c r="F5907" s="18" t="n">
        <x:v>17.88</x:v>
      </x:c>
      <x:c r="G5907" t="n">
        <x:v>60</x:v>
      </x:c>
      <x:c r="H5907" t="str">
        <x:v>E</x:v>
      </x:c>
      <x:c r="I5907" t="str">
        <x:v>10+ years</x:v>
      </x:c>
      <x:c r="J5907" t="str">
        <x:v>RENT</x:v>
      </x:c>
      <x:c r="K5907" t="str">
        <x:v>debt_consolidation</x:v>
      </x:c>
      <x:c r="L5907" t="n">
        <x:v>0</x:v>
      </x:c>
      <x:c r="M5907" t="n">
        <x:v>0</x:v>
      </x:c>
      <x:c r="N5907" t="str">
        <x:v>Fully Paid</x:v>
      </x:c>
      <x:c r="O5907" t="str">
        <x:f>IF(D5907="","Unknown",IF(D5907&lt;25000,"&lt;$25k",IF(D5907&lt;50000,"$25k-$50k",IF(D5907&lt;75000,"$50k-$75k",IF(D5907&lt;100000,"$75k-$100k","$100k+")))))</x:f>
        <x:v>$25k-$50k</x:v>
      </x:c>
      <x:c r="P5907" t="str">
        <x:f>IF(E5907="","Unknown",IF(E5907&lt;10,"&lt;10",IF(E5907&lt;20,"10-&lt;20",IF(E5907&lt;25,"20-&lt;25",IF(E5907&lt;35,"25-&lt;35","35+")))))</x:f>
        <x:v>10-&lt;20</x:v>
      </x:c>
    </x:row>
    <x:row r="5908">
      <x:c r="A5908" t="str">
        <x:v>SYN0005907</x:v>
      </x:c>
      <x:c r="B5908" s="12" t="n">
        <x:v>42475</x:v>
      </x:c>
      <x:c r="C5908" s="18" t="n">
        <x:v>27166</x:v>
      </x:c>
      <x:c r="D5908" s="18" t="n">
        <x:v>28913</x:v>
      </x:c>
      <x:c r="E5908" s="18" t="n">
        <x:v>22.03</x:v>
      </x:c>
      <x:c r="F5908" s="18" t="n">
        <x:v>17.69</x:v>
      </x:c>
      <x:c r="G5908" t="n">
        <x:v>60</x:v>
      </x:c>
      <x:c r="H5908" t="str">
        <x:v>E</x:v>
      </x:c>
      <x:c r="I5908" t="str">
        <x:v>4-6 years</x:v>
      </x:c>
      <x:c r="J5908" t="str">
        <x:v>MORTGAGE</x:v>
      </x:c>
      <x:c r="K5908" t="str">
        <x:v>debt_consolidation</x:v>
      </x:c>
      <x:c r="L5908" t="n">
        <x:v>3</x:v>
      </x:c>
      <x:c r="M5908" t="n">
        <x:v>1</x:v>
      </x:c>
      <x:c r="N5908" t="str">
        <x:v>Charged Off</x:v>
      </x:c>
      <x:c r="O5908" t="str">
        <x:f>IF(D5908="","Unknown",IF(D5908&lt;25000,"&lt;$25k",IF(D5908&lt;50000,"$25k-$50k",IF(D5908&lt;75000,"$50k-$75k",IF(D5908&lt;100000,"$75k-$100k","$100k+")))))</x:f>
        <x:v>$25k-$50k</x:v>
      </x:c>
      <x:c r="P5908" t="str">
        <x:f>IF(E5908="","Unknown",IF(E5908&lt;10,"&lt;10",IF(E5908&lt;20,"10-&lt;20",IF(E5908&lt;25,"20-&lt;25",IF(E5908&lt;35,"25-&lt;35","35+")))))</x:f>
        <x:v>20-&lt;25</x:v>
      </x:c>
    </x:row>
    <x:row r="5909">
      <x:c r="A5909" t="str">
        <x:v>SYN0005908</x:v>
      </x:c>
      <x:c r="B5909" s="12" t="n">
        <x:v>42475</x:v>
      </x:c>
      <x:c r="C5909" s="18" t="n">
        <x:v>19944</x:v>
      </x:c>
      <x:c r="D5909" s="18" t="n">
        <x:v>30056</x:v>
      </x:c>
      <x:c r="E5909" s="18" t="n">
        <x:v>27.18</x:v>
      </x:c>
      <x:c r="F5909" s="18" t="n">
        <x:v>18.35</x:v>
      </x:c>
      <x:c r="G5909" t="n">
        <x:v>60</x:v>
      </x:c>
      <x:c r="H5909" t="str">
        <x:v>D</x:v>
      </x:c>
      <x:c r="I5909" t="str">
        <x:v>4-6 years</x:v>
      </x:c>
      <x:c r="J5909" t="str">
        <x:v>RENT</x:v>
      </x:c>
      <x:c r="K5909" t="str">
        <x:v>home_improvement</x:v>
      </x:c>
      <x:c r="L5909" t="n">
        <x:v>0</x:v>
      </x:c>
      <x:c r="M5909" t="n">
        <x:v>0</x:v>
      </x:c>
      <x:c r="N5909" t="str">
        <x:v>Fully Paid</x:v>
      </x:c>
      <x:c r="O5909" t="str">
        <x:f>IF(D5909="","Unknown",IF(D5909&lt;25000,"&lt;$25k",IF(D5909&lt;50000,"$25k-$50k",IF(D5909&lt;75000,"$50k-$75k",IF(D5909&lt;100000,"$75k-$100k","$100k+")))))</x:f>
        <x:v>$25k-$50k</x:v>
      </x:c>
      <x:c r="P5909" t="str">
        <x:f>IF(E5909="","Unknown",IF(E5909&lt;10,"&lt;10",IF(E5909&lt;20,"10-&lt;20",IF(E5909&lt;25,"20-&lt;25",IF(E5909&lt;35,"25-&lt;35","35+")))))</x:f>
        <x:v>25-&lt;35</x:v>
      </x:c>
    </x:row>
    <x:row r="5910">
      <x:c r="A5910" t="str">
        <x:v>SYN0005909</x:v>
      </x:c>
      <x:c r="B5910" s="12" t="n">
        <x:v>41575</x:v>
      </x:c>
      <x:c r="C5910" s="18" t="n">
        <x:v>20788</x:v>
      </x:c>
      <x:c r="D5910" s="18" t="n">
        <x:v>129007</x:v>
      </x:c>
      <x:c r="E5910" s="18" t="n">
        <x:v>25.65</x:v>
      </x:c>
      <x:c r="F5910" s="18" t="n">
        <x:v>20.01</x:v>
      </x:c>
      <x:c r="G5910" t="n">
        <x:v>36</x:v>
      </x:c>
      <x:c r="H5910" t="str">
        <x:v>F</x:v>
      </x:c>
      <x:c r="I5910" t="str">
        <x:v>7-9 years</x:v>
      </x:c>
      <x:c r="J5910" t="str">
        <x:v>MORTGAGE</x:v>
      </x:c>
      <x:c r="K5910" t="str">
        <x:v>debt_consolidation</x:v>
      </x:c>
      <x:c r="L5910" t="n">
        <x:v>0</x:v>
      </x:c>
      <x:c r="M5910" t="n">
        <x:v>0</x:v>
      </x:c>
      <x:c r="N5910" t="str">
        <x:v>Fully Paid</x:v>
      </x:c>
      <x:c r="O5910" t="str">
        <x:f>IF(D5910="","Unknown",IF(D5910&lt;25000,"&lt;$25k",IF(D5910&lt;50000,"$25k-$50k",IF(D5910&lt;75000,"$50k-$75k",IF(D5910&lt;100000,"$75k-$100k","$100k+")))))</x:f>
        <x:v>$100k+</x:v>
      </x:c>
      <x:c r="P5910" t="str">
        <x:f>IF(E5910="","Unknown",IF(E5910&lt;10,"&lt;10",IF(E5910&lt;20,"10-&lt;20",IF(E5910&lt;25,"20-&lt;25",IF(E5910&lt;35,"25-&lt;35","35+")))))</x:f>
        <x:v>25-&lt;35</x:v>
      </x:c>
    </x:row>
    <x:row r="5911">
      <x:c r="A5911" t="str">
        <x:v>SYN0005910</x:v>
      </x:c>
      <x:c r="B5911" s="12" t="n">
        <x:v>42295</x:v>
      </x:c>
      <x:c r="C5911" s="18" t="n">
        <x:v>4419</x:v>
      </x:c>
      <x:c r="D5911" s="18" t="n">
        <x:v>158753</x:v>
      </x:c>
      <x:c r="E5911" s="18" t="n">
        <x:v>24.44</x:v>
      </x:c>
      <x:c r="F5911" s="18" t="n">
        <x:v>18.97</x:v>
      </x:c>
      <x:c r="G5911" t="n">
        <x:v>60</x:v>
      </x:c>
      <x:c r="H5911" t="str">
        <x:v>E</x:v>
      </x:c>
      <x:c r="I5911" t="str">
        <x:v>1-3 years</x:v>
      </x:c>
      <x:c r="J5911" t="str">
        <x:v>MORTGAGE</x:v>
      </x:c>
      <x:c r="K5911" t="str">
        <x:v>home_improvement</x:v>
      </x:c>
      <x:c r="L5911" t="n">
        <x:v>0</x:v>
      </x:c>
      <x:c r="M5911" t="n">
        <x:v>0</x:v>
      </x:c>
      <x:c r="N5911" t="str">
        <x:v>Fully Paid</x:v>
      </x:c>
      <x:c r="O5911" t="str">
        <x:f>IF(D5911="","Unknown",IF(D5911&lt;25000,"&lt;$25k",IF(D5911&lt;50000,"$25k-$50k",IF(D5911&lt;75000,"$50k-$75k",IF(D5911&lt;100000,"$75k-$100k","$100k+")))))</x:f>
        <x:v>$100k+</x:v>
      </x:c>
      <x:c r="P5911" t="str">
        <x:f>IF(E5911="","Unknown",IF(E5911&lt;10,"&lt;10",IF(E5911&lt;20,"10-&lt;20",IF(E5911&lt;25,"20-&lt;25",IF(E5911&lt;35,"25-&lt;35","35+")))))</x:f>
        <x:v>20-&lt;25</x:v>
      </x:c>
    </x:row>
    <x:row r="5912">
      <x:c r="A5912" t="str">
        <x:v>SYN0005911</x:v>
      </x:c>
      <x:c r="B5912" s="12" t="n">
        <x:v>42415</x:v>
      </x:c>
      <x:c r="C5912" s="18" t="n">
        <x:v>7520</x:v>
      </x:c>
      <x:c r="D5912" s="18" t="n">
        <x:v>250000</x:v>
      </x:c>
      <x:c r="E5912" s="18" t="n">
        <x:v>15.51</x:v>
      </x:c>
      <x:c r="F5912" s="18" t="n">
        <x:v>15.76</x:v>
      </x:c>
      <x:c r="G5912" t="n">
        <x:v>36</x:v>
      </x:c>
      <x:c r="H5912" t="str">
        <x:v>D</x:v>
      </x:c>
      <x:c r="I5912" t="str">
        <x:v>4-6 years</x:v>
      </x:c>
      <x:c r="J5912" t="str">
        <x:v>MORTGAGE</x:v>
      </x:c>
      <x:c r="K5912" t="str">
        <x:v>home_improvement</x:v>
      </x:c>
      <x:c r="L5912" t="n">
        <x:v>1</x:v>
      </x:c>
      <x:c r="M5912" t="n">
        <x:v>0</x:v>
      </x:c>
      <x:c r="N5912" t="str">
        <x:v>Fully Paid</x:v>
      </x:c>
      <x:c r="O5912" t="str">
        <x:f>IF(D5912="","Unknown",IF(D5912&lt;25000,"&lt;$25k",IF(D5912&lt;50000,"$25k-$50k",IF(D5912&lt;75000,"$50k-$75k",IF(D5912&lt;100000,"$75k-$100k","$100k+")))))</x:f>
        <x:v>$100k+</x:v>
      </x:c>
      <x:c r="P5912" t="str">
        <x:f>IF(E5912="","Unknown",IF(E5912&lt;10,"&lt;10",IF(E5912&lt;20,"10-&lt;20",IF(E5912&lt;25,"20-&lt;25",IF(E5912&lt;35,"25-&lt;35","35+")))))</x:f>
        <x:v>10-&lt;20</x:v>
      </x:c>
    </x:row>
    <x:row r="5913">
      <x:c r="A5913" t="str">
        <x:v>SYN0005912</x:v>
      </x:c>
      <x:c r="B5913" s="12" t="n">
        <x:v>41425</x:v>
      </x:c>
      <x:c r="C5913" s="18" t="n">
        <x:v>11549</x:v>
      </x:c>
      <x:c r="D5913" s="18" t="n">
        <x:v>22776</x:v>
      </x:c>
      <x:c r="E5913" s="18" t="n">
        <x:v>20.68</x:v>
      </x:c>
      <x:c r="F5913" s="18" t="n">
        <x:v>16.61</x:v>
      </x:c>
      <x:c r="G5913" t="n">
        <x:v>36</x:v>
      </x:c>
      <x:c r="H5913" t="str">
        <x:v>E</x:v>
      </x:c>
      <x:c r="I5913" t="str">
        <x:v>&lt;1 year</x:v>
      </x:c>
      <x:c r="J5913" t="str">
        <x:v>RENT</x:v>
      </x:c>
      <x:c r="K5913" t="str">
        <x:v>debt_consolidation</x:v>
      </x:c>
      <x:c r="L5913" t="n">
        <x:v>1</x:v>
      </x:c>
      <x:c r="M5913" t="n">
        <x:v>0</x:v>
      </x:c>
      <x:c r="N5913" t="str">
        <x:v>Fully Paid</x:v>
      </x:c>
      <x:c r="O5913" t="str">
        <x:f>IF(D5913="","Unknown",IF(D5913&lt;25000,"&lt;$25k",IF(D5913&lt;50000,"$25k-$50k",IF(D5913&lt;75000,"$50k-$75k",IF(D5913&lt;100000,"$75k-$100k","$100k+")))))</x:f>
        <x:v>&lt;$25k</x:v>
      </x:c>
      <x:c r="P5913" t="str">
        <x:f>IF(E5913="","Unknown",IF(E5913&lt;10,"&lt;10",IF(E5913&lt;20,"10-&lt;20",IF(E5913&lt;25,"20-&lt;25",IF(E5913&lt;35,"25-&lt;35","35+")))))</x:f>
        <x:v>20-&lt;25</x:v>
      </x:c>
    </x:row>
    <x:row r="5914">
      <x:c r="A5914" t="str">
        <x:v>SYN0005913</x:v>
      </x:c>
      <x:c r="B5914" s="12" t="n">
        <x:v>43285</x:v>
      </x:c>
      <x:c r="C5914" s="18" t="n">
        <x:v>8745</x:v>
      </x:c>
      <x:c r="D5914" s="18" t="n">
        <x:v>41019</x:v>
      </x:c>
      <x:c r="E5914" s="18" t="n">
        <x:v>20.7</x:v>
      </x:c>
      <x:c r="F5914" s="18" t="n">
        <x:v>21.47</x:v>
      </x:c>
      <x:c r="G5914" t="n">
        <x:v>36</x:v>
      </x:c>
      <x:c r="H5914" t="str">
        <x:v>F</x:v>
      </x:c>
      <x:c r="I5914" t="str">
        <x:v>4-6 years</x:v>
      </x:c>
      <x:c r="J5914" t="str">
        <x:v>RENT</x:v>
      </x:c>
      <x:c r="K5914" t="str">
        <x:v>debt_consolidation</x:v>
      </x:c>
      <x:c r="L5914" t="n">
        <x:v>1</x:v>
      </x:c>
      <x:c r="M5914" t="n">
        <x:v>1</x:v>
      </x:c>
      <x:c r="N5914" t="str">
        <x:v>Charged Off</x:v>
      </x:c>
      <x:c r="O5914" t="str">
        <x:f>IF(D5914="","Unknown",IF(D5914&lt;25000,"&lt;$25k",IF(D5914&lt;50000,"$25k-$50k",IF(D5914&lt;75000,"$50k-$75k",IF(D5914&lt;100000,"$75k-$100k","$100k+")))))</x:f>
        <x:v>$25k-$50k</x:v>
      </x:c>
      <x:c r="P5914" t="str">
        <x:f>IF(E5914="","Unknown",IF(E5914&lt;10,"&lt;10",IF(E5914&lt;20,"10-&lt;20",IF(E5914&lt;25,"20-&lt;25",IF(E5914&lt;35,"25-&lt;35","35+")))))</x:f>
        <x:v>20-&lt;25</x:v>
      </x:c>
    </x:row>
    <x:row r="5915">
      <x:c r="A5915" t="str">
        <x:v>SYN0005914</x:v>
      </x:c>
      <x:c r="B5915" s="12" t="n">
        <x:v>41455</x:v>
      </x:c>
      <x:c r="C5915" s="18" t="n">
        <x:v>16149</x:v>
      </x:c>
      <x:c r="D5915" s="18" t="n">
        <x:v>59264</x:v>
      </x:c>
      <x:c r="E5915" s="18" t="n">
        <x:v>13.77</x:v>
      </x:c>
      <x:c r="F5915" s="18" t="n">
        <x:v>5.75</x:v>
      </x:c>
      <x:c r="G5915" t="n">
        <x:v>36</x:v>
      </x:c>
      <x:c r="H5915" t="str">
        <x:v>A</x:v>
      </x:c>
      <x:c r="I5915" t="str">
        <x:v>1-3 years</x:v>
      </x:c>
      <x:c r="J5915" t="str">
        <x:v>RENT</x:v>
      </x:c>
      <x:c r="K5915" t="str">
        <x:v>debt_consolidation</x:v>
      </x:c>
      <x:c r="L5915" t="n">
        <x:v>0</x:v>
      </x:c>
      <x:c r="M5915" t="n">
        <x:v>0</x:v>
      </x:c>
      <x:c r="N5915" t="str">
        <x:v>Fully Paid</x:v>
      </x:c>
      <x:c r="O5915" t="str">
        <x:f>IF(D5915="","Unknown",IF(D5915&lt;25000,"&lt;$25k",IF(D5915&lt;50000,"$25k-$50k",IF(D5915&lt;75000,"$50k-$75k",IF(D5915&lt;100000,"$75k-$100k","$100k+")))))</x:f>
        <x:v>$50k-$75k</x:v>
      </x:c>
      <x:c r="P5915" t="str">
        <x:f>IF(E5915="","Unknown",IF(E5915&lt;10,"&lt;10",IF(E5915&lt;20,"10-&lt;20",IF(E5915&lt;25,"20-&lt;25",IF(E5915&lt;35,"25-&lt;35","35+")))))</x:f>
        <x:v>10-&lt;20</x:v>
      </x:c>
    </x:row>
    <x:row r="5916">
      <x:c r="A5916" t="str">
        <x:v>SYN0005915</x:v>
      </x:c>
      <x:c r="B5916" s="12" t="n">
        <x:v>42205</x:v>
      </x:c>
      <x:c r="C5916" s="18" t="n">
        <x:v>11710</x:v>
      </x:c>
      <x:c r="D5916" s="18" t="n">
        <x:v>88699</x:v>
      </x:c>
      <x:c r="E5916" s="18" t="n">
        <x:v>21.05</x:v>
      </x:c>
      <x:c r="F5916" s="18" t="n">
        <x:v>7.93</x:v>
      </x:c>
      <x:c r="G5916" t="n">
        <x:v>36</x:v>
      </x:c>
      <x:c r="H5916" t="str">
        <x:v>B</x:v>
      </x:c>
      <x:c r="I5916" t="str">
        <x:v>4-6 years</x:v>
      </x:c>
      <x:c r="J5916" t="str">
        <x:v>RENT</x:v>
      </x:c>
      <x:c r="K5916" t="str">
        <x:v>other</x:v>
      </x:c>
      <x:c r="L5916" t="n">
        <x:v>0</x:v>
      </x:c>
      <x:c r="M5916" t="n">
        <x:v>0</x:v>
      </x:c>
      <x:c r="N5916" t="str">
        <x:v>Fully Paid</x:v>
      </x:c>
      <x:c r="O5916" t="str">
        <x:f>IF(D5916="","Unknown",IF(D5916&lt;25000,"&lt;$25k",IF(D5916&lt;50000,"$25k-$50k",IF(D5916&lt;75000,"$50k-$75k",IF(D5916&lt;100000,"$75k-$100k","$100k+")))))</x:f>
        <x:v>$75k-$100k</x:v>
      </x:c>
      <x:c r="P5916" t="str">
        <x:f>IF(E5916="","Unknown",IF(E5916&lt;10,"&lt;10",IF(E5916&lt;20,"10-&lt;20",IF(E5916&lt;25,"20-&lt;25",IF(E5916&lt;35,"25-&lt;35","35+")))))</x:f>
        <x:v>20-&lt;25</x:v>
      </x:c>
    </x:row>
    <x:row r="5917">
      <x:c r="A5917" t="str">
        <x:v>SYN0005916</x:v>
      </x:c>
      <x:c r="B5917" s="12" t="n">
        <x:v>43255</x:v>
      </x:c>
      <x:c r="C5917" s="18" t="n">
        <x:v>9006</x:v>
      </x:c>
      <x:c r="D5917" s="18" t="n">
        <x:v>13492</x:v>
      </x:c>
      <x:c r="E5917" s="18" t="n">
        <x:v>0</x:v>
      </x:c>
      <x:c r="F5917" s="18" t="n">
        <x:v>5.33</x:v>
      </x:c>
      <x:c r="G5917" t="n">
        <x:v>36</x:v>
      </x:c>
      <x:c r="H5917" t="str">
        <x:v>A</x:v>
      </x:c>
      <x:c r="I5917" t="str">
        <x:v>10+ years</x:v>
      </x:c>
      <x:c r="J5917" t="str">
        <x:v>MORTGAGE</x:v>
      </x:c>
      <x:c r="K5917" t="str">
        <x:v>debt_consolidation</x:v>
      </x:c>
      <x:c r="L5917" t="n">
        <x:v>0</x:v>
      </x:c>
      <x:c r="M5917" t="n">
        <x:v>0</x:v>
      </x:c>
      <x:c r="N5917" t="str">
        <x:v>Fully Paid</x:v>
      </x:c>
      <x:c r="O5917" t="str">
        <x:f>IF(D5917="","Unknown",IF(D5917&lt;25000,"&lt;$25k",IF(D5917&lt;50000,"$25k-$50k",IF(D5917&lt;75000,"$50k-$75k",IF(D5917&lt;100000,"$75k-$100k","$100k+")))))</x:f>
        <x:v>&lt;$25k</x:v>
      </x:c>
      <x:c r="P5917" t="str">
        <x:f>IF(E5917="","Unknown",IF(E5917&lt;10,"&lt;10",IF(E5917&lt;20,"10-&lt;20",IF(E5917&lt;25,"20-&lt;25",IF(E5917&lt;35,"25-&lt;35","35+")))))</x:f>
        <x:v>Unknown</x:v>
      </x:c>
    </x:row>
    <x:row r="5918">
      <x:c r="A5918" t="str">
        <x:v>SYN0005917</x:v>
      </x:c>
      <x:c r="B5918" s="12" t="n">
        <x:v>43105</x:v>
      </x:c>
      <x:c r="C5918" s="18" t="n">
        <x:v>12102</x:v>
      </x:c>
      <x:c r="D5918" s="18" t="n">
        <x:v>48778</x:v>
      </x:c>
      <x:c r="E5918" s="18" t="n">
        <x:v>17.26</x:v>
      </x:c>
      <x:c r="F5918" s="18" t="n">
        <x:v>5</x:v>
      </x:c>
      <x:c r="G5918" t="n">
        <x:v>36</x:v>
      </x:c>
      <x:c r="H5918" t="str">
        <x:v>A</x:v>
      </x:c>
      <x:c r="I5918" t="str">
        <x:v>1-3 years</x:v>
      </x:c>
      <x:c r="J5918" t="str">
        <x:v>RENT</x:v>
      </x:c>
      <x:c r="K5918" t="str">
        <x:v>credit_card</x:v>
      </x:c>
      <x:c r="L5918" t="n">
        <x:v>0</x:v>
      </x:c>
      <x:c r="M5918" t="n">
        <x:v>0</x:v>
      </x:c>
      <x:c r="N5918" t="str">
        <x:v>Fully Paid</x:v>
      </x:c>
      <x:c r="O5918" t="str">
        <x:f>IF(D5918="","Unknown",IF(D5918&lt;25000,"&lt;$25k",IF(D5918&lt;50000,"$25k-$50k",IF(D5918&lt;75000,"$50k-$75k",IF(D5918&lt;100000,"$75k-$100k","$100k+")))))</x:f>
        <x:v>$25k-$50k</x:v>
      </x:c>
      <x:c r="P5918" t="str">
        <x:f>IF(E5918="","Unknown",IF(E5918&lt;10,"&lt;10",IF(E5918&lt;20,"10-&lt;20",IF(E5918&lt;25,"20-&lt;25",IF(E5918&lt;35,"25-&lt;35","35+")))))</x:f>
        <x:v>10-&lt;20</x:v>
      </x:c>
    </x:row>
    <x:row r="5919">
      <x:c r="A5919" t="str">
        <x:v>SYN0005918</x:v>
      </x:c>
      <x:c r="B5919" s="12" t="n">
        <x:v>42265</x:v>
      </x:c>
      <x:c r="C5919" s="18" t="n">
        <x:v>13505</x:v>
      </x:c>
      <x:c r="D5919" s="18" t="n">
        <x:v>62898</x:v>
      </x:c>
      <x:c r="E5919" s="18" t="n">
        <x:v>24.28</x:v>
      </x:c>
      <x:c r="F5919" s="18" t="n">
        <x:v>9.15</x:v>
      </x:c>
      <x:c r="G5919" t="n">
        <x:v>36</x:v>
      </x:c>
      <x:c r="H5919" t="str">
        <x:v>C</x:v>
      </x:c>
      <x:c r="I5919" t="str">
        <x:v>10+ years</x:v>
      </x:c>
      <x:c r="J5919" t="str">
        <x:v>RENT</x:v>
      </x:c>
      <x:c r="K5919" t="str">
        <x:v>debt_consolidation</x:v>
      </x:c>
      <x:c r="L5919" t="n">
        <x:v>2</x:v>
      </x:c>
      <x:c r="M5919" t="n">
        <x:v>1</x:v>
      </x:c>
      <x:c r="N5919" t="str">
        <x:v>Charged Off</x:v>
      </x:c>
      <x:c r="O5919" t="str">
        <x:f>IF(D5919="","Unknown",IF(D5919&lt;25000,"&lt;$25k",IF(D5919&lt;50000,"$25k-$50k",IF(D5919&lt;75000,"$50k-$75k",IF(D5919&lt;100000,"$75k-$100k","$100k+")))))</x:f>
        <x:v>$50k-$75k</x:v>
      </x:c>
      <x:c r="P5919" t="str">
        <x:f>IF(E5919="","Unknown",IF(E5919&lt;10,"&lt;10",IF(E5919&lt;20,"10-&lt;20",IF(E5919&lt;25,"20-&lt;25",IF(E5919&lt;35,"25-&lt;35","35+")))))</x:f>
        <x:v>20-&lt;25</x:v>
      </x:c>
    </x:row>
    <x:row r="5920">
      <x:c r="A5920" t="str">
        <x:v>SYN0005919</x:v>
      </x:c>
      <x:c r="B5920" s="12" t="n">
        <x:v>41665</x:v>
      </x:c>
      <x:c r="C5920" s="18" t="n">
        <x:v>10068</x:v>
      </x:c>
      <x:c r="D5920" s="18" t="n">
        <x:v>43874</x:v>
      </x:c>
      <x:c r="E5920" s="18" t="n">
        <x:v>30.65</x:v>
      </x:c>
      <x:c r="F5920" s="18" t="n">
        <x:v>15.8</x:v>
      </x:c>
      <x:c r="G5920" t="n">
        <x:v>36</x:v>
      </x:c>
      <x:c r="H5920" t="str">
        <x:v>D</x:v>
      </x:c>
      <x:c r="I5920" t="str">
        <x:v>4-6 years</x:v>
      </x:c>
      <x:c r="J5920" t="str">
        <x:v>RENT</x:v>
      </x:c>
      <x:c r="K5920" t="str">
        <x:v>debt_consolidation</x:v>
      </x:c>
      <x:c r="L5920" t="n">
        <x:v>1</x:v>
      </x:c>
      <x:c r="M5920" t="n">
        <x:v>0</x:v>
      </x:c>
      <x:c r="N5920" t="str">
        <x:v>Fully Paid</x:v>
      </x:c>
      <x:c r="O5920" t="str">
        <x:f>IF(D5920="","Unknown",IF(D5920&lt;25000,"&lt;$25k",IF(D5920&lt;50000,"$25k-$50k",IF(D5920&lt;75000,"$50k-$75k",IF(D5920&lt;100000,"$75k-$100k","$100k+")))))</x:f>
        <x:v>$25k-$50k</x:v>
      </x:c>
      <x:c r="P5920" t="str">
        <x:f>IF(E5920="","Unknown",IF(E5920&lt;10,"&lt;10",IF(E5920&lt;20,"10-&lt;20",IF(E5920&lt;25,"20-&lt;25",IF(E5920&lt;35,"25-&lt;35","35+")))))</x:f>
        <x:v>25-&lt;35</x:v>
      </x:c>
    </x:row>
    <x:row r="5921">
      <x:c r="A5921" t="str">
        <x:v>SYN0005920</x:v>
      </x:c>
      <x:c r="B5921" s="12" t="n">
        <x:v>41455</x:v>
      </x:c>
      <x:c r="C5921" s="18" t="n">
        <x:v>7163</x:v>
      </x:c>
      <x:c r="D5921" s="18" t="n">
        <x:v>53525</x:v>
      </x:c>
      <x:c r="E5921" s="18" t="n">
        <x:v>16.4</x:v>
      </x:c>
      <x:c r="F5921" s="18" t="n">
        <x:v>22.77</x:v>
      </x:c>
      <x:c r="G5921" t="n">
        <x:v>60</x:v>
      </x:c>
      <x:c r="H5921" t="str">
        <x:v>F</x:v>
      </x:c>
      <x:c r="I5921" t="str">
        <x:v>1-3 years</x:v>
      </x:c>
      <x:c r="J5921" t="str">
        <x:v>MORTGAGE</x:v>
      </x:c>
      <x:c r="K5921" t="str">
        <x:v>other</x:v>
      </x:c>
      <x:c r="L5921" t="n">
        <x:v>1</x:v>
      </x:c>
      <x:c r="M5921" t="n">
        <x:v>0</x:v>
      </x:c>
      <x:c r="N5921" t="str">
        <x:v>Fully Paid</x:v>
      </x:c>
      <x:c r="O5921" t="str">
        <x:f>IF(D5921="","Unknown",IF(D5921&lt;25000,"&lt;$25k",IF(D5921&lt;50000,"$25k-$50k",IF(D5921&lt;75000,"$50k-$75k",IF(D5921&lt;100000,"$75k-$100k","$100k+")))))</x:f>
        <x:v>$50k-$75k</x:v>
      </x:c>
      <x:c r="P5921" t="str">
        <x:f>IF(E5921="","Unknown",IF(E5921&lt;10,"&lt;10",IF(E5921&lt;20,"10-&lt;20",IF(E5921&lt;25,"20-&lt;25",IF(E5921&lt;35,"25-&lt;35","35+")))))</x:f>
        <x:v>10-&lt;20</x:v>
      </x:c>
    </x:row>
    <x:row r="5922">
      <x:c r="A5922" t="str">
        <x:v>SYN0005921</x:v>
      </x:c>
      <x:c r="B5922" s="12" t="n">
        <x:v>41695</x:v>
      </x:c>
      <x:c r="C5922" s="18" t="n">
        <x:v>7007</x:v>
      </x:c>
      <x:c r="D5922" s="18" t="n">
        <x:v>23907</x:v>
      </x:c>
      <x:c r="E5922" s="18" t="n">
        <x:v>19.24</x:v>
      </x:c>
      <x:c r="F5922" s="18" t="n">
        <x:v>25.58</x:v>
      </x:c>
      <x:c r="G5922" t="n">
        <x:v>36</x:v>
      </x:c>
      <x:c r="H5922" t="str">
        <x:v>G</x:v>
      </x:c>
      <x:c r="I5922" t="str">
        <x:v>7-9 years</x:v>
      </x:c>
      <x:c r="J5922" t="str">
        <x:v>RENT</x:v>
      </x:c>
      <x:c r="K5922" t="str">
        <x:v>credit_card</x:v>
      </x:c>
      <x:c r="L5922" t="n">
        <x:v>0</x:v>
      </x:c>
      <x:c r="M5922" t="n">
        <x:v>0</x:v>
      </x:c>
      <x:c r="N5922" t="str">
        <x:v>Fully Paid</x:v>
      </x:c>
      <x:c r="O5922" t="str">
        <x:f>IF(D5922="","Unknown",IF(D5922&lt;25000,"&lt;$25k",IF(D5922&lt;50000,"$25k-$50k",IF(D5922&lt;75000,"$50k-$75k",IF(D5922&lt;100000,"$75k-$100k","$100k+")))))</x:f>
        <x:v>&lt;$25k</x:v>
      </x:c>
      <x:c r="P5922" t="str">
        <x:f>IF(E5922="","Unknown",IF(E5922&lt;10,"&lt;10",IF(E5922&lt;20,"10-&lt;20",IF(E5922&lt;25,"20-&lt;25",IF(E5922&lt;35,"25-&lt;35","35+")))))</x:f>
        <x:v>10-&lt;20</x:v>
      </x:c>
    </x:row>
    <x:row r="5923">
      <x:c r="A5923" t="str">
        <x:v>SYN0005922</x:v>
      </x:c>
      <x:c r="B5923" s="12" t="n">
        <x:v>43135</x:v>
      </x:c>
      <x:c r="C5923" s="18" t="n">
        <x:v>8367</x:v>
      </x:c>
      <x:c r="D5923" s="18" t="n">
        <x:v>29219</x:v>
      </x:c>
      <x:c r="E5923" s="18" t="n">
        <x:v>12.58</x:v>
      </x:c>
      <x:c r="F5923" s="18" t="n">
        <x:v>6.76</x:v>
      </x:c>
      <x:c r="G5923" t="n">
        <x:v>36</x:v>
      </x:c>
      <x:c r="H5923" t="str">
        <x:v>B</x:v>
      </x:c>
      <x:c r="I5923" t="str">
        <x:v>10+ years</x:v>
      </x:c>
      <x:c r="J5923" t="str">
        <x:v>OWN</x:v>
      </x:c>
      <x:c r="K5923" t="str">
        <x:v>debt_consolidation</x:v>
      </x:c>
      <x:c r="L5923" t="n">
        <x:v>0</x:v>
      </x:c>
      <x:c r="M5923" t="n">
        <x:v>0</x:v>
      </x:c>
      <x:c r="N5923" t="str">
        <x:v>Fully Paid</x:v>
      </x:c>
      <x:c r="O5923" t="str">
        <x:f>IF(D5923="","Unknown",IF(D5923&lt;25000,"&lt;$25k",IF(D5923&lt;50000,"$25k-$50k",IF(D5923&lt;75000,"$50k-$75k",IF(D5923&lt;100000,"$75k-$100k","$100k+")))))</x:f>
        <x:v>$25k-$50k</x:v>
      </x:c>
      <x:c r="P5923" t="str">
        <x:f>IF(E5923="","Unknown",IF(E5923&lt;10,"&lt;10",IF(E5923&lt;20,"10-&lt;20",IF(E5923&lt;25,"20-&lt;25",IF(E5923&lt;35,"25-&lt;35","35+")))))</x:f>
        <x:v>10-&lt;20</x:v>
      </x:c>
    </x:row>
    <x:row r="5924">
      <x:c r="A5924" t="str">
        <x:v>SYN0005923</x:v>
      </x:c>
      <x:c r="B5924" s="12" t="n">
        <x:v>42235</x:v>
      </x:c>
      <x:c r="C5924" s="18" t="n">
        <x:v>15297</x:v>
      </x:c>
      <x:c r="D5924" s="18" t="n">
        <x:v>66746</x:v>
      </x:c>
      <x:c r="E5924" s="18" t="n">
        <x:v>24.42</x:v>
      </x:c>
      <x:c r="F5924" s="18" t="n">
        <x:v>13.83</x:v>
      </x:c>
      <x:c r="G5924" t="n">
        <x:v>60</x:v>
      </x:c>
      <x:c r="H5924" t="str">
        <x:v>D</x:v>
      </x:c>
      <x:c r="I5924" t="str">
        <x:v>7-9 years</x:v>
      </x:c>
      <x:c r="J5924" t="str">
        <x:v>MORTGAGE</x:v>
      </x:c>
      <x:c r="K5924" t="str">
        <x:v>home_improvement</x:v>
      </x:c>
      <x:c r="L5924" t="n">
        <x:v>0</x:v>
      </x:c>
      <x:c r="M5924" t="n">
        <x:v>0</x:v>
      </x:c>
      <x:c r="N5924" t="str">
        <x:v>Fully Paid</x:v>
      </x:c>
      <x:c r="O5924" t="str">
        <x:f>IF(D5924="","Unknown",IF(D5924&lt;25000,"&lt;$25k",IF(D5924&lt;50000,"$25k-$50k",IF(D5924&lt;75000,"$50k-$75k",IF(D5924&lt;100000,"$75k-$100k","$100k+")))))</x:f>
        <x:v>$50k-$75k</x:v>
      </x:c>
      <x:c r="P5924" t="str">
        <x:f>IF(E5924="","Unknown",IF(E5924&lt;10,"&lt;10",IF(E5924&lt;20,"10-&lt;20",IF(E5924&lt;25,"20-&lt;25",IF(E5924&lt;35,"25-&lt;35","35+")))))</x:f>
        <x:v>20-&lt;25</x:v>
      </x:c>
    </x:row>
    <x:row r="5925">
      <x:c r="A5925" t="str">
        <x:v>SYN0005924</x:v>
      </x:c>
      <x:c r="B5925" s="12" t="n">
        <x:v>43105</x:v>
      </x:c>
      <x:c r="C5925" s="18" t="n">
        <x:v>7182</x:v>
      </x:c>
      <x:c r="D5925" s="18" t="n">
        <x:v>153395</x:v>
      </x:c>
      <x:c r="E5925" s="18" t="n">
        <x:v>22.28</x:v>
      </x:c>
      <x:c r="F5925" s="18" t="n">
        <x:v>8.74</x:v>
      </x:c>
      <x:c r="G5925" t="n">
        <x:v>36</x:v>
      </x:c>
      <x:c r="H5925" t="str">
        <x:v>C</x:v>
      </x:c>
      <x:c r="I5925" t="str">
        <x:v>10+ years</x:v>
      </x:c>
      <x:c r="J5925" t="str">
        <x:v>MORTGAGE</x:v>
      </x:c>
      <x:c r="K5925" t="str">
        <x:v>debt_consolidation</x:v>
      </x:c>
      <x:c r="L5925" t="n">
        <x:v>0</x:v>
      </x:c>
      <x:c r="M5925" t="n">
        <x:v>0</x:v>
      </x:c>
      <x:c r="N5925" t="str">
        <x:v>Fully Paid</x:v>
      </x:c>
      <x:c r="O5925" t="str">
        <x:f>IF(D5925="","Unknown",IF(D5925&lt;25000,"&lt;$25k",IF(D5925&lt;50000,"$25k-$50k",IF(D5925&lt;75000,"$50k-$75k",IF(D5925&lt;100000,"$75k-$100k","$100k+")))))</x:f>
        <x:v>$100k+</x:v>
      </x:c>
      <x:c r="P5925" t="str">
        <x:f>IF(E5925="","Unknown",IF(E5925&lt;10,"&lt;10",IF(E5925&lt;20,"10-&lt;20",IF(E5925&lt;25,"20-&lt;25",IF(E5925&lt;35,"25-&lt;35","35+")))))</x:f>
        <x:v>20-&lt;25</x:v>
      </x:c>
    </x:row>
    <x:row r="5926">
      <x:c r="A5926" t="str">
        <x:v>SYN0005925</x:v>
      </x:c>
      <x:c r="B5926" s="12" t="n">
        <x:v>42325</x:v>
      </x:c>
      <x:c r="C5926" s="18" t="n">
        <x:v>12268</x:v>
      </x:c>
      <x:c r="D5926" s="18" t="n">
        <x:v>180390</x:v>
      </x:c>
      <x:c r="E5926" s="18" t="n">
        <x:v>34.33</x:v>
      </x:c>
      <x:c r="F5926" s="18" t="n">
        <x:v>22.04</x:v>
      </x:c>
      <x:c r="G5926" t="n">
        <x:v>36</x:v>
      </x:c>
      <x:c r="H5926" t="str">
        <x:v>F</x:v>
      </x:c>
      <x:c r="I5926" t="str">
        <x:v>10+ years</x:v>
      </x:c>
      <x:c r="J5926" t="str">
        <x:v>RENT</x:v>
      </x:c>
      <x:c r="K5926" t="str">
        <x:v>debt_consolidation</x:v>
      </x:c>
      <x:c r="L5926" t="n">
        <x:v>0</x:v>
      </x:c>
      <x:c r="M5926" t="n">
        <x:v>1</x:v>
      </x:c>
      <x:c r="N5926" t="str">
        <x:v>Charged Off</x:v>
      </x:c>
      <x:c r="O5926" t="str">
        <x:f>IF(D5926="","Unknown",IF(D5926&lt;25000,"&lt;$25k",IF(D5926&lt;50000,"$25k-$50k",IF(D5926&lt;75000,"$50k-$75k",IF(D5926&lt;100000,"$75k-$100k","$100k+")))))</x:f>
        <x:v>$100k+</x:v>
      </x:c>
      <x:c r="P5926" t="str">
        <x:f>IF(E5926="","Unknown",IF(E5926&lt;10,"&lt;10",IF(E5926&lt;20,"10-&lt;20",IF(E5926&lt;25,"20-&lt;25",IF(E5926&lt;35,"25-&lt;35","35+")))))</x:f>
        <x:v>25-&lt;35</x:v>
      </x:c>
    </x:row>
    <x:row r="5927">
      <x:c r="A5927" t="str">
        <x:v>SYN0005926</x:v>
      </x:c>
      <x:c r="B5927" s="12" t="n">
        <x:v>41305</x:v>
      </x:c>
      <x:c r="C5927" s="18" t="n">
        <x:v>13247</x:v>
      </x:c>
      <x:c r="D5927" s="18" t="n">
        <x:v>20058</x:v>
      </x:c>
      <x:c r="E5927" s="18" t="n">
        <x:v>25.31</x:v>
      </x:c>
      <x:c r="F5927" s="18" t="n">
        <x:v>6.65</x:v>
      </x:c>
      <x:c r="G5927" t="n">
        <x:v>36</x:v>
      </x:c>
      <x:c r="H5927" t="str">
        <x:v>A</x:v>
      </x:c>
      <x:c r="I5927" t="str">
        <x:v>1-3 years</x:v>
      </x:c>
      <x:c r="J5927" t="str">
        <x:v>OWN</x:v>
      </x:c>
      <x:c r="K5927" t="str">
        <x:v>debt_consolidation</x:v>
      </x:c>
      <x:c r="L5927" t="n">
        <x:v>0</x:v>
      </x:c>
      <x:c r="M5927" t="n">
        <x:v>0</x:v>
      </x:c>
      <x:c r="N5927" t="str">
        <x:v>Fully Paid</x:v>
      </x:c>
      <x:c r="O5927" t="str">
        <x:f>IF(D5927="","Unknown",IF(D5927&lt;25000,"&lt;$25k",IF(D5927&lt;50000,"$25k-$50k",IF(D5927&lt;75000,"$50k-$75k",IF(D5927&lt;100000,"$75k-$100k","$100k+")))))</x:f>
        <x:v>&lt;$25k</x:v>
      </x:c>
      <x:c r="P5927" t="str">
        <x:f>IF(E5927="","Unknown",IF(E5927&lt;10,"&lt;10",IF(E5927&lt;20,"10-&lt;20",IF(E5927&lt;25,"20-&lt;25",IF(E5927&lt;35,"25-&lt;35","35+")))))</x:f>
        <x:v>25-&lt;35</x:v>
      </x:c>
    </x:row>
    <x:row r="5928">
      <x:c r="A5928" t="str">
        <x:v>SYN0005927</x:v>
      </x:c>
      <x:c r="B5928" s="12" t="n">
        <x:v>42565</x:v>
      </x:c>
      <x:c r="C5928" s="18" t="n">
        <x:v>12486</x:v>
      </x:c>
      <x:c r="D5928" s="18" t="n">
        <x:v>30026</x:v>
      </x:c>
      <x:c r="E5928" s="18" t="n">
        <x:v>24.74</x:v>
      </x:c>
      <x:c r="F5928" s="18" t="n">
        <x:v>9.29</x:v>
      </x:c>
      <x:c r="G5928" t="n">
        <x:v>60</x:v>
      </x:c>
      <x:c r="H5928" t="str">
        <x:v>B</x:v>
      </x:c>
      <x:c r="I5928" t="str">
        <x:v>10+ years</x:v>
      </x:c>
      <x:c r="J5928" t="str">
        <x:v>MORTGAGE</x:v>
      </x:c>
      <x:c r="K5928" t="str">
        <x:v>debt_consolidation</x:v>
      </x:c>
      <x:c r="L5928" t="n">
        <x:v>0</x:v>
      </x:c>
      <x:c r="M5928" t="n">
        <x:v>0</x:v>
      </x:c>
      <x:c r="N5928" t="str">
        <x:v>Fully Paid</x:v>
      </x:c>
      <x:c r="O5928" t="str">
        <x:f>IF(D5928="","Unknown",IF(D5928&lt;25000,"&lt;$25k",IF(D5928&lt;50000,"$25k-$50k",IF(D5928&lt;75000,"$50k-$75k",IF(D5928&lt;100000,"$75k-$100k","$100k+")))))</x:f>
        <x:v>$25k-$50k</x:v>
      </x:c>
      <x:c r="P5928" t="str">
        <x:f>IF(E5928="","Unknown",IF(E5928&lt;10,"&lt;10",IF(E5928&lt;20,"10-&lt;20",IF(E5928&lt;25,"20-&lt;25",IF(E5928&lt;35,"25-&lt;35","35+")))))</x:f>
        <x:v>20-&lt;25</x:v>
      </x:c>
    </x:row>
    <x:row r="5929">
      <x:c r="A5929" t="str">
        <x:v>SYN0005928</x:v>
      </x:c>
      <x:c r="B5929" s="12" t="n">
        <x:v>42295</x:v>
      </x:c>
      <x:c r="C5929" s="18" t="n">
        <x:v>7077</x:v>
      </x:c>
      <x:c r="D5929" s="18" t="n">
        <x:v>26531</x:v>
      </x:c>
      <x:c r="E5929" s="18" t="n">
        <x:v>24.88</x:v>
      </x:c>
      <x:c r="F5929" s="18" t="n">
        <x:v>15.08</x:v>
      </x:c>
      <x:c r="G5929" t="n">
        <x:v>36</x:v>
      </x:c>
      <x:c r="H5929" t="str">
        <x:v>D</x:v>
      </x:c>
      <x:c r="I5929" t="str">
        <x:v>4-6 years</x:v>
      </x:c>
      <x:c r="J5929" t="str">
        <x:v>RENT</x:v>
      </x:c>
      <x:c r="K5929" t="str">
        <x:v>medical</x:v>
      </x:c>
      <x:c r="L5929" t="n">
        <x:v>1</x:v>
      </x:c>
      <x:c r="M5929" t="n">
        <x:v>0</x:v>
      </x:c>
      <x:c r="N5929" t="str">
        <x:v>Fully Paid</x:v>
      </x:c>
      <x:c r="O5929" t="str">
        <x:f>IF(D5929="","Unknown",IF(D5929&lt;25000,"&lt;$25k",IF(D5929&lt;50000,"$25k-$50k",IF(D5929&lt;75000,"$50k-$75k",IF(D5929&lt;100000,"$75k-$100k","$100k+")))))</x:f>
        <x:v>$25k-$50k</x:v>
      </x:c>
      <x:c r="P5929" t="str">
        <x:f>IF(E5929="","Unknown",IF(E5929&lt;10,"&lt;10",IF(E5929&lt;20,"10-&lt;20",IF(E5929&lt;25,"20-&lt;25",IF(E5929&lt;35,"25-&lt;35","35+")))))</x:f>
        <x:v>20-&lt;25</x:v>
      </x:c>
    </x:row>
    <x:row r="5930">
      <x:c r="A5930" t="str">
        <x:v>SYN0005929</x:v>
      </x:c>
      <x:c r="B5930" s="12" t="n">
        <x:v>43345</x:v>
      </x:c>
      <x:c r="C5930" s="18" t="n">
        <x:v>22268</x:v>
      </x:c>
      <x:c r="D5930" s="18" t="n">
        <x:v>15728</x:v>
      </x:c>
      <x:c r="E5930" s="18" t="n">
        <x:v>36.87</x:v>
      </x:c>
      <x:c r="F5930" s="18" t="n">
        <x:v>5</x:v>
      </x:c>
      <x:c r="G5930" t="n">
        <x:v>36</x:v>
      </x:c>
      <x:c r="H5930" t="str">
        <x:v>A</x:v>
      </x:c>
      <x:c r="I5930" t="str">
        <x:v>10+ years</x:v>
      </x:c>
      <x:c r="J5930" t="str">
        <x:v>RENT</x:v>
      </x:c>
      <x:c r="K5930" t="str">
        <x:v>debt_consolidation</x:v>
      </x:c>
      <x:c r="L5930" t="n">
        <x:v>0</x:v>
      </x:c>
      <x:c r="M5930" t="n">
        <x:v>0</x:v>
      </x:c>
      <x:c r="N5930" t="str">
        <x:v>Fully Paid</x:v>
      </x:c>
      <x:c r="O5930" t="str">
        <x:f>IF(D5930="","Unknown",IF(D5930&lt;25000,"&lt;$25k",IF(D5930&lt;50000,"$25k-$50k",IF(D5930&lt;75000,"$50k-$75k",IF(D5930&lt;100000,"$75k-$100k","$100k+")))))</x:f>
        <x:v>&lt;$25k</x:v>
      </x:c>
      <x:c r="P5930" t="str">
        <x:f>IF(E5930="","Unknown",IF(E5930&lt;10,"&lt;10",IF(E5930&lt;20,"10-&lt;20",IF(E5930&lt;25,"20-&lt;25",IF(E5930&lt;35,"25-&lt;35","35+")))))</x:f>
        <x:v>35+</x:v>
      </x:c>
    </x:row>
    <x:row r="5931">
      <x:c r="A5931" t="str">
        <x:v>SYN0005930</x:v>
      </x:c>
      <x:c r="B5931" s="12" t="n">
        <x:v>42625</x:v>
      </x:c>
      <x:c r="C5931" s="18" t="n">
        <x:v>39541</x:v>
      </x:c>
      <x:c r="D5931" s="18" t="n">
        <x:v>59396</x:v>
      </x:c>
      <x:c r="E5931" s="18" t="n">
        <x:v>22.48</x:v>
      </x:c>
      <x:c r="F5931" s="18" t="n">
        <x:v>11.65</x:v>
      </x:c>
      <x:c r="G5931" t="n">
        <x:v>36</x:v>
      </x:c>
      <x:c r="H5931" t="str">
        <x:v>C</x:v>
      </x:c>
      <x:c r="I5931" t="str">
        <x:v>4-6 years</x:v>
      </x:c>
      <x:c r="J5931" t="str">
        <x:v>RENT</x:v>
      </x:c>
      <x:c r="K5931" t="str">
        <x:v>home_improvement</x:v>
      </x:c>
      <x:c r="L5931" t="n">
        <x:v>0</x:v>
      </x:c>
      <x:c r="M5931" t="n">
        <x:v>1</x:v>
      </x:c>
      <x:c r="N5931" t="str">
        <x:v>Charged Off</x:v>
      </x:c>
      <x:c r="O5931" t="str">
        <x:f>IF(D5931="","Unknown",IF(D5931&lt;25000,"&lt;$25k",IF(D5931&lt;50000,"$25k-$50k",IF(D5931&lt;75000,"$50k-$75k",IF(D5931&lt;100000,"$75k-$100k","$100k+")))))</x:f>
        <x:v>$50k-$75k</x:v>
      </x:c>
      <x:c r="P5931" t="str">
        <x:f>IF(E5931="","Unknown",IF(E5931&lt;10,"&lt;10",IF(E5931&lt;20,"10-&lt;20",IF(E5931&lt;25,"20-&lt;25",IF(E5931&lt;35,"25-&lt;35","35+")))))</x:f>
        <x:v>20-&lt;25</x:v>
      </x:c>
    </x:row>
    <x:row r="5932">
      <x:c r="A5932" t="str">
        <x:v>SYN0005931</x:v>
      </x:c>
      <x:c r="B5932" s="12" t="n">
        <x:v>41965</x:v>
      </x:c>
      <x:c r="C5932" s="18" t="n">
        <x:v>8256</x:v>
      </x:c>
      <x:c r="D5932" s="18" t="n">
        <x:v>45658</x:v>
      </x:c>
      <x:c r="E5932" s="18" t="n">
        <x:v>29.07</x:v>
      </x:c>
      <x:c r="F5932" s="18" t="n">
        <x:v>22.06</x:v>
      </x:c>
      <x:c r="G5932" t="n">
        <x:v>36</x:v>
      </x:c>
      <x:c r="H5932" t="str">
        <x:v>F</x:v>
      </x:c>
      <x:c r="I5932" t="str">
        <x:v>10+ years</x:v>
      </x:c>
      <x:c r="J5932" t="str">
        <x:v>MORTGAGE</x:v>
      </x:c>
      <x:c r="K5932" t="str">
        <x:v>home_improvement</x:v>
      </x:c>
      <x:c r="L5932" t="n">
        <x:v>1</x:v>
      </x:c>
      <x:c r="M5932" t="n">
        <x:v>1</x:v>
      </x:c>
      <x:c r="N5932" t="str">
        <x:v>Charged Off</x:v>
      </x:c>
      <x:c r="O5932" t="str">
        <x:f>IF(D5932="","Unknown",IF(D5932&lt;25000,"&lt;$25k",IF(D5932&lt;50000,"$25k-$50k",IF(D5932&lt;75000,"$50k-$75k",IF(D5932&lt;100000,"$75k-$100k","$100k+")))))</x:f>
        <x:v>$25k-$50k</x:v>
      </x:c>
      <x:c r="P5932" t="str">
        <x:f>IF(E5932="","Unknown",IF(E5932&lt;10,"&lt;10",IF(E5932&lt;20,"10-&lt;20",IF(E5932&lt;25,"20-&lt;25",IF(E5932&lt;35,"25-&lt;35","35+")))))</x:f>
        <x:v>25-&lt;35</x:v>
      </x:c>
    </x:row>
    <x:row r="5933">
      <x:c r="A5933" t="str">
        <x:v>SYN0005932</x:v>
      </x:c>
      <x:c r="B5933" s="12" t="n">
        <x:v>42175</x:v>
      </x:c>
      <x:c r="C5933" s="18" t="n">
        <x:v>13308</x:v>
      </x:c>
      <x:c r="D5933" s="18" t="n">
        <x:v>128015</x:v>
      </x:c>
      <x:c r="E5933" s="18" t="n">
        <x:v>32.19</x:v>
      </x:c>
      <x:c r="F5933" s="18" t="n">
        <x:v>12.02</x:v>
      </x:c>
      <x:c r="G5933" t="n">
        <x:v>36</x:v>
      </x:c>
      <x:c r="H5933" t="str">
        <x:v>C</x:v>
      </x:c>
      <x:c r="I5933" t="str">
        <x:v>7-9 years</x:v>
      </x:c>
      <x:c r="J5933" t="str">
        <x:v>MORTGAGE</x:v>
      </x:c>
      <x:c r="K5933" t="str">
        <x:v>debt_consolidation</x:v>
      </x:c>
      <x:c r="L5933" t="n">
        <x:v>1</x:v>
      </x:c>
      <x:c r="M5933" t="n">
        <x:v>0</x:v>
      </x:c>
      <x:c r="N5933" t="str">
        <x:v>Fully Paid</x:v>
      </x:c>
      <x:c r="O5933" t="str">
        <x:f>IF(D5933="","Unknown",IF(D5933&lt;25000,"&lt;$25k",IF(D5933&lt;50000,"$25k-$50k",IF(D5933&lt;75000,"$50k-$75k",IF(D5933&lt;100000,"$75k-$100k","$100k+")))))</x:f>
        <x:v>$100k+</x:v>
      </x:c>
      <x:c r="P5933" t="str">
        <x:f>IF(E5933="","Unknown",IF(E5933&lt;10,"&lt;10",IF(E5933&lt;20,"10-&lt;20",IF(E5933&lt;25,"20-&lt;25",IF(E5933&lt;35,"25-&lt;35","35+")))))</x:f>
        <x:v>25-&lt;35</x:v>
      </x:c>
    </x:row>
    <x:row r="5934">
      <x:c r="A5934" t="str">
        <x:v>SYN0005933</x:v>
      </x:c>
      <x:c r="B5934" s="12" t="n">
        <x:v>41545</x:v>
      </x:c>
      <x:c r="C5934" s="18" t="n">
        <x:v>15223</x:v>
      </x:c>
      <x:c r="D5934" s="18" t="n">
        <x:v>22883</x:v>
      </x:c>
      <x:c r="E5934" s="18" t="n">
        <x:v>21.11</x:v>
      </x:c>
      <x:c r="F5934" s="18" t="n">
        <x:v>17</x:v>
      </x:c>
      <x:c r="G5934" t="n">
        <x:v>36</x:v>
      </x:c>
      <x:c r="H5934" t="str">
        <x:v>E</x:v>
      </x:c>
      <x:c r="I5934" t="str">
        <x:v>10+ years</x:v>
      </x:c>
      <x:c r="J5934" t="str">
        <x:v>RENT</x:v>
      </x:c>
      <x:c r="K5934" t="str">
        <x:v>major_purchase</x:v>
      </x:c>
      <x:c r="L5934" t="n">
        <x:v>0</x:v>
      </x:c>
      <x:c r="M5934" t="n">
        <x:v>1</x:v>
      </x:c>
      <x:c r="N5934" t="str">
        <x:v>Charged Off</x:v>
      </x:c>
      <x:c r="O5934" t="str">
        <x:f>IF(D5934="","Unknown",IF(D5934&lt;25000,"&lt;$25k",IF(D5934&lt;50000,"$25k-$50k",IF(D5934&lt;75000,"$50k-$75k",IF(D5934&lt;100000,"$75k-$100k","$100k+")))))</x:f>
        <x:v>&lt;$25k</x:v>
      </x:c>
      <x:c r="P5934" t="str">
        <x:f>IF(E5934="","Unknown",IF(E5934&lt;10,"&lt;10",IF(E5934&lt;20,"10-&lt;20",IF(E5934&lt;25,"20-&lt;25",IF(E5934&lt;35,"25-&lt;35","35+")))))</x:f>
        <x:v>20-&lt;25</x:v>
      </x:c>
    </x:row>
    <x:row r="5935">
      <x:c r="A5935" t="str">
        <x:v>SYN0005934</x:v>
      </x:c>
      <x:c r="B5935" s="12" t="n">
        <x:v>42685</x:v>
      </x:c>
      <x:c r="C5935" s="18" t="n">
        <x:v>9348</x:v>
      </x:c>
      <x:c r="D5935" s="18" t="n">
        <x:v>30138</x:v>
      </x:c>
      <x:c r="E5935" s="18" t="n">
        <x:v>15.46</x:v>
      </x:c>
      <x:c r="F5935" s="18" t="n">
        <x:v>7.23</x:v>
      </x:c>
      <x:c r="G5935" t="n">
        <x:v>36</x:v>
      </x:c>
      <x:c r="H5935" t="str">
        <x:v>A</x:v>
      </x:c>
      <x:c r="I5935" t="str">
        <x:v>1-3 years</x:v>
      </x:c>
      <x:c r="J5935" t="str">
        <x:v>RENT</x:v>
      </x:c>
      <x:c r="K5935" t="str">
        <x:v>credit_card</x:v>
      </x:c>
      <x:c r="L5935" t="n">
        <x:v>1</x:v>
      </x:c>
      <x:c r="M5935" t="n">
        <x:v>0</x:v>
      </x:c>
      <x:c r="N5935" t="str">
        <x:v>Fully Paid</x:v>
      </x:c>
      <x:c r="O5935" t="str">
        <x:f>IF(D5935="","Unknown",IF(D5935&lt;25000,"&lt;$25k",IF(D5935&lt;50000,"$25k-$50k",IF(D5935&lt;75000,"$50k-$75k",IF(D5935&lt;100000,"$75k-$100k","$100k+")))))</x:f>
        <x:v>$25k-$50k</x:v>
      </x:c>
      <x:c r="P5935" t="str">
        <x:f>IF(E5935="","Unknown",IF(E5935&lt;10,"&lt;10",IF(E5935&lt;20,"10-&lt;20",IF(E5935&lt;25,"20-&lt;25",IF(E5935&lt;35,"25-&lt;35","35+")))))</x:f>
        <x:v>10-&lt;20</x:v>
      </x:c>
    </x:row>
    <x:row r="5936">
      <x:c r="A5936" t="str">
        <x:v>SYN0005935</x:v>
      </x:c>
      <x:c r="B5936" s="12" t="n">
        <x:v>41335</x:v>
      </x:c>
      <x:c r="C5936" s="18" t="n">
        <x:v>5376</x:v>
      </x:c>
      <x:c r="D5936" s="18" t="n">
        <x:v>81041</x:v>
      </x:c>
      <x:c r="E5936" s="18" t="n">
        <x:v>17.7</x:v>
      </x:c>
      <x:c r="F5936" s="18" t="n">
        <x:v>5</x:v>
      </x:c>
      <x:c r="G5936" t="n">
        <x:v>36</x:v>
      </x:c>
      <x:c r="H5936" t="str">
        <x:v>A</x:v>
      </x:c>
      <x:c r="I5936" t="str">
        <x:v>4-6 years</x:v>
      </x:c>
      <x:c r="J5936" t="str">
        <x:v>RENT</x:v>
      </x:c>
      <x:c r="K5936" t="str">
        <x:v>home_improvement</x:v>
      </x:c>
      <x:c r="L5936" t="n">
        <x:v>0</x:v>
      </x:c>
      <x:c r="M5936" t="n">
        <x:v>0</x:v>
      </x:c>
      <x:c r="N5936" t="str">
        <x:v>Fully Paid</x:v>
      </x:c>
      <x:c r="O5936" t="str">
        <x:f>IF(D5936="","Unknown",IF(D5936&lt;25000,"&lt;$25k",IF(D5936&lt;50000,"$25k-$50k",IF(D5936&lt;75000,"$50k-$75k",IF(D5936&lt;100000,"$75k-$100k","$100k+")))))</x:f>
        <x:v>$75k-$100k</x:v>
      </x:c>
      <x:c r="P5936" t="str">
        <x:f>IF(E5936="","Unknown",IF(E5936&lt;10,"&lt;10",IF(E5936&lt;20,"10-&lt;20",IF(E5936&lt;25,"20-&lt;25",IF(E5936&lt;35,"25-&lt;35","35+")))))</x:f>
        <x:v>10-&lt;20</x:v>
      </x:c>
    </x:row>
    <x:row r="5937">
      <x:c r="A5937" t="str">
        <x:v>SYN0005936</x:v>
      </x:c>
      <x:c r="B5937" s="12" t="n">
        <x:v>42955</x:v>
      </x:c>
      <x:c r="C5937" s="18" t="n">
        <x:v>10399</x:v>
      </x:c>
      <x:c r="D5937" s="18" t="n">
        <x:v>86588</x:v>
      </x:c>
      <x:c r="E5937" s="18" t="n">
        <x:v>19.73</x:v>
      </x:c>
      <x:c r="F5937" s="18" t="n">
        <x:v>10.86</x:v>
      </x:c>
      <x:c r="G5937" t="n">
        <x:v>36</x:v>
      </x:c>
      <x:c r="H5937" t="str">
        <x:v>C</x:v>
      </x:c>
      <x:c r="I5937" t="str">
        <x:v>1-3 years</x:v>
      </x:c>
      <x:c r="J5937" t="str">
        <x:v>RENT</x:v>
      </x:c>
      <x:c r="K5937" t="str">
        <x:v>debt_consolidation</x:v>
      </x:c>
      <x:c r="L5937" t="n">
        <x:v>0</x:v>
      </x:c>
      <x:c r="M5937" t="n">
        <x:v>1</x:v>
      </x:c>
      <x:c r="N5937" t="str">
        <x:v>Charged Off</x:v>
      </x:c>
      <x:c r="O5937" t="str">
        <x:f>IF(D5937="","Unknown",IF(D5937&lt;25000,"&lt;$25k",IF(D5937&lt;50000,"$25k-$50k",IF(D5937&lt;75000,"$50k-$75k",IF(D5937&lt;100000,"$75k-$100k","$100k+")))))</x:f>
        <x:v>$75k-$100k</x:v>
      </x:c>
      <x:c r="P5937" t="str">
        <x:f>IF(E5937="","Unknown",IF(E5937&lt;10,"&lt;10",IF(E5937&lt;20,"10-&lt;20",IF(E5937&lt;25,"20-&lt;25",IF(E5937&lt;35,"25-&lt;35","35+")))))</x:f>
        <x:v>10-&lt;20</x:v>
      </x:c>
    </x:row>
    <x:row r="5938">
      <x:c r="A5938" t="str">
        <x:v>SYN0005937</x:v>
      </x:c>
      <x:c r="B5938" s="12" t="n">
        <x:v>41725</x:v>
      </x:c>
      <x:c r="C5938" s="18" t="n">
        <x:v>11181</x:v>
      </x:c>
      <x:c r="D5938" s="18" t="n">
        <x:v>33750</x:v>
      </x:c>
      <x:c r="E5938" s="18" t="n">
        <x:v>27.23</x:v>
      </x:c>
      <x:c r="F5938" s="18" t="n">
        <x:v>25.18</x:v>
      </x:c>
      <x:c r="G5938" t="n">
        <x:v>36</x:v>
      </x:c>
      <x:c r="H5938" t="str">
        <x:v>G</x:v>
      </x:c>
      <x:c r="I5938" t="str">
        <x:v>10+ years</x:v>
      </x:c>
      <x:c r="J5938" t="str">
        <x:v>MORTGAGE</x:v>
      </x:c>
      <x:c r="K5938" t="str">
        <x:v>medical</x:v>
      </x:c>
      <x:c r="L5938" t="n">
        <x:v>2</x:v>
      </x:c>
      <x:c r="M5938" t="n">
        <x:v>1</x:v>
      </x:c>
      <x:c r="N5938" t="str">
        <x:v>Charged Off</x:v>
      </x:c>
      <x:c r="O5938" t="str">
        <x:f>IF(D5938="","Unknown",IF(D5938&lt;25000,"&lt;$25k",IF(D5938&lt;50000,"$25k-$50k",IF(D5938&lt;75000,"$50k-$75k",IF(D5938&lt;100000,"$75k-$100k","$100k+")))))</x:f>
        <x:v>$25k-$50k</x:v>
      </x:c>
      <x:c r="P5938" t="str">
        <x:f>IF(E5938="","Unknown",IF(E5938&lt;10,"&lt;10",IF(E5938&lt;20,"10-&lt;20",IF(E5938&lt;25,"20-&lt;25",IF(E5938&lt;35,"25-&lt;35","35+")))))</x:f>
        <x:v>25-&lt;35</x:v>
      </x:c>
    </x:row>
    <x:row r="5939">
      <x:c r="A5939" t="str">
        <x:v>SYN0005938</x:v>
      </x:c>
      <x:c r="B5939" s="12" t="n">
        <x:v>42775</x:v>
      </x:c>
      <x:c r="C5939" s="18" t="n">
        <x:v>9248</x:v>
      </x:c>
      <x:c r="D5939" s="18" t="n">
        <x:v>89567</x:v>
      </x:c>
      <x:c r="E5939" s="18" t="n">
        <x:v>9.85</x:v>
      </x:c>
      <x:c r="F5939" s="18" t="n">
        <x:v>11.99</x:v>
      </x:c>
      <x:c r="G5939" t="n">
        <x:v>36</x:v>
      </x:c>
      <x:c r="H5939" t="str">
        <x:v>C</x:v>
      </x:c>
      <x:c r="I5939" t="str">
        <x:v>&lt;1 year</x:v>
      </x:c>
      <x:c r="J5939" t="str">
        <x:v>MORTGAGE</x:v>
      </x:c>
      <x:c r="K5939" t="str">
        <x:v>medical</x:v>
      </x:c>
      <x:c r="L5939" t="n">
        <x:v>0</x:v>
      </x:c>
      <x:c r="M5939" t="n">
        <x:v>1</x:v>
      </x:c>
      <x:c r="N5939" t="str">
        <x:v>Charged Off</x:v>
      </x:c>
      <x:c r="O5939" t="str">
        <x:f>IF(D5939="","Unknown",IF(D5939&lt;25000,"&lt;$25k",IF(D5939&lt;50000,"$25k-$50k",IF(D5939&lt;75000,"$50k-$75k",IF(D5939&lt;100000,"$75k-$100k","$100k+")))))</x:f>
        <x:v>$75k-$100k</x:v>
      </x:c>
      <x:c r="P5939" t="str">
        <x:f>IF(E5939="","Unknown",IF(E5939&lt;10,"&lt;10",IF(E5939&lt;20,"10-&lt;20",IF(E5939&lt;25,"20-&lt;25",IF(E5939&lt;35,"25-&lt;35","35+")))))</x:f>
        <x:v>&lt;10</x:v>
      </x:c>
    </x:row>
    <x:row r="5940">
      <x:c r="A5940" t="str">
        <x:v>SYN0005939</x:v>
      </x:c>
      <x:c r="B5940" s="12" t="n">
        <x:v>42775</x:v>
      </x:c>
      <x:c r="C5940" s="18" t="n">
        <x:v>15157</x:v>
      </x:c>
      <x:c r="D5940" s="18" t="n">
        <x:v>192136</x:v>
      </x:c>
      <x:c r="E5940" s="18" t="n">
        <x:v>15.4</x:v>
      </x:c>
      <x:c r="F5940" s="18" t="n">
        <x:v>16.46</x:v>
      </x:c>
      <x:c r="G5940" t="n">
        <x:v>60</x:v>
      </x:c>
      <x:c r="H5940" t="str">
        <x:v>E</x:v>
      </x:c>
      <x:c r="I5940" t="str">
        <x:v>1-3 years</x:v>
      </x:c>
      <x:c r="J5940" t="str">
        <x:v>OWN</x:v>
      </x:c>
      <x:c r="K5940" t="str">
        <x:v>medical</x:v>
      </x:c>
      <x:c r="L5940" t="n">
        <x:v>0</x:v>
      </x:c>
      <x:c r="M5940" t="n">
        <x:v>0</x:v>
      </x:c>
      <x:c r="N5940" t="str">
        <x:v>Fully Paid</x:v>
      </x:c>
      <x:c r="O5940" t="str">
        <x:f>IF(D5940="","Unknown",IF(D5940&lt;25000,"&lt;$25k",IF(D5940&lt;50000,"$25k-$50k",IF(D5940&lt;75000,"$50k-$75k",IF(D5940&lt;100000,"$75k-$100k","$100k+")))))</x:f>
        <x:v>$100k+</x:v>
      </x:c>
      <x:c r="P5940" t="str">
        <x:f>IF(E5940="","Unknown",IF(E5940&lt;10,"&lt;10",IF(E5940&lt;20,"10-&lt;20",IF(E5940&lt;25,"20-&lt;25",IF(E5940&lt;35,"25-&lt;35","35+")))))</x:f>
        <x:v>10-&lt;20</x:v>
      </x:c>
    </x:row>
    <x:row r="5941">
      <x:c r="A5941" t="str">
        <x:v>SYN0005940</x:v>
      </x:c>
      <x:c r="B5941" s="12" t="n">
        <x:v>42235</x:v>
      </x:c>
      <x:c r="C5941" s="18" t="n">
        <x:v>20537</x:v>
      </x:c>
      <x:c r="D5941" s="18" t="n">
        <x:v>34759</x:v>
      </x:c>
      <x:c r="E5941" s="18" t="n">
        <x:v>33.84</x:v>
      </x:c>
      <x:c r="F5941" s="18" t="n">
        <x:v>11.98</x:v>
      </x:c>
      <x:c r="G5941" t="n">
        <x:v>36</x:v>
      </x:c>
      <x:c r="H5941" t="str">
        <x:v>C</x:v>
      </x:c>
      <x:c r="I5941" t="str">
        <x:v>10+ years</x:v>
      </x:c>
      <x:c r="J5941" t="str">
        <x:v>RENT</x:v>
      </x:c>
      <x:c r="K5941" t="str">
        <x:v>debt_consolidation</x:v>
      </x:c>
      <x:c r="L5941" t="n">
        <x:v>0</x:v>
      </x:c>
      <x:c r="M5941" t="n">
        <x:v>0</x:v>
      </x:c>
      <x:c r="N5941" t="str">
        <x:v>Fully Paid</x:v>
      </x:c>
      <x:c r="O5941" t="str">
        <x:f>IF(D5941="","Unknown",IF(D5941&lt;25000,"&lt;$25k",IF(D5941&lt;50000,"$25k-$50k",IF(D5941&lt;75000,"$50k-$75k",IF(D5941&lt;100000,"$75k-$100k","$100k+")))))</x:f>
        <x:v>$25k-$50k</x:v>
      </x:c>
      <x:c r="P5941" t="str">
        <x:f>IF(E5941="","Unknown",IF(E5941&lt;10,"&lt;10",IF(E5941&lt;20,"10-&lt;20",IF(E5941&lt;25,"20-&lt;25",IF(E5941&lt;35,"25-&lt;35","35+")))))</x:f>
        <x:v>25-&lt;35</x:v>
      </x:c>
    </x:row>
    <x:row r="5942">
      <x:c r="A5942" t="str">
        <x:v>SYN0005941</x:v>
      </x:c>
      <x:c r="B5942" s="12" t="n">
        <x:v>42625</x:v>
      </x:c>
      <x:c r="C5942" s="18" t="n">
        <x:v>9408</x:v>
      </x:c>
      <x:c r="D5942" s="18" t="n">
        <x:v>40600</x:v>
      </x:c>
      <x:c r="E5942" s="18" t="n">
        <x:v>20.64</x:v>
      </x:c>
      <x:c r="F5942" s="18" t="n">
        <x:v>10.65</x:v>
      </x:c>
      <x:c r="G5942" t="n">
        <x:v>60</x:v>
      </x:c>
      <x:c r="H5942" t="str">
        <x:v>B</x:v>
      </x:c>
      <x:c r="I5942" t="str">
        <x:v>7-9 years</x:v>
      </x:c>
      <x:c r="J5942" t="str">
        <x:v>RENT</x:v>
      </x:c>
      <x:c r="K5942" t="str">
        <x:v>home_improvement</x:v>
      </x:c>
      <x:c r="L5942" t="n">
        <x:v>1</x:v>
      </x:c>
      <x:c r="M5942" t="n">
        <x:v>0</x:v>
      </x:c>
      <x:c r="N5942" t="str">
        <x:v>Fully Paid</x:v>
      </x:c>
      <x:c r="O5942" t="str">
        <x:f>IF(D5942="","Unknown",IF(D5942&lt;25000,"&lt;$25k",IF(D5942&lt;50000,"$25k-$50k",IF(D5942&lt;75000,"$50k-$75k",IF(D5942&lt;100000,"$75k-$100k","$100k+")))))</x:f>
        <x:v>$25k-$50k</x:v>
      </x:c>
      <x:c r="P5942" t="str">
        <x:f>IF(E5942="","Unknown",IF(E5942&lt;10,"&lt;10",IF(E5942&lt;20,"10-&lt;20",IF(E5942&lt;25,"20-&lt;25",IF(E5942&lt;35,"25-&lt;35","35+")))))</x:f>
        <x:v>20-&lt;25</x:v>
      </x:c>
    </x:row>
    <x:row r="5943">
      <x:c r="A5943" t="str">
        <x:v>SYN0005942</x:v>
      </x:c>
      <x:c r="B5943" s="12" t="n">
        <x:v>42085</x:v>
      </x:c>
      <x:c r="C5943" s="18" t="n">
        <x:v>8567</x:v>
      </x:c>
      <x:c r="D5943" s="18" t="n">
        <x:v>26634</x:v>
      </x:c>
      <x:c r="E5943" s="18" t="n">
        <x:v>19.68</x:v>
      </x:c>
      <x:c r="F5943" s="18" t="n">
        <x:v>10.57</x:v>
      </x:c>
      <x:c r="G5943" t="n">
        <x:v>36</x:v>
      </x:c>
      <x:c r="H5943" t="str">
        <x:v>A</x:v>
      </x:c>
      <x:c r="I5943" t="str">
        <x:v>10+ years</x:v>
      </x:c>
      <x:c r="J5943" t="str">
        <x:v>RENT</x:v>
      </x:c>
      <x:c r="K5943" t="str">
        <x:v>debt_consolidation</x:v>
      </x:c>
      <x:c r="L5943" t="n">
        <x:v>0</x:v>
      </x:c>
      <x:c r="M5943" t="n">
        <x:v>0</x:v>
      </x:c>
      <x:c r="N5943" t="str">
        <x:v>Fully Paid</x:v>
      </x:c>
      <x:c r="O5943" t="str">
        <x:f>IF(D5943="","Unknown",IF(D5943&lt;25000,"&lt;$25k",IF(D5943&lt;50000,"$25k-$50k",IF(D5943&lt;75000,"$50k-$75k",IF(D5943&lt;100000,"$75k-$100k","$100k+")))))</x:f>
        <x:v>$25k-$50k</x:v>
      </x:c>
      <x:c r="P5943" t="str">
        <x:f>IF(E5943="","Unknown",IF(E5943&lt;10,"&lt;10",IF(E5943&lt;20,"10-&lt;20",IF(E5943&lt;25,"20-&lt;25",IF(E5943&lt;35,"25-&lt;35","35+")))))</x:f>
        <x:v>10-&lt;20</x:v>
      </x:c>
    </x:row>
    <x:row r="5944">
      <x:c r="A5944" t="str">
        <x:v>SYN0005943</x:v>
      </x:c>
      <x:c r="B5944" s="12" t="n">
        <x:v>42775</x:v>
      </x:c>
      <x:c r="C5944" s="18" t="n">
        <x:v>19125</x:v>
      </x:c>
      <x:c r="D5944" s="18" t="n">
        <x:v>23611</x:v>
      </x:c>
      <x:c r="E5944" s="18" t="n">
        <x:v>5.88</x:v>
      </x:c>
      <x:c r="F5944" s="18" t="n">
        <x:v>12.9</x:v>
      </x:c>
      <x:c r="G5944" t="n">
        <x:v>36</x:v>
      </x:c>
      <x:c r="H5944" t="str">
        <x:v>C</x:v>
      </x:c>
      <x:c r="I5944" t="str">
        <x:v>7-9 years</x:v>
      </x:c>
      <x:c r="J5944" t="str">
        <x:v>OWN</x:v>
      </x:c>
      <x:c r="K5944" t="str">
        <x:v>debt_consolidation</x:v>
      </x:c>
      <x:c r="L5944" t="n">
        <x:v>0</x:v>
      </x:c>
      <x:c r="M5944" t="n">
        <x:v>0</x:v>
      </x:c>
      <x:c r="N5944" t="str">
        <x:v>Fully Paid</x:v>
      </x:c>
      <x:c r="O5944" t="str">
        <x:f>IF(D5944="","Unknown",IF(D5944&lt;25000,"&lt;$25k",IF(D5944&lt;50000,"$25k-$50k",IF(D5944&lt;75000,"$50k-$75k",IF(D5944&lt;100000,"$75k-$100k","$100k+")))))</x:f>
        <x:v>&lt;$25k</x:v>
      </x:c>
      <x:c r="P5944" t="str">
        <x:f>IF(E5944="","Unknown",IF(E5944&lt;10,"&lt;10",IF(E5944&lt;20,"10-&lt;20",IF(E5944&lt;25,"20-&lt;25",IF(E5944&lt;35,"25-&lt;35","35+")))))</x:f>
        <x:v>&lt;10</x:v>
      </x:c>
    </x:row>
    <x:row r="5945">
      <x:c r="A5945" t="str">
        <x:v>SYN0005944</x:v>
      </x:c>
      <x:c r="B5945" s="12" t="n">
        <x:v>42475</x:v>
      </x:c>
      <x:c r="C5945" s="18" t="n">
        <x:v>15120</x:v>
      </x:c>
      <x:c r="D5945" s="18" t="n">
        <x:v>66349</x:v>
      </x:c>
      <x:c r="E5945" s="18" t="n">
        <x:v>24.09</x:v>
      </x:c>
      <x:c r="F5945" s="18" t="n">
        <x:v>16.96</x:v>
      </x:c>
      <x:c r="G5945" t="n">
        <x:v>36</x:v>
      </x:c>
      <x:c r="H5945" t="str">
        <x:v>E</x:v>
      </x:c>
      <x:c r="I5945" t="str">
        <x:v>10+ years</x:v>
      </x:c>
      <x:c r="J5945" t="str">
        <x:v>OWN</x:v>
      </x:c>
      <x:c r="K5945" t="str">
        <x:v>debt_consolidation</x:v>
      </x:c>
      <x:c r="L5945" t="n">
        <x:v>1</x:v>
      </x:c>
      <x:c r="M5945" t="n">
        <x:v>0</x:v>
      </x:c>
      <x:c r="N5945" t="str">
        <x:v>Fully Paid</x:v>
      </x:c>
      <x:c r="O5945" t="str">
        <x:f>IF(D5945="","Unknown",IF(D5945&lt;25000,"&lt;$25k",IF(D5945&lt;50000,"$25k-$50k",IF(D5945&lt;75000,"$50k-$75k",IF(D5945&lt;100000,"$75k-$100k","$100k+")))))</x:f>
        <x:v>$50k-$75k</x:v>
      </x:c>
      <x:c r="P5945" t="str">
        <x:f>IF(E5945="","Unknown",IF(E5945&lt;10,"&lt;10",IF(E5945&lt;20,"10-&lt;20",IF(E5945&lt;25,"20-&lt;25",IF(E5945&lt;35,"25-&lt;35","35+")))))</x:f>
        <x:v>20-&lt;25</x:v>
      </x:c>
    </x:row>
    <x:row r="5946">
      <x:c r="A5946" t="str">
        <x:v>SYN0005945</x:v>
      </x:c>
      <x:c r="B5946" s="12" t="n">
        <x:v>41335</x:v>
      </x:c>
      <x:c r="C5946" s="18" t="n">
        <x:v>14121</x:v>
      </x:c>
      <x:c r="D5946" s="18" t="n">
        <x:v>28160</x:v>
      </x:c>
      <x:c r="E5946" s="18" t="n">
        <x:v>9.59</x:v>
      </x:c>
      <x:c r="F5946" s="18" t="n">
        <x:v>8.59</x:v>
      </x:c>
      <x:c r="G5946" t="n">
        <x:v>36</x:v>
      </x:c>
      <x:c r="H5946" t="str">
        <x:v>B</x:v>
      </x:c>
      <x:c r="I5946" t="str">
        <x:v>7-9 years</x:v>
      </x:c>
      <x:c r="J5946" t="str">
        <x:v>RENT</x:v>
      </x:c>
      <x:c r="K5946" t="str">
        <x:v>credit_card</x:v>
      </x:c>
      <x:c r="L5946" t="n">
        <x:v>0</x:v>
      </x:c>
      <x:c r="M5946" t="n">
        <x:v>0</x:v>
      </x:c>
      <x:c r="N5946" t="str">
        <x:v>Fully Paid</x:v>
      </x:c>
      <x:c r="O5946" t="str">
        <x:f>IF(D5946="","Unknown",IF(D5946&lt;25000,"&lt;$25k",IF(D5946&lt;50000,"$25k-$50k",IF(D5946&lt;75000,"$50k-$75k",IF(D5946&lt;100000,"$75k-$100k","$100k+")))))</x:f>
        <x:v>$25k-$50k</x:v>
      </x:c>
      <x:c r="P5946" t="str">
        <x:f>IF(E5946="","Unknown",IF(E5946&lt;10,"&lt;10",IF(E5946&lt;20,"10-&lt;20",IF(E5946&lt;25,"20-&lt;25",IF(E5946&lt;35,"25-&lt;35","35+")))))</x:f>
        <x:v>&lt;10</x:v>
      </x:c>
    </x:row>
    <x:row r="5947">
      <x:c r="A5947" t="str">
        <x:v>SYN0005946</x:v>
      </x:c>
      <x:c r="B5947" s="12" t="n">
        <x:v>42955</x:v>
      </x:c>
      <x:c r="C5947" s="18" t="n">
        <x:v>10172</x:v>
      </x:c>
      <x:c r="D5947" s="18" t="n">
        <x:v>43751</x:v>
      </x:c>
      <x:c r="E5947" s="18" t="n">
        <x:v>6.64</x:v>
      </x:c>
      <x:c r="F5947" s="18" t="n">
        <x:v>10.85</x:v>
      </x:c>
      <x:c r="G5947" t="n">
        <x:v>60</x:v>
      </x:c>
      <x:c r="H5947" t="str">
        <x:v>B</x:v>
      </x:c>
      <x:c r="I5947" t="str">
        <x:v>10+ years</x:v>
      </x:c>
      <x:c r="J5947" t="str">
        <x:v>RENT</x:v>
      </x:c>
      <x:c r="K5947" t="str">
        <x:v>credit_card</x:v>
      </x:c>
      <x:c r="L5947" t="n">
        <x:v>0</x:v>
      </x:c>
      <x:c r="M5947" t="n">
        <x:v>0</x:v>
      </x:c>
      <x:c r="N5947" t="str">
        <x:v>Fully Paid</x:v>
      </x:c>
      <x:c r="O5947" t="str">
        <x:f>IF(D5947="","Unknown",IF(D5947&lt;25000,"&lt;$25k",IF(D5947&lt;50000,"$25k-$50k",IF(D5947&lt;75000,"$50k-$75k",IF(D5947&lt;100000,"$75k-$100k","$100k+")))))</x:f>
        <x:v>$25k-$50k</x:v>
      </x:c>
      <x:c r="P5947" t="str">
        <x:f>IF(E5947="","Unknown",IF(E5947&lt;10,"&lt;10",IF(E5947&lt;20,"10-&lt;20",IF(E5947&lt;25,"20-&lt;25",IF(E5947&lt;35,"25-&lt;35","35+")))))</x:f>
        <x:v>&lt;10</x:v>
      </x:c>
    </x:row>
    <x:row r="5948">
      <x:c r="A5948" t="str">
        <x:v>SYN0005947</x:v>
      </x:c>
      <x:c r="B5948" s="12" t="n">
        <x:v>42925</x:v>
      </x:c>
      <x:c r="C5948" s="18" t="n">
        <x:v>3428</x:v>
      </x:c>
      <x:c r="D5948" s="18" t="n">
        <x:v>45440</x:v>
      </x:c>
      <x:c r="E5948" s="18" t="n">
        <x:v>30.7</x:v>
      </x:c>
      <x:c r="F5948" s="18" t="n">
        <x:v>20.72</x:v>
      </x:c>
      <x:c r="G5948" t="n">
        <x:v>60</x:v>
      </x:c>
      <x:c r="H5948" t="str">
        <x:v>E</x:v>
      </x:c>
      <x:c r="I5948" t="str">
        <x:v>4-6 years</x:v>
      </x:c>
      <x:c r="J5948" t="str">
        <x:v>OWN</x:v>
      </x:c>
      <x:c r="K5948" t="str">
        <x:v>credit_card</x:v>
      </x:c>
      <x:c r="L5948" t="n">
        <x:v>1</x:v>
      </x:c>
      <x:c r="M5948" t="n">
        <x:v>0</x:v>
      </x:c>
      <x:c r="N5948" t="str">
        <x:v>Fully Paid</x:v>
      </x:c>
      <x:c r="O5948" t="str">
        <x:f>IF(D5948="","Unknown",IF(D5948&lt;25000,"&lt;$25k",IF(D5948&lt;50000,"$25k-$50k",IF(D5948&lt;75000,"$50k-$75k",IF(D5948&lt;100000,"$75k-$100k","$100k+")))))</x:f>
        <x:v>$25k-$50k</x:v>
      </x:c>
      <x:c r="P5948" t="str">
        <x:f>IF(E5948="","Unknown",IF(E5948&lt;10,"&lt;10",IF(E5948&lt;20,"10-&lt;20",IF(E5948&lt;25,"20-&lt;25",IF(E5948&lt;35,"25-&lt;35","35+")))))</x:f>
        <x:v>25-&lt;35</x:v>
      </x:c>
    </x:row>
    <x:row r="5949">
      <x:c r="A5949" t="str">
        <x:v>SYN0005948</x:v>
      </x:c>
      <x:c r="B5949" s="12" t="n">
        <x:v>42685</x:v>
      </x:c>
      <x:c r="C5949" s="18" t="n">
        <x:v>10448</x:v>
      </x:c>
      <x:c r="D5949" s="18" t="n">
        <x:v>150996</x:v>
      </x:c>
      <x:c r="E5949" s="18" t="n">
        <x:v>27.82</x:v>
      </x:c>
      <x:c r="F5949" s="18" t="n">
        <x:v>16.52</x:v>
      </x:c>
      <x:c r="G5949" t="n">
        <x:v>60</x:v>
      </x:c>
      <x:c r="H5949" t="str">
        <x:v>E</x:v>
      </x:c>
      <x:c r="I5949" t="str">
        <x:v>1-3 years</x:v>
      </x:c>
      <x:c r="J5949" t="str">
        <x:v>RENT</x:v>
      </x:c>
      <x:c r="K5949" t="str">
        <x:v>debt_consolidation</x:v>
      </x:c>
      <x:c r="L5949" t="n">
        <x:v>1</x:v>
      </x:c>
      <x:c r="M5949" t="n">
        <x:v>0</x:v>
      </x:c>
      <x:c r="N5949" t="str">
        <x:v>Fully Paid</x:v>
      </x:c>
      <x:c r="O5949" t="str">
        <x:f>IF(D5949="","Unknown",IF(D5949&lt;25000,"&lt;$25k",IF(D5949&lt;50000,"$25k-$50k",IF(D5949&lt;75000,"$50k-$75k",IF(D5949&lt;100000,"$75k-$100k","$100k+")))))</x:f>
        <x:v>$100k+</x:v>
      </x:c>
      <x:c r="P5949" t="str">
        <x:f>IF(E5949="","Unknown",IF(E5949&lt;10,"&lt;10",IF(E5949&lt;20,"10-&lt;20",IF(E5949&lt;25,"20-&lt;25",IF(E5949&lt;35,"25-&lt;35","35+")))))</x:f>
        <x:v>25-&lt;35</x:v>
      </x:c>
    </x:row>
    <x:row r="5950">
      <x:c r="A5950" t="str">
        <x:v>SYN0005949</x:v>
      </x:c>
      <x:c r="B5950" s="12" t="n">
        <x:v>42535</x:v>
      </x:c>
      <x:c r="C5950" s="18" t="n">
        <x:v>7776</x:v>
      </x:c>
      <x:c r="D5950" s="18" t="n">
        <x:v>62103</x:v>
      </x:c>
      <x:c r="E5950" s="18" t="n">
        <x:v>14.91</x:v>
      </x:c>
      <x:c r="F5950" s="18" t="n">
        <x:v>8.73</x:v>
      </x:c>
      <x:c r="G5950" t="n">
        <x:v>36</x:v>
      </x:c>
      <x:c r="H5950" t="str">
        <x:v>B</x:v>
      </x:c>
      <x:c r="I5950" t="str">
        <x:v>7-9 years</x:v>
      </x:c>
      <x:c r="J5950" t="str">
        <x:v>MORTGAGE</x:v>
      </x:c>
      <x:c r="K5950" t="str">
        <x:v>credit_card</x:v>
      </x:c>
      <x:c r="L5950" t="n">
        <x:v>1</x:v>
      </x:c>
      <x:c r="M5950" t="n">
        <x:v>0</x:v>
      </x:c>
      <x:c r="N5950" t="str">
        <x:v>Fully Paid</x:v>
      </x:c>
      <x:c r="O5950" t="str">
        <x:f>IF(D5950="","Unknown",IF(D5950&lt;25000,"&lt;$25k",IF(D5950&lt;50000,"$25k-$50k",IF(D5950&lt;75000,"$50k-$75k",IF(D5950&lt;100000,"$75k-$100k","$100k+")))))</x:f>
        <x:v>$50k-$75k</x:v>
      </x:c>
      <x:c r="P5950" t="str">
        <x:f>IF(E5950="","Unknown",IF(E5950&lt;10,"&lt;10",IF(E5950&lt;20,"10-&lt;20",IF(E5950&lt;25,"20-&lt;25",IF(E5950&lt;35,"25-&lt;35","35+")))))</x:f>
        <x:v>10-&lt;20</x:v>
      </x:c>
    </x:row>
    <x:row r="5951">
      <x:c r="A5951" t="str">
        <x:v>SYN0005950</x:v>
      </x:c>
      <x:c r="B5951" s="12" t="n">
        <x:v>41635</x:v>
      </x:c>
      <x:c r="C5951" s="18" t="n">
        <x:v>12258</x:v>
      </x:c>
      <x:c r="D5951" s="18" t="n">
        <x:v>102300</x:v>
      </x:c>
      <x:c r="E5951" s="18" t="n">
        <x:v>26.29</x:v>
      </x:c>
      <x:c r="F5951" s="18" t="n">
        <x:v>13.69</x:v>
      </x:c>
      <x:c r="G5951" t="n">
        <x:v>60</x:v>
      </x:c>
      <x:c r="H5951" t="str">
        <x:v>D</x:v>
      </x:c>
      <x:c r="I5951" t="str">
        <x:v>1-3 years</x:v>
      </x:c>
      <x:c r="J5951" t="str">
        <x:v>RENT</x:v>
      </x:c>
      <x:c r="K5951" t="str">
        <x:v>credit_card</x:v>
      </x:c>
      <x:c r="L5951" t="n">
        <x:v>0</x:v>
      </x:c>
      <x:c r="M5951" t="n">
        <x:v>0</x:v>
      </x:c>
      <x:c r="N5951" t="str">
        <x:v>Fully Paid</x:v>
      </x:c>
      <x:c r="O5951" t="str">
        <x:f>IF(D5951="","Unknown",IF(D5951&lt;25000,"&lt;$25k",IF(D5951&lt;50000,"$25k-$50k",IF(D5951&lt;75000,"$50k-$75k",IF(D5951&lt;100000,"$75k-$100k","$100k+")))))</x:f>
        <x:v>$100k+</x:v>
      </x:c>
      <x:c r="P5951" t="str">
        <x:f>IF(E5951="","Unknown",IF(E5951&lt;10,"&lt;10",IF(E5951&lt;20,"10-&lt;20",IF(E5951&lt;25,"20-&lt;25",IF(E5951&lt;35,"25-&lt;35","35+")))))</x:f>
        <x:v>25-&lt;35</x:v>
      </x:c>
    </x:row>
    <x:row r="5952">
      <x:c r="A5952" t="str">
        <x:v>SYN0005951</x:v>
      </x:c>
      <x:c r="B5952" s="12" t="n">
        <x:v>42535</x:v>
      </x:c>
      <x:c r="C5952" s="18" t="n">
        <x:v>6213</x:v>
      </x:c>
      <x:c r="D5952" s="18" t="n">
        <x:v>47674</x:v>
      </x:c>
      <x:c r="E5952" s="18" t="n">
        <x:v>32.22</x:v>
      </x:c>
      <x:c r="F5952" s="18" t="n">
        <x:v>7.89</x:v>
      </x:c>
      <x:c r="G5952" t="n">
        <x:v>60</x:v>
      </x:c>
      <x:c r="H5952" t="str">
        <x:v>A</x:v>
      </x:c>
      <x:c r="I5952" t="str">
        <x:v>10+ years</x:v>
      </x:c>
      <x:c r="J5952" t="str">
        <x:v>MORTGAGE</x:v>
      </x:c>
      <x:c r="K5952" t="str">
        <x:v>major_purchase</x:v>
      </x:c>
      <x:c r="L5952" t="n">
        <x:v>0</x:v>
      </x:c>
      <x:c r="M5952" t="n">
        <x:v>0</x:v>
      </x:c>
      <x:c r="N5952" t="str">
        <x:v>Fully Paid</x:v>
      </x:c>
      <x:c r="O5952" t="str">
        <x:f>IF(D5952="","Unknown",IF(D5952&lt;25000,"&lt;$25k",IF(D5952&lt;50000,"$25k-$50k",IF(D5952&lt;75000,"$50k-$75k",IF(D5952&lt;100000,"$75k-$100k","$100k+")))))</x:f>
        <x:v>$25k-$50k</x:v>
      </x:c>
      <x:c r="P5952" t="str">
        <x:f>IF(E5952="","Unknown",IF(E5952&lt;10,"&lt;10",IF(E5952&lt;20,"10-&lt;20",IF(E5952&lt;25,"20-&lt;25",IF(E5952&lt;35,"25-&lt;35","35+")))))</x:f>
        <x:v>25-&lt;35</x:v>
      </x:c>
    </x:row>
    <x:row r="5953">
      <x:c r="A5953" t="str">
        <x:v>SYN0005952</x:v>
      </x:c>
      <x:c r="B5953" s="12" t="n">
        <x:v>41935</x:v>
      </x:c>
      <x:c r="C5953" s="18" t="n">
        <x:v>17169</x:v>
      </x:c>
      <x:c r="D5953" s="18" t="n">
        <x:v>32451</x:v>
      </x:c>
      <x:c r="E5953" s="18" t="n">
        <x:v>22.77</x:v>
      </x:c>
      <x:c r="F5953" s="18" t="n">
        <x:v>9.97</x:v>
      </x:c>
      <x:c r="G5953" t="n">
        <x:v>36</x:v>
      </x:c>
      <x:c r="H5953" t="str">
        <x:v>C</x:v>
      </x:c>
      <x:c r="I5953" t="str">
        <x:v>10+ years</x:v>
      </x:c>
      <x:c r="J5953" t="str">
        <x:v>MORTGAGE</x:v>
      </x:c>
      <x:c r="K5953" t="str">
        <x:v>major_purchase</x:v>
      </x:c>
      <x:c r="L5953" t="n">
        <x:v>0</x:v>
      </x:c>
      <x:c r="M5953" t="n">
        <x:v>0</x:v>
      </x:c>
      <x:c r="N5953" t="str">
        <x:v>Fully Paid</x:v>
      </x:c>
      <x:c r="O5953" t="str">
        <x:f>IF(D5953="","Unknown",IF(D5953&lt;25000,"&lt;$25k",IF(D5953&lt;50000,"$25k-$50k",IF(D5953&lt;75000,"$50k-$75k",IF(D5953&lt;100000,"$75k-$100k","$100k+")))))</x:f>
        <x:v>$25k-$50k</x:v>
      </x:c>
      <x:c r="P5953" t="str">
        <x:f>IF(E5953="","Unknown",IF(E5953&lt;10,"&lt;10",IF(E5953&lt;20,"10-&lt;20",IF(E5953&lt;25,"20-&lt;25",IF(E5953&lt;35,"25-&lt;35","35+")))))</x:f>
        <x:v>20-&lt;25</x:v>
      </x:c>
    </x:row>
    <x:row r="5954">
      <x:c r="A5954" t="str">
        <x:v>SYN0005953</x:v>
      </x:c>
      <x:c r="B5954" s="12" t="n">
        <x:v>42625</x:v>
      </x:c>
      <x:c r="C5954" s="18" t="n">
        <x:v>16527</x:v>
      </x:c>
      <x:c r="D5954" s="18" t="n">
        <x:v>123249</x:v>
      </x:c>
      <x:c r="E5954" s="18" t="n">
        <x:v>18.92</x:v>
      </x:c>
      <x:c r="F5954" s="18" t="n">
        <x:v>17.95</x:v>
      </x:c>
      <x:c r="G5954" t="n">
        <x:v>36</x:v>
      </x:c>
      <x:c r="H5954" t="str">
        <x:v>E</x:v>
      </x:c>
      <x:c r="I5954" t="str">
        <x:v>4-6 years</x:v>
      </x:c>
      <x:c r="J5954" t="str">
        <x:v>MORTGAGE</x:v>
      </x:c>
      <x:c r="K5954" t="str">
        <x:v>debt_consolidation</x:v>
      </x:c>
      <x:c r="L5954" t="n">
        <x:v>0</x:v>
      </x:c>
      <x:c r="M5954" t="n">
        <x:v>0</x:v>
      </x:c>
      <x:c r="N5954" t="str">
        <x:v>Fully Paid</x:v>
      </x:c>
      <x:c r="O5954" t="str">
        <x:f>IF(D5954="","Unknown",IF(D5954&lt;25000,"&lt;$25k",IF(D5954&lt;50000,"$25k-$50k",IF(D5954&lt;75000,"$50k-$75k",IF(D5954&lt;100000,"$75k-$100k","$100k+")))))</x:f>
        <x:v>$100k+</x:v>
      </x:c>
      <x:c r="P5954" t="str">
        <x:f>IF(E5954="","Unknown",IF(E5954&lt;10,"&lt;10",IF(E5954&lt;20,"10-&lt;20",IF(E5954&lt;25,"20-&lt;25",IF(E5954&lt;35,"25-&lt;35","35+")))))</x:f>
        <x:v>10-&lt;20</x:v>
      </x:c>
    </x:row>
    <x:row r="5955">
      <x:c r="A5955" t="str">
        <x:v>SYN0005954</x:v>
      </x:c>
      <x:c r="B5955" s="12" t="n">
        <x:v>43375</x:v>
      </x:c>
      <x:c r="C5955" s="18" t="n">
        <x:v>10083</x:v>
      </x:c>
      <x:c r="D5955" s="18" t="n">
        <x:v>55261</x:v>
      </x:c>
      <x:c r="E5955" s="18" t="n">
        <x:v>9.95</x:v>
      </x:c>
      <x:c r="F5955" s="18" t="n">
        <x:v>12.44</x:v>
      </x:c>
      <x:c r="G5955" t="n">
        <x:v>36</x:v>
      </x:c>
      <x:c r="H5955" t="str">
        <x:v>D</x:v>
      </x:c>
      <x:c r="I5955" t="str">
        <x:v>1-3 years</x:v>
      </x:c>
      <x:c r="J5955" t="str">
        <x:v>RENT</x:v>
      </x:c>
      <x:c r="K5955" t="str">
        <x:v>medical</x:v>
      </x:c>
      <x:c r="L5955" t="n">
        <x:v>2</x:v>
      </x:c>
      <x:c r="M5955" t="n">
        <x:v>0</x:v>
      </x:c>
      <x:c r="N5955" t="str">
        <x:v>Fully Paid</x:v>
      </x:c>
      <x:c r="O5955" t="str">
        <x:f>IF(D5955="","Unknown",IF(D5955&lt;25000,"&lt;$25k",IF(D5955&lt;50000,"$25k-$50k",IF(D5955&lt;75000,"$50k-$75k",IF(D5955&lt;100000,"$75k-$100k","$100k+")))))</x:f>
        <x:v>$50k-$75k</x:v>
      </x:c>
      <x:c r="P5955" t="str">
        <x:f>IF(E5955="","Unknown",IF(E5955&lt;10,"&lt;10",IF(E5955&lt;20,"10-&lt;20",IF(E5955&lt;25,"20-&lt;25",IF(E5955&lt;35,"25-&lt;35","35+")))))</x:f>
        <x:v>&lt;10</x:v>
      </x:c>
    </x:row>
    <x:row r="5956">
      <x:c r="A5956" t="str">
        <x:v>SYN0005955</x:v>
      </x:c>
      <x:c r="B5956" s="12" t="n">
        <x:v>41395</x:v>
      </x:c>
      <x:c r="C5956" s="18" t="n">
        <x:v>15963</x:v>
      </x:c>
      <x:c r="D5956" s="18" t="n">
        <x:v>45328</x:v>
      </x:c>
      <x:c r="E5956" s="18" t="n">
        <x:v>27.71</x:v>
      </x:c>
      <x:c r="F5956" s="18" t="n">
        <x:v>13.16</x:v>
      </x:c>
      <x:c r="G5956" t="n">
        <x:v>60</x:v>
      </x:c>
      <x:c r="H5956" t="str">
        <x:v>C</x:v>
      </x:c>
      <x:c r="I5956" t="str">
        <x:v>&lt;1 year</x:v>
      </x:c>
      <x:c r="J5956" t="str">
        <x:v>RENT</x:v>
      </x:c>
      <x:c r="K5956" t="str">
        <x:v>debt_consolidation</x:v>
      </x:c>
      <x:c r="L5956" t="n">
        <x:v>0</x:v>
      </x:c>
      <x:c r="M5956" t="n">
        <x:v>0</x:v>
      </x:c>
      <x:c r="N5956" t="str">
        <x:v>Fully Paid</x:v>
      </x:c>
      <x:c r="O5956" t="str">
        <x:f>IF(D5956="","Unknown",IF(D5956&lt;25000,"&lt;$25k",IF(D5956&lt;50000,"$25k-$50k",IF(D5956&lt;75000,"$50k-$75k",IF(D5956&lt;100000,"$75k-$100k","$100k+")))))</x:f>
        <x:v>$25k-$50k</x:v>
      </x:c>
      <x:c r="P5956" t="str">
        <x:f>IF(E5956="","Unknown",IF(E5956&lt;10,"&lt;10",IF(E5956&lt;20,"10-&lt;20",IF(E5956&lt;25,"20-&lt;25",IF(E5956&lt;35,"25-&lt;35","35+")))))</x:f>
        <x:v>25-&lt;35</x:v>
      </x:c>
    </x:row>
    <x:row r="5957">
      <x:c r="A5957" t="str">
        <x:v>SYN0005956</x:v>
      </x:c>
      <x:c r="B5957" s="12" t="n">
        <x:v>41635</x:v>
      </x:c>
      <x:c r="C5957" s="18" t="n">
        <x:v>10912</x:v>
      </x:c>
      <x:c r="D5957" s="18" t="n">
        <x:v>12000</x:v>
      </x:c>
      <x:c r="E5957" s="18" t="n">
        <x:v>28.27</x:v>
      </x:c>
      <x:c r="F5957" s="18" t="n">
        <x:v>13.1</x:v>
      </x:c>
      <x:c r="G5957" t="n">
        <x:v>36</x:v>
      </x:c>
      <x:c r="H5957" t="str">
        <x:v>D</x:v>
      </x:c>
      <x:c r="I5957" t="str">
        <x:v>10+ years</x:v>
      </x:c>
      <x:c r="J5957" t="str">
        <x:v>RENT</x:v>
      </x:c>
      <x:c r="K5957" t="str">
        <x:v>debt_consolidation</x:v>
      </x:c>
      <x:c r="L5957" t="n">
        <x:v>0</x:v>
      </x:c>
      <x:c r="M5957" t="n">
        <x:v>0</x:v>
      </x:c>
      <x:c r="N5957" t="str">
        <x:v>Fully Paid</x:v>
      </x:c>
      <x:c r="O5957" t="str">
        <x:f>IF(D5957="","Unknown",IF(D5957&lt;25000,"&lt;$25k",IF(D5957&lt;50000,"$25k-$50k",IF(D5957&lt;75000,"$50k-$75k",IF(D5957&lt;100000,"$75k-$100k","$100k+")))))</x:f>
        <x:v>&lt;$25k</x:v>
      </x:c>
      <x:c r="P5957" t="str">
        <x:f>IF(E5957="","Unknown",IF(E5957&lt;10,"&lt;10",IF(E5957&lt;20,"10-&lt;20",IF(E5957&lt;25,"20-&lt;25",IF(E5957&lt;35,"25-&lt;35","35+")))))</x:f>
        <x:v>25-&lt;35</x:v>
      </x:c>
    </x:row>
    <x:row r="5958">
      <x:c r="A5958" t="str">
        <x:v>SYN0005957</x:v>
      </x:c>
      <x:c r="B5958" s="12" t="n">
        <x:v>43165</x:v>
      </x:c>
      <x:c r="C5958" s="18" t="n">
        <x:v>12762</x:v>
      </x:c>
      <x:c r="D5958" s="18" t="n">
        <x:v>39484</x:v>
      </x:c>
      <x:c r="E5958" s="18" t="n">
        <x:v>31.57</x:v>
      </x:c>
      <x:c r="F5958" s="18" t="n">
        <x:v>17.71</x:v>
      </x:c>
      <x:c r="G5958" t="n">
        <x:v>36</x:v>
      </x:c>
      <x:c r="H5958" t="str">
        <x:v>D</x:v>
      </x:c>
      <x:c r="I5958" t="str">
        <x:v>4-6 years</x:v>
      </x:c>
      <x:c r="J5958" t="str">
        <x:v>MORTGAGE</x:v>
      </x:c>
      <x:c r="K5958" t="str">
        <x:v>home_improvement</x:v>
      </x:c>
      <x:c r="L5958" t="n">
        <x:v>1</x:v>
      </x:c>
      <x:c r="M5958" t="n">
        <x:v>1</x:v>
      </x:c>
      <x:c r="N5958" t="str">
        <x:v>Charged Off</x:v>
      </x:c>
      <x:c r="O5958" t="str">
        <x:f>IF(D5958="","Unknown",IF(D5958&lt;25000,"&lt;$25k",IF(D5958&lt;50000,"$25k-$50k",IF(D5958&lt;75000,"$50k-$75k",IF(D5958&lt;100000,"$75k-$100k","$100k+")))))</x:f>
        <x:v>$25k-$50k</x:v>
      </x:c>
      <x:c r="P5958" t="str">
        <x:f>IF(E5958="","Unknown",IF(E5958&lt;10,"&lt;10",IF(E5958&lt;20,"10-&lt;20",IF(E5958&lt;25,"20-&lt;25",IF(E5958&lt;35,"25-&lt;35","35+")))))</x:f>
        <x:v>25-&lt;35</x:v>
      </x:c>
    </x:row>
    <x:row r="5959">
      <x:c r="A5959" t="str">
        <x:v>SYN0005958</x:v>
      </x:c>
      <x:c r="B5959" s="12" t="n">
        <x:v>42805</x:v>
      </x:c>
      <x:c r="C5959" s="18" t="n">
        <x:v>6102</x:v>
      </x:c>
      <x:c r="D5959" s="18" t="n">
        <x:v>54247</x:v>
      </x:c>
      <x:c r="E5959" s="18" t="n">
        <x:v>19.66</x:v>
      </x:c>
      <x:c r="F5959" s="18" t="n">
        <x:v>20.23</x:v>
      </x:c>
      <x:c r="G5959" t="n">
        <x:v>60</x:v>
      </x:c>
      <x:c r="H5959" t="str">
        <x:v>F</x:v>
      </x:c>
      <x:c r="I5959" t="str">
        <x:v>4-6 years</x:v>
      </x:c>
      <x:c r="J5959" t="str">
        <x:v>RENT</x:v>
      </x:c>
      <x:c r="K5959" t="str">
        <x:v>debt_consolidation</x:v>
      </x:c>
      <x:c r="L5959" t="n">
        <x:v>0</x:v>
      </x:c>
      <x:c r="M5959" t="n">
        <x:v>0</x:v>
      </x:c>
      <x:c r="N5959" t="str">
        <x:v>Fully Paid</x:v>
      </x:c>
      <x:c r="O5959" t="str">
        <x:f>IF(D5959="","Unknown",IF(D5959&lt;25000,"&lt;$25k",IF(D5959&lt;50000,"$25k-$50k",IF(D5959&lt;75000,"$50k-$75k",IF(D5959&lt;100000,"$75k-$100k","$100k+")))))</x:f>
        <x:v>$50k-$75k</x:v>
      </x:c>
      <x:c r="P5959" t="str">
        <x:f>IF(E5959="","Unknown",IF(E5959&lt;10,"&lt;10",IF(E5959&lt;20,"10-&lt;20",IF(E5959&lt;25,"20-&lt;25",IF(E5959&lt;35,"25-&lt;35","35+")))))</x:f>
        <x:v>10-&lt;20</x:v>
      </x:c>
    </x:row>
    <x:row r="5960">
      <x:c r="A5960" t="str">
        <x:v>SYN0005959</x:v>
      </x:c>
      <x:c r="B5960" s="12" t="n">
        <x:v>43105</x:v>
      </x:c>
      <x:c r="C5960" s="18" t="n">
        <x:v>25645</x:v>
      </x:c>
      <x:c r="D5960" s="18" t="n">
        <x:v>37487</x:v>
      </x:c>
      <x:c r="E5960" s="18" t="n">
        <x:v>26.03</x:v>
      </x:c>
      <x:c r="F5960" s="18" t="n">
        <x:v>8.47</x:v>
      </x:c>
      <x:c r="G5960" t="n">
        <x:v>36</x:v>
      </x:c>
      <x:c r="H5960" t="str">
        <x:v>C</x:v>
      </x:c>
      <x:c r="I5960" t="str">
        <x:v>4-6 years</x:v>
      </x:c>
      <x:c r="J5960" t="str">
        <x:v>MORTGAGE</x:v>
      </x:c>
      <x:c r="K5960" t="str">
        <x:v>medical</x:v>
      </x:c>
      <x:c r="L5960" t="n">
        <x:v>0</x:v>
      </x:c>
      <x:c r="M5960" t="n">
        <x:v>0</x:v>
      </x:c>
      <x:c r="N5960" t="str">
        <x:v>Fully Paid</x:v>
      </x:c>
      <x:c r="O5960" t="str">
        <x:f>IF(D5960="","Unknown",IF(D5960&lt;25000,"&lt;$25k",IF(D5960&lt;50000,"$25k-$50k",IF(D5960&lt;75000,"$50k-$75k",IF(D5960&lt;100000,"$75k-$100k","$100k+")))))</x:f>
        <x:v>$25k-$50k</x:v>
      </x:c>
      <x:c r="P5960" t="str">
        <x:f>IF(E5960="","Unknown",IF(E5960&lt;10,"&lt;10",IF(E5960&lt;20,"10-&lt;20",IF(E5960&lt;25,"20-&lt;25",IF(E5960&lt;35,"25-&lt;35","35+")))))</x:f>
        <x:v>25-&lt;35</x:v>
      </x:c>
    </x:row>
    <x:row r="5961">
      <x:c r="A5961" t="str">
        <x:v>SYN0005960</x:v>
      </x:c>
      <x:c r="B5961" s="12" t="n">
        <x:v>42925</x:v>
      </x:c>
      <x:c r="C5961" s="18" t="n">
        <x:v>11599</x:v>
      </x:c>
      <x:c r="D5961" s="18" t="n">
        <x:v>46405</x:v>
      </x:c>
      <x:c r="E5961" s="18" t="n">
        <x:v>3.8</x:v>
      </x:c>
      <x:c r="F5961" s="18" t="n">
        <x:v>22.1</x:v>
      </x:c>
      <x:c r="G5961" t="n">
        <x:v>60</x:v>
      </x:c>
      <x:c r="H5961" t="str">
        <x:v>F</x:v>
      </x:c>
      <x:c r="I5961" t="str">
        <x:v>&lt;1 year</x:v>
      </x:c>
      <x:c r="J5961" t="str">
        <x:v>MORTGAGE</x:v>
      </x:c>
      <x:c r="K5961" t="str">
        <x:v>debt_consolidation</x:v>
      </x:c>
      <x:c r="L5961" t="n">
        <x:v>0</x:v>
      </x:c>
      <x:c r="M5961" t="n">
        <x:v>0</x:v>
      </x:c>
      <x:c r="N5961" t="str">
        <x:v>Fully Paid</x:v>
      </x:c>
      <x:c r="O5961" t="str">
        <x:f>IF(D5961="","Unknown",IF(D5961&lt;25000,"&lt;$25k",IF(D5961&lt;50000,"$25k-$50k",IF(D5961&lt;75000,"$50k-$75k",IF(D5961&lt;100000,"$75k-$100k","$100k+")))))</x:f>
        <x:v>$25k-$50k</x:v>
      </x:c>
      <x:c r="P5961" t="str">
        <x:f>IF(E5961="","Unknown",IF(E5961&lt;10,"&lt;10",IF(E5961&lt;20,"10-&lt;20",IF(E5961&lt;25,"20-&lt;25",IF(E5961&lt;35,"25-&lt;35","35+")))))</x:f>
        <x:v>&lt;10</x:v>
      </x:c>
    </x:row>
    <x:row r="5962">
      <x:c r="A5962" t="str">
        <x:v>SYN0005961</x:v>
      </x:c>
      <x:c r="B5962" s="12" t="n">
        <x:v>41395</x:v>
      </x:c>
      <x:c r="C5962" s="18" t="n">
        <x:v>21071</x:v>
      </x:c>
      <x:c r="D5962" s="18" t="n">
        <x:v>119211</x:v>
      </x:c>
      <x:c r="E5962" s="18" t="n">
        <x:v>30.16</x:v>
      </x:c>
      <x:c r="F5962" s="18" t="n">
        <x:v>13.32</x:v>
      </x:c>
      <x:c r="G5962" t="n">
        <x:v>36</x:v>
      </x:c>
      <x:c r="H5962" t="str">
        <x:v>C</x:v>
      </x:c>
      <x:c r="I5962" t="str">
        <x:v>7-9 years</x:v>
      </x:c>
      <x:c r="J5962" t="str">
        <x:v>OWN</x:v>
      </x:c>
      <x:c r="K5962" t="str">
        <x:v>debt_consolidation</x:v>
      </x:c>
      <x:c r="L5962" t="n">
        <x:v>0</x:v>
      </x:c>
      <x:c r="M5962" t="n">
        <x:v>0</x:v>
      </x:c>
      <x:c r="N5962" t="str">
        <x:v>Fully Paid</x:v>
      </x:c>
      <x:c r="O5962" t="str">
        <x:f>IF(D5962="","Unknown",IF(D5962&lt;25000,"&lt;$25k",IF(D5962&lt;50000,"$25k-$50k",IF(D5962&lt;75000,"$50k-$75k",IF(D5962&lt;100000,"$75k-$100k","$100k+")))))</x:f>
        <x:v>$100k+</x:v>
      </x:c>
      <x:c r="P5962" t="str">
        <x:f>IF(E5962="","Unknown",IF(E5962&lt;10,"&lt;10",IF(E5962&lt;20,"10-&lt;20",IF(E5962&lt;25,"20-&lt;25",IF(E5962&lt;35,"25-&lt;35","35+")))))</x:f>
        <x:v>25-&lt;35</x:v>
      </x:c>
    </x:row>
    <x:row r="5963">
      <x:c r="A5963" t="str">
        <x:v>SYN0005962</x:v>
      </x:c>
      <x:c r="B5963" s="12" t="n">
        <x:v>41455</x:v>
      </x:c>
      <x:c r="C5963" s="18" t="n">
        <x:v>21652</x:v>
      </x:c>
      <x:c r="D5963" s="18" t="n">
        <x:v>37793</x:v>
      </x:c>
      <x:c r="E5963" s="18" t="n">
        <x:v>17.39</x:v>
      </x:c>
      <x:c r="F5963" s="18" t="n">
        <x:v>12.16</x:v>
      </x:c>
      <x:c r="G5963" t="n">
        <x:v>60</x:v>
      </x:c>
      <x:c r="H5963" t="str">
        <x:v>D</x:v>
      </x:c>
      <x:c r="I5963" t="str">
        <x:v>4-6 years</x:v>
      </x:c>
      <x:c r="J5963" t="str">
        <x:v>OWN</x:v>
      </x:c>
      <x:c r="K5963" t="str">
        <x:v>debt_consolidation</x:v>
      </x:c>
      <x:c r="L5963" t="n">
        <x:v>0</x:v>
      </x:c>
      <x:c r="M5963" t="n">
        <x:v>0</x:v>
      </x:c>
      <x:c r="N5963" t="str">
        <x:v>Fully Paid</x:v>
      </x:c>
      <x:c r="O5963" t="str">
        <x:f>IF(D5963="","Unknown",IF(D5963&lt;25000,"&lt;$25k",IF(D5963&lt;50000,"$25k-$50k",IF(D5963&lt;75000,"$50k-$75k",IF(D5963&lt;100000,"$75k-$100k","$100k+")))))</x:f>
        <x:v>$25k-$50k</x:v>
      </x:c>
      <x:c r="P5963" t="str">
        <x:f>IF(E5963="","Unknown",IF(E5963&lt;10,"&lt;10",IF(E5963&lt;20,"10-&lt;20",IF(E5963&lt;25,"20-&lt;25",IF(E5963&lt;35,"25-&lt;35","35+")))))</x:f>
        <x:v>10-&lt;20</x:v>
      </x:c>
    </x:row>
    <x:row r="5964">
      <x:c r="A5964" t="str">
        <x:v>SYN0005963</x:v>
      </x:c>
      <x:c r="B5964" s="12" t="n">
        <x:v>43255</x:v>
      </x:c>
      <x:c r="C5964" s="18" t="n">
        <x:v>7481</x:v>
      </x:c>
      <x:c r="D5964" s="18" t="n">
        <x:v>54936</x:v>
      </x:c>
      <x:c r="E5964" s="18" t="n">
        <x:v>21.75</x:v>
      </x:c>
      <x:c r="F5964" s="18" t="n">
        <x:v>19.4</x:v>
      </x:c>
      <x:c r="G5964" t="n">
        <x:v>36</x:v>
      </x:c>
      <x:c r="H5964" t="str">
        <x:v>F</x:v>
      </x:c>
      <x:c r="I5964" t="str">
        <x:v>10+ years</x:v>
      </x:c>
      <x:c r="J5964" t="str">
        <x:v>RENT</x:v>
      </x:c>
      <x:c r="K5964" t="str">
        <x:v>debt_consolidation</x:v>
      </x:c>
      <x:c r="L5964" t="n">
        <x:v>1</x:v>
      </x:c>
      <x:c r="M5964" t="n">
        <x:v>0</x:v>
      </x:c>
      <x:c r="N5964" t="str">
        <x:v>Fully Paid</x:v>
      </x:c>
      <x:c r="O5964" t="str">
        <x:f>IF(D5964="","Unknown",IF(D5964&lt;25000,"&lt;$25k",IF(D5964&lt;50000,"$25k-$50k",IF(D5964&lt;75000,"$50k-$75k",IF(D5964&lt;100000,"$75k-$100k","$100k+")))))</x:f>
        <x:v>$50k-$75k</x:v>
      </x:c>
      <x:c r="P5964" t="str">
        <x:f>IF(E5964="","Unknown",IF(E5964&lt;10,"&lt;10",IF(E5964&lt;20,"10-&lt;20",IF(E5964&lt;25,"20-&lt;25",IF(E5964&lt;35,"25-&lt;35","35+")))))</x:f>
        <x:v>20-&lt;25</x:v>
      </x:c>
    </x:row>
    <x:row r="5965">
      <x:c r="A5965" t="str">
        <x:v>SYN0005964</x:v>
      </x:c>
      <x:c r="B5965" s="12" t="n">
        <x:v>42205</x:v>
      </x:c>
      <x:c r="C5965" s="18" t="n">
        <x:v>23627</x:v>
      </x:c>
      <x:c r="D5965" s="18" t="n">
        <x:v>126088</x:v>
      </x:c>
      <x:c r="E5965" s="18" t="n">
        <x:v>26.38</x:v>
      </x:c>
      <x:c r="F5965" s="18" t="n">
        <x:v>9.05</x:v>
      </x:c>
      <x:c r="G5965" t="n">
        <x:v>36</x:v>
      </x:c>
      <x:c r="H5965" t="str">
        <x:v>B</x:v>
      </x:c>
      <x:c r="I5965" t="str">
        <x:v>10+ years</x:v>
      </x:c>
      <x:c r="J5965" t="str">
        <x:v>MORTGAGE</x:v>
      </x:c>
      <x:c r="K5965" t="str">
        <x:v>major_purchase</x:v>
      </x:c>
      <x:c r="L5965" t="n">
        <x:v>1</x:v>
      </x:c>
      <x:c r="M5965" t="n">
        <x:v>0</x:v>
      </x:c>
      <x:c r="N5965" t="str">
        <x:v>Fully Paid</x:v>
      </x:c>
      <x:c r="O5965" t="str">
        <x:f>IF(D5965="","Unknown",IF(D5965&lt;25000,"&lt;$25k",IF(D5965&lt;50000,"$25k-$50k",IF(D5965&lt;75000,"$50k-$75k",IF(D5965&lt;100000,"$75k-$100k","$100k+")))))</x:f>
        <x:v>$100k+</x:v>
      </x:c>
      <x:c r="P5965" t="str">
        <x:f>IF(E5965="","Unknown",IF(E5965&lt;10,"&lt;10",IF(E5965&lt;20,"10-&lt;20",IF(E5965&lt;25,"20-&lt;25",IF(E5965&lt;35,"25-&lt;35","35+")))))</x:f>
        <x:v>25-&lt;35</x:v>
      </x:c>
    </x:row>
    <x:row r="5966">
      <x:c r="A5966" t="str">
        <x:v>SYN0005965</x:v>
      </x:c>
      <x:c r="B5966" s="12" t="n">
        <x:v>41635</x:v>
      </x:c>
      <x:c r="C5966" s="18" t="n">
        <x:v>4894</x:v>
      </x:c>
      <x:c r="D5966" s="18" t="n">
        <x:v>43824</x:v>
      </x:c>
      <x:c r="E5966" s="18" t="n">
        <x:v>10.26</x:v>
      </x:c>
      <x:c r="F5966" s="18" t="n">
        <x:v>8.4</x:v>
      </x:c>
      <x:c r="G5966" t="n">
        <x:v>60</x:v>
      </x:c>
      <x:c r="H5966" t="str">
        <x:v>C</x:v>
      </x:c>
      <x:c r="I5966" t="str">
        <x:v>1-3 years</x:v>
      </x:c>
      <x:c r="J5966" t="str">
        <x:v>OWN</x:v>
      </x:c>
      <x:c r="K5966" t="str">
        <x:v>medical</x:v>
      </x:c>
      <x:c r="L5966" t="n">
        <x:v>1</x:v>
      </x:c>
      <x:c r="M5966" t="n">
        <x:v>0</x:v>
      </x:c>
      <x:c r="N5966" t="str">
        <x:v>Fully Paid</x:v>
      </x:c>
      <x:c r="O5966" t="str">
        <x:f>IF(D5966="","Unknown",IF(D5966&lt;25000,"&lt;$25k",IF(D5966&lt;50000,"$25k-$50k",IF(D5966&lt;75000,"$50k-$75k",IF(D5966&lt;100000,"$75k-$100k","$100k+")))))</x:f>
        <x:v>$25k-$50k</x:v>
      </x:c>
      <x:c r="P5966" t="str">
        <x:f>IF(E5966="","Unknown",IF(E5966&lt;10,"&lt;10",IF(E5966&lt;20,"10-&lt;20",IF(E5966&lt;25,"20-&lt;25",IF(E5966&lt;35,"25-&lt;35","35+")))))</x:f>
        <x:v>10-&lt;20</x:v>
      </x:c>
    </x:row>
    <x:row r="5967">
      <x:c r="A5967" t="str">
        <x:v>SYN0005966</x:v>
      </x:c>
      <x:c r="B5967" s="12" t="n">
        <x:v>42835</x:v>
      </x:c>
      <x:c r="C5967" s="18" t="n">
        <x:v>11808</x:v>
      </x:c>
      <x:c r="D5967" s="18" t="n">
        <x:v>122618</x:v>
      </x:c>
      <x:c r="E5967" s="18" t="n">
        <x:v>18.47</x:v>
      </x:c>
      <x:c r="F5967" s="18" t="n">
        <x:v>11.2</x:v>
      </x:c>
      <x:c r="G5967" t="n">
        <x:v>36</x:v>
      </x:c>
      <x:c r="H5967" t="str">
        <x:v>C</x:v>
      </x:c>
      <x:c r="I5967" t="str">
        <x:v>4-6 years</x:v>
      </x:c>
      <x:c r="J5967" t="str">
        <x:v>MORTGAGE</x:v>
      </x:c>
      <x:c r="K5967" t="str">
        <x:v>other</x:v>
      </x:c>
      <x:c r="L5967" t="n">
        <x:v>0</x:v>
      </x:c>
      <x:c r="M5967" t="n">
        <x:v>0</x:v>
      </x:c>
      <x:c r="N5967" t="str">
        <x:v>Fully Paid</x:v>
      </x:c>
      <x:c r="O5967" t="str">
        <x:f>IF(D5967="","Unknown",IF(D5967&lt;25000,"&lt;$25k",IF(D5967&lt;50000,"$25k-$50k",IF(D5967&lt;75000,"$50k-$75k",IF(D5967&lt;100000,"$75k-$100k","$100k+")))))</x:f>
        <x:v>$100k+</x:v>
      </x:c>
      <x:c r="P5967" t="str">
        <x:f>IF(E5967="","Unknown",IF(E5967&lt;10,"&lt;10",IF(E5967&lt;20,"10-&lt;20",IF(E5967&lt;25,"20-&lt;25",IF(E5967&lt;35,"25-&lt;35","35+")))))</x:f>
        <x:v>10-&lt;20</x:v>
      </x:c>
    </x:row>
    <x:row r="5968">
      <x:c r="A5968" t="str">
        <x:v>SYN0005967</x:v>
      </x:c>
      <x:c r="B5968" s="12" t="n">
        <x:v>43225</x:v>
      </x:c>
      <x:c r="C5968" s="18" t="n">
        <x:v>11439</x:v>
      </x:c>
      <x:c r="D5968" s="18" t="n">
        <x:v>38735</x:v>
      </x:c>
      <x:c r="E5968" s="18" t="n">
        <x:v>28.69</x:v>
      </x:c>
      <x:c r="F5968" s="18" t="n">
        <x:v>11.54</x:v>
      </x:c>
      <x:c r="G5968" t="n">
        <x:v>60</x:v>
      </x:c>
      <x:c r="H5968" t="str">
        <x:v>C</x:v>
      </x:c>
      <x:c r="I5968" t="str">
        <x:v>1-3 years</x:v>
      </x:c>
      <x:c r="J5968" t="str">
        <x:v>RENT</x:v>
      </x:c>
      <x:c r="K5968" t="str">
        <x:v>home_improvement</x:v>
      </x:c>
      <x:c r="L5968" t="n">
        <x:v>0</x:v>
      </x:c>
      <x:c r="M5968" t="n">
        <x:v>0</x:v>
      </x:c>
      <x:c r="N5968" t="str">
        <x:v>Fully Paid</x:v>
      </x:c>
      <x:c r="O5968" t="str">
        <x:f>IF(D5968="","Unknown",IF(D5968&lt;25000,"&lt;$25k",IF(D5968&lt;50000,"$25k-$50k",IF(D5968&lt;75000,"$50k-$75k",IF(D5968&lt;100000,"$75k-$100k","$100k+")))))</x:f>
        <x:v>$25k-$50k</x:v>
      </x:c>
      <x:c r="P5968" t="str">
        <x:f>IF(E5968="","Unknown",IF(E5968&lt;10,"&lt;10",IF(E5968&lt;20,"10-&lt;20",IF(E5968&lt;25,"20-&lt;25",IF(E5968&lt;35,"25-&lt;35","35+")))))</x:f>
        <x:v>25-&lt;35</x:v>
      </x:c>
    </x:row>
    <x:row r="5969">
      <x:c r="A5969" t="str">
        <x:v>SYN0005968</x:v>
      </x:c>
      <x:c r="B5969" s="12" t="n">
        <x:v>41755</x:v>
      </x:c>
      <x:c r="C5969" s="18" t="n">
        <x:v>30828</x:v>
      </x:c>
      <x:c r="D5969" s="18" t="n">
        <x:v>29689</x:v>
      </x:c>
      <x:c r="E5969" s="18" t="n">
        <x:v>18.1</x:v>
      </x:c>
      <x:c r="F5969" s="18" t="n">
        <x:v>16.7</x:v>
      </x:c>
      <x:c r="G5969" t="n">
        <x:v>36</x:v>
      </x:c>
      <x:c r="H5969" t="str">
        <x:v>E</x:v>
      </x:c>
      <x:c r="I5969" t="str">
        <x:v>7-9 years</x:v>
      </x:c>
      <x:c r="J5969" t="str">
        <x:v>MORTGAGE</x:v>
      </x:c>
      <x:c r="K5969" t="str">
        <x:v>credit_card</x:v>
      </x:c>
      <x:c r="L5969" t="n">
        <x:v>1</x:v>
      </x:c>
      <x:c r="M5969" t="n">
        <x:v>0</x:v>
      </x:c>
      <x:c r="N5969" t="str">
        <x:v>Fully Paid</x:v>
      </x:c>
      <x:c r="O5969" t="str">
        <x:f>IF(D5969="","Unknown",IF(D5969&lt;25000,"&lt;$25k",IF(D5969&lt;50000,"$25k-$50k",IF(D5969&lt;75000,"$50k-$75k",IF(D5969&lt;100000,"$75k-$100k","$100k+")))))</x:f>
        <x:v>$25k-$50k</x:v>
      </x:c>
      <x:c r="P5969" t="str">
        <x:f>IF(E5969="","Unknown",IF(E5969&lt;10,"&lt;10",IF(E5969&lt;20,"10-&lt;20",IF(E5969&lt;25,"20-&lt;25",IF(E5969&lt;35,"25-&lt;35","35+")))))</x:f>
        <x:v>10-&lt;20</x:v>
      </x:c>
    </x:row>
    <x:row r="5970">
      <x:c r="A5970" t="str">
        <x:v>SYN0005969</x:v>
      </x:c>
      <x:c r="B5970" s="12" t="n">
        <x:v>42445</x:v>
      </x:c>
      <x:c r="C5970" s="18" t="n">
        <x:v>13633</x:v>
      </x:c>
      <x:c r="D5970" s="18" t="n">
        <x:v>78455</x:v>
      </x:c>
      <x:c r="E5970" s="18" t="n">
        <x:v>31.7</x:v>
      </x:c>
      <x:c r="F5970" s="18" t="n">
        <x:v>15.59</x:v>
      </x:c>
      <x:c r="G5970" t="n">
        <x:v>36</x:v>
      </x:c>
      <x:c r="H5970" t="str">
        <x:v>D</x:v>
      </x:c>
      <x:c r="I5970" t="str">
        <x:v>1-3 years</x:v>
      </x:c>
      <x:c r="J5970" t="str">
        <x:v>OTHER</x:v>
      </x:c>
      <x:c r="K5970" t="str">
        <x:v>debt_consolidation</x:v>
      </x:c>
      <x:c r="L5970" t="n">
        <x:v>0</x:v>
      </x:c>
      <x:c r="M5970" t="n">
        <x:v>0</x:v>
      </x:c>
      <x:c r="N5970" t="str">
        <x:v>Fully Paid</x:v>
      </x:c>
      <x:c r="O5970" t="str">
        <x:f>IF(D5970="","Unknown",IF(D5970&lt;25000,"&lt;$25k",IF(D5970&lt;50000,"$25k-$50k",IF(D5970&lt;75000,"$50k-$75k",IF(D5970&lt;100000,"$75k-$100k","$100k+")))))</x:f>
        <x:v>$75k-$100k</x:v>
      </x:c>
      <x:c r="P5970" t="str">
        <x:f>IF(E5970="","Unknown",IF(E5970&lt;10,"&lt;10",IF(E5970&lt;20,"10-&lt;20",IF(E5970&lt;25,"20-&lt;25",IF(E5970&lt;35,"25-&lt;35","35+")))))</x:f>
        <x:v>25-&lt;35</x:v>
      </x:c>
    </x:row>
    <x:row r="5971">
      <x:c r="A5971" t="str">
        <x:v>SYN0005970</x:v>
      </x:c>
      <x:c r="B5971" s="12" t="n">
        <x:v>43375</x:v>
      </x:c>
      <x:c r="C5971" s="18" t="n">
        <x:v>16840</x:v>
      </x:c>
      <x:c r="D5971" s="18" t="n">
        <x:v>41433</x:v>
      </x:c>
      <x:c r="E5971" s="18" t="n">
        <x:v>20.4</x:v>
      </x:c>
      <x:c r="F5971" s="18" t="n">
        <x:v>6.18</x:v>
      </x:c>
      <x:c r="G5971" t="n">
        <x:v>36</x:v>
      </x:c>
      <x:c r="H5971" t="str">
        <x:v>A</x:v>
      </x:c>
      <x:c r="I5971" t="str">
        <x:v>4-6 years</x:v>
      </x:c>
      <x:c r="J5971" t="str">
        <x:v>MORTGAGE</x:v>
      </x:c>
      <x:c r="K5971" t="str">
        <x:v>debt_consolidation</x:v>
      </x:c>
      <x:c r="L5971" t="n">
        <x:v>0</x:v>
      </x:c>
      <x:c r="M5971" t="n">
        <x:v>0</x:v>
      </x:c>
      <x:c r="N5971" t="str">
        <x:v>Fully Paid</x:v>
      </x:c>
      <x:c r="O5971" t="str">
        <x:f>IF(D5971="","Unknown",IF(D5971&lt;25000,"&lt;$25k",IF(D5971&lt;50000,"$25k-$50k",IF(D5971&lt;75000,"$50k-$75k",IF(D5971&lt;100000,"$75k-$100k","$100k+")))))</x:f>
        <x:v>$25k-$50k</x:v>
      </x:c>
      <x:c r="P5971" t="str">
        <x:f>IF(E5971="","Unknown",IF(E5971&lt;10,"&lt;10",IF(E5971&lt;20,"10-&lt;20",IF(E5971&lt;25,"20-&lt;25",IF(E5971&lt;35,"25-&lt;35","35+")))))</x:f>
        <x:v>20-&lt;25</x:v>
      </x:c>
    </x:row>
    <x:row r="5972">
      <x:c r="A5972" t="str">
        <x:v>SYN0005971</x:v>
      </x:c>
      <x:c r="B5972" s="12" t="n">
        <x:v>41815</x:v>
      </x:c>
      <x:c r="C5972" s="18" t="n">
        <x:v>8570</x:v>
      </x:c>
      <x:c r="D5972" s="18" t="n">
        <x:v>92528</x:v>
      </x:c>
      <x:c r="E5972" s="18" t="n">
        <x:v>15.16</x:v>
      </x:c>
      <x:c r="F5972" s="18" t="n">
        <x:v>17.44</x:v>
      </x:c>
      <x:c r="G5972" t="n">
        <x:v>60</x:v>
      </x:c>
      <x:c r="H5972" t="str">
        <x:v>E</x:v>
      </x:c>
      <x:c r="I5972" t="str">
        <x:v>7-9 years</x:v>
      </x:c>
      <x:c r="J5972" t="str">
        <x:v>MORTGAGE</x:v>
      </x:c>
      <x:c r="K5972" t="str">
        <x:v>credit_card</x:v>
      </x:c>
      <x:c r="L5972" t="n">
        <x:v>0</x:v>
      </x:c>
      <x:c r="M5972" t="n">
        <x:v>0</x:v>
      </x:c>
      <x:c r="N5972" t="str">
        <x:v>Fully Paid</x:v>
      </x:c>
      <x:c r="O5972" t="str">
        <x:f>IF(D5972="","Unknown",IF(D5972&lt;25000,"&lt;$25k",IF(D5972&lt;50000,"$25k-$50k",IF(D5972&lt;75000,"$50k-$75k",IF(D5972&lt;100000,"$75k-$100k","$100k+")))))</x:f>
        <x:v>$75k-$100k</x:v>
      </x:c>
      <x:c r="P5972" t="str">
        <x:f>IF(E5972="","Unknown",IF(E5972&lt;10,"&lt;10",IF(E5972&lt;20,"10-&lt;20",IF(E5972&lt;25,"20-&lt;25",IF(E5972&lt;35,"25-&lt;35","35+")))))</x:f>
        <x:v>10-&lt;20</x:v>
      </x:c>
    </x:row>
    <x:row r="5973">
      <x:c r="A5973" t="str">
        <x:v>SYN0005972</x:v>
      </x:c>
      <x:c r="B5973" s="12" t="n">
        <x:v>41605</x:v>
      </x:c>
      <x:c r="C5973" s="18" t="n">
        <x:v>8126</x:v>
      </x:c>
      <x:c r="D5973" s="18" t="n">
        <x:v>54948</x:v>
      </x:c>
      <x:c r="E5973" s="18" t="n">
        <x:v>18.66</x:v>
      </x:c>
      <x:c r="F5973" s="18" t="n">
        <x:v>7.47</x:v>
      </x:c>
      <x:c r="G5973" t="n">
        <x:v>60</x:v>
      </x:c>
      <x:c r="H5973" t="str">
        <x:v>B</x:v>
      </x:c>
      <x:c r="I5973" t="str">
        <x:v>7-9 years</x:v>
      </x:c>
      <x:c r="J5973" t="str">
        <x:v>RENT</x:v>
      </x:c>
      <x:c r="K5973" t="str">
        <x:v>debt_consolidation</x:v>
      </x:c>
      <x:c r="L5973" t="n">
        <x:v>1</x:v>
      </x:c>
      <x:c r="M5973" t="n">
        <x:v>0</x:v>
      </x:c>
      <x:c r="N5973" t="str">
        <x:v>Fully Paid</x:v>
      </x:c>
      <x:c r="O5973" t="str">
        <x:f>IF(D5973="","Unknown",IF(D5973&lt;25000,"&lt;$25k",IF(D5973&lt;50000,"$25k-$50k",IF(D5973&lt;75000,"$50k-$75k",IF(D5973&lt;100000,"$75k-$100k","$100k+")))))</x:f>
        <x:v>$50k-$75k</x:v>
      </x:c>
      <x:c r="P5973" t="str">
        <x:f>IF(E5973="","Unknown",IF(E5973&lt;10,"&lt;10",IF(E5973&lt;20,"10-&lt;20",IF(E5973&lt;25,"20-&lt;25",IF(E5973&lt;35,"25-&lt;35","35+")))))</x:f>
        <x:v>10-&lt;20</x:v>
      </x:c>
    </x:row>
    <x:row r="5974">
      <x:c r="A5974" t="str">
        <x:v>SYN0005973</x:v>
      </x:c>
      <x:c r="B5974" s="12" t="n">
        <x:v>42775</x:v>
      </x:c>
      <x:c r="C5974" s="18" t="n">
        <x:v>25826</x:v>
      </x:c>
      <x:c r="D5974" s="18" t="n">
        <x:v>25317</x:v>
      </x:c>
      <x:c r="E5974" s="18" t="n">
        <x:v>21.24</x:v>
      </x:c>
      <x:c r="F5974" s="18" t="n">
        <x:v>22.67</x:v>
      </x:c>
      <x:c r="G5974" t="n">
        <x:v>36</x:v>
      </x:c>
      <x:c r="H5974" t="str">
        <x:v>F</x:v>
      </x:c>
      <x:c r="I5974" t="str">
        <x:v>10+ years</x:v>
      </x:c>
      <x:c r="J5974" t="str">
        <x:v>RENT</x:v>
      </x:c>
      <x:c r="K5974" t="str">
        <x:v>credit_card</x:v>
      </x:c>
      <x:c r="L5974" t="n">
        <x:v>0</x:v>
      </x:c>
      <x:c r="M5974" t="n">
        <x:v>0</x:v>
      </x:c>
      <x:c r="N5974" t="str">
        <x:v>Fully Paid</x:v>
      </x:c>
      <x:c r="O5974" t="str">
        <x:f>IF(D5974="","Unknown",IF(D5974&lt;25000,"&lt;$25k",IF(D5974&lt;50000,"$25k-$50k",IF(D5974&lt;75000,"$50k-$75k",IF(D5974&lt;100000,"$75k-$100k","$100k+")))))</x:f>
        <x:v>$25k-$50k</x:v>
      </x:c>
      <x:c r="P5974" t="str">
        <x:f>IF(E5974="","Unknown",IF(E5974&lt;10,"&lt;10",IF(E5974&lt;20,"10-&lt;20",IF(E5974&lt;25,"20-&lt;25",IF(E5974&lt;35,"25-&lt;35","35+")))))</x:f>
        <x:v>20-&lt;25</x:v>
      </x:c>
    </x:row>
    <x:row r="5975">
      <x:c r="A5975" t="str">
        <x:v>SYN0005974</x:v>
      </x:c>
      <x:c r="B5975" s="12" t="n">
        <x:v>42895</x:v>
      </x:c>
      <x:c r="C5975" s="18" t="n">
        <x:v>12191</x:v>
      </x:c>
      <x:c r="D5975" s="18" t="n">
        <x:v>62678</x:v>
      </x:c>
      <x:c r="E5975" s="18" t="n">
        <x:v>8.2</x:v>
      </x:c>
      <x:c r="F5975" s="18" t="n">
        <x:v>8.14</x:v>
      </x:c>
      <x:c r="G5975" t="n">
        <x:v>36</x:v>
      </x:c>
      <x:c r="H5975" t="str">
        <x:v>B</x:v>
      </x:c>
      <x:c r="I5975" t="str">
        <x:v>1-3 years</x:v>
      </x:c>
      <x:c r="J5975" t="str">
        <x:v>MORTGAGE</x:v>
      </x:c>
      <x:c r="K5975" t="str">
        <x:v>debt_consolidation</x:v>
      </x:c>
      <x:c r="L5975" t="n">
        <x:v>0</x:v>
      </x:c>
      <x:c r="M5975" t="n">
        <x:v>0</x:v>
      </x:c>
      <x:c r="N5975" t="str">
        <x:v>Fully Paid</x:v>
      </x:c>
      <x:c r="O5975" t="str">
        <x:f>IF(D5975="","Unknown",IF(D5975&lt;25000,"&lt;$25k",IF(D5975&lt;50000,"$25k-$50k",IF(D5975&lt;75000,"$50k-$75k",IF(D5975&lt;100000,"$75k-$100k","$100k+")))))</x:f>
        <x:v>$50k-$75k</x:v>
      </x:c>
      <x:c r="P5975" t="str">
        <x:f>IF(E5975="","Unknown",IF(E5975&lt;10,"&lt;10",IF(E5975&lt;20,"10-&lt;20",IF(E5975&lt;25,"20-&lt;25",IF(E5975&lt;35,"25-&lt;35","35+")))))</x:f>
        <x:v>&lt;10</x:v>
      </x:c>
    </x:row>
    <x:row r="5976">
      <x:c r="A5976" t="str">
        <x:v>SYN0005975</x:v>
      </x:c>
      <x:c r="B5976" s="12" t="n">
        <x:v>42355</x:v>
      </x:c>
      <x:c r="C5976" s="18" t="n">
        <x:v>16032</x:v>
      </x:c>
      <x:c r="D5976" s="18" t="n">
        <x:v>179893</x:v>
      </x:c>
      <x:c r="E5976" s="18" t="n">
        <x:v>18.5</x:v>
      </x:c>
      <x:c r="F5976" s="18" t="n">
        <x:v>14.23</x:v>
      </x:c>
      <x:c r="G5976" t="n">
        <x:v>36</x:v>
      </x:c>
      <x:c r="H5976" t="str">
        <x:v>C</x:v>
      </x:c>
      <x:c r="I5976" t="str">
        <x:v>&lt;1 year</x:v>
      </x:c>
      <x:c r="J5976" t="str">
        <x:v>RENT</x:v>
      </x:c>
      <x:c r="K5976" t="str">
        <x:v>home_improvement</x:v>
      </x:c>
      <x:c r="L5976" t="n">
        <x:v>0</x:v>
      </x:c>
      <x:c r="M5976" t="n">
        <x:v>0</x:v>
      </x:c>
      <x:c r="N5976" t="str">
        <x:v>Fully Paid</x:v>
      </x:c>
      <x:c r="O5976" t="str">
        <x:f>IF(D5976="","Unknown",IF(D5976&lt;25000,"&lt;$25k",IF(D5976&lt;50000,"$25k-$50k",IF(D5976&lt;75000,"$50k-$75k",IF(D5976&lt;100000,"$75k-$100k","$100k+")))))</x:f>
        <x:v>$100k+</x:v>
      </x:c>
      <x:c r="P5976" t="str">
        <x:f>IF(E5976="","Unknown",IF(E5976&lt;10,"&lt;10",IF(E5976&lt;20,"10-&lt;20",IF(E5976&lt;25,"20-&lt;25",IF(E5976&lt;35,"25-&lt;35","35+")))))</x:f>
        <x:v>10-&lt;20</x:v>
      </x:c>
    </x:row>
    <x:row r="5977">
      <x:c r="A5977" t="str">
        <x:v>SYN0005976</x:v>
      </x:c>
      <x:c r="B5977" s="12" t="n">
        <x:v>42265</x:v>
      </x:c>
      <x:c r="C5977" s="18" t="n">
        <x:v>14252</x:v>
      </x:c>
      <x:c r="D5977" s="18" t="n">
        <x:v>24637</x:v>
      </x:c>
      <x:c r="E5977" s="18" t="n">
        <x:v>25.38</x:v>
      </x:c>
      <x:c r="F5977" s="18" t="n">
        <x:v>5</x:v>
      </x:c>
      <x:c r="G5977" t="n">
        <x:v>36</x:v>
      </x:c>
      <x:c r="H5977" t="str">
        <x:v>A</x:v>
      </x:c>
      <x:c r="I5977" t="str">
        <x:v>&lt;1 year</x:v>
      </x:c>
      <x:c r="J5977" t="str">
        <x:v>RENT</x:v>
      </x:c>
      <x:c r="K5977" t="str">
        <x:v>debt_consolidation</x:v>
      </x:c>
      <x:c r="L5977" t="n">
        <x:v>0</x:v>
      </x:c>
      <x:c r="M5977" t="n">
        <x:v>0</x:v>
      </x:c>
      <x:c r="N5977" t="str">
        <x:v>Fully Paid</x:v>
      </x:c>
      <x:c r="O5977" t="str">
        <x:f>IF(D5977="","Unknown",IF(D5977&lt;25000,"&lt;$25k",IF(D5977&lt;50000,"$25k-$50k",IF(D5977&lt;75000,"$50k-$75k",IF(D5977&lt;100000,"$75k-$100k","$100k+")))))</x:f>
        <x:v>&lt;$25k</x:v>
      </x:c>
      <x:c r="P5977" t="str">
        <x:f>IF(E5977="","Unknown",IF(E5977&lt;10,"&lt;10",IF(E5977&lt;20,"10-&lt;20",IF(E5977&lt;25,"20-&lt;25",IF(E5977&lt;35,"25-&lt;35","35+")))))</x:f>
        <x:v>25-&lt;35</x:v>
      </x:c>
    </x:row>
    <x:row r="5978">
      <x:c r="A5978" t="str">
        <x:v>SYN0005977</x:v>
      </x:c>
      <x:c r="B5978" s="12" t="n">
        <x:v>42115</x:v>
      </x:c>
      <x:c r="C5978" s="18" t="n">
        <x:v>11156</x:v>
      </x:c>
      <x:c r="D5978" s="18" t="n">
        <x:v>41156</x:v>
      </x:c>
      <x:c r="E5978" s="18" t="n">
        <x:v>29.86</x:v>
      </x:c>
      <x:c r="F5978" s="18" t="n">
        <x:v>7.86</x:v>
      </x:c>
      <x:c r="G5978" t="n">
        <x:v>36</x:v>
      </x:c>
      <x:c r="H5978" t="str">
        <x:v>B</x:v>
      </x:c>
      <x:c r="I5978" t="str">
        <x:v>4-6 years</x:v>
      </x:c>
      <x:c r="J5978" t="str">
        <x:v>MORTGAGE</x:v>
      </x:c>
      <x:c r="K5978" t="str">
        <x:v>debt_consolidation</x:v>
      </x:c>
      <x:c r="L5978" t="n">
        <x:v>0</x:v>
      </x:c>
      <x:c r="M5978" t="n">
        <x:v>0</x:v>
      </x:c>
      <x:c r="N5978" t="str">
        <x:v>Fully Paid</x:v>
      </x:c>
      <x:c r="O5978" t="str">
        <x:f>IF(D5978="","Unknown",IF(D5978&lt;25000,"&lt;$25k",IF(D5978&lt;50000,"$25k-$50k",IF(D5978&lt;75000,"$50k-$75k",IF(D5978&lt;100000,"$75k-$100k","$100k+")))))</x:f>
        <x:v>$25k-$50k</x:v>
      </x:c>
      <x:c r="P5978" t="str">
        <x:f>IF(E5978="","Unknown",IF(E5978&lt;10,"&lt;10",IF(E5978&lt;20,"10-&lt;20",IF(E5978&lt;25,"20-&lt;25",IF(E5978&lt;35,"25-&lt;35","35+")))))</x:f>
        <x:v>25-&lt;35</x:v>
      </x:c>
    </x:row>
    <x:row r="5979">
      <x:c r="A5979" t="str">
        <x:v>SYN0005978</x:v>
      </x:c>
      <x:c r="B5979" s="12" t="n">
        <x:v>42055</x:v>
      </x:c>
      <x:c r="C5979" s="18" t="n">
        <x:v>13678</x:v>
      </x:c>
      <x:c r="D5979" s="18" t="n">
        <x:v>78499</x:v>
      </x:c>
      <x:c r="E5979" s="18" t="n">
        <x:v>18.06</x:v>
      </x:c>
      <x:c r="F5979" s="18" t="n">
        <x:v>13.68</x:v>
      </x:c>
      <x:c r="G5979" t="n">
        <x:v>36</x:v>
      </x:c>
      <x:c r="H5979" t="str">
        <x:v>D</x:v>
      </x:c>
      <x:c r="I5979" t="str">
        <x:v>7-9 years</x:v>
      </x:c>
      <x:c r="J5979" t="str">
        <x:v>OTHER</x:v>
      </x:c>
      <x:c r="K5979" t="str">
        <x:v>debt_consolidation</x:v>
      </x:c>
      <x:c r="L5979" t="n">
        <x:v>0</x:v>
      </x:c>
      <x:c r="M5979" t="n">
        <x:v>0</x:v>
      </x:c>
      <x:c r="N5979" t="str">
        <x:v>Fully Paid</x:v>
      </x:c>
      <x:c r="O5979" t="str">
        <x:f>IF(D5979="","Unknown",IF(D5979&lt;25000,"&lt;$25k",IF(D5979&lt;50000,"$25k-$50k",IF(D5979&lt;75000,"$50k-$75k",IF(D5979&lt;100000,"$75k-$100k","$100k+")))))</x:f>
        <x:v>$75k-$100k</x:v>
      </x:c>
      <x:c r="P5979" t="str">
        <x:f>IF(E5979="","Unknown",IF(E5979&lt;10,"&lt;10",IF(E5979&lt;20,"10-&lt;20",IF(E5979&lt;25,"20-&lt;25",IF(E5979&lt;35,"25-&lt;35","35+")))))</x:f>
        <x:v>10-&lt;20</x:v>
      </x:c>
    </x:row>
    <x:row r="5980">
      <x:c r="A5980" t="str">
        <x:v>SYN0005979</x:v>
      </x:c>
      <x:c r="B5980" s="12" t="n">
        <x:v>41965</x:v>
      </x:c>
      <x:c r="C5980" s="18" t="n">
        <x:v>12847</x:v>
      </x:c>
      <x:c r="D5980" s="18" t="n">
        <x:v>48312</x:v>
      </x:c>
      <x:c r="E5980" s="18" t="n">
        <x:v>18.89</x:v>
      </x:c>
      <x:c r="F5980" s="18" t="n">
        <x:v>7.16</x:v>
      </x:c>
      <x:c r="G5980" t="n">
        <x:v>36</x:v>
      </x:c>
      <x:c r="H5980" t="str">
        <x:v>B</x:v>
      </x:c>
      <x:c r="I5980" t="str">
        <x:v>1-3 years</x:v>
      </x:c>
      <x:c r="J5980" t="str">
        <x:v>RENT</x:v>
      </x:c>
      <x:c r="K5980" t="str">
        <x:v>debt_consolidation</x:v>
      </x:c>
      <x:c r="L5980" t="n">
        <x:v>1</x:v>
      </x:c>
      <x:c r="M5980" t="n">
        <x:v>1</x:v>
      </x:c>
      <x:c r="N5980" t="str">
        <x:v>Charged Off</x:v>
      </x:c>
      <x:c r="O5980" t="str">
        <x:f>IF(D5980="","Unknown",IF(D5980&lt;25000,"&lt;$25k",IF(D5980&lt;50000,"$25k-$50k",IF(D5980&lt;75000,"$50k-$75k",IF(D5980&lt;100000,"$75k-$100k","$100k+")))))</x:f>
        <x:v>$25k-$50k</x:v>
      </x:c>
      <x:c r="P5980" t="str">
        <x:f>IF(E5980="","Unknown",IF(E5980&lt;10,"&lt;10",IF(E5980&lt;20,"10-&lt;20",IF(E5980&lt;25,"20-&lt;25",IF(E5980&lt;35,"25-&lt;35","35+")))))</x:f>
        <x:v>10-&lt;20</x:v>
      </x:c>
    </x:row>
    <x:row r="5981">
      <x:c r="A5981" t="str">
        <x:v>SYN0005980</x:v>
      </x:c>
      <x:c r="B5981" s="12" t="n">
        <x:v>42565</x:v>
      </x:c>
      <x:c r="C5981" s="18" t="n">
        <x:v>19251</x:v>
      </x:c>
      <x:c r="D5981" s="18" t="n">
        <x:v>23078</x:v>
      </x:c>
      <x:c r="E5981" s="18" t="n">
        <x:v>20.48</x:v>
      </x:c>
      <x:c r="F5981" s="18" t="n">
        <x:v>25.53</x:v>
      </x:c>
      <x:c r="G5981" t="n">
        <x:v>36</x:v>
      </x:c>
      <x:c r="H5981" t="str">
        <x:v>G</x:v>
      </x:c>
      <x:c r="I5981" t="str">
        <x:v>4-6 years</x:v>
      </x:c>
      <x:c r="J5981" t="str">
        <x:v>RENT</x:v>
      </x:c>
      <x:c r="K5981" t="str">
        <x:v>debt_consolidation</x:v>
      </x:c>
      <x:c r="L5981" t="n">
        <x:v>0</x:v>
      </x:c>
      <x:c r="M5981" t="n">
        <x:v>1</x:v>
      </x:c>
      <x:c r="N5981" t="str">
        <x:v>Charged Off</x:v>
      </x:c>
      <x:c r="O5981" t="str">
        <x:f>IF(D5981="","Unknown",IF(D5981&lt;25000,"&lt;$25k",IF(D5981&lt;50000,"$25k-$50k",IF(D5981&lt;75000,"$50k-$75k",IF(D5981&lt;100000,"$75k-$100k","$100k+")))))</x:f>
        <x:v>&lt;$25k</x:v>
      </x:c>
      <x:c r="P5981" t="str">
        <x:f>IF(E5981="","Unknown",IF(E5981&lt;10,"&lt;10",IF(E5981&lt;20,"10-&lt;20",IF(E5981&lt;25,"20-&lt;25",IF(E5981&lt;35,"25-&lt;35","35+")))))</x:f>
        <x:v>20-&lt;25</x:v>
      </x:c>
    </x:row>
    <x:row r="5982">
      <x:c r="A5982" t="str">
        <x:v>SYN0005981</x:v>
      </x:c>
      <x:c r="B5982" s="12" t="n">
        <x:v>43345</x:v>
      </x:c>
      <x:c r="C5982" s="18" t="n">
        <x:v>15754</x:v>
      </x:c>
      <x:c r="D5982" s="18" t="n">
        <x:v>21803</x:v>
      </x:c>
      <x:c r="E5982" s="18" t="n">
        <x:v>28.29</x:v>
      </x:c>
      <x:c r="F5982" s="18" t="n">
        <x:v>6</x:v>
      </x:c>
      <x:c r="G5982" t="n">
        <x:v>60</x:v>
      </x:c>
      <x:c r="H5982" t="str">
        <x:v>A</x:v>
      </x:c>
      <x:c r="I5982" t="str">
        <x:v>10+ years</x:v>
      </x:c>
      <x:c r="J5982" t="str">
        <x:v>MORTGAGE</x:v>
      </x:c>
      <x:c r="K5982" t="str">
        <x:v>debt_consolidation</x:v>
      </x:c>
      <x:c r="L5982" t="n">
        <x:v>1</x:v>
      </x:c>
      <x:c r="M5982" t="n">
        <x:v>0</x:v>
      </x:c>
      <x:c r="N5982" t="str">
        <x:v>Fully Paid</x:v>
      </x:c>
      <x:c r="O5982" t="str">
        <x:f>IF(D5982="","Unknown",IF(D5982&lt;25000,"&lt;$25k",IF(D5982&lt;50000,"$25k-$50k",IF(D5982&lt;75000,"$50k-$75k",IF(D5982&lt;100000,"$75k-$100k","$100k+")))))</x:f>
        <x:v>&lt;$25k</x:v>
      </x:c>
      <x:c r="P5982" t="str">
        <x:f>IF(E5982="","Unknown",IF(E5982&lt;10,"&lt;10",IF(E5982&lt;20,"10-&lt;20",IF(E5982&lt;25,"20-&lt;25",IF(E5982&lt;35,"25-&lt;35","35+")))))</x:f>
        <x:v>25-&lt;35</x:v>
      </x:c>
    </x:row>
    <x:row r="5983">
      <x:c r="A5983" t="str">
        <x:v>SYN0005982</x:v>
      </x:c>
      <x:c r="B5983" s="12" t="n">
        <x:v>42445</x:v>
      </x:c>
      <x:c r="C5983" s="18" t="n">
        <x:v>11795</x:v>
      </x:c>
      <x:c r="D5983" s="18" t="n">
        <x:v>88545</x:v>
      </x:c>
      <x:c r="E5983" s="18" t="n">
        <x:v>4.89</x:v>
      </x:c>
      <x:c r="F5983" s="18" t="n">
        <x:v>14.31</x:v>
      </x:c>
      <x:c r="G5983" t="n">
        <x:v>36</x:v>
      </x:c>
      <x:c r="H5983" t="str">
        <x:v>D</x:v>
      </x:c>
      <x:c r="I5983" t="str">
        <x:v>4-6 years</x:v>
      </x:c>
      <x:c r="J5983" t="str">
        <x:v>MORTGAGE</x:v>
      </x:c>
      <x:c r="K5983" t="str">
        <x:v>home_improvement</x:v>
      </x:c>
      <x:c r="L5983" t="n">
        <x:v>1</x:v>
      </x:c>
      <x:c r="M5983" t="n">
        <x:v>0</x:v>
      </x:c>
      <x:c r="N5983" t="str">
        <x:v>Fully Paid</x:v>
      </x:c>
      <x:c r="O5983" t="str">
        <x:f>IF(D5983="","Unknown",IF(D5983&lt;25000,"&lt;$25k",IF(D5983&lt;50000,"$25k-$50k",IF(D5983&lt;75000,"$50k-$75k",IF(D5983&lt;100000,"$75k-$100k","$100k+")))))</x:f>
        <x:v>$75k-$100k</x:v>
      </x:c>
      <x:c r="P5983" t="str">
        <x:f>IF(E5983="","Unknown",IF(E5983&lt;10,"&lt;10",IF(E5983&lt;20,"10-&lt;20",IF(E5983&lt;25,"20-&lt;25",IF(E5983&lt;35,"25-&lt;35","35+")))))</x:f>
        <x:v>&lt;10</x:v>
      </x:c>
    </x:row>
    <x:row r="5984">
      <x:c r="A5984" t="str">
        <x:v>SYN0005983</x:v>
      </x:c>
      <x:c r="B5984" s="12" t="n">
        <x:v>41395</x:v>
      </x:c>
      <x:c r="C5984" s="18" t="n">
        <x:v>17058</x:v>
      </x:c>
      <x:c r="D5984" s="18" t="n">
        <x:v>67156</x:v>
      </x:c>
      <x:c r="E5984" s="18" t="n">
        <x:v>13.77</x:v>
      </x:c>
      <x:c r="F5984" s="18" t="n">
        <x:v>8.59</x:v>
      </x:c>
      <x:c r="G5984" t="n">
        <x:v>36</x:v>
      </x:c>
      <x:c r="H5984" t="str">
        <x:v>A</x:v>
      </x:c>
      <x:c r="I5984" t="str">
        <x:v>4-6 years</x:v>
      </x:c>
      <x:c r="J5984" t="str">
        <x:v>RENT</x:v>
      </x:c>
      <x:c r="K5984" t="str">
        <x:v>debt_consolidation</x:v>
      </x:c>
      <x:c r="L5984" t="n">
        <x:v>0</x:v>
      </x:c>
      <x:c r="M5984" t="n">
        <x:v>0</x:v>
      </x:c>
      <x:c r="N5984" t="str">
        <x:v>Fully Paid</x:v>
      </x:c>
      <x:c r="O5984" t="str">
        <x:f>IF(D5984="","Unknown",IF(D5984&lt;25000,"&lt;$25k",IF(D5984&lt;50000,"$25k-$50k",IF(D5984&lt;75000,"$50k-$75k",IF(D5984&lt;100000,"$75k-$100k","$100k+")))))</x:f>
        <x:v>$50k-$75k</x:v>
      </x:c>
      <x:c r="P5984" t="str">
        <x:f>IF(E5984="","Unknown",IF(E5984&lt;10,"&lt;10",IF(E5984&lt;20,"10-&lt;20",IF(E5984&lt;25,"20-&lt;25",IF(E5984&lt;35,"25-&lt;35","35+")))))</x:f>
        <x:v>10-&lt;20</x:v>
      </x:c>
    </x:row>
    <x:row r="5985">
      <x:c r="A5985" t="str">
        <x:v>SYN0005984</x:v>
      </x:c>
      <x:c r="B5985" s="12" t="n">
        <x:v>43045</x:v>
      </x:c>
      <x:c r="C5985" s="18" t="n">
        <x:v>4739</x:v>
      </x:c>
      <x:c r="D5985" s="18" t="n">
        <x:v>196084</x:v>
      </x:c>
      <x:c r="E5985" s="18" t="n">
        <x:v>20.05</x:v>
      </x:c>
      <x:c r="F5985" s="18" t="n">
        <x:v>10.64</x:v>
      </x:c>
      <x:c r="G5985" t="n">
        <x:v>36</x:v>
      </x:c>
      <x:c r="H5985" t="str">
        <x:v>B</x:v>
      </x:c>
      <x:c r="I5985" t="str">
        <x:v>10+ years</x:v>
      </x:c>
      <x:c r="J5985" t="str">
        <x:v>RENT</x:v>
      </x:c>
      <x:c r="K5985" t="str">
        <x:v>credit_card</x:v>
      </x:c>
      <x:c r="L5985" t="n">
        <x:v>0</x:v>
      </x:c>
      <x:c r="M5985" t="n">
        <x:v>0</x:v>
      </x:c>
      <x:c r="N5985" t="str">
        <x:v>Fully Paid</x:v>
      </x:c>
      <x:c r="O5985" t="str">
        <x:f>IF(D5985="","Unknown",IF(D5985&lt;25000,"&lt;$25k",IF(D5985&lt;50000,"$25k-$50k",IF(D5985&lt;75000,"$50k-$75k",IF(D5985&lt;100000,"$75k-$100k","$100k+")))))</x:f>
        <x:v>$100k+</x:v>
      </x:c>
      <x:c r="P5985" t="str">
        <x:f>IF(E5985="","Unknown",IF(E5985&lt;10,"&lt;10",IF(E5985&lt;20,"10-&lt;20",IF(E5985&lt;25,"20-&lt;25",IF(E5985&lt;35,"25-&lt;35","35+")))))</x:f>
        <x:v>20-&lt;25</x:v>
      </x:c>
    </x:row>
    <x:row r="5986">
      <x:c r="A5986" t="str">
        <x:v>SYN0005985</x:v>
      </x:c>
      <x:c r="B5986" s="12" t="n">
        <x:v>42115</x:v>
      </x:c>
      <x:c r="C5986" s="18" t="n">
        <x:v>10928</x:v>
      </x:c>
      <x:c r="D5986" s="18" t="n">
        <x:v>43844</x:v>
      </x:c>
      <x:c r="E5986" s="18" t="n">
        <x:v>23.11</x:v>
      </x:c>
      <x:c r="F5986" s="18" t="n">
        <x:v>9.33</x:v>
      </x:c>
      <x:c r="G5986" t="n">
        <x:v>36</x:v>
      </x:c>
      <x:c r="H5986" t="str">
        <x:v>B</x:v>
      </x:c>
      <x:c r="I5986" t="str">
        <x:v>10+ years</x:v>
      </x:c>
      <x:c r="J5986" t="str">
        <x:v>OWN</x:v>
      </x:c>
      <x:c r="K5986" t="str">
        <x:v>major_purchase</x:v>
      </x:c>
      <x:c r="L5986" t="n">
        <x:v>1</x:v>
      </x:c>
      <x:c r="M5986" t="n">
        <x:v>0</x:v>
      </x:c>
      <x:c r="N5986" t="str">
        <x:v>Fully Paid</x:v>
      </x:c>
      <x:c r="O5986" t="str">
        <x:f>IF(D5986="","Unknown",IF(D5986&lt;25000,"&lt;$25k",IF(D5986&lt;50000,"$25k-$50k",IF(D5986&lt;75000,"$50k-$75k",IF(D5986&lt;100000,"$75k-$100k","$100k+")))))</x:f>
        <x:v>$25k-$50k</x:v>
      </x:c>
      <x:c r="P5986" t="str">
        <x:f>IF(E5986="","Unknown",IF(E5986&lt;10,"&lt;10",IF(E5986&lt;20,"10-&lt;20",IF(E5986&lt;25,"20-&lt;25",IF(E5986&lt;35,"25-&lt;35","35+")))))</x:f>
        <x:v>20-&lt;25</x:v>
      </x:c>
    </x:row>
    <x:row r="5987">
      <x:c r="A5987" t="str">
        <x:v>SYN0005986</x:v>
      </x:c>
      <x:c r="B5987" s="12" t="n">
        <x:v>42745</x:v>
      </x:c>
      <x:c r="C5987" s="18" t="n">
        <x:v>9307</x:v>
      </x:c>
      <x:c r="D5987" s="18" t="n">
        <x:v>21532</x:v>
      </x:c>
      <x:c r="E5987" s="18" t="n">
        <x:v>21.93</x:v>
      </x:c>
      <x:c r="F5987" s="18" t="n">
        <x:v>8.59</x:v>
      </x:c>
      <x:c r="G5987" t="n">
        <x:v>36</x:v>
      </x:c>
      <x:c r="H5987" t="str">
        <x:v>A</x:v>
      </x:c>
      <x:c r="I5987" t="str">
        <x:v>1-3 years</x:v>
      </x:c>
      <x:c r="J5987" t="str">
        <x:v>MORTGAGE</x:v>
      </x:c>
      <x:c r="K5987" t="str">
        <x:v>debt_consolidation</x:v>
      </x:c>
      <x:c r="L5987" t="n">
        <x:v>1</x:v>
      </x:c>
      <x:c r="M5987" t="n">
        <x:v>0</x:v>
      </x:c>
      <x:c r="N5987" t="str">
        <x:v>Fully Paid</x:v>
      </x:c>
      <x:c r="O5987" t="str">
        <x:f>IF(D5987="","Unknown",IF(D5987&lt;25000,"&lt;$25k",IF(D5987&lt;50000,"$25k-$50k",IF(D5987&lt;75000,"$50k-$75k",IF(D5987&lt;100000,"$75k-$100k","$100k+")))))</x:f>
        <x:v>&lt;$25k</x:v>
      </x:c>
      <x:c r="P5987" t="str">
        <x:f>IF(E5987="","Unknown",IF(E5987&lt;10,"&lt;10",IF(E5987&lt;20,"10-&lt;20",IF(E5987&lt;25,"20-&lt;25",IF(E5987&lt;35,"25-&lt;35","35+")))))</x:f>
        <x:v>20-&lt;25</x:v>
      </x:c>
    </x:row>
    <x:row r="5988">
      <x:c r="A5988" t="str">
        <x:v>SYN0005987</x:v>
      </x:c>
      <x:c r="B5988" s="12" t="n">
        <x:v>42535</x:v>
      </x:c>
      <x:c r="C5988" s="18" t="n">
        <x:v>29058</x:v>
      </x:c>
      <x:c r="D5988" s="18" t="n">
        <x:v>67536</x:v>
      </x:c>
      <x:c r="E5988" s="18" t="n">
        <x:v>36.18</x:v>
      </x:c>
      <x:c r="F5988" s="18" t="n">
        <x:v>18.73</x:v>
      </x:c>
      <x:c r="G5988" t="n">
        <x:v>36</x:v>
      </x:c>
      <x:c r="H5988" t="str">
        <x:v>E</x:v>
      </x:c>
      <x:c r="I5988" t="str">
        <x:v>4-6 years</x:v>
      </x:c>
      <x:c r="J5988" t="str">
        <x:v>MORTGAGE</x:v>
      </x:c>
      <x:c r="K5988" t="str">
        <x:v>debt_consolidation</x:v>
      </x:c>
      <x:c r="L5988" t="n">
        <x:v>1</x:v>
      </x:c>
      <x:c r="M5988" t="n">
        <x:v>0</x:v>
      </x:c>
      <x:c r="N5988" t="str">
        <x:v>Fully Paid</x:v>
      </x:c>
      <x:c r="O5988" t="str">
        <x:f>IF(D5988="","Unknown",IF(D5988&lt;25000,"&lt;$25k",IF(D5988&lt;50000,"$25k-$50k",IF(D5988&lt;75000,"$50k-$75k",IF(D5988&lt;100000,"$75k-$100k","$100k+")))))</x:f>
        <x:v>$50k-$75k</x:v>
      </x:c>
      <x:c r="P5988" t="str">
        <x:f>IF(E5988="","Unknown",IF(E5988&lt;10,"&lt;10",IF(E5988&lt;20,"10-&lt;20",IF(E5988&lt;25,"20-&lt;25",IF(E5988&lt;35,"25-&lt;35","35+")))))</x:f>
        <x:v>35+</x:v>
      </x:c>
    </x:row>
    <x:row r="5989">
      <x:c r="A5989" t="str">
        <x:v>SYN0005988</x:v>
      </x:c>
      <x:c r="B5989" s="12" t="n">
        <x:v>42835</x:v>
      </x:c>
      <x:c r="C5989" s="18" t="n">
        <x:v>12272</x:v>
      </x:c>
      <x:c r="D5989" s="18" t="n">
        <x:v>45009</x:v>
      </x:c>
      <x:c r="E5989" s="18" t="n">
        <x:v>24.58</x:v>
      </x:c>
      <x:c r="F5989" s="18" t="n">
        <x:v>20.81</x:v>
      </x:c>
      <x:c r="G5989" t="n">
        <x:v>60</x:v>
      </x:c>
      <x:c r="H5989" t="str">
        <x:v>F</x:v>
      </x:c>
      <x:c r="I5989" t="str">
        <x:v>10+ years</x:v>
      </x:c>
      <x:c r="J5989" t="str">
        <x:v>RENT</x:v>
      </x:c>
      <x:c r="K5989" t="str">
        <x:v>home_improvement</x:v>
      </x:c>
      <x:c r="L5989" t="n">
        <x:v>1</x:v>
      </x:c>
      <x:c r="M5989" t="n">
        <x:v>1</x:v>
      </x:c>
      <x:c r="N5989" t="str">
        <x:v>Charged Off</x:v>
      </x:c>
      <x:c r="O5989" t="str">
        <x:f>IF(D5989="","Unknown",IF(D5989&lt;25000,"&lt;$25k",IF(D5989&lt;50000,"$25k-$50k",IF(D5989&lt;75000,"$50k-$75k",IF(D5989&lt;100000,"$75k-$100k","$100k+")))))</x:f>
        <x:v>$25k-$50k</x:v>
      </x:c>
      <x:c r="P5989" t="str">
        <x:f>IF(E5989="","Unknown",IF(E5989&lt;10,"&lt;10",IF(E5989&lt;20,"10-&lt;20",IF(E5989&lt;25,"20-&lt;25",IF(E5989&lt;35,"25-&lt;35","35+")))))</x:f>
        <x:v>20-&lt;25</x:v>
      </x:c>
    </x:row>
    <x:row r="5990">
      <x:c r="A5990" t="str">
        <x:v>SYN0005989</x:v>
      </x:c>
      <x:c r="B5990" s="12" t="n">
        <x:v>43255</x:v>
      </x:c>
      <x:c r="C5990" s="18" t="n">
        <x:v>14376</x:v>
      </x:c>
      <x:c r="D5990" s="18" t="n">
        <x:v>92064</x:v>
      </x:c>
      <x:c r="E5990" s="18" t="n">
        <x:v>26.16</x:v>
      </x:c>
      <x:c r="F5990" s="18" t="n">
        <x:v>13.49</x:v>
      </x:c>
      <x:c r="G5990" t="n">
        <x:v>36</x:v>
      </x:c>
      <x:c r="H5990" t="str">
        <x:v>C</x:v>
      </x:c>
      <x:c r="I5990" t="str">
        <x:v>&lt;1 year</x:v>
      </x:c>
      <x:c r="J5990" t="str">
        <x:v>RENT</x:v>
      </x:c>
      <x:c r="K5990" t="str">
        <x:v>home_improvement</x:v>
      </x:c>
      <x:c r="L5990" t="n">
        <x:v>0</x:v>
      </x:c>
      <x:c r="M5990" t="n">
        <x:v>0</x:v>
      </x:c>
      <x:c r="N5990" t="str">
        <x:v>Fully Paid</x:v>
      </x:c>
      <x:c r="O5990" t="str">
        <x:f>IF(D5990="","Unknown",IF(D5990&lt;25000,"&lt;$25k",IF(D5990&lt;50000,"$25k-$50k",IF(D5990&lt;75000,"$50k-$75k",IF(D5990&lt;100000,"$75k-$100k","$100k+")))))</x:f>
        <x:v>$75k-$100k</x:v>
      </x:c>
      <x:c r="P5990" t="str">
        <x:f>IF(E5990="","Unknown",IF(E5990&lt;10,"&lt;10",IF(E5990&lt;20,"10-&lt;20",IF(E5990&lt;25,"20-&lt;25",IF(E5990&lt;35,"25-&lt;35","35+")))))</x:f>
        <x:v>25-&lt;35</x:v>
      </x:c>
    </x:row>
    <x:row r="5991">
      <x:c r="A5991" t="str">
        <x:v>SYN0005990</x:v>
      </x:c>
      <x:c r="B5991" s="12" t="n">
        <x:v>42865</x:v>
      </x:c>
      <x:c r="C5991" s="18" t="n">
        <x:v>30898</x:v>
      </x:c>
      <x:c r="D5991" s="18" t="n">
        <x:v>25603</x:v>
      </x:c>
      <x:c r="E5991" s="18" t="n">
        <x:v>21.47</x:v>
      </x:c>
      <x:c r="F5991" s="18" t="n">
        <x:v>11.34</x:v>
      </x:c>
      <x:c r="G5991" t="n">
        <x:v>60</x:v>
      </x:c>
      <x:c r="H5991" t="str">
        <x:v>C</x:v>
      </x:c>
      <x:c r="I5991" t="str">
        <x:v>1-3 years</x:v>
      </x:c>
      <x:c r="J5991" t="str">
        <x:v>RENT</x:v>
      </x:c>
      <x:c r="K5991" t="str">
        <x:v>major_purchase</x:v>
      </x:c>
      <x:c r="L5991" t="n">
        <x:v>0</x:v>
      </x:c>
      <x:c r="M5991" t="n">
        <x:v>0</x:v>
      </x:c>
      <x:c r="N5991" t="str">
        <x:v>Fully Paid</x:v>
      </x:c>
      <x:c r="O5991" t="str">
        <x:f>IF(D5991="","Unknown",IF(D5991&lt;25000,"&lt;$25k",IF(D5991&lt;50000,"$25k-$50k",IF(D5991&lt;75000,"$50k-$75k",IF(D5991&lt;100000,"$75k-$100k","$100k+")))))</x:f>
        <x:v>$25k-$50k</x:v>
      </x:c>
      <x:c r="P5991" t="str">
        <x:f>IF(E5991="","Unknown",IF(E5991&lt;10,"&lt;10",IF(E5991&lt;20,"10-&lt;20",IF(E5991&lt;25,"20-&lt;25",IF(E5991&lt;35,"25-&lt;35","35+")))))</x:f>
        <x:v>20-&lt;25</x:v>
      </x:c>
    </x:row>
    <x:row r="5992">
      <x:c r="A5992" t="str">
        <x:v>SYN0005991</x:v>
      </x:c>
      <x:c r="B5992" s="12" t="n">
        <x:v>42235</x:v>
      </x:c>
      <x:c r="C5992" s="18" t="n">
        <x:v>8280</x:v>
      </x:c>
      <x:c r="D5992" s="18" t="n">
        <x:v>13747</x:v>
      </x:c>
      <x:c r="E5992" s="18" t="n">
        <x:v>8.48</x:v>
      </x:c>
      <x:c r="F5992" s="18" t="n">
        <x:v>20.97</x:v>
      </x:c>
      <x:c r="G5992" t="n">
        <x:v>36</x:v>
      </x:c>
      <x:c r="H5992" t="str">
        <x:v>F</x:v>
      </x:c>
      <x:c r="I5992" t="str">
        <x:v>10+ years</x:v>
      </x:c>
      <x:c r="J5992" t="str">
        <x:v>OWN</x:v>
      </x:c>
      <x:c r="K5992" t="str">
        <x:v>debt_consolidation</x:v>
      </x:c>
      <x:c r="L5992" t="n">
        <x:v>2</x:v>
      </x:c>
      <x:c r="M5992" t="n">
        <x:v>0</x:v>
      </x:c>
      <x:c r="N5992" t="str">
        <x:v>Fully Paid</x:v>
      </x:c>
      <x:c r="O5992" t="str">
        <x:f>IF(D5992="","Unknown",IF(D5992&lt;25000,"&lt;$25k",IF(D5992&lt;50000,"$25k-$50k",IF(D5992&lt;75000,"$50k-$75k",IF(D5992&lt;100000,"$75k-$100k","$100k+")))))</x:f>
        <x:v>&lt;$25k</x:v>
      </x:c>
      <x:c r="P5992" t="str">
        <x:f>IF(E5992="","Unknown",IF(E5992&lt;10,"&lt;10",IF(E5992&lt;20,"10-&lt;20",IF(E5992&lt;25,"20-&lt;25",IF(E5992&lt;35,"25-&lt;35","35+")))))</x:f>
        <x:v>&lt;10</x:v>
      </x:c>
    </x:row>
    <x:row r="5993">
      <x:c r="A5993" t="str">
        <x:v>SYN0005992</x:v>
      </x:c>
      <x:c r="B5993" s="12" t="n">
        <x:v>42265</x:v>
      </x:c>
      <x:c r="C5993" s="18" t="n">
        <x:v>7486</x:v>
      </x:c>
      <x:c r="D5993" s="18" t="n">
        <x:v>31026</x:v>
      </x:c>
      <x:c r="E5993" s="18" t="n">
        <x:v>34.39</x:v>
      </x:c>
      <x:c r="F5993" s="18" t="n">
        <x:v>24.66</x:v>
      </x:c>
      <x:c r="G5993" t="n">
        <x:v>60</x:v>
      </x:c>
      <x:c r="H5993" t="str">
        <x:v>F</x:v>
      </x:c>
      <x:c r="I5993" t="str">
        <x:v>10+ years</x:v>
      </x:c>
      <x:c r="J5993" t="str">
        <x:v>MORTGAGE</x:v>
      </x:c>
      <x:c r="K5993" t="str">
        <x:v>debt_consolidation</x:v>
      </x:c>
      <x:c r="L5993" t="n">
        <x:v>2</x:v>
      </x:c>
      <x:c r="M5993" t="n">
        <x:v>0</x:v>
      </x:c>
      <x:c r="N5993" t="str">
        <x:v>Fully Paid</x:v>
      </x:c>
      <x:c r="O5993" t="str">
        <x:f>IF(D5993="","Unknown",IF(D5993&lt;25000,"&lt;$25k",IF(D5993&lt;50000,"$25k-$50k",IF(D5993&lt;75000,"$50k-$75k",IF(D5993&lt;100000,"$75k-$100k","$100k+")))))</x:f>
        <x:v>$25k-$50k</x:v>
      </x:c>
      <x:c r="P5993" t="str">
        <x:f>IF(E5993="","Unknown",IF(E5993&lt;10,"&lt;10",IF(E5993&lt;20,"10-&lt;20",IF(E5993&lt;25,"20-&lt;25",IF(E5993&lt;35,"25-&lt;35","35+")))))</x:f>
        <x:v>25-&lt;35</x:v>
      </x:c>
    </x:row>
    <x:row r="5994">
      <x:c r="A5994" t="str">
        <x:v>SYN0005993</x:v>
      </x:c>
      <x:c r="B5994" s="12" t="n">
        <x:v>41575</x:v>
      </x:c>
      <x:c r="C5994" s="18" t="n">
        <x:v>12747</x:v>
      </x:c>
      <x:c r="D5994" s="18" t="n">
        <x:v>59081</x:v>
      </x:c>
      <x:c r="E5994" s="18" t="n">
        <x:v>12.04</x:v>
      </x:c>
      <x:c r="F5994" s="18" t="n">
        <x:v>5</x:v>
      </x:c>
      <x:c r="G5994" t="n">
        <x:v>36</x:v>
      </x:c>
      <x:c r="H5994" t="str">
        <x:v>A</x:v>
      </x:c>
      <x:c r="I5994" t="str">
        <x:v>7-9 years</x:v>
      </x:c>
      <x:c r="J5994" t="str">
        <x:v>RENT</x:v>
      </x:c>
      <x:c r="K5994" t="str">
        <x:v>debt_consolidation</x:v>
      </x:c>
      <x:c r="L5994" t="n">
        <x:v>0</x:v>
      </x:c>
      <x:c r="M5994" t="n">
        <x:v>0</x:v>
      </x:c>
      <x:c r="N5994" t="str">
        <x:v>Fully Paid</x:v>
      </x:c>
      <x:c r="O5994" t="str">
        <x:f>IF(D5994="","Unknown",IF(D5994&lt;25000,"&lt;$25k",IF(D5994&lt;50000,"$25k-$50k",IF(D5994&lt;75000,"$50k-$75k",IF(D5994&lt;100000,"$75k-$100k","$100k+")))))</x:f>
        <x:v>$50k-$75k</x:v>
      </x:c>
      <x:c r="P5994" t="str">
        <x:f>IF(E5994="","Unknown",IF(E5994&lt;10,"&lt;10",IF(E5994&lt;20,"10-&lt;20",IF(E5994&lt;25,"20-&lt;25",IF(E5994&lt;35,"25-&lt;35","35+")))))</x:f>
        <x:v>10-&lt;20</x:v>
      </x:c>
    </x:row>
    <x:row r="5995">
      <x:c r="A5995" t="str">
        <x:v>SYN0005994</x:v>
      </x:c>
      <x:c r="B5995" s="12" t="n">
        <x:v>42835</x:v>
      </x:c>
      <x:c r="C5995" s="18" t="n">
        <x:v>7535</x:v>
      </x:c>
      <x:c r="D5995" s="18" t="n">
        <x:v>38621</x:v>
      </x:c>
      <x:c r="E5995" s="18" t="n">
        <x:v>12.84</x:v>
      </x:c>
      <x:c r="F5995" s="18" t="n">
        <x:v>6.04</x:v>
      </x:c>
      <x:c r="G5995" t="n">
        <x:v>60</x:v>
      </x:c>
      <x:c r="H5995" t="str">
        <x:v>A</x:v>
      </x:c>
      <x:c r="I5995" t="str">
        <x:v>7-9 years</x:v>
      </x:c>
      <x:c r="J5995" t="str">
        <x:v>MORTGAGE</x:v>
      </x:c>
      <x:c r="K5995" t="str">
        <x:v>medical</x:v>
      </x:c>
      <x:c r="L5995" t="n">
        <x:v>0</x:v>
      </x:c>
      <x:c r="M5995" t="n">
        <x:v>0</x:v>
      </x:c>
      <x:c r="N5995" t="str">
        <x:v>Fully Paid</x:v>
      </x:c>
      <x:c r="O5995" t="str">
        <x:f>IF(D5995="","Unknown",IF(D5995&lt;25000,"&lt;$25k",IF(D5995&lt;50000,"$25k-$50k",IF(D5995&lt;75000,"$50k-$75k",IF(D5995&lt;100000,"$75k-$100k","$100k+")))))</x:f>
        <x:v>$25k-$50k</x:v>
      </x:c>
      <x:c r="P5995" t="str">
        <x:f>IF(E5995="","Unknown",IF(E5995&lt;10,"&lt;10",IF(E5995&lt;20,"10-&lt;20",IF(E5995&lt;25,"20-&lt;25",IF(E5995&lt;35,"25-&lt;35","35+")))))</x:f>
        <x:v>10-&lt;20</x:v>
      </x:c>
    </x:row>
    <x:row r="5996">
      <x:c r="A5996" t="str">
        <x:v>SYN0005995</x:v>
      </x:c>
      <x:c r="B5996" s="12" t="n">
        <x:v>41755</x:v>
      </x:c>
      <x:c r="C5996" s="18" t="n">
        <x:v>15405</x:v>
      </x:c>
      <x:c r="D5996" s="18" t="n">
        <x:v>37140</x:v>
      </x:c>
      <x:c r="E5996" s="18" t="n">
        <x:v>21.17</x:v>
      </x:c>
      <x:c r="F5996" s="18" t="n">
        <x:v>17.54</x:v>
      </x:c>
      <x:c r="G5996" t="n">
        <x:v>36</x:v>
      </x:c>
      <x:c r="H5996" t="str">
        <x:v>E</x:v>
      </x:c>
      <x:c r="I5996" t="str">
        <x:v>10+ years</x:v>
      </x:c>
      <x:c r="J5996" t="str">
        <x:v>RENT</x:v>
      </x:c>
      <x:c r="K5996" t="str">
        <x:v>debt_consolidation</x:v>
      </x:c>
      <x:c r="L5996" t="n">
        <x:v>0</x:v>
      </x:c>
      <x:c r="M5996" t="n">
        <x:v>0</x:v>
      </x:c>
      <x:c r="N5996" t="str">
        <x:v>Fully Paid</x:v>
      </x:c>
      <x:c r="O5996" t="str">
        <x:f>IF(D5996="","Unknown",IF(D5996&lt;25000,"&lt;$25k",IF(D5996&lt;50000,"$25k-$50k",IF(D5996&lt;75000,"$50k-$75k",IF(D5996&lt;100000,"$75k-$100k","$100k+")))))</x:f>
        <x:v>$25k-$50k</x:v>
      </x:c>
      <x:c r="P5996" t="str">
        <x:f>IF(E5996="","Unknown",IF(E5996&lt;10,"&lt;10",IF(E5996&lt;20,"10-&lt;20",IF(E5996&lt;25,"20-&lt;25",IF(E5996&lt;35,"25-&lt;35","35+")))))</x:f>
        <x:v>20-&lt;25</x:v>
      </x:c>
    </x:row>
    <x:row r="5997">
      <x:c r="A5997" t="str">
        <x:v>SYN0005996</x:v>
      </x:c>
      <x:c r="B5997" s="12" t="n">
        <x:v>42055</x:v>
      </x:c>
      <x:c r="C5997" s="18" t="n">
        <x:v>8937</x:v>
      </x:c>
      <x:c r="D5997" s="18" t="n">
        <x:v>47812</x:v>
      </x:c>
      <x:c r="E5997" s="18" t="n">
        <x:v>24.23</x:v>
      </x:c>
      <x:c r="F5997" s="18" t="n">
        <x:v>8.24</x:v>
      </x:c>
      <x:c r="G5997" t="n">
        <x:v>36</x:v>
      </x:c>
      <x:c r="H5997" t="str">
        <x:v>B</x:v>
      </x:c>
      <x:c r="I5997" t="str">
        <x:v>10+ years</x:v>
      </x:c>
      <x:c r="J5997" t="str">
        <x:v>MORTGAGE</x:v>
      </x:c>
      <x:c r="K5997" t="str">
        <x:v>home_improvement</x:v>
      </x:c>
      <x:c r="L5997" t="n">
        <x:v>0</x:v>
      </x:c>
      <x:c r="M5997" t="n">
        <x:v>0</x:v>
      </x:c>
      <x:c r="N5997" t="str">
        <x:v>Fully Paid</x:v>
      </x:c>
      <x:c r="O5997" t="str">
        <x:f>IF(D5997="","Unknown",IF(D5997&lt;25000,"&lt;$25k",IF(D5997&lt;50000,"$25k-$50k",IF(D5997&lt;75000,"$50k-$75k",IF(D5997&lt;100000,"$75k-$100k","$100k+")))))</x:f>
        <x:v>$25k-$50k</x:v>
      </x:c>
      <x:c r="P5997" t="str">
        <x:f>IF(E5997="","Unknown",IF(E5997&lt;10,"&lt;10",IF(E5997&lt;20,"10-&lt;20",IF(E5997&lt;25,"20-&lt;25",IF(E5997&lt;35,"25-&lt;35","35+")))))</x:f>
        <x:v>20-&lt;25</x:v>
      </x:c>
    </x:row>
    <x:row r="5998">
      <x:c r="A5998" t="str">
        <x:v>SYN0005997</x:v>
      </x:c>
      <x:c r="B5998" s="12" t="n">
        <x:v>42655</x:v>
      </x:c>
      <x:c r="C5998" s="18" t="n">
        <x:v>11735</x:v>
      </x:c>
      <x:c r="D5998" s="18" t="n">
        <x:v>47243</x:v>
      </x:c>
      <x:c r="E5998" s="18" t="n">
        <x:v>30.64</x:v>
      </x:c>
      <x:c r="F5998" s="18" t="n">
        <x:v>21.83</x:v>
      </x:c>
      <x:c r="G5998" t="n">
        <x:v>36</x:v>
      </x:c>
      <x:c r="H5998" t="str">
        <x:v>F</x:v>
      </x:c>
      <x:c r="I5998" t="str">
        <x:v>4-6 years</x:v>
      </x:c>
      <x:c r="J5998" t="str">
        <x:v>RENT</x:v>
      </x:c>
      <x:c r="K5998" t="str">
        <x:v>major_purchase</x:v>
      </x:c>
      <x:c r="L5998" t="n">
        <x:v>2</x:v>
      </x:c>
      <x:c r="M5998" t="n">
        <x:v>0</x:v>
      </x:c>
      <x:c r="N5998" t="str">
        <x:v>Fully Paid</x:v>
      </x:c>
      <x:c r="O5998" t="str">
        <x:f>IF(D5998="","Unknown",IF(D5998&lt;25000,"&lt;$25k",IF(D5998&lt;50000,"$25k-$50k",IF(D5998&lt;75000,"$50k-$75k",IF(D5998&lt;100000,"$75k-$100k","$100k+")))))</x:f>
        <x:v>$25k-$50k</x:v>
      </x:c>
      <x:c r="P5998" t="str">
        <x:f>IF(E5998="","Unknown",IF(E5998&lt;10,"&lt;10",IF(E5998&lt;20,"10-&lt;20",IF(E5998&lt;25,"20-&lt;25",IF(E5998&lt;35,"25-&lt;35","35+")))))</x:f>
        <x:v>25-&lt;35</x:v>
      </x:c>
    </x:row>
    <x:row r="5999">
      <x:c r="A5999" t="str">
        <x:v>SYN0005998</x:v>
      </x:c>
      <x:c r="B5999" s="12" t="n">
        <x:v>42685</x:v>
      </x:c>
      <x:c r="C5999" s="18" t="n">
        <x:v>10418</x:v>
      </x:c>
      <x:c r="D5999" s="18" t="n">
        <x:v>21815</x:v>
      </x:c>
      <x:c r="E5999" s="18" t="n">
        <x:v>24.15</x:v>
      </x:c>
      <x:c r="F5999" s="18" t="n">
        <x:v>10.56</x:v>
      </x:c>
      <x:c r="G5999" t="n">
        <x:v>36</x:v>
      </x:c>
      <x:c r="H5999" t="str">
        <x:v>B</x:v>
      </x:c>
      <x:c r="I5999" t="str">
        <x:v>7-9 years</x:v>
      </x:c>
      <x:c r="J5999" t="str">
        <x:v>OWN</x:v>
      </x:c>
      <x:c r="K5999" t="str">
        <x:v>credit_card</x:v>
      </x:c>
      <x:c r="L5999" t="n">
        <x:v>0</x:v>
      </x:c>
      <x:c r="M5999" t="n">
        <x:v>0</x:v>
      </x:c>
      <x:c r="N5999" t="str">
        <x:v>Fully Paid</x:v>
      </x:c>
      <x:c r="O5999" t="str">
        <x:f>IF(D5999="","Unknown",IF(D5999&lt;25000,"&lt;$25k",IF(D5999&lt;50000,"$25k-$50k",IF(D5999&lt;75000,"$50k-$75k",IF(D5999&lt;100000,"$75k-$100k","$100k+")))))</x:f>
        <x:v>&lt;$25k</x:v>
      </x:c>
      <x:c r="P5999" t="str">
        <x:f>IF(E5999="","Unknown",IF(E5999&lt;10,"&lt;10",IF(E5999&lt;20,"10-&lt;20",IF(E5999&lt;25,"20-&lt;25",IF(E5999&lt;35,"25-&lt;35","35+")))))</x:f>
        <x:v>20-&lt;25</x:v>
      </x:c>
    </x:row>
    <x:row r="6000">
      <x:c r="A6000" t="str">
        <x:v>SYN0005999</x:v>
      </x:c>
      <x:c r="B6000" s="12" t="n">
        <x:v>42355</x:v>
      </x:c>
      <x:c r="C6000" s="18" t="n">
        <x:v>8491</x:v>
      </x:c>
      <x:c r="D6000" s="18" t="n">
        <x:v>22392</x:v>
      </x:c>
      <x:c r="E6000" s="18" t="n">
        <x:v>18.55</x:v>
      </x:c>
      <x:c r="F6000" s="18" t="n">
        <x:v>8.84</x:v>
      </x:c>
      <x:c r="G6000" t="n">
        <x:v>36</x:v>
      </x:c>
      <x:c r="H6000" t="str">
        <x:v>C</x:v>
      </x:c>
      <x:c r="I6000" t="str">
        <x:v>1-3 years</x:v>
      </x:c>
      <x:c r="J6000" t="str">
        <x:v>MORTGAGE</x:v>
      </x:c>
      <x:c r="K6000" t="str">
        <x:v>debt_consolidation</x:v>
      </x:c>
      <x:c r="L6000" t="n">
        <x:v>0</x:v>
      </x:c>
      <x:c r="M6000" t="n">
        <x:v>0</x:v>
      </x:c>
      <x:c r="N6000" t="str">
        <x:v>Fully Paid</x:v>
      </x:c>
      <x:c r="O6000" t="str">
        <x:f>IF(D6000="","Unknown",IF(D6000&lt;25000,"&lt;$25k",IF(D6000&lt;50000,"$25k-$50k",IF(D6000&lt;75000,"$50k-$75k",IF(D6000&lt;100000,"$75k-$100k","$100k+")))))</x:f>
        <x:v>&lt;$25k</x:v>
      </x:c>
      <x:c r="P6000" t="str">
        <x:f>IF(E6000="","Unknown",IF(E6000&lt;10,"&lt;10",IF(E6000&lt;20,"10-&lt;20",IF(E6000&lt;25,"20-&lt;25",IF(E6000&lt;35,"25-&lt;35","35+")))))</x:f>
        <x:v>10-&lt;20</x:v>
      </x:c>
    </x:row>
    <x:row r="6001">
      <x:c r="A6001" t="str">
        <x:v>SYN0006000</x:v>
      </x:c>
      <x:c r="B6001" s="12" t="n">
        <x:v>41905</x:v>
      </x:c>
      <x:c r="C6001" s="18" t="n">
        <x:v>5265</x:v>
      </x:c>
      <x:c r="D6001" s="18" t="n">
        <x:v>103885</x:v>
      </x:c>
      <x:c r="E6001" s="18" t="n">
        <x:v>31.25</x:v>
      </x:c>
      <x:c r="F6001" s="18" t="n">
        <x:v>11.81</x:v>
      </x:c>
      <x:c r="G6001" t="n">
        <x:v>36</x:v>
      </x:c>
      <x:c r="H6001" t="str">
        <x:v>C</x:v>
      </x:c>
      <x:c r="I6001" t="str">
        <x:v>10+ years</x:v>
      </x:c>
      <x:c r="J6001" t="str">
        <x:v>MORTGAGE</x:v>
      </x:c>
      <x:c r="K6001" t="str">
        <x:v>debt_consolidation</x:v>
      </x:c>
      <x:c r="L6001" t="n">
        <x:v>0</x:v>
      </x:c>
      <x:c r="M6001" t="n">
        <x:v>0</x:v>
      </x:c>
      <x:c r="N6001" t="str">
        <x:v>Fully Paid</x:v>
      </x:c>
      <x:c r="O6001" t="str">
        <x:f>IF(D6001="","Unknown",IF(D6001&lt;25000,"&lt;$25k",IF(D6001&lt;50000,"$25k-$50k",IF(D6001&lt;75000,"$50k-$75k",IF(D6001&lt;100000,"$75k-$100k","$100k+")))))</x:f>
        <x:v>$100k+</x:v>
      </x:c>
      <x:c r="P6001" t="str">
        <x:f>IF(E6001="","Unknown",IF(E6001&lt;10,"&lt;10",IF(E6001&lt;20,"10-&lt;20",IF(E6001&lt;25,"20-&lt;25",IF(E6001&lt;35,"25-&lt;35","35+")))))</x:f>
        <x:v>25-&lt;35</x:v>
      </x:c>
    </x:row>
    <x:row r="6002">
      <x:c r="A6002" t="str">
        <x:v>SYN0006001</x:v>
      </x:c>
      <x:c r="B6002" s="12" t="n">
        <x:v>41995</x:v>
      </x:c>
      <x:c r="C6002" s="18" t="n">
        <x:v>5863</x:v>
      </x:c>
      <x:c r="D6002" s="18" t="n">
        <x:v>18873</x:v>
      </x:c>
      <x:c r="E6002" s="18" t="n">
        <x:v>13.9</x:v>
      </x:c>
      <x:c r="F6002" s="18" t="n">
        <x:v>9.99</x:v>
      </x:c>
      <x:c r="G6002" t="n">
        <x:v>36</x:v>
      </x:c>
      <x:c r="H6002" t="str">
        <x:v>C</x:v>
      </x:c>
      <x:c r="I6002" t="str">
        <x:v>10+ years</x:v>
      </x:c>
      <x:c r="J6002" t="str">
        <x:v>MORTGAGE</x:v>
      </x:c>
      <x:c r="K6002" t="str">
        <x:v>medical</x:v>
      </x:c>
      <x:c r="L6002" t="n">
        <x:v>1</x:v>
      </x:c>
      <x:c r="M6002" t="n">
        <x:v>0</x:v>
      </x:c>
      <x:c r="N6002" t="str">
        <x:v>Fully Paid</x:v>
      </x:c>
      <x:c r="O6002" t="str">
        <x:f>IF(D6002="","Unknown",IF(D6002&lt;25000,"&lt;$25k",IF(D6002&lt;50000,"$25k-$50k",IF(D6002&lt;75000,"$50k-$75k",IF(D6002&lt;100000,"$75k-$100k","$100k+")))))</x:f>
        <x:v>&lt;$25k</x:v>
      </x:c>
      <x:c r="P6002" t="str">
        <x:f>IF(E6002="","Unknown",IF(E6002&lt;10,"&lt;10",IF(E6002&lt;20,"10-&lt;20",IF(E6002&lt;25,"20-&lt;25",IF(E6002&lt;35,"25-&lt;35","35+")))))</x:f>
        <x:v>10-&lt;20</x:v>
      </x:c>
    </x:row>
    <x:row r="6003">
      <x:c r="A6003" t="str">
        <x:v>SYN0006002</x:v>
      </x:c>
      <x:c r="B6003" s="12" t="n">
        <x:v>42415</x:v>
      </x:c>
      <x:c r="C6003" s="18" t="n">
        <x:v>10177</x:v>
      </x:c>
      <x:c r="D6003" s="18" t="n">
        <x:v>92243</x:v>
      </x:c>
      <x:c r="E6003" s="18" t="n">
        <x:v>9.92</x:v>
      </x:c>
      <x:c r="F6003" s="18" t="n">
        <x:v>11.49</x:v>
      </x:c>
      <x:c r="G6003" t="n">
        <x:v>36</x:v>
      </x:c>
      <x:c r="H6003" t="str">
        <x:v>C</x:v>
      </x:c>
      <x:c r="I6003" t="str">
        <x:v>4-6 years</x:v>
      </x:c>
      <x:c r="J6003" t="str">
        <x:v>RENT</x:v>
      </x:c>
      <x:c r="K6003" t="str">
        <x:v>medical</x:v>
      </x:c>
      <x:c r="L6003" t="n">
        <x:v>0</x:v>
      </x:c>
      <x:c r="M6003" t="n">
        <x:v>0</x:v>
      </x:c>
      <x:c r="N6003" t="str">
        <x:v>Fully Paid</x:v>
      </x:c>
      <x:c r="O6003" t="str">
        <x:f>IF(D6003="","Unknown",IF(D6003&lt;25000,"&lt;$25k",IF(D6003&lt;50000,"$25k-$50k",IF(D6003&lt;75000,"$50k-$75k",IF(D6003&lt;100000,"$75k-$100k","$100k+")))))</x:f>
        <x:v>$75k-$100k</x:v>
      </x:c>
      <x:c r="P6003" t="str">
        <x:f>IF(E6003="","Unknown",IF(E6003&lt;10,"&lt;10",IF(E6003&lt;20,"10-&lt;20",IF(E6003&lt;25,"20-&lt;25",IF(E6003&lt;35,"25-&lt;35","35+")))))</x:f>
        <x:v>&lt;10</x:v>
      </x:c>
    </x:row>
    <x:row r="6004">
      <x:c r="A6004" t="str">
        <x:v>SYN0006003</x:v>
      </x:c>
      <x:c r="B6004" s="12" t="n">
        <x:v>41845</x:v>
      </x:c>
      <x:c r="C6004" s="18" t="n">
        <x:v>7948</x:v>
      </x:c>
      <x:c r="D6004" s="18" t="n">
        <x:v>117950</x:v>
      </x:c>
      <x:c r="E6004" s="18" t="n">
        <x:v>23.23</x:v>
      </x:c>
      <x:c r="F6004" s="18" t="n">
        <x:v>22.73</x:v>
      </x:c>
      <x:c r="G6004" t="n">
        <x:v>36</x:v>
      </x:c>
      <x:c r="H6004" t="str">
        <x:v>E</x:v>
      </x:c>
      <x:c r="I6004" t="str">
        <x:v>7-9 years</x:v>
      </x:c>
      <x:c r="J6004" t="str">
        <x:v>RENT</x:v>
      </x:c>
      <x:c r="K6004" t="str">
        <x:v>debt_consolidation</x:v>
      </x:c>
      <x:c r="L6004" t="n">
        <x:v>0</x:v>
      </x:c>
      <x:c r="M6004" t="n">
        <x:v>0</x:v>
      </x:c>
      <x:c r="N6004" t="str">
        <x:v>Fully Paid</x:v>
      </x:c>
      <x:c r="O6004" t="str">
        <x:f>IF(D6004="","Unknown",IF(D6004&lt;25000,"&lt;$25k",IF(D6004&lt;50000,"$25k-$50k",IF(D6004&lt;75000,"$50k-$75k",IF(D6004&lt;100000,"$75k-$100k","$100k+")))))</x:f>
        <x:v>$100k+</x:v>
      </x:c>
      <x:c r="P6004" t="str">
        <x:f>IF(E6004="","Unknown",IF(E6004&lt;10,"&lt;10",IF(E6004&lt;20,"10-&lt;20",IF(E6004&lt;25,"20-&lt;25",IF(E6004&lt;35,"25-&lt;35","35+")))))</x:f>
        <x:v>20-&lt;25</x:v>
      </x:c>
    </x:row>
    <x:row r="6005">
      <x:c r="A6005" t="str">
        <x:v>SYN0006004</x:v>
      </x:c>
      <x:c r="B6005" s="12" t="n">
        <x:v>43045</x:v>
      </x:c>
      <x:c r="C6005" s="18" t="n">
        <x:v>14764</x:v>
      </x:c>
      <x:c r="D6005" s="18" t="n">
        <x:v>27471</x:v>
      </x:c>
      <x:c r="E6005" s="18" t="n">
        <x:v>24.67</x:v>
      </x:c>
      <x:c r="F6005" s="18" t="n">
        <x:v>7.96</x:v>
      </x:c>
      <x:c r="G6005" t="n">
        <x:v>36</x:v>
      </x:c>
      <x:c r="H6005" t="str">
        <x:v>B</x:v>
      </x:c>
      <x:c r="I6005" t="str">
        <x:v>1-3 years</x:v>
      </x:c>
      <x:c r="J6005" t="str">
        <x:v>MORTGAGE</x:v>
      </x:c>
      <x:c r="K6005" t="str">
        <x:v>credit_card</x:v>
      </x:c>
      <x:c r="L6005" t="n">
        <x:v>0</x:v>
      </x:c>
      <x:c r="M6005" t="n">
        <x:v>0</x:v>
      </x:c>
      <x:c r="N6005" t="str">
        <x:v>Fully Paid</x:v>
      </x:c>
      <x:c r="O6005" t="str">
        <x:f>IF(D6005="","Unknown",IF(D6005&lt;25000,"&lt;$25k",IF(D6005&lt;50000,"$25k-$50k",IF(D6005&lt;75000,"$50k-$75k",IF(D6005&lt;100000,"$75k-$100k","$100k+")))))</x:f>
        <x:v>$25k-$50k</x:v>
      </x:c>
      <x:c r="P6005" t="str">
        <x:f>IF(E6005="","Unknown",IF(E6005&lt;10,"&lt;10",IF(E6005&lt;20,"10-&lt;20",IF(E6005&lt;25,"20-&lt;25",IF(E6005&lt;35,"25-&lt;35","35+")))))</x:f>
        <x:v>20-&lt;25</x:v>
      </x:c>
    </x:row>
    <x:row r="6006">
      <x:c r="A6006" t="str">
        <x:v>SYN0006005</x:v>
      </x:c>
      <x:c r="B6006" s="12" t="n">
        <x:v>41845</x:v>
      </x:c>
      <x:c r="C6006" s="18" t="n">
        <x:v>14865</x:v>
      </x:c>
      <x:c r="D6006" s="18" t="n">
        <x:v>12126</x:v>
      </x:c>
      <x:c r="E6006" s="18" t="n">
        <x:v>5.39</x:v>
      </x:c>
      <x:c r="F6006" s="18" t="n">
        <x:v>5.13</x:v>
      </x:c>
      <x:c r="G6006" t="n">
        <x:v>60</x:v>
      </x:c>
      <x:c r="H6006" t="str">
        <x:v>A</x:v>
      </x:c>
      <x:c r="I6006" t="str">
        <x:v>&lt;1 year</x:v>
      </x:c>
      <x:c r="J6006" t="str">
        <x:v>RENT</x:v>
      </x:c>
      <x:c r="K6006" t="str">
        <x:v>credit_card</x:v>
      </x:c>
      <x:c r="L6006" t="n">
        <x:v>0</x:v>
      </x:c>
      <x:c r="M6006" t="n">
        <x:v>0</x:v>
      </x:c>
      <x:c r="N6006" t="str">
        <x:v>Fully Paid</x:v>
      </x:c>
      <x:c r="O6006" t="str">
        <x:f>IF(D6006="","Unknown",IF(D6006&lt;25000,"&lt;$25k",IF(D6006&lt;50000,"$25k-$50k",IF(D6006&lt;75000,"$50k-$75k",IF(D6006&lt;100000,"$75k-$100k","$100k+")))))</x:f>
        <x:v>&lt;$25k</x:v>
      </x:c>
      <x:c r="P6006" t="str">
        <x:f>IF(E6006="","Unknown",IF(E6006&lt;10,"&lt;10",IF(E6006&lt;20,"10-&lt;20",IF(E6006&lt;25,"20-&lt;25",IF(E6006&lt;35,"25-&lt;35","35+")))))</x:f>
        <x:v>&lt;10</x:v>
      </x:c>
    </x:row>
    <x:row r="6007">
      <x:c r="A6007" t="str">
        <x:v>SYN0006006</x:v>
      </x:c>
      <x:c r="B6007" s="12" t="n">
        <x:v>42595</x:v>
      </x:c>
      <x:c r="C6007" s="18" t="n">
        <x:v>14528</x:v>
      </x:c>
      <x:c r="D6007" s="18" t="n">
        <x:v>71463</x:v>
      </x:c>
      <x:c r="E6007" s="18" t="n">
        <x:v>35.94</x:v>
      </x:c>
      <x:c r="F6007" s="18" t="n">
        <x:v>24.41</x:v>
      </x:c>
      <x:c r="G6007" t="n">
        <x:v>36</x:v>
      </x:c>
      <x:c r="H6007" t="str">
        <x:v>F</x:v>
      </x:c>
      <x:c r="I6007" t="str">
        <x:v>7-9 years</x:v>
      </x:c>
      <x:c r="J6007" t="str">
        <x:v>MORTGAGE</x:v>
      </x:c>
      <x:c r="K6007" t="str">
        <x:v>home_improvement</x:v>
      </x:c>
      <x:c r="L6007" t="n">
        <x:v>2</x:v>
      </x:c>
      <x:c r="M6007" t="n">
        <x:v>1</x:v>
      </x:c>
      <x:c r="N6007" t="str">
        <x:v>Charged Off</x:v>
      </x:c>
      <x:c r="O6007" t="str">
        <x:f>IF(D6007="","Unknown",IF(D6007&lt;25000,"&lt;$25k",IF(D6007&lt;50000,"$25k-$50k",IF(D6007&lt;75000,"$50k-$75k",IF(D6007&lt;100000,"$75k-$100k","$100k+")))))</x:f>
        <x:v>$50k-$75k</x:v>
      </x:c>
      <x:c r="P6007" t="str">
        <x:f>IF(E6007="","Unknown",IF(E6007&lt;10,"&lt;10",IF(E6007&lt;20,"10-&lt;20",IF(E6007&lt;25,"20-&lt;25",IF(E6007&lt;35,"25-&lt;35","35+")))))</x:f>
        <x:v>35+</x:v>
      </x:c>
    </x:row>
    <x:row r="6008">
      <x:c r="A6008" t="str">
        <x:v>SYN0006007</x:v>
      </x:c>
      <x:c r="B6008" s="12" t="n">
        <x:v>42835</x:v>
      </x:c>
      <x:c r="C6008" s="18" t="n">
        <x:v>15963</x:v>
      </x:c>
      <x:c r="D6008" s="18" t="n">
        <x:v>32438</x:v>
      </x:c>
      <x:c r="E6008" s="18" t="n">
        <x:v>28.04</x:v>
      </x:c>
      <x:c r="F6008" s="18" t="n">
        <x:v>8.61</x:v>
      </x:c>
      <x:c r="G6008" t="n">
        <x:v>36</x:v>
      </x:c>
      <x:c r="H6008" t="str">
        <x:v>A</x:v>
      </x:c>
      <x:c r="I6008" t="str">
        <x:v>7-9 years</x:v>
      </x:c>
      <x:c r="J6008" t="str">
        <x:v>MORTGAGE</x:v>
      </x:c>
      <x:c r="K6008" t="str">
        <x:v>other</x:v>
      </x:c>
      <x:c r="L6008" t="n">
        <x:v>0</x:v>
      </x:c>
      <x:c r="M6008" t="n">
        <x:v>0</x:v>
      </x:c>
      <x:c r="N6008" t="str">
        <x:v>Fully Paid</x:v>
      </x:c>
      <x:c r="O6008" t="str">
        <x:f>IF(D6008="","Unknown",IF(D6008&lt;25000,"&lt;$25k",IF(D6008&lt;50000,"$25k-$50k",IF(D6008&lt;75000,"$50k-$75k",IF(D6008&lt;100000,"$75k-$100k","$100k+")))))</x:f>
        <x:v>$25k-$50k</x:v>
      </x:c>
      <x:c r="P6008" t="str">
        <x:f>IF(E6008="","Unknown",IF(E6008&lt;10,"&lt;10",IF(E6008&lt;20,"10-&lt;20",IF(E6008&lt;25,"20-&lt;25",IF(E6008&lt;35,"25-&lt;35","35+")))))</x:f>
        <x:v>25-&lt;35</x:v>
      </x:c>
    </x:row>
    <x:row r="6009">
      <x:c r="A6009" t="str">
        <x:v>SYN0006008</x:v>
      </x:c>
      <x:c r="B6009" s="12" t="n">
        <x:v>42175</x:v>
      </x:c>
      <x:c r="C6009" s="18" t="n">
        <x:v>32244</x:v>
      </x:c>
      <x:c r="D6009" s="18" t="n">
        <x:v>62288</x:v>
      </x:c>
      <x:c r="E6009" s="18" t="n">
        <x:v>24</x:v>
      </x:c>
      <x:c r="F6009" s="18" t="n">
        <x:v>11.46</x:v>
      </x:c>
      <x:c r="G6009" t="n">
        <x:v>36</x:v>
      </x:c>
      <x:c r="H6009" t="str">
        <x:v>C</x:v>
      </x:c>
      <x:c r="I6009" t="str">
        <x:v>1-3 years</x:v>
      </x:c>
      <x:c r="J6009" t="str">
        <x:v>RENT</x:v>
      </x:c>
      <x:c r="K6009" t="str">
        <x:v>debt_consolidation</x:v>
      </x:c>
      <x:c r="L6009" t="n">
        <x:v>0</x:v>
      </x:c>
      <x:c r="M6009" t="n">
        <x:v>0</x:v>
      </x:c>
      <x:c r="N6009" t="str">
        <x:v>Fully Paid</x:v>
      </x:c>
      <x:c r="O6009" t="str">
        <x:f>IF(D6009="","Unknown",IF(D6009&lt;25000,"&lt;$25k",IF(D6009&lt;50000,"$25k-$50k",IF(D6009&lt;75000,"$50k-$75k",IF(D6009&lt;100000,"$75k-$100k","$100k+")))))</x:f>
        <x:v>$50k-$75k</x:v>
      </x:c>
      <x:c r="P6009" t="str">
        <x:f>IF(E6009="","Unknown",IF(E6009&lt;10,"&lt;10",IF(E6009&lt;20,"10-&lt;20",IF(E6009&lt;25,"20-&lt;25",IF(E6009&lt;35,"25-&lt;35","35+")))))</x:f>
        <x:v>20-&lt;25</x:v>
      </x:c>
    </x:row>
    <x:row r="6010">
      <x:c r="A6010" t="str">
        <x:v>SYN0006009</x:v>
      </x:c>
      <x:c r="B6010" s="12" t="n">
        <x:v>42805</x:v>
      </x:c>
      <x:c r="C6010" s="18" t="n">
        <x:v>23284</x:v>
      </x:c>
      <x:c r="D6010" s="18" t="n">
        <x:v>73625</x:v>
      </x:c>
      <x:c r="E6010" s="18" t="n">
        <x:v>46.57</x:v>
      </x:c>
      <x:c r="F6010" s="18" t="n">
        <x:v>22.68</x:v>
      </x:c>
      <x:c r="G6010" t="n">
        <x:v>36</x:v>
      </x:c>
      <x:c r="H6010" t="str">
        <x:v>F</x:v>
      </x:c>
      <x:c r="I6010" t="str">
        <x:v>10+ years</x:v>
      </x:c>
      <x:c r="J6010" t="str">
        <x:v>RENT</x:v>
      </x:c>
      <x:c r="K6010" t="str">
        <x:v>other</x:v>
      </x:c>
      <x:c r="L6010" t="n">
        <x:v>1</x:v>
      </x:c>
      <x:c r="M6010" t="n">
        <x:v>1</x:v>
      </x:c>
      <x:c r="N6010" t="str">
        <x:v>Charged Off</x:v>
      </x:c>
      <x:c r="O6010" t="str">
        <x:f>IF(D6010="","Unknown",IF(D6010&lt;25000,"&lt;$25k",IF(D6010&lt;50000,"$25k-$50k",IF(D6010&lt;75000,"$50k-$75k",IF(D6010&lt;100000,"$75k-$100k","$100k+")))))</x:f>
        <x:v>$50k-$75k</x:v>
      </x:c>
      <x:c r="P6010" t="str">
        <x:f>IF(E6010="","Unknown",IF(E6010&lt;10,"&lt;10",IF(E6010&lt;20,"10-&lt;20",IF(E6010&lt;25,"20-&lt;25",IF(E6010&lt;35,"25-&lt;35","35+")))))</x:f>
        <x:v>35+</x:v>
      </x:c>
    </x:row>
    <x:row r="6011">
      <x:c r="A6011" t="str">
        <x:v>SYN0006010</x:v>
      </x:c>
      <x:c r="B6011" s="12" t="n">
        <x:v>43015</x:v>
      </x:c>
      <x:c r="C6011" s="18" t="n">
        <x:v>8768</x:v>
      </x:c>
      <x:c r="D6011" s="18" t="n">
        <x:v>36312</x:v>
      </x:c>
      <x:c r="E6011" s="18" t="n">
        <x:v>14.46</x:v>
      </x:c>
      <x:c r="F6011" s="18" t="n">
        <x:v>9.03</x:v>
      </x:c>
      <x:c r="G6011" t="n">
        <x:v>60</x:v>
      </x:c>
      <x:c r="H6011" t="str">
        <x:v>B</x:v>
      </x:c>
      <x:c r="I6011" t="str">
        <x:v>10+ years</x:v>
      </x:c>
      <x:c r="J6011" t="str">
        <x:v>MORTGAGE</x:v>
      </x:c>
      <x:c r="K6011" t="str">
        <x:v>home_improvement</x:v>
      </x:c>
      <x:c r="L6011" t="n">
        <x:v>0</x:v>
      </x:c>
      <x:c r="M6011" t="n">
        <x:v>0</x:v>
      </x:c>
      <x:c r="N6011" t="str">
        <x:v>Fully Paid</x:v>
      </x:c>
      <x:c r="O6011" t="str">
        <x:f>IF(D6011="","Unknown",IF(D6011&lt;25000,"&lt;$25k",IF(D6011&lt;50000,"$25k-$50k",IF(D6011&lt;75000,"$50k-$75k",IF(D6011&lt;100000,"$75k-$100k","$100k+")))))</x:f>
        <x:v>$25k-$50k</x:v>
      </x:c>
      <x:c r="P6011" t="str">
        <x:f>IF(E6011="","Unknown",IF(E6011&lt;10,"&lt;10",IF(E6011&lt;20,"10-&lt;20",IF(E6011&lt;25,"20-&lt;25",IF(E6011&lt;35,"25-&lt;35","35+")))))</x:f>
        <x:v>10-&lt;20</x:v>
      </x:c>
    </x:row>
    <x:row r="6012">
      <x:c r="A6012" t="str">
        <x:v>SYN0006011</x:v>
      </x:c>
      <x:c r="B6012" s="12" t="n">
        <x:v>42055</x:v>
      </x:c>
      <x:c r="C6012" s="18" t="n">
        <x:v>12968</x:v>
      </x:c>
      <x:c r="D6012" s="18" t="n">
        <x:v>106499</x:v>
      </x:c>
      <x:c r="E6012" s="18" t="n">
        <x:v>20.18</x:v>
      </x:c>
      <x:c r="F6012" s="18" t="n">
        <x:v>10.51</x:v>
      </x:c>
      <x:c r="G6012" t="n">
        <x:v>60</x:v>
      </x:c>
      <x:c r="H6012" t="str">
        <x:v>C</x:v>
      </x:c>
      <x:c r="I6012" t="str">
        <x:v>1-3 years</x:v>
      </x:c>
      <x:c r="J6012" t="str">
        <x:v>RENT</x:v>
      </x:c>
      <x:c r="K6012" t="str">
        <x:v>debt_consolidation</x:v>
      </x:c>
      <x:c r="L6012" t="n">
        <x:v>1</x:v>
      </x:c>
      <x:c r="M6012" t="n">
        <x:v>0</x:v>
      </x:c>
      <x:c r="N6012" t="str">
        <x:v>Fully Paid</x:v>
      </x:c>
      <x:c r="O6012" t="str">
        <x:f>IF(D6012="","Unknown",IF(D6012&lt;25000,"&lt;$25k",IF(D6012&lt;50000,"$25k-$50k",IF(D6012&lt;75000,"$50k-$75k",IF(D6012&lt;100000,"$75k-$100k","$100k+")))))</x:f>
        <x:v>$100k+</x:v>
      </x:c>
      <x:c r="P6012" t="str">
        <x:f>IF(E6012="","Unknown",IF(E6012&lt;10,"&lt;10",IF(E6012&lt;20,"10-&lt;20",IF(E6012&lt;25,"20-&lt;25",IF(E6012&lt;35,"25-&lt;35","35+")))))</x:f>
        <x:v>20-&lt;25</x:v>
      </x:c>
    </x:row>
    <x:row r="6013">
      <x:c r="A6013" t="str">
        <x:v>SYN0006012</x:v>
      </x:c>
      <x:c r="B6013" s="12" t="n">
        <x:v>41425</x:v>
      </x:c>
      <x:c r="C6013" s="18" t="n">
        <x:v>7600</x:v>
      </x:c>
      <x:c r="D6013" s="18" t="n">
        <x:v>93411</x:v>
      </x:c>
      <x:c r="E6013" s="18" t="n">
        <x:v>8.14</x:v>
      </x:c>
      <x:c r="F6013" s="18" t="n">
        <x:v>6.02</x:v>
      </x:c>
      <x:c r="G6013" t="n">
        <x:v>60</x:v>
      </x:c>
      <x:c r="H6013" t="str">
        <x:v>A</x:v>
      </x:c>
      <x:c r="I6013" t="str">
        <x:v>&lt;1 year</x:v>
      </x:c>
      <x:c r="J6013" t="str">
        <x:v>RENT</x:v>
      </x:c>
      <x:c r="K6013" t="str">
        <x:v>medical</x:v>
      </x:c>
      <x:c r="L6013" t="n">
        <x:v>0</x:v>
      </x:c>
      <x:c r="M6013" t="n">
        <x:v>0</x:v>
      </x:c>
      <x:c r="N6013" t="str">
        <x:v>Fully Paid</x:v>
      </x:c>
      <x:c r="O6013" t="str">
        <x:f>IF(D6013="","Unknown",IF(D6013&lt;25000,"&lt;$25k",IF(D6013&lt;50000,"$25k-$50k",IF(D6013&lt;75000,"$50k-$75k",IF(D6013&lt;100000,"$75k-$100k","$100k+")))))</x:f>
        <x:v>$75k-$100k</x:v>
      </x:c>
      <x:c r="P6013" t="str">
        <x:f>IF(E6013="","Unknown",IF(E6013&lt;10,"&lt;10",IF(E6013&lt;20,"10-&lt;20",IF(E6013&lt;25,"20-&lt;25",IF(E6013&lt;35,"25-&lt;35","35+")))))</x:f>
        <x:v>&lt;10</x:v>
      </x:c>
    </x:row>
    <x:row r="6014">
      <x:c r="A6014" t="str">
        <x:v>SYN0006013</x:v>
      </x:c>
      <x:c r="B6014" s="12" t="n">
        <x:v>43225</x:v>
      </x:c>
      <x:c r="C6014" s="18" t="n">
        <x:v>13606</x:v>
      </x:c>
      <x:c r="D6014" s="18" t="n">
        <x:v>158195</x:v>
      </x:c>
      <x:c r="E6014" s="18" t="n">
        <x:v>11.46</x:v>
      </x:c>
      <x:c r="F6014" s="18" t="n">
        <x:v>15.19</x:v>
      </x:c>
      <x:c r="G6014" t="n">
        <x:v>36</x:v>
      </x:c>
      <x:c r="H6014" t="str">
        <x:v>D</x:v>
      </x:c>
      <x:c r="I6014" t="str">
        <x:v>7-9 years</x:v>
      </x:c>
      <x:c r="J6014" t="str">
        <x:v>OWN</x:v>
      </x:c>
      <x:c r="K6014" t="str">
        <x:v>debt_consolidation</x:v>
      </x:c>
      <x:c r="L6014" t="n">
        <x:v>2</x:v>
      </x:c>
      <x:c r="M6014" t="n">
        <x:v>1</x:v>
      </x:c>
      <x:c r="N6014" t="str">
        <x:v>Charged Off</x:v>
      </x:c>
      <x:c r="O6014" t="str">
        <x:f>IF(D6014="","Unknown",IF(D6014&lt;25000,"&lt;$25k",IF(D6014&lt;50000,"$25k-$50k",IF(D6014&lt;75000,"$50k-$75k",IF(D6014&lt;100000,"$75k-$100k","$100k+")))))</x:f>
        <x:v>$100k+</x:v>
      </x:c>
      <x:c r="P6014" t="str">
        <x:f>IF(E6014="","Unknown",IF(E6014&lt;10,"&lt;10",IF(E6014&lt;20,"10-&lt;20",IF(E6014&lt;25,"20-&lt;25",IF(E6014&lt;35,"25-&lt;35","35+")))))</x:f>
        <x:v>10-&lt;20</x:v>
      </x:c>
    </x:row>
    <x:row r="6015">
      <x:c r="A6015" t="str">
        <x:v>SYN0006014</x:v>
      </x:c>
      <x:c r="B6015" s="12" t="n">
        <x:v>43255</x:v>
      </x:c>
      <x:c r="C6015" s="18" t="n">
        <x:v>12539</x:v>
      </x:c>
      <x:c r="D6015" s="18" t="n">
        <x:v>25287</x:v>
      </x:c>
      <x:c r="E6015" s="18" t="n">
        <x:v>15.63</x:v>
      </x:c>
      <x:c r="F6015" s="18" t="n">
        <x:v>16.31</x:v>
      </x:c>
      <x:c r="G6015" t="n">
        <x:v>36</x:v>
      </x:c>
      <x:c r="H6015" t="str">
        <x:v>E</x:v>
      </x:c>
      <x:c r="I6015" t="str">
        <x:v>1-3 years</x:v>
      </x:c>
      <x:c r="J6015" t="str">
        <x:v>OWN</x:v>
      </x:c>
      <x:c r="K6015" t="str">
        <x:v>credit_card</x:v>
      </x:c>
      <x:c r="L6015" t="n">
        <x:v>0</x:v>
      </x:c>
      <x:c r="M6015" t="n">
        <x:v>0</x:v>
      </x:c>
      <x:c r="N6015" t="str">
        <x:v>Fully Paid</x:v>
      </x:c>
      <x:c r="O6015" t="str">
        <x:f>IF(D6015="","Unknown",IF(D6015&lt;25000,"&lt;$25k",IF(D6015&lt;50000,"$25k-$50k",IF(D6015&lt;75000,"$50k-$75k",IF(D6015&lt;100000,"$75k-$100k","$100k+")))))</x:f>
        <x:v>$25k-$50k</x:v>
      </x:c>
      <x:c r="P6015" t="str">
        <x:f>IF(E6015="","Unknown",IF(E6015&lt;10,"&lt;10",IF(E6015&lt;20,"10-&lt;20",IF(E6015&lt;25,"20-&lt;25",IF(E6015&lt;35,"25-&lt;35","35+")))))</x:f>
        <x:v>10-&lt;20</x:v>
      </x:c>
    </x:row>
    <x:row r="6016">
      <x:c r="A6016" t="str">
        <x:v>SYN0006015</x:v>
      </x:c>
      <x:c r="B6016" s="12" t="n">
        <x:v>42865</x:v>
      </x:c>
      <x:c r="C6016" s="18" t="n">
        <x:v>33867</x:v>
      </x:c>
      <x:c r="D6016" s="18" t="n">
        <x:v>14988</x:v>
      </x:c>
      <x:c r="E6016" s="18" t="n">
        <x:v>14.58</x:v>
      </x:c>
      <x:c r="F6016" s="18" t="n">
        <x:v>8.7</x:v>
      </x:c>
      <x:c r="G6016" t="n">
        <x:v>36</x:v>
      </x:c>
      <x:c r="H6016" t="str">
        <x:v>B</x:v>
      </x:c>
      <x:c r="I6016" t="str">
        <x:v>10+ years</x:v>
      </x:c>
      <x:c r="J6016" t="str">
        <x:v>MORTGAGE</x:v>
      </x:c>
      <x:c r="K6016" t="str">
        <x:v>credit_card</x:v>
      </x:c>
      <x:c r="L6016" t="n">
        <x:v>0</x:v>
      </x:c>
      <x:c r="M6016" t="n">
        <x:v>0</x:v>
      </x:c>
      <x:c r="N6016" t="str">
        <x:v>Fully Paid</x:v>
      </x:c>
      <x:c r="O6016" t="str">
        <x:f>IF(D6016="","Unknown",IF(D6016&lt;25000,"&lt;$25k",IF(D6016&lt;50000,"$25k-$50k",IF(D6016&lt;75000,"$50k-$75k",IF(D6016&lt;100000,"$75k-$100k","$100k+")))))</x:f>
        <x:v>&lt;$25k</x:v>
      </x:c>
      <x:c r="P6016" t="str">
        <x:f>IF(E6016="","Unknown",IF(E6016&lt;10,"&lt;10",IF(E6016&lt;20,"10-&lt;20",IF(E6016&lt;25,"20-&lt;25",IF(E6016&lt;35,"25-&lt;35","35+")))))</x:f>
        <x:v>10-&lt;20</x:v>
      </x:c>
    </x:row>
    <x:row r="6017">
      <x:c r="A6017" t="str">
        <x:v>SYN0006016</x:v>
      </x:c>
      <x:c r="B6017" s="12" t="n">
        <x:v>43015</x:v>
      </x:c>
      <x:c r="C6017" s="18" t="n">
        <x:v>5664</x:v>
      </x:c>
      <x:c r="D6017" s="18" t="n">
        <x:v>106594</x:v>
      </x:c>
      <x:c r="E6017" s="18" t="n">
        <x:v>6.43</x:v>
      </x:c>
      <x:c r="F6017" s="18" t="n">
        <x:v>7.59</x:v>
      </x:c>
      <x:c r="G6017" t="n">
        <x:v>36</x:v>
      </x:c>
      <x:c r="H6017" t="str">
        <x:v>B</x:v>
      </x:c>
      <x:c r="I6017" t="str">
        <x:v>10+ years</x:v>
      </x:c>
      <x:c r="J6017" t="str">
        <x:v>MORTGAGE</x:v>
      </x:c>
      <x:c r="K6017" t="str">
        <x:v>debt_consolidation</x:v>
      </x:c>
      <x:c r="L6017" t="n">
        <x:v>1</x:v>
      </x:c>
      <x:c r="M6017" t="n">
        <x:v>0</x:v>
      </x:c>
      <x:c r="N6017" t="str">
        <x:v>Fully Paid</x:v>
      </x:c>
      <x:c r="O6017" t="str">
        <x:f>IF(D6017="","Unknown",IF(D6017&lt;25000,"&lt;$25k",IF(D6017&lt;50000,"$25k-$50k",IF(D6017&lt;75000,"$50k-$75k",IF(D6017&lt;100000,"$75k-$100k","$100k+")))))</x:f>
        <x:v>$100k+</x:v>
      </x:c>
      <x:c r="P6017" t="str">
        <x:f>IF(E6017="","Unknown",IF(E6017&lt;10,"&lt;10",IF(E6017&lt;20,"10-&lt;20",IF(E6017&lt;25,"20-&lt;25",IF(E6017&lt;35,"25-&lt;35","35+")))))</x:f>
        <x:v>&lt;10</x:v>
      </x:c>
    </x:row>
    <x:row r="6018">
      <x:c r="A6018" t="str">
        <x:v>SYN0006017</x:v>
      </x:c>
      <x:c r="B6018" s="12" t="n">
        <x:v>43315</x:v>
      </x:c>
      <x:c r="C6018" s="18" t="n">
        <x:v>7065</x:v>
      </x:c>
      <x:c r="D6018" s="18" t="n">
        <x:v>135910</x:v>
      </x:c>
      <x:c r="E6018" s="18" t="n">
        <x:v>23.61</x:v>
      </x:c>
      <x:c r="F6018" s="18" t="n">
        <x:v>18.41</x:v>
      </x:c>
      <x:c r="G6018" t="n">
        <x:v>36</x:v>
      </x:c>
      <x:c r="H6018" t="str">
        <x:v>E</x:v>
      </x:c>
      <x:c r="I6018" t="str">
        <x:v>7-9 years</x:v>
      </x:c>
      <x:c r="J6018" t="str">
        <x:v>MORTGAGE</x:v>
      </x:c>
      <x:c r="K6018" t="str">
        <x:v>debt_consolidation</x:v>
      </x:c>
      <x:c r="L6018" t="n">
        <x:v>0</x:v>
      </x:c>
      <x:c r="M6018" t="n">
        <x:v>1</x:v>
      </x:c>
      <x:c r="N6018" t="str">
        <x:v>Charged Off</x:v>
      </x:c>
      <x:c r="O6018" t="str">
        <x:f>IF(D6018="","Unknown",IF(D6018&lt;25000,"&lt;$25k",IF(D6018&lt;50000,"$25k-$50k",IF(D6018&lt;75000,"$50k-$75k",IF(D6018&lt;100000,"$75k-$100k","$100k+")))))</x:f>
        <x:v>$100k+</x:v>
      </x:c>
      <x:c r="P6018" t="str">
        <x:f>IF(E6018="","Unknown",IF(E6018&lt;10,"&lt;10",IF(E6018&lt;20,"10-&lt;20",IF(E6018&lt;25,"20-&lt;25",IF(E6018&lt;35,"25-&lt;35","35+")))))</x:f>
        <x:v>20-&lt;25</x:v>
      </x:c>
    </x:row>
    <x:row r="6019">
      <x:c r="A6019" t="str">
        <x:v>SYN0006018</x:v>
      </x:c>
      <x:c r="B6019" s="12" t="n">
        <x:v>42475</x:v>
      </x:c>
      <x:c r="C6019" s="18" t="n">
        <x:v>14217</x:v>
      </x:c>
      <x:c r="D6019" s="18" t="n">
        <x:v>69062</x:v>
      </x:c>
      <x:c r="E6019" s="18" t="n">
        <x:v>20.97</x:v>
      </x:c>
      <x:c r="F6019" s="18" t="n">
        <x:v>5</x:v>
      </x:c>
      <x:c r="G6019" t="n">
        <x:v>36</x:v>
      </x:c>
      <x:c r="H6019" t="str">
        <x:v>A</x:v>
      </x:c>
      <x:c r="I6019" t="str">
        <x:v>7-9 years</x:v>
      </x:c>
      <x:c r="J6019" t="str">
        <x:v>MORTGAGE</x:v>
      </x:c>
      <x:c r="K6019" t="str">
        <x:v>major_purchase</x:v>
      </x:c>
      <x:c r="L6019" t="n">
        <x:v>0</x:v>
      </x:c>
      <x:c r="M6019" t="n">
        <x:v>0</x:v>
      </x:c>
      <x:c r="N6019" t="str">
        <x:v>Fully Paid</x:v>
      </x:c>
      <x:c r="O6019" t="str">
        <x:f>IF(D6019="","Unknown",IF(D6019&lt;25000,"&lt;$25k",IF(D6019&lt;50000,"$25k-$50k",IF(D6019&lt;75000,"$50k-$75k",IF(D6019&lt;100000,"$75k-$100k","$100k+")))))</x:f>
        <x:v>$50k-$75k</x:v>
      </x:c>
      <x:c r="P6019" t="str">
        <x:f>IF(E6019="","Unknown",IF(E6019&lt;10,"&lt;10",IF(E6019&lt;20,"10-&lt;20",IF(E6019&lt;25,"20-&lt;25",IF(E6019&lt;35,"25-&lt;35","35+")))))</x:f>
        <x:v>20-&lt;25</x:v>
      </x:c>
    </x:row>
    <x:row r="6020">
      <x:c r="A6020" t="str">
        <x:v>SYN0006019</x:v>
      </x:c>
      <x:c r="B6020" s="12" t="n">
        <x:v>43405</x:v>
      </x:c>
      <x:c r="C6020" s="18" t="n">
        <x:v>14419</x:v>
      </x:c>
      <x:c r="D6020" s="18" t="n">
        <x:v>63232</x:v>
      </x:c>
      <x:c r="E6020" s="18" t="n">
        <x:v>23.87</x:v>
      </x:c>
      <x:c r="F6020" s="18" t="n">
        <x:v>11.73</x:v>
      </x:c>
      <x:c r="G6020" t="n">
        <x:v>36</x:v>
      </x:c>
      <x:c r="H6020" t="str">
        <x:v>B</x:v>
      </x:c>
      <x:c r="I6020" t="str">
        <x:v>7-9 years</x:v>
      </x:c>
      <x:c r="J6020" t="str">
        <x:v>OWN</x:v>
      </x:c>
      <x:c r="K6020" t="str">
        <x:v>credit_card</x:v>
      </x:c>
      <x:c r="L6020" t="n">
        <x:v>1</x:v>
      </x:c>
      <x:c r="M6020" t="n">
        <x:v>0</x:v>
      </x:c>
      <x:c r="N6020" t="str">
        <x:v>Fully Paid</x:v>
      </x:c>
      <x:c r="O6020" t="str">
        <x:f>IF(D6020="","Unknown",IF(D6020&lt;25000,"&lt;$25k",IF(D6020&lt;50000,"$25k-$50k",IF(D6020&lt;75000,"$50k-$75k",IF(D6020&lt;100000,"$75k-$100k","$100k+")))))</x:f>
        <x:v>$50k-$75k</x:v>
      </x:c>
      <x:c r="P6020" t="str">
        <x:f>IF(E6020="","Unknown",IF(E6020&lt;10,"&lt;10",IF(E6020&lt;20,"10-&lt;20",IF(E6020&lt;25,"20-&lt;25",IF(E6020&lt;35,"25-&lt;35","35+")))))</x:f>
        <x:v>20-&lt;25</x:v>
      </x:c>
    </x:row>
    <x:row r="6021">
      <x:c r="A6021" t="str">
        <x:v>SYN0006020</x:v>
      </x:c>
      <x:c r="B6021" s="12" t="n">
        <x:v>42445</x:v>
      </x:c>
      <x:c r="C6021" s="18" t="n">
        <x:v>22595</x:v>
      </x:c>
      <x:c r="D6021" s="18" t="n">
        <x:v>78484</x:v>
      </x:c>
      <x:c r="E6021" s="18" t="n">
        <x:v>23.36</x:v>
      </x:c>
      <x:c r="F6021" s="18" t="n">
        <x:v>17.23</x:v>
      </x:c>
      <x:c r="G6021" t="n">
        <x:v>36</x:v>
      </x:c>
      <x:c r="H6021" t="str">
        <x:v>D</x:v>
      </x:c>
      <x:c r="I6021" t="str">
        <x:v>7-9 years</x:v>
      </x:c>
      <x:c r="J6021" t="str">
        <x:v>OWN</x:v>
      </x:c>
      <x:c r="K6021" t="str">
        <x:v>credit_card</x:v>
      </x:c>
      <x:c r="L6021" t="n">
        <x:v>0</x:v>
      </x:c>
      <x:c r="M6021" t="n">
        <x:v>0</x:v>
      </x:c>
      <x:c r="N6021" t="str">
        <x:v>Fully Paid</x:v>
      </x:c>
      <x:c r="O6021" t="str">
        <x:f>IF(D6021="","Unknown",IF(D6021&lt;25000,"&lt;$25k",IF(D6021&lt;50000,"$25k-$50k",IF(D6021&lt;75000,"$50k-$75k",IF(D6021&lt;100000,"$75k-$100k","$100k+")))))</x:f>
        <x:v>$75k-$100k</x:v>
      </x:c>
      <x:c r="P6021" t="str">
        <x:f>IF(E6021="","Unknown",IF(E6021&lt;10,"&lt;10",IF(E6021&lt;20,"10-&lt;20",IF(E6021&lt;25,"20-&lt;25",IF(E6021&lt;35,"25-&lt;35","35+")))))</x:f>
        <x:v>20-&lt;25</x:v>
      </x:c>
    </x:row>
    <x:row r="6022">
      <x:c r="A6022" t="str">
        <x:v>SYN0006021</x:v>
      </x:c>
      <x:c r="B6022" s="12" t="n">
        <x:v>42535</x:v>
      </x:c>
      <x:c r="C6022" s="18" t="n">
        <x:v>11903</x:v>
      </x:c>
      <x:c r="D6022" s="18" t="n">
        <x:v>22464</x:v>
      </x:c>
      <x:c r="E6022" s="18" t="n">
        <x:v>14.36</x:v>
      </x:c>
      <x:c r="F6022" s="18" t="n">
        <x:v>10.83</x:v>
      </x:c>
      <x:c r="G6022" t="n">
        <x:v>36</x:v>
      </x:c>
      <x:c r="H6022" t="str">
        <x:v>C</x:v>
      </x:c>
      <x:c r="I6022" t="str">
        <x:v>10+ years</x:v>
      </x:c>
      <x:c r="J6022" t="str">
        <x:v>RENT</x:v>
      </x:c>
      <x:c r="K6022" t="str">
        <x:v>other</x:v>
      </x:c>
      <x:c r="L6022" t="n">
        <x:v>0</x:v>
      </x:c>
      <x:c r="M6022" t="n">
        <x:v>0</x:v>
      </x:c>
      <x:c r="N6022" t="str">
        <x:v>Fully Paid</x:v>
      </x:c>
      <x:c r="O6022" t="str">
        <x:f>IF(D6022="","Unknown",IF(D6022&lt;25000,"&lt;$25k",IF(D6022&lt;50000,"$25k-$50k",IF(D6022&lt;75000,"$50k-$75k",IF(D6022&lt;100000,"$75k-$100k","$100k+")))))</x:f>
        <x:v>&lt;$25k</x:v>
      </x:c>
      <x:c r="P6022" t="str">
        <x:f>IF(E6022="","Unknown",IF(E6022&lt;10,"&lt;10",IF(E6022&lt;20,"10-&lt;20",IF(E6022&lt;25,"20-&lt;25",IF(E6022&lt;35,"25-&lt;35","35+")))))</x:f>
        <x:v>10-&lt;20</x:v>
      </x:c>
    </x:row>
    <x:row r="6023">
      <x:c r="A6023" t="str">
        <x:v>SYN0006022</x:v>
      </x:c>
      <x:c r="B6023" s="12" t="n">
        <x:v>42505</x:v>
      </x:c>
      <x:c r="C6023" s="18" t="n">
        <x:v>8035</x:v>
      </x:c>
      <x:c r="D6023" s="18" t="n">
        <x:v>41688</x:v>
      </x:c>
      <x:c r="E6023" s="18" t="n">
        <x:v>0</x:v>
      </x:c>
      <x:c r="F6023" s="18" t="n">
        <x:v>6.61</x:v>
      </x:c>
      <x:c r="G6023" t="n">
        <x:v>36</x:v>
      </x:c>
      <x:c r="H6023" t="str">
        <x:v>B</x:v>
      </x:c>
      <x:c r="I6023" t="str">
        <x:v>1-3 years</x:v>
      </x:c>
      <x:c r="J6023" t="str">
        <x:v>MORTGAGE</x:v>
      </x:c>
      <x:c r="K6023" t="str">
        <x:v>other</x:v>
      </x:c>
      <x:c r="L6023" t="n">
        <x:v>0</x:v>
      </x:c>
      <x:c r="M6023" t="n">
        <x:v>1</x:v>
      </x:c>
      <x:c r="N6023" t="str">
        <x:v>Charged Off</x:v>
      </x:c>
      <x:c r="O6023" t="str">
        <x:f>IF(D6023="","Unknown",IF(D6023&lt;25000,"&lt;$25k",IF(D6023&lt;50000,"$25k-$50k",IF(D6023&lt;75000,"$50k-$75k",IF(D6023&lt;100000,"$75k-$100k","$100k+")))))</x:f>
        <x:v>$25k-$50k</x:v>
      </x:c>
      <x:c r="P6023" t="str">
        <x:f>IF(E6023="","Unknown",IF(E6023&lt;10,"&lt;10",IF(E6023&lt;20,"10-&lt;20",IF(E6023&lt;25,"20-&lt;25",IF(E6023&lt;35,"25-&lt;35","35+")))))</x:f>
        <x:v>Unknown</x:v>
      </x:c>
    </x:row>
    <x:row r="6024">
      <x:c r="A6024" t="str">
        <x:v>SYN0006023</x:v>
      </x:c>
      <x:c r="B6024" s="12" t="n">
        <x:v>42685</x:v>
      </x:c>
      <x:c r="C6024" s="18" t="n">
        <x:v>7705</x:v>
      </x:c>
      <x:c r="D6024" s="18" t="n">
        <x:v>28915</x:v>
      </x:c>
      <x:c r="E6024" s="18" t="n">
        <x:v>19.8</x:v>
      </x:c>
      <x:c r="F6024" s="18" t="n">
        <x:v>16.69</x:v>
      </x:c>
      <x:c r="G6024" t="n">
        <x:v>36</x:v>
      </x:c>
      <x:c r="H6024" t="str">
        <x:v>D</x:v>
      </x:c>
      <x:c r="I6024" t="str">
        <x:v>7-9 years</x:v>
      </x:c>
      <x:c r="J6024" t="str">
        <x:v>RENT</x:v>
      </x:c>
      <x:c r="K6024" t="str">
        <x:v>debt_consolidation</x:v>
      </x:c>
      <x:c r="L6024" t="n">
        <x:v>2</x:v>
      </x:c>
      <x:c r="M6024" t="n">
        <x:v>0</x:v>
      </x:c>
      <x:c r="N6024" t="str">
        <x:v>Fully Paid</x:v>
      </x:c>
      <x:c r="O6024" t="str">
        <x:f>IF(D6024="","Unknown",IF(D6024&lt;25000,"&lt;$25k",IF(D6024&lt;50000,"$25k-$50k",IF(D6024&lt;75000,"$50k-$75k",IF(D6024&lt;100000,"$75k-$100k","$100k+")))))</x:f>
        <x:v>$25k-$50k</x:v>
      </x:c>
      <x:c r="P6024" t="str">
        <x:f>IF(E6024="","Unknown",IF(E6024&lt;10,"&lt;10",IF(E6024&lt;20,"10-&lt;20",IF(E6024&lt;25,"20-&lt;25",IF(E6024&lt;35,"25-&lt;35","35+")))))</x:f>
        <x:v>10-&lt;20</x:v>
      </x:c>
    </x:row>
    <x:row r="6025">
      <x:c r="A6025" t="str">
        <x:v>SYN0006024</x:v>
      </x:c>
      <x:c r="B6025" s="12" t="n">
        <x:v>43255</x:v>
      </x:c>
      <x:c r="C6025" s="18" t="n">
        <x:v>20106</x:v>
      </x:c>
      <x:c r="D6025" s="18" t="n">
        <x:v>67785</x:v>
      </x:c>
      <x:c r="E6025" s="18" t="n">
        <x:v>29.76</x:v>
      </x:c>
      <x:c r="F6025" s="18" t="n">
        <x:v>20.53</x:v>
      </x:c>
      <x:c r="G6025" t="n">
        <x:v>36</x:v>
      </x:c>
      <x:c r="H6025" t="str">
        <x:v>E</x:v>
      </x:c>
      <x:c r="I6025" t="str">
        <x:v>7-9 years</x:v>
      </x:c>
      <x:c r="J6025" t="str">
        <x:v>RENT</x:v>
      </x:c>
      <x:c r="K6025" t="str">
        <x:v>debt_consolidation</x:v>
      </x:c>
      <x:c r="L6025" t="n">
        <x:v>2</x:v>
      </x:c>
      <x:c r="M6025" t="n">
        <x:v>0</x:v>
      </x:c>
      <x:c r="N6025" t="str">
        <x:v>Fully Paid</x:v>
      </x:c>
      <x:c r="O6025" t="str">
        <x:f>IF(D6025="","Unknown",IF(D6025&lt;25000,"&lt;$25k",IF(D6025&lt;50000,"$25k-$50k",IF(D6025&lt;75000,"$50k-$75k",IF(D6025&lt;100000,"$75k-$100k","$100k+")))))</x:f>
        <x:v>$50k-$75k</x:v>
      </x:c>
      <x:c r="P6025" t="str">
        <x:f>IF(E6025="","Unknown",IF(E6025&lt;10,"&lt;10",IF(E6025&lt;20,"10-&lt;20",IF(E6025&lt;25,"20-&lt;25",IF(E6025&lt;35,"25-&lt;35","35+")))))</x:f>
        <x:v>25-&lt;35</x:v>
      </x:c>
    </x:row>
    <x:row r="6026">
      <x:c r="A6026" t="str">
        <x:v>SYN0006025</x:v>
      </x:c>
      <x:c r="B6026" s="12" t="n">
        <x:v>42115</x:v>
      </x:c>
      <x:c r="C6026" s="18" t="n">
        <x:v>10291</x:v>
      </x:c>
      <x:c r="D6026" s="18" t="n">
        <x:v>93189</x:v>
      </x:c>
      <x:c r="E6026" s="18" t="n">
        <x:v>23.96</x:v>
      </x:c>
      <x:c r="F6026" s="18" t="n">
        <x:v>20.14</x:v>
      </x:c>
      <x:c r="G6026" t="n">
        <x:v>36</x:v>
      </x:c>
      <x:c r="H6026" t="str">
        <x:v>E</x:v>
      </x:c>
      <x:c r="I6026" t="str">
        <x:v>10+ years</x:v>
      </x:c>
      <x:c r="J6026" t="str">
        <x:v>OTHER</x:v>
      </x:c>
      <x:c r="K6026" t="str">
        <x:v>debt_consolidation</x:v>
      </x:c>
      <x:c r="L6026" t="n">
        <x:v>2</x:v>
      </x:c>
      <x:c r="M6026" t="n">
        <x:v>0</x:v>
      </x:c>
      <x:c r="N6026" t="str">
        <x:v>Fully Paid</x:v>
      </x:c>
      <x:c r="O6026" t="str">
        <x:f>IF(D6026="","Unknown",IF(D6026&lt;25000,"&lt;$25k",IF(D6026&lt;50000,"$25k-$50k",IF(D6026&lt;75000,"$50k-$75k",IF(D6026&lt;100000,"$75k-$100k","$100k+")))))</x:f>
        <x:v>$75k-$100k</x:v>
      </x:c>
      <x:c r="P6026" t="str">
        <x:f>IF(E6026="","Unknown",IF(E6026&lt;10,"&lt;10",IF(E6026&lt;20,"10-&lt;20",IF(E6026&lt;25,"20-&lt;25",IF(E6026&lt;35,"25-&lt;35","35+")))))</x:f>
        <x:v>20-&lt;25</x:v>
      </x:c>
    </x:row>
    <x:row r="6027">
      <x:c r="A6027" t="str">
        <x:v>SYN0006026</x:v>
      </x:c>
      <x:c r="B6027" s="12" t="n">
        <x:v>42895</x:v>
      </x:c>
      <x:c r="C6027" s="18" t="n">
        <x:v>9301</x:v>
      </x:c>
      <x:c r="D6027" s="18" t="n">
        <x:v>67141</x:v>
      </x:c>
      <x:c r="E6027" s="18" t="n">
        <x:v>12.65</x:v>
      </x:c>
      <x:c r="F6027" s="18" t="n">
        <x:v>8.55</x:v>
      </x:c>
      <x:c r="G6027" t="n">
        <x:v>36</x:v>
      </x:c>
      <x:c r="H6027" t="str">
        <x:v>A</x:v>
      </x:c>
      <x:c r="I6027" t="str">
        <x:v>4-6 years</x:v>
      </x:c>
      <x:c r="J6027" t="str">
        <x:v>OWN</x:v>
      </x:c>
      <x:c r="K6027" t="str">
        <x:v>debt_consolidation</x:v>
      </x:c>
      <x:c r="L6027" t="n">
        <x:v>1</x:v>
      </x:c>
      <x:c r="M6027" t="n">
        <x:v>1</x:v>
      </x:c>
      <x:c r="N6027" t="str">
        <x:v>Charged Off</x:v>
      </x:c>
      <x:c r="O6027" t="str">
        <x:f>IF(D6027="","Unknown",IF(D6027&lt;25000,"&lt;$25k",IF(D6027&lt;50000,"$25k-$50k",IF(D6027&lt;75000,"$50k-$75k",IF(D6027&lt;100000,"$75k-$100k","$100k+")))))</x:f>
        <x:v>$50k-$75k</x:v>
      </x:c>
      <x:c r="P6027" t="str">
        <x:f>IF(E6027="","Unknown",IF(E6027&lt;10,"&lt;10",IF(E6027&lt;20,"10-&lt;20",IF(E6027&lt;25,"20-&lt;25",IF(E6027&lt;35,"25-&lt;35","35+")))))</x:f>
        <x:v>10-&lt;20</x:v>
      </x:c>
    </x:row>
    <x:row r="6028">
      <x:c r="A6028" t="str">
        <x:v>SYN0006027</x:v>
      </x:c>
      <x:c r="B6028" s="12" t="n">
        <x:v>42835</x:v>
      </x:c>
      <x:c r="C6028" s="18" t="n">
        <x:v>8607</x:v>
      </x:c>
      <x:c r="D6028" s="18" t="n">
        <x:v>51539</x:v>
      </x:c>
      <x:c r="E6028" s="18" t="n">
        <x:v>17.2</x:v>
      </x:c>
      <x:c r="F6028" s="18" t="n">
        <x:v>10.98</x:v>
      </x:c>
      <x:c r="G6028" t="n">
        <x:v>36</x:v>
      </x:c>
      <x:c r="H6028" t="str">
        <x:v>B</x:v>
      </x:c>
      <x:c r="I6028" t="str">
        <x:v>7-9 years</x:v>
      </x:c>
      <x:c r="J6028" t="str">
        <x:v>OTHER</x:v>
      </x:c>
      <x:c r="K6028" t="str">
        <x:v>home_improvement</x:v>
      </x:c>
      <x:c r="L6028" t="n">
        <x:v>0</x:v>
      </x:c>
      <x:c r="M6028" t="n">
        <x:v>0</x:v>
      </x:c>
      <x:c r="N6028" t="str">
        <x:v>Fully Paid</x:v>
      </x:c>
      <x:c r="O6028" t="str">
        <x:f>IF(D6028="","Unknown",IF(D6028&lt;25000,"&lt;$25k",IF(D6028&lt;50000,"$25k-$50k",IF(D6028&lt;75000,"$50k-$75k",IF(D6028&lt;100000,"$75k-$100k","$100k+")))))</x:f>
        <x:v>$50k-$75k</x:v>
      </x:c>
      <x:c r="P6028" t="str">
        <x:f>IF(E6028="","Unknown",IF(E6028&lt;10,"&lt;10",IF(E6028&lt;20,"10-&lt;20",IF(E6028&lt;25,"20-&lt;25",IF(E6028&lt;35,"25-&lt;35","35+")))))</x:f>
        <x:v>10-&lt;20</x:v>
      </x:c>
    </x:row>
    <x:row r="6029">
      <x:c r="A6029" t="str">
        <x:v>SYN0006028</x:v>
      </x:c>
      <x:c r="B6029" s="12" t="n">
        <x:v>42205</x:v>
      </x:c>
      <x:c r="C6029" s="18" t="n">
        <x:v>20356</x:v>
      </x:c>
      <x:c r="D6029" s="18" t="n">
        <x:v>59131</x:v>
      </x:c>
      <x:c r="E6029" s="18" t="n">
        <x:v>36.23</x:v>
      </x:c>
      <x:c r="F6029" s="18" t="n">
        <x:v>10.04</x:v>
      </x:c>
      <x:c r="G6029" t="n">
        <x:v>36</x:v>
      </x:c>
      <x:c r="H6029" t="str">
        <x:v>C</x:v>
      </x:c>
      <x:c r="I6029" t="str">
        <x:v>7-9 years</x:v>
      </x:c>
      <x:c r="J6029" t="str">
        <x:v>RENT</x:v>
      </x:c>
      <x:c r="K6029" t="str">
        <x:v>credit_card</x:v>
      </x:c>
      <x:c r="L6029" t="n">
        <x:v>0</x:v>
      </x:c>
      <x:c r="M6029" t="n">
        <x:v>1</x:v>
      </x:c>
      <x:c r="N6029" t="str">
        <x:v>Charged Off</x:v>
      </x:c>
      <x:c r="O6029" t="str">
        <x:f>IF(D6029="","Unknown",IF(D6029&lt;25000,"&lt;$25k",IF(D6029&lt;50000,"$25k-$50k",IF(D6029&lt;75000,"$50k-$75k",IF(D6029&lt;100000,"$75k-$100k","$100k+")))))</x:f>
        <x:v>$50k-$75k</x:v>
      </x:c>
      <x:c r="P6029" t="str">
        <x:f>IF(E6029="","Unknown",IF(E6029&lt;10,"&lt;10",IF(E6029&lt;20,"10-&lt;20",IF(E6029&lt;25,"20-&lt;25",IF(E6029&lt;35,"25-&lt;35","35+")))))</x:f>
        <x:v>35+</x:v>
      </x:c>
    </x:row>
    <x:row r="6030">
      <x:c r="A6030" t="str">
        <x:v>SYN0006029</x:v>
      </x:c>
      <x:c r="B6030" s="12" t="n">
        <x:v>43255</x:v>
      </x:c>
      <x:c r="C6030" s="18" t="n">
        <x:v>20357</x:v>
      </x:c>
      <x:c r="D6030" s="18" t="n">
        <x:v>45130</x:v>
      </x:c>
      <x:c r="E6030" s="18" t="n">
        <x:v>18.91</x:v>
      </x:c>
      <x:c r="F6030" s="18" t="n">
        <x:v>23.49</x:v>
      </x:c>
      <x:c r="G6030" t="n">
        <x:v>36</x:v>
      </x:c>
      <x:c r="H6030" t="str">
        <x:v>F</x:v>
      </x:c>
      <x:c r="I6030" t="str">
        <x:v>1-3 years</x:v>
      </x:c>
      <x:c r="J6030" t="str">
        <x:v>RENT</x:v>
      </x:c>
      <x:c r="K6030" t="str">
        <x:v>major_purchase</x:v>
      </x:c>
      <x:c r="L6030" t="n">
        <x:v>3</x:v>
      </x:c>
      <x:c r="M6030" t="n">
        <x:v>1</x:v>
      </x:c>
      <x:c r="N6030" t="str">
        <x:v>Charged Off</x:v>
      </x:c>
      <x:c r="O6030" t="str">
        <x:f>IF(D6030="","Unknown",IF(D6030&lt;25000,"&lt;$25k",IF(D6030&lt;50000,"$25k-$50k",IF(D6030&lt;75000,"$50k-$75k",IF(D6030&lt;100000,"$75k-$100k","$100k+")))))</x:f>
        <x:v>$25k-$50k</x:v>
      </x:c>
      <x:c r="P6030" t="str">
        <x:f>IF(E6030="","Unknown",IF(E6030&lt;10,"&lt;10",IF(E6030&lt;20,"10-&lt;20",IF(E6030&lt;25,"20-&lt;25",IF(E6030&lt;35,"25-&lt;35","35+")))))</x:f>
        <x:v>10-&lt;20</x:v>
      </x:c>
    </x:row>
    <x:row r="6031">
      <x:c r="A6031" t="str">
        <x:v>SYN0006030</x:v>
      </x:c>
      <x:c r="B6031" s="12" t="n">
        <x:v>41815</x:v>
      </x:c>
      <x:c r="C6031" s="18" t="n">
        <x:v>7537</x:v>
      </x:c>
      <x:c r="D6031" s="18" t="n">
        <x:v>53246</x:v>
      </x:c>
      <x:c r="E6031" s="18" t="n">
        <x:v>25.6</x:v>
      </x:c>
      <x:c r="F6031" s="18" t="n">
        <x:v>14.3</x:v>
      </x:c>
      <x:c r="G6031" t="n">
        <x:v>36</x:v>
      </x:c>
      <x:c r="H6031" t="str">
        <x:v>E</x:v>
      </x:c>
      <x:c r="I6031" t="str">
        <x:v>4-6 years</x:v>
      </x:c>
      <x:c r="J6031" t="str">
        <x:v>RENT</x:v>
      </x:c>
      <x:c r="K6031" t="str">
        <x:v>debt_consolidation</x:v>
      </x:c>
      <x:c r="L6031" t="n">
        <x:v>0</x:v>
      </x:c>
      <x:c r="M6031" t="n">
        <x:v>0</x:v>
      </x:c>
      <x:c r="N6031" t="str">
        <x:v>Fully Paid</x:v>
      </x:c>
      <x:c r="O6031" t="str">
        <x:f>IF(D6031="","Unknown",IF(D6031&lt;25000,"&lt;$25k",IF(D6031&lt;50000,"$25k-$50k",IF(D6031&lt;75000,"$50k-$75k",IF(D6031&lt;100000,"$75k-$100k","$100k+")))))</x:f>
        <x:v>$50k-$75k</x:v>
      </x:c>
      <x:c r="P6031" t="str">
        <x:f>IF(E6031="","Unknown",IF(E6031&lt;10,"&lt;10",IF(E6031&lt;20,"10-&lt;20",IF(E6031&lt;25,"20-&lt;25",IF(E6031&lt;35,"25-&lt;35","35+")))))</x:f>
        <x:v>25-&lt;35</x:v>
      </x:c>
    </x:row>
    <x:row r="6032">
      <x:c r="A6032" t="str">
        <x:v>SYN0006031</x:v>
      </x:c>
      <x:c r="B6032" s="12" t="n">
        <x:v>41305</x:v>
      </x:c>
      <x:c r="C6032" s="18" t="n">
        <x:v>27536</x:v>
      </x:c>
      <x:c r="D6032" s="18" t="n">
        <x:v>20766</x:v>
      </x:c>
      <x:c r="E6032" s="18" t="n">
        <x:v>22.31</x:v>
      </x:c>
      <x:c r="F6032" s="18" t="n">
        <x:v>10.38</x:v>
      </x:c>
      <x:c r="G6032" t="n">
        <x:v>60</x:v>
      </x:c>
      <x:c r="H6032" t="str">
        <x:v>D</x:v>
      </x:c>
      <x:c r="I6032" t="str">
        <x:v>10+ years</x:v>
      </x:c>
      <x:c r="J6032" t="str">
        <x:v>RENT</x:v>
      </x:c>
      <x:c r="K6032" t="str">
        <x:v>debt_consolidation</x:v>
      </x:c>
      <x:c r="L6032" t="n">
        <x:v>0</x:v>
      </x:c>
      <x:c r="M6032" t="n">
        <x:v>0</x:v>
      </x:c>
      <x:c r="N6032" t="str">
        <x:v>Fully Paid</x:v>
      </x:c>
      <x:c r="O6032" t="str">
        <x:f>IF(D6032="","Unknown",IF(D6032&lt;25000,"&lt;$25k",IF(D6032&lt;50000,"$25k-$50k",IF(D6032&lt;75000,"$50k-$75k",IF(D6032&lt;100000,"$75k-$100k","$100k+")))))</x:f>
        <x:v>&lt;$25k</x:v>
      </x:c>
      <x:c r="P6032" t="str">
        <x:f>IF(E6032="","Unknown",IF(E6032&lt;10,"&lt;10",IF(E6032&lt;20,"10-&lt;20",IF(E6032&lt;25,"20-&lt;25",IF(E6032&lt;35,"25-&lt;35","35+")))))</x:f>
        <x:v>20-&lt;25</x:v>
      </x:c>
    </x:row>
    <x:row r="6033">
      <x:c r="A6033" t="str">
        <x:v>SYN0006032</x:v>
      </x:c>
      <x:c r="B6033" s="12" t="n">
        <x:v>41815</x:v>
      </x:c>
      <x:c r="C6033" s="18" t="n">
        <x:v>16303</x:v>
      </x:c>
      <x:c r="D6033" s="18" t="n">
        <x:v>58156</x:v>
      </x:c>
      <x:c r="E6033" s="18" t="n">
        <x:v>29.2</x:v>
      </x:c>
      <x:c r="F6033" s="18" t="n">
        <x:v>7.68</x:v>
      </x:c>
      <x:c r="G6033" t="n">
        <x:v>36</x:v>
      </x:c>
      <x:c r="H6033" t="str">
        <x:v>B</x:v>
      </x:c>
      <x:c r="I6033" t="str">
        <x:v>7-9 years</x:v>
      </x:c>
      <x:c r="J6033" t="str">
        <x:v>MORTGAGE</x:v>
      </x:c>
      <x:c r="K6033" t="str">
        <x:v>major_purchase</x:v>
      </x:c>
      <x:c r="L6033" t="n">
        <x:v>0</x:v>
      </x:c>
      <x:c r="M6033" t="n">
        <x:v>0</x:v>
      </x:c>
      <x:c r="N6033" t="str">
        <x:v>Fully Paid</x:v>
      </x:c>
      <x:c r="O6033" t="str">
        <x:f>IF(D6033="","Unknown",IF(D6033&lt;25000,"&lt;$25k",IF(D6033&lt;50000,"$25k-$50k",IF(D6033&lt;75000,"$50k-$75k",IF(D6033&lt;100000,"$75k-$100k","$100k+")))))</x:f>
        <x:v>$50k-$75k</x:v>
      </x:c>
      <x:c r="P6033" t="str">
        <x:f>IF(E6033="","Unknown",IF(E6033&lt;10,"&lt;10",IF(E6033&lt;20,"10-&lt;20",IF(E6033&lt;25,"20-&lt;25",IF(E6033&lt;35,"25-&lt;35","35+")))))</x:f>
        <x:v>25-&lt;35</x:v>
      </x:c>
    </x:row>
    <x:row r="6034">
      <x:c r="A6034" t="str">
        <x:v>SYN0006033</x:v>
      </x:c>
      <x:c r="B6034" s="12" t="n">
        <x:v>41605</x:v>
      </x:c>
      <x:c r="C6034" s="18" t="n">
        <x:v>15178</x:v>
      </x:c>
      <x:c r="D6034" s="18" t="n">
        <x:v>28953</x:v>
      </x:c>
      <x:c r="E6034" s="18" t="n">
        <x:v>21.82</x:v>
      </x:c>
      <x:c r="F6034" s="18" t="n">
        <x:v>6.73</x:v>
      </x:c>
      <x:c r="G6034" t="n">
        <x:v>60</x:v>
      </x:c>
      <x:c r="H6034" t="str">
        <x:v>A</x:v>
      </x:c>
      <x:c r="I6034" t="str">
        <x:v>4-6 years</x:v>
      </x:c>
      <x:c r="J6034" t="str">
        <x:v>MORTGAGE</x:v>
      </x:c>
      <x:c r="K6034" t="str">
        <x:v>debt_consolidation</x:v>
      </x:c>
      <x:c r="L6034" t="n">
        <x:v>1</x:v>
      </x:c>
      <x:c r="M6034" t="n">
        <x:v>0</x:v>
      </x:c>
      <x:c r="N6034" t="str">
        <x:v>Fully Paid</x:v>
      </x:c>
      <x:c r="O6034" t="str">
        <x:f>IF(D6034="","Unknown",IF(D6034&lt;25000,"&lt;$25k",IF(D6034&lt;50000,"$25k-$50k",IF(D6034&lt;75000,"$50k-$75k",IF(D6034&lt;100000,"$75k-$100k","$100k+")))))</x:f>
        <x:v>$25k-$50k</x:v>
      </x:c>
      <x:c r="P6034" t="str">
        <x:f>IF(E6034="","Unknown",IF(E6034&lt;10,"&lt;10",IF(E6034&lt;20,"10-&lt;20",IF(E6034&lt;25,"20-&lt;25",IF(E6034&lt;35,"25-&lt;35","35+")))))</x:f>
        <x:v>20-&lt;25</x:v>
      </x:c>
    </x:row>
    <x:row r="6035">
      <x:c r="A6035" t="str">
        <x:v>SYN0006034</x:v>
      </x:c>
      <x:c r="B6035" s="12" t="n">
        <x:v>41845</x:v>
      </x:c>
      <x:c r="C6035" s="18" t="n">
        <x:v>12692</x:v>
      </x:c>
      <x:c r="D6035" s="18" t="n">
        <x:v>31665</x:v>
      </x:c>
      <x:c r="E6035" s="18" t="n">
        <x:v>11.37</x:v>
      </x:c>
      <x:c r="F6035" s="18" t="n">
        <x:v>10.9</x:v>
      </x:c>
      <x:c r="G6035" t="n">
        <x:v>36</x:v>
      </x:c>
      <x:c r="H6035" t="str">
        <x:v>D</x:v>
      </x:c>
      <x:c r="I6035" t="str">
        <x:v>4-6 years</x:v>
      </x:c>
      <x:c r="J6035" t="str">
        <x:v>RENT</x:v>
      </x:c>
      <x:c r="K6035" t="str">
        <x:v>debt_consolidation</x:v>
      </x:c>
      <x:c r="L6035" t="n">
        <x:v>1</x:v>
      </x:c>
      <x:c r="M6035" t="n">
        <x:v>0</x:v>
      </x:c>
      <x:c r="N6035" t="str">
        <x:v>Fully Paid</x:v>
      </x:c>
      <x:c r="O6035" t="str">
        <x:f>IF(D6035="","Unknown",IF(D6035&lt;25000,"&lt;$25k",IF(D6035&lt;50000,"$25k-$50k",IF(D6035&lt;75000,"$50k-$75k",IF(D6035&lt;100000,"$75k-$100k","$100k+")))))</x:f>
        <x:v>$25k-$50k</x:v>
      </x:c>
      <x:c r="P6035" t="str">
        <x:f>IF(E6035="","Unknown",IF(E6035&lt;10,"&lt;10",IF(E6035&lt;20,"10-&lt;20",IF(E6035&lt;25,"20-&lt;25",IF(E6035&lt;35,"25-&lt;35","35+")))))</x:f>
        <x:v>10-&lt;20</x:v>
      </x:c>
    </x:row>
    <x:row r="6036">
      <x:c r="A6036" t="str">
        <x:v>SYN0006035</x:v>
      </x:c>
      <x:c r="B6036" s="12" t="n">
        <x:v>42745</x:v>
      </x:c>
      <x:c r="C6036" s="18" t="n">
        <x:v>11991</x:v>
      </x:c>
      <x:c r="D6036" s="18" t="n">
        <x:v>65906</x:v>
      </x:c>
      <x:c r="E6036" s="18" t="n">
        <x:v>14.21</x:v>
      </x:c>
      <x:c r="F6036" s="18" t="n">
        <x:v>5.68</x:v>
      </x:c>
      <x:c r="G6036" t="n">
        <x:v>36</x:v>
      </x:c>
      <x:c r="H6036" t="str">
        <x:v>A</x:v>
      </x:c>
      <x:c r="I6036" t="str">
        <x:v>&lt;1 year</x:v>
      </x:c>
      <x:c r="J6036" t="str">
        <x:v>OWN</x:v>
      </x:c>
      <x:c r="K6036" t="str">
        <x:v>debt_consolidation</x:v>
      </x:c>
      <x:c r="L6036" t="n">
        <x:v>0</x:v>
      </x:c>
      <x:c r="M6036" t="n">
        <x:v>0</x:v>
      </x:c>
      <x:c r="N6036" t="str">
        <x:v>Fully Paid</x:v>
      </x:c>
      <x:c r="O6036" t="str">
        <x:f>IF(D6036="","Unknown",IF(D6036&lt;25000,"&lt;$25k",IF(D6036&lt;50000,"$25k-$50k",IF(D6036&lt;75000,"$50k-$75k",IF(D6036&lt;100000,"$75k-$100k","$100k+")))))</x:f>
        <x:v>$50k-$75k</x:v>
      </x:c>
      <x:c r="P6036" t="str">
        <x:f>IF(E6036="","Unknown",IF(E6036&lt;10,"&lt;10",IF(E6036&lt;20,"10-&lt;20",IF(E6036&lt;25,"20-&lt;25",IF(E6036&lt;35,"25-&lt;35","35+")))))</x:f>
        <x:v>10-&lt;20</x:v>
      </x:c>
    </x:row>
    <x:row r="6037">
      <x:c r="A6037" t="str">
        <x:v>SYN0006036</x:v>
      </x:c>
      <x:c r="B6037" s="12" t="n">
        <x:v>42325</x:v>
      </x:c>
      <x:c r="C6037" s="18" t="n">
        <x:v>13986</x:v>
      </x:c>
      <x:c r="D6037" s="18" t="n">
        <x:v>20091</x:v>
      </x:c>
      <x:c r="E6037" s="18" t="n">
        <x:v>22.5</x:v>
      </x:c>
      <x:c r="F6037" s="18" t="n">
        <x:v>6.48</x:v>
      </x:c>
      <x:c r="G6037" t="n">
        <x:v>36</x:v>
      </x:c>
      <x:c r="H6037" t="str">
        <x:v>A</x:v>
      </x:c>
      <x:c r="I6037" t="str">
        <x:v>10+ years</x:v>
      </x:c>
      <x:c r="J6037" t="str">
        <x:v>RENT</x:v>
      </x:c>
      <x:c r="K6037" t="str">
        <x:v>debt_consolidation</x:v>
      </x:c>
      <x:c r="L6037" t="n">
        <x:v>0</x:v>
      </x:c>
      <x:c r="M6037" t="n">
        <x:v>0</x:v>
      </x:c>
      <x:c r="N6037" t="str">
        <x:v>Fully Paid</x:v>
      </x:c>
      <x:c r="O6037" t="str">
        <x:f>IF(D6037="","Unknown",IF(D6037&lt;25000,"&lt;$25k",IF(D6037&lt;50000,"$25k-$50k",IF(D6037&lt;75000,"$50k-$75k",IF(D6037&lt;100000,"$75k-$100k","$100k+")))))</x:f>
        <x:v>&lt;$25k</x:v>
      </x:c>
      <x:c r="P6037" t="str">
        <x:f>IF(E6037="","Unknown",IF(E6037&lt;10,"&lt;10",IF(E6037&lt;20,"10-&lt;20",IF(E6037&lt;25,"20-&lt;25",IF(E6037&lt;35,"25-&lt;35","35+")))))</x:f>
        <x:v>20-&lt;25</x:v>
      </x:c>
    </x:row>
    <x:row r="6038">
      <x:c r="A6038" t="str">
        <x:v>SYN0006037</x:v>
      </x:c>
      <x:c r="B6038" s="12" t="n">
        <x:v>41965</x:v>
      </x:c>
      <x:c r="C6038" s="18" t="n">
        <x:v>15175</x:v>
      </x:c>
      <x:c r="D6038" s="18" t="n">
        <x:v>31758</x:v>
      </x:c>
      <x:c r="E6038" s="18" t="n">
        <x:v>17.47</x:v>
      </x:c>
      <x:c r="F6038" s="18" t="n">
        <x:v>18.5</x:v>
      </x:c>
      <x:c r="G6038" t="n">
        <x:v>36</x:v>
      </x:c>
      <x:c r="H6038" t="str">
        <x:v>E</x:v>
      </x:c>
      <x:c r="I6038" t="str">
        <x:v>1-3 years</x:v>
      </x:c>
      <x:c r="J6038" t="str">
        <x:v>MORTGAGE</x:v>
      </x:c>
      <x:c r="K6038" t="str">
        <x:v>debt_consolidation</x:v>
      </x:c>
      <x:c r="L6038" t="n">
        <x:v>1</x:v>
      </x:c>
      <x:c r="M6038" t="n">
        <x:v>0</x:v>
      </x:c>
      <x:c r="N6038" t="str">
        <x:v>Fully Paid</x:v>
      </x:c>
      <x:c r="O6038" t="str">
        <x:f>IF(D6038="","Unknown",IF(D6038&lt;25000,"&lt;$25k",IF(D6038&lt;50000,"$25k-$50k",IF(D6038&lt;75000,"$50k-$75k",IF(D6038&lt;100000,"$75k-$100k","$100k+")))))</x:f>
        <x:v>$25k-$50k</x:v>
      </x:c>
      <x:c r="P6038" t="str">
        <x:f>IF(E6038="","Unknown",IF(E6038&lt;10,"&lt;10",IF(E6038&lt;20,"10-&lt;20",IF(E6038&lt;25,"20-&lt;25",IF(E6038&lt;35,"25-&lt;35","35+")))))</x:f>
        <x:v>10-&lt;20</x:v>
      </x:c>
    </x:row>
    <x:row r="6039">
      <x:c r="A6039" t="str">
        <x:v>SYN0006038</x:v>
      </x:c>
      <x:c r="B6039" s="12" t="n">
        <x:v>42475</x:v>
      </x:c>
      <x:c r="C6039" s="18" t="n">
        <x:v>8824</x:v>
      </x:c>
      <x:c r="D6039" s="18" t="n">
        <x:v>77741</x:v>
      </x:c>
      <x:c r="E6039" s="18" t="n">
        <x:v>24.62</x:v>
      </x:c>
      <x:c r="F6039" s="18" t="n">
        <x:v>23.16</x:v>
      </x:c>
      <x:c r="G6039" t="n">
        <x:v>36</x:v>
      </x:c>
      <x:c r="H6039" t="str">
        <x:v>F</x:v>
      </x:c>
      <x:c r="I6039" t="str">
        <x:v>&lt;1 year</x:v>
      </x:c>
      <x:c r="J6039" t="str">
        <x:v>OWN</x:v>
      </x:c>
      <x:c r="K6039" t="str">
        <x:v>debt_consolidation</x:v>
      </x:c>
      <x:c r="L6039" t="n">
        <x:v>0</x:v>
      </x:c>
      <x:c r="M6039" t="n">
        <x:v>0</x:v>
      </x:c>
      <x:c r="N6039" t="str">
        <x:v>Fully Paid</x:v>
      </x:c>
      <x:c r="O6039" t="str">
        <x:f>IF(D6039="","Unknown",IF(D6039&lt;25000,"&lt;$25k",IF(D6039&lt;50000,"$25k-$50k",IF(D6039&lt;75000,"$50k-$75k",IF(D6039&lt;100000,"$75k-$100k","$100k+")))))</x:f>
        <x:v>$75k-$100k</x:v>
      </x:c>
      <x:c r="P6039" t="str">
        <x:f>IF(E6039="","Unknown",IF(E6039&lt;10,"&lt;10",IF(E6039&lt;20,"10-&lt;20",IF(E6039&lt;25,"20-&lt;25",IF(E6039&lt;35,"25-&lt;35","35+")))))</x:f>
        <x:v>20-&lt;25</x:v>
      </x:c>
    </x:row>
    <x:row r="6040">
      <x:c r="A6040" t="str">
        <x:v>SYN0006039</x:v>
      </x:c>
      <x:c r="B6040" s="12" t="n">
        <x:v>41515</x:v>
      </x:c>
      <x:c r="C6040" s="18" t="n">
        <x:v>16046</x:v>
      </x:c>
      <x:c r="D6040" s="18" t="n">
        <x:v>44243</x:v>
      </x:c>
      <x:c r="E6040" s="18" t="n">
        <x:v>29.33</x:v>
      </x:c>
      <x:c r="F6040" s="18" t="n">
        <x:v>15.99</x:v>
      </x:c>
      <x:c r="G6040" t="n">
        <x:v>36</x:v>
      </x:c>
      <x:c r="H6040" t="str">
        <x:v>D</x:v>
      </x:c>
      <x:c r="I6040" t="str">
        <x:v>4-6 years</x:v>
      </x:c>
      <x:c r="J6040" t="str">
        <x:v>MORTGAGE</x:v>
      </x:c>
      <x:c r="K6040" t="str">
        <x:v>debt_consolidation</x:v>
      </x:c>
      <x:c r="L6040" t="n">
        <x:v>0</x:v>
      </x:c>
      <x:c r="M6040" t="n">
        <x:v>0</x:v>
      </x:c>
      <x:c r="N6040" t="str">
        <x:v>Fully Paid</x:v>
      </x:c>
      <x:c r="O6040" t="str">
        <x:f>IF(D6040="","Unknown",IF(D6040&lt;25000,"&lt;$25k",IF(D6040&lt;50000,"$25k-$50k",IF(D6040&lt;75000,"$50k-$75k",IF(D6040&lt;100000,"$75k-$100k","$100k+")))))</x:f>
        <x:v>$25k-$50k</x:v>
      </x:c>
      <x:c r="P6040" t="str">
        <x:f>IF(E6040="","Unknown",IF(E6040&lt;10,"&lt;10",IF(E6040&lt;20,"10-&lt;20",IF(E6040&lt;25,"20-&lt;25",IF(E6040&lt;35,"25-&lt;35","35+")))))</x:f>
        <x:v>25-&lt;35</x:v>
      </x:c>
    </x:row>
    <x:row r="6041">
      <x:c r="A6041" t="str">
        <x:v>SYN0006040</x:v>
      </x:c>
      <x:c r="B6041" s="12" t="n">
        <x:v>41335</x:v>
      </x:c>
      <x:c r="C6041" s="18" t="n">
        <x:v>18091</x:v>
      </x:c>
      <x:c r="D6041" s="18" t="n">
        <x:v>92672</x:v>
      </x:c>
      <x:c r="E6041" s="18" t="n">
        <x:v>18.89</x:v>
      </x:c>
      <x:c r="F6041" s="18" t="n">
        <x:v>6.16</x:v>
      </x:c>
      <x:c r="G6041" t="n">
        <x:v>36</x:v>
      </x:c>
      <x:c r="H6041" t="str">
        <x:v>B</x:v>
      </x:c>
      <x:c r="I6041" t="str">
        <x:v>10+ years</x:v>
      </x:c>
      <x:c r="J6041" t="str">
        <x:v>MORTGAGE</x:v>
      </x:c>
      <x:c r="K6041" t="str">
        <x:v>debt_consolidation</x:v>
      </x:c>
      <x:c r="L6041" t="n">
        <x:v>1</x:v>
      </x:c>
      <x:c r="M6041" t="n">
        <x:v>0</x:v>
      </x:c>
      <x:c r="N6041" t="str">
        <x:v>Fully Paid</x:v>
      </x:c>
      <x:c r="O6041" t="str">
        <x:f>IF(D6041="","Unknown",IF(D6041&lt;25000,"&lt;$25k",IF(D6041&lt;50000,"$25k-$50k",IF(D6041&lt;75000,"$50k-$75k",IF(D6041&lt;100000,"$75k-$100k","$100k+")))))</x:f>
        <x:v>$75k-$100k</x:v>
      </x:c>
      <x:c r="P6041" t="str">
        <x:f>IF(E6041="","Unknown",IF(E6041&lt;10,"&lt;10",IF(E6041&lt;20,"10-&lt;20",IF(E6041&lt;25,"20-&lt;25",IF(E6041&lt;35,"25-&lt;35","35+")))))</x:f>
        <x:v>10-&lt;20</x:v>
      </x:c>
    </x:row>
    <x:row r="6042">
      <x:c r="A6042" t="str">
        <x:v>SYN0006041</x:v>
      </x:c>
      <x:c r="B6042" s="12" t="n">
        <x:v>42895</x:v>
      </x:c>
      <x:c r="C6042" s="18" t="n">
        <x:v>11217</x:v>
      </x:c>
      <x:c r="D6042" s="18" t="n">
        <x:v>65917</x:v>
      </x:c>
      <x:c r="E6042" s="18" t="n">
        <x:v>21.7</x:v>
      </x:c>
      <x:c r="F6042" s="18" t="n">
        <x:v>20.93</x:v>
      </x:c>
      <x:c r="G6042" t="n">
        <x:v>36</x:v>
      </x:c>
      <x:c r="H6042" t="str">
        <x:v>F</x:v>
      </x:c>
      <x:c r="I6042" t="str">
        <x:v>4-6 years</x:v>
      </x:c>
      <x:c r="J6042" t="str">
        <x:v>MORTGAGE</x:v>
      </x:c>
      <x:c r="K6042" t="str">
        <x:v>debt_consolidation</x:v>
      </x:c>
      <x:c r="L6042" t="n">
        <x:v>0</x:v>
      </x:c>
      <x:c r="M6042" t="n">
        <x:v>0</x:v>
      </x:c>
      <x:c r="N6042" t="str">
        <x:v>Fully Paid</x:v>
      </x:c>
      <x:c r="O6042" t="str">
        <x:f>IF(D6042="","Unknown",IF(D6042&lt;25000,"&lt;$25k",IF(D6042&lt;50000,"$25k-$50k",IF(D6042&lt;75000,"$50k-$75k",IF(D6042&lt;100000,"$75k-$100k","$100k+")))))</x:f>
        <x:v>$50k-$75k</x:v>
      </x:c>
      <x:c r="P6042" t="str">
        <x:f>IF(E6042="","Unknown",IF(E6042&lt;10,"&lt;10",IF(E6042&lt;20,"10-&lt;20",IF(E6042&lt;25,"20-&lt;25",IF(E6042&lt;35,"25-&lt;35","35+")))))</x:f>
        <x:v>20-&lt;25</x:v>
      </x:c>
    </x:row>
    <x:row r="6043">
      <x:c r="A6043" t="str">
        <x:v>SYN0006042</x:v>
      </x:c>
      <x:c r="B6043" s="12" t="n">
        <x:v>41845</x:v>
      </x:c>
      <x:c r="C6043" s="18" t="n">
        <x:v>9826</x:v>
      </x:c>
      <x:c r="D6043" s="18" t="n">
        <x:v>62411</x:v>
      </x:c>
      <x:c r="E6043" s="18" t="n">
        <x:v>20.93</x:v>
      </x:c>
      <x:c r="F6043" s="18" t="n">
        <x:v>23.86</x:v>
      </x:c>
      <x:c r="G6043" t="n">
        <x:v>36</x:v>
      </x:c>
      <x:c r="H6043" t="str">
        <x:v>F</x:v>
      </x:c>
      <x:c r="I6043" t="str">
        <x:v>1-3 years</x:v>
      </x:c>
      <x:c r="J6043" t="str">
        <x:v>MORTGAGE</x:v>
      </x:c>
      <x:c r="K6043" t="str">
        <x:v>debt_consolidation</x:v>
      </x:c>
      <x:c r="L6043" t="n">
        <x:v>2</x:v>
      </x:c>
      <x:c r="M6043" t="n">
        <x:v>0</x:v>
      </x:c>
      <x:c r="N6043" t="str">
        <x:v>Fully Paid</x:v>
      </x:c>
      <x:c r="O6043" t="str">
        <x:f>IF(D6043="","Unknown",IF(D6043&lt;25000,"&lt;$25k",IF(D6043&lt;50000,"$25k-$50k",IF(D6043&lt;75000,"$50k-$75k",IF(D6043&lt;100000,"$75k-$100k","$100k+")))))</x:f>
        <x:v>$50k-$75k</x:v>
      </x:c>
      <x:c r="P6043" t="str">
        <x:f>IF(E6043="","Unknown",IF(E6043&lt;10,"&lt;10",IF(E6043&lt;20,"10-&lt;20",IF(E6043&lt;25,"20-&lt;25",IF(E6043&lt;35,"25-&lt;35","35+")))))</x:f>
        <x:v>20-&lt;25</x:v>
      </x:c>
    </x:row>
    <x:row r="6044">
      <x:c r="A6044" t="str">
        <x:v>SYN0006043</x:v>
      </x:c>
      <x:c r="B6044" s="12" t="n">
        <x:v>41575</x:v>
      </x:c>
      <x:c r="C6044" s="18" t="n">
        <x:v>12234</x:v>
      </x:c>
      <x:c r="D6044" s="18" t="n">
        <x:v>93064</x:v>
      </x:c>
      <x:c r="E6044" s="18" t="n">
        <x:v>32.18</x:v>
      </x:c>
      <x:c r="F6044" s="18" t="n">
        <x:v>12.22</x:v>
      </x:c>
      <x:c r="G6044" t="n">
        <x:v>36</x:v>
      </x:c>
      <x:c r="H6044" t="str">
        <x:v>C</x:v>
      </x:c>
      <x:c r="I6044" t="str">
        <x:v>1-3 years</x:v>
      </x:c>
      <x:c r="J6044" t="str">
        <x:v>MORTGAGE</x:v>
      </x:c>
      <x:c r="K6044" t="str">
        <x:v>debt_consolidation</x:v>
      </x:c>
      <x:c r="L6044" t="n">
        <x:v>1</x:v>
      </x:c>
      <x:c r="M6044" t="n">
        <x:v>0</x:v>
      </x:c>
      <x:c r="N6044" t="str">
        <x:v>Fully Paid</x:v>
      </x:c>
      <x:c r="O6044" t="str">
        <x:f>IF(D6044="","Unknown",IF(D6044&lt;25000,"&lt;$25k",IF(D6044&lt;50000,"$25k-$50k",IF(D6044&lt;75000,"$50k-$75k",IF(D6044&lt;100000,"$75k-$100k","$100k+")))))</x:f>
        <x:v>$75k-$100k</x:v>
      </x:c>
      <x:c r="P6044" t="str">
        <x:f>IF(E6044="","Unknown",IF(E6044&lt;10,"&lt;10",IF(E6044&lt;20,"10-&lt;20",IF(E6044&lt;25,"20-&lt;25",IF(E6044&lt;35,"25-&lt;35","35+")))))</x:f>
        <x:v>25-&lt;35</x:v>
      </x:c>
    </x:row>
    <x:row r="6045">
      <x:c r="A6045" t="str">
        <x:v>SYN0006044</x:v>
      </x:c>
      <x:c r="B6045" s="12" t="n">
        <x:v>41695</x:v>
      </x:c>
      <x:c r="C6045" s="18" t="n">
        <x:v>8453</x:v>
      </x:c>
      <x:c r="D6045" s="18" t="n">
        <x:v>18764</x:v>
      </x:c>
      <x:c r="E6045" s="18" t="n">
        <x:v>2.4</x:v>
      </x:c>
      <x:c r="F6045" s="18" t="n">
        <x:v>10.53</x:v>
      </x:c>
      <x:c r="G6045" t="n">
        <x:v>36</x:v>
      </x:c>
      <x:c r="H6045" t="str">
        <x:v>B</x:v>
      </x:c>
      <x:c r="I6045" t="str">
        <x:v>1-3 years</x:v>
      </x:c>
      <x:c r="J6045" t="str">
        <x:v>RENT</x:v>
      </x:c>
      <x:c r="K6045" t="str">
        <x:v>major_purchase</x:v>
      </x:c>
      <x:c r="L6045" t="n">
        <x:v>0</x:v>
      </x:c>
      <x:c r="M6045" t="n">
        <x:v>0</x:v>
      </x:c>
      <x:c r="N6045" t="str">
        <x:v>Fully Paid</x:v>
      </x:c>
      <x:c r="O6045" t="str">
        <x:f>IF(D6045="","Unknown",IF(D6045&lt;25000,"&lt;$25k",IF(D6045&lt;50000,"$25k-$50k",IF(D6045&lt;75000,"$50k-$75k",IF(D6045&lt;100000,"$75k-$100k","$100k+")))))</x:f>
        <x:v>&lt;$25k</x:v>
      </x:c>
      <x:c r="P6045" t="str">
        <x:f>IF(E6045="","Unknown",IF(E6045&lt;10,"&lt;10",IF(E6045&lt;20,"10-&lt;20",IF(E6045&lt;25,"20-&lt;25",IF(E6045&lt;35,"25-&lt;35","35+")))))</x:f>
        <x:v>&lt;10</x:v>
      </x:c>
    </x:row>
    <x:row r="6046">
      <x:c r="A6046" t="str">
        <x:v>SYN0006045</x:v>
      </x:c>
      <x:c r="B6046" s="12" t="n">
        <x:v>42715</x:v>
      </x:c>
      <x:c r="C6046" s="18" t="n">
        <x:v>16341</x:v>
      </x:c>
      <x:c r="D6046" s="18" t="n">
        <x:v>64842</x:v>
      </x:c>
      <x:c r="E6046" s="18" t="n">
        <x:v>2.87</x:v>
      </x:c>
      <x:c r="F6046" s="18" t="n">
        <x:v>9.8</x:v>
      </x:c>
      <x:c r="G6046" t="n">
        <x:v>60</x:v>
      </x:c>
      <x:c r="H6046" t="str">
        <x:v>B</x:v>
      </x:c>
      <x:c r="I6046" t="str">
        <x:v>4-6 years</x:v>
      </x:c>
      <x:c r="J6046" t="str">
        <x:v>RENT</x:v>
      </x:c>
      <x:c r="K6046" t="str">
        <x:v>home_improvement</x:v>
      </x:c>
      <x:c r="L6046" t="n">
        <x:v>1</x:v>
      </x:c>
      <x:c r="M6046" t="n">
        <x:v>0</x:v>
      </x:c>
      <x:c r="N6046" t="str">
        <x:v>Fully Paid</x:v>
      </x:c>
      <x:c r="O6046" t="str">
        <x:f>IF(D6046="","Unknown",IF(D6046&lt;25000,"&lt;$25k",IF(D6046&lt;50000,"$25k-$50k",IF(D6046&lt;75000,"$50k-$75k",IF(D6046&lt;100000,"$75k-$100k","$100k+")))))</x:f>
        <x:v>$50k-$75k</x:v>
      </x:c>
      <x:c r="P6046" t="str">
        <x:f>IF(E6046="","Unknown",IF(E6046&lt;10,"&lt;10",IF(E6046&lt;20,"10-&lt;20",IF(E6046&lt;25,"20-&lt;25",IF(E6046&lt;35,"25-&lt;35","35+")))))</x:f>
        <x:v>&lt;10</x:v>
      </x:c>
    </x:row>
    <x:row r="6047">
      <x:c r="A6047" t="str">
        <x:v>SYN0006046</x:v>
      </x:c>
      <x:c r="B6047" s="12" t="n">
        <x:v>43405</x:v>
      </x:c>
      <x:c r="C6047" s="18" t="n">
        <x:v>8162</x:v>
      </x:c>
      <x:c r="D6047" s="18" t="n">
        <x:v>84109</x:v>
      </x:c>
      <x:c r="E6047" s="18" t="n">
        <x:v>13.14</x:v>
      </x:c>
      <x:c r="F6047" s="18" t="n">
        <x:v>12.17</x:v>
      </x:c>
      <x:c r="G6047" t="n">
        <x:v>36</x:v>
      </x:c>
      <x:c r="H6047" t="str">
        <x:v>C</x:v>
      </x:c>
      <x:c r="I6047" t="str">
        <x:v>10+ years</x:v>
      </x:c>
      <x:c r="J6047" t="str">
        <x:v>RENT</x:v>
      </x:c>
      <x:c r="K6047" t="str">
        <x:v>debt_consolidation</x:v>
      </x:c>
      <x:c r="L6047" t="n">
        <x:v>1</x:v>
      </x:c>
      <x:c r="M6047" t="n">
        <x:v>0</x:v>
      </x:c>
      <x:c r="N6047" t="str">
        <x:v>Fully Paid</x:v>
      </x:c>
      <x:c r="O6047" t="str">
        <x:f>IF(D6047="","Unknown",IF(D6047&lt;25000,"&lt;$25k",IF(D6047&lt;50000,"$25k-$50k",IF(D6047&lt;75000,"$50k-$75k",IF(D6047&lt;100000,"$75k-$100k","$100k+")))))</x:f>
        <x:v>$75k-$100k</x:v>
      </x:c>
      <x:c r="P6047" t="str">
        <x:f>IF(E6047="","Unknown",IF(E6047&lt;10,"&lt;10",IF(E6047&lt;20,"10-&lt;20",IF(E6047&lt;25,"20-&lt;25",IF(E6047&lt;35,"25-&lt;35","35+")))))</x:f>
        <x:v>10-&lt;20</x:v>
      </x:c>
    </x:row>
    <x:row r="6048">
      <x:c r="A6048" t="str">
        <x:v>SYN0006047</x:v>
      </x:c>
      <x:c r="B6048" s="12" t="n">
        <x:v>43255</x:v>
      </x:c>
      <x:c r="C6048" s="18" t="n">
        <x:v>8342</x:v>
      </x:c>
      <x:c r="D6048" s="18" t="n">
        <x:v>50109</x:v>
      </x:c>
      <x:c r="E6048" s="18" t="n">
        <x:v>21.3</x:v>
      </x:c>
      <x:c r="F6048" s="18" t="n">
        <x:v>8.01</x:v>
      </x:c>
      <x:c r="G6048" t="n">
        <x:v>36</x:v>
      </x:c>
      <x:c r="H6048" t="str">
        <x:v>B</x:v>
      </x:c>
      <x:c r="I6048" t="str">
        <x:v>4-6 years</x:v>
      </x:c>
      <x:c r="J6048" t="str">
        <x:v>RENT</x:v>
      </x:c>
      <x:c r="K6048" t="str">
        <x:v>home_improvement</x:v>
      </x:c>
      <x:c r="L6048" t="n">
        <x:v>1</x:v>
      </x:c>
      <x:c r="M6048" t="n">
        <x:v>0</x:v>
      </x:c>
      <x:c r="N6048" t="str">
        <x:v>Fully Paid</x:v>
      </x:c>
      <x:c r="O6048" t="str">
        <x:f>IF(D6048="","Unknown",IF(D6048&lt;25000,"&lt;$25k",IF(D6048&lt;50000,"$25k-$50k",IF(D6048&lt;75000,"$50k-$75k",IF(D6048&lt;100000,"$75k-$100k","$100k+")))))</x:f>
        <x:v>$50k-$75k</x:v>
      </x:c>
      <x:c r="P6048" t="str">
        <x:f>IF(E6048="","Unknown",IF(E6048&lt;10,"&lt;10",IF(E6048&lt;20,"10-&lt;20",IF(E6048&lt;25,"20-&lt;25",IF(E6048&lt;35,"25-&lt;35","35+")))))</x:f>
        <x:v>20-&lt;25</x:v>
      </x:c>
    </x:row>
    <x:row r="6049">
      <x:c r="A6049" t="str">
        <x:v>SYN0006048</x:v>
      </x:c>
      <x:c r="B6049" s="12" t="n">
        <x:v>42205</x:v>
      </x:c>
      <x:c r="C6049" s="18" t="n">
        <x:v>17329</x:v>
      </x:c>
      <x:c r="D6049" s="18" t="n">
        <x:v>76170</x:v>
      </x:c>
      <x:c r="E6049" s="18" t="n">
        <x:v>27.7</x:v>
      </x:c>
      <x:c r="F6049" s="18" t="n">
        <x:v>8.8</x:v>
      </x:c>
      <x:c r="G6049" t="n">
        <x:v>60</x:v>
      </x:c>
      <x:c r="H6049" t="str">
        <x:v>B</x:v>
      </x:c>
      <x:c r="I6049" t="str">
        <x:v>4-6 years</x:v>
      </x:c>
      <x:c r="J6049" t="str">
        <x:v>RENT</x:v>
      </x:c>
      <x:c r="K6049" t="str">
        <x:v>debt_consolidation</x:v>
      </x:c>
      <x:c r="L6049" t="n">
        <x:v>1</x:v>
      </x:c>
      <x:c r="M6049" t="n">
        <x:v>0</x:v>
      </x:c>
      <x:c r="N6049" t="str">
        <x:v>Fully Paid</x:v>
      </x:c>
      <x:c r="O6049" t="str">
        <x:f>IF(D6049="","Unknown",IF(D6049&lt;25000,"&lt;$25k",IF(D6049&lt;50000,"$25k-$50k",IF(D6049&lt;75000,"$50k-$75k",IF(D6049&lt;100000,"$75k-$100k","$100k+")))))</x:f>
        <x:v>$75k-$100k</x:v>
      </x:c>
      <x:c r="P6049" t="str">
        <x:f>IF(E6049="","Unknown",IF(E6049&lt;10,"&lt;10",IF(E6049&lt;20,"10-&lt;20",IF(E6049&lt;25,"20-&lt;25",IF(E6049&lt;35,"25-&lt;35","35+")))))</x:f>
        <x:v>25-&lt;35</x:v>
      </x:c>
    </x:row>
    <x:row r="6050">
      <x:c r="A6050" t="str">
        <x:v>SYN0006049</x:v>
      </x:c>
      <x:c r="B6050" s="12" t="n">
        <x:v>42595</x:v>
      </x:c>
      <x:c r="C6050" s="18" t="n">
        <x:v>14305</x:v>
      </x:c>
      <x:c r="D6050" s="18" t="n">
        <x:v>46127</x:v>
      </x:c>
      <x:c r="E6050" s="18" t="n">
        <x:v>16.59</x:v>
      </x:c>
      <x:c r="F6050" s="18" t="n">
        <x:v>15.37</x:v>
      </x:c>
      <x:c r="G6050" t="n">
        <x:v>36</x:v>
      </x:c>
      <x:c r="H6050" t="str">
        <x:v>D</x:v>
      </x:c>
      <x:c r="I6050" t="str">
        <x:v>1-3 years</x:v>
      </x:c>
      <x:c r="J6050" t="str">
        <x:v>MORTGAGE</x:v>
      </x:c>
      <x:c r="K6050" t="str">
        <x:v>home_improvement</x:v>
      </x:c>
      <x:c r="L6050" t="n">
        <x:v>0</x:v>
      </x:c>
      <x:c r="M6050" t="n">
        <x:v>0</x:v>
      </x:c>
      <x:c r="N6050" t="str">
        <x:v>Fully Paid</x:v>
      </x:c>
      <x:c r="O6050" t="str">
        <x:f>IF(D6050="","Unknown",IF(D6050&lt;25000,"&lt;$25k",IF(D6050&lt;50000,"$25k-$50k",IF(D6050&lt;75000,"$50k-$75k",IF(D6050&lt;100000,"$75k-$100k","$100k+")))))</x:f>
        <x:v>$25k-$50k</x:v>
      </x:c>
      <x:c r="P6050" t="str">
        <x:f>IF(E6050="","Unknown",IF(E6050&lt;10,"&lt;10",IF(E6050&lt;20,"10-&lt;20",IF(E6050&lt;25,"20-&lt;25",IF(E6050&lt;35,"25-&lt;35","35+")))))</x:f>
        <x:v>10-&lt;20</x:v>
      </x:c>
    </x:row>
    <x:row r="6051">
      <x:c r="A6051" t="str">
        <x:v>SYN0006050</x:v>
      </x:c>
      <x:c r="B6051" s="12" t="n">
        <x:v>41755</x:v>
      </x:c>
      <x:c r="C6051" s="18" t="n">
        <x:v>10716</x:v>
      </x:c>
      <x:c r="D6051" s="18" t="n">
        <x:v>29951</x:v>
      </x:c>
      <x:c r="E6051" s="18" t="n">
        <x:v>21.09</x:v>
      </x:c>
      <x:c r="F6051" s="18" t="n">
        <x:v>12.77</x:v>
      </x:c>
      <x:c r="G6051" t="n">
        <x:v>60</x:v>
      </x:c>
      <x:c r="H6051" t="str">
        <x:v>C</x:v>
      </x:c>
      <x:c r="I6051" t="str">
        <x:v>&lt;1 year</x:v>
      </x:c>
      <x:c r="J6051" t="str">
        <x:v>RENT</x:v>
      </x:c>
      <x:c r="K6051" t="str">
        <x:v>credit_card</x:v>
      </x:c>
      <x:c r="L6051" t="n">
        <x:v>0</x:v>
      </x:c>
      <x:c r="M6051" t="n">
        <x:v>0</x:v>
      </x:c>
      <x:c r="N6051" t="str">
        <x:v>Fully Paid</x:v>
      </x:c>
      <x:c r="O6051" t="str">
        <x:f>IF(D6051="","Unknown",IF(D6051&lt;25000,"&lt;$25k",IF(D6051&lt;50000,"$25k-$50k",IF(D6051&lt;75000,"$50k-$75k",IF(D6051&lt;100000,"$75k-$100k","$100k+")))))</x:f>
        <x:v>$25k-$50k</x:v>
      </x:c>
      <x:c r="P6051" t="str">
        <x:f>IF(E6051="","Unknown",IF(E6051&lt;10,"&lt;10",IF(E6051&lt;20,"10-&lt;20",IF(E6051&lt;25,"20-&lt;25",IF(E6051&lt;35,"25-&lt;35","35+")))))</x:f>
        <x:v>20-&lt;25</x:v>
      </x:c>
    </x:row>
    <x:row r="6052">
      <x:c r="A6052" t="str">
        <x:v>SYN0006051</x:v>
      </x:c>
      <x:c r="B6052" s="12" t="n">
        <x:v>42835</x:v>
      </x:c>
      <x:c r="C6052" s="18" t="n">
        <x:v>6962</x:v>
      </x:c>
      <x:c r="D6052" s="18" t="n">
        <x:v>15786</x:v>
      </x:c>
      <x:c r="E6052" s="18" t="n">
        <x:v>27.07</x:v>
      </x:c>
      <x:c r="F6052" s="18" t="n">
        <x:v>5</x:v>
      </x:c>
      <x:c r="G6052" t="n">
        <x:v>36</x:v>
      </x:c>
      <x:c r="H6052" t="str">
        <x:v>A</x:v>
      </x:c>
      <x:c r="I6052" t="str">
        <x:v>10+ years</x:v>
      </x:c>
      <x:c r="J6052" t="str">
        <x:v>OWN</x:v>
      </x:c>
      <x:c r="K6052" t="str">
        <x:v>debt_consolidation</x:v>
      </x:c>
      <x:c r="L6052" t="n">
        <x:v>1</x:v>
      </x:c>
      <x:c r="M6052" t="n">
        <x:v>0</x:v>
      </x:c>
      <x:c r="N6052" t="str">
        <x:v>Fully Paid</x:v>
      </x:c>
      <x:c r="O6052" t="str">
        <x:f>IF(D6052="","Unknown",IF(D6052&lt;25000,"&lt;$25k",IF(D6052&lt;50000,"$25k-$50k",IF(D6052&lt;75000,"$50k-$75k",IF(D6052&lt;100000,"$75k-$100k","$100k+")))))</x:f>
        <x:v>&lt;$25k</x:v>
      </x:c>
      <x:c r="P6052" t="str">
        <x:f>IF(E6052="","Unknown",IF(E6052&lt;10,"&lt;10",IF(E6052&lt;20,"10-&lt;20",IF(E6052&lt;25,"20-&lt;25",IF(E6052&lt;35,"25-&lt;35","35+")))))</x:f>
        <x:v>25-&lt;35</x:v>
      </x:c>
    </x:row>
    <x:row r="6053">
      <x:c r="A6053" t="str">
        <x:v>SYN0006052</x:v>
      </x:c>
      <x:c r="B6053" s="12" t="n">
        <x:v>42655</x:v>
      </x:c>
      <x:c r="C6053" s="18" t="n">
        <x:v>2989</x:v>
      </x:c>
      <x:c r="D6053" s="18" t="n">
        <x:v>87941</x:v>
      </x:c>
      <x:c r="E6053" s="18" t="n">
        <x:v>24.91</x:v>
      </x:c>
      <x:c r="F6053" s="18" t="n">
        <x:v>7.95</x:v>
      </x:c>
      <x:c r="G6053" t="n">
        <x:v>36</x:v>
      </x:c>
      <x:c r="H6053" t="str">
        <x:v>C</x:v>
      </x:c>
      <x:c r="I6053" t="str">
        <x:v>10+ years</x:v>
      </x:c>
      <x:c r="J6053" t="str">
        <x:v>OTHER</x:v>
      </x:c>
      <x:c r="K6053" t="str">
        <x:v>other</x:v>
      </x:c>
      <x:c r="L6053" t="n">
        <x:v>0</x:v>
      </x:c>
      <x:c r="M6053" t="n">
        <x:v>0</x:v>
      </x:c>
      <x:c r="N6053" t="str">
        <x:v>Fully Paid</x:v>
      </x:c>
      <x:c r="O6053" t="str">
        <x:f>IF(D6053="","Unknown",IF(D6053&lt;25000,"&lt;$25k",IF(D6053&lt;50000,"$25k-$50k",IF(D6053&lt;75000,"$50k-$75k",IF(D6053&lt;100000,"$75k-$100k","$100k+")))))</x:f>
        <x:v>$75k-$100k</x:v>
      </x:c>
      <x:c r="P6053" t="str">
        <x:f>IF(E6053="","Unknown",IF(E6053&lt;10,"&lt;10",IF(E6053&lt;20,"10-&lt;20",IF(E6053&lt;25,"20-&lt;25",IF(E6053&lt;35,"25-&lt;35","35+")))))</x:f>
        <x:v>20-&lt;25</x:v>
      </x:c>
    </x:row>
    <x:row r="6054">
      <x:c r="A6054" t="str">
        <x:v>SYN0006053</x:v>
      </x:c>
      <x:c r="B6054" s="12" t="n">
        <x:v>41965</x:v>
      </x:c>
      <x:c r="C6054" s="18" t="n">
        <x:v>15787</x:v>
      </x:c>
      <x:c r="D6054" s="18" t="n">
        <x:v>95913</x:v>
      </x:c>
      <x:c r="E6054" s="18" t="n">
        <x:v>14.57</x:v>
      </x:c>
      <x:c r="F6054" s="18" t="n">
        <x:v>19.1</x:v>
      </x:c>
      <x:c r="G6054" t="n">
        <x:v>36</x:v>
      </x:c>
      <x:c r="H6054" t="str">
        <x:v>E</x:v>
      </x:c>
      <x:c r="I6054" t="str">
        <x:v>&lt;1 year</x:v>
      </x:c>
      <x:c r="J6054" t="str">
        <x:v>MORTGAGE</x:v>
      </x:c>
      <x:c r="K6054" t="str">
        <x:v>credit_card</x:v>
      </x:c>
      <x:c r="L6054" t="n">
        <x:v>0</x:v>
      </x:c>
      <x:c r="M6054" t="n">
        <x:v>0</x:v>
      </x:c>
      <x:c r="N6054" t="str">
        <x:v>Fully Paid</x:v>
      </x:c>
      <x:c r="O6054" t="str">
        <x:f>IF(D6054="","Unknown",IF(D6054&lt;25000,"&lt;$25k",IF(D6054&lt;50000,"$25k-$50k",IF(D6054&lt;75000,"$50k-$75k",IF(D6054&lt;100000,"$75k-$100k","$100k+")))))</x:f>
        <x:v>$75k-$100k</x:v>
      </x:c>
      <x:c r="P6054" t="str">
        <x:f>IF(E6054="","Unknown",IF(E6054&lt;10,"&lt;10",IF(E6054&lt;20,"10-&lt;20",IF(E6054&lt;25,"20-&lt;25",IF(E6054&lt;35,"25-&lt;35","35+")))))</x:f>
        <x:v>10-&lt;20</x:v>
      </x:c>
    </x:row>
    <x:row r="6055">
      <x:c r="A6055" t="str">
        <x:v>SYN0006054</x:v>
      </x:c>
      <x:c r="B6055" s="12" t="n">
        <x:v>43015</x:v>
      </x:c>
      <x:c r="C6055" s="18" t="n">
        <x:v>17902</x:v>
      </x:c>
      <x:c r="D6055" s="18" t="n">
        <x:v>90987</x:v>
      </x:c>
      <x:c r="E6055" s="18" t="n">
        <x:v>11.41</x:v>
      </x:c>
      <x:c r="F6055" s="18" t="n">
        <x:v>9.04</x:v>
      </x:c>
      <x:c r="G6055" t="n">
        <x:v>36</x:v>
      </x:c>
      <x:c r="H6055" t="str">
        <x:v>C</x:v>
      </x:c>
      <x:c r="I6055" t="str">
        <x:v>10+ years</x:v>
      </x:c>
      <x:c r="J6055" t="str">
        <x:v>OWN</x:v>
      </x:c>
      <x:c r="K6055" t="str">
        <x:v>other</x:v>
      </x:c>
      <x:c r="L6055" t="n">
        <x:v>2</x:v>
      </x:c>
      <x:c r="M6055" t="n">
        <x:v>0</x:v>
      </x:c>
      <x:c r="N6055" t="str">
        <x:v>Fully Paid</x:v>
      </x:c>
      <x:c r="O6055" t="str">
        <x:f>IF(D6055="","Unknown",IF(D6055&lt;25000,"&lt;$25k",IF(D6055&lt;50000,"$25k-$50k",IF(D6055&lt;75000,"$50k-$75k",IF(D6055&lt;100000,"$75k-$100k","$100k+")))))</x:f>
        <x:v>$75k-$100k</x:v>
      </x:c>
      <x:c r="P6055" t="str">
        <x:f>IF(E6055="","Unknown",IF(E6055&lt;10,"&lt;10",IF(E6055&lt;20,"10-&lt;20",IF(E6055&lt;25,"20-&lt;25",IF(E6055&lt;35,"25-&lt;35","35+")))))</x:f>
        <x:v>10-&lt;20</x:v>
      </x:c>
    </x:row>
    <x:row r="6056">
      <x:c r="A6056" t="str">
        <x:v>SYN0006055</x:v>
      </x:c>
      <x:c r="B6056" s="12" t="n">
        <x:v>43045</x:v>
      </x:c>
      <x:c r="C6056" s="18" t="n">
        <x:v>18973</x:v>
      </x:c>
      <x:c r="D6056" s="18" t="n">
        <x:v>78055</x:v>
      </x:c>
      <x:c r="E6056" s="18" t="n">
        <x:v>9.58</x:v>
      </x:c>
      <x:c r="F6056" s="18" t="n">
        <x:v>5.52</x:v>
      </x:c>
      <x:c r="G6056" t="n">
        <x:v>36</x:v>
      </x:c>
      <x:c r="H6056" t="str">
        <x:v>A</x:v>
      </x:c>
      <x:c r="I6056" t="str">
        <x:v>1-3 years</x:v>
      </x:c>
      <x:c r="J6056" t="str">
        <x:v>MORTGAGE</x:v>
      </x:c>
      <x:c r="K6056" t="str">
        <x:v>major_purchase</x:v>
      </x:c>
      <x:c r="L6056" t="n">
        <x:v>0</x:v>
      </x:c>
      <x:c r="M6056" t="n">
        <x:v>0</x:v>
      </x:c>
      <x:c r="N6056" t="str">
        <x:v>Fully Paid</x:v>
      </x:c>
      <x:c r="O6056" t="str">
        <x:f>IF(D6056="","Unknown",IF(D6056&lt;25000,"&lt;$25k",IF(D6056&lt;50000,"$25k-$50k",IF(D6056&lt;75000,"$50k-$75k",IF(D6056&lt;100000,"$75k-$100k","$100k+")))))</x:f>
        <x:v>$75k-$100k</x:v>
      </x:c>
      <x:c r="P6056" t="str">
        <x:f>IF(E6056="","Unknown",IF(E6056&lt;10,"&lt;10",IF(E6056&lt;20,"10-&lt;20",IF(E6056&lt;25,"20-&lt;25",IF(E6056&lt;35,"25-&lt;35","35+")))))</x:f>
        <x:v>&lt;10</x:v>
      </x:c>
    </x:row>
    <x:row r="6057">
      <x:c r="A6057" t="str">
        <x:v>SYN0006056</x:v>
      </x:c>
      <x:c r="B6057" s="12" t="n">
        <x:v>41335</x:v>
      </x:c>
      <x:c r="C6057" s="18" t="n">
        <x:v>22090</x:v>
      </x:c>
      <x:c r="D6057" s="18" t="n">
        <x:v>37152</x:v>
      </x:c>
      <x:c r="E6057" s="18" t="n">
        <x:v>15.04</x:v>
      </x:c>
      <x:c r="F6057" s="18" t="n">
        <x:v>7.41</x:v>
      </x:c>
      <x:c r="G6057" t="n">
        <x:v>36</x:v>
      </x:c>
      <x:c r="H6057" t="str">
        <x:v>A</x:v>
      </x:c>
      <x:c r="I6057" t="str">
        <x:v>&lt;1 year</x:v>
      </x:c>
      <x:c r="J6057" t="str">
        <x:v>RENT</x:v>
      </x:c>
      <x:c r="K6057" t="str">
        <x:v>credit_card</x:v>
      </x:c>
      <x:c r="L6057" t="n">
        <x:v>0</x:v>
      </x:c>
      <x:c r="M6057" t="n">
        <x:v>0</x:v>
      </x:c>
      <x:c r="N6057" t="str">
        <x:v>Fully Paid</x:v>
      </x:c>
      <x:c r="O6057" t="str">
        <x:f>IF(D6057="","Unknown",IF(D6057&lt;25000,"&lt;$25k",IF(D6057&lt;50000,"$25k-$50k",IF(D6057&lt;75000,"$50k-$75k",IF(D6057&lt;100000,"$75k-$100k","$100k+")))))</x:f>
        <x:v>$25k-$50k</x:v>
      </x:c>
      <x:c r="P6057" t="str">
        <x:f>IF(E6057="","Unknown",IF(E6057&lt;10,"&lt;10",IF(E6057&lt;20,"10-&lt;20",IF(E6057&lt;25,"20-&lt;25",IF(E6057&lt;35,"25-&lt;35","35+")))))</x:f>
        <x:v>10-&lt;20</x:v>
      </x:c>
    </x:row>
    <x:row r="6058">
      <x:c r="A6058" t="str">
        <x:v>SYN0006057</x:v>
      </x:c>
      <x:c r="B6058" s="12" t="n">
        <x:v>41935</x:v>
      </x:c>
      <x:c r="C6058" s="18" t="n">
        <x:v>13184</x:v>
      </x:c>
      <x:c r="D6058" s="18" t="n">
        <x:v>69875</x:v>
      </x:c>
      <x:c r="E6058" s="18" t="n">
        <x:v>16.07</x:v>
      </x:c>
      <x:c r="F6058" s="18" t="n">
        <x:v>8.9</x:v>
      </x:c>
      <x:c r="G6058" t="n">
        <x:v>36</x:v>
      </x:c>
      <x:c r="H6058" t="str">
        <x:v>B</x:v>
      </x:c>
      <x:c r="I6058" t="str">
        <x:v>10+ years</x:v>
      </x:c>
      <x:c r="J6058" t="str">
        <x:v>RENT</x:v>
      </x:c>
      <x:c r="K6058" t="str">
        <x:v>other</x:v>
      </x:c>
      <x:c r="L6058" t="n">
        <x:v>1</x:v>
      </x:c>
      <x:c r="M6058" t="n">
        <x:v>0</x:v>
      </x:c>
      <x:c r="N6058" t="str">
        <x:v>Fully Paid</x:v>
      </x:c>
      <x:c r="O6058" t="str">
        <x:f>IF(D6058="","Unknown",IF(D6058&lt;25000,"&lt;$25k",IF(D6058&lt;50000,"$25k-$50k",IF(D6058&lt;75000,"$50k-$75k",IF(D6058&lt;100000,"$75k-$100k","$100k+")))))</x:f>
        <x:v>$50k-$75k</x:v>
      </x:c>
      <x:c r="P6058" t="str">
        <x:f>IF(E6058="","Unknown",IF(E6058&lt;10,"&lt;10",IF(E6058&lt;20,"10-&lt;20",IF(E6058&lt;25,"20-&lt;25",IF(E6058&lt;35,"25-&lt;35","35+")))))</x:f>
        <x:v>10-&lt;20</x:v>
      </x:c>
    </x:row>
    <x:row r="6059">
      <x:c r="A6059" t="str">
        <x:v>SYN0006058</x:v>
      </x:c>
      <x:c r="B6059" s="12" t="n">
        <x:v>41275</x:v>
      </x:c>
      <x:c r="C6059" s="18" t="n">
        <x:v>17348</x:v>
      </x:c>
      <x:c r="D6059" s="18" t="n">
        <x:v>12414</x:v>
      </x:c>
      <x:c r="E6059" s="18" t="n">
        <x:v>26.2</x:v>
      </x:c>
      <x:c r="F6059" s="18" t="n">
        <x:v>16.97</x:v>
      </x:c>
      <x:c r="G6059" t="n">
        <x:v>36</x:v>
      </x:c>
      <x:c r="H6059" t="str">
        <x:v>D</x:v>
      </x:c>
      <x:c r="I6059" t="str">
        <x:v>&lt;1 year</x:v>
      </x:c>
      <x:c r="J6059" t="str">
        <x:v>OWN</x:v>
      </x:c>
      <x:c r="K6059" t="str">
        <x:v>debt_consolidation</x:v>
      </x:c>
      <x:c r="L6059" t="n">
        <x:v>0</x:v>
      </x:c>
      <x:c r="M6059" t="n">
        <x:v>0</x:v>
      </x:c>
      <x:c r="N6059" t="str">
        <x:v>Fully Paid</x:v>
      </x:c>
      <x:c r="O6059" t="str">
        <x:f>IF(D6059="","Unknown",IF(D6059&lt;25000,"&lt;$25k",IF(D6059&lt;50000,"$25k-$50k",IF(D6059&lt;75000,"$50k-$75k",IF(D6059&lt;100000,"$75k-$100k","$100k+")))))</x:f>
        <x:v>&lt;$25k</x:v>
      </x:c>
      <x:c r="P6059" t="str">
        <x:f>IF(E6059="","Unknown",IF(E6059&lt;10,"&lt;10",IF(E6059&lt;20,"10-&lt;20",IF(E6059&lt;25,"20-&lt;25",IF(E6059&lt;35,"25-&lt;35","35+")))))</x:f>
        <x:v>25-&lt;35</x:v>
      </x:c>
    </x:row>
    <x:row r="6060">
      <x:c r="A6060" t="str">
        <x:v>SYN0006059</x:v>
      </x:c>
      <x:c r="B6060" s="12" t="n">
        <x:v>42625</x:v>
      </x:c>
      <x:c r="C6060" s="18" t="n">
        <x:v>8585</x:v>
      </x:c>
      <x:c r="D6060" s="18" t="n">
        <x:v>20778</x:v>
      </x:c>
      <x:c r="E6060" s="18" t="n">
        <x:v>22.97</x:v>
      </x:c>
      <x:c r="F6060" s="18" t="n">
        <x:v>23.43</x:v>
      </x:c>
      <x:c r="G6060" t="n">
        <x:v>36</x:v>
      </x:c>
      <x:c r="H6060" t="str">
        <x:v>F</x:v>
      </x:c>
      <x:c r="I6060" t="str">
        <x:v>10+ years</x:v>
      </x:c>
      <x:c r="J6060" t="str">
        <x:v>RENT</x:v>
      </x:c>
      <x:c r="K6060" t="str">
        <x:v>debt_consolidation</x:v>
      </x:c>
      <x:c r="L6060" t="n">
        <x:v>1</x:v>
      </x:c>
      <x:c r="M6060" t="n">
        <x:v>1</x:v>
      </x:c>
      <x:c r="N6060" t="str">
        <x:v>Charged Off</x:v>
      </x:c>
      <x:c r="O6060" t="str">
        <x:f>IF(D6060="","Unknown",IF(D6060&lt;25000,"&lt;$25k",IF(D6060&lt;50000,"$25k-$50k",IF(D6060&lt;75000,"$50k-$75k",IF(D6060&lt;100000,"$75k-$100k","$100k+")))))</x:f>
        <x:v>&lt;$25k</x:v>
      </x:c>
      <x:c r="P6060" t="str">
        <x:f>IF(E6060="","Unknown",IF(E6060&lt;10,"&lt;10",IF(E6060&lt;20,"10-&lt;20",IF(E6060&lt;25,"20-&lt;25",IF(E6060&lt;35,"25-&lt;35","35+")))))</x:f>
        <x:v>20-&lt;25</x:v>
      </x:c>
    </x:row>
    <x:row r="6061">
      <x:c r="A6061" t="str">
        <x:v>SYN0006060</x:v>
      </x:c>
      <x:c r="B6061" s="12" t="n">
        <x:v>43345</x:v>
      </x:c>
      <x:c r="C6061" s="18" t="n">
        <x:v>12766</x:v>
      </x:c>
      <x:c r="D6061" s="18" t="n">
        <x:v>12000</x:v>
      </x:c>
      <x:c r="E6061" s="18" t="n">
        <x:v>21.51</x:v>
      </x:c>
      <x:c r="F6061" s="18" t="n">
        <x:v>10.83</x:v>
      </x:c>
      <x:c r="G6061" t="n">
        <x:v>60</x:v>
      </x:c>
      <x:c r="H6061" t="str">
        <x:v>C</x:v>
      </x:c>
      <x:c r="I6061" t="str">
        <x:v>&lt;1 year</x:v>
      </x:c>
      <x:c r="J6061" t="str">
        <x:v>MORTGAGE</x:v>
      </x:c>
      <x:c r="K6061" t="str">
        <x:v>home_improvement</x:v>
      </x:c>
      <x:c r="L6061" t="n">
        <x:v>0</x:v>
      </x:c>
      <x:c r="M6061" t="n">
        <x:v>0</x:v>
      </x:c>
      <x:c r="N6061" t="str">
        <x:v>Fully Paid</x:v>
      </x:c>
      <x:c r="O6061" t="str">
        <x:f>IF(D6061="","Unknown",IF(D6061&lt;25000,"&lt;$25k",IF(D6061&lt;50000,"$25k-$50k",IF(D6061&lt;75000,"$50k-$75k",IF(D6061&lt;100000,"$75k-$100k","$100k+")))))</x:f>
        <x:v>&lt;$25k</x:v>
      </x:c>
      <x:c r="P6061" t="str">
        <x:f>IF(E6061="","Unknown",IF(E6061&lt;10,"&lt;10",IF(E6061&lt;20,"10-&lt;20",IF(E6061&lt;25,"20-&lt;25",IF(E6061&lt;35,"25-&lt;35","35+")))))</x:f>
        <x:v>20-&lt;25</x:v>
      </x:c>
    </x:row>
    <x:row r="6062">
      <x:c r="A6062" t="str">
        <x:v>SYN0006061</x:v>
      </x:c>
      <x:c r="B6062" s="12" t="n">
        <x:v>43015</x:v>
      </x:c>
      <x:c r="C6062" s="18" t="n">
        <x:v>12593</x:v>
      </x:c>
      <x:c r="D6062" s="18" t="n">
        <x:v>107265</x:v>
      </x:c>
      <x:c r="E6062" s="18" t="n">
        <x:v>14.4</x:v>
      </x:c>
      <x:c r="F6062" s="18" t="n">
        <x:v>24.5</x:v>
      </x:c>
      <x:c r="G6062" t="n">
        <x:v>60</x:v>
      </x:c>
      <x:c r="H6062" t="str">
        <x:v>F</x:v>
      </x:c>
      <x:c r="I6062" t="str">
        <x:v>1-3 years</x:v>
      </x:c>
      <x:c r="J6062" t="str">
        <x:v>MORTGAGE</x:v>
      </x:c>
      <x:c r="K6062" t="str">
        <x:v>debt_consolidation</x:v>
      </x:c>
      <x:c r="L6062" t="n">
        <x:v>0</x:v>
      </x:c>
      <x:c r="M6062" t="n">
        <x:v>1</x:v>
      </x:c>
      <x:c r="N6062" t="str">
        <x:v>Charged Off</x:v>
      </x:c>
      <x:c r="O6062" t="str">
        <x:f>IF(D6062="","Unknown",IF(D6062&lt;25000,"&lt;$25k",IF(D6062&lt;50000,"$25k-$50k",IF(D6062&lt;75000,"$50k-$75k",IF(D6062&lt;100000,"$75k-$100k","$100k+")))))</x:f>
        <x:v>$100k+</x:v>
      </x:c>
      <x:c r="P6062" t="str">
        <x:f>IF(E6062="","Unknown",IF(E6062&lt;10,"&lt;10",IF(E6062&lt;20,"10-&lt;20",IF(E6062&lt;25,"20-&lt;25",IF(E6062&lt;35,"25-&lt;35","35+")))))</x:f>
        <x:v>10-&lt;20</x:v>
      </x:c>
    </x:row>
    <x:row r="6063">
      <x:c r="A6063" t="str">
        <x:v>SYN0006062</x:v>
      </x:c>
      <x:c r="B6063" s="12" t="n">
        <x:v>43135</x:v>
      </x:c>
      <x:c r="C6063" s="18" t="n">
        <x:v>10243</x:v>
      </x:c>
      <x:c r="D6063" s="18" t="n">
        <x:v>21148</x:v>
      </x:c>
      <x:c r="E6063" s="18" t="n">
        <x:v>17.31</x:v>
      </x:c>
      <x:c r="F6063" s="18" t="n">
        <x:v>5</x:v>
      </x:c>
      <x:c r="G6063" t="n">
        <x:v>60</x:v>
      </x:c>
      <x:c r="H6063" t="str">
        <x:v>A</x:v>
      </x:c>
      <x:c r="I6063" t="str">
        <x:v>1-3 years</x:v>
      </x:c>
      <x:c r="J6063" t="str">
        <x:v>MORTGAGE</x:v>
      </x:c>
      <x:c r="K6063" t="str">
        <x:v>other</x:v>
      </x:c>
      <x:c r="L6063" t="n">
        <x:v>1</x:v>
      </x:c>
      <x:c r="M6063" t="n">
        <x:v>0</x:v>
      </x:c>
      <x:c r="N6063" t="str">
        <x:v>Fully Paid</x:v>
      </x:c>
      <x:c r="O6063" t="str">
        <x:f>IF(D6063="","Unknown",IF(D6063&lt;25000,"&lt;$25k",IF(D6063&lt;50000,"$25k-$50k",IF(D6063&lt;75000,"$50k-$75k",IF(D6063&lt;100000,"$75k-$100k","$100k+")))))</x:f>
        <x:v>&lt;$25k</x:v>
      </x:c>
      <x:c r="P6063" t="str">
        <x:f>IF(E6063="","Unknown",IF(E6063&lt;10,"&lt;10",IF(E6063&lt;20,"10-&lt;20",IF(E6063&lt;25,"20-&lt;25",IF(E6063&lt;35,"25-&lt;35","35+")))))</x:f>
        <x:v>10-&lt;20</x:v>
      </x:c>
    </x:row>
    <x:row r="6064">
      <x:c r="A6064" t="str">
        <x:v>SYN0006063</x:v>
      </x:c>
      <x:c r="B6064" s="12" t="n">
        <x:v>42385</x:v>
      </x:c>
      <x:c r="C6064" s="18" t="n">
        <x:v>15721</x:v>
      </x:c>
      <x:c r="D6064" s="18" t="n">
        <x:v>20222</x:v>
      </x:c>
      <x:c r="E6064" s="18" t="n">
        <x:v>24.56</x:v>
      </x:c>
      <x:c r="F6064" s="18" t="n">
        <x:v>21.7</x:v>
      </x:c>
      <x:c r="G6064" t="n">
        <x:v>60</x:v>
      </x:c>
      <x:c r="H6064" t="str">
        <x:v>F</x:v>
      </x:c>
      <x:c r="I6064" t="str">
        <x:v>4-6 years</x:v>
      </x:c>
      <x:c r="J6064" t="str">
        <x:v>RENT</x:v>
      </x:c>
      <x:c r="K6064" t="str">
        <x:v>debt_consolidation</x:v>
      </x:c>
      <x:c r="L6064" t="n">
        <x:v>1</x:v>
      </x:c>
      <x:c r="M6064" t="n">
        <x:v>0</x:v>
      </x:c>
      <x:c r="N6064" t="str">
        <x:v>Fully Paid</x:v>
      </x:c>
      <x:c r="O6064" t="str">
        <x:f>IF(D6064="","Unknown",IF(D6064&lt;25000,"&lt;$25k",IF(D6064&lt;50000,"$25k-$50k",IF(D6064&lt;75000,"$50k-$75k",IF(D6064&lt;100000,"$75k-$100k","$100k+")))))</x:f>
        <x:v>&lt;$25k</x:v>
      </x:c>
      <x:c r="P6064" t="str">
        <x:f>IF(E6064="","Unknown",IF(E6064&lt;10,"&lt;10",IF(E6064&lt;20,"10-&lt;20",IF(E6064&lt;25,"20-&lt;25",IF(E6064&lt;35,"25-&lt;35","35+")))))</x:f>
        <x:v>20-&lt;25</x:v>
      </x:c>
    </x:row>
    <x:row r="6065">
      <x:c r="A6065" t="str">
        <x:v>SYN0006064</x:v>
      </x:c>
      <x:c r="B6065" s="12" t="n">
        <x:v>41785</x:v>
      </x:c>
      <x:c r="C6065" s="18" t="n">
        <x:v>13876</x:v>
      </x:c>
      <x:c r="D6065" s="18" t="n">
        <x:v>95651</x:v>
      </x:c>
      <x:c r="E6065" s="18" t="n">
        <x:v>1.45</x:v>
      </x:c>
      <x:c r="F6065" s="18" t="n">
        <x:v>7.01</x:v>
      </x:c>
      <x:c r="G6065" t="n">
        <x:v>36</x:v>
      </x:c>
      <x:c r="H6065" t="str">
        <x:v>B</x:v>
      </x:c>
      <x:c r="I6065" t="str">
        <x:v>1-3 years</x:v>
      </x:c>
      <x:c r="J6065" t="str">
        <x:v>RENT</x:v>
      </x:c>
      <x:c r="K6065" t="str">
        <x:v>major_purchase</x:v>
      </x:c>
      <x:c r="L6065" t="n">
        <x:v>0</x:v>
      </x:c>
      <x:c r="M6065" t="n">
        <x:v>0</x:v>
      </x:c>
      <x:c r="N6065" t="str">
        <x:v>Fully Paid</x:v>
      </x:c>
      <x:c r="O6065" t="str">
        <x:f>IF(D6065="","Unknown",IF(D6065&lt;25000,"&lt;$25k",IF(D6065&lt;50000,"$25k-$50k",IF(D6065&lt;75000,"$50k-$75k",IF(D6065&lt;100000,"$75k-$100k","$100k+")))))</x:f>
        <x:v>$75k-$100k</x:v>
      </x:c>
      <x:c r="P6065" t="str">
        <x:f>IF(E6065="","Unknown",IF(E6065&lt;10,"&lt;10",IF(E6065&lt;20,"10-&lt;20",IF(E6065&lt;25,"20-&lt;25",IF(E6065&lt;35,"25-&lt;35","35+")))))</x:f>
        <x:v>&lt;10</x:v>
      </x:c>
    </x:row>
    <x:row r="6066">
      <x:c r="A6066" t="str">
        <x:v>SYN0006065</x:v>
      </x:c>
      <x:c r="B6066" s="12" t="n">
        <x:v>42955</x:v>
      </x:c>
      <x:c r="C6066" s="18" t="n">
        <x:v>7000</x:v>
      </x:c>
      <x:c r="D6066" s="18" t="n">
        <x:v>29540</x:v>
      </x:c>
      <x:c r="E6066" s="18" t="n">
        <x:v>20.56</x:v>
      </x:c>
      <x:c r="F6066" s="18" t="n">
        <x:v>7.79</x:v>
      </x:c>
      <x:c r="G6066" t="n">
        <x:v>36</x:v>
      </x:c>
      <x:c r="H6066" t="str">
        <x:v>C</x:v>
      </x:c>
      <x:c r="I6066" t="str">
        <x:v>4-6 years</x:v>
      </x:c>
      <x:c r="J6066" t="str">
        <x:v>MORTGAGE</x:v>
      </x:c>
      <x:c r="K6066" t="str">
        <x:v>debt_consolidation</x:v>
      </x:c>
      <x:c r="L6066" t="n">
        <x:v>0</x:v>
      </x:c>
      <x:c r="M6066" t="n">
        <x:v>0</x:v>
      </x:c>
      <x:c r="N6066" t="str">
        <x:v>Fully Paid</x:v>
      </x:c>
      <x:c r="O6066" t="str">
        <x:f>IF(D6066="","Unknown",IF(D6066&lt;25000,"&lt;$25k",IF(D6066&lt;50000,"$25k-$50k",IF(D6066&lt;75000,"$50k-$75k",IF(D6066&lt;100000,"$75k-$100k","$100k+")))))</x:f>
        <x:v>$25k-$50k</x:v>
      </x:c>
      <x:c r="P6066" t="str">
        <x:f>IF(E6066="","Unknown",IF(E6066&lt;10,"&lt;10",IF(E6066&lt;20,"10-&lt;20",IF(E6066&lt;25,"20-&lt;25",IF(E6066&lt;35,"25-&lt;35","35+")))))</x:f>
        <x:v>20-&lt;25</x:v>
      </x:c>
    </x:row>
    <x:row r="6067">
      <x:c r="A6067" t="str">
        <x:v>SYN0006066</x:v>
      </x:c>
      <x:c r="B6067" s="12" t="n">
        <x:v>42445</x:v>
      </x:c>
      <x:c r="C6067" s="18" t="n">
        <x:v>8953</x:v>
      </x:c>
      <x:c r="D6067" s="18" t="n">
        <x:v>43975</x:v>
      </x:c>
      <x:c r="E6067" s="18" t="n">
        <x:v>16.31</x:v>
      </x:c>
      <x:c r="F6067" s="18" t="n">
        <x:v>9.11</x:v>
      </x:c>
      <x:c r="G6067" t="n">
        <x:v>36</x:v>
      </x:c>
      <x:c r="H6067" t="str">
        <x:v>A</x:v>
      </x:c>
      <x:c r="I6067" t="str">
        <x:v>7-9 years</x:v>
      </x:c>
      <x:c r="J6067" t="str">
        <x:v>MORTGAGE</x:v>
      </x:c>
      <x:c r="K6067" t="str">
        <x:v>debt_consolidation</x:v>
      </x:c>
      <x:c r="L6067" t="n">
        <x:v>0</x:v>
      </x:c>
      <x:c r="M6067" t="n">
        <x:v>0</x:v>
      </x:c>
      <x:c r="N6067" t="str">
        <x:v>Fully Paid</x:v>
      </x:c>
      <x:c r="O6067" t="str">
        <x:f>IF(D6067="","Unknown",IF(D6067&lt;25000,"&lt;$25k",IF(D6067&lt;50000,"$25k-$50k",IF(D6067&lt;75000,"$50k-$75k",IF(D6067&lt;100000,"$75k-$100k","$100k+")))))</x:f>
        <x:v>$25k-$50k</x:v>
      </x:c>
      <x:c r="P6067" t="str">
        <x:f>IF(E6067="","Unknown",IF(E6067&lt;10,"&lt;10",IF(E6067&lt;20,"10-&lt;20",IF(E6067&lt;25,"20-&lt;25",IF(E6067&lt;35,"25-&lt;35","35+")))))</x:f>
        <x:v>10-&lt;20</x:v>
      </x:c>
    </x:row>
    <x:row r="6068">
      <x:c r="A6068" t="str">
        <x:v>SYN0006067</x:v>
      </x:c>
      <x:c r="B6068" s="12" t="n">
        <x:v>41815</x:v>
      </x:c>
      <x:c r="C6068" s="18" t="n">
        <x:v>10225</x:v>
      </x:c>
      <x:c r="D6068" s="18" t="n">
        <x:v>12720</x:v>
      </x:c>
      <x:c r="E6068" s="18" t="n">
        <x:v>29.22</x:v>
      </x:c>
      <x:c r="F6068" s="18" t="n">
        <x:v>17.25</x:v>
      </x:c>
      <x:c r="G6068" t="n">
        <x:v>36</x:v>
      </x:c>
      <x:c r="H6068" t="str">
        <x:v>D</x:v>
      </x:c>
      <x:c r="I6068" t="str">
        <x:v>4-6 years</x:v>
      </x:c>
      <x:c r="J6068" t="str">
        <x:v>RENT</x:v>
      </x:c>
      <x:c r="K6068" t="str">
        <x:v>major_purchase</x:v>
      </x:c>
      <x:c r="L6068" t="n">
        <x:v>0</x:v>
      </x:c>
      <x:c r="M6068" t="n">
        <x:v>0</x:v>
      </x:c>
      <x:c r="N6068" t="str">
        <x:v>Fully Paid</x:v>
      </x:c>
      <x:c r="O6068" t="str">
        <x:f>IF(D6068="","Unknown",IF(D6068&lt;25000,"&lt;$25k",IF(D6068&lt;50000,"$25k-$50k",IF(D6068&lt;75000,"$50k-$75k",IF(D6068&lt;100000,"$75k-$100k","$100k+")))))</x:f>
        <x:v>&lt;$25k</x:v>
      </x:c>
      <x:c r="P6068" t="str">
        <x:f>IF(E6068="","Unknown",IF(E6068&lt;10,"&lt;10",IF(E6068&lt;20,"10-&lt;20",IF(E6068&lt;25,"20-&lt;25",IF(E6068&lt;35,"25-&lt;35","35+")))))</x:f>
        <x:v>25-&lt;35</x:v>
      </x:c>
    </x:row>
    <x:row r="6069">
      <x:c r="A6069" t="str">
        <x:v>SYN0006068</x:v>
      </x:c>
      <x:c r="B6069" s="12" t="n">
        <x:v>41395</x:v>
      </x:c>
      <x:c r="C6069" s="18" t="n">
        <x:v>19094</x:v>
      </x:c>
      <x:c r="D6069" s="18" t="n">
        <x:v>68150</x:v>
      </x:c>
      <x:c r="E6069" s="18" t="n">
        <x:v>17.59</x:v>
      </x:c>
      <x:c r="F6069" s="18" t="n">
        <x:v>9.89</x:v>
      </x:c>
      <x:c r="G6069" t="n">
        <x:v>36</x:v>
      </x:c>
      <x:c r="H6069" t="str">
        <x:v>C</x:v>
      </x:c>
      <x:c r="I6069" t="str">
        <x:v>7-9 years</x:v>
      </x:c>
      <x:c r="J6069" t="str">
        <x:v>MORTGAGE</x:v>
      </x:c>
      <x:c r="K6069" t="str">
        <x:v>credit_card</x:v>
      </x:c>
      <x:c r="L6069" t="n">
        <x:v>0</x:v>
      </x:c>
      <x:c r="M6069" t="n">
        <x:v>0</x:v>
      </x:c>
      <x:c r="N6069" t="str">
        <x:v>Fully Paid</x:v>
      </x:c>
      <x:c r="O6069" t="str">
        <x:f>IF(D6069="","Unknown",IF(D6069&lt;25000,"&lt;$25k",IF(D6069&lt;50000,"$25k-$50k",IF(D6069&lt;75000,"$50k-$75k",IF(D6069&lt;100000,"$75k-$100k","$100k+")))))</x:f>
        <x:v>$50k-$75k</x:v>
      </x:c>
      <x:c r="P6069" t="str">
        <x:f>IF(E6069="","Unknown",IF(E6069&lt;10,"&lt;10",IF(E6069&lt;20,"10-&lt;20",IF(E6069&lt;25,"20-&lt;25",IF(E6069&lt;35,"25-&lt;35","35+")))))</x:f>
        <x:v>10-&lt;20</x:v>
      </x:c>
    </x:row>
    <x:row r="6070">
      <x:c r="A6070" t="str">
        <x:v>SYN0006069</x:v>
      </x:c>
      <x:c r="B6070" s="12" t="n">
        <x:v>41455</x:v>
      </x:c>
      <x:c r="C6070" s="18" t="n">
        <x:v>16006</x:v>
      </x:c>
      <x:c r="D6070" s="18" t="n">
        <x:v>63378</x:v>
      </x:c>
      <x:c r="E6070" s="18" t="n">
        <x:v>28.57</x:v>
      </x:c>
      <x:c r="F6070" s="18" t="n">
        <x:v>13.1</x:v>
      </x:c>
      <x:c r="G6070" t="n">
        <x:v>36</x:v>
      </x:c>
      <x:c r="H6070" t="str">
        <x:v>C</x:v>
      </x:c>
      <x:c r="I6070" t="str">
        <x:v>10+ years</x:v>
      </x:c>
      <x:c r="J6070" t="str">
        <x:v>MORTGAGE</x:v>
      </x:c>
      <x:c r="K6070" t="str">
        <x:v>home_improvement</x:v>
      </x:c>
      <x:c r="L6070" t="n">
        <x:v>2</x:v>
      </x:c>
      <x:c r="M6070" t="n">
        <x:v>1</x:v>
      </x:c>
      <x:c r="N6070" t="str">
        <x:v>Charged Off</x:v>
      </x:c>
      <x:c r="O6070" t="str">
        <x:f>IF(D6070="","Unknown",IF(D6070&lt;25000,"&lt;$25k",IF(D6070&lt;50000,"$25k-$50k",IF(D6070&lt;75000,"$50k-$75k",IF(D6070&lt;100000,"$75k-$100k","$100k+")))))</x:f>
        <x:v>$50k-$75k</x:v>
      </x:c>
      <x:c r="P6070" t="str">
        <x:f>IF(E6070="","Unknown",IF(E6070&lt;10,"&lt;10",IF(E6070&lt;20,"10-&lt;20",IF(E6070&lt;25,"20-&lt;25",IF(E6070&lt;35,"25-&lt;35","35+")))))</x:f>
        <x:v>25-&lt;35</x:v>
      </x:c>
    </x:row>
    <x:row r="6071">
      <x:c r="A6071" t="str">
        <x:v>SYN0006070</x:v>
      </x:c>
      <x:c r="B6071" s="12" t="n">
        <x:v>41665</x:v>
      </x:c>
      <x:c r="C6071" s="18" t="n">
        <x:v>8160</x:v>
      </x:c>
      <x:c r="D6071" s="18" t="n">
        <x:v>68934</x:v>
      </x:c>
      <x:c r="E6071" s="18" t="n">
        <x:v>17.2</x:v>
      </x:c>
      <x:c r="F6071" s="18" t="n">
        <x:v>5.35</x:v>
      </x:c>
      <x:c r="G6071" t="n">
        <x:v>36</x:v>
      </x:c>
      <x:c r="H6071" t="str">
        <x:v>A</x:v>
      </x:c>
      <x:c r="I6071" t="str">
        <x:v>1-3 years</x:v>
      </x:c>
      <x:c r="J6071" t="str">
        <x:v>MORTGAGE</x:v>
      </x:c>
      <x:c r="K6071" t="str">
        <x:v>home_improvement</x:v>
      </x:c>
      <x:c r="L6071" t="n">
        <x:v>0</x:v>
      </x:c>
      <x:c r="M6071" t="n">
        <x:v>0</x:v>
      </x:c>
      <x:c r="N6071" t="str">
        <x:v>Fully Paid</x:v>
      </x:c>
      <x:c r="O6071" t="str">
        <x:f>IF(D6071="","Unknown",IF(D6071&lt;25000,"&lt;$25k",IF(D6071&lt;50000,"$25k-$50k",IF(D6071&lt;75000,"$50k-$75k",IF(D6071&lt;100000,"$75k-$100k","$100k+")))))</x:f>
        <x:v>$50k-$75k</x:v>
      </x:c>
      <x:c r="P6071" t="str">
        <x:f>IF(E6071="","Unknown",IF(E6071&lt;10,"&lt;10",IF(E6071&lt;20,"10-&lt;20",IF(E6071&lt;25,"20-&lt;25",IF(E6071&lt;35,"25-&lt;35","35+")))))</x:f>
        <x:v>10-&lt;20</x:v>
      </x:c>
    </x:row>
    <x:row r="6072">
      <x:c r="A6072" t="str">
        <x:v>SYN0006071</x:v>
      </x:c>
      <x:c r="B6072" s="12" t="n">
        <x:v>42865</x:v>
      </x:c>
      <x:c r="C6072" s="18" t="n">
        <x:v>25706</x:v>
      </x:c>
      <x:c r="D6072" s="18" t="n">
        <x:v>48555</x:v>
      </x:c>
      <x:c r="E6072" s="18" t="n">
        <x:v>30.35</x:v>
      </x:c>
      <x:c r="F6072" s="18" t="n">
        <x:v>15.14</x:v>
      </x:c>
      <x:c r="G6072" t="n">
        <x:v>36</x:v>
      </x:c>
      <x:c r="H6072" t="str">
        <x:v>D</x:v>
      </x:c>
      <x:c r="I6072" t="str">
        <x:v>10+ years</x:v>
      </x:c>
      <x:c r="J6072" t="str">
        <x:v>MORTGAGE</x:v>
      </x:c>
      <x:c r="K6072" t="str">
        <x:v>medical</x:v>
      </x:c>
      <x:c r="L6072" t="n">
        <x:v>1</x:v>
      </x:c>
      <x:c r="M6072" t="n">
        <x:v>0</x:v>
      </x:c>
      <x:c r="N6072" t="str">
        <x:v>Fully Paid</x:v>
      </x:c>
      <x:c r="O6072" t="str">
        <x:f>IF(D6072="","Unknown",IF(D6072&lt;25000,"&lt;$25k",IF(D6072&lt;50000,"$25k-$50k",IF(D6072&lt;75000,"$50k-$75k",IF(D6072&lt;100000,"$75k-$100k","$100k+")))))</x:f>
        <x:v>$25k-$50k</x:v>
      </x:c>
      <x:c r="P6072" t="str">
        <x:f>IF(E6072="","Unknown",IF(E6072&lt;10,"&lt;10",IF(E6072&lt;20,"10-&lt;20",IF(E6072&lt;25,"20-&lt;25",IF(E6072&lt;35,"25-&lt;35","35+")))))</x:f>
        <x:v>25-&lt;35</x:v>
      </x:c>
    </x:row>
    <x:row r="6073">
      <x:c r="A6073" t="str">
        <x:v>SYN0006072</x:v>
      </x:c>
      <x:c r="B6073" s="12" t="n">
        <x:v>41455</x:v>
      </x:c>
      <x:c r="C6073" s="18" t="n">
        <x:v>19979</x:v>
      </x:c>
      <x:c r="D6073" s="18" t="n">
        <x:v>56508</x:v>
      </x:c>
      <x:c r="E6073" s="18" t="n">
        <x:v>19.53</x:v>
      </x:c>
      <x:c r="F6073" s="18" t="n">
        <x:v>5</x:v>
      </x:c>
      <x:c r="G6073" t="n">
        <x:v>60</x:v>
      </x:c>
      <x:c r="H6073" t="str">
        <x:v>A</x:v>
      </x:c>
      <x:c r="I6073" t="str">
        <x:v>4-6 years</x:v>
      </x:c>
      <x:c r="J6073" t="str">
        <x:v>MORTGAGE</x:v>
      </x:c>
      <x:c r="K6073" t="str">
        <x:v>major_purchase</x:v>
      </x:c>
      <x:c r="L6073" t="n">
        <x:v>0</x:v>
      </x:c>
      <x:c r="M6073" t="n">
        <x:v>0</x:v>
      </x:c>
      <x:c r="N6073" t="str">
        <x:v>Fully Paid</x:v>
      </x:c>
      <x:c r="O6073" t="str">
        <x:f>IF(D6073="","Unknown",IF(D6073&lt;25000,"&lt;$25k",IF(D6073&lt;50000,"$25k-$50k",IF(D6073&lt;75000,"$50k-$75k",IF(D6073&lt;100000,"$75k-$100k","$100k+")))))</x:f>
        <x:v>$50k-$75k</x:v>
      </x:c>
      <x:c r="P6073" t="str">
        <x:f>IF(E6073="","Unknown",IF(E6073&lt;10,"&lt;10",IF(E6073&lt;20,"10-&lt;20",IF(E6073&lt;25,"20-&lt;25",IF(E6073&lt;35,"25-&lt;35","35+")))))</x:f>
        <x:v>10-&lt;20</x:v>
      </x:c>
    </x:row>
    <x:row r="6074">
      <x:c r="A6074" t="str">
        <x:v>SYN0006073</x:v>
      </x:c>
      <x:c r="B6074" s="12" t="n">
        <x:v>41755</x:v>
      </x:c>
      <x:c r="C6074" s="18" t="n">
        <x:v>10151</x:v>
      </x:c>
      <x:c r="D6074" s="18" t="n">
        <x:v>39216</x:v>
      </x:c>
      <x:c r="E6074" s="18" t="n">
        <x:v>24.17</x:v>
      </x:c>
      <x:c r="F6074" s="18" t="n">
        <x:v>5</x:v>
      </x:c>
      <x:c r="G6074" t="n">
        <x:v>36</x:v>
      </x:c>
      <x:c r="H6074" t="str">
        <x:v>A</x:v>
      </x:c>
      <x:c r="I6074" t="str">
        <x:v>10+ years</x:v>
      </x:c>
      <x:c r="J6074" t="str">
        <x:v>RENT</x:v>
      </x:c>
      <x:c r="K6074" t="str">
        <x:v>debt_consolidation</x:v>
      </x:c>
      <x:c r="L6074" t="n">
        <x:v>0</x:v>
      </x:c>
      <x:c r="M6074" t="n">
        <x:v>0</x:v>
      </x:c>
      <x:c r="N6074" t="str">
        <x:v>Fully Paid</x:v>
      </x:c>
      <x:c r="O6074" t="str">
        <x:f>IF(D6074="","Unknown",IF(D6074&lt;25000,"&lt;$25k",IF(D6074&lt;50000,"$25k-$50k",IF(D6074&lt;75000,"$50k-$75k",IF(D6074&lt;100000,"$75k-$100k","$100k+")))))</x:f>
        <x:v>$25k-$50k</x:v>
      </x:c>
      <x:c r="P6074" t="str">
        <x:f>IF(E6074="","Unknown",IF(E6074&lt;10,"&lt;10",IF(E6074&lt;20,"10-&lt;20",IF(E6074&lt;25,"20-&lt;25",IF(E6074&lt;35,"25-&lt;35","35+")))))</x:f>
        <x:v>20-&lt;25</x:v>
      </x:c>
    </x:row>
    <x:row r="6075">
      <x:c r="A6075" t="str">
        <x:v>SYN0006074</x:v>
      </x:c>
      <x:c r="B6075" s="12" t="n">
        <x:v>42715</x:v>
      </x:c>
      <x:c r="C6075" s="18" t="n">
        <x:v>24527</x:v>
      </x:c>
      <x:c r="D6075" s="18" t="n">
        <x:v>59565</x:v>
      </x:c>
      <x:c r="E6075" s="18" t="n">
        <x:v>22.36</x:v>
      </x:c>
      <x:c r="F6075" s="18" t="n">
        <x:v>12.57</x:v>
      </x:c>
      <x:c r="G6075" t="n">
        <x:v>60</x:v>
      </x:c>
      <x:c r="H6075" t="str">
        <x:v>C</x:v>
      </x:c>
      <x:c r="I6075" t="str">
        <x:v>4-6 years</x:v>
      </x:c>
      <x:c r="J6075" t="str">
        <x:v>RENT</x:v>
      </x:c>
      <x:c r="K6075" t="str">
        <x:v>debt_consolidation</x:v>
      </x:c>
      <x:c r="L6075" t="n">
        <x:v>0</x:v>
      </x:c>
      <x:c r="M6075" t="n">
        <x:v>0</x:v>
      </x:c>
      <x:c r="N6075" t="str">
        <x:v>Fully Paid</x:v>
      </x:c>
      <x:c r="O6075" t="str">
        <x:f>IF(D6075="","Unknown",IF(D6075&lt;25000,"&lt;$25k",IF(D6075&lt;50000,"$25k-$50k",IF(D6075&lt;75000,"$50k-$75k",IF(D6075&lt;100000,"$75k-$100k","$100k+")))))</x:f>
        <x:v>$50k-$75k</x:v>
      </x:c>
      <x:c r="P6075" t="str">
        <x:f>IF(E6075="","Unknown",IF(E6075&lt;10,"&lt;10",IF(E6075&lt;20,"10-&lt;20",IF(E6075&lt;25,"20-&lt;25",IF(E6075&lt;35,"25-&lt;35","35+")))))</x:f>
        <x:v>20-&lt;25</x:v>
      </x:c>
    </x:row>
    <x:row r="6076">
      <x:c r="A6076" t="str">
        <x:v>SYN0006075</x:v>
      </x:c>
      <x:c r="B6076" s="12" t="n">
        <x:v>42595</x:v>
      </x:c>
      <x:c r="C6076" s="18" t="n">
        <x:v>9610</x:v>
      </x:c>
      <x:c r="D6076" s="18" t="n">
        <x:v>34363</x:v>
      </x:c>
      <x:c r="E6076" s="18" t="n">
        <x:v>17.51</x:v>
      </x:c>
      <x:c r="F6076" s="18" t="n">
        <x:v>11.4</x:v>
      </x:c>
      <x:c r="G6076" t="n">
        <x:v>36</x:v>
      </x:c>
      <x:c r="H6076" t="str">
        <x:v>C</x:v>
      </x:c>
      <x:c r="I6076" t="str">
        <x:v>4-6 years</x:v>
      </x:c>
      <x:c r="J6076" t="str">
        <x:v>RENT</x:v>
      </x:c>
      <x:c r="K6076" t="str">
        <x:v>credit_card</x:v>
      </x:c>
      <x:c r="L6076" t="n">
        <x:v>0</x:v>
      </x:c>
      <x:c r="M6076" t="n">
        <x:v>0</x:v>
      </x:c>
      <x:c r="N6076" t="str">
        <x:v>Fully Paid</x:v>
      </x:c>
      <x:c r="O6076" t="str">
        <x:f>IF(D6076="","Unknown",IF(D6076&lt;25000,"&lt;$25k",IF(D6076&lt;50000,"$25k-$50k",IF(D6076&lt;75000,"$50k-$75k",IF(D6076&lt;100000,"$75k-$100k","$100k+")))))</x:f>
        <x:v>$25k-$50k</x:v>
      </x:c>
      <x:c r="P6076" t="str">
        <x:f>IF(E6076="","Unknown",IF(E6076&lt;10,"&lt;10",IF(E6076&lt;20,"10-&lt;20",IF(E6076&lt;25,"20-&lt;25",IF(E6076&lt;35,"25-&lt;35","35+")))))</x:f>
        <x:v>10-&lt;20</x:v>
      </x:c>
    </x:row>
    <x:row r="6077">
      <x:c r="A6077" t="str">
        <x:v>SYN0006076</x:v>
      </x:c>
      <x:c r="B6077" s="12" t="n">
        <x:v>42355</x:v>
      </x:c>
      <x:c r="C6077" s="18" t="n">
        <x:v>4511</x:v>
      </x:c>
      <x:c r="D6077" s="18" t="n">
        <x:v>47376</x:v>
      </x:c>
      <x:c r="E6077" s="18" t="n">
        <x:v>13.98</x:v>
      </x:c>
      <x:c r="F6077" s="18" t="n">
        <x:v>16.68</x:v>
      </x:c>
      <x:c r="G6077" t="n">
        <x:v>36</x:v>
      </x:c>
      <x:c r="H6077" t="str">
        <x:v>D</x:v>
      </x:c>
      <x:c r="I6077" t="str">
        <x:v>7-9 years</x:v>
      </x:c>
      <x:c r="J6077" t="str">
        <x:v>RENT</x:v>
      </x:c>
      <x:c r="K6077" t="str">
        <x:v>credit_card</x:v>
      </x:c>
      <x:c r="L6077" t="n">
        <x:v>0</x:v>
      </x:c>
      <x:c r="M6077" t="n">
        <x:v>0</x:v>
      </x:c>
      <x:c r="N6077" t="str">
        <x:v>Fully Paid</x:v>
      </x:c>
      <x:c r="O6077" t="str">
        <x:f>IF(D6077="","Unknown",IF(D6077&lt;25000,"&lt;$25k",IF(D6077&lt;50000,"$25k-$50k",IF(D6077&lt;75000,"$50k-$75k",IF(D6077&lt;100000,"$75k-$100k","$100k+")))))</x:f>
        <x:v>$25k-$50k</x:v>
      </x:c>
      <x:c r="P6077" t="str">
        <x:f>IF(E6077="","Unknown",IF(E6077&lt;10,"&lt;10",IF(E6077&lt;20,"10-&lt;20",IF(E6077&lt;25,"20-&lt;25",IF(E6077&lt;35,"25-&lt;35","35+")))))</x:f>
        <x:v>10-&lt;20</x:v>
      </x:c>
    </x:row>
    <x:row r="6078">
      <x:c r="A6078" t="str">
        <x:v>SYN0006077</x:v>
      </x:c>
      <x:c r="B6078" s="12" t="n">
        <x:v>43165</x:v>
      </x:c>
      <x:c r="C6078" s="18" t="n">
        <x:v>26057</x:v>
      </x:c>
      <x:c r="D6078" s="18" t="n">
        <x:v>21024</x:v>
      </x:c>
      <x:c r="E6078" s="18" t="n">
        <x:v>25.05</x:v>
      </x:c>
      <x:c r="F6078" s="18" t="n">
        <x:v>5.92</x:v>
      </x:c>
      <x:c r="G6078" t="n">
        <x:v>36</x:v>
      </x:c>
      <x:c r="H6078" t="str">
        <x:v>A</x:v>
      </x:c>
      <x:c r="I6078" t="str">
        <x:v>10+ years</x:v>
      </x:c>
      <x:c r="J6078" t="str">
        <x:v>OWN</x:v>
      </x:c>
      <x:c r="K6078" t="str">
        <x:v>other</x:v>
      </x:c>
      <x:c r="L6078" t="n">
        <x:v>0</x:v>
      </x:c>
      <x:c r="M6078" t="n">
        <x:v>0</x:v>
      </x:c>
      <x:c r="N6078" t="str">
        <x:v>Fully Paid</x:v>
      </x:c>
      <x:c r="O6078" t="str">
        <x:f>IF(D6078="","Unknown",IF(D6078&lt;25000,"&lt;$25k",IF(D6078&lt;50000,"$25k-$50k",IF(D6078&lt;75000,"$50k-$75k",IF(D6078&lt;100000,"$75k-$100k","$100k+")))))</x:f>
        <x:v>&lt;$25k</x:v>
      </x:c>
      <x:c r="P6078" t="str">
        <x:f>IF(E6078="","Unknown",IF(E6078&lt;10,"&lt;10",IF(E6078&lt;20,"10-&lt;20",IF(E6078&lt;25,"20-&lt;25",IF(E6078&lt;35,"25-&lt;35","35+")))))</x:f>
        <x:v>25-&lt;35</x:v>
      </x:c>
    </x:row>
    <x:row r="6079">
      <x:c r="A6079" t="str">
        <x:v>SYN0006078</x:v>
      </x:c>
      <x:c r="B6079" s="12" t="n">
        <x:v>41605</x:v>
      </x:c>
      <x:c r="C6079" s="18" t="n">
        <x:v>7123</x:v>
      </x:c>
      <x:c r="D6079" s="18" t="n">
        <x:v>101429</x:v>
      </x:c>
      <x:c r="E6079" s="18" t="n">
        <x:v>39.28</x:v>
      </x:c>
      <x:c r="F6079" s="18" t="n">
        <x:v>18.8</x:v>
      </x:c>
      <x:c r="G6079" t="n">
        <x:v>60</x:v>
      </x:c>
      <x:c r="H6079" t="str">
        <x:v>E</x:v>
      </x:c>
      <x:c r="I6079" t="str">
        <x:v>10+ years</x:v>
      </x:c>
      <x:c r="J6079" t="str">
        <x:v>MORTGAGE</x:v>
      </x:c>
      <x:c r="K6079" t="str">
        <x:v>debt_consolidation</x:v>
      </x:c>
      <x:c r="L6079" t="n">
        <x:v>0</x:v>
      </x:c>
      <x:c r="M6079" t="n">
        <x:v>0</x:v>
      </x:c>
      <x:c r="N6079" t="str">
        <x:v>Fully Paid</x:v>
      </x:c>
      <x:c r="O6079" t="str">
        <x:f>IF(D6079="","Unknown",IF(D6079&lt;25000,"&lt;$25k",IF(D6079&lt;50000,"$25k-$50k",IF(D6079&lt;75000,"$50k-$75k",IF(D6079&lt;100000,"$75k-$100k","$100k+")))))</x:f>
        <x:v>$100k+</x:v>
      </x:c>
      <x:c r="P6079" t="str">
        <x:f>IF(E6079="","Unknown",IF(E6079&lt;10,"&lt;10",IF(E6079&lt;20,"10-&lt;20",IF(E6079&lt;25,"20-&lt;25",IF(E6079&lt;35,"25-&lt;35","35+")))))</x:f>
        <x:v>35+</x:v>
      </x:c>
    </x:row>
    <x:row r="6080">
      <x:c r="A6080" t="str">
        <x:v>SYN0006079</x:v>
      </x:c>
      <x:c r="B6080" s="12" t="n">
        <x:v>41815</x:v>
      </x:c>
      <x:c r="C6080" s="18" t="n">
        <x:v>15656</x:v>
      </x:c>
      <x:c r="D6080" s="18" t="n">
        <x:v>53247</x:v>
      </x:c>
      <x:c r="E6080" s="18" t="n">
        <x:v>12.12</x:v>
      </x:c>
      <x:c r="F6080" s="18" t="n">
        <x:v>22.31</x:v>
      </x:c>
      <x:c r="G6080" t="n">
        <x:v>36</x:v>
      </x:c>
      <x:c r="H6080" t="str">
        <x:v>F</x:v>
      </x:c>
      <x:c r="I6080" t="str">
        <x:v>4-6 years</x:v>
      </x:c>
      <x:c r="J6080" t="str">
        <x:v>MORTGAGE</x:v>
      </x:c>
      <x:c r="K6080" t="str">
        <x:v>debt_consolidation</x:v>
      </x:c>
      <x:c r="L6080" t="n">
        <x:v>0</x:v>
      </x:c>
      <x:c r="M6080" t="n">
        <x:v>0</x:v>
      </x:c>
      <x:c r="N6080" t="str">
        <x:v>Fully Paid</x:v>
      </x:c>
      <x:c r="O6080" t="str">
        <x:f>IF(D6080="","Unknown",IF(D6080&lt;25000,"&lt;$25k",IF(D6080&lt;50000,"$25k-$50k",IF(D6080&lt;75000,"$50k-$75k",IF(D6080&lt;100000,"$75k-$100k","$100k+")))))</x:f>
        <x:v>$50k-$75k</x:v>
      </x:c>
      <x:c r="P6080" t="str">
        <x:f>IF(E6080="","Unknown",IF(E6080&lt;10,"&lt;10",IF(E6080&lt;20,"10-&lt;20",IF(E6080&lt;25,"20-&lt;25",IF(E6080&lt;35,"25-&lt;35","35+")))))</x:f>
        <x:v>10-&lt;20</x:v>
      </x:c>
    </x:row>
    <x:row r="6081">
      <x:c r="A6081" t="str">
        <x:v>SYN0006080</x:v>
      </x:c>
      <x:c r="B6081" s="12" t="n">
        <x:v>42655</x:v>
      </x:c>
      <x:c r="C6081" s="18" t="n">
        <x:v>13978</x:v>
      </x:c>
      <x:c r="D6081" s="18" t="n">
        <x:v>133410</x:v>
      </x:c>
      <x:c r="E6081" s="18" t="n">
        <x:v>27.37</x:v>
      </x:c>
      <x:c r="F6081" s="18" t="n">
        <x:v>12.11</x:v>
      </x:c>
      <x:c r="G6081" t="n">
        <x:v>60</x:v>
      </x:c>
      <x:c r="H6081" t="str">
        <x:v>D</x:v>
      </x:c>
      <x:c r="I6081" t="str">
        <x:v>7-9 years</x:v>
      </x:c>
      <x:c r="J6081" t="str">
        <x:v>MORTGAGE</x:v>
      </x:c>
      <x:c r="K6081" t="str">
        <x:v>home_improvement</x:v>
      </x:c>
      <x:c r="L6081" t="n">
        <x:v>0</x:v>
      </x:c>
      <x:c r="M6081" t="n">
        <x:v>0</x:v>
      </x:c>
      <x:c r="N6081" t="str">
        <x:v>Fully Paid</x:v>
      </x:c>
      <x:c r="O6081" t="str">
        <x:f>IF(D6081="","Unknown",IF(D6081&lt;25000,"&lt;$25k",IF(D6081&lt;50000,"$25k-$50k",IF(D6081&lt;75000,"$50k-$75k",IF(D6081&lt;100000,"$75k-$100k","$100k+")))))</x:f>
        <x:v>$100k+</x:v>
      </x:c>
      <x:c r="P6081" t="str">
        <x:f>IF(E6081="","Unknown",IF(E6081&lt;10,"&lt;10",IF(E6081&lt;20,"10-&lt;20",IF(E6081&lt;25,"20-&lt;25",IF(E6081&lt;35,"25-&lt;35","35+")))))</x:f>
        <x:v>25-&lt;35</x:v>
      </x:c>
    </x:row>
    <x:row r="6082">
      <x:c r="A6082" t="str">
        <x:v>SYN0006081</x:v>
      </x:c>
      <x:c r="B6082" s="12" t="n">
        <x:v>42895</x:v>
      </x:c>
      <x:c r="C6082" s="18" t="n">
        <x:v>9799</x:v>
      </x:c>
      <x:c r="D6082" s="18" t="n">
        <x:v>89909</x:v>
      </x:c>
      <x:c r="E6082" s="18" t="n">
        <x:v>22.5</x:v>
      </x:c>
      <x:c r="F6082" s="18" t="n">
        <x:v>7.59</x:v>
      </x:c>
      <x:c r="G6082" t="n">
        <x:v>60</x:v>
      </x:c>
      <x:c r="H6082" t="str">
        <x:v>A</x:v>
      </x:c>
      <x:c r="I6082" t="str">
        <x:v>10+ years</x:v>
      </x:c>
      <x:c r="J6082" t="str">
        <x:v>MORTGAGE</x:v>
      </x:c>
      <x:c r="K6082" t="str">
        <x:v>other</x:v>
      </x:c>
      <x:c r="L6082" t="n">
        <x:v>0</x:v>
      </x:c>
      <x:c r="M6082" t="n">
        <x:v>0</x:v>
      </x:c>
      <x:c r="N6082" t="str">
        <x:v>Fully Paid</x:v>
      </x:c>
      <x:c r="O6082" t="str">
        <x:f>IF(D6082="","Unknown",IF(D6082&lt;25000,"&lt;$25k",IF(D6082&lt;50000,"$25k-$50k",IF(D6082&lt;75000,"$50k-$75k",IF(D6082&lt;100000,"$75k-$100k","$100k+")))))</x:f>
        <x:v>$75k-$100k</x:v>
      </x:c>
      <x:c r="P6082" t="str">
        <x:f>IF(E6082="","Unknown",IF(E6082&lt;10,"&lt;10",IF(E6082&lt;20,"10-&lt;20",IF(E6082&lt;25,"20-&lt;25",IF(E6082&lt;35,"25-&lt;35","35+")))))</x:f>
        <x:v>20-&lt;25</x:v>
      </x:c>
    </x:row>
    <x:row r="6083">
      <x:c r="A6083" t="str">
        <x:v>SYN0006082</x:v>
      </x:c>
      <x:c r="B6083" s="12" t="n">
        <x:v>43315</x:v>
      </x:c>
      <x:c r="C6083" s="18" t="n">
        <x:v>14453</x:v>
      </x:c>
      <x:c r="D6083" s="18" t="n">
        <x:v>50091</x:v>
      </x:c>
      <x:c r="E6083" s="18" t="n">
        <x:v>19.57</x:v>
      </x:c>
      <x:c r="F6083" s="18" t="n">
        <x:v>10.44</x:v>
      </x:c>
      <x:c r="G6083" t="n">
        <x:v>36</x:v>
      </x:c>
      <x:c r="H6083" t="str">
        <x:v>C</x:v>
      </x:c>
      <x:c r="I6083" t="str">
        <x:v>1-3 years</x:v>
      </x:c>
      <x:c r="J6083" t="str">
        <x:v>MORTGAGE</x:v>
      </x:c>
      <x:c r="K6083" t="str">
        <x:v>debt_consolidation</x:v>
      </x:c>
      <x:c r="L6083" t="n">
        <x:v>0</x:v>
      </x:c>
      <x:c r="M6083" t="n">
        <x:v>0</x:v>
      </x:c>
      <x:c r="N6083" t="str">
        <x:v>Fully Paid</x:v>
      </x:c>
      <x:c r="O6083" t="str">
        <x:f>IF(D6083="","Unknown",IF(D6083&lt;25000,"&lt;$25k",IF(D6083&lt;50000,"$25k-$50k",IF(D6083&lt;75000,"$50k-$75k",IF(D6083&lt;100000,"$75k-$100k","$100k+")))))</x:f>
        <x:v>$50k-$75k</x:v>
      </x:c>
      <x:c r="P6083" t="str">
        <x:f>IF(E6083="","Unknown",IF(E6083&lt;10,"&lt;10",IF(E6083&lt;20,"10-&lt;20",IF(E6083&lt;25,"20-&lt;25",IF(E6083&lt;35,"25-&lt;35","35+")))))</x:f>
        <x:v>10-&lt;20</x:v>
      </x:c>
    </x:row>
    <x:row r="6084">
      <x:c r="A6084" t="str">
        <x:v>SYN0006083</x:v>
      </x:c>
      <x:c r="B6084" s="12" t="n">
        <x:v>43015</x:v>
      </x:c>
      <x:c r="C6084" s="18" t="n">
        <x:v>14345</x:v>
      </x:c>
      <x:c r="D6084" s="18" t="n">
        <x:v>144377</x:v>
      </x:c>
      <x:c r="E6084" s="18" t="n">
        <x:v>10.44</x:v>
      </x:c>
      <x:c r="F6084" s="18" t="n">
        <x:v>8.32</x:v>
      </x:c>
      <x:c r="G6084" t="n">
        <x:v>60</x:v>
      </x:c>
      <x:c r="H6084" t="str">
        <x:v>B</x:v>
      </x:c>
      <x:c r="I6084" t="str">
        <x:v>4-6 years</x:v>
      </x:c>
      <x:c r="J6084" t="str">
        <x:v>MORTGAGE</x:v>
      </x:c>
      <x:c r="K6084" t="str">
        <x:v>debt_consolidation</x:v>
      </x:c>
      <x:c r="L6084" t="n">
        <x:v>1</x:v>
      </x:c>
      <x:c r="M6084" t="n">
        <x:v>0</x:v>
      </x:c>
      <x:c r="N6084" t="str">
        <x:v>Fully Paid</x:v>
      </x:c>
      <x:c r="O6084" t="str">
        <x:f>IF(D6084="","Unknown",IF(D6084&lt;25000,"&lt;$25k",IF(D6084&lt;50000,"$25k-$50k",IF(D6084&lt;75000,"$50k-$75k",IF(D6084&lt;100000,"$75k-$100k","$100k+")))))</x:f>
        <x:v>$100k+</x:v>
      </x:c>
      <x:c r="P6084" t="str">
        <x:f>IF(E6084="","Unknown",IF(E6084&lt;10,"&lt;10",IF(E6084&lt;20,"10-&lt;20",IF(E6084&lt;25,"20-&lt;25",IF(E6084&lt;35,"25-&lt;35","35+")))))</x:f>
        <x:v>10-&lt;20</x:v>
      </x:c>
    </x:row>
    <x:row r="6085">
      <x:c r="A6085" t="str">
        <x:v>SYN0006084</x:v>
      </x:c>
      <x:c r="B6085" s="12" t="n">
        <x:v>41815</x:v>
      </x:c>
      <x:c r="C6085" s="18" t="n">
        <x:v>8590</x:v>
      </x:c>
      <x:c r="D6085" s="18" t="n">
        <x:v>95616</x:v>
      </x:c>
      <x:c r="E6085" s="18" t="n">
        <x:v>28.61</x:v>
      </x:c>
      <x:c r="F6085" s="18" t="n">
        <x:v>14.73</x:v>
      </x:c>
      <x:c r="G6085" t="n">
        <x:v>36</x:v>
      </x:c>
      <x:c r="H6085" t="str">
        <x:v>D</x:v>
      </x:c>
      <x:c r="I6085" t="str">
        <x:v>1-3 years</x:v>
      </x:c>
      <x:c r="J6085" t="str">
        <x:v>MORTGAGE</x:v>
      </x:c>
      <x:c r="K6085" t="str">
        <x:v>major_purchase</x:v>
      </x:c>
      <x:c r="L6085" t="n">
        <x:v>1</x:v>
      </x:c>
      <x:c r="M6085" t="n">
        <x:v>0</x:v>
      </x:c>
      <x:c r="N6085" t="str">
        <x:v>Fully Paid</x:v>
      </x:c>
      <x:c r="O6085" t="str">
        <x:f>IF(D6085="","Unknown",IF(D6085&lt;25000,"&lt;$25k",IF(D6085&lt;50000,"$25k-$50k",IF(D6085&lt;75000,"$50k-$75k",IF(D6085&lt;100000,"$75k-$100k","$100k+")))))</x:f>
        <x:v>$75k-$100k</x:v>
      </x:c>
      <x:c r="P6085" t="str">
        <x:f>IF(E6085="","Unknown",IF(E6085&lt;10,"&lt;10",IF(E6085&lt;20,"10-&lt;20",IF(E6085&lt;25,"20-&lt;25",IF(E6085&lt;35,"25-&lt;35","35+")))))</x:f>
        <x:v>25-&lt;35</x:v>
      </x:c>
    </x:row>
    <x:row r="6086">
      <x:c r="A6086" t="str">
        <x:v>SYN0006085</x:v>
      </x:c>
      <x:c r="B6086" s="12" t="n">
        <x:v>42865</x:v>
      </x:c>
      <x:c r="C6086" s="18" t="n">
        <x:v>14076</x:v>
      </x:c>
      <x:c r="D6086" s="18" t="n">
        <x:v>77667</x:v>
      </x:c>
      <x:c r="E6086" s="18" t="n">
        <x:v>30.9</x:v>
      </x:c>
      <x:c r="F6086" s="18" t="n">
        <x:v>24.62</x:v>
      </x:c>
      <x:c r="G6086" t="n">
        <x:v>36</x:v>
      </x:c>
      <x:c r="H6086" t="str">
        <x:v>G</x:v>
      </x:c>
      <x:c r="I6086" t="str">
        <x:v>7-9 years</x:v>
      </x:c>
      <x:c r="J6086" t="str">
        <x:v>MORTGAGE</x:v>
      </x:c>
      <x:c r="K6086" t="str">
        <x:v>debt_consolidation</x:v>
      </x:c>
      <x:c r="L6086" t="n">
        <x:v>2</x:v>
      </x:c>
      <x:c r="M6086" t="n">
        <x:v>0</x:v>
      </x:c>
      <x:c r="N6086" t="str">
        <x:v>Fully Paid</x:v>
      </x:c>
      <x:c r="O6086" t="str">
        <x:f>IF(D6086="","Unknown",IF(D6086&lt;25000,"&lt;$25k",IF(D6086&lt;50000,"$25k-$50k",IF(D6086&lt;75000,"$50k-$75k",IF(D6086&lt;100000,"$75k-$100k","$100k+")))))</x:f>
        <x:v>$75k-$100k</x:v>
      </x:c>
      <x:c r="P6086" t="str">
        <x:f>IF(E6086="","Unknown",IF(E6086&lt;10,"&lt;10",IF(E6086&lt;20,"10-&lt;20",IF(E6086&lt;25,"20-&lt;25",IF(E6086&lt;35,"25-&lt;35","35+")))))</x:f>
        <x:v>25-&lt;35</x:v>
      </x:c>
    </x:row>
    <x:row r="6087">
      <x:c r="A6087" t="str">
        <x:v>SYN0006086</x:v>
      </x:c>
      <x:c r="B6087" s="12" t="n">
        <x:v>42205</x:v>
      </x:c>
      <x:c r="C6087" s="18" t="n">
        <x:v>11178</x:v>
      </x:c>
      <x:c r="D6087" s="18" t="n">
        <x:v>90005</x:v>
      </x:c>
      <x:c r="E6087" s="18" t="n">
        <x:v>23.16</x:v>
      </x:c>
      <x:c r="F6087" s="18" t="n">
        <x:v>7.17</x:v>
      </x:c>
      <x:c r="G6087" t="n">
        <x:v>36</x:v>
      </x:c>
      <x:c r="H6087" t="str">
        <x:v>B</x:v>
      </x:c>
      <x:c r="I6087" t="str">
        <x:v>10+ years</x:v>
      </x:c>
      <x:c r="J6087" t="str">
        <x:v>MORTGAGE</x:v>
      </x:c>
      <x:c r="K6087" t="str">
        <x:v>credit_card</x:v>
      </x:c>
      <x:c r="L6087" t="n">
        <x:v>0</x:v>
      </x:c>
      <x:c r="M6087" t="n">
        <x:v>0</x:v>
      </x:c>
      <x:c r="N6087" t="str">
        <x:v>Fully Paid</x:v>
      </x:c>
      <x:c r="O6087" t="str">
        <x:f>IF(D6087="","Unknown",IF(D6087&lt;25000,"&lt;$25k",IF(D6087&lt;50000,"$25k-$50k",IF(D6087&lt;75000,"$50k-$75k",IF(D6087&lt;100000,"$75k-$100k","$100k+")))))</x:f>
        <x:v>$75k-$100k</x:v>
      </x:c>
      <x:c r="P6087" t="str">
        <x:f>IF(E6087="","Unknown",IF(E6087&lt;10,"&lt;10",IF(E6087&lt;20,"10-&lt;20",IF(E6087&lt;25,"20-&lt;25",IF(E6087&lt;35,"25-&lt;35","35+")))))</x:f>
        <x:v>20-&lt;25</x:v>
      </x:c>
    </x:row>
    <x:row r="6088">
      <x:c r="A6088" t="str">
        <x:v>SYN0006087</x:v>
      </x:c>
      <x:c r="B6088" s="12" t="n">
        <x:v>41485</x:v>
      </x:c>
      <x:c r="C6088" s="18" t="n">
        <x:v>14550</x:v>
      </x:c>
      <x:c r="D6088" s="18" t="n">
        <x:v>36170</x:v>
      </x:c>
      <x:c r="E6088" s="18" t="n">
        <x:v>35.33</x:v>
      </x:c>
      <x:c r="F6088" s="18" t="n">
        <x:v>10.56</x:v>
      </x:c>
      <x:c r="G6088" t="n">
        <x:v>60</x:v>
      </x:c>
      <x:c r="H6088" t="str">
        <x:v>C</x:v>
      </x:c>
      <x:c r="I6088" t="str">
        <x:v>7-9 years</x:v>
      </x:c>
      <x:c r="J6088" t="str">
        <x:v>MORTGAGE</x:v>
      </x:c>
      <x:c r="K6088" t="str">
        <x:v>major_purchase</x:v>
      </x:c>
      <x:c r="L6088" t="n">
        <x:v>0</x:v>
      </x:c>
      <x:c r="M6088" t="n">
        <x:v>0</x:v>
      </x:c>
      <x:c r="N6088" t="str">
        <x:v>Fully Paid</x:v>
      </x:c>
      <x:c r="O6088" t="str">
        <x:f>IF(D6088="","Unknown",IF(D6088&lt;25000,"&lt;$25k",IF(D6088&lt;50000,"$25k-$50k",IF(D6088&lt;75000,"$50k-$75k",IF(D6088&lt;100000,"$75k-$100k","$100k+")))))</x:f>
        <x:v>$25k-$50k</x:v>
      </x:c>
      <x:c r="P6088" t="str">
        <x:f>IF(E6088="","Unknown",IF(E6088&lt;10,"&lt;10",IF(E6088&lt;20,"10-&lt;20",IF(E6088&lt;25,"20-&lt;25",IF(E6088&lt;35,"25-&lt;35","35+")))))</x:f>
        <x:v>35+</x:v>
      </x:c>
    </x:row>
    <x:row r="6089">
      <x:c r="A6089" t="str">
        <x:v>SYN0006088</x:v>
      </x:c>
      <x:c r="B6089" s="12" t="n">
        <x:v>42385</x:v>
      </x:c>
      <x:c r="C6089" s="18" t="n">
        <x:v>6816</x:v>
      </x:c>
      <x:c r="D6089" s="18" t="n">
        <x:v>64394</x:v>
      </x:c>
      <x:c r="E6089" s="18" t="n">
        <x:v>28.96</x:v>
      </x:c>
      <x:c r="F6089" s="18" t="n">
        <x:v>24.24</x:v>
      </x:c>
      <x:c r="G6089" t="n">
        <x:v>36</x:v>
      </x:c>
      <x:c r="H6089" t="str">
        <x:v>G</x:v>
      </x:c>
      <x:c r="I6089" t="str">
        <x:v>1-3 years</x:v>
      </x:c>
      <x:c r="J6089" t="str">
        <x:v>OWN</x:v>
      </x:c>
      <x:c r="K6089" t="str">
        <x:v>debt_consolidation</x:v>
      </x:c>
      <x:c r="L6089" t="n">
        <x:v>2</x:v>
      </x:c>
      <x:c r="M6089" t="n">
        <x:v>0</x:v>
      </x:c>
      <x:c r="N6089" t="str">
        <x:v>Fully Paid</x:v>
      </x:c>
      <x:c r="O6089" t="str">
        <x:f>IF(D6089="","Unknown",IF(D6089&lt;25000,"&lt;$25k",IF(D6089&lt;50000,"$25k-$50k",IF(D6089&lt;75000,"$50k-$75k",IF(D6089&lt;100000,"$75k-$100k","$100k+")))))</x:f>
        <x:v>$50k-$75k</x:v>
      </x:c>
      <x:c r="P6089" t="str">
        <x:f>IF(E6089="","Unknown",IF(E6089&lt;10,"&lt;10",IF(E6089&lt;20,"10-&lt;20",IF(E6089&lt;25,"20-&lt;25",IF(E6089&lt;35,"25-&lt;35","35+")))))</x:f>
        <x:v>25-&lt;35</x:v>
      </x:c>
    </x:row>
    <x:row r="6090">
      <x:c r="A6090" t="str">
        <x:v>SYN0006089</x:v>
      </x:c>
      <x:c r="B6090" s="12" t="n">
        <x:v>42385</x:v>
      </x:c>
      <x:c r="C6090" s="18" t="n">
        <x:v>19637</x:v>
      </x:c>
      <x:c r="D6090" s="18" t="n">
        <x:v>95104</x:v>
      </x:c>
      <x:c r="E6090" s="18" t="n">
        <x:v>15.73</x:v>
      </x:c>
      <x:c r="F6090" s="18" t="n">
        <x:v>6.18</x:v>
      </x:c>
      <x:c r="G6090" t="n">
        <x:v>60</x:v>
      </x:c>
      <x:c r="H6090" t="str">
        <x:v>A</x:v>
      </x:c>
      <x:c r="I6090" t="str">
        <x:v>10+ years</x:v>
      </x:c>
      <x:c r="J6090" t="str">
        <x:v>MORTGAGE</x:v>
      </x:c>
      <x:c r="K6090" t="str">
        <x:v>credit_card</x:v>
      </x:c>
      <x:c r="L6090" t="n">
        <x:v>0</x:v>
      </x:c>
      <x:c r="M6090" t="n">
        <x:v>0</x:v>
      </x:c>
      <x:c r="N6090" t="str">
        <x:v>Fully Paid</x:v>
      </x:c>
      <x:c r="O6090" t="str">
        <x:f>IF(D6090="","Unknown",IF(D6090&lt;25000,"&lt;$25k",IF(D6090&lt;50000,"$25k-$50k",IF(D6090&lt;75000,"$50k-$75k",IF(D6090&lt;100000,"$75k-$100k","$100k+")))))</x:f>
        <x:v>$75k-$100k</x:v>
      </x:c>
      <x:c r="P6090" t="str">
        <x:f>IF(E6090="","Unknown",IF(E6090&lt;10,"&lt;10",IF(E6090&lt;20,"10-&lt;20",IF(E6090&lt;25,"20-&lt;25",IF(E6090&lt;35,"25-&lt;35","35+")))))</x:f>
        <x:v>10-&lt;20</x:v>
      </x:c>
    </x:row>
    <x:row r="6091">
      <x:c r="A6091" t="str">
        <x:v>SYN0006090</x:v>
      </x:c>
      <x:c r="B6091" s="12" t="n">
        <x:v>43165</x:v>
      </x:c>
      <x:c r="C6091" s="18" t="n">
        <x:v>12145</x:v>
      </x:c>
      <x:c r="D6091" s="18" t="n">
        <x:v>25619</x:v>
      </x:c>
      <x:c r="E6091" s="18" t="n">
        <x:v>26.13</x:v>
      </x:c>
      <x:c r="F6091" s="18" t="n">
        <x:v>10.61</x:v>
      </x:c>
      <x:c r="G6091" t="n">
        <x:v>36</x:v>
      </x:c>
      <x:c r="H6091" t="str">
        <x:v>C</x:v>
      </x:c>
      <x:c r="I6091" t="str">
        <x:v>7-9 years</x:v>
      </x:c>
      <x:c r="J6091" t="str">
        <x:v>OWN</x:v>
      </x:c>
      <x:c r="K6091" t="str">
        <x:v>home_improvement</x:v>
      </x:c>
      <x:c r="L6091" t="n">
        <x:v>0</x:v>
      </x:c>
      <x:c r="M6091" t="n">
        <x:v>0</x:v>
      </x:c>
      <x:c r="N6091" t="str">
        <x:v>Fully Paid</x:v>
      </x:c>
      <x:c r="O6091" t="str">
        <x:f>IF(D6091="","Unknown",IF(D6091&lt;25000,"&lt;$25k",IF(D6091&lt;50000,"$25k-$50k",IF(D6091&lt;75000,"$50k-$75k",IF(D6091&lt;100000,"$75k-$100k","$100k+")))))</x:f>
        <x:v>$25k-$50k</x:v>
      </x:c>
      <x:c r="P6091" t="str">
        <x:f>IF(E6091="","Unknown",IF(E6091&lt;10,"&lt;10",IF(E6091&lt;20,"10-&lt;20",IF(E6091&lt;25,"20-&lt;25",IF(E6091&lt;35,"25-&lt;35","35+")))))</x:f>
        <x:v>25-&lt;35</x:v>
      </x:c>
    </x:row>
    <x:row r="6092">
      <x:c r="A6092" t="str">
        <x:v>SYN0006091</x:v>
      </x:c>
      <x:c r="B6092" s="12" t="n">
        <x:v>42985</x:v>
      </x:c>
      <x:c r="C6092" s="18" t="n">
        <x:v>18847</x:v>
      </x:c>
      <x:c r="D6092" s="18" t="n">
        <x:v>24604</x:v>
      </x:c>
      <x:c r="E6092" s="18" t="n">
        <x:v>16.49</x:v>
      </x:c>
      <x:c r="F6092" s="18" t="n">
        <x:v>14.93</x:v>
      </x:c>
      <x:c r="G6092" t="n">
        <x:v>36</x:v>
      </x:c>
      <x:c r="H6092" t="str">
        <x:v>D</x:v>
      </x:c>
      <x:c r="I6092" t="str">
        <x:v>4-6 years</x:v>
      </x:c>
      <x:c r="J6092" t="str">
        <x:v>OWN</x:v>
      </x:c>
      <x:c r="K6092" t="str">
        <x:v>credit_card</x:v>
      </x:c>
      <x:c r="L6092" t="n">
        <x:v>1</x:v>
      </x:c>
      <x:c r="M6092" t="n">
        <x:v>0</x:v>
      </x:c>
      <x:c r="N6092" t="str">
        <x:v>Fully Paid</x:v>
      </x:c>
      <x:c r="O6092" t="str">
        <x:f>IF(D6092="","Unknown",IF(D6092&lt;25000,"&lt;$25k",IF(D6092&lt;50000,"$25k-$50k",IF(D6092&lt;75000,"$50k-$75k",IF(D6092&lt;100000,"$75k-$100k","$100k+")))))</x:f>
        <x:v>&lt;$25k</x:v>
      </x:c>
      <x:c r="P6092" t="str">
        <x:f>IF(E6092="","Unknown",IF(E6092&lt;10,"&lt;10",IF(E6092&lt;20,"10-&lt;20",IF(E6092&lt;25,"20-&lt;25",IF(E6092&lt;35,"25-&lt;35","35+")))))</x:f>
        <x:v>10-&lt;20</x:v>
      </x:c>
    </x:row>
    <x:row r="6093">
      <x:c r="A6093" t="str">
        <x:v>SYN0006092</x:v>
      </x:c>
      <x:c r="B6093" s="12" t="n">
        <x:v>43195</x:v>
      </x:c>
      <x:c r="C6093" s="18" t="n">
        <x:v>21596</x:v>
      </x:c>
      <x:c r="D6093" s="18" t="n">
        <x:v>23834</x:v>
      </x:c>
      <x:c r="E6093" s="18" t="n">
        <x:v>22.77</x:v>
      </x:c>
      <x:c r="F6093" s="18" t="n">
        <x:v>12.23</x:v>
      </x:c>
      <x:c r="G6093" t="n">
        <x:v>60</x:v>
      </x:c>
      <x:c r="H6093" t="str">
        <x:v>C</x:v>
      </x:c>
      <x:c r="I6093" t="str">
        <x:v>4-6 years</x:v>
      </x:c>
      <x:c r="J6093" t="str">
        <x:v>OWN</x:v>
      </x:c>
      <x:c r="K6093" t="str">
        <x:v>debt_consolidation</x:v>
      </x:c>
      <x:c r="L6093" t="n">
        <x:v>1</x:v>
      </x:c>
      <x:c r="M6093" t="n">
        <x:v>1</x:v>
      </x:c>
      <x:c r="N6093" t="str">
        <x:v>Charged Off</x:v>
      </x:c>
      <x:c r="O6093" t="str">
        <x:f>IF(D6093="","Unknown",IF(D6093&lt;25000,"&lt;$25k",IF(D6093&lt;50000,"$25k-$50k",IF(D6093&lt;75000,"$50k-$75k",IF(D6093&lt;100000,"$75k-$100k","$100k+")))))</x:f>
        <x:v>&lt;$25k</x:v>
      </x:c>
      <x:c r="P6093" t="str">
        <x:f>IF(E6093="","Unknown",IF(E6093&lt;10,"&lt;10",IF(E6093&lt;20,"10-&lt;20",IF(E6093&lt;25,"20-&lt;25",IF(E6093&lt;35,"25-&lt;35","35+")))))</x:f>
        <x:v>20-&lt;25</x:v>
      </x:c>
    </x:row>
    <x:row r="6094">
      <x:c r="A6094" t="str">
        <x:v>SYN0006093</x:v>
      </x:c>
      <x:c r="B6094" s="12" t="n">
        <x:v>42715</x:v>
      </x:c>
      <x:c r="C6094" s="18" t="n">
        <x:v>22203</x:v>
      </x:c>
      <x:c r="D6094" s="18" t="n">
        <x:v>50743</x:v>
      </x:c>
      <x:c r="E6094" s="18" t="n">
        <x:v>23.3</x:v>
      </x:c>
      <x:c r="F6094" s="18" t="n">
        <x:v>12.89</x:v>
      </x:c>
      <x:c r="G6094" t="n">
        <x:v>36</x:v>
      </x:c>
      <x:c r="H6094" t="str">
        <x:v>C</x:v>
      </x:c>
      <x:c r="I6094" t="str">
        <x:v>4-6 years</x:v>
      </x:c>
      <x:c r="J6094" t="str">
        <x:v>OWN</x:v>
      </x:c>
      <x:c r="K6094" t="str">
        <x:v>major_purchase</x:v>
      </x:c>
      <x:c r="L6094" t="n">
        <x:v>0</x:v>
      </x:c>
      <x:c r="M6094" t="n">
        <x:v>0</x:v>
      </x:c>
      <x:c r="N6094" t="str">
        <x:v>Fully Paid</x:v>
      </x:c>
      <x:c r="O6094" t="str">
        <x:f>IF(D6094="","Unknown",IF(D6094&lt;25000,"&lt;$25k",IF(D6094&lt;50000,"$25k-$50k",IF(D6094&lt;75000,"$50k-$75k",IF(D6094&lt;100000,"$75k-$100k","$100k+")))))</x:f>
        <x:v>$50k-$75k</x:v>
      </x:c>
      <x:c r="P6094" t="str">
        <x:f>IF(E6094="","Unknown",IF(E6094&lt;10,"&lt;10",IF(E6094&lt;20,"10-&lt;20",IF(E6094&lt;25,"20-&lt;25",IF(E6094&lt;35,"25-&lt;35","35+")))))</x:f>
        <x:v>20-&lt;25</x:v>
      </x:c>
    </x:row>
    <x:row r="6095">
      <x:c r="A6095" t="str">
        <x:v>SYN0006094</x:v>
      </x:c>
      <x:c r="B6095" s="12" t="n">
        <x:v>42925</x:v>
      </x:c>
      <x:c r="C6095" s="18" t="n">
        <x:v>7713</x:v>
      </x:c>
      <x:c r="D6095" s="18" t="n">
        <x:v>105147</x:v>
      </x:c>
      <x:c r="E6095" s="18" t="n">
        <x:v>21.63</x:v>
      </x:c>
      <x:c r="F6095" s="18" t="n">
        <x:v>5.15</x:v>
      </x:c>
      <x:c r="G6095" t="n">
        <x:v>60</x:v>
      </x:c>
      <x:c r="H6095" t="str">
        <x:v>A</x:v>
      </x:c>
      <x:c r="I6095" t="str">
        <x:v>10+ years</x:v>
      </x:c>
      <x:c r="J6095" t="str">
        <x:v>MORTGAGE</x:v>
      </x:c>
      <x:c r="K6095" t="str">
        <x:v>home_improvement</x:v>
      </x:c>
      <x:c r="L6095" t="n">
        <x:v>0</x:v>
      </x:c>
      <x:c r="M6095" t="n">
        <x:v>0</x:v>
      </x:c>
      <x:c r="N6095" t="str">
        <x:v>Fully Paid</x:v>
      </x:c>
      <x:c r="O6095" t="str">
        <x:f>IF(D6095="","Unknown",IF(D6095&lt;25000,"&lt;$25k",IF(D6095&lt;50000,"$25k-$50k",IF(D6095&lt;75000,"$50k-$75k",IF(D6095&lt;100000,"$75k-$100k","$100k+")))))</x:f>
        <x:v>$100k+</x:v>
      </x:c>
      <x:c r="P6095" t="str">
        <x:f>IF(E6095="","Unknown",IF(E6095&lt;10,"&lt;10",IF(E6095&lt;20,"10-&lt;20",IF(E6095&lt;25,"20-&lt;25",IF(E6095&lt;35,"25-&lt;35","35+")))))</x:f>
        <x:v>20-&lt;25</x:v>
      </x:c>
    </x:row>
    <x:row r="6096">
      <x:c r="A6096" t="str">
        <x:v>SYN0006095</x:v>
      </x:c>
      <x:c r="B6096" s="12" t="n">
        <x:v>42775</x:v>
      </x:c>
      <x:c r="C6096" s="18" t="n">
        <x:v>9877</x:v>
      </x:c>
      <x:c r="D6096" s="18" t="n">
        <x:v>40944</x:v>
      </x:c>
      <x:c r="E6096" s="18" t="n">
        <x:v>16.64</x:v>
      </x:c>
      <x:c r="F6096" s="18" t="n">
        <x:v>15.15</x:v>
      </x:c>
      <x:c r="G6096" t="n">
        <x:v>36</x:v>
      </x:c>
      <x:c r="H6096" t="str">
        <x:v>D</x:v>
      </x:c>
      <x:c r="I6096" t="str">
        <x:v>10+ years</x:v>
      </x:c>
      <x:c r="J6096" t="str">
        <x:v>MORTGAGE</x:v>
      </x:c>
      <x:c r="K6096" t="str">
        <x:v>other</x:v>
      </x:c>
      <x:c r="L6096" t="n">
        <x:v>0</x:v>
      </x:c>
      <x:c r="M6096" t="n">
        <x:v>0</x:v>
      </x:c>
      <x:c r="N6096" t="str">
        <x:v>Fully Paid</x:v>
      </x:c>
      <x:c r="O6096" t="str">
        <x:f>IF(D6096="","Unknown",IF(D6096&lt;25000,"&lt;$25k",IF(D6096&lt;50000,"$25k-$50k",IF(D6096&lt;75000,"$50k-$75k",IF(D6096&lt;100000,"$75k-$100k","$100k+")))))</x:f>
        <x:v>$25k-$50k</x:v>
      </x:c>
      <x:c r="P6096" t="str">
        <x:f>IF(E6096="","Unknown",IF(E6096&lt;10,"&lt;10",IF(E6096&lt;20,"10-&lt;20",IF(E6096&lt;25,"20-&lt;25",IF(E6096&lt;35,"25-&lt;35","35+")))))</x:f>
        <x:v>10-&lt;20</x:v>
      </x:c>
    </x:row>
    <x:row r="6097">
      <x:c r="A6097" t="str">
        <x:v>SYN0006096</x:v>
      </x:c>
      <x:c r="B6097" s="12" t="n">
        <x:v>42415</x:v>
      </x:c>
      <x:c r="C6097" s="18" t="n">
        <x:v>16270</x:v>
      </x:c>
      <x:c r="D6097" s="18" t="n">
        <x:v>56421</x:v>
      </x:c>
      <x:c r="E6097" s="18" t="n">
        <x:v>7.85</x:v>
      </x:c>
      <x:c r="F6097" s="18" t="n">
        <x:v>12.15</x:v>
      </x:c>
      <x:c r="G6097" t="n">
        <x:v>60</x:v>
      </x:c>
      <x:c r="H6097" t="str">
        <x:v>C</x:v>
      </x:c>
      <x:c r="I6097" t="str">
        <x:v>4-6 years</x:v>
      </x:c>
      <x:c r="J6097" t="str">
        <x:v>MORTGAGE</x:v>
      </x:c>
      <x:c r="K6097" t="str">
        <x:v>major_purchase</x:v>
      </x:c>
      <x:c r="L6097" t="n">
        <x:v>0</x:v>
      </x:c>
      <x:c r="M6097" t="n">
        <x:v>0</x:v>
      </x:c>
      <x:c r="N6097" t="str">
        <x:v>Fully Paid</x:v>
      </x:c>
      <x:c r="O6097" t="str">
        <x:f>IF(D6097="","Unknown",IF(D6097&lt;25000,"&lt;$25k",IF(D6097&lt;50000,"$25k-$50k",IF(D6097&lt;75000,"$50k-$75k",IF(D6097&lt;100000,"$75k-$100k","$100k+")))))</x:f>
        <x:v>$50k-$75k</x:v>
      </x:c>
      <x:c r="P6097" t="str">
        <x:f>IF(E6097="","Unknown",IF(E6097&lt;10,"&lt;10",IF(E6097&lt;20,"10-&lt;20",IF(E6097&lt;25,"20-&lt;25",IF(E6097&lt;35,"25-&lt;35","35+")))))</x:f>
        <x:v>&lt;10</x:v>
      </x:c>
    </x:row>
    <x:row r="6098">
      <x:c r="A6098" t="str">
        <x:v>SYN0006097</x:v>
      </x:c>
      <x:c r="B6098" s="12" t="n">
        <x:v>42955</x:v>
      </x:c>
      <x:c r="C6098" s="18" t="n">
        <x:v>5013</x:v>
      </x:c>
      <x:c r="D6098" s="18" t="n">
        <x:v>57643</x:v>
      </x:c>
      <x:c r="E6098" s="18" t="n">
        <x:v>19</x:v>
      </x:c>
      <x:c r="F6098" s="18" t="n">
        <x:v>14.6</x:v>
      </x:c>
      <x:c r="G6098" t="n">
        <x:v>60</x:v>
      </x:c>
      <x:c r="H6098" t="str">
        <x:v>D</x:v>
      </x:c>
      <x:c r="I6098" t="str">
        <x:v>7-9 years</x:v>
      </x:c>
      <x:c r="J6098" t="str">
        <x:v>OTHER</x:v>
      </x:c>
      <x:c r="K6098" t="str">
        <x:v>credit_card</x:v>
      </x:c>
      <x:c r="L6098" t="n">
        <x:v>2</x:v>
      </x:c>
      <x:c r="M6098" t="n">
        <x:v>0</x:v>
      </x:c>
      <x:c r="N6098" t="str">
        <x:v>Fully Paid</x:v>
      </x:c>
      <x:c r="O6098" t="str">
        <x:f>IF(D6098="","Unknown",IF(D6098&lt;25000,"&lt;$25k",IF(D6098&lt;50000,"$25k-$50k",IF(D6098&lt;75000,"$50k-$75k",IF(D6098&lt;100000,"$75k-$100k","$100k+")))))</x:f>
        <x:v>$50k-$75k</x:v>
      </x:c>
      <x:c r="P6098" t="str">
        <x:f>IF(E6098="","Unknown",IF(E6098&lt;10,"&lt;10",IF(E6098&lt;20,"10-&lt;20",IF(E6098&lt;25,"20-&lt;25",IF(E6098&lt;35,"25-&lt;35","35+")))))</x:f>
        <x:v>10-&lt;20</x:v>
      </x:c>
    </x:row>
    <x:row r="6099">
      <x:c r="A6099" t="str">
        <x:v>SYN0006098</x:v>
      </x:c>
      <x:c r="B6099" s="12" t="n">
        <x:v>41455</x:v>
      </x:c>
      <x:c r="C6099" s="18" t="n">
        <x:v>8224</x:v>
      </x:c>
      <x:c r="D6099" s="18" t="n">
        <x:v>83639</x:v>
      </x:c>
      <x:c r="E6099" s="18" t="n">
        <x:v>27.16</x:v>
      </x:c>
      <x:c r="F6099" s="18" t="n">
        <x:v>19.49</x:v>
      </x:c>
      <x:c r="G6099" t="n">
        <x:v>60</x:v>
      </x:c>
      <x:c r="H6099" t="str">
        <x:v>E</x:v>
      </x:c>
      <x:c r="I6099" t="str">
        <x:v>1-3 years</x:v>
      </x:c>
      <x:c r="J6099" t="str">
        <x:v>RENT</x:v>
      </x:c>
      <x:c r="K6099" t="str">
        <x:v>credit_card</x:v>
      </x:c>
      <x:c r="L6099" t="n">
        <x:v>2</x:v>
      </x:c>
      <x:c r="M6099" t="n">
        <x:v>0</x:v>
      </x:c>
      <x:c r="N6099" t="str">
        <x:v>Fully Paid</x:v>
      </x:c>
      <x:c r="O6099" t="str">
        <x:f>IF(D6099="","Unknown",IF(D6099&lt;25000,"&lt;$25k",IF(D6099&lt;50000,"$25k-$50k",IF(D6099&lt;75000,"$50k-$75k",IF(D6099&lt;100000,"$75k-$100k","$100k+")))))</x:f>
        <x:v>$75k-$100k</x:v>
      </x:c>
      <x:c r="P6099" t="str">
        <x:f>IF(E6099="","Unknown",IF(E6099&lt;10,"&lt;10",IF(E6099&lt;20,"10-&lt;20",IF(E6099&lt;25,"20-&lt;25",IF(E6099&lt;35,"25-&lt;35","35+")))))</x:f>
        <x:v>25-&lt;35</x:v>
      </x:c>
    </x:row>
    <x:row r="6100">
      <x:c r="A6100" t="str">
        <x:v>SYN0006099</x:v>
      </x:c>
      <x:c r="B6100" s="12" t="n">
        <x:v>41515</x:v>
      </x:c>
      <x:c r="C6100" s="18" t="n">
        <x:v>15645</x:v>
      </x:c>
      <x:c r="D6100" s="18" t="n">
        <x:v>30684</x:v>
      </x:c>
      <x:c r="E6100" s="18" t="n">
        <x:v>23.14</x:v>
      </x:c>
      <x:c r="F6100" s="18" t="n">
        <x:v>9.97</x:v>
      </x:c>
      <x:c r="G6100" t="n">
        <x:v>60</x:v>
      </x:c>
      <x:c r="H6100" t="str">
        <x:v>B</x:v>
      </x:c>
      <x:c r="I6100" t="str">
        <x:v>1-3 years</x:v>
      </x:c>
      <x:c r="J6100" t="str">
        <x:v>MORTGAGE</x:v>
      </x:c>
      <x:c r="K6100" t="str">
        <x:v>debt_consolidation</x:v>
      </x:c>
      <x:c r="L6100" t="n">
        <x:v>0</x:v>
      </x:c>
      <x:c r="M6100" t="n">
        <x:v>0</x:v>
      </x:c>
      <x:c r="N6100" t="str">
        <x:v>Fully Paid</x:v>
      </x:c>
      <x:c r="O6100" t="str">
        <x:f>IF(D6100="","Unknown",IF(D6100&lt;25000,"&lt;$25k",IF(D6100&lt;50000,"$25k-$50k",IF(D6100&lt;75000,"$50k-$75k",IF(D6100&lt;100000,"$75k-$100k","$100k+")))))</x:f>
        <x:v>$25k-$50k</x:v>
      </x:c>
      <x:c r="P6100" t="str">
        <x:f>IF(E6100="","Unknown",IF(E6100&lt;10,"&lt;10",IF(E6100&lt;20,"10-&lt;20",IF(E6100&lt;25,"20-&lt;25",IF(E6100&lt;35,"25-&lt;35","35+")))))</x:f>
        <x:v>20-&lt;25</x:v>
      </x:c>
    </x:row>
    <x:row r="6101">
      <x:c r="A6101" t="str">
        <x:v>SYN0006100</x:v>
      </x:c>
      <x:c r="B6101" s="12" t="n">
        <x:v>41275</x:v>
      </x:c>
      <x:c r="C6101" s="18" t="n">
        <x:v>6732</x:v>
      </x:c>
      <x:c r="D6101" s="18" t="n">
        <x:v>42464</x:v>
      </x:c>
      <x:c r="E6101" s="18" t="n">
        <x:v>16.2</x:v>
      </x:c>
      <x:c r="F6101" s="18" t="n">
        <x:v>8.9</x:v>
      </x:c>
      <x:c r="G6101" t="n">
        <x:v>60</x:v>
      </x:c>
      <x:c r="H6101" t="str">
        <x:v>B</x:v>
      </x:c>
      <x:c r="I6101" t="str">
        <x:v>4-6 years</x:v>
      </x:c>
      <x:c r="J6101" t="str">
        <x:v>OWN</x:v>
      </x:c>
      <x:c r="K6101" t="str">
        <x:v>medical</x:v>
      </x:c>
      <x:c r="L6101" t="n">
        <x:v>0</x:v>
      </x:c>
      <x:c r="M6101" t="n">
        <x:v>1</x:v>
      </x:c>
      <x:c r="N6101" t="str">
        <x:v>Charged Off</x:v>
      </x:c>
      <x:c r="O6101" t="str">
        <x:f>IF(D6101="","Unknown",IF(D6101&lt;25000,"&lt;$25k",IF(D6101&lt;50000,"$25k-$50k",IF(D6101&lt;75000,"$50k-$75k",IF(D6101&lt;100000,"$75k-$100k","$100k+")))))</x:f>
        <x:v>$25k-$50k</x:v>
      </x:c>
      <x:c r="P6101" t="str">
        <x:f>IF(E6101="","Unknown",IF(E6101&lt;10,"&lt;10",IF(E6101&lt;20,"10-&lt;20",IF(E6101&lt;25,"20-&lt;25",IF(E6101&lt;35,"25-&lt;35","35+")))))</x:f>
        <x:v>10-&lt;20</x:v>
      </x:c>
    </x:row>
    <x:row r="6102">
      <x:c r="A6102" t="str">
        <x:v>SYN0006101</x:v>
      </x:c>
      <x:c r="B6102" s="12" t="n">
        <x:v>41485</x:v>
      </x:c>
      <x:c r="C6102" s="18" t="n">
        <x:v>9115</x:v>
      </x:c>
      <x:c r="D6102" s="18" t="n">
        <x:v>166639</x:v>
      </x:c>
      <x:c r="E6102" s="18" t="n">
        <x:v>14.11</x:v>
      </x:c>
      <x:c r="F6102" s="18" t="n">
        <x:v>8.5</x:v>
      </x:c>
      <x:c r="G6102" t="n">
        <x:v>36</x:v>
      </x:c>
      <x:c r="H6102" t="str">
        <x:v>B</x:v>
      </x:c>
      <x:c r="I6102" t="str">
        <x:v>&lt;1 year</x:v>
      </x:c>
      <x:c r="J6102" t="str">
        <x:v>RENT</x:v>
      </x:c>
      <x:c r="K6102" t="str">
        <x:v>debt_consolidation</x:v>
      </x:c>
      <x:c r="L6102" t="n">
        <x:v>1</x:v>
      </x:c>
      <x:c r="M6102" t="n">
        <x:v>0</x:v>
      </x:c>
      <x:c r="N6102" t="str">
        <x:v>Fully Paid</x:v>
      </x:c>
      <x:c r="O6102" t="str">
        <x:f>IF(D6102="","Unknown",IF(D6102&lt;25000,"&lt;$25k",IF(D6102&lt;50000,"$25k-$50k",IF(D6102&lt;75000,"$50k-$75k",IF(D6102&lt;100000,"$75k-$100k","$100k+")))))</x:f>
        <x:v>$100k+</x:v>
      </x:c>
      <x:c r="P6102" t="str">
        <x:f>IF(E6102="","Unknown",IF(E6102&lt;10,"&lt;10",IF(E6102&lt;20,"10-&lt;20",IF(E6102&lt;25,"20-&lt;25",IF(E6102&lt;35,"25-&lt;35","35+")))))</x:f>
        <x:v>10-&lt;20</x:v>
      </x:c>
    </x:row>
    <x:row r="6103">
      <x:c r="A6103" t="str">
        <x:v>SYN0006102</x:v>
      </x:c>
      <x:c r="B6103" s="12" t="n">
        <x:v>42595</x:v>
      </x:c>
      <x:c r="C6103" s="18" t="n">
        <x:v>20042</x:v>
      </x:c>
      <x:c r="D6103" s="18" t="n">
        <x:v>22403</x:v>
      </x:c>
      <x:c r="E6103" s="18" t="n">
        <x:v>34.62</x:v>
      </x:c>
      <x:c r="F6103" s="18" t="n">
        <x:v>8.35</x:v>
      </x:c>
      <x:c r="G6103" t="n">
        <x:v>36</x:v>
      </x:c>
      <x:c r="H6103" t="str">
        <x:v>C</x:v>
      </x:c>
      <x:c r="I6103" t="str">
        <x:v>7-9 years</x:v>
      </x:c>
      <x:c r="J6103" t="str">
        <x:v>RENT</x:v>
      </x:c>
      <x:c r="K6103" t="str">
        <x:v>debt_consolidation</x:v>
      </x:c>
      <x:c r="L6103" t="n">
        <x:v>0</x:v>
      </x:c>
      <x:c r="M6103" t="n">
        <x:v>1</x:v>
      </x:c>
      <x:c r="N6103" t="str">
        <x:v>Charged Off</x:v>
      </x:c>
      <x:c r="O6103" t="str">
        <x:f>IF(D6103="","Unknown",IF(D6103&lt;25000,"&lt;$25k",IF(D6103&lt;50000,"$25k-$50k",IF(D6103&lt;75000,"$50k-$75k",IF(D6103&lt;100000,"$75k-$100k","$100k+")))))</x:f>
        <x:v>&lt;$25k</x:v>
      </x:c>
      <x:c r="P6103" t="str">
        <x:f>IF(E6103="","Unknown",IF(E6103&lt;10,"&lt;10",IF(E6103&lt;20,"10-&lt;20",IF(E6103&lt;25,"20-&lt;25",IF(E6103&lt;35,"25-&lt;35","35+")))))</x:f>
        <x:v>25-&lt;35</x:v>
      </x:c>
    </x:row>
    <x:row r="6104">
      <x:c r="A6104" t="str">
        <x:v>SYN0006103</x:v>
      </x:c>
      <x:c r="B6104" s="12" t="n">
        <x:v>42265</x:v>
      </x:c>
      <x:c r="C6104" s="18" t="n">
        <x:v>3983</x:v>
      </x:c>
      <x:c r="D6104" s="18" t="n">
        <x:v>48999</x:v>
      </x:c>
      <x:c r="E6104" s="18" t="n">
        <x:v>6.64</x:v>
      </x:c>
      <x:c r="F6104" s="18" t="n">
        <x:v>14.24</x:v>
      </x:c>
      <x:c r="G6104" t="n">
        <x:v>60</x:v>
      </x:c>
      <x:c r="H6104" t="str">
        <x:v>D</x:v>
      </x:c>
      <x:c r="I6104" t="str">
        <x:v>7-9 years</x:v>
      </x:c>
      <x:c r="J6104" t="str">
        <x:v>OWN</x:v>
      </x:c>
      <x:c r="K6104" t="str">
        <x:v>debt_consolidation</x:v>
      </x:c>
      <x:c r="L6104" t="n">
        <x:v>3</x:v>
      </x:c>
      <x:c r="M6104" t="n">
        <x:v>0</x:v>
      </x:c>
      <x:c r="N6104" t="str">
        <x:v>Fully Paid</x:v>
      </x:c>
      <x:c r="O6104" t="str">
        <x:f>IF(D6104="","Unknown",IF(D6104&lt;25000,"&lt;$25k",IF(D6104&lt;50000,"$25k-$50k",IF(D6104&lt;75000,"$50k-$75k",IF(D6104&lt;100000,"$75k-$100k","$100k+")))))</x:f>
        <x:v>$25k-$50k</x:v>
      </x:c>
      <x:c r="P6104" t="str">
        <x:f>IF(E6104="","Unknown",IF(E6104&lt;10,"&lt;10",IF(E6104&lt;20,"10-&lt;20",IF(E6104&lt;25,"20-&lt;25",IF(E6104&lt;35,"25-&lt;35","35+")))))</x:f>
        <x:v>&lt;10</x:v>
      </x:c>
    </x:row>
    <x:row r="6105">
      <x:c r="A6105" t="str">
        <x:v>SYN0006104</x:v>
      </x:c>
      <x:c r="B6105" s="12" t="n">
        <x:v>41935</x:v>
      </x:c>
      <x:c r="C6105" s="18" t="n">
        <x:v>9831</x:v>
      </x:c>
      <x:c r="D6105" s="18" t="n">
        <x:v>87159</x:v>
      </x:c>
      <x:c r="E6105" s="18" t="n">
        <x:v>21.3</x:v>
      </x:c>
      <x:c r="F6105" s="18" t="n">
        <x:v>13.63</x:v>
      </x:c>
      <x:c r="G6105" t="n">
        <x:v>60</x:v>
      </x:c>
      <x:c r="H6105" t="str">
        <x:v>C</x:v>
      </x:c>
      <x:c r="I6105" t="str">
        <x:v>10+ years</x:v>
      </x:c>
      <x:c r="J6105" t="str">
        <x:v>MORTGAGE</x:v>
      </x:c>
      <x:c r="K6105" t="str">
        <x:v>home_improvement</x:v>
      </x:c>
      <x:c r="L6105" t="n">
        <x:v>0</x:v>
      </x:c>
      <x:c r="M6105" t="n">
        <x:v>0</x:v>
      </x:c>
      <x:c r="N6105" t="str">
        <x:v>Fully Paid</x:v>
      </x:c>
      <x:c r="O6105" t="str">
        <x:f>IF(D6105="","Unknown",IF(D6105&lt;25000,"&lt;$25k",IF(D6105&lt;50000,"$25k-$50k",IF(D6105&lt;75000,"$50k-$75k",IF(D6105&lt;100000,"$75k-$100k","$100k+")))))</x:f>
        <x:v>$75k-$100k</x:v>
      </x:c>
      <x:c r="P6105" t="str">
        <x:f>IF(E6105="","Unknown",IF(E6105&lt;10,"&lt;10",IF(E6105&lt;20,"10-&lt;20",IF(E6105&lt;25,"20-&lt;25",IF(E6105&lt;35,"25-&lt;35","35+")))))</x:f>
        <x:v>20-&lt;25</x:v>
      </x:c>
    </x:row>
    <x:row r="6106">
      <x:c r="A6106" t="str">
        <x:v>SYN0006105</x:v>
      </x:c>
      <x:c r="B6106" s="12" t="n">
        <x:v>42595</x:v>
      </x:c>
      <x:c r="C6106" s="18" t="n">
        <x:v>11699</x:v>
      </x:c>
      <x:c r="D6106" s="18" t="n">
        <x:v>62590</x:v>
      </x:c>
      <x:c r="E6106" s="18" t="n">
        <x:v>19.03</x:v>
      </x:c>
      <x:c r="F6106" s="18" t="n">
        <x:v>7.32</x:v>
      </x:c>
      <x:c r="G6106" t="n">
        <x:v>60</x:v>
      </x:c>
      <x:c r="H6106" t="str">
        <x:v>B</x:v>
      </x:c>
      <x:c r="I6106" t="str">
        <x:v>4-6 years</x:v>
      </x:c>
      <x:c r="J6106" t="str">
        <x:v>OWN</x:v>
      </x:c>
      <x:c r="K6106" t="str">
        <x:v>other</x:v>
      </x:c>
      <x:c r="L6106" t="n">
        <x:v>2</x:v>
      </x:c>
      <x:c r="M6106" t="n">
        <x:v>0</x:v>
      </x:c>
      <x:c r="N6106" t="str">
        <x:v>Fully Paid</x:v>
      </x:c>
      <x:c r="O6106" t="str">
        <x:f>IF(D6106="","Unknown",IF(D6106&lt;25000,"&lt;$25k",IF(D6106&lt;50000,"$25k-$50k",IF(D6106&lt;75000,"$50k-$75k",IF(D6106&lt;100000,"$75k-$100k","$100k+")))))</x:f>
        <x:v>$50k-$75k</x:v>
      </x:c>
      <x:c r="P6106" t="str">
        <x:f>IF(E6106="","Unknown",IF(E6106&lt;10,"&lt;10",IF(E6106&lt;20,"10-&lt;20",IF(E6106&lt;25,"20-&lt;25",IF(E6106&lt;35,"25-&lt;35","35+")))))</x:f>
        <x:v>10-&lt;20</x:v>
      </x:c>
    </x:row>
    <x:row r="6107">
      <x:c r="A6107" t="str">
        <x:v>SYN0006106</x:v>
      </x:c>
      <x:c r="B6107" s="12" t="n">
        <x:v>41935</x:v>
      </x:c>
      <x:c r="C6107" s="18" t="n">
        <x:v>31765</x:v>
      </x:c>
      <x:c r="D6107" s="18" t="n">
        <x:v>25751</x:v>
      </x:c>
      <x:c r="E6107" s="18" t="n">
        <x:v>22.88</x:v>
      </x:c>
      <x:c r="F6107" s="18" t="n">
        <x:v>5.95</x:v>
      </x:c>
      <x:c r="G6107" t="n">
        <x:v>36</x:v>
      </x:c>
      <x:c r="H6107" t="str">
        <x:v>B</x:v>
      </x:c>
      <x:c r="I6107" t="str">
        <x:v>4-6 years</x:v>
      </x:c>
      <x:c r="J6107" t="str">
        <x:v>MORTGAGE</x:v>
      </x:c>
      <x:c r="K6107" t="str">
        <x:v>credit_card</x:v>
      </x:c>
      <x:c r="L6107" t="n">
        <x:v>0</x:v>
      </x:c>
      <x:c r="M6107" t="n">
        <x:v>0</x:v>
      </x:c>
      <x:c r="N6107" t="str">
        <x:v>Fully Paid</x:v>
      </x:c>
      <x:c r="O6107" t="str">
        <x:f>IF(D6107="","Unknown",IF(D6107&lt;25000,"&lt;$25k",IF(D6107&lt;50000,"$25k-$50k",IF(D6107&lt;75000,"$50k-$75k",IF(D6107&lt;100000,"$75k-$100k","$100k+")))))</x:f>
        <x:v>$25k-$50k</x:v>
      </x:c>
      <x:c r="P6107" t="str">
        <x:f>IF(E6107="","Unknown",IF(E6107&lt;10,"&lt;10",IF(E6107&lt;20,"10-&lt;20",IF(E6107&lt;25,"20-&lt;25",IF(E6107&lt;35,"25-&lt;35","35+")))))</x:f>
        <x:v>20-&lt;25</x:v>
      </x:c>
    </x:row>
    <x:row r="6108">
      <x:c r="A6108" t="str">
        <x:v>SYN0006107</x:v>
      </x:c>
      <x:c r="B6108" s="12" t="n">
        <x:v>42025</x:v>
      </x:c>
      <x:c r="C6108" s="18" t="n">
        <x:v>6937</x:v>
      </x:c>
      <x:c r="D6108" s="18" t="n">
        <x:v>52514</x:v>
      </x:c>
      <x:c r="E6108" s="18" t="n">
        <x:v>23.22</x:v>
      </x:c>
      <x:c r="F6108" s="18" t="n">
        <x:v>30.27</x:v>
      </x:c>
      <x:c r="G6108" t="n">
        <x:v>60</x:v>
      </x:c>
      <x:c r="H6108" t="str">
        <x:v>G</x:v>
      </x:c>
      <x:c r="I6108" t="str">
        <x:v>4-6 years</x:v>
      </x:c>
      <x:c r="J6108" t="str">
        <x:v>RENT</x:v>
      </x:c>
      <x:c r="K6108" t="str">
        <x:v>medical</x:v>
      </x:c>
      <x:c r="L6108" t="n">
        <x:v>1</x:v>
      </x:c>
      <x:c r="M6108" t="n">
        <x:v>1</x:v>
      </x:c>
      <x:c r="N6108" t="str">
        <x:v>Charged Off</x:v>
      </x:c>
      <x:c r="O6108" t="str">
        <x:f>IF(D6108="","Unknown",IF(D6108&lt;25000,"&lt;$25k",IF(D6108&lt;50000,"$25k-$50k",IF(D6108&lt;75000,"$50k-$75k",IF(D6108&lt;100000,"$75k-$100k","$100k+")))))</x:f>
        <x:v>$50k-$75k</x:v>
      </x:c>
      <x:c r="P6108" t="str">
        <x:f>IF(E6108="","Unknown",IF(E6108&lt;10,"&lt;10",IF(E6108&lt;20,"10-&lt;20",IF(E6108&lt;25,"20-&lt;25",IF(E6108&lt;35,"25-&lt;35","35+")))))</x:f>
        <x:v>20-&lt;25</x:v>
      </x:c>
    </x:row>
    <x:row r="6109">
      <x:c r="A6109" t="str">
        <x:v>SYN0006108</x:v>
      </x:c>
      <x:c r="B6109" s="12" t="n">
        <x:v>41485</x:v>
      </x:c>
      <x:c r="C6109" s="18" t="n">
        <x:v>10113</x:v>
      </x:c>
      <x:c r="D6109" s="18" t="n">
        <x:v>60759</x:v>
      </x:c>
      <x:c r="E6109" s="18" t="n">
        <x:v>26.49</x:v>
      </x:c>
      <x:c r="F6109" s="18" t="n">
        <x:v>11.26</x:v>
      </x:c>
      <x:c r="G6109" t="n">
        <x:v>60</x:v>
      </x:c>
      <x:c r="H6109" t="str">
        <x:v>C</x:v>
      </x:c>
      <x:c r="I6109" t="str">
        <x:v>10+ years</x:v>
      </x:c>
      <x:c r="J6109" t="str">
        <x:v>MORTGAGE</x:v>
      </x:c>
      <x:c r="K6109" t="str">
        <x:v>debt_consolidation</x:v>
      </x:c>
      <x:c r="L6109" t="n">
        <x:v>1</x:v>
      </x:c>
      <x:c r="M6109" t="n">
        <x:v>0</x:v>
      </x:c>
      <x:c r="N6109" t="str">
        <x:v>Fully Paid</x:v>
      </x:c>
      <x:c r="O6109" t="str">
        <x:f>IF(D6109="","Unknown",IF(D6109&lt;25000,"&lt;$25k",IF(D6109&lt;50000,"$25k-$50k",IF(D6109&lt;75000,"$50k-$75k",IF(D6109&lt;100000,"$75k-$100k","$100k+")))))</x:f>
        <x:v>$50k-$75k</x:v>
      </x:c>
      <x:c r="P6109" t="str">
        <x:f>IF(E6109="","Unknown",IF(E6109&lt;10,"&lt;10",IF(E6109&lt;20,"10-&lt;20",IF(E6109&lt;25,"20-&lt;25",IF(E6109&lt;35,"25-&lt;35","35+")))))</x:f>
        <x:v>25-&lt;35</x:v>
      </x:c>
    </x:row>
    <x:row r="6110">
      <x:c r="A6110" t="str">
        <x:v>SYN0006109</x:v>
      </x:c>
      <x:c r="B6110" s="12" t="n">
        <x:v>43105</x:v>
      </x:c>
      <x:c r="C6110" s="18" t="n">
        <x:v>21375</x:v>
      </x:c>
      <x:c r="D6110" s="18" t="n">
        <x:v>62322</x:v>
      </x:c>
      <x:c r="E6110" s="18" t="n">
        <x:v>33.77</x:v>
      </x:c>
      <x:c r="F6110" s="18" t="n">
        <x:v>21.47</x:v>
      </x:c>
      <x:c r="G6110" t="n">
        <x:v>36</x:v>
      </x:c>
      <x:c r="H6110" t="str">
        <x:v>F</x:v>
      </x:c>
      <x:c r="I6110" t="str">
        <x:v>1-3 years</x:v>
      </x:c>
      <x:c r="J6110" t="str">
        <x:v>MORTGAGE</x:v>
      </x:c>
      <x:c r="K6110" t="str">
        <x:v>major_purchase</x:v>
      </x:c>
      <x:c r="L6110" t="n">
        <x:v>2</x:v>
      </x:c>
      <x:c r="M6110" t="n">
        <x:v>1</x:v>
      </x:c>
      <x:c r="N6110" t="str">
        <x:v>Charged Off</x:v>
      </x:c>
      <x:c r="O6110" t="str">
        <x:f>IF(D6110="","Unknown",IF(D6110&lt;25000,"&lt;$25k",IF(D6110&lt;50000,"$25k-$50k",IF(D6110&lt;75000,"$50k-$75k",IF(D6110&lt;100000,"$75k-$100k","$100k+")))))</x:f>
        <x:v>$50k-$75k</x:v>
      </x:c>
      <x:c r="P6110" t="str">
        <x:f>IF(E6110="","Unknown",IF(E6110&lt;10,"&lt;10",IF(E6110&lt;20,"10-&lt;20",IF(E6110&lt;25,"20-&lt;25",IF(E6110&lt;35,"25-&lt;35","35+")))))</x:f>
        <x:v>25-&lt;35</x:v>
      </x:c>
    </x:row>
    <x:row r="6111">
      <x:c r="A6111" t="str">
        <x:v>SYN0006110</x:v>
      </x:c>
      <x:c r="B6111" s="12" t="n">
        <x:v>41725</x:v>
      </x:c>
      <x:c r="C6111" s="18" t="n">
        <x:v>11412</x:v>
      </x:c>
      <x:c r="D6111" s="18" t="n">
        <x:v>20179</x:v>
      </x:c>
      <x:c r="E6111" s="18" t="n">
        <x:v>37.2</x:v>
      </x:c>
      <x:c r="F6111" s="18" t="n">
        <x:v>7.62</x:v>
      </x:c>
      <x:c r="G6111" t="n">
        <x:v>36</x:v>
      </x:c>
      <x:c r="H6111" t="str">
        <x:v>B</x:v>
      </x:c>
      <x:c r="I6111" t="str">
        <x:v>7-9 years</x:v>
      </x:c>
      <x:c r="J6111" t="str">
        <x:v>RENT</x:v>
      </x:c>
      <x:c r="K6111" t="str">
        <x:v>debt_consolidation</x:v>
      </x:c>
      <x:c r="L6111" t="n">
        <x:v>1</x:v>
      </x:c>
      <x:c r="M6111" t="n">
        <x:v>0</x:v>
      </x:c>
      <x:c r="N6111" t="str">
        <x:v>Fully Paid</x:v>
      </x:c>
      <x:c r="O6111" t="str">
        <x:f>IF(D6111="","Unknown",IF(D6111&lt;25000,"&lt;$25k",IF(D6111&lt;50000,"$25k-$50k",IF(D6111&lt;75000,"$50k-$75k",IF(D6111&lt;100000,"$75k-$100k","$100k+")))))</x:f>
        <x:v>&lt;$25k</x:v>
      </x:c>
      <x:c r="P6111" t="str">
        <x:f>IF(E6111="","Unknown",IF(E6111&lt;10,"&lt;10",IF(E6111&lt;20,"10-&lt;20",IF(E6111&lt;25,"20-&lt;25",IF(E6111&lt;35,"25-&lt;35","35+")))))</x:f>
        <x:v>35+</x:v>
      </x:c>
    </x:row>
    <x:row r="6112">
      <x:c r="A6112" t="str">
        <x:v>SYN0006111</x:v>
      </x:c>
      <x:c r="B6112" s="12" t="n">
        <x:v>41515</x:v>
      </x:c>
      <x:c r="C6112" s="18" t="n">
        <x:v>14385</x:v>
      </x:c>
      <x:c r="D6112" s="18" t="n">
        <x:v>144663</x:v>
      </x:c>
      <x:c r="E6112" s="18" t="n">
        <x:v>27.4</x:v>
      </x:c>
      <x:c r="F6112" s="18" t="n">
        <x:v>12.72</x:v>
      </x:c>
      <x:c r="G6112" t="n">
        <x:v>36</x:v>
      </x:c>
      <x:c r="H6112" t="str">
        <x:v>C</x:v>
      </x:c>
      <x:c r="I6112" t="str">
        <x:v>1-3 years</x:v>
      </x:c>
      <x:c r="J6112" t="str">
        <x:v>MORTGAGE</x:v>
      </x:c>
      <x:c r="K6112" t="str">
        <x:v>credit_card</x:v>
      </x:c>
      <x:c r="L6112" t="n">
        <x:v>0</x:v>
      </x:c>
      <x:c r="M6112" t="n">
        <x:v>0</x:v>
      </x:c>
      <x:c r="N6112" t="str">
        <x:v>Fully Paid</x:v>
      </x:c>
      <x:c r="O6112" t="str">
        <x:f>IF(D6112="","Unknown",IF(D6112&lt;25000,"&lt;$25k",IF(D6112&lt;50000,"$25k-$50k",IF(D6112&lt;75000,"$50k-$75k",IF(D6112&lt;100000,"$75k-$100k","$100k+")))))</x:f>
        <x:v>$100k+</x:v>
      </x:c>
      <x:c r="P6112" t="str">
        <x:f>IF(E6112="","Unknown",IF(E6112&lt;10,"&lt;10",IF(E6112&lt;20,"10-&lt;20",IF(E6112&lt;25,"20-&lt;25",IF(E6112&lt;35,"25-&lt;35","35+")))))</x:f>
        <x:v>25-&lt;35</x:v>
      </x:c>
    </x:row>
    <x:row r="6113">
      <x:c r="A6113" t="str">
        <x:v>SYN0006112</x:v>
      </x:c>
      <x:c r="B6113" s="12" t="n">
        <x:v>42505</x:v>
      </x:c>
      <x:c r="C6113" s="18" t="n">
        <x:v>13940</x:v>
      </x:c>
      <x:c r="D6113" s="18" t="n">
        <x:v>82898</x:v>
      </x:c>
      <x:c r="E6113" s="18" t="n">
        <x:v>28.4</x:v>
      </x:c>
      <x:c r="F6113" s="18" t="n">
        <x:v>5.99</x:v>
      </x:c>
      <x:c r="G6113" t="n">
        <x:v>60</x:v>
      </x:c>
      <x:c r="H6113" t="str">
        <x:v>B</x:v>
      </x:c>
      <x:c r="I6113" t="str">
        <x:v>4-6 years</x:v>
      </x:c>
      <x:c r="J6113" t="str">
        <x:v>OWN</x:v>
      </x:c>
      <x:c r="K6113" t="str">
        <x:v>debt_consolidation</x:v>
      </x:c>
      <x:c r="L6113" t="n">
        <x:v>2</x:v>
      </x:c>
      <x:c r="M6113" t="n">
        <x:v>1</x:v>
      </x:c>
      <x:c r="N6113" t="str">
        <x:v>Charged Off</x:v>
      </x:c>
      <x:c r="O6113" t="str">
        <x:f>IF(D6113="","Unknown",IF(D6113&lt;25000,"&lt;$25k",IF(D6113&lt;50000,"$25k-$50k",IF(D6113&lt;75000,"$50k-$75k",IF(D6113&lt;100000,"$75k-$100k","$100k+")))))</x:f>
        <x:v>$75k-$100k</x:v>
      </x:c>
      <x:c r="P6113" t="str">
        <x:f>IF(E6113="","Unknown",IF(E6113&lt;10,"&lt;10",IF(E6113&lt;20,"10-&lt;20",IF(E6113&lt;25,"20-&lt;25",IF(E6113&lt;35,"25-&lt;35","35+")))))</x:f>
        <x:v>25-&lt;35</x:v>
      </x:c>
    </x:row>
    <x:row r="6114">
      <x:c r="A6114" t="str">
        <x:v>SYN0006113</x:v>
      </x:c>
      <x:c r="B6114" s="12" t="n">
        <x:v>43285</x:v>
      </x:c>
      <x:c r="C6114" s="18" t="n">
        <x:v>11569</x:v>
      </x:c>
      <x:c r="D6114" s="18" t="n">
        <x:v>25857</x:v>
      </x:c>
      <x:c r="E6114" s="18" t="n">
        <x:v>31.09</x:v>
      </x:c>
      <x:c r="F6114" s="18" t="n">
        <x:v>24.71</x:v>
      </x:c>
      <x:c r="G6114" t="n">
        <x:v>60</x:v>
      </x:c>
      <x:c r="H6114" t="str">
        <x:v>F</x:v>
      </x:c>
      <x:c r="I6114" t="str">
        <x:v>4-6 years</x:v>
      </x:c>
      <x:c r="J6114" t="str">
        <x:v>RENT</x:v>
      </x:c>
      <x:c r="K6114" t="str">
        <x:v>debt_consolidation</x:v>
      </x:c>
      <x:c r="L6114" t="n">
        <x:v>0</x:v>
      </x:c>
      <x:c r="M6114" t="n">
        <x:v>1</x:v>
      </x:c>
      <x:c r="N6114" t="str">
        <x:v>Charged Off</x:v>
      </x:c>
      <x:c r="O6114" t="str">
        <x:f>IF(D6114="","Unknown",IF(D6114&lt;25000,"&lt;$25k",IF(D6114&lt;50000,"$25k-$50k",IF(D6114&lt;75000,"$50k-$75k",IF(D6114&lt;100000,"$75k-$100k","$100k+")))))</x:f>
        <x:v>$25k-$50k</x:v>
      </x:c>
      <x:c r="P6114" t="str">
        <x:f>IF(E6114="","Unknown",IF(E6114&lt;10,"&lt;10",IF(E6114&lt;20,"10-&lt;20",IF(E6114&lt;25,"20-&lt;25",IF(E6114&lt;35,"25-&lt;35","35+")))))</x:f>
        <x:v>25-&lt;35</x:v>
      </x:c>
    </x:row>
    <x:row r="6115">
      <x:c r="A6115" t="str">
        <x:v>SYN0006114</x:v>
      </x:c>
      <x:c r="B6115" s="12" t="n">
        <x:v>41665</x:v>
      </x:c>
      <x:c r="C6115" s="18" t="n">
        <x:v>9851</x:v>
      </x:c>
      <x:c r="D6115" s="18" t="n">
        <x:v>56555</x:v>
      </x:c>
      <x:c r="E6115" s="18" t="n">
        <x:v>19.24</x:v>
      </x:c>
      <x:c r="F6115" s="18" t="n">
        <x:v>12.62</x:v>
      </x:c>
      <x:c r="G6115" t="n">
        <x:v>36</x:v>
      </x:c>
      <x:c r="H6115" t="str">
        <x:v>C</x:v>
      </x:c>
      <x:c r="I6115" t="str">
        <x:v>7-9 years</x:v>
      </x:c>
      <x:c r="J6115" t="str">
        <x:v>RENT</x:v>
      </x:c>
      <x:c r="K6115" t="str">
        <x:v>debt_consolidation</x:v>
      </x:c>
      <x:c r="L6115" t="n">
        <x:v>0</x:v>
      </x:c>
      <x:c r="M6115" t="n">
        <x:v>0</x:v>
      </x:c>
      <x:c r="N6115" t="str">
        <x:v>Fully Paid</x:v>
      </x:c>
      <x:c r="O6115" t="str">
        <x:f>IF(D6115="","Unknown",IF(D6115&lt;25000,"&lt;$25k",IF(D6115&lt;50000,"$25k-$50k",IF(D6115&lt;75000,"$50k-$75k",IF(D6115&lt;100000,"$75k-$100k","$100k+")))))</x:f>
        <x:v>$50k-$75k</x:v>
      </x:c>
      <x:c r="P6115" t="str">
        <x:f>IF(E6115="","Unknown",IF(E6115&lt;10,"&lt;10",IF(E6115&lt;20,"10-&lt;20",IF(E6115&lt;25,"20-&lt;25",IF(E6115&lt;35,"25-&lt;35","35+")))))</x:f>
        <x:v>10-&lt;20</x:v>
      </x:c>
    </x:row>
    <x:row r="6116">
      <x:c r="A6116" t="str">
        <x:v>SYN0006115</x:v>
      </x:c>
      <x:c r="B6116" s="12" t="n">
        <x:v>43315</x:v>
      </x:c>
      <x:c r="C6116" s="18" t="n">
        <x:v>38383</x:v>
      </x:c>
      <x:c r="D6116" s="18" t="n">
        <x:v>76631</x:v>
      </x:c>
      <x:c r="E6116" s="18" t="n">
        <x:v>31.67</x:v>
      </x:c>
      <x:c r="F6116" s="18" t="n">
        <x:v>10.67</x:v>
      </x:c>
      <x:c r="G6116" t="n">
        <x:v>36</x:v>
      </x:c>
      <x:c r="H6116" t="str">
        <x:v>C</x:v>
      </x:c>
      <x:c r="I6116" t="str">
        <x:v>&lt;1 year</x:v>
      </x:c>
      <x:c r="J6116" t="str">
        <x:v>OWN</x:v>
      </x:c>
      <x:c r="K6116" t="str">
        <x:v>debt_consolidation</x:v>
      </x:c>
      <x:c r="L6116" t="n">
        <x:v>0</x:v>
      </x:c>
      <x:c r="M6116" t="n">
        <x:v>0</x:v>
      </x:c>
      <x:c r="N6116" t="str">
        <x:v>Fully Paid</x:v>
      </x:c>
      <x:c r="O6116" t="str">
        <x:f>IF(D6116="","Unknown",IF(D6116&lt;25000,"&lt;$25k",IF(D6116&lt;50000,"$25k-$50k",IF(D6116&lt;75000,"$50k-$75k",IF(D6116&lt;100000,"$75k-$100k","$100k+")))))</x:f>
        <x:v>$75k-$100k</x:v>
      </x:c>
      <x:c r="P6116" t="str">
        <x:f>IF(E6116="","Unknown",IF(E6116&lt;10,"&lt;10",IF(E6116&lt;20,"10-&lt;20",IF(E6116&lt;25,"20-&lt;25",IF(E6116&lt;35,"25-&lt;35","35+")))))</x:f>
        <x:v>25-&lt;35</x:v>
      </x:c>
    </x:row>
    <x:row r="6117">
      <x:c r="A6117" t="str">
        <x:v>SYN0006116</x:v>
      </x:c>
      <x:c r="B6117" s="12" t="n">
        <x:v>42445</x:v>
      </x:c>
      <x:c r="C6117" s="18" t="n">
        <x:v>22496</x:v>
      </x:c>
      <x:c r="D6117" s="18" t="n">
        <x:v>57629</x:v>
      </x:c>
      <x:c r="E6117" s="18" t="n">
        <x:v>25.23</x:v>
      </x:c>
      <x:c r="F6117" s="18" t="n">
        <x:v>9.15</x:v>
      </x:c>
      <x:c r="G6117" t="n">
        <x:v>36</x:v>
      </x:c>
      <x:c r="H6117" t="str">
        <x:v>C</x:v>
      </x:c>
      <x:c r="I6117" t="str">
        <x:v>1-3 years</x:v>
      </x:c>
      <x:c r="J6117" t="str">
        <x:v>MORTGAGE</x:v>
      </x:c>
      <x:c r="K6117" t="str">
        <x:v>credit_card</x:v>
      </x:c>
      <x:c r="L6117" t="n">
        <x:v>0</x:v>
      </x:c>
      <x:c r="M6117" t="n">
        <x:v>0</x:v>
      </x:c>
      <x:c r="N6117" t="str">
        <x:v>Fully Paid</x:v>
      </x:c>
      <x:c r="O6117" t="str">
        <x:f>IF(D6117="","Unknown",IF(D6117&lt;25000,"&lt;$25k",IF(D6117&lt;50000,"$25k-$50k",IF(D6117&lt;75000,"$50k-$75k",IF(D6117&lt;100000,"$75k-$100k","$100k+")))))</x:f>
        <x:v>$50k-$75k</x:v>
      </x:c>
      <x:c r="P6117" t="str">
        <x:f>IF(E6117="","Unknown",IF(E6117&lt;10,"&lt;10",IF(E6117&lt;20,"10-&lt;20",IF(E6117&lt;25,"20-&lt;25",IF(E6117&lt;35,"25-&lt;35","35+")))))</x:f>
        <x:v>25-&lt;35</x:v>
      </x:c>
    </x:row>
    <x:row r="6118">
      <x:c r="A6118" t="str">
        <x:v>SYN0006117</x:v>
      </x:c>
      <x:c r="B6118" s="12" t="n">
        <x:v>43045</x:v>
      </x:c>
      <x:c r="C6118" s="18" t="n">
        <x:v>5843</x:v>
      </x:c>
      <x:c r="D6118" s="18" t="n">
        <x:v>35378</x:v>
      </x:c>
      <x:c r="E6118" s="18" t="n">
        <x:v>32.49</x:v>
      </x:c>
      <x:c r="F6118" s="18" t="n">
        <x:v>16.02</x:v>
      </x:c>
      <x:c r="G6118" t="n">
        <x:v>60</x:v>
      </x:c>
      <x:c r="H6118" t="str">
        <x:v>E</x:v>
      </x:c>
      <x:c r="I6118" t="str">
        <x:v>&lt;1 year</x:v>
      </x:c>
      <x:c r="J6118" t="str">
        <x:v>MORTGAGE</x:v>
      </x:c>
      <x:c r="K6118" t="str">
        <x:v>debt_consolidation</x:v>
      </x:c>
      <x:c r="L6118" t="n">
        <x:v>1</x:v>
      </x:c>
      <x:c r="M6118" t="n">
        <x:v>1</x:v>
      </x:c>
      <x:c r="N6118" t="str">
        <x:v>Charged Off</x:v>
      </x:c>
      <x:c r="O6118" t="str">
        <x:f>IF(D6118="","Unknown",IF(D6118&lt;25000,"&lt;$25k",IF(D6118&lt;50000,"$25k-$50k",IF(D6118&lt;75000,"$50k-$75k",IF(D6118&lt;100000,"$75k-$100k","$100k+")))))</x:f>
        <x:v>$25k-$50k</x:v>
      </x:c>
      <x:c r="P6118" t="str">
        <x:f>IF(E6118="","Unknown",IF(E6118&lt;10,"&lt;10",IF(E6118&lt;20,"10-&lt;20",IF(E6118&lt;25,"20-&lt;25",IF(E6118&lt;35,"25-&lt;35","35+")))))</x:f>
        <x:v>25-&lt;35</x:v>
      </x:c>
    </x:row>
    <x:row r="6119">
      <x:c r="A6119" t="str">
        <x:v>SYN0006118</x:v>
      </x:c>
      <x:c r="B6119" s="12" t="n">
        <x:v>43165</x:v>
      </x:c>
      <x:c r="C6119" s="18" t="n">
        <x:v>19330</x:v>
      </x:c>
      <x:c r="D6119" s="18" t="n">
        <x:v>68534</x:v>
      </x:c>
      <x:c r="E6119" s="18" t="n">
        <x:v>11.64</x:v>
      </x:c>
      <x:c r="F6119" s="18" t="n">
        <x:v>7.06</x:v>
      </x:c>
      <x:c r="G6119" t="n">
        <x:v>36</x:v>
      </x:c>
      <x:c r="H6119" t="str">
        <x:v>B</x:v>
      </x:c>
      <x:c r="I6119" t="str">
        <x:v>1-3 years</x:v>
      </x:c>
      <x:c r="J6119" t="str">
        <x:v>OWN</x:v>
      </x:c>
      <x:c r="K6119" t="str">
        <x:v>credit_card</x:v>
      </x:c>
      <x:c r="L6119" t="n">
        <x:v>0</x:v>
      </x:c>
      <x:c r="M6119" t="n">
        <x:v>0</x:v>
      </x:c>
      <x:c r="N6119" t="str">
        <x:v>Fully Paid</x:v>
      </x:c>
      <x:c r="O6119" t="str">
        <x:f>IF(D6119="","Unknown",IF(D6119&lt;25000,"&lt;$25k",IF(D6119&lt;50000,"$25k-$50k",IF(D6119&lt;75000,"$50k-$75k",IF(D6119&lt;100000,"$75k-$100k","$100k+")))))</x:f>
        <x:v>$50k-$75k</x:v>
      </x:c>
      <x:c r="P6119" t="str">
        <x:f>IF(E6119="","Unknown",IF(E6119&lt;10,"&lt;10",IF(E6119&lt;20,"10-&lt;20",IF(E6119&lt;25,"20-&lt;25",IF(E6119&lt;35,"25-&lt;35","35+")))))</x:f>
        <x:v>10-&lt;20</x:v>
      </x:c>
    </x:row>
    <x:row r="6120">
      <x:c r="A6120" t="str">
        <x:v>SYN0006119</x:v>
      </x:c>
      <x:c r="B6120" s="12" t="n">
        <x:v>41305</x:v>
      </x:c>
      <x:c r="C6120" s="18" t="n">
        <x:v>14236</x:v>
      </x:c>
      <x:c r="D6120" s="18" t="n">
        <x:v>151839</x:v>
      </x:c>
      <x:c r="E6120" s="18" t="n">
        <x:v>26.79</x:v>
      </x:c>
      <x:c r="F6120" s="18" t="n">
        <x:v>14.08</x:v>
      </x:c>
      <x:c r="G6120" t="n">
        <x:v>36</x:v>
      </x:c>
      <x:c r="H6120" t="str">
        <x:v>D</x:v>
      </x:c>
      <x:c r="I6120" t="str">
        <x:v>10+ years</x:v>
      </x:c>
      <x:c r="J6120" t="str">
        <x:v>MORTGAGE</x:v>
      </x:c>
      <x:c r="K6120" t="str">
        <x:v>debt_consolidation</x:v>
      </x:c>
      <x:c r="L6120" t="n">
        <x:v>0</x:v>
      </x:c>
      <x:c r="M6120" t="n">
        <x:v>0</x:v>
      </x:c>
      <x:c r="N6120" t="str">
        <x:v>Fully Paid</x:v>
      </x:c>
      <x:c r="O6120" t="str">
        <x:f>IF(D6120="","Unknown",IF(D6120&lt;25000,"&lt;$25k",IF(D6120&lt;50000,"$25k-$50k",IF(D6120&lt;75000,"$50k-$75k",IF(D6120&lt;100000,"$75k-$100k","$100k+")))))</x:f>
        <x:v>$100k+</x:v>
      </x:c>
      <x:c r="P6120" t="str">
        <x:f>IF(E6120="","Unknown",IF(E6120&lt;10,"&lt;10",IF(E6120&lt;20,"10-&lt;20",IF(E6120&lt;25,"20-&lt;25",IF(E6120&lt;35,"25-&lt;35","35+")))))</x:f>
        <x:v>25-&lt;35</x:v>
      </x:c>
    </x:row>
    <x:row r="6121">
      <x:c r="A6121" t="str">
        <x:v>SYN0006120</x:v>
      </x:c>
      <x:c r="B6121" s="12" t="n">
        <x:v>43345</x:v>
      </x:c>
      <x:c r="C6121" s="18" t="n">
        <x:v>40000</x:v>
      </x:c>
      <x:c r="D6121" s="18" t="n">
        <x:v>80755</x:v>
      </x:c>
      <x:c r="E6121" s="18" t="n">
        <x:v>30</x:v>
      </x:c>
      <x:c r="F6121" s="18" t="n">
        <x:v>5.95</x:v>
      </x:c>
      <x:c r="G6121" t="n">
        <x:v>60</x:v>
      </x:c>
      <x:c r="H6121" t="str">
        <x:v>B</x:v>
      </x:c>
      <x:c r="I6121" t="str">
        <x:v>4-6 years</x:v>
      </x:c>
      <x:c r="J6121" t="str">
        <x:v>OWN</x:v>
      </x:c>
      <x:c r="K6121" t="str">
        <x:v>credit_card</x:v>
      </x:c>
      <x:c r="L6121" t="n">
        <x:v>0</x:v>
      </x:c>
      <x:c r="M6121" t="n">
        <x:v>0</x:v>
      </x:c>
      <x:c r="N6121" t="str">
        <x:v>Fully Paid</x:v>
      </x:c>
      <x:c r="O6121" t="str">
        <x:f>IF(D6121="","Unknown",IF(D6121&lt;25000,"&lt;$25k",IF(D6121&lt;50000,"$25k-$50k",IF(D6121&lt;75000,"$50k-$75k",IF(D6121&lt;100000,"$75k-$100k","$100k+")))))</x:f>
        <x:v>$75k-$100k</x:v>
      </x:c>
      <x:c r="P6121" t="str">
        <x:f>IF(E6121="","Unknown",IF(E6121&lt;10,"&lt;10",IF(E6121&lt;20,"10-&lt;20",IF(E6121&lt;25,"20-&lt;25",IF(E6121&lt;35,"25-&lt;35","35+")))))</x:f>
        <x:v>25-&lt;35</x:v>
      </x:c>
    </x:row>
    <x:row r="6122">
      <x:c r="A6122" t="str">
        <x:v>SYN0006121</x:v>
      </x:c>
      <x:c r="B6122" s="12" t="n">
        <x:v>42535</x:v>
      </x:c>
      <x:c r="C6122" s="18" t="n">
        <x:v>21167</x:v>
      </x:c>
      <x:c r="D6122" s="18" t="n">
        <x:v>104617</x:v>
      </x:c>
      <x:c r="E6122" s="18" t="n">
        <x:v>17.35</x:v>
      </x:c>
      <x:c r="F6122" s="18" t="n">
        <x:v>8.56</x:v>
      </x:c>
      <x:c r="G6122" t="n">
        <x:v>36</x:v>
      </x:c>
      <x:c r="H6122" t="str">
        <x:v>C</x:v>
      </x:c>
      <x:c r="I6122" t="str">
        <x:v>1-3 years</x:v>
      </x:c>
      <x:c r="J6122" t="str">
        <x:v>RENT</x:v>
      </x:c>
      <x:c r="K6122" t="str">
        <x:v>home_improvement</x:v>
      </x:c>
      <x:c r="L6122" t="n">
        <x:v>0</x:v>
      </x:c>
      <x:c r="M6122" t="n">
        <x:v>0</x:v>
      </x:c>
      <x:c r="N6122" t="str">
        <x:v>Fully Paid</x:v>
      </x:c>
      <x:c r="O6122" t="str">
        <x:f>IF(D6122="","Unknown",IF(D6122&lt;25000,"&lt;$25k",IF(D6122&lt;50000,"$25k-$50k",IF(D6122&lt;75000,"$50k-$75k",IF(D6122&lt;100000,"$75k-$100k","$100k+")))))</x:f>
        <x:v>$100k+</x:v>
      </x:c>
      <x:c r="P6122" t="str">
        <x:f>IF(E6122="","Unknown",IF(E6122&lt;10,"&lt;10",IF(E6122&lt;20,"10-&lt;20",IF(E6122&lt;25,"20-&lt;25",IF(E6122&lt;35,"25-&lt;35","35+")))))</x:f>
        <x:v>10-&lt;20</x:v>
      </x:c>
    </x:row>
    <x:row r="6123">
      <x:c r="A6123" t="str">
        <x:v>SYN0006122</x:v>
      </x:c>
      <x:c r="B6123" s="12" t="n">
        <x:v>42355</x:v>
      </x:c>
      <x:c r="C6123" s="18" t="n">
        <x:v>20202</x:v>
      </x:c>
      <x:c r="D6123" s="18" t="n">
        <x:v>96835</x:v>
      </x:c>
      <x:c r="E6123" s="18" t="n">
        <x:v>19.22</x:v>
      </x:c>
      <x:c r="F6123" s="18" t="n">
        <x:v>20.74</x:v>
      </x:c>
      <x:c r="G6123" t="n">
        <x:v>36</x:v>
      </x:c>
      <x:c r="H6123" t="str">
        <x:v>E</x:v>
      </x:c>
      <x:c r="I6123" t="str">
        <x:v>4-6 years</x:v>
      </x:c>
      <x:c r="J6123" t="str">
        <x:v>MORTGAGE</x:v>
      </x:c>
      <x:c r="K6123" t="str">
        <x:v>home_improvement</x:v>
      </x:c>
      <x:c r="L6123" t="n">
        <x:v>1</x:v>
      </x:c>
      <x:c r="M6123" t="n">
        <x:v>1</x:v>
      </x:c>
      <x:c r="N6123" t="str">
        <x:v>Charged Off</x:v>
      </x:c>
      <x:c r="O6123" t="str">
        <x:f>IF(D6123="","Unknown",IF(D6123&lt;25000,"&lt;$25k",IF(D6123&lt;50000,"$25k-$50k",IF(D6123&lt;75000,"$50k-$75k",IF(D6123&lt;100000,"$75k-$100k","$100k+")))))</x:f>
        <x:v>$75k-$100k</x:v>
      </x:c>
      <x:c r="P6123" t="str">
        <x:f>IF(E6123="","Unknown",IF(E6123&lt;10,"&lt;10",IF(E6123&lt;20,"10-&lt;20",IF(E6123&lt;25,"20-&lt;25",IF(E6123&lt;35,"25-&lt;35","35+")))))</x:f>
        <x:v>10-&lt;20</x:v>
      </x:c>
    </x:row>
    <x:row r="6124">
      <x:c r="A6124" t="str">
        <x:v>SYN0006123</x:v>
      </x:c>
      <x:c r="B6124" s="12" t="n">
        <x:v>42445</x:v>
      </x:c>
      <x:c r="C6124" s="18" t="n">
        <x:v>9665</x:v>
      </x:c>
      <x:c r="D6124" s="18" t="n">
        <x:v>233889</x:v>
      </x:c>
      <x:c r="E6124" s="18" t="n">
        <x:v>16.23</x:v>
      </x:c>
      <x:c r="F6124" s="18" t="n">
        <x:v>15.5</x:v>
      </x:c>
      <x:c r="G6124" t="n">
        <x:v>60</x:v>
      </x:c>
      <x:c r="H6124" t="str">
        <x:v>D</x:v>
      </x:c>
      <x:c r="I6124" t="str">
        <x:v>4-6 years</x:v>
      </x:c>
      <x:c r="J6124" t="str">
        <x:v>MORTGAGE</x:v>
      </x:c>
      <x:c r="K6124" t="str">
        <x:v>debt_consolidation</x:v>
      </x:c>
      <x:c r="L6124" t="n">
        <x:v>1</x:v>
      </x:c>
      <x:c r="M6124" t="n">
        <x:v>0</x:v>
      </x:c>
      <x:c r="N6124" t="str">
        <x:v>Fully Paid</x:v>
      </x:c>
      <x:c r="O6124" t="str">
        <x:f>IF(D6124="","Unknown",IF(D6124&lt;25000,"&lt;$25k",IF(D6124&lt;50000,"$25k-$50k",IF(D6124&lt;75000,"$50k-$75k",IF(D6124&lt;100000,"$75k-$100k","$100k+")))))</x:f>
        <x:v>$100k+</x:v>
      </x:c>
      <x:c r="P6124" t="str">
        <x:f>IF(E6124="","Unknown",IF(E6124&lt;10,"&lt;10",IF(E6124&lt;20,"10-&lt;20",IF(E6124&lt;25,"20-&lt;25",IF(E6124&lt;35,"25-&lt;35","35+")))))</x:f>
        <x:v>10-&lt;20</x:v>
      </x:c>
    </x:row>
    <x:row r="6125">
      <x:c r="A6125" t="str">
        <x:v>SYN0006124</x:v>
      </x:c>
      <x:c r="B6125" s="12" t="n">
        <x:v>42325</x:v>
      </x:c>
      <x:c r="C6125" s="18" t="n">
        <x:v>8074</x:v>
      </x:c>
      <x:c r="D6125" s="18" t="n">
        <x:v>93591</x:v>
      </x:c>
      <x:c r="E6125" s="18" t="n">
        <x:v>16.03</x:v>
      </x:c>
      <x:c r="F6125" s="18" t="n">
        <x:v>5.91</x:v>
      </x:c>
      <x:c r="G6125" t="n">
        <x:v>36</x:v>
      </x:c>
      <x:c r="H6125" t="str">
        <x:v>A</x:v>
      </x:c>
      <x:c r="I6125" t="str">
        <x:v>4-6 years</x:v>
      </x:c>
      <x:c r="J6125" t="str">
        <x:v>RENT</x:v>
      </x:c>
      <x:c r="K6125" t="str">
        <x:v>home_improvement</x:v>
      </x:c>
      <x:c r="L6125" t="n">
        <x:v>0</x:v>
      </x:c>
      <x:c r="M6125" t="n">
        <x:v>0</x:v>
      </x:c>
      <x:c r="N6125" t="str">
        <x:v>Fully Paid</x:v>
      </x:c>
      <x:c r="O6125" t="str">
        <x:f>IF(D6125="","Unknown",IF(D6125&lt;25000,"&lt;$25k",IF(D6125&lt;50000,"$25k-$50k",IF(D6125&lt;75000,"$50k-$75k",IF(D6125&lt;100000,"$75k-$100k","$100k+")))))</x:f>
        <x:v>$75k-$100k</x:v>
      </x:c>
      <x:c r="P6125" t="str">
        <x:f>IF(E6125="","Unknown",IF(E6125&lt;10,"&lt;10",IF(E6125&lt;20,"10-&lt;20",IF(E6125&lt;25,"20-&lt;25",IF(E6125&lt;35,"25-&lt;35","35+")))))</x:f>
        <x:v>10-&lt;20</x:v>
      </x:c>
    </x:row>
    <x:row r="6126">
      <x:c r="A6126" t="str">
        <x:v>SYN0006125</x:v>
      </x:c>
      <x:c r="B6126" s="12" t="n">
        <x:v>42565</x:v>
      </x:c>
      <x:c r="C6126" s="18" t="n">
        <x:v>24911</x:v>
      </x:c>
      <x:c r="D6126" s="18" t="n">
        <x:v>28793</x:v>
      </x:c>
      <x:c r="E6126" s="18" t="n">
        <x:v>15.26</x:v>
      </x:c>
      <x:c r="F6126" s="18" t="n">
        <x:v>10.61</x:v>
      </x:c>
      <x:c r="G6126" t="n">
        <x:v>36</x:v>
      </x:c>
      <x:c r="H6126" t="str">
        <x:v>C</x:v>
      </x:c>
      <x:c r="I6126" t="str">
        <x:v>&lt;1 year</x:v>
      </x:c>
      <x:c r="J6126" t="str">
        <x:v>MORTGAGE</x:v>
      </x:c>
      <x:c r="K6126" t="str">
        <x:v>debt_consolidation</x:v>
      </x:c>
      <x:c r="L6126" t="n">
        <x:v>0</x:v>
      </x:c>
      <x:c r="M6126" t="n">
        <x:v>0</x:v>
      </x:c>
      <x:c r="N6126" t="str">
        <x:v>Fully Paid</x:v>
      </x:c>
      <x:c r="O6126" t="str">
        <x:f>IF(D6126="","Unknown",IF(D6126&lt;25000,"&lt;$25k",IF(D6126&lt;50000,"$25k-$50k",IF(D6126&lt;75000,"$50k-$75k",IF(D6126&lt;100000,"$75k-$100k","$100k+")))))</x:f>
        <x:v>$25k-$50k</x:v>
      </x:c>
      <x:c r="P6126" t="str">
        <x:f>IF(E6126="","Unknown",IF(E6126&lt;10,"&lt;10",IF(E6126&lt;20,"10-&lt;20",IF(E6126&lt;25,"20-&lt;25",IF(E6126&lt;35,"25-&lt;35","35+")))))</x:f>
        <x:v>10-&lt;20</x:v>
      </x:c>
    </x:row>
    <x:row r="6127">
      <x:c r="A6127" t="str">
        <x:v>SYN0006126</x:v>
      </x:c>
      <x:c r="B6127" s="12" t="n">
        <x:v>41425</x:v>
      </x:c>
      <x:c r="C6127" s="18" t="n">
        <x:v>18981</x:v>
      </x:c>
      <x:c r="D6127" s="18" t="n">
        <x:v>48750</x:v>
      </x:c>
      <x:c r="E6127" s="18" t="n">
        <x:v>20.97</x:v>
      </x:c>
      <x:c r="F6127" s="18" t="n">
        <x:v>14.05</x:v>
      </x:c>
      <x:c r="G6127" t="n">
        <x:v>36</x:v>
      </x:c>
      <x:c r="H6127" t="str">
        <x:v>D</x:v>
      </x:c>
      <x:c r="I6127" t="str">
        <x:v>10+ years</x:v>
      </x:c>
      <x:c r="J6127" t="str">
        <x:v>RENT</x:v>
      </x:c>
      <x:c r="K6127" t="str">
        <x:v>home_improvement</x:v>
      </x:c>
      <x:c r="L6127" t="n">
        <x:v>0</x:v>
      </x:c>
      <x:c r="M6127" t="n">
        <x:v>0</x:v>
      </x:c>
      <x:c r="N6127" t="str">
        <x:v>Fully Paid</x:v>
      </x:c>
      <x:c r="O6127" t="str">
        <x:f>IF(D6127="","Unknown",IF(D6127&lt;25000,"&lt;$25k",IF(D6127&lt;50000,"$25k-$50k",IF(D6127&lt;75000,"$50k-$75k",IF(D6127&lt;100000,"$75k-$100k","$100k+")))))</x:f>
        <x:v>$25k-$50k</x:v>
      </x:c>
      <x:c r="P6127" t="str">
        <x:f>IF(E6127="","Unknown",IF(E6127&lt;10,"&lt;10",IF(E6127&lt;20,"10-&lt;20",IF(E6127&lt;25,"20-&lt;25",IF(E6127&lt;35,"25-&lt;35","35+")))))</x:f>
        <x:v>20-&lt;25</x:v>
      </x:c>
    </x:row>
    <x:row r="6128">
      <x:c r="A6128" t="str">
        <x:v>SYN0006127</x:v>
      </x:c>
      <x:c r="B6128" s="12" t="n">
        <x:v>43405</x:v>
      </x:c>
      <x:c r="C6128" s="18" t="n">
        <x:v>16038</x:v>
      </x:c>
      <x:c r="D6128" s="18" t="n">
        <x:v>73560</x:v>
      </x:c>
      <x:c r="E6128" s="18" t="n">
        <x:v>22.71</x:v>
      </x:c>
      <x:c r="F6128" s="18" t="n">
        <x:v>24.53</x:v>
      </x:c>
      <x:c r="G6128" t="n">
        <x:v>36</x:v>
      </x:c>
      <x:c r="H6128" t="str">
        <x:v>G</x:v>
      </x:c>
      <x:c r="I6128" t="str">
        <x:v>&lt;1 year</x:v>
      </x:c>
      <x:c r="J6128" t="str">
        <x:v>RENT</x:v>
      </x:c>
      <x:c r="K6128" t="str">
        <x:v>home_improvement</x:v>
      </x:c>
      <x:c r="L6128" t="n">
        <x:v>1</x:v>
      </x:c>
      <x:c r="M6128" t="n">
        <x:v>0</x:v>
      </x:c>
      <x:c r="N6128" t="str">
        <x:v>Fully Paid</x:v>
      </x:c>
      <x:c r="O6128" t="str">
        <x:f>IF(D6128="","Unknown",IF(D6128&lt;25000,"&lt;$25k",IF(D6128&lt;50000,"$25k-$50k",IF(D6128&lt;75000,"$50k-$75k",IF(D6128&lt;100000,"$75k-$100k","$100k+")))))</x:f>
        <x:v>$50k-$75k</x:v>
      </x:c>
      <x:c r="P6128" t="str">
        <x:f>IF(E6128="","Unknown",IF(E6128&lt;10,"&lt;10",IF(E6128&lt;20,"10-&lt;20",IF(E6128&lt;25,"20-&lt;25",IF(E6128&lt;35,"25-&lt;35","35+")))))</x:f>
        <x:v>20-&lt;25</x:v>
      </x:c>
    </x:row>
    <x:row r="6129">
      <x:c r="A6129" t="str">
        <x:v>SYN0006128</x:v>
      </x:c>
      <x:c r="B6129" s="12" t="n">
        <x:v>43405</x:v>
      </x:c>
      <x:c r="C6129" s="18" t="n">
        <x:v>11413</x:v>
      </x:c>
      <x:c r="D6129" s="18" t="n">
        <x:v>109567</x:v>
      </x:c>
      <x:c r="E6129" s="18" t="n">
        <x:v>1.65</x:v>
      </x:c>
      <x:c r="F6129" s="18" t="n">
        <x:v>5.21</x:v>
      </x:c>
      <x:c r="G6129" t="n">
        <x:v>36</x:v>
      </x:c>
      <x:c r="H6129" t="str">
        <x:v>A</x:v>
      </x:c>
      <x:c r="I6129" t="str">
        <x:v>10+ years</x:v>
      </x:c>
      <x:c r="J6129" t="str">
        <x:v>RENT</x:v>
      </x:c>
      <x:c r="K6129" t="str">
        <x:v>major_purchase</x:v>
      </x:c>
      <x:c r="L6129" t="n">
        <x:v>0</x:v>
      </x:c>
      <x:c r="M6129" t="n">
        <x:v>0</x:v>
      </x:c>
      <x:c r="N6129" t="str">
        <x:v>Fully Paid</x:v>
      </x:c>
      <x:c r="O6129" t="str">
        <x:f>IF(D6129="","Unknown",IF(D6129&lt;25000,"&lt;$25k",IF(D6129&lt;50000,"$25k-$50k",IF(D6129&lt;75000,"$50k-$75k",IF(D6129&lt;100000,"$75k-$100k","$100k+")))))</x:f>
        <x:v>$100k+</x:v>
      </x:c>
      <x:c r="P6129" t="str">
        <x:f>IF(E6129="","Unknown",IF(E6129&lt;10,"&lt;10",IF(E6129&lt;20,"10-&lt;20",IF(E6129&lt;25,"20-&lt;25",IF(E6129&lt;35,"25-&lt;35","35+")))))</x:f>
        <x:v>&lt;10</x:v>
      </x:c>
    </x:row>
    <x:row r="6130">
      <x:c r="A6130" t="str">
        <x:v>SYN0006129</x:v>
      </x:c>
      <x:c r="B6130" s="12" t="n">
        <x:v>42205</x:v>
      </x:c>
      <x:c r="C6130" s="18" t="n">
        <x:v>6440</x:v>
      </x:c>
      <x:c r="D6130" s="18" t="n">
        <x:v>133655</x:v>
      </x:c>
      <x:c r="E6130" s="18" t="n">
        <x:v>42.27</x:v>
      </x:c>
      <x:c r="F6130" s="18" t="n">
        <x:v>26.86</x:v>
      </x:c>
      <x:c r="G6130" t="n">
        <x:v>36</x:v>
      </x:c>
      <x:c r="H6130" t="str">
        <x:v>G</x:v>
      </x:c>
      <x:c r="I6130" t="str">
        <x:v>10+ years</x:v>
      </x:c>
      <x:c r="J6130" t="str">
        <x:v>RENT</x:v>
      </x:c>
      <x:c r="K6130" t="str">
        <x:v>other</x:v>
      </x:c>
      <x:c r="L6130" t="n">
        <x:v>1</x:v>
      </x:c>
      <x:c r="M6130" t="n">
        <x:v>0</x:v>
      </x:c>
      <x:c r="N6130" t="str">
        <x:v>Fully Paid</x:v>
      </x:c>
      <x:c r="O6130" t="str">
        <x:f>IF(D6130="","Unknown",IF(D6130&lt;25000,"&lt;$25k",IF(D6130&lt;50000,"$25k-$50k",IF(D6130&lt;75000,"$50k-$75k",IF(D6130&lt;100000,"$75k-$100k","$100k+")))))</x:f>
        <x:v>$100k+</x:v>
      </x:c>
      <x:c r="P6130" t="str">
        <x:f>IF(E6130="","Unknown",IF(E6130&lt;10,"&lt;10",IF(E6130&lt;20,"10-&lt;20",IF(E6130&lt;25,"20-&lt;25",IF(E6130&lt;35,"25-&lt;35","35+")))))</x:f>
        <x:v>35+</x:v>
      </x:c>
    </x:row>
    <x:row r="6131">
      <x:c r="A6131" t="str">
        <x:v>SYN0006130</x:v>
      </x:c>
      <x:c r="B6131" s="12" t="n">
        <x:v>43135</x:v>
      </x:c>
      <x:c r="C6131" s="18" t="n">
        <x:v>14006</x:v>
      </x:c>
      <x:c r="D6131" s="18" t="n">
        <x:v>89447</x:v>
      </x:c>
      <x:c r="E6131" s="18" t="n">
        <x:v>6.31</x:v>
      </x:c>
      <x:c r="F6131" s="18" t="n">
        <x:v>6</x:v>
      </x:c>
      <x:c r="G6131" t="n">
        <x:v>36</x:v>
      </x:c>
      <x:c r="H6131" t="str">
        <x:v>A</x:v>
      </x:c>
      <x:c r="I6131" t="str">
        <x:v>4-6 years</x:v>
      </x:c>
      <x:c r="J6131" t="str">
        <x:v>RENT</x:v>
      </x:c>
      <x:c r="K6131" t="str">
        <x:v>medical</x:v>
      </x:c>
      <x:c r="L6131" t="n">
        <x:v>0</x:v>
      </x:c>
      <x:c r="M6131" t="n">
        <x:v>0</x:v>
      </x:c>
      <x:c r="N6131" t="str">
        <x:v>Fully Paid</x:v>
      </x:c>
      <x:c r="O6131" t="str">
        <x:f>IF(D6131="","Unknown",IF(D6131&lt;25000,"&lt;$25k",IF(D6131&lt;50000,"$25k-$50k",IF(D6131&lt;75000,"$50k-$75k",IF(D6131&lt;100000,"$75k-$100k","$100k+")))))</x:f>
        <x:v>$75k-$100k</x:v>
      </x:c>
      <x:c r="P6131" t="str">
        <x:f>IF(E6131="","Unknown",IF(E6131&lt;10,"&lt;10",IF(E6131&lt;20,"10-&lt;20",IF(E6131&lt;25,"20-&lt;25",IF(E6131&lt;35,"25-&lt;35","35+")))))</x:f>
        <x:v>&lt;10</x:v>
      </x:c>
    </x:row>
    <x:row r="6132">
      <x:c r="A6132" t="str">
        <x:v>SYN0006131</x:v>
      </x:c>
      <x:c r="B6132" s="12" t="n">
        <x:v>41665</x:v>
      </x:c>
      <x:c r="C6132" s="18" t="n">
        <x:v>33307</x:v>
      </x:c>
      <x:c r="D6132" s="18" t="n">
        <x:v>40832</x:v>
      </x:c>
      <x:c r="E6132" s="18" t="n">
        <x:v>20.96</x:v>
      </x:c>
      <x:c r="F6132" s="18" t="n">
        <x:v>11.33</x:v>
      </x:c>
      <x:c r="G6132" t="n">
        <x:v>36</x:v>
      </x:c>
      <x:c r="H6132" t="str">
        <x:v>C</x:v>
      </x:c>
      <x:c r="I6132" t="str">
        <x:v>4-6 years</x:v>
      </x:c>
      <x:c r="J6132" t="str">
        <x:v>RENT</x:v>
      </x:c>
      <x:c r="K6132" t="str">
        <x:v>debt_consolidation</x:v>
      </x:c>
      <x:c r="L6132" t="n">
        <x:v>1</x:v>
      </x:c>
      <x:c r="M6132" t="n">
        <x:v>0</x:v>
      </x:c>
      <x:c r="N6132" t="str">
        <x:v>Fully Paid</x:v>
      </x:c>
      <x:c r="O6132" t="str">
        <x:f>IF(D6132="","Unknown",IF(D6132&lt;25000,"&lt;$25k",IF(D6132&lt;50000,"$25k-$50k",IF(D6132&lt;75000,"$50k-$75k",IF(D6132&lt;100000,"$75k-$100k","$100k+")))))</x:f>
        <x:v>$25k-$50k</x:v>
      </x:c>
      <x:c r="P6132" t="str">
        <x:f>IF(E6132="","Unknown",IF(E6132&lt;10,"&lt;10",IF(E6132&lt;20,"10-&lt;20",IF(E6132&lt;25,"20-&lt;25",IF(E6132&lt;35,"25-&lt;35","35+")))))</x:f>
        <x:v>20-&lt;25</x:v>
      </x:c>
    </x:row>
    <x:row r="6133">
      <x:c r="A6133" t="str">
        <x:v>SYN0006132</x:v>
      </x:c>
      <x:c r="B6133" s="12" t="n">
        <x:v>42835</x:v>
      </x:c>
      <x:c r="C6133" s="18" t="n">
        <x:v>15959</x:v>
      </x:c>
      <x:c r="D6133" s="18" t="n">
        <x:v>32877</x:v>
      </x:c>
      <x:c r="E6133" s="18" t="n">
        <x:v>23.52</x:v>
      </x:c>
      <x:c r="F6133" s="18" t="n">
        <x:v>8.51</x:v>
      </x:c>
      <x:c r="G6133" t="n">
        <x:v>36</x:v>
      </x:c>
      <x:c r="H6133" t="str">
        <x:v>B</x:v>
      </x:c>
      <x:c r="I6133" t="str">
        <x:v>&lt;1 year</x:v>
      </x:c>
      <x:c r="J6133" t="str">
        <x:v>MORTGAGE</x:v>
      </x:c>
      <x:c r="K6133" t="str">
        <x:v>medical</x:v>
      </x:c>
      <x:c r="L6133" t="n">
        <x:v>0</x:v>
      </x:c>
      <x:c r="M6133" t="n">
        <x:v>0</x:v>
      </x:c>
      <x:c r="N6133" t="str">
        <x:v>Fully Paid</x:v>
      </x:c>
      <x:c r="O6133" t="str">
        <x:f>IF(D6133="","Unknown",IF(D6133&lt;25000,"&lt;$25k",IF(D6133&lt;50000,"$25k-$50k",IF(D6133&lt;75000,"$50k-$75k",IF(D6133&lt;100000,"$75k-$100k","$100k+")))))</x:f>
        <x:v>$25k-$50k</x:v>
      </x:c>
      <x:c r="P6133" t="str">
        <x:f>IF(E6133="","Unknown",IF(E6133&lt;10,"&lt;10",IF(E6133&lt;20,"10-&lt;20",IF(E6133&lt;25,"20-&lt;25",IF(E6133&lt;35,"25-&lt;35","35+")))))</x:f>
        <x:v>20-&lt;25</x:v>
      </x:c>
    </x:row>
    <x:row r="6134">
      <x:c r="A6134" t="str">
        <x:v>SYN0006133</x:v>
      </x:c>
      <x:c r="B6134" s="12" t="n">
        <x:v>41575</x:v>
      </x:c>
      <x:c r="C6134" s="18" t="n">
        <x:v>11216</x:v>
      </x:c>
      <x:c r="D6134" s="18" t="n">
        <x:v>69834</x:v>
      </x:c>
      <x:c r="E6134" s="18" t="n">
        <x:v>19.04</x:v>
      </x:c>
      <x:c r="F6134" s="18" t="n">
        <x:v>17.22</x:v>
      </x:c>
      <x:c r="G6134" t="n">
        <x:v>60</x:v>
      </x:c>
      <x:c r="H6134" t="str">
        <x:v>E</x:v>
      </x:c>
      <x:c r="I6134" t="str">
        <x:v>1-3 years</x:v>
      </x:c>
      <x:c r="J6134" t="str">
        <x:v>OWN</x:v>
      </x:c>
      <x:c r="K6134" t="str">
        <x:v>home_improvement</x:v>
      </x:c>
      <x:c r="L6134" t="n">
        <x:v>0</x:v>
      </x:c>
      <x:c r="M6134" t="n">
        <x:v>0</x:v>
      </x:c>
      <x:c r="N6134" t="str">
        <x:v>Fully Paid</x:v>
      </x:c>
      <x:c r="O6134" t="str">
        <x:f>IF(D6134="","Unknown",IF(D6134&lt;25000,"&lt;$25k",IF(D6134&lt;50000,"$25k-$50k",IF(D6134&lt;75000,"$50k-$75k",IF(D6134&lt;100000,"$75k-$100k","$100k+")))))</x:f>
        <x:v>$50k-$75k</x:v>
      </x:c>
      <x:c r="P6134" t="str">
        <x:f>IF(E6134="","Unknown",IF(E6134&lt;10,"&lt;10",IF(E6134&lt;20,"10-&lt;20",IF(E6134&lt;25,"20-&lt;25",IF(E6134&lt;35,"25-&lt;35","35+")))))</x:f>
        <x:v>10-&lt;20</x:v>
      </x:c>
    </x:row>
    <x:row r="6135">
      <x:c r="A6135" t="str">
        <x:v>SYN0006134</x:v>
      </x:c>
      <x:c r="B6135" s="12" t="n">
        <x:v>42895</x:v>
      </x:c>
      <x:c r="C6135" s="18" t="n">
        <x:v>14412</x:v>
      </x:c>
      <x:c r="D6135" s="18" t="n">
        <x:v>86262</x:v>
      </x:c>
      <x:c r="E6135" s="18" t="n">
        <x:v>25.24</x:v>
      </x:c>
      <x:c r="F6135" s="18" t="n">
        <x:v>19.08</x:v>
      </x:c>
      <x:c r="G6135" t="n">
        <x:v>60</x:v>
      </x:c>
      <x:c r="H6135" t="str">
        <x:v>E</x:v>
      </x:c>
      <x:c r="I6135" t="str">
        <x:v>10+ years</x:v>
      </x:c>
      <x:c r="J6135" t="str">
        <x:v>MORTGAGE</x:v>
      </x:c>
      <x:c r="K6135" t="str">
        <x:v>credit_card</x:v>
      </x:c>
      <x:c r="L6135" t="n">
        <x:v>1</x:v>
      </x:c>
      <x:c r="M6135" t="n">
        <x:v>0</x:v>
      </x:c>
      <x:c r="N6135" t="str">
        <x:v>Fully Paid</x:v>
      </x:c>
      <x:c r="O6135" t="str">
        <x:f>IF(D6135="","Unknown",IF(D6135&lt;25000,"&lt;$25k",IF(D6135&lt;50000,"$25k-$50k",IF(D6135&lt;75000,"$50k-$75k",IF(D6135&lt;100000,"$75k-$100k","$100k+")))))</x:f>
        <x:v>$75k-$100k</x:v>
      </x:c>
      <x:c r="P6135" t="str">
        <x:f>IF(E6135="","Unknown",IF(E6135&lt;10,"&lt;10",IF(E6135&lt;20,"10-&lt;20",IF(E6135&lt;25,"20-&lt;25",IF(E6135&lt;35,"25-&lt;35","35+")))))</x:f>
        <x:v>25-&lt;35</x:v>
      </x:c>
    </x:row>
    <x:row r="6136">
      <x:c r="A6136" t="str">
        <x:v>SYN0006135</x:v>
      </x:c>
      <x:c r="B6136" s="12" t="n">
        <x:v>42895</x:v>
      </x:c>
      <x:c r="C6136" s="18" t="n">
        <x:v>26758</x:v>
      </x:c>
      <x:c r="D6136" s="18" t="n">
        <x:v>27308</x:v>
      </x:c>
      <x:c r="E6136" s="18" t="n">
        <x:v>19.39</x:v>
      </x:c>
      <x:c r="F6136" s="18" t="n">
        <x:v>24.59</x:v>
      </x:c>
      <x:c r="G6136" t="n">
        <x:v>36</x:v>
      </x:c>
      <x:c r="H6136" t="str">
        <x:v>F</x:v>
      </x:c>
      <x:c r="I6136" t="str">
        <x:v>10+ years</x:v>
      </x:c>
      <x:c r="J6136" t="str">
        <x:v>OWN</x:v>
      </x:c>
      <x:c r="K6136" t="str">
        <x:v>credit_card</x:v>
      </x:c>
      <x:c r="L6136" t="n">
        <x:v>1</x:v>
      </x:c>
      <x:c r="M6136" t="n">
        <x:v>0</x:v>
      </x:c>
      <x:c r="N6136" t="str">
        <x:v>Fully Paid</x:v>
      </x:c>
      <x:c r="O6136" t="str">
        <x:f>IF(D6136="","Unknown",IF(D6136&lt;25000,"&lt;$25k",IF(D6136&lt;50000,"$25k-$50k",IF(D6136&lt;75000,"$50k-$75k",IF(D6136&lt;100000,"$75k-$100k","$100k+")))))</x:f>
        <x:v>$25k-$50k</x:v>
      </x:c>
      <x:c r="P6136" t="str">
        <x:f>IF(E6136="","Unknown",IF(E6136&lt;10,"&lt;10",IF(E6136&lt;20,"10-&lt;20",IF(E6136&lt;25,"20-&lt;25",IF(E6136&lt;35,"25-&lt;35","35+")))))</x:f>
        <x:v>10-&lt;20</x:v>
      </x:c>
    </x:row>
    <x:row r="6137">
      <x:c r="A6137" t="str">
        <x:v>SYN0006136</x:v>
      </x:c>
      <x:c r="B6137" s="12" t="n">
        <x:v>41365</x:v>
      </x:c>
      <x:c r="C6137" s="18" t="n">
        <x:v>8988</x:v>
      </x:c>
      <x:c r="D6137" s="18" t="n">
        <x:v>107012</x:v>
      </x:c>
      <x:c r="E6137" s="18" t="n">
        <x:v>23</x:v>
      </x:c>
      <x:c r="F6137" s="18" t="n">
        <x:v>10.22</x:v>
      </x:c>
      <x:c r="G6137" t="n">
        <x:v>36</x:v>
      </x:c>
      <x:c r="H6137" t="str">
        <x:v>D</x:v>
      </x:c>
      <x:c r="I6137" t="str">
        <x:v>&lt;1 year</x:v>
      </x:c>
      <x:c r="J6137" t="str">
        <x:v>RENT</x:v>
      </x:c>
      <x:c r="K6137" t="str">
        <x:v>debt_consolidation</x:v>
      </x:c>
      <x:c r="L6137" t="n">
        <x:v>1</x:v>
      </x:c>
      <x:c r="M6137" t="n">
        <x:v>0</x:v>
      </x:c>
      <x:c r="N6137" t="str">
        <x:v>Fully Paid</x:v>
      </x:c>
      <x:c r="O6137" t="str">
        <x:f>IF(D6137="","Unknown",IF(D6137&lt;25000,"&lt;$25k",IF(D6137&lt;50000,"$25k-$50k",IF(D6137&lt;75000,"$50k-$75k",IF(D6137&lt;100000,"$75k-$100k","$100k+")))))</x:f>
        <x:v>$100k+</x:v>
      </x:c>
      <x:c r="P6137" t="str">
        <x:f>IF(E6137="","Unknown",IF(E6137&lt;10,"&lt;10",IF(E6137&lt;20,"10-&lt;20",IF(E6137&lt;25,"20-&lt;25",IF(E6137&lt;35,"25-&lt;35","35+")))))</x:f>
        <x:v>20-&lt;25</x:v>
      </x:c>
    </x:row>
    <x:row r="6138">
      <x:c r="A6138" t="str">
        <x:v>SYN0006137</x:v>
      </x:c>
      <x:c r="B6138" s="12" t="n">
        <x:v>42325</x:v>
      </x:c>
      <x:c r="C6138" s="18" t="n">
        <x:v>10386</x:v>
      </x:c>
      <x:c r="D6138" s="18" t="n">
        <x:v>43601</x:v>
      </x:c>
      <x:c r="E6138" s="18" t="n">
        <x:v>0.15</x:v>
      </x:c>
      <x:c r="F6138" s="18" t="n">
        <x:v>11.72</x:v>
      </x:c>
      <x:c r="G6138" t="n">
        <x:v>36</x:v>
      </x:c>
      <x:c r="H6138" t="str">
        <x:v>B</x:v>
      </x:c>
      <x:c r="I6138" t="str">
        <x:v>1-3 years</x:v>
      </x:c>
      <x:c r="J6138" t="str">
        <x:v>RENT</x:v>
      </x:c>
      <x:c r="K6138" t="str">
        <x:v>major_purchase</x:v>
      </x:c>
      <x:c r="L6138" t="n">
        <x:v>0</x:v>
      </x:c>
      <x:c r="M6138" t="n">
        <x:v>0</x:v>
      </x:c>
      <x:c r="N6138" t="str">
        <x:v>Fully Paid</x:v>
      </x:c>
      <x:c r="O6138" t="str">
        <x:f>IF(D6138="","Unknown",IF(D6138&lt;25000,"&lt;$25k",IF(D6138&lt;50000,"$25k-$50k",IF(D6138&lt;75000,"$50k-$75k",IF(D6138&lt;100000,"$75k-$100k","$100k+")))))</x:f>
        <x:v>$25k-$50k</x:v>
      </x:c>
      <x:c r="P6138" t="str">
        <x:f>IF(E6138="","Unknown",IF(E6138&lt;10,"&lt;10",IF(E6138&lt;20,"10-&lt;20",IF(E6138&lt;25,"20-&lt;25",IF(E6138&lt;35,"25-&lt;35","35+")))))</x:f>
        <x:v>&lt;10</x:v>
      </x:c>
    </x:row>
    <x:row r="6139">
      <x:c r="A6139" t="str">
        <x:v>SYN0006138</x:v>
      </x:c>
      <x:c r="B6139" s="12" t="n">
        <x:v>42235</x:v>
      </x:c>
      <x:c r="C6139" s="18" t="n">
        <x:v>7824</x:v>
      </x:c>
      <x:c r="D6139" s="18" t="n">
        <x:v>23979</x:v>
      </x:c>
      <x:c r="E6139" s="18" t="n">
        <x:v>9.08</x:v>
      </x:c>
      <x:c r="F6139" s="18" t="n">
        <x:v>6.77</x:v>
      </x:c>
      <x:c r="G6139" t="n">
        <x:v>36</x:v>
      </x:c>
      <x:c r="H6139" t="str">
        <x:v>A</x:v>
      </x:c>
      <x:c r="I6139" t="str">
        <x:v>4-6 years</x:v>
      </x:c>
      <x:c r="J6139" t="str">
        <x:v>MORTGAGE</x:v>
      </x:c>
      <x:c r="K6139" t="str">
        <x:v>debt_consolidation</x:v>
      </x:c>
      <x:c r="L6139" t="n">
        <x:v>0</x:v>
      </x:c>
      <x:c r="M6139" t="n">
        <x:v>0</x:v>
      </x:c>
      <x:c r="N6139" t="str">
        <x:v>Fully Paid</x:v>
      </x:c>
      <x:c r="O6139" t="str">
        <x:f>IF(D6139="","Unknown",IF(D6139&lt;25000,"&lt;$25k",IF(D6139&lt;50000,"$25k-$50k",IF(D6139&lt;75000,"$50k-$75k",IF(D6139&lt;100000,"$75k-$100k","$100k+")))))</x:f>
        <x:v>&lt;$25k</x:v>
      </x:c>
      <x:c r="P6139" t="str">
        <x:f>IF(E6139="","Unknown",IF(E6139&lt;10,"&lt;10",IF(E6139&lt;20,"10-&lt;20",IF(E6139&lt;25,"20-&lt;25",IF(E6139&lt;35,"25-&lt;35","35+")))))</x:f>
        <x:v>&lt;10</x:v>
      </x:c>
    </x:row>
    <x:row r="6140">
      <x:c r="A6140" t="str">
        <x:v>SYN0006139</x:v>
      </x:c>
      <x:c r="B6140" s="12" t="n">
        <x:v>42625</x:v>
      </x:c>
      <x:c r="C6140" s="18" t="n">
        <x:v>7881</x:v>
      </x:c>
      <x:c r="D6140" s="18" t="n">
        <x:v>60965</x:v>
      </x:c>
      <x:c r="E6140" s="18" t="n">
        <x:v>14.43</x:v>
      </x:c>
      <x:c r="F6140" s="18" t="n">
        <x:v>14.94</x:v>
      </x:c>
      <x:c r="G6140" t="n">
        <x:v>60</x:v>
      </x:c>
      <x:c r="H6140" t="str">
        <x:v>D</x:v>
      </x:c>
      <x:c r="I6140" t="str">
        <x:v>4-6 years</x:v>
      </x:c>
      <x:c r="J6140" t="str">
        <x:v>MORTGAGE</x:v>
      </x:c>
      <x:c r="K6140" t="str">
        <x:v>other</x:v>
      </x:c>
      <x:c r="L6140" t="n">
        <x:v>0</x:v>
      </x:c>
      <x:c r="M6140" t="n">
        <x:v>0</x:v>
      </x:c>
      <x:c r="N6140" t="str">
        <x:v>Fully Paid</x:v>
      </x:c>
      <x:c r="O6140" t="str">
        <x:f>IF(D6140="","Unknown",IF(D6140&lt;25000,"&lt;$25k",IF(D6140&lt;50000,"$25k-$50k",IF(D6140&lt;75000,"$50k-$75k",IF(D6140&lt;100000,"$75k-$100k","$100k+")))))</x:f>
        <x:v>$50k-$75k</x:v>
      </x:c>
      <x:c r="P6140" t="str">
        <x:f>IF(E6140="","Unknown",IF(E6140&lt;10,"&lt;10",IF(E6140&lt;20,"10-&lt;20",IF(E6140&lt;25,"20-&lt;25",IF(E6140&lt;35,"25-&lt;35","35+")))))</x:f>
        <x:v>10-&lt;20</x:v>
      </x:c>
    </x:row>
    <x:row r="6141">
      <x:c r="A6141" t="str">
        <x:v>SYN0006140</x:v>
      </x:c>
      <x:c r="B6141" s="12" t="n">
        <x:v>42475</x:v>
      </x:c>
      <x:c r="C6141" s="18" t="n">
        <x:v>7626</x:v>
      </x:c>
      <x:c r="D6141" s="18" t="n">
        <x:v>44600</x:v>
      </x:c>
      <x:c r="E6141" s="18" t="n">
        <x:v>28.69</x:v>
      </x:c>
      <x:c r="F6141" s="18" t="n">
        <x:v>26.51</x:v>
      </x:c>
      <x:c r="G6141" t="n">
        <x:v>36</x:v>
      </x:c>
      <x:c r="H6141" t="str">
        <x:v>G</x:v>
      </x:c>
      <x:c r="I6141" t="str">
        <x:v>10+ years</x:v>
      </x:c>
      <x:c r="J6141" t="str">
        <x:v>MORTGAGE</x:v>
      </x:c>
      <x:c r="K6141" t="str">
        <x:v>debt_consolidation</x:v>
      </x:c>
      <x:c r="L6141" t="n">
        <x:v>0</x:v>
      </x:c>
      <x:c r="M6141" t="n">
        <x:v>0</x:v>
      </x:c>
      <x:c r="N6141" t="str">
        <x:v>Fully Paid</x:v>
      </x:c>
      <x:c r="O6141" t="str">
        <x:f>IF(D6141="","Unknown",IF(D6141&lt;25000,"&lt;$25k",IF(D6141&lt;50000,"$25k-$50k",IF(D6141&lt;75000,"$50k-$75k",IF(D6141&lt;100000,"$75k-$100k","$100k+")))))</x:f>
        <x:v>$25k-$50k</x:v>
      </x:c>
      <x:c r="P6141" t="str">
        <x:f>IF(E6141="","Unknown",IF(E6141&lt;10,"&lt;10",IF(E6141&lt;20,"10-&lt;20",IF(E6141&lt;25,"20-&lt;25",IF(E6141&lt;35,"25-&lt;35","35+")))))</x:f>
        <x:v>25-&lt;35</x:v>
      </x:c>
    </x:row>
    <x:row r="6142">
      <x:c r="A6142" t="str">
        <x:v>SYN0006141</x:v>
      </x:c>
      <x:c r="B6142" s="12" t="n">
        <x:v>42805</x:v>
      </x:c>
      <x:c r="C6142" s="18" t="n">
        <x:v>30860</x:v>
      </x:c>
      <x:c r="D6142" s="18" t="n">
        <x:v>33171</x:v>
      </x:c>
      <x:c r="E6142" s="18" t="n">
        <x:v>19.49</x:v>
      </x:c>
      <x:c r="F6142" s="18" t="n">
        <x:v>8.25</x:v>
      </x:c>
      <x:c r="G6142" t="n">
        <x:v>36</x:v>
      </x:c>
      <x:c r="H6142" t="str">
        <x:v>C</x:v>
      </x:c>
      <x:c r="I6142" t="str">
        <x:v>7-9 years</x:v>
      </x:c>
      <x:c r="J6142" t="str">
        <x:v>OWN</x:v>
      </x:c>
      <x:c r="K6142" t="str">
        <x:v>other</x:v>
      </x:c>
      <x:c r="L6142" t="n">
        <x:v>0</x:v>
      </x:c>
      <x:c r="M6142" t="n">
        <x:v>0</x:v>
      </x:c>
      <x:c r="N6142" t="str">
        <x:v>Fully Paid</x:v>
      </x:c>
      <x:c r="O6142" t="str">
        <x:f>IF(D6142="","Unknown",IF(D6142&lt;25000,"&lt;$25k",IF(D6142&lt;50000,"$25k-$50k",IF(D6142&lt;75000,"$50k-$75k",IF(D6142&lt;100000,"$75k-$100k","$100k+")))))</x:f>
        <x:v>$25k-$50k</x:v>
      </x:c>
      <x:c r="P6142" t="str">
        <x:f>IF(E6142="","Unknown",IF(E6142&lt;10,"&lt;10",IF(E6142&lt;20,"10-&lt;20",IF(E6142&lt;25,"20-&lt;25",IF(E6142&lt;35,"25-&lt;35","35+")))))</x:f>
        <x:v>10-&lt;20</x:v>
      </x:c>
    </x:row>
    <x:row r="6143">
      <x:c r="A6143" t="str">
        <x:v>SYN0006142</x:v>
      </x:c>
      <x:c r="B6143" s="12" t="n">
        <x:v>41965</x:v>
      </x:c>
      <x:c r="C6143" s="18" t="n">
        <x:v>6972</x:v>
      </x:c>
      <x:c r="D6143" s="18" t="n">
        <x:v>57166</x:v>
      </x:c>
      <x:c r="E6143" s="18" t="n">
        <x:v>14.33</x:v>
      </x:c>
      <x:c r="F6143" s="18" t="n">
        <x:v>11.56</x:v>
      </x:c>
      <x:c r="G6143" t="n">
        <x:v>36</x:v>
      </x:c>
      <x:c r="H6143" t="str">
        <x:v>C</x:v>
      </x:c>
      <x:c r="I6143" t="str">
        <x:v>4-6 years</x:v>
      </x:c>
      <x:c r="J6143" t="str">
        <x:v>RENT</x:v>
      </x:c>
      <x:c r="K6143" t="str">
        <x:v>credit_card</x:v>
      </x:c>
      <x:c r="L6143" t="n">
        <x:v>1</x:v>
      </x:c>
      <x:c r="M6143" t="n">
        <x:v>0</x:v>
      </x:c>
      <x:c r="N6143" t="str">
        <x:v>Fully Paid</x:v>
      </x:c>
      <x:c r="O6143" t="str">
        <x:f>IF(D6143="","Unknown",IF(D6143&lt;25000,"&lt;$25k",IF(D6143&lt;50000,"$25k-$50k",IF(D6143&lt;75000,"$50k-$75k",IF(D6143&lt;100000,"$75k-$100k","$100k+")))))</x:f>
        <x:v>$50k-$75k</x:v>
      </x:c>
      <x:c r="P6143" t="str">
        <x:f>IF(E6143="","Unknown",IF(E6143&lt;10,"&lt;10",IF(E6143&lt;20,"10-&lt;20",IF(E6143&lt;25,"20-&lt;25",IF(E6143&lt;35,"25-&lt;35","35+")))))</x:f>
        <x:v>10-&lt;20</x:v>
      </x:c>
    </x:row>
    <x:row r="6144">
      <x:c r="A6144" t="str">
        <x:v>SYN0006143</x:v>
      </x:c>
      <x:c r="B6144" s="12" t="n">
        <x:v>42535</x:v>
      </x:c>
      <x:c r="C6144" s="18" t="n">
        <x:v>20419</x:v>
      </x:c>
      <x:c r="D6144" s="18" t="n">
        <x:v>47499</x:v>
      </x:c>
      <x:c r="E6144" s="18" t="n">
        <x:v>28.77</x:v>
      </x:c>
      <x:c r="F6144" s="18" t="n">
        <x:v>19.04</x:v>
      </x:c>
      <x:c r="G6144" t="n">
        <x:v>36</x:v>
      </x:c>
      <x:c r="H6144" t="str">
        <x:v>D</x:v>
      </x:c>
      <x:c r="I6144" t="str">
        <x:v>1-3 years</x:v>
      </x:c>
      <x:c r="J6144" t="str">
        <x:v>MORTGAGE</x:v>
      </x:c>
      <x:c r="K6144" t="str">
        <x:v>debt_consolidation</x:v>
      </x:c>
      <x:c r="L6144" t="n">
        <x:v>0</x:v>
      </x:c>
      <x:c r="M6144" t="n">
        <x:v>0</x:v>
      </x:c>
      <x:c r="N6144" t="str">
        <x:v>Fully Paid</x:v>
      </x:c>
      <x:c r="O6144" t="str">
        <x:f>IF(D6144="","Unknown",IF(D6144&lt;25000,"&lt;$25k",IF(D6144&lt;50000,"$25k-$50k",IF(D6144&lt;75000,"$50k-$75k",IF(D6144&lt;100000,"$75k-$100k","$100k+")))))</x:f>
        <x:v>$25k-$50k</x:v>
      </x:c>
      <x:c r="P6144" t="str">
        <x:f>IF(E6144="","Unknown",IF(E6144&lt;10,"&lt;10",IF(E6144&lt;20,"10-&lt;20",IF(E6144&lt;25,"20-&lt;25",IF(E6144&lt;35,"25-&lt;35","35+")))))</x:f>
        <x:v>25-&lt;35</x:v>
      </x:c>
    </x:row>
    <x:row r="6145">
      <x:c r="A6145" t="str">
        <x:v>SYN0006144</x:v>
      </x:c>
      <x:c r="B6145" s="12" t="n">
        <x:v>41785</x:v>
      </x:c>
      <x:c r="C6145" s="18" t="n">
        <x:v>20897</x:v>
      </x:c>
      <x:c r="D6145" s="18" t="n">
        <x:v>85513</x:v>
      </x:c>
      <x:c r="E6145" s="18" t="n">
        <x:v>38.86</x:v>
      </x:c>
      <x:c r="F6145" s="18" t="n">
        <x:v>21.79</x:v>
      </x:c>
      <x:c r="G6145" t="n">
        <x:v>60</x:v>
      </x:c>
      <x:c r="H6145" t="str">
        <x:v>E</x:v>
      </x:c>
      <x:c r="I6145" t="str">
        <x:v>1-3 years</x:v>
      </x:c>
      <x:c r="J6145" t="str">
        <x:v>OWN</x:v>
      </x:c>
      <x:c r="K6145" t="str">
        <x:v>credit_card</x:v>
      </x:c>
      <x:c r="L6145" t="n">
        <x:v>1</x:v>
      </x:c>
      <x:c r="M6145" t="n">
        <x:v>1</x:v>
      </x:c>
      <x:c r="N6145" t="str">
        <x:v>Charged Off</x:v>
      </x:c>
      <x:c r="O6145" t="str">
        <x:f>IF(D6145="","Unknown",IF(D6145&lt;25000,"&lt;$25k",IF(D6145&lt;50000,"$25k-$50k",IF(D6145&lt;75000,"$50k-$75k",IF(D6145&lt;100000,"$75k-$100k","$100k+")))))</x:f>
        <x:v>$75k-$100k</x:v>
      </x:c>
      <x:c r="P6145" t="str">
        <x:f>IF(E6145="","Unknown",IF(E6145&lt;10,"&lt;10",IF(E6145&lt;20,"10-&lt;20",IF(E6145&lt;25,"20-&lt;25",IF(E6145&lt;35,"25-&lt;35","35+")))))</x:f>
        <x:v>35+</x:v>
      </x:c>
    </x:row>
    <x:row r="6146">
      <x:c r="A6146" t="str">
        <x:v>SYN0006145</x:v>
      </x:c>
      <x:c r="B6146" s="12" t="n">
        <x:v>43165</x:v>
      </x:c>
      <x:c r="C6146" s="18" t="n">
        <x:v>4484</x:v>
      </x:c>
      <x:c r="D6146" s="18" t="n">
        <x:v>45411</x:v>
      </x:c>
      <x:c r="E6146" s="18" t="n">
        <x:v>31.52</x:v>
      </x:c>
      <x:c r="F6146" s="18" t="n">
        <x:v>11.49</x:v>
      </x:c>
      <x:c r="G6146" t="n">
        <x:v>60</x:v>
      </x:c>
      <x:c r="H6146" t="str">
        <x:v>D</x:v>
      </x:c>
      <x:c r="I6146" t="str">
        <x:v>4-6 years</x:v>
      </x:c>
      <x:c r="J6146" t="str">
        <x:v>MORTGAGE</x:v>
      </x:c>
      <x:c r="K6146" t="str">
        <x:v>debt_consolidation</x:v>
      </x:c>
      <x:c r="L6146" t="n">
        <x:v>0</x:v>
      </x:c>
      <x:c r="M6146" t="n">
        <x:v>0</x:v>
      </x:c>
      <x:c r="N6146" t="str">
        <x:v>Fully Paid</x:v>
      </x:c>
      <x:c r="O6146" t="str">
        <x:f>IF(D6146="","Unknown",IF(D6146&lt;25000,"&lt;$25k",IF(D6146&lt;50000,"$25k-$50k",IF(D6146&lt;75000,"$50k-$75k",IF(D6146&lt;100000,"$75k-$100k","$100k+")))))</x:f>
        <x:v>$25k-$50k</x:v>
      </x:c>
      <x:c r="P6146" t="str">
        <x:f>IF(E6146="","Unknown",IF(E6146&lt;10,"&lt;10",IF(E6146&lt;20,"10-&lt;20",IF(E6146&lt;25,"20-&lt;25",IF(E6146&lt;35,"25-&lt;35","35+")))))</x:f>
        <x:v>25-&lt;35</x:v>
      </x:c>
    </x:row>
    <x:row r="6147">
      <x:c r="A6147" t="str">
        <x:v>SYN0006146</x:v>
      </x:c>
      <x:c r="B6147" s="12" t="n">
        <x:v>41485</x:v>
      </x:c>
      <x:c r="C6147" s="18" t="n">
        <x:v>15905</x:v>
      </x:c>
      <x:c r="D6147" s="18" t="n">
        <x:v>110058</x:v>
      </x:c>
      <x:c r="E6147" s="18" t="n">
        <x:v>28.34</x:v>
      </x:c>
      <x:c r="F6147" s="18" t="n">
        <x:v>11.33</x:v>
      </x:c>
      <x:c r="G6147" t="n">
        <x:v>60</x:v>
      </x:c>
      <x:c r="H6147" t="str">
        <x:v>C</x:v>
      </x:c>
      <x:c r="I6147" t="str">
        <x:v>&lt;1 year</x:v>
      </x:c>
      <x:c r="J6147" t="str">
        <x:v>MORTGAGE</x:v>
      </x:c>
      <x:c r="K6147" t="str">
        <x:v>home_improvement</x:v>
      </x:c>
      <x:c r="L6147" t="n">
        <x:v>0</x:v>
      </x:c>
      <x:c r="M6147" t="n">
        <x:v>0</x:v>
      </x:c>
      <x:c r="N6147" t="str">
        <x:v>Fully Paid</x:v>
      </x:c>
      <x:c r="O6147" t="str">
        <x:f>IF(D6147="","Unknown",IF(D6147&lt;25000,"&lt;$25k",IF(D6147&lt;50000,"$25k-$50k",IF(D6147&lt;75000,"$50k-$75k",IF(D6147&lt;100000,"$75k-$100k","$100k+")))))</x:f>
        <x:v>$100k+</x:v>
      </x:c>
      <x:c r="P6147" t="str">
        <x:f>IF(E6147="","Unknown",IF(E6147&lt;10,"&lt;10",IF(E6147&lt;20,"10-&lt;20",IF(E6147&lt;25,"20-&lt;25",IF(E6147&lt;35,"25-&lt;35","35+")))))</x:f>
        <x:v>25-&lt;35</x:v>
      </x:c>
    </x:row>
    <x:row r="6148">
      <x:c r="A6148" t="str">
        <x:v>SYN0006147</x:v>
      </x:c>
      <x:c r="B6148" s="12" t="n">
        <x:v>42625</x:v>
      </x:c>
      <x:c r="C6148" s="18" t="n">
        <x:v>16500</x:v>
      </x:c>
      <x:c r="D6148" s="18" t="n">
        <x:v>54129</x:v>
      </x:c>
      <x:c r="E6148" s="18" t="n">
        <x:v>24.01</x:v>
      </x:c>
      <x:c r="F6148" s="18" t="n">
        <x:v>18.16</x:v>
      </x:c>
      <x:c r="G6148" t="n">
        <x:v>36</x:v>
      </x:c>
      <x:c r="H6148" t="str">
        <x:v>E</x:v>
      </x:c>
      <x:c r="I6148" t="str">
        <x:v>&lt;1 year</x:v>
      </x:c>
      <x:c r="J6148" t="str">
        <x:v>RENT</x:v>
      </x:c>
      <x:c r="K6148" t="str">
        <x:v>debt_consolidation</x:v>
      </x:c>
      <x:c r="L6148" t="n">
        <x:v>2</x:v>
      </x:c>
      <x:c r="M6148" t="n">
        <x:v>0</x:v>
      </x:c>
      <x:c r="N6148" t="str">
        <x:v>Fully Paid</x:v>
      </x:c>
      <x:c r="O6148" t="str">
        <x:f>IF(D6148="","Unknown",IF(D6148&lt;25000,"&lt;$25k",IF(D6148&lt;50000,"$25k-$50k",IF(D6148&lt;75000,"$50k-$75k",IF(D6148&lt;100000,"$75k-$100k","$100k+")))))</x:f>
        <x:v>$50k-$75k</x:v>
      </x:c>
      <x:c r="P6148" t="str">
        <x:f>IF(E6148="","Unknown",IF(E6148&lt;10,"&lt;10",IF(E6148&lt;20,"10-&lt;20",IF(E6148&lt;25,"20-&lt;25",IF(E6148&lt;35,"25-&lt;35","35+")))))</x:f>
        <x:v>20-&lt;25</x:v>
      </x:c>
    </x:row>
    <x:row r="6149">
      <x:c r="A6149" t="str">
        <x:v>SYN0006148</x:v>
      </x:c>
      <x:c r="B6149" s="12" t="n">
        <x:v>42115</x:v>
      </x:c>
      <x:c r="C6149" s="18" t="n">
        <x:v>10288</x:v>
      </x:c>
      <x:c r="D6149" s="18" t="n">
        <x:v>37584</x:v>
      </x:c>
      <x:c r="E6149" s="18" t="n">
        <x:v>4.92</x:v>
      </x:c>
      <x:c r="F6149" s="18" t="n">
        <x:v>10.66</x:v>
      </x:c>
      <x:c r="G6149" t="n">
        <x:v>36</x:v>
      </x:c>
      <x:c r="H6149" t="str">
        <x:v>C</x:v>
      </x:c>
      <x:c r="I6149" t="str">
        <x:v>10+ years</x:v>
      </x:c>
      <x:c r="J6149" t="str">
        <x:v>MORTGAGE</x:v>
      </x:c>
      <x:c r="K6149" t="str">
        <x:v>credit_card</x:v>
      </x:c>
      <x:c r="L6149" t="n">
        <x:v>0</x:v>
      </x:c>
      <x:c r="M6149" t="n">
        <x:v>0</x:v>
      </x:c>
      <x:c r="N6149" t="str">
        <x:v>Fully Paid</x:v>
      </x:c>
      <x:c r="O6149" t="str">
        <x:f>IF(D6149="","Unknown",IF(D6149&lt;25000,"&lt;$25k",IF(D6149&lt;50000,"$25k-$50k",IF(D6149&lt;75000,"$50k-$75k",IF(D6149&lt;100000,"$75k-$100k","$100k+")))))</x:f>
        <x:v>$25k-$50k</x:v>
      </x:c>
      <x:c r="P6149" t="str">
        <x:f>IF(E6149="","Unknown",IF(E6149&lt;10,"&lt;10",IF(E6149&lt;20,"10-&lt;20",IF(E6149&lt;25,"20-&lt;25",IF(E6149&lt;35,"25-&lt;35","35+")))))</x:f>
        <x:v>&lt;10</x:v>
      </x:c>
    </x:row>
    <x:row r="6150">
      <x:c r="A6150" t="str">
        <x:v>SYN0006149</x:v>
      </x:c>
      <x:c r="B6150" s="12" t="n">
        <x:v>42325</x:v>
      </x:c>
      <x:c r="C6150" s="18" t="n">
        <x:v>8127</x:v>
      </x:c>
      <x:c r="D6150" s="18" t="n">
        <x:v>25542</x:v>
      </x:c>
      <x:c r="E6150" s="18" t="n">
        <x:v>18.49</x:v>
      </x:c>
      <x:c r="F6150" s="18" t="n">
        <x:v>6.31</x:v>
      </x:c>
      <x:c r="G6150" t="n">
        <x:v>36</x:v>
      </x:c>
      <x:c r="H6150" t="str">
        <x:v>A</x:v>
      </x:c>
      <x:c r="I6150" t="str">
        <x:v>1-3 years</x:v>
      </x:c>
      <x:c r="J6150" t="str">
        <x:v>OTHER</x:v>
      </x:c>
      <x:c r="K6150" t="str">
        <x:v>debt_consolidation</x:v>
      </x:c>
      <x:c r="L6150" t="n">
        <x:v>0</x:v>
      </x:c>
      <x:c r="M6150" t="n">
        <x:v>0</x:v>
      </x:c>
      <x:c r="N6150" t="str">
        <x:v>Fully Paid</x:v>
      </x:c>
      <x:c r="O6150" t="str">
        <x:f>IF(D6150="","Unknown",IF(D6150&lt;25000,"&lt;$25k",IF(D6150&lt;50000,"$25k-$50k",IF(D6150&lt;75000,"$50k-$75k",IF(D6150&lt;100000,"$75k-$100k","$100k+")))))</x:f>
        <x:v>$25k-$50k</x:v>
      </x:c>
      <x:c r="P6150" t="str">
        <x:f>IF(E6150="","Unknown",IF(E6150&lt;10,"&lt;10",IF(E6150&lt;20,"10-&lt;20",IF(E6150&lt;25,"20-&lt;25",IF(E6150&lt;35,"25-&lt;35","35+")))))</x:f>
        <x:v>10-&lt;20</x:v>
      </x:c>
    </x:row>
    <x:row r="6151">
      <x:c r="A6151" t="str">
        <x:v>SYN0006150</x:v>
      </x:c>
      <x:c r="B6151" s="12" t="n">
        <x:v>42565</x:v>
      </x:c>
      <x:c r="C6151" s="18" t="n">
        <x:v>17664</x:v>
      </x:c>
      <x:c r="D6151" s="18" t="n">
        <x:v>29334</x:v>
      </x:c>
      <x:c r="E6151" s="18" t="n">
        <x:v>28.75</x:v>
      </x:c>
      <x:c r="F6151" s="18" t="n">
        <x:v>8.9</x:v>
      </x:c>
      <x:c r="G6151" t="n">
        <x:v>36</x:v>
      </x:c>
      <x:c r="H6151" t="str">
        <x:v>B</x:v>
      </x:c>
      <x:c r="I6151" t="str">
        <x:v>4-6 years</x:v>
      </x:c>
      <x:c r="J6151" t="str">
        <x:v>MORTGAGE</x:v>
      </x:c>
      <x:c r="K6151" t="str">
        <x:v>major_purchase</x:v>
      </x:c>
      <x:c r="L6151" t="n">
        <x:v>0</x:v>
      </x:c>
      <x:c r="M6151" t="n">
        <x:v>0</x:v>
      </x:c>
      <x:c r="N6151" t="str">
        <x:v>Fully Paid</x:v>
      </x:c>
      <x:c r="O6151" t="str">
        <x:f>IF(D6151="","Unknown",IF(D6151&lt;25000,"&lt;$25k",IF(D6151&lt;50000,"$25k-$50k",IF(D6151&lt;75000,"$50k-$75k",IF(D6151&lt;100000,"$75k-$100k","$100k+")))))</x:f>
        <x:v>$25k-$50k</x:v>
      </x:c>
      <x:c r="P6151" t="str">
        <x:f>IF(E6151="","Unknown",IF(E6151&lt;10,"&lt;10",IF(E6151&lt;20,"10-&lt;20",IF(E6151&lt;25,"20-&lt;25",IF(E6151&lt;35,"25-&lt;35","35+")))))</x:f>
        <x:v>25-&lt;35</x:v>
      </x:c>
    </x:row>
    <x:row r="6152">
      <x:c r="A6152" t="str">
        <x:v>SYN0006151</x:v>
      </x:c>
      <x:c r="B6152" s="12" t="n">
        <x:v>41455</x:v>
      </x:c>
      <x:c r="C6152" s="18" t="n">
        <x:v>15573</x:v>
      </x:c>
      <x:c r="D6152" s="18" t="n">
        <x:v>29405</x:v>
      </x:c>
      <x:c r="E6152" s="18" t="n">
        <x:v>16.42</x:v>
      </x:c>
      <x:c r="F6152" s="18" t="n">
        <x:v>8.52</x:v>
      </x:c>
      <x:c r="G6152" t="n">
        <x:v>36</x:v>
      </x:c>
      <x:c r="H6152" t="str">
        <x:v>A</x:v>
      </x:c>
      <x:c r="I6152" t="str">
        <x:v>4-6 years</x:v>
      </x:c>
      <x:c r="J6152" t="str">
        <x:v>OWN</x:v>
      </x:c>
      <x:c r="K6152" t="str">
        <x:v>home_improvement</x:v>
      </x:c>
      <x:c r="L6152" t="n">
        <x:v>0</x:v>
      </x:c>
      <x:c r="M6152" t="n">
        <x:v>0</x:v>
      </x:c>
      <x:c r="N6152" t="str">
        <x:v>Fully Paid</x:v>
      </x:c>
      <x:c r="O6152" t="str">
        <x:f>IF(D6152="","Unknown",IF(D6152&lt;25000,"&lt;$25k",IF(D6152&lt;50000,"$25k-$50k",IF(D6152&lt;75000,"$50k-$75k",IF(D6152&lt;100000,"$75k-$100k","$100k+")))))</x:f>
        <x:v>$25k-$50k</x:v>
      </x:c>
      <x:c r="P6152" t="str">
        <x:f>IF(E6152="","Unknown",IF(E6152&lt;10,"&lt;10",IF(E6152&lt;20,"10-&lt;20",IF(E6152&lt;25,"20-&lt;25",IF(E6152&lt;35,"25-&lt;35","35+")))))</x:f>
        <x:v>10-&lt;20</x:v>
      </x:c>
    </x:row>
    <x:row r="6153">
      <x:c r="A6153" t="str">
        <x:v>SYN0006152</x:v>
      </x:c>
      <x:c r="B6153" s="12" t="n">
        <x:v>41725</x:v>
      </x:c>
      <x:c r="C6153" s="18" t="n">
        <x:v>5764</x:v>
      </x:c>
      <x:c r="D6153" s="18" t="n">
        <x:v>130462</x:v>
      </x:c>
      <x:c r="E6153" s="18" t="n">
        <x:v>20.06</x:v>
      </x:c>
      <x:c r="F6153" s="18" t="n">
        <x:v>5</x:v>
      </x:c>
      <x:c r="G6153" t="n">
        <x:v>36</x:v>
      </x:c>
      <x:c r="H6153" t="str">
        <x:v>A</x:v>
      </x:c>
      <x:c r="I6153" t="str">
        <x:v>10+ years</x:v>
      </x:c>
      <x:c r="J6153" t="str">
        <x:v>RENT</x:v>
      </x:c>
      <x:c r="K6153" t="str">
        <x:v>debt_consolidation</x:v>
      </x:c>
      <x:c r="L6153" t="n">
        <x:v>2</x:v>
      </x:c>
      <x:c r="M6153" t="n">
        <x:v>0</x:v>
      </x:c>
      <x:c r="N6153" t="str">
        <x:v>Fully Paid</x:v>
      </x:c>
      <x:c r="O6153" t="str">
        <x:f>IF(D6153="","Unknown",IF(D6153&lt;25000,"&lt;$25k",IF(D6153&lt;50000,"$25k-$50k",IF(D6153&lt;75000,"$50k-$75k",IF(D6153&lt;100000,"$75k-$100k","$100k+")))))</x:f>
        <x:v>$100k+</x:v>
      </x:c>
      <x:c r="P6153" t="str">
        <x:f>IF(E6153="","Unknown",IF(E6153&lt;10,"&lt;10",IF(E6153&lt;20,"10-&lt;20",IF(E6153&lt;25,"20-&lt;25",IF(E6153&lt;35,"25-&lt;35","35+")))))</x:f>
        <x:v>20-&lt;25</x:v>
      </x:c>
    </x:row>
    <x:row r="6154">
      <x:c r="A6154" t="str">
        <x:v>SYN0006153</x:v>
      </x:c>
      <x:c r="B6154" s="12" t="n">
        <x:v>41755</x:v>
      </x:c>
      <x:c r="C6154" s="18" t="n">
        <x:v>13269</x:v>
      </x:c>
      <x:c r="D6154" s="18" t="n">
        <x:v>68999</x:v>
      </x:c>
      <x:c r="E6154" s="18" t="n">
        <x:v>30.5</x:v>
      </x:c>
      <x:c r="F6154" s="18" t="n">
        <x:v>10.35</x:v>
      </x:c>
      <x:c r="G6154" t="n">
        <x:v>36</x:v>
      </x:c>
      <x:c r="H6154" t="str">
        <x:v>B</x:v>
      </x:c>
      <x:c r="I6154" t="str">
        <x:v>10+ years</x:v>
      </x:c>
      <x:c r="J6154" t="str">
        <x:v>MORTGAGE</x:v>
      </x:c>
      <x:c r="K6154" t="str">
        <x:v>medical</x:v>
      </x:c>
      <x:c r="L6154" t="n">
        <x:v>0</x:v>
      </x:c>
      <x:c r="M6154" t="n">
        <x:v>0</x:v>
      </x:c>
      <x:c r="N6154" t="str">
        <x:v>Fully Paid</x:v>
      </x:c>
      <x:c r="O6154" t="str">
        <x:f>IF(D6154="","Unknown",IF(D6154&lt;25000,"&lt;$25k",IF(D6154&lt;50000,"$25k-$50k",IF(D6154&lt;75000,"$50k-$75k",IF(D6154&lt;100000,"$75k-$100k","$100k+")))))</x:f>
        <x:v>$50k-$75k</x:v>
      </x:c>
      <x:c r="P6154" t="str">
        <x:f>IF(E6154="","Unknown",IF(E6154&lt;10,"&lt;10",IF(E6154&lt;20,"10-&lt;20",IF(E6154&lt;25,"20-&lt;25",IF(E6154&lt;35,"25-&lt;35","35+")))))</x:f>
        <x:v>25-&lt;35</x:v>
      </x:c>
    </x:row>
    <x:row r="6155">
      <x:c r="A6155" t="str">
        <x:v>SYN0006154</x:v>
      </x:c>
      <x:c r="B6155" s="12" t="n">
        <x:v>43405</x:v>
      </x:c>
      <x:c r="C6155" s="18" t="n">
        <x:v>12404</x:v>
      </x:c>
      <x:c r="D6155" s="18" t="n">
        <x:v>45674</x:v>
      </x:c>
      <x:c r="E6155" s="18" t="n">
        <x:v>25.42</x:v>
      </x:c>
      <x:c r="F6155" s="18" t="n">
        <x:v>11.39</x:v>
      </x:c>
      <x:c r="G6155" t="n">
        <x:v>36</x:v>
      </x:c>
      <x:c r="H6155" t="str">
        <x:v>D</x:v>
      </x:c>
      <x:c r="I6155" t="str">
        <x:v>1-3 years</x:v>
      </x:c>
      <x:c r="J6155" t="str">
        <x:v>RENT</x:v>
      </x:c>
      <x:c r="K6155" t="str">
        <x:v>debt_consolidation</x:v>
      </x:c>
      <x:c r="L6155" t="n">
        <x:v>0</x:v>
      </x:c>
      <x:c r="M6155" t="n">
        <x:v>0</x:v>
      </x:c>
      <x:c r="N6155" t="str">
        <x:v>Fully Paid</x:v>
      </x:c>
      <x:c r="O6155" t="str">
        <x:f>IF(D6155="","Unknown",IF(D6155&lt;25000,"&lt;$25k",IF(D6155&lt;50000,"$25k-$50k",IF(D6155&lt;75000,"$50k-$75k",IF(D6155&lt;100000,"$75k-$100k","$100k+")))))</x:f>
        <x:v>$25k-$50k</x:v>
      </x:c>
      <x:c r="P6155" t="str">
        <x:f>IF(E6155="","Unknown",IF(E6155&lt;10,"&lt;10",IF(E6155&lt;20,"10-&lt;20",IF(E6155&lt;25,"20-&lt;25",IF(E6155&lt;35,"25-&lt;35","35+")))))</x:f>
        <x:v>25-&lt;35</x:v>
      </x:c>
    </x:row>
    <x:row r="6156">
      <x:c r="A6156" t="str">
        <x:v>SYN0006155</x:v>
      </x:c>
      <x:c r="B6156" s="12" t="n">
        <x:v>41965</x:v>
      </x:c>
      <x:c r="C6156" s="18" t="n">
        <x:v>17399</x:v>
      </x:c>
      <x:c r="D6156" s="18" t="n">
        <x:v>30861</x:v>
      </x:c>
      <x:c r="E6156" s="18" t="n">
        <x:v>14.32</x:v>
      </x:c>
      <x:c r="F6156" s="18" t="n">
        <x:v>15.08</x:v>
      </x:c>
      <x:c r="G6156" t="n">
        <x:v>36</x:v>
      </x:c>
      <x:c r="H6156" t="str">
        <x:v>D</x:v>
      </x:c>
      <x:c r="I6156" t="str">
        <x:v>10+ years</x:v>
      </x:c>
      <x:c r="J6156" t="str">
        <x:v>MORTGAGE</x:v>
      </x:c>
      <x:c r="K6156" t="str">
        <x:v>debt_consolidation</x:v>
      </x:c>
      <x:c r="L6156" t="n">
        <x:v>1</x:v>
      </x:c>
      <x:c r="M6156" t="n">
        <x:v>1</x:v>
      </x:c>
      <x:c r="N6156" t="str">
        <x:v>Charged Off</x:v>
      </x:c>
      <x:c r="O6156" t="str">
        <x:f>IF(D6156="","Unknown",IF(D6156&lt;25000,"&lt;$25k",IF(D6156&lt;50000,"$25k-$50k",IF(D6156&lt;75000,"$50k-$75k",IF(D6156&lt;100000,"$75k-$100k","$100k+")))))</x:f>
        <x:v>$25k-$50k</x:v>
      </x:c>
      <x:c r="P6156" t="str">
        <x:f>IF(E6156="","Unknown",IF(E6156&lt;10,"&lt;10",IF(E6156&lt;20,"10-&lt;20",IF(E6156&lt;25,"20-&lt;25",IF(E6156&lt;35,"25-&lt;35","35+")))))</x:f>
        <x:v>10-&lt;20</x:v>
      </x:c>
    </x:row>
    <x:row r="6157">
      <x:c r="A6157" t="str">
        <x:v>SYN0006156</x:v>
      </x:c>
      <x:c r="B6157" s="12" t="n">
        <x:v>41665</x:v>
      </x:c>
      <x:c r="C6157" s="18" t="n">
        <x:v>9079</x:v>
      </x:c>
      <x:c r="D6157" s="18" t="n">
        <x:v>76162</x:v>
      </x:c>
      <x:c r="E6157" s="18" t="n">
        <x:v>29.43</x:v>
      </x:c>
      <x:c r="F6157" s="18" t="n">
        <x:v>17.68</x:v>
      </x:c>
      <x:c r="G6157" t="n">
        <x:v>36</x:v>
      </x:c>
      <x:c r="H6157" t="str">
        <x:v>E</x:v>
      </x:c>
      <x:c r="I6157" t="str">
        <x:v>10+ years</x:v>
      </x:c>
      <x:c r="J6157" t="str">
        <x:v>RENT</x:v>
      </x:c>
      <x:c r="K6157" t="str">
        <x:v>credit_card</x:v>
      </x:c>
      <x:c r="L6157" t="n">
        <x:v>0</x:v>
      </x:c>
      <x:c r="M6157" t="n">
        <x:v>0</x:v>
      </x:c>
      <x:c r="N6157" t="str">
        <x:v>Fully Paid</x:v>
      </x:c>
      <x:c r="O6157" t="str">
        <x:f>IF(D6157="","Unknown",IF(D6157&lt;25000,"&lt;$25k",IF(D6157&lt;50000,"$25k-$50k",IF(D6157&lt;75000,"$50k-$75k",IF(D6157&lt;100000,"$75k-$100k","$100k+")))))</x:f>
        <x:v>$75k-$100k</x:v>
      </x:c>
      <x:c r="P6157" t="str">
        <x:f>IF(E6157="","Unknown",IF(E6157&lt;10,"&lt;10",IF(E6157&lt;20,"10-&lt;20",IF(E6157&lt;25,"20-&lt;25",IF(E6157&lt;35,"25-&lt;35","35+")))))</x:f>
        <x:v>25-&lt;35</x:v>
      </x:c>
    </x:row>
    <x:row r="6158">
      <x:c r="A6158" t="str">
        <x:v>SYN0006157</x:v>
      </x:c>
      <x:c r="B6158" s="12" t="n">
        <x:v>43105</x:v>
      </x:c>
      <x:c r="C6158" s="18" t="n">
        <x:v>17901</x:v>
      </x:c>
      <x:c r="D6158" s="18" t="n">
        <x:v>46727</x:v>
      </x:c>
      <x:c r="E6158" s="18" t="n">
        <x:v>29.82</x:v>
      </x:c>
      <x:c r="F6158" s="18" t="n">
        <x:v>16.99</x:v>
      </x:c>
      <x:c r="G6158" t="n">
        <x:v>36</x:v>
      </x:c>
      <x:c r="H6158" t="str">
        <x:v>D</x:v>
      </x:c>
      <x:c r="I6158" t="str">
        <x:v>4-6 years</x:v>
      </x:c>
      <x:c r="J6158" t="str">
        <x:v>RENT</x:v>
      </x:c>
      <x:c r="K6158" t="str">
        <x:v>other</x:v>
      </x:c>
      <x:c r="L6158" t="n">
        <x:v>2</x:v>
      </x:c>
      <x:c r="M6158" t="n">
        <x:v>0</x:v>
      </x:c>
      <x:c r="N6158" t="str">
        <x:v>Fully Paid</x:v>
      </x:c>
      <x:c r="O6158" t="str">
        <x:f>IF(D6158="","Unknown",IF(D6158&lt;25000,"&lt;$25k",IF(D6158&lt;50000,"$25k-$50k",IF(D6158&lt;75000,"$50k-$75k",IF(D6158&lt;100000,"$75k-$100k","$100k+")))))</x:f>
        <x:v>$25k-$50k</x:v>
      </x:c>
      <x:c r="P6158" t="str">
        <x:f>IF(E6158="","Unknown",IF(E6158&lt;10,"&lt;10",IF(E6158&lt;20,"10-&lt;20",IF(E6158&lt;25,"20-&lt;25",IF(E6158&lt;35,"25-&lt;35","35+")))))</x:f>
        <x:v>25-&lt;35</x:v>
      </x:c>
    </x:row>
    <x:row r="6159">
      <x:c r="A6159" t="str">
        <x:v>SYN0006158</x:v>
      </x:c>
      <x:c r="B6159" s="12" t="n">
        <x:v>42505</x:v>
      </x:c>
      <x:c r="C6159" s="18" t="n">
        <x:v>15164</x:v>
      </x:c>
      <x:c r="D6159" s="18" t="n">
        <x:v>100752</x:v>
      </x:c>
      <x:c r="E6159" s="18" t="n">
        <x:v>32.69</x:v>
      </x:c>
      <x:c r="F6159" s="18" t="n">
        <x:v>15.31</x:v>
      </x:c>
      <x:c r="G6159" t="n">
        <x:v>60</x:v>
      </x:c>
      <x:c r="H6159" t="str">
        <x:v>D</x:v>
      </x:c>
      <x:c r="I6159" t="str">
        <x:v>10+ years</x:v>
      </x:c>
      <x:c r="J6159" t="str">
        <x:v>RENT</x:v>
      </x:c>
      <x:c r="K6159" t="str">
        <x:v>debt_consolidation</x:v>
      </x:c>
      <x:c r="L6159" t="n">
        <x:v>0</x:v>
      </x:c>
      <x:c r="M6159" t="n">
        <x:v>0</x:v>
      </x:c>
      <x:c r="N6159" t="str">
        <x:v>Fully Paid</x:v>
      </x:c>
      <x:c r="O6159" t="str">
        <x:f>IF(D6159="","Unknown",IF(D6159&lt;25000,"&lt;$25k",IF(D6159&lt;50000,"$25k-$50k",IF(D6159&lt;75000,"$50k-$75k",IF(D6159&lt;100000,"$75k-$100k","$100k+")))))</x:f>
        <x:v>$100k+</x:v>
      </x:c>
      <x:c r="P6159" t="str">
        <x:f>IF(E6159="","Unknown",IF(E6159&lt;10,"&lt;10",IF(E6159&lt;20,"10-&lt;20",IF(E6159&lt;25,"20-&lt;25",IF(E6159&lt;35,"25-&lt;35","35+")))))</x:f>
        <x:v>25-&lt;35</x:v>
      </x:c>
    </x:row>
    <x:row r="6160">
      <x:c r="A6160" t="str">
        <x:v>SYN0006159</x:v>
      </x:c>
      <x:c r="B6160" s="12" t="n">
        <x:v>42925</x:v>
      </x:c>
      <x:c r="C6160" s="18" t="n">
        <x:v>13916</x:v>
      </x:c>
      <x:c r="D6160" s="18" t="n">
        <x:v>37546</x:v>
      </x:c>
      <x:c r="E6160" s="18" t="n">
        <x:v>13.96</x:v>
      </x:c>
      <x:c r="F6160" s="18" t="n">
        <x:v>6.67</x:v>
      </x:c>
      <x:c r="G6160" t="n">
        <x:v>36</x:v>
      </x:c>
      <x:c r="H6160" t="str">
        <x:v>A</x:v>
      </x:c>
      <x:c r="I6160" t="str">
        <x:v>10+ years</x:v>
      </x:c>
      <x:c r="J6160" t="str">
        <x:v>MORTGAGE</x:v>
      </x:c>
      <x:c r="K6160" t="str">
        <x:v>debt_consolidation</x:v>
      </x:c>
      <x:c r="L6160" t="n">
        <x:v>2</x:v>
      </x:c>
      <x:c r="M6160" t="n">
        <x:v>0</x:v>
      </x:c>
      <x:c r="N6160" t="str">
        <x:v>Fully Paid</x:v>
      </x:c>
      <x:c r="O6160" t="str">
        <x:f>IF(D6160="","Unknown",IF(D6160&lt;25000,"&lt;$25k",IF(D6160&lt;50000,"$25k-$50k",IF(D6160&lt;75000,"$50k-$75k",IF(D6160&lt;100000,"$75k-$100k","$100k+")))))</x:f>
        <x:v>$25k-$50k</x:v>
      </x:c>
      <x:c r="P6160" t="str">
        <x:f>IF(E6160="","Unknown",IF(E6160&lt;10,"&lt;10",IF(E6160&lt;20,"10-&lt;20",IF(E6160&lt;25,"20-&lt;25",IF(E6160&lt;35,"25-&lt;35","35+")))))</x:f>
        <x:v>10-&lt;20</x:v>
      </x:c>
    </x:row>
    <x:row r="6161">
      <x:c r="A6161" t="str">
        <x:v>SYN0006160</x:v>
      </x:c>
      <x:c r="B6161" s="12" t="n">
        <x:v>43375</x:v>
      </x:c>
      <x:c r="C6161" s="18" t="n">
        <x:v>6512</x:v>
      </x:c>
      <x:c r="D6161" s="18" t="n">
        <x:v>20942</x:v>
      </x:c>
      <x:c r="E6161" s="18" t="n">
        <x:v>18.27</x:v>
      </x:c>
      <x:c r="F6161" s="18" t="n">
        <x:v>5</x:v>
      </x:c>
      <x:c r="G6161" t="n">
        <x:v>36</x:v>
      </x:c>
      <x:c r="H6161" t="str">
        <x:v>A</x:v>
      </x:c>
      <x:c r="I6161" t="str">
        <x:v>4-6 years</x:v>
      </x:c>
      <x:c r="J6161" t="str">
        <x:v>MORTGAGE</x:v>
      </x:c>
      <x:c r="K6161" t="str">
        <x:v>home_improvement</x:v>
      </x:c>
      <x:c r="L6161" t="n">
        <x:v>0</x:v>
      </x:c>
      <x:c r="M6161" t="n">
        <x:v>0</x:v>
      </x:c>
      <x:c r="N6161" t="str">
        <x:v>Fully Paid</x:v>
      </x:c>
      <x:c r="O6161" t="str">
        <x:f>IF(D6161="","Unknown",IF(D6161&lt;25000,"&lt;$25k",IF(D6161&lt;50000,"$25k-$50k",IF(D6161&lt;75000,"$50k-$75k",IF(D6161&lt;100000,"$75k-$100k","$100k+")))))</x:f>
        <x:v>&lt;$25k</x:v>
      </x:c>
      <x:c r="P6161" t="str">
        <x:f>IF(E6161="","Unknown",IF(E6161&lt;10,"&lt;10",IF(E6161&lt;20,"10-&lt;20",IF(E6161&lt;25,"20-&lt;25",IF(E6161&lt;35,"25-&lt;35","35+")))))</x:f>
        <x:v>10-&lt;20</x:v>
      </x:c>
    </x:row>
    <x:row r="6162">
      <x:c r="A6162" t="str">
        <x:v>SYN0006161</x:v>
      </x:c>
      <x:c r="B6162" s="12" t="n">
        <x:v>42085</x:v>
      </x:c>
      <x:c r="C6162" s="18" t="n">
        <x:v>15754</x:v>
      </x:c>
      <x:c r="D6162" s="18" t="n">
        <x:v>50232</x:v>
      </x:c>
      <x:c r="E6162" s="18" t="n">
        <x:v>25.82</x:v>
      </x:c>
      <x:c r="F6162" s="18" t="n">
        <x:v>16.14</x:v>
      </x:c>
      <x:c r="G6162" t="n">
        <x:v>36</x:v>
      </x:c>
      <x:c r="H6162" t="str">
        <x:v>D</x:v>
      </x:c>
      <x:c r="I6162" t="str">
        <x:v>4-6 years</x:v>
      </x:c>
      <x:c r="J6162" t="str">
        <x:v>MORTGAGE</x:v>
      </x:c>
      <x:c r="K6162" t="str">
        <x:v>debt_consolidation</x:v>
      </x:c>
      <x:c r="L6162" t="n">
        <x:v>0</x:v>
      </x:c>
      <x:c r="M6162" t="n">
        <x:v>0</x:v>
      </x:c>
      <x:c r="N6162" t="str">
        <x:v>Fully Paid</x:v>
      </x:c>
      <x:c r="O6162" t="str">
        <x:f>IF(D6162="","Unknown",IF(D6162&lt;25000,"&lt;$25k",IF(D6162&lt;50000,"$25k-$50k",IF(D6162&lt;75000,"$50k-$75k",IF(D6162&lt;100000,"$75k-$100k","$100k+")))))</x:f>
        <x:v>$50k-$75k</x:v>
      </x:c>
      <x:c r="P6162" t="str">
        <x:f>IF(E6162="","Unknown",IF(E6162&lt;10,"&lt;10",IF(E6162&lt;20,"10-&lt;20",IF(E6162&lt;25,"20-&lt;25",IF(E6162&lt;35,"25-&lt;35","35+")))))</x:f>
        <x:v>25-&lt;35</x:v>
      </x:c>
    </x:row>
    <x:row r="6163">
      <x:c r="A6163" t="str">
        <x:v>SYN0006162</x:v>
      </x:c>
      <x:c r="B6163" s="12" t="n">
        <x:v>42805</x:v>
      </x:c>
      <x:c r="C6163" s="18" t="n">
        <x:v>6588</x:v>
      </x:c>
      <x:c r="D6163" s="18" t="n">
        <x:v>47556</x:v>
      </x:c>
      <x:c r="E6163" s="18" t="n">
        <x:v>15.14</x:v>
      </x:c>
      <x:c r="F6163" s="18" t="n">
        <x:v>11</x:v>
      </x:c>
      <x:c r="G6163" t="n">
        <x:v>36</x:v>
      </x:c>
      <x:c r="H6163" t="str">
        <x:v>B</x:v>
      </x:c>
      <x:c r="I6163" t="str">
        <x:v>4-6 years</x:v>
      </x:c>
      <x:c r="J6163" t="str">
        <x:v>MORTGAGE</x:v>
      </x:c>
      <x:c r="K6163" t="str">
        <x:v>credit_card</x:v>
      </x:c>
      <x:c r="L6163" t="n">
        <x:v>0</x:v>
      </x:c>
      <x:c r="M6163" t="n">
        <x:v>0</x:v>
      </x:c>
      <x:c r="N6163" t="str">
        <x:v>Fully Paid</x:v>
      </x:c>
      <x:c r="O6163" t="str">
        <x:f>IF(D6163="","Unknown",IF(D6163&lt;25000,"&lt;$25k",IF(D6163&lt;50000,"$25k-$50k",IF(D6163&lt;75000,"$50k-$75k",IF(D6163&lt;100000,"$75k-$100k","$100k+")))))</x:f>
        <x:v>$25k-$50k</x:v>
      </x:c>
      <x:c r="P6163" t="str">
        <x:f>IF(E6163="","Unknown",IF(E6163&lt;10,"&lt;10",IF(E6163&lt;20,"10-&lt;20",IF(E6163&lt;25,"20-&lt;25",IF(E6163&lt;35,"25-&lt;35","35+")))))</x:f>
        <x:v>10-&lt;20</x:v>
      </x:c>
    </x:row>
    <x:row r="6164">
      <x:c r="A6164" t="str">
        <x:v>SYN0006163</x:v>
      </x:c>
      <x:c r="B6164" s="12" t="n">
        <x:v>42475</x:v>
      </x:c>
      <x:c r="C6164" s="18" t="n">
        <x:v>16824</x:v>
      </x:c>
      <x:c r="D6164" s="18" t="n">
        <x:v>34996</x:v>
      </x:c>
      <x:c r="E6164" s="18" t="n">
        <x:v>28.58</x:v>
      </x:c>
      <x:c r="F6164" s="18" t="n">
        <x:v>6.46</x:v>
      </x:c>
      <x:c r="G6164" t="n">
        <x:v>36</x:v>
      </x:c>
      <x:c r="H6164" t="str">
        <x:v>A</x:v>
      </x:c>
      <x:c r="I6164" t="str">
        <x:v>4-6 years</x:v>
      </x:c>
      <x:c r="J6164" t="str">
        <x:v>MORTGAGE</x:v>
      </x:c>
      <x:c r="K6164" t="str">
        <x:v>debt_consolidation</x:v>
      </x:c>
      <x:c r="L6164" t="n">
        <x:v>0</x:v>
      </x:c>
      <x:c r="M6164" t="n">
        <x:v>0</x:v>
      </x:c>
      <x:c r="N6164" t="str">
        <x:v>Fully Paid</x:v>
      </x:c>
      <x:c r="O6164" t="str">
        <x:f>IF(D6164="","Unknown",IF(D6164&lt;25000,"&lt;$25k",IF(D6164&lt;50000,"$25k-$50k",IF(D6164&lt;75000,"$50k-$75k",IF(D6164&lt;100000,"$75k-$100k","$100k+")))))</x:f>
        <x:v>$25k-$50k</x:v>
      </x:c>
      <x:c r="P6164" t="str">
        <x:f>IF(E6164="","Unknown",IF(E6164&lt;10,"&lt;10",IF(E6164&lt;20,"10-&lt;20",IF(E6164&lt;25,"20-&lt;25",IF(E6164&lt;35,"25-&lt;35","35+")))))</x:f>
        <x:v>25-&lt;35</x:v>
      </x:c>
    </x:row>
    <x:row r="6165">
      <x:c r="A6165" t="str">
        <x:v>SYN0006164</x:v>
      </x:c>
      <x:c r="B6165" s="12" t="n">
        <x:v>43195</x:v>
      </x:c>
      <x:c r="C6165" s="18" t="n">
        <x:v>8383</x:v>
      </x:c>
      <x:c r="D6165" s="18" t="n">
        <x:v>29913</x:v>
      </x:c>
      <x:c r="E6165" s="18" t="n">
        <x:v>24.67</x:v>
      </x:c>
      <x:c r="F6165" s="18" t="n">
        <x:v>19.34</x:v>
      </x:c>
      <x:c r="G6165" t="n">
        <x:v>60</x:v>
      </x:c>
      <x:c r="H6165" t="str">
        <x:v>F</x:v>
      </x:c>
      <x:c r="I6165" t="str">
        <x:v>1-3 years</x:v>
      </x:c>
      <x:c r="J6165" t="str">
        <x:v>RENT</x:v>
      </x:c>
      <x:c r="K6165" t="str">
        <x:v>home_improvement</x:v>
      </x:c>
      <x:c r="L6165" t="n">
        <x:v>2</x:v>
      </x:c>
      <x:c r="M6165" t="n">
        <x:v>1</x:v>
      </x:c>
      <x:c r="N6165" t="str">
        <x:v>Charged Off</x:v>
      </x:c>
      <x:c r="O6165" t="str">
        <x:f>IF(D6165="","Unknown",IF(D6165&lt;25000,"&lt;$25k",IF(D6165&lt;50000,"$25k-$50k",IF(D6165&lt;75000,"$50k-$75k",IF(D6165&lt;100000,"$75k-$100k","$100k+")))))</x:f>
        <x:v>$25k-$50k</x:v>
      </x:c>
      <x:c r="P6165" t="str">
        <x:f>IF(E6165="","Unknown",IF(E6165&lt;10,"&lt;10",IF(E6165&lt;20,"10-&lt;20",IF(E6165&lt;25,"20-&lt;25",IF(E6165&lt;35,"25-&lt;35","35+")))))</x:f>
        <x:v>20-&lt;25</x:v>
      </x:c>
    </x:row>
    <x:row r="6166">
      <x:c r="A6166" t="str">
        <x:v>SYN0006165</x:v>
      </x:c>
      <x:c r="B6166" s="12" t="n">
        <x:v>41725</x:v>
      </x:c>
      <x:c r="C6166" s="18" t="n">
        <x:v>33425</x:v>
      </x:c>
      <x:c r="D6166" s="18" t="n">
        <x:v>83431</x:v>
      </x:c>
      <x:c r="E6166" s="18" t="n">
        <x:v>14.97</x:v>
      </x:c>
      <x:c r="F6166" s="18" t="n">
        <x:v>7.63</x:v>
      </x:c>
      <x:c r="G6166" t="n">
        <x:v>60</x:v>
      </x:c>
      <x:c r="H6166" t="str">
        <x:v>B</x:v>
      </x:c>
      <x:c r="I6166" t="str">
        <x:v>10+ years</x:v>
      </x:c>
      <x:c r="J6166" t="str">
        <x:v>RENT</x:v>
      </x:c>
      <x:c r="K6166" t="str">
        <x:v>debt_consolidation</x:v>
      </x:c>
      <x:c r="L6166" t="n">
        <x:v>0</x:v>
      </x:c>
      <x:c r="M6166" t="n">
        <x:v>0</x:v>
      </x:c>
      <x:c r="N6166" t="str">
        <x:v>Fully Paid</x:v>
      </x:c>
      <x:c r="O6166" t="str">
        <x:f>IF(D6166="","Unknown",IF(D6166&lt;25000,"&lt;$25k",IF(D6166&lt;50000,"$25k-$50k",IF(D6166&lt;75000,"$50k-$75k",IF(D6166&lt;100000,"$75k-$100k","$100k+")))))</x:f>
        <x:v>$75k-$100k</x:v>
      </x:c>
      <x:c r="P6166" t="str">
        <x:f>IF(E6166="","Unknown",IF(E6166&lt;10,"&lt;10",IF(E6166&lt;20,"10-&lt;20",IF(E6166&lt;25,"20-&lt;25",IF(E6166&lt;35,"25-&lt;35","35+")))))</x:f>
        <x:v>10-&lt;20</x:v>
      </x:c>
    </x:row>
    <x:row r="6167">
      <x:c r="A6167" t="str">
        <x:v>SYN0006166</x:v>
      </x:c>
      <x:c r="B6167" s="12" t="n">
        <x:v>42355</x:v>
      </x:c>
      <x:c r="C6167" s="18" t="n">
        <x:v>20508</x:v>
      </x:c>
      <x:c r="D6167" s="18" t="n">
        <x:v>117034</x:v>
      </x:c>
      <x:c r="E6167" s="18" t="n">
        <x:v>25.66</x:v>
      </x:c>
      <x:c r="F6167" s="18" t="n">
        <x:v>7.33</x:v>
      </x:c>
      <x:c r="G6167" t="n">
        <x:v>36</x:v>
      </x:c>
      <x:c r="H6167" t="str">
        <x:v>C</x:v>
      </x:c>
      <x:c r="I6167" t="str">
        <x:v>7-9 years</x:v>
      </x:c>
      <x:c r="J6167" t="str">
        <x:v>RENT</x:v>
      </x:c>
      <x:c r="K6167" t="str">
        <x:v>major_purchase</x:v>
      </x:c>
      <x:c r="L6167" t="n">
        <x:v>1</x:v>
      </x:c>
      <x:c r="M6167" t="n">
        <x:v>0</x:v>
      </x:c>
      <x:c r="N6167" t="str">
        <x:v>Fully Paid</x:v>
      </x:c>
      <x:c r="O6167" t="str">
        <x:f>IF(D6167="","Unknown",IF(D6167&lt;25000,"&lt;$25k",IF(D6167&lt;50000,"$25k-$50k",IF(D6167&lt;75000,"$50k-$75k",IF(D6167&lt;100000,"$75k-$100k","$100k+")))))</x:f>
        <x:v>$100k+</x:v>
      </x:c>
      <x:c r="P6167" t="str">
        <x:f>IF(E6167="","Unknown",IF(E6167&lt;10,"&lt;10",IF(E6167&lt;20,"10-&lt;20",IF(E6167&lt;25,"20-&lt;25",IF(E6167&lt;35,"25-&lt;35","35+")))))</x:f>
        <x:v>25-&lt;35</x:v>
      </x:c>
    </x:row>
    <x:row r="6168">
      <x:c r="A6168" t="str">
        <x:v>SYN0006167</x:v>
      </x:c>
      <x:c r="B6168" s="12" t="n">
        <x:v>42835</x:v>
      </x:c>
      <x:c r="C6168" s="18" t="n">
        <x:v>4060</x:v>
      </x:c>
      <x:c r="D6168" s="18" t="n">
        <x:v>61964</x:v>
      </x:c>
      <x:c r="E6168" s="18" t="n">
        <x:v>27.22</x:v>
      </x:c>
      <x:c r="F6168" s="18" t="n">
        <x:v>13.75</x:v>
      </x:c>
      <x:c r="G6168" t="n">
        <x:v>36</x:v>
      </x:c>
      <x:c r="H6168" t="str">
        <x:v>C</x:v>
      </x:c>
      <x:c r="I6168" t="str">
        <x:v>10+ years</x:v>
      </x:c>
      <x:c r="J6168" t="str">
        <x:v>RENT</x:v>
      </x:c>
      <x:c r="K6168" t="str">
        <x:v>home_improvement</x:v>
      </x:c>
      <x:c r="L6168" t="n">
        <x:v>0</x:v>
      </x:c>
      <x:c r="M6168" t="n">
        <x:v>0</x:v>
      </x:c>
      <x:c r="N6168" t="str">
        <x:v>Fully Paid</x:v>
      </x:c>
      <x:c r="O6168" t="str">
        <x:f>IF(D6168="","Unknown",IF(D6168&lt;25000,"&lt;$25k",IF(D6168&lt;50000,"$25k-$50k",IF(D6168&lt;75000,"$50k-$75k",IF(D6168&lt;100000,"$75k-$100k","$100k+")))))</x:f>
        <x:v>$50k-$75k</x:v>
      </x:c>
      <x:c r="P6168" t="str">
        <x:f>IF(E6168="","Unknown",IF(E6168&lt;10,"&lt;10",IF(E6168&lt;20,"10-&lt;20",IF(E6168&lt;25,"20-&lt;25",IF(E6168&lt;35,"25-&lt;35","35+")))))</x:f>
        <x:v>25-&lt;35</x:v>
      </x:c>
    </x:row>
    <x:row r="6169">
      <x:c r="A6169" t="str">
        <x:v>SYN0006168</x:v>
      </x:c>
      <x:c r="B6169" s="12" t="n">
        <x:v>41335</x:v>
      </x:c>
      <x:c r="C6169" s="18" t="n">
        <x:v>20743</x:v>
      </x:c>
      <x:c r="D6169" s="18" t="n">
        <x:v>34411</x:v>
      </x:c>
      <x:c r="E6169" s="18" t="n">
        <x:v>33.12</x:v>
      </x:c>
      <x:c r="F6169" s="18" t="n">
        <x:v>8.69</x:v>
      </x:c>
      <x:c r="G6169" t="n">
        <x:v>60</x:v>
      </x:c>
      <x:c r="H6169" t="str">
        <x:v>B</x:v>
      </x:c>
      <x:c r="I6169" t="str">
        <x:v>&lt;1 year</x:v>
      </x:c>
      <x:c r="J6169" t="str">
        <x:v>RENT</x:v>
      </x:c>
      <x:c r="K6169" t="str">
        <x:v>credit_card</x:v>
      </x:c>
      <x:c r="L6169" t="n">
        <x:v>0</x:v>
      </x:c>
      <x:c r="M6169" t="n">
        <x:v>0</x:v>
      </x:c>
      <x:c r="N6169" t="str">
        <x:v>Fully Paid</x:v>
      </x:c>
      <x:c r="O6169" t="str">
        <x:f>IF(D6169="","Unknown",IF(D6169&lt;25000,"&lt;$25k",IF(D6169&lt;50000,"$25k-$50k",IF(D6169&lt;75000,"$50k-$75k",IF(D6169&lt;100000,"$75k-$100k","$100k+")))))</x:f>
        <x:v>$25k-$50k</x:v>
      </x:c>
      <x:c r="P6169" t="str">
        <x:f>IF(E6169="","Unknown",IF(E6169&lt;10,"&lt;10",IF(E6169&lt;20,"10-&lt;20",IF(E6169&lt;25,"20-&lt;25",IF(E6169&lt;35,"25-&lt;35","35+")))))</x:f>
        <x:v>25-&lt;35</x:v>
      </x:c>
    </x:row>
    <x:row r="6170">
      <x:c r="A6170" t="str">
        <x:v>SYN0006169</x:v>
      </x:c>
      <x:c r="B6170" s="12" t="n">
        <x:v>41995</x:v>
      </x:c>
      <x:c r="C6170" s="18" t="n">
        <x:v>8307</x:v>
      </x:c>
      <x:c r="D6170" s="18" t="n">
        <x:v>59534</x:v>
      </x:c>
      <x:c r="E6170" s="18" t="n">
        <x:v>14.48</x:v>
      </x:c>
      <x:c r="F6170" s="18" t="n">
        <x:v>7.88</x:v>
      </x:c>
      <x:c r="G6170" t="n">
        <x:v>36</x:v>
      </x:c>
      <x:c r="H6170" t="str">
        <x:v>B</x:v>
      </x:c>
      <x:c r="I6170" t="str">
        <x:v>4-6 years</x:v>
      </x:c>
      <x:c r="J6170" t="str">
        <x:v>RENT</x:v>
      </x:c>
      <x:c r="K6170" t="str">
        <x:v>debt_consolidation</x:v>
      </x:c>
      <x:c r="L6170" t="n">
        <x:v>0</x:v>
      </x:c>
      <x:c r="M6170" t="n">
        <x:v>0</x:v>
      </x:c>
      <x:c r="N6170" t="str">
        <x:v>Fully Paid</x:v>
      </x:c>
      <x:c r="O6170" t="str">
        <x:f>IF(D6170="","Unknown",IF(D6170&lt;25000,"&lt;$25k",IF(D6170&lt;50000,"$25k-$50k",IF(D6170&lt;75000,"$50k-$75k",IF(D6170&lt;100000,"$75k-$100k","$100k+")))))</x:f>
        <x:v>$50k-$75k</x:v>
      </x:c>
      <x:c r="P6170" t="str">
        <x:f>IF(E6170="","Unknown",IF(E6170&lt;10,"&lt;10",IF(E6170&lt;20,"10-&lt;20",IF(E6170&lt;25,"20-&lt;25",IF(E6170&lt;35,"25-&lt;35","35+")))))</x:f>
        <x:v>10-&lt;20</x:v>
      </x:c>
    </x:row>
    <x:row r="6171">
      <x:c r="A6171" t="str">
        <x:v>SYN0006170</x:v>
      </x:c>
      <x:c r="B6171" s="12" t="n">
        <x:v>41605</x:v>
      </x:c>
      <x:c r="C6171" s="18" t="n">
        <x:v>13719</x:v>
      </x:c>
      <x:c r="D6171" s="18" t="n">
        <x:v>33644</x:v>
      </x:c>
      <x:c r="E6171" s="18" t="n">
        <x:v>28.37</x:v>
      </x:c>
      <x:c r="F6171" s="18" t="n">
        <x:v>11.42</x:v>
      </x:c>
      <x:c r="G6171" t="n">
        <x:v>36</x:v>
      </x:c>
      <x:c r="H6171" t="str">
        <x:v>C</x:v>
      </x:c>
      <x:c r="I6171" t="str">
        <x:v>7-9 years</x:v>
      </x:c>
      <x:c r="J6171" t="str">
        <x:v>RENT</x:v>
      </x:c>
      <x:c r="K6171" t="str">
        <x:v>home_improvement</x:v>
      </x:c>
      <x:c r="L6171" t="n">
        <x:v>0</x:v>
      </x:c>
      <x:c r="M6171" t="n">
        <x:v>0</x:v>
      </x:c>
      <x:c r="N6171" t="str">
        <x:v>Fully Paid</x:v>
      </x:c>
      <x:c r="O6171" t="str">
        <x:f>IF(D6171="","Unknown",IF(D6171&lt;25000,"&lt;$25k",IF(D6171&lt;50000,"$25k-$50k",IF(D6171&lt;75000,"$50k-$75k",IF(D6171&lt;100000,"$75k-$100k","$100k+")))))</x:f>
        <x:v>$25k-$50k</x:v>
      </x:c>
      <x:c r="P6171" t="str">
        <x:f>IF(E6171="","Unknown",IF(E6171&lt;10,"&lt;10",IF(E6171&lt;20,"10-&lt;20",IF(E6171&lt;25,"20-&lt;25",IF(E6171&lt;35,"25-&lt;35","35+")))))</x:f>
        <x:v>25-&lt;35</x:v>
      </x:c>
    </x:row>
    <x:row r="6172">
      <x:c r="A6172" t="str">
        <x:v>SYN0006171</x:v>
      </x:c>
      <x:c r="B6172" s="12" t="n">
        <x:v>41815</x:v>
      </x:c>
      <x:c r="C6172" s="18" t="n">
        <x:v>7696</x:v>
      </x:c>
      <x:c r="D6172" s="18" t="n">
        <x:v>16999</x:v>
      </x:c>
      <x:c r="E6172" s="18" t="n">
        <x:v>33.6</x:v>
      </x:c>
      <x:c r="F6172" s="18" t="n">
        <x:v>6.86</x:v>
      </x:c>
      <x:c r="G6172" t="n">
        <x:v>36</x:v>
      </x:c>
      <x:c r="H6172" t="str">
        <x:v>B</x:v>
      </x:c>
      <x:c r="I6172" t="str">
        <x:v>4-6 years</x:v>
      </x:c>
      <x:c r="J6172" t="str">
        <x:v>MORTGAGE</x:v>
      </x:c>
      <x:c r="K6172" t="str">
        <x:v>debt_consolidation</x:v>
      </x:c>
      <x:c r="L6172" t="n">
        <x:v>0</x:v>
      </x:c>
      <x:c r="M6172" t="n">
        <x:v>0</x:v>
      </x:c>
      <x:c r="N6172" t="str">
        <x:v>Fully Paid</x:v>
      </x:c>
      <x:c r="O6172" t="str">
        <x:f>IF(D6172="","Unknown",IF(D6172&lt;25000,"&lt;$25k",IF(D6172&lt;50000,"$25k-$50k",IF(D6172&lt;75000,"$50k-$75k",IF(D6172&lt;100000,"$75k-$100k","$100k+")))))</x:f>
        <x:v>&lt;$25k</x:v>
      </x:c>
      <x:c r="P6172" t="str">
        <x:f>IF(E6172="","Unknown",IF(E6172&lt;10,"&lt;10",IF(E6172&lt;20,"10-&lt;20",IF(E6172&lt;25,"20-&lt;25",IF(E6172&lt;35,"25-&lt;35","35+")))))</x:f>
        <x:v>25-&lt;35</x:v>
      </x:c>
    </x:row>
    <x:row r="6173">
      <x:c r="A6173" t="str">
        <x:v>SYN0006172</x:v>
      </x:c>
      <x:c r="B6173" s="12" t="n">
        <x:v>42205</x:v>
      </x:c>
      <x:c r="C6173" s="18" t="n">
        <x:v>9319</x:v>
      </x:c>
      <x:c r="D6173" s="18" t="n">
        <x:v>57542</x:v>
      </x:c>
      <x:c r="E6173" s="18" t="n">
        <x:v>31.54</x:v>
      </x:c>
      <x:c r="F6173" s="18" t="n">
        <x:v>19.07</x:v>
      </x:c>
      <x:c r="G6173" t="n">
        <x:v>36</x:v>
      </x:c>
      <x:c r="H6173" t="str">
        <x:v>E</x:v>
      </x:c>
      <x:c r="I6173" t="str">
        <x:v>7-9 years</x:v>
      </x:c>
      <x:c r="J6173" t="str">
        <x:v>RENT</x:v>
      </x:c>
      <x:c r="K6173" t="str">
        <x:v>medical</x:v>
      </x:c>
      <x:c r="L6173" t="n">
        <x:v>0</x:v>
      </x:c>
      <x:c r="M6173" t="n">
        <x:v>0</x:v>
      </x:c>
      <x:c r="N6173" t="str">
        <x:v>Fully Paid</x:v>
      </x:c>
      <x:c r="O6173" t="str">
        <x:f>IF(D6173="","Unknown",IF(D6173&lt;25000,"&lt;$25k",IF(D6173&lt;50000,"$25k-$50k",IF(D6173&lt;75000,"$50k-$75k",IF(D6173&lt;100000,"$75k-$100k","$100k+")))))</x:f>
        <x:v>$50k-$75k</x:v>
      </x:c>
      <x:c r="P6173" t="str">
        <x:f>IF(E6173="","Unknown",IF(E6173&lt;10,"&lt;10",IF(E6173&lt;20,"10-&lt;20",IF(E6173&lt;25,"20-&lt;25",IF(E6173&lt;35,"25-&lt;35","35+")))))</x:f>
        <x:v>25-&lt;35</x:v>
      </x:c>
    </x:row>
    <x:row r="6174">
      <x:c r="A6174" t="str">
        <x:v>SYN0006173</x:v>
      </x:c>
      <x:c r="B6174" s="12" t="n">
        <x:v>41935</x:v>
      </x:c>
      <x:c r="C6174" s="18" t="n">
        <x:v>5152</x:v>
      </x:c>
      <x:c r="D6174" s="18" t="n">
        <x:v>93868</x:v>
      </x:c>
      <x:c r="E6174" s="18" t="n">
        <x:v>17.91</x:v>
      </x:c>
      <x:c r="F6174" s="18" t="n">
        <x:v>11.37</x:v>
      </x:c>
      <x:c r="G6174" t="n">
        <x:v>36</x:v>
      </x:c>
      <x:c r="H6174" t="str">
        <x:v>C</x:v>
      </x:c>
      <x:c r="I6174" t="str">
        <x:v>&lt;1 year</x:v>
      </x:c>
      <x:c r="J6174" t="str">
        <x:v>MORTGAGE</x:v>
      </x:c>
      <x:c r="K6174" t="str">
        <x:v>medical</x:v>
      </x:c>
      <x:c r="L6174" t="n">
        <x:v>0</x:v>
      </x:c>
      <x:c r="M6174" t="n">
        <x:v>0</x:v>
      </x:c>
      <x:c r="N6174" t="str">
        <x:v>Fully Paid</x:v>
      </x:c>
      <x:c r="O6174" t="str">
        <x:f>IF(D6174="","Unknown",IF(D6174&lt;25000,"&lt;$25k",IF(D6174&lt;50000,"$25k-$50k",IF(D6174&lt;75000,"$50k-$75k",IF(D6174&lt;100000,"$75k-$100k","$100k+")))))</x:f>
        <x:v>$75k-$100k</x:v>
      </x:c>
      <x:c r="P6174" t="str">
        <x:f>IF(E6174="","Unknown",IF(E6174&lt;10,"&lt;10",IF(E6174&lt;20,"10-&lt;20",IF(E6174&lt;25,"20-&lt;25",IF(E6174&lt;35,"25-&lt;35","35+")))))</x:f>
        <x:v>10-&lt;20</x:v>
      </x:c>
    </x:row>
    <x:row r="6175">
      <x:c r="A6175" t="str">
        <x:v>SYN0006174</x:v>
      </x:c>
      <x:c r="B6175" s="12" t="n">
        <x:v>41755</x:v>
      </x:c>
      <x:c r="C6175" s="18" t="n">
        <x:v>25043</x:v>
      </x:c>
      <x:c r="D6175" s="18" t="n">
        <x:v>76424</x:v>
      </x:c>
      <x:c r="E6175" s="18" t="n">
        <x:v>14.82</x:v>
      </x:c>
      <x:c r="F6175" s="18" t="n">
        <x:v>13.34</x:v>
      </x:c>
      <x:c r="G6175" t="n">
        <x:v>60</x:v>
      </x:c>
      <x:c r="H6175" t="str">
        <x:v>D</x:v>
      </x:c>
      <x:c r="I6175" t="str">
        <x:v>7-9 years</x:v>
      </x:c>
      <x:c r="J6175" t="str">
        <x:v>RENT</x:v>
      </x:c>
      <x:c r="K6175" t="str">
        <x:v>debt_consolidation</x:v>
      </x:c>
      <x:c r="L6175" t="n">
        <x:v>1</x:v>
      </x:c>
      <x:c r="M6175" t="n">
        <x:v>0</x:v>
      </x:c>
      <x:c r="N6175" t="str">
        <x:v>Fully Paid</x:v>
      </x:c>
      <x:c r="O6175" t="str">
        <x:f>IF(D6175="","Unknown",IF(D6175&lt;25000,"&lt;$25k",IF(D6175&lt;50000,"$25k-$50k",IF(D6175&lt;75000,"$50k-$75k",IF(D6175&lt;100000,"$75k-$100k","$100k+")))))</x:f>
        <x:v>$75k-$100k</x:v>
      </x:c>
      <x:c r="P6175" t="str">
        <x:f>IF(E6175="","Unknown",IF(E6175&lt;10,"&lt;10",IF(E6175&lt;20,"10-&lt;20",IF(E6175&lt;25,"20-&lt;25",IF(E6175&lt;35,"25-&lt;35","35+")))))</x:f>
        <x:v>10-&lt;20</x:v>
      </x:c>
    </x:row>
    <x:row r="6176">
      <x:c r="A6176" t="str">
        <x:v>SYN0006175</x:v>
      </x:c>
      <x:c r="B6176" s="12" t="n">
        <x:v>41485</x:v>
      </x:c>
      <x:c r="C6176" s="18" t="n">
        <x:v>15563</x:v>
      </x:c>
      <x:c r="D6176" s="18" t="n">
        <x:v>70450</x:v>
      </x:c>
      <x:c r="E6176" s="18" t="n">
        <x:v>20.36</x:v>
      </x:c>
      <x:c r="F6176" s="18" t="n">
        <x:v>5.69</x:v>
      </x:c>
      <x:c r="G6176" t="n">
        <x:v>36</x:v>
      </x:c>
      <x:c r="H6176" t="str">
        <x:v>C</x:v>
      </x:c>
      <x:c r="I6176" t="str">
        <x:v>10+ years</x:v>
      </x:c>
      <x:c r="J6176" t="str">
        <x:v>OWN</x:v>
      </x:c>
      <x:c r="K6176" t="str">
        <x:v>major_purchase</x:v>
      </x:c>
      <x:c r="L6176" t="n">
        <x:v>1</x:v>
      </x:c>
      <x:c r="M6176" t="n">
        <x:v>0</x:v>
      </x:c>
      <x:c r="N6176" t="str">
        <x:v>Fully Paid</x:v>
      </x:c>
      <x:c r="O6176" t="str">
        <x:f>IF(D6176="","Unknown",IF(D6176&lt;25000,"&lt;$25k",IF(D6176&lt;50000,"$25k-$50k",IF(D6176&lt;75000,"$50k-$75k",IF(D6176&lt;100000,"$75k-$100k","$100k+")))))</x:f>
        <x:v>$50k-$75k</x:v>
      </x:c>
      <x:c r="P6176" t="str">
        <x:f>IF(E6176="","Unknown",IF(E6176&lt;10,"&lt;10",IF(E6176&lt;20,"10-&lt;20",IF(E6176&lt;25,"20-&lt;25",IF(E6176&lt;35,"25-&lt;35","35+")))))</x:f>
        <x:v>20-&lt;25</x:v>
      </x:c>
    </x:row>
    <x:row r="6177">
      <x:c r="A6177" t="str">
        <x:v>SYN0006176</x:v>
      </x:c>
      <x:c r="B6177" s="12" t="n">
        <x:v>41455</x:v>
      </x:c>
      <x:c r="C6177" s="18" t="n">
        <x:v>11708</x:v>
      </x:c>
      <x:c r="D6177" s="18" t="n">
        <x:v>32442</x:v>
      </x:c>
      <x:c r="E6177" s="18" t="n">
        <x:v>11.22</x:v>
      </x:c>
      <x:c r="F6177" s="18" t="n">
        <x:v>9.1</x:v>
      </x:c>
      <x:c r="G6177" t="n">
        <x:v>36</x:v>
      </x:c>
      <x:c r="H6177" t="str">
        <x:v>B</x:v>
      </x:c>
      <x:c r="I6177" t="str">
        <x:v>1-3 years</x:v>
      </x:c>
      <x:c r="J6177" t="str">
        <x:v>MORTGAGE</x:v>
      </x:c>
      <x:c r="K6177" t="str">
        <x:v>medical</x:v>
      </x:c>
      <x:c r="L6177" t="n">
        <x:v>0</x:v>
      </x:c>
      <x:c r="M6177" t="n">
        <x:v>0</x:v>
      </x:c>
      <x:c r="N6177" t="str">
        <x:v>Fully Paid</x:v>
      </x:c>
      <x:c r="O6177" t="str">
        <x:f>IF(D6177="","Unknown",IF(D6177&lt;25000,"&lt;$25k",IF(D6177&lt;50000,"$25k-$50k",IF(D6177&lt;75000,"$50k-$75k",IF(D6177&lt;100000,"$75k-$100k","$100k+")))))</x:f>
        <x:v>$25k-$50k</x:v>
      </x:c>
      <x:c r="P6177" t="str">
        <x:f>IF(E6177="","Unknown",IF(E6177&lt;10,"&lt;10",IF(E6177&lt;20,"10-&lt;20",IF(E6177&lt;25,"20-&lt;25",IF(E6177&lt;35,"25-&lt;35","35+")))))</x:f>
        <x:v>10-&lt;20</x:v>
      </x:c>
    </x:row>
    <x:row r="6178">
      <x:c r="A6178" t="str">
        <x:v>SYN0006177</x:v>
      </x:c>
      <x:c r="B6178" s="12" t="n">
        <x:v>42085</x:v>
      </x:c>
      <x:c r="C6178" s="18" t="n">
        <x:v>15035</x:v>
      </x:c>
      <x:c r="D6178" s="18" t="n">
        <x:v>85740</x:v>
      </x:c>
      <x:c r="E6178" s="18" t="n">
        <x:v>31.83</x:v>
      </x:c>
      <x:c r="F6178" s="18" t="n">
        <x:v>21.04</x:v>
      </x:c>
      <x:c r="G6178" t="n">
        <x:v>60</x:v>
      </x:c>
      <x:c r="H6178" t="str">
        <x:v>F</x:v>
      </x:c>
      <x:c r="I6178" t="str">
        <x:v>1-3 years</x:v>
      </x:c>
      <x:c r="J6178" t="str">
        <x:v>OTHER</x:v>
      </x:c>
      <x:c r="K6178" t="str">
        <x:v>other</x:v>
      </x:c>
      <x:c r="L6178" t="n">
        <x:v>1</x:v>
      </x:c>
      <x:c r="M6178" t="n">
        <x:v>1</x:v>
      </x:c>
      <x:c r="N6178" t="str">
        <x:v>Charged Off</x:v>
      </x:c>
      <x:c r="O6178" t="str">
        <x:f>IF(D6178="","Unknown",IF(D6178&lt;25000,"&lt;$25k",IF(D6178&lt;50000,"$25k-$50k",IF(D6178&lt;75000,"$50k-$75k",IF(D6178&lt;100000,"$75k-$100k","$100k+")))))</x:f>
        <x:v>$75k-$100k</x:v>
      </x:c>
      <x:c r="P6178" t="str">
        <x:f>IF(E6178="","Unknown",IF(E6178&lt;10,"&lt;10",IF(E6178&lt;20,"10-&lt;20",IF(E6178&lt;25,"20-&lt;25",IF(E6178&lt;35,"25-&lt;35","35+")))))</x:f>
        <x:v>25-&lt;35</x:v>
      </x:c>
    </x:row>
    <x:row r="6179">
      <x:c r="A6179" t="str">
        <x:v>SYN0006178</x:v>
      </x:c>
      <x:c r="B6179" s="12" t="n">
        <x:v>42685</x:v>
      </x:c>
      <x:c r="C6179" s="18" t="n">
        <x:v>14063</x:v>
      </x:c>
      <x:c r="D6179" s="18" t="n">
        <x:v>63905</x:v>
      </x:c>
      <x:c r="E6179" s="18" t="n">
        <x:v>1.24</x:v>
      </x:c>
      <x:c r="F6179" s="18" t="n">
        <x:v>7.44</x:v>
      </x:c>
      <x:c r="G6179" t="n">
        <x:v>36</x:v>
      </x:c>
      <x:c r="H6179" t="str">
        <x:v>C</x:v>
      </x:c>
      <x:c r="I6179" t="str">
        <x:v>1-3 years</x:v>
      </x:c>
      <x:c r="J6179" t="str">
        <x:v>MORTGAGE</x:v>
      </x:c>
      <x:c r="K6179" t="str">
        <x:v>debt_consolidation</x:v>
      </x:c>
      <x:c r="L6179" t="n">
        <x:v>0</x:v>
      </x:c>
      <x:c r="M6179" t="n">
        <x:v>0</x:v>
      </x:c>
      <x:c r="N6179" t="str">
        <x:v>Fully Paid</x:v>
      </x:c>
      <x:c r="O6179" t="str">
        <x:f>IF(D6179="","Unknown",IF(D6179&lt;25000,"&lt;$25k",IF(D6179&lt;50000,"$25k-$50k",IF(D6179&lt;75000,"$50k-$75k",IF(D6179&lt;100000,"$75k-$100k","$100k+")))))</x:f>
        <x:v>$50k-$75k</x:v>
      </x:c>
      <x:c r="P6179" t="str">
        <x:f>IF(E6179="","Unknown",IF(E6179&lt;10,"&lt;10",IF(E6179&lt;20,"10-&lt;20",IF(E6179&lt;25,"20-&lt;25",IF(E6179&lt;35,"25-&lt;35","35+")))))</x:f>
        <x:v>&lt;10</x:v>
      </x:c>
    </x:row>
    <x:row r="6180">
      <x:c r="A6180" t="str">
        <x:v>SYN0006179</x:v>
      </x:c>
      <x:c r="B6180" s="12" t="n">
        <x:v>42325</x:v>
      </x:c>
      <x:c r="C6180" s="18" t="n">
        <x:v>14787</x:v>
      </x:c>
      <x:c r="D6180" s="18" t="n">
        <x:v>45652</x:v>
      </x:c>
      <x:c r="E6180" s="18" t="n">
        <x:v>16.94</x:v>
      </x:c>
      <x:c r="F6180" s="18" t="n">
        <x:v>5.95</x:v>
      </x:c>
      <x:c r="G6180" t="n">
        <x:v>60</x:v>
      </x:c>
      <x:c r="H6180" t="str">
        <x:v>B</x:v>
      </x:c>
      <x:c r="I6180" t="str">
        <x:v>4-6 years</x:v>
      </x:c>
      <x:c r="J6180" t="str">
        <x:v>RENT</x:v>
      </x:c>
      <x:c r="K6180" t="str">
        <x:v>medical</x:v>
      </x:c>
      <x:c r="L6180" t="n">
        <x:v>1</x:v>
      </x:c>
      <x:c r="M6180" t="n">
        <x:v>0</x:v>
      </x:c>
      <x:c r="N6180" t="str">
        <x:v>Fully Paid</x:v>
      </x:c>
      <x:c r="O6180" t="str">
        <x:f>IF(D6180="","Unknown",IF(D6180&lt;25000,"&lt;$25k",IF(D6180&lt;50000,"$25k-$50k",IF(D6180&lt;75000,"$50k-$75k",IF(D6180&lt;100000,"$75k-$100k","$100k+")))))</x:f>
        <x:v>$25k-$50k</x:v>
      </x:c>
      <x:c r="P6180" t="str">
        <x:f>IF(E6180="","Unknown",IF(E6180&lt;10,"&lt;10",IF(E6180&lt;20,"10-&lt;20",IF(E6180&lt;25,"20-&lt;25",IF(E6180&lt;35,"25-&lt;35","35+")))))</x:f>
        <x:v>10-&lt;20</x:v>
      </x:c>
    </x:row>
    <x:row r="6181">
      <x:c r="A6181" t="str">
        <x:v>SYN0006180</x:v>
      </x:c>
      <x:c r="B6181" s="12" t="n">
        <x:v>42865</x:v>
      </x:c>
      <x:c r="C6181" s="18" t="n">
        <x:v>21139</x:v>
      </x:c>
      <x:c r="D6181" s="18" t="n">
        <x:v>66474</x:v>
      </x:c>
      <x:c r="E6181" s="18" t="n">
        <x:v>38.24</x:v>
      </x:c>
      <x:c r="F6181" s="18" t="n">
        <x:v>7.18</x:v>
      </x:c>
      <x:c r="G6181" t="n">
        <x:v>36</x:v>
      </x:c>
      <x:c r="H6181" t="str">
        <x:v>B</x:v>
      </x:c>
      <x:c r="I6181" t="str">
        <x:v>10+ years</x:v>
      </x:c>
      <x:c r="J6181" t="str">
        <x:v>MORTGAGE</x:v>
      </x:c>
      <x:c r="K6181" t="str">
        <x:v>debt_consolidation</x:v>
      </x:c>
      <x:c r="L6181" t="n">
        <x:v>0</x:v>
      </x:c>
      <x:c r="M6181" t="n">
        <x:v>0</x:v>
      </x:c>
      <x:c r="N6181" t="str">
        <x:v>Fully Paid</x:v>
      </x:c>
      <x:c r="O6181" t="str">
        <x:f>IF(D6181="","Unknown",IF(D6181&lt;25000,"&lt;$25k",IF(D6181&lt;50000,"$25k-$50k",IF(D6181&lt;75000,"$50k-$75k",IF(D6181&lt;100000,"$75k-$100k","$100k+")))))</x:f>
        <x:v>$50k-$75k</x:v>
      </x:c>
      <x:c r="P6181" t="str">
        <x:f>IF(E6181="","Unknown",IF(E6181&lt;10,"&lt;10",IF(E6181&lt;20,"10-&lt;20",IF(E6181&lt;25,"20-&lt;25",IF(E6181&lt;35,"25-&lt;35","35+")))))</x:f>
        <x:v>35+</x:v>
      </x:c>
    </x:row>
    <x:row r="6182">
      <x:c r="A6182" t="str">
        <x:v>SYN0006181</x:v>
      </x:c>
      <x:c r="B6182" s="12" t="n">
        <x:v>42445</x:v>
      </x:c>
      <x:c r="C6182" s="18" t="n">
        <x:v>6651</x:v>
      </x:c>
      <x:c r="D6182" s="18" t="n">
        <x:v>42554</x:v>
      </x:c>
      <x:c r="E6182" s="18" t="n">
        <x:v>19.86</x:v>
      </x:c>
      <x:c r="F6182" s="18" t="n">
        <x:v>9.12</x:v>
      </x:c>
      <x:c r="G6182" t="n">
        <x:v>60</x:v>
      </x:c>
      <x:c r="H6182" t="str">
        <x:v>B</x:v>
      </x:c>
      <x:c r="I6182" t="str">
        <x:v>1-3 years</x:v>
      </x:c>
      <x:c r="J6182" t="str">
        <x:v>RENT</x:v>
      </x:c>
      <x:c r="K6182" t="str">
        <x:v>credit_card</x:v>
      </x:c>
      <x:c r="L6182" t="n">
        <x:v>1</x:v>
      </x:c>
      <x:c r="M6182" t="n">
        <x:v>0</x:v>
      </x:c>
      <x:c r="N6182" t="str">
        <x:v>Fully Paid</x:v>
      </x:c>
      <x:c r="O6182" t="str">
        <x:f>IF(D6182="","Unknown",IF(D6182&lt;25000,"&lt;$25k",IF(D6182&lt;50000,"$25k-$50k",IF(D6182&lt;75000,"$50k-$75k",IF(D6182&lt;100000,"$75k-$100k","$100k+")))))</x:f>
        <x:v>$25k-$50k</x:v>
      </x:c>
      <x:c r="P6182" t="str">
        <x:f>IF(E6182="","Unknown",IF(E6182&lt;10,"&lt;10",IF(E6182&lt;20,"10-&lt;20",IF(E6182&lt;25,"20-&lt;25",IF(E6182&lt;35,"25-&lt;35","35+")))))</x:f>
        <x:v>10-&lt;20</x:v>
      </x:c>
    </x:row>
    <x:row r="6183">
      <x:c r="A6183" t="str">
        <x:v>SYN0006182</x:v>
      </x:c>
      <x:c r="B6183" s="12" t="n">
        <x:v>42115</x:v>
      </x:c>
      <x:c r="C6183" s="18" t="n">
        <x:v>14577</x:v>
      </x:c>
      <x:c r="D6183" s="18" t="n">
        <x:v>71523</x:v>
      </x:c>
      <x:c r="E6183" s="18" t="n">
        <x:v>29.37</x:v>
      </x:c>
      <x:c r="F6183" s="18" t="n">
        <x:v>18.84</x:v>
      </x:c>
      <x:c r="G6183" t="n">
        <x:v>60</x:v>
      </x:c>
      <x:c r="H6183" t="str">
        <x:v>E</x:v>
      </x:c>
      <x:c r="I6183" t="str">
        <x:v>4-6 years</x:v>
      </x:c>
      <x:c r="J6183" t="str">
        <x:v>MORTGAGE</x:v>
      </x:c>
      <x:c r="K6183" t="str">
        <x:v>home_improvement</x:v>
      </x:c>
      <x:c r="L6183" t="n">
        <x:v>2</x:v>
      </x:c>
      <x:c r="M6183" t="n">
        <x:v>0</x:v>
      </x:c>
      <x:c r="N6183" t="str">
        <x:v>Fully Paid</x:v>
      </x:c>
      <x:c r="O6183" t="str">
        <x:f>IF(D6183="","Unknown",IF(D6183&lt;25000,"&lt;$25k",IF(D6183&lt;50000,"$25k-$50k",IF(D6183&lt;75000,"$50k-$75k",IF(D6183&lt;100000,"$75k-$100k","$100k+")))))</x:f>
        <x:v>$50k-$75k</x:v>
      </x:c>
      <x:c r="P6183" t="str">
        <x:f>IF(E6183="","Unknown",IF(E6183&lt;10,"&lt;10",IF(E6183&lt;20,"10-&lt;20",IF(E6183&lt;25,"20-&lt;25",IF(E6183&lt;35,"25-&lt;35","35+")))))</x:f>
        <x:v>25-&lt;35</x:v>
      </x:c>
    </x:row>
    <x:row r="6184">
      <x:c r="A6184" t="str">
        <x:v>SYN0006183</x:v>
      </x:c>
      <x:c r="B6184" s="12" t="n">
        <x:v>43075</x:v>
      </x:c>
      <x:c r="C6184" s="18" t="n">
        <x:v>14140</x:v>
      </x:c>
      <x:c r="D6184" s="18" t="n">
        <x:v>40794</x:v>
      </x:c>
      <x:c r="E6184" s="18" t="n">
        <x:v>19.89</x:v>
      </x:c>
      <x:c r="F6184" s="18" t="n">
        <x:v>9.62</x:v>
      </x:c>
      <x:c r="G6184" t="n">
        <x:v>60</x:v>
      </x:c>
      <x:c r="H6184" t="str">
        <x:v>B</x:v>
      </x:c>
      <x:c r="I6184" t="str">
        <x:v>7-9 years</x:v>
      </x:c>
      <x:c r="J6184" t="str">
        <x:v>OWN</x:v>
      </x:c>
      <x:c r="K6184" t="str">
        <x:v>other</x:v>
      </x:c>
      <x:c r="L6184" t="n">
        <x:v>0</x:v>
      </x:c>
      <x:c r="M6184" t="n">
        <x:v>0</x:v>
      </x:c>
      <x:c r="N6184" t="str">
        <x:v>Fully Paid</x:v>
      </x:c>
      <x:c r="O6184" t="str">
        <x:f>IF(D6184="","Unknown",IF(D6184&lt;25000,"&lt;$25k",IF(D6184&lt;50000,"$25k-$50k",IF(D6184&lt;75000,"$50k-$75k",IF(D6184&lt;100000,"$75k-$100k","$100k+")))))</x:f>
        <x:v>$25k-$50k</x:v>
      </x:c>
      <x:c r="P6184" t="str">
        <x:f>IF(E6184="","Unknown",IF(E6184&lt;10,"&lt;10",IF(E6184&lt;20,"10-&lt;20",IF(E6184&lt;25,"20-&lt;25",IF(E6184&lt;35,"25-&lt;35","35+")))))</x:f>
        <x:v>10-&lt;20</x:v>
      </x:c>
    </x:row>
    <x:row r="6185">
      <x:c r="A6185" t="str">
        <x:v>SYN0006184</x:v>
      </x:c>
      <x:c r="B6185" s="12" t="n">
        <x:v>41455</x:v>
      </x:c>
      <x:c r="C6185" s="18" t="n">
        <x:v>7260</x:v>
      </x:c>
      <x:c r="D6185" s="18" t="n">
        <x:v>20342</x:v>
      </x:c>
      <x:c r="E6185" s="18" t="n">
        <x:v>28.78</x:v>
      </x:c>
      <x:c r="F6185" s="18" t="n">
        <x:v>12.86</x:v>
      </x:c>
      <x:c r="G6185" t="n">
        <x:v>60</x:v>
      </x:c>
      <x:c r="H6185" t="str">
        <x:v>D</x:v>
      </x:c>
      <x:c r="I6185" t="str">
        <x:v>1-3 years</x:v>
      </x:c>
      <x:c r="J6185" t="str">
        <x:v>RENT</x:v>
      </x:c>
      <x:c r="K6185" t="str">
        <x:v>major_purchase</x:v>
      </x:c>
      <x:c r="L6185" t="n">
        <x:v>0</x:v>
      </x:c>
      <x:c r="M6185" t="n">
        <x:v>1</x:v>
      </x:c>
      <x:c r="N6185" t="str">
        <x:v>Charged Off</x:v>
      </x:c>
      <x:c r="O6185" t="str">
        <x:f>IF(D6185="","Unknown",IF(D6185&lt;25000,"&lt;$25k",IF(D6185&lt;50000,"$25k-$50k",IF(D6185&lt;75000,"$50k-$75k",IF(D6185&lt;100000,"$75k-$100k","$100k+")))))</x:f>
        <x:v>&lt;$25k</x:v>
      </x:c>
      <x:c r="P6185" t="str">
        <x:f>IF(E6185="","Unknown",IF(E6185&lt;10,"&lt;10",IF(E6185&lt;20,"10-&lt;20",IF(E6185&lt;25,"20-&lt;25",IF(E6185&lt;35,"25-&lt;35","35+")))))</x:f>
        <x:v>25-&lt;35</x:v>
      </x:c>
    </x:row>
    <x:row r="6186">
      <x:c r="A6186" t="str">
        <x:v>SYN0006185</x:v>
      </x:c>
      <x:c r="B6186" s="12" t="n">
        <x:v>41575</x:v>
      </x:c>
      <x:c r="C6186" s="18" t="n">
        <x:v>5524</x:v>
      </x:c>
      <x:c r="D6186" s="18" t="n">
        <x:v>37481</x:v>
      </x:c>
      <x:c r="E6186" s="18" t="n">
        <x:v>19.57</x:v>
      </x:c>
      <x:c r="F6186" s="18" t="n">
        <x:v>14.71</x:v>
      </x:c>
      <x:c r="G6186" t="n">
        <x:v>36</x:v>
      </x:c>
      <x:c r="H6186" t="str">
        <x:v>D</x:v>
      </x:c>
      <x:c r="I6186" t="str">
        <x:v>7-9 years</x:v>
      </x:c>
      <x:c r="J6186" t="str">
        <x:v>RENT</x:v>
      </x:c>
      <x:c r="K6186" t="str">
        <x:v>medical</x:v>
      </x:c>
      <x:c r="L6186" t="n">
        <x:v>0</x:v>
      </x:c>
      <x:c r="M6186" t="n">
        <x:v>0</x:v>
      </x:c>
      <x:c r="N6186" t="str">
        <x:v>Fully Paid</x:v>
      </x:c>
      <x:c r="O6186" t="str">
        <x:f>IF(D6186="","Unknown",IF(D6186&lt;25000,"&lt;$25k",IF(D6186&lt;50000,"$25k-$50k",IF(D6186&lt;75000,"$50k-$75k",IF(D6186&lt;100000,"$75k-$100k","$100k+")))))</x:f>
        <x:v>$25k-$50k</x:v>
      </x:c>
      <x:c r="P6186" t="str">
        <x:f>IF(E6186="","Unknown",IF(E6186&lt;10,"&lt;10",IF(E6186&lt;20,"10-&lt;20",IF(E6186&lt;25,"20-&lt;25",IF(E6186&lt;35,"25-&lt;35","35+")))))</x:f>
        <x:v>10-&lt;20</x:v>
      </x:c>
    </x:row>
    <x:row r="6187">
      <x:c r="A6187" t="str">
        <x:v>SYN0006186</x:v>
      </x:c>
      <x:c r="B6187" s="12" t="n">
        <x:v>41845</x:v>
      </x:c>
      <x:c r="C6187" s="18" t="n">
        <x:v>18006</x:v>
      </x:c>
      <x:c r="D6187" s="18" t="n">
        <x:v>51993</x:v>
      </x:c>
      <x:c r="E6187" s="18" t="n">
        <x:v>27.33</x:v>
      </x:c>
      <x:c r="F6187" s="18" t="n">
        <x:v>17.44</x:v>
      </x:c>
      <x:c r="G6187" t="n">
        <x:v>36</x:v>
      </x:c>
      <x:c r="H6187" t="str">
        <x:v>E</x:v>
      </x:c>
      <x:c r="I6187" t="str">
        <x:v>4-6 years</x:v>
      </x:c>
      <x:c r="J6187" t="str">
        <x:v>OWN</x:v>
      </x:c>
      <x:c r="K6187" t="str">
        <x:v>debt_consolidation</x:v>
      </x:c>
      <x:c r="L6187" t="n">
        <x:v>0</x:v>
      </x:c>
      <x:c r="M6187" t="n">
        <x:v>0</x:v>
      </x:c>
      <x:c r="N6187" t="str">
        <x:v>Fully Paid</x:v>
      </x:c>
      <x:c r="O6187" t="str">
        <x:f>IF(D6187="","Unknown",IF(D6187&lt;25000,"&lt;$25k",IF(D6187&lt;50000,"$25k-$50k",IF(D6187&lt;75000,"$50k-$75k",IF(D6187&lt;100000,"$75k-$100k","$100k+")))))</x:f>
        <x:v>$50k-$75k</x:v>
      </x:c>
      <x:c r="P6187" t="str">
        <x:f>IF(E6187="","Unknown",IF(E6187&lt;10,"&lt;10",IF(E6187&lt;20,"10-&lt;20",IF(E6187&lt;25,"20-&lt;25",IF(E6187&lt;35,"25-&lt;35","35+")))))</x:f>
        <x:v>25-&lt;35</x:v>
      </x:c>
    </x:row>
    <x:row r="6188">
      <x:c r="A6188" t="str">
        <x:v>SYN0006187</x:v>
      </x:c>
      <x:c r="B6188" s="12" t="n">
        <x:v>42895</x:v>
      </x:c>
      <x:c r="C6188" s="18" t="n">
        <x:v>11261</x:v>
      </x:c>
      <x:c r="D6188" s="18" t="n">
        <x:v>38182</x:v>
      </x:c>
      <x:c r="E6188" s="18" t="n">
        <x:v>28.3</x:v>
      </x:c>
      <x:c r="F6188" s="18" t="n">
        <x:v>8.62</x:v>
      </x:c>
      <x:c r="G6188" t="n">
        <x:v>36</x:v>
      </x:c>
      <x:c r="H6188" t="str">
        <x:v>B</x:v>
      </x:c>
      <x:c r="I6188" t="str">
        <x:v>1-3 years</x:v>
      </x:c>
      <x:c r="J6188" t="str">
        <x:v>MORTGAGE</x:v>
      </x:c>
      <x:c r="K6188" t="str">
        <x:v>debt_consolidation</x:v>
      </x:c>
      <x:c r="L6188" t="n">
        <x:v>0</x:v>
      </x:c>
      <x:c r="M6188" t="n">
        <x:v>0</x:v>
      </x:c>
      <x:c r="N6188" t="str">
        <x:v>Fully Paid</x:v>
      </x:c>
      <x:c r="O6188" t="str">
        <x:f>IF(D6188="","Unknown",IF(D6188&lt;25000,"&lt;$25k",IF(D6188&lt;50000,"$25k-$50k",IF(D6188&lt;75000,"$50k-$75k",IF(D6188&lt;100000,"$75k-$100k","$100k+")))))</x:f>
        <x:v>$25k-$50k</x:v>
      </x:c>
      <x:c r="P6188" t="str">
        <x:f>IF(E6188="","Unknown",IF(E6188&lt;10,"&lt;10",IF(E6188&lt;20,"10-&lt;20",IF(E6188&lt;25,"20-&lt;25",IF(E6188&lt;35,"25-&lt;35","35+")))))</x:f>
        <x:v>25-&lt;35</x:v>
      </x:c>
    </x:row>
    <x:row r="6189">
      <x:c r="A6189" t="str">
        <x:v>SYN0006188</x:v>
      </x:c>
      <x:c r="B6189" s="12" t="n">
        <x:v>43255</x:v>
      </x:c>
      <x:c r="C6189" s="18" t="n">
        <x:v>14147</x:v>
      </x:c>
      <x:c r="D6189" s="18" t="n">
        <x:v>82397</x:v>
      </x:c>
      <x:c r="E6189" s="18" t="n">
        <x:v>0.25</x:v>
      </x:c>
      <x:c r="F6189" s="18" t="n">
        <x:v>10.38</x:v>
      </x:c>
      <x:c r="G6189" t="n">
        <x:v>36</x:v>
      </x:c>
      <x:c r="H6189" t="str">
        <x:v>C</x:v>
      </x:c>
      <x:c r="I6189" t="str">
        <x:v>4-6 years</x:v>
      </x:c>
      <x:c r="J6189" t="str">
        <x:v>OWN</x:v>
      </x:c>
      <x:c r="K6189" t="str">
        <x:v>debt_consolidation</x:v>
      </x:c>
      <x:c r="L6189" t="n">
        <x:v>0</x:v>
      </x:c>
      <x:c r="M6189" t="n">
        <x:v>0</x:v>
      </x:c>
      <x:c r="N6189" t="str">
        <x:v>Fully Paid</x:v>
      </x:c>
      <x:c r="O6189" t="str">
        <x:f>IF(D6189="","Unknown",IF(D6189&lt;25000,"&lt;$25k",IF(D6189&lt;50000,"$25k-$50k",IF(D6189&lt;75000,"$50k-$75k",IF(D6189&lt;100000,"$75k-$100k","$100k+")))))</x:f>
        <x:v>$75k-$100k</x:v>
      </x:c>
      <x:c r="P6189" t="str">
        <x:f>IF(E6189="","Unknown",IF(E6189&lt;10,"&lt;10",IF(E6189&lt;20,"10-&lt;20",IF(E6189&lt;25,"20-&lt;25",IF(E6189&lt;35,"25-&lt;35","35+")))))</x:f>
        <x:v>&lt;10</x:v>
      </x:c>
    </x:row>
    <x:row r="6190">
      <x:c r="A6190" t="str">
        <x:v>SYN0006189</x:v>
      </x:c>
      <x:c r="B6190" s="12" t="n">
        <x:v>42385</x:v>
      </x:c>
      <x:c r="C6190" s="18" t="n">
        <x:v>16479</x:v>
      </x:c>
      <x:c r="D6190" s="18" t="n">
        <x:v>53338</x:v>
      </x:c>
      <x:c r="E6190" s="18" t="n">
        <x:v>29.61</x:v>
      </x:c>
      <x:c r="F6190" s="18" t="n">
        <x:v>16.3</x:v>
      </x:c>
      <x:c r="G6190" t="n">
        <x:v>60</x:v>
      </x:c>
      <x:c r="H6190" t="str">
        <x:v>D</x:v>
      </x:c>
      <x:c r="I6190" t="str">
        <x:v>1-3 years</x:v>
      </x:c>
      <x:c r="J6190" t="str">
        <x:v>MORTGAGE</x:v>
      </x:c>
      <x:c r="K6190" t="str">
        <x:v>medical</x:v>
      </x:c>
      <x:c r="L6190" t="n">
        <x:v>1</x:v>
      </x:c>
      <x:c r="M6190" t="n">
        <x:v>1</x:v>
      </x:c>
      <x:c r="N6190" t="str">
        <x:v>Charged Off</x:v>
      </x:c>
      <x:c r="O6190" t="str">
        <x:f>IF(D6190="","Unknown",IF(D6190&lt;25000,"&lt;$25k",IF(D6190&lt;50000,"$25k-$50k",IF(D6190&lt;75000,"$50k-$75k",IF(D6190&lt;100000,"$75k-$100k","$100k+")))))</x:f>
        <x:v>$50k-$75k</x:v>
      </x:c>
      <x:c r="P6190" t="str">
        <x:f>IF(E6190="","Unknown",IF(E6190&lt;10,"&lt;10",IF(E6190&lt;20,"10-&lt;20",IF(E6190&lt;25,"20-&lt;25",IF(E6190&lt;35,"25-&lt;35","35+")))))</x:f>
        <x:v>25-&lt;35</x:v>
      </x:c>
    </x:row>
    <x:row r="6191">
      <x:c r="A6191" t="str">
        <x:v>SYN0006190</x:v>
      </x:c>
      <x:c r="B6191" s="12" t="n">
        <x:v>41365</x:v>
      </x:c>
      <x:c r="C6191" s="18" t="n">
        <x:v>11957</x:v>
      </x:c>
      <x:c r="D6191" s="18" t="n">
        <x:v>82093</x:v>
      </x:c>
      <x:c r="E6191" s="18" t="n">
        <x:v>26.05</x:v>
      </x:c>
      <x:c r="F6191" s="18" t="n">
        <x:v>11.31</x:v>
      </x:c>
      <x:c r="G6191" t="n">
        <x:v>36</x:v>
      </x:c>
      <x:c r="H6191" t="str">
        <x:v>C</x:v>
      </x:c>
      <x:c r="I6191" t="str">
        <x:v>10+ years</x:v>
      </x:c>
      <x:c r="J6191" t="str">
        <x:v>MORTGAGE</x:v>
      </x:c>
      <x:c r="K6191" t="str">
        <x:v>major_purchase</x:v>
      </x:c>
      <x:c r="L6191" t="n">
        <x:v>0</x:v>
      </x:c>
      <x:c r="M6191" t="n">
        <x:v>0</x:v>
      </x:c>
      <x:c r="N6191" t="str">
        <x:v>Fully Paid</x:v>
      </x:c>
      <x:c r="O6191" t="str">
        <x:f>IF(D6191="","Unknown",IF(D6191&lt;25000,"&lt;$25k",IF(D6191&lt;50000,"$25k-$50k",IF(D6191&lt;75000,"$50k-$75k",IF(D6191&lt;100000,"$75k-$100k","$100k+")))))</x:f>
        <x:v>$75k-$100k</x:v>
      </x:c>
      <x:c r="P6191" t="str">
        <x:f>IF(E6191="","Unknown",IF(E6191&lt;10,"&lt;10",IF(E6191&lt;20,"10-&lt;20",IF(E6191&lt;25,"20-&lt;25",IF(E6191&lt;35,"25-&lt;35","35+")))))</x:f>
        <x:v>25-&lt;35</x:v>
      </x:c>
    </x:row>
    <x:row r="6192">
      <x:c r="A6192" t="str">
        <x:v>SYN0006191</x:v>
      </x:c>
      <x:c r="B6192" s="12" t="n">
        <x:v>42745</x:v>
      </x:c>
      <x:c r="C6192" s="18" t="n">
        <x:v>17492</x:v>
      </x:c>
      <x:c r="D6192" s="18" t="n">
        <x:v>115732</x:v>
      </x:c>
      <x:c r="E6192" s="18" t="n">
        <x:v>8.86</x:v>
      </x:c>
      <x:c r="F6192" s="18" t="n">
        <x:v>12.08</x:v>
      </x:c>
      <x:c r="G6192" t="n">
        <x:v>36</x:v>
      </x:c>
      <x:c r="H6192" t="str">
        <x:v>C</x:v>
      </x:c>
      <x:c r="I6192" t="str">
        <x:v>10+ years</x:v>
      </x:c>
      <x:c r="J6192" t="str">
        <x:v>RENT</x:v>
      </x:c>
      <x:c r="K6192" t="str">
        <x:v>debt_consolidation</x:v>
      </x:c>
      <x:c r="L6192" t="n">
        <x:v>1</x:v>
      </x:c>
      <x:c r="M6192" t="n">
        <x:v>0</x:v>
      </x:c>
      <x:c r="N6192" t="str">
        <x:v>Fully Paid</x:v>
      </x:c>
      <x:c r="O6192" t="str">
        <x:f>IF(D6192="","Unknown",IF(D6192&lt;25000,"&lt;$25k",IF(D6192&lt;50000,"$25k-$50k",IF(D6192&lt;75000,"$50k-$75k",IF(D6192&lt;100000,"$75k-$100k","$100k+")))))</x:f>
        <x:v>$100k+</x:v>
      </x:c>
      <x:c r="P6192" t="str">
        <x:f>IF(E6192="","Unknown",IF(E6192&lt;10,"&lt;10",IF(E6192&lt;20,"10-&lt;20",IF(E6192&lt;25,"20-&lt;25",IF(E6192&lt;35,"25-&lt;35","35+")))))</x:f>
        <x:v>&lt;10</x:v>
      </x:c>
    </x:row>
    <x:row r="6193">
      <x:c r="A6193" t="str">
        <x:v>SYN0006192</x:v>
      </x:c>
      <x:c r="B6193" s="12" t="n">
        <x:v>42445</x:v>
      </x:c>
      <x:c r="C6193" s="18" t="n">
        <x:v>10981</x:v>
      </x:c>
      <x:c r="D6193" s="18" t="n">
        <x:v>171370</x:v>
      </x:c>
      <x:c r="E6193" s="18" t="n">
        <x:v>25.06</x:v>
      </x:c>
      <x:c r="F6193" s="18" t="n">
        <x:v>20.53</x:v>
      </x:c>
      <x:c r="G6193" t="n">
        <x:v>36</x:v>
      </x:c>
      <x:c r="H6193" t="str">
        <x:v>F</x:v>
      </x:c>
      <x:c r="I6193" t="str">
        <x:v>7-9 years</x:v>
      </x:c>
      <x:c r="J6193" t="str">
        <x:v>MORTGAGE</x:v>
      </x:c>
      <x:c r="K6193" t="str">
        <x:v>debt_consolidation</x:v>
      </x:c>
      <x:c r="L6193" t="n">
        <x:v>0</x:v>
      </x:c>
      <x:c r="M6193" t="n">
        <x:v>1</x:v>
      </x:c>
      <x:c r="N6193" t="str">
        <x:v>Charged Off</x:v>
      </x:c>
      <x:c r="O6193" t="str">
        <x:f>IF(D6193="","Unknown",IF(D6193&lt;25000,"&lt;$25k",IF(D6193&lt;50000,"$25k-$50k",IF(D6193&lt;75000,"$50k-$75k",IF(D6193&lt;100000,"$75k-$100k","$100k+")))))</x:f>
        <x:v>$100k+</x:v>
      </x:c>
      <x:c r="P6193" t="str">
        <x:f>IF(E6193="","Unknown",IF(E6193&lt;10,"&lt;10",IF(E6193&lt;20,"10-&lt;20",IF(E6193&lt;25,"20-&lt;25",IF(E6193&lt;35,"25-&lt;35","35+")))))</x:f>
        <x:v>25-&lt;35</x:v>
      </x:c>
    </x:row>
    <x:row r="6194">
      <x:c r="A6194" t="str">
        <x:v>SYN0006193</x:v>
      </x:c>
      <x:c r="B6194" s="12" t="n">
        <x:v>43195</x:v>
      </x:c>
      <x:c r="C6194" s="18" t="n">
        <x:v>11637</x:v>
      </x:c>
      <x:c r="D6194" s="18" t="n">
        <x:v>111198</x:v>
      </x:c>
      <x:c r="E6194" s="18" t="n">
        <x:v>16.58</x:v>
      </x:c>
      <x:c r="F6194" s="18" t="n">
        <x:v>6.81</x:v>
      </x:c>
      <x:c r="G6194" t="n">
        <x:v>36</x:v>
      </x:c>
      <x:c r="H6194" t="str">
        <x:v>A</x:v>
      </x:c>
      <x:c r="I6194" t="str">
        <x:v>1-3 years</x:v>
      </x:c>
      <x:c r="J6194" t="str">
        <x:v>RENT</x:v>
      </x:c>
      <x:c r="K6194" t="str">
        <x:v>debt_consolidation</x:v>
      </x:c>
      <x:c r="L6194" t="n">
        <x:v>0</x:v>
      </x:c>
      <x:c r="M6194" t="n">
        <x:v>0</x:v>
      </x:c>
      <x:c r="N6194" t="str">
        <x:v>Fully Paid</x:v>
      </x:c>
      <x:c r="O6194" t="str">
        <x:f>IF(D6194="","Unknown",IF(D6194&lt;25000,"&lt;$25k",IF(D6194&lt;50000,"$25k-$50k",IF(D6194&lt;75000,"$50k-$75k",IF(D6194&lt;100000,"$75k-$100k","$100k+")))))</x:f>
        <x:v>$100k+</x:v>
      </x:c>
      <x:c r="P6194" t="str">
        <x:f>IF(E6194="","Unknown",IF(E6194&lt;10,"&lt;10",IF(E6194&lt;20,"10-&lt;20",IF(E6194&lt;25,"20-&lt;25",IF(E6194&lt;35,"25-&lt;35","35+")))))</x:f>
        <x:v>10-&lt;20</x:v>
      </x:c>
    </x:row>
    <x:row r="6195">
      <x:c r="A6195" t="str">
        <x:v>SYN0006194</x:v>
      </x:c>
      <x:c r="B6195" s="12" t="n">
        <x:v>41695</x:v>
      </x:c>
      <x:c r="C6195" s="18" t="n">
        <x:v>23224</x:v>
      </x:c>
      <x:c r="D6195" s="18" t="n">
        <x:v>47780</x:v>
      </x:c>
      <x:c r="E6195" s="18" t="n">
        <x:v>35.84</x:v>
      </x:c>
      <x:c r="F6195" s="18" t="n">
        <x:v>7.03</x:v>
      </x:c>
      <x:c r="G6195" t="n">
        <x:v>36</x:v>
      </x:c>
      <x:c r="H6195" t="str">
        <x:v>B</x:v>
      </x:c>
      <x:c r="I6195" t="str">
        <x:v>10+ years</x:v>
      </x:c>
      <x:c r="J6195" t="str">
        <x:v>OWN</x:v>
      </x:c>
      <x:c r="K6195" t="str">
        <x:v>credit_card</x:v>
      </x:c>
      <x:c r="L6195" t="n">
        <x:v>0</x:v>
      </x:c>
      <x:c r="M6195" t="n">
        <x:v>0</x:v>
      </x:c>
      <x:c r="N6195" t="str">
        <x:v>Fully Paid</x:v>
      </x:c>
      <x:c r="O6195" t="str">
        <x:f>IF(D6195="","Unknown",IF(D6195&lt;25000,"&lt;$25k",IF(D6195&lt;50000,"$25k-$50k",IF(D6195&lt;75000,"$50k-$75k",IF(D6195&lt;100000,"$75k-$100k","$100k+")))))</x:f>
        <x:v>$25k-$50k</x:v>
      </x:c>
      <x:c r="P6195" t="str">
        <x:f>IF(E6195="","Unknown",IF(E6195&lt;10,"&lt;10",IF(E6195&lt;20,"10-&lt;20",IF(E6195&lt;25,"20-&lt;25",IF(E6195&lt;35,"25-&lt;35","35+")))))</x:f>
        <x:v>35+</x:v>
      </x:c>
    </x:row>
    <x:row r="6196">
      <x:c r="A6196" t="str">
        <x:v>SYN0006195</x:v>
      </x:c>
      <x:c r="B6196" s="12" t="n">
        <x:v>42835</x:v>
      </x:c>
      <x:c r="C6196" s="18" t="n">
        <x:v>10529</x:v>
      </x:c>
      <x:c r="D6196" s="18" t="n">
        <x:v>31517</x:v>
      </x:c>
      <x:c r="E6196" s="18" t="n">
        <x:v>16.03</x:v>
      </x:c>
      <x:c r="F6196" s="18" t="n">
        <x:v>5.57</x:v>
      </x:c>
      <x:c r="G6196" t="n">
        <x:v>60</x:v>
      </x:c>
      <x:c r="H6196" t="str">
        <x:v>B</x:v>
      </x:c>
      <x:c r="I6196" t="str">
        <x:v>&lt;1 year</x:v>
      </x:c>
      <x:c r="J6196" t="str">
        <x:v>MORTGAGE</x:v>
      </x:c>
      <x:c r="K6196" t="str">
        <x:v>debt_consolidation</x:v>
      </x:c>
      <x:c r="L6196" t="n">
        <x:v>0</x:v>
      </x:c>
      <x:c r="M6196" t="n">
        <x:v>1</x:v>
      </x:c>
      <x:c r="N6196" t="str">
        <x:v>Charged Off</x:v>
      </x:c>
      <x:c r="O6196" t="str">
        <x:f>IF(D6196="","Unknown",IF(D6196&lt;25000,"&lt;$25k",IF(D6196&lt;50000,"$25k-$50k",IF(D6196&lt;75000,"$50k-$75k",IF(D6196&lt;100000,"$75k-$100k","$100k+")))))</x:f>
        <x:v>$25k-$50k</x:v>
      </x:c>
      <x:c r="P6196" t="str">
        <x:f>IF(E6196="","Unknown",IF(E6196&lt;10,"&lt;10",IF(E6196&lt;20,"10-&lt;20",IF(E6196&lt;25,"20-&lt;25",IF(E6196&lt;35,"25-&lt;35","35+")))))</x:f>
        <x:v>10-&lt;20</x:v>
      </x:c>
    </x:row>
    <x:row r="6197">
      <x:c r="A6197" t="str">
        <x:v>SYN0006196</x:v>
      </x:c>
      <x:c r="B6197" s="12" t="n">
        <x:v>41785</x:v>
      </x:c>
      <x:c r="C6197" s="18" t="n">
        <x:v>18186</x:v>
      </x:c>
      <x:c r="D6197" s="18" t="n">
        <x:v>80087</x:v>
      </x:c>
      <x:c r="E6197" s="18" t="n">
        <x:v>30.17</x:v>
      </x:c>
      <x:c r="F6197" s="18" t="n">
        <x:v>6.91</x:v>
      </x:c>
      <x:c r="G6197" t="n">
        <x:v>36</x:v>
      </x:c>
      <x:c r="H6197" t="str">
        <x:v>B</x:v>
      </x:c>
      <x:c r="I6197" t="str">
        <x:v>4-6 years</x:v>
      </x:c>
      <x:c r="J6197" t="str">
        <x:v>MORTGAGE</x:v>
      </x:c>
      <x:c r="K6197" t="str">
        <x:v>credit_card</x:v>
      </x:c>
      <x:c r="L6197" t="n">
        <x:v>1</x:v>
      </x:c>
      <x:c r="M6197" t="n">
        <x:v>0</x:v>
      </x:c>
      <x:c r="N6197" t="str">
        <x:v>Fully Paid</x:v>
      </x:c>
      <x:c r="O6197" t="str">
        <x:f>IF(D6197="","Unknown",IF(D6197&lt;25000,"&lt;$25k",IF(D6197&lt;50000,"$25k-$50k",IF(D6197&lt;75000,"$50k-$75k",IF(D6197&lt;100000,"$75k-$100k","$100k+")))))</x:f>
        <x:v>$75k-$100k</x:v>
      </x:c>
      <x:c r="P6197" t="str">
        <x:f>IF(E6197="","Unknown",IF(E6197&lt;10,"&lt;10",IF(E6197&lt;20,"10-&lt;20",IF(E6197&lt;25,"20-&lt;25",IF(E6197&lt;35,"25-&lt;35","35+")))))</x:f>
        <x:v>25-&lt;35</x:v>
      </x:c>
    </x:row>
    <x:row r="6198">
      <x:c r="A6198" t="str">
        <x:v>SYN0006197</x:v>
      </x:c>
      <x:c r="B6198" s="12" t="n">
        <x:v>41605</x:v>
      </x:c>
      <x:c r="C6198" s="18" t="n">
        <x:v>6871</x:v>
      </x:c>
      <x:c r="D6198" s="18" t="n">
        <x:v>108278</x:v>
      </x:c>
      <x:c r="E6198" s="18" t="n">
        <x:v>12.69</x:v>
      </x:c>
      <x:c r="F6198" s="18" t="n">
        <x:v>10.9</x:v>
      </x:c>
      <x:c r="G6198" t="n">
        <x:v>36</x:v>
      </x:c>
      <x:c r="H6198" t="str">
        <x:v>C</x:v>
      </x:c>
      <x:c r="I6198" t="str">
        <x:v>1-3 years</x:v>
      </x:c>
      <x:c r="J6198" t="str">
        <x:v>OWN</x:v>
      </x:c>
      <x:c r="K6198" t="str">
        <x:v>credit_card</x:v>
      </x:c>
      <x:c r="L6198" t="n">
        <x:v>1</x:v>
      </x:c>
      <x:c r="M6198" t="n">
        <x:v>0</x:v>
      </x:c>
      <x:c r="N6198" t="str">
        <x:v>Fully Paid</x:v>
      </x:c>
      <x:c r="O6198" t="str">
        <x:f>IF(D6198="","Unknown",IF(D6198&lt;25000,"&lt;$25k",IF(D6198&lt;50000,"$25k-$50k",IF(D6198&lt;75000,"$50k-$75k",IF(D6198&lt;100000,"$75k-$100k","$100k+")))))</x:f>
        <x:v>$100k+</x:v>
      </x:c>
      <x:c r="P6198" t="str">
        <x:f>IF(E6198="","Unknown",IF(E6198&lt;10,"&lt;10",IF(E6198&lt;20,"10-&lt;20",IF(E6198&lt;25,"20-&lt;25",IF(E6198&lt;35,"25-&lt;35","35+")))))</x:f>
        <x:v>10-&lt;20</x:v>
      </x:c>
    </x:row>
    <x:row r="6199">
      <x:c r="A6199" t="str">
        <x:v>SYN0006198</x:v>
      </x:c>
      <x:c r="B6199" s="12" t="n">
        <x:v>42805</x:v>
      </x:c>
      <x:c r="C6199" s="18" t="n">
        <x:v>5705</x:v>
      </x:c>
      <x:c r="D6199" s="18" t="n">
        <x:v>33523</x:v>
      </x:c>
      <x:c r="E6199" s="18" t="n">
        <x:v>2.92</x:v>
      </x:c>
      <x:c r="F6199" s="18" t="n">
        <x:v>5.11</x:v>
      </x:c>
      <x:c r="G6199" t="n">
        <x:v>36</x:v>
      </x:c>
      <x:c r="H6199" t="str">
        <x:v>A</x:v>
      </x:c>
      <x:c r="I6199" t="str">
        <x:v>1-3 years</x:v>
      </x:c>
      <x:c r="J6199" t="str">
        <x:v>RENT</x:v>
      </x:c>
      <x:c r="K6199" t="str">
        <x:v>debt_consolidation</x:v>
      </x:c>
      <x:c r="L6199" t="n">
        <x:v>0</x:v>
      </x:c>
      <x:c r="M6199" t="n">
        <x:v>0</x:v>
      </x:c>
      <x:c r="N6199" t="str">
        <x:v>Fully Paid</x:v>
      </x:c>
      <x:c r="O6199" t="str">
        <x:f>IF(D6199="","Unknown",IF(D6199&lt;25000,"&lt;$25k",IF(D6199&lt;50000,"$25k-$50k",IF(D6199&lt;75000,"$50k-$75k",IF(D6199&lt;100000,"$75k-$100k","$100k+")))))</x:f>
        <x:v>$25k-$50k</x:v>
      </x:c>
      <x:c r="P6199" t="str">
        <x:f>IF(E6199="","Unknown",IF(E6199&lt;10,"&lt;10",IF(E6199&lt;20,"10-&lt;20",IF(E6199&lt;25,"20-&lt;25",IF(E6199&lt;35,"25-&lt;35","35+")))))</x:f>
        <x:v>&lt;10</x:v>
      </x:c>
    </x:row>
    <x:row r="6200">
      <x:c r="A6200" t="str">
        <x:v>SYN0006199</x:v>
      </x:c>
      <x:c r="B6200" s="12" t="n">
        <x:v>42895</x:v>
      </x:c>
      <x:c r="C6200" s="18" t="n">
        <x:v>22107</x:v>
      </x:c>
      <x:c r="D6200" s="18" t="n">
        <x:v>21127</x:v>
      </x:c>
      <x:c r="E6200" s="18" t="n">
        <x:v>21.5</x:v>
      </x:c>
      <x:c r="F6200" s="18" t="n">
        <x:v>7.43</x:v>
      </x:c>
      <x:c r="G6200" t="n">
        <x:v>60</x:v>
      </x:c>
      <x:c r="H6200" t="str">
        <x:v>B</x:v>
      </x:c>
      <x:c r="I6200" t="str">
        <x:v>10+ years</x:v>
      </x:c>
      <x:c r="J6200" t="str">
        <x:v>OWN</x:v>
      </x:c>
      <x:c r="K6200" t="str">
        <x:v>credit_card</x:v>
      </x:c>
      <x:c r="L6200" t="n">
        <x:v>1</x:v>
      </x:c>
      <x:c r="M6200" t="n">
        <x:v>0</x:v>
      </x:c>
      <x:c r="N6200" t="str">
        <x:v>Fully Paid</x:v>
      </x:c>
      <x:c r="O6200" t="str">
        <x:f>IF(D6200="","Unknown",IF(D6200&lt;25000,"&lt;$25k",IF(D6200&lt;50000,"$25k-$50k",IF(D6200&lt;75000,"$50k-$75k",IF(D6200&lt;100000,"$75k-$100k","$100k+")))))</x:f>
        <x:v>&lt;$25k</x:v>
      </x:c>
      <x:c r="P6200" t="str">
        <x:f>IF(E6200="","Unknown",IF(E6200&lt;10,"&lt;10",IF(E6200&lt;20,"10-&lt;20",IF(E6200&lt;25,"20-&lt;25",IF(E6200&lt;35,"25-&lt;35","35+")))))</x:f>
        <x:v>20-&lt;25</x:v>
      </x:c>
    </x:row>
    <x:row r="6201">
      <x:c r="A6201" t="str">
        <x:v>SYN0006200</x:v>
      </x:c>
      <x:c r="B6201" s="12" t="n">
        <x:v>42025</x:v>
      </x:c>
      <x:c r="C6201" s="18" t="n">
        <x:v>14680</x:v>
      </x:c>
      <x:c r="D6201" s="18" t="n">
        <x:v>106368</x:v>
      </x:c>
      <x:c r="E6201" s="18" t="n">
        <x:v>18.84</x:v>
      </x:c>
      <x:c r="F6201" s="18" t="n">
        <x:v>8.14</x:v>
      </x:c>
      <x:c r="G6201" t="n">
        <x:v>36</x:v>
      </x:c>
      <x:c r="H6201" t="str">
        <x:v>B</x:v>
      </x:c>
      <x:c r="I6201" t="str">
        <x:v>4-6 years</x:v>
      </x:c>
      <x:c r="J6201" t="str">
        <x:v>RENT</x:v>
      </x:c>
      <x:c r="K6201" t="str">
        <x:v>home_improvement</x:v>
      </x:c>
      <x:c r="L6201" t="n">
        <x:v>2</x:v>
      </x:c>
      <x:c r="M6201" t="n">
        <x:v>0</x:v>
      </x:c>
      <x:c r="N6201" t="str">
        <x:v>Fully Paid</x:v>
      </x:c>
      <x:c r="O6201" t="str">
        <x:f>IF(D6201="","Unknown",IF(D6201&lt;25000,"&lt;$25k",IF(D6201&lt;50000,"$25k-$50k",IF(D6201&lt;75000,"$50k-$75k",IF(D6201&lt;100000,"$75k-$100k","$100k+")))))</x:f>
        <x:v>$100k+</x:v>
      </x:c>
      <x:c r="P6201" t="str">
        <x:f>IF(E6201="","Unknown",IF(E6201&lt;10,"&lt;10",IF(E6201&lt;20,"10-&lt;20",IF(E6201&lt;25,"20-&lt;25",IF(E6201&lt;35,"25-&lt;35","35+")))))</x:f>
        <x:v>10-&lt;20</x:v>
      </x:c>
    </x:row>
    <x:row r="6202">
      <x:c r="A6202" t="str">
        <x:v>SYN0006201</x:v>
      </x:c>
      <x:c r="B6202" s="12" t="n">
        <x:v>42535</x:v>
      </x:c>
      <x:c r="C6202" s="18" t="n">
        <x:v>14490</x:v>
      </x:c>
      <x:c r="D6202" s="18" t="n">
        <x:v>30735</x:v>
      </x:c>
      <x:c r="E6202" s="18" t="n">
        <x:v>33.67</x:v>
      </x:c>
      <x:c r="F6202" s="18" t="n">
        <x:v>9</x:v>
      </x:c>
      <x:c r="G6202" t="n">
        <x:v>36</x:v>
      </x:c>
      <x:c r="H6202" t="str">
        <x:v>A</x:v>
      </x:c>
      <x:c r="I6202" t="str">
        <x:v>1-3 years</x:v>
      </x:c>
      <x:c r="J6202" t="str">
        <x:v>OWN</x:v>
      </x:c>
      <x:c r="K6202" t="str">
        <x:v>debt_consolidation</x:v>
      </x:c>
      <x:c r="L6202" t="n">
        <x:v>0</x:v>
      </x:c>
      <x:c r="M6202" t="n">
        <x:v>0</x:v>
      </x:c>
      <x:c r="N6202" t="str">
        <x:v>Fully Paid</x:v>
      </x:c>
      <x:c r="O6202" t="str">
        <x:f>IF(D6202="","Unknown",IF(D6202&lt;25000,"&lt;$25k",IF(D6202&lt;50000,"$25k-$50k",IF(D6202&lt;75000,"$50k-$75k",IF(D6202&lt;100000,"$75k-$100k","$100k+")))))</x:f>
        <x:v>$25k-$50k</x:v>
      </x:c>
      <x:c r="P6202" t="str">
        <x:f>IF(E6202="","Unknown",IF(E6202&lt;10,"&lt;10",IF(E6202&lt;20,"10-&lt;20",IF(E6202&lt;25,"20-&lt;25",IF(E6202&lt;35,"25-&lt;35","35+")))))</x:f>
        <x:v>25-&lt;35</x:v>
      </x:c>
    </x:row>
    <x:row r="6203">
      <x:c r="A6203" t="str">
        <x:v>SYN0006202</x:v>
      </x:c>
      <x:c r="B6203" s="12" t="n">
        <x:v>41725</x:v>
      </x:c>
      <x:c r="C6203" s="18" t="n">
        <x:v>20460</x:v>
      </x:c>
      <x:c r="D6203" s="18" t="n">
        <x:v>28744</x:v>
      </x:c>
      <x:c r="E6203" s="18" t="n">
        <x:v>8.77</x:v>
      </x:c>
      <x:c r="F6203" s="18" t="n">
        <x:v>7.64</x:v>
      </x:c>
      <x:c r="G6203" t="n">
        <x:v>36</x:v>
      </x:c>
      <x:c r="H6203" t="str">
        <x:v>C</x:v>
      </x:c>
      <x:c r="I6203" t="str">
        <x:v>&lt;1 year</x:v>
      </x:c>
      <x:c r="J6203" t="str">
        <x:v>RENT</x:v>
      </x:c>
      <x:c r="K6203" t="str">
        <x:v>major_purchase</x:v>
      </x:c>
      <x:c r="L6203" t="n">
        <x:v>1</x:v>
      </x:c>
      <x:c r="M6203" t="n">
        <x:v>0</x:v>
      </x:c>
      <x:c r="N6203" t="str">
        <x:v>Fully Paid</x:v>
      </x:c>
      <x:c r="O6203" t="str">
        <x:f>IF(D6203="","Unknown",IF(D6203&lt;25000,"&lt;$25k",IF(D6203&lt;50000,"$25k-$50k",IF(D6203&lt;75000,"$50k-$75k",IF(D6203&lt;100000,"$75k-$100k","$100k+")))))</x:f>
        <x:v>$25k-$50k</x:v>
      </x:c>
      <x:c r="P6203" t="str">
        <x:f>IF(E6203="","Unknown",IF(E6203&lt;10,"&lt;10",IF(E6203&lt;20,"10-&lt;20",IF(E6203&lt;25,"20-&lt;25",IF(E6203&lt;35,"25-&lt;35","35+")))))</x:f>
        <x:v>&lt;10</x:v>
      </x:c>
    </x:row>
    <x:row r="6204">
      <x:c r="A6204" t="str">
        <x:v>SYN0006203</x:v>
      </x:c>
      <x:c r="B6204" s="12" t="n">
        <x:v>41575</x:v>
      </x:c>
      <x:c r="C6204" s="18" t="n">
        <x:v>18170</x:v>
      </x:c>
      <x:c r="D6204" s="18" t="n">
        <x:v>61404</x:v>
      </x:c>
      <x:c r="E6204" s="18" t="n">
        <x:v>11.58</x:v>
      </x:c>
      <x:c r="F6204" s="18" t="n">
        <x:v>21.36</x:v>
      </x:c>
      <x:c r="G6204" t="n">
        <x:v>60</x:v>
      </x:c>
      <x:c r="H6204" t="str">
        <x:v>F</x:v>
      </x:c>
      <x:c r="I6204" t="str">
        <x:v>1-3 years</x:v>
      </x:c>
      <x:c r="J6204" t="str">
        <x:v>OWN</x:v>
      </x:c>
      <x:c r="K6204" t="str">
        <x:v>credit_card</x:v>
      </x:c>
      <x:c r="L6204" t="n">
        <x:v>2</x:v>
      </x:c>
      <x:c r="M6204" t="n">
        <x:v>1</x:v>
      </x:c>
      <x:c r="N6204" t="str">
        <x:v>Charged Off</x:v>
      </x:c>
      <x:c r="O6204" t="str">
        <x:f>IF(D6204="","Unknown",IF(D6204&lt;25000,"&lt;$25k",IF(D6204&lt;50000,"$25k-$50k",IF(D6204&lt;75000,"$50k-$75k",IF(D6204&lt;100000,"$75k-$100k","$100k+")))))</x:f>
        <x:v>$50k-$75k</x:v>
      </x:c>
      <x:c r="P6204" t="str">
        <x:f>IF(E6204="","Unknown",IF(E6204&lt;10,"&lt;10",IF(E6204&lt;20,"10-&lt;20",IF(E6204&lt;25,"20-&lt;25",IF(E6204&lt;35,"25-&lt;35","35+")))))</x:f>
        <x:v>10-&lt;20</x:v>
      </x:c>
    </x:row>
    <x:row r="6205">
      <x:c r="A6205" t="str">
        <x:v>SYN0006204</x:v>
      </x:c>
      <x:c r="B6205" s="12" t="n">
        <x:v>41275</x:v>
      </x:c>
      <x:c r="C6205" s="18" t="n">
        <x:v>11057</x:v>
      </x:c>
      <x:c r="D6205" s="18" t="n">
        <x:v>46594</x:v>
      </x:c>
      <x:c r="E6205" s="18" t="n">
        <x:v>20.87</x:v>
      </x:c>
      <x:c r="F6205" s="18" t="n">
        <x:v>15.28</x:v>
      </x:c>
      <x:c r="G6205" t="n">
        <x:v>36</x:v>
      </x:c>
      <x:c r="H6205" t="str">
        <x:v>D</x:v>
      </x:c>
      <x:c r="I6205" t="str">
        <x:v>1-3 years</x:v>
      </x:c>
      <x:c r="J6205" t="str">
        <x:v>RENT</x:v>
      </x:c>
      <x:c r="K6205" t="str">
        <x:v>major_purchase</x:v>
      </x:c>
      <x:c r="L6205" t="n">
        <x:v>2</x:v>
      </x:c>
      <x:c r="M6205" t="n">
        <x:v>0</x:v>
      </x:c>
      <x:c r="N6205" t="str">
        <x:v>Fully Paid</x:v>
      </x:c>
      <x:c r="O6205" t="str">
        <x:f>IF(D6205="","Unknown",IF(D6205&lt;25000,"&lt;$25k",IF(D6205&lt;50000,"$25k-$50k",IF(D6205&lt;75000,"$50k-$75k",IF(D6205&lt;100000,"$75k-$100k","$100k+")))))</x:f>
        <x:v>$25k-$50k</x:v>
      </x:c>
      <x:c r="P6205" t="str">
        <x:f>IF(E6205="","Unknown",IF(E6205&lt;10,"&lt;10",IF(E6205&lt;20,"10-&lt;20",IF(E6205&lt;25,"20-&lt;25",IF(E6205&lt;35,"25-&lt;35","35+")))))</x:f>
        <x:v>20-&lt;25</x:v>
      </x:c>
    </x:row>
    <x:row r="6206">
      <x:c r="A6206" t="str">
        <x:v>SYN0006205</x:v>
      </x:c>
      <x:c r="B6206" s="12" t="n">
        <x:v>41815</x:v>
      </x:c>
      <x:c r="C6206" s="18" t="n">
        <x:v>14715</x:v>
      </x:c>
      <x:c r="D6206" s="18" t="n">
        <x:v>58241</x:v>
      </x:c>
      <x:c r="E6206" s="18" t="n">
        <x:v>12.54</x:v>
      </x:c>
      <x:c r="F6206" s="18" t="n">
        <x:v>6.1</x:v>
      </x:c>
      <x:c r="G6206" t="n">
        <x:v>36</x:v>
      </x:c>
      <x:c r="H6206" t="str">
        <x:v>A</x:v>
      </x:c>
      <x:c r="I6206" t="str">
        <x:v>1-3 years</x:v>
      </x:c>
      <x:c r="J6206" t="str">
        <x:v>MORTGAGE</x:v>
      </x:c>
      <x:c r="K6206" t="str">
        <x:v>credit_card</x:v>
      </x:c>
      <x:c r="L6206" t="n">
        <x:v>0</x:v>
      </x:c>
      <x:c r="M6206" t="n">
        <x:v>0</x:v>
      </x:c>
      <x:c r="N6206" t="str">
        <x:v>Fully Paid</x:v>
      </x:c>
      <x:c r="O6206" t="str">
        <x:f>IF(D6206="","Unknown",IF(D6206&lt;25000,"&lt;$25k",IF(D6206&lt;50000,"$25k-$50k",IF(D6206&lt;75000,"$50k-$75k",IF(D6206&lt;100000,"$75k-$100k","$100k+")))))</x:f>
        <x:v>$50k-$75k</x:v>
      </x:c>
      <x:c r="P6206" t="str">
        <x:f>IF(E6206="","Unknown",IF(E6206&lt;10,"&lt;10",IF(E6206&lt;20,"10-&lt;20",IF(E6206&lt;25,"20-&lt;25",IF(E6206&lt;35,"25-&lt;35","35+")))))</x:f>
        <x:v>10-&lt;20</x:v>
      </x:c>
    </x:row>
    <x:row r="6207">
      <x:c r="A6207" t="str">
        <x:v>SYN0006206</x:v>
      </x:c>
      <x:c r="B6207" s="12" t="n">
        <x:v>41935</x:v>
      </x:c>
      <x:c r="C6207" s="18" t="n">
        <x:v>10347</x:v>
      </x:c>
      <x:c r="D6207" s="18" t="n">
        <x:v>115604</x:v>
      </x:c>
      <x:c r="E6207" s="18" t="n">
        <x:v>22.28</x:v>
      </x:c>
      <x:c r="F6207" s="18" t="n">
        <x:v>22.21</x:v>
      </x:c>
      <x:c r="G6207" t="n">
        <x:v>36</x:v>
      </x:c>
      <x:c r="H6207" t="str">
        <x:v>F</x:v>
      </x:c>
      <x:c r="I6207" t="str">
        <x:v>4-6 years</x:v>
      </x:c>
      <x:c r="J6207" t="str">
        <x:v>MORTGAGE</x:v>
      </x:c>
      <x:c r="K6207" t="str">
        <x:v>debt_consolidation</x:v>
      </x:c>
      <x:c r="L6207" t="n">
        <x:v>0</x:v>
      </x:c>
      <x:c r="M6207" t="n">
        <x:v>1</x:v>
      </x:c>
      <x:c r="N6207" t="str">
        <x:v>Charged Off</x:v>
      </x:c>
      <x:c r="O6207" t="str">
        <x:f>IF(D6207="","Unknown",IF(D6207&lt;25000,"&lt;$25k",IF(D6207&lt;50000,"$25k-$50k",IF(D6207&lt;75000,"$50k-$75k",IF(D6207&lt;100000,"$75k-$100k","$100k+")))))</x:f>
        <x:v>$100k+</x:v>
      </x:c>
      <x:c r="P6207" t="str">
        <x:f>IF(E6207="","Unknown",IF(E6207&lt;10,"&lt;10",IF(E6207&lt;20,"10-&lt;20",IF(E6207&lt;25,"20-&lt;25",IF(E6207&lt;35,"25-&lt;35","35+")))))</x:f>
        <x:v>20-&lt;25</x:v>
      </x:c>
    </x:row>
    <x:row r="6208">
      <x:c r="A6208" t="str">
        <x:v>SYN0006207</x:v>
      </x:c>
      <x:c r="B6208" s="12" t="n">
        <x:v>41515</x:v>
      </x:c>
      <x:c r="C6208" s="18" t="n">
        <x:v>14646</x:v>
      </x:c>
      <x:c r="D6208" s="18" t="n">
        <x:v>33087</x:v>
      </x:c>
      <x:c r="E6208" s="18" t="n">
        <x:v>5.99</x:v>
      </x:c>
      <x:c r="F6208" s="18" t="n">
        <x:v>5.18</x:v>
      </x:c>
      <x:c r="G6208" t="n">
        <x:v>36</x:v>
      </x:c>
      <x:c r="H6208" t="str">
        <x:v>A</x:v>
      </x:c>
      <x:c r="I6208" t="str">
        <x:v>1-3 years</x:v>
      </x:c>
      <x:c r="J6208" t="str">
        <x:v>RENT</x:v>
      </x:c>
      <x:c r="K6208" t="str">
        <x:v>debt_consolidation</x:v>
      </x:c>
      <x:c r="L6208" t="n">
        <x:v>0</x:v>
      </x:c>
      <x:c r="M6208" t="n">
        <x:v>0</x:v>
      </x:c>
      <x:c r="N6208" t="str">
        <x:v>Fully Paid</x:v>
      </x:c>
      <x:c r="O6208" t="str">
        <x:f>IF(D6208="","Unknown",IF(D6208&lt;25000,"&lt;$25k",IF(D6208&lt;50000,"$25k-$50k",IF(D6208&lt;75000,"$50k-$75k",IF(D6208&lt;100000,"$75k-$100k","$100k+")))))</x:f>
        <x:v>$25k-$50k</x:v>
      </x:c>
      <x:c r="P6208" t="str">
        <x:f>IF(E6208="","Unknown",IF(E6208&lt;10,"&lt;10",IF(E6208&lt;20,"10-&lt;20",IF(E6208&lt;25,"20-&lt;25",IF(E6208&lt;35,"25-&lt;35","35+")))))</x:f>
        <x:v>&lt;10</x:v>
      </x:c>
    </x:row>
    <x:row r="6209">
      <x:c r="A6209" t="str">
        <x:v>SYN0006208</x:v>
      </x:c>
      <x:c r="B6209" s="12" t="n">
        <x:v>43045</x:v>
      </x:c>
      <x:c r="C6209" s="18" t="n">
        <x:v>26864</x:v>
      </x:c>
      <x:c r="D6209" s="18" t="n">
        <x:v>81247</x:v>
      </x:c>
      <x:c r="E6209" s="18" t="n">
        <x:v>24.85</x:v>
      </x:c>
      <x:c r="F6209" s="18" t="n">
        <x:v>9.52</x:v>
      </x:c>
      <x:c r="G6209" t="n">
        <x:v>36</x:v>
      </x:c>
      <x:c r="H6209" t="str">
        <x:v>C</x:v>
      </x:c>
      <x:c r="I6209" t="str">
        <x:v>4-6 years</x:v>
      </x:c>
      <x:c r="J6209" t="str">
        <x:v>RENT</x:v>
      </x:c>
      <x:c r="K6209" t="str">
        <x:v>debt_consolidation</x:v>
      </x:c>
      <x:c r="L6209" t="n">
        <x:v>0</x:v>
      </x:c>
      <x:c r="M6209" t="n">
        <x:v>0</x:v>
      </x:c>
      <x:c r="N6209" t="str">
        <x:v>Fully Paid</x:v>
      </x:c>
      <x:c r="O6209" t="str">
        <x:f>IF(D6209="","Unknown",IF(D6209&lt;25000,"&lt;$25k",IF(D6209&lt;50000,"$25k-$50k",IF(D6209&lt;75000,"$50k-$75k",IF(D6209&lt;100000,"$75k-$100k","$100k+")))))</x:f>
        <x:v>$75k-$100k</x:v>
      </x:c>
      <x:c r="P6209" t="str">
        <x:f>IF(E6209="","Unknown",IF(E6209&lt;10,"&lt;10",IF(E6209&lt;20,"10-&lt;20",IF(E6209&lt;25,"20-&lt;25",IF(E6209&lt;35,"25-&lt;35","35+")))))</x:f>
        <x:v>20-&lt;25</x:v>
      </x:c>
    </x:row>
    <x:row r="6210">
      <x:c r="A6210" t="str">
        <x:v>SYN0006209</x:v>
      </x:c>
      <x:c r="B6210" s="12" t="n">
        <x:v>42235</x:v>
      </x:c>
      <x:c r="C6210" s="18" t="n">
        <x:v>10437</x:v>
      </x:c>
      <x:c r="D6210" s="18" t="n">
        <x:v>134808</x:v>
      </x:c>
      <x:c r="E6210" s="18" t="n">
        <x:v>18.81</x:v>
      </x:c>
      <x:c r="F6210" s="18" t="n">
        <x:v>23.05</x:v>
      </x:c>
      <x:c r="G6210" t="n">
        <x:v>36</x:v>
      </x:c>
      <x:c r="H6210" t="str">
        <x:v>F</x:v>
      </x:c>
      <x:c r="I6210" t="str">
        <x:v>10+ years</x:v>
      </x:c>
      <x:c r="J6210" t="str">
        <x:v>MORTGAGE</x:v>
      </x:c>
      <x:c r="K6210" t="str">
        <x:v>debt_consolidation</x:v>
      </x:c>
      <x:c r="L6210" t="n">
        <x:v>0</x:v>
      </x:c>
      <x:c r="M6210" t="n">
        <x:v>0</x:v>
      </x:c>
      <x:c r="N6210" t="str">
        <x:v>Fully Paid</x:v>
      </x:c>
      <x:c r="O6210" t="str">
        <x:f>IF(D6210="","Unknown",IF(D6210&lt;25000,"&lt;$25k",IF(D6210&lt;50000,"$25k-$50k",IF(D6210&lt;75000,"$50k-$75k",IF(D6210&lt;100000,"$75k-$100k","$100k+")))))</x:f>
        <x:v>$100k+</x:v>
      </x:c>
      <x:c r="P6210" t="str">
        <x:f>IF(E6210="","Unknown",IF(E6210&lt;10,"&lt;10",IF(E6210&lt;20,"10-&lt;20",IF(E6210&lt;25,"20-&lt;25",IF(E6210&lt;35,"25-&lt;35","35+")))))</x:f>
        <x:v>10-&lt;20</x:v>
      </x:c>
    </x:row>
    <x:row r="6211">
      <x:c r="A6211" t="str">
        <x:v>SYN0006210</x:v>
      </x:c>
      <x:c r="B6211" s="12" t="n">
        <x:v>42145</x:v>
      </x:c>
      <x:c r="C6211" s="18" t="n">
        <x:v>6229</x:v>
      </x:c>
      <x:c r="D6211" s="18" t="n">
        <x:v>66586</x:v>
      </x:c>
      <x:c r="E6211" s="18" t="n">
        <x:v>32.63</x:v>
      </x:c>
      <x:c r="F6211" s="18" t="n">
        <x:v>5</x:v>
      </x:c>
      <x:c r="G6211" t="n">
        <x:v>36</x:v>
      </x:c>
      <x:c r="H6211" t="str">
        <x:v>A</x:v>
      </x:c>
      <x:c r="I6211" t="str">
        <x:v>1-3 years</x:v>
      </x:c>
      <x:c r="J6211" t="str">
        <x:v>RENT</x:v>
      </x:c>
      <x:c r="K6211" t="str">
        <x:v>debt_consolidation</x:v>
      </x:c>
      <x:c r="L6211" t="n">
        <x:v>0</x:v>
      </x:c>
      <x:c r="M6211" t="n">
        <x:v>0</x:v>
      </x:c>
      <x:c r="N6211" t="str">
        <x:v>Fully Paid</x:v>
      </x:c>
      <x:c r="O6211" t="str">
        <x:f>IF(D6211="","Unknown",IF(D6211&lt;25000,"&lt;$25k",IF(D6211&lt;50000,"$25k-$50k",IF(D6211&lt;75000,"$50k-$75k",IF(D6211&lt;100000,"$75k-$100k","$100k+")))))</x:f>
        <x:v>$50k-$75k</x:v>
      </x:c>
      <x:c r="P6211" t="str">
        <x:f>IF(E6211="","Unknown",IF(E6211&lt;10,"&lt;10",IF(E6211&lt;20,"10-&lt;20",IF(E6211&lt;25,"20-&lt;25",IF(E6211&lt;35,"25-&lt;35","35+")))))</x:f>
        <x:v>25-&lt;35</x:v>
      </x:c>
    </x:row>
    <x:row r="6212">
      <x:c r="A6212" t="str">
        <x:v>SYN0006211</x:v>
      </x:c>
      <x:c r="B6212" s="12" t="n">
        <x:v>42655</x:v>
      </x:c>
      <x:c r="C6212" s="18" t="n">
        <x:v>9422</x:v>
      </x:c>
      <x:c r="D6212" s="18" t="n">
        <x:v>42099</x:v>
      </x:c>
      <x:c r="E6212" s="18" t="n">
        <x:v>10.42</x:v>
      </x:c>
      <x:c r="F6212" s="18" t="n">
        <x:v>9.9</x:v>
      </x:c>
      <x:c r="G6212" t="n">
        <x:v>36</x:v>
      </x:c>
      <x:c r="H6212" t="str">
        <x:v>B</x:v>
      </x:c>
      <x:c r="I6212" t="str">
        <x:v>4-6 years</x:v>
      </x:c>
      <x:c r="J6212" t="str">
        <x:v>RENT</x:v>
      </x:c>
      <x:c r="K6212" t="str">
        <x:v>major_purchase</x:v>
      </x:c>
      <x:c r="L6212" t="n">
        <x:v>1</x:v>
      </x:c>
      <x:c r="M6212" t="n">
        <x:v>0</x:v>
      </x:c>
      <x:c r="N6212" t="str">
        <x:v>Fully Paid</x:v>
      </x:c>
      <x:c r="O6212" t="str">
        <x:f>IF(D6212="","Unknown",IF(D6212&lt;25000,"&lt;$25k",IF(D6212&lt;50000,"$25k-$50k",IF(D6212&lt;75000,"$50k-$75k",IF(D6212&lt;100000,"$75k-$100k","$100k+")))))</x:f>
        <x:v>$25k-$50k</x:v>
      </x:c>
      <x:c r="P6212" t="str">
        <x:f>IF(E6212="","Unknown",IF(E6212&lt;10,"&lt;10",IF(E6212&lt;20,"10-&lt;20",IF(E6212&lt;25,"20-&lt;25",IF(E6212&lt;35,"25-&lt;35","35+")))))</x:f>
        <x:v>10-&lt;20</x:v>
      </x:c>
    </x:row>
    <x:row r="6213">
      <x:c r="A6213" t="str">
        <x:v>SYN0006212</x:v>
      </x:c>
      <x:c r="B6213" s="12" t="n">
        <x:v>43075</x:v>
      </x:c>
      <x:c r="C6213" s="18" t="n">
        <x:v>7807</x:v>
      </x:c>
      <x:c r="D6213" s="18" t="n">
        <x:v>48674</x:v>
      </x:c>
      <x:c r="E6213" s="18" t="n">
        <x:v>14.62</x:v>
      </x:c>
      <x:c r="F6213" s="18" t="n">
        <x:v>11.4</x:v>
      </x:c>
      <x:c r="G6213" t="n">
        <x:v>60</x:v>
      </x:c>
      <x:c r="H6213" t="str">
        <x:v>C</x:v>
      </x:c>
      <x:c r="I6213" t="str">
        <x:v>4-6 years</x:v>
      </x:c>
      <x:c r="J6213" t="str">
        <x:v>RENT</x:v>
      </x:c>
      <x:c r="K6213" t="str">
        <x:v>debt_consolidation</x:v>
      </x:c>
      <x:c r="L6213" t="n">
        <x:v>1</x:v>
      </x:c>
      <x:c r="M6213" t="n">
        <x:v>0</x:v>
      </x:c>
      <x:c r="N6213" t="str">
        <x:v>Fully Paid</x:v>
      </x:c>
      <x:c r="O6213" t="str">
        <x:f>IF(D6213="","Unknown",IF(D6213&lt;25000,"&lt;$25k",IF(D6213&lt;50000,"$25k-$50k",IF(D6213&lt;75000,"$50k-$75k",IF(D6213&lt;100000,"$75k-$100k","$100k+")))))</x:f>
        <x:v>$25k-$50k</x:v>
      </x:c>
      <x:c r="P6213" t="str">
        <x:f>IF(E6213="","Unknown",IF(E6213&lt;10,"&lt;10",IF(E6213&lt;20,"10-&lt;20",IF(E6213&lt;25,"20-&lt;25",IF(E6213&lt;35,"25-&lt;35","35+")))))</x:f>
        <x:v>10-&lt;20</x:v>
      </x:c>
    </x:row>
    <x:row r="6214">
      <x:c r="A6214" t="str">
        <x:v>SYN0006213</x:v>
      </x:c>
      <x:c r="B6214" s="12" t="n">
        <x:v>43015</x:v>
      </x:c>
      <x:c r="C6214" s="18" t="n">
        <x:v>30424</x:v>
      </x:c>
      <x:c r="D6214" s="18" t="n">
        <x:v>15769</x:v>
      </x:c>
      <x:c r="E6214" s="18" t="n">
        <x:v>29.57</x:v>
      </x:c>
      <x:c r="F6214" s="18" t="n">
        <x:v>11.4</x:v>
      </x:c>
      <x:c r="G6214" t="n">
        <x:v>60</x:v>
      </x:c>
      <x:c r="H6214" t="str">
        <x:v>B</x:v>
      </x:c>
      <x:c r="I6214" t="str">
        <x:v>10+ years</x:v>
      </x:c>
      <x:c r="J6214" t="str">
        <x:v>MORTGAGE</x:v>
      </x:c>
      <x:c r="K6214" t="str">
        <x:v>debt_consolidation</x:v>
      </x:c>
      <x:c r="L6214" t="n">
        <x:v>0</x:v>
      </x:c>
      <x:c r="M6214" t="n">
        <x:v>1</x:v>
      </x:c>
      <x:c r="N6214" t="str">
        <x:v>Charged Off</x:v>
      </x:c>
      <x:c r="O6214" t="str">
        <x:f>IF(D6214="","Unknown",IF(D6214&lt;25000,"&lt;$25k",IF(D6214&lt;50000,"$25k-$50k",IF(D6214&lt;75000,"$50k-$75k",IF(D6214&lt;100000,"$75k-$100k","$100k+")))))</x:f>
        <x:v>&lt;$25k</x:v>
      </x:c>
      <x:c r="P6214" t="str">
        <x:f>IF(E6214="","Unknown",IF(E6214&lt;10,"&lt;10",IF(E6214&lt;20,"10-&lt;20",IF(E6214&lt;25,"20-&lt;25",IF(E6214&lt;35,"25-&lt;35","35+")))))</x:f>
        <x:v>25-&lt;35</x:v>
      </x:c>
    </x:row>
    <x:row r="6215">
      <x:c r="A6215" t="str">
        <x:v>SYN0006214</x:v>
      </x:c>
      <x:c r="B6215" s="12" t="n">
        <x:v>41395</x:v>
      </x:c>
      <x:c r="C6215" s="18" t="n">
        <x:v>16652</x:v>
      </x:c>
      <x:c r="D6215" s="18" t="n">
        <x:v>78927</x:v>
      </x:c>
      <x:c r="E6215" s="18" t="n">
        <x:v>19.07</x:v>
      </x:c>
      <x:c r="F6215" s="18" t="n">
        <x:v>8.94</x:v>
      </x:c>
      <x:c r="G6215" t="n">
        <x:v>36</x:v>
      </x:c>
      <x:c r="H6215" t="str">
        <x:v>B</x:v>
      </x:c>
      <x:c r="I6215" t="str">
        <x:v>10+ years</x:v>
      </x:c>
      <x:c r="J6215" t="str">
        <x:v>MORTGAGE</x:v>
      </x:c>
      <x:c r="K6215" t="str">
        <x:v>home_improvement</x:v>
      </x:c>
      <x:c r="L6215" t="n">
        <x:v>0</x:v>
      </x:c>
      <x:c r="M6215" t="n">
        <x:v>0</x:v>
      </x:c>
      <x:c r="N6215" t="str">
        <x:v>Fully Paid</x:v>
      </x:c>
      <x:c r="O6215" t="str">
        <x:f>IF(D6215="","Unknown",IF(D6215&lt;25000,"&lt;$25k",IF(D6215&lt;50000,"$25k-$50k",IF(D6215&lt;75000,"$50k-$75k",IF(D6215&lt;100000,"$75k-$100k","$100k+")))))</x:f>
        <x:v>$75k-$100k</x:v>
      </x:c>
      <x:c r="P6215" t="str">
        <x:f>IF(E6215="","Unknown",IF(E6215&lt;10,"&lt;10",IF(E6215&lt;20,"10-&lt;20",IF(E6215&lt;25,"20-&lt;25",IF(E6215&lt;35,"25-&lt;35","35+")))))</x:f>
        <x:v>10-&lt;20</x:v>
      </x:c>
    </x:row>
    <x:row r="6216">
      <x:c r="A6216" t="str">
        <x:v>SYN0006215</x:v>
      </x:c>
      <x:c r="B6216" s="12" t="n">
        <x:v>42475</x:v>
      </x:c>
      <x:c r="C6216" s="18" t="n">
        <x:v>13812</x:v>
      </x:c>
      <x:c r="D6216" s="18" t="n">
        <x:v>29008</x:v>
      </x:c>
      <x:c r="E6216" s="18" t="n">
        <x:v>26.57</x:v>
      </x:c>
      <x:c r="F6216" s="18" t="n">
        <x:v>20.15</x:v>
      </x:c>
      <x:c r="G6216" t="n">
        <x:v>36</x:v>
      </x:c>
      <x:c r="H6216" t="str">
        <x:v>F</x:v>
      </x:c>
      <x:c r="I6216" t="str">
        <x:v>10+ years</x:v>
      </x:c>
      <x:c r="J6216" t="str">
        <x:v>RENT</x:v>
      </x:c>
      <x:c r="K6216" t="str">
        <x:v>credit_card</x:v>
      </x:c>
      <x:c r="L6216" t="n">
        <x:v>0</x:v>
      </x:c>
      <x:c r="M6216" t="n">
        <x:v>0</x:v>
      </x:c>
      <x:c r="N6216" t="str">
        <x:v>Fully Paid</x:v>
      </x:c>
      <x:c r="O6216" t="str">
        <x:f>IF(D6216="","Unknown",IF(D6216&lt;25000,"&lt;$25k",IF(D6216&lt;50000,"$25k-$50k",IF(D6216&lt;75000,"$50k-$75k",IF(D6216&lt;100000,"$75k-$100k","$100k+")))))</x:f>
        <x:v>$25k-$50k</x:v>
      </x:c>
      <x:c r="P6216" t="str">
        <x:f>IF(E6216="","Unknown",IF(E6216&lt;10,"&lt;10",IF(E6216&lt;20,"10-&lt;20",IF(E6216&lt;25,"20-&lt;25",IF(E6216&lt;35,"25-&lt;35","35+")))))</x:f>
        <x:v>25-&lt;35</x:v>
      </x:c>
    </x:row>
    <x:row r="6217">
      <x:c r="A6217" t="str">
        <x:v>SYN0006216</x:v>
      </x:c>
      <x:c r="B6217" s="12" t="n">
        <x:v>42865</x:v>
      </x:c>
      <x:c r="C6217" s="18" t="n">
        <x:v>9050</x:v>
      </x:c>
      <x:c r="D6217" s="18" t="n">
        <x:v>29675</x:v>
      </x:c>
      <x:c r="E6217" s="18" t="n">
        <x:v>9.53</x:v>
      </x:c>
      <x:c r="F6217" s="18" t="n">
        <x:v>8.24</x:v>
      </x:c>
      <x:c r="G6217" t="n">
        <x:v>36</x:v>
      </x:c>
      <x:c r="H6217" t="str">
        <x:v>B</x:v>
      </x:c>
      <x:c r="I6217" t="str">
        <x:v>7-9 years</x:v>
      </x:c>
      <x:c r="J6217" t="str">
        <x:v>MORTGAGE</x:v>
      </x:c>
      <x:c r="K6217" t="str">
        <x:v>credit_card</x:v>
      </x:c>
      <x:c r="L6217" t="n">
        <x:v>0</x:v>
      </x:c>
      <x:c r="M6217" t="n">
        <x:v>0</x:v>
      </x:c>
      <x:c r="N6217" t="str">
        <x:v>Fully Paid</x:v>
      </x:c>
      <x:c r="O6217" t="str">
        <x:f>IF(D6217="","Unknown",IF(D6217&lt;25000,"&lt;$25k",IF(D6217&lt;50000,"$25k-$50k",IF(D6217&lt;75000,"$50k-$75k",IF(D6217&lt;100000,"$75k-$100k","$100k+")))))</x:f>
        <x:v>$25k-$50k</x:v>
      </x:c>
      <x:c r="P6217" t="str">
        <x:f>IF(E6217="","Unknown",IF(E6217&lt;10,"&lt;10",IF(E6217&lt;20,"10-&lt;20",IF(E6217&lt;25,"20-&lt;25",IF(E6217&lt;35,"25-&lt;35","35+")))))</x:f>
        <x:v>&lt;10</x:v>
      </x:c>
    </x:row>
    <x:row r="6218">
      <x:c r="A6218" t="str">
        <x:v>SYN0006217</x:v>
      </x:c>
      <x:c r="B6218" s="12" t="n">
        <x:v>42205</x:v>
      </x:c>
      <x:c r="C6218" s="18" t="n">
        <x:v>9620</x:v>
      </x:c>
      <x:c r="D6218" s="18" t="n">
        <x:v>42065</x:v>
      </x:c>
      <x:c r="E6218" s="18" t="n">
        <x:v>14.62</x:v>
      </x:c>
      <x:c r="F6218" s="18" t="n">
        <x:v>5</x:v>
      </x:c>
      <x:c r="G6218" t="n">
        <x:v>60</x:v>
      </x:c>
      <x:c r="H6218" t="str">
        <x:v>A</x:v>
      </x:c>
      <x:c r="I6218" t="str">
        <x:v>7-9 years</x:v>
      </x:c>
      <x:c r="J6218" t="str">
        <x:v>MORTGAGE</x:v>
      </x:c>
      <x:c r="K6218" t="str">
        <x:v>medical</x:v>
      </x:c>
      <x:c r="L6218" t="n">
        <x:v>0</x:v>
      </x:c>
      <x:c r="M6218" t="n">
        <x:v>0</x:v>
      </x:c>
      <x:c r="N6218" t="str">
        <x:v>Fully Paid</x:v>
      </x:c>
      <x:c r="O6218" t="str">
        <x:f>IF(D6218="","Unknown",IF(D6218&lt;25000,"&lt;$25k",IF(D6218&lt;50000,"$25k-$50k",IF(D6218&lt;75000,"$50k-$75k",IF(D6218&lt;100000,"$75k-$100k","$100k+")))))</x:f>
        <x:v>$25k-$50k</x:v>
      </x:c>
      <x:c r="P6218" t="str">
        <x:f>IF(E6218="","Unknown",IF(E6218&lt;10,"&lt;10",IF(E6218&lt;20,"10-&lt;20",IF(E6218&lt;25,"20-&lt;25",IF(E6218&lt;35,"25-&lt;35","35+")))))</x:f>
        <x:v>10-&lt;20</x:v>
      </x:c>
    </x:row>
    <x:row r="6219">
      <x:c r="A6219" t="str">
        <x:v>SYN0006218</x:v>
      </x:c>
      <x:c r="B6219" s="12" t="n">
        <x:v>42985</x:v>
      </x:c>
      <x:c r="C6219" s="18" t="n">
        <x:v>38404</x:v>
      </x:c>
      <x:c r="D6219" s="18" t="n">
        <x:v>114254</x:v>
      </x:c>
      <x:c r="E6219" s="18" t="n">
        <x:v>23.35</x:v>
      </x:c>
      <x:c r="F6219" s="18" t="n">
        <x:v>20.71</x:v>
      </x:c>
      <x:c r="G6219" t="n">
        <x:v>60</x:v>
      </x:c>
      <x:c r="H6219" t="str">
        <x:v>F</x:v>
      </x:c>
      <x:c r="I6219" t="str">
        <x:v>10+ years</x:v>
      </x:c>
      <x:c r="J6219" t="str">
        <x:v>RENT</x:v>
      </x:c>
      <x:c r="K6219" t="str">
        <x:v>debt_consolidation</x:v>
      </x:c>
      <x:c r="L6219" t="n">
        <x:v>0</x:v>
      </x:c>
      <x:c r="M6219" t="n">
        <x:v>1</x:v>
      </x:c>
      <x:c r="N6219" t="str">
        <x:v>Charged Off</x:v>
      </x:c>
      <x:c r="O6219" t="str">
        <x:f>IF(D6219="","Unknown",IF(D6219&lt;25000,"&lt;$25k",IF(D6219&lt;50000,"$25k-$50k",IF(D6219&lt;75000,"$50k-$75k",IF(D6219&lt;100000,"$75k-$100k","$100k+")))))</x:f>
        <x:v>$100k+</x:v>
      </x:c>
      <x:c r="P6219" t="str">
        <x:f>IF(E6219="","Unknown",IF(E6219&lt;10,"&lt;10",IF(E6219&lt;20,"10-&lt;20",IF(E6219&lt;25,"20-&lt;25",IF(E6219&lt;35,"25-&lt;35","35+")))))</x:f>
        <x:v>20-&lt;25</x:v>
      </x:c>
    </x:row>
    <x:row r="6220">
      <x:c r="A6220" t="str">
        <x:v>SYN0006219</x:v>
      </x:c>
      <x:c r="B6220" s="12" t="n">
        <x:v>41365</x:v>
      </x:c>
      <x:c r="C6220" s="18" t="n">
        <x:v>11504</x:v>
      </x:c>
      <x:c r="D6220" s="18" t="n">
        <x:v>46570</x:v>
      </x:c>
      <x:c r="E6220" s="18" t="n">
        <x:v>15.34</x:v>
      </x:c>
      <x:c r="F6220" s="18" t="n">
        <x:v>7.56</x:v>
      </x:c>
      <x:c r="G6220" t="n">
        <x:v>36</x:v>
      </x:c>
      <x:c r="H6220" t="str">
        <x:v>B</x:v>
      </x:c>
      <x:c r="I6220" t="str">
        <x:v>7-9 years</x:v>
      </x:c>
      <x:c r="J6220" t="str">
        <x:v>MORTGAGE</x:v>
      </x:c>
      <x:c r="K6220" t="str">
        <x:v>debt_consolidation</x:v>
      </x:c>
      <x:c r="L6220" t="n">
        <x:v>0</x:v>
      </x:c>
      <x:c r="M6220" t="n">
        <x:v>0</x:v>
      </x:c>
      <x:c r="N6220" t="str">
        <x:v>Fully Paid</x:v>
      </x:c>
      <x:c r="O6220" t="str">
        <x:f>IF(D6220="","Unknown",IF(D6220&lt;25000,"&lt;$25k",IF(D6220&lt;50000,"$25k-$50k",IF(D6220&lt;75000,"$50k-$75k",IF(D6220&lt;100000,"$75k-$100k","$100k+")))))</x:f>
        <x:v>$25k-$50k</x:v>
      </x:c>
      <x:c r="P6220" t="str">
        <x:f>IF(E6220="","Unknown",IF(E6220&lt;10,"&lt;10",IF(E6220&lt;20,"10-&lt;20",IF(E6220&lt;25,"20-&lt;25",IF(E6220&lt;35,"25-&lt;35","35+")))))</x:f>
        <x:v>10-&lt;20</x:v>
      </x:c>
    </x:row>
    <x:row r="6221">
      <x:c r="A6221" t="str">
        <x:v>SYN0006220</x:v>
      </x:c>
      <x:c r="B6221" s="12" t="n">
        <x:v>41455</x:v>
      </x:c>
      <x:c r="C6221" s="18" t="n">
        <x:v>13689</x:v>
      </x:c>
      <x:c r="D6221" s="18" t="n">
        <x:v>75956</x:v>
      </x:c>
      <x:c r="E6221" s="18" t="n">
        <x:v>27.31</x:v>
      </x:c>
      <x:c r="F6221" s="18" t="n">
        <x:v>16.63</x:v>
      </x:c>
      <x:c r="G6221" t="n">
        <x:v>60</x:v>
      </x:c>
      <x:c r="H6221" t="str">
        <x:v>D</x:v>
      </x:c>
      <x:c r="I6221" t="str">
        <x:v>&lt;1 year</x:v>
      </x:c>
      <x:c r="J6221" t="str">
        <x:v>RENT</x:v>
      </x:c>
      <x:c r="K6221" t="str">
        <x:v>debt_consolidation</x:v>
      </x:c>
      <x:c r="L6221" t="n">
        <x:v>1</x:v>
      </x:c>
      <x:c r="M6221" t="n">
        <x:v>0</x:v>
      </x:c>
      <x:c r="N6221" t="str">
        <x:v>Fully Paid</x:v>
      </x:c>
      <x:c r="O6221" t="str">
        <x:f>IF(D6221="","Unknown",IF(D6221&lt;25000,"&lt;$25k",IF(D6221&lt;50000,"$25k-$50k",IF(D6221&lt;75000,"$50k-$75k",IF(D6221&lt;100000,"$75k-$100k","$100k+")))))</x:f>
        <x:v>$75k-$100k</x:v>
      </x:c>
      <x:c r="P6221" t="str">
        <x:f>IF(E6221="","Unknown",IF(E6221&lt;10,"&lt;10",IF(E6221&lt;20,"10-&lt;20",IF(E6221&lt;25,"20-&lt;25",IF(E6221&lt;35,"25-&lt;35","35+")))))</x:f>
        <x:v>25-&lt;35</x:v>
      </x:c>
    </x:row>
    <x:row r="6222">
      <x:c r="A6222" t="str">
        <x:v>SYN0006221</x:v>
      </x:c>
      <x:c r="B6222" s="12" t="n">
        <x:v>43045</x:v>
      </x:c>
      <x:c r="C6222" s="18" t="n">
        <x:v>40000</x:v>
      </x:c>
      <x:c r="D6222" s="18" t="n">
        <x:v>59318</x:v>
      </x:c>
      <x:c r="E6222" s="18" t="n">
        <x:v>22.79</x:v>
      </x:c>
      <x:c r="F6222" s="18" t="n">
        <x:v>19.54</x:v>
      </x:c>
      <x:c r="G6222" t="n">
        <x:v>60</x:v>
      </x:c>
      <x:c r="H6222" t="str">
        <x:v>E</x:v>
      </x:c>
      <x:c r="I6222" t="str">
        <x:v>10+ years</x:v>
      </x:c>
      <x:c r="J6222" t="str">
        <x:v>MORTGAGE</x:v>
      </x:c>
      <x:c r="K6222" t="str">
        <x:v>debt_consolidation</x:v>
      </x:c>
      <x:c r="L6222" t="n">
        <x:v>0</x:v>
      </x:c>
      <x:c r="M6222" t="n">
        <x:v>0</x:v>
      </x:c>
      <x:c r="N6222" t="str">
        <x:v>Fully Paid</x:v>
      </x:c>
      <x:c r="O6222" t="str">
        <x:f>IF(D6222="","Unknown",IF(D6222&lt;25000,"&lt;$25k",IF(D6222&lt;50000,"$25k-$50k",IF(D6222&lt;75000,"$50k-$75k",IF(D6222&lt;100000,"$75k-$100k","$100k+")))))</x:f>
        <x:v>$50k-$75k</x:v>
      </x:c>
      <x:c r="P6222" t="str">
        <x:f>IF(E6222="","Unknown",IF(E6222&lt;10,"&lt;10",IF(E6222&lt;20,"10-&lt;20",IF(E6222&lt;25,"20-&lt;25",IF(E6222&lt;35,"25-&lt;35","35+")))))</x:f>
        <x:v>20-&lt;25</x:v>
      </x:c>
    </x:row>
    <x:row r="6223">
      <x:c r="A6223" t="str">
        <x:v>SYN0006222</x:v>
      </x:c>
      <x:c r="B6223" s="12" t="n">
        <x:v>42055</x:v>
      </x:c>
      <x:c r="C6223" s="18" t="n">
        <x:v>14289</x:v>
      </x:c>
      <x:c r="D6223" s="18" t="n">
        <x:v>230821</x:v>
      </x:c>
      <x:c r="E6223" s="18" t="n">
        <x:v>32.76</x:v>
      </x:c>
      <x:c r="F6223" s="18" t="n">
        <x:v>10.16</x:v>
      </x:c>
      <x:c r="G6223" t="n">
        <x:v>36</x:v>
      </x:c>
      <x:c r="H6223" t="str">
        <x:v>C</x:v>
      </x:c>
      <x:c r="I6223" t="str">
        <x:v>1-3 years</x:v>
      </x:c>
      <x:c r="J6223" t="str">
        <x:v>RENT</x:v>
      </x:c>
      <x:c r="K6223" t="str">
        <x:v>credit_card</x:v>
      </x:c>
      <x:c r="L6223" t="n">
        <x:v>0</x:v>
      </x:c>
      <x:c r="M6223" t="n">
        <x:v>0</x:v>
      </x:c>
      <x:c r="N6223" t="str">
        <x:v>Fully Paid</x:v>
      </x:c>
      <x:c r="O6223" t="str">
        <x:f>IF(D6223="","Unknown",IF(D6223&lt;25000,"&lt;$25k",IF(D6223&lt;50000,"$25k-$50k",IF(D6223&lt;75000,"$50k-$75k",IF(D6223&lt;100000,"$75k-$100k","$100k+")))))</x:f>
        <x:v>$100k+</x:v>
      </x:c>
      <x:c r="P6223" t="str">
        <x:f>IF(E6223="","Unknown",IF(E6223&lt;10,"&lt;10",IF(E6223&lt;20,"10-&lt;20",IF(E6223&lt;25,"20-&lt;25",IF(E6223&lt;35,"25-&lt;35","35+")))))</x:f>
        <x:v>25-&lt;35</x:v>
      </x:c>
    </x:row>
    <x:row r="6224">
      <x:c r="A6224" t="str">
        <x:v>SYN0006223</x:v>
      </x:c>
      <x:c r="B6224" s="12" t="n">
        <x:v>42925</x:v>
      </x:c>
      <x:c r="C6224" s="18" t="n">
        <x:v>8761</x:v>
      </x:c>
      <x:c r="D6224" s="18" t="n">
        <x:v>54648</x:v>
      </x:c>
      <x:c r="E6224" s="18" t="n">
        <x:v>25.58</x:v>
      </x:c>
      <x:c r="F6224" s="18" t="n">
        <x:v>20.21</x:v>
      </x:c>
      <x:c r="G6224" t="n">
        <x:v>60</x:v>
      </x:c>
      <x:c r="H6224" t="str">
        <x:v>E</x:v>
      </x:c>
      <x:c r="I6224" t="str">
        <x:v>&lt;1 year</x:v>
      </x:c>
      <x:c r="J6224" t="str">
        <x:v>RENT</x:v>
      </x:c>
      <x:c r="K6224" t="str">
        <x:v>credit_card</x:v>
      </x:c>
      <x:c r="L6224" t="n">
        <x:v>1</x:v>
      </x:c>
      <x:c r="M6224" t="n">
        <x:v>1</x:v>
      </x:c>
      <x:c r="N6224" t="str">
        <x:v>Charged Off</x:v>
      </x:c>
      <x:c r="O6224" t="str">
        <x:f>IF(D6224="","Unknown",IF(D6224&lt;25000,"&lt;$25k",IF(D6224&lt;50000,"$25k-$50k",IF(D6224&lt;75000,"$50k-$75k",IF(D6224&lt;100000,"$75k-$100k","$100k+")))))</x:f>
        <x:v>$50k-$75k</x:v>
      </x:c>
      <x:c r="P6224" t="str">
        <x:f>IF(E6224="","Unknown",IF(E6224&lt;10,"&lt;10",IF(E6224&lt;20,"10-&lt;20",IF(E6224&lt;25,"20-&lt;25",IF(E6224&lt;35,"25-&lt;35","35+")))))</x:f>
        <x:v>25-&lt;35</x:v>
      </x:c>
    </x:row>
    <x:row r="6225">
      <x:c r="A6225" t="str">
        <x:v>SYN0006224</x:v>
      </x:c>
      <x:c r="B6225" s="12" t="n">
        <x:v>42055</x:v>
      </x:c>
      <x:c r="C6225" s="18" t="n">
        <x:v>8142</x:v>
      </x:c>
      <x:c r="D6225" s="18" t="n">
        <x:v>53572</x:v>
      </x:c>
      <x:c r="E6225" s="18" t="n">
        <x:v>19.25</x:v>
      </x:c>
      <x:c r="F6225" s="18" t="n">
        <x:v>14.21</x:v>
      </x:c>
      <x:c r="G6225" t="n">
        <x:v>36</x:v>
      </x:c>
      <x:c r="H6225" t="str">
        <x:v>D</x:v>
      </x:c>
      <x:c r="I6225" t="str">
        <x:v>10+ years</x:v>
      </x:c>
      <x:c r="J6225" t="str">
        <x:v>RENT</x:v>
      </x:c>
      <x:c r="K6225" t="str">
        <x:v>debt_consolidation</x:v>
      </x:c>
      <x:c r="L6225" t="n">
        <x:v>0</x:v>
      </x:c>
      <x:c r="M6225" t="n">
        <x:v>0</x:v>
      </x:c>
      <x:c r="N6225" t="str">
        <x:v>Fully Paid</x:v>
      </x:c>
      <x:c r="O6225" t="str">
        <x:f>IF(D6225="","Unknown",IF(D6225&lt;25000,"&lt;$25k",IF(D6225&lt;50000,"$25k-$50k",IF(D6225&lt;75000,"$50k-$75k",IF(D6225&lt;100000,"$75k-$100k","$100k+")))))</x:f>
        <x:v>$50k-$75k</x:v>
      </x:c>
      <x:c r="P6225" t="str">
        <x:f>IF(E6225="","Unknown",IF(E6225&lt;10,"&lt;10",IF(E6225&lt;20,"10-&lt;20",IF(E6225&lt;25,"20-&lt;25",IF(E6225&lt;35,"25-&lt;35","35+")))))</x:f>
        <x:v>10-&lt;20</x:v>
      </x:c>
    </x:row>
    <x:row r="6226">
      <x:c r="A6226" t="str">
        <x:v>SYN0006225</x:v>
      </x:c>
      <x:c r="B6226" s="12" t="n">
        <x:v>42775</x:v>
      </x:c>
      <x:c r="C6226" s="18" t="n">
        <x:v>14808</x:v>
      </x:c>
      <x:c r="D6226" s="18" t="n">
        <x:v>67231</x:v>
      </x:c>
      <x:c r="E6226" s="18" t="n">
        <x:v>15.97</x:v>
      </x:c>
      <x:c r="F6226" s="18" t="n">
        <x:v>15.09</x:v>
      </x:c>
      <x:c r="G6226" t="n">
        <x:v>36</x:v>
      </x:c>
      <x:c r="H6226" t="str">
        <x:v>D</x:v>
      </x:c>
      <x:c r="I6226" t="str">
        <x:v>&lt;1 year</x:v>
      </x:c>
      <x:c r="J6226" t="str">
        <x:v>MORTGAGE</x:v>
      </x:c>
      <x:c r="K6226" t="str">
        <x:v>debt_consolidation</x:v>
      </x:c>
      <x:c r="L6226" t="n">
        <x:v>0</x:v>
      </x:c>
      <x:c r="M6226" t="n">
        <x:v>0</x:v>
      </x:c>
      <x:c r="N6226" t="str">
        <x:v>Fully Paid</x:v>
      </x:c>
      <x:c r="O6226" t="str">
        <x:f>IF(D6226="","Unknown",IF(D6226&lt;25000,"&lt;$25k",IF(D6226&lt;50000,"$25k-$50k",IF(D6226&lt;75000,"$50k-$75k",IF(D6226&lt;100000,"$75k-$100k","$100k+")))))</x:f>
        <x:v>$50k-$75k</x:v>
      </x:c>
      <x:c r="P6226" t="str">
        <x:f>IF(E6226="","Unknown",IF(E6226&lt;10,"&lt;10",IF(E6226&lt;20,"10-&lt;20",IF(E6226&lt;25,"20-&lt;25",IF(E6226&lt;35,"25-&lt;35","35+")))))</x:f>
        <x:v>10-&lt;20</x:v>
      </x:c>
    </x:row>
    <x:row r="6227">
      <x:c r="A6227" t="str">
        <x:v>SYN0006226</x:v>
      </x:c>
      <x:c r="B6227" s="12" t="n">
        <x:v>41455</x:v>
      </x:c>
      <x:c r="C6227" s="18" t="n">
        <x:v>10403</x:v>
      </x:c>
      <x:c r="D6227" s="18" t="n">
        <x:v>12412</x:v>
      </x:c>
      <x:c r="E6227" s="18" t="n">
        <x:v>27.96</x:v>
      </x:c>
      <x:c r="F6227" s="18" t="n">
        <x:v>17.25</x:v>
      </x:c>
      <x:c r="G6227" t="n">
        <x:v>36</x:v>
      </x:c>
      <x:c r="H6227" t="str">
        <x:v>E</x:v>
      </x:c>
      <x:c r="I6227" t="str">
        <x:v>10+ years</x:v>
      </x:c>
      <x:c r="J6227" t="str">
        <x:v>RENT</x:v>
      </x:c>
      <x:c r="K6227" t="str">
        <x:v>credit_card</x:v>
      </x:c>
      <x:c r="L6227" t="n">
        <x:v>0</x:v>
      </x:c>
      <x:c r="M6227" t="n">
        <x:v>0</x:v>
      </x:c>
      <x:c r="N6227" t="str">
        <x:v>Fully Paid</x:v>
      </x:c>
      <x:c r="O6227" t="str">
        <x:f>IF(D6227="","Unknown",IF(D6227&lt;25000,"&lt;$25k",IF(D6227&lt;50000,"$25k-$50k",IF(D6227&lt;75000,"$50k-$75k",IF(D6227&lt;100000,"$75k-$100k","$100k+")))))</x:f>
        <x:v>&lt;$25k</x:v>
      </x:c>
      <x:c r="P6227" t="str">
        <x:f>IF(E6227="","Unknown",IF(E6227&lt;10,"&lt;10",IF(E6227&lt;20,"10-&lt;20",IF(E6227&lt;25,"20-&lt;25",IF(E6227&lt;35,"25-&lt;35","35+")))))</x:f>
        <x:v>25-&lt;35</x:v>
      </x:c>
    </x:row>
    <x:row r="6228">
      <x:c r="A6228" t="str">
        <x:v>SYN0006227</x:v>
      </x:c>
      <x:c r="B6228" s="12" t="n">
        <x:v>42205</x:v>
      </x:c>
      <x:c r="C6228" s="18" t="n">
        <x:v>27804</x:v>
      </x:c>
      <x:c r="D6228" s="18" t="n">
        <x:v>51000</x:v>
      </x:c>
      <x:c r="E6228" s="18" t="n">
        <x:v>19.29</x:v>
      </x:c>
      <x:c r="F6228" s="18" t="n">
        <x:v>10.95</x:v>
      </x:c>
      <x:c r="G6228" t="n">
        <x:v>36</x:v>
      </x:c>
      <x:c r="H6228" t="str">
        <x:v>C</x:v>
      </x:c>
      <x:c r="I6228" t="str">
        <x:v>4-6 years</x:v>
      </x:c>
      <x:c r="J6228" t="str">
        <x:v>RENT</x:v>
      </x:c>
      <x:c r="K6228" t="str">
        <x:v>credit_card</x:v>
      </x:c>
      <x:c r="L6228" t="n">
        <x:v>0</x:v>
      </x:c>
      <x:c r="M6228" t="n">
        <x:v>0</x:v>
      </x:c>
      <x:c r="N6228" t="str">
        <x:v>Fully Paid</x:v>
      </x:c>
      <x:c r="O6228" t="str">
        <x:f>IF(D6228="","Unknown",IF(D6228&lt;25000,"&lt;$25k",IF(D6228&lt;50000,"$25k-$50k",IF(D6228&lt;75000,"$50k-$75k",IF(D6228&lt;100000,"$75k-$100k","$100k+")))))</x:f>
        <x:v>$50k-$75k</x:v>
      </x:c>
      <x:c r="P6228" t="str">
        <x:f>IF(E6228="","Unknown",IF(E6228&lt;10,"&lt;10",IF(E6228&lt;20,"10-&lt;20",IF(E6228&lt;25,"20-&lt;25",IF(E6228&lt;35,"25-&lt;35","35+")))))</x:f>
        <x:v>10-&lt;20</x:v>
      </x:c>
    </x:row>
    <x:row r="6229">
      <x:c r="A6229" t="str">
        <x:v>SYN0006228</x:v>
      </x:c>
      <x:c r="B6229" s="12" t="n">
        <x:v>41485</x:v>
      </x:c>
      <x:c r="C6229" s="18" t="n">
        <x:v>13966</x:v>
      </x:c>
      <x:c r="D6229" s="18" t="n">
        <x:v>84710</x:v>
      </x:c>
      <x:c r="E6229" s="18" t="n">
        <x:v>14.27</x:v>
      </x:c>
      <x:c r="F6229" s="18" t="n">
        <x:v>8.49</x:v>
      </x:c>
      <x:c r="G6229" t="n">
        <x:v>36</x:v>
      </x:c>
      <x:c r="H6229" t="str">
        <x:v>B</x:v>
      </x:c>
      <x:c r="I6229" t="str">
        <x:v>4-6 years</x:v>
      </x:c>
      <x:c r="J6229" t="str">
        <x:v>MORTGAGE</x:v>
      </x:c>
      <x:c r="K6229" t="str">
        <x:v>debt_consolidation</x:v>
      </x:c>
      <x:c r="L6229" t="n">
        <x:v>1</x:v>
      </x:c>
      <x:c r="M6229" t="n">
        <x:v>0</x:v>
      </x:c>
      <x:c r="N6229" t="str">
        <x:v>Fully Paid</x:v>
      </x:c>
      <x:c r="O6229" t="str">
        <x:f>IF(D6229="","Unknown",IF(D6229&lt;25000,"&lt;$25k",IF(D6229&lt;50000,"$25k-$50k",IF(D6229&lt;75000,"$50k-$75k",IF(D6229&lt;100000,"$75k-$100k","$100k+")))))</x:f>
        <x:v>$75k-$100k</x:v>
      </x:c>
      <x:c r="P6229" t="str">
        <x:f>IF(E6229="","Unknown",IF(E6229&lt;10,"&lt;10",IF(E6229&lt;20,"10-&lt;20",IF(E6229&lt;25,"20-&lt;25",IF(E6229&lt;35,"25-&lt;35","35+")))))</x:f>
        <x:v>10-&lt;20</x:v>
      </x:c>
    </x:row>
    <x:row r="6230">
      <x:c r="A6230" t="str">
        <x:v>SYN0006229</x:v>
      </x:c>
      <x:c r="B6230" s="12" t="n">
        <x:v>42895</x:v>
      </x:c>
      <x:c r="C6230" s="18" t="n">
        <x:v>15744</x:v>
      </x:c>
      <x:c r="D6230" s="18" t="n">
        <x:v>42836</x:v>
      </x:c>
      <x:c r="E6230" s="18" t="n">
        <x:v>12.7</x:v>
      </x:c>
      <x:c r="F6230" s="18" t="n">
        <x:v>13.88</x:v>
      </x:c>
      <x:c r="G6230" t="n">
        <x:v>36</x:v>
      </x:c>
      <x:c r="H6230" t="str">
        <x:v>D</x:v>
      </x:c>
      <x:c r="I6230" t="str">
        <x:v>7-9 years</x:v>
      </x:c>
      <x:c r="J6230" t="str">
        <x:v>OTHER</x:v>
      </x:c>
      <x:c r="K6230" t="str">
        <x:v>home_improvement</x:v>
      </x:c>
      <x:c r="L6230" t="n">
        <x:v>1</x:v>
      </x:c>
      <x:c r="M6230" t="n">
        <x:v>0</x:v>
      </x:c>
      <x:c r="N6230" t="str">
        <x:v>Fully Paid</x:v>
      </x:c>
      <x:c r="O6230" t="str">
        <x:f>IF(D6230="","Unknown",IF(D6230&lt;25000,"&lt;$25k",IF(D6230&lt;50000,"$25k-$50k",IF(D6230&lt;75000,"$50k-$75k",IF(D6230&lt;100000,"$75k-$100k","$100k+")))))</x:f>
        <x:v>$25k-$50k</x:v>
      </x:c>
      <x:c r="P6230" t="str">
        <x:f>IF(E6230="","Unknown",IF(E6230&lt;10,"&lt;10",IF(E6230&lt;20,"10-&lt;20",IF(E6230&lt;25,"20-&lt;25",IF(E6230&lt;35,"25-&lt;35","35+")))))</x:f>
        <x:v>10-&lt;20</x:v>
      </x:c>
    </x:row>
    <x:row r="6231">
      <x:c r="A6231" t="str">
        <x:v>SYN0006230</x:v>
      </x:c>
      <x:c r="B6231" s="12" t="n">
        <x:v>41635</x:v>
      </x:c>
      <x:c r="C6231" s="18" t="n">
        <x:v>21275</x:v>
      </x:c>
      <x:c r="D6231" s="18" t="n">
        <x:v>16336</x:v>
      </x:c>
      <x:c r="E6231" s="18" t="n">
        <x:v>33.93</x:v>
      </x:c>
      <x:c r="F6231" s="18" t="n">
        <x:v>8.76</x:v>
      </x:c>
      <x:c r="G6231" t="n">
        <x:v>60</x:v>
      </x:c>
      <x:c r="H6231" t="str">
        <x:v>B</x:v>
      </x:c>
      <x:c r="I6231" t="str">
        <x:v>4-6 years</x:v>
      </x:c>
      <x:c r="J6231" t="str">
        <x:v>RENT</x:v>
      </x:c>
      <x:c r="K6231" t="str">
        <x:v>debt_consolidation</x:v>
      </x:c>
      <x:c r="L6231" t="n">
        <x:v>0</x:v>
      </x:c>
      <x:c r="M6231" t="n">
        <x:v>0</x:v>
      </x:c>
      <x:c r="N6231" t="str">
        <x:v>Fully Paid</x:v>
      </x:c>
      <x:c r="O6231" t="str">
        <x:f>IF(D6231="","Unknown",IF(D6231&lt;25000,"&lt;$25k",IF(D6231&lt;50000,"$25k-$50k",IF(D6231&lt;75000,"$50k-$75k",IF(D6231&lt;100000,"$75k-$100k","$100k+")))))</x:f>
        <x:v>&lt;$25k</x:v>
      </x:c>
      <x:c r="P6231" t="str">
        <x:f>IF(E6231="","Unknown",IF(E6231&lt;10,"&lt;10",IF(E6231&lt;20,"10-&lt;20",IF(E6231&lt;25,"20-&lt;25",IF(E6231&lt;35,"25-&lt;35","35+")))))</x:f>
        <x:v>25-&lt;35</x:v>
      </x:c>
    </x:row>
    <x:row r="6232">
      <x:c r="A6232" t="str">
        <x:v>SYN0006231</x:v>
      </x:c>
      <x:c r="B6232" s="12" t="n">
        <x:v>42565</x:v>
      </x:c>
      <x:c r="C6232" s="18" t="n">
        <x:v>24652</x:v>
      </x:c>
      <x:c r="D6232" s="18" t="n">
        <x:v>65352</x:v>
      </x:c>
      <x:c r="E6232" s="18" t="n">
        <x:v>13.78</x:v>
      </x:c>
      <x:c r="F6232" s="18" t="n">
        <x:v>11.01</x:v>
      </x:c>
      <x:c r="G6232" t="n">
        <x:v>60</x:v>
      </x:c>
      <x:c r="H6232" t="str">
        <x:v>D</x:v>
      </x:c>
      <x:c r="I6232" t="str">
        <x:v>&lt;1 year</x:v>
      </x:c>
      <x:c r="J6232" t="str">
        <x:v>OWN</x:v>
      </x:c>
      <x:c r="K6232" t="str">
        <x:v>home_improvement</x:v>
      </x:c>
      <x:c r="L6232" t="n">
        <x:v>1</x:v>
      </x:c>
      <x:c r="M6232" t="n">
        <x:v>0</x:v>
      </x:c>
      <x:c r="N6232" t="str">
        <x:v>Fully Paid</x:v>
      </x:c>
      <x:c r="O6232" t="str">
        <x:f>IF(D6232="","Unknown",IF(D6232&lt;25000,"&lt;$25k",IF(D6232&lt;50000,"$25k-$50k",IF(D6232&lt;75000,"$50k-$75k",IF(D6232&lt;100000,"$75k-$100k","$100k+")))))</x:f>
        <x:v>$50k-$75k</x:v>
      </x:c>
      <x:c r="P6232" t="str">
        <x:f>IF(E6232="","Unknown",IF(E6232&lt;10,"&lt;10",IF(E6232&lt;20,"10-&lt;20",IF(E6232&lt;25,"20-&lt;25",IF(E6232&lt;35,"25-&lt;35","35+")))))</x:f>
        <x:v>10-&lt;20</x:v>
      </x:c>
    </x:row>
    <x:row r="6233">
      <x:c r="A6233" t="str">
        <x:v>SYN0006232</x:v>
      </x:c>
      <x:c r="B6233" s="12" t="n">
        <x:v>41965</x:v>
      </x:c>
      <x:c r="C6233" s="18" t="n">
        <x:v>11107</x:v>
      </x:c>
      <x:c r="D6233" s="18" t="n">
        <x:v>53145</x:v>
      </x:c>
      <x:c r="E6233" s="18" t="n">
        <x:v>25.05</x:v>
      </x:c>
      <x:c r="F6233" s="18" t="n">
        <x:v>16.36</x:v>
      </x:c>
      <x:c r="G6233" t="n">
        <x:v>36</x:v>
      </x:c>
      <x:c r="H6233" t="str">
        <x:v>E</x:v>
      </x:c>
      <x:c r="I6233" t="str">
        <x:v>&lt;1 year</x:v>
      </x:c>
      <x:c r="J6233" t="str">
        <x:v>MORTGAGE</x:v>
      </x:c>
      <x:c r="K6233" t="str">
        <x:v>debt_consolidation</x:v>
      </x:c>
      <x:c r="L6233" t="n">
        <x:v>0</x:v>
      </x:c>
      <x:c r="M6233" t="n">
        <x:v>0</x:v>
      </x:c>
      <x:c r="N6233" t="str">
        <x:v>Fully Paid</x:v>
      </x:c>
      <x:c r="O6233" t="str">
        <x:f>IF(D6233="","Unknown",IF(D6233&lt;25000,"&lt;$25k",IF(D6233&lt;50000,"$25k-$50k",IF(D6233&lt;75000,"$50k-$75k",IF(D6233&lt;100000,"$75k-$100k","$100k+")))))</x:f>
        <x:v>$50k-$75k</x:v>
      </x:c>
      <x:c r="P6233" t="str">
        <x:f>IF(E6233="","Unknown",IF(E6233&lt;10,"&lt;10",IF(E6233&lt;20,"10-&lt;20",IF(E6233&lt;25,"20-&lt;25",IF(E6233&lt;35,"25-&lt;35","35+")))))</x:f>
        <x:v>25-&lt;35</x:v>
      </x:c>
    </x:row>
    <x:row r="6234">
      <x:c r="A6234" t="str">
        <x:v>SYN0006233</x:v>
      </x:c>
      <x:c r="B6234" s="12" t="n">
        <x:v>42355</x:v>
      </x:c>
      <x:c r="C6234" s="18" t="n">
        <x:v>11679</x:v>
      </x:c>
      <x:c r="D6234" s="18" t="n">
        <x:v>32706</x:v>
      </x:c>
      <x:c r="E6234" s="18" t="n">
        <x:v>19.07</x:v>
      </x:c>
      <x:c r="F6234" s="18" t="n">
        <x:v>12.23</x:v>
      </x:c>
      <x:c r="G6234" t="n">
        <x:v>36</x:v>
      </x:c>
      <x:c r="H6234" t="str">
        <x:v>D</x:v>
      </x:c>
      <x:c r="I6234" t="str">
        <x:v>7-9 years</x:v>
      </x:c>
      <x:c r="J6234" t="str">
        <x:v>MORTGAGE</x:v>
      </x:c>
      <x:c r="K6234" t="str">
        <x:v>debt_consolidation</x:v>
      </x:c>
      <x:c r="L6234" t="n">
        <x:v>0</x:v>
      </x:c>
      <x:c r="M6234" t="n">
        <x:v>1</x:v>
      </x:c>
      <x:c r="N6234" t="str">
        <x:v>Charged Off</x:v>
      </x:c>
      <x:c r="O6234" t="str">
        <x:f>IF(D6234="","Unknown",IF(D6234&lt;25000,"&lt;$25k",IF(D6234&lt;50000,"$25k-$50k",IF(D6234&lt;75000,"$50k-$75k",IF(D6234&lt;100000,"$75k-$100k","$100k+")))))</x:f>
        <x:v>$25k-$50k</x:v>
      </x:c>
      <x:c r="P6234" t="str">
        <x:f>IF(E6234="","Unknown",IF(E6234&lt;10,"&lt;10",IF(E6234&lt;20,"10-&lt;20",IF(E6234&lt;25,"20-&lt;25",IF(E6234&lt;35,"25-&lt;35","35+")))))</x:f>
        <x:v>10-&lt;20</x:v>
      </x:c>
    </x:row>
    <x:row r="6235">
      <x:c r="A6235" t="str">
        <x:v>SYN0006234</x:v>
      </x:c>
      <x:c r="B6235" s="12" t="n">
        <x:v>41635</x:v>
      </x:c>
      <x:c r="C6235" s="18" t="n">
        <x:v>15095</x:v>
      </x:c>
      <x:c r="D6235" s="18" t="n">
        <x:v>48821</x:v>
      </x:c>
      <x:c r="E6235" s="18" t="n">
        <x:v>36.47</x:v>
      </x:c>
      <x:c r="F6235" s="18" t="n">
        <x:v>9.53</x:v>
      </x:c>
      <x:c r="G6235" t="n">
        <x:v>36</x:v>
      </x:c>
      <x:c r="H6235" t="str">
        <x:v>D</x:v>
      </x:c>
      <x:c r="I6235" t="str">
        <x:v>4-6 years</x:v>
      </x:c>
      <x:c r="J6235" t="str">
        <x:v>MORTGAGE</x:v>
      </x:c>
      <x:c r="K6235" t="str">
        <x:v>credit_card</x:v>
      </x:c>
      <x:c r="L6235" t="n">
        <x:v>0</x:v>
      </x:c>
      <x:c r="M6235" t="n">
        <x:v>0</x:v>
      </x:c>
      <x:c r="N6235" t="str">
        <x:v>Fully Paid</x:v>
      </x:c>
      <x:c r="O6235" t="str">
        <x:f>IF(D6235="","Unknown",IF(D6235&lt;25000,"&lt;$25k",IF(D6235&lt;50000,"$25k-$50k",IF(D6235&lt;75000,"$50k-$75k",IF(D6235&lt;100000,"$75k-$100k","$100k+")))))</x:f>
        <x:v>$25k-$50k</x:v>
      </x:c>
      <x:c r="P6235" t="str">
        <x:f>IF(E6235="","Unknown",IF(E6235&lt;10,"&lt;10",IF(E6235&lt;20,"10-&lt;20",IF(E6235&lt;25,"20-&lt;25",IF(E6235&lt;35,"25-&lt;35","35+")))))</x:f>
        <x:v>35+</x:v>
      </x:c>
    </x:row>
    <x:row r="6236">
      <x:c r="A6236" t="str">
        <x:v>SYN0006235</x:v>
      </x:c>
      <x:c r="B6236" s="12" t="n">
        <x:v>41425</x:v>
      </x:c>
      <x:c r="C6236" s="18" t="n">
        <x:v>24888</x:v>
      </x:c>
      <x:c r="D6236" s="18" t="n">
        <x:v>56341</x:v>
      </x:c>
      <x:c r="E6236" s="18" t="n">
        <x:v>11.55</x:v>
      </x:c>
      <x:c r="F6236" s="18" t="n">
        <x:v>10.43</x:v>
      </x:c>
      <x:c r="G6236" t="n">
        <x:v>36</x:v>
      </x:c>
      <x:c r="H6236" t="str">
        <x:v>C</x:v>
      </x:c>
      <x:c r="I6236" t="str">
        <x:v>7-9 years</x:v>
      </x:c>
      <x:c r="J6236" t="str">
        <x:v>RENT</x:v>
      </x:c>
      <x:c r="K6236" t="str">
        <x:v>other</x:v>
      </x:c>
      <x:c r="L6236" t="n">
        <x:v>0</x:v>
      </x:c>
      <x:c r="M6236" t="n">
        <x:v>0</x:v>
      </x:c>
      <x:c r="N6236" t="str">
        <x:v>Fully Paid</x:v>
      </x:c>
      <x:c r="O6236" t="str">
        <x:f>IF(D6236="","Unknown",IF(D6236&lt;25000,"&lt;$25k",IF(D6236&lt;50000,"$25k-$50k",IF(D6236&lt;75000,"$50k-$75k",IF(D6236&lt;100000,"$75k-$100k","$100k+")))))</x:f>
        <x:v>$50k-$75k</x:v>
      </x:c>
      <x:c r="P6236" t="str">
        <x:f>IF(E6236="","Unknown",IF(E6236&lt;10,"&lt;10",IF(E6236&lt;20,"10-&lt;20",IF(E6236&lt;25,"20-&lt;25",IF(E6236&lt;35,"25-&lt;35","35+")))))</x:f>
        <x:v>10-&lt;20</x:v>
      </x:c>
    </x:row>
    <x:row r="6237">
      <x:c r="A6237" t="str">
        <x:v>SYN0006236</x:v>
      </x:c>
      <x:c r="B6237" s="12" t="n">
        <x:v>41395</x:v>
      </x:c>
      <x:c r="C6237" s="18" t="n">
        <x:v>14086</x:v>
      </x:c>
      <x:c r="D6237" s="18" t="n">
        <x:v>106663</x:v>
      </x:c>
      <x:c r="E6237" s="18" t="n">
        <x:v>17.78</x:v>
      </x:c>
      <x:c r="F6237" s="18" t="n">
        <x:v>8.42</x:v>
      </x:c>
      <x:c r="G6237" t="n">
        <x:v>60</x:v>
      </x:c>
      <x:c r="H6237" t="str">
        <x:v>B</x:v>
      </x:c>
      <x:c r="I6237" t="str">
        <x:v>4-6 years</x:v>
      </x:c>
      <x:c r="J6237" t="str">
        <x:v>MORTGAGE</x:v>
      </x:c>
      <x:c r="K6237" t="str">
        <x:v>home_improvement</x:v>
      </x:c>
      <x:c r="L6237" t="n">
        <x:v>1</x:v>
      </x:c>
      <x:c r="M6237" t="n">
        <x:v>0</x:v>
      </x:c>
      <x:c r="N6237" t="str">
        <x:v>Fully Paid</x:v>
      </x:c>
      <x:c r="O6237" t="str">
        <x:f>IF(D6237="","Unknown",IF(D6237&lt;25000,"&lt;$25k",IF(D6237&lt;50000,"$25k-$50k",IF(D6237&lt;75000,"$50k-$75k",IF(D6237&lt;100000,"$75k-$100k","$100k+")))))</x:f>
        <x:v>$100k+</x:v>
      </x:c>
      <x:c r="P6237" t="str">
        <x:f>IF(E6237="","Unknown",IF(E6237&lt;10,"&lt;10",IF(E6237&lt;20,"10-&lt;20",IF(E6237&lt;25,"20-&lt;25",IF(E6237&lt;35,"25-&lt;35","35+")))))</x:f>
        <x:v>10-&lt;20</x:v>
      </x:c>
    </x:row>
    <x:row r="6238">
      <x:c r="A6238" t="str">
        <x:v>SYN0006237</x:v>
      </x:c>
      <x:c r="B6238" s="12" t="n">
        <x:v>42625</x:v>
      </x:c>
      <x:c r="C6238" s="18" t="n">
        <x:v>5091</x:v>
      </x:c>
      <x:c r="D6238" s="18" t="n">
        <x:v>78732</x:v>
      </x:c>
      <x:c r="E6238" s="18" t="n">
        <x:v>12.45</x:v>
      </x:c>
      <x:c r="F6238" s="18" t="n">
        <x:v>7.83</x:v>
      </x:c>
      <x:c r="G6238" t="n">
        <x:v>36</x:v>
      </x:c>
      <x:c r="H6238" t="str">
        <x:v>B</x:v>
      </x:c>
      <x:c r="I6238" t="str">
        <x:v>10+ years</x:v>
      </x:c>
      <x:c r="J6238" t="str">
        <x:v>MORTGAGE</x:v>
      </x:c>
      <x:c r="K6238" t="str">
        <x:v>credit_card</x:v>
      </x:c>
      <x:c r="L6238" t="n">
        <x:v>0</x:v>
      </x:c>
      <x:c r="M6238" t="n">
        <x:v>0</x:v>
      </x:c>
      <x:c r="N6238" t="str">
        <x:v>Fully Paid</x:v>
      </x:c>
      <x:c r="O6238" t="str">
        <x:f>IF(D6238="","Unknown",IF(D6238&lt;25000,"&lt;$25k",IF(D6238&lt;50000,"$25k-$50k",IF(D6238&lt;75000,"$50k-$75k",IF(D6238&lt;100000,"$75k-$100k","$100k+")))))</x:f>
        <x:v>$75k-$100k</x:v>
      </x:c>
      <x:c r="P6238" t="str">
        <x:f>IF(E6238="","Unknown",IF(E6238&lt;10,"&lt;10",IF(E6238&lt;20,"10-&lt;20",IF(E6238&lt;25,"20-&lt;25",IF(E6238&lt;35,"25-&lt;35","35+")))))</x:f>
        <x:v>10-&lt;20</x:v>
      </x:c>
    </x:row>
    <x:row r="6239">
      <x:c r="A6239" t="str">
        <x:v>SYN0006238</x:v>
      </x:c>
      <x:c r="B6239" s="12" t="n">
        <x:v>42205</x:v>
      </x:c>
      <x:c r="C6239" s="18" t="n">
        <x:v>33053</x:v>
      </x:c>
      <x:c r="D6239" s="18" t="n">
        <x:v>46123</x:v>
      </x:c>
      <x:c r="E6239" s="18" t="n">
        <x:v>19.58</x:v>
      </x:c>
      <x:c r="F6239" s="18" t="n">
        <x:v>11.43</x:v>
      </x:c>
      <x:c r="G6239" t="n">
        <x:v>60</x:v>
      </x:c>
      <x:c r="H6239" t="str">
        <x:v>C</x:v>
      </x:c>
      <x:c r="I6239" t="str">
        <x:v>10+ years</x:v>
      </x:c>
      <x:c r="J6239" t="str">
        <x:v>MORTGAGE</x:v>
      </x:c>
      <x:c r="K6239" t="str">
        <x:v>debt_consolidation</x:v>
      </x:c>
      <x:c r="L6239" t="n">
        <x:v>0</x:v>
      </x:c>
      <x:c r="M6239" t="n">
        <x:v>0</x:v>
      </x:c>
      <x:c r="N6239" t="str">
        <x:v>Fully Paid</x:v>
      </x:c>
      <x:c r="O6239" t="str">
        <x:f>IF(D6239="","Unknown",IF(D6239&lt;25000,"&lt;$25k",IF(D6239&lt;50000,"$25k-$50k",IF(D6239&lt;75000,"$50k-$75k",IF(D6239&lt;100000,"$75k-$100k","$100k+")))))</x:f>
        <x:v>$25k-$50k</x:v>
      </x:c>
      <x:c r="P6239" t="str">
        <x:f>IF(E6239="","Unknown",IF(E6239&lt;10,"&lt;10",IF(E6239&lt;20,"10-&lt;20",IF(E6239&lt;25,"20-&lt;25",IF(E6239&lt;35,"25-&lt;35","35+")))))</x:f>
        <x:v>10-&lt;20</x:v>
      </x:c>
    </x:row>
    <x:row r="6240">
      <x:c r="A6240" t="str">
        <x:v>SYN0006239</x:v>
      </x:c>
      <x:c r="B6240" s="12" t="n">
        <x:v>43405</x:v>
      </x:c>
      <x:c r="C6240" s="18" t="n">
        <x:v>15039</x:v>
      </x:c>
      <x:c r="D6240" s="18" t="n">
        <x:v>83316</x:v>
      </x:c>
      <x:c r="E6240" s="18" t="n">
        <x:v>15.48</x:v>
      </x:c>
      <x:c r="F6240" s="18" t="n">
        <x:v>16.93</x:v>
      </x:c>
      <x:c r="G6240" t="n">
        <x:v>36</x:v>
      </x:c>
      <x:c r="H6240" t="str">
        <x:v>E</x:v>
      </x:c>
      <x:c r="I6240" t="str">
        <x:v>&lt;1 year</x:v>
      </x:c>
      <x:c r="J6240" t="str">
        <x:v>MORTGAGE</x:v>
      </x:c>
      <x:c r="K6240" t="str">
        <x:v>debt_consolidation</x:v>
      </x:c>
      <x:c r="L6240" t="n">
        <x:v>1</x:v>
      </x:c>
      <x:c r="M6240" t="n">
        <x:v>0</x:v>
      </x:c>
      <x:c r="N6240" t="str">
        <x:v>Fully Paid</x:v>
      </x:c>
      <x:c r="O6240" t="str">
        <x:f>IF(D6240="","Unknown",IF(D6240&lt;25000,"&lt;$25k",IF(D6240&lt;50000,"$25k-$50k",IF(D6240&lt;75000,"$50k-$75k",IF(D6240&lt;100000,"$75k-$100k","$100k+")))))</x:f>
        <x:v>$75k-$100k</x:v>
      </x:c>
      <x:c r="P6240" t="str">
        <x:f>IF(E6240="","Unknown",IF(E6240&lt;10,"&lt;10",IF(E6240&lt;20,"10-&lt;20",IF(E6240&lt;25,"20-&lt;25",IF(E6240&lt;35,"25-&lt;35","35+")))))</x:f>
        <x:v>10-&lt;20</x:v>
      </x:c>
    </x:row>
    <x:row r="6241">
      <x:c r="A6241" t="str">
        <x:v>SYN0006240</x:v>
      </x:c>
      <x:c r="B6241" s="12" t="n">
        <x:v>42955</x:v>
      </x:c>
      <x:c r="C6241" s="18" t="n">
        <x:v>13180</x:v>
      </x:c>
      <x:c r="D6241" s="18" t="n">
        <x:v>44468</x:v>
      </x:c>
      <x:c r="E6241" s="18" t="n">
        <x:v>14.53</x:v>
      </x:c>
      <x:c r="F6241" s="18" t="n">
        <x:v>14.08</x:v>
      </x:c>
      <x:c r="G6241" t="n">
        <x:v>60</x:v>
      </x:c>
      <x:c r="H6241" t="str">
        <x:v>D</x:v>
      </x:c>
      <x:c r="I6241" t="str">
        <x:v>7-9 years</x:v>
      </x:c>
      <x:c r="J6241" t="str">
        <x:v>MORTGAGE</x:v>
      </x:c>
      <x:c r="K6241" t="str">
        <x:v>other</x:v>
      </x:c>
      <x:c r="L6241" t="n">
        <x:v>0</x:v>
      </x:c>
      <x:c r="M6241" t="n">
        <x:v>0</x:v>
      </x:c>
      <x:c r="N6241" t="str">
        <x:v>Fully Paid</x:v>
      </x:c>
      <x:c r="O6241" t="str">
        <x:f>IF(D6241="","Unknown",IF(D6241&lt;25000,"&lt;$25k",IF(D6241&lt;50000,"$25k-$50k",IF(D6241&lt;75000,"$50k-$75k",IF(D6241&lt;100000,"$75k-$100k","$100k+")))))</x:f>
        <x:v>$25k-$50k</x:v>
      </x:c>
      <x:c r="P6241" t="str">
        <x:f>IF(E6241="","Unknown",IF(E6241&lt;10,"&lt;10",IF(E6241&lt;20,"10-&lt;20",IF(E6241&lt;25,"20-&lt;25",IF(E6241&lt;35,"25-&lt;35","35+")))))</x:f>
        <x:v>10-&lt;20</x:v>
      </x:c>
    </x:row>
    <x:row r="6242">
      <x:c r="A6242" t="str">
        <x:v>SYN0006241</x:v>
      </x:c>
      <x:c r="B6242" s="12" t="n">
        <x:v>41575</x:v>
      </x:c>
      <x:c r="C6242" s="18" t="n">
        <x:v>15412</x:v>
      </x:c>
      <x:c r="D6242" s="18" t="n">
        <x:v>34507</x:v>
      </x:c>
      <x:c r="E6242" s="18" t="n">
        <x:v>16.63</x:v>
      </x:c>
      <x:c r="F6242" s="18" t="n">
        <x:v>14.51</x:v>
      </x:c>
      <x:c r="G6242" t="n">
        <x:v>36</x:v>
      </x:c>
      <x:c r="H6242" t="str">
        <x:v>D</x:v>
      </x:c>
      <x:c r="I6242" t="str">
        <x:v>4-6 years</x:v>
      </x:c>
      <x:c r="J6242" t="str">
        <x:v>MORTGAGE</x:v>
      </x:c>
      <x:c r="K6242" t="str">
        <x:v>debt_consolidation</x:v>
      </x:c>
      <x:c r="L6242" t="n">
        <x:v>0</x:v>
      </x:c>
      <x:c r="M6242" t="n">
        <x:v>0</x:v>
      </x:c>
      <x:c r="N6242" t="str">
        <x:v>Fully Paid</x:v>
      </x:c>
      <x:c r="O6242" t="str">
        <x:f>IF(D6242="","Unknown",IF(D6242&lt;25000,"&lt;$25k",IF(D6242&lt;50000,"$25k-$50k",IF(D6242&lt;75000,"$50k-$75k",IF(D6242&lt;100000,"$75k-$100k","$100k+")))))</x:f>
        <x:v>$25k-$50k</x:v>
      </x:c>
      <x:c r="P6242" t="str">
        <x:f>IF(E6242="","Unknown",IF(E6242&lt;10,"&lt;10",IF(E6242&lt;20,"10-&lt;20",IF(E6242&lt;25,"20-&lt;25",IF(E6242&lt;35,"25-&lt;35","35+")))))</x:f>
        <x:v>10-&lt;20</x:v>
      </x:c>
    </x:row>
    <x:row r="6243">
      <x:c r="A6243" t="str">
        <x:v>SYN0006242</x:v>
      </x:c>
      <x:c r="B6243" s="12" t="n">
        <x:v>42475</x:v>
      </x:c>
      <x:c r="C6243" s="18" t="n">
        <x:v>13054</x:v>
      </x:c>
      <x:c r="D6243" s="18" t="n">
        <x:v>12000</x:v>
      </x:c>
      <x:c r="E6243" s="18" t="n">
        <x:v>18.22</x:v>
      </x:c>
      <x:c r="F6243" s="18" t="n">
        <x:v>16.08</x:v>
      </x:c>
      <x:c r="G6243" t="n">
        <x:v>36</x:v>
      </x:c>
      <x:c r="H6243" t="str">
        <x:v>E</x:v>
      </x:c>
      <x:c r="I6243" t="str">
        <x:v>7-9 years</x:v>
      </x:c>
      <x:c r="J6243" t="str">
        <x:v>MORTGAGE</x:v>
      </x:c>
      <x:c r="K6243" t="str">
        <x:v>debt_consolidation</x:v>
      </x:c>
      <x:c r="L6243" t="n">
        <x:v>0</x:v>
      </x:c>
      <x:c r="M6243" t="n">
        <x:v>0</x:v>
      </x:c>
      <x:c r="N6243" t="str">
        <x:v>Fully Paid</x:v>
      </x:c>
      <x:c r="O6243" t="str">
        <x:f>IF(D6243="","Unknown",IF(D6243&lt;25000,"&lt;$25k",IF(D6243&lt;50000,"$25k-$50k",IF(D6243&lt;75000,"$50k-$75k",IF(D6243&lt;100000,"$75k-$100k","$100k+")))))</x:f>
        <x:v>&lt;$25k</x:v>
      </x:c>
      <x:c r="P6243" t="str">
        <x:f>IF(E6243="","Unknown",IF(E6243&lt;10,"&lt;10",IF(E6243&lt;20,"10-&lt;20",IF(E6243&lt;25,"20-&lt;25",IF(E6243&lt;35,"25-&lt;35","35+")))))</x:f>
        <x:v>10-&lt;20</x:v>
      </x:c>
    </x:row>
    <x:row r="6244">
      <x:c r="A6244" t="str">
        <x:v>SYN0006243</x:v>
      </x:c>
      <x:c r="B6244" s="12" t="n">
        <x:v>43405</x:v>
      </x:c>
      <x:c r="C6244" s="18" t="n">
        <x:v>11463</x:v>
      </x:c>
      <x:c r="D6244" s="18" t="n">
        <x:v>62708</x:v>
      </x:c>
      <x:c r="E6244" s="18" t="n">
        <x:v>16.88</x:v>
      </x:c>
      <x:c r="F6244" s="18" t="n">
        <x:v>13.45</x:v>
      </x:c>
      <x:c r="G6244" t="n">
        <x:v>36</x:v>
      </x:c>
      <x:c r="H6244" t="str">
        <x:v>D</x:v>
      </x:c>
      <x:c r="I6244" t="str">
        <x:v>10+ years</x:v>
      </x:c>
      <x:c r="J6244" t="str">
        <x:v>OWN</x:v>
      </x:c>
      <x:c r="K6244" t="str">
        <x:v>debt_consolidation</x:v>
      </x:c>
      <x:c r="L6244" t="n">
        <x:v>0</x:v>
      </x:c>
      <x:c r="M6244" t="n">
        <x:v>1</x:v>
      </x:c>
      <x:c r="N6244" t="str">
        <x:v>Charged Off</x:v>
      </x:c>
      <x:c r="O6244" t="str">
        <x:f>IF(D6244="","Unknown",IF(D6244&lt;25000,"&lt;$25k",IF(D6244&lt;50000,"$25k-$50k",IF(D6244&lt;75000,"$50k-$75k",IF(D6244&lt;100000,"$75k-$100k","$100k+")))))</x:f>
        <x:v>$50k-$75k</x:v>
      </x:c>
      <x:c r="P6244" t="str">
        <x:f>IF(E6244="","Unknown",IF(E6244&lt;10,"&lt;10",IF(E6244&lt;20,"10-&lt;20",IF(E6244&lt;25,"20-&lt;25",IF(E6244&lt;35,"25-&lt;35","35+")))))</x:f>
        <x:v>10-&lt;20</x:v>
      </x:c>
    </x:row>
    <x:row r="6245">
      <x:c r="A6245" t="str">
        <x:v>SYN0006244</x:v>
      </x:c>
      <x:c r="B6245" s="12" t="n">
        <x:v>41695</x:v>
      </x:c>
      <x:c r="C6245" s="18" t="n">
        <x:v>5146</x:v>
      </x:c>
      <x:c r="D6245" s="18" t="n">
        <x:v>41126</x:v>
      </x:c>
      <x:c r="E6245" s="18" t="n">
        <x:v>13.57</x:v>
      </x:c>
      <x:c r="F6245" s="18" t="n">
        <x:v>6.49</x:v>
      </x:c>
      <x:c r="G6245" t="n">
        <x:v>36</x:v>
      </x:c>
      <x:c r="H6245" t="str">
        <x:v>A</x:v>
      </x:c>
      <x:c r="I6245" t="str">
        <x:v>10+ years</x:v>
      </x:c>
      <x:c r="J6245" t="str">
        <x:v>MORTGAGE</x:v>
      </x:c>
      <x:c r="K6245" t="str">
        <x:v>debt_consolidation</x:v>
      </x:c>
      <x:c r="L6245" t="n">
        <x:v>0</x:v>
      </x:c>
      <x:c r="M6245" t="n">
        <x:v>0</x:v>
      </x:c>
      <x:c r="N6245" t="str">
        <x:v>Fully Paid</x:v>
      </x:c>
      <x:c r="O6245" t="str">
        <x:f>IF(D6245="","Unknown",IF(D6245&lt;25000,"&lt;$25k",IF(D6245&lt;50000,"$25k-$50k",IF(D6245&lt;75000,"$50k-$75k",IF(D6245&lt;100000,"$75k-$100k","$100k+")))))</x:f>
        <x:v>$25k-$50k</x:v>
      </x:c>
      <x:c r="P6245" t="str">
        <x:f>IF(E6245="","Unknown",IF(E6245&lt;10,"&lt;10",IF(E6245&lt;20,"10-&lt;20",IF(E6245&lt;25,"20-&lt;25",IF(E6245&lt;35,"25-&lt;35","35+")))))</x:f>
        <x:v>10-&lt;20</x:v>
      </x:c>
    </x:row>
    <x:row r="6246">
      <x:c r="A6246" t="str">
        <x:v>SYN0006245</x:v>
      </x:c>
      <x:c r="B6246" s="12" t="n">
        <x:v>42685</x:v>
      </x:c>
      <x:c r="C6246" s="18" t="n">
        <x:v>6245</x:v>
      </x:c>
      <x:c r="D6246" s="18" t="n">
        <x:v>35367</x:v>
      </x:c>
      <x:c r="E6246" s="18" t="n">
        <x:v>13.38</x:v>
      </x:c>
      <x:c r="F6246" s="18" t="n">
        <x:v>7.75</x:v>
      </x:c>
      <x:c r="G6246" t="n">
        <x:v>36</x:v>
      </x:c>
      <x:c r="H6246" t="str">
        <x:v>A</x:v>
      </x:c>
      <x:c r="I6246" t="str">
        <x:v>4-6 years</x:v>
      </x:c>
      <x:c r="J6246" t="str">
        <x:v>MORTGAGE</x:v>
      </x:c>
      <x:c r="K6246" t="str">
        <x:v>debt_consolidation</x:v>
      </x:c>
      <x:c r="L6246" t="n">
        <x:v>0</x:v>
      </x:c>
      <x:c r="M6246" t="n">
        <x:v>0</x:v>
      </x:c>
      <x:c r="N6246" t="str">
        <x:v>Fully Paid</x:v>
      </x:c>
      <x:c r="O6246" t="str">
        <x:f>IF(D6246="","Unknown",IF(D6246&lt;25000,"&lt;$25k",IF(D6246&lt;50000,"$25k-$50k",IF(D6246&lt;75000,"$50k-$75k",IF(D6246&lt;100000,"$75k-$100k","$100k+")))))</x:f>
        <x:v>$25k-$50k</x:v>
      </x:c>
      <x:c r="P6246" t="str">
        <x:f>IF(E6246="","Unknown",IF(E6246&lt;10,"&lt;10",IF(E6246&lt;20,"10-&lt;20",IF(E6246&lt;25,"20-&lt;25",IF(E6246&lt;35,"25-&lt;35","35+")))))</x:f>
        <x:v>10-&lt;20</x:v>
      </x:c>
    </x:row>
    <x:row r="6247">
      <x:c r="A6247" t="str">
        <x:v>SYN0006246</x:v>
      </x:c>
      <x:c r="B6247" s="12" t="n">
        <x:v>43315</x:v>
      </x:c>
      <x:c r="C6247" s="18" t="n">
        <x:v>14644</x:v>
      </x:c>
      <x:c r="D6247" s="18" t="n">
        <x:v>84809</x:v>
      </x:c>
      <x:c r="E6247" s="18" t="n">
        <x:v>32.67</x:v>
      </x:c>
      <x:c r="F6247" s="18" t="n">
        <x:v>5.47</x:v>
      </x:c>
      <x:c r="G6247" t="n">
        <x:v>36</x:v>
      </x:c>
      <x:c r="H6247" t="str">
        <x:v>A</x:v>
      </x:c>
      <x:c r="I6247" t="str">
        <x:v>7-9 years</x:v>
      </x:c>
      <x:c r="J6247" t="str">
        <x:v>RENT</x:v>
      </x:c>
      <x:c r="K6247" t="str">
        <x:v>debt_consolidation</x:v>
      </x:c>
      <x:c r="L6247" t="n">
        <x:v>0</x:v>
      </x:c>
      <x:c r="M6247" t="n">
        <x:v>0</x:v>
      </x:c>
      <x:c r="N6247" t="str">
        <x:v>Fully Paid</x:v>
      </x:c>
      <x:c r="O6247" t="str">
        <x:f>IF(D6247="","Unknown",IF(D6247&lt;25000,"&lt;$25k",IF(D6247&lt;50000,"$25k-$50k",IF(D6247&lt;75000,"$50k-$75k",IF(D6247&lt;100000,"$75k-$100k","$100k+")))))</x:f>
        <x:v>$75k-$100k</x:v>
      </x:c>
      <x:c r="P6247" t="str">
        <x:f>IF(E6247="","Unknown",IF(E6247&lt;10,"&lt;10",IF(E6247&lt;20,"10-&lt;20",IF(E6247&lt;25,"20-&lt;25",IF(E6247&lt;35,"25-&lt;35","35+")))))</x:f>
        <x:v>25-&lt;35</x:v>
      </x:c>
    </x:row>
    <x:row r="6248">
      <x:c r="A6248" t="str">
        <x:v>SYN0006247</x:v>
      </x:c>
      <x:c r="B6248" s="12" t="n">
        <x:v>41635</x:v>
      </x:c>
      <x:c r="C6248" s="18" t="n">
        <x:v>16451</x:v>
      </x:c>
      <x:c r="D6248" s="18" t="n">
        <x:v>47163</x:v>
      </x:c>
      <x:c r="E6248" s="18" t="n">
        <x:v>31.84</x:v>
      </x:c>
      <x:c r="F6248" s="18" t="n">
        <x:v>22.07</x:v>
      </x:c>
      <x:c r="G6248" t="n">
        <x:v>36</x:v>
      </x:c>
      <x:c r="H6248" t="str">
        <x:v>F</x:v>
      </x:c>
      <x:c r="I6248" t="str">
        <x:v>1-3 years</x:v>
      </x:c>
      <x:c r="J6248" t="str">
        <x:v>MORTGAGE</x:v>
      </x:c>
      <x:c r="K6248" t="str">
        <x:v>debt_consolidation</x:v>
      </x:c>
      <x:c r="L6248" t="n">
        <x:v>0</x:v>
      </x:c>
      <x:c r="M6248" t="n">
        <x:v>0</x:v>
      </x:c>
      <x:c r="N6248" t="str">
        <x:v>Fully Paid</x:v>
      </x:c>
      <x:c r="O6248" t="str">
        <x:f>IF(D6248="","Unknown",IF(D6248&lt;25000,"&lt;$25k",IF(D6248&lt;50000,"$25k-$50k",IF(D6248&lt;75000,"$50k-$75k",IF(D6248&lt;100000,"$75k-$100k","$100k+")))))</x:f>
        <x:v>$25k-$50k</x:v>
      </x:c>
      <x:c r="P6248" t="str">
        <x:f>IF(E6248="","Unknown",IF(E6248&lt;10,"&lt;10",IF(E6248&lt;20,"10-&lt;20",IF(E6248&lt;25,"20-&lt;25",IF(E6248&lt;35,"25-&lt;35","35+")))))</x:f>
        <x:v>25-&lt;35</x:v>
      </x:c>
    </x:row>
    <x:row r="6249">
      <x:c r="A6249" t="str">
        <x:v>SYN0006248</x:v>
      </x:c>
      <x:c r="B6249" s="12" t="n">
        <x:v>42955</x:v>
      </x:c>
      <x:c r="C6249" s="18" t="n">
        <x:v>31753</x:v>
      </x:c>
      <x:c r="D6249" s="18" t="n">
        <x:v>65014</x:v>
      </x:c>
      <x:c r="E6249" s="18" t="n">
        <x:v>27.26</x:v>
      </x:c>
      <x:c r="F6249" s="18" t="n">
        <x:v>10.52</x:v>
      </x:c>
      <x:c r="G6249" t="n">
        <x:v>36</x:v>
      </x:c>
      <x:c r="H6249" t="str">
        <x:v>B</x:v>
      </x:c>
      <x:c r="I6249" t="str">
        <x:v>10+ years</x:v>
      </x:c>
      <x:c r="J6249" t="str">
        <x:v>OWN</x:v>
      </x:c>
      <x:c r="K6249" t="str">
        <x:v>home_improvement</x:v>
      </x:c>
      <x:c r="L6249" t="n">
        <x:v>0</x:v>
      </x:c>
      <x:c r="M6249" t="n">
        <x:v>1</x:v>
      </x:c>
      <x:c r="N6249" t="str">
        <x:v>Charged Off</x:v>
      </x:c>
      <x:c r="O6249" t="str">
        <x:f>IF(D6249="","Unknown",IF(D6249&lt;25000,"&lt;$25k",IF(D6249&lt;50000,"$25k-$50k",IF(D6249&lt;75000,"$50k-$75k",IF(D6249&lt;100000,"$75k-$100k","$100k+")))))</x:f>
        <x:v>$50k-$75k</x:v>
      </x:c>
      <x:c r="P6249" t="str">
        <x:f>IF(E6249="","Unknown",IF(E6249&lt;10,"&lt;10",IF(E6249&lt;20,"10-&lt;20",IF(E6249&lt;25,"20-&lt;25",IF(E6249&lt;35,"25-&lt;35","35+")))))</x:f>
        <x:v>25-&lt;35</x:v>
      </x:c>
    </x:row>
    <x:row r="6250">
      <x:c r="A6250" t="str">
        <x:v>SYN0006249</x:v>
      </x:c>
      <x:c r="B6250" s="12" t="n">
        <x:v>43105</x:v>
      </x:c>
      <x:c r="C6250" s="18" t="n">
        <x:v>9683</x:v>
      </x:c>
      <x:c r="D6250" s="18" t="n">
        <x:v>30104</x:v>
      </x:c>
      <x:c r="E6250" s="18" t="n">
        <x:v>17.68</x:v>
      </x:c>
      <x:c r="F6250" s="18" t="n">
        <x:v>11.07</x:v>
      </x:c>
      <x:c r="G6250" t="n">
        <x:v>36</x:v>
      </x:c>
      <x:c r="H6250" t="str">
        <x:v>C</x:v>
      </x:c>
      <x:c r="I6250" t="str">
        <x:v>1-3 years</x:v>
      </x:c>
      <x:c r="J6250" t="str">
        <x:v>MORTGAGE</x:v>
      </x:c>
      <x:c r="K6250" t="str">
        <x:v>debt_consolidation</x:v>
      </x:c>
      <x:c r="L6250" t="n">
        <x:v>0</x:v>
      </x:c>
      <x:c r="M6250" t="n">
        <x:v>0</x:v>
      </x:c>
      <x:c r="N6250" t="str">
        <x:v>Fully Paid</x:v>
      </x:c>
      <x:c r="O6250" t="str">
        <x:f>IF(D6250="","Unknown",IF(D6250&lt;25000,"&lt;$25k",IF(D6250&lt;50000,"$25k-$50k",IF(D6250&lt;75000,"$50k-$75k",IF(D6250&lt;100000,"$75k-$100k","$100k+")))))</x:f>
        <x:v>$25k-$50k</x:v>
      </x:c>
      <x:c r="P6250" t="str">
        <x:f>IF(E6250="","Unknown",IF(E6250&lt;10,"&lt;10",IF(E6250&lt;20,"10-&lt;20",IF(E6250&lt;25,"20-&lt;25",IF(E6250&lt;35,"25-&lt;35","35+")))))</x:f>
        <x:v>10-&lt;20</x:v>
      </x:c>
    </x:row>
    <x:row r="6251">
      <x:c r="A6251" t="str">
        <x:v>SYN0006250</x:v>
      </x:c>
      <x:c r="B6251" s="12" t="n">
        <x:v>42805</x:v>
      </x:c>
      <x:c r="C6251" s="18" t="n">
        <x:v>9801</x:v>
      </x:c>
      <x:c r="D6251" s="18" t="n">
        <x:v>51531</x:v>
      </x:c>
      <x:c r="E6251" s="18" t="n">
        <x:v>9.84</x:v>
      </x:c>
      <x:c r="F6251" s="18" t="n">
        <x:v>11.18</x:v>
      </x:c>
      <x:c r="G6251" t="n">
        <x:v>36</x:v>
      </x:c>
      <x:c r="H6251" t="str">
        <x:v>C</x:v>
      </x:c>
      <x:c r="I6251" t="str">
        <x:v>4-6 years</x:v>
      </x:c>
      <x:c r="J6251" t="str">
        <x:v>MORTGAGE</x:v>
      </x:c>
      <x:c r="K6251" t="str">
        <x:v>debt_consolidation</x:v>
      </x:c>
      <x:c r="L6251" t="n">
        <x:v>0</x:v>
      </x:c>
      <x:c r="M6251" t="n">
        <x:v>0</x:v>
      </x:c>
      <x:c r="N6251" t="str">
        <x:v>Fully Paid</x:v>
      </x:c>
      <x:c r="O6251" t="str">
        <x:f>IF(D6251="","Unknown",IF(D6251&lt;25000,"&lt;$25k",IF(D6251&lt;50000,"$25k-$50k",IF(D6251&lt;75000,"$50k-$75k",IF(D6251&lt;100000,"$75k-$100k","$100k+")))))</x:f>
        <x:v>$50k-$75k</x:v>
      </x:c>
      <x:c r="P6251" t="str">
        <x:f>IF(E6251="","Unknown",IF(E6251&lt;10,"&lt;10",IF(E6251&lt;20,"10-&lt;20",IF(E6251&lt;25,"20-&lt;25",IF(E6251&lt;35,"25-&lt;35","35+")))))</x:f>
        <x:v>&lt;10</x:v>
      </x:c>
    </x:row>
    <x:row r="6252">
      <x:c r="A6252" t="str">
        <x:v>SYN0006251</x:v>
      </x:c>
      <x:c r="B6252" s="12" t="n">
        <x:v>43135</x:v>
      </x:c>
      <x:c r="C6252" s="18" t="n">
        <x:v>12368</x:v>
      </x:c>
      <x:c r="D6252" s="18" t="n">
        <x:v>110400</x:v>
      </x:c>
      <x:c r="E6252" s="18" t="n">
        <x:v>32.26</x:v>
      </x:c>
      <x:c r="F6252" s="18" t="n">
        <x:v>12.36</x:v>
      </x:c>
      <x:c r="G6252" t="n">
        <x:v>36</x:v>
      </x:c>
      <x:c r="H6252" t="str">
        <x:v>C</x:v>
      </x:c>
      <x:c r="I6252" t="str">
        <x:v>1-3 years</x:v>
      </x:c>
      <x:c r="J6252" t="str">
        <x:v>MORTGAGE</x:v>
      </x:c>
      <x:c r="K6252" t="str">
        <x:v>major_purchase</x:v>
      </x:c>
      <x:c r="L6252" t="n">
        <x:v>1</x:v>
      </x:c>
      <x:c r="M6252" t="n">
        <x:v>0</x:v>
      </x:c>
      <x:c r="N6252" t="str">
        <x:v>Fully Paid</x:v>
      </x:c>
      <x:c r="O6252" t="str">
        <x:f>IF(D6252="","Unknown",IF(D6252&lt;25000,"&lt;$25k",IF(D6252&lt;50000,"$25k-$50k",IF(D6252&lt;75000,"$50k-$75k",IF(D6252&lt;100000,"$75k-$100k","$100k+")))))</x:f>
        <x:v>$100k+</x:v>
      </x:c>
      <x:c r="P6252" t="str">
        <x:f>IF(E6252="","Unknown",IF(E6252&lt;10,"&lt;10",IF(E6252&lt;20,"10-&lt;20",IF(E6252&lt;25,"20-&lt;25",IF(E6252&lt;35,"25-&lt;35","35+")))))</x:f>
        <x:v>25-&lt;35</x:v>
      </x:c>
    </x:row>
    <x:row r="6253">
      <x:c r="A6253" t="str">
        <x:v>SYN0006252</x:v>
      </x:c>
      <x:c r="B6253" s="12" t="n">
        <x:v>42565</x:v>
      </x:c>
      <x:c r="C6253" s="18" t="n">
        <x:v>6259</x:v>
      </x:c>
      <x:c r="D6253" s="18" t="n">
        <x:v>82710</x:v>
      </x:c>
      <x:c r="E6253" s="18" t="n">
        <x:v>24.67</x:v>
      </x:c>
      <x:c r="F6253" s="18" t="n">
        <x:v>27.24</x:v>
      </x:c>
      <x:c r="G6253" t="n">
        <x:v>60</x:v>
      </x:c>
      <x:c r="H6253" t="str">
        <x:v>G</x:v>
      </x:c>
      <x:c r="I6253" t="str">
        <x:v>10+ years</x:v>
      </x:c>
      <x:c r="J6253" t="str">
        <x:v>RENT</x:v>
      </x:c>
      <x:c r="K6253" t="str">
        <x:v>major_purchase</x:v>
      </x:c>
      <x:c r="L6253" t="n">
        <x:v>2</x:v>
      </x:c>
      <x:c r="M6253" t="n">
        <x:v>0</x:v>
      </x:c>
      <x:c r="N6253" t="str">
        <x:v>Fully Paid</x:v>
      </x:c>
      <x:c r="O6253" t="str">
        <x:f>IF(D6253="","Unknown",IF(D6253&lt;25000,"&lt;$25k",IF(D6253&lt;50000,"$25k-$50k",IF(D6253&lt;75000,"$50k-$75k",IF(D6253&lt;100000,"$75k-$100k","$100k+")))))</x:f>
        <x:v>$75k-$100k</x:v>
      </x:c>
      <x:c r="P6253" t="str">
        <x:f>IF(E6253="","Unknown",IF(E6253&lt;10,"&lt;10",IF(E6253&lt;20,"10-&lt;20",IF(E6253&lt;25,"20-&lt;25",IF(E6253&lt;35,"25-&lt;35","35+")))))</x:f>
        <x:v>20-&lt;25</x:v>
      </x:c>
    </x:row>
    <x:row r="6254">
      <x:c r="A6254" t="str">
        <x:v>SYN0006253</x:v>
      </x:c>
      <x:c r="B6254" s="12" t="n">
        <x:v>42385</x:v>
      </x:c>
      <x:c r="C6254" s="18" t="n">
        <x:v>15020</x:v>
      </x:c>
      <x:c r="D6254" s="18" t="n">
        <x:v>63278</x:v>
      </x:c>
      <x:c r="E6254" s="18" t="n">
        <x:v>14.07</x:v>
      </x:c>
      <x:c r="F6254" s="18" t="n">
        <x:v>14.79</x:v>
      </x:c>
      <x:c r="G6254" t="n">
        <x:v>36</x:v>
      </x:c>
      <x:c r="H6254" t="str">
        <x:v>D</x:v>
      </x:c>
      <x:c r="I6254" t="str">
        <x:v>7-9 years</x:v>
      </x:c>
      <x:c r="J6254" t="str">
        <x:v>MORTGAGE</x:v>
      </x:c>
      <x:c r="K6254" t="str">
        <x:v>home_improvement</x:v>
      </x:c>
      <x:c r="L6254" t="n">
        <x:v>0</x:v>
      </x:c>
      <x:c r="M6254" t="n">
        <x:v>0</x:v>
      </x:c>
      <x:c r="N6254" t="str">
        <x:v>Fully Paid</x:v>
      </x:c>
      <x:c r="O6254" t="str">
        <x:f>IF(D6254="","Unknown",IF(D6254&lt;25000,"&lt;$25k",IF(D6254&lt;50000,"$25k-$50k",IF(D6254&lt;75000,"$50k-$75k",IF(D6254&lt;100000,"$75k-$100k","$100k+")))))</x:f>
        <x:v>$50k-$75k</x:v>
      </x:c>
      <x:c r="P6254" t="str">
        <x:f>IF(E6254="","Unknown",IF(E6254&lt;10,"&lt;10",IF(E6254&lt;20,"10-&lt;20",IF(E6254&lt;25,"20-&lt;25",IF(E6254&lt;35,"25-&lt;35","35+")))))</x:f>
        <x:v>10-&lt;20</x:v>
      </x:c>
    </x:row>
    <x:row r="6255">
      <x:c r="A6255" t="str">
        <x:v>SYN0006254</x:v>
      </x:c>
      <x:c r="B6255" s="12" t="n">
        <x:v>42685</x:v>
      </x:c>
      <x:c r="C6255" s="18" t="n">
        <x:v>7255</x:v>
      </x:c>
      <x:c r="D6255" s="18" t="n">
        <x:v>79003</x:v>
      </x:c>
      <x:c r="E6255" s="18" t="n">
        <x:v>27.41</x:v>
      </x:c>
      <x:c r="F6255" s="18" t="n">
        <x:v>26.97</x:v>
      </x:c>
      <x:c r="G6255" t="n">
        <x:v>60</x:v>
      </x:c>
      <x:c r="H6255" t="str">
        <x:v>G</x:v>
      </x:c>
      <x:c r="I6255" t="str">
        <x:v>1-3 years</x:v>
      </x:c>
      <x:c r="J6255" t="str">
        <x:v>OWN</x:v>
      </x:c>
      <x:c r="K6255" t="str">
        <x:v>medical</x:v>
      </x:c>
      <x:c r="L6255" t="n">
        <x:v>0</x:v>
      </x:c>
      <x:c r="M6255" t="n">
        <x:v>0</x:v>
      </x:c>
      <x:c r="N6255" t="str">
        <x:v>Fully Paid</x:v>
      </x:c>
      <x:c r="O6255" t="str">
        <x:f>IF(D6255="","Unknown",IF(D6255&lt;25000,"&lt;$25k",IF(D6255&lt;50000,"$25k-$50k",IF(D6255&lt;75000,"$50k-$75k",IF(D6255&lt;100000,"$75k-$100k","$100k+")))))</x:f>
        <x:v>$75k-$100k</x:v>
      </x:c>
      <x:c r="P6255" t="str">
        <x:f>IF(E6255="","Unknown",IF(E6255&lt;10,"&lt;10",IF(E6255&lt;20,"10-&lt;20",IF(E6255&lt;25,"20-&lt;25",IF(E6255&lt;35,"25-&lt;35","35+")))))</x:f>
        <x:v>25-&lt;35</x:v>
      </x:c>
    </x:row>
    <x:row r="6256">
      <x:c r="A6256" t="str">
        <x:v>SYN0006255</x:v>
      </x:c>
      <x:c r="B6256" s="12" t="n">
        <x:v>42565</x:v>
      </x:c>
      <x:c r="C6256" s="18" t="n">
        <x:v>12961</x:v>
      </x:c>
      <x:c r="D6256" s="18" t="n">
        <x:v>37017</x:v>
      </x:c>
      <x:c r="E6256" s="18" t="n">
        <x:v>1.03</x:v>
      </x:c>
      <x:c r="F6256" s="18" t="n">
        <x:v>12.36</x:v>
      </x:c>
      <x:c r="G6256" t="n">
        <x:v>36</x:v>
      </x:c>
      <x:c r="H6256" t="str">
        <x:v>C</x:v>
      </x:c>
      <x:c r="I6256" t="str">
        <x:v>7-9 years</x:v>
      </x:c>
      <x:c r="J6256" t="str">
        <x:v>OWN</x:v>
      </x:c>
      <x:c r="K6256" t="str">
        <x:v>debt_consolidation</x:v>
      </x:c>
      <x:c r="L6256" t="n">
        <x:v>0</x:v>
      </x:c>
      <x:c r="M6256" t="n">
        <x:v>0</x:v>
      </x:c>
      <x:c r="N6256" t="str">
        <x:v>Fully Paid</x:v>
      </x:c>
      <x:c r="O6256" t="str">
        <x:f>IF(D6256="","Unknown",IF(D6256&lt;25000,"&lt;$25k",IF(D6256&lt;50000,"$25k-$50k",IF(D6256&lt;75000,"$50k-$75k",IF(D6256&lt;100000,"$75k-$100k","$100k+")))))</x:f>
        <x:v>$25k-$50k</x:v>
      </x:c>
      <x:c r="P6256" t="str">
        <x:f>IF(E6256="","Unknown",IF(E6256&lt;10,"&lt;10",IF(E6256&lt;20,"10-&lt;20",IF(E6256&lt;25,"20-&lt;25",IF(E6256&lt;35,"25-&lt;35","35+")))))</x:f>
        <x:v>&lt;10</x:v>
      </x:c>
    </x:row>
    <x:row r="6257">
      <x:c r="A6257" t="str">
        <x:v>SYN0006256</x:v>
      </x:c>
      <x:c r="B6257" s="12" t="n">
        <x:v>41335</x:v>
      </x:c>
      <x:c r="C6257" s="18" t="n">
        <x:v>19398</x:v>
      </x:c>
      <x:c r="D6257" s="18" t="n">
        <x:v>72302</x:v>
      </x:c>
      <x:c r="E6257" s="18" t="n">
        <x:v>12.86</x:v>
      </x:c>
      <x:c r="F6257" s="18" t="n">
        <x:v>6.48</x:v>
      </x:c>
      <x:c r="G6257" t="n">
        <x:v>36</x:v>
      </x:c>
      <x:c r="H6257" t="str">
        <x:v>A</x:v>
      </x:c>
      <x:c r="I6257" t="str">
        <x:v>4-6 years</x:v>
      </x:c>
      <x:c r="J6257" t="str">
        <x:v>MORTGAGE</x:v>
      </x:c>
      <x:c r="K6257" t="str">
        <x:v>home_improvement</x:v>
      </x:c>
      <x:c r="L6257" t="n">
        <x:v>0</x:v>
      </x:c>
      <x:c r="M6257" t="n">
        <x:v>0</x:v>
      </x:c>
      <x:c r="N6257" t="str">
        <x:v>Fully Paid</x:v>
      </x:c>
      <x:c r="O6257" t="str">
        <x:f>IF(D6257="","Unknown",IF(D6257&lt;25000,"&lt;$25k",IF(D6257&lt;50000,"$25k-$50k",IF(D6257&lt;75000,"$50k-$75k",IF(D6257&lt;100000,"$75k-$100k","$100k+")))))</x:f>
        <x:v>$50k-$75k</x:v>
      </x:c>
      <x:c r="P6257" t="str">
        <x:f>IF(E6257="","Unknown",IF(E6257&lt;10,"&lt;10",IF(E6257&lt;20,"10-&lt;20",IF(E6257&lt;25,"20-&lt;25",IF(E6257&lt;35,"25-&lt;35","35+")))))</x:f>
        <x:v>10-&lt;20</x:v>
      </x:c>
    </x:row>
    <x:row r="6258">
      <x:c r="A6258" t="str">
        <x:v>SYN0006257</x:v>
      </x:c>
      <x:c r="B6258" s="12" t="n">
        <x:v>43105</x:v>
      </x:c>
      <x:c r="C6258" s="18" t="n">
        <x:v>7449</x:v>
      </x:c>
      <x:c r="D6258" s="18" t="n">
        <x:v>64076</x:v>
      </x:c>
      <x:c r="E6258" s="18" t="n">
        <x:v>31.01</x:v>
      </x:c>
      <x:c r="F6258" s="18" t="n">
        <x:v>8.79</x:v>
      </x:c>
      <x:c r="G6258" t="n">
        <x:v>36</x:v>
      </x:c>
      <x:c r="H6258" t="str">
        <x:v>B</x:v>
      </x:c>
      <x:c r="I6258" t="str">
        <x:v>1-3 years</x:v>
      </x:c>
      <x:c r="J6258" t="str">
        <x:v>RENT</x:v>
      </x:c>
      <x:c r="K6258" t="str">
        <x:v>credit_card</x:v>
      </x:c>
      <x:c r="L6258" t="n">
        <x:v>0</x:v>
      </x:c>
      <x:c r="M6258" t="n">
        <x:v>0</x:v>
      </x:c>
      <x:c r="N6258" t="str">
        <x:v>Fully Paid</x:v>
      </x:c>
      <x:c r="O6258" t="str">
        <x:f>IF(D6258="","Unknown",IF(D6258&lt;25000,"&lt;$25k",IF(D6258&lt;50000,"$25k-$50k",IF(D6258&lt;75000,"$50k-$75k",IF(D6258&lt;100000,"$75k-$100k","$100k+")))))</x:f>
        <x:v>$50k-$75k</x:v>
      </x:c>
      <x:c r="P6258" t="str">
        <x:f>IF(E6258="","Unknown",IF(E6258&lt;10,"&lt;10",IF(E6258&lt;20,"10-&lt;20",IF(E6258&lt;25,"20-&lt;25",IF(E6258&lt;35,"25-&lt;35","35+")))))</x:f>
        <x:v>25-&lt;35</x:v>
      </x:c>
    </x:row>
    <x:row r="6259">
      <x:c r="A6259" t="str">
        <x:v>SYN0006258</x:v>
      </x:c>
      <x:c r="B6259" s="12" t="n">
        <x:v>42835</x:v>
      </x:c>
      <x:c r="C6259" s="18" t="n">
        <x:v>21406</x:v>
      </x:c>
      <x:c r="D6259" s="18" t="n">
        <x:v>27020</x:v>
      </x:c>
      <x:c r="E6259" s="18" t="n">
        <x:v>12.2</x:v>
      </x:c>
      <x:c r="F6259" s="18" t="n">
        <x:v>5</x:v>
      </x:c>
      <x:c r="G6259" t="n">
        <x:v>36</x:v>
      </x:c>
      <x:c r="H6259" t="str">
        <x:v>A</x:v>
      </x:c>
      <x:c r="I6259" t="str">
        <x:v>1-3 years</x:v>
      </x:c>
      <x:c r="J6259" t="str">
        <x:v>RENT</x:v>
      </x:c>
      <x:c r="K6259" t="str">
        <x:v>credit_card</x:v>
      </x:c>
      <x:c r="L6259" t="n">
        <x:v>0</x:v>
      </x:c>
      <x:c r="M6259" t="n">
        <x:v>0</x:v>
      </x:c>
      <x:c r="N6259" t="str">
        <x:v>Fully Paid</x:v>
      </x:c>
      <x:c r="O6259" t="str">
        <x:f>IF(D6259="","Unknown",IF(D6259&lt;25000,"&lt;$25k",IF(D6259&lt;50000,"$25k-$50k",IF(D6259&lt;75000,"$50k-$75k",IF(D6259&lt;100000,"$75k-$100k","$100k+")))))</x:f>
        <x:v>$25k-$50k</x:v>
      </x:c>
      <x:c r="P6259" t="str">
        <x:f>IF(E6259="","Unknown",IF(E6259&lt;10,"&lt;10",IF(E6259&lt;20,"10-&lt;20",IF(E6259&lt;25,"20-&lt;25",IF(E6259&lt;35,"25-&lt;35","35+")))))</x:f>
        <x:v>10-&lt;20</x:v>
      </x:c>
    </x:row>
    <x:row r="6260">
      <x:c r="A6260" t="str">
        <x:v>SYN0006259</x:v>
      </x:c>
      <x:c r="B6260" s="12" t="n">
        <x:v>42655</x:v>
      </x:c>
      <x:c r="C6260" s="18" t="n">
        <x:v>11856</x:v>
      </x:c>
      <x:c r="D6260" s="18" t="n">
        <x:v>82558</x:v>
      </x:c>
      <x:c r="E6260" s="18" t="n">
        <x:v>13.91</x:v>
      </x:c>
      <x:c r="F6260" s="18" t="n">
        <x:v>19.74</x:v>
      </x:c>
      <x:c r="G6260" t="n">
        <x:v>36</x:v>
      </x:c>
      <x:c r="H6260" t="str">
        <x:v>E</x:v>
      </x:c>
      <x:c r="I6260" t="str">
        <x:v>4-6 years</x:v>
      </x:c>
      <x:c r="J6260" t="str">
        <x:v>MORTGAGE</x:v>
      </x:c>
      <x:c r="K6260" t="str">
        <x:v>home_improvement</x:v>
      </x:c>
      <x:c r="L6260" t="n">
        <x:v>2</x:v>
      </x:c>
      <x:c r="M6260" t="n">
        <x:v>0</x:v>
      </x:c>
      <x:c r="N6260" t="str">
        <x:v>Fully Paid</x:v>
      </x:c>
      <x:c r="O6260" t="str">
        <x:f>IF(D6260="","Unknown",IF(D6260&lt;25000,"&lt;$25k",IF(D6260&lt;50000,"$25k-$50k",IF(D6260&lt;75000,"$50k-$75k",IF(D6260&lt;100000,"$75k-$100k","$100k+")))))</x:f>
        <x:v>$75k-$100k</x:v>
      </x:c>
      <x:c r="P6260" t="str">
        <x:f>IF(E6260="","Unknown",IF(E6260&lt;10,"&lt;10",IF(E6260&lt;20,"10-&lt;20",IF(E6260&lt;25,"20-&lt;25",IF(E6260&lt;35,"25-&lt;35","35+")))))</x:f>
        <x:v>10-&lt;20</x:v>
      </x:c>
    </x:row>
    <x:row r="6261">
      <x:c r="A6261" t="str">
        <x:v>SYN0006260</x:v>
      </x:c>
      <x:c r="B6261" s="12" t="n">
        <x:v>43135</x:v>
      </x:c>
      <x:c r="C6261" s="18" t="n">
        <x:v>17425</x:v>
      </x:c>
      <x:c r="D6261" s="18" t="n">
        <x:v>22039</x:v>
      </x:c>
      <x:c r="E6261" s="18" t="n">
        <x:v>22.71</x:v>
      </x:c>
      <x:c r="F6261" s="18" t="n">
        <x:v>14.97</x:v>
      </x:c>
      <x:c r="G6261" t="n">
        <x:v>36</x:v>
      </x:c>
      <x:c r="H6261" t="str">
        <x:v>D</x:v>
      </x:c>
      <x:c r="I6261" t="str">
        <x:v>&lt;1 year</x:v>
      </x:c>
      <x:c r="J6261" t="str">
        <x:v>OWN</x:v>
      </x:c>
      <x:c r="K6261" t="str">
        <x:v>debt_consolidation</x:v>
      </x:c>
      <x:c r="L6261" t="n">
        <x:v>2</x:v>
      </x:c>
      <x:c r="M6261" t="n">
        <x:v>0</x:v>
      </x:c>
      <x:c r="N6261" t="str">
        <x:v>Fully Paid</x:v>
      </x:c>
      <x:c r="O6261" t="str">
        <x:f>IF(D6261="","Unknown",IF(D6261&lt;25000,"&lt;$25k",IF(D6261&lt;50000,"$25k-$50k",IF(D6261&lt;75000,"$50k-$75k",IF(D6261&lt;100000,"$75k-$100k","$100k+")))))</x:f>
        <x:v>&lt;$25k</x:v>
      </x:c>
      <x:c r="P6261" t="str">
        <x:f>IF(E6261="","Unknown",IF(E6261&lt;10,"&lt;10",IF(E6261&lt;20,"10-&lt;20",IF(E6261&lt;25,"20-&lt;25",IF(E6261&lt;35,"25-&lt;35","35+")))))</x:f>
        <x:v>20-&lt;25</x:v>
      </x:c>
    </x:row>
    <x:row r="6262">
      <x:c r="A6262" t="str">
        <x:v>SYN0006261</x:v>
      </x:c>
      <x:c r="B6262" s="12" t="n">
        <x:v>42265</x:v>
      </x:c>
      <x:c r="C6262" s="18" t="n">
        <x:v>7846</x:v>
      </x:c>
      <x:c r="D6262" s="18" t="n">
        <x:v>28270</x:v>
      </x:c>
      <x:c r="E6262" s="18" t="n">
        <x:v>22.54</x:v>
      </x:c>
      <x:c r="F6262" s="18" t="n">
        <x:v>5</x:v>
      </x:c>
      <x:c r="G6262" t="n">
        <x:v>36</x:v>
      </x:c>
      <x:c r="H6262" t="str">
        <x:v>A</x:v>
      </x:c>
      <x:c r="I6262" t="str">
        <x:v>10+ years</x:v>
      </x:c>
      <x:c r="J6262" t="str">
        <x:v>RENT</x:v>
      </x:c>
      <x:c r="K6262" t="str">
        <x:v>home_improvement</x:v>
      </x:c>
      <x:c r="L6262" t="n">
        <x:v>0</x:v>
      </x:c>
      <x:c r="M6262" t="n">
        <x:v>0</x:v>
      </x:c>
      <x:c r="N6262" t="str">
        <x:v>Fully Paid</x:v>
      </x:c>
      <x:c r="O6262" t="str">
        <x:f>IF(D6262="","Unknown",IF(D6262&lt;25000,"&lt;$25k",IF(D6262&lt;50000,"$25k-$50k",IF(D6262&lt;75000,"$50k-$75k",IF(D6262&lt;100000,"$75k-$100k","$100k+")))))</x:f>
        <x:v>$25k-$50k</x:v>
      </x:c>
      <x:c r="P6262" t="str">
        <x:f>IF(E6262="","Unknown",IF(E6262&lt;10,"&lt;10",IF(E6262&lt;20,"10-&lt;20",IF(E6262&lt;25,"20-&lt;25",IF(E6262&lt;35,"25-&lt;35","35+")))))</x:f>
        <x:v>20-&lt;25</x:v>
      </x:c>
    </x:row>
    <x:row r="6263">
      <x:c r="A6263" t="str">
        <x:v>SYN0006262</x:v>
      </x:c>
      <x:c r="B6263" s="12" t="n">
        <x:v>43045</x:v>
      </x:c>
      <x:c r="C6263" s="18" t="n">
        <x:v>18370</x:v>
      </x:c>
      <x:c r="D6263" s="18" t="n">
        <x:v>48248</x:v>
      </x:c>
      <x:c r="E6263" s="18" t="n">
        <x:v>21.68</x:v>
      </x:c>
      <x:c r="F6263" s="18" t="n">
        <x:v>17.14</x:v>
      </x:c>
      <x:c r="G6263" t="n">
        <x:v>36</x:v>
      </x:c>
      <x:c r="H6263" t="str">
        <x:v>E</x:v>
      </x:c>
      <x:c r="I6263" t="str">
        <x:v>&lt;1 year</x:v>
      </x:c>
      <x:c r="J6263" t="str">
        <x:v>RENT</x:v>
      </x:c>
      <x:c r="K6263" t="str">
        <x:v>debt_consolidation</x:v>
      </x:c>
      <x:c r="L6263" t="n">
        <x:v>0</x:v>
      </x:c>
      <x:c r="M6263" t="n">
        <x:v>0</x:v>
      </x:c>
      <x:c r="N6263" t="str">
        <x:v>Fully Paid</x:v>
      </x:c>
      <x:c r="O6263" t="str">
        <x:f>IF(D6263="","Unknown",IF(D6263&lt;25000,"&lt;$25k",IF(D6263&lt;50000,"$25k-$50k",IF(D6263&lt;75000,"$50k-$75k",IF(D6263&lt;100000,"$75k-$100k","$100k+")))))</x:f>
        <x:v>$25k-$50k</x:v>
      </x:c>
      <x:c r="P6263" t="str">
        <x:f>IF(E6263="","Unknown",IF(E6263&lt;10,"&lt;10",IF(E6263&lt;20,"10-&lt;20",IF(E6263&lt;25,"20-&lt;25",IF(E6263&lt;35,"25-&lt;35","35+")))))</x:f>
        <x:v>20-&lt;25</x:v>
      </x:c>
    </x:row>
    <x:row r="6264">
      <x:c r="A6264" t="str">
        <x:v>SYN0006263</x:v>
      </x:c>
      <x:c r="B6264" s="12" t="n">
        <x:v>42775</x:v>
      </x:c>
      <x:c r="C6264" s="18" t="n">
        <x:v>11957</x:v>
      </x:c>
      <x:c r="D6264" s="18" t="n">
        <x:v>24053</x:v>
      </x:c>
      <x:c r="E6264" s="18" t="n">
        <x:v>16.62</x:v>
      </x:c>
      <x:c r="F6264" s="18" t="n">
        <x:v>7.55</x:v>
      </x:c>
      <x:c r="G6264" t="n">
        <x:v>36</x:v>
      </x:c>
      <x:c r="H6264" t="str">
        <x:v>A</x:v>
      </x:c>
      <x:c r="I6264" t="str">
        <x:v>&lt;1 year</x:v>
      </x:c>
      <x:c r="J6264" t="str">
        <x:v>MORTGAGE</x:v>
      </x:c>
      <x:c r="K6264" t="str">
        <x:v>home_improvement</x:v>
      </x:c>
      <x:c r="L6264" t="n">
        <x:v>0</x:v>
      </x:c>
      <x:c r="M6264" t="n">
        <x:v>0</x:v>
      </x:c>
      <x:c r="N6264" t="str">
        <x:v>Fully Paid</x:v>
      </x:c>
      <x:c r="O6264" t="str">
        <x:f>IF(D6264="","Unknown",IF(D6264&lt;25000,"&lt;$25k",IF(D6264&lt;50000,"$25k-$50k",IF(D6264&lt;75000,"$50k-$75k",IF(D6264&lt;100000,"$75k-$100k","$100k+")))))</x:f>
        <x:v>&lt;$25k</x:v>
      </x:c>
      <x:c r="P6264" t="str">
        <x:f>IF(E6264="","Unknown",IF(E6264&lt;10,"&lt;10",IF(E6264&lt;20,"10-&lt;20",IF(E6264&lt;25,"20-&lt;25",IF(E6264&lt;35,"25-&lt;35","35+")))))</x:f>
        <x:v>10-&lt;20</x:v>
      </x:c>
    </x:row>
    <x:row r="6265">
      <x:c r="A6265" t="str">
        <x:v>SYN0006264</x:v>
      </x:c>
      <x:c r="B6265" s="12" t="n">
        <x:v>42355</x:v>
      </x:c>
      <x:c r="C6265" s="18" t="n">
        <x:v>24885</x:v>
      </x:c>
      <x:c r="D6265" s="18" t="n">
        <x:v>104590</x:v>
      </x:c>
      <x:c r="E6265" s="18" t="n">
        <x:v>23.54</x:v>
      </x:c>
      <x:c r="F6265" s="18" t="n">
        <x:v>11.1</x:v>
      </x:c>
      <x:c r="G6265" t="n">
        <x:v>36</x:v>
      </x:c>
      <x:c r="H6265" t="str">
        <x:v>B</x:v>
      </x:c>
      <x:c r="I6265" t="str">
        <x:v>10+ years</x:v>
      </x:c>
      <x:c r="J6265" t="str">
        <x:v>MORTGAGE</x:v>
      </x:c>
      <x:c r="K6265" t="str">
        <x:v>debt_consolidation</x:v>
      </x:c>
      <x:c r="L6265" t="n">
        <x:v>0</x:v>
      </x:c>
      <x:c r="M6265" t="n">
        <x:v>1</x:v>
      </x:c>
      <x:c r="N6265" t="str">
        <x:v>Charged Off</x:v>
      </x:c>
      <x:c r="O6265" t="str">
        <x:f>IF(D6265="","Unknown",IF(D6265&lt;25000,"&lt;$25k",IF(D6265&lt;50000,"$25k-$50k",IF(D6265&lt;75000,"$50k-$75k",IF(D6265&lt;100000,"$75k-$100k","$100k+")))))</x:f>
        <x:v>$100k+</x:v>
      </x:c>
      <x:c r="P6265" t="str">
        <x:f>IF(E6265="","Unknown",IF(E6265&lt;10,"&lt;10",IF(E6265&lt;20,"10-&lt;20",IF(E6265&lt;25,"20-&lt;25",IF(E6265&lt;35,"25-&lt;35","35+")))))</x:f>
        <x:v>20-&lt;25</x:v>
      </x:c>
    </x:row>
    <x:row r="6266">
      <x:c r="A6266" t="str">
        <x:v>SYN0006265</x:v>
      </x:c>
      <x:c r="B6266" s="12" t="n">
        <x:v>43165</x:v>
      </x:c>
      <x:c r="C6266" s="18" t="n">
        <x:v>6723</x:v>
      </x:c>
      <x:c r="D6266" s="18" t="n">
        <x:v>74578</x:v>
      </x:c>
      <x:c r="E6266" s="18" t="n">
        <x:v>15.5</x:v>
      </x:c>
      <x:c r="F6266" s="18" t="n">
        <x:v>17.15</x:v>
      </x:c>
      <x:c r="G6266" t="n">
        <x:v>60</x:v>
      </x:c>
      <x:c r="H6266" t="str">
        <x:v>E</x:v>
      </x:c>
      <x:c r="I6266" t="str">
        <x:v>7-9 years</x:v>
      </x:c>
      <x:c r="J6266" t="str">
        <x:v>RENT</x:v>
      </x:c>
      <x:c r="K6266" t="str">
        <x:v>major_purchase</x:v>
      </x:c>
      <x:c r="L6266" t="n">
        <x:v>3</x:v>
      </x:c>
      <x:c r="M6266" t="n">
        <x:v>1</x:v>
      </x:c>
      <x:c r="N6266" t="str">
        <x:v>Charged Off</x:v>
      </x:c>
      <x:c r="O6266" t="str">
        <x:f>IF(D6266="","Unknown",IF(D6266&lt;25000,"&lt;$25k",IF(D6266&lt;50000,"$25k-$50k",IF(D6266&lt;75000,"$50k-$75k",IF(D6266&lt;100000,"$75k-$100k","$100k+")))))</x:f>
        <x:v>$50k-$75k</x:v>
      </x:c>
      <x:c r="P6266" t="str">
        <x:f>IF(E6266="","Unknown",IF(E6266&lt;10,"&lt;10",IF(E6266&lt;20,"10-&lt;20",IF(E6266&lt;25,"20-&lt;25",IF(E6266&lt;35,"25-&lt;35","35+")))))</x:f>
        <x:v>10-&lt;20</x:v>
      </x:c>
    </x:row>
    <x:row r="6267">
      <x:c r="A6267" t="str">
        <x:v>SYN0006266</x:v>
      </x:c>
      <x:c r="B6267" s="12" t="n">
        <x:v>42865</x:v>
      </x:c>
      <x:c r="C6267" s="18" t="n">
        <x:v>7950</x:v>
      </x:c>
      <x:c r="D6267" s="18" t="n">
        <x:v>69376</x:v>
      </x:c>
      <x:c r="E6267" s="18" t="n">
        <x:v>30.1</x:v>
      </x:c>
      <x:c r="F6267" s="18" t="n">
        <x:v>9.1</x:v>
      </x:c>
      <x:c r="G6267" t="n">
        <x:v>36</x:v>
      </x:c>
      <x:c r="H6267" t="str">
        <x:v>C</x:v>
      </x:c>
      <x:c r="I6267" t="str">
        <x:v>4-6 years</x:v>
      </x:c>
      <x:c r="J6267" t="str">
        <x:v>RENT</x:v>
      </x:c>
      <x:c r="K6267" t="str">
        <x:v>debt_consolidation</x:v>
      </x:c>
      <x:c r="L6267" t="n">
        <x:v>0</x:v>
      </x:c>
      <x:c r="M6267" t="n">
        <x:v>0</x:v>
      </x:c>
      <x:c r="N6267" t="str">
        <x:v>Fully Paid</x:v>
      </x:c>
      <x:c r="O6267" t="str">
        <x:f>IF(D6267="","Unknown",IF(D6267&lt;25000,"&lt;$25k",IF(D6267&lt;50000,"$25k-$50k",IF(D6267&lt;75000,"$50k-$75k",IF(D6267&lt;100000,"$75k-$100k","$100k+")))))</x:f>
        <x:v>$50k-$75k</x:v>
      </x:c>
      <x:c r="P6267" t="str">
        <x:f>IF(E6267="","Unknown",IF(E6267&lt;10,"&lt;10",IF(E6267&lt;20,"10-&lt;20",IF(E6267&lt;25,"20-&lt;25",IF(E6267&lt;35,"25-&lt;35","35+")))))</x:f>
        <x:v>25-&lt;35</x:v>
      </x:c>
    </x:row>
    <x:row r="6268">
      <x:c r="A6268" t="str">
        <x:v>SYN0006267</x:v>
      </x:c>
      <x:c r="B6268" s="12" t="n">
        <x:v>43195</x:v>
      </x:c>
      <x:c r="C6268" s="18" t="n">
        <x:v>8389</x:v>
      </x:c>
      <x:c r="D6268" s="18" t="n">
        <x:v>56073</x:v>
      </x:c>
      <x:c r="E6268" s="18" t="n">
        <x:v>3.08</x:v>
      </x:c>
      <x:c r="F6268" s="18" t="n">
        <x:v>11.4</x:v>
      </x:c>
      <x:c r="G6268" t="n">
        <x:v>36</x:v>
      </x:c>
      <x:c r="H6268" t="str">
        <x:v>D</x:v>
      </x:c>
      <x:c r="I6268" t="str">
        <x:v>4-6 years</x:v>
      </x:c>
      <x:c r="J6268" t="str">
        <x:v>RENT</x:v>
      </x:c>
      <x:c r="K6268" t="str">
        <x:v>debt_consolidation</x:v>
      </x:c>
      <x:c r="L6268" t="n">
        <x:v>0</x:v>
      </x:c>
      <x:c r="M6268" t="n">
        <x:v>0</x:v>
      </x:c>
      <x:c r="N6268" t="str">
        <x:v>Fully Paid</x:v>
      </x:c>
      <x:c r="O6268" t="str">
        <x:f>IF(D6268="","Unknown",IF(D6268&lt;25000,"&lt;$25k",IF(D6268&lt;50000,"$25k-$50k",IF(D6268&lt;75000,"$50k-$75k",IF(D6268&lt;100000,"$75k-$100k","$100k+")))))</x:f>
        <x:v>$50k-$75k</x:v>
      </x:c>
      <x:c r="P6268" t="str">
        <x:f>IF(E6268="","Unknown",IF(E6268&lt;10,"&lt;10",IF(E6268&lt;20,"10-&lt;20",IF(E6268&lt;25,"20-&lt;25",IF(E6268&lt;35,"25-&lt;35","35+")))))</x:f>
        <x:v>&lt;10</x:v>
      </x:c>
    </x:row>
    <x:row r="6269">
      <x:c r="A6269" t="str">
        <x:v>SYN0006268</x:v>
      </x:c>
      <x:c r="B6269" s="12" t="n">
        <x:v>42355</x:v>
      </x:c>
      <x:c r="C6269" s="18" t="n">
        <x:v>9694</x:v>
      </x:c>
      <x:c r="D6269" s="18" t="n">
        <x:v>65041</x:v>
      </x:c>
      <x:c r="E6269" s="18" t="n">
        <x:v>38.32</x:v>
      </x:c>
      <x:c r="F6269" s="18" t="n">
        <x:v>23.7</x:v>
      </x:c>
      <x:c r="G6269" t="n">
        <x:v>36</x:v>
      </x:c>
      <x:c r="H6269" t="str">
        <x:v>G</x:v>
      </x:c>
      <x:c r="I6269" t="str">
        <x:v>4-6 years</x:v>
      </x:c>
      <x:c r="J6269" t="str">
        <x:v>OWN</x:v>
      </x:c>
      <x:c r="K6269" t="str">
        <x:v>debt_consolidation</x:v>
      </x:c>
      <x:c r="L6269" t="n">
        <x:v>2</x:v>
      </x:c>
      <x:c r="M6269" t="n">
        <x:v>1</x:v>
      </x:c>
      <x:c r="N6269" t="str">
        <x:v>Charged Off</x:v>
      </x:c>
      <x:c r="O6269" t="str">
        <x:f>IF(D6269="","Unknown",IF(D6269&lt;25000,"&lt;$25k",IF(D6269&lt;50000,"$25k-$50k",IF(D6269&lt;75000,"$50k-$75k",IF(D6269&lt;100000,"$75k-$100k","$100k+")))))</x:f>
        <x:v>$50k-$75k</x:v>
      </x:c>
      <x:c r="P6269" t="str">
        <x:f>IF(E6269="","Unknown",IF(E6269&lt;10,"&lt;10",IF(E6269&lt;20,"10-&lt;20",IF(E6269&lt;25,"20-&lt;25",IF(E6269&lt;35,"25-&lt;35","35+")))))</x:f>
        <x:v>35+</x:v>
      </x:c>
    </x:row>
    <x:row r="6270">
      <x:c r="A6270" t="str">
        <x:v>SYN0006269</x:v>
      </x:c>
      <x:c r="B6270" s="12" t="n">
        <x:v>43135</x:v>
      </x:c>
      <x:c r="C6270" s="18" t="n">
        <x:v>13844</x:v>
      </x:c>
      <x:c r="D6270" s="18" t="n">
        <x:v>83857</x:v>
      </x:c>
      <x:c r="E6270" s="18" t="n">
        <x:v>18.53</x:v>
      </x:c>
      <x:c r="F6270" s="18" t="n">
        <x:v>21.2</x:v>
      </x:c>
      <x:c r="G6270" t="n">
        <x:v>60</x:v>
      </x:c>
      <x:c r="H6270" t="str">
        <x:v>F</x:v>
      </x:c>
      <x:c r="I6270" t="str">
        <x:v>&lt;1 year</x:v>
      </x:c>
      <x:c r="J6270" t="str">
        <x:v>RENT</x:v>
      </x:c>
      <x:c r="K6270" t="str">
        <x:v>debt_consolidation</x:v>
      </x:c>
      <x:c r="L6270" t="n">
        <x:v>1</x:v>
      </x:c>
      <x:c r="M6270" t="n">
        <x:v>0</x:v>
      </x:c>
      <x:c r="N6270" t="str">
        <x:v>Fully Paid</x:v>
      </x:c>
      <x:c r="O6270" t="str">
        <x:f>IF(D6270="","Unknown",IF(D6270&lt;25000,"&lt;$25k",IF(D6270&lt;50000,"$25k-$50k",IF(D6270&lt;75000,"$50k-$75k",IF(D6270&lt;100000,"$75k-$100k","$100k+")))))</x:f>
        <x:v>$75k-$100k</x:v>
      </x:c>
      <x:c r="P6270" t="str">
        <x:f>IF(E6270="","Unknown",IF(E6270&lt;10,"&lt;10",IF(E6270&lt;20,"10-&lt;20",IF(E6270&lt;25,"20-&lt;25",IF(E6270&lt;35,"25-&lt;35","35+")))))</x:f>
        <x:v>10-&lt;20</x:v>
      </x:c>
    </x:row>
    <x:row r="6271">
      <x:c r="A6271" t="str">
        <x:v>SYN0006270</x:v>
      </x:c>
      <x:c r="B6271" s="12" t="n">
        <x:v>43255</x:v>
      </x:c>
      <x:c r="C6271" s="18" t="n">
        <x:v>12917</x:v>
      </x:c>
      <x:c r="D6271" s="18" t="n">
        <x:v>37854</x:v>
      </x:c>
      <x:c r="E6271" s="18" t="n">
        <x:v>27.22</x:v>
      </x:c>
      <x:c r="F6271" s="18" t="n">
        <x:v>12.93</x:v>
      </x:c>
      <x:c r="G6271" t="n">
        <x:v>36</x:v>
      </x:c>
      <x:c r="H6271" t="str">
        <x:v>C</x:v>
      </x:c>
      <x:c r="I6271" t="str">
        <x:v>1-3 years</x:v>
      </x:c>
      <x:c r="J6271" t="str">
        <x:v>RENT</x:v>
      </x:c>
      <x:c r="K6271" t="str">
        <x:v>credit_card</x:v>
      </x:c>
      <x:c r="L6271" t="n">
        <x:v>2</x:v>
      </x:c>
      <x:c r="M6271" t="n">
        <x:v>0</x:v>
      </x:c>
      <x:c r="N6271" t="str">
        <x:v>Fully Paid</x:v>
      </x:c>
      <x:c r="O6271" t="str">
        <x:f>IF(D6271="","Unknown",IF(D6271&lt;25000,"&lt;$25k",IF(D6271&lt;50000,"$25k-$50k",IF(D6271&lt;75000,"$50k-$75k",IF(D6271&lt;100000,"$75k-$100k","$100k+")))))</x:f>
        <x:v>$25k-$50k</x:v>
      </x:c>
      <x:c r="P6271" t="str">
        <x:f>IF(E6271="","Unknown",IF(E6271&lt;10,"&lt;10",IF(E6271&lt;20,"10-&lt;20",IF(E6271&lt;25,"20-&lt;25",IF(E6271&lt;35,"25-&lt;35","35+")))))</x:f>
        <x:v>25-&lt;35</x:v>
      </x:c>
    </x:row>
    <x:row r="6272">
      <x:c r="A6272" t="str">
        <x:v>SYN0006271</x:v>
      </x:c>
      <x:c r="B6272" s="12" t="n">
        <x:v>42985</x:v>
      </x:c>
      <x:c r="C6272" s="18" t="n">
        <x:v>14732</x:v>
      </x:c>
      <x:c r="D6272" s="18" t="n">
        <x:v>21869</x:v>
      </x:c>
      <x:c r="E6272" s="18" t="n">
        <x:v>21.77</x:v>
      </x:c>
      <x:c r="F6272" s="18" t="n">
        <x:v>16.51</x:v>
      </x:c>
      <x:c r="G6272" t="n">
        <x:v>36</x:v>
      </x:c>
      <x:c r="H6272" t="str">
        <x:v>D</x:v>
      </x:c>
      <x:c r="I6272" t="str">
        <x:v>&lt;1 year</x:v>
      </x:c>
      <x:c r="J6272" t="str">
        <x:v>RENT</x:v>
      </x:c>
      <x:c r="K6272" t="str">
        <x:v>medical</x:v>
      </x:c>
      <x:c r="L6272" t="n">
        <x:v>0</x:v>
      </x:c>
      <x:c r="M6272" t="n">
        <x:v>0</x:v>
      </x:c>
      <x:c r="N6272" t="str">
        <x:v>Fully Paid</x:v>
      </x:c>
      <x:c r="O6272" t="str">
        <x:f>IF(D6272="","Unknown",IF(D6272&lt;25000,"&lt;$25k",IF(D6272&lt;50000,"$25k-$50k",IF(D6272&lt;75000,"$50k-$75k",IF(D6272&lt;100000,"$75k-$100k","$100k+")))))</x:f>
        <x:v>&lt;$25k</x:v>
      </x:c>
      <x:c r="P6272" t="str">
        <x:f>IF(E6272="","Unknown",IF(E6272&lt;10,"&lt;10",IF(E6272&lt;20,"10-&lt;20",IF(E6272&lt;25,"20-&lt;25",IF(E6272&lt;35,"25-&lt;35","35+")))))</x:f>
        <x:v>20-&lt;25</x:v>
      </x:c>
    </x:row>
    <x:row r="6273">
      <x:c r="A6273" t="str">
        <x:v>SYN0006272</x:v>
      </x:c>
      <x:c r="B6273" s="12" t="n">
        <x:v>41905</x:v>
      </x:c>
      <x:c r="C6273" s="18" t="n">
        <x:v>8279</x:v>
      </x:c>
      <x:c r="D6273" s="18" t="n">
        <x:v>34323</x:v>
      </x:c>
      <x:c r="E6273" s="18" t="n">
        <x:v>20.43</x:v>
      </x:c>
      <x:c r="F6273" s="18" t="n">
        <x:v>9.6</x:v>
      </x:c>
      <x:c r="G6273" t="n">
        <x:v>36</x:v>
      </x:c>
      <x:c r="H6273" t="str">
        <x:v>B</x:v>
      </x:c>
      <x:c r="I6273" t="str">
        <x:v>7-9 years</x:v>
      </x:c>
      <x:c r="J6273" t="str">
        <x:v>MORTGAGE</x:v>
      </x:c>
      <x:c r="K6273" t="str">
        <x:v>major_purchase</x:v>
      </x:c>
      <x:c r="L6273" t="n">
        <x:v>0</x:v>
      </x:c>
      <x:c r="M6273" t="n">
        <x:v>0</x:v>
      </x:c>
      <x:c r="N6273" t="str">
        <x:v>Fully Paid</x:v>
      </x:c>
      <x:c r="O6273" t="str">
        <x:f>IF(D6273="","Unknown",IF(D6273&lt;25000,"&lt;$25k",IF(D6273&lt;50000,"$25k-$50k",IF(D6273&lt;75000,"$50k-$75k",IF(D6273&lt;100000,"$75k-$100k","$100k+")))))</x:f>
        <x:v>$25k-$50k</x:v>
      </x:c>
      <x:c r="P6273" t="str">
        <x:f>IF(E6273="","Unknown",IF(E6273&lt;10,"&lt;10",IF(E6273&lt;20,"10-&lt;20",IF(E6273&lt;25,"20-&lt;25",IF(E6273&lt;35,"25-&lt;35","35+")))))</x:f>
        <x:v>20-&lt;25</x:v>
      </x:c>
    </x:row>
    <x:row r="6274">
      <x:c r="A6274" t="str">
        <x:v>SYN0006273</x:v>
      </x:c>
      <x:c r="B6274" s="12" t="n">
        <x:v>42115</x:v>
      </x:c>
      <x:c r="C6274" s="18" t="n">
        <x:v>16153</x:v>
      </x:c>
      <x:c r="D6274" s="18" t="n">
        <x:v>51388</x:v>
      </x:c>
      <x:c r="E6274" s="18" t="n">
        <x:v>23.71</x:v>
      </x:c>
      <x:c r="F6274" s="18" t="n">
        <x:v>11.24</x:v>
      </x:c>
      <x:c r="G6274" t="n">
        <x:v>36</x:v>
      </x:c>
      <x:c r="H6274" t="str">
        <x:v>C</x:v>
      </x:c>
      <x:c r="I6274" t="str">
        <x:v>7-9 years</x:v>
      </x:c>
      <x:c r="J6274" t="str">
        <x:v>MORTGAGE</x:v>
      </x:c>
      <x:c r="K6274" t="str">
        <x:v>debt_consolidation</x:v>
      </x:c>
      <x:c r="L6274" t="n">
        <x:v>0</x:v>
      </x:c>
      <x:c r="M6274" t="n">
        <x:v>1</x:v>
      </x:c>
      <x:c r="N6274" t="str">
        <x:v>Charged Off</x:v>
      </x:c>
      <x:c r="O6274" t="str">
        <x:f>IF(D6274="","Unknown",IF(D6274&lt;25000,"&lt;$25k",IF(D6274&lt;50000,"$25k-$50k",IF(D6274&lt;75000,"$50k-$75k",IF(D6274&lt;100000,"$75k-$100k","$100k+")))))</x:f>
        <x:v>$50k-$75k</x:v>
      </x:c>
      <x:c r="P6274" t="str">
        <x:f>IF(E6274="","Unknown",IF(E6274&lt;10,"&lt;10",IF(E6274&lt;20,"10-&lt;20",IF(E6274&lt;25,"20-&lt;25",IF(E6274&lt;35,"25-&lt;35","35+")))))</x:f>
        <x:v>20-&lt;25</x:v>
      </x:c>
    </x:row>
    <x:row r="6275">
      <x:c r="A6275" t="str">
        <x:v>SYN0006274</x:v>
      </x:c>
      <x:c r="B6275" s="12" t="n">
        <x:v>41335</x:v>
      </x:c>
      <x:c r="C6275" s="18" t="n">
        <x:v>12067</x:v>
      </x:c>
      <x:c r="D6275" s="18" t="n">
        <x:v>102757</x:v>
      </x:c>
      <x:c r="E6275" s="18" t="n">
        <x:v>0</x:v>
      </x:c>
      <x:c r="F6275" s="18" t="n">
        <x:v>8.94</x:v>
      </x:c>
      <x:c r="G6275" t="n">
        <x:v>60</x:v>
      </x:c>
      <x:c r="H6275" t="str">
        <x:v>A</x:v>
      </x:c>
      <x:c r="I6275" t="str">
        <x:v>1-3 years</x:v>
      </x:c>
      <x:c r="J6275" t="str">
        <x:v>RENT</x:v>
      </x:c>
      <x:c r="K6275" t="str">
        <x:v>debt_consolidation</x:v>
      </x:c>
      <x:c r="L6275" t="n">
        <x:v>0</x:v>
      </x:c>
      <x:c r="M6275" t="n">
        <x:v>0</x:v>
      </x:c>
      <x:c r="N6275" t="str">
        <x:v>Fully Paid</x:v>
      </x:c>
      <x:c r="O6275" t="str">
        <x:f>IF(D6275="","Unknown",IF(D6275&lt;25000,"&lt;$25k",IF(D6275&lt;50000,"$25k-$50k",IF(D6275&lt;75000,"$50k-$75k",IF(D6275&lt;100000,"$75k-$100k","$100k+")))))</x:f>
        <x:v>$100k+</x:v>
      </x:c>
      <x:c r="P6275" t="str">
        <x:f>IF(E6275="","Unknown",IF(E6275&lt;10,"&lt;10",IF(E6275&lt;20,"10-&lt;20",IF(E6275&lt;25,"20-&lt;25",IF(E6275&lt;35,"25-&lt;35","35+")))))</x:f>
        <x:v>Unknown</x:v>
      </x:c>
    </x:row>
    <x:row r="6276">
      <x:c r="A6276" t="str">
        <x:v>SYN0006275</x:v>
      </x:c>
      <x:c r="B6276" s="12" t="n">
        <x:v>42955</x:v>
      </x:c>
      <x:c r="C6276" s="18" t="n">
        <x:v>7526</x:v>
      </x:c>
      <x:c r="D6276" s="18" t="n">
        <x:v>37796</x:v>
      </x:c>
      <x:c r="E6276" s="18" t="n">
        <x:v>21.72</x:v>
      </x:c>
      <x:c r="F6276" s="18" t="n">
        <x:v>18.82</x:v>
      </x:c>
      <x:c r="G6276" t="n">
        <x:v>60</x:v>
      </x:c>
      <x:c r="H6276" t="str">
        <x:v>F</x:v>
      </x:c>
      <x:c r="I6276" t="str">
        <x:v>7-9 years</x:v>
      </x:c>
      <x:c r="J6276" t="str">
        <x:v>RENT</x:v>
      </x:c>
      <x:c r="K6276" t="str">
        <x:v>credit_card</x:v>
      </x:c>
      <x:c r="L6276" t="n">
        <x:v>0</x:v>
      </x:c>
      <x:c r="M6276" t="n">
        <x:v>1</x:v>
      </x:c>
      <x:c r="N6276" t="str">
        <x:v>Charged Off</x:v>
      </x:c>
      <x:c r="O6276" t="str">
        <x:f>IF(D6276="","Unknown",IF(D6276&lt;25000,"&lt;$25k",IF(D6276&lt;50000,"$25k-$50k",IF(D6276&lt;75000,"$50k-$75k",IF(D6276&lt;100000,"$75k-$100k","$100k+")))))</x:f>
        <x:v>$25k-$50k</x:v>
      </x:c>
      <x:c r="P6276" t="str">
        <x:f>IF(E6276="","Unknown",IF(E6276&lt;10,"&lt;10",IF(E6276&lt;20,"10-&lt;20",IF(E6276&lt;25,"20-&lt;25",IF(E6276&lt;35,"25-&lt;35","35+")))))</x:f>
        <x:v>20-&lt;25</x:v>
      </x:c>
    </x:row>
    <x:row r="6277">
      <x:c r="A6277" t="str">
        <x:v>SYN0006276</x:v>
      </x:c>
      <x:c r="B6277" s="12" t="n">
        <x:v>42865</x:v>
      </x:c>
      <x:c r="C6277" s="18" t="n">
        <x:v>9107</x:v>
      </x:c>
      <x:c r="D6277" s="18" t="n">
        <x:v>13537</x:v>
      </x:c>
      <x:c r="E6277" s="18" t="n">
        <x:v>17.06</x:v>
      </x:c>
      <x:c r="F6277" s="18" t="n">
        <x:v>11.49</x:v>
      </x:c>
      <x:c r="G6277" t="n">
        <x:v>60</x:v>
      </x:c>
      <x:c r="H6277" t="str">
        <x:v>C</x:v>
      </x:c>
      <x:c r="I6277" t="str">
        <x:v>7-9 years</x:v>
      </x:c>
      <x:c r="J6277" t="str">
        <x:v>MORTGAGE</x:v>
      </x:c>
      <x:c r="K6277" t="str">
        <x:v>debt_consolidation</x:v>
      </x:c>
      <x:c r="L6277" t="n">
        <x:v>1</x:v>
      </x:c>
      <x:c r="M6277" t="n">
        <x:v>0</x:v>
      </x:c>
      <x:c r="N6277" t="str">
        <x:v>Fully Paid</x:v>
      </x:c>
      <x:c r="O6277" t="str">
        <x:f>IF(D6277="","Unknown",IF(D6277&lt;25000,"&lt;$25k",IF(D6277&lt;50000,"$25k-$50k",IF(D6277&lt;75000,"$50k-$75k",IF(D6277&lt;100000,"$75k-$100k","$100k+")))))</x:f>
        <x:v>&lt;$25k</x:v>
      </x:c>
      <x:c r="P6277" t="str">
        <x:f>IF(E6277="","Unknown",IF(E6277&lt;10,"&lt;10",IF(E6277&lt;20,"10-&lt;20",IF(E6277&lt;25,"20-&lt;25",IF(E6277&lt;35,"25-&lt;35","35+")))))</x:f>
        <x:v>10-&lt;20</x:v>
      </x:c>
    </x:row>
    <x:row r="6278">
      <x:c r="A6278" t="str">
        <x:v>SYN0006277</x:v>
      </x:c>
      <x:c r="B6278" s="12" t="n">
        <x:v>41965</x:v>
      </x:c>
      <x:c r="C6278" s="18" t="n">
        <x:v>7011</x:v>
      </x:c>
      <x:c r="D6278" s="18" t="n">
        <x:v>59316</x:v>
      </x:c>
      <x:c r="E6278" s="18" t="n">
        <x:v>25.62</x:v>
      </x:c>
      <x:c r="F6278" s="18" t="n">
        <x:v>10.87</x:v>
      </x:c>
      <x:c r="G6278" t="n">
        <x:v>60</x:v>
      </x:c>
      <x:c r="H6278" t="str">
        <x:v>C</x:v>
      </x:c>
      <x:c r="I6278" t="str">
        <x:v>7-9 years</x:v>
      </x:c>
      <x:c r="J6278" t="str">
        <x:v>MORTGAGE</x:v>
      </x:c>
      <x:c r="K6278" t="str">
        <x:v>major_purchase</x:v>
      </x:c>
      <x:c r="L6278" t="n">
        <x:v>0</x:v>
      </x:c>
      <x:c r="M6278" t="n">
        <x:v>0</x:v>
      </x:c>
      <x:c r="N6278" t="str">
        <x:v>Fully Paid</x:v>
      </x:c>
      <x:c r="O6278" t="str">
        <x:f>IF(D6278="","Unknown",IF(D6278&lt;25000,"&lt;$25k",IF(D6278&lt;50000,"$25k-$50k",IF(D6278&lt;75000,"$50k-$75k",IF(D6278&lt;100000,"$75k-$100k","$100k+")))))</x:f>
        <x:v>$50k-$75k</x:v>
      </x:c>
      <x:c r="P6278" t="str">
        <x:f>IF(E6278="","Unknown",IF(E6278&lt;10,"&lt;10",IF(E6278&lt;20,"10-&lt;20",IF(E6278&lt;25,"20-&lt;25",IF(E6278&lt;35,"25-&lt;35","35+")))))</x:f>
        <x:v>25-&lt;35</x:v>
      </x:c>
    </x:row>
    <x:row r="6279">
      <x:c r="A6279" t="str">
        <x:v>SYN0006278</x:v>
      </x:c>
      <x:c r="B6279" s="12" t="n">
        <x:v>41305</x:v>
      </x:c>
      <x:c r="C6279" s="18" t="n">
        <x:v>12073</x:v>
      </x:c>
      <x:c r="D6279" s="18" t="n">
        <x:v>103354</x:v>
      </x:c>
      <x:c r="E6279" s="18" t="n">
        <x:v>18.98</x:v>
      </x:c>
      <x:c r="F6279" s="18" t="n">
        <x:v>5</x:v>
      </x:c>
      <x:c r="G6279" t="n">
        <x:v>60</x:v>
      </x:c>
      <x:c r="H6279" t="str">
        <x:v>B</x:v>
      </x:c>
      <x:c r="I6279" t="str">
        <x:v>10+ years</x:v>
      </x:c>
      <x:c r="J6279" t="str">
        <x:v>MORTGAGE</x:v>
      </x:c>
      <x:c r="K6279" t="str">
        <x:v>home_improvement</x:v>
      </x:c>
      <x:c r="L6279" t="n">
        <x:v>1</x:v>
      </x:c>
      <x:c r="M6279" t="n">
        <x:v>0</x:v>
      </x:c>
      <x:c r="N6279" t="str">
        <x:v>Fully Paid</x:v>
      </x:c>
      <x:c r="O6279" t="str">
        <x:f>IF(D6279="","Unknown",IF(D6279&lt;25000,"&lt;$25k",IF(D6279&lt;50000,"$25k-$50k",IF(D6279&lt;75000,"$50k-$75k",IF(D6279&lt;100000,"$75k-$100k","$100k+")))))</x:f>
        <x:v>$100k+</x:v>
      </x:c>
      <x:c r="P6279" t="str">
        <x:f>IF(E6279="","Unknown",IF(E6279&lt;10,"&lt;10",IF(E6279&lt;20,"10-&lt;20",IF(E6279&lt;25,"20-&lt;25",IF(E6279&lt;35,"25-&lt;35","35+")))))</x:f>
        <x:v>10-&lt;20</x:v>
      </x:c>
    </x:row>
    <x:row r="6280">
      <x:c r="A6280" t="str">
        <x:v>SYN0006279</x:v>
      </x:c>
      <x:c r="B6280" s="12" t="n">
        <x:v>41455</x:v>
      </x:c>
      <x:c r="C6280" s="18" t="n">
        <x:v>14173</x:v>
      </x:c>
      <x:c r="D6280" s="18" t="n">
        <x:v>82747</x:v>
      </x:c>
      <x:c r="E6280" s="18" t="n">
        <x:v>14.67</x:v>
      </x:c>
      <x:c r="F6280" s="18" t="n">
        <x:v>17.89</x:v>
      </x:c>
      <x:c r="G6280" t="n">
        <x:v>36</x:v>
      </x:c>
      <x:c r="H6280" t="str">
        <x:v>E</x:v>
      </x:c>
      <x:c r="I6280" t="str">
        <x:v>&lt;1 year</x:v>
      </x:c>
      <x:c r="J6280" t="str">
        <x:v>MORTGAGE</x:v>
      </x:c>
      <x:c r="K6280" t="str">
        <x:v>home_improvement</x:v>
      </x:c>
      <x:c r="L6280" t="n">
        <x:v>1</x:v>
      </x:c>
      <x:c r="M6280" t="n">
        <x:v>0</x:v>
      </x:c>
      <x:c r="N6280" t="str">
        <x:v>Fully Paid</x:v>
      </x:c>
      <x:c r="O6280" t="str">
        <x:f>IF(D6280="","Unknown",IF(D6280&lt;25000,"&lt;$25k",IF(D6280&lt;50000,"$25k-$50k",IF(D6280&lt;75000,"$50k-$75k",IF(D6280&lt;100000,"$75k-$100k","$100k+")))))</x:f>
        <x:v>$75k-$100k</x:v>
      </x:c>
      <x:c r="P6280" t="str">
        <x:f>IF(E6280="","Unknown",IF(E6280&lt;10,"&lt;10",IF(E6280&lt;20,"10-&lt;20",IF(E6280&lt;25,"20-&lt;25",IF(E6280&lt;35,"25-&lt;35","35+")))))</x:f>
        <x:v>10-&lt;20</x:v>
      </x:c>
    </x:row>
    <x:row r="6281">
      <x:c r="A6281" t="str">
        <x:v>SYN0006280</x:v>
      </x:c>
      <x:c r="B6281" s="12" t="n">
        <x:v>42835</x:v>
      </x:c>
      <x:c r="C6281" s="18" t="n">
        <x:v>5439</x:v>
      </x:c>
      <x:c r="D6281" s="18" t="n">
        <x:v>39685</x:v>
      </x:c>
      <x:c r="E6281" s="18" t="n">
        <x:v>11.7</x:v>
      </x:c>
      <x:c r="F6281" s="18" t="n">
        <x:v>5.26</x:v>
      </x:c>
      <x:c r="G6281" t="n">
        <x:v>36</x:v>
      </x:c>
      <x:c r="H6281" t="str">
        <x:v>B</x:v>
      </x:c>
      <x:c r="I6281" t="str">
        <x:v>4-6 years</x:v>
      </x:c>
      <x:c r="J6281" t="str">
        <x:v>RENT</x:v>
      </x:c>
      <x:c r="K6281" t="str">
        <x:v>home_improvement</x:v>
      </x:c>
      <x:c r="L6281" t="n">
        <x:v>0</x:v>
      </x:c>
      <x:c r="M6281" t="n">
        <x:v>0</x:v>
      </x:c>
      <x:c r="N6281" t="str">
        <x:v>Fully Paid</x:v>
      </x:c>
      <x:c r="O6281" t="str">
        <x:f>IF(D6281="","Unknown",IF(D6281&lt;25000,"&lt;$25k",IF(D6281&lt;50000,"$25k-$50k",IF(D6281&lt;75000,"$50k-$75k",IF(D6281&lt;100000,"$75k-$100k","$100k+")))))</x:f>
        <x:v>$25k-$50k</x:v>
      </x:c>
      <x:c r="P6281" t="str">
        <x:f>IF(E6281="","Unknown",IF(E6281&lt;10,"&lt;10",IF(E6281&lt;20,"10-&lt;20",IF(E6281&lt;25,"20-&lt;25",IF(E6281&lt;35,"25-&lt;35","35+")))))</x:f>
        <x:v>10-&lt;20</x:v>
      </x:c>
    </x:row>
    <x:row r="6282">
      <x:c r="A6282" t="str">
        <x:v>SYN0006281</x:v>
      </x:c>
      <x:c r="B6282" s="12" t="n">
        <x:v>42685</x:v>
      </x:c>
      <x:c r="C6282" s="18" t="n">
        <x:v>19239</x:v>
      </x:c>
      <x:c r="D6282" s="18" t="n">
        <x:v>21100</x:v>
      </x:c>
      <x:c r="E6282" s="18" t="n">
        <x:v>22.52</x:v>
      </x:c>
      <x:c r="F6282" s="18" t="n">
        <x:v>12</x:v>
      </x:c>
      <x:c r="G6282" t="n">
        <x:v>36</x:v>
      </x:c>
      <x:c r="H6282" t="str">
        <x:v>C</x:v>
      </x:c>
      <x:c r="I6282" t="str">
        <x:v>7-9 years</x:v>
      </x:c>
      <x:c r="J6282" t="str">
        <x:v>MORTGAGE</x:v>
      </x:c>
      <x:c r="K6282" t="str">
        <x:v>debt_consolidation</x:v>
      </x:c>
      <x:c r="L6282" t="n">
        <x:v>0</x:v>
      </x:c>
      <x:c r="M6282" t="n">
        <x:v>0</x:v>
      </x:c>
      <x:c r="N6282" t="str">
        <x:v>Fully Paid</x:v>
      </x:c>
      <x:c r="O6282" t="str">
        <x:f>IF(D6282="","Unknown",IF(D6282&lt;25000,"&lt;$25k",IF(D6282&lt;50000,"$25k-$50k",IF(D6282&lt;75000,"$50k-$75k",IF(D6282&lt;100000,"$75k-$100k","$100k+")))))</x:f>
        <x:v>&lt;$25k</x:v>
      </x:c>
      <x:c r="P6282" t="str">
        <x:f>IF(E6282="","Unknown",IF(E6282&lt;10,"&lt;10",IF(E6282&lt;20,"10-&lt;20",IF(E6282&lt;25,"20-&lt;25",IF(E6282&lt;35,"25-&lt;35","35+")))))</x:f>
        <x:v>20-&lt;25</x:v>
      </x:c>
    </x:row>
    <x:row r="6283">
      <x:c r="A6283" t="str">
        <x:v>SYN0006282</x:v>
      </x:c>
      <x:c r="B6283" s="12" t="n">
        <x:v>43315</x:v>
      </x:c>
      <x:c r="C6283" s="18" t="n">
        <x:v>9534</x:v>
      </x:c>
      <x:c r="D6283" s="18" t="n">
        <x:v>19938</x:v>
      </x:c>
      <x:c r="E6283" s="18" t="n">
        <x:v>23.3</x:v>
      </x:c>
      <x:c r="F6283" s="18" t="n">
        <x:v>17.72</x:v>
      </x:c>
      <x:c r="G6283" t="n">
        <x:v>36</x:v>
      </x:c>
      <x:c r="H6283" t="str">
        <x:v>E</x:v>
      </x:c>
      <x:c r="I6283" t="str">
        <x:v>1-3 years</x:v>
      </x:c>
      <x:c r="J6283" t="str">
        <x:v>RENT</x:v>
      </x:c>
      <x:c r="K6283" t="str">
        <x:v>medical</x:v>
      </x:c>
      <x:c r="L6283" t="n">
        <x:v>0</x:v>
      </x:c>
      <x:c r="M6283" t="n">
        <x:v>0</x:v>
      </x:c>
      <x:c r="N6283" t="str">
        <x:v>Fully Paid</x:v>
      </x:c>
      <x:c r="O6283" t="str">
        <x:f>IF(D6283="","Unknown",IF(D6283&lt;25000,"&lt;$25k",IF(D6283&lt;50000,"$25k-$50k",IF(D6283&lt;75000,"$50k-$75k",IF(D6283&lt;100000,"$75k-$100k","$100k+")))))</x:f>
        <x:v>&lt;$25k</x:v>
      </x:c>
      <x:c r="P6283" t="str">
        <x:f>IF(E6283="","Unknown",IF(E6283&lt;10,"&lt;10",IF(E6283&lt;20,"10-&lt;20",IF(E6283&lt;25,"20-&lt;25",IF(E6283&lt;35,"25-&lt;35","35+")))))</x:f>
        <x:v>20-&lt;25</x:v>
      </x:c>
    </x:row>
    <x:row r="6284">
      <x:c r="A6284" t="str">
        <x:v>SYN0006283</x:v>
      </x:c>
      <x:c r="B6284" s="12" t="n">
        <x:v>42025</x:v>
      </x:c>
      <x:c r="C6284" s="18" t="n">
        <x:v>15739</x:v>
      </x:c>
      <x:c r="D6284" s="18" t="n">
        <x:v>98267</x:v>
      </x:c>
      <x:c r="E6284" s="18" t="n">
        <x:v>17.65</x:v>
      </x:c>
      <x:c r="F6284" s="18" t="n">
        <x:v>5</x:v>
      </x:c>
      <x:c r="G6284" t="n">
        <x:v>60</x:v>
      </x:c>
      <x:c r="H6284" t="str">
        <x:v>A</x:v>
      </x:c>
      <x:c r="I6284" t="str">
        <x:v>1-3 years</x:v>
      </x:c>
      <x:c r="J6284" t="str">
        <x:v>MORTGAGE</x:v>
      </x:c>
      <x:c r="K6284" t="str">
        <x:v>debt_consolidation</x:v>
      </x:c>
      <x:c r="L6284" t="n">
        <x:v>0</x:v>
      </x:c>
      <x:c r="M6284" t="n">
        <x:v>0</x:v>
      </x:c>
      <x:c r="N6284" t="str">
        <x:v>Fully Paid</x:v>
      </x:c>
      <x:c r="O6284" t="str">
        <x:f>IF(D6284="","Unknown",IF(D6284&lt;25000,"&lt;$25k",IF(D6284&lt;50000,"$25k-$50k",IF(D6284&lt;75000,"$50k-$75k",IF(D6284&lt;100000,"$75k-$100k","$100k+")))))</x:f>
        <x:v>$75k-$100k</x:v>
      </x:c>
      <x:c r="P6284" t="str">
        <x:f>IF(E6284="","Unknown",IF(E6284&lt;10,"&lt;10",IF(E6284&lt;20,"10-&lt;20",IF(E6284&lt;25,"20-&lt;25",IF(E6284&lt;35,"25-&lt;35","35+")))))</x:f>
        <x:v>10-&lt;20</x:v>
      </x:c>
    </x:row>
    <x:row r="6285">
      <x:c r="A6285" t="str">
        <x:v>SYN0006284</x:v>
      </x:c>
      <x:c r="B6285" s="12" t="n">
        <x:v>41695</x:v>
      </x:c>
      <x:c r="C6285" s="18" t="n">
        <x:v>20945</x:v>
      </x:c>
      <x:c r="D6285" s="18" t="n">
        <x:v>64600</x:v>
      </x:c>
      <x:c r="E6285" s="18" t="n">
        <x:v>30.64</x:v>
      </x:c>
      <x:c r="F6285" s="18" t="n">
        <x:v>22.11</x:v>
      </x:c>
      <x:c r="G6285" t="n">
        <x:v>36</x:v>
      </x:c>
      <x:c r="H6285" t="str">
        <x:v>F</x:v>
      </x:c>
      <x:c r="I6285" t="str">
        <x:v>10+ years</x:v>
      </x:c>
      <x:c r="J6285" t="str">
        <x:v>RENT</x:v>
      </x:c>
      <x:c r="K6285" t="str">
        <x:v>home_improvement</x:v>
      </x:c>
      <x:c r="L6285" t="n">
        <x:v>2</x:v>
      </x:c>
      <x:c r="M6285" t="n">
        <x:v>0</x:v>
      </x:c>
      <x:c r="N6285" t="str">
        <x:v>Fully Paid</x:v>
      </x:c>
      <x:c r="O6285" t="str">
        <x:f>IF(D6285="","Unknown",IF(D6285&lt;25000,"&lt;$25k",IF(D6285&lt;50000,"$25k-$50k",IF(D6285&lt;75000,"$50k-$75k",IF(D6285&lt;100000,"$75k-$100k","$100k+")))))</x:f>
        <x:v>$50k-$75k</x:v>
      </x:c>
      <x:c r="P6285" t="str">
        <x:f>IF(E6285="","Unknown",IF(E6285&lt;10,"&lt;10",IF(E6285&lt;20,"10-&lt;20",IF(E6285&lt;25,"20-&lt;25",IF(E6285&lt;35,"25-&lt;35","35+")))))</x:f>
        <x:v>25-&lt;35</x:v>
      </x:c>
    </x:row>
    <x:row r="6286">
      <x:c r="A6286" t="str">
        <x:v>SYN0006285</x:v>
      </x:c>
      <x:c r="B6286" s="12" t="n">
        <x:v>41785</x:v>
      </x:c>
      <x:c r="C6286" s="18" t="n">
        <x:v>14072</x:v>
      </x:c>
      <x:c r="D6286" s="18" t="n">
        <x:v>13431</x:v>
      </x:c>
      <x:c r="E6286" s="18" t="n">
        <x:v>31.17</x:v>
      </x:c>
      <x:c r="F6286" s="18" t="n">
        <x:v>8.77</x:v>
      </x:c>
      <x:c r="G6286" t="n">
        <x:v>60</x:v>
      </x:c>
      <x:c r="H6286" t="str">
        <x:v>B</x:v>
      </x:c>
      <x:c r="I6286" t="str">
        <x:v>4-6 years</x:v>
      </x:c>
      <x:c r="J6286" t="str">
        <x:v>RENT</x:v>
      </x:c>
      <x:c r="K6286" t="str">
        <x:v>credit_card</x:v>
      </x:c>
      <x:c r="L6286" t="n">
        <x:v>0</x:v>
      </x:c>
      <x:c r="M6286" t="n">
        <x:v>0</x:v>
      </x:c>
      <x:c r="N6286" t="str">
        <x:v>Fully Paid</x:v>
      </x:c>
      <x:c r="O6286" t="str">
        <x:f>IF(D6286="","Unknown",IF(D6286&lt;25000,"&lt;$25k",IF(D6286&lt;50000,"$25k-$50k",IF(D6286&lt;75000,"$50k-$75k",IF(D6286&lt;100000,"$75k-$100k","$100k+")))))</x:f>
        <x:v>&lt;$25k</x:v>
      </x:c>
      <x:c r="P6286" t="str">
        <x:f>IF(E6286="","Unknown",IF(E6286&lt;10,"&lt;10",IF(E6286&lt;20,"10-&lt;20",IF(E6286&lt;25,"20-&lt;25",IF(E6286&lt;35,"25-&lt;35","35+")))))</x:f>
        <x:v>25-&lt;35</x:v>
      </x:c>
    </x:row>
    <x:row r="6287">
      <x:c r="A6287" t="str">
        <x:v>SYN0006286</x:v>
      </x:c>
      <x:c r="B6287" s="12" t="n">
        <x:v>42475</x:v>
      </x:c>
      <x:c r="C6287" s="18" t="n">
        <x:v>10037</x:v>
      </x:c>
      <x:c r="D6287" s="18" t="n">
        <x:v>32585</x:v>
      </x:c>
      <x:c r="E6287" s="18" t="n">
        <x:v>34.58</x:v>
      </x:c>
      <x:c r="F6287" s="18" t="n">
        <x:v>10.05</x:v>
      </x:c>
      <x:c r="G6287" t="n">
        <x:v>36</x:v>
      </x:c>
      <x:c r="H6287" t="str">
        <x:v>C</x:v>
      </x:c>
      <x:c r="I6287" t="str">
        <x:v>4-6 years</x:v>
      </x:c>
      <x:c r="J6287" t="str">
        <x:v>MORTGAGE</x:v>
      </x:c>
      <x:c r="K6287" t="str">
        <x:v>debt_consolidation</x:v>
      </x:c>
      <x:c r="L6287" t="n">
        <x:v>1</x:v>
      </x:c>
      <x:c r="M6287" t="n">
        <x:v>0</x:v>
      </x:c>
      <x:c r="N6287" t="str">
        <x:v>Fully Paid</x:v>
      </x:c>
      <x:c r="O6287" t="str">
        <x:f>IF(D6287="","Unknown",IF(D6287&lt;25000,"&lt;$25k",IF(D6287&lt;50000,"$25k-$50k",IF(D6287&lt;75000,"$50k-$75k",IF(D6287&lt;100000,"$75k-$100k","$100k+")))))</x:f>
        <x:v>$25k-$50k</x:v>
      </x:c>
      <x:c r="P6287" t="str">
        <x:f>IF(E6287="","Unknown",IF(E6287&lt;10,"&lt;10",IF(E6287&lt;20,"10-&lt;20",IF(E6287&lt;25,"20-&lt;25",IF(E6287&lt;35,"25-&lt;35","35+")))))</x:f>
        <x:v>25-&lt;35</x:v>
      </x:c>
    </x:row>
    <x:row r="6288">
      <x:c r="A6288" t="str">
        <x:v>SYN0006287</x:v>
      </x:c>
      <x:c r="B6288" s="12" t="n">
        <x:v>42715</x:v>
      </x:c>
      <x:c r="C6288" s="18" t="n">
        <x:v>37380</x:v>
      </x:c>
      <x:c r="D6288" s="18" t="n">
        <x:v>80370</x:v>
      </x:c>
      <x:c r="E6288" s="18" t="n">
        <x:v>26.48</x:v>
      </x:c>
      <x:c r="F6288" s="18" t="n">
        <x:v>8.79</x:v>
      </x:c>
      <x:c r="G6288" t="n">
        <x:v>36</x:v>
      </x:c>
      <x:c r="H6288" t="str">
        <x:v>C</x:v>
      </x:c>
      <x:c r="I6288" t="str">
        <x:v>&lt;1 year</x:v>
      </x:c>
      <x:c r="J6288" t="str">
        <x:v>OWN</x:v>
      </x:c>
      <x:c r="K6288" t="str">
        <x:v>credit_card</x:v>
      </x:c>
      <x:c r="L6288" t="n">
        <x:v>0</x:v>
      </x:c>
      <x:c r="M6288" t="n">
        <x:v>0</x:v>
      </x:c>
      <x:c r="N6288" t="str">
        <x:v>Fully Paid</x:v>
      </x:c>
      <x:c r="O6288" t="str">
        <x:f>IF(D6288="","Unknown",IF(D6288&lt;25000,"&lt;$25k",IF(D6288&lt;50000,"$25k-$50k",IF(D6288&lt;75000,"$50k-$75k",IF(D6288&lt;100000,"$75k-$100k","$100k+")))))</x:f>
        <x:v>$75k-$100k</x:v>
      </x:c>
      <x:c r="P6288" t="str">
        <x:f>IF(E6288="","Unknown",IF(E6288&lt;10,"&lt;10",IF(E6288&lt;20,"10-&lt;20",IF(E6288&lt;25,"20-&lt;25",IF(E6288&lt;35,"25-&lt;35","35+")))))</x:f>
        <x:v>25-&lt;35</x:v>
      </x:c>
    </x:row>
    <x:row r="6289">
      <x:c r="A6289" t="str">
        <x:v>SYN0006288</x:v>
      </x:c>
      <x:c r="B6289" s="12" t="n">
        <x:v>42025</x:v>
      </x:c>
      <x:c r="C6289" s="18" t="n">
        <x:v>25828</x:v>
      </x:c>
      <x:c r="D6289" s="18" t="n">
        <x:v>45681</x:v>
      </x:c>
      <x:c r="E6289" s="18" t="n">
        <x:v>26.61</x:v>
      </x:c>
      <x:c r="F6289" s="18" t="n">
        <x:v>14.03</x:v>
      </x:c>
      <x:c r="G6289" t="n">
        <x:v>60</x:v>
      </x:c>
      <x:c r="H6289" t="str">
        <x:v>C</x:v>
      </x:c>
      <x:c r="I6289" t="str">
        <x:v>10+ years</x:v>
      </x:c>
      <x:c r="J6289" t="str">
        <x:v>MORTGAGE</x:v>
      </x:c>
      <x:c r="K6289" t="str">
        <x:v>medical</x:v>
      </x:c>
      <x:c r="L6289" t="n">
        <x:v>0</x:v>
      </x:c>
      <x:c r="M6289" t="n">
        <x:v>1</x:v>
      </x:c>
      <x:c r="N6289" t="str">
        <x:v>Charged Off</x:v>
      </x:c>
      <x:c r="O6289" t="str">
        <x:f>IF(D6289="","Unknown",IF(D6289&lt;25000,"&lt;$25k",IF(D6289&lt;50000,"$25k-$50k",IF(D6289&lt;75000,"$50k-$75k",IF(D6289&lt;100000,"$75k-$100k","$100k+")))))</x:f>
        <x:v>$25k-$50k</x:v>
      </x:c>
      <x:c r="P6289" t="str">
        <x:f>IF(E6289="","Unknown",IF(E6289&lt;10,"&lt;10",IF(E6289&lt;20,"10-&lt;20",IF(E6289&lt;25,"20-&lt;25",IF(E6289&lt;35,"25-&lt;35","35+")))))</x:f>
        <x:v>25-&lt;35</x:v>
      </x:c>
    </x:row>
    <x:row r="6290">
      <x:c r="A6290" t="str">
        <x:v>SYN0006289</x:v>
      </x:c>
      <x:c r="B6290" s="12" t="n">
        <x:v>43045</x:v>
      </x:c>
      <x:c r="C6290" s="18" t="n">
        <x:v>18437</x:v>
      </x:c>
      <x:c r="D6290" s="18" t="n">
        <x:v>41583</x:v>
      </x:c>
      <x:c r="E6290" s="18" t="n">
        <x:v>10.88</x:v>
      </x:c>
      <x:c r="F6290" s="18" t="n">
        <x:v>8.9</x:v>
      </x:c>
      <x:c r="G6290" t="n">
        <x:v>60</x:v>
      </x:c>
      <x:c r="H6290" t="str">
        <x:v>B</x:v>
      </x:c>
      <x:c r="I6290" t="str">
        <x:v>7-9 years</x:v>
      </x:c>
      <x:c r="J6290" t="str">
        <x:v>MORTGAGE</x:v>
      </x:c>
      <x:c r="K6290" t="str">
        <x:v>home_improvement</x:v>
      </x:c>
      <x:c r="L6290" t="n">
        <x:v>0</x:v>
      </x:c>
      <x:c r="M6290" t="n">
        <x:v>0</x:v>
      </x:c>
      <x:c r="N6290" t="str">
        <x:v>Fully Paid</x:v>
      </x:c>
      <x:c r="O6290" t="str">
        <x:f>IF(D6290="","Unknown",IF(D6290&lt;25000,"&lt;$25k",IF(D6290&lt;50000,"$25k-$50k",IF(D6290&lt;75000,"$50k-$75k",IF(D6290&lt;100000,"$75k-$100k","$100k+")))))</x:f>
        <x:v>$25k-$50k</x:v>
      </x:c>
      <x:c r="P6290" t="str">
        <x:f>IF(E6290="","Unknown",IF(E6290&lt;10,"&lt;10",IF(E6290&lt;20,"10-&lt;20",IF(E6290&lt;25,"20-&lt;25",IF(E6290&lt;35,"25-&lt;35","35+")))))</x:f>
        <x:v>10-&lt;20</x:v>
      </x:c>
    </x:row>
    <x:row r="6291">
      <x:c r="A6291" t="str">
        <x:v>SYN0006290</x:v>
      </x:c>
      <x:c r="B6291" s="12" t="n">
        <x:v>43345</x:v>
      </x:c>
      <x:c r="C6291" s="18" t="n">
        <x:v>11664</x:v>
      </x:c>
      <x:c r="D6291" s="18" t="n">
        <x:v>78990</x:v>
      </x:c>
      <x:c r="E6291" s="18" t="n">
        <x:v>18.48</x:v>
      </x:c>
      <x:c r="F6291" s="18" t="n">
        <x:v>6.3</x:v>
      </x:c>
      <x:c r="G6291" t="n">
        <x:v>36</x:v>
      </x:c>
      <x:c r="H6291" t="str">
        <x:v>B</x:v>
      </x:c>
      <x:c r="I6291" t="str">
        <x:v>1-3 years</x:v>
      </x:c>
      <x:c r="J6291" t="str">
        <x:v>RENT</x:v>
      </x:c>
      <x:c r="K6291" t="str">
        <x:v>debt_consolidation</x:v>
      </x:c>
      <x:c r="L6291" t="n">
        <x:v>0</x:v>
      </x:c>
      <x:c r="M6291" t="n">
        <x:v>0</x:v>
      </x:c>
      <x:c r="N6291" t="str">
        <x:v>Fully Paid</x:v>
      </x:c>
      <x:c r="O6291" t="str">
        <x:f>IF(D6291="","Unknown",IF(D6291&lt;25000,"&lt;$25k",IF(D6291&lt;50000,"$25k-$50k",IF(D6291&lt;75000,"$50k-$75k",IF(D6291&lt;100000,"$75k-$100k","$100k+")))))</x:f>
        <x:v>$75k-$100k</x:v>
      </x:c>
      <x:c r="P6291" t="str">
        <x:f>IF(E6291="","Unknown",IF(E6291&lt;10,"&lt;10",IF(E6291&lt;20,"10-&lt;20",IF(E6291&lt;25,"20-&lt;25",IF(E6291&lt;35,"25-&lt;35","35+")))))</x:f>
        <x:v>10-&lt;20</x:v>
      </x:c>
    </x:row>
    <x:row r="6292">
      <x:c r="A6292" t="str">
        <x:v>SYN0006291</x:v>
      </x:c>
      <x:c r="B6292" s="12" t="n">
        <x:v>43345</x:v>
      </x:c>
      <x:c r="C6292" s="18" t="n">
        <x:v>7170</x:v>
      </x:c>
      <x:c r="D6292" s="18" t="n">
        <x:v>49634</x:v>
      </x:c>
      <x:c r="E6292" s="18" t="n">
        <x:v>27.4</x:v>
      </x:c>
      <x:c r="F6292" s="18" t="n">
        <x:v>23.36</x:v>
      </x:c>
      <x:c r="G6292" t="n">
        <x:v>60</x:v>
      </x:c>
      <x:c r="H6292" t="str">
        <x:v>F</x:v>
      </x:c>
      <x:c r="I6292" t="str">
        <x:v>10+ years</x:v>
      </x:c>
      <x:c r="J6292" t="str">
        <x:v>OWN</x:v>
      </x:c>
      <x:c r="K6292" t="str">
        <x:v>debt_consolidation</x:v>
      </x:c>
      <x:c r="L6292" t="n">
        <x:v>0</x:v>
      </x:c>
      <x:c r="M6292" t="n">
        <x:v>1</x:v>
      </x:c>
      <x:c r="N6292" t="str">
        <x:v>Charged Off</x:v>
      </x:c>
      <x:c r="O6292" t="str">
        <x:f>IF(D6292="","Unknown",IF(D6292&lt;25000,"&lt;$25k",IF(D6292&lt;50000,"$25k-$50k",IF(D6292&lt;75000,"$50k-$75k",IF(D6292&lt;100000,"$75k-$100k","$100k+")))))</x:f>
        <x:v>$25k-$50k</x:v>
      </x:c>
      <x:c r="P6292" t="str">
        <x:f>IF(E6292="","Unknown",IF(E6292&lt;10,"&lt;10",IF(E6292&lt;20,"10-&lt;20",IF(E6292&lt;25,"20-&lt;25",IF(E6292&lt;35,"25-&lt;35","35+")))))</x:f>
        <x:v>25-&lt;35</x:v>
      </x:c>
    </x:row>
    <x:row r="6293">
      <x:c r="A6293" t="str">
        <x:v>SYN0006292</x:v>
      </x:c>
      <x:c r="B6293" s="12" t="n">
        <x:v>41545</x:v>
      </x:c>
      <x:c r="C6293" s="18" t="n">
        <x:v>22851</x:v>
      </x:c>
      <x:c r="D6293" s="18" t="n">
        <x:v>19359</x:v>
      </x:c>
      <x:c r="E6293" s="18" t="n">
        <x:v>18.71</x:v>
      </x:c>
      <x:c r="F6293" s="18" t="n">
        <x:v>23.46</x:v>
      </x:c>
      <x:c r="G6293" t="n">
        <x:v>36</x:v>
      </x:c>
      <x:c r="H6293" t="str">
        <x:v>F</x:v>
      </x:c>
      <x:c r="I6293" t="str">
        <x:v>10+ years</x:v>
      </x:c>
      <x:c r="J6293" t="str">
        <x:v>OWN</x:v>
      </x:c>
      <x:c r="K6293" t="str">
        <x:v>debt_consolidation</x:v>
      </x:c>
      <x:c r="L6293" t="n">
        <x:v>0</x:v>
      </x:c>
      <x:c r="M6293" t="n">
        <x:v>0</x:v>
      </x:c>
      <x:c r="N6293" t="str">
        <x:v>Fully Paid</x:v>
      </x:c>
      <x:c r="O6293" t="str">
        <x:f>IF(D6293="","Unknown",IF(D6293&lt;25000,"&lt;$25k",IF(D6293&lt;50000,"$25k-$50k",IF(D6293&lt;75000,"$50k-$75k",IF(D6293&lt;100000,"$75k-$100k","$100k+")))))</x:f>
        <x:v>&lt;$25k</x:v>
      </x:c>
      <x:c r="P6293" t="str">
        <x:f>IF(E6293="","Unknown",IF(E6293&lt;10,"&lt;10",IF(E6293&lt;20,"10-&lt;20",IF(E6293&lt;25,"20-&lt;25",IF(E6293&lt;35,"25-&lt;35","35+")))))</x:f>
        <x:v>10-&lt;20</x:v>
      </x:c>
    </x:row>
    <x:row r="6294">
      <x:c r="A6294" t="str">
        <x:v>SYN0006293</x:v>
      </x:c>
      <x:c r="B6294" s="12" t="n">
        <x:v>42625</x:v>
      </x:c>
      <x:c r="C6294" s="18" t="n">
        <x:v>4046</x:v>
      </x:c>
      <x:c r="D6294" s="18" t="n">
        <x:v>24682</x:v>
      </x:c>
      <x:c r="E6294" s="18" t="n">
        <x:v>35.99</x:v>
      </x:c>
      <x:c r="F6294" s="18" t="n">
        <x:v>26.27</x:v>
      </x:c>
      <x:c r="G6294" t="n">
        <x:v>60</x:v>
      </x:c>
      <x:c r="H6294" t="str">
        <x:v>G</x:v>
      </x:c>
      <x:c r="I6294" t="str">
        <x:v>7-9 years</x:v>
      </x:c>
      <x:c r="J6294" t="str">
        <x:v>RENT</x:v>
      </x:c>
      <x:c r="K6294" t="str">
        <x:v>debt_consolidation</x:v>
      </x:c>
      <x:c r="L6294" t="n">
        <x:v>2</x:v>
      </x:c>
      <x:c r="M6294" t="n">
        <x:v>1</x:v>
      </x:c>
      <x:c r="N6294" t="str">
        <x:v>Charged Off</x:v>
      </x:c>
      <x:c r="O6294" t="str">
        <x:f>IF(D6294="","Unknown",IF(D6294&lt;25000,"&lt;$25k",IF(D6294&lt;50000,"$25k-$50k",IF(D6294&lt;75000,"$50k-$75k",IF(D6294&lt;100000,"$75k-$100k","$100k+")))))</x:f>
        <x:v>&lt;$25k</x:v>
      </x:c>
      <x:c r="P6294" t="str">
        <x:f>IF(E6294="","Unknown",IF(E6294&lt;10,"&lt;10",IF(E6294&lt;20,"10-&lt;20",IF(E6294&lt;25,"20-&lt;25",IF(E6294&lt;35,"25-&lt;35","35+")))))</x:f>
        <x:v>35+</x:v>
      </x:c>
    </x:row>
    <x:row r="6295">
      <x:c r="A6295" t="str">
        <x:v>SYN0006294</x:v>
      </x:c>
      <x:c r="B6295" s="12" t="n">
        <x:v>41785</x:v>
      </x:c>
      <x:c r="C6295" s="18" t="n">
        <x:v>12425</x:v>
      </x:c>
      <x:c r="D6295" s="18" t="n">
        <x:v>28926</x:v>
      </x:c>
      <x:c r="E6295" s="18" t="n">
        <x:v>19.5</x:v>
      </x:c>
      <x:c r="F6295" s="18" t="n">
        <x:v>8.64</x:v>
      </x:c>
      <x:c r="G6295" t="n">
        <x:v>36</x:v>
      </x:c>
      <x:c r="H6295" t="str">
        <x:v>B</x:v>
      </x:c>
      <x:c r="I6295" t="str">
        <x:v>&lt;1 year</x:v>
      </x:c>
      <x:c r="J6295" t="str">
        <x:v>MORTGAGE</x:v>
      </x:c>
      <x:c r="K6295" t="str">
        <x:v>debt_consolidation</x:v>
      </x:c>
      <x:c r="L6295" t="n">
        <x:v>1</x:v>
      </x:c>
      <x:c r="M6295" t="n">
        <x:v>0</x:v>
      </x:c>
      <x:c r="N6295" t="str">
        <x:v>Fully Paid</x:v>
      </x:c>
      <x:c r="O6295" t="str">
        <x:f>IF(D6295="","Unknown",IF(D6295&lt;25000,"&lt;$25k",IF(D6295&lt;50000,"$25k-$50k",IF(D6295&lt;75000,"$50k-$75k",IF(D6295&lt;100000,"$75k-$100k","$100k+")))))</x:f>
        <x:v>$25k-$50k</x:v>
      </x:c>
      <x:c r="P6295" t="str">
        <x:f>IF(E6295="","Unknown",IF(E6295&lt;10,"&lt;10",IF(E6295&lt;20,"10-&lt;20",IF(E6295&lt;25,"20-&lt;25",IF(E6295&lt;35,"25-&lt;35","35+")))))</x:f>
        <x:v>10-&lt;20</x:v>
      </x:c>
    </x:row>
    <x:row r="6296">
      <x:c r="A6296" t="str">
        <x:v>SYN0006295</x:v>
      </x:c>
      <x:c r="B6296" s="12" t="n">
        <x:v>41935</x:v>
      </x:c>
      <x:c r="C6296" s="18" t="n">
        <x:v>17164</x:v>
      </x:c>
      <x:c r="D6296" s="18" t="n">
        <x:v>58568</x:v>
      </x:c>
      <x:c r="E6296" s="18" t="n">
        <x:v>11.7</x:v>
      </x:c>
      <x:c r="F6296" s="18" t="n">
        <x:v>5.96</x:v>
      </x:c>
      <x:c r="G6296" t="n">
        <x:v>36</x:v>
      </x:c>
      <x:c r="H6296" t="str">
        <x:v>A</x:v>
      </x:c>
      <x:c r="I6296" t="str">
        <x:v>1-3 years</x:v>
      </x:c>
      <x:c r="J6296" t="str">
        <x:v>OWN</x:v>
      </x:c>
      <x:c r="K6296" t="str">
        <x:v>credit_card</x:v>
      </x:c>
      <x:c r="L6296" t="n">
        <x:v>0</x:v>
      </x:c>
      <x:c r="M6296" t="n">
        <x:v>0</x:v>
      </x:c>
      <x:c r="N6296" t="str">
        <x:v>Fully Paid</x:v>
      </x:c>
      <x:c r="O6296" t="str">
        <x:f>IF(D6296="","Unknown",IF(D6296&lt;25000,"&lt;$25k",IF(D6296&lt;50000,"$25k-$50k",IF(D6296&lt;75000,"$50k-$75k",IF(D6296&lt;100000,"$75k-$100k","$100k+")))))</x:f>
        <x:v>$50k-$75k</x:v>
      </x:c>
      <x:c r="P6296" t="str">
        <x:f>IF(E6296="","Unknown",IF(E6296&lt;10,"&lt;10",IF(E6296&lt;20,"10-&lt;20",IF(E6296&lt;25,"20-&lt;25",IF(E6296&lt;35,"25-&lt;35","35+")))))</x:f>
        <x:v>10-&lt;20</x:v>
      </x:c>
    </x:row>
    <x:row r="6297">
      <x:c r="A6297" t="str">
        <x:v>SYN0006296</x:v>
      </x:c>
      <x:c r="B6297" s="12" t="n">
        <x:v>43195</x:v>
      </x:c>
      <x:c r="C6297" s="18" t="n">
        <x:v>13427</x:v>
      </x:c>
      <x:c r="D6297" s="18" t="n">
        <x:v>61885</x:v>
      </x:c>
      <x:c r="E6297" s="18" t="n">
        <x:v>9.3</x:v>
      </x:c>
      <x:c r="F6297" s="18" t="n">
        <x:v>8.26</x:v>
      </x:c>
      <x:c r="G6297" t="n">
        <x:v>36</x:v>
      </x:c>
      <x:c r="H6297" t="str">
        <x:v>A</x:v>
      </x:c>
      <x:c r="I6297" t="str">
        <x:v>1-3 years</x:v>
      </x:c>
      <x:c r="J6297" t="str">
        <x:v>RENT</x:v>
      </x:c>
      <x:c r="K6297" t="str">
        <x:v>credit_card</x:v>
      </x:c>
      <x:c r="L6297" t="n">
        <x:v>0</x:v>
      </x:c>
      <x:c r="M6297" t="n">
        <x:v>0</x:v>
      </x:c>
      <x:c r="N6297" t="str">
        <x:v>Fully Paid</x:v>
      </x:c>
      <x:c r="O6297" t="str">
        <x:f>IF(D6297="","Unknown",IF(D6297&lt;25000,"&lt;$25k",IF(D6297&lt;50000,"$25k-$50k",IF(D6297&lt;75000,"$50k-$75k",IF(D6297&lt;100000,"$75k-$100k","$100k+")))))</x:f>
        <x:v>$50k-$75k</x:v>
      </x:c>
      <x:c r="P6297" t="str">
        <x:f>IF(E6297="","Unknown",IF(E6297&lt;10,"&lt;10",IF(E6297&lt;20,"10-&lt;20",IF(E6297&lt;25,"20-&lt;25",IF(E6297&lt;35,"25-&lt;35","35+")))))</x:f>
        <x:v>&lt;10</x:v>
      </x:c>
    </x:row>
    <x:row r="6298">
      <x:c r="A6298" t="str">
        <x:v>SYN0006297</x:v>
      </x:c>
      <x:c r="B6298" s="12" t="n">
        <x:v>42355</x:v>
      </x:c>
      <x:c r="C6298" s="18" t="n">
        <x:v>7852</x:v>
      </x:c>
      <x:c r="D6298" s="18" t="n">
        <x:v>41023</x:v>
      </x:c>
      <x:c r="E6298" s="18" t="n">
        <x:v>16.37</x:v>
      </x:c>
      <x:c r="F6298" s="18" t="n">
        <x:v>14.09</x:v>
      </x:c>
      <x:c r="G6298" t="n">
        <x:v>60</x:v>
      </x:c>
      <x:c r="H6298" t="str">
        <x:v>D</x:v>
      </x:c>
      <x:c r="I6298" t="str">
        <x:v>1-3 years</x:v>
      </x:c>
      <x:c r="J6298" t="str">
        <x:v>MORTGAGE</x:v>
      </x:c>
      <x:c r="K6298" t="str">
        <x:v>debt_consolidation</x:v>
      </x:c>
      <x:c r="L6298" t="n">
        <x:v>2</x:v>
      </x:c>
      <x:c r="M6298" t="n">
        <x:v>0</x:v>
      </x:c>
      <x:c r="N6298" t="str">
        <x:v>Fully Paid</x:v>
      </x:c>
      <x:c r="O6298" t="str">
        <x:f>IF(D6298="","Unknown",IF(D6298&lt;25000,"&lt;$25k",IF(D6298&lt;50000,"$25k-$50k",IF(D6298&lt;75000,"$50k-$75k",IF(D6298&lt;100000,"$75k-$100k","$100k+")))))</x:f>
        <x:v>$25k-$50k</x:v>
      </x:c>
      <x:c r="P6298" t="str">
        <x:f>IF(E6298="","Unknown",IF(E6298&lt;10,"&lt;10",IF(E6298&lt;20,"10-&lt;20",IF(E6298&lt;25,"20-&lt;25",IF(E6298&lt;35,"25-&lt;35","35+")))))</x:f>
        <x:v>10-&lt;20</x:v>
      </x:c>
    </x:row>
    <x:row r="6299">
      <x:c r="A6299" t="str">
        <x:v>SYN0006298</x:v>
      </x:c>
      <x:c r="B6299" s="12" t="n">
        <x:v>43165</x:v>
      </x:c>
      <x:c r="C6299" s="18" t="n">
        <x:v>7951</x:v>
      </x:c>
      <x:c r="D6299" s="18" t="n">
        <x:v>18407</x:v>
      </x:c>
      <x:c r="E6299" s="18" t="n">
        <x:v>14.96</x:v>
      </x:c>
      <x:c r="F6299" s="18" t="n">
        <x:v>6.47</x:v>
      </x:c>
      <x:c r="G6299" t="n">
        <x:v>36</x:v>
      </x:c>
      <x:c r="H6299" t="str">
        <x:v>A</x:v>
      </x:c>
      <x:c r="I6299" t="str">
        <x:v>1-3 years</x:v>
      </x:c>
      <x:c r="J6299" t="str">
        <x:v>MORTGAGE</x:v>
      </x:c>
      <x:c r="K6299" t="str">
        <x:v>debt_consolidation</x:v>
      </x:c>
      <x:c r="L6299" t="n">
        <x:v>1</x:v>
      </x:c>
      <x:c r="M6299" t="n">
        <x:v>0</x:v>
      </x:c>
      <x:c r="N6299" t="str">
        <x:v>Fully Paid</x:v>
      </x:c>
      <x:c r="O6299" t="str">
        <x:f>IF(D6299="","Unknown",IF(D6299&lt;25000,"&lt;$25k",IF(D6299&lt;50000,"$25k-$50k",IF(D6299&lt;75000,"$50k-$75k",IF(D6299&lt;100000,"$75k-$100k","$100k+")))))</x:f>
        <x:v>&lt;$25k</x:v>
      </x:c>
      <x:c r="P6299" t="str">
        <x:f>IF(E6299="","Unknown",IF(E6299&lt;10,"&lt;10",IF(E6299&lt;20,"10-&lt;20",IF(E6299&lt;25,"20-&lt;25",IF(E6299&lt;35,"25-&lt;35","35+")))))</x:f>
        <x:v>10-&lt;20</x:v>
      </x:c>
    </x:row>
    <x:row r="6300">
      <x:c r="A6300" t="str">
        <x:v>SYN0006299</x:v>
      </x:c>
      <x:c r="B6300" s="12" t="n">
        <x:v>42775</x:v>
      </x:c>
      <x:c r="C6300" s="18" t="n">
        <x:v>7438</x:v>
      </x:c>
      <x:c r="D6300" s="18" t="n">
        <x:v>52672</x:v>
      </x:c>
      <x:c r="E6300" s="18" t="n">
        <x:v>18.39</x:v>
      </x:c>
      <x:c r="F6300" s="18" t="n">
        <x:v>22.05</x:v>
      </x:c>
      <x:c r="G6300" t="n">
        <x:v>60</x:v>
      </x:c>
      <x:c r="H6300" t="str">
        <x:v>F</x:v>
      </x:c>
      <x:c r="I6300" t="str">
        <x:v>1-3 years</x:v>
      </x:c>
      <x:c r="J6300" t="str">
        <x:v>RENT</x:v>
      </x:c>
      <x:c r="K6300" t="str">
        <x:v>debt_consolidation</x:v>
      </x:c>
      <x:c r="L6300" t="n">
        <x:v>0</x:v>
      </x:c>
      <x:c r="M6300" t="n">
        <x:v>0</x:v>
      </x:c>
      <x:c r="N6300" t="str">
        <x:v>Fully Paid</x:v>
      </x:c>
      <x:c r="O6300" t="str">
        <x:f>IF(D6300="","Unknown",IF(D6300&lt;25000,"&lt;$25k",IF(D6300&lt;50000,"$25k-$50k",IF(D6300&lt;75000,"$50k-$75k",IF(D6300&lt;100000,"$75k-$100k","$100k+")))))</x:f>
        <x:v>$50k-$75k</x:v>
      </x:c>
      <x:c r="P6300" t="str">
        <x:f>IF(E6300="","Unknown",IF(E6300&lt;10,"&lt;10",IF(E6300&lt;20,"10-&lt;20",IF(E6300&lt;25,"20-&lt;25",IF(E6300&lt;35,"25-&lt;35","35+")))))</x:f>
        <x:v>10-&lt;20</x:v>
      </x:c>
    </x:row>
    <x:row r="6301">
      <x:c r="A6301" t="str">
        <x:v>SYN0006300</x:v>
      </x:c>
      <x:c r="B6301" s="12" t="n">
        <x:v>41995</x:v>
      </x:c>
      <x:c r="C6301" s="18" t="n">
        <x:v>11159</x:v>
      </x:c>
      <x:c r="D6301" s="18" t="n">
        <x:v>49206</x:v>
      </x:c>
      <x:c r="E6301" s="18" t="n">
        <x:v>9.7</x:v>
      </x:c>
      <x:c r="F6301" s="18" t="n">
        <x:v>5</x:v>
      </x:c>
      <x:c r="G6301" t="n">
        <x:v>36</x:v>
      </x:c>
      <x:c r="H6301" t="str">
        <x:v>A</x:v>
      </x:c>
      <x:c r="I6301" t="str">
        <x:v>10+ years</x:v>
      </x:c>
      <x:c r="J6301" t="str">
        <x:v>MORTGAGE</x:v>
      </x:c>
      <x:c r="K6301" t="str">
        <x:v>debt_consolidation</x:v>
      </x:c>
      <x:c r="L6301" t="n">
        <x:v>0</x:v>
      </x:c>
      <x:c r="M6301" t="n">
        <x:v>0</x:v>
      </x:c>
      <x:c r="N6301" t="str">
        <x:v>Fully Paid</x:v>
      </x:c>
      <x:c r="O6301" t="str">
        <x:f>IF(D6301="","Unknown",IF(D6301&lt;25000,"&lt;$25k",IF(D6301&lt;50000,"$25k-$50k",IF(D6301&lt;75000,"$50k-$75k",IF(D6301&lt;100000,"$75k-$100k","$100k+")))))</x:f>
        <x:v>$25k-$50k</x:v>
      </x:c>
      <x:c r="P6301" t="str">
        <x:f>IF(E6301="","Unknown",IF(E6301&lt;10,"&lt;10",IF(E6301&lt;20,"10-&lt;20",IF(E6301&lt;25,"20-&lt;25",IF(E6301&lt;35,"25-&lt;35","35+")))))</x:f>
        <x:v>&lt;10</x:v>
      </x:c>
    </x:row>
    <x:row r="6302">
      <x:c r="A6302" t="str">
        <x:v>SYN0006301</x:v>
      </x:c>
      <x:c r="B6302" s="12" t="n">
        <x:v>42835</x:v>
      </x:c>
      <x:c r="C6302" s="18" t="n">
        <x:v>14106</x:v>
      </x:c>
      <x:c r="D6302" s="18" t="n">
        <x:v>135736</x:v>
      </x:c>
      <x:c r="E6302" s="18" t="n">
        <x:v>22.59</x:v>
      </x:c>
      <x:c r="F6302" s="18" t="n">
        <x:v>21.2</x:v>
      </x:c>
      <x:c r="G6302" t="n">
        <x:v>36</x:v>
      </x:c>
      <x:c r="H6302" t="str">
        <x:v>E</x:v>
      </x:c>
      <x:c r="I6302" t="str">
        <x:v>10+ years</x:v>
      </x:c>
      <x:c r="J6302" t="str">
        <x:v>MORTGAGE</x:v>
      </x:c>
      <x:c r="K6302" t="str">
        <x:v>credit_card</x:v>
      </x:c>
      <x:c r="L6302" t="n">
        <x:v>1</x:v>
      </x:c>
      <x:c r="M6302" t="n">
        <x:v>0</x:v>
      </x:c>
      <x:c r="N6302" t="str">
        <x:v>Fully Paid</x:v>
      </x:c>
      <x:c r="O6302" t="str">
        <x:f>IF(D6302="","Unknown",IF(D6302&lt;25000,"&lt;$25k",IF(D6302&lt;50000,"$25k-$50k",IF(D6302&lt;75000,"$50k-$75k",IF(D6302&lt;100000,"$75k-$100k","$100k+")))))</x:f>
        <x:v>$100k+</x:v>
      </x:c>
      <x:c r="P6302" t="str">
        <x:f>IF(E6302="","Unknown",IF(E6302&lt;10,"&lt;10",IF(E6302&lt;20,"10-&lt;20",IF(E6302&lt;25,"20-&lt;25",IF(E6302&lt;35,"25-&lt;35","35+")))))</x:f>
        <x:v>20-&lt;25</x:v>
      </x:c>
    </x:row>
    <x:row r="6303">
      <x:c r="A6303" t="str">
        <x:v>SYN0006302</x:v>
      </x:c>
      <x:c r="B6303" s="12" t="n">
        <x:v>41965</x:v>
      </x:c>
      <x:c r="C6303" s="18" t="n">
        <x:v>11378</x:v>
      </x:c>
      <x:c r="D6303" s="18" t="n">
        <x:v>108590</x:v>
      </x:c>
      <x:c r="E6303" s="18" t="n">
        <x:v>32.3</x:v>
      </x:c>
      <x:c r="F6303" s="18" t="n">
        <x:v>10.82</x:v>
      </x:c>
      <x:c r="G6303" t="n">
        <x:v>36</x:v>
      </x:c>
      <x:c r="H6303" t="str">
        <x:v>B</x:v>
      </x:c>
      <x:c r="I6303" t="str">
        <x:v>&lt;1 year</x:v>
      </x:c>
      <x:c r="J6303" t="str">
        <x:v>RENT</x:v>
      </x:c>
      <x:c r="K6303" t="str">
        <x:v>debt_consolidation</x:v>
      </x:c>
      <x:c r="L6303" t="n">
        <x:v>1</x:v>
      </x:c>
      <x:c r="M6303" t="n">
        <x:v>0</x:v>
      </x:c>
      <x:c r="N6303" t="str">
        <x:v>Fully Paid</x:v>
      </x:c>
      <x:c r="O6303" t="str">
        <x:f>IF(D6303="","Unknown",IF(D6303&lt;25000,"&lt;$25k",IF(D6303&lt;50000,"$25k-$50k",IF(D6303&lt;75000,"$50k-$75k",IF(D6303&lt;100000,"$75k-$100k","$100k+")))))</x:f>
        <x:v>$100k+</x:v>
      </x:c>
      <x:c r="P6303" t="str">
        <x:f>IF(E6303="","Unknown",IF(E6303&lt;10,"&lt;10",IF(E6303&lt;20,"10-&lt;20",IF(E6303&lt;25,"20-&lt;25",IF(E6303&lt;35,"25-&lt;35","35+")))))</x:f>
        <x:v>25-&lt;35</x:v>
      </x:c>
    </x:row>
    <x:row r="6304">
      <x:c r="A6304" t="str">
        <x:v>SYN0006303</x:v>
      </x:c>
      <x:c r="B6304" s="12" t="n">
        <x:v>42925</x:v>
      </x:c>
      <x:c r="C6304" s="18" t="n">
        <x:v>21430</x:v>
      </x:c>
      <x:c r="D6304" s="18" t="n">
        <x:v>30302</x:v>
      </x:c>
      <x:c r="E6304" s="18" t="n">
        <x:v>19.5</x:v>
      </x:c>
      <x:c r="F6304" s="18" t="n">
        <x:v>10.97</x:v>
      </x:c>
      <x:c r="G6304" t="n">
        <x:v>36</x:v>
      </x:c>
      <x:c r="H6304" t="str">
        <x:v>B</x:v>
      </x:c>
      <x:c r="I6304" t="str">
        <x:v>10+ years</x:v>
      </x:c>
      <x:c r="J6304" t="str">
        <x:v>MORTGAGE</x:v>
      </x:c>
      <x:c r="K6304" t="str">
        <x:v>medical</x:v>
      </x:c>
      <x:c r="L6304" t="n">
        <x:v>1</x:v>
      </x:c>
      <x:c r="M6304" t="n">
        <x:v>0</x:v>
      </x:c>
      <x:c r="N6304" t="str">
        <x:v>Fully Paid</x:v>
      </x:c>
      <x:c r="O6304" t="str">
        <x:f>IF(D6304="","Unknown",IF(D6304&lt;25000,"&lt;$25k",IF(D6304&lt;50000,"$25k-$50k",IF(D6304&lt;75000,"$50k-$75k",IF(D6304&lt;100000,"$75k-$100k","$100k+")))))</x:f>
        <x:v>$25k-$50k</x:v>
      </x:c>
      <x:c r="P6304" t="str">
        <x:f>IF(E6304="","Unknown",IF(E6304&lt;10,"&lt;10",IF(E6304&lt;20,"10-&lt;20",IF(E6304&lt;25,"20-&lt;25",IF(E6304&lt;35,"25-&lt;35","35+")))))</x:f>
        <x:v>10-&lt;20</x:v>
      </x:c>
    </x:row>
    <x:row r="6305">
      <x:c r="A6305" t="str">
        <x:v>SYN0006304</x:v>
      </x:c>
      <x:c r="B6305" s="12" t="n">
        <x:v>42985</x:v>
      </x:c>
      <x:c r="C6305" s="18" t="n">
        <x:v>21383</x:v>
      </x:c>
      <x:c r="D6305" s="18" t="n">
        <x:v>13729</x:v>
      </x:c>
      <x:c r="E6305" s="18" t="n">
        <x:v>5.42</x:v>
      </x:c>
      <x:c r="F6305" s="18" t="n">
        <x:v>6.31</x:v>
      </x:c>
      <x:c r="G6305" t="n">
        <x:v>36</x:v>
      </x:c>
      <x:c r="H6305" t="str">
        <x:v>A</x:v>
      </x:c>
      <x:c r="I6305" t="str">
        <x:v>1-3 years</x:v>
      </x:c>
      <x:c r="J6305" t="str">
        <x:v>MORTGAGE</x:v>
      </x:c>
      <x:c r="K6305" t="str">
        <x:v>credit_card</x:v>
      </x:c>
      <x:c r="L6305" t="n">
        <x:v>1</x:v>
      </x:c>
      <x:c r="M6305" t="n">
        <x:v>0</x:v>
      </x:c>
      <x:c r="N6305" t="str">
        <x:v>Fully Paid</x:v>
      </x:c>
      <x:c r="O6305" t="str">
        <x:f>IF(D6305="","Unknown",IF(D6305&lt;25000,"&lt;$25k",IF(D6305&lt;50000,"$25k-$50k",IF(D6305&lt;75000,"$50k-$75k",IF(D6305&lt;100000,"$75k-$100k","$100k+")))))</x:f>
        <x:v>&lt;$25k</x:v>
      </x:c>
      <x:c r="P6305" t="str">
        <x:f>IF(E6305="","Unknown",IF(E6305&lt;10,"&lt;10",IF(E6305&lt;20,"10-&lt;20",IF(E6305&lt;25,"20-&lt;25",IF(E6305&lt;35,"25-&lt;35","35+")))))</x:f>
        <x:v>&lt;10</x:v>
      </x:c>
    </x:row>
    <x:row r="6306">
      <x:c r="A6306" t="str">
        <x:v>SYN0006305</x:v>
      </x:c>
      <x:c r="B6306" s="12" t="n">
        <x:v>42565</x:v>
      </x:c>
      <x:c r="C6306" s="18" t="n">
        <x:v>9143</x:v>
      </x:c>
      <x:c r="D6306" s="18" t="n">
        <x:v>45146</x:v>
      </x:c>
      <x:c r="E6306" s="18" t="n">
        <x:v>17.57</x:v>
      </x:c>
      <x:c r="F6306" s="18" t="n">
        <x:v>9.5</x:v>
      </x:c>
      <x:c r="G6306" t="n">
        <x:v>36</x:v>
      </x:c>
      <x:c r="H6306" t="str">
        <x:v>C</x:v>
      </x:c>
      <x:c r="I6306" t="str">
        <x:v>7-9 years</x:v>
      </x:c>
      <x:c r="J6306" t="str">
        <x:v>MORTGAGE</x:v>
      </x:c>
      <x:c r="K6306" t="str">
        <x:v>other</x:v>
      </x:c>
      <x:c r="L6306" t="n">
        <x:v>0</x:v>
      </x:c>
      <x:c r="M6306" t="n">
        <x:v>1</x:v>
      </x:c>
      <x:c r="N6306" t="str">
        <x:v>Charged Off</x:v>
      </x:c>
      <x:c r="O6306" t="str">
        <x:f>IF(D6306="","Unknown",IF(D6306&lt;25000,"&lt;$25k",IF(D6306&lt;50000,"$25k-$50k",IF(D6306&lt;75000,"$50k-$75k",IF(D6306&lt;100000,"$75k-$100k","$100k+")))))</x:f>
        <x:v>$25k-$50k</x:v>
      </x:c>
      <x:c r="P6306" t="str">
        <x:f>IF(E6306="","Unknown",IF(E6306&lt;10,"&lt;10",IF(E6306&lt;20,"10-&lt;20",IF(E6306&lt;25,"20-&lt;25",IF(E6306&lt;35,"25-&lt;35","35+")))))</x:f>
        <x:v>10-&lt;20</x:v>
      </x:c>
    </x:row>
    <x:row r="6307">
      <x:c r="A6307" t="str">
        <x:v>SYN0006306</x:v>
      </x:c>
      <x:c r="B6307" s="12" t="n">
        <x:v>42415</x:v>
      </x:c>
      <x:c r="C6307" s="18" t="n">
        <x:v>14612</x:v>
      </x:c>
      <x:c r="D6307" s="18" t="n">
        <x:v>34182</x:v>
      </x:c>
      <x:c r="E6307" s="18" t="n">
        <x:v>7.93</x:v>
      </x:c>
      <x:c r="F6307" s="18" t="n">
        <x:v>7.68</x:v>
      </x:c>
      <x:c r="G6307" t="n">
        <x:v>36</x:v>
      </x:c>
      <x:c r="H6307" t="str">
        <x:v>B</x:v>
      </x:c>
      <x:c r="I6307" t="str">
        <x:v>10+ years</x:v>
      </x:c>
      <x:c r="J6307" t="str">
        <x:v>RENT</x:v>
      </x:c>
      <x:c r="K6307" t="str">
        <x:v>home_improvement</x:v>
      </x:c>
      <x:c r="L6307" t="n">
        <x:v>2</x:v>
      </x:c>
      <x:c r="M6307" t="n">
        <x:v>0</x:v>
      </x:c>
      <x:c r="N6307" t="str">
        <x:v>Fully Paid</x:v>
      </x:c>
      <x:c r="O6307" t="str">
        <x:f>IF(D6307="","Unknown",IF(D6307&lt;25000,"&lt;$25k",IF(D6307&lt;50000,"$25k-$50k",IF(D6307&lt;75000,"$50k-$75k",IF(D6307&lt;100000,"$75k-$100k","$100k+")))))</x:f>
        <x:v>$25k-$50k</x:v>
      </x:c>
      <x:c r="P6307" t="str">
        <x:f>IF(E6307="","Unknown",IF(E6307&lt;10,"&lt;10",IF(E6307&lt;20,"10-&lt;20",IF(E6307&lt;25,"20-&lt;25",IF(E6307&lt;35,"25-&lt;35","35+")))))</x:f>
        <x:v>&lt;10</x:v>
      </x:c>
    </x:row>
    <x:row r="6308">
      <x:c r="A6308" t="str">
        <x:v>SYN0006307</x:v>
      </x:c>
      <x:c r="B6308" s="12" t="n">
        <x:v>43285</x:v>
      </x:c>
      <x:c r="C6308" s="18" t="n">
        <x:v>15471</x:v>
      </x:c>
      <x:c r="D6308" s="18" t="n">
        <x:v>85176</x:v>
      </x:c>
      <x:c r="E6308" s="18" t="n">
        <x:v>15.29</x:v>
      </x:c>
      <x:c r="F6308" s="18" t="n">
        <x:v>10.87</x:v>
      </x:c>
      <x:c r="G6308" t="n">
        <x:v>36</x:v>
      </x:c>
      <x:c r="H6308" t="str">
        <x:v>C</x:v>
      </x:c>
      <x:c r="I6308" t="str">
        <x:v>&lt;1 year</x:v>
      </x:c>
      <x:c r="J6308" t="str">
        <x:v>RENT</x:v>
      </x:c>
      <x:c r="K6308" t="str">
        <x:v>debt_consolidation</x:v>
      </x:c>
      <x:c r="L6308" t="n">
        <x:v>0</x:v>
      </x:c>
      <x:c r="M6308" t="n">
        <x:v>0</x:v>
      </x:c>
      <x:c r="N6308" t="str">
        <x:v>Fully Paid</x:v>
      </x:c>
      <x:c r="O6308" t="str">
        <x:f>IF(D6308="","Unknown",IF(D6308&lt;25000,"&lt;$25k",IF(D6308&lt;50000,"$25k-$50k",IF(D6308&lt;75000,"$50k-$75k",IF(D6308&lt;100000,"$75k-$100k","$100k+")))))</x:f>
        <x:v>$75k-$100k</x:v>
      </x:c>
      <x:c r="P6308" t="str">
        <x:f>IF(E6308="","Unknown",IF(E6308&lt;10,"&lt;10",IF(E6308&lt;20,"10-&lt;20",IF(E6308&lt;25,"20-&lt;25",IF(E6308&lt;35,"25-&lt;35","35+")))))</x:f>
        <x:v>10-&lt;20</x:v>
      </x:c>
    </x:row>
    <x:row r="6309">
      <x:c r="A6309" t="str">
        <x:v>SYN0006308</x:v>
      </x:c>
      <x:c r="B6309" s="12" t="n">
        <x:v>41605</x:v>
      </x:c>
      <x:c r="C6309" s="18" t="n">
        <x:v>15142</x:v>
      </x:c>
      <x:c r="D6309" s="18" t="n">
        <x:v>33353</x:v>
      </x:c>
      <x:c r="E6309" s="18" t="n">
        <x:v>17.97</x:v>
      </x:c>
      <x:c r="F6309" s="18" t="n">
        <x:v>12.87</x:v>
      </x:c>
      <x:c r="G6309" t="n">
        <x:v>36</x:v>
      </x:c>
      <x:c r="H6309" t="str">
        <x:v>C</x:v>
      </x:c>
      <x:c r="I6309" t="str">
        <x:v>4-6 years</x:v>
      </x:c>
      <x:c r="J6309" t="str">
        <x:v>RENT</x:v>
      </x:c>
      <x:c r="K6309" t="str">
        <x:v>debt_consolidation</x:v>
      </x:c>
      <x:c r="L6309" t="n">
        <x:v>0</x:v>
      </x:c>
      <x:c r="M6309" t="n">
        <x:v>0</x:v>
      </x:c>
      <x:c r="N6309" t="str">
        <x:v>Fully Paid</x:v>
      </x:c>
      <x:c r="O6309" t="str">
        <x:f>IF(D6309="","Unknown",IF(D6309&lt;25000,"&lt;$25k",IF(D6309&lt;50000,"$25k-$50k",IF(D6309&lt;75000,"$50k-$75k",IF(D6309&lt;100000,"$75k-$100k","$100k+")))))</x:f>
        <x:v>$25k-$50k</x:v>
      </x:c>
      <x:c r="P6309" t="str">
        <x:f>IF(E6309="","Unknown",IF(E6309&lt;10,"&lt;10",IF(E6309&lt;20,"10-&lt;20",IF(E6309&lt;25,"20-&lt;25",IF(E6309&lt;35,"25-&lt;35","35+")))))</x:f>
        <x:v>10-&lt;20</x:v>
      </x:c>
    </x:row>
    <x:row r="6310">
      <x:c r="A6310" t="str">
        <x:v>SYN0006309</x:v>
      </x:c>
      <x:c r="B6310" s="12" t="n">
        <x:v>42295</x:v>
      </x:c>
      <x:c r="C6310" s="18" t="n">
        <x:v>18741</x:v>
      </x:c>
      <x:c r="D6310" s="18" t="n">
        <x:v>59184</x:v>
      </x:c>
      <x:c r="E6310" s="18" t="n">
        <x:v>16.12</x:v>
      </x:c>
      <x:c r="F6310" s="18" t="n">
        <x:v>7.92</x:v>
      </x:c>
      <x:c r="G6310" t="n">
        <x:v>36</x:v>
      </x:c>
      <x:c r="H6310" t="str">
        <x:v>B</x:v>
      </x:c>
      <x:c r="I6310" t="str">
        <x:v>4-6 years</x:v>
      </x:c>
      <x:c r="J6310" t="str">
        <x:v>RENT</x:v>
      </x:c>
      <x:c r="K6310" t="str">
        <x:v>debt_consolidation</x:v>
      </x:c>
      <x:c r="L6310" t="n">
        <x:v>0</x:v>
      </x:c>
      <x:c r="M6310" t="n">
        <x:v>0</x:v>
      </x:c>
      <x:c r="N6310" t="str">
        <x:v>Fully Paid</x:v>
      </x:c>
      <x:c r="O6310" t="str">
        <x:f>IF(D6310="","Unknown",IF(D6310&lt;25000,"&lt;$25k",IF(D6310&lt;50000,"$25k-$50k",IF(D6310&lt;75000,"$50k-$75k",IF(D6310&lt;100000,"$75k-$100k","$100k+")))))</x:f>
        <x:v>$50k-$75k</x:v>
      </x:c>
      <x:c r="P6310" t="str">
        <x:f>IF(E6310="","Unknown",IF(E6310&lt;10,"&lt;10",IF(E6310&lt;20,"10-&lt;20",IF(E6310&lt;25,"20-&lt;25",IF(E6310&lt;35,"25-&lt;35","35+")))))</x:f>
        <x:v>10-&lt;20</x:v>
      </x:c>
    </x:row>
    <x:row r="6311">
      <x:c r="A6311" t="str">
        <x:v>SYN0006310</x:v>
      </x:c>
      <x:c r="B6311" s="12" t="n">
        <x:v>42505</x:v>
      </x:c>
      <x:c r="C6311" s="18" t="n">
        <x:v>12249</x:v>
      </x:c>
      <x:c r="D6311" s="18" t="n">
        <x:v>70138</x:v>
      </x:c>
      <x:c r="E6311" s="18" t="n">
        <x:v>29.53</x:v>
      </x:c>
      <x:c r="F6311" s="18" t="n">
        <x:v>9.83</x:v>
      </x:c>
      <x:c r="G6311" t="n">
        <x:v>36</x:v>
      </x:c>
      <x:c r="H6311" t="str">
        <x:v>C</x:v>
      </x:c>
      <x:c r="I6311" t="str">
        <x:v>&lt;1 year</x:v>
      </x:c>
      <x:c r="J6311" t="str">
        <x:v>MORTGAGE</x:v>
      </x:c>
      <x:c r="K6311" t="str">
        <x:v>medical</x:v>
      </x:c>
      <x:c r="L6311" t="n">
        <x:v>0</x:v>
      </x:c>
      <x:c r="M6311" t="n">
        <x:v>0</x:v>
      </x:c>
      <x:c r="N6311" t="str">
        <x:v>Fully Paid</x:v>
      </x:c>
      <x:c r="O6311" t="str">
        <x:f>IF(D6311="","Unknown",IF(D6311&lt;25000,"&lt;$25k",IF(D6311&lt;50000,"$25k-$50k",IF(D6311&lt;75000,"$50k-$75k",IF(D6311&lt;100000,"$75k-$100k","$100k+")))))</x:f>
        <x:v>$50k-$75k</x:v>
      </x:c>
      <x:c r="P6311" t="str">
        <x:f>IF(E6311="","Unknown",IF(E6311&lt;10,"&lt;10",IF(E6311&lt;20,"10-&lt;20",IF(E6311&lt;25,"20-&lt;25",IF(E6311&lt;35,"25-&lt;35","35+")))))</x:f>
        <x:v>25-&lt;35</x:v>
      </x:c>
    </x:row>
    <x:row r="6312">
      <x:c r="A6312" t="str">
        <x:v>SYN0006311</x:v>
      </x:c>
      <x:c r="B6312" s="12" t="n">
        <x:v>41665</x:v>
      </x:c>
      <x:c r="C6312" s="18" t="n">
        <x:v>7406</x:v>
      </x:c>
      <x:c r="D6312" s="18" t="n">
        <x:v>99565</x:v>
      </x:c>
      <x:c r="E6312" s="18" t="n">
        <x:v>38.44</x:v>
      </x:c>
      <x:c r="F6312" s="18" t="n">
        <x:v>23.11</x:v>
      </x:c>
      <x:c r="G6312" t="n">
        <x:v>36</x:v>
      </x:c>
      <x:c r="H6312" t="str">
        <x:v>F</x:v>
      </x:c>
      <x:c r="I6312" t="str">
        <x:v>7-9 years</x:v>
      </x:c>
      <x:c r="J6312" t="str">
        <x:v>RENT</x:v>
      </x:c>
      <x:c r="K6312" t="str">
        <x:v>debt_consolidation</x:v>
      </x:c>
      <x:c r="L6312" t="n">
        <x:v>1</x:v>
      </x:c>
      <x:c r="M6312" t="n">
        <x:v>1</x:v>
      </x:c>
      <x:c r="N6312" t="str">
        <x:v>Charged Off</x:v>
      </x:c>
      <x:c r="O6312" t="str">
        <x:f>IF(D6312="","Unknown",IF(D6312&lt;25000,"&lt;$25k",IF(D6312&lt;50000,"$25k-$50k",IF(D6312&lt;75000,"$50k-$75k",IF(D6312&lt;100000,"$75k-$100k","$100k+")))))</x:f>
        <x:v>$75k-$100k</x:v>
      </x:c>
      <x:c r="P6312" t="str">
        <x:f>IF(E6312="","Unknown",IF(E6312&lt;10,"&lt;10",IF(E6312&lt;20,"10-&lt;20",IF(E6312&lt;25,"20-&lt;25",IF(E6312&lt;35,"25-&lt;35","35+")))))</x:f>
        <x:v>35+</x:v>
      </x:c>
    </x:row>
    <x:row r="6313">
      <x:c r="A6313" t="str">
        <x:v>SYN0006312</x:v>
      </x:c>
      <x:c r="B6313" s="12" t="n">
        <x:v>42265</x:v>
      </x:c>
      <x:c r="C6313" s="18" t="n">
        <x:v>10562</x:v>
      </x:c>
      <x:c r="D6313" s="18" t="n">
        <x:v>23048</x:v>
      </x:c>
      <x:c r="E6313" s="18" t="n">
        <x:v>0</x:v>
      </x:c>
      <x:c r="F6313" s="18" t="n">
        <x:v>5.74</x:v>
      </x:c>
      <x:c r="G6313" t="n">
        <x:v>60</x:v>
      </x:c>
      <x:c r="H6313" t="str">
        <x:v>B</x:v>
      </x:c>
      <x:c r="I6313" t="str">
        <x:v>4-6 years</x:v>
      </x:c>
      <x:c r="J6313" t="str">
        <x:v>MORTGAGE</x:v>
      </x:c>
      <x:c r="K6313" t="str">
        <x:v>debt_consolidation</x:v>
      </x:c>
      <x:c r="L6313" t="n">
        <x:v>0</x:v>
      </x:c>
      <x:c r="M6313" t="n">
        <x:v>0</x:v>
      </x:c>
      <x:c r="N6313" t="str">
        <x:v>Fully Paid</x:v>
      </x:c>
      <x:c r="O6313" t="str">
        <x:f>IF(D6313="","Unknown",IF(D6313&lt;25000,"&lt;$25k",IF(D6313&lt;50000,"$25k-$50k",IF(D6313&lt;75000,"$50k-$75k",IF(D6313&lt;100000,"$75k-$100k","$100k+")))))</x:f>
        <x:v>&lt;$25k</x:v>
      </x:c>
      <x:c r="P6313" t="str">
        <x:f>IF(E6313="","Unknown",IF(E6313&lt;10,"&lt;10",IF(E6313&lt;20,"10-&lt;20",IF(E6313&lt;25,"20-&lt;25",IF(E6313&lt;35,"25-&lt;35","35+")))))</x:f>
        <x:v>Unknown</x:v>
      </x:c>
    </x:row>
    <x:row r="6314">
      <x:c r="A6314" t="str">
        <x:v>SYN0006313</x:v>
      </x:c>
      <x:c r="B6314" s="12" t="n">
        <x:v>41635</x:v>
      </x:c>
      <x:c r="C6314" s="18" t="n">
        <x:v>21155</x:v>
      </x:c>
      <x:c r="D6314" s="18" t="n">
        <x:v>147465</x:v>
      </x:c>
      <x:c r="E6314" s="18" t="n">
        <x:v>22.85</x:v>
      </x:c>
      <x:c r="F6314" s="18" t="n">
        <x:v>13</x:v>
      </x:c>
      <x:c r="G6314" t="n">
        <x:v>36</x:v>
      </x:c>
      <x:c r="H6314" t="str">
        <x:v>D</x:v>
      </x:c>
      <x:c r="I6314" t="str">
        <x:v>10+ years</x:v>
      </x:c>
      <x:c r="J6314" t="str">
        <x:v>OWN</x:v>
      </x:c>
      <x:c r="K6314" t="str">
        <x:v>home_improvement</x:v>
      </x:c>
      <x:c r="L6314" t="n">
        <x:v>0</x:v>
      </x:c>
      <x:c r="M6314" t="n">
        <x:v>0</x:v>
      </x:c>
      <x:c r="N6314" t="str">
        <x:v>Fully Paid</x:v>
      </x:c>
      <x:c r="O6314" t="str">
        <x:f>IF(D6314="","Unknown",IF(D6314&lt;25000,"&lt;$25k",IF(D6314&lt;50000,"$25k-$50k",IF(D6314&lt;75000,"$50k-$75k",IF(D6314&lt;100000,"$75k-$100k","$100k+")))))</x:f>
        <x:v>$100k+</x:v>
      </x:c>
      <x:c r="P6314" t="str">
        <x:f>IF(E6314="","Unknown",IF(E6314&lt;10,"&lt;10",IF(E6314&lt;20,"10-&lt;20",IF(E6314&lt;25,"20-&lt;25",IF(E6314&lt;35,"25-&lt;35","35+")))))</x:f>
        <x:v>20-&lt;25</x:v>
      </x:c>
    </x:row>
    <x:row r="6315">
      <x:c r="A6315" t="str">
        <x:v>SYN0006314</x:v>
      </x:c>
      <x:c r="B6315" s="12" t="n">
        <x:v>42265</x:v>
      </x:c>
      <x:c r="C6315" s="18" t="n">
        <x:v>28462</x:v>
      </x:c>
      <x:c r="D6315" s="18" t="n">
        <x:v>107481</x:v>
      </x:c>
      <x:c r="E6315" s="18" t="n">
        <x:v>30.53</x:v>
      </x:c>
      <x:c r="F6315" s="18" t="n">
        <x:v>16.16</x:v>
      </x:c>
      <x:c r="G6315" t="n">
        <x:v>36</x:v>
      </x:c>
      <x:c r="H6315" t="str">
        <x:v>D</x:v>
      </x:c>
      <x:c r="I6315" t="str">
        <x:v>7-9 years</x:v>
      </x:c>
      <x:c r="J6315" t="str">
        <x:v>OWN</x:v>
      </x:c>
      <x:c r="K6315" t="str">
        <x:v>home_improvement</x:v>
      </x:c>
      <x:c r="L6315" t="n">
        <x:v>0</x:v>
      </x:c>
      <x:c r="M6315" t="n">
        <x:v>0</x:v>
      </x:c>
      <x:c r="N6315" t="str">
        <x:v>Fully Paid</x:v>
      </x:c>
      <x:c r="O6315" t="str">
        <x:f>IF(D6315="","Unknown",IF(D6315&lt;25000,"&lt;$25k",IF(D6315&lt;50000,"$25k-$50k",IF(D6315&lt;75000,"$50k-$75k",IF(D6315&lt;100000,"$75k-$100k","$100k+")))))</x:f>
        <x:v>$100k+</x:v>
      </x:c>
      <x:c r="P6315" t="str">
        <x:f>IF(E6315="","Unknown",IF(E6315&lt;10,"&lt;10",IF(E6315&lt;20,"10-&lt;20",IF(E6315&lt;25,"20-&lt;25",IF(E6315&lt;35,"25-&lt;35","35+")))))</x:f>
        <x:v>25-&lt;35</x:v>
      </x:c>
    </x:row>
    <x:row r="6316">
      <x:c r="A6316" t="str">
        <x:v>SYN0006315</x:v>
      </x:c>
      <x:c r="B6316" s="12" t="n">
        <x:v>41365</x:v>
      </x:c>
      <x:c r="C6316" s="18" t="n">
        <x:v>20949</x:v>
      </x:c>
      <x:c r="D6316" s="18" t="n">
        <x:v>51528</x:v>
      </x:c>
      <x:c r="E6316" s="18" t="n">
        <x:v>22.82</x:v>
      </x:c>
      <x:c r="F6316" s="18" t="n">
        <x:v>13.22</x:v>
      </x:c>
      <x:c r="G6316" t="n">
        <x:v>36</x:v>
      </x:c>
      <x:c r="H6316" t="str">
        <x:v>D</x:v>
      </x:c>
      <x:c r="I6316" t="str">
        <x:v>10+ years</x:v>
      </x:c>
      <x:c r="J6316" t="str">
        <x:v>OTHER</x:v>
      </x:c>
      <x:c r="K6316" t="str">
        <x:v>credit_card</x:v>
      </x:c>
      <x:c r="L6316" t="n">
        <x:v>0</x:v>
      </x:c>
      <x:c r="M6316" t="n">
        <x:v>0</x:v>
      </x:c>
      <x:c r="N6316" t="str">
        <x:v>Fully Paid</x:v>
      </x:c>
      <x:c r="O6316" t="str">
        <x:f>IF(D6316="","Unknown",IF(D6316&lt;25000,"&lt;$25k",IF(D6316&lt;50000,"$25k-$50k",IF(D6316&lt;75000,"$50k-$75k",IF(D6316&lt;100000,"$75k-$100k","$100k+")))))</x:f>
        <x:v>$50k-$75k</x:v>
      </x:c>
      <x:c r="P6316" t="str">
        <x:f>IF(E6316="","Unknown",IF(E6316&lt;10,"&lt;10",IF(E6316&lt;20,"10-&lt;20",IF(E6316&lt;25,"20-&lt;25",IF(E6316&lt;35,"25-&lt;35","35+")))))</x:f>
        <x:v>20-&lt;25</x:v>
      </x:c>
    </x:row>
    <x:row r="6317">
      <x:c r="A6317" t="str">
        <x:v>SYN0006316</x:v>
      </x:c>
      <x:c r="B6317" s="12" t="n">
        <x:v>42325</x:v>
      </x:c>
      <x:c r="C6317" s="18" t="n">
        <x:v>14077</x:v>
      </x:c>
      <x:c r="D6317" s="18" t="n">
        <x:v>78256</x:v>
      </x:c>
      <x:c r="E6317" s="18" t="n">
        <x:v>14.65</x:v>
      </x:c>
      <x:c r="F6317" s="18" t="n">
        <x:v>12.97</x:v>
      </x:c>
      <x:c r="G6317" t="n">
        <x:v>36</x:v>
      </x:c>
      <x:c r="H6317" t="str">
        <x:v>C</x:v>
      </x:c>
      <x:c r="I6317" t="str">
        <x:v>4-6 years</x:v>
      </x:c>
      <x:c r="J6317" t="str">
        <x:v>MORTGAGE</x:v>
      </x:c>
      <x:c r="K6317" t="str">
        <x:v>debt_consolidation</x:v>
      </x:c>
      <x:c r="L6317" t="n">
        <x:v>0</x:v>
      </x:c>
      <x:c r="M6317" t="n">
        <x:v>0</x:v>
      </x:c>
      <x:c r="N6317" t="str">
        <x:v>Fully Paid</x:v>
      </x:c>
      <x:c r="O6317" t="str">
        <x:f>IF(D6317="","Unknown",IF(D6317&lt;25000,"&lt;$25k",IF(D6317&lt;50000,"$25k-$50k",IF(D6317&lt;75000,"$50k-$75k",IF(D6317&lt;100000,"$75k-$100k","$100k+")))))</x:f>
        <x:v>$75k-$100k</x:v>
      </x:c>
      <x:c r="P6317" t="str">
        <x:f>IF(E6317="","Unknown",IF(E6317&lt;10,"&lt;10",IF(E6317&lt;20,"10-&lt;20",IF(E6317&lt;25,"20-&lt;25",IF(E6317&lt;35,"25-&lt;35","35+")))))</x:f>
        <x:v>10-&lt;20</x:v>
      </x:c>
    </x:row>
    <x:row r="6318">
      <x:c r="A6318" t="str">
        <x:v>SYN0006317</x:v>
      </x:c>
      <x:c r="B6318" s="12" t="n">
        <x:v>41575</x:v>
      </x:c>
      <x:c r="C6318" s="18" t="n">
        <x:v>22350</x:v>
      </x:c>
      <x:c r="D6318" s="18" t="n">
        <x:v>65876</x:v>
      </x:c>
      <x:c r="E6318" s="18" t="n">
        <x:v>21.28</x:v>
      </x:c>
      <x:c r="F6318" s="18" t="n">
        <x:v>15.75</x:v>
      </x:c>
      <x:c r="G6318" t="n">
        <x:v>36</x:v>
      </x:c>
      <x:c r="H6318" t="str">
        <x:v>D</x:v>
      </x:c>
      <x:c r="I6318" t="str">
        <x:v>4-6 years</x:v>
      </x:c>
      <x:c r="J6318" t="str">
        <x:v>RENT</x:v>
      </x:c>
      <x:c r="K6318" t="str">
        <x:v>debt_consolidation</x:v>
      </x:c>
      <x:c r="L6318" t="n">
        <x:v>0</x:v>
      </x:c>
      <x:c r="M6318" t="n">
        <x:v>0</x:v>
      </x:c>
      <x:c r="N6318" t="str">
        <x:v>Fully Paid</x:v>
      </x:c>
      <x:c r="O6318" t="str">
        <x:f>IF(D6318="","Unknown",IF(D6318&lt;25000,"&lt;$25k",IF(D6318&lt;50000,"$25k-$50k",IF(D6318&lt;75000,"$50k-$75k",IF(D6318&lt;100000,"$75k-$100k","$100k+")))))</x:f>
        <x:v>$50k-$75k</x:v>
      </x:c>
      <x:c r="P6318" t="str">
        <x:f>IF(E6318="","Unknown",IF(E6318&lt;10,"&lt;10",IF(E6318&lt;20,"10-&lt;20",IF(E6318&lt;25,"20-&lt;25",IF(E6318&lt;35,"25-&lt;35","35+")))))</x:f>
        <x:v>20-&lt;25</x:v>
      </x:c>
    </x:row>
    <x:row r="6319">
      <x:c r="A6319" t="str">
        <x:v>SYN0006318</x:v>
      </x:c>
      <x:c r="B6319" s="12" t="n">
        <x:v>42715</x:v>
      </x:c>
      <x:c r="C6319" s="18" t="n">
        <x:v>10346</x:v>
      </x:c>
      <x:c r="D6319" s="18" t="n">
        <x:v>46644</x:v>
      </x:c>
      <x:c r="E6319" s="18" t="n">
        <x:v>14.65</x:v>
      </x:c>
      <x:c r="F6319" s="18" t="n">
        <x:v>6.43</x:v>
      </x:c>
      <x:c r="G6319" t="n">
        <x:v>36</x:v>
      </x:c>
      <x:c r="H6319" t="str">
        <x:v>B</x:v>
      </x:c>
      <x:c r="I6319" t="str">
        <x:v>&lt;1 year</x:v>
      </x:c>
      <x:c r="J6319" t="str">
        <x:v>MORTGAGE</x:v>
      </x:c>
      <x:c r="K6319" t="str">
        <x:v>debt_consolidation</x:v>
      </x:c>
      <x:c r="L6319" t="n">
        <x:v>0</x:v>
      </x:c>
      <x:c r="M6319" t="n">
        <x:v>0</x:v>
      </x:c>
      <x:c r="N6319" t="str">
        <x:v>Fully Paid</x:v>
      </x:c>
      <x:c r="O6319" t="str">
        <x:f>IF(D6319="","Unknown",IF(D6319&lt;25000,"&lt;$25k",IF(D6319&lt;50000,"$25k-$50k",IF(D6319&lt;75000,"$50k-$75k",IF(D6319&lt;100000,"$75k-$100k","$100k+")))))</x:f>
        <x:v>$25k-$50k</x:v>
      </x:c>
      <x:c r="P6319" t="str">
        <x:f>IF(E6319="","Unknown",IF(E6319&lt;10,"&lt;10",IF(E6319&lt;20,"10-&lt;20",IF(E6319&lt;25,"20-&lt;25",IF(E6319&lt;35,"25-&lt;35","35+")))))</x:f>
        <x:v>10-&lt;20</x:v>
      </x:c>
    </x:row>
    <x:row r="6320">
      <x:c r="A6320" t="str">
        <x:v>SYN0006319</x:v>
      </x:c>
      <x:c r="B6320" s="12" t="n">
        <x:v>42505</x:v>
      </x:c>
      <x:c r="C6320" s="18" t="n">
        <x:v>6575</x:v>
      </x:c>
      <x:c r="D6320" s="18" t="n">
        <x:v>105126</x:v>
      </x:c>
      <x:c r="E6320" s="18" t="n">
        <x:v>22.17</x:v>
      </x:c>
      <x:c r="F6320" s="18" t="n">
        <x:v>6.44</x:v>
      </x:c>
      <x:c r="G6320" t="n">
        <x:v>36</x:v>
      </x:c>
      <x:c r="H6320" t="str">
        <x:v>A</x:v>
      </x:c>
      <x:c r="I6320" t="str">
        <x:v>&lt;1 year</x:v>
      </x:c>
      <x:c r="J6320" t="str">
        <x:v>MORTGAGE</x:v>
      </x:c>
      <x:c r="K6320" t="str">
        <x:v>debt_consolidation</x:v>
      </x:c>
      <x:c r="L6320" t="n">
        <x:v>0</x:v>
      </x:c>
      <x:c r="M6320" t="n">
        <x:v>0</x:v>
      </x:c>
      <x:c r="N6320" t="str">
        <x:v>Fully Paid</x:v>
      </x:c>
      <x:c r="O6320" t="str">
        <x:f>IF(D6320="","Unknown",IF(D6320&lt;25000,"&lt;$25k",IF(D6320&lt;50000,"$25k-$50k",IF(D6320&lt;75000,"$50k-$75k",IF(D6320&lt;100000,"$75k-$100k","$100k+")))))</x:f>
        <x:v>$100k+</x:v>
      </x:c>
      <x:c r="P6320" t="str">
        <x:f>IF(E6320="","Unknown",IF(E6320&lt;10,"&lt;10",IF(E6320&lt;20,"10-&lt;20",IF(E6320&lt;25,"20-&lt;25",IF(E6320&lt;35,"25-&lt;35","35+")))))</x:f>
        <x:v>20-&lt;25</x:v>
      </x:c>
    </x:row>
    <x:row r="6321">
      <x:c r="A6321" t="str">
        <x:v>SYN0006320</x:v>
      </x:c>
      <x:c r="B6321" s="12" t="n">
        <x:v>42085</x:v>
      </x:c>
      <x:c r="C6321" s="18" t="n">
        <x:v>10682</x:v>
      </x:c>
      <x:c r="D6321" s="18" t="n">
        <x:v>50890</x:v>
      </x:c>
      <x:c r="E6321" s="18" t="n">
        <x:v>18.49</x:v>
      </x:c>
      <x:c r="F6321" s="18" t="n">
        <x:v>18.9</x:v>
      </x:c>
      <x:c r="G6321" t="n">
        <x:v>36</x:v>
      </x:c>
      <x:c r="H6321" t="str">
        <x:v>E</x:v>
      </x:c>
      <x:c r="I6321" t="str">
        <x:v>7-9 years</x:v>
      </x:c>
      <x:c r="J6321" t="str">
        <x:v>OWN</x:v>
      </x:c>
      <x:c r="K6321" t="str">
        <x:v>debt_consolidation</x:v>
      </x:c>
      <x:c r="L6321" t="n">
        <x:v>0</x:v>
      </x:c>
      <x:c r="M6321" t="n">
        <x:v>0</x:v>
      </x:c>
      <x:c r="N6321" t="str">
        <x:v>Fully Paid</x:v>
      </x:c>
      <x:c r="O6321" t="str">
        <x:f>IF(D6321="","Unknown",IF(D6321&lt;25000,"&lt;$25k",IF(D6321&lt;50000,"$25k-$50k",IF(D6321&lt;75000,"$50k-$75k",IF(D6321&lt;100000,"$75k-$100k","$100k+")))))</x:f>
        <x:v>$50k-$75k</x:v>
      </x:c>
      <x:c r="P6321" t="str">
        <x:f>IF(E6321="","Unknown",IF(E6321&lt;10,"&lt;10",IF(E6321&lt;20,"10-&lt;20",IF(E6321&lt;25,"20-&lt;25",IF(E6321&lt;35,"25-&lt;35","35+")))))</x:f>
        <x:v>10-&lt;20</x:v>
      </x:c>
    </x:row>
    <x:row r="6322">
      <x:c r="A6322" t="str">
        <x:v>SYN0006321</x:v>
      </x:c>
      <x:c r="B6322" s="12" t="n">
        <x:v>43315</x:v>
      </x:c>
      <x:c r="C6322" s="18" t="n">
        <x:v>4925</x:v>
      </x:c>
      <x:c r="D6322" s="18" t="n">
        <x:v>20203</x:v>
      </x:c>
      <x:c r="E6322" s="18" t="n">
        <x:v>28.37</x:v>
      </x:c>
      <x:c r="F6322" s="18" t="n">
        <x:v>15.85</x:v>
      </x:c>
      <x:c r="G6322" t="n">
        <x:v>36</x:v>
      </x:c>
      <x:c r="H6322" t="str">
        <x:v>D</x:v>
      </x:c>
      <x:c r="I6322" t="str">
        <x:v>1-3 years</x:v>
      </x:c>
      <x:c r="J6322" t="str">
        <x:v>MORTGAGE</x:v>
      </x:c>
      <x:c r="K6322" t="str">
        <x:v>credit_card</x:v>
      </x:c>
      <x:c r="L6322" t="n">
        <x:v>1</x:v>
      </x:c>
      <x:c r="M6322" t="n">
        <x:v>0</x:v>
      </x:c>
      <x:c r="N6322" t="str">
        <x:v>Fully Paid</x:v>
      </x:c>
      <x:c r="O6322" t="str">
        <x:f>IF(D6322="","Unknown",IF(D6322&lt;25000,"&lt;$25k",IF(D6322&lt;50000,"$25k-$50k",IF(D6322&lt;75000,"$50k-$75k",IF(D6322&lt;100000,"$75k-$100k","$100k+")))))</x:f>
        <x:v>&lt;$25k</x:v>
      </x:c>
      <x:c r="P6322" t="str">
        <x:f>IF(E6322="","Unknown",IF(E6322&lt;10,"&lt;10",IF(E6322&lt;20,"10-&lt;20",IF(E6322&lt;25,"20-&lt;25",IF(E6322&lt;35,"25-&lt;35","35+")))))</x:f>
        <x:v>25-&lt;35</x:v>
      </x:c>
    </x:row>
    <x:row r="6323">
      <x:c r="A6323" t="str">
        <x:v>SYN0006322</x:v>
      </x:c>
      <x:c r="B6323" s="12" t="n">
        <x:v>42325</x:v>
      </x:c>
      <x:c r="C6323" s="18" t="n">
        <x:v>17694</x:v>
      </x:c>
      <x:c r="D6323" s="18" t="n">
        <x:v>54063</x:v>
      </x:c>
      <x:c r="E6323" s="18" t="n">
        <x:v>26.11</x:v>
      </x:c>
      <x:c r="F6323" s="18" t="n">
        <x:v>21.83</x:v>
      </x:c>
      <x:c r="G6323" t="n">
        <x:v>36</x:v>
      </x:c>
      <x:c r="H6323" t="str">
        <x:v>F</x:v>
      </x:c>
      <x:c r="I6323" t="str">
        <x:v>4-6 years</x:v>
      </x:c>
      <x:c r="J6323" t="str">
        <x:v>MORTGAGE</x:v>
      </x:c>
      <x:c r="K6323" t="str">
        <x:v>debt_consolidation</x:v>
      </x:c>
      <x:c r="L6323" t="n">
        <x:v>0</x:v>
      </x:c>
      <x:c r="M6323" t="n">
        <x:v>0</x:v>
      </x:c>
      <x:c r="N6323" t="str">
        <x:v>Fully Paid</x:v>
      </x:c>
      <x:c r="O6323" t="str">
        <x:f>IF(D6323="","Unknown",IF(D6323&lt;25000,"&lt;$25k",IF(D6323&lt;50000,"$25k-$50k",IF(D6323&lt;75000,"$50k-$75k",IF(D6323&lt;100000,"$75k-$100k","$100k+")))))</x:f>
        <x:v>$50k-$75k</x:v>
      </x:c>
      <x:c r="P6323" t="str">
        <x:f>IF(E6323="","Unknown",IF(E6323&lt;10,"&lt;10",IF(E6323&lt;20,"10-&lt;20",IF(E6323&lt;25,"20-&lt;25",IF(E6323&lt;35,"25-&lt;35","35+")))))</x:f>
        <x:v>25-&lt;35</x:v>
      </x:c>
    </x:row>
    <x:row r="6324">
      <x:c r="A6324" t="str">
        <x:v>SYN0006323</x:v>
      </x:c>
      <x:c r="B6324" s="12" t="n">
        <x:v>41635</x:v>
      </x:c>
      <x:c r="C6324" s="18" t="n">
        <x:v>30085</x:v>
      </x:c>
      <x:c r="D6324" s="18" t="n">
        <x:v>36605</x:v>
      </x:c>
      <x:c r="E6324" s="18" t="n">
        <x:v>17.77</x:v>
      </x:c>
      <x:c r="F6324" s="18" t="n">
        <x:v>11.47</x:v>
      </x:c>
      <x:c r="G6324" t="n">
        <x:v>36</x:v>
      </x:c>
      <x:c r="H6324" t="str">
        <x:v>C</x:v>
      </x:c>
      <x:c r="I6324" t="str">
        <x:v>1-3 years</x:v>
      </x:c>
      <x:c r="J6324" t="str">
        <x:v>RENT</x:v>
      </x:c>
      <x:c r="K6324" t="str">
        <x:v>debt_consolidation</x:v>
      </x:c>
      <x:c r="L6324" t="n">
        <x:v>0</x:v>
      </x:c>
      <x:c r="M6324" t="n">
        <x:v>0</x:v>
      </x:c>
      <x:c r="N6324" t="str">
        <x:v>Fully Paid</x:v>
      </x:c>
      <x:c r="O6324" t="str">
        <x:f>IF(D6324="","Unknown",IF(D6324&lt;25000,"&lt;$25k",IF(D6324&lt;50000,"$25k-$50k",IF(D6324&lt;75000,"$50k-$75k",IF(D6324&lt;100000,"$75k-$100k","$100k+")))))</x:f>
        <x:v>$25k-$50k</x:v>
      </x:c>
      <x:c r="P6324" t="str">
        <x:f>IF(E6324="","Unknown",IF(E6324&lt;10,"&lt;10",IF(E6324&lt;20,"10-&lt;20",IF(E6324&lt;25,"20-&lt;25",IF(E6324&lt;35,"25-&lt;35","35+")))))</x:f>
        <x:v>10-&lt;20</x:v>
      </x:c>
    </x:row>
    <x:row r="6325">
      <x:c r="A6325" t="str">
        <x:v>SYN0006324</x:v>
      </x:c>
      <x:c r="B6325" s="12" t="n">
        <x:v>42685</x:v>
      </x:c>
      <x:c r="C6325" s="18" t="n">
        <x:v>12022</x:v>
      </x:c>
      <x:c r="D6325" s="18" t="n">
        <x:v>48183</x:v>
      </x:c>
      <x:c r="E6325" s="18" t="n">
        <x:v>21.39</x:v>
      </x:c>
      <x:c r="F6325" s="18" t="n">
        <x:v>7.54</x:v>
      </x:c>
      <x:c r="G6325" t="n">
        <x:v>60</x:v>
      </x:c>
      <x:c r="H6325" t="str">
        <x:v>C</x:v>
      </x:c>
      <x:c r="I6325" t="str">
        <x:v>4-6 years</x:v>
      </x:c>
      <x:c r="J6325" t="str">
        <x:v>MORTGAGE</x:v>
      </x:c>
      <x:c r="K6325" t="str">
        <x:v>home_improvement</x:v>
      </x:c>
      <x:c r="L6325" t="n">
        <x:v>0</x:v>
      </x:c>
      <x:c r="M6325" t="n">
        <x:v>0</x:v>
      </x:c>
      <x:c r="N6325" t="str">
        <x:v>Fully Paid</x:v>
      </x:c>
      <x:c r="O6325" t="str">
        <x:f>IF(D6325="","Unknown",IF(D6325&lt;25000,"&lt;$25k",IF(D6325&lt;50000,"$25k-$50k",IF(D6325&lt;75000,"$50k-$75k",IF(D6325&lt;100000,"$75k-$100k","$100k+")))))</x:f>
        <x:v>$25k-$50k</x:v>
      </x:c>
      <x:c r="P6325" t="str">
        <x:f>IF(E6325="","Unknown",IF(E6325&lt;10,"&lt;10",IF(E6325&lt;20,"10-&lt;20",IF(E6325&lt;25,"20-&lt;25",IF(E6325&lt;35,"25-&lt;35","35+")))))</x:f>
        <x:v>20-&lt;25</x:v>
      </x:c>
    </x:row>
    <x:row r="6326">
      <x:c r="A6326" t="str">
        <x:v>SYN0006325</x:v>
      </x:c>
      <x:c r="B6326" s="12" t="n">
        <x:v>42595</x:v>
      </x:c>
      <x:c r="C6326" s="18" t="n">
        <x:v>8377</x:v>
      </x:c>
      <x:c r="D6326" s="18" t="n">
        <x:v>55038</x:v>
      </x:c>
      <x:c r="E6326" s="18" t="n">
        <x:v>17.07</x:v>
      </x:c>
      <x:c r="F6326" s="18" t="n">
        <x:v>19.46</x:v>
      </x:c>
      <x:c r="G6326" t="n">
        <x:v>60</x:v>
      </x:c>
      <x:c r="H6326" t="str">
        <x:v>E</x:v>
      </x:c>
      <x:c r="I6326" t="str">
        <x:v>4-6 years</x:v>
      </x:c>
      <x:c r="J6326" t="str">
        <x:v>RENT</x:v>
      </x:c>
      <x:c r="K6326" t="str">
        <x:v>debt_consolidation</x:v>
      </x:c>
      <x:c r="L6326" t="n">
        <x:v>0</x:v>
      </x:c>
      <x:c r="M6326" t="n">
        <x:v>1</x:v>
      </x:c>
      <x:c r="N6326" t="str">
        <x:v>Charged Off</x:v>
      </x:c>
      <x:c r="O6326" t="str">
        <x:f>IF(D6326="","Unknown",IF(D6326&lt;25000,"&lt;$25k",IF(D6326&lt;50000,"$25k-$50k",IF(D6326&lt;75000,"$50k-$75k",IF(D6326&lt;100000,"$75k-$100k","$100k+")))))</x:f>
        <x:v>$50k-$75k</x:v>
      </x:c>
      <x:c r="P6326" t="str">
        <x:f>IF(E6326="","Unknown",IF(E6326&lt;10,"&lt;10",IF(E6326&lt;20,"10-&lt;20",IF(E6326&lt;25,"20-&lt;25",IF(E6326&lt;35,"25-&lt;35","35+")))))</x:f>
        <x:v>10-&lt;20</x:v>
      </x:c>
    </x:row>
    <x:row r="6327">
      <x:c r="A6327" t="str">
        <x:v>SYN0006326</x:v>
      </x:c>
      <x:c r="B6327" s="12" t="n">
        <x:v>41875</x:v>
      </x:c>
      <x:c r="C6327" s="18" t="n">
        <x:v>24925</x:v>
      </x:c>
      <x:c r="D6327" s="18" t="n">
        <x:v>53799</x:v>
      </x:c>
      <x:c r="E6327" s="18" t="n">
        <x:v>24.57</x:v>
      </x:c>
      <x:c r="F6327" s="18" t="n">
        <x:v>9.86</x:v>
      </x:c>
      <x:c r="G6327" t="n">
        <x:v>36</x:v>
      </x:c>
      <x:c r="H6327" t="str">
        <x:v>C</x:v>
      </x:c>
      <x:c r="I6327" t="str">
        <x:v>4-6 years</x:v>
      </x:c>
      <x:c r="J6327" t="str">
        <x:v>RENT</x:v>
      </x:c>
      <x:c r="K6327" t="str">
        <x:v>home_improvement</x:v>
      </x:c>
      <x:c r="L6327" t="n">
        <x:v>0</x:v>
      </x:c>
      <x:c r="M6327" t="n">
        <x:v>0</x:v>
      </x:c>
      <x:c r="N6327" t="str">
        <x:v>Fully Paid</x:v>
      </x:c>
      <x:c r="O6327" t="str">
        <x:f>IF(D6327="","Unknown",IF(D6327&lt;25000,"&lt;$25k",IF(D6327&lt;50000,"$25k-$50k",IF(D6327&lt;75000,"$50k-$75k",IF(D6327&lt;100000,"$75k-$100k","$100k+")))))</x:f>
        <x:v>$50k-$75k</x:v>
      </x:c>
      <x:c r="P6327" t="str">
        <x:f>IF(E6327="","Unknown",IF(E6327&lt;10,"&lt;10",IF(E6327&lt;20,"10-&lt;20",IF(E6327&lt;25,"20-&lt;25",IF(E6327&lt;35,"25-&lt;35","35+")))))</x:f>
        <x:v>20-&lt;25</x:v>
      </x:c>
    </x:row>
    <x:row r="6328">
      <x:c r="A6328" t="str">
        <x:v>SYN0006327</x:v>
      </x:c>
      <x:c r="B6328" s="12" t="n">
        <x:v>41605</x:v>
      </x:c>
      <x:c r="C6328" s="18" t="n">
        <x:v>11052</x:v>
      </x:c>
      <x:c r="D6328" s="18" t="n">
        <x:v>49325</x:v>
      </x:c>
      <x:c r="E6328" s="18" t="n">
        <x:v>30.03</x:v>
      </x:c>
      <x:c r="F6328" s="18" t="n">
        <x:v>21.78</x:v>
      </x:c>
      <x:c r="G6328" t="n">
        <x:v>36</x:v>
      </x:c>
      <x:c r="H6328" t="str">
        <x:v>F</x:v>
      </x:c>
      <x:c r="I6328" t="str">
        <x:v>4-6 years</x:v>
      </x:c>
      <x:c r="J6328" t="str">
        <x:v>MORTGAGE</x:v>
      </x:c>
      <x:c r="K6328" t="str">
        <x:v>home_improvement</x:v>
      </x:c>
      <x:c r="L6328" t="n">
        <x:v>1</x:v>
      </x:c>
      <x:c r="M6328" t="n">
        <x:v>0</x:v>
      </x:c>
      <x:c r="N6328" t="str">
        <x:v>Fully Paid</x:v>
      </x:c>
      <x:c r="O6328" t="str">
        <x:f>IF(D6328="","Unknown",IF(D6328&lt;25000,"&lt;$25k",IF(D6328&lt;50000,"$25k-$50k",IF(D6328&lt;75000,"$50k-$75k",IF(D6328&lt;100000,"$75k-$100k","$100k+")))))</x:f>
        <x:v>$25k-$50k</x:v>
      </x:c>
      <x:c r="P6328" t="str">
        <x:f>IF(E6328="","Unknown",IF(E6328&lt;10,"&lt;10",IF(E6328&lt;20,"10-&lt;20",IF(E6328&lt;25,"20-&lt;25",IF(E6328&lt;35,"25-&lt;35","35+")))))</x:f>
        <x:v>25-&lt;35</x:v>
      </x:c>
    </x:row>
    <x:row r="6329">
      <x:c r="A6329" t="str">
        <x:v>SYN0006328</x:v>
      </x:c>
      <x:c r="B6329" s="12" t="n">
        <x:v>43195</x:v>
      </x:c>
      <x:c r="C6329" s="18" t="n">
        <x:v>10083</x:v>
      </x:c>
      <x:c r="D6329" s="18" t="n">
        <x:v>29525</x:v>
      </x:c>
      <x:c r="E6329" s="18" t="n">
        <x:v>14.98</x:v>
      </x:c>
      <x:c r="F6329" s="18" t="n">
        <x:v>13.71</x:v>
      </x:c>
      <x:c r="G6329" t="n">
        <x:v>36</x:v>
      </x:c>
      <x:c r="H6329" t="str">
        <x:v>D</x:v>
      </x:c>
      <x:c r="I6329" t="str">
        <x:v>4-6 years</x:v>
      </x:c>
      <x:c r="J6329" t="str">
        <x:v>MORTGAGE</x:v>
      </x:c>
      <x:c r="K6329" t="str">
        <x:v>major_purchase</x:v>
      </x:c>
      <x:c r="L6329" t="n">
        <x:v>1</x:v>
      </x:c>
      <x:c r="M6329" t="n">
        <x:v>0</x:v>
      </x:c>
      <x:c r="N6329" t="str">
        <x:v>Fully Paid</x:v>
      </x:c>
      <x:c r="O6329" t="str">
        <x:f>IF(D6329="","Unknown",IF(D6329&lt;25000,"&lt;$25k",IF(D6329&lt;50000,"$25k-$50k",IF(D6329&lt;75000,"$50k-$75k",IF(D6329&lt;100000,"$75k-$100k","$100k+")))))</x:f>
        <x:v>$25k-$50k</x:v>
      </x:c>
      <x:c r="P6329" t="str">
        <x:f>IF(E6329="","Unknown",IF(E6329&lt;10,"&lt;10",IF(E6329&lt;20,"10-&lt;20",IF(E6329&lt;25,"20-&lt;25",IF(E6329&lt;35,"25-&lt;35","35+")))))</x:f>
        <x:v>10-&lt;20</x:v>
      </x:c>
    </x:row>
    <x:row r="6330">
      <x:c r="A6330" t="str">
        <x:v>SYN0006329</x:v>
      </x:c>
      <x:c r="B6330" s="12" t="n">
        <x:v>43045</x:v>
      </x:c>
      <x:c r="C6330" s="18" t="n">
        <x:v>8957</x:v>
      </x:c>
      <x:c r="D6330" s="18" t="n">
        <x:v>120601</x:v>
      </x:c>
      <x:c r="E6330" s="18" t="n">
        <x:v>29.33</x:v>
      </x:c>
      <x:c r="F6330" s="18" t="n">
        <x:v>10.04</x:v>
      </x:c>
      <x:c r="G6330" t="n">
        <x:v>36</x:v>
      </x:c>
      <x:c r="H6330" t="str">
        <x:v>B</x:v>
      </x:c>
      <x:c r="I6330" t="str">
        <x:v>7-9 years</x:v>
      </x:c>
      <x:c r="J6330" t="str">
        <x:v>OWN</x:v>
      </x:c>
      <x:c r="K6330" t="str">
        <x:v>home_improvement</x:v>
      </x:c>
      <x:c r="L6330" t="n">
        <x:v>0</x:v>
      </x:c>
      <x:c r="M6330" t="n">
        <x:v>0</x:v>
      </x:c>
      <x:c r="N6330" t="str">
        <x:v>Fully Paid</x:v>
      </x:c>
      <x:c r="O6330" t="str">
        <x:f>IF(D6330="","Unknown",IF(D6330&lt;25000,"&lt;$25k",IF(D6330&lt;50000,"$25k-$50k",IF(D6330&lt;75000,"$50k-$75k",IF(D6330&lt;100000,"$75k-$100k","$100k+")))))</x:f>
        <x:v>$100k+</x:v>
      </x:c>
      <x:c r="P6330" t="str">
        <x:f>IF(E6330="","Unknown",IF(E6330&lt;10,"&lt;10",IF(E6330&lt;20,"10-&lt;20",IF(E6330&lt;25,"20-&lt;25",IF(E6330&lt;35,"25-&lt;35","35+")))))</x:f>
        <x:v>25-&lt;35</x:v>
      </x:c>
    </x:row>
    <x:row r="6331">
      <x:c r="A6331" t="str">
        <x:v>SYN0006330</x:v>
      </x:c>
      <x:c r="B6331" s="12" t="n">
        <x:v>42865</x:v>
      </x:c>
      <x:c r="C6331" s="18" t="n">
        <x:v>7932</x:v>
      </x:c>
      <x:c r="D6331" s="18" t="n">
        <x:v>27640</x:v>
      </x:c>
      <x:c r="E6331" s="18" t="n">
        <x:v>3.61</x:v>
      </x:c>
      <x:c r="F6331" s="18" t="n">
        <x:v>8.93</x:v>
      </x:c>
      <x:c r="G6331" t="n">
        <x:v>36</x:v>
      </x:c>
      <x:c r="H6331" t="str">
        <x:v>A</x:v>
      </x:c>
      <x:c r="I6331" t="str">
        <x:v>10+ years</x:v>
      </x:c>
      <x:c r="J6331" t="str">
        <x:v>MORTGAGE</x:v>
      </x:c>
      <x:c r="K6331" t="str">
        <x:v>major_purchase</x:v>
      </x:c>
      <x:c r="L6331" t="n">
        <x:v>0</x:v>
      </x:c>
      <x:c r="M6331" t="n">
        <x:v>0</x:v>
      </x:c>
      <x:c r="N6331" t="str">
        <x:v>Fully Paid</x:v>
      </x:c>
      <x:c r="O6331" t="str">
        <x:f>IF(D6331="","Unknown",IF(D6331&lt;25000,"&lt;$25k",IF(D6331&lt;50000,"$25k-$50k",IF(D6331&lt;75000,"$50k-$75k",IF(D6331&lt;100000,"$75k-$100k","$100k+")))))</x:f>
        <x:v>$25k-$50k</x:v>
      </x:c>
      <x:c r="P6331" t="str">
        <x:f>IF(E6331="","Unknown",IF(E6331&lt;10,"&lt;10",IF(E6331&lt;20,"10-&lt;20",IF(E6331&lt;25,"20-&lt;25",IF(E6331&lt;35,"25-&lt;35","35+")))))</x:f>
        <x:v>&lt;10</x:v>
      </x:c>
    </x:row>
    <x:row r="6332">
      <x:c r="A6332" t="str">
        <x:v>SYN0006331</x:v>
      </x:c>
      <x:c r="B6332" s="12" t="n">
        <x:v>42535</x:v>
      </x:c>
      <x:c r="C6332" s="18" t="n">
        <x:v>21623</x:v>
      </x:c>
      <x:c r="D6332" s="18" t="n">
        <x:v>22472</x:v>
      </x:c>
      <x:c r="E6332" s="18" t="n">
        <x:v>26.71</x:v>
      </x:c>
      <x:c r="F6332" s="18" t="n">
        <x:v>26.44</x:v>
      </x:c>
      <x:c r="G6332" t="n">
        <x:v>36</x:v>
      </x:c>
      <x:c r="H6332" t="str">
        <x:v>G</x:v>
      </x:c>
      <x:c r="I6332" t="str">
        <x:v>4-6 years</x:v>
      </x:c>
      <x:c r="J6332" t="str">
        <x:v>MORTGAGE</x:v>
      </x:c>
      <x:c r="K6332" t="str">
        <x:v>major_purchase</x:v>
      </x:c>
      <x:c r="L6332" t="n">
        <x:v>1</x:v>
      </x:c>
      <x:c r="M6332" t="n">
        <x:v>1</x:v>
      </x:c>
      <x:c r="N6332" t="str">
        <x:v>Charged Off</x:v>
      </x:c>
      <x:c r="O6332" t="str">
        <x:f>IF(D6332="","Unknown",IF(D6332&lt;25000,"&lt;$25k",IF(D6332&lt;50000,"$25k-$50k",IF(D6332&lt;75000,"$50k-$75k",IF(D6332&lt;100000,"$75k-$100k","$100k+")))))</x:f>
        <x:v>&lt;$25k</x:v>
      </x:c>
      <x:c r="P6332" t="str">
        <x:f>IF(E6332="","Unknown",IF(E6332&lt;10,"&lt;10",IF(E6332&lt;20,"10-&lt;20",IF(E6332&lt;25,"20-&lt;25",IF(E6332&lt;35,"25-&lt;35","35+")))))</x:f>
        <x:v>25-&lt;35</x:v>
      </x:c>
    </x:row>
    <x:row r="6333">
      <x:c r="A6333" t="str">
        <x:v>SYN0006332</x:v>
      </x:c>
      <x:c r="B6333" s="12" t="n">
        <x:v>43015</x:v>
      </x:c>
      <x:c r="C6333" s="18" t="n">
        <x:v>7147</x:v>
      </x:c>
      <x:c r="D6333" s="18" t="n">
        <x:v>109215</x:v>
      </x:c>
      <x:c r="E6333" s="18" t="n">
        <x:v>14.69</x:v>
      </x:c>
      <x:c r="F6333" s="18" t="n">
        <x:v>10.2</x:v>
      </x:c>
      <x:c r="G6333" t="n">
        <x:v>36</x:v>
      </x:c>
      <x:c r="H6333" t="str">
        <x:v>C</x:v>
      </x:c>
      <x:c r="I6333" t="str">
        <x:v>10+ years</x:v>
      </x:c>
      <x:c r="J6333" t="str">
        <x:v>RENT</x:v>
      </x:c>
      <x:c r="K6333" t="str">
        <x:v>credit_card</x:v>
      </x:c>
      <x:c r="L6333" t="n">
        <x:v>0</x:v>
      </x:c>
      <x:c r="M6333" t="n">
        <x:v>0</x:v>
      </x:c>
      <x:c r="N6333" t="str">
        <x:v>Fully Paid</x:v>
      </x:c>
      <x:c r="O6333" t="str">
        <x:f>IF(D6333="","Unknown",IF(D6333&lt;25000,"&lt;$25k",IF(D6333&lt;50000,"$25k-$50k",IF(D6333&lt;75000,"$50k-$75k",IF(D6333&lt;100000,"$75k-$100k","$100k+")))))</x:f>
        <x:v>$100k+</x:v>
      </x:c>
      <x:c r="P6333" t="str">
        <x:f>IF(E6333="","Unknown",IF(E6333&lt;10,"&lt;10",IF(E6333&lt;20,"10-&lt;20",IF(E6333&lt;25,"20-&lt;25",IF(E6333&lt;35,"25-&lt;35","35+")))))</x:f>
        <x:v>10-&lt;20</x:v>
      </x:c>
    </x:row>
    <x:row r="6334">
      <x:c r="A6334" t="str">
        <x:v>SYN0006333</x:v>
      </x:c>
      <x:c r="B6334" s="12" t="n">
        <x:v>41905</x:v>
      </x:c>
      <x:c r="C6334" s="18" t="n">
        <x:v>6809</x:v>
      </x:c>
      <x:c r="D6334" s="18" t="n">
        <x:v>58768</x:v>
      </x:c>
      <x:c r="E6334" s="18" t="n">
        <x:v>27.02</x:v>
      </x:c>
      <x:c r="F6334" s="18" t="n">
        <x:v>9.93</x:v>
      </x:c>
      <x:c r="G6334" t="n">
        <x:v>36</x:v>
      </x:c>
      <x:c r="H6334" t="str">
        <x:v>C</x:v>
      </x:c>
      <x:c r="I6334" t="str">
        <x:v>4-6 years</x:v>
      </x:c>
      <x:c r="J6334" t="str">
        <x:v>OWN</x:v>
      </x:c>
      <x:c r="K6334" t="str">
        <x:v>debt_consolidation</x:v>
      </x:c>
      <x:c r="L6334" t="n">
        <x:v>0</x:v>
      </x:c>
      <x:c r="M6334" t="n">
        <x:v>0</x:v>
      </x:c>
      <x:c r="N6334" t="str">
        <x:v>Fully Paid</x:v>
      </x:c>
      <x:c r="O6334" t="str">
        <x:f>IF(D6334="","Unknown",IF(D6334&lt;25000,"&lt;$25k",IF(D6334&lt;50000,"$25k-$50k",IF(D6334&lt;75000,"$50k-$75k",IF(D6334&lt;100000,"$75k-$100k","$100k+")))))</x:f>
        <x:v>$50k-$75k</x:v>
      </x:c>
      <x:c r="P6334" t="str">
        <x:f>IF(E6334="","Unknown",IF(E6334&lt;10,"&lt;10",IF(E6334&lt;20,"10-&lt;20",IF(E6334&lt;25,"20-&lt;25",IF(E6334&lt;35,"25-&lt;35","35+")))))</x:f>
        <x:v>25-&lt;35</x:v>
      </x:c>
    </x:row>
    <x:row r="6335">
      <x:c r="A6335" t="str">
        <x:v>SYN0006334</x:v>
      </x:c>
      <x:c r="B6335" s="12" t="n">
        <x:v>42985</x:v>
      </x:c>
      <x:c r="C6335" s="18" t="n">
        <x:v>9278</x:v>
      </x:c>
      <x:c r="D6335" s="18" t="n">
        <x:v>20595</x:v>
      </x:c>
      <x:c r="E6335" s="18" t="n">
        <x:v>25.14</x:v>
      </x:c>
      <x:c r="F6335" s="18" t="n">
        <x:v>15.33</x:v>
      </x:c>
      <x:c r="G6335" t="n">
        <x:v>60</x:v>
      </x:c>
      <x:c r="H6335" t="str">
        <x:v>E</x:v>
      </x:c>
      <x:c r="I6335" t="str">
        <x:v>1-3 years</x:v>
      </x:c>
      <x:c r="J6335" t="str">
        <x:v>RENT</x:v>
      </x:c>
      <x:c r="K6335" t="str">
        <x:v>debt_consolidation</x:v>
      </x:c>
      <x:c r="L6335" t="n">
        <x:v>0</x:v>
      </x:c>
      <x:c r="M6335" t="n">
        <x:v>1</x:v>
      </x:c>
      <x:c r="N6335" t="str">
        <x:v>Charged Off</x:v>
      </x:c>
      <x:c r="O6335" t="str">
        <x:f>IF(D6335="","Unknown",IF(D6335&lt;25000,"&lt;$25k",IF(D6335&lt;50000,"$25k-$50k",IF(D6335&lt;75000,"$50k-$75k",IF(D6335&lt;100000,"$75k-$100k","$100k+")))))</x:f>
        <x:v>&lt;$25k</x:v>
      </x:c>
      <x:c r="P6335" t="str">
        <x:f>IF(E6335="","Unknown",IF(E6335&lt;10,"&lt;10",IF(E6335&lt;20,"10-&lt;20",IF(E6335&lt;25,"20-&lt;25",IF(E6335&lt;35,"25-&lt;35","35+")))))</x:f>
        <x:v>25-&lt;35</x:v>
      </x:c>
    </x:row>
    <x:row r="6336">
      <x:c r="A6336" t="str">
        <x:v>SYN0006335</x:v>
      </x:c>
      <x:c r="B6336" s="12" t="n">
        <x:v>42835</x:v>
      </x:c>
      <x:c r="C6336" s="18" t="n">
        <x:v>5789</x:v>
      </x:c>
      <x:c r="D6336" s="18" t="n">
        <x:v>112726</x:v>
      </x:c>
      <x:c r="E6336" s="18" t="n">
        <x:v>34.33</x:v>
      </x:c>
      <x:c r="F6336" s="18" t="n">
        <x:v>22.33</x:v>
      </x:c>
      <x:c r="G6336" t="n">
        <x:v>36</x:v>
      </x:c>
      <x:c r="H6336" t="str">
        <x:v>F</x:v>
      </x:c>
      <x:c r="I6336" t="str">
        <x:v>10+ years</x:v>
      </x:c>
      <x:c r="J6336" t="str">
        <x:v>RENT</x:v>
      </x:c>
      <x:c r="K6336" t="str">
        <x:v>credit_card</x:v>
      </x:c>
      <x:c r="L6336" t="n">
        <x:v>1</x:v>
      </x:c>
      <x:c r="M6336" t="n">
        <x:v>0</x:v>
      </x:c>
      <x:c r="N6336" t="str">
        <x:v>Fully Paid</x:v>
      </x:c>
      <x:c r="O6336" t="str">
        <x:f>IF(D6336="","Unknown",IF(D6336&lt;25000,"&lt;$25k",IF(D6336&lt;50000,"$25k-$50k",IF(D6336&lt;75000,"$50k-$75k",IF(D6336&lt;100000,"$75k-$100k","$100k+")))))</x:f>
        <x:v>$100k+</x:v>
      </x:c>
      <x:c r="P6336" t="str">
        <x:f>IF(E6336="","Unknown",IF(E6336&lt;10,"&lt;10",IF(E6336&lt;20,"10-&lt;20",IF(E6336&lt;25,"20-&lt;25",IF(E6336&lt;35,"25-&lt;35","35+")))))</x:f>
        <x:v>25-&lt;35</x:v>
      </x:c>
    </x:row>
    <x:row r="6337">
      <x:c r="A6337" t="str">
        <x:v>SYN0006336</x:v>
      </x:c>
      <x:c r="B6337" s="12" t="n">
        <x:v>42745</x:v>
      </x:c>
      <x:c r="C6337" s="18" t="n">
        <x:v>10537</x:v>
      </x:c>
      <x:c r="D6337" s="18" t="n">
        <x:v>23636</x:v>
      </x:c>
      <x:c r="E6337" s="18" t="n">
        <x:v>24.17</x:v>
      </x:c>
      <x:c r="F6337" s="18" t="n">
        <x:v>9.09</x:v>
      </x:c>
      <x:c r="G6337" t="n">
        <x:v>36</x:v>
      </x:c>
      <x:c r="H6337" t="str">
        <x:v>B</x:v>
      </x:c>
      <x:c r="I6337" t="str">
        <x:v>1-3 years</x:v>
      </x:c>
      <x:c r="J6337" t="str">
        <x:v>RENT</x:v>
      </x:c>
      <x:c r="K6337" t="str">
        <x:v>credit_card</x:v>
      </x:c>
      <x:c r="L6337" t="n">
        <x:v>0</x:v>
      </x:c>
      <x:c r="M6337" t="n">
        <x:v>0</x:v>
      </x:c>
      <x:c r="N6337" t="str">
        <x:v>Fully Paid</x:v>
      </x:c>
      <x:c r="O6337" t="str">
        <x:f>IF(D6337="","Unknown",IF(D6337&lt;25000,"&lt;$25k",IF(D6337&lt;50000,"$25k-$50k",IF(D6337&lt;75000,"$50k-$75k",IF(D6337&lt;100000,"$75k-$100k","$100k+")))))</x:f>
        <x:v>&lt;$25k</x:v>
      </x:c>
      <x:c r="P6337" t="str">
        <x:f>IF(E6337="","Unknown",IF(E6337&lt;10,"&lt;10",IF(E6337&lt;20,"10-&lt;20",IF(E6337&lt;25,"20-&lt;25",IF(E6337&lt;35,"25-&lt;35","35+")))))</x:f>
        <x:v>20-&lt;25</x:v>
      </x:c>
    </x:row>
    <x:row r="6338">
      <x:c r="A6338" t="str">
        <x:v>SYN0006337</x:v>
      </x:c>
      <x:c r="B6338" s="12" t="n">
        <x:v>42115</x:v>
      </x:c>
      <x:c r="C6338" s="18" t="n">
        <x:v>12841</x:v>
      </x:c>
      <x:c r="D6338" s="18" t="n">
        <x:v>19877</x:v>
      </x:c>
      <x:c r="E6338" s="18" t="n">
        <x:v>31.37</x:v>
      </x:c>
      <x:c r="F6338" s="18" t="n">
        <x:v>10.35</x:v>
      </x:c>
      <x:c r="G6338" t="n">
        <x:v>36</x:v>
      </x:c>
      <x:c r="H6338" t="str">
        <x:v>C</x:v>
      </x:c>
      <x:c r="I6338" t="str">
        <x:v>4-6 years</x:v>
      </x:c>
      <x:c r="J6338" t="str">
        <x:v>MORTGAGE</x:v>
      </x:c>
      <x:c r="K6338" t="str">
        <x:v>debt_consolidation</x:v>
      </x:c>
      <x:c r="L6338" t="n">
        <x:v>0</x:v>
      </x:c>
      <x:c r="M6338" t="n">
        <x:v>0</x:v>
      </x:c>
      <x:c r="N6338" t="str">
        <x:v>Fully Paid</x:v>
      </x:c>
      <x:c r="O6338" t="str">
        <x:f>IF(D6338="","Unknown",IF(D6338&lt;25000,"&lt;$25k",IF(D6338&lt;50000,"$25k-$50k",IF(D6338&lt;75000,"$50k-$75k",IF(D6338&lt;100000,"$75k-$100k","$100k+")))))</x:f>
        <x:v>&lt;$25k</x:v>
      </x:c>
      <x:c r="P6338" t="str">
        <x:f>IF(E6338="","Unknown",IF(E6338&lt;10,"&lt;10",IF(E6338&lt;20,"10-&lt;20",IF(E6338&lt;25,"20-&lt;25",IF(E6338&lt;35,"25-&lt;35","35+")))))</x:f>
        <x:v>25-&lt;35</x:v>
      </x:c>
    </x:row>
    <x:row r="6339">
      <x:c r="A6339" t="str">
        <x:v>SYN0006338</x:v>
      </x:c>
      <x:c r="B6339" s="12" t="n">
        <x:v>42535</x:v>
      </x:c>
      <x:c r="C6339" s="18" t="n">
        <x:v>13522</x:v>
      </x:c>
      <x:c r="D6339" s="18" t="n">
        <x:v>162369</x:v>
      </x:c>
      <x:c r="E6339" s="18" t="n">
        <x:v>13.92</x:v>
      </x:c>
      <x:c r="F6339" s="18" t="n">
        <x:v>5</x:v>
      </x:c>
      <x:c r="G6339" t="n">
        <x:v>60</x:v>
      </x:c>
      <x:c r="H6339" t="str">
        <x:v>B</x:v>
      </x:c>
      <x:c r="I6339" t="str">
        <x:v>7-9 years</x:v>
      </x:c>
      <x:c r="J6339" t="str">
        <x:v>MORTGAGE</x:v>
      </x:c>
      <x:c r="K6339" t="str">
        <x:v>debt_consolidation</x:v>
      </x:c>
      <x:c r="L6339" t="n">
        <x:v>1</x:v>
      </x:c>
      <x:c r="M6339" t="n">
        <x:v>0</x:v>
      </x:c>
      <x:c r="N6339" t="str">
        <x:v>Fully Paid</x:v>
      </x:c>
      <x:c r="O6339" t="str">
        <x:f>IF(D6339="","Unknown",IF(D6339&lt;25000,"&lt;$25k",IF(D6339&lt;50000,"$25k-$50k",IF(D6339&lt;75000,"$50k-$75k",IF(D6339&lt;100000,"$75k-$100k","$100k+")))))</x:f>
        <x:v>$100k+</x:v>
      </x:c>
      <x:c r="P6339" t="str">
        <x:f>IF(E6339="","Unknown",IF(E6339&lt;10,"&lt;10",IF(E6339&lt;20,"10-&lt;20",IF(E6339&lt;25,"20-&lt;25",IF(E6339&lt;35,"25-&lt;35","35+")))))</x:f>
        <x:v>10-&lt;20</x:v>
      </x:c>
    </x:row>
    <x:row r="6340">
      <x:c r="A6340" t="str">
        <x:v>SYN0006339</x:v>
      </x:c>
      <x:c r="B6340" s="12" t="n">
        <x:v>41785</x:v>
      </x:c>
      <x:c r="C6340" s="18" t="n">
        <x:v>13319</x:v>
      </x:c>
      <x:c r="D6340" s="18" t="n">
        <x:v>89061</x:v>
      </x:c>
      <x:c r="E6340" s="18" t="n">
        <x:v>29.78</x:v>
      </x:c>
      <x:c r="F6340" s="18" t="n">
        <x:v>11.41</x:v>
      </x:c>
      <x:c r="G6340" t="n">
        <x:v>36</x:v>
      </x:c>
      <x:c r="H6340" t="str">
        <x:v>D</x:v>
      </x:c>
      <x:c r="I6340" t="str">
        <x:v>10+ years</x:v>
      </x:c>
      <x:c r="J6340" t="str">
        <x:v>MORTGAGE</x:v>
      </x:c>
      <x:c r="K6340" t="str">
        <x:v>home_improvement</x:v>
      </x:c>
      <x:c r="L6340" t="n">
        <x:v>0</x:v>
      </x:c>
      <x:c r="M6340" t="n">
        <x:v>0</x:v>
      </x:c>
      <x:c r="N6340" t="str">
        <x:v>Fully Paid</x:v>
      </x:c>
      <x:c r="O6340" t="str">
        <x:f>IF(D6340="","Unknown",IF(D6340&lt;25000,"&lt;$25k",IF(D6340&lt;50000,"$25k-$50k",IF(D6340&lt;75000,"$50k-$75k",IF(D6340&lt;100000,"$75k-$100k","$100k+")))))</x:f>
        <x:v>$75k-$100k</x:v>
      </x:c>
      <x:c r="P6340" t="str">
        <x:f>IF(E6340="","Unknown",IF(E6340&lt;10,"&lt;10",IF(E6340&lt;20,"10-&lt;20",IF(E6340&lt;25,"20-&lt;25",IF(E6340&lt;35,"25-&lt;35","35+")))))</x:f>
        <x:v>25-&lt;35</x:v>
      </x:c>
    </x:row>
    <x:row r="6341">
      <x:c r="A6341" t="str">
        <x:v>SYN0006340</x:v>
      </x:c>
      <x:c r="B6341" s="12" t="n">
        <x:v>41755</x:v>
      </x:c>
      <x:c r="C6341" s="18" t="n">
        <x:v>10167</x:v>
      </x:c>
      <x:c r="D6341" s="18" t="n">
        <x:v>119784</x:v>
      </x:c>
      <x:c r="E6341" s="18" t="n">
        <x:v>23.35</x:v>
      </x:c>
      <x:c r="F6341" s="18" t="n">
        <x:v>12.89</x:v>
      </x:c>
      <x:c r="G6341" t="n">
        <x:v>36</x:v>
      </x:c>
      <x:c r="H6341" t="str">
        <x:v>D</x:v>
      </x:c>
      <x:c r="I6341" t="str">
        <x:v>1-3 years</x:v>
      </x:c>
      <x:c r="J6341" t="str">
        <x:v>RENT</x:v>
      </x:c>
      <x:c r="K6341" t="str">
        <x:v>other</x:v>
      </x:c>
      <x:c r="L6341" t="n">
        <x:v>0</x:v>
      </x:c>
      <x:c r="M6341" t="n">
        <x:v>0</x:v>
      </x:c>
      <x:c r="N6341" t="str">
        <x:v>Fully Paid</x:v>
      </x:c>
      <x:c r="O6341" t="str">
        <x:f>IF(D6341="","Unknown",IF(D6341&lt;25000,"&lt;$25k",IF(D6341&lt;50000,"$25k-$50k",IF(D6341&lt;75000,"$50k-$75k",IF(D6341&lt;100000,"$75k-$100k","$100k+")))))</x:f>
        <x:v>$100k+</x:v>
      </x:c>
      <x:c r="P6341" t="str">
        <x:f>IF(E6341="","Unknown",IF(E6341&lt;10,"&lt;10",IF(E6341&lt;20,"10-&lt;20",IF(E6341&lt;25,"20-&lt;25",IF(E6341&lt;35,"25-&lt;35","35+")))))</x:f>
        <x:v>20-&lt;25</x:v>
      </x:c>
    </x:row>
    <x:row r="6342">
      <x:c r="A6342" t="str">
        <x:v>SYN0006341</x:v>
      </x:c>
      <x:c r="B6342" s="12" t="n">
        <x:v>42265</x:v>
      </x:c>
      <x:c r="C6342" s="18" t="n">
        <x:v>40000</x:v>
      </x:c>
      <x:c r="D6342" s="18" t="n">
        <x:v>59665</x:v>
      </x:c>
      <x:c r="E6342" s="18" t="n">
        <x:v>1.5</x:v>
      </x:c>
      <x:c r="F6342" s="18" t="n">
        <x:v>6.34</x:v>
      </x:c>
      <x:c r="G6342" t="n">
        <x:v>36</x:v>
      </x:c>
      <x:c r="H6342" t="str">
        <x:v>A</x:v>
      </x:c>
      <x:c r="I6342" t="str">
        <x:v>4-6 years</x:v>
      </x:c>
      <x:c r="J6342" t="str">
        <x:v>MORTGAGE</x:v>
      </x:c>
      <x:c r="K6342" t="str">
        <x:v>debt_consolidation</x:v>
      </x:c>
      <x:c r="L6342" t="n">
        <x:v>1</x:v>
      </x:c>
      <x:c r="M6342" t="n">
        <x:v>0</x:v>
      </x:c>
      <x:c r="N6342" t="str">
        <x:v>Fully Paid</x:v>
      </x:c>
      <x:c r="O6342" t="str">
        <x:f>IF(D6342="","Unknown",IF(D6342&lt;25000,"&lt;$25k",IF(D6342&lt;50000,"$25k-$50k",IF(D6342&lt;75000,"$50k-$75k",IF(D6342&lt;100000,"$75k-$100k","$100k+")))))</x:f>
        <x:v>$50k-$75k</x:v>
      </x:c>
      <x:c r="P6342" t="str">
        <x:f>IF(E6342="","Unknown",IF(E6342&lt;10,"&lt;10",IF(E6342&lt;20,"10-&lt;20",IF(E6342&lt;25,"20-&lt;25",IF(E6342&lt;35,"25-&lt;35","35+")))))</x:f>
        <x:v>&lt;10</x:v>
      </x:c>
    </x:row>
    <x:row r="6343">
      <x:c r="A6343" t="str">
        <x:v>SYN0006342</x:v>
      </x:c>
      <x:c r="B6343" s="12" t="n">
        <x:v>41425</x:v>
      </x:c>
      <x:c r="C6343" s="18" t="n">
        <x:v>3417</x:v>
      </x:c>
      <x:c r="D6343" s="18" t="n">
        <x:v>52565</x:v>
      </x:c>
      <x:c r="E6343" s="18" t="n">
        <x:v>24.03</x:v>
      </x:c>
      <x:c r="F6343" s="18" t="n">
        <x:v>9.92</x:v>
      </x:c>
      <x:c r="G6343" t="n">
        <x:v>36</x:v>
      </x:c>
      <x:c r="H6343" t="str">
        <x:v>C</x:v>
      </x:c>
      <x:c r="I6343" t="str">
        <x:v>4-6 years</x:v>
      </x:c>
      <x:c r="J6343" t="str">
        <x:v>MORTGAGE</x:v>
      </x:c>
      <x:c r="K6343" t="str">
        <x:v>debt_consolidation</x:v>
      </x:c>
      <x:c r="L6343" t="n">
        <x:v>0</x:v>
      </x:c>
      <x:c r="M6343" t="n">
        <x:v>0</x:v>
      </x:c>
      <x:c r="N6343" t="str">
        <x:v>Fully Paid</x:v>
      </x:c>
      <x:c r="O6343" t="str">
        <x:f>IF(D6343="","Unknown",IF(D6343&lt;25000,"&lt;$25k",IF(D6343&lt;50000,"$25k-$50k",IF(D6343&lt;75000,"$50k-$75k",IF(D6343&lt;100000,"$75k-$100k","$100k+")))))</x:f>
        <x:v>$50k-$75k</x:v>
      </x:c>
      <x:c r="P6343" t="str">
        <x:f>IF(E6343="","Unknown",IF(E6343&lt;10,"&lt;10",IF(E6343&lt;20,"10-&lt;20",IF(E6343&lt;25,"20-&lt;25",IF(E6343&lt;35,"25-&lt;35","35+")))))</x:f>
        <x:v>20-&lt;25</x:v>
      </x:c>
    </x:row>
    <x:row r="6344">
      <x:c r="A6344" t="str">
        <x:v>SYN0006343</x:v>
      </x:c>
      <x:c r="B6344" s="12" t="n">
        <x:v>42445</x:v>
      </x:c>
      <x:c r="C6344" s="18" t="n">
        <x:v>12390</x:v>
      </x:c>
      <x:c r="D6344" s="18" t="n">
        <x:v>59132</x:v>
      </x:c>
      <x:c r="E6344" s="18" t="n">
        <x:v>12.82</x:v>
      </x:c>
      <x:c r="F6344" s="18" t="n">
        <x:v>17.73</x:v>
      </x:c>
      <x:c r="G6344" t="n">
        <x:v>60</x:v>
      </x:c>
      <x:c r="H6344" t="str">
        <x:v>E</x:v>
      </x:c>
      <x:c r="I6344" t="str">
        <x:v>10+ years</x:v>
      </x:c>
      <x:c r="J6344" t="str">
        <x:v>RENT</x:v>
      </x:c>
      <x:c r="K6344" t="str">
        <x:v>credit_card</x:v>
      </x:c>
      <x:c r="L6344" t="n">
        <x:v>0</x:v>
      </x:c>
      <x:c r="M6344" t="n">
        <x:v>0</x:v>
      </x:c>
      <x:c r="N6344" t="str">
        <x:v>Fully Paid</x:v>
      </x:c>
      <x:c r="O6344" t="str">
        <x:f>IF(D6344="","Unknown",IF(D6344&lt;25000,"&lt;$25k",IF(D6344&lt;50000,"$25k-$50k",IF(D6344&lt;75000,"$50k-$75k",IF(D6344&lt;100000,"$75k-$100k","$100k+")))))</x:f>
        <x:v>$50k-$75k</x:v>
      </x:c>
      <x:c r="P6344" t="str">
        <x:f>IF(E6344="","Unknown",IF(E6344&lt;10,"&lt;10",IF(E6344&lt;20,"10-&lt;20",IF(E6344&lt;25,"20-&lt;25",IF(E6344&lt;35,"25-&lt;35","35+")))))</x:f>
        <x:v>10-&lt;20</x:v>
      </x:c>
    </x:row>
    <x:row r="6345">
      <x:c r="A6345" t="str">
        <x:v>SYN0006344</x:v>
      </x:c>
      <x:c r="B6345" s="12" t="n">
        <x:v>42775</x:v>
      </x:c>
      <x:c r="C6345" s="18" t="n">
        <x:v>17058</x:v>
      </x:c>
      <x:c r="D6345" s="18" t="n">
        <x:v>85755</x:v>
      </x:c>
      <x:c r="E6345" s="18" t="n">
        <x:v>28.3</x:v>
      </x:c>
      <x:c r="F6345" s="18" t="n">
        <x:v>12.65</x:v>
      </x:c>
      <x:c r="G6345" t="n">
        <x:v>60</x:v>
      </x:c>
      <x:c r="H6345" t="str">
        <x:v>C</x:v>
      </x:c>
      <x:c r="I6345" t="str">
        <x:v>7-9 years</x:v>
      </x:c>
      <x:c r="J6345" t="str">
        <x:v>RENT</x:v>
      </x:c>
      <x:c r="K6345" t="str">
        <x:v>credit_card</x:v>
      </x:c>
      <x:c r="L6345" t="n">
        <x:v>0</x:v>
      </x:c>
      <x:c r="M6345" t="n">
        <x:v>0</x:v>
      </x:c>
      <x:c r="N6345" t="str">
        <x:v>Fully Paid</x:v>
      </x:c>
      <x:c r="O6345" t="str">
        <x:f>IF(D6345="","Unknown",IF(D6345&lt;25000,"&lt;$25k",IF(D6345&lt;50000,"$25k-$50k",IF(D6345&lt;75000,"$50k-$75k",IF(D6345&lt;100000,"$75k-$100k","$100k+")))))</x:f>
        <x:v>$75k-$100k</x:v>
      </x:c>
      <x:c r="P6345" t="str">
        <x:f>IF(E6345="","Unknown",IF(E6345&lt;10,"&lt;10",IF(E6345&lt;20,"10-&lt;20",IF(E6345&lt;25,"20-&lt;25",IF(E6345&lt;35,"25-&lt;35","35+")))))</x:f>
        <x:v>25-&lt;35</x:v>
      </x:c>
    </x:row>
    <x:row r="6346">
      <x:c r="A6346" t="str">
        <x:v>SYN0006345</x:v>
      </x:c>
      <x:c r="B6346" s="12" t="n">
        <x:v>43165</x:v>
      </x:c>
      <x:c r="C6346" s="18" t="n">
        <x:v>12617</x:v>
      </x:c>
      <x:c r="D6346" s="18" t="n">
        <x:v>53291</x:v>
      </x:c>
      <x:c r="E6346" s="18" t="n">
        <x:v>9.44</x:v>
      </x:c>
      <x:c r="F6346" s="18" t="n">
        <x:v>8.21</x:v>
      </x:c>
      <x:c r="G6346" t="n">
        <x:v>36</x:v>
      </x:c>
      <x:c r="H6346" t="str">
        <x:v>A</x:v>
      </x:c>
      <x:c r="I6346" t="str">
        <x:v>&lt;1 year</x:v>
      </x:c>
      <x:c r="J6346" t="str">
        <x:v>MORTGAGE</x:v>
      </x:c>
      <x:c r="K6346" t="str">
        <x:v>credit_card</x:v>
      </x:c>
      <x:c r="L6346" t="n">
        <x:v>0</x:v>
      </x:c>
      <x:c r="M6346" t="n">
        <x:v>0</x:v>
      </x:c>
      <x:c r="N6346" t="str">
        <x:v>Fully Paid</x:v>
      </x:c>
      <x:c r="O6346" t="str">
        <x:f>IF(D6346="","Unknown",IF(D6346&lt;25000,"&lt;$25k",IF(D6346&lt;50000,"$25k-$50k",IF(D6346&lt;75000,"$50k-$75k",IF(D6346&lt;100000,"$75k-$100k","$100k+")))))</x:f>
        <x:v>$50k-$75k</x:v>
      </x:c>
      <x:c r="P6346" t="str">
        <x:f>IF(E6346="","Unknown",IF(E6346&lt;10,"&lt;10",IF(E6346&lt;20,"10-&lt;20",IF(E6346&lt;25,"20-&lt;25",IF(E6346&lt;35,"25-&lt;35","35+")))))</x:f>
        <x:v>&lt;10</x:v>
      </x:c>
    </x:row>
    <x:row r="6347">
      <x:c r="A6347" t="str">
        <x:v>SYN0006346</x:v>
      </x:c>
      <x:c r="B6347" s="12" t="n">
        <x:v>41875</x:v>
      </x:c>
      <x:c r="C6347" s="18" t="n">
        <x:v>16422</x:v>
      </x:c>
      <x:c r="D6347" s="18" t="n">
        <x:v>40095</x:v>
      </x:c>
      <x:c r="E6347" s="18" t="n">
        <x:v>33.41</x:v>
      </x:c>
      <x:c r="F6347" s="18" t="n">
        <x:v>11.08</x:v>
      </x:c>
      <x:c r="G6347" t="n">
        <x:v>36</x:v>
      </x:c>
      <x:c r="H6347" t="str">
        <x:v>C</x:v>
      </x:c>
      <x:c r="I6347" t="str">
        <x:v>&lt;1 year</x:v>
      </x:c>
      <x:c r="J6347" t="str">
        <x:v>MORTGAGE</x:v>
      </x:c>
      <x:c r="K6347" t="str">
        <x:v>other</x:v>
      </x:c>
      <x:c r="L6347" t="n">
        <x:v>0</x:v>
      </x:c>
      <x:c r="M6347" t="n">
        <x:v>0</x:v>
      </x:c>
      <x:c r="N6347" t="str">
        <x:v>Fully Paid</x:v>
      </x:c>
      <x:c r="O6347" t="str">
        <x:f>IF(D6347="","Unknown",IF(D6347&lt;25000,"&lt;$25k",IF(D6347&lt;50000,"$25k-$50k",IF(D6347&lt;75000,"$50k-$75k",IF(D6347&lt;100000,"$75k-$100k","$100k+")))))</x:f>
        <x:v>$25k-$50k</x:v>
      </x:c>
      <x:c r="P6347" t="str">
        <x:f>IF(E6347="","Unknown",IF(E6347&lt;10,"&lt;10",IF(E6347&lt;20,"10-&lt;20",IF(E6347&lt;25,"20-&lt;25",IF(E6347&lt;35,"25-&lt;35","35+")))))</x:f>
        <x:v>25-&lt;35</x:v>
      </x:c>
    </x:row>
    <x:row r="6348">
      <x:c r="A6348" t="str">
        <x:v>SYN0006347</x:v>
      </x:c>
      <x:c r="B6348" s="12" t="n">
        <x:v>43165</x:v>
      </x:c>
      <x:c r="C6348" s="18" t="n">
        <x:v>15212</x:v>
      </x:c>
      <x:c r="D6348" s="18" t="n">
        <x:v>69463</x:v>
      </x:c>
      <x:c r="E6348" s="18" t="n">
        <x:v>26.84</x:v>
      </x:c>
      <x:c r="F6348" s="18" t="n">
        <x:v>14.94</x:v>
      </x:c>
      <x:c r="G6348" t="n">
        <x:v>36</x:v>
      </x:c>
      <x:c r="H6348" t="str">
        <x:v>D</x:v>
      </x:c>
      <x:c r="I6348" t="str">
        <x:v>4-6 years</x:v>
      </x:c>
      <x:c r="J6348" t="str">
        <x:v>MORTGAGE</x:v>
      </x:c>
      <x:c r="K6348" t="str">
        <x:v>debt_consolidation</x:v>
      </x:c>
      <x:c r="L6348" t="n">
        <x:v>1</x:v>
      </x:c>
      <x:c r="M6348" t="n">
        <x:v>0</x:v>
      </x:c>
      <x:c r="N6348" t="str">
        <x:v>Fully Paid</x:v>
      </x:c>
      <x:c r="O6348" t="str">
        <x:f>IF(D6348="","Unknown",IF(D6348&lt;25000,"&lt;$25k",IF(D6348&lt;50000,"$25k-$50k",IF(D6348&lt;75000,"$50k-$75k",IF(D6348&lt;100000,"$75k-$100k","$100k+")))))</x:f>
        <x:v>$50k-$75k</x:v>
      </x:c>
      <x:c r="P6348" t="str">
        <x:f>IF(E6348="","Unknown",IF(E6348&lt;10,"&lt;10",IF(E6348&lt;20,"10-&lt;20",IF(E6348&lt;25,"20-&lt;25",IF(E6348&lt;35,"25-&lt;35","35+")))))</x:f>
        <x:v>25-&lt;35</x:v>
      </x:c>
    </x:row>
    <x:row r="6349">
      <x:c r="A6349" t="str">
        <x:v>SYN0006348</x:v>
      </x:c>
      <x:c r="B6349" s="12" t="n">
        <x:v>42445</x:v>
      </x:c>
      <x:c r="C6349" s="18" t="n">
        <x:v>5436</x:v>
      </x:c>
      <x:c r="D6349" s="18" t="n">
        <x:v>49149</x:v>
      </x:c>
      <x:c r="E6349" s="18" t="n">
        <x:v>26.12</x:v>
      </x:c>
      <x:c r="F6349" s="18" t="n">
        <x:v>9.58</x:v>
      </x:c>
      <x:c r="G6349" t="n">
        <x:v>36</x:v>
      </x:c>
      <x:c r="H6349" t="str">
        <x:v>B</x:v>
      </x:c>
      <x:c r="I6349" t="str">
        <x:v>10+ years</x:v>
      </x:c>
      <x:c r="J6349" t="str">
        <x:v>MORTGAGE</x:v>
      </x:c>
      <x:c r="K6349" t="str">
        <x:v>other</x:v>
      </x:c>
      <x:c r="L6349" t="n">
        <x:v>0</x:v>
      </x:c>
      <x:c r="M6349" t="n">
        <x:v>0</x:v>
      </x:c>
      <x:c r="N6349" t="str">
        <x:v>Fully Paid</x:v>
      </x:c>
      <x:c r="O6349" t="str">
        <x:f>IF(D6349="","Unknown",IF(D6349&lt;25000,"&lt;$25k",IF(D6349&lt;50000,"$25k-$50k",IF(D6349&lt;75000,"$50k-$75k",IF(D6349&lt;100000,"$75k-$100k","$100k+")))))</x:f>
        <x:v>$25k-$50k</x:v>
      </x:c>
      <x:c r="P6349" t="str">
        <x:f>IF(E6349="","Unknown",IF(E6349&lt;10,"&lt;10",IF(E6349&lt;20,"10-&lt;20",IF(E6349&lt;25,"20-&lt;25",IF(E6349&lt;35,"25-&lt;35","35+")))))</x:f>
        <x:v>25-&lt;35</x:v>
      </x:c>
    </x:row>
    <x:row r="6350">
      <x:c r="A6350" t="str">
        <x:v>SYN0006349</x:v>
      </x:c>
      <x:c r="B6350" s="12" t="n">
        <x:v>42895</x:v>
      </x:c>
      <x:c r="C6350" s="18" t="n">
        <x:v>7787</x:v>
      </x:c>
      <x:c r="D6350" s="18" t="n">
        <x:v>34766</x:v>
      </x:c>
      <x:c r="E6350" s="18" t="n">
        <x:v>17.25</x:v>
      </x:c>
      <x:c r="F6350" s="18" t="n">
        <x:v>25</x:v>
      </x:c>
      <x:c r="G6350" t="n">
        <x:v>36</x:v>
      </x:c>
      <x:c r="H6350" t="str">
        <x:v>G</x:v>
      </x:c>
      <x:c r="I6350" t="str">
        <x:v>&lt;1 year</x:v>
      </x:c>
      <x:c r="J6350" t="str">
        <x:v>MORTGAGE</x:v>
      </x:c>
      <x:c r="K6350" t="str">
        <x:v>debt_consolidation</x:v>
      </x:c>
      <x:c r="L6350" t="n">
        <x:v>0</x:v>
      </x:c>
      <x:c r="M6350" t="n">
        <x:v>0</x:v>
      </x:c>
      <x:c r="N6350" t="str">
        <x:v>Fully Paid</x:v>
      </x:c>
      <x:c r="O6350" t="str">
        <x:f>IF(D6350="","Unknown",IF(D6350&lt;25000,"&lt;$25k",IF(D6350&lt;50000,"$25k-$50k",IF(D6350&lt;75000,"$50k-$75k",IF(D6350&lt;100000,"$75k-$100k","$100k+")))))</x:f>
        <x:v>$25k-$50k</x:v>
      </x:c>
      <x:c r="P6350" t="str">
        <x:f>IF(E6350="","Unknown",IF(E6350&lt;10,"&lt;10",IF(E6350&lt;20,"10-&lt;20",IF(E6350&lt;25,"20-&lt;25",IF(E6350&lt;35,"25-&lt;35","35+")))))</x:f>
        <x:v>10-&lt;20</x:v>
      </x:c>
    </x:row>
    <x:row r="6351">
      <x:c r="A6351" t="str">
        <x:v>SYN0006350</x:v>
      </x:c>
      <x:c r="B6351" s="12" t="n">
        <x:v>41785</x:v>
      </x:c>
      <x:c r="C6351" s="18" t="n">
        <x:v>13370</x:v>
      </x:c>
      <x:c r="D6351" s="18" t="n">
        <x:v>104172</x:v>
      </x:c>
      <x:c r="E6351" s="18" t="n">
        <x:v>0</x:v>
      </x:c>
      <x:c r="F6351" s="18" t="n">
        <x:v>11.54</x:v>
      </x:c>
      <x:c r="G6351" t="n">
        <x:v>60</x:v>
      </x:c>
      <x:c r="H6351" t="str">
        <x:v>C</x:v>
      </x:c>
      <x:c r="I6351" t="str">
        <x:v>1-3 years</x:v>
      </x:c>
      <x:c r="J6351" t="str">
        <x:v>MORTGAGE</x:v>
      </x:c>
      <x:c r="K6351" t="str">
        <x:v>other</x:v>
      </x:c>
      <x:c r="L6351" t="n">
        <x:v>0</x:v>
      </x:c>
      <x:c r="M6351" t="n">
        <x:v>0</x:v>
      </x:c>
      <x:c r="N6351" t="str">
        <x:v>Fully Paid</x:v>
      </x:c>
      <x:c r="O6351" t="str">
        <x:f>IF(D6351="","Unknown",IF(D6351&lt;25000,"&lt;$25k",IF(D6351&lt;50000,"$25k-$50k",IF(D6351&lt;75000,"$50k-$75k",IF(D6351&lt;100000,"$75k-$100k","$100k+")))))</x:f>
        <x:v>$100k+</x:v>
      </x:c>
      <x:c r="P6351" t="str">
        <x:f>IF(E6351="","Unknown",IF(E6351&lt;10,"&lt;10",IF(E6351&lt;20,"10-&lt;20",IF(E6351&lt;25,"20-&lt;25",IF(E6351&lt;35,"25-&lt;35","35+")))))</x:f>
        <x:v>Unknown</x:v>
      </x:c>
    </x:row>
    <x:row r="6352">
      <x:c r="A6352" t="str">
        <x:v>SYN0006351</x:v>
      </x:c>
      <x:c r="B6352" s="12" t="n">
        <x:v>41785</x:v>
      </x:c>
      <x:c r="C6352" s="18" t="n">
        <x:v>12034</x:v>
      </x:c>
      <x:c r="D6352" s="18" t="n">
        <x:v>23103</x:v>
      </x:c>
      <x:c r="E6352" s="18" t="n">
        <x:v>19.52</x:v>
      </x:c>
      <x:c r="F6352" s="18" t="n">
        <x:v>10.92</x:v>
      </x:c>
      <x:c r="G6352" t="n">
        <x:v>36</x:v>
      </x:c>
      <x:c r="H6352" t="str">
        <x:v>C</x:v>
      </x:c>
      <x:c r="I6352" t="str">
        <x:v>&lt;1 year</x:v>
      </x:c>
      <x:c r="J6352" t="str">
        <x:v>MORTGAGE</x:v>
      </x:c>
      <x:c r="K6352" t="str">
        <x:v>credit_card</x:v>
      </x:c>
      <x:c r="L6352" t="n">
        <x:v>0</x:v>
      </x:c>
      <x:c r="M6352" t="n">
        <x:v>0</x:v>
      </x:c>
      <x:c r="N6352" t="str">
        <x:v>Fully Paid</x:v>
      </x:c>
      <x:c r="O6352" t="str">
        <x:f>IF(D6352="","Unknown",IF(D6352&lt;25000,"&lt;$25k",IF(D6352&lt;50000,"$25k-$50k",IF(D6352&lt;75000,"$50k-$75k",IF(D6352&lt;100000,"$75k-$100k","$100k+")))))</x:f>
        <x:v>&lt;$25k</x:v>
      </x:c>
      <x:c r="P6352" t="str">
        <x:f>IF(E6352="","Unknown",IF(E6352&lt;10,"&lt;10",IF(E6352&lt;20,"10-&lt;20",IF(E6352&lt;25,"20-&lt;25",IF(E6352&lt;35,"25-&lt;35","35+")))))</x:f>
        <x:v>10-&lt;20</x:v>
      </x:c>
    </x:row>
    <x:row r="6353">
      <x:c r="A6353" t="str">
        <x:v>SYN0006352</x:v>
      </x:c>
      <x:c r="B6353" s="12" t="n">
        <x:v>42775</x:v>
      </x:c>
      <x:c r="C6353" s="18" t="n">
        <x:v>15447</x:v>
      </x:c>
      <x:c r="D6353" s="18" t="n">
        <x:v>82397</x:v>
      </x:c>
      <x:c r="E6353" s="18" t="n">
        <x:v>14.81</x:v>
      </x:c>
      <x:c r="F6353" s="18" t="n">
        <x:v>14.65</x:v>
      </x:c>
      <x:c r="G6353" t="n">
        <x:v>60</x:v>
      </x:c>
      <x:c r="H6353" t="str">
        <x:v>D</x:v>
      </x:c>
      <x:c r="I6353" t="str">
        <x:v>1-3 years</x:v>
      </x:c>
      <x:c r="J6353" t="str">
        <x:v>RENT</x:v>
      </x:c>
      <x:c r="K6353" t="str">
        <x:v>credit_card</x:v>
      </x:c>
      <x:c r="L6353" t="n">
        <x:v>2</x:v>
      </x:c>
      <x:c r="M6353" t="n">
        <x:v>0</x:v>
      </x:c>
      <x:c r="N6353" t="str">
        <x:v>Fully Paid</x:v>
      </x:c>
      <x:c r="O6353" t="str">
        <x:f>IF(D6353="","Unknown",IF(D6353&lt;25000,"&lt;$25k",IF(D6353&lt;50000,"$25k-$50k",IF(D6353&lt;75000,"$50k-$75k",IF(D6353&lt;100000,"$75k-$100k","$100k+")))))</x:f>
        <x:v>$75k-$100k</x:v>
      </x:c>
      <x:c r="P6353" t="str">
        <x:f>IF(E6353="","Unknown",IF(E6353&lt;10,"&lt;10",IF(E6353&lt;20,"10-&lt;20",IF(E6353&lt;25,"20-&lt;25",IF(E6353&lt;35,"25-&lt;35","35+")))))</x:f>
        <x:v>10-&lt;20</x:v>
      </x:c>
    </x:row>
    <x:row r="6354">
      <x:c r="A6354" t="str">
        <x:v>SYN0006353</x:v>
      </x:c>
      <x:c r="B6354" s="12" t="n">
        <x:v>41965</x:v>
      </x:c>
      <x:c r="C6354" s="18" t="n">
        <x:v>15997</x:v>
      </x:c>
      <x:c r="D6354" s="18" t="n">
        <x:v>29774</x:v>
      </x:c>
      <x:c r="E6354" s="18" t="n">
        <x:v>24.74</x:v>
      </x:c>
      <x:c r="F6354" s="18" t="n">
        <x:v>10.8</x:v>
      </x:c>
      <x:c r="G6354" t="n">
        <x:v>36</x:v>
      </x:c>
      <x:c r="H6354" t="str">
        <x:v>C</x:v>
      </x:c>
      <x:c r="I6354" t="str">
        <x:v>10+ years</x:v>
      </x:c>
      <x:c r="J6354" t="str">
        <x:v>RENT</x:v>
      </x:c>
      <x:c r="K6354" t="str">
        <x:v>major_purchase</x:v>
      </x:c>
      <x:c r="L6354" t="n">
        <x:v>0</x:v>
      </x:c>
      <x:c r="M6354" t="n">
        <x:v>0</x:v>
      </x:c>
      <x:c r="N6354" t="str">
        <x:v>Fully Paid</x:v>
      </x:c>
      <x:c r="O6354" t="str">
        <x:f>IF(D6354="","Unknown",IF(D6354&lt;25000,"&lt;$25k",IF(D6354&lt;50000,"$25k-$50k",IF(D6354&lt;75000,"$50k-$75k",IF(D6354&lt;100000,"$75k-$100k","$100k+")))))</x:f>
        <x:v>$25k-$50k</x:v>
      </x:c>
      <x:c r="P6354" t="str">
        <x:f>IF(E6354="","Unknown",IF(E6354&lt;10,"&lt;10",IF(E6354&lt;20,"10-&lt;20",IF(E6354&lt;25,"20-&lt;25",IF(E6354&lt;35,"25-&lt;35","35+")))))</x:f>
        <x:v>20-&lt;25</x:v>
      </x:c>
    </x:row>
    <x:row r="6355">
      <x:c r="A6355" t="str">
        <x:v>SYN0006354</x:v>
      </x:c>
      <x:c r="B6355" s="12" t="n">
        <x:v>41275</x:v>
      </x:c>
      <x:c r="C6355" s="18" t="n">
        <x:v>19994</x:v>
      </x:c>
      <x:c r="D6355" s="18" t="n">
        <x:v>31005</x:v>
      </x:c>
      <x:c r="E6355" s="18" t="n">
        <x:v>13.46</x:v>
      </x:c>
      <x:c r="F6355" s="18" t="n">
        <x:v>8.8</x:v>
      </x:c>
      <x:c r="G6355" t="n">
        <x:v>36</x:v>
      </x:c>
      <x:c r="H6355" t="str">
        <x:v>C</x:v>
      </x:c>
      <x:c r="I6355" t="str">
        <x:v>1-3 years</x:v>
      </x:c>
      <x:c r="J6355" t="str">
        <x:v>RENT</x:v>
      </x:c>
      <x:c r="K6355" t="str">
        <x:v>debt_consolidation</x:v>
      </x:c>
      <x:c r="L6355" t="n">
        <x:v>1</x:v>
      </x:c>
      <x:c r="M6355" t="n">
        <x:v>0</x:v>
      </x:c>
      <x:c r="N6355" t="str">
        <x:v>Fully Paid</x:v>
      </x:c>
      <x:c r="O6355" t="str">
        <x:f>IF(D6355="","Unknown",IF(D6355&lt;25000,"&lt;$25k",IF(D6355&lt;50000,"$25k-$50k",IF(D6355&lt;75000,"$50k-$75k",IF(D6355&lt;100000,"$75k-$100k","$100k+")))))</x:f>
        <x:v>$25k-$50k</x:v>
      </x:c>
      <x:c r="P6355" t="str">
        <x:f>IF(E6355="","Unknown",IF(E6355&lt;10,"&lt;10",IF(E6355&lt;20,"10-&lt;20",IF(E6355&lt;25,"20-&lt;25",IF(E6355&lt;35,"25-&lt;35","35+")))))</x:f>
        <x:v>10-&lt;20</x:v>
      </x:c>
    </x:row>
    <x:row r="6356">
      <x:c r="A6356" t="str">
        <x:v>SYN0006355</x:v>
      </x:c>
      <x:c r="B6356" s="12" t="n">
        <x:v>43225</x:v>
      </x:c>
      <x:c r="C6356" s="18" t="n">
        <x:v>14523</x:v>
      </x:c>
      <x:c r="D6356" s="18" t="n">
        <x:v>22207</x:v>
      </x:c>
      <x:c r="E6356" s="18" t="n">
        <x:v>28.85</x:v>
      </x:c>
      <x:c r="F6356" s="18" t="n">
        <x:v>11.72</x:v>
      </x:c>
      <x:c r="G6356" t="n">
        <x:v>36</x:v>
      </x:c>
      <x:c r="H6356" t="str">
        <x:v>C</x:v>
      </x:c>
      <x:c r="I6356" t="str">
        <x:v>7-9 years</x:v>
      </x:c>
      <x:c r="J6356" t="str">
        <x:v>MORTGAGE</x:v>
      </x:c>
      <x:c r="K6356" t="str">
        <x:v>debt_consolidation</x:v>
      </x:c>
      <x:c r="L6356" t="n">
        <x:v>1</x:v>
      </x:c>
      <x:c r="M6356" t="n">
        <x:v>0</x:v>
      </x:c>
      <x:c r="N6356" t="str">
        <x:v>Fully Paid</x:v>
      </x:c>
      <x:c r="O6356" t="str">
        <x:f>IF(D6356="","Unknown",IF(D6356&lt;25000,"&lt;$25k",IF(D6356&lt;50000,"$25k-$50k",IF(D6356&lt;75000,"$50k-$75k",IF(D6356&lt;100000,"$75k-$100k","$100k+")))))</x:f>
        <x:v>&lt;$25k</x:v>
      </x:c>
      <x:c r="P6356" t="str">
        <x:f>IF(E6356="","Unknown",IF(E6356&lt;10,"&lt;10",IF(E6356&lt;20,"10-&lt;20",IF(E6356&lt;25,"20-&lt;25",IF(E6356&lt;35,"25-&lt;35","35+")))))</x:f>
        <x:v>25-&lt;35</x:v>
      </x:c>
    </x:row>
    <x:row r="6357">
      <x:c r="A6357" t="str">
        <x:v>SYN0006356</x:v>
      </x:c>
      <x:c r="B6357" s="12" t="n">
        <x:v>41515</x:v>
      </x:c>
      <x:c r="C6357" s="18" t="n">
        <x:v>14279</x:v>
      </x:c>
      <x:c r="D6357" s="18" t="n">
        <x:v>33570</x:v>
      </x:c>
      <x:c r="E6357" s="18" t="n">
        <x:v>28.6</x:v>
      </x:c>
      <x:c r="F6357" s="18" t="n">
        <x:v>17.73</x:v>
      </x:c>
      <x:c r="G6357" t="n">
        <x:v>36</x:v>
      </x:c>
      <x:c r="H6357" t="str">
        <x:v>E</x:v>
      </x:c>
      <x:c r="I6357" t="str">
        <x:v>10+ years</x:v>
      </x:c>
      <x:c r="J6357" t="str">
        <x:v>MORTGAGE</x:v>
      </x:c>
      <x:c r="K6357" t="str">
        <x:v>debt_consolidation</x:v>
      </x:c>
      <x:c r="L6357" t="n">
        <x:v>1</x:v>
      </x:c>
      <x:c r="M6357" t="n">
        <x:v>1</x:v>
      </x:c>
      <x:c r="N6357" t="str">
        <x:v>Charged Off</x:v>
      </x:c>
      <x:c r="O6357" t="str">
        <x:f>IF(D6357="","Unknown",IF(D6357&lt;25000,"&lt;$25k",IF(D6357&lt;50000,"$25k-$50k",IF(D6357&lt;75000,"$50k-$75k",IF(D6357&lt;100000,"$75k-$100k","$100k+")))))</x:f>
        <x:v>$25k-$50k</x:v>
      </x:c>
      <x:c r="P6357" t="str">
        <x:f>IF(E6357="","Unknown",IF(E6357&lt;10,"&lt;10",IF(E6357&lt;20,"10-&lt;20",IF(E6357&lt;25,"20-&lt;25",IF(E6357&lt;35,"25-&lt;35","35+")))))</x:f>
        <x:v>25-&lt;35</x:v>
      </x:c>
    </x:row>
    <x:row r="6358">
      <x:c r="A6358" t="str">
        <x:v>SYN0006357</x:v>
      </x:c>
      <x:c r="B6358" s="12" t="n">
        <x:v>42415</x:v>
      </x:c>
      <x:c r="C6358" s="18" t="n">
        <x:v>13376</x:v>
      </x:c>
      <x:c r="D6358" s="18" t="n">
        <x:v>45403</x:v>
      </x:c>
      <x:c r="E6358" s="18" t="n">
        <x:v>19.59</x:v>
      </x:c>
      <x:c r="F6358" s="18" t="n">
        <x:v>8.09</x:v>
      </x:c>
      <x:c r="G6358" t="n">
        <x:v>60</x:v>
      </x:c>
      <x:c r="H6358" t="str">
        <x:v>B</x:v>
      </x:c>
      <x:c r="I6358" t="str">
        <x:v>7-9 years</x:v>
      </x:c>
      <x:c r="J6358" t="str">
        <x:v>MORTGAGE</x:v>
      </x:c>
      <x:c r="K6358" t="str">
        <x:v>debt_consolidation</x:v>
      </x:c>
      <x:c r="L6358" t="n">
        <x:v>0</x:v>
      </x:c>
      <x:c r="M6358" t="n">
        <x:v>0</x:v>
      </x:c>
      <x:c r="N6358" t="str">
        <x:v>Fully Paid</x:v>
      </x:c>
      <x:c r="O6358" t="str">
        <x:f>IF(D6358="","Unknown",IF(D6358&lt;25000,"&lt;$25k",IF(D6358&lt;50000,"$25k-$50k",IF(D6358&lt;75000,"$50k-$75k",IF(D6358&lt;100000,"$75k-$100k","$100k+")))))</x:f>
        <x:v>$25k-$50k</x:v>
      </x:c>
      <x:c r="P6358" t="str">
        <x:f>IF(E6358="","Unknown",IF(E6358&lt;10,"&lt;10",IF(E6358&lt;20,"10-&lt;20",IF(E6358&lt;25,"20-&lt;25",IF(E6358&lt;35,"25-&lt;35","35+")))))</x:f>
        <x:v>10-&lt;20</x:v>
      </x:c>
    </x:row>
    <x:row r="6359">
      <x:c r="A6359" t="str">
        <x:v>SYN0006358</x:v>
      </x:c>
      <x:c r="B6359" s="12" t="n">
        <x:v>42505</x:v>
      </x:c>
      <x:c r="C6359" s="18" t="n">
        <x:v>9739</x:v>
      </x:c>
      <x:c r="D6359" s="18" t="n">
        <x:v>40794</x:v>
      </x:c>
      <x:c r="E6359" s="18" t="n">
        <x:v>19.41</x:v>
      </x:c>
      <x:c r="F6359" s="18" t="n">
        <x:v>10.8</x:v>
      </x:c>
      <x:c r="G6359" t="n">
        <x:v>60</x:v>
      </x:c>
      <x:c r="H6359" t="str">
        <x:v>C</x:v>
      </x:c>
      <x:c r="I6359" t="str">
        <x:v>1-3 years</x:v>
      </x:c>
      <x:c r="J6359" t="str">
        <x:v>MORTGAGE</x:v>
      </x:c>
      <x:c r="K6359" t="str">
        <x:v>debt_consolidation</x:v>
      </x:c>
      <x:c r="L6359" t="n">
        <x:v>1</x:v>
      </x:c>
      <x:c r="M6359" t="n">
        <x:v>1</x:v>
      </x:c>
      <x:c r="N6359" t="str">
        <x:v>Charged Off</x:v>
      </x:c>
      <x:c r="O6359" t="str">
        <x:f>IF(D6359="","Unknown",IF(D6359&lt;25000,"&lt;$25k",IF(D6359&lt;50000,"$25k-$50k",IF(D6359&lt;75000,"$50k-$75k",IF(D6359&lt;100000,"$75k-$100k","$100k+")))))</x:f>
        <x:v>$25k-$50k</x:v>
      </x:c>
      <x:c r="P6359" t="str">
        <x:f>IF(E6359="","Unknown",IF(E6359&lt;10,"&lt;10",IF(E6359&lt;20,"10-&lt;20",IF(E6359&lt;25,"20-&lt;25",IF(E6359&lt;35,"25-&lt;35","35+")))))</x:f>
        <x:v>10-&lt;20</x:v>
      </x:c>
    </x:row>
    <x:row r="6360">
      <x:c r="A6360" t="str">
        <x:v>SYN0006359</x:v>
      </x:c>
      <x:c r="B6360" s="12" t="n">
        <x:v>42055</x:v>
      </x:c>
      <x:c r="C6360" s="18" t="n">
        <x:v>11583</x:v>
      </x:c>
      <x:c r="D6360" s="18" t="n">
        <x:v>14884</x:v>
      </x:c>
      <x:c r="E6360" s="18" t="n">
        <x:v>29.48</x:v>
      </x:c>
      <x:c r="F6360" s="18" t="n">
        <x:v>12.47</x:v>
      </x:c>
      <x:c r="G6360" t="n">
        <x:v>60</x:v>
      </x:c>
      <x:c r="H6360" t="str">
        <x:v>C</x:v>
      </x:c>
      <x:c r="I6360" t="str">
        <x:v>10+ years</x:v>
      </x:c>
      <x:c r="J6360" t="str">
        <x:v>MORTGAGE</x:v>
      </x:c>
      <x:c r="K6360" t="str">
        <x:v>debt_consolidation</x:v>
      </x:c>
      <x:c r="L6360" t="n">
        <x:v>0</x:v>
      </x:c>
      <x:c r="M6360" t="n">
        <x:v>0</x:v>
      </x:c>
      <x:c r="N6360" t="str">
        <x:v>Fully Paid</x:v>
      </x:c>
      <x:c r="O6360" t="str">
        <x:f>IF(D6360="","Unknown",IF(D6360&lt;25000,"&lt;$25k",IF(D6360&lt;50000,"$25k-$50k",IF(D6360&lt;75000,"$50k-$75k",IF(D6360&lt;100000,"$75k-$100k","$100k+")))))</x:f>
        <x:v>&lt;$25k</x:v>
      </x:c>
      <x:c r="P6360" t="str">
        <x:f>IF(E6360="","Unknown",IF(E6360&lt;10,"&lt;10",IF(E6360&lt;20,"10-&lt;20",IF(E6360&lt;25,"20-&lt;25",IF(E6360&lt;35,"25-&lt;35","35+")))))</x:f>
        <x:v>25-&lt;35</x:v>
      </x:c>
    </x:row>
    <x:row r="6361">
      <x:c r="A6361" t="str">
        <x:v>SYN0006360</x:v>
      </x:c>
      <x:c r="B6361" s="12" t="n">
        <x:v>42805</x:v>
      </x:c>
      <x:c r="C6361" s="18" t="n">
        <x:v>7769</x:v>
      </x:c>
      <x:c r="D6361" s="18" t="n">
        <x:v>33300</x:v>
      </x:c>
      <x:c r="E6361" s="18" t="n">
        <x:v>27.14</x:v>
      </x:c>
      <x:c r="F6361" s="18" t="n">
        <x:v>20.55</x:v>
      </x:c>
      <x:c r="G6361" t="n">
        <x:v>36</x:v>
      </x:c>
      <x:c r="H6361" t="str">
        <x:v>F</x:v>
      </x:c>
      <x:c r="I6361" t="str">
        <x:v>1-3 years</x:v>
      </x:c>
      <x:c r="J6361" t="str">
        <x:v>RENT</x:v>
      </x:c>
      <x:c r="K6361" t="str">
        <x:v>credit_card</x:v>
      </x:c>
      <x:c r="L6361" t="n">
        <x:v>1</x:v>
      </x:c>
      <x:c r="M6361" t="n">
        <x:v>1</x:v>
      </x:c>
      <x:c r="N6361" t="str">
        <x:v>Charged Off</x:v>
      </x:c>
      <x:c r="O6361" t="str">
        <x:f>IF(D6361="","Unknown",IF(D6361&lt;25000,"&lt;$25k",IF(D6361&lt;50000,"$25k-$50k",IF(D6361&lt;75000,"$50k-$75k",IF(D6361&lt;100000,"$75k-$100k","$100k+")))))</x:f>
        <x:v>$25k-$50k</x:v>
      </x:c>
      <x:c r="P6361" t="str">
        <x:f>IF(E6361="","Unknown",IF(E6361&lt;10,"&lt;10",IF(E6361&lt;20,"10-&lt;20",IF(E6361&lt;25,"20-&lt;25",IF(E6361&lt;35,"25-&lt;35","35+")))))</x:f>
        <x:v>25-&lt;35</x:v>
      </x:c>
    </x:row>
    <x:row r="6362">
      <x:c r="A6362" t="str">
        <x:v>SYN0006361</x:v>
      </x:c>
      <x:c r="B6362" s="12" t="n">
        <x:v>42115</x:v>
      </x:c>
      <x:c r="C6362" s="18" t="n">
        <x:v>20713</x:v>
      </x:c>
      <x:c r="D6362" s="18" t="n">
        <x:v>18945</x:v>
      </x:c>
      <x:c r="E6362" s="18" t="n">
        <x:v>29.35</x:v>
      </x:c>
      <x:c r="F6362" s="18" t="n">
        <x:v>19.46</x:v>
      </x:c>
      <x:c r="G6362" t="n">
        <x:v>60</x:v>
      </x:c>
      <x:c r="H6362" t="str">
        <x:v>E</x:v>
      </x:c>
      <x:c r="I6362" t="str">
        <x:v>7-9 years</x:v>
      </x:c>
      <x:c r="J6362" t="str">
        <x:v>RENT</x:v>
      </x:c>
      <x:c r="K6362" t="str">
        <x:v>home_improvement</x:v>
      </x:c>
      <x:c r="L6362" t="n">
        <x:v>0</x:v>
      </x:c>
      <x:c r="M6362" t="n">
        <x:v>0</x:v>
      </x:c>
      <x:c r="N6362" t="str">
        <x:v>Fully Paid</x:v>
      </x:c>
      <x:c r="O6362" t="str">
        <x:f>IF(D6362="","Unknown",IF(D6362&lt;25000,"&lt;$25k",IF(D6362&lt;50000,"$25k-$50k",IF(D6362&lt;75000,"$50k-$75k",IF(D6362&lt;100000,"$75k-$100k","$100k+")))))</x:f>
        <x:v>&lt;$25k</x:v>
      </x:c>
      <x:c r="P6362" t="str">
        <x:f>IF(E6362="","Unknown",IF(E6362&lt;10,"&lt;10",IF(E6362&lt;20,"10-&lt;20",IF(E6362&lt;25,"20-&lt;25",IF(E6362&lt;35,"25-&lt;35","35+")))))</x:f>
        <x:v>25-&lt;35</x:v>
      </x:c>
    </x:row>
    <x:row r="6363">
      <x:c r="A6363" t="str">
        <x:v>SYN0006362</x:v>
      </x:c>
      <x:c r="B6363" s="12" t="n">
        <x:v>42955</x:v>
      </x:c>
      <x:c r="C6363" s="18" t="n">
        <x:v>6035</x:v>
      </x:c>
      <x:c r="D6363" s="18" t="n">
        <x:v>27972</x:v>
      </x:c>
      <x:c r="E6363" s="18" t="n">
        <x:v>9.83</x:v>
      </x:c>
      <x:c r="F6363" s="18" t="n">
        <x:v>7.38</x:v>
      </x:c>
      <x:c r="G6363" t="n">
        <x:v>36</x:v>
      </x:c>
      <x:c r="H6363" t="str">
        <x:v>B</x:v>
      </x:c>
      <x:c r="I6363" t="str">
        <x:v>1-3 years</x:v>
      </x:c>
      <x:c r="J6363" t="str">
        <x:v>OTHER</x:v>
      </x:c>
      <x:c r="K6363" t="str">
        <x:v>debt_consolidation</x:v>
      </x:c>
      <x:c r="L6363" t="n">
        <x:v>1</x:v>
      </x:c>
      <x:c r="M6363" t="n">
        <x:v>0</x:v>
      </x:c>
      <x:c r="N6363" t="str">
        <x:v>Fully Paid</x:v>
      </x:c>
      <x:c r="O6363" t="str">
        <x:f>IF(D6363="","Unknown",IF(D6363&lt;25000,"&lt;$25k",IF(D6363&lt;50000,"$25k-$50k",IF(D6363&lt;75000,"$50k-$75k",IF(D6363&lt;100000,"$75k-$100k","$100k+")))))</x:f>
        <x:v>$25k-$50k</x:v>
      </x:c>
      <x:c r="P6363" t="str">
        <x:f>IF(E6363="","Unknown",IF(E6363&lt;10,"&lt;10",IF(E6363&lt;20,"10-&lt;20",IF(E6363&lt;25,"20-&lt;25",IF(E6363&lt;35,"25-&lt;35","35+")))))</x:f>
        <x:v>&lt;10</x:v>
      </x:c>
    </x:row>
    <x:row r="6364">
      <x:c r="A6364" t="str">
        <x:v>SYN0006363</x:v>
      </x:c>
      <x:c r="B6364" s="12" t="n">
        <x:v>43345</x:v>
      </x:c>
      <x:c r="C6364" s="18" t="n">
        <x:v>22327</x:v>
      </x:c>
      <x:c r="D6364" s="18" t="n">
        <x:v>23976</x:v>
      </x:c>
      <x:c r="E6364" s="18" t="n">
        <x:v>29.89</x:v>
      </x:c>
      <x:c r="F6364" s="18" t="n">
        <x:v>16.89</x:v>
      </x:c>
      <x:c r="G6364" t="n">
        <x:v>36</x:v>
      </x:c>
      <x:c r="H6364" t="str">
        <x:v>D</x:v>
      </x:c>
      <x:c r="I6364" t="str">
        <x:v>&lt;1 year</x:v>
      </x:c>
      <x:c r="J6364" t="str">
        <x:v>MORTGAGE</x:v>
      </x:c>
      <x:c r="K6364" t="str">
        <x:v>debt_consolidation</x:v>
      </x:c>
      <x:c r="L6364" t="n">
        <x:v>1</x:v>
      </x:c>
      <x:c r="M6364" t="n">
        <x:v>0</x:v>
      </x:c>
      <x:c r="N6364" t="str">
        <x:v>Fully Paid</x:v>
      </x:c>
      <x:c r="O6364" t="str">
        <x:f>IF(D6364="","Unknown",IF(D6364&lt;25000,"&lt;$25k",IF(D6364&lt;50000,"$25k-$50k",IF(D6364&lt;75000,"$50k-$75k",IF(D6364&lt;100000,"$75k-$100k","$100k+")))))</x:f>
        <x:v>&lt;$25k</x:v>
      </x:c>
      <x:c r="P6364" t="str">
        <x:f>IF(E6364="","Unknown",IF(E6364&lt;10,"&lt;10",IF(E6364&lt;20,"10-&lt;20",IF(E6364&lt;25,"20-&lt;25",IF(E6364&lt;35,"25-&lt;35","35+")))))</x:f>
        <x:v>25-&lt;35</x:v>
      </x:c>
    </x:row>
    <x:row r="6365">
      <x:c r="A6365" t="str">
        <x:v>SYN0006364</x:v>
      </x:c>
      <x:c r="B6365" s="12" t="n">
        <x:v>42805</x:v>
      </x:c>
      <x:c r="C6365" s="18" t="n">
        <x:v>8491</x:v>
      </x:c>
      <x:c r="D6365" s="18" t="n">
        <x:v>51477</x:v>
      </x:c>
      <x:c r="E6365" s="18" t="n">
        <x:v>5.07</x:v>
      </x:c>
      <x:c r="F6365" s="18" t="n">
        <x:v>14.55</x:v>
      </x:c>
      <x:c r="G6365" t="n">
        <x:v>36</x:v>
      </x:c>
      <x:c r="H6365" t="str">
        <x:v>D</x:v>
      </x:c>
      <x:c r="I6365" t="str">
        <x:v>10+ years</x:v>
      </x:c>
      <x:c r="J6365" t="str">
        <x:v>MORTGAGE</x:v>
      </x:c>
      <x:c r="K6365" t="str">
        <x:v>home_improvement</x:v>
      </x:c>
      <x:c r="L6365" t="n">
        <x:v>0</x:v>
      </x:c>
      <x:c r="M6365" t="n">
        <x:v>0</x:v>
      </x:c>
      <x:c r="N6365" t="str">
        <x:v>Fully Paid</x:v>
      </x:c>
      <x:c r="O6365" t="str">
        <x:f>IF(D6365="","Unknown",IF(D6365&lt;25000,"&lt;$25k",IF(D6365&lt;50000,"$25k-$50k",IF(D6365&lt;75000,"$50k-$75k",IF(D6365&lt;100000,"$75k-$100k","$100k+")))))</x:f>
        <x:v>$50k-$75k</x:v>
      </x:c>
      <x:c r="P6365" t="str">
        <x:f>IF(E6365="","Unknown",IF(E6365&lt;10,"&lt;10",IF(E6365&lt;20,"10-&lt;20",IF(E6365&lt;25,"20-&lt;25",IF(E6365&lt;35,"25-&lt;35","35+")))))</x:f>
        <x:v>&lt;10</x:v>
      </x:c>
    </x:row>
    <x:row r="6366">
      <x:c r="A6366" t="str">
        <x:v>SYN0006365</x:v>
      </x:c>
      <x:c r="B6366" s="12" t="n">
        <x:v>42655</x:v>
      </x:c>
      <x:c r="C6366" s="18" t="n">
        <x:v>17709</x:v>
      </x:c>
      <x:c r="D6366" s="18" t="n">
        <x:v>94350</x:v>
      </x:c>
      <x:c r="E6366" s="18" t="n">
        <x:v>19.25</x:v>
      </x:c>
      <x:c r="F6366" s="18" t="n">
        <x:v>11.77</x:v>
      </x:c>
      <x:c r="G6366" t="n">
        <x:v>60</x:v>
      </x:c>
      <x:c r="H6366" t="str">
        <x:v>B</x:v>
      </x:c>
      <x:c r="I6366" t="str">
        <x:v>4-6 years</x:v>
      </x:c>
      <x:c r="J6366" t="str">
        <x:v>MORTGAGE</x:v>
      </x:c>
      <x:c r="K6366" t="str">
        <x:v>home_improvement</x:v>
      </x:c>
      <x:c r="L6366" t="n">
        <x:v>0</x:v>
      </x:c>
      <x:c r="M6366" t="n">
        <x:v>0</x:v>
      </x:c>
      <x:c r="N6366" t="str">
        <x:v>Fully Paid</x:v>
      </x:c>
      <x:c r="O6366" t="str">
        <x:f>IF(D6366="","Unknown",IF(D6366&lt;25000,"&lt;$25k",IF(D6366&lt;50000,"$25k-$50k",IF(D6366&lt;75000,"$50k-$75k",IF(D6366&lt;100000,"$75k-$100k","$100k+")))))</x:f>
        <x:v>$75k-$100k</x:v>
      </x:c>
      <x:c r="P6366" t="str">
        <x:f>IF(E6366="","Unknown",IF(E6366&lt;10,"&lt;10",IF(E6366&lt;20,"10-&lt;20",IF(E6366&lt;25,"20-&lt;25",IF(E6366&lt;35,"25-&lt;35","35+")))))</x:f>
        <x:v>10-&lt;20</x:v>
      </x:c>
    </x:row>
    <x:row r="6367">
      <x:c r="A6367" t="str">
        <x:v>SYN0006366</x:v>
      </x:c>
      <x:c r="B6367" s="12" t="n">
        <x:v>42325</x:v>
      </x:c>
      <x:c r="C6367" s="18" t="n">
        <x:v>16013</x:v>
      </x:c>
      <x:c r="D6367" s="18" t="n">
        <x:v>39160</x:v>
      </x:c>
      <x:c r="E6367" s="18" t="n">
        <x:v>27.02</x:v>
      </x:c>
      <x:c r="F6367" s="18" t="n">
        <x:v>10.81</x:v>
      </x:c>
      <x:c r="G6367" t="n">
        <x:v>36</x:v>
      </x:c>
      <x:c r="H6367" t="str">
        <x:v>C</x:v>
      </x:c>
      <x:c r="I6367" t="str">
        <x:v>4-6 years</x:v>
      </x:c>
      <x:c r="J6367" t="str">
        <x:v>MORTGAGE</x:v>
      </x:c>
      <x:c r="K6367" t="str">
        <x:v>credit_card</x:v>
      </x:c>
      <x:c r="L6367" t="n">
        <x:v>0</x:v>
      </x:c>
      <x:c r="M6367" t="n">
        <x:v>1</x:v>
      </x:c>
      <x:c r="N6367" t="str">
        <x:v>Charged Off</x:v>
      </x:c>
      <x:c r="O6367" t="str">
        <x:f>IF(D6367="","Unknown",IF(D6367&lt;25000,"&lt;$25k",IF(D6367&lt;50000,"$25k-$50k",IF(D6367&lt;75000,"$50k-$75k",IF(D6367&lt;100000,"$75k-$100k","$100k+")))))</x:f>
        <x:v>$25k-$50k</x:v>
      </x:c>
      <x:c r="P6367" t="str">
        <x:f>IF(E6367="","Unknown",IF(E6367&lt;10,"&lt;10",IF(E6367&lt;20,"10-&lt;20",IF(E6367&lt;25,"20-&lt;25",IF(E6367&lt;35,"25-&lt;35","35+")))))</x:f>
        <x:v>25-&lt;35</x:v>
      </x:c>
    </x:row>
    <x:row r="6368">
      <x:c r="A6368" t="str">
        <x:v>SYN0006367</x:v>
      </x:c>
      <x:c r="B6368" s="12" t="n">
        <x:v>41635</x:v>
      </x:c>
      <x:c r="C6368" s="18" t="n">
        <x:v>17251</x:v>
      </x:c>
      <x:c r="D6368" s="18" t="n">
        <x:v>57512</x:v>
      </x:c>
      <x:c r="E6368" s="18" t="n">
        <x:v>39.16</x:v>
      </x:c>
      <x:c r="F6368" s="18" t="n">
        <x:v>8.36</x:v>
      </x:c>
      <x:c r="G6368" t="n">
        <x:v>36</x:v>
      </x:c>
      <x:c r="H6368" t="str">
        <x:v>C</x:v>
      </x:c>
      <x:c r="I6368" t="str">
        <x:v>1-3 years</x:v>
      </x:c>
      <x:c r="J6368" t="str">
        <x:v>MORTGAGE</x:v>
      </x:c>
      <x:c r="K6368" t="str">
        <x:v>home_improvement</x:v>
      </x:c>
      <x:c r="L6368" t="n">
        <x:v>0</x:v>
      </x:c>
      <x:c r="M6368" t="n">
        <x:v>0</x:v>
      </x:c>
      <x:c r="N6368" t="str">
        <x:v>Fully Paid</x:v>
      </x:c>
      <x:c r="O6368" t="str">
        <x:f>IF(D6368="","Unknown",IF(D6368&lt;25000,"&lt;$25k",IF(D6368&lt;50000,"$25k-$50k",IF(D6368&lt;75000,"$50k-$75k",IF(D6368&lt;100000,"$75k-$100k","$100k+")))))</x:f>
        <x:v>$50k-$75k</x:v>
      </x:c>
      <x:c r="P6368" t="str">
        <x:f>IF(E6368="","Unknown",IF(E6368&lt;10,"&lt;10",IF(E6368&lt;20,"10-&lt;20",IF(E6368&lt;25,"20-&lt;25",IF(E6368&lt;35,"25-&lt;35","35+")))))</x:f>
        <x:v>35+</x:v>
      </x:c>
    </x:row>
    <x:row r="6369">
      <x:c r="A6369" t="str">
        <x:v>SYN0006368</x:v>
      </x:c>
      <x:c r="B6369" s="12" t="n">
        <x:v>41665</x:v>
      </x:c>
      <x:c r="C6369" s="18" t="n">
        <x:v>7311</x:v>
      </x:c>
      <x:c r="D6369" s="18" t="n">
        <x:v>37266</x:v>
      </x:c>
      <x:c r="E6369" s="18" t="n">
        <x:v>18.73</x:v>
      </x:c>
      <x:c r="F6369" s="18" t="n">
        <x:v>9.24</x:v>
      </x:c>
      <x:c r="G6369" t="n">
        <x:v>36</x:v>
      </x:c>
      <x:c r="H6369" t="str">
        <x:v>B</x:v>
      </x:c>
      <x:c r="I6369" t="str">
        <x:v>1-3 years</x:v>
      </x:c>
      <x:c r="J6369" t="str">
        <x:v>RENT</x:v>
      </x:c>
      <x:c r="K6369" t="str">
        <x:v>debt_consolidation</x:v>
      </x:c>
      <x:c r="L6369" t="n">
        <x:v>0</x:v>
      </x:c>
      <x:c r="M6369" t="n">
        <x:v>0</x:v>
      </x:c>
      <x:c r="N6369" t="str">
        <x:v>Fully Paid</x:v>
      </x:c>
      <x:c r="O6369" t="str">
        <x:f>IF(D6369="","Unknown",IF(D6369&lt;25000,"&lt;$25k",IF(D6369&lt;50000,"$25k-$50k",IF(D6369&lt;75000,"$50k-$75k",IF(D6369&lt;100000,"$75k-$100k","$100k+")))))</x:f>
        <x:v>$25k-$50k</x:v>
      </x:c>
      <x:c r="P6369" t="str">
        <x:f>IF(E6369="","Unknown",IF(E6369&lt;10,"&lt;10",IF(E6369&lt;20,"10-&lt;20",IF(E6369&lt;25,"20-&lt;25",IF(E6369&lt;35,"25-&lt;35","35+")))))</x:f>
        <x:v>10-&lt;20</x:v>
      </x:c>
    </x:row>
    <x:row r="6370">
      <x:c r="A6370" t="str">
        <x:v>SYN0006369</x:v>
      </x:c>
      <x:c r="B6370" s="12" t="n">
        <x:v>42025</x:v>
      </x:c>
      <x:c r="C6370" s="18" t="n">
        <x:v>23586</x:v>
      </x:c>
      <x:c r="D6370" s="18" t="n">
        <x:v>60456</x:v>
      </x:c>
      <x:c r="E6370" s="18" t="n">
        <x:v>33.42</x:v>
      </x:c>
      <x:c r="F6370" s="18" t="n">
        <x:v>10.13</x:v>
      </x:c>
      <x:c r="G6370" t="n">
        <x:v>36</x:v>
      </x:c>
      <x:c r="H6370" t="str">
        <x:v>C</x:v>
      </x:c>
      <x:c r="I6370" t="str">
        <x:v>10+ years</x:v>
      </x:c>
      <x:c r="J6370" t="str">
        <x:v>OWN</x:v>
      </x:c>
      <x:c r="K6370" t="str">
        <x:v>major_purchase</x:v>
      </x:c>
      <x:c r="L6370" t="n">
        <x:v>0</x:v>
      </x:c>
      <x:c r="M6370" t="n">
        <x:v>0</x:v>
      </x:c>
      <x:c r="N6370" t="str">
        <x:v>Fully Paid</x:v>
      </x:c>
      <x:c r="O6370" t="str">
        <x:f>IF(D6370="","Unknown",IF(D6370&lt;25000,"&lt;$25k",IF(D6370&lt;50000,"$25k-$50k",IF(D6370&lt;75000,"$50k-$75k",IF(D6370&lt;100000,"$75k-$100k","$100k+")))))</x:f>
        <x:v>$50k-$75k</x:v>
      </x:c>
      <x:c r="P6370" t="str">
        <x:f>IF(E6370="","Unknown",IF(E6370&lt;10,"&lt;10",IF(E6370&lt;20,"10-&lt;20",IF(E6370&lt;25,"20-&lt;25",IF(E6370&lt;35,"25-&lt;35","35+")))))</x:f>
        <x:v>25-&lt;35</x:v>
      </x:c>
    </x:row>
    <x:row r="6371">
      <x:c r="A6371" t="str">
        <x:v>SYN0006370</x:v>
      </x:c>
      <x:c r="B6371" s="12" t="n">
        <x:v>43225</x:v>
      </x:c>
      <x:c r="C6371" s="18" t="n">
        <x:v>13040</x:v>
      </x:c>
      <x:c r="D6371" s="18" t="n">
        <x:v>31732</x:v>
      </x:c>
      <x:c r="E6371" s="18" t="n">
        <x:v>31.21</x:v>
      </x:c>
      <x:c r="F6371" s="18" t="n">
        <x:v>23.03</x:v>
      </x:c>
      <x:c r="G6371" t="n">
        <x:v>60</x:v>
      </x:c>
      <x:c r="H6371" t="str">
        <x:v>F</x:v>
      </x:c>
      <x:c r="I6371" t="str">
        <x:v>1-3 years</x:v>
      </x:c>
      <x:c r="J6371" t="str">
        <x:v>MORTGAGE</x:v>
      </x:c>
      <x:c r="K6371" t="str">
        <x:v>debt_consolidation</x:v>
      </x:c>
      <x:c r="L6371" t="n">
        <x:v>0</x:v>
      </x:c>
      <x:c r="M6371" t="n">
        <x:v>0</x:v>
      </x:c>
      <x:c r="N6371" t="str">
        <x:v>Fully Paid</x:v>
      </x:c>
      <x:c r="O6371" t="str">
        <x:f>IF(D6371="","Unknown",IF(D6371&lt;25000,"&lt;$25k",IF(D6371&lt;50000,"$25k-$50k",IF(D6371&lt;75000,"$50k-$75k",IF(D6371&lt;100000,"$75k-$100k","$100k+")))))</x:f>
        <x:v>$25k-$50k</x:v>
      </x:c>
      <x:c r="P6371" t="str">
        <x:f>IF(E6371="","Unknown",IF(E6371&lt;10,"&lt;10",IF(E6371&lt;20,"10-&lt;20",IF(E6371&lt;25,"20-&lt;25",IF(E6371&lt;35,"25-&lt;35","35+")))))</x:f>
        <x:v>25-&lt;35</x:v>
      </x:c>
    </x:row>
    <x:row r="6372">
      <x:c r="A6372" t="str">
        <x:v>SYN0006371</x:v>
      </x:c>
      <x:c r="B6372" s="12" t="n">
        <x:v>43135</x:v>
      </x:c>
      <x:c r="C6372" s="18" t="n">
        <x:v>22495</x:v>
      </x:c>
      <x:c r="D6372" s="18" t="n">
        <x:v>70846</x:v>
      </x:c>
      <x:c r="E6372" s="18" t="n">
        <x:v>33.18</x:v>
      </x:c>
      <x:c r="F6372" s="18" t="n">
        <x:v>15.72</x:v>
      </x:c>
      <x:c r="G6372" t="n">
        <x:v>60</x:v>
      </x:c>
      <x:c r="H6372" t="str">
        <x:v>D</x:v>
      </x:c>
      <x:c r="I6372" t="str">
        <x:v>10+ years</x:v>
      </x:c>
      <x:c r="J6372" t="str">
        <x:v>OWN</x:v>
      </x:c>
      <x:c r="K6372" t="str">
        <x:v>debt_consolidation</x:v>
      </x:c>
      <x:c r="L6372" t="n">
        <x:v>1</x:v>
      </x:c>
      <x:c r="M6372" t="n">
        <x:v>0</x:v>
      </x:c>
      <x:c r="N6372" t="str">
        <x:v>Fully Paid</x:v>
      </x:c>
      <x:c r="O6372" t="str">
        <x:f>IF(D6372="","Unknown",IF(D6372&lt;25000,"&lt;$25k",IF(D6372&lt;50000,"$25k-$50k",IF(D6372&lt;75000,"$50k-$75k",IF(D6372&lt;100000,"$75k-$100k","$100k+")))))</x:f>
        <x:v>$50k-$75k</x:v>
      </x:c>
      <x:c r="P6372" t="str">
        <x:f>IF(E6372="","Unknown",IF(E6372&lt;10,"&lt;10",IF(E6372&lt;20,"10-&lt;20",IF(E6372&lt;25,"20-&lt;25",IF(E6372&lt;35,"25-&lt;35","35+")))))</x:f>
        <x:v>25-&lt;35</x:v>
      </x:c>
    </x:row>
    <x:row r="6373">
      <x:c r="A6373" t="str">
        <x:v>SYN0006372</x:v>
      </x:c>
      <x:c r="B6373" s="12" t="n">
        <x:v>42565</x:v>
      </x:c>
      <x:c r="C6373" s="18" t="n">
        <x:v>21278</x:v>
      </x:c>
      <x:c r="D6373" s="18" t="n">
        <x:v>46939</x:v>
      </x:c>
      <x:c r="E6373" s="18" t="n">
        <x:v>33.11</x:v>
      </x:c>
      <x:c r="F6373" s="18" t="n">
        <x:v>21.91</x:v>
      </x:c>
      <x:c r="G6373" t="n">
        <x:v>36</x:v>
      </x:c>
      <x:c r="H6373" t="str">
        <x:v>F</x:v>
      </x:c>
      <x:c r="I6373" t="str">
        <x:v>7-9 years</x:v>
      </x:c>
      <x:c r="J6373" t="str">
        <x:v>MORTGAGE</x:v>
      </x:c>
      <x:c r="K6373" t="str">
        <x:v>debt_consolidation</x:v>
      </x:c>
      <x:c r="L6373" t="n">
        <x:v>0</x:v>
      </x:c>
      <x:c r="M6373" t="n">
        <x:v>1</x:v>
      </x:c>
      <x:c r="N6373" t="str">
        <x:v>Charged Off</x:v>
      </x:c>
      <x:c r="O6373" t="str">
        <x:f>IF(D6373="","Unknown",IF(D6373&lt;25000,"&lt;$25k",IF(D6373&lt;50000,"$25k-$50k",IF(D6373&lt;75000,"$50k-$75k",IF(D6373&lt;100000,"$75k-$100k","$100k+")))))</x:f>
        <x:v>$25k-$50k</x:v>
      </x:c>
      <x:c r="P6373" t="str">
        <x:f>IF(E6373="","Unknown",IF(E6373&lt;10,"&lt;10",IF(E6373&lt;20,"10-&lt;20",IF(E6373&lt;25,"20-&lt;25",IF(E6373&lt;35,"25-&lt;35","35+")))))</x:f>
        <x:v>25-&lt;35</x:v>
      </x:c>
    </x:row>
    <x:row r="6374">
      <x:c r="A6374" t="str">
        <x:v>SYN0006373</x:v>
      </x:c>
      <x:c r="B6374" s="12" t="n">
        <x:v>41695</x:v>
      </x:c>
      <x:c r="C6374" s="18" t="n">
        <x:v>21347</x:v>
      </x:c>
      <x:c r="D6374" s="18" t="n">
        <x:v>52521</x:v>
      </x:c>
      <x:c r="E6374" s="18" t="n">
        <x:v>28.55</x:v>
      </x:c>
      <x:c r="F6374" s="18" t="n">
        <x:v>6.64</x:v>
      </x:c>
      <x:c r="G6374" t="n">
        <x:v>36</x:v>
      </x:c>
      <x:c r="H6374" t="str">
        <x:v>B</x:v>
      </x:c>
      <x:c r="I6374" t="str">
        <x:v>10+ years</x:v>
      </x:c>
      <x:c r="J6374" t="str">
        <x:v>MORTGAGE</x:v>
      </x:c>
      <x:c r="K6374" t="str">
        <x:v>debt_consolidation</x:v>
      </x:c>
      <x:c r="L6374" t="n">
        <x:v>0</x:v>
      </x:c>
      <x:c r="M6374" t="n">
        <x:v>0</x:v>
      </x:c>
      <x:c r="N6374" t="str">
        <x:v>Fully Paid</x:v>
      </x:c>
      <x:c r="O6374" t="str">
        <x:f>IF(D6374="","Unknown",IF(D6374&lt;25000,"&lt;$25k",IF(D6374&lt;50000,"$25k-$50k",IF(D6374&lt;75000,"$50k-$75k",IF(D6374&lt;100000,"$75k-$100k","$100k+")))))</x:f>
        <x:v>$50k-$75k</x:v>
      </x:c>
      <x:c r="P6374" t="str">
        <x:f>IF(E6374="","Unknown",IF(E6374&lt;10,"&lt;10",IF(E6374&lt;20,"10-&lt;20",IF(E6374&lt;25,"20-&lt;25",IF(E6374&lt;35,"25-&lt;35","35+")))))</x:f>
        <x:v>25-&lt;35</x:v>
      </x:c>
    </x:row>
    <x:row r="6375">
      <x:c r="A6375" t="str">
        <x:v>SYN0006374</x:v>
      </x:c>
      <x:c r="B6375" s="12" t="n">
        <x:v>42325</x:v>
      </x:c>
      <x:c r="C6375" s="18" t="n">
        <x:v>14867</x:v>
      </x:c>
      <x:c r="D6375" s="18" t="n">
        <x:v>133668</x:v>
      </x:c>
      <x:c r="E6375" s="18" t="n">
        <x:v>24</x:v>
      </x:c>
      <x:c r="F6375" s="18" t="n">
        <x:v>9.54</x:v>
      </x:c>
      <x:c r="G6375" t="n">
        <x:v>36</x:v>
      </x:c>
      <x:c r="H6375" t="str">
        <x:v>C</x:v>
      </x:c>
      <x:c r="I6375" t="str">
        <x:v>7-9 years</x:v>
      </x:c>
      <x:c r="J6375" t="str">
        <x:v>MORTGAGE</x:v>
      </x:c>
      <x:c r="K6375" t="str">
        <x:v>debt_consolidation</x:v>
      </x:c>
      <x:c r="L6375" t="n">
        <x:v>0</x:v>
      </x:c>
      <x:c r="M6375" t="n">
        <x:v>0</x:v>
      </x:c>
      <x:c r="N6375" t="str">
        <x:v>Fully Paid</x:v>
      </x:c>
      <x:c r="O6375" t="str">
        <x:f>IF(D6375="","Unknown",IF(D6375&lt;25000,"&lt;$25k",IF(D6375&lt;50000,"$25k-$50k",IF(D6375&lt;75000,"$50k-$75k",IF(D6375&lt;100000,"$75k-$100k","$100k+")))))</x:f>
        <x:v>$100k+</x:v>
      </x:c>
      <x:c r="P6375" t="str">
        <x:f>IF(E6375="","Unknown",IF(E6375&lt;10,"&lt;10",IF(E6375&lt;20,"10-&lt;20",IF(E6375&lt;25,"20-&lt;25",IF(E6375&lt;35,"25-&lt;35","35+")))))</x:f>
        <x:v>20-&lt;25</x:v>
      </x:c>
    </x:row>
    <x:row r="6376">
      <x:c r="A6376" t="str">
        <x:v>SYN0006375</x:v>
      </x:c>
      <x:c r="B6376" s="12" t="n">
        <x:v>41335</x:v>
      </x:c>
      <x:c r="C6376" s="18" t="n">
        <x:v>13952</x:v>
      </x:c>
      <x:c r="D6376" s="18" t="n">
        <x:v>79442</x:v>
      </x:c>
      <x:c r="E6376" s="18" t="n">
        <x:v>28.91</x:v>
      </x:c>
      <x:c r="F6376" s="18" t="n">
        <x:v>11.35</x:v>
      </x:c>
      <x:c r="G6376" t="n">
        <x:v>36</x:v>
      </x:c>
      <x:c r="H6376" t="str">
        <x:v>D</x:v>
      </x:c>
      <x:c r="I6376" t="str">
        <x:v>10+ years</x:v>
      </x:c>
      <x:c r="J6376" t="str">
        <x:v>RENT</x:v>
      </x:c>
      <x:c r="K6376" t="str">
        <x:v>debt_consolidation</x:v>
      </x:c>
      <x:c r="L6376" t="n">
        <x:v>0</x:v>
      </x:c>
      <x:c r="M6376" t="n">
        <x:v>1</x:v>
      </x:c>
      <x:c r="N6376" t="str">
        <x:v>Charged Off</x:v>
      </x:c>
      <x:c r="O6376" t="str">
        <x:f>IF(D6376="","Unknown",IF(D6376&lt;25000,"&lt;$25k",IF(D6376&lt;50000,"$25k-$50k",IF(D6376&lt;75000,"$50k-$75k",IF(D6376&lt;100000,"$75k-$100k","$100k+")))))</x:f>
        <x:v>$75k-$100k</x:v>
      </x:c>
      <x:c r="P6376" t="str">
        <x:f>IF(E6376="","Unknown",IF(E6376&lt;10,"&lt;10",IF(E6376&lt;20,"10-&lt;20",IF(E6376&lt;25,"20-&lt;25",IF(E6376&lt;35,"25-&lt;35","35+")))))</x:f>
        <x:v>25-&lt;35</x:v>
      </x:c>
    </x:row>
    <x:row r="6377">
      <x:c r="A6377" t="str">
        <x:v>SYN0006376</x:v>
      </x:c>
      <x:c r="B6377" s="12" t="n">
        <x:v>42385</x:v>
      </x:c>
      <x:c r="C6377" s="18" t="n">
        <x:v>10223</x:v>
      </x:c>
      <x:c r="D6377" s="18" t="n">
        <x:v>20830</x:v>
      </x:c>
      <x:c r="E6377" s="18" t="n">
        <x:v>29.37</x:v>
      </x:c>
      <x:c r="F6377" s="18" t="n">
        <x:v>23.66</x:v>
      </x:c>
      <x:c r="G6377" t="n">
        <x:v>36</x:v>
      </x:c>
      <x:c r="H6377" t="str">
        <x:v>G</x:v>
      </x:c>
      <x:c r="I6377" t="str">
        <x:v>7-9 years</x:v>
      </x:c>
      <x:c r="J6377" t="str">
        <x:v>RENT</x:v>
      </x:c>
      <x:c r="K6377" t="str">
        <x:v>debt_consolidation</x:v>
      </x:c>
      <x:c r="L6377" t="n">
        <x:v>2</x:v>
      </x:c>
      <x:c r="M6377" t="n">
        <x:v>0</x:v>
      </x:c>
      <x:c r="N6377" t="str">
        <x:v>Fully Paid</x:v>
      </x:c>
      <x:c r="O6377" t="str">
        <x:f>IF(D6377="","Unknown",IF(D6377&lt;25000,"&lt;$25k",IF(D6377&lt;50000,"$25k-$50k",IF(D6377&lt;75000,"$50k-$75k",IF(D6377&lt;100000,"$75k-$100k","$100k+")))))</x:f>
        <x:v>&lt;$25k</x:v>
      </x:c>
      <x:c r="P6377" t="str">
        <x:f>IF(E6377="","Unknown",IF(E6377&lt;10,"&lt;10",IF(E6377&lt;20,"10-&lt;20",IF(E6377&lt;25,"20-&lt;25",IF(E6377&lt;35,"25-&lt;35","35+")))))</x:f>
        <x:v>25-&lt;35</x:v>
      </x:c>
    </x:row>
    <x:row r="6378">
      <x:c r="A6378" t="str">
        <x:v>SYN0006377</x:v>
      </x:c>
      <x:c r="B6378" s="12" t="n">
        <x:v>41695</x:v>
      </x:c>
      <x:c r="C6378" s="18" t="n">
        <x:v>6110</x:v>
      </x:c>
      <x:c r="D6378" s="18" t="n">
        <x:v>46407</x:v>
      </x:c>
      <x:c r="E6378" s="18" t="n">
        <x:v>21.99</x:v>
      </x:c>
      <x:c r="F6378" s="18" t="n">
        <x:v>5.78</x:v>
      </x:c>
      <x:c r="G6378" t="n">
        <x:v>60</x:v>
      </x:c>
      <x:c r="H6378" t="str">
        <x:v>A</x:v>
      </x:c>
      <x:c r="I6378" t="str">
        <x:v>10+ years</x:v>
      </x:c>
      <x:c r="J6378" t="str">
        <x:v>MORTGAGE</x:v>
      </x:c>
      <x:c r="K6378" t="str">
        <x:v>home_improvement</x:v>
      </x:c>
      <x:c r="L6378" t="n">
        <x:v>1</x:v>
      </x:c>
      <x:c r="M6378" t="n">
        <x:v>0</x:v>
      </x:c>
      <x:c r="N6378" t="str">
        <x:v>Fully Paid</x:v>
      </x:c>
      <x:c r="O6378" t="str">
        <x:f>IF(D6378="","Unknown",IF(D6378&lt;25000,"&lt;$25k",IF(D6378&lt;50000,"$25k-$50k",IF(D6378&lt;75000,"$50k-$75k",IF(D6378&lt;100000,"$75k-$100k","$100k+")))))</x:f>
        <x:v>$25k-$50k</x:v>
      </x:c>
      <x:c r="P6378" t="str">
        <x:f>IF(E6378="","Unknown",IF(E6378&lt;10,"&lt;10",IF(E6378&lt;20,"10-&lt;20",IF(E6378&lt;25,"20-&lt;25",IF(E6378&lt;35,"25-&lt;35","35+")))))</x:f>
        <x:v>20-&lt;25</x:v>
      </x:c>
    </x:row>
    <x:row r="6379">
      <x:c r="A6379" t="str">
        <x:v>SYN0006378</x:v>
      </x:c>
      <x:c r="B6379" s="12" t="n">
        <x:v>41425</x:v>
      </x:c>
      <x:c r="C6379" s="18" t="n">
        <x:v>6199</x:v>
      </x:c>
      <x:c r="D6379" s="18" t="n">
        <x:v>24427</x:v>
      </x:c>
      <x:c r="E6379" s="18" t="n">
        <x:v>23.08</x:v>
      </x:c>
      <x:c r="F6379" s="18" t="n">
        <x:v>5</x:v>
      </x:c>
      <x:c r="G6379" t="n">
        <x:v>60</x:v>
      </x:c>
      <x:c r="H6379" t="str">
        <x:v>A</x:v>
      </x:c>
      <x:c r="I6379" t="str">
        <x:v>&lt;1 year</x:v>
      </x:c>
      <x:c r="J6379" t="str">
        <x:v>MORTGAGE</x:v>
      </x:c>
      <x:c r="K6379" t="str">
        <x:v>home_improvement</x:v>
      </x:c>
      <x:c r="L6379" t="n">
        <x:v>0</x:v>
      </x:c>
      <x:c r="M6379" t="n">
        <x:v>0</x:v>
      </x:c>
      <x:c r="N6379" t="str">
        <x:v>Fully Paid</x:v>
      </x:c>
      <x:c r="O6379" t="str">
        <x:f>IF(D6379="","Unknown",IF(D6379&lt;25000,"&lt;$25k",IF(D6379&lt;50000,"$25k-$50k",IF(D6379&lt;75000,"$50k-$75k",IF(D6379&lt;100000,"$75k-$100k","$100k+")))))</x:f>
        <x:v>&lt;$25k</x:v>
      </x:c>
      <x:c r="P6379" t="str">
        <x:f>IF(E6379="","Unknown",IF(E6379&lt;10,"&lt;10",IF(E6379&lt;20,"10-&lt;20",IF(E6379&lt;25,"20-&lt;25",IF(E6379&lt;35,"25-&lt;35","35+")))))</x:f>
        <x:v>20-&lt;25</x:v>
      </x:c>
    </x:row>
    <x:row r="6380">
      <x:c r="A6380" t="str">
        <x:v>SYN0006379</x:v>
      </x:c>
      <x:c r="B6380" s="12" t="n">
        <x:v>42955</x:v>
      </x:c>
      <x:c r="C6380" s="18" t="n">
        <x:v>22106</x:v>
      </x:c>
      <x:c r="D6380" s="18" t="n">
        <x:v>179587</x:v>
      </x:c>
      <x:c r="E6380" s="18" t="n">
        <x:v>36.02</x:v>
      </x:c>
      <x:c r="F6380" s="18" t="n">
        <x:v>10.04</x:v>
      </x:c>
      <x:c r="G6380" t="n">
        <x:v>60</x:v>
      </x:c>
      <x:c r="H6380" t="str">
        <x:v>C</x:v>
      </x:c>
      <x:c r="I6380" t="str">
        <x:v>4-6 years</x:v>
      </x:c>
      <x:c r="J6380" t="str">
        <x:v>RENT</x:v>
      </x:c>
      <x:c r="K6380" t="str">
        <x:v>debt_consolidation</x:v>
      </x:c>
      <x:c r="L6380" t="n">
        <x:v>0</x:v>
      </x:c>
      <x:c r="M6380" t="n">
        <x:v>0</x:v>
      </x:c>
      <x:c r="N6380" t="str">
        <x:v>Fully Paid</x:v>
      </x:c>
      <x:c r="O6380" t="str">
        <x:f>IF(D6380="","Unknown",IF(D6380&lt;25000,"&lt;$25k",IF(D6380&lt;50000,"$25k-$50k",IF(D6380&lt;75000,"$50k-$75k",IF(D6380&lt;100000,"$75k-$100k","$100k+")))))</x:f>
        <x:v>$100k+</x:v>
      </x:c>
      <x:c r="P6380" t="str">
        <x:f>IF(E6380="","Unknown",IF(E6380&lt;10,"&lt;10",IF(E6380&lt;20,"10-&lt;20",IF(E6380&lt;25,"20-&lt;25",IF(E6380&lt;35,"25-&lt;35","35+")))))</x:f>
        <x:v>35+</x:v>
      </x:c>
    </x:row>
    <x:row r="6381">
      <x:c r="A6381" t="str">
        <x:v>SYN0006380</x:v>
      </x:c>
      <x:c r="B6381" s="12" t="n">
        <x:v>42595</x:v>
      </x:c>
      <x:c r="C6381" s="18" t="n">
        <x:v>4668</x:v>
      </x:c>
      <x:c r="D6381" s="18" t="n">
        <x:v>41918</x:v>
      </x:c>
      <x:c r="E6381" s="18" t="n">
        <x:v>21.38</x:v>
      </x:c>
      <x:c r="F6381" s="18" t="n">
        <x:v>7.28</x:v>
      </x:c>
      <x:c r="G6381" t="n">
        <x:v>36</x:v>
      </x:c>
      <x:c r="H6381" t="str">
        <x:v>C</x:v>
      </x:c>
      <x:c r="I6381" t="str">
        <x:v>10+ years</x:v>
      </x:c>
      <x:c r="J6381" t="str">
        <x:v>OTHER</x:v>
      </x:c>
      <x:c r="K6381" t="str">
        <x:v>debt_consolidation</x:v>
      </x:c>
      <x:c r="L6381" t="n">
        <x:v>1</x:v>
      </x:c>
      <x:c r="M6381" t="n">
        <x:v>0</x:v>
      </x:c>
      <x:c r="N6381" t="str">
        <x:v>Fully Paid</x:v>
      </x:c>
      <x:c r="O6381" t="str">
        <x:f>IF(D6381="","Unknown",IF(D6381&lt;25000,"&lt;$25k",IF(D6381&lt;50000,"$25k-$50k",IF(D6381&lt;75000,"$50k-$75k",IF(D6381&lt;100000,"$75k-$100k","$100k+")))))</x:f>
        <x:v>$25k-$50k</x:v>
      </x:c>
      <x:c r="P6381" t="str">
        <x:f>IF(E6381="","Unknown",IF(E6381&lt;10,"&lt;10",IF(E6381&lt;20,"10-&lt;20",IF(E6381&lt;25,"20-&lt;25",IF(E6381&lt;35,"25-&lt;35","35+")))))</x:f>
        <x:v>20-&lt;25</x:v>
      </x:c>
    </x:row>
    <x:row r="6382">
      <x:c r="A6382" t="str">
        <x:v>SYN0006381</x:v>
      </x:c>
      <x:c r="B6382" s="12" t="n">
        <x:v>41515</x:v>
      </x:c>
      <x:c r="C6382" s="18" t="n">
        <x:v>7664</x:v>
      </x:c>
      <x:c r="D6382" s="18" t="n">
        <x:v>56978</x:v>
      </x:c>
      <x:c r="E6382" s="18" t="n">
        <x:v>37.1</x:v>
      </x:c>
      <x:c r="F6382" s="18" t="n">
        <x:v>23.14</x:v>
      </x:c>
      <x:c r="G6382" t="n">
        <x:v>36</x:v>
      </x:c>
      <x:c r="H6382" t="str">
        <x:v>F</x:v>
      </x:c>
      <x:c r="I6382" t="str">
        <x:v>10+ years</x:v>
      </x:c>
      <x:c r="J6382" t="str">
        <x:v>MORTGAGE</x:v>
      </x:c>
      <x:c r="K6382" t="str">
        <x:v>debt_consolidation</x:v>
      </x:c>
      <x:c r="L6382" t="n">
        <x:v>1</x:v>
      </x:c>
      <x:c r="M6382" t="n">
        <x:v>1</x:v>
      </x:c>
      <x:c r="N6382" t="str">
        <x:v>Charged Off</x:v>
      </x:c>
      <x:c r="O6382" t="str">
        <x:f>IF(D6382="","Unknown",IF(D6382&lt;25000,"&lt;$25k",IF(D6382&lt;50000,"$25k-$50k",IF(D6382&lt;75000,"$50k-$75k",IF(D6382&lt;100000,"$75k-$100k","$100k+")))))</x:f>
        <x:v>$50k-$75k</x:v>
      </x:c>
      <x:c r="P6382" t="str">
        <x:f>IF(E6382="","Unknown",IF(E6382&lt;10,"&lt;10",IF(E6382&lt;20,"10-&lt;20",IF(E6382&lt;25,"20-&lt;25",IF(E6382&lt;35,"25-&lt;35","35+")))))</x:f>
        <x:v>35+</x:v>
      </x:c>
    </x:row>
    <x:row r="6383">
      <x:c r="A6383" t="str">
        <x:v>SYN0006382</x:v>
      </x:c>
      <x:c r="B6383" s="12" t="n">
        <x:v>41635</x:v>
      </x:c>
      <x:c r="C6383" s="18" t="n">
        <x:v>4919</x:v>
      </x:c>
      <x:c r="D6383" s="18" t="n">
        <x:v>27317</x:v>
      </x:c>
      <x:c r="E6383" s="18" t="n">
        <x:v>31.96</x:v>
      </x:c>
      <x:c r="F6383" s="18" t="n">
        <x:v>14.62</x:v>
      </x:c>
      <x:c r="G6383" t="n">
        <x:v>36</x:v>
      </x:c>
      <x:c r="H6383" t="str">
        <x:v>D</x:v>
      </x:c>
      <x:c r="I6383" t="str">
        <x:v>1-3 years</x:v>
      </x:c>
      <x:c r="J6383" t="str">
        <x:v>OWN</x:v>
      </x:c>
      <x:c r="K6383" t="str">
        <x:v>debt_consolidation</x:v>
      </x:c>
      <x:c r="L6383" t="n">
        <x:v>0</x:v>
      </x:c>
      <x:c r="M6383" t="n">
        <x:v>1</x:v>
      </x:c>
      <x:c r="N6383" t="str">
        <x:v>Charged Off</x:v>
      </x:c>
      <x:c r="O6383" t="str">
        <x:f>IF(D6383="","Unknown",IF(D6383&lt;25000,"&lt;$25k",IF(D6383&lt;50000,"$25k-$50k",IF(D6383&lt;75000,"$50k-$75k",IF(D6383&lt;100000,"$75k-$100k","$100k+")))))</x:f>
        <x:v>$25k-$50k</x:v>
      </x:c>
      <x:c r="P6383" t="str">
        <x:f>IF(E6383="","Unknown",IF(E6383&lt;10,"&lt;10",IF(E6383&lt;20,"10-&lt;20",IF(E6383&lt;25,"20-&lt;25",IF(E6383&lt;35,"25-&lt;35","35+")))))</x:f>
        <x:v>25-&lt;35</x:v>
      </x:c>
    </x:row>
    <x:row r="6384">
      <x:c r="A6384" t="str">
        <x:v>SYN0006383</x:v>
      </x:c>
      <x:c r="B6384" s="12" t="n">
        <x:v>42175</x:v>
      </x:c>
      <x:c r="C6384" s="18" t="n">
        <x:v>9276</x:v>
      </x:c>
      <x:c r="D6384" s="18" t="n">
        <x:v>52164</x:v>
      </x:c>
      <x:c r="E6384" s="18" t="n">
        <x:v>9.48</x:v>
      </x:c>
      <x:c r="F6384" s="18" t="n">
        <x:v>23.39</x:v>
      </x:c>
      <x:c r="G6384" t="n">
        <x:v>36</x:v>
      </x:c>
      <x:c r="H6384" t="str">
        <x:v>G</x:v>
      </x:c>
      <x:c r="I6384" t="str">
        <x:v>4-6 years</x:v>
      </x:c>
      <x:c r="J6384" t="str">
        <x:v>MORTGAGE</x:v>
      </x:c>
      <x:c r="K6384" t="str">
        <x:v>debt_consolidation</x:v>
      </x:c>
      <x:c r="L6384" t="n">
        <x:v>0</x:v>
      </x:c>
      <x:c r="M6384" t="n">
        <x:v>1</x:v>
      </x:c>
      <x:c r="N6384" t="str">
        <x:v>Charged Off</x:v>
      </x:c>
      <x:c r="O6384" t="str">
        <x:f>IF(D6384="","Unknown",IF(D6384&lt;25000,"&lt;$25k",IF(D6384&lt;50000,"$25k-$50k",IF(D6384&lt;75000,"$50k-$75k",IF(D6384&lt;100000,"$75k-$100k","$100k+")))))</x:f>
        <x:v>$50k-$75k</x:v>
      </x:c>
      <x:c r="P6384" t="str">
        <x:f>IF(E6384="","Unknown",IF(E6384&lt;10,"&lt;10",IF(E6384&lt;20,"10-&lt;20",IF(E6384&lt;25,"20-&lt;25",IF(E6384&lt;35,"25-&lt;35","35+")))))</x:f>
        <x:v>&lt;10</x:v>
      </x:c>
    </x:row>
    <x:row r="6385">
      <x:c r="A6385" t="str">
        <x:v>SYN0006384</x:v>
      </x:c>
      <x:c r="B6385" s="12" t="n">
        <x:v>42415</x:v>
      </x:c>
      <x:c r="C6385" s="18" t="n">
        <x:v>18374</x:v>
      </x:c>
      <x:c r="D6385" s="18" t="n">
        <x:v>194865</x:v>
      </x:c>
      <x:c r="E6385" s="18" t="n">
        <x:v>11.65</x:v>
      </x:c>
      <x:c r="F6385" s="18" t="n">
        <x:v>9.68</x:v>
      </x:c>
      <x:c r="G6385" t="n">
        <x:v>36</x:v>
      </x:c>
      <x:c r="H6385" t="str">
        <x:v>C</x:v>
      </x:c>
      <x:c r="I6385" t="str">
        <x:v>1-3 years</x:v>
      </x:c>
      <x:c r="J6385" t="str">
        <x:v>MORTGAGE</x:v>
      </x:c>
      <x:c r="K6385" t="str">
        <x:v>credit_card</x:v>
      </x:c>
      <x:c r="L6385" t="n">
        <x:v>0</x:v>
      </x:c>
      <x:c r="M6385" t="n">
        <x:v>0</x:v>
      </x:c>
      <x:c r="N6385" t="str">
        <x:v>Fully Paid</x:v>
      </x:c>
      <x:c r="O6385" t="str">
        <x:f>IF(D6385="","Unknown",IF(D6385&lt;25000,"&lt;$25k",IF(D6385&lt;50000,"$25k-$50k",IF(D6385&lt;75000,"$50k-$75k",IF(D6385&lt;100000,"$75k-$100k","$100k+")))))</x:f>
        <x:v>$100k+</x:v>
      </x:c>
      <x:c r="P6385" t="str">
        <x:f>IF(E6385="","Unknown",IF(E6385&lt;10,"&lt;10",IF(E6385&lt;20,"10-&lt;20",IF(E6385&lt;25,"20-&lt;25",IF(E6385&lt;35,"25-&lt;35","35+")))))</x:f>
        <x:v>10-&lt;20</x:v>
      </x:c>
    </x:row>
    <x:row r="6386">
      <x:c r="A6386" t="str">
        <x:v>SYN0006385</x:v>
      </x:c>
      <x:c r="B6386" s="12" t="n">
        <x:v>41995</x:v>
      </x:c>
      <x:c r="C6386" s="18" t="n">
        <x:v>24713</x:v>
      </x:c>
      <x:c r="D6386" s="18" t="n">
        <x:v>26140</x:v>
      </x:c>
      <x:c r="E6386" s="18" t="n">
        <x:v>8.37</x:v>
      </x:c>
      <x:c r="F6386" s="18" t="n">
        <x:v>5</x:v>
      </x:c>
      <x:c r="G6386" t="n">
        <x:v>36</x:v>
      </x:c>
      <x:c r="H6386" t="str">
        <x:v>A</x:v>
      </x:c>
      <x:c r="I6386" t="str">
        <x:v>4-6 years</x:v>
      </x:c>
      <x:c r="J6386" t="str">
        <x:v>MORTGAGE</x:v>
      </x:c>
      <x:c r="K6386" t="str">
        <x:v>debt_consolidation</x:v>
      </x:c>
      <x:c r="L6386" t="n">
        <x:v>0</x:v>
      </x:c>
      <x:c r="M6386" t="n">
        <x:v>0</x:v>
      </x:c>
      <x:c r="N6386" t="str">
        <x:v>Fully Paid</x:v>
      </x:c>
      <x:c r="O6386" t="str">
        <x:f>IF(D6386="","Unknown",IF(D6386&lt;25000,"&lt;$25k",IF(D6386&lt;50000,"$25k-$50k",IF(D6386&lt;75000,"$50k-$75k",IF(D6386&lt;100000,"$75k-$100k","$100k+")))))</x:f>
        <x:v>$25k-$50k</x:v>
      </x:c>
      <x:c r="P6386" t="str">
        <x:f>IF(E6386="","Unknown",IF(E6386&lt;10,"&lt;10",IF(E6386&lt;20,"10-&lt;20",IF(E6386&lt;25,"20-&lt;25",IF(E6386&lt;35,"25-&lt;35","35+")))))</x:f>
        <x:v>&lt;10</x:v>
      </x:c>
    </x:row>
    <x:row r="6387">
      <x:c r="A6387" t="str">
        <x:v>SYN0006386</x:v>
      </x:c>
      <x:c r="B6387" s="12" t="n">
        <x:v>42655</x:v>
      </x:c>
      <x:c r="C6387" s="18" t="n">
        <x:v>19871</x:v>
      </x:c>
      <x:c r="D6387" s="18" t="n">
        <x:v>66849</x:v>
      </x:c>
      <x:c r="E6387" s="18" t="n">
        <x:v>19.68</x:v>
      </x:c>
      <x:c r="F6387" s="18" t="n">
        <x:v>10.54</x:v>
      </x:c>
      <x:c r="G6387" t="n">
        <x:v>36</x:v>
      </x:c>
      <x:c r="H6387" t="str">
        <x:v>C</x:v>
      </x:c>
      <x:c r="I6387" t="str">
        <x:v>10+ years</x:v>
      </x:c>
      <x:c r="J6387" t="str">
        <x:v>RENT</x:v>
      </x:c>
      <x:c r="K6387" t="str">
        <x:v>home_improvement</x:v>
      </x:c>
      <x:c r="L6387" t="n">
        <x:v>0</x:v>
      </x:c>
      <x:c r="M6387" t="n">
        <x:v>0</x:v>
      </x:c>
      <x:c r="N6387" t="str">
        <x:v>Fully Paid</x:v>
      </x:c>
      <x:c r="O6387" t="str">
        <x:f>IF(D6387="","Unknown",IF(D6387&lt;25000,"&lt;$25k",IF(D6387&lt;50000,"$25k-$50k",IF(D6387&lt;75000,"$50k-$75k",IF(D6387&lt;100000,"$75k-$100k","$100k+")))))</x:f>
        <x:v>$50k-$75k</x:v>
      </x:c>
      <x:c r="P6387" t="str">
        <x:f>IF(E6387="","Unknown",IF(E6387&lt;10,"&lt;10",IF(E6387&lt;20,"10-&lt;20",IF(E6387&lt;25,"20-&lt;25",IF(E6387&lt;35,"25-&lt;35","35+")))))</x:f>
        <x:v>10-&lt;20</x:v>
      </x:c>
    </x:row>
    <x:row r="6388">
      <x:c r="A6388" t="str">
        <x:v>SYN0006387</x:v>
      </x:c>
      <x:c r="B6388" s="12" t="n">
        <x:v>41845</x:v>
      </x:c>
      <x:c r="C6388" s="18" t="n">
        <x:v>7996</x:v>
      </x:c>
      <x:c r="D6388" s="18" t="n">
        <x:v>84816</x:v>
      </x:c>
      <x:c r="E6388" s="18" t="n">
        <x:v>25.45</x:v>
      </x:c>
      <x:c r="F6388" s="18" t="n">
        <x:v>12.64</x:v>
      </x:c>
      <x:c r="G6388" t="n">
        <x:v>60</x:v>
      </x:c>
      <x:c r="H6388" t="str">
        <x:v>C</x:v>
      </x:c>
      <x:c r="I6388" t="str">
        <x:v>4-6 years</x:v>
      </x:c>
      <x:c r="J6388" t="str">
        <x:v>MORTGAGE</x:v>
      </x:c>
      <x:c r="K6388" t="str">
        <x:v>debt_consolidation</x:v>
      </x:c>
      <x:c r="L6388" t="n">
        <x:v>0</x:v>
      </x:c>
      <x:c r="M6388" t="n">
        <x:v>0</x:v>
      </x:c>
      <x:c r="N6388" t="str">
        <x:v>Fully Paid</x:v>
      </x:c>
      <x:c r="O6388" t="str">
        <x:f>IF(D6388="","Unknown",IF(D6388&lt;25000,"&lt;$25k",IF(D6388&lt;50000,"$25k-$50k",IF(D6388&lt;75000,"$50k-$75k",IF(D6388&lt;100000,"$75k-$100k","$100k+")))))</x:f>
        <x:v>$75k-$100k</x:v>
      </x:c>
      <x:c r="P6388" t="str">
        <x:f>IF(E6388="","Unknown",IF(E6388&lt;10,"&lt;10",IF(E6388&lt;20,"10-&lt;20",IF(E6388&lt;25,"20-&lt;25",IF(E6388&lt;35,"25-&lt;35","35+")))))</x:f>
        <x:v>25-&lt;35</x:v>
      </x:c>
    </x:row>
    <x:row r="6389">
      <x:c r="A6389" t="str">
        <x:v>SYN0006388</x:v>
      </x:c>
      <x:c r="B6389" s="12" t="n">
        <x:v>41875</x:v>
      </x:c>
      <x:c r="C6389" s="18" t="n">
        <x:v>7980</x:v>
      </x:c>
      <x:c r="D6389" s="18" t="n">
        <x:v>30052</x:v>
      </x:c>
      <x:c r="E6389" s="18" t="n">
        <x:v>12.38</x:v>
      </x:c>
      <x:c r="F6389" s="18" t="n">
        <x:v>8.4</x:v>
      </x:c>
      <x:c r="G6389" t="n">
        <x:v>60</x:v>
      </x:c>
      <x:c r="H6389" t="str">
        <x:v>A</x:v>
      </x:c>
      <x:c r="I6389" t="str">
        <x:v>10+ years</x:v>
      </x:c>
      <x:c r="J6389" t="str">
        <x:v>MORTGAGE</x:v>
      </x:c>
      <x:c r="K6389" t="str">
        <x:v>credit_card</x:v>
      </x:c>
      <x:c r="L6389" t="n">
        <x:v>0</x:v>
      </x:c>
      <x:c r="M6389" t="n">
        <x:v>0</x:v>
      </x:c>
      <x:c r="N6389" t="str">
        <x:v>Fully Paid</x:v>
      </x:c>
      <x:c r="O6389" t="str">
        <x:f>IF(D6389="","Unknown",IF(D6389&lt;25000,"&lt;$25k",IF(D6389&lt;50000,"$25k-$50k",IF(D6389&lt;75000,"$50k-$75k",IF(D6389&lt;100000,"$75k-$100k","$100k+")))))</x:f>
        <x:v>$25k-$50k</x:v>
      </x:c>
      <x:c r="P6389" t="str">
        <x:f>IF(E6389="","Unknown",IF(E6389&lt;10,"&lt;10",IF(E6389&lt;20,"10-&lt;20",IF(E6389&lt;25,"20-&lt;25",IF(E6389&lt;35,"25-&lt;35","35+")))))</x:f>
        <x:v>10-&lt;20</x:v>
      </x:c>
    </x:row>
    <x:row r="6390">
      <x:c r="A6390" t="str">
        <x:v>SYN0006389</x:v>
      </x:c>
      <x:c r="B6390" s="12" t="n">
        <x:v>42445</x:v>
      </x:c>
      <x:c r="C6390" s="18" t="n">
        <x:v>12683</x:v>
      </x:c>
      <x:c r="D6390" s="18" t="n">
        <x:v>59314</x:v>
      </x:c>
      <x:c r="E6390" s="18" t="n">
        <x:v>33.87</x:v>
      </x:c>
      <x:c r="F6390" s="18" t="n">
        <x:v>27.15</x:v>
      </x:c>
      <x:c r="G6390" t="n">
        <x:v>36</x:v>
      </x:c>
      <x:c r="H6390" t="str">
        <x:v>F</x:v>
      </x:c>
      <x:c r="I6390" t="str">
        <x:v>7-9 years</x:v>
      </x:c>
      <x:c r="J6390" t="str">
        <x:v>MORTGAGE</x:v>
      </x:c>
      <x:c r="K6390" t="str">
        <x:v>debt_consolidation</x:v>
      </x:c>
      <x:c r="L6390" t="n">
        <x:v>0</x:v>
      </x:c>
      <x:c r="M6390" t="n">
        <x:v>0</x:v>
      </x:c>
      <x:c r="N6390" t="str">
        <x:v>Fully Paid</x:v>
      </x:c>
      <x:c r="O6390" t="str">
        <x:f>IF(D6390="","Unknown",IF(D6390&lt;25000,"&lt;$25k",IF(D6390&lt;50000,"$25k-$50k",IF(D6390&lt;75000,"$50k-$75k",IF(D6390&lt;100000,"$75k-$100k","$100k+")))))</x:f>
        <x:v>$50k-$75k</x:v>
      </x:c>
      <x:c r="P6390" t="str">
        <x:f>IF(E6390="","Unknown",IF(E6390&lt;10,"&lt;10",IF(E6390&lt;20,"10-&lt;20",IF(E6390&lt;25,"20-&lt;25",IF(E6390&lt;35,"25-&lt;35","35+")))))</x:f>
        <x:v>25-&lt;35</x:v>
      </x:c>
    </x:row>
    <x:row r="6391">
      <x:c r="A6391" t="str">
        <x:v>SYN0006390</x:v>
      </x:c>
      <x:c r="B6391" s="12" t="n">
        <x:v>41875</x:v>
      </x:c>
      <x:c r="C6391" s="18" t="n">
        <x:v>18072</x:v>
      </x:c>
      <x:c r="D6391" s="18" t="n">
        <x:v>45885</x:v>
      </x:c>
      <x:c r="E6391" s="18" t="n">
        <x:v>20.56</x:v>
      </x:c>
      <x:c r="F6391" s="18" t="n">
        <x:v>13.38</x:v>
      </x:c>
      <x:c r="G6391" t="n">
        <x:v>60</x:v>
      </x:c>
      <x:c r="H6391" t="str">
        <x:v>C</x:v>
      </x:c>
      <x:c r="I6391" t="str">
        <x:v>1-3 years</x:v>
      </x:c>
      <x:c r="J6391" t="str">
        <x:v>RENT</x:v>
      </x:c>
      <x:c r="K6391" t="str">
        <x:v>debt_consolidation</x:v>
      </x:c>
      <x:c r="L6391" t="n">
        <x:v>0</x:v>
      </x:c>
      <x:c r="M6391" t="n">
        <x:v>0</x:v>
      </x:c>
      <x:c r="N6391" t="str">
        <x:v>Fully Paid</x:v>
      </x:c>
      <x:c r="O6391" t="str">
        <x:f>IF(D6391="","Unknown",IF(D6391&lt;25000,"&lt;$25k",IF(D6391&lt;50000,"$25k-$50k",IF(D6391&lt;75000,"$50k-$75k",IF(D6391&lt;100000,"$75k-$100k","$100k+")))))</x:f>
        <x:v>$25k-$50k</x:v>
      </x:c>
      <x:c r="P6391" t="str">
        <x:f>IF(E6391="","Unknown",IF(E6391&lt;10,"&lt;10",IF(E6391&lt;20,"10-&lt;20",IF(E6391&lt;25,"20-&lt;25",IF(E6391&lt;35,"25-&lt;35","35+")))))</x:f>
        <x:v>20-&lt;25</x:v>
      </x:c>
    </x:row>
    <x:row r="6392">
      <x:c r="A6392" t="str">
        <x:v>SYN0006391</x:v>
      </x:c>
      <x:c r="B6392" s="12" t="n">
        <x:v>42625</x:v>
      </x:c>
      <x:c r="C6392" s="18" t="n">
        <x:v>15821</x:v>
      </x:c>
      <x:c r="D6392" s="18" t="n">
        <x:v>118540</x:v>
      </x:c>
      <x:c r="E6392" s="18" t="n">
        <x:v>9.1</x:v>
      </x:c>
      <x:c r="F6392" s="18" t="n">
        <x:v>9.77</x:v>
      </x:c>
      <x:c r="G6392" t="n">
        <x:v>36</x:v>
      </x:c>
      <x:c r="H6392" t="str">
        <x:v>C</x:v>
      </x:c>
      <x:c r="I6392" t="str">
        <x:v>4-6 years</x:v>
      </x:c>
      <x:c r="J6392" t="str">
        <x:v>OWN</x:v>
      </x:c>
      <x:c r="K6392" t="str">
        <x:v>debt_consolidation</x:v>
      </x:c>
      <x:c r="L6392" t="n">
        <x:v>1</x:v>
      </x:c>
      <x:c r="M6392" t="n">
        <x:v>0</x:v>
      </x:c>
      <x:c r="N6392" t="str">
        <x:v>Fully Paid</x:v>
      </x:c>
      <x:c r="O6392" t="str">
        <x:f>IF(D6392="","Unknown",IF(D6392&lt;25000,"&lt;$25k",IF(D6392&lt;50000,"$25k-$50k",IF(D6392&lt;75000,"$50k-$75k",IF(D6392&lt;100000,"$75k-$100k","$100k+")))))</x:f>
        <x:v>$100k+</x:v>
      </x:c>
      <x:c r="P6392" t="str">
        <x:f>IF(E6392="","Unknown",IF(E6392&lt;10,"&lt;10",IF(E6392&lt;20,"10-&lt;20",IF(E6392&lt;25,"20-&lt;25",IF(E6392&lt;35,"25-&lt;35","35+")))))</x:f>
        <x:v>&lt;10</x:v>
      </x:c>
    </x:row>
    <x:row r="6393">
      <x:c r="A6393" t="str">
        <x:v>SYN0006392</x:v>
      </x:c>
      <x:c r="B6393" s="12" t="n">
        <x:v>41725</x:v>
      </x:c>
      <x:c r="C6393" s="18" t="n">
        <x:v>24394</x:v>
      </x:c>
      <x:c r="D6393" s="18" t="n">
        <x:v>39957</x:v>
      </x:c>
      <x:c r="E6393" s="18" t="n">
        <x:v>22.23</x:v>
      </x:c>
      <x:c r="F6393" s="18" t="n">
        <x:v>5.85</x:v>
      </x:c>
      <x:c r="G6393" t="n">
        <x:v>36</x:v>
      </x:c>
      <x:c r="H6393" t="str">
        <x:v>B</x:v>
      </x:c>
      <x:c r="I6393" t="str">
        <x:v>4-6 years</x:v>
      </x:c>
      <x:c r="J6393" t="str">
        <x:v>MORTGAGE</x:v>
      </x:c>
      <x:c r="K6393" t="str">
        <x:v>debt_consolidation</x:v>
      </x:c>
      <x:c r="L6393" t="n">
        <x:v>1</x:v>
      </x:c>
      <x:c r="M6393" t="n">
        <x:v>0</x:v>
      </x:c>
      <x:c r="N6393" t="str">
        <x:v>Fully Paid</x:v>
      </x:c>
      <x:c r="O6393" t="str">
        <x:f>IF(D6393="","Unknown",IF(D6393&lt;25000,"&lt;$25k",IF(D6393&lt;50000,"$25k-$50k",IF(D6393&lt;75000,"$50k-$75k",IF(D6393&lt;100000,"$75k-$100k","$100k+")))))</x:f>
        <x:v>$25k-$50k</x:v>
      </x:c>
      <x:c r="P6393" t="str">
        <x:f>IF(E6393="","Unknown",IF(E6393&lt;10,"&lt;10",IF(E6393&lt;20,"10-&lt;20",IF(E6393&lt;25,"20-&lt;25",IF(E6393&lt;35,"25-&lt;35","35+")))))</x:f>
        <x:v>20-&lt;25</x:v>
      </x:c>
    </x:row>
    <x:row r="6394">
      <x:c r="A6394" t="str">
        <x:v>SYN0006393</x:v>
      </x:c>
      <x:c r="B6394" s="12" t="n">
        <x:v>42175</x:v>
      </x:c>
      <x:c r="C6394" s="18" t="n">
        <x:v>17160</x:v>
      </x:c>
      <x:c r="D6394" s="18" t="n">
        <x:v>51057</x:v>
      </x:c>
      <x:c r="E6394" s="18" t="n">
        <x:v>6.72</x:v>
      </x:c>
      <x:c r="F6394" s="18" t="n">
        <x:v>7.31</x:v>
      </x:c>
      <x:c r="G6394" t="n">
        <x:v>36</x:v>
      </x:c>
      <x:c r="H6394" t="str">
        <x:v>A</x:v>
      </x:c>
      <x:c r="I6394" t="str">
        <x:v>1-3 years</x:v>
      </x:c>
      <x:c r="J6394" t="str">
        <x:v>RENT</x:v>
      </x:c>
      <x:c r="K6394" t="str">
        <x:v>debt_consolidation</x:v>
      </x:c>
      <x:c r="L6394" t="n">
        <x:v>0</x:v>
      </x:c>
      <x:c r="M6394" t="n">
        <x:v>0</x:v>
      </x:c>
      <x:c r="N6394" t="str">
        <x:v>Fully Paid</x:v>
      </x:c>
      <x:c r="O6394" t="str">
        <x:f>IF(D6394="","Unknown",IF(D6394&lt;25000,"&lt;$25k",IF(D6394&lt;50000,"$25k-$50k",IF(D6394&lt;75000,"$50k-$75k",IF(D6394&lt;100000,"$75k-$100k","$100k+")))))</x:f>
        <x:v>$50k-$75k</x:v>
      </x:c>
      <x:c r="P6394" t="str">
        <x:f>IF(E6394="","Unknown",IF(E6394&lt;10,"&lt;10",IF(E6394&lt;20,"10-&lt;20",IF(E6394&lt;25,"20-&lt;25",IF(E6394&lt;35,"25-&lt;35","35+")))))</x:f>
        <x:v>&lt;10</x:v>
      </x:c>
    </x:row>
    <x:row r="6395">
      <x:c r="A6395" t="str">
        <x:v>SYN0006394</x:v>
      </x:c>
      <x:c r="B6395" s="12" t="n">
        <x:v>42535</x:v>
      </x:c>
      <x:c r="C6395" s="18" t="n">
        <x:v>15994</x:v>
      </x:c>
      <x:c r="D6395" s="18" t="n">
        <x:v>40778</x:v>
      </x:c>
      <x:c r="E6395" s="18" t="n">
        <x:v>29.6</x:v>
      </x:c>
      <x:c r="F6395" s="18" t="n">
        <x:v>27.31</x:v>
      </x:c>
      <x:c r="G6395" t="n">
        <x:v>60</x:v>
      </x:c>
      <x:c r="H6395" t="str">
        <x:v>G</x:v>
      </x:c>
      <x:c r="I6395" t="str">
        <x:v>4-6 years</x:v>
      </x:c>
      <x:c r="J6395" t="str">
        <x:v>MORTGAGE</x:v>
      </x:c>
      <x:c r="K6395" t="str">
        <x:v>other</x:v>
      </x:c>
      <x:c r="L6395" t="n">
        <x:v>1</x:v>
      </x:c>
      <x:c r="M6395" t="n">
        <x:v>1</x:v>
      </x:c>
      <x:c r="N6395" t="str">
        <x:v>Charged Off</x:v>
      </x:c>
      <x:c r="O6395" t="str">
        <x:f>IF(D6395="","Unknown",IF(D6395&lt;25000,"&lt;$25k",IF(D6395&lt;50000,"$25k-$50k",IF(D6395&lt;75000,"$50k-$75k",IF(D6395&lt;100000,"$75k-$100k","$100k+")))))</x:f>
        <x:v>$25k-$50k</x:v>
      </x:c>
      <x:c r="P6395" t="str">
        <x:f>IF(E6395="","Unknown",IF(E6395&lt;10,"&lt;10",IF(E6395&lt;20,"10-&lt;20",IF(E6395&lt;25,"20-&lt;25",IF(E6395&lt;35,"25-&lt;35","35+")))))</x:f>
        <x:v>25-&lt;35</x:v>
      </x:c>
    </x:row>
    <x:row r="6396">
      <x:c r="A6396" t="str">
        <x:v>SYN0006395</x:v>
      </x:c>
      <x:c r="B6396" s="12" t="n">
        <x:v>42235</x:v>
      </x:c>
      <x:c r="C6396" s="18" t="n">
        <x:v>9400</x:v>
      </x:c>
      <x:c r="D6396" s="18" t="n">
        <x:v>20936</x:v>
      </x:c>
      <x:c r="E6396" s="18" t="n">
        <x:v>19.96</x:v>
      </x:c>
      <x:c r="F6396" s="18" t="n">
        <x:v>14.94</x:v>
      </x:c>
      <x:c r="G6396" t="n">
        <x:v>36</x:v>
      </x:c>
      <x:c r="H6396" t="str">
        <x:v>D</x:v>
      </x:c>
      <x:c r="I6396" t="str">
        <x:v>&lt;1 year</x:v>
      </x:c>
      <x:c r="J6396" t="str">
        <x:v>OWN</x:v>
      </x:c>
      <x:c r="K6396" t="str">
        <x:v>home_improvement</x:v>
      </x:c>
      <x:c r="L6396" t="n">
        <x:v>2</x:v>
      </x:c>
      <x:c r="M6396" t="n">
        <x:v>0</x:v>
      </x:c>
      <x:c r="N6396" t="str">
        <x:v>Fully Paid</x:v>
      </x:c>
      <x:c r="O6396" t="str">
        <x:f>IF(D6396="","Unknown",IF(D6396&lt;25000,"&lt;$25k",IF(D6396&lt;50000,"$25k-$50k",IF(D6396&lt;75000,"$50k-$75k",IF(D6396&lt;100000,"$75k-$100k","$100k+")))))</x:f>
        <x:v>&lt;$25k</x:v>
      </x:c>
      <x:c r="P6396" t="str">
        <x:f>IF(E6396="","Unknown",IF(E6396&lt;10,"&lt;10",IF(E6396&lt;20,"10-&lt;20",IF(E6396&lt;25,"20-&lt;25",IF(E6396&lt;35,"25-&lt;35","35+")))))</x:f>
        <x:v>10-&lt;20</x:v>
      </x:c>
    </x:row>
    <x:row r="6397">
      <x:c r="A6397" t="str">
        <x:v>SYN0006396</x:v>
      </x:c>
      <x:c r="B6397" s="12" t="n">
        <x:v>42175</x:v>
      </x:c>
      <x:c r="C6397" s="18" t="n">
        <x:v>18040</x:v>
      </x:c>
      <x:c r="D6397" s="18" t="n">
        <x:v>45151</x:v>
      </x:c>
      <x:c r="E6397" s="18" t="n">
        <x:v>8.61</x:v>
      </x:c>
      <x:c r="F6397" s="18" t="n">
        <x:v>5.71</x:v>
      </x:c>
      <x:c r="G6397" t="n">
        <x:v>36</x:v>
      </x:c>
      <x:c r="H6397" t="str">
        <x:v>B</x:v>
      </x:c>
      <x:c r="I6397" t="str">
        <x:v>4-6 years</x:v>
      </x:c>
      <x:c r="J6397" t="str">
        <x:v>OWN</x:v>
      </x:c>
      <x:c r="K6397" t="str">
        <x:v>debt_consolidation</x:v>
      </x:c>
      <x:c r="L6397" t="n">
        <x:v>0</x:v>
      </x:c>
      <x:c r="M6397" t="n">
        <x:v>0</x:v>
      </x:c>
      <x:c r="N6397" t="str">
        <x:v>Fully Paid</x:v>
      </x:c>
      <x:c r="O6397" t="str">
        <x:f>IF(D6397="","Unknown",IF(D6397&lt;25000,"&lt;$25k",IF(D6397&lt;50000,"$25k-$50k",IF(D6397&lt;75000,"$50k-$75k",IF(D6397&lt;100000,"$75k-$100k","$100k+")))))</x:f>
        <x:v>$25k-$50k</x:v>
      </x:c>
      <x:c r="P6397" t="str">
        <x:f>IF(E6397="","Unknown",IF(E6397&lt;10,"&lt;10",IF(E6397&lt;20,"10-&lt;20",IF(E6397&lt;25,"20-&lt;25",IF(E6397&lt;35,"25-&lt;35","35+")))))</x:f>
        <x:v>&lt;10</x:v>
      </x:c>
    </x:row>
    <x:row r="6398">
      <x:c r="A6398" t="str">
        <x:v>SYN0006397</x:v>
      </x:c>
      <x:c r="B6398" s="12" t="n">
        <x:v>42745</x:v>
      </x:c>
      <x:c r="C6398" s="18" t="n">
        <x:v>23289</x:v>
      </x:c>
      <x:c r="D6398" s="18" t="n">
        <x:v>16310</x:v>
      </x:c>
      <x:c r="E6398" s="18" t="n">
        <x:v>20.73</x:v>
      </x:c>
      <x:c r="F6398" s="18" t="n">
        <x:v>13.44</x:v>
      </x:c>
      <x:c r="G6398" t="n">
        <x:v>36</x:v>
      </x:c>
      <x:c r="H6398" t="str">
        <x:v>C</x:v>
      </x:c>
      <x:c r="I6398" t="str">
        <x:v>7-9 years</x:v>
      </x:c>
      <x:c r="J6398" t="str">
        <x:v>MORTGAGE</x:v>
      </x:c>
      <x:c r="K6398" t="str">
        <x:v>debt_consolidation</x:v>
      </x:c>
      <x:c r="L6398" t="n">
        <x:v>1</x:v>
      </x:c>
      <x:c r="M6398" t="n">
        <x:v>0</x:v>
      </x:c>
      <x:c r="N6398" t="str">
        <x:v>Fully Paid</x:v>
      </x:c>
      <x:c r="O6398" t="str">
        <x:f>IF(D6398="","Unknown",IF(D6398&lt;25000,"&lt;$25k",IF(D6398&lt;50000,"$25k-$50k",IF(D6398&lt;75000,"$50k-$75k",IF(D6398&lt;100000,"$75k-$100k","$100k+")))))</x:f>
        <x:v>&lt;$25k</x:v>
      </x:c>
      <x:c r="P6398" t="str">
        <x:f>IF(E6398="","Unknown",IF(E6398&lt;10,"&lt;10",IF(E6398&lt;20,"10-&lt;20",IF(E6398&lt;25,"20-&lt;25",IF(E6398&lt;35,"25-&lt;35","35+")))))</x:f>
        <x:v>20-&lt;25</x:v>
      </x:c>
    </x:row>
    <x:row r="6399">
      <x:c r="A6399" t="str">
        <x:v>SYN0006398</x:v>
      </x:c>
      <x:c r="B6399" s="12" t="n">
        <x:v>41755</x:v>
      </x:c>
      <x:c r="C6399" s="18" t="n">
        <x:v>8079</x:v>
      </x:c>
      <x:c r="D6399" s="18" t="n">
        <x:v>85286</x:v>
      </x:c>
      <x:c r="E6399" s="18" t="n">
        <x:v>27.42</x:v>
      </x:c>
      <x:c r="F6399" s="18" t="n">
        <x:v>15.83</x:v>
      </x:c>
      <x:c r="G6399" t="n">
        <x:v>60</x:v>
      </x:c>
      <x:c r="H6399" t="str">
        <x:v>D</x:v>
      </x:c>
      <x:c r="I6399" t="str">
        <x:v>10+ years</x:v>
      </x:c>
      <x:c r="J6399" t="str">
        <x:v>RENT</x:v>
      </x:c>
      <x:c r="K6399" t="str">
        <x:v>other</x:v>
      </x:c>
      <x:c r="L6399" t="n">
        <x:v>0</x:v>
      </x:c>
      <x:c r="M6399" t="n">
        <x:v>0</x:v>
      </x:c>
      <x:c r="N6399" t="str">
        <x:v>Fully Paid</x:v>
      </x:c>
      <x:c r="O6399" t="str">
        <x:f>IF(D6399="","Unknown",IF(D6399&lt;25000,"&lt;$25k",IF(D6399&lt;50000,"$25k-$50k",IF(D6399&lt;75000,"$50k-$75k",IF(D6399&lt;100000,"$75k-$100k","$100k+")))))</x:f>
        <x:v>$75k-$100k</x:v>
      </x:c>
      <x:c r="P6399" t="str">
        <x:f>IF(E6399="","Unknown",IF(E6399&lt;10,"&lt;10",IF(E6399&lt;20,"10-&lt;20",IF(E6399&lt;25,"20-&lt;25",IF(E6399&lt;35,"25-&lt;35","35+")))))</x:f>
        <x:v>25-&lt;35</x:v>
      </x:c>
    </x:row>
    <x:row r="6400">
      <x:c r="A6400" t="str">
        <x:v>SYN0006399</x:v>
      </x:c>
      <x:c r="B6400" s="12" t="n">
        <x:v>42805</x:v>
      </x:c>
      <x:c r="C6400" s="18" t="n">
        <x:v>17430</x:v>
      </x:c>
      <x:c r="D6400" s="18" t="n">
        <x:v>39862</x:v>
      </x:c>
      <x:c r="E6400" s="18" t="n">
        <x:v>19.35</x:v>
      </x:c>
      <x:c r="F6400" s="18" t="n">
        <x:v>8.7</x:v>
      </x:c>
      <x:c r="G6400" t="n">
        <x:v>36</x:v>
      </x:c>
      <x:c r="H6400" t="str">
        <x:v>C</x:v>
      </x:c>
      <x:c r="I6400" t="str">
        <x:v>10+ years</x:v>
      </x:c>
      <x:c r="J6400" t="str">
        <x:v>MORTGAGE</x:v>
      </x:c>
      <x:c r="K6400" t="str">
        <x:v>home_improvement</x:v>
      </x:c>
      <x:c r="L6400" t="n">
        <x:v>0</x:v>
      </x:c>
      <x:c r="M6400" t="n">
        <x:v>0</x:v>
      </x:c>
      <x:c r="N6400" t="str">
        <x:v>Fully Paid</x:v>
      </x:c>
      <x:c r="O6400" t="str">
        <x:f>IF(D6400="","Unknown",IF(D6400&lt;25000,"&lt;$25k",IF(D6400&lt;50000,"$25k-$50k",IF(D6400&lt;75000,"$50k-$75k",IF(D6400&lt;100000,"$75k-$100k","$100k+")))))</x:f>
        <x:v>$25k-$50k</x:v>
      </x:c>
      <x:c r="P6400" t="str">
        <x:f>IF(E6400="","Unknown",IF(E6400&lt;10,"&lt;10",IF(E6400&lt;20,"10-&lt;20",IF(E6400&lt;25,"20-&lt;25",IF(E6400&lt;35,"25-&lt;35","35+")))))</x:f>
        <x:v>10-&lt;20</x:v>
      </x:c>
    </x:row>
    <x:row r="6401">
      <x:c r="A6401" t="str">
        <x:v>SYN0006400</x:v>
      </x:c>
      <x:c r="B6401" s="12" t="n">
        <x:v>42715</x:v>
      </x:c>
      <x:c r="C6401" s="18" t="n">
        <x:v>15319</x:v>
      </x:c>
      <x:c r="D6401" s="18" t="n">
        <x:v>33290</x:v>
      </x:c>
      <x:c r="E6401" s="18" t="n">
        <x:v>29.8</x:v>
      </x:c>
      <x:c r="F6401" s="18" t="n">
        <x:v>21.27</x:v>
      </x:c>
      <x:c r="G6401" t="n">
        <x:v>36</x:v>
      </x:c>
      <x:c r="H6401" t="str">
        <x:v>F</x:v>
      </x:c>
      <x:c r="I6401" t="str">
        <x:v>&lt;1 year</x:v>
      </x:c>
      <x:c r="J6401" t="str">
        <x:v>RENT</x:v>
      </x:c>
      <x:c r="K6401" t="str">
        <x:v>debt_consolidation</x:v>
      </x:c>
      <x:c r="L6401" t="n">
        <x:v>1</x:v>
      </x:c>
      <x:c r="M6401" t="n">
        <x:v>0</x:v>
      </x:c>
      <x:c r="N6401" t="str">
        <x:v>Fully Paid</x:v>
      </x:c>
      <x:c r="O6401" t="str">
        <x:f>IF(D6401="","Unknown",IF(D6401&lt;25000,"&lt;$25k",IF(D6401&lt;50000,"$25k-$50k",IF(D6401&lt;75000,"$50k-$75k",IF(D6401&lt;100000,"$75k-$100k","$100k+")))))</x:f>
        <x:v>$25k-$50k</x:v>
      </x:c>
      <x:c r="P6401" t="str">
        <x:f>IF(E6401="","Unknown",IF(E6401&lt;10,"&lt;10",IF(E6401&lt;20,"10-&lt;20",IF(E6401&lt;25,"20-&lt;25",IF(E6401&lt;35,"25-&lt;35","35+")))))</x:f>
        <x:v>25-&lt;35</x:v>
      </x:c>
    </x:row>
    <x:row r="6402">
      <x:c r="A6402" t="str">
        <x:v>SYN0006401</x:v>
      </x:c>
      <x:c r="B6402" s="12" t="n">
        <x:v>42445</x:v>
      </x:c>
      <x:c r="C6402" s="18" t="n">
        <x:v>18360</x:v>
      </x:c>
      <x:c r="D6402" s="18" t="n">
        <x:v>104065</x:v>
      </x:c>
      <x:c r="E6402" s="18" t="n">
        <x:v>24.29</x:v>
      </x:c>
      <x:c r="F6402" s="18" t="n">
        <x:v>24.35</x:v>
      </x:c>
      <x:c r="G6402" t="n">
        <x:v>36</x:v>
      </x:c>
      <x:c r="H6402" t="str">
        <x:v>F</x:v>
      </x:c>
      <x:c r="I6402" t="str">
        <x:v>1-3 years</x:v>
      </x:c>
      <x:c r="J6402" t="str">
        <x:v>OTHER</x:v>
      </x:c>
      <x:c r="K6402" t="str">
        <x:v>home_improvement</x:v>
      </x:c>
      <x:c r="L6402" t="n">
        <x:v>0</x:v>
      </x:c>
      <x:c r="M6402" t="n">
        <x:v>0</x:v>
      </x:c>
      <x:c r="N6402" t="str">
        <x:v>Fully Paid</x:v>
      </x:c>
      <x:c r="O6402" t="str">
        <x:f>IF(D6402="","Unknown",IF(D6402&lt;25000,"&lt;$25k",IF(D6402&lt;50000,"$25k-$50k",IF(D6402&lt;75000,"$50k-$75k",IF(D6402&lt;100000,"$75k-$100k","$100k+")))))</x:f>
        <x:v>$100k+</x:v>
      </x:c>
      <x:c r="P6402" t="str">
        <x:f>IF(E6402="","Unknown",IF(E6402&lt;10,"&lt;10",IF(E6402&lt;20,"10-&lt;20",IF(E6402&lt;25,"20-&lt;25",IF(E6402&lt;35,"25-&lt;35","35+")))))</x:f>
        <x:v>20-&lt;25</x:v>
      </x:c>
    </x:row>
    <x:row r="6403">
      <x:c r="A6403" t="str">
        <x:v>SYN0006402</x:v>
      </x:c>
      <x:c r="B6403" s="12" t="n">
        <x:v>41695</x:v>
      </x:c>
      <x:c r="C6403" s="18" t="n">
        <x:v>8137</x:v>
      </x:c>
      <x:c r="D6403" s="18" t="n">
        <x:v>34541</x:v>
      </x:c>
      <x:c r="E6403" s="18" t="n">
        <x:v>6.76</x:v>
      </x:c>
      <x:c r="F6403" s="18" t="n">
        <x:v>8.66</x:v>
      </x:c>
      <x:c r="G6403" t="n">
        <x:v>36</x:v>
      </x:c>
      <x:c r="H6403" t="str">
        <x:v>B</x:v>
      </x:c>
      <x:c r="I6403" t="str">
        <x:v>4-6 years</x:v>
      </x:c>
      <x:c r="J6403" t="str">
        <x:v>MORTGAGE</x:v>
      </x:c>
      <x:c r="K6403" t="str">
        <x:v>debt_consolidation</x:v>
      </x:c>
      <x:c r="L6403" t="n">
        <x:v>1</x:v>
      </x:c>
      <x:c r="M6403" t="n">
        <x:v>0</x:v>
      </x:c>
      <x:c r="N6403" t="str">
        <x:v>Fully Paid</x:v>
      </x:c>
      <x:c r="O6403" t="str">
        <x:f>IF(D6403="","Unknown",IF(D6403&lt;25000,"&lt;$25k",IF(D6403&lt;50000,"$25k-$50k",IF(D6403&lt;75000,"$50k-$75k",IF(D6403&lt;100000,"$75k-$100k","$100k+")))))</x:f>
        <x:v>$25k-$50k</x:v>
      </x:c>
      <x:c r="P6403" t="str">
        <x:f>IF(E6403="","Unknown",IF(E6403&lt;10,"&lt;10",IF(E6403&lt;20,"10-&lt;20",IF(E6403&lt;25,"20-&lt;25",IF(E6403&lt;35,"25-&lt;35","35+")))))</x:f>
        <x:v>&lt;10</x:v>
      </x:c>
    </x:row>
    <x:row r="6404">
      <x:c r="A6404" t="str">
        <x:v>SYN0006403</x:v>
      </x:c>
      <x:c r="B6404" s="12" t="n">
        <x:v>42415</x:v>
      </x:c>
      <x:c r="C6404" s="18" t="n">
        <x:v>11470</x:v>
      </x:c>
      <x:c r="D6404" s="18" t="n">
        <x:v>30245</x:v>
      </x:c>
      <x:c r="E6404" s="18" t="n">
        <x:v>10.32</x:v>
      </x:c>
      <x:c r="F6404" s="18" t="n">
        <x:v>10.48</x:v>
      </x:c>
      <x:c r="G6404" t="n">
        <x:v>36</x:v>
      </x:c>
      <x:c r="H6404" t="str">
        <x:v>A</x:v>
      </x:c>
      <x:c r="I6404" t="str">
        <x:v>&lt;1 year</x:v>
      </x:c>
      <x:c r="J6404" t="str">
        <x:v>MORTGAGE</x:v>
      </x:c>
      <x:c r="K6404" t="str">
        <x:v>debt_consolidation</x:v>
      </x:c>
      <x:c r="L6404" t="n">
        <x:v>0</x:v>
      </x:c>
      <x:c r="M6404" t="n">
        <x:v>0</x:v>
      </x:c>
      <x:c r="N6404" t="str">
        <x:v>Fully Paid</x:v>
      </x:c>
      <x:c r="O6404" t="str">
        <x:f>IF(D6404="","Unknown",IF(D6404&lt;25000,"&lt;$25k",IF(D6404&lt;50000,"$25k-$50k",IF(D6404&lt;75000,"$50k-$75k",IF(D6404&lt;100000,"$75k-$100k","$100k+")))))</x:f>
        <x:v>$25k-$50k</x:v>
      </x:c>
      <x:c r="P6404" t="str">
        <x:f>IF(E6404="","Unknown",IF(E6404&lt;10,"&lt;10",IF(E6404&lt;20,"10-&lt;20",IF(E6404&lt;25,"20-&lt;25",IF(E6404&lt;35,"25-&lt;35","35+")))))</x:f>
        <x:v>10-&lt;20</x:v>
      </x:c>
    </x:row>
    <x:row r="6405">
      <x:c r="A6405" t="str">
        <x:v>SYN0006404</x:v>
      </x:c>
      <x:c r="B6405" s="12" t="n">
        <x:v>41575</x:v>
      </x:c>
      <x:c r="C6405" s="18" t="n">
        <x:v>25486</x:v>
      </x:c>
      <x:c r="D6405" s="18" t="n">
        <x:v>12000</x:v>
      </x:c>
      <x:c r="E6405" s="18" t="n">
        <x:v>9.82</x:v>
      </x:c>
      <x:c r="F6405" s="18" t="n">
        <x:v>8.1</x:v>
      </x:c>
      <x:c r="G6405" t="n">
        <x:v>60</x:v>
      </x:c>
      <x:c r="H6405" t="str">
        <x:v>C</x:v>
      </x:c>
      <x:c r="I6405" t="str">
        <x:v>4-6 years</x:v>
      </x:c>
      <x:c r="J6405" t="str">
        <x:v>MORTGAGE</x:v>
      </x:c>
      <x:c r="K6405" t="str">
        <x:v>credit_card</x:v>
      </x:c>
      <x:c r="L6405" t="n">
        <x:v>0</x:v>
      </x:c>
      <x:c r="M6405" t="n">
        <x:v>0</x:v>
      </x:c>
      <x:c r="N6405" t="str">
        <x:v>Fully Paid</x:v>
      </x:c>
      <x:c r="O6405" t="str">
        <x:f>IF(D6405="","Unknown",IF(D6405&lt;25000,"&lt;$25k",IF(D6405&lt;50000,"$25k-$50k",IF(D6405&lt;75000,"$50k-$75k",IF(D6405&lt;100000,"$75k-$100k","$100k+")))))</x:f>
        <x:v>&lt;$25k</x:v>
      </x:c>
      <x:c r="P6405" t="str">
        <x:f>IF(E6405="","Unknown",IF(E6405&lt;10,"&lt;10",IF(E6405&lt;20,"10-&lt;20",IF(E6405&lt;25,"20-&lt;25",IF(E6405&lt;35,"25-&lt;35","35+")))))</x:f>
        <x:v>&lt;10</x:v>
      </x:c>
    </x:row>
    <x:row r="6406">
      <x:c r="A6406" t="str">
        <x:v>SYN0006405</x:v>
      </x:c>
      <x:c r="B6406" s="12" t="n">
        <x:v>43015</x:v>
      </x:c>
      <x:c r="C6406" s="18" t="n">
        <x:v>6742</x:v>
      </x:c>
      <x:c r="D6406" s="18" t="n">
        <x:v>12000</x:v>
      </x:c>
      <x:c r="E6406" s="18" t="n">
        <x:v>27.52</x:v>
      </x:c>
      <x:c r="F6406" s="18" t="n">
        <x:v>6.23</x:v>
      </x:c>
      <x:c r="G6406" t="n">
        <x:v>36</x:v>
      </x:c>
      <x:c r="H6406" t="str">
        <x:v>A</x:v>
      </x:c>
      <x:c r="I6406" t="str">
        <x:v>10+ years</x:v>
      </x:c>
      <x:c r="J6406" t="str">
        <x:v>RENT</x:v>
      </x:c>
      <x:c r="K6406" t="str">
        <x:v>major_purchase</x:v>
      </x:c>
      <x:c r="L6406" t="n">
        <x:v>1</x:v>
      </x:c>
      <x:c r="M6406" t="n">
        <x:v>0</x:v>
      </x:c>
      <x:c r="N6406" t="str">
        <x:v>Fully Paid</x:v>
      </x:c>
      <x:c r="O6406" t="str">
        <x:f>IF(D6406="","Unknown",IF(D6406&lt;25000,"&lt;$25k",IF(D6406&lt;50000,"$25k-$50k",IF(D6406&lt;75000,"$50k-$75k",IF(D6406&lt;100000,"$75k-$100k","$100k+")))))</x:f>
        <x:v>&lt;$25k</x:v>
      </x:c>
      <x:c r="P6406" t="str">
        <x:f>IF(E6406="","Unknown",IF(E6406&lt;10,"&lt;10",IF(E6406&lt;20,"10-&lt;20",IF(E6406&lt;25,"20-&lt;25",IF(E6406&lt;35,"25-&lt;35","35+")))))</x:f>
        <x:v>25-&lt;35</x:v>
      </x:c>
    </x:row>
    <x:row r="6407">
      <x:c r="A6407" t="str">
        <x:v>SYN0006406</x:v>
      </x:c>
      <x:c r="B6407" s="12" t="n">
        <x:v>43105</x:v>
      </x:c>
      <x:c r="C6407" s="18" t="n">
        <x:v>9790</x:v>
      </x:c>
      <x:c r="D6407" s="18" t="n">
        <x:v>37411</x:v>
      </x:c>
      <x:c r="E6407" s="18" t="n">
        <x:v>14.91</x:v>
      </x:c>
      <x:c r="F6407" s="18" t="n">
        <x:v>19.45</x:v>
      </x:c>
      <x:c r="G6407" t="n">
        <x:v>36</x:v>
      </x:c>
      <x:c r="H6407" t="str">
        <x:v>E</x:v>
      </x:c>
      <x:c r="I6407" t="str">
        <x:v>&lt;1 year</x:v>
      </x:c>
      <x:c r="J6407" t="str">
        <x:v>OTHER</x:v>
      </x:c>
      <x:c r="K6407" t="str">
        <x:v>other</x:v>
      </x:c>
      <x:c r="L6407" t="n">
        <x:v>1</x:v>
      </x:c>
      <x:c r="M6407" t="n">
        <x:v>0</x:v>
      </x:c>
      <x:c r="N6407" t="str">
        <x:v>Fully Paid</x:v>
      </x:c>
      <x:c r="O6407" t="str">
        <x:f>IF(D6407="","Unknown",IF(D6407&lt;25000,"&lt;$25k",IF(D6407&lt;50000,"$25k-$50k",IF(D6407&lt;75000,"$50k-$75k",IF(D6407&lt;100000,"$75k-$100k","$100k+")))))</x:f>
        <x:v>$25k-$50k</x:v>
      </x:c>
      <x:c r="P6407" t="str">
        <x:f>IF(E6407="","Unknown",IF(E6407&lt;10,"&lt;10",IF(E6407&lt;20,"10-&lt;20",IF(E6407&lt;25,"20-&lt;25",IF(E6407&lt;35,"25-&lt;35","35+")))))</x:f>
        <x:v>10-&lt;20</x:v>
      </x:c>
    </x:row>
    <x:row r="6408">
      <x:c r="A6408" t="str">
        <x:v>SYN0006407</x:v>
      </x:c>
      <x:c r="B6408" s="12" t="n">
        <x:v>43105</x:v>
      </x:c>
      <x:c r="C6408" s="18" t="n">
        <x:v>13493</x:v>
      </x:c>
      <x:c r="D6408" s="18" t="n">
        <x:v>37363</x:v>
      </x:c>
      <x:c r="E6408" s="18" t="n">
        <x:v>22.23</x:v>
      </x:c>
      <x:c r="F6408" s="18" t="n">
        <x:v>6.65</x:v>
      </x:c>
      <x:c r="G6408" t="n">
        <x:v>36</x:v>
      </x:c>
      <x:c r="H6408" t="str">
        <x:v>B</x:v>
      </x:c>
      <x:c r="I6408" t="str">
        <x:v>&lt;1 year</x:v>
      </x:c>
      <x:c r="J6408" t="str">
        <x:v>MORTGAGE</x:v>
      </x:c>
      <x:c r="K6408" t="str">
        <x:v>credit_card</x:v>
      </x:c>
      <x:c r="L6408" t="n">
        <x:v>0</x:v>
      </x:c>
      <x:c r="M6408" t="n">
        <x:v>0</x:v>
      </x:c>
      <x:c r="N6408" t="str">
        <x:v>Fully Paid</x:v>
      </x:c>
      <x:c r="O6408" t="str">
        <x:f>IF(D6408="","Unknown",IF(D6408&lt;25000,"&lt;$25k",IF(D6408&lt;50000,"$25k-$50k",IF(D6408&lt;75000,"$50k-$75k",IF(D6408&lt;100000,"$75k-$100k","$100k+")))))</x:f>
        <x:v>$25k-$50k</x:v>
      </x:c>
      <x:c r="P6408" t="str">
        <x:f>IF(E6408="","Unknown",IF(E6408&lt;10,"&lt;10",IF(E6408&lt;20,"10-&lt;20",IF(E6408&lt;25,"20-&lt;25",IF(E6408&lt;35,"25-&lt;35","35+")))))</x:f>
        <x:v>20-&lt;25</x:v>
      </x:c>
    </x:row>
    <x:row r="6409">
      <x:c r="A6409" t="str">
        <x:v>SYN0006408</x:v>
      </x:c>
      <x:c r="B6409" s="12" t="n">
        <x:v>41725</x:v>
      </x:c>
      <x:c r="C6409" s="18" t="n">
        <x:v>15730</x:v>
      </x:c>
      <x:c r="D6409" s="18" t="n">
        <x:v>29614</x:v>
      </x:c>
      <x:c r="E6409" s="18" t="n">
        <x:v>8.63</x:v>
      </x:c>
      <x:c r="F6409" s="18" t="n">
        <x:v>9.8</x:v>
      </x:c>
      <x:c r="G6409" t="n">
        <x:v>36</x:v>
      </x:c>
      <x:c r="H6409" t="str">
        <x:v>B</x:v>
      </x:c>
      <x:c r="I6409" t="str">
        <x:v>10+ years</x:v>
      </x:c>
      <x:c r="J6409" t="str">
        <x:v>MORTGAGE</x:v>
      </x:c>
      <x:c r="K6409" t="str">
        <x:v>credit_card</x:v>
      </x:c>
      <x:c r="L6409" t="n">
        <x:v>0</x:v>
      </x:c>
      <x:c r="M6409" t="n">
        <x:v>0</x:v>
      </x:c>
      <x:c r="N6409" t="str">
        <x:v>Fully Paid</x:v>
      </x:c>
      <x:c r="O6409" t="str">
        <x:f>IF(D6409="","Unknown",IF(D6409&lt;25000,"&lt;$25k",IF(D6409&lt;50000,"$25k-$50k",IF(D6409&lt;75000,"$50k-$75k",IF(D6409&lt;100000,"$75k-$100k","$100k+")))))</x:f>
        <x:v>$25k-$50k</x:v>
      </x:c>
      <x:c r="P6409" t="str">
        <x:f>IF(E6409="","Unknown",IF(E6409&lt;10,"&lt;10",IF(E6409&lt;20,"10-&lt;20",IF(E6409&lt;25,"20-&lt;25",IF(E6409&lt;35,"25-&lt;35","35+")))))</x:f>
        <x:v>&lt;10</x:v>
      </x:c>
    </x:row>
    <x:row r="6410">
      <x:c r="A6410" t="str">
        <x:v>SYN0006409</x:v>
      </x:c>
      <x:c r="B6410" s="12" t="n">
        <x:v>41875</x:v>
      </x:c>
      <x:c r="C6410" s="18" t="n">
        <x:v>12516</x:v>
      </x:c>
      <x:c r="D6410" s="18" t="n">
        <x:v>29125</x:v>
      </x:c>
      <x:c r="E6410" s="18" t="n">
        <x:v>14.49</x:v>
      </x:c>
      <x:c r="F6410" s="18" t="n">
        <x:v>10.94</x:v>
      </x:c>
      <x:c r="G6410" t="n">
        <x:v>36</x:v>
      </x:c>
      <x:c r="H6410" t="str">
        <x:v>C</x:v>
      </x:c>
      <x:c r="I6410" t="str">
        <x:v>1-3 years</x:v>
      </x:c>
      <x:c r="J6410" t="str">
        <x:v>MORTGAGE</x:v>
      </x:c>
      <x:c r="K6410" t="str">
        <x:v>debt_consolidation</x:v>
      </x:c>
      <x:c r="L6410" t="n">
        <x:v>0</x:v>
      </x:c>
      <x:c r="M6410" t="n">
        <x:v>0</x:v>
      </x:c>
      <x:c r="N6410" t="str">
        <x:v>Fully Paid</x:v>
      </x:c>
      <x:c r="O6410" t="str">
        <x:f>IF(D6410="","Unknown",IF(D6410&lt;25000,"&lt;$25k",IF(D6410&lt;50000,"$25k-$50k",IF(D6410&lt;75000,"$50k-$75k",IF(D6410&lt;100000,"$75k-$100k","$100k+")))))</x:f>
        <x:v>$25k-$50k</x:v>
      </x:c>
      <x:c r="P6410" t="str">
        <x:f>IF(E6410="","Unknown",IF(E6410&lt;10,"&lt;10",IF(E6410&lt;20,"10-&lt;20",IF(E6410&lt;25,"20-&lt;25",IF(E6410&lt;35,"25-&lt;35","35+")))))</x:f>
        <x:v>10-&lt;20</x:v>
      </x:c>
    </x:row>
    <x:row r="6411">
      <x:c r="A6411" t="str">
        <x:v>SYN0006410</x:v>
      </x:c>
      <x:c r="B6411" s="12" t="n">
        <x:v>41815</x:v>
      </x:c>
      <x:c r="C6411" s="18" t="n">
        <x:v>16815</x:v>
      </x:c>
      <x:c r="D6411" s="18" t="n">
        <x:v>104059</x:v>
      </x:c>
      <x:c r="E6411" s="18" t="n">
        <x:v>9.82</x:v>
      </x:c>
      <x:c r="F6411" s="18" t="n">
        <x:v>6.54</x:v>
      </x:c>
      <x:c r="G6411" t="n">
        <x:v>36</x:v>
      </x:c>
      <x:c r="H6411" t="str">
        <x:v>A</x:v>
      </x:c>
      <x:c r="I6411" t="str">
        <x:v>4-6 years</x:v>
      </x:c>
      <x:c r="J6411" t="str">
        <x:v>RENT</x:v>
      </x:c>
      <x:c r="K6411" t="str">
        <x:v>debt_consolidation</x:v>
      </x:c>
      <x:c r="L6411" t="n">
        <x:v>0</x:v>
      </x:c>
      <x:c r="M6411" t="n">
        <x:v>0</x:v>
      </x:c>
      <x:c r="N6411" t="str">
        <x:v>Fully Paid</x:v>
      </x:c>
      <x:c r="O6411" t="str">
        <x:f>IF(D6411="","Unknown",IF(D6411&lt;25000,"&lt;$25k",IF(D6411&lt;50000,"$25k-$50k",IF(D6411&lt;75000,"$50k-$75k",IF(D6411&lt;100000,"$75k-$100k","$100k+")))))</x:f>
        <x:v>$100k+</x:v>
      </x:c>
      <x:c r="P6411" t="str">
        <x:f>IF(E6411="","Unknown",IF(E6411&lt;10,"&lt;10",IF(E6411&lt;20,"10-&lt;20",IF(E6411&lt;25,"20-&lt;25",IF(E6411&lt;35,"25-&lt;35","35+")))))</x:f>
        <x:v>&lt;10</x:v>
      </x:c>
    </x:row>
    <x:row r="6412">
      <x:c r="A6412" t="str">
        <x:v>SYN0006411</x:v>
      </x:c>
      <x:c r="B6412" s="12" t="n">
        <x:v>42985</x:v>
      </x:c>
      <x:c r="C6412" s="18" t="n">
        <x:v>4656</x:v>
      </x:c>
      <x:c r="D6412" s="18" t="n">
        <x:v>22445</x:v>
      </x:c>
      <x:c r="E6412" s="18" t="n">
        <x:v>26.26</x:v>
      </x:c>
      <x:c r="F6412" s="18" t="n">
        <x:v>11.44</x:v>
      </x:c>
      <x:c r="G6412" t="n">
        <x:v>36</x:v>
      </x:c>
      <x:c r="H6412" t="str">
        <x:v>B</x:v>
      </x:c>
      <x:c r="I6412" t="str">
        <x:v>7-9 years</x:v>
      </x:c>
      <x:c r="J6412" t="str">
        <x:v>RENT</x:v>
      </x:c>
      <x:c r="K6412" t="str">
        <x:v>home_improvement</x:v>
      </x:c>
      <x:c r="L6412" t="n">
        <x:v>0</x:v>
      </x:c>
      <x:c r="M6412" t="n">
        <x:v>0</x:v>
      </x:c>
      <x:c r="N6412" t="str">
        <x:v>Fully Paid</x:v>
      </x:c>
      <x:c r="O6412" t="str">
        <x:f>IF(D6412="","Unknown",IF(D6412&lt;25000,"&lt;$25k",IF(D6412&lt;50000,"$25k-$50k",IF(D6412&lt;75000,"$50k-$75k",IF(D6412&lt;100000,"$75k-$100k","$100k+")))))</x:f>
        <x:v>&lt;$25k</x:v>
      </x:c>
      <x:c r="P6412" t="str">
        <x:f>IF(E6412="","Unknown",IF(E6412&lt;10,"&lt;10",IF(E6412&lt;20,"10-&lt;20",IF(E6412&lt;25,"20-&lt;25",IF(E6412&lt;35,"25-&lt;35","35+")))))</x:f>
        <x:v>25-&lt;35</x:v>
      </x:c>
    </x:row>
    <x:row r="6413">
      <x:c r="A6413" t="str">
        <x:v>SYN0006412</x:v>
      </x:c>
      <x:c r="B6413" s="12" t="n">
        <x:v>42295</x:v>
      </x:c>
      <x:c r="C6413" s="18" t="n">
        <x:v>13979</x:v>
      </x:c>
      <x:c r="D6413" s="18" t="n">
        <x:v>52052</x:v>
      </x:c>
      <x:c r="E6413" s="18" t="n">
        <x:v>20.34</x:v>
      </x:c>
      <x:c r="F6413" s="18" t="n">
        <x:v>7.47</x:v>
      </x:c>
      <x:c r="G6413" t="n">
        <x:v>36</x:v>
      </x:c>
      <x:c r="H6413" t="str">
        <x:v>B</x:v>
      </x:c>
      <x:c r="I6413" t="str">
        <x:v>4-6 years</x:v>
      </x:c>
      <x:c r="J6413" t="str">
        <x:v>MORTGAGE</x:v>
      </x:c>
      <x:c r="K6413" t="str">
        <x:v>other</x:v>
      </x:c>
      <x:c r="L6413" t="n">
        <x:v>1</x:v>
      </x:c>
      <x:c r="M6413" t="n">
        <x:v>0</x:v>
      </x:c>
      <x:c r="N6413" t="str">
        <x:v>Fully Paid</x:v>
      </x:c>
      <x:c r="O6413" t="str">
        <x:f>IF(D6413="","Unknown",IF(D6413&lt;25000,"&lt;$25k",IF(D6413&lt;50000,"$25k-$50k",IF(D6413&lt;75000,"$50k-$75k",IF(D6413&lt;100000,"$75k-$100k","$100k+")))))</x:f>
        <x:v>$50k-$75k</x:v>
      </x:c>
      <x:c r="P6413" t="str">
        <x:f>IF(E6413="","Unknown",IF(E6413&lt;10,"&lt;10",IF(E6413&lt;20,"10-&lt;20",IF(E6413&lt;25,"20-&lt;25",IF(E6413&lt;35,"25-&lt;35","35+")))))</x:f>
        <x:v>20-&lt;25</x:v>
      </x:c>
    </x:row>
    <x:row r="6414">
      <x:c r="A6414" t="str">
        <x:v>SYN0006413</x:v>
      </x:c>
      <x:c r="B6414" s="12" t="n">
        <x:v>41305</x:v>
      </x:c>
      <x:c r="C6414" s="18" t="n">
        <x:v>13929</x:v>
      </x:c>
      <x:c r="D6414" s="18" t="n">
        <x:v>74570</x:v>
      </x:c>
      <x:c r="E6414" s="18" t="n">
        <x:v>19.42</x:v>
      </x:c>
      <x:c r="F6414" s="18" t="n">
        <x:v>7.63</x:v>
      </x:c>
      <x:c r="G6414" t="n">
        <x:v>36</x:v>
      </x:c>
      <x:c r="H6414" t="str">
        <x:v>B</x:v>
      </x:c>
      <x:c r="I6414" t="str">
        <x:v>7-9 years</x:v>
      </x:c>
      <x:c r="J6414" t="str">
        <x:v>MORTGAGE</x:v>
      </x:c>
      <x:c r="K6414" t="str">
        <x:v>debt_consolidation</x:v>
      </x:c>
      <x:c r="L6414" t="n">
        <x:v>0</x:v>
      </x:c>
      <x:c r="M6414" t="n">
        <x:v>0</x:v>
      </x:c>
      <x:c r="N6414" t="str">
        <x:v>Fully Paid</x:v>
      </x:c>
      <x:c r="O6414" t="str">
        <x:f>IF(D6414="","Unknown",IF(D6414&lt;25000,"&lt;$25k",IF(D6414&lt;50000,"$25k-$50k",IF(D6414&lt;75000,"$50k-$75k",IF(D6414&lt;100000,"$75k-$100k","$100k+")))))</x:f>
        <x:v>$50k-$75k</x:v>
      </x:c>
      <x:c r="P6414" t="str">
        <x:f>IF(E6414="","Unknown",IF(E6414&lt;10,"&lt;10",IF(E6414&lt;20,"10-&lt;20",IF(E6414&lt;25,"20-&lt;25",IF(E6414&lt;35,"25-&lt;35","35+")))))</x:f>
        <x:v>10-&lt;20</x:v>
      </x:c>
    </x:row>
    <x:row r="6415">
      <x:c r="A6415" t="str">
        <x:v>SYN0006414</x:v>
      </x:c>
      <x:c r="B6415" s="12" t="n">
        <x:v>41335</x:v>
      </x:c>
      <x:c r="C6415" s="18" t="n">
        <x:v>10153</x:v>
      </x:c>
      <x:c r="D6415" s="18" t="n">
        <x:v>174186</x:v>
      </x:c>
      <x:c r="E6415" s="18" t="n">
        <x:v>19.59</x:v>
      </x:c>
      <x:c r="F6415" s="18" t="n">
        <x:v>5</x:v>
      </x:c>
      <x:c r="G6415" t="n">
        <x:v>60</x:v>
      </x:c>
      <x:c r="H6415" t="str">
        <x:v>A</x:v>
      </x:c>
      <x:c r="I6415" t="str">
        <x:v>4-6 years</x:v>
      </x:c>
      <x:c r="J6415" t="str">
        <x:v>RENT</x:v>
      </x:c>
      <x:c r="K6415" t="str">
        <x:v>medical</x:v>
      </x:c>
      <x:c r="L6415" t="n">
        <x:v>0</x:v>
      </x:c>
      <x:c r="M6415" t="n">
        <x:v>0</x:v>
      </x:c>
      <x:c r="N6415" t="str">
        <x:v>Fully Paid</x:v>
      </x:c>
      <x:c r="O6415" t="str">
        <x:f>IF(D6415="","Unknown",IF(D6415&lt;25000,"&lt;$25k",IF(D6415&lt;50000,"$25k-$50k",IF(D6415&lt;75000,"$50k-$75k",IF(D6415&lt;100000,"$75k-$100k","$100k+")))))</x:f>
        <x:v>$100k+</x:v>
      </x:c>
      <x:c r="P6415" t="str">
        <x:f>IF(E6415="","Unknown",IF(E6415&lt;10,"&lt;10",IF(E6415&lt;20,"10-&lt;20",IF(E6415&lt;25,"20-&lt;25",IF(E6415&lt;35,"25-&lt;35","35+")))))</x:f>
        <x:v>10-&lt;20</x:v>
      </x:c>
    </x:row>
    <x:row r="6416">
      <x:c r="A6416" t="str">
        <x:v>SYN0006415</x:v>
      </x:c>
      <x:c r="B6416" s="12" t="n">
        <x:v>41455</x:v>
      </x:c>
      <x:c r="C6416" s="18" t="n">
        <x:v>11792</x:v>
      </x:c>
      <x:c r="D6416" s="18" t="n">
        <x:v>48243</x:v>
      </x:c>
      <x:c r="E6416" s="18" t="n">
        <x:v>26.2</x:v>
      </x:c>
      <x:c r="F6416" s="18" t="n">
        <x:v>27.05</x:v>
      </x:c>
      <x:c r="G6416" t="n">
        <x:v>60</x:v>
      </x:c>
      <x:c r="H6416" t="str">
        <x:v>G</x:v>
      </x:c>
      <x:c r="I6416" t="str">
        <x:v>1-3 years</x:v>
      </x:c>
      <x:c r="J6416" t="str">
        <x:v>OWN</x:v>
      </x:c>
      <x:c r="K6416" t="str">
        <x:v>credit_card</x:v>
      </x:c>
      <x:c r="L6416" t="n">
        <x:v>2</x:v>
      </x:c>
      <x:c r="M6416" t="n">
        <x:v>0</x:v>
      </x:c>
      <x:c r="N6416" t="str">
        <x:v>Fully Paid</x:v>
      </x:c>
      <x:c r="O6416" t="str">
        <x:f>IF(D6416="","Unknown",IF(D6416&lt;25000,"&lt;$25k",IF(D6416&lt;50000,"$25k-$50k",IF(D6416&lt;75000,"$50k-$75k",IF(D6416&lt;100000,"$75k-$100k","$100k+")))))</x:f>
        <x:v>$25k-$50k</x:v>
      </x:c>
      <x:c r="P6416" t="str">
        <x:f>IF(E6416="","Unknown",IF(E6416&lt;10,"&lt;10",IF(E6416&lt;20,"10-&lt;20",IF(E6416&lt;25,"20-&lt;25",IF(E6416&lt;35,"25-&lt;35","35+")))))</x:f>
        <x:v>25-&lt;35</x:v>
      </x:c>
    </x:row>
    <x:row r="6417">
      <x:c r="A6417" t="str">
        <x:v>SYN0006416</x:v>
      </x:c>
      <x:c r="B6417" s="12" t="n">
        <x:v>42775</x:v>
      </x:c>
      <x:c r="C6417" s="18" t="n">
        <x:v>32525</x:v>
      </x:c>
      <x:c r="D6417" s="18" t="n">
        <x:v>16770</x:v>
      </x:c>
      <x:c r="E6417" s="18" t="n">
        <x:v>18.48</x:v>
      </x:c>
      <x:c r="F6417" s="18" t="n">
        <x:v>6.58</x:v>
      </x:c>
      <x:c r="G6417" t="n">
        <x:v>36</x:v>
      </x:c>
      <x:c r="H6417" t="str">
        <x:v>A</x:v>
      </x:c>
      <x:c r="I6417" t="str">
        <x:v>10+ years</x:v>
      </x:c>
      <x:c r="J6417" t="str">
        <x:v>MORTGAGE</x:v>
      </x:c>
      <x:c r="K6417" t="str">
        <x:v>credit_card</x:v>
      </x:c>
      <x:c r="L6417" t="n">
        <x:v>0</x:v>
      </x:c>
      <x:c r="M6417" t="n">
        <x:v>0</x:v>
      </x:c>
      <x:c r="N6417" t="str">
        <x:v>Fully Paid</x:v>
      </x:c>
      <x:c r="O6417" t="str">
        <x:f>IF(D6417="","Unknown",IF(D6417&lt;25000,"&lt;$25k",IF(D6417&lt;50000,"$25k-$50k",IF(D6417&lt;75000,"$50k-$75k",IF(D6417&lt;100000,"$75k-$100k","$100k+")))))</x:f>
        <x:v>&lt;$25k</x:v>
      </x:c>
      <x:c r="P6417" t="str">
        <x:f>IF(E6417="","Unknown",IF(E6417&lt;10,"&lt;10",IF(E6417&lt;20,"10-&lt;20",IF(E6417&lt;25,"20-&lt;25",IF(E6417&lt;35,"25-&lt;35","35+")))))</x:f>
        <x:v>10-&lt;20</x:v>
      </x:c>
    </x:row>
    <x:row r="6418">
      <x:c r="A6418" t="str">
        <x:v>SYN0006417</x:v>
      </x:c>
      <x:c r="B6418" s="12" t="n">
        <x:v>42055</x:v>
      </x:c>
      <x:c r="C6418" s="18" t="n">
        <x:v>6000</x:v>
      </x:c>
      <x:c r="D6418" s="18" t="n">
        <x:v>40279</x:v>
      </x:c>
      <x:c r="E6418" s="18" t="n">
        <x:v>20.52</x:v>
      </x:c>
      <x:c r="F6418" s="18" t="n">
        <x:v>12.15</x:v>
      </x:c>
      <x:c r="G6418" t="n">
        <x:v>36</x:v>
      </x:c>
      <x:c r="H6418" t="str">
        <x:v>C</x:v>
      </x:c>
      <x:c r="I6418" t="str">
        <x:v>1-3 years</x:v>
      </x:c>
      <x:c r="J6418" t="str">
        <x:v>RENT</x:v>
      </x:c>
      <x:c r="K6418" t="str">
        <x:v>other</x:v>
      </x:c>
      <x:c r="L6418" t="n">
        <x:v>0</x:v>
      </x:c>
      <x:c r="M6418" t="n">
        <x:v>1</x:v>
      </x:c>
      <x:c r="N6418" t="str">
        <x:v>Charged Off</x:v>
      </x:c>
      <x:c r="O6418" t="str">
        <x:f>IF(D6418="","Unknown",IF(D6418&lt;25000,"&lt;$25k",IF(D6418&lt;50000,"$25k-$50k",IF(D6418&lt;75000,"$50k-$75k",IF(D6418&lt;100000,"$75k-$100k","$100k+")))))</x:f>
        <x:v>$25k-$50k</x:v>
      </x:c>
      <x:c r="P6418" t="str">
        <x:f>IF(E6418="","Unknown",IF(E6418&lt;10,"&lt;10",IF(E6418&lt;20,"10-&lt;20",IF(E6418&lt;25,"20-&lt;25",IF(E6418&lt;35,"25-&lt;35","35+")))))</x:f>
        <x:v>20-&lt;25</x:v>
      </x:c>
    </x:row>
    <x:row r="6419">
      <x:c r="A6419" t="str">
        <x:v>SYN0006418</x:v>
      </x:c>
      <x:c r="B6419" s="12" t="n">
        <x:v>42325</x:v>
      </x:c>
      <x:c r="C6419" s="18" t="n">
        <x:v>27366</x:v>
      </x:c>
      <x:c r="D6419" s="18" t="n">
        <x:v>57363</x:v>
      </x:c>
      <x:c r="E6419" s="18" t="n">
        <x:v>0</x:v>
      </x:c>
      <x:c r="F6419" s="18" t="n">
        <x:v>8.14</x:v>
      </x:c>
      <x:c r="G6419" t="n">
        <x:v>60</x:v>
      </x:c>
      <x:c r="H6419" t="str">
        <x:v>A</x:v>
      </x:c>
      <x:c r="I6419" t="str">
        <x:v>10+ years</x:v>
      </x:c>
      <x:c r="J6419" t="str">
        <x:v>RENT</x:v>
      </x:c>
      <x:c r="K6419" t="str">
        <x:v>credit_card</x:v>
      </x:c>
      <x:c r="L6419" t="n">
        <x:v>0</x:v>
      </x:c>
      <x:c r="M6419" t="n">
        <x:v>0</x:v>
      </x:c>
      <x:c r="N6419" t="str">
        <x:v>Fully Paid</x:v>
      </x:c>
      <x:c r="O6419" t="str">
        <x:f>IF(D6419="","Unknown",IF(D6419&lt;25000,"&lt;$25k",IF(D6419&lt;50000,"$25k-$50k",IF(D6419&lt;75000,"$50k-$75k",IF(D6419&lt;100000,"$75k-$100k","$100k+")))))</x:f>
        <x:v>$50k-$75k</x:v>
      </x:c>
      <x:c r="P6419" t="str">
        <x:f>IF(E6419="","Unknown",IF(E6419&lt;10,"&lt;10",IF(E6419&lt;20,"10-&lt;20",IF(E6419&lt;25,"20-&lt;25",IF(E6419&lt;35,"25-&lt;35","35+")))))</x:f>
        <x:v>Unknown</x:v>
      </x:c>
    </x:row>
    <x:row r="6420">
      <x:c r="A6420" t="str">
        <x:v>SYN0006419</x:v>
      </x:c>
      <x:c r="B6420" s="12" t="n">
        <x:v>42925</x:v>
      </x:c>
      <x:c r="C6420" s="18" t="n">
        <x:v>9353</x:v>
      </x:c>
      <x:c r="D6420" s="18" t="n">
        <x:v>48890</x:v>
      </x:c>
      <x:c r="E6420" s="18" t="n">
        <x:v>12.55</x:v>
      </x:c>
      <x:c r="F6420" s="18" t="n">
        <x:v>7.93</x:v>
      </x:c>
      <x:c r="G6420" t="n">
        <x:v>60</x:v>
      </x:c>
      <x:c r="H6420" t="str">
        <x:v>B</x:v>
      </x:c>
      <x:c r="I6420" t="str">
        <x:v>10+ years</x:v>
      </x:c>
      <x:c r="J6420" t="str">
        <x:v>MORTGAGE</x:v>
      </x:c>
      <x:c r="K6420" t="str">
        <x:v>medical</x:v>
      </x:c>
      <x:c r="L6420" t="n">
        <x:v>1</x:v>
      </x:c>
      <x:c r="M6420" t="n">
        <x:v>0</x:v>
      </x:c>
      <x:c r="N6420" t="str">
        <x:v>Fully Paid</x:v>
      </x:c>
      <x:c r="O6420" t="str">
        <x:f>IF(D6420="","Unknown",IF(D6420&lt;25000,"&lt;$25k",IF(D6420&lt;50000,"$25k-$50k",IF(D6420&lt;75000,"$50k-$75k",IF(D6420&lt;100000,"$75k-$100k","$100k+")))))</x:f>
        <x:v>$25k-$50k</x:v>
      </x:c>
      <x:c r="P6420" t="str">
        <x:f>IF(E6420="","Unknown",IF(E6420&lt;10,"&lt;10",IF(E6420&lt;20,"10-&lt;20",IF(E6420&lt;25,"20-&lt;25",IF(E6420&lt;35,"25-&lt;35","35+")))))</x:f>
        <x:v>10-&lt;20</x:v>
      </x:c>
    </x:row>
    <x:row r="6421">
      <x:c r="A6421" t="str">
        <x:v>SYN0006420</x:v>
      </x:c>
      <x:c r="B6421" s="12" t="n">
        <x:v>41395</x:v>
      </x:c>
      <x:c r="C6421" s="18" t="n">
        <x:v>20352</x:v>
      </x:c>
      <x:c r="D6421" s="18" t="n">
        <x:v>23151</x:v>
      </x:c>
      <x:c r="E6421" s="18" t="n">
        <x:v>11.11</x:v>
      </x:c>
      <x:c r="F6421" s="18" t="n">
        <x:v>9.38</x:v>
      </x:c>
      <x:c r="G6421" t="n">
        <x:v>60</x:v>
      </x:c>
      <x:c r="H6421" t="str">
        <x:v>C</x:v>
      </x:c>
      <x:c r="I6421" t="str">
        <x:v>1-3 years</x:v>
      </x:c>
      <x:c r="J6421" t="str">
        <x:v>MORTGAGE</x:v>
      </x:c>
      <x:c r="K6421" t="str">
        <x:v>debt_consolidation</x:v>
      </x:c>
      <x:c r="L6421" t="n">
        <x:v>4</x:v>
      </x:c>
      <x:c r="M6421" t="n">
        <x:v>0</x:v>
      </x:c>
      <x:c r="N6421" t="str">
        <x:v>Fully Paid</x:v>
      </x:c>
      <x:c r="O6421" t="str">
        <x:f>IF(D6421="","Unknown",IF(D6421&lt;25000,"&lt;$25k",IF(D6421&lt;50000,"$25k-$50k",IF(D6421&lt;75000,"$50k-$75k",IF(D6421&lt;100000,"$75k-$100k","$100k+")))))</x:f>
        <x:v>&lt;$25k</x:v>
      </x:c>
      <x:c r="P6421" t="str">
        <x:f>IF(E6421="","Unknown",IF(E6421&lt;10,"&lt;10",IF(E6421&lt;20,"10-&lt;20",IF(E6421&lt;25,"20-&lt;25",IF(E6421&lt;35,"25-&lt;35","35+")))))</x:f>
        <x:v>10-&lt;20</x:v>
      </x:c>
    </x:row>
    <x:row r="6422">
      <x:c r="A6422" t="str">
        <x:v>SYN0006421</x:v>
      </x:c>
      <x:c r="B6422" s="12" t="n">
        <x:v>43075</x:v>
      </x:c>
      <x:c r="C6422" s="18" t="n">
        <x:v>14797</x:v>
      </x:c>
      <x:c r="D6422" s="18" t="n">
        <x:v>76302</x:v>
      </x:c>
      <x:c r="E6422" s="18" t="n">
        <x:v>16.07</x:v>
      </x:c>
      <x:c r="F6422" s="18" t="n">
        <x:v>21.79</x:v>
      </x:c>
      <x:c r="G6422" t="n">
        <x:v>60</x:v>
      </x:c>
      <x:c r="H6422" t="str">
        <x:v>F</x:v>
      </x:c>
      <x:c r="I6422" t="str">
        <x:v>10+ years</x:v>
      </x:c>
      <x:c r="J6422" t="str">
        <x:v>RENT</x:v>
      </x:c>
      <x:c r="K6422" t="str">
        <x:v>credit_card</x:v>
      </x:c>
      <x:c r="L6422" t="n">
        <x:v>1</x:v>
      </x:c>
      <x:c r="M6422" t="n">
        <x:v>0</x:v>
      </x:c>
      <x:c r="N6422" t="str">
        <x:v>Fully Paid</x:v>
      </x:c>
      <x:c r="O6422" t="str">
        <x:f>IF(D6422="","Unknown",IF(D6422&lt;25000,"&lt;$25k",IF(D6422&lt;50000,"$25k-$50k",IF(D6422&lt;75000,"$50k-$75k",IF(D6422&lt;100000,"$75k-$100k","$100k+")))))</x:f>
        <x:v>$75k-$100k</x:v>
      </x:c>
      <x:c r="P6422" t="str">
        <x:f>IF(E6422="","Unknown",IF(E6422&lt;10,"&lt;10",IF(E6422&lt;20,"10-&lt;20",IF(E6422&lt;25,"20-&lt;25",IF(E6422&lt;35,"25-&lt;35","35+")))))</x:f>
        <x:v>10-&lt;20</x:v>
      </x:c>
    </x:row>
    <x:row r="6423">
      <x:c r="A6423" t="str">
        <x:v>SYN0006422</x:v>
      </x:c>
      <x:c r="B6423" s="12" t="n">
        <x:v>43225</x:v>
      </x:c>
      <x:c r="C6423" s="18" t="n">
        <x:v>14662</x:v>
      </x:c>
      <x:c r="D6423" s="18" t="n">
        <x:v>19215</x:v>
      </x:c>
      <x:c r="E6423" s="18" t="n">
        <x:v>20.09</x:v>
      </x:c>
      <x:c r="F6423" s="18" t="n">
        <x:v>11.27</x:v>
      </x:c>
      <x:c r="G6423" t="n">
        <x:v>36</x:v>
      </x:c>
      <x:c r="H6423" t="str">
        <x:v>C</x:v>
      </x:c>
      <x:c r="I6423" t="str">
        <x:v>10+ years</x:v>
      </x:c>
      <x:c r="J6423" t="str">
        <x:v>OWN</x:v>
      </x:c>
      <x:c r="K6423" t="str">
        <x:v>debt_consolidation</x:v>
      </x:c>
      <x:c r="L6423" t="n">
        <x:v>1</x:v>
      </x:c>
      <x:c r="M6423" t="n">
        <x:v>0</x:v>
      </x:c>
      <x:c r="N6423" t="str">
        <x:v>Fully Paid</x:v>
      </x:c>
      <x:c r="O6423" t="str">
        <x:f>IF(D6423="","Unknown",IF(D6423&lt;25000,"&lt;$25k",IF(D6423&lt;50000,"$25k-$50k",IF(D6423&lt;75000,"$50k-$75k",IF(D6423&lt;100000,"$75k-$100k","$100k+")))))</x:f>
        <x:v>&lt;$25k</x:v>
      </x:c>
      <x:c r="P6423" t="str">
        <x:f>IF(E6423="","Unknown",IF(E6423&lt;10,"&lt;10",IF(E6423&lt;20,"10-&lt;20",IF(E6423&lt;25,"20-&lt;25",IF(E6423&lt;35,"25-&lt;35","35+")))))</x:f>
        <x:v>20-&lt;25</x:v>
      </x:c>
    </x:row>
    <x:row r="6424">
      <x:c r="A6424" t="str">
        <x:v>SYN0006423</x:v>
      </x:c>
      <x:c r="B6424" s="12" t="n">
        <x:v>43045</x:v>
      </x:c>
      <x:c r="C6424" s="18" t="n">
        <x:v>10557</x:v>
      </x:c>
      <x:c r="D6424" s="18" t="n">
        <x:v>250000</x:v>
      </x:c>
      <x:c r="E6424" s="18" t="n">
        <x:v>22.07</x:v>
      </x:c>
      <x:c r="F6424" s="18" t="n">
        <x:v>16.81</x:v>
      </x:c>
      <x:c r="G6424" t="n">
        <x:v>36</x:v>
      </x:c>
      <x:c r="H6424" t="str">
        <x:v>D</x:v>
      </x:c>
      <x:c r="I6424" t="str">
        <x:v>7-9 years</x:v>
      </x:c>
      <x:c r="J6424" t="str">
        <x:v>MORTGAGE</x:v>
      </x:c>
      <x:c r="K6424" t="str">
        <x:v>debt_consolidation</x:v>
      </x:c>
      <x:c r="L6424" t="n">
        <x:v>1</x:v>
      </x:c>
      <x:c r="M6424" t="n">
        <x:v>0</x:v>
      </x:c>
      <x:c r="N6424" t="str">
        <x:v>Fully Paid</x:v>
      </x:c>
      <x:c r="O6424" t="str">
        <x:f>IF(D6424="","Unknown",IF(D6424&lt;25000,"&lt;$25k",IF(D6424&lt;50000,"$25k-$50k",IF(D6424&lt;75000,"$50k-$75k",IF(D6424&lt;100000,"$75k-$100k","$100k+")))))</x:f>
        <x:v>$100k+</x:v>
      </x:c>
      <x:c r="P6424" t="str">
        <x:f>IF(E6424="","Unknown",IF(E6424&lt;10,"&lt;10",IF(E6424&lt;20,"10-&lt;20",IF(E6424&lt;25,"20-&lt;25",IF(E6424&lt;35,"25-&lt;35","35+")))))</x:f>
        <x:v>20-&lt;25</x:v>
      </x:c>
    </x:row>
    <x:row r="6425">
      <x:c r="A6425" t="str">
        <x:v>SYN0006424</x:v>
      </x:c>
      <x:c r="B6425" s="12" t="n">
        <x:v>42925</x:v>
      </x:c>
      <x:c r="C6425" s="18" t="n">
        <x:v>21331</x:v>
      </x:c>
      <x:c r="D6425" s="18" t="n">
        <x:v>92712</x:v>
      </x:c>
      <x:c r="E6425" s="18" t="n">
        <x:v>12.42</x:v>
      </x:c>
      <x:c r="F6425" s="18" t="n">
        <x:v>8.66</x:v>
      </x:c>
      <x:c r="G6425" t="n">
        <x:v>36</x:v>
      </x:c>
      <x:c r="H6425" t="str">
        <x:v>B</x:v>
      </x:c>
      <x:c r="I6425" t="str">
        <x:v>4-6 years</x:v>
      </x:c>
      <x:c r="J6425" t="str">
        <x:v>MORTGAGE</x:v>
      </x:c>
      <x:c r="K6425" t="str">
        <x:v>debt_consolidation</x:v>
      </x:c>
      <x:c r="L6425" t="n">
        <x:v>0</x:v>
      </x:c>
      <x:c r="M6425" t="n">
        <x:v>0</x:v>
      </x:c>
      <x:c r="N6425" t="str">
        <x:v>Fully Paid</x:v>
      </x:c>
      <x:c r="O6425" t="str">
        <x:f>IF(D6425="","Unknown",IF(D6425&lt;25000,"&lt;$25k",IF(D6425&lt;50000,"$25k-$50k",IF(D6425&lt;75000,"$50k-$75k",IF(D6425&lt;100000,"$75k-$100k","$100k+")))))</x:f>
        <x:v>$75k-$100k</x:v>
      </x:c>
      <x:c r="P6425" t="str">
        <x:f>IF(E6425="","Unknown",IF(E6425&lt;10,"&lt;10",IF(E6425&lt;20,"10-&lt;20",IF(E6425&lt;25,"20-&lt;25",IF(E6425&lt;35,"25-&lt;35","35+")))))</x:f>
        <x:v>10-&lt;20</x:v>
      </x:c>
    </x:row>
    <x:row r="6426">
      <x:c r="A6426" t="str">
        <x:v>SYN0006425</x:v>
      </x:c>
      <x:c r="B6426" s="12" t="n">
        <x:v>42055</x:v>
      </x:c>
      <x:c r="C6426" s="18" t="n">
        <x:v>21465</x:v>
      </x:c>
      <x:c r="D6426" s="18" t="n">
        <x:v>27543</x:v>
      </x:c>
      <x:c r="E6426" s="18" t="n">
        <x:v>23.4</x:v>
      </x:c>
      <x:c r="F6426" s="18" t="n">
        <x:v>17.85</x:v>
      </x:c>
      <x:c r="G6426" t="n">
        <x:v>36</x:v>
      </x:c>
      <x:c r="H6426" t="str">
        <x:v>E</x:v>
      </x:c>
      <x:c r="I6426" t="str">
        <x:v>7-9 years</x:v>
      </x:c>
      <x:c r="J6426" t="str">
        <x:v>MORTGAGE</x:v>
      </x:c>
      <x:c r="K6426" t="str">
        <x:v>debt_consolidation</x:v>
      </x:c>
      <x:c r="L6426" t="n">
        <x:v>0</x:v>
      </x:c>
      <x:c r="M6426" t="n">
        <x:v>0</x:v>
      </x:c>
      <x:c r="N6426" t="str">
        <x:v>Fully Paid</x:v>
      </x:c>
      <x:c r="O6426" t="str">
        <x:f>IF(D6426="","Unknown",IF(D6426&lt;25000,"&lt;$25k",IF(D6426&lt;50000,"$25k-$50k",IF(D6426&lt;75000,"$50k-$75k",IF(D6426&lt;100000,"$75k-$100k","$100k+")))))</x:f>
        <x:v>$25k-$50k</x:v>
      </x:c>
      <x:c r="P6426" t="str">
        <x:f>IF(E6426="","Unknown",IF(E6426&lt;10,"&lt;10",IF(E6426&lt;20,"10-&lt;20",IF(E6426&lt;25,"20-&lt;25",IF(E6426&lt;35,"25-&lt;35","35+")))))</x:f>
        <x:v>20-&lt;25</x:v>
      </x:c>
    </x:row>
    <x:row r="6427">
      <x:c r="A6427" t="str">
        <x:v>SYN0006426</x:v>
      </x:c>
      <x:c r="B6427" s="12" t="n">
        <x:v>41335</x:v>
      </x:c>
      <x:c r="C6427" s="18" t="n">
        <x:v>22198</x:v>
      </x:c>
      <x:c r="D6427" s="18" t="n">
        <x:v>123145</x:v>
      </x:c>
      <x:c r="E6427" s="18" t="n">
        <x:v>11.08</x:v>
      </x:c>
      <x:c r="F6427" s="18" t="n">
        <x:v>27.1</x:v>
      </x:c>
      <x:c r="G6427" t="n">
        <x:v>36</x:v>
      </x:c>
      <x:c r="H6427" t="str">
        <x:v>G</x:v>
      </x:c>
      <x:c r="I6427" t="str">
        <x:v>1-3 years</x:v>
      </x:c>
      <x:c r="J6427" t="str">
        <x:v>MORTGAGE</x:v>
      </x:c>
      <x:c r="K6427" t="str">
        <x:v>debt_consolidation</x:v>
      </x:c>
      <x:c r="L6427" t="n">
        <x:v>0</x:v>
      </x:c>
      <x:c r="M6427" t="n">
        <x:v>1</x:v>
      </x:c>
      <x:c r="N6427" t="str">
        <x:v>Charged Off</x:v>
      </x:c>
      <x:c r="O6427" t="str">
        <x:f>IF(D6427="","Unknown",IF(D6427&lt;25000,"&lt;$25k",IF(D6427&lt;50000,"$25k-$50k",IF(D6427&lt;75000,"$50k-$75k",IF(D6427&lt;100000,"$75k-$100k","$100k+")))))</x:f>
        <x:v>$100k+</x:v>
      </x:c>
      <x:c r="P6427" t="str">
        <x:f>IF(E6427="","Unknown",IF(E6427&lt;10,"&lt;10",IF(E6427&lt;20,"10-&lt;20",IF(E6427&lt;25,"20-&lt;25",IF(E6427&lt;35,"25-&lt;35","35+")))))</x:f>
        <x:v>10-&lt;20</x:v>
      </x:c>
    </x:row>
    <x:row r="6428">
      <x:c r="A6428" t="str">
        <x:v>SYN0006427</x:v>
      </x:c>
      <x:c r="B6428" s="12" t="n">
        <x:v>42145</x:v>
      </x:c>
      <x:c r="C6428" s="18" t="n">
        <x:v>6515</x:v>
      </x:c>
      <x:c r="D6428" s="18" t="n">
        <x:v>51361</x:v>
      </x:c>
      <x:c r="E6428" s="18" t="n">
        <x:v>15.16</x:v>
      </x:c>
      <x:c r="F6428" s="18" t="n">
        <x:v>13.65</x:v>
      </x:c>
      <x:c r="G6428" t="n">
        <x:v>36</x:v>
      </x:c>
      <x:c r="H6428" t="str">
        <x:v>D</x:v>
      </x:c>
      <x:c r="I6428" t="str">
        <x:v>1-3 years</x:v>
      </x:c>
      <x:c r="J6428" t="str">
        <x:v>OWN</x:v>
      </x:c>
      <x:c r="K6428" t="str">
        <x:v>home_improvement</x:v>
      </x:c>
      <x:c r="L6428" t="n">
        <x:v>0</x:v>
      </x:c>
      <x:c r="M6428" t="n">
        <x:v>0</x:v>
      </x:c>
      <x:c r="N6428" t="str">
        <x:v>Fully Paid</x:v>
      </x:c>
      <x:c r="O6428" t="str">
        <x:f>IF(D6428="","Unknown",IF(D6428&lt;25000,"&lt;$25k",IF(D6428&lt;50000,"$25k-$50k",IF(D6428&lt;75000,"$50k-$75k",IF(D6428&lt;100000,"$75k-$100k","$100k+")))))</x:f>
        <x:v>$50k-$75k</x:v>
      </x:c>
      <x:c r="P6428" t="str">
        <x:f>IF(E6428="","Unknown",IF(E6428&lt;10,"&lt;10",IF(E6428&lt;20,"10-&lt;20",IF(E6428&lt;25,"20-&lt;25",IF(E6428&lt;35,"25-&lt;35","35+")))))</x:f>
        <x:v>10-&lt;20</x:v>
      </x:c>
    </x:row>
    <x:row r="6429">
      <x:c r="A6429" t="str">
        <x:v>SYN0006428</x:v>
      </x:c>
      <x:c r="B6429" s="12" t="n">
        <x:v>42175</x:v>
      </x:c>
      <x:c r="C6429" s="18" t="n">
        <x:v>11988</x:v>
      </x:c>
      <x:c r="D6429" s="18" t="n">
        <x:v>47634</x:v>
      </x:c>
      <x:c r="E6429" s="18" t="n">
        <x:v>22.36</x:v>
      </x:c>
      <x:c r="F6429" s="18" t="n">
        <x:v>9.7</x:v>
      </x:c>
      <x:c r="G6429" t="n">
        <x:v>36</x:v>
      </x:c>
      <x:c r="H6429" t="str">
        <x:v>B</x:v>
      </x:c>
      <x:c r="I6429" t="str">
        <x:v>4-6 years</x:v>
      </x:c>
      <x:c r="J6429" t="str">
        <x:v>RENT</x:v>
      </x:c>
      <x:c r="K6429" t="str">
        <x:v>debt_consolidation</x:v>
      </x:c>
      <x:c r="L6429" t="n">
        <x:v>1</x:v>
      </x:c>
      <x:c r="M6429" t="n">
        <x:v>0</x:v>
      </x:c>
      <x:c r="N6429" t="str">
        <x:v>Fully Paid</x:v>
      </x:c>
      <x:c r="O6429" t="str">
        <x:f>IF(D6429="","Unknown",IF(D6429&lt;25000,"&lt;$25k",IF(D6429&lt;50000,"$25k-$50k",IF(D6429&lt;75000,"$50k-$75k",IF(D6429&lt;100000,"$75k-$100k","$100k+")))))</x:f>
        <x:v>$25k-$50k</x:v>
      </x:c>
      <x:c r="P6429" t="str">
        <x:f>IF(E6429="","Unknown",IF(E6429&lt;10,"&lt;10",IF(E6429&lt;20,"10-&lt;20",IF(E6429&lt;25,"20-&lt;25",IF(E6429&lt;35,"25-&lt;35","35+")))))</x:f>
        <x:v>20-&lt;25</x:v>
      </x:c>
    </x:row>
    <x:row r="6430">
      <x:c r="A6430" t="str">
        <x:v>SYN0006429</x:v>
      </x:c>
      <x:c r="B6430" s="12" t="n">
        <x:v>42415</x:v>
      </x:c>
      <x:c r="C6430" s="18" t="n">
        <x:v>16549</x:v>
      </x:c>
      <x:c r="D6430" s="18" t="n">
        <x:v>28773</x:v>
      </x:c>
      <x:c r="E6430" s="18" t="n">
        <x:v>13.55</x:v>
      </x:c>
      <x:c r="F6430" s="18" t="n">
        <x:v>7.09</x:v>
      </x:c>
      <x:c r="G6430" t="n">
        <x:v>36</x:v>
      </x:c>
      <x:c r="H6430" t="str">
        <x:v>B</x:v>
      </x:c>
      <x:c r="I6430" t="str">
        <x:v>4-6 years</x:v>
      </x:c>
      <x:c r="J6430" t="str">
        <x:v>MORTGAGE</x:v>
      </x:c>
      <x:c r="K6430" t="str">
        <x:v>debt_consolidation</x:v>
      </x:c>
      <x:c r="L6430" t="n">
        <x:v>0</x:v>
      </x:c>
      <x:c r="M6430" t="n">
        <x:v>0</x:v>
      </x:c>
      <x:c r="N6430" t="str">
        <x:v>Fully Paid</x:v>
      </x:c>
      <x:c r="O6430" t="str">
        <x:f>IF(D6430="","Unknown",IF(D6430&lt;25000,"&lt;$25k",IF(D6430&lt;50000,"$25k-$50k",IF(D6430&lt;75000,"$50k-$75k",IF(D6430&lt;100000,"$75k-$100k","$100k+")))))</x:f>
        <x:v>$25k-$50k</x:v>
      </x:c>
      <x:c r="P6430" t="str">
        <x:f>IF(E6430="","Unknown",IF(E6430&lt;10,"&lt;10",IF(E6430&lt;20,"10-&lt;20",IF(E6430&lt;25,"20-&lt;25",IF(E6430&lt;35,"25-&lt;35","35+")))))</x:f>
        <x:v>10-&lt;20</x:v>
      </x:c>
    </x:row>
    <x:row r="6431">
      <x:c r="A6431" t="str">
        <x:v>SYN0006430</x:v>
      </x:c>
      <x:c r="B6431" s="12" t="n">
        <x:v>41995</x:v>
      </x:c>
      <x:c r="C6431" s="18" t="n">
        <x:v>7589</x:v>
      </x:c>
      <x:c r="D6431" s="18" t="n">
        <x:v>61702</x:v>
      </x:c>
      <x:c r="E6431" s="18" t="n">
        <x:v>24.47</x:v>
      </x:c>
      <x:c r="F6431" s="18" t="n">
        <x:v>16.46</x:v>
      </x:c>
      <x:c r="G6431" t="n">
        <x:v>60</x:v>
      </x:c>
      <x:c r="H6431" t="str">
        <x:v>D</x:v>
      </x:c>
      <x:c r="I6431" t="str">
        <x:v>7-9 years</x:v>
      </x:c>
      <x:c r="J6431" t="str">
        <x:v>MORTGAGE</x:v>
      </x:c>
      <x:c r="K6431" t="str">
        <x:v>debt_consolidation</x:v>
      </x:c>
      <x:c r="L6431" t="n">
        <x:v>1</x:v>
      </x:c>
      <x:c r="M6431" t="n">
        <x:v>0</x:v>
      </x:c>
      <x:c r="N6431" t="str">
        <x:v>Fully Paid</x:v>
      </x:c>
      <x:c r="O6431" t="str">
        <x:f>IF(D6431="","Unknown",IF(D6431&lt;25000,"&lt;$25k",IF(D6431&lt;50000,"$25k-$50k",IF(D6431&lt;75000,"$50k-$75k",IF(D6431&lt;100000,"$75k-$100k","$100k+")))))</x:f>
        <x:v>$50k-$75k</x:v>
      </x:c>
      <x:c r="P6431" t="str">
        <x:f>IF(E6431="","Unknown",IF(E6431&lt;10,"&lt;10",IF(E6431&lt;20,"10-&lt;20",IF(E6431&lt;25,"20-&lt;25",IF(E6431&lt;35,"25-&lt;35","35+")))))</x:f>
        <x:v>20-&lt;25</x:v>
      </x:c>
    </x:row>
    <x:row r="6432">
      <x:c r="A6432" t="str">
        <x:v>SYN0006431</x:v>
      </x:c>
      <x:c r="B6432" s="12" t="n">
        <x:v>41335</x:v>
      </x:c>
      <x:c r="C6432" s="18" t="n">
        <x:v>16466</x:v>
      </x:c>
      <x:c r="D6432" s="18" t="n">
        <x:v>25127</x:v>
      </x:c>
      <x:c r="E6432" s="18" t="n">
        <x:v>28.91</x:v>
      </x:c>
      <x:c r="F6432" s="18" t="n">
        <x:v>21.06</x:v>
      </x:c>
      <x:c r="G6432" t="n">
        <x:v>60</x:v>
      </x:c>
      <x:c r="H6432" t="str">
        <x:v>F</x:v>
      </x:c>
      <x:c r="I6432" t="str">
        <x:v>7-9 years</x:v>
      </x:c>
      <x:c r="J6432" t="str">
        <x:v>MORTGAGE</x:v>
      </x:c>
      <x:c r="K6432" t="str">
        <x:v>credit_card</x:v>
      </x:c>
      <x:c r="L6432" t="n">
        <x:v>0</x:v>
      </x:c>
      <x:c r="M6432" t="n">
        <x:v>1</x:v>
      </x:c>
      <x:c r="N6432" t="str">
        <x:v>Charged Off</x:v>
      </x:c>
      <x:c r="O6432" t="str">
        <x:f>IF(D6432="","Unknown",IF(D6432&lt;25000,"&lt;$25k",IF(D6432&lt;50000,"$25k-$50k",IF(D6432&lt;75000,"$50k-$75k",IF(D6432&lt;100000,"$75k-$100k","$100k+")))))</x:f>
        <x:v>$25k-$50k</x:v>
      </x:c>
      <x:c r="P6432" t="str">
        <x:f>IF(E6432="","Unknown",IF(E6432&lt;10,"&lt;10",IF(E6432&lt;20,"10-&lt;20",IF(E6432&lt;25,"20-&lt;25",IF(E6432&lt;35,"25-&lt;35","35+")))))</x:f>
        <x:v>25-&lt;35</x:v>
      </x:c>
    </x:row>
    <x:row r="6433">
      <x:c r="A6433" t="str">
        <x:v>SYN0006432</x:v>
      </x:c>
      <x:c r="B6433" s="12" t="n">
        <x:v>42205</x:v>
      </x:c>
      <x:c r="C6433" s="18" t="n">
        <x:v>9704</x:v>
      </x:c>
      <x:c r="D6433" s="18" t="n">
        <x:v>38128</x:v>
      </x:c>
      <x:c r="E6433" s="18" t="n">
        <x:v>26.29</x:v>
      </x:c>
      <x:c r="F6433" s="18" t="n">
        <x:v>15.36</x:v>
      </x:c>
      <x:c r="G6433" t="n">
        <x:v>36</x:v>
      </x:c>
      <x:c r="H6433" t="str">
        <x:v>D</x:v>
      </x:c>
      <x:c r="I6433" t="str">
        <x:v>1-3 years</x:v>
      </x:c>
      <x:c r="J6433" t="str">
        <x:v>RENT</x:v>
      </x:c>
      <x:c r="K6433" t="str">
        <x:v>home_improvement</x:v>
      </x:c>
      <x:c r="L6433" t="n">
        <x:v>1</x:v>
      </x:c>
      <x:c r="M6433" t="n">
        <x:v>0</x:v>
      </x:c>
      <x:c r="N6433" t="str">
        <x:v>Fully Paid</x:v>
      </x:c>
      <x:c r="O6433" t="str">
        <x:f>IF(D6433="","Unknown",IF(D6433&lt;25000,"&lt;$25k",IF(D6433&lt;50000,"$25k-$50k",IF(D6433&lt;75000,"$50k-$75k",IF(D6433&lt;100000,"$75k-$100k","$100k+")))))</x:f>
        <x:v>$25k-$50k</x:v>
      </x:c>
      <x:c r="P6433" t="str">
        <x:f>IF(E6433="","Unknown",IF(E6433&lt;10,"&lt;10",IF(E6433&lt;20,"10-&lt;20",IF(E6433&lt;25,"20-&lt;25",IF(E6433&lt;35,"25-&lt;35","35+")))))</x:f>
        <x:v>25-&lt;35</x:v>
      </x:c>
    </x:row>
    <x:row r="6434">
      <x:c r="A6434" t="str">
        <x:v>SYN0006433</x:v>
      </x:c>
      <x:c r="B6434" s="12" t="n">
        <x:v>42415</x:v>
      </x:c>
      <x:c r="C6434" s="18" t="n">
        <x:v>5149</x:v>
      </x:c>
      <x:c r="D6434" s="18" t="n">
        <x:v>14260</x:v>
      </x:c>
      <x:c r="E6434" s="18" t="n">
        <x:v>16.91</x:v>
      </x:c>
      <x:c r="F6434" s="18" t="n">
        <x:v>16.43</x:v>
      </x:c>
      <x:c r="G6434" t="n">
        <x:v>36</x:v>
      </x:c>
      <x:c r="H6434" t="str">
        <x:v>E</x:v>
      </x:c>
      <x:c r="I6434" t="str">
        <x:v>10+ years</x:v>
      </x:c>
      <x:c r="J6434" t="str">
        <x:v>MORTGAGE</x:v>
      </x:c>
      <x:c r="K6434" t="str">
        <x:v>credit_card</x:v>
      </x:c>
      <x:c r="L6434" t="n">
        <x:v>0</x:v>
      </x:c>
      <x:c r="M6434" t="n">
        <x:v>0</x:v>
      </x:c>
      <x:c r="N6434" t="str">
        <x:v>Fully Paid</x:v>
      </x:c>
      <x:c r="O6434" t="str">
        <x:f>IF(D6434="","Unknown",IF(D6434&lt;25000,"&lt;$25k",IF(D6434&lt;50000,"$25k-$50k",IF(D6434&lt;75000,"$50k-$75k",IF(D6434&lt;100000,"$75k-$100k","$100k+")))))</x:f>
        <x:v>&lt;$25k</x:v>
      </x:c>
      <x:c r="P6434" t="str">
        <x:f>IF(E6434="","Unknown",IF(E6434&lt;10,"&lt;10",IF(E6434&lt;20,"10-&lt;20",IF(E6434&lt;25,"20-&lt;25",IF(E6434&lt;35,"25-&lt;35","35+")))))</x:f>
        <x:v>10-&lt;20</x:v>
      </x:c>
    </x:row>
    <x:row r="6435">
      <x:c r="A6435" t="str">
        <x:v>SYN0006434</x:v>
      </x:c>
      <x:c r="B6435" s="12" t="n">
        <x:v>42085</x:v>
      </x:c>
      <x:c r="C6435" s="18" t="n">
        <x:v>12115</x:v>
      </x:c>
      <x:c r="D6435" s="18" t="n">
        <x:v>25860</x:v>
      </x:c>
      <x:c r="E6435" s="18" t="n">
        <x:v>18.49</x:v>
      </x:c>
      <x:c r="F6435" s="18" t="n">
        <x:v>7.82</x:v>
      </x:c>
      <x:c r="G6435" t="n">
        <x:v>36</x:v>
      </x:c>
      <x:c r="H6435" t="str">
        <x:v>B</x:v>
      </x:c>
      <x:c r="I6435" t="str">
        <x:v>7-9 years</x:v>
      </x:c>
      <x:c r="J6435" t="str">
        <x:v>OWN</x:v>
      </x:c>
      <x:c r="K6435" t="str">
        <x:v>home_improvement</x:v>
      </x:c>
      <x:c r="L6435" t="n">
        <x:v>0</x:v>
      </x:c>
      <x:c r="M6435" t="n">
        <x:v>0</x:v>
      </x:c>
      <x:c r="N6435" t="str">
        <x:v>Fully Paid</x:v>
      </x:c>
      <x:c r="O6435" t="str">
        <x:f>IF(D6435="","Unknown",IF(D6435&lt;25000,"&lt;$25k",IF(D6435&lt;50000,"$25k-$50k",IF(D6435&lt;75000,"$50k-$75k",IF(D6435&lt;100000,"$75k-$100k","$100k+")))))</x:f>
        <x:v>$25k-$50k</x:v>
      </x:c>
      <x:c r="P6435" t="str">
        <x:f>IF(E6435="","Unknown",IF(E6435&lt;10,"&lt;10",IF(E6435&lt;20,"10-&lt;20",IF(E6435&lt;25,"20-&lt;25",IF(E6435&lt;35,"25-&lt;35","35+")))))</x:f>
        <x:v>10-&lt;20</x:v>
      </x:c>
    </x:row>
    <x:row r="6436">
      <x:c r="A6436" t="str">
        <x:v>SYN0006435</x:v>
      </x:c>
      <x:c r="B6436" s="12" t="n">
        <x:v>42775</x:v>
      </x:c>
      <x:c r="C6436" s="18" t="n">
        <x:v>17284</x:v>
      </x:c>
      <x:c r="D6436" s="18" t="n">
        <x:v>62651</x:v>
      </x:c>
      <x:c r="E6436" s="18" t="n">
        <x:v>12.03</x:v>
      </x:c>
      <x:c r="F6436" s="18" t="n">
        <x:v>14.82</x:v>
      </x:c>
      <x:c r="G6436" t="n">
        <x:v>60</x:v>
      </x:c>
      <x:c r="H6436" t="str">
        <x:v>D</x:v>
      </x:c>
      <x:c r="I6436" t="str">
        <x:v>7-9 years</x:v>
      </x:c>
      <x:c r="J6436" t="str">
        <x:v>RENT</x:v>
      </x:c>
      <x:c r="K6436" t="str">
        <x:v>credit_card</x:v>
      </x:c>
      <x:c r="L6436" t="n">
        <x:v>0</x:v>
      </x:c>
      <x:c r="M6436" t="n">
        <x:v>0</x:v>
      </x:c>
      <x:c r="N6436" t="str">
        <x:v>Fully Paid</x:v>
      </x:c>
      <x:c r="O6436" t="str">
        <x:f>IF(D6436="","Unknown",IF(D6436&lt;25000,"&lt;$25k",IF(D6436&lt;50000,"$25k-$50k",IF(D6436&lt;75000,"$50k-$75k",IF(D6436&lt;100000,"$75k-$100k","$100k+")))))</x:f>
        <x:v>$50k-$75k</x:v>
      </x:c>
      <x:c r="P6436" t="str">
        <x:f>IF(E6436="","Unknown",IF(E6436&lt;10,"&lt;10",IF(E6436&lt;20,"10-&lt;20",IF(E6436&lt;25,"20-&lt;25",IF(E6436&lt;35,"25-&lt;35","35+")))))</x:f>
        <x:v>10-&lt;20</x:v>
      </x:c>
    </x:row>
    <x:row r="6437">
      <x:c r="A6437" t="str">
        <x:v>SYN0006436</x:v>
      </x:c>
      <x:c r="B6437" s="12" t="n">
        <x:v>41545</x:v>
      </x:c>
      <x:c r="C6437" s="18" t="n">
        <x:v>12404</x:v>
      </x:c>
      <x:c r="D6437" s="18" t="n">
        <x:v>95557</x:v>
      </x:c>
      <x:c r="E6437" s="18" t="n">
        <x:v>15.52</x:v>
      </x:c>
      <x:c r="F6437" s="18" t="n">
        <x:v>10.58</x:v>
      </x:c>
      <x:c r="G6437" t="n">
        <x:v>36</x:v>
      </x:c>
      <x:c r="H6437" t="str">
        <x:v>C</x:v>
      </x:c>
      <x:c r="I6437" t="str">
        <x:v>4-6 years</x:v>
      </x:c>
      <x:c r="J6437" t="str">
        <x:v>MORTGAGE</x:v>
      </x:c>
      <x:c r="K6437" t="str">
        <x:v>credit_card</x:v>
      </x:c>
      <x:c r="L6437" t="n">
        <x:v>0</x:v>
      </x:c>
      <x:c r="M6437" t="n">
        <x:v>0</x:v>
      </x:c>
      <x:c r="N6437" t="str">
        <x:v>Fully Paid</x:v>
      </x:c>
      <x:c r="O6437" t="str">
        <x:f>IF(D6437="","Unknown",IF(D6437&lt;25000,"&lt;$25k",IF(D6437&lt;50000,"$25k-$50k",IF(D6437&lt;75000,"$50k-$75k",IF(D6437&lt;100000,"$75k-$100k","$100k+")))))</x:f>
        <x:v>$75k-$100k</x:v>
      </x:c>
      <x:c r="P6437" t="str">
        <x:f>IF(E6437="","Unknown",IF(E6437&lt;10,"&lt;10",IF(E6437&lt;20,"10-&lt;20",IF(E6437&lt;25,"20-&lt;25",IF(E6437&lt;35,"25-&lt;35","35+")))))</x:f>
        <x:v>10-&lt;20</x:v>
      </x:c>
    </x:row>
    <x:row r="6438">
      <x:c r="A6438" t="str">
        <x:v>SYN0006437</x:v>
      </x:c>
      <x:c r="B6438" s="12" t="n">
        <x:v>42025</x:v>
      </x:c>
      <x:c r="C6438" s="18" t="n">
        <x:v>23891</x:v>
      </x:c>
      <x:c r="D6438" s="18" t="n">
        <x:v>64877</x:v>
      </x:c>
      <x:c r="E6438" s="18" t="n">
        <x:v>26.62</x:v>
      </x:c>
      <x:c r="F6438" s="18" t="n">
        <x:v>8.18</x:v>
      </x:c>
      <x:c r="G6438" t="n">
        <x:v>36</x:v>
      </x:c>
      <x:c r="H6438" t="str">
        <x:v>C</x:v>
      </x:c>
      <x:c r="I6438" t="str">
        <x:v>1-3 years</x:v>
      </x:c>
      <x:c r="J6438" t="str">
        <x:v>MORTGAGE</x:v>
      </x:c>
      <x:c r="K6438" t="str">
        <x:v>major_purchase</x:v>
      </x:c>
      <x:c r="L6438" t="n">
        <x:v>1</x:v>
      </x:c>
      <x:c r="M6438" t="n">
        <x:v>0</x:v>
      </x:c>
      <x:c r="N6438" t="str">
        <x:v>Fully Paid</x:v>
      </x:c>
      <x:c r="O6438" t="str">
        <x:f>IF(D6438="","Unknown",IF(D6438&lt;25000,"&lt;$25k",IF(D6438&lt;50000,"$25k-$50k",IF(D6438&lt;75000,"$50k-$75k",IF(D6438&lt;100000,"$75k-$100k","$100k+")))))</x:f>
        <x:v>$50k-$75k</x:v>
      </x:c>
      <x:c r="P6438" t="str">
        <x:f>IF(E6438="","Unknown",IF(E6438&lt;10,"&lt;10",IF(E6438&lt;20,"10-&lt;20",IF(E6438&lt;25,"20-&lt;25",IF(E6438&lt;35,"25-&lt;35","35+")))))</x:f>
        <x:v>25-&lt;35</x:v>
      </x:c>
    </x:row>
    <x:row r="6439">
      <x:c r="A6439" t="str">
        <x:v>SYN0006438</x:v>
      </x:c>
      <x:c r="B6439" s="12" t="n">
        <x:v>42865</x:v>
      </x:c>
      <x:c r="C6439" s="18" t="n">
        <x:v>5445</x:v>
      </x:c>
      <x:c r="D6439" s="18" t="n">
        <x:v>18720</x:v>
      </x:c>
      <x:c r="E6439" s="18" t="n">
        <x:v>15</x:v>
      </x:c>
      <x:c r="F6439" s="18" t="n">
        <x:v>13.54</x:v>
      </x:c>
      <x:c r="G6439" t="n">
        <x:v>36</x:v>
      </x:c>
      <x:c r="H6439" t="str">
        <x:v>C</x:v>
      </x:c>
      <x:c r="I6439" t="str">
        <x:v>&lt;1 year</x:v>
      </x:c>
      <x:c r="J6439" t="str">
        <x:v>OWN</x:v>
      </x:c>
      <x:c r="K6439" t="str">
        <x:v>home_improvement</x:v>
      </x:c>
      <x:c r="L6439" t="n">
        <x:v>0</x:v>
      </x:c>
      <x:c r="M6439" t="n">
        <x:v>0</x:v>
      </x:c>
      <x:c r="N6439" t="str">
        <x:v>Fully Paid</x:v>
      </x:c>
      <x:c r="O6439" t="str">
        <x:f>IF(D6439="","Unknown",IF(D6439&lt;25000,"&lt;$25k",IF(D6439&lt;50000,"$25k-$50k",IF(D6439&lt;75000,"$50k-$75k",IF(D6439&lt;100000,"$75k-$100k","$100k+")))))</x:f>
        <x:v>&lt;$25k</x:v>
      </x:c>
      <x:c r="P6439" t="str">
        <x:f>IF(E6439="","Unknown",IF(E6439&lt;10,"&lt;10",IF(E6439&lt;20,"10-&lt;20",IF(E6439&lt;25,"20-&lt;25",IF(E6439&lt;35,"25-&lt;35","35+")))))</x:f>
        <x:v>10-&lt;20</x:v>
      </x:c>
    </x:row>
    <x:row r="6440">
      <x:c r="A6440" t="str">
        <x:v>SYN0006439</x:v>
      </x:c>
      <x:c r="B6440" s="12" t="n">
        <x:v>41455</x:v>
      </x:c>
      <x:c r="C6440" s="18" t="n">
        <x:v>23785</x:v>
      </x:c>
      <x:c r="D6440" s="18" t="n">
        <x:v>71519</x:v>
      </x:c>
      <x:c r="E6440" s="18" t="n">
        <x:v>18.07</x:v>
      </x:c>
      <x:c r="F6440" s="18" t="n">
        <x:v>17.09</x:v>
      </x:c>
      <x:c r="G6440" t="n">
        <x:v>36</x:v>
      </x:c>
      <x:c r="H6440" t="str">
        <x:v>E</x:v>
      </x:c>
      <x:c r="I6440" t="str">
        <x:v>10+ years</x:v>
      </x:c>
      <x:c r="J6440" t="str">
        <x:v>OWN</x:v>
      </x:c>
      <x:c r="K6440" t="str">
        <x:v>credit_card</x:v>
      </x:c>
      <x:c r="L6440" t="n">
        <x:v>0</x:v>
      </x:c>
      <x:c r="M6440" t="n">
        <x:v>0</x:v>
      </x:c>
      <x:c r="N6440" t="str">
        <x:v>Fully Paid</x:v>
      </x:c>
      <x:c r="O6440" t="str">
        <x:f>IF(D6440="","Unknown",IF(D6440&lt;25000,"&lt;$25k",IF(D6440&lt;50000,"$25k-$50k",IF(D6440&lt;75000,"$50k-$75k",IF(D6440&lt;100000,"$75k-$100k","$100k+")))))</x:f>
        <x:v>$50k-$75k</x:v>
      </x:c>
      <x:c r="P6440" t="str">
        <x:f>IF(E6440="","Unknown",IF(E6440&lt;10,"&lt;10",IF(E6440&lt;20,"10-&lt;20",IF(E6440&lt;25,"20-&lt;25",IF(E6440&lt;35,"25-&lt;35","35+")))))</x:f>
        <x:v>10-&lt;20</x:v>
      </x:c>
    </x:row>
    <x:row r="6441">
      <x:c r="A6441" t="str">
        <x:v>SYN0006440</x:v>
      </x:c>
      <x:c r="B6441" s="12" t="n">
        <x:v>41725</x:v>
      </x:c>
      <x:c r="C6441" s="18" t="n">
        <x:v>29541</x:v>
      </x:c>
      <x:c r="D6441" s="18" t="n">
        <x:v>48068</x:v>
      </x:c>
      <x:c r="E6441" s="18" t="n">
        <x:v>32.1</x:v>
      </x:c>
      <x:c r="F6441" s="18" t="n">
        <x:v>22.12</x:v>
      </x:c>
      <x:c r="G6441" t="n">
        <x:v>36</x:v>
      </x:c>
      <x:c r="H6441" t="str">
        <x:v>F</x:v>
      </x:c>
      <x:c r="I6441" t="str">
        <x:v>10+ years</x:v>
      </x:c>
      <x:c r="J6441" t="str">
        <x:v>RENT</x:v>
      </x:c>
      <x:c r="K6441" t="str">
        <x:v>credit_card</x:v>
      </x:c>
      <x:c r="L6441" t="n">
        <x:v>1</x:v>
      </x:c>
      <x:c r="M6441" t="n">
        <x:v>1</x:v>
      </x:c>
      <x:c r="N6441" t="str">
        <x:v>Charged Off</x:v>
      </x:c>
      <x:c r="O6441" t="str">
        <x:f>IF(D6441="","Unknown",IF(D6441&lt;25000,"&lt;$25k",IF(D6441&lt;50000,"$25k-$50k",IF(D6441&lt;75000,"$50k-$75k",IF(D6441&lt;100000,"$75k-$100k","$100k+")))))</x:f>
        <x:v>$25k-$50k</x:v>
      </x:c>
      <x:c r="P6441" t="str">
        <x:f>IF(E6441="","Unknown",IF(E6441&lt;10,"&lt;10",IF(E6441&lt;20,"10-&lt;20",IF(E6441&lt;25,"20-&lt;25",IF(E6441&lt;35,"25-&lt;35","35+")))))</x:f>
        <x:v>25-&lt;35</x:v>
      </x:c>
    </x:row>
    <x:row r="6442">
      <x:c r="A6442" t="str">
        <x:v>SYN0006441</x:v>
      </x:c>
      <x:c r="B6442" s="12" t="n">
        <x:v>42985</x:v>
      </x:c>
      <x:c r="C6442" s="18" t="n">
        <x:v>11297</x:v>
      </x:c>
      <x:c r="D6442" s="18" t="n">
        <x:v>81643</x:v>
      </x:c>
      <x:c r="E6442" s="18" t="n">
        <x:v>6.76</x:v>
      </x:c>
      <x:c r="F6442" s="18" t="n">
        <x:v>7.48</x:v>
      </x:c>
      <x:c r="G6442" t="n">
        <x:v>60</x:v>
      </x:c>
      <x:c r="H6442" t="str">
        <x:v>C</x:v>
      </x:c>
      <x:c r="I6442" t="str">
        <x:v>4-6 years</x:v>
      </x:c>
      <x:c r="J6442" t="str">
        <x:v>OWN</x:v>
      </x:c>
      <x:c r="K6442" t="str">
        <x:v>debt_consolidation</x:v>
      </x:c>
      <x:c r="L6442" t="n">
        <x:v>1</x:v>
      </x:c>
      <x:c r="M6442" t="n">
        <x:v>0</x:v>
      </x:c>
      <x:c r="N6442" t="str">
        <x:v>Fully Paid</x:v>
      </x:c>
      <x:c r="O6442" t="str">
        <x:f>IF(D6442="","Unknown",IF(D6442&lt;25000,"&lt;$25k",IF(D6442&lt;50000,"$25k-$50k",IF(D6442&lt;75000,"$50k-$75k",IF(D6442&lt;100000,"$75k-$100k","$100k+")))))</x:f>
        <x:v>$75k-$100k</x:v>
      </x:c>
      <x:c r="P6442" t="str">
        <x:f>IF(E6442="","Unknown",IF(E6442&lt;10,"&lt;10",IF(E6442&lt;20,"10-&lt;20",IF(E6442&lt;25,"20-&lt;25",IF(E6442&lt;35,"25-&lt;35","35+")))))</x:f>
        <x:v>&lt;10</x:v>
      </x:c>
    </x:row>
    <x:row r="6443">
      <x:c r="A6443" t="str">
        <x:v>SYN0006442</x:v>
      </x:c>
      <x:c r="B6443" s="12" t="n">
        <x:v>42055</x:v>
      </x:c>
      <x:c r="C6443" s="18" t="n">
        <x:v>28700</x:v>
      </x:c>
      <x:c r="D6443" s="18" t="n">
        <x:v>42360</x:v>
      </x:c>
      <x:c r="E6443" s="18" t="n">
        <x:v>28.64</x:v>
      </x:c>
      <x:c r="F6443" s="18" t="n">
        <x:v>13.33</x:v>
      </x:c>
      <x:c r="G6443" t="n">
        <x:v>36</x:v>
      </x:c>
      <x:c r="H6443" t="str">
        <x:v>D</x:v>
      </x:c>
      <x:c r="I6443" t="str">
        <x:v>4-6 years</x:v>
      </x:c>
      <x:c r="J6443" t="str">
        <x:v>MORTGAGE</x:v>
      </x:c>
      <x:c r="K6443" t="str">
        <x:v>credit_card</x:v>
      </x:c>
      <x:c r="L6443" t="n">
        <x:v>0</x:v>
      </x:c>
      <x:c r="M6443" t="n">
        <x:v>0</x:v>
      </x:c>
      <x:c r="N6443" t="str">
        <x:v>Fully Paid</x:v>
      </x:c>
      <x:c r="O6443" t="str">
        <x:f>IF(D6443="","Unknown",IF(D6443&lt;25000,"&lt;$25k",IF(D6443&lt;50000,"$25k-$50k",IF(D6443&lt;75000,"$50k-$75k",IF(D6443&lt;100000,"$75k-$100k","$100k+")))))</x:f>
        <x:v>$25k-$50k</x:v>
      </x:c>
      <x:c r="P6443" t="str">
        <x:f>IF(E6443="","Unknown",IF(E6443&lt;10,"&lt;10",IF(E6443&lt;20,"10-&lt;20",IF(E6443&lt;25,"20-&lt;25",IF(E6443&lt;35,"25-&lt;35","35+")))))</x:f>
        <x:v>25-&lt;35</x:v>
      </x:c>
    </x:row>
    <x:row r="6444">
      <x:c r="A6444" t="str">
        <x:v>SYN0006443</x:v>
      </x:c>
      <x:c r="B6444" s="12" t="n">
        <x:v>42175</x:v>
      </x:c>
      <x:c r="C6444" s="18" t="n">
        <x:v>11615</x:v>
      </x:c>
      <x:c r="D6444" s="18" t="n">
        <x:v>109734</x:v>
      </x:c>
      <x:c r="E6444" s="18" t="n">
        <x:v>13.27</x:v>
      </x:c>
      <x:c r="F6444" s="18" t="n">
        <x:v>11.59</x:v>
      </x:c>
      <x:c r="G6444" t="n">
        <x:v>36</x:v>
      </x:c>
      <x:c r="H6444" t="str">
        <x:v>C</x:v>
      </x:c>
      <x:c r="I6444" t="str">
        <x:v>4-6 years</x:v>
      </x:c>
      <x:c r="J6444" t="str">
        <x:v>RENT</x:v>
      </x:c>
      <x:c r="K6444" t="str">
        <x:v>home_improvement</x:v>
      </x:c>
      <x:c r="L6444" t="n">
        <x:v>1</x:v>
      </x:c>
      <x:c r="M6444" t="n">
        <x:v>1</x:v>
      </x:c>
      <x:c r="N6444" t="str">
        <x:v>Charged Off</x:v>
      </x:c>
      <x:c r="O6444" t="str">
        <x:f>IF(D6444="","Unknown",IF(D6444&lt;25000,"&lt;$25k",IF(D6444&lt;50000,"$25k-$50k",IF(D6444&lt;75000,"$50k-$75k",IF(D6444&lt;100000,"$75k-$100k","$100k+")))))</x:f>
        <x:v>$100k+</x:v>
      </x:c>
      <x:c r="P6444" t="str">
        <x:f>IF(E6444="","Unknown",IF(E6444&lt;10,"&lt;10",IF(E6444&lt;20,"10-&lt;20",IF(E6444&lt;25,"20-&lt;25",IF(E6444&lt;35,"25-&lt;35","35+")))))</x:f>
        <x:v>10-&lt;20</x:v>
      </x:c>
    </x:row>
    <x:row r="6445">
      <x:c r="A6445" t="str">
        <x:v>SYN0006444</x:v>
      </x:c>
      <x:c r="B6445" s="12" t="n">
        <x:v>43015</x:v>
      </x:c>
      <x:c r="C6445" s="18" t="n">
        <x:v>9553</x:v>
      </x:c>
      <x:c r="D6445" s="18" t="n">
        <x:v>80685</x:v>
      </x:c>
      <x:c r="E6445" s="18" t="n">
        <x:v>2.55</x:v>
      </x:c>
      <x:c r="F6445" s="18" t="n">
        <x:v>5</x:v>
      </x:c>
      <x:c r="G6445" t="n">
        <x:v>36</x:v>
      </x:c>
      <x:c r="H6445" t="str">
        <x:v>A</x:v>
      </x:c>
      <x:c r="I6445" t="str">
        <x:v>1-3 years</x:v>
      </x:c>
      <x:c r="J6445" t="str">
        <x:v>RENT</x:v>
      </x:c>
      <x:c r="K6445" t="str">
        <x:v>home_improvement</x:v>
      </x:c>
      <x:c r="L6445" t="n">
        <x:v>0</x:v>
      </x:c>
      <x:c r="M6445" t="n">
        <x:v>0</x:v>
      </x:c>
      <x:c r="N6445" t="str">
        <x:v>Fully Paid</x:v>
      </x:c>
      <x:c r="O6445" t="str">
        <x:f>IF(D6445="","Unknown",IF(D6445&lt;25000,"&lt;$25k",IF(D6445&lt;50000,"$25k-$50k",IF(D6445&lt;75000,"$50k-$75k",IF(D6445&lt;100000,"$75k-$100k","$100k+")))))</x:f>
        <x:v>$75k-$100k</x:v>
      </x:c>
      <x:c r="P6445" t="str">
        <x:f>IF(E6445="","Unknown",IF(E6445&lt;10,"&lt;10",IF(E6445&lt;20,"10-&lt;20",IF(E6445&lt;25,"20-&lt;25",IF(E6445&lt;35,"25-&lt;35","35+")))))</x:f>
        <x:v>&lt;10</x:v>
      </x:c>
    </x:row>
    <x:row r="6446">
      <x:c r="A6446" t="str">
        <x:v>SYN0006445</x:v>
      </x:c>
      <x:c r="B6446" s="12" t="n">
        <x:v>42505</x:v>
      </x:c>
      <x:c r="C6446" s="18" t="n">
        <x:v>11553</x:v>
      </x:c>
      <x:c r="D6446" s="18" t="n">
        <x:v>46509</x:v>
      </x:c>
      <x:c r="E6446" s="18" t="n">
        <x:v>18.61</x:v>
      </x:c>
      <x:c r="F6446" s="18" t="n">
        <x:v>8.8</x:v>
      </x:c>
      <x:c r="G6446" t="n">
        <x:v>36</x:v>
      </x:c>
      <x:c r="H6446" t="str">
        <x:v>B</x:v>
      </x:c>
      <x:c r="I6446" t="str">
        <x:v>7-9 years</x:v>
      </x:c>
      <x:c r="J6446" t="str">
        <x:v>OWN</x:v>
      </x:c>
      <x:c r="K6446" t="str">
        <x:v>debt_consolidation</x:v>
      </x:c>
      <x:c r="L6446" t="n">
        <x:v>1</x:v>
      </x:c>
      <x:c r="M6446" t="n">
        <x:v>0</x:v>
      </x:c>
      <x:c r="N6446" t="str">
        <x:v>Fully Paid</x:v>
      </x:c>
      <x:c r="O6446" t="str">
        <x:f>IF(D6446="","Unknown",IF(D6446&lt;25000,"&lt;$25k",IF(D6446&lt;50000,"$25k-$50k",IF(D6446&lt;75000,"$50k-$75k",IF(D6446&lt;100000,"$75k-$100k","$100k+")))))</x:f>
        <x:v>$25k-$50k</x:v>
      </x:c>
      <x:c r="P6446" t="str">
        <x:f>IF(E6446="","Unknown",IF(E6446&lt;10,"&lt;10",IF(E6446&lt;20,"10-&lt;20",IF(E6446&lt;25,"20-&lt;25",IF(E6446&lt;35,"25-&lt;35","35+")))))</x:f>
        <x:v>10-&lt;20</x:v>
      </x:c>
    </x:row>
    <x:row r="6447">
      <x:c r="A6447" t="str">
        <x:v>SYN0006446</x:v>
      </x:c>
      <x:c r="B6447" s="12" t="n">
        <x:v>43075</x:v>
      </x:c>
      <x:c r="C6447" s="18" t="n">
        <x:v>9493</x:v>
      </x:c>
      <x:c r="D6447" s="18" t="n">
        <x:v>27910</x:v>
      </x:c>
      <x:c r="E6447" s="18" t="n">
        <x:v>16.58</x:v>
      </x:c>
      <x:c r="F6447" s="18" t="n">
        <x:v>20.79</x:v>
      </x:c>
      <x:c r="G6447" t="n">
        <x:v>36</x:v>
      </x:c>
      <x:c r="H6447" t="str">
        <x:v>F</x:v>
      </x:c>
      <x:c r="I6447" t="str">
        <x:v>10+ years</x:v>
      </x:c>
      <x:c r="J6447" t="str">
        <x:v>OTHER</x:v>
      </x:c>
      <x:c r="K6447" t="str">
        <x:v>debt_consolidation</x:v>
      </x:c>
      <x:c r="L6447" t="n">
        <x:v>1</x:v>
      </x:c>
      <x:c r="M6447" t="n">
        <x:v>0</x:v>
      </x:c>
      <x:c r="N6447" t="str">
        <x:v>Fully Paid</x:v>
      </x:c>
      <x:c r="O6447" t="str">
        <x:f>IF(D6447="","Unknown",IF(D6447&lt;25000,"&lt;$25k",IF(D6447&lt;50000,"$25k-$50k",IF(D6447&lt;75000,"$50k-$75k",IF(D6447&lt;100000,"$75k-$100k","$100k+")))))</x:f>
        <x:v>$25k-$50k</x:v>
      </x:c>
      <x:c r="P6447" t="str">
        <x:f>IF(E6447="","Unknown",IF(E6447&lt;10,"&lt;10",IF(E6447&lt;20,"10-&lt;20",IF(E6447&lt;25,"20-&lt;25",IF(E6447&lt;35,"25-&lt;35","35+")))))</x:f>
        <x:v>10-&lt;20</x:v>
      </x:c>
    </x:row>
    <x:row r="6448">
      <x:c r="A6448" t="str">
        <x:v>SYN0006447</x:v>
      </x:c>
      <x:c r="B6448" s="12" t="n">
        <x:v>41905</x:v>
      </x:c>
      <x:c r="C6448" s="18" t="n">
        <x:v>10709</x:v>
      </x:c>
      <x:c r="D6448" s="18" t="n">
        <x:v>113980</x:v>
      </x:c>
      <x:c r="E6448" s="18" t="n">
        <x:v>11.6</x:v>
      </x:c>
      <x:c r="F6448" s="18" t="n">
        <x:v>11.06</x:v>
      </x:c>
      <x:c r="G6448" t="n">
        <x:v>36</x:v>
      </x:c>
      <x:c r="H6448" t="str">
        <x:v>C</x:v>
      </x:c>
      <x:c r="I6448" t="str">
        <x:v>4-6 years</x:v>
      </x:c>
      <x:c r="J6448" t="str">
        <x:v>OWN</x:v>
      </x:c>
      <x:c r="K6448" t="str">
        <x:v>credit_card</x:v>
      </x:c>
      <x:c r="L6448" t="n">
        <x:v>0</x:v>
      </x:c>
      <x:c r="M6448" t="n">
        <x:v>0</x:v>
      </x:c>
      <x:c r="N6448" t="str">
        <x:v>Fully Paid</x:v>
      </x:c>
      <x:c r="O6448" t="str">
        <x:f>IF(D6448="","Unknown",IF(D6448&lt;25000,"&lt;$25k",IF(D6448&lt;50000,"$25k-$50k",IF(D6448&lt;75000,"$50k-$75k",IF(D6448&lt;100000,"$75k-$100k","$100k+")))))</x:f>
        <x:v>$100k+</x:v>
      </x:c>
      <x:c r="P6448" t="str">
        <x:f>IF(E6448="","Unknown",IF(E6448&lt;10,"&lt;10",IF(E6448&lt;20,"10-&lt;20",IF(E6448&lt;25,"20-&lt;25",IF(E6448&lt;35,"25-&lt;35","35+")))))</x:f>
        <x:v>10-&lt;20</x:v>
      </x:c>
    </x:row>
    <x:row r="6449">
      <x:c r="A6449" t="str">
        <x:v>SYN0006448</x:v>
      </x:c>
      <x:c r="B6449" s="12" t="n">
        <x:v>41545</x:v>
      </x:c>
      <x:c r="C6449" s="18" t="n">
        <x:v>12036</x:v>
      </x:c>
      <x:c r="D6449" s="18" t="n">
        <x:v>60826</x:v>
      </x:c>
      <x:c r="E6449" s="18" t="n">
        <x:v>16.65</x:v>
      </x:c>
      <x:c r="F6449" s="18" t="n">
        <x:v>8.23</x:v>
      </x:c>
      <x:c r="G6449" t="n">
        <x:v>36</x:v>
      </x:c>
      <x:c r="H6449" t="str">
        <x:v>A</x:v>
      </x:c>
      <x:c r="I6449" t="str">
        <x:v>7-9 years</x:v>
      </x:c>
      <x:c r="J6449" t="str">
        <x:v>RENT</x:v>
      </x:c>
      <x:c r="K6449" t="str">
        <x:v>debt_consolidation</x:v>
      </x:c>
      <x:c r="L6449" t="n">
        <x:v>1</x:v>
      </x:c>
      <x:c r="M6449" t="n">
        <x:v>0</x:v>
      </x:c>
      <x:c r="N6449" t="str">
        <x:v>Fully Paid</x:v>
      </x:c>
      <x:c r="O6449" t="str">
        <x:f>IF(D6449="","Unknown",IF(D6449&lt;25000,"&lt;$25k",IF(D6449&lt;50000,"$25k-$50k",IF(D6449&lt;75000,"$50k-$75k",IF(D6449&lt;100000,"$75k-$100k","$100k+")))))</x:f>
        <x:v>$50k-$75k</x:v>
      </x:c>
      <x:c r="P6449" t="str">
        <x:f>IF(E6449="","Unknown",IF(E6449&lt;10,"&lt;10",IF(E6449&lt;20,"10-&lt;20",IF(E6449&lt;25,"20-&lt;25",IF(E6449&lt;35,"25-&lt;35","35+")))))</x:f>
        <x:v>10-&lt;20</x:v>
      </x:c>
    </x:row>
    <x:row r="6450">
      <x:c r="A6450" t="str">
        <x:v>SYN0006449</x:v>
      </x:c>
      <x:c r="B6450" s="12" t="n">
        <x:v>41425</x:v>
      </x:c>
      <x:c r="C6450" s="18" t="n">
        <x:v>6108</x:v>
      </x:c>
      <x:c r="D6450" s="18" t="n">
        <x:v>46123</x:v>
      </x:c>
      <x:c r="E6450" s="18" t="n">
        <x:v>12.27</x:v>
      </x:c>
      <x:c r="F6450" s="18" t="n">
        <x:v>8.89</x:v>
      </x:c>
      <x:c r="G6450" t="n">
        <x:v>36</x:v>
      </x:c>
      <x:c r="H6450" t="str">
        <x:v>A</x:v>
      </x:c>
      <x:c r="I6450" t="str">
        <x:v>4-6 years</x:v>
      </x:c>
      <x:c r="J6450" t="str">
        <x:v>MORTGAGE</x:v>
      </x:c>
      <x:c r="K6450" t="str">
        <x:v>debt_consolidation</x:v>
      </x:c>
      <x:c r="L6450" t="n">
        <x:v>0</x:v>
      </x:c>
      <x:c r="M6450" t="n">
        <x:v>0</x:v>
      </x:c>
      <x:c r="N6450" t="str">
        <x:v>Fully Paid</x:v>
      </x:c>
      <x:c r="O6450" t="str">
        <x:f>IF(D6450="","Unknown",IF(D6450&lt;25000,"&lt;$25k",IF(D6450&lt;50000,"$25k-$50k",IF(D6450&lt;75000,"$50k-$75k",IF(D6450&lt;100000,"$75k-$100k","$100k+")))))</x:f>
        <x:v>$25k-$50k</x:v>
      </x:c>
      <x:c r="P6450" t="str">
        <x:f>IF(E6450="","Unknown",IF(E6450&lt;10,"&lt;10",IF(E6450&lt;20,"10-&lt;20",IF(E6450&lt;25,"20-&lt;25",IF(E6450&lt;35,"25-&lt;35","35+")))))</x:f>
        <x:v>10-&lt;20</x:v>
      </x:c>
    </x:row>
    <x:row r="6451">
      <x:c r="A6451" t="str">
        <x:v>SYN0006450</x:v>
      </x:c>
      <x:c r="B6451" s="12" t="n">
        <x:v>42445</x:v>
      </x:c>
      <x:c r="C6451" s="18" t="n">
        <x:v>9551</x:v>
      </x:c>
      <x:c r="D6451" s="18" t="n">
        <x:v>27864</x:v>
      </x:c>
      <x:c r="E6451" s="18" t="n">
        <x:v>7.26</x:v>
      </x:c>
      <x:c r="F6451" s="18" t="n">
        <x:v>5</x:v>
      </x:c>
      <x:c r="G6451" t="n">
        <x:v>60</x:v>
      </x:c>
      <x:c r="H6451" t="str">
        <x:v>A</x:v>
      </x:c>
      <x:c r="I6451" t="str">
        <x:v>10+ years</x:v>
      </x:c>
      <x:c r="J6451" t="str">
        <x:v>RENT</x:v>
      </x:c>
      <x:c r="K6451" t="str">
        <x:v>debt_consolidation</x:v>
      </x:c>
      <x:c r="L6451" t="n">
        <x:v>0</x:v>
      </x:c>
      <x:c r="M6451" t="n">
        <x:v>0</x:v>
      </x:c>
      <x:c r="N6451" t="str">
        <x:v>Fully Paid</x:v>
      </x:c>
      <x:c r="O6451" t="str">
        <x:f>IF(D6451="","Unknown",IF(D6451&lt;25000,"&lt;$25k",IF(D6451&lt;50000,"$25k-$50k",IF(D6451&lt;75000,"$50k-$75k",IF(D6451&lt;100000,"$75k-$100k","$100k+")))))</x:f>
        <x:v>$25k-$50k</x:v>
      </x:c>
      <x:c r="P6451" t="str">
        <x:f>IF(E6451="","Unknown",IF(E6451&lt;10,"&lt;10",IF(E6451&lt;20,"10-&lt;20",IF(E6451&lt;25,"20-&lt;25",IF(E6451&lt;35,"25-&lt;35","35+")))))</x:f>
        <x:v>&lt;10</x:v>
      </x:c>
    </x:row>
    <x:row r="6452">
      <x:c r="A6452" t="str">
        <x:v>SYN0006451</x:v>
      </x:c>
      <x:c r="B6452" s="12" t="n">
        <x:v>42685</x:v>
      </x:c>
      <x:c r="C6452" s="18" t="n">
        <x:v>5379</x:v>
      </x:c>
      <x:c r="D6452" s="18" t="n">
        <x:v>36441</x:v>
      </x:c>
      <x:c r="E6452" s="18" t="n">
        <x:v>21.55</x:v>
      </x:c>
      <x:c r="F6452" s="18" t="n">
        <x:v>26.66</x:v>
      </x:c>
      <x:c r="G6452" t="n">
        <x:v>60</x:v>
      </x:c>
      <x:c r="H6452" t="str">
        <x:v>G</x:v>
      </x:c>
      <x:c r="I6452" t="str">
        <x:v>1-3 years</x:v>
      </x:c>
      <x:c r="J6452" t="str">
        <x:v>RENT</x:v>
      </x:c>
      <x:c r="K6452" t="str">
        <x:v>other</x:v>
      </x:c>
      <x:c r="L6452" t="n">
        <x:v>1</x:v>
      </x:c>
      <x:c r="M6452" t="n">
        <x:v>0</x:v>
      </x:c>
      <x:c r="N6452" t="str">
        <x:v>Fully Paid</x:v>
      </x:c>
      <x:c r="O6452" t="str">
        <x:f>IF(D6452="","Unknown",IF(D6452&lt;25000,"&lt;$25k",IF(D6452&lt;50000,"$25k-$50k",IF(D6452&lt;75000,"$50k-$75k",IF(D6452&lt;100000,"$75k-$100k","$100k+")))))</x:f>
        <x:v>$25k-$50k</x:v>
      </x:c>
      <x:c r="P6452" t="str">
        <x:f>IF(E6452="","Unknown",IF(E6452&lt;10,"&lt;10",IF(E6452&lt;20,"10-&lt;20",IF(E6452&lt;25,"20-&lt;25",IF(E6452&lt;35,"25-&lt;35","35+")))))</x:f>
        <x:v>20-&lt;25</x:v>
      </x:c>
    </x:row>
    <x:row r="6453">
      <x:c r="A6453" t="str">
        <x:v>SYN0006452</x:v>
      </x:c>
      <x:c r="B6453" s="12" t="n">
        <x:v>41995</x:v>
      </x:c>
      <x:c r="C6453" s="18" t="n">
        <x:v>5014</x:v>
      </x:c>
      <x:c r="D6453" s="18" t="n">
        <x:v>26629</x:v>
      </x:c>
      <x:c r="E6453" s="18" t="n">
        <x:v>6.4</x:v>
      </x:c>
      <x:c r="F6453" s="18" t="n">
        <x:v>5</x:v>
      </x:c>
      <x:c r="G6453" t="n">
        <x:v>36</x:v>
      </x:c>
      <x:c r="H6453" t="str">
        <x:v>A</x:v>
      </x:c>
      <x:c r="I6453" t="str">
        <x:v>10+ years</x:v>
      </x:c>
      <x:c r="J6453" t="str">
        <x:v>MORTGAGE</x:v>
      </x:c>
      <x:c r="K6453" t="str">
        <x:v>debt_consolidation</x:v>
      </x:c>
      <x:c r="L6453" t="n">
        <x:v>1</x:v>
      </x:c>
      <x:c r="M6453" t="n">
        <x:v>0</x:v>
      </x:c>
      <x:c r="N6453" t="str">
        <x:v>Fully Paid</x:v>
      </x:c>
      <x:c r="O6453" t="str">
        <x:f>IF(D6453="","Unknown",IF(D6453&lt;25000,"&lt;$25k",IF(D6453&lt;50000,"$25k-$50k",IF(D6453&lt;75000,"$50k-$75k",IF(D6453&lt;100000,"$75k-$100k","$100k+")))))</x:f>
        <x:v>$25k-$50k</x:v>
      </x:c>
      <x:c r="P6453" t="str">
        <x:f>IF(E6453="","Unknown",IF(E6453&lt;10,"&lt;10",IF(E6453&lt;20,"10-&lt;20",IF(E6453&lt;25,"20-&lt;25",IF(E6453&lt;35,"25-&lt;35","35+")))))</x:f>
        <x:v>&lt;10</x:v>
      </x:c>
    </x:row>
    <x:row r="6454">
      <x:c r="A6454" t="str">
        <x:v>SYN0006453</x:v>
      </x:c>
      <x:c r="B6454" s="12" t="n">
        <x:v>42625</x:v>
      </x:c>
      <x:c r="C6454" s="18" t="n">
        <x:v>11064</x:v>
      </x:c>
      <x:c r="D6454" s="18" t="n">
        <x:v>85335</x:v>
      </x:c>
      <x:c r="E6454" s="18" t="n">
        <x:v>8.95</x:v>
      </x:c>
      <x:c r="F6454" s="18" t="n">
        <x:v>10.12</x:v>
      </x:c>
      <x:c r="G6454" t="n">
        <x:v>36</x:v>
      </x:c>
      <x:c r="H6454" t="str">
        <x:v>C</x:v>
      </x:c>
      <x:c r="I6454" t="str">
        <x:v>10+ years</x:v>
      </x:c>
      <x:c r="J6454" t="str">
        <x:v>MORTGAGE</x:v>
      </x:c>
      <x:c r="K6454" t="str">
        <x:v>credit_card</x:v>
      </x:c>
      <x:c r="L6454" t="n">
        <x:v>1</x:v>
      </x:c>
      <x:c r="M6454" t="n">
        <x:v>0</x:v>
      </x:c>
      <x:c r="N6454" t="str">
        <x:v>Fully Paid</x:v>
      </x:c>
      <x:c r="O6454" t="str">
        <x:f>IF(D6454="","Unknown",IF(D6454&lt;25000,"&lt;$25k",IF(D6454&lt;50000,"$25k-$50k",IF(D6454&lt;75000,"$50k-$75k",IF(D6454&lt;100000,"$75k-$100k","$100k+")))))</x:f>
        <x:v>$75k-$100k</x:v>
      </x:c>
      <x:c r="P6454" t="str">
        <x:f>IF(E6454="","Unknown",IF(E6454&lt;10,"&lt;10",IF(E6454&lt;20,"10-&lt;20",IF(E6454&lt;25,"20-&lt;25",IF(E6454&lt;35,"25-&lt;35","35+")))))</x:f>
        <x:v>&lt;10</x:v>
      </x:c>
    </x:row>
    <x:row r="6455">
      <x:c r="A6455" t="str">
        <x:v>SYN0006454</x:v>
      </x:c>
      <x:c r="B6455" s="12" t="n">
        <x:v>41845</x:v>
      </x:c>
      <x:c r="C6455" s="18" t="n">
        <x:v>7194</x:v>
      </x:c>
      <x:c r="D6455" s="18" t="n">
        <x:v>60748</x:v>
      </x:c>
      <x:c r="E6455" s="18" t="n">
        <x:v>31.01</x:v>
      </x:c>
      <x:c r="F6455" s="18" t="n">
        <x:v>18.49</x:v>
      </x:c>
      <x:c r="G6455" t="n">
        <x:v>36</x:v>
      </x:c>
      <x:c r="H6455" t="str">
        <x:v>D</x:v>
      </x:c>
      <x:c r="I6455" t="str">
        <x:v>10+ years</x:v>
      </x:c>
      <x:c r="J6455" t="str">
        <x:v>RENT</x:v>
      </x:c>
      <x:c r="K6455" t="str">
        <x:v>debt_consolidation</x:v>
      </x:c>
      <x:c r="L6455" t="n">
        <x:v>0</x:v>
      </x:c>
      <x:c r="M6455" t="n">
        <x:v>0</x:v>
      </x:c>
      <x:c r="N6455" t="str">
        <x:v>Fully Paid</x:v>
      </x:c>
      <x:c r="O6455" t="str">
        <x:f>IF(D6455="","Unknown",IF(D6455&lt;25000,"&lt;$25k",IF(D6455&lt;50000,"$25k-$50k",IF(D6455&lt;75000,"$50k-$75k",IF(D6455&lt;100000,"$75k-$100k","$100k+")))))</x:f>
        <x:v>$50k-$75k</x:v>
      </x:c>
      <x:c r="P6455" t="str">
        <x:f>IF(E6455="","Unknown",IF(E6455&lt;10,"&lt;10",IF(E6455&lt;20,"10-&lt;20",IF(E6455&lt;25,"20-&lt;25",IF(E6455&lt;35,"25-&lt;35","35+")))))</x:f>
        <x:v>25-&lt;35</x:v>
      </x:c>
    </x:row>
    <x:row r="6456">
      <x:c r="A6456" t="str">
        <x:v>SYN0006455</x:v>
      </x:c>
      <x:c r="B6456" s="12" t="n">
        <x:v>42235</x:v>
      </x:c>
      <x:c r="C6456" s="18" t="n">
        <x:v>11490</x:v>
      </x:c>
      <x:c r="D6456" s="18" t="n">
        <x:v>85568</x:v>
      </x:c>
      <x:c r="E6456" s="18" t="n">
        <x:v>25.81</x:v>
      </x:c>
      <x:c r="F6456" s="18" t="n">
        <x:v>16.87</x:v>
      </x:c>
      <x:c r="G6456" t="n">
        <x:v>36</x:v>
      </x:c>
      <x:c r="H6456" t="str">
        <x:v>E</x:v>
      </x:c>
      <x:c r="I6456" t="str">
        <x:v>7-9 years</x:v>
      </x:c>
      <x:c r="J6456" t="str">
        <x:v>RENT</x:v>
      </x:c>
      <x:c r="K6456" t="str">
        <x:v>other</x:v>
      </x:c>
      <x:c r="L6456" t="n">
        <x:v>0</x:v>
      </x:c>
      <x:c r="M6456" t="n">
        <x:v>0</x:v>
      </x:c>
      <x:c r="N6456" t="str">
        <x:v>Fully Paid</x:v>
      </x:c>
      <x:c r="O6456" t="str">
        <x:f>IF(D6456="","Unknown",IF(D6456&lt;25000,"&lt;$25k",IF(D6456&lt;50000,"$25k-$50k",IF(D6456&lt;75000,"$50k-$75k",IF(D6456&lt;100000,"$75k-$100k","$100k+")))))</x:f>
        <x:v>$75k-$100k</x:v>
      </x:c>
      <x:c r="P6456" t="str">
        <x:f>IF(E6456="","Unknown",IF(E6456&lt;10,"&lt;10",IF(E6456&lt;20,"10-&lt;20",IF(E6456&lt;25,"20-&lt;25",IF(E6456&lt;35,"25-&lt;35","35+")))))</x:f>
        <x:v>25-&lt;35</x:v>
      </x:c>
    </x:row>
    <x:row r="6457">
      <x:c r="A6457" t="str">
        <x:v>SYN0006456</x:v>
      </x:c>
      <x:c r="B6457" s="12" t="n">
        <x:v>43375</x:v>
      </x:c>
      <x:c r="C6457" s="18" t="n">
        <x:v>10799</x:v>
      </x:c>
      <x:c r="D6457" s="18" t="n">
        <x:v>74680</x:v>
      </x:c>
      <x:c r="E6457" s="18" t="n">
        <x:v>6.07</x:v>
      </x:c>
      <x:c r="F6457" s="18" t="n">
        <x:v>9.73</x:v>
      </x:c>
      <x:c r="G6457" t="n">
        <x:v>60</x:v>
      </x:c>
      <x:c r="H6457" t="str">
        <x:v>B</x:v>
      </x:c>
      <x:c r="I6457" t="str">
        <x:v>7-9 years</x:v>
      </x:c>
      <x:c r="J6457" t="str">
        <x:v>OWN</x:v>
      </x:c>
      <x:c r="K6457" t="str">
        <x:v>medical</x:v>
      </x:c>
      <x:c r="L6457" t="n">
        <x:v>0</x:v>
      </x:c>
      <x:c r="M6457" t="n">
        <x:v>0</x:v>
      </x:c>
      <x:c r="N6457" t="str">
        <x:v>Fully Paid</x:v>
      </x:c>
      <x:c r="O6457" t="str">
        <x:f>IF(D6457="","Unknown",IF(D6457&lt;25000,"&lt;$25k",IF(D6457&lt;50000,"$25k-$50k",IF(D6457&lt;75000,"$50k-$75k",IF(D6457&lt;100000,"$75k-$100k","$100k+")))))</x:f>
        <x:v>$50k-$75k</x:v>
      </x:c>
      <x:c r="P6457" t="str">
        <x:f>IF(E6457="","Unknown",IF(E6457&lt;10,"&lt;10",IF(E6457&lt;20,"10-&lt;20",IF(E6457&lt;25,"20-&lt;25",IF(E6457&lt;35,"25-&lt;35","35+")))))</x:f>
        <x:v>&lt;10</x:v>
      </x:c>
    </x:row>
    <x:row r="6458">
      <x:c r="A6458" t="str">
        <x:v>SYN0006457</x:v>
      </x:c>
      <x:c r="B6458" s="12" t="n">
        <x:v>43225</x:v>
      </x:c>
      <x:c r="C6458" s="18" t="n">
        <x:v>10595</x:v>
      </x:c>
      <x:c r="D6458" s="18" t="n">
        <x:v>52850</x:v>
      </x:c>
      <x:c r="E6458" s="18" t="n">
        <x:v>29.6</x:v>
      </x:c>
      <x:c r="F6458" s="18" t="n">
        <x:v>9.93</x:v>
      </x:c>
      <x:c r="G6458" t="n">
        <x:v>36</x:v>
      </x:c>
      <x:c r="H6458" t="str">
        <x:v>C</x:v>
      </x:c>
      <x:c r="I6458" t="str">
        <x:v>10+ years</x:v>
      </x:c>
      <x:c r="J6458" t="str">
        <x:v>RENT</x:v>
      </x:c>
      <x:c r="K6458" t="str">
        <x:v>debt_consolidation</x:v>
      </x:c>
      <x:c r="L6458" t="n">
        <x:v>2</x:v>
      </x:c>
      <x:c r="M6458" t="n">
        <x:v>0</x:v>
      </x:c>
      <x:c r="N6458" t="str">
        <x:v>Fully Paid</x:v>
      </x:c>
      <x:c r="O6458" t="str">
        <x:f>IF(D6458="","Unknown",IF(D6458&lt;25000,"&lt;$25k",IF(D6458&lt;50000,"$25k-$50k",IF(D6458&lt;75000,"$50k-$75k",IF(D6458&lt;100000,"$75k-$100k","$100k+")))))</x:f>
        <x:v>$50k-$75k</x:v>
      </x:c>
      <x:c r="P6458" t="str">
        <x:f>IF(E6458="","Unknown",IF(E6458&lt;10,"&lt;10",IF(E6458&lt;20,"10-&lt;20",IF(E6458&lt;25,"20-&lt;25",IF(E6458&lt;35,"25-&lt;35","35+")))))</x:f>
        <x:v>25-&lt;35</x:v>
      </x:c>
    </x:row>
    <x:row r="6459">
      <x:c r="A6459" t="str">
        <x:v>SYN0006458</x:v>
      </x:c>
      <x:c r="B6459" s="12" t="n">
        <x:v>43105</x:v>
      </x:c>
      <x:c r="C6459" s="18" t="n">
        <x:v>12302</x:v>
      </x:c>
      <x:c r="D6459" s="18" t="n">
        <x:v>90876</x:v>
      </x:c>
      <x:c r="E6459" s="18" t="n">
        <x:v>22.71</x:v>
      </x:c>
      <x:c r="F6459" s="18" t="n">
        <x:v>14.22</x:v>
      </x:c>
      <x:c r="G6459" t="n">
        <x:v>60</x:v>
      </x:c>
      <x:c r="H6459" t="str">
        <x:v>E</x:v>
      </x:c>
      <x:c r="I6459" t="str">
        <x:v>7-9 years</x:v>
      </x:c>
      <x:c r="J6459" t="str">
        <x:v>MORTGAGE</x:v>
      </x:c>
      <x:c r="K6459" t="str">
        <x:v>debt_consolidation</x:v>
      </x:c>
      <x:c r="L6459" t="n">
        <x:v>2</x:v>
      </x:c>
      <x:c r="M6459" t="n">
        <x:v>0</x:v>
      </x:c>
      <x:c r="N6459" t="str">
        <x:v>Fully Paid</x:v>
      </x:c>
      <x:c r="O6459" t="str">
        <x:f>IF(D6459="","Unknown",IF(D6459&lt;25000,"&lt;$25k",IF(D6459&lt;50000,"$25k-$50k",IF(D6459&lt;75000,"$50k-$75k",IF(D6459&lt;100000,"$75k-$100k","$100k+")))))</x:f>
        <x:v>$75k-$100k</x:v>
      </x:c>
      <x:c r="P6459" t="str">
        <x:f>IF(E6459="","Unknown",IF(E6459&lt;10,"&lt;10",IF(E6459&lt;20,"10-&lt;20",IF(E6459&lt;25,"20-&lt;25",IF(E6459&lt;35,"25-&lt;35","35+")))))</x:f>
        <x:v>20-&lt;25</x:v>
      </x:c>
    </x:row>
    <x:row r="6460">
      <x:c r="A6460" t="str">
        <x:v>SYN0006459</x:v>
      </x:c>
      <x:c r="B6460" s="12" t="n">
        <x:v>43315</x:v>
      </x:c>
      <x:c r="C6460" s="18" t="n">
        <x:v>18586</x:v>
      </x:c>
      <x:c r="D6460" s="18" t="n">
        <x:v>30599</x:v>
      </x:c>
      <x:c r="E6460" s="18" t="n">
        <x:v>22.79</x:v>
      </x:c>
      <x:c r="F6460" s="18" t="n">
        <x:v>12.15</x:v>
      </x:c>
      <x:c r="G6460" t="n">
        <x:v>36</x:v>
      </x:c>
      <x:c r="H6460" t="str">
        <x:v>C</x:v>
      </x:c>
      <x:c r="I6460" t="str">
        <x:v>7-9 years</x:v>
      </x:c>
      <x:c r="J6460" t="str">
        <x:v>OTHER</x:v>
      </x:c>
      <x:c r="K6460" t="str">
        <x:v>debt_consolidation</x:v>
      </x:c>
      <x:c r="L6460" t="n">
        <x:v>0</x:v>
      </x:c>
      <x:c r="M6460" t="n">
        <x:v>0</x:v>
      </x:c>
      <x:c r="N6460" t="str">
        <x:v>Fully Paid</x:v>
      </x:c>
      <x:c r="O6460" t="str">
        <x:f>IF(D6460="","Unknown",IF(D6460&lt;25000,"&lt;$25k",IF(D6460&lt;50000,"$25k-$50k",IF(D6460&lt;75000,"$50k-$75k",IF(D6460&lt;100000,"$75k-$100k","$100k+")))))</x:f>
        <x:v>$25k-$50k</x:v>
      </x:c>
      <x:c r="P6460" t="str">
        <x:f>IF(E6460="","Unknown",IF(E6460&lt;10,"&lt;10",IF(E6460&lt;20,"10-&lt;20",IF(E6460&lt;25,"20-&lt;25",IF(E6460&lt;35,"25-&lt;35","35+")))))</x:f>
        <x:v>20-&lt;25</x:v>
      </x:c>
    </x:row>
    <x:row r="6461">
      <x:c r="A6461" t="str">
        <x:v>SYN0006460</x:v>
      </x:c>
      <x:c r="B6461" s="12" t="n">
        <x:v>41755</x:v>
      </x:c>
      <x:c r="C6461" s="18" t="n">
        <x:v>7814</x:v>
      </x:c>
      <x:c r="D6461" s="18" t="n">
        <x:v>54736</x:v>
      </x:c>
      <x:c r="E6461" s="18" t="n">
        <x:v>16.92</x:v>
      </x:c>
      <x:c r="F6461" s="18" t="n">
        <x:v>9.69</x:v>
      </x:c>
      <x:c r="G6461" t="n">
        <x:v>36</x:v>
      </x:c>
      <x:c r="H6461" t="str">
        <x:v>B</x:v>
      </x:c>
      <x:c r="I6461" t="str">
        <x:v>1-3 years</x:v>
      </x:c>
      <x:c r="J6461" t="str">
        <x:v>RENT</x:v>
      </x:c>
      <x:c r="K6461" t="str">
        <x:v>credit_card</x:v>
      </x:c>
      <x:c r="L6461" t="n">
        <x:v>0</x:v>
      </x:c>
      <x:c r="M6461" t="n">
        <x:v>0</x:v>
      </x:c>
      <x:c r="N6461" t="str">
        <x:v>Fully Paid</x:v>
      </x:c>
      <x:c r="O6461" t="str">
        <x:f>IF(D6461="","Unknown",IF(D6461&lt;25000,"&lt;$25k",IF(D6461&lt;50000,"$25k-$50k",IF(D6461&lt;75000,"$50k-$75k",IF(D6461&lt;100000,"$75k-$100k","$100k+")))))</x:f>
        <x:v>$50k-$75k</x:v>
      </x:c>
      <x:c r="P6461" t="str">
        <x:f>IF(E6461="","Unknown",IF(E6461&lt;10,"&lt;10",IF(E6461&lt;20,"10-&lt;20",IF(E6461&lt;25,"20-&lt;25",IF(E6461&lt;35,"25-&lt;35","35+")))))</x:f>
        <x:v>10-&lt;20</x:v>
      </x:c>
    </x:row>
    <x:row r="6462">
      <x:c r="A6462" t="str">
        <x:v>SYN0006461</x:v>
      </x:c>
      <x:c r="B6462" s="12" t="n">
        <x:v>42115</x:v>
      </x:c>
      <x:c r="C6462" s="18" t="n">
        <x:v>22607</x:v>
      </x:c>
      <x:c r="D6462" s="18" t="n">
        <x:v>16100</x:v>
      </x:c>
      <x:c r="E6462" s="18" t="n">
        <x:v>21.6</x:v>
      </x:c>
      <x:c r="F6462" s="18" t="n">
        <x:v>9.82</x:v>
      </x:c>
      <x:c r="G6462" t="n">
        <x:v>36</x:v>
      </x:c>
      <x:c r="H6462" t="str">
        <x:v>B</x:v>
      </x:c>
      <x:c r="I6462" t="str">
        <x:v>10+ years</x:v>
      </x:c>
      <x:c r="J6462" t="str">
        <x:v>OWN</x:v>
      </x:c>
      <x:c r="K6462" t="str">
        <x:v>debt_consolidation</x:v>
      </x:c>
      <x:c r="L6462" t="n">
        <x:v>0</x:v>
      </x:c>
      <x:c r="M6462" t="n">
        <x:v>0</x:v>
      </x:c>
      <x:c r="N6462" t="str">
        <x:v>Fully Paid</x:v>
      </x:c>
      <x:c r="O6462" t="str">
        <x:f>IF(D6462="","Unknown",IF(D6462&lt;25000,"&lt;$25k",IF(D6462&lt;50000,"$25k-$50k",IF(D6462&lt;75000,"$50k-$75k",IF(D6462&lt;100000,"$75k-$100k","$100k+")))))</x:f>
        <x:v>&lt;$25k</x:v>
      </x:c>
      <x:c r="P6462" t="str">
        <x:f>IF(E6462="","Unknown",IF(E6462&lt;10,"&lt;10",IF(E6462&lt;20,"10-&lt;20",IF(E6462&lt;25,"20-&lt;25",IF(E6462&lt;35,"25-&lt;35","35+")))))</x:f>
        <x:v>20-&lt;25</x:v>
      </x:c>
    </x:row>
    <x:row r="6463">
      <x:c r="A6463" t="str">
        <x:v>SYN0006462</x:v>
      </x:c>
      <x:c r="B6463" s="12" t="n">
        <x:v>43135</x:v>
      </x:c>
      <x:c r="C6463" s="18" t="n">
        <x:v>6523</x:v>
      </x:c>
      <x:c r="D6463" s="18" t="n">
        <x:v>122956</x:v>
      </x:c>
      <x:c r="E6463" s="18" t="n">
        <x:v>28.22</x:v>
      </x:c>
      <x:c r="F6463" s="18" t="n">
        <x:v>12.79</x:v>
      </x:c>
      <x:c r="G6463" t="n">
        <x:v>36</x:v>
      </x:c>
      <x:c r="H6463" t="str">
        <x:v>D</x:v>
      </x:c>
      <x:c r="I6463" t="str">
        <x:v>10+ years</x:v>
      </x:c>
      <x:c r="J6463" t="str">
        <x:v>MORTGAGE</x:v>
      </x:c>
      <x:c r="K6463" t="str">
        <x:v>major_purchase</x:v>
      </x:c>
      <x:c r="L6463" t="n">
        <x:v>0</x:v>
      </x:c>
      <x:c r="M6463" t="n">
        <x:v>0</x:v>
      </x:c>
      <x:c r="N6463" t="str">
        <x:v>Fully Paid</x:v>
      </x:c>
      <x:c r="O6463" t="str">
        <x:f>IF(D6463="","Unknown",IF(D6463&lt;25000,"&lt;$25k",IF(D6463&lt;50000,"$25k-$50k",IF(D6463&lt;75000,"$50k-$75k",IF(D6463&lt;100000,"$75k-$100k","$100k+")))))</x:f>
        <x:v>$100k+</x:v>
      </x:c>
      <x:c r="P6463" t="str">
        <x:f>IF(E6463="","Unknown",IF(E6463&lt;10,"&lt;10",IF(E6463&lt;20,"10-&lt;20",IF(E6463&lt;25,"20-&lt;25",IF(E6463&lt;35,"25-&lt;35","35+")))))</x:f>
        <x:v>25-&lt;35</x:v>
      </x:c>
    </x:row>
    <x:row r="6464">
      <x:c r="A6464" t="str">
        <x:v>SYN0006463</x:v>
      </x:c>
      <x:c r="B6464" s="12" t="n">
        <x:v>41365</x:v>
      </x:c>
      <x:c r="C6464" s="18" t="n">
        <x:v>10109</x:v>
      </x:c>
      <x:c r="D6464" s="18" t="n">
        <x:v>91153</x:v>
      </x:c>
      <x:c r="E6464" s="18" t="n">
        <x:v>7.59</x:v>
      </x:c>
      <x:c r="F6464" s="18" t="n">
        <x:v>16.17</x:v>
      </x:c>
      <x:c r="G6464" t="n">
        <x:v>60</x:v>
      </x:c>
      <x:c r="H6464" t="str">
        <x:v>D</x:v>
      </x:c>
      <x:c r="I6464" t="str">
        <x:v>10+ years</x:v>
      </x:c>
      <x:c r="J6464" t="str">
        <x:v>MORTGAGE</x:v>
      </x:c>
      <x:c r="K6464" t="str">
        <x:v>debt_consolidation</x:v>
      </x:c>
      <x:c r="L6464" t="n">
        <x:v>0</x:v>
      </x:c>
      <x:c r="M6464" t="n">
        <x:v>0</x:v>
      </x:c>
      <x:c r="N6464" t="str">
        <x:v>Fully Paid</x:v>
      </x:c>
      <x:c r="O6464" t="str">
        <x:f>IF(D6464="","Unknown",IF(D6464&lt;25000,"&lt;$25k",IF(D6464&lt;50000,"$25k-$50k",IF(D6464&lt;75000,"$50k-$75k",IF(D6464&lt;100000,"$75k-$100k","$100k+")))))</x:f>
        <x:v>$75k-$100k</x:v>
      </x:c>
      <x:c r="P6464" t="str">
        <x:f>IF(E6464="","Unknown",IF(E6464&lt;10,"&lt;10",IF(E6464&lt;20,"10-&lt;20",IF(E6464&lt;25,"20-&lt;25",IF(E6464&lt;35,"25-&lt;35","35+")))))</x:f>
        <x:v>&lt;10</x:v>
      </x:c>
    </x:row>
    <x:row r="6465">
      <x:c r="A6465" t="str">
        <x:v>SYN0006464</x:v>
      </x:c>
      <x:c r="B6465" s="12" t="n">
        <x:v>42325</x:v>
      </x:c>
      <x:c r="C6465" s="18" t="n">
        <x:v>21782</x:v>
      </x:c>
      <x:c r="D6465" s="18" t="n">
        <x:v>60586</x:v>
      </x:c>
      <x:c r="E6465" s="18" t="n">
        <x:v>31.46</x:v>
      </x:c>
      <x:c r="F6465" s="18" t="n">
        <x:v>24.72</x:v>
      </x:c>
      <x:c r="G6465" t="n">
        <x:v>36</x:v>
      </x:c>
      <x:c r="H6465" t="str">
        <x:v>G</x:v>
      </x:c>
      <x:c r="I6465" t="str">
        <x:v>1-3 years</x:v>
      </x:c>
      <x:c r="J6465" t="str">
        <x:v>OWN</x:v>
      </x:c>
      <x:c r="K6465" t="str">
        <x:v>debt_consolidation</x:v>
      </x:c>
      <x:c r="L6465" t="n">
        <x:v>1</x:v>
      </x:c>
      <x:c r="M6465" t="n">
        <x:v>0</x:v>
      </x:c>
      <x:c r="N6465" t="str">
        <x:v>Fully Paid</x:v>
      </x:c>
      <x:c r="O6465" t="str">
        <x:f>IF(D6465="","Unknown",IF(D6465&lt;25000,"&lt;$25k",IF(D6465&lt;50000,"$25k-$50k",IF(D6465&lt;75000,"$50k-$75k",IF(D6465&lt;100000,"$75k-$100k","$100k+")))))</x:f>
        <x:v>$50k-$75k</x:v>
      </x:c>
      <x:c r="P6465" t="str">
        <x:f>IF(E6465="","Unknown",IF(E6465&lt;10,"&lt;10",IF(E6465&lt;20,"10-&lt;20",IF(E6465&lt;25,"20-&lt;25",IF(E6465&lt;35,"25-&lt;35","35+")))))</x:f>
        <x:v>25-&lt;35</x:v>
      </x:c>
    </x:row>
    <x:row r="6466">
      <x:c r="A6466" t="str">
        <x:v>SYN0006465</x:v>
      </x:c>
      <x:c r="B6466" s="12" t="n">
        <x:v>41935</x:v>
      </x:c>
      <x:c r="C6466" s="18" t="n">
        <x:v>11463</x:v>
      </x:c>
      <x:c r="D6466" s="18" t="n">
        <x:v>43297</x:v>
      </x:c>
      <x:c r="E6466" s="18" t="n">
        <x:v>8.77</x:v>
      </x:c>
      <x:c r="F6466" s="18" t="n">
        <x:v>6.21</x:v>
      </x:c>
      <x:c r="G6466" t="n">
        <x:v>60</x:v>
      </x:c>
      <x:c r="H6466" t="str">
        <x:v>A</x:v>
      </x:c>
      <x:c r="I6466" t="str">
        <x:v>&lt;1 year</x:v>
      </x:c>
      <x:c r="J6466" t="str">
        <x:v>OWN</x:v>
      </x:c>
      <x:c r="K6466" t="str">
        <x:v>debt_consolidation</x:v>
      </x:c>
      <x:c r="L6466" t="n">
        <x:v>1</x:v>
      </x:c>
      <x:c r="M6466" t="n">
        <x:v>0</x:v>
      </x:c>
      <x:c r="N6466" t="str">
        <x:v>Fully Paid</x:v>
      </x:c>
      <x:c r="O6466" t="str">
        <x:f>IF(D6466="","Unknown",IF(D6466&lt;25000,"&lt;$25k",IF(D6466&lt;50000,"$25k-$50k",IF(D6466&lt;75000,"$50k-$75k",IF(D6466&lt;100000,"$75k-$100k","$100k+")))))</x:f>
        <x:v>$25k-$50k</x:v>
      </x:c>
      <x:c r="P6466" t="str">
        <x:f>IF(E6466="","Unknown",IF(E6466&lt;10,"&lt;10",IF(E6466&lt;20,"10-&lt;20",IF(E6466&lt;25,"20-&lt;25",IF(E6466&lt;35,"25-&lt;35","35+")))))</x:f>
        <x:v>&lt;10</x:v>
      </x:c>
    </x:row>
    <x:row r="6467">
      <x:c r="A6467" t="str">
        <x:v>SYN0006466</x:v>
      </x:c>
      <x:c r="B6467" s="12" t="n">
        <x:v>42535</x:v>
      </x:c>
      <x:c r="C6467" s="18" t="n">
        <x:v>25918</x:v>
      </x:c>
      <x:c r="D6467" s="18" t="n">
        <x:v>86704</x:v>
      </x:c>
      <x:c r="E6467" s="18" t="n">
        <x:v>21.51</x:v>
      </x:c>
      <x:c r="F6467" s="18" t="n">
        <x:v>13.85</x:v>
      </x:c>
      <x:c r="G6467" t="n">
        <x:v>36</x:v>
      </x:c>
      <x:c r="H6467" t="str">
        <x:v>D</x:v>
      </x:c>
      <x:c r="I6467" t="str">
        <x:v>10+ years</x:v>
      </x:c>
      <x:c r="J6467" t="str">
        <x:v>OWN</x:v>
      </x:c>
      <x:c r="K6467" t="str">
        <x:v>home_improvement</x:v>
      </x:c>
      <x:c r="L6467" t="n">
        <x:v>2</x:v>
      </x:c>
      <x:c r="M6467" t="n">
        <x:v>0</x:v>
      </x:c>
      <x:c r="N6467" t="str">
        <x:v>Fully Paid</x:v>
      </x:c>
      <x:c r="O6467" t="str">
        <x:f>IF(D6467="","Unknown",IF(D6467&lt;25000,"&lt;$25k",IF(D6467&lt;50000,"$25k-$50k",IF(D6467&lt;75000,"$50k-$75k",IF(D6467&lt;100000,"$75k-$100k","$100k+")))))</x:f>
        <x:v>$75k-$100k</x:v>
      </x:c>
      <x:c r="P6467" t="str">
        <x:f>IF(E6467="","Unknown",IF(E6467&lt;10,"&lt;10",IF(E6467&lt;20,"10-&lt;20",IF(E6467&lt;25,"20-&lt;25",IF(E6467&lt;35,"25-&lt;35","35+")))))</x:f>
        <x:v>20-&lt;25</x:v>
      </x:c>
    </x:row>
    <x:row r="6468">
      <x:c r="A6468" t="str">
        <x:v>SYN0006467</x:v>
      </x:c>
      <x:c r="B6468" s="12" t="n">
        <x:v>42985</x:v>
      </x:c>
      <x:c r="C6468" s="18" t="n">
        <x:v>10369</x:v>
      </x:c>
      <x:c r="D6468" s="18" t="n">
        <x:v>69269</x:v>
      </x:c>
      <x:c r="E6468" s="18" t="n">
        <x:v>20.1</x:v>
      </x:c>
      <x:c r="F6468" s="18" t="n">
        <x:v>9.71</x:v>
      </x:c>
      <x:c r="G6468" t="n">
        <x:v>36</x:v>
      </x:c>
      <x:c r="H6468" t="str">
        <x:v>B</x:v>
      </x:c>
      <x:c r="I6468" t="str">
        <x:v>4-6 years</x:v>
      </x:c>
      <x:c r="J6468" t="str">
        <x:v>RENT</x:v>
      </x:c>
      <x:c r="K6468" t="str">
        <x:v>medical</x:v>
      </x:c>
      <x:c r="L6468" t="n">
        <x:v>0</x:v>
      </x:c>
      <x:c r="M6468" t="n">
        <x:v>0</x:v>
      </x:c>
      <x:c r="N6468" t="str">
        <x:v>Fully Paid</x:v>
      </x:c>
      <x:c r="O6468" t="str">
        <x:f>IF(D6468="","Unknown",IF(D6468&lt;25000,"&lt;$25k",IF(D6468&lt;50000,"$25k-$50k",IF(D6468&lt;75000,"$50k-$75k",IF(D6468&lt;100000,"$75k-$100k","$100k+")))))</x:f>
        <x:v>$50k-$75k</x:v>
      </x:c>
      <x:c r="P6468" t="str">
        <x:f>IF(E6468="","Unknown",IF(E6468&lt;10,"&lt;10",IF(E6468&lt;20,"10-&lt;20",IF(E6468&lt;25,"20-&lt;25",IF(E6468&lt;35,"25-&lt;35","35+")))))</x:f>
        <x:v>20-&lt;25</x:v>
      </x:c>
    </x:row>
    <x:row r="6469">
      <x:c r="A6469" t="str">
        <x:v>SYN0006468</x:v>
      </x:c>
      <x:c r="B6469" s="12" t="n">
        <x:v>41665</x:v>
      </x:c>
      <x:c r="C6469" s="18" t="n">
        <x:v>10115</x:v>
      </x:c>
      <x:c r="D6469" s="18" t="n">
        <x:v>65921</x:v>
      </x:c>
      <x:c r="E6469" s="18" t="n">
        <x:v>16.81</x:v>
      </x:c>
      <x:c r="F6469" s="18" t="n">
        <x:v>25.45</x:v>
      </x:c>
      <x:c r="G6469" t="n">
        <x:v>36</x:v>
      </x:c>
      <x:c r="H6469" t="str">
        <x:v>G</x:v>
      </x:c>
      <x:c r="I6469" t="str">
        <x:v>1-3 years</x:v>
      </x:c>
      <x:c r="J6469" t="str">
        <x:v>MORTGAGE</x:v>
      </x:c>
      <x:c r="K6469" t="str">
        <x:v>home_improvement</x:v>
      </x:c>
      <x:c r="L6469" t="n">
        <x:v>1</x:v>
      </x:c>
      <x:c r="M6469" t="n">
        <x:v>0</x:v>
      </x:c>
      <x:c r="N6469" t="str">
        <x:v>Fully Paid</x:v>
      </x:c>
      <x:c r="O6469" t="str">
        <x:f>IF(D6469="","Unknown",IF(D6469&lt;25000,"&lt;$25k",IF(D6469&lt;50000,"$25k-$50k",IF(D6469&lt;75000,"$50k-$75k",IF(D6469&lt;100000,"$75k-$100k","$100k+")))))</x:f>
        <x:v>$50k-$75k</x:v>
      </x:c>
      <x:c r="P6469" t="str">
        <x:f>IF(E6469="","Unknown",IF(E6469&lt;10,"&lt;10",IF(E6469&lt;20,"10-&lt;20",IF(E6469&lt;25,"20-&lt;25",IF(E6469&lt;35,"25-&lt;35","35+")))))</x:f>
        <x:v>10-&lt;20</x:v>
      </x:c>
    </x:row>
    <x:row r="6470">
      <x:c r="A6470" t="str">
        <x:v>SYN0006469</x:v>
      </x:c>
      <x:c r="B6470" s="12" t="n">
        <x:v>42835</x:v>
      </x:c>
      <x:c r="C6470" s="18" t="n">
        <x:v>5398</x:v>
      </x:c>
      <x:c r="D6470" s="18" t="n">
        <x:v>75549</x:v>
      </x:c>
      <x:c r="E6470" s="18" t="n">
        <x:v>31.32</x:v>
      </x:c>
      <x:c r="F6470" s="18" t="n">
        <x:v>17.28</x:v>
      </x:c>
      <x:c r="G6470" t="n">
        <x:v>60</x:v>
      </x:c>
      <x:c r="H6470" t="str">
        <x:v>E</x:v>
      </x:c>
      <x:c r="I6470" t="str">
        <x:v>10+ years</x:v>
      </x:c>
      <x:c r="J6470" t="str">
        <x:v>RENT</x:v>
      </x:c>
      <x:c r="K6470" t="str">
        <x:v>credit_card</x:v>
      </x:c>
      <x:c r="L6470" t="n">
        <x:v>0</x:v>
      </x:c>
      <x:c r="M6470" t="n">
        <x:v>0</x:v>
      </x:c>
      <x:c r="N6470" t="str">
        <x:v>Fully Paid</x:v>
      </x:c>
      <x:c r="O6470" t="str">
        <x:f>IF(D6470="","Unknown",IF(D6470&lt;25000,"&lt;$25k",IF(D6470&lt;50000,"$25k-$50k",IF(D6470&lt;75000,"$50k-$75k",IF(D6470&lt;100000,"$75k-$100k","$100k+")))))</x:f>
        <x:v>$75k-$100k</x:v>
      </x:c>
      <x:c r="P6470" t="str">
        <x:f>IF(E6470="","Unknown",IF(E6470&lt;10,"&lt;10",IF(E6470&lt;20,"10-&lt;20",IF(E6470&lt;25,"20-&lt;25",IF(E6470&lt;35,"25-&lt;35","35+")))))</x:f>
        <x:v>25-&lt;35</x:v>
      </x:c>
    </x:row>
    <x:row r="6471">
      <x:c r="A6471" t="str">
        <x:v>SYN0006470</x:v>
      </x:c>
      <x:c r="B6471" s="12" t="n">
        <x:v>41695</x:v>
      </x:c>
      <x:c r="C6471" s="18" t="n">
        <x:v>12336</x:v>
      </x:c>
      <x:c r="D6471" s="18" t="n">
        <x:v>21092</x:v>
      </x:c>
      <x:c r="E6471" s="18" t="n">
        <x:v>25.52</x:v>
      </x:c>
      <x:c r="F6471" s="18" t="n">
        <x:v>9.08</x:v>
      </x:c>
      <x:c r="G6471" t="n">
        <x:v>60</x:v>
      </x:c>
      <x:c r="H6471" t="str">
        <x:v>B</x:v>
      </x:c>
      <x:c r="I6471" t="str">
        <x:v>10+ years</x:v>
      </x:c>
      <x:c r="J6471" t="str">
        <x:v>MORTGAGE</x:v>
      </x:c>
      <x:c r="K6471" t="str">
        <x:v>debt_consolidation</x:v>
      </x:c>
      <x:c r="L6471" t="n">
        <x:v>0</x:v>
      </x:c>
      <x:c r="M6471" t="n">
        <x:v>0</x:v>
      </x:c>
      <x:c r="N6471" t="str">
        <x:v>Fully Paid</x:v>
      </x:c>
      <x:c r="O6471" t="str">
        <x:f>IF(D6471="","Unknown",IF(D6471&lt;25000,"&lt;$25k",IF(D6471&lt;50000,"$25k-$50k",IF(D6471&lt;75000,"$50k-$75k",IF(D6471&lt;100000,"$75k-$100k","$100k+")))))</x:f>
        <x:v>&lt;$25k</x:v>
      </x:c>
      <x:c r="P6471" t="str">
        <x:f>IF(E6471="","Unknown",IF(E6471&lt;10,"&lt;10",IF(E6471&lt;20,"10-&lt;20",IF(E6471&lt;25,"20-&lt;25",IF(E6471&lt;35,"25-&lt;35","35+")))))</x:f>
        <x:v>25-&lt;35</x:v>
      </x:c>
    </x:row>
    <x:row r="6472">
      <x:c r="A6472" t="str">
        <x:v>SYN0006471</x:v>
      </x:c>
      <x:c r="B6472" s="12" t="n">
        <x:v>42625</x:v>
      </x:c>
      <x:c r="C6472" s="18" t="n">
        <x:v>11305</x:v>
      </x:c>
      <x:c r="D6472" s="18" t="n">
        <x:v>27040</x:v>
      </x:c>
      <x:c r="E6472" s="18" t="n">
        <x:v>12.73</x:v>
      </x:c>
      <x:c r="F6472" s="18" t="n">
        <x:v>9.59</x:v>
      </x:c>
      <x:c r="G6472" t="n">
        <x:v>36</x:v>
      </x:c>
      <x:c r="H6472" t="str">
        <x:v>B</x:v>
      </x:c>
      <x:c r="I6472" t="str">
        <x:v>4-6 years</x:v>
      </x:c>
      <x:c r="J6472" t="str">
        <x:v>MORTGAGE</x:v>
      </x:c>
      <x:c r="K6472" t="str">
        <x:v>debt_consolidation</x:v>
      </x:c>
      <x:c r="L6472" t="n">
        <x:v>0</x:v>
      </x:c>
      <x:c r="M6472" t="n">
        <x:v>1</x:v>
      </x:c>
      <x:c r="N6472" t="str">
        <x:v>Charged Off</x:v>
      </x:c>
      <x:c r="O6472" t="str">
        <x:f>IF(D6472="","Unknown",IF(D6472&lt;25000,"&lt;$25k",IF(D6472&lt;50000,"$25k-$50k",IF(D6472&lt;75000,"$50k-$75k",IF(D6472&lt;100000,"$75k-$100k","$100k+")))))</x:f>
        <x:v>$25k-$50k</x:v>
      </x:c>
      <x:c r="P6472" t="str">
        <x:f>IF(E6472="","Unknown",IF(E6472&lt;10,"&lt;10",IF(E6472&lt;20,"10-&lt;20",IF(E6472&lt;25,"20-&lt;25",IF(E6472&lt;35,"25-&lt;35","35+")))))</x:f>
        <x:v>10-&lt;20</x:v>
      </x:c>
    </x:row>
    <x:row r="6473">
      <x:c r="A6473" t="str">
        <x:v>SYN0006472</x:v>
      </x:c>
      <x:c r="B6473" s="12" t="n">
        <x:v>43255</x:v>
      </x:c>
      <x:c r="C6473" s="18" t="n">
        <x:v>13359</x:v>
      </x:c>
      <x:c r="D6473" s="18" t="n">
        <x:v>28764</x:v>
      </x:c>
      <x:c r="E6473" s="18" t="n">
        <x:v>13.65</x:v>
      </x:c>
      <x:c r="F6473" s="18" t="n">
        <x:v>10.49</x:v>
      </x:c>
      <x:c r="G6473" t="n">
        <x:v>36</x:v>
      </x:c>
      <x:c r="H6473" t="str">
        <x:v>C</x:v>
      </x:c>
      <x:c r="I6473" t="str">
        <x:v>4-6 years</x:v>
      </x:c>
      <x:c r="J6473" t="str">
        <x:v>MORTGAGE</x:v>
      </x:c>
      <x:c r="K6473" t="str">
        <x:v>debt_consolidation</x:v>
      </x:c>
      <x:c r="L6473" t="n">
        <x:v>0</x:v>
      </x:c>
      <x:c r="M6473" t="n">
        <x:v>0</x:v>
      </x:c>
      <x:c r="N6473" t="str">
        <x:v>Fully Paid</x:v>
      </x:c>
      <x:c r="O6473" t="str">
        <x:f>IF(D6473="","Unknown",IF(D6473&lt;25000,"&lt;$25k",IF(D6473&lt;50000,"$25k-$50k",IF(D6473&lt;75000,"$50k-$75k",IF(D6473&lt;100000,"$75k-$100k","$100k+")))))</x:f>
        <x:v>$25k-$50k</x:v>
      </x:c>
      <x:c r="P6473" t="str">
        <x:f>IF(E6473="","Unknown",IF(E6473&lt;10,"&lt;10",IF(E6473&lt;20,"10-&lt;20",IF(E6473&lt;25,"20-&lt;25",IF(E6473&lt;35,"25-&lt;35","35+")))))</x:f>
        <x:v>10-&lt;20</x:v>
      </x:c>
    </x:row>
    <x:row r="6474">
      <x:c r="A6474" t="str">
        <x:v>SYN0006473</x:v>
      </x:c>
      <x:c r="B6474" s="12" t="n">
        <x:v>41515</x:v>
      </x:c>
      <x:c r="C6474" s="18" t="n">
        <x:v>6606</x:v>
      </x:c>
      <x:c r="D6474" s="18" t="n">
        <x:v>52462</x:v>
      </x:c>
      <x:c r="E6474" s="18" t="n">
        <x:v>32.81</x:v>
      </x:c>
      <x:c r="F6474" s="18" t="n">
        <x:v>19.32</x:v>
      </x:c>
      <x:c r="G6474" t="n">
        <x:v>60</x:v>
      </x:c>
      <x:c r="H6474" t="str">
        <x:v>E</x:v>
      </x:c>
      <x:c r="I6474" t="str">
        <x:v>7-9 years</x:v>
      </x:c>
      <x:c r="J6474" t="str">
        <x:v>MORTGAGE</x:v>
      </x:c>
      <x:c r="K6474" t="str">
        <x:v>debt_consolidation</x:v>
      </x:c>
      <x:c r="L6474" t="n">
        <x:v>1</x:v>
      </x:c>
      <x:c r="M6474" t="n">
        <x:v>0</x:v>
      </x:c>
      <x:c r="N6474" t="str">
        <x:v>Fully Paid</x:v>
      </x:c>
      <x:c r="O6474" t="str">
        <x:f>IF(D6474="","Unknown",IF(D6474&lt;25000,"&lt;$25k",IF(D6474&lt;50000,"$25k-$50k",IF(D6474&lt;75000,"$50k-$75k",IF(D6474&lt;100000,"$75k-$100k","$100k+")))))</x:f>
        <x:v>$50k-$75k</x:v>
      </x:c>
      <x:c r="P6474" t="str">
        <x:f>IF(E6474="","Unknown",IF(E6474&lt;10,"&lt;10",IF(E6474&lt;20,"10-&lt;20",IF(E6474&lt;25,"20-&lt;25",IF(E6474&lt;35,"25-&lt;35","35+")))))</x:f>
        <x:v>25-&lt;35</x:v>
      </x:c>
    </x:row>
    <x:row r="6475">
      <x:c r="A6475" t="str">
        <x:v>SYN0006474</x:v>
      </x:c>
      <x:c r="B6475" s="12" t="n">
        <x:v>41935</x:v>
      </x:c>
      <x:c r="C6475" s="18" t="n">
        <x:v>9057</x:v>
      </x:c>
      <x:c r="D6475" s="18" t="n">
        <x:v>33055</x:v>
      </x:c>
      <x:c r="E6475" s="18" t="n">
        <x:v>7.68</x:v>
      </x:c>
      <x:c r="F6475" s="18" t="n">
        <x:v>7.93</x:v>
      </x:c>
      <x:c r="G6475" t="n">
        <x:v>36</x:v>
      </x:c>
      <x:c r="H6475" t="str">
        <x:v>A</x:v>
      </x:c>
      <x:c r="I6475" t="str">
        <x:v>10+ years</x:v>
      </x:c>
      <x:c r="J6475" t="str">
        <x:v>OWN</x:v>
      </x:c>
      <x:c r="K6475" t="str">
        <x:v>debt_consolidation</x:v>
      </x:c>
      <x:c r="L6475" t="n">
        <x:v>1</x:v>
      </x:c>
      <x:c r="M6475" t="n">
        <x:v>0</x:v>
      </x:c>
      <x:c r="N6475" t="str">
        <x:v>Fully Paid</x:v>
      </x:c>
      <x:c r="O6475" t="str">
        <x:f>IF(D6475="","Unknown",IF(D6475&lt;25000,"&lt;$25k",IF(D6475&lt;50000,"$25k-$50k",IF(D6475&lt;75000,"$50k-$75k",IF(D6475&lt;100000,"$75k-$100k","$100k+")))))</x:f>
        <x:v>$25k-$50k</x:v>
      </x:c>
      <x:c r="P6475" t="str">
        <x:f>IF(E6475="","Unknown",IF(E6475&lt;10,"&lt;10",IF(E6475&lt;20,"10-&lt;20",IF(E6475&lt;25,"20-&lt;25",IF(E6475&lt;35,"25-&lt;35","35+")))))</x:f>
        <x:v>&lt;10</x:v>
      </x:c>
    </x:row>
    <x:row r="6476">
      <x:c r="A6476" t="str">
        <x:v>SYN0006475</x:v>
      </x:c>
      <x:c r="B6476" s="12" t="n">
        <x:v>41515</x:v>
      </x:c>
      <x:c r="C6476" s="18" t="n">
        <x:v>20775</x:v>
      </x:c>
      <x:c r="D6476" s="18" t="n">
        <x:v>99615</x:v>
      </x:c>
      <x:c r="E6476" s="18" t="n">
        <x:v>8.78</x:v>
      </x:c>
      <x:c r="F6476" s="18" t="n">
        <x:v>16.75</x:v>
      </x:c>
      <x:c r="G6476" t="n">
        <x:v>60</x:v>
      </x:c>
      <x:c r="H6476" t="str">
        <x:v>D</x:v>
      </x:c>
      <x:c r="I6476" t="str">
        <x:v>1-3 years</x:v>
      </x:c>
      <x:c r="J6476" t="str">
        <x:v>RENT</x:v>
      </x:c>
      <x:c r="K6476" t="str">
        <x:v>home_improvement</x:v>
      </x:c>
      <x:c r="L6476" t="n">
        <x:v>2</x:v>
      </x:c>
      <x:c r="M6476" t="n">
        <x:v>0</x:v>
      </x:c>
      <x:c r="N6476" t="str">
        <x:v>Fully Paid</x:v>
      </x:c>
      <x:c r="O6476" t="str">
        <x:f>IF(D6476="","Unknown",IF(D6476&lt;25000,"&lt;$25k",IF(D6476&lt;50000,"$25k-$50k",IF(D6476&lt;75000,"$50k-$75k",IF(D6476&lt;100000,"$75k-$100k","$100k+")))))</x:f>
        <x:v>$75k-$100k</x:v>
      </x:c>
      <x:c r="P6476" t="str">
        <x:f>IF(E6476="","Unknown",IF(E6476&lt;10,"&lt;10",IF(E6476&lt;20,"10-&lt;20",IF(E6476&lt;25,"20-&lt;25",IF(E6476&lt;35,"25-&lt;35","35+")))))</x:f>
        <x:v>&lt;10</x:v>
      </x:c>
    </x:row>
    <x:row r="6477">
      <x:c r="A6477" t="str">
        <x:v>SYN0006476</x:v>
      </x:c>
      <x:c r="B6477" s="12" t="n">
        <x:v>43165</x:v>
      </x:c>
      <x:c r="C6477" s="18" t="n">
        <x:v>26385</x:v>
      </x:c>
      <x:c r="D6477" s="18" t="n">
        <x:v>31616</x:v>
      </x:c>
      <x:c r="E6477" s="18" t="n">
        <x:v>8.69</x:v>
      </x:c>
      <x:c r="F6477" s="18" t="n">
        <x:v>10</x:v>
      </x:c>
      <x:c r="G6477" t="n">
        <x:v>60</x:v>
      </x:c>
      <x:c r="H6477" t="str">
        <x:v>B</x:v>
      </x:c>
      <x:c r="I6477" t="str">
        <x:v>4-6 years</x:v>
      </x:c>
      <x:c r="J6477" t="str">
        <x:v>OWN</x:v>
      </x:c>
      <x:c r="K6477" t="str">
        <x:v>home_improvement</x:v>
      </x:c>
      <x:c r="L6477" t="n">
        <x:v>1</x:v>
      </x:c>
      <x:c r="M6477" t="n">
        <x:v>0</x:v>
      </x:c>
      <x:c r="N6477" t="str">
        <x:v>Fully Paid</x:v>
      </x:c>
      <x:c r="O6477" t="str">
        <x:f>IF(D6477="","Unknown",IF(D6477&lt;25000,"&lt;$25k",IF(D6477&lt;50000,"$25k-$50k",IF(D6477&lt;75000,"$50k-$75k",IF(D6477&lt;100000,"$75k-$100k","$100k+")))))</x:f>
        <x:v>$25k-$50k</x:v>
      </x:c>
      <x:c r="P6477" t="str">
        <x:f>IF(E6477="","Unknown",IF(E6477&lt;10,"&lt;10",IF(E6477&lt;20,"10-&lt;20",IF(E6477&lt;25,"20-&lt;25",IF(E6477&lt;35,"25-&lt;35","35+")))))</x:f>
        <x:v>&lt;10</x:v>
      </x:c>
    </x:row>
    <x:row r="6478">
      <x:c r="A6478" t="str">
        <x:v>SYN0006477</x:v>
      </x:c>
      <x:c r="B6478" s="12" t="n">
        <x:v>41275</x:v>
      </x:c>
      <x:c r="C6478" s="18" t="n">
        <x:v>24106</x:v>
      </x:c>
      <x:c r="D6478" s="18" t="n">
        <x:v>45579</x:v>
      </x:c>
      <x:c r="E6478" s="18" t="n">
        <x:v>26.23</x:v>
      </x:c>
      <x:c r="F6478" s="18" t="n">
        <x:v>10.22</x:v>
      </x:c>
      <x:c r="G6478" t="n">
        <x:v>60</x:v>
      </x:c>
      <x:c r="H6478" t="str">
        <x:v>C</x:v>
      </x:c>
      <x:c r="I6478" t="str">
        <x:v>10+ years</x:v>
      </x:c>
      <x:c r="J6478" t="str">
        <x:v>MORTGAGE</x:v>
      </x:c>
      <x:c r="K6478" t="str">
        <x:v>debt_consolidation</x:v>
      </x:c>
      <x:c r="L6478" t="n">
        <x:v>1</x:v>
      </x:c>
      <x:c r="M6478" t="n">
        <x:v>0</x:v>
      </x:c>
      <x:c r="N6478" t="str">
        <x:v>Fully Paid</x:v>
      </x:c>
      <x:c r="O6478" t="str">
        <x:f>IF(D6478="","Unknown",IF(D6478&lt;25000,"&lt;$25k",IF(D6478&lt;50000,"$25k-$50k",IF(D6478&lt;75000,"$50k-$75k",IF(D6478&lt;100000,"$75k-$100k","$100k+")))))</x:f>
        <x:v>$25k-$50k</x:v>
      </x:c>
      <x:c r="P6478" t="str">
        <x:f>IF(E6478="","Unknown",IF(E6478&lt;10,"&lt;10",IF(E6478&lt;20,"10-&lt;20",IF(E6478&lt;25,"20-&lt;25",IF(E6478&lt;35,"25-&lt;35","35+")))))</x:f>
        <x:v>25-&lt;35</x:v>
      </x:c>
    </x:row>
    <x:row r="6479">
      <x:c r="A6479" t="str">
        <x:v>SYN0006478</x:v>
      </x:c>
      <x:c r="B6479" s="12" t="n">
        <x:v>41545</x:v>
      </x:c>
      <x:c r="C6479" s="18" t="n">
        <x:v>12535</x:v>
      </x:c>
      <x:c r="D6479" s="18" t="n">
        <x:v>61172</x:v>
      </x:c>
      <x:c r="E6479" s="18" t="n">
        <x:v>28.49</x:v>
      </x:c>
      <x:c r="F6479" s="18" t="n">
        <x:v>10.96</x:v>
      </x:c>
      <x:c r="G6479" t="n">
        <x:v>60</x:v>
      </x:c>
      <x:c r="H6479" t="str">
        <x:v>C</x:v>
      </x:c>
      <x:c r="I6479" t="str">
        <x:v>4-6 years</x:v>
      </x:c>
      <x:c r="J6479" t="str">
        <x:v>RENT</x:v>
      </x:c>
      <x:c r="K6479" t="str">
        <x:v>major_purchase</x:v>
      </x:c>
      <x:c r="L6479" t="n">
        <x:v>0</x:v>
      </x:c>
      <x:c r="M6479" t="n">
        <x:v>0</x:v>
      </x:c>
      <x:c r="N6479" t="str">
        <x:v>Fully Paid</x:v>
      </x:c>
      <x:c r="O6479" t="str">
        <x:f>IF(D6479="","Unknown",IF(D6479&lt;25000,"&lt;$25k",IF(D6479&lt;50000,"$25k-$50k",IF(D6479&lt;75000,"$50k-$75k",IF(D6479&lt;100000,"$75k-$100k","$100k+")))))</x:f>
        <x:v>$50k-$75k</x:v>
      </x:c>
      <x:c r="P6479" t="str">
        <x:f>IF(E6479="","Unknown",IF(E6479&lt;10,"&lt;10",IF(E6479&lt;20,"10-&lt;20",IF(E6479&lt;25,"20-&lt;25",IF(E6479&lt;35,"25-&lt;35","35+")))))</x:f>
        <x:v>25-&lt;35</x:v>
      </x:c>
    </x:row>
    <x:row r="6480">
      <x:c r="A6480" t="str">
        <x:v>SYN0006479</x:v>
      </x:c>
      <x:c r="B6480" s="12" t="n">
        <x:v>41425</x:v>
      </x:c>
      <x:c r="C6480" s="18" t="n">
        <x:v>13425</x:v>
      </x:c>
      <x:c r="D6480" s="18" t="n">
        <x:v>45385</x:v>
      </x:c>
      <x:c r="E6480" s="18" t="n">
        <x:v>17.66</x:v>
      </x:c>
      <x:c r="F6480" s="18" t="n">
        <x:v>9.11</x:v>
      </x:c>
      <x:c r="G6480" t="n">
        <x:v>36</x:v>
      </x:c>
      <x:c r="H6480" t="str">
        <x:v>C</x:v>
      </x:c>
      <x:c r="I6480" t="str">
        <x:v>7-9 years</x:v>
      </x:c>
      <x:c r="J6480" t="str">
        <x:v>RENT</x:v>
      </x:c>
      <x:c r="K6480" t="str">
        <x:v>debt_consolidation</x:v>
      </x:c>
      <x:c r="L6480" t="n">
        <x:v>0</x:v>
      </x:c>
      <x:c r="M6480" t="n">
        <x:v>0</x:v>
      </x:c>
      <x:c r="N6480" t="str">
        <x:v>Fully Paid</x:v>
      </x:c>
      <x:c r="O6480" t="str">
        <x:f>IF(D6480="","Unknown",IF(D6480&lt;25000,"&lt;$25k",IF(D6480&lt;50000,"$25k-$50k",IF(D6480&lt;75000,"$50k-$75k",IF(D6480&lt;100000,"$75k-$100k","$100k+")))))</x:f>
        <x:v>$25k-$50k</x:v>
      </x:c>
      <x:c r="P6480" t="str">
        <x:f>IF(E6480="","Unknown",IF(E6480&lt;10,"&lt;10",IF(E6480&lt;20,"10-&lt;20",IF(E6480&lt;25,"20-&lt;25",IF(E6480&lt;35,"25-&lt;35","35+")))))</x:f>
        <x:v>10-&lt;20</x:v>
      </x:c>
    </x:row>
    <x:row r="6481">
      <x:c r="A6481" t="str">
        <x:v>SYN0006480</x:v>
      </x:c>
      <x:c r="B6481" s="12" t="n">
        <x:v>43315</x:v>
      </x:c>
      <x:c r="C6481" s="18" t="n">
        <x:v>12903</x:v>
      </x:c>
      <x:c r="D6481" s="18" t="n">
        <x:v>147180</x:v>
      </x:c>
      <x:c r="E6481" s="18" t="n">
        <x:v>17.87</x:v>
      </x:c>
      <x:c r="F6481" s="18" t="n">
        <x:v>8.07</x:v>
      </x:c>
      <x:c r="G6481" t="n">
        <x:v>36</x:v>
      </x:c>
      <x:c r="H6481" t="str">
        <x:v>B</x:v>
      </x:c>
      <x:c r="I6481" t="str">
        <x:v>1-3 years</x:v>
      </x:c>
      <x:c r="J6481" t="str">
        <x:v>MORTGAGE</x:v>
      </x:c>
      <x:c r="K6481" t="str">
        <x:v>credit_card</x:v>
      </x:c>
      <x:c r="L6481" t="n">
        <x:v>2</x:v>
      </x:c>
      <x:c r="M6481" t="n">
        <x:v>0</x:v>
      </x:c>
      <x:c r="N6481" t="str">
        <x:v>Fully Paid</x:v>
      </x:c>
      <x:c r="O6481" t="str">
        <x:f>IF(D6481="","Unknown",IF(D6481&lt;25000,"&lt;$25k",IF(D6481&lt;50000,"$25k-$50k",IF(D6481&lt;75000,"$50k-$75k",IF(D6481&lt;100000,"$75k-$100k","$100k+")))))</x:f>
        <x:v>$100k+</x:v>
      </x:c>
      <x:c r="P6481" t="str">
        <x:f>IF(E6481="","Unknown",IF(E6481&lt;10,"&lt;10",IF(E6481&lt;20,"10-&lt;20",IF(E6481&lt;25,"20-&lt;25",IF(E6481&lt;35,"25-&lt;35","35+")))))</x:f>
        <x:v>10-&lt;20</x:v>
      </x:c>
    </x:row>
    <x:row r="6482">
      <x:c r="A6482" t="str">
        <x:v>SYN0006481</x:v>
      </x:c>
      <x:c r="B6482" s="12" t="n">
        <x:v>42475</x:v>
      </x:c>
      <x:c r="C6482" s="18" t="n">
        <x:v>2835</x:v>
      </x:c>
      <x:c r="D6482" s="18" t="n">
        <x:v>35432</x:v>
      </x:c>
      <x:c r="E6482" s="18" t="n">
        <x:v>27.79</x:v>
      </x:c>
      <x:c r="F6482" s="18" t="n">
        <x:v>9.86</x:v>
      </x:c>
      <x:c r="G6482" t="n">
        <x:v>36</x:v>
      </x:c>
      <x:c r="H6482" t="str">
        <x:v>C</x:v>
      </x:c>
      <x:c r="I6482" t="str">
        <x:v>1-3 years</x:v>
      </x:c>
      <x:c r="J6482" t="str">
        <x:v>OWN</x:v>
      </x:c>
      <x:c r="K6482" t="str">
        <x:v>debt_consolidation</x:v>
      </x:c>
      <x:c r="L6482" t="n">
        <x:v>1</x:v>
      </x:c>
      <x:c r="M6482" t="n">
        <x:v>0</x:v>
      </x:c>
      <x:c r="N6482" t="str">
        <x:v>Fully Paid</x:v>
      </x:c>
      <x:c r="O6482" t="str">
        <x:f>IF(D6482="","Unknown",IF(D6482&lt;25000,"&lt;$25k",IF(D6482&lt;50000,"$25k-$50k",IF(D6482&lt;75000,"$50k-$75k",IF(D6482&lt;100000,"$75k-$100k","$100k+")))))</x:f>
        <x:v>$25k-$50k</x:v>
      </x:c>
      <x:c r="P6482" t="str">
        <x:f>IF(E6482="","Unknown",IF(E6482&lt;10,"&lt;10",IF(E6482&lt;20,"10-&lt;20",IF(E6482&lt;25,"20-&lt;25",IF(E6482&lt;35,"25-&lt;35","35+")))))</x:f>
        <x:v>25-&lt;35</x:v>
      </x:c>
    </x:row>
    <x:row r="6483">
      <x:c r="A6483" t="str">
        <x:v>SYN0006482</x:v>
      </x:c>
      <x:c r="B6483" s="12" t="n">
        <x:v>41485</x:v>
      </x:c>
      <x:c r="C6483" s="18" t="n">
        <x:v>10595</x:v>
      </x:c>
      <x:c r="D6483" s="18" t="n">
        <x:v>20791</x:v>
      </x:c>
      <x:c r="E6483" s="18" t="n">
        <x:v>26.65</x:v>
      </x:c>
      <x:c r="F6483" s="18" t="n">
        <x:v>7.94</x:v>
      </x:c>
      <x:c r="G6483" t="n">
        <x:v>60</x:v>
      </x:c>
      <x:c r="H6483" t="str">
        <x:v>A</x:v>
      </x:c>
      <x:c r="I6483" t="str">
        <x:v>4-6 years</x:v>
      </x:c>
      <x:c r="J6483" t="str">
        <x:v>MORTGAGE</x:v>
      </x:c>
      <x:c r="K6483" t="str">
        <x:v>medical</x:v>
      </x:c>
      <x:c r="L6483" t="n">
        <x:v>0</x:v>
      </x:c>
      <x:c r="M6483" t="n">
        <x:v>0</x:v>
      </x:c>
      <x:c r="N6483" t="str">
        <x:v>Fully Paid</x:v>
      </x:c>
      <x:c r="O6483" t="str">
        <x:f>IF(D6483="","Unknown",IF(D6483&lt;25000,"&lt;$25k",IF(D6483&lt;50000,"$25k-$50k",IF(D6483&lt;75000,"$50k-$75k",IF(D6483&lt;100000,"$75k-$100k","$100k+")))))</x:f>
        <x:v>&lt;$25k</x:v>
      </x:c>
      <x:c r="P6483" t="str">
        <x:f>IF(E6483="","Unknown",IF(E6483&lt;10,"&lt;10",IF(E6483&lt;20,"10-&lt;20",IF(E6483&lt;25,"20-&lt;25",IF(E6483&lt;35,"25-&lt;35","35+")))))</x:f>
        <x:v>25-&lt;35</x:v>
      </x:c>
    </x:row>
    <x:row r="6484">
      <x:c r="A6484" t="str">
        <x:v>SYN0006483</x:v>
      </x:c>
      <x:c r="B6484" s="12" t="n">
        <x:v>41575</x:v>
      </x:c>
      <x:c r="C6484" s="18" t="n">
        <x:v>8959</x:v>
      </x:c>
      <x:c r="D6484" s="18" t="n">
        <x:v>27356</x:v>
      </x:c>
      <x:c r="E6484" s="18" t="n">
        <x:v>34.85</x:v>
      </x:c>
      <x:c r="F6484" s="18" t="n">
        <x:v>16.96</x:v>
      </x:c>
      <x:c r="G6484" t="n">
        <x:v>36</x:v>
      </x:c>
      <x:c r="H6484" t="str">
        <x:v>D</x:v>
      </x:c>
      <x:c r="I6484" t="str">
        <x:v>1-3 years</x:v>
      </x:c>
      <x:c r="J6484" t="str">
        <x:v>MORTGAGE</x:v>
      </x:c>
      <x:c r="K6484" t="str">
        <x:v>home_improvement</x:v>
      </x:c>
      <x:c r="L6484" t="n">
        <x:v>0</x:v>
      </x:c>
      <x:c r="M6484" t="n">
        <x:v>0</x:v>
      </x:c>
      <x:c r="N6484" t="str">
        <x:v>Fully Paid</x:v>
      </x:c>
      <x:c r="O6484" t="str">
        <x:f>IF(D6484="","Unknown",IF(D6484&lt;25000,"&lt;$25k",IF(D6484&lt;50000,"$25k-$50k",IF(D6484&lt;75000,"$50k-$75k",IF(D6484&lt;100000,"$75k-$100k","$100k+")))))</x:f>
        <x:v>$25k-$50k</x:v>
      </x:c>
      <x:c r="P6484" t="str">
        <x:f>IF(E6484="","Unknown",IF(E6484&lt;10,"&lt;10",IF(E6484&lt;20,"10-&lt;20",IF(E6484&lt;25,"20-&lt;25",IF(E6484&lt;35,"25-&lt;35","35+")))))</x:f>
        <x:v>25-&lt;35</x:v>
      </x:c>
    </x:row>
    <x:row r="6485">
      <x:c r="A6485" t="str">
        <x:v>SYN0006484</x:v>
      </x:c>
      <x:c r="B6485" s="12" t="n">
        <x:v>42385</x:v>
      </x:c>
      <x:c r="C6485" s="18" t="n">
        <x:v>9467</x:v>
      </x:c>
      <x:c r="D6485" s="18" t="n">
        <x:v>33487</x:v>
      </x:c>
      <x:c r="E6485" s="18" t="n">
        <x:v>29.84</x:v>
      </x:c>
      <x:c r="F6485" s="18" t="n">
        <x:v>11.51</x:v>
      </x:c>
      <x:c r="G6485" t="n">
        <x:v>60</x:v>
      </x:c>
      <x:c r="H6485" t="str">
        <x:v>C</x:v>
      </x:c>
      <x:c r="I6485" t="str">
        <x:v>4-6 years</x:v>
      </x:c>
      <x:c r="J6485" t="str">
        <x:v>OTHER</x:v>
      </x:c>
      <x:c r="K6485" t="str">
        <x:v>major_purchase</x:v>
      </x:c>
      <x:c r="L6485" t="n">
        <x:v>0</x:v>
      </x:c>
      <x:c r="M6485" t="n">
        <x:v>0</x:v>
      </x:c>
      <x:c r="N6485" t="str">
        <x:v>Fully Paid</x:v>
      </x:c>
      <x:c r="O6485" t="str">
        <x:f>IF(D6485="","Unknown",IF(D6485&lt;25000,"&lt;$25k",IF(D6485&lt;50000,"$25k-$50k",IF(D6485&lt;75000,"$50k-$75k",IF(D6485&lt;100000,"$75k-$100k","$100k+")))))</x:f>
        <x:v>$25k-$50k</x:v>
      </x:c>
      <x:c r="P6485" t="str">
        <x:f>IF(E6485="","Unknown",IF(E6485&lt;10,"&lt;10",IF(E6485&lt;20,"10-&lt;20",IF(E6485&lt;25,"20-&lt;25",IF(E6485&lt;35,"25-&lt;35","35+")))))</x:f>
        <x:v>25-&lt;35</x:v>
      </x:c>
    </x:row>
    <x:row r="6486">
      <x:c r="A6486" t="str">
        <x:v>SYN0006485</x:v>
      </x:c>
      <x:c r="B6486" s="12" t="n">
        <x:v>43105</x:v>
      </x:c>
      <x:c r="C6486" s="18" t="n">
        <x:v>13259</x:v>
      </x:c>
      <x:c r="D6486" s="18" t="n">
        <x:v>34678</x:v>
      </x:c>
      <x:c r="E6486" s="18" t="n">
        <x:v>26.37</x:v>
      </x:c>
      <x:c r="F6486" s="18" t="n">
        <x:v>15.28</x:v>
      </x:c>
      <x:c r="G6486" t="n">
        <x:v>36</x:v>
      </x:c>
      <x:c r="H6486" t="str">
        <x:v>D</x:v>
      </x:c>
      <x:c r="I6486" t="str">
        <x:v>1-3 years</x:v>
      </x:c>
      <x:c r="J6486" t="str">
        <x:v>RENT</x:v>
      </x:c>
      <x:c r="K6486" t="str">
        <x:v>major_purchase</x:v>
      </x:c>
      <x:c r="L6486" t="n">
        <x:v>0</x:v>
      </x:c>
      <x:c r="M6486" t="n">
        <x:v>0</x:v>
      </x:c>
      <x:c r="N6486" t="str">
        <x:v>Fully Paid</x:v>
      </x:c>
      <x:c r="O6486" t="str">
        <x:f>IF(D6486="","Unknown",IF(D6486&lt;25000,"&lt;$25k",IF(D6486&lt;50000,"$25k-$50k",IF(D6486&lt;75000,"$50k-$75k",IF(D6486&lt;100000,"$75k-$100k","$100k+")))))</x:f>
        <x:v>$25k-$50k</x:v>
      </x:c>
      <x:c r="P6486" t="str">
        <x:f>IF(E6486="","Unknown",IF(E6486&lt;10,"&lt;10",IF(E6486&lt;20,"10-&lt;20",IF(E6486&lt;25,"20-&lt;25",IF(E6486&lt;35,"25-&lt;35","35+")))))</x:f>
        <x:v>25-&lt;35</x:v>
      </x:c>
    </x:row>
    <x:row r="6487">
      <x:c r="A6487" t="str">
        <x:v>SYN0006486</x:v>
      </x:c>
      <x:c r="B6487" s="12" t="n">
        <x:v>43195</x:v>
      </x:c>
      <x:c r="C6487" s="18" t="n">
        <x:v>10792</x:v>
      </x:c>
      <x:c r="D6487" s="18" t="n">
        <x:v>67454</x:v>
      </x:c>
      <x:c r="E6487" s="18" t="n">
        <x:v>24.82</x:v>
      </x:c>
      <x:c r="F6487" s="18" t="n">
        <x:v>22.42</x:v>
      </x:c>
      <x:c r="G6487" t="n">
        <x:v>36</x:v>
      </x:c>
      <x:c r="H6487" t="str">
        <x:v>F</x:v>
      </x:c>
      <x:c r="I6487" t="str">
        <x:v>4-6 years</x:v>
      </x:c>
      <x:c r="J6487" t="str">
        <x:v>RENT</x:v>
      </x:c>
      <x:c r="K6487" t="str">
        <x:v>credit_card</x:v>
      </x:c>
      <x:c r="L6487" t="n">
        <x:v>0</x:v>
      </x:c>
      <x:c r="M6487" t="n">
        <x:v>0</x:v>
      </x:c>
      <x:c r="N6487" t="str">
        <x:v>Fully Paid</x:v>
      </x:c>
      <x:c r="O6487" t="str">
        <x:f>IF(D6487="","Unknown",IF(D6487&lt;25000,"&lt;$25k",IF(D6487&lt;50000,"$25k-$50k",IF(D6487&lt;75000,"$50k-$75k",IF(D6487&lt;100000,"$75k-$100k","$100k+")))))</x:f>
        <x:v>$50k-$75k</x:v>
      </x:c>
      <x:c r="P6487" t="str">
        <x:f>IF(E6487="","Unknown",IF(E6487&lt;10,"&lt;10",IF(E6487&lt;20,"10-&lt;20",IF(E6487&lt;25,"20-&lt;25",IF(E6487&lt;35,"25-&lt;35","35+")))))</x:f>
        <x:v>20-&lt;25</x:v>
      </x:c>
    </x:row>
    <x:row r="6488">
      <x:c r="A6488" t="str">
        <x:v>SYN0006487</x:v>
      </x:c>
      <x:c r="B6488" s="12" t="n">
        <x:v>42475</x:v>
      </x:c>
      <x:c r="C6488" s="18" t="n">
        <x:v>28638</x:v>
      </x:c>
      <x:c r="D6488" s="18" t="n">
        <x:v>63187</x:v>
      </x:c>
      <x:c r="E6488" s="18" t="n">
        <x:v>8.94</x:v>
      </x:c>
      <x:c r="F6488" s="18" t="n">
        <x:v>9.62</x:v>
      </x:c>
      <x:c r="G6488" t="n">
        <x:v>36</x:v>
      </x:c>
      <x:c r="H6488" t="str">
        <x:v>B</x:v>
      </x:c>
      <x:c r="I6488" t="str">
        <x:v>1-3 years</x:v>
      </x:c>
      <x:c r="J6488" t="str">
        <x:v>MORTGAGE</x:v>
      </x:c>
      <x:c r="K6488" t="str">
        <x:v>debt_consolidation</x:v>
      </x:c>
      <x:c r="L6488" t="n">
        <x:v>0</x:v>
      </x:c>
      <x:c r="M6488" t="n">
        <x:v>0</x:v>
      </x:c>
      <x:c r="N6488" t="str">
        <x:v>Fully Paid</x:v>
      </x:c>
      <x:c r="O6488" t="str">
        <x:f>IF(D6488="","Unknown",IF(D6488&lt;25000,"&lt;$25k",IF(D6488&lt;50000,"$25k-$50k",IF(D6488&lt;75000,"$50k-$75k",IF(D6488&lt;100000,"$75k-$100k","$100k+")))))</x:f>
        <x:v>$50k-$75k</x:v>
      </x:c>
      <x:c r="P6488" t="str">
        <x:f>IF(E6488="","Unknown",IF(E6488&lt;10,"&lt;10",IF(E6488&lt;20,"10-&lt;20",IF(E6488&lt;25,"20-&lt;25",IF(E6488&lt;35,"25-&lt;35","35+")))))</x:f>
        <x:v>&lt;10</x:v>
      </x:c>
    </x:row>
    <x:row r="6489">
      <x:c r="A6489" t="str">
        <x:v>SYN0006488</x:v>
      </x:c>
      <x:c r="B6489" s="12" t="n">
        <x:v>41515</x:v>
      </x:c>
      <x:c r="C6489" s="18" t="n">
        <x:v>7031</x:v>
      </x:c>
      <x:c r="D6489" s="18" t="n">
        <x:v>80943</x:v>
      </x:c>
      <x:c r="E6489" s="18" t="n">
        <x:v>17.55</x:v>
      </x:c>
      <x:c r="F6489" s="18" t="n">
        <x:v>8.76</x:v>
      </x:c>
      <x:c r="G6489" t="n">
        <x:v>36</x:v>
      </x:c>
      <x:c r="H6489" t="str">
        <x:v>A</x:v>
      </x:c>
      <x:c r="I6489" t="str">
        <x:v>1-3 years</x:v>
      </x:c>
      <x:c r="J6489" t="str">
        <x:v>MORTGAGE</x:v>
      </x:c>
      <x:c r="K6489" t="str">
        <x:v>debt_consolidation</x:v>
      </x:c>
      <x:c r="L6489" t="n">
        <x:v>0</x:v>
      </x:c>
      <x:c r="M6489" t="n">
        <x:v>0</x:v>
      </x:c>
      <x:c r="N6489" t="str">
        <x:v>Fully Paid</x:v>
      </x:c>
      <x:c r="O6489" t="str">
        <x:f>IF(D6489="","Unknown",IF(D6489&lt;25000,"&lt;$25k",IF(D6489&lt;50000,"$25k-$50k",IF(D6489&lt;75000,"$50k-$75k",IF(D6489&lt;100000,"$75k-$100k","$100k+")))))</x:f>
        <x:v>$75k-$100k</x:v>
      </x:c>
      <x:c r="P6489" t="str">
        <x:f>IF(E6489="","Unknown",IF(E6489&lt;10,"&lt;10",IF(E6489&lt;20,"10-&lt;20",IF(E6489&lt;25,"20-&lt;25",IF(E6489&lt;35,"25-&lt;35","35+")))))</x:f>
        <x:v>10-&lt;20</x:v>
      </x:c>
    </x:row>
    <x:row r="6490">
      <x:c r="A6490" t="str">
        <x:v>SYN0006489</x:v>
      </x:c>
      <x:c r="B6490" s="12" t="n">
        <x:v>43045</x:v>
      </x:c>
      <x:c r="C6490" s="18" t="n">
        <x:v>9909</x:v>
      </x:c>
      <x:c r="D6490" s="18" t="n">
        <x:v>92278</x:v>
      </x:c>
      <x:c r="E6490" s="18" t="n">
        <x:v>37.05</x:v>
      </x:c>
      <x:c r="F6490" s="18" t="n">
        <x:v>5</x:v>
      </x:c>
      <x:c r="G6490" t="n">
        <x:v>36</x:v>
      </x:c>
      <x:c r="H6490" t="str">
        <x:v>B</x:v>
      </x:c>
      <x:c r="I6490" t="str">
        <x:v>10+ years</x:v>
      </x:c>
      <x:c r="J6490" t="str">
        <x:v>RENT</x:v>
      </x:c>
      <x:c r="K6490" t="str">
        <x:v>home_improvement</x:v>
      </x:c>
      <x:c r="L6490" t="n">
        <x:v>0</x:v>
      </x:c>
      <x:c r="M6490" t="n">
        <x:v>0</x:v>
      </x:c>
      <x:c r="N6490" t="str">
        <x:v>Fully Paid</x:v>
      </x:c>
      <x:c r="O6490" t="str">
        <x:f>IF(D6490="","Unknown",IF(D6490&lt;25000,"&lt;$25k",IF(D6490&lt;50000,"$25k-$50k",IF(D6490&lt;75000,"$50k-$75k",IF(D6490&lt;100000,"$75k-$100k","$100k+")))))</x:f>
        <x:v>$75k-$100k</x:v>
      </x:c>
      <x:c r="P6490" t="str">
        <x:f>IF(E6490="","Unknown",IF(E6490&lt;10,"&lt;10",IF(E6490&lt;20,"10-&lt;20",IF(E6490&lt;25,"20-&lt;25",IF(E6490&lt;35,"25-&lt;35","35+")))))</x:f>
        <x:v>35+</x:v>
      </x:c>
    </x:row>
    <x:row r="6491">
      <x:c r="A6491" t="str">
        <x:v>SYN0006490</x:v>
      </x:c>
      <x:c r="B6491" s="12" t="n">
        <x:v>42385</x:v>
      </x:c>
      <x:c r="C6491" s="18" t="n">
        <x:v>20754</x:v>
      </x:c>
      <x:c r="D6491" s="18" t="n">
        <x:v>17405</x:v>
      </x:c>
      <x:c r="E6491" s="18" t="n">
        <x:v>26.37</x:v>
      </x:c>
      <x:c r="F6491" s="18" t="n">
        <x:v>8.42</x:v>
      </x:c>
      <x:c r="G6491" t="n">
        <x:v>36</x:v>
      </x:c>
      <x:c r="H6491" t="str">
        <x:v>B</x:v>
      </x:c>
      <x:c r="I6491" t="str">
        <x:v>1-3 years</x:v>
      </x:c>
      <x:c r="J6491" t="str">
        <x:v>RENT</x:v>
      </x:c>
      <x:c r="K6491" t="str">
        <x:v>credit_card</x:v>
      </x:c>
      <x:c r="L6491" t="n">
        <x:v>2</x:v>
      </x:c>
      <x:c r="M6491" t="n">
        <x:v>0</x:v>
      </x:c>
      <x:c r="N6491" t="str">
        <x:v>Fully Paid</x:v>
      </x:c>
      <x:c r="O6491" t="str">
        <x:f>IF(D6491="","Unknown",IF(D6491&lt;25000,"&lt;$25k",IF(D6491&lt;50000,"$25k-$50k",IF(D6491&lt;75000,"$50k-$75k",IF(D6491&lt;100000,"$75k-$100k","$100k+")))))</x:f>
        <x:v>&lt;$25k</x:v>
      </x:c>
      <x:c r="P6491" t="str">
        <x:f>IF(E6491="","Unknown",IF(E6491&lt;10,"&lt;10",IF(E6491&lt;20,"10-&lt;20",IF(E6491&lt;25,"20-&lt;25",IF(E6491&lt;35,"25-&lt;35","35+")))))</x:f>
        <x:v>25-&lt;35</x:v>
      </x:c>
    </x:row>
    <x:row r="6492">
      <x:c r="A6492" t="str">
        <x:v>SYN0006491</x:v>
      </x:c>
      <x:c r="B6492" s="12" t="n">
        <x:v>41635</x:v>
      </x:c>
      <x:c r="C6492" s="18" t="n">
        <x:v>15992</x:v>
      </x:c>
      <x:c r="D6492" s="18" t="n">
        <x:v>129260</x:v>
      </x:c>
      <x:c r="E6492" s="18" t="n">
        <x:v>32.62</x:v>
      </x:c>
      <x:c r="F6492" s="18" t="n">
        <x:v>11.76</x:v>
      </x:c>
      <x:c r="G6492" t="n">
        <x:v>36</x:v>
      </x:c>
      <x:c r="H6492" t="str">
        <x:v>C</x:v>
      </x:c>
      <x:c r="I6492" t="str">
        <x:v>1-3 years</x:v>
      </x:c>
      <x:c r="J6492" t="str">
        <x:v>MORTGAGE</x:v>
      </x:c>
      <x:c r="K6492" t="str">
        <x:v>credit_card</x:v>
      </x:c>
      <x:c r="L6492" t="n">
        <x:v>0</x:v>
      </x:c>
      <x:c r="M6492" t="n">
        <x:v>0</x:v>
      </x:c>
      <x:c r="N6492" t="str">
        <x:v>Fully Paid</x:v>
      </x:c>
      <x:c r="O6492" t="str">
        <x:f>IF(D6492="","Unknown",IF(D6492&lt;25000,"&lt;$25k",IF(D6492&lt;50000,"$25k-$50k",IF(D6492&lt;75000,"$50k-$75k",IF(D6492&lt;100000,"$75k-$100k","$100k+")))))</x:f>
        <x:v>$100k+</x:v>
      </x:c>
      <x:c r="P6492" t="str">
        <x:f>IF(E6492="","Unknown",IF(E6492&lt;10,"&lt;10",IF(E6492&lt;20,"10-&lt;20",IF(E6492&lt;25,"20-&lt;25",IF(E6492&lt;35,"25-&lt;35","35+")))))</x:f>
        <x:v>25-&lt;35</x:v>
      </x:c>
    </x:row>
    <x:row r="6493">
      <x:c r="A6493" t="str">
        <x:v>SYN0006492</x:v>
      </x:c>
      <x:c r="B6493" s="12" t="n">
        <x:v>41275</x:v>
      </x:c>
      <x:c r="C6493" s="18" t="n">
        <x:v>15535</x:v>
      </x:c>
      <x:c r="D6493" s="18" t="n">
        <x:v>41472</x:v>
      </x:c>
      <x:c r="E6493" s="18" t="n">
        <x:v>17.3</x:v>
      </x:c>
      <x:c r="F6493" s="18" t="n">
        <x:v>13.36</x:v>
      </x:c>
      <x:c r="G6493" t="n">
        <x:v>36</x:v>
      </x:c>
      <x:c r="H6493" t="str">
        <x:v>C</x:v>
      </x:c>
      <x:c r="I6493" t="str">
        <x:v>4-6 years</x:v>
      </x:c>
      <x:c r="J6493" t="str">
        <x:v>MORTGAGE</x:v>
      </x:c>
      <x:c r="K6493" t="str">
        <x:v>debt_consolidation</x:v>
      </x:c>
      <x:c r="L6493" t="n">
        <x:v>1</x:v>
      </x:c>
      <x:c r="M6493" t="n">
        <x:v>0</x:v>
      </x:c>
      <x:c r="N6493" t="str">
        <x:v>Fully Paid</x:v>
      </x:c>
      <x:c r="O6493" t="str">
        <x:f>IF(D6493="","Unknown",IF(D6493&lt;25000,"&lt;$25k",IF(D6493&lt;50000,"$25k-$50k",IF(D6493&lt;75000,"$50k-$75k",IF(D6493&lt;100000,"$75k-$100k","$100k+")))))</x:f>
        <x:v>$25k-$50k</x:v>
      </x:c>
      <x:c r="P6493" t="str">
        <x:f>IF(E6493="","Unknown",IF(E6493&lt;10,"&lt;10",IF(E6493&lt;20,"10-&lt;20",IF(E6493&lt;25,"20-&lt;25",IF(E6493&lt;35,"25-&lt;35","35+")))))</x:f>
        <x:v>10-&lt;20</x:v>
      </x:c>
    </x:row>
    <x:row r="6494">
      <x:c r="A6494" t="str">
        <x:v>SYN0006493</x:v>
      </x:c>
      <x:c r="B6494" s="12" t="n">
        <x:v>42475</x:v>
      </x:c>
      <x:c r="C6494" s="18" t="n">
        <x:v>11347</x:v>
      </x:c>
      <x:c r="D6494" s="18" t="n">
        <x:v>12000</x:v>
      </x:c>
      <x:c r="E6494" s="18" t="n">
        <x:v>34.79</x:v>
      </x:c>
      <x:c r="F6494" s="18" t="n">
        <x:v>22.97</x:v>
      </x:c>
      <x:c r="G6494" t="n">
        <x:v>36</x:v>
      </x:c>
      <x:c r="H6494" t="str">
        <x:v>F</x:v>
      </x:c>
      <x:c r="I6494" t="str">
        <x:v>&lt;1 year</x:v>
      </x:c>
      <x:c r="J6494" t="str">
        <x:v>OWN</x:v>
      </x:c>
      <x:c r="K6494" t="str">
        <x:v>debt_consolidation</x:v>
      </x:c>
      <x:c r="L6494" t="n">
        <x:v>1</x:v>
      </x:c>
      <x:c r="M6494" t="n">
        <x:v>0</x:v>
      </x:c>
      <x:c r="N6494" t="str">
        <x:v>Fully Paid</x:v>
      </x:c>
      <x:c r="O6494" t="str">
        <x:f>IF(D6494="","Unknown",IF(D6494&lt;25000,"&lt;$25k",IF(D6494&lt;50000,"$25k-$50k",IF(D6494&lt;75000,"$50k-$75k",IF(D6494&lt;100000,"$75k-$100k","$100k+")))))</x:f>
        <x:v>&lt;$25k</x:v>
      </x:c>
      <x:c r="P6494" t="str">
        <x:f>IF(E6494="","Unknown",IF(E6494&lt;10,"&lt;10",IF(E6494&lt;20,"10-&lt;20",IF(E6494&lt;25,"20-&lt;25",IF(E6494&lt;35,"25-&lt;35","35+")))))</x:f>
        <x:v>25-&lt;35</x:v>
      </x:c>
    </x:row>
    <x:row r="6495">
      <x:c r="A6495" t="str">
        <x:v>SYN0006494</x:v>
      </x:c>
      <x:c r="B6495" s="12" t="n">
        <x:v>42145</x:v>
      </x:c>
      <x:c r="C6495" s="18" t="n">
        <x:v>12188</x:v>
      </x:c>
      <x:c r="D6495" s="18" t="n">
        <x:v>90236</x:v>
      </x:c>
      <x:c r="E6495" s="18" t="n">
        <x:v>14.18</x:v>
      </x:c>
      <x:c r="F6495" s="18" t="n">
        <x:v>22.54</x:v>
      </x:c>
      <x:c r="G6495" t="n">
        <x:v>36</x:v>
      </x:c>
      <x:c r="H6495" t="str">
        <x:v>F</x:v>
      </x:c>
      <x:c r="I6495" t="str">
        <x:v>7-9 years</x:v>
      </x:c>
      <x:c r="J6495" t="str">
        <x:v>RENT</x:v>
      </x:c>
      <x:c r="K6495" t="str">
        <x:v>debt_consolidation</x:v>
      </x:c>
      <x:c r="L6495" t="n">
        <x:v>0</x:v>
      </x:c>
      <x:c r="M6495" t="n">
        <x:v>1</x:v>
      </x:c>
      <x:c r="N6495" t="str">
        <x:v>Charged Off</x:v>
      </x:c>
      <x:c r="O6495" t="str">
        <x:f>IF(D6495="","Unknown",IF(D6495&lt;25000,"&lt;$25k",IF(D6495&lt;50000,"$25k-$50k",IF(D6495&lt;75000,"$50k-$75k",IF(D6495&lt;100000,"$75k-$100k","$100k+")))))</x:f>
        <x:v>$75k-$100k</x:v>
      </x:c>
      <x:c r="P6495" t="str">
        <x:f>IF(E6495="","Unknown",IF(E6495&lt;10,"&lt;10",IF(E6495&lt;20,"10-&lt;20",IF(E6495&lt;25,"20-&lt;25",IF(E6495&lt;35,"25-&lt;35","35+")))))</x:f>
        <x:v>10-&lt;20</x:v>
      </x:c>
    </x:row>
    <x:row r="6496">
      <x:c r="A6496" t="str">
        <x:v>SYN0006495</x:v>
      </x:c>
      <x:c r="B6496" s="12" t="n">
        <x:v>42835</x:v>
      </x:c>
      <x:c r="C6496" s="18" t="n">
        <x:v>13960</x:v>
      </x:c>
      <x:c r="D6496" s="18" t="n">
        <x:v>39786</x:v>
      </x:c>
      <x:c r="E6496" s="18" t="n">
        <x:v>0</x:v>
      </x:c>
      <x:c r="F6496" s="18" t="n">
        <x:v>8.8</x:v>
      </x:c>
      <x:c r="G6496" t="n">
        <x:v>36</x:v>
      </x:c>
      <x:c r="H6496" t="str">
        <x:v>B</x:v>
      </x:c>
      <x:c r="I6496" t="str">
        <x:v>4-6 years</x:v>
      </x:c>
      <x:c r="J6496" t="str">
        <x:v>RENT</x:v>
      </x:c>
      <x:c r="K6496" t="str">
        <x:v>debt_consolidation</x:v>
      </x:c>
      <x:c r="L6496" t="n">
        <x:v>1</x:v>
      </x:c>
      <x:c r="M6496" t="n">
        <x:v>0</x:v>
      </x:c>
      <x:c r="N6496" t="str">
        <x:v>Fully Paid</x:v>
      </x:c>
      <x:c r="O6496" t="str">
        <x:f>IF(D6496="","Unknown",IF(D6496&lt;25000,"&lt;$25k",IF(D6496&lt;50000,"$25k-$50k",IF(D6496&lt;75000,"$50k-$75k",IF(D6496&lt;100000,"$75k-$100k","$100k+")))))</x:f>
        <x:v>$25k-$50k</x:v>
      </x:c>
      <x:c r="P6496" t="str">
        <x:f>IF(E6496="","Unknown",IF(E6496&lt;10,"&lt;10",IF(E6496&lt;20,"10-&lt;20",IF(E6496&lt;25,"20-&lt;25",IF(E6496&lt;35,"25-&lt;35","35+")))))</x:f>
        <x:v>Unknown</x:v>
      </x:c>
    </x:row>
    <x:row r="6497">
      <x:c r="A6497" t="str">
        <x:v>SYN0006496</x:v>
      </x:c>
      <x:c r="B6497" s="12" t="n">
        <x:v>42505</x:v>
      </x:c>
      <x:c r="C6497" s="18" t="n">
        <x:v>18762</x:v>
      </x:c>
      <x:c r="D6497" s="18" t="n">
        <x:v>14676</x:v>
      </x:c>
      <x:c r="E6497" s="18" t="n">
        <x:v>22</x:v>
      </x:c>
      <x:c r="F6497" s="18" t="n">
        <x:v>13.48</x:v>
      </x:c>
      <x:c r="G6497" t="n">
        <x:v>36</x:v>
      </x:c>
      <x:c r="H6497" t="str">
        <x:v>C</x:v>
      </x:c>
      <x:c r="I6497" t="str">
        <x:v>4-6 years</x:v>
      </x:c>
      <x:c r="J6497" t="str">
        <x:v>RENT</x:v>
      </x:c>
      <x:c r="K6497" t="str">
        <x:v>other</x:v>
      </x:c>
      <x:c r="L6497" t="n">
        <x:v>1</x:v>
      </x:c>
      <x:c r="M6497" t="n">
        <x:v>0</x:v>
      </x:c>
      <x:c r="N6497" t="str">
        <x:v>Fully Paid</x:v>
      </x:c>
      <x:c r="O6497" t="str">
        <x:f>IF(D6497="","Unknown",IF(D6497&lt;25000,"&lt;$25k",IF(D6497&lt;50000,"$25k-$50k",IF(D6497&lt;75000,"$50k-$75k",IF(D6497&lt;100000,"$75k-$100k","$100k+")))))</x:f>
        <x:v>&lt;$25k</x:v>
      </x:c>
      <x:c r="P6497" t="str">
        <x:f>IF(E6497="","Unknown",IF(E6497&lt;10,"&lt;10",IF(E6497&lt;20,"10-&lt;20",IF(E6497&lt;25,"20-&lt;25",IF(E6497&lt;35,"25-&lt;35","35+")))))</x:f>
        <x:v>20-&lt;25</x:v>
      </x:c>
    </x:row>
    <x:row r="6498">
      <x:c r="A6498" t="str">
        <x:v>SYN0006497</x:v>
      </x:c>
      <x:c r="B6498" s="12" t="n">
        <x:v>41425</x:v>
      </x:c>
      <x:c r="C6498" s="18" t="n">
        <x:v>22420</x:v>
      </x:c>
      <x:c r="D6498" s="18" t="n">
        <x:v>18328</x:v>
      </x:c>
      <x:c r="E6498" s="18" t="n">
        <x:v>15.21</x:v>
      </x:c>
      <x:c r="F6498" s="18" t="n">
        <x:v>11.92</x:v>
      </x:c>
      <x:c r="G6498" t="n">
        <x:v>36</x:v>
      </x:c>
      <x:c r="H6498" t="str">
        <x:v>B</x:v>
      </x:c>
      <x:c r="I6498" t="str">
        <x:v>4-6 years</x:v>
      </x:c>
      <x:c r="J6498" t="str">
        <x:v>MORTGAGE</x:v>
      </x:c>
      <x:c r="K6498" t="str">
        <x:v>home_improvement</x:v>
      </x:c>
      <x:c r="L6498" t="n">
        <x:v>0</x:v>
      </x:c>
      <x:c r="M6498" t="n">
        <x:v>0</x:v>
      </x:c>
      <x:c r="N6498" t="str">
        <x:v>Fully Paid</x:v>
      </x:c>
      <x:c r="O6498" t="str">
        <x:f>IF(D6498="","Unknown",IF(D6498&lt;25000,"&lt;$25k",IF(D6498&lt;50000,"$25k-$50k",IF(D6498&lt;75000,"$50k-$75k",IF(D6498&lt;100000,"$75k-$100k","$100k+")))))</x:f>
        <x:v>&lt;$25k</x:v>
      </x:c>
      <x:c r="P6498" t="str">
        <x:f>IF(E6498="","Unknown",IF(E6498&lt;10,"&lt;10",IF(E6498&lt;20,"10-&lt;20",IF(E6498&lt;25,"20-&lt;25",IF(E6498&lt;35,"25-&lt;35","35+")))))</x:f>
        <x:v>10-&lt;20</x:v>
      </x:c>
    </x:row>
    <x:row r="6499">
      <x:c r="A6499" t="str">
        <x:v>SYN0006498</x:v>
      </x:c>
      <x:c r="B6499" s="12" t="n">
        <x:v>42835</x:v>
      </x:c>
      <x:c r="C6499" s="18" t="n">
        <x:v>12936</x:v>
      </x:c>
      <x:c r="D6499" s="18" t="n">
        <x:v>26403</x:v>
      </x:c>
      <x:c r="E6499" s="18" t="n">
        <x:v>11.22</x:v>
      </x:c>
      <x:c r="F6499" s="18" t="n">
        <x:v>10.15</x:v>
      </x:c>
      <x:c r="G6499" t="n">
        <x:v>36</x:v>
      </x:c>
      <x:c r="H6499" t="str">
        <x:v>B</x:v>
      </x:c>
      <x:c r="I6499" t="str">
        <x:v>1-3 years</x:v>
      </x:c>
      <x:c r="J6499" t="str">
        <x:v>OTHER</x:v>
      </x:c>
      <x:c r="K6499" t="str">
        <x:v>debt_consolidation</x:v>
      </x:c>
      <x:c r="L6499" t="n">
        <x:v>0</x:v>
      </x:c>
      <x:c r="M6499" t="n">
        <x:v>0</x:v>
      </x:c>
      <x:c r="N6499" t="str">
        <x:v>Fully Paid</x:v>
      </x:c>
      <x:c r="O6499" t="str">
        <x:f>IF(D6499="","Unknown",IF(D6499&lt;25000,"&lt;$25k",IF(D6499&lt;50000,"$25k-$50k",IF(D6499&lt;75000,"$50k-$75k",IF(D6499&lt;100000,"$75k-$100k","$100k+")))))</x:f>
        <x:v>$25k-$50k</x:v>
      </x:c>
      <x:c r="P6499" t="str">
        <x:f>IF(E6499="","Unknown",IF(E6499&lt;10,"&lt;10",IF(E6499&lt;20,"10-&lt;20",IF(E6499&lt;25,"20-&lt;25",IF(E6499&lt;35,"25-&lt;35","35+")))))</x:f>
        <x:v>10-&lt;20</x:v>
      </x:c>
    </x:row>
    <x:row r="6500">
      <x:c r="A6500" t="str">
        <x:v>SYN0006499</x:v>
      </x:c>
      <x:c r="B6500" s="12" t="n">
        <x:v>42205</x:v>
      </x:c>
      <x:c r="C6500" s="18" t="n">
        <x:v>28852</x:v>
      </x:c>
      <x:c r="D6500" s="18" t="n">
        <x:v>47635</x:v>
      </x:c>
      <x:c r="E6500" s="18" t="n">
        <x:v>19.39</x:v>
      </x:c>
      <x:c r="F6500" s="18" t="n">
        <x:v>5</x:v>
      </x:c>
      <x:c r="G6500" t="n">
        <x:v>36</x:v>
      </x:c>
      <x:c r="H6500" t="str">
        <x:v>B</x:v>
      </x:c>
      <x:c r="I6500" t="str">
        <x:v>10+ years</x:v>
      </x:c>
      <x:c r="J6500" t="str">
        <x:v>OWN</x:v>
      </x:c>
      <x:c r="K6500" t="str">
        <x:v>other</x:v>
      </x:c>
      <x:c r="L6500" t="n">
        <x:v>0</x:v>
      </x:c>
      <x:c r="M6500" t="n">
        <x:v>0</x:v>
      </x:c>
      <x:c r="N6500" t="str">
        <x:v>Fully Paid</x:v>
      </x:c>
      <x:c r="O6500" t="str">
        <x:f>IF(D6500="","Unknown",IF(D6500&lt;25000,"&lt;$25k",IF(D6500&lt;50000,"$25k-$50k",IF(D6500&lt;75000,"$50k-$75k",IF(D6500&lt;100000,"$75k-$100k","$100k+")))))</x:f>
        <x:v>$25k-$50k</x:v>
      </x:c>
      <x:c r="P6500" t="str">
        <x:f>IF(E6500="","Unknown",IF(E6500&lt;10,"&lt;10",IF(E6500&lt;20,"10-&lt;20",IF(E6500&lt;25,"20-&lt;25",IF(E6500&lt;35,"25-&lt;35","35+")))))</x:f>
        <x:v>10-&lt;20</x:v>
      </x:c>
    </x:row>
    <x:row r="6501">
      <x:c r="A6501" t="str">
        <x:v>SYN0006500</x:v>
      </x:c>
      <x:c r="B6501" s="12" t="n">
        <x:v>41305</x:v>
      </x:c>
      <x:c r="C6501" s="18" t="n">
        <x:v>29358</x:v>
      </x:c>
      <x:c r="D6501" s="18" t="n">
        <x:v>54109</x:v>
      </x:c>
      <x:c r="E6501" s="18" t="n">
        <x:v>20.32</x:v>
      </x:c>
      <x:c r="F6501" s="18" t="n">
        <x:v>21.98</x:v>
      </x:c>
      <x:c r="G6501" t="n">
        <x:v>36</x:v>
      </x:c>
      <x:c r="H6501" t="str">
        <x:v>F</x:v>
      </x:c>
      <x:c r="I6501" t="str">
        <x:v>7-9 years</x:v>
      </x:c>
      <x:c r="J6501" t="str">
        <x:v>RENT</x:v>
      </x:c>
      <x:c r="K6501" t="str">
        <x:v>debt_consolidation</x:v>
      </x:c>
      <x:c r="L6501" t="n">
        <x:v>2</x:v>
      </x:c>
      <x:c r="M6501" t="n">
        <x:v>1</x:v>
      </x:c>
      <x:c r="N6501" t="str">
        <x:v>Charged Off</x:v>
      </x:c>
      <x:c r="O6501" t="str">
        <x:f>IF(D6501="","Unknown",IF(D6501&lt;25000,"&lt;$25k",IF(D6501&lt;50000,"$25k-$50k",IF(D6501&lt;75000,"$50k-$75k",IF(D6501&lt;100000,"$75k-$100k","$100k+")))))</x:f>
        <x:v>$50k-$75k</x:v>
      </x:c>
      <x:c r="P6501" t="str">
        <x:f>IF(E6501="","Unknown",IF(E6501&lt;10,"&lt;10",IF(E6501&lt;20,"10-&lt;20",IF(E6501&lt;25,"20-&lt;25",IF(E6501&lt;35,"25-&lt;35","35+")))))</x:f>
        <x:v>20-&lt;25</x:v>
      </x:c>
    </x:row>
    <x:row r="6502">
      <x:c r="A6502" t="str">
        <x:v>SYN0006501</x:v>
      </x:c>
      <x:c r="B6502" s="12" t="n">
        <x:v>43375</x:v>
      </x:c>
      <x:c r="C6502" s="18" t="n">
        <x:v>13108</x:v>
      </x:c>
      <x:c r="D6502" s="18" t="n">
        <x:v>37898</x:v>
      </x:c>
      <x:c r="E6502" s="18" t="n">
        <x:v>6.07</x:v>
      </x:c>
      <x:c r="F6502" s="18" t="n">
        <x:v>12.6</x:v>
      </x:c>
      <x:c r="G6502" t="n">
        <x:v>60</x:v>
      </x:c>
      <x:c r="H6502" t="str">
        <x:v>D</x:v>
      </x:c>
      <x:c r="I6502" t="str">
        <x:v>10+ years</x:v>
      </x:c>
      <x:c r="J6502" t="str">
        <x:v>MORTGAGE</x:v>
      </x:c>
      <x:c r="K6502" t="str">
        <x:v>debt_consolidation</x:v>
      </x:c>
      <x:c r="L6502" t="n">
        <x:v>0</x:v>
      </x:c>
      <x:c r="M6502" t="n">
        <x:v>0</x:v>
      </x:c>
      <x:c r="N6502" t="str">
        <x:v>Fully Paid</x:v>
      </x:c>
      <x:c r="O6502" t="str">
        <x:f>IF(D6502="","Unknown",IF(D6502&lt;25000,"&lt;$25k",IF(D6502&lt;50000,"$25k-$50k",IF(D6502&lt;75000,"$50k-$75k",IF(D6502&lt;100000,"$75k-$100k","$100k+")))))</x:f>
        <x:v>$25k-$50k</x:v>
      </x:c>
      <x:c r="P6502" t="str">
        <x:f>IF(E6502="","Unknown",IF(E6502&lt;10,"&lt;10",IF(E6502&lt;20,"10-&lt;20",IF(E6502&lt;25,"20-&lt;25",IF(E6502&lt;35,"25-&lt;35","35+")))))</x:f>
        <x:v>&lt;10</x:v>
      </x:c>
    </x:row>
    <x:row r="6503">
      <x:c r="A6503" t="str">
        <x:v>SYN0006502</x:v>
      </x:c>
      <x:c r="B6503" s="12" t="n">
        <x:v>42055</x:v>
      </x:c>
      <x:c r="C6503" s="18" t="n">
        <x:v>6679</x:v>
      </x:c>
      <x:c r="D6503" s="18" t="n">
        <x:v>16161</x:v>
      </x:c>
      <x:c r="E6503" s="18" t="n">
        <x:v>27.92</x:v>
      </x:c>
      <x:c r="F6503" s="18" t="n">
        <x:v>16.81</x:v>
      </x:c>
      <x:c r="G6503" t="n">
        <x:v>36</x:v>
      </x:c>
      <x:c r="H6503" t="str">
        <x:v>E</x:v>
      </x:c>
      <x:c r="I6503" t="str">
        <x:v>1-3 years</x:v>
      </x:c>
      <x:c r="J6503" t="str">
        <x:v>RENT</x:v>
      </x:c>
      <x:c r="K6503" t="str">
        <x:v>credit_card</x:v>
      </x:c>
      <x:c r="L6503" t="n">
        <x:v>1</x:v>
      </x:c>
      <x:c r="M6503" t="n">
        <x:v>0</x:v>
      </x:c>
      <x:c r="N6503" t="str">
        <x:v>Fully Paid</x:v>
      </x:c>
      <x:c r="O6503" t="str">
        <x:f>IF(D6503="","Unknown",IF(D6503&lt;25000,"&lt;$25k",IF(D6503&lt;50000,"$25k-$50k",IF(D6503&lt;75000,"$50k-$75k",IF(D6503&lt;100000,"$75k-$100k","$100k+")))))</x:f>
        <x:v>&lt;$25k</x:v>
      </x:c>
      <x:c r="P6503" t="str">
        <x:f>IF(E6503="","Unknown",IF(E6503&lt;10,"&lt;10",IF(E6503&lt;20,"10-&lt;20",IF(E6503&lt;25,"20-&lt;25",IF(E6503&lt;35,"25-&lt;35","35+")))))</x:f>
        <x:v>25-&lt;35</x:v>
      </x:c>
    </x:row>
    <x:row r="6504">
      <x:c r="A6504" t="str">
        <x:v>SYN0006503</x:v>
      </x:c>
      <x:c r="B6504" s="12" t="n">
        <x:v>42265</x:v>
      </x:c>
      <x:c r="C6504" s="18" t="n">
        <x:v>9075</x:v>
      </x:c>
      <x:c r="D6504" s="18" t="n">
        <x:v>42302</x:v>
      </x:c>
      <x:c r="E6504" s="18" t="n">
        <x:v>28.25</x:v>
      </x:c>
      <x:c r="F6504" s="18" t="n">
        <x:v>5.6</x:v>
      </x:c>
      <x:c r="G6504" t="n">
        <x:v>36</x:v>
      </x:c>
      <x:c r="H6504" t="str">
        <x:v>B</x:v>
      </x:c>
      <x:c r="I6504" t="str">
        <x:v>1-3 years</x:v>
      </x:c>
      <x:c r="J6504" t="str">
        <x:v>OTHER</x:v>
      </x:c>
      <x:c r="K6504" t="str">
        <x:v>major_purchase</x:v>
      </x:c>
      <x:c r="L6504" t="n">
        <x:v>0</x:v>
      </x:c>
      <x:c r="M6504" t="n">
        <x:v>0</x:v>
      </x:c>
      <x:c r="N6504" t="str">
        <x:v>Fully Paid</x:v>
      </x:c>
      <x:c r="O6504" t="str">
        <x:f>IF(D6504="","Unknown",IF(D6504&lt;25000,"&lt;$25k",IF(D6504&lt;50000,"$25k-$50k",IF(D6504&lt;75000,"$50k-$75k",IF(D6504&lt;100000,"$75k-$100k","$100k+")))))</x:f>
        <x:v>$25k-$50k</x:v>
      </x:c>
      <x:c r="P6504" t="str">
        <x:f>IF(E6504="","Unknown",IF(E6504&lt;10,"&lt;10",IF(E6504&lt;20,"10-&lt;20",IF(E6504&lt;25,"20-&lt;25",IF(E6504&lt;35,"25-&lt;35","35+")))))</x:f>
        <x:v>25-&lt;35</x:v>
      </x:c>
    </x:row>
    <x:row r="6505">
      <x:c r="A6505" t="str">
        <x:v>SYN0006504</x:v>
      </x:c>
      <x:c r="B6505" s="12" t="n">
        <x:v>43165</x:v>
      </x:c>
      <x:c r="C6505" s="18" t="n">
        <x:v>11044</x:v>
      </x:c>
      <x:c r="D6505" s="18" t="n">
        <x:v>53280</x:v>
      </x:c>
      <x:c r="E6505" s="18" t="n">
        <x:v>20.5</x:v>
      </x:c>
      <x:c r="F6505" s="18" t="n">
        <x:v>21.17</x:v>
      </x:c>
      <x:c r="G6505" t="n">
        <x:v>60</x:v>
      </x:c>
      <x:c r="H6505" t="str">
        <x:v>F</x:v>
      </x:c>
      <x:c r="I6505" t="str">
        <x:v>1-3 years</x:v>
      </x:c>
      <x:c r="J6505" t="str">
        <x:v>RENT</x:v>
      </x:c>
      <x:c r="K6505" t="str">
        <x:v>home_improvement</x:v>
      </x:c>
      <x:c r="L6505" t="n">
        <x:v>1</x:v>
      </x:c>
      <x:c r="M6505" t="n">
        <x:v>1</x:v>
      </x:c>
      <x:c r="N6505" t="str">
        <x:v>Charged Off</x:v>
      </x:c>
      <x:c r="O6505" t="str">
        <x:f>IF(D6505="","Unknown",IF(D6505&lt;25000,"&lt;$25k",IF(D6505&lt;50000,"$25k-$50k",IF(D6505&lt;75000,"$50k-$75k",IF(D6505&lt;100000,"$75k-$100k","$100k+")))))</x:f>
        <x:v>$50k-$75k</x:v>
      </x:c>
      <x:c r="P6505" t="str">
        <x:f>IF(E6505="","Unknown",IF(E6505&lt;10,"&lt;10",IF(E6505&lt;20,"10-&lt;20",IF(E6505&lt;25,"20-&lt;25",IF(E6505&lt;35,"25-&lt;35","35+")))))</x:f>
        <x:v>20-&lt;25</x:v>
      </x:c>
    </x:row>
    <x:row r="6506">
      <x:c r="A6506" t="str">
        <x:v>SYN0006505</x:v>
      </x:c>
      <x:c r="B6506" s="12" t="n">
        <x:v>43105</x:v>
      </x:c>
      <x:c r="C6506" s="18" t="n">
        <x:v>14570</x:v>
      </x:c>
      <x:c r="D6506" s="18" t="n">
        <x:v>33476</x:v>
      </x:c>
      <x:c r="E6506" s="18" t="n">
        <x:v>20.35</x:v>
      </x:c>
      <x:c r="F6506" s="18" t="n">
        <x:v>13.83</x:v>
      </x:c>
      <x:c r="G6506" t="n">
        <x:v>36</x:v>
      </x:c>
      <x:c r="H6506" t="str">
        <x:v>D</x:v>
      </x:c>
      <x:c r="I6506" t="str">
        <x:v>7-9 years</x:v>
      </x:c>
      <x:c r="J6506" t="str">
        <x:v>RENT</x:v>
      </x:c>
      <x:c r="K6506" t="str">
        <x:v>major_purchase</x:v>
      </x:c>
      <x:c r="L6506" t="n">
        <x:v>0</x:v>
      </x:c>
      <x:c r="M6506" t="n">
        <x:v>0</x:v>
      </x:c>
      <x:c r="N6506" t="str">
        <x:v>Fully Paid</x:v>
      </x:c>
      <x:c r="O6506" t="str">
        <x:f>IF(D6506="","Unknown",IF(D6506&lt;25000,"&lt;$25k",IF(D6506&lt;50000,"$25k-$50k",IF(D6506&lt;75000,"$50k-$75k",IF(D6506&lt;100000,"$75k-$100k","$100k+")))))</x:f>
        <x:v>$25k-$50k</x:v>
      </x:c>
      <x:c r="P6506" t="str">
        <x:f>IF(E6506="","Unknown",IF(E6506&lt;10,"&lt;10",IF(E6506&lt;20,"10-&lt;20",IF(E6506&lt;25,"20-&lt;25",IF(E6506&lt;35,"25-&lt;35","35+")))))</x:f>
        <x:v>20-&lt;25</x:v>
      </x:c>
    </x:row>
    <x:row r="6507">
      <x:c r="A6507" t="str">
        <x:v>SYN0006506</x:v>
      </x:c>
      <x:c r="B6507" s="12" t="n">
        <x:v>43285</x:v>
      </x:c>
      <x:c r="C6507" s="18" t="n">
        <x:v>11824</x:v>
      </x:c>
      <x:c r="D6507" s="18" t="n">
        <x:v>15980</x:v>
      </x:c>
      <x:c r="E6507" s="18" t="n">
        <x:v>18.57</x:v>
      </x:c>
      <x:c r="F6507" s="18" t="n">
        <x:v>17.06</x:v>
      </x:c>
      <x:c r="G6507" t="n">
        <x:v>36</x:v>
      </x:c>
      <x:c r="H6507" t="str">
        <x:v>E</x:v>
      </x:c>
      <x:c r="I6507" t="str">
        <x:v>4-6 years</x:v>
      </x:c>
      <x:c r="J6507" t="str">
        <x:v>MORTGAGE</x:v>
      </x:c>
      <x:c r="K6507" t="str">
        <x:v>debt_consolidation</x:v>
      </x:c>
      <x:c r="L6507" t="n">
        <x:v>0</x:v>
      </x:c>
      <x:c r="M6507" t="n">
        <x:v>0</x:v>
      </x:c>
      <x:c r="N6507" t="str">
        <x:v>Fully Paid</x:v>
      </x:c>
      <x:c r="O6507" t="str">
        <x:f>IF(D6507="","Unknown",IF(D6507&lt;25000,"&lt;$25k",IF(D6507&lt;50000,"$25k-$50k",IF(D6507&lt;75000,"$50k-$75k",IF(D6507&lt;100000,"$75k-$100k","$100k+")))))</x:f>
        <x:v>&lt;$25k</x:v>
      </x:c>
      <x:c r="P6507" t="str">
        <x:f>IF(E6507="","Unknown",IF(E6507&lt;10,"&lt;10",IF(E6507&lt;20,"10-&lt;20",IF(E6507&lt;25,"20-&lt;25",IF(E6507&lt;35,"25-&lt;35","35+")))))</x:f>
        <x:v>10-&lt;20</x:v>
      </x:c>
    </x:row>
    <x:row r="6508">
      <x:c r="A6508" t="str">
        <x:v>SYN0006507</x:v>
      </x:c>
      <x:c r="B6508" s="12" t="n">
        <x:v>41575</x:v>
      </x:c>
      <x:c r="C6508" s="18" t="n">
        <x:v>3768</x:v>
      </x:c>
      <x:c r="D6508" s="18" t="n">
        <x:v>250000</x:v>
      </x:c>
      <x:c r="E6508" s="18" t="n">
        <x:v>18.28</x:v>
      </x:c>
      <x:c r="F6508" s="18" t="n">
        <x:v>9.23</x:v>
      </x:c>
      <x:c r="G6508" t="n">
        <x:v>36</x:v>
      </x:c>
      <x:c r="H6508" t="str">
        <x:v>B</x:v>
      </x:c>
      <x:c r="I6508" t="str">
        <x:v>4-6 years</x:v>
      </x:c>
      <x:c r="J6508" t="str">
        <x:v>RENT</x:v>
      </x:c>
      <x:c r="K6508" t="str">
        <x:v>debt_consolidation</x:v>
      </x:c>
      <x:c r="L6508" t="n">
        <x:v>0</x:v>
      </x:c>
      <x:c r="M6508" t="n">
        <x:v>0</x:v>
      </x:c>
      <x:c r="N6508" t="str">
        <x:v>Fully Paid</x:v>
      </x:c>
      <x:c r="O6508" t="str">
        <x:f>IF(D6508="","Unknown",IF(D6508&lt;25000,"&lt;$25k",IF(D6508&lt;50000,"$25k-$50k",IF(D6508&lt;75000,"$50k-$75k",IF(D6508&lt;100000,"$75k-$100k","$100k+")))))</x:f>
        <x:v>$100k+</x:v>
      </x:c>
      <x:c r="P6508" t="str">
        <x:f>IF(E6508="","Unknown",IF(E6508&lt;10,"&lt;10",IF(E6508&lt;20,"10-&lt;20",IF(E6508&lt;25,"20-&lt;25",IF(E6508&lt;35,"25-&lt;35","35+")))))</x:f>
        <x:v>10-&lt;20</x:v>
      </x:c>
    </x:row>
    <x:row r="6509">
      <x:c r="A6509" t="str">
        <x:v>SYN0006508</x:v>
      </x:c>
      <x:c r="B6509" s="12" t="n">
        <x:v>42025</x:v>
      </x:c>
      <x:c r="C6509" s="18" t="n">
        <x:v>16521</x:v>
      </x:c>
      <x:c r="D6509" s="18" t="n">
        <x:v>138140</x:v>
      </x:c>
      <x:c r="E6509" s="18" t="n">
        <x:v>24.47</x:v>
      </x:c>
      <x:c r="F6509" s="18" t="n">
        <x:v>9.71</x:v>
      </x:c>
      <x:c r="G6509" t="n">
        <x:v>36</x:v>
      </x:c>
      <x:c r="H6509" t="str">
        <x:v>B</x:v>
      </x:c>
      <x:c r="I6509" t="str">
        <x:v>&lt;1 year</x:v>
      </x:c>
      <x:c r="J6509" t="str">
        <x:v>MORTGAGE</x:v>
      </x:c>
      <x:c r="K6509" t="str">
        <x:v>credit_card</x:v>
      </x:c>
      <x:c r="L6509" t="n">
        <x:v>2</x:v>
      </x:c>
      <x:c r="M6509" t="n">
        <x:v>0</x:v>
      </x:c>
      <x:c r="N6509" t="str">
        <x:v>Fully Paid</x:v>
      </x:c>
      <x:c r="O6509" t="str">
        <x:f>IF(D6509="","Unknown",IF(D6509&lt;25000,"&lt;$25k",IF(D6509&lt;50000,"$25k-$50k",IF(D6509&lt;75000,"$50k-$75k",IF(D6509&lt;100000,"$75k-$100k","$100k+")))))</x:f>
        <x:v>$100k+</x:v>
      </x:c>
      <x:c r="P6509" t="str">
        <x:f>IF(E6509="","Unknown",IF(E6509&lt;10,"&lt;10",IF(E6509&lt;20,"10-&lt;20",IF(E6509&lt;25,"20-&lt;25",IF(E6509&lt;35,"25-&lt;35","35+")))))</x:f>
        <x:v>20-&lt;25</x:v>
      </x:c>
    </x:row>
    <x:row r="6510">
      <x:c r="A6510" t="str">
        <x:v>SYN0006509</x:v>
      </x:c>
      <x:c r="B6510" s="12" t="n">
        <x:v>42025</x:v>
      </x:c>
      <x:c r="C6510" s="18" t="n">
        <x:v>17806</x:v>
      </x:c>
      <x:c r="D6510" s="18" t="n">
        <x:v>39491</x:v>
      </x:c>
      <x:c r="E6510" s="18" t="n">
        <x:v>26.83</x:v>
      </x:c>
      <x:c r="F6510" s="18" t="n">
        <x:v>23.86</x:v>
      </x:c>
      <x:c r="G6510" t="n">
        <x:v>60</x:v>
      </x:c>
      <x:c r="H6510" t="str">
        <x:v>F</x:v>
      </x:c>
      <x:c r="I6510" t="str">
        <x:v>10+ years</x:v>
      </x:c>
      <x:c r="J6510" t="str">
        <x:v>RENT</x:v>
      </x:c>
      <x:c r="K6510" t="str">
        <x:v>major_purchase</x:v>
      </x:c>
      <x:c r="L6510" t="n">
        <x:v>0</x:v>
      </x:c>
      <x:c r="M6510" t="n">
        <x:v>1</x:v>
      </x:c>
      <x:c r="N6510" t="str">
        <x:v>Charged Off</x:v>
      </x:c>
      <x:c r="O6510" t="str">
        <x:f>IF(D6510="","Unknown",IF(D6510&lt;25000,"&lt;$25k",IF(D6510&lt;50000,"$25k-$50k",IF(D6510&lt;75000,"$50k-$75k",IF(D6510&lt;100000,"$75k-$100k","$100k+")))))</x:f>
        <x:v>$25k-$50k</x:v>
      </x:c>
      <x:c r="P6510" t="str">
        <x:f>IF(E6510="","Unknown",IF(E6510&lt;10,"&lt;10",IF(E6510&lt;20,"10-&lt;20",IF(E6510&lt;25,"20-&lt;25",IF(E6510&lt;35,"25-&lt;35","35+")))))</x:f>
        <x:v>25-&lt;35</x:v>
      </x:c>
    </x:row>
    <x:row r="6511">
      <x:c r="A6511" t="str">
        <x:v>SYN0006510</x:v>
      </x:c>
      <x:c r="B6511" s="12" t="n">
        <x:v>42175</x:v>
      </x:c>
      <x:c r="C6511" s="18" t="n">
        <x:v>16884</x:v>
      </x:c>
      <x:c r="D6511" s="18" t="n">
        <x:v>175059</x:v>
      </x:c>
      <x:c r="E6511" s="18" t="n">
        <x:v>33.17</x:v>
      </x:c>
      <x:c r="F6511" s="18" t="n">
        <x:v>11.1</x:v>
      </x:c>
      <x:c r="G6511" t="n">
        <x:v>36</x:v>
      </x:c>
      <x:c r="H6511" t="str">
        <x:v>C</x:v>
      </x:c>
      <x:c r="I6511" t="str">
        <x:v>10+ years</x:v>
      </x:c>
      <x:c r="J6511" t="str">
        <x:v>MORTGAGE</x:v>
      </x:c>
      <x:c r="K6511" t="str">
        <x:v>debt_consolidation</x:v>
      </x:c>
      <x:c r="L6511" t="n">
        <x:v>0</x:v>
      </x:c>
      <x:c r="M6511" t="n">
        <x:v>0</x:v>
      </x:c>
      <x:c r="N6511" t="str">
        <x:v>Fully Paid</x:v>
      </x:c>
      <x:c r="O6511" t="str">
        <x:f>IF(D6511="","Unknown",IF(D6511&lt;25000,"&lt;$25k",IF(D6511&lt;50000,"$25k-$50k",IF(D6511&lt;75000,"$50k-$75k",IF(D6511&lt;100000,"$75k-$100k","$100k+")))))</x:f>
        <x:v>$100k+</x:v>
      </x:c>
      <x:c r="P6511" t="str">
        <x:f>IF(E6511="","Unknown",IF(E6511&lt;10,"&lt;10",IF(E6511&lt;20,"10-&lt;20",IF(E6511&lt;25,"20-&lt;25",IF(E6511&lt;35,"25-&lt;35","35+")))))</x:f>
        <x:v>25-&lt;35</x:v>
      </x:c>
    </x:row>
    <x:row r="6512">
      <x:c r="A6512" t="str">
        <x:v>SYN0006511</x:v>
      </x:c>
      <x:c r="B6512" s="12" t="n">
        <x:v>42895</x:v>
      </x:c>
      <x:c r="C6512" s="18" t="n">
        <x:v>6535</x:v>
      </x:c>
      <x:c r="D6512" s="18" t="n">
        <x:v>80996</x:v>
      </x:c>
      <x:c r="E6512" s="18" t="n">
        <x:v>25</x:v>
      </x:c>
      <x:c r="F6512" s="18" t="n">
        <x:v>8.22</x:v>
      </x:c>
      <x:c r="G6512" t="n">
        <x:v>36</x:v>
      </x:c>
      <x:c r="H6512" t="str">
        <x:v>B</x:v>
      </x:c>
      <x:c r="I6512" t="str">
        <x:v>7-9 years</x:v>
      </x:c>
      <x:c r="J6512" t="str">
        <x:v>MORTGAGE</x:v>
      </x:c>
      <x:c r="K6512" t="str">
        <x:v>debt_consolidation</x:v>
      </x:c>
      <x:c r="L6512" t="n">
        <x:v>2</x:v>
      </x:c>
      <x:c r="M6512" t="n">
        <x:v>0</x:v>
      </x:c>
      <x:c r="N6512" t="str">
        <x:v>Fully Paid</x:v>
      </x:c>
      <x:c r="O6512" t="str">
        <x:f>IF(D6512="","Unknown",IF(D6512&lt;25000,"&lt;$25k",IF(D6512&lt;50000,"$25k-$50k",IF(D6512&lt;75000,"$50k-$75k",IF(D6512&lt;100000,"$75k-$100k","$100k+")))))</x:f>
        <x:v>$75k-$100k</x:v>
      </x:c>
      <x:c r="P6512" t="str">
        <x:f>IF(E6512="","Unknown",IF(E6512&lt;10,"&lt;10",IF(E6512&lt;20,"10-&lt;20",IF(E6512&lt;25,"20-&lt;25",IF(E6512&lt;35,"25-&lt;35","35+")))))</x:f>
        <x:v>25-&lt;35</x:v>
      </x:c>
    </x:row>
    <x:row r="6513">
      <x:c r="A6513" t="str">
        <x:v>SYN0006512</x:v>
      </x:c>
      <x:c r="B6513" s="12" t="n">
        <x:v>42175</x:v>
      </x:c>
      <x:c r="C6513" s="18" t="n">
        <x:v>8856</x:v>
      </x:c>
      <x:c r="D6513" s="18" t="n">
        <x:v>45145</x:v>
      </x:c>
      <x:c r="E6513" s="18" t="n">
        <x:v>29.53</x:v>
      </x:c>
      <x:c r="F6513" s="18" t="n">
        <x:v>19.48</x:v>
      </x:c>
      <x:c r="G6513" t="n">
        <x:v>60</x:v>
      </x:c>
      <x:c r="H6513" t="str">
        <x:v>F</x:v>
      </x:c>
      <x:c r="I6513" t="str">
        <x:v>7-9 years</x:v>
      </x:c>
      <x:c r="J6513" t="str">
        <x:v>MORTGAGE</x:v>
      </x:c>
      <x:c r="K6513" t="str">
        <x:v>home_improvement</x:v>
      </x:c>
      <x:c r="L6513" t="n">
        <x:v>0</x:v>
      </x:c>
      <x:c r="M6513" t="n">
        <x:v>0</x:v>
      </x:c>
      <x:c r="N6513" t="str">
        <x:v>Fully Paid</x:v>
      </x:c>
      <x:c r="O6513" t="str">
        <x:f>IF(D6513="","Unknown",IF(D6513&lt;25000,"&lt;$25k",IF(D6513&lt;50000,"$25k-$50k",IF(D6513&lt;75000,"$50k-$75k",IF(D6513&lt;100000,"$75k-$100k","$100k+")))))</x:f>
        <x:v>$25k-$50k</x:v>
      </x:c>
      <x:c r="P6513" t="str">
        <x:f>IF(E6513="","Unknown",IF(E6513&lt;10,"&lt;10",IF(E6513&lt;20,"10-&lt;20",IF(E6513&lt;25,"20-&lt;25",IF(E6513&lt;35,"25-&lt;35","35+")))))</x:f>
        <x:v>25-&lt;35</x:v>
      </x:c>
    </x:row>
    <x:row r="6514">
      <x:c r="A6514" t="str">
        <x:v>SYN0006513</x:v>
      </x:c>
      <x:c r="B6514" s="12" t="n">
        <x:v>41995</x:v>
      </x:c>
      <x:c r="C6514" s="18" t="n">
        <x:v>14706</x:v>
      </x:c>
      <x:c r="D6514" s="18" t="n">
        <x:v>41464</x:v>
      </x:c>
      <x:c r="E6514" s="18" t="n">
        <x:v>21.9</x:v>
      </x:c>
      <x:c r="F6514" s="18" t="n">
        <x:v>9.81</x:v>
      </x:c>
      <x:c r="G6514" t="n">
        <x:v>36</x:v>
      </x:c>
      <x:c r="H6514" t="str">
        <x:v>C</x:v>
      </x:c>
      <x:c r="I6514" t="str">
        <x:v>4-6 years</x:v>
      </x:c>
      <x:c r="J6514" t="str">
        <x:v>MORTGAGE</x:v>
      </x:c>
      <x:c r="K6514" t="str">
        <x:v>debt_consolidation</x:v>
      </x:c>
      <x:c r="L6514" t="n">
        <x:v>1</x:v>
      </x:c>
      <x:c r="M6514" t="n">
        <x:v>1</x:v>
      </x:c>
      <x:c r="N6514" t="str">
        <x:v>Charged Off</x:v>
      </x:c>
      <x:c r="O6514" t="str">
        <x:f>IF(D6514="","Unknown",IF(D6514&lt;25000,"&lt;$25k",IF(D6514&lt;50000,"$25k-$50k",IF(D6514&lt;75000,"$50k-$75k",IF(D6514&lt;100000,"$75k-$100k","$100k+")))))</x:f>
        <x:v>$25k-$50k</x:v>
      </x:c>
      <x:c r="P6514" t="str">
        <x:f>IF(E6514="","Unknown",IF(E6514&lt;10,"&lt;10",IF(E6514&lt;20,"10-&lt;20",IF(E6514&lt;25,"20-&lt;25",IF(E6514&lt;35,"25-&lt;35","35+")))))</x:f>
        <x:v>20-&lt;25</x:v>
      </x:c>
    </x:row>
    <x:row r="6515">
      <x:c r="A6515" t="str">
        <x:v>SYN0006514</x:v>
      </x:c>
      <x:c r="B6515" s="12" t="n">
        <x:v>42865</x:v>
      </x:c>
      <x:c r="C6515" s="18" t="n">
        <x:v>16792</x:v>
      </x:c>
      <x:c r="D6515" s="18" t="n">
        <x:v>29235</x:v>
      </x:c>
      <x:c r="E6515" s="18" t="n">
        <x:v>23.75</x:v>
      </x:c>
      <x:c r="F6515" s="18" t="n">
        <x:v>6.9</x:v>
      </x:c>
      <x:c r="G6515" t="n">
        <x:v>36</x:v>
      </x:c>
      <x:c r="H6515" t="str">
        <x:v>C</x:v>
      </x:c>
      <x:c r="I6515" t="str">
        <x:v>4-6 years</x:v>
      </x:c>
      <x:c r="J6515" t="str">
        <x:v>MORTGAGE</x:v>
      </x:c>
      <x:c r="K6515" t="str">
        <x:v>debt_consolidation</x:v>
      </x:c>
      <x:c r="L6515" t="n">
        <x:v>0</x:v>
      </x:c>
      <x:c r="M6515" t="n">
        <x:v>0</x:v>
      </x:c>
      <x:c r="N6515" t="str">
        <x:v>Fully Paid</x:v>
      </x:c>
      <x:c r="O6515" t="str">
        <x:f>IF(D6515="","Unknown",IF(D6515&lt;25000,"&lt;$25k",IF(D6515&lt;50000,"$25k-$50k",IF(D6515&lt;75000,"$50k-$75k",IF(D6515&lt;100000,"$75k-$100k","$100k+")))))</x:f>
        <x:v>$25k-$50k</x:v>
      </x:c>
      <x:c r="P6515" t="str">
        <x:f>IF(E6515="","Unknown",IF(E6515&lt;10,"&lt;10",IF(E6515&lt;20,"10-&lt;20",IF(E6515&lt;25,"20-&lt;25",IF(E6515&lt;35,"25-&lt;35","35+")))))</x:f>
        <x:v>20-&lt;25</x:v>
      </x:c>
    </x:row>
    <x:row r="6516">
      <x:c r="A6516" t="str">
        <x:v>SYN0006515</x:v>
      </x:c>
      <x:c r="B6516" s="12" t="n">
        <x:v>41575</x:v>
      </x:c>
      <x:c r="C6516" s="18" t="n">
        <x:v>15751</x:v>
      </x:c>
      <x:c r="D6516" s="18" t="n">
        <x:v>28868</x:v>
      </x:c>
      <x:c r="E6516" s="18" t="n">
        <x:v>20.11</x:v>
      </x:c>
      <x:c r="F6516" s="18" t="n">
        <x:v>12.19</x:v>
      </x:c>
      <x:c r="G6516" t="n">
        <x:v>60</x:v>
      </x:c>
      <x:c r="H6516" t="str">
        <x:v>D</x:v>
      </x:c>
      <x:c r="I6516" t="str">
        <x:v>1-3 years</x:v>
      </x:c>
      <x:c r="J6516" t="str">
        <x:v>MORTGAGE</x:v>
      </x:c>
      <x:c r="K6516" t="str">
        <x:v>debt_consolidation</x:v>
      </x:c>
      <x:c r="L6516" t="n">
        <x:v>1</x:v>
      </x:c>
      <x:c r="M6516" t="n">
        <x:v>0</x:v>
      </x:c>
      <x:c r="N6516" t="str">
        <x:v>Fully Paid</x:v>
      </x:c>
      <x:c r="O6516" t="str">
        <x:f>IF(D6516="","Unknown",IF(D6516&lt;25000,"&lt;$25k",IF(D6516&lt;50000,"$25k-$50k",IF(D6516&lt;75000,"$50k-$75k",IF(D6516&lt;100000,"$75k-$100k","$100k+")))))</x:f>
        <x:v>$25k-$50k</x:v>
      </x:c>
      <x:c r="P6516" t="str">
        <x:f>IF(E6516="","Unknown",IF(E6516&lt;10,"&lt;10",IF(E6516&lt;20,"10-&lt;20",IF(E6516&lt;25,"20-&lt;25",IF(E6516&lt;35,"25-&lt;35","35+")))))</x:f>
        <x:v>20-&lt;25</x:v>
      </x:c>
    </x:row>
    <x:row r="6517">
      <x:c r="A6517" t="str">
        <x:v>SYN0006516</x:v>
      </x:c>
      <x:c r="B6517" s="12" t="n">
        <x:v>42535</x:v>
      </x:c>
      <x:c r="C6517" s="18" t="n">
        <x:v>17224</x:v>
      </x:c>
      <x:c r="D6517" s="18" t="n">
        <x:v>33021</x:v>
      </x:c>
      <x:c r="E6517" s="18" t="n">
        <x:v>21.62</x:v>
      </x:c>
      <x:c r="F6517" s="18" t="n">
        <x:v>10.65</x:v>
      </x:c>
      <x:c r="G6517" t="n">
        <x:v>36</x:v>
      </x:c>
      <x:c r="H6517" t="str">
        <x:v>A</x:v>
      </x:c>
      <x:c r="I6517" t="str">
        <x:v>4-6 years</x:v>
      </x:c>
      <x:c r="J6517" t="str">
        <x:v>MORTGAGE</x:v>
      </x:c>
      <x:c r="K6517" t="str">
        <x:v>debt_consolidation</x:v>
      </x:c>
      <x:c r="L6517" t="n">
        <x:v>0</x:v>
      </x:c>
      <x:c r="M6517" t="n">
        <x:v>0</x:v>
      </x:c>
      <x:c r="N6517" t="str">
        <x:v>Fully Paid</x:v>
      </x:c>
      <x:c r="O6517" t="str">
        <x:f>IF(D6517="","Unknown",IF(D6517&lt;25000,"&lt;$25k",IF(D6517&lt;50000,"$25k-$50k",IF(D6517&lt;75000,"$50k-$75k",IF(D6517&lt;100000,"$75k-$100k","$100k+")))))</x:f>
        <x:v>$25k-$50k</x:v>
      </x:c>
      <x:c r="P6517" t="str">
        <x:f>IF(E6517="","Unknown",IF(E6517&lt;10,"&lt;10",IF(E6517&lt;20,"10-&lt;20",IF(E6517&lt;25,"20-&lt;25",IF(E6517&lt;35,"25-&lt;35","35+")))))</x:f>
        <x:v>20-&lt;25</x:v>
      </x:c>
    </x:row>
    <x:row r="6518">
      <x:c r="A6518" t="str">
        <x:v>SYN0006517</x:v>
      </x:c>
      <x:c r="B6518" s="12" t="n">
        <x:v>42475</x:v>
      </x:c>
      <x:c r="C6518" s="18" t="n">
        <x:v>6197</x:v>
      </x:c>
      <x:c r="D6518" s="18" t="n">
        <x:v>30588</x:v>
      </x:c>
      <x:c r="E6518" s="18" t="n">
        <x:v>11.22</x:v>
      </x:c>
      <x:c r="F6518" s="18" t="n">
        <x:v>5</x:v>
      </x:c>
      <x:c r="G6518" t="n">
        <x:v>60</x:v>
      </x:c>
      <x:c r="H6518" t="str">
        <x:v>A</x:v>
      </x:c>
      <x:c r="I6518" t="str">
        <x:v>4-6 years</x:v>
      </x:c>
      <x:c r="J6518" t="str">
        <x:v>MORTGAGE</x:v>
      </x:c>
      <x:c r="K6518" t="str">
        <x:v>credit_card</x:v>
      </x:c>
      <x:c r="L6518" t="n">
        <x:v>0</x:v>
      </x:c>
      <x:c r="M6518" t="n">
        <x:v>0</x:v>
      </x:c>
      <x:c r="N6518" t="str">
        <x:v>Fully Paid</x:v>
      </x:c>
      <x:c r="O6518" t="str">
        <x:f>IF(D6518="","Unknown",IF(D6518&lt;25000,"&lt;$25k",IF(D6518&lt;50000,"$25k-$50k",IF(D6518&lt;75000,"$50k-$75k",IF(D6518&lt;100000,"$75k-$100k","$100k+")))))</x:f>
        <x:v>$25k-$50k</x:v>
      </x:c>
      <x:c r="P6518" t="str">
        <x:f>IF(E6518="","Unknown",IF(E6518&lt;10,"&lt;10",IF(E6518&lt;20,"10-&lt;20",IF(E6518&lt;25,"20-&lt;25",IF(E6518&lt;35,"25-&lt;35","35+")))))</x:f>
        <x:v>10-&lt;20</x:v>
      </x:c>
    </x:row>
    <x:row r="6519">
      <x:c r="A6519" t="str">
        <x:v>SYN0006518</x:v>
      </x:c>
      <x:c r="B6519" s="12" t="n">
        <x:v>42085</x:v>
      </x:c>
      <x:c r="C6519" s="18" t="n">
        <x:v>8114</x:v>
      </x:c>
      <x:c r="D6519" s="18" t="n">
        <x:v>72603</x:v>
      </x:c>
      <x:c r="E6519" s="18" t="n">
        <x:v>8.27</x:v>
      </x:c>
      <x:c r="F6519" s="18" t="n">
        <x:v>14.69</x:v>
      </x:c>
      <x:c r="G6519" t="n">
        <x:v>36</x:v>
      </x:c>
      <x:c r="H6519" t="str">
        <x:v>E</x:v>
      </x:c>
      <x:c r="I6519" t="str">
        <x:v>1-3 years</x:v>
      </x:c>
      <x:c r="J6519" t="str">
        <x:v>RENT</x:v>
      </x:c>
      <x:c r="K6519" t="str">
        <x:v>debt_consolidation</x:v>
      </x:c>
      <x:c r="L6519" t="n">
        <x:v>1</x:v>
      </x:c>
      <x:c r="M6519" t="n">
        <x:v>0</x:v>
      </x:c>
      <x:c r="N6519" t="str">
        <x:v>Fully Paid</x:v>
      </x:c>
      <x:c r="O6519" t="str">
        <x:f>IF(D6519="","Unknown",IF(D6519&lt;25000,"&lt;$25k",IF(D6519&lt;50000,"$25k-$50k",IF(D6519&lt;75000,"$50k-$75k",IF(D6519&lt;100000,"$75k-$100k","$100k+")))))</x:f>
        <x:v>$50k-$75k</x:v>
      </x:c>
      <x:c r="P6519" t="str">
        <x:f>IF(E6519="","Unknown",IF(E6519&lt;10,"&lt;10",IF(E6519&lt;20,"10-&lt;20",IF(E6519&lt;25,"20-&lt;25",IF(E6519&lt;35,"25-&lt;35","35+")))))</x:f>
        <x:v>&lt;10</x:v>
      </x:c>
    </x:row>
    <x:row r="6520">
      <x:c r="A6520" t="str">
        <x:v>SYN0006519</x:v>
      </x:c>
      <x:c r="B6520" s="12" t="n">
        <x:v>42025</x:v>
      </x:c>
      <x:c r="C6520" s="18" t="n">
        <x:v>13912</x:v>
      </x:c>
      <x:c r="D6520" s="18" t="n">
        <x:v>73054</x:v>
      </x:c>
      <x:c r="E6520" s="18" t="n">
        <x:v>22.02</x:v>
      </x:c>
      <x:c r="F6520" s="18" t="n">
        <x:v>21.01</x:v>
      </x:c>
      <x:c r="G6520" t="n">
        <x:v>36</x:v>
      </x:c>
      <x:c r="H6520" t="str">
        <x:v>F</x:v>
      </x:c>
      <x:c r="I6520" t="str">
        <x:v>4-6 years</x:v>
      </x:c>
      <x:c r="J6520" t="str">
        <x:v>OTHER</x:v>
      </x:c>
      <x:c r="K6520" t="str">
        <x:v>debt_consolidation</x:v>
      </x:c>
      <x:c r="L6520" t="n">
        <x:v>1</x:v>
      </x:c>
      <x:c r="M6520" t="n">
        <x:v>0</x:v>
      </x:c>
      <x:c r="N6520" t="str">
        <x:v>Fully Paid</x:v>
      </x:c>
      <x:c r="O6520" t="str">
        <x:f>IF(D6520="","Unknown",IF(D6520&lt;25000,"&lt;$25k",IF(D6520&lt;50000,"$25k-$50k",IF(D6520&lt;75000,"$50k-$75k",IF(D6520&lt;100000,"$75k-$100k","$100k+")))))</x:f>
        <x:v>$50k-$75k</x:v>
      </x:c>
      <x:c r="P6520" t="str">
        <x:f>IF(E6520="","Unknown",IF(E6520&lt;10,"&lt;10",IF(E6520&lt;20,"10-&lt;20",IF(E6520&lt;25,"20-&lt;25",IF(E6520&lt;35,"25-&lt;35","35+")))))</x:f>
        <x:v>20-&lt;25</x:v>
      </x:c>
    </x:row>
    <x:row r="6521">
      <x:c r="A6521" t="str">
        <x:v>SYN0006520</x:v>
      </x:c>
      <x:c r="B6521" s="12" t="n">
        <x:v>43105</x:v>
      </x:c>
      <x:c r="C6521" s="18" t="n">
        <x:v>10187</x:v>
      </x:c>
      <x:c r="D6521" s="18" t="n">
        <x:v>40024</x:v>
      </x:c>
      <x:c r="E6521" s="18" t="n">
        <x:v>8.71</x:v>
      </x:c>
      <x:c r="F6521" s="18" t="n">
        <x:v>6.25</x:v>
      </x:c>
      <x:c r="G6521" t="n">
        <x:v>60</x:v>
      </x:c>
      <x:c r="H6521" t="str">
        <x:v>A</x:v>
      </x:c>
      <x:c r="I6521" t="str">
        <x:v>&lt;1 year</x:v>
      </x:c>
      <x:c r="J6521" t="str">
        <x:v>OWN</x:v>
      </x:c>
      <x:c r="K6521" t="str">
        <x:v>credit_card</x:v>
      </x:c>
      <x:c r="L6521" t="n">
        <x:v>0</x:v>
      </x:c>
      <x:c r="M6521" t="n">
        <x:v>0</x:v>
      </x:c>
      <x:c r="N6521" t="str">
        <x:v>Fully Paid</x:v>
      </x:c>
      <x:c r="O6521" t="str">
        <x:f>IF(D6521="","Unknown",IF(D6521&lt;25000,"&lt;$25k",IF(D6521&lt;50000,"$25k-$50k",IF(D6521&lt;75000,"$50k-$75k",IF(D6521&lt;100000,"$75k-$100k","$100k+")))))</x:f>
        <x:v>$25k-$50k</x:v>
      </x:c>
      <x:c r="P6521" t="str">
        <x:f>IF(E6521="","Unknown",IF(E6521&lt;10,"&lt;10",IF(E6521&lt;20,"10-&lt;20",IF(E6521&lt;25,"20-&lt;25",IF(E6521&lt;35,"25-&lt;35","35+")))))</x:f>
        <x:v>&lt;10</x:v>
      </x:c>
    </x:row>
    <x:row r="6522">
      <x:c r="A6522" t="str">
        <x:v>SYN0006521</x:v>
      </x:c>
      <x:c r="B6522" s="12" t="n">
        <x:v>42955</x:v>
      </x:c>
      <x:c r="C6522" s="18" t="n">
        <x:v>10145</x:v>
      </x:c>
      <x:c r="D6522" s="18" t="n">
        <x:v>103866</x:v>
      </x:c>
      <x:c r="E6522" s="18" t="n">
        <x:v>10.05</x:v>
      </x:c>
      <x:c r="F6522" s="18" t="n">
        <x:v>7.28</x:v>
      </x:c>
      <x:c r="G6522" t="n">
        <x:v>36</x:v>
      </x:c>
      <x:c r="H6522" t="str">
        <x:v>A</x:v>
      </x:c>
      <x:c r="I6522" t="str">
        <x:v>10+ years</x:v>
      </x:c>
      <x:c r="J6522" t="str">
        <x:v>RENT</x:v>
      </x:c>
      <x:c r="K6522" t="str">
        <x:v>home_improvement</x:v>
      </x:c>
      <x:c r="L6522" t="n">
        <x:v>1</x:v>
      </x:c>
      <x:c r="M6522" t="n">
        <x:v>1</x:v>
      </x:c>
      <x:c r="N6522" t="str">
        <x:v>Charged Off</x:v>
      </x:c>
      <x:c r="O6522" t="str">
        <x:f>IF(D6522="","Unknown",IF(D6522&lt;25000,"&lt;$25k",IF(D6522&lt;50000,"$25k-$50k",IF(D6522&lt;75000,"$50k-$75k",IF(D6522&lt;100000,"$75k-$100k","$100k+")))))</x:f>
        <x:v>$100k+</x:v>
      </x:c>
      <x:c r="P6522" t="str">
        <x:f>IF(E6522="","Unknown",IF(E6522&lt;10,"&lt;10",IF(E6522&lt;20,"10-&lt;20",IF(E6522&lt;25,"20-&lt;25",IF(E6522&lt;35,"25-&lt;35","35+")))))</x:f>
        <x:v>10-&lt;20</x:v>
      </x:c>
    </x:row>
    <x:row r="6523">
      <x:c r="A6523" t="str">
        <x:v>SYN0006522</x:v>
      </x:c>
      <x:c r="B6523" s="12" t="n">
        <x:v>42235</x:v>
      </x:c>
      <x:c r="C6523" s="18" t="n">
        <x:v>13591</x:v>
      </x:c>
      <x:c r="D6523" s="18" t="n">
        <x:v>40271</x:v>
      </x:c>
      <x:c r="E6523" s="18" t="n">
        <x:v>19.72</x:v>
      </x:c>
      <x:c r="F6523" s="18" t="n">
        <x:v>7.86</x:v>
      </x:c>
      <x:c r="G6523" t="n">
        <x:v>36</x:v>
      </x:c>
      <x:c r="H6523" t="str">
        <x:v>B</x:v>
      </x:c>
      <x:c r="I6523" t="str">
        <x:v>1-3 years</x:v>
      </x:c>
      <x:c r="J6523" t="str">
        <x:v>MORTGAGE</x:v>
      </x:c>
      <x:c r="K6523" t="str">
        <x:v>home_improvement</x:v>
      </x:c>
      <x:c r="L6523" t="n">
        <x:v>0</x:v>
      </x:c>
      <x:c r="M6523" t="n">
        <x:v>0</x:v>
      </x:c>
      <x:c r="N6523" t="str">
        <x:v>Fully Paid</x:v>
      </x:c>
      <x:c r="O6523" t="str">
        <x:f>IF(D6523="","Unknown",IF(D6523&lt;25000,"&lt;$25k",IF(D6523&lt;50000,"$25k-$50k",IF(D6523&lt;75000,"$50k-$75k",IF(D6523&lt;100000,"$75k-$100k","$100k+")))))</x:f>
        <x:v>$25k-$50k</x:v>
      </x:c>
      <x:c r="P6523" t="str">
        <x:f>IF(E6523="","Unknown",IF(E6523&lt;10,"&lt;10",IF(E6523&lt;20,"10-&lt;20",IF(E6523&lt;25,"20-&lt;25",IF(E6523&lt;35,"25-&lt;35","35+")))))</x:f>
        <x:v>10-&lt;20</x:v>
      </x:c>
    </x:row>
    <x:row r="6524">
      <x:c r="A6524" t="str">
        <x:v>SYN0006523</x:v>
      </x:c>
      <x:c r="B6524" s="12" t="n">
        <x:v>42775</x:v>
      </x:c>
      <x:c r="C6524" s="18" t="n">
        <x:v>26510</x:v>
      </x:c>
      <x:c r="D6524" s="18" t="n">
        <x:v>91185</x:v>
      </x:c>
      <x:c r="E6524" s="18" t="n">
        <x:v>22.67</x:v>
      </x:c>
      <x:c r="F6524" s="18" t="n">
        <x:v>10.59</x:v>
      </x:c>
      <x:c r="G6524" t="n">
        <x:v>36</x:v>
      </x:c>
      <x:c r="H6524" t="str">
        <x:v>C</x:v>
      </x:c>
      <x:c r="I6524" t="str">
        <x:v>7-9 years</x:v>
      </x:c>
      <x:c r="J6524" t="str">
        <x:v>MORTGAGE</x:v>
      </x:c>
      <x:c r="K6524" t="str">
        <x:v>debt_consolidation</x:v>
      </x:c>
      <x:c r="L6524" t="n">
        <x:v>0</x:v>
      </x:c>
      <x:c r="M6524" t="n">
        <x:v>0</x:v>
      </x:c>
      <x:c r="N6524" t="str">
        <x:v>Fully Paid</x:v>
      </x:c>
      <x:c r="O6524" t="str">
        <x:f>IF(D6524="","Unknown",IF(D6524&lt;25000,"&lt;$25k",IF(D6524&lt;50000,"$25k-$50k",IF(D6524&lt;75000,"$50k-$75k",IF(D6524&lt;100000,"$75k-$100k","$100k+")))))</x:f>
        <x:v>$75k-$100k</x:v>
      </x:c>
      <x:c r="P6524" t="str">
        <x:f>IF(E6524="","Unknown",IF(E6524&lt;10,"&lt;10",IF(E6524&lt;20,"10-&lt;20",IF(E6524&lt;25,"20-&lt;25",IF(E6524&lt;35,"25-&lt;35","35+")))))</x:f>
        <x:v>20-&lt;25</x:v>
      </x:c>
    </x:row>
    <x:row r="6525">
      <x:c r="A6525" t="str">
        <x:v>SYN0006524</x:v>
      </x:c>
      <x:c r="B6525" s="12" t="n">
        <x:v>42685</x:v>
      </x:c>
      <x:c r="C6525" s="18" t="n">
        <x:v>14866</x:v>
      </x:c>
      <x:c r="D6525" s="18" t="n">
        <x:v>120669</x:v>
      </x:c>
      <x:c r="E6525" s="18" t="n">
        <x:v>18.26</x:v>
      </x:c>
      <x:c r="F6525" s="18" t="n">
        <x:v>25.09</x:v>
      </x:c>
      <x:c r="G6525" t="n">
        <x:v>36</x:v>
      </x:c>
      <x:c r="H6525" t="str">
        <x:v>F</x:v>
      </x:c>
      <x:c r="I6525" t="str">
        <x:v>10+ years</x:v>
      </x:c>
      <x:c r="J6525" t="str">
        <x:v>OWN</x:v>
      </x:c>
      <x:c r="K6525" t="str">
        <x:v>debt_consolidation</x:v>
      </x:c>
      <x:c r="L6525" t="n">
        <x:v>1</x:v>
      </x:c>
      <x:c r="M6525" t="n">
        <x:v>0</x:v>
      </x:c>
      <x:c r="N6525" t="str">
        <x:v>Fully Paid</x:v>
      </x:c>
      <x:c r="O6525" t="str">
        <x:f>IF(D6525="","Unknown",IF(D6525&lt;25000,"&lt;$25k",IF(D6525&lt;50000,"$25k-$50k",IF(D6525&lt;75000,"$50k-$75k",IF(D6525&lt;100000,"$75k-$100k","$100k+")))))</x:f>
        <x:v>$100k+</x:v>
      </x:c>
      <x:c r="P6525" t="str">
        <x:f>IF(E6525="","Unknown",IF(E6525&lt;10,"&lt;10",IF(E6525&lt;20,"10-&lt;20",IF(E6525&lt;25,"20-&lt;25",IF(E6525&lt;35,"25-&lt;35","35+")))))</x:f>
        <x:v>10-&lt;20</x:v>
      </x:c>
    </x:row>
    <x:row r="6526">
      <x:c r="A6526" t="str">
        <x:v>SYN0006525</x:v>
      </x:c>
      <x:c r="B6526" s="12" t="n">
        <x:v>43225</x:v>
      </x:c>
      <x:c r="C6526" s="18" t="n">
        <x:v>13425</x:v>
      </x:c>
      <x:c r="D6526" s="18" t="n">
        <x:v>40394</x:v>
      </x:c>
      <x:c r="E6526" s="18" t="n">
        <x:v>31.71</x:v>
      </x:c>
      <x:c r="F6526" s="18" t="n">
        <x:v>14.06</x:v>
      </x:c>
      <x:c r="G6526" t="n">
        <x:v>36</x:v>
      </x:c>
      <x:c r="H6526" t="str">
        <x:v>D</x:v>
      </x:c>
      <x:c r="I6526" t="str">
        <x:v>1-3 years</x:v>
      </x:c>
      <x:c r="J6526" t="str">
        <x:v>OWN</x:v>
      </x:c>
      <x:c r="K6526" t="str">
        <x:v>debt_consolidation</x:v>
      </x:c>
      <x:c r="L6526" t="n">
        <x:v>1</x:v>
      </x:c>
      <x:c r="M6526" t="n">
        <x:v>0</x:v>
      </x:c>
      <x:c r="N6526" t="str">
        <x:v>Fully Paid</x:v>
      </x:c>
      <x:c r="O6526" t="str">
        <x:f>IF(D6526="","Unknown",IF(D6526&lt;25000,"&lt;$25k",IF(D6526&lt;50000,"$25k-$50k",IF(D6526&lt;75000,"$50k-$75k",IF(D6526&lt;100000,"$75k-$100k","$100k+")))))</x:f>
        <x:v>$25k-$50k</x:v>
      </x:c>
      <x:c r="P6526" t="str">
        <x:f>IF(E6526="","Unknown",IF(E6526&lt;10,"&lt;10",IF(E6526&lt;20,"10-&lt;20",IF(E6526&lt;25,"20-&lt;25",IF(E6526&lt;35,"25-&lt;35","35+")))))</x:f>
        <x:v>25-&lt;35</x:v>
      </x:c>
    </x:row>
    <x:row r="6527">
      <x:c r="A6527" t="str">
        <x:v>SYN0006526</x:v>
      </x:c>
      <x:c r="B6527" s="12" t="n">
        <x:v>41815</x:v>
      </x:c>
      <x:c r="C6527" s="18" t="n">
        <x:v>30387</x:v>
      </x:c>
      <x:c r="D6527" s="18" t="n">
        <x:v>44021</x:v>
      </x:c>
      <x:c r="E6527" s="18" t="n">
        <x:v>8.51</x:v>
      </x:c>
      <x:c r="F6527" s="18" t="n">
        <x:v>15.47</x:v>
      </x:c>
      <x:c r="G6527" t="n">
        <x:v>60</x:v>
      </x:c>
      <x:c r="H6527" t="str">
        <x:v>D</x:v>
      </x:c>
      <x:c r="I6527" t="str">
        <x:v>10+ years</x:v>
      </x:c>
      <x:c r="J6527" t="str">
        <x:v>RENT</x:v>
      </x:c>
      <x:c r="K6527" t="str">
        <x:v>other</x:v>
      </x:c>
      <x:c r="L6527" t="n">
        <x:v>0</x:v>
      </x:c>
      <x:c r="M6527" t="n">
        <x:v>1</x:v>
      </x:c>
      <x:c r="N6527" t="str">
        <x:v>Charged Off</x:v>
      </x:c>
      <x:c r="O6527" t="str">
        <x:f>IF(D6527="","Unknown",IF(D6527&lt;25000,"&lt;$25k",IF(D6527&lt;50000,"$25k-$50k",IF(D6527&lt;75000,"$50k-$75k",IF(D6527&lt;100000,"$75k-$100k","$100k+")))))</x:f>
        <x:v>$25k-$50k</x:v>
      </x:c>
      <x:c r="P6527" t="str">
        <x:f>IF(E6527="","Unknown",IF(E6527&lt;10,"&lt;10",IF(E6527&lt;20,"10-&lt;20",IF(E6527&lt;25,"20-&lt;25",IF(E6527&lt;35,"25-&lt;35","35+")))))</x:f>
        <x:v>&lt;10</x:v>
      </x:c>
    </x:row>
    <x:row r="6528">
      <x:c r="A6528" t="str">
        <x:v>SYN0006527</x:v>
      </x:c>
      <x:c r="B6528" s="12" t="n">
        <x:v>41485</x:v>
      </x:c>
      <x:c r="C6528" s="18" t="n">
        <x:v>27614</x:v>
      </x:c>
      <x:c r="D6528" s="18" t="n">
        <x:v>71554</x:v>
      </x:c>
      <x:c r="E6528" s="18" t="n">
        <x:v>30.4</x:v>
      </x:c>
      <x:c r="F6528" s="18" t="n">
        <x:v>10.15</x:v>
      </x:c>
      <x:c r="G6528" t="n">
        <x:v>60</x:v>
      </x:c>
      <x:c r="H6528" t="str">
        <x:v>C</x:v>
      </x:c>
      <x:c r="I6528" t="str">
        <x:v>4-6 years</x:v>
      </x:c>
      <x:c r="J6528" t="str">
        <x:v>MORTGAGE</x:v>
      </x:c>
      <x:c r="K6528" t="str">
        <x:v>major_purchase</x:v>
      </x:c>
      <x:c r="L6528" t="n">
        <x:v>0</x:v>
      </x:c>
      <x:c r="M6528" t="n">
        <x:v>0</x:v>
      </x:c>
      <x:c r="N6528" t="str">
        <x:v>Fully Paid</x:v>
      </x:c>
      <x:c r="O6528" t="str">
        <x:f>IF(D6528="","Unknown",IF(D6528&lt;25000,"&lt;$25k",IF(D6528&lt;50000,"$25k-$50k",IF(D6528&lt;75000,"$50k-$75k",IF(D6528&lt;100000,"$75k-$100k","$100k+")))))</x:f>
        <x:v>$50k-$75k</x:v>
      </x:c>
      <x:c r="P6528" t="str">
        <x:f>IF(E6528="","Unknown",IF(E6528&lt;10,"&lt;10",IF(E6528&lt;20,"10-&lt;20",IF(E6528&lt;25,"20-&lt;25",IF(E6528&lt;35,"25-&lt;35","35+")))))</x:f>
        <x:v>25-&lt;35</x:v>
      </x:c>
    </x:row>
    <x:row r="6529">
      <x:c r="A6529" t="str">
        <x:v>SYN0006528</x:v>
      </x:c>
      <x:c r="B6529" s="12" t="n">
        <x:v>42925</x:v>
      </x:c>
      <x:c r="C6529" s="18" t="n">
        <x:v>13121</x:v>
      </x:c>
      <x:c r="D6529" s="18" t="n">
        <x:v>32407</x:v>
      </x:c>
      <x:c r="E6529" s="18" t="n">
        <x:v>31</x:v>
      </x:c>
      <x:c r="F6529" s="18" t="n">
        <x:v>21.23</x:v>
      </x:c>
      <x:c r="G6529" t="n">
        <x:v>36</x:v>
      </x:c>
      <x:c r="H6529" t="str">
        <x:v>F</x:v>
      </x:c>
      <x:c r="I6529" t="str">
        <x:v>4-6 years</x:v>
      </x:c>
      <x:c r="J6529" t="str">
        <x:v>OWN</x:v>
      </x:c>
      <x:c r="K6529" t="str">
        <x:v>debt_consolidation</x:v>
      </x:c>
      <x:c r="L6529" t="n">
        <x:v>1</x:v>
      </x:c>
      <x:c r="M6529" t="n">
        <x:v>0</x:v>
      </x:c>
      <x:c r="N6529" t="str">
        <x:v>Fully Paid</x:v>
      </x:c>
      <x:c r="O6529" t="str">
        <x:f>IF(D6529="","Unknown",IF(D6529&lt;25000,"&lt;$25k",IF(D6529&lt;50000,"$25k-$50k",IF(D6529&lt;75000,"$50k-$75k",IF(D6529&lt;100000,"$75k-$100k","$100k+")))))</x:f>
        <x:v>$25k-$50k</x:v>
      </x:c>
      <x:c r="P6529" t="str">
        <x:f>IF(E6529="","Unknown",IF(E6529&lt;10,"&lt;10",IF(E6529&lt;20,"10-&lt;20",IF(E6529&lt;25,"20-&lt;25",IF(E6529&lt;35,"25-&lt;35","35+")))))</x:f>
        <x:v>25-&lt;35</x:v>
      </x:c>
    </x:row>
    <x:row r="6530">
      <x:c r="A6530" t="str">
        <x:v>SYN0006529</x:v>
      </x:c>
      <x:c r="B6530" s="12" t="n">
        <x:v>42655</x:v>
      </x:c>
      <x:c r="C6530" s="18" t="n">
        <x:v>13503</x:v>
      </x:c>
      <x:c r="D6530" s="18" t="n">
        <x:v>82299</x:v>
      </x:c>
      <x:c r="E6530" s="18" t="n">
        <x:v>10.83</x:v>
      </x:c>
      <x:c r="F6530" s="18" t="n">
        <x:v>12.95</x:v>
      </x:c>
      <x:c r="G6530" t="n">
        <x:v>36</x:v>
      </x:c>
      <x:c r="H6530" t="str">
        <x:v>E</x:v>
      </x:c>
      <x:c r="I6530" t="str">
        <x:v>&lt;1 year</x:v>
      </x:c>
      <x:c r="J6530" t="str">
        <x:v>MORTGAGE</x:v>
      </x:c>
      <x:c r="K6530" t="str">
        <x:v>debt_consolidation</x:v>
      </x:c>
      <x:c r="L6530" t="n">
        <x:v>1</x:v>
      </x:c>
      <x:c r="M6530" t="n">
        <x:v>1</x:v>
      </x:c>
      <x:c r="N6530" t="str">
        <x:v>Charged Off</x:v>
      </x:c>
      <x:c r="O6530" t="str">
        <x:f>IF(D6530="","Unknown",IF(D6530&lt;25000,"&lt;$25k",IF(D6530&lt;50000,"$25k-$50k",IF(D6530&lt;75000,"$50k-$75k",IF(D6530&lt;100000,"$75k-$100k","$100k+")))))</x:f>
        <x:v>$75k-$100k</x:v>
      </x:c>
      <x:c r="P6530" t="str">
        <x:f>IF(E6530="","Unknown",IF(E6530&lt;10,"&lt;10",IF(E6530&lt;20,"10-&lt;20",IF(E6530&lt;25,"20-&lt;25",IF(E6530&lt;35,"25-&lt;35","35+")))))</x:f>
        <x:v>10-&lt;20</x:v>
      </x:c>
    </x:row>
    <x:row r="6531">
      <x:c r="A6531" t="str">
        <x:v>SYN0006530</x:v>
      </x:c>
      <x:c r="B6531" s="12" t="n">
        <x:v>43345</x:v>
      </x:c>
      <x:c r="C6531" s="18" t="n">
        <x:v>8126</x:v>
      </x:c>
      <x:c r="D6531" s="18" t="n">
        <x:v>40288</x:v>
      </x:c>
      <x:c r="E6531" s="18" t="n">
        <x:v>19.91</x:v>
      </x:c>
      <x:c r="F6531" s="18" t="n">
        <x:v>9.74</x:v>
      </x:c>
      <x:c r="G6531" t="n">
        <x:v>36</x:v>
      </x:c>
      <x:c r="H6531" t="str">
        <x:v>B</x:v>
      </x:c>
      <x:c r="I6531" t="str">
        <x:v>&lt;1 year</x:v>
      </x:c>
      <x:c r="J6531" t="str">
        <x:v>MORTGAGE</x:v>
      </x:c>
      <x:c r="K6531" t="str">
        <x:v>medical</x:v>
      </x:c>
      <x:c r="L6531" t="n">
        <x:v>0</x:v>
      </x:c>
      <x:c r="M6531" t="n">
        <x:v>0</x:v>
      </x:c>
      <x:c r="N6531" t="str">
        <x:v>Fully Paid</x:v>
      </x:c>
      <x:c r="O6531" t="str">
        <x:f>IF(D6531="","Unknown",IF(D6531&lt;25000,"&lt;$25k",IF(D6531&lt;50000,"$25k-$50k",IF(D6531&lt;75000,"$50k-$75k",IF(D6531&lt;100000,"$75k-$100k","$100k+")))))</x:f>
        <x:v>$25k-$50k</x:v>
      </x:c>
      <x:c r="P6531" t="str">
        <x:f>IF(E6531="","Unknown",IF(E6531&lt;10,"&lt;10",IF(E6531&lt;20,"10-&lt;20",IF(E6531&lt;25,"20-&lt;25",IF(E6531&lt;35,"25-&lt;35","35+")))))</x:f>
        <x:v>10-&lt;20</x:v>
      </x:c>
    </x:row>
    <x:row r="6532">
      <x:c r="A6532" t="str">
        <x:v>SYN0006531</x:v>
      </x:c>
      <x:c r="B6532" s="12" t="n">
        <x:v>42175</x:v>
      </x:c>
      <x:c r="C6532" s="18" t="n">
        <x:v>16102</x:v>
      </x:c>
      <x:c r="D6532" s="18" t="n">
        <x:v>87942</x:v>
      </x:c>
      <x:c r="E6532" s="18" t="n">
        <x:v>12.21</x:v>
      </x:c>
      <x:c r="F6532" s="18" t="n">
        <x:v>13.14</x:v>
      </x:c>
      <x:c r="G6532" t="n">
        <x:v>60</x:v>
      </x:c>
      <x:c r="H6532" t="str">
        <x:v>C</x:v>
      </x:c>
      <x:c r="I6532" t="str">
        <x:v>1-3 years</x:v>
      </x:c>
      <x:c r="J6532" t="str">
        <x:v>MORTGAGE</x:v>
      </x:c>
      <x:c r="K6532" t="str">
        <x:v>credit_card</x:v>
      </x:c>
      <x:c r="L6532" t="n">
        <x:v>0</x:v>
      </x:c>
      <x:c r="M6532" t="n">
        <x:v>0</x:v>
      </x:c>
      <x:c r="N6532" t="str">
        <x:v>Fully Paid</x:v>
      </x:c>
      <x:c r="O6532" t="str">
        <x:f>IF(D6532="","Unknown",IF(D6532&lt;25000,"&lt;$25k",IF(D6532&lt;50000,"$25k-$50k",IF(D6532&lt;75000,"$50k-$75k",IF(D6532&lt;100000,"$75k-$100k","$100k+")))))</x:f>
        <x:v>$75k-$100k</x:v>
      </x:c>
      <x:c r="P6532" t="str">
        <x:f>IF(E6532="","Unknown",IF(E6532&lt;10,"&lt;10",IF(E6532&lt;20,"10-&lt;20",IF(E6532&lt;25,"20-&lt;25",IF(E6532&lt;35,"25-&lt;35","35+")))))</x:f>
        <x:v>10-&lt;20</x:v>
      </x:c>
    </x:row>
    <x:row r="6533">
      <x:c r="A6533" t="str">
        <x:v>SYN0006532</x:v>
      </x:c>
      <x:c r="B6533" s="12" t="n">
        <x:v>41305</x:v>
      </x:c>
      <x:c r="C6533" s="18" t="n">
        <x:v>22345</x:v>
      </x:c>
      <x:c r="D6533" s="18" t="n">
        <x:v>41463</x:v>
      </x:c>
      <x:c r="E6533" s="18" t="n">
        <x:v>21.47</x:v>
      </x:c>
      <x:c r="F6533" s="18" t="n">
        <x:v>21.02</x:v>
      </x:c>
      <x:c r="G6533" t="n">
        <x:v>36</x:v>
      </x:c>
      <x:c r="H6533" t="str">
        <x:v>F</x:v>
      </x:c>
      <x:c r="I6533" t="str">
        <x:v>&lt;1 year</x:v>
      </x:c>
      <x:c r="J6533" t="str">
        <x:v>RENT</x:v>
      </x:c>
      <x:c r="K6533" t="str">
        <x:v>debt_consolidation</x:v>
      </x:c>
      <x:c r="L6533" t="n">
        <x:v>0</x:v>
      </x:c>
      <x:c r="M6533" t="n">
        <x:v>1</x:v>
      </x:c>
      <x:c r="N6533" t="str">
        <x:v>Charged Off</x:v>
      </x:c>
      <x:c r="O6533" t="str">
        <x:f>IF(D6533="","Unknown",IF(D6533&lt;25000,"&lt;$25k",IF(D6533&lt;50000,"$25k-$50k",IF(D6533&lt;75000,"$50k-$75k",IF(D6533&lt;100000,"$75k-$100k","$100k+")))))</x:f>
        <x:v>$25k-$50k</x:v>
      </x:c>
      <x:c r="P6533" t="str">
        <x:f>IF(E6533="","Unknown",IF(E6533&lt;10,"&lt;10",IF(E6533&lt;20,"10-&lt;20",IF(E6533&lt;25,"20-&lt;25",IF(E6533&lt;35,"25-&lt;35","35+")))))</x:f>
        <x:v>20-&lt;25</x:v>
      </x:c>
    </x:row>
    <x:row r="6534">
      <x:c r="A6534" t="str">
        <x:v>SYN0006533</x:v>
      </x:c>
      <x:c r="B6534" s="12" t="n">
        <x:v>42415</x:v>
      </x:c>
      <x:c r="C6534" s="18" t="n">
        <x:v>11669</x:v>
      </x:c>
      <x:c r="D6534" s="18" t="n">
        <x:v>61966</x:v>
      </x:c>
      <x:c r="E6534" s="18" t="n">
        <x:v>16.42</x:v>
      </x:c>
      <x:c r="F6534" s="18" t="n">
        <x:v>10.82</x:v>
      </x:c>
      <x:c r="G6534" t="n">
        <x:v>36</x:v>
      </x:c>
      <x:c r="H6534" t="str">
        <x:v>B</x:v>
      </x:c>
      <x:c r="I6534" t="str">
        <x:v>10+ years</x:v>
      </x:c>
      <x:c r="J6534" t="str">
        <x:v>RENT</x:v>
      </x:c>
      <x:c r="K6534" t="str">
        <x:v>major_purchase</x:v>
      </x:c>
      <x:c r="L6534" t="n">
        <x:v>0</x:v>
      </x:c>
      <x:c r="M6534" t="n">
        <x:v>0</x:v>
      </x:c>
      <x:c r="N6534" t="str">
        <x:v>Fully Paid</x:v>
      </x:c>
      <x:c r="O6534" t="str">
        <x:f>IF(D6534="","Unknown",IF(D6534&lt;25000,"&lt;$25k",IF(D6534&lt;50000,"$25k-$50k",IF(D6534&lt;75000,"$50k-$75k",IF(D6534&lt;100000,"$75k-$100k","$100k+")))))</x:f>
        <x:v>$50k-$75k</x:v>
      </x:c>
      <x:c r="P6534" t="str">
        <x:f>IF(E6534="","Unknown",IF(E6534&lt;10,"&lt;10",IF(E6534&lt;20,"10-&lt;20",IF(E6534&lt;25,"20-&lt;25",IF(E6534&lt;35,"25-&lt;35","35+")))))</x:f>
        <x:v>10-&lt;20</x:v>
      </x:c>
    </x:row>
    <x:row r="6535">
      <x:c r="A6535" t="str">
        <x:v>SYN0006534</x:v>
      </x:c>
      <x:c r="B6535" s="12" t="n">
        <x:v>43075</x:v>
      </x:c>
      <x:c r="C6535" s="18" t="n">
        <x:v>7968</x:v>
      </x:c>
      <x:c r="D6535" s="18" t="n">
        <x:v>56427</x:v>
      </x:c>
      <x:c r="E6535" s="18" t="n">
        <x:v>21.35</x:v>
      </x:c>
      <x:c r="F6535" s="18" t="n">
        <x:v>18.67</x:v>
      </x:c>
      <x:c r="G6535" t="n">
        <x:v>60</x:v>
      </x:c>
      <x:c r="H6535" t="str">
        <x:v>E</x:v>
      </x:c>
      <x:c r="I6535" t="str">
        <x:v>1-3 years</x:v>
      </x:c>
      <x:c r="J6535" t="str">
        <x:v>MORTGAGE</x:v>
      </x:c>
      <x:c r="K6535" t="str">
        <x:v>debt_consolidation</x:v>
      </x:c>
      <x:c r="L6535" t="n">
        <x:v>2</x:v>
      </x:c>
      <x:c r="M6535" t="n">
        <x:v>1</x:v>
      </x:c>
      <x:c r="N6535" t="str">
        <x:v>Charged Off</x:v>
      </x:c>
      <x:c r="O6535" t="str">
        <x:f>IF(D6535="","Unknown",IF(D6535&lt;25000,"&lt;$25k",IF(D6535&lt;50000,"$25k-$50k",IF(D6535&lt;75000,"$50k-$75k",IF(D6535&lt;100000,"$75k-$100k","$100k+")))))</x:f>
        <x:v>$50k-$75k</x:v>
      </x:c>
      <x:c r="P6535" t="str">
        <x:f>IF(E6535="","Unknown",IF(E6535&lt;10,"&lt;10",IF(E6535&lt;20,"10-&lt;20",IF(E6535&lt;25,"20-&lt;25",IF(E6535&lt;35,"25-&lt;35","35+")))))</x:f>
        <x:v>20-&lt;25</x:v>
      </x:c>
    </x:row>
    <x:row r="6536">
      <x:c r="A6536" t="str">
        <x:v>SYN0006535</x:v>
      </x:c>
      <x:c r="B6536" s="12" t="n">
        <x:v>42625</x:v>
      </x:c>
      <x:c r="C6536" s="18" t="n">
        <x:v>13715</x:v>
      </x:c>
      <x:c r="D6536" s="18" t="n">
        <x:v>55984</x:v>
      </x:c>
      <x:c r="E6536" s="18" t="n">
        <x:v>33.95</x:v>
      </x:c>
      <x:c r="F6536" s="18" t="n">
        <x:v>22.34</x:v>
      </x:c>
      <x:c r="G6536" t="n">
        <x:v>60</x:v>
      </x:c>
      <x:c r="H6536" t="str">
        <x:v>F</x:v>
      </x:c>
      <x:c r="I6536" t="str">
        <x:v>1-3 years</x:v>
      </x:c>
      <x:c r="J6536" t="str">
        <x:v>RENT</x:v>
      </x:c>
      <x:c r="K6536" t="str">
        <x:v>credit_card</x:v>
      </x:c>
      <x:c r="L6536" t="n">
        <x:v>0</x:v>
      </x:c>
      <x:c r="M6536" t="n">
        <x:v>0</x:v>
      </x:c>
      <x:c r="N6536" t="str">
        <x:v>Fully Paid</x:v>
      </x:c>
      <x:c r="O6536" t="str">
        <x:f>IF(D6536="","Unknown",IF(D6536&lt;25000,"&lt;$25k",IF(D6536&lt;50000,"$25k-$50k",IF(D6536&lt;75000,"$50k-$75k",IF(D6536&lt;100000,"$75k-$100k","$100k+")))))</x:f>
        <x:v>$50k-$75k</x:v>
      </x:c>
      <x:c r="P6536" t="str">
        <x:f>IF(E6536="","Unknown",IF(E6536&lt;10,"&lt;10",IF(E6536&lt;20,"10-&lt;20",IF(E6536&lt;25,"20-&lt;25",IF(E6536&lt;35,"25-&lt;35","35+")))))</x:f>
        <x:v>25-&lt;35</x:v>
      </x:c>
    </x:row>
    <x:row r="6537">
      <x:c r="A6537" t="str">
        <x:v>SYN0006536</x:v>
      </x:c>
      <x:c r="B6537" s="12" t="n">
        <x:v>41935</x:v>
      </x:c>
      <x:c r="C6537" s="18" t="n">
        <x:v>23081</x:v>
      </x:c>
      <x:c r="D6537" s="18" t="n">
        <x:v>72622</x:v>
      </x:c>
      <x:c r="E6537" s="18" t="n">
        <x:v>20.02</x:v>
      </x:c>
      <x:c r="F6537" s="18" t="n">
        <x:v>9.31</x:v>
      </x:c>
      <x:c r="G6537" t="n">
        <x:v>36</x:v>
      </x:c>
      <x:c r="H6537" t="str">
        <x:v>B</x:v>
      </x:c>
      <x:c r="I6537" t="str">
        <x:v>10+ years</x:v>
      </x:c>
      <x:c r="J6537" t="str">
        <x:v>MORTGAGE</x:v>
      </x:c>
      <x:c r="K6537" t="str">
        <x:v>credit_card</x:v>
      </x:c>
      <x:c r="L6537" t="n">
        <x:v>0</x:v>
      </x:c>
      <x:c r="M6537" t="n">
        <x:v>0</x:v>
      </x:c>
      <x:c r="N6537" t="str">
        <x:v>Fully Paid</x:v>
      </x:c>
      <x:c r="O6537" t="str">
        <x:f>IF(D6537="","Unknown",IF(D6537&lt;25000,"&lt;$25k",IF(D6537&lt;50000,"$25k-$50k",IF(D6537&lt;75000,"$50k-$75k",IF(D6537&lt;100000,"$75k-$100k","$100k+")))))</x:f>
        <x:v>$50k-$75k</x:v>
      </x:c>
      <x:c r="P6537" t="str">
        <x:f>IF(E6537="","Unknown",IF(E6537&lt;10,"&lt;10",IF(E6537&lt;20,"10-&lt;20",IF(E6537&lt;25,"20-&lt;25",IF(E6537&lt;35,"25-&lt;35","35+")))))</x:f>
        <x:v>20-&lt;25</x:v>
      </x:c>
    </x:row>
    <x:row r="6538">
      <x:c r="A6538" t="str">
        <x:v>SYN0006537</x:v>
      </x:c>
      <x:c r="B6538" s="12" t="n">
        <x:v>43225</x:v>
      </x:c>
      <x:c r="C6538" s="18" t="n">
        <x:v>8149</x:v>
      </x:c>
      <x:c r="D6538" s="18" t="n">
        <x:v>19152</x:v>
      </x:c>
      <x:c r="E6538" s="18" t="n">
        <x:v>15.84</x:v>
      </x:c>
      <x:c r="F6538" s="18" t="n">
        <x:v>12.73</x:v>
      </x:c>
      <x:c r="G6538" t="n">
        <x:v>60</x:v>
      </x:c>
      <x:c r="H6538" t="str">
        <x:v>C</x:v>
      </x:c>
      <x:c r="I6538" t="str">
        <x:v>&lt;1 year</x:v>
      </x:c>
      <x:c r="J6538" t="str">
        <x:v>RENT</x:v>
      </x:c>
      <x:c r="K6538" t="str">
        <x:v>debt_consolidation</x:v>
      </x:c>
      <x:c r="L6538" t="n">
        <x:v>0</x:v>
      </x:c>
      <x:c r="M6538" t="n">
        <x:v>0</x:v>
      </x:c>
      <x:c r="N6538" t="str">
        <x:v>Fully Paid</x:v>
      </x:c>
      <x:c r="O6538" t="str">
        <x:f>IF(D6538="","Unknown",IF(D6538&lt;25000,"&lt;$25k",IF(D6538&lt;50000,"$25k-$50k",IF(D6538&lt;75000,"$50k-$75k",IF(D6538&lt;100000,"$75k-$100k","$100k+")))))</x:f>
        <x:v>&lt;$25k</x:v>
      </x:c>
      <x:c r="P6538" t="str">
        <x:f>IF(E6538="","Unknown",IF(E6538&lt;10,"&lt;10",IF(E6538&lt;20,"10-&lt;20",IF(E6538&lt;25,"20-&lt;25",IF(E6538&lt;35,"25-&lt;35","35+")))))</x:f>
        <x:v>10-&lt;20</x:v>
      </x:c>
    </x:row>
    <x:row r="6539">
      <x:c r="A6539" t="str">
        <x:v>SYN0006538</x:v>
      </x:c>
      <x:c r="B6539" s="12" t="n">
        <x:v>41515</x:v>
      </x:c>
      <x:c r="C6539" s="18" t="n">
        <x:v>18697</x:v>
      </x:c>
      <x:c r="D6539" s="18" t="n">
        <x:v>49124</x:v>
      </x:c>
      <x:c r="E6539" s="18" t="n">
        <x:v>26.26</x:v>
      </x:c>
      <x:c r="F6539" s="18" t="n">
        <x:v>7.34</x:v>
      </x:c>
      <x:c r="G6539" t="n">
        <x:v>36</x:v>
      </x:c>
      <x:c r="H6539" t="str">
        <x:v>B</x:v>
      </x:c>
      <x:c r="I6539" t="str">
        <x:v>7-9 years</x:v>
      </x:c>
      <x:c r="J6539" t="str">
        <x:v>MORTGAGE</x:v>
      </x:c>
      <x:c r="K6539" t="str">
        <x:v>debt_consolidation</x:v>
      </x:c>
      <x:c r="L6539" t="n">
        <x:v>0</x:v>
      </x:c>
      <x:c r="M6539" t="n">
        <x:v>0</x:v>
      </x:c>
      <x:c r="N6539" t="str">
        <x:v>Fully Paid</x:v>
      </x:c>
      <x:c r="O6539" t="str">
        <x:f>IF(D6539="","Unknown",IF(D6539&lt;25000,"&lt;$25k",IF(D6539&lt;50000,"$25k-$50k",IF(D6539&lt;75000,"$50k-$75k",IF(D6539&lt;100000,"$75k-$100k","$100k+")))))</x:f>
        <x:v>$25k-$50k</x:v>
      </x:c>
      <x:c r="P6539" t="str">
        <x:f>IF(E6539="","Unknown",IF(E6539&lt;10,"&lt;10",IF(E6539&lt;20,"10-&lt;20",IF(E6539&lt;25,"20-&lt;25",IF(E6539&lt;35,"25-&lt;35","35+")))))</x:f>
        <x:v>25-&lt;35</x:v>
      </x:c>
    </x:row>
    <x:row r="6540">
      <x:c r="A6540" t="str">
        <x:v>SYN0006539</x:v>
      </x:c>
      <x:c r="B6540" s="12" t="n">
        <x:v>42265</x:v>
      </x:c>
      <x:c r="C6540" s="18" t="n">
        <x:v>39858</x:v>
      </x:c>
      <x:c r="D6540" s="18" t="n">
        <x:v>50178</x:v>
      </x:c>
      <x:c r="E6540" s="18" t="n">
        <x:v>15.23</x:v>
      </x:c>
      <x:c r="F6540" s="18" t="n">
        <x:v>23.08</x:v>
      </x:c>
      <x:c r="G6540" t="n">
        <x:v>36</x:v>
      </x:c>
      <x:c r="H6540" t="str">
        <x:v>F</x:v>
      </x:c>
      <x:c r="I6540" t="str">
        <x:v>7-9 years</x:v>
      </x:c>
      <x:c r="J6540" t="str">
        <x:v>RENT</x:v>
      </x:c>
      <x:c r="K6540" t="str">
        <x:v>medical</x:v>
      </x:c>
      <x:c r="L6540" t="n">
        <x:v>1</x:v>
      </x:c>
      <x:c r="M6540" t="n">
        <x:v>0</x:v>
      </x:c>
      <x:c r="N6540" t="str">
        <x:v>Fully Paid</x:v>
      </x:c>
      <x:c r="O6540" t="str">
        <x:f>IF(D6540="","Unknown",IF(D6540&lt;25000,"&lt;$25k",IF(D6540&lt;50000,"$25k-$50k",IF(D6540&lt;75000,"$50k-$75k",IF(D6540&lt;100000,"$75k-$100k","$100k+")))))</x:f>
        <x:v>$50k-$75k</x:v>
      </x:c>
      <x:c r="P6540" t="str">
        <x:f>IF(E6540="","Unknown",IF(E6540&lt;10,"&lt;10",IF(E6540&lt;20,"10-&lt;20",IF(E6540&lt;25,"20-&lt;25",IF(E6540&lt;35,"25-&lt;35","35+")))))</x:f>
        <x:v>10-&lt;20</x:v>
      </x:c>
    </x:row>
    <x:row r="6541">
      <x:c r="A6541" t="str">
        <x:v>SYN0006540</x:v>
      </x:c>
      <x:c r="B6541" s="12" t="n">
        <x:v>42295</x:v>
      </x:c>
      <x:c r="C6541" s="18" t="n">
        <x:v>5781</x:v>
      </x:c>
      <x:c r="D6541" s="18" t="n">
        <x:v>16295</x:v>
      </x:c>
      <x:c r="E6541" s="18" t="n">
        <x:v>14.38</x:v>
      </x:c>
      <x:c r="F6541" s="18" t="n">
        <x:v>11.98</x:v>
      </x:c>
      <x:c r="G6541" t="n">
        <x:v>60</x:v>
      </x:c>
      <x:c r="H6541" t="str">
        <x:v>B</x:v>
      </x:c>
      <x:c r="I6541" t="str">
        <x:v>4-6 years</x:v>
      </x:c>
      <x:c r="J6541" t="str">
        <x:v>RENT</x:v>
      </x:c>
      <x:c r="K6541" t="str">
        <x:v>debt_consolidation</x:v>
      </x:c>
      <x:c r="L6541" t="n">
        <x:v>0</x:v>
      </x:c>
      <x:c r="M6541" t="n">
        <x:v>0</x:v>
      </x:c>
      <x:c r="N6541" t="str">
        <x:v>Fully Paid</x:v>
      </x:c>
      <x:c r="O6541" t="str">
        <x:f>IF(D6541="","Unknown",IF(D6541&lt;25000,"&lt;$25k",IF(D6541&lt;50000,"$25k-$50k",IF(D6541&lt;75000,"$50k-$75k",IF(D6541&lt;100000,"$75k-$100k","$100k+")))))</x:f>
        <x:v>&lt;$25k</x:v>
      </x:c>
      <x:c r="P6541" t="str">
        <x:f>IF(E6541="","Unknown",IF(E6541&lt;10,"&lt;10",IF(E6541&lt;20,"10-&lt;20",IF(E6541&lt;25,"20-&lt;25",IF(E6541&lt;35,"25-&lt;35","35+")))))</x:f>
        <x:v>10-&lt;20</x:v>
      </x:c>
    </x:row>
    <x:row r="6542">
      <x:c r="A6542" t="str">
        <x:v>SYN0006541</x:v>
      </x:c>
      <x:c r="B6542" s="12" t="n">
        <x:v>42415</x:v>
      </x:c>
      <x:c r="C6542" s="18" t="n">
        <x:v>11620</x:v>
      </x:c>
      <x:c r="D6542" s="18" t="n">
        <x:v>102873</x:v>
      </x:c>
      <x:c r="E6542" s="18" t="n">
        <x:v>27.69</x:v>
      </x:c>
      <x:c r="F6542" s="18" t="n">
        <x:v>16.97</x:v>
      </x:c>
      <x:c r="G6542" t="n">
        <x:v>60</x:v>
      </x:c>
      <x:c r="H6542" t="str">
        <x:v>E</x:v>
      </x:c>
      <x:c r="I6542" t="str">
        <x:v>10+ years</x:v>
      </x:c>
      <x:c r="J6542" t="str">
        <x:v>RENT</x:v>
      </x:c>
      <x:c r="K6542" t="str">
        <x:v>debt_consolidation</x:v>
      </x:c>
      <x:c r="L6542" t="n">
        <x:v>0</x:v>
      </x:c>
      <x:c r="M6542" t="n">
        <x:v>0</x:v>
      </x:c>
      <x:c r="N6542" t="str">
        <x:v>Fully Paid</x:v>
      </x:c>
      <x:c r="O6542" t="str">
        <x:f>IF(D6542="","Unknown",IF(D6542&lt;25000,"&lt;$25k",IF(D6542&lt;50000,"$25k-$50k",IF(D6542&lt;75000,"$50k-$75k",IF(D6542&lt;100000,"$75k-$100k","$100k+")))))</x:f>
        <x:v>$100k+</x:v>
      </x:c>
      <x:c r="P6542" t="str">
        <x:f>IF(E6542="","Unknown",IF(E6542&lt;10,"&lt;10",IF(E6542&lt;20,"10-&lt;20",IF(E6542&lt;25,"20-&lt;25",IF(E6542&lt;35,"25-&lt;35","35+")))))</x:f>
        <x:v>25-&lt;35</x:v>
      </x:c>
    </x:row>
    <x:row r="6543">
      <x:c r="A6543" t="str">
        <x:v>SYN0006542</x:v>
      </x:c>
      <x:c r="B6543" s="12" t="n">
        <x:v>41335</x:v>
      </x:c>
      <x:c r="C6543" s="18" t="n">
        <x:v>36041</x:v>
      </x:c>
      <x:c r="D6543" s="18" t="n">
        <x:v>54278</x:v>
      </x:c>
      <x:c r="E6543" s="18" t="n">
        <x:v>23.99</x:v>
      </x:c>
      <x:c r="F6543" s="18" t="n">
        <x:v>17.19</x:v>
      </x:c>
      <x:c r="G6543" t="n">
        <x:v>60</x:v>
      </x:c>
      <x:c r="H6543" t="str">
        <x:v>E</x:v>
      </x:c>
      <x:c r="I6543" t="str">
        <x:v>1-3 years</x:v>
      </x:c>
      <x:c r="J6543" t="str">
        <x:v>RENT</x:v>
      </x:c>
      <x:c r="K6543" t="str">
        <x:v>debt_consolidation</x:v>
      </x:c>
      <x:c r="L6543" t="n">
        <x:v>1</x:v>
      </x:c>
      <x:c r="M6543" t="n">
        <x:v>0</x:v>
      </x:c>
      <x:c r="N6543" t="str">
        <x:v>Fully Paid</x:v>
      </x:c>
      <x:c r="O6543" t="str">
        <x:f>IF(D6543="","Unknown",IF(D6543&lt;25000,"&lt;$25k",IF(D6543&lt;50000,"$25k-$50k",IF(D6543&lt;75000,"$50k-$75k",IF(D6543&lt;100000,"$75k-$100k","$100k+")))))</x:f>
        <x:v>$50k-$75k</x:v>
      </x:c>
      <x:c r="P6543" t="str">
        <x:f>IF(E6543="","Unknown",IF(E6543&lt;10,"&lt;10",IF(E6543&lt;20,"10-&lt;20",IF(E6543&lt;25,"20-&lt;25",IF(E6543&lt;35,"25-&lt;35","35+")))))</x:f>
        <x:v>20-&lt;25</x:v>
      </x:c>
    </x:row>
    <x:row r="6544">
      <x:c r="A6544" t="str">
        <x:v>SYN0006543</x:v>
      </x:c>
      <x:c r="B6544" s="12" t="n">
        <x:v>43225</x:v>
      </x:c>
      <x:c r="C6544" s="18" t="n">
        <x:v>14098</x:v>
      </x:c>
      <x:c r="D6544" s="18" t="n">
        <x:v>20401</x:v>
      </x:c>
      <x:c r="E6544" s="18" t="n">
        <x:v>25.81</x:v>
      </x:c>
      <x:c r="F6544" s="18" t="n">
        <x:v>13.96</x:v>
      </x:c>
      <x:c r="G6544" t="n">
        <x:v>36</x:v>
      </x:c>
      <x:c r="H6544" t="str">
        <x:v>D</x:v>
      </x:c>
      <x:c r="I6544" t="str">
        <x:v>4-6 years</x:v>
      </x:c>
      <x:c r="J6544" t="str">
        <x:v>RENT</x:v>
      </x:c>
      <x:c r="K6544" t="str">
        <x:v>credit_card</x:v>
      </x:c>
      <x:c r="L6544" t="n">
        <x:v>0</x:v>
      </x:c>
      <x:c r="M6544" t="n">
        <x:v>1</x:v>
      </x:c>
      <x:c r="N6544" t="str">
        <x:v>Charged Off</x:v>
      </x:c>
      <x:c r="O6544" t="str">
        <x:f>IF(D6544="","Unknown",IF(D6544&lt;25000,"&lt;$25k",IF(D6544&lt;50000,"$25k-$50k",IF(D6544&lt;75000,"$50k-$75k",IF(D6544&lt;100000,"$75k-$100k","$100k+")))))</x:f>
        <x:v>&lt;$25k</x:v>
      </x:c>
      <x:c r="P6544" t="str">
        <x:f>IF(E6544="","Unknown",IF(E6544&lt;10,"&lt;10",IF(E6544&lt;20,"10-&lt;20",IF(E6544&lt;25,"20-&lt;25",IF(E6544&lt;35,"25-&lt;35","35+")))))</x:f>
        <x:v>25-&lt;35</x:v>
      </x:c>
    </x:row>
    <x:row r="6545">
      <x:c r="A6545" t="str">
        <x:v>SYN0006544</x:v>
      </x:c>
      <x:c r="B6545" s="12" t="n">
        <x:v>43255</x:v>
      </x:c>
      <x:c r="C6545" s="18" t="n">
        <x:v>20537</x:v>
      </x:c>
      <x:c r="D6545" s="18" t="n">
        <x:v>81012</x:v>
      </x:c>
      <x:c r="E6545" s="18" t="n">
        <x:v>27.3</x:v>
      </x:c>
      <x:c r="F6545" s="18" t="n">
        <x:v>12.87</x:v>
      </x:c>
      <x:c r="G6545" t="n">
        <x:v>36</x:v>
      </x:c>
      <x:c r="H6545" t="str">
        <x:v>C</x:v>
      </x:c>
      <x:c r="I6545" t="str">
        <x:v>10+ years</x:v>
      </x:c>
      <x:c r="J6545" t="str">
        <x:v>RENT</x:v>
      </x:c>
      <x:c r="K6545" t="str">
        <x:v>debt_consolidation</x:v>
      </x:c>
      <x:c r="L6545" t="n">
        <x:v>1</x:v>
      </x:c>
      <x:c r="M6545" t="n">
        <x:v>0</x:v>
      </x:c>
      <x:c r="N6545" t="str">
        <x:v>Fully Paid</x:v>
      </x:c>
      <x:c r="O6545" t="str">
        <x:f>IF(D6545="","Unknown",IF(D6545&lt;25000,"&lt;$25k",IF(D6545&lt;50000,"$25k-$50k",IF(D6545&lt;75000,"$50k-$75k",IF(D6545&lt;100000,"$75k-$100k","$100k+")))))</x:f>
        <x:v>$75k-$100k</x:v>
      </x:c>
      <x:c r="P6545" t="str">
        <x:f>IF(E6545="","Unknown",IF(E6545&lt;10,"&lt;10",IF(E6545&lt;20,"10-&lt;20",IF(E6545&lt;25,"20-&lt;25",IF(E6545&lt;35,"25-&lt;35","35+")))))</x:f>
        <x:v>25-&lt;35</x:v>
      </x:c>
    </x:row>
    <x:row r="6546">
      <x:c r="A6546" t="str">
        <x:v>SYN0006545</x:v>
      </x:c>
      <x:c r="B6546" s="12" t="n">
        <x:v>41485</x:v>
      </x:c>
      <x:c r="C6546" s="18" t="n">
        <x:v>25646</x:v>
      </x:c>
      <x:c r="D6546" s="18" t="n">
        <x:v>73643</x:v>
      </x:c>
      <x:c r="E6546" s="18" t="n">
        <x:v>19.83</x:v>
      </x:c>
      <x:c r="F6546" s="18" t="n">
        <x:v>21.02</x:v>
      </x:c>
      <x:c r="G6546" t="n">
        <x:v>36</x:v>
      </x:c>
      <x:c r="H6546" t="str">
        <x:v>F</x:v>
      </x:c>
      <x:c r="I6546" t="str">
        <x:v>4-6 years</x:v>
      </x:c>
      <x:c r="J6546" t="str">
        <x:v>OWN</x:v>
      </x:c>
      <x:c r="K6546" t="str">
        <x:v>debt_consolidation</x:v>
      </x:c>
      <x:c r="L6546" t="n">
        <x:v>1</x:v>
      </x:c>
      <x:c r="M6546" t="n">
        <x:v>0</x:v>
      </x:c>
      <x:c r="N6546" t="str">
        <x:v>Fully Paid</x:v>
      </x:c>
      <x:c r="O6546" t="str">
        <x:f>IF(D6546="","Unknown",IF(D6546&lt;25000,"&lt;$25k",IF(D6546&lt;50000,"$25k-$50k",IF(D6546&lt;75000,"$50k-$75k",IF(D6546&lt;100000,"$75k-$100k","$100k+")))))</x:f>
        <x:v>$50k-$75k</x:v>
      </x:c>
      <x:c r="P6546" t="str">
        <x:f>IF(E6546="","Unknown",IF(E6546&lt;10,"&lt;10",IF(E6546&lt;20,"10-&lt;20",IF(E6546&lt;25,"20-&lt;25",IF(E6546&lt;35,"25-&lt;35","35+")))))</x:f>
        <x:v>10-&lt;20</x:v>
      </x:c>
    </x:row>
    <x:row r="6547">
      <x:c r="A6547" t="str">
        <x:v>SYN0006546</x:v>
      </x:c>
      <x:c r="B6547" s="12" t="n">
        <x:v>43375</x:v>
      </x:c>
      <x:c r="C6547" s="18" t="n">
        <x:v>33496</x:v>
      </x:c>
      <x:c r="D6547" s="18" t="n">
        <x:v>27196</x:v>
      </x:c>
      <x:c r="E6547" s="18" t="n">
        <x:v>27.54</x:v>
      </x:c>
      <x:c r="F6547" s="18" t="n">
        <x:v>25.32</x:v>
      </x:c>
      <x:c r="G6547" t="n">
        <x:v>36</x:v>
      </x:c>
      <x:c r="H6547" t="str">
        <x:v>F</x:v>
      </x:c>
      <x:c r="I6547" t="str">
        <x:v>10+ years</x:v>
      </x:c>
      <x:c r="J6547" t="str">
        <x:v>RENT</x:v>
      </x:c>
      <x:c r="K6547" t="str">
        <x:v>major_purchase</x:v>
      </x:c>
      <x:c r="L6547" t="n">
        <x:v>3</x:v>
      </x:c>
      <x:c r="M6547" t="n">
        <x:v>1</x:v>
      </x:c>
      <x:c r="N6547" t="str">
        <x:v>Charged Off</x:v>
      </x:c>
      <x:c r="O6547" t="str">
        <x:f>IF(D6547="","Unknown",IF(D6547&lt;25000,"&lt;$25k",IF(D6547&lt;50000,"$25k-$50k",IF(D6547&lt;75000,"$50k-$75k",IF(D6547&lt;100000,"$75k-$100k","$100k+")))))</x:f>
        <x:v>$25k-$50k</x:v>
      </x:c>
      <x:c r="P6547" t="str">
        <x:f>IF(E6547="","Unknown",IF(E6547&lt;10,"&lt;10",IF(E6547&lt;20,"10-&lt;20",IF(E6547&lt;25,"20-&lt;25",IF(E6547&lt;35,"25-&lt;35","35+")))))</x:f>
        <x:v>25-&lt;35</x:v>
      </x:c>
    </x:row>
    <x:row r="6548">
      <x:c r="A6548" t="str">
        <x:v>SYN0006547</x:v>
      </x:c>
      <x:c r="B6548" s="12" t="n">
        <x:v>41875</x:v>
      </x:c>
      <x:c r="C6548" s="18" t="n">
        <x:v>9024</x:v>
      </x:c>
      <x:c r="D6548" s="18" t="n">
        <x:v>66077</x:v>
      </x:c>
      <x:c r="E6548" s="18" t="n">
        <x:v>12.39</x:v>
      </x:c>
      <x:c r="F6548" s="18" t="n">
        <x:v>5</x:v>
      </x:c>
      <x:c r="G6548" t="n">
        <x:v>60</x:v>
      </x:c>
      <x:c r="H6548" t="str">
        <x:v>A</x:v>
      </x:c>
      <x:c r="I6548" t="str">
        <x:v>10+ years</x:v>
      </x:c>
      <x:c r="J6548" t="str">
        <x:v>OWN</x:v>
      </x:c>
      <x:c r="K6548" t="str">
        <x:v>credit_card</x:v>
      </x:c>
      <x:c r="L6548" t="n">
        <x:v>0</x:v>
      </x:c>
      <x:c r="M6548" t="n">
        <x:v>0</x:v>
      </x:c>
      <x:c r="N6548" t="str">
        <x:v>Fully Paid</x:v>
      </x:c>
      <x:c r="O6548" t="str">
        <x:f>IF(D6548="","Unknown",IF(D6548&lt;25000,"&lt;$25k",IF(D6548&lt;50000,"$25k-$50k",IF(D6548&lt;75000,"$50k-$75k",IF(D6548&lt;100000,"$75k-$100k","$100k+")))))</x:f>
        <x:v>$50k-$75k</x:v>
      </x:c>
      <x:c r="P6548" t="str">
        <x:f>IF(E6548="","Unknown",IF(E6548&lt;10,"&lt;10",IF(E6548&lt;20,"10-&lt;20",IF(E6548&lt;25,"20-&lt;25",IF(E6548&lt;35,"25-&lt;35","35+")))))</x:f>
        <x:v>10-&lt;20</x:v>
      </x:c>
    </x:row>
    <x:row r="6549">
      <x:c r="A6549" t="str">
        <x:v>SYN0006548</x:v>
      </x:c>
      <x:c r="B6549" s="12" t="n">
        <x:v>42295</x:v>
      </x:c>
      <x:c r="C6549" s="18" t="n">
        <x:v>7036</x:v>
      </x:c>
      <x:c r="D6549" s="18" t="n">
        <x:v>68247</x:v>
      </x:c>
      <x:c r="E6549" s="18" t="n">
        <x:v>20.69</x:v>
      </x:c>
      <x:c r="F6549" s="18" t="n">
        <x:v>18.7</x:v>
      </x:c>
      <x:c r="G6549" t="n">
        <x:v>36</x:v>
      </x:c>
      <x:c r="H6549" t="str">
        <x:v>E</x:v>
      </x:c>
      <x:c r="I6549" t="str">
        <x:v>4-6 years</x:v>
      </x:c>
      <x:c r="J6549" t="str">
        <x:v>RENT</x:v>
      </x:c>
      <x:c r="K6549" t="str">
        <x:v>credit_card</x:v>
      </x:c>
      <x:c r="L6549" t="n">
        <x:v>0</x:v>
      </x:c>
      <x:c r="M6549" t="n">
        <x:v>0</x:v>
      </x:c>
      <x:c r="N6549" t="str">
        <x:v>Fully Paid</x:v>
      </x:c>
      <x:c r="O6549" t="str">
        <x:f>IF(D6549="","Unknown",IF(D6549&lt;25000,"&lt;$25k",IF(D6549&lt;50000,"$25k-$50k",IF(D6549&lt;75000,"$50k-$75k",IF(D6549&lt;100000,"$75k-$100k","$100k+")))))</x:f>
        <x:v>$50k-$75k</x:v>
      </x:c>
      <x:c r="P6549" t="str">
        <x:f>IF(E6549="","Unknown",IF(E6549&lt;10,"&lt;10",IF(E6549&lt;20,"10-&lt;20",IF(E6549&lt;25,"20-&lt;25",IF(E6549&lt;35,"25-&lt;35","35+")))))</x:f>
        <x:v>20-&lt;25</x:v>
      </x:c>
    </x:row>
    <x:row r="6550">
      <x:c r="A6550" t="str">
        <x:v>SYN0006549</x:v>
      </x:c>
      <x:c r="B6550" s="12" t="n">
        <x:v>41455</x:v>
      </x:c>
      <x:c r="C6550" s="18" t="n">
        <x:v>12641</x:v>
      </x:c>
      <x:c r="D6550" s="18" t="n">
        <x:v>33777</x:v>
      </x:c>
      <x:c r="E6550" s="18" t="n">
        <x:v>29.95</x:v>
      </x:c>
      <x:c r="F6550" s="18" t="n">
        <x:v>10.78</x:v>
      </x:c>
      <x:c r="G6550" t="n">
        <x:v>36</x:v>
      </x:c>
      <x:c r="H6550" t="str">
        <x:v>B</x:v>
      </x:c>
      <x:c r="I6550" t="str">
        <x:v>1-3 years</x:v>
      </x:c>
      <x:c r="J6550" t="str">
        <x:v>MORTGAGE</x:v>
      </x:c>
      <x:c r="K6550" t="str">
        <x:v>debt_consolidation</x:v>
      </x:c>
      <x:c r="L6550" t="n">
        <x:v>0</x:v>
      </x:c>
      <x:c r="M6550" t="n">
        <x:v>0</x:v>
      </x:c>
      <x:c r="N6550" t="str">
        <x:v>Fully Paid</x:v>
      </x:c>
      <x:c r="O6550" t="str">
        <x:f>IF(D6550="","Unknown",IF(D6550&lt;25000,"&lt;$25k",IF(D6550&lt;50000,"$25k-$50k",IF(D6550&lt;75000,"$50k-$75k",IF(D6550&lt;100000,"$75k-$100k","$100k+")))))</x:f>
        <x:v>$25k-$50k</x:v>
      </x:c>
      <x:c r="P6550" t="str">
        <x:f>IF(E6550="","Unknown",IF(E6550&lt;10,"&lt;10",IF(E6550&lt;20,"10-&lt;20",IF(E6550&lt;25,"20-&lt;25",IF(E6550&lt;35,"25-&lt;35","35+")))))</x:f>
        <x:v>25-&lt;35</x:v>
      </x:c>
    </x:row>
    <x:row r="6551">
      <x:c r="A6551" t="str">
        <x:v>SYN0006550</x:v>
      </x:c>
      <x:c r="B6551" s="12" t="n">
        <x:v>41935</x:v>
      </x:c>
      <x:c r="C6551" s="18" t="n">
        <x:v>2893</x:v>
      </x:c>
      <x:c r="D6551" s="18" t="n">
        <x:v>47159</x:v>
      </x:c>
      <x:c r="E6551" s="18" t="n">
        <x:v>4.41</x:v>
      </x:c>
      <x:c r="F6551" s="18" t="n">
        <x:v>10</x:v>
      </x:c>
      <x:c r="G6551" t="n">
        <x:v>60</x:v>
      </x:c>
      <x:c r="H6551" t="str">
        <x:v>B</x:v>
      </x:c>
      <x:c r="I6551" t="str">
        <x:v>10+ years</x:v>
      </x:c>
      <x:c r="J6551" t="str">
        <x:v>RENT</x:v>
      </x:c>
      <x:c r="K6551" t="str">
        <x:v>credit_card</x:v>
      </x:c>
      <x:c r="L6551" t="n">
        <x:v>1</x:v>
      </x:c>
      <x:c r="M6551" t="n">
        <x:v>1</x:v>
      </x:c>
      <x:c r="N6551" t="str">
        <x:v>Charged Off</x:v>
      </x:c>
      <x:c r="O6551" t="str">
        <x:f>IF(D6551="","Unknown",IF(D6551&lt;25000,"&lt;$25k",IF(D6551&lt;50000,"$25k-$50k",IF(D6551&lt;75000,"$50k-$75k",IF(D6551&lt;100000,"$75k-$100k","$100k+")))))</x:f>
        <x:v>$25k-$50k</x:v>
      </x:c>
      <x:c r="P6551" t="str">
        <x:f>IF(E6551="","Unknown",IF(E6551&lt;10,"&lt;10",IF(E6551&lt;20,"10-&lt;20",IF(E6551&lt;25,"20-&lt;25",IF(E6551&lt;35,"25-&lt;35","35+")))))</x:f>
        <x:v>&lt;10</x:v>
      </x:c>
    </x:row>
    <x:row r="6552">
      <x:c r="A6552" t="str">
        <x:v>SYN0006551</x:v>
      </x:c>
      <x:c r="B6552" s="12" t="n">
        <x:v>41965</x:v>
      </x:c>
      <x:c r="C6552" s="18" t="n">
        <x:v>12477</x:v>
      </x:c>
      <x:c r="D6552" s="18" t="n">
        <x:v>146693</x:v>
      </x:c>
      <x:c r="E6552" s="18" t="n">
        <x:v>0.41</x:v>
      </x:c>
      <x:c r="F6552" s="18" t="n">
        <x:v>7.81</x:v>
      </x:c>
      <x:c r="G6552" t="n">
        <x:v>36</x:v>
      </x:c>
      <x:c r="H6552" t="str">
        <x:v>C</x:v>
      </x:c>
      <x:c r="I6552" t="str">
        <x:v>&lt;1 year</x:v>
      </x:c>
      <x:c r="J6552" t="str">
        <x:v>RENT</x:v>
      </x:c>
      <x:c r="K6552" t="str">
        <x:v>credit_card</x:v>
      </x:c>
      <x:c r="L6552" t="n">
        <x:v>0</x:v>
      </x:c>
      <x:c r="M6552" t="n">
        <x:v>0</x:v>
      </x:c>
      <x:c r="N6552" t="str">
        <x:v>Fully Paid</x:v>
      </x:c>
      <x:c r="O6552" t="str">
        <x:f>IF(D6552="","Unknown",IF(D6552&lt;25000,"&lt;$25k",IF(D6552&lt;50000,"$25k-$50k",IF(D6552&lt;75000,"$50k-$75k",IF(D6552&lt;100000,"$75k-$100k","$100k+")))))</x:f>
        <x:v>$100k+</x:v>
      </x:c>
      <x:c r="P6552" t="str">
        <x:f>IF(E6552="","Unknown",IF(E6552&lt;10,"&lt;10",IF(E6552&lt;20,"10-&lt;20",IF(E6552&lt;25,"20-&lt;25",IF(E6552&lt;35,"25-&lt;35","35+")))))</x:f>
        <x:v>&lt;10</x:v>
      </x:c>
    </x:row>
    <x:row r="6553">
      <x:c r="A6553" t="str">
        <x:v>SYN0006552</x:v>
      </x:c>
      <x:c r="B6553" s="12" t="n">
        <x:v>42085</x:v>
      </x:c>
      <x:c r="C6553" s="18" t="n">
        <x:v>24962</x:v>
      </x:c>
      <x:c r="D6553" s="18" t="n">
        <x:v>107886</x:v>
      </x:c>
      <x:c r="E6553" s="18" t="n">
        <x:v>25.91</x:v>
      </x:c>
      <x:c r="F6553" s="18" t="n">
        <x:v>7.05</x:v>
      </x:c>
      <x:c r="G6553" t="n">
        <x:v>36</x:v>
      </x:c>
      <x:c r="H6553" t="str">
        <x:v>B</x:v>
      </x:c>
      <x:c r="I6553" t="str">
        <x:v>10+ years</x:v>
      </x:c>
      <x:c r="J6553" t="str">
        <x:v>OTHER</x:v>
      </x:c>
      <x:c r="K6553" t="str">
        <x:v>home_improvement</x:v>
      </x:c>
      <x:c r="L6553" t="n">
        <x:v>0</x:v>
      </x:c>
      <x:c r="M6553" t="n">
        <x:v>0</x:v>
      </x:c>
      <x:c r="N6553" t="str">
        <x:v>Fully Paid</x:v>
      </x:c>
      <x:c r="O6553" t="str">
        <x:f>IF(D6553="","Unknown",IF(D6553&lt;25000,"&lt;$25k",IF(D6553&lt;50000,"$25k-$50k",IF(D6553&lt;75000,"$50k-$75k",IF(D6553&lt;100000,"$75k-$100k","$100k+")))))</x:f>
        <x:v>$100k+</x:v>
      </x:c>
      <x:c r="P6553" t="str">
        <x:f>IF(E6553="","Unknown",IF(E6553&lt;10,"&lt;10",IF(E6553&lt;20,"10-&lt;20",IF(E6553&lt;25,"20-&lt;25",IF(E6553&lt;35,"25-&lt;35","35+")))))</x:f>
        <x:v>25-&lt;35</x:v>
      </x:c>
    </x:row>
    <x:row r="6554">
      <x:c r="A6554" t="str">
        <x:v>SYN0006553</x:v>
      </x:c>
      <x:c r="B6554" s="12" t="n">
        <x:v>42265</x:v>
      </x:c>
      <x:c r="C6554" s="18" t="n">
        <x:v>14647</x:v>
      </x:c>
      <x:c r="D6554" s="18" t="n">
        <x:v>48400</x:v>
      </x:c>
      <x:c r="E6554" s="18" t="n">
        <x:v>23.24</x:v>
      </x:c>
      <x:c r="F6554" s="18" t="n">
        <x:v>20.26</x:v>
      </x:c>
      <x:c r="G6554" t="n">
        <x:v>36</x:v>
      </x:c>
      <x:c r="H6554" t="str">
        <x:v>E</x:v>
      </x:c>
      <x:c r="I6554" t="str">
        <x:v>1-3 years</x:v>
      </x:c>
      <x:c r="J6554" t="str">
        <x:v>MORTGAGE</x:v>
      </x:c>
      <x:c r="K6554" t="str">
        <x:v>home_improvement</x:v>
      </x:c>
      <x:c r="L6554" t="n">
        <x:v>0</x:v>
      </x:c>
      <x:c r="M6554" t="n">
        <x:v>0</x:v>
      </x:c>
      <x:c r="N6554" t="str">
        <x:v>Fully Paid</x:v>
      </x:c>
      <x:c r="O6554" t="str">
        <x:f>IF(D6554="","Unknown",IF(D6554&lt;25000,"&lt;$25k",IF(D6554&lt;50000,"$25k-$50k",IF(D6554&lt;75000,"$50k-$75k",IF(D6554&lt;100000,"$75k-$100k","$100k+")))))</x:f>
        <x:v>$25k-$50k</x:v>
      </x:c>
      <x:c r="P6554" t="str">
        <x:f>IF(E6554="","Unknown",IF(E6554&lt;10,"&lt;10",IF(E6554&lt;20,"10-&lt;20",IF(E6554&lt;25,"20-&lt;25",IF(E6554&lt;35,"25-&lt;35","35+")))))</x:f>
        <x:v>20-&lt;25</x:v>
      </x:c>
    </x:row>
    <x:row r="6555">
      <x:c r="A6555" t="str">
        <x:v>SYN0006554</x:v>
      </x:c>
      <x:c r="B6555" s="12" t="n">
        <x:v>43105</x:v>
      </x:c>
      <x:c r="C6555" s="18" t="n">
        <x:v>22409</x:v>
      </x:c>
      <x:c r="D6555" s="18" t="n">
        <x:v>44261</x:v>
      </x:c>
      <x:c r="E6555" s="18" t="n">
        <x:v>18.07</x:v>
      </x:c>
      <x:c r="F6555" s="18" t="n">
        <x:v>17.06</x:v>
      </x:c>
      <x:c r="G6555" t="n">
        <x:v>36</x:v>
      </x:c>
      <x:c r="H6555" t="str">
        <x:v>E</x:v>
      </x:c>
      <x:c r="I6555" t="str">
        <x:v>4-6 years</x:v>
      </x:c>
      <x:c r="J6555" t="str">
        <x:v>RENT</x:v>
      </x:c>
      <x:c r="K6555" t="str">
        <x:v>major_purchase</x:v>
      </x:c>
      <x:c r="L6555" t="n">
        <x:v>1</x:v>
      </x:c>
      <x:c r="M6555" t="n">
        <x:v>0</x:v>
      </x:c>
      <x:c r="N6555" t="str">
        <x:v>Fully Paid</x:v>
      </x:c>
      <x:c r="O6555" t="str">
        <x:f>IF(D6555="","Unknown",IF(D6555&lt;25000,"&lt;$25k",IF(D6555&lt;50000,"$25k-$50k",IF(D6555&lt;75000,"$50k-$75k",IF(D6555&lt;100000,"$75k-$100k","$100k+")))))</x:f>
        <x:v>$25k-$50k</x:v>
      </x:c>
      <x:c r="P6555" t="str">
        <x:f>IF(E6555="","Unknown",IF(E6555&lt;10,"&lt;10",IF(E6555&lt;20,"10-&lt;20",IF(E6555&lt;25,"20-&lt;25",IF(E6555&lt;35,"25-&lt;35","35+")))))</x:f>
        <x:v>10-&lt;20</x:v>
      </x:c>
    </x:row>
    <x:row r="6556">
      <x:c r="A6556" t="str">
        <x:v>SYN0006555</x:v>
      </x:c>
      <x:c r="B6556" s="12" t="n">
        <x:v>41875</x:v>
      </x:c>
      <x:c r="C6556" s="18" t="n">
        <x:v>7539</x:v>
      </x:c>
      <x:c r="D6556" s="18" t="n">
        <x:v>18683</x:v>
      </x:c>
      <x:c r="E6556" s="18" t="n">
        <x:v>23.97</x:v>
      </x:c>
      <x:c r="F6556" s="18" t="n">
        <x:v>10.19</x:v>
      </x:c>
      <x:c r="G6556" t="n">
        <x:v>36</x:v>
      </x:c>
      <x:c r="H6556" t="str">
        <x:v>C</x:v>
      </x:c>
      <x:c r="I6556" t="str">
        <x:v>10+ years</x:v>
      </x:c>
      <x:c r="J6556" t="str">
        <x:v>RENT</x:v>
      </x:c>
      <x:c r="K6556" t="str">
        <x:v>debt_consolidation</x:v>
      </x:c>
      <x:c r="L6556" t="n">
        <x:v>0</x:v>
      </x:c>
      <x:c r="M6556" t="n">
        <x:v>0</x:v>
      </x:c>
      <x:c r="N6556" t="str">
        <x:v>Fully Paid</x:v>
      </x:c>
      <x:c r="O6556" t="str">
        <x:f>IF(D6556="","Unknown",IF(D6556&lt;25000,"&lt;$25k",IF(D6556&lt;50000,"$25k-$50k",IF(D6556&lt;75000,"$50k-$75k",IF(D6556&lt;100000,"$75k-$100k","$100k+")))))</x:f>
        <x:v>&lt;$25k</x:v>
      </x:c>
      <x:c r="P6556" t="str">
        <x:f>IF(E6556="","Unknown",IF(E6556&lt;10,"&lt;10",IF(E6556&lt;20,"10-&lt;20",IF(E6556&lt;25,"20-&lt;25",IF(E6556&lt;35,"25-&lt;35","35+")))))</x:f>
        <x:v>20-&lt;25</x:v>
      </x:c>
    </x:row>
    <x:row r="6557">
      <x:c r="A6557" t="str">
        <x:v>SYN0006556</x:v>
      </x:c>
      <x:c r="B6557" s="12" t="n">
        <x:v>43195</x:v>
      </x:c>
      <x:c r="C6557" s="18" t="n">
        <x:v>5148</x:v>
      </x:c>
      <x:c r="D6557" s="18" t="n">
        <x:v>35680</x:v>
      </x:c>
      <x:c r="E6557" s="18" t="n">
        <x:v>14.68</x:v>
      </x:c>
      <x:c r="F6557" s="18" t="n">
        <x:v>6.24</x:v>
      </x:c>
      <x:c r="G6557" t="n">
        <x:v>36</x:v>
      </x:c>
      <x:c r="H6557" t="str">
        <x:v>A</x:v>
      </x:c>
      <x:c r="I6557" t="str">
        <x:v>10+ years</x:v>
      </x:c>
      <x:c r="J6557" t="str">
        <x:v>MORTGAGE</x:v>
      </x:c>
      <x:c r="K6557" t="str">
        <x:v>credit_card</x:v>
      </x:c>
      <x:c r="L6557" t="n">
        <x:v>0</x:v>
      </x:c>
      <x:c r="M6557" t="n">
        <x:v>0</x:v>
      </x:c>
      <x:c r="N6557" t="str">
        <x:v>Fully Paid</x:v>
      </x:c>
      <x:c r="O6557" t="str">
        <x:f>IF(D6557="","Unknown",IF(D6557&lt;25000,"&lt;$25k",IF(D6557&lt;50000,"$25k-$50k",IF(D6557&lt;75000,"$50k-$75k",IF(D6557&lt;100000,"$75k-$100k","$100k+")))))</x:f>
        <x:v>$25k-$50k</x:v>
      </x:c>
      <x:c r="P6557" t="str">
        <x:f>IF(E6557="","Unknown",IF(E6557&lt;10,"&lt;10",IF(E6557&lt;20,"10-&lt;20",IF(E6557&lt;25,"20-&lt;25",IF(E6557&lt;35,"25-&lt;35","35+")))))</x:f>
        <x:v>10-&lt;20</x:v>
      </x:c>
    </x:row>
    <x:row r="6558">
      <x:c r="A6558" t="str">
        <x:v>SYN0006557</x:v>
      </x:c>
      <x:c r="B6558" s="12" t="n">
        <x:v>42865</x:v>
      </x:c>
      <x:c r="C6558" s="18" t="n">
        <x:v>4431</x:v>
      </x:c>
      <x:c r="D6558" s="18" t="n">
        <x:v>22313</x:v>
      </x:c>
      <x:c r="E6558" s="18" t="n">
        <x:v>14.05</x:v>
      </x:c>
      <x:c r="F6558" s="18" t="n">
        <x:v>19.41</x:v>
      </x:c>
      <x:c r="G6558" t="n">
        <x:v>60</x:v>
      </x:c>
      <x:c r="H6558" t="str">
        <x:v>E</x:v>
      </x:c>
      <x:c r="I6558" t="str">
        <x:v>&lt;1 year</x:v>
      </x:c>
      <x:c r="J6558" t="str">
        <x:v>MORTGAGE</x:v>
      </x:c>
      <x:c r="K6558" t="str">
        <x:v>credit_card</x:v>
      </x:c>
      <x:c r="L6558" t="n">
        <x:v>1</x:v>
      </x:c>
      <x:c r="M6558" t="n">
        <x:v>0</x:v>
      </x:c>
      <x:c r="N6558" t="str">
        <x:v>Fully Paid</x:v>
      </x:c>
      <x:c r="O6558" t="str">
        <x:f>IF(D6558="","Unknown",IF(D6558&lt;25000,"&lt;$25k",IF(D6558&lt;50000,"$25k-$50k",IF(D6558&lt;75000,"$50k-$75k",IF(D6558&lt;100000,"$75k-$100k","$100k+")))))</x:f>
        <x:v>&lt;$25k</x:v>
      </x:c>
      <x:c r="P6558" t="str">
        <x:f>IF(E6558="","Unknown",IF(E6558&lt;10,"&lt;10",IF(E6558&lt;20,"10-&lt;20",IF(E6558&lt;25,"20-&lt;25",IF(E6558&lt;35,"25-&lt;35","35+")))))</x:f>
        <x:v>10-&lt;20</x:v>
      </x:c>
    </x:row>
    <x:row r="6559">
      <x:c r="A6559" t="str">
        <x:v>SYN0006558</x:v>
      </x:c>
      <x:c r="B6559" s="12" t="n">
        <x:v>41815</x:v>
      </x:c>
      <x:c r="C6559" s="18" t="n">
        <x:v>7824</x:v>
      </x:c>
      <x:c r="D6559" s="18" t="n">
        <x:v>52113</x:v>
      </x:c>
      <x:c r="E6559" s="18" t="n">
        <x:v>17.48</x:v>
      </x:c>
      <x:c r="F6559" s="18" t="n">
        <x:v>8.69</x:v>
      </x:c>
      <x:c r="G6559" t="n">
        <x:v>60</x:v>
      </x:c>
      <x:c r="H6559" t="str">
        <x:v>B</x:v>
      </x:c>
      <x:c r="I6559" t="str">
        <x:v>4-6 years</x:v>
      </x:c>
      <x:c r="J6559" t="str">
        <x:v>RENT</x:v>
      </x:c>
      <x:c r="K6559" t="str">
        <x:v>debt_consolidation</x:v>
      </x:c>
      <x:c r="L6559" t="n">
        <x:v>0</x:v>
      </x:c>
      <x:c r="M6559" t="n">
        <x:v>0</x:v>
      </x:c>
      <x:c r="N6559" t="str">
        <x:v>Fully Paid</x:v>
      </x:c>
      <x:c r="O6559" t="str">
        <x:f>IF(D6559="","Unknown",IF(D6559&lt;25000,"&lt;$25k",IF(D6559&lt;50000,"$25k-$50k",IF(D6559&lt;75000,"$50k-$75k",IF(D6559&lt;100000,"$75k-$100k","$100k+")))))</x:f>
        <x:v>$50k-$75k</x:v>
      </x:c>
      <x:c r="P6559" t="str">
        <x:f>IF(E6559="","Unknown",IF(E6559&lt;10,"&lt;10",IF(E6559&lt;20,"10-&lt;20",IF(E6559&lt;25,"20-&lt;25",IF(E6559&lt;35,"25-&lt;35","35+")))))</x:f>
        <x:v>10-&lt;20</x:v>
      </x:c>
    </x:row>
    <x:row r="6560">
      <x:c r="A6560" t="str">
        <x:v>SYN0006559</x:v>
      </x:c>
      <x:c r="B6560" s="12" t="n">
        <x:v>43165</x:v>
      </x:c>
      <x:c r="C6560" s="18" t="n">
        <x:v>26239</x:v>
      </x:c>
      <x:c r="D6560" s="18" t="n">
        <x:v>26434</x:v>
      </x:c>
      <x:c r="E6560" s="18" t="n">
        <x:v>14.31</x:v>
      </x:c>
      <x:c r="F6560" s="18" t="n">
        <x:v>7.78</x:v>
      </x:c>
      <x:c r="G6560" t="n">
        <x:v>36</x:v>
      </x:c>
      <x:c r="H6560" t="str">
        <x:v>B</x:v>
      </x:c>
      <x:c r="I6560" t="str">
        <x:v>10+ years</x:v>
      </x:c>
      <x:c r="J6560" t="str">
        <x:v>RENT</x:v>
      </x:c>
      <x:c r="K6560" t="str">
        <x:v>debt_consolidation</x:v>
      </x:c>
      <x:c r="L6560" t="n">
        <x:v>0</x:v>
      </x:c>
      <x:c r="M6560" t="n">
        <x:v>0</x:v>
      </x:c>
      <x:c r="N6560" t="str">
        <x:v>Fully Paid</x:v>
      </x:c>
      <x:c r="O6560" t="str">
        <x:f>IF(D6560="","Unknown",IF(D6560&lt;25000,"&lt;$25k",IF(D6560&lt;50000,"$25k-$50k",IF(D6560&lt;75000,"$50k-$75k",IF(D6560&lt;100000,"$75k-$100k","$100k+")))))</x:f>
        <x:v>$25k-$50k</x:v>
      </x:c>
      <x:c r="P6560" t="str">
        <x:f>IF(E6560="","Unknown",IF(E6560&lt;10,"&lt;10",IF(E6560&lt;20,"10-&lt;20",IF(E6560&lt;25,"20-&lt;25",IF(E6560&lt;35,"25-&lt;35","35+")))))</x:f>
        <x:v>10-&lt;20</x:v>
      </x:c>
    </x:row>
    <x:row r="6561">
      <x:c r="A6561" t="str">
        <x:v>SYN0006560</x:v>
      </x:c>
      <x:c r="B6561" s="12" t="n">
        <x:v>43075</x:v>
      </x:c>
      <x:c r="C6561" s="18" t="n">
        <x:v>25276</x:v>
      </x:c>
      <x:c r="D6561" s="18" t="n">
        <x:v>16774</x:v>
      </x:c>
      <x:c r="E6561" s="18" t="n">
        <x:v>32.64</x:v>
      </x:c>
      <x:c r="F6561" s="18" t="n">
        <x:v>16.01</x:v>
      </x:c>
      <x:c r="G6561" t="n">
        <x:v>36</x:v>
      </x:c>
      <x:c r="H6561" t="str">
        <x:v>F</x:v>
      </x:c>
      <x:c r="I6561" t="str">
        <x:v>7-9 years</x:v>
      </x:c>
      <x:c r="J6561" t="str">
        <x:v>MORTGAGE</x:v>
      </x:c>
      <x:c r="K6561" t="str">
        <x:v>debt_consolidation</x:v>
      </x:c>
      <x:c r="L6561" t="n">
        <x:v>1</x:v>
      </x:c>
      <x:c r="M6561" t="n">
        <x:v>1</x:v>
      </x:c>
      <x:c r="N6561" t="str">
        <x:v>Charged Off</x:v>
      </x:c>
      <x:c r="O6561" t="str">
        <x:f>IF(D6561="","Unknown",IF(D6561&lt;25000,"&lt;$25k",IF(D6561&lt;50000,"$25k-$50k",IF(D6561&lt;75000,"$50k-$75k",IF(D6561&lt;100000,"$75k-$100k","$100k+")))))</x:f>
        <x:v>&lt;$25k</x:v>
      </x:c>
      <x:c r="P6561" t="str">
        <x:f>IF(E6561="","Unknown",IF(E6561&lt;10,"&lt;10",IF(E6561&lt;20,"10-&lt;20",IF(E6561&lt;25,"20-&lt;25",IF(E6561&lt;35,"25-&lt;35","35+")))))</x:f>
        <x:v>25-&lt;35</x:v>
      </x:c>
    </x:row>
    <x:row r="6562">
      <x:c r="A6562" t="str">
        <x:v>SYN0006561</x:v>
      </x:c>
      <x:c r="B6562" s="12" t="n">
        <x:v>41905</x:v>
      </x:c>
      <x:c r="C6562" s="18" t="n">
        <x:v>7997</x:v>
      </x:c>
      <x:c r="D6562" s="18" t="n">
        <x:v>67771</x:v>
      </x:c>
      <x:c r="E6562" s="18" t="n">
        <x:v>5.77</x:v>
      </x:c>
      <x:c r="F6562" s="18" t="n">
        <x:v>10.36</x:v>
      </x:c>
      <x:c r="G6562" t="n">
        <x:v>36</x:v>
      </x:c>
      <x:c r="H6562" t="str">
        <x:v>B</x:v>
      </x:c>
      <x:c r="I6562" t="str">
        <x:v>10+ years</x:v>
      </x:c>
      <x:c r="J6562" t="str">
        <x:v>RENT</x:v>
      </x:c>
      <x:c r="K6562" t="str">
        <x:v>credit_card</x:v>
      </x:c>
      <x:c r="L6562" t="n">
        <x:v>0</x:v>
      </x:c>
      <x:c r="M6562" t="n">
        <x:v>0</x:v>
      </x:c>
      <x:c r="N6562" t="str">
        <x:v>Fully Paid</x:v>
      </x:c>
      <x:c r="O6562" t="str">
        <x:f>IF(D6562="","Unknown",IF(D6562&lt;25000,"&lt;$25k",IF(D6562&lt;50000,"$25k-$50k",IF(D6562&lt;75000,"$50k-$75k",IF(D6562&lt;100000,"$75k-$100k","$100k+")))))</x:f>
        <x:v>$50k-$75k</x:v>
      </x:c>
      <x:c r="P6562" t="str">
        <x:f>IF(E6562="","Unknown",IF(E6562&lt;10,"&lt;10",IF(E6562&lt;20,"10-&lt;20",IF(E6562&lt;25,"20-&lt;25",IF(E6562&lt;35,"25-&lt;35","35+")))))</x:f>
        <x:v>&lt;10</x:v>
      </x:c>
    </x:row>
    <x:row r="6563">
      <x:c r="A6563" t="str">
        <x:v>SYN0006562</x:v>
      </x:c>
      <x:c r="B6563" s="12" t="n">
        <x:v>43135</x:v>
      </x:c>
      <x:c r="C6563" s="18" t="n">
        <x:v>7812</x:v>
      </x:c>
      <x:c r="D6563" s="18" t="n">
        <x:v>69014</x:v>
      </x:c>
      <x:c r="E6563" s="18" t="n">
        <x:v>36.99</x:v>
      </x:c>
      <x:c r="F6563" s="18" t="n">
        <x:v>13.92</x:v>
      </x:c>
      <x:c r="G6563" t="n">
        <x:v>36</x:v>
      </x:c>
      <x:c r="H6563" t="str">
        <x:v>D</x:v>
      </x:c>
      <x:c r="I6563" t="str">
        <x:v>10+ years</x:v>
      </x:c>
      <x:c r="J6563" t="str">
        <x:v>RENT</x:v>
      </x:c>
      <x:c r="K6563" t="str">
        <x:v>medical</x:v>
      </x:c>
      <x:c r="L6563" t="n">
        <x:v>1</x:v>
      </x:c>
      <x:c r="M6563" t="n">
        <x:v>0</x:v>
      </x:c>
      <x:c r="N6563" t="str">
        <x:v>Fully Paid</x:v>
      </x:c>
      <x:c r="O6563" t="str">
        <x:f>IF(D6563="","Unknown",IF(D6563&lt;25000,"&lt;$25k",IF(D6563&lt;50000,"$25k-$50k",IF(D6563&lt;75000,"$50k-$75k",IF(D6563&lt;100000,"$75k-$100k","$100k+")))))</x:f>
        <x:v>$50k-$75k</x:v>
      </x:c>
      <x:c r="P6563" t="str">
        <x:f>IF(E6563="","Unknown",IF(E6563&lt;10,"&lt;10",IF(E6563&lt;20,"10-&lt;20",IF(E6563&lt;25,"20-&lt;25",IF(E6563&lt;35,"25-&lt;35","35+")))))</x:f>
        <x:v>35+</x:v>
      </x:c>
    </x:row>
    <x:row r="6564">
      <x:c r="A6564" t="str">
        <x:v>SYN0006563</x:v>
      </x:c>
      <x:c r="B6564" s="12" t="n">
        <x:v>43405</x:v>
      </x:c>
      <x:c r="C6564" s="18" t="n">
        <x:v>39153</x:v>
      </x:c>
      <x:c r="D6564" s="18" t="n">
        <x:v>72930</x:v>
      </x:c>
      <x:c r="E6564" s="18" t="n">
        <x:v>13.16</x:v>
      </x:c>
      <x:c r="F6564" s="18" t="n">
        <x:v>13.32</x:v>
      </x:c>
      <x:c r="G6564" t="n">
        <x:v>36</x:v>
      </x:c>
      <x:c r="H6564" t="str">
        <x:v>D</x:v>
      </x:c>
      <x:c r="I6564" t="str">
        <x:v>1-3 years</x:v>
      </x:c>
      <x:c r="J6564" t="str">
        <x:v>RENT</x:v>
      </x:c>
      <x:c r="K6564" t="str">
        <x:v>debt_consolidation</x:v>
      </x:c>
      <x:c r="L6564" t="n">
        <x:v>0</x:v>
      </x:c>
      <x:c r="M6564" t="n">
        <x:v>0</x:v>
      </x:c>
      <x:c r="N6564" t="str">
        <x:v>Fully Paid</x:v>
      </x:c>
      <x:c r="O6564" t="str">
        <x:f>IF(D6564="","Unknown",IF(D6564&lt;25000,"&lt;$25k",IF(D6564&lt;50000,"$25k-$50k",IF(D6564&lt;75000,"$50k-$75k",IF(D6564&lt;100000,"$75k-$100k","$100k+")))))</x:f>
        <x:v>$50k-$75k</x:v>
      </x:c>
      <x:c r="P6564" t="str">
        <x:f>IF(E6564="","Unknown",IF(E6564&lt;10,"&lt;10",IF(E6564&lt;20,"10-&lt;20",IF(E6564&lt;25,"20-&lt;25",IF(E6564&lt;35,"25-&lt;35","35+")))))</x:f>
        <x:v>10-&lt;20</x:v>
      </x:c>
    </x:row>
    <x:row r="6565">
      <x:c r="A6565" t="str">
        <x:v>SYN0006564</x:v>
      </x:c>
      <x:c r="B6565" s="12" t="n">
        <x:v>42685</x:v>
      </x:c>
      <x:c r="C6565" s="18" t="n">
        <x:v>21342</x:v>
      </x:c>
      <x:c r="D6565" s="18" t="n">
        <x:v>47640</x:v>
      </x:c>
      <x:c r="E6565" s="18" t="n">
        <x:v>15.06</x:v>
      </x:c>
      <x:c r="F6565" s="18" t="n">
        <x:v>15.45</x:v>
      </x:c>
      <x:c r="G6565" t="n">
        <x:v>36</x:v>
      </x:c>
      <x:c r="H6565" t="str">
        <x:v>D</x:v>
      </x:c>
      <x:c r="I6565" t="str">
        <x:v>1-3 years</x:v>
      </x:c>
      <x:c r="J6565" t="str">
        <x:v>MORTGAGE</x:v>
      </x:c>
      <x:c r="K6565" t="str">
        <x:v>debt_consolidation</x:v>
      </x:c>
      <x:c r="L6565" t="n">
        <x:v>0</x:v>
      </x:c>
      <x:c r="M6565" t="n">
        <x:v>0</x:v>
      </x:c>
      <x:c r="N6565" t="str">
        <x:v>Fully Paid</x:v>
      </x:c>
      <x:c r="O6565" t="str">
        <x:f>IF(D6565="","Unknown",IF(D6565&lt;25000,"&lt;$25k",IF(D6565&lt;50000,"$25k-$50k",IF(D6565&lt;75000,"$50k-$75k",IF(D6565&lt;100000,"$75k-$100k","$100k+")))))</x:f>
        <x:v>$25k-$50k</x:v>
      </x:c>
      <x:c r="P6565" t="str">
        <x:f>IF(E6565="","Unknown",IF(E6565&lt;10,"&lt;10",IF(E6565&lt;20,"10-&lt;20",IF(E6565&lt;25,"20-&lt;25",IF(E6565&lt;35,"25-&lt;35","35+")))))</x:f>
        <x:v>10-&lt;20</x:v>
      </x:c>
    </x:row>
    <x:row r="6566">
      <x:c r="A6566" t="str">
        <x:v>SYN0006565</x:v>
      </x:c>
      <x:c r="B6566" s="12" t="n">
        <x:v>42505</x:v>
      </x:c>
      <x:c r="C6566" s="18" t="n">
        <x:v>12554</x:v>
      </x:c>
      <x:c r="D6566" s="18" t="n">
        <x:v>150731</x:v>
      </x:c>
      <x:c r="E6566" s="18" t="n">
        <x:v>5.86</x:v>
      </x:c>
      <x:c r="F6566" s="18" t="n">
        <x:v>9.25</x:v>
      </x:c>
      <x:c r="G6566" t="n">
        <x:v>60</x:v>
      </x:c>
      <x:c r="H6566" t="str">
        <x:v>B</x:v>
      </x:c>
      <x:c r="I6566" t="str">
        <x:v>4-6 years</x:v>
      </x:c>
      <x:c r="J6566" t="str">
        <x:v>OWN</x:v>
      </x:c>
      <x:c r="K6566" t="str">
        <x:v>credit_card</x:v>
      </x:c>
      <x:c r="L6566" t="n">
        <x:v>1</x:v>
      </x:c>
      <x:c r="M6566" t="n">
        <x:v>0</x:v>
      </x:c>
      <x:c r="N6566" t="str">
        <x:v>Fully Paid</x:v>
      </x:c>
      <x:c r="O6566" t="str">
        <x:f>IF(D6566="","Unknown",IF(D6566&lt;25000,"&lt;$25k",IF(D6566&lt;50000,"$25k-$50k",IF(D6566&lt;75000,"$50k-$75k",IF(D6566&lt;100000,"$75k-$100k","$100k+")))))</x:f>
        <x:v>$100k+</x:v>
      </x:c>
      <x:c r="P6566" t="str">
        <x:f>IF(E6566="","Unknown",IF(E6566&lt;10,"&lt;10",IF(E6566&lt;20,"10-&lt;20",IF(E6566&lt;25,"20-&lt;25",IF(E6566&lt;35,"25-&lt;35","35+")))))</x:f>
        <x:v>&lt;10</x:v>
      </x:c>
    </x:row>
    <x:row r="6567">
      <x:c r="A6567" t="str">
        <x:v>SYN0006566</x:v>
      </x:c>
      <x:c r="B6567" s="12" t="n">
        <x:v>41605</x:v>
      </x:c>
      <x:c r="C6567" s="18" t="n">
        <x:v>16905</x:v>
      </x:c>
      <x:c r="D6567" s="18" t="n">
        <x:v>53610</x:v>
      </x:c>
      <x:c r="E6567" s="18" t="n">
        <x:v>2.77</x:v>
      </x:c>
      <x:c r="F6567" s="18" t="n">
        <x:v>7.81</x:v>
      </x:c>
      <x:c r="G6567" t="n">
        <x:v>36</x:v>
      </x:c>
      <x:c r="H6567" t="str">
        <x:v>B</x:v>
      </x:c>
      <x:c r="I6567" t="str">
        <x:v>4-6 years</x:v>
      </x:c>
      <x:c r="J6567" t="str">
        <x:v>OWN</x:v>
      </x:c>
      <x:c r="K6567" t="str">
        <x:v>debt_consolidation</x:v>
      </x:c>
      <x:c r="L6567" t="n">
        <x:v>0</x:v>
      </x:c>
      <x:c r="M6567" t="n">
        <x:v>0</x:v>
      </x:c>
      <x:c r="N6567" t="str">
        <x:v>Fully Paid</x:v>
      </x:c>
      <x:c r="O6567" t="str">
        <x:f>IF(D6567="","Unknown",IF(D6567&lt;25000,"&lt;$25k",IF(D6567&lt;50000,"$25k-$50k",IF(D6567&lt;75000,"$50k-$75k",IF(D6567&lt;100000,"$75k-$100k","$100k+")))))</x:f>
        <x:v>$50k-$75k</x:v>
      </x:c>
      <x:c r="P6567" t="str">
        <x:f>IF(E6567="","Unknown",IF(E6567&lt;10,"&lt;10",IF(E6567&lt;20,"10-&lt;20",IF(E6567&lt;25,"20-&lt;25",IF(E6567&lt;35,"25-&lt;35","35+")))))</x:f>
        <x:v>&lt;10</x:v>
      </x:c>
    </x:row>
    <x:row r="6568">
      <x:c r="A6568" t="str">
        <x:v>SYN0006567</x:v>
      </x:c>
      <x:c r="B6568" s="12" t="n">
        <x:v>42115</x:v>
      </x:c>
      <x:c r="C6568" s="18" t="n">
        <x:v>18869</x:v>
      </x:c>
      <x:c r="D6568" s="18" t="n">
        <x:v>31421</x:v>
      </x:c>
      <x:c r="E6568" s="18" t="n">
        <x:v>23.37</x:v>
      </x:c>
      <x:c r="F6568" s="18" t="n">
        <x:v>14.16</x:v>
      </x:c>
      <x:c r="G6568" t="n">
        <x:v>36</x:v>
      </x:c>
      <x:c r="H6568" t="str">
        <x:v>D</x:v>
      </x:c>
      <x:c r="I6568" t="str">
        <x:v>&lt;1 year</x:v>
      </x:c>
      <x:c r="J6568" t="str">
        <x:v>RENT</x:v>
      </x:c>
      <x:c r="K6568" t="str">
        <x:v>debt_consolidation</x:v>
      </x:c>
      <x:c r="L6568" t="n">
        <x:v>2</x:v>
      </x:c>
      <x:c r="M6568" t="n">
        <x:v>0</x:v>
      </x:c>
      <x:c r="N6568" t="str">
        <x:v>Fully Paid</x:v>
      </x:c>
      <x:c r="O6568" t="str">
        <x:f>IF(D6568="","Unknown",IF(D6568&lt;25000,"&lt;$25k",IF(D6568&lt;50000,"$25k-$50k",IF(D6568&lt;75000,"$50k-$75k",IF(D6568&lt;100000,"$75k-$100k","$100k+")))))</x:f>
        <x:v>$25k-$50k</x:v>
      </x:c>
      <x:c r="P6568" t="str">
        <x:f>IF(E6568="","Unknown",IF(E6568&lt;10,"&lt;10",IF(E6568&lt;20,"10-&lt;20",IF(E6568&lt;25,"20-&lt;25",IF(E6568&lt;35,"25-&lt;35","35+")))))</x:f>
        <x:v>20-&lt;25</x:v>
      </x:c>
    </x:row>
    <x:row r="6569">
      <x:c r="A6569" t="str">
        <x:v>SYN0006568</x:v>
      </x:c>
      <x:c r="B6569" s="12" t="n">
        <x:v>42415</x:v>
      </x:c>
      <x:c r="C6569" s="18" t="n">
        <x:v>11137</x:v>
      </x:c>
      <x:c r="D6569" s="18" t="n">
        <x:v>122888</x:v>
      </x:c>
      <x:c r="E6569" s="18" t="n">
        <x:v>38.18</x:v>
      </x:c>
      <x:c r="F6569" s="18" t="n">
        <x:v>15.97</x:v>
      </x:c>
      <x:c r="G6569" t="n">
        <x:v>36</x:v>
      </x:c>
      <x:c r="H6569" t="str">
        <x:v>E</x:v>
      </x:c>
      <x:c r="I6569" t="str">
        <x:v>1-3 years</x:v>
      </x:c>
      <x:c r="J6569" t="str">
        <x:v>MORTGAGE</x:v>
      </x:c>
      <x:c r="K6569" t="str">
        <x:v>debt_consolidation</x:v>
      </x:c>
      <x:c r="L6569" t="n">
        <x:v>1</x:v>
      </x:c>
      <x:c r="M6569" t="n">
        <x:v>0</x:v>
      </x:c>
      <x:c r="N6569" t="str">
        <x:v>Fully Paid</x:v>
      </x:c>
      <x:c r="O6569" t="str">
        <x:f>IF(D6569="","Unknown",IF(D6569&lt;25000,"&lt;$25k",IF(D6569&lt;50000,"$25k-$50k",IF(D6569&lt;75000,"$50k-$75k",IF(D6569&lt;100000,"$75k-$100k","$100k+")))))</x:f>
        <x:v>$100k+</x:v>
      </x:c>
      <x:c r="P6569" t="str">
        <x:f>IF(E6569="","Unknown",IF(E6569&lt;10,"&lt;10",IF(E6569&lt;20,"10-&lt;20",IF(E6569&lt;25,"20-&lt;25",IF(E6569&lt;35,"25-&lt;35","35+")))))</x:f>
        <x:v>35+</x:v>
      </x:c>
    </x:row>
    <x:row r="6570">
      <x:c r="A6570" t="str">
        <x:v>SYN0006569</x:v>
      </x:c>
      <x:c r="B6570" s="12" t="n">
        <x:v>41635</x:v>
      </x:c>
      <x:c r="C6570" s="18" t="n">
        <x:v>6590</x:v>
      </x:c>
      <x:c r="D6570" s="18" t="n">
        <x:v>136605</x:v>
      </x:c>
      <x:c r="E6570" s="18" t="n">
        <x:v>12.95</x:v>
      </x:c>
      <x:c r="F6570" s="18" t="n">
        <x:v>22.56</x:v>
      </x:c>
      <x:c r="G6570" t="n">
        <x:v>36</x:v>
      </x:c>
      <x:c r="H6570" t="str">
        <x:v>F</x:v>
      </x:c>
      <x:c r="I6570" t="str">
        <x:v>10+ years</x:v>
      </x:c>
      <x:c r="J6570" t="str">
        <x:v>RENT</x:v>
      </x:c>
      <x:c r="K6570" t="str">
        <x:v>debt_consolidation</x:v>
      </x:c>
      <x:c r="L6570" t="n">
        <x:v>1</x:v>
      </x:c>
      <x:c r="M6570" t="n">
        <x:v>1</x:v>
      </x:c>
      <x:c r="N6570" t="str">
        <x:v>Charged Off</x:v>
      </x:c>
      <x:c r="O6570" t="str">
        <x:f>IF(D6570="","Unknown",IF(D6570&lt;25000,"&lt;$25k",IF(D6570&lt;50000,"$25k-$50k",IF(D6570&lt;75000,"$50k-$75k",IF(D6570&lt;100000,"$75k-$100k","$100k+")))))</x:f>
        <x:v>$100k+</x:v>
      </x:c>
      <x:c r="P6570" t="str">
        <x:f>IF(E6570="","Unknown",IF(E6570&lt;10,"&lt;10",IF(E6570&lt;20,"10-&lt;20",IF(E6570&lt;25,"20-&lt;25",IF(E6570&lt;35,"25-&lt;35","35+")))))</x:f>
        <x:v>10-&lt;20</x:v>
      </x:c>
    </x:row>
    <x:row r="6571">
      <x:c r="A6571" t="str">
        <x:v>SYN0006570</x:v>
      </x:c>
      <x:c r="B6571" s="12" t="n">
        <x:v>43375</x:v>
      </x:c>
      <x:c r="C6571" s="18" t="n">
        <x:v>11551</x:v>
      </x:c>
      <x:c r="D6571" s="18" t="n">
        <x:v>52479</x:v>
      </x:c>
      <x:c r="E6571" s="18" t="n">
        <x:v>36.17</x:v>
      </x:c>
      <x:c r="F6571" s="18" t="n">
        <x:v>17.47</x:v>
      </x:c>
      <x:c r="G6571" t="n">
        <x:v>60</x:v>
      </x:c>
      <x:c r="H6571" t="str">
        <x:v>E</x:v>
      </x:c>
      <x:c r="I6571" t="str">
        <x:v>7-9 years</x:v>
      </x:c>
      <x:c r="J6571" t="str">
        <x:v>OWN</x:v>
      </x:c>
      <x:c r="K6571" t="str">
        <x:v>debt_consolidation</x:v>
      </x:c>
      <x:c r="L6571" t="n">
        <x:v>0</x:v>
      </x:c>
      <x:c r="M6571" t="n">
        <x:v>0</x:v>
      </x:c>
      <x:c r="N6571" t="str">
        <x:v>Fully Paid</x:v>
      </x:c>
      <x:c r="O6571" t="str">
        <x:f>IF(D6571="","Unknown",IF(D6571&lt;25000,"&lt;$25k",IF(D6571&lt;50000,"$25k-$50k",IF(D6571&lt;75000,"$50k-$75k",IF(D6571&lt;100000,"$75k-$100k","$100k+")))))</x:f>
        <x:v>$50k-$75k</x:v>
      </x:c>
      <x:c r="P6571" t="str">
        <x:f>IF(E6571="","Unknown",IF(E6571&lt;10,"&lt;10",IF(E6571&lt;20,"10-&lt;20",IF(E6571&lt;25,"20-&lt;25",IF(E6571&lt;35,"25-&lt;35","35+")))))</x:f>
        <x:v>35+</x:v>
      </x:c>
    </x:row>
    <x:row r="6572">
      <x:c r="A6572" t="str">
        <x:v>SYN0006571</x:v>
      </x:c>
      <x:c r="B6572" s="12" t="n">
        <x:v>43195</x:v>
      </x:c>
      <x:c r="C6572" s="18" t="n">
        <x:v>12821</x:v>
      </x:c>
      <x:c r="D6572" s="18" t="n">
        <x:v>45321</x:v>
      </x:c>
      <x:c r="E6572" s="18" t="n">
        <x:v>17.42</x:v>
      </x:c>
      <x:c r="F6572" s="18" t="n">
        <x:v>27.51</x:v>
      </x:c>
      <x:c r="G6572" t="n">
        <x:v>36</x:v>
      </x:c>
      <x:c r="H6572" t="str">
        <x:v>G</x:v>
      </x:c>
      <x:c r="I6572" t="str">
        <x:v>7-9 years</x:v>
      </x:c>
      <x:c r="J6572" t="str">
        <x:v>MORTGAGE</x:v>
      </x:c>
      <x:c r="K6572" t="str">
        <x:v>debt_consolidation</x:v>
      </x:c>
      <x:c r="L6572" t="n">
        <x:v>1</x:v>
      </x:c>
      <x:c r="M6572" t="n">
        <x:v>1</x:v>
      </x:c>
      <x:c r="N6572" t="str">
        <x:v>Charged Off</x:v>
      </x:c>
      <x:c r="O6572" t="str">
        <x:f>IF(D6572="","Unknown",IF(D6572&lt;25000,"&lt;$25k",IF(D6572&lt;50000,"$25k-$50k",IF(D6572&lt;75000,"$50k-$75k",IF(D6572&lt;100000,"$75k-$100k","$100k+")))))</x:f>
        <x:v>$25k-$50k</x:v>
      </x:c>
      <x:c r="P6572" t="str">
        <x:f>IF(E6572="","Unknown",IF(E6572&lt;10,"&lt;10",IF(E6572&lt;20,"10-&lt;20",IF(E6572&lt;25,"20-&lt;25",IF(E6572&lt;35,"25-&lt;35","35+")))))</x:f>
        <x:v>10-&lt;20</x:v>
      </x:c>
    </x:row>
    <x:row r="6573">
      <x:c r="A6573" t="str">
        <x:v>SYN0006572</x:v>
      </x:c>
      <x:c r="B6573" s="12" t="n">
        <x:v>43135</x:v>
      </x:c>
      <x:c r="C6573" s="18" t="n">
        <x:v>14645</x:v>
      </x:c>
      <x:c r="D6573" s="18" t="n">
        <x:v>45604</x:v>
      </x:c>
      <x:c r="E6573" s="18" t="n">
        <x:v>10.92</x:v>
      </x:c>
      <x:c r="F6573" s="18" t="n">
        <x:v>8.19</x:v>
      </x:c>
      <x:c r="G6573" t="n">
        <x:v>36</x:v>
      </x:c>
      <x:c r="H6573" t="str">
        <x:v>B</x:v>
      </x:c>
      <x:c r="I6573" t="str">
        <x:v>7-9 years</x:v>
      </x:c>
      <x:c r="J6573" t="str">
        <x:v>RENT</x:v>
      </x:c>
      <x:c r="K6573" t="str">
        <x:v>debt_consolidation</x:v>
      </x:c>
      <x:c r="L6573" t="n">
        <x:v>1</x:v>
      </x:c>
      <x:c r="M6573" t="n">
        <x:v>0</x:v>
      </x:c>
      <x:c r="N6573" t="str">
        <x:v>Fully Paid</x:v>
      </x:c>
      <x:c r="O6573" t="str">
        <x:f>IF(D6573="","Unknown",IF(D6573&lt;25000,"&lt;$25k",IF(D6573&lt;50000,"$25k-$50k",IF(D6573&lt;75000,"$50k-$75k",IF(D6573&lt;100000,"$75k-$100k","$100k+")))))</x:f>
        <x:v>$25k-$50k</x:v>
      </x:c>
      <x:c r="P6573" t="str">
        <x:f>IF(E6573="","Unknown",IF(E6573&lt;10,"&lt;10",IF(E6573&lt;20,"10-&lt;20",IF(E6573&lt;25,"20-&lt;25",IF(E6573&lt;35,"25-&lt;35","35+")))))</x:f>
        <x:v>10-&lt;20</x:v>
      </x:c>
    </x:row>
    <x:row r="6574">
      <x:c r="A6574" t="str">
        <x:v>SYN0006573</x:v>
      </x:c>
      <x:c r="B6574" s="12" t="n">
        <x:v>41335</x:v>
      </x:c>
      <x:c r="C6574" s="18" t="n">
        <x:v>19254</x:v>
      </x:c>
      <x:c r="D6574" s="18" t="n">
        <x:v>57916</x:v>
      </x:c>
      <x:c r="E6574" s="18" t="n">
        <x:v>5.59</x:v>
      </x:c>
      <x:c r="F6574" s="18" t="n">
        <x:v>5</x:v>
      </x:c>
      <x:c r="G6574" t="n">
        <x:v>36</x:v>
      </x:c>
      <x:c r="H6574" t="str">
        <x:v>B</x:v>
      </x:c>
      <x:c r="I6574" t="str">
        <x:v>4-6 years</x:v>
      </x:c>
      <x:c r="J6574" t="str">
        <x:v>MORTGAGE</x:v>
      </x:c>
      <x:c r="K6574" t="str">
        <x:v>credit_card</x:v>
      </x:c>
      <x:c r="L6574" t="n">
        <x:v>0</x:v>
      </x:c>
      <x:c r="M6574" t="n">
        <x:v>0</x:v>
      </x:c>
      <x:c r="N6574" t="str">
        <x:v>Fully Paid</x:v>
      </x:c>
      <x:c r="O6574" t="str">
        <x:f>IF(D6574="","Unknown",IF(D6574&lt;25000,"&lt;$25k",IF(D6574&lt;50000,"$25k-$50k",IF(D6574&lt;75000,"$50k-$75k",IF(D6574&lt;100000,"$75k-$100k","$100k+")))))</x:f>
        <x:v>$50k-$75k</x:v>
      </x:c>
      <x:c r="P6574" t="str">
        <x:f>IF(E6574="","Unknown",IF(E6574&lt;10,"&lt;10",IF(E6574&lt;20,"10-&lt;20",IF(E6574&lt;25,"20-&lt;25",IF(E6574&lt;35,"25-&lt;35","35+")))))</x:f>
        <x:v>&lt;10</x:v>
      </x:c>
    </x:row>
    <x:row r="6575">
      <x:c r="A6575" t="str">
        <x:v>SYN0006574</x:v>
      </x:c>
      <x:c r="B6575" s="12" t="n">
        <x:v>42595</x:v>
      </x:c>
      <x:c r="C6575" s="18" t="n">
        <x:v>12595</x:v>
      </x:c>
      <x:c r="D6575" s="18" t="n">
        <x:v>37551</x:v>
      </x:c>
      <x:c r="E6575" s="18" t="n">
        <x:v>22.45</x:v>
      </x:c>
      <x:c r="F6575" s="18" t="n">
        <x:v>20.2</x:v>
      </x:c>
      <x:c r="G6575" t="n">
        <x:v>36</x:v>
      </x:c>
      <x:c r="H6575" t="str">
        <x:v>E</x:v>
      </x:c>
      <x:c r="I6575" t="str">
        <x:v>7-9 years</x:v>
      </x:c>
      <x:c r="J6575" t="str">
        <x:v>RENT</x:v>
      </x:c>
      <x:c r="K6575" t="str">
        <x:v>medical</x:v>
      </x:c>
      <x:c r="L6575" t="n">
        <x:v>0</x:v>
      </x:c>
      <x:c r="M6575" t="n">
        <x:v>0</x:v>
      </x:c>
      <x:c r="N6575" t="str">
        <x:v>Fully Paid</x:v>
      </x:c>
      <x:c r="O6575" t="str">
        <x:f>IF(D6575="","Unknown",IF(D6575&lt;25000,"&lt;$25k",IF(D6575&lt;50000,"$25k-$50k",IF(D6575&lt;75000,"$50k-$75k",IF(D6575&lt;100000,"$75k-$100k","$100k+")))))</x:f>
        <x:v>$25k-$50k</x:v>
      </x:c>
      <x:c r="P6575" t="str">
        <x:f>IF(E6575="","Unknown",IF(E6575&lt;10,"&lt;10",IF(E6575&lt;20,"10-&lt;20",IF(E6575&lt;25,"20-&lt;25",IF(E6575&lt;35,"25-&lt;35","35+")))))</x:f>
        <x:v>20-&lt;25</x:v>
      </x:c>
    </x:row>
    <x:row r="6576">
      <x:c r="A6576" t="str">
        <x:v>SYN0006575</x:v>
      </x:c>
      <x:c r="B6576" s="12" t="n">
        <x:v>43075</x:v>
      </x:c>
      <x:c r="C6576" s="18" t="n">
        <x:v>23000</x:v>
      </x:c>
      <x:c r="D6576" s="18" t="n">
        <x:v>138739</x:v>
      </x:c>
      <x:c r="E6576" s="18" t="n">
        <x:v>27.15</x:v>
      </x:c>
      <x:c r="F6576" s="18" t="n">
        <x:v>20.21</x:v>
      </x:c>
      <x:c r="G6576" t="n">
        <x:v>36</x:v>
      </x:c>
      <x:c r="H6576" t="str">
        <x:v>F</x:v>
      </x:c>
      <x:c r="I6576" t="str">
        <x:v>4-6 years</x:v>
      </x:c>
      <x:c r="J6576" t="str">
        <x:v>MORTGAGE</x:v>
      </x:c>
      <x:c r="K6576" t="str">
        <x:v>credit_card</x:v>
      </x:c>
      <x:c r="L6576" t="n">
        <x:v>3</x:v>
      </x:c>
      <x:c r="M6576" t="n">
        <x:v>1</x:v>
      </x:c>
      <x:c r="N6576" t="str">
        <x:v>Charged Off</x:v>
      </x:c>
      <x:c r="O6576" t="str">
        <x:f>IF(D6576="","Unknown",IF(D6576&lt;25000,"&lt;$25k",IF(D6576&lt;50000,"$25k-$50k",IF(D6576&lt;75000,"$50k-$75k",IF(D6576&lt;100000,"$75k-$100k","$100k+")))))</x:f>
        <x:v>$100k+</x:v>
      </x:c>
      <x:c r="P6576" t="str">
        <x:f>IF(E6576="","Unknown",IF(E6576&lt;10,"&lt;10",IF(E6576&lt;20,"10-&lt;20",IF(E6576&lt;25,"20-&lt;25",IF(E6576&lt;35,"25-&lt;35","35+")))))</x:f>
        <x:v>25-&lt;35</x:v>
      </x:c>
    </x:row>
    <x:row r="6577">
      <x:c r="A6577" t="str">
        <x:v>SYN0006576</x:v>
      </x:c>
      <x:c r="B6577" s="12" t="n">
        <x:v>41365</x:v>
      </x:c>
      <x:c r="C6577" s="18" t="n">
        <x:v>6258</x:v>
      </x:c>
      <x:c r="D6577" s="18" t="n">
        <x:v>97057</x:v>
      </x:c>
      <x:c r="E6577" s="18" t="n">
        <x:v>12.65</x:v>
      </x:c>
      <x:c r="F6577" s="18" t="n">
        <x:v>19.72</x:v>
      </x:c>
      <x:c r="G6577" t="n">
        <x:v>36</x:v>
      </x:c>
      <x:c r="H6577" t="str">
        <x:v>F</x:v>
      </x:c>
      <x:c r="I6577" t="str">
        <x:v>4-6 years</x:v>
      </x:c>
      <x:c r="J6577" t="str">
        <x:v>OWN</x:v>
      </x:c>
      <x:c r="K6577" t="str">
        <x:v>major_purchase</x:v>
      </x:c>
      <x:c r="L6577" t="n">
        <x:v>1</x:v>
      </x:c>
      <x:c r="M6577" t="n">
        <x:v>1</x:v>
      </x:c>
      <x:c r="N6577" t="str">
        <x:v>Charged Off</x:v>
      </x:c>
      <x:c r="O6577" t="str">
        <x:f>IF(D6577="","Unknown",IF(D6577&lt;25000,"&lt;$25k",IF(D6577&lt;50000,"$25k-$50k",IF(D6577&lt;75000,"$50k-$75k",IF(D6577&lt;100000,"$75k-$100k","$100k+")))))</x:f>
        <x:v>$75k-$100k</x:v>
      </x:c>
      <x:c r="P6577" t="str">
        <x:f>IF(E6577="","Unknown",IF(E6577&lt;10,"&lt;10",IF(E6577&lt;20,"10-&lt;20",IF(E6577&lt;25,"20-&lt;25",IF(E6577&lt;35,"25-&lt;35","35+")))))</x:f>
        <x:v>10-&lt;20</x:v>
      </x:c>
    </x:row>
    <x:row r="6578">
      <x:c r="A6578" t="str">
        <x:v>SYN0006577</x:v>
      </x:c>
      <x:c r="B6578" s="12" t="n">
        <x:v>42055</x:v>
      </x:c>
      <x:c r="C6578" s="18" t="n">
        <x:v>9896</x:v>
      </x:c>
      <x:c r="D6578" s="18" t="n">
        <x:v>20655</x:v>
      </x:c>
      <x:c r="E6578" s="18" t="n">
        <x:v>26.08</x:v>
      </x:c>
      <x:c r="F6578" s="18" t="n">
        <x:v>16.51</x:v>
      </x:c>
      <x:c r="G6578" t="n">
        <x:v>36</x:v>
      </x:c>
      <x:c r="H6578" t="str">
        <x:v>D</x:v>
      </x:c>
      <x:c r="I6578" t="str">
        <x:v>4-6 years</x:v>
      </x:c>
      <x:c r="J6578" t="str">
        <x:v>RENT</x:v>
      </x:c>
      <x:c r="K6578" t="str">
        <x:v>debt_consolidation</x:v>
      </x:c>
      <x:c r="L6578" t="n">
        <x:v>0</x:v>
      </x:c>
      <x:c r="M6578" t="n">
        <x:v>0</x:v>
      </x:c>
      <x:c r="N6578" t="str">
        <x:v>Fully Paid</x:v>
      </x:c>
      <x:c r="O6578" t="str">
        <x:f>IF(D6578="","Unknown",IF(D6578&lt;25000,"&lt;$25k",IF(D6578&lt;50000,"$25k-$50k",IF(D6578&lt;75000,"$50k-$75k",IF(D6578&lt;100000,"$75k-$100k","$100k+")))))</x:f>
        <x:v>&lt;$25k</x:v>
      </x:c>
      <x:c r="P6578" t="str">
        <x:f>IF(E6578="","Unknown",IF(E6578&lt;10,"&lt;10",IF(E6578&lt;20,"10-&lt;20",IF(E6578&lt;25,"20-&lt;25",IF(E6578&lt;35,"25-&lt;35","35+")))))</x:f>
        <x:v>25-&lt;35</x:v>
      </x:c>
    </x:row>
    <x:row r="6579">
      <x:c r="A6579" t="str">
        <x:v>SYN0006578</x:v>
      </x:c>
      <x:c r="B6579" s="12" t="n">
        <x:v>41965</x:v>
      </x:c>
      <x:c r="C6579" s="18" t="n">
        <x:v>4568</x:v>
      </x:c>
      <x:c r="D6579" s="18" t="n">
        <x:v>12000</x:v>
      </x:c>
      <x:c r="E6579" s="18" t="n">
        <x:v>36.97</x:v>
      </x:c>
      <x:c r="F6579" s="18" t="n">
        <x:v>13.14</x:v>
      </x:c>
      <x:c r="G6579" t="n">
        <x:v>60</x:v>
      </x:c>
      <x:c r="H6579" t="str">
        <x:v>D</x:v>
      </x:c>
      <x:c r="I6579" t="str">
        <x:v>4-6 years</x:v>
      </x:c>
      <x:c r="J6579" t="str">
        <x:v>OWN</x:v>
      </x:c>
      <x:c r="K6579" t="str">
        <x:v>credit_card</x:v>
      </x:c>
      <x:c r="L6579" t="n">
        <x:v>0</x:v>
      </x:c>
      <x:c r="M6579" t="n">
        <x:v>0</x:v>
      </x:c>
      <x:c r="N6579" t="str">
        <x:v>Fully Paid</x:v>
      </x:c>
      <x:c r="O6579" t="str">
        <x:f>IF(D6579="","Unknown",IF(D6579&lt;25000,"&lt;$25k",IF(D6579&lt;50000,"$25k-$50k",IF(D6579&lt;75000,"$50k-$75k",IF(D6579&lt;100000,"$75k-$100k","$100k+")))))</x:f>
        <x:v>&lt;$25k</x:v>
      </x:c>
      <x:c r="P6579" t="str">
        <x:f>IF(E6579="","Unknown",IF(E6579&lt;10,"&lt;10",IF(E6579&lt;20,"10-&lt;20",IF(E6579&lt;25,"20-&lt;25",IF(E6579&lt;35,"25-&lt;35","35+")))))</x:f>
        <x:v>35+</x:v>
      </x:c>
    </x:row>
    <x:row r="6580">
      <x:c r="A6580" t="str">
        <x:v>SYN0006579</x:v>
      </x:c>
      <x:c r="B6580" s="12" t="n">
        <x:v>43255</x:v>
      </x:c>
      <x:c r="C6580" s="18" t="n">
        <x:v>30119</x:v>
      </x:c>
      <x:c r="D6580" s="18" t="n">
        <x:v>41641</x:v>
      </x:c>
      <x:c r="E6580" s="18" t="n">
        <x:v>7.68</x:v>
      </x:c>
      <x:c r="F6580" s="18" t="n">
        <x:v>6.61</x:v>
      </x:c>
      <x:c r="G6580" t="n">
        <x:v>60</x:v>
      </x:c>
      <x:c r="H6580" t="str">
        <x:v>A</x:v>
      </x:c>
      <x:c r="I6580" t="str">
        <x:v>7-9 years</x:v>
      </x:c>
      <x:c r="J6580" t="str">
        <x:v>MORTGAGE</x:v>
      </x:c>
      <x:c r="K6580" t="str">
        <x:v>debt_consolidation</x:v>
      </x:c>
      <x:c r="L6580" t="n">
        <x:v>1</x:v>
      </x:c>
      <x:c r="M6580" t="n">
        <x:v>0</x:v>
      </x:c>
      <x:c r="N6580" t="str">
        <x:v>Fully Paid</x:v>
      </x:c>
      <x:c r="O6580" t="str">
        <x:f>IF(D6580="","Unknown",IF(D6580&lt;25000,"&lt;$25k",IF(D6580&lt;50000,"$25k-$50k",IF(D6580&lt;75000,"$50k-$75k",IF(D6580&lt;100000,"$75k-$100k","$100k+")))))</x:f>
        <x:v>$25k-$50k</x:v>
      </x:c>
      <x:c r="P6580" t="str">
        <x:f>IF(E6580="","Unknown",IF(E6580&lt;10,"&lt;10",IF(E6580&lt;20,"10-&lt;20",IF(E6580&lt;25,"20-&lt;25",IF(E6580&lt;35,"25-&lt;35","35+")))))</x:f>
        <x:v>&lt;10</x:v>
      </x:c>
    </x:row>
    <x:row r="6581">
      <x:c r="A6581" t="str">
        <x:v>SYN0006580</x:v>
      </x:c>
      <x:c r="B6581" s="12" t="n">
        <x:v>42445</x:v>
      </x:c>
      <x:c r="C6581" s="18" t="n">
        <x:v>9209</x:v>
      </x:c>
      <x:c r="D6581" s="18" t="n">
        <x:v>35488</x:v>
      </x:c>
      <x:c r="E6581" s="18" t="n">
        <x:v>12.61</x:v>
      </x:c>
      <x:c r="F6581" s="18" t="n">
        <x:v>22.67</x:v>
      </x:c>
      <x:c r="G6581" t="n">
        <x:v>36</x:v>
      </x:c>
      <x:c r="H6581" t="str">
        <x:v>F</x:v>
      </x:c>
      <x:c r="I6581" t="str">
        <x:v>&lt;1 year</x:v>
      </x:c>
      <x:c r="J6581" t="str">
        <x:v>RENT</x:v>
      </x:c>
      <x:c r="K6581" t="str">
        <x:v>major_purchase</x:v>
      </x:c>
      <x:c r="L6581" t="n">
        <x:v>0</x:v>
      </x:c>
      <x:c r="M6581" t="n">
        <x:v>0</x:v>
      </x:c>
      <x:c r="N6581" t="str">
        <x:v>Fully Paid</x:v>
      </x:c>
      <x:c r="O6581" t="str">
        <x:f>IF(D6581="","Unknown",IF(D6581&lt;25000,"&lt;$25k",IF(D6581&lt;50000,"$25k-$50k",IF(D6581&lt;75000,"$50k-$75k",IF(D6581&lt;100000,"$75k-$100k","$100k+")))))</x:f>
        <x:v>$25k-$50k</x:v>
      </x:c>
      <x:c r="P6581" t="str">
        <x:f>IF(E6581="","Unknown",IF(E6581&lt;10,"&lt;10",IF(E6581&lt;20,"10-&lt;20",IF(E6581&lt;25,"20-&lt;25",IF(E6581&lt;35,"25-&lt;35","35+")))))</x:f>
        <x:v>10-&lt;20</x:v>
      </x:c>
    </x:row>
    <x:row r="6582">
      <x:c r="A6582" t="str">
        <x:v>SYN0006581</x:v>
      </x:c>
      <x:c r="B6582" s="12" t="n">
        <x:v>42355</x:v>
      </x:c>
      <x:c r="C6582" s="18" t="n">
        <x:v>10565</x:v>
      </x:c>
      <x:c r="D6582" s="18" t="n">
        <x:v>164847</x:v>
      </x:c>
      <x:c r="E6582" s="18" t="n">
        <x:v>32.49</x:v>
      </x:c>
      <x:c r="F6582" s="18" t="n">
        <x:v>24.97</x:v>
      </x:c>
      <x:c r="G6582" t="n">
        <x:v>36</x:v>
      </x:c>
      <x:c r="H6582" t="str">
        <x:v>G</x:v>
      </x:c>
      <x:c r="I6582" t="str">
        <x:v>4-6 years</x:v>
      </x:c>
      <x:c r="J6582" t="str">
        <x:v>MORTGAGE</x:v>
      </x:c>
      <x:c r="K6582" t="str">
        <x:v>medical</x:v>
      </x:c>
      <x:c r="L6582" t="n">
        <x:v>0</x:v>
      </x:c>
      <x:c r="M6582" t="n">
        <x:v>1</x:v>
      </x:c>
      <x:c r="N6582" t="str">
        <x:v>Charged Off</x:v>
      </x:c>
      <x:c r="O6582" t="str">
        <x:f>IF(D6582="","Unknown",IF(D6582&lt;25000,"&lt;$25k",IF(D6582&lt;50000,"$25k-$50k",IF(D6582&lt;75000,"$50k-$75k",IF(D6582&lt;100000,"$75k-$100k","$100k+")))))</x:f>
        <x:v>$100k+</x:v>
      </x:c>
      <x:c r="P6582" t="str">
        <x:f>IF(E6582="","Unknown",IF(E6582&lt;10,"&lt;10",IF(E6582&lt;20,"10-&lt;20",IF(E6582&lt;25,"20-&lt;25",IF(E6582&lt;35,"25-&lt;35","35+")))))</x:f>
        <x:v>25-&lt;35</x:v>
      </x:c>
    </x:row>
    <x:row r="6583">
      <x:c r="A6583" t="str">
        <x:v>SYN0006582</x:v>
      </x:c>
      <x:c r="B6583" s="12" t="n">
        <x:v>41515</x:v>
      </x:c>
      <x:c r="C6583" s="18" t="n">
        <x:v>14708</x:v>
      </x:c>
      <x:c r="D6583" s="18" t="n">
        <x:v>30661</x:v>
      </x:c>
      <x:c r="E6583" s="18" t="n">
        <x:v>23.61</x:v>
      </x:c>
      <x:c r="F6583" s="18" t="n">
        <x:v>17.34</x:v>
      </x:c>
      <x:c r="G6583" t="n">
        <x:v>36</x:v>
      </x:c>
      <x:c r="H6583" t="str">
        <x:v>D</x:v>
      </x:c>
      <x:c r="I6583" t="str">
        <x:v>1-3 years</x:v>
      </x:c>
      <x:c r="J6583" t="str">
        <x:v>RENT</x:v>
      </x:c>
      <x:c r="K6583" t="str">
        <x:v>debt_consolidation</x:v>
      </x:c>
      <x:c r="L6583" t="n">
        <x:v>0</x:v>
      </x:c>
      <x:c r="M6583" t="n">
        <x:v>0</x:v>
      </x:c>
      <x:c r="N6583" t="str">
        <x:v>Fully Paid</x:v>
      </x:c>
      <x:c r="O6583" t="str">
        <x:f>IF(D6583="","Unknown",IF(D6583&lt;25000,"&lt;$25k",IF(D6583&lt;50000,"$25k-$50k",IF(D6583&lt;75000,"$50k-$75k",IF(D6583&lt;100000,"$75k-$100k","$100k+")))))</x:f>
        <x:v>$25k-$50k</x:v>
      </x:c>
      <x:c r="P6583" t="str">
        <x:f>IF(E6583="","Unknown",IF(E6583&lt;10,"&lt;10",IF(E6583&lt;20,"10-&lt;20",IF(E6583&lt;25,"20-&lt;25",IF(E6583&lt;35,"25-&lt;35","35+")))))</x:f>
        <x:v>20-&lt;25</x:v>
      </x:c>
    </x:row>
    <x:row r="6584">
      <x:c r="A6584" t="str">
        <x:v>SYN0006583</x:v>
      </x:c>
      <x:c r="B6584" s="12" t="n">
        <x:v>43045</x:v>
      </x:c>
      <x:c r="C6584" s="18" t="n">
        <x:v>17923</x:v>
      </x:c>
      <x:c r="D6584" s="18" t="n">
        <x:v>31752</x:v>
      </x:c>
      <x:c r="E6584" s="18" t="n">
        <x:v>24.35</x:v>
      </x:c>
      <x:c r="F6584" s="18" t="n">
        <x:v>8.94</x:v>
      </x:c>
      <x:c r="G6584" t="n">
        <x:v>36</x:v>
      </x:c>
      <x:c r="H6584" t="str">
        <x:v>B</x:v>
      </x:c>
      <x:c r="I6584" t="str">
        <x:v>4-6 years</x:v>
      </x:c>
      <x:c r="J6584" t="str">
        <x:v>RENT</x:v>
      </x:c>
      <x:c r="K6584" t="str">
        <x:v>debt_consolidation</x:v>
      </x:c>
      <x:c r="L6584" t="n">
        <x:v>0</x:v>
      </x:c>
      <x:c r="M6584" t="n">
        <x:v>0</x:v>
      </x:c>
      <x:c r="N6584" t="str">
        <x:v>Fully Paid</x:v>
      </x:c>
      <x:c r="O6584" t="str">
        <x:f>IF(D6584="","Unknown",IF(D6584&lt;25000,"&lt;$25k",IF(D6584&lt;50000,"$25k-$50k",IF(D6584&lt;75000,"$50k-$75k",IF(D6584&lt;100000,"$75k-$100k","$100k+")))))</x:f>
        <x:v>$25k-$50k</x:v>
      </x:c>
      <x:c r="P6584" t="str">
        <x:f>IF(E6584="","Unknown",IF(E6584&lt;10,"&lt;10",IF(E6584&lt;20,"10-&lt;20",IF(E6584&lt;25,"20-&lt;25",IF(E6584&lt;35,"25-&lt;35","35+")))))</x:f>
        <x:v>20-&lt;25</x:v>
      </x:c>
    </x:row>
    <x:row r="6585">
      <x:c r="A6585" t="str">
        <x:v>SYN0006584</x:v>
      </x:c>
      <x:c r="B6585" s="12" t="n">
        <x:v>42445</x:v>
      </x:c>
      <x:c r="C6585" s="18" t="n">
        <x:v>28736</x:v>
      </x:c>
      <x:c r="D6585" s="18" t="n">
        <x:v>43148</x:v>
      </x:c>
      <x:c r="E6585" s="18" t="n">
        <x:v>26.65</x:v>
      </x:c>
      <x:c r="F6585" s="18" t="n">
        <x:v>18.7</x:v>
      </x:c>
      <x:c r="G6585" t="n">
        <x:v>36</x:v>
      </x:c>
      <x:c r="H6585" t="str">
        <x:v>E</x:v>
      </x:c>
      <x:c r="I6585" t="str">
        <x:v>4-6 years</x:v>
      </x:c>
      <x:c r="J6585" t="str">
        <x:v>RENT</x:v>
      </x:c>
      <x:c r="K6585" t="str">
        <x:v>home_improvement</x:v>
      </x:c>
      <x:c r="L6585" t="n">
        <x:v>2</x:v>
      </x:c>
      <x:c r="M6585" t="n">
        <x:v>1</x:v>
      </x:c>
      <x:c r="N6585" t="str">
        <x:v>Charged Off</x:v>
      </x:c>
      <x:c r="O6585" t="str">
        <x:f>IF(D6585="","Unknown",IF(D6585&lt;25000,"&lt;$25k",IF(D6585&lt;50000,"$25k-$50k",IF(D6585&lt;75000,"$50k-$75k",IF(D6585&lt;100000,"$75k-$100k","$100k+")))))</x:f>
        <x:v>$25k-$50k</x:v>
      </x:c>
      <x:c r="P6585" t="str">
        <x:f>IF(E6585="","Unknown",IF(E6585&lt;10,"&lt;10",IF(E6585&lt;20,"10-&lt;20",IF(E6585&lt;25,"20-&lt;25",IF(E6585&lt;35,"25-&lt;35","35+")))))</x:f>
        <x:v>25-&lt;35</x:v>
      </x:c>
    </x:row>
    <x:row r="6586">
      <x:c r="A6586" t="str">
        <x:v>SYN0006585</x:v>
      </x:c>
      <x:c r="B6586" s="12" t="n">
        <x:v>42805</x:v>
      </x:c>
      <x:c r="C6586" s="18" t="n">
        <x:v>16310</x:v>
      </x:c>
      <x:c r="D6586" s="18" t="n">
        <x:v>30982</x:v>
      </x:c>
      <x:c r="E6586" s="18" t="n">
        <x:v>15.23</x:v>
      </x:c>
      <x:c r="F6586" s="18" t="n">
        <x:v>10.92</x:v>
      </x:c>
      <x:c r="G6586" t="n">
        <x:v>36</x:v>
      </x:c>
      <x:c r="H6586" t="str">
        <x:v>B</x:v>
      </x:c>
      <x:c r="I6586" t="str">
        <x:v>1-3 years</x:v>
      </x:c>
      <x:c r="J6586" t="str">
        <x:v>RENT</x:v>
      </x:c>
      <x:c r="K6586" t="str">
        <x:v>credit_card</x:v>
      </x:c>
      <x:c r="L6586" t="n">
        <x:v>0</x:v>
      </x:c>
      <x:c r="M6586" t="n">
        <x:v>0</x:v>
      </x:c>
      <x:c r="N6586" t="str">
        <x:v>Fully Paid</x:v>
      </x:c>
      <x:c r="O6586" t="str">
        <x:f>IF(D6586="","Unknown",IF(D6586&lt;25000,"&lt;$25k",IF(D6586&lt;50000,"$25k-$50k",IF(D6586&lt;75000,"$50k-$75k",IF(D6586&lt;100000,"$75k-$100k","$100k+")))))</x:f>
        <x:v>$25k-$50k</x:v>
      </x:c>
      <x:c r="P6586" t="str">
        <x:f>IF(E6586="","Unknown",IF(E6586&lt;10,"&lt;10",IF(E6586&lt;20,"10-&lt;20",IF(E6586&lt;25,"20-&lt;25",IF(E6586&lt;35,"25-&lt;35","35+")))))</x:f>
        <x:v>10-&lt;20</x:v>
      </x:c>
    </x:row>
    <x:row r="6587">
      <x:c r="A6587" t="str">
        <x:v>SYN0006586</x:v>
      </x:c>
      <x:c r="B6587" s="12" t="n">
        <x:v>42535</x:v>
      </x:c>
      <x:c r="C6587" s="18" t="n">
        <x:v>11042</x:v>
      </x:c>
      <x:c r="D6587" s="18" t="n">
        <x:v>62637</x:v>
      </x:c>
      <x:c r="E6587" s="18" t="n">
        <x:v>6.16</x:v>
      </x:c>
      <x:c r="F6587" s="18" t="n">
        <x:v>15.68</x:v>
      </x:c>
      <x:c r="G6587" t="n">
        <x:v>36</x:v>
      </x:c>
      <x:c r="H6587" t="str">
        <x:v>D</x:v>
      </x:c>
      <x:c r="I6587" t="str">
        <x:v>&lt;1 year</x:v>
      </x:c>
      <x:c r="J6587" t="str">
        <x:v>RENT</x:v>
      </x:c>
      <x:c r="K6587" t="str">
        <x:v>debt_consolidation</x:v>
      </x:c>
      <x:c r="L6587" t="n">
        <x:v>1</x:v>
      </x:c>
      <x:c r="M6587" t="n">
        <x:v>0</x:v>
      </x:c>
      <x:c r="N6587" t="str">
        <x:v>Fully Paid</x:v>
      </x:c>
      <x:c r="O6587" t="str">
        <x:f>IF(D6587="","Unknown",IF(D6587&lt;25000,"&lt;$25k",IF(D6587&lt;50000,"$25k-$50k",IF(D6587&lt;75000,"$50k-$75k",IF(D6587&lt;100000,"$75k-$100k","$100k+")))))</x:f>
        <x:v>$50k-$75k</x:v>
      </x:c>
      <x:c r="P6587" t="str">
        <x:f>IF(E6587="","Unknown",IF(E6587&lt;10,"&lt;10",IF(E6587&lt;20,"10-&lt;20",IF(E6587&lt;25,"20-&lt;25",IF(E6587&lt;35,"25-&lt;35","35+")))))</x:f>
        <x:v>&lt;10</x:v>
      </x:c>
    </x:row>
    <x:row r="6588">
      <x:c r="A6588" t="str">
        <x:v>SYN0006587</x:v>
      </x:c>
      <x:c r="B6588" s="12" t="n">
        <x:v>43015</x:v>
      </x:c>
      <x:c r="C6588" s="18" t="n">
        <x:v>13799</x:v>
      </x:c>
      <x:c r="D6588" s="18" t="n">
        <x:v>90002</x:v>
      </x:c>
      <x:c r="E6588" s="18" t="n">
        <x:v>12.32</x:v>
      </x:c>
      <x:c r="F6588" s="18" t="n">
        <x:v>16</x:v>
      </x:c>
      <x:c r="G6588" t="n">
        <x:v>60</x:v>
      </x:c>
      <x:c r="H6588" t="str">
        <x:v>D</x:v>
      </x:c>
      <x:c r="I6588" t="str">
        <x:v>7-9 years</x:v>
      </x:c>
      <x:c r="J6588" t="str">
        <x:v>RENT</x:v>
      </x:c>
      <x:c r="K6588" t="str">
        <x:v>credit_card</x:v>
      </x:c>
      <x:c r="L6588" t="n">
        <x:v>1</x:v>
      </x:c>
      <x:c r="M6588" t="n">
        <x:v>0</x:v>
      </x:c>
      <x:c r="N6588" t="str">
        <x:v>Fully Paid</x:v>
      </x:c>
      <x:c r="O6588" t="str">
        <x:f>IF(D6588="","Unknown",IF(D6588&lt;25000,"&lt;$25k",IF(D6588&lt;50000,"$25k-$50k",IF(D6588&lt;75000,"$50k-$75k",IF(D6588&lt;100000,"$75k-$100k","$100k+")))))</x:f>
        <x:v>$75k-$100k</x:v>
      </x:c>
      <x:c r="P6588" t="str">
        <x:f>IF(E6588="","Unknown",IF(E6588&lt;10,"&lt;10",IF(E6588&lt;20,"10-&lt;20",IF(E6588&lt;25,"20-&lt;25",IF(E6588&lt;35,"25-&lt;35","35+")))))</x:f>
        <x:v>10-&lt;20</x:v>
      </x:c>
    </x:row>
    <x:row r="6589">
      <x:c r="A6589" t="str">
        <x:v>SYN0006588</x:v>
      </x:c>
      <x:c r="B6589" s="12" t="n">
        <x:v>42115</x:v>
      </x:c>
      <x:c r="C6589" s="18" t="n">
        <x:v>29710</x:v>
      </x:c>
      <x:c r="D6589" s="18" t="n">
        <x:v>27467</x:v>
      </x:c>
      <x:c r="E6589" s="18" t="n">
        <x:v>30.2</x:v>
      </x:c>
      <x:c r="F6589" s="18" t="n">
        <x:v>8.85</x:v>
      </x:c>
      <x:c r="G6589" t="n">
        <x:v>60</x:v>
      </x:c>
      <x:c r="H6589" t="str">
        <x:v>B</x:v>
      </x:c>
      <x:c r="I6589" t="str">
        <x:v>&lt;1 year</x:v>
      </x:c>
      <x:c r="J6589" t="str">
        <x:v>OWN</x:v>
      </x:c>
      <x:c r="K6589" t="str">
        <x:v>major_purchase</x:v>
      </x:c>
      <x:c r="L6589" t="n">
        <x:v>1</x:v>
      </x:c>
      <x:c r="M6589" t="n">
        <x:v>0</x:v>
      </x:c>
      <x:c r="N6589" t="str">
        <x:v>Fully Paid</x:v>
      </x:c>
      <x:c r="O6589" t="str">
        <x:f>IF(D6589="","Unknown",IF(D6589&lt;25000,"&lt;$25k",IF(D6589&lt;50000,"$25k-$50k",IF(D6589&lt;75000,"$50k-$75k",IF(D6589&lt;100000,"$75k-$100k","$100k+")))))</x:f>
        <x:v>$25k-$50k</x:v>
      </x:c>
      <x:c r="P6589" t="str">
        <x:f>IF(E6589="","Unknown",IF(E6589&lt;10,"&lt;10",IF(E6589&lt;20,"10-&lt;20",IF(E6589&lt;25,"20-&lt;25",IF(E6589&lt;35,"25-&lt;35","35+")))))</x:f>
        <x:v>25-&lt;35</x:v>
      </x:c>
    </x:row>
    <x:row r="6590">
      <x:c r="A6590" t="str">
        <x:v>SYN0006589</x:v>
      </x:c>
      <x:c r="B6590" s="12" t="n">
        <x:v>42445</x:v>
      </x:c>
      <x:c r="C6590" s="18" t="n">
        <x:v>6623</x:v>
      </x:c>
      <x:c r="D6590" s="18" t="n">
        <x:v>106136</x:v>
      </x:c>
      <x:c r="E6590" s="18" t="n">
        <x:v>10.48</x:v>
      </x:c>
      <x:c r="F6590" s="18" t="n">
        <x:v>14.01</x:v>
      </x:c>
      <x:c r="G6590" t="n">
        <x:v>36</x:v>
      </x:c>
      <x:c r="H6590" t="str">
        <x:v>D</x:v>
      </x:c>
      <x:c r="I6590" t="str">
        <x:v>7-9 years</x:v>
      </x:c>
      <x:c r="J6590" t="str">
        <x:v>MORTGAGE</x:v>
      </x:c>
      <x:c r="K6590" t="str">
        <x:v>other</x:v>
      </x:c>
      <x:c r="L6590" t="n">
        <x:v>0</x:v>
      </x:c>
      <x:c r="M6590" t="n">
        <x:v>0</x:v>
      </x:c>
      <x:c r="N6590" t="str">
        <x:v>Fully Paid</x:v>
      </x:c>
      <x:c r="O6590" t="str">
        <x:f>IF(D6590="","Unknown",IF(D6590&lt;25000,"&lt;$25k",IF(D6590&lt;50000,"$25k-$50k",IF(D6590&lt;75000,"$50k-$75k",IF(D6590&lt;100000,"$75k-$100k","$100k+")))))</x:f>
        <x:v>$100k+</x:v>
      </x:c>
      <x:c r="P6590" t="str">
        <x:f>IF(E6590="","Unknown",IF(E6590&lt;10,"&lt;10",IF(E6590&lt;20,"10-&lt;20",IF(E6590&lt;25,"20-&lt;25",IF(E6590&lt;35,"25-&lt;35","35+")))))</x:f>
        <x:v>10-&lt;20</x:v>
      </x:c>
    </x:row>
    <x:row r="6591">
      <x:c r="A6591" t="str">
        <x:v>SYN0006590</x:v>
      </x:c>
      <x:c r="B6591" s="12" t="n">
        <x:v>42325</x:v>
      </x:c>
      <x:c r="C6591" s="18" t="n">
        <x:v>28067</x:v>
      </x:c>
      <x:c r="D6591" s="18" t="n">
        <x:v>38227</x:v>
      </x:c>
      <x:c r="E6591" s="18" t="n">
        <x:v>14.21</x:v>
      </x:c>
      <x:c r="F6591" s="18" t="n">
        <x:v>5</x:v>
      </x:c>
      <x:c r="G6591" t="n">
        <x:v>36</x:v>
      </x:c>
      <x:c r="H6591" t="str">
        <x:v>A</x:v>
      </x:c>
      <x:c r="I6591" t="str">
        <x:v>10+ years</x:v>
      </x:c>
      <x:c r="J6591" t="str">
        <x:v>RENT</x:v>
      </x:c>
      <x:c r="K6591" t="str">
        <x:v>debt_consolidation</x:v>
      </x:c>
      <x:c r="L6591" t="n">
        <x:v>0</x:v>
      </x:c>
      <x:c r="M6591" t="n">
        <x:v>0</x:v>
      </x:c>
      <x:c r="N6591" t="str">
        <x:v>Fully Paid</x:v>
      </x:c>
      <x:c r="O6591" t="str">
        <x:f>IF(D6591="","Unknown",IF(D6591&lt;25000,"&lt;$25k",IF(D6591&lt;50000,"$25k-$50k",IF(D6591&lt;75000,"$50k-$75k",IF(D6591&lt;100000,"$75k-$100k","$100k+")))))</x:f>
        <x:v>$25k-$50k</x:v>
      </x:c>
      <x:c r="P6591" t="str">
        <x:f>IF(E6591="","Unknown",IF(E6591&lt;10,"&lt;10",IF(E6591&lt;20,"10-&lt;20",IF(E6591&lt;25,"20-&lt;25",IF(E6591&lt;35,"25-&lt;35","35+")))))</x:f>
        <x:v>10-&lt;20</x:v>
      </x:c>
    </x:row>
    <x:row r="6592">
      <x:c r="A6592" t="str">
        <x:v>SYN0006591</x:v>
      </x:c>
      <x:c r="B6592" s="12" t="n">
        <x:v>42565</x:v>
      </x:c>
      <x:c r="C6592" s="18" t="n">
        <x:v>12720</x:v>
      </x:c>
      <x:c r="D6592" s="18" t="n">
        <x:v>39973</x:v>
      </x:c>
      <x:c r="E6592" s="18" t="n">
        <x:v>22.94</x:v>
      </x:c>
      <x:c r="F6592" s="18" t="n">
        <x:v>6.69</x:v>
      </x:c>
      <x:c r="G6592" t="n">
        <x:v>36</x:v>
      </x:c>
      <x:c r="H6592" t="str">
        <x:v>A</x:v>
      </x:c>
      <x:c r="I6592" t="str">
        <x:v>4-6 years</x:v>
      </x:c>
      <x:c r="J6592" t="str">
        <x:v>MORTGAGE</x:v>
      </x:c>
      <x:c r="K6592" t="str">
        <x:v>major_purchase</x:v>
      </x:c>
      <x:c r="L6592" t="n">
        <x:v>0</x:v>
      </x:c>
      <x:c r="M6592" t="n">
        <x:v>0</x:v>
      </x:c>
      <x:c r="N6592" t="str">
        <x:v>Fully Paid</x:v>
      </x:c>
      <x:c r="O6592" t="str">
        <x:f>IF(D6592="","Unknown",IF(D6592&lt;25000,"&lt;$25k",IF(D6592&lt;50000,"$25k-$50k",IF(D6592&lt;75000,"$50k-$75k",IF(D6592&lt;100000,"$75k-$100k","$100k+")))))</x:f>
        <x:v>$25k-$50k</x:v>
      </x:c>
      <x:c r="P6592" t="str">
        <x:f>IF(E6592="","Unknown",IF(E6592&lt;10,"&lt;10",IF(E6592&lt;20,"10-&lt;20",IF(E6592&lt;25,"20-&lt;25",IF(E6592&lt;35,"25-&lt;35","35+")))))</x:f>
        <x:v>20-&lt;25</x:v>
      </x:c>
    </x:row>
    <x:row r="6593">
      <x:c r="A6593" t="str">
        <x:v>SYN0006592</x:v>
      </x:c>
      <x:c r="B6593" s="12" t="n">
        <x:v>41575</x:v>
      </x:c>
      <x:c r="C6593" s="18" t="n">
        <x:v>11125</x:v>
      </x:c>
      <x:c r="D6593" s="18" t="n">
        <x:v>78604</x:v>
      </x:c>
      <x:c r="E6593" s="18" t="n">
        <x:v>36.21</x:v>
      </x:c>
      <x:c r="F6593" s="18" t="n">
        <x:v>18.19</x:v>
      </x:c>
      <x:c r="G6593" t="n">
        <x:v>36</x:v>
      </x:c>
      <x:c r="H6593" t="str">
        <x:v>E</x:v>
      </x:c>
      <x:c r="I6593" t="str">
        <x:v>7-9 years</x:v>
      </x:c>
      <x:c r="J6593" t="str">
        <x:v>MORTGAGE</x:v>
      </x:c>
      <x:c r="K6593" t="str">
        <x:v>home_improvement</x:v>
      </x:c>
      <x:c r="L6593" t="n">
        <x:v>0</x:v>
      </x:c>
      <x:c r="M6593" t="n">
        <x:v>0</x:v>
      </x:c>
      <x:c r="N6593" t="str">
        <x:v>Fully Paid</x:v>
      </x:c>
      <x:c r="O6593" t="str">
        <x:f>IF(D6593="","Unknown",IF(D6593&lt;25000,"&lt;$25k",IF(D6593&lt;50000,"$25k-$50k",IF(D6593&lt;75000,"$50k-$75k",IF(D6593&lt;100000,"$75k-$100k","$100k+")))))</x:f>
        <x:v>$75k-$100k</x:v>
      </x:c>
      <x:c r="P6593" t="str">
        <x:f>IF(E6593="","Unknown",IF(E6593&lt;10,"&lt;10",IF(E6593&lt;20,"10-&lt;20",IF(E6593&lt;25,"20-&lt;25",IF(E6593&lt;35,"25-&lt;35","35+")))))</x:f>
        <x:v>35+</x:v>
      </x:c>
    </x:row>
    <x:row r="6594">
      <x:c r="A6594" t="str">
        <x:v>SYN0006593</x:v>
      </x:c>
      <x:c r="B6594" s="12" t="n">
        <x:v>41605</x:v>
      </x:c>
      <x:c r="C6594" s="18" t="n">
        <x:v>17738</x:v>
      </x:c>
      <x:c r="D6594" s="18" t="n">
        <x:v>34520</x:v>
      </x:c>
      <x:c r="E6594" s="18" t="n">
        <x:v>23.14</x:v>
      </x:c>
      <x:c r="F6594" s="18" t="n">
        <x:v>16.05</x:v>
      </x:c>
      <x:c r="G6594" t="n">
        <x:v>36</x:v>
      </x:c>
      <x:c r="H6594" t="str">
        <x:v>D</x:v>
      </x:c>
      <x:c r="I6594" t="str">
        <x:v>10+ years</x:v>
      </x:c>
      <x:c r="J6594" t="str">
        <x:v>MORTGAGE</x:v>
      </x:c>
      <x:c r="K6594" t="str">
        <x:v>major_purchase</x:v>
      </x:c>
      <x:c r="L6594" t="n">
        <x:v>0</x:v>
      </x:c>
      <x:c r="M6594" t="n">
        <x:v>0</x:v>
      </x:c>
      <x:c r="N6594" t="str">
        <x:v>Fully Paid</x:v>
      </x:c>
      <x:c r="O6594" t="str">
        <x:f>IF(D6594="","Unknown",IF(D6594&lt;25000,"&lt;$25k",IF(D6594&lt;50000,"$25k-$50k",IF(D6594&lt;75000,"$50k-$75k",IF(D6594&lt;100000,"$75k-$100k","$100k+")))))</x:f>
        <x:v>$25k-$50k</x:v>
      </x:c>
      <x:c r="P6594" t="str">
        <x:f>IF(E6594="","Unknown",IF(E6594&lt;10,"&lt;10",IF(E6594&lt;20,"10-&lt;20",IF(E6594&lt;25,"20-&lt;25",IF(E6594&lt;35,"25-&lt;35","35+")))))</x:f>
        <x:v>20-&lt;25</x:v>
      </x:c>
    </x:row>
    <x:row r="6595">
      <x:c r="A6595" t="str">
        <x:v>SYN0006594</x:v>
      </x:c>
      <x:c r="B6595" s="12" t="n">
        <x:v>43255</x:v>
      </x:c>
      <x:c r="C6595" s="18" t="n">
        <x:v>8908</x:v>
      </x:c>
      <x:c r="D6595" s="18" t="n">
        <x:v>45696</x:v>
      </x:c>
      <x:c r="E6595" s="18" t="n">
        <x:v>21.35</x:v>
      </x:c>
      <x:c r="F6595" s="18" t="n">
        <x:v>17.61</x:v>
      </x:c>
      <x:c r="G6595" t="n">
        <x:v>36</x:v>
      </x:c>
      <x:c r="H6595" t="str">
        <x:v>E</x:v>
      </x:c>
      <x:c r="I6595" t="str">
        <x:v>10+ years</x:v>
      </x:c>
      <x:c r="J6595" t="str">
        <x:v>RENT</x:v>
      </x:c>
      <x:c r="K6595" t="str">
        <x:v>major_purchase</x:v>
      </x:c>
      <x:c r="L6595" t="n">
        <x:v>1</x:v>
      </x:c>
      <x:c r="M6595" t="n">
        <x:v>1</x:v>
      </x:c>
      <x:c r="N6595" t="str">
        <x:v>Charged Off</x:v>
      </x:c>
      <x:c r="O6595" t="str">
        <x:f>IF(D6595="","Unknown",IF(D6595&lt;25000,"&lt;$25k",IF(D6595&lt;50000,"$25k-$50k",IF(D6595&lt;75000,"$50k-$75k",IF(D6595&lt;100000,"$75k-$100k","$100k+")))))</x:f>
        <x:v>$25k-$50k</x:v>
      </x:c>
      <x:c r="P6595" t="str">
        <x:f>IF(E6595="","Unknown",IF(E6595&lt;10,"&lt;10",IF(E6595&lt;20,"10-&lt;20",IF(E6595&lt;25,"20-&lt;25",IF(E6595&lt;35,"25-&lt;35","35+")))))</x:f>
        <x:v>20-&lt;25</x:v>
      </x:c>
    </x:row>
    <x:row r="6596">
      <x:c r="A6596" t="str">
        <x:v>SYN0006595</x:v>
      </x:c>
      <x:c r="B6596" s="12" t="n">
        <x:v>43135</x:v>
      </x:c>
      <x:c r="C6596" s="18" t="n">
        <x:v>12902</x:v>
      </x:c>
      <x:c r="D6596" s="18" t="n">
        <x:v>38128</x:v>
      </x:c>
      <x:c r="E6596" s="18" t="n">
        <x:v>35.93</x:v>
      </x:c>
      <x:c r="F6596" s="18" t="n">
        <x:v>8.51</x:v>
      </x:c>
      <x:c r="G6596" t="n">
        <x:v>36</x:v>
      </x:c>
      <x:c r="H6596" t="str">
        <x:v>B</x:v>
      </x:c>
      <x:c r="I6596" t="str">
        <x:v>1-3 years</x:v>
      </x:c>
      <x:c r="J6596" t="str">
        <x:v>MORTGAGE</x:v>
      </x:c>
      <x:c r="K6596" t="str">
        <x:v>credit_card</x:v>
      </x:c>
      <x:c r="L6596" t="n">
        <x:v>1</x:v>
      </x:c>
      <x:c r="M6596" t="n">
        <x:v>1</x:v>
      </x:c>
      <x:c r="N6596" t="str">
        <x:v>Charged Off</x:v>
      </x:c>
      <x:c r="O6596" t="str">
        <x:f>IF(D6596="","Unknown",IF(D6596&lt;25000,"&lt;$25k",IF(D6596&lt;50000,"$25k-$50k",IF(D6596&lt;75000,"$50k-$75k",IF(D6596&lt;100000,"$75k-$100k","$100k+")))))</x:f>
        <x:v>$25k-$50k</x:v>
      </x:c>
      <x:c r="P6596" t="str">
        <x:f>IF(E6596="","Unknown",IF(E6596&lt;10,"&lt;10",IF(E6596&lt;20,"10-&lt;20",IF(E6596&lt;25,"20-&lt;25",IF(E6596&lt;35,"25-&lt;35","35+")))))</x:f>
        <x:v>35+</x:v>
      </x:c>
    </x:row>
    <x:row r="6597">
      <x:c r="A6597" t="str">
        <x:v>SYN0006596</x:v>
      </x:c>
      <x:c r="B6597" s="12" t="n">
        <x:v>42175</x:v>
      </x:c>
      <x:c r="C6597" s="18" t="n">
        <x:v>4111</x:v>
      </x:c>
      <x:c r="D6597" s="18" t="n">
        <x:v>50928</x:v>
      </x:c>
      <x:c r="E6597" s="18" t="n">
        <x:v>24.09</x:v>
      </x:c>
      <x:c r="F6597" s="18" t="n">
        <x:v>9.92</x:v>
      </x:c>
      <x:c r="G6597" t="n">
        <x:v>60</x:v>
      </x:c>
      <x:c r="H6597" t="str">
        <x:v>C</x:v>
      </x:c>
      <x:c r="I6597" t="str">
        <x:v>4-6 years</x:v>
      </x:c>
      <x:c r="J6597" t="str">
        <x:v>MORTGAGE</x:v>
      </x:c>
      <x:c r="K6597" t="str">
        <x:v>credit_card</x:v>
      </x:c>
      <x:c r="L6597" t="n">
        <x:v>0</x:v>
      </x:c>
      <x:c r="M6597" t="n">
        <x:v>0</x:v>
      </x:c>
      <x:c r="N6597" t="str">
        <x:v>Fully Paid</x:v>
      </x:c>
      <x:c r="O6597" t="str">
        <x:f>IF(D6597="","Unknown",IF(D6597&lt;25000,"&lt;$25k",IF(D6597&lt;50000,"$25k-$50k",IF(D6597&lt;75000,"$50k-$75k",IF(D6597&lt;100000,"$75k-$100k","$100k+")))))</x:f>
        <x:v>$50k-$75k</x:v>
      </x:c>
      <x:c r="P6597" t="str">
        <x:f>IF(E6597="","Unknown",IF(E6597&lt;10,"&lt;10",IF(E6597&lt;20,"10-&lt;20",IF(E6597&lt;25,"20-&lt;25",IF(E6597&lt;35,"25-&lt;35","35+")))))</x:f>
        <x:v>20-&lt;25</x:v>
      </x:c>
    </x:row>
    <x:row r="6598">
      <x:c r="A6598" t="str">
        <x:v>SYN0006597</x:v>
      </x:c>
      <x:c r="B6598" s="12" t="n">
        <x:v>41575</x:v>
      </x:c>
      <x:c r="C6598" s="18" t="n">
        <x:v>5469</x:v>
      </x:c>
      <x:c r="D6598" s="18" t="n">
        <x:v>28028</x:v>
      </x:c>
      <x:c r="E6598" s="18" t="n">
        <x:v>29.07</x:v>
      </x:c>
      <x:c r="F6598" s="18" t="n">
        <x:v>5</x:v>
      </x:c>
      <x:c r="G6598" t="n">
        <x:v>36</x:v>
      </x:c>
      <x:c r="H6598" t="str">
        <x:v>A</x:v>
      </x:c>
      <x:c r="I6598" t="str">
        <x:v>10+ years</x:v>
      </x:c>
      <x:c r="J6598" t="str">
        <x:v>MORTGAGE</x:v>
      </x:c>
      <x:c r="K6598" t="str">
        <x:v>major_purchase</x:v>
      </x:c>
      <x:c r="L6598" t="n">
        <x:v>0</x:v>
      </x:c>
      <x:c r="M6598" t="n">
        <x:v>0</x:v>
      </x:c>
      <x:c r="N6598" t="str">
        <x:v>Fully Paid</x:v>
      </x:c>
      <x:c r="O6598" t="str">
        <x:f>IF(D6598="","Unknown",IF(D6598&lt;25000,"&lt;$25k",IF(D6598&lt;50000,"$25k-$50k",IF(D6598&lt;75000,"$50k-$75k",IF(D6598&lt;100000,"$75k-$100k","$100k+")))))</x:f>
        <x:v>$25k-$50k</x:v>
      </x:c>
      <x:c r="P6598" t="str">
        <x:f>IF(E6598="","Unknown",IF(E6598&lt;10,"&lt;10",IF(E6598&lt;20,"10-&lt;20",IF(E6598&lt;25,"20-&lt;25",IF(E6598&lt;35,"25-&lt;35","35+")))))</x:f>
        <x:v>25-&lt;35</x:v>
      </x:c>
    </x:row>
    <x:row r="6599">
      <x:c r="A6599" t="str">
        <x:v>SYN0006598</x:v>
      </x:c>
      <x:c r="B6599" s="12" t="n">
        <x:v>42655</x:v>
      </x:c>
      <x:c r="C6599" s="18" t="n">
        <x:v>19621</x:v>
      </x:c>
      <x:c r="D6599" s="18" t="n">
        <x:v>16747</x:v>
      </x:c>
      <x:c r="E6599" s="18" t="n">
        <x:v>32.1</x:v>
      </x:c>
      <x:c r="F6599" s="18" t="n">
        <x:v>18.23</x:v>
      </x:c>
      <x:c r="G6599" t="n">
        <x:v>36</x:v>
      </x:c>
      <x:c r="H6599" t="str">
        <x:v>F</x:v>
      </x:c>
      <x:c r="I6599" t="str">
        <x:v>4-6 years</x:v>
      </x:c>
      <x:c r="J6599" t="str">
        <x:v>RENT</x:v>
      </x:c>
      <x:c r="K6599" t="str">
        <x:v>credit_card</x:v>
      </x:c>
      <x:c r="L6599" t="n">
        <x:v>0</x:v>
      </x:c>
      <x:c r="M6599" t="n">
        <x:v>0</x:v>
      </x:c>
      <x:c r="N6599" t="str">
        <x:v>Fully Paid</x:v>
      </x:c>
      <x:c r="O6599" t="str">
        <x:f>IF(D6599="","Unknown",IF(D6599&lt;25000,"&lt;$25k",IF(D6599&lt;50000,"$25k-$50k",IF(D6599&lt;75000,"$50k-$75k",IF(D6599&lt;100000,"$75k-$100k","$100k+")))))</x:f>
        <x:v>&lt;$25k</x:v>
      </x:c>
      <x:c r="P6599" t="str">
        <x:f>IF(E6599="","Unknown",IF(E6599&lt;10,"&lt;10",IF(E6599&lt;20,"10-&lt;20",IF(E6599&lt;25,"20-&lt;25",IF(E6599&lt;35,"25-&lt;35","35+")))))</x:f>
        <x:v>25-&lt;35</x:v>
      </x:c>
    </x:row>
    <x:row r="6600">
      <x:c r="A6600" t="str">
        <x:v>SYN0006599</x:v>
      </x:c>
      <x:c r="B6600" s="12" t="n">
        <x:v>43315</x:v>
      </x:c>
      <x:c r="C6600" s="18" t="n">
        <x:v>9314</x:v>
      </x:c>
      <x:c r="D6600" s="18" t="n">
        <x:v>65566</x:v>
      </x:c>
      <x:c r="E6600" s="18" t="n">
        <x:v>8.17</x:v>
      </x:c>
      <x:c r="F6600" s="18" t="n">
        <x:v>8.58</x:v>
      </x:c>
      <x:c r="G6600" t="n">
        <x:v>36</x:v>
      </x:c>
      <x:c r="H6600" t="str">
        <x:v>B</x:v>
      </x:c>
      <x:c r="I6600" t="str">
        <x:v>7-9 years</x:v>
      </x:c>
      <x:c r="J6600" t="str">
        <x:v>MORTGAGE</x:v>
      </x:c>
      <x:c r="K6600" t="str">
        <x:v>debt_consolidation</x:v>
      </x:c>
      <x:c r="L6600" t="n">
        <x:v>0</x:v>
      </x:c>
      <x:c r="M6600" t="n">
        <x:v>0</x:v>
      </x:c>
      <x:c r="N6600" t="str">
        <x:v>Fully Paid</x:v>
      </x:c>
      <x:c r="O6600" t="str">
        <x:f>IF(D6600="","Unknown",IF(D6600&lt;25000,"&lt;$25k",IF(D6600&lt;50000,"$25k-$50k",IF(D6600&lt;75000,"$50k-$75k",IF(D6600&lt;100000,"$75k-$100k","$100k+")))))</x:f>
        <x:v>$50k-$75k</x:v>
      </x:c>
      <x:c r="P6600" t="str">
        <x:f>IF(E6600="","Unknown",IF(E6600&lt;10,"&lt;10",IF(E6600&lt;20,"10-&lt;20",IF(E6600&lt;25,"20-&lt;25",IF(E6600&lt;35,"25-&lt;35","35+")))))</x:f>
        <x:v>&lt;10</x:v>
      </x:c>
    </x:row>
    <x:row r="6601">
      <x:c r="A6601" t="str">
        <x:v>SYN0006600</x:v>
      </x:c>
      <x:c r="B6601" s="12" t="n">
        <x:v>42445</x:v>
      </x:c>
      <x:c r="C6601" s="18" t="n">
        <x:v>38084</x:v>
      </x:c>
      <x:c r="D6601" s="18" t="n">
        <x:v>79800</x:v>
      </x:c>
      <x:c r="E6601" s="18" t="n">
        <x:v>10.9</x:v>
      </x:c>
      <x:c r="F6601" s="18" t="n">
        <x:v>12.07</x:v>
      </x:c>
      <x:c r="G6601" t="n">
        <x:v>36</x:v>
      </x:c>
      <x:c r="H6601" t="str">
        <x:v>D</x:v>
      </x:c>
      <x:c r="I6601" t="str">
        <x:v>7-9 years</x:v>
      </x:c>
      <x:c r="J6601" t="str">
        <x:v>OWN</x:v>
      </x:c>
      <x:c r="K6601" t="str">
        <x:v>debt_consolidation</x:v>
      </x:c>
      <x:c r="L6601" t="n">
        <x:v>0</x:v>
      </x:c>
      <x:c r="M6601" t="n">
        <x:v>0</x:v>
      </x:c>
      <x:c r="N6601" t="str">
        <x:v>Fully Paid</x:v>
      </x:c>
      <x:c r="O6601" t="str">
        <x:f>IF(D6601="","Unknown",IF(D6601&lt;25000,"&lt;$25k",IF(D6601&lt;50000,"$25k-$50k",IF(D6601&lt;75000,"$50k-$75k",IF(D6601&lt;100000,"$75k-$100k","$100k+")))))</x:f>
        <x:v>$75k-$100k</x:v>
      </x:c>
      <x:c r="P6601" t="str">
        <x:f>IF(E6601="","Unknown",IF(E6601&lt;10,"&lt;10",IF(E6601&lt;20,"10-&lt;20",IF(E6601&lt;25,"20-&lt;25",IF(E6601&lt;35,"25-&lt;35","35+")))))</x:f>
        <x:v>10-&lt;20</x:v>
      </x:c>
    </x:row>
    <x:row r="6602">
      <x:c r="A6602" t="str">
        <x:v>SYN0006601</x:v>
      </x:c>
      <x:c r="B6602" s="12" t="n">
        <x:v>42235</x:v>
      </x:c>
      <x:c r="C6602" s="18" t="n">
        <x:v>11559</x:v>
      </x:c>
      <x:c r="D6602" s="18" t="n">
        <x:v>37099</x:v>
      </x:c>
      <x:c r="E6602" s="18" t="n">
        <x:v>11.3</x:v>
      </x:c>
      <x:c r="F6602" s="18" t="n">
        <x:v>6.08</x:v>
      </x:c>
      <x:c r="G6602" t="n">
        <x:v>36</x:v>
      </x:c>
      <x:c r="H6602" t="str">
        <x:v>B</x:v>
      </x:c>
      <x:c r="I6602" t="str">
        <x:v>1-3 years</x:v>
      </x:c>
      <x:c r="J6602" t="str">
        <x:v>MORTGAGE</x:v>
      </x:c>
      <x:c r="K6602" t="str">
        <x:v>credit_card</x:v>
      </x:c>
      <x:c r="L6602" t="n">
        <x:v>0</x:v>
      </x:c>
      <x:c r="M6602" t="n">
        <x:v>0</x:v>
      </x:c>
      <x:c r="N6602" t="str">
        <x:v>Fully Paid</x:v>
      </x:c>
      <x:c r="O6602" t="str">
        <x:f>IF(D6602="","Unknown",IF(D6602&lt;25000,"&lt;$25k",IF(D6602&lt;50000,"$25k-$50k",IF(D6602&lt;75000,"$50k-$75k",IF(D6602&lt;100000,"$75k-$100k","$100k+")))))</x:f>
        <x:v>$25k-$50k</x:v>
      </x:c>
      <x:c r="P6602" t="str">
        <x:f>IF(E6602="","Unknown",IF(E6602&lt;10,"&lt;10",IF(E6602&lt;20,"10-&lt;20",IF(E6602&lt;25,"20-&lt;25",IF(E6602&lt;35,"25-&lt;35","35+")))))</x:f>
        <x:v>10-&lt;20</x:v>
      </x:c>
    </x:row>
    <x:row r="6603">
      <x:c r="A6603" t="str">
        <x:v>SYN0006602</x:v>
      </x:c>
      <x:c r="B6603" s="12" t="n">
        <x:v>42625</x:v>
      </x:c>
      <x:c r="C6603" s="18" t="n">
        <x:v>7237</x:v>
      </x:c>
      <x:c r="D6603" s="18" t="n">
        <x:v>116008</x:v>
      </x:c>
      <x:c r="E6603" s="18" t="n">
        <x:v>36.46</x:v>
      </x:c>
      <x:c r="F6603" s="18" t="n">
        <x:v>22.55</x:v>
      </x:c>
      <x:c r="G6603" t="n">
        <x:v>60</x:v>
      </x:c>
      <x:c r="H6603" t="str">
        <x:v>F</x:v>
      </x:c>
      <x:c r="I6603" t="str">
        <x:v>1-3 years</x:v>
      </x:c>
      <x:c r="J6603" t="str">
        <x:v>RENT</x:v>
      </x:c>
      <x:c r="K6603" t="str">
        <x:v>major_purchase</x:v>
      </x:c>
      <x:c r="L6603" t="n">
        <x:v>1</x:v>
      </x:c>
      <x:c r="M6603" t="n">
        <x:v>0</x:v>
      </x:c>
      <x:c r="N6603" t="str">
        <x:v>Fully Paid</x:v>
      </x:c>
      <x:c r="O6603" t="str">
        <x:f>IF(D6603="","Unknown",IF(D6603&lt;25000,"&lt;$25k",IF(D6603&lt;50000,"$25k-$50k",IF(D6603&lt;75000,"$50k-$75k",IF(D6603&lt;100000,"$75k-$100k","$100k+")))))</x:f>
        <x:v>$100k+</x:v>
      </x:c>
      <x:c r="P6603" t="str">
        <x:f>IF(E6603="","Unknown",IF(E6603&lt;10,"&lt;10",IF(E6603&lt;20,"10-&lt;20",IF(E6603&lt;25,"20-&lt;25",IF(E6603&lt;35,"25-&lt;35","35+")))))</x:f>
        <x:v>35+</x:v>
      </x:c>
    </x:row>
    <x:row r="6604">
      <x:c r="A6604" t="str">
        <x:v>SYN0006603</x:v>
      </x:c>
      <x:c r="B6604" s="12" t="n">
        <x:v>42325</x:v>
      </x:c>
      <x:c r="C6604" s="18" t="n">
        <x:v>14440</x:v>
      </x:c>
      <x:c r="D6604" s="18" t="n">
        <x:v>74960</x:v>
      </x:c>
      <x:c r="E6604" s="18" t="n">
        <x:v>20.26</x:v>
      </x:c>
      <x:c r="F6604" s="18" t="n">
        <x:v>11.54</x:v>
      </x:c>
      <x:c r="G6604" t="n">
        <x:v>36</x:v>
      </x:c>
      <x:c r="H6604" t="str">
        <x:v>C</x:v>
      </x:c>
      <x:c r="I6604" t="str">
        <x:v>10+ years</x:v>
      </x:c>
      <x:c r="J6604" t="str">
        <x:v>MORTGAGE</x:v>
      </x:c>
      <x:c r="K6604" t="str">
        <x:v>home_improvement</x:v>
      </x:c>
      <x:c r="L6604" t="n">
        <x:v>0</x:v>
      </x:c>
      <x:c r="M6604" t="n">
        <x:v>0</x:v>
      </x:c>
      <x:c r="N6604" t="str">
        <x:v>Fully Paid</x:v>
      </x:c>
      <x:c r="O6604" t="str">
        <x:f>IF(D6604="","Unknown",IF(D6604&lt;25000,"&lt;$25k",IF(D6604&lt;50000,"$25k-$50k",IF(D6604&lt;75000,"$50k-$75k",IF(D6604&lt;100000,"$75k-$100k","$100k+")))))</x:f>
        <x:v>$50k-$75k</x:v>
      </x:c>
      <x:c r="P6604" t="str">
        <x:f>IF(E6604="","Unknown",IF(E6604&lt;10,"&lt;10",IF(E6604&lt;20,"10-&lt;20",IF(E6604&lt;25,"20-&lt;25",IF(E6604&lt;35,"25-&lt;35","35+")))))</x:f>
        <x:v>20-&lt;25</x:v>
      </x:c>
    </x:row>
    <x:row r="6605">
      <x:c r="A6605" t="str">
        <x:v>SYN0006604</x:v>
      </x:c>
      <x:c r="B6605" s="12" t="n">
        <x:v>42325</x:v>
      </x:c>
      <x:c r="C6605" s="18" t="n">
        <x:v>7697</x:v>
      </x:c>
      <x:c r="D6605" s="18" t="n">
        <x:v>40004</x:v>
      </x:c>
      <x:c r="E6605" s="18" t="n">
        <x:v>19.94</x:v>
      </x:c>
      <x:c r="F6605" s="18" t="n">
        <x:v>21.48</x:v>
      </x:c>
      <x:c r="G6605" t="n">
        <x:v>60</x:v>
      </x:c>
      <x:c r="H6605" t="str">
        <x:v>F</x:v>
      </x:c>
      <x:c r="I6605" t="str">
        <x:v>&lt;1 year</x:v>
      </x:c>
      <x:c r="J6605" t="str">
        <x:v>RENT</x:v>
      </x:c>
      <x:c r="K6605" t="str">
        <x:v>home_improvement</x:v>
      </x:c>
      <x:c r="L6605" t="n">
        <x:v>1</x:v>
      </x:c>
      <x:c r="M6605" t="n">
        <x:v>0</x:v>
      </x:c>
      <x:c r="N6605" t="str">
        <x:v>Fully Paid</x:v>
      </x:c>
      <x:c r="O6605" t="str">
        <x:f>IF(D6605="","Unknown",IF(D6605&lt;25000,"&lt;$25k",IF(D6605&lt;50000,"$25k-$50k",IF(D6605&lt;75000,"$50k-$75k",IF(D6605&lt;100000,"$75k-$100k","$100k+")))))</x:f>
        <x:v>$25k-$50k</x:v>
      </x:c>
      <x:c r="P6605" t="str">
        <x:f>IF(E6605="","Unknown",IF(E6605&lt;10,"&lt;10",IF(E6605&lt;20,"10-&lt;20",IF(E6605&lt;25,"20-&lt;25",IF(E6605&lt;35,"25-&lt;35","35+")))))</x:f>
        <x:v>10-&lt;20</x:v>
      </x:c>
    </x:row>
    <x:row r="6606">
      <x:c r="A6606" t="str">
        <x:v>SYN0006605</x:v>
      </x:c>
      <x:c r="B6606" s="12" t="n">
        <x:v>43075</x:v>
      </x:c>
      <x:c r="C6606" s="18" t="n">
        <x:v>15217</x:v>
      </x:c>
      <x:c r="D6606" s="18" t="n">
        <x:v>50669</x:v>
      </x:c>
      <x:c r="E6606" s="18" t="n">
        <x:v>22.49</x:v>
      </x:c>
      <x:c r="F6606" s="18" t="n">
        <x:v>14</x:v>
      </x:c>
      <x:c r="G6606" t="n">
        <x:v>36</x:v>
      </x:c>
      <x:c r="H6606" t="str">
        <x:v>E</x:v>
      </x:c>
      <x:c r="I6606" t="str">
        <x:v>1-3 years</x:v>
      </x:c>
      <x:c r="J6606" t="str">
        <x:v>MORTGAGE</x:v>
      </x:c>
      <x:c r="K6606" t="str">
        <x:v>major_purchase</x:v>
      </x:c>
      <x:c r="L6606" t="n">
        <x:v>0</x:v>
      </x:c>
      <x:c r="M6606" t="n">
        <x:v>0</x:v>
      </x:c>
      <x:c r="N6606" t="str">
        <x:v>Fully Paid</x:v>
      </x:c>
      <x:c r="O6606" t="str">
        <x:f>IF(D6606="","Unknown",IF(D6606&lt;25000,"&lt;$25k",IF(D6606&lt;50000,"$25k-$50k",IF(D6606&lt;75000,"$50k-$75k",IF(D6606&lt;100000,"$75k-$100k","$100k+")))))</x:f>
        <x:v>$50k-$75k</x:v>
      </x:c>
      <x:c r="P6606" t="str">
        <x:f>IF(E6606="","Unknown",IF(E6606&lt;10,"&lt;10",IF(E6606&lt;20,"10-&lt;20",IF(E6606&lt;25,"20-&lt;25",IF(E6606&lt;35,"25-&lt;35","35+")))))</x:f>
        <x:v>20-&lt;25</x:v>
      </x:c>
    </x:row>
    <x:row r="6607">
      <x:c r="A6607" t="str">
        <x:v>SYN0006606</x:v>
      </x:c>
      <x:c r="B6607" s="12" t="n">
        <x:v>42985</x:v>
      </x:c>
      <x:c r="C6607" s="18" t="n">
        <x:v>9062</x:v>
      </x:c>
      <x:c r="D6607" s="18" t="n">
        <x:v>22995</x:v>
      </x:c>
      <x:c r="E6607" s="18" t="n">
        <x:v>12.84</x:v>
      </x:c>
      <x:c r="F6607" s="18" t="n">
        <x:v>5.69</x:v>
      </x:c>
      <x:c r="G6607" t="n">
        <x:v>36</x:v>
      </x:c>
      <x:c r="H6607" t="str">
        <x:v>A</x:v>
      </x:c>
      <x:c r="I6607" t="str">
        <x:v>&lt;1 year</x:v>
      </x:c>
      <x:c r="J6607" t="str">
        <x:v>RENT</x:v>
      </x:c>
      <x:c r="K6607" t="str">
        <x:v>debt_consolidation</x:v>
      </x:c>
      <x:c r="L6607" t="n">
        <x:v>0</x:v>
      </x:c>
      <x:c r="M6607" t="n">
        <x:v>0</x:v>
      </x:c>
      <x:c r="N6607" t="str">
        <x:v>Fully Paid</x:v>
      </x:c>
      <x:c r="O6607" t="str">
        <x:f>IF(D6607="","Unknown",IF(D6607&lt;25000,"&lt;$25k",IF(D6607&lt;50000,"$25k-$50k",IF(D6607&lt;75000,"$50k-$75k",IF(D6607&lt;100000,"$75k-$100k","$100k+")))))</x:f>
        <x:v>&lt;$25k</x:v>
      </x:c>
      <x:c r="P6607" t="str">
        <x:f>IF(E6607="","Unknown",IF(E6607&lt;10,"&lt;10",IF(E6607&lt;20,"10-&lt;20",IF(E6607&lt;25,"20-&lt;25",IF(E6607&lt;35,"25-&lt;35","35+")))))</x:f>
        <x:v>10-&lt;20</x:v>
      </x:c>
    </x:row>
    <x:row r="6608">
      <x:c r="A6608" t="str">
        <x:v>SYN0006607</x:v>
      </x:c>
      <x:c r="B6608" s="12" t="n">
        <x:v>41425</x:v>
      </x:c>
      <x:c r="C6608" s="18" t="n">
        <x:v>9537</x:v>
      </x:c>
      <x:c r="D6608" s="18" t="n">
        <x:v>12000</x:v>
      </x:c>
      <x:c r="E6608" s="18" t="n">
        <x:v>10.84</x:v>
      </x:c>
      <x:c r="F6608" s="18" t="n">
        <x:v>6.58</x:v>
      </x:c>
      <x:c r="G6608" t="n">
        <x:v>36</x:v>
      </x:c>
      <x:c r="H6608" t="str">
        <x:v>A</x:v>
      </x:c>
      <x:c r="I6608" t="str">
        <x:v>10+ years</x:v>
      </x:c>
      <x:c r="J6608" t="str">
        <x:v>RENT</x:v>
      </x:c>
      <x:c r="K6608" t="str">
        <x:v>debt_consolidation</x:v>
      </x:c>
      <x:c r="L6608" t="n">
        <x:v>0</x:v>
      </x:c>
      <x:c r="M6608" t="n">
        <x:v>0</x:v>
      </x:c>
      <x:c r="N6608" t="str">
        <x:v>Fully Paid</x:v>
      </x:c>
      <x:c r="O6608" t="str">
        <x:f>IF(D6608="","Unknown",IF(D6608&lt;25000,"&lt;$25k",IF(D6608&lt;50000,"$25k-$50k",IF(D6608&lt;75000,"$50k-$75k",IF(D6608&lt;100000,"$75k-$100k","$100k+")))))</x:f>
        <x:v>&lt;$25k</x:v>
      </x:c>
      <x:c r="P6608" t="str">
        <x:f>IF(E6608="","Unknown",IF(E6608&lt;10,"&lt;10",IF(E6608&lt;20,"10-&lt;20",IF(E6608&lt;25,"20-&lt;25",IF(E6608&lt;35,"25-&lt;35","35+")))))</x:f>
        <x:v>10-&lt;20</x:v>
      </x:c>
    </x:row>
    <x:row r="6609">
      <x:c r="A6609" t="str">
        <x:v>SYN0006608</x:v>
      </x:c>
      <x:c r="B6609" s="12" t="n">
        <x:v>41785</x:v>
      </x:c>
      <x:c r="C6609" s="18" t="n">
        <x:v>5487</x:v>
      </x:c>
      <x:c r="D6609" s="18" t="n">
        <x:v>138837</x:v>
      </x:c>
      <x:c r="E6609" s="18" t="n">
        <x:v>5.54</x:v>
      </x:c>
      <x:c r="F6609" s="18" t="n">
        <x:v>5.39</x:v>
      </x:c>
      <x:c r="G6609" t="n">
        <x:v>36</x:v>
      </x:c>
      <x:c r="H6609" t="str">
        <x:v>B</x:v>
      </x:c>
      <x:c r="I6609" t="str">
        <x:v>10+ years</x:v>
      </x:c>
      <x:c r="J6609" t="str">
        <x:v>RENT</x:v>
      </x:c>
      <x:c r="K6609" t="str">
        <x:v>debt_consolidation</x:v>
      </x:c>
      <x:c r="L6609" t="n">
        <x:v>0</x:v>
      </x:c>
      <x:c r="M6609" t="n">
        <x:v>0</x:v>
      </x:c>
      <x:c r="N6609" t="str">
        <x:v>Fully Paid</x:v>
      </x:c>
      <x:c r="O6609" t="str">
        <x:f>IF(D6609="","Unknown",IF(D6609&lt;25000,"&lt;$25k",IF(D6609&lt;50000,"$25k-$50k",IF(D6609&lt;75000,"$50k-$75k",IF(D6609&lt;100000,"$75k-$100k","$100k+")))))</x:f>
        <x:v>$100k+</x:v>
      </x:c>
      <x:c r="P6609" t="str">
        <x:f>IF(E6609="","Unknown",IF(E6609&lt;10,"&lt;10",IF(E6609&lt;20,"10-&lt;20",IF(E6609&lt;25,"20-&lt;25",IF(E6609&lt;35,"25-&lt;35","35+")))))</x:f>
        <x:v>&lt;10</x:v>
      </x:c>
    </x:row>
    <x:row r="6610">
      <x:c r="A6610" t="str">
        <x:v>SYN0006609</x:v>
      </x:c>
      <x:c r="B6610" s="12" t="n">
        <x:v>42655</x:v>
      </x:c>
      <x:c r="C6610" s="18" t="n">
        <x:v>18953</x:v>
      </x:c>
      <x:c r="D6610" s="18" t="n">
        <x:v>79475</x:v>
      </x:c>
      <x:c r="E6610" s="18" t="n">
        <x:v>17.5</x:v>
      </x:c>
      <x:c r="F6610" s="18" t="n">
        <x:v>5.73</x:v>
      </x:c>
      <x:c r="G6610" t="n">
        <x:v>36</x:v>
      </x:c>
      <x:c r="H6610" t="str">
        <x:v>B</x:v>
      </x:c>
      <x:c r="I6610" t="str">
        <x:v>4-6 years</x:v>
      </x:c>
      <x:c r="J6610" t="str">
        <x:v>MORTGAGE</x:v>
      </x:c>
      <x:c r="K6610" t="str">
        <x:v>debt_consolidation</x:v>
      </x:c>
      <x:c r="L6610" t="n">
        <x:v>0</x:v>
      </x:c>
      <x:c r="M6610" t="n">
        <x:v>0</x:v>
      </x:c>
      <x:c r="N6610" t="str">
        <x:v>Fully Paid</x:v>
      </x:c>
      <x:c r="O6610" t="str">
        <x:f>IF(D6610="","Unknown",IF(D6610&lt;25000,"&lt;$25k",IF(D6610&lt;50000,"$25k-$50k",IF(D6610&lt;75000,"$50k-$75k",IF(D6610&lt;100000,"$75k-$100k","$100k+")))))</x:f>
        <x:v>$75k-$100k</x:v>
      </x:c>
      <x:c r="P6610" t="str">
        <x:f>IF(E6610="","Unknown",IF(E6610&lt;10,"&lt;10",IF(E6610&lt;20,"10-&lt;20",IF(E6610&lt;25,"20-&lt;25",IF(E6610&lt;35,"25-&lt;35","35+")))))</x:f>
        <x:v>10-&lt;20</x:v>
      </x:c>
    </x:row>
    <x:row r="6611">
      <x:c r="A6611" t="str">
        <x:v>SYN0006610</x:v>
      </x:c>
      <x:c r="B6611" s="12" t="n">
        <x:v>43195</x:v>
      </x:c>
      <x:c r="C6611" s="18" t="n">
        <x:v>11595</x:v>
      </x:c>
      <x:c r="D6611" s="18" t="n">
        <x:v>56963</x:v>
      </x:c>
      <x:c r="E6611" s="18" t="n">
        <x:v>31.93</x:v>
      </x:c>
      <x:c r="F6611" s="18" t="n">
        <x:v>9.04</x:v>
      </x:c>
      <x:c r="G6611" t="n">
        <x:v>60</x:v>
      </x:c>
      <x:c r="H6611" t="str">
        <x:v>C</x:v>
      </x:c>
      <x:c r="I6611" t="str">
        <x:v>1-3 years</x:v>
      </x:c>
      <x:c r="J6611" t="str">
        <x:v>RENT</x:v>
      </x:c>
      <x:c r="K6611" t="str">
        <x:v>medical</x:v>
      </x:c>
      <x:c r="L6611" t="n">
        <x:v>1</x:v>
      </x:c>
      <x:c r="M6611" t="n">
        <x:v>0</x:v>
      </x:c>
      <x:c r="N6611" t="str">
        <x:v>Fully Paid</x:v>
      </x:c>
      <x:c r="O6611" t="str">
        <x:f>IF(D6611="","Unknown",IF(D6611&lt;25000,"&lt;$25k",IF(D6611&lt;50000,"$25k-$50k",IF(D6611&lt;75000,"$50k-$75k",IF(D6611&lt;100000,"$75k-$100k","$100k+")))))</x:f>
        <x:v>$50k-$75k</x:v>
      </x:c>
      <x:c r="P6611" t="str">
        <x:f>IF(E6611="","Unknown",IF(E6611&lt;10,"&lt;10",IF(E6611&lt;20,"10-&lt;20",IF(E6611&lt;25,"20-&lt;25",IF(E6611&lt;35,"25-&lt;35","35+")))))</x:f>
        <x:v>25-&lt;35</x:v>
      </x:c>
    </x:row>
    <x:row r="6612">
      <x:c r="A6612" t="str">
        <x:v>SYN0006611</x:v>
      </x:c>
      <x:c r="B6612" s="12" t="n">
        <x:v>42475</x:v>
      </x:c>
      <x:c r="C6612" s="18" t="n">
        <x:v>5697</x:v>
      </x:c>
      <x:c r="D6612" s="18" t="n">
        <x:v>31502</x:v>
      </x:c>
      <x:c r="E6612" s="18" t="n">
        <x:v>24</x:v>
      </x:c>
      <x:c r="F6612" s="18" t="n">
        <x:v>14.67</x:v>
      </x:c>
      <x:c r="G6612" t="n">
        <x:v>36</x:v>
      </x:c>
      <x:c r="H6612" t="str">
        <x:v>D</x:v>
      </x:c>
      <x:c r="I6612" t="str">
        <x:v>&lt;1 year</x:v>
      </x:c>
      <x:c r="J6612" t="str">
        <x:v>OWN</x:v>
      </x:c>
      <x:c r="K6612" t="str">
        <x:v>credit_card</x:v>
      </x:c>
      <x:c r="L6612" t="n">
        <x:v>2</x:v>
      </x:c>
      <x:c r="M6612" t="n">
        <x:v>0</x:v>
      </x:c>
      <x:c r="N6612" t="str">
        <x:v>Fully Paid</x:v>
      </x:c>
      <x:c r="O6612" t="str">
        <x:f>IF(D6612="","Unknown",IF(D6612&lt;25000,"&lt;$25k",IF(D6612&lt;50000,"$25k-$50k",IF(D6612&lt;75000,"$50k-$75k",IF(D6612&lt;100000,"$75k-$100k","$100k+")))))</x:f>
        <x:v>$25k-$50k</x:v>
      </x:c>
      <x:c r="P6612" t="str">
        <x:f>IF(E6612="","Unknown",IF(E6612&lt;10,"&lt;10",IF(E6612&lt;20,"10-&lt;20",IF(E6612&lt;25,"20-&lt;25",IF(E6612&lt;35,"25-&lt;35","35+")))))</x:f>
        <x:v>20-&lt;25</x:v>
      </x:c>
    </x:row>
    <x:row r="6613">
      <x:c r="A6613" t="str">
        <x:v>SYN0006612</x:v>
      </x:c>
      <x:c r="B6613" s="12" t="n">
        <x:v>42685</x:v>
      </x:c>
      <x:c r="C6613" s="18" t="n">
        <x:v>31000</x:v>
      </x:c>
      <x:c r="D6613" s="18" t="n">
        <x:v>99136</x:v>
      </x:c>
      <x:c r="E6613" s="18" t="n">
        <x:v>34.83</x:v>
      </x:c>
      <x:c r="F6613" s="18" t="n">
        <x:v>16.87</x:v>
      </x:c>
      <x:c r="G6613" t="n">
        <x:v>60</x:v>
      </x:c>
      <x:c r="H6613" t="str">
        <x:v>E</x:v>
      </x:c>
      <x:c r="I6613" t="str">
        <x:v>10+ years</x:v>
      </x:c>
      <x:c r="J6613" t="str">
        <x:v>MORTGAGE</x:v>
      </x:c>
      <x:c r="K6613" t="str">
        <x:v>other</x:v>
      </x:c>
      <x:c r="L6613" t="n">
        <x:v>1</x:v>
      </x:c>
      <x:c r="M6613" t="n">
        <x:v>0</x:v>
      </x:c>
      <x:c r="N6613" t="str">
        <x:v>Fully Paid</x:v>
      </x:c>
      <x:c r="O6613" t="str">
        <x:f>IF(D6613="","Unknown",IF(D6613&lt;25000,"&lt;$25k",IF(D6613&lt;50000,"$25k-$50k",IF(D6613&lt;75000,"$50k-$75k",IF(D6613&lt;100000,"$75k-$100k","$100k+")))))</x:f>
        <x:v>$75k-$100k</x:v>
      </x:c>
      <x:c r="P6613" t="str">
        <x:f>IF(E6613="","Unknown",IF(E6613&lt;10,"&lt;10",IF(E6613&lt;20,"10-&lt;20",IF(E6613&lt;25,"20-&lt;25",IF(E6613&lt;35,"25-&lt;35","35+")))))</x:f>
        <x:v>25-&lt;35</x:v>
      </x:c>
    </x:row>
    <x:row r="6614">
      <x:c r="A6614" t="str">
        <x:v>SYN0006613</x:v>
      </x:c>
      <x:c r="B6614" s="12" t="n">
        <x:v>42205</x:v>
      </x:c>
      <x:c r="C6614" s="18" t="n">
        <x:v>5112</x:v>
      </x:c>
      <x:c r="D6614" s="18" t="n">
        <x:v>31855</x:v>
      </x:c>
      <x:c r="E6614" s="18" t="n">
        <x:v>17.79</x:v>
      </x:c>
      <x:c r="F6614" s="18" t="n">
        <x:v>9.63</x:v>
      </x:c>
      <x:c r="G6614" t="n">
        <x:v>36</x:v>
      </x:c>
      <x:c r="H6614" t="str">
        <x:v>B</x:v>
      </x:c>
      <x:c r="I6614" t="str">
        <x:v>10+ years</x:v>
      </x:c>
      <x:c r="J6614" t="str">
        <x:v>MORTGAGE</x:v>
      </x:c>
      <x:c r="K6614" t="str">
        <x:v>home_improvement</x:v>
      </x:c>
      <x:c r="L6614" t="n">
        <x:v>0</x:v>
      </x:c>
      <x:c r="M6614" t="n">
        <x:v>0</x:v>
      </x:c>
      <x:c r="N6614" t="str">
        <x:v>Fully Paid</x:v>
      </x:c>
      <x:c r="O6614" t="str">
        <x:f>IF(D6614="","Unknown",IF(D6614&lt;25000,"&lt;$25k",IF(D6614&lt;50000,"$25k-$50k",IF(D6614&lt;75000,"$50k-$75k",IF(D6614&lt;100000,"$75k-$100k","$100k+")))))</x:f>
        <x:v>$25k-$50k</x:v>
      </x:c>
      <x:c r="P6614" t="str">
        <x:f>IF(E6614="","Unknown",IF(E6614&lt;10,"&lt;10",IF(E6614&lt;20,"10-&lt;20",IF(E6614&lt;25,"20-&lt;25",IF(E6614&lt;35,"25-&lt;35","35+")))))</x:f>
        <x:v>10-&lt;20</x:v>
      </x:c>
    </x:row>
    <x:row r="6615">
      <x:c r="A6615" t="str">
        <x:v>SYN0006614</x:v>
      </x:c>
      <x:c r="B6615" s="12" t="n">
        <x:v>41995</x:v>
      </x:c>
      <x:c r="C6615" s="18" t="n">
        <x:v>20131</x:v>
      </x:c>
      <x:c r="D6615" s="18" t="n">
        <x:v>46409</x:v>
      </x:c>
      <x:c r="E6615" s="18" t="n">
        <x:v>10.57</x:v>
      </x:c>
      <x:c r="F6615" s="18" t="n">
        <x:v>10.46</x:v>
      </x:c>
      <x:c r="G6615" t="n">
        <x:v>36</x:v>
      </x:c>
      <x:c r="H6615" t="str">
        <x:v>C</x:v>
      </x:c>
      <x:c r="I6615" t="str">
        <x:v>4-6 years</x:v>
      </x:c>
      <x:c r="J6615" t="str">
        <x:v>OWN</x:v>
      </x:c>
      <x:c r="K6615" t="str">
        <x:v>home_improvement</x:v>
      </x:c>
      <x:c r="L6615" t="n">
        <x:v>0</x:v>
      </x:c>
      <x:c r="M6615" t="n">
        <x:v>0</x:v>
      </x:c>
      <x:c r="N6615" t="str">
        <x:v>Fully Paid</x:v>
      </x:c>
      <x:c r="O6615" t="str">
        <x:f>IF(D6615="","Unknown",IF(D6615&lt;25000,"&lt;$25k",IF(D6615&lt;50000,"$25k-$50k",IF(D6615&lt;75000,"$50k-$75k",IF(D6615&lt;100000,"$75k-$100k","$100k+")))))</x:f>
        <x:v>$25k-$50k</x:v>
      </x:c>
      <x:c r="P6615" t="str">
        <x:f>IF(E6615="","Unknown",IF(E6615&lt;10,"&lt;10",IF(E6615&lt;20,"10-&lt;20",IF(E6615&lt;25,"20-&lt;25",IF(E6615&lt;35,"25-&lt;35","35+")))))</x:f>
        <x:v>10-&lt;20</x:v>
      </x:c>
    </x:row>
    <x:row r="6616">
      <x:c r="A6616" t="str">
        <x:v>SYN0006615</x:v>
      </x:c>
      <x:c r="B6616" s="12" t="n">
        <x:v>41845</x:v>
      </x:c>
      <x:c r="C6616" s="18" t="n">
        <x:v>19239</x:v>
      </x:c>
      <x:c r="D6616" s="18" t="n">
        <x:v>70823</x:v>
      </x:c>
      <x:c r="E6616" s="18" t="n">
        <x:v>28.28</x:v>
      </x:c>
      <x:c r="F6616" s="18" t="n">
        <x:v>18.88</x:v>
      </x:c>
      <x:c r="G6616" t="n">
        <x:v>36</x:v>
      </x:c>
      <x:c r="H6616" t="str">
        <x:v>E</x:v>
      </x:c>
      <x:c r="I6616" t="str">
        <x:v>4-6 years</x:v>
      </x:c>
      <x:c r="J6616" t="str">
        <x:v>RENT</x:v>
      </x:c>
      <x:c r="K6616" t="str">
        <x:v>debt_consolidation</x:v>
      </x:c>
      <x:c r="L6616" t="n">
        <x:v>1</x:v>
      </x:c>
      <x:c r="M6616" t="n">
        <x:v>0</x:v>
      </x:c>
      <x:c r="N6616" t="str">
        <x:v>Fully Paid</x:v>
      </x:c>
      <x:c r="O6616" t="str">
        <x:f>IF(D6616="","Unknown",IF(D6616&lt;25000,"&lt;$25k",IF(D6616&lt;50000,"$25k-$50k",IF(D6616&lt;75000,"$50k-$75k",IF(D6616&lt;100000,"$75k-$100k","$100k+")))))</x:f>
        <x:v>$50k-$75k</x:v>
      </x:c>
      <x:c r="P6616" t="str">
        <x:f>IF(E6616="","Unknown",IF(E6616&lt;10,"&lt;10",IF(E6616&lt;20,"10-&lt;20",IF(E6616&lt;25,"20-&lt;25",IF(E6616&lt;35,"25-&lt;35","35+")))))</x:f>
        <x:v>25-&lt;35</x:v>
      </x:c>
    </x:row>
    <x:row r="6617">
      <x:c r="A6617" t="str">
        <x:v>SYN0006616</x:v>
      </x:c>
      <x:c r="B6617" s="12" t="n">
        <x:v>42655</x:v>
      </x:c>
      <x:c r="C6617" s="18" t="n">
        <x:v>4944</x:v>
      </x:c>
      <x:c r="D6617" s="18" t="n">
        <x:v>59646</x:v>
      </x:c>
      <x:c r="E6617" s="18" t="n">
        <x:v>26.36</x:v>
      </x:c>
      <x:c r="F6617" s="18" t="n">
        <x:v>18.89</x:v>
      </x:c>
      <x:c r="G6617" t="n">
        <x:v>60</x:v>
      </x:c>
      <x:c r="H6617" t="str">
        <x:v>E</x:v>
      </x:c>
      <x:c r="I6617" t="str">
        <x:v>&lt;1 year</x:v>
      </x:c>
      <x:c r="J6617" t="str">
        <x:v>MORTGAGE</x:v>
      </x:c>
      <x:c r="K6617" t="str">
        <x:v>debt_consolidation</x:v>
      </x:c>
      <x:c r="L6617" t="n">
        <x:v>0</x:v>
      </x:c>
      <x:c r="M6617" t="n">
        <x:v>1</x:v>
      </x:c>
      <x:c r="N6617" t="str">
        <x:v>Charged Off</x:v>
      </x:c>
      <x:c r="O6617" t="str">
        <x:f>IF(D6617="","Unknown",IF(D6617&lt;25000,"&lt;$25k",IF(D6617&lt;50000,"$25k-$50k",IF(D6617&lt;75000,"$50k-$75k",IF(D6617&lt;100000,"$75k-$100k","$100k+")))))</x:f>
        <x:v>$50k-$75k</x:v>
      </x:c>
      <x:c r="P6617" t="str">
        <x:f>IF(E6617="","Unknown",IF(E6617&lt;10,"&lt;10",IF(E6617&lt;20,"10-&lt;20",IF(E6617&lt;25,"20-&lt;25",IF(E6617&lt;35,"25-&lt;35","35+")))))</x:f>
        <x:v>25-&lt;35</x:v>
      </x:c>
    </x:row>
    <x:row r="6618">
      <x:c r="A6618" t="str">
        <x:v>SYN0006617</x:v>
      </x:c>
      <x:c r="B6618" s="12" t="n">
        <x:v>41305</x:v>
      </x:c>
      <x:c r="C6618" s="18" t="n">
        <x:v>7650</x:v>
      </x:c>
      <x:c r="D6618" s="18" t="n">
        <x:v>20727</x:v>
      </x:c>
      <x:c r="E6618" s="18" t="n">
        <x:v>12.05</x:v>
      </x:c>
      <x:c r="F6618" s="18" t="n">
        <x:v>20.78</x:v>
      </x:c>
      <x:c r="G6618" t="n">
        <x:v>36</x:v>
      </x:c>
      <x:c r="H6618" t="str">
        <x:v>E</x:v>
      </x:c>
      <x:c r="I6618" t="str">
        <x:v>10+ years</x:v>
      </x:c>
      <x:c r="J6618" t="str">
        <x:v>MORTGAGE</x:v>
      </x:c>
      <x:c r="K6618" t="str">
        <x:v>other</x:v>
      </x:c>
      <x:c r="L6618" t="n">
        <x:v>3</x:v>
      </x:c>
      <x:c r="M6618" t="n">
        <x:v>0</x:v>
      </x:c>
      <x:c r="N6618" t="str">
        <x:v>Fully Paid</x:v>
      </x:c>
      <x:c r="O6618" t="str">
        <x:f>IF(D6618="","Unknown",IF(D6618&lt;25000,"&lt;$25k",IF(D6618&lt;50000,"$25k-$50k",IF(D6618&lt;75000,"$50k-$75k",IF(D6618&lt;100000,"$75k-$100k","$100k+")))))</x:f>
        <x:v>&lt;$25k</x:v>
      </x:c>
      <x:c r="P6618" t="str">
        <x:f>IF(E6618="","Unknown",IF(E6618&lt;10,"&lt;10",IF(E6618&lt;20,"10-&lt;20",IF(E6618&lt;25,"20-&lt;25",IF(E6618&lt;35,"25-&lt;35","35+")))))</x:f>
        <x:v>10-&lt;20</x:v>
      </x:c>
    </x:row>
    <x:row r="6619">
      <x:c r="A6619" t="str">
        <x:v>SYN0006618</x:v>
      </x:c>
      <x:c r="B6619" s="12" t="n">
        <x:v>41725</x:v>
      </x:c>
      <x:c r="C6619" s="18" t="n">
        <x:v>5997</x:v>
      </x:c>
      <x:c r="D6619" s="18" t="n">
        <x:v>54200</x:v>
      </x:c>
      <x:c r="E6619" s="18" t="n">
        <x:v>29</x:v>
      </x:c>
      <x:c r="F6619" s="18" t="n">
        <x:v>27.96</x:v>
      </x:c>
      <x:c r="G6619" t="n">
        <x:v>36</x:v>
      </x:c>
      <x:c r="H6619" t="str">
        <x:v>G</x:v>
      </x:c>
      <x:c r="I6619" t="str">
        <x:v>4-6 years</x:v>
      </x:c>
      <x:c r="J6619" t="str">
        <x:v>MORTGAGE</x:v>
      </x:c>
      <x:c r="K6619" t="str">
        <x:v>debt_consolidation</x:v>
      </x:c>
      <x:c r="L6619" t="n">
        <x:v>1</x:v>
      </x:c>
      <x:c r="M6619" t="n">
        <x:v>0</x:v>
      </x:c>
      <x:c r="N6619" t="str">
        <x:v>Fully Paid</x:v>
      </x:c>
      <x:c r="O6619" t="str">
        <x:f>IF(D6619="","Unknown",IF(D6619&lt;25000,"&lt;$25k",IF(D6619&lt;50000,"$25k-$50k",IF(D6619&lt;75000,"$50k-$75k",IF(D6619&lt;100000,"$75k-$100k","$100k+")))))</x:f>
        <x:v>$50k-$75k</x:v>
      </x:c>
      <x:c r="P6619" t="str">
        <x:f>IF(E6619="","Unknown",IF(E6619&lt;10,"&lt;10",IF(E6619&lt;20,"10-&lt;20",IF(E6619&lt;25,"20-&lt;25",IF(E6619&lt;35,"25-&lt;35","35+")))))</x:f>
        <x:v>25-&lt;35</x:v>
      </x:c>
    </x:row>
    <x:row r="6620">
      <x:c r="A6620" t="str">
        <x:v>SYN0006619</x:v>
      </x:c>
      <x:c r="B6620" s="12" t="n">
        <x:v>42955</x:v>
      </x:c>
      <x:c r="C6620" s="18" t="n">
        <x:v>14841</x:v>
      </x:c>
      <x:c r="D6620" s="18" t="n">
        <x:v>84412</x:v>
      </x:c>
      <x:c r="E6620" s="18" t="n">
        <x:v>28.41</x:v>
      </x:c>
      <x:c r="F6620" s="18" t="n">
        <x:v>20.56</x:v>
      </x:c>
      <x:c r="G6620" t="n">
        <x:v>36</x:v>
      </x:c>
      <x:c r="H6620" t="str">
        <x:v>F</x:v>
      </x:c>
      <x:c r="I6620" t="str">
        <x:v>4-6 years</x:v>
      </x:c>
      <x:c r="J6620" t="str">
        <x:v>RENT</x:v>
      </x:c>
      <x:c r="K6620" t="str">
        <x:v>credit_card</x:v>
      </x:c>
      <x:c r="L6620" t="n">
        <x:v>0</x:v>
      </x:c>
      <x:c r="M6620" t="n">
        <x:v>1</x:v>
      </x:c>
      <x:c r="N6620" t="str">
        <x:v>Charged Off</x:v>
      </x:c>
      <x:c r="O6620" t="str">
        <x:f>IF(D6620="","Unknown",IF(D6620&lt;25000,"&lt;$25k",IF(D6620&lt;50000,"$25k-$50k",IF(D6620&lt;75000,"$50k-$75k",IF(D6620&lt;100000,"$75k-$100k","$100k+")))))</x:f>
        <x:v>$75k-$100k</x:v>
      </x:c>
      <x:c r="P6620" t="str">
        <x:f>IF(E6620="","Unknown",IF(E6620&lt;10,"&lt;10",IF(E6620&lt;20,"10-&lt;20",IF(E6620&lt;25,"20-&lt;25",IF(E6620&lt;35,"25-&lt;35","35+")))))</x:f>
        <x:v>25-&lt;35</x:v>
      </x:c>
    </x:row>
    <x:row r="6621">
      <x:c r="A6621" t="str">
        <x:v>SYN0006620</x:v>
      </x:c>
      <x:c r="B6621" s="12" t="n">
        <x:v>41545</x:v>
      </x:c>
      <x:c r="C6621" s="18" t="n">
        <x:v>8827</x:v>
      </x:c>
      <x:c r="D6621" s="18" t="n">
        <x:v>41762</x:v>
      </x:c>
      <x:c r="E6621" s="18" t="n">
        <x:v>15.29</x:v>
      </x:c>
      <x:c r="F6621" s="18" t="n">
        <x:v>5</x:v>
      </x:c>
      <x:c r="G6621" t="n">
        <x:v>36</x:v>
      </x:c>
      <x:c r="H6621" t="str">
        <x:v>A</x:v>
      </x:c>
      <x:c r="I6621" t="str">
        <x:v>&lt;1 year</x:v>
      </x:c>
      <x:c r="J6621" t="str">
        <x:v>OWN</x:v>
      </x:c>
      <x:c r="K6621" t="str">
        <x:v>debt_consolidation</x:v>
      </x:c>
      <x:c r="L6621" t="n">
        <x:v>0</x:v>
      </x:c>
      <x:c r="M6621" t="n">
        <x:v>0</x:v>
      </x:c>
      <x:c r="N6621" t="str">
        <x:v>Fully Paid</x:v>
      </x:c>
      <x:c r="O6621" t="str">
        <x:f>IF(D6621="","Unknown",IF(D6621&lt;25000,"&lt;$25k",IF(D6621&lt;50000,"$25k-$50k",IF(D6621&lt;75000,"$50k-$75k",IF(D6621&lt;100000,"$75k-$100k","$100k+")))))</x:f>
        <x:v>$25k-$50k</x:v>
      </x:c>
      <x:c r="P6621" t="str">
        <x:f>IF(E6621="","Unknown",IF(E6621&lt;10,"&lt;10",IF(E6621&lt;20,"10-&lt;20",IF(E6621&lt;25,"20-&lt;25",IF(E6621&lt;35,"25-&lt;35","35+")))))</x:f>
        <x:v>10-&lt;20</x:v>
      </x:c>
    </x:row>
    <x:row r="6622">
      <x:c r="A6622" t="str">
        <x:v>SYN0006621</x:v>
      </x:c>
      <x:c r="B6622" s="12" t="n">
        <x:v>42685</x:v>
      </x:c>
      <x:c r="C6622" s="18" t="n">
        <x:v>6010</x:v>
      </x:c>
      <x:c r="D6622" s="18" t="n">
        <x:v>43411</x:v>
      </x:c>
      <x:c r="E6622" s="18" t="n">
        <x:v>16.19</x:v>
      </x:c>
      <x:c r="F6622" s="18" t="n">
        <x:v>9.48</x:v>
      </x:c>
      <x:c r="G6622" t="n">
        <x:v>36</x:v>
      </x:c>
      <x:c r="H6622" t="str">
        <x:v>C</x:v>
      </x:c>
      <x:c r="I6622" t="str">
        <x:v>10+ years</x:v>
      </x:c>
      <x:c r="J6622" t="str">
        <x:v>MORTGAGE</x:v>
      </x:c>
      <x:c r="K6622" t="str">
        <x:v>credit_card</x:v>
      </x:c>
      <x:c r="L6622" t="n">
        <x:v>1</x:v>
      </x:c>
      <x:c r="M6622" t="n">
        <x:v>0</x:v>
      </x:c>
      <x:c r="N6622" t="str">
        <x:v>Fully Paid</x:v>
      </x:c>
      <x:c r="O6622" t="str">
        <x:f>IF(D6622="","Unknown",IF(D6622&lt;25000,"&lt;$25k",IF(D6622&lt;50000,"$25k-$50k",IF(D6622&lt;75000,"$50k-$75k",IF(D6622&lt;100000,"$75k-$100k","$100k+")))))</x:f>
        <x:v>$25k-$50k</x:v>
      </x:c>
      <x:c r="P6622" t="str">
        <x:f>IF(E6622="","Unknown",IF(E6622&lt;10,"&lt;10",IF(E6622&lt;20,"10-&lt;20",IF(E6622&lt;25,"20-&lt;25",IF(E6622&lt;35,"25-&lt;35","35+")))))</x:f>
        <x:v>10-&lt;20</x:v>
      </x:c>
    </x:row>
    <x:row r="6623">
      <x:c r="A6623" t="str">
        <x:v>SYN0006622</x:v>
      </x:c>
      <x:c r="B6623" s="12" t="n">
        <x:v>43255</x:v>
      </x:c>
      <x:c r="C6623" s="18" t="n">
        <x:v>15835</x:v>
      </x:c>
      <x:c r="D6623" s="18" t="n">
        <x:v>33974</x:v>
      </x:c>
      <x:c r="E6623" s="18" t="n">
        <x:v>18.52</x:v>
      </x:c>
      <x:c r="F6623" s="18" t="n">
        <x:v>10.58</x:v>
      </x:c>
      <x:c r="G6623" t="n">
        <x:v>60</x:v>
      </x:c>
      <x:c r="H6623" t="str">
        <x:v>C</x:v>
      </x:c>
      <x:c r="I6623" t="str">
        <x:v>1-3 years</x:v>
      </x:c>
      <x:c r="J6623" t="str">
        <x:v>OWN</x:v>
      </x:c>
      <x:c r="K6623" t="str">
        <x:v>other</x:v>
      </x:c>
      <x:c r="L6623" t="n">
        <x:v>0</x:v>
      </x:c>
      <x:c r="M6623" t="n">
        <x:v>0</x:v>
      </x:c>
      <x:c r="N6623" t="str">
        <x:v>Fully Paid</x:v>
      </x:c>
      <x:c r="O6623" t="str">
        <x:f>IF(D6623="","Unknown",IF(D6623&lt;25000,"&lt;$25k",IF(D6623&lt;50000,"$25k-$50k",IF(D6623&lt;75000,"$50k-$75k",IF(D6623&lt;100000,"$75k-$100k","$100k+")))))</x:f>
        <x:v>$25k-$50k</x:v>
      </x:c>
      <x:c r="P6623" t="str">
        <x:f>IF(E6623="","Unknown",IF(E6623&lt;10,"&lt;10",IF(E6623&lt;20,"10-&lt;20",IF(E6623&lt;25,"20-&lt;25",IF(E6623&lt;35,"25-&lt;35","35+")))))</x:f>
        <x:v>10-&lt;20</x:v>
      </x:c>
    </x:row>
    <x:row r="6624">
      <x:c r="A6624" t="str">
        <x:v>SYN0006623</x:v>
      </x:c>
      <x:c r="B6624" s="12" t="n">
        <x:v>42745</x:v>
      </x:c>
      <x:c r="C6624" s="18" t="n">
        <x:v>39738</x:v>
      </x:c>
      <x:c r="D6624" s="18" t="n">
        <x:v>36025</x:v>
      </x:c>
      <x:c r="E6624" s="18" t="n">
        <x:v>27.26</x:v>
      </x:c>
      <x:c r="F6624" s="18" t="n">
        <x:v>18.31</x:v>
      </x:c>
      <x:c r="G6624" t="n">
        <x:v>36</x:v>
      </x:c>
      <x:c r="H6624" t="str">
        <x:v>E</x:v>
      </x:c>
      <x:c r="I6624" t="str">
        <x:v>4-6 years</x:v>
      </x:c>
      <x:c r="J6624" t="str">
        <x:v>RENT</x:v>
      </x:c>
      <x:c r="K6624" t="str">
        <x:v>major_purchase</x:v>
      </x:c>
      <x:c r="L6624" t="n">
        <x:v>0</x:v>
      </x:c>
      <x:c r="M6624" t="n">
        <x:v>0</x:v>
      </x:c>
      <x:c r="N6624" t="str">
        <x:v>Fully Paid</x:v>
      </x:c>
      <x:c r="O6624" t="str">
        <x:f>IF(D6624="","Unknown",IF(D6624&lt;25000,"&lt;$25k",IF(D6624&lt;50000,"$25k-$50k",IF(D6624&lt;75000,"$50k-$75k",IF(D6624&lt;100000,"$75k-$100k","$100k+")))))</x:f>
        <x:v>$25k-$50k</x:v>
      </x:c>
      <x:c r="P6624" t="str">
        <x:f>IF(E6624="","Unknown",IF(E6624&lt;10,"&lt;10",IF(E6624&lt;20,"10-&lt;20",IF(E6624&lt;25,"20-&lt;25",IF(E6624&lt;35,"25-&lt;35","35+")))))</x:f>
        <x:v>25-&lt;35</x:v>
      </x:c>
    </x:row>
    <x:row r="6625">
      <x:c r="A6625" t="str">
        <x:v>SYN0006624</x:v>
      </x:c>
      <x:c r="B6625" s="12" t="n">
        <x:v>41545</x:v>
      </x:c>
      <x:c r="C6625" s="18" t="n">
        <x:v>10844</x:v>
      </x:c>
      <x:c r="D6625" s="18" t="n">
        <x:v>40500</x:v>
      </x:c>
      <x:c r="E6625" s="18" t="n">
        <x:v>21.2</x:v>
      </x:c>
      <x:c r="F6625" s="18" t="n">
        <x:v>5.37</x:v>
      </x:c>
      <x:c r="G6625" t="n">
        <x:v>60</x:v>
      </x:c>
      <x:c r="H6625" t="str">
        <x:v>B</x:v>
      </x:c>
      <x:c r="I6625" t="str">
        <x:v>4-6 years</x:v>
      </x:c>
      <x:c r="J6625" t="str">
        <x:v>MORTGAGE</x:v>
      </x:c>
      <x:c r="K6625" t="str">
        <x:v>home_improvement</x:v>
      </x:c>
      <x:c r="L6625" t="n">
        <x:v>0</x:v>
      </x:c>
      <x:c r="M6625" t="n">
        <x:v>0</x:v>
      </x:c>
      <x:c r="N6625" t="str">
        <x:v>Fully Paid</x:v>
      </x:c>
      <x:c r="O6625" t="str">
        <x:f>IF(D6625="","Unknown",IF(D6625&lt;25000,"&lt;$25k",IF(D6625&lt;50000,"$25k-$50k",IF(D6625&lt;75000,"$50k-$75k",IF(D6625&lt;100000,"$75k-$100k","$100k+")))))</x:f>
        <x:v>$25k-$50k</x:v>
      </x:c>
      <x:c r="P6625" t="str">
        <x:f>IF(E6625="","Unknown",IF(E6625&lt;10,"&lt;10",IF(E6625&lt;20,"10-&lt;20",IF(E6625&lt;25,"20-&lt;25",IF(E6625&lt;35,"25-&lt;35","35+")))))</x:f>
        <x:v>20-&lt;25</x:v>
      </x:c>
    </x:row>
    <x:row r="6626">
      <x:c r="A6626" t="str">
        <x:v>SYN0006625</x:v>
      </x:c>
      <x:c r="B6626" s="12" t="n">
        <x:v>42175</x:v>
      </x:c>
      <x:c r="C6626" s="18" t="n">
        <x:v>18354</x:v>
      </x:c>
      <x:c r="D6626" s="18" t="n">
        <x:v>52801</x:v>
      </x:c>
      <x:c r="E6626" s="18" t="n">
        <x:v>20.2</x:v>
      </x:c>
      <x:c r="F6626" s="18" t="n">
        <x:v>15.1</x:v>
      </x:c>
      <x:c r="G6626" t="n">
        <x:v>36</x:v>
      </x:c>
      <x:c r="H6626" t="str">
        <x:v>C</x:v>
      </x:c>
      <x:c r="I6626" t="str">
        <x:v>7-9 years</x:v>
      </x:c>
      <x:c r="J6626" t="str">
        <x:v>OWN</x:v>
      </x:c>
      <x:c r="K6626" t="str">
        <x:v>credit_card</x:v>
      </x:c>
      <x:c r="L6626" t="n">
        <x:v>0</x:v>
      </x:c>
      <x:c r="M6626" t="n">
        <x:v>0</x:v>
      </x:c>
      <x:c r="N6626" t="str">
        <x:v>Fully Paid</x:v>
      </x:c>
      <x:c r="O6626" t="str">
        <x:f>IF(D6626="","Unknown",IF(D6626&lt;25000,"&lt;$25k",IF(D6626&lt;50000,"$25k-$50k",IF(D6626&lt;75000,"$50k-$75k",IF(D6626&lt;100000,"$75k-$100k","$100k+")))))</x:f>
        <x:v>$50k-$75k</x:v>
      </x:c>
      <x:c r="P6626" t="str">
        <x:f>IF(E6626="","Unknown",IF(E6626&lt;10,"&lt;10",IF(E6626&lt;20,"10-&lt;20",IF(E6626&lt;25,"20-&lt;25",IF(E6626&lt;35,"25-&lt;35","35+")))))</x:f>
        <x:v>20-&lt;25</x:v>
      </x:c>
    </x:row>
    <x:row r="6627">
      <x:c r="A6627" t="str">
        <x:v>SYN0006626</x:v>
      </x:c>
      <x:c r="B6627" s="12" t="n">
        <x:v>41605</x:v>
      </x:c>
      <x:c r="C6627" s="18" t="n">
        <x:v>4815</x:v>
      </x:c>
      <x:c r="D6627" s="18" t="n">
        <x:v>64394</x:v>
      </x:c>
      <x:c r="E6627" s="18" t="n">
        <x:v>30.59</x:v>
      </x:c>
      <x:c r="F6627" s="18" t="n">
        <x:v>10.02</x:v>
      </x:c>
      <x:c r="G6627" t="n">
        <x:v>36</x:v>
      </x:c>
      <x:c r="H6627" t="str">
        <x:v>B</x:v>
      </x:c>
      <x:c r="I6627" t="str">
        <x:v>1-3 years</x:v>
      </x:c>
      <x:c r="J6627" t="str">
        <x:v>OTHER</x:v>
      </x:c>
      <x:c r="K6627" t="str">
        <x:v>debt_consolidation</x:v>
      </x:c>
      <x:c r="L6627" t="n">
        <x:v>0</x:v>
      </x:c>
      <x:c r="M6627" t="n">
        <x:v>0</x:v>
      </x:c>
      <x:c r="N6627" t="str">
        <x:v>Fully Paid</x:v>
      </x:c>
      <x:c r="O6627" t="str">
        <x:f>IF(D6627="","Unknown",IF(D6627&lt;25000,"&lt;$25k",IF(D6627&lt;50000,"$25k-$50k",IF(D6627&lt;75000,"$50k-$75k",IF(D6627&lt;100000,"$75k-$100k","$100k+")))))</x:f>
        <x:v>$50k-$75k</x:v>
      </x:c>
      <x:c r="P6627" t="str">
        <x:f>IF(E6627="","Unknown",IF(E6627&lt;10,"&lt;10",IF(E6627&lt;20,"10-&lt;20",IF(E6627&lt;25,"20-&lt;25",IF(E6627&lt;35,"25-&lt;35","35+")))))</x:f>
        <x:v>25-&lt;35</x:v>
      </x:c>
    </x:row>
    <x:row r="6628">
      <x:c r="A6628" t="str">
        <x:v>SYN0006627</x:v>
      </x:c>
      <x:c r="B6628" s="12" t="n">
        <x:v>43105</x:v>
      </x:c>
      <x:c r="C6628" s="18" t="n">
        <x:v>17884</x:v>
      </x:c>
      <x:c r="D6628" s="18" t="n">
        <x:v>39932</x:v>
      </x:c>
      <x:c r="E6628" s="18" t="n">
        <x:v>25.93</x:v>
      </x:c>
      <x:c r="F6628" s="18" t="n">
        <x:v>11.37</x:v>
      </x:c>
      <x:c r="G6628" t="n">
        <x:v>36</x:v>
      </x:c>
      <x:c r="H6628" t="str">
        <x:v>D</x:v>
      </x:c>
      <x:c r="I6628" t="str">
        <x:v>4-6 years</x:v>
      </x:c>
      <x:c r="J6628" t="str">
        <x:v>MORTGAGE</x:v>
      </x:c>
      <x:c r="K6628" t="str">
        <x:v>credit_card</x:v>
      </x:c>
      <x:c r="L6628" t="n">
        <x:v>1</x:v>
      </x:c>
      <x:c r="M6628" t="n">
        <x:v>0</x:v>
      </x:c>
      <x:c r="N6628" t="str">
        <x:v>Fully Paid</x:v>
      </x:c>
      <x:c r="O6628" t="str">
        <x:f>IF(D6628="","Unknown",IF(D6628&lt;25000,"&lt;$25k",IF(D6628&lt;50000,"$25k-$50k",IF(D6628&lt;75000,"$50k-$75k",IF(D6628&lt;100000,"$75k-$100k","$100k+")))))</x:f>
        <x:v>$25k-$50k</x:v>
      </x:c>
      <x:c r="P6628" t="str">
        <x:f>IF(E6628="","Unknown",IF(E6628&lt;10,"&lt;10",IF(E6628&lt;20,"10-&lt;20",IF(E6628&lt;25,"20-&lt;25",IF(E6628&lt;35,"25-&lt;35","35+")))))</x:f>
        <x:v>25-&lt;35</x:v>
      </x:c>
    </x:row>
    <x:row r="6629">
      <x:c r="A6629" t="str">
        <x:v>SYN0006628</x:v>
      </x:c>
      <x:c r="B6629" s="12" t="n">
        <x:v>42265</x:v>
      </x:c>
      <x:c r="C6629" s="18" t="n">
        <x:v>14898</x:v>
      </x:c>
      <x:c r="D6629" s="18" t="n">
        <x:v>102060</x:v>
      </x:c>
      <x:c r="E6629" s="18" t="n">
        <x:v>28.11</x:v>
      </x:c>
      <x:c r="F6629" s="18" t="n">
        <x:v>12.38</x:v>
      </x:c>
      <x:c r="G6629" t="n">
        <x:v>36</x:v>
      </x:c>
      <x:c r="H6629" t="str">
        <x:v>C</x:v>
      </x:c>
      <x:c r="I6629" t="str">
        <x:v>4-6 years</x:v>
      </x:c>
      <x:c r="J6629" t="str">
        <x:v>MORTGAGE</x:v>
      </x:c>
      <x:c r="K6629" t="str">
        <x:v>debt_consolidation</x:v>
      </x:c>
      <x:c r="L6629" t="n">
        <x:v>0</x:v>
      </x:c>
      <x:c r="M6629" t="n">
        <x:v>1</x:v>
      </x:c>
      <x:c r="N6629" t="str">
        <x:v>Charged Off</x:v>
      </x:c>
      <x:c r="O6629" t="str">
        <x:f>IF(D6629="","Unknown",IF(D6629&lt;25000,"&lt;$25k",IF(D6629&lt;50000,"$25k-$50k",IF(D6629&lt;75000,"$50k-$75k",IF(D6629&lt;100000,"$75k-$100k","$100k+")))))</x:f>
        <x:v>$100k+</x:v>
      </x:c>
      <x:c r="P6629" t="str">
        <x:f>IF(E6629="","Unknown",IF(E6629&lt;10,"&lt;10",IF(E6629&lt;20,"10-&lt;20",IF(E6629&lt;25,"20-&lt;25",IF(E6629&lt;35,"25-&lt;35","35+")))))</x:f>
        <x:v>25-&lt;35</x:v>
      </x:c>
    </x:row>
    <x:row r="6630">
      <x:c r="A6630" t="str">
        <x:v>SYN0006629</x:v>
      </x:c>
      <x:c r="B6630" s="12" t="n">
        <x:v>42805</x:v>
      </x:c>
      <x:c r="C6630" s="18" t="n">
        <x:v>13282</x:v>
      </x:c>
      <x:c r="D6630" s="18" t="n">
        <x:v>57395</x:v>
      </x:c>
      <x:c r="E6630" s="18" t="n">
        <x:v>12.17</x:v>
      </x:c>
      <x:c r="F6630" s="18" t="n">
        <x:v>9.36</x:v>
      </x:c>
      <x:c r="G6630" t="n">
        <x:v>60</x:v>
      </x:c>
      <x:c r="H6630" t="str">
        <x:v>C</x:v>
      </x:c>
      <x:c r="I6630" t="str">
        <x:v>7-9 years</x:v>
      </x:c>
      <x:c r="J6630" t="str">
        <x:v>RENT</x:v>
      </x:c>
      <x:c r="K6630" t="str">
        <x:v>home_improvement</x:v>
      </x:c>
      <x:c r="L6630" t="n">
        <x:v>0</x:v>
      </x:c>
      <x:c r="M6630" t="n">
        <x:v>0</x:v>
      </x:c>
      <x:c r="N6630" t="str">
        <x:v>Fully Paid</x:v>
      </x:c>
      <x:c r="O6630" t="str">
        <x:f>IF(D6630="","Unknown",IF(D6630&lt;25000,"&lt;$25k",IF(D6630&lt;50000,"$25k-$50k",IF(D6630&lt;75000,"$50k-$75k",IF(D6630&lt;100000,"$75k-$100k","$100k+")))))</x:f>
        <x:v>$50k-$75k</x:v>
      </x:c>
      <x:c r="P6630" t="str">
        <x:f>IF(E6630="","Unknown",IF(E6630&lt;10,"&lt;10",IF(E6630&lt;20,"10-&lt;20",IF(E6630&lt;25,"20-&lt;25",IF(E6630&lt;35,"25-&lt;35","35+")))))</x:f>
        <x:v>10-&lt;20</x:v>
      </x:c>
    </x:row>
    <x:row r="6631">
      <x:c r="A6631" t="str">
        <x:v>SYN0006630</x:v>
      </x:c>
      <x:c r="B6631" s="12" t="n">
        <x:v>42295</x:v>
      </x:c>
      <x:c r="C6631" s="18" t="n">
        <x:v>21516</x:v>
      </x:c>
      <x:c r="D6631" s="18" t="n">
        <x:v>79923</x:v>
      </x:c>
      <x:c r="E6631" s="18" t="n">
        <x:v>28.75</x:v>
      </x:c>
      <x:c r="F6631" s="18" t="n">
        <x:v>15.56</x:v>
      </x:c>
      <x:c r="G6631" t="n">
        <x:v>36</x:v>
      </x:c>
      <x:c r="H6631" t="str">
        <x:v>D</x:v>
      </x:c>
      <x:c r="I6631" t="str">
        <x:v>10+ years</x:v>
      </x:c>
      <x:c r="J6631" t="str">
        <x:v>OWN</x:v>
      </x:c>
      <x:c r="K6631" t="str">
        <x:v>credit_card</x:v>
      </x:c>
      <x:c r="L6631" t="n">
        <x:v>0</x:v>
      </x:c>
      <x:c r="M6631" t="n">
        <x:v>1</x:v>
      </x:c>
      <x:c r="N6631" t="str">
        <x:v>Charged Off</x:v>
      </x:c>
      <x:c r="O6631" t="str">
        <x:f>IF(D6631="","Unknown",IF(D6631&lt;25000,"&lt;$25k",IF(D6631&lt;50000,"$25k-$50k",IF(D6631&lt;75000,"$50k-$75k",IF(D6631&lt;100000,"$75k-$100k","$100k+")))))</x:f>
        <x:v>$75k-$100k</x:v>
      </x:c>
      <x:c r="P6631" t="str">
        <x:f>IF(E6631="","Unknown",IF(E6631&lt;10,"&lt;10",IF(E6631&lt;20,"10-&lt;20",IF(E6631&lt;25,"20-&lt;25",IF(E6631&lt;35,"25-&lt;35","35+")))))</x:f>
        <x:v>25-&lt;35</x:v>
      </x:c>
    </x:row>
    <x:row r="6632">
      <x:c r="A6632" t="str">
        <x:v>SYN0006631</x:v>
      </x:c>
      <x:c r="B6632" s="12" t="n">
        <x:v>41455</x:v>
      </x:c>
      <x:c r="C6632" s="18" t="n">
        <x:v>6181</x:v>
      </x:c>
      <x:c r="D6632" s="18" t="n">
        <x:v>32231</x:v>
      </x:c>
      <x:c r="E6632" s="18" t="n">
        <x:v>19.06</x:v>
      </x:c>
      <x:c r="F6632" s="18" t="n">
        <x:v>7.44</x:v>
      </x:c>
      <x:c r="G6632" t="n">
        <x:v>36</x:v>
      </x:c>
      <x:c r="H6632" t="str">
        <x:v>B</x:v>
      </x:c>
      <x:c r="I6632" t="str">
        <x:v>1-3 years</x:v>
      </x:c>
      <x:c r="J6632" t="str">
        <x:v>RENT</x:v>
      </x:c>
      <x:c r="K6632" t="str">
        <x:v>home_improvement</x:v>
      </x:c>
      <x:c r="L6632" t="n">
        <x:v>0</x:v>
      </x:c>
      <x:c r="M6632" t="n">
        <x:v>0</x:v>
      </x:c>
      <x:c r="N6632" t="str">
        <x:v>Fully Paid</x:v>
      </x:c>
      <x:c r="O6632" t="str">
        <x:f>IF(D6632="","Unknown",IF(D6632&lt;25000,"&lt;$25k",IF(D6632&lt;50000,"$25k-$50k",IF(D6632&lt;75000,"$50k-$75k",IF(D6632&lt;100000,"$75k-$100k","$100k+")))))</x:f>
        <x:v>$25k-$50k</x:v>
      </x:c>
      <x:c r="P6632" t="str">
        <x:f>IF(E6632="","Unknown",IF(E6632&lt;10,"&lt;10",IF(E6632&lt;20,"10-&lt;20",IF(E6632&lt;25,"20-&lt;25",IF(E6632&lt;35,"25-&lt;35","35+")))))</x:f>
        <x:v>10-&lt;20</x:v>
      </x:c>
    </x:row>
    <x:row r="6633">
      <x:c r="A6633" t="str">
        <x:v>SYN0006632</x:v>
      </x:c>
      <x:c r="B6633" s="12" t="n">
        <x:v>42505</x:v>
      </x:c>
      <x:c r="C6633" s="18" t="n">
        <x:v>27584</x:v>
      </x:c>
      <x:c r="D6633" s="18" t="n">
        <x:v>104763</x:v>
      </x:c>
      <x:c r="E6633" s="18" t="n">
        <x:v>18.55</x:v>
      </x:c>
      <x:c r="F6633" s="18" t="n">
        <x:v>16.93</x:v>
      </x:c>
      <x:c r="G6633" t="n">
        <x:v>60</x:v>
      </x:c>
      <x:c r="H6633" t="str">
        <x:v>E</x:v>
      </x:c>
      <x:c r="I6633" t="str">
        <x:v>7-9 years</x:v>
      </x:c>
      <x:c r="J6633" t="str">
        <x:v>RENT</x:v>
      </x:c>
      <x:c r="K6633" t="str">
        <x:v>debt_consolidation</x:v>
      </x:c>
      <x:c r="L6633" t="n">
        <x:v>0</x:v>
      </x:c>
      <x:c r="M6633" t="n">
        <x:v>0</x:v>
      </x:c>
      <x:c r="N6633" t="str">
        <x:v>Fully Paid</x:v>
      </x:c>
      <x:c r="O6633" t="str">
        <x:f>IF(D6633="","Unknown",IF(D6633&lt;25000,"&lt;$25k",IF(D6633&lt;50000,"$25k-$50k",IF(D6633&lt;75000,"$50k-$75k",IF(D6633&lt;100000,"$75k-$100k","$100k+")))))</x:f>
        <x:v>$100k+</x:v>
      </x:c>
      <x:c r="P6633" t="str">
        <x:f>IF(E6633="","Unknown",IF(E6633&lt;10,"&lt;10",IF(E6633&lt;20,"10-&lt;20",IF(E6633&lt;25,"20-&lt;25",IF(E6633&lt;35,"25-&lt;35","35+")))))</x:f>
        <x:v>10-&lt;20</x:v>
      </x:c>
    </x:row>
    <x:row r="6634">
      <x:c r="A6634" t="str">
        <x:v>SYN0006633</x:v>
      </x:c>
      <x:c r="B6634" s="12" t="n">
        <x:v>41935</x:v>
      </x:c>
      <x:c r="C6634" s="18" t="n">
        <x:v>15864</x:v>
      </x:c>
      <x:c r="D6634" s="18" t="n">
        <x:v>79803</x:v>
      </x:c>
      <x:c r="E6634" s="18" t="n">
        <x:v>14.45</x:v>
      </x:c>
      <x:c r="F6634" s="18" t="n">
        <x:v>8.91</x:v>
      </x:c>
      <x:c r="G6634" t="n">
        <x:v>36</x:v>
      </x:c>
      <x:c r="H6634" t="str">
        <x:v>B</x:v>
      </x:c>
      <x:c r="I6634" t="str">
        <x:v>7-9 years</x:v>
      </x:c>
      <x:c r="J6634" t="str">
        <x:v>OWN</x:v>
      </x:c>
      <x:c r="K6634" t="str">
        <x:v>debt_consolidation</x:v>
      </x:c>
      <x:c r="L6634" t="n">
        <x:v>1</x:v>
      </x:c>
      <x:c r="M6634" t="n">
        <x:v>0</x:v>
      </x:c>
      <x:c r="N6634" t="str">
        <x:v>Fully Paid</x:v>
      </x:c>
      <x:c r="O6634" t="str">
        <x:f>IF(D6634="","Unknown",IF(D6634&lt;25000,"&lt;$25k",IF(D6634&lt;50000,"$25k-$50k",IF(D6634&lt;75000,"$50k-$75k",IF(D6634&lt;100000,"$75k-$100k","$100k+")))))</x:f>
        <x:v>$75k-$100k</x:v>
      </x:c>
      <x:c r="P6634" t="str">
        <x:f>IF(E6634="","Unknown",IF(E6634&lt;10,"&lt;10",IF(E6634&lt;20,"10-&lt;20",IF(E6634&lt;25,"20-&lt;25",IF(E6634&lt;35,"25-&lt;35","35+")))))</x:f>
        <x:v>10-&lt;20</x:v>
      </x:c>
    </x:row>
    <x:row r="6635">
      <x:c r="A6635" t="str">
        <x:v>SYN0006634</x:v>
      </x:c>
      <x:c r="B6635" s="12" t="n">
        <x:v>42925</x:v>
      </x:c>
      <x:c r="C6635" s="18" t="n">
        <x:v>6006</x:v>
      </x:c>
      <x:c r="D6635" s="18" t="n">
        <x:v>16861</x:v>
      </x:c>
      <x:c r="E6635" s="18" t="n">
        <x:v>13.1</x:v>
      </x:c>
      <x:c r="F6635" s="18" t="n">
        <x:v>14.29</x:v>
      </x:c>
      <x:c r="G6635" t="n">
        <x:v>36</x:v>
      </x:c>
      <x:c r="H6635" t="str">
        <x:v>D</x:v>
      </x:c>
      <x:c r="I6635" t="str">
        <x:v>10+ years</x:v>
      </x:c>
      <x:c r="J6635" t="str">
        <x:v>OWN</x:v>
      </x:c>
      <x:c r="K6635" t="str">
        <x:v>debt_consolidation</x:v>
      </x:c>
      <x:c r="L6635" t="n">
        <x:v>0</x:v>
      </x:c>
      <x:c r="M6635" t="n">
        <x:v>0</x:v>
      </x:c>
      <x:c r="N6635" t="str">
        <x:v>Fully Paid</x:v>
      </x:c>
      <x:c r="O6635" t="str">
        <x:f>IF(D6635="","Unknown",IF(D6635&lt;25000,"&lt;$25k",IF(D6635&lt;50000,"$25k-$50k",IF(D6635&lt;75000,"$50k-$75k",IF(D6635&lt;100000,"$75k-$100k","$100k+")))))</x:f>
        <x:v>&lt;$25k</x:v>
      </x:c>
      <x:c r="P6635" t="str">
        <x:f>IF(E6635="","Unknown",IF(E6635&lt;10,"&lt;10",IF(E6635&lt;20,"10-&lt;20",IF(E6635&lt;25,"20-&lt;25",IF(E6635&lt;35,"25-&lt;35","35+")))))</x:f>
        <x:v>10-&lt;20</x:v>
      </x:c>
    </x:row>
    <x:row r="6636">
      <x:c r="A6636" t="str">
        <x:v>SYN0006635</x:v>
      </x:c>
      <x:c r="B6636" s="12" t="n">
        <x:v>41725</x:v>
      </x:c>
      <x:c r="C6636" s="18" t="n">
        <x:v>33588</x:v>
      </x:c>
      <x:c r="D6636" s="18" t="n">
        <x:v>59256</x:v>
      </x:c>
      <x:c r="E6636" s="18" t="n">
        <x:v>28.62</x:v>
      </x:c>
      <x:c r="F6636" s="18" t="n">
        <x:v>29.3</x:v>
      </x:c>
      <x:c r="G6636" t="n">
        <x:v>36</x:v>
      </x:c>
      <x:c r="H6636" t="str">
        <x:v>G</x:v>
      </x:c>
      <x:c r="I6636" t="str">
        <x:v>7-9 years</x:v>
      </x:c>
      <x:c r="J6636" t="str">
        <x:v>RENT</x:v>
      </x:c>
      <x:c r="K6636" t="str">
        <x:v>debt_consolidation</x:v>
      </x:c>
      <x:c r="L6636" t="n">
        <x:v>1</x:v>
      </x:c>
      <x:c r="M6636" t="n">
        <x:v>0</x:v>
      </x:c>
      <x:c r="N6636" t="str">
        <x:v>Fully Paid</x:v>
      </x:c>
      <x:c r="O6636" t="str">
        <x:f>IF(D6636="","Unknown",IF(D6636&lt;25000,"&lt;$25k",IF(D6636&lt;50000,"$25k-$50k",IF(D6636&lt;75000,"$50k-$75k",IF(D6636&lt;100000,"$75k-$100k","$100k+")))))</x:f>
        <x:v>$50k-$75k</x:v>
      </x:c>
      <x:c r="P6636" t="str">
        <x:f>IF(E6636="","Unknown",IF(E6636&lt;10,"&lt;10",IF(E6636&lt;20,"10-&lt;20",IF(E6636&lt;25,"20-&lt;25",IF(E6636&lt;35,"25-&lt;35","35+")))))</x:f>
        <x:v>25-&lt;35</x:v>
      </x:c>
    </x:row>
    <x:row r="6637">
      <x:c r="A6637" t="str">
        <x:v>SYN0006636</x:v>
      </x:c>
      <x:c r="B6637" s="12" t="n">
        <x:v>42805</x:v>
      </x:c>
      <x:c r="C6637" s="18" t="n">
        <x:v>11628</x:v>
      </x:c>
      <x:c r="D6637" s="18" t="n">
        <x:v>71601</x:v>
      </x:c>
      <x:c r="E6637" s="18" t="n">
        <x:v>32.6</x:v>
      </x:c>
      <x:c r="F6637" s="18" t="n">
        <x:v>26.54</x:v>
      </x:c>
      <x:c r="G6637" t="n">
        <x:v>60</x:v>
      </x:c>
      <x:c r="H6637" t="str">
        <x:v>G</x:v>
      </x:c>
      <x:c r="I6637" t="str">
        <x:v>4-6 years</x:v>
      </x:c>
      <x:c r="J6637" t="str">
        <x:v>RENT</x:v>
      </x:c>
      <x:c r="K6637" t="str">
        <x:v>major_purchase</x:v>
      </x:c>
      <x:c r="L6637" t="n">
        <x:v>1</x:v>
      </x:c>
      <x:c r="M6637" t="n">
        <x:v>0</x:v>
      </x:c>
      <x:c r="N6637" t="str">
        <x:v>Fully Paid</x:v>
      </x:c>
      <x:c r="O6637" t="str">
        <x:f>IF(D6637="","Unknown",IF(D6637&lt;25000,"&lt;$25k",IF(D6637&lt;50000,"$25k-$50k",IF(D6637&lt;75000,"$50k-$75k",IF(D6637&lt;100000,"$75k-$100k","$100k+")))))</x:f>
        <x:v>$50k-$75k</x:v>
      </x:c>
      <x:c r="P6637" t="str">
        <x:f>IF(E6637="","Unknown",IF(E6637&lt;10,"&lt;10",IF(E6637&lt;20,"10-&lt;20",IF(E6637&lt;25,"20-&lt;25",IF(E6637&lt;35,"25-&lt;35","35+")))))</x:f>
        <x:v>25-&lt;35</x:v>
      </x:c>
    </x:row>
    <x:row r="6638">
      <x:c r="A6638" t="str">
        <x:v>SYN0006637</x:v>
      </x:c>
      <x:c r="B6638" s="12" t="n">
        <x:v>41395</x:v>
      </x:c>
      <x:c r="C6638" s="18" t="n">
        <x:v>6567</x:v>
      </x:c>
      <x:c r="D6638" s="18" t="n">
        <x:v>31004</x:v>
      </x:c>
      <x:c r="E6638" s="18" t="n">
        <x:v>35.81</x:v>
      </x:c>
      <x:c r="F6638" s="18" t="n">
        <x:v>26.16</x:v>
      </x:c>
      <x:c r="G6638" t="n">
        <x:v>60</x:v>
      </x:c>
      <x:c r="H6638" t="str">
        <x:v>G</x:v>
      </x:c>
      <x:c r="I6638" t="str">
        <x:v>4-6 years</x:v>
      </x:c>
      <x:c r="J6638" t="str">
        <x:v>MORTGAGE</x:v>
      </x:c>
      <x:c r="K6638" t="str">
        <x:v>debt_consolidation</x:v>
      </x:c>
      <x:c r="L6638" t="n">
        <x:v>0</x:v>
      </x:c>
      <x:c r="M6638" t="n">
        <x:v>1</x:v>
      </x:c>
      <x:c r="N6638" t="str">
        <x:v>Charged Off</x:v>
      </x:c>
      <x:c r="O6638" t="str">
        <x:f>IF(D6638="","Unknown",IF(D6638&lt;25000,"&lt;$25k",IF(D6638&lt;50000,"$25k-$50k",IF(D6638&lt;75000,"$50k-$75k",IF(D6638&lt;100000,"$75k-$100k","$100k+")))))</x:f>
        <x:v>$25k-$50k</x:v>
      </x:c>
      <x:c r="P6638" t="str">
        <x:f>IF(E6638="","Unknown",IF(E6638&lt;10,"&lt;10",IF(E6638&lt;20,"10-&lt;20",IF(E6638&lt;25,"20-&lt;25",IF(E6638&lt;35,"25-&lt;35","35+")))))</x:f>
        <x:v>35+</x:v>
      </x:c>
    </x:row>
    <x:row r="6639">
      <x:c r="A6639" t="str">
        <x:v>SYN0006638</x:v>
      </x:c>
      <x:c r="B6639" s="12" t="n">
        <x:v>43225</x:v>
      </x:c>
      <x:c r="C6639" s="18" t="n">
        <x:v>5478</x:v>
      </x:c>
      <x:c r="D6639" s="18" t="n">
        <x:v>36343</x:v>
      </x:c>
      <x:c r="E6639" s="18" t="n">
        <x:v>19.65</x:v>
      </x:c>
      <x:c r="F6639" s="18" t="n">
        <x:v>10.51</x:v>
      </x:c>
      <x:c r="G6639" t="n">
        <x:v>36</x:v>
      </x:c>
      <x:c r="H6639" t="str">
        <x:v>B</x:v>
      </x:c>
      <x:c r="I6639" t="str">
        <x:v>10+ years</x:v>
      </x:c>
      <x:c r="J6639" t="str">
        <x:v>OWN</x:v>
      </x:c>
      <x:c r="K6639" t="str">
        <x:v>debt_consolidation</x:v>
      </x:c>
      <x:c r="L6639" t="n">
        <x:v>0</x:v>
      </x:c>
      <x:c r="M6639" t="n">
        <x:v>0</x:v>
      </x:c>
      <x:c r="N6639" t="str">
        <x:v>Fully Paid</x:v>
      </x:c>
      <x:c r="O6639" t="str">
        <x:f>IF(D6639="","Unknown",IF(D6639&lt;25000,"&lt;$25k",IF(D6639&lt;50000,"$25k-$50k",IF(D6639&lt;75000,"$50k-$75k",IF(D6639&lt;100000,"$75k-$100k","$100k+")))))</x:f>
        <x:v>$25k-$50k</x:v>
      </x:c>
      <x:c r="P6639" t="str">
        <x:f>IF(E6639="","Unknown",IF(E6639&lt;10,"&lt;10",IF(E6639&lt;20,"10-&lt;20",IF(E6639&lt;25,"20-&lt;25",IF(E6639&lt;35,"25-&lt;35","35+")))))</x:f>
        <x:v>10-&lt;20</x:v>
      </x:c>
    </x:row>
    <x:row r="6640">
      <x:c r="A6640" t="str">
        <x:v>SYN0006639</x:v>
      </x:c>
      <x:c r="B6640" s="12" t="n">
        <x:v>41875</x:v>
      </x:c>
      <x:c r="C6640" s="18" t="n">
        <x:v>18018</x:v>
      </x:c>
      <x:c r="D6640" s="18" t="n">
        <x:v>34666</x:v>
      </x:c>
      <x:c r="E6640" s="18" t="n">
        <x:v>8.88</x:v>
      </x:c>
      <x:c r="F6640" s="18" t="n">
        <x:v>17.63</x:v>
      </x:c>
      <x:c r="G6640" t="n">
        <x:v>36</x:v>
      </x:c>
      <x:c r="H6640" t="str">
        <x:v>E</x:v>
      </x:c>
      <x:c r="I6640" t="str">
        <x:v>7-9 years</x:v>
      </x:c>
      <x:c r="J6640" t="str">
        <x:v>RENT</x:v>
      </x:c>
      <x:c r="K6640" t="str">
        <x:v>debt_consolidation</x:v>
      </x:c>
      <x:c r="L6640" t="n">
        <x:v>2</x:v>
      </x:c>
      <x:c r="M6640" t="n">
        <x:v>1</x:v>
      </x:c>
      <x:c r="N6640" t="str">
        <x:v>Charged Off</x:v>
      </x:c>
      <x:c r="O6640" t="str">
        <x:f>IF(D6640="","Unknown",IF(D6640&lt;25000,"&lt;$25k",IF(D6640&lt;50000,"$25k-$50k",IF(D6640&lt;75000,"$50k-$75k",IF(D6640&lt;100000,"$75k-$100k","$100k+")))))</x:f>
        <x:v>$25k-$50k</x:v>
      </x:c>
      <x:c r="P6640" t="str">
        <x:f>IF(E6640="","Unknown",IF(E6640&lt;10,"&lt;10",IF(E6640&lt;20,"10-&lt;20",IF(E6640&lt;25,"20-&lt;25",IF(E6640&lt;35,"25-&lt;35","35+")))))</x:f>
        <x:v>&lt;10</x:v>
      </x:c>
    </x:row>
    <x:row r="6641">
      <x:c r="A6641" t="str">
        <x:v>SYN0006640</x:v>
      </x:c>
      <x:c r="B6641" s="12" t="n">
        <x:v>43285</x:v>
      </x:c>
      <x:c r="C6641" s="18" t="n">
        <x:v>7886</x:v>
      </x:c>
      <x:c r="D6641" s="18" t="n">
        <x:v>88374</x:v>
      </x:c>
      <x:c r="E6641" s="18" t="n">
        <x:v>25.74</x:v>
      </x:c>
      <x:c r="F6641" s="18" t="n">
        <x:v>11.95</x:v>
      </x:c>
      <x:c r="G6641" t="n">
        <x:v>36</x:v>
      </x:c>
      <x:c r="H6641" t="str">
        <x:v>C</x:v>
      </x:c>
      <x:c r="I6641" t="str">
        <x:v>7-9 years</x:v>
      </x:c>
      <x:c r="J6641" t="str">
        <x:v>MORTGAGE</x:v>
      </x:c>
      <x:c r="K6641" t="str">
        <x:v>debt_consolidation</x:v>
      </x:c>
      <x:c r="L6641" t="n">
        <x:v>0</x:v>
      </x:c>
      <x:c r="M6641" t="n">
        <x:v>0</x:v>
      </x:c>
      <x:c r="N6641" t="str">
        <x:v>Fully Paid</x:v>
      </x:c>
      <x:c r="O6641" t="str">
        <x:f>IF(D6641="","Unknown",IF(D6641&lt;25000,"&lt;$25k",IF(D6641&lt;50000,"$25k-$50k",IF(D6641&lt;75000,"$50k-$75k",IF(D6641&lt;100000,"$75k-$100k","$100k+")))))</x:f>
        <x:v>$75k-$100k</x:v>
      </x:c>
      <x:c r="P6641" t="str">
        <x:f>IF(E6641="","Unknown",IF(E6641&lt;10,"&lt;10",IF(E6641&lt;20,"10-&lt;20",IF(E6641&lt;25,"20-&lt;25",IF(E6641&lt;35,"25-&lt;35","35+")))))</x:f>
        <x:v>25-&lt;35</x:v>
      </x:c>
    </x:row>
    <x:row r="6642">
      <x:c r="A6642" t="str">
        <x:v>SYN0006641</x:v>
      </x:c>
      <x:c r="B6642" s="12" t="n">
        <x:v>43285</x:v>
      </x:c>
      <x:c r="C6642" s="18" t="n">
        <x:v>19561</x:v>
      </x:c>
      <x:c r="D6642" s="18" t="n">
        <x:v>69947</x:v>
      </x:c>
      <x:c r="E6642" s="18" t="n">
        <x:v>13.92</x:v>
      </x:c>
      <x:c r="F6642" s="18" t="n">
        <x:v>10.45</x:v>
      </x:c>
      <x:c r="G6642" t="n">
        <x:v>36</x:v>
      </x:c>
      <x:c r="H6642" t="str">
        <x:v>C</x:v>
      </x:c>
      <x:c r="I6642" t="str">
        <x:v>1-3 years</x:v>
      </x:c>
      <x:c r="J6642" t="str">
        <x:v>MORTGAGE</x:v>
      </x:c>
      <x:c r="K6642" t="str">
        <x:v>major_purchase</x:v>
      </x:c>
      <x:c r="L6642" t="n">
        <x:v>0</x:v>
      </x:c>
      <x:c r="M6642" t="n">
        <x:v>0</x:v>
      </x:c>
      <x:c r="N6642" t="str">
        <x:v>Fully Paid</x:v>
      </x:c>
      <x:c r="O6642" t="str">
        <x:f>IF(D6642="","Unknown",IF(D6642&lt;25000,"&lt;$25k",IF(D6642&lt;50000,"$25k-$50k",IF(D6642&lt;75000,"$50k-$75k",IF(D6642&lt;100000,"$75k-$100k","$100k+")))))</x:f>
        <x:v>$50k-$75k</x:v>
      </x:c>
      <x:c r="P6642" t="str">
        <x:f>IF(E6642="","Unknown",IF(E6642&lt;10,"&lt;10",IF(E6642&lt;20,"10-&lt;20",IF(E6642&lt;25,"20-&lt;25",IF(E6642&lt;35,"25-&lt;35","35+")))))</x:f>
        <x:v>10-&lt;20</x:v>
      </x:c>
    </x:row>
    <x:row r="6643">
      <x:c r="A6643" t="str">
        <x:v>SYN0006642</x:v>
      </x:c>
      <x:c r="B6643" s="12" t="n">
        <x:v>41545</x:v>
      </x:c>
      <x:c r="C6643" s="18" t="n">
        <x:v>10314</x:v>
      </x:c>
      <x:c r="D6643" s="18" t="n">
        <x:v>83846</x:v>
      </x:c>
      <x:c r="E6643" s="18" t="n">
        <x:v>38.04</x:v>
      </x:c>
      <x:c r="F6643" s="18" t="n">
        <x:v>22.9</x:v>
      </x:c>
      <x:c r="G6643" t="n">
        <x:v>60</x:v>
      </x:c>
      <x:c r="H6643" t="str">
        <x:v>G</x:v>
      </x:c>
      <x:c r="I6643" t="str">
        <x:v>1-3 years</x:v>
      </x:c>
      <x:c r="J6643" t="str">
        <x:v>MORTGAGE</x:v>
      </x:c>
      <x:c r="K6643" t="str">
        <x:v>credit_card</x:v>
      </x:c>
      <x:c r="L6643" t="n">
        <x:v>1</x:v>
      </x:c>
      <x:c r="M6643" t="n">
        <x:v>1</x:v>
      </x:c>
      <x:c r="N6643" t="str">
        <x:v>Charged Off</x:v>
      </x:c>
      <x:c r="O6643" t="str">
        <x:f>IF(D6643="","Unknown",IF(D6643&lt;25000,"&lt;$25k",IF(D6643&lt;50000,"$25k-$50k",IF(D6643&lt;75000,"$50k-$75k",IF(D6643&lt;100000,"$75k-$100k","$100k+")))))</x:f>
        <x:v>$75k-$100k</x:v>
      </x:c>
      <x:c r="P6643" t="str">
        <x:f>IF(E6643="","Unknown",IF(E6643&lt;10,"&lt;10",IF(E6643&lt;20,"10-&lt;20",IF(E6643&lt;25,"20-&lt;25",IF(E6643&lt;35,"25-&lt;35","35+")))))</x:f>
        <x:v>35+</x:v>
      </x:c>
    </x:row>
    <x:row r="6644">
      <x:c r="A6644" t="str">
        <x:v>SYN0006643</x:v>
      </x:c>
      <x:c r="B6644" s="12" t="n">
        <x:v>41665</x:v>
      </x:c>
      <x:c r="C6644" s="18" t="n">
        <x:v>10602</x:v>
      </x:c>
      <x:c r="D6644" s="18" t="n">
        <x:v>35523</x:v>
      </x:c>
      <x:c r="E6644" s="18" t="n">
        <x:v>17.1</x:v>
      </x:c>
      <x:c r="F6644" s="18" t="n">
        <x:v>8.23</x:v>
      </x:c>
      <x:c r="G6644" t="n">
        <x:v>36</x:v>
      </x:c>
      <x:c r="H6644" t="str">
        <x:v>C</x:v>
      </x:c>
      <x:c r="I6644" t="str">
        <x:v>10+ years</x:v>
      </x:c>
      <x:c r="J6644" t="str">
        <x:v>MORTGAGE</x:v>
      </x:c>
      <x:c r="K6644" t="str">
        <x:v>medical</x:v>
      </x:c>
      <x:c r="L6644" t="n">
        <x:v>0</x:v>
      </x:c>
      <x:c r="M6644" t="n">
        <x:v>0</x:v>
      </x:c>
      <x:c r="N6644" t="str">
        <x:v>Fully Paid</x:v>
      </x:c>
      <x:c r="O6644" t="str">
        <x:f>IF(D6644="","Unknown",IF(D6644&lt;25000,"&lt;$25k",IF(D6644&lt;50000,"$25k-$50k",IF(D6644&lt;75000,"$50k-$75k",IF(D6644&lt;100000,"$75k-$100k","$100k+")))))</x:f>
        <x:v>$25k-$50k</x:v>
      </x:c>
      <x:c r="P6644" t="str">
        <x:f>IF(E6644="","Unknown",IF(E6644&lt;10,"&lt;10",IF(E6644&lt;20,"10-&lt;20",IF(E6644&lt;25,"20-&lt;25",IF(E6644&lt;35,"25-&lt;35","35+")))))</x:f>
        <x:v>10-&lt;20</x:v>
      </x:c>
    </x:row>
    <x:row r="6645">
      <x:c r="A6645" t="str">
        <x:v>SYN0006644</x:v>
      </x:c>
      <x:c r="B6645" s="12" t="n">
        <x:v>41965</x:v>
      </x:c>
      <x:c r="C6645" s="18" t="n">
        <x:v>11783</x:v>
      </x:c>
      <x:c r="D6645" s="18" t="n">
        <x:v>56010</x:v>
      </x:c>
      <x:c r="E6645" s="18" t="n">
        <x:v>14.59</x:v>
      </x:c>
      <x:c r="F6645" s="18" t="n">
        <x:v>12.07</x:v>
      </x:c>
      <x:c r="G6645" t="n">
        <x:v>36</x:v>
      </x:c>
      <x:c r="H6645" t="str">
        <x:v>C</x:v>
      </x:c>
      <x:c r="I6645" t="str">
        <x:v>10+ years</x:v>
      </x:c>
      <x:c r="J6645" t="str">
        <x:v>OWN</x:v>
      </x:c>
      <x:c r="K6645" t="str">
        <x:v>debt_consolidation</x:v>
      </x:c>
      <x:c r="L6645" t="n">
        <x:v>0</x:v>
      </x:c>
      <x:c r="M6645" t="n">
        <x:v>0</x:v>
      </x:c>
      <x:c r="N6645" t="str">
        <x:v>Fully Paid</x:v>
      </x:c>
      <x:c r="O6645" t="str">
        <x:f>IF(D6645="","Unknown",IF(D6645&lt;25000,"&lt;$25k",IF(D6645&lt;50000,"$25k-$50k",IF(D6645&lt;75000,"$50k-$75k",IF(D6645&lt;100000,"$75k-$100k","$100k+")))))</x:f>
        <x:v>$50k-$75k</x:v>
      </x:c>
      <x:c r="P6645" t="str">
        <x:f>IF(E6645="","Unknown",IF(E6645&lt;10,"&lt;10",IF(E6645&lt;20,"10-&lt;20",IF(E6645&lt;25,"20-&lt;25",IF(E6645&lt;35,"25-&lt;35","35+")))))</x:f>
        <x:v>10-&lt;20</x:v>
      </x:c>
    </x:row>
    <x:row r="6646">
      <x:c r="A6646" t="str">
        <x:v>SYN0006645</x:v>
      </x:c>
      <x:c r="B6646" s="12" t="n">
        <x:v>41455</x:v>
      </x:c>
      <x:c r="C6646" s="18" t="n">
        <x:v>12173</x:v>
      </x:c>
      <x:c r="D6646" s="18" t="n">
        <x:v>38633</x:v>
      </x:c>
      <x:c r="E6646" s="18" t="n">
        <x:v>22.43</x:v>
      </x:c>
      <x:c r="F6646" s="18" t="n">
        <x:v>20.25</x:v>
      </x:c>
      <x:c r="G6646" t="n">
        <x:v>60</x:v>
      </x:c>
      <x:c r="H6646" t="str">
        <x:v>E</x:v>
      </x:c>
      <x:c r="I6646" t="str">
        <x:v>4-6 years</x:v>
      </x:c>
      <x:c r="J6646" t="str">
        <x:v>OWN</x:v>
      </x:c>
      <x:c r="K6646" t="str">
        <x:v>credit_card</x:v>
      </x:c>
      <x:c r="L6646" t="n">
        <x:v>0</x:v>
      </x:c>
      <x:c r="M6646" t="n">
        <x:v>1</x:v>
      </x:c>
      <x:c r="N6646" t="str">
        <x:v>Charged Off</x:v>
      </x:c>
      <x:c r="O6646" t="str">
        <x:f>IF(D6646="","Unknown",IF(D6646&lt;25000,"&lt;$25k",IF(D6646&lt;50000,"$25k-$50k",IF(D6646&lt;75000,"$50k-$75k",IF(D6646&lt;100000,"$75k-$100k","$100k+")))))</x:f>
        <x:v>$25k-$50k</x:v>
      </x:c>
      <x:c r="P6646" t="str">
        <x:f>IF(E6646="","Unknown",IF(E6646&lt;10,"&lt;10",IF(E6646&lt;20,"10-&lt;20",IF(E6646&lt;25,"20-&lt;25",IF(E6646&lt;35,"25-&lt;35","35+")))))</x:f>
        <x:v>20-&lt;25</x:v>
      </x:c>
    </x:row>
    <x:row r="6647">
      <x:c r="A6647" t="str">
        <x:v>SYN0006646</x:v>
      </x:c>
      <x:c r="B6647" s="12" t="n">
        <x:v>42085</x:v>
      </x:c>
      <x:c r="C6647" s="18" t="n">
        <x:v>10137</x:v>
      </x:c>
      <x:c r="D6647" s="18" t="n">
        <x:v>65615</x:v>
      </x:c>
      <x:c r="E6647" s="18" t="n">
        <x:v>33.68</x:v>
      </x:c>
      <x:c r="F6647" s="18" t="n">
        <x:v>15.38</x:v>
      </x:c>
      <x:c r="G6647" t="n">
        <x:v>36</x:v>
      </x:c>
      <x:c r="H6647" t="str">
        <x:v>D</x:v>
      </x:c>
      <x:c r="I6647" t="str">
        <x:v>4-6 years</x:v>
      </x:c>
      <x:c r="J6647" t="str">
        <x:v>MORTGAGE</x:v>
      </x:c>
      <x:c r="K6647" t="str">
        <x:v>other</x:v>
      </x:c>
      <x:c r="L6647" t="n">
        <x:v>0</x:v>
      </x:c>
      <x:c r="M6647" t="n">
        <x:v>0</x:v>
      </x:c>
      <x:c r="N6647" t="str">
        <x:v>Fully Paid</x:v>
      </x:c>
      <x:c r="O6647" t="str">
        <x:f>IF(D6647="","Unknown",IF(D6647&lt;25000,"&lt;$25k",IF(D6647&lt;50000,"$25k-$50k",IF(D6647&lt;75000,"$50k-$75k",IF(D6647&lt;100000,"$75k-$100k","$100k+")))))</x:f>
        <x:v>$50k-$75k</x:v>
      </x:c>
      <x:c r="P6647" t="str">
        <x:f>IF(E6647="","Unknown",IF(E6647&lt;10,"&lt;10",IF(E6647&lt;20,"10-&lt;20",IF(E6647&lt;25,"20-&lt;25",IF(E6647&lt;35,"25-&lt;35","35+")))))</x:f>
        <x:v>25-&lt;35</x:v>
      </x:c>
    </x:row>
    <x:row r="6648">
      <x:c r="A6648" t="str">
        <x:v>SYN0006647</x:v>
      </x:c>
      <x:c r="B6648" s="12" t="n">
        <x:v>41635</x:v>
      </x:c>
      <x:c r="C6648" s="18" t="n">
        <x:v>25308</x:v>
      </x:c>
      <x:c r="D6648" s="18" t="n">
        <x:v>20630</x:v>
      </x:c>
      <x:c r="E6648" s="18" t="n">
        <x:v>27.55</x:v>
      </x:c>
      <x:c r="F6648" s="18" t="n">
        <x:v>20.05</x:v>
      </x:c>
      <x:c r="G6648" t="n">
        <x:v>36</x:v>
      </x:c>
      <x:c r="H6648" t="str">
        <x:v>E</x:v>
      </x:c>
      <x:c r="I6648" t="str">
        <x:v>10+ years</x:v>
      </x:c>
      <x:c r="J6648" t="str">
        <x:v>MORTGAGE</x:v>
      </x:c>
      <x:c r="K6648" t="str">
        <x:v>debt_consolidation</x:v>
      </x:c>
      <x:c r="L6648" t="n">
        <x:v>2</x:v>
      </x:c>
      <x:c r="M6648" t="n">
        <x:v>0</x:v>
      </x:c>
      <x:c r="N6648" t="str">
        <x:v>Fully Paid</x:v>
      </x:c>
      <x:c r="O6648" t="str">
        <x:f>IF(D6648="","Unknown",IF(D6648&lt;25000,"&lt;$25k",IF(D6648&lt;50000,"$25k-$50k",IF(D6648&lt;75000,"$50k-$75k",IF(D6648&lt;100000,"$75k-$100k","$100k+")))))</x:f>
        <x:v>&lt;$25k</x:v>
      </x:c>
      <x:c r="P6648" t="str">
        <x:f>IF(E6648="","Unknown",IF(E6648&lt;10,"&lt;10",IF(E6648&lt;20,"10-&lt;20",IF(E6648&lt;25,"20-&lt;25",IF(E6648&lt;35,"25-&lt;35","35+")))))</x:f>
        <x:v>25-&lt;35</x:v>
      </x:c>
    </x:row>
    <x:row r="6649">
      <x:c r="A6649" t="str">
        <x:v>SYN0006648</x:v>
      </x:c>
      <x:c r="B6649" s="12" t="n">
        <x:v>41815</x:v>
      </x:c>
      <x:c r="C6649" s="18" t="n">
        <x:v>8604</x:v>
      </x:c>
      <x:c r="D6649" s="18" t="n">
        <x:v>52582</x:v>
      </x:c>
      <x:c r="E6649" s="18" t="n">
        <x:v>19.32</x:v>
      </x:c>
      <x:c r="F6649" s="18" t="n">
        <x:v>11.83</x:v>
      </x:c>
      <x:c r="G6649" t="n">
        <x:v>36</x:v>
      </x:c>
      <x:c r="H6649" t="str">
        <x:v>D</x:v>
      </x:c>
      <x:c r="I6649" t="str">
        <x:v>1-3 years</x:v>
      </x:c>
      <x:c r="J6649" t="str">
        <x:v>RENT</x:v>
      </x:c>
      <x:c r="K6649" t="str">
        <x:v>debt_consolidation</x:v>
      </x:c>
      <x:c r="L6649" t="n">
        <x:v>1</x:v>
      </x:c>
      <x:c r="M6649" t="n">
        <x:v>0</x:v>
      </x:c>
      <x:c r="N6649" t="str">
        <x:v>Fully Paid</x:v>
      </x:c>
      <x:c r="O6649" t="str">
        <x:f>IF(D6649="","Unknown",IF(D6649&lt;25000,"&lt;$25k",IF(D6649&lt;50000,"$25k-$50k",IF(D6649&lt;75000,"$50k-$75k",IF(D6649&lt;100000,"$75k-$100k","$100k+")))))</x:f>
        <x:v>$50k-$75k</x:v>
      </x:c>
      <x:c r="P6649" t="str">
        <x:f>IF(E6649="","Unknown",IF(E6649&lt;10,"&lt;10",IF(E6649&lt;20,"10-&lt;20",IF(E6649&lt;25,"20-&lt;25",IF(E6649&lt;35,"25-&lt;35","35+")))))</x:f>
        <x:v>10-&lt;20</x:v>
      </x:c>
    </x:row>
    <x:row r="6650">
      <x:c r="A6650" t="str">
        <x:v>SYN0006649</x:v>
      </x:c>
      <x:c r="B6650" s="12" t="n">
        <x:v>41515</x:v>
      </x:c>
      <x:c r="C6650" s="18" t="n">
        <x:v>5038</x:v>
      </x:c>
      <x:c r="D6650" s="18" t="n">
        <x:v>69890</x:v>
      </x:c>
      <x:c r="E6650" s="18" t="n">
        <x:v>6.37</x:v>
      </x:c>
      <x:c r="F6650" s="18" t="n">
        <x:v>5.26</x:v>
      </x:c>
      <x:c r="G6650" t="n">
        <x:v>36</x:v>
      </x:c>
      <x:c r="H6650" t="str">
        <x:v>A</x:v>
      </x:c>
      <x:c r="I6650" t="str">
        <x:v>1-3 years</x:v>
      </x:c>
      <x:c r="J6650" t="str">
        <x:v>MORTGAGE</x:v>
      </x:c>
      <x:c r="K6650" t="str">
        <x:v>credit_card</x:v>
      </x:c>
      <x:c r="L6650" t="n">
        <x:v>0</x:v>
      </x:c>
      <x:c r="M6650" t="n">
        <x:v>0</x:v>
      </x:c>
      <x:c r="N6650" t="str">
        <x:v>Fully Paid</x:v>
      </x:c>
      <x:c r="O6650" t="str">
        <x:f>IF(D6650="","Unknown",IF(D6650&lt;25000,"&lt;$25k",IF(D6650&lt;50000,"$25k-$50k",IF(D6650&lt;75000,"$50k-$75k",IF(D6650&lt;100000,"$75k-$100k","$100k+")))))</x:f>
        <x:v>$50k-$75k</x:v>
      </x:c>
      <x:c r="P6650" t="str">
        <x:f>IF(E6650="","Unknown",IF(E6650&lt;10,"&lt;10",IF(E6650&lt;20,"10-&lt;20",IF(E6650&lt;25,"20-&lt;25",IF(E6650&lt;35,"25-&lt;35","35+")))))</x:f>
        <x:v>&lt;10</x:v>
      </x:c>
    </x:row>
    <x:row r="6651">
      <x:c r="A6651" t="str">
        <x:v>SYN0006650</x:v>
      </x:c>
      <x:c r="B6651" s="12" t="n">
        <x:v>41485</x:v>
      </x:c>
      <x:c r="C6651" s="18" t="n">
        <x:v>10989</x:v>
      </x:c>
      <x:c r="D6651" s="18" t="n">
        <x:v>52025</x:v>
      </x:c>
      <x:c r="E6651" s="18" t="n">
        <x:v>24.13</x:v>
      </x:c>
      <x:c r="F6651" s="18" t="n">
        <x:v>5.47</x:v>
      </x:c>
      <x:c r="G6651" t="n">
        <x:v>36</x:v>
      </x:c>
      <x:c r="H6651" t="str">
        <x:v>B</x:v>
      </x:c>
      <x:c r="I6651" t="str">
        <x:v>10+ years</x:v>
      </x:c>
      <x:c r="J6651" t="str">
        <x:v>RENT</x:v>
      </x:c>
      <x:c r="K6651" t="str">
        <x:v>other</x:v>
      </x:c>
      <x:c r="L6651" t="n">
        <x:v>0</x:v>
      </x:c>
      <x:c r="M6651" t="n">
        <x:v>0</x:v>
      </x:c>
      <x:c r="N6651" t="str">
        <x:v>Fully Paid</x:v>
      </x:c>
      <x:c r="O6651" t="str">
        <x:f>IF(D6651="","Unknown",IF(D6651&lt;25000,"&lt;$25k",IF(D6651&lt;50000,"$25k-$50k",IF(D6651&lt;75000,"$50k-$75k",IF(D6651&lt;100000,"$75k-$100k","$100k+")))))</x:f>
        <x:v>$50k-$75k</x:v>
      </x:c>
      <x:c r="P6651" t="str">
        <x:f>IF(E6651="","Unknown",IF(E6651&lt;10,"&lt;10",IF(E6651&lt;20,"10-&lt;20",IF(E6651&lt;25,"20-&lt;25",IF(E6651&lt;35,"25-&lt;35","35+")))))</x:f>
        <x:v>20-&lt;25</x:v>
      </x:c>
    </x:row>
    <x:row r="6652">
      <x:c r="A6652" t="str">
        <x:v>SYN0006651</x:v>
      </x:c>
      <x:c r="B6652" s="12" t="n">
        <x:v>42625</x:v>
      </x:c>
      <x:c r="C6652" s="18" t="n">
        <x:v>16459</x:v>
      </x:c>
      <x:c r="D6652" s="18" t="n">
        <x:v>43484</x:v>
      </x:c>
      <x:c r="E6652" s="18" t="n">
        <x:v>9.67</x:v>
      </x:c>
      <x:c r="F6652" s="18" t="n">
        <x:v>16.91</x:v>
      </x:c>
      <x:c r="G6652" t="n">
        <x:v>60</x:v>
      </x:c>
      <x:c r="H6652" t="str">
        <x:v>E</x:v>
      </x:c>
      <x:c r="I6652" t="str">
        <x:v>4-6 years</x:v>
      </x:c>
      <x:c r="J6652" t="str">
        <x:v>RENT</x:v>
      </x:c>
      <x:c r="K6652" t="str">
        <x:v>credit_card</x:v>
      </x:c>
      <x:c r="L6652" t="n">
        <x:v>2</x:v>
      </x:c>
      <x:c r="M6652" t="n">
        <x:v>0</x:v>
      </x:c>
      <x:c r="N6652" t="str">
        <x:v>Fully Paid</x:v>
      </x:c>
      <x:c r="O6652" t="str">
        <x:f>IF(D6652="","Unknown",IF(D6652&lt;25000,"&lt;$25k",IF(D6652&lt;50000,"$25k-$50k",IF(D6652&lt;75000,"$50k-$75k",IF(D6652&lt;100000,"$75k-$100k","$100k+")))))</x:f>
        <x:v>$25k-$50k</x:v>
      </x:c>
      <x:c r="P6652" t="str">
        <x:f>IF(E6652="","Unknown",IF(E6652&lt;10,"&lt;10",IF(E6652&lt;20,"10-&lt;20",IF(E6652&lt;25,"20-&lt;25",IF(E6652&lt;35,"25-&lt;35","35+")))))</x:f>
        <x:v>&lt;10</x:v>
      </x:c>
    </x:row>
    <x:row r="6653">
      <x:c r="A6653" t="str">
        <x:v>SYN0006652</x:v>
      </x:c>
      <x:c r="B6653" s="12" t="n">
        <x:v>42985</x:v>
      </x:c>
      <x:c r="C6653" s="18" t="n">
        <x:v>7777</x:v>
      </x:c>
      <x:c r="D6653" s="18" t="n">
        <x:v>95667</x:v>
      </x:c>
      <x:c r="E6653" s="18" t="n">
        <x:v>24.31</x:v>
      </x:c>
      <x:c r="F6653" s="18" t="n">
        <x:v>8.47</x:v>
      </x:c>
      <x:c r="G6653" t="n">
        <x:v>36</x:v>
      </x:c>
      <x:c r="H6653" t="str">
        <x:v>B</x:v>
      </x:c>
      <x:c r="I6653" t="str">
        <x:v>4-6 years</x:v>
      </x:c>
      <x:c r="J6653" t="str">
        <x:v>MORTGAGE</x:v>
      </x:c>
      <x:c r="K6653" t="str">
        <x:v>debt_consolidation</x:v>
      </x:c>
      <x:c r="L6653" t="n">
        <x:v>0</x:v>
      </x:c>
      <x:c r="M6653" t="n">
        <x:v>0</x:v>
      </x:c>
      <x:c r="N6653" t="str">
        <x:v>Fully Paid</x:v>
      </x:c>
      <x:c r="O6653" t="str">
        <x:f>IF(D6653="","Unknown",IF(D6653&lt;25000,"&lt;$25k",IF(D6653&lt;50000,"$25k-$50k",IF(D6653&lt;75000,"$50k-$75k",IF(D6653&lt;100000,"$75k-$100k","$100k+")))))</x:f>
        <x:v>$75k-$100k</x:v>
      </x:c>
      <x:c r="P6653" t="str">
        <x:f>IF(E6653="","Unknown",IF(E6653&lt;10,"&lt;10",IF(E6653&lt;20,"10-&lt;20",IF(E6653&lt;25,"20-&lt;25",IF(E6653&lt;35,"25-&lt;35","35+")))))</x:f>
        <x:v>20-&lt;25</x:v>
      </x:c>
    </x:row>
    <x:row r="6654">
      <x:c r="A6654" t="str">
        <x:v>SYN0006653</x:v>
      </x:c>
      <x:c r="B6654" s="12" t="n">
        <x:v>42235</x:v>
      </x:c>
      <x:c r="C6654" s="18" t="n">
        <x:v>11761</x:v>
      </x:c>
      <x:c r="D6654" s="18" t="n">
        <x:v>97944</x:v>
      </x:c>
      <x:c r="E6654" s="18" t="n">
        <x:v>14.79</x:v>
      </x:c>
      <x:c r="F6654" s="18" t="n">
        <x:v>6.85</x:v>
      </x:c>
      <x:c r="G6654" t="n">
        <x:v>36</x:v>
      </x:c>
      <x:c r="H6654" t="str">
        <x:v>A</x:v>
      </x:c>
      <x:c r="I6654" t="str">
        <x:v>4-6 years</x:v>
      </x:c>
      <x:c r="J6654" t="str">
        <x:v>RENT</x:v>
      </x:c>
      <x:c r="K6654" t="str">
        <x:v>debt_consolidation</x:v>
      </x:c>
      <x:c r="L6654" t="n">
        <x:v>0</x:v>
      </x:c>
      <x:c r="M6654" t="n">
        <x:v>0</x:v>
      </x:c>
      <x:c r="N6654" t="str">
        <x:v>Fully Paid</x:v>
      </x:c>
      <x:c r="O6654" t="str">
        <x:f>IF(D6654="","Unknown",IF(D6654&lt;25000,"&lt;$25k",IF(D6654&lt;50000,"$25k-$50k",IF(D6654&lt;75000,"$50k-$75k",IF(D6654&lt;100000,"$75k-$100k","$100k+")))))</x:f>
        <x:v>$75k-$100k</x:v>
      </x:c>
      <x:c r="P6654" t="str">
        <x:f>IF(E6654="","Unknown",IF(E6654&lt;10,"&lt;10",IF(E6654&lt;20,"10-&lt;20",IF(E6654&lt;25,"20-&lt;25",IF(E6654&lt;35,"25-&lt;35","35+")))))</x:f>
        <x:v>10-&lt;20</x:v>
      </x:c>
    </x:row>
    <x:row r="6655">
      <x:c r="A6655" t="str">
        <x:v>SYN0006654</x:v>
      </x:c>
      <x:c r="B6655" s="12" t="n">
        <x:v>41965</x:v>
      </x:c>
      <x:c r="C6655" s="18" t="n">
        <x:v>9531</x:v>
      </x:c>
      <x:c r="D6655" s="18" t="n">
        <x:v>30126</x:v>
      </x:c>
      <x:c r="E6655" s="18" t="n">
        <x:v>20.62</x:v>
      </x:c>
      <x:c r="F6655" s="18" t="n">
        <x:v>7.74</x:v>
      </x:c>
      <x:c r="G6655" t="n">
        <x:v>36</x:v>
      </x:c>
      <x:c r="H6655" t="str">
        <x:v>B</x:v>
      </x:c>
      <x:c r="I6655" t="str">
        <x:v>7-9 years</x:v>
      </x:c>
      <x:c r="J6655" t="str">
        <x:v>MORTGAGE</x:v>
      </x:c>
      <x:c r="K6655" t="str">
        <x:v>credit_card</x:v>
      </x:c>
      <x:c r="L6655" t="n">
        <x:v>0</x:v>
      </x:c>
      <x:c r="M6655" t="n">
        <x:v>1</x:v>
      </x:c>
      <x:c r="N6655" t="str">
        <x:v>Charged Off</x:v>
      </x:c>
      <x:c r="O6655" t="str">
        <x:f>IF(D6655="","Unknown",IF(D6655&lt;25000,"&lt;$25k",IF(D6655&lt;50000,"$25k-$50k",IF(D6655&lt;75000,"$50k-$75k",IF(D6655&lt;100000,"$75k-$100k","$100k+")))))</x:f>
        <x:v>$25k-$50k</x:v>
      </x:c>
      <x:c r="P6655" t="str">
        <x:f>IF(E6655="","Unknown",IF(E6655&lt;10,"&lt;10",IF(E6655&lt;20,"10-&lt;20",IF(E6655&lt;25,"20-&lt;25",IF(E6655&lt;35,"25-&lt;35","35+")))))</x:f>
        <x:v>20-&lt;25</x:v>
      </x:c>
    </x:row>
    <x:row r="6656">
      <x:c r="A6656" t="str">
        <x:v>SYN0006655</x:v>
      </x:c>
      <x:c r="B6656" s="12" t="n">
        <x:v>42745</x:v>
      </x:c>
      <x:c r="C6656" s="18" t="n">
        <x:v>29416</x:v>
      </x:c>
      <x:c r="D6656" s="18" t="n">
        <x:v>51654</x:v>
      </x:c>
      <x:c r="E6656" s="18" t="n">
        <x:v>15.04</x:v>
      </x:c>
      <x:c r="F6656" s="18" t="n">
        <x:v>11.49</x:v>
      </x:c>
      <x:c r="G6656" t="n">
        <x:v>36</x:v>
      </x:c>
      <x:c r="H6656" t="str">
        <x:v>C</x:v>
      </x:c>
      <x:c r="I6656" t="str">
        <x:v>4-6 years</x:v>
      </x:c>
      <x:c r="J6656" t="str">
        <x:v>OWN</x:v>
      </x:c>
      <x:c r="K6656" t="str">
        <x:v>home_improvement</x:v>
      </x:c>
      <x:c r="L6656" t="n">
        <x:v>0</x:v>
      </x:c>
      <x:c r="M6656" t="n">
        <x:v>0</x:v>
      </x:c>
      <x:c r="N6656" t="str">
        <x:v>Fully Paid</x:v>
      </x:c>
      <x:c r="O6656" t="str">
        <x:f>IF(D6656="","Unknown",IF(D6656&lt;25000,"&lt;$25k",IF(D6656&lt;50000,"$25k-$50k",IF(D6656&lt;75000,"$50k-$75k",IF(D6656&lt;100000,"$75k-$100k","$100k+")))))</x:f>
        <x:v>$50k-$75k</x:v>
      </x:c>
      <x:c r="P6656" t="str">
        <x:f>IF(E6656="","Unknown",IF(E6656&lt;10,"&lt;10",IF(E6656&lt;20,"10-&lt;20",IF(E6656&lt;25,"20-&lt;25",IF(E6656&lt;35,"25-&lt;35","35+")))))</x:f>
        <x:v>10-&lt;20</x:v>
      </x:c>
    </x:row>
    <x:row r="6657">
      <x:c r="A6657" t="str">
        <x:v>SYN0006656</x:v>
      </x:c>
      <x:c r="B6657" s="12" t="n">
        <x:v>41605</x:v>
      </x:c>
      <x:c r="C6657" s="18" t="n">
        <x:v>8293</x:v>
      </x:c>
      <x:c r="D6657" s="18" t="n">
        <x:v>77322</x:v>
      </x:c>
      <x:c r="E6657" s="18" t="n">
        <x:v>17.47</x:v>
      </x:c>
      <x:c r="F6657" s="18" t="n">
        <x:v>14.31</x:v>
      </x:c>
      <x:c r="G6657" t="n">
        <x:v>36</x:v>
      </x:c>
      <x:c r="H6657" t="str">
        <x:v>D</x:v>
      </x:c>
      <x:c r="I6657" t="str">
        <x:v>1-3 years</x:v>
      </x:c>
      <x:c r="J6657" t="str">
        <x:v>RENT</x:v>
      </x:c>
      <x:c r="K6657" t="str">
        <x:v>credit_card</x:v>
      </x:c>
      <x:c r="L6657" t="n">
        <x:v>0</x:v>
      </x:c>
      <x:c r="M6657" t="n">
        <x:v>0</x:v>
      </x:c>
      <x:c r="N6657" t="str">
        <x:v>Fully Paid</x:v>
      </x:c>
      <x:c r="O6657" t="str">
        <x:f>IF(D6657="","Unknown",IF(D6657&lt;25000,"&lt;$25k",IF(D6657&lt;50000,"$25k-$50k",IF(D6657&lt;75000,"$50k-$75k",IF(D6657&lt;100000,"$75k-$100k","$100k+")))))</x:f>
        <x:v>$75k-$100k</x:v>
      </x:c>
      <x:c r="P6657" t="str">
        <x:f>IF(E6657="","Unknown",IF(E6657&lt;10,"&lt;10",IF(E6657&lt;20,"10-&lt;20",IF(E6657&lt;25,"20-&lt;25",IF(E6657&lt;35,"25-&lt;35","35+")))))</x:f>
        <x:v>10-&lt;20</x:v>
      </x:c>
    </x:row>
    <x:row r="6658">
      <x:c r="A6658" t="str">
        <x:v>SYN0006657</x:v>
      </x:c>
      <x:c r="B6658" s="12" t="n">
        <x:v>41815</x:v>
      </x:c>
      <x:c r="C6658" s="18" t="n">
        <x:v>11292</x:v>
      </x:c>
      <x:c r="D6658" s="18" t="n">
        <x:v>32710</x:v>
      </x:c>
      <x:c r="E6658" s="18" t="n">
        <x:v>36.14</x:v>
      </x:c>
      <x:c r="F6658" s="18" t="n">
        <x:v>19.04</x:v>
      </x:c>
      <x:c r="G6658" t="n">
        <x:v>36</x:v>
      </x:c>
      <x:c r="H6658" t="str">
        <x:v>E</x:v>
      </x:c>
      <x:c r="I6658" t="str">
        <x:v>&lt;1 year</x:v>
      </x:c>
      <x:c r="J6658" t="str">
        <x:v>MORTGAGE</x:v>
      </x:c>
      <x:c r="K6658" t="str">
        <x:v>credit_card</x:v>
      </x:c>
      <x:c r="L6658" t="n">
        <x:v>0</x:v>
      </x:c>
      <x:c r="M6658" t="n">
        <x:v>1</x:v>
      </x:c>
      <x:c r="N6658" t="str">
        <x:v>Charged Off</x:v>
      </x:c>
      <x:c r="O6658" t="str">
        <x:f>IF(D6658="","Unknown",IF(D6658&lt;25000,"&lt;$25k",IF(D6658&lt;50000,"$25k-$50k",IF(D6658&lt;75000,"$50k-$75k",IF(D6658&lt;100000,"$75k-$100k","$100k+")))))</x:f>
        <x:v>$25k-$50k</x:v>
      </x:c>
      <x:c r="P6658" t="str">
        <x:f>IF(E6658="","Unknown",IF(E6658&lt;10,"&lt;10",IF(E6658&lt;20,"10-&lt;20",IF(E6658&lt;25,"20-&lt;25",IF(E6658&lt;35,"25-&lt;35","35+")))))</x:f>
        <x:v>35+</x:v>
      </x:c>
    </x:row>
    <x:row r="6659">
      <x:c r="A6659" t="str">
        <x:v>SYN0006658</x:v>
      </x:c>
      <x:c r="B6659" s="12" t="n">
        <x:v>43345</x:v>
      </x:c>
      <x:c r="C6659" s="18" t="n">
        <x:v>25435</x:v>
      </x:c>
      <x:c r="D6659" s="18" t="n">
        <x:v>25804</x:v>
      </x:c>
      <x:c r="E6659" s="18" t="n">
        <x:v>32.24</x:v>
      </x:c>
      <x:c r="F6659" s="18" t="n">
        <x:v>15.77</x:v>
      </x:c>
      <x:c r="G6659" t="n">
        <x:v>36</x:v>
      </x:c>
      <x:c r="H6659" t="str">
        <x:v>D</x:v>
      </x:c>
      <x:c r="I6659" t="str">
        <x:v>1-3 years</x:v>
      </x:c>
      <x:c r="J6659" t="str">
        <x:v>RENT</x:v>
      </x:c>
      <x:c r="K6659" t="str">
        <x:v>credit_card</x:v>
      </x:c>
      <x:c r="L6659" t="n">
        <x:v>1</x:v>
      </x:c>
      <x:c r="M6659" t="n">
        <x:v>0</x:v>
      </x:c>
      <x:c r="N6659" t="str">
        <x:v>Fully Paid</x:v>
      </x:c>
      <x:c r="O6659" t="str">
        <x:f>IF(D6659="","Unknown",IF(D6659&lt;25000,"&lt;$25k",IF(D6659&lt;50000,"$25k-$50k",IF(D6659&lt;75000,"$50k-$75k",IF(D6659&lt;100000,"$75k-$100k","$100k+")))))</x:f>
        <x:v>$25k-$50k</x:v>
      </x:c>
      <x:c r="P6659" t="str">
        <x:f>IF(E6659="","Unknown",IF(E6659&lt;10,"&lt;10",IF(E6659&lt;20,"10-&lt;20",IF(E6659&lt;25,"20-&lt;25",IF(E6659&lt;35,"25-&lt;35","35+")))))</x:f>
        <x:v>25-&lt;35</x:v>
      </x:c>
    </x:row>
    <x:row r="6660">
      <x:c r="A6660" t="str">
        <x:v>SYN0006659</x:v>
      </x:c>
      <x:c r="B6660" s="12" t="n">
        <x:v>43255</x:v>
      </x:c>
      <x:c r="C6660" s="18" t="n">
        <x:v>18277</x:v>
      </x:c>
      <x:c r="D6660" s="18" t="n">
        <x:v>48290</x:v>
      </x:c>
      <x:c r="E6660" s="18" t="n">
        <x:v>29.52</x:v>
      </x:c>
      <x:c r="F6660" s="18" t="n">
        <x:v>10.64</x:v>
      </x:c>
      <x:c r="G6660" t="n">
        <x:v>36</x:v>
      </x:c>
      <x:c r="H6660" t="str">
        <x:v>C</x:v>
      </x:c>
      <x:c r="I6660" t="str">
        <x:v>10+ years</x:v>
      </x:c>
      <x:c r="J6660" t="str">
        <x:v>OWN</x:v>
      </x:c>
      <x:c r="K6660" t="str">
        <x:v>home_improvement</x:v>
      </x:c>
      <x:c r="L6660" t="n">
        <x:v>0</x:v>
      </x:c>
      <x:c r="M6660" t="n">
        <x:v>0</x:v>
      </x:c>
      <x:c r="N6660" t="str">
        <x:v>Fully Paid</x:v>
      </x:c>
      <x:c r="O6660" t="str">
        <x:f>IF(D6660="","Unknown",IF(D6660&lt;25000,"&lt;$25k",IF(D6660&lt;50000,"$25k-$50k",IF(D6660&lt;75000,"$50k-$75k",IF(D6660&lt;100000,"$75k-$100k","$100k+")))))</x:f>
        <x:v>$25k-$50k</x:v>
      </x:c>
      <x:c r="P6660" t="str">
        <x:f>IF(E6660="","Unknown",IF(E6660&lt;10,"&lt;10",IF(E6660&lt;20,"10-&lt;20",IF(E6660&lt;25,"20-&lt;25",IF(E6660&lt;35,"25-&lt;35","35+")))))</x:f>
        <x:v>25-&lt;35</x:v>
      </x:c>
    </x:row>
    <x:row r="6661">
      <x:c r="A6661" t="str">
        <x:v>SYN0006660</x:v>
      </x:c>
      <x:c r="B6661" s="12" t="n">
        <x:v>42865</x:v>
      </x:c>
      <x:c r="C6661" s="18" t="n">
        <x:v>8059</x:v>
      </x:c>
      <x:c r="D6661" s="18" t="n">
        <x:v>89776</x:v>
      </x:c>
      <x:c r="E6661" s="18" t="n">
        <x:v>23.26</x:v>
      </x:c>
      <x:c r="F6661" s="18" t="n">
        <x:v>5</x:v>
      </x:c>
      <x:c r="G6661" t="n">
        <x:v>36</x:v>
      </x:c>
      <x:c r="H6661" t="str">
        <x:v>A</x:v>
      </x:c>
      <x:c r="I6661" t="str">
        <x:v>4-6 years</x:v>
      </x:c>
      <x:c r="J6661" t="str">
        <x:v>RENT</x:v>
      </x:c>
      <x:c r="K6661" t="str">
        <x:v>major_purchase</x:v>
      </x:c>
      <x:c r="L6661" t="n">
        <x:v>1</x:v>
      </x:c>
      <x:c r="M6661" t="n">
        <x:v>0</x:v>
      </x:c>
      <x:c r="N6661" t="str">
        <x:v>Fully Paid</x:v>
      </x:c>
      <x:c r="O6661" t="str">
        <x:f>IF(D6661="","Unknown",IF(D6661&lt;25000,"&lt;$25k",IF(D6661&lt;50000,"$25k-$50k",IF(D6661&lt;75000,"$50k-$75k",IF(D6661&lt;100000,"$75k-$100k","$100k+")))))</x:f>
        <x:v>$75k-$100k</x:v>
      </x:c>
      <x:c r="P6661" t="str">
        <x:f>IF(E6661="","Unknown",IF(E6661&lt;10,"&lt;10",IF(E6661&lt;20,"10-&lt;20",IF(E6661&lt;25,"20-&lt;25",IF(E6661&lt;35,"25-&lt;35","35+")))))</x:f>
        <x:v>20-&lt;25</x:v>
      </x:c>
    </x:row>
    <x:row r="6662">
      <x:c r="A6662" t="str">
        <x:v>SYN0006661</x:v>
      </x:c>
      <x:c r="B6662" s="12" t="n">
        <x:v>42775</x:v>
      </x:c>
      <x:c r="C6662" s="18" t="n">
        <x:v>25066</x:v>
      </x:c>
      <x:c r="D6662" s="18" t="n">
        <x:v>52408</x:v>
      </x:c>
      <x:c r="E6662" s="18" t="n">
        <x:v>29.96</x:v>
      </x:c>
      <x:c r="F6662" s="18" t="n">
        <x:v>6.49</x:v>
      </x:c>
      <x:c r="G6662" t="n">
        <x:v>36</x:v>
      </x:c>
      <x:c r="H6662" t="str">
        <x:v>B</x:v>
      </x:c>
      <x:c r="I6662" t="str">
        <x:v>1-3 years</x:v>
      </x:c>
      <x:c r="J6662" t="str">
        <x:v>MORTGAGE</x:v>
      </x:c>
      <x:c r="K6662" t="str">
        <x:v>other</x:v>
      </x:c>
      <x:c r="L6662" t="n">
        <x:v>2</x:v>
      </x:c>
      <x:c r="M6662" t="n">
        <x:v>0</x:v>
      </x:c>
      <x:c r="N6662" t="str">
        <x:v>Fully Paid</x:v>
      </x:c>
      <x:c r="O6662" t="str">
        <x:f>IF(D6662="","Unknown",IF(D6662&lt;25000,"&lt;$25k",IF(D6662&lt;50000,"$25k-$50k",IF(D6662&lt;75000,"$50k-$75k",IF(D6662&lt;100000,"$75k-$100k","$100k+")))))</x:f>
        <x:v>$50k-$75k</x:v>
      </x:c>
      <x:c r="P6662" t="str">
        <x:f>IF(E6662="","Unknown",IF(E6662&lt;10,"&lt;10",IF(E6662&lt;20,"10-&lt;20",IF(E6662&lt;25,"20-&lt;25",IF(E6662&lt;35,"25-&lt;35","35+")))))</x:f>
        <x:v>25-&lt;35</x:v>
      </x:c>
    </x:row>
    <x:row r="6663">
      <x:c r="A6663" t="str">
        <x:v>SYN0006662</x:v>
      </x:c>
      <x:c r="B6663" s="12" t="n">
        <x:v>42745</x:v>
      </x:c>
      <x:c r="C6663" s="18" t="n">
        <x:v>5990</x:v>
      </x:c>
      <x:c r="D6663" s="18" t="n">
        <x:v>88273</x:v>
      </x:c>
      <x:c r="E6663" s="18" t="n">
        <x:v>21.84</x:v>
      </x:c>
      <x:c r="F6663" s="18" t="n">
        <x:v>14.28</x:v>
      </x:c>
      <x:c r="G6663" t="n">
        <x:v>60</x:v>
      </x:c>
      <x:c r="H6663" t="str">
        <x:v>D</x:v>
      </x:c>
      <x:c r="I6663" t="str">
        <x:v>10+ years</x:v>
      </x:c>
      <x:c r="J6663" t="str">
        <x:v>OWN</x:v>
      </x:c>
      <x:c r="K6663" t="str">
        <x:v>debt_consolidation</x:v>
      </x:c>
      <x:c r="L6663" t="n">
        <x:v>1</x:v>
      </x:c>
      <x:c r="M6663" t="n">
        <x:v>0</x:v>
      </x:c>
      <x:c r="N6663" t="str">
        <x:v>Fully Paid</x:v>
      </x:c>
      <x:c r="O6663" t="str">
        <x:f>IF(D6663="","Unknown",IF(D6663&lt;25000,"&lt;$25k",IF(D6663&lt;50000,"$25k-$50k",IF(D6663&lt;75000,"$50k-$75k",IF(D6663&lt;100000,"$75k-$100k","$100k+")))))</x:f>
        <x:v>$75k-$100k</x:v>
      </x:c>
      <x:c r="P6663" t="str">
        <x:f>IF(E6663="","Unknown",IF(E6663&lt;10,"&lt;10",IF(E6663&lt;20,"10-&lt;20",IF(E6663&lt;25,"20-&lt;25",IF(E6663&lt;35,"25-&lt;35","35+")))))</x:f>
        <x:v>20-&lt;25</x:v>
      </x:c>
    </x:row>
    <x:row r="6664">
      <x:c r="A6664" t="str">
        <x:v>SYN0006663</x:v>
      </x:c>
      <x:c r="B6664" s="12" t="n">
        <x:v>42115</x:v>
      </x:c>
      <x:c r="C6664" s="18" t="n">
        <x:v>20691</x:v>
      </x:c>
      <x:c r="D6664" s="18" t="n">
        <x:v>46724</x:v>
      </x:c>
      <x:c r="E6664" s="18" t="n">
        <x:v>15.83</x:v>
      </x:c>
      <x:c r="F6664" s="18" t="n">
        <x:v>11.25</x:v>
      </x:c>
      <x:c r="G6664" t="n">
        <x:v>36</x:v>
      </x:c>
      <x:c r="H6664" t="str">
        <x:v>D</x:v>
      </x:c>
      <x:c r="I6664" t="str">
        <x:v>4-6 years</x:v>
      </x:c>
      <x:c r="J6664" t="str">
        <x:v>RENT</x:v>
      </x:c>
      <x:c r="K6664" t="str">
        <x:v>credit_card</x:v>
      </x:c>
      <x:c r="L6664" t="n">
        <x:v>3</x:v>
      </x:c>
      <x:c r="M6664" t="n">
        <x:v>0</x:v>
      </x:c>
      <x:c r="N6664" t="str">
        <x:v>Fully Paid</x:v>
      </x:c>
      <x:c r="O6664" t="str">
        <x:f>IF(D6664="","Unknown",IF(D6664&lt;25000,"&lt;$25k",IF(D6664&lt;50000,"$25k-$50k",IF(D6664&lt;75000,"$50k-$75k",IF(D6664&lt;100000,"$75k-$100k","$100k+")))))</x:f>
        <x:v>$25k-$50k</x:v>
      </x:c>
      <x:c r="P6664" t="str">
        <x:f>IF(E6664="","Unknown",IF(E6664&lt;10,"&lt;10",IF(E6664&lt;20,"10-&lt;20",IF(E6664&lt;25,"20-&lt;25",IF(E6664&lt;35,"25-&lt;35","35+")))))</x:f>
        <x:v>10-&lt;20</x:v>
      </x:c>
    </x:row>
    <x:row r="6665">
      <x:c r="A6665" t="str">
        <x:v>SYN0006664</x:v>
      </x:c>
      <x:c r="B6665" s="12" t="n">
        <x:v>42025</x:v>
      </x:c>
      <x:c r="C6665" s="18" t="n">
        <x:v>11122</x:v>
      </x:c>
      <x:c r="D6665" s="18" t="n">
        <x:v>67411</x:v>
      </x:c>
      <x:c r="E6665" s="18" t="n">
        <x:v>13.88</x:v>
      </x:c>
      <x:c r="F6665" s="18" t="n">
        <x:v>9.66</x:v>
      </x:c>
      <x:c r="G6665" t="n">
        <x:v>60</x:v>
      </x:c>
      <x:c r="H6665" t="str">
        <x:v>C</x:v>
      </x:c>
      <x:c r="I6665" t="str">
        <x:v>10+ years</x:v>
      </x:c>
      <x:c r="J6665" t="str">
        <x:v>OWN</x:v>
      </x:c>
      <x:c r="K6665" t="str">
        <x:v>credit_card</x:v>
      </x:c>
      <x:c r="L6665" t="n">
        <x:v>1</x:v>
      </x:c>
      <x:c r="M6665" t="n">
        <x:v>0</x:v>
      </x:c>
      <x:c r="N6665" t="str">
        <x:v>Fully Paid</x:v>
      </x:c>
      <x:c r="O6665" t="str">
        <x:f>IF(D6665="","Unknown",IF(D6665&lt;25000,"&lt;$25k",IF(D6665&lt;50000,"$25k-$50k",IF(D6665&lt;75000,"$50k-$75k",IF(D6665&lt;100000,"$75k-$100k","$100k+")))))</x:f>
        <x:v>$50k-$75k</x:v>
      </x:c>
      <x:c r="P6665" t="str">
        <x:f>IF(E6665="","Unknown",IF(E6665&lt;10,"&lt;10",IF(E6665&lt;20,"10-&lt;20",IF(E6665&lt;25,"20-&lt;25",IF(E6665&lt;35,"25-&lt;35","35+")))))</x:f>
        <x:v>10-&lt;20</x:v>
      </x:c>
    </x:row>
    <x:row r="6666">
      <x:c r="A6666" t="str">
        <x:v>SYN0006665</x:v>
      </x:c>
      <x:c r="B6666" s="12" t="n">
        <x:v>42955</x:v>
      </x:c>
      <x:c r="C6666" s="18" t="n">
        <x:v>8561</x:v>
      </x:c>
      <x:c r="D6666" s="18" t="n">
        <x:v>42547</x:v>
      </x:c>
      <x:c r="E6666" s="18" t="n">
        <x:v>7.65</x:v>
      </x:c>
      <x:c r="F6666" s="18" t="n">
        <x:v>17.21</x:v>
      </x:c>
      <x:c r="G6666" t="n">
        <x:v>36</x:v>
      </x:c>
      <x:c r="H6666" t="str">
        <x:v>D</x:v>
      </x:c>
      <x:c r="I6666" t="str">
        <x:v>10+ years</x:v>
      </x:c>
      <x:c r="J6666" t="str">
        <x:v>RENT</x:v>
      </x:c>
      <x:c r="K6666" t="str">
        <x:v>major_purchase</x:v>
      </x:c>
      <x:c r="L6666" t="n">
        <x:v>0</x:v>
      </x:c>
      <x:c r="M6666" t="n">
        <x:v>0</x:v>
      </x:c>
      <x:c r="N6666" t="str">
        <x:v>Fully Paid</x:v>
      </x:c>
      <x:c r="O6666" t="str">
        <x:f>IF(D6666="","Unknown",IF(D6666&lt;25000,"&lt;$25k",IF(D6666&lt;50000,"$25k-$50k",IF(D6666&lt;75000,"$50k-$75k",IF(D6666&lt;100000,"$75k-$100k","$100k+")))))</x:f>
        <x:v>$25k-$50k</x:v>
      </x:c>
      <x:c r="P6666" t="str">
        <x:f>IF(E6666="","Unknown",IF(E6666&lt;10,"&lt;10",IF(E6666&lt;20,"10-&lt;20",IF(E6666&lt;25,"20-&lt;25",IF(E6666&lt;35,"25-&lt;35","35+")))))</x:f>
        <x:v>&lt;10</x:v>
      </x:c>
    </x:row>
    <x:row r="6667">
      <x:c r="A6667" t="str">
        <x:v>SYN0006666</x:v>
      </x:c>
      <x:c r="B6667" s="12" t="n">
        <x:v>42775</x:v>
      </x:c>
      <x:c r="C6667" s="18" t="n">
        <x:v>11834</x:v>
      </x:c>
      <x:c r="D6667" s="18" t="n">
        <x:v>73266</x:v>
      </x:c>
      <x:c r="E6667" s="18" t="n">
        <x:v>9.05</x:v>
      </x:c>
      <x:c r="F6667" s="18" t="n">
        <x:v>10.2</x:v>
      </x:c>
      <x:c r="G6667" t="n">
        <x:v>60</x:v>
      </x:c>
      <x:c r="H6667" t="str">
        <x:v>C</x:v>
      </x:c>
      <x:c r="I6667" t="str">
        <x:v>10+ years</x:v>
      </x:c>
      <x:c r="J6667" t="str">
        <x:v>MORTGAGE</x:v>
      </x:c>
      <x:c r="K6667" t="str">
        <x:v>medical</x:v>
      </x:c>
      <x:c r="L6667" t="n">
        <x:v>0</x:v>
      </x:c>
      <x:c r="M6667" t="n">
        <x:v>0</x:v>
      </x:c>
      <x:c r="N6667" t="str">
        <x:v>Fully Paid</x:v>
      </x:c>
      <x:c r="O6667" t="str">
        <x:f>IF(D6667="","Unknown",IF(D6667&lt;25000,"&lt;$25k",IF(D6667&lt;50000,"$25k-$50k",IF(D6667&lt;75000,"$50k-$75k",IF(D6667&lt;100000,"$75k-$100k","$100k+")))))</x:f>
        <x:v>$50k-$75k</x:v>
      </x:c>
      <x:c r="P6667" t="str">
        <x:f>IF(E6667="","Unknown",IF(E6667&lt;10,"&lt;10",IF(E6667&lt;20,"10-&lt;20",IF(E6667&lt;25,"20-&lt;25",IF(E6667&lt;35,"25-&lt;35","35+")))))</x:f>
        <x:v>&lt;10</x:v>
      </x:c>
    </x:row>
    <x:row r="6668">
      <x:c r="A6668" t="str">
        <x:v>SYN0006667</x:v>
      </x:c>
      <x:c r="B6668" s="12" t="n">
        <x:v>42715</x:v>
      </x:c>
      <x:c r="C6668" s="18" t="n">
        <x:v>35509</x:v>
      </x:c>
      <x:c r="D6668" s="18" t="n">
        <x:v>63565</x:v>
      </x:c>
      <x:c r="E6668" s="18" t="n">
        <x:v>15.76</x:v>
      </x:c>
      <x:c r="F6668" s="18" t="n">
        <x:v>7.8</x:v>
      </x:c>
      <x:c r="G6668" t="n">
        <x:v>36</x:v>
      </x:c>
      <x:c r="H6668" t="str">
        <x:v>C</x:v>
      </x:c>
      <x:c r="I6668" t="str">
        <x:v>4-6 years</x:v>
      </x:c>
      <x:c r="J6668" t="str">
        <x:v>RENT</x:v>
      </x:c>
      <x:c r="K6668" t="str">
        <x:v>debt_consolidation</x:v>
      </x:c>
      <x:c r="L6668" t="n">
        <x:v>0</x:v>
      </x:c>
      <x:c r="M6668" t="n">
        <x:v>0</x:v>
      </x:c>
      <x:c r="N6668" t="str">
        <x:v>Fully Paid</x:v>
      </x:c>
      <x:c r="O6668" t="str">
        <x:f>IF(D6668="","Unknown",IF(D6668&lt;25000,"&lt;$25k",IF(D6668&lt;50000,"$25k-$50k",IF(D6668&lt;75000,"$50k-$75k",IF(D6668&lt;100000,"$75k-$100k","$100k+")))))</x:f>
        <x:v>$50k-$75k</x:v>
      </x:c>
      <x:c r="P6668" t="str">
        <x:f>IF(E6668="","Unknown",IF(E6668&lt;10,"&lt;10",IF(E6668&lt;20,"10-&lt;20",IF(E6668&lt;25,"20-&lt;25",IF(E6668&lt;35,"25-&lt;35","35+")))))</x:f>
        <x:v>10-&lt;20</x:v>
      </x:c>
    </x:row>
    <x:row r="6669">
      <x:c r="A6669" t="str">
        <x:v>SYN0006668</x:v>
      </x:c>
      <x:c r="B6669" s="12" t="n">
        <x:v>41875</x:v>
      </x:c>
      <x:c r="C6669" s="18" t="n">
        <x:v>8803</x:v>
      </x:c>
      <x:c r="D6669" s="18" t="n">
        <x:v>47157</x:v>
      </x:c>
      <x:c r="E6669" s="18" t="n">
        <x:v>41.2</x:v>
      </x:c>
      <x:c r="F6669" s="18" t="n">
        <x:v>25.99</x:v>
      </x:c>
      <x:c r="G6669" t="n">
        <x:v>36</x:v>
      </x:c>
      <x:c r="H6669" t="str">
        <x:v>G</x:v>
      </x:c>
      <x:c r="I6669" t="str">
        <x:v>4-6 years</x:v>
      </x:c>
      <x:c r="J6669" t="str">
        <x:v>RENT</x:v>
      </x:c>
      <x:c r="K6669" t="str">
        <x:v>debt_consolidation</x:v>
      </x:c>
      <x:c r="L6669" t="n">
        <x:v>0</x:v>
      </x:c>
      <x:c r="M6669" t="n">
        <x:v>1</x:v>
      </x:c>
      <x:c r="N6669" t="str">
        <x:v>Charged Off</x:v>
      </x:c>
      <x:c r="O6669" t="str">
        <x:f>IF(D6669="","Unknown",IF(D6669&lt;25000,"&lt;$25k",IF(D6669&lt;50000,"$25k-$50k",IF(D6669&lt;75000,"$50k-$75k",IF(D6669&lt;100000,"$75k-$100k","$100k+")))))</x:f>
        <x:v>$25k-$50k</x:v>
      </x:c>
      <x:c r="P6669" t="str">
        <x:f>IF(E6669="","Unknown",IF(E6669&lt;10,"&lt;10",IF(E6669&lt;20,"10-&lt;20",IF(E6669&lt;25,"20-&lt;25",IF(E6669&lt;35,"25-&lt;35","35+")))))</x:f>
        <x:v>35+</x:v>
      </x:c>
    </x:row>
    <x:row r="6670">
      <x:c r="A6670" t="str">
        <x:v>SYN0006669</x:v>
      </x:c>
      <x:c r="B6670" s="12" t="n">
        <x:v>42955</x:v>
      </x:c>
      <x:c r="C6670" s="18" t="n">
        <x:v>6643</x:v>
      </x:c>
      <x:c r="D6670" s="18" t="n">
        <x:v>21510</x:v>
      </x:c>
      <x:c r="E6670" s="18" t="n">
        <x:v>18.6</x:v>
      </x:c>
      <x:c r="F6670" s="18" t="n">
        <x:v>7.32</x:v>
      </x:c>
      <x:c r="G6670" t="n">
        <x:v>36</x:v>
      </x:c>
      <x:c r="H6670" t="str">
        <x:v>A</x:v>
      </x:c>
      <x:c r="I6670" t="str">
        <x:v>1-3 years</x:v>
      </x:c>
      <x:c r="J6670" t="str">
        <x:v>RENT</x:v>
      </x:c>
      <x:c r="K6670" t="str">
        <x:v>debt_consolidation</x:v>
      </x:c>
      <x:c r="L6670" t="n">
        <x:v>1</x:v>
      </x:c>
      <x:c r="M6670" t="n">
        <x:v>0</x:v>
      </x:c>
      <x:c r="N6670" t="str">
        <x:v>Fully Paid</x:v>
      </x:c>
      <x:c r="O6670" t="str">
        <x:f>IF(D6670="","Unknown",IF(D6670&lt;25000,"&lt;$25k",IF(D6670&lt;50000,"$25k-$50k",IF(D6670&lt;75000,"$50k-$75k",IF(D6670&lt;100000,"$75k-$100k","$100k+")))))</x:f>
        <x:v>&lt;$25k</x:v>
      </x:c>
      <x:c r="P6670" t="str">
        <x:f>IF(E6670="","Unknown",IF(E6670&lt;10,"&lt;10",IF(E6670&lt;20,"10-&lt;20",IF(E6670&lt;25,"20-&lt;25",IF(E6670&lt;35,"25-&lt;35","35+")))))</x:f>
        <x:v>10-&lt;20</x:v>
      </x:c>
    </x:row>
    <x:row r="6671">
      <x:c r="A6671" t="str">
        <x:v>SYN0006670</x:v>
      </x:c>
      <x:c r="B6671" s="12" t="n">
        <x:v>42445</x:v>
      </x:c>
      <x:c r="C6671" s="18" t="n">
        <x:v>5751</x:v>
      </x:c>
      <x:c r="D6671" s="18" t="n">
        <x:v>110722</x:v>
      </x:c>
      <x:c r="E6671" s="18" t="n">
        <x:v>26.22</x:v>
      </x:c>
      <x:c r="F6671" s="18" t="n">
        <x:v>8.62</x:v>
      </x:c>
      <x:c r="G6671" t="n">
        <x:v>36</x:v>
      </x:c>
      <x:c r="H6671" t="str">
        <x:v>B</x:v>
      </x:c>
      <x:c r="I6671" t="str">
        <x:v>7-9 years</x:v>
      </x:c>
      <x:c r="J6671" t="str">
        <x:v>OWN</x:v>
      </x:c>
      <x:c r="K6671" t="str">
        <x:v>debt_consolidation</x:v>
      </x:c>
      <x:c r="L6671" t="n">
        <x:v>0</x:v>
      </x:c>
      <x:c r="M6671" t="n">
        <x:v>0</x:v>
      </x:c>
      <x:c r="N6671" t="str">
        <x:v>Fully Paid</x:v>
      </x:c>
      <x:c r="O6671" t="str">
        <x:f>IF(D6671="","Unknown",IF(D6671&lt;25000,"&lt;$25k",IF(D6671&lt;50000,"$25k-$50k",IF(D6671&lt;75000,"$50k-$75k",IF(D6671&lt;100000,"$75k-$100k","$100k+")))))</x:f>
        <x:v>$100k+</x:v>
      </x:c>
      <x:c r="P6671" t="str">
        <x:f>IF(E6671="","Unknown",IF(E6671&lt;10,"&lt;10",IF(E6671&lt;20,"10-&lt;20",IF(E6671&lt;25,"20-&lt;25",IF(E6671&lt;35,"25-&lt;35","35+")))))</x:f>
        <x:v>25-&lt;35</x:v>
      </x:c>
    </x:row>
    <x:row r="6672">
      <x:c r="A6672" t="str">
        <x:v>SYN0006671</x:v>
      </x:c>
      <x:c r="B6672" s="12" t="n">
        <x:v>42655</x:v>
      </x:c>
      <x:c r="C6672" s="18" t="n">
        <x:v>6580</x:v>
      </x:c>
      <x:c r="D6672" s="18" t="n">
        <x:v>120033</x:v>
      </x:c>
      <x:c r="E6672" s="18" t="n">
        <x:v>12.35</x:v>
      </x:c>
      <x:c r="F6672" s="18" t="n">
        <x:v>18.88</x:v>
      </x:c>
      <x:c r="G6672" t="n">
        <x:v>36</x:v>
      </x:c>
      <x:c r="H6672" t="str">
        <x:v>E</x:v>
      </x:c>
      <x:c r="I6672" t="str">
        <x:v>4-6 years</x:v>
      </x:c>
      <x:c r="J6672" t="str">
        <x:v>RENT</x:v>
      </x:c>
      <x:c r="K6672" t="str">
        <x:v>credit_card</x:v>
      </x:c>
      <x:c r="L6672" t="n">
        <x:v>0</x:v>
      </x:c>
      <x:c r="M6672" t="n">
        <x:v>0</x:v>
      </x:c>
      <x:c r="N6672" t="str">
        <x:v>Fully Paid</x:v>
      </x:c>
      <x:c r="O6672" t="str">
        <x:f>IF(D6672="","Unknown",IF(D6672&lt;25000,"&lt;$25k",IF(D6672&lt;50000,"$25k-$50k",IF(D6672&lt;75000,"$50k-$75k",IF(D6672&lt;100000,"$75k-$100k","$100k+")))))</x:f>
        <x:v>$100k+</x:v>
      </x:c>
      <x:c r="P6672" t="str">
        <x:f>IF(E6672="","Unknown",IF(E6672&lt;10,"&lt;10",IF(E6672&lt;20,"10-&lt;20",IF(E6672&lt;25,"20-&lt;25",IF(E6672&lt;35,"25-&lt;35","35+")))))</x:f>
        <x:v>10-&lt;20</x:v>
      </x:c>
    </x:row>
    <x:row r="6673">
      <x:c r="A6673" t="str">
        <x:v>SYN0006672</x:v>
      </x:c>
      <x:c r="B6673" s="12" t="n">
        <x:v>41755</x:v>
      </x:c>
      <x:c r="C6673" s="18" t="n">
        <x:v>21262</x:v>
      </x:c>
      <x:c r="D6673" s="18" t="n">
        <x:v>81449</x:v>
      </x:c>
      <x:c r="E6673" s="18" t="n">
        <x:v>13.37</x:v>
      </x:c>
      <x:c r="F6673" s="18" t="n">
        <x:v>16.08</x:v>
      </x:c>
      <x:c r="G6673" t="n">
        <x:v>36</x:v>
      </x:c>
      <x:c r="H6673" t="str">
        <x:v>D</x:v>
      </x:c>
      <x:c r="I6673" t="str">
        <x:v>10+ years</x:v>
      </x:c>
      <x:c r="J6673" t="str">
        <x:v>MORTGAGE</x:v>
      </x:c>
      <x:c r="K6673" t="str">
        <x:v>medical</x:v>
      </x:c>
      <x:c r="L6673" t="n">
        <x:v>1</x:v>
      </x:c>
      <x:c r="M6673" t="n">
        <x:v>0</x:v>
      </x:c>
      <x:c r="N6673" t="str">
        <x:v>Fully Paid</x:v>
      </x:c>
      <x:c r="O6673" t="str">
        <x:f>IF(D6673="","Unknown",IF(D6673&lt;25000,"&lt;$25k",IF(D6673&lt;50000,"$25k-$50k",IF(D6673&lt;75000,"$50k-$75k",IF(D6673&lt;100000,"$75k-$100k","$100k+")))))</x:f>
        <x:v>$75k-$100k</x:v>
      </x:c>
      <x:c r="P6673" t="str">
        <x:f>IF(E6673="","Unknown",IF(E6673&lt;10,"&lt;10",IF(E6673&lt;20,"10-&lt;20",IF(E6673&lt;25,"20-&lt;25",IF(E6673&lt;35,"25-&lt;35","35+")))))</x:f>
        <x:v>10-&lt;20</x:v>
      </x:c>
    </x:row>
    <x:row r="6674">
      <x:c r="A6674" t="str">
        <x:v>SYN0006673</x:v>
      </x:c>
      <x:c r="B6674" s="12" t="n">
        <x:v>42445</x:v>
      </x:c>
      <x:c r="C6674" s="18" t="n">
        <x:v>21731</x:v>
      </x:c>
      <x:c r="D6674" s="18" t="n">
        <x:v>60794</x:v>
      </x:c>
      <x:c r="E6674" s="18" t="n">
        <x:v>27.81</x:v>
      </x:c>
      <x:c r="F6674" s="18" t="n">
        <x:v>18.71</x:v>
      </x:c>
      <x:c r="G6674" t="n">
        <x:v>60</x:v>
      </x:c>
      <x:c r="H6674" t="str">
        <x:v>E</x:v>
      </x:c>
      <x:c r="I6674" t="str">
        <x:v>10+ years</x:v>
      </x:c>
      <x:c r="J6674" t="str">
        <x:v>RENT</x:v>
      </x:c>
      <x:c r="K6674" t="str">
        <x:v>debt_consolidation</x:v>
      </x:c>
      <x:c r="L6674" t="n">
        <x:v>0</x:v>
      </x:c>
      <x:c r="M6674" t="n">
        <x:v>0</x:v>
      </x:c>
      <x:c r="N6674" t="str">
        <x:v>Fully Paid</x:v>
      </x:c>
      <x:c r="O6674" t="str">
        <x:f>IF(D6674="","Unknown",IF(D6674&lt;25000,"&lt;$25k",IF(D6674&lt;50000,"$25k-$50k",IF(D6674&lt;75000,"$50k-$75k",IF(D6674&lt;100000,"$75k-$100k","$100k+")))))</x:f>
        <x:v>$50k-$75k</x:v>
      </x:c>
      <x:c r="P6674" t="str">
        <x:f>IF(E6674="","Unknown",IF(E6674&lt;10,"&lt;10",IF(E6674&lt;20,"10-&lt;20",IF(E6674&lt;25,"20-&lt;25",IF(E6674&lt;35,"25-&lt;35","35+")))))</x:f>
        <x:v>25-&lt;35</x:v>
      </x:c>
    </x:row>
    <x:row r="6675">
      <x:c r="A6675" t="str">
        <x:v>SYN0006674</x:v>
      </x:c>
      <x:c r="B6675" s="12" t="n">
        <x:v>41905</x:v>
      </x:c>
      <x:c r="C6675" s="18" t="n">
        <x:v>7723</x:v>
      </x:c>
      <x:c r="D6675" s="18" t="n">
        <x:v>67454</x:v>
      </x:c>
      <x:c r="E6675" s="18" t="n">
        <x:v>23.25</x:v>
      </x:c>
      <x:c r="F6675" s="18" t="n">
        <x:v>5.19</x:v>
      </x:c>
      <x:c r="G6675" t="n">
        <x:v>36</x:v>
      </x:c>
      <x:c r="H6675" t="str">
        <x:v>A</x:v>
      </x:c>
      <x:c r="I6675" t="str">
        <x:v>4-6 years</x:v>
      </x:c>
      <x:c r="J6675" t="str">
        <x:v>RENT</x:v>
      </x:c>
      <x:c r="K6675" t="str">
        <x:v>other</x:v>
      </x:c>
      <x:c r="L6675" t="n">
        <x:v>0</x:v>
      </x:c>
      <x:c r="M6675" t="n">
        <x:v>0</x:v>
      </x:c>
      <x:c r="N6675" t="str">
        <x:v>Fully Paid</x:v>
      </x:c>
      <x:c r="O6675" t="str">
        <x:f>IF(D6675="","Unknown",IF(D6675&lt;25000,"&lt;$25k",IF(D6675&lt;50000,"$25k-$50k",IF(D6675&lt;75000,"$50k-$75k",IF(D6675&lt;100000,"$75k-$100k","$100k+")))))</x:f>
        <x:v>$50k-$75k</x:v>
      </x:c>
      <x:c r="P6675" t="str">
        <x:f>IF(E6675="","Unknown",IF(E6675&lt;10,"&lt;10",IF(E6675&lt;20,"10-&lt;20",IF(E6675&lt;25,"20-&lt;25",IF(E6675&lt;35,"25-&lt;35","35+")))))</x:f>
        <x:v>20-&lt;25</x:v>
      </x:c>
    </x:row>
    <x:row r="6676">
      <x:c r="A6676" t="str">
        <x:v>SYN0006675</x:v>
      </x:c>
      <x:c r="B6676" s="12" t="n">
        <x:v>42055</x:v>
      </x:c>
      <x:c r="C6676" s="18" t="n">
        <x:v>16566</x:v>
      </x:c>
      <x:c r="D6676" s="18" t="n">
        <x:v>36870</x:v>
      </x:c>
      <x:c r="E6676" s="18" t="n">
        <x:v>24.05</x:v>
      </x:c>
      <x:c r="F6676" s="18" t="n">
        <x:v>7.64</x:v>
      </x:c>
      <x:c r="G6676" t="n">
        <x:v>36</x:v>
      </x:c>
      <x:c r="H6676" t="str">
        <x:v>B</x:v>
      </x:c>
      <x:c r="I6676" t="str">
        <x:v>10+ years</x:v>
      </x:c>
      <x:c r="J6676" t="str">
        <x:v>MORTGAGE</x:v>
      </x:c>
      <x:c r="K6676" t="str">
        <x:v>debt_consolidation</x:v>
      </x:c>
      <x:c r="L6676" t="n">
        <x:v>1</x:v>
      </x:c>
      <x:c r="M6676" t="n">
        <x:v>0</x:v>
      </x:c>
      <x:c r="N6676" t="str">
        <x:v>Fully Paid</x:v>
      </x:c>
      <x:c r="O6676" t="str">
        <x:f>IF(D6676="","Unknown",IF(D6676&lt;25000,"&lt;$25k",IF(D6676&lt;50000,"$25k-$50k",IF(D6676&lt;75000,"$50k-$75k",IF(D6676&lt;100000,"$75k-$100k","$100k+")))))</x:f>
        <x:v>$25k-$50k</x:v>
      </x:c>
      <x:c r="P6676" t="str">
        <x:f>IF(E6676="","Unknown",IF(E6676&lt;10,"&lt;10",IF(E6676&lt;20,"10-&lt;20",IF(E6676&lt;25,"20-&lt;25",IF(E6676&lt;35,"25-&lt;35","35+")))))</x:f>
        <x:v>20-&lt;25</x:v>
      </x:c>
    </x:row>
    <x:row r="6677">
      <x:c r="A6677" t="str">
        <x:v>SYN0006676</x:v>
      </x:c>
      <x:c r="B6677" s="12" t="n">
        <x:v>41545</x:v>
      </x:c>
      <x:c r="C6677" s="18" t="n">
        <x:v>19276</x:v>
      </x:c>
      <x:c r="D6677" s="18" t="n">
        <x:v>55942</x:v>
      </x:c>
      <x:c r="E6677" s="18" t="n">
        <x:v>30.03</x:v>
      </x:c>
      <x:c r="F6677" s="18" t="n">
        <x:v>9.72</x:v>
      </x:c>
      <x:c r="G6677" t="n">
        <x:v>36</x:v>
      </x:c>
      <x:c r="H6677" t="str">
        <x:v>C</x:v>
      </x:c>
      <x:c r="I6677" t="str">
        <x:v>7-9 years</x:v>
      </x:c>
      <x:c r="J6677" t="str">
        <x:v>RENT</x:v>
      </x:c>
      <x:c r="K6677" t="str">
        <x:v>credit_card</x:v>
      </x:c>
      <x:c r="L6677" t="n">
        <x:v>1</x:v>
      </x:c>
      <x:c r="M6677" t="n">
        <x:v>0</x:v>
      </x:c>
      <x:c r="N6677" t="str">
        <x:v>Fully Paid</x:v>
      </x:c>
      <x:c r="O6677" t="str">
        <x:f>IF(D6677="","Unknown",IF(D6677&lt;25000,"&lt;$25k",IF(D6677&lt;50000,"$25k-$50k",IF(D6677&lt;75000,"$50k-$75k",IF(D6677&lt;100000,"$75k-$100k","$100k+")))))</x:f>
        <x:v>$50k-$75k</x:v>
      </x:c>
      <x:c r="P6677" t="str">
        <x:f>IF(E6677="","Unknown",IF(E6677&lt;10,"&lt;10",IF(E6677&lt;20,"10-&lt;20",IF(E6677&lt;25,"20-&lt;25",IF(E6677&lt;35,"25-&lt;35","35+")))))</x:f>
        <x:v>25-&lt;35</x:v>
      </x:c>
    </x:row>
    <x:row r="6678">
      <x:c r="A6678" t="str">
        <x:v>SYN0006677</x:v>
      </x:c>
      <x:c r="B6678" s="12" t="n">
        <x:v>41935</x:v>
      </x:c>
      <x:c r="C6678" s="18" t="n">
        <x:v>10171</x:v>
      </x:c>
      <x:c r="D6678" s="18" t="n">
        <x:v>70669</x:v>
      </x:c>
      <x:c r="E6678" s="18" t="n">
        <x:v>11.73</x:v>
      </x:c>
      <x:c r="F6678" s="18" t="n">
        <x:v>26.35</x:v>
      </x:c>
      <x:c r="G6678" t="n">
        <x:v>36</x:v>
      </x:c>
      <x:c r="H6678" t="str">
        <x:v>G</x:v>
      </x:c>
      <x:c r="I6678" t="str">
        <x:v>1-3 years</x:v>
      </x:c>
      <x:c r="J6678" t="str">
        <x:v>MORTGAGE</x:v>
      </x:c>
      <x:c r="K6678" t="str">
        <x:v>credit_card</x:v>
      </x:c>
      <x:c r="L6678" t="n">
        <x:v>2</x:v>
      </x:c>
      <x:c r="M6678" t="n">
        <x:v>1</x:v>
      </x:c>
      <x:c r="N6678" t="str">
        <x:v>Charged Off</x:v>
      </x:c>
      <x:c r="O6678" t="str">
        <x:f>IF(D6678="","Unknown",IF(D6678&lt;25000,"&lt;$25k",IF(D6678&lt;50000,"$25k-$50k",IF(D6678&lt;75000,"$50k-$75k",IF(D6678&lt;100000,"$75k-$100k","$100k+")))))</x:f>
        <x:v>$50k-$75k</x:v>
      </x:c>
      <x:c r="P6678" t="str">
        <x:f>IF(E6678="","Unknown",IF(E6678&lt;10,"&lt;10",IF(E6678&lt;20,"10-&lt;20",IF(E6678&lt;25,"20-&lt;25",IF(E6678&lt;35,"25-&lt;35","35+")))))</x:f>
        <x:v>10-&lt;20</x:v>
      </x:c>
    </x:row>
    <x:row r="6679">
      <x:c r="A6679" t="str">
        <x:v>SYN0006678</x:v>
      </x:c>
      <x:c r="B6679" s="12" t="n">
        <x:v>42325</x:v>
      </x:c>
      <x:c r="C6679" s="18" t="n">
        <x:v>37445</x:v>
      </x:c>
      <x:c r="D6679" s="18" t="n">
        <x:v>20733</x:v>
      </x:c>
      <x:c r="E6679" s="18" t="n">
        <x:v>18.17</x:v>
      </x:c>
      <x:c r="F6679" s="18" t="n">
        <x:v>6.59</x:v>
      </x:c>
      <x:c r="G6679" t="n">
        <x:v>60</x:v>
      </x:c>
      <x:c r="H6679" t="str">
        <x:v>B</x:v>
      </x:c>
      <x:c r="I6679" t="str">
        <x:v>10+ years</x:v>
      </x:c>
      <x:c r="J6679" t="str">
        <x:v>RENT</x:v>
      </x:c>
      <x:c r="K6679" t="str">
        <x:v>debt_consolidation</x:v>
      </x:c>
      <x:c r="L6679" t="n">
        <x:v>1</x:v>
      </x:c>
      <x:c r="M6679" t="n">
        <x:v>0</x:v>
      </x:c>
      <x:c r="N6679" t="str">
        <x:v>Fully Paid</x:v>
      </x:c>
      <x:c r="O6679" t="str">
        <x:f>IF(D6679="","Unknown",IF(D6679&lt;25000,"&lt;$25k",IF(D6679&lt;50000,"$25k-$50k",IF(D6679&lt;75000,"$50k-$75k",IF(D6679&lt;100000,"$75k-$100k","$100k+")))))</x:f>
        <x:v>&lt;$25k</x:v>
      </x:c>
      <x:c r="P6679" t="str">
        <x:f>IF(E6679="","Unknown",IF(E6679&lt;10,"&lt;10",IF(E6679&lt;20,"10-&lt;20",IF(E6679&lt;25,"20-&lt;25",IF(E6679&lt;35,"25-&lt;35","35+")))))</x:f>
        <x:v>10-&lt;20</x:v>
      </x:c>
    </x:row>
    <x:row r="6680">
      <x:c r="A6680" t="str">
        <x:v>SYN0006679</x:v>
      </x:c>
      <x:c r="B6680" s="12" t="n">
        <x:v>41635</x:v>
      </x:c>
      <x:c r="C6680" s="18" t="n">
        <x:v>16478</x:v>
      </x:c>
      <x:c r="D6680" s="18" t="n">
        <x:v>50154</x:v>
      </x:c>
      <x:c r="E6680" s="18" t="n">
        <x:v>7.84</x:v>
      </x:c>
      <x:c r="F6680" s="18" t="n">
        <x:v>9.83</x:v>
      </x:c>
      <x:c r="G6680" t="n">
        <x:v>60</x:v>
      </x:c>
      <x:c r="H6680" t="str">
        <x:v>A</x:v>
      </x:c>
      <x:c r="I6680" t="str">
        <x:v>1-3 years</x:v>
      </x:c>
      <x:c r="J6680" t="str">
        <x:v>RENT</x:v>
      </x:c>
      <x:c r="K6680" t="str">
        <x:v>debt_consolidation</x:v>
      </x:c>
      <x:c r="L6680" t="n">
        <x:v>0</x:v>
      </x:c>
      <x:c r="M6680" t="n">
        <x:v>0</x:v>
      </x:c>
      <x:c r="N6680" t="str">
        <x:v>Fully Paid</x:v>
      </x:c>
      <x:c r="O6680" t="str">
        <x:f>IF(D6680="","Unknown",IF(D6680&lt;25000,"&lt;$25k",IF(D6680&lt;50000,"$25k-$50k",IF(D6680&lt;75000,"$50k-$75k",IF(D6680&lt;100000,"$75k-$100k","$100k+")))))</x:f>
        <x:v>$50k-$75k</x:v>
      </x:c>
      <x:c r="P6680" t="str">
        <x:f>IF(E6680="","Unknown",IF(E6680&lt;10,"&lt;10",IF(E6680&lt;20,"10-&lt;20",IF(E6680&lt;25,"20-&lt;25",IF(E6680&lt;35,"25-&lt;35","35+")))))</x:f>
        <x:v>&lt;10</x:v>
      </x:c>
    </x:row>
    <x:row r="6681">
      <x:c r="A6681" t="str">
        <x:v>SYN0006680</x:v>
      </x:c>
      <x:c r="B6681" s="12" t="n">
        <x:v>41365</x:v>
      </x:c>
      <x:c r="C6681" s="18" t="n">
        <x:v>22543</x:v>
      </x:c>
      <x:c r="D6681" s="18" t="n">
        <x:v>114915</x:v>
      </x:c>
      <x:c r="E6681" s="18" t="n">
        <x:v>23.08</x:v>
      </x:c>
      <x:c r="F6681" s="18" t="n">
        <x:v>13.31</x:v>
      </x:c>
      <x:c r="G6681" t="n">
        <x:v>36</x:v>
      </x:c>
      <x:c r="H6681" t="str">
        <x:v>C</x:v>
      </x:c>
      <x:c r="I6681" t="str">
        <x:v>7-9 years</x:v>
      </x:c>
      <x:c r="J6681" t="str">
        <x:v>OWN</x:v>
      </x:c>
      <x:c r="K6681" t="str">
        <x:v>home_improvement</x:v>
      </x:c>
      <x:c r="L6681" t="n">
        <x:v>1</x:v>
      </x:c>
      <x:c r="M6681" t="n">
        <x:v>0</x:v>
      </x:c>
      <x:c r="N6681" t="str">
        <x:v>Fully Paid</x:v>
      </x:c>
      <x:c r="O6681" t="str">
        <x:f>IF(D6681="","Unknown",IF(D6681&lt;25000,"&lt;$25k",IF(D6681&lt;50000,"$25k-$50k",IF(D6681&lt;75000,"$50k-$75k",IF(D6681&lt;100000,"$75k-$100k","$100k+")))))</x:f>
        <x:v>$100k+</x:v>
      </x:c>
      <x:c r="P6681" t="str">
        <x:f>IF(E6681="","Unknown",IF(E6681&lt;10,"&lt;10",IF(E6681&lt;20,"10-&lt;20",IF(E6681&lt;25,"20-&lt;25",IF(E6681&lt;35,"25-&lt;35","35+")))))</x:f>
        <x:v>20-&lt;25</x:v>
      </x:c>
    </x:row>
    <x:row r="6682">
      <x:c r="A6682" t="str">
        <x:v>SYN0006681</x:v>
      </x:c>
      <x:c r="B6682" s="12" t="n">
        <x:v>42745</x:v>
      </x:c>
      <x:c r="C6682" s="18" t="n">
        <x:v>5863</x:v>
      </x:c>
      <x:c r="D6682" s="18" t="n">
        <x:v>86142</x:v>
      </x:c>
      <x:c r="E6682" s="18" t="n">
        <x:v>10.73</x:v>
      </x:c>
      <x:c r="F6682" s="18" t="n">
        <x:v>11.26</x:v>
      </x:c>
      <x:c r="G6682" t="n">
        <x:v>60</x:v>
      </x:c>
      <x:c r="H6682" t="str">
        <x:v>B</x:v>
      </x:c>
      <x:c r="I6682" t="str">
        <x:v>4-6 years</x:v>
      </x:c>
      <x:c r="J6682" t="str">
        <x:v>RENT</x:v>
      </x:c>
      <x:c r="K6682" t="str">
        <x:v>debt_consolidation</x:v>
      </x:c>
      <x:c r="L6682" t="n">
        <x:v>2</x:v>
      </x:c>
      <x:c r="M6682" t="n">
        <x:v>0</x:v>
      </x:c>
      <x:c r="N6682" t="str">
        <x:v>Fully Paid</x:v>
      </x:c>
      <x:c r="O6682" t="str">
        <x:f>IF(D6682="","Unknown",IF(D6682&lt;25000,"&lt;$25k",IF(D6682&lt;50000,"$25k-$50k",IF(D6682&lt;75000,"$50k-$75k",IF(D6682&lt;100000,"$75k-$100k","$100k+")))))</x:f>
        <x:v>$75k-$100k</x:v>
      </x:c>
      <x:c r="P6682" t="str">
        <x:f>IF(E6682="","Unknown",IF(E6682&lt;10,"&lt;10",IF(E6682&lt;20,"10-&lt;20",IF(E6682&lt;25,"20-&lt;25",IF(E6682&lt;35,"25-&lt;35","35+")))))</x:f>
        <x:v>10-&lt;20</x:v>
      </x:c>
    </x:row>
    <x:row r="6683">
      <x:c r="A6683" t="str">
        <x:v>SYN0006682</x:v>
      </x:c>
      <x:c r="B6683" s="12" t="n">
        <x:v>41755</x:v>
      </x:c>
      <x:c r="C6683" s="18" t="n">
        <x:v>14273</x:v>
      </x:c>
      <x:c r="D6683" s="18" t="n">
        <x:v>30800</x:v>
      </x:c>
      <x:c r="E6683" s="18" t="n">
        <x:v>14.56</x:v>
      </x:c>
      <x:c r="F6683" s="18" t="n">
        <x:v>8.31</x:v>
      </x:c>
      <x:c r="G6683" t="n">
        <x:v>60</x:v>
      </x:c>
      <x:c r="H6683" t="str">
        <x:v>A</x:v>
      </x:c>
      <x:c r="I6683" t="str">
        <x:v>4-6 years</x:v>
      </x:c>
      <x:c r="J6683" t="str">
        <x:v>RENT</x:v>
      </x:c>
      <x:c r="K6683" t="str">
        <x:v>credit_card</x:v>
      </x:c>
      <x:c r="L6683" t="n">
        <x:v>0</x:v>
      </x:c>
      <x:c r="M6683" t="n">
        <x:v>0</x:v>
      </x:c>
      <x:c r="N6683" t="str">
        <x:v>Fully Paid</x:v>
      </x:c>
      <x:c r="O6683" t="str">
        <x:f>IF(D6683="","Unknown",IF(D6683&lt;25000,"&lt;$25k",IF(D6683&lt;50000,"$25k-$50k",IF(D6683&lt;75000,"$50k-$75k",IF(D6683&lt;100000,"$75k-$100k","$100k+")))))</x:f>
        <x:v>$25k-$50k</x:v>
      </x:c>
      <x:c r="P6683" t="str">
        <x:f>IF(E6683="","Unknown",IF(E6683&lt;10,"&lt;10",IF(E6683&lt;20,"10-&lt;20",IF(E6683&lt;25,"20-&lt;25",IF(E6683&lt;35,"25-&lt;35","35+")))))</x:f>
        <x:v>10-&lt;20</x:v>
      </x:c>
    </x:row>
    <x:row r="6684">
      <x:c r="A6684" t="str">
        <x:v>SYN0006683</x:v>
      </x:c>
      <x:c r="B6684" s="12" t="n">
        <x:v>43225</x:v>
      </x:c>
      <x:c r="C6684" s="18" t="n">
        <x:v>12770</x:v>
      </x:c>
      <x:c r="D6684" s="18" t="n">
        <x:v>124033</x:v>
      </x:c>
      <x:c r="E6684" s="18" t="n">
        <x:v>9.92</x:v>
      </x:c>
      <x:c r="F6684" s="18" t="n">
        <x:v>15.25</x:v>
      </x:c>
      <x:c r="G6684" t="n">
        <x:v>36</x:v>
      </x:c>
      <x:c r="H6684" t="str">
        <x:v>D</x:v>
      </x:c>
      <x:c r="I6684" t="str">
        <x:v>10+ years</x:v>
      </x:c>
      <x:c r="J6684" t="str">
        <x:v>OWN</x:v>
      </x:c>
      <x:c r="K6684" t="str">
        <x:v>credit_card</x:v>
      </x:c>
      <x:c r="L6684" t="n">
        <x:v>1</x:v>
      </x:c>
      <x:c r="M6684" t="n">
        <x:v>0</x:v>
      </x:c>
      <x:c r="N6684" t="str">
        <x:v>Fully Paid</x:v>
      </x:c>
      <x:c r="O6684" t="str">
        <x:f>IF(D6684="","Unknown",IF(D6684&lt;25000,"&lt;$25k",IF(D6684&lt;50000,"$25k-$50k",IF(D6684&lt;75000,"$50k-$75k",IF(D6684&lt;100000,"$75k-$100k","$100k+")))))</x:f>
        <x:v>$100k+</x:v>
      </x:c>
      <x:c r="P6684" t="str">
        <x:f>IF(E6684="","Unknown",IF(E6684&lt;10,"&lt;10",IF(E6684&lt;20,"10-&lt;20",IF(E6684&lt;25,"20-&lt;25",IF(E6684&lt;35,"25-&lt;35","35+")))))</x:f>
        <x:v>&lt;10</x:v>
      </x:c>
    </x:row>
    <x:row r="6685">
      <x:c r="A6685" t="str">
        <x:v>SYN0006684</x:v>
      </x:c>
      <x:c r="B6685" s="12" t="n">
        <x:v>42925</x:v>
      </x:c>
      <x:c r="C6685" s="18" t="n">
        <x:v>12634</x:v>
      </x:c>
      <x:c r="D6685" s="18" t="n">
        <x:v>110276</x:v>
      </x:c>
      <x:c r="E6685" s="18" t="n">
        <x:v>15.64</x:v>
      </x:c>
      <x:c r="F6685" s="18" t="n">
        <x:v>18.92</x:v>
      </x:c>
      <x:c r="G6685" t="n">
        <x:v>36</x:v>
      </x:c>
      <x:c r="H6685" t="str">
        <x:v>E</x:v>
      </x:c>
      <x:c r="I6685" t="str">
        <x:v>7-9 years</x:v>
      </x:c>
      <x:c r="J6685" t="str">
        <x:v>MORTGAGE</x:v>
      </x:c>
      <x:c r="K6685" t="str">
        <x:v>credit_card</x:v>
      </x:c>
      <x:c r="L6685" t="n">
        <x:v>0</x:v>
      </x:c>
      <x:c r="M6685" t="n">
        <x:v>0</x:v>
      </x:c>
      <x:c r="N6685" t="str">
        <x:v>Fully Paid</x:v>
      </x:c>
      <x:c r="O6685" t="str">
        <x:f>IF(D6685="","Unknown",IF(D6685&lt;25000,"&lt;$25k",IF(D6685&lt;50000,"$25k-$50k",IF(D6685&lt;75000,"$50k-$75k",IF(D6685&lt;100000,"$75k-$100k","$100k+")))))</x:f>
        <x:v>$100k+</x:v>
      </x:c>
      <x:c r="P6685" t="str">
        <x:f>IF(E6685="","Unknown",IF(E6685&lt;10,"&lt;10",IF(E6685&lt;20,"10-&lt;20",IF(E6685&lt;25,"20-&lt;25",IF(E6685&lt;35,"25-&lt;35","35+")))))</x:f>
        <x:v>10-&lt;20</x:v>
      </x:c>
    </x:row>
    <x:row r="6686">
      <x:c r="A6686" t="str">
        <x:v>SYN0006685</x:v>
      </x:c>
      <x:c r="B6686" s="12" t="n">
        <x:v>41695</x:v>
      </x:c>
      <x:c r="C6686" s="18" t="n">
        <x:v>15639</x:v>
      </x:c>
      <x:c r="D6686" s="18" t="n">
        <x:v>55108</x:v>
      </x:c>
      <x:c r="E6686" s="18" t="n">
        <x:v>6.25</x:v>
      </x:c>
      <x:c r="F6686" s="18" t="n">
        <x:v>8.24</x:v>
      </x:c>
      <x:c r="G6686" t="n">
        <x:v>36</x:v>
      </x:c>
      <x:c r="H6686" t="str">
        <x:v>B</x:v>
      </x:c>
      <x:c r="I6686" t="str">
        <x:v>4-6 years</x:v>
      </x:c>
      <x:c r="J6686" t="str">
        <x:v>MORTGAGE</x:v>
      </x:c>
      <x:c r="K6686" t="str">
        <x:v>debt_consolidation</x:v>
      </x:c>
      <x:c r="L6686" t="n">
        <x:v>1</x:v>
      </x:c>
      <x:c r="M6686" t="n">
        <x:v>0</x:v>
      </x:c>
      <x:c r="N6686" t="str">
        <x:v>Fully Paid</x:v>
      </x:c>
      <x:c r="O6686" t="str">
        <x:f>IF(D6686="","Unknown",IF(D6686&lt;25000,"&lt;$25k",IF(D6686&lt;50000,"$25k-$50k",IF(D6686&lt;75000,"$50k-$75k",IF(D6686&lt;100000,"$75k-$100k","$100k+")))))</x:f>
        <x:v>$50k-$75k</x:v>
      </x:c>
      <x:c r="P6686" t="str">
        <x:f>IF(E6686="","Unknown",IF(E6686&lt;10,"&lt;10",IF(E6686&lt;20,"10-&lt;20",IF(E6686&lt;25,"20-&lt;25",IF(E6686&lt;35,"25-&lt;35","35+")))))</x:f>
        <x:v>&lt;10</x:v>
      </x:c>
    </x:row>
    <x:row r="6687">
      <x:c r="A6687" t="str">
        <x:v>SYN0006686</x:v>
      </x:c>
      <x:c r="B6687" s="12" t="n">
        <x:v>41995</x:v>
      </x:c>
      <x:c r="C6687" s="18" t="n">
        <x:v>7539</x:v>
      </x:c>
      <x:c r="D6687" s="18" t="n">
        <x:v>58350</x:v>
      </x:c>
      <x:c r="E6687" s="18" t="n">
        <x:v>17.18</x:v>
      </x:c>
      <x:c r="F6687" s="18" t="n">
        <x:v>20.88</x:v>
      </x:c>
      <x:c r="G6687" t="n">
        <x:v>36</x:v>
      </x:c>
      <x:c r="H6687" t="str">
        <x:v>F</x:v>
      </x:c>
      <x:c r="I6687" t="str">
        <x:v>10+ years</x:v>
      </x:c>
      <x:c r="J6687" t="str">
        <x:v>RENT</x:v>
      </x:c>
      <x:c r="K6687" t="str">
        <x:v>home_improvement</x:v>
      </x:c>
      <x:c r="L6687" t="n">
        <x:v>1</x:v>
      </x:c>
      <x:c r="M6687" t="n">
        <x:v>0</x:v>
      </x:c>
      <x:c r="N6687" t="str">
        <x:v>Fully Paid</x:v>
      </x:c>
      <x:c r="O6687" t="str">
        <x:f>IF(D6687="","Unknown",IF(D6687&lt;25000,"&lt;$25k",IF(D6687&lt;50000,"$25k-$50k",IF(D6687&lt;75000,"$50k-$75k",IF(D6687&lt;100000,"$75k-$100k","$100k+")))))</x:f>
        <x:v>$50k-$75k</x:v>
      </x:c>
      <x:c r="P6687" t="str">
        <x:f>IF(E6687="","Unknown",IF(E6687&lt;10,"&lt;10",IF(E6687&lt;20,"10-&lt;20",IF(E6687&lt;25,"20-&lt;25",IF(E6687&lt;35,"25-&lt;35","35+")))))</x:f>
        <x:v>10-&lt;20</x:v>
      </x:c>
    </x:row>
    <x:row r="6688">
      <x:c r="A6688" t="str">
        <x:v>SYN0006687</x:v>
      </x:c>
      <x:c r="B6688" s="12" t="n">
        <x:v>42265</x:v>
      </x:c>
      <x:c r="C6688" s="18" t="n">
        <x:v>23567</x:v>
      </x:c>
      <x:c r="D6688" s="18" t="n">
        <x:v>48885</x:v>
      </x:c>
      <x:c r="E6688" s="18" t="n">
        <x:v>27.44</x:v>
      </x:c>
      <x:c r="F6688" s="18" t="n">
        <x:v>17.14</x:v>
      </x:c>
      <x:c r="G6688" t="n">
        <x:v>36</x:v>
      </x:c>
      <x:c r="H6688" t="str">
        <x:v>E</x:v>
      </x:c>
      <x:c r="I6688" t="str">
        <x:v>10+ years</x:v>
      </x:c>
      <x:c r="J6688" t="str">
        <x:v>MORTGAGE</x:v>
      </x:c>
      <x:c r="K6688" t="str">
        <x:v>major_purchase</x:v>
      </x:c>
      <x:c r="L6688" t="n">
        <x:v>1</x:v>
      </x:c>
      <x:c r="M6688" t="n">
        <x:v>0</x:v>
      </x:c>
      <x:c r="N6688" t="str">
        <x:v>Fully Paid</x:v>
      </x:c>
      <x:c r="O6688" t="str">
        <x:f>IF(D6688="","Unknown",IF(D6688&lt;25000,"&lt;$25k",IF(D6688&lt;50000,"$25k-$50k",IF(D6688&lt;75000,"$50k-$75k",IF(D6688&lt;100000,"$75k-$100k","$100k+")))))</x:f>
        <x:v>$25k-$50k</x:v>
      </x:c>
      <x:c r="P6688" t="str">
        <x:f>IF(E6688="","Unknown",IF(E6688&lt;10,"&lt;10",IF(E6688&lt;20,"10-&lt;20",IF(E6688&lt;25,"20-&lt;25",IF(E6688&lt;35,"25-&lt;35","35+")))))</x:f>
        <x:v>25-&lt;35</x:v>
      </x:c>
    </x:row>
    <x:row r="6689">
      <x:c r="A6689" t="str">
        <x:v>SYN0006688</x:v>
      </x:c>
      <x:c r="B6689" s="12" t="n">
        <x:v>42325</x:v>
      </x:c>
      <x:c r="C6689" s="18" t="n">
        <x:v>13208</x:v>
      </x:c>
      <x:c r="D6689" s="18" t="n">
        <x:v>52081</x:v>
      </x:c>
      <x:c r="E6689" s="18" t="n">
        <x:v>36.43</x:v>
      </x:c>
      <x:c r="F6689" s="18" t="n">
        <x:v>11.66</x:v>
      </x:c>
      <x:c r="G6689" t="n">
        <x:v>36</x:v>
      </x:c>
      <x:c r="H6689" t="str">
        <x:v>C</x:v>
      </x:c>
      <x:c r="I6689" t="str">
        <x:v>4-6 years</x:v>
      </x:c>
      <x:c r="J6689" t="str">
        <x:v>RENT</x:v>
      </x:c>
      <x:c r="K6689" t="str">
        <x:v>home_improvement</x:v>
      </x:c>
      <x:c r="L6689" t="n">
        <x:v>1</x:v>
      </x:c>
      <x:c r="M6689" t="n">
        <x:v>0</x:v>
      </x:c>
      <x:c r="N6689" t="str">
        <x:v>Fully Paid</x:v>
      </x:c>
      <x:c r="O6689" t="str">
        <x:f>IF(D6689="","Unknown",IF(D6689&lt;25000,"&lt;$25k",IF(D6689&lt;50000,"$25k-$50k",IF(D6689&lt;75000,"$50k-$75k",IF(D6689&lt;100000,"$75k-$100k","$100k+")))))</x:f>
        <x:v>$50k-$75k</x:v>
      </x:c>
      <x:c r="P6689" t="str">
        <x:f>IF(E6689="","Unknown",IF(E6689&lt;10,"&lt;10",IF(E6689&lt;20,"10-&lt;20",IF(E6689&lt;25,"20-&lt;25",IF(E6689&lt;35,"25-&lt;35","35+")))))</x:f>
        <x:v>35+</x:v>
      </x:c>
    </x:row>
    <x:row r="6690">
      <x:c r="A6690" t="str">
        <x:v>SYN0006689</x:v>
      </x:c>
      <x:c r="B6690" s="12" t="n">
        <x:v>42865</x:v>
      </x:c>
      <x:c r="C6690" s="18" t="n">
        <x:v>11469</x:v>
      </x:c>
      <x:c r="D6690" s="18" t="n">
        <x:v>12000</x:v>
      </x:c>
      <x:c r="E6690" s="18" t="n">
        <x:v>5.82</x:v>
      </x:c>
      <x:c r="F6690" s="18" t="n">
        <x:v>11.59</x:v>
      </x:c>
      <x:c r="G6690" t="n">
        <x:v>36</x:v>
      </x:c>
      <x:c r="H6690" t="str">
        <x:v>C</x:v>
      </x:c>
      <x:c r="I6690" t="str">
        <x:v>1-3 years</x:v>
      </x:c>
      <x:c r="J6690" t="str">
        <x:v>RENT</x:v>
      </x:c>
      <x:c r="K6690" t="str">
        <x:v>debt_consolidation</x:v>
      </x:c>
      <x:c r="L6690" t="n">
        <x:v>1</x:v>
      </x:c>
      <x:c r="M6690" t="n">
        <x:v>0</x:v>
      </x:c>
      <x:c r="N6690" t="str">
        <x:v>Fully Paid</x:v>
      </x:c>
      <x:c r="O6690" t="str">
        <x:f>IF(D6690="","Unknown",IF(D6690&lt;25000,"&lt;$25k",IF(D6690&lt;50000,"$25k-$50k",IF(D6690&lt;75000,"$50k-$75k",IF(D6690&lt;100000,"$75k-$100k","$100k+")))))</x:f>
        <x:v>&lt;$25k</x:v>
      </x:c>
      <x:c r="P6690" t="str">
        <x:f>IF(E6690="","Unknown",IF(E6690&lt;10,"&lt;10",IF(E6690&lt;20,"10-&lt;20",IF(E6690&lt;25,"20-&lt;25",IF(E6690&lt;35,"25-&lt;35","35+")))))</x:f>
        <x:v>&lt;10</x:v>
      </x:c>
    </x:row>
    <x:row r="6691">
      <x:c r="A6691" t="str">
        <x:v>SYN0006690</x:v>
      </x:c>
      <x:c r="B6691" s="12" t="n">
        <x:v>43195</x:v>
      </x:c>
      <x:c r="C6691" s="18" t="n">
        <x:v>37204</x:v>
      </x:c>
      <x:c r="D6691" s="18" t="n">
        <x:v>41405</x:v>
      </x:c>
      <x:c r="E6691" s="18" t="n">
        <x:v>24.42</x:v>
      </x:c>
      <x:c r="F6691" s="18" t="n">
        <x:v>27.94</x:v>
      </x:c>
      <x:c r="G6691" t="n">
        <x:v>60</x:v>
      </x:c>
      <x:c r="H6691" t="str">
        <x:v>G</x:v>
      </x:c>
      <x:c r="I6691" t="str">
        <x:v>1-3 years</x:v>
      </x:c>
      <x:c r="J6691" t="str">
        <x:v>MORTGAGE</x:v>
      </x:c>
      <x:c r="K6691" t="str">
        <x:v>credit_card</x:v>
      </x:c>
      <x:c r="L6691" t="n">
        <x:v>0</x:v>
      </x:c>
      <x:c r="M6691" t="n">
        <x:v>1</x:v>
      </x:c>
      <x:c r="N6691" t="str">
        <x:v>Charged Off</x:v>
      </x:c>
      <x:c r="O6691" t="str">
        <x:f>IF(D6691="","Unknown",IF(D6691&lt;25000,"&lt;$25k",IF(D6691&lt;50000,"$25k-$50k",IF(D6691&lt;75000,"$50k-$75k",IF(D6691&lt;100000,"$75k-$100k","$100k+")))))</x:f>
        <x:v>$25k-$50k</x:v>
      </x:c>
      <x:c r="P6691" t="str">
        <x:f>IF(E6691="","Unknown",IF(E6691&lt;10,"&lt;10",IF(E6691&lt;20,"10-&lt;20",IF(E6691&lt;25,"20-&lt;25",IF(E6691&lt;35,"25-&lt;35","35+")))))</x:f>
        <x:v>20-&lt;25</x:v>
      </x:c>
    </x:row>
    <x:row r="6692">
      <x:c r="A6692" t="str">
        <x:v>SYN0006691</x:v>
      </x:c>
      <x:c r="B6692" s="12" t="n">
        <x:v>43075</x:v>
      </x:c>
      <x:c r="C6692" s="18" t="n">
        <x:v>12402</x:v>
      </x:c>
      <x:c r="D6692" s="18" t="n">
        <x:v>56614</x:v>
      </x:c>
      <x:c r="E6692" s="18" t="n">
        <x:v>11.16</x:v>
      </x:c>
      <x:c r="F6692" s="18" t="n">
        <x:v>5</x:v>
      </x:c>
      <x:c r="G6692" t="n">
        <x:v>36</x:v>
      </x:c>
      <x:c r="H6692" t="str">
        <x:v>A</x:v>
      </x:c>
      <x:c r="I6692" t="str">
        <x:v>10+ years</x:v>
      </x:c>
      <x:c r="J6692" t="str">
        <x:v>OWN</x:v>
      </x:c>
      <x:c r="K6692" t="str">
        <x:v>credit_card</x:v>
      </x:c>
      <x:c r="L6692" t="n">
        <x:v>0</x:v>
      </x:c>
      <x:c r="M6692" t="n">
        <x:v>0</x:v>
      </x:c>
      <x:c r="N6692" t="str">
        <x:v>Fully Paid</x:v>
      </x:c>
      <x:c r="O6692" t="str">
        <x:f>IF(D6692="","Unknown",IF(D6692&lt;25000,"&lt;$25k",IF(D6692&lt;50000,"$25k-$50k",IF(D6692&lt;75000,"$50k-$75k",IF(D6692&lt;100000,"$75k-$100k","$100k+")))))</x:f>
        <x:v>$50k-$75k</x:v>
      </x:c>
      <x:c r="P6692" t="str">
        <x:f>IF(E6692="","Unknown",IF(E6692&lt;10,"&lt;10",IF(E6692&lt;20,"10-&lt;20",IF(E6692&lt;25,"20-&lt;25",IF(E6692&lt;35,"25-&lt;35","35+")))))</x:f>
        <x:v>10-&lt;20</x:v>
      </x:c>
    </x:row>
    <x:row r="6693">
      <x:c r="A6693" t="str">
        <x:v>SYN0006692</x:v>
      </x:c>
      <x:c r="B6693" s="12" t="n">
        <x:v>41545</x:v>
      </x:c>
      <x:c r="C6693" s="18" t="n">
        <x:v>15058</x:v>
      </x:c>
      <x:c r="D6693" s="18" t="n">
        <x:v>98558</x:v>
      </x:c>
      <x:c r="E6693" s="18" t="n">
        <x:v>9.96</x:v>
      </x:c>
      <x:c r="F6693" s="18" t="n">
        <x:v>8.76</x:v>
      </x:c>
      <x:c r="G6693" t="n">
        <x:v>36</x:v>
      </x:c>
      <x:c r="H6693" t="str">
        <x:v>B</x:v>
      </x:c>
      <x:c r="I6693" t="str">
        <x:v>4-6 years</x:v>
      </x:c>
      <x:c r="J6693" t="str">
        <x:v>RENT</x:v>
      </x:c>
      <x:c r="K6693" t="str">
        <x:v>debt_consolidation</x:v>
      </x:c>
      <x:c r="L6693" t="n">
        <x:v>0</x:v>
      </x:c>
      <x:c r="M6693" t="n">
        <x:v>0</x:v>
      </x:c>
      <x:c r="N6693" t="str">
        <x:v>Fully Paid</x:v>
      </x:c>
      <x:c r="O6693" t="str">
        <x:f>IF(D6693="","Unknown",IF(D6693&lt;25000,"&lt;$25k",IF(D6693&lt;50000,"$25k-$50k",IF(D6693&lt;75000,"$50k-$75k",IF(D6693&lt;100000,"$75k-$100k","$100k+")))))</x:f>
        <x:v>$75k-$100k</x:v>
      </x:c>
      <x:c r="P6693" t="str">
        <x:f>IF(E6693="","Unknown",IF(E6693&lt;10,"&lt;10",IF(E6693&lt;20,"10-&lt;20",IF(E6693&lt;25,"20-&lt;25",IF(E6693&lt;35,"25-&lt;35","35+")))))</x:f>
        <x:v>&lt;10</x:v>
      </x:c>
    </x:row>
    <x:row r="6694">
      <x:c r="A6694" t="str">
        <x:v>SYN0006693</x:v>
      </x:c>
      <x:c r="B6694" s="12" t="n">
        <x:v>41935</x:v>
      </x:c>
      <x:c r="C6694" s="18" t="n">
        <x:v>15806</x:v>
      </x:c>
      <x:c r="D6694" s="18" t="n">
        <x:v>77268</x:v>
      </x:c>
      <x:c r="E6694" s="18" t="n">
        <x:v>23.02</x:v>
      </x:c>
      <x:c r="F6694" s="18" t="n">
        <x:v>10.53</x:v>
      </x:c>
      <x:c r="G6694" t="n">
        <x:v>36</x:v>
      </x:c>
      <x:c r="H6694" t="str">
        <x:v>C</x:v>
      </x:c>
      <x:c r="I6694" t="str">
        <x:v>7-9 years</x:v>
      </x:c>
      <x:c r="J6694" t="str">
        <x:v>MORTGAGE</x:v>
      </x:c>
      <x:c r="K6694" t="str">
        <x:v>debt_consolidation</x:v>
      </x:c>
      <x:c r="L6694" t="n">
        <x:v>1</x:v>
      </x:c>
      <x:c r="M6694" t="n">
        <x:v>1</x:v>
      </x:c>
      <x:c r="N6694" t="str">
        <x:v>Charged Off</x:v>
      </x:c>
      <x:c r="O6694" t="str">
        <x:f>IF(D6694="","Unknown",IF(D6694&lt;25000,"&lt;$25k",IF(D6694&lt;50000,"$25k-$50k",IF(D6694&lt;75000,"$50k-$75k",IF(D6694&lt;100000,"$75k-$100k","$100k+")))))</x:f>
        <x:v>$75k-$100k</x:v>
      </x:c>
      <x:c r="P6694" t="str">
        <x:f>IF(E6694="","Unknown",IF(E6694&lt;10,"&lt;10",IF(E6694&lt;20,"10-&lt;20",IF(E6694&lt;25,"20-&lt;25",IF(E6694&lt;35,"25-&lt;35","35+")))))</x:f>
        <x:v>20-&lt;25</x:v>
      </x:c>
    </x:row>
    <x:row r="6695">
      <x:c r="A6695" t="str">
        <x:v>SYN0006694</x:v>
      </x:c>
      <x:c r="B6695" s="12" t="n">
        <x:v>43255</x:v>
      </x:c>
      <x:c r="C6695" s="18" t="n">
        <x:v>26483</x:v>
      </x:c>
      <x:c r="D6695" s="18" t="n">
        <x:v>41011</x:v>
      </x:c>
      <x:c r="E6695" s="18" t="n">
        <x:v>22.74</x:v>
      </x:c>
      <x:c r="F6695" s="18" t="n">
        <x:v>10.17</x:v>
      </x:c>
      <x:c r="G6695" t="n">
        <x:v>36</x:v>
      </x:c>
      <x:c r="H6695" t="str">
        <x:v>B</x:v>
      </x:c>
      <x:c r="I6695" t="str">
        <x:v>4-6 years</x:v>
      </x:c>
      <x:c r="J6695" t="str">
        <x:v>RENT</x:v>
      </x:c>
      <x:c r="K6695" t="str">
        <x:v>debt_consolidation</x:v>
      </x:c>
      <x:c r="L6695" t="n">
        <x:v>0</x:v>
      </x:c>
      <x:c r="M6695" t="n">
        <x:v>0</x:v>
      </x:c>
      <x:c r="N6695" t="str">
        <x:v>Fully Paid</x:v>
      </x:c>
      <x:c r="O6695" t="str">
        <x:f>IF(D6695="","Unknown",IF(D6695&lt;25000,"&lt;$25k",IF(D6695&lt;50000,"$25k-$50k",IF(D6695&lt;75000,"$50k-$75k",IF(D6695&lt;100000,"$75k-$100k","$100k+")))))</x:f>
        <x:v>$25k-$50k</x:v>
      </x:c>
      <x:c r="P6695" t="str">
        <x:f>IF(E6695="","Unknown",IF(E6695&lt;10,"&lt;10",IF(E6695&lt;20,"10-&lt;20",IF(E6695&lt;25,"20-&lt;25",IF(E6695&lt;35,"25-&lt;35","35+")))))</x:f>
        <x:v>20-&lt;25</x:v>
      </x:c>
    </x:row>
    <x:row r="6696">
      <x:c r="A6696" t="str">
        <x:v>SYN0006695</x:v>
      </x:c>
      <x:c r="B6696" s="12" t="n">
        <x:v>42235</x:v>
      </x:c>
      <x:c r="C6696" s="18" t="n">
        <x:v>18674</x:v>
      </x:c>
      <x:c r="D6696" s="18" t="n">
        <x:v>31361</x:v>
      </x:c>
      <x:c r="E6696" s="18" t="n">
        <x:v>29.85</x:v>
      </x:c>
      <x:c r="F6696" s="18" t="n">
        <x:v>19.61</x:v>
      </x:c>
      <x:c r="G6696" t="n">
        <x:v>36</x:v>
      </x:c>
      <x:c r="H6696" t="str">
        <x:v>F</x:v>
      </x:c>
      <x:c r="I6696" t="str">
        <x:v>10+ years</x:v>
      </x:c>
      <x:c r="J6696" t="str">
        <x:v>RENT</x:v>
      </x:c>
      <x:c r="K6696" t="str">
        <x:v>credit_card</x:v>
      </x:c>
      <x:c r="L6696" t="n">
        <x:v>1</x:v>
      </x:c>
      <x:c r="M6696" t="n">
        <x:v>1</x:v>
      </x:c>
      <x:c r="N6696" t="str">
        <x:v>Charged Off</x:v>
      </x:c>
      <x:c r="O6696" t="str">
        <x:f>IF(D6696="","Unknown",IF(D6696&lt;25000,"&lt;$25k",IF(D6696&lt;50000,"$25k-$50k",IF(D6696&lt;75000,"$50k-$75k",IF(D6696&lt;100000,"$75k-$100k","$100k+")))))</x:f>
        <x:v>$25k-$50k</x:v>
      </x:c>
      <x:c r="P6696" t="str">
        <x:f>IF(E6696="","Unknown",IF(E6696&lt;10,"&lt;10",IF(E6696&lt;20,"10-&lt;20",IF(E6696&lt;25,"20-&lt;25",IF(E6696&lt;35,"25-&lt;35","35+")))))</x:f>
        <x:v>25-&lt;35</x:v>
      </x:c>
    </x:row>
    <x:row r="6697">
      <x:c r="A6697" t="str">
        <x:v>SYN0006696</x:v>
      </x:c>
      <x:c r="B6697" s="12" t="n">
        <x:v>42955</x:v>
      </x:c>
      <x:c r="C6697" s="18" t="n">
        <x:v>7874</x:v>
      </x:c>
      <x:c r="D6697" s="18" t="n">
        <x:v>90448</x:v>
      </x:c>
      <x:c r="E6697" s="18" t="n">
        <x:v>22.26</x:v>
      </x:c>
      <x:c r="F6697" s="18" t="n">
        <x:v>12.07</x:v>
      </x:c>
      <x:c r="G6697" t="n">
        <x:v>36</x:v>
      </x:c>
      <x:c r="H6697" t="str">
        <x:v>C</x:v>
      </x:c>
      <x:c r="I6697" t="str">
        <x:v>1-3 years</x:v>
      </x:c>
      <x:c r="J6697" t="str">
        <x:v>RENT</x:v>
      </x:c>
      <x:c r="K6697" t="str">
        <x:v>debt_consolidation</x:v>
      </x:c>
      <x:c r="L6697" t="n">
        <x:v>0</x:v>
      </x:c>
      <x:c r="M6697" t="n">
        <x:v>0</x:v>
      </x:c>
      <x:c r="N6697" t="str">
        <x:v>Fully Paid</x:v>
      </x:c>
      <x:c r="O6697" t="str">
        <x:f>IF(D6697="","Unknown",IF(D6697&lt;25000,"&lt;$25k",IF(D6697&lt;50000,"$25k-$50k",IF(D6697&lt;75000,"$50k-$75k",IF(D6697&lt;100000,"$75k-$100k","$100k+")))))</x:f>
        <x:v>$75k-$100k</x:v>
      </x:c>
      <x:c r="P6697" t="str">
        <x:f>IF(E6697="","Unknown",IF(E6697&lt;10,"&lt;10",IF(E6697&lt;20,"10-&lt;20",IF(E6697&lt;25,"20-&lt;25",IF(E6697&lt;35,"25-&lt;35","35+")))))</x:f>
        <x:v>20-&lt;25</x:v>
      </x:c>
    </x:row>
    <x:row r="6698">
      <x:c r="A6698" t="str">
        <x:v>SYN0006697</x:v>
      </x:c>
      <x:c r="B6698" s="12" t="n">
        <x:v>41485</x:v>
      </x:c>
      <x:c r="C6698" s="18" t="n">
        <x:v>10003</x:v>
      </x:c>
      <x:c r="D6698" s="18" t="n">
        <x:v>61787</x:v>
      </x:c>
      <x:c r="E6698" s="18" t="n">
        <x:v>18.12</x:v>
      </x:c>
      <x:c r="F6698" s="18" t="n">
        <x:v>20.2</x:v>
      </x:c>
      <x:c r="G6698" t="n">
        <x:v>36</x:v>
      </x:c>
      <x:c r="H6698" t="str">
        <x:v>E</x:v>
      </x:c>
      <x:c r="I6698" t="str">
        <x:v>10+ years</x:v>
      </x:c>
      <x:c r="J6698" t="str">
        <x:v>RENT</x:v>
      </x:c>
      <x:c r="K6698" t="str">
        <x:v>home_improvement</x:v>
      </x:c>
      <x:c r="L6698" t="n">
        <x:v>0</x:v>
      </x:c>
      <x:c r="M6698" t="n">
        <x:v>1</x:v>
      </x:c>
      <x:c r="N6698" t="str">
        <x:v>Charged Off</x:v>
      </x:c>
      <x:c r="O6698" t="str">
        <x:f>IF(D6698="","Unknown",IF(D6698&lt;25000,"&lt;$25k",IF(D6698&lt;50000,"$25k-$50k",IF(D6698&lt;75000,"$50k-$75k",IF(D6698&lt;100000,"$75k-$100k","$100k+")))))</x:f>
        <x:v>$50k-$75k</x:v>
      </x:c>
      <x:c r="P6698" t="str">
        <x:f>IF(E6698="","Unknown",IF(E6698&lt;10,"&lt;10",IF(E6698&lt;20,"10-&lt;20",IF(E6698&lt;25,"20-&lt;25",IF(E6698&lt;35,"25-&lt;35","35+")))))</x:f>
        <x:v>10-&lt;20</x:v>
      </x:c>
    </x:row>
    <x:row r="6699">
      <x:c r="A6699" t="str">
        <x:v>SYN0006698</x:v>
      </x:c>
      <x:c r="B6699" s="12" t="n">
        <x:v>41845</x:v>
      </x:c>
      <x:c r="C6699" s="18" t="n">
        <x:v>14670</x:v>
      </x:c>
      <x:c r="D6699" s="18" t="n">
        <x:v>40924</x:v>
      </x:c>
      <x:c r="E6699" s="18" t="n">
        <x:v>31.74</x:v>
      </x:c>
      <x:c r="F6699" s="18" t="n">
        <x:v>9.06</x:v>
      </x:c>
      <x:c r="G6699" t="n">
        <x:v>36</x:v>
      </x:c>
      <x:c r="H6699" t="str">
        <x:v>C</x:v>
      </x:c>
      <x:c r="I6699" t="str">
        <x:v>1-3 years</x:v>
      </x:c>
      <x:c r="J6699" t="str">
        <x:v>RENT</x:v>
      </x:c>
      <x:c r="K6699" t="str">
        <x:v>home_improvement</x:v>
      </x:c>
      <x:c r="L6699" t="n">
        <x:v>1</x:v>
      </x:c>
      <x:c r="M6699" t="n">
        <x:v>0</x:v>
      </x:c>
      <x:c r="N6699" t="str">
        <x:v>Fully Paid</x:v>
      </x:c>
      <x:c r="O6699" t="str">
        <x:f>IF(D6699="","Unknown",IF(D6699&lt;25000,"&lt;$25k",IF(D6699&lt;50000,"$25k-$50k",IF(D6699&lt;75000,"$50k-$75k",IF(D6699&lt;100000,"$75k-$100k","$100k+")))))</x:f>
        <x:v>$25k-$50k</x:v>
      </x:c>
      <x:c r="P6699" t="str">
        <x:f>IF(E6699="","Unknown",IF(E6699&lt;10,"&lt;10",IF(E6699&lt;20,"10-&lt;20",IF(E6699&lt;25,"20-&lt;25",IF(E6699&lt;35,"25-&lt;35","35+")))))</x:f>
        <x:v>25-&lt;35</x:v>
      </x:c>
    </x:row>
    <x:row r="6700">
      <x:c r="A6700" t="str">
        <x:v>SYN0006699</x:v>
      </x:c>
      <x:c r="B6700" s="12" t="n">
        <x:v>42745</x:v>
      </x:c>
      <x:c r="C6700" s="18" t="n">
        <x:v>12886</x:v>
      </x:c>
      <x:c r="D6700" s="18" t="n">
        <x:v>29491</x:v>
      </x:c>
      <x:c r="E6700" s="18" t="n">
        <x:v>29.17</x:v>
      </x:c>
      <x:c r="F6700" s="18" t="n">
        <x:v>11.77</x:v>
      </x:c>
      <x:c r="G6700" t="n">
        <x:v>36</x:v>
      </x:c>
      <x:c r="H6700" t="str">
        <x:v>C</x:v>
      </x:c>
      <x:c r="I6700" t="str">
        <x:v>10+ years</x:v>
      </x:c>
      <x:c r="J6700" t="str">
        <x:v>OWN</x:v>
      </x:c>
      <x:c r="K6700" t="str">
        <x:v>credit_card</x:v>
      </x:c>
      <x:c r="L6700" t="n">
        <x:v>1</x:v>
      </x:c>
      <x:c r="M6700" t="n">
        <x:v>0</x:v>
      </x:c>
      <x:c r="N6700" t="str">
        <x:v>Fully Paid</x:v>
      </x:c>
      <x:c r="O6700" t="str">
        <x:f>IF(D6700="","Unknown",IF(D6700&lt;25000,"&lt;$25k",IF(D6700&lt;50000,"$25k-$50k",IF(D6700&lt;75000,"$50k-$75k",IF(D6700&lt;100000,"$75k-$100k","$100k+")))))</x:f>
        <x:v>$25k-$50k</x:v>
      </x:c>
      <x:c r="P6700" t="str">
        <x:f>IF(E6700="","Unknown",IF(E6700&lt;10,"&lt;10",IF(E6700&lt;20,"10-&lt;20",IF(E6700&lt;25,"20-&lt;25",IF(E6700&lt;35,"25-&lt;35","35+")))))</x:f>
        <x:v>25-&lt;35</x:v>
      </x:c>
    </x:row>
    <x:row r="6701">
      <x:c r="A6701" t="str">
        <x:v>SYN0006700</x:v>
      </x:c>
      <x:c r="B6701" s="12" t="n">
        <x:v>41545</x:v>
      </x:c>
      <x:c r="C6701" s="18" t="n">
        <x:v>11084</x:v>
      </x:c>
      <x:c r="D6701" s="18" t="n">
        <x:v>93226</x:v>
      </x:c>
      <x:c r="E6701" s="18" t="n">
        <x:v>21.51</x:v>
      </x:c>
      <x:c r="F6701" s="18" t="n">
        <x:v>7.71</x:v>
      </x:c>
      <x:c r="G6701" t="n">
        <x:v>36</x:v>
      </x:c>
      <x:c r="H6701" t="str">
        <x:v>B</x:v>
      </x:c>
      <x:c r="I6701" t="str">
        <x:v>10+ years</x:v>
      </x:c>
      <x:c r="J6701" t="str">
        <x:v>MORTGAGE</x:v>
      </x:c>
      <x:c r="K6701" t="str">
        <x:v>major_purchase</x:v>
      </x:c>
      <x:c r="L6701" t="n">
        <x:v>0</x:v>
      </x:c>
      <x:c r="M6701" t="n">
        <x:v>0</x:v>
      </x:c>
      <x:c r="N6701" t="str">
        <x:v>Fully Paid</x:v>
      </x:c>
      <x:c r="O6701" t="str">
        <x:f>IF(D6701="","Unknown",IF(D6701&lt;25000,"&lt;$25k",IF(D6701&lt;50000,"$25k-$50k",IF(D6701&lt;75000,"$50k-$75k",IF(D6701&lt;100000,"$75k-$100k","$100k+")))))</x:f>
        <x:v>$75k-$100k</x:v>
      </x:c>
      <x:c r="P6701" t="str">
        <x:f>IF(E6701="","Unknown",IF(E6701&lt;10,"&lt;10",IF(E6701&lt;20,"10-&lt;20",IF(E6701&lt;25,"20-&lt;25",IF(E6701&lt;35,"25-&lt;35","35+")))))</x:f>
        <x:v>20-&lt;25</x:v>
      </x:c>
    </x:row>
    <x:row r="6702">
      <x:c r="A6702" t="str">
        <x:v>SYN0006701</x:v>
      </x:c>
      <x:c r="B6702" s="12" t="n">
        <x:v>42475</x:v>
      </x:c>
      <x:c r="C6702" s="18" t="n">
        <x:v>17867</x:v>
      </x:c>
      <x:c r="D6702" s="18" t="n">
        <x:v>41172</x:v>
      </x:c>
      <x:c r="E6702" s="18" t="n">
        <x:v>24.45</x:v>
      </x:c>
      <x:c r="F6702" s="18" t="n">
        <x:v>9.58</x:v>
      </x:c>
      <x:c r="G6702" t="n">
        <x:v>60</x:v>
      </x:c>
      <x:c r="H6702" t="str">
        <x:v>C</x:v>
      </x:c>
      <x:c r="I6702" t="str">
        <x:v>4-6 years</x:v>
      </x:c>
      <x:c r="J6702" t="str">
        <x:v>RENT</x:v>
      </x:c>
      <x:c r="K6702" t="str">
        <x:v>major_purchase</x:v>
      </x:c>
      <x:c r="L6702" t="n">
        <x:v>0</x:v>
      </x:c>
      <x:c r="M6702" t="n">
        <x:v>0</x:v>
      </x:c>
      <x:c r="N6702" t="str">
        <x:v>Fully Paid</x:v>
      </x:c>
      <x:c r="O6702" t="str">
        <x:f>IF(D6702="","Unknown",IF(D6702&lt;25000,"&lt;$25k",IF(D6702&lt;50000,"$25k-$50k",IF(D6702&lt;75000,"$50k-$75k",IF(D6702&lt;100000,"$75k-$100k","$100k+")))))</x:f>
        <x:v>$25k-$50k</x:v>
      </x:c>
      <x:c r="P6702" t="str">
        <x:f>IF(E6702="","Unknown",IF(E6702&lt;10,"&lt;10",IF(E6702&lt;20,"10-&lt;20",IF(E6702&lt;25,"20-&lt;25",IF(E6702&lt;35,"25-&lt;35","35+")))))</x:f>
        <x:v>20-&lt;25</x:v>
      </x:c>
    </x:row>
    <x:row r="6703">
      <x:c r="A6703" t="str">
        <x:v>SYN0006702</x:v>
      </x:c>
      <x:c r="B6703" s="12" t="n">
        <x:v>43135</x:v>
      </x:c>
      <x:c r="C6703" s="18" t="n">
        <x:v>8437</x:v>
      </x:c>
      <x:c r="D6703" s="18" t="n">
        <x:v>25594</x:v>
      </x:c>
      <x:c r="E6703" s="18" t="n">
        <x:v>21.54</x:v>
      </x:c>
      <x:c r="F6703" s="18" t="n">
        <x:v>14.38</x:v>
      </x:c>
      <x:c r="G6703" t="n">
        <x:v>36</x:v>
      </x:c>
      <x:c r="H6703" t="str">
        <x:v>D</x:v>
      </x:c>
      <x:c r="I6703" t="str">
        <x:v>&lt;1 year</x:v>
      </x:c>
      <x:c r="J6703" t="str">
        <x:v>MORTGAGE</x:v>
      </x:c>
      <x:c r="K6703" t="str">
        <x:v>credit_card</x:v>
      </x:c>
      <x:c r="L6703" t="n">
        <x:v>0</x:v>
      </x:c>
      <x:c r="M6703" t="n">
        <x:v>0</x:v>
      </x:c>
      <x:c r="N6703" t="str">
        <x:v>Fully Paid</x:v>
      </x:c>
      <x:c r="O6703" t="str">
        <x:f>IF(D6703="","Unknown",IF(D6703&lt;25000,"&lt;$25k",IF(D6703&lt;50000,"$25k-$50k",IF(D6703&lt;75000,"$50k-$75k",IF(D6703&lt;100000,"$75k-$100k","$100k+")))))</x:f>
        <x:v>$25k-$50k</x:v>
      </x:c>
      <x:c r="P6703" t="str">
        <x:f>IF(E6703="","Unknown",IF(E6703&lt;10,"&lt;10",IF(E6703&lt;20,"10-&lt;20",IF(E6703&lt;25,"20-&lt;25",IF(E6703&lt;35,"25-&lt;35","35+")))))</x:f>
        <x:v>20-&lt;25</x:v>
      </x:c>
    </x:row>
    <x:row r="6704">
      <x:c r="A6704" t="str">
        <x:v>SYN0006703</x:v>
      </x:c>
      <x:c r="B6704" s="12" t="n">
        <x:v>43345</x:v>
      </x:c>
      <x:c r="C6704" s="18" t="n">
        <x:v>12319</x:v>
      </x:c>
      <x:c r="D6704" s="18" t="n">
        <x:v>114188</x:v>
      </x:c>
      <x:c r="E6704" s="18" t="n">
        <x:v>34.1</x:v>
      </x:c>
      <x:c r="F6704" s="18" t="n">
        <x:v>13.68</x:v>
      </x:c>
      <x:c r="G6704" t="n">
        <x:v>36</x:v>
      </x:c>
      <x:c r="H6704" t="str">
        <x:v>D</x:v>
      </x:c>
      <x:c r="I6704" t="str">
        <x:v>1-3 years</x:v>
      </x:c>
      <x:c r="J6704" t="str">
        <x:v>MORTGAGE</x:v>
      </x:c>
      <x:c r="K6704" t="str">
        <x:v>debt_consolidation</x:v>
      </x:c>
      <x:c r="L6704" t="n">
        <x:v>1</x:v>
      </x:c>
      <x:c r="M6704" t="n">
        <x:v>0</x:v>
      </x:c>
      <x:c r="N6704" t="str">
        <x:v>Fully Paid</x:v>
      </x:c>
      <x:c r="O6704" t="str">
        <x:f>IF(D6704="","Unknown",IF(D6704&lt;25000,"&lt;$25k",IF(D6704&lt;50000,"$25k-$50k",IF(D6704&lt;75000,"$50k-$75k",IF(D6704&lt;100000,"$75k-$100k","$100k+")))))</x:f>
        <x:v>$100k+</x:v>
      </x:c>
      <x:c r="P6704" t="str">
        <x:f>IF(E6704="","Unknown",IF(E6704&lt;10,"&lt;10",IF(E6704&lt;20,"10-&lt;20",IF(E6704&lt;25,"20-&lt;25",IF(E6704&lt;35,"25-&lt;35","35+")))))</x:f>
        <x:v>25-&lt;35</x:v>
      </x:c>
    </x:row>
    <x:row r="6705">
      <x:c r="A6705" t="str">
        <x:v>SYN0006704</x:v>
      </x:c>
      <x:c r="B6705" s="12" t="n">
        <x:v>41785</x:v>
      </x:c>
      <x:c r="C6705" s="18" t="n">
        <x:v>15734</x:v>
      </x:c>
      <x:c r="D6705" s="18" t="n">
        <x:v>21530</x:v>
      </x:c>
      <x:c r="E6705" s="18" t="n">
        <x:v>15.61</x:v>
      </x:c>
      <x:c r="F6705" s="18" t="n">
        <x:v>21.71</x:v>
      </x:c>
      <x:c r="G6705" t="n">
        <x:v>36</x:v>
      </x:c>
      <x:c r="H6705" t="str">
        <x:v>F</x:v>
      </x:c>
      <x:c r="I6705" t="str">
        <x:v>4-6 years</x:v>
      </x:c>
      <x:c r="J6705" t="str">
        <x:v>RENT</x:v>
      </x:c>
      <x:c r="K6705" t="str">
        <x:v>credit_card</x:v>
      </x:c>
      <x:c r="L6705" t="n">
        <x:v>0</x:v>
      </x:c>
      <x:c r="M6705" t="n">
        <x:v>0</x:v>
      </x:c>
      <x:c r="N6705" t="str">
        <x:v>Fully Paid</x:v>
      </x:c>
      <x:c r="O6705" t="str">
        <x:f>IF(D6705="","Unknown",IF(D6705&lt;25000,"&lt;$25k",IF(D6705&lt;50000,"$25k-$50k",IF(D6705&lt;75000,"$50k-$75k",IF(D6705&lt;100000,"$75k-$100k","$100k+")))))</x:f>
        <x:v>&lt;$25k</x:v>
      </x:c>
      <x:c r="P6705" t="str">
        <x:f>IF(E6705="","Unknown",IF(E6705&lt;10,"&lt;10",IF(E6705&lt;20,"10-&lt;20",IF(E6705&lt;25,"20-&lt;25",IF(E6705&lt;35,"25-&lt;35","35+")))))</x:f>
        <x:v>10-&lt;20</x:v>
      </x:c>
    </x:row>
    <x:row r="6706">
      <x:c r="A6706" t="str">
        <x:v>SYN0006705</x:v>
      </x:c>
      <x:c r="B6706" s="12" t="n">
        <x:v>43405</x:v>
      </x:c>
      <x:c r="C6706" s="18" t="n">
        <x:v>8203</x:v>
      </x:c>
      <x:c r="D6706" s="18" t="n">
        <x:v>50352</x:v>
      </x:c>
      <x:c r="E6706" s="18" t="n">
        <x:v>12.95</x:v>
      </x:c>
      <x:c r="F6706" s="18" t="n">
        <x:v>5</x:v>
      </x:c>
      <x:c r="G6706" t="n">
        <x:v>60</x:v>
      </x:c>
      <x:c r="H6706" t="str">
        <x:v>A</x:v>
      </x:c>
      <x:c r="I6706" t="str">
        <x:v>10+ years</x:v>
      </x:c>
      <x:c r="J6706" t="str">
        <x:v>MORTGAGE</x:v>
      </x:c>
      <x:c r="K6706" t="str">
        <x:v>other</x:v>
      </x:c>
      <x:c r="L6706" t="n">
        <x:v>0</x:v>
      </x:c>
      <x:c r="M6706" t="n">
        <x:v>0</x:v>
      </x:c>
      <x:c r="N6706" t="str">
        <x:v>Fully Paid</x:v>
      </x:c>
      <x:c r="O6706" t="str">
        <x:f>IF(D6706="","Unknown",IF(D6706&lt;25000,"&lt;$25k",IF(D6706&lt;50000,"$25k-$50k",IF(D6706&lt;75000,"$50k-$75k",IF(D6706&lt;100000,"$75k-$100k","$100k+")))))</x:f>
        <x:v>$50k-$75k</x:v>
      </x:c>
      <x:c r="P6706" t="str">
        <x:f>IF(E6706="","Unknown",IF(E6706&lt;10,"&lt;10",IF(E6706&lt;20,"10-&lt;20",IF(E6706&lt;25,"20-&lt;25",IF(E6706&lt;35,"25-&lt;35","35+")))))</x:f>
        <x:v>10-&lt;20</x:v>
      </x:c>
    </x:row>
    <x:row r="6707">
      <x:c r="A6707" t="str">
        <x:v>SYN0006706</x:v>
      </x:c>
      <x:c r="B6707" s="12" t="n">
        <x:v>43165</x:v>
      </x:c>
      <x:c r="C6707" s="18" t="n">
        <x:v>5535</x:v>
      </x:c>
      <x:c r="D6707" s="18" t="n">
        <x:v>46670</x:v>
      </x:c>
      <x:c r="E6707" s="18" t="n">
        <x:v>29.38</x:v>
      </x:c>
      <x:c r="F6707" s="18" t="n">
        <x:v>16.98</x:v>
      </x:c>
      <x:c r="G6707" t="n">
        <x:v>60</x:v>
      </x:c>
      <x:c r="H6707" t="str">
        <x:v>E</x:v>
      </x:c>
      <x:c r="I6707" t="str">
        <x:v>4-6 years</x:v>
      </x:c>
      <x:c r="J6707" t="str">
        <x:v>RENT</x:v>
      </x:c>
      <x:c r="K6707" t="str">
        <x:v>other</x:v>
      </x:c>
      <x:c r="L6707" t="n">
        <x:v>0</x:v>
      </x:c>
      <x:c r="M6707" t="n">
        <x:v>1</x:v>
      </x:c>
      <x:c r="N6707" t="str">
        <x:v>Charged Off</x:v>
      </x:c>
      <x:c r="O6707" t="str">
        <x:f>IF(D6707="","Unknown",IF(D6707&lt;25000,"&lt;$25k",IF(D6707&lt;50000,"$25k-$50k",IF(D6707&lt;75000,"$50k-$75k",IF(D6707&lt;100000,"$75k-$100k","$100k+")))))</x:f>
        <x:v>$25k-$50k</x:v>
      </x:c>
      <x:c r="P6707" t="str">
        <x:f>IF(E6707="","Unknown",IF(E6707&lt;10,"&lt;10",IF(E6707&lt;20,"10-&lt;20",IF(E6707&lt;25,"20-&lt;25",IF(E6707&lt;35,"25-&lt;35","35+")))))</x:f>
        <x:v>25-&lt;35</x:v>
      </x:c>
    </x:row>
    <x:row r="6708">
      <x:c r="A6708" t="str">
        <x:v>SYN0006707</x:v>
      </x:c>
      <x:c r="B6708" s="12" t="n">
        <x:v>42265</x:v>
      </x:c>
      <x:c r="C6708" s="18" t="n">
        <x:v>5012</x:v>
      </x:c>
      <x:c r="D6708" s="18" t="n">
        <x:v>142039</x:v>
      </x:c>
      <x:c r="E6708" s="18" t="n">
        <x:v>12.73</x:v>
      </x:c>
      <x:c r="F6708" s="18" t="n">
        <x:v>10.33</x:v>
      </x:c>
      <x:c r="G6708" t="n">
        <x:v>36</x:v>
      </x:c>
      <x:c r="H6708" t="str">
        <x:v>B</x:v>
      </x:c>
      <x:c r="I6708" t="str">
        <x:v>10+ years</x:v>
      </x:c>
      <x:c r="J6708" t="str">
        <x:v>RENT</x:v>
      </x:c>
      <x:c r="K6708" t="str">
        <x:v>debt_consolidation</x:v>
      </x:c>
      <x:c r="L6708" t="n">
        <x:v>0</x:v>
      </x:c>
      <x:c r="M6708" t="n">
        <x:v>0</x:v>
      </x:c>
      <x:c r="N6708" t="str">
        <x:v>Fully Paid</x:v>
      </x:c>
      <x:c r="O6708" t="str">
        <x:f>IF(D6708="","Unknown",IF(D6708&lt;25000,"&lt;$25k",IF(D6708&lt;50000,"$25k-$50k",IF(D6708&lt;75000,"$50k-$75k",IF(D6708&lt;100000,"$75k-$100k","$100k+")))))</x:f>
        <x:v>$100k+</x:v>
      </x:c>
      <x:c r="P6708" t="str">
        <x:f>IF(E6708="","Unknown",IF(E6708&lt;10,"&lt;10",IF(E6708&lt;20,"10-&lt;20",IF(E6708&lt;25,"20-&lt;25",IF(E6708&lt;35,"25-&lt;35","35+")))))</x:f>
        <x:v>10-&lt;20</x:v>
      </x:c>
    </x:row>
    <x:row r="6709">
      <x:c r="A6709" t="str">
        <x:v>SYN0006708</x:v>
      </x:c>
      <x:c r="B6709" s="12" t="n">
        <x:v>42205</x:v>
      </x:c>
      <x:c r="C6709" s="18" t="n">
        <x:v>23847</x:v>
      </x:c>
      <x:c r="D6709" s="18" t="n">
        <x:v>75805</x:v>
      </x:c>
      <x:c r="E6709" s="18" t="n">
        <x:v>35.19</x:v>
      </x:c>
      <x:c r="F6709" s="18" t="n">
        <x:v>23.71</x:v>
      </x:c>
      <x:c r="G6709" t="n">
        <x:v>60</x:v>
      </x:c>
      <x:c r="H6709" t="str">
        <x:v>F</x:v>
      </x:c>
      <x:c r="I6709" t="str">
        <x:v>4-6 years</x:v>
      </x:c>
      <x:c r="J6709" t="str">
        <x:v>MORTGAGE</x:v>
      </x:c>
      <x:c r="K6709" t="str">
        <x:v>home_improvement</x:v>
      </x:c>
      <x:c r="L6709" t="n">
        <x:v>0</x:v>
      </x:c>
      <x:c r="M6709" t="n">
        <x:v>0</x:v>
      </x:c>
      <x:c r="N6709" t="str">
        <x:v>Fully Paid</x:v>
      </x:c>
      <x:c r="O6709" t="str">
        <x:f>IF(D6709="","Unknown",IF(D6709&lt;25000,"&lt;$25k",IF(D6709&lt;50000,"$25k-$50k",IF(D6709&lt;75000,"$50k-$75k",IF(D6709&lt;100000,"$75k-$100k","$100k+")))))</x:f>
        <x:v>$75k-$100k</x:v>
      </x:c>
      <x:c r="P6709" t="str">
        <x:f>IF(E6709="","Unknown",IF(E6709&lt;10,"&lt;10",IF(E6709&lt;20,"10-&lt;20",IF(E6709&lt;25,"20-&lt;25",IF(E6709&lt;35,"25-&lt;35","35+")))))</x:f>
        <x:v>35+</x:v>
      </x:c>
    </x:row>
    <x:row r="6710">
      <x:c r="A6710" t="str">
        <x:v>SYN0006709</x:v>
      </x:c>
      <x:c r="B6710" s="12" t="n">
        <x:v>42685</x:v>
      </x:c>
      <x:c r="C6710" s="18" t="n">
        <x:v>14071</x:v>
      </x:c>
      <x:c r="D6710" s="18" t="n">
        <x:v>120396</x:v>
      </x:c>
      <x:c r="E6710" s="18" t="n">
        <x:v>0.95</x:v>
      </x:c>
      <x:c r="F6710" s="18" t="n">
        <x:v>8.38</x:v>
      </x:c>
      <x:c r="G6710" t="n">
        <x:v>60</x:v>
      </x:c>
      <x:c r="H6710" t="str">
        <x:v>A</x:v>
      </x:c>
      <x:c r="I6710" t="str">
        <x:v>1-3 years</x:v>
      </x:c>
      <x:c r="J6710" t="str">
        <x:v>RENT</x:v>
      </x:c>
      <x:c r="K6710" t="str">
        <x:v>home_improvement</x:v>
      </x:c>
      <x:c r="L6710" t="n">
        <x:v>0</x:v>
      </x:c>
      <x:c r="M6710" t="n">
        <x:v>0</x:v>
      </x:c>
      <x:c r="N6710" t="str">
        <x:v>Fully Paid</x:v>
      </x:c>
      <x:c r="O6710" t="str">
        <x:f>IF(D6710="","Unknown",IF(D6710&lt;25000,"&lt;$25k",IF(D6710&lt;50000,"$25k-$50k",IF(D6710&lt;75000,"$50k-$75k",IF(D6710&lt;100000,"$75k-$100k","$100k+")))))</x:f>
        <x:v>$100k+</x:v>
      </x:c>
      <x:c r="P6710" t="str">
        <x:f>IF(E6710="","Unknown",IF(E6710&lt;10,"&lt;10",IF(E6710&lt;20,"10-&lt;20",IF(E6710&lt;25,"20-&lt;25",IF(E6710&lt;35,"25-&lt;35","35+")))))</x:f>
        <x:v>&lt;10</x:v>
      </x:c>
    </x:row>
    <x:row r="6711">
      <x:c r="A6711" t="str">
        <x:v>SYN0006710</x:v>
      </x:c>
      <x:c r="B6711" s="12" t="n">
        <x:v>42175</x:v>
      </x:c>
      <x:c r="C6711" s="18" t="n">
        <x:v>15202</x:v>
      </x:c>
      <x:c r="D6711" s="18" t="n">
        <x:v>24383</x:v>
      </x:c>
      <x:c r="E6711" s="18" t="n">
        <x:v>15.53</x:v>
      </x:c>
      <x:c r="F6711" s="18" t="n">
        <x:v>20.23</x:v>
      </x:c>
      <x:c r="G6711" t="n">
        <x:v>36</x:v>
      </x:c>
      <x:c r="H6711" t="str">
        <x:v>F</x:v>
      </x:c>
      <x:c r="I6711" t="str">
        <x:v>10+ years</x:v>
      </x:c>
      <x:c r="J6711" t="str">
        <x:v>MORTGAGE</x:v>
      </x:c>
      <x:c r="K6711" t="str">
        <x:v>debt_consolidation</x:v>
      </x:c>
      <x:c r="L6711" t="n">
        <x:v>1</x:v>
      </x:c>
      <x:c r="M6711" t="n">
        <x:v>0</x:v>
      </x:c>
      <x:c r="N6711" t="str">
        <x:v>Fully Paid</x:v>
      </x:c>
      <x:c r="O6711" t="str">
        <x:f>IF(D6711="","Unknown",IF(D6711&lt;25000,"&lt;$25k",IF(D6711&lt;50000,"$25k-$50k",IF(D6711&lt;75000,"$50k-$75k",IF(D6711&lt;100000,"$75k-$100k","$100k+")))))</x:f>
        <x:v>&lt;$25k</x:v>
      </x:c>
      <x:c r="P6711" t="str">
        <x:f>IF(E6711="","Unknown",IF(E6711&lt;10,"&lt;10",IF(E6711&lt;20,"10-&lt;20",IF(E6711&lt;25,"20-&lt;25",IF(E6711&lt;35,"25-&lt;35","35+")))))</x:f>
        <x:v>10-&lt;20</x:v>
      </x:c>
    </x:row>
    <x:row r="6712">
      <x:c r="A6712" t="str">
        <x:v>SYN0006711</x:v>
      </x:c>
      <x:c r="B6712" s="12" t="n">
        <x:v>42895</x:v>
      </x:c>
      <x:c r="C6712" s="18" t="n">
        <x:v>11340</x:v>
      </x:c>
      <x:c r="D6712" s="18" t="n">
        <x:v>67024</x:v>
      </x:c>
      <x:c r="E6712" s="18" t="n">
        <x:v>30.96</x:v>
      </x:c>
      <x:c r="F6712" s="18" t="n">
        <x:v>17.54</x:v>
      </x:c>
      <x:c r="G6712" t="n">
        <x:v>36</x:v>
      </x:c>
      <x:c r="H6712" t="str">
        <x:v>E</x:v>
      </x:c>
      <x:c r="I6712" t="str">
        <x:v>1-3 years</x:v>
      </x:c>
      <x:c r="J6712" t="str">
        <x:v>RENT</x:v>
      </x:c>
      <x:c r="K6712" t="str">
        <x:v>debt_consolidation</x:v>
      </x:c>
      <x:c r="L6712" t="n">
        <x:v>0</x:v>
      </x:c>
      <x:c r="M6712" t="n">
        <x:v>0</x:v>
      </x:c>
      <x:c r="N6712" t="str">
        <x:v>Fully Paid</x:v>
      </x:c>
      <x:c r="O6712" t="str">
        <x:f>IF(D6712="","Unknown",IF(D6712&lt;25000,"&lt;$25k",IF(D6712&lt;50000,"$25k-$50k",IF(D6712&lt;75000,"$50k-$75k",IF(D6712&lt;100000,"$75k-$100k","$100k+")))))</x:f>
        <x:v>$50k-$75k</x:v>
      </x:c>
      <x:c r="P6712" t="str">
        <x:f>IF(E6712="","Unknown",IF(E6712&lt;10,"&lt;10",IF(E6712&lt;20,"10-&lt;20",IF(E6712&lt;25,"20-&lt;25",IF(E6712&lt;35,"25-&lt;35","35+")))))</x:f>
        <x:v>25-&lt;35</x:v>
      </x:c>
    </x:row>
    <x:row r="6713">
      <x:c r="A6713" t="str">
        <x:v>SYN0006712</x:v>
      </x:c>
      <x:c r="B6713" s="12" t="n">
        <x:v>42355</x:v>
      </x:c>
      <x:c r="C6713" s="18" t="n">
        <x:v>18350</x:v>
      </x:c>
      <x:c r="D6713" s="18" t="n">
        <x:v>62665</x:v>
      </x:c>
      <x:c r="E6713" s="18" t="n">
        <x:v>20.88</x:v>
      </x:c>
      <x:c r="F6713" s="18" t="n">
        <x:v>10.04</x:v>
      </x:c>
      <x:c r="G6713" t="n">
        <x:v>36</x:v>
      </x:c>
      <x:c r="H6713" t="str">
        <x:v>C</x:v>
      </x:c>
      <x:c r="I6713" t="str">
        <x:v>7-9 years</x:v>
      </x:c>
      <x:c r="J6713" t="str">
        <x:v>RENT</x:v>
      </x:c>
      <x:c r="K6713" t="str">
        <x:v>credit_card</x:v>
      </x:c>
      <x:c r="L6713" t="n">
        <x:v>1</x:v>
      </x:c>
      <x:c r="M6713" t="n">
        <x:v>0</x:v>
      </x:c>
      <x:c r="N6713" t="str">
        <x:v>Fully Paid</x:v>
      </x:c>
      <x:c r="O6713" t="str">
        <x:f>IF(D6713="","Unknown",IF(D6713&lt;25000,"&lt;$25k",IF(D6713&lt;50000,"$25k-$50k",IF(D6713&lt;75000,"$50k-$75k",IF(D6713&lt;100000,"$75k-$100k","$100k+")))))</x:f>
        <x:v>$50k-$75k</x:v>
      </x:c>
      <x:c r="P6713" t="str">
        <x:f>IF(E6713="","Unknown",IF(E6713&lt;10,"&lt;10",IF(E6713&lt;20,"10-&lt;20",IF(E6713&lt;25,"20-&lt;25",IF(E6713&lt;35,"25-&lt;35","35+")))))</x:f>
        <x:v>20-&lt;25</x:v>
      </x:c>
    </x:row>
    <x:row r="6714">
      <x:c r="A6714" t="str">
        <x:v>SYN0006713</x:v>
      </x:c>
      <x:c r="B6714" s="12" t="n">
        <x:v>43165</x:v>
      </x:c>
      <x:c r="C6714" s="18" t="n">
        <x:v>15316</x:v>
      </x:c>
      <x:c r="D6714" s="18" t="n">
        <x:v>54462</x:v>
      </x:c>
      <x:c r="E6714" s="18" t="n">
        <x:v>21.9</x:v>
      </x:c>
      <x:c r="F6714" s="18" t="n">
        <x:v>5</x:v>
      </x:c>
      <x:c r="G6714" t="n">
        <x:v>36</x:v>
      </x:c>
      <x:c r="H6714" t="str">
        <x:v>A</x:v>
      </x:c>
      <x:c r="I6714" t="str">
        <x:v>4-6 years</x:v>
      </x:c>
      <x:c r="J6714" t="str">
        <x:v>RENT</x:v>
      </x:c>
      <x:c r="K6714" t="str">
        <x:v>credit_card</x:v>
      </x:c>
      <x:c r="L6714" t="n">
        <x:v>0</x:v>
      </x:c>
      <x:c r="M6714" t="n">
        <x:v>0</x:v>
      </x:c>
      <x:c r="N6714" t="str">
        <x:v>Fully Paid</x:v>
      </x:c>
      <x:c r="O6714" t="str">
        <x:f>IF(D6714="","Unknown",IF(D6714&lt;25000,"&lt;$25k",IF(D6714&lt;50000,"$25k-$50k",IF(D6714&lt;75000,"$50k-$75k",IF(D6714&lt;100000,"$75k-$100k","$100k+")))))</x:f>
        <x:v>$50k-$75k</x:v>
      </x:c>
      <x:c r="P6714" t="str">
        <x:f>IF(E6714="","Unknown",IF(E6714&lt;10,"&lt;10",IF(E6714&lt;20,"10-&lt;20",IF(E6714&lt;25,"20-&lt;25",IF(E6714&lt;35,"25-&lt;35","35+")))))</x:f>
        <x:v>20-&lt;25</x:v>
      </x:c>
    </x:row>
    <x:row r="6715">
      <x:c r="A6715" t="str">
        <x:v>SYN0006714</x:v>
      </x:c>
      <x:c r="B6715" s="12" t="n">
        <x:v>42055</x:v>
      </x:c>
      <x:c r="C6715" s="18" t="n">
        <x:v>12143</x:v>
      </x:c>
      <x:c r="D6715" s="18" t="n">
        <x:v>42925</x:v>
      </x:c>
      <x:c r="E6715" s="18" t="n">
        <x:v>11.52</x:v>
      </x:c>
      <x:c r="F6715" s="18" t="n">
        <x:v>10.12</x:v>
      </x:c>
      <x:c r="G6715" t="n">
        <x:v>36</x:v>
      </x:c>
      <x:c r="H6715" t="str">
        <x:v>B</x:v>
      </x:c>
      <x:c r="I6715" t="str">
        <x:v>10+ years</x:v>
      </x:c>
      <x:c r="J6715" t="str">
        <x:v>RENT</x:v>
      </x:c>
      <x:c r="K6715" t="str">
        <x:v>debt_consolidation</x:v>
      </x:c>
      <x:c r="L6715" t="n">
        <x:v>0</x:v>
      </x:c>
      <x:c r="M6715" t="n">
        <x:v>0</x:v>
      </x:c>
      <x:c r="N6715" t="str">
        <x:v>Fully Paid</x:v>
      </x:c>
      <x:c r="O6715" t="str">
        <x:f>IF(D6715="","Unknown",IF(D6715&lt;25000,"&lt;$25k",IF(D6715&lt;50000,"$25k-$50k",IF(D6715&lt;75000,"$50k-$75k",IF(D6715&lt;100000,"$75k-$100k","$100k+")))))</x:f>
        <x:v>$25k-$50k</x:v>
      </x:c>
      <x:c r="P6715" t="str">
        <x:f>IF(E6715="","Unknown",IF(E6715&lt;10,"&lt;10",IF(E6715&lt;20,"10-&lt;20",IF(E6715&lt;25,"20-&lt;25",IF(E6715&lt;35,"25-&lt;35","35+")))))</x:f>
        <x:v>10-&lt;20</x:v>
      </x:c>
    </x:row>
    <x:row r="6716">
      <x:c r="A6716" t="str">
        <x:v>SYN0006715</x:v>
      </x:c>
      <x:c r="B6716" s="12" t="n">
        <x:v>42025</x:v>
      </x:c>
      <x:c r="C6716" s="18" t="n">
        <x:v>23307</x:v>
      </x:c>
      <x:c r="D6716" s="18" t="n">
        <x:v>25042</x:v>
      </x:c>
      <x:c r="E6716" s="18" t="n">
        <x:v>16.6</x:v>
      </x:c>
      <x:c r="F6716" s="18" t="n">
        <x:v>6.76</x:v>
      </x:c>
      <x:c r="G6716" t="n">
        <x:v>36</x:v>
      </x:c>
      <x:c r="H6716" t="str">
        <x:v>B</x:v>
      </x:c>
      <x:c r="I6716" t="str">
        <x:v>7-9 years</x:v>
      </x:c>
      <x:c r="J6716" t="str">
        <x:v>RENT</x:v>
      </x:c>
      <x:c r="K6716" t="str">
        <x:v>debt_consolidation</x:v>
      </x:c>
      <x:c r="L6716" t="n">
        <x:v>1</x:v>
      </x:c>
      <x:c r="M6716" t="n">
        <x:v>1</x:v>
      </x:c>
      <x:c r="N6716" t="str">
        <x:v>Charged Off</x:v>
      </x:c>
      <x:c r="O6716" t="str">
        <x:f>IF(D6716="","Unknown",IF(D6716&lt;25000,"&lt;$25k",IF(D6716&lt;50000,"$25k-$50k",IF(D6716&lt;75000,"$50k-$75k",IF(D6716&lt;100000,"$75k-$100k","$100k+")))))</x:f>
        <x:v>$25k-$50k</x:v>
      </x:c>
      <x:c r="P6716" t="str">
        <x:f>IF(E6716="","Unknown",IF(E6716&lt;10,"&lt;10",IF(E6716&lt;20,"10-&lt;20",IF(E6716&lt;25,"20-&lt;25",IF(E6716&lt;35,"25-&lt;35","35+")))))</x:f>
        <x:v>10-&lt;20</x:v>
      </x:c>
    </x:row>
    <x:row r="6717">
      <x:c r="A6717" t="str">
        <x:v>SYN0006716</x:v>
      </x:c>
      <x:c r="B6717" s="12" t="n">
        <x:v>42715</x:v>
      </x:c>
      <x:c r="C6717" s="18" t="n">
        <x:v>11628</x:v>
      </x:c>
      <x:c r="D6717" s="18" t="n">
        <x:v>26131</x:v>
      </x:c>
      <x:c r="E6717" s="18" t="n">
        <x:v>16.17</x:v>
      </x:c>
      <x:c r="F6717" s="18" t="n">
        <x:v>14.88</x:v>
      </x:c>
      <x:c r="G6717" t="n">
        <x:v>36</x:v>
      </x:c>
      <x:c r="H6717" t="str">
        <x:v>D</x:v>
      </x:c>
      <x:c r="I6717" t="str">
        <x:v>&lt;1 year</x:v>
      </x:c>
      <x:c r="J6717" t="str">
        <x:v>RENT</x:v>
      </x:c>
      <x:c r="K6717" t="str">
        <x:v>credit_card</x:v>
      </x:c>
      <x:c r="L6717" t="n">
        <x:v>0</x:v>
      </x:c>
      <x:c r="M6717" t="n">
        <x:v>0</x:v>
      </x:c>
      <x:c r="N6717" t="str">
        <x:v>Fully Paid</x:v>
      </x:c>
      <x:c r="O6717" t="str">
        <x:f>IF(D6717="","Unknown",IF(D6717&lt;25000,"&lt;$25k",IF(D6717&lt;50000,"$25k-$50k",IF(D6717&lt;75000,"$50k-$75k",IF(D6717&lt;100000,"$75k-$100k","$100k+")))))</x:f>
        <x:v>$25k-$50k</x:v>
      </x:c>
      <x:c r="P6717" t="str">
        <x:f>IF(E6717="","Unknown",IF(E6717&lt;10,"&lt;10",IF(E6717&lt;20,"10-&lt;20",IF(E6717&lt;25,"20-&lt;25",IF(E6717&lt;35,"25-&lt;35","35+")))))</x:f>
        <x:v>10-&lt;20</x:v>
      </x:c>
    </x:row>
    <x:row r="6718">
      <x:c r="A6718" t="str">
        <x:v>SYN0006717</x:v>
      </x:c>
      <x:c r="B6718" s="12" t="n">
        <x:v>41335</x:v>
      </x:c>
      <x:c r="C6718" s="18" t="n">
        <x:v>20119</x:v>
      </x:c>
      <x:c r="D6718" s="18" t="n">
        <x:v>35176</x:v>
      </x:c>
      <x:c r="E6718" s="18" t="n">
        <x:v>14.95</x:v>
      </x:c>
      <x:c r="F6718" s="18" t="n">
        <x:v>19.77</x:v>
      </x:c>
      <x:c r="G6718" t="n">
        <x:v>36</x:v>
      </x:c>
      <x:c r="H6718" t="str">
        <x:v>E</x:v>
      </x:c>
      <x:c r="I6718" t="str">
        <x:v>1-3 years</x:v>
      </x:c>
      <x:c r="J6718" t="str">
        <x:v>OWN</x:v>
      </x:c>
      <x:c r="K6718" t="str">
        <x:v>debt_consolidation</x:v>
      </x:c>
      <x:c r="L6718" t="n">
        <x:v>0</x:v>
      </x:c>
      <x:c r="M6718" t="n">
        <x:v>0</x:v>
      </x:c>
      <x:c r="N6718" t="str">
        <x:v>Fully Paid</x:v>
      </x:c>
      <x:c r="O6718" t="str">
        <x:f>IF(D6718="","Unknown",IF(D6718&lt;25000,"&lt;$25k",IF(D6718&lt;50000,"$25k-$50k",IF(D6718&lt;75000,"$50k-$75k",IF(D6718&lt;100000,"$75k-$100k","$100k+")))))</x:f>
        <x:v>$25k-$50k</x:v>
      </x:c>
      <x:c r="P6718" t="str">
        <x:f>IF(E6718="","Unknown",IF(E6718&lt;10,"&lt;10",IF(E6718&lt;20,"10-&lt;20",IF(E6718&lt;25,"20-&lt;25",IF(E6718&lt;35,"25-&lt;35","35+")))))</x:f>
        <x:v>10-&lt;20</x:v>
      </x:c>
    </x:row>
    <x:row r="6719">
      <x:c r="A6719" t="str">
        <x:v>SYN0006718</x:v>
      </x:c>
      <x:c r="B6719" s="12" t="n">
        <x:v>41905</x:v>
      </x:c>
      <x:c r="C6719" s="18" t="n">
        <x:v>16342</x:v>
      </x:c>
      <x:c r="D6719" s="18" t="n">
        <x:v>37795</x:v>
      </x:c>
      <x:c r="E6719" s="18" t="n">
        <x:v>23.95</x:v>
      </x:c>
      <x:c r="F6719" s="18" t="n">
        <x:v>8.49</x:v>
      </x:c>
      <x:c r="G6719" t="n">
        <x:v>36</x:v>
      </x:c>
      <x:c r="H6719" t="str">
        <x:v>A</x:v>
      </x:c>
      <x:c r="I6719" t="str">
        <x:v>1-3 years</x:v>
      </x:c>
      <x:c r="J6719" t="str">
        <x:v>RENT</x:v>
      </x:c>
      <x:c r="K6719" t="str">
        <x:v>credit_card</x:v>
      </x:c>
      <x:c r="L6719" t="n">
        <x:v>0</x:v>
      </x:c>
      <x:c r="M6719" t="n">
        <x:v>0</x:v>
      </x:c>
      <x:c r="N6719" t="str">
        <x:v>Fully Paid</x:v>
      </x:c>
      <x:c r="O6719" t="str">
        <x:f>IF(D6719="","Unknown",IF(D6719&lt;25000,"&lt;$25k",IF(D6719&lt;50000,"$25k-$50k",IF(D6719&lt;75000,"$50k-$75k",IF(D6719&lt;100000,"$75k-$100k","$100k+")))))</x:f>
        <x:v>$25k-$50k</x:v>
      </x:c>
      <x:c r="P6719" t="str">
        <x:f>IF(E6719="","Unknown",IF(E6719&lt;10,"&lt;10",IF(E6719&lt;20,"10-&lt;20",IF(E6719&lt;25,"20-&lt;25",IF(E6719&lt;35,"25-&lt;35","35+")))))</x:f>
        <x:v>20-&lt;25</x:v>
      </x:c>
    </x:row>
    <x:row r="6720">
      <x:c r="A6720" t="str">
        <x:v>SYN0006719</x:v>
      </x:c>
      <x:c r="B6720" s="12" t="n">
        <x:v>42595</x:v>
      </x:c>
      <x:c r="C6720" s="18" t="n">
        <x:v>17961</x:v>
      </x:c>
      <x:c r="D6720" s="18" t="n">
        <x:v>23234</x:v>
      </x:c>
      <x:c r="E6720" s="18" t="n">
        <x:v>21.86</x:v>
      </x:c>
      <x:c r="F6720" s="18" t="n">
        <x:v>6.12</x:v>
      </x:c>
      <x:c r="G6720" t="n">
        <x:v>36</x:v>
      </x:c>
      <x:c r="H6720" t="str">
        <x:v>B</x:v>
      </x:c>
      <x:c r="I6720" t="str">
        <x:v>&lt;1 year</x:v>
      </x:c>
      <x:c r="J6720" t="str">
        <x:v>OTHER</x:v>
      </x:c>
      <x:c r="K6720" t="str">
        <x:v>credit_card</x:v>
      </x:c>
      <x:c r="L6720" t="n">
        <x:v>0</x:v>
      </x:c>
      <x:c r="M6720" t="n">
        <x:v>0</x:v>
      </x:c>
      <x:c r="N6720" t="str">
        <x:v>Fully Paid</x:v>
      </x:c>
      <x:c r="O6720" t="str">
        <x:f>IF(D6720="","Unknown",IF(D6720&lt;25000,"&lt;$25k",IF(D6720&lt;50000,"$25k-$50k",IF(D6720&lt;75000,"$50k-$75k",IF(D6720&lt;100000,"$75k-$100k","$100k+")))))</x:f>
        <x:v>&lt;$25k</x:v>
      </x:c>
      <x:c r="P6720" t="str">
        <x:f>IF(E6720="","Unknown",IF(E6720&lt;10,"&lt;10",IF(E6720&lt;20,"10-&lt;20",IF(E6720&lt;25,"20-&lt;25",IF(E6720&lt;35,"25-&lt;35","35+")))))</x:f>
        <x:v>20-&lt;25</x:v>
      </x:c>
    </x:row>
    <x:row r="6721">
      <x:c r="A6721" t="str">
        <x:v>SYN0006720</x:v>
      </x:c>
      <x:c r="B6721" s="12" t="n">
        <x:v>41545</x:v>
      </x:c>
      <x:c r="C6721" s="18" t="n">
        <x:v>12028</x:v>
      </x:c>
      <x:c r="D6721" s="18" t="n">
        <x:v>167743</x:v>
      </x:c>
      <x:c r="E6721" s="18" t="n">
        <x:v>19.93</x:v>
      </x:c>
      <x:c r="F6721" s="18" t="n">
        <x:v>10.84</x:v>
      </x:c>
      <x:c r="G6721" t="n">
        <x:v>60</x:v>
      </x:c>
      <x:c r="H6721" t="str">
        <x:v>C</x:v>
      </x:c>
      <x:c r="I6721" t="str">
        <x:v>4-6 years</x:v>
      </x:c>
      <x:c r="J6721" t="str">
        <x:v>RENT</x:v>
      </x:c>
      <x:c r="K6721" t="str">
        <x:v>medical</x:v>
      </x:c>
      <x:c r="L6721" t="n">
        <x:v>0</x:v>
      </x:c>
      <x:c r="M6721" t="n">
        <x:v>0</x:v>
      </x:c>
      <x:c r="N6721" t="str">
        <x:v>Fully Paid</x:v>
      </x:c>
      <x:c r="O6721" t="str">
        <x:f>IF(D6721="","Unknown",IF(D6721&lt;25000,"&lt;$25k",IF(D6721&lt;50000,"$25k-$50k",IF(D6721&lt;75000,"$50k-$75k",IF(D6721&lt;100000,"$75k-$100k","$100k+")))))</x:f>
        <x:v>$100k+</x:v>
      </x:c>
      <x:c r="P6721" t="str">
        <x:f>IF(E6721="","Unknown",IF(E6721&lt;10,"&lt;10",IF(E6721&lt;20,"10-&lt;20",IF(E6721&lt;25,"20-&lt;25",IF(E6721&lt;35,"25-&lt;35","35+")))))</x:f>
        <x:v>10-&lt;20</x:v>
      </x:c>
    </x:row>
    <x:row r="6722">
      <x:c r="A6722" t="str">
        <x:v>SYN0006721</x:v>
      </x:c>
      <x:c r="B6722" s="12" t="n">
        <x:v>41425</x:v>
      </x:c>
      <x:c r="C6722" s="18" t="n">
        <x:v>38135</x:v>
      </x:c>
      <x:c r="D6722" s="18" t="n">
        <x:v>30939</x:v>
      </x:c>
      <x:c r="E6722" s="18" t="n">
        <x:v>24.11</x:v>
      </x:c>
      <x:c r="F6722" s="18" t="n">
        <x:v>8.43</x:v>
      </x:c>
      <x:c r="G6722" t="n">
        <x:v>36</x:v>
      </x:c>
      <x:c r="H6722" t="str">
        <x:v>C</x:v>
      </x:c>
      <x:c r="I6722" t="str">
        <x:v>1-3 years</x:v>
      </x:c>
      <x:c r="J6722" t="str">
        <x:v>RENT</x:v>
      </x:c>
      <x:c r="K6722" t="str">
        <x:v>credit_card</x:v>
      </x:c>
      <x:c r="L6722" t="n">
        <x:v>1</x:v>
      </x:c>
      <x:c r="M6722" t="n">
        <x:v>0</x:v>
      </x:c>
      <x:c r="N6722" t="str">
        <x:v>Fully Paid</x:v>
      </x:c>
      <x:c r="O6722" t="str">
        <x:f>IF(D6722="","Unknown",IF(D6722&lt;25000,"&lt;$25k",IF(D6722&lt;50000,"$25k-$50k",IF(D6722&lt;75000,"$50k-$75k",IF(D6722&lt;100000,"$75k-$100k","$100k+")))))</x:f>
        <x:v>$25k-$50k</x:v>
      </x:c>
      <x:c r="P6722" t="str">
        <x:f>IF(E6722="","Unknown",IF(E6722&lt;10,"&lt;10",IF(E6722&lt;20,"10-&lt;20",IF(E6722&lt;25,"20-&lt;25",IF(E6722&lt;35,"25-&lt;35","35+")))))</x:f>
        <x:v>20-&lt;25</x:v>
      </x:c>
    </x:row>
    <x:row r="6723">
      <x:c r="A6723" t="str">
        <x:v>SYN0006722</x:v>
      </x:c>
      <x:c r="B6723" s="12" t="n">
        <x:v>42475</x:v>
      </x:c>
      <x:c r="C6723" s="18" t="n">
        <x:v>14346</x:v>
      </x:c>
      <x:c r="D6723" s="18" t="n">
        <x:v>18984</x:v>
      </x:c>
      <x:c r="E6723" s="18" t="n">
        <x:v>17.72</x:v>
      </x:c>
      <x:c r="F6723" s="18" t="n">
        <x:v>11.36</x:v>
      </x:c>
      <x:c r="G6723" t="n">
        <x:v>36</x:v>
      </x:c>
      <x:c r="H6723" t="str">
        <x:v>C</x:v>
      </x:c>
      <x:c r="I6723" t="str">
        <x:v>1-3 years</x:v>
      </x:c>
      <x:c r="J6723" t="str">
        <x:v>RENT</x:v>
      </x:c>
      <x:c r="K6723" t="str">
        <x:v>debt_consolidation</x:v>
      </x:c>
      <x:c r="L6723" t="n">
        <x:v>2</x:v>
      </x:c>
      <x:c r="M6723" t="n">
        <x:v>0</x:v>
      </x:c>
      <x:c r="N6723" t="str">
        <x:v>Fully Paid</x:v>
      </x:c>
      <x:c r="O6723" t="str">
        <x:f>IF(D6723="","Unknown",IF(D6723&lt;25000,"&lt;$25k",IF(D6723&lt;50000,"$25k-$50k",IF(D6723&lt;75000,"$50k-$75k",IF(D6723&lt;100000,"$75k-$100k","$100k+")))))</x:f>
        <x:v>&lt;$25k</x:v>
      </x:c>
      <x:c r="P6723" t="str">
        <x:f>IF(E6723="","Unknown",IF(E6723&lt;10,"&lt;10",IF(E6723&lt;20,"10-&lt;20",IF(E6723&lt;25,"20-&lt;25",IF(E6723&lt;35,"25-&lt;35","35+")))))</x:f>
        <x:v>10-&lt;20</x:v>
      </x:c>
    </x:row>
    <x:row r="6724">
      <x:c r="A6724" t="str">
        <x:v>SYN0006723</x:v>
      </x:c>
      <x:c r="B6724" s="12" t="n">
        <x:v>41815</x:v>
      </x:c>
      <x:c r="C6724" s="18" t="n">
        <x:v>10851</x:v>
      </x:c>
      <x:c r="D6724" s="18" t="n">
        <x:v>30408</x:v>
      </x:c>
      <x:c r="E6724" s="18" t="n">
        <x:v>22.47</x:v>
      </x:c>
      <x:c r="F6724" s="18" t="n">
        <x:v>18.81</x:v>
      </x:c>
      <x:c r="G6724" t="n">
        <x:v>36</x:v>
      </x:c>
      <x:c r="H6724" t="str">
        <x:v>E</x:v>
      </x:c>
      <x:c r="I6724" t="str">
        <x:v>10+ years</x:v>
      </x:c>
      <x:c r="J6724" t="str">
        <x:v>MORTGAGE</x:v>
      </x:c>
      <x:c r="K6724" t="str">
        <x:v>debt_consolidation</x:v>
      </x:c>
      <x:c r="L6724" t="n">
        <x:v>0</x:v>
      </x:c>
      <x:c r="M6724" t="n">
        <x:v>0</x:v>
      </x:c>
      <x:c r="N6724" t="str">
        <x:v>Fully Paid</x:v>
      </x:c>
      <x:c r="O6724" t="str">
        <x:f>IF(D6724="","Unknown",IF(D6724&lt;25000,"&lt;$25k",IF(D6724&lt;50000,"$25k-$50k",IF(D6724&lt;75000,"$50k-$75k",IF(D6724&lt;100000,"$75k-$100k","$100k+")))))</x:f>
        <x:v>$25k-$50k</x:v>
      </x:c>
      <x:c r="P6724" t="str">
        <x:f>IF(E6724="","Unknown",IF(E6724&lt;10,"&lt;10",IF(E6724&lt;20,"10-&lt;20",IF(E6724&lt;25,"20-&lt;25",IF(E6724&lt;35,"25-&lt;35","35+")))))</x:f>
        <x:v>20-&lt;25</x:v>
      </x:c>
    </x:row>
    <x:row r="6725">
      <x:c r="A6725" t="str">
        <x:v>SYN0006724</x:v>
      </x:c>
      <x:c r="B6725" s="12" t="n">
        <x:v>41635</x:v>
      </x:c>
      <x:c r="C6725" s="18" t="n">
        <x:v>7712</x:v>
      </x:c>
      <x:c r="D6725" s="18" t="n">
        <x:v>29158</x:v>
      </x:c>
      <x:c r="E6725" s="18" t="n">
        <x:v>11.75</x:v>
      </x:c>
      <x:c r="F6725" s="18" t="n">
        <x:v>14.81</x:v>
      </x:c>
      <x:c r="G6725" t="n">
        <x:v>36</x:v>
      </x:c>
      <x:c r="H6725" t="str">
        <x:v>D</x:v>
      </x:c>
      <x:c r="I6725" t="str">
        <x:v>4-6 years</x:v>
      </x:c>
      <x:c r="J6725" t="str">
        <x:v>RENT</x:v>
      </x:c>
      <x:c r="K6725" t="str">
        <x:v>major_purchase</x:v>
      </x:c>
      <x:c r="L6725" t="n">
        <x:v>0</x:v>
      </x:c>
      <x:c r="M6725" t="n">
        <x:v>0</x:v>
      </x:c>
      <x:c r="N6725" t="str">
        <x:v>Fully Paid</x:v>
      </x:c>
      <x:c r="O6725" t="str">
        <x:f>IF(D6725="","Unknown",IF(D6725&lt;25000,"&lt;$25k",IF(D6725&lt;50000,"$25k-$50k",IF(D6725&lt;75000,"$50k-$75k",IF(D6725&lt;100000,"$75k-$100k","$100k+")))))</x:f>
        <x:v>$25k-$50k</x:v>
      </x:c>
      <x:c r="P6725" t="str">
        <x:f>IF(E6725="","Unknown",IF(E6725&lt;10,"&lt;10",IF(E6725&lt;20,"10-&lt;20",IF(E6725&lt;25,"20-&lt;25",IF(E6725&lt;35,"25-&lt;35","35+")))))</x:f>
        <x:v>10-&lt;20</x:v>
      </x:c>
    </x:row>
    <x:row r="6726">
      <x:c r="A6726" t="str">
        <x:v>SYN0006725</x:v>
      </x:c>
      <x:c r="B6726" s="12" t="n">
        <x:v>42505</x:v>
      </x:c>
      <x:c r="C6726" s="18" t="n">
        <x:v>6879</x:v>
      </x:c>
      <x:c r="D6726" s="18" t="n">
        <x:v>71540</x:v>
      </x:c>
      <x:c r="E6726" s="18" t="n">
        <x:v>29.47</x:v>
      </x:c>
      <x:c r="F6726" s="18" t="n">
        <x:v>8.2</x:v>
      </x:c>
      <x:c r="G6726" t="n">
        <x:v>60</x:v>
      </x:c>
      <x:c r="H6726" t="str">
        <x:v>C</x:v>
      </x:c>
      <x:c r="I6726" t="str">
        <x:v>4-6 years</x:v>
      </x:c>
      <x:c r="J6726" t="str">
        <x:v>OWN</x:v>
      </x:c>
      <x:c r="K6726" t="str">
        <x:v>debt_consolidation</x:v>
      </x:c>
      <x:c r="L6726" t="n">
        <x:v>0</x:v>
      </x:c>
      <x:c r="M6726" t="n">
        <x:v>0</x:v>
      </x:c>
      <x:c r="N6726" t="str">
        <x:v>Fully Paid</x:v>
      </x:c>
      <x:c r="O6726" t="str">
        <x:f>IF(D6726="","Unknown",IF(D6726&lt;25000,"&lt;$25k",IF(D6726&lt;50000,"$25k-$50k",IF(D6726&lt;75000,"$50k-$75k",IF(D6726&lt;100000,"$75k-$100k","$100k+")))))</x:f>
        <x:v>$50k-$75k</x:v>
      </x:c>
      <x:c r="P6726" t="str">
        <x:f>IF(E6726="","Unknown",IF(E6726&lt;10,"&lt;10",IF(E6726&lt;20,"10-&lt;20",IF(E6726&lt;25,"20-&lt;25",IF(E6726&lt;35,"25-&lt;35","35+")))))</x:f>
        <x:v>25-&lt;35</x:v>
      </x:c>
    </x:row>
    <x:row r="6727">
      <x:c r="A6727" t="str">
        <x:v>SYN0006726</x:v>
      </x:c>
      <x:c r="B6727" s="12" t="n">
        <x:v>41725</x:v>
      </x:c>
      <x:c r="C6727" s="18" t="n">
        <x:v>11695</x:v>
      </x:c>
      <x:c r="D6727" s="18" t="n">
        <x:v>113150</x:v>
      </x:c>
      <x:c r="E6727" s="18" t="n">
        <x:v>22.56</x:v>
      </x:c>
      <x:c r="F6727" s="18" t="n">
        <x:v>8.09</x:v>
      </x:c>
      <x:c r="G6727" t="n">
        <x:v>60</x:v>
      </x:c>
      <x:c r="H6727" t="str">
        <x:v>A</x:v>
      </x:c>
      <x:c r="I6727" t="str">
        <x:v>1-3 years</x:v>
      </x:c>
      <x:c r="J6727" t="str">
        <x:v>RENT</x:v>
      </x:c>
      <x:c r="K6727" t="str">
        <x:v>credit_card</x:v>
      </x:c>
      <x:c r="L6727" t="n">
        <x:v>0</x:v>
      </x:c>
      <x:c r="M6727" t="n">
        <x:v>0</x:v>
      </x:c>
      <x:c r="N6727" t="str">
        <x:v>Fully Paid</x:v>
      </x:c>
      <x:c r="O6727" t="str">
        <x:f>IF(D6727="","Unknown",IF(D6727&lt;25000,"&lt;$25k",IF(D6727&lt;50000,"$25k-$50k",IF(D6727&lt;75000,"$50k-$75k",IF(D6727&lt;100000,"$75k-$100k","$100k+")))))</x:f>
        <x:v>$100k+</x:v>
      </x:c>
      <x:c r="P6727" t="str">
        <x:f>IF(E6727="","Unknown",IF(E6727&lt;10,"&lt;10",IF(E6727&lt;20,"10-&lt;20",IF(E6727&lt;25,"20-&lt;25",IF(E6727&lt;35,"25-&lt;35","35+")))))</x:f>
        <x:v>20-&lt;25</x:v>
      </x:c>
    </x:row>
    <x:row r="6728">
      <x:c r="A6728" t="str">
        <x:v>SYN0006727</x:v>
      </x:c>
      <x:c r="B6728" s="12" t="n">
        <x:v>42835</x:v>
      </x:c>
      <x:c r="C6728" s="18" t="n">
        <x:v>15642</x:v>
      </x:c>
      <x:c r="D6728" s="18" t="n">
        <x:v>78999</x:v>
      </x:c>
      <x:c r="E6728" s="18" t="n">
        <x:v>20.91</x:v>
      </x:c>
      <x:c r="F6728" s="18" t="n">
        <x:v>10.51</x:v>
      </x:c>
      <x:c r="G6728" t="n">
        <x:v>60</x:v>
      </x:c>
      <x:c r="H6728" t="str">
        <x:v>C</x:v>
      </x:c>
      <x:c r="I6728" t="str">
        <x:v>1-3 years</x:v>
      </x:c>
      <x:c r="J6728" t="str">
        <x:v>MORTGAGE</x:v>
      </x:c>
      <x:c r="K6728" t="str">
        <x:v>credit_card</x:v>
      </x:c>
      <x:c r="L6728" t="n">
        <x:v>0</x:v>
      </x:c>
      <x:c r="M6728" t="n">
        <x:v>0</x:v>
      </x:c>
      <x:c r="N6728" t="str">
        <x:v>Fully Paid</x:v>
      </x:c>
      <x:c r="O6728" t="str">
        <x:f>IF(D6728="","Unknown",IF(D6728&lt;25000,"&lt;$25k",IF(D6728&lt;50000,"$25k-$50k",IF(D6728&lt;75000,"$50k-$75k",IF(D6728&lt;100000,"$75k-$100k","$100k+")))))</x:f>
        <x:v>$75k-$100k</x:v>
      </x:c>
      <x:c r="P6728" t="str">
        <x:f>IF(E6728="","Unknown",IF(E6728&lt;10,"&lt;10",IF(E6728&lt;20,"10-&lt;20",IF(E6728&lt;25,"20-&lt;25",IF(E6728&lt;35,"25-&lt;35","35+")))))</x:f>
        <x:v>20-&lt;25</x:v>
      </x:c>
    </x:row>
    <x:row r="6729">
      <x:c r="A6729" t="str">
        <x:v>SYN0006728</x:v>
      </x:c>
      <x:c r="B6729" s="12" t="n">
        <x:v>42865</x:v>
      </x:c>
      <x:c r="C6729" s="18" t="n">
        <x:v>15160</x:v>
      </x:c>
      <x:c r="D6729" s="18" t="n">
        <x:v>65962</x:v>
      </x:c>
      <x:c r="E6729" s="18" t="n">
        <x:v>26.83</x:v>
      </x:c>
      <x:c r="F6729" s="18" t="n">
        <x:v>10.31</x:v>
      </x:c>
      <x:c r="G6729" t="n">
        <x:v>36</x:v>
      </x:c>
      <x:c r="H6729" t="str">
        <x:v>B</x:v>
      </x:c>
      <x:c r="I6729" t="str">
        <x:v>10+ years</x:v>
      </x:c>
      <x:c r="J6729" t="str">
        <x:v>MORTGAGE</x:v>
      </x:c>
      <x:c r="K6729" t="str">
        <x:v>debt_consolidation</x:v>
      </x:c>
      <x:c r="L6729" t="n">
        <x:v>0</x:v>
      </x:c>
      <x:c r="M6729" t="n">
        <x:v>0</x:v>
      </x:c>
      <x:c r="N6729" t="str">
        <x:v>Fully Paid</x:v>
      </x:c>
      <x:c r="O6729" t="str">
        <x:f>IF(D6729="","Unknown",IF(D6729&lt;25000,"&lt;$25k",IF(D6729&lt;50000,"$25k-$50k",IF(D6729&lt;75000,"$50k-$75k",IF(D6729&lt;100000,"$75k-$100k","$100k+")))))</x:f>
        <x:v>$50k-$75k</x:v>
      </x:c>
      <x:c r="P6729" t="str">
        <x:f>IF(E6729="","Unknown",IF(E6729&lt;10,"&lt;10",IF(E6729&lt;20,"10-&lt;20",IF(E6729&lt;25,"20-&lt;25",IF(E6729&lt;35,"25-&lt;35","35+")))))</x:f>
        <x:v>25-&lt;35</x:v>
      </x:c>
    </x:row>
    <x:row r="6730">
      <x:c r="A6730" t="str">
        <x:v>SYN0006729</x:v>
      </x:c>
      <x:c r="B6730" s="12" t="n">
        <x:v>42115</x:v>
      </x:c>
      <x:c r="C6730" s="18" t="n">
        <x:v>13681</x:v>
      </x:c>
      <x:c r="D6730" s="18" t="n">
        <x:v>40694</x:v>
      </x:c>
      <x:c r="E6730" s="18" t="n">
        <x:v>19.47</x:v>
      </x:c>
      <x:c r="F6730" s="18" t="n">
        <x:v>16.89</x:v>
      </x:c>
      <x:c r="G6730" t="n">
        <x:v>60</x:v>
      </x:c>
      <x:c r="H6730" t="str">
        <x:v>D</x:v>
      </x:c>
      <x:c r="I6730" t="str">
        <x:v>7-9 years</x:v>
      </x:c>
      <x:c r="J6730" t="str">
        <x:v>RENT</x:v>
      </x:c>
      <x:c r="K6730" t="str">
        <x:v>home_improvement</x:v>
      </x:c>
      <x:c r="L6730" t="n">
        <x:v>1</x:v>
      </x:c>
      <x:c r="M6730" t="n">
        <x:v>0</x:v>
      </x:c>
      <x:c r="N6730" t="str">
        <x:v>Fully Paid</x:v>
      </x:c>
      <x:c r="O6730" t="str">
        <x:f>IF(D6730="","Unknown",IF(D6730&lt;25000,"&lt;$25k",IF(D6730&lt;50000,"$25k-$50k",IF(D6730&lt;75000,"$50k-$75k",IF(D6730&lt;100000,"$75k-$100k","$100k+")))))</x:f>
        <x:v>$25k-$50k</x:v>
      </x:c>
      <x:c r="P6730" t="str">
        <x:f>IF(E6730="","Unknown",IF(E6730&lt;10,"&lt;10",IF(E6730&lt;20,"10-&lt;20",IF(E6730&lt;25,"20-&lt;25",IF(E6730&lt;35,"25-&lt;35","35+")))))</x:f>
        <x:v>10-&lt;20</x:v>
      </x:c>
    </x:row>
    <x:row r="6731">
      <x:c r="A6731" t="str">
        <x:v>SYN0006730</x:v>
      </x:c>
      <x:c r="B6731" s="12" t="n">
        <x:v>42715</x:v>
      </x:c>
      <x:c r="C6731" s="18" t="n">
        <x:v>20544</x:v>
      </x:c>
      <x:c r="D6731" s="18" t="n">
        <x:v>67651</x:v>
      </x:c>
      <x:c r="E6731" s="18" t="n">
        <x:v>0</x:v>
      </x:c>
      <x:c r="F6731" s="18" t="n">
        <x:v>12.59</x:v>
      </x:c>
      <x:c r="G6731" t="n">
        <x:v>36</x:v>
      </x:c>
      <x:c r="H6731" t="str">
        <x:v>D</x:v>
      </x:c>
      <x:c r="I6731" t="str">
        <x:v>4-6 years</x:v>
      </x:c>
      <x:c r="J6731" t="str">
        <x:v>MORTGAGE</x:v>
      </x:c>
      <x:c r="K6731" t="str">
        <x:v>home_improvement</x:v>
      </x:c>
      <x:c r="L6731" t="n">
        <x:v>3</x:v>
      </x:c>
      <x:c r="M6731" t="n">
        <x:v>0</x:v>
      </x:c>
      <x:c r="N6731" t="str">
        <x:v>Fully Paid</x:v>
      </x:c>
      <x:c r="O6731" t="str">
        <x:f>IF(D6731="","Unknown",IF(D6731&lt;25000,"&lt;$25k",IF(D6731&lt;50000,"$25k-$50k",IF(D6731&lt;75000,"$50k-$75k",IF(D6731&lt;100000,"$75k-$100k","$100k+")))))</x:f>
        <x:v>$50k-$75k</x:v>
      </x:c>
      <x:c r="P6731" t="str">
        <x:f>IF(E6731="","Unknown",IF(E6731&lt;10,"&lt;10",IF(E6731&lt;20,"10-&lt;20",IF(E6731&lt;25,"20-&lt;25",IF(E6731&lt;35,"25-&lt;35","35+")))))</x:f>
        <x:v>Unknown</x:v>
      </x:c>
    </x:row>
    <x:row r="6732">
      <x:c r="A6732" t="str">
        <x:v>SYN0006731</x:v>
      </x:c>
      <x:c r="B6732" s="12" t="n">
        <x:v>42985</x:v>
      </x:c>
      <x:c r="C6732" s="18" t="n">
        <x:v>11801</x:v>
      </x:c>
      <x:c r="D6732" s="18" t="n">
        <x:v>55223</x:v>
      </x:c>
      <x:c r="E6732" s="18" t="n">
        <x:v>41.56</x:v>
      </x:c>
      <x:c r="F6732" s="18" t="n">
        <x:v>17.31</x:v>
      </x:c>
      <x:c r="G6732" t="n">
        <x:v>36</x:v>
      </x:c>
      <x:c r="H6732" t="str">
        <x:v>E</x:v>
      </x:c>
      <x:c r="I6732" t="str">
        <x:v>4-6 years</x:v>
      </x:c>
      <x:c r="J6732" t="str">
        <x:v>MORTGAGE</x:v>
      </x:c>
      <x:c r="K6732" t="str">
        <x:v>debt_consolidation</x:v>
      </x:c>
      <x:c r="L6732" t="n">
        <x:v>1</x:v>
      </x:c>
      <x:c r="M6732" t="n">
        <x:v>0</x:v>
      </x:c>
      <x:c r="N6732" t="str">
        <x:v>Fully Paid</x:v>
      </x:c>
      <x:c r="O6732" t="str">
        <x:f>IF(D6732="","Unknown",IF(D6732&lt;25000,"&lt;$25k",IF(D6732&lt;50000,"$25k-$50k",IF(D6732&lt;75000,"$50k-$75k",IF(D6732&lt;100000,"$75k-$100k","$100k+")))))</x:f>
        <x:v>$50k-$75k</x:v>
      </x:c>
      <x:c r="P6732" t="str">
        <x:f>IF(E6732="","Unknown",IF(E6732&lt;10,"&lt;10",IF(E6732&lt;20,"10-&lt;20",IF(E6732&lt;25,"20-&lt;25",IF(E6732&lt;35,"25-&lt;35","35+")))))</x:f>
        <x:v>35+</x:v>
      </x:c>
    </x:row>
    <x:row r="6733">
      <x:c r="A6733" t="str">
        <x:v>SYN0006732</x:v>
      </x:c>
      <x:c r="B6733" s="12" t="n">
        <x:v>42985</x:v>
      </x:c>
      <x:c r="C6733" s="18" t="n">
        <x:v>7170</x:v>
      </x:c>
      <x:c r="D6733" s="18" t="n">
        <x:v>182147</x:v>
      </x:c>
      <x:c r="E6733" s="18" t="n">
        <x:v>35.71</x:v>
      </x:c>
      <x:c r="F6733" s="18" t="n">
        <x:v>13.9</x:v>
      </x:c>
      <x:c r="G6733" t="n">
        <x:v>36</x:v>
      </x:c>
      <x:c r="H6733" t="str">
        <x:v>D</x:v>
      </x:c>
      <x:c r="I6733" t="str">
        <x:v>10+ years</x:v>
      </x:c>
      <x:c r="J6733" t="str">
        <x:v>RENT</x:v>
      </x:c>
      <x:c r="K6733" t="str">
        <x:v>credit_card</x:v>
      </x:c>
      <x:c r="L6733" t="n">
        <x:v>0</x:v>
      </x:c>
      <x:c r="M6733" t="n">
        <x:v>0</x:v>
      </x:c>
      <x:c r="N6733" t="str">
        <x:v>Fully Paid</x:v>
      </x:c>
      <x:c r="O6733" t="str">
        <x:f>IF(D6733="","Unknown",IF(D6733&lt;25000,"&lt;$25k",IF(D6733&lt;50000,"$25k-$50k",IF(D6733&lt;75000,"$50k-$75k",IF(D6733&lt;100000,"$75k-$100k","$100k+")))))</x:f>
        <x:v>$100k+</x:v>
      </x:c>
      <x:c r="P6733" t="str">
        <x:f>IF(E6733="","Unknown",IF(E6733&lt;10,"&lt;10",IF(E6733&lt;20,"10-&lt;20",IF(E6733&lt;25,"20-&lt;25",IF(E6733&lt;35,"25-&lt;35","35+")))))</x:f>
        <x:v>35+</x:v>
      </x:c>
    </x:row>
    <x:row r="6734">
      <x:c r="A6734" t="str">
        <x:v>SYN0006733</x:v>
      </x:c>
      <x:c r="B6734" s="12" t="n">
        <x:v>42445</x:v>
      </x:c>
      <x:c r="C6734" s="18" t="n">
        <x:v>22703</x:v>
      </x:c>
      <x:c r="D6734" s="18" t="n">
        <x:v>43555</x:v>
      </x:c>
      <x:c r="E6734" s="18" t="n">
        <x:v>35.59</x:v>
      </x:c>
      <x:c r="F6734" s="18" t="n">
        <x:v>7.87</x:v>
      </x:c>
      <x:c r="G6734" t="n">
        <x:v>60</x:v>
      </x:c>
      <x:c r="H6734" t="str">
        <x:v>A</x:v>
      </x:c>
      <x:c r="I6734" t="str">
        <x:v>4-6 years</x:v>
      </x:c>
      <x:c r="J6734" t="str">
        <x:v>MORTGAGE</x:v>
      </x:c>
      <x:c r="K6734" t="str">
        <x:v>debt_consolidation</x:v>
      </x:c>
      <x:c r="L6734" t="n">
        <x:v>0</x:v>
      </x:c>
      <x:c r="M6734" t="n">
        <x:v>0</x:v>
      </x:c>
      <x:c r="N6734" t="str">
        <x:v>Fully Paid</x:v>
      </x:c>
      <x:c r="O6734" t="str">
        <x:f>IF(D6734="","Unknown",IF(D6734&lt;25000,"&lt;$25k",IF(D6734&lt;50000,"$25k-$50k",IF(D6734&lt;75000,"$50k-$75k",IF(D6734&lt;100000,"$75k-$100k","$100k+")))))</x:f>
        <x:v>$25k-$50k</x:v>
      </x:c>
      <x:c r="P6734" t="str">
        <x:f>IF(E6734="","Unknown",IF(E6734&lt;10,"&lt;10",IF(E6734&lt;20,"10-&lt;20",IF(E6734&lt;25,"20-&lt;25",IF(E6734&lt;35,"25-&lt;35","35+")))))</x:f>
        <x:v>35+</x:v>
      </x:c>
    </x:row>
    <x:row r="6735">
      <x:c r="A6735" t="str">
        <x:v>SYN0006734</x:v>
      </x:c>
      <x:c r="B6735" s="12" t="n">
        <x:v>41575</x:v>
      </x:c>
      <x:c r="C6735" s="18" t="n">
        <x:v>23405</x:v>
      </x:c>
      <x:c r="D6735" s="18" t="n">
        <x:v>63472</x:v>
      </x:c>
      <x:c r="E6735" s="18" t="n">
        <x:v>13.97</x:v>
      </x:c>
      <x:c r="F6735" s="18" t="n">
        <x:v>17.77</x:v>
      </x:c>
      <x:c r="G6735" t="n">
        <x:v>36</x:v>
      </x:c>
      <x:c r="H6735" t="str">
        <x:v>E</x:v>
      </x:c>
      <x:c r="I6735" t="str">
        <x:v>1-3 years</x:v>
      </x:c>
      <x:c r="J6735" t="str">
        <x:v>MORTGAGE</x:v>
      </x:c>
      <x:c r="K6735" t="str">
        <x:v>other</x:v>
      </x:c>
      <x:c r="L6735" t="n">
        <x:v>0</x:v>
      </x:c>
      <x:c r="M6735" t="n">
        <x:v>0</x:v>
      </x:c>
      <x:c r="N6735" t="str">
        <x:v>Fully Paid</x:v>
      </x:c>
      <x:c r="O6735" t="str">
        <x:f>IF(D6735="","Unknown",IF(D6735&lt;25000,"&lt;$25k",IF(D6735&lt;50000,"$25k-$50k",IF(D6735&lt;75000,"$50k-$75k",IF(D6735&lt;100000,"$75k-$100k","$100k+")))))</x:f>
        <x:v>$50k-$75k</x:v>
      </x:c>
      <x:c r="P6735" t="str">
        <x:f>IF(E6735="","Unknown",IF(E6735&lt;10,"&lt;10",IF(E6735&lt;20,"10-&lt;20",IF(E6735&lt;25,"20-&lt;25",IF(E6735&lt;35,"25-&lt;35","35+")))))</x:f>
        <x:v>10-&lt;20</x:v>
      </x:c>
    </x:row>
    <x:row r="6736">
      <x:c r="A6736" t="str">
        <x:v>SYN0006735</x:v>
      </x:c>
      <x:c r="B6736" s="12" t="n">
        <x:v>41605</x:v>
      </x:c>
      <x:c r="C6736" s="18" t="n">
        <x:v>15067</x:v>
      </x:c>
      <x:c r="D6736" s="18" t="n">
        <x:v>13438</x:v>
      </x:c>
      <x:c r="E6736" s="18" t="n">
        <x:v>9.16</x:v>
      </x:c>
      <x:c r="F6736" s="18" t="n">
        <x:v>9.74</x:v>
      </x:c>
      <x:c r="G6736" t="n">
        <x:v>36</x:v>
      </x:c>
      <x:c r="H6736" t="str">
        <x:v>C</x:v>
      </x:c>
      <x:c r="I6736" t="str">
        <x:v>7-9 years</x:v>
      </x:c>
      <x:c r="J6736" t="str">
        <x:v>RENT</x:v>
      </x:c>
      <x:c r="K6736" t="str">
        <x:v>debt_consolidation</x:v>
      </x:c>
      <x:c r="L6736" t="n">
        <x:v>1</x:v>
      </x:c>
      <x:c r="M6736" t="n">
        <x:v>0</x:v>
      </x:c>
      <x:c r="N6736" t="str">
        <x:v>Fully Paid</x:v>
      </x:c>
      <x:c r="O6736" t="str">
        <x:f>IF(D6736="","Unknown",IF(D6736&lt;25000,"&lt;$25k",IF(D6736&lt;50000,"$25k-$50k",IF(D6736&lt;75000,"$50k-$75k",IF(D6736&lt;100000,"$75k-$100k","$100k+")))))</x:f>
        <x:v>&lt;$25k</x:v>
      </x:c>
      <x:c r="P6736" t="str">
        <x:f>IF(E6736="","Unknown",IF(E6736&lt;10,"&lt;10",IF(E6736&lt;20,"10-&lt;20",IF(E6736&lt;25,"20-&lt;25",IF(E6736&lt;35,"25-&lt;35","35+")))))</x:f>
        <x:v>&lt;10</x:v>
      </x:c>
    </x:row>
    <x:row r="6737">
      <x:c r="A6737" t="str">
        <x:v>SYN0006736</x:v>
      </x:c>
      <x:c r="B6737" s="12" t="n">
        <x:v>42745</x:v>
      </x:c>
      <x:c r="C6737" s="18" t="n">
        <x:v>14022</x:v>
      </x:c>
      <x:c r="D6737" s="18" t="n">
        <x:v>133627</x:v>
      </x:c>
      <x:c r="E6737" s="18" t="n">
        <x:v>15.08</x:v>
      </x:c>
      <x:c r="F6737" s="18" t="n">
        <x:v>22.17</x:v>
      </x:c>
      <x:c r="G6737" t="n">
        <x:v>36</x:v>
      </x:c>
      <x:c r="H6737" t="str">
        <x:v>F</x:v>
      </x:c>
      <x:c r="I6737" t="str">
        <x:v>7-9 years</x:v>
      </x:c>
      <x:c r="J6737" t="str">
        <x:v>MORTGAGE</x:v>
      </x:c>
      <x:c r="K6737" t="str">
        <x:v>debt_consolidation</x:v>
      </x:c>
      <x:c r="L6737" t="n">
        <x:v>2</x:v>
      </x:c>
      <x:c r="M6737" t="n">
        <x:v>1</x:v>
      </x:c>
      <x:c r="N6737" t="str">
        <x:v>Charged Off</x:v>
      </x:c>
      <x:c r="O6737" t="str">
        <x:f>IF(D6737="","Unknown",IF(D6737&lt;25000,"&lt;$25k",IF(D6737&lt;50000,"$25k-$50k",IF(D6737&lt;75000,"$50k-$75k",IF(D6737&lt;100000,"$75k-$100k","$100k+")))))</x:f>
        <x:v>$100k+</x:v>
      </x:c>
      <x:c r="P6737" t="str">
        <x:f>IF(E6737="","Unknown",IF(E6737&lt;10,"&lt;10",IF(E6737&lt;20,"10-&lt;20",IF(E6737&lt;25,"20-&lt;25",IF(E6737&lt;35,"25-&lt;35","35+")))))</x:f>
        <x:v>10-&lt;20</x:v>
      </x:c>
    </x:row>
    <x:row r="6738">
      <x:c r="A6738" t="str">
        <x:v>SYN0006737</x:v>
      </x:c>
      <x:c r="B6738" s="12" t="n">
        <x:v>42745</x:v>
      </x:c>
      <x:c r="C6738" s="18" t="n">
        <x:v>13681</x:v>
      </x:c>
      <x:c r="D6738" s="18" t="n">
        <x:v>19790</x:v>
      </x:c>
      <x:c r="E6738" s="18" t="n">
        <x:v>32.75</x:v>
      </x:c>
      <x:c r="F6738" s="18" t="n">
        <x:v>16.62</x:v>
      </x:c>
      <x:c r="G6738" t="n">
        <x:v>36</x:v>
      </x:c>
      <x:c r="H6738" t="str">
        <x:v>D</x:v>
      </x:c>
      <x:c r="I6738" t="str">
        <x:v>4-6 years</x:v>
      </x:c>
      <x:c r="J6738" t="str">
        <x:v>RENT</x:v>
      </x:c>
      <x:c r="K6738" t="str">
        <x:v>home_improvement</x:v>
      </x:c>
      <x:c r="L6738" t="n">
        <x:v>0</x:v>
      </x:c>
      <x:c r="M6738" t="n">
        <x:v>0</x:v>
      </x:c>
      <x:c r="N6738" t="str">
        <x:v>Fully Paid</x:v>
      </x:c>
      <x:c r="O6738" t="str">
        <x:f>IF(D6738="","Unknown",IF(D6738&lt;25000,"&lt;$25k",IF(D6738&lt;50000,"$25k-$50k",IF(D6738&lt;75000,"$50k-$75k",IF(D6738&lt;100000,"$75k-$100k","$100k+")))))</x:f>
        <x:v>&lt;$25k</x:v>
      </x:c>
      <x:c r="P6738" t="str">
        <x:f>IF(E6738="","Unknown",IF(E6738&lt;10,"&lt;10",IF(E6738&lt;20,"10-&lt;20",IF(E6738&lt;25,"20-&lt;25",IF(E6738&lt;35,"25-&lt;35","35+")))))</x:f>
        <x:v>25-&lt;35</x:v>
      </x:c>
    </x:row>
    <x:row r="6739">
      <x:c r="A6739" t="str">
        <x:v>SYN0006738</x:v>
      </x:c>
      <x:c r="B6739" s="12" t="n">
        <x:v>42535</x:v>
      </x:c>
      <x:c r="C6739" s="18" t="n">
        <x:v>10923</x:v>
      </x:c>
      <x:c r="D6739" s="18" t="n">
        <x:v>112064</x:v>
      </x:c>
      <x:c r="E6739" s="18" t="n">
        <x:v>13.82</x:v>
      </x:c>
      <x:c r="F6739" s="18" t="n">
        <x:v>25.73</x:v>
      </x:c>
      <x:c r="G6739" t="n">
        <x:v>60</x:v>
      </x:c>
      <x:c r="H6739" t="str">
        <x:v>G</x:v>
      </x:c>
      <x:c r="I6739" t="str">
        <x:v>1-3 years</x:v>
      </x:c>
      <x:c r="J6739" t="str">
        <x:v>OWN</x:v>
      </x:c>
      <x:c r="K6739" t="str">
        <x:v>debt_consolidation</x:v>
      </x:c>
      <x:c r="L6739" t="n">
        <x:v>3</x:v>
      </x:c>
      <x:c r="M6739" t="n">
        <x:v>1</x:v>
      </x:c>
      <x:c r="N6739" t="str">
        <x:v>Charged Off</x:v>
      </x:c>
      <x:c r="O6739" t="str">
        <x:f>IF(D6739="","Unknown",IF(D6739&lt;25000,"&lt;$25k",IF(D6739&lt;50000,"$25k-$50k",IF(D6739&lt;75000,"$50k-$75k",IF(D6739&lt;100000,"$75k-$100k","$100k+")))))</x:f>
        <x:v>$100k+</x:v>
      </x:c>
      <x:c r="P6739" t="str">
        <x:f>IF(E6739="","Unknown",IF(E6739&lt;10,"&lt;10",IF(E6739&lt;20,"10-&lt;20",IF(E6739&lt;25,"20-&lt;25",IF(E6739&lt;35,"25-&lt;35","35+")))))</x:f>
        <x:v>10-&lt;20</x:v>
      </x:c>
    </x:row>
    <x:row r="6740">
      <x:c r="A6740" t="str">
        <x:v>SYN0006739</x:v>
      </x:c>
      <x:c r="B6740" s="12" t="n">
        <x:v>41605</x:v>
      </x:c>
      <x:c r="C6740" s="18" t="n">
        <x:v>17639</x:v>
      </x:c>
      <x:c r="D6740" s="18" t="n">
        <x:v>112851</x:v>
      </x:c>
      <x:c r="E6740" s="18" t="n">
        <x:v>30.68</x:v>
      </x:c>
      <x:c r="F6740" s="18" t="n">
        <x:v>11.07</x:v>
      </x:c>
      <x:c r="G6740" t="n">
        <x:v>60</x:v>
      </x:c>
      <x:c r="H6740" t="str">
        <x:v>B</x:v>
      </x:c>
      <x:c r="I6740" t="str">
        <x:v>7-9 years</x:v>
      </x:c>
      <x:c r="J6740" t="str">
        <x:v>RENT</x:v>
      </x:c>
      <x:c r="K6740" t="str">
        <x:v>debt_consolidation</x:v>
      </x:c>
      <x:c r="L6740" t="n">
        <x:v>0</x:v>
      </x:c>
      <x:c r="M6740" t="n">
        <x:v>0</x:v>
      </x:c>
      <x:c r="N6740" t="str">
        <x:v>Fully Paid</x:v>
      </x:c>
      <x:c r="O6740" t="str">
        <x:f>IF(D6740="","Unknown",IF(D6740&lt;25000,"&lt;$25k",IF(D6740&lt;50000,"$25k-$50k",IF(D6740&lt;75000,"$50k-$75k",IF(D6740&lt;100000,"$75k-$100k","$100k+")))))</x:f>
        <x:v>$100k+</x:v>
      </x:c>
      <x:c r="P6740" t="str">
        <x:f>IF(E6740="","Unknown",IF(E6740&lt;10,"&lt;10",IF(E6740&lt;20,"10-&lt;20",IF(E6740&lt;25,"20-&lt;25",IF(E6740&lt;35,"25-&lt;35","35+")))))</x:f>
        <x:v>25-&lt;35</x:v>
      </x:c>
    </x:row>
    <x:row r="6741">
      <x:c r="A6741" t="str">
        <x:v>SYN0006740</x:v>
      </x:c>
      <x:c r="B6741" s="12" t="n">
        <x:v>42655</x:v>
      </x:c>
      <x:c r="C6741" s="18" t="n">
        <x:v>17891</x:v>
      </x:c>
      <x:c r="D6741" s="18" t="n">
        <x:v>93124</x:v>
      </x:c>
      <x:c r="E6741" s="18" t="n">
        <x:v>19.39</x:v>
      </x:c>
      <x:c r="F6741" s="18" t="n">
        <x:v>9.87</x:v>
      </x:c>
      <x:c r="G6741" t="n">
        <x:v>60</x:v>
      </x:c>
      <x:c r="H6741" t="str">
        <x:v>C</x:v>
      </x:c>
      <x:c r="I6741" t="str">
        <x:v>10+ years</x:v>
      </x:c>
      <x:c r="J6741" t="str">
        <x:v>RENT</x:v>
      </x:c>
      <x:c r="K6741" t="str">
        <x:v>other</x:v>
      </x:c>
      <x:c r="L6741" t="n">
        <x:v>1</x:v>
      </x:c>
      <x:c r="M6741" t="n">
        <x:v>0</x:v>
      </x:c>
      <x:c r="N6741" t="str">
        <x:v>Fully Paid</x:v>
      </x:c>
      <x:c r="O6741" t="str">
        <x:f>IF(D6741="","Unknown",IF(D6741&lt;25000,"&lt;$25k",IF(D6741&lt;50000,"$25k-$50k",IF(D6741&lt;75000,"$50k-$75k",IF(D6741&lt;100000,"$75k-$100k","$100k+")))))</x:f>
        <x:v>$75k-$100k</x:v>
      </x:c>
      <x:c r="P6741" t="str">
        <x:f>IF(E6741="","Unknown",IF(E6741&lt;10,"&lt;10",IF(E6741&lt;20,"10-&lt;20",IF(E6741&lt;25,"20-&lt;25",IF(E6741&lt;35,"25-&lt;35","35+")))))</x:f>
        <x:v>10-&lt;20</x:v>
      </x:c>
    </x:row>
    <x:row r="6742">
      <x:c r="A6742" t="str">
        <x:v>SYN0006741</x:v>
      </x:c>
      <x:c r="B6742" s="12" t="n">
        <x:v>41785</x:v>
      </x:c>
      <x:c r="C6742" s="18" t="n">
        <x:v>18575</x:v>
      </x:c>
      <x:c r="D6742" s="18" t="n">
        <x:v>41032</x:v>
      </x:c>
      <x:c r="E6742" s="18" t="n">
        <x:v>16.6</x:v>
      </x:c>
      <x:c r="F6742" s="18" t="n">
        <x:v>10.87</x:v>
      </x:c>
      <x:c r="G6742" t="n">
        <x:v>36</x:v>
      </x:c>
      <x:c r="H6742" t="str">
        <x:v>A</x:v>
      </x:c>
      <x:c r="I6742" t="str">
        <x:v>10+ years</x:v>
      </x:c>
      <x:c r="J6742" t="str">
        <x:v>OWN</x:v>
      </x:c>
      <x:c r="K6742" t="str">
        <x:v>debt_consolidation</x:v>
      </x:c>
      <x:c r="L6742" t="n">
        <x:v>0</x:v>
      </x:c>
      <x:c r="M6742" t="n">
        <x:v>0</x:v>
      </x:c>
      <x:c r="N6742" t="str">
        <x:v>Fully Paid</x:v>
      </x:c>
      <x:c r="O6742" t="str">
        <x:f>IF(D6742="","Unknown",IF(D6742&lt;25000,"&lt;$25k",IF(D6742&lt;50000,"$25k-$50k",IF(D6742&lt;75000,"$50k-$75k",IF(D6742&lt;100000,"$75k-$100k","$100k+")))))</x:f>
        <x:v>$25k-$50k</x:v>
      </x:c>
      <x:c r="P6742" t="str">
        <x:f>IF(E6742="","Unknown",IF(E6742&lt;10,"&lt;10",IF(E6742&lt;20,"10-&lt;20",IF(E6742&lt;25,"20-&lt;25",IF(E6742&lt;35,"25-&lt;35","35+")))))</x:f>
        <x:v>10-&lt;20</x:v>
      </x:c>
    </x:row>
    <x:row r="6743">
      <x:c r="A6743" t="str">
        <x:v>SYN0006742</x:v>
      </x:c>
      <x:c r="B6743" s="12" t="n">
        <x:v>41485</x:v>
      </x:c>
      <x:c r="C6743" s="18" t="n">
        <x:v>14758</x:v>
      </x:c>
      <x:c r="D6743" s="18" t="n">
        <x:v>51092</x:v>
      </x:c>
      <x:c r="E6743" s="18" t="n">
        <x:v>13.4</x:v>
      </x:c>
      <x:c r="F6743" s="18" t="n">
        <x:v>9.51</x:v>
      </x:c>
      <x:c r="G6743" t="n">
        <x:v>36</x:v>
      </x:c>
      <x:c r="H6743" t="str">
        <x:v>B</x:v>
      </x:c>
      <x:c r="I6743" t="str">
        <x:v>4-6 years</x:v>
      </x:c>
      <x:c r="J6743" t="str">
        <x:v>RENT</x:v>
      </x:c>
      <x:c r="K6743" t="str">
        <x:v>debt_consolidation</x:v>
      </x:c>
      <x:c r="L6743" t="n">
        <x:v>0</x:v>
      </x:c>
      <x:c r="M6743" t="n">
        <x:v>0</x:v>
      </x:c>
      <x:c r="N6743" t="str">
        <x:v>Fully Paid</x:v>
      </x:c>
      <x:c r="O6743" t="str">
        <x:f>IF(D6743="","Unknown",IF(D6743&lt;25000,"&lt;$25k",IF(D6743&lt;50000,"$25k-$50k",IF(D6743&lt;75000,"$50k-$75k",IF(D6743&lt;100000,"$75k-$100k","$100k+")))))</x:f>
        <x:v>$50k-$75k</x:v>
      </x:c>
      <x:c r="P6743" t="str">
        <x:f>IF(E6743="","Unknown",IF(E6743&lt;10,"&lt;10",IF(E6743&lt;20,"10-&lt;20",IF(E6743&lt;25,"20-&lt;25",IF(E6743&lt;35,"25-&lt;35","35+")))))</x:f>
        <x:v>10-&lt;20</x:v>
      </x:c>
    </x:row>
    <x:row r="6744">
      <x:c r="A6744" t="str">
        <x:v>SYN0006743</x:v>
      </x:c>
      <x:c r="B6744" s="12" t="n">
        <x:v>42685</x:v>
      </x:c>
      <x:c r="C6744" s="18" t="n">
        <x:v>10542</x:v>
      </x:c>
      <x:c r="D6744" s="18" t="n">
        <x:v>40529</x:v>
      </x:c>
      <x:c r="E6744" s="18" t="n">
        <x:v>12.51</x:v>
      </x:c>
      <x:c r="F6744" s="18" t="n">
        <x:v>8.27</x:v>
      </x:c>
      <x:c r="G6744" t="n">
        <x:v>60</x:v>
      </x:c>
      <x:c r="H6744" t="str">
        <x:v>A</x:v>
      </x:c>
      <x:c r="I6744" t="str">
        <x:v>10+ years</x:v>
      </x:c>
      <x:c r="J6744" t="str">
        <x:v>MORTGAGE</x:v>
      </x:c>
      <x:c r="K6744" t="str">
        <x:v>debt_consolidation</x:v>
      </x:c>
      <x:c r="L6744" t="n">
        <x:v>0</x:v>
      </x:c>
      <x:c r="M6744" t="n">
        <x:v>0</x:v>
      </x:c>
      <x:c r="N6744" t="str">
        <x:v>Fully Paid</x:v>
      </x:c>
      <x:c r="O6744" t="str">
        <x:f>IF(D6744="","Unknown",IF(D6744&lt;25000,"&lt;$25k",IF(D6744&lt;50000,"$25k-$50k",IF(D6744&lt;75000,"$50k-$75k",IF(D6744&lt;100000,"$75k-$100k","$100k+")))))</x:f>
        <x:v>$25k-$50k</x:v>
      </x:c>
      <x:c r="P6744" t="str">
        <x:f>IF(E6744="","Unknown",IF(E6744&lt;10,"&lt;10",IF(E6744&lt;20,"10-&lt;20",IF(E6744&lt;25,"20-&lt;25",IF(E6744&lt;35,"25-&lt;35","35+")))))</x:f>
        <x:v>10-&lt;20</x:v>
      </x:c>
    </x:row>
    <x:row r="6745">
      <x:c r="A6745" t="str">
        <x:v>SYN0006744</x:v>
      </x:c>
      <x:c r="B6745" s="12" t="n">
        <x:v>42595</x:v>
      </x:c>
      <x:c r="C6745" s="18" t="n">
        <x:v>16970</x:v>
      </x:c>
      <x:c r="D6745" s="18" t="n">
        <x:v>53212</x:v>
      </x:c>
      <x:c r="E6745" s="18" t="n">
        <x:v>23.71</x:v>
      </x:c>
      <x:c r="F6745" s="18" t="n">
        <x:v>10.98</x:v>
      </x:c>
      <x:c r="G6745" t="n">
        <x:v>36</x:v>
      </x:c>
      <x:c r="H6745" t="str">
        <x:v>B</x:v>
      </x:c>
      <x:c r="I6745" t="str">
        <x:v>1-3 years</x:v>
      </x:c>
      <x:c r="J6745" t="str">
        <x:v>MORTGAGE</x:v>
      </x:c>
      <x:c r="K6745" t="str">
        <x:v>debt_consolidation</x:v>
      </x:c>
      <x:c r="L6745" t="n">
        <x:v>0</x:v>
      </x:c>
      <x:c r="M6745" t="n">
        <x:v>0</x:v>
      </x:c>
      <x:c r="N6745" t="str">
        <x:v>Fully Paid</x:v>
      </x:c>
      <x:c r="O6745" t="str">
        <x:f>IF(D6745="","Unknown",IF(D6745&lt;25000,"&lt;$25k",IF(D6745&lt;50000,"$25k-$50k",IF(D6745&lt;75000,"$50k-$75k",IF(D6745&lt;100000,"$75k-$100k","$100k+")))))</x:f>
        <x:v>$50k-$75k</x:v>
      </x:c>
      <x:c r="P6745" t="str">
        <x:f>IF(E6745="","Unknown",IF(E6745&lt;10,"&lt;10",IF(E6745&lt;20,"10-&lt;20",IF(E6745&lt;25,"20-&lt;25",IF(E6745&lt;35,"25-&lt;35","35+")))))</x:f>
        <x:v>20-&lt;25</x:v>
      </x:c>
    </x:row>
    <x:row r="6746">
      <x:c r="A6746" t="str">
        <x:v>SYN0006745</x:v>
      </x:c>
      <x:c r="B6746" s="12" t="n">
        <x:v>41935</x:v>
      </x:c>
      <x:c r="C6746" s="18" t="n">
        <x:v>40000</x:v>
      </x:c>
      <x:c r="D6746" s="18" t="n">
        <x:v>91066</x:v>
      </x:c>
      <x:c r="E6746" s="18" t="n">
        <x:v>35.25</x:v>
      </x:c>
      <x:c r="F6746" s="18" t="n">
        <x:v>13.21</x:v>
      </x:c>
      <x:c r="G6746" t="n">
        <x:v>36</x:v>
      </x:c>
      <x:c r="H6746" t="str">
        <x:v>D</x:v>
      </x:c>
      <x:c r="I6746" t="str">
        <x:v>4-6 years</x:v>
      </x:c>
      <x:c r="J6746" t="str">
        <x:v>RENT</x:v>
      </x:c>
      <x:c r="K6746" t="str">
        <x:v>credit_card</x:v>
      </x:c>
      <x:c r="L6746" t="n">
        <x:v>2</x:v>
      </x:c>
      <x:c r="M6746" t="n">
        <x:v>0</x:v>
      </x:c>
      <x:c r="N6746" t="str">
        <x:v>Fully Paid</x:v>
      </x:c>
      <x:c r="O6746" t="str">
        <x:f>IF(D6746="","Unknown",IF(D6746&lt;25000,"&lt;$25k",IF(D6746&lt;50000,"$25k-$50k",IF(D6746&lt;75000,"$50k-$75k",IF(D6746&lt;100000,"$75k-$100k","$100k+")))))</x:f>
        <x:v>$75k-$100k</x:v>
      </x:c>
      <x:c r="P6746" t="str">
        <x:f>IF(E6746="","Unknown",IF(E6746&lt;10,"&lt;10",IF(E6746&lt;20,"10-&lt;20",IF(E6746&lt;25,"20-&lt;25",IF(E6746&lt;35,"25-&lt;35","35+")))))</x:f>
        <x:v>35+</x:v>
      </x:c>
    </x:row>
    <x:row r="6747">
      <x:c r="A6747" t="str">
        <x:v>SYN0006746</x:v>
      </x:c>
      <x:c r="B6747" s="12" t="n">
        <x:v>41725</x:v>
      </x:c>
      <x:c r="C6747" s="18" t="n">
        <x:v>12256</x:v>
      </x:c>
      <x:c r="D6747" s="18" t="n">
        <x:v>29327</x:v>
      </x:c>
      <x:c r="E6747" s="18" t="n">
        <x:v>0</x:v>
      </x:c>
      <x:c r="F6747" s="18" t="n">
        <x:v>8.86</x:v>
      </x:c>
      <x:c r="G6747" t="n">
        <x:v>60</x:v>
      </x:c>
      <x:c r="H6747" t="str">
        <x:v>A</x:v>
      </x:c>
      <x:c r="I6747" t="str">
        <x:v>10+ years</x:v>
      </x:c>
      <x:c r="J6747" t="str">
        <x:v>RENT</x:v>
      </x:c>
      <x:c r="K6747" t="str">
        <x:v>debt_consolidation</x:v>
      </x:c>
      <x:c r="L6747" t="n">
        <x:v>0</x:v>
      </x:c>
      <x:c r="M6747" t="n">
        <x:v>0</x:v>
      </x:c>
      <x:c r="N6747" t="str">
        <x:v>Fully Paid</x:v>
      </x:c>
      <x:c r="O6747" t="str">
        <x:f>IF(D6747="","Unknown",IF(D6747&lt;25000,"&lt;$25k",IF(D6747&lt;50000,"$25k-$50k",IF(D6747&lt;75000,"$50k-$75k",IF(D6747&lt;100000,"$75k-$100k","$100k+")))))</x:f>
        <x:v>$25k-$50k</x:v>
      </x:c>
      <x:c r="P6747" t="str">
        <x:f>IF(E6747="","Unknown",IF(E6747&lt;10,"&lt;10",IF(E6747&lt;20,"10-&lt;20",IF(E6747&lt;25,"20-&lt;25",IF(E6747&lt;35,"25-&lt;35","35+")))))</x:f>
        <x:v>Unknown</x:v>
      </x:c>
    </x:row>
    <x:row r="6748">
      <x:c r="A6748" t="str">
        <x:v>SYN0006747</x:v>
      </x:c>
      <x:c r="B6748" s="12" t="n">
        <x:v>41815</x:v>
      </x:c>
      <x:c r="C6748" s="18" t="n">
        <x:v>24822</x:v>
      </x:c>
      <x:c r="D6748" s="18" t="n">
        <x:v>73889</x:v>
      </x:c>
      <x:c r="E6748" s="18" t="n">
        <x:v>18.53</x:v>
      </x:c>
      <x:c r="F6748" s="18" t="n">
        <x:v>10.08</x:v>
      </x:c>
      <x:c r="G6748" t="n">
        <x:v>36</x:v>
      </x:c>
      <x:c r="H6748" t="str">
        <x:v>C</x:v>
      </x:c>
      <x:c r="I6748" t="str">
        <x:v>&lt;1 year</x:v>
      </x:c>
      <x:c r="J6748" t="str">
        <x:v>RENT</x:v>
      </x:c>
      <x:c r="K6748" t="str">
        <x:v>credit_card</x:v>
      </x:c>
      <x:c r="L6748" t="n">
        <x:v>0</x:v>
      </x:c>
      <x:c r="M6748" t="n">
        <x:v>0</x:v>
      </x:c>
      <x:c r="N6748" t="str">
        <x:v>Fully Paid</x:v>
      </x:c>
      <x:c r="O6748" t="str">
        <x:f>IF(D6748="","Unknown",IF(D6748&lt;25000,"&lt;$25k",IF(D6748&lt;50000,"$25k-$50k",IF(D6748&lt;75000,"$50k-$75k",IF(D6748&lt;100000,"$75k-$100k","$100k+")))))</x:f>
        <x:v>$50k-$75k</x:v>
      </x:c>
      <x:c r="P6748" t="str">
        <x:f>IF(E6748="","Unknown",IF(E6748&lt;10,"&lt;10",IF(E6748&lt;20,"10-&lt;20",IF(E6748&lt;25,"20-&lt;25",IF(E6748&lt;35,"25-&lt;35","35+")))))</x:f>
        <x:v>10-&lt;20</x:v>
      </x:c>
    </x:row>
    <x:row r="6749">
      <x:c r="A6749" t="str">
        <x:v>SYN0006748</x:v>
      </x:c>
      <x:c r="B6749" s="12" t="n">
        <x:v>41875</x:v>
      </x:c>
      <x:c r="C6749" s="18" t="n">
        <x:v>15577</x:v>
      </x:c>
      <x:c r="D6749" s="18" t="n">
        <x:v>49710</x:v>
      </x:c>
      <x:c r="E6749" s="18" t="n">
        <x:v>25.97</x:v>
      </x:c>
      <x:c r="F6749" s="18" t="n">
        <x:v>10.29</x:v>
      </x:c>
      <x:c r="G6749" t="n">
        <x:v>36</x:v>
      </x:c>
      <x:c r="H6749" t="str">
        <x:v>C</x:v>
      </x:c>
      <x:c r="I6749" t="str">
        <x:v>1-3 years</x:v>
      </x:c>
      <x:c r="J6749" t="str">
        <x:v>RENT</x:v>
      </x:c>
      <x:c r="K6749" t="str">
        <x:v>credit_card</x:v>
      </x:c>
      <x:c r="L6749" t="n">
        <x:v>1</x:v>
      </x:c>
      <x:c r="M6749" t="n">
        <x:v>0</x:v>
      </x:c>
      <x:c r="N6749" t="str">
        <x:v>Fully Paid</x:v>
      </x:c>
      <x:c r="O6749" t="str">
        <x:f>IF(D6749="","Unknown",IF(D6749&lt;25000,"&lt;$25k",IF(D6749&lt;50000,"$25k-$50k",IF(D6749&lt;75000,"$50k-$75k",IF(D6749&lt;100000,"$75k-$100k","$100k+")))))</x:f>
        <x:v>$25k-$50k</x:v>
      </x:c>
      <x:c r="P6749" t="str">
        <x:f>IF(E6749="","Unknown",IF(E6749&lt;10,"&lt;10",IF(E6749&lt;20,"10-&lt;20",IF(E6749&lt;25,"20-&lt;25",IF(E6749&lt;35,"25-&lt;35","35+")))))</x:f>
        <x:v>25-&lt;35</x:v>
      </x:c>
    </x:row>
    <x:row r="6750">
      <x:c r="A6750" t="str">
        <x:v>SYN0006749</x:v>
      </x:c>
      <x:c r="B6750" s="12" t="n">
        <x:v>42625</x:v>
      </x:c>
      <x:c r="C6750" s="18" t="n">
        <x:v>24270</x:v>
      </x:c>
      <x:c r="D6750" s="18" t="n">
        <x:v>69176</x:v>
      </x:c>
      <x:c r="E6750" s="18" t="n">
        <x:v>17.27</x:v>
      </x:c>
      <x:c r="F6750" s="18" t="n">
        <x:v>17.25</x:v>
      </x:c>
      <x:c r="G6750" t="n">
        <x:v>36</x:v>
      </x:c>
      <x:c r="H6750" t="str">
        <x:v>E</x:v>
      </x:c>
      <x:c r="I6750" t="str">
        <x:v>10+ years</x:v>
      </x:c>
      <x:c r="J6750" t="str">
        <x:v>RENT</x:v>
      </x:c>
      <x:c r="K6750" t="str">
        <x:v>major_purchase</x:v>
      </x:c>
      <x:c r="L6750" t="n">
        <x:v>0</x:v>
      </x:c>
      <x:c r="M6750" t="n">
        <x:v>0</x:v>
      </x:c>
      <x:c r="N6750" t="str">
        <x:v>Fully Paid</x:v>
      </x:c>
      <x:c r="O6750" t="str">
        <x:f>IF(D6750="","Unknown",IF(D6750&lt;25000,"&lt;$25k",IF(D6750&lt;50000,"$25k-$50k",IF(D6750&lt;75000,"$50k-$75k",IF(D6750&lt;100000,"$75k-$100k","$100k+")))))</x:f>
        <x:v>$50k-$75k</x:v>
      </x:c>
      <x:c r="P6750" t="str">
        <x:f>IF(E6750="","Unknown",IF(E6750&lt;10,"&lt;10",IF(E6750&lt;20,"10-&lt;20",IF(E6750&lt;25,"20-&lt;25",IF(E6750&lt;35,"25-&lt;35","35+")))))</x:f>
        <x:v>10-&lt;20</x:v>
      </x:c>
    </x:row>
    <x:row r="6751">
      <x:c r="A6751" t="str">
        <x:v>SYN0006750</x:v>
      </x:c>
      <x:c r="B6751" s="12" t="n">
        <x:v>42355</x:v>
      </x:c>
      <x:c r="C6751" s="18" t="n">
        <x:v>17548</x:v>
      </x:c>
      <x:c r="D6751" s="18" t="n">
        <x:v>12000</x:v>
      </x:c>
      <x:c r="E6751" s="18" t="n">
        <x:v>34.39</x:v>
      </x:c>
      <x:c r="F6751" s="18" t="n">
        <x:v>9.42</x:v>
      </x:c>
      <x:c r="G6751" t="n">
        <x:v>36</x:v>
      </x:c>
      <x:c r="H6751" t="str">
        <x:v>B</x:v>
      </x:c>
      <x:c r="I6751" t="str">
        <x:v>10+ years</x:v>
      </x:c>
      <x:c r="J6751" t="str">
        <x:v>RENT</x:v>
      </x:c>
      <x:c r="K6751" t="str">
        <x:v>debt_consolidation</x:v>
      </x:c>
      <x:c r="L6751" t="n">
        <x:v>0</x:v>
      </x:c>
      <x:c r="M6751" t="n">
        <x:v>0</x:v>
      </x:c>
      <x:c r="N6751" t="str">
        <x:v>Fully Paid</x:v>
      </x:c>
      <x:c r="O6751" t="str">
        <x:f>IF(D6751="","Unknown",IF(D6751&lt;25000,"&lt;$25k",IF(D6751&lt;50000,"$25k-$50k",IF(D6751&lt;75000,"$50k-$75k",IF(D6751&lt;100000,"$75k-$100k","$100k+")))))</x:f>
        <x:v>&lt;$25k</x:v>
      </x:c>
      <x:c r="P6751" t="str">
        <x:f>IF(E6751="","Unknown",IF(E6751&lt;10,"&lt;10",IF(E6751&lt;20,"10-&lt;20",IF(E6751&lt;25,"20-&lt;25",IF(E6751&lt;35,"25-&lt;35","35+")))))</x:f>
        <x:v>25-&lt;35</x:v>
      </x:c>
    </x:row>
    <x:row r="6752">
      <x:c r="A6752" t="str">
        <x:v>SYN0006751</x:v>
      </x:c>
      <x:c r="B6752" s="12" t="n">
        <x:v>42715</x:v>
      </x:c>
      <x:c r="C6752" s="18" t="n">
        <x:v>11245</x:v>
      </x:c>
      <x:c r="D6752" s="18" t="n">
        <x:v>65824</x:v>
      </x:c>
      <x:c r="E6752" s="18" t="n">
        <x:v>20.98</x:v>
      </x:c>
      <x:c r="F6752" s="18" t="n">
        <x:v>14.33</x:v>
      </x:c>
      <x:c r="G6752" t="n">
        <x:v>36</x:v>
      </x:c>
      <x:c r="H6752" t="str">
        <x:v>D</x:v>
      </x:c>
      <x:c r="I6752" t="str">
        <x:v>7-9 years</x:v>
      </x:c>
      <x:c r="J6752" t="str">
        <x:v>MORTGAGE</x:v>
      </x:c>
      <x:c r="K6752" t="str">
        <x:v>credit_card</x:v>
      </x:c>
      <x:c r="L6752" t="n">
        <x:v>1</x:v>
      </x:c>
      <x:c r="M6752" t="n">
        <x:v>0</x:v>
      </x:c>
      <x:c r="N6752" t="str">
        <x:v>Fully Paid</x:v>
      </x:c>
      <x:c r="O6752" t="str">
        <x:f>IF(D6752="","Unknown",IF(D6752&lt;25000,"&lt;$25k",IF(D6752&lt;50000,"$25k-$50k",IF(D6752&lt;75000,"$50k-$75k",IF(D6752&lt;100000,"$75k-$100k","$100k+")))))</x:f>
        <x:v>$50k-$75k</x:v>
      </x:c>
      <x:c r="P6752" t="str">
        <x:f>IF(E6752="","Unknown",IF(E6752&lt;10,"&lt;10",IF(E6752&lt;20,"10-&lt;20",IF(E6752&lt;25,"20-&lt;25",IF(E6752&lt;35,"25-&lt;35","35+")))))</x:f>
        <x:v>20-&lt;25</x:v>
      </x:c>
    </x:row>
    <x:row r="6753">
      <x:c r="A6753" t="str">
        <x:v>SYN0006752</x:v>
      </x:c>
      <x:c r="B6753" s="12" t="n">
        <x:v>42715</x:v>
      </x:c>
      <x:c r="C6753" s="18" t="n">
        <x:v>10809</x:v>
      </x:c>
      <x:c r="D6753" s="18" t="n">
        <x:v>209546</x:v>
      </x:c>
      <x:c r="E6753" s="18" t="n">
        <x:v>26.11</x:v>
      </x:c>
      <x:c r="F6753" s="18" t="n">
        <x:v>7.62</x:v>
      </x:c>
      <x:c r="G6753" t="n">
        <x:v>60</x:v>
      </x:c>
      <x:c r="H6753" t="str">
        <x:v>A</x:v>
      </x:c>
      <x:c r="I6753" t="str">
        <x:v>1-3 years</x:v>
      </x:c>
      <x:c r="J6753" t="str">
        <x:v>MORTGAGE</x:v>
      </x:c>
      <x:c r="K6753" t="str">
        <x:v>debt_consolidation</x:v>
      </x:c>
      <x:c r="L6753" t="n">
        <x:v>0</x:v>
      </x:c>
      <x:c r="M6753" t="n">
        <x:v>0</x:v>
      </x:c>
      <x:c r="N6753" t="str">
        <x:v>Fully Paid</x:v>
      </x:c>
      <x:c r="O6753" t="str">
        <x:f>IF(D6753="","Unknown",IF(D6753&lt;25000,"&lt;$25k",IF(D6753&lt;50000,"$25k-$50k",IF(D6753&lt;75000,"$50k-$75k",IF(D6753&lt;100000,"$75k-$100k","$100k+")))))</x:f>
        <x:v>$100k+</x:v>
      </x:c>
      <x:c r="P6753" t="str">
        <x:f>IF(E6753="","Unknown",IF(E6753&lt;10,"&lt;10",IF(E6753&lt;20,"10-&lt;20",IF(E6753&lt;25,"20-&lt;25",IF(E6753&lt;35,"25-&lt;35","35+")))))</x:f>
        <x:v>25-&lt;35</x:v>
      </x:c>
    </x:row>
    <x:row r="6754">
      <x:c r="A6754" t="str">
        <x:v>SYN0006753</x:v>
      </x:c>
      <x:c r="B6754" s="12" t="n">
        <x:v>42775</x:v>
      </x:c>
      <x:c r="C6754" s="18" t="n">
        <x:v>19753</x:v>
      </x:c>
      <x:c r="D6754" s="18" t="n">
        <x:v>64359</x:v>
      </x:c>
      <x:c r="E6754" s="18" t="n">
        <x:v>17.34</x:v>
      </x:c>
      <x:c r="F6754" s="18" t="n">
        <x:v>25.85</x:v>
      </x:c>
      <x:c r="G6754" t="n">
        <x:v>36</x:v>
      </x:c>
      <x:c r="H6754" t="str">
        <x:v>G</x:v>
      </x:c>
      <x:c r="I6754" t="str">
        <x:v>&lt;1 year</x:v>
      </x:c>
      <x:c r="J6754" t="str">
        <x:v>OWN</x:v>
      </x:c>
      <x:c r="K6754" t="str">
        <x:v>credit_card</x:v>
      </x:c>
      <x:c r="L6754" t="n">
        <x:v>1</x:v>
      </x:c>
      <x:c r="M6754" t="n">
        <x:v>0</x:v>
      </x:c>
      <x:c r="N6754" t="str">
        <x:v>Fully Paid</x:v>
      </x:c>
      <x:c r="O6754" t="str">
        <x:f>IF(D6754="","Unknown",IF(D6754&lt;25000,"&lt;$25k",IF(D6754&lt;50000,"$25k-$50k",IF(D6754&lt;75000,"$50k-$75k",IF(D6754&lt;100000,"$75k-$100k","$100k+")))))</x:f>
        <x:v>$50k-$75k</x:v>
      </x:c>
      <x:c r="P6754" t="str">
        <x:f>IF(E6754="","Unknown",IF(E6754&lt;10,"&lt;10",IF(E6754&lt;20,"10-&lt;20",IF(E6754&lt;25,"20-&lt;25",IF(E6754&lt;35,"25-&lt;35","35+")))))</x:f>
        <x:v>10-&lt;20</x:v>
      </x:c>
    </x:row>
    <x:row r="6755">
      <x:c r="A6755" t="str">
        <x:v>SYN0006754</x:v>
      </x:c>
      <x:c r="B6755" s="12" t="n">
        <x:v>42325</x:v>
      </x:c>
      <x:c r="C6755" s="18" t="n">
        <x:v>16295</x:v>
      </x:c>
      <x:c r="D6755" s="18" t="n">
        <x:v>49259</x:v>
      </x:c>
      <x:c r="E6755" s="18" t="n">
        <x:v>15.93</x:v>
      </x:c>
      <x:c r="F6755" s="18" t="n">
        <x:v>5</x:v>
      </x:c>
      <x:c r="G6755" t="n">
        <x:v>60</x:v>
      </x:c>
      <x:c r="H6755" t="str">
        <x:v>A</x:v>
      </x:c>
      <x:c r="I6755" t="str">
        <x:v>1-3 years</x:v>
      </x:c>
      <x:c r="J6755" t="str">
        <x:v>MORTGAGE</x:v>
      </x:c>
      <x:c r="K6755" t="str">
        <x:v>debt_consolidation</x:v>
      </x:c>
      <x:c r="L6755" t="n">
        <x:v>0</x:v>
      </x:c>
      <x:c r="M6755" t="n">
        <x:v>0</x:v>
      </x:c>
      <x:c r="N6755" t="str">
        <x:v>Fully Paid</x:v>
      </x:c>
      <x:c r="O6755" t="str">
        <x:f>IF(D6755="","Unknown",IF(D6755&lt;25000,"&lt;$25k",IF(D6755&lt;50000,"$25k-$50k",IF(D6755&lt;75000,"$50k-$75k",IF(D6755&lt;100000,"$75k-$100k","$100k+")))))</x:f>
        <x:v>$25k-$50k</x:v>
      </x:c>
      <x:c r="P6755" t="str">
        <x:f>IF(E6755="","Unknown",IF(E6755&lt;10,"&lt;10",IF(E6755&lt;20,"10-&lt;20",IF(E6755&lt;25,"20-&lt;25",IF(E6755&lt;35,"25-&lt;35","35+")))))</x:f>
        <x:v>10-&lt;20</x:v>
      </x:c>
    </x:row>
    <x:row r="6756">
      <x:c r="A6756" t="str">
        <x:v>SYN0006755</x:v>
      </x:c>
      <x:c r="B6756" s="12" t="n">
        <x:v>43375</x:v>
      </x:c>
      <x:c r="C6756" s="18" t="n">
        <x:v>7142</x:v>
      </x:c>
      <x:c r="D6756" s="18" t="n">
        <x:v>40120</x:v>
      </x:c>
      <x:c r="E6756" s="18" t="n">
        <x:v>27.44</x:v>
      </x:c>
      <x:c r="F6756" s="18" t="n">
        <x:v>6.79</x:v>
      </x:c>
      <x:c r="G6756" t="n">
        <x:v>60</x:v>
      </x:c>
      <x:c r="H6756" t="str">
        <x:v>B</x:v>
      </x:c>
      <x:c r="I6756" t="str">
        <x:v>4-6 years</x:v>
      </x:c>
      <x:c r="J6756" t="str">
        <x:v>OTHER</x:v>
      </x:c>
      <x:c r="K6756" t="str">
        <x:v>debt_consolidation</x:v>
      </x:c>
      <x:c r="L6756" t="n">
        <x:v>0</x:v>
      </x:c>
      <x:c r="M6756" t="n">
        <x:v>0</x:v>
      </x:c>
      <x:c r="N6756" t="str">
        <x:v>Fully Paid</x:v>
      </x:c>
      <x:c r="O6756" t="str">
        <x:f>IF(D6756="","Unknown",IF(D6756&lt;25000,"&lt;$25k",IF(D6756&lt;50000,"$25k-$50k",IF(D6756&lt;75000,"$50k-$75k",IF(D6756&lt;100000,"$75k-$100k","$100k+")))))</x:f>
        <x:v>$25k-$50k</x:v>
      </x:c>
      <x:c r="P6756" t="str">
        <x:f>IF(E6756="","Unknown",IF(E6756&lt;10,"&lt;10",IF(E6756&lt;20,"10-&lt;20",IF(E6756&lt;25,"20-&lt;25",IF(E6756&lt;35,"25-&lt;35","35+")))))</x:f>
        <x:v>25-&lt;35</x:v>
      </x:c>
    </x:row>
    <x:row r="6757">
      <x:c r="A6757" t="str">
        <x:v>SYN0006756</x:v>
      </x:c>
      <x:c r="B6757" s="12" t="n">
        <x:v>43285</x:v>
      </x:c>
      <x:c r="C6757" s="18" t="n">
        <x:v>10072</x:v>
      </x:c>
      <x:c r="D6757" s="18" t="n">
        <x:v>103196</x:v>
      </x:c>
      <x:c r="E6757" s="18" t="n">
        <x:v>16.93</x:v>
      </x:c>
      <x:c r="F6757" s="18" t="n">
        <x:v>5.35</x:v>
      </x:c>
      <x:c r="G6757" t="n">
        <x:v>36</x:v>
      </x:c>
      <x:c r="H6757" t="str">
        <x:v>A</x:v>
      </x:c>
      <x:c r="I6757" t="str">
        <x:v>10+ years</x:v>
      </x:c>
      <x:c r="J6757" t="str">
        <x:v>MORTGAGE</x:v>
      </x:c>
      <x:c r="K6757" t="str">
        <x:v>home_improvement</x:v>
      </x:c>
      <x:c r="L6757" t="n">
        <x:v>0</x:v>
      </x:c>
      <x:c r="M6757" t="n">
        <x:v>0</x:v>
      </x:c>
      <x:c r="N6757" t="str">
        <x:v>Fully Paid</x:v>
      </x:c>
      <x:c r="O6757" t="str">
        <x:f>IF(D6757="","Unknown",IF(D6757&lt;25000,"&lt;$25k",IF(D6757&lt;50000,"$25k-$50k",IF(D6757&lt;75000,"$50k-$75k",IF(D6757&lt;100000,"$75k-$100k","$100k+")))))</x:f>
        <x:v>$100k+</x:v>
      </x:c>
      <x:c r="P6757" t="str">
        <x:f>IF(E6757="","Unknown",IF(E6757&lt;10,"&lt;10",IF(E6757&lt;20,"10-&lt;20",IF(E6757&lt;25,"20-&lt;25",IF(E6757&lt;35,"25-&lt;35","35+")))))</x:f>
        <x:v>10-&lt;20</x:v>
      </x:c>
    </x:row>
    <x:row r="6758">
      <x:c r="A6758" t="str">
        <x:v>SYN0006757</x:v>
      </x:c>
      <x:c r="B6758" s="12" t="n">
        <x:v>41725</x:v>
      </x:c>
      <x:c r="C6758" s="18" t="n">
        <x:v>19179</x:v>
      </x:c>
      <x:c r="D6758" s="18" t="n">
        <x:v>50735</x:v>
      </x:c>
      <x:c r="E6758" s="18" t="n">
        <x:v>16.68</x:v>
      </x:c>
      <x:c r="F6758" s="18" t="n">
        <x:v>8.2</x:v>
      </x:c>
      <x:c r="G6758" t="n">
        <x:v>36</x:v>
      </x:c>
      <x:c r="H6758" t="str">
        <x:v>A</x:v>
      </x:c>
      <x:c r="I6758" t="str">
        <x:v>&lt;1 year</x:v>
      </x:c>
      <x:c r="J6758" t="str">
        <x:v>RENT</x:v>
      </x:c>
      <x:c r="K6758" t="str">
        <x:v>medical</x:v>
      </x:c>
      <x:c r="L6758" t="n">
        <x:v>1</x:v>
      </x:c>
      <x:c r="M6758" t="n">
        <x:v>0</x:v>
      </x:c>
      <x:c r="N6758" t="str">
        <x:v>Fully Paid</x:v>
      </x:c>
      <x:c r="O6758" t="str">
        <x:f>IF(D6758="","Unknown",IF(D6758&lt;25000,"&lt;$25k",IF(D6758&lt;50000,"$25k-$50k",IF(D6758&lt;75000,"$50k-$75k",IF(D6758&lt;100000,"$75k-$100k","$100k+")))))</x:f>
        <x:v>$50k-$75k</x:v>
      </x:c>
      <x:c r="P6758" t="str">
        <x:f>IF(E6758="","Unknown",IF(E6758&lt;10,"&lt;10",IF(E6758&lt;20,"10-&lt;20",IF(E6758&lt;25,"20-&lt;25",IF(E6758&lt;35,"25-&lt;35","35+")))))</x:f>
        <x:v>10-&lt;20</x:v>
      </x:c>
    </x:row>
    <x:row r="6759">
      <x:c r="A6759" t="str">
        <x:v>SYN0006758</x:v>
      </x:c>
      <x:c r="B6759" s="12" t="n">
        <x:v>43405</x:v>
      </x:c>
      <x:c r="C6759" s="18" t="n">
        <x:v>12146</x:v>
      </x:c>
      <x:c r="D6759" s="18" t="n">
        <x:v>73370</x:v>
      </x:c>
      <x:c r="E6759" s="18" t="n">
        <x:v>27.28</x:v>
      </x:c>
      <x:c r="F6759" s="18" t="n">
        <x:v>12.59</x:v>
      </x:c>
      <x:c r="G6759" t="n">
        <x:v>36</x:v>
      </x:c>
      <x:c r="H6759" t="str">
        <x:v>C</x:v>
      </x:c>
      <x:c r="I6759" t="str">
        <x:v>7-9 years</x:v>
      </x:c>
      <x:c r="J6759" t="str">
        <x:v>MORTGAGE</x:v>
      </x:c>
      <x:c r="K6759" t="str">
        <x:v>home_improvement</x:v>
      </x:c>
      <x:c r="L6759" t="n">
        <x:v>0</x:v>
      </x:c>
      <x:c r="M6759" t="n">
        <x:v>0</x:v>
      </x:c>
      <x:c r="N6759" t="str">
        <x:v>Fully Paid</x:v>
      </x:c>
      <x:c r="O6759" t="str">
        <x:f>IF(D6759="","Unknown",IF(D6759&lt;25000,"&lt;$25k",IF(D6759&lt;50000,"$25k-$50k",IF(D6759&lt;75000,"$50k-$75k",IF(D6759&lt;100000,"$75k-$100k","$100k+")))))</x:f>
        <x:v>$50k-$75k</x:v>
      </x:c>
      <x:c r="P6759" t="str">
        <x:f>IF(E6759="","Unknown",IF(E6759&lt;10,"&lt;10",IF(E6759&lt;20,"10-&lt;20",IF(E6759&lt;25,"20-&lt;25",IF(E6759&lt;35,"25-&lt;35","35+")))))</x:f>
        <x:v>25-&lt;35</x:v>
      </x:c>
    </x:row>
    <x:row r="6760">
      <x:c r="A6760" t="str">
        <x:v>SYN0006759</x:v>
      </x:c>
      <x:c r="B6760" s="12" t="n">
        <x:v>41845</x:v>
      </x:c>
      <x:c r="C6760" s="18" t="n">
        <x:v>17906</x:v>
      </x:c>
      <x:c r="D6760" s="18" t="n">
        <x:v>144716</x:v>
      </x:c>
      <x:c r="E6760" s="18" t="n">
        <x:v>0</x:v>
      </x:c>
      <x:c r="F6760" s="18" t="n">
        <x:v>8.17</x:v>
      </x:c>
      <x:c r="G6760" t="n">
        <x:v>36</x:v>
      </x:c>
      <x:c r="H6760" t="str">
        <x:v>B</x:v>
      </x:c>
      <x:c r="I6760" t="str">
        <x:v>1-3 years</x:v>
      </x:c>
      <x:c r="J6760" t="str">
        <x:v>RENT</x:v>
      </x:c>
      <x:c r="K6760" t="str">
        <x:v>debt_consolidation</x:v>
      </x:c>
      <x:c r="L6760" t="n">
        <x:v>0</x:v>
      </x:c>
      <x:c r="M6760" t="n">
        <x:v>0</x:v>
      </x:c>
      <x:c r="N6760" t="str">
        <x:v>Fully Paid</x:v>
      </x:c>
      <x:c r="O6760" t="str">
        <x:f>IF(D6760="","Unknown",IF(D6760&lt;25000,"&lt;$25k",IF(D6760&lt;50000,"$25k-$50k",IF(D6760&lt;75000,"$50k-$75k",IF(D6760&lt;100000,"$75k-$100k","$100k+")))))</x:f>
        <x:v>$100k+</x:v>
      </x:c>
      <x:c r="P6760" t="str">
        <x:f>IF(E6760="","Unknown",IF(E6760&lt;10,"&lt;10",IF(E6760&lt;20,"10-&lt;20",IF(E6760&lt;25,"20-&lt;25",IF(E6760&lt;35,"25-&lt;35","35+")))))</x:f>
        <x:v>Unknown</x:v>
      </x:c>
    </x:row>
    <x:row r="6761">
      <x:c r="A6761" t="str">
        <x:v>SYN0006760</x:v>
      </x:c>
      <x:c r="B6761" s="12" t="n">
        <x:v>41545</x:v>
      </x:c>
      <x:c r="C6761" s="18" t="n">
        <x:v>5789</x:v>
      </x:c>
      <x:c r="D6761" s="18" t="n">
        <x:v>19690</x:v>
      </x:c>
      <x:c r="E6761" s="18" t="n">
        <x:v>29.54</x:v>
      </x:c>
      <x:c r="F6761" s="18" t="n">
        <x:v>23</x:v>
      </x:c>
      <x:c r="G6761" t="n">
        <x:v>60</x:v>
      </x:c>
      <x:c r="H6761" t="str">
        <x:v>F</x:v>
      </x:c>
      <x:c r="I6761" t="str">
        <x:v>4-6 years</x:v>
      </x:c>
      <x:c r="J6761" t="str">
        <x:v>MORTGAGE</x:v>
      </x:c>
      <x:c r="K6761" t="str">
        <x:v>home_improvement</x:v>
      </x:c>
      <x:c r="L6761" t="n">
        <x:v>0</x:v>
      </x:c>
      <x:c r="M6761" t="n">
        <x:v>1</x:v>
      </x:c>
      <x:c r="N6761" t="str">
        <x:v>Charged Off</x:v>
      </x:c>
      <x:c r="O6761" t="str">
        <x:f>IF(D6761="","Unknown",IF(D6761&lt;25000,"&lt;$25k",IF(D6761&lt;50000,"$25k-$50k",IF(D6761&lt;75000,"$50k-$75k",IF(D6761&lt;100000,"$75k-$100k","$100k+")))))</x:f>
        <x:v>&lt;$25k</x:v>
      </x:c>
      <x:c r="P6761" t="str">
        <x:f>IF(E6761="","Unknown",IF(E6761&lt;10,"&lt;10",IF(E6761&lt;20,"10-&lt;20",IF(E6761&lt;25,"20-&lt;25",IF(E6761&lt;35,"25-&lt;35","35+")))))</x:f>
        <x:v>25-&lt;35</x:v>
      </x:c>
    </x:row>
    <x:row r="6762">
      <x:c r="A6762" t="str">
        <x:v>SYN0006761</x:v>
      </x:c>
      <x:c r="B6762" s="12" t="n">
        <x:v>41515</x:v>
      </x:c>
      <x:c r="C6762" s="18" t="n">
        <x:v>15875</x:v>
      </x:c>
      <x:c r="D6762" s="18" t="n">
        <x:v>89408</x:v>
      </x:c>
      <x:c r="E6762" s="18" t="n">
        <x:v>28.2</x:v>
      </x:c>
      <x:c r="F6762" s="18" t="n">
        <x:v>9.03</x:v>
      </x:c>
      <x:c r="G6762" t="n">
        <x:v>60</x:v>
      </x:c>
      <x:c r="H6762" t="str">
        <x:v>B</x:v>
      </x:c>
      <x:c r="I6762" t="str">
        <x:v>1-3 years</x:v>
      </x:c>
      <x:c r="J6762" t="str">
        <x:v>MORTGAGE</x:v>
      </x:c>
      <x:c r="K6762" t="str">
        <x:v>credit_card</x:v>
      </x:c>
      <x:c r="L6762" t="n">
        <x:v>0</x:v>
      </x:c>
      <x:c r="M6762" t="n">
        <x:v>0</x:v>
      </x:c>
      <x:c r="N6762" t="str">
        <x:v>Fully Paid</x:v>
      </x:c>
      <x:c r="O6762" t="str">
        <x:f>IF(D6762="","Unknown",IF(D6762&lt;25000,"&lt;$25k",IF(D6762&lt;50000,"$25k-$50k",IF(D6762&lt;75000,"$50k-$75k",IF(D6762&lt;100000,"$75k-$100k","$100k+")))))</x:f>
        <x:v>$75k-$100k</x:v>
      </x:c>
      <x:c r="P6762" t="str">
        <x:f>IF(E6762="","Unknown",IF(E6762&lt;10,"&lt;10",IF(E6762&lt;20,"10-&lt;20",IF(E6762&lt;25,"20-&lt;25",IF(E6762&lt;35,"25-&lt;35","35+")))))</x:f>
        <x:v>25-&lt;35</x:v>
      </x:c>
    </x:row>
    <x:row r="6763">
      <x:c r="A6763" t="str">
        <x:v>SYN0006762</x:v>
      </x:c>
      <x:c r="B6763" s="12" t="n">
        <x:v>43405</x:v>
      </x:c>
      <x:c r="C6763" s="18" t="n">
        <x:v>24293</x:v>
      </x:c>
      <x:c r="D6763" s="18" t="n">
        <x:v>53886</x:v>
      </x:c>
      <x:c r="E6763" s="18" t="n">
        <x:v>20.13</x:v>
      </x:c>
      <x:c r="F6763" s="18" t="n">
        <x:v>10.81</x:v>
      </x:c>
      <x:c r="G6763" t="n">
        <x:v>60</x:v>
      </x:c>
      <x:c r="H6763" t="str">
        <x:v>C</x:v>
      </x:c>
      <x:c r="I6763" t="str">
        <x:v>7-9 years</x:v>
      </x:c>
      <x:c r="J6763" t="str">
        <x:v>RENT</x:v>
      </x:c>
      <x:c r="K6763" t="str">
        <x:v>medical</x:v>
      </x:c>
      <x:c r="L6763" t="n">
        <x:v>1</x:v>
      </x:c>
      <x:c r="M6763" t="n">
        <x:v>0</x:v>
      </x:c>
      <x:c r="N6763" t="str">
        <x:v>Fully Paid</x:v>
      </x:c>
      <x:c r="O6763" t="str">
        <x:f>IF(D6763="","Unknown",IF(D6763&lt;25000,"&lt;$25k",IF(D6763&lt;50000,"$25k-$50k",IF(D6763&lt;75000,"$50k-$75k",IF(D6763&lt;100000,"$75k-$100k","$100k+")))))</x:f>
        <x:v>$50k-$75k</x:v>
      </x:c>
      <x:c r="P6763" t="str">
        <x:f>IF(E6763="","Unknown",IF(E6763&lt;10,"&lt;10",IF(E6763&lt;20,"10-&lt;20",IF(E6763&lt;25,"20-&lt;25",IF(E6763&lt;35,"25-&lt;35","35+")))))</x:f>
        <x:v>20-&lt;25</x:v>
      </x:c>
    </x:row>
    <x:row r="6764">
      <x:c r="A6764" t="str">
        <x:v>SYN0006763</x:v>
      </x:c>
      <x:c r="B6764" s="12" t="n">
        <x:v>43345</x:v>
      </x:c>
      <x:c r="C6764" s="18" t="n">
        <x:v>5063</x:v>
      </x:c>
      <x:c r="D6764" s="18" t="n">
        <x:v>58080</x:v>
      </x:c>
      <x:c r="E6764" s="18" t="n">
        <x:v>16.4</x:v>
      </x:c>
      <x:c r="F6764" s="18" t="n">
        <x:v>5</x:v>
      </x:c>
      <x:c r="G6764" t="n">
        <x:v>36</x:v>
      </x:c>
      <x:c r="H6764" t="str">
        <x:v>A</x:v>
      </x:c>
      <x:c r="I6764" t="str">
        <x:v>&lt;1 year</x:v>
      </x:c>
      <x:c r="J6764" t="str">
        <x:v>RENT</x:v>
      </x:c>
      <x:c r="K6764" t="str">
        <x:v>medical</x:v>
      </x:c>
      <x:c r="L6764" t="n">
        <x:v>2</x:v>
      </x:c>
      <x:c r="M6764" t="n">
        <x:v>0</x:v>
      </x:c>
      <x:c r="N6764" t="str">
        <x:v>Fully Paid</x:v>
      </x:c>
      <x:c r="O6764" t="str">
        <x:f>IF(D6764="","Unknown",IF(D6764&lt;25000,"&lt;$25k",IF(D6764&lt;50000,"$25k-$50k",IF(D6764&lt;75000,"$50k-$75k",IF(D6764&lt;100000,"$75k-$100k","$100k+")))))</x:f>
        <x:v>$50k-$75k</x:v>
      </x:c>
      <x:c r="P6764" t="str">
        <x:f>IF(E6764="","Unknown",IF(E6764&lt;10,"&lt;10",IF(E6764&lt;20,"10-&lt;20",IF(E6764&lt;25,"20-&lt;25",IF(E6764&lt;35,"25-&lt;35","35+")))))</x:f>
        <x:v>10-&lt;20</x:v>
      </x:c>
    </x:row>
    <x:row r="6765">
      <x:c r="A6765" t="str">
        <x:v>SYN0006764</x:v>
      </x:c>
      <x:c r="B6765" s="12" t="n">
        <x:v>41545</x:v>
      </x:c>
      <x:c r="C6765" s="18" t="n">
        <x:v>15776</x:v>
      </x:c>
      <x:c r="D6765" s="18" t="n">
        <x:v>73851</x:v>
      </x:c>
      <x:c r="E6765" s="18" t="n">
        <x:v>7.77</x:v>
      </x:c>
      <x:c r="F6765" s="18" t="n">
        <x:v>14.84</x:v>
      </x:c>
      <x:c r="G6765" t="n">
        <x:v>36</x:v>
      </x:c>
      <x:c r="H6765" t="str">
        <x:v>D</x:v>
      </x:c>
      <x:c r="I6765" t="str">
        <x:v>7-9 years</x:v>
      </x:c>
      <x:c r="J6765" t="str">
        <x:v>OWN</x:v>
      </x:c>
      <x:c r="K6765" t="str">
        <x:v>medical</x:v>
      </x:c>
      <x:c r="L6765" t="n">
        <x:v>0</x:v>
      </x:c>
      <x:c r="M6765" t="n">
        <x:v>0</x:v>
      </x:c>
      <x:c r="N6765" t="str">
        <x:v>Fully Paid</x:v>
      </x:c>
      <x:c r="O6765" t="str">
        <x:f>IF(D6765="","Unknown",IF(D6765&lt;25000,"&lt;$25k",IF(D6765&lt;50000,"$25k-$50k",IF(D6765&lt;75000,"$50k-$75k",IF(D6765&lt;100000,"$75k-$100k","$100k+")))))</x:f>
        <x:v>$50k-$75k</x:v>
      </x:c>
      <x:c r="P6765" t="str">
        <x:f>IF(E6765="","Unknown",IF(E6765&lt;10,"&lt;10",IF(E6765&lt;20,"10-&lt;20",IF(E6765&lt;25,"20-&lt;25",IF(E6765&lt;35,"25-&lt;35","35+")))))</x:f>
        <x:v>&lt;10</x:v>
      </x:c>
    </x:row>
    <x:row r="6766">
      <x:c r="A6766" t="str">
        <x:v>SYN0006765</x:v>
      </x:c>
      <x:c r="B6766" s="12" t="n">
        <x:v>42505</x:v>
      </x:c>
      <x:c r="C6766" s="18" t="n">
        <x:v>11106</x:v>
      </x:c>
      <x:c r="D6766" s="18" t="n">
        <x:v>70642</x:v>
      </x:c>
      <x:c r="E6766" s="18" t="n">
        <x:v>27.14</x:v>
      </x:c>
      <x:c r="F6766" s="18" t="n">
        <x:v>18.16</x:v>
      </x:c>
      <x:c r="G6766" t="n">
        <x:v>36</x:v>
      </x:c>
      <x:c r="H6766" t="str">
        <x:v>E</x:v>
      </x:c>
      <x:c r="I6766" t="str">
        <x:v>1-3 years</x:v>
      </x:c>
      <x:c r="J6766" t="str">
        <x:v>RENT</x:v>
      </x:c>
      <x:c r="K6766" t="str">
        <x:v>debt_consolidation</x:v>
      </x:c>
      <x:c r="L6766" t="n">
        <x:v>0</x:v>
      </x:c>
      <x:c r="M6766" t="n">
        <x:v>0</x:v>
      </x:c>
      <x:c r="N6766" t="str">
        <x:v>Fully Paid</x:v>
      </x:c>
      <x:c r="O6766" t="str">
        <x:f>IF(D6766="","Unknown",IF(D6766&lt;25000,"&lt;$25k",IF(D6766&lt;50000,"$25k-$50k",IF(D6766&lt;75000,"$50k-$75k",IF(D6766&lt;100000,"$75k-$100k","$100k+")))))</x:f>
        <x:v>$50k-$75k</x:v>
      </x:c>
      <x:c r="P6766" t="str">
        <x:f>IF(E6766="","Unknown",IF(E6766&lt;10,"&lt;10",IF(E6766&lt;20,"10-&lt;20",IF(E6766&lt;25,"20-&lt;25",IF(E6766&lt;35,"25-&lt;35","35+")))))</x:f>
        <x:v>25-&lt;35</x:v>
      </x:c>
    </x:row>
    <x:row r="6767">
      <x:c r="A6767" t="str">
        <x:v>SYN0006766</x:v>
      </x:c>
      <x:c r="B6767" s="12" t="n">
        <x:v>42715</x:v>
      </x:c>
      <x:c r="C6767" s="18" t="n">
        <x:v>7495</x:v>
      </x:c>
      <x:c r="D6767" s="18" t="n">
        <x:v>37180</x:v>
      </x:c>
      <x:c r="E6767" s="18" t="n">
        <x:v>5.23</x:v>
      </x:c>
      <x:c r="F6767" s="18" t="n">
        <x:v>7.31</x:v>
      </x:c>
      <x:c r="G6767" t="n">
        <x:v>60</x:v>
      </x:c>
      <x:c r="H6767" t="str">
        <x:v>B</x:v>
      </x:c>
      <x:c r="I6767" t="str">
        <x:v>1-3 years</x:v>
      </x:c>
      <x:c r="J6767" t="str">
        <x:v>MORTGAGE</x:v>
      </x:c>
      <x:c r="K6767" t="str">
        <x:v>debt_consolidation</x:v>
      </x:c>
      <x:c r="L6767" t="n">
        <x:v>0</x:v>
      </x:c>
      <x:c r="M6767" t="n">
        <x:v>0</x:v>
      </x:c>
      <x:c r="N6767" t="str">
        <x:v>Fully Paid</x:v>
      </x:c>
      <x:c r="O6767" t="str">
        <x:f>IF(D6767="","Unknown",IF(D6767&lt;25000,"&lt;$25k",IF(D6767&lt;50000,"$25k-$50k",IF(D6767&lt;75000,"$50k-$75k",IF(D6767&lt;100000,"$75k-$100k","$100k+")))))</x:f>
        <x:v>$25k-$50k</x:v>
      </x:c>
      <x:c r="P6767" t="str">
        <x:f>IF(E6767="","Unknown",IF(E6767&lt;10,"&lt;10",IF(E6767&lt;20,"10-&lt;20",IF(E6767&lt;25,"20-&lt;25",IF(E6767&lt;35,"25-&lt;35","35+")))))</x:f>
        <x:v>&lt;10</x:v>
      </x:c>
    </x:row>
    <x:row r="6768">
      <x:c r="A6768" t="str">
        <x:v>SYN0006767</x:v>
      </x:c>
      <x:c r="B6768" s="12" t="n">
        <x:v>41695</x:v>
      </x:c>
      <x:c r="C6768" s="18" t="n">
        <x:v>6639</x:v>
      </x:c>
      <x:c r="D6768" s="18" t="n">
        <x:v>23553</x:v>
      </x:c>
      <x:c r="E6768" s="18" t="n">
        <x:v>4.25</x:v>
      </x:c>
      <x:c r="F6768" s="18" t="n">
        <x:v>8.26</x:v>
      </x:c>
      <x:c r="G6768" t="n">
        <x:v>36</x:v>
      </x:c>
      <x:c r="H6768" t="str">
        <x:v>C</x:v>
      </x:c>
      <x:c r="I6768" t="str">
        <x:v>7-9 years</x:v>
      </x:c>
      <x:c r="J6768" t="str">
        <x:v>RENT</x:v>
      </x:c>
      <x:c r="K6768" t="str">
        <x:v>debt_consolidation</x:v>
      </x:c>
      <x:c r="L6768" t="n">
        <x:v>0</x:v>
      </x:c>
      <x:c r="M6768" t="n">
        <x:v>0</x:v>
      </x:c>
      <x:c r="N6768" t="str">
        <x:v>Fully Paid</x:v>
      </x:c>
      <x:c r="O6768" t="str">
        <x:f>IF(D6768="","Unknown",IF(D6768&lt;25000,"&lt;$25k",IF(D6768&lt;50000,"$25k-$50k",IF(D6768&lt;75000,"$50k-$75k",IF(D6768&lt;100000,"$75k-$100k","$100k+")))))</x:f>
        <x:v>&lt;$25k</x:v>
      </x:c>
      <x:c r="P6768" t="str">
        <x:f>IF(E6768="","Unknown",IF(E6768&lt;10,"&lt;10",IF(E6768&lt;20,"10-&lt;20",IF(E6768&lt;25,"20-&lt;25",IF(E6768&lt;35,"25-&lt;35","35+")))))</x:f>
        <x:v>&lt;10</x:v>
      </x:c>
    </x:row>
    <x:row r="6769">
      <x:c r="A6769" t="str">
        <x:v>SYN0006768</x:v>
      </x:c>
      <x:c r="B6769" s="12" t="n">
        <x:v>42805</x:v>
      </x:c>
      <x:c r="C6769" s="18" t="n">
        <x:v>8594</x:v>
      </x:c>
      <x:c r="D6769" s="18" t="n">
        <x:v>33082</x:v>
      </x:c>
      <x:c r="E6769" s="18" t="n">
        <x:v>19.3</x:v>
      </x:c>
      <x:c r="F6769" s="18" t="n">
        <x:v>14.7</x:v>
      </x:c>
      <x:c r="G6769" t="n">
        <x:v>36</x:v>
      </x:c>
      <x:c r="H6769" t="str">
        <x:v>C</x:v>
      </x:c>
      <x:c r="I6769" t="str">
        <x:v>4-6 years</x:v>
      </x:c>
      <x:c r="J6769" t="str">
        <x:v>RENT</x:v>
      </x:c>
      <x:c r="K6769" t="str">
        <x:v>debt_consolidation</x:v>
      </x:c>
      <x:c r="L6769" t="n">
        <x:v>0</x:v>
      </x:c>
      <x:c r="M6769" t="n">
        <x:v>0</x:v>
      </x:c>
      <x:c r="N6769" t="str">
        <x:v>Fully Paid</x:v>
      </x:c>
      <x:c r="O6769" t="str">
        <x:f>IF(D6769="","Unknown",IF(D6769&lt;25000,"&lt;$25k",IF(D6769&lt;50000,"$25k-$50k",IF(D6769&lt;75000,"$50k-$75k",IF(D6769&lt;100000,"$75k-$100k","$100k+")))))</x:f>
        <x:v>$25k-$50k</x:v>
      </x:c>
      <x:c r="P6769" t="str">
        <x:f>IF(E6769="","Unknown",IF(E6769&lt;10,"&lt;10",IF(E6769&lt;20,"10-&lt;20",IF(E6769&lt;25,"20-&lt;25",IF(E6769&lt;35,"25-&lt;35","35+")))))</x:f>
        <x:v>10-&lt;20</x:v>
      </x:c>
    </x:row>
    <x:row r="6770">
      <x:c r="A6770" t="str">
        <x:v>SYN0006769</x:v>
      </x:c>
      <x:c r="B6770" s="12" t="n">
        <x:v>42835</x:v>
      </x:c>
      <x:c r="C6770" s="18" t="n">
        <x:v>21812</x:v>
      </x:c>
      <x:c r="D6770" s="18" t="n">
        <x:v>67598</x:v>
      </x:c>
      <x:c r="E6770" s="18" t="n">
        <x:v>28.16</x:v>
      </x:c>
      <x:c r="F6770" s="18" t="n">
        <x:v>5</x:v>
      </x:c>
      <x:c r="G6770" t="n">
        <x:v>60</x:v>
      </x:c>
      <x:c r="H6770" t="str">
        <x:v>A</x:v>
      </x:c>
      <x:c r="I6770" t="str">
        <x:v>1-3 years</x:v>
      </x:c>
      <x:c r="J6770" t="str">
        <x:v>OWN</x:v>
      </x:c>
      <x:c r="K6770" t="str">
        <x:v>debt_consolidation</x:v>
      </x:c>
      <x:c r="L6770" t="n">
        <x:v>1</x:v>
      </x:c>
      <x:c r="M6770" t="n">
        <x:v>1</x:v>
      </x:c>
      <x:c r="N6770" t="str">
        <x:v>Charged Off</x:v>
      </x:c>
      <x:c r="O6770" t="str">
        <x:f>IF(D6770="","Unknown",IF(D6770&lt;25000,"&lt;$25k",IF(D6770&lt;50000,"$25k-$50k",IF(D6770&lt;75000,"$50k-$75k",IF(D6770&lt;100000,"$75k-$100k","$100k+")))))</x:f>
        <x:v>$50k-$75k</x:v>
      </x:c>
      <x:c r="P6770" t="str">
        <x:f>IF(E6770="","Unknown",IF(E6770&lt;10,"&lt;10",IF(E6770&lt;20,"10-&lt;20",IF(E6770&lt;25,"20-&lt;25",IF(E6770&lt;35,"25-&lt;35","35+")))))</x:f>
        <x:v>25-&lt;35</x:v>
      </x:c>
    </x:row>
    <x:row r="6771">
      <x:c r="A6771" t="str">
        <x:v>SYN0006770</x:v>
      </x:c>
      <x:c r="B6771" s="12" t="n">
        <x:v>42835</x:v>
      </x:c>
      <x:c r="C6771" s="18" t="n">
        <x:v>7516</x:v>
      </x:c>
      <x:c r="D6771" s="18" t="n">
        <x:v>29369</x:v>
      </x:c>
      <x:c r="E6771" s="18" t="n">
        <x:v>21.33</x:v>
      </x:c>
      <x:c r="F6771" s="18" t="n">
        <x:v>22.17</x:v>
      </x:c>
      <x:c r="G6771" t="n">
        <x:v>36</x:v>
      </x:c>
      <x:c r="H6771" t="str">
        <x:v>E</x:v>
      </x:c>
      <x:c r="I6771" t="str">
        <x:v>1-3 years</x:v>
      </x:c>
      <x:c r="J6771" t="str">
        <x:v>RENT</x:v>
      </x:c>
      <x:c r="K6771" t="str">
        <x:v>credit_card</x:v>
      </x:c>
      <x:c r="L6771" t="n">
        <x:v>0</x:v>
      </x:c>
      <x:c r="M6771" t="n">
        <x:v>0</x:v>
      </x:c>
      <x:c r="N6771" t="str">
        <x:v>Fully Paid</x:v>
      </x:c>
      <x:c r="O6771" t="str">
        <x:f>IF(D6771="","Unknown",IF(D6771&lt;25000,"&lt;$25k",IF(D6771&lt;50000,"$25k-$50k",IF(D6771&lt;75000,"$50k-$75k",IF(D6771&lt;100000,"$75k-$100k","$100k+")))))</x:f>
        <x:v>$25k-$50k</x:v>
      </x:c>
      <x:c r="P6771" t="str">
        <x:f>IF(E6771="","Unknown",IF(E6771&lt;10,"&lt;10",IF(E6771&lt;20,"10-&lt;20",IF(E6771&lt;25,"20-&lt;25",IF(E6771&lt;35,"25-&lt;35","35+")))))</x:f>
        <x:v>20-&lt;25</x:v>
      </x:c>
    </x:row>
    <x:row r="6772">
      <x:c r="A6772" t="str">
        <x:v>SYN0006771</x:v>
      </x:c>
      <x:c r="B6772" s="12" t="n">
        <x:v>41845</x:v>
      </x:c>
      <x:c r="C6772" s="18" t="n">
        <x:v>13100</x:v>
      </x:c>
      <x:c r="D6772" s="18" t="n">
        <x:v>40609</x:v>
      </x:c>
      <x:c r="E6772" s="18" t="n">
        <x:v>14.88</x:v>
      </x:c>
      <x:c r="F6772" s="18" t="n">
        <x:v>15.77</x:v>
      </x:c>
      <x:c r="G6772" t="n">
        <x:v>60</x:v>
      </x:c>
      <x:c r="H6772" t="str">
        <x:v>D</x:v>
      </x:c>
      <x:c r="I6772" t="str">
        <x:v>10+ years</x:v>
      </x:c>
      <x:c r="J6772" t="str">
        <x:v>MORTGAGE</x:v>
      </x:c>
      <x:c r="K6772" t="str">
        <x:v>credit_card</x:v>
      </x:c>
      <x:c r="L6772" t="n">
        <x:v>0</x:v>
      </x:c>
      <x:c r="M6772" t="n">
        <x:v>0</x:v>
      </x:c>
      <x:c r="N6772" t="str">
        <x:v>Fully Paid</x:v>
      </x:c>
      <x:c r="O6772" t="str">
        <x:f>IF(D6772="","Unknown",IF(D6772&lt;25000,"&lt;$25k",IF(D6772&lt;50000,"$25k-$50k",IF(D6772&lt;75000,"$50k-$75k",IF(D6772&lt;100000,"$75k-$100k","$100k+")))))</x:f>
        <x:v>$25k-$50k</x:v>
      </x:c>
      <x:c r="P6772" t="str">
        <x:f>IF(E6772="","Unknown",IF(E6772&lt;10,"&lt;10",IF(E6772&lt;20,"10-&lt;20",IF(E6772&lt;25,"20-&lt;25",IF(E6772&lt;35,"25-&lt;35","35+")))))</x:f>
        <x:v>10-&lt;20</x:v>
      </x:c>
    </x:row>
    <x:row r="6773">
      <x:c r="A6773" t="str">
        <x:v>SYN0006772</x:v>
      </x:c>
      <x:c r="B6773" s="12" t="n">
        <x:v>42265</x:v>
      </x:c>
      <x:c r="C6773" s="18" t="n">
        <x:v>8113</x:v>
      </x:c>
      <x:c r="D6773" s="18" t="n">
        <x:v>21586</x:v>
      </x:c>
      <x:c r="E6773" s="18" t="n">
        <x:v>35.87</x:v>
      </x:c>
      <x:c r="F6773" s="18" t="n">
        <x:v>17.8</x:v>
      </x:c>
      <x:c r="G6773" t="n">
        <x:v>36</x:v>
      </x:c>
      <x:c r="H6773" t="str">
        <x:v>E</x:v>
      </x:c>
      <x:c r="I6773" t="str">
        <x:v>1-3 years</x:v>
      </x:c>
      <x:c r="J6773" t="str">
        <x:v>MORTGAGE</x:v>
      </x:c>
      <x:c r="K6773" t="str">
        <x:v>home_improvement</x:v>
      </x:c>
      <x:c r="L6773" t="n">
        <x:v>1</x:v>
      </x:c>
      <x:c r="M6773" t="n">
        <x:v>1</x:v>
      </x:c>
      <x:c r="N6773" t="str">
        <x:v>Charged Off</x:v>
      </x:c>
      <x:c r="O6773" t="str">
        <x:f>IF(D6773="","Unknown",IF(D6773&lt;25000,"&lt;$25k",IF(D6773&lt;50000,"$25k-$50k",IF(D6773&lt;75000,"$50k-$75k",IF(D6773&lt;100000,"$75k-$100k","$100k+")))))</x:f>
        <x:v>&lt;$25k</x:v>
      </x:c>
      <x:c r="P6773" t="str">
        <x:f>IF(E6773="","Unknown",IF(E6773&lt;10,"&lt;10",IF(E6773&lt;20,"10-&lt;20",IF(E6773&lt;25,"20-&lt;25",IF(E6773&lt;35,"25-&lt;35","35+")))))</x:f>
        <x:v>35+</x:v>
      </x:c>
    </x:row>
    <x:row r="6774">
      <x:c r="A6774" t="str">
        <x:v>SYN0006773</x:v>
      </x:c>
      <x:c r="B6774" s="12" t="n">
        <x:v>42475</x:v>
      </x:c>
      <x:c r="C6774" s="18" t="n">
        <x:v>20261</x:v>
      </x:c>
      <x:c r="D6774" s="18" t="n">
        <x:v>37862</x:v>
      </x:c>
      <x:c r="E6774" s="18" t="n">
        <x:v>12.01</x:v>
      </x:c>
      <x:c r="F6774" s="18" t="n">
        <x:v>10.79</x:v>
      </x:c>
      <x:c r="G6774" t="n">
        <x:v>36</x:v>
      </x:c>
      <x:c r="H6774" t="str">
        <x:v>C</x:v>
      </x:c>
      <x:c r="I6774" t="str">
        <x:v>4-6 years</x:v>
      </x:c>
      <x:c r="J6774" t="str">
        <x:v>RENT</x:v>
      </x:c>
      <x:c r="K6774" t="str">
        <x:v>debt_consolidation</x:v>
      </x:c>
      <x:c r="L6774" t="n">
        <x:v>0</x:v>
      </x:c>
      <x:c r="M6774" t="n">
        <x:v>0</x:v>
      </x:c>
      <x:c r="N6774" t="str">
        <x:v>Fully Paid</x:v>
      </x:c>
      <x:c r="O6774" t="str">
        <x:f>IF(D6774="","Unknown",IF(D6774&lt;25000,"&lt;$25k",IF(D6774&lt;50000,"$25k-$50k",IF(D6774&lt;75000,"$50k-$75k",IF(D6774&lt;100000,"$75k-$100k","$100k+")))))</x:f>
        <x:v>$25k-$50k</x:v>
      </x:c>
      <x:c r="P6774" t="str">
        <x:f>IF(E6774="","Unknown",IF(E6774&lt;10,"&lt;10",IF(E6774&lt;20,"10-&lt;20",IF(E6774&lt;25,"20-&lt;25",IF(E6774&lt;35,"25-&lt;35","35+")))))</x:f>
        <x:v>10-&lt;20</x:v>
      </x:c>
    </x:row>
    <x:row r="6775">
      <x:c r="A6775" t="str">
        <x:v>SYN0006774</x:v>
      </x:c>
      <x:c r="B6775" s="12" t="n">
        <x:v>42265</x:v>
      </x:c>
      <x:c r="C6775" s="18" t="n">
        <x:v>13671</x:v>
      </x:c>
      <x:c r="D6775" s="18" t="n">
        <x:v>58244</x:v>
      </x:c>
      <x:c r="E6775" s="18" t="n">
        <x:v>13.89</x:v>
      </x:c>
      <x:c r="F6775" s="18" t="n">
        <x:v>5</x:v>
      </x:c>
      <x:c r="G6775" t="n">
        <x:v>36</x:v>
      </x:c>
      <x:c r="H6775" t="str">
        <x:v>A</x:v>
      </x:c>
      <x:c r="I6775" t="str">
        <x:v>4-6 years</x:v>
      </x:c>
      <x:c r="J6775" t="str">
        <x:v>OWN</x:v>
      </x:c>
      <x:c r="K6775" t="str">
        <x:v>debt_consolidation</x:v>
      </x:c>
      <x:c r="L6775" t="n">
        <x:v>0</x:v>
      </x:c>
      <x:c r="M6775" t="n">
        <x:v>0</x:v>
      </x:c>
      <x:c r="N6775" t="str">
        <x:v>Fully Paid</x:v>
      </x:c>
      <x:c r="O6775" t="str">
        <x:f>IF(D6775="","Unknown",IF(D6775&lt;25000,"&lt;$25k",IF(D6775&lt;50000,"$25k-$50k",IF(D6775&lt;75000,"$50k-$75k",IF(D6775&lt;100000,"$75k-$100k","$100k+")))))</x:f>
        <x:v>$50k-$75k</x:v>
      </x:c>
      <x:c r="P6775" t="str">
        <x:f>IF(E6775="","Unknown",IF(E6775&lt;10,"&lt;10",IF(E6775&lt;20,"10-&lt;20",IF(E6775&lt;25,"20-&lt;25",IF(E6775&lt;35,"25-&lt;35","35+")))))</x:f>
        <x:v>10-&lt;20</x:v>
      </x:c>
    </x:row>
    <x:row r="6776">
      <x:c r="A6776" t="str">
        <x:v>SYN0006775</x:v>
      </x:c>
      <x:c r="B6776" s="12" t="n">
        <x:v>42505</x:v>
      </x:c>
      <x:c r="C6776" s="18" t="n">
        <x:v>7667</x:v>
      </x:c>
      <x:c r="D6776" s="18" t="n">
        <x:v>149410</x:v>
      </x:c>
      <x:c r="E6776" s="18" t="n">
        <x:v>14.82</x:v>
      </x:c>
      <x:c r="F6776" s="18" t="n">
        <x:v>13.04</x:v>
      </x:c>
      <x:c r="G6776" t="n">
        <x:v>36</x:v>
      </x:c>
      <x:c r="H6776" t="str">
        <x:v>C</x:v>
      </x:c>
      <x:c r="I6776" t="str">
        <x:v>4-6 years</x:v>
      </x:c>
      <x:c r="J6776" t="str">
        <x:v>MORTGAGE</x:v>
      </x:c>
      <x:c r="K6776" t="str">
        <x:v>debt_consolidation</x:v>
      </x:c>
      <x:c r="L6776" t="n">
        <x:v>1</x:v>
      </x:c>
      <x:c r="M6776" t="n">
        <x:v>0</x:v>
      </x:c>
      <x:c r="N6776" t="str">
        <x:v>Fully Paid</x:v>
      </x:c>
      <x:c r="O6776" t="str">
        <x:f>IF(D6776="","Unknown",IF(D6776&lt;25000,"&lt;$25k",IF(D6776&lt;50000,"$25k-$50k",IF(D6776&lt;75000,"$50k-$75k",IF(D6776&lt;100000,"$75k-$100k","$100k+")))))</x:f>
        <x:v>$100k+</x:v>
      </x:c>
      <x:c r="P6776" t="str">
        <x:f>IF(E6776="","Unknown",IF(E6776&lt;10,"&lt;10",IF(E6776&lt;20,"10-&lt;20",IF(E6776&lt;25,"20-&lt;25",IF(E6776&lt;35,"25-&lt;35","35+")))))</x:f>
        <x:v>10-&lt;20</x:v>
      </x:c>
    </x:row>
    <x:row r="6777">
      <x:c r="A6777" t="str">
        <x:v>SYN0006776</x:v>
      </x:c>
      <x:c r="B6777" s="12" t="n">
        <x:v>43165</x:v>
      </x:c>
      <x:c r="C6777" s="18" t="n">
        <x:v>19038</x:v>
      </x:c>
      <x:c r="D6777" s="18" t="n">
        <x:v>86765</x:v>
      </x:c>
      <x:c r="E6777" s="18" t="n">
        <x:v>22.89</x:v>
      </x:c>
      <x:c r="F6777" s="18" t="n">
        <x:v>11.42</x:v>
      </x:c>
      <x:c r="G6777" t="n">
        <x:v>36</x:v>
      </x:c>
      <x:c r="H6777" t="str">
        <x:v>C</x:v>
      </x:c>
      <x:c r="I6777" t="str">
        <x:v>10+ years</x:v>
      </x:c>
      <x:c r="J6777" t="str">
        <x:v>RENT</x:v>
      </x:c>
      <x:c r="K6777" t="str">
        <x:v>major_purchase</x:v>
      </x:c>
      <x:c r="L6777" t="n">
        <x:v>1</x:v>
      </x:c>
      <x:c r="M6777" t="n">
        <x:v>0</x:v>
      </x:c>
      <x:c r="N6777" t="str">
        <x:v>Fully Paid</x:v>
      </x:c>
      <x:c r="O6777" t="str">
        <x:f>IF(D6777="","Unknown",IF(D6777&lt;25000,"&lt;$25k",IF(D6777&lt;50000,"$25k-$50k",IF(D6777&lt;75000,"$50k-$75k",IF(D6777&lt;100000,"$75k-$100k","$100k+")))))</x:f>
        <x:v>$75k-$100k</x:v>
      </x:c>
      <x:c r="P6777" t="str">
        <x:f>IF(E6777="","Unknown",IF(E6777&lt;10,"&lt;10",IF(E6777&lt;20,"10-&lt;20",IF(E6777&lt;25,"20-&lt;25",IF(E6777&lt;35,"25-&lt;35","35+")))))</x:f>
        <x:v>20-&lt;25</x:v>
      </x:c>
    </x:row>
    <x:row r="6778">
      <x:c r="A6778" t="str">
        <x:v>SYN0006777</x:v>
      </x:c>
      <x:c r="B6778" s="12" t="n">
        <x:v>41725</x:v>
      </x:c>
      <x:c r="C6778" s="18" t="n">
        <x:v>7611</x:v>
      </x:c>
      <x:c r="D6778" s="18" t="n">
        <x:v>59979</x:v>
      </x:c>
      <x:c r="E6778" s="18" t="n">
        <x:v>24.08</x:v>
      </x:c>
      <x:c r="F6778" s="18" t="n">
        <x:v>5.97</x:v>
      </x:c>
      <x:c r="G6778" t="n">
        <x:v>60</x:v>
      </x:c>
      <x:c r="H6778" t="str">
        <x:v>B</x:v>
      </x:c>
      <x:c r="I6778" t="str">
        <x:v>4-6 years</x:v>
      </x:c>
      <x:c r="J6778" t="str">
        <x:v>RENT</x:v>
      </x:c>
      <x:c r="K6778" t="str">
        <x:v>credit_card</x:v>
      </x:c>
      <x:c r="L6778" t="n">
        <x:v>0</x:v>
      </x:c>
      <x:c r="M6778" t="n">
        <x:v>0</x:v>
      </x:c>
      <x:c r="N6778" t="str">
        <x:v>Fully Paid</x:v>
      </x:c>
      <x:c r="O6778" t="str">
        <x:f>IF(D6778="","Unknown",IF(D6778&lt;25000,"&lt;$25k",IF(D6778&lt;50000,"$25k-$50k",IF(D6778&lt;75000,"$50k-$75k",IF(D6778&lt;100000,"$75k-$100k","$100k+")))))</x:f>
        <x:v>$50k-$75k</x:v>
      </x:c>
      <x:c r="P6778" t="str">
        <x:f>IF(E6778="","Unknown",IF(E6778&lt;10,"&lt;10",IF(E6778&lt;20,"10-&lt;20",IF(E6778&lt;25,"20-&lt;25",IF(E6778&lt;35,"25-&lt;35","35+")))))</x:f>
        <x:v>20-&lt;25</x:v>
      </x:c>
    </x:row>
    <x:row r="6779">
      <x:c r="A6779" t="str">
        <x:v>SYN0006778</x:v>
      </x:c>
      <x:c r="B6779" s="12" t="n">
        <x:v>43015</x:v>
      </x:c>
      <x:c r="C6779" s="18" t="n">
        <x:v>14194</x:v>
      </x:c>
      <x:c r="D6779" s="18" t="n">
        <x:v>62990</x:v>
      </x:c>
      <x:c r="E6779" s="18" t="n">
        <x:v>20.68</x:v>
      </x:c>
      <x:c r="F6779" s="18" t="n">
        <x:v>14.25</x:v>
      </x:c>
      <x:c r="G6779" t="n">
        <x:v>36</x:v>
      </x:c>
      <x:c r="H6779" t="str">
        <x:v>D</x:v>
      </x:c>
      <x:c r="I6779" t="str">
        <x:v>10+ years</x:v>
      </x:c>
      <x:c r="J6779" t="str">
        <x:v>RENT</x:v>
      </x:c>
      <x:c r="K6779" t="str">
        <x:v>debt_consolidation</x:v>
      </x:c>
      <x:c r="L6779" t="n">
        <x:v>0</x:v>
      </x:c>
      <x:c r="M6779" t="n">
        <x:v>0</x:v>
      </x:c>
      <x:c r="N6779" t="str">
        <x:v>Fully Paid</x:v>
      </x:c>
      <x:c r="O6779" t="str">
        <x:f>IF(D6779="","Unknown",IF(D6779&lt;25000,"&lt;$25k",IF(D6779&lt;50000,"$25k-$50k",IF(D6779&lt;75000,"$50k-$75k",IF(D6779&lt;100000,"$75k-$100k","$100k+")))))</x:f>
        <x:v>$50k-$75k</x:v>
      </x:c>
      <x:c r="P6779" t="str">
        <x:f>IF(E6779="","Unknown",IF(E6779&lt;10,"&lt;10",IF(E6779&lt;20,"10-&lt;20",IF(E6779&lt;25,"20-&lt;25",IF(E6779&lt;35,"25-&lt;35","35+")))))</x:f>
        <x:v>20-&lt;25</x:v>
      </x:c>
    </x:row>
    <x:row r="6780">
      <x:c r="A6780" t="str">
        <x:v>SYN0006779</x:v>
      </x:c>
      <x:c r="B6780" s="12" t="n">
        <x:v>43165</x:v>
      </x:c>
      <x:c r="C6780" s="18" t="n">
        <x:v>17951</x:v>
      </x:c>
      <x:c r="D6780" s="18" t="n">
        <x:v>27821</x:v>
      </x:c>
      <x:c r="E6780" s="18" t="n">
        <x:v>37.86</x:v>
      </x:c>
      <x:c r="F6780" s="18" t="n">
        <x:v>18.9</x:v>
      </x:c>
      <x:c r="G6780" t="n">
        <x:v>60</x:v>
      </x:c>
      <x:c r="H6780" t="str">
        <x:v>E</x:v>
      </x:c>
      <x:c r="I6780" t="str">
        <x:v>10+ years</x:v>
      </x:c>
      <x:c r="J6780" t="str">
        <x:v>MORTGAGE</x:v>
      </x:c>
      <x:c r="K6780" t="str">
        <x:v>home_improvement</x:v>
      </x:c>
      <x:c r="L6780" t="n">
        <x:v>0</x:v>
      </x:c>
      <x:c r="M6780" t="n">
        <x:v>0</x:v>
      </x:c>
      <x:c r="N6780" t="str">
        <x:v>Fully Paid</x:v>
      </x:c>
      <x:c r="O6780" t="str">
        <x:f>IF(D6780="","Unknown",IF(D6780&lt;25000,"&lt;$25k",IF(D6780&lt;50000,"$25k-$50k",IF(D6780&lt;75000,"$50k-$75k",IF(D6780&lt;100000,"$75k-$100k","$100k+")))))</x:f>
        <x:v>$25k-$50k</x:v>
      </x:c>
      <x:c r="P6780" t="str">
        <x:f>IF(E6780="","Unknown",IF(E6780&lt;10,"&lt;10",IF(E6780&lt;20,"10-&lt;20",IF(E6780&lt;25,"20-&lt;25",IF(E6780&lt;35,"25-&lt;35","35+")))))</x:f>
        <x:v>35+</x:v>
      </x:c>
    </x:row>
    <x:row r="6781">
      <x:c r="A6781" t="str">
        <x:v>SYN0006780</x:v>
      </x:c>
      <x:c r="B6781" s="12" t="n">
        <x:v>42235</x:v>
      </x:c>
      <x:c r="C6781" s="18" t="n">
        <x:v>12218</x:v>
      </x:c>
      <x:c r="D6781" s="18" t="n">
        <x:v>47257</x:v>
      </x:c>
      <x:c r="E6781" s="18" t="n">
        <x:v>6.97</x:v>
      </x:c>
      <x:c r="F6781" s="18" t="n">
        <x:v>11.4</x:v>
      </x:c>
      <x:c r="G6781" t="n">
        <x:v>36</x:v>
      </x:c>
      <x:c r="H6781" t="str">
        <x:v>C</x:v>
      </x:c>
      <x:c r="I6781" t="str">
        <x:v>4-6 years</x:v>
      </x:c>
      <x:c r="J6781" t="str">
        <x:v>MORTGAGE</x:v>
      </x:c>
      <x:c r="K6781" t="str">
        <x:v>credit_card</x:v>
      </x:c>
      <x:c r="L6781" t="n">
        <x:v>1</x:v>
      </x:c>
      <x:c r="M6781" t="n">
        <x:v>0</x:v>
      </x:c>
      <x:c r="N6781" t="str">
        <x:v>Fully Paid</x:v>
      </x:c>
      <x:c r="O6781" t="str">
        <x:f>IF(D6781="","Unknown",IF(D6781&lt;25000,"&lt;$25k",IF(D6781&lt;50000,"$25k-$50k",IF(D6781&lt;75000,"$50k-$75k",IF(D6781&lt;100000,"$75k-$100k","$100k+")))))</x:f>
        <x:v>$25k-$50k</x:v>
      </x:c>
      <x:c r="P6781" t="str">
        <x:f>IF(E6781="","Unknown",IF(E6781&lt;10,"&lt;10",IF(E6781&lt;20,"10-&lt;20",IF(E6781&lt;25,"20-&lt;25",IF(E6781&lt;35,"25-&lt;35","35+")))))</x:f>
        <x:v>&lt;10</x:v>
      </x:c>
    </x:row>
    <x:row r="6782">
      <x:c r="A6782" t="str">
        <x:v>SYN0006781</x:v>
      </x:c>
      <x:c r="B6782" s="12" t="n">
        <x:v>43045</x:v>
      </x:c>
      <x:c r="C6782" s="18" t="n">
        <x:v>10320</x:v>
      </x:c>
      <x:c r="D6782" s="18" t="n">
        <x:v>26377</x:v>
      </x:c>
      <x:c r="E6782" s="18" t="n">
        <x:v>19.33</x:v>
      </x:c>
      <x:c r="F6782" s="18" t="n">
        <x:v>9.35</x:v>
      </x:c>
      <x:c r="G6782" t="n">
        <x:v>60</x:v>
      </x:c>
      <x:c r="H6782" t="str">
        <x:v>B</x:v>
      </x:c>
      <x:c r="I6782" t="str">
        <x:v>4-6 years</x:v>
      </x:c>
      <x:c r="J6782" t="str">
        <x:v>MORTGAGE</x:v>
      </x:c>
      <x:c r="K6782" t="str">
        <x:v>other</x:v>
      </x:c>
      <x:c r="L6782" t="n">
        <x:v>0</x:v>
      </x:c>
      <x:c r="M6782" t="n">
        <x:v>0</x:v>
      </x:c>
      <x:c r="N6782" t="str">
        <x:v>Fully Paid</x:v>
      </x:c>
      <x:c r="O6782" t="str">
        <x:f>IF(D6782="","Unknown",IF(D6782&lt;25000,"&lt;$25k",IF(D6782&lt;50000,"$25k-$50k",IF(D6782&lt;75000,"$50k-$75k",IF(D6782&lt;100000,"$75k-$100k","$100k+")))))</x:f>
        <x:v>$25k-$50k</x:v>
      </x:c>
      <x:c r="P6782" t="str">
        <x:f>IF(E6782="","Unknown",IF(E6782&lt;10,"&lt;10",IF(E6782&lt;20,"10-&lt;20",IF(E6782&lt;25,"20-&lt;25",IF(E6782&lt;35,"25-&lt;35","35+")))))</x:f>
        <x:v>10-&lt;20</x:v>
      </x:c>
    </x:row>
    <x:row r="6783">
      <x:c r="A6783" t="str">
        <x:v>SYN0006782</x:v>
      </x:c>
      <x:c r="B6783" s="12" t="n">
        <x:v>42385</x:v>
      </x:c>
      <x:c r="C6783" s="18" t="n">
        <x:v>22353</x:v>
      </x:c>
      <x:c r="D6783" s="18" t="n">
        <x:v>32116</x:v>
      </x:c>
      <x:c r="E6783" s="18" t="n">
        <x:v>31.52</x:v>
      </x:c>
      <x:c r="F6783" s="18" t="n">
        <x:v>9.15</x:v>
      </x:c>
      <x:c r="G6783" t="n">
        <x:v>60</x:v>
      </x:c>
      <x:c r="H6783" t="str">
        <x:v>B</x:v>
      </x:c>
      <x:c r="I6783" t="str">
        <x:v>10+ years</x:v>
      </x:c>
      <x:c r="J6783" t="str">
        <x:v>MORTGAGE</x:v>
      </x:c>
      <x:c r="K6783" t="str">
        <x:v>home_improvement</x:v>
      </x:c>
      <x:c r="L6783" t="n">
        <x:v>0</x:v>
      </x:c>
      <x:c r="M6783" t="n">
        <x:v>0</x:v>
      </x:c>
      <x:c r="N6783" t="str">
        <x:v>Fully Paid</x:v>
      </x:c>
      <x:c r="O6783" t="str">
        <x:f>IF(D6783="","Unknown",IF(D6783&lt;25000,"&lt;$25k",IF(D6783&lt;50000,"$25k-$50k",IF(D6783&lt;75000,"$50k-$75k",IF(D6783&lt;100000,"$75k-$100k","$100k+")))))</x:f>
        <x:v>$25k-$50k</x:v>
      </x:c>
      <x:c r="P6783" t="str">
        <x:f>IF(E6783="","Unknown",IF(E6783&lt;10,"&lt;10",IF(E6783&lt;20,"10-&lt;20",IF(E6783&lt;25,"20-&lt;25",IF(E6783&lt;35,"25-&lt;35","35+")))))</x:f>
        <x:v>25-&lt;35</x:v>
      </x:c>
    </x:row>
    <x:row r="6784">
      <x:c r="A6784" t="str">
        <x:v>SYN0006783</x:v>
      </x:c>
      <x:c r="B6784" s="12" t="n">
        <x:v>41455</x:v>
      </x:c>
      <x:c r="C6784" s="18" t="n">
        <x:v>10536</x:v>
      </x:c>
      <x:c r="D6784" s="18" t="n">
        <x:v>25748</x:v>
      </x:c>
      <x:c r="E6784" s="18" t="n">
        <x:v>32.18</x:v>
      </x:c>
      <x:c r="F6784" s="18" t="n">
        <x:v>14.24</x:v>
      </x:c>
      <x:c r="G6784" t="n">
        <x:v>36</x:v>
      </x:c>
      <x:c r="H6784" t="str">
        <x:v>D</x:v>
      </x:c>
      <x:c r="I6784" t="str">
        <x:v>7-9 years</x:v>
      </x:c>
      <x:c r="J6784" t="str">
        <x:v>RENT</x:v>
      </x:c>
      <x:c r="K6784" t="str">
        <x:v>debt_consolidation</x:v>
      </x:c>
      <x:c r="L6784" t="n">
        <x:v>0</x:v>
      </x:c>
      <x:c r="M6784" t="n">
        <x:v>1</x:v>
      </x:c>
      <x:c r="N6784" t="str">
        <x:v>Charged Off</x:v>
      </x:c>
      <x:c r="O6784" t="str">
        <x:f>IF(D6784="","Unknown",IF(D6784&lt;25000,"&lt;$25k",IF(D6784&lt;50000,"$25k-$50k",IF(D6784&lt;75000,"$50k-$75k",IF(D6784&lt;100000,"$75k-$100k","$100k+")))))</x:f>
        <x:v>$25k-$50k</x:v>
      </x:c>
      <x:c r="P6784" t="str">
        <x:f>IF(E6784="","Unknown",IF(E6784&lt;10,"&lt;10",IF(E6784&lt;20,"10-&lt;20",IF(E6784&lt;25,"20-&lt;25",IF(E6784&lt;35,"25-&lt;35","35+")))))</x:f>
        <x:v>25-&lt;35</x:v>
      </x:c>
    </x:row>
    <x:row r="6785">
      <x:c r="A6785" t="str">
        <x:v>SYN0006784</x:v>
      </x:c>
      <x:c r="B6785" s="12" t="n">
        <x:v>42595</x:v>
      </x:c>
      <x:c r="C6785" s="18" t="n">
        <x:v>13447</x:v>
      </x:c>
      <x:c r="D6785" s="18" t="n">
        <x:v>35758</x:v>
      </x:c>
      <x:c r="E6785" s="18" t="n">
        <x:v>7.26</x:v>
      </x:c>
      <x:c r="F6785" s="18" t="n">
        <x:v>8.69</x:v>
      </x:c>
      <x:c r="G6785" t="n">
        <x:v>36</x:v>
      </x:c>
      <x:c r="H6785" t="str">
        <x:v>B</x:v>
      </x:c>
      <x:c r="I6785" t="str">
        <x:v>&lt;1 year</x:v>
      </x:c>
      <x:c r="J6785" t="str">
        <x:v>MORTGAGE</x:v>
      </x:c>
      <x:c r="K6785" t="str">
        <x:v>debt_consolidation</x:v>
      </x:c>
      <x:c r="L6785" t="n">
        <x:v>1</x:v>
      </x:c>
      <x:c r="M6785" t="n">
        <x:v>0</x:v>
      </x:c>
      <x:c r="N6785" t="str">
        <x:v>Fully Paid</x:v>
      </x:c>
      <x:c r="O6785" t="str">
        <x:f>IF(D6785="","Unknown",IF(D6785&lt;25000,"&lt;$25k",IF(D6785&lt;50000,"$25k-$50k",IF(D6785&lt;75000,"$50k-$75k",IF(D6785&lt;100000,"$75k-$100k","$100k+")))))</x:f>
        <x:v>$25k-$50k</x:v>
      </x:c>
      <x:c r="P6785" t="str">
        <x:f>IF(E6785="","Unknown",IF(E6785&lt;10,"&lt;10",IF(E6785&lt;20,"10-&lt;20",IF(E6785&lt;25,"20-&lt;25",IF(E6785&lt;35,"25-&lt;35","35+")))))</x:f>
        <x:v>&lt;10</x:v>
      </x:c>
    </x:row>
    <x:row r="6786">
      <x:c r="A6786" t="str">
        <x:v>SYN0006785</x:v>
      </x:c>
      <x:c r="B6786" s="12" t="n">
        <x:v>42385</x:v>
      </x:c>
      <x:c r="C6786" s="18" t="n">
        <x:v>6995</x:v>
      </x:c>
      <x:c r="D6786" s="18" t="n">
        <x:v>26337</x:v>
      </x:c>
      <x:c r="E6786" s="18" t="n">
        <x:v>23.37</x:v>
      </x:c>
      <x:c r="F6786" s="18" t="n">
        <x:v>5.63</x:v>
      </x:c>
      <x:c r="G6786" t="n">
        <x:v>36</x:v>
      </x:c>
      <x:c r="H6786" t="str">
        <x:v>A</x:v>
      </x:c>
      <x:c r="I6786" t="str">
        <x:v>1-3 years</x:v>
      </x:c>
      <x:c r="J6786" t="str">
        <x:v>MORTGAGE</x:v>
      </x:c>
      <x:c r="K6786" t="str">
        <x:v>debt_consolidation</x:v>
      </x:c>
      <x:c r="L6786" t="n">
        <x:v>0</x:v>
      </x:c>
      <x:c r="M6786" t="n">
        <x:v>0</x:v>
      </x:c>
      <x:c r="N6786" t="str">
        <x:v>Fully Paid</x:v>
      </x:c>
      <x:c r="O6786" t="str">
        <x:f>IF(D6786="","Unknown",IF(D6786&lt;25000,"&lt;$25k",IF(D6786&lt;50000,"$25k-$50k",IF(D6786&lt;75000,"$50k-$75k",IF(D6786&lt;100000,"$75k-$100k","$100k+")))))</x:f>
        <x:v>$25k-$50k</x:v>
      </x:c>
      <x:c r="P6786" t="str">
        <x:f>IF(E6786="","Unknown",IF(E6786&lt;10,"&lt;10",IF(E6786&lt;20,"10-&lt;20",IF(E6786&lt;25,"20-&lt;25",IF(E6786&lt;35,"25-&lt;35","35+")))))</x:f>
        <x:v>20-&lt;25</x:v>
      </x:c>
    </x:row>
    <x:row r="6787">
      <x:c r="A6787" t="str">
        <x:v>SYN0006786</x:v>
      </x:c>
      <x:c r="B6787" s="12" t="n">
        <x:v>43075</x:v>
      </x:c>
      <x:c r="C6787" s="18" t="n">
        <x:v>9220</x:v>
      </x:c>
      <x:c r="D6787" s="18" t="n">
        <x:v>83264</x:v>
      </x:c>
      <x:c r="E6787" s="18" t="n">
        <x:v>21.81</x:v>
      </x:c>
      <x:c r="F6787" s="18" t="n">
        <x:v>16.89</x:v>
      </x:c>
      <x:c r="G6787" t="n">
        <x:v>36</x:v>
      </x:c>
      <x:c r="H6787" t="str">
        <x:v>D</x:v>
      </x:c>
      <x:c r="I6787" t="str">
        <x:v>&lt;1 year</x:v>
      </x:c>
      <x:c r="J6787" t="str">
        <x:v>RENT</x:v>
      </x:c>
      <x:c r="K6787" t="str">
        <x:v>home_improvement</x:v>
      </x:c>
      <x:c r="L6787" t="n">
        <x:v>0</x:v>
      </x:c>
      <x:c r="M6787" t="n">
        <x:v>0</x:v>
      </x:c>
      <x:c r="N6787" t="str">
        <x:v>Fully Paid</x:v>
      </x:c>
      <x:c r="O6787" t="str">
        <x:f>IF(D6787="","Unknown",IF(D6787&lt;25000,"&lt;$25k",IF(D6787&lt;50000,"$25k-$50k",IF(D6787&lt;75000,"$50k-$75k",IF(D6787&lt;100000,"$75k-$100k","$100k+")))))</x:f>
        <x:v>$75k-$100k</x:v>
      </x:c>
      <x:c r="P6787" t="str">
        <x:f>IF(E6787="","Unknown",IF(E6787&lt;10,"&lt;10",IF(E6787&lt;20,"10-&lt;20",IF(E6787&lt;25,"20-&lt;25",IF(E6787&lt;35,"25-&lt;35","35+")))))</x:f>
        <x:v>20-&lt;25</x:v>
      </x:c>
    </x:row>
    <x:row r="6788">
      <x:c r="A6788" t="str">
        <x:v>SYN0006787</x:v>
      </x:c>
      <x:c r="B6788" s="12" t="n">
        <x:v>43165</x:v>
      </x:c>
      <x:c r="C6788" s="18" t="n">
        <x:v>7491</x:v>
      </x:c>
      <x:c r="D6788" s="18" t="n">
        <x:v>58489</x:v>
      </x:c>
      <x:c r="E6788" s="18" t="n">
        <x:v>7.25</x:v>
      </x:c>
      <x:c r="F6788" s="18" t="n">
        <x:v>13.57</x:v>
      </x:c>
      <x:c r="G6788" t="n">
        <x:v>36</x:v>
      </x:c>
      <x:c r="H6788" t="str">
        <x:v>C</x:v>
      </x:c>
      <x:c r="I6788" t="str">
        <x:v>10+ years</x:v>
      </x:c>
      <x:c r="J6788" t="str">
        <x:v>RENT</x:v>
      </x:c>
      <x:c r="K6788" t="str">
        <x:v>credit_card</x:v>
      </x:c>
      <x:c r="L6788" t="n">
        <x:v>1</x:v>
      </x:c>
      <x:c r="M6788" t="n">
        <x:v>0</x:v>
      </x:c>
      <x:c r="N6788" t="str">
        <x:v>Fully Paid</x:v>
      </x:c>
      <x:c r="O6788" t="str">
        <x:f>IF(D6788="","Unknown",IF(D6788&lt;25000,"&lt;$25k",IF(D6788&lt;50000,"$25k-$50k",IF(D6788&lt;75000,"$50k-$75k",IF(D6788&lt;100000,"$75k-$100k","$100k+")))))</x:f>
        <x:v>$50k-$75k</x:v>
      </x:c>
      <x:c r="P6788" t="str">
        <x:f>IF(E6788="","Unknown",IF(E6788&lt;10,"&lt;10",IF(E6788&lt;20,"10-&lt;20",IF(E6788&lt;25,"20-&lt;25",IF(E6788&lt;35,"25-&lt;35","35+")))))</x:f>
        <x:v>&lt;10</x:v>
      </x:c>
    </x:row>
    <x:row r="6789">
      <x:c r="A6789" t="str">
        <x:v>SYN0006788</x:v>
      </x:c>
      <x:c r="B6789" s="12" t="n">
        <x:v>42595</x:v>
      </x:c>
      <x:c r="C6789" s="18" t="n">
        <x:v>29929</x:v>
      </x:c>
      <x:c r="D6789" s="18" t="n">
        <x:v>12000</x:v>
      </x:c>
      <x:c r="E6789" s="18" t="n">
        <x:v>16.23</x:v>
      </x:c>
      <x:c r="F6789" s="18" t="n">
        <x:v>6.63</x:v>
      </x:c>
      <x:c r="G6789" t="n">
        <x:v>36</x:v>
      </x:c>
      <x:c r="H6789" t="str">
        <x:v>B</x:v>
      </x:c>
      <x:c r="I6789" t="str">
        <x:v>&lt;1 year</x:v>
      </x:c>
      <x:c r="J6789" t="str">
        <x:v>RENT</x:v>
      </x:c>
      <x:c r="K6789" t="str">
        <x:v>home_improvement</x:v>
      </x:c>
      <x:c r="L6789" t="n">
        <x:v>0</x:v>
      </x:c>
      <x:c r="M6789" t="n">
        <x:v>0</x:v>
      </x:c>
      <x:c r="N6789" t="str">
        <x:v>Fully Paid</x:v>
      </x:c>
      <x:c r="O6789" t="str">
        <x:f>IF(D6789="","Unknown",IF(D6789&lt;25000,"&lt;$25k",IF(D6789&lt;50000,"$25k-$50k",IF(D6789&lt;75000,"$50k-$75k",IF(D6789&lt;100000,"$75k-$100k","$100k+")))))</x:f>
        <x:v>&lt;$25k</x:v>
      </x:c>
      <x:c r="P6789" t="str">
        <x:f>IF(E6789="","Unknown",IF(E6789&lt;10,"&lt;10",IF(E6789&lt;20,"10-&lt;20",IF(E6789&lt;25,"20-&lt;25",IF(E6789&lt;35,"25-&lt;35","35+")))))</x:f>
        <x:v>10-&lt;20</x:v>
      </x:c>
    </x:row>
    <x:row r="6790">
      <x:c r="A6790" t="str">
        <x:v>SYN0006789</x:v>
      </x:c>
      <x:c r="B6790" s="12" t="n">
        <x:v>43255</x:v>
      </x:c>
      <x:c r="C6790" s="18" t="n">
        <x:v>21675</x:v>
      </x:c>
      <x:c r="D6790" s="18" t="n">
        <x:v>26578</x:v>
      </x:c>
      <x:c r="E6790" s="18" t="n">
        <x:v>39.36</x:v>
      </x:c>
      <x:c r="F6790" s="18" t="n">
        <x:v>14.17</x:v>
      </x:c>
      <x:c r="G6790" t="n">
        <x:v>36</x:v>
      </x:c>
      <x:c r="H6790" t="str">
        <x:v>C</x:v>
      </x:c>
      <x:c r="I6790" t="str">
        <x:v>1-3 years</x:v>
      </x:c>
      <x:c r="J6790" t="str">
        <x:v>RENT</x:v>
      </x:c>
      <x:c r="K6790" t="str">
        <x:v>debt_consolidation</x:v>
      </x:c>
      <x:c r="L6790" t="n">
        <x:v>1</x:v>
      </x:c>
      <x:c r="M6790" t="n">
        <x:v>0</x:v>
      </x:c>
      <x:c r="N6790" t="str">
        <x:v>Fully Paid</x:v>
      </x:c>
      <x:c r="O6790" t="str">
        <x:f>IF(D6790="","Unknown",IF(D6790&lt;25000,"&lt;$25k",IF(D6790&lt;50000,"$25k-$50k",IF(D6790&lt;75000,"$50k-$75k",IF(D6790&lt;100000,"$75k-$100k","$100k+")))))</x:f>
        <x:v>$25k-$50k</x:v>
      </x:c>
      <x:c r="P6790" t="str">
        <x:f>IF(E6790="","Unknown",IF(E6790&lt;10,"&lt;10",IF(E6790&lt;20,"10-&lt;20",IF(E6790&lt;25,"20-&lt;25",IF(E6790&lt;35,"25-&lt;35","35+")))))</x:f>
        <x:v>35+</x:v>
      </x:c>
    </x:row>
    <x:row r="6791">
      <x:c r="A6791" t="str">
        <x:v>SYN0006790</x:v>
      </x:c>
      <x:c r="B6791" s="12" t="n">
        <x:v>42025</x:v>
      </x:c>
      <x:c r="C6791" s="18" t="n">
        <x:v>40000</x:v>
      </x:c>
      <x:c r="D6791" s="18" t="n">
        <x:v>95085</x:v>
      </x:c>
      <x:c r="E6791" s="18" t="n">
        <x:v>17.7</x:v>
      </x:c>
      <x:c r="F6791" s="18" t="n">
        <x:v>12.8</x:v>
      </x:c>
      <x:c r="G6791" t="n">
        <x:v>36</x:v>
      </x:c>
      <x:c r="H6791" t="str">
        <x:v>C</x:v>
      </x:c>
      <x:c r="I6791" t="str">
        <x:v>4-6 years</x:v>
      </x:c>
      <x:c r="J6791" t="str">
        <x:v>MORTGAGE</x:v>
      </x:c>
      <x:c r="K6791" t="str">
        <x:v>debt_consolidation</x:v>
      </x:c>
      <x:c r="L6791" t="n">
        <x:v>0</x:v>
      </x:c>
      <x:c r="M6791" t="n">
        <x:v>0</x:v>
      </x:c>
      <x:c r="N6791" t="str">
        <x:v>Fully Paid</x:v>
      </x:c>
      <x:c r="O6791" t="str">
        <x:f>IF(D6791="","Unknown",IF(D6791&lt;25000,"&lt;$25k",IF(D6791&lt;50000,"$25k-$50k",IF(D6791&lt;75000,"$50k-$75k",IF(D6791&lt;100000,"$75k-$100k","$100k+")))))</x:f>
        <x:v>$75k-$100k</x:v>
      </x:c>
      <x:c r="P6791" t="str">
        <x:f>IF(E6791="","Unknown",IF(E6791&lt;10,"&lt;10",IF(E6791&lt;20,"10-&lt;20",IF(E6791&lt;25,"20-&lt;25",IF(E6791&lt;35,"25-&lt;35","35+")))))</x:f>
        <x:v>10-&lt;20</x:v>
      </x:c>
    </x:row>
    <x:row r="6792">
      <x:c r="A6792" t="str">
        <x:v>SYN0006791</x:v>
      </x:c>
      <x:c r="B6792" s="12" t="n">
        <x:v>43315</x:v>
      </x:c>
      <x:c r="C6792" s="18" t="n">
        <x:v>32829</x:v>
      </x:c>
      <x:c r="D6792" s="18" t="n">
        <x:v>83905</x:v>
      </x:c>
      <x:c r="E6792" s="18" t="n">
        <x:v>22.11</x:v>
      </x:c>
      <x:c r="F6792" s="18" t="n">
        <x:v>7.78</x:v>
      </x:c>
      <x:c r="G6792" t="n">
        <x:v>36</x:v>
      </x:c>
      <x:c r="H6792" t="str">
        <x:v>B</x:v>
      </x:c>
      <x:c r="I6792" t="str">
        <x:v>&lt;1 year</x:v>
      </x:c>
      <x:c r="J6792" t="str">
        <x:v>MORTGAGE</x:v>
      </x:c>
      <x:c r="K6792" t="str">
        <x:v>major_purchase</x:v>
      </x:c>
      <x:c r="L6792" t="n">
        <x:v>0</x:v>
      </x:c>
      <x:c r="M6792" t="n">
        <x:v>0</x:v>
      </x:c>
      <x:c r="N6792" t="str">
        <x:v>Fully Paid</x:v>
      </x:c>
      <x:c r="O6792" t="str">
        <x:f>IF(D6792="","Unknown",IF(D6792&lt;25000,"&lt;$25k",IF(D6792&lt;50000,"$25k-$50k",IF(D6792&lt;75000,"$50k-$75k",IF(D6792&lt;100000,"$75k-$100k","$100k+")))))</x:f>
        <x:v>$75k-$100k</x:v>
      </x:c>
      <x:c r="P6792" t="str">
        <x:f>IF(E6792="","Unknown",IF(E6792&lt;10,"&lt;10",IF(E6792&lt;20,"10-&lt;20",IF(E6792&lt;25,"20-&lt;25",IF(E6792&lt;35,"25-&lt;35","35+")))))</x:f>
        <x:v>20-&lt;25</x:v>
      </x:c>
    </x:row>
    <x:row r="6793">
      <x:c r="A6793" t="str">
        <x:v>SYN0006792</x:v>
      </x:c>
      <x:c r="B6793" s="12" t="n">
        <x:v>43285</x:v>
      </x:c>
      <x:c r="C6793" s="18" t="n">
        <x:v>5969</x:v>
      </x:c>
      <x:c r="D6793" s="18" t="n">
        <x:v>43648</x:v>
      </x:c>
      <x:c r="E6793" s="18" t="n">
        <x:v>14.33</x:v>
      </x:c>
      <x:c r="F6793" s="18" t="n">
        <x:v>27.58</x:v>
      </x:c>
      <x:c r="G6793" t="n">
        <x:v>36</x:v>
      </x:c>
      <x:c r="H6793" t="str">
        <x:v>G</x:v>
      </x:c>
      <x:c r="I6793" t="str">
        <x:v>10+ years</x:v>
      </x:c>
      <x:c r="J6793" t="str">
        <x:v>RENT</x:v>
      </x:c>
      <x:c r="K6793" t="str">
        <x:v>debt_consolidation</x:v>
      </x:c>
      <x:c r="L6793" t="n">
        <x:v>0</x:v>
      </x:c>
      <x:c r="M6793" t="n">
        <x:v>0</x:v>
      </x:c>
      <x:c r="N6793" t="str">
        <x:v>Fully Paid</x:v>
      </x:c>
      <x:c r="O6793" t="str">
        <x:f>IF(D6793="","Unknown",IF(D6793&lt;25000,"&lt;$25k",IF(D6793&lt;50000,"$25k-$50k",IF(D6793&lt;75000,"$50k-$75k",IF(D6793&lt;100000,"$75k-$100k","$100k+")))))</x:f>
        <x:v>$25k-$50k</x:v>
      </x:c>
      <x:c r="P6793" t="str">
        <x:f>IF(E6793="","Unknown",IF(E6793&lt;10,"&lt;10",IF(E6793&lt;20,"10-&lt;20",IF(E6793&lt;25,"20-&lt;25",IF(E6793&lt;35,"25-&lt;35","35+")))))</x:f>
        <x:v>10-&lt;20</x:v>
      </x:c>
    </x:row>
    <x:row r="6794">
      <x:c r="A6794" t="str">
        <x:v>SYN0006793</x:v>
      </x:c>
      <x:c r="B6794" s="12" t="n">
        <x:v>42205</x:v>
      </x:c>
      <x:c r="C6794" s="18" t="n">
        <x:v>14346</x:v>
      </x:c>
      <x:c r="D6794" s="18" t="n">
        <x:v>58372</x:v>
      </x:c>
      <x:c r="E6794" s="18" t="n">
        <x:v>16.79</x:v>
      </x:c>
      <x:c r="F6794" s="18" t="n">
        <x:v>20.01</x:v>
      </x:c>
      <x:c r="G6794" t="n">
        <x:v>60</x:v>
      </x:c>
      <x:c r="H6794" t="str">
        <x:v>E</x:v>
      </x:c>
      <x:c r="I6794" t="str">
        <x:v>10+ years</x:v>
      </x:c>
      <x:c r="J6794" t="str">
        <x:v>MORTGAGE</x:v>
      </x:c>
      <x:c r="K6794" t="str">
        <x:v>credit_card</x:v>
      </x:c>
      <x:c r="L6794" t="n">
        <x:v>2</x:v>
      </x:c>
      <x:c r="M6794" t="n">
        <x:v>1</x:v>
      </x:c>
      <x:c r="N6794" t="str">
        <x:v>Charged Off</x:v>
      </x:c>
      <x:c r="O6794" t="str">
        <x:f>IF(D6794="","Unknown",IF(D6794&lt;25000,"&lt;$25k",IF(D6794&lt;50000,"$25k-$50k",IF(D6794&lt;75000,"$50k-$75k",IF(D6794&lt;100000,"$75k-$100k","$100k+")))))</x:f>
        <x:v>$50k-$75k</x:v>
      </x:c>
      <x:c r="P6794" t="str">
        <x:f>IF(E6794="","Unknown",IF(E6794&lt;10,"&lt;10",IF(E6794&lt;20,"10-&lt;20",IF(E6794&lt;25,"20-&lt;25",IF(E6794&lt;35,"25-&lt;35","35+")))))</x:f>
        <x:v>10-&lt;20</x:v>
      </x:c>
    </x:row>
    <x:row r="6795">
      <x:c r="A6795" t="str">
        <x:v>SYN0006794</x:v>
      </x:c>
      <x:c r="B6795" s="12" t="n">
        <x:v>41305</x:v>
      </x:c>
      <x:c r="C6795" s="18" t="n">
        <x:v>22553</x:v>
      </x:c>
      <x:c r="D6795" s="18" t="n">
        <x:v>30207</x:v>
      </x:c>
      <x:c r="E6795" s="18" t="n">
        <x:v>20.44</x:v>
      </x:c>
      <x:c r="F6795" s="18" t="n">
        <x:v>21.67</x:v>
      </x:c>
      <x:c r="G6795" t="n">
        <x:v>36</x:v>
      </x:c>
      <x:c r="H6795" t="str">
        <x:v>F</x:v>
      </x:c>
      <x:c r="I6795" t="str">
        <x:v>10+ years</x:v>
      </x:c>
      <x:c r="J6795" t="str">
        <x:v>RENT</x:v>
      </x:c>
      <x:c r="K6795" t="str">
        <x:v>debt_consolidation</x:v>
      </x:c>
      <x:c r="L6795" t="n">
        <x:v>0</x:v>
      </x:c>
      <x:c r="M6795" t="n">
        <x:v>1</x:v>
      </x:c>
      <x:c r="N6795" t="str">
        <x:v>Charged Off</x:v>
      </x:c>
      <x:c r="O6795" t="str">
        <x:f>IF(D6795="","Unknown",IF(D6795&lt;25000,"&lt;$25k",IF(D6795&lt;50000,"$25k-$50k",IF(D6795&lt;75000,"$50k-$75k",IF(D6795&lt;100000,"$75k-$100k","$100k+")))))</x:f>
        <x:v>$25k-$50k</x:v>
      </x:c>
      <x:c r="P6795" t="str">
        <x:f>IF(E6795="","Unknown",IF(E6795&lt;10,"&lt;10",IF(E6795&lt;20,"10-&lt;20",IF(E6795&lt;25,"20-&lt;25",IF(E6795&lt;35,"25-&lt;35","35+")))))</x:f>
        <x:v>20-&lt;25</x:v>
      </x:c>
    </x:row>
    <x:row r="6796">
      <x:c r="A6796" t="str">
        <x:v>SYN0006795</x:v>
      </x:c>
      <x:c r="B6796" s="12" t="n">
        <x:v>42955</x:v>
      </x:c>
      <x:c r="C6796" s="18" t="n">
        <x:v>11168</x:v>
      </x:c>
      <x:c r="D6796" s="18" t="n">
        <x:v>24664</x:v>
      </x:c>
      <x:c r="E6796" s="18" t="n">
        <x:v>10.34</x:v>
      </x:c>
      <x:c r="F6796" s="18" t="n">
        <x:v>17.99</x:v>
      </x:c>
      <x:c r="G6796" t="n">
        <x:v>36</x:v>
      </x:c>
      <x:c r="H6796" t="str">
        <x:v>E</x:v>
      </x:c>
      <x:c r="I6796" t="str">
        <x:v>4-6 years</x:v>
      </x:c>
      <x:c r="J6796" t="str">
        <x:v>MORTGAGE</x:v>
      </x:c>
      <x:c r="K6796" t="str">
        <x:v>debt_consolidation</x:v>
      </x:c>
      <x:c r="L6796" t="n">
        <x:v>1</x:v>
      </x:c>
      <x:c r="M6796" t="n">
        <x:v>0</x:v>
      </x:c>
      <x:c r="N6796" t="str">
        <x:v>Fully Paid</x:v>
      </x:c>
      <x:c r="O6796" t="str">
        <x:f>IF(D6796="","Unknown",IF(D6796&lt;25000,"&lt;$25k",IF(D6796&lt;50000,"$25k-$50k",IF(D6796&lt;75000,"$50k-$75k",IF(D6796&lt;100000,"$75k-$100k","$100k+")))))</x:f>
        <x:v>&lt;$25k</x:v>
      </x:c>
      <x:c r="P6796" t="str">
        <x:f>IF(E6796="","Unknown",IF(E6796&lt;10,"&lt;10",IF(E6796&lt;20,"10-&lt;20",IF(E6796&lt;25,"20-&lt;25",IF(E6796&lt;35,"25-&lt;35","35+")))))</x:f>
        <x:v>10-&lt;20</x:v>
      </x:c>
    </x:row>
    <x:row r="6797">
      <x:c r="A6797" t="str">
        <x:v>SYN0006796</x:v>
      </x:c>
      <x:c r="B6797" s="12" t="n">
        <x:v>42835</x:v>
      </x:c>
      <x:c r="C6797" s="18" t="n">
        <x:v>10397</x:v>
      </x:c>
      <x:c r="D6797" s="18" t="n">
        <x:v>54012</x:v>
      </x:c>
      <x:c r="E6797" s="18" t="n">
        <x:v>12.07</x:v>
      </x:c>
      <x:c r="F6797" s="18" t="n">
        <x:v>21.77</x:v>
      </x:c>
      <x:c r="G6797" t="n">
        <x:v>36</x:v>
      </x:c>
      <x:c r="H6797" t="str">
        <x:v>F</x:v>
      </x:c>
      <x:c r="I6797" t="str">
        <x:v>4-6 years</x:v>
      </x:c>
      <x:c r="J6797" t="str">
        <x:v>RENT</x:v>
      </x:c>
      <x:c r="K6797" t="str">
        <x:v>debt_consolidation</x:v>
      </x:c>
      <x:c r="L6797" t="n">
        <x:v>1</x:v>
      </x:c>
      <x:c r="M6797" t="n">
        <x:v>0</x:v>
      </x:c>
      <x:c r="N6797" t="str">
        <x:v>Fully Paid</x:v>
      </x:c>
      <x:c r="O6797" t="str">
        <x:f>IF(D6797="","Unknown",IF(D6797&lt;25000,"&lt;$25k",IF(D6797&lt;50000,"$25k-$50k",IF(D6797&lt;75000,"$50k-$75k",IF(D6797&lt;100000,"$75k-$100k","$100k+")))))</x:f>
        <x:v>$50k-$75k</x:v>
      </x:c>
      <x:c r="P6797" t="str">
        <x:f>IF(E6797="","Unknown",IF(E6797&lt;10,"&lt;10",IF(E6797&lt;20,"10-&lt;20",IF(E6797&lt;25,"20-&lt;25",IF(E6797&lt;35,"25-&lt;35","35+")))))</x:f>
        <x:v>10-&lt;20</x:v>
      </x:c>
    </x:row>
    <x:row r="6798">
      <x:c r="A6798" t="str">
        <x:v>SYN0006797</x:v>
      </x:c>
      <x:c r="B6798" s="12" t="n">
        <x:v>42985</x:v>
      </x:c>
      <x:c r="C6798" s="18" t="n">
        <x:v>21671</x:v>
      </x:c>
      <x:c r="D6798" s="18" t="n">
        <x:v>131243</x:v>
      </x:c>
      <x:c r="E6798" s="18" t="n">
        <x:v>17.85</x:v>
      </x:c>
      <x:c r="F6798" s="18" t="n">
        <x:v>9.42</x:v>
      </x:c>
      <x:c r="G6798" t="n">
        <x:v>60</x:v>
      </x:c>
      <x:c r="H6798" t="str">
        <x:v>B</x:v>
      </x:c>
      <x:c r="I6798" t="str">
        <x:v>&lt;1 year</x:v>
      </x:c>
      <x:c r="J6798" t="str">
        <x:v>OWN</x:v>
      </x:c>
      <x:c r="K6798" t="str">
        <x:v>credit_card</x:v>
      </x:c>
      <x:c r="L6798" t="n">
        <x:v>0</x:v>
      </x:c>
      <x:c r="M6798" t="n">
        <x:v>0</x:v>
      </x:c>
      <x:c r="N6798" t="str">
        <x:v>Fully Paid</x:v>
      </x:c>
      <x:c r="O6798" t="str">
        <x:f>IF(D6798="","Unknown",IF(D6798&lt;25000,"&lt;$25k",IF(D6798&lt;50000,"$25k-$50k",IF(D6798&lt;75000,"$50k-$75k",IF(D6798&lt;100000,"$75k-$100k","$100k+")))))</x:f>
        <x:v>$100k+</x:v>
      </x:c>
      <x:c r="P6798" t="str">
        <x:f>IF(E6798="","Unknown",IF(E6798&lt;10,"&lt;10",IF(E6798&lt;20,"10-&lt;20",IF(E6798&lt;25,"20-&lt;25",IF(E6798&lt;35,"25-&lt;35","35+")))))</x:f>
        <x:v>10-&lt;20</x:v>
      </x:c>
    </x:row>
    <x:row r="6799">
      <x:c r="A6799" t="str">
        <x:v>SYN0006798</x:v>
      </x:c>
      <x:c r="B6799" s="12" t="n">
        <x:v>42355</x:v>
      </x:c>
      <x:c r="C6799" s="18" t="n">
        <x:v>8373</x:v>
      </x:c>
      <x:c r="D6799" s="18" t="n">
        <x:v>190855</x:v>
      </x:c>
      <x:c r="E6799" s="18" t="n">
        <x:v>26.3</x:v>
      </x:c>
      <x:c r="F6799" s="18" t="n">
        <x:v>7.24</x:v>
      </x:c>
      <x:c r="G6799" t="n">
        <x:v>36</x:v>
      </x:c>
      <x:c r="H6799" t="str">
        <x:v>C</x:v>
      </x:c>
      <x:c r="I6799" t="str">
        <x:v>10+ years</x:v>
      </x:c>
      <x:c r="J6799" t="str">
        <x:v>RENT</x:v>
      </x:c>
      <x:c r="K6799" t="str">
        <x:v>other</x:v>
      </x:c>
      <x:c r="L6799" t="n">
        <x:v>0</x:v>
      </x:c>
      <x:c r="M6799" t="n">
        <x:v>0</x:v>
      </x:c>
      <x:c r="N6799" t="str">
        <x:v>Fully Paid</x:v>
      </x:c>
      <x:c r="O6799" t="str">
        <x:f>IF(D6799="","Unknown",IF(D6799&lt;25000,"&lt;$25k",IF(D6799&lt;50000,"$25k-$50k",IF(D6799&lt;75000,"$50k-$75k",IF(D6799&lt;100000,"$75k-$100k","$100k+")))))</x:f>
        <x:v>$100k+</x:v>
      </x:c>
      <x:c r="P6799" t="str">
        <x:f>IF(E6799="","Unknown",IF(E6799&lt;10,"&lt;10",IF(E6799&lt;20,"10-&lt;20",IF(E6799&lt;25,"20-&lt;25",IF(E6799&lt;35,"25-&lt;35","35+")))))</x:f>
        <x:v>25-&lt;35</x:v>
      </x:c>
    </x:row>
    <x:row r="6800">
      <x:c r="A6800" t="str">
        <x:v>SYN0006799</x:v>
      </x:c>
      <x:c r="B6800" s="12" t="n">
        <x:v>42175</x:v>
      </x:c>
      <x:c r="C6800" s="18" t="n">
        <x:v>12555</x:v>
      </x:c>
      <x:c r="D6800" s="18" t="n">
        <x:v>78133</x:v>
      </x:c>
      <x:c r="E6800" s="18" t="n">
        <x:v>19.99</x:v>
      </x:c>
      <x:c r="F6800" s="18" t="n">
        <x:v>13.95</x:v>
      </x:c>
      <x:c r="G6800" t="n">
        <x:v>36</x:v>
      </x:c>
      <x:c r="H6800" t="str">
        <x:v>C</x:v>
      </x:c>
      <x:c r="I6800" t="str">
        <x:v>4-6 years</x:v>
      </x:c>
      <x:c r="J6800" t="str">
        <x:v>RENT</x:v>
      </x:c>
      <x:c r="K6800" t="str">
        <x:v>major_purchase</x:v>
      </x:c>
      <x:c r="L6800" t="n">
        <x:v>1</x:v>
      </x:c>
      <x:c r="M6800" t="n">
        <x:v>0</x:v>
      </x:c>
      <x:c r="N6800" t="str">
        <x:v>Fully Paid</x:v>
      </x:c>
      <x:c r="O6800" t="str">
        <x:f>IF(D6800="","Unknown",IF(D6800&lt;25000,"&lt;$25k",IF(D6800&lt;50000,"$25k-$50k",IF(D6800&lt;75000,"$50k-$75k",IF(D6800&lt;100000,"$75k-$100k","$100k+")))))</x:f>
        <x:v>$75k-$100k</x:v>
      </x:c>
      <x:c r="P6800" t="str">
        <x:f>IF(E6800="","Unknown",IF(E6800&lt;10,"&lt;10",IF(E6800&lt;20,"10-&lt;20",IF(E6800&lt;25,"20-&lt;25",IF(E6800&lt;35,"25-&lt;35","35+")))))</x:f>
        <x:v>10-&lt;20</x:v>
      </x:c>
    </x:row>
    <x:row r="6801">
      <x:c r="A6801" t="str">
        <x:v>SYN0006800</x:v>
      </x:c>
      <x:c r="B6801" s="12" t="n">
        <x:v>41875</x:v>
      </x:c>
      <x:c r="C6801" s="18" t="n">
        <x:v>5165</x:v>
      </x:c>
      <x:c r="D6801" s="18" t="n">
        <x:v>12362</x:v>
      </x:c>
      <x:c r="E6801" s="18" t="n">
        <x:v>19.69</x:v>
      </x:c>
      <x:c r="F6801" s="18" t="n">
        <x:v>19.65</x:v>
      </x:c>
      <x:c r="G6801" t="n">
        <x:v>36</x:v>
      </x:c>
      <x:c r="H6801" t="str">
        <x:v>E</x:v>
      </x:c>
      <x:c r="I6801" t="str">
        <x:v>10+ years</x:v>
      </x:c>
      <x:c r="J6801" t="str">
        <x:v>RENT</x:v>
      </x:c>
      <x:c r="K6801" t="str">
        <x:v>debt_consolidation</x:v>
      </x:c>
      <x:c r="L6801" t="n">
        <x:v>0</x:v>
      </x:c>
      <x:c r="M6801" t="n">
        <x:v>1</x:v>
      </x:c>
      <x:c r="N6801" t="str">
        <x:v>Charged Off</x:v>
      </x:c>
      <x:c r="O6801" t="str">
        <x:f>IF(D6801="","Unknown",IF(D6801&lt;25000,"&lt;$25k",IF(D6801&lt;50000,"$25k-$50k",IF(D6801&lt;75000,"$50k-$75k",IF(D6801&lt;100000,"$75k-$100k","$100k+")))))</x:f>
        <x:v>&lt;$25k</x:v>
      </x:c>
      <x:c r="P6801" t="str">
        <x:f>IF(E6801="","Unknown",IF(E6801&lt;10,"&lt;10",IF(E6801&lt;20,"10-&lt;20",IF(E6801&lt;25,"20-&lt;25",IF(E6801&lt;35,"25-&lt;35","35+")))))</x:f>
        <x:v>10-&lt;20</x:v>
      </x:c>
    </x:row>
    <x:row r="6802">
      <x:c r="A6802" t="str">
        <x:v>SYN0006801</x:v>
      </x:c>
      <x:c r="B6802" s="12" t="n">
        <x:v>43075</x:v>
      </x:c>
      <x:c r="C6802" s="18" t="n">
        <x:v>10356</x:v>
      </x:c>
      <x:c r="D6802" s="18" t="n">
        <x:v>69666</x:v>
      </x:c>
      <x:c r="E6802" s="18" t="n">
        <x:v>6.07</x:v>
      </x:c>
      <x:c r="F6802" s="18" t="n">
        <x:v>8.85</x:v>
      </x:c>
      <x:c r="G6802" t="n">
        <x:v>36</x:v>
      </x:c>
      <x:c r="H6802" t="str">
        <x:v>B</x:v>
      </x:c>
      <x:c r="I6802" t="str">
        <x:v>10+ years</x:v>
      </x:c>
      <x:c r="J6802" t="str">
        <x:v>RENT</x:v>
      </x:c>
      <x:c r="K6802" t="str">
        <x:v>medical</x:v>
      </x:c>
      <x:c r="L6802" t="n">
        <x:v>0</x:v>
      </x:c>
      <x:c r="M6802" t="n">
        <x:v>0</x:v>
      </x:c>
      <x:c r="N6802" t="str">
        <x:v>Fully Paid</x:v>
      </x:c>
      <x:c r="O6802" t="str">
        <x:f>IF(D6802="","Unknown",IF(D6802&lt;25000,"&lt;$25k",IF(D6802&lt;50000,"$25k-$50k",IF(D6802&lt;75000,"$50k-$75k",IF(D6802&lt;100000,"$75k-$100k","$100k+")))))</x:f>
        <x:v>$50k-$75k</x:v>
      </x:c>
      <x:c r="P6802" t="str">
        <x:f>IF(E6802="","Unknown",IF(E6802&lt;10,"&lt;10",IF(E6802&lt;20,"10-&lt;20",IF(E6802&lt;25,"20-&lt;25",IF(E6802&lt;35,"25-&lt;35","35+")))))</x:f>
        <x:v>&lt;10</x:v>
      </x:c>
    </x:row>
    <x:row r="6803">
      <x:c r="A6803" t="str">
        <x:v>SYN0006802</x:v>
      </x:c>
      <x:c r="B6803" s="12" t="n">
        <x:v>41815</x:v>
      </x:c>
      <x:c r="C6803" s="18" t="n">
        <x:v>9314</x:v>
      </x:c>
      <x:c r="D6803" s="18" t="n">
        <x:v>85579</x:v>
      </x:c>
      <x:c r="E6803" s="18" t="n">
        <x:v>26.41</x:v>
      </x:c>
      <x:c r="F6803" s="18" t="n">
        <x:v>12.67</x:v>
      </x:c>
      <x:c r="G6803" t="n">
        <x:v>36</x:v>
      </x:c>
      <x:c r="H6803" t="str">
        <x:v>C</x:v>
      </x:c>
      <x:c r="I6803" t="str">
        <x:v>10+ years</x:v>
      </x:c>
      <x:c r="J6803" t="str">
        <x:v>OWN</x:v>
      </x:c>
      <x:c r="K6803" t="str">
        <x:v>other</x:v>
      </x:c>
      <x:c r="L6803" t="n">
        <x:v>0</x:v>
      </x:c>
      <x:c r="M6803" t="n">
        <x:v>0</x:v>
      </x:c>
      <x:c r="N6803" t="str">
        <x:v>Fully Paid</x:v>
      </x:c>
      <x:c r="O6803" t="str">
        <x:f>IF(D6803="","Unknown",IF(D6803&lt;25000,"&lt;$25k",IF(D6803&lt;50000,"$25k-$50k",IF(D6803&lt;75000,"$50k-$75k",IF(D6803&lt;100000,"$75k-$100k","$100k+")))))</x:f>
        <x:v>$75k-$100k</x:v>
      </x:c>
      <x:c r="P6803" t="str">
        <x:f>IF(E6803="","Unknown",IF(E6803&lt;10,"&lt;10",IF(E6803&lt;20,"10-&lt;20",IF(E6803&lt;25,"20-&lt;25",IF(E6803&lt;35,"25-&lt;35","35+")))))</x:f>
        <x:v>25-&lt;35</x:v>
      </x:c>
    </x:row>
    <x:row r="6804">
      <x:c r="A6804" t="str">
        <x:v>SYN0006803</x:v>
      </x:c>
      <x:c r="B6804" s="12" t="n">
        <x:v>41485</x:v>
      </x:c>
      <x:c r="C6804" s="18" t="n">
        <x:v>23952</x:v>
      </x:c>
      <x:c r="D6804" s="18" t="n">
        <x:v>42098</x:v>
      </x:c>
      <x:c r="E6804" s="18" t="n">
        <x:v>21.42</x:v>
      </x:c>
      <x:c r="F6804" s="18" t="n">
        <x:v>6.43</x:v>
      </x:c>
      <x:c r="G6804" t="n">
        <x:v>36</x:v>
      </x:c>
      <x:c r="H6804" t="str">
        <x:v>C</x:v>
      </x:c>
      <x:c r="I6804" t="str">
        <x:v>10+ years</x:v>
      </x:c>
      <x:c r="J6804" t="str">
        <x:v>MORTGAGE</x:v>
      </x:c>
      <x:c r="K6804" t="str">
        <x:v>debt_consolidation</x:v>
      </x:c>
      <x:c r="L6804" t="n">
        <x:v>1</x:v>
      </x:c>
      <x:c r="M6804" t="n">
        <x:v>0</x:v>
      </x:c>
      <x:c r="N6804" t="str">
        <x:v>Fully Paid</x:v>
      </x:c>
      <x:c r="O6804" t="str">
        <x:f>IF(D6804="","Unknown",IF(D6804&lt;25000,"&lt;$25k",IF(D6804&lt;50000,"$25k-$50k",IF(D6804&lt;75000,"$50k-$75k",IF(D6804&lt;100000,"$75k-$100k","$100k+")))))</x:f>
        <x:v>$25k-$50k</x:v>
      </x:c>
      <x:c r="P6804" t="str">
        <x:f>IF(E6804="","Unknown",IF(E6804&lt;10,"&lt;10",IF(E6804&lt;20,"10-&lt;20",IF(E6804&lt;25,"20-&lt;25",IF(E6804&lt;35,"25-&lt;35","35+")))))</x:f>
        <x:v>20-&lt;25</x:v>
      </x:c>
    </x:row>
    <x:row r="6805">
      <x:c r="A6805" t="str">
        <x:v>SYN0006804</x:v>
      </x:c>
      <x:c r="B6805" s="12" t="n">
        <x:v>42625</x:v>
      </x:c>
      <x:c r="C6805" s="18" t="n">
        <x:v>8852</x:v>
      </x:c>
      <x:c r="D6805" s="18" t="n">
        <x:v>68519</x:v>
      </x:c>
      <x:c r="E6805" s="18" t="n">
        <x:v>21.04</x:v>
      </x:c>
      <x:c r="F6805" s="18" t="n">
        <x:v>11.24</x:v>
      </x:c>
      <x:c r="G6805" t="n">
        <x:v>36</x:v>
      </x:c>
      <x:c r="H6805" t="str">
        <x:v>B</x:v>
      </x:c>
      <x:c r="I6805" t="str">
        <x:v>4-6 years</x:v>
      </x:c>
      <x:c r="J6805" t="str">
        <x:v>RENT</x:v>
      </x:c>
      <x:c r="K6805" t="str">
        <x:v>other</x:v>
      </x:c>
      <x:c r="L6805" t="n">
        <x:v>0</x:v>
      </x:c>
      <x:c r="M6805" t="n">
        <x:v>0</x:v>
      </x:c>
      <x:c r="N6805" t="str">
        <x:v>Fully Paid</x:v>
      </x:c>
      <x:c r="O6805" t="str">
        <x:f>IF(D6805="","Unknown",IF(D6805&lt;25000,"&lt;$25k",IF(D6805&lt;50000,"$25k-$50k",IF(D6805&lt;75000,"$50k-$75k",IF(D6805&lt;100000,"$75k-$100k","$100k+")))))</x:f>
        <x:v>$50k-$75k</x:v>
      </x:c>
      <x:c r="P6805" t="str">
        <x:f>IF(E6805="","Unknown",IF(E6805&lt;10,"&lt;10",IF(E6805&lt;20,"10-&lt;20",IF(E6805&lt;25,"20-&lt;25",IF(E6805&lt;35,"25-&lt;35","35+")))))</x:f>
        <x:v>20-&lt;25</x:v>
      </x:c>
    </x:row>
    <x:row r="6806">
      <x:c r="A6806" t="str">
        <x:v>SYN0006805</x:v>
      </x:c>
      <x:c r="B6806" s="12" t="n">
        <x:v>42475</x:v>
      </x:c>
      <x:c r="C6806" s="18" t="n">
        <x:v>22259</x:v>
      </x:c>
      <x:c r="D6806" s="18" t="n">
        <x:v>36664</x:v>
      </x:c>
      <x:c r="E6806" s="18" t="n">
        <x:v>8.19</x:v>
      </x:c>
      <x:c r="F6806" s="18" t="n">
        <x:v>10.6</x:v>
      </x:c>
      <x:c r="G6806" t="n">
        <x:v>36</x:v>
      </x:c>
      <x:c r="H6806" t="str">
        <x:v>C</x:v>
      </x:c>
      <x:c r="I6806" t="str">
        <x:v>4-6 years</x:v>
      </x:c>
      <x:c r="J6806" t="str">
        <x:v>RENT</x:v>
      </x:c>
      <x:c r="K6806" t="str">
        <x:v>debt_consolidation</x:v>
      </x:c>
      <x:c r="L6806" t="n">
        <x:v>0</x:v>
      </x:c>
      <x:c r="M6806" t="n">
        <x:v>0</x:v>
      </x:c>
      <x:c r="N6806" t="str">
        <x:v>Fully Paid</x:v>
      </x:c>
      <x:c r="O6806" t="str">
        <x:f>IF(D6806="","Unknown",IF(D6806&lt;25000,"&lt;$25k",IF(D6806&lt;50000,"$25k-$50k",IF(D6806&lt;75000,"$50k-$75k",IF(D6806&lt;100000,"$75k-$100k","$100k+")))))</x:f>
        <x:v>$25k-$50k</x:v>
      </x:c>
      <x:c r="P6806" t="str">
        <x:f>IF(E6806="","Unknown",IF(E6806&lt;10,"&lt;10",IF(E6806&lt;20,"10-&lt;20",IF(E6806&lt;25,"20-&lt;25",IF(E6806&lt;35,"25-&lt;35","35+")))))</x:f>
        <x:v>&lt;10</x:v>
      </x:c>
    </x:row>
    <x:row r="6807">
      <x:c r="A6807" t="str">
        <x:v>SYN0006806</x:v>
      </x:c>
      <x:c r="B6807" s="12" t="n">
        <x:v>41965</x:v>
      </x:c>
      <x:c r="C6807" s="18" t="n">
        <x:v>9908</x:v>
      </x:c>
      <x:c r="D6807" s="18" t="n">
        <x:v>48758</x:v>
      </x:c>
      <x:c r="E6807" s="18" t="n">
        <x:v>29.79</x:v>
      </x:c>
      <x:c r="F6807" s="18" t="n">
        <x:v>7.33</x:v>
      </x:c>
      <x:c r="G6807" t="n">
        <x:v>36</x:v>
      </x:c>
      <x:c r="H6807" t="str">
        <x:v>B</x:v>
      </x:c>
      <x:c r="I6807" t="str">
        <x:v>7-9 years</x:v>
      </x:c>
      <x:c r="J6807" t="str">
        <x:v>MORTGAGE</x:v>
      </x:c>
      <x:c r="K6807" t="str">
        <x:v>debt_consolidation</x:v>
      </x:c>
      <x:c r="L6807" t="n">
        <x:v>0</x:v>
      </x:c>
      <x:c r="M6807" t="n">
        <x:v>0</x:v>
      </x:c>
      <x:c r="N6807" t="str">
        <x:v>Fully Paid</x:v>
      </x:c>
      <x:c r="O6807" t="str">
        <x:f>IF(D6807="","Unknown",IF(D6807&lt;25000,"&lt;$25k",IF(D6807&lt;50000,"$25k-$50k",IF(D6807&lt;75000,"$50k-$75k",IF(D6807&lt;100000,"$75k-$100k","$100k+")))))</x:f>
        <x:v>$25k-$50k</x:v>
      </x:c>
      <x:c r="P6807" t="str">
        <x:f>IF(E6807="","Unknown",IF(E6807&lt;10,"&lt;10",IF(E6807&lt;20,"10-&lt;20",IF(E6807&lt;25,"20-&lt;25",IF(E6807&lt;35,"25-&lt;35","35+")))))</x:f>
        <x:v>25-&lt;35</x:v>
      </x:c>
    </x:row>
    <x:row r="6808">
      <x:c r="A6808" t="str">
        <x:v>SYN0006807</x:v>
      </x:c>
      <x:c r="B6808" s="12" t="n">
        <x:v>42385</x:v>
      </x:c>
      <x:c r="C6808" s="18" t="n">
        <x:v>11844</x:v>
      </x:c>
      <x:c r="D6808" s="18" t="n">
        <x:v>72880</x:v>
      </x:c>
      <x:c r="E6808" s="18" t="n">
        <x:v>5.3</x:v>
      </x:c>
      <x:c r="F6808" s="18" t="n">
        <x:v>15.99</x:v>
      </x:c>
      <x:c r="G6808" t="n">
        <x:v>60</x:v>
      </x:c>
      <x:c r="H6808" t="str">
        <x:v>D</x:v>
      </x:c>
      <x:c r="I6808" t="str">
        <x:v>1-3 years</x:v>
      </x:c>
      <x:c r="J6808" t="str">
        <x:v>RENT</x:v>
      </x:c>
      <x:c r="K6808" t="str">
        <x:v>medical</x:v>
      </x:c>
      <x:c r="L6808" t="n">
        <x:v>1</x:v>
      </x:c>
      <x:c r="M6808" t="n">
        <x:v>1</x:v>
      </x:c>
      <x:c r="N6808" t="str">
        <x:v>Charged Off</x:v>
      </x:c>
      <x:c r="O6808" t="str">
        <x:f>IF(D6808="","Unknown",IF(D6808&lt;25000,"&lt;$25k",IF(D6808&lt;50000,"$25k-$50k",IF(D6808&lt;75000,"$50k-$75k",IF(D6808&lt;100000,"$75k-$100k","$100k+")))))</x:f>
        <x:v>$50k-$75k</x:v>
      </x:c>
      <x:c r="P6808" t="str">
        <x:f>IF(E6808="","Unknown",IF(E6808&lt;10,"&lt;10",IF(E6808&lt;20,"10-&lt;20",IF(E6808&lt;25,"20-&lt;25",IF(E6808&lt;35,"25-&lt;35","35+")))))</x:f>
        <x:v>&lt;10</x:v>
      </x:c>
    </x:row>
    <x:row r="6809">
      <x:c r="A6809" t="str">
        <x:v>SYN0006808</x:v>
      </x:c>
      <x:c r="B6809" s="12" t="n">
        <x:v>41695</x:v>
      </x:c>
      <x:c r="C6809" s="18" t="n">
        <x:v>15724</x:v>
      </x:c>
      <x:c r="D6809" s="18" t="n">
        <x:v>27459</x:v>
      </x:c>
      <x:c r="E6809" s="18" t="n">
        <x:v>5.96</x:v>
      </x:c>
      <x:c r="F6809" s="18" t="n">
        <x:v>10.06</x:v>
      </x:c>
      <x:c r="G6809" t="n">
        <x:v>36</x:v>
      </x:c>
      <x:c r="H6809" t="str">
        <x:v>B</x:v>
      </x:c>
      <x:c r="I6809" t="str">
        <x:v>10+ years</x:v>
      </x:c>
      <x:c r="J6809" t="str">
        <x:v>OWN</x:v>
      </x:c>
      <x:c r="K6809" t="str">
        <x:v>credit_card</x:v>
      </x:c>
      <x:c r="L6809" t="n">
        <x:v>0</x:v>
      </x:c>
      <x:c r="M6809" t="n">
        <x:v>0</x:v>
      </x:c>
      <x:c r="N6809" t="str">
        <x:v>Fully Paid</x:v>
      </x:c>
      <x:c r="O6809" t="str">
        <x:f>IF(D6809="","Unknown",IF(D6809&lt;25000,"&lt;$25k",IF(D6809&lt;50000,"$25k-$50k",IF(D6809&lt;75000,"$50k-$75k",IF(D6809&lt;100000,"$75k-$100k","$100k+")))))</x:f>
        <x:v>$25k-$50k</x:v>
      </x:c>
      <x:c r="P6809" t="str">
        <x:f>IF(E6809="","Unknown",IF(E6809&lt;10,"&lt;10",IF(E6809&lt;20,"10-&lt;20",IF(E6809&lt;25,"20-&lt;25",IF(E6809&lt;35,"25-&lt;35","35+")))))</x:f>
        <x:v>&lt;10</x:v>
      </x:c>
    </x:row>
    <x:row r="6810">
      <x:c r="A6810" t="str">
        <x:v>SYN0006809</x:v>
      </x:c>
      <x:c r="B6810" s="12" t="n">
        <x:v>42595</x:v>
      </x:c>
      <x:c r="C6810" s="18" t="n">
        <x:v>15751</x:v>
      </x:c>
      <x:c r="D6810" s="18" t="n">
        <x:v>63951</x:v>
      </x:c>
      <x:c r="E6810" s="18" t="n">
        <x:v>17.02</x:v>
      </x:c>
      <x:c r="F6810" s="18" t="n">
        <x:v>8.38</x:v>
      </x:c>
      <x:c r="G6810" t="n">
        <x:v>60</x:v>
      </x:c>
      <x:c r="H6810" t="str">
        <x:v>C</x:v>
      </x:c>
      <x:c r="I6810" t="str">
        <x:v>10+ years</x:v>
      </x:c>
      <x:c r="J6810" t="str">
        <x:v>MORTGAGE</x:v>
      </x:c>
      <x:c r="K6810" t="str">
        <x:v>home_improvement</x:v>
      </x:c>
      <x:c r="L6810" t="n">
        <x:v>0</x:v>
      </x:c>
      <x:c r="M6810" t="n">
        <x:v>0</x:v>
      </x:c>
      <x:c r="N6810" t="str">
        <x:v>Fully Paid</x:v>
      </x:c>
      <x:c r="O6810" t="str">
        <x:f>IF(D6810="","Unknown",IF(D6810&lt;25000,"&lt;$25k",IF(D6810&lt;50000,"$25k-$50k",IF(D6810&lt;75000,"$50k-$75k",IF(D6810&lt;100000,"$75k-$100k","$100k+")))))</x:f>
        <x:v>$50k-$75k</x:v>
      </x:c>
      <x:c r="P6810" t="str">
        <x:f>IF(E6810="","Unknown",IF(E6810&lt;10,"&lt;10",IF(E6810&lt;20,"10-&lt;20",IF(E6810&lt;25,"20-&lt;25",IF(E6810&lt;35,"25-&lt;35","35+")))))</x:f>
        <x:v>10-&lt;20</x:v>
      </x:c>
    </x:row>
    <x:row r="6811">
      <x:c r="A6811" t="str">
        <x:v>SYN0006810</x:v>
      </x:c>
      <x:c r="B6811" s="12" t="n">
        <x:v>41335</x:v>
      </x:c>
      <x:c r="C6811" s="18" t="n">
        <x:v>13459</x:v>
      </x:c>
      <x:c r="D6811" s="18" t="n">
        <x:v>43843</x:v>
      </x:c>
      <x:c r="E6811" s="18" t="n">
        <x:v>12.14</x:v>
      </x:c>
      <x:c r="F6811" s="18" t="n">
        <x:v>10.31</x:v>
      </x:c>
      <x:c r="G6811" t="n">
        <x:v>36</x:v>
      </x:c>
      <x:c r="H6811" t="str">
        <x:v>C</x:v>
      </x:c>
      <x:c r="I6811" t="str">
        <x:v>1-3 years</x:v>
      </x:c>
      <x:c r="J6811" t="str">
        <x:v>MORTGAGE</x:v>
      </x:c>
      <x:c r="K6811" t="str">
        <x:v>other</x:v>
      </x:c>
      <x:c r="L6811" t="n">
        <x:v>2</x:v>
      </x:c>
      <x:c r="M6811" t="n">
        <x:v>1</x:v>
      </x:c>
      <x:c r="N6811" t="str">
        <x:v>Charged Off</x:v>
      </x:c>
      <x:c r="O6811" t="str">
        <x:f>IF(D6811="","Unknown",IF(D6811&lt;25000,"&lt;$25k",IF(D6811&lt;50000,"$25k-$50k",IF(D6811&lt;75000,"$50k-$75k",IF(D6811&lt;100000,"$75k-$100k","$100k+")))))</x:f>
        <x:v>$25k-$50k</x:v>
      </x:c>
      <x:c r="P6811" t="str">
        <x:f>IF(E6811="","Unknown",IF(E6811&lt;10,"&lt;10",IF(E6811&lt;20,"10-&lt;20",IF(E6811&lt;25,"20-&lt;25",IF(E6811&lt;35,"25-&lt;35","35+")))))</x:f>
        <x:v>10-&lt;20</x:v>
      </x:c>
    </x:row>
    <x:row r="6812">
      <x:c r="A6812" t="str">
        <x:v>SYN0006811</x:v>
      </x:c>
      <x:c r="B6812" s="12" t="n">
        <x:v>42775</x:v>
      </x:c>
      <x:c r="C6812" s="18" t="n">
        <x:v>18825</x:v>
      </x:c>
      <x:c r="D6812" s="18" t="n">
        <x:v>31645</x:v>
      </x:c>
      <x:c r="E6812" s="18" t="n">
        <x:v>23.38</x:v>
      </x:c>
      <x:c r="F6812" s="18" t="n">
        <x:v>10.95</x:v>
      </x:c>
      <x:c r="G6812" t="n">
        <x:v>36</x:v>
      </x:c>
      <x:c r="H6812" t="str">
        <x:v>C</x:v>
      </x:c>
      <x:c r="I6812" t="str">
        <x:v>7-9 years</x:v>
      </x:c>
      <x:c r="J6812" t="str">
        <x:v>RENT</x:v>
      </x:c>
      <x:c r="K6812" t="str">
        <x:v>debt_consolidation</x:v>
      </x:c>
      <x:c r="L6812" t="n">
        <x:v>0</x:v>
      </x:c>
      <x:c r="M6812" t="n">
        <x:v>0</x:v>
      </x:c>
      <x:c r="N6812" t="str">
        <x:v>Fully Paid</x:v>
      </x:c>
      <x:c r="O6812" t="str">
        <x:f>IF(D6812="","Unknown",IF(D6812&lt;25000,"&lt;$25k",IF(D6812&lt;50000,"$25k-$50k",IF(D6812&lt;75000,"$50k-$75k",IF(D6812&lt;100000,"$75k-$100k","$100k+")))))</x:f>
        <x:v>$25k-$50k</x:v>
      </x:c>
      <x:c r="P6812" t="str">
        <x:f>IF(E6812="","Unknown",IF(E6812&lt;10,"&lt;10",IF(E6812&lt;20,"10-&lt;20",IF(E6812&lt;25,"20-&lt;25",IF(E6812&lt;35,"25-&lt;35","35+")))))</x:f>
        <x:v>20-&lt;25</x:v>
      </x:c>
    </x:row>
    <x:row r="6813">
      <x:c r="A6813" t="str">
        <x:v>SYN0006812</x:v>
      </x:c>
      <x:c r="B6813" s="12" t="n">
        <x:v>41335</x:v>
      </x:c>
      <x:c r="C6813" s="18" t="n">
        <x:v>21193</x:v>
      </x:c>
      <x:c r="D6813" s="18" t="n">
        <x:v>67043</x:v>
      </x:c>
      <x:c r="E6813" s="18" t="n">
        <x:v>23.38</x:v>
      </x:c>
      <x:c r="F6813" s="18" t="n">
        <x:v>15.1</x:v>
      </x:c>
      <x:c r="G6813" t="n">
        <x:v>36</x:v>
      </x:c>
      <x:c r="H6813" t="str">
        <x:v>D</x:v>
      </x:c>
      <x:c r="I6813" t="str">
        <x:v>10+ years</x:v>
      </x:c>
      <x:c r="J6813" t="str">
        <x:v>MORTGAGE</x:v>
      </x:c>
      <x:c r="K6813" t="str">
        <x:v>debt_consolidation</x:v>
      </x:c>
      <x:c r="L6813" t="n">
        <x:v>2</x:v>
      </x:c>
      <x:c r="M6813" t="n">
        <x:v>0</x:v>
      </x:c>
      <x:c r="N6813" t="str">
        <x:v>Fully Paid</x:v>
      </x:c>
      <x:c r="O6813" t="str">
        <x:f>IF(D6813="","Unknown",IF(D6813&lt;25000,"&lt;$25k",IF(D6813&lt;50000,"$25k-$50k",IF(D6813&lt;75000,"$50k-$75k",IF(D6813&lt;100000,"$75k-$100k","$100k+")))))</x:f>
        <x:v>$50k-$75k</x:v>
      </x:c>
      <x:c r="P6813" t="str">
        <x:f>IF(E6813="","Unknown",IF(E6813&lt;10,"&lt;10",IF(E6813&lt;20,"10-&lt;20",IF(E6813&lt;25,"20-&lt;25",IF(E6813&lt;35,"25-&lt;35","35+")))))</x:f>
        <x:v>20-&lt;25</x:v>
      </x:c>
    </x:row>
    <x:row r="6814">
      <x:c r="A6814" t="str">
        <x:v>SYN0006813</x:v>
      </x:c>
      <x:c r="B6814" s="12" t="n">
        <x:v>43405</x:v>
      </x:c>
      <x:c r="C6814" s="18" t="n">
        <x:v>8925</x:v>
      </x:c>
      <x:c r="D6814" s="18" t="n">
        <x:v>49192</x:v>
      </x:c>
      <x:c r="E6814" s="18" t="n">
        <x:v>17.58</x:v>
      </x:c>
      <x:c r="F6814" s="18" t="n">
        <x:v>25.88</x:v>
      </x:c>
      <x:c r="G6814" t="n">
        <x:v>36</x:v>
      </x:c>
      <x:c r="H6814" t="str">
        <x:v>G</x:v>
      </x:c>
      <x:c r="I6814" t="str">
        <x:v>10+ years</x:v>
      </x:c>
      <x:c r="J6814" t="str">
        <x:v>OWN</x:v>
      </x:c>
      <x:c r="K6814" t="str">
        <x:v>credit_card</x:v>
      </x:c>
      <x:c r="L6814" t="n">
        <x:v>2</x:v>
      </x:c>
      <x:c r="M6814" t="n">
        <x:v>0</x:v>
      </x:c>
      <x:c r="N6814" t="str">
        <x:v>Fully Paid</x:v>
      </x:c>
      <x:c r="O6814" t="str">
        <x:f>IF(D6814="","Unknown",IF(D6814&lt;25000,"&lt;$25k",IF(D6814&lt;50000,"$25k-$50k",IF(D6814&lt;75000,"$50k-$75k",IF(D6814&lt;100000,"$75k-$100k","$100k+")))))</x:f>
        <x:v>$25k-$50k</x:v>
      </x:c>
      <x:c r="P6814" t="str">
        <x:f>IF(E6814="","Unknown",IF(E6814&lt;10,"&lt;10",IF(E6814&lt;20,"10-&lt;20",IF(E6814&lt;25,"20-&lt;25",IF(E6814&lt;35,"25-&lt;35","35+")))))</x:f>
        <x:v>10-&lt;20</x:v>
      </x:c>
    </x:row>
    <x:row r="6815">
      <x:c r="A6815" t="str">
        <x:v>SYN0006814</x:v>
      </x:c>
      <x:c r="B6815" s="12" t="n">
        <x:v>43165</x:v>
      </x:c>
      <x:c r="C6815" s="18" t="n">
        <x:v>16761</x:v>
      </x:c>
      <x:c r="D6815" s="18" t="n">
        <x:v>26588</x:v>
      </x:c>
      <x:c r="E6815" s="18" t="n">
        <x:v>1.72</x:v>
      </x:c>
      <x:c r="F6815" s="18" t="n">
        <x:v>8.42</x:v>
      </x:c>
      <x:c r="G6815" t="n">
        <x:v>36</x:v>
      </x:c>
      <x:c r="H6815" t="str">
        <x:v>B</x:v>
      </x:c>
      <x:c r="I6815" t="str">
        <x:v>10+ years</x:v>
      </x:c>
      <x:c r="J6815" t="str">
        <x:v>RENT</x:v>
      </x:c>
      <x:c r="K6815" t="str">
        <x:v>major_purchase</x:v>
      </x:c>
      <x:c r="L6815" t="n">
        <x:v>0</x:v>
      </x:c>
      <x:c r="M6815" t="n">
        <x:v>0</x:v>
      </x:c>
      <x:c r="N6815" t="str">
        <x:v>Fully Paid</x:v>
      </x:c>
      <x:c r="O6815" t="str">
        <x:f>IF(D6815="","Unknown",IF(D6815&lt;25000,"&lt;$25k",IF(D6815&lt;50000,"$25k-$50k",IF(D6815&lt;75000,"$50k-$75k",IF(D6815&lt;100000,"$75k-$100k","$100k+")))))</x:f>
        <x:v>$25k-$50k</x:v>
      </x:c>
      <x:c r="P6815" t="str">
        <x:f>IF(E6815="","Unknown",IF(E6815&lt;10,"&lt;10",IF(E6815&lt;20,"10-&lt;20",IF(E6815&lt;25,"20-&lt;25",IF(E6815&lt;35,"25-&lt;35","35+")))))</x:f>
        <x:v>&lt;10</x:v>
      </x:c>
    </x:row>
    <x:row r="6816">
      <x:c r="A6816" t="str">
        <x:v>SYN0006815</x:v>
      </x:c>
      <x:c r="B6816" s="12" t="n">
        <x:v>42475</x:v>
      </x:c>
      <x:c r="C6816" s="18" t="n">
        <x:v>11852</x:v>
      </x:c>
      <x:c r="D6816" s="18" t="n">
        <x:v>90030</x:v>
      </x:c>
      <x:c r="E6816" s="18" t="n">
        <x:v>12.2</x:v>
      </x:c>
      <x:c r="F6816" s="18" t="n">
        <x:v>9.81</x:v>
      </x:c>
      <x:c r="G6816" t="n">
        <x:v>36</x:v>
      </x:c>
      <x:c r="H6816" t="str">
        <x:v>B</x:v>
      </x:c>
      <x:c r="I6816" t="str">
        <x:v>7-9 years</x:v>
      </x:c>
      <x:c r="J6816" t="str">
        <x:v>RENT</x:v>
      </x:c>
      <x:c r="K6816" t="str">
        <x:v>debt_consolidation</x:v>
      </x:c>
      <x:c r="L6816" t="n">
        <x:v>0</x:v>
      </x:c>
      <x:c r="M6816" t="n">
        <x:v>1</x:v>
      </x:c>
      <x:c r="N6816" t="str">
        <x:v>Charged Off</x:v>
      </x:c>
      <x:c r="O6816" t="str">
        <x:f>IF(D6816="","Unknown",IF(D6816&lt;25000,"&lt;$25k",IF(D6816&lt;50000,"$25k-$50k",IF(D6816&lt;75000,"$50k-$75k",IF(D6816&lt;100000,"$75k-$100k","$100k+")))))</x:f>
        <x:v>$75k-$100k</x:v>
      </x:c>
      <x:c r="P6816" t="str">
        <x:f>IF(E6816="","Unknown",IF(E6816&lt;10,"&lt;10",IF(E6816&lt;20,"10-&lt;20",IF(E6816&lt;25,"20-&lt;25",IF(E6816&lt;35,"25-&lt;35","35+")))))</x:f>
        <x:v>10-&lt;20</x:v>
      </x:c>
    </x:row>
    <x:row r="6817">
      <x:c r="A6817" t="str">
        <x:v>SYN0006816</x:v>
      </x:c>
      <x:c r="B6817" s="12" t="n">
        <x:v>42475</x:v>
      </x:c>
      <x:c r="C6817" s="18" t="n">
        <x:v>15071</x:v>
      </x:c>
      <x:c r="D6817" s="18" t="n">
        <x:v>250000</x:v>
      </x:c>
      <x:c r="E6817" s="18" t="n">
        <x:v>24.26</x:v>
      </x:c>
      <x:c r="F6817" s="18" t="n">
        <x:v>13.45</x:v>
      </x:c>
      <x:c r="G6817" t="n">
        <x:v>36</x:v>
      </x:c>
      <x:c r="H6817" t="str">
        <x:v>D</x:v>
      </x:c>
      <x:c r="I6817" t="str">
        <x:v>7-9 years</x:v>
      </x:c>
      <x:c r="J6817" t="str">
        <x:v>RENT</x:v>
      </x:c>
      <x:c r="K6817" t="str">
        <x:v>debt_consolidation</x:v>
      </x:c>
      <x:c r="L6817" t="n">
        <x:v>0</x:v>
      </x:c>
      <x:c r="M6817" t="n">
        <x:v>0</x:v>
      </x:c>
      <x:c r="N6817" t="str">
        <x:v>Fully Paid</x:v>
      </x:c>
      <x:c r="O6817" t="str">
        <x:f>IF(D6817="","Unknown",IF(D6817&lt;25000,"&lt;$25k",IF(D6817&lt;50000,"$25k-$50k",IF(D6817&lt;75000,"$50k-$75k",IF(D6817&lt;100000,"$75k-$100k","$100k+")))))</x:f>
        <x:v>$100k+</x:v>
      </x:c>
      <x:c r="P6817" t="str">
        <x:f>IF(E6817="","Unknown",IF(E6817&lt;10,"&lt;10",IF(E6817&lt;20,"10-&lt;20",IF(E6817&lt;25,"20-&lt;25",IF(E6817&lt;35,"25-&lt;35","35+")))))</x:f>
        <x:v>20-&lt;25</x:v>
      </x:c>
    </x:row>
    <x:row r="6818">
      <x:c r="A6818" t="str">
        <x:v>SYN0006817</x:v>
      </x:c>
      <x:c r="B6818" s="12" t="n">
        <x:v>41635</x:v>
      </x:c>
      <x:c r="C6818" s="18" t="n">
        <x:v>4552</x:v>
      </x:c>
      <x:c r="D6818" s="18" t="n">
        <x:v>77887</x:v>
      </x:c>
      <x:c r="E6818" s="18" t="n">
        <x:v>25.36</x:v>
      </x:c>
      <x:c r="F6818" s="18" t="n">
        <x:v>16.66</x:v>
      </x:c>
      <x:c r="G6818" t="n">
        <x:v>36</x:v>
      </x:c>
      <x:c r="H6818" t="str">
        <x:v>D</x:v>
      </x:c>
      <x:c r="I6818" t="str">
        <x:v>1-3 years</x:v>
      </x:c>
      <x:c r="J6818" t="str">
        <x:v>RENT</x:v>
      </x:c>
      <x:c r="K6818" t="str">
        <x:v>home_improvement</x:v>
      </x:c>
      <x:c r="L6818" t="n">
        <x:v>1</x:v>
      </x:c>
      <x:c r="M6818" t="n">
        <x:v>1</x:v>
      </x:c>
      <x:c r="N6818" t="str">
        <x:v>Charged Off</x:v>
      </x:c>
      <x:c r="O6818" t="str">
        <x:f>IF(D6818="","Unknown",IF(D6818&lt;25000,"&lt;$25k",IF(D6818&lt;50000,"$25k-$50k",IF(D6818&lt;75000,"$50k-$75k",IF(D6818&lt;100000,"$75k-$100k","$100k+")))))</x:f>
        <x:v>$75k-$100k</x:v>
      </x:c>
      <x:c r="P6818" t="str">
        <x:f>IF(E6818="","Unknown",IF(E6818&lt;10,"&lt;10",IF(E6818&lt;20,"10-&lt;20",IF(E6818&lt;25,"20-&lt;25",IF(E6818&lt;35,"25-&lt;35","35+")))))</x:f>
        <x:v>25-&lt;35</x:v>
      </x:c>
    </x:row>
    <x:row r="6819">
      <x:c r="A6819" t="str">
        <x:v>SYN0006818</x:v>
      </x:c>
      <x:c r="B6819" s="12" t="n">
        <x:v>42445</x:v>
      </x:c>
      <x:c r="C6819" s="18" t="n">
        <x:v>13330</x:v>
      </x:c>
      <x:c r="D6819" s="18" t="n">
        <x:v>51033</x:v>
      </x:c>
      <x:c r="E6819" s="18" t="n">
        <x:v>20.21</x:v>
      </x:c>
      <x:c r="F6819" s="18" t="n">
        <x:v>18.67</x:v>
      </x:c>
      <x:c r="G6819" t="n">
        <x:v>60</x:v>
      </x:c>
      <x:c r="H6819" t="str">
        <x:v>E</x:v>
      </x:c>
      <x:c r="I6819" t="str">
        <x:v>1-3 years</x:v>
      </x:c>
      <x:c r="J6819" t="str">
        <x:v>RENT</x:v>
      </x:c>
      <x:c r="K6819" t="str">
        <x:v>debt_consolidation</x:v>
      </x:c>
      <x:c r="L6819" t="n">
        <x:v>0</x:v>
      </x:c>
      <x:c r="M6819" t="n">
        <x:v>1</x:v>
      </x:c>
      <x:c r="N6819" t="str">
        <x:v>Charged Off</x:v>
      </x:c>
      <x:c r="O6819" t="str">
        <x:f>IF(D6819="","Unknown",IF(D6819&lt;25000,"&lt;$25k",IF(D6819&lt;50000,"$25k-$50k",IF(D6819&lt;75000,"$50k-$75k",IF(D6819&lt;100000,"$75k-$100k","$100k+")))))</x:f>
        <x:v>$50k-$75k</x:v>
      </x:c>
      <x:c r="P6819" t="str">
        <x:f>IF(E6819="","Unknown",IF(E6819&lt;10,"&lt;10",IF(E6819&lt;20,"10-&lt;20",IF(E6819&lt;25,"20-&lt;25",IF(E6819&lt;35,"25-&lt;35","35+")))))</x:f>
        <x:v>20-&lt;25</x:v>
      </x:c>
    </x:row>
    <x:row r="6820">
      <x:c r="A6820" t="str">
        <x:v>SYN0006819</x:v>
      </x:c>
      <x:c r="B6820" s="12" t="n">
        <x:v>42835</x:v>
      </x:c>
      <x:c r="C6820" s="18" t="n">
        <x:v>18915</x:v>
      </x:c>
      <x:c r="D6820" s="18" t="n">
        <x:v>120278</x:v>
      </x:c>
      <x:c r="E6820" s="18" t="n">
        <x:v>22.94</x:v>
      </x:c>
      <x:c r="F6820" s="18" t="n">
        <x:v>8.9</x:v>
      </x:c>
      <x:c r="G6820" t="n">
        <x:v>36</x:v>
      </x:c>
      <x:c r="H6820" t="str">
        <x:v>B</x:v>
      </x:c>
      <x:c r="I6820" t="str">
        <x:v>&lt;1 year</x:v>
      </x:c>
      <x:c r="J6820" t="str">
        <x:v>MORTGAGE</x:v>
      </x:c>
      <x:c r="K6820" t="str">
        <x:v>home_improvement</x:v>
      </x:c>
      <x:c r="L6820" t="n">
        <x:v>1</x:v>
      </x:c>
      <x:c r="M6820" t="n">
        <x:v>0</x:v>
      </x:c>
      <x:c r="N6820" t="str">
        <x:v>Fully Paid</x:v>
      </x:c>
      <x:c r="O6820" t="str">
        <x:f>IF(D6820="","Unknown",IF(D6820&lt;25000,"&lt;$25k",IF(D6820&lt;50000,"$25k-$50k",IF(D6820&lt;75000,"$50k-$75k",IF(D6820&lt;100000,"$75k-$100k","$100k+")))))</x:f>
        <x:v>$100k+</x:v>
      </x:c>
      <x:c r="P6820" t="str">
        <x:f>IF(E6820="","Unknown",IF(E6820&lt;10,"&lt;10",IF(E6820&lt;20,"10-&lt;20",IF(E6820&lt;25,"20-&lt;25",IF(E6820&lt;35,"25-&lt;35","35+")))))</x:f>
        <x:v>20-&lt;25</x:v>
      </x:c>
    </x:row>
    <x:row r="6821">
      <x:c r="A6821" t="str">
        <x:v>SYN0006820</x:v>
      </x:c>
      <x:c r="B6821" s="12" t="n">
        <x:v>43075</x:v>
      </x:c>
      <x:c r="C6821" s="18" t="n">
        <x:v>8749</x:v>
      </x:c>
      <x:c r="D6821" s="18" t="n">
        <x:v>28344</x:v>
      </x:c>
      <x:c r="E6821" s="18" t="n">
        <x:v>22.02</x:v>
      </x:c>
      <x:c r="F6821" s="18" t="n">
        <x:v>10.78</x:v>
      </x:c>
      <x:c r="G6821" t="n">
        <x:v>36</x:v>
      </x:c>
      <x:c r="H6821" t="str">
        <x:v>C</x:v>
      </x:c>
      <x:c r="I6821" t="str">
        <x:v>&lt;1 year</x:v>
      </x:c>
      <x:c r="J6821" t="str">
        <x:v>MORTGAGE</x:v>
      </x:c>
      <x:c r="K6821" t="str">
        <x:v>credit_card</x:v>
      </x:c>
      <x:c r="L6821" t="n">
        <x:v>0</x:v>
      </x:c>
      <x:c r="M6821" t="n">
        <x:v>0</x:v>
      </x:c>
      <x:c r="N6821" t="str">
        <x:v>Fully Paid</x:v>
      </x:c>
      <x:c r="O6821" t="str">
        <x:f>IF(D6821="","Unknown",IF(D6821&lt;25000,"&lt;$25k",IF(D6821&lt;50000,"$25k-$50k",IF(D6821&lt;75000,"$50k-$75k",IF(D6821&lt;100000,"$75k-$100k","$100k+")))))</x:f>
        <x:v>$25k-$50k</x:v>
      </x:c>
      <x:c r="P6821" t="str">
        <x:f>IF(E6821="","Unknown",IF(E6821&lt;10,"&lt;10",IF(E6821&lt;20,"10-&lt;20",IF(E6821&lt;25,"20-&lt;25",IF(E6821&lt;35,"25-&lt;35","35+")))))</x:f>
        <x:v>20-&lt;25</x:v>
      </x:c>
    </x:row>
    <x:row r="6822">
      <x:c r="A6822" t="str">
        <x:v>SYN0006821</x:v>
      </x:c>
      <x:c r="B6822" s="12" t="n">
        <x:v>42355</x:v>
      </x:c>
      <x:c r="C6822" s="18" t="n">
        <x:v>17334</x:v>
      </x:c>
      <x:c r="D6822" s="18" t="n">
        <x:v>108148</x:v>
      </x:c>
      <x:c r="E6822" s="18" t="n">
        <x:v>21.23</x:v>
      </x:c>
      <x:c r="F6822" s="18" t="n">
        <x:v>8.93</x:v>
      </x:c>
      <x:c r="G6822" t="n">
        <x:v>36</x:v>
      </x:c>
      <x:c r="H6822" t="str">
        <x:v>C</x:v>
      </x:c>
      <x:c r="I6822" t="str">
        <x:v>7-9 years</x:v>
      </x:c>
      <x:c r="J6822" t="str">
        <x:v>MORTGAGE</x:v>
      </x:c>
      <x:c r="K6822" t="str">
        <x:v>credit_card</x:v>
      </x:c>
      <x:c r="L6822" t="n">
        <x:v>0</x:v>
      </x:c>
      <x:c r="M6822" t="n">
        <x:v>0</x:v>
      </x:c>
      <x:c r="N6822" t="str">
        <x:v>Fully Paid</x:v>
      </x:c>
      <x:c r="O6822" t="str">
        <x:f>IF(D6822="","Unknown",IF(D6822&lt;25000,"&lt;$25k",IF(D6822&lt;50000,"$25k-$50k",IF(D6822&lt;75000,"$50k-$75k",IF(D6822&lt;100000,"$75k-$100k","$100k+")))))</x:f>
        <x:v>$100k+</x:v>
      </x:c>
      <x:c r="P6822" t="str">
        <x:f>IF(E6822="","Unknown",IF(E6822&lt;10,"&lt;10",IF(E6822&lt;20,"10-&lt;20",IF(E6822&lt;25,"20-&lt;25",IF(E6822&lt;35,"25-&lt;35","35+")))))</x:f>
        <x:v>20-&lt;25</x:v>
      </x:c>
    </x:row>
    <x:row r="6823">
      <x:c r="A6823" t="str">
        <x:v>SYN0006822</x:v>
      </x:c>
      <x:c r="B6823" s="12" t="n">
        <x:v>42415</x:v>
      </x:c>
      <x:c r="C6823" s="18" t="n">
        <x:v>6891</x:v>
      </x:c>
      <x:c r="D6823" s="18" t="n">
        <x:v>30009</x:v>
      </x:c>
      <x:c r="E6823" s="18" t="n">
        <x:v>26.49</x:v>
      </x:c>
      <x:c r="F6823" s="18" t="n">
        <x:v>6.82</x:v>
      </x:c>
      <x:c r="G6823" t="n">
        <x:v>36</x:v>
      </x:c>
      <x:c r="H6823" t="str">
        <x:v>B</x:v>
      </x:c>
      <x:c r="I6823" t="str">
        <x:v>4-6 years</x:v>
      </x:c>
      <x:c r="J6823" t="str">
        <x:v>RENT</x:v>
      </x:c>
      <x:c r="K6823" t="str">
        <x:v>debt_consolidation</x:v>
      </x:c>
      <x:c r="L6823" t="n">
        <x:v>0</x:v>
      </x:c>
      <x:c r="M6823" t="n">
        <x:v>0</x:v>
      </x:c>
      <x:c r="N6823" t="str">
        <x:v>Fully Paid</x:v>
      </x:c>
      <x:c r="O6823" t="str">
        <x:f>IF(D6823="","Unknown",IF(D6823&lt;25000,"&lt;$25k",IF(D6823&lt;50000,"$25k-$50k",IF(D6823&lt;75000,"$50k-$75k",IF(D6823&lt;100000,"$75k-$100k","$100k+")))))</x:f>
        <x:v>$25k-$50k</x:v>
      </x:c>
      <x:c r="P6823" t="str">
        <x:f>IF(E6823="","Unknown",IF(E6823&lt;10,"&lt;10",IF(E6823&lt;20,"10-&lt;20",IF(E6823&lt;25,"20-&lt;25",IF(E6823&lt;35,"25-&lt;35","35+")))))</x:f>
        <x:v>25-&lt;35</x:v>
      </x:c>
    </x:row>
    <x:row r="6824">
      <x:c r="A6824" t="str">
        <x:v>SYN0006823</x:v>
      </x:c>
      <x:c r="B6824" s="12" t="n">
        <x:v>41665</x:v>
      </x:c>
      <x:c r="C6824" s="18" t="n">
        <x:v>6987</x:v>
      </x:c>
      <x:c r="D6824" s="18" t="n">
        <x:v>23746</x:v>
      </x:c>
      <x:c r="E6824" s="18" t="n">
        <x:v>24.2</x:v>
      </x:c>
      <x:c r="F6824" s="18" t="n">
        <x:v>5</x:v>
      </x:c>
      <x:c r="G6824" t="n">
        <x:v>36</x:v>
      </x:c>
      <x:c r="H6824" t="str">
        <x:v>A</x:v>
      </x:c>
      <x:c r="I6824" t="str">
        <x:v>&lt;1 year</x:v>
      </x:c>
      <x:c r="J6824" t="str">
        <x:v>MORTGAGE</x:v>
      </x:c>
      <x:c r="K6824" t="str">
        <x:v>credit_card</x:v>
      </x:c>
      <x:c r="L6824" t="n">
        <x:v>0</x:v>
      </x:c>
      <x:c r="M6824" t="n">
        <x:v>0</x:v>
      </x:c>
      <x:c r="N6824" t="str">
        <x:v>Fully Paid</x:v>
      </x:c>
      <x:c r="O6824" t="str">
        <x:f>IF(D6824="","Unknown",IF(D6824&lt;25000,"&lt;$25k",IF(D6824&lt;50000,"$25k-$50k",IF(D6824&lt;75000,"$50k-$75k",IF(D6824&lt;100000,"$75k-$100k","$100k+")))))</x:f>
        <x:v>&lt;$25k</x:v>
      </x:c>
      <x:c r="P6824" t="str">
        <x:f>IF(E6824="","Unknown",IF(E6824&lt;10,"&lt;10",IF(E6824&lt;20,"10-&lt;20",IF(E6824&lt;25,"20-&lt;25",IF(E6824&lt;35,"25-&lt;35","35+")))))</x:f>
        <x:v>20-&lt;25</x:v>
      </x:c>
    </x:row>
    <x:row r="6825">
      <x:c r="A6825" t="str">
        <x:v>SYN0006824</x:v>
      </x:c>
      <x:c r="B6825" s="12" t="n">
        <x:v>42295</x:v>
      </x:c>
      <x:c r="C6825" s="18" t="n">
        <x:v>23658</x:v>
      </x:c>
      <x:c r="D6825" s="18" t="n">
        <x:v>50389</x:v>
      </x:c>
      <x:c r="E6825" s="18" t="n">
        <x:v>13.81</x:v>
      </x:c>
      <x:c r="F6825" s="18" t="n">
        <x:v>10.86</x:v>
      </x:c>
      <x:c r="G6825" t="n">
        <x:v>60</x:v>
      </x:c>
      <x:c r="H6825" t="str">
        <x:v>C</x:v>
      </x:c>
      <x:c r="I6825" t="str">
        <x:v>1-3 years</x:v>
      </x:c>
      <x:c r="J6825" t="str">
        <x:v>RENT</x:v>
      </x:c>
      <x:c r="K6825" t="str">
        <x:v>debt_consolidation</x:v>
      </x:c>
      <x:c r="L6825" t="n">
        <x:v>1</x:v>
      </x:c>
      <x:c r="M6825" t="n">
        <x:v>0</x:v>
      </x:c>
      <x:c r="N6825" t="str">
        <x:v>Fully Paid</x:v>
      </x:c>
      <x:c r="O6825" t="str">
        <x:f>IF(D6825="","Unknown",IF(D6825&lt;25000,"&lt;$25k",IF(D6825&lt;50000,"$25k-$50k",IF(D6825&lt;75000,"$50k-$75k",IF(D6825&lt;100000,"$75k-$100k","$100k+")))))</x:f>
        <x:v>$50k-$75k</x:v>
      </x:c>
      <x:c r="P6825" t="str">
        <x:f>IF(E6825="","Unknown",IF(E6825&lt;10,"&lt;10",IF(E6825&lt;20,"10-&lt;20",IF(E6825&lt;25,"20-&lt;25",IF(E6825&lt;35,"25-&lt;35","35+")))))</x:f>
        <x:v>10-&lt;20</x:v>
      </x:c>
    </x:row>
    <x:row r="6826">
      <x:c r="A6826" t="str">
        <x:v>SYN0006825</x:v>
      </x:c>
      <x:c r="B6826" s="12" t="n">
        <x:v>43045</x:v>
      </x:c>
      <x:c r="C6826" s="18" t="n">
        <x:v>9847</x:v>
      </x:c>
      <x:c r="D6826" s="18" t="n">
        <x:v>52989</x:v>
      </x:c>
      <x:c r="E6826" s="18" t="n">
        <x:v>20.62</x:v>
      </x:c>
      <x:c r="F6826" s="18" t="n">
        <x:v>29.5</x:v>
      </x:c>
      <x:c r="G6826" t="n">
        <x:v>36</x:v>
      </x:c>
      <x:c r="H6826" t="str">
        <x:v>G</x:v>
      </x:c>
      <x:c r="I6826" t="str">
        <x:v>&lt;1 year</x:v>
      </x:c>
      <x:c r="J6826" t="str">
        <x:v>RENT</x:v>
      </x:c>
      <x:c r="K6826" t="str">
        <x:v>credit_card</x:v>
      </x:c>
      <x:c r="L6826" t="n">
        <x:v>1</x:v>
      </x:c>
      <x:c r="M6826" t="n">
        <x:v>0</x:v>
      </x:c>
      <x:c r="N6826" t="str">
        <x:v>Fully Paid</x:v>
      </x:c>
      <x:c r="O6826" t="str">
        <x:f>IF(D6826="","Unknown",IF(D6826&lt;25000,"&lt;$25k",IF(D6826&lt;50000,"$25k-$50k",IF(D6826&lt;75000,"$50k-$75k",IF(D6826&lt;100000,"$75k-$100k","$100k+")))))</x:f>
        <x:v>$50k-$75k</x:v>
      </x:c>
      <x:c r="P6826" t="str">
        <x:f>IF(E6826="","Unknown",IF(E6826&lt;10,"&lt;10",IF(E6826&lt;20,"10-&lt;20",IF(E6826&lt;25,"20-&lt;25",IF(E6826&lt;35,"25-&lt;35","35+")))))</x:f>
        <x:v>20-&lt;25</x:v>
      </x:c>
    </x:row>
    <x:row r="6827">
      <x:c r="A6827" t="str">
        <x:v>SYN0006826</x:v>
      </x:c>
      <x:c r="B6827" s="12" t="n">
        <x:v>43405</x:v>
      </x:c>
      <x:c r="C6827" s="18" t="n">
        <x:v>4451</x:v>
      </x:c>
      <x:c r="D6827" s="18" t="n">
        <x:v>37266</x:v>
      </x:c>
      <x:c r="E6827" s="18" t="n">
        <x:v>21.78</x:v>
      </x:c>
      <x:c r="F6827" s="18" t="n">
        <x:v>9.83</x:v>
      </x:c>
      <x:c r="G6827" t="n">
        <x:v>36</x:v>
      </x:c>
      <x:c r="H6827" t="str">
        <x:v>B</x:v>
      </x:c>
      <x:c r="I6827" t="str">
        <x:v>1-3 years</x:v>
      </x:c>
      <x:c r="J6827" t="str">
        <x:v>MORTGAGE</x:v>
      </x:c>
      <x:c r="K6827" t="str">
        <x:v>debt_consolidation</x:v>
      </x:c>
      <x:c r="L6827" t="n">
        <x:v>0</x:v>
      </x:c>
      <x:c r="M6827" t="n">
        <x:v>0</x:v>
      </x:c>
      <x:c r="N6827" t="str">
        <x:v>Fully Paid</x:v>
      </x:c>
      <x:c r="O6827" t="str">
        <x:f>IF(D6827="","Unknown",IF(D6827&lt;25000,"&lt;$25k",IF(D6827&lt;50000,"$25k-$50k",IF(D6827&lt;75000,"$50k-$75k",IF(D6827&lt;100000,"$75k-$100k","$100k+")))))</x:f>
        <x:v>$25k-$50k</x:v>
      </x:c>
      <x:c r="P6827" t="str">
        <x:f>IF(E6827="","Unknown",IF(E6827&lt;10,"&lt;10",IF(E6827&lt;20,"10-&lt;20",IF(E6827&lt;25,"20-&lt;25",IF(E6827&lt;35,"25-&lt;35","35+")))))</x:f>
        <x:v>20-&lt;25</x:v>
      </x:c>
    </x:row>
    <x:row r="6828">
      <x:c r="A6828" t="str">
        <x:v>SYN0006827</x:v>
      </x:c>
      <x:c r="B6828" s="12" t="n">
        <x:v>42475</x:v>
      </x:c>
      <x:c r="C6828" s="18" t="n">
        <x:v>10704</x:v>
      </x:c>
      <x:c r="D6828" s="18" t="n">
        <x:v>107224</x:v>
      </x:c>
      <x:c r="E6828" s="18" t="n">
        <x:v>24.1</x:v>
      </x:c>
      <x:c r="F6828" s="18" t="n">
        <x:v>5</x:v>
      </x:c>
      <x:c r="G6828" t="n">
        <x:v>36</x:v>
      </x:c>
      <x:c r="H6828" t="str">
        <x:v>B</x:v>
      </x:c>
      <x:c r="I6828" t="str">
        <x:v>10+ years</x:v>
      </x:c>
      <x:c r="J6828" t="str">
        <x:v>RENT</x:v>
      </x:c>
      <x:c r="K6828" t="str">
        <x:v>home_improvement</x:v>
      </x:c>
      <x:c r="L6828" t="n">
        <x:v>0</x:v>
      </x:c>
      <x:c r="M6828" t="n">
        <x:v>0</x:v>
      </x:c>
      <x:c r="N6828" t="str">
        <x:v>Fully Paid</x:v>
      </x:c>
      <x:c r="O6828" t="str">
        <x:f>IF(D6828="","Unknown",IF(D6828&lt;25000,"&lt;$25k",IF(D6828&lt;50000,"$25k-$50k",IF(D6828&lt;75000,"$50k-$75k",IF(D6828&lt;100000,"$75k-$100k","$100k+")))))</x:f>
        <x:v>$100k+</x:v>
      </x:c>
      <x:c r="P6828" t="str">
        <x:f>IF(E6828="","Unknown",IF(E6828&lt;10,"&lt;10",IF(E6828&lt;20,"10-&lt;20",IF(E6828&lt;25,"20-&lt;25",IF(E6828&lt;35,"25-&lt;35","35+")))))</x:f>
        <x:v>20-&lt;25</x:v>
      </x:c>
    </x:row>
    <x:row r="6829">
      <x:c r="A6829" t="str">
        <x:v>SYN0006828</x:v>
      </x:c>
      <x:c r="B6829" s="12" t="n">
        <x:v>43255</x:v>
      </x:c>
      <x:c r="C6829" s="18" t="n">
        <x:v>14870</x:v>
      </x:c>
      <x:c r="D6829" s="18" t="n">
        <x:v>37562</x:v>
      </x:c>
      <x:c r="E6829" s="18" t="n">
        <x:v>20.62</x:v>
      </x:c>
      <x:c r="F6829" s="18" t="n">
        <x:v>15.66</x:v>
      </x:c>
      <x:c r="G6829" t="n">
        <x:v>36</x:v>
      </x:c>
      <x:c r="H6829" t="str">
        <x:v>D</x:v>
      </x:c>
      <x:c r="I6829" t="str">
        <x:v>4-6 years</x:v>
      </x:c>
      <x:c r="J6829" t="str">
        <x:v>MORTGAGE</x:v>
      </x:c>
      <x:c r="K6829" t="str">
        <x:v>debt_consolidation</x:v>
      </x:c>
      <x:c r="L6829" t="n">
        <x:v>0</x:v>
      </x:c>
      <x:c r="M6829" t="n">
        <x:v>0</x:v>
      </x:c>
      <x:c r="N6829" t="str">
        <x:v>Fully Paid</x:v>
      </x:c>
      <x:c r="O6829" t="str">
        <x:f>IF(D6829="","Unknown",IF(D6829&lt;25000,"&lt;$25k",IF(D6829&lt;50000,"$25k-$50k",IF(D6829&lt;75000,"$50k-$75k",IF(D6829&lt;100000,"$75k-$100k","$100k+")))))</x:f>
        <x:v>$25k-$50k</x:v>
      </x:c>
      <x:c r="P6829" t="str">
        <x:f>IF(E6829="","Unknown",IF(E6829&lt;10,"&lt;10",IF(E6829&lt;20,"10-&lt;20",IF(E6829&lt;25,"20-&lt;25",IF(E6829&lt;35,"25-&lt;35","35+")))))</x:f>
        <x:v>20-&lt;25</x:v>
      </x:c>
    </x:row>
    <x:row r="6830">
      <x:c r="A6830" t="str">
        <x:v>SYN0006829</x:v>
      </x:c>
      <x:c r="B6830" s="12" t="n">
        <x:v>41995</x:v>
      </x:c>
      <x:c r="C6830" s="18" t="n">
        <x:v>19675</x:v>
      </x:c>
      <x:c r="D6830" s="18" t="n">
        <x:v>50671</x:v>
      </x:c>
      <x:c r="E6830" s="18" t="n">
        <x:v>27.29</x:v>
      </x:c>
      <x:c r="F6830" s="18" t="n">
        <x:v>9.8</x:v>
      </x:c>
      <x:c r="G6830" t="n">
        <x:v>60</x:v>
      </x:c>
      <x:c r="H6830" t="str">
        <x:v>B</x:v>
      </x:c>
      <x:c r="I6830" t="str">
        <x:v>1-3 years</x:v>
      </x:c>
      <x:c r="J6830" t="str">
        <x:v>MORTGAGE</x:v>
      </x:c>
      <x:c r="K6830" t="str">
        <x:v>debt_consolidation</x:v>
      </x:c>
      <x:c r="L6830" t="n">
        <x:v>0</x:v>
      </x:c>
      <x:c r="M6830" t="n">
        <x:v>0</x:v>
      </x:c>
      <x:c r="N6830" t="str">
        <x:v>Fully Paid</x:v>
      </x:c>
      <x:c r="O6830" t="str">
        <x:f>IF(D6830="","Unknown",IF(D6830&lt;25000,"&lt;$25k",IF(D6830&lt;50000,"$25k-$50k",IF(D6830&lt;75000,"$50k-$75k",IF(D6830&lt;100000,"$75k-$100k","$100k+")))))</x:f>
        <x:v>$50k-$75k</x:v>
      </x:c>
      <x:c r="P6830" t="str">
        <x:f>IF(E6830="","Unknown",IF(E6830&lt;10,"&lt;10",IF(E6830&lt;20,"10-&lt;20",IF(E6830&lt;25,"20-&lt;25",IF(E6830&lt;35,"25-&lt;35","35+")))))</x:f>
        <x:v>25-&lt;35</x:v>
      </x:c>
    </x:row>
    <x:row r="6831">
      <x:c r="A6831" t="str">
        <x:v>SYN0006830</x:v>
      </x:c>
      <x:c r="B6831" s="12" t="n">
        <x:v>41485</x:v>
      </x:c>
      <x:c r="C6831" s="18" t="n">
        <x:v>12126</x:v>
      </x:c>
      <x:c r="D6831" s="18" t="n">
        <x:v>120154</x:v>
      </x:c>
      <x:c r="E6831" s="18" t="n">
        <x:v>22.92</x:v>
      </x:c>
      <x:c r="F6831" s="18" t="n">
        <x:v>11.26</x:v>
      </x:c>
      <x:c r="G6831" t="n">
        <x:v>36</x:v>
      </x:c>
      <x:c r="H6831" t="str">
        <x:v>C</x:v>
      </x:c>
      <x:c r="I6831" t="str">
        <x:v>10+ years</x:v>
      </x:c>
      <x:c r="J6831" t="str">
        <x:v>RENT</x:v>
      </x:c>
      <x:c r="K6831" t="str">
        <x:v>credit_card</x:v>
      </x:c>
      <x:c r="L6831" t="n">
        <x:v>0</x:v>
      </x:c>
      <x:c r="M6831" t="n">
        <x:v>0</x:v>
      </x:c>
      <x:c r="N6831" t="str">
        <x:v>Fully Paid</x:v>
      </x:c>
      <x:c r="O6831" t="str">
        <x:f>IF(D6831="","Unknown",IF(D6831&lt;25000,"&lt;$25k",IF(D6831&lt;50000,"$25k-$50k",IF(D6831&lt;75000,"$50k-$75k",IF(D6831&lt;100000,"$75k-$100k","$100k+")))))</x:f>
        <x:v>$100k+</x:v>
      </x:c>
      <x:c r="P6831" t="str">
        <x:f>IF(E6831="","Unknown",IF(E6831&lt;10,"&lt;10",IF(E6831&lt;20,"10-&lt;20",IF(E6831&lt;25,"20-&lt;25",IF(E6831&lt;35,"25-&lt;35","35+")))))</x:f>
        <x:v>20-&lt;25</x:v>
      </x:c>
    </x:row>
    <x:row r="6832">
      <x:c r="A6832" t="str">
        <x:v>SYN0006831</x:v>
      </x:c>
      <x:c r="B6832" s="12" t="n">
        <x:v>43195</x:v>
      </x:c>
      <x:c r="C6832" s="18" t="n">
        <x:v>9948</x:v>
      </x:c>
      <x:c r="D6832" s="18" t="n">
        <x:v>35032</x:v>
      </x:c>
      <x:c r="E6832" s="18" t="n">
        <x:v>17.78</x:v>
      </x:c>
      <x:c r="F6832" s="18" t="n">
        <x:v>20.47</x:v>
      </x:c>
      <x:c r="G6832" t="n">
        <x:v>36</x:v>
      </x:c>
      <x:c r="H6832" t="str">
        <x:v>E</x:v>
      </x:c>
      <x:c r="I6832" t="str">
        <x:v>4-6 years</x:v>
      </x:c>
      <x:c r="J6832" t="str">
        <x:v>RENT</x:v>
      </x:c>
      <x:c r="K6832" t="str">
        <x:v>credit_card</x:v>
      </x:c>
      <x:c r="L6832" t="n">
        <x:v>0</x:v>
      </x:c>
      <x:c r="M6832" t="n">
        <x:v>1</x:v>
      </x:c>
      <x:c r="N6832" t="str">
        <x:v>Charged Off</x:v>
      </x:c>
      <x:c r="O6832" t="str">
        <x:f>IF(D6832="","Unknown",IF(D6832&lt;25000,"&lt;$25k",IF(D6832&lt;50000,"$25k-$50k",IF(D6832&lt;75000,"$50k-$75k",IF(D6832&lt;100000,"$75k-$100k","$100k+")))))</x:f>
        <x:v>$25k-$50k</x:v>
      </x:c>
      <x:c r="P6832" t="str">
        <x:f>IF(E6832="","Unknown",IF(E6832&lt;10,"&lt;10",IF(E6832&lt;20,"10-&lt;20",IF(E6832&lt;25,"20-&lt;25",IF(E6832&lt;35,"25-&lt;35","35+")))))</x:f>
        <x:v>10-&lt;20</x:v>
      </x:c>
    </x:row>
    <x:row r="6833">
      <x:c r="A6833" t="str">
        <x:v>SYN0006832</x:v>
      </x:c>
      <x:c r="B6833" s="12" t="n">
        <x:v>41725</x:v>
      </x:c>
      <x:c r="C6833" s="18" t="n">
        <x:v>13436</x:v>
      </x:c>
      <x:c r="D6833" s="18" t="n">
        <x:v>49033</x:v>
      </x:c>
      <x:c r="E6833" s="18" t="n">
        <x:v>25.88</x:v>
      </x:c>
      <x:c r="F6833" s="18" t="n">
        <x:v>11.18</x:v>
      </x:c>
      <x:c r="G6833" t="n">
        <x:v>36</x:v>
      </x:c>
      <x:c r="H6833" t="str">
        <x:v>C</x:v>
      </x:c>
      <x:c r="I6833" t="str">
        <x:v>10+ years</x:v>
      </x:c>
      <x:c r="J6833" t="str">
        <x:v>RENT</x:v>
      </x:c>
      <x:c r="K6833" t="str">
        <x:v>debt_consolidation</x:v>
      </x:c>
      <x:c r="L6833" t="n">
        <x:v>2</x:v>
      </x:c>
      <x:c r="M6833" t="n">
        <x:v>0</x:v>
      </x:c>
      <x:c r="N6833" t="str">
        <x:v>Fully Paid</x:v>
      </x:c>
      <x:c r="O6833" t="str">
        <x:f>IF(D6833="","Unknown",IF(D6833&lt;25000,"&lt;$25k",IF(D6833&lt;50000,"$25k-$50k",IF(D6833&lt;75000,"$50k-$75k",IF(D6833&lt;100000,"$75k-$100k","$100k+")))))</x:f>
        <x:v>$25k-$50k</x:v>
      </x:c>
      <x:c r="P6833" t="str">
        <x:f>IF(E6833="","Unknown",IF(E6833&lt;10,"&lt;10",IF(E6833&lt;20,"10-&lt;20",IF(E6833&lt;25,"20-&lt;25",IF(E6833&lt;35,"25-&lt;35","35+")))))</x:f>
        <x:v>25-&lt;35</x:v>
      </x:c>
    </x:row>
    <x:row r="6834">
      <x:c r="A6834" t="str">
        <x:v>SYN0006833</x:v>
      </x:c>
      <x:c r="B6834" s="12" t="n">
        <x:v>42745</x:v>
      </x:c>
      <x:c r="C6834" s="18" t="n">
        <x:v>23945</x:v>
      </x:c>
      <x:c r="D6834" s="18" t="n">
        <x:v>26014</x:v>
      </x:c>
      <x:c r="E6834" s="18" t="n">
        <x:v>15.76</x:v>
      </x:c>
      <x:c r="F6834" s="18" t="n">
        <x:v>7.17</x:v>
      </x:c>
      <x:c r="G6834" t="n">
        <x:v>36</x:v>
      </x:c>
      <x:c r="H6834" t="str">
        <x:v>A</x:v>
      </x:c>
      <x:c r="I6834" t="str">
        <x:v>7-9 years</x:v>
      </x:c>
      <x:c r="J6834" t="str">
        <x:v>RENT</x:v>
      </x:c>
      <x:c r="K6834" t="str">
        <x:v>debt_consolidation</x:v>
      </x:c>
      <x:c r="L6834" t="n">
        <x:v>0</x:v>
      </x:c>
      <x:c r="M6834" t="n">
        <x:v>0</x:v>
      </x:c>
      <x:c r="N6834" t="str">
        <x:v>Fully Paid</x:v>
      </x:c>
      <x:c r="O6834" t="str">
        <x:f>IF(D6834="","Unknown",IF(D6834&lt;25000,"&lt;$25k",IF(D6834&lt;50000,"$25k-$50k",IF(D6834&lt;75000,"$50k-$75k",IF(D6834&lt;100000,"$75k-$100k","$100k+")))))</x:f>
        <x:v>$25k-$50k</x:v>
      </x:c>
      <x:c r="P6834" t="str">
        <x:f>IF(E6834="","Unknown",IF(E6834&lt;10,"&lt;10",IF(E6834&lt;20,"10-&lt;20",IF(E6834&lt;25,"20-&lt;25",IF(E6834&lt;35,"25-&lt;35","35+")))))</x:f>
        <x:v>10-&lt;20</x:v>
      </x:c>
    </x:row>
    <x:row r="6835">
      <x:c r="A6835" t="str">
        <x:v>SYN0006834</x:v>
      </x:c>
      <x:c r="B6835" s="12" t="n">
        <x:v>41485</x:v>
      </x:c>
      <x:c r="C6835" s="18" t="n">
        <x:v>21843</x:v>
      </x:c>
      <x:c r="D6835" s="18" t="n">
        <x:v>58308</x:v>
      </x:c>
      <x:c r="E6835" s="18" t="n">
        <x:v>21.27</x:v>
      </x:c>
      <x:c r="F6835" s="18" t="n">
        <x:v>12.68</x:v>
      </x:c>
      <x:c r="G6835" t="n">
        <x:v>36</x:v>
      </x:c>
      <x:c r="H6835" t="str">
        <x:v>D</x:v>
      </x:c>
      <x:c r="I6835" t="str">
        <x:v>4-6 years</x:v>
      </x:c>
      <x:c r="J6835" t="str">
        <x:v>OWN</x:v>
      </x:c>
      <x:c r="K6835" t="str">
        <x:v>medical</x:v>
      </x:c>
      <x:c r="L6835" t="n">
        <x:v>1</x:v>
      </x:c>
      <x:c r="M6835" t="n">
        <x:v>0</x:v>
      </x:c>
      <x:c r="N6835" t="str">
        <x:v>Fully Paid</x:v>
      </x:c>
      <x:c r="O6835" t="str">
        <x:f>IF(D6835="","Unknown",IF(D6835&lt;25000,"&lt;$25k",IF(D6835&lt;50000,"$25k-$50k",IF(D6835&lt;75000,"$50k-$75k",IF(D6835&lt;100000,"$75k-$100k","$100k+")))))</x:f>
        <x:v>$50k-$75k</x:v>
      </x:c>
      <x:c r="P6835" t="str">
        <x:f>IF(E6835="","Unknown",IF(E6835&lt;10,"&lt;10",IF(E6835&lt;20,"10-&lt;20",IF(E6835&lt;25,"20-&lt;25",IF(E6835&lt;35,"25-&lt;35","35+")))))</x:f>
        <x:v>20-&lt;25</x:v>
      </x:c>
    </x:row>
    <x:row r="6836">
      <x:c r="A6836" t="str">
        <x:v>SYN0006835</x:v>
      </x:c>
      <x:c r="B6836" s="12" t="n">
        <x:v>42235</x:v>
      </x:c>
      <x:c r="C6836" s="18" t="n">
        <x:v>13456</x:v>
      </x:c>
      <x:c r="D6836" s="18" t="n">
        <x:v>35001</x:v>
      </x:c>
      <x:c r="E6836" s="18" t="n">
        <x:v>27.51</x:v>
      </x:c>
      <x:c r="F6836" s="18" t="n">
        <x:v>9.71</x:v>
      </x:c>
      <x:c r="G6836" t="n">
        <x:v>36</x:v>
      </x:c>
      <x:c r="H6836" t="str">
        <x:v>B</x:v>
      </x:c>
      <x:c r="I6836" t="str">
        <x:v>10+ years</x:v>
      </x:c>
      <x:c r="J6836" t="str">
        <x:v>MORTGAGE</x:v>
      </x:c>
      <x:c r="K6836" t="str">
        <x:v>debt_consolidation</x:v>
      </x:c>
      <x:c r="L6836" t="n">
        <x:v>1</x:v>
      </x:c>
      <x:c r="M6836" t="n">
        <x:v>0</x:v>
      </x:c>
      <x:c r="N6836" t="str">
        <x:v>Fully Paid</x:v>
      </x:c>
      <x:c r="O6836" t="str">
        <x:f>IF(D6836="","Unknown",IF(D6836&lt;25000,"&lt;$25k",IF(D6836&lt;50000,"$25k-$50k",IF(D6836&lt;75000,"$50k-$75k",IF(D6836&lt;100000,"$75k-$100k","$100k+")))))</x:f>
        <x:v>$25k-$50k</x:v>
      </x:c>
      <x:c r="P6836" t="str">
        <x:f>IF(E6836="","Unknown",IF(E6836&lt;10,"&lt;10",IF(E6836&lt;20,"10-&lt;20",IF(E6836&lt;25,"20-&lt;25",IF(E6836&lt;35,"25-&lt;35","35+")))))</x:f>
        <x:v>25-&lt;35</x:v>
      </x:c>
    </x:row>
    <x:row r="6837">
      <x:c r="A6837" t="str">
        <x:v>SYN0006836</x:v>
      </x:c>
      <x:c r="B6837" s="12" t="n">
        <x:v>41965</x:v>
      </x:c>
      <x:c r="C6837" s="18" t="n">
        <x:v>8553</x:v>
      </x:c>
      <x:c r="D6837" s="18" t="n">
        <x:v>36687</x:v>
      </x:c>
      <x:c r="E6837" s="18" t="n">
        <x:v>28.25</x:v>
      </x:c>
      <x:c r="F6837" s="18" t="n">
        <x:v>5.64</x:v>
      </x:c>
      <x:c r="G6837" t="n">
        <x:v>36</x:v>
      </x:c>
      <x:c r="H6837" t="str">
        <x:v>A</x:v>
      </x:c>
      <x:c r="I6837" t="str">
        <x:v>7-9 years</x:v>
      </x:c>
      <x:c r="J6837" t="str">
        <x:v>MORTGAGE</x:v>
      </x:c>
      <x:c r="K6837" t="str">
        <x:v>credit_card</x:v>
      </x:c>
      <x:c r="L6837" t="n">
        <x:v>0</x:v>
      </x:c>
      <x:c r="M6837" t="n">
        <x:v>0</x:v>
      </x:c>
      <x:c r="N6837" t="str">
        <x:v>Fully Paid</x:v>
      </x:c>
      <x:c r="O6837" t="str">
        <x:f>IF(D6837="","Unknown",IF(D6837&lt;25000,"&lt;$25k",IF(D6837&lt;50000,"$25k-$50k",IF(D6837&lt;75000,"$50k-$75k",IF(D6837&lt;100000,"$75k-$100k","$100k+")))))</x:f>
        <x:v>$25k-$50k</x:v>
      </x:c>
      <x:c r="P6837" t="str">
        <x:f>IF(E6837="","Unknown",IF(E6837&lt;10,"&lt;10",IF(E6837&lt;20,"10-&lt;20",IF(E6837&lt;25,"20-&lt;25",IF(E6837&lt;35,"25-&lt;35","35+")))))</x:f>
        <x:v>25-&lt;35</x:v>
      </x:c>
    </x:row>
    <x:row r="6838">
      <x:c r="A6838" t="str">
        <x:v>SYN0006837</x:v>
      </x:c>
      <x:c r="B6838" s="12" t="n">
        <x:v>41995</x:v>
      </x:c>
      <x:c r="C6838" s="18" t="n">
        <x:v>14293</x:v>
      </x:c>
      <x:c r="D6838" s="18" t="n">
        <x:v>50081</x:v>
      </x:c>
      <x:c r="E6838" s="18" t="n">
        <x:v>29.8</x:v>
      </x:c>
      <x:c r="F6838" s="18" t="n">
        <x:v>14.39</x:v>
      </x:c>
      <x:c r="G6838" t="n">
        <x:v>36</x:v>
      </x:c>
      <x:c r="H6838" t="str">
        <x:v>D</x:v>
      </x:c>
      <x:c r="I6838" t="str">
        <x:v>7-9 years</x:v>
      </x:c>
      <x:c r="J6838" t="str">
        <x:v>MORTGAGE</x:v>
      </x:c>
      <x:c r="K6838" t="str">
        <x:v>debt_consolidation</x:v>
      </x:c>
      <x:c r="L6838" t="n">
        <x:v>2</x:v>
      </x:c>
      <x:c r="M6838" t="n">
        <x:v>1</x:v>
      </x:c>
      <x:c r="N6838" t="str">
        <x:v>Charged Off</x:v>
      </x:c>
      <x:c r="O6838" t="str">
        <x:f>IF(D6838="","Unknown",IF(D6838&lt;25000,"&lt;$25k",IF(D6838&lt;50000,"$25k-$50k",IF(D6838&lt;75000,"$50k-$75k",IF(D6838&lt;100000,"$75k-$100k","$100k+")))))</x:f>
        <x:v>$50k-$75k</x:v>
      </x:c>
      <x:c r="P6838" t="str">
        <x:f>IF(E6838="","Unknown",IF(E6838&lt;10,"&lt;10",IF(E6838&lt;20,"10-&lt;20",IF(E6838&lt;25,"20-&lt;25",IF(E6838&lt;35,"25-&lt;35","35+")))))</x:f>
        <x:v>25-&lt;35</x:v>
      </x:c>
    </x:row>
    <x:row r="6839">
      <x:c r="A6839" t="str">
        <x:v>SYN0006838</x:v>
      </x:c>
      <x:c r="B6839" s="12" t="n">
        <x:v>41875</x:v>
      </x:c>
      <x:c r="C6839" s="18" t="n">
        <x:v>7467</x:v>
      </x:c>
      <x:c r="D6839" s="18" t="n">
        <x:v>24792</x:v>
      </x:c>
      <x:c r="E6839" s="18" t="n">
        <x:v>24</x:v>
      </x:c>
      <x:c r="F6839" s="18" t="n">
        <x:v>15.29</x:v>
      </x:c>
      <x:c r="G6839" t="n">
        <x:v>36</x:v>
      </x:c>
      <x:c r="H6839" t="str">
        <x:v>D</x:v>
      </x:c>
      <x:c r="I6839" t="str">
        <x:v>4-6 years</x:v>
      </x:c>
      <x:c r="J6839" t="str">
        <x:v>OWN</x:v>
      </x:c>
      <x:c r="K6839" t="str">
        <x:v>debt_consolidation</x:v>
      </x:c>
      <x:c r="L6839" t="n">
        <x:v>2</x:v>
      </x:c>
      <x:c r="M6839" t="n">
        <x:v>0</x:v>
      </x:c>
      <x:c r="N6839" t="str">
        <x:v>Fully Paid</x:v>
      </x:c>
      <x:c r="O6839" t="str">
        <x:f>IF(D6839="","Unknown",IF(D6839&lt;25000,"&lt;$25k",IF(D6839&lt;50000,"$25k-$50k",IF(D6839&lt;75000,"$50k-$75k",IF(D6839&lt;100000,"$75k-$100k","$100k+")))))</x:f>
        <x:v>&lt;$25k</x:v>
      </x:c>
      <x:c r="P6839" t="str">
        <x:f>IF(E6839="","Unknown",IF(E6839&lt;10,"&lt;10",IF(E6839&lt;20,"10-&lt;20",IF(E6839&lt;25,"20-&lt;25",IF(E6839&lt;35,"25-&lt;35","35+")))))</x:f>
        <x:v>20-&lt;25</x:v>
      </x:c>
    </x:row>
    <x:row r="6840">
      <x:c r="A6840" t="str">
        <x:v>SYN0006839</x:v>
      </x:c>
      <x:c r="B6840" s="12" t="n">
        <x:v>42205</x:v>
      </x:c>
      <x:c r="C6840" s="18" t="n">
        <x:v>27783</x:v>
      </x:c>
      <x:c r="D6840" s="18" t="n">
        <x:v>250000</x:v>
      </x:c>
      <x:c r="E6840" s="18" t="n">
        <x:v>18.77</x:v>
      </x:c>
      <x:c r="F6840" s="18" t="n">
        <x:v>13.85</x:v>
      </x:c>
      <x:c r="G6840" t="n">
        <x:v>36</x:v>
      </x:c>
      <x:c r="H6840" t="str">
        <x:v>C</x:v>
      </x:c>
      <x:c r="I6840" t="str">
        <x:v>10+ years</x:v>
      </x:c>
      <x:c r="J6840" t="str">
        <x:v>MORTGAGE</x:v>
      </x:c>
      <x:c r="K6840" t="str">
        <x:v>home_improvement</x:v>
      </x:c>
      <x:c r="L6840" t="n">
        <x:v>0</x:v>
      </x:c>
      <x:c r="M6840" t="n">
        <x:v>1</x:v>
      </x:c>
      <x:c r="N6840" t="str">
        <x:v>Charged Off</x:v>
      </x:c>
      <x:c r="O6840" t="str">
        <x:f>IF(D6840="","Unknown",IF(D6840&lt;25000,"&lt;$25k",IF(D6840&lt;50000,"$25k-$50k",IF(D6840&lt;75000,"$50k-$75k",IF(D6840&lt;100000,"$75k-$100k","$100k+")))))</x:f>
        <x:v>$100k+</x:v>
      </x:c>
      <x:c r="P6840" t="str">
        <x:f>IF(E6840="","Unknown",IF(E6840&lt;10,"&lt;10",IF(E6840&lt;20,"10-&lt;20",IF(E6840&lt;25,"20-&lt;25",IF(E6840&lt;35,"25-&lt;35","35+")))))</x:f>
        <x:v>10-&lt;20</x:v>
      </x:c>
    </x:row>
    <x:row r="6841">
      <x:c r="A6841" t="str">
        <x:v>SYN0006840</x:v>
      </x:c>
      <x:c r="B6841" s="12" t="n">
        <x:v>42775</x:v>
      </x:c>
      <x:c r="C6841" s="18" t="n">
        <x:v>5046</x:v>
      </x:c>
      <x:c r="D6841" s="18" t="n">
        <x:v>104636</x:v>
      </x:c>
      <x:c r="E6841" s="18" t="n">
        <x:v>12.62</x:v>
      </x:c>
      <x:c r="F6841" s="18" t="n">
        <x:v>11.92</x:v>
      </x:c>
      <x:c r="G6841" t="n">
        <x:v>36</x:v>
      </x:c>
      <x:c r="H6841" t="str">
        <x:v>C</x:v>
      </x:c>
      <x:c r="I6841" t="str">
        <x:v>&lt;1 year</x:v>
      </x:c>
      <x:c r="J6841" t="str">
        <x:v>MORTGAGE</x:v>
      </x:c>
      <x:c r="K6841" t="str">
        <x:v>debt_consolidation</x:v>
      </x:c>
      <x:c r="L6841" t="n">
        <x:v>0</x:v>
      </x:c>
      <x:c r="M6841" t="n">
        <x:v>0</x:v>
      </x:c>
      <x:c r="N6841" t="str">
        <x:v>Fully Paid</x:v>
      </x:c>
      <x:c r="O6841" t="str">
        <x:f>IF(D6841="","Unknown",IF(D6841&lt;25000,"&lt;$25k",IF(D6841&lt;50000,"$25k-$50k",IF(D6841&lt;75000,"$50k-$75k",IF(D6841&lt;100000,"$75k-$100k","$100k+")))))</x:f>
        <x:v>$100k+</x:v>
      </x:c>
      <x:c r="P6841" t="str">
        <x:f>IF(E6841="","Unknown",IF(E6841&lt;10,"&lt;10",IF(E6841&lt;20,"10-&lt;20",IF(E6841&lt;25,"20-&lt;25",IF(E6841&lt;35,"25-&lt;35","35+")))))</x:f>
        <x:v>10-&lt;20</x:v>
      </x:c>
    </x:row>
    <x:row r="6842">
      <x:c r="A6842" t="str">
        <x:v>SYN0006841</x:v>
      </x:c>
      <x:c r="B6842" s="12" t="n">
        <x:v>43165</x:v>
      </x:c>
      <x:c r="C6842" s="18" t="n">
        <x:v>8101</x:v>
      </x:c>
      <x:c r="D6842" s="18" t="n">
        <x:v>82253</x:v>
      </x:c>
      <x:c r="E6842" s="18" t="n">
        <x:v>27.42</x:v>
      </x:c>
      <x:c r="F6842" s="18" t="n">
        <x:v>17.16</x:v>
      </x:c>
      <x:c r="G6842" t="n">
        <x:v>60</x:v>
      </x:c>
      <x:c r="H6842" t="str">
        <x:v>E</x:v>
      </x:c>
      <x:c r="I6842" t="str">
        <x:v>4-6 years</x:v>
      </x:c>
      <x:c r="J6842" t="str">
        <x:v>OTHER</x:v>
      </x:c>
      <x:c r="K6842" t="str">
        <x:v>debt_consolidation</x:v>
      </x:c>
      <x:c r="L6842" t="n">
        <x:v>0</x:v>
      </x:c>
      <x:c r="M6842" t="n">
        <x:v>0</x:v>
      </x:c>
      <x:c r="N6842" t="str">
        <x:v>Fully Paid</x:v>
      </x:c>
      <x:c r="O6842" t="str">
        <x:f>IF(D6842="","Unknown",IF(D6842&lt;25000,"&lt;$25k",IF(D6842&lt;50000,"$25k-$50k",IF(D6842&lt;75000,"$50k-$75k",IF(D6842&lt;100000,"$75k-$100k","$100k+")))))</x:f>
        <x:v>$75k-$100k</x:v>
      </x:c>
      <x:c r="P6842" t="str">
        <x:f>IF(E6842="","Unknown",IF(E6842&lt;10,"&lt;10",IF(E6842&lt;20,"10-&lt;20",IF(E6842&lt;25,"20-&lt;25",IF(E6842&lt;35,"25-&lt;35","35+")))))</x:f>
        <x:v>25-&lt;35</x:v>
      </x:c>
    </x:row>
    <x:row r="6843">
      <x:c r="A6843" t="str">
        <x:v>SYN0006842</x:v>
      </x:c>
      <x:c r="B6843" s="12" t="n">
        <x:v>41875</x:v>
      </x:c>
      <x:c r="C6843" s="18" t="n">
        <x:v>23711</x:v>
      </x:c>
      <x:c r="D6843" s="18" t="n">
        <x:v>66278</x:v>
      </x:c>
      <x:c r="E6843" s="18" t="n">
        <x:v>0</x:v>
      </x:c>
      <x:c r="F6843" s="18" t="n">
        <x:v>5.38</x:v>
      </x:c>
      <x:c r="G6843" t="n">
        <x:v>60</x:v>
      </x:c>
      <x:c r="H6843" t="str">
        <x:v>A</x:v>
      </x:c>
      <x:c r="I6843" t="str">
        <x:v>1-3 years</x:v>
      </x:c>
      <x:c r="J6843" t="str">
        <x:v>MORTGAGE</x:v>
      </x:c>
      <x:c r="K6843" t="str">
        <x:v>debt_consolidation</x:v>
      </x:c>
      <x:c r="L6843" t="n">
        <x:v>2</x:v>
      </x:c>
      <x:c r="M6843" t="n">
        <x:v>0</x:v>
      </x:c>
      <x:c r="N6843" t="str">
        <x:v>Fully Paid</x:v>
      </x:c>
      <x:c r="O6843" t="str">
        <x:f>IF(D6843="","Unknown",IF(D6843&lt;25000,"&lt;$25k",IF(D6843&lt;50000,"$25k-$50k",IF(D6843&lt;75000,"$50k-$75k",IF(D6843&lt;100000,"$75k-$100k","$100k+")))))</x:f>
        <x:v>$50k-$75k</x:v>
      </x:c>
      <x:c r="P6843" t="str">
        <x:f>IF(E6843="","Unknown",IF(E6843&lt;10,"&lt;10",IF(E6843&lt;20,"10-&lt;20",IF(E6843&lt;25,"20-&lt;25",IF(E6843&lt;35,"25-&lt;35","35+")))))</x:f>
        <x:v>Unknown</x:v>
      </x:c>
    </x:row>
    <x:row r="6844">
      <x:c r="A6844" t="str">
        <x:v>SYN0006843</x:v>
      </x:c>
      <x:c r="B6844" s="12" t="n">
        <x:v>42655</x:v>
      </x:c>
      <x:c r="C6844" s="18" t="n">
        <x:v>11733</x:v>
      </x:c>
      <x:c r="D6844" s="18" t="n">
        <x:v>47535</x:v>
      </x:c>
      <x:c r="E6844" s="18" t="n">
        <x:v>18.89</x:v>
      </x:c>
      <x:c r="F6844" s="18" t="n">
        <x:v>5.63</x:v>
      </x:c>
      <x:c r="G6844" t="n">
        <x:v>60</x:v>
      </x:c>
      <x:c r="H6844" t="str">
        <x:v>A</x:v>
      </x:c>
      <x:c r="I6844" t="str">
        <x:v>1-3 years</x:v>
      </x:c>
      <x:c r="J6844" t="str">
        <x:v>RENT</x:v>
      </x:c>
      <x:c r="K6844" t="str">
        <x:v>debt_consolidation</x:v>
      </x:c>
      <x:c r="L6844" t="n">
        <x:v>0</x:v>
      </x:c>
      <x:c r="M6844" t="n">
        <x:v>0</x:v>
      </x:c>
      <x:c r="N6844" t="str">
        <x:v>Fully Paid</x:v>
      </x:c>
      <x:c r="O6844" t="str">
        <x:f>IF(D6844="","Unknown",IF(D6844&lt;25000,"&lt;$25k",IF(D6844&lt;50000,"$25k-$50k",IF(D6844&lt;75000,"$50k-$75k",IF(D6844&lt;100000,"$75k-$100k","$100k+")))))</x:f>
        <x:v>$25k-$50k</x:v>
      </x:c>
      <x:c r="P6844" t="str">
        <x:f>IF(E6844="","Unknown",IF(E6844&lt;10,"&lt;10",IF(E6844&lt;20,"10-&lt;20",IF(E6844&lt;25,"20-&lt;25",IF(E6844&lt;35,"25-&lt;35","35+")))))</x:f>
        <x:v>10-&lt;20</x:v>
      </x:c>
    </x:row>
    <x:row r="6845">
      <x:c r="A6845" t="str">
        <x:v>SYN0006844</x:v>
      </x:c>
      <x:c r="B6845" s="12" t="n">
        <x:v>41995</x:v>
      </x:c>
      <x:c r="C6845" s="18" t="n">
        <x:v>13558</x:v>
      </x:c>
      <x:c r="D6845" s="18" t="n">
        <x:v>38027</x:v>
      </x:c>
      <x:c r="E6845" s="18" t="n">
        <x:v>16.55</x:v>
      </x:c>
      <x:c r="F6845" s="18" t="n">
        <x:v>22.01</x:v>
      </x:c>
      <x:c r="G6845" t="n">
        <x:v>36</x:v>
      </x:c>
      <x:c r="H6845" t="str">
        <x:v>F</x:v>
      </x:c>
      <x:c r="I6845" t="str">
        <x:v>1-3 years</x:v>
      </x:c>
      <x:c r="J6845" t="str">
        <x:v>RENT</x:v>
      </x:c>
      <x:c r="K6845" t="str">
        <x:v>debt_consolidation</x:v>
      </x:c>
      <x:c r="L6845" t="n">
        <x:v>1</x:v>
      </x:c>
      <x:c r="M6845" t="n">
        <x:v>1</x:v>
      </x:c>
      <x:c r="N6845" t="str">
        <x:v>Charged Off</x:v>
      </x:c>
      <x:c r="O6845" t="str">
        <x:f>IF(D6845="","Unknown",IF(D6845&lt;25000,"&lt;$25k",IF(D6845&lt;50000,"$25k-$50k",IF(D6845&lt;75000,"$50k-$75k",IF(D6845&lt;100000,"$75k-$100k","$100k+")))))</x:f>
        <x:v>$25k-$50k</x:v>
      </x:c>
      <x:c r="P6845" t="str">
        <x:f>IF(E6845="","Unknown",IF(E6845&lt;10,"&lt;10",IF(E6845&lt;20,"10-&lt;20",IF(E6845&lt;25,"20-&lt;25",IF(E6845&lt;35,"25-&lt;35","35+")))))</x:f>
        <x:v>10-&lt;20</x:v>
      </x:c>
    </x:row>
    <x:row r="6846">
      <x:c r="A6846" t="str">
        <x:v>SYN0006845</x:v>
      </x:c>
      <x:c r="B6846" s="12" t="n">
        <x:v>42295</x:v>
      </x:c>
      <x:c r="C6846" s="18" t="n">
        <x:v>19363</x:v>
      </x:c>
      <x:c r="D6846" s="18" t="n">
        <x:v>65067</x:v>
      </x:c>
      <x:c r="E6846" s="18" t="n">
        <x:v>13.8</x:v>
      </x:c>
      <x:c r="F6846" s="18" t="n">
        <x:v>7.35</x:v>
      </x:c>
      <x:c r="G6846" t="n">
        <x:v>36</x:v>
      </x:c>
      <x:c r="H6846" t="str">
        <x:v>B</x:v>
      </x:c>
      <x:c r="I6846" t="str">
        <x:v>&lt;1 year</x:v>
      </x:c>
      <x:c r="J6846" t="str">
        <x:v>MORTGAGE</x:v>
      </x:c>
      <x:c r="K6846" t="str">
        <x:v>other</x:v>
      </x:c>
      <x:c r="L6846" t="n">
        <x:v>0</x:v>
      </x:c>
      <x:c r="M6846" t="n">
        <x:v>0</x:v>
      </x:c>
      <x:c r="N6846" t="str">
        <x:v>Fully Paid</x:v>
      </x:c>
      <x:c r="O6846" t="str">
        <x:f>IF(D6846="","Unknown",IF(D6846&lt;25000,"&lt;$25k",IF(D6846&lt;50000,"$25k-$50k",IF(D6846&lt;75000,"$50k-$75k",IF(D6846&lt;100000,"$75k-$100k","$100k+")))))</x:f>
        <x:v>$50k-$75k</x:v>
      </x:c>
      <x:c r="P6846" t="str">
        <x:f>IF(E6846="","Unknown",IF(E6846&lt;10,"&lt;10",IF(E6846&lt;20,"10-&lt;20",IF(E6846&lt;25,"20-&lt;25",IF(E6846&lt;35,"25-&lt;35","35+")))))</x:f>
        <x:v>10-&lt;20</x:v>
      </x:c>
    </x:row>
    <x:row r="6847">
      <x:c r="A6847" t="str">
        <x:v>SYN0006846</x:v>
      </x:c>
      <x:c r="B6847" s="12" t="n">
        <x:v>41725</x:v>
      </x:c>
      <x:c r="C6847" s="18" t="n">
        <x:v>21472</x:v>
      </x:c>
      <x:c r="D6847" s="18" t="n">
        <x:v>35615</x:v>
      </x:c>
      <x:c r="E6847" s="18" t="n">
        <x:v>25.13</x:v>
      </x:c>
      <x:c r="F6847" s="18" t="n">
        <x:v>10.87</x:v>
      </x:c>
      <x:c r="G6847" t="n">
        <x:v>36</x:v>
      </x:c>
      <x:c r="H6847" t="str">
        <x:v>D</x:v>
      </x:c>
      <x:c r="I6847" t="str">
        <x:v>4-6 years</x:v>
      </x:c>
      <x:c r="J6847" t="str">
        <x:v>MORTGAGE</x:v>
      </x:c>
      <x:c r="K6847" t="str">
        <x:v>debt_consolidation</x:v>
      </x:c>
      <x:c r="L6847" t="n">
        <x:v>0</x:v>
      </x:c>
      <x:c r="M6847" t="n">
        <x:v>0</x:v>
      </x:c>
      <x:c r="N6847" t="str">
        <x:v>Fully Paid</x:v>
      </x:c>
      <x:c r="O6847" t="str">
        <x:f>IF(D6847="","Unknown",IF(D6847&lt;25000,"&lt;$25k",IF(D6847&lt;50000,"$25k-$50k",IF(D6847&lt;75000,"$50k-$75k",IF(D6847&lt;100000,"$75k-$100k","$100k+")))))</x:f>
        <x:v>$25k-$50k</x:v>
      </x:c>
      <x:c r="P6847" t="str">
        <x:f>IF(E6847="","Unknown",IF(E6847&lt;10,"&lt;10",IF(E6847&lt;20,"10-&lt;20",IF(E6847&lt;25,"20-&lt;25",IF(E6847&lt;35,"25-&lt;35","35+")))))</x:f>
        <x:v>25-&lt;35</x:v>
      </x:c>
    </x:row>
    <x:row r="6848">
      <x:c r="A6848" t="str">
        <x:v>SYN0006847</x:v>
      </x:c>
      <x:c r="B6848" s="12" t="n">
        <x:v>41695</x:v>
      </x:c>
      <x:c r="C6848" s="18" t="n">
        <x:v>11516</x:v>
      </x:c>
      <x:c r="D6848" s="18" t="n">
        <x:v>175227</x:v>
      </x:c>
      <x:c r="E6848" s="18" t="n">
        <x:v>4.54</x:v>
      </x:c>
      <x:c r="F6848" s="18" t="n">
        <x:v>8.96</x:v>
      </x:c>
      <x:c r="G6848" t="n">
        <x:v>60</x:v>
      </x:c>
      <x:c r="H6848" t="str">
        <x:v>B</x:v>
      </x:c>
      <x:c r="I6848" t="str">
        <x:v>7-9 years</x:v>
      </x:c>
      <x:c r="J6848" t="str">
        <x:v>OWN</x:v>
      </x:c>
      <x:c r="K6848" t="str">
        <x:v>debt_consolidation</x:v>
      </x:c>
      <x:c r="L6848" t="n">
        <x:v>0</x:v>
      </x:c>
      <x:c r="M6848" t="n">
        <x:v>0</x:v>
      </x:c>
      <x:c r="N6848" t="str">
        <x:v>Fully Paid</x:v>
      </x:c>
      <x:c r="O6848" t="str">
        <x:f>IF(D6848="","Unknown",IF(D6848&lt;25000,"&lt;$25k",IF(D6848&lt;50000,"$25k-$50k",IF(D6848&lt;75000,"$50k-$75k",IF(D6848&lt;100000,"$75k-$100k","$100k+")))))</x:f>
        <x:v>$100k+</x:v>
      </x:c>
      <x:c r="P6848" t="str">
        <x:f>IF(E6848="","Unknown",IF(E6848&lt;10,"&lt;10",IF(E6848&lt;20,"10-&lt;20",IF(E6848&lt;25,"20-&lt;25",IF(E6848&lt;35,"25-&lt;35","35+")))))</x:f>
        <x:v>&lt;10</x:v>
      </x:c>
    </x:row>
    <x:row r="6849">
      <x:c r="A6849" t="str">
        <x:v>SYN0006848</x:v>
      </x:c>
      <x:c r="B6849" s="12" t="n">
        <x:v>42625</x:v>
      </x:c>
      <x:c r="C6849" s="18" t="n">
        <x:v>34660</x:v>
      </x:c>
      <x:c r="D6849" s="18" t="n">
        <x:v>86072</x:v>
      </x:c>
      <x:c r="E6849" s="18" t="n">
        <x:v>21.18</x:v>
      </x:c>
      <x:c r="F6849" s="18" t="n">
        <x:v>11.17</x:v>
      </x:c>
      <x:c r="G6849" t="n">
        <x:v>36</x:v>
      </x:c>
      <x:c r="H6849" t="str">
        <x:v>C</x:v>
      </x:c>
      <x:c r="I6849" t="str">
        <x:v>4-6 years</x:v>
      </x:c>
      <x:c r="J6849" t="str">
        <x:v>OWN</x:v>
      </x:c>
      <x:c r="K6849" t="str">
        <x:v>debt_consolidation</x:v>
      </x:c>
      <x:c r="L6849" t="n">
        <x:v>0</x:v>
      </x:c>
      <x:c r="M6849" t="n">
        <x:v>0</x:v>
      </x:c>
      <x:c r="N6849" t="str">
        <x:v>Fully Paid</x:v>
      </x:c>
      <x:c r="O6849" t="str">
        <x:f>IF(D6849="","Unknown",IF(D6849&lt;25000,"&lt;$25k",IF(D6849&lt;50000,"$25k-$50k",IF(D6849&lt;75000,"$50k-$75k",IF(D6849&lt;100000,"$75k-$100k","$100k+")))))</x:f>
        <x:v>$75k-$100k</x:v>
      </x:c>
      <x:c r="P6849" t="str">
        <x:f>IF(E6849="","Unknown",IF(E6849&lt;10,"&lt;10",IF(E6849&lt;20,"10-&lt;20",IF(E6849&lt;25,"20-&lt;25",IF(E6849&lt;35,"25-&lt;35","35+")))))</x:f>
        <x:v>20-&lt;25</x:v>
      </x:c>
    </x:row>
    <x:row r="6850">
      <x:c r="A6850" t="str">
        <x:v>SYN0006849</x:v>
      </x:c>
      <x:c r="B6850" s="12" t="n">
        <x:v>41695</x:v>
      </x:c>
      <x:c r="C6850" s="18" t="n">
        <x:v>5071</x:v>
      </x:c>
      <x:c r="D6850" s="18" t="n">
        <x:v>52988</x:v>
      </x:c>
      <x:c r="E6850" s="18" t="n">
        <x:v>14.85</x:v>
      </x:c>
      <x:c r="F6850" s="18" t="n">
        <x:v>5</x:v>
      </x:c>
      <x:c r="G6850" t="n">
        <x:v>36</x:v>
      </x:c>
      <x:c r="H6850" t="str">
        <x:v>A</x:v>
      </x:c>
      <x:c r="I6850" t="str">
        <x:v>1-3 years</x:v>
      </x:c>
      <x:c r="J6850" t="str">
        <x:v>MORTGAGE</x:v>
      </x:c>
      <x:c r="K6850" t="str">
        <x:v>home_improvement</x:v>
      </x:c>
      <x:c r="L6850" t="n">
        <x:v>0</x:v>
      </x:c>
      <x:c r="M6850" t="n">
        <x:v>0</x:v>
      </x:c>
      <x:c r="N6850" t="str">
        <x:v>Fully Paid</x:v>
      </x:c>
      <x:c r="O6850" t="str">
        <x:f>IF(D6850="","Unknown",IF(D6850&lt;25000,"&lt;$25k",IF(D6850&lt;50000,"$25k-$50k",IF(D6850&lt;75000,"$50k-$75k",IF(D6850&lt;100000,"$75k-$100k","$100k+")))))</x:f>
        <x:v>$50k-$75k</x:v>
      </x:c>
      <x:c r="P6850" t="str">
        <x:f>IF(E6850="","Unknown",IF(E6850&lt;10,"&lt;10",IF(E6850&lt;20,"10-&lt;20",IF(E6850&lt;25,"20-&lt;25",IF(E6850&lt;35,"25-&lt;35","35+")))))</x:f>
        <x:v>10-&lt;20</x:v>
      </x:c>
    </x:row>
    <x:row r="6851">
      <x:c r="A6851" t="str">
        <x:v>SYN0006850</x:v>
      </x:c>
      <x:c r="B6851" s="12" t="n">
        <x:v>42175</x:v>
      </x:c>
      <x:c r="C6851" s="18" t="n">
        <x:v>16757</x:v>
      </x:c>
      <x:c r="D6851" s="18" t="n">
        <x:v>16463</x:v>
      </x:c>
      <x:c r="E6851" s="18" t="n">
        <x:v>20.48</x:v>
      </x:c>
      <x:c r="F6851" s="18" t="n">
        <x:v>7.82</x:v>
      </x:c>
      <x:c r="G6851" t="n">
        <x:v>36</x:v>
      </x:c>
      <x:c r="H6851" t="str">
        <x:v>B</x:v>
      </x:c>
      <x:c r="I6851" t="str">
        <x:v>&lt;1 year</x:v>
      </x:c>
      <x:c r="J6851" t="str">
        <x:v>OWN</x:v>
      </x:c>
      <x:c r="K6851" t="str">
        <x:v>debt_consolidation</x:v>
      </x:c>
      <x:c r="L6851" t="n">
        <x:v>2</x:v>
      </x:c>
      <x:c r="M6851" t="n">
        <x:v>1</x:v>
      </x:c>
      <x:c r="N6851" t="str">
        <x:v>Charged Off</x:v>
      </x:c>
      <x:c r="O6851" t="str">
        <x:f>IF(D6851="","Unknown",IF(D6851&lt;25000,"&lt;$25k",IF(D6851&lt;50000,"$25k-$50k",IF(D6851&lt;75000,"$50k-$75k",IF(D6851&lt;100000,"$75k-$100k","$100k+")))))</x:f>
        <x:v>&lt;$25k</x:v>
      </x:c>
      <x:c r="P6851" t="str">
        <x:f>IF(E6851="","Unknown",IF(E6851&lt;10,"&lt;10",IF(E6851&lt;20,"10-&lt;20",IF(E6851&lt;25,"20-&lt;25",IF(E6851&lt;35,"25-&lt;35","35+")))))</x:f>
        <x:v>20-&lt;25</x:v>
      </x:c>
    </x:row>
    <x:row r="6852">
      <x:c r="A6852" t="str">
        <x:v>SYN0006851</x:v>
      </x:c>
      <x:c r="B6852" s="12" t="n">
        <x:v>43315</x:v>
      </x:c>
      <x:c r="C6852" s="18" t="n">
        <x:v>4736</x:v>
      </x:c>
      <x:c r="D6852" s="18" t="n">
        <x:v>44730</x:v>
      </x:c>
      <x:c r="E6852" s="18" t="n">
        <x:v>25.28</x:v>
      </x:c>
      <x:c r="F6852" s="18" t="n">
        <x:v>17.08</x:v>
      </x:c>
      <x:c r="G6852" t="n">
        <x:v>36</x:v>
      </x:c>
      <x:c r="H6852" t="str">
        <x:v>D</x:v>
      </x:c>
      <x:c r="I6852" t="str">
        <x:v>7-9 years</x:v>
      </x:c>
      <x:c r="J6852" t="str">
        <x:v>MORTGAGE</x:v>
      </x:c>
      <x:c r="K6852" t="str">
        <x:v>home_improvement</x:v>
      </x:c>
      <x:c r="L6852" t="n">
        <x:v>1</x:v>
      </x:c>
      <x:c r="M6852" t="n">
        <x:v>0</x:v>
      </x:c>
      <x:c r="N6852" t="str">
        <x:v>Fully Paid</x:v>
      </x:c>
      <x:c r="O6852" t="str">
        <x:f>IF(D6852="","Unknown",IF(D6852&lt;25000,"&lt;$25k",IF(D6852&lt;50000,"$25k-$50k",IF(D6852&lt;75000,"$50k-$75k",IF(D6852&lt;100000,"$75k-$100k","$100k+")))))</x:f>
        <x:v>$25k-$50k</x:v>
      </x:c>
      <x:c r="P6852" t="str">
        <x:f>IF(E6852="","Unknown",IF(E6852&lt;10,"&lt;10",IF(E6852&lt;20,"10-&lt;20",IF(E6852&lt;25,"20-&lt;25",IF(E6852&lt;35,"25-&lt;35","35+")))))</x:f>
        <x:v>25-&lt;35</x:v>
      </x:c>
    </x:row>
    <x:row r="6853">
      <x:c r="A6853" t="str">
        <x:v>SYN0006852</x:v>
      </x:c>
      <x:c r="B6853" s="12" t="n">
        <x:v>43405</x:v>
      </x:c>
      <x:c r="C6853" s="18" t="n">
        <x:v>17025</x:v>
      </x:c>
      <x:c r="D6853" s="18" t="n">
        <x:v>35351</x:v>
      </x:c>
      <x:c r="E6853" s="18" t="n">
        <x:v>23.7</x:v>
      </x:c>
      <x:c r="F6853" s="18" t="n">
        <x:v>9.34</x:v>
      </x:c>
      <x:c r="G6853" t="n">
        <x:v>36</x:v>
      </x:c>
      <x:c r="H6853" t="str">
        <x:v>B</x:v>
      </x:c>
      <x:c r="I6853" t="str">
        <x:v>4-6 years</x:v>
      </x:c>
      <x:c r="J6853" t="str">
        <x:v>MORTGAGE</x:v>
      </x:c>
      <x:c r="K6853" t="str">
        <x:v>credit_card</x:v>
      </x:c>
      <x:c r="L6853" t="n">
        <x:v>0</x:v>
      </x:c>
      <x:c r="M6853" t="n">
        <x:v>0</x:v>
      </x:c>
      <x:c r="N6853" t="str">
        <x:v>Fully Paid</x:v>
      </x:c>
      <x:c r="O6853" t="str">
        <x:f>IF(D6853="","Unknown",IF(D6853&lt;25000,"&lt;$25k",IF(D6853&lt;50000,"$25k-$50k",IF(D6853&lt;75000,"$50k-$75k",IF(D6853&lt;100000,"$75k-$100k","$100k+")))))</x:f>
        <x:v>$25k-$50k</x:v>
      </x:c>
      <x:c r="P6853" t="str">
        <x:f>IF(E6853="","Unknown",IF(E6853&lt;10,"&lt;10",IF(E6853&lt;20,"10-&lt;20",IF(E6853&lt;25,"20-&lt;25",IF(E6853&lt;35,"25-&lt;35","35+")))))</x:f>
        <x:v>20-&lt;25</x:v>
      </x:c>
    </x:row>
    <x:row r="6854">
      <x:c r="A6854" t="str">
        <x:v>SYN0006853</x:v>
      </x:c>
      <x:c r="B6854" s="12" t="n">
        <x:v>42985</x:v>
      </x:c>
      <x:c r="C6854" s="18" t="n">
        <x:v>16453</x:v>
      </x:c>
      <x:c r="D6854" s="18" t="n">
        <x:v>58932</x:v>
      </x:c>
      <x:c r="E6854" s="18" t="n">
        <x:v>13.91</x:v>
      </x:c>
      <x:c r="F6854" s="18" t="n">
        <x:v>7.83</x:v>
      </x:c>
      <x:c r="G6854" t="n">
        <x:v>36</x:v>
      </x:c>
      <x:c r="H6854" t="str">
        <x:v>B</x:v>
      </x:c>
      <x:c r="I6854" t="str">
        <x:v>10+ years</x:v>
      </x:c>
      <x:c r="J6854" t="str">
        <x:v>RENT</x:v>
      </x:c>
      <x:c r="K6854" t="str">
        <x:v>home_improvement</x:v>
      </x:c>
      <x:c r="L6854" t="n">
        <x:v>0</x:v>
      </x:c>
      <x:c r="M6854" t="n">
        <x:v>0</x:v>
      </x:c>
      <x:c r="N6854" t="str">
        <x:v>Fully Paid</x:v>
      </x:c>
      <x:c r="O6854" t="str">
        <x:f>IF(D6854="","Unknown",IF(D6854&lt;25000,"&lt;$25k",IF(D6854&lt;50000,"$25k-$50k",IF(D6854&lt;75000,"$50k-$75k",IF(D6854&lt;100000,"$75k-$100k","$100k+")))))</x:f>
        <x:v>$50k-$75k</x:v>
      </x:c>
      <x:c r="P6854" t="str">
        <x:f>IF(E6854="","Unknown",IF(E6854&lt;10,"&lt;10",IF(E6854&lt;20,"10-&lt;20",IF(E6854&lt;25,"20-&lt;25",IF(E6854&lt;35,"25-&lt;35","35+")))))</x:f>
        <x:v>10-&lt;20</x:v>
      </x:c>
    </x:row>
    <x:row r="6855">
      <x:c r="A6855" t="str">
        <x:v>SYN0006854</x:v>
      </x:c>
      <x:c r="B6855" s="12" t="n">
        <x:v>41965</x:v>
      </x:c>
      <x:c r="C6855" s="18" t="n">
        <x:v>12825</x:v>
      </x:c>
      <x:c r="D6855" s="18" t="n">
        <x:v>57839</x:v>
      </x:c>
      <x:c r="E6855" s="18" t="n">
        <x:v>24.14</x:v>
      </x:c>
      <x:c r="F6855" s="18" t="n">
        <x:v>7.78</x:v>
      </x:c>
      <x:c r="G6855" t="n">
        <x:v>36</x:v>
      </x:c>
      <x:c r="H6855" t="str">
        <x:v>B</x:v>
      </x:c>
      <x:c r="I6855" t="str">
        <x:v>10+ years</x:v>
      </x:c>
      <x:c r="J6855" t="str">
        <x:v>MORTGAGE</x:v>
      </x:c>
      <x:c r="K6855" t="str">
        <x:v>debt_consolidation</x:v>
      </x:c>
      <x:c r="L6855" t="n">
        <x:v>1</x:v>
      </x:c>
      <x:c r="M6855" t="n">
        <x:v>0</x:v>
      </x:c>
      <x:c r="N6855" t="str">
        <x:v>Fully Paid</x:v>
      </x:c>
      <x:c r="O6855" t="str">
        <x:f>IF(D6855="","Unknown",IF(D6855&lt;25000,"&lt;$25k",IF(D6855&lt;50000,"$25k-$50k",IF(D6855&lt;75000,"$50k-$75k",IF(D6855&lt;100000,"$75k-$100k","$100k+")))))</x:f>
        <x:v>$50k-$75k</x:v>
      </x:c>
      <x:c r="P6855" t="str">
        <x:f>IF(E6855="","Unknown",IF(E6855&lt;10,"&lt;10",IF(E6855&lt;20,"10-&lt;20",IF(E6855&lt;25,"20-&lt;25",IF(E6855&lt;35,"25-&lt;35","35+")))))</x:f>
        <x:v>20-&lt;25</x:v>
      </x:c>
    </x:row>
    <x:row r="6856">
      <x:c r="A6856" t="str">
        <x:v>SYN0006855</x:v>
      </x:c>
      <x:c r="B6856" s="12" t="n">
        <x:v>42805</x:v>
      </x:c>
      <x:c r="C6856" s="18" t="n">
        <x:v>20796</x:v>
      </x:c>
      <x:c r="D6856" s="18" t="n">
        <x:v>61879</x:v>
      </x:c>
      <x:c r="E6856" s="18" t="n">
        <x:v>26.91</x:v>
      </x:c>
      <x:c r="F6856" s="18" t="n">
        <x:v>14.71</x:v>
      </x:c>
      <x:c r="G6856" t="n">
        <x:v>36</x:v>
      </x:c>
      <x:c r="H6856" t="str">
        <x:v>C</x:v>
      </x:c>
      <x:c r="I6856" t="str">
        <x:v>10+ years</x:v>
      </x:c>
      <x:c r="J6856" t="str">
        <x:v>OWN</x:v>
      </x:c>
      <x:c r="K6856" t="str">
        <x:v>major_purchase</x:v>
      </x:c>
      <x:c r="L6856" t="n">
        <x:v>0</x:v>
      </x:c>
      <x:c r="M6856" t="n">
        <x:v>0</x:v>
      </x:c>
      <x:c r="N6856" t="str">
        <x:v>Fully Paid</x:v>
      </x:c>
      <x:c r="O6856" t="str">
        <x:f>IF(D6856="","Unknown",IF(D6856&lt;25000,"&lt;$25k",IF(D6856&lt;50000,"$25k-$50k",IF(D6856&lt;75000,"$50k-$75k",IF(D6856&lt;100000,"$75k-$100k","$100k+")))))</x:f>
        <x:v>$50k-$75k</x:v>
      </x:c>
      <x:c r="P6856" t="str">
        <x:f>IF(E6856="","Unknown",IF(E6856&lt;10,"&lt;10",IF(E6856&lt;20,"10-&lt;20",IF(E6856&lt;25,"20-&lt;25",IF(E6856&lt;35,"25-&lt;35","35+")))))</x:f>
        <x:v>25-&lt;35</x:v>
      </x:c>
    </x:row>
    <x:row r="6857">
      <x:c r="A6857" t="str">
        <x:v>SYN0006856</x:v>
      </x:c>
      <x:c r="B6857" s="12" t="n">
        <x:v>42745</x:v>
      </x:c>
      <x:c r="C6857" s="18" t="n">
        <x:v>5771</x:v>
      </x:c>
      <x:c r="D6857" s="18" t="n">
        <x:v>42738</x:v>
      </x:c>
      <x:c r="E6857" s="18" t="n">
        <x:v>28.61</x:v>
      </x:c>
      <x:c r="F6857" s="18" t="n">
        <x:v>26.05</x:v>
      </x:c>
      <x:c r="G6857" t="n">
        <x:v>36</x:v>
      </x:c>
      <x:c r="H6857" t="str">
        <x:v>G</x:v>
      </x:c>
      <x:c r="I6857" t="str">
        <x:v>7-9 years</x:v>
      </x:c>
      <x:c r="J6857" t="str">
        <x:v>RENT</x:v>
      </x:c>
      <x:c r="K6857" t="str">
        <x:v>debt_consolidation</x:v>
      </x:c>
      <x:c r="L6857" t="n">
        <x:v>1</x:v>
      </x:c>
      <x:c r="M6857" t="n">
        <x:v>0</x:v>
      </x:c>
      <x:c r="N6857" t="str">
        <x:v>Fully Paid</x:v>
      </x:c>
      <x:c r="O6857" t="str">
        <x:f>IF(D6857="","Unknown",IF(D6857&lt;25000,"&lt;$25k",IF(D6857&lt;50000,"$25k-$50k",IF(D6857&lt;75000,"$50k-$75k",IF(D6857&lt;100000,"$75k-$100k","$100k+")))))</x:f>
        <x:v>$25k-$50k</x:v>
      </x:c>
      <x:c r="P6857" t="str">
        <x:f>IF(E6857="","Unknown",IF(E6857&lt;10,"&lt;10",IF(E6857&lt;20,"10-&lt;20",IF(E6857&lt;25,"20-&lt;25",IF(E6857&lt;35,"25-&lt;35","35+")))))</x:f>
        <x:v>25-&lt;35</x:v>
      </x:c>
    </x:row>
    <x:row r="6858">
      <x:c r="A6858" t="str">
        <x:v>SYN0006857</x:v>
      </x:c>
      <x:c r="B6858" s="12" t="n">
        <x:v>42445</x:v>
      </x:c>
      <x:c r="C6858" s="18" t="n">
        <x:v>24704</x:v>
      </x:c>
      <x:c r="D6858" s="18" t="n">
        <x:v>16304</x:v>
      </x:c>
      <x:c r="E6858" s="18" t="n">
        <x:v>13.34</x:v>
      </x:c>
      <x:c r="F6858" s="18" t="n">
        <x:v>5.67</x:v>
      </x:c>
      <x:c r="G6858" t="n">
        <x:v>36</x:v>
      </x:c>
      <x:c r="H6858" t="str">
        <x:v>A</x:v>
      </x:c>
      <x:c r="I6858" t="str">
        <x:v>1-3 years</x:v>
      </x:c>
      <x:c r="J6858" t="str">
        <x:v>OWN</x:v>
      </x:c>
      <x:c r="K6858" t="str">
        <x:v>home_improvement</x:v>
      </x:c>
      <x:c r="L6858" t="n">
        <x:v>0</x:v>
      </x:c>
      <x:c r="M6858" t="n">
        <x:v>0</x:v>
      </x:c>
      <x:c r="N6858" t="str">
        <x:v>Fully Paid</x:v>
      </x:c>
      <x:c r="O6858" t="str">
        <x:f>IF(D6858="","Unknown",IF(D6858&lt;25000,"&lt;$25k",IF(D6858&lt;50000,"$25k-$50k",IF(D6858&lt;75000,"$50k-$75k",IF(D6858&lt;100000,"$75k-$100k","$100k+")))))</x:f>
        <x:v>&lt;$25k</x:v>
      </x:c>
      <x:c r="P6858" t="str">
        <x:f>IF(E6858="","Unknown",IF(E6858&lt;10,"&lt;10",IF(E6858&lt;20,"10-&lt;20",IF(E6858&lt;25,"20-&lt;25",IF(E6858&lt;35,"25-&lt;35","35+")))))</x:f>
        <x:v>10-&lt;20</x:v>
      </x:c>
    </x:row>
    <x:row r="6859">
      <x:c r="A6859" t="str">
        <x:v>SYN0006858</x:v>
      </x:c>
      <x:c r="B6859" s="12" t="n">
        <x:v>41395</x:v>
      </x:c>
      <x:c r="C6859" s="18" t="n">
        <x:v>6316</x:v>
      </x:c>
      <x:c r="D6859" s="18" t="n">
        <x:v>51117</x:v>
      </x:c>
      <x:c r="E6859" s="18" t="n">
        <x:v>18.04</x:v>
      </x:c>
      <x:c r="F6859" s="18" t="n">
        <x:v>12.82</x:v>
      </x:c>
      <x:c r="G6859" t="n">
        <x:v>36</x:v>
      </x:c>
      <x:c r="H6859" t="str">
        <x:v>D</x:v>
      </x:c>
      <x:c r="I6859" t="str">
        <x:v>1-3 years</x:v>
      </x:c>
      <x:c r="J6859" t="str">
        <x:v>RENT</x:v>
      </x:c>
      <x:c r="K6859" t="str">
        <x:v>debt_consolidation</x:v>
      </x:c>
      <x:c r="L6859" t="n">
        <x:v>0</x:v>
      </x:c>
      <x:c r="M6859" t="n">
        <x:v>0</x:v>
      </x:c>
      <x:c r="N6859" t="str">
        <x:v>Fully Paid</x:v>
      </x:c>
      <x:c r="O6859" t="str">
        <x:f>IF(D6859="","Unknown",IF(D6859&lt;25000,"&lt;$25k",IF(D6859&lt;50000,"$25k-$50k",IF(D6859&lt;75000,"$50k-$75k",IF(D6859&lt;100000,"$75k-$100k","$100k+")))))</x:f>
        <x:v>$50k-$75k</x:v>
      </x:c>
      <x:c r="P6859" t="str">
        <x:f>IF(E6859="","Unknown",IF(E6859&lt;10,"&lt;10",IF(E6859&lt;20,"10-&lt;20",IF(E6859&lt;25,"20-&lt;25",IF(E6859&lt;35,"25-&lt;35","35+")))))</x:f>
        <x:v>10-&lt;20</x:v>
      </x:c>
    </x:row>
    <x:row r="6860">
      <x:c r="A6860" t="str">
        <x:v>SYN0006859</x:v>
      </x:c>
      <x:c r="B6860" s="12" t="n">
        <x:v>43135</x:v>
      </x:c>
      <x:c r="C6860" s="18" t="n">
        <x:v>8016</x:v>
      </x:c>
      <x:c r="D6860" s="18" t="n">
        <x:v>97694</x:v>
      </x:c>
      <x:c r="E6860" s="18" t="n">
        <x:v>22.4</x:v>
      </x:c>
      <x:c r="F6860" s="18" t="n">
        <x:v>14.45</x:v>
      </x:c>
      <x:c r="G6860" t="n">
        <x:v>60</x:v>
      </x:c>
      <x:c r="H6860" t="str">
        <x:v>E</x:v>
      </x:c>
      <x:c r="I6860" t="str">
        <x:v>7-9 years</x:v>
      </x:c>
      <x:c r="J6860" t="str">
        <x:v>MORTGAGE</x:v>
      </x:c>
      <x:c r="K6860" t="str">
        <x:v>major_purchase</x:v>
      </x:c>
      <x:c r="L6860" t="n">
        <x:v>0</x:v>
      </x:c>
      <x:c r="M6860" t="n">
        <x:v>0</x:v>
      </x:c>
      <x:c r="N6860" t="str">
        <x:v>Fully Paid</x:v>
      </x:c>
      <x:c r="O6860" t="str">
        <x:f>IF(D6860="","Unknown",IF(D6860&lt;25000,"&lt;$25k",IF(D6860&lt;50000,"$25k-$50k",IF(D6860&lt;75000,"$50k-$75k",IF(D6860&lt;100000,"$75k-$100k","$100k+")))))</x:f>
        <x:v>$75k-$100k</x:v>
      </x:c>
      <x:c r="P6860" t="str">
        <x:f>IF(E6860="","Unknown",IF(E6860&lt;10,"&lt;10",IF(E6860&lt;20,"10-&lt;20",IF(E6860&lt;25,"20-&lt;25",IF(E6860&lt;35,"25-&lt;35","35+")))))</x:f>
        <x:v>20-&lt;25</x:v>
      </x:c>
    </x:row>
    <x:row r="6861">
      <x:c r="A6861" t="str">
        <x:v>SYN0006860</x:v>
      </x:c>
      <x:c r="B6861" s="12" t="n">
        <x:v>42175</x:v>
      </x:c>
      <x:c r="C6861" s="18" t="n">
        <x:v>10023</x:v>
      </x:c>
      <x:c r="D6861" s="18" t="n">
        <x:v>20812</x:v>
      </x:c>
      <x:c r="E6861" s="18" t="n">
        <x:v>30.8</x:v>
      </x:c>
      <x:c r="F6861" s="18" t="n">
        <x:v>25.47</x:v>
      </x:c>
      <x:c r="G6861" t="n">
        <x:v>60</x:v>
      </x:c>
      <x:c r="H6861" t="str">
        <x:v>G</x:v>
      </x:c>
      <x:c r="I6861" t="str">
        <x:v>4-6 years</x:v>
      </x:c>
      <x:c r="J6861" t="str">
        <x:v>MORTGAGE</x:v>
      </x:c>
      <x:c r="K6861" t="str">
        <x:v>home_improvement</x:v>
      </x:c>
      <x:c r="L6861" t="n">
        <x:v>0</x:v>
      </x:c>
      <x:c r="M6861" t="n">
        <x:v>0</x:v>
      </x:c>
      <x:c r="N6861" t="str">
        <x:v>Fully Paid</x:v>
      </x:c>
      <x:c r="O6861" t="str">
        <x:f>IF(D6861="","Unknown",IF(D6861&lt;25000,"&lt;$25k",IF(D6861&lt;50000,"$25k-$50k",IF(D6861&lt;75000,"$50k-$75k",IF(D6861&lt;100000,"$75k-$100k","$100k+")))))</x:f>
        <x:v>&lt;$25k</x:v>
      </x:c>
      <x:c r="P6861" t="str">
        <x:f>IF(E6861="","Unknown",IF(E6861&lt;10,"&lt;10",IF(E6861&lt;20,"10-&lt;20",IF(E6861&lt;25,"20-&lt;25",IF(E6861&lt;35,"25-&lt;35","35+")))))</x:f>
        <x:v>25-&lt;35</x:v>
      </x:c>
    </x:row>
    <x:row r="6862">
      <x:c r="A6862" t="str">
        <x:v>SYN0006861</x:v>
      </x:c>
      <x:c r="B6862" s="12" t="n">
        <x:v>41665</x:v>
      </x:c>
      <x:c r="C6862" s="18" t="n">
        <x:v>11911</x:v>
      </x:c>
      <x:c r="D6862" s="18" t="n">
        <x:v>23764</x:v>
      </x:c>
      <x:c r="E6862" s="18" t="n">
        <x:v>18.58</x:v>
      </x:c>
      <x:c r="F6862" s="18" t="n">
        <x:v>6.58</x:v>
      </x:c>
      <x:c r="G6862" t="n">
        <x:v>60</x:v>
      </x:c>
      <x:c r="H6862" t="str">
        <x:v>A</x:v>
      </x:c>
      <x:c r="I6862" t="str">
        <x:v>7-9 years</x:v>
      </x:c>
      <x:c r="J6862" t="str">
        <x:v>MORTGAGE</x:v>
      </x:c>
      <x:c r="K6862" t="str">
        <x:v>debt_consolidation</x:v>
      </x:c>
      <x:c r="L6862" t="n">
        <x:v>2</x:v>
      </x:c>
      <x:c r="M6862" t="n">
        <x:v>0</x:v>
      </x:c>
      <x:c r="N6862" t="str">
        <x:v>Fully Paid</x:v>
      </x:c>
      <x:c r="O6862" t="str">
        <x:f>IF(D6862="","Unknown",IF(D6862&lt;25000,"&lt;$25k",IF(D6862&lt;50000,"$25k-$50k",IF(D6862&lt;75000,"$50k-$75k",IF(D6862&lt;100000,"$75k-$100k","$100k+")))))</x:f>
        <x:v>&lt;$25k</x:v>
      </x:c>
      <x:c r="P6862" t="str">
        <x:f>IF(E6862="","Unknown",IF(E6862&lt;10,"&lt;10",IF(E6862&lt;20,"10-&lt;20",IF(E6862&lt;25,"20-&lt;25",IF(E6862&lt;35,"25-&lt;35","35+")))))</x:f>
        <x:v>10-&lt;20</x:v>
      </x:c>
    </x:row>
    <x:row r="6863">
      <x:c r="A6863" t="str">
        <x:v>SYN0006862</x:v>
      </x:c>
      <x:c r="B6863" s="12" t="n">
        <x:v>42745</x:v>
      </x:c>
      <x:c r="C6863" s="18" t="n">
        <x:v>15691</x:v>
      </x:c>
      <x:c r="D6863" s="18" t="n">
        <x:v>73404</x:v>
      </x:c>
      <x:c r="E6863" s="18" t="n">
        <x:v>26.15</x:v>
      </x:c>
      <x:c r="F6863" s="18" t="n">
        <x:v>13.39</x:v>
      </x:c>
      <x:c r="G6863" t="n">
        <x:v>60</x:v>
      </x:c>
      <x:c r="H6863" t="str">
        <x:v>D</x:v>
      </x:c>
      <x:c r="I6863" t="str">
        <x:v>1-3 years</x:v>
      </x:c>
      <x:c r="J6863" t="str">
        <x:v>MORTGAGE</x:v>
      </x:c>
      <x:c r="K6863" t="str">
        <x:v>debt_consolidation</x:v>
      </x:c>
      <x:c r="L6863" t="n">
        <x:v>0</x:v>
      </x:c>
      <x:c r="M6863" t="n">
        <x:v>0</x:v>
      </x:c>
      <x:c r="N6863" t="str">
        <x:v>Fully Paid</x:v>
      </x:c>
      <x:c r="O6863" t="str">
        <x:f>IF(D6863="","Unknown",IF(D6863&lt;25000,"&lt;$25k",IF(D6863&lt;50000,"$25k-$50k",IF(D6863&lt;75000,"$50k-$75k",IF(D6863&lt;100000,"$75k-$100k","$100k+")))))</x:f>
        <x:v>$50k-$75k</x:v>
      </x:c>
      <x:c r="P6863" t="str">
        <x:f>IF(E6863="","Unknown",IF(E6863&lt;10,"&lt;10",IF(E6863&lt;20,"10-&lt;20",IF(E6863&lt;25,"20-&lt;25",IF(E6863&lt;35,"25-&lt;35","35+")))))</x:f>
        <x:v>25-&lt;35</x:v>
      </x:c>
    </x:row>
    <x:row r="6864">
      <x:c r="A6864" t="str">
        <x:v>SYN0006863</x:v>
      </x:c>
      <x:c r="B6864" s="12" t="n">
        <x:v>41905</x:v>
      </x:c>
      <x:c r="C6864" s="18" t="n">
        <x:v>19308</x:v>
      </x:c>
      <x:c r="D6864" s="18" t="n">
        <x:v>83612</x:v>
      </x:c>
      <x:c r="E6864" s="18" t="n">
        <x:v>23.87</x:v>
      </x:c>
      <x:c r="F6864" s="18" t="n">
        <x:v>8.67</x:v>
      </x:c>
      <x:c r="G6864" t="n">
        <x:v>36</x:v>
      </x:c>
      <x:c r="H6864" t="str">
        <x:v>C</x:v>
      </x:c>
      <x:c r="I6864" t="str">
        <x:v>1-3 years</x:v>
      </x:c>
      <x:c r="J6864" t="str">
        <x:v>MORTGAGE</x:v>
      </x:c>
      <x:c r="K6864" t="str">
        <x:v>debt_consolidation</x:v>
      </x:c>
      <x:c r="L6864" t="n">
        <x:v>0</x:v>
      </x:c>
      <x:c r="M6864" t="n">
        <x:v>0</x:v>
      </x:c>
      <x:c r="N6864" t="str">
        <x:v>Fully Paid</x:v>
      </x:c>
      <x:c r="O6864" t="str">
        <x:f>IF(D6864="","Unknown",IF(D6864&lt;25000,"&lt;$25k",IF(D6864&lt;50000,"$25k-$50k",IF(D6864&lt;75000,"$50k-$75k",IF(D6864&lt;100000,"$75k-$100k","$100k+")))))</x:f>
        <x:v>$75k-$100k</x:v>
      </x:c>
      <x:c r="P6864" t="str">
        <x:f>IF(E6864="","Unknown",IF(E6864&lt;10,"&lt;10",IF(E6864&lt;20,"10-&lt;20",IF(E6864&lt;25,"20-&lt;25",IF(E6864&lt;35,"25-&lt;35","35+")))))</x:f>
        <x:v>20-&lt;25</x:v>
      </x:c>
    </x:row>
    <x:row r="6865">
      <x:c r="A6865" t="str">
        <x:v>SYN0006864</x:v>
      </x:c>
      <x:c r="B6865" s="12" t="n">
        <x:v>41365</x:v>
      </x:c>
      <x:c r="C6865" s="18" t="n">
        <x:v>29076</x:v>
      </x:c>
      <x:c r="D6865" s="18" t="n">
        <x:v>44271</x:v>
      </x:c>
      <x:c r="E6865" s="18" t="n">
        <x:v>18.47</x:v>
      </x:c>
      <x:c r="F6865" s="18" t="n">
        <x:v>27.67</x:v>
      </x:c>
      <x:c r="G6865" t="n">
        <x:v>36</x:v>
      </x:c>
      <x:c r="H6865" t="str">
        <x:v>G</x:v>
      </x:c>
      <x:c r="I6865" t="str">
        <x:v>10+ years</x:v>
      </x:c>
      <x:c r="J6865" t="str">
        <x:v>OWN</x:v>
      </x:c>
      <x:c r="K6865" t="str">
        <x:v>credit_card</x:v>
      </x:c>
      <x:c r="L6865" t="n">
        <x:v>0</x:v>
      </x:c>
      <x:c r="M6865" t="n">
        <x:v>0</x:v>
      </x:c>
      <x:c r="N6865" t="str">
        <x:v>Fully Paid</x:v>
      </x:c>
      <x:c r="O6865" t="str">
        <x:f>IF(D6865="","Unknown",IF(D6865&lt;25000,"&lt;$25k",IF(D6865&lt;50000,"$25k-$50k",IF(D6865&lt;75000,"$50k-$75k",IF(D6865&lt;100000,"$75k-$100k","$100k+")))))</x:f>
        <x:v>$25k-$50k</x:v>
      </x:c>
      <x:c r="P6865" t="str">
        <x:f>IF(E6865="","Unknown",IF(E6865&lt;10,"&lt;10",IF(E6865&lt;20,"10-&lt;20",IF(E6865&lt;25,"20-&lt;25",IF(E6865&lt;35,"25-&lt;35","35+")))))</x:f>
        <x:v>10-&lt;20</x:v>
      </x:c>
    </x:row>
    <x:row r="6866">
      <x:c r="A6866" t="str">
        <x:v>SYN0006865</x:v>
      </x:c>
      <x:c r="B6866" s="12" t="n">
        <x:v>42565</x:v>
      </x:c>
      <x:c r="C6866" s="18" t="n">
        <x:v>24165</x:v>
      </x:c>
      <x:c r="D6866" s="18" t="n">
        <x:v>75255</x:v>
      </x:c>
      <x:c r="E6866" s="18" t="n">
        <x:v>39.49</x:v>
      </x:c>
      <x:c r="F6866" s="18" t="n">
        <x:v>8.86</x:v>
      </x:c>
      <x:c r="G6866" t="n">
        <x:v>60</x:v>
      </x:c>
      <x:c r="H6866" t="str">
        <x:v>B</x:v>
      </x:c>
      <x:c r="I6866" t="str">
        <x:v>4-6 years</x:v>
      </x:c>
      <x:c r="J6866" t="str">
        <x:v>RENT</x:v>
      </x:c>
      <x:c r="K6866" t="str">
        <x:v>other</x:v>
      </x:c>
      <x:c r="L6866" t="n">
        <x:v>0</x:v>
      </x:c>
      <x:c r="M6866" t="n">
        <x:v>0</x:v>
      </x:c>
      <x:c r="N6866" t="str">
        <x:v>Fully Paid</x:v>
      </x:c>
      <x:c r="O6866" t="str">
        <x:f>IF(D6866="","Unknown",IF(D6866&lt;25000,"&lt;$25k",IF(D6866&lt;50000,"$25k-$50k",IF(D6866&lt;75000,"$50k-$75k",IF(D6866&lt;100000,"$75k-$100k","$100k+")))))</x:f>
        <x:v>$75k-$100k</x:v>
      </x:c>
      <x:c r="P6866" t="str">
        <x:f>IF(E6866="","Unknown",IF(E6866&lt;10,"&lt;10",IF(E6866&lt;20,"10-&lt;20",IF(E6866&lt;25,"20-&lt;25",IF(E6866&lt;35,"25-&lt;35","35+")))))</x:f>
        <x:v>35+</x:v>
      </x:c>
    </x:row>
    <x:row r="6867">
      <x:c r="A6867" t="str">
        <x:v>SYN0006866</x:v>
      </x:c>
      <x:c r="B6867" s="12" t="n">
        <x:v>41545</x:v>
      </x:c>
      <x:c r="C6867" s="18" t="n">
        <x:v>11271</x:v>
      </x:c>
      <x:c r="D6867" s="18" t="n">
        <x:v>63575</x:v>
      </x:c>
      <x:c r="E6867" s="18" t="n">
        <x:v>27.04</x:v>
      </x:c>
      <x:c r="F6867" s="18" t="n">
        <x:v>18.84</x:v>
      </x:c>
      <x:c r="G6867" t="n">
        <x:v>60</x:v>
      </x:c>
      <x:c r="H6867" t="str">
        <x:v>E</x:v>
      </x:c>
      <x:c r="I6867" t="str">
        <x:v>1-3 years</x:v>
      </x:c>
      <x:c r="J6867" t="str">
        <x:v>RENT</x:v>
      </x:c>
      <x:c r="K6867" t="str">
        <x:v>credit_card</x:v>
      </x:c>
      <x:c r="L6867" t="n">
        <x:v>1</x:v>
      </x:c>
      <x:c r="M6867" t="n">
        <x:v>1</x:v>
      </x:c>
      <x:c r="N6867" t="str">
        <x:v>Charged Off</x:v>
      </x:c>
      <x:c r="O6867" t="str">
        <x:f>IF(D6867="","Unknown",IF(D6867&lt;25000,"&lt;$25k",IF(D6867&lt;50000,"$25k-$50k",IF(D6867&lt;75000,"$50k-$75k",IF(D6867&lt;100000,"$75k-$100k","$100k+")))))</x:f>
        <x:v>$50k-$75k</x:v>
      </x:c>
      <x:c r="P6867" t="str">
        <x:f>IF(E6867="","Unknown",IF(E6867&lt;10,"&lt;10",IF(E6867&lt;20,"10-&lt;20",IF(E6867&lt;25,"20-&lt;25",IF(E6867&lt;35,"25-&lt;35","35+")))))</x:f>
        <x:v>25-&lt;35</x:v>
      </x:c>
    </x:row>
    <x:row r="6868">
      <x:c r="A6868" t="str">
        <x:v>SYN0006867</x:v>
      </x:c>
      <x:c r="B6868" s="12" t="n">
        <x:v>42475</x:v>
      </x:c>
      <x:c r="C6868" s="18" t="n">
        <x:v>22760</x:v>
      </x:c>
      <x:c r="D6868" s="18" t="n">
        <x:v>61975</x:v>
      </x:c>
      <x:c r="E6868" s="18" t="n">
        <x:v>15.15</x:v>
      </x:c>
      <x:c r="F6868" s="18" t="n">
        <x:v>5</x:v>
      </x:c>
      <x:c r="G6868" t="n">
        <x:v>36</x:v>
      </x:c>
      <x:c r="H6868" t="str">
        <x:v>A</x:v>
      </x:c>
      <x:c r="I6868" t="str">
        <x:v>&lt;1 year</x:v>
      </x:c>
      <x:c r="J6868" t="str">
        <x:v>RENT</x:v>
      </x:c>
      <x:c r="K6868" t="str">
        <x:v>home_improvement</x:v>
      </x:c>
      <x:c r="L6868" t="n">
        <x:v>0</x:v>
      </x:c>
      <x:c r="M6868" t="n">
        <x:v>0</x:v>
      </x:c>
      <x:c r="N6868" t="str">
        <x:v>Fully Paid</x:v>
      </x:c>
      <x:c r="O6868" t="str">
        <x:f>IF(D6868="","Unknown",IF(D6868&lt;25000,"&lt;$25k",IF(D6868&lt;50000,"$25k-$50k",IF(D6868&lt;75000,"$50k-$75k",IF(D6868&lt;100000,"$75k-$100k","$100k+")))))</x:f>
        <x:v>$50k-$75k</x:v>
      </x:c>
      <x:c r="P6868" t="str">
        <x:f>IF(E6868="","Unknown",IF(E6868&lt;10,"&lt;10",IF(E6868&lt;20,"10-&lt;20",IF(E6868&lt;25,"20-&lt;25",IF(E6868&lt;35,"25-&lt;35","35+")))))</x:f>
        <x:v>10-&lt;20</x:v>
      </x:c>
    </x:row>
    <x:row r="6869">
      <x:c r="A6869" t="str">
        <x:v>SYN0006868</x:v>
      </x:c>
      <x:c r="B6869" s="12" t="n">
        <x:v>43075</x:v>
      </x:c>
      <x:c r="C6869" s="18" t="n">
        <x:v>14099</x:v>
      </x:c>
      <x:c r="D6869" s="18" t="n">
        <x:v>30942</x:v>
      </x:c>
      <x:c r="E6869" s="18" t="n">
        <x:v>31.3</x:v>
      </x:c>
      <x:c r="F6869" s="18" t="n">
        <x:v>24.53</x:v>
      </x:c>
      <x:c r="G6869" t="n">
        <x:v>36</x:v>
      </x:c>
      <x:c r="H6869" t="str">
        <x:v>G</x:v>
      </x:c>
      <x:c r="I6869" t="str">
        <x:v>&lt;1 year</x:v>
      </x:c>
      <x:c r="J6869" t="str">
        <x:v>RENT</x:v>
      </x:c>
      <x:c r="K6869" t="str">
        <x:v>credit_card</x:v>
      </x:c>
      <x:c r="L6869" t="n">
        <x:v>1</x:v>
      </x:c>
      <x:c r="M6869" t="n">
        <x:v>0</x:v>
      </x:c>
      <x:c r="N6869" t="str">
        <x:v>Fully Paid</x:v>
      </x:c>
      <x:c r="O6869" t="str">
        <x:f>IF(D6869="","Unknown",IF(D6869&lt;25000,"&lt;$25k",IF(D6869&lt;50000,"$25k-$50k",IF(D6869&lt;75000,"$50k-$75k",IF(D6869&lt;100000,"$75k-$100k","$100k+")))))</x:f>
        <x:v>$25k-$50k</x:v>
      </x:c>
      <x:c r="P6869" t="str">
        <x:f>IF(E6869="","Unknown",IF(E6869&lt;10,"&lt;10",IF(E6869&lt;20,"10-&lt;20",IF(E6869&lt;25,"20-&lt;25",IF(E6869&lt;35,"25-&lt;35","35+")))))</x:f>
        <x:v>25-&lt;35</x:v>
      </x:c>
    </x:row>
    <x:row r="6870">
      <x:c r="A6870" t="str">
        <x:v>SYN0006869</x:v>
      </x:c>
      <x:c r="B6870" s="12" t="n">
        <x:v>42655</x:v>
      </x:c>
      <x:c r="C6870" s="18" t="n">
        <x:v>20438</x:v>
      </x:c>
      <x:c r="D6870" s="18" t="n">
        <x:v>29078</x:v>
      </x:c>
      <x:c r="E6870" s="18" t="n">
        <x:v>31.94</x:v>
      </x:c>
      <x:c r="F6870" s="18" t="n">
        <x:v>18.56</x:v>
      </x:c>
      <x:c r="G6870" t="n">
        <x:v>60</x:v>
      </x:c>
      <x:c r="H6870" t="str">
        <x:v>E</x:v>
      </x:c>
      <x:c r="I6870" t="str">
        <x:v>4-6 years</x:v>
      </x:c>
      <x:c r="J6870" t="str">
        <x:v>MORTGAGE</x:v>
      </x:c>
      <x:c r="K6870" t="str">
        <x:v>debt_consolidation</x:v>
      </x:c>
      <x:c r="L6870" t="n">
        <x:v>2</x:v>
      </x:c>
      <x:c r="M6870" t="n">
        <x:v>1</x:v>
      </x:c>
      <x:c r="N6870" t="str">
        <x:v>Charged Off</x:v>
      </x:c>
      <x:c r="O6870" t="str">
        <x:f>IF(D6870="","Unknown",IF(D6870&lt;25000,"&lt;$25k",IF(D6870&lt;50000,"$25k-$50k",IF(D6870&lt;75000,"$50k-$75k",IF(D6870&lt;100000,"$75k-$100k","$100k+")))))</x:f>
        <x:v>$25k-$50k</x:v>
      </x:c>
      <x:c r="P6870" t="str">
        <x:f>IF(E6870="","Unknown",IF(E6870&lt;10,"&lt;10",IF(E6870&lt;20,"10-&lt;20",IF(E6870&lt;25,"20-&lt;25",IF(E6870&lt;35,"25-&lt;35","35+")))))</x:f>
        <x:v>25-&lt;35</x:v>
      </x:c>
    </x:row>
    <x:row r="6871">
      <x:c r="A6871" t="str">
        <x:v>SYN0006870</x:v>
      </x:c>
      <x:c r="B6871" s="12" t="n">
        <x:v>42805</x:v>
      </x:c>
      <x:c r="C6871" s="18" t="n">
        <x:v>16593</x:v>
      </x:c>
      <x:c r="D6871" s="18" t="n">
        <x:v>55884</x:v>
      </x:c>
      <x:c r="E6871" s="18" t="n">
        <x:v>34.68</x:v>
      </x:c>
      <x:c r="F6871" s="18" t="n">
        <x:v>9.37</x:v>
      </x:c>
      <x:c r="G6871" t="n">
        <x:v>36</x:v>
      </x:c>
      <x:c r="H6871" t="str">
        <x:v>B</x:v>
      </x:c>
      <x:c r="I6871" t="str">
        <x:v>10+ years</x:v>
      </x:c>
      <x:c r="J6871" t="str">
        <x:v>MORTGAGE</x:v>
      </x:c>
      <x:c r="K6871" t="str">
        <x:v>credit_card</x:v>
      </x:c>
      <x:c r="L6871" t="n">
        <x:v>0</x:v>
      </x:c>
      <x:c r="M6871" t="n">
        <x:v>0</x:v>
      </x:c>
      <x:c r="N6871" t="str">
        <x:v>Fully Paid</x:v>
      </x:c>
      <x:c r="O6871" t="str">
        <x:f>IF(D6871="","Unknown",IF(D6871&lt;25000,"&lt;$25k",IF(D6871&lt;50000,"$25k-$50k",IF(D6871&lt;75000,"$50k-$75k",IF(D6871&lt;100000,"$75k-$100k","$100k+")))))</x:f>
        <x:v>$50k-$75k</x:v>
      </x:c>
      <x:c r="P6871" t="str">
        <x:f>IF(E6871="","Unknown",IF(E6871&lt;10,"&lt;10",IF(E6871&lt;20,"10-&lt;20",IF(E6871&lt;25,"20-&lt;25",IF(E6871&lt;35,"25-&lt;35","35+")))))</x:f>
        <x:v>25-&lt;35</x:v>
      </x:c>
    </x:row>
    <x:row r="6872">
      <x:c r="A6872" t="str">
        <x:v>SYN0006871</x:v>
      </x:c>
      <x:c r="B6872" s="12" t="n">
        <x:v>41845</x:v>
      </x:c>
      <x:c r="C6872" s="18" t="n">
        <x:v>6846</x:v>
      </x:c>
      <x:c r="D6872" s="18" t="n">
        <x:v>84669</x:v>
      </x:c>
      <x:c r="E6872" s="18" t="n">
        <x:v>25.2</x:v>
      </x:c>
      <x:c r="F6872" s="18" t="n">
        <x:v>14.44</x:v>
      </x:c>
      <x:c r="G6872" t="n">
        <x:v>36</x:v>
      </x:c>
      <x:c r="H6872" t="str">
        <x:v>D</x:v>
      </x:c>
      <x:c r="I6872" t="str">
        <x:v>10+ years</x:v>
      </x:c>
      <x:c r="J6872" t="str">
        <x:v>OTHER</x:v>
      </x:c>
      <x:c r="K6872" t="str">
        <x:v>debt_consolidation</x:v>
      </x:c>
      <x:c r="L6872" t="n">
        <x:v>1</x:v>
      </x:c>
      <x:c r="M6872" t="n">
        <x:v>0</x:v>
      </x:c>
      <x:c r="N6872" t="str">
        <x:v>Fully Paid</x:v>
      </x:c>
      <x:c r="O6872" t="str">
        <x:f>IF(D6872="","Unknown",IF(D6872&lt;25000,"&lt;$25k",IF(D6872&lt;50000,"$25k-$50k",IF(D6872&lt;75000,"$50k-$75k",IF(D6872&lt;100000,"$75k-$100k","$100k+")))))</x:f>
        <x:v>$75k-$100k</x:v>
      </x:c>
      <x:c r="P6872" t="str">
        <x:f>IF(E6872="","Unknown",IF(E6872&lt;10,"&lt;10",IF(E6872&lt;20,"10-&lt;20",IF(E6872&lt;25,"20-&lt;25",IF(E6872&lt;35,"25-&lt;35","35+")))))</x:f>
        <x:v>25-&lt;35</x:v>
      </x:c>
    </x:row>
    <x:row r="6873">
      <x:c r="A6873" t="str">
        <x:v>SYN0006872</x:v>
      </x:c>
      <x:c r="B6873" s="12" t="n">
        <x:v>41695</x:v>
      </x:c>
      <x:c r="C6873" s="18" t="n">
        <x:v>7323</x:v>
      </x:c>
      <x:c r="D6873" s="18" t="n">
        <x:v>42142</x:v>
      </x:c>
      <x:c r="E6873" s="18" t="n">
        <x:v>28.12</x:v>
      </x:c>
      <x:c r="F6873" s="18" t="n">
        <x:v>9.84</x:v>
      </x:c>
      <x:c r="G6873" t="n">
        <x:v>36</x:v>
      </x:c>
      <x:c r="H6873" t="str">
        <x:v>B</x:v>
      </x:c>
      <x:c r="I6873" t="str">
        <x:v>7-9 years</x:v>
      </x:c>
      <x:c r="J6873" t="str">
        <x:v>RENT</x:v>
      </x:c>
      <x:c r="K6873" t="str">
        <x:v>credit_card</x:v>
      </x:c>
      <x:c r="L6873" t="n">
        <x:v>0</x:v>
      </x:c>
      <x:c r="M6873" t="n">
        <x:v>0</x:v>
      </x:c>
      <x:c r="N6873" t="str">
        <x:v>Fully Paid</x:v>
      </x:c>
      <x:c r="O6873" t="str">
        <x:f>IF(D6873="","Unknown",IF(D6873&lt;25000,"&lt;$25k",IF(D6873&lt;50000,"$25k-$50k",IF(D6873&lt;75000,"$50k-$75k",IF(D6873&lt;100000,"$75k-$100k","$100k+")))))</x:f>
        <x:v>$25k-$50k</x:v>
      </x:c>
      <x:c r="P6873" t="str">
        <x:f>IF(E6873="","Unknown",IF(E6873&lt;10,"&lt;10",IF(E6873&lt;20,"10-&lt;20",IF(E6873&lt;25,"20-&lt;25",IF(E6873&lt;35,"25-&lt;35","35+")))))</x:f>
        <x:v>25-&lt;35</x:v>
      </x:c>
    </x:row>
    <x:row r="6874">
      <x:c r="A6874" t="str">
        <x:v>SYN0006873</x:v>
      </x:c>
      <x:c r="B6874" s="12" t="n">
        <x:v>42685</x:v>
      </x:c>
      <x:c r="C6874" s="18" t="n">
        <x:v>14985</x:v>
      </x:c>
      <x:c r="D6874" s="18" t="n">
        <x:v>158319</x:v>
      </x:c>
      <x:c r="E6874" s="18" t="n">
        <x:v>13.92</x:v>
      </x:c>
      <x:c r="F6874" s="18" t="n">
        <x:v>12</x:v>
      </x:c>
      <x:c r="G6874" t="n">
        <x:v>36</x:v>
      </x:c>
      <x:c r="H6874" t="str">
        <x:v>C</x:v>
      </x:c>
      <x:c r="I6874" t="str">
        <x:v>1-3 years</x:v>
      </x:c>
      <x:c r="J6874" t="str">
        <x:v>OWN</x:v>
      </x:c>
      <x:c r="K6874" t="str">
        <x:v>debt_consolidation</x:v>
      </x:c>
      <x:c r="L6874" t="n">
        <x:v>0</x:v>
      </x:c>
      <x:c r="M6874" t="n">
        <x:v>0</x:v>
      </x:c>
      <x:c r="N6874" t="str">
        <x:v>Fully Paid</x:v>
      </x:c>
      <x:c r="O6874" t="str">
        <x:f>IF(D6874="","Unknown",IF(D6874&lt;25000,"&lt;$25k",IF(D6874&lt;50000,"$25k-$50k",IF(D6874&lt;75000,"$50k-$75k",IF(D6874&lt;100000,"$75k-$100k","$100k+")))))</x:f>
        <x:v>$100k+</x:v>
      </x:c>
      <x:c r="P6874" t="str">
        <x:f>IF(E6874="","Unknown",IF(E6874&lt;10,"&lt;10",IF(E6874&lt;20,"10-&lt;20",IF(E6874&lt;25,"20-&lt;25",IF(E6874&lt;35,"25-&lt;35","35+")))))</x:f>
        <x:v>10-&lt;20</x:v>
      </x:c>
    </x:row>
    <x:row r="6875">
      <x:c r="A6875" t="str">
        <x:v>SYN0006874</x:v>
      </x:c>
      <x:c r="B6875" s="12" t="n">
        <x:v>41305</x:v>
      </x:c>
      <x:c r="C6875" s="18" t="n">
        <x:v>10989</x:v>
      </x:c>
      <x:c r="D6875" s="18" t="n">
        <x:v>72938</x:v>
      </x:c>
      <x:c r="E6875" s="18" t="n">
        <x:v>22.22</x:v>
      </x:c>
      <x:c r="F6875" s="18" t="n">
        <x:v>14.18</x:v>
      </x:c>
      <x:c r="G6875" t="n">
        <x:v>60</x:v>
      </x:c>
      <x:c r="H6875" t="str">
        <x:v>D</x:v>
      </x:c>
      <x:c r="I6875" t="str">
        <x:v>10+ years</x:v>
      </x:c>
      <x:c r="J6875" t="str">
        <x:v>MORTGAGE</x:v>
      </x:c>
      <x:c r="K6875" t="str">
        <x:v>credit_card</x:v>
      </x:c>
      <x:c r="L6875" t="n">
        <x:v>1</x:v>
      </x:c>
      <x:c r="M6875" t="n">
        <x:v>0</x:v>
      </x:c>
      <x:c r="N6875" t="str">
        <x:v>Fully Paid</x:v>
      </x:c>
      <x:c r="O6875" t="str">
        <x:f>IF(D6875="","Unknown",IF(D6875&lt;25000,"&lt;$25k",IF(D6875&lt;50000,"$25k-$50k",IF(D6875&lt;75000,"$50k-$75k",IF(D6875&lt;100000,"$75k-$100k","$100k+")))))</x:f>
        <x:v>$50k-$75k</x:v>
      </x:c>
      <x:c r="P6875" t="str">
        <x:f>IF(E6875="","Unknown",IF(E6875&lt;10,"&lt;10",IF(E6875&lt;20,"10-&lt;20",IF(E6875&lt;25,"20-&lt;25",IF(E6875&lt;35,"25-&lt;35","35+")))))</x:f>
        <x:v>20-&lt;25</x:v>
      </x:c>
    </x:row>
    <x:row r="6876">
      <x:c r="A6876" t="str">
        <x:v>SYN0006875</x:v>
      </x:c>
      <x:c r="B6876" s="12" t="n">
        <x:v>41905</x:v>
      </x:c>
      <x:c r="C6876" s="18" t="n">
        <x:v>8128</x:v>
      </x:c>
      <x:c r="D6876" s="18" t="n">
        <x:v>18489</x:v>
      </x:c>
      <x:c r="E6876" s="18" t="n">
        <x:v>27.22</x:v>
      </x:c>
      <x:c r="F6876" s="18" t="n">
        <x:v>25.25</x:v>
      </x:c>
      <x:c r="G6876" t="n">
        <x:v>36</x:v>
      </x:c>
      <x:c r="H6876" t="str">
        <x:v>G</x:v>
      </x:c>
      <x:c r="I6876" t="str">
        <x:v>&lt;1 year</x:v>
      </x:c>
      <x:c r="J6876" t="str">
        <x:v>OWN</x:v>
      </x:c>
      <x:c r="K6876" t="str">
        <x:v>debt_consolidation</x:v>
      </x:c>
      <x:c r="L6876" t="n">
        <x:v>1</x:v>
      </x:c>
      <x:c r="M6876" t="n">
        <x:v>0</x:v>
      </x:c>
      <x:c r="N6876" t="str">
        <x:v>Fully Paid</x:v>
      </x:c>
      <x:c r="O6876" t="str">
        <x:f>IF(D6876="","Unknown",IF(D6876&lt;25000,"&lt;$25k",IF(D6876&lt;50000,"$25k-$50k",IF(D6876&lt;75000,"$50k-$75k",IF(D6876&lt;100000,"$75k-$100k","$100k+")))))</x:f>
        <x:v>&lt;$25k</x:v>
      </x:c>
      <x:c r="P6876" t="str">
        <x:f>IF(E6876="","Unknown",IF(E6876&lt;10,"&lt;10",IF(E6876&lt;20,"10-&lt;20",IF(E6876&lt;25,"20-&lt;25",IF(E6876&lt;35,"25-&lt;35","35+")))))</x:f>
        <x:v>25-&lt;35</x:v>
      </x:c>
    </x:row>
    <x:row r="6877">
      <x:c r="A6877" t="str">
        <x:v>SYN0006876</x:v>
      </x:c>
      <x:c r="B6877" s="12" t="n">
        <x:v>41785</x:v>
      </x:c>
      <x:c r="C6877" s="18" t="n">
        <x:v>8456</x:v>
      </x:c>
      <x:c r="D6877" s="18" t="n">
        <x:v>51241</x:v>
      </x:c>
      <x:c r="E6877" s="18" t="n">
        <x:v>38.42</x:v>
      </x:c>
      <x:c r="F6877" s="18" t="n">
        <x:v>15.86</x:v>
      </x:c>
      <x:c r="G6877" t="n">
        <x:v>60</x:v>
      </x:c>
      <x:c r="H6877" t="str">
        <x:v>D</x:v>
      </x:c>
      <x:c r="I6877" t="str">
        <x:v>10+ years</x:v>
      </x:c>
      <x:c r="J6877" t="str">
        <x:v>OWN</x:v>
      </x:c>
      <x:c r="K6877" t="str">
        <x:v>debt_consolidation</x:v>
      </x:c>
      <x:c r="L6877" t="n">
        <x:v>0</x:v>
      </x:c>
      <x:c r="M6877" t="n">
        <x:v>1</x:v>
      </x:c>
      <x:c r="N6877" t="str">
        <x:v>Charged Off</x:v>
      </x:c>
      <x:c r="O6877" t="str">
        <x:f>IF(D6877="","Unknown",IF(D6877&lt;25000,"&lt;$25k",IF(D6877&lt;50000,"$25k-$50k",IF(D6877&lt;75000,"$50k-$75k",IF(D6877&lt;100000,"$75k-$100k","$100k+")))))</x:f>
        <x:v>$50k-$75k</x:v>
      </x:c>
      <x:c r="P6877" t="str">
        <x:f>IF(E6877="","Unknown",IF(E6877&lt;10,"&lt;10",IF(E6877&lt;20,"10-&lt;20",IF(E6877&lt;25,"20-&lt;25",IF(E6877&lt;35,"25-&lt;35","35+")))))</x:f>
        <x:v>35+</x:v>
      </x:c>
    </x:row>
    <x:row r="6878">
      <x:c r="A6878" t="str">
        <x:v>SYN0006877</x:v>
      </x:c>
      <x:c r="B6878" s="12" t="n">
        <x:v>41365</x:v>
      </x:c>
      <x:c r="C6878" s="18" t="n">
        <x:v>7312</x:v>
      </x:c>
      <x:c r="D6878" s="18" t="n">
        <x:v>71380</x:v>
      </x:c>
      <x:c r="E6878" s="18" t="n">
        <x:v>33.31</x:v>
      </x:c>
      <x:c r="F6878" s="18" t="n">
        <x:v>13.22</x:v>
      </x:c>
      <x:c r="G6878" t="n">
        <x:v>36</x:v>
      </x:c>
      <x:c r="H6878" t="str">
        <x:v>D</x:v>
      </x:c>
      <x:c r="I6878" t="str">
        <x:v>4-6 years</x:v>
      </x:c>
      <x:c r="J6878" t="str">
        <x:v>RENT</x:v>
      </x:c>
      <x:c r="K6878" t="str">
        <x:v>medical</x:v>
      </x:c>
      <x:c r="L6878" t="n">
        <x:v>1</x:v>
      </x:c>
      <x:c r="M6878" t="n">
        <x:v>0</x:v>
      </x:c>
      <x:c r="N6878" t="str">
        <x:v>Fully Paid</x:v>
      </x:c>
      <x:c r="O6878" t="str">
        <x:f>IF(D6878="","Unknown",IF(D6878&lt;25000,"&lt;$25k",IF(D6878&lt;50000,"$25k-$50k",IF(D6878&lt;75000,"$50k-$75k",IF(D6878&lt;100000,"$75k-$100k","$100k+")))))</x:f>
        <x:v>$50k-$75k</x:v>
      </x:c>
      <x:c r="P6878" t="str">
        <x:f>IF(E6878="","Unknown",IF(E6878&lt;10,"&lt;10",IF(E6878&lt;20,"10-&lt;20",IF(E6878&lt;25,"20-&lt;25",IF(E6878&lt;35,"25-&lt;35","35+")))))</x:f>
        <x:v>25-&lt;35</x:v>
      </x:c>
    </x:row>
    <x:row r="6879">
      <x:c r="A6879" t="str">
        <x:v>SYN0006878</x:v>
      </x:c>
      <x:c r="B6879" s="12" t="n">
        <x:v>41785</x:v>
      </x:c>
      <x:c r="C6879" s="18" t="n">
        <x:v>8633</x:v>
      </x:c>
      <x:c r="D6879" s="18" t="n">
        <x:v>24551</x:v>
      </x:c>
      <x:c r="E6879" s="18" t="n">
        <x:v>28.8</x:v>
      </x:c>
      <x:c r="F6879" s="18" t="n">
        <x:v>23.18</x:v>
      </x:c>
      <x:c r="G6879" t="n">
        <x:v>36</x:v>
      </x:c>
      <x:c r="H6879" t="str">
        <x:v>F</x:v>
      </x:c>
      <x:c r="I6879" t="str">
        <x:v>7-9 years</x:v>
      </x:c>
      <x:c r="J6879" t="str">
        <x:v>MORTGAGE</x:v>
      </x:c>
      <x:c r="K6879" t="str">
        <x:v>debt_consolidation</x:v>
      </x:c>
      <x:c r="L6879" t="n">
        <x:v>1</x:v>
      </x:c>
      <x:c r="M6879" t="n">
        <x:v>0</x:v>
      </x:c>
      <x:c r="N6879" t="str">
        <x:v>Fully Paid</x:v>
      </x:c>
      <x:c r="O6879" t="str">
        <x:f>IF(D6879="","Unknown",IF(D6879&lt;25000,"&lt;$25k",IF(D6879&lt;50000,"$25k-$50k",IF(D6879&lt;75000,"$50k-$75k",IF(D6879&lt;100000,"$75k-$100k","$100k+")))))</x:f>
        <x:v>&lt;$25k</x:v>
      </x:c>
      <x:c r="P6879" t="str">
        <x:f>IF(E6879="","Unknown",IF(E6879&lt;10,"&lt;10",IF(E6879&lt;20,"10-&lt;20",IF(E6879&lt;25,"20-&lt;25",IF(E6879&lt;35,"25-&lt;35","35+")))))</x:f>
        <x:v>25-&lt;35</x:v>
      </x:c>
    </x:row>
    <x:row r="6880">
      <x:c r="A6880" t="str">
        <x:v>SYN0006879</x:v>
      </x:c>
      <x:c r="B6880" s="12" t="n">
        <x:v>42325</x:v>
      </x:c>
      <x:c r="C6880" s="18" t="n">
        <x:v>30410</x:v>
      </x:c>
      <x:c r="D6880" s="18" t="n">
        <x:v>26554</x:v>
      </x:c>
      <x:c r="E6880" s="18" t="n">
        <x:v>16.26</x:v>
      </x:c>
      <x:c r="F6880" s="18" t="n">
        <x:v>5.81</x:v>
      </x:c>
      <x:c r="G6880" t="n">
        <x:v>36</x:v>
      </x:c>
      <x:c r="H6880" t="str">
        <x:v>A</x:v>
      </x:c>
      <x:c r="I6880" t="str">
        <x:v>7-9 years</x:v>
      </x:c>
      <x:c r="J6880" t="str">
        <x:v>OWN</x:v>
      </x:c>
      <x:c r="K6880" t="str">
        <x:v>debt_consolidation</x:v>
      </x:c>
      <x:c r="L6880" t="n">
        <x:v>1</x:v>
      </x:c>
      <x:c r="M6880" t="n">
        <x:v>0</x:v>
      </x:c>
      <x:c r="N6880" t="str">
        <x:v>Fully Paid</x:v>
      </x:c>
      <x:c r="O6880" t="str">
        <x:f>IF(D6880="","Unknown",IF(D6880&lt;25000,"&lt;$25k",IF(D6880&lt;50000,"$25k-$50k",IF(D6880&lt;75000,"$50k-$75k",IF(D6880&lt;100000,"$75k-$100k","$100k+")))))</x:f>
        <x:v>$25k-$50k</x:v>
      </x:c>
      <x:c r="P6880" t="str">
        <x:f>IF(E6880="","Unknown",IF(E6880&lt;10,"&lt;10",IF(E6880&lt;20,"10-&lt;20",IF(E6880&lt;25,"20-&lt;25",IF(E6880&lt;35,"25-&lt;35","35+")))))</x:f>
        <x:v>10-&lt;20</x:v>
      </x:c>
    </x:row>
    <x:row r="6881">
      <x:c r="A6881" t="str">
        <x:v>SYN0006880</x:v>
      </x:c>
      <x:c r="B6881" s="12" t="n">
        <x:v>41995</x:v>
      </x:c>
      <x:c r="C6881" s="18" t="n">
        <x:v>11358</x:v>
      </x:c>
      <x:c r="D6881" s="18" t="n">
        <x:v>146692</x:v>
      </x:c>
      <x:c r="E6881" s="18" t="n">
        <x:v>8.4</x:v>
      </x:c>
      <x:c r="F6881" s="18" t="n">
        <x:v>5</x:v>
      </x:c>
      <x:c r="G6881" t="n">
        <x:v>60</x:v>
      </x:c>
      <x:c r="H6881" t="str">
        <x:v>A</x:v>
      </x:c>
      <x:c r="I6881" t="str">
        <x:v>1-3 years</x:v>
      </x:c>
      <x:c r="J6881" t="str">
        <x:v>MORTGAGE</x:v>
      </x:c>
      <x:c r="K6881" t="str">
        <x:v>credit_card</x:v>
      </x:c>
      <x:c r="L6881" t="n">
        <x:v>0</x:v>
      </x:c>
      <x:c r="M6881" t="n">
        <x:v>0</x:v>
      </x:c>
      <x:c r="N6881" t="str">
        <x:v>Fully Paid</x:v>
      </x:c>
      <x:c r="O6881" t="str">
        <x:f>IF(D6881="","Unknown",IF(D6881&lt;25000,"&lt;$25k",IF(D6881&lt;50000,"$25k-$50k",IF(D6881&lt;75000,"$50k-$75k",IF(D6881&lt;100000,"$75k-$100k","$100k+")))))</x:f>
        <x:v>$100k+</x:v>
      </x:c>
      <x:c r="P6881" t="str">
        <x:f>IF(E6881="","Unknown",IF(E6881&lt;10,"&lt;10",IF(E6881&lt;20,"10-&lt;20",IF(E6881&lt;25,"20-&lt;25",IF(E6881&lt;35,"25-&lt;35","35+")))))</x:f>
        <x:v>&lt;10</x:v>
      </x:c>
    </x:row>
    <x:row r="6882">
      <x:c r="A6882" t="str">
        <x:v>SYN0006881</x:v>
      </x:c>
      <x:c r="B6882" s="12" t="n">
        <x:v>41815</x:v>
      </x:c>
      <x:c r="C6882" s="18" t="n">
        <x:v>13766</x:v>
      </x:c>
      <x:c r="D6882" s="18" t="n">
        <x:v>32399</x:v>
      </x:c>
      <x:c r="E6882" s="18" t="n">
        <x:v>32.94</x:v>
      </x:c>
      <x:c r="F6882" s="18" t="n">
        <x:v>21.38</x:v>
      </x:c>
      <x:c r="G6882" t="n">
        <x:v>36</x:v>
      </x:c>
      <x:c r="H6882" t="str">
        <x:v>E</x:v>
      </x:c>
      <x:c r="I6882" t="str">
        <x:v>10+ years</x:v>
      </x:c>
      <x:c r="J6882" t="str">
        <x:v>OWN</x:v>
      </x:c>
      <x:c r="K6882" t="str">
        <x:v>major_purchase</x:v>
      </x:c>
      <x:c r="L6882" t="n">
        <x:v>0</x:v>
      </x:c>
      <x:c r="M6882" t="n">
        <x:v>0</x:v>
      </x:c>
      <x:c r="N6882" t="str">
        <x:v>Fully Paid</x:v>
      </x:c>
      <x:c r="O6882" t="str">
        <x:f>IF(D6882="","Unknown",IF(D6882&lt;25000,"&lt;$25k",IF(D6882&lt;50000,"$25k-$50k",IF(D6882&lt;75000,"$50k-$75k",IF(D6882&lt;100000,"$75k-$100k","$100k+")))))</x:f>
        <x:v>$25k-$50k</x:v>
      </x:c>
      <x:c r="P6882" t="str">
        <x:f>IF(E6882="","Unknown",IF(E6882&lt;10,"&lt;10",IF(E6882&lt;20,"10-&lt;20",IF(E6882&lt;25,"20-&lt;25",IF(E6882&lt;35,"25-&lt;35","35+")))))</x:f>
        <x:v>25-&lt;35</x:v>
      </x:c>
    </x:row>
    <x:row r="6883">
      <x:c r="A6883" t="str">
        <x:v>SYN0006882</x:v>
      </x:c>
      <x:c r="B6883" s="12" t="n">
        <x:v>42595</x:v>
      </x:c>
      <x:c r="C6883" s="18" t="n">
        <x:v>3583</x:v>
      </x:c>
      <x:c r="D6883" s="18" t="n">
        <x:v>38521</x:v>
      </x:c>
      <x:c r="E6883" s="18" t="n">
        <x:v>5.9</x:v>
      </x:c>
      <x:c r="F6883" s="18" t="n">
        <x:v>6.25</x:v>
      </x:c>
      <x:c r="G6883" t="n">
        <x:v>36</x:v>
      </x:c>
      <x:c r="H6883" t="str">
        <x:v>B</x:v>
      </x:c>
      <x:c r="I6883" t="str">
        <x:v>4-6 years</x:v>
      </x:c>
      <x:c r="J6883" t="str">
        <x:v>MORTGAGE</x:v>
      </x:c>
      <x:c r="K6883" t="str">
        <x:v>debt_consolidation</x:v>
      </x:c>
      <x:c r="L6883" t="n">
        <x:v>1</x:v>
      </x:c>
      <x:c r="M6883" t="n">
        <x:v>0</x:v>
      </x:c>
      <x:c r="N6883" t="str">
        <x:v>Fully Paid</x:v>
      </x:c>
      <x:c r="O6883" t="str">
        <x:f>IF(D6883="","Unknown",IF(D6883&lt;25000,"&lt;$25k",IF(D6883&lt;50000,"$25k-$50k",IF(D6883&lt;75000,"$50k-$75k",IF(D6883&lt;100000,"$75k-$100k","$100k+")))))</x:f>
        <x:v>$25k-$50k</x:v>
      </x:c>
      <x:c r="P6883" t="str">
        <x:f>IF(E6883="","Unknown",IF(E6883&lt;10,"&lt;10",IF(E6883&lt;20,"10-&lt;20",IF(E6883&lt;25,"20-&lt;25",IF(E6883&lt;35,"25-&lt;35","35+")))))</x:f>
        <x:v>&lt;10</x:v>
      </x:c>
    </x:row>
    <x:row r="6884">
      <x:c r="A6884" t="str">
        <x:v>SYN0006883</x:v>
      </x:c>
      <x:c r="B6884" s="12" t="n">
        <x:v>42685</x:v>
      </x:c>
      <x:c r="C6884" s="18" t="n">
        <x:v>6904</x:v>
      </x:c>
      <x:c r="D6884" s="18" t="n">
        <x:v>46594</x:v>
      </x:c>
      <x:c r="E6884" s="18" t="n">
        <x:v>34.49</x:v>
      </x:c>
      <x:c r="F6884" s="18" t="n">
        <x:v>19.78</x:v>
      </x:c>
      <x:c r="G6884" t="n">
        <x:v>36</x:v>
      </x:c>
      <x:c r="H6884" t="str">
        <x:v>F</x:v>
      </x:c>
      <x:c r="I6884" t="str">
        <x:v>10+ years</x:v>
      </x:c>
      <x:c r="J6884" t="str">
        <x:v>MORTGAGE</x:v>
      </x:c>
      <x:c r="K6884" t="str">
        <x:v>home_improvement</x:v>
      </x:c>
      <x:c r="L6884" t="n">
        <x:v>0</x:v>
      </x:c>
      <x:c r="M6884" t="n">
        <x:v>0</x:v>
      </x:c>
      <x:c r="N6884" t="str">
        <x:v>Fully Paid</x:v>
      </x:c>
      <x:c r="O6884" t="str">
        <x:f>IF(D6884="","Unknown",IF(D6884&lt;25000,"&lt;$25k",IF(D6884&lt;50000,"$25k-$50k",IF(D6884&lt;75000,"$50k-$75k",IF(D6884&lt;100000,"$75k-$100k","$100k+")))))</x:f>
        <x:v>$25k-$50k</x:v>
      </x:c>
      <x:c r="P6884" t="str">
        <x:f>IF(E6884="","Unknown",IF(E6884&lt;10,"&lt;10",IF(E6884&lt;20,"10-&lt;20",IF(E6884&lt;25,"20-&lt;25",IF(E6884&lt;35,"25-&lt;35","35+")))))</x:f>
        <x:v>25-&lt;35</x:v>
      </x:c>
    </x:row>
    <x:row r="6885">
      <x:c r="A6885" t="str">
        <x:v>SYN0006884</x:v>
      </x:c>
      <x:c r="B6885" s="12" t="n">
        <x:v>43015</x:v>
      </x:c>
      <x:c r="C6885" s="18" t="n">
        <x:v>10384</x:v>
      </x:c>
      <x:c r="D6885" s="18" t="n">
        <x:v>40884</x:v>
      </x:c>
      <x:c r="E6885" s="18" t="n">
        <x:v>11.56</x:v>
      </x:c>
      <x:c r="F6885" s="18" t="n">
        <x:v>18.95</x:v>
      </x:c>
      <x:c r="G6885" t="n">
        <x:v>60</x:v>
      </x:c>
      <x:c r="H6885" t="str">
        <x:v>E</x:v>
      </x:c>
      <x:c r="I6885" t="str">
        <x:v>4-6 years</x:v>
      </x:c>
      <x:c r="J6885" t="str">
        <x:v>MORTGAGE</x:v>
      </x:c>
      <x:c r="K6885" t="str">
        <x:v>debt_consolidation</x:v>
      </x:c>
      <x:c r="L6885" t="n">
        <x:v>0</x:v>
      </x:c>
      <x:c r="M6885" t="n">
        <x:v>0</x:v>
      </x:c>
      <x:c r="N6885" t="str">
        <x:v>Fully Paid</x:v>
      </x:c>
      <x:c r="O6885" t="str">
        <x:f>IF(D6885="","Unknown",IF(D6885&lt;25000,"&lt;$25k",IF(D6885&lt;50000,"$25k-$50k",IF(D6885&lt;75000,"$50k-$75k",IF(D6885&lt;100000,"$75k-$100k","$100k+")))))</x:f>
        <x:v>$25k-$50k</x:v>
      </x:c>
      <x:c r="P6885" t="str">
        <x:f>IF(E6885="","Unknown",IF(E6885&lt;10,"&lt;10",IF(E6885&lt;20,"10-&lt;20",IF(E6885&lt;25,"20-&lt;25",IF(E6885&lt;35,"25-&lt;35","35+")))))</x:f>
        <x:v>10-&lt;20</x:v>
      </x:c>
    </x:row>
    <x:row r="6886">
      <x:c r="A6886" t="str">
        <x:v>SYN0006885</x:v>
      </x:c>
      <x:c r="B6886" s="12" t="n">
        <x:v>41815</x:v>
      </x:c>
      <x:c r="C6886" s="18" t="n">
        <x:v>9786</x:v>
      </x:c>
      <x:c r="D6886" s="18" t="n">
        <x:v>94884</x:v>
      </x:c>
      <x:c r="E6886" s="18" t="n">
        <x:v>27.04</x:v>
      </x:c>
      <x:c r="F6886" s="18" t="n">
        <x:v>12.53</x:v>
      </x:c>
      <x:c r="G6886" t="n">
        <x:v>36</x:v>
      </x:c>
      <x:c r="H6886" t="str">
        <x:v>D</x:v>
      </x:c>
      <x:c r="I6886" t="str">
        <x:v>4-6 years</x:v>
      </x:c>
      <x:c r="J6886" t="str">
        <x:v>RENT</x:v>
      </x:c>
      <x:c r="K6886" t="str">
        <x:v>credit_card</x:v>
      </x:c>
      <x:c r="L6886" t="n">
        <x:v>0</x:v>
      </x:c>
      <x:c r="M6886" t="n">
        <x:v>0</x:v>
      </x:c>
      <x:c r="N6886" t="str">
        <x:v>Fully Paid</x:v>
      </x:c>
      <x:c r="O6886" t="str">
        <x:f>IF(D6886="","Unknown",IF(D6886&lt;25000,"&lt;$25k",IF(D6886&lt;50000,"$25k-$50k",IF(D6886&lt;75000,"$50k-$75k",IF(D6886&lt;100000,"$75k-$100k","$100k+")))))</x:f>
        <x:v>$75k-$100k</x:v>
      </x:c>
      <x:c r="P6886" t="str">
        <x:f>IF(E6886="","Unknown",IF(E6886&lt;10,"&lt;10",IF(E6886&lt;20,"10-&lt;20",IF(E6886&lt;25,"20-&lt;25",IF(E6886&lt;35,"25-&lt;35","35+")))))</x:f>
        <x:v>25-&lt;35</x:v>
      </x:c>
    </x:row>
    <x:row r="6887">
      <x:c r="A6887" t="str">
        <x:v>SYN0006886</x:v>
      </x:c>
      <x:c r="B6887" s="12" t="n">
        <x:v>42745</x:v>
      </x:c>
      <x:c r="C6887" s="18" t="n">
        <x:v>11595</x:v>
      </x:c>
      <x:c r="D6887" s="18" t="n">
        <x:v>38242</x:v>
      </x:c>
      <x:c r="E6887" s="18" t="n">
        <x:v>24.23</x:v>
      </x:c>
      <x:c r="F6887" s="18" t="n">
        <x:v>17.26</x:v>
      </x:c>
      <x:c r="G6887" t="n">
        <x:v>60</x:v>
      </x:c>
      <x:c r="H6887" t="str">
        <x:v>E</x:v>
      </x:c>
      <x:c r="I6887" t="str">
        <x:v>10+ years</x:v>
      </x:c>
      <x:c r="J6887" t="str">
        <x:v>MORTGAGE</x:v>
      </x:c>
      <x:c r="K6887" t="str">
        <x:v>debt_consolidation</x:v>
      </x:c>
      <x:c r="L6887" t="n">
        <x:v>1</x:v>
      </x:c>
      <x:c r="M6887" t="n">
        <x:v>0</x:v>
      </x:c>
      <x:c r="N6887" t="str">
        <x:v>Fully Paid</x:v>
      </x:c>
      <x:c r="O6887" t="str">
        <x:f>IF(D6887="","Unknown",IF(D6887&lt;25000,"&lt;$25k",IF(D6887&lt;50000,"$25k-$50k",IF(D6887&lt;75000,"$50k-$75k",IF(D6887&lt;100000,"$75k-$100k","$100k+")))))</x:f>
        <x:v>$25k-$50k</x:v>
      </x:c>
      <x:c r="P6887" t="str">
        <x:f>IF(E6887="","Unknown",IF(E6887&lt;10,"&lt;10",IF(E6887&lt;20,"10-&lt;20",IF(E6887&lt;25,"20-&lt;25",IF(E6887&lt;35,"25-&lt;35","35+")))))</x:f>
        <x:v>20-&lt;25</x:v>
      </x:c>
    </x:row>
    <x:row r="6888">
      <x:c r="A6888" t="str">
        <x:v>SYN0006887</x:v>
      </x:c>
      <x:c r="B6888" s="12" t="n">
        <x:v>42475</x:v>
      </x:c>
      <x:c r="C6888" s="18" t="n">
        <x:v>13933</x:v>
      </x:c>
      <x:c r="D6888" s="18" t="n">
        <x:v>52029</x:v>
      </x:c>
      <x:c r="E6888" s="18" t="n">
        <x:v>37.34</x:v>
      </x:c>
      <x:c r="F6888" s="18" t="n">
        <x:v>26</x:v>
      </x:c>
      <x:c r="G6888" t="n">
        <x:v>36</x:v>
      </x:c>
      <x:c r="H6888" t="str">
        <x:v>G</x:v>
      </x:c>
      <x:c r="I6888" t="str">
        <x:v>4-6 years</x:v>
      </x:c>
      <x:c r="J6888" t="str">
        <x:v>RENT</x:v>
      </x:c>
      <x:c r="K6888" t="str">
        <x:v>debt_consolidation</x:v>
      </x:c>
      <x:c r="L6888" t="n">
        <x:v>1</x:v>
      </x:c>
      <x:c r="M6888" t="n">
        <x:v>1</x:v>
      </x:c>
      <x:c r="N6888" t="str">
        <x:v>Charged Off</x:v>
      </x:c>
      <x:c r="O6888" t="str">
        <x:f>IF(D6888="","Unknown",IF(D6888&lt;25000,"&lt;$25k",IF(D6888&lt;50000,"$25k-$50k",IF(D6888&lt;75000,"$50k-$75k",IF(D6888&lt;100000,"$75k-$100k","$100k+")))))</x:f>
        <x:v>$50k-$75k</x:v>
      </x:c>
      <x:c r="P6888" t="str">
        <x:f>IF(E6888="","Unknown",IF(E6888&lt;10,"&lt;10",IF(E6888&lt;20,"10-&lt;20",IF(E6888&lt;25,"20-&lt;25",IF(E6888&lt;35,"25-&lt;35","35+")))))</x:f>
        <x:v>35+</x:v>
      </x:c>
    </x:row>
    <x:row r="6889">
      <x:c r="A6889" t="str">
        <x:v>SYN0006888</x:v>
      </x:c>
      <x:c r="B6889" s="12" t="n">
        <x:v>43195</x:v>
      </x:c>
      <x:c r="C6889" s="18" t="n">
        <x:v>11440</x:v>
      </x:c>
      <x:c r="D6889" s="18" t="n">
        <x:v>24164</x:v>
      </x:c>
      <x:c r="E6889" s="18" t="n">
        <x:v>27.87</x:v>
      </x:c>
      <x:c r="F6889" s="18" t="n">
        <x:v>6.01</x:v>
      </x:c>
      <x:c r="G6889" t="n">
        <x:v>36</x:v>
      </x:c>
      <x:c r="H6889" t="str">
        <x:v>A</x:v>
      </x:c>
      <x:c r="I6889" t="str">
        <x:v>10+ years</x:v>
      </x:c>
      <x:c r="J6889" t="str">
        <x:v>MORTGAGE</x:v>
      </x:c>
      <x:c r="K6889" t="str">
        <x:v>debt_consolidation</x:v>
      </x:c>
      <x:c r="L6889" t="n">
        <x:v>0</x:v>
      </x:c>
      <x:c r="M6889" t="n">
        <x:v>0</x:v>
      </x:c>
      <x:c r="N6889" t="str">
        <x:v>Fully Paid</x:v>
      </x:c>
      <x:c r="O6889" t="str">
        <x:f>IF(D6889="","Unknown",IF(D6889&lt;25000,"&lt;$25k",IF(D6889&lt;50000,"$25k-$50k",IF(D6889&lt;75000,"$50k-$75k",IF(D6889&lt;100000,"$75k-$100k","$100k+")))))</x:f>
        <x:v>&lt;$25k</x:v>
      </x:c>
      <x:c r="P6889" t="str">
        <x:f>IF(E6889="","Unknown",IF(E6889&lt;10,"&lt;10",IF(E6889&lt;20,"10-&lt;20",IF(E6889&lt;25,"20-&lt;25",IF(E6889&lt;35,"25-&lt;35","35+")))))</x:f>
        <x:v>25-&lt;35</x:v>
      </x:c>
    </x:row>
    <x:row r="6890">
      <x:c r="A6890" t="str">
        <x:v>SYN0006889</x:v>
      </x:c>
      <x:c r="B6890" s="12" t="n">
        <x:v>42775</x:v>
      </x:c>
      <x:c r="C6890" s="18" t="n">
        <x:v>13850</x:v>
      </x:c>
      <x:c r="D6890" s="18" t="n">
        <x:v>92409</x:v>
      </x:c>
      <x:c r="E6890" s="18" t="n">
        <x:v>24.61</x:v>
      </x:c>
      <x:c r="F6890" s="18" t="n">
        <x:v>10.88</x:v>
      </x:c>
      <x:c r="G6890" t="n">
        <x:v>36</x:v>
      </x:c>
      <x:c r="H6890" t="str">
        <x:v>C</x:v>
      </x:c>
      <x:c r="I6890" t="str">
        <x:v>7-9 years</x:v>
      </x:c>
      <x:c r="J6890" t="str">
        <x:v>RENT</x:v>
      </x:c>
      <x:c r="K6890" t="str">
        <x:v>other</x:v>
      </x:c>
      <x:c r="L6890" t="n">
        <x:v>2</x:v>
      </x:c>
      <x:c r="M6890" t="n">
        <x:v>0</x:v>
      </x:c>
      <x:c r="N6890" t="str">
        <x:v>Fully Paid</x:v>
      </x:c>
      <x:c r="O6890" t="str">
        <x:f>IF(D6890="","Unknown",IF(D6890&lt;25000,"&lt;$25k",IF(D6890&lt;50000,"$25k-$50k",IF(D6890&lt;75000,"$50k-$75k",IF(D6890&lt;100000,"$75k-$100k","$100k+")))))</x:f>
        <x:v>$75k-$100k</x:v>
      </x:c>
      <x:c r="P6890" t="str">
        <x:f>IF(E6890="","Unknown",IF(E6890&lt;10,"&lt;10",IF(E6890&lt;20,"10-&lt;20",IF(E6890&lt;25,"20-&lt;25",IF(E6890&lt;35,"25-&lt;35","35+")))))</x:f>
        <x:v>20-&lt;25</x:v>
      </x:c>
    </x:row>
    <x:row r="6891">
      <x:c r="A6891" t="str">
        <x:v>SYN0006890</x:v>
      </x:c>
      <x:c r="B6891" s="12" t="n">
        <x:v>42625</x:v>
      </x:c>
      <x:c r="C6891" s="18" t="n">
        <x:v>17202</x:v>
      </x:c>
      <x:c r="D6891" s="18" t="n">
        <x:v>133907</x:v>
      </x:c>
      <x:c r="E6891" s="18" t="n">
        <x:v>10.61</x:v>
      </x:c>
      <x:c r="F6891" s="18" t="n">
        <x:v>8.58</x:v>
      </x:c>
      <x:c r="G6891" t="n">
        <x:v>36</x:v>
      </x:c>
      <x:c r="H6891" t="str">
        <x:v>B</x:v>
      </x:c>
      <x:c r="I6891" t="str">
        <x:v>10+ years</x:v>
      </x:c>
      <x:c r="J6891" t="str">
        <x:v>MORTGAGE</x:v>
      </x:c>
      <x:c r="K6891" t="str">
        <x:v>home_improvement</x:v>
      </x:c>
      <x:c r="L6891" t="n">
        <x:v>0</x:v>
      </x:c>
      <x:c r="M6891" t="n">
        <x:v>0</x:v>
      </x:c>
      <x:c r="N6891" t="str">
        <x:v>Fully Paid</x:v>
      </x:c>
      <x:c r="O6891" t="str">
        <x:f>IF(D6891="","Unknown",IF(D6891&lt;25000,"&lt;$25k",IF(D6891&lt;50000,"$25k-$50k",IF(D6891&lt;75000,"$50k-$75k",IF(D6891&lt;100000,"$75k-$100k","$100k+")))))</x:f>
        <x:v>$100k+</x:v>
      </x:c>
      <x:c r="P6891" t="str">
        <x:f>IF(E6891="","Unknown",IF(E6891&lt;10,"&lt;10",IF(E6891&lt;20,"10-&lt;20",IF(E6891&lt;25,"20-&lt;25",IF(E6891&lt;35,"25-&lt;35","35+")))))</x:f>
        <x:v>10-&lt;20</x:v>
      </x:c>
    </x:row>
    <x:row r="6892">
      <x:c r="A6892" t="str">
        <x:v>SYN0006891</x:v>
      </x:c>
      <x:c r="B6892" s="12" t="n">
        <x:v>43135</x:v>
      </x:c>
      <x:c r="C6892" s="18" t="n">
        <x:v>6469</x:v>
      </x:c>
      <x:c r="D6892" s="18" t="n">
        <x:v>33212</x:v>
      </x:c>
      <x:c r="E6892" s="18" t="n">
        <x:v>20.82</x:v>
      </x:c>
      <x:c r="F6892" s="18" t="n">
        <x:v>20.85</x:v>
      </x:c>
      <x:c r="G6892" t="n">
        <x:v>36</x:v>
      </x:c>
      <x:c r="H6892" t="str">
        <x:v>F</x:v>
      </x:c>
      <x:c r="I6892" t="str">
        <x:v>1-3 years</x:v>
      </x:c>
      <x:c r="J6892" t="str">
        <x:v>RENT</x:v>
      </x:c>
      <x:c r="K6892" t="str">
        <x:v>medical</x:v>
      </x:c>
      <x:c r="L6892" t="n">
        <x:v>1</x:v>
      </x:c>
      <x:c r="M6892" t="n">
        <x:v>0</x:v>
      </x:c>
      <x:c r="N6892" t="str">
        <x:v>Fully Paid</x:v>
      </x:c>
      <x:c r="O6892" t="str">
        <x:f>IF(D6892="","Unknown",IF(D6892&lt;25000,"&lt;$25k",IF(D6892&lt;50000,"$25k-$50k",IF(D6892&lt;75000,"$50k-$75k",IF(D6892&lt;100000,"$75k-$100k","$100k+")))))</x:f>
        <x:v>$25k-$50k</x:v>
      </x:c>
      <x:c r="P6892" t="str">
        <x:f>IF(E6892="","Unknown",IF(E6892&lt;10,"&lt;10",IF(E6892&lt;20,"10-&lt;20",IF(E6892&lt;25,"20-&lt;25",IF(E6892&lt;35,"25-&lt;35","35+")))))</x:f>
        <x:v>20-&lt;25</x:v>
      </x:c>
    </x:row>
    <x:row r="6893">
      <x:c r="A6893" t="str">
        <x:v>SYN0006892</x:v>
      </x:c>
      <x:c r="B6893" s="12" t="n">
        <x:v>41365</x:v>
      </x:c>
      <x:c r="C6893" s="18" t="n">
        <x:v>19774</x:v>
      </x:c>
      <x:c r="D6893" s="18" t="n">
        <x:v>40555</x:v>
      </x:c>
      <x:c r="E6893" s="18" t="n">
        <x:v>19.12</x:v>
      </x:c>
      <x:c r="F6893" s="18" t="n">
        <x:v>12.82</x:v>
      </x:c>
      <x:c r="G6893" t="n">
        <x:v>36</x:v>
      </x:c>
      <x:c r="H6893" t="str">
        <x:v>D</x:v>
      </x:c>
      <x:c r="I6893" t="str">
        <x:v>4-6 years</x:v>
      </x:c>
      <x:c r="J6893" t="str">
        <x:v>MORTGAGE</x:v>
      </x:c>
      <x:c r="K6893" t="str">
        <x:v>home_improvement</x:v>
      </x:c>
      <x:c r="L6893" t="n">
        <x:v>0</x:v>
      </x:c>
      <x:c r="M6893" t="n">
        <x:v>0</x:v>
      </x:c>
      <x:c r="N6893" t="str">
        <x:v>Fully Paid</x:v>
      </x:c>
      <x:c r="O6893" t="str">
        <x:f>IF(D6893="","Unknown",IF(D6893&lt;25000,"&lt;$25k",IF(D6893&lt;50000,"$25k-$50k",IF(D6893&lt;75000,"$50k-$75k",IF(D6893&lt;100000,"$75k-$100k","$100k+")))))</x:f>
        <x:v>$25k-$50k</x:v>
      </x:c>
      <x:c r="P6893" t="str">
        <x:f>IF(E6893="","Unknown",IF(E6893&lt;10,"&lt;10",IF(E6893&lt;20,"10-&lt;20",IF(E6893&lt;25,"20-&lt;25",IF(E6893&lt;35,"25-&lt;35","35+")))))</x:f>
        <x:v>10-&lt;20</x:v>
      </x:c>
    </x:row>
    <x:row r="6894">
      <x:c r="A6894" t="str">
        <x:v>SYN0006893</x:v>
      </x:c>
      <x:c r="B6894" s="12" t="n">
        <x:v>41695</x:v>
      </x:c>
      <x:c r="C6894" s="18" t="n">
        <x:v>19746</x:v>
      </x:c>
      <x:c r="D6894" s="18" t="n">
        <x:v>81591</x:v>
      </x:c>
      <x:c r="E6894" s="18" t="n">
        <x:v>26.04</x:v>
      </x:c>
      <x:c r="F6894" s="18" t="n">
        <x:v>19.82</x:v>
      </x:c>
      <x:c r="G6894" t="n">
        <x:v>60</x:v>
      </x:c>
      <x:c r="H6894" t="str">
        <x:v>E</x:v>
      </x:c>
      <x:c r="I6894" t="str">
        <x:v>1-3 years</x:v>
      </x:c>
      <x:c r="J6894" t="str">
        <x:v>RENT</x:v>
      </x:c>
      <x:c r="K6894" t="str">
        <x:v>debt_consolidation</x:v>
      </x:c>
      <x:c r="L6894" t="n">
        <x:v>0</x:v>
      </x:c>
      <x:c r="M6894" t="n">
        <x:v>1</x:v>
      </x:c>
      <x:c r="N6894" t="str">
        <x:v>Charged Off</x:v>
      </x:c>
      <x:c r="O6894" t="str">
        <x:f>IF(D6894="","Unknown",IF(D6894&lt;25000,"&lt;$25k",IF(D6894&lt;50000,"$25k-$50k",IF(D6894&lt;75000,"$50k-$75k",IF(D6894&lt;100000,"$75k-$100k","$100k+")))))</x:f>
        <x:v>$75k-$100k</x:v>
      </x:c>
      <x:c r="P6894" t="str">
        <x:f>IF(E6894="","Unknown",IF(E6894&lt;10,"&lt;10",IF(E6894&lt;20,"10-&lt;20",IF(E6894&lt;25,"20-&lt;25",IF(E6894&lt;35,"25-&lt;35","35+")))))</x:f>
        <x:v>25-&lt;35</x:v>
      </x:c>
    </x:row>
    <x:row r="6895">
      <x:c r="A6895" t="str">
        <x:v>SYN0006894</x:v>
      </x:c>
      <x:c r="B6895" s="12" t="n">
        <x:v>43135</x:v>
      </x:c>
      <x:c r="C6895" s="18" t="n">
        <x:v>24435</x:v>
      </x:c>
      <x:c r="D6895" s="18" t="n">
        <x:v>86354</x:v>
      </x:c>
      <x:c r="E6895" s="18" t="n">
        <x:v>30.37</x:v>
      </x:c>
      <x:c r="F6895" s="18" t="n">
        <x:v>5.91</x:v>
      </x:c>
      <x:c r="G6895" t="n">
        <x:v>36</x:v>
      </x:c>
      <x:c r="H6895" t="str">
        <x:v>B</x:v>
      </x:c>
      <x:c r="I6895" t="str">
        <x:v>10+ years</x:v>
      </x:c>
      <x:c r="J6895" t="str">
        <x:v>MORTGAGE</x:v>
      </x:c>
      <x:c r="K6895" t="str">
        <x:v>debt_consolidation</x:v>
      </x:c>
      <x:c r="L6895" t="n">
        <x:v>0</x:v>
      </x:c>
      <x:c r="M6895" t="n">
        <x:v>0</x:v>
      </x:c>
      <x:c r="N6895" t="str">
        <x:v>Fully Paid</x:v>
      </x:c>
      <x:c r="O6895" t="str">
        <x:f>IF(D6895="","Unknown",IF(D6895&lt;25000,"&lt;$25k",IF(D6895&lt;50000,"$25k-$50k",IF(D6895&lt;75000,"$50k-$75k",IF(D6895&lt;100000,"$75k-$100k","$100k+")))))</x:f>
        <x:v>$75k-$100k</x:v>
      </x:c>
      <x:c r="P6895" t="str">
        <x:f>IF(E6895="","Unknown",IF(E6895&lt;10,"&lt;10",IF(E6895&lt;20,"10-&lt;20",IF(E6895&lt;25,"20-&lt;25",IF(E6895&lt;35,"25-&lt;35","35+")))))</x:f>
        <x:v>25-&lt;35</x:v>
      </x:c>
    </x:row>
    <x:row r="6896">
      <x:c r="A6896" t="str">
        <x:v>SYN0006895</x:v>
      </x:c>
      <x:c r="B6896" s="12" t="n">
        <x:v>41575</x:v>
      </x:c>
      <x:c r="C6896" s="18" t="n">
        <x:v>8299</x:v>
      </x:c>
      <x:c r="D6896" s="18" t="n">
        <x:v>31258</x:v>
      </x:c>
      <x:c r="E6896" s="18" t="n">
        <x:v>23.26</x:v>
      </x:c>
      <x:c r="F6896" s="18" t="n">
        <x:v>15.13</x:v>
      </x:c>
      <x:c r="G6896" t="n">
        <x:v>36</x:v>
      </x:c>
      <x:c r="H6896" t="str">
        <x:v>D</x:v>
      </x:c>
      <x:c r="I6896" t="str">
        <x:v>1-3 years</x:v>
      </x:c>
      <x:c r="J6896" t="str">
        <x:v>MORTGAGE</x:v>
      </x:c>
      <x:c r="K6896" t="str">
        <x:v>medical</x:v>
      </x:c>
      <x:c r="L6896" t="n">
        <x:v>1</x:v>
      </x:c>
      <x:c r="M6896" t="n">
        <x:v>0</x:v>
      </x:c>
      <x:c r="N6896" t="str">
        <x:v>Fully Paid</x:v>
      </x:c>
      <x:c r="O6896" t="str">
        <x:f>IF(D6896="","Unknown",IF(D6896&lt;25000,"&lt;$25k",IF(D6896&lt;50000,"$25k-$50k",IF(D6896&lt;75000,"$50k-$75k",IF(D6896&lt;100000,"$75k-$100k","$100k+")))))</x:f>
        <x:v>$25k-$50k</x:v>
      </x:c>
      <x:c r="P6896" t="str">
        <x:f>IF(E6896="","Unknown",IF(E6896&lt;10,"&lt;10",IF(E6896&lt;20,"10-&lt;20",IF(E6896&lt;25,"20-&lt;25",IF(E6896&lt;35,"25-&lt;35","35+")))))</x:f>
        <x:v>20-&lt;25</x:v>
      </x:c>
    </x:row>
    <x:row r="6897">
      <x:c r="A6897" t="str">
        <x:v>SYN0006896</x:v>
      </x:c>
      <x:c r="B6897" s="12" t="n">
        <x:v>42565</x:v>
      </x:c>
      <x:c r="C6897" s="18" t="n">
        <x:v>9357</x:v>
      </x:c>
      <x:c r="D6897" s="18" t="n">
        <x:v>22733</x:v>
      </x:c>
      <x:c r="E6897" s="18" t="n">
        <x:v>26.36</x:v>
      </x:c>
      <x:c r="F6897" s="18" t="n">
        <x:v>9.51</x:v>
      </x:c>
      <x:c r="G6897" t="n">
        <x:v>36</x:v>
      </x:c>
      <x:c r="H6897" t="str">
        <x:v>B</x:v>
      </x:c>
      <x:c r="I6897" t="str">
        <x:v>1-3 years</x:v>
      </x:c>
      <x:c r="J6897" t="str">
        <x:v>MORTGAGE</x:v>
      </x:c>
      <x:c r="K6897" t="str">
        <x:v>credit_card</x:v>
      </x:c>
      <x:c r="L6897" t="n">
        <x:v>0</x:v>
      </x:c>
      <x:c r="M6897" t="n">
        <x:v>0</x:v>
      </x:c>
      <x:c r="N6897" t="str">
        <x:v>Fully Paid</x:v>
      </x:c>
      <x:c r="O6897" t="str">
        <x:f>IF(D6897="","Unknown",IF(D6897&lt;25000,"&lt;$25k",IF(D6897&lt;50000,"$25k-$50k",IF(D6897&lt;75000,"$50k-$75k",IF(D6897&lt;100000,"$75k-$100k","$100k+")))))</x:f>
        <x:v>&lt;$25k</x:v>
      </x:c>
      <x:c r="P6897" t="str">
        <x:f>IF(E6897="","Unknown",IF(E6897&lt;10,"&lt;10",IF(E6897&lt;20,"10-&lt;20",IF(E6897&lt;25,"20-&lt;25",IF(E6897&lt;35,"25-&lt;35","35+")))))</x:f>
        <x:v>25-&lt;35</x:v>
      </x:c>
    </x:row>
    <x:row r="6898">
      <x:c r="A6898" t="str">
        <x:v>SYN0006897</x:v>
      </x:c>
      <x:c r="B6898" s="12" t="n">
        <x:v>41275</x:v>
      </x:c>
      <x:c r="C6898" s="18" t="n">
        <x:v>19524</x:v>
      </x:c>
      <x:c r="D6898" s="18" t="n">
        <x:v>92138</x:v>
      </x:c>
      <x:c r="E6898" s="18" t="n">
        <x:v>4.68</x:v>
      </x:c>
      <x:c r="F6898" s="18" t="n">
        <x:v>19.28</x:v>
      </x:c>
      <x:c r="G6898" t="n">
        <x:v>36</x:v>
      </x:c>
      <x:c r="H6898" t="str">
        <x:v>E</x:v>
      </x:c>
      <x:c r="I6898" t="str">
        <x:v>1-3 years</x:v>
      </x:c>
      <x:c r="J6898" t="str">
        <x:v>MORTGAGE</x:v>
      </x:c>
      <x:c r="K6898" t="str">
        <x:v>credit_card</x:v>
      </x:c>
      <x:c r="L6898" t="n">
        <x:v>1</x:v>
      </x:c>
      <x:c r="M6898" t="n">
        <x:v>0</x:v>
      </x:c>
      <x:c r="N6898" t="str">
        <x:v>Fully Paid</x:v>
      </x:c>
      <x:c r="O6898" t="str">
        <x:f>IF(D6898="","Unknown",IF(D6898&lt;25000,"&lt;$25k",IF(D6898&lt;50000,"$25k-$50k",IF(D6898&lt;75000,"$50k-$75k",IF(D6898&lt;100000,"$75k-$100k","$100k+")))))</x:f>
        <x:v>$75k-$100k</x:v>
      </x:c>
      <x:c r="P6898" t="str">
        <x:f>IF(E6898="","Unknown",IF(E6898&lt;10,"&lt;10",IF(E6898&lt;20,"10-&lt;20",IF(E6898&lt;25,"20-&lt;25",IF(E6898&lt;35,"25-&lt;35","35+")))))</x:f>
        <x:v>&lt;10</x:v>
      </x:c>
    </x:row>
    <x:row r="6899">
      <x:c r="A6899" t="str">
        <x:v>SYN0006898</x:v>
      </x:c>
      <x:c r="B6899" s="12" t="n">
        <x:v>42085</x:v>
      </x:c>
      <x:c r="C6899" s="18" t="n">
        <x:v>29220</x:v>
      </x:c>
      <x:c r="D6899" s="18" t="n">
        <x:v>51799</x:v>
      </x:c>
      <x:c r="E6899" s="18" t="n">
        <x:v>19.44</x:v>
      </x:c>
      <x:c r="F6899" s="18" t="n">
        <x:v>5.55</x:v>
      </x:c>
      <x:c r="G6899" t="n">
        <x:v>36</x:v>
      </x:c>
      <x:c r="H6899" t="str">
        <x:v>B</x:v>
      </x:c>
      <x:c r="I6899" t="str">
        <x:v>1-3 years</x:v>
      </x:c>
      <x:c r="J6899" t="str">
        <x:v>MORTGAGE</x:v>
      </x:c>
      <x:c r="K6899" t="str">
        <x:v>credit_card</x:v>
      </x:c>
      <x:c r="L6899" t="n">
        <x:v>0</x:v>
      </x:c>
      <x:c r="M6899" t="n">
        <x:v>0</x:v>
      </x:c>
      <x:c r="N6899" t="str">
        <x:v>Fully Paid</x:v>
      </x:c>
      <x:c r="O6899" t="str">
        <x:f>IF(D6899="","Unknown",IF(D6899&lt;25000,"&lt;$25k",IF(D6899&lt;50000,"$25k-$50k",IF(D6899&lt;75000,"$50k-$75k",IF(D6899&lt;100000,"$75k-$100k","$100k+")))))</x:f>
        <x:v>$50k-$75k</x:v>
      </x:c>
      <x:c r="P6899" t="str">
        <x:f>IF(E6899="","Unknown",IF(E6899&lt;10,"&lt;10",IF(E6899&lt;20,"10-&lt;20",IF(E6899&lt;25,"20-&lt;25",IF(E6899&lt;35,"25-&lt;35","35+")))))</x:f>
        <x:v>10-&lt;20</x:v>
      </x:c>
    </x:row>
    <x:row r="6900">
      <x:c r="A6900" t="str">
        <x:v>SYN0006899</x:v>
      </x:c>
      <x:c r="B6900" s="12" t="n">
        <x:v>41725</x:v>
      </x:c>
      <x:c r="C6900" s="18" t="n">
        <x:v>13940</x:v>
      </x:c>
      <x:c r="D6900" s="18" t="n">
        <x:v>41408</x:v>
      </x:c>
      <x:c r="E6900" s="18" t="n">
        <x:v>16.89</x:v>
      </x:c>
      <x:c r="F6900" s="18" t="n">
        <x:v>13.99</x:v>
      </x:c>
      <x:c r="G6900" t="n">
        <x:v>36</x:v>
      </x:c>
      <x:c r="H6900" t="str">
        <x:v>D</x:v>
      </x:c>
      <x:c r="I6900" t="str">
        <x:v>&lt;1 year</x:v>
      </x:c>
      <x:c r="J6900" t="str">
        <x:v>OWN</x:v>
      </x:c>
      <x:c r="K6900" t="str">
        <x:v>debt_consolidation</x:v>
      </x:c>
      <x:c r="L6900" t="n">
        <x:v>0</x:v>
      </x:c>
      <x:c r="M6900" t="n">
        <x:v>0</x:v>
      </x:c>
      <x:c r="N6900" t="str">
        <x:v>Fully Paid</x:v>
      </x:c>
      <x:c r="O6900" t="str">
        <x:f>IF(D6900="","Unknown",IF(D6900&lt;25000,"&lt;$25k",IF(D6900&lt;50000,"$25k-$50k",IF(D6900&lt;75000,"$50k-$75k",IF(D6900&lt;100000,"$75k-$100k","$100k+")))))</x:f>
        <x:v>$25k-$50k</x:v>
      </x:c>
      <x:c r="P6900" t="str">
        <x:f>IF(E6900="","Unknown",IF(E6900&lt;10,"&lt;10",IF(E6900&lt;20,"10-&lt;20",IF(E6900&lt;25,"20-&lt;25",IF(E6900&lt;35,"25-&lt;35","35+")))))</x:f>
        <x:v>10-&lt;20</x:v>
      </x:c>
    </x:row>
    <x:row r="6901">
      <x:c r="A6901" t="str">
        <x:v>SYN0006900</x:v>
      </x:c>
      <x:c r="B6901" s="12" t="n">
        <x:v>43375</x:v>
      </x:c>
      <x:c r="C6901" s="18" t="n">
        <x:v>6728</x:v>
      </x:c>
      <x:c r="D6901" s="18" t="n">
        <x:v>30221</x:v>
      </x:c>
      <x:c r="E6901" s="18" t="n">
        <x:v>16.39</x:v>
      </x:c>
      <x:c r="F6901" s="18" t="n">
        <x:v>9.22</x:v>
      </x:c>
      <x:c r="G6901" t="n">
        <x:v>36</x:v>
      </x:c>
      <x:c r="H6901" t="str">
        <x:v>B</x:v>
      </x:c>
      <x:c r="I6901" t="str">
        <x:v>1-3 years</x:v>
      </x:c>
      <x:c r="J6901" t="str">
        <x:v>RENT</x:v>
      </x:c>
      <x:c r="K6901" t="str">
        <x:v>debt_consolidation</x:v>
      </x:c>
      <x:c r="L6901" t="n">
        <x:v>0</x:v>
      </x:c>
      <x:c r="M6901" t="n">
        <x:v>0</x:v>
      </x:c>
      <x:c r="N6901" t="str">
        <x:v>Fully Paid</x:v>
      </x:c>
      <x:c r="O6901" t="str">
        <x:f>IF(D6901="","Unknown",IF(D6901&lt;25000,"&lt;$25k",IF(D6901&lt;50000,"$25k-$50k",IF(D6901&lt;75000,"$50k-$75k",IF(D6901&lt;100000,"$75k-$100k","$100k+")))))</x:f>
        <x:v>$25k-$50k</x:v>
      </x:c>
      <x:c r="P6901" t="str">
        <x:f>IF(E6901="","Unknown",IF(E6901&lt;10,"&lt;10",IF(E6901&lt;20,"10-&lt;20",IF(E6901&lt;25,"20-&lt;25",IF(E6901&lt;35,"25-&lt;35","35+")))))</x:f>
        <x:v>10-&lt;20</x:v>
      </x:c>
    </x:row>
    <x:row r="6902">
      <x:c r="A6902" t="str">
        <x:v>SYN0006901</x:v>
      </x:c>
      <x:c r="B6902" s="12" t="n">
        <x:v>41605</x:v>
      </x:c>
      <x:c r="C6902" s="18" t="n">
        <x:v>23283</x:v>
      </x:c>
      <x:c r="D6902" s="18" t="n">
        <x:v>62584</x:v>
      </x:c>
      <x:c r="E6902" s="18" t="n">
        <x:v>18.33</x:v>
      </x:c>
      <x:c r="F6902" s="18" t="n">
        <x:v>5</x:v>
      </x:c>
      <x:c r="G6902" t="n">
        <x:v>60</x:v>
      </x:c>
      <x:c r="H6902" t="str">
        <x:v>A</x:v>
      </x:c>
      <x:c r="I6902" t="str">
        <x:v>7-9 years</x:v>
      </x:c>
      <x:c r="J6902" t="str">
        <x:v>RENT</x:v>
      </x:c>
      <x:c r="K6902" t="str">
        <x:v>other</x:v>
      </x:c>
      <x:c r="L6902" t="n">
        <x:v>0</x:v>
      </x:c>
      <x:c r="M6902" t="n">
        <x:v>0</x:v>
      </x:c>
      <x:c r="N6902" t="str">
        <x:v>Fully Paid</x:v>
      </x:c>
      <x:c r="O6902" t="str">
        <x:f>IF(D6902="","Unknown",IF(D6902&lt;25000,"&lt;$25k",IF(D6902&lt;50000,"$25k-$50k",IF(D6902&lt;75000,"$50k-$75k",IF(D6902&lt;100000,"$75k-$100k","$100k+")))))</x:f>
        <x:v>$50k-$75k</x:v>
      </x:c>
      <x:c r="P6902" t="str">
        <x:f>IF(E6902="","Unknown",IF(E6902&lt;10,"&lt;10",IF(E6902&lt;20,"10-&lt;20",IF(E6902&lt;25,"20-&lt;25",IF(E6902&lt;35,"25-&lt;35","35+")))))</x:f>
        <x:v>10-&lt;20</x:v>
      </x:c>
    </x:row>
    <x:row r="6903">
      <x:c r="A6903" t="str">
        <x:v>SYN0006902</x:v>
      </x:c>
      <x:c r="B6903" s="12" t="n">
        <x:v>42805</x:v>
      </x:c>
      <x:c r="C6903" s="18" t="n">
        <x:v>10958</x:v>
      </x:c>
      <x:c r="D6903" s="18" t="n">
        <x:v>47825</x:v>
      </x:c>
      <x:c r="E6903" s="18" t="n">
        <x:v>14.87</x:v>
      </x:c>
      <x:c r="F6903" s="18" t="n">
        <x:v>18.9</x:v>
      </x:c>
      <x:c r="G6903" t="n">
        <x:v>36</x:v>
      </x:c>
      <x:c r="H6903" t="str">
        <x:v>E</x:v>
      </x:c>
      <x:c r="I6903" t="str">
        <x:v>1-3 years</x:v>
      </x:c>
      <x:c r="J6903" t="str">
        <x:v>RENT</x:v>
      </x:c>
      <x:c r="K6903" t="str">
        <x:v>home_improvement</x:v>
      </x:c>
      <x:c r="L6903" t="n">
        <x:v>2</x:v>
      </x:c>
      <x:c r="M6903" t="n">
        <x:v>0</x:v>
      </x:c>
      <x:c r="N6903" t="str">
        <x:v>Fully Paid</x:v>
      </x:c>
      <x:c r="O6903" t="str">
        <x:f>IF(D6903="","Unknown",IF(D6903&lt;25000,"&lt;$25k",IF(D6903&lt;50000,"$25k-$50k",IF(D6903&lt;75000,"$50k-$75k",IF(D6903&lt;100000,"$75k-$100k","$100k+")))))</x:f>
        <x:v>$25k-$50k</x:v>
      </x:c>
      <x:c r="P6903" t="str">
        <x:f>IF(E6903="","Unknown",IF(E6903&lt;10,"&lt;10",IF(E6903&lt;20,"10-&lt;20",IF(E6903&lt;25,"20-&lt;25",IF(E6903&lt;35,"25-&lt;35","35+")))))</x:f>
        <x:v>10-&lt;20</x:v>
      </x:c>
    </x:row>
    <x:row r="6904">
      <x:c r="A6904" t="str">
        <x:v>SYN0006903</x:v>
      </x:c>
      <x:c r="B6904" s="12" t="n">
        <x:v>43225</x:v>
      </x:c>
      <x:c r="C6904" s="18" t="n">
        <x:v>9346</x:v>
      </x:c>
      <x:c r="D6904" s="18" t="n">
        <x:v>92642</x:v>
      </x:c>
      <x:c r="E6904" s="18" t="n">
        <x:v>17.84</x:v>
      </x:c>
      <x:c r="F6904" s="18" t="n">
        <x:v>9.63</x:v>
      </x:c>
      <x:c r="G6904" t="n">
        <x:v>36</x:v>
      </x:c>
      <x:c r="H6904" t="str">
        <x:v>C</x:v>
      </x:c>
      <x:c r="I6904" t="str">
        <x:v>10+ years</x:v>
      </x:c>
      <x:c r="J6904" t="str">
        <x:v>MORTGAGE</x:v>
      </x:c>
      <x:c r="K6904" t="str">
        <x:v>home_improvement</x:v>
      </x:c>
      <x:c r="L6904" t="n">
        <x:v>0</x:v>
      </x:c>
      <x:c r="M6904" t="n">
        <x:v>0</x:v>
      </x:c>
      <x:c r="N6904" t="str">
        <x:v>Fully Paid</x:v>
      </x:c>
      <x:c r="O6904" t="str">
        <x:f>IF(D6904="","Unknown",IF(D6904&lt;25000,"&lt;$25k",IF(D6904&lt;50000,"$25k-$50k",IF(D6904&lt;75000,"$50k-$75k",IF(D6904&lt;100000,"$75k-$100k","$100k+")))))</x:f>
        <x:v>$75k-$100k</x:v>
      </x:c>
      <x:c r="P6904" t="str">
        <x:f>IF(E6904="","Unknown",IF(E6904&lt;10,"&lt;10",IF(E6904&lt;20,"10-&lt;20",IF(E6904&lt;25,"20-&lt;25",IF(E6904&lt;35,"25-&lt;35","35+")))))</x:f>
        <x:v>10-&lt;20</x:v>
      </x:c>
    </x:row>
    <x:row r="6905">
      <x:c r="A6905" t="str">
        <x:v>SYN0006904</x:v>
      </x:c>
      <x:c r="B6905" s="12" t="n">
        <x:v>42505</x:v>
      </x:c>
      <x:c r="C6905" s="18" t="n">
        <x:v>18504</x:v>
      </x:c>
      <x:c r="D6905" s="18" t="n">
        <x:v>102643</x:v>
      </x:c>
      <x:c r="E6905" s="18" t="n">
        <x:v>12.22</x:v>
      </x:c>
      <x:c r="F6905" s="18" t="n">
        <x:v>9.82</x:v>
      </x:c>
      <x:c r="G6905" t="n">
        <x:v>60</x:v>
      </x:c>
      <x:c r="H6905" t="str">
        <x:v>C</x:v>
      </x:c>
      <x:c r="I6905" t="str">
        <x:v>1-3 years</x:v>
      </x:c>
      <x:c r="J6905" t="str">
        <x:v>MORTGAGE</x:v>
      </x:c>
      <x:c r="K6905" t="str">
        <x:v>major_purchase</x:v>
      </x:c>
      <x:c r="L6905" t="n">
        <x:v>1</x:v>
      </x:c>
      <x:c r="M6905" t="n">
        <x:v>0</x:v>
      </x:c>
      <x:c r="N6905" t="str">
        <x:v>Fully Paid</x:v>
      </x:c>
      <x:c r="O6905" t="str">
        <x:f>IF(D6905="","Unknown",IF(D6905&lt;25000,"&lt;$25k",IF(D6905&lt;50000,"$25k-$50k",IF(D6905&lt;75000,"$50k-$75k",IF(D6905&lt;100000,"$75k-$100k","$100k+")))))</x:f>
        <x:v>$100k+</x:v>
      </x:c>
      <x:c r="P6905" t="str">
        <x:f>IF(E6905="","Unknown",IF(E6905&lt;10,"&lt;10",IF(E6905&lt;20,"10-&lt;20",IF(E6905&lt;25,"20-&lt;25",IF(E6905&lt;35,"25-&lt;35","35+")))))</x:f>
        <x:v>10-&lt;20</x:v>
      </x:c>
    </x:row>
    <x:row r="6906">
      <x:c r="A6906" t="str">
        <x:v>SYN0006905</x:v>
      </x:c>
      <x:c r="B6906" s="12" t="n">
        <x:v>43345</x:v>
      </x:c>
      <x:c r="C6906" s="18" t="n">
        <x:v>16148</x:v>
      </x:c>
      <x:c r="D6906" s="18" t="n">
        <x:v>38063</x:v>
      </x:c>
      <x:c r="E6906" s="18" t="n">
        <x:v>20.98</x:v>
      </x:c>
      <x:c r="F6906" s="18" t="n">
        <x:v>17.6</x:v>
      </x:c>
      <x:c r="G6906" t="n">
        <x:v>36</x:v>
      </x:c>
      <x:c r="H6906" t="str">
        <x:v>E</x:v>
      </x:c>
      <x:c r="I6906" t="str">
        <x:v>4-6 years</x:v>
      </x:c>
      <x:c r="J6906" t="str">
        <x:v>RENT</x:v>
      </x:c>
      <x:c r="K6906" t="str">
        <x:v>debt_consolidation</x:v>
      </x:c>
      <x:c r="L6906" t="n">
        <x:v>1</x:v>
      </x:c>
      <x:c r="M6906" t="n">
        <x:v>0</x:v>
      </x:c>
      <x:c r="N6906" t="str">
        <x:v>Fully Paid</x:v>
      </x:c>
      <x:c r="O6906" t="str">
        <x:f>IF(D6906="","Unknown",IF(D6906&lt;25000,"&lt;$25k",IF(D6906&lt;50000,"$25k-$50k",IF(D6906&lt;75000,"$50k-$75k",IF(D6906&lt;100000,"$75k-$100k","$100k+")))))</x:f>
        <x:v>$25k-$50k</x:v>
      </x:c>
      <x:c r="P6906" t="str">
        <x:f>IF(E6906="","Unknown",IF(E6906&lt;10,"&lt;10",IF(E6906&lt;20,"10-&lt;20",IF(E6906&lt;25,"20-&lt;25",IF(E6906&lt;35,"25-&lt;35","35+")))))</x:f>
        <x:v>20-&lt;25</x:v>
      </x:c>
    </x:row>
    <x:row r="6907">
      <x:c r="A6907" t="str">
        <x:v>SYN0006906</x:v>
      </x:c>
      <x:c r="B6907" s="12" t="n">
        <x:v>42685</x:v>
      </x:c>
      <x:c r="C6907" s="18" t="n">
        <x:v>7520</x:v>
      </x:c>
      <x:c r="D6907" s="18" t="n">
        <x:v>44233</x:v>
      </x:c>
      <x:c r="E6907" s="18" t="n">
        <x:v>26.38</x:v>
      </x:c>
      <x:c r="F6907" s="18" t="n">
        <x:v>15.89</x:v>
      </x:c>
      <x:c r="G6907" t="n">
        <x:v>36</x:v>
      </x:c>
      <x:c r="H6907" t="str">
        <x:v>E</x:v>
      </x:c>
      <x:c r="I6907" t="str">
        <x:v>7-9 years</x:v>
      </x:c>
      <x:c r="J6907" t="str">
        <x:v>MORTGAGE</x:v>
      </x:c>
      <x:c r="K6907" t="str">
        <x:v>debt_consolidation</x:v>
      </x:c>
      <x:c r="L6907" t="n">
        <x:v>1</x:v>
      </x:c>
      <x:c r="M6907" t="n">
        <x:v>0</x:v>
      </x:c>
      <x:c r="N6907" t="str">
        <x:v>Fully Paid</x:v>
      </x:c>
      <x:c r="O6907" t="str">
        <x:f>IF(D6907="","Unknown",IF(D6907&lt;25000,"&lt;$25k",IF(D6907&lt;50000,"$25k-$50k",IF(D6907&lt;75000,"$50k-$75k",IF(D6907&lt;100000,"$75k-$100k","$100k+")))))</x:f>
        <x:v>$25k-$50k</x:v>
      </x:c>
      <x:c r="P6907" t="str">
        <x:f>IF(E6907="","Unknown",IF(E6907&lt;10,"&lt;10",IF(E6907&lt;20,"10-&lt;20",IF(E6907&lt;25,"20-&lt;25",IF(E6907&lt;35,"25-&lt;35","35+")))))</x:f>
        <x:v>25-&lt;35</x:v>
      </x:c>
    </x:row>
    <x:row r="6908">
      <x:c r="A6908" t="str">
        <x:v>SYN0006907</x:v>
      </x:c>
      <x:c r="B6908" s="12" t="n">
        <x:v>41785</x:v>
      </x:c>
      <x:c r="C6908" s="18" t="n">
        <x:v>18989</x:v>
      </x:c>
      <x:c r="D6908" s="18" t="n">
        <x:v>113492</x:v>
      </x:c>
      <x:c r="E6908" s="18" t="n">
        <x:v>35.37</x:v>
      </x:c>
      <x:c r="F6908" s="18" t="n">
        <x:v>14.57</x:v>
      </x:c>
      <x:c r="G6908" t="n">
        <x:v>36</x:v>
      </x:c>
      <x:c r="H6908" t="str">
        <x:v>D</x:v>
      </x:c>
      <x:c r="I6908" t="str">
        <x:v>7-9 years</x:v>
      </x:c>
      <x:c r="J6908" t="str">
        <x:v>RENT</x:v>
      </x:c>
      <x:c r="K6908" t="str">
        <x:v>home_improvement</x:v>
      </x:c>
      <x:c r="L6908" t="n">
        <x:v>0</x:v>
      </x:c>
      <x:c r="M6908" t="n">
        <x:v>0</x:v>
      </x:c>
      <x:c r="N6908" t="str">
        <x:v>Fully Paid</x:v>
      </x:c>
      <x:c r="O6908" t="str">
        <x:f>IF(D6908="","Unknown",IF(D6908&lt;25000,"&lt;$25k",IF(D6908&lt;50000,"$25k-$50k",IF(D6908&lt;75000,"$50k-$75k",IF(D6908&lt;100000,"$75k-$100k","$100k+")))))</x:f>
        <x:v>$100k+</x:v>
      </x:c>
      <x:c r="P6908" t="str">
        <x:f>IF(E6908="","Unknown",IF(E6908&lt;10,"&lt;10",IF(E6908&lt;20,"10-&lt;20",IF(E6908&lt;25,"20-&lt;25",IF(E6908&lt;35,"25-&lt;35","35+")))))</x:f>
        <x:v>35+</x:v>
      </x:c>
    </x:row>
    <x:row r="6909">
      <x:c r="A6909" t="str">
        <x:v>SYN0006908</x:v>
      </x:c>
      <x:c r="B6909" s="12" t="n">
        <x:v>42085</x:v>
      </x:c>
      <x:c r="C6909" s="18" t="n">
        <x:v>11682</x:v>
      </x:c>
      <x:c r="D6909" s="18" t="n">
        <x:v>49223</x:v>
      </x:c>
      <x:c r="E6909" s="18" t="n">
        <x:v>29.53</x:v>
      </x:c>
      <x:c r="F6909" s="18" t="n">
        <x:v>6.02</x:v>
      </x:c>
      <x:c r="G6909" t="n">
        <x:v>60</x:v>
      </x:c>
      <x:c r="H6909" t="str">
        <x:v>A</x:v>
      </x:c>
      <x:c r="I6909" t="str">
        <x:v>4-6 years</x:v>
      </x:c>
      <x:c r="J6909" t="str">
        <x:v>MORTGAGE</x:v>
      </x:c>
      <x:c r="K6909" t="str">
        <x:v>credit_card</x:v>
      </x:c>
      <x:c r="L6909" t="n">
        <x:v>0</x:v>
      </x:c>
      <x:c r="M6909" t="n">
        <x:v>1</x:v>
      </x:c>
      <x:c r="N6909" t="str">
        <x:v>Charged Off</x:v>
      </x:c>
      <x:c r="O6909" t="str">
        <x:f>IF(D6909="","Unknown",IF(D6909&lt;25000,"&lt;$25k",IF(D6909&lt;50000,"$25k-$50k",IF(D6909&lt;75000,"$50k-$75k",IF(D6909&lt;100000,"$75k-$100k","$100k+")))))</x:f>
        <x:v>$25k-$50k</x:v>
      </x:c>
      <x:c r="P6909" t="str">
        <x:f>IF(E6909="","Unknown",IF(E6909&lt;10,"&lt;10",IF(E6909&lt;20,"10-&lt;20",IF(E6909&lt;25,"20-&lt;25",IF(E6909&lt;35,"25-&lt;35","35+")))))</x:f>
        <x:v>25-&lt;35</x:v>
      </x:c>
    </x:row>
    <x:row r="6910">
      <x:c r="A6910" t="str">
        <x:v>SYN0006909</x:v>
      </x:c>
      <x:c r="B6910" s="12" t="n">
        <x:v>41365</x:v>
      </x:c>
      <x:c r="C6910" s="18" t="n">
        <x:v>11574</x:v>
      </x:c>
      <x:c r="D6910" s="18" t="n">
        <x:v>29231</x:v>
      </x:c>
      <x:c r="E6910" s="18" t="n">
        <x:v>34.93</x:v>
      </x:c>
      <x:c r="F6910" s="18" t="n">
        <x:v>12.22</x:v>
      </x:c>
      <x:c r="G6910" t="n">
        <x:v>36</x:v>
      </x:c>
      <x:c r="H6910" t="str">
        <x:v>D</x:v>
      </x:c>
      <x:c r="I6910" t="str">
        <x:v>7-9 years</x:v>
      </x:c>
      <x:c r="J6910" t="str">
        <x:v>RENT</x:v>
      </x:c>
      <x:c r="K6910" t="str">
        <x:v>debt_consolidation</x:v>
      </x:c>
      <x:c r="L6910" t="n">
        <x:v>0</x:v>
      </x:c>
      <x:c r="M6910" t="n">
        <x:v>0</x:v>
      </x:c>
      <x:c r="N6910" t="str">
        <x:v>Fully Paid</x:v>
      </x:c>
      <x:c r="O6910" t="str">
        <x:f>IF(D6910="","Unknown",IF(D6910&lt;25000,"&lt;$25k",IF(D6910&lt;50000,"$25k-$50k",IF(D6910&lt;75000,"$50k-$75k",IF(D6910&lt;100000,"$75k-$100k","$100k+")))))</x:f>
        <x:v>$25k-$50k</x:v>
      </x:c>
      <x:c r="P6910" t="str">
        <x:f>IF(E6910="","Unknown",IF(E6910&lt;10,"&lt;10",IF(E6910&lt;20,"10-&lt;20",IF(E6910&lt;25,"20-&lt;25",IF(E6910&lt;35,"25-&lt;35","35+")))))</x:f>
        <x:v>25-&lt;35</x:v>
      </x:c>
    </x:row>
    <x:row r="6911">
      <x:c r="A6911" t="str">
        <x:v>SYN0006910</x:v>
      </x:c>
      <x:c r="B6911" s="12" t="n">
        <x:v>41755</x:v>
      </x:c>
      <x:c r="C6911" s="18" t="n">
        <x:v>12498</x:v>
      </x:c>
      <x:c r="D6911" s="18" t="n">
        <x:v>97148</x:v>
      </x:c>
      <x:c r="E6911" s="18" t="n">
        <x:v>18.16</x:v>
      </x:c>
      <x:c r="F6911" s="18" t="n">
        <x:v>7.14</x:v>
      </x:c>
      <x:c r="G6911" t="n">
        <x:v>36</x:v>
      </x:c>
      <x:c r="H6911" t="str">
        <x:v>A</x:v>
      </x:c>
      <x:c r="I6911" t="str">
        <x:v>&lt;1 year</x:v>
      </x:c>
      <x:c r="J6911" t="str">
        <x:v>MORTGAGE</x:v>
      </x:c>
      <x:c r="K6911" t="str">
        <x:v>debt_consolidation</x:v>
      </x:c>
      <x:c r="L6911" t="n">
        <x:v>0</x:v>
      </x:c>
      <x:c r="M6911" t="n">
        <x:v>0</x:v>
      </x:c>
      <x:c r="N6911" t="str">
        <x:v>Fully Paid</x:v>
      </x:c>
      <x:c r="O6911" t="str">
        <x:f>IF(D6911="","Unknown",IF(D6911&lt;25000,"&lt;$25k",IF(D6911&lt;50000,"$25k-$50k",IF(D6911&lt;75000,"$50k-$75k",IF(D6911&lt;100000,"$75k-$100k","$100k+")))))</x:f>
        <x:v>$75k-$100k</x:v>
      </x:c>
      <x:c r="P6911" t="str">
        <x:f>IF(E6911="","Unknown",IF(E6911&lt;10,"&lt;10",IF(E6911&lt;20,"10-&lt;20",IF(E6911&lt;25,"20-&lt;25",IF(E6911&lt;35,"25-&lt;35","35+")))))</x:f>
        <x:v>10-&lt;20</x:v>
      </x:c>
    </x:row>
    <x:row r="6912">
      <x:c r="A6912" t="str">
        <x:v>SYN0006911</x:v>
      </x:c>
      <x:c r="B6912" s="12" t="n">
        <x:v>42955</x:v>
      </x:c>
      <x:c r="C6912" s="18" t="n">
        <x:v>14089</x:v>
      </x:c>
      <x:c r="D6912" s="18" t="n">
        <x:v>22947</x:v>
      </x:c>
      <x:c r="E6912" s="18" t="n">
        <x:v>6.47</x:v>
      </x:c>
      <x:c r="F6912" s="18" t="n">
        <x:v>14.11</x:v>
      </x:c>
      <x:c r="G6912" t="n">
        <x:v>36</x:v>
      </x:c>
      <x:c r="H6912" t="str">
        <x:v>D</x:v>
      </x:c>
      <x:c r="I6912" t="str">
        <x:v>1-3 years</x:v>
      </x:c>
      <x:c r="J6912" t="str">
        <x:v>RENT</x:v>
      </x:c>
      <x:c r="K6912" t="str">
        <x:v>debt_consolidation</x:v>
      </x:c>
      <x:c r="L6912" t="n">
        <x:v>1</x:v>
      </x:c>
      <x:c r="M6912" t="n">
        <x:v>0</x:v>
      </x:c>
      <x:c r="N6912" t="str">
        <x:v>Fully Paid</x:v>
      </x:c>
      <x:c r="O6912" t="str">
        <x:f>IF(D6912="","Unknown",IF(D6912&lt;25000,"&lt;$25k",IF(D6912&lt;50000,"$25k-$50k",IF(D6912&lt;75000,"$50k-$75k",IF(D6912&lt;100000,"$75k-$100k","$100k+")))))</x:f>
        <x:v>&lt;$25k</x:v>
      </x:c>
      <x:c r="P6912" t="str">
        <x:f>IF(E6912="","Unknown",IF(E6912&lt;10,"&lt;10",IF(E6912&lt;20,"10-&lt;20",IF(E6912&lt;25,"20-&lt;25",IF(E6912&lt;35,"25-&lt;35","35+")))))</x:f>
        <x:v>&lt;10</x:v>
      </x:c>
    </x:row>
    <x:row r="6913">
      <x:c r="A6913" t="str">
        <x:v>SYN0006912</x:v>
      </x:c>
      <x:c r="B6913" s="12" t="n">
        <x:v>42535</x:v>
      </x:c>
      <x:c r="C6913" s="18" t="n">
        <x:v>20538</x:v>
      </x:c>
      <x:c r="D6913" s="18" t="n">
        <x:v>74706</x:v>
      </x:c>
      <x:c r="E6913" s="18" t="n">
        <x:v>28.46</x:v>
      </x:c>
      <x:c r="F6913" s="18" t="n">
        <x:v>14.07</x:v>
      </x:c>
      <x:c r="G6913" t="n">
        <x:v>60</x:v>
      </x:c>
      <x:c r="H6913" t="str">
        <x:v>D</x:v>
      </x:c>
      <x:c r="I6913" t="str">
        <x:v>4-6 years</x:v>
      </x:c>
      <x:c r="J6913" t="str">
        <x:v>OWN</x:v>
      </x:c>
      <x:c r="K6913" t="str">
        <x:v>debt_consolidation</x:v>
      </x:c>
      <x:c r="L6913" t="n">
        <x:v>1</x:v>
      </x:c>
      <x:c r="M6913" t="n">
        <x:v>0</x:v>
      </x:c>
      <x:c r="N6913" t="str">
        <x:v>Fully Paid</x:v>
      </x:c>
      <x:c r="O6913" t="str">
        <x:f>IF(D6913="","Unknown",IF(D6913&lt;25000,"&lt;$25k",IF(D6913&lt;50000,"$25k-$50k",IF(D6913&lt;75000,"$50k-$75k",IF(D6913&lt;100000,"$75k-$100k","$100k+")))))</x:f>
        <x:v>$50k-$75k</x:v>
      </x:c>
      <x:c r="P6913" t="str">
        <x:f>IF(E6913="","Unknown",IF(E6913&lt;10,"&lt;10",IF(E6913&lt;20,"10-&lt;20",IF(E6913&lt;25,"20-&lt;25",IF(E6913&lt;35,"25-&lt;35","35+")))))</x:f>
        <x:v>25-&lt;35</x:v>
      </x:c>
    </x:row>
    <x:row r="6914">
      <x:c r="A6914" t="str">
        <x:v>SYN0006913</x:v>
      </x:c>
      <x:c r="B6914" s="12" t="n">
        <x:v>42085</x:v>
      </x:c>
      <x:c r="C6914" s="18" t="n">
        <x:v>21237</x:v>
      </x:c>
      <x:c r="D6914" s="18" t="n">
        <x:v>59861</x:v>
      </x:c>
      <x:c r="E6914" s="18" t="n">
        <x:v>22.78</x:v>
      </x:c>
      <x:c r="F6914" s="18" t="n">
        <x:v>23.39</x:v>
      </x:c>
      <x:c r="G6914" t="n">
        <x:v>36</x:v>
      </x:c>
      <x:c r="H6914" t="str">
        <x:v>G</x:v>
      </x:c>
      <x:c r="I6914" t="str">
        <x:v>10+ years</x:v>
      </x:c>
      <x:c r="J6914" t="str">
        <x:v>MORTGAGE</x:v>
      </x:c>
      <x:c r="K6914" t="str">
        <x:v>debt_consolidation</x:v>
      </x:c>
      <x:c r="L6914" t="n">
        <x:v>0</x:v>
      </x:c>
      <x:c r="M6914" t="n">
        <x:v>0</x:v>
      </x:c>
      <x:c r="N6914" t="str">
        <x:v>Fully Paid</x:v>
      </x:c>
      <x:c r="O6914" t="str">
        <x:f>IF(D6914="","Unknown",IF(D6914&lt;25000,"&lt;$25k",IF(D6914&lt;50000,"$25k-$50k",IF(D6914&lt;75000,"$50k-$75k",IF(D6914&lt;100000,"$75k-$100k","$100k+")))))</x:f>
        <x:v>$50k-$75k</x:v>
      </x:c>
      <x:c r="P6914" t="str">
        <x:f>IF(E6914="","Unknown",IF(E6914&lt;10,"&lt;10",IF(E6914&lt;20,"10-&lt;20",IF(E6914&lt;25,"20-&lt;25",IF(E6914&lt;35,"25-&lt;35","35+")))))</x:f>
        <x:v>20-&lt;25</x:v>
      </x:c>
    </x:row>
    <x:row r="6915">
      <x:c r="A6915" t="str">
        <x:v>SYN0006914</x:v>
      </x:c>
      <x:c r="B6915" s="12" t="n">
        <x:v>41995</x:v>
      </x:c>
      <x:c r="C6915" s="18" t="n">
        <x:v>11604</x:v>
      </x:c>
      <x:c r="D6915" s="18" t="n">
        <x:v>110618</x:v>
      </x:c>
      <x:c r="E6915" s="18" t="n">
        <x:v>14.24</x:v>
      </x:c>
      <x:c r="F6915" s="18" t="n">
        <x:v>8.23</x:v>
      </x:c>
      <x:c r="G6915" t="n">
        <x:v>36</x:v>
      </x:c>
      <x:c r="H6915" t="str">
        <x:v>A</x:v>
      </x:c>
      <x:c r="I6915" t="str">
        <x:v>&lt;1 year</x:v>
      </x:c>
      <x:c r="J6915" t="str">
        <x:v>MORTGAGE</x:v>
      </x:c>
      <x:c r="K6915" t="str">
        <x:v>debt_consolidation</x:v>
      </x:c>
      <x:c r="L6915" t="n">
        <x:v>0</x:v>
      </x:c>
      <x:c r="M6915" t="n">
        <x:v>0</x:v>
      </x:c>
      <x:c r="N6915" t="str">
        <x:v>Fully Paid</x:v>
      </x:c>
      <x:c r="O6915" t="str">
        <x:f>IF(D6915="","Unknown",IF(D6915&lt;25000,"&lt;$25k",IF(D6915&lt;50000,"$25k-$50k",IF(D6915&lt;75000,"$50k-$75k",IF(D6915&lt;100000,"$75k-$100k","$100k+")))))</x:f>
        <x:v>$100k+</x:v>
      </x:c>
      <x:c r="P6915" t="str">
        <x:f>IF(E6915="","Unknown",IF(E6915&lt;10,"&lt;10",IF(E6915&lt;20,"10-&lt;20",IF(E6915&lt;25,"20-&lt;25",IF(E6915&lt;35,"25-&lt;35","35+")))))</x:f>
        <x:v>10-&lt;20</x:v>
      </x:c>
    </x:row>
    <x:row r="6916">
      <x:c r="A6916" t="str">
        <x:v>SYN0006915</x:v>
      </x:c>
      <x:c r="B6916" s="12" t="n">
        <x:v>42745</x:v>
      </x:c>
      <x:c r="C6916" s="18" t="n">
        <x:v>14625</x:v>
      </x:c>
      <x:c r="D6916" s="18" t="n">
        <x:v>72117</x:v>
      </x:c>
      <x:c r="E6916" s="18" t="n">
        <x:v>14.75</x:v>
      </x:c>
      <x:c r="F6916" s="18" t="n">
        <x:v>25.7</x:v>
      </x:c>
      <x:c r="G6916" t="n">
        <x:v>36</x:v>
      </x:c>
      <x:c r="H6916" t="str">
        <x:v>G</x:v>
      </x:c>
      <x:c r="I6916" t="str">
        <x:v>7-9 years</x:v>
      </x:c>
      <x:c r="J6916" t="str">
        <x:v>RENT</x:v>
      </x:c>
      <x:c r="K6916" t="str">
        <x:v>other</x:v>
      </x:c>
      <x:c r="L6916" t="n">
        <x:v>1</x:v>
      </x:c>
      <x:c r="M6916" t="n">
        <x:v>1</x:v>
      </x:c>
      <x:c r="N6916" t="str">
        <x:v>Charged Off</x:v>
      </x:c>
      <x:c r="O6916" t="str">
        <x:f>IF(D6916="","Unknown",IF(D6916&lt;25000,"&lt;$25k",IF(D6916&lt;50000,"$25k-$50k",IF(D6916&lt;75000,"$50k-$75k",IF(D6916&lt;100000,"$75k-$100k","$100k+")))))</x:f>
        <x:v>$50k-$75k</x:v>
      </x:c>
      <x:c r="P6916" t="str">
        <x:f>IF(E6916="","Unknown",IF(E6916&lt;10,"&lt;10",IF(E6916&lt;20,"10-&lt;20",IF(E6916&lt;25,"20-&lt;25",IF(E6916&lt;35,"25-&lt;35","35+")))))</x:f>
        <x:v>10-&lt;20</x:v>
      </x:c>
    </x:row>
    <x:row r="6917">
      <x:c r="A6917" t="str">
        <x:v>SYN0006916</x:v>
      </x:c>
      <x:c r="B6917" s="12" t="n">
        <x:v>42055</x:v>
      </x:c>
      <x:c r="C6917" s="18" t="n">
        <x:v>9855</x:v>
      </x:c>
      <x:c r="D6917" s="18" t="n">
        <x:v>73929</x:v>
      </x:c>
      <x:c r="E6917" s="18" t="n">
        <x:v>17.35</x:v>
      </x:c>
      <x:c r="F6917" s="18" t="n">
        <x:v>12.32</x:v>
      </x:c>
      <x:c r="G6917" t="n">
        <x:v>36</x:v>
      </x:c>
      <x:c r="H6917" t="str">
        <x:v>B</x:v>
      </x:c>
      <x:c r="I6917" t="str">
        <x:v>&lt;1 year</x:v>
      </x:c>
      <x:c r="J6917" t="str">
        <x:v>MORTGAGE</x:v>
      </x:c>
      <x:c r="K6917" t="str">
        <x:v>home_improvement</x:v>
      </x:c>
      <x:c r="L6917" t="n">
        <x:v>1</x:v>
      </x:c>
      <x:c r="M6917" t="n">
        <x:v>0</x:v>
      </x:c>
      <x:c r="N6917" t="str">
        <x:v>Fully Paid</x:v>
      </x:c>
      <x:c r="O6917" t="str">
        <x:f>IF(D6917="","Unknown",IF(D6917&lt;25000,"&lt;$25k",IF(D6917&lt;50000,"$25k-$50k",IF(D6917&lt;75000,"$50k-$75k",IF(D6917&lt;100000,"$75k-$100k","$100k+")))))</x:f>
        <x:v>$50k-$75k</x:v>
      </x:c>
      <x:c r="P6917" t="str">
        <x:f>IF(E6917="","Unknown",IF(E6917&lt;10,"&lt;10",IF(E6917&lt;20,"10-&lt;20",IF(E6917&lt;25,"20-&lt;25",IF(E6917&lt;35,"25-&lt;35","35+")))))</x:f>
        <x:v>10-&lt;20</x:v>
      </x:c>
    </x:row>
    <x:row r="6918">
      <x:c r="A6918" t="str">
        <x:v>SYN0006917</x:v>
      </x:c>
      <x:c r="B6918" s="12" t="n">
        <x:v>42805</x:v>
      </x:c>
      <x:c r="C6918" s="18" t="n">
        <x:v>9636</x:v>
      </x:c>
      <x:c r="D6918" s="18" t="n">
        <x:v>57281</x:v>
      </x:c>
      <x:c r="E6918" s="18" t="n">
        <x:v>21.2</x:v>
      </x:c>
      <x:c r="F6918" s="18" t="n">
        <x:v>9.28</x:v>
      </x:c>
      <x:c r="G6918" t="n">
        <x:v>36</x:v>
      </x:c>
      <x:c r="H6918" t="str">
        <x:v>C</x:v>
      </x:c>
      <x:c r="I6918" t="str">
        <x:v>1-3 years</x:v>
      </x:c>
      <x:c r="J6918" t="str">
        <x:v>MORTGAGE</x:v>
      </x:c>
      <x:c r="K6918" t="str">
        <x:v>debt_consolidation</x:v>
      </x:c>
      <x:c r="L6918" t="n">
        <x:v>1</x:v>
      </x:c>
      <x:c r="M6918" t="n">
        <x:v>0</x:v>
      </x:c>
      <x:c r="N6918" t="str">
        <x:v>Fully Paid</x:v>
      </x:c>
      <x:c r="O6918" t="str">
        <x:f>IF(D6918="","Unknown",IF(D6918&lt;25000,"&lt;$25k",IF(D6918&lt;50000,"$25k-$50k",IF(D6918&lt;75000,"$50k-$75k",IF(D6918&lt;100000,"$75k-$100k","$100k+")))))</x:f>
        <x:v>$50k-$75k</x:v>
      </x:c>
      <x:c r="P6918" t="str">
        <x:f>IF(E6918="","Unknown",IF(E6918&lt;10,"&lt;10",IF(E6918&lt;20,"10-&lt;20",IF(E6918&lt;25,"20-&lt;25",IF(E6918&lt;35,"25-&lt;35","35+")))))</x:f>
        <x:v>20-&lt;25</x:v>
      </x:c>
    </x:row>
    <x:row r="6919">
      <x:c r="A6919" t="str">
        <x:v>SYN0006918</x:v>
      </x:c>
      <x:c r="B6919" s="12" t="n">
        <x:v>42685</x:v>
      </x:c>
      <x:c r="C6919" s="18" t="n">
        <x:v>10422</x:v>
      </x:c>
      <x:c r="D6919" s="18" t="n">
        <x:v>33437</x:v>
      </x:c>
      <x:c r="E6919" s="18" t="n">
        <x:v>38.02</x:v>
      </x:c>
      <x:c r="F6919" s="18" t="n">
        <x:v>16.83</x:v>
      </x:c>
      <x:c r="G6919" t="n">
        <x:v>36</x:v>
      </x:c>
      <x:c r="H6919" t="str">
        <x:v>E</x:v>
      </x:c>
      <x:c r="I6919" t="str">
        <x:v>7-9 years</x:v>
      </x:c>
      <x:c r="J6919" t="str">
        <x:v>MORTGAGE</x:v>
      </x:c>
      <x:c r="K6919" t="str">
        <x:v>credit_card</x:v>
      </x:c>
      <x:c r="L6919" t="n">
        <x:v>2</x:v>
      </x:c>
      <x:c r="M6919" t="n">
        <x:v>1</x:v>
      </x:c>
      <x:c r="N6919" t="str">
        <x:v>Charged Off</x:v>
      </x:c>
      <x:c r="O6919" t="str">
        <x:f>IF(D6919="","Unknown",IF(D6919&lt;25000,"&lt;$25k",IF(D6919&lt;50000,"$25k-$50k",IF(D6919&lt;75000,"$50k-$75k",IF(D6919&lt;100000,"$75k-$100k","$100k+")))))</x:f>
        <x:v>$25k-$50k</x:v>
      </x:c>
      <x:c r="P6919" t="str">
        <x:f>IF(E6919="","Unknown",IF(E6919&lt;10,"&lt;10",IF(E6919&lt;20,"10-&lt;20",IF(E6919&lt;25,"20-&lt;25",IF(E6919&lt;35,"25-&lt;35","35+")))))</x:f>
        <x:v>35+</x:v>
      </x:c>
    </x:row>
    <x:row r="6920">
      <x:c r="A6920" t="str">
        <x:v>SYN0006919</x:v>
      </x:c>
      <x:c r="B6920" s="12" t="n">
        <x:v>42685</x:v>
      </x:c>
      <x:c r="C6920" s="18" t="n">
        <x:v>12393</x:v>
      </x:c>
      <x:c r="D6920" s="18" t="n">
        <x:v>217228</x:v>
      </x:c>
      <x:c r="E6920" s="18" t="n">
        <x:v>14.62</x:v>
      </x:c>
      <x:c r="F6920" s="18" t="n">
        <x:v>8.12</x:v>
      </x:c>
      <x:c r="G6920" t="n">
        <x:v>60</x:v>
      </x:c>
      <x:c r="H6920" t="str">
        <x:v>A</x:v>
      </x:c>
      <x:c r="I6920" t="str">
        <x:v>4-6 years</x:v>
      </x:c>
      <x:c r="J6920" t="str">
        <x:v>MORTGAGE</x:v>
      </x:c>
      <x:c r="K6920" t="str">
        <x:v>medical</x:v>
      </x:c>
      <x:c r="L6920" t="n">
        <x:v>0</x:v>
      </x:c>
      <x:c r="M6920" t="n">
        <x:v>0</x:v>
      </x:c>
      <x:c r="N6920" t="str">
        <x:v>Fully Paid</x:v>
      </x:c>
      <x:c r="O6920" t="str">
        <x:f>IF(D6920="","Unknown",IF(D6920&lt;25000,"&lt;$25k",IF(D6920&lt;50000,"$25k-$50k",IF(D6920&lt;75000,"$50k-$75k",IF(D6920&lt;100000,"$75k-$100k","$100k+")))))</x:f>
        <x:v>$100k+</x:v>
      </x:c>
      <x:c r="P6920" t="str">
        <x:f>IF(E6920="","Unknown",IF(E6920&lt;10,"&lt;10",IF(E6920&lt;20,"10-&lt;20",IF(E6920&lt;25,"20-&lt;25",IF(E6920&lt;35,"25-&lt;35","35+")))))</x:f>
        <x:v>10-&lt;20</x:v>
      </x:c>
    </x:row>
    <x:row r="6921">
      <x:c r="A6921" t="str">
        <x:v>SYN0006920</x:v>
      </x:c>
      <x:c r="B6921" s="12" t="n">
        <x:v>41425</x:v>
      </x:c>
      <x:c r="C6921" s="18" t="n">
        <x:v>7684</x:v>
      </x:c>
      <x:c r="D6921" s="18" t="n">
        <x:v>71121</x:v>
      </x:c>
      <x:c r="E6921" s="18" t="n">
        <x:v>30.44</x:v>
      </x:c>
      <x:c r="F6921" s="18" t="n">
        <x:v>24.16</x:v>
      </x:c>
      <x:c r="G6921" t="n">
        <x:v>36</x:v>
      </x:c>
      <x:c r="H6921" t="str">
        <x:v>F</x:v>
      </x:c>
      <x:c r="I6921" t="str">
        <x:v>4-6 years</x:v>
      </x:c>
      <x:c r="J6921" t="str">
        <x:v>MORTGAGE</x:v>
      </x:c>
      <x:c r="K6921" t="str">
        <x:v>debt_consolidation</x:v>
      </x:c>
      <x:c r="L6921" t="n">
        <x:v>1</x:v>
      </x:c>
      <x:c r="M6921" t="n">
        <x:v>0</x:v>
      </x:c>
      <x:c r="N6921" t="str">
        <x:v>Fully Paid</x:v>
      </x:c>
      <x:c r="O6921" t="str">
        <x:f>IF(D6921="","Unknown",IF(D6921&lt;25000,"&lt;$25k",IF(D6921&lt;50000,"$25k-$50k",IF(D6921&lt;75000,"$50k-$75k",IF(D6921&lt;100000,"$75k-$100k","$100k+")))))</x:f>
        <x:v>$50k-$75k</x:v>
      </x:c>
      <x:c r="P6921" t="str">
        <x:f>IF(E6921="","Unknown",IF(E6921&lt;10,"&lt;10",IF(E6921&lt;20,"10-&lt;20",IF(E6921&lt;25,"20-&lt;25",IF(E6921&lt;35,"25-&lt;35","35+")))))</x:f>
        <x:v>25-&lt;35</x:v>
      </x:c>
    </x:row>
    <x:row r="6922">
      <x:c r="A6922" t="str">
        <x:v>SYN0006921</x:v>
      </x:c>
      <x:c r="B6922" s="12" t="n">
        <x:v>41875</x:v>
      </x:c>
      <x:c r="C6922" s="18" t="n">
        <x:v>14230</x:v>
      </x:c>
      <x:c r="D6922" s="18" t="n">
        <x:v>67306</x:v>
      </x:c>
      <x:c r="E6922" s="18" t="n">
        <x:v>23.36</x:v>
      </x:c>
      <x:c r="F6922" s="18" t="n">
        <x:v>12.38</x:v>
      </x:c>
      <x:c r="G6922" t="n">
        <x:v>36</x:v>
      </x:c>
      <x:c r="H6922" t="str">
        <x:v>C</x:v>
      </x:c>
      <x:c r="I6922" t="str">
        <x:v>1-3 years</x:v>
      </x:c>
      <x:c r="J6922" t="str">
        <x:v>MORTGAGE</x:v>
      </x:c>
      <x:c r="K6922" t="str">
        <x:v>debt_consolidation</x:v>
      </x:c>
      <x:c r="L6922" t="n">
        <x:v>0</x:v>
      </x:c>
      <x:c r="M6922" t="n">
        <x:v>0</x:v>
      </x:c>
      <x:c r="N6922" t="str">
        <x:v>Fully Paid</x:v>
      </x:c>
      <x:c r="O6922" t="str">
        <x:f>IF(D6922="","Unknown",IF(D6922&lt;25000,"&lt;$25k",IF(D6922&lt;50000,"$25k-$50k",IF(D6922&lt;75000,"$50k-$75k",IF(D6922&lt;100000,"$75k-$100k","$100k+")))))</x:f>
        <x:v>$50k-$75k</x:v>
      </x:c>
      <x:c r="P6922" t="str">
        <x:f>IF(E6922="","Unknown",IF(E6922&lt;10,"&lt;10",IF(E6922&lt;20,"10-&lt;20",IF(E6922&lt;25,"20-&lt;25",IF(E6922&lt;35,"25-&lt;35","35+")))))</x:f>
        <x:v>20-&lt;25</x:v>
      </x:c>
    </x:row>
    <x:row r="6923">
      <x:c r="A6923" t="str">
        <x:v>SYN0006922</x:v>
      </x:c>
      <x:c r="B6923" s="12" t="n">
        <x:v>41815</x:v>
      </x:c>
      <x:c r="C6923" s="18" t="n">
        <x:v>10395</x:v>
      </x:c>
      <x:c r="D6923" s="18" t="n">
        <x:v>72462</x:v>
      </x:c>
      <x:c r="E6923" s="18" t="n">
        <x:v>20.79</x:v>
      </x:c>
      <x:c r="F6923" s="18" t="n">
        <x:v>17.78</x:v>
      </x:c>
      <x:c r="G6923" t="n">
        <x:v>36</x:v>
      </x:c>
      <x:c r="H6923" t="str">
        <x:v>E</x:v>
      </x:c>
      <x:c r="I6923" t="str">
        <x:v>10+ years</x:v>
      </x:c>
      <x:c r="J6923" t="str">
        <x:v>RENT</x:v>
      </x:c>
      <x:c r="K6923" t="str">
        <x:v>credit_card</x:v>
      </x:c>
      <x:c r="L6923" t="n">
        <x:v>1</x:v>
      </x:c>
      <x:c r="M6923" t="n">
        <x:v>0</x:v>
      </x:c>
      <x:c r="N6923" t="str">
        <x:v>Fully Paid</x:v>
      </x:c>
      <x:c r="O6923" t="str">
        <x:f>IF(D6923="","Unknown",IF(D6923&lt;25000,"&lt;$25k",IF(D6923&lt;50000,"$25k-$50k",IF(D6923&lt;75000,"$50k-$75k",IF(D6923&lt;100000,"$75k-$100k","$100k+")))))</x:f>
        <x:v>$50k-$75k</x:v>
      </x:c>
      <x:c r="P6923" t="str">
        <x:f>IF(E6923="","Unknown",IF(E6923&lt;10,"&lt;10",IF(E6923&lt;20,"10-&lt;20",IF(E6923&lt;25,"20-&lt;25",IF(E6923&lt;35,"25-&lt;35","35+")))))</x:f>
        <x:v>20-&lt;25</x:v>
      </x:c>
    </x:row>
    <x:row r="6924">
      <x:c r="A6924" t="str">
        <x:v>SYN0006923</x:v>
      </x:c>
      <x:c r="B6924" s="12" t="n">
        <x:v>42505</x:v>
      </x:c>
      <x:c r="C6924" s="18" t="n">
        <x:v>19447</x:v>
      </x:c>
      <x:c r="D6924" s="18" t="n">
        <x:v>47821</x:v>
      </x:c>
      <x:c r="E6924" s="18" t="n">
        <x:v>22.55</x:v>
      </x:c>
      <x:c r="F6924" s="18" t="n">
        <x:v>22.47</x:v>
      </x:c>
      <x:c r="G6924" t="n">
        <x:v>36</x:v>
      </x:c>
      <x:c r="H6924" t="str">
        <x:v>F</x:v>
      </x:c>
      <x:c r="I6924" t="str">
        <x:v>4-6 years</x:v>
      </x:c>
      <x:c r="J6924" t="str">
        <x:v>MORTGAGE</x:v>
      </x:c>
      <x:c r="K6924" t="str">
        <x:v>home_improvement</x:v>
      </x:c>
      <x:c r="L6924" t="n">
        <x:v>1</x:v>
      </x:c>
      <x:c r="M6924" t="n">
        <x:v>1</x:v>
      </x:c>
      <x:c r="N6924" t="str">
        <x:v>Charged Off</x:v>
      </x:c>
      <x:c r="O6924" t="str">
        <x:f>IF(D6924="","Unknown",IF(D6924&lt;25000,"&lt;$25k",IF(D6924&lt;50000,"$25k-$50k",IF(D6924&lt;75000,"$50k-$75k",IF(D6924&lt;100000,"$75k-$100k","$100k+")))))</x:f>
        <x:v>$25k-$50k</x:v>
      </x:c>
      <x:c r="P6924" t="str">
        <x:f>IF(E6924="","Unknown",IF(E6924&lt;10,"&lt;10",IF(E6924&lt;20,"10-&lt;20",IF(E6924&lt;25,"20-&lt;25",IF(E6924&lt;35,"25-&lt;35","35+")))))</x:f>
        <x:v>20-&lt;25</x:v>
      </x:c>
    </x:row>
    <x:row r="6925">
      <x:c r="A6925" t="str">
        <x:v>SYN0006924</x:v>
      </x:c>
      <x:c r="B6925" s="12" t="n">
        <x:v>41545</x:v>
      </x:c>
      <x:c r="C6925" s="18" t="n">
        <x:v>24656</x:v>
      </x:c>
      <x:c r="D6925" s="18" t="n">
        <x:v>189802</x:v>
      </x:c>
      <x:c r="E6925" s="18" t="n">
        <x:v>20.48</x:v>
      </x:c>
      <x:c r="F6925" s="18" t="n">
        <x:v>18.87</x:v>
      </x:c>
      <x:c r="G6925" t="n">
        <x:v>36</x:v>
      </x:c>
      <x:c r="H6925" t="str">
        <x:v>E</x:v>
      </x:c>
      <x:c r="I6925" t="str">
        <x:v>10+ years</x:v>
      </x:c>
      <x:c r="J6925" t="str">
        <x:v>RENT</x:v>
      </x:c>
      <x:c r="K6925" t="str">
        <x:v>credit_card</x:v>
      </x:c>
      <x:c r="L6925" t="n">
        <x:v>0</x:v>
      </x:c>
      <x:c r="M6925" t="n">
        <x:v>0</x:v>
      </x:c>
      <x:c r="N6925" t="str">
        <x:v>Fully Paid</x:v>
      </x:c>
      <x:c r="O6925" t="str">
        <x:f>IF(D6925="","Unknown",IF(D6925&lt;25000,"&lt;$25k",IF(D6925&lt;50000,"$25k-$50k",IF(D6925&lt;75000,"$50k-$75k",IF(D6925&lt;100000,"$75k-$100k","$100k+")))))</x:f>
        <x:v>$100k+</x:v>
      </x:c>
      <x:c r="P6925" t="str">
        <x:f>IF(E6925="","Unknown",IF(E6925&lt;10,"&lt;10",IF(E6925&lt;20,"10-&lt;20",IF(E6925&lt;25,"20-&lt;25",IF(E6925&lt;35,"25-&lt;35","35+")))))</x:f>
        <x:v>20-&lt;25</x:v>
      </x:c>
    </x:row>
    <x:row r="6926">
      <x:c r="A6926" t="str">
        <x:v>SYN0006925</x:v>
      </x:c>
      <x:c r="B6926" s="12" t="n">
        <x:v>42985</x:v>
      </x:c>
      <x:c r="C6926" s="18" t="n">
        <x:v>11102</x:v>
      </x:c>
      <x:c r="D6926" s="18" t="n">
        <x:v>55702</x:v>
      </x:c>
      <x:c r="E6926" s="18" t="n">
        <x:v>8.88</x:v>
      </x:c>
      <x:c r="F6926" s="18" t="n">
        <x:v>8.7</x:v>
      </x:c>
      <x:c r="G6926" t="n">
        <x:v>36</x:v>
      </x:c>
      <x:c r="H6926" t="str">
        <x:v>B</x:v>
      </x:c>
      <x:c r="I6926" t="str">
        <x:v>10+ years</x:v>
      </x:c>
      <x:c r="J6926" t="str">
        <x:v>MORTGAGE</x:v>
      </x:c>
      <x:c r="K6926" t="str">
        <x:v>home_improvement</x:v>
      </x:c>
      <x:c r="L6926" t="n">
        <x:v>0</x:v>
      </x:c>
      <x:c r="M6926" t="n">
        <x:v>0</x:v>
      </x:c>
      <x:c r="N6926" t="str">
        <x:v>Fully Paid</x:v>
      </x:c>
      <x:c r="O6926" t="str">
        <x:f>IF(D6926="","Unknown",IF(D6926&lt;25000,"&lt;$25k",IF(D6926&lt;50000,"$25k-$50k",IF(D6926&lt;75000,"$50k-$75k",IF(D6926&lt;100000,"$75k-$100k","$100k+")))))</x:f>
        <x:v>$50k-$75k</x:v>
      </x:c>
      <x:c r="P6926" t="str">
        <x:f>IF(E6926="","Unknown",IF(E6926&lt;10,"&lt;10",IF(E6926&lt;20,"10-&lt;20",IF(E6926&lt;25,"20-&lt;25",IF(E6926&lt;35,"25-&lt;35","35+")))))</x:f>
        <x:v>&lt;10</x:v>
      </x:c>
    </x:row>
    <x:row r="6927">
      <x:c r="A6927" t="str">
        <x:v>SYN0006926</x:v>
      </x:c>
      <x:c r="B6927" s="12" t="n">
        <x:v>42925</x:v>
      </x:c>
      <x:c r="C6927" s="18" t="n">
        <x:v>6495</x:v>
      </x:c>
      <x:c r="D6927" s="18" t="n">
        <x:v>74816</x:v>
      </x:c>
      <x:c r="E6927" s="18" t="n">
        <x:v>21.5</x:v>
      </x:c>
      <x:c r="F6927" s="18" t="n">
        <x:v>6.89</x:v>
      </x:c>
      <x:c r="G6927" t="n">
        <x:v>36</x:v>
      </x:c>
      <x:c r="H6927" t="str">
        <x:v>A</x:v>
      </x:c>
      <x:c r="I6927" t="str">
        <x:v>1-3 years</x:v>
      </x:c>
      <x:c r="J6927" t="str">
        <x:v>RENT</x:v>
      </x:c>
      <x:c r="K6927" t="str">
        <x:v>other</x:v>
      </x:c>
      <x:c r="L6927" t="n">
        <x:v>0</x:v>
      </x:c>
      <x:c r="M6927" t="n">
        <x:v>0</x:v>
      </x:c>
      <x:c r="N6927" t="str">
        <x:v>Fully Paid</x:v>
      </x:c>
      <x:c r="O6927" t="str">
        <x:f>IF(D6927="","Unknown",IF(D6927&lt;25000,"&lt;$25k",IF(D6927&lt;50000,"$25k-$50k",IF(D6927&lt;75000,"$50k-$75k",IF(D6927&lt;100000,"$75k-$100k","$100k+")))))</x:f>
        <x:v>$50k-$75k</x:v>
      </x:c>
      <x:c r="P6927" t="str">
        <x:f>IF(E6927="","Unknown",IF(E6927&lt;10,"&lt;10",IF(E6927&lt;20,"10-&lt;20",IF(E6927&lt;25,"20-&lt;25",IF(E6927&lt;35,"25-&lt;35","35+")))))</x:f>
        <x:v>20-&lt;25</x:v>
      </x:c>
    </x:row>
    <x:row r="6928">
      <x:c r="A6928" t="str">
        <x:v>SYN0006927</x:v>
      </x:c>
      <x:c r="B6928" s="12" t="n">
        <x:v>41515</x:v>
      </x:c>
      <x:c r="C6928" s="18" t="n">
        <x:v>16428</x:v>
      </x:c>
      <x:c r="D6928" s="18" t="n">
        <x:v>90772</x:v>
      </x:c>
      <x:c r="E6928" s="18" t="n">
        <x:v>21.47</x:v>
      </x:c>
      <x:c r="F6928" s="18" t="n">
        <x:v>18.46</x:v>
      </x:c>
      <x:c r="G6928" t="n">
        <x:v>60</x:v>
      </x:c>
      <x:c r="H6928" t="str">
        <x:v>E</x:v>
      </x:c>
      <x:c r="I6928" t="str">
        <x:v>10+ years</x:v>
      </x:c>
      <x:c r="J6928" t="str">
        <x:v>RENT</x:v>
      </x:c>
      <x:c r="K6928" t="str">
        <x:v>home_improvement</x:v>
      </x:c>
      <x:c r="L6928" t="n">
        <x:v>2</x:v>
      </x:c>
      <x:c r="M6928" t="n">
        <x:v>0</x:v>
      </x:c>
      <x:c r="N6928" t="str">
        <x:v>Fully Paid</x:v>
      </x:c>
      <x:c r="O6928" t="str">
        <x:f>IF(D6928="","Unknown",IF(D6928&lt;25000,"&lt;$25k",IF(D6928&lt;50000,"$25k-$50k",IF(D6928&lt;75000,"$50k-$75k",IF(D6928&lt;100000,"$75k-$100k","$100k+")))))</x:f>
        <x:v>$75k-$100k</x:v>
      </x:c>
      <x:c r="P6928" t="str">
        <x:f>IF(E6928="","Unknown",IF(E6928&lt;10,"&lt;10",IF(E6928&lt;20,"10-&lt;20",IF(E6928&lt;25,"20-&lt;25",IF(E6928&lt;35,"25-&lt;35","35+")))))</x:f>
        <x:v>20-&lt;25</x:v>
      </x:c>
    </x:row>
    <x:row r="6929">
      <x:c r="A6929" t="str">
        <x:v>SYN0006928</x:v>
      </x:c>
      <x:c r="B6929" s="12" t="n">
        <x:v>42985</x:v>
      </x:c>
      <x:c r="C6929" s="18" t="n">
        <x:v>27489</x:v>
      </x:c>
      <x:c r="D6929" s="18" t="n">
        <x:v>35483</x:v>
      </x:c>
      <x:c r="E6929" s="18" t="n">
        <x:v>12.64</x:v>
      </x:c>
      <x:c r="F6929" s="18" t="n">
        <x:v>9.8</x:v>
      </x:c>
      <x:c r="G6929" t="n">
        <x:v>36</x:v>
      </x:c>
      <x:c r="H6929" t="str">
        <x:v>C</x:v>
      </x:c>
      <x:c r="I6929" t="str">
        <x:v>10+ years</x:v>
      </x:c>
      <x:c r="J6929" t="str">
        <x:v>RENT</x:v>
      </x:c>
      <x:c r="K6929" t="str">
        <x:v>credit_card</x:v>
      </x:c>
      <x:c r="L6929" t="n">
        <x:v>0</x:v>
      </x:c>
      <x:c r="M6929" t="n">
        <x:v>0</x:v>
      </x:c>
      <x:c r="N6929" t="str">
        <x:v>Fully Paid</x:v>
      </x:c>
      <x:c r="O6929" t="str">
        <x:f>IF(D6929="","Unknown",IF(D6929&lt;25000,"&lt;$25k",IF(D6929&lt;50000,"$25k-$50k",IF(D6929&lt;75000,"$50k-$75k",IF(D6929&lt;100000,"$75k-$100k","$100k+")))))</x:f>
        <x:v>$25k-$50k</x:v>
      </x:c>
      <x:c r="P6929" t="str">
        <x:f>IF(E6929="","Unknown",IF(E6929&lt;10,"&lt;10",IF(E6929&lt;20,"10-&lt;20",IF(E6929&lt;25,"20-&lt;25",IF(E6929&lt;35,"25-&lt;35","35+")))))</x:f>
        <x:v>10-&lt;20</x:v>
      </x:c>
    </x:row>
    <x:row r="6930">
      <x:c r="A6930" t="str">
        <x:v>SYN0006929</x:v>
      </x:c>
      <x:c r="B6930" s="12" t="n">
        <x:v>42985</x:v>
      </x:c>
      <x:c r="C6930" s="18" t="n">
        <x:v>25939</x:v>
      </x:c>
      <x:c r="D6930" s="18" t="n">
        <x:v>83596</x:v>
      </x:c>
      <x:c r="E6930" s="18" t="n">
        <x:v>27.12</x:v>
      </x:c>
      <x:c r="F6930" s="18" t="n">
        <x:v>10.8</x:v>
      </x:c>
      <x:c r="G6930" t="n">
        <x:v>36</x:v>
      </x:c>
      <x:c r="H6930" t="str">
        <x:v>C</x:v>
      </x:c>
      <x:c r="I6930" t="str">
        <x:v>4-6 years</x:v>
      </x:c>
      <x:c r="J6930" t="str">
        <x:v>MORTGAGE</x:v>
      </x:c>
      <x:c r="K6930" t="str">
        <x:v>debt_consolidation</x:v>
      </x:c>
      <x:c r="L6930" t="n">
        <x:v>1</x:v>
      </x:c>
      <x:c r="M6930" t="n">
        <x:v>0</x:v>
      </x:c>
      <x:c r="N6930" t="str">
        <x:v>Fully Paid</x:v>
      </x:c>
      <x:c r="O6930" t="str">
        <x:f>IF(D6930="","Unknown",IF(D6930&lt;25000,"&lt;$25k",IF(D6930&lt;50000,"$25k-$50k",IF(D6930&lt;75000,"$50k-$75k",IF(D6930&lt;100000,"$75k-$100k","$100k+")))))</x:f>
        <x:v>$75k-$100k</x:v>
      </x:c>
      <x:c r="P6930" t="str">
        <x:f>IF(E6930="","Unknown",IF(E6930&lt;10,"&lt;10",IF(E6930&lt;20,"10-&lt;20",IF(E6930&lt;25,"20-&lt;25",IF(E6930&lt;35,"25-&lt;35","35+")))))</x:f>
        <x:v>25-&lt;35</x:v>
      </x:c>
    </x:row>
    <x:row r="6931">
      <x:c r="A6931" t="str">
        <x:v>SYN0006930</x:v>
      </x:c>
      <x:c r="B6931" s="12" t="n">
        <x:v>42505</x:v>
      </x:c>
      <x:c r="C6931" s="18" t="n">
        <x:v>5284</x:v>
      </x:c>
      <x:c r="D6931" s="18" t="n">
        <x:v>186565</x:v>
      </x:c>
      <x:c r="E6931" s="18" t="n">
        <x:v>27.15</x:v>
      </x:c>
      <x:c r="F6931" s="18" t="n">
        <x:v>11.41</x:v>
      </x:c>
      <x:c r="G6931" t="n">
        <x:v>36</x:v>
      </x:c>
      <x:c r="H6931" t="str">
        <x:v>C</x:v>
      </x:c>
      <x:c r="I6931" t="str">
        <x:v>&lt;1 year</x:v>
      </x:c>
      <x:c r="J6931" t="str">
        <x:v>RENT</x:v>
      </x:c>
      <x:c r="K6931" t="str">
        <x:v>credit_card</x:v>
      </x:c>
      <x:c r="L6931" t="n">
        <x:v>0</x:v>
      </x:c>
      <x:c r="M6931" t="n">
        <x:v>0</x:v>
      </x:c>
      <x:c r="N6931" t="str">
        <x:v>Fully Paid</x:v>
      </x:c>
      <x:c r="O6931" t="str">
        <x:f>IF(D6931="","Unknown",IF(D6931&lt;25000,"&lt;$25k",IF(D6931&lt;50000,"$25k-$50k",IF(D6931&lt;75000,"$50k-$75k",IF(D6931&lt;100000,"$75k-$100k","$100k+")))))</x:f>
        <x:v>$100k+</x:v>
      </x:c>
      <x:c r="P6931" t="str">
        <x:f>IF(E6931="","Unknown",IF(E6931&lt;10,"&lt;10",IF(E6931&lt;20,"10-&lt;20",IF(E6931&lt;25,"20-&lt;25",IF(E6931&lt;35,"25-&lt;35","35+")))))</x:f>
        <x:v>25-&lt;35</x:v>
      </x:c>
    </x:row>
    <x:row r="6932">
      <x:c r="A6932" t="str">
        <x:v>SYN0006931</x:v>
      </x:c>
      <x:c r="B6932" s="12" t="n">
        <x:v>41965</x:v>
      </x:c>
      <x:c r="C6932" s="18" t="n">
        <x:v>4353</x:v>
      </x:c>
      <x:c r="D6932" s="18" t="n">
        <x:v>42760</x:v>
      </x:c>
      <x:c r="E6932" s="18" t="n">
        <x:v>6.08</x:v>
      </x:c>
      <x:c r="F6932" s="18" t="n">
        <x:v>13.94</x:v>
      </x:c>
      <x:c r="G6932" t="n">
        <x:v>60</x:v>
      </x:c>
      <x:c r="H6932" t="str">
        <x:v>D</x:v>
      </x:c>
      <x:c r="I6932" t="str">
        <x:v>10+ years</x:v>
      </x:c>
      <x:c r="J6932" t="str">
        <x:v>RENT</x:v>
      </x:c>
      <x:c r="K6932" t="str">
        <x:v>home_improvement</x:v>
      </x:c>
      <x:c r="L6932" t="n">
        <x:v>0</x:v>
      </x:c>
      <x:c r="M6932" t="n">
        <x:v>0</x:v>
      </x:c>
      <x:c r="N6932" t="str">
        <x:v>Fully Paid</x:v>
      </x:c>
      <x:c r="O6932" t="str">
        <x:f>IF(D6932="","Unknown",IF(D6932&lt;25000,"&lt;$25k",IF(D6932&lt;50000,"$25k-$50k",IF(D6932&lt;75000,"$50k-$75k",IF(D6932&lt;100000,"$75k-$100k","$100k+")))))</x:f>
        <x:v>$25k-$50k</x:v>
      </x:c>
      <x:c r="P6932" t="str">
        <x:f>IF(E6932="","Unknown",IF(E6932&lt;10,"&lt;10",IF(E6932&lt;20,"10-&lt;20",IF(E6932&lt;25,"20-&lt;25",IF(E6932&lt;35,"25-&lt;35","35+")))))</x:f>
        <x:v>&lt;10</x:v>
      </x:c>
    </x:row>
    <x:row r="6933">
      <x:c r="A6933" t="str">
        <x:v>SYN0006932</x:v>
      </x:c>
      <x:c r="B6933" s="12" t="n">
        <x:v>42475</x:v>
      </x:c>
      <x:c r="C6933" s="18" t="n">
        <x:v>21261</x:v>
      </x:c>
      <x:c r="D6933" s="18" t="n">
        <x:v>32039</x:v>
      </x:c>
      <x:c r="E6933" s="18" t="n">
        <x:v>18.04</x:v>
      </x:c>
      <x:c r="F6933" s="18" t="n">
        <x:v>8.25</x:v>
      </x:c>
      <x:c r="G6933" t="n">
        <x:v>36</x:v>
      </x:c>
      <x:c r="H6933" t="str">
        <x:v>B</x:v>
      </x:c>
      <x:c r="I6933" t="str">
        <x:v>4-6 years</x:v>
      </x:c>
      <x:c r="J6933" t="str">
        <x:v>RENT</x:v>
      </x:c>
      <x:c r="K6933" t="str">
        <x:v>home_improvement</x:v>
      </x:c>
      <x:c r="L6933" t="n">
        <x:v>2</x:v>
      </x:c>
      <x:c r="M6933" t="n">
        <x:v>0</x:v>
      </x:c>
      <x:c r="N6933" t="str">
        <x:v>Fully Paid</x:v>
      </x:c>
      <x:c r="O6933" t="str">
        <x:f>IF(D6933="","Unknown",IF(D6933&lt;25000,"&lt;$25k",IF(D6933&lt;50000,"$25k-$50k",IF(D6933&lt;75000,"$50k-$75k",IF(D6933&lt;100000,"$75k-$100k","$100k+")))))</x:f>
        <x:v>$25k-$50k</x:v>
      </x:c>
      <x:c r="P6933" t="str">
        <x:f>IF(E6933="","Unknown",IF(E6933&lt;10,"&lt;10",IF(E6933&lt;20,"10-&lt;20",IF(E6933&lt;25,"20-&lt;25",IF(E6933&lt;35,"25-&lt;35","35+")))))</x:f>
        <x:v>10-&lt;20</x:v>
      </x:c>
    </x:row>
    <x:row r="6934">
      <x:c r="A6934" t="str">
        <x:v>SYN0006933</x:v>
      </x:c>
      <x:c r="B6934" s="12" t="n">
        <x:v>41545</x:v>
      </x:c>
      <x:c r="C6934" s="18" t="n">
        <x:v>21207</x:v>
      </x:c>
      <x:c r="D6934" s="18" t="n">
        <x:v>232634</x:v>
      </x:c>
      <x:c r="E6934" s="18" t="n">
        <x:v>15.93</x:v>
      </x:c>
      <x:c r="F6934" s="18" t="n">
        <x:v>5.97</x:v>
      </x:c>
      <x:c r="G6934" t="n">
        <x:v>36</x:v>
      </x:c>
      <x:c r="H6934" t="str">
        <x:v>A</x:v>
      </x:c>
      <x:c r="I6934" t="str">
        <x:v>7-9 years</x:v>
      </x:c>
      <x:c r="J6934" t="str">
        <x:v>MORTGAGE</x:v>
      </x:c>
      <x:c r="K6934" t="str">
        <x:v>home_improvement</x:v>
      </x:c>
      <x:c r="L6934" t="n">
        <x:v>0</x:v>
      </x:c>
      <x:c r="M6934" t="n">
        <x:v>0</x:v>
      </x:c>
      <x:c r="N6934" t="str">
        <x:v>Fully Paid</x:v>
      </x:c>
      <x:c r="O6934" t="str">
        <x:f>IF(D6934="","Unknown",IF(D6934&lt;25000,"&lt;$25k",IF(D6934&lt;50000,"$25k-$50k",IF(D6934&lt;75000,"$50k-$75k",IF(D6934&lt;100000,"$75k-$100k","$100k+")))))</x:f>
        <x:v>$100k+</x:v>
      </x:c>
      <x:c r="P6934" t="str">
        <x:f>IF(E6934="","Unknown",IF(E6934&lt;10,"&lt;10",IF(E6934&lt;20,"10-&lt;20",IF(E6934&lt;25,"20-&lt;25",IF(E6934&lt;35,"25-&lt;35","35+")))))</x:f>
        <x:v>10-&lt;20</x:v>
      </x:c>
    </x:row>
    <x:row r="6935">
      <x:c r="A6935" t="str">
        <x:v>SYN0006934</x:v>
      </x:c>
      <x:c r="B6935" s="12" t="n">
        <x:v>41275</x:v>
      </x:c>
      <x:c r="C6935" s="18" t="n">
        <x:v>28575</x:v>
      </x:c>
      <x:c r="D6935" s="18" t="n">
        <x:v>20721</x:v>
      </x:c>
      <x:c r="E6935" s="18" t="n">
        <x:v>0</x:v>
      </x:c>
      <x:c r="F6935" s="18" t="n">
        <x:v>8.43</x:v>
      </x:c>
      <x:c r="G6935" t="n">
        <x:v>60</x:v>
      </x:c>
      <x:c r="H6935" t="str">
        <x:v>A</x:v>
      </x:c>
      <x:c r="I6935" t="str">
        <x:v>7-9 years</x:v>
      </x:c>
      <x:c r="J6935" t="str">
        <x:v>MORTGAGE</x:v>
      </x:c>
      <x:c r="K6935" t="str">
        <x:v>debt_consolidation</x:v>
      </x:c>
      <x:c r="L6935" t="n">
        <x:v>0</x:v>
      </x:c>
      <x:c r="M6935" t="n">
        <x:v>0</x:v>
      </x:c>
      <x:c r="N6935" t="str">
        <x:v>Fully Paid</x:v>
      </x:c>
      <x:c r="O6935" t="str">
        <x:f>IF(D6935="","Unknown",IF(D6935&lt;25000,"&lt;$25k",IF(D6935&lt;50000,"$25k-$50k",IF(D6935&lt;75000,"$50k-$75k",IF(D6935&lt;100000,"$75k-$100k","$100k+")))))</x:f>
        <x:v>&lt;$25k</x:v>
      </x:c>
      <x:c r="P6935" t="str">
        <x:f>IF(E6935="","Unknown",IF(E6935&lt;10,"&lt;10",IF(E6935&lt;20,"10-&lt;20",IF(E6935&lt;25,"20-&lt;25",IF(E6935&lt;35,"25-&lt;35","35+")))))</x:f>
        <x:v>Unknown</x:v>
      </x:c>
    </x:row>
    <x:row r="6936">
      <x:c r="A6936" t="str">
        <x:v>SYN0006935</x:v>
      </x:c>
      <x:c r="B6936" s="12" t="n">
        <x:v>42025</x:v>
      </x:c>
      <x:c r="C6936" s="18" t="n">
        <x:v>26639</x:v>
      </x:c>
      <x:c r="D6936" s="18" t="n">
        <x:v>16282</x:v>
      </x:c>
      <x:c r="E6936" s="18" t="n">
        <x:v>17.63</x:v>
      </x:c>
      <x:c r="F6936" s="18" t="n">
        <x:v>5.07</x:v>
      </x:c>
      <x:c r="G6936" t="n">
        <x:v>36</x:v>
      </x:c>
      <x:c r="H6936" t="str">
        <x:v>B</x:v>
      </x:c>
      <x:c r="I6936" t="str">
        <x:v>7-9 years</x:v>
      </x:c>
      <x:c r="J6936" t="str">
        <x:v>MORTGAGE</x:v>
      </x:c>
      <x:c r="K6936" t="str">
        <x:v>debt_consolidation</x:v>
      </x:c>
      <x:c r="L6936" t="n">
        <x:v>1</x:v>
      </x:c>
      <x:c r="M6936" t="n">
        <x:v>0</x:v>
      </x:c>
      <x:c r="N6936" t="str">
        <x:v>Fully Paid</x:v>
      </x:c>
      <x:c r="O6936" t="str">
        <x:f>IF(D6936="","Unknown",IF(D6936&lt;25000,"&lt;$25k",IF(D6936&lt;50000,"$25k-$50k",IF(D6936&lt;75000,"$50k-$75k",IF(D6936&lt;100000,"$75k-$100k","$100k+")))))</x:f>
        <x:v>&lt;$25k</x:v>
      </x:c>
      <x:c r="P6936" t="str">
        <x:f>IF(E6936="","Unknown",IF(E6936&lt;10,"&lt;10",IF(E6936&lt;20,"10-&lt;20",IF(E6936&lt;25,"20-&lt;25",IF(E6936&lt;35,"25-&lt;35","35+")))))</x:f>
        <x:v>10-&lt;20</x:v>
      </x:c>
    </x:row>
    <x:row r="6937">
      <x:c r="A6937" t="str">
        <x:v>SYN0006936</x:v>
      </x:c>
      <x:c r="B6937" s="12" t="n">
        <x:v>42955</x:v>
      </x:c>
      <x:c r="C6937" s="18" t="n">
        <x:v>7564</x:v>
      </x:c>
      <x:c r="D6937" s="18" t="n">
        <x:v>48292</x:v>
      </x:c>
      <x:c r="E6937" s="18" t="n">
        <x:v>33.36</x:v>
      </x:c>
      <x:c r="F6937" s="18" t="n">
        <x:v>8.01</x:v>
      </x:c>
      <x:c r="G6937" t="n">
        <x:v>36</x:v>
      </x:c>
      <x:c r="H6937" t="str">
        <x:v>A</x:v>
      </x:c>
      <x:c r="I6937" t="str">
        <x:v>&lt;1 year</x:v>
      </x:c>
      <x:c r="J6937" t="str">
        <x:v>OWN</x:v>
      </x:c>
      <x:c r="K6937" t="str">
        <x:v>other</x:v>
      </x:c>
      <x:c r="L6937" t="n">
        <x:v>1</x:v>
      </x:c>
      <x:c r="M6937" t="n">
        <x:v>0</x:v>
      </x:c>
      <x:c r="N6937" t="str">
        <x:v>Fully Paid</x:v>
      </x:c>
      <x:c r="O6937" t="str">
        <x:f>IF(D6937="","Unknown",IF(D6937&lt;25000,"&lt;$25k",IF(D6937&lt;50000,"$25k-$50k",IF(D6937&lt;75000,"$50k-$75k",IF(D6937&lt;100000,"$75k-$100k","$100k+")))))</x:f>
        <x:v>$25k-$50k</x:v>
      </x:c>
      <x:c r="P6937" t="str">
        <x:f>IF(E6937="","Unknown",IF(E6937&lt;10,"&lt;10",IF(E6937&lt;20,"10-&lt;20",IF(E6937&lt;25,"20-&lt;25",IF(E6937&lt;35,"25-&lt;35","35+")))))</x:f>
        <x:v>25-&lt;35</x:v>
      </x:c>
    </x:row>
    <x:row r="6938">
      <x:c r="A6938" t="str">
        <x:v>SYN0006937</x:v>
      </x:c>
      <x:c r="B6938" s="12" t="n">
        <x:v>41425</x:v>
      </x:c>
      <x:c r="C6938" s="18" t="n">
        <x:v>13931</x:v>
      </x:c>
      <x:c r="D6938" s="18" t="n">
        <x:v>106563</x:v>
      </x:c>
      <x:c r="E6938" s="18" t="n">
        <x:v>22.13</x:v>
      </x:c>
      <x:c r="F6938" s="18" t="n">
        <x:v>24.19</x:v>
      </x:c>
      <x:c r="G6938" t="n">
        <x:v>36</x:v>
      </x:c>
      <x:c r="H6938" t="str">
        <x:v>G</x:v>
      </x:c>
      <x:c r="I6938" t="str">
        <x:v>4-6 years</x:v>
      </x:c>
      <x:c r="J6938" t="str">
        <x:v>RENT</x:v>
      </x:c>
      <x:c r="K6938" t="str">
        <x:v>debt_consolidation</x:v>
      </x:c>
      <x:c r="L6938" t="n">
        <x:v>1</x:v>
      </x:c>
      <x:c r="M6938" t="n">
        <x:v>0</x:v>
      </x:c>
      <x:c r="N6938" t="str">
        <x:v>Fully Paid</x:v>
      </x:c>
      <x:c r="O6938" t="str">
        <x:f>IF(D6938="","Unknown",IF(D6938&lt;25000,"&lt;$25k",IF(D6938&lt;50000,"$25k-$50k",IF(D6938&lt;75000,"$50k-$75k",IF(D6938&lt;100000,"$75k-$100k","$100k+")))))</x:f>
        <x:v>$100k+</x:v>
      </x:c>
      <x:c r="P6938" t="str">
        <x:f>IF(E6938="","Unknown",IF(E6938&lt;10,"&lt;10",IF(E6938&lt;20,"10-&lt;20",IF(E6938&lt;25,"20-&lt;25",IF(E6938&lt;35,"25-&lt;35","35+")))))</x:f>
        <x:v>20-&lt;25</x:v>
      </x:c>
    </x:row>
    <x:row r="6939">
      <x:c r="A6939" t="str">
        <x:v>SYN0006938</x:v>
      </x:c>
      <x:c r="B6939" s="12" t="n">
        <x:v>41905</x:v>
      </x:c>
      <x:c r="C6939" s="18" t="n">
        <x:v>11482</x:v>
      </x:c>
      <x:c r="D6939" s="18" t="n">
        <x:v>45005</x:v>
      </x:c>
      <x:c r="E6939" s="18" t="n">
        <x:v>25.69</x:v>
      </x:c>
      <x:c r="F6939" s="18" t="n">
        <x:v>10.9</x:v>
      </x:c>
      <x:c r="G6939" t="n">
        <x:v>36</x:v>
      </x:c>
      <x:c r="H6939" t="str">
        <x:v>B</x:v>
      </x:c>
      <x:c r="I6939" t="str">
        <x:v>1-3 years</x:v>
      </x:c>
      <x:c r="J6939" t="str">
        <x:v>MORTGAGE</x:v>
      </x:c>
      <x:c r="K6939" t="str">
        <x:v>debt_consolidation</x:v>
      </x:c>
      <x:c r="L6939" t="n">
        <x:v>1</x:v>
      </x:c>
      <x:c r="M6939" t="n">
        <x:v>0</x:v>
      </x:c>
      <x:c r="N6939" t="str">
        <x:v>Fully Paid</x:v>
      </x:c>
      <x:c r="O6939" t="str">
        <x:f>IF(D6939="","Unknown",IF(D6939&lt;25000,"&lt;$25k",IF(D6939&lt;50000,"$25k-$50k",IF(D6939&lt;75000,"$50k-$75k",IF(D6939&lt;100000,"$75k-$100k","$100k+")))))</x:f>
        <x:v>$25k-$50k</x:v>
      </x:c>
      <x:c r="P6939" t="str">
        <x:f>IF(E6939="","Unknown",IF(E6939&lt;10,"&lt;10",IF(E6939&lt;20,"10-&lt;20",IF(E6939&lt;25,"20-&lt;25",IF(E6939&lt;35,"25-&lt;35","35+")))))</x:f>
        <x:v>25-&lt;35</x:v>
      </x:c>
    </x:row>
    <x:row r="6940">
      <x:c r="A6940" t="str">
        <x:v>SYN0006939</x:v>
      </x:c>
      <x:c r="B6940" s="12" t="n">
        <x:v>42805</x:v>
      </x:c>
      <x:c r="C6940" s="18" t="n">
        <x:v>16269</x:v>
      </x:c>
      <x:c r="D6940" s="18" t="n">
        <x:v>27766</x:v>
      </x:c>
      <x:c r="E6940" s="18" t="n">
        <x:v>11</x:v>
      </x:c>
      <x:c r="F6940" s="18" t="n">
        <x:v>8.98</x:v>
      </x:c>
      <x:c r="G6940" t="n">
        <x:v>36</x:v>
      </x:c>
      <x:c r="H6940" t="str">
        <x:v>C</x:v>
      </x:c>
      <x:c r="I6940" t="str">
        <x:v>4-6 years</x:v>
      </x:c>
      <x:c r="J6940" t="str">
        <x:v>MORTGAGE</x:v>
      </x:c>
      <x:c r="K6940" t="str">
        <x:v>debt_consolidation</x:v>
      </x:c>
      <x:c r="L6940" t="n">
        <x:v>0</x:v>
      </x:c>
      <x:c r="M6940" t="n">
        <x:v>0</x:v>
      </x:c>
      <x:c r="N6940" t="str">
        <x:v>Fully Paid</x:v>
      </x:c>
      <x:c r="O6940" t="str">
        <x:f>IF(D6940="","Unknown",IF(D6940&lt;25000,"&lt;$25k",IF(D6940&lt;50000,"$25k-$50k",IF(D6940&lt;75000,"$50k-$75k",IF(D6940&lt;100000,"$75k-$100k","$100k+")))))</x:f>
        <x:v>$25k-$50k</x:v>
      </x:c>
      <x:c r="P6940" t="str">
        <x:f>IF(E6940="","Unknown",IF(E6940&lt;10,"&lt;10",IF(E6940&lt;20,"10-&lt;20",IF(E6940&lt;25,"20-&lt;25",IF(E6940&lt;35,"25-&lt;35","35+")))))</x:f>
        <x:v>10-&lt;20</x:v>
      </x:c>
    </x:row>
    <x:row r="6941">
      <x:c r="A6941" t="str">
        <x:v>SYN0006940</x:v>
      </x:c>
      <x:c r="B6941" s="12" t="n">
        <x:v>41485</x:v>
      </x:c>
      <x:c r="C6941" s="18" t="n">
        <x:v>29729</x:v>
      </x:c>
      <x:c r="D6941" s="18" t="n">
        <x:v>23824</x:v>
      </x:c>
      <x:c r="E6941" s="18" t="n">
        <x:v>11.52</x:v>
      </x:c>
      <x:c r="F6941" s="18" t="n">
        <x:v>10.55</x:v>
      </x:c>
      <x:c r="G6941" t="n">
        <x:v>36</x:v>
      </x:c>
      <x:c r="H6941" t="str">
        <x:v>C</x:v>
      </x:c>
      <x:c r="I6941" t="str">
        <x:v>4-6 years</x:v>
      </x:c>
      <x:c r="J6941" t="str">
        <x:v>RENT</x:v>
      </x:c>
      <x:c r="K6941" t="str">
        <x:v>debt_consolidation</x:v>
      </x:c>
      <x:c r="L6941" t="n">
        <x:v>0</x:v>
      </x:c>
      <x:c r="M6941" t="n">
        <x:v>0</x:v>
      </x:c>
      <x:c r="N6941" t="str">
        <x:v>Fully Paid</x:v>
      </x:c>
      <x:c r="O6941" t="str">
        <x:f>IF(D6941="","Unknown",IF(D6941&lt;25000,"&lt;$25k",IF(D6941&lt;50000,"$25k-$50k",IF(D6941&lt;75000,"$50k-$75k",IF(D6941&lt;100000,"$75k-$100k","$100k+")))))</x:f>
        <x:v>&lt;$25k</x:v>
      </x:c>
      <x:c r="P6941" t="str">
        <x:f>IF(E6941="","Unknown",IF(E6941&lt;10,"&lt;10",IF(E6941&lt;20,"10-&lt;20",IF(E6941&lt;25,"20-&lt;25",IF(E6941&lt;35,"25-&lt;35","35+")))))</x:f>
        <x:v>10-&lt;20</x:v>
      </x:c>
    </x:row>
    <x:row r="6942">
      <x:c r="A6942" t="str">
        <x:v>SYN0006941</x:v>
      </x:c>
      <x:c r="B6942" s="12" t="n">
        <x:v>43195</x:v>
      </x:c>
      <x:c r="C6942" s="18" t="n">
        <x:v>5816</x:v>
      </x:c>
      <x:c r="D6942" s="18" t="n">
        <x:v>28781</x:v>
      </x:c>
      <x:c r="E6942" s="18" t="n">
        <x:v>13.58</x:v>
      </x:c>
      <x:c r="F6942" s="18" t="n">
        <x:v>12.91</x:v>
      </x:c>
      <x:c r="G6942" t="n">
        <x:v>36</x:v>
      </x:c>
      <x:c r="H6942" t="str">
        <x:v>C</x:v>
      </x:c>
      <x:c r="I6942" t="str">
        <x:v>10+ years</x:v>
      </x:c>
      <x:c r="J6942" t="str">
        <x:v>RENT</x:v>
      </x:c>
      <x:c r="K6942" t="str">
        <x:v>debt_consolidation</x:v>
      </x:c>
      <x:c r="L6942" t="n">
        <x:v>2</x:v>
      </x:c>
      <x:c r="M6942" t="n">
        <x:v>0</x:v>
      </x:c>
      <x:c r="N6942" t="str">
        <x:v>Fully Paid</x:v>
      </x:c>
      <x:c r="O6942" t="str">
        <x:f>IF(D6942="","Unknown",IF(D6942&lt;25000,"&lt;$25k",IF(D6942&lt;50000,"$25k-$50k",IF(D6942&lt;75000,"$50k-$75k",IF(D6942&lt;100000,"$75k-$100k","$100k+")))))</x:f>
        <x:v>$25k-$50k</x:v>
      </x:c>
      <x:c r="P6942" t="str">
        <x:f>IF(E6942="","Unknown",IF(E6942&lt;10,"&lt;10",IF(E6942&lt;20,"10-&lt;20",IF(E6942&lt;25,"20-&lt;25",IF(E6942&lt;35,"25-&lt;35","35+")))))</x:f>
        <x:v>10-&lt;20</x:v>
      </x:c>
    </x:row>
    <x:row r="6943">
      <x:c r="A6943" t="str">
        <x:v>SYN0006942</x:v>
      </x:c>
      <x:c r="B6943" s="12" t="n">
        <x:v>42025</x:v>
      </x:c>
      <x:c r="C6943" s="18" t="n">
        <x:v>15814</x:v>
      </x:c>
      <x:c r="D6943" s="18" t="n">
        <x:v>23408</x:v>
      </x:c>
      <x:c r="E6943" s="18" t="n">
        <x:v>23.69</x:v>
      </x:c>
      <x:c r="F6943" s="18" t="n">
        <x:v>14.11</x:v>
      </x:c>
      <x:c r="G6943" t="n">
        <x:v>36</x:v>
      </x:c>
      <x:c r="H6943" t="str">
        <x:v>D</x:v>
      </x:c>
      <x:c r="I6943" t="str">
        <x:v>1-3 years</x:v>
      </x:c>
      <x:c r="J6943" t="str">
        <x:v>RENT</x:v>
      </x:c>
      <x:c r="K6943" t="str">
        <x:v>debt_consolidation</x:v>
      </x:c>
      <x:c r="L6943" t="n">
        <x:v>0</x:v>
      </x:c>
      <x:c r="M6943" t="n">
        <x:v>0</x:v>
      </x:c>
      <x:c r="N6943" t="str">
        <x:v>Fully Paid</x:v>
      </x:c>
      <x:c r="O6943" t="str">
        <x:f>IF(D6943="","Unknown",IF(D6943&lt;25000,"&lt;$25k",IF(D6943&lt;50000,"$25k-$50k",IF(D6943&lt;75000,"$50k-$75k",IF(D6943&lt;100000,"$75k-$100k","$100k+")))))</x:f>
        <x:v>&lt;$25k</x:v>
      </x:c>
      <x:c r="P6943" t="str">
        <x:f>IF(E6943="","Unknown",IF(E6943&lt;10,"&lt;10",IF(E6943&lt;20,"10-&lt;20",IF(E6943&lt;25,"20-&lt;25",IF(E6943&lt;35,"25-&lt;35","35+")))))</x:f>
        <x:v>20-&lt;25</x:v>
      </x:c>
    </x:row>
    <x:row r="6944">
      <x:c r="A6944" t="str">
        <x:v>SYN0006943</x:v>
      </x:c>
      <x:c r="B6944" s="12" t="n">
        <x:v>41785</x:v>
      </x:c>
      <x:c r="C6944" s="18" t="n">
        <x:v>12752</x:v>
      </x:c>
      <x:c r="D6944" s="18" t="n">
        <x:v>37335</x:v>
      </x:c>
      <x:c r="E6944" s="18" t="n">
        <x:v>20.02</x:v>
      </x:c>
      <x:c r="F6944" s="18" t="n">
        <x:v>5</x:v>
      </x:c>
      <x:c r="G6944" t="n">
        <x:v>36</x:v>
      </x:c>
      <x:c r="H6944" t="str">
        <x:v>A</x:v>
      </x:c>
      <x:c r="I6944" t="str">
        <x:v>4-6 years</x:v>
      </x:c>
      <x:c r="J6944" t="str">
        <x:v>RENT</x:v>
      </x:c>
      <x:c r="K6944" t="str">
        <x:v>debt_consolidation</x:v>
      </x:c>
      <x:c r="L6944" t="n">
        <x:v>1</x:v>
      </x:c>
      <x:c r="M6944" t="n">
        <x:v>0</x:v>
      </x:c>
      <x:c r="N6944" t="str">
        <x:v>Fully Paid</x:v>
      </x:c>
      <x:c r="O6944" t="str">
        <x:f>IF(D6944="","Unknown",IF(D6944&lt;25000,"&lt;$25k",IF(D6944&lt;50000,"$25k-$50k",IF(D6944&lt;75000,"$50k-$75k",IF(D6944&lt;100000,"$75k-$100k","$100k+")))))</x:f>
        <x:v>$25k-$50k</x:v>
      </x:c>
      <x:c r="P6944" t="str">
        <x:f>IF(E6944="","Unknown",IF(E6944&lt;10,"&lt;10",IF(E6944&lt;20,"10-&lt;20",IF(E6944&lt;25,"20-&lt;25",IF(E6944&lt;35,"25-&lt;35","35+")))))</x:f>
        <x:v>20-&lt;25</x:v>
      </x:c>
    </x:row>
    <x:row r="6945">
      <x:c r="A6945" t="str">
        <x:v>SYN0006944</x:v>
      </x:c>
      <x:c r="B6945" s="12" t="n">
        <x:v>41905</x:v>
      </x:c>
      <x:c r="C6945" s="18" t="n">
        <x:v>10447</x:v>
      </x:c>
      <x:c r="D6945" s="18" t="n">
        <x:v>65938</x:v>
      </x:c>
      <x:c r="E6945" s="18" t="n">
        <x:v>16.82</x:v>
      </x:c>
      <x:c r="F6945" s="18" t="n">
        <x:v>9.51</x:v>
      </x:c>
      <x:c r="G6945" t="n">
        <x:v>36</x:v>
      </x:c>
      <x:c r="H6945" t="str">
        <x:v>C</x:v>
      </x:c>
      <x:c r="I6945" t="str">
        <x:v>7-9 years</x:v>
      </x:c>
      <x:c r="J6945" t="str">
        <x:v>MORTGAGE</x:v>
      </x:c>
      <x:c r="K6945" t="str">
        <x:v>debt_consolidation</x:v>
      </x:c>
      <x:c r="L6945" t="n">
        <x:v>1</x:v>
      </x:c>
      <x:c r="M6945" t="n">
        <x:v>0</x:v>
      </x:c>
      <x:c r="N6945" t="str">
        <x:v>Fully Paid</x:v>
      </x:c>
      <x:c r="O6945" t="str">
        <x:f>IF(D6945="","Unknown",IF(D6945&lt;25000,"&lt;$25k",IF(D6945&lt;50000,"$25k-$50k",IF(D6945&lt;75000,"$50k-$75k",IF(D6945&lt;100000,"$75k-$100k","$100k+")))))</x:f>
        <x:v>$50k-$75k</x:v>
      </x:c>
      <x:c r="P6945" t="str">
        <x:f>IF(E6945="","Unknown",IF(E6945&lt;10,"&lt;10",IF(E6945&lt;20,"10-&lt;20",IF(E6945&lt;25,"20-&lt;25",IF(E6945&lt;35,"25-&lt;35","35+")))))</x:f>
        <x:v>10-&lt;20</x:v>
      </x:c>
    </x:row>
    <x:row r="6946">
      <x:c r="A6946" t="str">
        <x:v>SYN0006945</x:v>
      </x:c>
      <x:c r="B6946" s="12" t="n">
        <x:v>41905</x:v>
      </x:c>
      <x:c r="C6946" s="18" t="n">
        <x:v>8354</x:v>
      </x:c>
      <x:c r="D6946" s="18" t="n">
        <x:v>37751</x:v>
      </x:c>
      <x:c r="E6946" s="18" t="n">
        <x:v>12.43</x:v>
      </x:c>
      <x:c r="F6946" s="18" t="n">
        <x:v>5.73</x:v>
      </x:c>
      <x:c r="G6946" t="n">
        <x:v>36</x:v>
      </x:c>
      <x:c r="H6946" t="str">
        <x:v>A</x:v>
      </x:c>
      <x:c r="I6946" t="str">
        <x:v>7-9 years</x:v>
      </x:c>
      <x:c r="J6946" t="str">
        <x:v>RENT</x:v>
      </x:c>
      <x:c r="K6946" t="str">
        <x:v>credit_card</x:v>
      </x:c>
      <x:c r="L6946" t="n">
        <x:v>0</x:v>
      </x:c>
      <x:c r="M6946" t="n">
        <x:v>0</x:v>
      </x:c>
      <x:c r="N6946" t="str">
        <x:v>Fully Paid</x:v>
      </x:c>
      <x:c r="O6946" t="str">
        <x:f>IF(D6946="","Unknown",IF(D6946&lt;25000,"&lt;$25k",IF(D6946&lt;50000,"$25k-$50k",IF(D6946&lt;75000,"$50k-$75k",IF(D6946&lt;100000,"$75k-$100k","$100k+")))))</x:f>
        <x:v>$25k-$50k</x:v>
      </x:c>
      <x:c r="P6946" t="str">
        <x:f>IF(E6946="","Unknown",IF(E6946&lt;10,"&lt;10",IF(E6946&lt;20,"10-&lt;20",IF(E6946&lt;25,"20-&lt;25",IF(E6946&lt;35,"25-&lt;35","35+")))))</x:f>
        <x:v>10-&lt;20</x:v>
      </x:c>
    </x:row>
    <x:row r="6947">
      <x:c r="A6947" t="str">
        <x:v>SYN0006946</x:v>
      </x:c>
      <x:c r="B6947" s="12" t="n">
        <x:v>41695</x:v>
      </x:c>
      <x:c r="C6947" s="18" t="n">
        <x:v>7185</x:v>
      </x:c>
      <x:c r="D6947" s="18" t="n">
        <x:v>28442</x:v>
      </x:c>
      <x:c r="E6947" s="18" t="n">
        <x:v>8.71</x:v>
      </x:c>
      <x:c r="F6947" s="18" t="n">
        <x:v>12.39</x:v>
      </x:c>
      <x:c r="G6947" t="n">
        <x:v>60</x:v>
      </x:c>
      <x:c r="H6947" t="str">
        <x:v>C</x:v>
      </x:c>
      <x:c r="I6947" t="str">
        <x:v>4-6 years</x:v>
      </x:c>
      <x:c r="J6947" t="str">
        <x:v>RENT</x:v>
      </x:c>
      <x:c r="K6947" t="str">
        <x:v>debt_consolidation</x:v>
      </x:c>
      <x:c r="L6947" t="n">
        <x:v>0</x:v>
      </x:c>
      <x:c r="M6947" t="n">
        <x:v>0</x:v>
      </x:c>
      <x:c r="N6947" t="str">
        <x:v>Fully Paid</x:v>
      </x:c>
      <x:c r="O6947" t="str">
        <x:f>IF(D6947="","Unknown",IF(D6947&lt;25000,"&lt;$25k",IF(D6947&lt;50000,"$25k-$50k",IF(D6947&lt;75000,"$50k-$75k",IF(D6947&lt;100000,"$75k-$100k","$100k+")))))</x:f>
        <x:v>$25k-$50k</x:v>
      </x:c>
      <x:c r="P6947" t="str">
        <x:f>IF(E6947="","Unknown",IF(E6947&lt;10,"&lt;10",IF(E6947&lt;20,"10-&lt;20",IF(E6947&lt;25,"20-&lt;25",IF(E6947&lt;35,"25-&lt;35","35+")))))</x:f>
        <x:v>&lt;10</x:v>
      </x:c>
    </x:row>
    <x:row r="6948">
      <x:c r="A6948" t="str">
        <x:v>SYN0006947</x:v>
      </x:c>
      <x:c r="B6948" s="12" t="n">
        <x:v>41605</x:v>
      </x:c>
      <x:c r="C6948" s="18" t="n">
        <x:v>10165</x:v>
      </x:c>
      <x:c r="D6948" s="18" t="n">
        <x:v>12166</x:v>
      </x:c>
      <x:c r="E6948" s="18" t="n">
        <x:v>22.14</x:v>
      </x:c>
      <x:c r="F6948" s="18" t="n">
        <x:v>8.3</x:v>
      </x:c>
      <x:c r="G6948" t="n">
        <x:v>36</x:v>
      </x:c>
      <x:c r="H6948" t="str">
        <x:v>A</x:v>
      </x:c>
      <x:c r="I6948" t="str">
        <x:v>10+ years</x:v>
      </x:c>
      <x:c r="J6948" t="str">
        <x:v>RENT</x:v>
      </x:c>
      <x:c r="K6948" t="str">
        <x:v>debt_consolidation</x:v>
      </x:c>
      <x:c r="L6948" t="n">
        <x:v>0</x:v>
      </x:c>
      <x:c r="M6948" t="n">
        <x:v>0</x:v>
      </x:c>
      <x:c r="N6948" t="str">
        <x:v>Fully Paid</x:v>
      </x:c>
      <x:c r="O6948" t="str">
        <x:f>IF(D6948="","Unknown",IF(D6948&lt;25000,"&lt;$25k",IF(D6948&lt;50000,"$25k-$50k",IF(D6948&lt;75000,"$50k-$75k",IF(D6948&lt;100000,"$75k-$100k","$100k+")))))</x:f>
        <x:v>&lt;$25k</x:v>
      </x:c>
      <x:c r="P6948" t="str">
        <x:f>IF(E6948="","Unknown",IF(E6948&lt;10,"&lt;10",IF(E6948&lt;20,"10-&lt;20",IF(E6948&lt;25,"20-&lt;25",IF(E6948&lt;35,"25-&lt;35","35+")))))</x:f>
        <x:v>20-&lt;25</x:v>
      </x:c>
    </x:row>
    <x:row r="6949">
      <x:c r="A6949" t="str">
        <x:v>SYN0006948</x:v>
      </x:c>
      <x:c r="B6949" s="12" t="n">
        <x:v>41785</x:v>
      </x:c>
      <x:c r="C6949" s="18" t="n">
        <x:v>19577</x:v>
      </x:c>
      <x:c r="D6949" s="18" t="n">
        <x:v>99661</x:v>
      </x:c>
      <x:c r="E6949" s="18" t="n">
        <x:v>4.82</x:v>
      </x:c>
      <x:c r="F6949" s="18" t="n">
        <x:v>6.7</x:v>
      </x:c>
      <x:c r="G6949" t="n">
        <x:v>60</x:v>
      </x:c>
      <x:c r="H6949" t="str">
        <x:v>A</x:v>
      </x:c>
      <x:c r="I6949" t="str">
        <x:v>1-3 years</x:v>
      </x:c>
      <x:c r="J6949" t="str">
        <x:v>MORTGAGE</x:v>
      </x:c>
      <x:c r="K6949" t="str">
        <x:v>debt_consolidation</x:v>
      </x:c>
      <x:c r="L6949" t="n">
        <x:v>0</x:v>
      </x:c>
      <x:c r="M6949" t="n">
        <x:v>0</x:v>
      </x:c>
      <x:c r="N6949" t="str">
        <x:v>Fully Paid</x:v>
      </x:c>
      <x:c r="O6949" t="str">
        <x:f>IF(D6949="","Unknown",IF(D6949&lt;25000,"&lt;$25k",IF(D6949&lt;50000,"$25k-$50k",IF(D6949&lt;75000,"$50k-$75k",IF(D6949&lt;100000,"$75k-$100k","$100k+")))))</x:f>
        <x:v>$75k-$100k</x:v>
      </x:c>
      <x:c r="P6949" t="str">
        <x:f>IF(E6949="","Unknown",IF(E6949&lt;10,"&lt;10",IF(E6949&lt;20,"10-&lt;20",IF(E6949&lt;25,"20-&lt;25",IF(E6949&lt;35,"25-&lt;35","35+")))))</x:f>
        <x:v>&lt;10</x:v>
      </x:c>
    </x:row>
    <x:row r="6950">
      <x:c r="A6950" t="str">
        <x:v>SYN0006949</x:v>
      </x:c>
      <x:c r="B6950" s="12" t="n">
        <x:v>42535</x:v>
      </x:c>
      <x:c r="C6950" s="18" t="n">
        <x:v>18406</x:v>
      </x:c>
      <x:c r="D6950" s="18" t="n">
        <x:v>83710</x:v>
      </x:c>
      <x:c r="E6950" s="18" t="n">
        <x:v>35.69</x:v>
      </x:c>
      <x:c r="F6950" s="18" t="n">
        <x:v>22.81</x:v>
      </x:c>
      <x:c r="G6950" t="n">
        <x:v>60</x:v>
      </x:c>
      <x:c r="H6950" t="str">
        <x:v>F</x:v>
      </x:c>
      <x:c r="I6950" t="str">
        <x:v>7-9 years</x:v>
      </x:c>
      <x:c r="J6950" t="str">
        <x:v>MORTGAGE</x:v>
      </x:c>
      <x:c r="K6950" t="str">
        <x:v>other</x:v>
      </x:c>
      <x:c r="L6950" t="n">
        <x:v>2</x:v>
      </x:c>
      <x:c r="M6950" t="n">
        <x:v>1</x:v>
      </x:c>
      <x:c r="N6950" t="str">
        <x:v>Charged Off</x:v>
      </x:c>
      <x:c r="O6950" t="str">
        <x:f>IF(D6950="","Unknown",IF(D6950&lt;25000,"&lt;$25k",IF(D6950&lt;50000,"$25k-$50k",IF(D6950&lt;75000,"$50k-$75k",IF(D6950&lt;100000,"$75k-$100k","$100k+")))))</x:f>
        <x:v>$75k-$100k</x:v>
      </x:c>
      <x:c r="P6950" t="str">
        <x:f>IF(E6950="","Unknown",IF(E6950&lt;10,"&lt;10",IF(E6950&lt;20,"10-&lt;20",IF(E6950&lt;25,"20-&lt;25",IF(E6950&lt;35,"25-&lt;35","35+")))))</x:f>
        <x:v>35+</x:v>
      </x:c>
    </x:row>
    <x:row r="6951">
      <x:c r="A6951" t="str">
        <x:v>SYN0006950</x:v>
      </x:c>
      <x:c r="B6951" s="12" t="n">
        <x:v>41425</x:v>
      </x:c>
      <x:c r="C6951" s="18" t="n">
        <x:v>10236</x:v>
      </x:c>
      <x:c r="D6951" s="18" t="n">
        <x:v>56704</x:v>
      </x:c>
      <x:c r="E6951" s="18" t="n">
        <x:v>17.33</x:v>
      </x:c>
      <x:c r="F6951" s="18" t="n">
        <x:v>6.64</x:v>
      </x:c>
      <x:c r="G6951" t="n">
        <x:v>60</x:v>
      </x:c>
      <x:c r="H6951" t="str">
        <x:v>A</x:v>
      </x:c>
      <x:c r="I6951" t="str">
        <x:v>1-3 years</x:v>
      </x:c>
      <x:c r="J6951" t="str">
        <x:v>RENT</x:v>
      </x:c>
      <x:c r="K6951" t="str">
        <x:v>debt_consolidation</x:v>
      </x:c>
      <x:c r="L6951" t="n">
        <x:v>0</x:v>
      </x:c>
      <x:c r="M6951" t="n">
        <x:v>0</x:v>
      </x:c>
      <x:c r="N6951" t="str">
        <x:v>Fully Paid</x:v>
      </x:c>
      <x:c r="O6951" t="str">
        <x:f>IF(D6951="","Unknown",IF(D6951&lt;25000,"&lt;$25k",IF(D6951&lt;50000,"$25k-$50k",IF(D6951&lt;75000,"$50k-$75k",IF(D6951&lt;100000,"$75k-$100k","$100k+")))))</x:f>
        <x:v>$50k-$75k</x:v>
      </x:c>
      <x:c r="P6951" t="str">
        <x:f>IF(E6951="","Unknown",IF(E6951&lt;10,"&lt;10",IF(E6951&lt;20,"10-&lt;20",IF(E6951&lt;25,"20-&lt;25",IF(E6951&lt;35,"25-&lt;35","35+")))))</x:f>
        <x:v>10-&lt;20</x:v>
      </x:c>
    </x:row>
    <x:row r="6952">
      <x:c r="A6952" t="str">
        <x:v>SYN0006951</x:v>
      </x:c>
      <x:c r="B6952" s="12" t="n">
        <x:v>42475</x:v>
      </x:c>
      <x:c r="C6952" s="18" t="n">
        <x:v>20790</x:v>
      </x:c>
      <x:c r="D6952" s="18" t="n">
        <x:v>82673</x:v>
      </x:c>
      <x:c r="E6952" s="18" t="n">
        <x:v>16.22</x:v>
      </x:c>
      <x:c r="F6952" s="18" t="n">
        <x:v>6.33</x:v>
      </x:c>
      <x:c r="G6952" t="n">
        <x:v>36</x:v>
      </x:c>
      <x:c r="H6952" t="str">
        <x:v>A</x:v>
      </x:c>
      <x:c r="I6952" t="str">
        <x:v>4-6 years</x:v>
      </x:c>
      <x:c r="J6952" t="str">
        <x:v>MORTGAGE</x:v>
      </x:c>
      <x:c r="K6952" t="str">
        <x:v>home_improvement</x:v>
      </x:c>
      <x:c r="L6952" t="n">
        <x:v>0</x:v>
      </x:c>
      <x:c r="M6952" t="n">
        <x:v>0</x:v>
      </x:c>
      <x:c r="N6952" t="str">
        <x:v>Fully Paid</x:v>
      </x:c>
      <x:c r="O6952" t="str">
        <x:f>IF(D6952="","Unknown",IF(D6952&lt;25000,"&lt;$25k",IF(D6952&lt;50000,"$25k-$50k",IF(D6952&lt;75000,"$50k-$75k",IF(D6952&lt;100000,"$75k-$100k","$100k+")))))</x:f>
        <x:v>$75k-$100k</x:v>
      </x:c>
      <x:c r="P6952" t="str">
        <x:f>IF(E6952="","Unknown",IF(E6952&lt;10,"&lt;10",IF(E6952&lt;20,"10-&lt;20",IF(E6952&lt;25,"20-&lt;25",IF(E6952&lt;35,"25-&lt;35","35+")))))</x:f>
        <x:v>10-&lt;20</x:v>
      </x:c>
    </x:row>
    <x:row r="6953">
      <x:c r="A6953" t="str">
        <x:v>SYN0006952</x:v>
      </x:c>
      <x:c r="B6953" s="12" t="n">
        <x:v>43285</x:v>
      </x:c>
      <x:c r="C6953" s="18" t="n">
        <x:v>10844</x:v>
      </x:c>
      <x:c r="D6953" s="18" t="n">
        <x:v>51020</x:v>
      </x:c>
      <x:c r="E6953" s="18" t="n">
        <x:v>21.8</x:v>
      </x:c>
      <x:c r="F6953" s="18" t="n">
        <x:v>5</x:v>
      </x:c>
      <x:c r="G6953" t="n">
        <x:v>36</x:v>
      </x:c>
      <x:c r="H6953" t="str">
        <x:v>A</x:v>
      </x:c>
      <x:c r="I6953" t="str">
        <x:v>7-9 years</x:v>
      </x:c>
      <x:c r="J6953" t="str">
        <x:v>MORTGAGE</x:v>
      </x:c>
      <x:c r="K6953" t="str">
        <x:v>major_purchase</x:v>
      </x:c>
      <x:c r="L6953" t="n">
        <x:v>0</x:v>
      </x:c>
      <x:c r="M6953" t="n">
        <x:v>0</x:v>
      </x:c>
      <x:c r="N6953" t="str">
        <x:v>Fully Paid</x:v>
      </x:c>
      <x:c r="O6953" t="str">
        <x:f>IF(D6953="","Unknown",IF(D6953&lt;25000,"&lt;$25k",IF(D6953&lt;50000,"$25k-$50k",IF(D6953&lt;75000,"$50k-$75k",IF(D6953&lt;100000,"$75k-$100k","$100k+")))))</x:f>
        <x:v>$50k-$75k</x:v>
      </x:c>
      <x:c r="P6953" t="str">
        <x:f>IF(E6953="","Unknown",IF(E6953&lt;10,"&lt;10",IF(E6953&lt;20,"10-&lt;20",IF(E6953&lt;25,"20-&lt;25",IF(E6953&lt;35,"25-&lt;35","35+")))))</x:f>
        <x:v>20-&lt;25</x:v>
      </x:c>
    </x:row>
    <x:row r="6954">
      <x:c r="A6954" t="str">
        <x:v>SYN0006953</x:v>
      </x:c>
      <x:c r="B6954" s="12" t="n">
        <x:v>41305</x:v>
      </x:c>
      <x:c r="C6954" s="18" t="n">
        <x:v>12717</x:v>
      </x:c>
      <x:c r="D6954" s="18" t="n">
        <x:v>56441</x:v>
      </x:c>
      <x:c r="E6954" s="18" t="n">
        <x:v>12.63</x:v>
      </x:c>
      <x:c r="F6954" s="18" t="n">
        <x:v>18.67</x:v>
      </x:c>
      <x:c r="G6954" t="n">
        <x:v>60</x:v>
      </x:c>
      <x:c r="H6954" t="str">
        <x:v>E</x:v>
      </x:c>
      <x:c r="I6954" t="str">
        <x:v>4-6 years</x:v>
      </x:c>
      <x:c r="J6954" t="str">
        <x:v>RENT</x:v>
      </x:c>
      <x:c r="K6954" t="str">
        <x:v>credit_card</x:v>
      </x:c>
      <x:c r="L6954" t="n">
        <x:v>0</x:v>
      </x:c>
      <x:c r="M6954" t="n">
        <x:v>1</x:v>
      </x:c>
      <x:c r="N6954" t="str">
        <x:v>Charged Off</x:v>
      </x:c>
      <x:c r="O6954" t="str">
        <x:f>IF(D6954="","Unknown",IF(D6954&lt;25000,"&lt;$25k",IF(D6954&lt;50000,"$25k-$50k",IF(D6954&lt;75000,"$50k-$75k",IF(D6954&lt;100000,"$75k-$100k","$100k+")))))</x:f>
        <x:v>$50k-$75k</x:v>
      </x:c>
      <x:c r="P6954" t="str">
        <x:f>IF(E6954="","Unknown",IF(E6954&lt;10,"&lt;10",IF(E6954&lt;20,"10-&lt;20",IF(E6954&lt;25,"20-&lt;25",IF(E6954&lt;35,"25-&lt;35","35+")))))</x:f>
        <x:v>10-&lt;20</x:v>
      </x:c>
    </x:row>
    <x:row r="6955">
      <x:c r="A6955" t="str">
        <x:v>SYN0006954</x:v>
      </x:c>
      <x:c r="B6955" s="12" t="n">
        <x:v>42535</x:v>
      </x:c>
      <x:c r="C6955" s="18" t="n">
        <x:v>9684</x:v>
      </x:c>
      <x:c r="D6955" s="18" t="n">
        <x:v>53219</x:v>
      </x:c>
      <x:c r="E6955" s="18" t="n">
        <x:v>20.95</x:v>
      </x:c>
      <x:c r="F6955" s="18" t="n">
        <x:v>15.7</x:v>
      </x:c>
      <x:c r="G6955" t="n">
        <x:v>36</x:v>
      </x:c>
      <x:c r="H6955" t="str">
        <x:v>E</x:v>
      </x:c>
      <x:c r="I6955" t="str">
        <x:v>10+ years</x:v>
      </x:c>
      <x:c r="J6955" t="str">
        <x:v>MORTGAGE</x:v>
      </x:c>
      <x:c r="K6955" t="str">
        <x:v>debt_consolidation</x:v>
      </x:c>
      <x:c r="L6955" t="n">
        <x:v>1</x:v>
      </x:c>
      <x:c r="M6955" t="n">
        <x:v>0</x:v>
      </x:c>
      <x:c r="N6955" t="str">
        <x:v>Fully Paid</x:v>
      </x:c>
      <x:c r="O6955" t="str">
        <x:f>IF(D6955="","Unknown",IF(D6955&lt;25000,"&lt;$25k",IF(D6955&lt;50000,"$25k-$50k",IF(D6955&lt;75000,"$50k-$75k",IF(D6955&lt;100000,"$75k-$100k","$100k+")))))</x:f>
        <x:v>$50k-$75k</x:v>
      </x:c>
      <x:c r="P6955" t="str">
        <x:f>IF(E6955="","Unknown",IF(E6955&lt;10,"&lt;10",IF(E6955&lt;20,"10-&lt;20",IF(E6955&lt;25,"20-&lt;25",IF(E6955&lt;35,"25-&lt;35","35+")))))</x:f>
        <x:v>20-&lt;25</x:v>
      </x:c>
    </x:row>
    <x:row r="6956">
      <x:c r="A6956" t="str">
        <x:v>SYN0006955</x:v>
      </x:c>
      <x:c r="B6956" s="12" t="n">
        <x:v>42205</x:v>
      </x:c>
      <x:c r="C6956" s="18" t="n">
        <x:v>9618</x:v>
      </x:c>
      <x:c r="D6956" s="18" t="n">
        <x:v>76205</x:v>
      </x:c>
      <x:c r="E6956" s="18" t="n">
        <x:v>24.92</x:v>
      </x:c>
      <x:c r="F6956" s="18" t="n">
        <x:v>14.28</x:v>
      </x:c>
      <x:c r="G6956" t="n">
        <x:v>60</x:v>
      </x:c>
      <x:c r="H6956" t="str">
        <x:v>D</x:v>
      </x:c>
      <x:c r="I6956" t="str">
        <x:v>4-6 years</x:v>
      </x:c>
      <x:c r="J6956" t="str">
        <x:v>RENT</x:v>
      </x:c>
      <x:c r="K6956" t="str">
        <x:v>debt_consolidation</x:v>
      </x:c>
      <x:c r="L6956" t="n">
        <x:v>0</x:v>
      </x:c>
      <x:c r="M6956" t="n">
        <x:v>0</x:v>
      </x:c>
      <x:c r="N6956" t="str">
        <x:v>Fully Paid</x:v>
      </x:c>
      <x:c r="O6956" t="str">
        <x:f>IF(D6956="","Unknown",IF(D6956&lt;25000,"&lt;$25k",IF(D6956&lt;50000,"$25k-$50k",IF(D6956&lt;75000,"$50k-$75k",IF(D6956&lt;100000,"$75k-$100k","$100k+")))))</x:f>
        <x:v>$75k-$100k</x:v>
      </x:c>
      <x:c r="P6956" t="str">
        <x:f>IF(E6956="","Unknown",IF(E6956&lt;10,"&lt;10",IF(E6956&lt;20,"10-&lt;20",IF(E6956&lt;25,"20-&lt;25",IF(E6956&lt;35,"25-&lt;35","35+")))))</x:f>
        <x:v>20-&lt;25</x:v>
      </x:c>
    </x:row>
    <x:row r="6957">
      <x:c r="A6957" t="str">
        <x:v>SYN0006956</x:v>
      </x:c>
      <x:c r="B6957" s="12" t="n">
        <x:v>41905</x:v>
      </x:c>
      <x:c r="C6957" s="18" t="n">
        <x:v>4772</x:v>
      </x:c>
      <x:c r="D6957" s="18" t="n">
        <x:v>57520</x:v>
      </x:c>
      <x:c r="E6957" s="18" t="n">
        <x:v>12.33</x:v>
      </x:c>
      <x:c r="F6957" s="18" t="n">
        <x:v>10.79</x:v>
      </x:c>
      <x:c r="G6957" t="n">
        <x:v>60</x:v>
      </x:c>
      <x:c r="H6957" t="str">
        <x:v>B</x:v>
      </x:c>
      <x:c r="I6957" t="str">
        <x:v>4-6 years</x:v>
      </x:c>
      <x:c r="J6957" t="str">
        <x:v>OWN</x:v>
      </x:c>
      <x:c r="K6957" t="str">
        <x:v>other</x:v>
      </x:c>
      <x:c r="L6957" t="n">
        <x:v>0</x:v>
      </x:c>
      <x:c r="M6957" t="n">
        <x:v>0</x:v>
      </x:c>
      <x:c r="N6957" t="str">
        <x:v>Fully Paid</x:v>
      </x:c>
      <x:c r="O6957" t="str">
        <x:f>IF(D6957="","Unknown",IF(D6957&lt;25000,"&lt;$25k",IF(D6957&lt;50000,"$25k-$50k",IF(D6957&lt;75000,"$50k-$75k",IF(D6957&lt;100000,"$75k-$100k","$100k+")))))</x:f>
        <x:v>$50k-$75k</x:v>
      </x:c>
      <x:c r="P6957" t="str">
        <x:f>IF(E6957="","Unknown",IF(E6957&lt;10,"&lt;10",IF(E6957&lt;20,"10-&lt;20",IF(E6957&lt;25,"20-&lt;25",IF(E6957&lt;35,"25-&lt;35","35+")))))</x:f>
        <x:v>10-&lt;20</x:v>
      </x:c>
    </x:row>
    <x:row r="6958">
      <x:c r="A6958" t="str">
        <x:v>SYN0006957</x:v>
      </x:c>
      <x:c r="B6958" s="12" t="n">
        <x:v>41305</x:v>
      </x:c>
      <x:c r="C6958" s="18" t="n">
        <x:v>35140</x:v>
      </x:c>
      <x:c r="D6958" s="18" t="n">
        <x:v>136237</x:v>
      </x:c>
      <x:c r="E6958" s="18" t="n">
        <x:v>8.66</x:v>
      </x:c>
      <x:c r="F6958" s="18" t="n">
        <x:v>10.91</x:v>
      </x:c>
      <x:c r="G6958" t="n">
        <x:v>60</x:v>
      </x:c>
      <x:c r="H6958" t="str">
        <x:v>C</x:v>
      </x:c>
      <x:c r="I6958" t="str">
        <x:v>10+ years</x:v>
      </x:c>
      <x:c r="J6958" t="str">
        <x:v>MORTGAGE</x:v>
      </x:c>
      <x:c r="K6958" t="str">
        <x:v>major_purchase</x:v>
      </x:c>
      <x:c r="L6958" t="n">
        <x:v>0</x:v>
      </x:c>
      <x:c r="M6958" t="n">
        <x:v>0</x:v>
      </x:c>
      <x:c r="N6958" t="str">
        <x:v>Fully Paid</x:v>
      </x:c>
      <x:c r="O6958" t="str">
        <x:f>IF(D6958="","Unknown",IF(D6958&lt;25000,"&lt;$25k",IF(D6958&lt;50000,"$25k-$50k",IF(D6958&lt;75000,"$50k-$75k",IF(D6958&lt;100000,"$75k-$100k","$100k+")))))</x:f>
        <x:v>$100k+</x:v>
      </x:c>
      <x:c r="P6958" t="str">
        <x:f>IF(E6958="","Unknown",IF(E6958&lt;10,"&lt;10",IF(E6958&lt;20,"10-&lt;20",IF(E6958&lt;25,"20-&lt;25",IF(E6958&lt;35,"25-&lt;35","35+")))))</x:f>
        <x:v>&lt;10</x:v>
      </x:c>
    </x:row>
    <x:row r="6959">
      <x:c r="A6959" t="str">
        <x:v>SYN0006958</x:v>
      </x:c>
      <x:c r="B6959" s="12" t="n">
        <x:v>42745</x:v>
      </x:c>
      <x:c r="C6959" s="18" t="n">
        <x:v>5857</x:v>
      </x:c>
      <x:c r="D6959" s="18" t="n">
        <x:v>38138</x:v>
      </x:c>
      <x:c r="E6959" s="18" t="n">
        <x:v>11.81</x:v>
      </x:c>
      <x:c r="F6959" s="18" t="n">
        <x:v>28.16</x:v>
      </x:c>
      <x:c r="G6959" t="n">
        <x:v>36</x:v>
      </x:c>
      <x:c r="H6959" t="str">
        <x:v>G</x:v>
      </x:c>
      <x:c r="I6959" t="str">
        <x:v>7-9 years</x:v>
      </x:c>
      <x:c r="J6959" t="str">
        <x:v>MORTGAGE</x:v>
      </x:c>
      <x:c r="K6959" t="str">
        <x:v>home_improvement</x:v>
      </x:c>
      <x:c r="L6959" t="n">
        <x:v>1</x:v>
      </x:c>
      <x:c r="M6959" t="n">
        <x:v>1</x:v>
      </x:c>
      <x:c r="N6959" t="str">
        <x:v>Charged Off</x:v>
      </x:c>
      <x:c r="O6959" t="str">
        <x:f>IF(D6959="","Unknown",IF(D6959&lt;25000,"&lt;$25k",IF(D6959&lt;50000,"$25k-$50k",IF(D6959&lt;75000,"$50k-$75k",IF(D6959&lt;100000,"$75k-$100k","$100k+")))))</x:f>
        <x:v>$25k-$50k</x:v>
      </x:c>
      <x:c r="P6959" t="str">
        <x:f>IF(E6959="","Unknown",IF(E6959&lt;10,"&lt;10",IF(E6959&lt;20,"10-&lt;20",IF(E6959&lt;25,"20-&lt;25",IF(E6959&lt;35,"25-&lt;35","35+")))))</x:f>
        <x:v>10-&lt;20</x:v>
      </x:c>
    </x:row>
    <x:row r="6960">
      <x:c r="A6960" t="str">
        <x:v>SYN0006959</x:v>
      </x:c>
      <x:c r="B6960" s="12" t="n">
        <x:v>42685</x:v>
      </x:c>
      <x:c r="C6960" s="18" t="n">
        <x:v>14217</x:v>
      </x:c>
      <x:c r="D6960" s="18" t="n">
        <x:v>101881</x:v>
      </x:c>
      <x:c r="E6960" s="18" t="n">
        <x:v>9.82</x:v>
      </x:c>
      <x:c r="F6960" s="18" t="n">
        <x:v>8.3</x:v>
      </x:c>
      <x:c r="G6960" t="n">
        <x:v>60</x:v>
      </x:c>
      <x:c r="H6960" t="str">
        <x:v>A</x:v>
      </x:c>
      <x:c r="I6960" t="str">
        <x:v>10+ years</x:v>
      </x:c>
      <x:c r="J6960" t="str">
        <x:v>MORTGAGE</x:v>
      </x:c>
      <x:c r="K6960" t="str">
        <x:v>debt_consolidation</x:v>
      </x:c>
      <x:c r="L6960" t="n">
        <x:v>1</x:v>
      </x:c>
      <x:c r="M6960" t="n">
        <x:v>0</x:v>
      </x:c>
      <x:c r="N6960" t="str">
        <x:v>Fully Paid</x:v>
      </x:c>
      <x:c r="O6960" t="str">
        <x:f>IF(D6960="","Unknown",IF(D6960&lt;25000,"&lt;$25k",IF(D6960&lt;50000,"$25k-$50k",IF(D6960&lt;75000,"$50k-$75k",IF(D6960&lt;100000,"$75k-$100k","$100k+")))))</x:f>
        <x:v>$100k+</x:v>
      </x:c>
      <x:c r="P6960" t="str">
        <x:f>IF(E6960="","Unknown",IF(E6960&lt;10,"&lt;10",IF(E6960&lt;20,"10-&lt;20",IF(E6960&lt;25,"20-&lt;25",IF(E6960&lt;35,"25-&lt;35","35+")))))</x:f>
        <x:v>&lt;10</x:v>
      </x:c>
    </x:row>
    <x:row r="6961">
      <x:c r="A6961" t="str">
        <x:v>SYN0006960</x:v>
      </x:c>
      <x:c r="B6961" s="12" t="n">
        <x:v>42865</x:v>
      </x:c>
      <x:c r="C6961" s="18" t="n">
        <x:v>7956</x:v>
      </x:c>
      <x:c r="D6961" s="18" t="n">
        <x:v>23531</x:v>
      </x:c>
      <x:c r="E6961" s="18" t="n">
        <x:v>0.13</x:v>
      </x:c>
      <x:c r="F6961" s="18" t="n">
        <x:v>5.89</x:v>
      </x:c>
      <x:c r="G6961" t="n">
        <x:v>36</x:v>
      </x:c>
      <x:c r="H6961" t="str">
        <x:v>B</x:v>
      </x:c>
      <x:c r="I6961" t="str">
        <x:v>4-6 years</x:v>
      </x:c>
      <x:c r="J6961" t="str">
        <x:v>MORTGAGE</x:v>
      </x:c>
      <x:c r="K6961" t="str">
        <x:v>credit_card</x:v>
      </x:c>
      <x:c r="L6961" t="n">
        <x:v>0</x:v>
      </x:c>
      <x:c r="M6961" t="n">
        <x:v>0</x:v>
      </x:c>
      <x:c r="N6961" t="str">
        <x:v>Fully Paid</x:v>
      </x:c>
      <x:c r="O6961" t="str">
        <x:f>IF(D6961="","Unknown",IF(D6961&lt;25000,"&lt;$25k",IF(D6961&lt;50000,"$25k-$50k",IF(D6961&lt;75000,"$50k-$75k",IF(D6961&lt;100000,"$75k-$100k","$100k+")))))</x:f>
        <x:v>&lt;$25k</x:v>
      </x:c>
      <x:c r="P6961" t="str">
        <x:f>IF(E6961="","Unknown",IF(E6961&lt;10,"&lt;10",IF(E6961&lt;20,"10-&lt;20",IF(E6961&lt;25,"20-&lt;25",IF(E6961&lt;35,"25-&lt;35","35+")))))</x:f>
        <x:v>&lt;10</x:v>
      </x:c>
    </x:row>
    <x:row r="6962">
      <x:c r="A6962" t="str">
        <x:v>SYN0006961</x:v>
      </x:c>
      <x:c r="B6962" s="12" t="n">
        <x:v>43375</x:v>
      </x:c>
      <x:c r="C6962" s="18" t="n">
        <x:v>14707</x:v>
      </x:c>
      <x:c r="D6962" s="18" t="n">
        <x:v>72490</x:v>
      </x:c>
      <x:c r="E6962" s="18" t="n">
        <x:v>25.73</x:v>
      </x:c>
      <x:c r="F6962" s="18" t="n">
        <x:v>10.49</x:v>
      </x:c>
      <x:c r="G6962" t="n">
        <x:v>36</x:v>
      </x:c>
      <x:c r="H6962" t="str">
        <x:v>B</x:v>
      </x:c>
      <x:c r="I6962" t="str">
        <x:v>4-6 years</x:v>
      </x:c>
      <x:c r="J6962" t="str">
        <x:v>MORTGAGE</x:v>
      </x:c>
      <x:c r="K6962" t="str">
        <x:v>debt_consolidation</x:v>
      </x:c>
      <x:c r="L6962" t="n">
        <x:v>1</x:v>
      </x:c>
      <x:c r="M6962" t="n">
        <x:v>0</x:v>
      </x:c>
      <x:c r="N6962" t="str">
        <x:v>Fully Paid</x:v>
      </x:c>
      <x:c r="O6962" t="str">
        <x:f>IF(D6962="","Unknown",IF(D6962&lt;25000,"&lt;$25k",IF(D6962&lt;50000,"$25k-$50k",IF(D6962&lt;75000,"$50k-$75k",IF(D6962&lt;100000,"$75k-$100k","$100k+")))))</x:f>
        <x:v>$50k-$75k</x:v>
      </x:c>
      <x:c r="P6962" t="str">
        <x:f>IF(E6962="","Unknown",IF(E6962&lt;10,"&lt;10",IF(E6962&lt;20,"10-&lt;20",IF(E6962&lt;25,"20-&lt;25",IF(E6962&lt;35,"25-&lt;35","35+")))))</x:f>
        <x:v>25-&lt;35</x:v>
      </x:c>
    </x:row>
    <x:row r="6963">
      <x:c r="A6963" t="str">
        <x:v>SYN0006962</x:v>
      </x:c>
      <x:c r="B6963" s="12" t="n">
        <x:v>42985</x:v>
      </x:c>
      <x:c r="C6963" s="18" t="n">
        <x:v>14529</x:v>
      </x:c>
      <x:c r="D6963" s="18" t="n">
        <x:v>20466</x:v>
      </x:c>
      <x:c r="E6963" s="18" t="n">
        <x:v>14.28</x:v>
      </x:c>
      <x:c r="F6963" s="18" t="n">
        <x:v>15.79</x:v>
      </x:c>
      <x:c r="G6963" t="n">
        <x:v>36</x:v>
      </x:c>
      <x:c r="H6963" t="str">
        <x:v>D</x:v>
      </x:c>
      <x:c r="I6963" t="str">
        <x:v>10+ years</x:v>
      </x:c>
      <x:c r="J6963" t="str">
        <x:v>MORTGAGE</x:v>
      </x:c>
      <x:c r="K6963" t="str">
        <x:v>credit_card</x:v>
      </x:c>
      <x:c r="L6963" t="n">
        <x:v>0</x:v>
      </x:c>
      <x:c r="M6963" t="n">
        <x:v>0</x:v>
      </x:c>
      <x:c r="N6963" t="str">
        <x:v>Fully Paid</x:v>
      </x:c>
      <x:c r="O6963" t="str">
        <x:f>IF(D6963="","Unknown",IF(D6963&lt;25000,"&lt;$25k",IF(D6963&lt;50000,"$25k-$50k",IF(D6963&lt;75000,"$50k-$75k",IF(D6963&lt;100000,"$75k-$100k","$100k+")))))</x:f>
        <x:v>&lt;$25k</x:v>
      </x:c>
      <x:c r="P6963" t="str">
        <x:f>IF(E6963="","Unknown",IF(E6963&lt;10,"&lt;10",IF(E6963&lt;20,"10-&lt;20",IF(E6963&lt;25,"20-&lt;25",IF(E6963&lt;35,"25-&lt;35","35+")))))</x:f>
        <x:v>10-&lt;20</x:v>
      </x:c>
    </x:row>
    <x:row r="6964">
      <x:c r="A6964" t="str">
        <x:v>SYN0006963</x:v>
      </x:c>
      <x:c r="B6964" s="12" t="n">
        <x:v>41755</x:v>
      </x:c>
      <x:c r="C6964" s="18" t="n">
        <x:v>12938</x:v>
      </x:c>
      <x:c r="D6964" s="18" t="n">
        <x:v>65295</x:v>
      </x:c>
      <x:c r="E6964" s="18" t="n">
        <x:v>8.91</x:v>
      </x:c>
      <x:c r="F6964" s="18" t="n">
        <x:v>9.69</x:v>
      </x:c>
      <x:c r="G6964" t="n">
        <x:v>36</x:v>
      </x:c>
      <x:c r="H6964" t="str">
        <x:v>B</x:v>
      </x:c>
      <x:c r="I6964" t="str">
        <x:v>4-6 years</x:v>
      </x:c>
      <x:c r="J6964" t="str">
        <x:v>MORTGAGE</x:v>
      </x:c>
      <x:c r="K6964" t="str">
        <x:v>home_improvement</x:v>
      </x:c>
      <x:c r="L6964" t="n">
        <x:v>1</x:v>
      </x:c>
      <x:c r="M6964" t="n">
        <x:v>0</x:v>
      </x:c>
      <x:c r="N6964" t="str">
        <x:v>Fully Paid</x:v>
      </x:c>
      <x:c r="O6964" t="str">
        <x:f>IF(D6964="","Unknown",IF(D6964&lt;25000,"&lt;$25k",IF(D6964&lt;50000,"$25k-$50k",IF(D6964&lt;75000,"$50k-$75k",IF(D6964&lt;100000,"$75k-$100k","$100k+")))))</x:f>
        <x:v>$50k-$75k</x:v>
      </x:c>
      <x:c r="P6964" t="str">
        <x:f>IF(E6964="","Unknown",IF(E6964&lt;10,"&lt;10",IF(E6964&lt;20,"10-&lt;20",IF(E6964&lt;25,"20-&lt;25",IF(E6964&lt;35,"25-&lt;35","35+")))))</x:f>
        <x:v>&lt;10</x:v>
      </x:c>
    </x:row>
    <x:row r="6965">
      <x:c r="A6965" t="str">
        <x:v>SYN0006964</x:v>
      </x:c>
      <x:c r="B6965" s="12" t="n">
        <x:v>42865</x:v>
      </x:c>
      <x:c r="C6965" s="18" t="n">
        <x:v>9521</x:v>
      </x:c>
      <x:c r="D6965" s="18" t="n">
        <x:v>36934</x:v>
      </x:c>
      <x:c r="E6965" s="18" t="n">
        <x:v>10.44</x:v>
      </x:c>
      <x:c r="F6965" s="18" t="n">
        <x:v>6.04</x:v>
      </x:c>
      <x:c r="G6965" t="n">
        <x:v>36</x:v>
      </x:c>
      <x:c r="H6965" t="str">
        <x:v>A</x:v>
      </x:c>
      <x:c r="I6965" t="str">
        <x:v>10+ years</x:v>
      </x:c>
      <x:c r="J6965" t="str">
        <x:v>MORTGAGE</x:v>
      </x:c>
      <x:c r="K6965" t="str">
        <x:v>medical</x:v>
      </x:c>
      <x:c r="L6965" t="n">
        <x:v>1</x:v>
      </x:c>
      <x:c r="M6965" t="n">
        <x:v>0</x:v>
      </x:c>
      <x:c r="N6965" t="str">
        <x:v>Fully Paid</x:v>
      </x:c>
      <x:c r="O6965" t="str">
        <x:f>IF(D6965="","Unknown",IF(D6965&lt;25000,"&lt;$25k",IF(D6965&lt;50000,"$25k-$50k",IF(D6965&lt;75000,"$50k-$75k",IF(D6965&lt;100000,"$75k-$100k","$100k+")))))</x:f>
        <x:v>$25k-$50k</x:v>
      </x:c>
      <x:c r="P6965" t="str">
        <x:f>IF(E6965="","Unknown",IF(E6965&lt;10,"&lt;10",IF(E6965&lt;20,"10-&lt;20",IF(E6965&lt;25,"20-&lt;25",IF(E6965&lt;35,"25-&lt;35","35+")))))</x:f>
        <x:v>10-&lt;20</x:v>
      </x:c>
    </x:row>
    <x:row r="6966">
      <x:c r="A6966" t="str">
        <x:v>SYN0006965</x:v>
      </x:c>
      <x:c r="B6966" s="12" t="n">
        <x:v>43075</x:v>
      </x:c>
      <x:c r="C6966" s="18" t="n">
        <x:v>17010</x:v>
      </x:c>
      <x:c r="D6966" s="18" t="n">
        <x:v>44937</x:v>
      </x:c>
      <x:c r="E6966" s="18" t="n">
        <x:v>15.06</x:v>
      </x:c>
      <x:c r="F6966" s="18" t="n">
        <x:v>5</x:v>
      </x:c>
      <x:c r="G6966" t="n">
        <x:v>36</x:v>
      </x:c>
      <x:c r="H6966" t="str">
        <x:v>A</x:v>
      </x:c>
      <x:c r="I6966" t="str">
        <x:v>4-6 years</x:v>
      </x:c>
      <x:c r="J6966" t="str">
        <x:v>OWN</x:v>
      </x:c>
      <x:c r="K6966" t="str">
        <x:v>debt_consolidation</x:v>
      </x:c>
      <x:c r="L6966" t="n">
        <x:v>0</x:v>
      </x:c>
      <x:c r="M6966" t="n">
        <x:v>0</x:v>
      </x:c>
      <x:c r="N6966" t="str">
        <x:v>Fully Paid</x:v>
      </x:c>
      <x:c r="O6966" t="str">
        <x:f>IF(D6966="","Unknown",IF(D6966&lt;25000,"&lt;$25k",IF(D6966&lt;50000,"$25k-$50k",IF(D6966&lt;75000,"$50k-$75k",IF(D6966&lt;100000,"$75k-$100k","$100k+")))))</x:f>
        <x:v>$25k-$50k</x:v>
      </x:c>
      <x:c r="P6966" t="str">
        <x:f>IF(E6966="","Unknown",IF(E6966&lt;10,"&lt;10",IF(E6966&lt;20,"10-&lt;20",IF(E6966&lt;25,"20-&lt;25",IF(E6966&lt;35,"25-&lt;35","35+")))))</x:f>
        <x:v>10-&lt;20</x:v>
      </x:c>
    </x:row>
    <x:row r="6967">
      <x:c r="A6967" t="str">
        <x:v>SYN0006966</x:v>
      </x:c>
      <x:c r="B6967" s="12" t="n">
        <x:v>42595</x:v>
      </x:c>
      <x:c r="C6967" s="18" t="n">
        <x:v>8431</x:v>
      </x:c>
      <x:c r="D6967" s="18" t="n">
        <x:v>38183</x:v>
      </x:c>
      <x:c r="E6967" s="18" t="n">
        <x:v>26.49</x:v>
      </x:c>
      <x:c r="F6967" s="18" t="n">
        <x:v>11.4</x:v>
      </x:c>
      <x:c r="G6967" t="n">
        <x:v>60</x:v>
      </x:c>
      <x:c r="H6967" t="str">
        <x:v>C</x:v>
      </x:c>
      <x:c r="I6967" t="str">
        <x:v>1-3 years</x:v>
      </x:c>
      <x:c r="J6967" t="str">
        <x:v>RENT</x:v>
      </x:c>
      <x:c r="K6967" t="str">
        <x:v>home_improvement</x:v>
      </x:c>
      <x:c r="L6967" t="n">
        <x:v>0</x:v>
      </x:c>
      <x:c r="M6967" t="n">
        <x:v>0</x:v>
      </x:c>
      <x:c r="N6967" t="str">
        <x:v>Fully Paid</x:v>
      </x:c>
      <x:c r="O6967" t="str">
        <x:f>IF(D6967="","Unknown",IF(D6967&lt;25000,"&lt;$25k",IF(D6967&lt;50000,"$25k-$50k",IF(D6967&lt;75000,"$50k-$75k",IF(D6967&lt;100000,"$75k-$100k","$100k+")))))</x:f>
        <x:v>$25k-$50k</x:v>
      </x:c>
      <x:c r="P6967" t="str">
        <x:f>IF(E6967="","Unknown",IF(E6967&lt;10,"&lt;10",IF(E6967&lt;20,"10-&lt;20",IF(E6967&lt;25,"20-&lt;25",IF(E6967&lt;35,"25-&lt;35","35+")))))</x:f>
        <x:v>25-&lt;35</x:v>
      </x:c>
    </x:row>
    <x:row r="6968">
      <x:c r="A6968" t="str">
        <x:v>SYN0006967</x:v>
      </x:c>
      <x:c r="B6968" s="12" t="n">
        <x:v>41665</x:v>
      </x:c>
      <x:c r="C6968" s="18" t="n">
        <x:v>8832</x:v>
      </x:c>
      <x:c r="D6968" s="18" t="n">
        <x:v>94037</x:v>
      </x:c>
      <x:c r="E6968" s="18" t="n">
        <x:v>28.33</x:v>
      </x:c>
      <x:c r="F6968" s="18" t="n">
        <x:v>6.95</x:v>
      </x:c>
      <x:c r="G6968" t="n">
        <x:v>36</x:v>
      </x:c>
      <x:c r="H6968" t="str">
        <x:v>B</x:v>
      </x:c>
      <x:c r="I6968" t="str">
        <x:v>1-3 years</x:v>
      </x:c>
      <x:c r="J6968" t="str">
        <x:v>MORTGAGE</x:v>
      </x:c>
      <x:c r="K6968" t="str">
        <x:v>debt_consolidation</x:v>
      </x:c>
      <x:c r="L6968" t="n">
        <x:v>0</x:v>
      </x:c>
      <x:c r="M6968" t="n">
        <x:v>0</x:v>
      </x:c>
      <x:c r="N6968" t="str">
        <x:v>Fully Paid</x:v>
      </x:c>
      <x:c r="O6968" t="str">
        <x:f>IF(D6968="","Unknown",IF(D6968&lt;25000,"&lt;$25k",IF(D6968&lt;50000,"$25k-$50k",IF(D6968&lt;75000,"$50k-$75k",IF(D6968&lt;100000,"$75k-$100k","$100k+")))))</x:f>
        <x:v>$75k-$100k</x:v>
      </x:c>
      <x:c r="P6968" t="str">
        <x:f>IF(E6968="","Unknown",IF(E6968&lt;10,"&lt;10",IF(E6968&lt;20,"10-&lt;20",IF(E6968&lt;25,"20-&lt;25",IF(E6968&lt;35,"25-&lt;35","35+")))))</x:f>
        <x:v>25-&lt;35</x:v>
      </x:c>
    </x:row>
    <x:row r="6969">
      <x:c r="A6969" t="str">
        <x:v>SYN0006968</x:v>
      </x:c>
      <x:c r="B6969" s="12" t="n">
        <x:v>42505</x:v>
      </x:c>
      <x:c r="C6969" s="18" t="n">
        <x:v>12518</x:v>
      </x:c>
      <x:c r="D6969" s="18" t="n">
        <x:v>17837</x:v>
      </x:c>
      <x:c r="E6969" s="18" t="n">
        <x:v>7.23</x:v>
      </x:c>
      <x:c r="F6969" s="18" t="n">
        <x:v>13.84</x:v>
      </x:c>
      <x:c r="G6969" t="n">
        <x:v>36</x:v>
      </x:c>
      <x:c r="H6969" t="str">
        <x:v>C</x:v>
      </x:c>
      <x:c r="I6969" t="str">
        <x:v>1-3 years</x:v>
      </x:c>
      <x:c r="J6969" t="str">
        <x:v>MORTGAGE</x:v>
      </x:c>
      <x:c r="K6969" t="str">
        <x:v>debt_consolidation</x:v>
      </x:c>
      <x:c r="L6969" t="n">
        <x:v>2</x:v>
      </x:c>
      <x:c r="M6969" t="n">
        <x:v>0</x:v>
      </x:c>
      <x:c r="N6969" t="str">
        <x:v>Fully Paid</x:v>
      </x:c>
      <x:c r="O6969" t="str">
        <x:f>IF(D6969="","Unknown",IF(D6969&lt;25000,"&lt;$25k",IF(D6969&lt;50000,"$25k-$50k",IF(D6969&lt;75000,"$50k-$75k",IF(D6969&lt;100000,"$75k-$100k","$100k+")))))</x:f>
        <x:v>&lt;$25k</x:v>
      </x:c>
      <x:c r="P6969" t="str">
        <x:f>IF(E6969="","Unknown",IF(E6969&lt;10,"&lt;10",IF(E6969&lt;20,"10-&lt;20",IF(E6969&lt;25,"20-&lt;25",IF(E6969&lt;35,"25-&lt;35","35+")))))</x:f>
        <x:v>&lt;10</x:v>
      </x:c>
    </x:row>
    <x:row r="6970">
      <x:c r="A6970" t="str">
        <x:v>SYN0006969</x:v>
      </x:c>
      <x:c r="B6970" s="12" t="n">
        <x:v>41425</x:v>
      </x:c>
      <x:c r="C6970" s="18" t="n">
        <x:v>12699</x:v>
      </x:c>
      <x:c r="D6970" s="18" t="n">
        <x:v>50862</x:v>
      </x:c>
      <x:c r="E6970" s="18" t="n">
        <x:v>8.51</x:v>
      </x:c>
      <x:c r="F6970" s="18" t="n">
        <x:v>16.28</x:v>
      </x:c>
      <x:c r="G6970" t="n">
        <x:v>36</x:v>
      </x:c>
      <x:c r="H6970" t="str">
        <x:v>E</x:v>
      </x:c>
      <x:c r="I6970" t="str">
        <x:v>4-6 years</x:v>
      </x:c>
      <x:c r="J6970" t="str">
        <x:v>MORTGAGE</x:v>
      </x:c>
      <x:c r="K6970" t="str">
        <x:v>major_purchase</x:v>
      </x:c>
      <x:c r="L6970" t="n">
        <x:v>2</x:v>
      </x:c>
      <x:c r="M6970" t="n">
        <x:v>0</x:v>
      </x:c>
      <x:c r="N6970" t="str">
        <x:v>Fully Paid</x:v>
      </x:c>
      <x:c r="O6970" t="str">
        <x:f>IF(D6970="","Unknown",IF(D6970&lt;25000,"&lt;$25k",IF(D6970&lt;50000,"$25k-$50k",IF(D6970&lt;75000,"$50k-$75k",IF(D6970&lt;100000,"$75k-$100k","$100k+")))))</x:f>
        <x:v>$50k-$75k</x:v>
      </x:c>
      <x:c r="P6970" t="str">
        <x:f>IF(E6970="","Unknown",IF(E6970&lt;10,"&lt;10",IF(E6970&lt;20,"10-&lt;20",IF(E6970&lt;25,"20-&lt;25",IF(E6970&lt;35,"25-&lt;35","35+")))))</x:f>
        <x:v>&lt;10</x:v>
      </x:c>
    </x:row>
    <x:row r="6971">
      <x:c r="A6971" t="str">
        <x:v>SYN0006970</x:v>
      </x:c>
      <x:c r="B6971" s="12" t="n">
        <x:v>43015</x:v>
      </x:c>
      <x:c r="C6971" s="18" t="n">
        <x:v>20327</x:v>
      </x:c>
      <x:c r="D6971" s="18" t="n">
        <x:v>20011</x:v>
      </x:c>
      <x:c r="E6971" s="18" t="n">
        <x:v>20.86</x:v>
      </x:c>
      <x:c r="F6971" s="18" t="n">
        <x:v>20.51</x:v>
      </x:c>
      <x:c r="G6971" t="n">
        <x:v>60</x:v>
      </x:c>
      <x:c r="H6971" t="str">
        <x:v>E</x:v>
      </x:c>
      <x:c r="I6971" t="str">
        <x:v>4-6 years</x:v>
      </x:c>
      <x:c r="J6971" t="str">
        <x:v>MORTGAGE</x:v>
      </x:c>
      <x:c r="K6971" t="str">
        <x:v>debt_consolidation</x:v>
      </x:c>
      <x:c r="L6971" t="n">
        <x:v>0</x:v>
      </x:c>
      <x:c r="M6971" t="n">
        <x:v>0</x:v>
      </x:c>
      <x:c r="N6971" t="str">
        <x:v>Fully Paid</x:v>
      </x:c>
      <x:c r="O6971" t="str">
        <x:f>IF(D6971="","Unknown",IF(D6971&lt;25000,"&lt;$25k",IF(D6971&lt;50000,"$25k-$50k",IF(D6971&lt;75000,"$50k-$75k",IF(D6971&lt;100000,"$75k-$100k","$100k+")))))</x:f>
        <x:v>&lt;$25k</x:v>
      </x:c>
      <x:c r="P6971" t="str">
        <x:f>IF(E6971="","Unknown",IF(E6971&lt;10,"&lt;10",IF(E6971&lt;20,"10-&lt;20",IF(E6971&lt;25,"20-&lt;25",IF(E6971&lt;35,"25-&lt;35","35+")))))</x:f>
        <x:v>20-&lt;25</x:v>
      </x:c>
    </x:row>
    <x:row r="6972">
      <x:c r="A6972" t="str">
        <x:v>SYN0006971</x:v>
      </x:c>
      <x:c r="B6972" s="12" t="n">
        <x:v>41395</x:v>
      </x:c>
      <x:c r="C6972" s="18" t="n">
        <x:v>9678</x:v>
      </x:c>
      <x:c r="D6972" s="18" t="n">
        <x:v>158946</x:v>
      </x:c>
      <x:c r="E6972" s="18" t="n">
        <x:v>4.26</x:v>
      </x:c>
      <x:c r="F6972" s="18" t="n">
        <x:v>15.77</x:v>
      </x:c>
      <x:c r="G6972" t="n">
        <x:v>36</x:v>
      </x:c>
      <x:c r="H6972" t="str">
        <x:v>D</x:v>
      </x:c>
      <x:c r="I6972" t="str">
        <x:v>1-3 years</x:v>
      </x:c>
      <x:c r="J6972" t="str">
        <x:v>MORTGAGE</x:v>
      </x:c>
      <x:c r="K6972" t="str">
        <x:v>debt_consolidation</x:v>
      </x:c>
      <x:c r="L6972" t="n">
        <x:v>0</x:v>
      </x:c>
      <x:c r="M6972" t="n">
        <x:v>0</x:v>
      </x:c>
      <x:c r="N6972" t="str">
        <x:v>Fully Paid</x:v>
      </x:c>
      <x:c r="O6972" t="str">
        <x:f>IF(D6972="","Unknown",IF(D6972&lt;25000,"&lt;$25k",IF(D6972&lt;50000,"$25k-$50k",IF(D6972&lt;75000,"$50k-$75k",IF(D6972&lt;100000,"$75k-$100k","$100k+")))))</x:f>
        <x:v>$100k+</x:v>
      </x:c>
      <x:c r="P6972" t="str">
        <x:f>IF(E6972="","Unknown",IF(E6972&lt;10,"&lt;10",IF(E6972&lt;20,"10-&lt;20",IF(E6972&lt;25,"20-&lt;25",IF(E6972&lt;35,"25-&lt;35","35+")))))</x:f>
        <x:v>&lt;10</x:v>
      </x:c>
    </x:row>
    <x:row r="6973">
      <x:c r="A6973" t="str">
        <x:v>SYN0006972</x:v>
      </x:c>
      <x:c r="B6973" s="12" t="n">
        <x:v>42325</x:v>
      </x:c>
      <x:c r="C6973" s="18" t="n">
        <x:v>19631</x:v>
      </x:c>
      <x:c r="D6973" s="18" t="n">
        <x:v>86719</x:v>
      </x:c>
      <x:c r="E6973" s="18" t="n">
        <x:v>18.07</x:v>
      </x:c>
      <x:c r="F6973" s="18" t="n">
        <x:v>22.78</x:v>
      </x:c>
      <x:c r="G6973" t="n">
        <x:v>36</x:v>
      </x:c>
      <x:c r="H6973" t="str">
        <x:v>F</x:v>
      </x:c>
      <x:c r="I6973" t="str">
        <x:v>1-3 years</x:v>
      </x:c>
      <x:c r="J6973" t="str">
        <x:v>OWN</x:v>
      </x:c>
      <x:c r="K6973" t="str">
        <x:v>credit_card</x:v>
      </x:c>
      <x:c r="L6973" t="n">
        <x:v>3</x:v>
      </x:c>
      <x:c r="M6973" t="n">
        <x:v>0</x:v>
      </x:c>
      <x:c r="N6973" t="str">
        <x:v>Fully Paid</x:v>
      </x:c>
      <x:c r="O6973" t="str">
        <x:f>IF(D6973="","Unknown",IF(D6973&lt;25000,"&lt;$25k",IF(D6973&lt;50000,"$25k-$50k",IF(D6973&lt;75000,"$50k-$75k",IF(D6973&lt;100000,"$75k-$100k","$100k+")))))</x:f>
        <x:v>$75k-$100k</x:v>
      </x:c>
      <x:c r="P6973" t="str">
        <x:f>IF(E6973="","Unknown",IF(E6973&lt;10,"&lt;10",IF(E6973&lt;20,"10-&lt;20",IF(E6973&lt;25,"20-&lt;25",IF(E6973&lt;35,"25-&lt;35","35+")))))</x:f>
        <x:v>10-&lt;20</x:v>
      </x:c>
    </x:row>
    <x:row r="6974">
      <x:c r="A6974" t="str">
        <x:v>SYN0006973</x:v>
      </x:c>
      <x:c r="B6974" s="12" t="n">
        <x:v>42385</x:v>
      </x:c>
      <x:c r="C6974" s="18" t="n">
        <x:v>11395</x:v>
      </x:c>
      <x:c r="D6974" s="18" t="n">
        <x:v>61316</x:v>
      </x:c>
      <x:c r="E6974" s="18" t="n">
        <x:v>25.67</x:v>
      </x:c>
      <x:c r="F6974" s="18" t="n">
        <x:v>9.4</x:v>
      </x:c>
      <x:c r="G6974" t="n">
        <x:v>36</x:v>
      </x:c>
      <x:c r="H6974" t="str">
        <x:v>A</x:v>
      </x:c>
      <x:c r="I6974" t="str">
        <x:v>7-9 years</x:v>
      </x:c>
      <x:c r="J6974" t="str">
        <x:v>RENT</x:v>
      </x:c>
      <x:c r="K6974" t="str">
        <x:v>medical</x:v>
      </x:c>
      <x:c r="L6974" t="n">
        <x:v>0</x:v>
      </x:c>
      <x:c r="M6974" t="n">
        <x:v>0</x:v>
      </x:c>
      <x:c r="N6974" t="str">
        <x:v>Fully Paid</x:v>
      </x:c>
      <x:c r="O6974" t="str">
        <x:f>IF(D6974="","Unknown",IF(D6974&lt;25000,"&lt;$25k",IF(D6974&lt;50000,"$25k-$50k",IF(D6974&lt;75000,"$50k-$75k",IF(D6974&lt;100000,"$75k-$100k","$100k+")))))</x:f>
        <x:v>$50k-$75k</x:v>
      </x:c>
      <x:c r="P6974" t="str">
        <x:f>IF(E6974="","Unknown",IF(E6974&lt;10,"&lt;10",IF(E6974&lt;20,"10-&lt;20",IF(E6974&lt;25,"20-&lt;25",IF(E6974&lt;35,"25-&lt;35","35+")))))</x:f>
        <x:v>25-&lt;35</x:v>
      </x:c>
    </x:row>
    <x:row r="6975">
      <x:c r="A6975" t="str">
        <x:v>SYN0006974</x:v>
      </x:c>
      <x:c r="B6975" s="12" t="n">
        <x:v>41785</x:v>
      </x:c>
      <x:c r="C6975" s="18" t="n">
        <x:v>8469</x:v>
      </x:c>
      <x:c r="D6975" s="18" t="n">
        <x:v>35530</x:v>
      </x:c>
      <x:c r="E6975" s="18" t="n">
        <x:v>22.73</x:v>
      </x:c>
      <x:c r="F6975" s="18" t="n">
        <x:v>12.57</x:v>
      </x:c>
      <x:c r="G6975" t="n">
        <x:v>60</x:v>
      </x:c>
      <x:c r="H6975" t="str">
        <x:v>C</x:v>
      </x:c>
      <x:c r="I6975" t="str">
        <x:v>10+ years</x:v>
      </x:c>
      <x:c r="J6975" t="str">
        <x:v>MORTGAGE</x:v>
      </x:c>
      <x:c r="K6975" t="str">
        <x:v>credit_card</x:v>
      </x:c>
      <x:c r="L6975" t="n">
        <x:v>1</x:v>
      </x:c>
      <x:c r="M6975" t="n">
        <x:v>0</x:v>
      </x:c>
      <x:c r="N6975" t="str">
        <x:v>Fully Paid</x:v>
      </x:c>
      <x:c r="O6975" t="str">
        <x:f>IF(D6975="","Unknown",IF(D6975&lt;25000,"&lt;$25k",IF(D6975&lt;50000,"$25k-$50k",IF(D6975&lt;75000,"$50k-$75k",IF(D6975&lt;100000,"$75k-$100k","$100k+")))))</x:f>
        <x:v>$25k-$50k</x:v>
      </x:c>
      <x:c r="P6975" t="str">
        <x:f>IF(E6975="","Unknown",IF(E6975&lt;10,"&lt;10",IF(E6975&lt;20,"10-&lt;20",IF(E6975&lt;25,"20-&lt;25",IF(E6975&lt;35,"25-&lt;35","35+")))))</x:f>
        <x:v>20-&lt;25</x:v>
      </x:c>
    </x:row>
    <x:row r="6976">
      <x:c r="A6976" t="str">
        <x:v>SYN0006975</x:v>
      </x:c>
      <x:c r="B6976" s="12" t="n">
        <x:v>41785</x:v>
      </x:c>
      <x:c r="C6976" s="18" t="n">
        <x:v>38966</x:v>
      </x:c>
      <x:c r="D6976" s="18" t="n">
        <x:v>43293</x:v>
      </x:c>
      <x:c r="E6976" s="18" t="n">
        <x:v>22.02</x:v>
      </x:c>
      <x:c r="F6976" s="18" t="n">
        <x:v>8.18</x:v>
      </x:c>
      <x:c r="G6976" t="n">
        <x:v>60</x:v>
      </x:c>
      <x:c r="H6976" t="str">
        <x:v>C</x:v>
      </x:c>
      <x:c r="I6976" t="str">
        <x:v>7-9 years</x:v>
      </x:c>
      <x:c r="J6976" t="str">
        <x:v>MORTGAGE</x:v>
      </x:c>
      <x:c r="K6976" t="str">
        <x:v>debt_consolidation</x:v>
      </x:c>
      <x:c r="L6976" t="n">
        <x:v>0</x:v>
      </x:c>
      <x:c r="M6976" t="n">
        <x:v>0</x:v>
      </x:c>
      <x:c r="N6976" t="str">
        <x:v>Fully Paid</x:v>
      </x:c>
      <x:c r="O6976" t="str">
        <x:f>IF(D6976="","Unknown",IF(D6976&lt;25000,"&lt;$25k",IF(D6976&lt;50000,"$25k-$50k",IF(D6976&lt;75000,"$50k-$75k",IF(D6976&lt;100000,"$75k-$100k","$100k+")))))</x:f>
        <x:v>$25k-$50k</x:v>
      </x:c>
      <x:c r="P6976" t="str">
        <x:f>IF(E6976="","Unknown",IF(E6976&lt;10,"&lt;10",IF(E6976&lt;20,"10-&lt;20",IF(E6976&lt;25,"20-&lt;25",IF(E6976&lt;35,"25-&lt;35","35+")))))</x:f>
        <x:v>20-&lt;25</x:v>
      </x:c>
    </x:row>
    <x:row r="6977">
      <x:c r="A6977" t="str">
        <x:v>SYN0006976</x:v>
      </x:c>
      <x:c r="B6977" s="12" t="n">
        <x:v>41425</x:v>
      </x:c>
      <x:c r="C6977" s="18" t="n">
        <x:v>30010</x:v>
      </x:c>
      <x:c r="D6977" s="18" t="n">
        <x:v>48302</x:v>
      </x:c>
      <x:c r="E6977" s="18" t="n">
        <x:v>18.38</x:v>
      </x:c>
      <x:c r="F6977" s="18" t="n">
        <x:v>8.72</x:v>
      </x:c>
      <x:c r="G6977" t="n">
        <x:v>60</x:v>
      </x:c>
      <x:c r="H6977" t="str">
        <x:v>B</x:v>
      </x:c>
      <x:c r="I6977" t="str">
        <x:v>&lt;1 year</x:v>
      </x:c>
      <x:c r="J6977" t="str">
        <x:v>MORTGAGE</x:v>
      </x:c>
      <x:c r="K6977" t="str">
        <x:v>debt_consolidation</x:v>
      </x:c>
      <x:c r="L6977" t="n">
        <x:v>0</x:v>
      </x:c>
      <x:c r="M6977" t="n">
        <x:v>0</x:v>
      </x:c>
      <x:c r="N6977" t="str">
        <x:v>Fully Paid</x:v>
      </x:c>
      <x:c r="O6977" t="str">
        <x:f>IF(D6977="","Unknown",IF(D6977&lt;25000,"&lt;$25k",IF(D6977&lt;50000,"$25k-$50k",IF(D6977&lt;75000,"$50k-$75k",IF(D6977&lt;100000,"$75k-$100k","$100k+")))))</x:f>
        <x:v>$25k-$50k</x:v>
      </x:c>
      <x:c r="P6977" t="str">
        <x:f>IF(E6977="","Unknown",IF(E6977&lt;10,"&lt;10",IF(E6977&lt;20,"10-&lt;20",IF(E6977&lt;25,"20-&lt;25",IF(E6977&lt;35,"25-&lt;35","35+")))))</x:f>
        <x:v>10-&lt;20</x:v>
      </x:c>
    </x:row>
    <x:row r="6978">
      <x:c r="A6978" t="str">
        <x:v>SYN0006977</x:v>
      </x:c>
      <x:c r="B6978" s="12" t="n">
        <x:v>43405</x:v>
      </x:c>
      <x:c r="C6978" s="18" t="n">
        <x:v>32794</x:v>
      </x:c>
      <x:c r="D6978" s="18" t="n">
        <x:v>53975</x:v>
      </x:c>
      <x:c r="E6978" s="18" t="n">
        <x:v>31.46</x:v>
      </x:c>
      <x:c r="F6978" s="18" t="n">
        <x:v>10.63</x:v>
      </x:c>
      <x:c r="G6978" t="n">
        <x:v>36</x:v>
      </x:c>
      <x:c r="H6978" t="str">
        <x:v>B</x:v>
      </x:c>
      <x:c r="I6978" t="str">
        <x:v>7-9 years</x:v>
      </x:c>
      <x:c r="J6978" t="str">
        <x:v>MORTGAGE</x:v>
      </x:c>
      <x:c r="K6978" t="str">
        <x:v>debt_consolidation</x:v>
      </x:c>
      <x:c r="L6978" t="n">
        <x:v>0</x:v>
      </x:c>
      <x:c r="M6978" t="n">
        <x:v>0</x:v>
      </x:c>
      <x:c r="N6978" t="str">
        <x:v>Fully Paid</x:v>
      </x:c>
      <x:c r="O6978" t="str">
        <x:f>IF(D6978="","Unknown",IF(D6978&lt;25000,"&lt;$25k",IF(D6978&lt;50000,"$25k-$50k",IF(D6978&lt;75000,"$50k-$75k",IF(D6978&lt;100000,"$75k-$100k","$100k+")))))</x:f>
        <x:v>$50k-$75k</x:v>
      </x:c>
      <x:c r="P6978" t="str">
        <x:f>IF(E6978="","Unknown",IF(E6978&lt;10,"&lt;10",IF(E6978&lt;20,"10-&lt;20",IF(E6978&lt;25,"20-&lt;25",IF(E6978&lt;35,"25-&lt;35","35+")))))</x:f>
        <x:v>25-&lt;35</x:v>
      </x:c>
    </x:row>
    <x:row r="6979">
      <x:c r="A6979" t="str">
        <x:v>SYN0006978</x:v>
      </x:c>
      <x:c r="B6979" s="12" t="n">
        <x:v>41365</x:v>
      </x:c>
      <x:c r="C6979" s="18" t="n">
        <x:v>9825</x:v>
      </x:c>
      <x:c r="D6979" s="18" t="n">
        <x:v>52625</x:v>
      </x:c>
      <x:c r="E6979" s="18" t="n">
        <x:v>18.84</x:v>
      </x:c>
      <x:c r="F6979" s="18" t="n">
        <x:v>16.72</x:v>
      </x:c>
      <x:c r="G6979" t="n">
        <x:v>36</x:v>
      </x:c>
      <x:c r="H6979" t="str">
        <x:v>E</x:v>
      </x:c>
      <x:c r="I6979" t="str">
        <x:v>10+ years</x:v>
      </x:c>
      <x:c r="J6979" t="str">
        <x:v>MORTGAGE</x:v>
      </x:c>
      <x:c r="K6979" t="str">
        <x:v>home_improvement</x:v>
      </x:c>
      <x:c r="L6979" t="n">
        <x:v>0</x:v>
      </x:c>
      <x:c r="M6979" t="n">
        <x:v>0</x:v>
      </x:c>
      <x:c r="N6979" t="str">
        <x:v>Fully Paid</x:v>
      </x:c>
      <x:c r="O6979" t="str">
        <x:f>IF(D6979="","Unknown",IF(D6979&lt;25000,"&lt;$25k",IF(D6979&lt;50000,"$25k-$50k",IF(D6979&lt;75000,"$50k-$75k",IF(D6979&lt;100000,"$75k-$100k","$100k+")))))</x:f>
        <x:v>$50k-$75k</x:v>
      </x:c>
      <x:c r="P6979" t="str">
        <x:f>IF(E6979="","Unknown",IF(E6979&lt;10,"&lt;10",IF(E6979&lt;20,"10-&lt;20",IF(E6979&lt;25,"20-&lt;25",IF(E6979&lt;35,"25-&lt;35","35+")))))</x:f>
        <x:v>10-&lt;20</x:v>
      </x:c>
    </x:row>
    <x:row r="6980">
      <x:c r="A6980" t="str">
        <x:v>SYN0006979</x:v>
      </x:c>
      <x:c r="B6980" s="12" t="n">
        <x:v>43135</x:v>
      </x:c>
      <x:c r="C6980" s="18" t="n">
        <x:v>21758</x:v>
      </x:c>
      <x:c r="D6980" s="18" t="n">
        <x:v>29881</x:v>
      </x:c>
      <x:c r="E6980" s="18" t="n">
        <x:v>21.67</x:v>
      </x:c>
      <x:c r="F6980" s="18" t="n">
        <x:v>18.26</x:v>
      </x:c>
      <x:c r="G6980" t="n">
        <x:v>36</x:v>
      </x:c>
      <x:c r="H6980" t="str">
        <x:v>D</x:v>
      </x:c>
      <x:c r="I6980" t="str">
        <x:v>7-9 years</x:v>
      </x:c>
      <x:c r="J6980" t="str">
        <x:v>MORTGAGE</x:v>
      </x:c>
      <x:c r="K6980" t="str">
        <x:v>credit_card</x:v>
      </x:c>
      <x:c r="L6980" t="n">
        <x:v>0</x:v>
      </x:c>
      <x:c r="M6980" t="n">
        <x:v>0</x:v>
      </x:c>
      <x:c r="N6980" t="str">
        <x:v>Fully Paid</x:v>
      </x:c>
      <x:c r="O6980" t="str">
        <x:f>IF(D6980="","Unknown",IF(D6980&lt;25000,"&lt;$25k",IF(D6980&lt;50000,"$25k-$50k",IF(D6980&lt;75000,"$50k-$75k",IF(D6980&lt;100000,"$75k-$100k","$100k+")))))</x:f>
        <x:v>$25k-$50k</x:v>
      </x:c>
      <x:c r="P6980" t="str">
        <x:f>IF(E6980="","Unknown",IF(E6980&lt;10,"&lt;10",IF(E6980&lt;20,"10-&lt;20",IF(E6980&lt;25,"20-&lt;25",IF(E6980&lt;35,"25-&lt;35","35+")))))</x:f>
        <x:v>20-&lt;25</x:v>
      </x:c>
    </x:row>
    <x:row r="6981">
      <x:c r="A6981" t="str">
        <x:v>SYN0006980</x:v>
      </x:c>
      <x:c r="B6981" s="12" t="n">
        <x:v>42235</x:v>
      </x:c>
      <x:c r="C6981" s="18" t="n">
        <x:v>6028</x:v>
      </x:c>
      <x:c r="D6981" s="18" t="n">
        <x:v>56931</x:v>
      </x:c>
      <x:c r="E6981" s="18" t="n">
        <x:v>5.68</x:v>
      </x:c>
      <x:c r="F6981" s="18" t="n">
        <x:v>14.26</x:v>
      </x:c>
      <x:c r="G6981" t="n">
        <x:v>36</x:v>
      </x:c>
      <x:c r="H6981" t="str">
        <x:v>D</x:v>
      </x:c>
      <x:c r="I6981" t="str">
        <x:v>1-3 years</x:v>
      </x:c>
      <x:c r="J6981" t="str">
        <x:v>MORTGAGE</x:v>
      </x:c>
      <x:c r="K6981" t="str">
        <x:v>credit_card</x:v>
      </x:c>
      <x:c r="L6981" t="n">
        <x:v>2</x:v>
      </x:c>
      <x:c r="M6981" t="n">
        <x:v>1</x:v>
      </x:c>
      <x:c r="N6981" t="str">
        <x:v>Charged Off</x:v>
      </x:c>
      <x:c r="O6981" t="str">
        <x:f>IF(D6981="","Unknown",IF(D6981&lt;25000,"&lt;$25k",IF(D6981&lt;50000,"$25k-$50k",IF(D6981&lt;75000,"$50k-$75k",IF(D6981&lt;100000,"$75k-$100k","$100k+")))))</x:f>
        <x:v>$50k-$75k</x:v>
      </x:c>
      <x:c r="P6981" t="str">
        <x:f>IF(E6981="","Unknown",IF(E6981&lt;10,"&lt;10",IF(E6981&lt;20,"10-&lt;20",IF(E6981&lt;25,"20-&lt;25",IF(E6981&lt;35,"25-&lt;35","35+")))))</x:f>
        <x:v>&lt;10</x:v>
      </x:c>
    </x:row>
    <x:row r="6982">
      <x:c r="A6982" t="str">
        <x:v>SYN0006981</x:v>
      </x:c>
      <x:c r="B6982" s="12" t="n">
        <x:v>41665</x:v>
      </x:c>
      <x:c r="C6982" s="18" t="n">
        <x:v>16328</x:v>
      </x:c>
      <x:c r="D6982" s="18" t="n">
        <x:v>102058</x:v>
      </x:c>
      <x:c r="E6982" s="18" t="n">
        <x:v>26.97</x:v>
      </x:c>
      <x:c r="F6982" s="18" t="n">
        <x:v>14.31</x:v>
      </x:c>
      <x:c r="G6982" t="n">
        <x:v>36</x:v>
      </x:c>
      <x:c r="H6982" t="str">
        <x:v>D</x:v>
      </x:c>
      <x:c r="I6982" t="str">
        <x:v>&lt;1 year</x:v>
      </x:c>
      <x:c r="J6982" t="str">
        <x:v>MORTGAGE</x:v>
      </x:c>
      <x:c r="K6982" t="str">
        <x:v>debt_consolidation</x:v>
      </x:c>
      <x:c r="L6982" t="n">
        <x:v>1</x:v>
      </x:c>
      <x:c r="M6982" t="n">
        <x:v>0</x:v>
      </x:c>
      <x:c r="N6982" t="str">
        <x:v>Fully Paid</x:v>
      </x:c>
      <x:c r="O6982" t="str">
        <x:f>IF(D6982="","Unknown",IF(D6982&lt;25000,"&lt;$25k",IF(D6982&lt;50000,"$25k-$50k",IF(D6982&lt;75000,"$50k-$75k",IF(D6982&lt;100000,"$75k-$100k","$100k+")))))</x:f>
        <x:v>$100k+</x:v>
      </x:c>
      <x:c r="P6982" t="str">
        <x:f>IF(E6982="","Unknown",IF(E6982&lt;10,"&lt;10",IF(E6982&lt;20,"10-&lt;20",IF(E6982&lt;25,"20-&lt;25",IF(E6982&lt;35,"25-&lt;35","35+")))))</x:f>
        <x:v>25-&lt;35</x:v>
      </x:c>
    </x:row>
    <x:row r="6983">
      <x:c r="A6983" t="str">
        <x:v>SYN0006982</x:v>
      </x:c>
      <x:c r="B6983" s="12" t="n">
        <x:v>42655</x:v>
      </x:c>
      <x:c r="C6983" s="18" t="n">
        <x:v>8339</x:v>
      </x:c>
      <x:c r="D6983" s="18" t="n">
        <x:v>21519</x:v>
      </x:c>
      <x:c r="E6983" s="18" t="n">
        <x:v>18.76</x:v>
      </x:c>
      <x:c r="F6983" s="18" t="n">
        <x:v>7.53</x:v>
      </x:c>
      <x:c r="G6983" t="n">
        <x:v>36</x:v>
      </x:c>
      <x:c r="H6983" t="str">
        <x:v>A</x:v>
      </x:c>
      <x:c r="I6983" t="str">
        <x:v>7-9 years</x:v>
      </x:c>
      <x:c r="J6983" t="str">
        <x:v>MORTGAGE</x:v>
      </x:c>
      <x:c r="K6983" t="str">
        <x:v>debt_consolidation</x:v>
      </x:c>
      <x:c r="L6983" t="n">
        <x:v>0</x:v>
      </x:c>
      <x:c r="M6983" t="n">
        <x:v>0</x:v>
      </x:c>
      <x:c r="N6983" t="str">
        <x:v>Fully Paid</x:v>
      </x:c>
      <x:c r="O6983" t="str">
        <x:f>IF(D6983="","Unknown",IF(D6983&lt;25000,"&lt;$25k",IF(D6983&lt;50000,"$25k-$50k",IF(D6983&lt;75000,"$50k-$75k",IF(D6983&lt;100000,"$75k-$100k","$100k+")))))</x:f>
        <x:v>&lt;$25k</x:v>
      </x:c>
      <x:c r="P6983" t="str">
        <x:f>IF(E6983="","Unknown",IF(E6983&lt;10,"&lt;10",IF(E6983&lt;20,"10-&lt;20",IF(E6983&lt;25,"20-&lt;25",IF(E6983&lt;35,"25-&lt;35","35+")))))</x:f>
        <x:v>10-&lt;20</x:v>
      </x:c>
    </x:row>
    <x:row r="6984">
      <x:c r="A6984" t="str">
        <x:v>SYN0006983</x:v>
      </x:c>
      <x:c r="B6984" s="12" t="n">
        <x:v>41815</x:v>
      </x:c>
      <x:c r="C6984" s="18" t="n">
        <x:v>13376</x:v>
      </x:c>
      <x:c r="D6984" s="18" t="n">
        <x:v>67903</x:v>
      </x:c>
      <x:c r="E6984" s="18" t="n">
        <x:v>0</x:v>
      </x:c>
      <x:c r="F6984" s="18" t="n">
        <x:v>10.07</x:v>
      </x:c>
      <x:c r="G6984" t="n">
        <x:v>60</x:v>
      </x:c>
      <x:c r="H6984" t="str">
        <x:v>C</x:v>
      </x:c>
      <x:c r="I6984" t="str">
        <x:v>4-6 years</x:v>
      </x:c>
      <x:c r="J6984" t="str">
        <x:v>RENT</x:v>
      </x:c>
      <x:c r="K6984" t="str">
        <x:v>debt_consolidation</x:v>
      </x:c>
      <x:c r="L6984" t="n">
        <x:v>0</x:v>
      </x:c>
      <x:c r="M6984" t="n">
        <x:v>0</x:v>
      </x:c>
      <x:c r="N6984" t="str">
        <x:v>Fully Paid</x:v>
      </x:c>
      <x:c r="O6984" t="str">
        <x:f>IF(D6984="","Unknown",IF(D6984&lt;25000,"&lt;$25k",IF(D6984&lt;50000,"$25k-$50k",IF(D6984&lt;75000,"$50k-$75k",IF(D6984&lt;100000,"$75k-$100k","$100k+")))))</x:f>
        <x:v>$50k-$75k</x:v>
      </x:c>
      <x:c r="P6984" t="str">
        <x:f>IF(E6984="","Unknown",IF(E6984&lt;10,"&lt;10",IF(E6984&lt;20,"10-&lt;20",IF(E6984&lt;25,"20-&lt;25",IF(E6984&lt;35,"25-&lt;35","35+")))))</x:f>
        <x:v>Unknown</x:v>
      </x:c>
    </x:row>
    <x:row r="6985">
      <x:c r="A6985" t="str">
        <x:v>SYN0006984</x:v>
      </x:c>
      <x:c r="B6985" s="12" t="n">
        <x:v>42475</x:v>
      </x:c>
      <x:c r="C6985" s="18" t="n">
        <x:v>3282</x:v>
      </x:c>
      <x:c r="D6985" s="18" t="n">
        <x:v>38661</x:v>
      </x:c>
      <x:c r="E6985" s="18" t="n">
        <x:v>17.89</x:v>
      </x:c>
      <x:c r="F6985" s="18" t="n">
        <x:v>8.85</x:v>
      </x:c>
      <x:c r="G6985" t="n">
        <x:v>36</x:v>
      </x:c>
      <x:c r="H6985" t="str">
        <x:v>B</x:v>
      </x:c>
      <x:c r="I6985" t="str">
        <x:v>4-6 years</x:v>
      </x:c>
      <x:c r="J6985" t="str">
        <x:v>RENT</x:v>
      </x:c>
      <x:c r="K6985" t="str">
        <x:v>debt_consolidation</x:v>
      </x:c>
      <x:c r="L6985" t="n">
        <x:v>2</x:v>
      </x:c>
      <x:c r="M6985" t="n">
        <x:v>0</x:v>
      </x:c>
      <x:c r="N6985" t="str">
        <x:v>Fully Paid</x:v>
      </x:c>
      <x:c r="O6985" t="str">
        <x:f>IF(D6985="","Unknown",IF(D6985&lt;25000,"&lt;$25k",IF(D6985&lt;50000,"$25k-$50k",IF(D6985&lt;75000,"$50k-$75k",IF(D6985&lt;100000,"$75k-$100k","$100k+")))))</x:f>
        <x:v>$25k-$50k</x:v>
      </x:c>
      <x:c r="P6985" t="str">
        <x:f>IF(E6985="","Unknown",IF(E6985&lt;10,"&lt;10",IF(E6985&lt;20,"10-&lt;20",IF(E6985&lt;25,"20-&lt;25",IF(E6985&lt;35,"25-&lt;35","35+")))))</x:f>
        <x:v>10-&lt;20</x:v>
      </x:c>
    </x:row>
    <x:row r="6986">
      <x:c r="A6986" t="str">
        <x:v>SYN0006985</x:v>
      </x:c>
      <x:c r="B6986" s="12" t="n">
        <x:v>41905</x:v>
      </x:c>
      <x:c r="C6986" s="18" t="n">
        <x:v>8666</x:v>
      </x:c>
      <x:c r="D6986" s="18" t="n">
        <x:v>43786</x:v>
      </x:c>
      <x:c r="E6986" s="18" t="n">
        <x:v>19.94</x:v>
      </x:c>
      <x:c r="F6986" s="18" t="n">
        <x:v>9.48</x:v>
      </x:c>
      <x:c r="G6986" t="n">
        <x:v>36</x:v>
      </x:c>
      <x:c r="H6986" t="str">
        <x:v>C</x:v>
      </x:c>
      <x:c r="I6986" t="str">
        <x:v>1-3 years</x:v>
      </x:c>
      <x:c r="J6986" t="str">
        <x:v>OWN</x:v>
      </x:c>
      <x:c r="K6986" t="str">
        <x:v>debt_consolidation</x:v>
      </x:c>
      <x:c r="L6986" t="n">
        <x:v>3</x:v>
      </x:c>
      <x:c r="M6986" t="n">
        <x:v>0</x:v>
      </x:c>
      <x:c r="N6986" t="str">
        <x:v>Fully Paid</x:v>
      </x:c>
      <x:c r="O6986" t="str">
        <x:f>IF(D6986="","Unknown",IF(D6986&lt;25000,"&lt;$25k",IF(D6986&lt;50000,"$25k-$50k",IF(D6986&lt;75000,"$50k-$75k",IF(D6986&lt;100000,"$75k-$100k","$100k+")))))</x:f>
        <x:v>$25k-$50k</x:v>
      </x:c>
      <x:c r="P6986" t="str">
        <x:f>IF(E6986="","Unknown",IF(E6986&lt;10,"&lt;10",IF(E6986&lt;20,"10-&lt;20",IF(E6986&lt;25,"20-&lt;25",IF(E6986&lt;35,"25-&lt;35","35+")))))</x:f>
        <x:v>10-&lt;20</x:v>
      </x:c>
    </x:row>
    <x:row r="6987">
      <x:c r="A6987" t="str">
        <x:v>SYN0006986</x:v>
      </x:c>
      <x:c r="B6987" s="12" t="n">
        <x:v>42985</x:v>
      </x:c>
      <x:c r="C6987" s="18" t="n">
        <x:v>11732</x:v>
      </x:c>
      <x:c r="D6987" s="18" t="n">
        <x:v>58112</x:v>
      </x:c>
      <x:c r="E6987" s="18" t="n">
        <x:v>22.77</x:v>
      </x:c>
      <x:c r="F6987" s="18" t="n">
        <x:v>10.25</x:v>
      </x:c>
      <x:c r="G6987" t="n">
        <x:v>36</x:v>
      </x:c>
      <x:c r="H6987" t="str">
        <x:v>B</x:v>
      </x:c>
      <x:c r="I6987" t="str">
        <x:v>10+ years</x:v>
      </x:c>
      <x:c r="J6987" t="str">
        <x:v>MORTGAGE</x:v>
      </x:c>
      <x:c r="K6987" t="str">
        <x:v>debt_consolidation</x:v>
      </x:c>
      <x:c r="L6987" t="n">
        <x:v>1</x:v>
      </x:c>
      <x:c r="M6987" t="n">
        <x:v>0</x:v>
      </x:c>
      <x:c r="N6987" t="str">
        <x:v>Fully Paid</x:v>
      </x:c>
      <x:c r="O6987" t="str">
        <x:f>IF(D6987="","Unknown",IF(D6987&lt;25000,"&lt;$25k",IF(D6987&lt;50000,"$25k-$50k",IF(D6987&lt;75000,"$50k-$75k",IF(D6987&lt;100000,"$75k-$100k","$100k+")))))</x:f>
        <x:v>$50k-$75k</x:v>
      </x:c>
      <x:c r="P6987" t="str">
        <x:f>IF(E6987="","Unknown",IF(E6987&lt;10,"&lt;10",IF(E6987&lt;20,"10-&lt;20",IF(E6987&lt;25,"20-&lt;25",IF(E6987&lt;35,"25-&lt;35","35+")))))</x:f>
        <x:v>20-&lt;25</x:v>
      </x:c>
    </x:row>
    <x:row r="6988">
      <x:c r="A6988" t="str">
        <x:v>SYN0006987</x:v>
      </x:c>
      <x:c r="B6988" s="12" t="n">
        <x:v>41545</x:v>
      </x:c>
      <x:c r="C6988" s="18" t="n">
        <x:v>11502</x:v>
      </x:c>
      <x:c r="D6988" s="18" t="n">
        <x:v>16703</x:v>
      </x:c>
      <x:c r="E6988" s="18" t="n">
        <x:v>32.52</x:v>
      </x:c>
      <x:c r="F6988" s="18" t="n">
        <x:v>10.62</x:v>
      </x:c>
      <x:c r="G6988" t="n">
        <x:v>60</x:v>
      </x:c>
      <x:c r="H6988" t="str">
        <x:v>C</x:v>
      </x:c>
      <x:c r="I6988" t="str">
        <x:v>1-3 years</x:v>
      </x:c>
      <x:c r="J6988" t="str">
        <x:v>OWN</x:v>
      </x:c>
      <x:c r="K6988" t="str">
        <x:v>debt_consolidation</x:v>
      </x:c>
      <x:c r="L6988" t="n">
        <x:v>1</x:v>
      </x:c>
      <x:c r="M6988" t="n">
        <x:v>1</x:v>
      </x:c>
      <x:c r="N6988" t="str">
        <x:v>Charged Off</x:v>
      </x:c>
      <x:c r="O6988" t="str">
        <x:f>IF(D6988="","Unknown",IF(D6988&lt;25000,"&lt;$25k",IF(D6988&lt;50000,"$25k-$50k",IF(D6988&lt;75000,"$50k-$75k",IF(D6988&lt;100000,"$75k-$100k","$100k+")))))</x:f>
        <x:v>&lt;$25k</x:v>
      </x:c>
      <x:c r="P6988" t="str">
        <x:f>IF(E6988="","Unknown",IF(E6988&lt;10,"&lt;10",IF(E6988&lt;20,"10-&lt;20",IF(E6988&lt;25,"20-&lt;25",IF(E6988&lt;35,"25-&lt;35","35+")))))</x:f>
        <x:v>25-&lt;35</x:v>
      </x:c>
    </x:row>
    <x:row r="6989">
      <x:c r="A6989" t="str">
        <x:v>SYN0006988</x:v>
      </x:c>
      <x:c r="B6989" s="12" t="n">
        <x:v>42565</x:v>
      </x:c>
      <x:c r="C6989" s="18" t="n">
        <x:v>12692</x:v>
      </x:c>
      <x:c r="D6989" s="18" t="n">
        <x:v>108712</x:v>
      </x:c>
      <x:c r="E6989" s="18" t="n">
        <x:v>17.23</x:v>
      </x:c>
      <x:c r="F6989" s="18" t="n">
        <x:v>6.14</x:v>
      </x:c>
      <x:c r="G6989" t="n">
        <x:v>36</x:v>
      </x:c>
      <x:c r="H6989" t="str">
        <x:v>B</x:v>
      </x:c>
      <x:c r="I6989" t="str">
        <x:v>10+ years</x:v>
      </x:c>
      <x:c r="J6989" t="str">
        <x:v>MORTGAGE</x:v>
      </x:c>
      <x:c r="K6989" t="str">
        <x:v>home_improvement</x:v>
      </x:c>
      <x:c r="L6989" t="n">
        <x:v>0</x:v>
      </x:c>
      <x:c r="M6989" t="n">
        <x:v>0</x:v>
      </x:c>
      <x:c r="N6989" t="str">
        <x:v>Fully Paid</x:v>
      </x:c>
      <x:c r="O6989" t="str">
        <x:f>IF(D6989="","Unknown",IF(D6989&lt;25000,"&lt;$25k",IF(D6989&lt;50000,"$25k-$50k",IF(D6989&lt;75000,"$50k-$75k",IF(D6989&lt;100000,"$75k-$100k","$100k+")))))</x:f>
        <x:v>$100k+</x:v>
      </x:c>
      <x:c r="P6989" t="str">
        <x:f>IF(E6989="","Unknown",IF(E6989&lt;10,"&lt;10",IF(E6989&lt;20,"10-&lt;20",IF(E6989&lt;25,"20-&lt;25",IF(E6989&lt;35,"25-&lt;35","35+")))))</x:f>
        <x:v>10-&lt;20</x:v>
      </x:c>
    </x:row>
    <x:row r="6990">
      <x:c r="A6990" t="str">
        <x:v>SYN0006989</x:v>
      </x:c>
      <x:c r="B6990" s="12" t="n">
        <x:v>41275</x:v>
      </x:c>
      <x:c r="C6990" s="18" t="n">
        <x:v>11919</x:v>
      </x:c>
      <x:c r="D6990" s="18" t="n">
        <x:v>23805</x:v>
      </x:c>
      <x:c r="E6990" s="18" t="n">
        <x:v>19.02</x:v>
      </x:c>
      <x:c r="F6990" s="18" t="n">
        <x:v>7.5</x:v>
      </x:c>
      <x:c r="G6990" t="n">
        <x:v>36</x:v>
      </x:c>
      <x:c r="H6990" t="str">
        <x:v>A</x:v>
      </x:c>
      <x:c r="I6990" t="str">
        <x:v>1-3 years</x:v>
      </x:c>
      <x:c r="J6990" t="str">
        <x:v>RENT</x:v>
      </x:c>
      <x:c r="K6990" t="str">
        <x:v>medical</x:v>
      </x:c>
      <x:c r="L6990" t="n">
        <x:v>0</x:v>
      </x:c>
      <x:c r="M6990" t="n">
        <x:v>0</x:v>
      </x:c>
      <x:c r="N6990" t="str">
        <x:v>Fully Paid</x:v>
      </x:c>
      <x:c r="O6990" t="str">
        <x:f>IF(D6990="","Unknown",IF(D6990&lt;25000,"&lt;$25k",IF(D6990&lt;50000,"$25k-$50k",IF(D6990&lt;75000,"$50k-$75k",IF(D6990&lt;100000,"$75k-$100k","$100k+")))))</x:f>
        <x:v>&lt;$25k</x:v>
      </x:c>
      <x:c r="P6990" t="str">
        <x:f>IF(E6990="","Unknown",IF(E6990&lt;10,"&lt;10",IF(E6990&lt;20,"10-&lt;20",IF(E6990&lt;25,"20-&lt;25",IF(E6990&lt;35,"25-&lt;35","35+")))))</x:f>
        <x:v>10-&lt;20</x:v>
      </x:c>
    </x:row>
    <x:row r="6991">
      <x:c r="A6991" t="str">
        <x:v>SYN0006990</x:v>
      </x:c>
      <x:c r="B6991" s="12" t="n">
        <x:v>42055</x:v>
      </x:c>
      <x:c r="C6991" s="18" t="n">
        <x:v>5660</x:v>
      </x:c>
      <x:c r="D6991" s="18" t="n">
        <x:v>28632</x:v>
      </x:c>
      <x:c r="E6991" s="18" t="n">
        <x:v>12.74</x:v>
      </x:c>
      <x:c r="F6991" s="18" t="n">
        <x:v>10.12</x:v>
      </x:c>
      <x:c r="G6991" t="n">
        <x:v>60</x:v>
      </x:c>
      <x:c r="H6991" t="str">
        <x:v>B</x:v>
      </x:c>
      <x:c r="I6991" t="str">
        <x:v>4-6 years</x:v>
      </x:c>
      <x:c r="J6991" t="str">
        <x:v>RENT</x:v>
      </x:c>
      <x:c r="K6991" t="str">
        <x:v>debt_consolidation</x:v>
      </x:c>
      <x:c r="L6991" t="n">
        <x:v>0</x:v>
      </x:c>
      <x:c r="M6991" t="n">
        <x:v>0</x:v>
      </x:c>
      <x:c r="N6991" t="str">
        <x:v>Fully Paid</x:v>
      </x:c>
      <x:c r="O6991" t="str">
        <x:f>IF(D6991="","Unknown",IF(D6991&lt;25000,"&lt;$25k",IF(D6991&lt;50000,"$25k-$50k",IF(D6991&lt;75000,"$50k-$75k",IF(D6991&lt;100000,"$75k-$100k","$100k+")))))</x:f>
        <x:v>$25k-$50k</x:v>
      </x:c>
      <x:c r="P6991" t="str">
        <x:f>IF(E6991="","Unknown",IF(E6991&lt;10,"&lt;10",IF(E6991&lt;20,"10-&lt;20",IF(E6991&lt;25,"20-&lt;25",IF(E6991&lt;35,"25-&lt;35","35+")))))</x:f>
        <x:v>10-&lt;20</x:v>
      </x:c>
    </x:row>
    <x:row r="6992">
      <x:c r="A6992" t="str">
        <x:v>SYN0006991</x:v>
      </x:c>
      <x:c r="B6992" s="12" t="n">
        <x:v>41875</x:v>
      </x:c>
      <x:c r="C6992" s="18" t="n">
        <x:v>12087</x:v>
      </x:c>
      <x:c r="D6992" s="18" t="n">
        <x:v>21019</x:v>
      </x:c>
      <x:c r="E6992" s="18" t="n">
        <x:v>16.42</x:v>
      </x:c>
      <x:c r="F6992" s="18" t="n">
        <x:v>7.21</x:v>
      </x:c>
      <x:c r="G6992" t="n">
        <x:v>36</x:v>
      </x:c>
      <x:c r="H6992" t="str">
        <x:v>B</x:v>
      </x:c>
      <x:c r="I6992" t="str">
        <x:v>4-6 years</x:v>
      </x:c>
      <x:c r="J6992" t="str">
        <x:v>RENT</x:v>
      </x:c>
      <x:c r="K6992" t="str">
        <x:v>debt_consolidation</x:v>
      </x:c>
      <x:c r="L6992" t="n">
        <x:v>0</x:v>
      </x:c>
      <x:c r="M6992" t="n">
        <x:v>0</x:v>
      </x:c>
      <x:c r="N6992" t="str">
        <x:v>Fully Paid</x:v>
      </x:c>
      <x:c r="O6992" t="str">
        <x:f>IF(D6992="","Unknown",IF(D6992&lt;25000,"&lt;$25k",IF(D6992&lt;50000,"$25k-$50k",IF(D6992&lt;75000,"$50k-$75k",IF(D6992&lt;100000,"$75k-$100k","$100k+")))))</x:f>
        <x:v>&lt;$25k</x:v>
      </x:c>
      <x:c r="P6992" t="str">
        <x:f>IF(E6992="","Unknown",IF(E6992&lt;10,"&lt;10",IF(E6992&lt;20,"10-&lt;20",IF(E6992&lt;25,"20-&lt;25",IF(E6992&lt;35,"25-&lt;35","35+")))))</x:f>
        <x:v>10-&lt;20</x:v>
      </x:c>
    </x:row>
    <x:row r="6993">
      <x:c r="A6993" t="str">
        <x:v>SYN0006992</x:v>
      </x:c>
      <x:c r="B6993" s="12" t="n">
        <x:v>41785</x:v>
      </x:c>
      <x:c r="C6993" s="18" t="n">
        <x:v>6392</x:v>
      </x:c>
      <x:c r="D6993" s="18" t="n">
        <x:v>45050</x:v>
      </x:c>
      <x:c r="E6993" s="18" t="n">
        <x:v>17.5</x:v>
      </x:c>
      <x:c r="F6993" s="18" t="n">
        <x:v>5.62</x:v>
      </x:c>
      <x:c r="G6993" t="n">
        <x:v>36</x:v>
      </x:c>
      <x:c r="H6993" t="str">
        <x:v>A</x:v>
      </x:c>
      <x:c r="I6993" t="str">
        <x:v>1-3 years</x:v>
      </x:c>
      <x:c r="J6993" t="str">
        <x:v>MORTGAGE</x:v>
      </x:c>
      <x:c r="K6993" t="str">
        <x:v>credit_card</x:v>
      </x:c>
      <x:c r="L6993" t="n">
        <x:v>1</x:v>
      </x:c>
      <x:c r="M6993" t="n">
        <x:v>0</x:v>
      </x:c>
      <x:c r="N6993" t="str">
        <x:v>Fully Paid</x:v>
      </x:c>
      <x:c r="O6993" t="str">
        <x:f>IF(D6993="","Unknown",IF(D6993&lt;25000,"&lt;$25k",IF(D6993&lt;50000,"$25k-$50k",IF(D6993&lt;75000,"$50k-$75k",IF(D6993&lt;100000,"$75k-$100k","$100k+")))))</x:f>
        <x:v>$25k-$50k</x:v>
      </x:c>
      <x:c r="P6993" t="str">
        <x:f>IF(E6993="","Unknown",IF(E6993&lt;10,"&lt;10",IF(E6993&lt;20,"10-&lt;20",IF(E6993&lt;25,"20-&lt;25",IF(E6993&lt;35,"25-&lt;35","35+")))))</x:f>
        <x:v>10-&lt;20</x:v>
      </x:c>
    </x:row>
    <x:row r="6994">
      <x:c r="A6994" t="str">
        <x:v>SYN0006993</x:v>
      </x:c>
      <x:c r="B6994" s="12" t="n">
        <x:v>43075</x:v>
      </x:c>
      <x:c r="C6994" s="18" t="n">
        <x:v>11913</x:v>
      </x:c>
      <x:c r="D6994" s="18" t="n">
        <x:v>84512</x:v>
      </x:c>
      <x:c r="E6994" s="18" t="n">
        <x:v>23.34</x:v>
      </x:c>
      <x:c r="F6994" s="18" t="n">
        <x:v>7.23</x:v>
      </x:c>
      <x:c r="G6994" t="n">
        <x:v>36</x:v>
      </x:c>
      <x:c r="H6994" t="str">
        <x:v>B</x:v>
      </x:c>
      <x:c r="I6994" t="str">
        <x:v>10+ years</x:v>
      </x:c>
      <x:c r="J6994" t="str">
        <x:v>OWN</x:v>
      </x:c>
      <x:c r="K6994" t="str">
        <x:v>debt_consolidation</x:v>
      </x:c>
      <x:c r="L6994" t="n">
        <x:v>1</x:v>
      </x:c>
      <x:c r="M6994" t="n">
        <x:v>0</x:v>
      </x:c>
      <x:c r="N6994" t="str">
        <x:v>Fully Paid</x:v>
      </x:c>
      <x:c r="O6994" t="str">
        <x:f>IF(D6994="","Unknown",IF(D6994&lt;25000,"&lt;$25k",IF(D6994&lt;50000,"$25k-$50k",IF(D6994&lt;75000,"$50k-$75k",IF(D6994&lt;100000,"$75k-$100k","$100k+")))))</x:f>
        <x:v>$75k-$100k</x:v>
      </x:c>
      <x:c r="P6994" t="str">
        <x:f>IF(E6994="","Unknown",IF(E6994&lt;10,"&lt;10",IF(E6994&lt;20,"10-&lt;20",IF(E6994&lt;25,"20-&lt;25",IF(E6994&lt;35,"25-&lt;35","35+")))))</x:f>
        <x:v>20-&lt;25</x:v>
      </x:c>
    </x:row>
    <x:row r="6995">
      <x:c r="A6995" t="str">
        <x:v>SYN0006994</x:v>
      </x:c>
      <x:c r="B6995" s="12" t="n">
        <x:v>42895</x:v>
      </x:c>
      <x:c r="C6995" s="18" t="n">
        <x:v>7650</x:v>
      </x:c>
      <x:c r="D6995" s="18" t="n">
        <x:v>57468</x:v>
      </x:c>
      <x:c r="E6995" s="18" t="n">
        <x:v>6.24</x:v>
      </x:c>
      <x:c r="F6995" s="18" t="n">
        <x:v>9.49</x:v>
      </x:c>
      <x:c r="G6995" t="n">
        <x:v>36</x:v>
      </x:c>
      <x:c r="H6995" t="str">
        <x:v>B</x:v>
      </x:c>
      <x:c r="I6995" t="str">
        <x:v>10+ years</x:v>
      </x:c>
      <x:c r="J6995" t="str">
        <x:v>MORTGAGE</x:v>
      </x:c>
      <x:c r="K6995" t="str">
        <x:v>credit_card</x:v>
      </x:c>
      <x:c r="L6995" t="n">
        <x:v>0</x:v>
      </x:c>
      <x:c r="M6995" t="n">
        <x:v>0</x:v>
      </x:c>
      <x:c r="N6995" t="str">
        <x:v>Fully Paid</x:v>
      </x:c>
      <x:c r="O6995" t="str">
        <x:f>IF(D6995="","Unknown",IF(D6995&lt;25000,"&lt;$25k",IF(D6995&lt;50000,"$25k-$50k",IF(D6995&lt;75000,"$50k-$75k",IF(D6995&lt;100000,"$75k-$100k","$100k+")))))</x:f>
        <x:v>$50k-$75k</x:v>
      </x:c>
      <x:c r="P6995" t="str">
        <x:f>IF(E6995="","Unknown",IF(E6995&lt;10,"&lt;10",IF(E6995&lt;20,"10-&lt;20",IF(E6995&lt;25,"20-&lt;25",IF(E6995&lt;35,"25-&lt;35","35+")))))</x:f>
        <x:v>&lt;10</x:v>
      </x:c>
    </x:row>
    <x:row r="6996">
      <x:c r="A6996" t="str">
        <x:v>SYN0006995</x:v>
      </x:c>
      <x:c r="B6996" s="12" t="n">
        <x:v>43405</x:v>
      </x:c>
      <x:c r="C6996" s="18" t="n">
        <x:v>16788</x:v>
      </x:c>
      <x:c r="D6996" s="18" t="n">
        <x:v>101496</x:v>
      </x:c>
      <x:c r="E6996" s="18" t="n">
        <x:v>30.4</x:v>
      </x:c>
      <x:c r="F6996" s="18" t="n">
        <x:v>7.05</x:v>
      </x:c>
      <x:c r="G6996" t="n">
        <x:v>60</x:v>
      </x:c>
      <x:c r="H6996" t="str">
        <x:v>B</x:v>
      </x:c>
      <x:c r="I6996" t="str">
        <x:v>7-9 years</x:v>
      </x:c>
      <x:c r="J6996" t="str">
        <x:v>MORTGAGE</x:v>
      </x:c>
      <x:c r="K6996" t="str">
        <x:v>credit_card</x:v>
      </x:c>
      <x:c r="L6996" t="n">
        <x:v>0</x:v>
      </x:c>
      <x:c r="M6996" t="n">
        <x:v>0</x:v>
      </x:c>
      <x:c r="N6996" t="str">
        <x:v>Fully Paid</x:v>
      </x:c>
      <x:c r="O6996" t="str">
        <x:f>IF(D6996="","Unknown",IF(D6996&lt;25000,"&lt;$25k",IF(D6996&lt;50000,"$25k-$50k",IF(D6996&lt;75000,"$50k-$75k",IF(D6996&lt;100000,"$75k-$100k","$100k+")))))</x:f>
        <x:v>$100k+</x:v>
      </x:c>
      <x:c r="P6996" t="str">
        <x:f>IF(E6996="","Unknown",IF(E6996&lt;10,"&lt;10",IF(E6996&lt;20,"10-&lt;20",IF(E6996&lt;25,"20-&lt;25",IF(E6996&lt;35,"25-&lt;35","35+")))))</x:f>
        <x:v>25-&lt;35</x:v>
      </x:c>
    </x:row>
    <x:row r="6997">
      <x:c r="A6997" t="str">
        <x:v>SYN0006996</x:v>
      </x:c>
      <x:c r="B6997" s="12" t="n">
        <x:v>41725</x:v>
      </x:c>
      <x:c r="C6997" s="18" t="n">
        <x:v>9818</x:v>
      </x:c>
      <x:c r="D6997" s="18" t="n">
        <x:v>32725</x:v>
      </x:c>
      <x:c r="E6997" s="18" t="n">
        <x:v>12.34</x:v>
      </x:c>
      <x:c r="F6997" s="18" t="n">
        <x:v>7.73</x:v>
      </x:c>
      <x:c r="G6997" t="n">
        <x:v>36</x:v>
      </x:c>
      <x:c r="H6997" t="str">
        <x:v>B</x:v>
      </x:c>
      <x:c r="I6997" t="str">
        <x:v>4-6 years</x:v>
      </x:c>
      <x:c r="J6997" t="str">
        <x:v>OWN</x:v>
      </x:c>
      <x:c r="K6997" t="str">
        <x:v>debt_consolidation</x:v>
      </x:c>
      <x:c r="L6997" t="n">
        <x:v>0</x:v>
      </x:c>
      <x:c r="M6997" t="n">
        <x:v>0</x:v>
      </x:c>
      <x:c r="N6997" t="str">
        <x:v>Fully Paid</x:v>
      </x:c>
      <x:c r="O6997" t="str">
        <x:f>IF(D6997="","Unknown",IF(D6997&lt;25000,"&lt;$25k",IF(D6997&lt;50000,"$25k-$50k",IF(D6997&lt;75000,"$50k-$75k",IF(D6997&lt;100000,"$75k-$100k","$100k+")))))</x:f>
        <x:v>$25k-$50k</x:v>
      </x:c>
      <x:c r="P6997" t="str">
        <x:f>IF(E6997="","Unknown",IF(E6997&lt;10,"&lt;10",IF(E6997&lt;20,"10-&lt;20",IF(E6997&lt;25,"20-&lt;25",IF(E6997&lt;35,"25-&lt;35","35+")))))</x:f>
        <x:v>10-&lt;20</x:v>
      </x:c>
    </x:row>
    <x:row r="6998">
      <x:c r="A6998" t="str">
        <x:v>SYN0006997</x:v>
      </x:c>
      <x:c r="B6998" s="12" t="n">
        <x:v>42835</x:v>
      </x:c>
      <x:c r="C6998" s="18" t="n">
        <x:v>7104</x:v>
      </x:c>
      <x:c r="D6998" s="18" t="n">
        <x:v>97176</x:v>
      </x:c>
      <x:c r="E6998" s="18" t="n">
        <x:v>33.7</x:v>
      </x:c>
      <x:c r="F6998" s="18" t="n">
        <x:v>13.44</x:v>
      </x:c>
      <x:c r="G6998" t="n">
        <x:v>36</x:v>
      </x:c>
      <x:c r="H6998" t="str">
        <x:v>D</x:v>
      </x:c>
      <x:c r="I6998" t="str">
        <x:v>&lt;1 year</x:v>
      </x:c>
      <x:c r="J6998" t="str">
        <x:v>OWN</x:v>
      </x:c>
      <x:c r="K6998" t="str">
        <x:v>credit_card</x:v>
      </x:c>
      <x:c r="L6998" t="n">
        <x:v>0</x:v>
      </x:c>
      <x:c r="M6998" t="n">
        <x:v>0</x:v>
      </x:c>
      <x:c r="N6998" t="str">
        <x:v>Fully Paid</x:v>
      </x:c>
      <x:c r="O6998" t="str">
        <x:f>IF(D6998="","Unknown",IF(D6998&lt;25000,"&lt;$25k",IF(D6998&lt;50000,"$25k-$50k",IF(D6998&lt;75000,"$50k-$75k",IF(D6998&lt;100000,"$75k-$100k","$100k+")))))</x:f>
        <x:v>$75k-$100k</x:v>
      </x:c>
      <x:c r="P6998" t="str">
        <x:f>IF(E6998="","Unknown",IF(E6998&lt;10,"&lt;10",IF(E6998&lt;20,"10-&lt;20",IF(E6998&lt;25,"20-&lt;25",IF(E6998&lt;35,"25-&lt;35","35+")))))</x:f>
        <x:v>25-&lt;35</x:v>
      </x:c>
    </x:row>
    <x:row r="6999">
      <x:c r="A6999" t="str">
        <x:v>SYN0006998</x:v>
      </x:c>
      <x:c r="B6999" s="12" t="n">
        <x:v>42445</x:v>
      </x:c>
      <x:c r="C6999" s="18" t="n">
        <x:v>21759</x:v>
      </x:c>
      <x:c r="D6999" s="18" t="n">
        <x:v>29920</x:v>
      </x:c>
      <x:c r="E6999" s="18" t="n">
        <x:v>22.57</x:v>
      </x:c>
      <x:c r="F6999" s="18" t="n">
        <x:v>6.88</x:v>
      </x:c>
      <x:c r="G6999" t="n">
        <x:v>36</x:v>
      </x:c>
      <x:c r="H6999" t="str">
        <x:v>B</x:v>
      </x:c>
      <x:c r="I6999" t="str">
        <x:v>1-3 years</x:v>
      </x:c>
      <x:c r="J6999" t="str">
        <x:v>OWN</x:v>
      </x:c>
      <x:c r="K6999" t="str">
        <x:v>major_purchase</x:v>
      </x:c>
      <x:c r="L6999" t="n">
        <x:v>0</x:v>
      </x:c>
      <x:c r="M6999" t="n">
        <x:v>0</x:v>
      </x:c>
      <x:c r="N6999" t="str">
        <x:v>Fully Paid</x:v>
      </x:c>
      <x:c r="O6999" t="str">
        <x:f>IF(D6999="","Unknown",IF(D6999&lt;25000,"&lt;$25k",IF(D6999&lt;50000,"$25k-$50k",IF(D6999&lt;75000,"$50k-$75k",IF(D6999&lt;100000,"$75k-$100k","$100k+")))))</x:f>
        <x:v>$25k-$50k</x:v>
      </x:c>
      <x:c r="P6999" t="str">
        <x:f>IF(E6999="","Unknown",IF(E6999&lt;10,"&lt;10",IF(E6999&lt;20,"10-&lt;20",IF(E6999&lt;25,"20-&lt;25",IF(E6999&lt;35,"25-&lt;35","35+")))))</x:f>
        <x:v>20-&lt;25</x:v>
      </x:c>
    </x:row>
    <x:row r="7000">
      <x:c r="A7000" t="str">
        <x:v>SYN0006999</x:v>
      </x:c>
      <x:c r="B7000" s="12" t="n">
        <x:v>43255</x:v>
      </x:c>
      <x:c r="C7000" s="18" t="n">
        <x:v>12782</x:v>
      </x:c>
      <x:c r="D7000" s="18" t="n">
        <x:v>74600</x:v>
      </x:c>
      <x:c r="E7000" s="18" t="n">
        <x:v>9.67</x:v>
      </x:c>
      <x:c r="F7000" s="18" t="n">
        <x:v>10.34</x:v>
      </x:c>
      <x:c r="G7000" t="n">
        <x:v>36</x:v>
      </x:c>
      <x:c r="H7000" t="str">
        <x:v>B</x:v>
      </x:c>
      <x:c r="I7000" t="str">
        <x:v>4-6 years</x:v>
      </x:c>
      <x:c r="J7000" t="str">
        <x:v>RENT</x:v>
      </x:c>
      <x:c r="K7000" t="str">
        <x:v>debt_consolidation</x:v>
      </x:c>
      <x:c r="L7000" t="n">
        <x:v>3</x:v>
      </x:c>
      <x:c r="M7000" t="n">
        <x:v>0</x:v>
      </x:c>
      <x:c r="N7000" t="str">
        <x:v>Fully Paid</x:v>
      </x:c>
      <x:c r="O7000" t="str">
        <x:f>IF(D7000="","Unknown",IF(D7000&lt;25000,"&lt;$25k",IF(D7000&lt;50000,"$25k-$50k",IF(D7000&lt;75000,"$50k-$75k",IF(D7000&lt;100000,"$75k-$100k","$100k+")))))</x:f>
        <x:v>$50k-$75k</x:v>
      </x:c>
      <x:c r="P7000" t="str">
        <x:f>IF(E7000="","Unknown",IF(E7000&lt;10,"&lt;10",IF(E7000&lt;20,"10-&lt;20",IF(E7000&lt;25,"20-&lt;25",IF(E7000&lt;35,"25-&lt;35","35+")))))</x:f>
        <x:v>&lt;10</x:v>
      </x:c>
    </x:row>
    <x:row r="7001">
      <x:c r="A7001" t="str">
        <x:v>SYN0007000</x:v>
      </x:c>
      <x:c r="B7001" s="12" t="n">
        <x:v>42115</x:v>
      </x:c>
      <x:c r="C7001" s="18" t="n">
        <x:v>12122</x:v>
      </x:c>
      <x:c r="D7001" s="18" t="n">
        <x:v>32247</x:v>
      </x:c>
      <x:c r="E7001" s="18" t="n">
        <x:v>25.41</x:v>
      </x:c>
      <x:c r="F7001" s="18" t="n">
        <x:v>12.9</x:v>
      </x:c>
      <x:c r="G7001" t="n">
        <x:v>60</x:v>
      </x:c>
      <x:c r="H7001" t="str">
        <x:v>C</x:v>
      </x:c>
      <x:c r="I7001" t="str">
        <x:v>7-9 years</x:v>
      </x:c>
      <x:c r="J7001" t="str">
        <x:v>RENT</x:v>
      </x:c>
      <x:c r="K7001" t="str">
        <x:v>credit_card</x:v>
      </x:c>
      <x:c r="L7001" t="n">
        <x:v>0</x:v>
      </x:c>
      <x:c r="M7001" t="n">
        <x:v>0</x:v>
      </x:c>
      <x:c r="N7001" t="str">
        <x:v>Fully Paid</x:v>
      </x:c>
      <x:c r="O7001" t="str">
        <x:f>IF(D7001="","Unknown",IF(D7001&lt;25000,"&lt;$25k",IF(D7001&lt;50000,"$25k-$50k",IF(D7001&lt;75000,"$50k-$75k",IF(D7001&lt;100000,"$75k-$100k","$100k+")))))</x:f>
        <x:v>$25k-$50k</x:v>
      </x:c>
      <x:c r="P7001" t="str">
        <x:f>IF(E7001="","Unknown",IF(E7001&lt;10,"&lt;10",IF(E7001&lt;20,"10-&lt;20",IF(E7001&lt;25,"20-&lt;25",IF(E7001&lt;35,"25-&lt;35","35+")))))</x:f>
        <x:v>25-&lt;35</x:v>
      </x:c>
    </x:row>
    <x:row r="7002">
      <x:c r="A7002" t="str">
        <x:v>SYN0007001</x:v>
      </x:c>
      <x:c r="B7002" s="12" t="n">
        <x:v>41575</x:v>
      </x:c>
      <x:c r="C7002" s="18" t="n">
        <x:v>17050</x:v>
      </x:c>
      <x:c r="D7002" s="18" t="n">
        <x:v>73956</x:v>
      </x:c>
      <x:c r="E7002" s="18" t="n">
        <x:v>14.46</x:v>
      </x:c>
      <x:c r="F7002" s="18" t="n">
        <x:v>11.99</x:v>
      </x:c>
      <x:c r="G7002" t="n">
        <x:v>36</x:v>
      </x:c>
      <x:c r="H7002" t="str">
        <x:v>C</x:v>
      </x:c>
      <x:c r="I7002" t="str">
        <x:v>4-6 years</x:v>
      </x:c>
      <x:c r="J7002" t="str">
        <x:v>RENT</x:v>
      </x:c>
      <x:c r="K7002" t="str">
        <x:v>debt_consolidation</x:v>
      </x:c>
      <x:c r="L7002" t="n">
        <x:v>0</x:v>
      </x:c>
      <x:c r="M7002" t="n">
        <x:v>0</x:v>
      </x:c>
      <x:c r="N7002" t="str">
        <x:v>Fully Paid</x:v>
      </x:c>
      <x:c r="O7002" t="str">
        <x:f>IF(D7002="","Unknown",IF(D7002&lt;25000,"&lt;$25k",IF(D7002&lt;50000,"$25k-$50k",IF(D7002&lt;75000,"$50k-$75k",IF(D7002&lt;100000,"$75k-$100k","$100k+")))))</x:f>
        <x:v>$50k-$75k</x:v>
      </x:c>
      <x:c r="P7002" t="str">
        <x:f>IF(E7002="","Unknown",IF(E7002&lt;10,"&lt;10",IF(E7002&lt;20,"10-&lt;20",IF(E7002&lt;25,"20-&lt;25",IF(E7002&lt;35,"25-&lt;35","35+")))))</x:f>
        <x:v>10-&lt;20</x:v>
      </x:c>
    </x:row>
    <x:row r="7003">
      <x:c r="A7003" t="str">
        <x:v>SYN0007002</x:v>
      </x:c>
      <x:c r="B7003" s="12" t="n">
        <x:v>42655</x:v>
      </x:c>
      <x:c r="C7003" s="18" t="n">
        <x:v>21977</x:v>
      </x:c>
      <x:c r="D7003" s="18" t="n">
        <x:v>113770</x:v>
      </x:c>
      <x:c r="E7003" s="18" t="n">
        <x:v>2.48</x:v>
      </x:c>
      <x:c r="F7003" s="18" t="n">
        <x:v>7.07</x:v>
      </x:c>
      <x:c r="G7003" t="n">
        <x:v>36</x:v>
      </x:c>
      <x:c r="H7003" t="str">
        <x:v>A</x:v>
      </x:c>
      <x:c r="I7003" t="str">
        <x:v>10+ years</x:v>
      </x:c>
      <x:c r="J7003" t="str">
        <x:v>OTHER</x:v>
      </x:c>
      <x:c r="K7003" t="str">
        <x:v>credit_card</x:v>
      </x:c>
      <x:c r="L7003" t="n">
        <x:v>0</x:v>
      </x:c>
      <x:c r="M7003" t="n">
        <x:v>0</x:v>
      </x:c>
      <x:c r="N7003" t="str">
        <x:v>Fully Paid</x:v>
      </x:c>
      <x:c r="O7003" t="str">
        <x:f>IF(D7003="","Unknown",IF(D7003&lt;25000,"&lt;$25k",IF(D7003&lt;50000,"$25k-$50k",IF(D7003&lt;75000,"$50k-$75k",IF(D7003&lt;100000,"$75k-$100k","$100k+")))))</x:f>
        <x:v>$100k+</x:v>
      </x:c>
      <x:c r="P7003" t="str">
        <x:f>IF(E7003="","Unknown",IF(E7003&lt;10,"&lt;10",IF(E7003&lt;20,"10-&lt;20",IF(E7003&lt;25,"20-&lt;25",IF(E7003&lt;35,"25-&lt;35","35+")))))</x:f>
        <x:v>&lt;10</x:v>
      </x:c>
    </x:row>
    <x:row r="7004">
      <x:c r="A7004" t="str">
        <x:v>SYN0007003</x:v>
      </x:c>
      <x:c r="B7004" s="12" t="n">
        <x:v>42445</x:v>
      </x:c>
      <x:c r="C7004" s="18" t="n">
        <x:v>10759</x:v>
      </x:c>
      <x:c r="D7004" s="18" t="n">
        <x:v>46177</x:v>
      </x:c>
      <x:c r="E7004" s="18" t="n">
        <x:v>28.07</x:v>
      </x:c>
      <x:c r="F7004" s="18" t="n">
        <x:v>15.76</x:v>
      </x:c>
      <x:c r="G7004" t="n">
        <x:v>60</x:v>
      </x:c>
      <x:c r="H7004" t="str">
        <x:v>D</x:v>
      </x:c>
      <x:c r="I7004" t="str">
        <x:v>10+ years</x:v>
      </x:c>
      <x:c r="J7004" t="str">
        <x:v>MORTGAGE</x:v>
      </x:c>
      <x:c r="K7004" t="str">
        <x:v>debt_consolidation</x:v>
      </x:c>
      <x:c r="L7004" t="n">
        <x:v>0</x:v>
      </x:c>
      <x:c r="M7004" t="n">
        <x:v>0</x:v>
      </x:c>
      <x:c r="N7004" t="str">
        <x:v>Fully Paid</x:v>
      </x:c>
      <x:c r="O7004" t="str">
        <x:f>IF(D7004="","Unknown",IF(D7004&lt;25000,"&lt;$25k",IF(D7004&lt;50000,"$25k-$50k",IF(D7004&lt;75000,"$50k-$75k",IF(D7004&lt;100000,"$75k-$100k","$100k+")))))</x:f>
        <x:v>$25k-$50k</x:v>
      </x:c>
      <x:c r="P7004" t="str">
        <x:f>IF(E7004="","Unknown",IF(E7004&lt;10,"&lt;10",IF(E7004&lt;20,"10-&lt;20",IF(E7004&lt;25,"20-&lt;25",IF(E7004&lt;35,"25-&lt;35","35+")))))</x:f>
        <x:v>25-&lt;35</x:v>
      </x:c>
    </x:row>
    <x:row r="7005">
      <x:c r="A7005" t="str">
        <x:v>SYN0007004</x:v>
      </x:c>
      <x:c r="B7005" s="12" t="n">
        <x:v>42715</x:v>
      </x:c>
      <x:c r="C7005" s="18" t="n">
        <x:v>9583</x:v>
      </x:c>
      <x:c r="D7005" s="18" t="n">
        <x:v>12000</x:v>
      </x:c>
      <x:c r="E7005" s="18" t="n">
        <x:v>35.45</x:v>
      </x:c>
      <x:c r="F7005" s="18" t="n">
        <x:v>21.56</x:v>
      </x:c>
      <x:c r="G7005" t="n">
        <x:v>36</x:v>
      </x:c>
      <x:c r="H7005" t="str">
        <x:v>F</x:v>
      </x:c>
      <x:c r="I7005" t="str">
        <x:v>1-3 years</x:v>
      </x:c>
      <x:c r="J7005" t="str">
        <x:v>MORTGAGE</x:v>
      </x:c>
      <x:c r="K7005" t="str">
        <x:v>credit_card</x:v>
      </x:c>
      <x:c r="L7005" t="n">
        <x:v>2</x:v>
      </x:c>
      <x:c r="M7005" t="n">
        <x:v>1</x:v>
      </x:c>
      <x:c r="N7005" t="str">
        <x:v>Charged Off</x:v>
      </x:c>
      <x:c r="O7005" t="str">
        <x:f>IF(D7005="","Unknown",IF(D7005&lt;25000,"&lt;$25k",IF(D7005&lt;50000,"$25k-$50k",IF(D7005&lt;75000,"$50k-$75k",IF(D7005&lt;100000,"$75k-$100k","$100k+")))))</x:f>
        <x:v>&lt;$25k</x:v>
      </x:c>
      <x:c r="P7005" t="str">
        <x:f>IF(E7005="","Unknown",IF(E7005&lt;10,"&lt;10",IF(E7005&lt;20,"10-&lt;20",IF(E7005&lt;25,"20-&lt;25",IF(E7005&lt;35,"25-&lt;35","35+")))))</x:f>
        <x:v>35+</x:v>
      </x:c>
    </x:row>
    <x:row r="7006">
      <x:c r="A7006" t="str">
        <x:v>SYN0007005</x:v>
      </x:c>
      <x:c r="B7006" s="12" t="n">
        <x:v>41875</x:v>
      </x:c>
      <x:c r="C7006" s="18" t="n">
        <x:v>7442</x:v>
      </x:c>
      <x:c r="D7006" s="18" t="n">
        <x:v>49810</x:v>
      </x:c>
      <x:c r="E7006" s="18" t="n">
        <x:v>20.15</x:v>
      </x:c>
      <x:c r="F7006" s="18" t="n">
        <x:v>13.5</x:v>
      </x:c>
      <x:c r="G7006" t="n">
        <x:v>36</x:v>
      </x:c>
      <x:c r="H7006" t="str">
        <x:v>C</x:v>
      </x:c>
      <x:c r="I7006" t="str">
        <x:v>1-3 years</x:v>
      </x:c>
      <x:c r="J7006" t="str">
        <x:v>RENT</x:v>
      </x:c>
      <x:c r="K7006" t="str">
        <x:v>debt_consolidation</x:v>
      </x:c>
      <x:c r="L7006" t="n">
        <x:v>0</x:v>
      </x:c>
      <x:c r="M7006" t="n">
        <x:v>0</x:v>
      </x:c>
      <x:c r="N7006" t="str">
        <x:v>Fully Paid</x:v>
      </x:c>
      <x:c r="O7006" t="str">
        <x:f>IF(D7006="","Unknown",IF(D7006&lt;25000,"&lt;$25k",IF(D7006&lt;50000,"$25k-$50k",IF(D7006&lt;75000,"$50k-$75k",IF(D7006&lt;100000,"$75k-$100k","$100k+")))))</x:f>
        <x:v>$25k-$50k</x:v>
      </x:c>
      <x:c r="P7006" t="str">
        <x:f>IF(E7006="","Unknown",IF(E7006&lt;10,"&lt;10",IF(E7006&lt;20,"10-&lt;20",IF(E7006&lt;25,"20-&lt;25",IF(E7006&lt;35,"25-&lt;35","35+")))))</x:f>
        <x:v>20-&lt;25</x:v>
      </x:c>
    </x:row>
    <x:row r="7007">
      <x:c r="A7007" t="str">
        <x:v>SYN0007006</x:v>
      </x:c>
      <x:c r="B7007" s="12" t="n">
        <x:v>42865</x:v>
      </x:c>
      <x:c r="C7007" s="18" t="n">
        <x:v>9253</x:v>
      </x:c>
      <x:c r="D7007" s="18" t="n">
        <x:v>37723</x:v>
      </x:c>
      <x:c r="E7007" s="18" t="n">
        <x:v>30.4</x:v>
      </x:c>
      <x:c r="F7007" s="18" t="n">
        <x:v>15.43</x:v>
      </x:c>
      <x:c r="G7007" t="n">
        <x:v>36</x:v>
      </x:c>
      <x:c r="H7007" t="str">
        <x:v>E</x:v>
      </x:c>
      <x:c r="I7007" t="str">
        <x:v>7-9 years</x:v>
      </x:c>
      <x:c r="J7007" t="str">
        <x:v>MORTGAGE</x:v>
      </x:c>
      <x:c r="K7007" t="str">
        <x:v>debt_consolidation</x:v>
      </x:c>
      <x:c r="L7007" t="n">
        <x:v>1</x:v>
      </x:c>
      <x:c r="M7007" t="n">
        <x:v>0</x:v>
      </x:c>
      <x:c r="N7007" t="str">
        <x:v>Fully Paid</x:v>
      </x:c>
      <x:c r="O7007" t="str">
        <x:f>IF(D7007="","Unknown",IF(D7007&lt;25000,"&lt;$25k",IF(D7007&lt;50000,"$25k-$50k",IF(D7007&lt;75000,"$50k-$75k",IF(D7007&lt;100000,"$75k-$100k","$100k+")))))</x:f>
        <x:v>$25k-$50k</x:v>
      </x:c>
      <x:c r="P7007" t="str">
        <x:f>IF(E7007="","Unknown",IF(E7007&lt;10,"&lt;10",IF(E7007&lt;20,"10-&lt;20",IF(E7007&lt;25,"20-&lt;25",IF(E7007&lt;35,"25-&lt;35","35+")))))</x:f>
        <x:v>25-&lt;35</x:v>
      </x:c>
    </x:row>
    <x:row r="7008">
      <x:c r="A7008" t="str">
        <x:v>SYN0007007</x:v>
      </x:c>
      <x:c r="B7008" s="12" t="n">
        <x:v>43165</x:v>
      </x:c>
      <x:c r="C7008" s="18" t="n">
        <x:v>10556</x:v>
      </x:c>
      <x:c r="D7008" s="18" t="n">
        <x:v>58437</x:v>
      </x:c>
      <x:c r="E7008" s="18" t="n">
        <x:v>15.4</x:v>
      </x:c>
      <x:c r="F7008" s="18" t="n">
        <x:v>19.11</x:v>
      </x:c>
      <x:c r="G7008" t="n">
        <x:v>36</x:v>
      </x:c>
      <x:c r="H7008" t="str">
        <x:v>E</x:v>
      </x:c>
      <x:c r="I7008" t="str">
        <x:v>7-9 years</x:v>
      </x:c>
      <x:c r="J7008" t="str">
        <x:v>RENT</x:v>
      </x:c>
      <x:c r="K7008" t="str">
        <x:v>debt_consolidation</x:v>
      </x:c>
      <x:c r="L7008" t="n">
        <x:v>2</x:v>
      </x:c>
      <x:c r="M7008" t="n">
        <x:v>1</x:v>
      </x:c>
      <x:c r="N7008" t="str">
        <x:v>Charged Off</x:v>
      </x:c>
      <x:c r="O7008" t="str">
        <x:f>IF(D7008="","Unknown",IF(D7008&lt;25000,"&lt;$25k",IF(D7008&lt;50000,"$25k-$50k",IF(D7008&lt;75000,"$50k-$75k",IF(D7008&lt;100000,"$75k-$100k","$100k+")))))</x:f>
        <x:v>$50k-$75k</x:v>
      </x:c>
      <x:c r="P7008" t="str">
        <x:f>IF(E7008="","Unknown",IF(E7008&lt;10,"&lt;10",IF(E7008&lt;20,"10-&lt;20",IF(E7008&lt;25,"20-&lt;25",IF(E7008&lt;35,"25-&lt;35","35+")))))</x:f>
        <x:v>10-&lt;20</x:v>
      </x:c>
    </x:row>
    <x:row r="7009">
      <x:c r="A7009" t="str">
        <x:v>SYN0007008</x:v>
      </x:c>
      <x:c r="B7009" s="12" t="n">
        <x:v>41425</x:v>
      </x:c>
      <x:c r="C7009" s="18" t="n">
        <x:v>11489</x:v>
      </x:c>
      <x:c r="D7009" s="18" t="n">
        <x:v>80621</x:v>
      </x:c>
      <x:c r="E7009" s="18" t="n">
        <x:v>26.38</x:v>
      </x:c>
      <x:c r="F7009" s="18" t="n">
        <x:v>6.6</x:v>
      </x:c>
      <x:c r="G7009" t="n">
        <x:v>36</x:v>
      </x:c>
      <x:c r="H7009" t="str">
        <x:v>B</x:v>
      </x:c>
      <x:c r="I7009" t="str">
        <x:v>&lt;1 year</x:v>
      </x:c>
      <x:c r="J7009" t="str">
        <x:v>RENT</x:v>
      </x:c>
      <x:c r="K7009" t="str">
        <x:v>debt_consolidation</x:v>
      </x:c>
      <x:c r="L7009" t="n">
        <x:v>0</x:v>
      </x:c>
      <x:c r="M7009" t="n">
        <x:v>0</x:v>
      </x:c>
      <x:c r="N7009" t="str">
        <x:v>Fully Paid</x:v>
      </x:c>
      <x:c r="O7009" t="str">
        <x:f>IF(D7009="","Unknown",IF(D7009&lt;25000,"&lt;$25k",IF(D7009&lt;50000,"$25k-$50k",IF(D7009&lt;75000,"$50k-$75k",IF(D7009&lt;100000,"$75k-$100k","$100k+")))))</x:f>
        <x:v>$75k-$100k</x:v>
      </x:c>
      <x:c r="P7009" t="str">
        <x:f>IF(E7009="","Unknown",IF(E7009&lt;10,"&lt;10",IF(E7009&lt;20,"10-&lt;20",IF(E7009&lt;25,"20-&lt;25",IF(E7009&lt;35,"25-&lt;35","35+")))))</x:f>
        <x:v>25-&lt;35</x:v>
      </x:c>
    </x:row>
    <x:row r="7010">
      <x:c r="A7010" t="str">
        <x:v>SYN0007009</x:v>
      </x:c>
      <x:c r="B7010" s="12" t="n">
        <x:v>41515</x:v>
      </x:c>
      <x:c r="C7010" s="18" t="n">
        <x:v>19890</x:v>
      </x:c>
      <x:c r="D7010" s="18" t="n">
        <x:v>57722</x:v>
      </x:c>
      <x:c r="E7010" s="18" t="n">
        <x:v>33.86</x:v>
      </x:c>
      <x:c r="F7010" s="18" t="n">
        <x:v>13.93</x:v>
      </x:c>
      <x:c r="G7010" t="n">
        <x:v>36</x:v>
      </x:c>
      <x:c r="H7010" t="str">
        <x:v>D</x:v>
      </x:c>
      <x:c r="I7010" t="str">
        <x:v>1-3 years</x:v>
      </x:c>
      <x:c r="J7010" t="str">
        <x:v>RENT</x:v>
      </x:c>
      <x:c r="K7010" t="str">
        <x:v>home_improvement</x:v>
      </x:c>
      <x:c r="L7010" t="n">
        <x:v>0</x:v>
      </x:c>
      <x:c r="M7010" t="n">
        <x:v>0</x:v>
      </x:c>
      <x:c r="N7010" t="str">
        <x:v>Fully Paid</x:v>
      </x:c>
      <x:c r="O7010" t="str">
        <x:f>IF(D7010="","Unknown",IF(D7010&lt;25000,"&lt;$25k",IF(D7010&lt;50000,"$25k-$50k",IF(D7010&lt;75000,"$50k-$75k",IF(D7010&lt;100000,"$75k-$100k","$100k+")))))</x:f>
        <x:v>$50k-$75k</x:v>
      </x:c>
      <x:c r="P7010" t="str">
        <x:f>IF(E7010="","Unknown",IF(E7010&lt;10,"&lt;10",IF(E7010&lt;20,"10-&lt;20",IF(E7010&lt;25,"20-&lt;25",IF(E7010&lt;35,"25-&lt;35","35+")))))</x:f>
        <x:v>25-&lt;35</x:v>
      </x:c>
    </x:row>
    <x:row r="7011">
      <x:c r="A7011" t="str">
        <x:v>SYN0007010</x:v>
      </x:c>
      <x:c r="B7011" s="12" t="n">
        <x:v>41395</x:v>
      </x:c>
      <x:c r="C7011" s="18" t="n">
        <x:v>25761</x:v>
      </x:c>
      <x:c r="D7011" s="18" t="n">
        <x:v>63556</x:v>
      </x:c>
      <x:c r="E7011" s="18" t="n">
        <x:v>12.79</x:v>
      </x:c>
      <x:c r="F7011" s="18" t="n">
        <x:v>9.41</x:v>
      </x:c>
      <x:c r="G7011" t="n">
        <x:v>60</x:v>
      </x:c>
      <x:c r="H7011" t="str">
        <x:v>B</x:v>
      </x:c>
      <x:c r="I7011" t="str">
        <x:v>10+ years</x:v>
      </x:c>
      <x:c r="J7011" t="str">
        <x:v>RENT</x:v>
      </x:c>
      <x:c r="K7011" t="str">
        <x:v>debt_consolidation</x:v>
      </x:c>
      <x:c r="L7011" t="n">
        <x:v>1</x:v>
      </x:c>
      <x:c r="M7011" t="n">
        <x:v>0</x:v>
      </x:c>
      <x:c r="N7011" t="str">
        <x:v>Fully Paid</x:v>
      </x:c>
      <x:c r="O7011" t="str">
        <x:f>IF(D7011="","Unknown",IF(D7011&lt;25000,"&lt;$25k",IF(D7011&lt;50000,"$25k-$50k",IF(D7011&lt;75000,"$50k-$75k",IF(D7011&lt;100000,"$75k-$100k","$100k+")))))</x:f>
        <x:v>$50k-$75k</x:v>
      </x:c>
      <x:c r="P7011" t="str">
        <x:f>IF(E7011="","Unknown",IF(E7011&lt;10,"&lt;10",IF(E7011&lt;20,"10-&lt;20",IF(E7011&lt;25,"20-&lt;25",IF(E7011&lt;35,"25-&lt;35","35+")))))</x:f>
        <x:v>10-&lt;20</x:v>
      </x:c>
    </x:row>
    <x:row r="7012">
      <x:c r="A7012" t="str">
        <x:v>SYN0007011</x:v>
      </x:c>
      <x:c r="B7012" s="12" t="n">
        <x:v>42175</x:v>
      </x:c>
      <x:c r="C7012" s="18" t="n">
        <x:v>15344</x:v>
      </x:c>
      <x:c r="D7012" s="18" t="n">
        <x:v>51167</x:v>
      </x:c>
      <x:c r="E7012" s="18" t="n">
        <x:v>5.16</x:v>
      </x:c>
      <x:c r="F7012" s="18" t="n">
        <x:v>7.48</x:v>
      </x:c>
      <x:c r="G7012" t="n">
        <x:v>36</x:v>
      </x:c>
      <x:c r="H7012" t="str">
        <x:v>B</x:v>
      </x:c>
      <x:c r="I7012" t="str">
        <x:v>&lt;1 year</x:v>
      </x:c>
      <x:c r="J7012" t="str">
        <x:v>OWN</x:v>
      </x:c>
      <x:c r="K7012" t="str">
        <x:v>debt_consolidation</x:v>
      </x:c>
      <x:c r="L7012" t="n">
        <x:v>0</x:v>
      </x:c>
      <x:c r="M7012" t="n">
        <x:v>0</x:v>
      </x:c>
      <x:c r="N7012" t="str">
        <x:v>Fully Paid</x:v>
      </x:c>
      <x:c r="O7012" t="str">
        <x:f>IF(D7012="","Unknown",IF(D7012&lt;25000,"&lt;$25k",IF(D7012&lt;50000,"$25k-$50k",IF(D7012&lt;75000,"$50k-$75k",IF(D7012&lt;100000,"$75k-$100k","$100k+")))))</x:f>
        <x:v>$50k-$75k</x:v>
      </x:c>
      <x:c r="P7012" t="str">
        <x:f>IF(E7012="","Unknown",IF(E7012&lt;10,"&lt;10",IF(E7012&lt;20,"10-&lt;20",IF(E7012&lt;25,"20-&lt;25",IF(E7012&lt;35,"25-&lt;35","35+")))))</x:f>
        <x:v>&lt;10</x:v>
      </x:c>
    </x:row>
    <x:row r="7013">
      <x:c r="A7013" t="str">
        <x:v>SYN0007012</x:v>
      </x:c>
      <x:c r="B7013" s="12" t="n">
        <x:v>41455</x:v>
      </x:c>
      <x:c r="C7013" s="18" t="n">
        <x:v>8924</x:v>
      </x:c>
      <x:c r="D7013" s="18" t="n">
        <x:v>32413</x:v>
      </x:c>
      <x:c r="E7013" s="18" t="n">
        <x:v>21.14</x:v>
      </x:c>
      <x:c r="F7013" s="18" t="n">
        <x:v>14.01</x:v>
      </x:c>
      <x:c r="G7013" t="n">
        <x:v>60</x:v>
      </x:c>
      <x:c r="H7013" t="str">
        <x:v>D</x:v>
      </x:c>
      <x:c r="I7013" t="str">
        <x:v>10+ years</x:v>
      </x:c>
      <x:c r="J7013" t="str">
        <x:v>MORTGAGE</x:v>
      </x:c>
      <x:c r="K7013" t="str">
        <x:v>credit_card</x:v>
      </x:c>
      <x:c r="L7013" t="n">
        <x:v>0</x:v>
      </x:c>
      <x:c r="M7013" t="n">
        <x:v>0</x:v>
      </x:c>
      <x:c r="N7013" t="str">
        <x:v>Fully Paid</x:v>
      </x:c>
      <x:c r="O7013" t="str">
        <x:f>IF(D7013="","Unknown",IF(D7013&lt;25000,"&lt;$25k",IF(D7013&lt;50000,"$25k-$50k",IF(D7013&lt;75000,"$50k-$75k",IF(D7013&lt;100000,"$75k-$100k","$100k+")))))</x:f>
        <x:v>$25k-$50k</x:v>
      </x:c>
      <x:c r="P7013" t="str">
        <x:f>IF(E7013="","Unknown",IF(E7013&lt;10,"&lt;10",IF(E7013&lt;20,"10-&lt;20",IF(E7013&lt;25,"20-&lt;25",IF(E7013&lt;35,"25-&lt;35","35+")))))</x:f>
        <x:v>20-&lt;25</x:v>
      </x:c>
    </x:row>
    <x:row r="7014">
      <x:c r="A7014" t="str">
        <x:v>SYN0007013</x:v>
      </x:c>
      <x:c r="B7014" s="12" t="n">
        <x:v>41575</x:v>
      </x:c>
      <x:c r="C7014" s="18" t="n">
        <x:v>10860</x:v>
      </x:c>
      <x:c r="D7014" s="18" t="n">
        <x:v>18437</x:v>
      </x:c>
      <x:c r="E7014" s="18" t="n">
        <x:v>19.44</x:v>
      </x:c>
      <x:c r="F7014" s="18" t="n">
        <x:v>9.5</x:v>
      </x:c>
      <x:c r="G7014" t="n">
        <x:v>60</x:v>
      </x:c>
      <x:c r="H7014" t="str">
        <x:v>B</x:v>
      </x:c>
      <x:c r="I7014" t="str">
        <x:v>10+ years</x:v>
      </x:c>
      <x:c r="J7014" t="str">
        <x:v>RENT</x:v>
      </x:c>
      <x:c r="K7014" t="str">
        <x:v>credit_card</x:v>
      </x:c>
      <x:c r="L7014" t="n">
        <x:v>0</x:v>
      </x:c>
      <x:c r="M7014" t="n">
        <x:v>0</x:v>
      </x:c>
      <x:c r="N7014" t="str">
        <x:v>Fully Paid</x:v>
      </x:c>
      <x:c r="O7014" t="str">
        <x:f>IF(D7014="","Unknown",IF(D7014&lt;25000,"&lt;$25k",IF(D7014&lt;50000,"$25k-$50k",IF(D7014&lt;75000,"$50k-$75k",IF(D7014&lt;100000,"$75k-$100k","$100k+")))))</x:f>
        <x:v>&lt;$25k</x:v>
      </x:c>
      <x:c r="P7014" t="str">
        <x:f>IF(E7014="","Unknown",IF(E7014&lt;10,"&lt;10",IF(E7014&lt;20,"10-&lt;20",IF(E7014&lt;25,"20-&lt;25",IF(E7014&lt;35,"25-&lt;35","35+")))))</x:f>
        <x:v>10-&lt;20</x:v>
      </x:c>
    </x:row>
    <x:row r="7015">
      <x:c r="A7015" t="str">
        <x:v>SYN0007014</x:v>
      </x:c>
      <x:c r="B7015" s="12" t="n">
        <x:v>42295</x:v>
      </x:c>
      <x:c r="C7015" s="18" t="n">
        <x:v>2759</x:v>
      </x:c>
      <x:c r="D7015" s="18" t="n">
        <x:v>100056</x:v>
      </x:c>
      <x:c r="E7015" s="18" t="n">
        <x:v>36.57</x:v>
      </x:c>
      <x:c r="F7015" s="18" t="n">
        <x:v>8.09</x:v>
      </x:c>
      <x:c r="G7015" t="n">
        <x:v>36</x:v>
      </x:c>
      <x:c r="H7015" t="str">
        <x:v>C</x:v>
      </x:c>
      <x:c r="I7015" t="str">
        <x:v>10+ years</x:v>
      </x:c>
      <x:c r="J7015" t="str">
        <x:v>OWN</x:v>
      </x:c>
      <x:c r="K7015" t="str">
        <x:v>debt_consolidation</x:v>
      </x:c>
      <x:c r="L7015" t="n">
        <x:v>1</x:v>
      </x:c>
      <x:c r="M7015" t="n">
        <x:v>0</x:v>
      </x:c>
      <x:c r="N7015" t="str">
        <x:v>Fully Paid</x:v>
      </x:c>
      <x:c r="O7015" t="str">
        <x:f>IF(D7015="","Unknown",IF(D7015&lt;25000,"&lt;$25k",IF(D7015&lt;50000,"$25k-$50k",IF(D7015&lt;75000,"$50k-$75k",IF(D7015&lt;100000,"$75k-$100k","$100k+")))))</x:f>
        <x:v>$100k+</x:v>
      </x:c>
      <x:c r="P7015" t="str">
        <x:f>IF(E7015="","Unknown",IF(E7015&lt;10,"&lt;10",IF(E7015&lt;20,"10-&lt;20",IF(E7015&lt;25,"20-&lt;25",IF(E7015&lt;35,"25-&lt;35","35+")))))</x:f>
        <x:v>35+</x:v>
      </x:c>
    </x:row>
    <x:row r="7016">
      <x:c r="A7016" t="str">
        <x:v>SYN0007015</x:v>
      </x:c>
      <x:c r="B7016" s="12" t="n">
        <x:v>42955</x:v>
      </x:c>
      <x:c r="C7016" s="18" t="n">
        <x:v>6880</x:v>
      </x:c>
      <x:c r="D7016" s="18" t="n">
        <x:v>43559</x:v>
      </x:c>
      <x:c r="E7016" s="18" t="n">
        <x:v>25.96</x:v>
      </x:c>
      <x:c r="F7016" s="18" t="n">
        <x:v>10.96</x:v>
      </x:c>
      <x:c r="G7016" t="n">
        <x:v>36</x:v>
      </x:c>
      <x:c r="H7016" t="str">
        <x:v>B</x:v>
      </x:c>
      <x:c r="I7016" t="str">
        <x:v>10+ years</x:v>
      </x:c>
      <x:c r="J7016" t="str">
        <x:v>RENT</x:v>
      </x:c>
      <x:c r="K7016" t="str">
        <x:v>debt_consolidation</x:v>
      </x:c>
      <x:c r="L7016" t="n">
        <x:v>0</x:v>
      </x:c>
      <x:c r="M7016" t="n">
        <x:v>0</x:v>
      </x:c>
      <x:c r="N7016" t="str">
        <x:v>Fully Paid</x:v>
      </x:c>
      <x:c r="O7016" t="str">
        <x:f>IF(D7016="","Unknown",IF(D7016&lt;25000,"&lt;$25k",IF(D7016&lt;50000,"$25k-$50k",IF(D7016&lt;75000,"$50k-$75k",IF(D7016&lt;100000,"$75k-$100k","$100k+")))))</x:f>
        <x:v>$25k-$50k</x:v>
      </x:c>
      <x:c r="P7016" t="str">
        <x:f>IF(E7016="","Unknown",IF(E7016&lt;10,"&lt;10",IF(E7016&lt;20,"10-&lt;20",IF(E7016&lt;25,"20-&lt;25",IF(E7016&lt;35,"25-&lt;35","35+")))))</x:f>
        <x:v>25-&lt;35</x:v>
      </x:c>
    </x:row>
    <x:row r="7017">
      <x:c r="A7017" t="str">
        <x:v>SYN0007016</x:v>
      </x:c>
      <x:c r="B7017" s="12" t="n">
        <x:v>43315</x:v>
      </x:c>
      <x:c r="C7017" s="18" t="n">
        <x:v>7005</x:v>
      </x:c>
      <x:c r="D7017" s="18" t="n">
        <x:v>34460</x:v>
      </x:c>
      <x:c r="E7017" s="18" t="n">
        <x:v>26.55</x:v>
      </x:c>
      <x:c r="F7017" s="18" t="n">
        <x:v>21.4</x:v>
      </x:c>
      <x:c r="G7017" t="n">
        <x:v>60</x:v>
      </x:c>
      <x:c r="H7017" t="str">
        <x:v>F</x:v>
      </x:c>
      <x:c r="I7017" t="str">
        <x:v>&lt;1 year</x:v>
      </x:c>
      <x:c r="J7017" t="str">
        <x:v>MORTGAGE</x:v>
      </x:c>
      <x:c r="K7017" t="str">
        <x:v>credit_card</x:v>
      </x:c>
      <x:c r="L7017" t="n">
        <x:v>2</x:v>
      </x:c>
      <x:c r="M7017" t="n">
        <x:v>0</x:v>
      </x:c>
      <x:c r="N7017" t="str">
        <x:v>Fully Paid</x:v>
      </x:c>
      <x:c r="O7017" t="str">
        <x:f>IF(D7017="","Unknown",IF(D7017&lt;25000,"&lt;$25k",IF(D7017&lt;50000,"$25k-$50k",IF(D7017&lt;75000,"$50k-$75k",IF(D7017&lt;100000,"$75k-$100k","$100k+")))))</x:f>
        <x:v>$25k-$50k</x:v>
      </x:c>
      <x:c r="P7017" t="str">
        <x:f>IF(E7017="","Unknown",IF(E7017&lt;10,"&lt;10",IF(E7017&lt;20,"10-&lt;20",IF(E7017&lt;25,"20-&lt;25",IF(E7017&lt;35,"25-&lt;35","35+")))))</x:f>
        <x:v>25-&lt;35</x:v>
      </x:c>
    </x:row>
    <x:row r="7018">
      <x:c r="A7018" t="str">
        <x:v>SYN0007017</x:v>
      </x:c>
      <x:c r="B7018" s="12" t="n">
        <x:v>43285</x:v>
      </x:c>
      <x:c r="C7018" s="18" t="n">
        <x:v>6346</x:v>
      </x:c>
      <x:c r="D7018" s="18" t="n">
        <x:v>58833</x:v>
      </x:c>
      <x:c r="E7018" s="18" t="n">
        <x:v>27.24</x:v>
      </x:c>
      <x:c r="F7018" s="18" t="n">
        <x:v>14.19</x:v>
      </x:c>
      <x:c r="G7018" t="n">
        <x:v>36</x:v>
      </x:c>
      <x:c r="H7018" t="str">
        <x:v>D</x:v>
      </x:c>
      <x:c r="I7018" t="str">
        <x:v>10+ years</x:v>
      </x:c>
      <x:c r="J7018" t="str">
        <x:v>RENT</x:v>
      </x:c>
      <x:c r="K7018" t="str">
        <x:v>credit_card</x:v>
      </x:c>
      <x:c r="L7018" t="n">
        <x:v>0</x:v>
      </x:c>
      <x:c r="M7018" t="n">
        <x:v>0</x:v>
      </x:c>
      <x:c r="N7018" t="str">
        <x:v>Fully Paid</x:v>
      </x:c>
      <x:c r="O7018" t="str">
        <x:f>IF(D7018="","Unknown",IF(D7018&lt;25000,"&lt;$25k",IF(D7018&lt;50000,"$25k-$50k",IF(D7018&lt;75000,"$50k-$75k",IF(D7018&lt;100000,"$75k-$100k","$100k+")))))</x:f>
        <x:v>$50k-$75k</x:v>
      </x:c>
      <x:c r="P7018" t="str">
        <x:f>IF(E7018="","Unknown",IF(E7018&lt;10,"&lt;10",IF(E7018&lt;20,"10-&lt;20",IF(E7018&lt;25,"20-&lt;25",IF(E7018&lt;35,"25-&lt;35","35+")))))</x:f>
        <x:v>25-&lt;35</x:v>
      </x:c>
    </x:row>
    <x:row r="7019">
      <x:c r="A7019" t="str">
        <x:v>SYN0007018</x:v>
      </x:c>
      <x:c r="B7019" s="12" t="n">
        <x:v>42355</x:v>
      </x:c>
      <x:c r="C7019" s="18" t="n">
        <x:v>8292</x:v>
      </x:c>
      <x:c r="D7019" s="18" t="n">
        <x:v>133226</x:v>
      </x:c>
      <x:c r="E7019" s="18" t="n">
        <x:v>27.05</x:v>
      </x:c>
      <x:c r="F7019" s="18" t="n">
        <x:v>11.39</x:v>
      </x:c>
      <x:c r="G7019" t="n">
        <x:v>36</x:v>
      </x:c>
      <x:c r="H7019" t="str">
        <x:v>C</x:v>
      </x:c>
      <x:c r="I7019" t="str">
        <x:v>10+ years</x:v>
      </x:c>
      <x:c r="J7019" t="str">
        <x:v>RENT</x:v>
      </x:c>
      <x:c r="K7019" t="str">
        <x:v>debt_consolidation</x:v>
      </x:c>
      <x:c r="L7019" t="n">
        <x:v>1</x:v>
      </x:c>
      <x:c r="M7019" t="n">
        <x:v>0</x:v>
      </x:c>
      <x:c r="N7019" t="str">
        <x:v>Fully Paid</x:v>
      </x:c>
      <x:c r="O7019" t="str">
        <x:f>IF(D7019="","Unknown",IF(D7019&lt;25000,"&lt;$25k",IF(D7019&lt;50000,"$25k-$50k",IF(D7019&lt;75000,"$50k-$75k",IF(D7019&lt;100000,"$75k-$100k","$100k+")))))</x:f>
        <x:v>$100k+</x:v>
      </x:c>
      <x:c r="P7019" t="str">
        <x:f>IF(E7019="","Unknown",IF(E7019&lt;10,"&lt;10",IF(E7019&lt;20,"10-&lt;20",IF(E7019&lt;25,"20-&lt;25",IF(E7019&lt;35,"25-&lt;35","35+")))))</x:f>
        <x:v>25-&lt;35</x:v>
      </x:c>
    </x:row>
    <x:row r="7020">
      <x:c r="A7020" t="str">
        <x:v>SYN0007019</x:v>
      </x:c>
      <x:c r="B7020" s="12" t="n">
        <x:v>43105</x:v>
      </x:c>
      <x:c r="C7020" s="18" t="n">
        <x:v>12073</x:v>
      </x:c>
      <x:c r="D7020" s="18" t="n">
        <x:v>62412</x:v>
      </x:c>
      <x:c r="E7020" s="18" t="n">
        <x:v>27.04</x:v>
      </x:c>
      <x:c r="F7020" s="18" t="n">
        <x:v>7.91</x:v>
      </x:c>
      <x:c r="G7020" t="n">
        <x:v>60</x:v>
      </x:c>
      <x:c r="H7020" t="str">
        <x:v>A</x:v>
      </x:c>
      <x:c r="I7020" t="str">
        <x:v>10+ years</x:v>
      </x:c>
      <x:c r="J7020" t="str">
        <x:v>OWN</x:v>
      </x:c>
      <x:c r="K7020" t="str">
        <x:v>debt_consolidation</x:v>
      </x:c>
      <x:c r="L7020" t="n">
        <x:v>0</x:v>
      </x:c>
      <x:c r="M7020" t="n">
        <x:v>0</x:v>
      </x:c>
      <x:c r="N7020" t="str">
        <x:v>Fully Paid</x:v>
      </x:c>
      <x:c r="O7020" t="str">
        <x:f>IF(D7020="","Unknown",IF(D7020&lt;25000,"&lt;$25k",IF(D7020&lt;50000,"$25k-$50k",IF(D7020&lt;75000,"$50k-$75k",IF(D7020&lt;100000,"$75k-$100k","$100k+")))))</x:f>
        <x:v>$50k-$75k</x:v>
      </x:c>
      <x:c r="P7020" t="str">
        <x:f>IF(E7020="","Unknown",IF(E7020&lt;10,"&lt;10",IF(E7020&lt;20,"10-&lt;20",IF(E7020&lt;25,"20-&lt;25",IF(E7020&lt;35,"25-&lt;35","35+")))))</x:f>
        <x:v>25-&lt;35</x:v>
      </x:c>
    </x:row>
    <x:row r="7021">
      <x:c r="A7021" t="str">
        <x:v>SYN0007020</x:v>
      </x:c>
      <x:c r="B7021" s="12" t="n">
        <x:v>42535</x:v>
      </x:c>
      <x:c r="C7021" s="18" t="n">
        <x:v>13864</x:v>
      </x:c>
      <x:c r="D7021" s="18" t="n">
        <x:v>42762</x:v>
      </x:c>
      <x:c r="E7021" s="18" t="n">
        <x:v>28.05</x:v>
      </x:c>
      <x:c r="F7021" s="18" t="n">
        <x:v>19.74</x:v>
      </x:c>
      <x:c r="G7021" t="n">
        <x:v>60</x:v>
      </x:c>
      <x:c r="H7021" t="str">
        <x:v>E</x:v>
      </x:c>
      <x:c r="I7021" t="str">
        <x:v>10+ years</x:v>
      </x:c>
      <x:c r="J7021" t="str">
        <x:v>RENT</x:v>
      </x:c>
      <x:c r="K7021" t="str">
        <x:v>home_improvement</x:v>
      </x:c>
      <x:c r="L7021" t="n">
        <x:v>0</x:v>
      </x:c>
      <x:c r="M7021" t="n">
        <x:v>0</x:v>
      </x:c>
      <x:c r="N7021" t="str">
        <x:v>Fully Paid</x:v>
      </x:c>
      <x:c r="O7021" t="str">
        <x:f>IF(D7021="","Unknown",IF(D7021&lt;25000,"&lt;$25k",IF(D7021&lt;50000,"$25k-$50k",IF(D7021&lt;75000,"$50k-$75k",IF(D7021&lt;100000,"$75k-$100k","$100k+")))))</x:f>
        <x:v>$25k-$50k</x:v>
      </x:c>
      <x:c r="P7021" t="str">
        <x:f>IF(E7021="","Unknown",IF(E7021&lt;10,"&lt;10",IF(E7021&lt;20,"10-&lt;20",IF(E7021&lt;25,"20-&lt;25",IF(E7021&lt;35,"25-&lt;35","35+")))))</x:f>
        <x:v>25-&lt;35</x:v>
      </x:c>
    </x:row>
    <x:row r="7022">
      <x:c r="A7022" t="str">
        <x:v>SYN0007021</x:v>
      </x:c>
      <x:c r="B7022" s="12" t="n">
        <x:v>41815</x:v>
      </x:c>
      <x:c r="C7022" s="18" t="n">
        <x:v>21898</x:v>
      </x:c>
      <x:c r="D7022" s="18" t="n">
        <x:v>22467</x:v>
      </x:c>
      <x:c r="E7022" s="18" t="n">
        <x:v>29.41</x:v>
      </x:c>
      <x:c r="F7022" s="18" t="n">
        <x:v>7.01</x:v>
      </x:c>
      <x:c r="G7022" t="n">
        <x:v>36</x:v>
      </x:c>
      <x:c r="H7022" t="str">
        <x:v>B</x:v>
      </x:c>
      <x:c r="I7022" t="str">
        <x:v>10+ years</x:v>
      </x:c>
      <x:c r="J7022" t="str">
        <x:v>MORTGAGE</x:v>
      </x:c>
      <x:c r="K7022" t="str">
        <x:v>medical</x:v>
      </x:c>
      <x:c r="L7022" t="n">
        <x:v>1</x:v>
      </x:c>
      <x:c r="M7022" t="n">
        <x:v>0</x:v>
      </x:c>
      <x:c r="N7022" t="str">
        <x:v>Fully Paid</x:v>
      </x:c>
      <x:c r="O7022" t="str">
        <x:f>IF(D7022="","Unknown",IF(D7022&lt;25000,"&lt;$25k",IF(D7022&lt;50000,"$25k-$50k",IF(D7022&lt;75000,"$50k-$75k",IF(D7022&lt;100000,"$75k-$100k","$100k+")))))</x:f>
        <x:v>&lt;$25k</x:v>
      </x:c>
      <x:c r="P7022" t="str">
        <x:f>IF(E7022="","Unknown",IF(E7022&lt;10,"&lt;10",IF(E7022&lt;20,"10-&lt;20",IF(E7022&lt;25,"20-&lt;25",IF(E7022&lt;35,"25-&lt;35","35+")))))</x:f>
        <x:v>25-&lt;35</x:v>
      </x:c>
    </x:row>
    <x:row r="7023">
      <x:c r="A7023" t="str">
        <x:v>SYN0007022</x:v>
      </x:c>
      <x:c r="B7023" s="12" t="n">
        <x:v>41365</x:v>
      </x:c>
      <x:c r="C7023" s="18" t="n">
        <x:v>15644</x:v>
      </x:c>
      <x:c r="D7023" s="18" t="n">
        <x:v>100209</x:v>
      </x:c>
      <x:c r="E7023" s="18" t="n">
        <x:v>16.35</x:v>
      </x:c>
      <x:c r="F7023" s="18" t="n">
        <x:v>17.94</x:v>
      </x:c>
      <x:c r="G7023" t="n">
        <x:v>36</x:v>
      </x:c>
      <x:c r="H7023" t="str">
        <x:v>E</x:v>
      </x:c>
      <x:c r="I7023" t="str">
        <x:v>10+ years</x:v>
      </x:c>
      <x:c r="J7023" t="str">
        <x:v>RENT</x:v>
      </x:c>
      <x:c r="K7023" t="str">
        <x:v>debt_consolidation</x:v>
      </x:c>
      <x:c r="L7023" t="n">
        <x:v>0</x:v>
      </x:c>
      <x:c r="M7023" t="n">
        <x:v>0</x:v>
      </x:c>
      <x:c r="N7023" t="str">
        <x:v>Fully Paid</x:v>
      </x:c>
      <x:c r="O7023" t="str">
        <x:f>IF(D7023="","Unknown",IF(D7023&lt;25000,"&lt;$25k",IF(D7023&lt;50000,"$25k-$50k",IF(D7023&lt;75000,"$50k-$75k",IF(D7023&lt;100000,"$75k-$100k","$100k+")))))</x:f>
        <x:v>$100k+</x:v>
      </x:c>
      <x:c r="P7023" t="str">
        <x:f>IF(E7023="","Unknown",IF(E7023&lt;10,"&lt;10",IF(E7023&lt;20,"10-&lt;20",IF(E7023&lt;25,"20-&lt;25",IF(E7023&lt;35,"25-&lt;35","35+")))))</x:f>
        <x:v>10-&lt;20</x:v>
      </x:c>
    </x:row>
    <x:row r="7024">
      <x:c r="A7024" t="str">
        <x:v>SYN0007023</x:v>
      </x:c>
      <x:c r="B7024" s="12" t="n">
        <x:v>41305</x:v>
      </x:c>
      <x:c r="C7024" s="18" t="n">
        <x:v>5884</x:v>
      </x:c>
      <x:c r="D7024" s="18" t="n">
        <x:v>56130</x:v>
      </x:c>
      <x:c r="E7024" s="18" t="n">
        <x:v>29.22</x:v>
      </x:c>
      <x:c r="F7024" s="18" t="n">
        <x:v>17.81</x:v>
      </x:c>
      <x:c r="G7024" t="n">
        <x:v>60</x:v>
      </x:c>
      <x:c r="H7024" t="str">
        <x:v>E</x:v>
      </x:c>
      <x:c r="I7024" t="str">
        <x:v>&lt;1 year</x:v>
      </x:c>
      <x:c r="J7024" t="str">
        <x:v>MORTGAGE</x:v>
      </x:c>
      <x:c r="K7024" t="str">
        <x:v>debt_consolidation</x:v>
      </x:c>
      <x:c r="L7024" t="n">
        <x:v>2</x:v>
      </x:c>
      <x:c r="M7024" t="n">
        <x:v>0</x:v>
      </x:c>
      <x:c r="N7024" t="str">
        <x:v>Fully Paid</x:v>
      </x:c>
      <x:c r="O7024" t="str">
        <x:f>IF(D7024="","Unknown",IF(D7024&lt;25000,"&lt;$25k",IF(D7024&lt;50000,"$25k-$50k",IF(D7024&lt;75000,"$50k-$75k",IF(D7024&lt;100000,"$75k-$100k","$100k+")))))</x:f>
        <x:v>$50k-$75k</x:v>
      </x:c>
      <x:c r="P7024" t="str">
        <x:f>IF(E7024="","Unknown",IF(E7024&lt;10,"&lt;10",IF(E7024&lt;20,"10-&lt;20",IF(E7024&lt;25,"20-&lt;25",IF(E7024&lt;35,"25-&lt;35","35+")))))</x:f>
        <x:v>25-&lt;35</x:v>
      </x:c>
    </x:row>
    <x:row r="7025">
      <x:c r="A7025" t="str">
        <x:v>SYN0007024</x:v>
      </x:c>
      <x:c r="B7025" s="12" t="n">
        <x:v>43345</x:v>
      </x:c>
      <x:c r="C7025" s="18" t="n">
        <x:v>13059</x:v>
      </x:c>
      <x:c r="D7025" s="18" t="n">
        <x:v>26495</x:v>
      </x:c>
      <x:c r="E7025" s="18" t="n">
        <x:v>19.83</x:v>
      </x:c>
      <x:c r="F7025" s="18" t="n">
        <x:v>10.49</x:v>
      </x:c>
      <x:c r="G7025" t="n">
        <x:v>60</x:v>
      </x:c>
      <x:c r="H7025" t="str">
        <x:v>C</x:v>
      </x:c>
      <x:c r="I7025" t="str">
        <x:v>7-9 years</x:v>
      </x:c>
      <x:c r="J7025" t="str">
        <x:v>MORTGAGE</x:v>
      </x:c>
      <x:c r="K7025" t="str">
        <x:v>debt_consolidation</x:v>
      </x:c>
      <x:c r="L7025" t="n">
        <x:v>0</x:v>
      </x:c>
      <x:c r="M7025" t="n">
        <x:v>0</x:v>
      </x:c>
      <x:c r="N7025" t="str">
        <x:v>Fully Paid</x:v>
      </x:c>
      <x:c r="O7025" t="str">
        <x:f>IF(D7025="","Unknown",IF(D7025&lt;25000,"&lt;$25k",IF(D7025&lt;50000,"$25k-$50k",IF(D7025&lt;75000,"$50k-$75k",IF(D7025&lt;100000,"$75k-$100k","$100k+")))))</x:f>
        <x:v>$25k-$50k</x:v>
      </x:c>
      <x:c r="P7025" t="str">
        <x:f>IF(E7025="","Unknown",IF(E7025&lt;10,"&lt;10",IF(E7025&lt;20,"10-&lt;20",IF(E7025&lt;25,"20-&lt;25",IF(E7025&lt;35,"25-&lt;35","35+")))))</x:f>
        <x:v>10-&lt;20</x:v>
      </x:c>
    </x:row>
    <x:row r="7026">
      <x:c r="A7026" t="str">
        <x:v>SYN0007025</x:v>
      </x:c>
      <x:c r="B7026" s="12" t="n">
        <x:v>42295</x:v>
      </x:c>
      <x:c r="C7026" s="18" t="n">
        <x:v>10854</x:v>
      </x:c>
      <x:c r="D7026" s="18" t="n">
        <x:v>81057</x:v>
      </x:c>
      <x:c r="E7026" s="18" t="n">
        <x:v>15.51</x:v>
      </x:c>
      <x:c r="F7026" s="18" t="n">
        <x:v>16.89</x:v>
      </x:c>
      <x:c r="G7026" t="n">
        <x:v>60</x:v>
      </x:c>
      <x:c r="H7026" t="str">
        <x:v>D</x:v>
      </x:c>
      <x:c r="I7026" t="str">
        <x:v>1-3 years</x:v>
      </x:c>
      <x:c r="J7026" t="str">
        <x:v>MORTGAGE</x:v>
      </x:c>
      <x:c r="K7026" t="str">
        <x:v>debt_consolidation</x:v>
      </x:c>
      <x:c r="L7026" t="n">
        <x:v>1</x:v>
      </x:c>
      <x:c r="M7026" t="n">
        <x:v>0</x:v>
      </x:c>
      <x:c r="N7026" t="str">
        <x:v>Fully Paid</x:v>
      </x:c>
      <x:c r="O7026" t="str">
        <x:f>IF(D7026="","Unknown",IF(D7026&lt;25000,"&lt;$25k",IF(D7026&lt;50000,"$25k-$50k",IF(D7026&lt;75000,"$50k-$75k",IF(D7026&lt;100000,"$75k-$100k","$100k+")))))</x:f>
        <x:v>$75k-$100k</x:v>
      </x:c>
      <x:c r="P7026" t="str">
        <x:f>IF(E7026="","Unknown",IF(E7026&lt;10,"&lt;10",IF(E7026&lt;20,"10-&lt;20",IF(E7026&lt;25,"20-&lt;25",IF(E7026&lt;35,"25-&lt;35","35+")))))</x:f>
        <x:v>10-&lt;20</x:v>
      </x:c>
    </x:row>
    <x:row r="7027">
      <x:c r="A7027" t="str">
        <x:v>SYN0007026</x:v>
      </x:c>
      <x:c r="B7027" s="12" t="n">
        <x:v>41335</x:v>
      </x:c>
      <x:c r="C7027" s="18" t="n">
        <x:v>13680</x:v>
      </x:c>
      <x:c r="D7027" s="18" t="n">
        <x:v>33505</x:v>
      </x:c>
      <x:c r="E7027" s="18" t="n">
        <x:v>29.1</x:v>
      </x:c>
      <x:c r="F7027" s="18" t="n">
        <x:v>11.14</x:v>
      </x:c>
      <x:c r="G7027" t="n">
        <x:v>36</x:v>
      </x:c>
      <x:c r="H7027" t="str">
        <x:v>C</x:v>
      </x:c>
      <x:c r="I7027" t="str">
        <x:v>10+ years</x:v>
      </x:c>
      <x:c r="J7027" t="str">
        <x:v>OWN</x:v>
      </x:c>
      <x:c r="K7027" t="str">
        <x:v>credit_card</x:v>
      </x:c>
      <x:c r="L7027" t="n">
        <x:v>0</x:v>
      </x:c>
      <x:c r="M7027" t="n">
        <x:v>0</x:v>
      </x:c>
      <x:c r="N7027" t="str">
        <x:v>Fully Paid</x:v>
      </x:c>
      <x:c r="O7027" t="str">
        <x:f>IF(D7027="","Unknown",IF(D7027&lt;25000,"&lt;$25k",IF(D7027&lt;50000,"$25k-$50k",IF(D7027&lt;75000,"$50k-$75k",IF(D7027&lt;100000,"$75k-$100k","$100k+")))))</x:f>
        <x:v>$25k-$50k</x:v>
      </x:c>
      <x:c r="P7027" t="str">
        <x:f>IF(E7027="","Unknown",IF(E7027&lt;10,"&lt;10",IF(E7027&lt;20,"10-&lt;20",IF(E7027&lt;25,"20-&lt;25",IF(E7027&lt;35,"25-&lt;35","35+")))))</x:f>
        <x:v>25-&lt;35</x:v>
      </x:c>
    </x:row>
    <x:row r="7028">
      <x:c r="A7028" t="str">
        <x:v>SYN0007027</x:v>
      </x:c>
      <x:c r="B7028" s="12" t="n">
        <x:v>43105</x:v>
      </x:c>
      <x:c r="C7028" s="18" t="n">
        <x:v>8595</x:v>
      </x:c>
      <x:c r="D7028" s="18" t="n">
        <x:v>66677</x:v>
      </x:c>
      <x:c r="E7028" s="18" t="n">
        <x:v>23.75</x:v>
      </x:c>
      <x:c r="F7028" s="18" t="n">
        <x:v>18.25</x:v>
      </x:c>
      <x:c r="G7028" t="n">
        <x:v>36</x:v>
      </x:c>
      <x:c r="H7028" t="str">
        <x:v>E</x:v>
      </x:c>
      <x:c r="I7028" t="str">
        <x:v>4-6 years</x:v>
      </x:c>
      <x:c r="J7028" t="str">
        <x:v>MORTGAGE</x:v>
      </x:c>
      <x:c r="K7028" t="str">
        <x:v>debt_consolidation</x:v>
      </x:c>
      <x:c r="L7028" t="n">
        <x:v>1</x:v>
      </x:c>
      <x:c r="M7028" t="n">
        <x:v>0</x:v>
      </x:c>
      <x:c r="N7028" t="str">
        <x:v>Fully Paid</x:v>
      </x:c>
      <x:c r="O7028" t="str">
        <x:f>IF(D7028="","Unknown",IF(D7028&lt;25000,"&lt;$25k",IF(D7028&lt;50000,"$25k-$50k",IF(D7028&lt;75000,"$50k-$75k",IF(D7028&lt;100000,"$75k-$100k","$100k+")))))</x:f>
        <x:v>$50k-$75k</x:v>
      </x:c>
      <x:c r="P7028" t="str">
        <x:f>IF(E7028="","Unknown",IF(E7028&lt;10,"&lt;10",IF(E7028&lt;20,"10-&lt;20",IF(E7028&lt;25,"20-&lt;25",IF(E7028&lt;35,"25-&lt;35","35+")))))</x:f>
        <x:v>20-&lt;25</x:v>
      </x:c>
    </x:row>
    <x:row r="7029">
      <x:c r="A7029" t="str">
        <x:v>SYN0007028</x:v>
      </x:c>
      <x:c r="B7029" s="12" t="n">
        <x:v>41695</x:v>
      </x:c>
      <x:c r="C7029" s="18" t="n">
        <x:v>14863</x:v>
      </x:c>
      <x:c r="D7029" s="18" t="n">
        <x:v>56390</x:v>
      </x:c>
      <x:c r="E7029" s="18" t="n">
        <x:v>18.78</x:v>
      </x:c>
      <x:c r="F7029" s="18" t="n">
        <x:v>12.18</x:v>
      </x:c>
      <x:c r="G7029" t="n">
        <x:v>36</x:v>
      </x:c>
      <x:c r="H7029" t="str">
        <x:v>C</x:v>
      </x:c>
      <x:c r="I7029" t="str">
        <x:v>10+ years</x:v>
      </x:c>
      <x:c r="J7029" t="str">
        <x:v>MORTGAGE</x:v>
      </x:c>
      <x:c r="K7029" t="str">
        <x:v>home_improvement</x:v>
      </x:c>
      <x:c r="L7029" t="n">
        <x:v>1</x:v>
      </x:c>
      <x:c r="M7029" t="n">
        <x:v>0</x:v>
      </x:c>
      <x:c r="N7029" t="str">
        <x:v>Fully Paid</x:v>
      </x:c>
      <x:c r="O7029" t="str">
        <x:f>IF(D7029="","Unknown",IF(D7029&lt;25000,"&lt;$25k",IF(D7029&lt;50000,"$25k-$50k",IF(D7029&lt;75000,"$50k-$75k",IF(D7029&lt;100000,"$75k-$100k","$100k+")))))</x:f>
        <x:v>$50k-$75k</x:v>
      </x:c>
      <x:c r="P7029" t="str">
        <x:f>IF(E7029="","Unknown",IF(E7029&lt;10,"&lt;10",IF(E7029&lt;20,"10-&lt;20",IF(E7029&lt;25,"20-&lt;25",IF(E7029&lt;35,"25-&lt;35","35+")))))</x:f>
        <x:v>10-&lt;20</x:v>
      </x:c>
    </x:row>
    <x:row r="7030">
      <x:c r="A7030" t="str">
        <x:v>SYN0007029</x:v>
      </x:c>
      <x:c r="B7030" s="12" t="n">
        <x:v>42745</x:v>
      </x:c>
      <x:c r="C7030" s="18" t="n">
        <x:v>23234</x:v>
      </x:c>
      <x:c r="D7030" s="18" t="n">
        <x:v>182031</x:v>
      </x:c>
      <x:c r="E7030" s="18" t="n">
        <x:v>4.76</x:v>
      </x:c>
      <x:c r="F7030" s="18" t="n">
        <x:v>13.47</x:v>
      </x:c>
      <x:c r="G7030" t="n">
        <x:v>36</x:v>
      </x:c>
      <x:c r="H7030" t="str">
        <x:v>C</x:v>
      </x:c>
      <x:c r="I7030" t="str">
        <x:v>&lt;1 year</x:v>
      </x:c>
      <x:c r="J7030" t="str">
        <x:v>OTHER</x:v>
      </x:c>
      <x:c r="K7030" t="str">
        <x:v>debt_consolidation</x:v>
      </x:c>
      <x:c r="L7030" t="n">
        <x:v>0</x:v>
      </x:c>
      <x:c r="M7030" t="n">
        <x:v>0</x:v>
      </x:c>
      <x:c r="N7030" t="str">
        <x:v>Fully Paid</x:v>
      </x:c>
      <x:c r="O7030" t="str">
        <x:f>IF(D7030="","Unknown",IF(D7030&lt;25000,"&lt;$25k",IF(D7030&lt;50000,"$25k-$50k",IF(D7030&lt;75000,"$50k-$75k",IF(D7030&lt;100000,"$75k-$100k","$100k+")))))</x:f>
        <x:v>$100k+</x:v>
      </x:c>
      <x:c r="P7030" t="str">
        <x:f>IF(E7030="","Unknown",IF(E7030&lt;10,"&lt;10",IF(E7030&lt;20,"10-&lt;20",IF(E7030&lt;25,"20-&lt;25",IF(E7030&lt;35,"25-&lt;35","35+")))))</x:f>
        <x:v>&lt;10</x:v>
      </x:c>
    </x:row>
    <x:row r="7031">
      <x:c r="A7031" t="str">
        <x:v>SYN0007030</x:v>
      </x:c>
      <x:c r="B7031" s="12" t="n">
        <x:v>43255</x:v>
      </x:c>
      <x:c r="C7031" s="18" t="n">
        <x:v>8687</x:v>
      </x:c>
      <x:c r="D7031" s="18" t="n">
        <x:v>54389</x:v>
      </x:c>
      <x:c r="E7031" s="18" t="n">
        <x:v>4.11</x:v>
      </x:c>
      <x:c r="F7031" s="18" t="n">
        <x:v>16.24</x:v>
      </x:c>
      <x:c r="G7031" t="n">
        <x:v>60</x:v>
      </x:c>
      <x:c r="H7031" t="str">
        <x:v>D</x:v>
      </x:c>
      <x:c r="I7031" t="str">
        <x:v>7-9 years</x:v>
      </x:c>
      <x:c r="J7031" t="str">
        <x:v>OWN</x:v>
      </x:c>
      <x:c r="K7031" t="str">
        <x:v>major_purchase</x:v>
      </x:c>
      <x:c r="L7031" t="n">
        <x:v>1</x:v>
      </x:c>
      <x:c r="M7031" t="n">
        <x:v>0</x:v>
      </x:c>
      <x:c r="N7031" t="str">
        <x:v>Fully Paid</x:v>
      </x:c>
      <x:c r="O7031" t="str">
        <x:f>IF(D7031="","Unknown",IF(D7031&lt;25000,"&lt;$25k",IF(D7031&lt;50000,"$25k-$50k",IF(D7031&lt;75000,"$50k-$75k",IF(D7031&lt;100000,"$75k-$100k","$100k+")))))</x:f>
        <x:v>$50k-$75k</x:v>
      </x:c>
      <x:c r="P7031" t="str">
        <x:f>IF(E7031="","Unknown",IF(E7031&lt;10,"&lt;10",IF(E7031&lt;20,"10-&lt;20",IF(E7031&lt;25,"20-&lt;25",IF(E7031&lt;35,"25-&lt;35","35+")))))</x:f>
        <x:v>&lt;10</x:v>
      </x:c>
    </x:row>
    <x:row r="7032">
      <x:c r="A7032" t="str">
        <x:v>SYN0007031</x:v>
      </x:c>
      <x:c r="B7032" s="12" t="n">
        <x:v>41425</x:v>
      </x:c>
      <x:c r="C7032" s="18" t="n">
        <x:v>17455</x:v>
      </x:c>
      <x:c r="D7032" s="18" t="n">
        <x:v>39219</x:v>
      </x:c>
      <x:c r="E7032" s="18" t="n">
        <x:v>20.67</x:v>
      </x:c>
      <x:c r="F7032" s="18" t="n">
        <x:v>7.37</x:v>
      </x:c>
      <x:c r="G7032" t="n">
        <x:v>36</x:v>
      </x:c>
      <x:c r="H7032" t="str">
        <x:v>B</x:v>
      </x:c>
      <x:c r="I7032" t="str">
        <x:v>1-3 years</x:v>
      </x:c>
      <x:c r="J7032" t="str">
        <x:v>MORTGAGE</x:v>
      </x:c>
      <x:c r="K7032" t="str">
        <x:v>home_improvement</x:v>
      </x:c>
      <x:c r="L7032" t="n">
        <x:v>0</x:v>
      </x:c>
      <x:c r="M7032" t="n">
        <x:v>0</x:v>
      </x:c>
      <x:c r="N7032" t="str">
        <x:v>Fully Paid</x:v>
      </x:c>
      <x:c r="O7032" t="str">
        <x:f>IF(D7032="","Unknown",IF(D7032&lt;25000,"&lt;$25k",IF(D7032&lt;50000,"$25k-$50k",IF(D7032&lt;75000,"$50k-$75k",IF(D7032&lt;100000,"$75k-$100k","$100k+")))))</x:f>
        <x:v>$25k-$50k</x:v>
      </x:c>
      <x:c r="P7032" t="str">
        <x:f>IF(E7032="","Unknown",IF(E7032&lt;10,"&lt;10",IF(E7032&lt;20,"10-&lt;20",IF(E7032&lt;25,"20-&lt;25",IF(E7032&lt;35,"25-&lt;35","35+")))))</x:f>
        <x:v>20-&lt;25</x:v>
      </x:c>
    </x:row>
    <x:row r="7033">
      <x:c r="A7033" t="str">
        <x:v>SYN0007032</x:v>
      </x:c>
      <x:c r="B7033" s="12" t="n">
        <x:v>42685</x:v>
      </x:c>
      <x:c r="C7033" s="18" t="n">
        <x:v>16705</x:v>
      </x:c>
      <x:c r="D7033" s="18" t="n">
        <x:v>67593</x:v>
      </x:c>
      <x:c r="E7033" s="18" t="n">
        <x:v>20.69</x:v>
      </x:c>
      <x:c r="F7033" s="18" t="n">
        <x:v>13.85</x:v>
      </x:c>
      <x:c r="G7033" t="n">
        <x:v>36</x:v>
      </x:c>
      <x:c r="H7033" t="str">
        <x:v>D</x:v>
      </x:c>
      <x:c r="I7033" t="str">
        <x:v>4-6 years</x:v>
      </x:c>
      <x:c r="J7033" t="str">
        <x:v>RENT</x:v>
      </x:c>
      <x:c r="K7033" t="str">
        <x:v>credit_card</x:v>
      </x:c>
      <x:c r="L7033" t="n">
        <x:v>0</x:v>
      </x:c>
      <x:c r="M7033" t="n">
        <x:v>0</x:v>
      </x:c>
      <x:c r="N7033" t="str">
        <x:v>Fully Paid</x:v>
      </x:c>
      <x:c r="O7033" t="str">
        <x:f>IF(D7033="","Unknown",IF(D7033&lt;25000,"&lt;$25k",IF(D7033&lt;50000,"$25k-$50k",IF(D7033&lt;75000,"$50k-$75k",IF(D7033&lt;100000,"$75k-$100k","$100k+")))))</x:f>
        <x:v>$50k-$75k</x:v>
      </x:c>
      <x:c r="P7033" t="str">
        <x:f>IF(E7033="","Unknown",IF(E7033&lt;10,"&lt;10",IF(E7033&lt;20,"10-&lt;20",IF(E7033&lt;25,"20-&lt;25",IF(E7033&lt;35,"25-&lt;35","35+")))))</x:f>
        <x:v>20-&lt;25</x:v>
      </x:c>
    </x:row>
    <x:row r="7034">
      <x:c r="A7034" t="str">
        <x:v>SYN0007033</x:v>
      </x:c>
      <x:c r="B7034" s="12" t="n">
        <x:v>42205</x:v>
      </x:c>
      <x:c r="C7034" s="18" t="n">
        <x:v>9079</x:v>
      </x:c>
      <x:c r="D7034" s="18" t="n">
        <x:v>33694</x:v>
      </x:c>
      <x:c r="E7034" s="18" t="n">
        <x:v>17.19</x:v>
      </x:c>
      <x:c r="F7034" s="18" t="n">
        <x:v>10.9</x:v>
      </x:c>
      <x:c r="G7034" t="n">
        <x:v>36</x:v>
      </x:c>
      <x:c r="H7034" t="str">
        <x:v>B</x:v>
      </x:c>
      <x:c r="I7034" t="str">
        <x:v>1-3 years</x:v>
      </x:c>
      <x:c r="J7034" t="str">
        <x:v>RENT</x:v>
      </x:c>
      <x:c r="K7034" t="str">
        <x:v>debt_consolidation</x:v>
      </x:c>
      <x:c r="L7034" t="n">
        <x:v>1</x:v>
      </x:c>
      <x:c r="M7034" t="n">
        <x:v>0</x:v>
      </x:c>
      <x:c r="N7034" t="str">
        <x:v>Fully Paid</x:v>
      </x:c>
      <x:c r="O7034" t="str">
        <x:f>IF(D7034="","Unknown",IF(D7034&lt;25000,"&lt;$25k",IF(D7034&lt;50000,"$25k-$50k",IF(D7034&lt;75000,"$50k-$75k",IF(D7034&lt;100000,"$75k-$100k","$100k+")))))</x:f>
        <x:v>$25k-$50k</x:v>
      </x:c>
      <x:c r="P7034" t="str">
        <x:f>IF(E7034="","Unknown",IF(E7034&lt;10,"&lt;10",IF(E7034&lt;20,"10-&lt;20",IF(E7034&lt;25,"20-&lt;25",IF(E7034&lt;35,"25-&lt;35","35+")))))</x:f>
        <x:v>10-&lt;20</x:v>
      </x:c>
    </x:row>
    <x:row r="7035">
      <x:c r="A7035" t="str">
        <x:v>SYN0007034</x:v>
      </x:c>
      <x:c r="B7035" s="12" t="n">
        <x:v>41845</x:v>
      </x:c>
      <x:c r="C7035" s="18" t="n">
        <x:v>9856</x:v>
      </x:c>
      <x:c r="D7035" s="18" t="n">
        <x:v>67505</x:v>
      </x:c>
      <x:c r="E7035" s="18" t="n">
        <x:v>26.07</x:v>
      </x:c>
      <x:c r="F7035" s="18" t="n">
        <x:v>13.54</x:v>
      </x:c>
      <x:c r="G7035" t="n">
        <x:v>36</x:v>
      </x:c>
      <x:c r="H7035" t="str">
        <x:v>D</x:v>
      </x:c>
      <x:c r="I7035" t="str">
        <x:v>1-3 years</x:v>
      </x:c>
      <x:c r="J7035" t="str">
        <x:v>MORTGAGE</x:v>
      </x:c>
      <x:c r="K7035" t="str">
        <x:v>debt_consolidation</x:v>
      </x:c>
      <x:c r="L7035" t="n">
        <x:v>0</x:v>
      </x:c>
      <x:c r="M7035" t="n">
        <x:v>0</x:v>
      </x:c>
      <x:c r="N7035" t="str">
        <x:v>Fully Paid</x:v>
      </x:c>
      <x:c r="O7035" t="str">
        <x:f>IF(D7035="","Unknown",IF(D7035&lt;25000,"&lt;$25k",IF(D7035&lt;50000,"$25k-$50k",IF(D7035&lt;75000,"$50k-$75k",IF(D7035&lt;100000,"$75k-$100k","$100k+")))))</x:f>
        <x:v>$50k-$75k</x:v>
      </x:c>
      <x:c r="P7035" t="str">
        <x:f>IF(E7035="","Unknown",IF(E7035&lt;10,"&lt;10",IF(E7035&lt;20,"10-&lt;20",IF(E7035&lt;25,"20-&lt;25",IF(E7035&lt;35,"25-&lt;35","35+")))))</x:f>
        <x:v>25-&lt;35</x:v>
      </x:c>
    </x:row>
    <x:row r="7036">
      <x:c r="A7036" t="str">
        <x:v>SYN0007035</x:v>
      </x:c>
      <x:c r="B7036" s="12" t="n">
        <x:v>43135</x:v>
      </x:c>
      <x:c r="C7036" s="18" t="n">
        <x:v>22218</x:v>
      </x:c>
      <x:c r="D7036" s="18" t="n">
        <x:v>19482</x:v>
      </x:c>
      <x:c r="E7036" s="18" t="n">
        <x:v>13.92</x:v>
      </x:c>
      <x:c r="F7036" s="18" t="n">
        <x:v>6.18</x:v>
      </x:c>
      <x:c r="G7036" t="n">
        <x:v>36</x:v>
      </x:c>
      <x:c r="H7036" t="str">
        <x:v>C</x:v>
      </x:c>
      <x:c r="I7036" t="str">
        <x:v>&lt;1 year</x:v>
      </x:c>
      <x:c r="J7036" t="str">
        <x:v>MORTGAGE</x:v>
      </x:c>
      <x:c r="K7036" t="str">
        <x:v>major_purchase</x:v>
      </x:c>
      <x:c r="L7036" t="n">
        <x:v>0</x:v>
      </x:c>
      <x:c r="M7036" t="n">
        <x:v>0</x:v>
      </x:c>
      <x:c r="N7036" t="str">
        <x:v>Fully Paid</x:v>
      </x:c>
      <x:c r="O7036" t="str">
        <x:f>IF(D7036="","Unknown",IF(D7036&lt;25000,"&lt;$25k",IF(D7036&lt;50000,"$25k-$50k",IF(D7036&lt;75000,"$50k-$75k",IF(D7036&lt;100000,"$75k-$100k","$100k+")))))</x:f>
        <x:v>&lt;$25k</x:v>
      </x:c>
      <x:c r="P7036" t="str">
        <x:f>IF(E7036="","Unknown",IF(E7036&lt;10,"&lt;10",IF(E7036&lt;20,"10-&lt;20",IF(E7036&lt;25,"20-&lt;25",IF(E7036&lt;35,"25-&lt;35","35+")))))</x:f>
        <x:v>10-&lt;20</x:v>
      </x:c>
    </x:row>
    <x:row r="7037">
      <x:c r="A7037" t="str">
        <x:v>SYN0007036</x:v>
      </x:c>
      <x:c r="B7037" s="12" t="n">
        <x:v>43285</x:v>
      </x:c>
      <x:c r="C7037" s="18" t="n">
        <x:v>21434</x:v>
      </x:c>
      <x:c r="D7037" s="18" t="n">
        <x:v>41560</x:v>
      </x:c>
      <x:c r="E7037" s="18" t="n">
        <x:v>26.29</x:v>
      </x:c>
      <x:c r="F7037" s="18" t="n">
        <x:v>10.74</x:v>
      </x:c>
      <x:c r="G7037" t="n">
        <x:v>36</x:v>
      </x:c>
      <x:c r="H7037" t="str">
        <x:v>C</x:v>
      </x:c>
      <x:c r="I7037" t="str">
        <x:v>4-6 years</x:v>
      </x:c>
      <x:c r="J7037" t="str">
        <x:v>RENT</x:v>
      </x:c>
      <x:c r="K7037" t="str">
        <x:v>debt_consolidation</x:v>
      </x:c>
      <x:c r="L7037" t="n">
        <x:v>0</x:v>
      </x:c>
      <x:c r="M7037" t="n">
        <x:v>0</x:v>
      </x:c>
      <x:c r="N7037" t="str">
        <x:v>Fully Paid</x:v>
      </x:c>
      <x:c r="O7037" t="str">
        <x:f>IF(D7037="","Unknown",IF(D7037&lt;25000,"&lt;$25k",IF(D7037&lt;50000,"$25k-$50k",IF(D7037&lt;75000,"$50k-$75k",IF(D7037&lt;100000,"$75k-$100k","$100k+")))))</x:f>
        <x:v>$25k-$50k</x:v>
      </x:c>
      <x:c r="P7037" t="str">
        <x:f>IF(E7037="","Unknown",IF(E7037&lt;10,"&lt;10",IF(E7037&lt;20,"10-&lt;20",IF(E7037&lt;25,"20-&lt;25",IF(E7037&lt;35,"25-&lt;35","35+")))))</x:f>
        <x:v>25-&lt;35</x:v>
      </x:c>
    </x:row>
    <x:row r="7038">
      <x:c r="A7038" t="str">
        <x:v>SYN0007037</x:v>
      </x:c>
      <x:c r="B7038" s="12" t="n">
        <x:v>42685</x:v>
      </x:c>
      <x:c r="C7038" s="18" t="n">
        <x:v>10290</x:v>
      </x:c>
      <x:c r="D7038" s="18" t="n">
        <x:v>29083</x:v>
      </x:c>
      <x:c r="E7038" s="18" t="n">
        <x:v>13.76</x:v>
      </x:c>
      <x:c r="F7038" s="18" t="n">
        <x:v>7.27</x:v>
      </x:c>
      <x:c r="G7038" t="n">
        <x:v>36</x:v>
      </x:c>
      <x:c r="H7038" t="str">
        <x:v>B</x:v>
      </x:c>
      <x:c r="I7038" t="str">
        <x:v>4-6 years</x:v>
      </x:c>
      <x:c r="J7038" t="str">
        <x:v>RENT</x:v>
      </x:c>
      <x:c r="K7038" t="str">
        <x:v>major_purchase</x:v>
      </x:c>
      <x:c r="L7038" t="n">
        <x:v>1</x:v>
      </x:c>
      <x:c r="M7038" t="n">
        <x:v>0</x:v>
      </x:c>
      <x:c r="N7038" t="str">
        <x:v>Fully Paid</x:v>
      </x:c>
      <x:c r="O7038" t="str">
        <x:f>IF(D7038="","Unknown",IF(D7038&lt;25000,"&lt;$25k",IF(D7038&lt;50000,"$25k-$50k",IF(D7038&lt;75000,"$50k-$75k",IF(D7038&lt;100000,"$75k-$100k","$100k+")))))</x:f>
        <x:v>$25k-$50k</x:v>
      </x:c>
      <x:c r="P7038" t="str">
        <x:f>IF(E7038="","Unknown",IF(E7038&lt;10,"&lt;10",IF(E7038&lt;20,"10-&lt;20",IF(E7038&lt;25,"20-&lt;25",IF(E7038&lt;35,"25-&lt;35","35+")))))</x:f>
        <x:v>10-&lt;20</x:v>
      </x:c>
    </x:row>
    <x:row r="7039">
      <x:c r="A7039" t="str">
        <x:v>SYN0007038</x:v>
      </x:c>
      <x:c r="B7039" s="12" t="n">
        <x:v>41515</x:v>
      </x:c>
      <x:c r="C7039" s="18" t="n">
        <x:v>28050</x:v>
      </x:c>
      <x:c r="D7039" s="18" t="n">
        <x:v>81517</x:v>
      </x:c>
      <x:c r="E7039" s="18" t="n">
        <x:v>7.45</x:v>
      </x:c>
      <x:c r="F7039" s="18" t="n">
        <x:v>8.95</x:v>
      </x:c>
      <x:c r="G7039" t="n">
        <x:v>36</x:v>
      </x:c>
      <x:c r="H7039" t="str">
        <x:v>C</x:v>
      </x:c>
      <x:c r="I7039" t="str">
        <x:v>&lt;1 year</x:v>
      </x:c>
      <x:c r="J7039" t="str">
        <x:v>MORTGAGE</x:v>
      </x:c>
      <x:c r="K7039" t="str">
        <x:v>debt_consolidation</x:v>
      </x:c>
      <x:c r="L7039" t="n">
        <x:v>0</x:v>
      </x:c>
      <x:c r="M7039" t="n">
        <x:v>0</x:v>
      </x:c>
      <x:c r="N7039" t="str">
        <x:v>Fully Paid</x:v>
      </x:c>
      <x:c r="O7039" t="str">
        <x:f>IF(D7039="","Unknown",IF(D7039&lt;25000,"&lt;$25k",IF(D7039&lt;50000,"$25k-$50k",IF(D7039&lt;75000,"$50k-$75k",IF(D7039&lt;100000,"$75k-$100k","$100k+")))))</x:f>
        <x:v>$75k-$100k</x:v>
      </x:c>
      <x:c r="P7039" t="str">
        <x:f>IF(E7039="","Unknown",IF(E7039&lt;10,"&lt;10",IF(E7039&lt;20,"10-&lt;20",IF(E7039&lt;25,"20-&lt;25",IF(E7039&lt;35,"25-&lt;35","35+")))))</x:f>
        <x:v>&lt;10</x:v>
      </x:c>
    </x:row>
    <x:row r="7040">
      <x:c r="A7040" t="str">
        <x:v>SYN0007039</x:v>
      </x:c>
      <x:c r="B7040" s="12" t="n">
        <x:v>42985</x:v>
      </x:c>
      <x:c r="C7040" s="18" t="n">
        <x:v>27209</x:v>
      </x:c>
      <x:c r="D7040" s="18" t="n">
        <x:v>32679</x:v>
      </x:c>
      <x:c r="E7040" s="18" t="n">
        <x:v>18.54</x:v>
      </x:c>
      <x:c r="F7040" s="18" t="n">
        <x:v>11.79</x:v>
      </x:c>
      <x:c r="G7040" t="n">
        <x:v>60</x:v>
      </x:c>
      <x:c r="H7040" t="str">
        <x:v>C</x:v>
      </x:c>
      <x:c r="I7040" t="str">
        <x:v>4-6 years</x:v>
      </x:c>
      <x:c r="J7040" t="str">
        <x:v>MORTGAGE</x:v>
      </x:c>
      <x:c r="K7040" t="str">
        <x:v>debt_consolidation</x:v>
      </x:c>
      <x:c r="L7040" t="n">
        <x:v>1</x:v>
      </x:c>
      <x:c r="M7040" t="n">
        <x:v>0</x:v>
      </x:c>
      <x:c r="N7040" t="str">
        <x:v>Fully Paid</x:v>
      </x:c>
      <x:c r="O7040" t="str">
        <x:f>IF(D7040="","Unknown",IF(D7040&lt;25000,"&lt;$25k",IF(D7040&lt;50000,"$25k-$50k",IF(D7040&lt;75000,"$50k-$75k",IF(D7040&lt;100000,"$75k-$100k","$100k+")))))</x:f>
        <x:v>$25k-$50k</x:v>
      </x:c>
      <x:c r="P7040" t="str">
        <x:f>IF(E7040="","Unknown",IF(E7040&lt;10,"&lt;10",IF(E7040&lt;20,"10-&lt;20",IF(E7040&lt;25,"20-&lt;25",IF(E7040&lt;35,"25-&lt;35","35+")))))</x:f>
        <x:v>10-&lt;20</x:v>
      </x:c>
    </x:row>
    <x:row r="7041">
      <x:c r="A7041" t="str">
        <x:v>SYN0007040</x:v>
      </x:c>
      <x:c r="B7041" s="12" t="n">
        <x:v>42445</x:v>
      </x:c>
      <x:c r="C7041" s="18" t="n">
        <x:v>19201</x:v>
      </x:c>
      <x:c r="D7041" s="18" t="n">
        <x:v>69502</x:v>
      </x:c>
      <x:c r="E7041" s="18" t="n">
        <x:v>40.1</x:v>
      </x:c>
      <x:c r="F7041" s="18" t="n">
        <x:v>19.97</x:v>
      </x:c>
      <x:c r="G7041" t="n">
        <x:v>36</x:v>
      </x:c>
      <x:c r="H7041" t="str">
        <x:v>F</x:v>
      </x:c>
      <x:c r="I7041" t="str">
        <x:v>1-3 years</x:v>
      </x:c>
      <x:c r="J7041" t="str">
        <x:v>MORTGAGE</x:v>
      </x:c>
      <x:c r="K7041" t="str">
        <x:v>debt_consolidation</x:v>
      </x:c>
      <x:c r="L7041" t="n">
        <x:v>1</x:v>
      </x:c>
      <x:c r="M7041" t="n">
        <x:v>0</x:v>
      </x:c>
      <x:c r="N7041" t="str">
        <x:v>Fully Paid</x:v>
      </x:c>
      <x:c r="O7041" t="str">
        <x:f>IF(D7041="","Unknown",IF(D7041&lt;25000,"&lt;$25k",IF(D7041&lt;50000,"$25k-$50k",IF(D7041&lt;75000,"$50k-$75k",IF(D7041&lt;100000,"$75k-$100k","$100k+")))))</x:f>
        <x:v>$50k-$75k</x:v>
      </x:c>
      <x:c r="P7041" t="str">
        <x:f>IF(E7041="","Unknown",IF(E7041&lt;10,"&lt;10",IF(E7041&lt;20,"10-&lt;20",IF(E7041&lt;25,"20-&lt;25",IF(E7041&lt;35,"25-&lt;35","35+")))))</x:f>
        <x:v>35+</x:v>
      </x:c>
    </x:row>
    <x:row r="7042">
      <x:c r="A7042" t="str">
        <x:v>SYN0007041</x:v>
      </x:c>
      <x:c r="B7042" s="12" t="n">
        <x:v>41335</x:v>
      </x:c>
      <x:c r="C7042" s="18" t="n">
        <x:v>6194</x:v>
      </x:c>
      <x:c r="D7042" s="18" t="n">
        <x:v>14056</x:v>
      </x:c>
      <x:c r="E7042" s="18" t="n">
        <x:v>3.36</x:v>
      </x:c>
      <x:c r="F7042" s="18" t="n">
        <x:v>8.21</x:v>
      </x:c>
      <x:c r="G7042" t="n">
        <x:v>36</x:v>
      </x:c>
      <x:c r="H7042" t="str">
        <x:v>A</x:v>
      </x:c>
      <x:c r="I7042" t="str">
        <x:v>4-6 years</x:v>
      </x:c>
      <x:c r="J7042" t="str">
        <x:v>RENT</x:v>
      </x:c>
      <x:c r="K7042" t="str">
        <x:v>other</x:v>
      </x:c>
      <x:c r="L7042" t="n">
        <x:v>0</x:v>
      </x:c>
      <x:c r="M7042" t="n">
        <x:v>0</x:v>
      </x:c>
      <x:c r="N7042" t="str">
        <x:v>Fully Paid</x:v>
      </x:c>
      <x:c r="O7042" t="str">
        <x:f>IF(D7042="","Unknown",IF(D7042&lt;25000,"&lt;$25k",IF(D7042&lt;50000,"$25k-$50k",IF(D7042&lt;75000,"$50k-$75k",IF(D7042&lt;100000,"$75k-$100k","$100k+")))))</x:f>
        <x:v>&lt;$25k</x:v>
      </x:c>
      <x:c r="P7042" t="str">
        <x:f>IF(E7042="","Unknown",IF(E7042&lt;10,"&lt;10",IF(E7042&lt;20,"10-&lt;20",IF(E7042&lt;25,"20-&lt;25",IF(E7042&lt;35,"25-&lt;35","35+")))))</x:f>
        <x:v>&lt;10</x:v>
      </x:c>
    </x:row>
    <x:row r="7043">
      <x:c r="A7043" t="str">
        <x:v>SYN0007042</x:v>
      </x:c>
      <x:c r="B7043" s="12" t="n">
        <x:v>42715</x:v>
      </x:c>
      <x:c r="C7043" s="18" t="n">
        <x:v>12546</x:v>
      </x:c>
      <x:c r="D7043" s="18" t="n">
        <x:v>46102</x:v>
      </x:c>
      <x:c r="E7043" s="18" t="n">
        <x:v>23.84</x:v>
      </x:c>
      <x:c r="F7043" s="18" t="n">
        <x:v>10.93</x:v>
      </x:c>
      <x:c r="G7043" t="n">
        <x:v>36</x:v>
      </x:c>
      <x:c r="H7043" t="str">
        <x:v>B</x:v>
      </x:c>
      <x:c r="I7043" t="str">
        <x:v>10+ years</x:v>
      </x:c>
      <x:c r="J7043" t="str">
        <x:v>MORTGAGE</x:v>
      </x:c>
      <x:c r="K7043" t="str">
        <x:v>home_improvement</x:v>
      </x:c>
      <x:c r="L7043" t="n">
        <x:v>0</x:v>
      </x:c>
      <x:c r="M7043" t="n">
        <x:v>0</x:v>
      </x:c>
      <x:c r="N7043" t="str">
        <x:v>Fully Paid</x:v>
      </x:c>
      <x:c r="O7043" t="str">
        <x:f>IF(D7043="","Unknown",IF(D7043&lt;25000,"&lt;$25k",IF(D7043&lt;50000,"$25k-$50k",IF(D7043&lt;75000,"$50k-$75k",IF(D7043&lt;100000,"$75k-$100k","$100k+")))))</x:f>
        <x:v>$25k-$50k</x:v>
      </x:c>
      <x:c r="P7043" t="str">
        <x:f>IF(E7043="","Unknown",IF(E7043&lt;10,"&lt;10",IF(E7043&lt;20,"10-&lt;20",IF(E7043&lt;25,"20-&lt;25",IF(E7043&lt;35,"25-&lt;35","35+")))))</x:f>
        <x:v>20-&lt;25</x:v>
      </x:c>
    </x:row>
    <x:row r="7044">
      <x:c r="A7044" t="str">
        <x:v>SYN0007043</x:v>
      </x:c>
      <x:c r="B7044" s="12" t="n">
        <x:v>41305</x:v>
      </x:c>
      <x:c r="C7044" s="18" t="n">
        <x:v>29292</x:v>
      </x:c>
      <x:c r="D7044" s="18" t="n">
        <x:v>90842</x:v>
      </x:c>
      <x:c r="E7044" s="18" t="n">
        <x:v>19.22</x:v>
      </x:c>
      <x:c r="F7044" s="18" t="n">
        <x:v>22.79</x:v>
      </x:c>
      <x:c r="G7044" t="n">
        <x:v>60</x:v>
      </x:c>
      <x:c r="H7044" t="str">
        <x:v>F</x:v>
      </x:c>
      <x:c r="I7044" t="str">
        <x:v>7-9 years</x:v>
      </x:c>
      <x:c r="J7044" t="str">
        <x:v>RENT</x:v>
      </x:c>
      <x:c r="K7044" t="str">
        <x:v>credit_card</x:v>
      </x:c>
      <x:c r="L7044" t="n">
        <x:v>1</x:v>
      </x:c>
      <x:c r="M7044" t="n">
        <x:v>1</x:v>
      </x:c>
      <x:c r="N7044" t="str">
        <x:v>Charged Off</x:v>
      </x:c>
      <x:c r="O7044" t="str">
        <x:f>IF(D7044="","Unknown",IF(D7044&lt;25000,"&lt;$25k",IF(D7044&lt;50000,"$25k-$50k",IF(D7044&lt;75000,"$50k-$75k",IF(D7044&lt;100000,"$75k-$100k","$100k+")))))</x:f>
        <x:v>$75k-$100k</x:v>
      </x:c>
      <x:c r="P7044" t="str">
        <x:f>IF(E7044="","Unknown",IF(E7044&lt;10,"&lt;10",IF(E7044&lt;20,"10-&lt;20",IF(E7044&lt;25,"20-&lt;25",IF(E7044&lt;35,"25-&lt;35","35+")))))</x:f>
        <x:v>10-&lt;20</x:v>
      </x:c>
    </x:row>
    <x:row r="7045">
      <x:c r="A7045" t="str">
        <x:v>SYN0007044</x:v>
      </x:c>
      <x:c r="B7045" s="12" t="n">
        <x:v>42955</x:v>
      </x:c>
      <x:c r="C7045" s="18" t="n">
        <x:v>40000</x:v>
      </x:c>
      <x:c r="D7045" s="18" t="n">
        <x:v>48763</x:v>
      </x:c>
      <x:c r="E7045" s="18" t="n">
        <x:v>28.93</x:v>
      </x:c>
      <x:c r="F7045" s="18" t="n">
        <x:v>14.05</x:v>
      </x:c>
      <x:c r="G7045" t="n">
        <x:v>36</x:v>
      </x:c>
      <x:c r="H7045" t="str">
        <x:v>D</x:v>
      </x:c>
      <x:c r="I7045" t="str">
        <x:v>1-3 years</x:v>
      </x:c>
      <x:c r="J7045" t="str">
        <x:v>MORTGAGE</x:v>
      </x:c>
      <x:c r="K7045" t="str">
        <x:v>debt_consolidation</x:v>
      </x:c>
      <x:c r="L7045" t="n">
        <x:v>4</x:v>
      </x:c>
      <x:c r="M7045" t="n">
        <x:v>0</x:v>
      </x:c>
      <x:c r="N7045" t="str">
        <x:v>Fully Paid</x:v>
      </x:c>
      <x:c r="O7045" t="str">
        <x:f>IF(D7045="","Unknown",IF(D7045&lt;25000,"&lt;$25k",IF(D7045&lt;50000,"$25k-$50k",IF(D7045&lt;75000,"$50k-$75k",IF(D7045&lt;100000,"$75k-$100k","$100k+")))))</x:f>
        <x:v>$25k-$50k</x:v>
      </x:c>
      <x:c r="P7045" t="str">
        <x:f>IF(E7045="","Unknown",IF(E7045&lt;10,"&lt;10",IF(E7045&lt;20,"10-&lt;20",IF(E7045&lt;25,"20-&lt;25",IF(E7045&lt;35,"25-&lt;35","35+")))))</x:f>
        <x:v>25-&lt;35</x:v>
      </x:c>
    </x:row>
    <x:row r="7046">
      <x:c r="A7046" t="str">
        <x:v>SYN0007045</x:v>
      </x:c>
      <x:c r="B7046" s="12" t="n">
        <x:v>43405</x:v>
      </x:c>
      <x:c r="C7046" s="18" t="n">
        <x:v>15376</x:v>
      </x:c>
      <x:c r="D7046" s="18" t="n">
        <x:v>56916</x:v>
      </x:c>
      <x:c r="E7046" s="18" t="n">
        <x:v>10.21</x:v>
      </x:c>
      <x:c r="F7046" s="18" t="n">
        <x:v>6.6</x:v>
      </x:c>
      <x:c r="G7046" t="n">
        <x:v>36</x:v>
      </x:c>
      <x:c r="H7046" t="str">
        <x:v>A</x:v>
      </x:c>
      <x:c r="I7046" t="str">
        <x:v>&lt;1 year</x:v>
      </x:c>
      <x:c r="J7046" t="str">
        <x:v>RENT</x:v>
      </x:c>
      <x:c r="K7046" t="str">
        <x:v>home_improvement</x:v>
      </x:c>
      <x:c r="L7046" t="n">
        <x:v>0</x:v>
      </x:c>
      <x:c r="M7046" t="n">
        <x:v>0</x:v>
      </x:c>
      <x:c r="N7046" t="str">
        <x:v>Fully Paid</x:v>
      </x:c>
      <x:c r="O7046" t="str">
        <x:f>IF(D7046="","Unknown",IF(D7046&lt;25000,"&lt;$25k",IF(D7046&lt;50000,"$25k-$50k",IF(D7046&lt;75000,"$50k-$75k",IF(D7046&lt;100000,"$75k-$100k","$100k+")))))</x:f>
        <x:v>$50k-$75k</x:v>
      </x:c>
      <x:c r="P7046" t="str">
        <x:f>IF(E7046="","Unknown",IF(E7046&lt;10,"&lt;10",IF(E7046&lt;20,"10-&lt;20",IF(E7046&lt;25,"20-&lt;25",IF(E7046&lt;35,"25-&lt;35","35+")))))</x:f>
        <x:v>10-&lt;20</x:v>
      </x:c>
    </x:row>
    <x:row r="7047">
      <x:c r="A7047" t="str">
        <x:v>SYN0007046</x:v>
      </x:c>
      <x:c r="B7047" s="12" t="n">
        <x:v>42805</x:v>
      </x:c>
      <x:c r="C7047" s="18" t="n">
        <x:v>12924</x:v>
      </x:c>
      <x:c r="D7047" s="18" t="n">
        <x:v>30415</x:v>
      </x:c>
      <x:c r="E7047" s="18" t="n">
        <x:v>16.5</x:v>
      </x:c>
      <x:c r="F7047" s="18" t="n">
        <x:v>10.68</x:v>
      </x:c>
      <x:c r="G7047" t="n">
        <x:v>60</x:v>
      </x:c>
      <x:c r="H7047" t="str">
        <x:v>B</x:v>
      </x:c>
      <x:c r="I7047" t="str">
        <x:v>&lt;1 year</x:v>
      </x:c>
      <x:c r="J7047" t="str">
        <x:v>MORTGAGE</x:v>
      </x:c>
      <x:c r="K7047" t="str">
        <x:v>debt_consolidation</x:v>
      </x:c>
      <x:c r="L7047" t="n">
        <x:v>1</x:v>
      </x:c>
      <x:c r="M7047" t="n">
        <x:v>1</x:v>
      </x:c>
      <x:c r="N7047" t="str">
        <x:v>Charged Off</x:v>
      </x:c>
      <x:c r="O7047" t="str">
        <x:f>IF(D7047="","Unknown",IF(D7047&lt;25000,"&lt;$25k",IF(D7047&lt;50000,"$25k-$50k",IF(D7047&lt;75000,"$50k-$75k",IF(D7047&lt;100000,"$75k-$100k","$100k+")))))</x:f>
        <x:v>$25k-$50k</x:v>
      </x:c>
      <x:c r="P7047" t="str">
        <x:f>IF(E7047="","Unknown",IF(E7047&lt;10,"&lt;10",IF(E7047&lt;20,"10-&lt;20",IF(E7047&lt;25,"20-&lt;25",IF(E7047&lt;35,"25-&lt;35","35+")))))</x:f>
        <x:v>10-&lt;20</x:v>
      </x:c>
    </x:row>
    <x:row r="7048">
      <x:c r="A7048" t="str">
        <x:v>SYN0007047</x:v>
      </x:c>
      <x:c r="B7048" s="12" t="n">
        <x:v>42025</x:v>
      </x:c>
      <x:c r="C7048" s="18" t="n">
        <x:v>19722</x:v>
      </x:c>
      <x:c r="D7048" s="18" t="n">
        <x:v>23147</x:v>
      </x:c>
      <x:c r="E7048" s="18" t="n">
        <x:v>13.51</x:v>
      </x:c>
      <x:c r="F7048" s="18" t="n">
        <x:v>5</x:v>
      </x:c>
      <x:c r="G7048" t="n">
        <x:v>36</x:v>
      </x:c>
      <x:c r="H7048" t="str">
        <x:v>A</x:v>
      </x:c>
      <x:c r="I7048" t="str">
        <x:v>10+ years</x:v>
      </x:c>
      <x:c r="J7048" t="str">
        <x:v>MORTGAGE</x:v>
      </x:c>
      <x:c r="K7048" t="str">
        <x:v>debt_consolidation</x:v>
      </x:c>
      <x:c r="L7048" t="n">
        <x:v>0</x:v>
      </x:c>
      <x:c r="M7048" t="n">
        <x:v>0</x:v>
      </x:c>
      <x:c r="N7048" t="str">
        <x:v>Fully Paid</x:v>
      </x:c>
      <x:c r="O7048" t="str">
        <x:f>IF(D7048="","Unknown",IF(D7048&lt;25000,"&lt;$25k",IF(D7048&lt;50000,"$25k-$50k",IF(D7048&lt;75000,"$50k-$75k",IF(D7048&lt;100000,"$75k-$100k","$100k+")))))</x:f>
        <x:v>&lt;$25k</x:v>
      </x:c>
      <x:c r="P7048" t="str">
        <x:f>IF(E7048="","Unknown",IF(E7048&lt;10,"&lt;10",IF(E7048&lt;20,"10-&lt;20",IF(E7048&lt;25,"20-&lt;25",IF(E7048&lt;35,"25-&lt;35","35+")))))</x:f>
        <x:v>10-&lt;20</x:v>
      </x:c>
    </x:row>
    <x:row r="7049">
      <x:c r="A7049" t="str">
        <x:v>SYN0007048</x:v>
      </x:c>
      <x:c r="B7049" s="12" t="n">
        <x:v>41455</x:v>
      </x:c>
      <x:c r="C7049" s="18" t="n">
        <x:v>4380</x:v>
      </x:c>
      <x:c r="D7049" s="18" t="n">
        <x:v>46067</x:v>
      </x:c>
      <x:c r="E7049" s="18" t="n">
        <x:v>32.26</x:v>
      </x:c>
      <x:c r="F7049" s="18" t="n">
        <x:v>22.2</x:v>
      </x:c>
      <x:c r="G7049" t="n">
        <x:v>36</x:v>
      </x:c>
      <x:c r="H7049" t="str">
        <x:v>F</x:v>
      </x:c>
      <x:c r="I7049" t="str">
        <x:v>7-9 years</x:v>
      </x:c>
      <x:c r="J7049" t="str">
        <x:v>MORTGAGE</x:v>
      </x:c>
      <x:c r="K7049" t="str">
        <x:v>medical</x:v>
      </x:c>
      <x:c r="L7049" t="n">
        <x:v>0</x:v>
      </x:c>
      <x:c r="M7049" t="n">
        <x:v>0</x:v>
      </x:c>
      <x:c r="N7049" t="str">
        <x:v>Fully Paid</x:v>
      </x:c>
      <x:c r="O7049" t="str">
        <x:f>IF(D7049="","Unknown",IF(D7049&lt;25000,"&lt;$25k",IF(D7049&lt;50000,"$25k-$50k",IF(D7049&lt;75000,"$50k-$75k",IF(D7049&lt;100000,"$75k-$100k","$100k+")))))</x:f>
        <x:v>$25k-$50k</x:v>
      </x:c>
      <x:c r="P7049" t="str">
        <x:f>IF(E7049="","Unknown",IF(E7049&lt;10,"&lt;10",IF(E7049&lt;20,"10-&lt;20",IF(E7049&lt;25,"20-&lt;25",IF(E7049&lt;35,"25-&lt;35","35+")))))</x:f>
        <x:v>25-&lt;35</x:v>
      </x:c>
    </x:row>
    <x:row r="7050">
      <x:c r="A7050" t="str">
        <x:v>SYN0007049</x:v>
      </x:c>
      <x:c r="B7050" s="12" t="n">
        <x:v>41995</x:v>
      </x:c>
      <x:c r="C7050" s="18" t="n">
        <x:v>18552</x:v>
      </x:c>
      <x:c r="D7050" s="18" t="n">
        <x:v>99163</x:v>
      </x:c>
      <x:c r="E7050" s="18" t="n">
        <x:v>20.42</x:v>
      </x:c>
      <x:c r="F7050" s="18" t="n">
        <x:v>9.06</x:v>
      </x:c>
      <x:c r="G7050" t="n">
        <x:v>60</x:v>
      </x:c>
      <x:c r="H7050" t="str">
        <x:v>B</x:v>
      </x:c>
      <x:c r="I7050" t="str">
        <x:v>10+ years</x:v>
      </x:c>
      <x:c r="J7050" t="str">
        <x:v>RENT</x:v>
      </x:c>
      <x:c r="K7050" t="str">
        <x:v>major_purchase</x:v>
      </x:c>
      <x:c r="L7050" t="n">
        <x:v>1</x:v>
      </x:c>
      <x:c r="M7050" t="n">
        <x:v>0</x:v>
      </x:c>
      <x:c r="N7050" t="str">
        <x:v>Fully Paid</x:v>
      </x:c>
      <x:c r="O7050" t="str">
        <x:f>IF(D7050="","Unknown",IF(D7050&lt;25000,"&lt;$25k",IF(D7050&lt;50000,"$25k-$50k",IF(D7050&lt;75000,"$50k-$75k",IF(D7050&lt;100000,"$75k-$100k","$100k+")))))</x:f>
        <x:v>$75k-$100k</x:v>
      </x:c>
      <x:c r="P7050" t="str">
        <x:f>IF(E7050="","Unknown",IF(E7050&lt;10,"&lt;10",IF(E7050&lt;20,"10-&lt;20",IF(E7050&lt;25,"20-&lt;25",IF(E7050&lt;35,"25-&lt;35","35+")))))</x:f>
        <x:v>20-&lt;25</x:v>
      </x:c>
    </x:row>
    <x:row r="7051">
      <x:c r="A7051" t="str">
        <x:v>SYN0007050</x:v>
      </x:c>
      <x:c r="B7051" s="12" t="n">
        <x:v>43375</x:v>
      </x:c>
      <x:c r="C7051" s="18" t="n">
        <x:v>22792</x:v>
      </x:c>
      <x:c r="D7051" s="18" t="n">
        <x:v>46493</x:v>
      </x:c>
      <x:c r="E7051" s="18" t="n">
        <x:v>18.18</x:v>
      </x:c>
      <x:c r="F7051" s="18" t="n">
        <x:v>6.73</x:v>
      </x:c>
      <x:c r="G7051" t="n">
        <x:v>36</x:v>
      </x:c>
      <x:c r="H7051" t="str">
        <x:v>A</x:v>
      </x:c>
      <x:c r="I7051" t="str">
        <x:v>10+ years</x:v>
      </x:c>
      <x:c r="J7051" t="str">
        <x:v>MORTGAGE</x:v>
      </x:c>
      <x:c r="K7051" t="str">
        <x:v>debt_consolidation</x:v>
      </x:c>
      <x:c r="L7051" t="n">
        <x:v>0</x:v>
      </x:c>
      <x:c r="M7051" t="n">
        <x:v>0</x:v>
      </x:c>
      <x:c r="N7051" t="str">
        <x:v>Fully Paid</x:v>
      </x:c>
      <x:c r="O7051" t="str">
        <x:f>IF(D7051="","Unknown",IF(D7051&lt;25000,"&lt;$25k",IF(D7051&lt;50000,"$25k-$50k",IF(D7051&lt;75000,"$50k-$75k",IF(D7051&lt;100000,"$75k-$100k","$100k+")))))</x:f>
        <x:v>$25k-$50k</x:v>
      </x:c>
      <x:c r="P7051" t="str">
        <x:f>IF(E7051="","Unknown",IF(E7051&lt;10,"&lt;10",IF(E7051&lt;20,"10-&lt;20",IF(E7051&lt;25,"20-&lt;25",IF(E7051&lt;35,"25-&lt;35","35+")))))</x:f>
        <x:v>10-&lt;20</x:v>
      </x:c>
    </x:row>
    <x:row r="7052">
      <x:c r="A7052" t="str">
        <x:v>SYN0007051</x:v>
      </x:c>
      <x:c r="B7052" s="12" t="n">
        <x:v>43285</x:v>
      </x:c>
      <x:c r="C7052" s="18" t="n">
        <x:v>9034</x:v>
      </x:c>
      <x:c r="D7052" s="18" t="n">
        <x:v>18737</x:v>
      </x:c>
      <x:c r="E7052" s="18" t="n">
        <x:v>17.54</x:v>
      </x:c>
      <x:c r="F7052" s="18" t="n">
        <x:v>7.84</x:v>
      </x:c>
      <x:c r="G7052" t="n">
        <x:v>36</x:v>
      </x:c>
      <x:c r="H7052" t="str">
        <x:v>B</x:v>
      </x:c>
      <x:c r="I7052" t="str">
        <x:v>10+ years</x:v>
      </x:c>
      <x:c r="J7052" t="str">
        <x:v>MORTGAGE</x:v>
      </x:c>
      <x:c r="K7052" t="str">
        <x:v>debt_consolidation</x:v>
      </x:c>
      <x:c r="L7052" t="n">
        <x:v>0</x:v>
      </x:c>
      <x:c r="M7052" t="n">
        <x:v>0</x:v>
      </x:c>
      <x:c r="N7052" t="str">
        <x:v>Fully Paid</x:v>
      </x:c>
      <x:c r="O7052" t="str">
        <x:f>IF(D7052="","Unknown",IF(D7052&lt;25000,"&lt;$25k",IF(D7052&lt;50000,"$25k-$50k",IF(D7052&lt;75000,"$50k-$75k",IF(D7052&lt;100000,"$75k-$100k","$100k+")))))</x:f>
        <x:v>&lt;$25k</x:v>
      </x:c>
      <x:c r="P7052" t="str">
        <x:f>IF(E7052="","Unknown",IF(E7052&lt;10,"&lt;10",IF(E7052&lt;20,"10-&lt;20",IF(E7052&lt;25,"20-&lt;25",IF(E7052&lt;35,"25-&lt;35","35+")))))</x:f>
        <x:v>10-&lt;20</x:v>
      </x:c>
    </x:row>
    <x:row r="7053">
      <x:c r="A7053" t="str">
        <x:v>SYN0007052</x:v>
      </x:c>
      <x:c r="B7053" s="12" t="n">
        <x:v>42775</x:v>
      </x:c>
      <x:c r="C7053" s="18" t="n">
        <x:v>5799</x:v>
      </x:c>
      <x:c r="D7053" s="18" t="n">
        <x:v>31784</x:v>
      </x:c>
      <x:c r="E7053" s="18" t="n">
        <x:v>14.26</x:v>
      </x:c>
      <x:c r="F7053" s="18" t="n">
        <x:v>14.43</x:v>
      </x:c>
      <x:c r="G7053" t="n">
        <x:v>36</x:v>
      </x:c>
      <x:c r="H7053" t="str">
        <x:v>D</x:v>
      </x:c>
      <x:c r="I7053" t="str">
        <x:v>4-6 years</x:v>
      </x:c>
      <x:c r="J7053" t="str">
        <x:v>MORTGAGE</x:v>
      </x:c>
      <x:c r="K7053" t="str">
        <x:v>home_improvement</x:v>
      </x:c>
      <x:c r="L7053" t="n">
        <x:v>0</x:v>
      </x:c>
      <x:c r="M7053" t="n">
        <x:v>0</x:v>
      </x:c>
      <x:c r="N7053" t="str">
        <x:v>Fully Paid</x:v>
      </x:c>
      <x:c r="O7053" t="str">
        <x:f>IF(D7053="","Unknown",IF(D7053&lt;25000,"&lt;$25k",IF(D7053&lt;50000,"$25k-$50k",IF(D7053&lt;75000,"$50k-$75k",IF(D7053&lt;100000,"$75k-$100k","$100k+")))))</x:f>
        <x:v>$25k-$50k</x:v>
      </x:c>
      <x:c r="P7053" t="str">
        <x:f>IF(E7053="","Unknown",IF(E7053&lt;10,"&lt;10",IF(E7053&lt;20,"10-&lt;20",IF(E7053&lt;25,"20-&lt;25",IF(E7053&lt;35,"25-&lt;35","35+")))))</x:f>
        <x:v>10-&lt;20</x:v>
      </x:c>
    </x:row>
    <x:row r="7054">
      <x:c r="A7054" t="str">
        <x:v>SYN0007053</x:v>
      </x:c>
      <x:c r="B7054" s="12" t="n">
        <x:v>42355</x:v>
      </x:c>
      <x:c r="C7054" s="18" t="n">
        <x:v>13923</x:v>
      </x:c>
      <x:c r="D7054" s="18" t="n">
        <x:v>70384</x:v>
      </x:c>
      <x:c r="E7054" s="18" t="n">
        <x:v>18.72</x:v>
      </x:c>
      <x:c r="F7054" s="18" t="n">
        <x:v>8.8</x:v>
      </x:c>
      <x:c r="G7054" t="n">
        <x:v>36</x:v>
      </x:c>
      <x:c r="H7054" t="str">
        <x:v>A</x:v>
      </x:c>
      <x:c r="I7054" t="str">
        <x:v>10+ years</x:v>
      </x:c>
      <x:c r="J7054" t="str">
        <x:v>RENT</x:v>
      </x:c>
      <x:c r="K7054" t="str">
        <x:v>debt_consolidation</x:v>
      </x:c>
      <x:c r="L7054" t="n">
        <x:v>0</x:v>
      </x:c>
      <x:c r="M7054" t="n">
        <x:v>0</x:v>
      </x:c>
      <x:c r="N7054" t="str">
        <x:v>Fully Paid</x:v>
      </x:c>
      <x:c r="O7054" t="str">
        <x:f>IF(D7054="","Unknown",IF(D7054&lt;25000,"&lt;$25k",IF(D7054&lt;50000,"$25k-$50k",IF(D7054&lt;75000,"$50k-$75k",IF(D7054&lt;100000,"$75k-$100k","$100k+")))))</x:f>
        <x:v>$50k-$75k</x:v>
      </x:c>
      <x:c r="P7054" t="str">
        <x:f>IF(E7054="","Unknown",IF(E7054&lt;10,"&lt;10",IF(E7054&lt;20,"10-&lt;20",IF(E7054&lt;25,"20-&lt;25",IF(E7054&lt;35,"25-&lt;35","35+")))))</x:f>
        <x:v>10-&lt;20</x:v>
      </x:c>
    </x:row>
    <x:row r="7055">
      <x:c r="A7055" t="str">
        <x:v>SYN0007054</x:v>
      </x:c>
      <x:c r="B7055" s="12" t="n">
        <x:v>42535</x:v>
      </x:c>
      <x:c r="C7055" s="18" t="n">
        <x:v>38004</x:v>
      </x:c>
      <x:c r="D7055" s="18" t="n">
        <x:v>25042</x:v>
      </x:c>
      <x:c r="E7055" s="18" t="n">
        <x:v>30.13</x:v>
      </x:c>
      <x:c r="F7055" s="18" t="n">
        <x:v>12.7</x:v>
      </x:c>
      <x:c r="G7055" t="n">
        <x:v>36</x:v>
      </x:c>
      <x:c r="H7055" t="str">
        <x:v>D</x:v>
      </x:c>
      <x:c r="I7055" t="str">
        <x:v>10+ years</x:v>
      </x:c>
      <x:c r="J7055" t="str">
        <x:v>MORTGAGE</x:v>
      </x:c>
      <x:c r="K7055" t="str">
        <x:v>credit_card</x:v>
      </x:c>
      <x:c r="L7055" t="n">
        <x:v>0</x:v>
      </x:c>
      <x:c r="M7055" t="n">
        <x:v>0</x:v>
      </x:c>
      <x:c r="N7055" t="str">
        <x:v>Fully Paid</x:v>
      </x:c>
      <x:c r="O7055" t="str">
        <x:f>IF(D7055="","Unknown",IF(D7055&lt;25000,"&lt;$25k",IF(D7055&lt;50000,"$25k-$50k",IF(D7055&lt;75000,"$50k-$75k",IF(D7055&lt;100000,"$75k-$100k","$100k+")))))</x:f>
        <x:v>$25k-$50k</x:v>
      </x:c>
      <x:c r="P7055" t="str">
        <x:f>IF(E7055="","Unknown",IF(E7055&lt;10,"&lt;10",IF(E7055&lt;20,"10-&lt;20",IF(E7055&lt;25,"20-&lt;25",IF(E7055&lt;35,"25-&lt;35","35+")))))</x:f>
        <x:v>25-&lt;35</x:v>
      </x:c>
    </x:row>
    <x:row r="7056">
      <x:c r="A7056" t="str">
        <x:v>SYN0007055</x:v>
      </x:c>
      <x:c r="B7056" s="12" t="n">
        <x:v>42925</x:v>
      </x:c>
      <x:c r="C7056" s="18" t="n">
        <x:v>18851</x:v>
      </x:c>
      <x:c r="D7056" s="18" t="n">
        <x:v>96061</x:v>
      </x:c>
      <x:c r="E7056" s="18" t="n">
        <x:v>20.25</x:v>
      </x:c>
      <x:c r="F7056" s="18" t="n">
        <x:v>6.63</x:v>
      </x:c>
      <x:c r="G7056" t="n">
        <x:v>36</x:v>
      </x:c>
      <x:c r="H7056" t="str">
        <x:v>B</x:v>
      </x:c>
      <x:c r="I7056" t="str">
        <x:v>7-9 years</x:v>
      </x:c>
      <x:c r="J7056" t="str">
        <x:v>RENT</x:v>
      </x:c>
      <x:c r="K7056" t="str">
        <x:v>credit_card</x:v>
      </x:c>
      <x:c r="L7056" t="n">
        <x:v>0</x:v>
      </x:c>
      <x:c r="M7056" t="n">
        <x:v>0</x:v>
      </x:c>
      <x:c r="N7056" t="str">
        <x:v>Fully Paid</x:v>
      </x:c>
      <x:c r="O7056" t="str">
        <x:f>IF(D7056="","Unknown",IF(D7056&lt;25000,"&lt;$25k",IF(D7056&lt;50000,"$25k-$50k",IF(D7056&lt;75000,"$50k-$75k",IF(D7056&lt;100000,"$75k-$100k","$100k+")))))</x:f>
        <x:v>$75k-$100k</x:v>
      </x:c>
      <x:c r="P7056" t="str">
        <x:f>IF(E7056="","Unknown",IF(E7056&lt;10,"&lt;10",IF(E7056&lt;20,"10-&lt;20",IF(E7056&lt;25,"20-&lt;25",IF(E7056&lt;35,"25-&lt;35","35+")))))</x:f>
        <x:v>20-&lt;25</x:v>
      </x:c>
    </x:row>
    <x:row r="7057">
      <x:c r="A7057" t="str">
        <x:v>SYN0007056</x:v>
      </x:c>
      <x:c r="B7057" s="12" t="n">
        <x:v>43045</x:v>
      </x:c>
      <x:c r="C7057" s="18" t="n">
        <x:v>13811</x:v>
      </x:c>
      <x:c r="D7057" s="18" t="n">
        <x:v>178738</x:v>
      </x:c>
      <x:c r="E7057" s="18" t="n">
        <x:v>15.1</x:v>
      </x:c>
      <x:c r="F7057" s="18" t="n">
        <x:v>10.18</x:v>
      </x:c>
      <x:c r="G7057" t="n">
        <x:v>36</x:v>
      </x:c>
      <x:c r="H7057" t="str">
        <x:v>B</x:v>
      </x:c>
      <x:c r="I7057" t="str">
        <x:v>1-3 years</x:v>
      </x:c>
      <x:c r="J7057" t="str">
        <x:v>MORTGAGE</x:v>
      </x:c>
      <x:c r="K7057" t="str">
        <x:v>credit_card</x:v>
      </x:c>
      <x:c r="L7057" t="n">
        <x:v>0</x:v>
      </x:c>
      <x:c r="M7057" t="n">
        <x:v>0</x:v>
      </x:c>
      <x:c r="N7057" t="str">
        <x:v>Fully Paid</x:v>
      </x:c>
      <x:c r="O7057" t="str">
        <x:f>IF(D7057="","Unknown",IF(D7057&lt;25000,"&lt;$25k",IF(D7057&lt;50000,"$25k-$50k",IF(D7057&lt;75000,"$50k-$75k",IF(D7057&lt;100000,"$75k-$100k","$100k+")))))</x:f>
        <x:v>$100k+</x:v>
      </x:c>
      <x:c r="P7057" t="str">
        <x:f>IF(E7057="","Unknown",IF(E7057&lt;10,"&lt;10",IF(E7057&lt;20,"10-&lt;20",IF(E7057&lt;25,"20-&lt;25",IF(E7057&lt;35,"25-&lt;35","35+")))))</x:f>
        <x:v>10-&lt;20</x:v>
      </x:c>
    </x:row>
    <x:row r="7058">
      <x:c r="A7058" t="str">
        <x:v>SYN0007057</x:v>
      </x:c>
      <x:c r="B7058" s="12" t="n">
        <x:v>41695</x:v>
      </x:c>
      <x:c r="C7058" s="18" t="n">
        <x:v>19210</x:v>
      </x:c>
      <x:c r="D7058" s="18" t="n">
        <x:v>89276</x:v>
      </x:c>
      <x:c r="E7058" s="18" t="n">
        <x:v>15.93</x:v>
      </x:c>
      <x:c r="F7058" s="18" t="n">
        <x:v>24.48</x:v>
      </x:c>
      <x:c r="G7058" t="n">
        <x:v>60</x:v>
      </x:c>
      <x:c r="H7058" t="str">
        <x:v>F</x:v>
      </x:c>
      <x:c r="I7058" t="str">
        <x:v>10+ years</x:v>
      </x:c>
      <x:c r="J7058" t="str">
        <x:v>RENT</x:v>
      </x:c>
      <x:c r="K7058" t="str">
        <x:v>credit_card</x:v>
      </x:c>
      <x:c r="L7058" t="n">
        <x:v>0</x:v>
      </x:c>
      <x:c r="M7058" t="n">
        <x:v>0</x:v>
      </x:c>
      <x:c r="N7058" t="str">
        <x:v>Fully Paid</x:v>
      </x:c>
      <x:c r="O7058" t="str">
        <x:f>IF(D7058="","Unknown",IF(D7058&lt;25000,"&lt;$25k",IF(D7058&lt;50000,"$25k-$50k",IF(D7058&lt;75000,"$50k-$75k",IF(D7058&lt;100000,"$75k-$100k","$100k+")))))</x:f>
        <x:v>$75k-$100k</x:v>
      </x:c>
      <x:c r="P7058" t="str">
        <x:f>IF(E7058="","Unknown",IF(E7058&lt;10,"&lt;10",IF(E7058&lt;20,"10-&lt;20",IF(E7058&lt;25,"20-&lt;25",IF(E7058&lt;35,"25-&lt;35","35+")))))</x:f>
        <x:v>10-&lt;20</x:v>
      </x:c>
    </x:row>
    <x:row r="7059">
      <x:c r="A7059" t="str">
        <x:v>SYN0007058</x:v>
      </x:c>
      <x:c r="B7059" s="12" t="n">
        <x:v>41995</x:v>
      </x:c>
      <x:c r="C7059" s="18" t="n">
        <x:v>9699</x:v>
      </x:c>
      <x:c r="D7059" s="18" t="n">
        <x:v>62447</x:v>
      </x:c>
      <x:c r="E7059" s="18" t="n">
        <x:v>20.61</x:v>
      </x:c>
      <x:c r="F7059" s="18" t="n">
        <x:v>9.76</x:v>
      </x:c>
      <x:c r="G7059" t="n">
        <x:v>36</x:v>
      </x:c>
      <x:c r="H7059" t="str">
        <x:v>C</x:v>
      </x:c>
      <x:c r="I7059" t="str">
        <x:v>10+ years</x:v>
      </x:c>
      <x:c r="J7059" t="str">
        <x:v>MORTGAGE</x:v>
      </x:c>
      <x:c r="K7059" t="str">
        <x:v>debt_consolidation</x:v>
      </x:c>
      <x:c r="L7059" t="n">
        <x:v>1</x:v>
      </x:c>
      <x:c r="M7059" t="n">
        <x:v>0</x:v>
      </x:c>
      <x:c r="N7059" t="str">
        <x:v>Fully Paid</x:v>
      </x:c>
      <x:c r="O7059" t="str">
        <x:f>IF(D7059="","Unknown",IF(D7059&lt;25000,"&lt;$25k",IF(D7059&lt;50000,"$25k-$50k",IF(D7059&lt;75000,"$50k-$75k",IF(D7059&lt;100000,"$75k-$100k","$100k+")))))</x:f>
        <x:v>$50k-$75k</x:v>
      </x:c>
      <x:c r="P7059" t="str">
        <x:f>IF(E7059="","Unknown",IF(E7059&lt;10,"&lt;10",IF(E7059&lt;20,"10-&lt;20",IF(E7059&lt;25,"20-&lt;25",IF(E7059&lt;35,"25-&lt;35","35+")))))</x:f>
        <x:v>20-&lt;25</x:v>
      </x:c>
    </x:row>
    <x:row r="7060">
      <x:c r="A7060" t="str">
        <x:v>SYN0007059</x:v>
      </x:c>
      <x:c r="B7060" s="12" t="n">
        <x:v>42325</x:v>
      </x:c>
      <x:c r="C7060" s="18" t="n">
        <x:v>19612</x:v>
      </x:c>
      <x:c r="D7060" s="18" t="n">
        <x:v>38217</x:v>
      </x:c>
      <x:c r="E7060" s="18" t="n">
        <x:v>29.98</x:v>
      </x:c>
      <x:c r="F7060" s="18" t="n">
        <x:v>12.73</x:v>
      </x:c>
      <x:c r="G7060" t="n">
        <x:v>36</x:v>
      </x:c>
      <x:c r="H7060" t="str">
        <x:v>C</x:v>
      </x:c>
      <x:c r="I7060" t="str">
        <x:v>4-6 years</x:v>
      </x:c>
      <x:c r="J7060" t="str">
        <x:v>RENT</x:v>
      </x:c>
      <x:c r="K7060" t="str">
        <x:v>debt_consolidation</x:v>
      </x:c>
      <x:c r="L7060" t="n">
        <x:v>0</x:v>
      </x:c>
      <x:c r="M7060" t="n">
        <x:v>0</x:v>
      </x:c>
      <x:c r="N7060" t="str">
        <x:v>Fully Paid</x:v>
      </x:c>
      <x:c r="O7060" t="str">
        <x:f>IF(D7060="","Unknown",IF(D7060&lt;25000,"&lt;$25k",IF(D7060&lt;50000,"$25k-$50k",IF(D7060&lt;75000,"$50k-$75k",IF(D7060&lt;100000,"$75k-$100k","$100k+")))))</x:f>
        <x:v>$25k-$50k</x:v>
      </x:c>
      <x:c r="P7060" t="str">
        <x:f>IF(E7060="","Unknown",IF(E7060&lt;10,"&lt;10",IF(E7060&lt;20,"10-&lt;20",IF(E7060&lt;25,"20-&lt;25",IF(E7060&lt;35,"25-&lt;35","35+")))))</x:f>
        <x:v>25-&lt;35</x:v>
      </x:c>
    </x:row>
    <x:row r="7061">
      <x:c r="A7061" t="str">
        <x:v>SYN0007060</x:v>
      </x:c>
      <x:c r="B7061" s="12" t="n">
        <x:v>42865</x:v>
      </x:c>
      <x:c r="C7061" s="18" t="n">
        <x:v>12735</x:v>
      </x:c>
      <x:c r="D7061" s="18" t="n">
        <x:v>77306</x:v>
      </x:c>
      <x:c r="E7061" s="18" t="n">
        <x:v>0.82</x:v>
      </x:c>
      <x:c r="F7061" s="18" t="n">
        <x:v>9.66</x:v>
      </x:c>
      <x:c r="G7061" t="n">
        <x:v>36</x:v>
      </x:c>
      <x:c r="H7061" t="str">
        <x:v>B</x:v>
      </x:c>
      <x:c r="I7061" t="str">
        <x:v>10+ years</x:v>
      </x:c>
      <x:c r="J7061" t="str">
        <x:v>RENT</x:v>
      </x:c>
      <x:c r="K7061" t="str">
        <x:v>credit_card</x:v>
      </x:c>
      <x:c r="L7061" t="n">
        <x:v>0</x:v>
      </x:c>
      <x:c r="M7061" t="n">
        <x:v>0</x:v>
      </x:c>
      <x:c r="N7061" t="str">
        <x:v>Fully Paid</x:v>
      </x:c>
      <x:c r="O7061" t="str">
        <x:f>IF(D7061="","Unknown",IF(D7061&lt;25000,"&lt;$25k",IF(D7061&lt;50000,"$25k-$50k",IF(D7061&lt;75000,"$50k-$75k",IF(D7061&lt;100000,"$75k-$100k","$100k+")))))</x:f>
        <x:v>$75k-$100k</x:v>
      </x:c>
      <x:c r="P7061" t="str">
        <x:f>IF(E7061="","Unknown",IF(E7061&lt;10,"&lt;10",IF(E7061&lt;20,"10-&lt;20",IF(E7061&lt;25,"20-&lt;25",IF(E7061&lt;35,"25-&lt;35","35+")))))</x:f>
        <x:v>&lt;10</x:v>
      </x:c>
    </x:row>
    <x:row r="7062">
      <x:c r="A7062" t="str">
        <x:v>SYN0007061</x:v>
      </x:c>
      <x:c r="B7062" s="12" t="n">
        <x:v>43015</x:v>
      </x:c>
      <x:c r="C7062" s="18" t="n">
        <x:v>26610</x:v>
      </x:c>
      <x:c r="D7062" s="18" t="n">
        <x:v>33999</x:v>
      </x:c>
      <x:c r="E7062" s="18" t="n">
        <x:v>12.8</x:v>
      </x:c>
      <x:c r="F7062" s="18" t="n">
        <x:v>10.97</x:v>
      </x:c>
      <x:c r="G7062" t="n">
        <x:v>36</x:v>
      </x:c>
      <x:c r="H7062" t="str">
        <x:v>C</x:v>
      </x:c>
      <x:c r="I7062" t="str">
        <x:v>&lt;1 year</x:v>
      </x:c>
      <x:c r="J7062" t="str">
        <x:v>MORTGAGE</x:v>
      </x:c>
      <x:c r="K7062" t="str">
        <x:v>medical</x:v>
      </x:c>
      <x:c r="L7062" t="n">
        <x:v>0</x:v>
      </x:c>
      <x:c r="M7062" t="n">
        <x:v>1</x:v>
      </x:c>
      <x:c r="N7062" t="str">
        <x:v>Charged Off</x:v>
      </x:c>
      <x:c r="O7062" t="str">
        <x:f>IF(D7062="","Unknown",IF(D7062&lt;25000,"&lt;$25k",IF(D7062&lt;50000,"$25k-$50k",IF(D7062&lt;75000,"$50k-$75k",IF(D7062&lt;100000,"$75k-$100k","$100k+")))))</x:f>
        <x:v>$25k-$50k</x:v>
      </x:c>
      <x:c r="P7062" t="str">
        <x:f>IF(E7062="","Unknown",IF(E7062&lt;10,"&lt;10",IF(E7062&lt;20,"10-&lt;20",IF(E7062&lt;25,"20-&lt;25",IF(E7062&lt;35,"25-&lt;35","35+")))))</x:f>
        <x:v>10-&lt;20</x:v>
      </x:c>
    </x:row>
    <x:row r="7063">
      <x:c r="A7063" t="str">
        <x:v>SYN0007062</x:v>
      </x:c>
      <x:c r="B7063" s="12" t="n">
        <x:v>43405</x:v>
      </x:c>
      <x:c r="C7063" s="18" t="n">
        <x:v>9608</x:v>
      </x:c>
      <x:c r="D7063" s="18" t="n">
        <x:v>40368</x:v>
      </x:c>
      <x:c r="E7063" s="18" t="n">
        <x:v>17.61</x:v>
      </x:c>
      <x:c r="F7063" s="18" t="n">
        <x:v>6.12</x:v>
      </x:c>
      <x:c r="G7063" t="n">
        <x:v>36</x:v>
      </x:c>
      <x:c r="H7063" t="str">
        <x:v>B</x:v>
      </x:c>
      <x:c r="I7063" t="str">
        <x:v>10+ years</x:v>
      </x:c>
      <x:c r="J7063" t="str">
        <x:v>MORTGAGE</x:v>
      </x:c>
      <x:c r="K7063" t="str">
        <x:v>debt_consolidation</x:v>
      </x:c>
      <x:c r="L7063" t="n">
        <x:v>0</x:v>
      </x:c>
      <x:c r="M7063" t="n">
        <x:v>0</x:v>
      </x:c>
      <x:c r="N7063" t="str">
        <x:v>Fully Paid</x:v>
      </x:c>
      <x:c r="O7063" t="str">
        <x:f>IF(D7063="","Unknown",IF(D7063&lt;25000,"&lt;$25k",IF(D7063&lt;50000,"$25k-$50k",IF(D7063&lt;75000,"$50k-$75k",IF(D7063&lt;100000,"$75k-$100k","$100k+")))))</x:f>
        <x:v>$25k-$50k</x:v>
      </x:c>
      <x:c r="P7063" t="str">
        <x:f>IF(E7063="","Unknown",IF(E7063&lt;10,"&lt;10",IF(E7063&lt;20,"10-&lt;20",IF(E7063&lt;25,"20-&lt;25",IF(E7063&lt;35,"25-&lt;35","35+")))))</x:f>
        <x:v>10-&lt;20</x:v>
      </x:c>
    </x:row>
    <x:row r="7064">
      <x:c r="A7064" t="str">
        <x:v>SYN0007063</x:v>
      </x:c>
      <x:c r="B7064" s="12" t="n">
        <x:v>43135</x:v>
      </x:c>
      <x:c r="C7064" s="18" t="n">
        <x:v>12891</x:v>
      </x:c>
      <x:c r="D7064" s="18" t="n">
        <x:v>25985</x:v>
      </x:c>
      <x:c r="E7064" s="18" t="n">
        <x:v>11.95</x:v>
      </x:c>
      <x:c r="F7064" s="18" t="n">
        <x:v>9.08</x:v>
      </x:c>
      <x:c r="G7064" t="n">
        <x:v>60</x:v>
      </x:c>
      <x:c r="H7064" t="str">
        <x:v>B</x:v>
      </x:c>
      <x:c r="I7064" t="str">
        <x:v>1-3 years</x:v>
      </x:c>
      <x:c r="J7064" t="str">
        <x:v>MORTGAGE</x:v>
      </x:c>
      <x:c r="K7064" t="str">
        <x:v>home_improvement</x:v>
      </x:c>
      <x:c r="L7064" t="n">
        <x:v>1</x:v>
      </x:c>
      <x:c r="M7064" t="n">
        <x:v>0</x:v>
      </x:c>
      <x:c r="N7064" t="str">
        <x:v>Fully Paid</x:v>
      </x:c>
      <x:c r="O7064" t="str">
        <x:f>IF(D7064="","Unknown",IF(D7064&lt;25000,"&lt;$25k",IF(D7064&lt;50000,"$25k-$50k",IF(D7064&lt;75000,"$50k-$75k",IF(D7064&lt;100000,"$75k-$100k","$100k+")))))</x:f>
        <x:v>$25k-$50k</x:v>
      </x:c>
      <x:c r="P7064" t="str">
        <x:f>IF(E7064="","Unknown",IF(E7064&lt;10,"&lt;10",IF(E7064&lt;20,"10-&lt;20",IF(E7064&lt;25,"20-&lt;25",IF(E7064&lt;35,"25-&lt;35","35+")))))</x:f>
        <x:v>10-&lt;20</x:v>
      </x:c>
    </x:row>
    <x:row r="7065">
      <x:c r="A7065" t="str">
        <x:v>SYN0007064</x:v>
      </x:c>
      <x:c r="B7065" s="12" t="n">
        <x:v>42385</x:v>
      </x:c>
      <x:c r="C7065" s="18" t="n">
        <x:v>23434</x:v>
      </x:c>
      <x:c r="D7065" s="18" t="n">
        <x:v>38265</x:v>
      </x:c>
      <x:c r="E7065" s="18" t="n">
        <x:v>15.62</x:v>
      </x:c>
      <x:c r="F7065" s="18" t="n">
        <x:v>6.06</x:v>
      </x:c>
      <x:c r="G7065" t="n">
        <x:v>60</x:v>
      </x:c>
      <x:c r="H7065" t="str">
        <x:v>A</x:v>
      </x:c>
      <x:c r="I7065" t="str">
        <x:v>10+ years</x:v>
      </x:c>
      <x:c r="J7065" t="str">
        <x:v>MORTGAGE</x:v>
      </x:c>
      <x:c r="K7065" t="str">
        <x:v>debt_consolidation</x:v>
      </x:c>
      <x:c r="L7065" t="n">
        <x:v>0</x:v>
      </x:c>
      <x:c r="M7065" t="n">
        <x:v>0</x:v>
      </x:c>
      <x:c r="N7065" t="str">
        <x:v>Fully Paid</x:v>
      </x:c>
      <x:c r="O7065" t="str">
        <x:f>IF(D7065="","Unknown",IF(D7065&lt;25000,"&lt;$25k",IF(D7065&lt;50000,"$25k-$50k",IF(D7065&lt;75000,"$50k-$75k",IF(D7065&lt;100000,"$75k-$100k","$100k+")))))</x:f>
        <x:v>$25k-$50k</x:v>
      </x:c>
      <x:c r="P7065" t="str">
        <x:f>IF(E7065="","Unknown",IF(E7065&lt;10,"&lt;10",IF(E7065&lt;20,"10-&lt;20",IF(E7065&lt;25,"20-&lt;25",IF(E7065&lt;35,"25-&lt;35","35+")))))</x:f>
        <x:v>10-&lt;20</x:v>
      </x:c>
    </x:row>
    <x:row r="7066">
      <x:c r="A7066" t="str">
        <x:v>SYN0007065</x:v>
      </x:c>
      <x:c r="B7066" s="12" t="n">
        <x:v>43315</x:v>
      </x:c>
      <x:c r="C7066" s="18" t="n">
        <x:v>27595</x:v>
      </x:c>
      <x:c r="D7066" s="18" t="n">
        <x:v>90284</x:v>
      </x:c>
      <x:c r="E7066" s="18" t="n">
        <x:v>14.94</x:v>
      </x:c>
      <x:c r="F7066" s="18" t="n">
        <x:v>19.06</x:v>
      </x:c>
      <x:c r="G7066" t="n">
        <x:v>36</x:v>
      </x:c>
      <x:c r="H7066" t="str">
        <x:v>E</x:v>
      </x:c>
      <x:c r="I7066" t="str">
        <x:v>4-6 years</x:v>
      </x:c>
      <x:c r="J7066" t="str">
        <x:v>OWN</x:v>
      </x:c>
      <x:c r="K7066" t="str">
        <x:v>credit_card</x:v>
      </x:c>
      <x:c r="L7066" t="n">
        <x:v>1</x:v>
      </x:c>
      <x:c r="M7066" t="n">
        <x:v>1</x:v>
      </x:c>
      <x:c r="N7066" t="str">
        <x:v>Charged Off</x:v>
      </x:c>
      <x:c r="O7066" t="str">
        <x:f>IF(D7066="","Unknown",IF(D7066&lt;25000,"&lt;$25k",IF(D7066&lt;50000,"$25k-$50k",IF(D7066&lt;75000,"$50k-$75k",IF(D7066&lt;100000,"$75k-$100k","$100k+")))))</x:f>
        <x:v>$75k-$100k</x:v>
      </x:c>
      <x:c r="P7066" t="str">
        <x:f>IF(E7066="","Unknown",IF(E7066&lt;10,"&lt;10",IF(E7066&lt;20,"10-&lt;20",IF(E7066&lt;25,"20-&lt;25",IF(E7066&lt;35,"25-&lt;35","35+")))))</x:f>
        <x:v>10-&lt;20</x:v>
      </x:c>
    </x:row>
    <x:row r="7067">
      <x:c r="A7067" t="str">
        <x:v>SYN0007066</x:v>
      </x:c>
      <x:c r="B7067" s="12" t="n">
        <x:v>42475</x:v>
      </x:c>
      <x:c r="C7067" s="18" t="n">
        <x:v>7423</x:v>
      </x:c>
      <x:c r="D7067" s="18" t="n">
        <x:v>32423</x:v>
      </x:c>
      <x:c r="E7067" s="18" t="n">
        <x:v>15.77</x:v>
      </x:c>
      <x:c r="F7067" s="18" t="n">
        <x:v>14.6</x:v>
      </x:c>
      <x:c r="G7067" t="n">
        <x:v>36</x:v>
      </x:c>
      <x:c r="H7067" t="str">
        <x:v>D</x:v>
      </x:c>
      <x:c r="I7067" t="str">
        <x:v>&lt;1 year</x:v>
      </x:c>
      <x:c r="J7067" t="str">
        <x:v>MORTGAGE</x:v>
      </x:c>
      <x:c r="K7067" t="str">
        <x:v>debt_consolidation</x:v>
      </x:c>
      <x:c r="L7067" t="n">
        <x:v>0</x:v>
      </x:c>
      <x:c r="M7067" t="n">
        <x:v>0</x:v>
      </x:c>
      <x:c r="N7067" t="str">
        <x:v>Fully Paid</x:v>
      </x:c>
      <x:c r="O7067" t="str">
        <x:f>IF(D7067="","Unknown",IF(D7067&lt;25000,"&lt;$25k",IF(D7067&lt;50000,"$25k-$50k",IF(D7067&lt;75000,"$50k-$75k",IF(D7067&lt;100000,"$75k-$100k","$100k+")))))</x:f>
        <x:v>$25k-$50k</x:v>
      </x:c>
      <x:c r="P7067" t="str">
        <x:f>IF(E7067="","Unknown",IF(E7067&lt;10,"&lt;10",IF(E7067&lt;20,"10-&lt;20",IF(E7067&lt;25,"20-&lt;25",IF(E7067&lt;35,"25-&lt;35","35+")))))</x:f>
        <x:v>10-&lt;20</x:v>
      </x:c>
    </x:row>
    <x:row r="7068">
      <x:c r="A7068" t="str">
        <x:v>SYN0007067</x:v>
      </x:c>
      <x:c r="B7068" s="12" t="n">
        <x:v>41725</x:v>
      </x:c>
      <x:c r="C7068" s="18" t="n">
        <x:v>17752</x:v>
      </x:c>
      <x:c r="D7068" s="18" t="n">
        <x:v>23016</x:v>
      </x:c>
      <x:c r="E7068" s="18" t="n">
        <x:v>35.5</x:v>
      </x:c>
      <x:c r="F7068" s="18" t="n">
        <x:v>12.38</x:v>
      </x:c>
      <x:c r="G7068" t="n">
        <x:v>36</x:v>
      </x:c>
      <x:c r="H7068" t="str">
        <x:v>D</x:v>
      </x:c>
      <x:c r="I7068" t="str">
        <x:v>4-6 years</x:v>
      </x:c>
      <x:c r="J7068" t="str">
        <x:v>RENT</x:v>
      </x:c>
      <x:c r="K7068" t="str">
        <x:v>debt_consolidation</x:v>
      </x:c>
      <x:c r="L7068" t="n">
        <x:v>0</x:v>
      </x:c>
      <x:c r="M7068" t="n">
        <x:v>0</x:v>
      </x:c>
      <x:c r="N7068" t="str">
        <x:v>Fully Paid</x:v>
      </x:c>
      <x:c r="O7068" t="str">
        <x:f>IF(D7068="","Unknown",IF(D7068&lt;25000,"&lt;$25k",IF(D7068&lt;50000,"$25k-$50k",IF(D7068&lt;75000,"$50k-$75k",IF(D7068&lt;100000,"$75k-$100k","$100k+")))))</x:f>
        <x:v>&lt;$25k</x:v>
      </x:c>
      <x:c r="P7068" t="str">
        <x:f>IF(E7068="","Unknown",IF(E7068&lt;10,"&lt;10",IF(E7068&lt;20,"10-&lt;20",IF(E7068&lt;25,"20-&lt;25",IF(E7068&lt;35,"25-&lt;35","35+")))))</x:f>
        <x:v>35+</x:v>
      </x:c>
    </x:row>
    <x:row r="7069">
      <x:c r="A7069" t="str">
        <x:v>SYN0007068</x:v>
      </x:c>
      <x:c r="B7069" s="12" t="n">
        <x:v>42115</x:v>
      </x:c>
      <x:c r="C7069" s="18" t="n">
        <x:v>13030</x:v>
      </x:c>
      <x:c r="D7069" s="18" t="n">
        <x:v>190007</x:v>
      </x:c>
      <x:c r="E7069" s="18" t="n">
        <x:v>28.08</x:v>
      </x:c>
      <x:c r="F7069" s="18" t="n">
        <x:v>6.6</x:v>
      </x:c>
      <x:c r="G7069" t="n">
        <x:v>60</x:v>
      </x:c>
      <x:c r="H7069" t="str">
        <x:v>A</x:v>
      </x:c>
      <x:c r="I7069" t="str">
        <x:v>4-6 years</x:v>
      </x:c>
      <x:c r="J7069" t="str">
        <x:v>OWN</x:v>
      </x:c>
      <x:c r="K7069" t="str">
        <x:v>debt_consolidation</x:v>
      </x:c>
      <x:c r="L7069" t="n">
        <x:v>0</x:v>
      </x:c>
      <x:c r="M7069" t="n">
        <x:v>0</x:v>
      </x:c>
      <x:c r="N7069" t="str">
        <x:v>Fully Paid</x:v>
      </x:c>
      <x:c r="O7069" t="str">
        <x:f>IF(D7069="","Unknown",IF(D7069&lt;25000,"&lt;$25k",IF(D7069&lt;50000,"$25k-$50k",IF(D7069&lt;75000,"$50k-$75k",IF(D7069&lt;100000,"$75k-$100k","$100k+")))))</x:f>
        <x:v>$100k+</x:v>
      </x:c>
      <x:c r="P7069" t="str">
        <x:f>IF(E7069="","Unknown",IF(E7069&lt;10,"&lt;10",IF(E7069&lt;20,"10-&lt;20",IF(E7069&lt;25,"20-&lt;25",IF(E7069&lt;35,"25-&lt;35","35+")))))</x:f>
        <x:v>25-&lt;35</x:v>
      </x:c>
    </x:row>
    <x:row r="7070">
      <x:c r="A7070" t="str">
        <x:v>SYN0007069</x:v>
      </x:c>
      <x:c r="B7070" s="12" t="n">
        <x:v>41455</x:v>
      </x:c>
      <x:c r="C7070" s="18" t="n">
        <x:v>6457</x:v>
      </x:c>
      <x:c r="D7070" s="18" t="n">
        <x:v>41441</x:v>
      </x:c>
      <x:c r="E7070" s="18" t="n">
        <x:v>22.51</x:v>
      </x:c>
      <x:c r="F7070" s="18" t="n">
        <x:v>5</x:v>
      </x:c>
      <x:c r="G7070" t="n">
        <x:v>36</x:v>
      </x:c>
      <x:c r="H7070" t="str">
        <x:v>A</x:v>
      </x:c>
      <x:c r="I7070" t="str">
        <x:v>7-9 years</x:v>
      </x:c>
      <x:c r="J7070" t="str">
        <x:v>RENT</x:v>
      </x:c>
      <x:c r="K7070" t="str">
        <x:v>debt_consolidation</x:v>
      </x:c>
      <x:c r="L7070" t="n">
        <x:v>0</x:v>
      </x:c>
      <x:c r="M7070" t="n">
        <x:v>0</x:v>
      </x:c>
      <x:c r="N7070" t="str">
        <x:v>Fully Paid</x:v>
      </x:c>
      <x:c r="O7070" t="str">
        <x:f>IF(D7070="","Unknown",IF(D7070&lt;25000,"&lt;$25k",IF(D7070&lt;50000,"$25k-$50k",IF(D7070&lt;75000,"$50k-$75k",IF(D7070&lt;100000,"$75k-$100k","$100k+")))))</x:f>
        <x:v>$25k-$50k</x:v>
      </x:c>
      <x:c r="P7070" t="str">
        <x:f>IF(E7070="","Unknown",IF(E7070&lt;10,"&lt;10",IF(E7070&lt;20,"10-&lt;20",IF(E7070&lt;25,"20-&lt;25",IF(E7070&lt;35,"25-&lt;35","35+")))))</x:f>
        <x:v>20-&lt;25</x:v>
      </x:c>
    </x:row>
    <x:row r="7071">
      <x:c r="A7071" t="str">
        <x:v>SYN0007070</x:v>
      </x:c>
      <x:c r="B7071" s="12" t="n">
        <x:v>43225</x:v>
      </x:c>
      <x:c r="C7071" s="18" t="n">
        <x:v>5980</x:v>
      </x:c>
      <x:c r="D7071" s="18" t="n">
        <x:v>155915</x:v>
      </x:c>
      <x:c r="E7071" s="18" t="n">
        <x:v>18.29</x:v>
      </x:c>
      <x:c r="F7071" s="18" t="n">
        <x:v>9.26</x:v>
      </x:c>
      <x:c r="G7071" t="n">
        <x:v>36</x:v>
      </x:c>
      <x:c r="H7071" t="str">
        <x:v>C</x:v>
      </x:c>
      <x:c r="I7071" t="str">
        <x:v>10+ years</x:v>
      </x:c>
      <x:c r="J7071" t="str">
        <x:v>OTHER</x:v>
      </x:c>
      <x:c r="K7071" t="str">
        <x:v>debt_consolidation</x:v>
      </x:c>
      <x:c r="L7071" t="n">
        <x:v>1</x:v>
      </x:c>
      <x:c r="M7071" t="n">
        <x:v>0</x:v>
      </x:c>
      <x:c r="N7071" t="str">
        <x:v>Fully Paid</x:v>
      </x:c>
      <x:c r="O7071" t="str">
        <x:f>IF(D7071="","Unknown",IF(D7071&lt;25000,"&lt;$25k",IF(D7071&lt;50000,"$25k-$50k",IF(D7071&lt;75000,"$50k-$75k",IF(D7071&lt;100000,"$75k-$100k","$100k+")))))</x:f>
        <x:v>$100k+</x:v>
      </x:c>
      <x:c r="P7071" t="str">
        <x:f>IF(E7071="","Unknown",IF(E7071&lt;10,"&lt;10",IF(E7071&lt;20,"10-&lt;20",IF(E7071&lt;25,"20-&lt;25",IF(E7071&lt;35,"25-&lt;35","35+")))))</x:f>
        <x:v>10-&lt;20</x:v>
      </x:c>
    </x:row>
    <x:row r="7072">
      <x:c r="A7072" t="str">
        <x:v>SYN0007071</x:v>
      </x:c>
      <x:c r="B7072" s="12" t="n">
        <x:v>41695</x:v>
      </x:c>
      <x:c r="C7072" s="18" t="n">
        <x:v>7499</x:v>
      </x:c>
      <x:c r="D7072" s="18" t="n">
        <x:v>86720</x:v>
      </x:c>
      <x:c r="E7072" s="18" t="n">
        <x:v>10.51</x:v>
      </x:c>
      <x:c r="F7072" s="18" t="n">
        <x:v>7.47</x:v>
      </x:c>
      <x:c r="G7072" t="n">
        <x:v>60</x:v>
      </x:c>
      <x:c r="H7072" t="str">
        <x:v>B</x:v>
      </x:c>
      <x:c r="I7072" t="str">
        <x:v>1-3 years</x:v>
      </x:c>
      <x:c r="J7072" t="str">
        <x:v>RENT</x:v>
      </x:c>
      <x:c r="K7072" t="str">
        <x:v>debt_consolidation</x:v>
      </x:c>
      <x:c r="L7072" t="n">
        <x:v>0</x:v>
      </x:c>
      <x:c r="M7072" t="n">
        <x:v>0</x:v>
      </x:c>
      <x:c r="N7072" t="str">
        <x:v>Fully Paid</x:v>
      </x:c>
      <x:c r="O7072" t="str">
        <x:f>IF(D7072="","Unknown",IF(D7072&lt;25000,"&lt;$25k",IF(D7072&lt;50000,"$25k-$50k",IF(D7072&lt;75000,"$50k-$75k",IF(D7072&lt;100000,"$75k-$100k","$100k+")))))</x:f>
        <x:v>$75k-$100k</x:v>
      </x:c>
      <x:c r="P7072" t="str">
        <x:f>IF(E7072="","Unknown",IF(E7072&lt;10,"&lt;10",IF(E7072&lt;20,"10-&lt;20",IF(E7072&lt;25,"20-&lt;25",IF(E7072&lt;35,"25-&lt;35","35+")))))</x:f>
        <x:v>10-&lt;20</x:v>
      </x:c>
    </x:row>
    <x:row r="7073">
      <x:c r="A7073" t="str">
        <x:v>SYN0007072</x:v>
      </x:c>
      <x:c r="B7073" s="12" t="n">
        <x:v>43345</x:v>
      </x:c>
      <x:c r="C7073" s="18" t="n">
        <x:v>25065</x:v>
      </x:c>
      <x:c r="D7073" s="18" t="n">
        <x:v>71046</x:v>
      </x:c>
      <x:c r="E7073" s="18" t="n">
        <x:v>21.33</x:v>
      </x:c>
      <x:c r="F7073" s="18" t="n">
        <x:v>8.1</x:v>
      </x:c>
      <x:c r="G7073" t="n">
        <x:v>36</x:v>
      </x:c>
      <x:c r="H7073" t="str">
        <x:v>B</x:v>
      </x:c>
      <x:c r="I7073" t="str">
        <x:v>1-3 years</x:v>
      </x:c>
      <x:c r="J7073" t="str">
        <x:v>RENT</x:v>
      </x:c>
      <x:c r="K7073" t="str">
        <x:v>debt_consolidation</x:v>
      </x:c>
      <x:c r="L7073" t="n">
        <x:v>0</x:v>
      </x:c>
      <x:c r="M7073" t="n">
        <x:v>0</x:v>
      </x:c>
      <x:c r="N7073" t="str">
        <x:v>Fully Paid</x:v>
      </x:c>
      <x:c r="O7073" t="str">
        <x:f>IF(D7073="","Unknown",IF(D7073&lt;25000,"&lt;$25k",IF(D7073&lt;50000,"$25k-$50k",IF(D7073&lt;75000,"$50k-$75k",IF(D7073&lt;100000,"$75k-$100k","$100k+")))))</x:f>
        <x:v>$50k-$75k</x:v>
      </x:c>
      <x:c r="P7073" t="str">
        <x:f>IF(E7073="","Unknown",IF(E7073&lt;10,"&lt;10",IF(E7073&lt;20,"10-&lt;20",IF(E7073&lt;25,"20-&lt;25",IF(E7073&lt;35,"25-&lt;35","35+")))))</x:f>
        <x:v>20-&lt;25</x:v>
      </x:c>
    </x:row>
    <x:row r="7074">
      <x:c r="A7074" t="str">
        <x:v>SYN0007073</x:v>
      </x:c>
      <x:c r="B7074" s="12" t="n">
        <x:v>41875</x:v>
      </x:c>
      <x:c r="C7074" s="18" t="n">
        <x:v>5193</x:v>
      </x:c>
      <x:c r="D7074" s="18" t="n">
        <x:v>97215</x:v>
      </x:c>
      <x:c r="E7074" s="18" t="n">
        <x:v>22.7</x:v>
      </x:c>
      <x:c r="F7074" s="18" t="n">
        <x:v>5.12</x:v>
      </x:c>
      <x:c r="G7074" t="n">
        <x:v>36</x:v>
      </x:c>
      <x:c r="H7074" t="str">
        <x:v>A</x:v>
      </x:c>
      <x:c r="I7074" t="str">
        <x:v>10+ years</x:v>
      </x:c>
      <x:c r="J7074" t="str">
        <x:v>MORTGAGE</x:v>
      </x:c>
      <x:c r="K7074" t="str">
        <x:v>debt_consolidation</x:v>
      </x:c>
      <x:c r="L7074" t="n">
        <x:v>0</x:v>
      </x:c>
      <x:c r="M7074" t="n">
        <x:v>0</x:v>
      </x:c>
      <x:c r="N7074" t="str">
        <x:v>Fully Paid</x:v>
      </x:c>
      <x:c r="O7074" t="str">
        <x:f>IF(D7074="","Unknown",IF(D7074&lt;25000,"&lt;$25k",IF(D7074&lt;50000,"$25k-$50k",IF(D7074&lt;75000,"$50k-$75k",IF(D7074&lt;100000,"$75k-$100k","$100k+")))))</x:f>
        <x:v>$75k-$100k</x:v>
      </x:c>
      <x:c r="P7074" t="str">
        <x:f>IF(E7074="","Unknown",IF(E7074&lt;10,"&lt;10",IF(E7074&lt;20,"10-&lt;20",IF(E7074&lt;25,"20-&lt;25",IF(E7074&lt;35,"25-&lt;35","35+")))))</x:f>
        <x:v>20-&lt;25</x:v>
      </x:c>
    </x:row>
    <x:row r="7075">
      <x:c r="A7075" t="str">
        <x:v>SYN0007074</x:v>
      </x:c>
      <x:c r="B7075" s="12" t="n">
        <x:v>43315</x:v>
      </x:c>
      <x:c r="C7075" s="18" t="n">
        <x:v>8690</x:v>
      </x:c>
      <x:c r="D7075" s="18" t="n">
        <x:v>34888</x:v>
      </x:c>
      <x:c r="E7075" s="18" t="n">
        <x:v>37.75</x:v>
      </x:c>
      <x:c r="F7075" s="18" t="n">
        <x:v>17.42</x:v>
      </x:c>
      <x:c r="G7075" t="n">
        <x:v>36</x:v>
      </x:c>
      <x:c r="H7075" t="str">
        <x:v>E</x:v>
      </x:c>
      <x:c r="I7075" t="str">
        <x:v>&lt;1 year</x:v>
      </x:c>
      <x:c r="J7075" t="str">
        <x:v>MORTGAGE</x:v>
      </x:c>
      <x:c r="K7075" t="str">
        <x:v>credit_card</x:v>
      </x:c>
      <x:c r="L7075" t="n">
        <x:v>2</x:v>
      </x:c>
      <x:c r="M7075" t="n">
        <x:v>0</x:v>
      </x:c>
      <x:c r="N7075" t="str">
        <x:v>Fully Paid</x:v>
      </x:c>
      <x:c r="O7075" t="str">
        <x:f>IF(D7075="","Unknown",IF(D7075&lt;25000,"&lt;$25k",IF(D7075&lt;50000,"$25k-$50k",IF(D7075&lt;75000,"$50k-$75k",IF(D7075&lt;100000,"$75k-$100k","$100k+")))))</x:f>
        <x:v>$25k-$50k</x:v>
      </x:c>
      <x:c r="P7075" t="str">
        <x:f>IF(E7075="","Unknown",IF(E7075&lt;10,"&lt;10",IF(E7075&lt;20,"10-&lt;20",IF(E7075&lt;25,"20-&lt;25",IF(E7075&lt;35,"25-&lt;35","35+")))))</x:f>
        <x:v>35+</x:v>
      </x:c>
    </x:row>
    <x:row r="7076">
      <x:c r="A7076" t="str">
        <x:v>SYN0007075</x:v>
      </x:c>
      <x:c r="B7076" s="12" t="n">
        <x:v>41335</x:v>
      </x:c>
      <x:c r="C7076" s="18" t="n">
        <x:v>16723</x:v>
      </x:c>
      <x:c r="D7076" s="18" t="n">
        <x:v>50927</x:v>
      </x:c>
      <x:c r="E7076" s="18" t="n">
        <x:v>20.63</x:v>
      </x:c>
      <x:c r="F7076" s="18" t="n">
        <x:v>18.81</x:v>
      </x:c>
      <x:c r="G7076" t="n">
        <x:v>60</x:v>
      </x:c>
      <x:c r="H7076" t="str">
        <x:v>E</x:v>
      </x:c>
      <x:c r="I7076" t="str">
        <x:v>&lt;1 year</x:v>
      </x:c>
      <x:c r="J7076" t="str">
        <x:v>RENT</x:v>
      </x:c>
      <x:c r="K7076" t="str">
        <x:v>debt_consolidation</x:v>
      </x:c>
      <x:c r="L7076" t="n">
        <x:v>0</x:v>
      </x:c>
      <x:c r="M7076" t="n">
        <x:v>0</x:v>
      </x:c>
      <x:c r="N7076" t="str">
        <x:v>Fully Paid</x:v>
      </x:c>
      <x:c r="O7076" t="str">
        <x:f>IF(D7076="","Unknown",IF(D7076&lt;25000,"&lt;$25k",IF(D7076&lt;50000,"$25k-$50k",IF(D7076&lt;75000,"$50k-$75k",IF(D7076&lt;100000,"$75k-$100k","$100k+")))))</x:f>
        <x:v>$50k-$75k</x:v>
      </x:c>
      <x:c r="P7076" t="str">
        <x:f>IF(E7076="","Unknown",IF(E7076&lt;10,"&lt;10",IF(E7076&lt;20,"10-&lt;20",IF(E7076&lt;25,"20-&lt;25",IF(E7076&lt;35,"25-&lt;35","35+")))))</x:f>
        <x:v>20-&lt;25</x:v>
      </x:c>
    </x:row>
    <x:row r="7077">
      <x:c r="A7077" t="str">
        <x:v>SYN0007076</x:v>
      </x:c>
      <x:c r="B7077" s="12" t="n">
        <x:v>41545</x:v>
      </x:c>
      <x:c r="C7077" s="18" t="n">
        <x:v>14679</x:v>
      </x:c>
      <x:c r="D7077" s="18" t="n">
        <x:v>24160</x:v>
      </x:c>
      <x:c r="E7077" s="18" t="n">
        <x:v>27.69</x:v>
      </x:c>
      <x:c r="F7077" s="18" t="n">
        <x:v>11.02</x:v>
      </x:c>
      <x:c r="G7077" t="n">
        <x:v>36</x:v>
      </x:c>
      <x:c r="H7077" t="str">
        <x:v>B</x:v>
      </x:c>
      <x:c r="I7077" t="str">
        <x:v>1-3 years</x:v>
      </x:c>
      <x:c r="J7077" t="str">
        <x:v>RENT</x:v>
      </x:c>
      <x:c r="K7077" t="str">
        <x:v>debt_consolidation</x:v>
      </x:c>
      <x:c r="L7077" t="n">
        <x:v>1</x:v>
      </x:c>
      <x:c r="M7077" t="n">
        <x:v>0</x:v>
      </x:c>
      <x:c r="N7077" t="str">
        <x:v>Fully Paid</x:v>
      </x:c>
      <x:c r="O7077" t="str">
        <x:f>IF(D7077="","Unknown",IF(D7077&lt;25000,"&lt;$25k",IF(D7077&lt;50000,"$25k-$50k",IF(D7077&lt;75000,"$50k-$75k",IF(D7077&lt;100000,"$75k-$100k","$100k+")))))</x:f>
        <x:v>&lt;$25k</x:v>
      </x:c>
      <x:c r="P7077" t="str">
        <x:f>IF(E7077="","Unknown",IF(E7077&lt;10,"&lt;10",IF(E7077&lt;20,"10-&lt;20",IF(E7077&lt;25,"20-&lt;25",IF(E7077&lt;35,"25-&lt;35","35+")))))</x:f>
        <x:v>25-&lt;35</x:v>
      </x:c>
    </x:row>
    <x:row r="7078">
      <x:c r="A7078" t="str">
        <x:v>SYN0007077</x:v>
      </x:c>
      <x:c r="B7078" s="12" t="n">
        <x:v>42835</x:v>
      </x:c>
      <x:c r="C7078" s="18" t="n">
        <x:v>16434</x:v>
      </x:c>
      <x:c r="D7078" s="18" t="n">
        <x:v>44039</x:v>
      </x:c>
      <x:c r="E7078" s="18" t="n">
        <x:v>16.5</x:v>
      </x:c>
      <x:c r="F7078" s="18" t="n">
        <x:v>16.57</x:v>
      </x:c>
      <x:c r="G7078" t="n">
        <x:v>36</x:v>
      </x:c>
      <x:c r="H7078" t="str">
        <x:v>D</x:v>
      </x:c>
      <x:c r="I7078" t="str">
        <x:v>10+ years</x:v>
      </x:c>
      <x:c r="J7078" t="str">
        <x:v>RENT</x:v>
      </x:c>
      <x:c r="K7078" t="str">
        <x:v>debt_consolidation</x:v>
      </x:c>
      <x:c r="L7078" t="n">
        <x:v>0</x:v>
      </x:c>
      <x:c r="M7078" t="n">
        <x:v>0</x:v>
      </x:c>
      <x:c r="N7078" t="str">
        <x:v>Fully Paid</x:v>
      </x:c>
      <x:c r="O7078" t="str">
        <x:f>IF(D7078="","Unknown",IF(D7078&lt;25000,"&lt;$25k",IF(D7078&lt;50000,"$25k-$50k",IF(D7078&lt;75000,"$50k-$75k",IF(D7078&lt;100000,"$75k-$100k","$100k+")))))</x:f>
        <x:v>$25k-$50k</x:v>
      </x:c>
      <x:c r="P7078" t="str">
        <x:f>IF(E7078="","Unknown",IF(E7078&lt;10,"&lt;10",IF(E7078&lt;20,"10-&lt;20",IF(E7078&lt;25,"20-&lt;25",IF(E7078&lt;35,"25-&lt;35","35+")))))</x:f>
        <x:v>10-&lt;20</x:v>
      </x:c>
    </x:row>
    <x:row r="7079">
      <x:c r="A7079" t="str">
        <x:v>SYN0007078</x:v>
      </x:c>
      <x:c r="B7079" s="12" t="n">
        <x:v>42535</x:v>
      </x:c>
      <x:c r="C7079" s="18" t="n">
        <x:v>15200</x:v>
      </x:c>
      <x:c r="D7079" s="18" t="n">
        <x:v>219857</x:v>
      </x:c>
      <x:c r="E7079" s="18" t="n">
        <x:v>26.35</x:v>
      </x:c>
      <x:c r="F7079" s="18" t="n">
        <x:v>9.14</x:v>
      </x:c>
      <x:c r="G7079" t="n">
        <x:v>36</x:v>
      </x:c>
      <x:c r="H7079" t="str">
        <x:v>B</x:v>
      </x:c>
      <x:c r="I7079" t="str">
        <x:v>1-3 years</x:v>
      </x:c>
      <x:c r="J7079" t="str">
        <x:v>RENT</x:v>
      </x:c>
      <x:c r="K7079" t="str">
        <x:v>debt_consolidation</x:v>
      </x:c>
      <x:c r="L7079" t="n">
        <x:v>0</x:v>
      </x:c>
      <x:c r="M7079" t="n">
        <x:v>0</x:v>
      </x:c>
      <x:c r="N7079" t="str">
        <x:v>Fully Paid</x:v>
      </x:c>
      <x:c r="O7079" t="str">
        <x:f>IF(D7079="","Unknown",IF(D7079&lt;25000,"&lt;$25k",IF(D7079&lt;50000,"$25k-$50k",IF(D7079&lt;75000,"$50k-$75k",IF(D7079&lt;100000,"$75k-$100k","$100k+")))))</x:f>
        <x:v>$100k+</x:v>
      </x:c>
      <x:c r="P7079" t="str">
        <x:f>IF(E7079="","Unknown",IF(E7079&lt;10,"&lt;10",IF(E7079&lt;20,"10-&lt;20",IF(E7079&lt;25,"20-&lt;25",IF(E7079&lt;35,"25-&lt;35","35+")))))</x:f>
        <x:v>25-&lt;35</x:v>
      </x:c>
    </x:row>
    <x:row r="7080">
      <x:c r="A7080" t="str">
        <x:v>SYN0007079</x:v>
      </x:c>
      <x:c r="B7080" s="12" t="n">
        <x:v>41485</x:v>
      </x:c>
      <x:c r="C7080" s="18" t="n">
        <x:v>6188</x:v>
      </x:c>
      <x:c r="D7080" s="18" t="n">
        <x:v>15259</x:v>
      </x:c>
      <x:c r="E7080" s="18" t="n">
        <x:v>23.21</x:v>
      </x:c>
      <x:c r="F7080" s="18" t="n">
        <x:v>13.46</x:v>
      </x:c>
      <x:c r="G7080" t="n">
        <x:v>36</x:v>
      </x:c>
      <x:c r="H7080" t="str">
        <x:v>E</x:v>
      </x:c>
      <x:c r="I7080" t="str">
        <x:v>7-9 years</x:v>
      </x:c>
      <x:c r="J7080" t="str">
        <x:v>RENT</x:v>
      </x:c>
      <x:c r="K7080" t="str">
        <x:v>other</x:v>
      </x:c>
      <x:c r="L7080" t="n">
        <x:v>1</x:v>
      </x:c>
      <x:c r="M7080" t="n">
        <x:v>0</x:v>
      </x:c>
      <x:c r="N7080" t="str">
        <x:v>Fully Paid</x:v>
      </x:c>
      <x:c r="O7080" t="str">
        <x:f>IF(D7080="","Unknown",IF(D7080&lt;25000,"&lt;$25k",IF(D7080&lt;50000,"$25k-$50k",IF(D7080&lt;75000,"$50k-$75k",IF(D7080&lt;100000,"$75k-$100k","$100k+")))))</x:f>
        <x:v>&lt;$25k</x:v>
      </x:c>
      <x:c r="P7080" t="str">
        <x:f>IF(E7080="","Unknown",IF(E7080&lt;10,"&lt;10",IF(E7080&lt;20,"10-&lt;20",IF(E7080&lt;25,"20-&lt;25",IF(E7080&lt;35,"25-&lt;35","35+")))))</x:f>
        <x:v>20-&lt;25</x:v>
      </x:c>
    </x:row>
    <x:row r="7081">
      <x:c r="A7081" t="str">
        <x:v>SYN0007080</x:v>
      </x:c>
      <x:c r="B7081" s="12" t="n">
        <x:v>41335</x:v>
      </x:c>
      <x:c r="C7081" s="18" t="n">
        <x:v>21732</x:v>
      </x:c>
      <x:c r="D7081" s="18" t="n">
        <x:v>90348</x:v>
      </x:c>
      <x:c r="E7081" s="18" t="n">
        <x:v>23.28</x:v>
      </x:c>
      <x:c r="F7081" s="18" t="n">
        <x:v>19.91</x:v>
      </x:c>
      <x:c r="G7081" t="n">
        <x:v>60</x:v>
      </x:c>
      <x:c r="H7081" t="str">
        <x:v>F</x:v>
      </x:c>
      <x:c r="I7081" t="str">
        <x:v>7-9 years</x:v>
      </x:c>
      <x:c r="J7081" t="str">
        <x:v>RENT</x:v>
      </x:c>
      <x:c r="K7081" t="str">
        <x:v>other</x:v>
      </x:c>
      <x:c r="L7081" t="n">
        <x:v>0</x:v>
      </x:c>
      <x:c r="M7081" t="n">
        <x:v>0</x:v>
      </x:c>
      <x:c r="N7081" t="str">
        <x:v>Fully Paid</x:v>
      </x:c>
      <x:c r="O7081" t="str">
        <x:f>IF(D7081="","Unknown",IF(D7081&lt;25000,"&lt;$25k",IF(D7081&lt;50000,"$25k-$50k",IF(D7081&lt;75000,"$50k-$75k",IF(D7081&lt;100000,"$75k-$100k","$100k+")))))</x:f>
        <x:v>$75k-$100k</x:v>
      </x:c>
      <x:c r="P7081" t="str">
        <x:f>IF(E7081="","Unknown",IF(E7081&lt;10,"&lt;10",IF(E7081&lt;20,"10-&lt;20",IF(E7081&lt;25,"20-&lt;25",IF(E7081&lt;35,"25-&lt;35","35+")))))</x:f>
        <x:v>20-&lt;25</x:v>
      </x:c>
    </x:row>
    <x:row r="7082">
      <x:c r="A7082" t="str">
        <x:v>SYN0007081</x:v>
      </x:c>
      <x:c r="B7082" s="12" t="n">
        <x:v>42625</x:v>
      </x:c>
      <x:c r="C7082" s="18" t="n">
        <x:v>10850</x:v>
      </x:c>
      <x:c r="D7082" s="18" t="n">
        <x:v>36905</x:v>
      </x:c>
      <x:c r="E7082" s="18" t="n">
        <x:v>22.53</x:v>
      </x:c>
      <x:c r="F7082" s="18" t="n">
        <x:v>15.5</x:v>
      </x:c>
      <x:c r="G7082" t="n">
        <x:v>60</x:v>
      </x:c>
      <x:c r="H7082" t="str">
        <x:v>E</x:v>
      </x:c>
      <x:c r="I7082" t="str">
        <x:v>1-3 years</x:v>
      </x:c>
      <x:c r="J7082" t="str">
        <x:v>RENT</x:v>
      </x:c>
      <x:c r="K7082" t="str">
        <x:v>credit_card</x:v>
      </x:c>
      <x:c r="L7082" t="n">
        <x:v>0</x:v>
      </x:c>
      <x:c r="M7082" t="n">
        <x:v>0</x:v>
      </x:c>
      <x:c r="N7082" t="str">
        <x:v>Fully Paid</x:v>
      </x:c>
      <x:c r="O7082" t="str">
        <x:f>IF(D7082="","Unknown",IF(D7082&lt;25000,"&lt;$25k",IF(D7082&lt;50000,"$25k-$50k",IF(D7082&lt;75000,"$50k-$75k",IF(D7082&lt;100000,"$75k-$100k","$100k+")))))</x:f>
        <x:v>$25k-$50k</x:v>
      </x:c>
      <x:c r="P7082" t="str">
        <x:f>IF(E7082="","Unknown",IF(E7082&lt;10,"&lt;10",IF(E7082&lt;20,"10-&lt;20",IF(E7082&lt;25,"20-&lt;25",IF(E7082&lt;35,"25-&lt;35","35+")))))</x:f>
        <x:v>20-&lt;25</x:v>
      </x:c>
    </x:row>
    <x:row r="7083">
      <x:c r="A7083" t="str">
        <x:v>SYN0007082</x:v>
      </x:c>
      <x:c r="B7083" s="12" t="n">
        <x:v>41875</x:v>
      </x:c>
      <x:c r="C7083" s="18" t="n">
        <x:v>12183</x:v>
      </x:c>
      <x:c r="D7083" s="18" t="n">
        <x:v>35786</x:v>
      </x:c>
      <x:c r="E7083" s="18" t="n">
        <x:v>32.61</x:v>
      </x:c>
      <x:c r="F7083" s="18" t="n">
        <x:v>18.48</x:v>
      </x:c>
      <x:c r="G7083" t="n">
        <x:v>60</x:v>
      </x:c>
      <x:c r="H7083" t="str">
        <x:v>D</x:v>
      </x:c>
      <x:c r="I7083" t="str">
        <x:v>4-6 years</x:v>
      </x:c>
      <x:c r="J7083" t="str">
        <x:v>RENT</x:v>
      </x:c>
      <x:c r="K7083" t="str">
        <x:v>debt_consolidation</x:v>
      </x:c>
      <x:c r="L7083" t="n">
        <x:v>1</x:v>
      </x:c>
      <x:c r="M7083" t="n">
        <x:v>0</x:v>
      </x:c>
      <x:c r="N7083" t="str">
        <x:v>Fully Paid</x:v>
      </x:c>
      <x:c r="O7083" t="str">
        <x:f>IF(D7083="","Unknown",IF(D7083&lt;25000,"&lt;$25k",IF(D7083&lt;50000,"$25k-$50k",IF(D7083&lt;75000,"$50k-$75k",IF(D7083&lt;100000,"$75k-$100k","$100k+")))))</x:f>
        <x:v>$25k-$50k</x:v>
      </x:c>
      <x:c r="P7083" t="str">
        <x:f>IF(E7083="","Unknown",IF(E7083&lt;10,"&lt;10",IF(E7083&lt;20,"10-&lt;20",IF(E7083&lt;25,"20-&lt;25",IF(E7083&lt;35,"25-&lt;35","35+")))))</x:f>
        <x:v>25-&lt;35</x:v>
      </x:c>
    </x:row>
    <x:row r="7084">
      <x:c r="A7084" t="str">
        <x:v>SYN0007083</x:v>
      </x:c>
      <x:c r="B7084" s="12" t="n">
        <x:v>41785</x:v>
      </x:c>
      <x:c r="C7084" s="18" t="n">
        <x:v>11640</x:v>
      </x:c>
      <x:c r="D7084" s="18" t="n">
        <x:v>92699</x:v>
      </x:c>
      <x:c r="E7084" s="18" t="n">
        <x:v>34.88</x:v>
      </x:c>
      <x:c r="F7084" s="18" t="n">
        <x:v>7.69</x:v>
      </x:c>
      <x:c r="G7084" t="n">
        <x:v>36</x:v>
      </x:c>
      <x:c r="H7084" t="str">
        <x:v>A</x:v>
      </x:c>
      <x:c r="I7084" t="str">
        <x:v>1-3 years</x:v>
      </x:c>
      <x:c r="J7084" t="str">
        <x:v>RENT</x:v>
      </x:c>
      <x:c r="K7084" t="str">
        <x:v>debt_consolidation</x:v>
      </x:c>
      <x:c r="L7084" t="n">
        <x:v>0</x:v>
      </x:c>
      <x:c r="M7084" t="n">
        <x:v>0</x:v>
      </x:c>
      <x:c r="N7084" t="str">
        <x:v>Fully Paid</x:v>
      </x:c>
      <x:c r="O7084" t="str">
        <x:f>IF(D7084="","Unknown",IF(D7084&lt;25000,"&lt;$25k",IF(D7084&lt;50000,"$25k-$50k",IF(D7084&lt;75000,"$50k-$75k",IF(D7084&lt;100000,"$75k-$100k","$100k+")))))</x:f>
        <x:v>$75k-$100k</x:v>
      </x:c>
      <x:c r="P7084" t="str">
        <x:f>IF(E7084="","Unknown",IF(E7084&lt;10,"&lt;10",IF(E7084&lt;20,"10-&lt;20",IF(E7084&lt;25,"20-&lt;25",IF(E7084&lt;35,"25-&lt;35","35+")))))</x:f>
        <x:v>25-&lt;35</x:v>
      </x:c>
    </x:row>
    <x:row r="7085">
      <x:c r="A7085" t="str">
        <x:v>SYN0007084</x:v>
      </x:c>
      <x:c r="B7085" s="12" t="n">
        <x:v>42925</x:v>
      </x:c>
      <x:c r="C7085" s="18" t="n">
        <x:v>10954</x:v>
      </x:c>
      <x:c r="D7085" s="18" t="n">
        <x:v>72551</x:v>
      </x:c>
      <x:c r="E7085" s="18" t="n">
        <x:v>25.9</x:v>
      </x:c>
      <x:c r="F7085" s="18" t="n">
        <x:v>18.45</x:v>
      </x:c>
      <x:c r="G7085" t="n">
        <x:v>60</x:v>
      </x:c>
      <x:c r="H7085" t="str">
        <x:v>E</x:v>
      </x:c>
      <x:c r="I7085" t="str">
        <x:v>10+ years</x:v>
      </x:c>
      <x:c r="J7085" t="str">
        <x:v>RENT</x:v>
      </x:c>
      <x:c r="K7085" t="str">
        <x:v>credit_card</x:v>
      </x:c>
      <x:c r="L7085" t="n">
        <x:v>0</x:v>
      </x:c>
      <x:c r="M7085" t="n">
        <x:v>0</x:v>
      </x:c>
      <x:c r="N7085" t="str">
        <x:v>Fully Paid</x:v>
      </x:c>
      <x:c r="O7085" t="str">
        <x:f>IF(D7085="","Unknown",IF(D7085&lt;25000,"&lt;$25k",IF(D7085&lt;50000,"$25k-$50k",IF(D7085&lt;75000,"$50k-$75k",IF(D7085&lt;100000,"$75k-$100k","$100k+")))))</x:f>
        <x:v>$50k-$75k</x:v>
      </x:c>
      <x:c r="P7085" t="str">
        <x:f>IF(E7085="","Unknown",IF(E7085&lt;10,"&lt;10",IF(E7085&lt;20,"10-&lt;20",IF(E7085&lt;25,"20-&lt;25",IF(E7085&lt;35,"25-&lt;35","35+")))))</x:f>
        <x:v>25-&lt;35</x:v>
      </x:c>
    </x:row>
    <x:row r="7086">
      <x:c r="A7086" t="str">
        <x:v>SYN0007085</x:v>
      </x:c>
      <x:c r="B7086" s="12" t="n">
        <x:v>42805</x:v>
      </x:c>
      <x:c r="C7086" s="18" t="n">
        <x:v>15659</x:v>
      </x:c>
      <x:c r="D7086" s="18" t="n">
        <x:v>14662</x:v>
      </x:c>
      <x:c r="E7086" s="18" t="n">
        <x:v>16.98</x:v>
      </x:c>
      <x:c r="F7086" s="18" t="n">
        <x:v>10.16</x:v>
      </x:c>
      <x:c r="G7086" t="n">
        <x:v>36</x:v>
      </x:c>
      <x:c r="H7086" t="str">
        <x:v>B</x:v>
      </x:c>
      <x:c r="I7086" t="str">
        <x:v>&lt;1 year</x:v>
      </x:c>
      <x:c r="J7086" t="str">
        <x:v>RENT</x:v>
      </x:c>
      <x:c r="K7086" t="str">
        <x:v>debt_consolidation</x:v>
      </x:c>
      <x:c r="L7086" t="n">
        <x:v>2</x:v>
      </x:c>
      <x:c r="M7086" t="n">
        <x:v>0</x:v>
      </x:c>
      <x:c r="N7086" t="str">
        <x:v>Fully Paid</x:v>
      </x:c>
      <x:c r="O7086" t="str">
        <x:f>IF(D7086="","Unknown",IF(D7086&lt;25000,"&lt;$25k",IF(D7086&lt;50000,"$25k-$50k",IF(D7086&lt;75000,"$50k-$75k",IF(D7086&lt;100000,"$75k-$100k","$100k+")))))</x:f>
        <x:v>&lt;$25k</x:v>
      </x:c>
      <x:c r="P7086" t="str">
        <x:f>IF(E7086="","Unknown",IF(E7086&lt;10,"&lt;10",IF(E7086&lt;20,"10-&lt;20",IF(E7086&lt;25,"20-&lt;25",IF(E7086&lt;35,"25-&lt;35","35+")))))</x:f>
        <x:v>10-&lt;20</x:v>
      </x:c>
    </x:row>
    <x:row r="7087">
      <x:c r="A7087" t="str">
        <x:v>SYN0007086</x:v>
      </x:c>
      <x:c r="B7087" s="12" t="n">
        <x:v>43225</x:v>
      </x:c>
      <x:c r="C7087" s="18" t="n">
        <x:v>7722</x:v>
      </x:c>
      <x:c r="D7087" s="18" t="n">
        <x:v>161906</x:v>
      </x:c>
      <x:c r="E7087" s="18" t="n">
        <x:v>25.4</x:v>
      </x:c>
      <x:c r="F7087" s="18" t="n">
        <x:v>6.78</x:v>
      </x:c>
      <x:c r="G7087" t="n">
        <x:v>36</x:v>
      </x:c>
      <x:c r="H7087" t="str">
        <x:v>B</x:v>
      </x:c>
      <x:c r="I7087" t="str">
        <x:v>7-9 years</x:v>
      </x:c>
      <x:c r="J7087" t="str">
        <x:v>MORTGAGE</x:v>
      </x:c>
      <x:c r="K7087" t="str">
        <x:v>debt_consolidation</x:v>
      </x:c>
      <x:c r="L7087" t="n">
        <x:v>0</x:v>
      </x:c>
      <x:c r="M7087" t="n">
        <x:v>0</x:v>
      </x:c>
      <x:c r="N7087" t="str">
        <x:v>Fully Paid</x:v>
      </x:c>
      <x:c r="O7087" t="str">
        <x:f>IF(D7087="","Unknown",IF(D7087&lt;25000,"&lt;$25k",IF(D7087&lt;50000,"$25k-$50k",IF(D7087&lt;75000,"$50k-$75k",IF(D7087&lt;100000,"$75k-$100k","$100k+")))))</x:f>
        <x:v>$100k+</x:v>
      </x:c>
      <x:c r="P7087" t="str">
        <x:f>IF(E7087="","Unknown",IF(E7087&lt;10,"&lt;10",IF(E7087&lt;20,"10-&lt;20",IF(E7087&lt;25,"20-&lt;25",IF(E7087&lt;35,"25-&lt;35","35+")))))</x:f>
        <x:v>25-&lt;35</x:v>
      </x:c>
    </x:row>
    <x:row r="7088">
      <x:c r="A7088" t="str">
        <x:v>SYN0007087</x:v>
      </x:c>
      <x:c r="B7088" s="12" t="n">
        <x:v>41575</x:v>
      </x:c>
      <x:c r="C7088" s="18" t="n">
        <x:v>5558</x:v>
      </x:c>
      <x:c r="D7088" s="18" t="n">
        <x:v>41640</x:v>
      </x:c>
      <x:c r="E7088" s="18" t="n">
        <x:v>40.82</x:v>
      </x:c>
      <x:c r="F7088" s="18" t="n">
        <x:v>14.47</x:v>
      </x:c>
      <x:c r="G7088" t="n">
        <x:v>36</x:v>
      </x:c>
      <x:c r="H7088" t="str">
        <x:v>D</x:v>
      </x:c>
      <x:c r="I7088" t="str">
        <x:v>1-3 years</x:v>
      </x:c>
      <x:c r="J7088" t="str">
        <x:v>MORTGAGE</x:v>
      </x:c>
      <x:c r="K7088" t="str">
        <x:v>credit_card</x:v>
      </x:c>
      <x:c r="L7088" t="n">
        <x:v>0</x:v>
      </x:c>
      <x:c r="M7088" t="n">
        <x:v>0</x:v>
      </x:c>
      <x:c r="N7088" t="str">
        <x:v>Fully Paid</x:v>
      </x:c>
      <x:c r="O7088" t="str">
        <x:f>IF(D7088="","Unknown",IF(D7088&lt;25000,"&lt;$25k",IF(D7088&lt;50000,"$25k-$50k",IF(D7088&lt;75000,"$50k-$75k",IF(D7088&lt;100000,"$75k-$100k","$100k+")))))</x:f>
        <x:v>$25k-$50k</x:v>
      </x:c>
      <x:c r="P7088" t="str">
        <x:f>IF(E7088="","Unknown",IF(E7088&lt;10,"&lt;10",IF(E7088&lt;20,"10-&lt;20",IF(E7088&lt;25,"20-&lt;25",IF(E7088&lt;35,"25-&lt;35","35+")))))</x:f>
        <x:v>35+</x:v>
      </x:c>
    </x:row>
    <x:row r="7089">
      <x:c r="A7089" t="str">
        <x:v>SYN0007088</x:v>
      </x:c>
      <x:c r="B7089" s="12" t="n">
        <x:v>42355</x:v>
      </x:c>
      <x:c r="C7089" s="18" t="n">
        <x:v>13507</x:v>
      </x:c>
      <x:c r="D7089" s="18" t="n">
        <x:v>63173</x:v>
      </x:c>
      <x:c r="E7089" s="18" t="n">
        <x:v>32.23</x:v>
      </x:c>
      <x:c r="F7089" s="18" t="n">
        <x:v>8.33</x:v>
      </x:c>
      <x:c r="G7089" t="n">
        <x:v>60</x:v>
      </x:c>
      <x:c r="H7089" t="str">
        <x:v>A</x:v>
      </x:c>
      <x:c r="I7089" t="str">
        <x:v>4-6 years</x:v>
      </x:c>
      <x:c r="J7089" t="str">
        <x:v>RENT</x:v>
      </x:c>
      <x:c r="K7089" t="str">
        <x:v>other</x:v>
      </x:c>
      <x:c r="L7089" t="n">
        <x:v>0</x:v>
      </x:c>
      <x:c r="M7089" t="n">
        <x:v>1</x:v>
      </x:c>
      <x:c r="N7089" t="str">
        <x:v>Charged Off</x:v>
      </x:c>
      <x:c r="O7089" t="str">
        <x:f>IF(D7089="","Unknown",IF(D7089&lt;25000,"&lt;$25k",IF(D7089&lt;50000,"$25k-$50k",IF(D7089&lt;75000,"$50k-$75k",IF(D7089&lt;100000,"$75k-$100k","$100k+")))))</x:f>
        <x:v>$50k-$75k</x:v>
      </x:c>
      <x:c r="P7089" t="str">
        <x:f>IF(E7089="","Unknown",IF(E7089&lt;10,"&lt;10",IF(E7089&lt;20,"10-&lt;20",IF(E7089&lt;25,"20-&lt;25",IF(E7089&lt;35,"25-&lt;35","35+")))))</x:f>
        <x:v>25-&lt;35</x:v>
      </x:c>
    </x:row>
    <x:row r="7090">
      <x:c r="A7090" t="str">
        <x:v>SYN0007089</x:v>
      </x:c>
      <x:c r="B7090" s="12" t="n">
        <x:v>42745</x:v>
      </x:c>
      <x:c r="C7090" s="18" t="n">
        <x:v>10970</x:v>
      </x:c>
      <x:c r="D7090" s="18" t="n">
        <x:v>30652</x:v>
      </x:c>
      <x:c r="E7090" s="18" t="n">
        <x:v>6.04</x:v>
      </x:c>
      <x:c r="F7090" s="18" t="n">
        <x:v>11.6</x:v>
      </x:c>
      <x:c r="G7090" t="n">
        <x:v>36</x:v>
      </x:c>
      <x:c r="H7090" t="str">
        <x:v>C</x:v>
      </x:c>
      <x:c r="I7090" t="str">
        <x:v>1-3 years</x:v>
      </x:c>
      <x:c r="J7090" t="str">
        <x:v>MORTGAGE</x:v>
      </x:c>
      <x:c r="K7090" t="str">
        <x:v>debt_consolidation</x:v>
      </x:c>
      <x:c r="L7090" t="n">
        <x:v>0</x:v>
      </x:c>
      <x:c r="M7090" t="n">
        <x:v>0</x:v>
      </x:c>
      <x:c r="N7090" t="str">
        <x:v>Fully Paid</x:v>
      </x:c>
      <x:c r="O7090" t="str">
        <x:f>IF(D7090="","Unknown",IF(D7090&lt;25000,"&lt;$25k",IF(D7090&lt;50000,"$25k-$50k",IF(D7090&lt;75000,"$50k-$75k",IF(D7090&lt;100000,"$75k-$100k","$100k+")))))</x:f>
        <x:v>$25k-$50k</x:v>
      </x:c>
      <x:c r="P7090" t="str">
        <x:f>IF(E7090="","Unknown",IF(E7090&lt;10,"&lt;10",IF(E7090&lt;20,"10-&lt;20",IF(E7090&lt;25,"20-&lt;25",IF(E7090&lt;35,"25-&lt;35","35+")))))</x:f>
        <x:v>&lt;10</x:v>
      </x:c>
    </x:row>
    <x:row r="7091">
      <x:c r="A7091" t="str">
        <x:v>SYN0007090</x:v>
      </x:c>
      <x:c r="B7091" s="12" t="n">
        <x:v>42205</x:v>
      </x:c>
      <x:c r="C7091" s="18" t="n">
        <x:v>13526</x:v>
      </x:c>
      <x:c r="D7091" s="18" t="n">
        <x:v>42942</x:v>
      </x:c>
      <x:c r="E7091" s="18" t="n">
        <x:v>8.21</x:v>
      </x:c>
      <x:c r="F7091" s="18" t="n">
        <x:v>9.9</x:v>
      </x:c>
      <x:c r="G7091" t="n">
        <x:v>60</x:v>
      </x:c>
      <x:c r="H7091" t="str">
        <x:v>B</x:v>
      </x:c>
      <x:c r="I7091" t="str">
        <x:v>7-9 years</x:v>
      </x:c>
      <x:c r="J7091" t="str">
        <x:v>MORTGAGE</x:v>
      </x:c>
      <x:c r="K7091" t="str">
        <x:v>debt_consolidation</x:v>
      </x:c>
      <x:c r="L7091" t="n">
        <x:v>1</x:v>
      </x:c>
      <x:c r="M7091" t="n">
        <x:v>0</x:v>
      </x:c>
      <x:c r="N7091" t="str">
        <x:v>Fully Paid</x:v>
      </x:c>
      <x:c r="O7091" t="str">
        <x:f>IF(D7091="","Unknown",IF(D7091&lt;25000,"&lt;$25k",IF(D7091&lt;50000,"$25k-$50k",IF(D7091&lt;75000,"$50k-$75k",IF(D7091&lt;100000,"$75k-$100k","$100k+")))))</x:f>
        <x:v>$25k-$50k</x:v>
      </x:c>
      <x:c r="P7091" t="str">
        <x:f>IF(E7091="","Unknown",IF(E7091&lt;10,"&lt;10",IF(E7091&lt;20,"10-&lt;20",IF(E7091&lt;25,"20-&lt;25",IF(E7091&lt;35,"25-&lt;35","35+")))))</x:f>
        <x:v>&lt;10</x:v>
      </x:c>
    </x:row>
    <x:row r="7092">
      <x:c r="A7092" t="str">
        <x:v>SYN0007091</x:v>
      </x:c>
      <x:c r="B7092" s="12" t="n">
        <x:v>42895</x:v>
      </x:c>
      <x:c r="C7092" s="18" t="n">
        <x:v>33862</x:v>
      </x:c>
      <x:c r="D7092" s="18" t="n">
        <x:v>48569</x:v>
      </x:c>
      <x:c r="E7092" s="18" t="n">
        <x:v>8.49</x:v>
      </x:c>
      <x:c r="F7092" s="18" t="n">
        <x:v>8.63</x:v>
      </x:c>
      <x:c r="G7092" t="n">
        <x:v>36</x:v>
      </x:c>
      <x:c r="H7092" t="str">
        <x:v>C</x:v>
      </x:c>
      <x:c r="I7092" t="str">
        <x:v>7-9 years</x:v>
      </x:c>
      <x:c r="J7092" t="str">
        <x:v>OWN</x:v>
      </x:c>
      <x:c r="K7092" t="str">
        <x:v>credit_card</x:v>
      </x:c>
      <x:c r="L7092" t="n">
        <x:v>0</x:v>
      </x:c>
      <x:c r="M7092" t="n">
        <x:v>0</x:v>
      </x:c>
      <x:c r="N7092" t="str">
        <x:v>Fully Paid</x:v>
      </x:c>
      <x:c r="O7092" t="str">
        <x:f>IF(D7092="","Unknown",IF(D7092&lt;25000,"&lt;$25k",IF(D7092&lt;50000,"$25k-$50k",IF(D7092&lt;75000,"$50k-$75k",IF(D7092&lt;100000,"$75k-$100k","$100k+")))))</x:f>
        <x:v>$25k-$50k</x:v>
      </x:c>
      <x:c r="P7092" t="str">
        <x:f>IF(E7092="","Unknown",IF(E7092&lt;10,"&lt;10",IF(E7092&lt;20,"10-&lt;20",IF(E7092&lt;25,"20-&lt;25",IF(E7092&lt;35,"25-&lt;35","35+")))))</x:f>
        <x:v>&lt;10</x:v>
      </x:c>
    </x:row>
    <x:row r="7093">
      <x:c r="A7093" t="str">
        <x:v>SYN0007092</x:v>
      </x:c>
      <x:c r="B7093" s="12" t="n">
        <x:v>43225</x:v>
      </x:c>
      <x:c r="C7093" s="18" t="n">
        <x:v>15498</x:v>
      </x:c>
      <x:c r="D7093" s="18" t="n">
        <x:v>55099</x:v>
      </x:c>
      <x:c r="E7093" s="18" t="n">
        <x:v>29.33</x:v>
      </x:c>
      <x:c r="F7093" s="18" t="n">
        <x:v>5</x:v>
      </x:c>
      <x:c r="G7093" t="n">
        <x:v>60</x:v>
      </x:c>
      <x:c r="H7093" t="str">
        <x:v>A</x:v>
      </x:c>
      <x:c r="I7093" t="str">
        <x:v>1-3 years</x:v>
      </x:c>
      <x:c r="J7093" t="str">
        <x:v>RENT</x:v>
      </x:c>
      <x:c r="K7093" t="str">
        <x:v>debt_consolidation</x:v>
      </x:c>
      <x:c r="L7093" t="n">
        <x:v>0</x:v>
      </x:c>
      <x:c r="M7093" t="n">
        <x:v>0</x:v>
      </x:c>
      <x:c r="N7093" t="str">
        <x:v>Fully Paid</x:v>
      </x:c>
      <x:c r="O7093" t="str">
        <x:f>IF(D7093="","Unknown",IF(D7093&lt;25000,"&lt;$25k",IF(D7093&lt;50000,"$25k-$50k",IF(D7093&lt;75000,"$50k-$75k",IF(D7093&lt;100000,"$75k-$100k","$100k+")))))</x:f>
        <x:v>$50k-$75k</x:v>
      </x:c>
      <x:c r="P7093" t="str">
        <x:f>IF(E7093="","Unknown",IF(E7093&lt;10,"&lt;10",IF(E7093&lt;20,"10-&lt;20",IF(E7093&lt;25,"20-&lt;25",IF(E7093&lt;35,"25-&lt;35","35+")))))</x:f>
        <x:v>25-&lt;35</x:v>
      </x:c>
    </x:row>
    <x:row r="7094">
      <x:c r="A7094" t="str">
        <x:v>SYN0007093</x:v>
      </x:c>
      <x:c r="B7094" s="12" t="n">
        <x:v>42865</x:v>
      </x:c>
      <x:c r="C7094" s="18" t="n">
        <x:v>7738</x:v>
      </x:c>
      <x:c r="D7094" s="18" t="n">
        <x:v>93049</x:v>
      </x:c>
      <x:c r="E7094" s="18" t="n">
        <x:v>33.65</x:v>
      </x:c>
      <x:c r="F7094" s="18" t="n">
        <x:v>7.23</x:v>
      </x:c>
      <x:c r="G7094" t="n">
        <x:v>36</x:v>
      </x:c>
      <x:c r="H7094" t="str">
        <x:v>A</x:v>
      </x:c>
      <x:c r="I7094" t="str">
        <x:v>10+ years</x:v>
      </x:c>
      <x:c r="J7094" t="str">
        <x:v>OWN</x:v>
      </x:c>
      <x:c r="K7094" t="str">
        <x:v>credit_card</x:v>
      </x:c>
      <x:c r="L7094" t="n">
        <x:v>0</x:v>
      </x:c>
      <x:c r="M7094" t="n">
        <x:v>0</x:v>
      </x:c>
      <x:c r="N7094" t="str">
        <x:v>Fully Paid</x:v>
      </x:c>
      <x:c r="O7094" t="str">
        <x:f>IF(D7094="","Unknown",IF(D7094&lt;25000,"&lt;$25k",IF(D7094&lt;50000,"$25k-$50k",IF(D7094&lt;75000,"$50k-$75k",IF(D7094&lt;100000,"$75k-$100k","$100k+")))))</x:f>
        <x:v>$75k-$100k</x:v>
      </x:c>
      <x:c r="P7094" t="str">
        <x:f>IF(E7094="","Unknown",IF(E7094&lt;10,"&lt;10",IF(E7094&lt;20,"10-&lt;20",IF(E7094&lt;25,"20-&lt;25",IF(E7094&lt;35,"25-&lt;35","35+")))))</x:f>
        <x:v>25-&lt;35</x:v>
      </x:c>
    </x:row>
    <x:row r="7095">
      <x:c r="A7095" t="str">
        <x:v>SYN0007094</x:v>
      </x:c>
      <x:c r="B7095" s="12" t="n">
        <x:v>43345</x:v>
      </x:c>
      <x:c r="C7095" s="18" t="n">
        <x:v>12161</x:v>
      </x:c>
      <x:c r="D7095" s="18" t="n">
        <x:v>54266</x:v>
      </x:c>
      <x:c r="E7095" s="18" t="n">
        <x:v>13.33</x:v>
      </x:c>
      <x:c r="F7095" s="18" t="n">
        <x:v>19.34</x:v>
      </x:c>
      <x:c r="G7095" t="n">
        <x:v>60</x:v>
      </x:c>
      <x:c r="H7095" t="str">
        <x:v>E</x:v>
      </x:c>
      <x:c r="I7095" t="str">
        <x:v>10+ years</x:v>
      </x:c>
      <x:c r="J7095" t="str">
        <x:v>OWN</x:v>
      </x:c>
      <x:c r="K7095" t="str">
        <x:v>debt_consolidation</x:v>
      </x:c>
      <x:c r="L7095" t="n">
        <x:v>1</x:v>
      </x:c>
      <x:c r="M7095" t="n">
        <x:v>0</x:v>
      </x:c>
      <x:c r="N7095" t="str">
        <x:v>Fully Paid</x:v>
      </x:c>
      <x:c r="O7095" t="str">
        <x:f>IF(D7095="","Unknown",IF(D7095&lt;25000,"&lt;$25k",IF(D7095&lt;50000,"$25k-$50k",IF(D7095&lt;75000,"$50k-$75k",IF(D7095&lt;100000,"$75k-$100k","$100k+")))))</x:f>
        <x:v>$50k-$75k</x:v>
      </x:c>
      <x:c r="P7095" t="str">
        <x:f>IF(E7095="","Unknown",IF(E7095&lt;10,"&lt;10",IF(E7095&lt;20,"10-&lt;20",IF(E7095&lt;25,"20-&lt;25",IF(E7095&lt;35,"25-&lt;35","35+")))))</x:f>
        <x:v>10-&lt;20</x:v>
      </x:c>
    </x:row>
    <x:row r="7096">
      <x:c r="A7096" t="str">
        <x:v>SYN0007095</x:v>
      </x:c>
      <x:c r="B7096" s="12" t="n">
        <x:v>41395</x:v>
      </x:c>
      <x:c r="C7096" s="18" t="n">
        <x:v>8554</x:v>
      </x:c>
      <x:c r="D7096" s="18" t="n">
        <x:v>82656</x:v>
      </x:c>
      <x:c r="E7096" s="18" t="n">
        <x:v>34.27</x:v>
      </x:c>
      <x:c r="F7096" s="18" t="n">
        <x:v>21.04</x:v>
      </x:c>
      <x:c r="G7096" t="n">
        <x:v>36</x:v>
      </x:c>
      <x:c r="H7096" t="str">
        <x:v>E</x:v>
      </x:c>
      <x:c r="I7096" t="str">
        <x:v>1-3 years</x:v>
      </x:c>
      <x:c r="J7096" t="str">
        <x:v>MORTGAGE</x:v>
      </x:c>
      <x:c r="K7096" t="str">
        <x:v>debt_consolidation</x:v>
      </x:c>
      <x:c r="L7096" t="n">
        <x:v>0</x:v>
      </x:c>
      <x:c r="M7096" t="n">
        <x:v>0</x:v>
      </x:c>
      <x:c r="N7096" t="str">
        <x:v>Fully Paid</x:v>
      </x:c>
      <x:c r="O7096" t="str">
        <x:f>IF(D7096="","Unknown",IF(D7096&lt;25000,"&lt;$25k",IF(D7096&lt;50000,"$25k-$50k",IF(D7096&lt;75000,"$50k-$75k",IF(D7096&lt;100000,"$75k-$100k","$100k+")))))</x:f>
        <x:v>$75k-$100k</x:v>
      </x:c>
      <x:c r="P7096" t="str">
        <x:f>IF(E7096="","Unknown",IF(E7096&lt;10,"&lt;10",IF(E7096&lt;20,"10-&lt;20",IF(E7096&lt;25,"20-&lt;25",IF(E7096&lt;35,"25-&lt;35","35+")))))</x:f>
        <x:v>25-&lt;35</x:v>
      </x:c>
    </x:row>
    <x:row r="7097">
      <x:c r="A7097" t="str">
        <x:v>SYN0007096</x:v>
      </x:c>
      <x:c r="B7097" s="12" t="n">
        <x:v>43315</x:v>
      </x:c>
      <x:c r="C7097" s="18" t="n">
        <x:v>28355</x:v>
      </x:c>
      <x:c r="D7097" s="18" t="n">
        <x:v>236398</x:v>
      </x:c>
      <x:c r="E7097" s="18" t="n">
        <x:v>33.77</x:v>
      </x:c>
      <x:c r="F7097" s="18" t="n">
        <x:v>9.35</x:v>
      </x:c>
      <x:c r="G7097" t="n">
        <x:v>60</x:v>
      </x:c>
      <x:c r="H7097" t="str">
        <x:v>C</x:v>
      </x:c>
      <x:c r="I7097" t="str">
        <x:v>10+ years</x:v>
      </x:c>
      <x:c r="J7097" t="str">
        <x:v>RENT</x:v>
      </x:c>
      <x:c r="K7097" t="str">
        <x:v>debt_consolidation</x:v>
      </x:c>
      <x:c r="L7097" t="n">
        <x:v>0</x:v>
      </x:c>
      <x:c r="M7097" t="n">
        <x:v>0</x:v>
      </x:c>
      <x:c r="N7097" t="str">
        <x:v>Fully Paid</x:v>
      </x:c>
      <x:c r="O7097" t="str">
        <x:f>IF(D7097="","Unknown",IF(D7097&lt;25000,"&lt;$25k",IF(D7097&lt;50000,"$25k-$50k",IF(D7097&lt;75000,"$50k-$75k",IF(D7097&lt;100000,"$75k-$100k","$100k+")))))</x:f>
        <x:v>$100k+</x:v>
      </x:c>
      <x:c r="P7097" t="str">
        <x:f>IF(E7097="","Unknown",IF(E7097&lt;10,"&lt;10",IF(E7097&lt;20,"10-&lt;20",IF(E7097&lt;25,"20-&lt;25",IF(E7097&lt;35,"25-&lt;35","35+")))))</x:f>
        <x:v>25-&lt;35</x:v>
      </x:c>
    </x:row>
    <x:row r="7098">
      <x:c r="A7098" t="str">
        <x:v>SYN0007097</x:v>
      </x:c>
      <x:c r="B7098" s="12" t="n">
        <x:v>41695</x:v>
      </x:c>
      <x:c r="C7098" s="18" t="n">
        <x:v>16508</x:v>
      </x:c>
      <x:c r="D7098" s="18" t="n">
        <x:v>119519</x:v>
      </x:c>
      <x:c r="E7098" s="18" t="n">
        <x:v>19.02</x:v>
      </x:c>
      <x:c r="F7098" s="18" t="n">
        <x:v>14.13</x:v>
      </x:c>
      <x:c r="G7098" t="n">
        <x:v>60</x:v>
      </x:c>
      <x:c r="H7098" t="str">
        <x:v>D</x:v>
      </x:c>
      <x:c r="I7098" t="str">
        <x:v>1-3 years</x:v>
      </x:c>
      <x:c r="J7098" t="str">
        <x:v>MORTGAGE</x:v>
      </x:c>
      <x:c r="K7098" t="str">
        <x:v>credit_card</x:v>
      </x:c>
      <x:c r="L7098" t="n">
        <x:v>0</x:v>
      </x:c>
      <x:c r="M7098" t="n">
        <x:v>0</x:v>
      </x:c>
      <x:c r="N7098" t="str">
        <x:v>Fully Paid</x:v>
      </x:c>
      <x:c r="O7098" t="str">
        <x:f>IF(D7098="","Unknown",IF(D7098&lt;25000,"&lt;$25k",IF(D7098&lt;50000,"$25k-$50k",IF(D7098&lt;75000,"$50k-$75k",IF(D7098&lt;100000,"$75k-$100k","$100k+")))))</x:f>
        <x:v>$100k+</x:v>
      </x:c>
      <x:c r="P7098" t="str">
        <x:f>IF(E7098="","Unknown",IF(E7098&lt;10,"&lt;10",IF(E7098&lt;20,"10-&lt;20",IF(E7098&lt;25,"20-&lt;25",IF(E7098&lt;35,"25-&lt;35","35+")))))</x:f>
        <x:v>10-&lt;20</x:v>
      </x:c>
    </x:row>
    <x:row r="7099">
      <x:c r="A7099" t="str">
        <x:v>SYN0007098</x:v>
      </x:c>
      <x:c r="B7099" s="12" t="n">
        <x:v>43225</x:v>
      </x:c>
      <x:c r="C7099" s="18" t="n">
        <x:v>7727</x:v>
      </x:c>
      <x:c r="D7099" s="18" t="n">
        <x:v>32540</x:v>
      </x:c>
      <x:c r="E7099" s="18" t="n">
        <x:v>17.43</x:v>
      </x:c>
      <x:c r="F7099" s="18" t="n">
        <x:v>7.86</x:v>
      </x:c>
      <x:c r="G7099" t="n">
        <x:v>36</x:v>
      </x:c>
      <x:c r="H7099" t="str">
        <x:v>B</x:v>
      </x:c>
      <x:c r="I7099" t="str">
        <x:v>10+ years</x:v>
      </x:c>
      <x:c r="J7099" t="str">
        <x:v>MORTGAGE</x:v>
      </x:c>
      <x:c r="K7099" t="str">
        <x:v>debt_consolidation</x:v>
      </x:c>
      <x:c r="L7099" t="n">
        <x:v>0</x:v>
      </x:c>
      <x:c r="M7099" t="n">
        <x:v>0</x:v>
      </x:c>
      <x:c r="N7099" t="str">
        <x:v>Fully Paid</x:v>
      </x:c>
      <x:c r="O7099" t="str">
        <x:f>IF(D7099="","Unknown",IF(D7099&lt;25000,"&lt;$25k",IF(D7099&lt;50000,"$25k-$50k",IF(D7099&lt;75000,"$50k-$75k",IF(D7099&lt;100000,"$75k-$100k","$100k+")))))</x:f>
        <x:v>$25k-$50k</x:v>
      </x:c>
      <x:c r="P7099" t="str">
        <x:f>IF(E7099="","Unknown",IF(E7099&lt;10,"&lt;10",IF(E7099&lt;20,"10-&lt;20",IF(E7099&lt;25,"20-&lt;25",IF(E7099&lt;35,"25-&lt;35","35+")))))</x:f>
        <x:v>10-&lt;20</x:v>
      </x:c>
    </x:row>
    <x:row r="7100">
      <x:c r="A7100" t="str">
        <x:v>SYN0007099</x:v>
      </x:c>
      <x:c r="B7100" s="12" t="n">
        <x:v>41425</x:v>
      </x:c>
      <x:c r="C7100" s="18" t="n">
        <x:v>12271</x:v>
      </x:c>
      <x:c r="D7100" s="18" t="n">
        <x:v>58982</x:v>
      </x:c>
      <x:c r="E7100" s="18" t="n">
        <x:v>44.5</x:v>
      </x:c>
      <x:c r="F7100" s="18" t="n">
        <x:v>26.17</x:v>
      </x:c>
      <x:c r="G7100" t="n">
        <x:v>60</x:v>
      </x:c>
      <x:c r="H7100" t="str">
        <x:v>G</x:v>
      </x:c>
      <x:c r="I7100" t="str">
        <x:v>10+ years</x:v>
      </x:c>
      <x:c r="J7100" t="str">
        <x:v>OWN</x:v>
      </x:c>
      <x:c r="K7100" t="str">
        <x:v>debt_consolidation</x:v>
      </x:c>
      <x:c r="L7100" t="n">
        <x:v>3</x:v>
      </x:c>
      <x:c r="M7100" t="n">
        <x:v>0</x:v>
      </x:c>
      <x:c r="N7100" t="str">
        <x:v>Fully Paid</x:v>
      </x:c>
      <x:c r="O7100" t="str">
        <x:f>IF(D7100="","Unknown",IF(D7100&lt;25000,"&lt;$25k",IF(D7100&lt;50000,"$25k-$50k",IF(D7100&lt;75000,"$50k-$75k",IF(D7100&lt;100000,"$75k-$100k","$100k+")))))</x:f>
        <x:v>$50k-$75k</x:v>
      </x:c>
      <x:c r="P7100" t="str">
        <x:f>IF(E7100="","Unknown",IF(E7100&lt;10,"&lt;10",IF(E7100&lt;20,"10-&lt;20",IF(E7100&lt;25,"20-&lt;25",IF(E7100&lt;35,"25-&lt;35","35+")))))</x:f>
        <x:v>35+</x:v>
      </x:c>
    </x:row>
    <x:row r="7101">
      <x:c r="A7101" t="str">
        <x:v>SYN0007100</x:v>
      </x:c>
      <x:c r="B7101" s="12" t="n">
        <x:v>43315</x:v>
      </x:c>
      <x:c r="C7101" s="18" t="n">
        <x:v>8010</x:v>
      </x:c>
      <x:c r="D7101" s="18" t="n">
        <x:v>89152</x:v>
      </x:c>
      <x:c r="E7101" s="18" t="n">
        <x:v>22.69</x:v>
      </x:c>
      <x:c r="F7101" s="18" t="n">
        <x:v>11.22</x:v>
      </x:c>
      <x:c r="G7101" t="n">
        <x:v>36</x:v>
      </x:c>
      <x:c r="H7101" t="str">
        <x:v>B</x:v>
      </x:c>
      <x:c r="I7101" t="str">
        <x:v>7-9 years</x:v>
      </x:c>
      <x:c r="J7101" t="str">
        <x:v>RENT</x:v>
      </x:c>
      <x:c r="K7101" t="str">
        <x:v>other</x:v>
      </x:c>
      <x:c r="L7101" t="n">
        <x:v>0</x:v>
      </x:c>
      <x:c r="M7101" t="n">
        <x:v>0</x:v>
      </x:c>
      <x:c r="N7101" t="str">
        <x:v>Fully Paid</x:v>
      </x:c>
      <x:c r="O7101" t="str">
        <x:f>IF(D7101="","Unknown",IF(D7101&lt;25000,"&lt;$25k",IF(D7101&lt;50000,"$25k-$50k",IF(D7101&lt;75000,"$50k-$75k",IF(D7101&lt;100000,"$75k-$100k","$100k+")))))</x:f>
        <x:v>$75k-$100k</x:v>
      </x:c>
      <x:c r="P7101" t="str">
        <x:f>IF(E7101="","Unknown",IF(E7101&lt;10,"&lt;10",IF(E7101&lt;20,"10-&lt;20",IF(E7101&lt;25,"20-&lt;25",IF(E7101&lt;35,"25-&lt;35","35+")))))</x:f>
        <x:v>20-&lt;25</x:v>
      </x:c>
    </x:row>
    <x:row r="7102">
      <x:c r="A7102" t="str">
        <x:v>SYN0007101</x:v>
      </x:c>
      <x:c r="B7102" s="12" t="n">
        <x:v>42535</x:v>
      </x:c>
      <x:c r="C7102" s="18" t="n">
        <x:v>8494</x:v>
      </x:c>
      <x:c r="D7102" s="18" t="n">
        <x:v>47716</x:v>
      </x:c>
      <x:c r="E7102" s="18" t="n">
        <x:v>10.12</x:v>
      </x:c>
      <x:c r="F7102" s="18" t="n">
        <x:v>6.48</x:v>
      </x:c>
      <x:c r="G7102" t="n">
        <x:v>60</x:v>
      </x:c>
      <x:c r="H7102" t="str">
        <x:v>B</x:v>
      </x:c>
      <x:c r="I7102" t="str">
        <x:v>&lt;1 year</x:v>
      </x:c>
      <x:c r="J7102" t="str">
        <x:v>MORTGAGE</x:v>
      </x:c>
      <x:c r="K7102" t="str">
        <x:v>debt_consolidation</x:v>
      </x:c>
      <x:c r="L7102" t="n">
        <x:v>0</x:v>
      </x:c>
      <x:c r="M7102" t="n">
        <x:v>0</x:v>
      </x:c>
      <x:c r="N7102" t="str">
        <x:v>Fully Paid</x:v>
      </x:c>
      <x:c r="O7102" t="str">
        <x:f>IF(D7102="","Unknown",IF(D7102&lt;25000,"&lt;$25k",IF(D7102&lt;50000,"$25k-$50k",IF(D7102&lt;75000,"$50k-$75k",IF(D7102&lt;100000,"$75k-$100k","$100k+")))))</x:f>
        <x:v>$25k-$50k</x:v>
      </x:c>
      <x:c r="P7102" t="str">
        <x:f>IF(E7102="","Unknown",IF(E7102&lt;10,"&lt;10",IF(E7102&lt;20,"10-&lt;20",IF(E7102&lt;25,"20-&lt;25",IF(E7102&lt;35,"25-&lt;35","35+")))))</x:f>
        <x:v>10-&lt;20</x:v>
      </x:c>
    </x:row>
    <x:row r="7103">
      <x:c r="A7103" t="str">
        <x:v>SYN0007102</x:v>
      </x:c>
      <x:c r="B7103" s="12" t="n">
        <x:v>43345</x:v>
      </x:c>
      <x:c r="C7103" s="18" t="n">
        <x:v>11989</x:v>
      </x:c>
      <x:c r="D7103" s="18" t="n">
        <x:v>32129</x:v>
      </x:c>
      <x:c r="E7103" s="18" t="n">
        <x:v>8.6</x:v>
      </x:c>
      <x:c r="F7103" s="18" t="n">
        <x:v>14.77</x:v>
      </x:c>
      <x:c r="G7103" t="n">
        <x:v>60</x:v>
      </x:c>
      <x:c r="H7103" t="str">
        <x:v>D</x:v>
      </x:c>
      <x:c r="I7103" t="str">
        <x:v>&lt;1 year</x:v>
      </x:c>
      <x:c r="J7103" t="str">
        <x:v>OWN</x:v>
      </x:c>
      <x:c r="K7103" t="str">
        <x:v>credit_card</x:v>
      </x:c>
      <x:c r="L7103" t="n">
        <x:v>0</x:v>
      </x:c>
      <x:c r="M7103" t="n">
        <x:v>1</x:v>
      </x:c>
      <x:c r="N7103" t="str">
        <x:v>Charged Off</x:v>
      </x:c>
      <x:c r="O7103" t="str">
        <x:f>IF(D7103="","Unknown",IF(D7103&lt;25000,"&lt;$25k",IF(D7103&lt;50000,"$25k-$50k",IF(D7103&lt;75000,"$50k-$75k",IF(D7103&lt;100000,"$75k-$100k","$100k+")))))</x:f>
        <x:v>$25k-$50k</x:v>
      </x:c>
      <x:c r="P7103" t="str">
        <x:f>IF(E7103="","Unknown",IF(E7103&lt;10,"&lt;10",IF(E7103&lt;20,"10-&lt;20",IF(E7103&lt;25,"20-&lt;25",IF(E7103&lt;35,"25-&lt;35","35+")))))</x:f>
        <x:v>&lt;10</x:v>
      </x:c>
    </x:row>
    <x:row r="7104">
      <x:c r="A7104" t="str">
        <x:v>SYN0007103</x:v>
      </x:c>
      <x:c r="B7104" s="12" t="n">
        <x:v>43405</x:v>
      </x:c>
      <x:c r="C7104" s="18" t="n">
        <x:v>27729</x:v>
      </x:c>
      <x:c r="D7104" s="18" t="n">
        <x:v>52477</x:v>
      </x:c>
      <x:c r="E7104" s="18" t="n">
        <x:v>36.77</x:v>
      </x:c>
      <x:c r="F7104" s="18" t="n">
        <x:v>18.39</x:v>
      </x:c>
      <x:c r="G7104" t="n">
        <x:v>36</x:v>
      </x:c>
      <x:c r="H7104" t="str">
        <x:v>E</x:v>
      </x:c>
      <x:c r="I7104" t="str">
        <x:v>&lt;1 year</x:v>
      </x:c>
      <x:c r="J7104" t="str">
        <x:v>OTHER</x:v>
      </x:c>
      <x:c r="K7104" t="str">
        <x:v>major_purchase</x:v>
      </x:c>
      <x:c r="L7104" t="n">
        <x:v>0</x:v>
      </x:c>
      <x:c r="M7104" t="n">
        <x:v>0</x:v>
      </x:c>
      <x:c r="N7104" t="str">
        <x:v>Fully Paid</x:v>
      </x:c>
      <x:c r="O7104" t="str">
        <x:f>IF(D7104="","Unknown",IF(D7104&lt;25000,"&lt;$25k",IF(D7104&lt;50000,"$25k-$50k",IF(D7104&lt;75000,"$50k-$75k",IF(D7104&lt;100000,"$75k-$100k","$100k+")))))</x:f>
        <x:v>$50k-$75k</x:v>
      </x:c>
      <x:c r="P7104" t="str">
        <x:f>IF(E7104="","Unknown",IF(E7104&lt;10,"&lt;10",IF(E7104&lt;20,"10-&lt;20",IF(E7104&lt;25,"20-&lt;25",IF(E7104&lt;35,"25-&lt;35","35+")))))</x:f>
        <x:v>35+</x:v>
      </x:c>
    </x:row>
    <x:row r="7105">
      <x:c r="A7105" t="str">
        <x:v>SYN0007104</x:v>
      </x:c>
      <x:c r="B7105" s="12" t="n">
        <x:v>41845</x:v>
      </x:c>
      <x:c r="C7105" s="18" t="n">
        <x:v>6573</x:v>
      </x:c>
      <x:c r="D7105" s="18" t="n">
        <x:v>24834</x:v>
      </x:c>
      <x:c r="E7105" s="18" t="n">
        <x:v>9.12</x:v>
      </x:c>
      <x:c r="F7105" s="18" t="n">
        <x:v>10.96</x:v>
      </x:c>
      <x:c r="G7105" t="n">
        <x:v>36</x:v>
      </x:c>
      <x:c r="H7105" t="str">
        <x:v>D</x:v>
      </x:c>
      <x:c r="I7105" t="str">
        <x:v>7-9 years</x:v>
      </x:c>
      <x:c r="J7105" t="str">
        <x:v>RENT</x:v>
      </x:c>
      <x:c r="K7105" t="str">
        <x:v>debt_consolidation</x:v>
      </x:c>
      <x:c r="L7105" t="n">
        <x:v>0</x:v>
      </x:c>
      <x:c r="M7105" t="n">
        <x:v>0</x:v>
      </x:c>
      <x:c r="N7105" t="str">
        <x:v>Fully Paid</x:v>
      </x:c>
      <x:c r="O7105" t="str">
        <x:f>IF(D7105="","Unknown",IF(D7105&lt;25000,"&lt;$25k",IF(D7105&lt;50000,"$25k-$50k",IF(D7105&lt;75000,"$50k-$75k",IF(D7105&lt;100000,"$75k-$100k","$100k+")))))</x:f>
        <x:v>&lt;$25k</x:v>
      </x:c>
      <x:c r="P7105" t="str">
        <x:f>IF(E7105="","Unknown",IF(E7105&lt;10,"&lt;10",IF(E7105&lt;20,"10-&lt;20",IF(E7105&lt;25,"20-&lt;25",IF(E7105&lt;35,"25-&lt;35","35+")))))</x:f>
        <x:v>&lt;10</x:v>
      </x:c>
    </x:row>
    <x:row r="7106">
      <x:c r="A7106" t="str">
        <x:v>SYN0007105</x:v>
      </x:c>
      <x:c r="B7106" s="12" t="n">
        <x:v>42265</x:v>
      </x:c>
      <x:c r="C7106" s="18" t="n">
        <x:v>11208</x:v>
      </x:c>
      <x:c r="D7106" s="18" t="n">
        <x:v>58788</x:v>
      </x:c>
      <x:c r="E7106" s="18" t="n">
        <x:v>18.96</x:v>
      </x:c>
      <x:c r="F7106" s="18" t="n">
        <x:v>6.51</x:v>
      </x:c>
      <x:c r="G7106" t="n">
        <x:v>36</x:v>
      </x:c>
      <x:c r="H7106" t="str">
        <x:v>B</x:v>
      </x:c>
      <x:c r="I7106" t="str">
        <x:v>7-9 years</x:v>
      </x:c>
      <x:c r="J7106" t="str">
        <x:v>RENT</x:v>
      </x:c>
      <x:c r="K7106" t="str">
        <x:v>credit_card</x:v>
      </x:c>
      <x:c r="L7106" t="n">
        <x:v>1</x:v>
      </x:c>
      <x:c r="M7106" t="n">
        <x:v>0</x:v>
      </x:c>
      <x:c r="N7106" t="str">
        <x:v>Fully Paid</x:v>
      </x:c>
      <x:c r="O7106" t="str">
        <x:f>IF(D7106="","Unknown",IF(D7106&lt;25000,"&lt;$25k",IF(D7106&lt;50000,"$25k-$50k",IF(D7106&lt;75000,"$50k-$75k",IF(D7106&lt;100000,"$75k-$100k","$100k+")))))</x:f>
        <x:v>$50k-$75k</x:v>
      </x:c>
      <x:c r="P7106" t="str">
        <x:f>IF(E7106="","Unknown",IF(E7106&lt;10,"&lt;10",IF(E7106&lt;20,"10-&lt;20",IF(E7106&lt;25,"20-&lt;25",IF(E7106&lt;35,"25-&lt;35","35+")))))</x:f>
        <x:v>10-&lt;20</x:v>
      </x:c>
    </x:row>
    <x:row r="7107">
      <x:c r="A7107" t="str">
        <x:v>SYN0007106</x:v>
      </x:c>
      <x:c r="B7107" s="12" t="n">
        <x:v>41365</x:v>
      </x:c>
      <x:c r="C7107" s="18" t="n">
        <x:v>9954</x:v>
      </x:c>
      <x:c r="D7107" s="18" t="n">
        <x:v>50202</x:v>
      </x:c>
      <x:c r="E7107" s="18" t="n">
        <x:v>16.2</x:v>
      </x:c>
      <x:c r="F7107" s="18" t="n">
        <x:v>14</x:v>
      </x:c>
      <x:c r="G7107" t="n">
        <x:v>36</x:v>
      </x:c>
      <x:c r="H7107" t="str">
        <x:v>C</x:v>
      </x:c>
      <x:c r="I7107" t="str">
        <x:v>7-9 years</x:v>
      </x:c>
      <x:c r="J7107" t="str">
        <x:v>OWN</x:v>
      </x:c>
      <x:c r="K7107" t="str">
        <x:v>debt_consolidation</x:v>
      </x:c>
      <x:c r="L7107" t="n">
        <x:v>1</x:v>
      </x:c>
      <x:c r="M7107" t="n">
        <x:v>0</x:v>
      </x:c>
      <x:c r="N7107" t="str">
        <x:v>Fully Paid</x:v>
      </x:c>
      <x:c r="O7107" t="str">
        <x:f>IF(D7107="","Unknown",IF(D7107&lt;25000,"&lt;$25k",IF(D7107&lt;50000,"$25k-$50k",IF(D7107&lt;75000,"$50k-$75k",IF(D7107&lt;100000,"$75k-$100k","$100k+")))))</x:f>
        <x:v>$50k-$75k</x:v>
      </x:c>
      <x:c r="P7107" t="str">
        <x:f>IF(E7107="","Unknown",IF(E7107&lt;10,"&lt;10",IF(E7107&lt;20,"10-&lt;20",IF(E7107&lt;25,"20-&lt;25",IF(E7107&lt;35,"25-&lt;35","35+")))))</x:f>
        <x:v>10-&lt;20</x:v>
      </x:c>
    </x:row>
    <x:row r="7108">
      <x:c r="A7108" t="str">
        <x:v>SYN0007107</x:v>
      </x:c>
      <x:c r="B7108" s="12" t="n">
        <x:v>41875</x:v>
      </x:c>
      <x:c r="C7108" s="18" t="n">
        <x:v>7453</x:v>
      </x:c>
      <x:c r="D7108" s="18" t="n">
        <x:v>105485</x:v>
      </x:c>
      <x:c r="E7108" s="18" t="n">
        <x:v>25.38</x:v>
      </x:c>
      <x:c r="F7108" s="18" t="n">
        <x:v>18.96</x:v>
      </x:c>
      <x:c r="G7108" t="n">
        <x:v>36</x:v>
      </x:c>
      <x:c r="H7108" t="str">
        <x:v>E</x:v>
      </x:c>
      <x:c r="I7108" t="str">
        <x:v>10+ years</x:v>
      </x:c>
      <x:c r="J7108" t="str">
        <x:v>RENT</x:v>
      </x:c>
      <x:c r="K7108" t="str">
        <x:v>debt_consolidation</x:v>
      </x:c>
      <x:c r="L7108" t="n">
        <x:v>0</x:v>
      </x:c>
      <x:c r="M7108" t="n">
        <x:v>0</x:v>
      </x:c>
      <x:c r="N7108" t="str">
        <x:v>Fully Paid</x:v>
      </x:c>
      <x:c r="O7108" t="str">
        <x:f>IF(D7108="","Unknown",IF(D7108&lt;25000,"&lt;$25k",IF(D7108&lt;50000,"$25k-$50k",IF(D7108&lt;75000,"$50k-$75k",IF(D7108&lt;100000,"$75k-$100k","$100k+")))))</x:f>
        <x:v>$100k+</x:v>
      </x:c>
      <x:c r="P7108" t="str">
        <x:f>IF(E7108="","Unknown",IF(E7108&lt;10,"&lt;10",IF(E7108&lt;20,"10-&lt;20",IF(E7108&lt;25,"20-&lt;25",IF(E7108&lt;35,"25-&lt;35","35+")))))</x:f>
        <x:v>25-&lt;35</x:v>
      </x:c>
    </x:row>
    <x:row r="7109">
      <x:c r="A7109" t="str">
        <x:v>SYN0007108</x:v>
      </x:c>
      <x:c r="B7109" s="12" t="n">
        <x:v>42175</x:v>
      </x:c>
      <x:c r="C7109" s="18" t="n">
        <x:v>19559</x:v>
      </x:c>
      <x:c r="D7109" s="18" t="n">
        <x:v>29449</x:v>
      </x:c>
      <x:c r="E7109" s="18" t="n">
        <x:v>25.22</x:v>
      </x:c>
      <x:c r="F7109" s="18" t="n">
        <x:v>8.07</x:v>
      </x:c>
      <x:c r="G7109" t="n">
        <x:v>36</x:v>
      </x:c>
      <x:c r="H7109" t="str">
        <x:v>B</x:v>
      </x:c>
      <x:c r="I7109" t="str">
        <x:v>10+ years</x:v>
      </x:c>
      <x:c r="J7109" t="str">
        <x:v>RENT</x:v>
      </x:c>
      <x:c r="K7109" t="str">
        <x:v>debt_consolidation</x:v>
      </x:c>
      <x:c r="L7109" t="n">
        <x:v>1</x:v>
      </x:c>
      <x:c r="M7109" t="n">
        <x:v>0</x:v>
      </x:c>
      <x:c r="N7109" t="str">
        <x:v>Fully Paid</x:v>
      </x:c>
      <x:c r="O7109" t="str">
        <x:f>IF(D7109="","Unknown",IF(D7109&lt;25000,"&lt;$25k",IF(D7109&lt;50000,"$25k-$50k",IF(D7109&lt;75000,"$50k-$75k",IF(D7109&lt;100000,"$75k-$100k","$100k+")))))</x:f>
        <x:v>$25k-$50k</x:v>
      </x:c>
      <x:c r="P7109" t="str">
        <x:f>IF(E7109="","Unknown",IF(E7109&lt;10,"&lt;10",IF(E7109&lt;20,"10-&lt;20",IF(E7109&lt;25,"20-&lt;25",IF(E7109&lt;35,"25-&lt;35","35+")))))</x:f>
        <x:v>25-&lt;35</x:v>
      </x:c>
    </x:row>
    <x:row r="7110">
      <x:c r="A7110" t="str">
        <x:v>SYN0007109</x:v>
      </x:c>
      <x:c r="B7110" s="12" t="n">
        <x:v>42475</x:v>
      </x:c>
      <x:c r="C7110" s="18" t="n">
        <x:v>11988</x:v>
      </x:c>
      <x:c r="D7110" s="18" t="n">
        <x:v>79971</x:v>
      </x:c>
      <x:c r="E7110" s="18" t="n">
        <x:v>25.92</x:v>
      </x:c>
      <x:c r="F7110" s="18" t="n">
        <x:v>7.48</x:v>
      </x:c>
      <x:c r="G7110" t="n">
        <x:v>36</x:v>
      </x:c>
      <x:c r="H7110" t="str">
        <x:v>A</x:v>
      </x:c>
      <x:c r="I7110" t="str">
        <x:v>10+ years</x:v>
      </x:c>
      <x:c r="J7110" t="str">
        <x:v>OWN</x:v>
      </x:c>
      <x:c r="K7110" t="str">
        <x:v>debt_consolidation</x:v>
      </x:c>
      <x:c r="L7110" t="n">
        <x:v>0</x:v>
      </x:c>
      <x:c r="M7110" t="n">
        <x:v>0</x:v>
      </x:c>
      <x:c r="N7110" t="str">
        <x:v>Fully Paid</x:v>
      </x:c>
      <x:c r="O7110" t="str">
        <x:f>IF(D7110="","Unknown",IF(D7110&lt;25000,"&lt;$25k",IF(D7110&lt;50000,"$25k-$50k",IF(D7110&lt;75000,"$50k-$75k",IF(D7110&lt;100000,"$75k-$100k","$100k+")))))</x:f>
        <x:v>$75k-$100k</x:v>
      </x:c>
      <x:c r="P7110" t="str">
        <x:f>IF(E7110="","Unknown",IF(E7110&lt;10,"&lt;10",IF(E7110&lt;20,"10-&lt;20",IF(E7110&lt;25,"20-&lt;25",IF(E7110&lt;35,"25-&lt;35","35+")))))</x:f>
        <x:v>25-&lt;35</x:v>
      </x:c>
    </x:row>
    <x:row r="7111">
      <x:c r="A7111" t="str">
        <x:v>SYN0007110</x:v>
      </x:c>
      <x:c r="B7111" s="12" t="n">
        <x:v>42535</x:v>
      </x:c>
      <x:c r="C7111" s="18" t="n">
        <x:v>23165</x:v>
      </x:c>
      <x:c r="D7111" s="18" t="n">
        <x:v>159443</x:v>
      </x:c>
      <x:c r="E7111" s="18" t="n">
        <x:v>7.62</x:v>
      </x:c>
      <x:c r="F7111" s="18" t="n">
        <x:v>6.31</x:v>
      </x:c>
      <x:c r="G7111" t="n">
        <x:v>36</x:v>
      </x:c>
      <x:c r="H7111" t="str">
        <x:v>B</x:v>
      </x:c>
      <x:c r="I7111" t="str">
        <x:v>1-3 years</x:v>
      </x:c>
      <x:c r="J7111" t="str">
        <x:v>RENT</x:v>
      </x:c>
      <x:c r="K7111" t="str">
        <x:v>medical</x:v>
      </x:c>
      <x:c r="L7111" t="n">
        <x:v>0</x:v>
      </x:c>
      <x:c r="M7111" t="n">
        <x:v>0</x:v>
      </x:c>
      <x:c r="N7111" t="str">
        <x:v>Fully Paid</x:v>
      </x:c>
      <x:c r="O7111" t="str">
        <x:f>IF(D7111="","Unknown",IF(D7111&lt;25000,"&lt;$25k",IF(D7111&lt;50000,"$25k-$50k",IF(D7111&lt;75000,"$50k-$75k",IF(D7111&lt;100000,"$75k-$100k","$100k+")))))</x:f>
        <x:v>$100k+</x:v>
      </x:c>
      <x:c r="P7111" t="str">
        <x:f>IF(E7111="","Unknown",IF(E7111&lt;10,"&lt;10",IF(E7111&lt;20,"10-&lt;20",IF(E7111&lt;25,"20-&lt;25",IF(E7111&lt;35,"25-&lt;35","35+")))))</x:f>
        <x:v>&lt;10</x:v>
      </x:c>
    </x:row>
    <x:row r="7112">
      <x:c r="A7112" t="str">
        <x:v>SYN0007111</x:v>
      </x:c>
      <x:c r="B7112" s="12" t="n">
        <x:v>43255</x:v>
      </x:c>
      <x:c r="C7112" s="18" t="n">
        <x:v>8022</x:v>
      </x:c>
      <x:c r="D7112" s="18" t="n">
        <x:v>144513</x:v>
      </x:c>
      <x:c r="E7112" s="18" t="n">
        <x:v>10.33</x:v>
      </x:c>
      <x:c r="F7112" s="18" t="n">
        <x:v>9.33</x:v>
      </x:c>
      <x:c r="G7112" t="n">
        <x:v>36</x:v>
      </x:c>
      <x:c r="H7112" t="str">
        <x:v>C</x:v>
      </x:c>
      <x:c r="I7112" t="str">
        <x:v>1-3 years</x:v>
      </x:c>
      <x:c r="J7112" t="str">
        <x:v>OTHER</x:v>
      </x:c>
      <x:c r="K7112" t="str">
        <x:v>debt_consolidation</x:v>
      </x:c>
      <x:c r="L7112" t="n">
        <x:v>2</x:v>
      </x:c>
      <x:c r="M7112" t="n">
        <x:v>0</x:v>
      </x:c>
      <x:c r="N7112" t="str">
        <x:v>Fully Paid</x:v>
      </x:c>
      <x:c r="O7112" t="str">
        <x:f>IF(D7112="","Unknown",IF(D7112&lt;25000,"&lt;$25k",IF(D7112&lt;50000,"$25k-$50k",IF(D7112&lt;75000,"$50k-$75k",IF(D7112&lt;100000,"$75k-$100k","$100k+")))))</x:f>
        <x:v>$100k+</x:v>
      </x:c>
      <x:c r="P7112" t="str">
        <x:f>IF(E7112="","Unknown",IF(E7112&lt;10,"&lt;10",IF(E7112&lt;20,"10-&lt;20",IF(E7112&lt;25,"20-&lt;25",IF(E7112&lt;35,"25-&lt;35","35+")))))</x:f>
        <x:v>10-&lt;20</x:v>
      </x:c>
    </x:row>
    <x:row r="7113">
      <x:c r="A7113" t="str">
        <x:v>SYN0007112</x:v>
      </x:c>
      <x:c r="B7113" s="12" t="n">
        <x:v>42205</x:v>
      </x:c>
      <x:c r="C7113" s="18" t="n">
        <x:v>11595</x:v>
      </x:c>
      <x:c r="D7113" s="18" t="n">
        <x:v>64053</x:v>
      </x:c>
      <x:c r="E7113" s="18" t="n">
        <x:v>23.37</x:v>
      </x:c>
      <x:c r="F7113" s="18" t="n">
        <x:v>6.01</x:v>
      </x:c>
      <x:c r="G7113" t="n">
        <x:v>36</x:v>
      </x:c>
      <x:c r="H7113" t="str">
        <x:v>A</x:v>
      </x:c>
      <x:c r="I7113" t="str">
        <x:v>7-9 years</x:v>
      </x:c>
      <x:c r="J7113" t="str">
        <x:v>RENT</x:v>
      </x:c>
      <x:c r="K7113" t="str">
        <x:v>credit_card</x:v>
      </x:c>
      <x:c r="L7113" t="n">
        <x:v>0</x:v>
      </x:c>
      <x:c r="M7113" t="n">
        <x:v>0</x:v>
      </x:c>
      <x:c r="N7113" t="str">
        <x:v>Fully Paid</x:v>
      </x:c>
      <x:c r="O7113" t="str">
        <x:f>IF(D7113="","Unknown",IF(D7113&lt;25000,"&lt;$25k",IF(D7113&lt;50000,"$25k-$50k",IF(D7113&lt;75000,"$50k-$75k",IF(D7113&lt;100000,"$75k-$100k","$100k+")))))</x:f>
        <x:v>$50k-$75k</x:v>
      </x:c>
      <x:c r="P7113" t="str">
        <x:f>IF(E7113="","Unknown",IF(E7113&lt;10,"&lt;10",IF(E7113&lt;20,"10-&lt;20",IF(E7113&lt;25,"20-&lt;25",IF(E7113&lt;35,"25-&lt;35","35+")))))</x:f>
        <x:v>20-&lt;25</x:v>
      </x:c>
    </x:row>
    <x:row r="7114">
      <x:c r="A7114" t="str">
        <x:v>SYN0007113</x:v>
      </x:c>
      <x:c r="B7114" s="12" t="n">
        <x:v>41995</x:v>
      </x:c>
      <x:c r="C7114" s="18" t="n">
        <x:v>12261</x:v>
      </x:c>
      <x:c r="D7114" s="18" t="n">
        <x:v>46142</x:v>
      </x:c>
      <x:c r="E7114" s="18" t="n">
        <x:v>21.43</x:v>
      </x:c>
      <x:c r="F7114" s="18" t="n">
        <x:v>7.29</x:v>
      </x:c>
      <x:c r="G7114" t="n">
        <x:v>36</x:v>
      </x:c>
      <x:c r="H7114" t="str">
        <x:v>A</x:v>
      </x:c>
      <x:c r="I7114" t="str">
        <x:v>1-3 years</x:v>
      </x:c>
      <x:c r="J7114" t="str">
        <x:v>RENT</x:v>
      </x:c>
      <x:c r="K7114" t="str">
        <x:v>major_purchase</x:v>
      </x:c>
      <x:c r="L7114" t="n">
        <x:v>1</x:v>
      </x:c>
      <x:c r="M7114" t="n">
        <x:v>0</x:v>
      </x:c>
      <x:c r="N7114" t="str">
        <x:v>Fully Paid</x:v>
      </x:c>
      <x:c r="O7114" t="str">
        <x:f>IF(D7114="","Unknown",IF(D7114&lt;25000,"&lt;$25k",IF(D7114&lt;50000,"$25k-$50k",IF(D7114&lt;75000,"$50k-$75k",IF(D7114&lt;100000,"$75k-$100k","$100k+")))))</x:f>
        <x:v>$25k-$50k</x:v>
      </x:c>
      <x:c r="P7114" t="str">
        <x:f>IF(E7114="","Unknown",IF(E7114&lt;10,"&lt;10",IF(E7114&lt;20,"10-&lt;20",IF(E7114&lt;25,"20-&lt;25",IF(E7114&lt;35,"25-&lt;35","35+")))))</x:f>
        <x:v>20-&lt;25</x:v>
      </x:c>
    </x:row>
    <x:row r="7115">
      <x:c r="A7115" t="str">
        <x:v>SYN0007114</x:v>
      </x:c>
      <x:c r="B7115" s="12" t="n">
        <x:v>43075</x:v>
      </x:c>
      <x:c r="C7115" s="18" t="n">
        <x:v>19796</x:v>
      </x:c>
      <x:c r="D7115" s="18" t="n">
        <x:v>95454</x:v>
      </x:c>
      <x:c r="E7115" s="18" t="n">
        <x:v>23.83</x:v>
      </x:c>
      <x:c r="F7115" s="18" t="n">
        <x:v>9.71</x:v>
      </x:c>
      <x:c r="G7115" t="n">
        <x:v>36</x:v>
      </x:c>
      <x:c r="H7115" t="str">
        <x:v>C</x:v>
      </x:c>
      <x:c r="I7115" t="str">
        <x:v>&lt;1 year</x:v>
      </x:c>
      <x:c r="J7115" t="str">
        <x:v>MORTGAGE</x:v>
      </x:c>
      <x:c r="K7115" t="str">
        <x:v>major_purchase</x:v>
      </x:c>
      <x:c r="L7115" t="n">
        <x:v>1</x:v>
      </x:c>
      <x:c r="M7115" t="n">
        <x:v>0</x:v>
      </x:c>
      <x:c r="N7115" t="str">
        <x:v>Fully Paid</x:v>
      </x:c>
      <x:c r="O7115" t="str">
        <x:f>IF(D7115="","Unknown",IF(D7115&lt;25000,"&lt;$25k",IF(D7115&lt;50000,"$25k-$50k",IF(D7115&lt;75000,"$50k-$75k",IF(D7115&lt;100000,"$75k-$100k","$100k+")))))</x:f>
        <x:v>$75k-$100k</x:v>
      </x:c>
      <x:c r="P7115" t="str">
        <x:f>IF(E7115="","Unknown",IF(E7115&lt;10,"&lt;10",IF(E7115&lt;20,"10-&lt;20",IF(E7115&lt;25,"20-&lt;25",IF(E7115&lt;35,"25-&lt;35","35+")))))</x:f>
        <x:v>20-&lt;25</x:v>
      </x:c>
    </x:row>
    <x:row r="7116">
      <x:c r="A7116" t="str">
        <x:v>SYN0007115</x:v>
      </x:c>
      <x:c r="B7116" s="12" t="n">
        <x:v>42895</x:v>
      </x:c>
      <x:c r="C7116" s="18" t="n">
        <x:v>33876</x:v>
      </x:c>
      <x:c r="D7116" s="18" t="n">
        <x:v>67333</x:v>
      </x:c>
      <x:c r="E7116" s="18" t="n">
        <x:v>41.15</x:v>
      </x:c>
      <x:c r="F7116" s="18" t="n">
        <x:v>16.34</x:v>
      </x:c>
      <x:c r="G7116" t="n">
        <x:v>36</x:v>
      </x:c>
      <x:c r="H7116" t="str">
        <x:v>E</x:v>
      </x:c>
      <x:c r="I7116" t="str">
        <x:v>&lt;1 year</x:v>
      </x:c>
      <x:c r="J7116" t="str">
        <x:v>MORTGAGE</x:v>
      </x:c>
      <x:c r="K7116" t="str">
        <x:v>debt_consolidation</x:v>
      </x:c>
      <x:c r="L7116" t="n">
        <x:v>0</x:v>
      </x:c>
      <x:c r="M7116" t="n">
        <x:v>1</x:v>
      </x:c>
      <x:c r="N7116" t="str">
        <x:v>Charged Off</x:v>
      </x:c>
      <x:c r="O7116" t="str">
        <x:f>IF(D7116="","Unknown",IF(D7116&lt;25000,"&lt;$25k",IF(D7116&lt;50000,"$25k-$50k",IF(D7116&lt;75000,"$50k-$75k",IF(D7116&lt;100000,"$75k-$100k","$100k+")))))</x:f>
        <x:v>$50k-$75k</x:v>
      </x:c>
      <x:c r="P7116" t="str">
        <x:f>IF(E7116="","Unknown",IF(E7116&lt;10,"&lt;10",IF(E7116&lt;20,"10-&lt;20",IF(E7116&lt;25,"20-&lt;25",IF(E7116&lt;35,"25-&lt;35","35+")))))</x:f>
        <x:v>35+</x:v>
      </x:c>
    </x:row>
    <x:row r="7117">
      <x:c r="A7117" t="str">
        <x:v>SYN0007116</x:v>
      </x:c>
      <x:c r="B7117" s="12" t="n">
        <x:v>42415</x:v>
      </x:c>
      <x:c r="C7117" s="18" t="n">
        <x:v>18738</x:v>
      </x:c>
      <x:c r="D7117" s="18" t="n">
        <x:v>85282</x:v>
      </x:c>
      <x:c r="E7117" s="18" t="n">
        <x:v>18.05</x:v>
      </x:c>
      <x:c r="F7117" s="18" t="n">
        <x:v>18.68</x:v>
      </x:c>
      <x:c r="G7117" t="n">
        <x:v>36</x:v>
      </x:c>
      <x:c r="H7117" t="str">
        <x:v>E</x:v>
      </x:c>
      <x:c r="I7117" t="str">
        <x:v>&lt;1 year</x:v>
      </x:c>
      <x:c r="J7117" t="str">
        <x:v>MORTGAGE</x:v>
      </x:c>
      <x:c r="K7117" t="str">
        <x:v>debt_consolidation</x:v>
      </x:c>
      <x:c r="L7117" t="n">
        <x:v>1</x:v>
      </x:c>
      <x:c r="M7117" t="n">
        <x:v>0</x:v>
      </x:c>
      <x:c r="N7117" t="str">
        <x:v>Fully Paid</x:v>
      </x:c>
      <x:c r="O7117" t="str">
        <x:f>IF(D7117="","Unknown",IF(D7117&lt;25000,"&lt;$25k",IF(D7117&lt;50000,"$25k-$50k",IF(D7117&lt;75000,"$50k-$75k",IF(D7117&lt;100000,"$75k-$100k","$100k+")))))</x:f>
        <x:v>$75k-$100k</x:v>
      </x:c>
      <x:c r="P7117" t="str">
        <x:f>IF(E7117="","Unknown",IF(E7117&lt;10,"&lt;10",IF(E7117&lt;20,"10-&lt;20",IF(E7117&lt;25,"20-&lt;25",IF(E7117&lt;35,"25-&lt;35","35+")))))</x:f>
        <x:v>10-&lt;20</x:v>
      </x:c>
    </x:row>
    <x:row r="7118">
      <x:c r="A7118" t="str">
        <x:v>SYN0007117</x:v>
      </x:c>
      <x:c r="B7118" s="12" t="n">
        <x:v>41665</x:v>
      </x:c>
      <x:c r="C7118" s="18" t="n">
        <x:v>34322</x:v>
      </x:c>
      <x:c r="D7118" s="18" t="n">
        <x:v>13018</x:v>
      </x:c>
      <x:c r="E7118" s="18" t="n">
        <x:v>22.4</x:v>
      </x:c>
      <x:c r="F7118" s="18" t="n">
        <x:v>8.69</x:v>
      </x:c>
      <x:c r="G7118" t="n">
        <x:v>36</x:v>
      </x:c>
      <x:c r="H7118" t="str">
        <x:v>C</x:v>
      </x:c>
      <x:c r="I7118" t="str">
        <x:v>10+ years</x:v>
      </x:c>
      <x:c r="J7118" t="str">
        <x:v>MORTGAGE</x:v>
      </x:c>
      <x:c r="K7118" t="str">
        <x:v>major_purchase</x:v>
      </x:c>
      <x:c r="L7118" t="n">
        <x:v>0</x:v>
      </x:c>
      <x:c r="M7118" t="n">
        <x:v>1</x:v>
      </x:c>
      <x:c r="N7118" t="str">
        <x:v>Charged Off</x:v>
      </x:c>
      <x:c r="O7118" t="str">
        <x:f>IF(D7118="","Unknown",IF(D7118&lt;25000,"&lt;$25k",IF(D7118&lt;50000,"$25k-$50k",IF(D7118&lt;75000,"$50k-$75k",IF(D7118&lt;100000,"$75k-$100k","$100k+")))))</x:f>
        <x:v>&lt;$25k</x:v>
      </x:c>
      <x:c r="P7118" t="str">
        <x:f>IF(E7118="","Unknown",IF(E7118&lt;10,"&lt;10",IF(E7118&lt;20,"10-&lt;20",IF(E7118&lt;25,"20-&lt;25",IF(E7118&lt;35,"25-&lt;35","35+")))))</x:f>
        <x:v>20-&lt;25</x:v>
      </x:c>
    </x:row>
    <x:row r="7119">
      <x:c r="A7119" t="str">
        <x:v>SYN0007118</x:v>
      </x:c>
      <x:c r="B7119" s="12" t="n">
        <x:v>43105</x:v>
      </x:c>
      <x:c r="C7119" s="18" t="n">
        <x:v>13755</x:v>
      </x:c>
      <x:c r="D7119" s="18" t="n">
        <x:v>21020</x:v>
      </x:c>
      <x:c r="E7119" s="18" t="n">
        <x:v>22.53</x:v>
      </x:c>
      <x:c r="F7119" s="18" t="n">
        <x:v>8.74</x:v>
      </x:c>
      <x:c r="G7119" t="n">
        <x:v>36</x:v>
      </x:c>
      <x:c r="H7119" t="str">
        <x:v>B</x:v>
      </x:c>
      <x:c r="I7119" t="str">
        <x:v>1-3 years</x:v>
      </x:c>
      <x:c r="J7119" t="str">
        <x:v>RENT</x:v>
      </x:c>
      <x:c r="K7119" t="str">
        <x:v>credit_card</x:v>
      </x:c>
      <x:c r="L7119" t="n">
        <x:v>0</x:v>
      </x:c>
      <x:c r="M7119" t="n">
        <x:v>0</x:v>
      </x:c>
      <x:c r="N7119" t="str">
        <x:v>Fully Paid</x:v>
      </x:c>
      <x:c r="O7119" t="str">
        <x:f>IF(D7119="","Unknown",IF(D7119&lt;25000,"&lt;$25k",IF(D7119&lt;50000,"$25k-$50k",IF(D7119&lt;75000,"$50k-$75k",IF(D7119&lt;100000,"$75k-$100k","$100k+")))))</x:f>
        <x:v>&lt;$25k</x:v>
      </x:c>
      <x:c r="P7119" t="str">
        <x:f>IF(E7119="","Unknown",IF(E7119&lt;10,"&lt;10",IF(E7119&lt;20,"10-&lt;20",IF(E7119&lt;25,"20-&lt;25",IF(E7119&lt;35,"25-&lt;35","35+")))))</x:f>
        <x:v>20-&lt;25</x:v>
      </x:c>
    </x:row>
    <x:row r="7120">
      <x:c r="A7120" t="str">
        <x:v>SYN0007119</x:v>
      </x:c>
      <x:c r="B7120" s="12" t="n">
        <x:v>43075</x:v>
      </x:c>
      <x:c r="C7120" s="18" t="n">
        <x:v>3380</x:v>
      </x:c>
      <x:c r="D7120" s="18" t="n">
        <x:v>21888</x:v>
      </x:c>
      <x:c r="E7120" s="18" t="n">
        <x:v>27.03</x:v>
      </x:c>
      <x:c r="F7120" s="18" t="n">
        <x:v>19.78</x:v>
      </x:c>
      <x:c r="G7120" t="n">
        <x:v>36</x:v>
      </x:c>
      <x:c r="H7120" t="str">
        <x:v>E</x:v>
      </x:c>
      <x:c r="I7120" t="str">
        <x:v>4-6 years</x:v>
      </x:c>
      <x:c r="J7120" t="str">
        <x:v>OWN</x:v>
      </x:c>
      <x:c r="K7120" t="str">
        <x:v>debt_consolidation</x:v>
      </x:c>
      <x:c r="L7120" t="n">
        <x:v>0</x:v>
      </x:c>
      <x:c r="M7120" t="n">
        <x:v>1</x:v>
      </x:c>
      <x:c r="N7120" t="str">
        <x:v>Charged Off</x:v>
      </x:c>
      <x:c r="O7120" t="str">
        <x:f>IF(D7120="","Unknown",IF(D7120&lt;25000,"&lt;$25k",IF(D7120&lt;50000,"$25k-$50k",IF(D7120&lt;75000,"$50k-$75k",IF(D7120&lt;100000,"$75k-$100k","$100k+")))))</x:f>
        <x:v>&lt;$25k</x:v>
      </x:c>
      <x:c r="P7120" t="str">
        <x:f>IF(E7120="","Unknown",IF(E7120&lt;10,"&lt;10",IF(E7120&lt;20,"10-&lt;20",IF(E7120&lt;25,"20-&lt;25",IF(E7120&lt;35,"25-&lt;35","35+")))))</x:f>
        <x:v>25-&lt;35</x:v>
      </x:c>
    </x:row>
    <x:row r="7121">
      <x:c r="A7121" t="str">
        <x:v>SYN0007120</x:v>
      </x:c>
      <x:c r="B7121" s="12" t="n">
        <x:v>42055</x:v>
      </x:c>
      <x:c r="C7121" s="18" t="n">
        <x:v>9446</x:v>
      </x:c>
      <x:c r="D7121" s="18" t="n">
        <x:v>162385</x:v>
      </x:c>
      <x:c r="E7121" s="18" t="n">
        <x:v>25.82</x:v>
      </x:c>
      <x:c r="F7121" s="18" t="n">
        <x:v>8.38</x:v>
      </x:c>
      <x:c r="G7121" t="n">
        <x:v>36</x:v>
      </x:c>
      <x:c r="H7121" t="str">
        <x:v>B</x:v>
      </x:c>
      <x:c r="I7121" t="str">
        <x:v>4-6 years</x:v>
      </x:c>
      <x:c r="J7121" t="str">
        <x:v>RENT</x:v>
      </x:c>
      <x:c r="K7121" t="str">
        <x:v>debt_consolidation</x:v>
      </x:c>
      <x:c r="L7121" t="n">
        <x:v>0</x:v>
      </x:c>
      <x:c r="M7121" t="n">
        <x:v>0</x:v>
      </x:c>
      <x:c r="N7121" t="str">
        <x:v>Fully Paid</x:v>
      </x:c>
      <x:c r="O7121" t="str">
        <x:f>IF(D7121="","Unknown",IF(D7121&lt;25000,"&lt;$25k",IF(D7121&lt;50000,"$25k-$50k",IF(D7121&lt;75000,"$50k-$75k",IF(D7121&lt;100000,"$75k-$100k","$100k+")))))</x:f>
        <x:v>$100k+</x:v>
      </x:c>
      <x:c r="P7121" t="str">
        <x:f>IF(E7121="","Unknown",IF(E7121&lt;10,"&lt;10",IF(E7121&lt;20,"10-&lt;20",IF(E7121&lt;25,"20-&lt;25",IF(E7121&lt;35,"25-&lt;35","35+")))))</x:f>
        <x:v>25-&lt;35</x:v>
      </x:c>
    </x:row>
    <x:row r="7122">
      <x:c r="A7122" t="str">
        <x:v>SYN0007121</x:v>
      </x:c>
      <x:c r="B7122" s="12" t="n">
        <x:v>42685</x:v>
      </x:c>
      <x:c r="C7122" s="18" t="n">
        <x:v>3982</x:v>
      </x:c>
      <x:c r="D7122" s="18" t="n">
        <x:v>109355</x:v>
      </x:c>
      <x:c r="E7122" s="18" t="n">
        <x:v>14.04</x:v>
      </x:c>
      <x:c r="F7122" s="18" t="n">
        <x:v>17.4</x:v>
      </x:c>
      <x:c r="G7122" t="n">
        <x:v>36</x:v>
      </x:c>
      <x:c r="H7122" t="str">
        <x:v>E</x:v>
      </x:c>
      <x:c r="I7122" t="str">
        <x:v>4-6 years</x:v>
      </x:c>
      <x:c r="J7122" t="str">
        <x:v>RENT</x:v>
      </x:c>
      <x:c r="K7122" t="str">
        <x:v>debt_consolidation</x:v>
      </x:c>
      <x:c r="L7122" t="n">
        <x:v>0</x:v>
      </x:c>
      <x:c r="M7122" t="n">
        <x:v>0</x:v>
      </x:c>
      <x:c r="N7122" t="str">
        <x:v>Fully Paid</x:v>
      </x:c>
      <x:c r="O7122" t="str">
        <x:f>IF(D7122="","Unknown",IF(D7122&lt;25000,"&lt;$25k",IF(D7122&lt;50000,"$25k-$50k",IF(D7122&lt;75000,"$50k-$75k",IF(D7122&lt;100000,"$75k-$100k","$100k+")))))</x:f>
        <x:v>$100k+</x:v>
      </x:c>
      <x:c r="P7122" t="str">
        <x:f>IF(E7122="","Unknown",IF(E7122&lt;10,"&lt;10",IF(E7122&lt;20,"10-&lt;20",IF(E7122&lt;25,"20-&lt;25",IF(E7122&lt;35,"25-&lt;35","35+")))))</x:f>
        <x:v>10-&lt;20</x:v>
      </x:c>
    </x:row>
    <x:row r="7123">
      <x:c r="A7123" t="str">
        <x:v>SYN0007122</x:v>
      </x:c>
      <x:c r="B7123" s="12" t="n">
        <x:v>41275</x:v>
      </x:c>
      <x:c r="C7123" s="18" t="n">
        <x:v>9835</x:v>
      </x:c>
      <x:c r="D7123" s="18" t="n">
        <x:v>32780</x:v>
      </x:c>
      <x:c r="E7123" s="18" t="n">
        <x:v>27.16</x:v>
      </x:c>
      <x:c r="F7123" s="18" t="n">
        <x:v>7.36</x:v>
      </x:c>
      <x:c r="G7123" t="n">
        <x:v>60</x:v>
      </x:c>
      <x:c r="H7123" t="str">
        <x:v>B</x:v>
      </x:c>
      <x:c r="I7123" t="str">
        <x:v>7-9 years</x:v>
      </x:c>
      <x:c r="J7123" t="str">
        <x:v>OWN</x:v>
      </x:c>
      <x:c r="K7123" t="str">
        <x:v>credit_card</x:v>
      </x:c>
      <x:c r="L7123" t="n">
        <x:v>0</x:v>
      </x:c>
      <x:c r="M7123" t="n">
        <x:v>1</x:v>
      </x:c>
      <x:c r="N7123" t="str">
        <x:v>Charged Off</x:v>
      </x:c>
      <x:c r="O7123" t="str">
        <x:f>IF(D7123="","Unknown",IF(D7123&lt;25000,"&lt;$25k",IF(D7123&lt;50000,"$25k-$50k",IF(D7123&lt;75000,"$50k-$75k",IF(D7123&lt;100000,"$75k-$100k","$100k+")))))</x:f>
        <x:v>$25k-$50k</x:v>
      </x:c>
      <x:c r="P7123" t="str">
        <x:f>IF(E7123="","Unknown",IF(E7123&lt;10,"&lt;10",IF(E7123&lt;20,"10-&lt;20",IF(E7123&lt;25,"20-&lt;25",IF(E7123&lt;35,"25-&lt;35","35+")))))</x:f>
        <x:v>25-&lt;35</x:v>
      </x:c>
    </x:row>
    <x:row r="7124">
      <x:c r="A7124" t="str">
        <x:v>SYN0007123</x:v>
      </x:c>
      <x:c r="B7124" s="12" t="n">
        <x:v>41425</x:v>
      </x:c>
      <x:c r="C7124" s="18" t="n">
        <x:v>14024</x:v>
      </x:c>
      <x:c r="D7124" s="18" t="n">
        <x:v>28824</x:v>
      </x:c>
      <x:c r="E7124" s="18" t="n">
        <x:v>8.16</x:v>
      </x:c>
      <x:c r="F7124" s="18" t="n">
        <x:v>11.26</x:v>
      </x:c>
      <x:c r="G7124" t="n">
        <x:v>60</x:v>
      </x:c>
      <x:c r="H7124" t="str">
        <x:v>D</x:v>
      </x:c>
      <x:c r="I7124" t="str">
        <x:v>10+ years</x:v>
      </x:c>
      <x:c r="J7124" t="str">
        <x:v>RENT</x:v>
      </x:c>
      <x:c r="K7124" t="str">
        <x:v>other</x:v>
      </x:c>
      <x:c r="L7124" t="n">
        <x:v>1</x:v>
      </x:c>
      <x:c r="M7124" t="n">
        <x:v>1</x:v>
      </x:c>
      <x:c r="N7124" t="str">
        <x:v>Charged Off</x:v>
      </x:c>
      <x:c r="O7124" t="str">
        <x:f>IF(D7124="","Unknown",IF(D7124&lt;25000,"&lt;$25k",IF(D7124&lt;50000,"$25k-$50k",IF(D7124&lt;75000,"$50k-$75k",IF(D7124&lt;100000,"$75k-$100k","$100k+")))))</x:f>
        <x:v>$25k-$50k</x:v>
      </x:c>
      <x:c r="P7124" t="str">
        <x:f>IF(E7124="","Unknown",IF(E7124&lt;10,"&lt;10",IF(E7124&lt;20,"10-&lt;20",IF(E7124&lt;25,"20-&lt;25",IF(E7124&lt;35,"25-&lt;35","35+")))))</x:f>
        <x:v>&lt;10</x:v>
      </x:c>
    </x:row>
    <x:row r="7125">
      <x:c r="A7125" t="str">
        <x:v>SYN0007124</x:v>
      </x:c>
      <x:c r="B7125" s="12" t="n">
        <x:v>42805</x:v>
      </x:c>
      <x:c r="C7125" s="18" t="n">
        <x:v>14523</x:v>
      </x:c>
      <x:c r="D7125" s="18" t="n">
        <x:v>37583</x:v>
      </x:c>
      <x:c r="E7125" s="18" t="n">
        <x:v>17.41</x:v>
      </x:c>
      <x:c r="F7125" s="18" t="n">
        <x:v>6.79</x:v>
      </x:c>
      <x:c r="G7125" t="n">
        <x:v>36</x:v>
      </x:c>
      <x:c r="H7125" t="str">
        <x:v>A</x:v>
      </x:c>
      <x:c r="I7125" t="str">
        <x:v>4-6 years</x:v>
      </x:c>
      <x:c r="J7125" t="str">
        <x:v>RENT</x:v>
      </x:c>
      <x:c r="K7125" t="str">
        <x:v>debt_consolidation</x:v>
      </x:c>
      <x:c r="L7125" t="n">
        <x:v>1</x:v>
      </x:c>
      <x:c r="M7125" t="n">
        <x:v>0</x:v>
      </x:c>
      <x:c r="N7125" t="str">
        <x:v>Fully Paid</x:v>
      </x:c>
      <x:c r="O7125" t="str">
        <x:f>IF(D7125="","Unknown",IF(D7125&lt;25000,"&lt;$25k",IF(D7125&lt;50000,"$25k-$50k",IF(D7125&lt;75000,"$50k-$75k",IF(D7125&lt;100000,"$75k-$100k","$100k+")))))</x:f>
        <x:v>$25k-$50k</x:v>
      </x:c>
      <x:c r="P7125" t="str">
        <x:f>IF(E7125="","Unknown",IF(E7125&lt;10,"&lt;10",IF(E7125&lt;20,"10-&lt;20",IF(E7125&lt;25,"20-&lt;25",IF(E7125&lt;35,"25-&lt;35","35+")))))</x:f>
        <x:v>10-&lt;20</x:v>
      </x:c>
    </x:row>
    <x:row r="7126">
      <x:c r="A7126" t="str">
        <x:v>SYN0007125</x:v>
      </x:c>
      <x:c r="B7126" s="12" t="n">
        <x:v>41785</x:v>
      </x:c>
      <x:c r="C7126" s="18" t="n">
        <x:v>25770</x:v>
      </x:c>
      <x:c r="D7126" s="18" t="n">
        <x:v>58306</x:v>
      </x:c>
      <x:c r="E7126" s="18" t="n">
        <x:v>31.34</x:v>
      </x:c>
      <x:c r="F7126" s="18" t="n">
        <x:v>19.87</x:v>
      </x:c>
      <x:c r="G7126" t="n">
        <x:v>60</x:v>
      </x:c>
      <x:c r="H7126" t="str">
        <x:v>F</x:v>
      </x:c>
      <x:c r="I7126" t="str">
        <x:v>7-9 years</x:v>
      </x:c>
      <x:c r="J7126" t="str">
        <x:v>OWN</x:v>
      </x:c>
      <x:c r="K7126" t="str">
        <x:v>home_improvement</x:v>
      </x:c>
      <x:c r="L7126" t="n">
        <x:v>0</x:v>
      </x:c>
      <x:c r="M7126" t="n">
        <x:v>1</x:v>
      </x:c>
      <x:c r="N7126" t="str">
        <x:v>Charged Off</x:v>
      </x:c>
      <x:c r="O7126" t="str">
        <x:f>IF(D7126="","Unknown",IF(D7126&lt;25000,"&lt;$25k",IF(D7126&lt;50000,"$25k-$50k",IF(D7126&lt;75000,"$50k-$75k",IF(D7126&lt;100000,"$75k-$100k","$100k+")))))</x:f>
        <x:v>$50k-$75k</x:v>
      </x:c>
      <x:c r="P7126" t="str">
        <x:f>IF(E7126="","Unknown",IF(E7126&lt;10,"&lt;10",IF(E7126&lt;20,"10-&lt;20",IF(E7126&lt;25,"20-&lt;25",IF(E7126&lt;35,"25-&lt;35","35+")))))</x:f>
        <x:v>25-&lt;35</x:v>
      </x:c>
    </x:row>
    <x:row r="7127">
      <x:c r="A7127" t="str">
        <x:v>SYN0007126</x:v>
      </x:c>
      <x:c r="B7127" s="12" t="n">
        <x:v>41305</x:v>
      </x:c>
      <x:c r="C7127" s="18" t="n">
        <x:v>7755</x:v>
      </x:c>
      <x:c r="D7127" s="18" t="n">
        <x:v>24418</x:v>
      </x:c>
      <x:c r="E7127" s="18" t="n">
        <x:v>15.92</x:v>
      </x:c>
      <x:c r="F7127" s="18" t="n">
        <x:v>10.48</x:v>
      </x:c>
      <x:c r="G7127" t="n">
        <x:v>60</x:v>
      </x:c>
      <x:c r="H7127" t="str">
        <x:v>B</x:v>
      </x:c>
      <x:c r="I7127" t="str">
        <x:v>1-3 years</x:v>
      </x:c>
      <x:c r="J7127" t="str">
        <x:v>OWN</x:v>
      </x:c>
      <x:c r="K7127" t="str">
        <x:v>credit_card</x:v>
      </x:c>
      <x:c r="L7127" t="n">
        <x:v>0</x:v>
      </x:c>
      <x:c r="M7127" t="n">
        <x:v>0</x:v>
      </x:c>
      <x:c r="N7127" t="str">
        <x:v>Fully Paid</x:v>
      </x:c>
      <x:c r="O7127" t="str">
        <x:f>IF(D7127="","Unknown",IF(D7127&lt;25000,"&lt;$25k",IF(D7127&lt;50000,"$25k-$50k",IF(D7127&lt;75000,"$50k-$75k",IF(D7127&lt;100000,"$75k-$100k","$100k+")))))</x:f>
        <x:v>&lt;$25k</x:v>
      </x:c>
      <x:c r="P7127" t="str">
        <x:f>IF(E7127="","Unknown",IF(E7127&lt;10,"&lt;10",IF(E7127&lt;20,"10-&lt;20",IF(E7127&lt;25,"20-&lt;25",IF(E7127&lt;35,"25-&lt;35","35+")))))</x:f>
        <x:v>10-&lt;20</x:v>
      </x:c>
    </x:row>
    <x:row r="7128">
      <x:c r="A7128" t="str">
        <x:v>SYN0007127</x:v>
      </x:c>
      <x:c r="B7128" s="12" t="n">
        <x:v>41785</x:v>
      </x:c>
      <x:c r="C7128" s="18" t="n">
        <x:v>4976</x:v>
      </x:c>
      <x:c r="D7128" s="18" t="n">
        <x:v>44222</x:v>
      </x:c>
      <x:c r="E7128" s="18" t="n">
        <x:v>22.39</x:v>
      </x:c>
      <x:c r="F7128" s="18" t="n">
        <x:v>13.36</x:v>
      </x:c>
      <x:c r="G7128" t="n">
        <x:v>36</x:v>
      </x:c>
      <x:c r="H7128" t="str">
        <x:v>C</x:v>
      </x:c>
      <x:c r="I7128" t="str">
        <x:v>10+ years</x:v>
      </x:c>
      <x:c r="J7128" t="str">
        <x:v>RENT</x:v>
      </x:c>
      <x:c r="K7128" t="str">
        <x:v>major_purchase</x:v>
      </x:c>
      <x:c r="L7128" t="n">
        <x:v>0</x:v>
      </x:c>
      <x:c r="M7128" t="n">
        <x:v>0</x:v>
      </x:c>
      <x:c r="N7128" t="str">
        <x:v>Fully Paid</x:v>
      </x:c>
      <x:c r="O7128" t="str">
        <x:f>IF(D7128="","Unknown",IF(D7128&lt;25000,"&lt;$25k",IF(D7128&lt;50000,"$25k-$50k",IF(D7128&lt;75000,"$50k-$75k",IF(D7128&lt;100000,"$75k-$100k","$100k+")))))</x:f>
        <x:v>$25k-$50k</x:v>
      </x:c>
      <x:c r="P7128" t="str">
        <x:f>IF(E7128="","Unknown",IF(E7128&lt;10,"&lt;10",IF(E7128&lt;20,"10-&lt;20",IF(E7128&lt;25,"20-&lt;25",IF(E7128&lt;35,"25-&lt;35","35+")))))</x:f>
        <x:v>20-&lt;25</x:v>
      </x:c>
    </x:row>
    <x:row r="7129">
      <x:c r="A7129" t="str">
        <x:v>SYN0007128</x:v>
      </x:c>
      <x:c r="B7129" s="12" t="n">
        <x:v>43045</x:v>
      </x:c>
      <x:c r="C7129" s="18" t="n">
        <x:v>9337</x:v>
      </x:c>
      <x:c r="D7129" s="18" t="n">
        <x:v>200217</x:v>
      </x:c>
      <x:c r="E7129" s="18" t="n">
        <x:v>21.81</x:v>
      </x:c>
      <x:c r="F7129" s="18" t="n">
        <x:v>10</x:v>
      </x:c>
      <x:c r="G7129" t="n">
        <x:v>36</x:v>
      </x:c>
      <x:c r="H7129" t="str">
        <x:v>C</x:v>
      </x:c>
      <x:c r="I7129" t="str">
        <x:v>1-3 years</x:v>
      </x:c>
      <x:c r="J7129" t="str">
        <x:v>RENT</x:v>
      </x:c>
      <x:c r="K7129" t="str">
        <x:v>credit_card</x:v>
      </x:c>
      <x:c r="L7129" t="n">
        <x:v>0</x:v>
      </x:c>
      <x:c r="M7129" t="n">
        <x:v>0</x:v>
      </x:c>
      <x:c r="N7129" t="str">
        <x:v>Fully Paid</x:v>
      </x:c>
      <x:c r="O7129" t="str">
        <x:f>IF(D7129="","Unknown",IF(D7129&lt;25000,"&lt;$25k",IF(D7129&lt;50000,"$25k-$50k",IF(D7129&lt;75000,"$50k-$75k",IF(D7129&lt;100000,"$75k-$100k","$100k+")))))</x:f>
        <x:v>$100k+</x:v>
      </x:c>
      <x:c r="P7129" t="str">
        <x:f>IF(E7129="","Unknown",IF(E7129&lt;10,"&lt;10",IF(E7129&lt;20,"10-&lt;20",IF(E7129&lt;25,"20-&lt;25",IF(E7129&lt;35,"25-&lt;35","35+")))))</x:f>
        <x:v>20-&lt;25</x:v>
      </x:c>
    </x:row>
    <x:row r="7130">
      <x:c r="A7130" t="str">
        <x:v>SYN0007129</x:v>
      </x:c>
      <x:c r="B7130" s="12" t="n">
        <x:v>41455</x:v>
      </x:c>
      <x:c r="C7130" s="18" t="n">
        <x:v>7211</x:v>
      </x:c>
      <x:c r="D7130" s="18" t="n">
        <x:v>50861</x:v>
      </x:c>
      <x:c r="E7130" s="18" t="n">
        <x:v>32.58</x:v>
      </x:c>
      <x:c r="F7130" s="18" t="n">
        <x:v>22.48</x:v>
      </x:c>
      <x:c r="G7130" t="n">
        <x:v>36</x:v>
      </x:c>
      <x:c r="H7130" t="str">
        <x:v>F</x:v>
      </x:c>
      <x:c r="I7130" t="str">
        <x:v>10+ years</x:v>
      </x:c>
      <x:c r="J7130" t="str">
        <x:v>MORTGAGE</x:v>
      </x:c>
      <x:c r="K7130" t="str">
        <x:v>credit_card</x:v>
      </x:c>
      <x:c r="L7130" t="n">
        <x:v>1</x:v>
      </x:c>
      <x:c r="M7130" t="n">
        <x:v>1</x:v>
      </x:c>
      <x:c r="N7130" t="str">
        <x:v>Charged Off</x:v>
      </x:c>
      <x:c r="O7130" t="str">
        <x:f>IF(D7130="","Unknown",IF(D7130&lt;25000,"&lt;$25k",IF(D7130&lt;50000,"$25k-$50k",IF(D7130&lt;75000,"$50k-$75k",IF(D7130&lt;100000,"$75k-$100k","$100k+")))))</x:f>
        <x:v>$50k-$75k</x:v>
      </x:c>
      <x:c r="P7130" t="str">
        <x:f>IF(E7130="","Unknown",IF(E7130&lt;10,"&lt;10",IF(E7130&lt;20,"10-&lt;20",IF(E7130&lt;25,"20-&lt;25",IF(E7130&lt;35,"25-&lt;35","35+")))))</x:f>
        <x:v>25-&lt;35</x:v>
      </x:c>
    </x:row>
    <x:row r="7131">
      <x:c r="A7131" t="str">
        <x:v>SYN0007130</x:v>
      </x:c>
      <x:c r="B7131" s="12" t="n">
        <x:v>42715</x:v>
      </x:c>
      <x:c r="C7131" s="18" t="n">
        <x:v>9498</x:v>
      </x:c>
      <x:c r="D7131" s="18" t="n">
        <x:v>83476</x:v>
      </x:c>
      <x:c r="E7131" s="18" t="n">
        <x:v>19.78</x:v>
      </x:c>
      <x:c r="F7131" s="18" t="n">
        <x:v>15.18</x:v>
      </x:c>
      <x:c r="G7131" t="n">
        <x:v>60</x:v>
      </x:c>
      <x:c r="H7131" t="str">
        <x:v>D</x:v>
      </x:c>
      <x:c r="I7131" t="str">
        <x:v>7-9 years</x:v>
      </x:c>
      <x:c r="J7131" t="str">
        <x:v>RENT</x:v>
      </x:c>
      <x:c r="K7131" t="str">
        <x:v>home_improvement</x:v>
      </x:c>
      <x:c r="L7131" t="n">
        <x:v>1</x:v>
      </x:c>
      <x:c r="M7131" t="n">
        <x:v>0</x:v>
      </x:c>
      <x:c r="N7131" t="str">
        <x:v>Fully Paid</x:v>
      </x:c>
      <x:c r="O7131" t="str">
        <x:f>IF(D7131="","Unknown",IF(D7131&lt;25000,"&lt;$25k",IF(D7131&lt;50000,"$25k-$50k",IF(D7131&lt;75000,"$50k-$75k",IF(D7131&lt;100000,"$75k-$100k","$100k+")))))</x:f>
        <x:v>$75k-$100k</x:v>
      </x:c>
      <x:c r="P7131" t="str">
        <x:f>IF(E7131="","Unknown",IF(E7131&lt;10,"&lt;10",IF(E7131&lt;20,"10-&lt;20",IF(E7131&lt;25,"20-&lt;25",IF(E7131&lt;35,"25-&lt;35","35+")))))</x:f>
        <x:v>10-&lt;20</x:v>
      </x:c>
    </x:row>
    <x:row r="7132">
      <x:c r="A7132" t="str">
        <x:v>SYN0007131</x:v>
      </x:c>
      <x:c r="B7132" s="12" t="n">
        <x:v>43045</x:v>
      </x:c>
      <x:c r="C7132" s="18" t="n">
        <x:v>14371</x:v>
      </x:c>
      <x:c r="D7132" s="18" t="n">
        <x:v>87076</x:v>
      </x:c>
      <x:c r="E7132" s="18" t="n">
        <x:v>5.27</x:v>
      </x:c>
      <x:c r="F7132" s="18" t="n">
        <x:v>10.59</x:v>
      </x:c>
      <x:c r="G7132" t="n">
        <x:v>36</x:v>
      </x:c>
      <x:c r="H7132" t="str">
        <x:v>C</x:v>
      </x:c>
      <x:c r="I7132" t="str">
        <x:v>10+ years</x:v>
      </x:c>
      <x:c r="J7132" t="str">
        <x:v>RENT</x:v>
      </x:c>
      <x:c r="K7132" t="str">
        <x:v>debt_consolidation</x:v>
      </x:c>
      <x:c r="L7132" t="n">
        <x:v>0</x:v>
      </x:c>
      <x:c r="M7132" t="n">
        <x:v>1</x:v>
      </x:c>
      <x:c r="N7132" t="str">
        <x:v>Charged Off</x:v>
      </x:c>
      <x:c r="O7132" t="str">
        <x:f>IF(D7132="","Unknown",IF(D7132&lt;25000,"&lt;$25k",IF(D7132&lt;50000,"$25k-$50k",IF(D7132&lt;75000,"$50k-$75k",IF(D7132&lt;100000,"$75k-$100k","$100k+")))))</x:f>
        <x:v>$75k-$100k</x:v>
      </x:c>
      <x:c r="P7132" t="str">
        <x:f>IF(E7132="","Unknown",IF(E7132&lt;10,"&lt;10",IF(E7132&lt;20,"10-&lt;20",IF(E7132&lt;25,"20-&lt;25",IF(E7132&lt;35,"25-&lt;35","35+")))))</x:f>
        <x:v>&lt;10</x:v>
      </x:c>
    </x:row>
    <x:row r="7133">
      <x:c r="A7133" t="str">
        <x:v>SYN0007132</x:v>
      </x:c>
      <x:c r="B7133" s="12" t="n">
        <x:v>42295</x:v>
      </x:c>
      <x:c r="C7133" s="18" t="n">
        <x:v>16306</x:v>
      </x:c>
      <x:c r="D7133" s="18" t="n">
        <x:v>51246</x:v>
      </x:c>
      <x:c r="E7133" s="18" t="n">
        <x:v>14.19</x:v>
      </x:c>
      <x:c r="F7133" s="18" t="n">
        <x:v>5.72</x:v>
      </x:c>
      <x:c r="G7133" t="n">
        <x:v>36</x:v>
      </x:c>
      <x:c r="H7133" t="str">
        <x:v>A</x:v>
      </x:c>
      <x:c r="I7133" t="str">
        <x:v>4-6 years</x:v>
      </x:c>
      <x:c r="J7133" t="str">
        <x:v>OWN</x:v>
      </x:c>
      <x:c r="K7133" t="str">
        <x:v>debt_consolidation</x:v>
      </x:c>
      <x:c r="L7133" t="n">
        <x:v>0</x:v>
      </x:c>
      <x:c r="M7133" t="n">
        <x:v>0</x:v>
      </x:c>
      <x:c r="N7133" t="str">
        <x:v>Fully Paid</x:v>
      </x:c>
      <x:c r="O7133" t="str">
        <x:f>IF(D7133="","Unknown",IF(D7133&lt;25000,"&lt;$25k",IF(D7133&lt;50000,"$25k-$50k",IF(D7133&lt;75000,"$50k-$75k",IF(D7133&lt;100000,"$75k-$100k","$100k+")))))</x:f>
        <x:v>$50k-$75k</x:v>
      </x:c>
      <x:c r="P7133" t="str">
        <x:f>IF(E7133="","Unknown",IF(E7133&lt;10,"&lt;10",IF(E7133&lt;20,"10-&lt;20",IF(E7133&lt;25,"20-&lt;25",IF(E7133&lt;35,"25-&lt;35","35+")))))</x:f>
        <x:v>10-&lt;20</x:v>
      </x:c>
    </x:row>
    <x:row r="7134">
      <x:c r="A7134" t="str">
        <x:v>SYN0007133</x:v>
      </x:c>
      <x:c r="B7134" s="12" t="n">
        <x:v>42235</x:v>
      </x:c>
      <x:c r="C7134" s="18" t="n">
        <x:v>19106</x:v>
      </x:c>
      <x:c r="D7134" s="18" t="n">
        <x:v>35004</x:v>
      </x:c>
      <x:c r="E7134" s="18" t="n">
        <x:v>47.62</x:v>
      </x:c>
      <x:c r="F7134" s="18" t="n">
        <x:v>19.99</x:v>
      </x:c>
      <x:c r="G7134" t="n">
        <x:v>36</x:v>
      </x:c>
      <x:c r="H7134" t="str">
        <x:v>F</x:v>
      </x:c>
      <x:c r="I7134" t="str">
        <x:v>1-3 years</x:v>
      </x:c>
      <x:c r="J7134" t="str">
        <x:v>RENT</x:v>
      </x:c>
      <x:c r="K7134" t="str">
        <x:v>credit_card</x:v>
      </x:c>
      <x:c r="L7134" t="n">
        <x:v>1</x:v>
      </x:c>
      <x:c r="M7134" t="n">
        <x:v>0</x:v>
      </x:c>
      <x:c r="N7134" t="str">
        <x:v>Fully Paid</x:v>
      </x:c>
      <x:c r="O7134" t="str">
        <x:f>IF(D7134="","Unknown",IF(D7134&lt;25000,"&lt;$25k",IF(D7134&lt;50000,"$25k-$50k",IF(D7134&lt;75000,"$50k-$75k",IF(D7134&lt;100000,"$75k-$100k","$100k+")))))</x:f>
        <x:v>$25k-$50k</x:v>
      </x:c>
      <x:c r="P7134" t="str">
        <x:f>IF(E7134="","Unknown",IF(E7134&lt;10,"&lt;10",IF(E7134&lt;20,"10-&lt;20",IF(E7134&lt;25,"20-&lt;25",IF(E7134&lt;35,"25-&lt;35","35+")))))</x:f>
        <x:v>35+</x:v>
      </x:c>
    </x:row>
    <x:row r="7135">
      <x:c r="A7135" t="str">
        <x:v>SYN0007134</x:v>
      </x:c>
      <x:c r="B7135" s="12" t="n">
        <x:v>43105</x:v>
      </x:c>
      <x:c r="C7135" s="18" t="n">
        <x:v>13062</x:v>
      </x:c>
      <x:c r="D7135" s="18" t="n">
        <x:v>250000</x:v>
      </x:c>
      <x:c r="E7135" s="18" t="n">
        <x:v>20.39</x:v>
      </x:c>
      <x:c r="F7135" s="18" t="n">
        <x:v>7.98</x:v>
      </x:c>
      <x:c r="G7135" t="n">
        <x:v>60</x:v>
      </x:c>
      <x:c r="H7135" t="str">
        <x:v>B</x:v>
      </x:c>
      <x:c r="I7135" t="str">
        <x:v>4-6 years</x:v>
      </x:c>
      <x:c r="J7135" t="str">
        <x:v>RENT</x:v>
      </x:c>
      <x:c r="K7135" t="str">
        <x:v>debt_consolidation</x:v>
      </x:c>
      <x:c r="L7135" t="n">
        <x:v>0</x:v>
      </x:c>
      <x:c r="M7135" t="n">
        <x:v>0</x:v>
      </x:c>
      <x:c r="N7135" t="str">
        <x:v>Fully Paid</x:v>
      </x:c>
      <x:c r="O7135" t="str">
        <x:f>IF(D7135="","Unknown",IF(D7135&lt;25000,"&lt;$25k",IF(D7135&lt;50000,"$25k-$50k",IF(D7135&lt;75000,"$50k-$75k",IF(D7135&lt;100000,"$75k-$100k","$100k+")))))</x:f>
        <x:v>$100k+</x:v>
      </x:c>
      <x:c r="P7135" t="str">
        <x:f>IF(E7135="","Unknown",IF(E7135&lt;10,"&lt;10",IF(E7135&lt;20,"10-&lt;20",IF(E7135&lt;25,"20-&lt;25",IF(E7135&lt;35,"25-&lt;35","35+")))))</x:f>
        <x:v>20-&lt;25</x:v>
      </x:c>
    </x:row>
    <x:row r="7136">
      <x:c r="A7136" t="str">
        <x:v>SYN0007135</x:v>
      </x:c>
      <x:c r="B7136" s="12" t="n">
        <x:v>42385</x:v>
      </x:c>
      <x:c r="C7136" s="18" t="n">
        <x:v>25303</x:v>
      </x:c>
      <x:c r="D7136" s="18" t="n">
        <x:v>87792</x:v>
      </x:c>
      <x:c r="E7136" s="18" t="n">
        <x:v>24.66</x:v>
      </x:c>
      <x:c r="F7136" s="18" t="n">
        <x:v>22.74</x:v>
      </x:c>
      <x:c r="G7136" t="n">
        <x:v>36</x:v>
      </x:c>
      <x:c r="H7136" t="str">
        <x:v>F</x:v>
      </x:c>
      <x:c r="I7136" t="str">
        <x:v>1-3 years</x:v>
      </x:c>
      <x:c r="J7136" t="str">
        <x:v>RENT</x:v>
      </x:c>
      <x:c r="K7136" t="str">
        <x:v>credit_card</x:v>
      </x:c>
      <x:c r="L7136" t="n">
        <x:v>0</x:v>
      </x:c>
      <x:c r="M7136" t="n">
        <x:v>0</x:v>
      </x:c>
      <x:c r="N7136" t="str">
        <x:v>Fully Paid</x:v>
      </x:c>
      <x:c r="O7136" t="str">
        <x:f>IF(D7136="","Unknown",IF(D7136&lt;25000,"&lt;$25k",IF(D7136&lt;50000,"$25k-$50k",IF(D7136&lt;75000,"$50k-$75k",IF(D7136&lt;100000,"$75k-$100k","$100k+")))))</x:f>
        <x:v>$75k-$100k</x:v>
      </x:c>
      <x:c r="P7136" t="str">
        <x:f>IF(E7136="","Unknown",IF(E7136&lt;10,"&lt;10",IF(E7136&lt;20,"10-&lt;20",IF(E7136&lt;25,"20-&lt;25",IF(E7136&lt;35,"25-&lt;35","35+")))))</x:f>
        <x:v>20-&lt;25</x:v>
      </x:c>
    </x:row>
    <x:row r="7137">
      <x:c r="A7137" t="str">
        <x:v>SYN0007136</x:v>
      </x:c>
      <x:c r="B7137" s="12" t="n">
        <x:v>43195</x:v>
      </x:c>
      <x:c r="C7137" s="18" t="n">
        <x:v>18843</x:v>
      </x:c>
      <x:c r="D7137" s="18" t="n">
        <x:v>36185</x:v>
      </x:c>
      <x:c r="E7137" s="18" t="n">
        <x:v>22.97</x:v>
      </x:c>
      <x:c r="F7137" s="18" t="n">
        <x:v>8.87</x:v>
      </x:c>
      <x:c r="G7137" t="n">
        <x:v>36</x:v>
      </x:c>
      <x:c r="H7137" t="str">
        <x:v>B</x:v>
      </x:c>
      <x:c r="I7137" t="str">
        <x:v>1-3 years</x:v>
      </x:c>
      <x:c r="J7137" t="str">
        <x:v>RENT</x:v>
      </x:c>
      <x:c r="K7137" t="str">
        <x:v>debt_consolidation</x:v>
      </x:c>
      <x:c r="L7137" t="n">
        <x:v>0</x:v>
      </x:c>
      <x:c r="M7137" t="n">
        <x:v>0</x:v>
      </x:c>
      <x:c r="N7137" t="str">
        <x:v>Fully Paid</x:v>
      </x:c>
      <x:c r="O7137" t="str">
        <x:f>IF(D7137="","Unknown",IF(D7137&lt;25000,"&lt;$25k",IF(D7137&lt;50000,"$25k-$50k",IF(D7137&lt;75000,"$50k-$75k",IF(D7137&lt;100000,"$75k-$100k","$100k+")))))</x:f>
        <x:v>$25k-$50k</x:v>
      </x:c>
      <x:c r="P7137" t="str">
        <x:f>IF(E7137="","Unknown",IF(E7137&lt;10,"&lt;10",IF(E7137&lt;20,"10-&lt;20",IF(E7137&lt;25,"20-&lt;25",IF(E7137&lt;35,"25-&lt;35","35+")))))</x:f>
        <x:v>20-&lt;25</x:v>
      </x:c>
    </x:row>
    <x:row r="7138">
      <x:c r="A7138" t="str">
        <x:v>SYN0007137</x:v>
      </x:c>
      <x:c r="B7138" s="12" t="n">
        <x:v>41695</x:v>
      </x:c>
      <x:c r="C7138" s="18" t="n">
        <x:v>9488</x:v>
      </x:c>
      <x:c r="D7138" s="18" t="n">
        <x:v>31575</x:v>
      </x:c>
      <x:c r="E7138" s="18" t="n">
        <x:v>35.1</x:v>
      </x:c>
      <x:c r="F7138" s="18" t="n">
        <x:v>9.86</x:v>
      </x:c>
      <x:c r="G7138" t="n">
        <x:v>60</x:v>
      </x:c>
      <x:c r="H7138" t="str">
        <x:v>C</x:v>
      </x:c>
      <x:c r="I7138" t="str">
        <x:v>10+ years</x:v>
      </x:c>
      <x:c r="J7138" t="str">
        <x:v>RENT</x:v>
      </x:c>
      <x:c r="K7138" t="str">
        <x:v>credit_card</x:v>
      </x:c>
      <x:c r="L7138" t="n">
        <x:v>2</x:v>
      </x:c>
      <x:c r="M7138" t="n">
        <x:v>0</x:v>
      </x:c>
      <x:c r="N7138" t="str">
        <x:v>Fully Paid</x:v>
      </x:c>
      <x:c r="O7138" t="str">
        <x:f>IF(D7138="","Unknown",IF(D7138&lt;25000,"&lt;$25k",IF(D7138&lt;50000,"$25k-$50k",IF(D7138&lt;75000,"$50k-$75k",IF(D7138&lt;100000,"$75k-$100k","$100k+")))))</x:f>
        <x:v>$25k-$50k</x:v>
      </x:c>
      <x:c r="P7138" t="str">
        <x:f>IF(E7138="","Unknown",IF(E7138&lt;10,"&lt;10",IF(E7138&lt;20,"10-&lt;20",IF(E7138&lt;25,"20-&lt;25",IF(E7138&lt;35,"25-&lt;35","35+")))))</x:f>
        <x:v>35+</x:v>
      </x:c>
    </x:row>
    <x:row r="7139">
      <x:c r="A7139" t="str">
        <x:v>SYN0007138</x:v>
      </x:c>
      <x:c r="B7139" s="12" t="n">
        <x:v>41965</x:v>
      </x:c>
      <x:c r="C7139" s="18" t="n">
        <x:v>9633</x:v>
      </x:c>
      <x:c r="D7139" s="18" t="n">
        <x:v>57247</x:v>
      </x:c>
      <x:c r="E7139" s="18" t="n">
        <x:v>32.2</x:v>
      </x:c>
      <x:c r="F7139" s="18" t="n">
        <x:v>8.01</x:v>
      </x:c>
      <x:c r="G7139" t="n">
        <x:v>60</x:v>
      </x:c>
      <x:c r="H7139" t="str">
        <x:v>B</x:v>
      </x:c>
      <x:c r="I7139" t="str">
        <x:v>4-6 years</x:v>
      </x:c>
      <x:c r="J7139" t="str">
        <x:v>OWN</x:v>
      </x:c>
      <x:c r="K7139" t="str">
        <x:v>other</x:v>
      </x:c>
      <x:c r="L7139" t="n">
        <x:v>0</x:v>
      </x:c>
      <x:c r="M7139" t="n">
        <x:v>0</x:v>
      </x:c>
      <x:c r="N7139" t="str">
        <x:v>Fully Paid</x:v>
      </x:c>
      <x:c r="O7139" t="str">
        <x:f>IF(D7139="","Unknown",IF(D7139&lt;25000,"&lt;$25k",IF(D7139&lt;50000,"$25k-$50k",IF(D7139&lt;75000,"$50k-$75k",IF(D7139&lt;100000,"$75k-$100k","$100k+")))))</x:f>
        <x:v>$50k-$75k</x:v>
      </x:c>
      <x:c r="P7139" t="str">
        <x:f>IF(E7139="","Unknown",IF(E7139&lt;10,"&lt;10",IF(E7139&lt;20,"10-&lt;20",IF(E7139&lt;25,"20-&lt;25",IF(E7139&lt;35,"25-&lt;35","35+")))))</x:f>
        <x:v>25-&lt;35</x:v>
      </x:c>
    </x:row>
    <x:row r="7140">
      <x:c r="A7140" t="str">
        <x:v>SYN0007139</x:v>
      </x:c>
      <x:c r="B7140" s="12" t="n">
        <x:v>42085</x:v>
      </x:c>
      <x:c r="C7140" s="18" t="n">
        <x:v>20044</x:v>
      </x:c>
      <x:c r="D7140" s="18" t="n">
        <x:v>15898</x:v>
      </x:c>
      <x:c r="E7140" s="18" t="n">
        <x:v>15.35</x:v>
      </x:c>
      <x:c r="F7140" s="18" t="n">
        <x:v>8.22</x:v>
      </x:c>
      <x:c r="G7140" t="n">
        <x:v>36</x:v>
      </x:c>
      <x:c r="H7140" t="str">
        <x:v>C</x:v>
      </x:c>
      <x:c r="I7140" t="str">
        <x:v>7-9 years</x:v>
      </x:c>
      <x:c r="J7140" t="str">
        <x:v>MORTGAGE</x:v>
      </x:c>
      <x:c r="K7140" t="str">
        <x:v>debt_consolidation</x:v>
      </x:c>
      <x:c r="L7140" t="n">
        <x:v>1</x:v>
      </x:c>
      <x:c r="M7140" t="n">
        <x:v>0</x:v>
      </x:c>
      <x:c r="N7140" t="str">
        <x:v>Fully Paid</x:v>
      </x:c>
      <x:c r="O7140" t="str">
        <x:f>IF(D7140="","Unknown",IF(D7140&lt;25000,"&lt;$25k",IF(D7140&lt;50000,"$25k-$50k",IF(D7140&lt;75000,"$50k-$75k",IF(D7140&lt;100000,"$75k-$100k","$100k+")))))</x:f>
        <x:v>&lt;$25k</x:v>
      </x:c>
      <x:c r="P7140" t="str">
        <x:f>IF(E7140="","Unknown",IF(E7140&lt;10,"&lt;10",IF(E7140&lt;20,"10-&lt;20",IF(E7140&lt;25,"20-&lt;25",IF(E7140&lt;35,"25-&lt;35","35+")))))</x:f>
        <x:v>10-&lt;20</x:v>
      </x:c>
    </x:row>
    <x:row r="7141">
      <x:c r="A7141" t="str">
        <x:v>SYN0007140</x:v>
      </x:c>
      <x:c r="B7141" s="12" t="n">
        <x:v>42265</x:v>
      </x:c>
      <x:c r="C7141" s="18" t="n">
        <x:v>13023</x:v>
      </x:c>
      <x:c r="D7141" s="18" t="n">
        <x:v>79497</x:v>
      </x:c>
      <x:c r="E7141" s="18" t="n">
        <x:v>23.01</x:v>
      </x:c>
      <x:c r="F7141" s="18" t="n">
        <x:v>13.44</x:v>
      </x:c>
      <x:c r="G7141" t="n">
        <x:v>36</x:v>
      </x:c>
      <x:c r="H7141" t="str">
        <x:v>C</x:v>
      </x:c>
      <x:c r="I7141" t="str">
        <x:v>10+ years</x:v>
      </x:c>
      <x:c r="J7141" t="str">
        <x:v>RENT</x:v>
      </x:c>
      <x:c r="K7141" t="str">
        <x:v>debt_consolidation</x:v>
      </x:c>
      <x:c r="L7141" t="n">
        <x:v>0</x:v>
      </x:c>
      <x:c r="M7141" t="n">
        <x:v>0</x:v>
      </x:c>
      <x:c r="N7141" t="str">
        <x:v>Fully Paid</x:v>
      </x:c>
      <x:c r="O7141" t="str">
        <x:f>IF(D7141="","Unknown",IF(D7141&lt;25000,"&lt;$25k",IF(D7141&lt;50000,"$25k-$50k",IF(D7141&lt;75000,"$50k-$75k",IF(D7141&lt;100000,"$75k-$100k","$100k+")))))</x:f>
        <x:v>$75k-$100k</x:v>
      </x:c>
      <x:c r="P7141" t="str">
        <x:f>IF(E7141="","Unknown",IF(E7141&lt;10,"&lt;10",IF(E7141&lt;20,"10-&lt;20",IF(E7141&lt;25,"20-&lt;25",IF(E7141&lt;35,"25-&lt;35","35+")))))</x:f>
        <x:v>20-&lt;25</x:v>
      </x:c>
    </x:row>
    <x:row r="7142">
      <x:c r="A7142" t="str">
        <x:v>SYN0007141</x:v>
      </x:c>
      <x:c r="B7142" s="12" t="n">
        <x:v>41305</x:v>
      </x:c>
      <x:c r="C7142" s="18" t="n">
        <x:v>35250</x:v>
      </x:c>
      <x:c r="D7142" s="18" t="n">
        <x:v>34511</x:v>
      </x:c>
      <x:c r="E7142" s="18" t="n">
        <x:v>8.65</x:v>
      </x:c>
      <x:c r="F7142" s="18" t="n">
        <x:v>18.27</x:v>
      </x:c>
      <x:c r="G7142" t="n">
        <x:v>36</x:v>
      </x:c>
      <x:c r="H7142" t="str">
        <x:v>E</x:v>
      </x:c>
      <x:c r="I7142" t="str">
        <x:v>1-3 years</x:v>
      </x:c>
      <x:c r="J7142" t="str">
        <x:v>MORTGAGE</x:v>
      </x:c>
      <x:c r="K7142" t="str">
        <x:v>home_improvement</x:v>
      </x:c>
      <x:c r="L7142" t="n">
        <x:v>0</x:v>
      </x:c>
      <x:c r="M7142" t="n">
        <x:v>1</x:v>
      </x:c>
      <x:c r="N7142" t="str">
        <x:v>Charged Off</x:v>
      </x:c>
      <x:c r="O7142" t="str">
        <x:f>IF(D7142="","Unknown",IF(D7142&lt;25000,"&lt;$25k",IF(D7142&lt;50000,"$25k-$50k",IF(D7142&lt;75000,"$50k-$75k",IF(D7142&lt;100000,"$75k-$100k","$100k+")))))</x:f>
        <x:v>$25k-$50k</x:v>
      </x:c>
      <x:c r="P7142" t="str">
        <x:f>IF(E7142="","Unknown",IF(E7142&lt;10,"&lt;10",IF(E7142&lt;20,"10-&lt;20",IF(E7142&lt;25,"20-&lt;25",IF(E7142&lt;35,"25-&lt;35","35+")))))</x:f>
        <x:v>&lt;10</x:v>
      </x:c>
    </x:row>
    <x:row r="7143">
      <x:c r="A7143" t="str">
        <x:v>SYN0007142</x:v>
      </x:c>
      <x:c r="B7143" s="12" t="n">
        <x:v>42115</x:v>
      </x:c>
      <x:c r="C7143" s="18" t="n">
        <x:v>13933</x:v>
      </x:c>
      <x:c r="D7143" s="18" t="n">
        <x:v>66807</x:v>
      </x:c>
      <x:c r="E7143" s="18" t="n">
        <x:v>14.02</x:v>
      </x:c>
      <x:c r="F7143" s="18" t="n">
        <x:v>5.52</x:v>
      </x:c>
      <x:c r="G7143" t="n">
        <x:v>36</x:v>
      </x:c>
      <x:c r="H7143" t="str">
        <x:v>B</x:v>
      </x:c>
      <x:c r="I7143" t="str">
        <x:v>4-6 years</x:v>
      </x:c>
      <x:c r="J7143" t="str">
        <x:v>MORTGAGE</x:v>
      </x:c>
      <x:c r="K7143" t="str">
        <x:v>debt_consolidation</x:v>
      </x:c>
      <x:c r="L7143" t="n">
        <x:v>0</x:v>
      </x:c>
      <x:c r="M7143" t="n">
        <x:v>0</x:v>
      </x:c>
      <x:c r="N7143" t="str">
        <x:v>Fully Paid</x:v>
      </x:c>
      <x:c r="O7143" t="str">
        <x:f>IF(D7143="","Unknown",IF(D7143&lt;25000,"&lt;$25k",IF(D7143&lt;50000,"$25k-$50k",IF(D7143&lt;75000,"$50k-$75k",IF(D7143&lt;100000,"$75k-$100k","$100k+")))))</x:f>
        <x:v>$50k-$75k</x:v>
      </x:c>
      <x:c r="P7143" t="str">
        <x:f>IF(E7143="","Unknown",IF(E7143&lt;10,"&lt;10",IF(E7143&lt;20,"10-&lt;20",IF(E7143&lt;25,"20-&lt;25",IF(E7143&lt;35,"25-&lt;35","35+")))))</x:f>
        <x:v>10-&lt;20</x:v>
      </x:c>
    </x:row>
    <x:row r="7144">
      <x:c r="A7144" t="str">
        <x:v>SYN0007143</x:v>
      </x:c>
      <x:c r="B7144" s="12" t="n">
        <x:v>41545</x:v>
      </x:c>
      <x:c r="C7144" s="18" t="n">
        <x:v>13201</x:v>
      </x:c>
      <x:c r="D7144" s="18" t="n">
        <x:v>36129</x:v>
      </x:c>
      <x:c r="E7144" s="18" t="n">
        <x:v>27.29</x:v>
      </x:c>
      <x:c r="F7144" s="18" t="n">
        <x:v>18.55</x:v>
      </x:c>
      <x:c r="G7144" t="n">
        <x:v>60</x:v>
      </x:c>
      <x:c r="H7144" t="str">
        <x:v>F</x:v>
      </x:c>
      <x:c r="I7144" t="str">
        <x:v>7-9 years</x:v>
      </x:c>
      <x:c r="J7144" t="str">
        <x:v>MORTGAGE</x:v>
      </x:c>
      <x:c r="K7144" t="str">
        <x:v>home_improvement</x:v>
      </x:c>
      <x:c r="L7144" t="n">
        <x:v>0</x:v>
      </x:c>
      <x:c r="M7144" t="n">
        <x:v>0</x:v>
      </x:c>
      <x:c r="N7144" t="str">
        <x:v>Fully Paid</x:v>
      </x:c>
      <x:c r="O7144" t="str">
        <x:f>IF(D7144="","Unknown",IF(D7144&lt;25000,"&lt;$25k",IF(D7144&lt;50000,"$25k-$50k",IF(D7144&lt;75000,"$50k-$75k",IF(D7144&lt;100000,"$75k-$100k","$100k+")))))</x:f>
        <x:v>$25k-$50k</x:v>
      </x:c>
      <x:c r="P7144" t="str">
        <x:f>IF(E7144="","Unknown",IF(E7144&lt;10,"&lt;10",IF(E7144&lt;20,"10-&lt;20",IF(E7144&lt;25,"20-&lt;25",IF(E7144&lt;35,"25-&lt;35","35+")))))</x:f>
        <x:v>25-&lt;35</x:v>
      </x:c>
    </x:row>
    <x:row r="7145">
      <x:c r="A7145" t="str">
        <x:v>SYN0007144</x:v>
      </x:c>
      <x:c r="B7145" s="12" t="n">
        <x:v>41785</x:v>
      </x:c>
      <x:c r="C7145" s="18" t="n">
        <x:v>6023</x:v>
      </x:c>
      <x:c r="D7145" s="18" t="n">
        <x:v>56388</x:v>
      </x:c>
      <x:c r="E7145" s="18" t="n">
        <x:v>14.58</x:v>
      </x:c>
      <x:c r="F7145" s="18" t="n">
        <x:v>8.18</x:v>
      </x:c>
      <x:c r="G7145" t="n">
        <x:v>60</x:v>
      </x:c>
      <x:c r="H7145" t="str">
        <x:v>B</x:v>
      </x:c>
      <x:c r="I7145" t="str">
        <x:v>7-9 years</x:v>
      </x:c>
      <x:c r="J7145" t="str">
        <x:v>RENT</x:v>
      </x:c>
      <x:c r="K7145" t="str">
        <x:v>debt_consolidation</x:v>
      </x:c>
      <x:c r="L7145" t="n">
        <x:v>3</x:v>
      </x:c>
      <x:c r="M7145" t="n">
        <x:v>0</x:v>
      </x:c>
      <x:c r="N7145" t="str">
        <x:v>Fully Paid</x:v>
      </x:c>
      <x:c r="O7145" t="str">
        <x:f>IF(D7145="","Unknown",IF(D7145&lt;25000,"&lt;$25k",IF(D7145&lt;50000,"$25k-$50k",IF(D7145&lt;75000,"$50k-$75k",IF(D7145&lt;100000,"$75k-$100k","$100k+")))))</x:f>
        <x:v>$50k-$75k</x:v>
      </x:c>
      <x:c r="P7145" t="str">
        <x:f>IF(E7145="","Unknown",IF(E7145&lt;10,"&lt;10",IF(E7145&lt;20,"10-&lt;20",IF(E7145&lt;25,"20-&lt;25",IF(E7145&lt;35,"25-&lt;35","35+")))))</x:f>
        <x:v>10-&lt;20</x:v>
      </x:c>
    </x:row>
    <x:row r="7146">
      <x:c r="A7146" t="str">
        <x:v>SYN0007145</x:v>
      </x:c>
      <x:c r="B7146" s="12" t="n">
        <x:v>42115</x:v>
      </x:c>
      <x:c r="C7146" s="18" t="n">
        <x:v>26030</x:v>
      </x:c>
      <x:c r="D7146" s="18" t="n">
        <x:v>72536</x:v>
      </x:c>
      <x:c r="E7146" s="18" t="n">
        <x:v>26.56</x:v>
      </x:c>
      <x:c r="F7146" s="18" t="n">
        <x:v>8.73</x:v>
      </x:c>
      <x:c r="G7146" t="n">
        <x:v>36</x:v>
      </x:c>
      <x:c r="H7146" t="str">
        <x:v>C</x:v>
      </x:c>
      <x:c r="I7146" t="str">
        <x:v>7-9 years</x:v>
      </x:c>
      <x:c r="J7146" t="str">
        <x:v>MORTGAGE</x:v>
      </x:c>
      <x:c r="K7146" t="str">
        <x:v>credit_card</x:v>
      </x:c>
      <x:c r="L7146" t="n">
        <x:v>0</x:v>
      </x:c>
      <x:c r="M7146" t="n">
        <x:v>0</x:v>
      </x:c>
      <x:c r="N7146" t="str">
        <x:v>Fully Paid</x:v>
      </x:c>
      <x:c r="O7146" t="str">
        <x:f>IF(D7146="","Unknown",IF(D7146&lt;25000,"&lt;$25k",IF(D7146&lt;50000,"$25k-$50k",IF(D7146&lt;75000,"$50k-$75k",IF(D7146&lt;100000,"$75k-$100k","$100k+")))))</x:f>
        <x:v>$50k-$75k</x:v>
      </x:c>
      <x:c r="P7146" t="str">
        <x:f>IF(E7146="","Unknown",IF(E7146&lt;10,"&lt;10",IF(E7146&lt;20,"10-&lt;20",IF(E7146&lt;25,"20-&lt;25",IF(E7146&lt;35,"25-&lt;35","35+")))))</x:f>
        <x:v>25-&lt;35</x:v>
      </x:c>
    </x:row>
    <x:row r="7147">
      <x:c r="A7147" t="str">
        <x:v>SYN0007146</x:v>
      </x:c>
      <x:c r="B7147" s="12" t="n">
        <x:v>43255</x:v>
      </x:c>
      <x:c r="C7147" s="18" t="n">
        <x:v>19664</x:v>
      </x:c>
      <x:c r="D7147" s="18" t="n">
        <x:v>133199</x:v>
      </x:c>
      <x:c r="E7147" s="18" t="n">
        <x:v>30.1</x:v>
      </x:c>
      <x:c r="F7147" s="18" t="n">
        <x:v>6.64</x:v>
      </x:c>
      <x:c r="G7147" t="n">
        <x:v>36</x:v>
      </x:c>
      <x:c r="H7147" t="str">
        <x:v>A</x:v>
      </x:c>
      <x:c r="I7147" t="str">
        <x:v>4-6 years</x:v>
      </x:c>
      <x:c r="J7147" t="str">
        <x:v>MORTGAGE</x:v>
      </x:c>
      <x:c r="K7147" t="str">
        <x:v>other</x:v>
      </x:c>
      <x:c r="L7147" t="n">
        <x:v>0</x:v>
      </x:c>
      <x:c r="M7147" t="n">
        <x:v>0</x:v>
      </x:c>
      <x:c r="N7147" t="str">
        <x:v>Fully Paid</x:v>
      </x:c>
      <x:c r="O7147" t="str">
        <x:f>IF(D7147="","Unknown",IF(D7147&lt;25000,"&lt;$25k",IF(D7147&lt;50000,"$25k-$50k",IF(D7147&lt;75000,"$50k-$75k",IF(D7147&lt;100000,"$75k-$100k","$100k+")))))</x:f>
        <x:v>$100k+</x:v>
      </x:c>
      <x:c r="P7147" t="str">
        <x:f>IF(E7147="","Unknown",IF(E7147&lt;10,"&lt;10",IF(E7147&lt;20,"10-&lt;20",IF(E7147&lt;25,"20-&lt;25",IF(E7147&lt;35,"25-&lt;35","35+")))))</x:f>
        <x:v>25-&lt;35</x:v>
      </x:c>
    </x:row>
    <x:row r="7148">
      <x:c r="A7148" t="str">
        <x:v>SYN0007147</x:v>
      </x:c>
      <x:c r="B7148" s="12" t="n">
        <x:v>41455</x:v>
      </x:c>
      <x:c r="C7148" s="18" t="n">
        <x:v>11651</x:v>
      </x:c>
      <x:c r="D7148" s="18" t="n">
        <x:v>50700</x:v>
      </x:c>
      <x:c r="E7148" s="18" t="n">
        <x:v>28.86</x:v>
      </x:c>
      <x:c r="F7148" s="18" t="n">
        <x:v>8.54</x:v>
      </x:c>
      <x:c r="G7148" t="n">
        <x:v>60</x:v>
      </x:c>
      <x:c r="H7148" t="str">
        <x:v>B</x:v>
      </x:c>
      <x:c r="I7148" t="str">
        <x:v>1-3 years</x:v>
      </x:c>
      <x:c r="J7148" t="str">
        <x:v>RENT</x:v>
      </x:c>
      <x:c r="K7148" t="str">
        <x:v>major_purchase</x:v>
      </x:c>
      <x:c r="L7148" t="n">
        <x:v>0</x:v>
      </x:c>
      <x:c r="M7148" t="n">
        <x:v>0</x:v>
      </x:c>
      <x:c r="N7148" t="str">
        <x:v>Fully Paid</x:v>
      </x:c>
      <x:c r="O7148" t="str">
        <x:f>IF(D7148="","Unknown",IF(D7148&lt;25000,"&lt;$25k",IF(D7148&lt;50000,"$25k-$50k",IF(D7148&lt;75000,"$50k-$75k",IF(D7148&lt;100000,"$75k-$100k","$100k+")))))</x:f>
        <x:v>$50k-$75k</x:v>
      </x:c>
      <x:c r="P7148" t="str">
        <x:f>IF(E7148="","Unknown",IF(E7148&lt;10,"&lt;10",IF(E7148&lt;20,"10-&lt;20",IF(E7148&lt;25,"20-&lt;25",IF(E7148&lt;35,"25-&lt;35","35+")))))</x:f>
        <x:v>25-&lt;35</x:v>
      </x:c>
    </x:row>
    <x:row r="7149">
      <x:c r="A7149" t="str">
        <x:v>SYN0007148</x:v>
      </x:c>
      <x:c r="B7149" s="12" t="n">
        <x:v>42385</x:v>
      </x:c>
      <x:c r="C7149" s="18" t="n">
        <x:v>22202</x:v>
      </x:c>
      <x:c r="D7149" s="18" t="n">
        <x:v>40239</x:v>
      </x:c>
      <x:c r="E7149" s="18" t="n">
        <x:v>25.56</x:v>
      </x:c>
      <x:c r="F7149" s="18" t="n">
        <x:v>9.65</x:v>
      </x:c>
      <x:c r="G7149" t="n">
        <x:v>60</x:v>
      </x:c>
      <x:c r="H7149" t="str">
        <x:v>B</x:v>
      </x:c>
      <x:c r="I7149" t="str">
        <x:v>7-9 years</x:v>
      </x:c>
      <x:c r="J7149" t="str">
        <x:v>MORTGAGE</x:v>
      </x:c>
      <x:c r="K7149" t="str">
        <x:v>debt_consolidation</x:v>
      </x:c>
      <x:c r="L7149" t="n">
        <x:v>0</x:v>
      </x:c>
      <x:c r="M7149" t="n">
        <x:v>0</x:v>
      </x:c>
      <x:c r="N7149" t="str">
        <x:v>Fully Paid</x:v>
      </x:c>
      <x:c r="O7149" t="str">
        <x:f>IF(D7149="","Unknown",IF(D7149&lt;25000,"&lt;$25k",IF(D7149&lt;50000,"$25k-$50k",IF(D7149&lt;75000,"$50k-$75k",IF(D7149&lt;100000,"$75k-$100k","$100k+")))))</x:f>
        <x:v>$25k-$50k</x:v>
      </x:c>
      <x:c r="P7149" t="str">
        <x:f>IF(E7149="","Unknown",IF(E7149&lt;10,"&lt;10",IF(E7149&lt;20,"10-&lt;20",IF(E7149&lt;25,"20-&lt;25",IF(E7149&lt;35,"25-&lt;35","35+")))))</x:f>
        <x:v>25-&lt;35</x:v>
      </x:c>
    </x:row>
    <x:row r="7150">
      <x:c r="A7150" t="str">
        <x:v>SYN0007149</x:v>
      </x:c>
      <x:c r="B7150" s="12" t="n">
        <x:v>42565</x:v>
      </x:c>
      <x:c r="C7150" s="18" t="n">
        <x:v>15043</x:v>
      </x:c>
      <x:c r="D7150" s="18" t="n">
        <x:v>84787</x:v>
      </x:c>
      <x:c r="E7150" s="18" t="n">
        <x:v>18.09</x:v>
      </x:c>
      <x:c r="F7150" s="18" t="n">
        <x:v>10.35</x:v>
      </x:c>
      <x:c r="G7150" t="n">
        <x:v>36</x:v>
      </x:c>
      <x:c r="H7150" t="str">
        <x:v>B</x:v>
      </x:c>
      <x:c r="I7150" t="str">
        <x:v>10+ years</x:v>
      </x:c>
      <x:c r="J7150" t="str">
        <x:v>RENT</x:v>
      </x:c>
      <x:c r="K7150" t="str">
        <x:v>debt_consolidation</x:v>
      </x:c>
      <x:c r="L7150" t="n">
        <x:v>0</x:v>
      </x:c>
      <x:c r="M7150" t="n">
        <x:v>0</x:v>
      </x:c>
      <x:c r="N7150" t="str">
        <x:v>Fully Paid</x:v>
      </x:c>
      <x:c r="O7150" t="str">
        <x:f>IF(D7150="","Unknown",IF(D7150&lt;25000,"&lt;$25k",IF(D7150&lt;50000,"$25k-$50k",IF(D7150&lt;75000,"$50k-$75k",IF(D7150&lt;100000,"$75k-$100k","$100k+")))))</x:f>
        <x:v>$75k-$100k</x:v>
      </x:c>
      <x:c r="P7150" t="str">
        <x:f>IF(E7150="","Unknown",IF(E7150&lt;10,"&lt;10",IF(E7150&lt;20,"10-&lt;20",IF(E7150&lt;25,"20-&lt;25",IF(E7150&lt;35,"25-&lt;35","35+")))))</x:f>
        <x:v>10-&lt;20</x:v>
      </x:c>
    </x:row>
    <x:row r="7151">
      <x:c r="A7151" t="str">
        <x:v>SYN0007150</x:v>
      </x:c>
      <x:c r="B7151" s="12" t="n">
        <x:v>43225</x:v>
      </x:c>
      <x:c r="C7151" s="18" t="n">
        <x:v>21513</x:v>
      </x:c>
      <x:c r="D7151" s="18" t="n">
        <x:v>102403</x:v>
      </x:c>
      <x:c r="E7151" s="18" t="n">
        <x:v>21.63</x:v>
      </x:c>
      <x:c r="F7151" s="18" t="n">
        <x:v>17.56</x:v>
      </x:c>
      <x:c r="G7151" t="n">
        <x:v>36</x:v>
      </x:c>
      <x:c r="H7151" t="str">
        <x:v>E</x:v>
      </x:c>
      <x:c r="I7151" t="str">
        <x:v>&lt;1 year</x:v>
      </x:c>
      <x:c r="J7151" t="str">
        <x:v>OWN</x:v>
      </x:c>
      <x:c r="K7151" t="str">
        <x:v>debt_consolidation</x:v>
      </x:c>
      <x:c r="L7151" t="n">
        <x:v>3</x:v>
      </x:c>
      <x:c r="M7151" t="n">
        <x:v>0</x:v>
      </x:c>
      <x:c r="N7151" t="str">
        <x:v>Fully Paid</x:v>
      </x:c>
      <x:c r="O7151" t="str">
        <x:f>IF(D7151="","Unknown",IF(D7151&lt;25000,"&lt;$25k",IF(D7151&lt;50000,"$25k-$50k",IF(D7151&lt;75000,"$50k-$75k",IF(D7151&lt;100000,"$75k-$100k","$100k+")))))</x:f>
        <x:v>$100k+</x:v>
      </x:c>
      <x:c r="P7151" t="str">
        <x:f>IF(E7151="","Unknown",IF(E7151&lt;10,"&lt;10",IF(E7151&lt;20,"10-&lt;20",IF(E7151&lt;25,"20-&lt;25",IF(E7151&lt;35,"25-&lt;35","35+")))))</x:f>
        <x:v>20-&lt;25</x:v>
      </x:c>
    </x:row>
    <x:row r="7152">
      <x:c r="A7152" t="str">
        <x:v>SYN0007151</x:v>
      </x:c>
      <x:c r="B7152" s="12" t="n">
        <x:v>42265</x:v>
      </x:c>
      <x:c r="C7152" s="18" t="n">
        <x:v>8945</x:v>
      </x:c>
      <x:c r="D7152" s="18" t="n">
        <x:v>130417</x:v>
      </x:c>
      <x:c r="E7152" s="18" t="n">
        <x:v>20.79</x:v>
      </x:c>
      <x:c r="F7152" s="18" t="n">
        <x:v>12.44</x:v>
      </x:c>
      <x:c r="G7152" t="n">
        <x:v>36</x:v>
      </x:c>
      <x:c r="H7152" t="str">
        <x:v>C</x:v>
      </x:c>
      <x:c r="I7152" t="str">
        <x:v>4-6 years</x:v>
      </x:c>
      <x:c r="J7152" t="str">
        <x:v>MORTGAGE</x:v>
      </x:c>
      <x:c r="K7152" t="str">
        <x:v>debt_consolidation</x:v>
      </x:c>
      <x:c r="L7152" t="n">
        <x:v>1</x:v>
      </x:c>
      <x:c r="M7152" t="n">
        <x:v>0</x:v>
      </x:c>
      <x:c r="N7152" t="str">
        <x:v>Fully Paid</x:v>
      </x:c>
      <x:c r="O7152" t="str">
        <x:f>IF(D7152="","Unknown",IF(D7152&lt;25000,"&lt;$25k",IF(D7152&lt;50000,"$25k-$50k",IF(D7152&lt;75000,"$50k-$75k",IF(D7152&lt;100000,"$75k-$100k","$100k+")))))</x:f>
        <x:v>$100k+</x:v>
      </x:c>
      <x:c r="P7152" t="str">
        <x:f>IF(E7152="","Unknown",IF(E7152&lt;10,"&lt;10",IF(E7152&lt;20,"10-&lt;20",IF(E7152&lt;25,"20-&lt;25",IF(E7152&lt;35,"25-&lt;35","35+")))))</x:f>
        <x:v>20-&lt;25</x:v>
      </x:c>
    </x:row>
    <x:row r="7153">
      <x:c r="A7153" t="str">
        <x:v>SYN0007152</x:v>
      </x:c>
      <x:c r="B7153" s="12" t="n">
        <x:v>42235</x:v>
      </x:c>
      <x:c r="C7153" s="18" t="n">
        <x:v>8331</x:v>
      </x:c>
      <x:c r="D7153" s="18" t="n">
        <x:v>23812</x:v>
      </x:c>
      <x:c r="E7153" s="18" t="n">
        <x:v>14.78</x:v>
      </x:c>
      <x:c r="F7153" s="18" t="n">
        <x:v>8.92</x:v>
      </x:c>
      <x:c r="G7153" t="n">
        <x:v>36</x:v>
      </x:c>
      <x:c r="H7153" t="str">
        <x:v>B</x:v>
      </x:c>
      <x:c r="I7153" t="str">
        <x:v>4-6 years</x:v>
      </x:c>
      <x:c r="J7153" t="str">
        <x:v>MORTGAGE</x:v>
      </x:c>
      <x:c r="K7153" t="str">
        <x:v>debt_consolidation</x:v>
      </x:c>
      <x:c r="L7153" t="n">
        <x:v>0</x:v>
      </x:c>
      <x:c r="M7153" t="n">
        <x:v>0</x:v>
      </x:c>
      <x:c r="N7153" t="str">
        <x:v>Fully Paid</x:v>
      </x:c>
      <x:c r="O7153" t="str">
        <x:f>IF(D7153="","Unknown",IF(D7153&lt;25000,"&lt;$25k",IF(D7153&lt;50000,"$25k-$50k",IF(D7153&lt;75000,"$50k-$75k",IF(D7153&lt;100000,"$75k-$100k","$100k+")))))</x:f>
        <x:v>&lt;$25k</x:v>
      </x:c>
      <x:c r="P7153" t="str">
        <x:f>IF(E7153="","Unknown",IF(E7153&lt;10,"&lt;10",IF(E7153&lt;20,"10-&lt;20",IF(E7153&lt;25,"20-&lt;25",IF(E7153&lt;35,"25-&lt;35","35+")))))</x:f>
        <x:v>10-&lt;20</x:v>
      </x:c>
    </x:row>
    <x:row r="7154">
      <x:c r="A7154" t="str">
        <x:v>SYN0007153</x:v>
      </x:c>
      <x:c r="B7154" s="12" t="n">
        <x:v>41755</x:v>
      </x:c>
      <x:c r="C7154" s="18" t="n">
        <x:v>13773</x:v>
      </x:c>
      <x:c r="D7154" s="18" t="n">
        <x:v>92782</x:v>
      </x:c>
      <x:c r="E7154" s="18" t="n">
        <x:v>24.69</x:v>
      </x:c>
      <x:c r="F7154" s="18" t="n">
        <x:v>14.84</x:v>
      </x:c>
      <x:c r="G7154" t="n">
        <x:v>60</x:v>
      </x:c>
      <x:c r="H7154" t="str">
        <x:v>D</x:v>
      </x:c>
      <x:c r="I7154" t="str">
        <x:v>4-6 years</x:v>
      </x:c>
      <x:c r="J7154" t="str">
        <x:v>MORTGAGE</x:v>
      </x:c>
      <x:c r="K7154" t="str">
        <x:v>credit_card</x:v>
      </x:c>
      <x:c r="L7154" t="n">
        <x:v>0</x:v>
      </x:c>
      <x:c r="M7154" t="n">
        <x:v>0</x:v>
      </x:c>
      <x:c r="N7154" t="str">
        <x:v>Fully Paid</x:v>
      </x:c>
      <x:c r="O7154" t="str">
        <x:f>IF(D7154="","Unknown",IF(D7154&lt;25000,"&lt;$25k",IF(D7154&lt;50000,"$25k-$50k",IF(D7154&lt;75000,"$50k-$75k",IF(D7154&lt;100000,"$75k-$100k","$100k+")))))</x:f>
        <x:v>$75k-$100k</x:v>
      </x:c>
      <x:c r="P7154" t="str">
        <x:f>IF(E7154="","Unknown",IF(E7154&lt;10,"&lt;10",IF(E7154&lt;20,"10-&lt;20",IF(E7154&lt;25,"20-&lt;25",IF(E7154&lt;35,"25-&lt;35","35+")))))</x:f>
        <x:v>20-&lt;25</x:v>
      </x:c>
    </x:row>
    <x:row r="7155">
      <x:c r="A7155" t="str">
        <x:v>SYN0007154</x:v>
      </x:c>
      <x:c r="B7155" s="12" t="n">
        <x:v>42145</x:v>
      </x:c>
      <x:c r="C7155" s="18" t="n">
        <x:v>12218</x:v>
      </x:c>
      <x:c r="D7155" s="18" t="n">
        <x:v>104146</x:v>
      </x:c>
      <x:c r="E7155" s="18" t="n">
        <x:v>24.9</x:v>
      </x:c>
      <x:c r="F7155" s="18" t="n">
        <x:v>7.92</x:v>
      </x:c>
      <x:c r="G7155" t="n">
        <x:v>36</x:v>
      </x:c>
      <x:c r="H7155" t="str">
        <x:v>A</x:v>
      </x:c>
      <x:c r="I7155" t="str">
        <x:v>10+ years</x:v>
      </x:c>
      <x:c r="J7155" t="str">
        <x:v>MORTGAGE</x:v>
      </x:c>
      <x:c r="K7155" t="str">
        <x:v>debt_consolidation</x:v>
      </x:c>
      <x:c r="L7155" t="n">
        <x:v>0</x:v>
      </x:c>
      <x:c r="M7155" t="n">
        <x:v>0</x:v>
      </x:c>
      <x:c r="N7155" t="str">
        <x:v>Fully Paid</x:v>
      </x:c>
      <x:c r="O7155" t="str">
        <x:f>IF(D7155="","Unknown",IF(D7155&lt;25000,"&lt;$25k",IF(D7155&lt;50000,"$25k-$50k",IF(D7155&lt;75000,"$50k-$75k",IF(D7155&lt;100000,"$75k-$100k","$100k+")))))</x:f>
        <x:v>$100k+</x:v>
      </x:c>
      <x:c r="P7155" t="str">
        <x:f>IF(E7155="","Unknown",IF(E7155&lt;10,"&lt;10",IF(E7155&lt;20,"10-&lt;20",IF(E7155&lt;25,"20-&lt;25",IF(E7155&lt;35,"25-&lt;35","35+")))))</x:f>
        <x:v>20-&lt;25</x:v>
      </x:c>
    </x:row>
    <x:row r="7156">
      <x:c r="A7156" t="str">
        <x:v>SYN0007155</x:v>
      </x:c>
      <x:c r="B7156" s="12" t="n">
        <x:v>41875</x:v>
      </x:c>
      <x:c r="C7156" s="18" t="n">
        <x:v>26945</x:v>
      </x:c>
      <x:c r="D7156" s="18" t="n">
        <x:v>53908</x:v>
      </x:c>
      <x:c r="E7156" s="18" t="n">
        <x:v>17.53</x:v>
      </x:c>
      <x:c r="F7156" s="18" t="n">
        <x:v>7.76</x:v>
      </x:c>
      <x:c r="G7156" t="n">
        <x:v>36</x:v>
      </x:c>
      <x:c r="H7156" t="str">
        <x:v>C</x:v>
      </x:c>
      <x:c r="I7156" t="str">
        <x:v>&lt;1 year</x:v>
      </x:c>
      <x:c r="J7156" t="str">
        <x:v>MORTGAGE</x:v>
      </x:c>
      <x:c r="K7156" t="str">
        <x:v>debt_consolidation</x:v>
      </x:c>
      <x:c r="L7156" t="n">
        <x:v>0</x:v>
      </x:c>
      <x:c r="M7156" t="n">
        <x:v>0</x:v>
      </x:c>
      <x:c r="N7156" t="str">
        <x:v>Fully Paid</x:v>
      </x:c>
      <x:c r="O7156" t="str">
        <x:f>IF(D7156="","Unknown",IF(D7156&lt;25000,"&lt;$25k",IF(D7156&lt;50000,"$25k-$50k",IF(D7156&lt;75000,"$50k-$75k",IF(D7156&lt;100000,"$75k-$100k","$100k+")))))</x:f>
        <x:v>$50k-$75k</x:v>
      </x:c>
      <x:c r="P7156" t="str">
        <x:f>IF(E7156="","Unknown",IF(E7156&lt;10,"&lt;10",IF(E7156&lt;20,"10-&lt;20",IF(E7156&lt;25,"20-&lt;25",IF(E7156&lt;35,"25-&lt;35","35+")))))</x:f>
        <x:v>10-&lt;20</x:v>
      </x:c>
    </x:row>
    <x:row r="7157">
      <x:c r="A7157" t="str">
        <x:v>SYN0007156</x:v>
      </x:c>
      <x:c r="B7157" s="12" t="n">
        <x:v>41425</x:v>
      </x:c>
      <x:c r="C7157" s="18" t="n">
        <x:v>23758</x:v>
      </x:c>
      <x:c r="D7157" s="18" t="n">
        <x:v>115256</x:v>
      </x:c>
      <x:c r="E7157" s="18" t="n">
        <x:v>15.06</x:v>
      </x:c>
      <x:c r="F7157" s="18" t="n">
        <x:v>14.11</x:v>
      </x:c>
      <x:c r="G7157" t="n">
        <x:v>36</x:v>
      </x:c>
      <x:c r="H7157" t="str">
        <x:v>D</x:v>
      </x:c>
      <x:c r="I7157" t="str">
        <x:v>7-9 years</x:v>
      </x:c>
      <x:c r="J7157" t="str">
        <x:v>RENT</x:v>
      </x:c>
      <x:c r="K7157" t="str">
        <x:v>debt_consolidation</x:v>
      </x:c>
      <x:c r="L7157" t="n">
        <x:v>0</x:v>
      </x:c>
      <x:c r="M7157" t="n">
        <x:v>0</x:v>
      </x:c>
      <x:c r="N7157" t="str">
        <x:v>Fully Paid</x:v>
      </x:c>
      <x:c r="O7157" t="str">
        <x:f>IF(D7157="","Unknown",IF(D7157&lt;25000,"&lt;$25k",IF(D7157&lt;50000,"$25k-$50k",IF(D7157&lt;75000,"$50k-$75k",IF(D7157&lt;100000,"$75k-$100k","$100k+")))))</x:f>
        <x:v>$100k+</x:v>
      </x:c>
      <x:c r="P7157" t="str">
        <x:f>IF(E7157="","Unknown",IF(E7157&lt;10,"&lt;10",IF(E7157&lt;20,"10-&lt;20",IF(E7157&lt;25,"20-&lt;25",IF(E7157&lt;35,"25-&lt;35","35+")))))</x:f>
        <x:v>10-&lt;20</x:v>
      </x:c>
    </x:row>
    <x:row r="7158">
      <x:c r="A7158" t="str">
        <x:v>SYN0007157</x:v>
      </x:c>
      <x:c r="B7158" s="12" t="n">
        <x:v>42115</x:v>
      </x:c>
      <x:c r="C7158" s="18" t="n">
        <x:v>10878</x:v>
      </x:c>
      <x:c r="D7158" s="18" t="n">
        <x:v>51118</x:v>
      </x:c>
      <x:c r="E7158" s="18" t="n">
        <x:v>21</x:v>
      </x:c>
      <x:c r="F7158" s="18" t="n">
        <x:v>7.5</x:v>
      </x:c>
      <x:c r="G7158" t="n">
        <x:v>36</x:v>
      </x:c>
      <x:c r="H7158" t="str">
        <x:v>A</x:v>
      </x:c>
      <x:c r="I7158" t="str">
        <x:v>4-6 years</x:v>
      </x:c>
      <x:c r="J7158" t="str">
        <x:v>RENT</x:v>
      </x:c>
      <x:c r="K7158" t="str">
        <x:v>other</x:v>
      </x:c>
      <x:c r="L7158" t="n">
        <x:v>0</x:v>
      </x:c>
      <x:c r="M7158" t="n">
        <x:v>0</x:v>
      </x:c>
      <x:c r="N7158" t="str">
        <x:v>Fully Paid</x:v>
      </x:c>
      <x:c r="O7158" t="str">
        <x:f>IF(D7158="","Unknown",IF(D7158&lt;25000,"&lt;$25k",IF(D7158&lt;50000,"$25k-$50k",IF(D7158&lt;75000,"$50k-$75k",IF(D7158&lt;100000,"$75k-$100k","$100k+")))))</x:f>
        <x:v>$50k-$75k</x:v>
      </x:c>
      <x:c r="P7158" t="str">
        <x:f>IF(E7158="","Unknown",IF(E7158&lt;10,"&lt;10",IF(E7158&lt;20,"10-&lt;20",IF(E7158&lt;25,"20-&lt;25",IF(E7158&lt;35,"25-&lt;35","35+")))))</x:f>
        <x:v>20-&lt;25</x:v>
      </x:c>
    </x:row>
    <x:row r="7159">
      <x:c r="A7159" t="str">
        <x:v>SYN0007158</x:v>
      </x:c>
      <x:c r="B7159" s="12" t="n">
        <x:v>41455</x:v>
      </x:c>
      <x:c r="C7159" s="18" t="n">
        <x:v>10397</x:v>
      </x:c>
      <x:c r="D7159" s="18" t="n">
        <x:v>73588</x:v>
      </x:c>
      <x:c r="E7159" s="18" t="n">
        <x:v>21.75</x:v>
      </x:c>
      <x:c r="F7159" s="18" t="n">
        <x:v>21.15</x:v>
      </x:c>
      <x:c r="G7159" t="n">
        <x:v>36</x:v>
      </x:c>
      <x:c r="H7159" t="str">
        <x:v>E</x:v>
      </x:c>
      <x:c r="I7159" t="str">
        <x:v>1-3 years</x:v>
      </x:c>
      <x:c r="J7159" t="str">
        <x:v>RENT</x:v>
      </x:c>
      <x:c r="K7159" t="str">
        <x:v>home_improvement</x:v>
      </x:c>
      <x:c r="L7159" t="n">
        <x:v>1</x:v>
      </x:c>
      <x:c r="M7159" t="n">
        <x:v>0</x:v>
      </x:c>
      <x:c r="N7159" t="str">
        <x:v>Fully Paid</x:v>
      </x:c>
      <x:c r="O7159" t="str">
        <x:f>IF(D7159="","Unknown",IF(D7159&lt;25000,"&lt;$25k",IF(D7159&lt;50000,"$25k-$50k",IF(D7159&lt;75000,"$50k-$75k",IF(D7159&lt;100000,"$75k-$100k","$100k+")))))</x:f>
        <x:v>$50k-$75k</x:v>
      </x:c>
      <x:c r="P7159" t="str">
        <x:f>IF(E7159="","Unknown",IF(E7159&lt;10,"&lt;10",IF(E7159&lt;20,"10-&lt;20",IF(E7159&lt;25,"20-&lt;25",IF(E7159&lt;35,"25-&lt;35","35+")))))</x:f>
        <x:v>20-&lt;25</x:v>
      </x:c>
    </x:row>
    <x:row r="7160">
      <x:c r="A7160" t="str">
        <x:v>SYN0007159</x:v>
      </x:c>
      <x:c r="B7160" s="12" t="n">
        <x:v>41965</x:v>
      </x:c>
      <x:c r="C7160" s="18" t="n">
        <x:v>15067</x:v>
      </x:c>
      <x:c r="D7160" s="18" t="n">
        <x:v>47754</x:v>
      </x:c>
      <x:c r="E7160" s="18" t="n">
        <x:v>18.58</x:v>
      </x:c>
      <x:c r="F7160" s="18" t="n">
        <x:v>12.73</x:v>
      </x:c>
      <x:c r="G7160" t="n">
        <x:v>36</x:v>
      </x:c>
      <x:c r="H7160" t="str">
        <x:v>D</x:v>
      </x:c>
      <x:c r="I7160" t="str">
        <x:v>4-6 years</x:v>
      </x:c>
      <x:c r="J7160" t="str">
        <x:v>OWN</x:v>
      </x:c>
      <x:c r="K7160" t="str">
        <x:v>major_purchase</x:v>
      </x:c>
      <x:c r="L7160" t="n">
        <x:v>1</x:v>
      </x:c>
      <x:c r="M7160" t="n">
        <x:v>0</x:v>
      </x:c>
      <x:c r="N7160" t="str">
        <x:v>Fully Paid</x:v>
      </x:c>
      <x:c r="O7160" t="str">
        <x:f>IF(D7160="","Unknown",IF(D7160&lt;25000,"&lt;$25k",IF(D7160&lt;50000,"$25k-$50k",IF(D7160&lt;75000,"$50k-$75k",IF(D7160&lt;100000,"$75k-$100k","$100k+")))))</x:f>
        <x:v>$25k-$50k</x:v>
      </x:c>
      <x:c r="P7160" t="str">
        <x:f>IF(E7160="","Unknown",IF(E7160&lt;10,"&lt;10",IF(E7160&lt;20,"10-&lt;20",IF(E7160&lt;25,"20-&lt;25",IF(E7160&lt;35,"25-&lt;35","35+")))))</x:f>
        <x:v>10-&lt;20</x:v>
      </x:c>
    </x:row>
    <x:row r="7161">
      <x:c r="A7161" t="str">
        <x:v>SYN0007160</x:v>
      </x:c>
      <x:c r="B7161" s="12" t="n">
        <x:v>42775</x:v>
      </x:c>
      <x:c r="C7161" s="18" t="n">
        <x:v>21701</x:v>
      </x:c>
      <x:c r="D7161" s="18" t="n">
        <x:v>52541</x:v>
      </x:c>
      <x:c r="E7161" s="18" t="n">
        <x:v>26.19</x:v>
      </x:c>
      <x:c r="F7161" s="18" t="n">
        <x:v>14.19</x:v>
      </x:c>
      <x:c r="G7161" t="n">
        <x:v>60</x:v>
      </x:c>
      <x:c r="H7161" t="str">
        <x:v>D</x:v>
      </x:c>
      <x:c r="I7161" t="str">
        <x:v>7-9 years</x:v>
      </x:c>
      <x:c r="J7161" t="str">
        <x:v>RENT</x:v>
      </x:c>
      <x:c r="K7161" t="str">
        <x:v>major_purchase</x:v>
      </x:c>
      <x:c r="L7161" t="n">
        <x:v>0</x:v>
      </x:c>
      <x:c r="M7161" t="n">
        <x:v>0</x:v>
      </x:c>
      <x:c r="N7161" t="str">
        <x:v>Fully Paid</x:v>
      </x:c>
      <x:c r="O7161" t="str">
        <x:f>IF(D7161="","Unknown",IF(D7161&lt;25000,"&lt;$25k",IF(D7161&lt;50000,"$25k-$50k",IF(D7161&lt;75000,"$50k-$75k",IF(D7161&lt;100000,"$75k-$100k","$100k+")))))</x:f>
        <x:v>$50k-$75k</x:v>
      </x:c>
      <x:c r="P7161" t="str">
        <x:f>IF(E7161="","Unknown",IF(E7161&lt;10,"&lt;10",IF(E7161&lt;20,"10-&lt;20",IF(E7161&lt;25,"20-&lt;25",IF(E7161&lt;35,"25-&lt;35","35+")))))</x:f>
        <x:v>25-&lt;35</x:v>
      </x:c>
    </x:row>
    <x:row r="7162">
      <x:c r="A7162" t="str">
        <x:v>SYN0007161</x:v>
      </x:c>
      <x:c r="B7162" s="12" t="n">
        <x:v>43195</x:v>
      </x:c>
      <x:c r="C7162" s="18" t="n">
        <x:v>12872</x:v>
      </x:c>
      <x:c r="D7162" s="18" t="n">
        <x:v>46005</x:v>
      </x:c>
      <x:c r="E7162" s="18" t="n">
        <x:v>21.5</x:v>
      </x:c>
      <x:c r="F7162" s="18" t="n">
        <x:v>13.41</x:v>
      </x:c>
      <x:c r="G7162" t="n">
        <x:v>36</x:v>
      </x:c>
      <x:c r="H7162" t="str">
        <x:v>B</x:v>
      </x:c>
      <x:c r="I7162" t="str">
        <x:v>7-9 years</x:v>
      </x:c>
      <x:c r="J7162" t="str">
        <x:v>RENT</x:v>
      </x:c>
      <x:c r="K7162" t="str">
        <x:v>debt_consolidation</x:v>
      </x:c>
      <x:c r="L7162" t="n">
        <x:v>1</x:v>
      </x:c>
      <x:c r="M7162" t="n">
        <x:v>0</x:v>
      </x:c>
      <x:c r="N7162" t="str">
        <x:v>Fully Paid</x:v>
      </x:c>
      <x:c r="O7162" t="str">
        <x:f>IF(D7162="","Unknown",IF(D7162&lt;25000,"&lt;$25k",IF(D7162&lt;50000,"$25k-$50k",IF(D7162&lt;75000,"$50k-$75k",IF(D7162&lt;100000,"$75k-$100k","$100k+")))))</x:f>
        <x:v>$25k-$50k</x:v>
      </x:c>
      <x:c r="P7162" t="str">
        <x:f>IF(E7162="","Unknown",IF(E7162&lt;10,"&lt;10",IF(E7162&lt;20,"10-&lt;20",IF(E7162&lt;25,"20-&lt;25",IF(E7162&lt;35,"25-&lt;35","35+")))))</x:f>
        <x:v>20-&lt;25</x:v>
      </x:c>
    </x:row>
    <x:row r="7163">
      <x:c r="A7163" t="str">
        <x:v>SYN0007162</x:v>
      </x:c>
      <x:c r="B7163" s="12" t="n">
        <x:v>41485</x:v>
      </x:c>
      <x:c r="C7163" s="18" t="n">
        <x:v>14822</x:v>
      </x:c>
      <x:c r="D7163" s="18" t="n">
        <x:v>95182</x:v>
      </x:c>
      <x:c r="E7163" s="18" t="n">
        <x:v>4.23</x:v>
      </x:c>
      <x:c r="F7163" s="18" t="n">
        <x:v>7.26</x:v>
      </x:c>
      <x:c r="G7163" t="n">
        <x:v>36</x:v>
      </x:c>
      <x:c r="H7163" t="str">
        <x:v>A</x:v>
      </x:c>
      <x:c r="I7163" t="str">
        <x:v>1-3 years</x:v>
      </x:c>
      <x:c r="J7163" t="str">
        <x:v>MORTGAGE</x:v>
      </x:c>
      <x:c r="K7163" t="str">
        <x:v>major_purchase</x:v>
      </x:c>
      <x:c r="L7163" t="n">
        <x:v>1</x:v>
      </x:c>
      <x:c r="M7163" t="n">
        <x:v>0</x:v>
      </x:c>
      <x:c r="N7163" t="str">
        <x:v>Fully Paid</x:v>
      </x:c>
      <x:c r="O7163" t="str">
        <x:f>IF(D7163="","Unknown",IF(D7163&lt;25000,"&lt;$25k",IF(D7163&lt;50000,"$25k-$50k",IF(D7163&lt;75000,"$50k-$75k",IF(D7163&lt;100000,"$75k-$100k","$100k+")))))</x:f>
        <x:v>$75k-$100k</x:v>
      </x:c>
      <x:c r="P7163" t="str">
        <x:f>IF(E7163="","Unknown",IF(E7163&lt;10,"&lt;10",IF(E7163&lt;20,"10-&lt;20",IF(E7163&lt;25,"20-&lt;25",IF(E7163&lt;35,"25-&lt;35","35+")))))</x:f>
        <x:v>&lt;10</x:v>
      </x:c>
    </x:row>
    <x:row r="7164">
      <x:c r="A7164" t="str">
        <x:v>SYN0007163</x:v>
      </x:c>
      <x:c r="B7164" s="12" t="n">
        <x:v>43405</x:v>
      </x:c>
      <x:c r="C7164" s="18" t="n">
        <x:v>11006</x:v>
      </x:c>
      <x:c r="D7164" s="18" t="n">
        <x:v>55367</x:v>
      </x:c>
      <x:c r="E7164" s="18" t="n">
        <x:v>20.34</x:v>
      </x:c>
      <x:c r="F7164" s="18" t="n">
        <x:v>8.21</x:v>
      </x:c>
      <x:c r="G7164" t="n">
        <x:v>36</x:v>
      </x:c>
      <x:c r="H7164" t="str">
        <x:v>A</x:v>
      </x:c>
      <x:c r="I7164" t="str">
        <x:v>10+ years</x:v>
      </x:c>
      <x:c r="J7164" t="str">
        <x:v>MORTGAGE</x:v>
      </x:c>
      <x:c r="K7164" t="str">
        <x:v>home_improvement</x:v>
      </x:c>
      <x:c r="L7164" t="n">
        <x:v>0</x:v>
      </x:c>
      <x:c r="M7164" t="n">
        <x:v>0</x:v>
      </x:c>
      <x:c r="N7164" t="str">
        <x:v>Fully Paid</x:v>
      </x:c>
      <x:c r="O7164" t="str">
        <x:f>IF(D7164="","Unknown",IF(D7164&lt;25000,"&lt;$25k",IF(D7164&lt;50000,"$25k-$50k",IF(D7164&lt;75000,"$50k-$75k",IF(D7164&lt;100000,"$75k-$100k","$100k+")))))</x:f>
        <x:v>$50k-$75k</x:v>
      </x:c>
      <x:c r="P7164" t="str">
        <x:f>IF(E7164="","Unknown",IF(E7164&lt;10,"&lt;10",IF(E7164&lt;20,"10-&lt;20",IF(E7164&lt;25,"20-&lt;25",IF(E7164&lt;35,"25-&lt;35","35+")))))</x:f>
        <x:v>20-&lt;25</x:v>
      </x:c>
    </x:row>
    <x:row r="7165">
      <x:c r="A7165" t="str">
        <x:v>SYN0007164</x:v>
      </x:c>
      <x:c r="B7165" s="12" t="n">
        <x:v>42655</x:v>
      </x:c>
      <x:c r="C7165" s="18" t="n">
        <x:v>7947</x:v>
      </x:c>
      <x:c r="D7165" s="18" t="n">
        <x:v>53591</x:v>
      </x:c>
      <x:c r="E7165" s="18" t="n">
        <x:v>16.06</x:v>
      </x:c>
      <x:c r="F7165" s="18" t="n">
        <x:v>9.59</x:v>
      </x:c>
      <x:c r="G7165" t="n">
        <x:v>36</x:v>
      </x:c>
      <x:c r="H7165" t="str">
        <x:v>B</x:v>
      </x:c>
      <x:c r="I7165" t="str">
        <x:v>10+ years</x:v>
      </x:c>
      <x:c r="J7165" t="str">
        <x:v>MORTGAGE</x:v>
      </x:c>
      <x:c r="K7165" t="str">
        <x:v>debt_consolidation</x:v>
      </x:c>
      <x:c r="L7165" t="n">
        <x:v>0</x:v>
      </x:c>
      <x:c r="M7165" t="n">
        <x:v>0</x:v>
      </x:c>
      <x:c r="N7165" t="str">
        <x:v>Fully Paid</x:v>
      </x:c>
      <x:c r="O7165" t="str">
        <x:f>IF(D7165="","Unknown",IF(D7165&lt;25000,"&lt;$25k",IF(D7165&lt;50000,"$25k-$50k",IF(D7165&lt;75000,"$50k-$75k",IF(D7165&lt;100000,"$75k-$100k","$100k+")))))</x:f>
        <x:v>$50k-$75k</x:v>
      </x:c>
      <x:c r="P7165" t="str">
        <x:f>IF(E7165="","Unknown",IF(E7165&lt;10,"&lt;10",IF(E7165&lt;20,"10-&lt;20",IF(E7165&lt;25,"20-&lt;25",IF(E7165&lt;35,"25-&lt;35","35+")))))</x:f>
        <x:v>10-&lt;20</x:v>
      </x:c>
    </x:row>
    <x:row r="7166">
      <x:c r="A7166" t="str">
        <x:v>SYN0007165</x:v>
      </x:c>
      <x:c r="B7166" s="12" t="n">
        <x:v>43165</x:v>
      </x:c>
      <x:c r="C7166" s="18" t="n">
        <x:v>4629</x:v>
      </x:c>
      <x:c r="D7166" s="18" t="n">
        <x:v>51573</x:v>
      </x:c>
      <x:c r="E7166" s="18" t="n">
        <x:v>19.46</x:v>
      </x:c>
      <x:c r="F7166" s="18" t="n">
        <x:v>22.6</x:v>
      </x:c>
      <x:c r="G7166" t="n">
        <x:v>36</x:v>
      </x:c>
      <x:c r="H7166" t="str">
        <x:v>F</x:v>
      </x:c>
      <x:c r="I7166" t="str">
        <x:v>4-6 years</x:v>
      </x:c>
      <x:c r="J7166" t="str">
        <x:v>RENT</x:v>
      </x:c>
      <x:c r="K7166" t="str">
        <x:v>home_improvement</x:v>
      </x:c>
      <x:c r="L7166" t="n">
        <x:v>0</x:v>
      </x:c>
      <x:c r="M7166" t="n">
        <x:v>0</x:v>
      </x:c>
      <x:c r="N7166" t="str">
        <x:v>Fully Paid</x:v>
      </x:c>
      <x:c r="O7166" t="str">
        <x:f>IF(D7166="","Unknown",IF(D7166&lt;25000,"&lt;$25k",IF(D7166&lt;50000,"$25k-$50k",IF(D7166&lt;75000,"$50k-$75k",IF(D7166&lt;100000,"$75k-$100k","$100k+")))))</x:f>
        <x:v>$50k-$75k</x:v>
      </x:c>
      <x:c r="P7166" t="str">
        <x:f>IF(E7166="","Unknown",IF(E7166&lt;10,"&lt;10",IF(E7166&lt;20,"10-&lt;20",IF(E7166&lt;25,"20-&lt;25",IF(E7166&lt;35,"25-&lt;35","35+")))))</x:f>
        <x:v>10-&lt;20</x:v>
      </x:c>
    </x:row>
    <x:row r="7167">
      <x:c r="A7167" t="str">
        <x:v>SYN0007166</x:v>
      </x:c>
      <x:c r="B7167" s="12" t="n">
        <x:v>42475</x:v>
      </x:c>
      <x:c r="C7167" s="18" t="n">
        <x:v>16989</x:v>
      </x:c>
      <x:c r="D7167" s="18" t="n">
        <x:v>53255</x:v>
      </x:c>
      <x:c r="E7167" s="18" t="n">
        <x:v>25.69</x:v>
      </x:c>
      <x:c r="F7167" s="18" t="n">
        <x:v>5</x:v>
      </x:c>
      <x:c r="G7167" t="n">
        <x:v>36</x:v>
      </x:c>
      <x:c r="H7167" t="str">
        <x:v>A</x:v>
      </x:c>
      <x:c r="I7167" t="str">
        <x:v>1-3 years</x:v>
      </x:c>
      <x:c r="J7167" t="str">
        <x:v>MORTGAGE</x:v>
      </x:c>
      <x:c r="K7167" t="str">
        <x:v>debt_consolidation</x:v>
      </x:c>
      <x:c r="L7167" t="n">
        <x:v>0</x:v>
      </x:c>
      <x:c r="M7167" t="n">
        <x:v>1</x:v>
      </x:c>
      <x:c r="N7167" t="str">
        <x:v>Charged Off</x:v>
      </x:c>
      <x:c r="O7167" t="str">
        <x:f>IF(D7167="","Unknown",IF(D7167&lt;25000,"&lt;$25k",IF(D7167&lt;50000,"$25k-$50k",IF(D7167&lt;75000,"$50k-$75k",IF(D7167&lt;100000,"$75k-$100k","$100k+")))))</x:f>
        <x:v>$50k-$75k</x:v>
      </x:c>
      <x:c r="P7167" t="str">
        <x:f>IF(E7167="","Unknown",IF(E7167&lt;10,"&lt;10",IF(E7167&lt;20,"10-&lt;20",IF(E7167&lt;25,"20-&lt;25",IF(E7167&lt;35,"25-&lt;35","35+")))))</x:f>
        <x:v>25-&lt;35</x:v>
      </x:c>
    </x:row>
    <x:row r="7168">
      <x:c r="A7168" t="str">
        <x:v>SYN0007167</x:v>
      </x:c>
      <x:c r="B7168" s="12" t="n">
        <x:v>41455</x:v>
      </x:c>
      <x:c r="C7168" s="18" t="n">
        <x:v>16146</x:v>
      </x:c>
      <x:c r="D7168" s="18" t="n">
        <x:v>60847</x:v>
      </x:c>
      <x:c r="E7168" s="18" t="n">
        <x:v>3.89</x:v>
      </x:c>
      <x:c r="F7168" s="18" t="n">
        <x:v>8.72</x:v>
      </x:c>
      <x:c r="G7168" t="n">
        <x:v>36</x:v>
      </x:c>
      <x:c r="H7168" t="str">
        <x:v>B</x:v>
      </x:c>
      <x:c r="I7168" t="str">
        <x:v>4-6 years</x:v>
      </x:c>
      <x:c r="J7168" t="str">
        <x:v>OWN</x:v>
      </x:c>
      <x:c r="K7168" t="str">
        <x:v>debt_consolidation</x:v>
      </x:c>
      <x:c r="L7168" t="n">
        <x:v>0</x:v>
      </x:c>
      <x:c r="M7168" t="n">
        <x:v>0</x:v>
      </x:c>
      <x:c r="N7168" t="str">
        <x:v>Fully Paid</x:v>
      </x:c>
      <x:c r="O7168" t="str">
        <x:f>IF(D7168="","Unknown",IF(D7168&lt;25000,"&lt;$25k",IF(D7168&lt;50000,"$25k-$50k",IF(D7168&lt;75000,"$50k-$75k",IF(D7168&lt;100000,"$75k-$100k","$100k+")))))</x:f>
        <x:v>$50k-$75k</x:v>
      </x:c>
      <x:c r="P7168" t="str">
        <x:f>IF(E7168="","Unknown",IF(E7168&lt;10,"&lt;10",IF(E7168&lt;20,"10-&lt;20",IF(E7168&lt;25,"20-&lt;25",IF(E7168&lt;35,"25-&lt;35","35+")))))</x:f>
        <x:v>&lt;10</x:v>
      </x:c>
    </x:row>
    <x:row r="7169">
      <x:c r="A7169" t="str">
        <x:v>SYN0007168</x:v>
      </x:c>
      <x:c r="B7169" s="12" t="n">
        <x:v>41875</x:v>
      </x:c>
      <x:c r="C7169" s="18" t="n">
        <x:v>10894</x:v>
      </x:c>
      <x:c r="D7169" s="18" t="n">
        <x:v>87925</x:v>
      </x:c>
      <x:c r="E7169" s="18" t="n">
        <x:v>29.6</x:v>
      </x:c>
      <x:c r="F7169" s="18" t="n">
        <x:v>8.6</x:v>
      </x:c>
      <x:c r="G7169" t="n">
        <x:v>36</x:v>
      </x:c>
      <x:c r="H7169" t="str">
        <x:v>C</x:v>
      </x:c>
      <x:c r="I7169" t="str">
        <x:v>4-6 years</x:v>
      </x:c>
      <x:c r="J7169" t="str">
        <x:v>MORTGAGE</x:v>
      </x:c>
      <x:c r="K7169" t="str">
        <x:v>debt_consolidation</x:v>
      </x:c>
      <x:c r="L7169" t="n">
        <x:v>0</x:v>
      </x:c>
      <x:c r="M7169" t="n">
        <x:v>0</x:v>
      </x:c>
      <x:c r="N7169" t="str">
        <x:v>Fully Paid</x:v>
      </x:c>
      <x:c r="O7169" t="str">
        <x:f>IF(D7169="","Unknown",IF(D7169&lt;25000,"&lt;$25k",IF(D7169&lt;50000,"$25k-$50k",IF(D7169&lt;75000,"$50k-$75k",IF(D7169&lt;100000,"$75k-$100k","$100k+")))))</x:f>
        <x:v>$75k-$100k</x:v>
      </x:c>
      <x:c r="P7169" t="str">
        <x:f>IF(E7169="","Unknown",IF(E7169&lt;10,"&lt;10",IF(E7169&lt;20,"10-&lt;20",IF(E7169&lt;25,"20-&lt;25",IF(E7169&lt;35,"25-&lt;35","35+")))))</x:f>
        <x:v>25-&lt;35</x:v>
      </x:c>
    </x:row>
    <x:row r="7170">
      <x:c r="A7170" t="str">
        <x:v>SYN0007169</x:v>
      </x:c>
      <x:c r="B7170" s="12" t="n">
        <x:v>41395</x:v>
      </x:c>
      <x:c r="C7170" s="18" t="n">
        <x:v>6877</x:v>
      </x:c>
      <x:c r="D7170" s="18" t="n">
        <x:v>23863</x:v>
      </x:c>
      <x:c r="E7170" s="18" t="n">
        <x:v>27.17</x:v>
      </x:c>
      <x:c r="F7170" s="18" t="n">
        <x:v>11.19</x:v>
      </x:c>
      <x:c r="G7170" t="n">
        <x:v>36</x:v>
      </x:c>
      <x:c r="H7170" t="str">
        <x:v>C</x:v>
      </x:c>
      <x:c r="I7170" t="str">
        <x:v>4-6 years</x:v>
      </x:c>
      <x:c r="J7170" t="str">
        <x:v>MORTGAGE</x:v>
      </x:c>
      <x:c r="K7170" t="str">
        <x:v>credit_card</x:v>
      </x:c>
      <x:c r="L7170" t="n">
        <x:v>0</x:v>
      </x:c>
      <x:c r="M7170" t="n">
        <x:v>0</x:v>
      </x:c>
      <x:c r="N7170" t="str">
        <x:v>Fully Paid</x:v>
      </x:c>
      <x:c r="O7170" t="str">
        <x:f>IF(D7170="","Unknown",IF(D7170&lt;25000,"&lt;$25k",IF(D7170&lt;50000,"$25k-$50k",IF(D7170&lt;75000,"$50k-$75k",IF(D7170&lt;100000,"$75k-$100k","$100k+")))))</x:f>
        <x:v>&lt;$25k</x:v>
      </x:c>
      <x:c r="P7170" t="str">
        <x:f>IF(E7170="","Unknown",IF(E7170&lt;10,"&lt;10",IF(E7170&lt;20,"10-&lt;20",IF(E7170&lt;25,"20-&lt;25",IF(E7170&lt;35,"25-&lt;35","35+")))))</x:f>
        <x:v>25-&lt;35</x:v>
      </x:c>
    </x:row>
    <x:row r="7171">
      <x:c r="A7171" t="str">
        <x:v>SYN0007170</x:v>
      </x:c>
      <x:c r="B7171" s="12" t="n">
        <x:v>43105</x:v>
      </x:c>
      <x:c r="C7171" s="18" t="n">
        <x:v>11815</x:v>
      </x:c>
      <x:c r="D7171" s="18" t="n">
        <x:v>14994</x:v>
      </x:c>
      <x:c r="E7171" s="18" t="n">
        <x:v>2.85</x:v>
      </x:c>
      <x:c r="F7171" s="18" t="n">
        <x:v>10.03</x:v>
      </x:c>
      <x:c r="G7171" t="n">
        <x:v>60</x:v>
      </x:c>
      <x:c r="H7171" t="str">
        <x:v>C</x:v>
      </x:c>
      <x:c r="I7171" t="str">
        <x:v>&lt;1 year</x:v>
      </x:c>
      <x:c r="J7171" t="str">
        <x:v>MORTGAGE</x:v>
      </x:c>
      <x:c r="K7171" t="str">
        <x:v>credit_card</x:v>
      </x:c>
      <x:c r="L7171" t="n">
        <x:v>0</x:v>
      </x:c>
      <x:c r="M7171" t="n">
        <x:v>1</x:v>
      </x:c>
      <x:c r="N7171" t="str">
        <x:v>Charged Off</x:v>
      </x:c>
      <x:c r="O7171" t="str">
        <x:f>IF(D7171="","Unknown",IF(D7171&lt;25000,"&lt;$25k",IF(D7171&lt;50000,"$25k-$50k",IF(D7171&lt;75000,"$50k-$75k",IF(D7171&lt;100000,"$75k-$100k","$100k+")))))</x:f>
        <x:v>&lt;$25k</x:v>
      </x:c>
      <x:c r="P7171" t="str">
        <x:f>IF(E7171="","Unknown",IF(E7171&lt;10,"&lt;10",IF(E7171&lt;20,"10-&lt;20",IF(E7171&lt;25,"20-&lt;25",IF(E7171&lt;35,"25-&lt;35","35+")))))</x:f>
        <x:v>&lt;10</x:v>
      </x:c>
    </x:row>
    <x:row r="7172">
      <x:c r="A7172" t="str">
        <x:v>SYN0007171</x:v>
      </x:c>
      <x:c r="B7172" s="12" t="n">
        <x:v>41365</x:v>
      </x:c>
      <x:c r="C7172" s="18" t="n">
        <x:v>29157</x:v>
      </x:c>
      <x:c r="D7172" s="18" t="n">
        <x:v>118977</x:v>
      </x:c>
      <x:c r="E7172" s="18" t="n">
        <x:v>10.29</x:v>
      </x:c>
      <x:c r="F7172" s="18" t="n">
        <x:v>17.81</x:v>
      </x:c>
      <x:c r="G7172" t="n">
        <x:v>36</x:v>
      </x:c>
      <x:c r="H7172" t="str">
        <x:v>E</x:v>
      </x:c>
      <x:c r="I7172" t="str">
        <x:v>4-6 years</x:v>
      </x:c>
      <x:c r="J7172" t="str">
        <x:v>MORTGAGE</x:v>
      </x:c>
      <x:c r="K7172" t="str">
        <x:v>credit_card</x:v>
      </x:c>
      <x:c r="L7172" t="n">
        <x:v>1</x:v>
      </x:c>
      <x:c r="M7172" t="n">
        <x:v>0</x:v>
      </x:c>
      <x:c r="N7172" t="str">
        <x:v>Fully Paid</x:v>
      </x:c>
      <x:c r="O7172" t="str">
        <x:f>IF(D7172="","Unknown",IF(D7172&lt;25000,"&lt;$25k",IF(D7172&lt;50000,"$25k-$50k",IF(D7172&lt;75000,"$50k-$75k",IF(D7172&lt;100000,"$75k-$100k","$100k+")))))</x:f>
        <x:v>$100k+</x:v>
      </x:c>
      <x:c r="P7172" t="str">
        <x:f>IF(E7172="","Unknown",IF(E7172&lt;10,"&lt;10",IF(E7172&lt;20,"10-&lt;20",IF(E7172&lt;25,"20-&lt;25",IF(E7172&lt;35,"25-&lt;35","35+")))))</x:f>
        <x:v>10-&lt;20</x:v>
      </x:c>
    </x:row>
    <x:row r="7173">
      <x:c r="A7173" t="str">
        <x:v>SYN0007172</x:v>
      </x:c>
      <x:c r="B7173" s="12" t="n">
        <x:v>42445</x:v>
      </x:c>
      <x:c r="C7173" s="18" t="n">
        <x:v>11675</x:v>
      </x:c>
      <x:c r="D7173" s="18" t="n">
        <x:v>50450</x:v>
      </x:c>
      <x:c r="E7173" s="18" t="n">
        <x:v>28.73</x:v>
      </x:c>
      <x:c r="F7173" s="18" t="n">
        <x:v>29.76</x:v>
      </x:c>
      <x:c r="G7173" t="n">
        <x:v>36</x:v>
      </x:c>
      <x:c r="H7173" t="str">
        <x:v>G</x:v>
      </x:c>
      <x:c r="I7173" t="str">
        <x:v>10+ years</x:v>
      </x:c>
      <x:c r="J7173" t="str">
        <x:v>RENT</x:v>
      </x:c>
      <x:c r="K7173" t="str">
        <x:v>debt_consolidation</x:v>
      </x:c>
      <x:c r="L7173" t="n">
        <x:v>2</x:v>
      </x:c>
      <x:c r="M7173" t="n">
        <x:v>1</x:v>
      </x:c>
      <x:c r="N7173" t="str">
        <x:v>Charged Off</x:v>
      </x:c>
      <x:c r="O7173" t="str">
        <x:f>IF(D7173="","Unknown",IF(D7173&lt;25000,"&lt;$25k",IF(D7173&lt;50000,"$25k-$50k",IF(D7173&lt;75000,"$50k-$75k",IF(D7173&lt;100000,"$75k-$100k","$100k+")))))</x:f>
        <x:v>$50k-$75k</x:v>
      </x:c>
      <x:c r="P7173" t="str">
        <x:f>IF(E7173="","Unknown",IF(E7173&lt;10,"&lt;10",IF(E7173&lt;20,"10-&lt;20",IF(E7173&lt;25,"20-&lt;25",IF(E7173&lt;35,"25-&lt;35","35+")))))</x:f>
        <x:v>25-&lt;35</x:v>
      </x:c>
    </x:row>
    <x:row r="7174">
      <x:c r="A7174" t="str">
        <x:v>SYN0007173</x:v>
      </x:c>
      <x:c r="B7174" s="12" t="n">
        <x:v>41575</x:v>
      </x:c>
      <x:c r="C7174" s="18" t="n">
        <x:v>9935</x:v>
      </x:c>
      <x:c r="D7174" s="18" t="n">
        <x:v>18504</x:v>
      </x:c>
      <x:c r="E7174" s="18" t="n">
        <x:v>39.65</x:v>
      </x:c>
      <x:c r="F7174" s="18" t="n">
        <x:v>23.84</x:v>
      </x:c>
      <x:c r="G7174" t="n">
        <x:v>36</x:v>
      </x:c>
      <x:c r="H7174" t="str">
        <x:v>G</x:v>
      </x:c>
      <x:c r="I7174" t="str">
        <x:v>1-3 years</x:v>
      </x:c>
      <x:c r="J7174" t="str">
        <x:v>MORTGAGE</x:v>
      </x:c>
      <x:c r="K7174" t="str">
        <x:v>medical</x:v>
      </x:c>
      <x:c r="L7174" t="n">
        <x:v>1</x:v>
      </x:c>
      <x:c r="M7174" t="n">
        <x:v>1</x:v>
      </x:c>
      <x:c r="N7174" t="str">
        <x:v>Charged Off</x:v>
      </x:c>
      <x:c r="O7174" t="str">
        <x:f>IF(D7174="","Unknown",IF(D7174&lt;25000,"&lt;$25k",IF(D7174&lt;50000,"$25k-$50k",IF(D7174&lt;75000,"$50k-$75k",IF(D7174&lt;100000,"$75k-$100k","$100k+")))))</x:f>
        <x:v>&lt;$25k</x:v>
      </x:c>
      <x:c r="P7174" t="str">
        <x:f>IF(E7174="","Unknown",IF(E7174&lt;10,"&lt;10",IF(E7174&lt;20,"10-&lt;20",IF(E7174&lt;25,"20-&lt;25",IF(E7174&lt;35,"25-&lt;35","35+")))))</x:f>
        <x:v>35+</x:v>
      </x:c>
    </x:row>
    <x:row r="7175">
      <x:c r="A7175" t="str">
        <x:v>SYN0007174</x:v>
      </x:c>
      <x:c r="B7175" s="12" t="n">
        <x:v>43105</x:v>
      </x:c>
      <x:c r="C7175" s="18" t="n">
        <x:v>11138</x:v>
      </x:c>
      <x:c r="D7175" s="18" t="n">
        <x:v>169613</x:v>
      </x:c>
      <x:c r="E7175" s="18" t="n">
        <x:v>12.47</x:v>
      </x:c>
      <x:c r="F7175" s="18" t="n">
        <x:v>10.99</x:v>
      </x:c>
      <x:c r="G7175" t="n">
        <x:v>60</x:v>
      </x:c>
      <x:c r="H7175" t="str">
        <x:v>C</x:v>
      </x:c>
      <x:c r="I7175" t="str">
        <x:v>10+ years</x:v>
      </x:c>
      <x:c r="J7175" t="str">
        <x:v>OWN</x:v>
      </x:c>
      <x:c r="K7175" t="str">
        <x:v>credit_card</x:v>
      </x:c>
      <x:c r="L7175" t="n">
        <x:v>0</x:v>
      </x:c>
      <x:c r="M7175" t="n">
        <x:v>0</x:v>
      </x:c>
      <x:c r="N7175" t="str">
        <x:v>Fully Paid</x:v>
      </x:c>
      <x:c r="O7175" t="str">
        <x:f>IF(D7175="","Unknown",IF(D7175&lt;25000,"&lt;$25k",IF(D7175&lt;50000,"$25k-$50k",IF(D7175&lt;75000,"$50k-$75k",IF(D7175&lt;100000,"$75k-$100k","$100k+")))))</x:f>
        <x:v>$100k+</x:v>
      </x:c>
      <x:c r="P7175" t="str">
        <x:f>IF(E7175="","Unknown",IF(E7175&lt;10,"&lt;10",IF(E7175&lt;20,"10-&lt;20",IF(E7175&lt;25,"20-&lt;25",IF(E7175&lt;35,"25-&lt;35","35+")))))</x:f>
        <x:v>10-&lt;20</x:v>
      </x:c>
    </x:row>
    <x:row r="7176">
      <x:c r="A7176" t="str">
        <x:v>SYN0007175</x:v>
      </x:c>
      <x:c r="B7176" s="12" t="n">
        <x:v>41725</x:v>
      </x:c>
      <x:c r="C7176" s="18" t="n">
        <x:v>16308</x:v>
      </x:c>
      <x:c r="D7176" s="18" t="n">
        <x:v>250000</x:v>
      </x:c>
      <x:c r="E7176" s="18" t="n">
        <x:v>25.95</x:v>
      </x:c>
      <x:c r="F7176" s="18" t="n">
        <x:v>8.49</x:v>
      </x:c>
      <x:c r="G7176" t="n">
        <x:v>36</x:v>
      </x:c>
      <x:c r="H7176" t="str">
        <x:v>B</x:v>
      </x:c>
      <x:c r="I7176" t="str">
        <x:v>&lt;1 year</x:v>
      </x:c>
      <x:c r="J7176" t="str">
        <x:v>OWN</x:v>
      </x:c>
      <x:c r="K7176" t="str">
        <x:v>debt_consolidation</x:v>
      </x:c>
      <x:c r="L7176" t="n">
        <x:v>0</x:v>
      </x:c>
      <x:c r="M7176" t="n">
        <x:v>0</x:v>
      </x:c>
      <x:c r="N7176" t="str">
        <x:v>Fully Paid</x:v>
      </x:c>
      <x:c r="O7176" t="str">
        <x:f>IF(D7176="","Unknown",IF(D7176&lt;25000,"&lt;$25k",IF(D7176&lt;50000,"$25k-$50k",IF(D7176&lt;75000,"$50k-$75k",IF(D7176&lt;100000,"$75k-$100k","$100k+")))))</x:f>
        <x:v>$100k+</x:v>
      </x:c>
      <x:c r="P7176" t="str">
        <x:f>IF(E7176="","Unknown",IF(E7176&lt;10,"&lt;10",IF(E7176&lt;20,"10-&lt;20",IF(E7176&lt;25,"20-&lt;25",IF(E7176&lt;35,"25-&lt;35","35+")))))</x:f>
        <x:v>25-&lt;35</x:v>
      </x:c>
    </x:row>
    <x:row r="7177">
      <x:c r="A7177" t="str">
        <x:v>SYN0007176</x:v>
      </x:c>
      <x:c r="B7177" s="12" t="n">
        <x:v>43225</x:v>
      </x:c>
      <x:c r="C7177" s="18" t="n">
        <x:v>12528</x:v>
      </x:c>
      <x:c r="D7177" s="18" t="n">
        <x:v>109356</x:v>
      </x:c>
      <x:c r="E7177" s="18" t="n">
        <x:v>26.95</x:v>
      </x:c>
      <x:c r="F7177" s="18" t="n">
        <x:v>13.33</x:v>
      </x:c>
      <x:c r="G7177" t="n">
        <x:v>36</x:v>
      </x:c>
      <x:c r="H7177" t="str">
        <x:v>C</x:v>
      </x:c>
      <x:c r="I7177" t="str">
        <x:v>7-9 years</x:v>
      </x:c>
      <x:c r="J7177" t="str">
        <x:v>MORTGAGE</x:v>
      </x:c>
      <x:c r="K7177" t="str">
        <x:v>debt_consolidation</x:v>
      </x:c>
      <x:c r="L7177" t="n">
        <x:v>0</x:v>
      </x:c>
      <x:c r="M7177" t="n">
        <x:v>0</x:v>
      </x:c>
      <x:c r="N7177" t="str">
        <x:v>Fully Paid</x:v>
      </x:c>
      <x:c r="O7177" t="str">
        <x:f>IF(D7177="","Unknown",IF(D7177&lt;25000,"&lt;$25k",IF(D7177&lt;50000,"$25k-$50k",IF(D7177&lt;75000,"$50k-$75k",IF(D7177&lt;100000,"$75k-$100k","$100k+")))))</x:f>
        <x:v>$100k+</x:v>
      </x:c>
      <x:c r="P7177" t="str">
        <x:f>IF(E7177="","Unknown",IF(E7177&lt;10,"&lt;10",IF(E7177&lt;20,"10-&lt;20",IF(E7177&lt;25,"20-&lt;25",IF(E7177&lt;35,"25-&lt;35","35+")))))</x:f>
        <x:v>25-&lt;35</x:v>
      </x:c>
    </x:row>
    <x:row r="7178">
      <x:c r="A7178" t="str">
        <x:v>SYN0007177</x:v>
      </x:c>
      <x:c r="B7178" s="12" t="n">
        <x:v>42805</x:v>
      </x:c>
      <x:c r="C7178" s="18" t="n">
        <x:v>4537</x:v>
      </x:c>
      <x:c r="D7178" s="18" t="n">
        <x:v>21606</x:v>
      </x:c>
      <x:c r="E7178" s="18" t="n">
        <x:v>31.85</x:v>
      </x:c>
      <x:c r="F7178" s="18" t="n">
        <x:v>10.78</x:v>
      </x:c>
      <x:c r="G7178" t="n">
        <x:v>36</x:v>
      </x:c>
      <x:c r="H7178" t="str">
        <x:v>C</x:v>
      </x:c>
      <x:c r="I7178" t="str">
        <x:v>&lt;1 year</x:v>
      </x:c>
      <x:c r="J7178" t="str">
        <x:v>MORTGAGE</x:v>
      </x:c>
      <x:c r="K7178" t="str">
        <x:v>debt_consolidation</x:v>
      </x:c>
      <x:c r="L7178" t="n">
        <x:v>0</x:v>
      </x:c>
      <x:c r="M7178" t="n">
        <x:v>1</x:v>
      </x:c>
      <x:c r="N7178" t="str">
        <x:v>Charged Off</x:v>
      </x:c>
      <x:c r="O7178" t="str">
        <x:f>IF(D7178="","Unknown",IF(D7178&lt;25000,"&lt;$25k",IF(D7178&lt;50000,"$25k-$50k",IF(D7178&lt;75000,"$50k-$75k",IF(D7178&lt;100000,"$75k-$100k","$100k+")))))</x:f>
        <x:v>&lt;$25k</x:v>
      </x:c>
      <x:c r="P7178" t="str">
        <x:f>IF(E7178="","Unknown",IF(E7178&lt;10,"&lt;10",IF(E7178&lt;20,"10-&lt;20",IF(E7178&lt;25,"20-&lt;25",IF(E7178&lt;35,"25-&lt;35","35+")))))</x:f>
        <x:v>25-&lt;35</x:v>
      </x:c>
    </x:row>
    <x:row r="7179">
      <x:c r="A7179" t="str">
        <x:v>SYN0007178</x:v>
      </x:c>
      <x:c r="B7179" s="12" t="n">
        <x:v>42355</x:v>
      </x:c>
      <x:c r="C7179" s="18" t="n">
        <x:v>7766</x:v>
      </x:c>
      <x:c r="D7179" s="18" t="n">
        <x:v>52201</x:v>
      </x:c>
      <x:c r="E7179" s="18" t="n">
        <x:v>15.22</x:v>
      </x:c>
      <x:c r="F7179" s="18" t="n">
        <x:v>14.21</x:v>
      </x:c>
      <x:c r="G7179" t="n">
        <x:v>36</x:v>
      </x:c>
      <x:c r="H7179" t="str">
        <x:v>D</x:v>
      </x:c>
      <x:c r="I7179" t="str">
        <x:v>10+ years</x:v>
      </x:c>
      <x:c r="J7179" t="str">
        <x:v>OWN</x:v>
      </x:c>
      <x:c r="K7179" t="str">
        <x:v>other</x:v>
      </x:c>
      <x:c r="L7179" t="n">
        <x:v>1</x:v>
      </x:c>
      <x:c r="M7179" t="n">
        <x:v>1</x:v>
      </x:c>
      <x:c r="N7179" t="str">
        <x:v>Charged Off</x:v>
      </x:c>
      <x:c r="O7179" t="str">
        <x:f>IF(D7179="","Unknown",IF(D7179&lt;25000,"&lt;$25k",IF(D7179&lt;50000,"$25k-$50k",IF(D7179&lt;75000,"$50k-$75k",IF(D7179&lt;100000,"$75k-$100k","$100k+")))))</x:f>
        <x:v>$50k-$75k</x:v>
      </x:c>
      <x:c r="P7179" t="str">
        <x:f>IF(E7179="","Unknown",IF(E7179&lt;10,"&lt;10",IF(E7179&lt;20,"10-&lt;20",IF(E7179&lt;25,"20-&lt;25",IF(E7179&lt;35,"25-&lt;35","35+")))))</x:f>
        <x:v>10-&lt;20</x:v>
      </x:c>
    </x:row>
    <x:row r="7180">
      <x:c r="A7180" t="str">
        <x:v>SYN0007179</x:v>
      </x:c>
      <x:c r="B7180" s="12" t="n">
        <x:v>41905</x:v>
      </x:c>
      <x:c r="C7180" s="18" t="n">
        <x:v>7870</x:v>
      </x:c>
      <x:c r="D7180" s="18" t="n">
        <x:v>45542</x:v>
      </x:c>
      <x:c r="E7180" s="18" t="n">
        <x:v>20.52</x:v>
      </x:c>
      <x:c r="F7180" s="18" t="n">
        <x:v>17.92</x:v>
      </x:c>
      <x:c r="G7180" t="n">
        <x:v>36</x:v>
      </x:c>
      <x:c r="H7180" t="str">
        <x:v>E</x:v>
      </x:c>
      <x:c r="I7180" t="str">
        <x:v>4-6 years</x:v>
      </x:c>
      <x:c r="J7180" t="str">
        <x:v>RENT</x:v>
      </x:c>
      <x:c r="K7180" t="str">
        <x:v>debt_consolidation</x:v>
      </x:c>
      <x:c r="L7180" t="n">
        <x:v>1</x:v>
      </x:c>
      <x:c r="M7180" t="n">
        <x:v>0</x:v>
      </x:c>
      <x:c r="N7180" t="str">
        <x:v>Fully Paid</x:v>
      </x:c>
      <x:c r="O7180" t="str">
        <x:f>IF(D7180="","Unknown",IF(D7180&lt;25000,"&lt;$25k",IF(D7180&lt;50000,"$25k-$50k",IF(D7180&lt;75000,"$50k-$75k",IF(D7180&lt;100000,"$75k-$100k","$100k+")))))</x:f>
        <x:v>$25k-$50k</x:v>
      </x:c>
      <x:c r="P7180" t="str">
        <x:f>IF(E7180="","Unknown",IF(E7180&lt;10,"&lt;10",IF(E7180&lt;20,"10-&lt;20",IF(E7180&lt;25,"20-&lt;25",IF(E7180&lt;35,"25-&lt;35","35+")))))</x:f>
        <x:v>20-&lt;25</x:v>
      </x:c>
    </x:row>
    <x:row r="7181">
      <x:c r="A7181" t="str">
        <x:v>SYN0007180</x:v>
      </x:c>
      <x:c r="B7181" s="12" t="n">
        <x:v>42775</x:v>
      </x:c>
      <x:c r="C7181" s="18" t="n">
        <x:v>15962</x:v>
      </x:c>
      <x:c r="D7181" s="18" t="n">
        <x:v>250000</x:v>
      </x:c>
      <x:c r="E7181" s="18" t="n">
        <x:v>24.87</x:v>
      </x:c>
      <x:c r="F7181" s="18" t="n">
        <x:v>28.6</x:v>
      </x:c>
      <x:c r="G7181" t="n">
        <x:v>60</x:v>
      </x:c>
      <x:c r="H7181" t="str">
        <x:v>G</x:v>
      </x:c>
      <x:c r="I7181" t="str">
        <x:v>4-6 years</x:v>
      </x:c>
      <x:c r="J7181" t="str">
        <x:v>MORTGAGE</x:v>
      </x:c>
      <x:c r="K7181" t="str">
        <x:v>debt_consolidation</x:v>
      </x:c>
      <x:c r="L7181" t="n">
        <x:v>2</x:v>
      </x:c>
      <x:c r="M7181" t="n">
        <x:v>1</x:v>
      </x:c>
      <x:c r="N7181" t="str">
        <x:v>Charged Off</x:v>
      </x:c>
      <x:c r="O7181" t="str">
        <x:f>IF(D7181="","Unknown",IF(D7181&lt;25000,"&lt;$25k",IF(D7181&lt;50000,"$25k-$50k",IF(D7181&lt;75000,"$50k-$75k",IF(D7181&lt;100000,"$75k-$100k","$100k+")))))</x:f>
        <x:v>$100k+</x:v>
      </x:c>
      <x:c r="P7181" t="str">
        <x:f>IF(E7181="","Unknown",IF(E7181&lt;10,"&lt;10",IF(E7181&lt;20,"10-&lt;20",IF(E7181&lt;25,"20-&lt;25",IF(E7181&lt;35,"25-&lt;35","35+")))))</x:f>
        <x:v>20-&lt;25</x:v>
      </x:c>
    </x:row>
    <x:row r="7182">
      <x:c r="A7182" t="str">
        <x:v>SYN0007181</x:v>
      </x:c>
      <x:c r="B7182" s="12" t="n">
        <x:v>42115</x:v>
      </x:c>
      <x:c r="C7182" s="18" t="n">
        <x:v>16471</x:v>
      </x:c>
      <x:c r="D7182" s="18" t="n">
        <x:v>19416</x:v>
      </x:c>
      <x:c r="E7182" s="18" t="n">
        <x:v>25.77</x:v>
      </x:c>
      <x:c r="F7182" s="18" t="n">
        <x:v>8.34</x:v>
      </x:c>
      <x:c r="G7182" t="n">
        <x:v>36</x:v>
      </x:c>
      <x:c r="H7182" t="str">
        <x:v>B</x:v>
      </x:c>
      <x:c r="I7182" t="str">
        <x:v>1-3 years</x:v>
      </x:c>
      <x:c r="J7182" t="str">
        <x:v>MORTGAGE</x:v>
      </x:c>
      <x:c r="K7182" t="str">
        <x:v>other</x:v>
      </x:c>
      <x:c r="L7182" t="n">
        <x:v>0</x:v>
      </x:c>
      <x:c r="M7182" t="n">
        <x:v>0</x:v>
      </x:c>
      <x:c r="N7182" t="str">
        <x:v>Fully Paid</x:v>
      </x:c>
      <x:c r="O7182" t="str">
        <x:f>IF(D7182="","Unknown",IF(D7182&lt;25000,"&lt;$25k",IF(D7182&lt;50000,"$25k-$50k",IF(D7182&lt;75000,"$50k-$75k",IF(D7182&lt;100000,"$75k-$100k","$100k+")))))</x:f>
        <x:v>&lt;$25k</x:v>
      </x:c>
      <x:c r="P7182" t="str">
        <x:f>IF(E7182="","Unknown",IF(E7182&lt;10,"&lt;10",IF(E7182&lt;20,"10-&lt;20",IF(E7182&lt;25,"20-&lt;25",IF(E7182&lt;35,"25-&lt;35","35+")))))</x:f>
        <x:v>25-&lt;35</x:v>
      </x:c>
    </x:row>
    <x:row r="7183">
      <x:c r="A7183" t="str">
        <x:v>SYN0007182</x:v>
      </x:c>
      <x:c r="B7183" s="12" t="n">
        <x:v>42265</x:v>
      </x:c>
      <x:c r="C7183" s="18" t="n">
        <x:v>24589</x:v>
      </x:c>
      <x:c r="D7183" s="18" t="n">
        <x:v>43324</x:v>
      </x:c>
      <x:c r="E7183" s="18" t="n">
        <x:v>33.88</x:v>
      </x:c>
      <x:c r="F7183" s="18" t="n">
        <x:v>10.8</x:v>
      </x:c>
      <x:c r="G7183" t="n">
        <x:v>60</x:v>
      </x:c>
      <x:c r="H7183" t="str">
        <x:v>C</x:v>
      </x:c>
      <x:c r="I7183" t="str">
        <x:v>7-9 years</x:v>
      </x:c>
      <x:c r="J7183" t="str">
        <x:v>MORTGAGE</x:v>
      </x:c>
      <x:c r="K7183" t="str">
        <x:v>debt_consolidation</x:v>
      </x:c>
      <x:c r="L7183" t="n">
        <x:v>1</x:v>
      </x:c>
      <x:c r="M7183" t="n">
        <x:v>0</x:v>
      </x:c>
      <x:c r="N7183" t="str">
        <x:v>Fully Paid</x:v>
      </x:c>
      <x:c r="O7183" t="str">
        <x:f>IF(D7183="","Unknown",IF(D7183&lt;25000,"&lt;$25k",IF(D7183&lt;50000,"$25k-$50k",IF(D7183&lt;75000,"$50k-$75k",IF(D7183&lt;100000,"$75k-$100k","$100k+")))))</x:f>
        <x:v>$25k-$50k</x:v>
      </x:c>
      <x:c r="P7183" t="str">
        <x:f>IF(E7183="","Unknown",IF(E7183&lt;10,"&lt;10",IF(E7183&lt;20,"10-&lt;20",IF(E7183&lt;25,"20-&lt;25",IF(E7183&lt;35,"25-&lt;35","35+")))))</x:f>
        <x:v>25-&lt;35</x:v>
      </x:c>
    </x:row>
    <x:row r="7184">
      <x:c r="A7184" t="str">
        <x:v>SYN0007183</x:v>
      </x:c>
      <x:c r="B7184" s="12" t="n">
        <x:v>43195</x:v>
      </x:c>
      <x:c r="C7184" s="18" t="n">
        <x:v>13478</x:v>
      </x:c>
      <x:c r="D7184" s="18" t="n">
        <x:v>41174</x:v>
      </x:c>
      <x:c r="E7184" s="18" t="n">
        <x:v>9.78</x:v>
      </x:c>
      <x:c r="F7184" s="18" t="n">
        <x:v>7.53</x:v>
      </x:c>
      <x:c r="G7184" t="n">
        <x:v>36</x:v>
      </x:c>
      <x:c r="H7184" t="str">
        <x:v>A</x:v>
      </x:c>
      <x:c r="I7184" t="str">
        <x:v>&lt;1 year</x:v>
      </x:c>
      <x:c r="J7184" t="str">
        <x:v>OWN</x:v>
      </x:c>
      <x:c r="K7184" t="str">
        <x:v>debt_consolidation</x:v>
      </x:c>
      <x:c r="L7184" t="n">
        <x:v>0</x:v>
      </x:c>
      <x:c r="M7184" t="n">
        <x:v>0</x:v>
      </x:c>
      <x:c r="N7184" t="str">
        <x:v>Fully Paid</x:v>
      </x:c>
      <x:c r="O7184" t="str">
        <x:f>IF(D7184="","Unknown",IF(D7184&lt;25000,"&lt;$25k",IF(D7184&lt;50000,"$25k-$50k",IF(D7184&lt;75000,"$50k-$75k",IF(D7184&lt;100000,"$75k-$100k","$100k+")))))</x:f>
        <x:v>$25k-$50k</x:v>
      </x:c>
      <x:c r="P7184" t="str">
        <x:f>IF(E7184="","Unknown",IF(E7184&lt;10,"&lt;10",IF(E7184&lt;20,"10-&lt;20",IF(E7184&lt;25,"20-&lt;25",IF(E7184&lt;35,"25-&lt;35","35+")))))</x:f>
        <x:v>&lt;10</x:v>
      </x:c>
    </x:row>
    <x:row r="7185">
      <x:c r="A7185" t="str">
        <x:v>SYN0007184</x:v>
      </x:c>
      <x:c r="B7185" s="12" t="n">
        <x:v>41335</x:v>
      </x:c>
      <x:c r="C7185" s="18" t="n">
        <x:v>10384</x:v>
      </x:c>
      <x:c r="D7185" s="18" t="n">
        <x:v>46826</x:v>
      </x:c>
      <x:c r="E7185" s="18" t="n">
        <x:v>11.03</x:v>
      </x:c>
      <x:c r="F7185" s="18" t="n">
        <x:v>9.38</x:v>
      </x:c>
      <x:c r="G7185" t="n">
        <x:v>60</x:v>
      </x:c>
      <x:c r="H7185" t="str">
        <x:v>B</x:v>
      </x:c>
      <x:c r="I7185" t="str">
        <x:v>10+ years</x:v>
      </x:c>
      <x:c r="J7185" t="str">
        <x:v>MORTGAGE</x:v>
      </x:c>
      <x:c r="K7185" t="str">
        <x:v>major_purchase</x:v>
      </x:c>
      <x:c r="L7185" t="n">
        <x:v>2</x:v>
      </x:c>
      <x:c r="M7185" t="n">
        <x:v>0</x:v>
      </x:c>
      <x:c r="N7185" t="str">
        <x:v>Fully Paid</x:v>
      </x:c>
      <x:c r="O7185" t="str">
        <x:f>IF(D7185="","Unknown",IF(D7185&lt;25000,"&lt;$25k",IF(D7185&lt;50000,"$25k-$50k",IF(D7185&lt;75000,"$50k-$75k",IF(D7185&lt;100000,"$75k-$100k","$100k+")))))</x:f>
        <x:v>$25k-$50k</x:v>
      </x:c>
      <x:c r="P7185" t="str">
        <x:f>IF(E7185="","Unknown",IF(E7185&lt;10,"&lt;10",IF(E7185&lt;20,"10-&lt;20",IF(E7185&lt;25,"20-&lt;25",IF(E7185&lt;35,"25-&lt;35","35+")))))</x:f>
        <x:v>10-&lt;20</x:v>
      </x:c>
    </x:row>
    <x:row r="7186">
      <x:c r="A7186" t="str">
        <x:v>SYN0007185</x:v>
      </x:c>
      <x:c r="B7186" s="12" t="n">
        <x:v>43285</x:v>
      </x:c>
      <x:c r="C7186" s="18" t="n">
        <x:v>17954</x:v>
      </x:c>
      <x:c r="D7186" s="18" t="n">
        <x:v>27529</x:v>
      </x:c>
      <x:c r="E7186" s="18" t="n">
        <x:v>9.44</x:v>
      </x:c>
      <x:c r="F7186" s="18" t="n">
        <x:v>15.6</x:v>
      </x:c>
      <x:c r="G7186" t="n">
        <x:v>60</x:v>
      </x:c>
      <x:c r="H7186" t="str">
        <x:v>D</x:v>
      </x:c>
      <x:c r="I7186" t="str">
        <x:v>4-6 years</x:v>
      </x:c>
      <x:c r="J7186" t="str">
        <x:v>MORTGAGE</x:v>
      </x:c>
      <x:c r="K7186" t="str">
        <x:v>credit_card</x:v>
      </x:c>
      <x:c r="L7186" t="n">
        <x:v>0</x:v>
      </x:c>
      <x:c r="M7186" t="n">
        <x:v>0</x:v>
      </x:c>
      <x:c r="N7186" t="str">
        <x:v>Fully Paid</x:v>
      </x:c>
      <x:c r="O7186" t="str">
        <x:f>IF(D7186="","Unknown",IF(D7186&lt;25000,"&lt;$25k",IF(D7186&lt;50000,"$25k-$50k",IF(D7186&lt;75000,"$50k-$75k",IF(D7186&lt;100000,"$75k-$100k","$100k+")))))</x:f>
        <x:v>$25k-$50k</x:v>
      </x:c>
      <x:c r="P7186" t="str">
        <x:f>IF(E7186="","Unknown",IF(E7186&lt;10,"&lt;10",IF(E7186&lt;20,"10-&lt;20",IF(E7186&lt;25,"20-&lt;25",IF(E7186&lt;35,"25-&lt;35","35+")))))</x:f>
        <x:v>&lt;10</x:v>
      </x:c>
    </x:row>
    <x:row r="7187">
      <x:c r="A7187" t="str">
        <x:v>SYN0007186</x:v>
      </x:c>
      <x:c r="B7187" s="12" t="n">
        <x:v>41935</x:v>
      </x:c>
      <x:c r="C7187" s="18" t="n">
        <x:v>16201</x:v>
      </x:c>
      <x:c r="D7187" s="18" t="n">
        <x:v>54559</x:v>
      </x:c>
      <x:c r="E7187" s="18" t="n">
        <x:v>35.71</x:v>
      </x:c>
      <x:c r="F7187" s="18" t="n">
        <x:v>22</x:v>
      </x:c>
      <x:c r="G7187" t="n">
        <x:v>36</x:v>
      </x:c>
      <x:c r="H7187" t="str">
        <x:v>F</x:v>
      </x:c>
      <x:c r="I7187" t="str">
        <x:v>1-3 years</x:v>
      </x:c>
      <x:c r="J7187" t="str">
        <x:v>MORTGAGE</x:v>
      </x:c>
      <x:c r="K7187" t="str">
        <x:v>major_purchase</x:v>
      </x:c>
      <x:c r="L7187" t="n">
        <x:v>0</x:v>
      </x:c>
      <x:c r="M7187" t="n">
        <x:v>0</x:v>
      </x:c>
      <x:c r="N7187" t="str">
        <x:v>Fully Paid</x:v>
      </x:c>
      <x:c r="O7187" t="str">
        <x:f>IF(D7187="","Unknown",IF(D7187&lt;25000,"&lt;$25k",IF(D7187&lt;50000,"$25k-$50k",IF(D7187&lt;75000,"$50k-$75k",IF(D7187&lt;100000,"$75k-$100k","$100k+")))))</x:f>
        <x:v>$50k-$75k</x:v>
      </x:c>
      <x:c r="P7187" t="str">
        <x:f>IF(E7187="","Unknown",IF(E7187&lt;10,"&lt;10",IF(E7187&lt;20,"10-&lt;20",IF(E7187&lt;25,"20-&lt;25",IF(E7187&lt;35,"25-&lt;35","35+")))))</x:f>
        <x:v>35+</x:v>
      </x:c>
    </x:row>
    <x:row r="7188">
      <x:c r="A7188" t="str">
        <x:v>SYN0007187</x:v>
      </x:c>
      <x:c r="B7188" s="12" t="n">
        <x:v>42445</x:v>
      </x:c>
      <x:c r="C7188" s="18" t="n">
        <x:v>12826</x:v>
      </x:c>
      <x:c r="D7188" s="18" t="n">
        <x:v>46885</x:v>
      </x:c>
      <x:c r="E7188" s="18" t="n">
        <x:v>33.93</x:v>
      </x:c>
      <x:c r="F7188" s="18" t="n">
        <x:v>6.58</x:v>
      </x:c>
      <x:c r="G7188" t="n">
        <x:v>36</x:v>
      </x:c>
      <x:c r="H7188" t="str">
        <x:v>A</x:v>
      </x:c>
      <x:c r="I7188" t="str">
        <x:v>4-6 years</x:v>
      </x:c>
      <x:c r="J7188" t="str">
        <x:v>RENT</x:v>
      </x:c>
      <x:c r="K7188" t="str">
        <x:v>other</x:v>
      </x:c>
      <x:c r="L7188" t="n">
        <x:v>1</x:v>
      </x:c>
      <x:c r="M7188" t="n">
        <x:v>0</x:v>
      </x:c>
      <x:c r="N7188" t="str">
        <x:v>Fully Paid</x:v>
      </x:c>
      <x:c r="O7188" t="str">
        <x:f>IF(D7188="","Unknown",IF(D7188&lt;25000,"&lt;$25k",IF(D7188&lt;50000,"$25k-$50k",IF(D7188&lt;75000,"$50k-$75k",IF(D7188&lt;100000,"$75k-$100k","$100k+")))))</x:f>
        <x:v>$25k-$50k</x:v>
      </x:c>
      <x:c r="P7188" t="str">
        <x:f>IF(E7188="","Unknown",IF(E7188&lt;10,"&lt;10",IF(E7188&lt;20,"10-&lt;20",IF(E7188&lt;25,"20-&lt;25",IF(E7188&lt;35,"25-&lt;35","35+")))))</x:f>
        <x:v>25-&lt;35</x:v>
      </x:c>
    </x:row>
    <x:row r="7189">
      <x:c r="A7189" t="str">
        <x:v>SYN0007188</x:v>
      </x:c>
      <x:c r="B7189" s="12" t="n">
        <x:v>41905</x:v>
      </x:c>
      <x:c r="C7189" s="18" t="n">
        <x:v>17998</x:v>
      </x:c>
      <x:c r="D7189" s="18" t="n">
        <x:v>111326</x:v>
      </x:c>
      <x:c r="E7189" s="18" t="n">
        <x:v>21.99</x:v>
      </x:c>
      <x:c r="F7189" s="18" t="n">
        <x:v>7.53</x:v>
      </x:c>
      <x:c r="G7189" t="n">
        <x:v>36</x:v>
      </x:c>
      <x:c r="H7189" t="str">
        <x:v>B</x:v>
      </x:c>
      <x:c r="I7189" t="str">
        <x:v>10+ years</x:v>
      </x:c>
      <x:c r="J7189" t="str">
        <x:v>RENT</x:v>
      </x:c>
      <x:c r="K7189" t="str">
        <x:v>home_improvement</x:v>
      </x:c>
      <x:c r="L7189" t="n">
        <x:v>0</x:v>
      </x:c>
      <x:c r="M7189" t="n">
        <x:v>0</x:v>
      </x:c>
      <x:c r="N7189" t="str">
        <x:v>Fully Paid</x:v>
      </x:c>
      <x:c r="O7189" t="str">
        <x:f>IF(D7189="","Unknown",IF(D7189&lt;25000,"&lt;$25k",IF(D7189&lt;50000,"$25k-$50k",IF(D7189&lt;75000,"$50k-$75k",IF(D7189&lt;100000,"$75k-$100k","$100k+")))))</x:f>
        <x:v>$100k+</x:v>
      </x:c>
      <x:c r="P7189" t="str">
        <x:f>IF(E7189="","Unknown",IF(E7189&lt;10,"&lt;10",IF(E7189&lt;20,"10-&lt;20",IF(E7189&lt;25,"20-&lt;25",IF(E7189&lt;35,"25-&lt;35","35+")))))</x:f>
        <x:v>20-&lt;25</x:v>
      </x:c>
    </x:row>
    <x:row r="7190">
      <x:c r="A7190" t="str">
        <x:v>SYN0007189</x:v>
      </x:c>
      <x:c r="B7190" s="12" t="n">
        <x:v>43315</x:v>
      </x:c>
      <x:c r="C7190" s="18" t="n">
        <x:v>8043</x:v>
      </x:c>
      <x:c r="D7190" s="18" t="n">
        <x:v>72927</x:v>
      </x:c>
      <x:c r="E7190" s="18" t="n">
        <x:v>18.14</x:v>
      </x:c>
      <x:c r="F7190" s="18" t="n">
        <x:v>6.7</x:v>
      </x:c>
      <x:c r="G7190" t="n">
        <x:v>36</x:v>
      </x:c>
      <x:c r="H7190" t="str">
        <x:v>A</x:v>
      </x:c>
      <x:c r="I7190" t="str">
        <x:v>7-9 years</x:v>
      </x:c>
      <x:c r="J7190" t="str">
        <x:v>MORTGAGE</x:v>
      </x:c>
      <x:c r="K7190" t="str">
        <x:v>debt_consolidation</x:v>
      </x:c>
      <x:c r="L7190" t="n">
        <x:v>0</x:v>
      </x:c>
      <x:c r="M7190" t="n">
        <x:v>0</x:v>
      </x:c>
      <x:c r="N7190" t="str">
        <x:v>Fully Paid</x:v>
      </x:c>
      <x:c r="O7190" t="str">
        <x:f>IF(D7190="","Unknown",IF(D7190&lt;25000,"&lt;$25k",IF(D7190&lt;50000,"$25k-$50k",IF(D7190&lt;75000,"$50k-$75k",IF(D7190&lt;100000,"$75k-$100k","$100k+")))))</x:f>
        <x:v>$50k-$75k</x:v>
      </x:c>
      <x:c r="P7190" t="str">
        <x:f>IF(E7190="","Unknown",IF(E7190&lt;10,"&lt;10",IF(E7190&lt;20,"10-&lt;20",IF(E7190&lt;25,"20-&lt;25",IF(E7190&lt;35,"25-&lt;35","35+")))))</x:f>
        <x:v>10-&lt;20</x:v>
      </x:c>
    </x:row>
    <x:row r="7191">
      <x:c r="A7191" t="str">
        <x:v>SYN0007190</x:v>
      </x:c>
      <x:c r="B7191" s="12" t="n">
        <x:v>42085</x:v>
      </x:c>
      <x:c r="C7191" s="18" t="n">
        <x:v>8421</x:v>
      </x:c>
      <x:c r="D7191" s="18" t="n">
        <x:v>47610</x:v>
      </x:c>
      <x:c r="E7191" s="18" t="n">
        <x:v>14.69</x:v>
      </x:c>
      <x:c r="F7191" s="18" t="n">
        <x:v>11.84</x:v>
      </x:c>
      <x:c r="G7191" t="n">
        <x:v>36</x:v>
      </x:c>
      <x:c r="H7191" t="str">
        <x:v>C</x:v>
      </x:c>
      <x:c r="I7191" t="str">
        <x:v>1-3 years</x:v>
      </x:c>
      <x:c r="J7191" t="str">
        <x:v>OWN</x:v>
      </x:c>
      <x:c r="K7191" t="str">
        <x:v>credit_card</x:v>
      </x:c>
      <x:c r="L7191" t="n">
        <x:v>1</x:v>
      </x:c>
      <x:c r="M7191" t="n">
        <x:v>0</x:v>
      </x:c>
      <x:c r="N7191" t="str">
        <x:v>Fully Paid</x:v>
      </x:c>
      <x:c r="O7191" t="str">
        <x:f>IF(D7191="","Unknown",IF(D7191&lt;25000,"&lt;$25k",IF(D7191&lt;50000,"$25k-$50k",IF(D7191&lt;75000,"$50k-$75k",IF(D7191&lt;100000,"$75k-$100k","$100k+")))))</x:f>
        <x:v>$25k-$50k</x:v>
      </x:c>
      <x:c r="P7191" t="str">
        <x:f>IF(E7191="","Unknown",IF(E7191&lt;10,"&lt;10",IF(E7191&lt;20,"10-&lt;20",IF(E7191&lt;25,"20-&lt;25",IF(E7191&lt;35,"25-&lt;35","35+")))))</x:f>
        <x:v>10-&lt;20</x:v>
      </x:c>
    </x:row>
    <x:row r="7192">
      <x:c r="A7192" t="str">
        <x:v>SYN0007191</x:v>
      </x:c>
      <x:c r="B7192" s="12" t="n">
        <x:v>42535</x:v>
      </x:c>
      <x:c r="C7192" s="18" t="n">
        <x:v>33877</x:v>
      </x:c>
      <x:c r="D7192" s="18" t="n">
        <x:v>48749</x:v>
      </x:c>
      <x:c r="E7192" s="18" t="n">
        <x:v>25.3</x:v>
      </x:c>
      <x:c r="F7192" s="18" t="n">
        <x:v>9.08</x:v>
      </x:c>
      <x:c r="G7192" t="n">
        <x:v>36</x:v>
      </x:c>
      <x:c r="H7192" t="str">
        <x:v>B</x:v>
      </x:c>
      <x:c r="I7192" t="str">
        <x:v>7-9 years</x:v>
      </x:c>
      <x:c r="J7192" t="str">
        <x:v>MORTGAGE</x:v>
      </x:c>
      <x:c r="K7192" t="str">
        <x:v>credit_card</x:v>
      </x:c>
      <x:c r="L7192" t="n">
        <x:v>0</x:v>
      </x:c>
      <x:c r="M7192" t="n">
        <x:v>0</x:v>
      </x:c>
      <x:c r="N7192" t="str">
        <x:v>Fully Paid</x:v>
      </x:c>
      <x:c r="O7192" t="str">
        <x:f>IF(D7192="","Unknown",IF(D7192&lt;25000,"&lt;$25k",IF(D7192&lt;50000,"$25k-$50k",IF(D7192&lt;75000,"$50k-$75k",IF(D7192&lt;100000,"$75k-$100k","$100k+")))))</x:f>
        <x:v>$25k-$50k</x:v>
      </x:c>
      <x:c r="P7192" t="str">
        <x:f>IF(E7192="","Unknown",IF(E7192&lt;10,"&lt;10",IF(E7192&lt;20,"10-&lt;20",IF(E7192&lt;25,"20-&lt;25",IF(E7192&lt;35,"25-&lt;35","35+")))))</x:f>
        <x:v>25-&lt;35</x:v>
      </x:c>
    </x:row>
    <x:row r="7193">
      <x:c r="A7193" t="str">
        <x:v>SYN0007192</x:v>
      </x:c>
      <x:c r="B7193" s="12" t="n">
        <x:v>41725</x:v>
      </x:c>
      <x:c r="C7193" s="18" t="n">
        <x:v>10936</x:v>
      </x:c>
      <x:c r="D7193" s="18" t="n">
        <x:v>86891</x:v>
      </x:c>
      <x:c r="E7193" s="18" t="n">
        <x:v>10.59</x:v>
      </x:c>
      <x:c r="F7193" s="18" t="n">
        <x:v>12.27</x:v>
      </x:c>
      <x:c r="G7193" t="n">
        <x:v>36</x:v>
      </x:c>
      <x:c r="H7193" t="str">
        <x:v>C</x:v>
      </x:c>
      <x:c r="I7193" t="str">
        <x:v>4-6 years</x:v>
      </x:c>
      <x:c r="J7193" t="str">
        <x:v>RENT</x:v>
      </x:c>
      <x:c r="K7193" t="str">
        <x:v>debt_consolidation</x:v>
      </x:c>
      <x:c r="L7193" t="n">
        <x:v>1</x:v>
      </x:c>
      <x:c r="M7193" t="n">
        <x:v>1</x:v>
      </x:c>
      <x:c r="N7193" t="str">
        <x:v>Charged Off</x:v>
      </x:c>
      <x:c r="O7193" t="str">
        <x:f>IF(D7193="","Unknown",IF(D7193&lt;25000,"&lt;$25k",IF(D7193&lt;50000,"$25k-$50k",IF(D7193&lt;75000,"$50k-$75k",IF(D7193&lt;100000,"$75k-$100k","$100k+")))))</x:f>
        <x:v>$75k-$100k</x:v>
      </x:c>
      <x:c r="P7193" t="str">
        <x:f>IF(E7193="","Unknown",IF(E7193&lt;10,"&lt;10",IF(E7193&lt;20,"10-&lt;20",IF(E7193&lt;25,"20-&lt;25",IF(E7193&lt;35,"25-&lt;35","35+")))))</x:f>
        <x:v>10-&lt;20</x:v>
      </x:c>
    </x:row>
    <x:row r="7194">
      <x:c r="A7194" t="str">
        <x:v>SYN0007193</x:v>
      </x:c>
      <x:c r="B7194" s="12" t="n">
        <x:v>42535</x:v>
      </x:c>
      <x:c r="C7194" s="18" t="n">
        <x:v>16765</x:v>
      </x:c>
      <x:c r="D7194" s="18" t="n">
        <x:v>50007</x:v>
      </x:c>
      <x:c r="E7194" s="18" t="n">
        <x:v>21.57</x:v>
      </x:c>
      <x:c r="F7194" s="18" t="n">
        <x:v>28.69</x:v>
      </x:c>
      <x:c r="G7194" t="n">
        <x:v>36</x:v>
      </x:c>
      <x:c r="H7194" t="str">
        <x:v>G</x:v>
      </x:c>
      <x:c r="I7194" t="str">
        <x:v>10+ years</x:v>
      </x:c>
      <x:c r="J7194" t="str">
        <x:v>OWN</x:v>
      </x:c>
      <x:c r="K7194" t="str">
        <x:v>major_purchase</x:v>
      </x:c>
      <x:c r="L7194" t="n">
        <x:v>0</x:v>
      </x:c>
      <x:c r="M7194" t="n">
        <x:v>0</x:v>
      </x:c>
      <x:c r="N7194" t="str">
        <x:v>Fully Paid</x:v>
      </x:c>
      <x:c r="O7194" t="str">
        <x:f>IF(D7194="","Unknown",IF(D7194&lt;25000,"&lt;$25k",IF(D7194&lt;50000,"$25k-$50k",IF(D7194&lt;75000,"$50k-$75k",IF(D7194&lt;100000,"$75k-$100k","$100k+")))))</x:f>
        <x:v>$50k-$75k</x:v>
      </x:c>
      <x:c r="P7194" t="str">
        <x:f>IF(E7194="","Unknown",IF(E7194&lt;10,"&lt;10",IF(E7194&lt;20,"10-&lt;20",IF(E7194&lt;25,"20-&lt;25",IF(E7194&lt;35,"25-&lt;35","35+")))))</x:f>
        <x:v>20-&lt;25</x:v>
      </x:c>
    </x:row>
    <x:row r="7195">
      <x:c r="A7195" t="str">
        <x:v>SYN0007194</x:v>
      </x:c>
      <x:c r="B7195" s="12" t="n">
        <x:v>42715</x:v>
      </x:c>
      <x:c r="C7195" s="18" t="n">
        <x:v>8826</x:v>
      </x:c>
      <x:c r="D7195" s="18" t="n">
        <x:v>84742</x:v>
      </x:c>
      <x:c r="E7195" s="18" t="n">
        <x:v>23.67</x:v>
      </x:c>
      <x:c r="F7195" s="18" t="n">
        <x:v>20.06</x:v>
      </x:c>
      <x:c r="G7195" t="n">
        <x:v>60</x:v>
      </x:c>
      <x:c r="H7195" t="str">
        <x:v>F</x:v>
      </x:c>
      <x:c r="I7195" t="str">
        <x:v>1-3 years</x:v>
      </x:c>
      <x:c r="J7195" t="str">
        <x:v>RENT</x:v>
      </x:c>
      <x:c r="K7195" t="str">
        <x:v>debt_consolidation</x:v>
      </x:c>
      <x:c r="L7195" t="n">
        <x:v>1</x:v>
      </x:c>
      <x:c r="M7195" t="n">
        <x:v>1</x:v>
      </x:c>
      <x:c r="N7195" t="str">
        <x:v>Charged Off</x:v>
      </x:c>
      <x:c r="O7195" t="str">
        <x:f>IF(D7195="","Unknown",IF(D7195&lt;25000,"&lt;$25k",IF(D7195&lt;50000,"$25k-$50k",IF(D7195&lt;75000,"$50k-$75k",IF(D7195&lt;100000,"$75k-$100k","$100k+")))))</x:f>
        <x:v>$75k-$100k</x:v>
      </x:c>
      <x:c r="P7195" t="str">
        <x:f>IF(E7195="","Unknown",IF(E7195&lt;10,"&lt;10",IF(E7195&lt;20,"10-&lt;20",IF(E7195&lt;25,"20-&lt;25",IF(E7195&lt;35,"25-&lt;35","35+")))))</x:f>
        <x:v>20-&lt;25</x:v>
      </x:c>
    </x:row>
    <x:row r="7196">
      <x:c r="A7196" t="str">
        <x:v>SYN0007195</x:v>
      </x:c>
      <x:c r="B7196" s="12" t="n">
        <x:v>43255</x:v>
      </x:c>
      <x:c r="C7196" s="18" t="n">
        <x:v>10560</x:v>
      </x:c>
      <x:c r="D7196" s="18" t="n">
        <x:v>92068</x:v>
      </x:c>
      <x:c r="E7196" s="18" t="n">
        <x:v>23.11</x:v>
      </x:c>
      <x:c r="F7196" s="18" t="n">
        <x:v>12.45</x:v>
      </x:c>
      <x:c r="G7196" t="n">
        <x:v>36</x:v>
      </x:c>
      <x:c r="H7196" t="str">
        <x:v>C</x:v>
      </x:c>
      <x:c r="I7196" t="str">
        <x:v>7-9 years</x:v>
      </x:c>
      <x:c r="J7196" t="str">
        <x:v>RENT</x:v>
      </x:c>
      <x:c r="K7196" t="str">
        <x:v>debt_consolidation</x:v>
      </x:c>
      <x:c r="L7196" t="n">
        <x:v>0</x:v>
      </x:c>
      <x:c r="M7196" t="n">
        <x:v>0</x:v>
      </x:c>
      <x:c r="N7196" t="str">
        <x:v>Fully Paid</x:v>
      </x:c>
      <x:c r="O7196" t="str">
        <x:f>IF(D7196="","Unknown",IF(D7196&lt;25000,"&lt;$25k",IF(D7196&lt;50000,"$25k-$50k",IF(D7196&lt;75000,"$50k-$75k",IF(D7196&lt;100000,"$75k-$100k","$100k+")))))</x:f>
        <x:v>$75k-$100k</x:v>
      </x:c>
      <x:c r="P7196" t="str">
        <x:f>IF(E7196="","Unknown",IF(E7196&lt;10,"&lt;10",IF(E7196&lt;20,"10-&lt;20",IF(E7196&lt;25,"20-&lt;25",IF(E7196&lt;35,"25-&lt;35","35+")))))</x:f>
        <x:v>20-&lt;25</x:v>
      </x:c>
    </x:row>
    <x:row r="7197">
      <x:c r="A7197" t="str">
        <x:v>SYN0007196</x:v>
      </x:c>
      <x:c r="B7197" s="12" t="n">
        <x:v>41935</x:v>
      </x:c>
      <x:c r="C7197" s="18" t="n">
        <x:v>12014</x:v>
      </x:c>
      <x:c r="D7197" s="18" t="n">
        <x:v>26672</x:v>
      </x:c>
      <x:c r="E7197" s="18" t="n">
        <x:v>28.27</x:v>
      </x:c>
      <x:c r="F7197" s="18" t="n">
        <x:v>11.72</x:v>
      </x:c>
      <x:c r="G7197" t="n">
        <x:v>60</x:v>
      </x:c>
      <x:c r="H7197" t="str">
        <x:v>C</x:v>
      </x:c>
      <x:c r="I7197" t="str">
        <x:v>10+ years</x:v>
      </x:c>
      <x:c r="J7197" t="str">
        <x:v>RENT</x:v>
      </x:c>
      <x:c r="K7197" t="str">
        <x:v>other</x:v>
      </x:c>
      <x:c r="L7197" t="n">
        <x:v>0</x:v>
      </x:c>
      <x:c r="M7197" t="n">
        <x:v>0</x:v>
      </x:c>
      <x:c r="N7197" t="str">
        <x:v>Fully Paid</x:v>
      </x:c>
      <x:c r="O7197" t="str">
        <x:f>IF(D7197="","Unknown",IF(D7197&lt;25000,"&lt;$25k",IF(D7197&lt;50000,"$25k-$50k",IF(D7197&lt;75000,"$50k-$75k",IF(D7197&lt;100000,"$75k-$100k","$100k+")))))</x:f>
        <x:v>$25k-$50k</x:v>
      </x:c>
      <x:c r="P7197" t="str">
        <x:f>IF(E7197="","Unknown",IF(E7197&lt;10,"&lt;10",IF(E7197&lt;20,"10-&lt;20",IF(E7197&lt;25,"20-&lt;25",IF(E7197&lt;35,"25-&lt;35","35+")))))</x:f>
        <x:v>25-&lt;35</x:v>
      </x:c>
    </x:row>
    <x:row r="7198">
      <x:c r="A7198" t="str">
        <x:v>SYN0007197</x:v>
      </x:c>
      <x:c r="B7198" s="12" t="n">
        <x:v>41275</x:v>
      </x:c>
      <x:c r="C7198" s="18" t="n">
        <x:v>18942</x:v>
      </x:c>
      <x:c r="D7198" s="18" t="n">
        <x:v>39771</x:v>
      </x:c>
      <x:c r="E7198" s="18" t="n">
        <x:v>16.26</x:v>
      </x:c>
      <x:c r="F7198" s="18" t="n">
        <x:v>15.24</x:v>
      </x:c>
      <x:c r="G7198" t="n">
        <x:v>36</x:v>
      </x:c>
      <x:c r="H7198" t="str">
        <x:v>D</x:v>
      </x:c>
      <x:c r="I7198" t="str">
        <x:v>10+ years</x:v>
      </x:c>
      <x:c r="J7198" t="str">
        <x:v>RENT</x:v>
      </x:c>
      <x:c r="K7198" t="str">
        <x:v>other</x:v>
      </x:c>
      <x:c r="L7198" t="n">
        <x:v>1</x:v>
      </x:c>
      <x:c r="M7198" t="n">
        <x:v>0</x:v>
      </x:c>
      <x:c r="N7198" t="str">
        <x:v>Fully Paid</x:v>
      </x:c>
      <x:c r="O7198" t="str">
        <x:f>IF(D7198="","Unknown",IF(D7198&lt;25000,"&lt;$25k",IF(D7198&lt;50000,"$25k-$50k",IF(D7198&lt;75000,"$50k-$75k",IF(D7198&lt;100000,"$75k-$100k","$100k+")))))</x:f>
        <x:v>$25k-$50k</x:v>
      </x:c>
      <x:c r="P7198" t="str">
        <x:f>IF(E7198="","Unknown",IF(E7198&lt;10,"&lt;10",IF(E7198&lt;20,"10-&lt;20",IF(E7198&lt;25,"20-&lt;25",IF(E7198&lt;35,"25-&lt;35","35+")))))</x:f>
        <x:v>10-&lt;20</x:v>
      </x:c>
    </x:row>
    <x:row r="7199">
      <x:c r="A7199" t="str">
        <x:v>SYN0007198</x:v>
      </x:c>
      <x:c r="B7199" s="12" t="n">
        <x:v>41875</x:v>
      </x:c>
      <x:c r="C7199" s="18" t="n">
        <x:v>9750</x:v>
      </x:c>
      <x:c r="D7199" s="18" t="n">
        <x:v>13505</x:v>
      </x:c>
      <x:c r="E7199" s="18" t="n">
        <x:v>17.91</x:v>
      </x:c>
      <x:c r="F7199" s="18" t="n">
        <x:v>13.62</x:v>
      </x:c>
      <x:c r="G7199" t="n">
        <x:v>36</x:v>
      </x:c>
      <x:c r="H7199" t="str">
        <x:v>E</x:v>
      </x:c>
      <x:c r="I7199" t="str">
        <x:v>7-9 years</x:v>
      </x:c>
      <x:c r="J7199" t="str">
        <x:v>RENT</x:v>
      </x:c>
      <x:c r="K7199" t="str">
        <x:v>home_improvement</x:v>
      </x:c>
      <x:c r="L7199" t="n">
        <x:v>0</x:v>
      </x:c>
      <x:c r="M7199" t="n">
        <x:v>0</x:v>
      </x:c>
      <x:c r="N7199" t="str">
        <x:v>Fully Paid</x:v>
      </x:c>
      <x:c r="O7199" t="str">
        <x:f>IF(D7199="","Unknown",IF(D7199&lt;25000,"&lt;$25k",IF(D7199&lt;50000,"$25k-$50k",IF(D7199&lt;75000,"$50k-$75k",IF(D7199&lt;100000,"$75k-$100k","$100k+")))))</x:f>
        <x:v>&lt;$25k</x:v>
      </x:c>
      <x:c r="P7199" t="str">
        <x:f>IF(E7199="","Unknown",IF(E7199&lt;10,"&lt;10",IF(E7199&lt;20,"10-&lt;20",IF(E7199&lt;25,"20-&lt;25",IF(E7199&lt;35,"25-&lt;35","35+")))))</x:f>
        <x:v>10-&lt;20</x:v>
      </x:c>
    </x:row>
    <x:row r="7200">
      <x:c r="A7200" t="str">
        <x:v>SYN0007199</x:v>
      </x:c>
      <x:c r="B7200" s="12" t="n">
        <x:v>42565</x:v>
      </x:c>
      <x:c r="C7200" s="18" t="n">
        <x:v>24592</x:v>
      </x:c>
      <x:c r="D7200" s="18" t="n">
        <x:v>45756</x:v>
      </x:c>
      <x:c r="E7200" s="18" t="n">
        <x:v>18.69</x:v>
      </x:c>
      <x:c r="F7200" s="18" t="n">
        <x:v>8.35</x:v>
      </x:c>
      <x:c r="G7200" t="n">
        <x:v>60</x:v>
      </x:c>
      <x:c r="H7200" t="str">
        <x:v>C</x:v>
      </x:c>
      <x:c r="I7200" t="str">
        <x:v>10+ years</x:v>
      </x:c>
      <x:c r="J7200" t="str">
        <x:v>MORTGAGE</x:v>
      </x:c>
      <x:c r="K7200" t="str">
        <x:v>other</x:v>
      </x:c>
      <x:c r="L7200" t="n">
        <x:v>0</x:v>
      </x:c>
      <x:c r="M7200" t="n">
        <x:v>0</x:v>
      </x:c>
      <x:c r="N7200" t="str">
        <x:v>Fully Paid</x:v>
      </x:c>
      <x:c r="O7200" t="str">
        <x:f>IF(D7200="","Unknown",IF(D7200&lt;25000,"&lt;$25k",IF(D7200&lt;50000,"$25k-$50k",IF(D7200&lt;75000,"$50k-$75k",IF(D7200&lt;100000,"$75k-$100k","$100k+")))))</x:f>
        <x:v>$25k-$50k</x:v>
      </x:c>
      <x:c r="P7200" t="str">
        <x:f>IF(E7200="","Unknown",IF(E7200&lt;10,"&lt;10",IF(E7200&lt;20,"10-&lt;20",IF(E7200&lt;25,"20-&lt;25",IF(E7200&lt;35,"25-&lt;35","35+")))))</x:f>
        <x:v>10-&lt;20</x:v>
      </x:c>
    </x:row>
    <x:row r="7201">
      <x:c r="A7201" t="str">
        <x:v>SYN0007200</x:v>
      </x:c>
      <x:c r="B7201" s="12" t="n">
        <x:v>41335</x:v>
      </x:c>
      <x:c r="C7201" s="18" t="n">
        <x:v>10918</x:v>
      </x:c>
      <x:c r="D7201" s="18" t="n">
        <x:v>81679</x:v>
      </x:c>
      <x:c r="E7201" s="18" t="n">
        <x:v>18.38</x:v>
      </x:c>
      <x:c r="F7201" s="18" t="n">
        <x:v>10.6</x:v>
      </x:c>
      <x:c r="G7201" t="n">
        <x:v>60</x:v>
      </x:c>
      <x:c r="H7201" t="str">
        <x:v>C</x:v>
      </x:c>
      <x:c r="I7201" t="str">
        <x:v>4-6 years</x:v>
      </x:c>
      <x:c r="J7201" t="str">
        <x:v>MORTGAGE</x:v>
      </x:c>
      <x:c r="K7201" t="str">
        <x:v>credit_card</x:v>
      </x:c>
      <x:c r="L7201" t="n">
        <x:v>1</x:v>
      </x:c>
      <x:c r="M7201" t="n">
        <x:v>0</x:v>
      </x:c>
      <x:c r="N7201" t="str">
        <x:v>Fully Paid</x:v>
      </x:c>
      <x:c r="O7201" t="str">
        <x:f>IF(D7201="","Unknown",IF(D7201&lt;25000,"&lt;$25k",IF(D7201&lt;50000,"$25k-$50k",IF(D7201&lt;75000,"$50k-$75k",IF(D7201&lt;100000,"$75k-$100k","$100k+")))))</x:f>
        <x:v>$75k-$100k</x:v>
      </x:c>
      <x:c r="P7201" t="str">
        <x:f>IF(E7201="","Unknown",IF(E7201&lt;10,"&lt;10",IF(E7201&lt;20,"10-&lt;20",IF(E7201&lt;25,"20-&lt;25",IF(E7201&lt;35,"25-&lt;35","35+")))))</x:f>
        <x:v>10-&lt;20</x:v>
      </x:c>
    </x:row>
    <x:row r="7202">
      <x:c r="A7202" t="str">
        <x:v>SYN0007201</x:v>
      </x:c>
      <x:c r="B7202" s="12" t="n">
        <x:v>41935</x:v>
      </x:c>
      <x:c r="C7202" s="18" t="n">
        <x:v>4515</x:v>
      </x:c>
      <x:c r="D7202" s="18" t="n">
        <x:v>46012</x:v>
      </x:c>
      <x:c r="E7202" s="18" t="n">
        <x:v>18.8</x:v>
      </x:c>
      <x:c r="F7202" s="18" t="n">
        <x:v>14.16</x:v>
      </x:c>
      <x:c r="G7202" t="n">
        <x:v>60</x:v>
      </x:c>
      <x:c r="H7202" t="str">
        <x:v>D</x:v>
      </x:c>
      <x:c r="I7202" t="str">
        <x:v>4-6 years</x:v>
      </x:c>
      <x:c r="J7202" t="str">
        <x:v>MORTGAGE</x:v>
      </x:c>
      <x:c r="K7202" t="str">
        <x:v>major_purchase</x:v>
      </x:c>
      <x:c r="L7202" t="n">
        <x:v>2</x:v>
      </x:c>
      <x:c r="M7202" t="n">
        <x:v>0</x:v>
      </x:c>
      <x:c r="N7202" t="str">
        <x:v>Fully Paid</x:v>
      </x:c>
      <x:c r="O7202" t="str">
        <x:f>IF(D7202="","Unknown",IF(D7202&lt;25000,"&lt;$25k",IF(D7202&lt;50000,"$25k-$50k",IF(D7202&lt;75000,"$50k-$75k",IF(D7202&lt;100000,"$75k-$100k","$100k+")))))</x:f>
        <x:v>$25k-$50k</x:v>
      </x:c>
      <x:c r="P7202" t="str">
        <x:f>IF(E7202="","Unknown",IF(E7202&lt;10,"&lt;10",IF(E7202&lt;20,"10-&lt;20",IF(E7202&lt;25,"20-&lt;25",IF(E7202&lt;35,"25-&lt;35","35+")))))</x:f>
        <x:v>10-&lt;20</x:v>
      </x:c>
    </x:row>
    <x:row r="7203">
      <x:c r="A7203" t="str">
        <x:v>SYN0007202</x:v>
      </x:c>
      <x:c r="B7203" s="12" t="n">
        <x:v>43195</x:v>
      </x:c>
      <x:c r="C7203" s="18" t="n">
        <x:v>8932</x:v>
      </x:c>
      <x:c r="D7203" s="18" t="n">
        <x:v>50798</x:v>
      </x:c>
      <x:c r="E7203" s="18" t="n">
        <x:v>9.56</x:v>
      </x:c>
      <x:c r="F7203" s="18" t="n">
        <x:v>17.09</x:v>
      </x:c>
      <x:c r="G7203" t="n">
        <x:v>36</x:v>
      </x:c>
      <x:c r="H7203" t="str">
        <x:v>E</x:v>
      </x:c>
      <x:c r="I7203" t="str">
        <x:v>7-9 years</x:v>
      </x:c>
      <x:c r="J7203" t="str">
        <x:v>MORTGAGE</x:v>
      </x:c>
      <x:c r="K7203" t="str">
        <x:v>debt_consolidation</x:v>
      </x:c>
      <x:c r="L7203" t="n">
        <x:v>0</x:v>
      </x:c>
      <x:c r="M7203" t="n">
        <x:v>0</x:v>
      </x:c>
      <x:c r="N7203" t="str">
        <x:v>Fully Paid</x:v>
      </x:c>
      <x:c r="O7203" t="str">
        <x:f>IF(D7203="","Unknown",IF(D7203&lt;25000,"&lt;$25k",IF(D7203&lt;50000,"$25k-$50k",IF(D7203&lt;75000,"$50k-$75k",IF(D7203&lt;100000,"$75k-$100k","$100k+")))))</x:f>
        <x:v>$50k-$75k</x:v>
      </x:c>
      <x:c r="P7203" t="str">
        <x:f>IF(E7203="","Unknown",IF(E7203&lt;10,"&lt;10",IF(E7203&lt;20,"10-&lt;20",IF(E7203&lt;25,"20-&lt;25",IF(E7203&lt;35,"25-&lt;35","35+")))))</x:f>
        <x:v>&lt;10</x:v>
      </x:c>
    </x:row>
    <x:row r="7204">
      <x:c r="A7204" t="str">
        <x:v>SYN0007203</x:v>
      </x:c>
      <x:c r="B7204" s="12" t="n">
        <x:v>41695</x:v>
      </x:c>
      <x:c r="C7204" s="18" t="n">
        <x:v>26810</x:v>
      </x:c>
      <x:c r="D7204" s="18" t="n">
        <x:v>29416</x:v>
      </x:c>
      <x:c r="E7204" s="18" t="n">
        <x:v>15.96</x:v>
      </x:c>
      <x:c r="F7204" s="18" t="n">
        <x:v>6.43</x:v>
      </x:c>
      <x:c r="G7204" t="n">
        <x:v>36</x:v>
      </x:c>
      <x:c r="H7204" t="str">
        <x:v>A</x:v>
      </x:c>
      <x:c r="I7204" t="str">
        <x:v>4-6 years</x:v>
      </x:c>
      <x:c r="J7204" t="str">
        <x:v>OWN</x:v>
      </x:c>
      <x:c r="K7204" t="str">
        <x:v>debt_consolidation</x:v>
      </x:c>
      <x:c r="L7204" t="n">
        <x:v>0</x:v>
      </x:c>
      <x:c r="M7204" t="n">
        <x:v>0</x:v>
      </x:c>
      <x:c r="N7204" t="str">
        <x:v>Fully Paid</x:v>
      </x:c>
      <x:c r="O7204" t="str">
        <x:f>IF(D7204="","Unknown",IF(D7204&lt;25000,"&lt;$25k",IF(D7204&lt;50000,"$25k-$50k",IF(D7204&lt;75000,"$50k-$75k",IF(D7204&lt;100000,"$75k-$100k","$100k+")))))</x:f>
        <x:v>$25k-$50k</x:v>
      </x:c>
      <x:c r="P7204" t="str">
        <x:f>IF(E7204="","Unknown",IF(E7204&lt;10,"&lt;10",IF(E7204&lt;20,"10-&lt;20",IF(E7204&lt;25,"20-&lt;25",IF(E7204&lt;35,"25-&lt;35","35+")))))</x:f>
        <x:v>10-&lt;20</x:v>
      </x:c>
    </x:row>
    <x:row r="7205">
      <x:c r="A7205" t="str">
        <x:v>SYN0007204</x:v>
      </x:c>
      <x:c r="B7205" s="12" t="n">
        <x:v>41965</x:v>
      </x:c>
      <x:c r="C7205" s="18" t="n">
        <x:v>18230</x:v>
      </x:c>
      <x:c r="D7205" s="18" t="n">
        <x:v>25043</x:v>
      </x:c>
      <x:c r="E7205" s="18" t="n">
        <x:v>24.35</x:v>
      </x:c>
      <x:c r="F7205" s="18" t="n">
        <x:v>13.78</x:v>
      </x:c>
      <x:c r="G7205" t="n">
        <x:v>36</x:v>
      </x:c>
      <x:c r="H7205" t="str">
        <x:v>D</x:v>
      </x:c>
      <x:c r="I7205" t="str">
        <x:v>&lt;1 year</x:v>
      </x:c>
      <x:c r="J7205" t="str">
        <x:v>OWN</x:v>
      </x:c>
      <x:c r="K7205" t="str">
        <x:v>debt_consolidation</x:v>
      </x:c>
      <x:c r="L7205" t="n">
        <x:v>1</x:v>
      </x:c>
      <x:c r="M7205" t="n">
        <x:v>0</x:v>
      </x:c>
      <x:c r="N7205" t="str">
        <x:v>Fully Paid</x:v>
      </x:c>
      <x:c r="O7205" t="str">
        <x:f>IF(D7205="","Unknown",IF(D7205&lt;25000,"&lt;$25k",IF(D7205&lt;50000,"$25k-$50k",IF(D7205&lt;75000,"$50k-$75k",IF(D7205&lt;100000,"$75k-$100k","$100k+")))))</x:f>
        <x:v>$25k-$50k</x:v>
      </x:c>
      <x:c r="P7205" t="str">
        <x:f>IF(E7205="","Unknown",IF(E7205&lt;10,"&lt;10",IF(E7205&lt;20,"10-&lt;20",IF(E7205&lt;25,"20-&lt;25",IF(E7205&lt;35,"25-&lt;35","35+")))))</x:f>
        <x:v>20-&lt;25</x:v>
      </x:c>
    </x:row>
    <x:row r="7206">
      <x:c r="A7206" t="str">
        <x:v>SYN0007205</x:v>
      </x:c>
      <x:c r="B7206" s="12" t="n">
        <x:v>43075</x:v>
      </x:c>
      <x:c r="C7206" s="18" t="n">
        <x:v>9366</x:v>
      </x:c>
      <x:c r="D7206" s="18" t="n">
        <x:v>31726</x:v>
      </x:c>
      <x:c r="E7206" s="18" t="n">
        <x:v>15.5</x:v>
      </x:c>
      <x:c r="F7206" s="18" t="n">
        <x:v>13.01</x:v>
      </x:c>
      <x:c r="G7206" t="n">
        <x:v>60</x:v>
      </x:c>
      <x:c r="H7206" t="str">
        <x:v>C</x:v>
      </x:c>
      <x:c r="I7206" t="str">
        <x:v>4-6 years</x:v>
      </x:c>
      <x:c r="J7206" t="str">
        <x:v>MORTGAGE</x:v>
      </x:c>
      <x:c r="K7206" t="str">
        <x:v>credit_card</x:v>
      </x:c>
      <x:c r="L7206" t="n">
        <x:v>0</x:v>
      </x:c>
      <x:c r="M7206" t="n">
        <x:v>0</x:v>
      </x:c>
      <x:c r="N7206" t="str">
        <x:v>Fully Paid</x:v>
      </x:c>
      <x:c r="O7206" t="str">
        <x:f>IF(D7206="","Unknown",IF(D7206&lt;25000,"&lt;$25k",IF(D7206&lt;50000,"$25k-$50k",IF(D7206&lt;75000,"$50k-$75k",IF(D7206&lt;100000,"$75k-$100k","$100k+")))))</x:f>
        <x:v>$25k-$50k</x:v>
      </x:c>
      <x:c r="P7206" t="str">
        <x:f>IF(E7206="","Unknown",IF(E7206&lt;10,"&lt;10",IF(E7206&lt;20,"10-&lt;20",IF(E7206&lt;25,"20-&lt;25",IF(E7206&lt;35,"25-&lt;35","35+")))))</x:f>
        <x:v>10-&lt;20</x:v>
      </x:c>
    </x:row>
    <x:row r="7207">
      <x:c r="A7207" t="str">
        <x:v>SYN0007206</x:v>
      </x:c>
      <x:c r="B7207" s="12" t="n">
        <x:v>42205</x:v>
      </x:c>
      <x:c r="C7207" s="18" t="n">
        <x:v>25081</x:v>
      </x:c>
      <x:c r="D7207" s="18" t="n">
        <x:v>98198</x:v>
      </x:c>
      <x:c r="E7207" s="18" t="n">
        <x:v>10.02</x:v>
      </x:c>
      <x:c r="F7207" s="18" t="n">
        <x:v>17.7</x:v>
      </x:c>
      <x:c r="G7207" t="n">
        <x:v>60</x:v>
      </x:c>
      <x:c r="H7207" t="str">
        <x:v>D</x:v>
      </x:c>
      <x:c r="I7207" t="str">
        <x:v>4-6 years</x:v>
      </x:c>
      <x:c r="J7207" t="str">
        <x:v>RENT</x:v>
      </x:c>
      <x:c r="K7207" t="str">
        <x:v>debt_consolidation</x:v>
      </x:c>
      <x:c r="L7207" t="n">
        <x:v>0</x:v>
      </x:c>
      <x:c r="M7207" t="n">
        <x:v>0</x:v>
      </x:c>
      <x:c r="N7207" t="str">
        <x:v>Fully Paid</x:v>
      </x:c>
      <x:c r="O7207" t="str">
        <x:f>IF(D7207="","Unknown",IF(D7207&lt;25000,"&lt;$25k",IF(D7207&lt;50000,"$25k-$50k",IF(D7207&lt;75000,"$50k-$75k",IF(D7207&lt;100000,"$75k-$100k","$100k+")))))</x:f>
        <x:v>$75k-$100k</x:v>
      </x:c>
      <x:c r="P7207" t="str">
        <x:f>IF(E7207="","Unknown",IF(E7207&lt;10,"&lt;10",IF(E7207&lt;20,"10-&lt;20",IF(E7207&lt;25,"20-&lt;25",IF(E7207&lt;35,"25-&lt;35","35+")))))</x:f>
        <x:v>10-&lt;20</x:v>
      </x:c>
    </x:row>
    <x:row r="7208">
      <x:c r="A7208" t="str">
        <x:v>SYN0007207</x:v>
      </x:c>
      <x:c r="B7208" s="12" t="n">
        <x:v>41275</x:v>
      </x:c>
      <x:c r="C7208" s="18" t="n">
        <x:v>10082</x:v>
      </x:c>
      <x:c r="D7208" s="18" t="n">
        <x:v>38482</x:v>
      </x:c>
      <x:c r="E7208" s="18" t="n">
        <x:v>23.29</x:v>
      </x:c>
      <x:c r="F7208" s="18" t="n">
        <x:v>18.14</x:v>
      </x:c>
      <x:c r="G7208" t="n">
        <x:v>36</x:v>
      </x:c>
      <x:c r="H7208" t="str">
        <x:v>E</x:v>
      </x:c>
      <x:c r="I7208" t="str">
        <x:v>1-3 years</x:v>
      </x:c>
      <x:c r="J7208" t="str">
        <x:v>RENT</x:v>
      </x:c>
      <x:c r="K7208" t="str">
        <x:v>home_improvement</x:v>
      </x:c>
      <x:c r="L7208" t="n">
        <x:v>1</x:v>
      </x:c>
      <x:c r="M7208" t="n">
        <x:v>0</x:v>
      </x:c>
      <x:c r="N7208" t="str">
        <x:v>Fully Paid</x:v>
      </x:c>
      <x:c r="O7208" t="str">
        <x:f>IF(D7208="","Unknown",IF(D7208&lt;25000,"&lt;$25k",IF(D7208&lt;50000,"$25k-$50k",IF(D7208&lt;75000,"$50k-$75k",IF(D7208&lt;100000,"$75k-$100k","$100k+")))))</x:f>
        <x:v>$25k-$50k</x:v>
      </x:c>
      <x:c r="P7208" t="str">
        <x:f>IF(E7208="","Unknown",IF(E7208&lt;10,"&lt;10",IF(E7208&lt;20,"10-&lt;20",IF(E7208&lt;25,"20-&lt;25",IF(E7208&lt;35,"25-&lt;35","35+")))))</x:f>
        <x:v>20-&lt;25</x:v>
      </x:c>
    </x:row>
    <x:row r="7209">
      <x:c r="A7209" t="str">
        <x:v>SYN0007208</x:v>
      </x:c>
      <x:c r="B7209" s="12" t="n">
        <x:v>41785</x:v>
      </x:c>
      <x:c r="C7209" s="18" t="n">
        <x:v>19574</x:v>
      </x:c>
      <x:c r="D7209" s="18" t="n">
        <x:v>20595</x:v>
      </x:c>
      <x:c r="E7209" s="18" t="n">
        <x:v>6.89</x:v>
      </x:c>
      <x:c r="F7209" s="18" t="n">
        <x:v>11.16</x:v>
      </x:c>
      <x:c r="G7209" t="n">
        <x:v>36</x:v>
      </x:c>
      <x:c r="H7209" t="str">
        <x:v>C</x:v>
      </x:c>
      <x:c r="I7209" t="str">
        <x:v>10+ years</x:v>
      </x:c>
      <x:c r="J7209" t="str">
        <x:v>RENT</x:v>
      </x:c>
      <x:c r="K7209" t="str">
        <x:v>credit_card</x:v>
      </x:c>
      <x:c r="L7209" t="n">
        <x:v>0</x:v>
      </x:c>
      <x:c r="M7209" t="n">
        <x:v>0</x:v>
      </x:c>
      <x:c r="N7209" t="str">
        <x:v>Fully Paid</x:v>
      </x:c>
      <x:c r="O7209" t="str">
        <x:f>IF(D7209="","Unknown",IF(D7209&lt;25000,"&lt;$25k",IF(D7209&lt;50000,"$25k-$50k",IF(D7209&lt;75000,"$50k-$75k",IF(D7209&lt;100000,"$75k-$100k","$100k+")))))</x:f>
        <x:v>&lt;$25k</x:v>
      </x:c>
      <x:c r="P7209" t="str">
        <x:f>IF(E7209="","Unknown",IF(E7209&lt;10,"&lt;10",IF(E7209&lt;20,"10-&lt;20",IF(E7209&lt;25,"20-&lt;25",IF(E7209&lt;35,"25-&lt;35","35+")))))</x:f>
        <x:v>&lt;10</x:v>
      </x:c>
    </x:row>
    <x:row r="7210">
      <x:c r="A7210" t="str">
        <x:v>SYN0007209</x:v>
      </x:c>
      <x:c r="B7210" s="12" t="n">
        <x:v>43255</x:v>
      </x:c>
      <x:c r="C7210" s="18" t="n">
        <x:v>40000</x:v>
      </x:c>
      <x:c r="D7210" s="18" t="n">
        <x:v>12000</x:v>
      </x:c>
      <x:c r="E7210" s="18" t="n">
        <x:v>27.6</x:v>
      </x:c>
      <x:c r="F7210" s="18" t="n">
        <x:v>23.15</x:v>
      </x:c>
      <x:c r="G7210" t="n">
        <x:v>36</x:v>
      </x:c>
      <x:c r="H7210" t="str">
        <x:v>F</x:v>
      </x:c>
      <x:c r="I7210" t="str">
        <x:v>7-9 years</x:v>
      </x:c>
      <x:c r="J7210" t="str">
        <x:v>OWN</x:v>
      </x:c>
      <x:c r="K7210" t="str">
        <x:v>major_purchase</x:v>
      </x:c>
      <x:c r="L7210" t="n">
        <x:v>0</x:v>
      </x:c>
      <x:c r="M7210" t="n">
        <x:v>0</x:v>
      </x:c>
      <x:c r="N7210" t="str">
        <x:v>Fully Paid</x:v>
      </x:c>
      <x:c r="O7210" t="str">
        <x:f>IF(D7210="","Unknown",IF(D7210&lt;25000,"&lt;$25k",IF(D7210&lt;50000,"$25k-$50k",IF(D7210&lt;75000,"$50k-$75k",IF(D7210&lt;100000,"$75k-$100k","$100k+")))))</x:f>
        <x:v>&lt;$25k</x:v>
      </x:c>
      <x:c r="P7210" t="str">
        <x:f>IF(E7210="","Unknown",IF(E7210&lt;10,"&lt;10",IF(E7210&lt;20,"10-&lt;20",IF(E7210&lt;25,"20-&lt;25",IF(E7210&lt;35,"25-&lt;35","35+")))))</x:f>
        <x:v>25-&lt;35</x:v>
      </x:c>
    </x:row>
    <x:row r="7211">
      <x:c r="A7211" t="str">
        <x:v>SYN0007210</x:v>
      </x:c>
      <x:c r="B7211" s="12" t="n">
        <x:v>43225</x:v>
      </x:c>
      <x:c r="C7211" s="18" t="n">
        <x:v>11142</x:v>
      </x:c>
      <x:c r="D7211" s="18" t="n">
        <x:v>65703</x:v>
      </x:c>
      <x:c r="E7211" s="18" t="n">
        <x:v>26.06</x:v>
      </x:c>
      <x:c r="F7211" s="18" t="n">
        <x:v>5</x:v>
      </x:c>
      <x:c r="G7211" t="n">
        <x:v>36</x:v>
      </x:c>
      <x:c r="H7211" t="str">
        <x:v>A</x:v>
      </x:c>
      <x:c r="I7211" t="str">
        <x:v>1-3 years</x:v>
      </x:c>
      <x:c r="J7211" t="str">
        <x:v>RENT</x:v>
      </x:c>
      <x:c r="K7211" t="str">
        <x:v>debt_consolidation</x:v>
      </x:c>
      <x:c r="L7211" t="n">
        <x:v>0</x:v>
      </x:c>
      <x:c r="M7211" t="n">
        <x:v>0</x:v>
      </x:c>
      <x:c r="N7211" t="str">
        <x:v>Fully Paid</x:v>
      </x:c>
      <x:c r="O7211" t="str">
        <x:f>IF(D7211="","Unknown",IF(D7211&lt;25000,"&lt;$25k",IF(D7211&lt;50000,"$25k-$50k",IF(D7211&lt;75000,"$50k-$75k",IF(D7211&lt;100000,"$75k-$100k","$100k+")))))</x:f>
        <x:v>$50k-$75k</x:v>
      </x:c>
      <x:c r="P7211" t="str">
        <x:f>IF(E7211="","Unknown",IF(E7211&lt;10,"&lt;10",IF(E7211&lt;20,"10-&lt;20",IF(E7211&lt;25,"20-&lt;25",IF(E7211&lt;35,"25-&lt;35","35+")))))</x:f>
        <x:v>25-&lt;35</x:v>
      </x:c>
    </x:row>
    <x:row r="7212">
      <x:c r="A7212" t="str">
        <x:v>SYN0007211</x:v>
      </x:c>
      <x:c r="B7212" s="12" t="n">
        <x:v>42835</x:v>
      </x:c>
      <x:c r="C7212" s="18" t="n">
        <x:v>9118</x:v>
      </x:c>
      <x:c r="D7212" s="18" t="n">
        <x:v>18667</x:v>
      </x:c>
      <x:c r="E7212" s="18" t="n">
        <x:v>0</x:v>
      </x:c>
      <x:c r="F7212" s="18" t="n">
        <x:v>6.89</x:v>
      </x:c>
      <x:c r="G7212" t="n">
        <x:v>36</x:v>
      </x:c>
      <x:c r="H7212" t="str">
        <x:v>B</x:v>
      </x:c>
      <x:c r="I7212" t="str">
        <x:v>&lt;1 year</x:v>
      </x:c>
      <x:c r="J7212" t="str">
        <x:v>RENT</x:v>
      </x:c>
      <x:c r="K7212" t="str">
        <x:v>medical</x:v>
      </x:c>
      <x:c r="L7212" t="n">
        <x:v>0</x:v>
      </x:c>
      <x:c r="M7212" t="n">
        <x:v>0</x:v>
      </x:c>
      <x:c r="N7212" t="str">
        <x:v>Fully Paid</x:v>
      </x:c>
      <x:c r="O7212" t="str">
        <x:f>IF(D7212="","Unknown",IF(D7212&lt;25000,"&lt;$25k",IF(D7212&lt;50000,"$25k-$50k",IF(D7212&lt;75000,"$50k-$75k",IF(D7212&lt;100000,"$75k-$100k","$100k+")))))</x:f>
        <x:v>&lt;$25k</x:v>
      </x:c>
      <x:c r="P7212" t="str">
        <x:f>IF(E7212="","Unknown",IF(E7212&lt;10,"&lt;10",IF(E7212&lt;20,"10-&lt;20",IF(E7212&lt;25,"20-&lt;25",IF(E7212&lt;35,"25-&lt;35","35+")))))</x:f>
        <x:v>Unknown</x:v>
      </x:c>
    </x:row>
    <x:row r="7213">
      <x:c r="A7213" t="str">
        <x:v>SYN0007212</x:v>
      </x:c>
      <x:c r="B7213" s="12" t="n">
        <x:v>43045</x:v>
      </x:c>
      <x:c r="C7213" s="18" t="n">
        <x:v>30088</x:v>
      </x:c>
      <x:c r="D7213" s="18" t="n">
        <x:v>43607</x:v>
      </x:c>
      <x:c r="E7213" s="18" t="n">
        <x:v>27.8</x:v>
      </x:c>
      <x:c r="F7213" s="18" t="n">
        <x:v>12.12</x:v>
      </x:c>
      <x:c r="G7213" t="n">
        <x:v>36</x:v>
      </x:c>
      <x:c r="H7213" t="str">
        <x:v>C</x:v>
      </x:c>
      <x:c r="I7213" t="str">
        <x:v>10+ years</x:v>
      </x:c>
      <x:c r="J7213" t="str">
        <x:v>OWN</x:v>
      </x:c>
      <x:c r="K7213" t="str">
        <x:v>debt_consolidation</x:v>
      </x:c>
      <x:c r="L7213" t="n">
        <x:v>0</x:v>
      </x:c>
      <x:c r="M7213" t="n">
        <x:v>0</x:v>
      </x:c>
      <x:c r="N7213" t="str">
        <x:v>Fully Paid</x:v>
      </x:c>
      <x:c r="O7213" t="str">
        <x:f>IF(D7213="","Unknown",IF(D7213&lt;25000,"&lt;$25k",IF(D7213&lt;50000,"$25k-$50k",IF(D7213&lt;75000,"$50k-$75k",IF(D7213&lt;100000,"$75k-$100k","$100k+")))))</x:f>
        <x:v>$25k-$50k</x:v>
      </x:c>
      <x:c r="P7213" t="str">
        <x:f>IF(E7213="","Unknown",IF(E7213&lt;10,"&lt;10",IF(E7213&lt;20,"10-&lt;20",IF(E7213&lt;25,"20-&lt;25",IF(E7213&lt;35,"25-&lt;35","35+")))))</x:f>
        <x:v>25-&lt;35</x:v>
      </x:c>
    </x:row>
    <x:row r="7214">
      <x:c r="A7214" t="str">
        <x:v>SYN0007213</x:v>
      </x:c>
      <x:c r="B7214" s="12" t="n">
        <x:v>43195</x:v>
      </x:c>
      <x:c r="C7214" s="18" t="n">
        <x:v>25062</x:v>
      </x:c>
      <x:c r="D7214" s="18" t="n">
        <x:v>56849</x:v>
      </x:c>
      <x:c r="E7214" s="18" t="n">
        <x:v>17.44</x:v>
      </x:c>
      <x:c r="F7214" s="18" t="n">
        <x:v>6.71</x:v>
      </x:c>
      <x:c r="G7214" t="n">
        <x:v>36</x:v>
      </x:c>
      <x:c r="H7214" t="str">
        <x:v>A</x:v>
      </x:c>
      <x:c r="I7214" t="str">
        <x:v>7-9 years</x:v>
      </x:c>
      <x:c r="J7214" t="str">
        <x:v>RENT</x:v>
      </x:c>
      <x:c r="K7214" t="str">
        <x:v>home_improvement</x:v>
      </x:c>
      <x:c r="L7214" t="n">
        <x:v>1</x:v>
      </x:c>
      <x:c r="M7214" t="n">
        <x:v>0</x:v>
      </x:c>
      <x:c r="N7214" t="str">
        <x:v>Fully Paid</x:v>
      </x:c>
      <x:c r="O7214" t="str">
        <x:f>IF(D7214="","Unknown",IF(D7214&lt;25000,"&lt;$25k",IF(D7214&lt;50000,"$25k-$50k",IF(D7214&lt;75000,"$50k-$75k",IF(D7214&lt;100000,"$75k-$100k","$100k+")))))</x:f>
        <x:v>$50k-$75k</x:v>
      </x:c>
      <x:c r="P7214" t="str">
        <x:f>IF(E7214="","Unknown",IF(E7214&lt;10,"&lt;10",IF(E7214&lt;20,"10-&lt;20",IF(E7214&lt;25,"20-&lt;25",IF(E7214&lt;35,"25-&lt;35","35+")))))</x:f>
        <x:v>10-&lt;20</x:v>
      </x:c>
    </x:row>
    <x:row r="7215">
      <x:c r="A7215" t="str">
        <x:v>SYN0007214</x:v>
      </x:c>
      <x:c r="B7215" s="12" t="n">
        <x:v>43165</x:v>
      </x:c>
      <x:c r="C7215" s="18" t="n">
        <x:v>14397</x:v>
      </x:c>
      <x:c r="D7215" s="18" t="n">
        <x:v>45449</x:v>
      </x:c>
      <x:c r="E7215" s="18" t="n">
        <x:v>24</x:v>
      </x:c>
      <x:c r="F7215" s="18" t="n">
        <x:v>8.96</x:v>
      </x:c>
      <x:c r="G7215" t="n">
        <x:v>36</x:v>
      </x:c>
      <x:c r="H7215" t="str">
        <x:v>B</x:v>
      </x:c>
      <x:c r="I7215" t="str">
        <x:v>10+ years</x:v>
      </x:c>
      <x:c r="J7215" t="str">
        <x:v>OWN</x:v>
      </x:c>
      <x:c r="K7215" t="str">
        <x:v>home_improvement</x:v>
      </x:c>
      <x:c r="L7215" t="n">
        <x:v>0</x:v>
      </x:c>
      <x:c r="M7215" t="n">
        <x:v>0</x:v>
      </x:c>
      <x:c r="N7215" t="str">
        <x:v>Fully Paid</x:v>
      </x:c>
      <x:c r="O7215" t="str">
        <x:f>IF(D7215="","Unknown",IF(D7215&lt;25000,"&lt;$25k",IF(D7215&lt;50000,"$25k-$50k",IF(D7215&lt;75000,"$50k-$75k",IF(D7215&lt;100000,"$75k-$100k","$100k+")))))</x:f>
        <x:v>$25k-$50k</x:v>
      </x:c>
      <x:c r="P7215" t="str">
        <x:f>IF(E7215="","Unknown",IF(E7215&lt;10,"&lt;10",IF(E7215&lt;20,"10-&lt;20",IF(E7215&lt;25,"20-&lt;25",IF(E7215&lt;35,"25-&lt;35","35+")))))</x:f>
        <x:v>20-&lt;25</x:v>
      </x:c>
    </x:row>
    <x:row r="7216">
      <x:c r="A7216" t="str">
        <x:v>SYN0007215</x:v>
      </x:c>
      <x:c r="B7216" s="12" t="n">
        <x:v>41635</x:v>
      </x:c>
      <x:c r="C7216" s="18" t="n">
        <x:v>16990</x:v>
      </x:c>
      <x:c r="D7216" s="18" t="n">
        <x:v>27348</x:v>
      </x:c>
      <x:c r="E7216" s="18" t="n">
        <x:v>22.47</x:v>
      </x:c>
      <x:c r="F7216" s="18" t="n">
        <x:v>10.19</x:v>
      </x:c>
      <x:c r="G7216" t="n">
        <x:v>36</x:v>
      </x:c>
      <x:c r="H7216" t="str">
        <x:v>C</x:v>
      </x:c>
      <x:c r="I7216" t="str">
        <x:v>10+ years</x:v>
      </x:c>
      <x:c r="J7216" t="str">
        <x:v>RENT</x:v>
      </x:c>
      <x:c r="K7216" t="str">
        <x:v>medical</x:v>
      </x:c>
      <x:c r="L7216" t="n">
        <x:v>0</x:v>
      </x:c>
      <x:c r="M7216" t="n">
        <x:v>1</x:v>
      </x:c>
      <x:c r="N7216" t="str">
        <x:v>Charged Off</x:v>
      </x:c>
      <x:c r="O7216" t="str">
        <x:f>IF(D7216="","Unknown",IF(D7216&lt;25000,"&lt;$25k",IF(D7216&lt;50000,"$25k-$50k",IF(D7216&lt;75000,"$50k-$75k",IF(D7216&lt;100000,"$75k-$100k","$100k+")))))</x:f>
        <x:v>$25k-$50k</x:v>
      </x:c>
      <x:c r="P7216" t="str">
        <x:f>IF(E7216="","Unknown",IF(E7216&lt;10,"&lt;10",IF(E7216&lt;20,"10-&lt;20",IF(E7216&lt;25,"20-&lt;25",IF(E7216&lt;35,"25-&lt;35","35+")))))</x:f>
        <x:v>20-&lt;25</x:v>
      </x:c>
    </x:row>
    <x:row r="7217">
      <x:c r="A7217" t="str">
        <x:v>SYN0007216</x:v>
      </x:c>
      <x:c r="B7217" s="12" t="n">
        <x:v>41515</x:v>
      </x:c>
      <x:c r="C7217" s="18" t="n">
        <x:v>22583</x:v>
      </x:c>
      <x:c r="D7217" s="18" t="n">
        <x:v>36594</x:v>
      </x:c>
      <x:c r="E7217" s="18" t="n">
        <x:v>38.31</x:v>
      </x:c>
      <x:c r="F7217" s="18" t="n">
        <x:v>7.57</x:v>
      </x:c>
      <x:c r="G7217" t="n">
        <x:v>60</x:v>
      </x:c>
      <x:c r="H7217" t="str">
        <x:v>C</x:v>
      </x:c>
      <x:c r="I7217" t="str">
        <x:v>4-6 years</x:v>
      </x:c>
      <x:c r="J7217" t="str">
        <x:v>RENT</x:v>
      </x:c>
      <x:c r="K7217" t="str">
        <x:v>debt_consolidation</x:v>
      </x:c>
      <x:c r="L7217" t="n">
        <x:v>2</x:v>
      </x:c>
      <x:c r="M7217" t="n">
        <x:v>0</x:v>
      </x:c>
      <x:c r="N7217" t="str">
        <x:v>Fully Paid</x:v>
      </x:c>
      <x:c r="O7217" t="str">
        <x:f>IF(D7217="","Unknown",IF(D7217&lt;25000,"&lt;$25k",IF(D7217&lt;50000,"$25k-$50k",IF(D7217&lt;75000,"$50k-$75k",IF(D7217&lt;100000,"$75k-$100k","$100k+")))))</x:f>
        <x:v>$25k-$50k</x:v>
      </x:c>
      <x:c r="P7217" t="str">
        <x:f>IF(E7217="","Unknown",IF(E7217&lt;10,"&lt;10",IF(E7217&lt;20,"10-&lt;20",IF(E7217&lt;25,"20-&lt;25",IF(E7217&lt;35,"25-&lt;35","35+")))))</x:f>
        <x:v>35+</x:v>
      </x:c>
    </x:row>
    <x:row r="7218">
      <x:c r="A7218" t="str">
        <x:v>SYN0007217</x:v>
      </x:c>
      <x:c r="B7218" s="12" t="n">
        <x:v>42265</x:v>
      </x:c>
      <x:c r="C7218" s="18" t="n">
        <x:v>22511</x:v>
      </x:c>
      <x:c r="D7218" s="18" t="n">
        <x:v>74113</x:v>
      </x:c>
      <x:c r="E7218" s="18" t="n">
        <x:v>2.28</x:v>
      </x:c>
      <x:c r="F7218" s="18" t="n">
        <x:v>13.04</x:v>
      </x:c>
      <x:c r="G7218" t="n">
        <x:v>36</x:v>
      </x:c>
      <x:c r="H7218" t="str">
        <x:v>D</x:v>
      </x:c>
      <x:c r="I7218" t="str">
        <x:v>10+ years</x:v>
      </x:c>
      <x:c r="J7218" t="str">
        <x:v>MORTGAGE</x:v>
      </x:c>
      <x:c r="K7218" t="str">
        <x:v>credit_card</x:v>
      </x:c>
      <x:c r="L7218" t="n">
        <x:v>0</x:v>
      </x:c>
      <x:c r="M7218" t="n">
        <x:v>0</x:v>
      </x:c>
      <x:c r="N7218" t="str">
        <x:v>Fully Paid</x:v>
      </x:c>
      <x:c r="O7218" t="str">
        <x:f>IF(D7218="","Unknown",IF(D7218&lt;25000,"&lt;$25k",IF(D7218&lt;50000,"$25k-$50k",IF(D7218&lt;75000,"$50k-$75k",IF(D7218&lt;100000,"$75k-$100k","$100k+")))))</x:f>
        <x:v>$50k-$75k</x:v>
      </x:c>
      <x:c r="P7218" t="str">
        <x:f>IF(E7218="","Unknown",IF(E7218&lt;10,"&lt;10",IF(E7218&lt;20,"10-&lt;20",IF(E7218&lt;25,"20-&lt;25",IF(E7218&lt;35,"25-&lt;35","35+")))))</x:f>
        <x:v>&lt;10</x:v>
      </x:c>
    </x:row>
    <x:row r="7219">
      <x:c r="A7219" t="str">
        <x:v>SYN0007218</x:v>
      </x:c>
      <x:c r="B7219" s="12" t="n">
        <x:v>41665</x:v>
      </x:c>
      <x:c r="C7219" s="18" t="n">
        <x:v>27272</x:v>
      </x:c>
      <x:c r="D7219" s="18" t="n">
        <x:v>18346</x:v>
      </x:c>
      <x:c r="E7219" s="18" t="n">
        <x:v>29.48</x:v>
      </x:c>
      <x:c r="F7219" s="18" t="n">
        <x:v>8.8</x:v>
      </x:c>
      <x:c r="G7219" t="n">
        <x:v>36</x:v>
      </x:c>
      <x:c r="H7219" t="str">
        <x:v>B</x:v>
      </x:c>
      <x:c r="I7219" t="str">
        <x:v>&lt;1 year</x:v>
      </x:c>
      <x:c r="J7219" t="str">
        <x:v>MORTGAGE</x:v>
      </x:c>
      <x:c r="K7219" t="str">
        <x:v>home_improvement</x:v>
      </x:c>
      <x:c r="L7219" t="n">
        <x:v>2</x:v>
      </x:c>
      <x:c r="M7219" t="n">
        <x:v>0</x:v>
      </x:c>
      <x:c r="N7219" t="str">
        <x:v>Fully Paid</x:v>
      </x:c>
      <x:c r="O7219" t="str">
        <x:f>IF(D7219="","Unknown",IF(D7219&lt;25000,"&lt;$25k",IF(D7219&lt;50000,"$25k-$50k",IF(D7219&lt;75000,"$50k-$75k",IF(D7219&lt;100000,"$75k-$100k","$100k+")))))</x:f>
        <x:v>&lt;$25k</x:v>
      </x:c>
      <x:c r="P7219" t="str">
        <x:f>IF(E7219="","Unknown",IF(E7219&lt;10,"&lt;10",IF(E7219&lt;20,"10-&lt;20",IF(E7219&lt;25,"20-&lt;25",IF(E7219&lt;35,"25-&lt;35","35+")))))</x:f>
        <x:v>25-&lt;35</x:v>
      </x:c>
    </x:row>
    <x:row r="7220">
      <x:c r="A7220" t="str">
        <x:v>SYN0007219</x:v>
      </x:c>
      <x:c r="B7220" s="12" t="n">
        <x:v>42865</x:v>
      </x:c>
      <x:c r="C7220" s="18" t="n">
        <x:v>10150</x:v>
      </x:c>
      <x:c r="D7220" s="18" t="n">
        <x:v>95756</x:v>
      </x:c>
      <x:c r="E7220" s="18" t="n">
        <x:v>17.57</x:v>
      </x:c>
      <x:c r="F7220" s="18" t="n">
        <x:v>14.02</x:v>
      </x:c>
      <x:c r="G7220" t="n">
        <x:v>36</x:v>
      </x:c>
      <x:c r="H7220" t="str">
        <x:v>D</x:v>
      </x:c>
      <x:c r="I7220" t="str">
        <x:v>10+ years</x:v>
      </x:c>
      <x:c r="J7220" t="str">
        <x:v>MORTGAGE</x:v>
      </x:c>
      <x:c r="K7220" t="str">
        <x:v>debt_consolidation</x:v>
      </x:c>
      <x:c r="L7220" t="n">
        <x:v>0</x:v>
      </x:c>
      <x:c r="M7220" t="n">
        <x:v>0</x:v>
      </x:c>
      <x:c r="N7220" t="str">
        <x:v>Fully Paid</x:v>
      </x:c>
      <x:c r="O7220" t="str">
        <x:f>IF(D7220="","Unknown",IF(D7220&lt;25000,"&lt;$25k",IF(D7220&lt;50000,"$25k-$50k",IF(D7220&lt;75000,"$50k-$75k",IF(D7220&lt;100000,"$75k-$100k","$100k+")))))</x:f>
        <x:v>$75k-$100k</x:v>
      </x:c>
      <x:c r="P7220" t="str">
        <x:f>IF(E7220="","Unknown",IF(E7220&lt;10,"&lt;10",IF(E7220&lt;20,"10-&lt;20",IF(E7220&lt;25,"20-&lt;25",IF(E7220&lt;35,"25-&lt;35","35+")))))</x:f>
        <x:v>10-&lt;20</x:v>
      </x:c>
    </x:row>
    <x:row r="7221">
      <x:c r="A7221" t="str">
        <x:v>SYN0007220</x:v>
      </x:c>
      <x:c r="B7221" s="12" t="n">
        <x:v>42535</x:v>
      </x:c>
      <x:c r="C7221" s="18" t="n">
        <x:v>12675</x:v>
      </x:c>
      <x:c r="D7221" s="18" t="n">
        <x:v>55922</x:v>
      </x:c>
      <x:c r="E7221" s="18" t="n">
        <x:v>11.12</x:v>
      </x:c>
      <x:c r="F7221" s="18" t="n">
        <x:v>7.95</x:v>
      </x:c>
      <x:c r="G7221" t="n">
        <x:v>36</x:v>
      </x:c>
      <x:c r="H7221" t="str">
        <x:v>A</x:v>
      </x:c>
      <x:c r="I7221" t="str">
        <x:v>10+ years</x:v>
      </x:c>
      <x:c r="J7221" t="str">
        <x:v>MORTGAGE</x:v>
      </x:c>
      <x:c r="K7221" t="str">
        <x:v>home_improvement</x:v>
      </x:c>
      <x:c r="L7221" t="n">
        <x:v>0</x:v>
      </x:c>
      <x:c r="M7221" t="n">
        <x:v>0</x:v>
      </x:c>
      <x:c r="N7221" t="str">
        <x:v>Fully Paid</x:v>
      </x:c>
      <x:c r="O7221" t="str">
        <x:f>IF(D7221="","Unknown",IF(D7221&lt;25000,"&lt;$25k",IF(D7221&lt;50000,"$25k-$50k",IF(D7221&lt;75000,"$50k-$75k",IF(D7221&lt;100000,"$75k-$100k","$100k+")))))</x:f>
        <x:v>$50k-$75k</x:v>
      </x:c>
      <x:c r="P7221" t="str">
        <x:f>IF(E7221="","Unknown",IF(E7221&lt;10,"&lt;10",IF(E7221&lt;20,"10-&lt;20",IF(E7221&lt;25,"20-&lt;25",IF(E7221&lt;35,"25-&lt;35","35+")))))</x:f>
        <x:v>10-&lt;20</x:v>
      </x:c>
    </x:row>
    <x:row r="7222">
      <x:c r="A7222" t="str">
        <x:v>SYN0007221</x:v>
      </x:c>
      <x:c r="B7222" s="12" t="n">
        <x:v>41395</x:v>
      </x:c>
      <x:c r="C7222" s="18" t="n">
        <x:v>13066</x:v>
      </x:c>
      <x:c r="D7222" s="18" t="n">
        <x:v>67794</x:v>
      </x:c>
      <x:c r="E7222" s="18" t="n">
        <x:v>30.99</x:v>
      </x:c>
      <x:c r="F7222" s="18" t="n">
        <x:v>15.51</x:v>
      </x:c>
      <x:c r="G7222" t="n">
        <x:v>36</x:v>
      </x:c>
      <x:c r="H7222" t="str">
        <x:v>D</x:v>
      </x:c>
      <x:c r="I7222" t="str">
        <x:v>7-9 years</x:v>
      </x:c>
      <x:c r="J7222" t="str">
        <x:v>OWN</x:v>
      </x:c>
      <x:c r="K7222" t="str">
        <x:v>credit_card</x:v>
      </x:c>
      <x:c r="L7222" t="n">
        <x:v>2</x:v>
      </x:c>
      <x:c r="M7222" t="n">
        <x:v>0</x:v>
      </x:c>
      <x:c r="N7222" t="str">
        <x:v>Fully Paid</x:v>
      </x:c>
      <x:c r="O7222" t="str">
        <x:f>IF(D7222="","Unknown",IF(D7222&lt;25000,"&lt;$25k",IF(D7222&lt;50000,"$25k-$50k",IF(D7222&lt;75000,"$50k-$75k",IF(D7222&lt;100000,"$75k-$100k","$100k+")))))</x:f>
        <x:v>$50k-$75k</x:v>
      </x:c>
      <x:c r="P7222" t="str">
        <x:f>IF(E7222="","Unknown",IF(E7222&lt;10,"&lt;10",IF(E7222&lt;20,"10-&lt;20",IF(E7222&lt;25,"20-&lt;25",IF(E7222&lt;35,"25-&lt;35","35+")))))</x:f>
        <x:v>25-&lt;35</x:v>
      </x:c>
    </x:row>
    <x:row r="7223">
      <x:c r="A7223" t="str">
        <x:v>SYN0007222</x:v>
      </x:c>
      <x:c r="B7223" s="12" t="n">
        <x:v>41455</x:v>
      </x:c>
      <x:c r="C7223" s="18" t="n">
        <x:v>15729</x:v>
      </x:c>
      <x:c r="D7223" s="18" t="n">
        <x:v>28166</x:v>
      </x:c>
      <x:c r="E7223" s="18" t="n">
        <x:v>3.53</x:v>
      </x:c>
      <x:c r="F7223" s="18" t="n">
        <x:v>5</x:v>
      </x:c>
      <x:c r="G7223" t="n">
        <x:v>36</x:v>
      </x:c>
      <x:c r="H7223" t="str">
        <x:v>A</x:v>
      </x:c>
      <x:c r="I7223" t="str">
        <x:v>1-3 years</x:v>
      </x:c>
      <x:c r="J7223" t="str">
        <x:v>RENT</x:v>
      </x:c>
      <x:c r="K7223" t="str">
        <x:v>other</x:v>
      </x:c>
      <x:c r="L7223" t="n">
        <x:v>0</x:v>
      </x:c>
      <x:c r="M7223" t="n">
        <x:v>0</x:v>
      </x:c>
      <x:c r="N7223" t="str">
        <x:v>Fully Paid</x:v>
      </x:c>
      <x:c r="O7223" t="str">
        <x:f>IF(D7223="","Unknown",IF(D7223&lt;25000,"&lt;$25k",IF(D7223&lt;50000,"$25k-$50k",IF(D7223&lt;75000,"$50k-$75k",IF(D7223&lt;100000,"$75k-$100k","$100k+")))))</x:f>
        <x:v>$25k-$50k</x:v>
      </x:c>
      <x:c r="P7223" t="str">
        <x:f>IF(E7223="","Unknown",IF(E7223&lt;10,"&lt;10",IF(E7223&lt;20,"10-&lt;20",IF(E7223&lt;25,"20-&lt;25",IF(E7223&lt;35,"25-&lt;35","35+")))))</x:f>
        <x:v>&lt;10</x:v>
      </x:c>
    </x:row>
    <x:row r="7224">
      <x:c r="A7224" t="str">
        <x:v>SYN0007223</x:v>
      </x:c>
      <x:c r="B7224" s="12" t="n">
        <x:v>42925</x:v>
      </x:c>
      <x:c r="C7224" s="18" t="n">
        <x:v>14733</x:v>
      </x:c>
      <x:c r="D7224" s="18" t="n">
        <x:v>103893</x:v>
      </x:c>
      <x:c r="E7224" s="18" t="n">
        <x:v>24.85</x:v>
      </x:c>
      <x:c r="F7224" s="18" t="n">
        <x:v>14.19</x:v>
      </x:c>
      <x:c r="G7224" t="n">
        <x:v>36</x:v>
      </x:c>
      <x:c r="H7224" t="str">
        <x:v>D</x:v>
      </x:c>
      <x:c r="I7224" t="str">
        <x:v>1-3 years</x:v>
      </x:c>
      <x:c r="J7224" t="str">
        <x:v>RENT</x:v>
      </x:c>
      <x:c r="K7224" t="str">
        <x:v>credit_card</x:v>
      </x:c>
      <x:c r="L7224" t="n">
        <x:v>0</x:v>
      </x:c>
      <x:c r="M7224" t="n">
        <x:v>0</x:v>
      </x:c>
      <x:c r="N7224" t="str">
        <x:v>Fully Paid</x:v>
      </x:c>
      <x:c r="O7224" t="str">
        <x:f>IF(D7224="","Unknown",IF(D7224&lt;25000,"&lt;$25k",IF(D7224&lt;50000,"$25k-$50k",IF(D7224&lt;75000,"$50k-$75k",IF(D7224&lt;100000,"$75k-$100k","$100k+")))))</x:f>
        <x:v>$100k+</x:v>
      </x:c>
      <x:c r="P7224" t="str">
        <x:f>IF(E7224="","Unknown",IF(E7224&lt;10,"&lt;10",IF(E7224&lt;20,"10-&lt;20",IF(E7224&lt;25,"20-&lt;25",IF(E7224&lt;35,"25-&lt;35","35+")))))</x:f>
        <x:v>20-&lt;25</x:v>
      </x:c>
    </x:row>
    <x:row r="7225">
      <x:c r="A7225" t="str">
        <x:v>SYN0007224</x:v>
      </x:c>
      <x:c r="B7225" s="12" t="n">
        <x:v>42205</x:v>
      </x:c>
      <x:c r="C7225" s="18" t="n">
        <x:v>12384</x:v>
      </x:c>
      <x:c r="D7225" s="18" t="n">
        <x:v>27600</x:v>
      </x:c>
      <x:c r="E7225" s="18" t="n">
        <x:v>13.15</x:v>
      </x:c>
      <x:c r="F7225" s="18" t="n">
        <x:v>5</x:v>
      </x:c>
      <x:c r="G7225" t="n">
        <x:v>36</x:v>
      </x:c>
      <x:c r="H7225" t="str">
        <x:v>B</x:v>
      </x:c>
      <x:c r="I7225" t="str">
        <x:v>1-3 years</x:v>
      </x:c>
      <x:c r="J7225" t="str">
        <x:v>RENT</x:v>
      </x:c>
      <x:c r="K7225" t="str">
        <x:v>credit_card</x:v>
      </x:c>
      <x:c r="L7225" t="n">
        <x:v>1</x:v>
      </x:c>
      <x:c r="M7225" t="n">
        <x:v>0</x:v>
      </x:c>
      <x:c r="N7225" t="str">
        <x:v>Fully Paid</x:v>
      </x:c>
      <x:c r="O7225" t="str">
        <x:f>IF(D7225="","Unknown",IF(D7225&lt;25000,"&lt;$25k",IF(D7225&lt;50000,"$25k-$50k",IF(D7225&lt;75000,"$50k-$75k",IF(D7225&lt;100000,"$75k-$100k","$100k+")))))</x:f>
        <x:v>$25k-$50k</x:v>
      </x:c>
      <x:c r="P7225" t="str">
        <x:f>IF(E7225="","Unknown",IF(E7225&lt;10,"&lt;10",IF(E7225&lt;20,"10-&lt;20",IF(E7225&lt;25,"20-&lt;25",IF(E7225&lt;35,"25-&lt;35","35+")))))</x:f>
        <x:v>10-&lt;20</x:v>
      </x:c>
    </x:row>
    <x:row r="7226">
      <x:c r="A7226" t="str">
        <x:v>SYN0007225</x:v>
      </x:c>
      <x:c r="B7226" s="12" t="n">
        <x:v>41395</x:v>
      </x:c>
      <x:c r="C7226" s="18" t="n">
        <x:v>17243</x:v>
      </x:c>
      <x:c r="D7226" s="18" t="n">
        <x:v>58276</x:v>
      </x:c>
      <x:c r="E7226" s="18" t="n">
        <x:v>46.76</x:v>
      </x:c>
      <x:c r="F7226" s="18" t="n">
        <x:v>26.3</x:v>
      </x:c>
      <x:c r="G7226" t="n">
        <x:v>60</x:v>
      </x:c>
      <x:c r="H7226" t="str">
        <x:v>G</x:v>
      </x:c>
      <x:c r="I7226" t="str">
        <x:v>&lt;1 year</x:v>
      </x:c>
      <x:c r="J7226" t="str">
        <x:v>MORTGAGE</x:v>
      </x:c>
      <x:c r="K7226" t="str">
        <x:v>debt_consolidation</x:v>
      </x:c>
      <x:c r="L7226" t="n">
        <x:v>0</x:v>
      </x:c>
      <x:c r="M7226" t="n">
        <x:v>0</x:v>
      </x:c>
      <x:c r="N7226" t="str">
        <x:v>Fully Paid</x:v>
      </x:c>
      <x:c r="O7226" t="str">
        <x:f>IF(D7226="","Unknown",IF(D7226&lt;25000,"&lt;$25k",IF(D7226&lt;50000,"$25k-$50k",IF(D7226&lt;75000,"$50k-$75k",IF(D7226&lt;100000,"$75k-$100k","$100k+")))))</x:f>
        <x:v>$50k-$75k</x:v>
      </x:c>
      <x:c r="P7226" t="str">
        <x:f>IF(E7226="","Unknown",IF(E7226&lt;10,"&lt;10",IF(E7226&lt;20,"10-&lt;20",IF(E7226&lt;25,"20-&lt;25",IF(E7226&lt;35,"25-&lt;35","35+")))))</x:f>
        <x:v>35+</x:v>
      </x:c>
    </x:row>
    <x:row r="7227">
      <x:c r="A7227" t="str">
        <x:v>SYN0007226</x:v>
      </x:c>
      <x:c r="B7227" s="12" t="n">
        <x:v>42055</x:v>
      </x:c>
      <x:c r="C7227" s="18" t="n">
        <x:v>6644</x:v>
      </x:c>
      <x:c r="D7227" s="18" t="n">
        <x:v>85278</x:v>
      </x:c>
      <x:c r="E7227" s="18" t="n">
        <x:v>12.09</x:v>
      </x:c>
      <x:c r="F7227" s="18" t="n">
        <x:v>10.84</x:v>
      </x:c>
      <x:c r="G7227" t="n">
        <x:v>36</x:v>
      </x:c>
      <x:c r="H7227" t="str">
        <x:v>C</x:v>
      </x:c>
      <x:c r="I7227" t="str">
        <x:v>7-9 years</x:v>
      </x:c>
      <x:c r="J7227" t="str">
        <x:v>OWN</x:v>
      </x:c>
      <x:c r="K7227" t="str">
        <x:v>credit_card</x:v>
      </x:c>
      <x:c r="L7227" t="n">
        <x:v>0</x:v>
      </x:c>
      <x:c r="M7227" t="n">
        <x:v>0</x:v>
      </x:c>
      <x:c r="N7227" t="str">
        <x:v>Fully Paid</x:v>
      </x:c>
      <x:c r="O7227" t="str">
        <x:f>IF(D7227="","Unknown",IF(D7227&lt;25000,"&lt;$25k",IF(D7227&lt;50000,"$25k-$50k",IF(D7227&lt;75000,"$50k-$75k",IF(D7227&lt;100000,"$75k-$100k","$100k+")))))</x:f>
        <x:v>$75k-$100k</x:v>
      </x:c>
      <x:c r="P7227" t="str">
        <x:f>IF(E7227="","Unknown",IF(E7227&lt;10,"&lt;10",IF(E7227&lt;20,"10-&lt;20",IF(E7227&lt;25,"20-&lt;25",IF(E7227&lt;35,"25-&lt;35","35+")))))</x:f>
        <x:v>10-&lt;20</x:v>
      </x:c>
    </x:row>
    <x:row r="7228">
      <x:c r="A7228" t="str">
        <x:v>SYN0007227</x:v>
      </x:c>
      <x:c r="B7228" s="12" t="n">
        <x:v>42235</x:v>
      </x:c>
      <x:c r="C7228" s="18" t="n">
        <x:v>15638</x:v>
      </x:c>
      <x:c r="D7228" s="18" t="n">
        <x:v>28468</x:v>
      </x:c>
      <x:c r="E7228" s="18" t="n">
        <x:v>20.16</x:v>
      </x:c>
      <x:c r="F7228" s="18" t="n">
        <x:v>13.2</x:v>
      </x:c>
      <x:c r="G7228" t="n">
        <x:v>36</x:v>
      </x:c>
      <x:c r="H7228" t="str">
        <x:v>D</x:v>
      </x:c>
      <x:c r="I7228" t="str">
        <x:v>&lt;1 year</x:v>
      </x:c>
      <x:c r="J7228" t="str">
        <x:v>MORTGAGE</x:v>
      </x:c>
      <x:c r="K7228" t="str">
        <x:v>debt_consolidation</x:v>
      </x:c>
      <x:c r="L7228" t="n">
        <x:v>0</x:v>
      </x:c>
      <x:c r="M7228" t="n">
        <x:v>1</x:v>
      </x:c>
      <x:c r="N7228" t="str">
        <x:v>Charged Off</x:v>
      </x:c>
      <x:c r="O7228" t="str">
        <x:f>IF(D7228="","Unknown",IF(D7228&lt;25000,"&lt;$25k",IF(D7228&lt;50000,"$25k-$50k",IF(D7228&lt;75000,"$50k-$75k",IF(D7228&lt;100000,"$75k-$100k","$100k+")))))</x:f>
        <x:v>$25k-$50k</x:v>
      </x:c>
      <x:c r="P7228" t="str">
        <x:f>IF(E7228="","Unknown",IF(E7228&lt;10,"&lt;10",IF(E7228&lt;20,"10-&lt;20",IF(E7228&lt;25,"20-&lt;25",IF(E7228&lt;35,"25-&lt;35","35+")))))</x:f>
        <x:v>20-&lt;25</x:v>
      </x:c>
    </x:row>
    <x:row r="7229">
      <x:c r="A7229" t="str">
        <x:v>SYN0007228</x:v>
      </x:c>
      <x:c r="B7229" s="12" t="n">
        <x:v>43015</x:v>
      </x:c>
      <x:c r="C7229" s="18" t="n">
        <x:v>35530</x:v>
      </x:c>
      <x:c r="D7229" s="18" t="n">
        <x:v>39539</x:v>
      </x:c>
      <x:c r="E7229" s="18" t="n">
        <x:v>24.82</x:v>
      </x:c>
      <x:c r="F7229" s="18" t="n">
        <x:v>17.65</x:v>
      </x:c>
      <x:c r="G7229" t="n">
        <x:v>36</x:v>
      </x:c>
      <x:c r="H7229" t="str">
        <x:v>E</x:v>
      </x:c>
      <x:c r="I7229" t="str">
        <x:v>1-3 years</x:v>
      </x:c>
      <x:c r="J7229" t="str">
        <x:v>RENT</x:v>
      </x:c>
      <x:c r="K7229" t="str">
        <x:v>credit_card</x:v>
      </x:c>
      <x:c r="L7229" t="n">
        <x:v>0</x:v>
      </x:c>
      <x:c r="M7229" t="n">
        <x:v>0</x:v>
      </x:c>
      <x:c r="N7229" t="str">
        <x:v>Fully Paid</x:v>
      </x:c>
      <x:c r="O7229" t="str">
        <x:f>IF(D7229="","Unknown",IF(D7229&lt;25000,"&lt;$25k",IF(D7229&lt;50000,"$25k-$50k",IF(D7229&lt;75000,"$50k-$75k",IF(D7229&lt;100000,"$75k-$100k","$100k+")))))</x:f>
        <x:v>$25k-$50k</x:v>
      </x:c>
      <x:c r="P7229" t="str">
        <x:f>IF(E7229="","Unknown",IF(E7229&lt;10,"&lt;10",IF(E7229&lt;20,"10-&lt;20",IF(E7229&lt;25,"20-&lt;25",IF(E7229&lt;35,"25-&lt;35","35+")))))</x:f>
        <x:v>20-&lt;25</x:v>
      </x:c>
    </x:row>
    <x:row r="7230">
      <x:c r="A7230" t="str">
        <x:v>SYN0007229</x:v>
      </x:c>
      <x:c r="B7230" s="12" t="n">
        <x:v>41665</x:v>
      </x:c>
      <x:c r="C7230" s="18" t="n">
        <x:v>4762</x:v>
      </x:c>
      <x:c r="D7230" s="18" t="n">
        <x:v>67046</x:v>
      </x:c>
      <x:c r="E7230" s="18" t="n">
        <x:v>27.82</x:v>
      </x:c>
      <x:c r="F7230" s="18" t="n">
        <x:v>15.3</x:v>
      </x:c>
      <x:c r="G7230" t="n">
        <x:v>60</x:v>
      </x:c>
      <x:c r="H7230" t="str">
        <x:v>E</x:v>
      </x:c>
      <x:c r="I7230" t="str">
        <x:v>10+ years</x:v>
      </x:c>
      <x:c r="J7230" t="str">
        <x:v>RENT</x:v>
      </x:c>
      <x:c r="K7230" t="str">
        <x:v>debt_consolidation</x:v>
      </x:c>
      <x:c r="L7230" t="n">
        <x:v>0</x:v>
      </x:c>
      <x:c r="M7230" t="n">
        <x:v>0</x:v>
      </x:c>
      <x:c r="N7230" t="str">
        <x:v>Fully Paid</x:v>
      </x:c>
      <x:c r="O7230" t="str">
        <x:f>IF(D7230="","Unknown",IF(D7230&lt;25000,"&lt;$25k",IF(D7230&lt;50000,"$25k-$50k",IF(D7230&lt;75000,"$50k-$75k",IF(D7230&lt;100000,"$75k-$100k","$100k+")))))</x:f>
        <x:v>$50k-$75k</x:v>
      </x:c>
      <x:c r="P7230" t="str">
        <x:f>IF(E7230="","Unknown",IF(E7230&lt;10,"&lt;10",IF(E7230&lt;20,"10-&lt;20",IF(E7230&lt;25,"20-&lt;25",IF(E7230&lt;35,"25-&lt;35","35+")))))</x:f>
        <x:v>25-&lt;35</x:v>
      </x:c>
    </x:row>
    <x:row r="7231">
      <x:c r="A7231" t="str">
        <x:v>SYN0007230</x:v>
      </x:c>
      <x:c r="B7231" s="12" t="n">
        <x:v>43225</x:v>
      </x:c>
      <x:c r="C7231" s="18" t="n">
        <x:v>12342</x:v>
      </x:c>
      <x:c r="D7231" s="18" t="n">
        <x:v>30026</x:v>
      </x:c>
      <x:c r="E7231" s="18" t="n">
        <x:v>32.17</x:v>
      </x:c>
      <x:c r="F7231" s="18" t="n">
        <x:v>15.9</x:v>
      </x:c>
      <x:c r="G7231" t="n">
        <x:v>60</x:v>
      </x:c>
      <x:c r="H7231" t="str">
        <x:v>D</x:v>
      </x:c>
      <x:c r="I7231" t="str">
        <x:v>4-6 years</x:v>
      </x:c>
      <x:c r="J7231" t="str">
        <x:v>RENT</x:v>
      </x:c>
      <x:c r="K7231" t="str">
        <x:v>debt_consolidation</x:v>
      </x:c>
      <x:c r="L7231" t="n">
        <x:v>0</x:v>
      </x:c>
      <x:c r="M7231" t="n">
        <x:v>0</x:v>
      </x:c>
      <x:c r="N7231" t="str">
        <x:v>Fully Paid</x:v>
      </x:c>
      <x:c r="O7231" t="str">
        <x:f>IF(D7231="","Unknown",IF(D7231&lt;25000,"&lt;$25k",IF(D7231&lt;50000,"$25k-$50k",IF(D7231&lt;75000,"$50k-$75k",IF(D7231&lt;100000,"$75k-$100k","$100k+")))))</x:f>
        <x:v>$25k-$50k</x:v>
      </x:c>
      <x:c r="P7231" t="str">
        <x:f>IF(E7231="","Unknown",IF(E7231&lt;10,"&lt;10",IF(E7231&lt;20,"10-&lt;20",IF(E7231&lt;25,"20-&lt;25",IF(E7231&lt;35,"25-&lt;35","35+")))))</x:f>
        <x:v>25-&lt;35</x:v>
      </x:c>
    </x:row>
    <x:row r="7232">
      <x:c r="A7232" t="str">
        <x:v>SYN0007231</x:v>
      </x:c>
      <x:c r="B7232" s="12" t="n">
        <x:v>42985</x:v>
      </x:c>
      <x:c r="C7232" s="18" t="n">
        <x:v>15312</x:v>
      </x:c>
      <x:c r="D7232" s="18" t="n">
        <x:v>111783</x:v>
      </x:c>
      <x:c r="E7232" s="18" t="n">
        <x:v>16.59</x:v>
      </x:c>
      <x:c r="F7232" s="18" t="n">
        <x:v>14.76</x:v>
      </x:c>
      <x:c r="G7232" t="n">
        <x:v>36</x:v>
      </x:c>
      <x:c r="H7232" t="str">
        <x:v>D</x:v>
      </x:c>
      <x:c r="I7232" t="str">
        <x:v>7-9 years</x:v>
      </x:c>
      <x:c r="J7232" t="str">
        <x:v>RENT</x:v>
      </x:c>
      <x:c r="K7232" t="str">
        <x:v>debt_consolidation</x:v>
      </x:c>
      <x:c r="L7232" t="n">
        <x:v>0</x:v>
      </x:c>
      <x:c r="M7232" t="n">
        <x:v>0</x:v>
      </x:c>
      <x:c r="N7232" t="str">
        <x:v>Fully Paid</x:v>
      </x:c>
      <x:c r="O7232" t="str">
        <x:f>IF(D7232="","Unknown",IF(D7232&lt;25000,"&lt;$25k",IF(D7232&lt;50000,"$25k-$50k",IF(D7232&lt;75000,"$50k-$75k",IF(D7232&lt;100000,"$75k-$100k","$100k+")))))</x:f>
        <x:v>$100k+</x:v>
      </x:c>
      <x:c r="P7232" t="str">
        <x:f>IF(E7232="","Unknown",IF(E7232&lt;10,"&lt;10",IF(E7232&lt;20,"10-&lt;20",IF(E7232&lt;25,"20-&lt;25",IF(E7232&lt;35,"25-&lt;35","35+")))))</x:f>
        <x:v>10-&lt;20</x:v>
      </x:c>
    </x:row>
    <x:row r="7233">
      <x:c r="A7233" t="str">
        <x:v>SYN0007232</x:v>
      </x:c>
      <x:c r="B7233" s="12" t="n">
        <x:v>42955</x:v>
      </x:c>
      <x:c r="C7233" s="18" t="n">
        <x:v>11559</x:v>
      </x:c>
      <x:c r="D7233" s="18" t="n">
        <x:v>60210</x:v>
      </x:c>
      <x:c r="E7233" s="18" t="n">
        <x:v>21.11</x:v>
      </x:c>
      <x:c r="F7233" s="18" t="n">
        <x:v>14.87</x:v>
      </x:c>
      <x:c r="G7233" t="n">
        <x:v>36</x:v>
      </x:c>
      <x:c r="H7233" t="str">
        <x:v>D</x:v>
      </x:c>
      <x:c r="I7233" t="str">
        <x:v>7-9 years</x:v>
      </x:c>
      <x:c r="J7233" t="str">
        <x:v>RENT</x:v>
      </x:c>
      <x:c r="K7233" t="str">
        <x:v>debt_consolidation</x:v>
      </x:c>
      <x:c r="L7233" t="n">
        <x:v>0</x:v>
      </x:c>
      <x:c r="M7233" t="n">
        <x:v>0</x:v>
      </x:c>
      <x:c r="N7233" t="str">
        <x:v>Fully Paid</x:v>
      </x:c>
      <x:c r="O7233" t="str">
        <x:f>IF(D7233="","Unknown",IF(D7233&lt;25000,"&lt;$25k",IF(D7233&lt;50000,"$25k-$50k",IF(D7233&lt;75000,"$50k-$75k",IF(D7233&lt;100000,"$75k-$100k","$100k+")))))</x:f>
        <x:v>$50k-$75k</x:v>
      </x:c>
      <x:c r="P7233" t="str">
        <x:f>IF(E7233="","Unknown",IF(E7233&lt;10,"&lt;10",IF(E7233&lt;20,"10-&lt;20",IF(E7233&lt;25,"20-&lt;25",IF(E7233&lt;35,"25-&lt;35","35+")))))</x:f>
        <x:v>20-&lt;25</x:v>
      </x:c>
    </x:row>
    <x:row r="7234">
      <x:c r="A7234" t="str">
        <x:v>SYN0007233</x:v>
      </x:c>
      <x:c r="B7234" s="12" t="n">
        <x:v>43255</x:v>
      </x:c>
      <x:c r="C7234" s="18" t="n">
        <x:v>6036</x:v>
      </x:c>
      <x:c r="D7234" s="18" t="n">
        <x:v>89924</x:v>
      </x:c>
      <x:c r="E7234" s="18" t="n">
        <x:v>16.6</x:v>
      </x:c>
      <x:c r="F7234" s="18" t="n">
        <x:v>13.83</x:v>
      </x:c>
      <x:c r="G7234" t="n">
        <x:v>36</x:v>
      </x:c>
      <x:c r="H7234" t="str">
        <x:v>D</x:v>
      </x:c>
      <x:c r="I7234" t="str">
        <x:v>10+ years</x:v>
      </x:c>
      <x:c r="J7234" t="str">
        <x:v>OWN</x:v>
      </x:c>
      <x:c r="K7234" t="str">
        <x:v>debt_consolidation</x:v>
      </x:c>
      <x:c r="L7234" t="n">
        <x:v>0</x:v>
      </x:c>
      <x:c r="M7234" t="n">
        <x:v>0</x:v>
      </x:c>
      <x:c r="N7234" t="str">
        <x:v>Fully Paid</x:v>
      </x:c>
      <x:c r="O7234" t="str">
        <x:f>IF(D7234="","Unknown",IF(D7234&lt;25000,"&lt;$25k",IF(D7234&lt;50000,"$25k-$50k",IF(D7234&lt;75000,"$50k-$75k",IF(D7234&lt;100000,"$75k-$100k","$100k+")))))</x:f>
        <x:v>$75k-$100k</x:v>
      </x:c>
      <x:c r="P7234" t="str">
        <x:f>IF(E7234="","Unknown",IF(E7234&lt;10,"&lt;10",IF(E7234&lt;20,"10-&lt;20",IF(E7234&lt;25,"20-&lt;25",IF(E7234&lt;35,"25-&lt;35","35+")))))</x:f>
        <x:v>10-&lt;20</x:v>
      </x:c>
    </x:row>
    <x:row r="7235">
      <x:c r="A7235" t="str">
        <x:v>SYN0007234</x:v>
      </x:c>
      <x:c r="B7235" s="12" t="n">
        <x:v>42625</x:v>
      </x:c>
      <x:c r="C7235" s="18" t="n">
        <x:v>8528</x:v>
      </x:c>
      <x:c r="D7235" s="18" t="n">
        <x:v>59889</x:v>
      </x:c>
      <x:c r="E7235" s="18" t="n">
        <x:v>14.19</x:v>
      </x:c>
      <x:c r="F7235" s="18" t="n">
        <x:v>12.62</x:v>
      </x:c>
      <x:c r="G7235" t="n">
        <x:v>36</x:v>
      </x:c>
      <x:c r="H7235" t="str">
        <x:v>C</x:v>
      </x:c>
      <x:c r="I7235" t="str">
        <x:v>7-9 years</x:v>
      </x:c>
      <x:c r="J7235" t="str">
        <x:v>MORTGAGE</x:v>
      </x:c>
      <x:c r="K7235" t="str">
        <x:v>debt_consolidation</x:v>
      </x:c>
      <x:c r="L7235" t="n">
        <x:v>2</x:v>
      </x:c>
      <x:c r="M7235" t="n">
        <x:v>0</x:v>
      </x:c>
      <x:c r="N7235" t="str">
        <x:v>Fully Paid</x:v>
      </x:c>
      <x:c r="O7235" t="str">
        <x:f>IF(D7235="","Unknown",IF(D7235&lt;25000,"&lt;$25k",IF(D7235&lt;50000,"$25k-$50k",IF(D7235&lt;75000,"$50k-$75k",IF(D7235&lt;100000,"$75k-$100k","$100k+")))))</x:f>
        <x:v>$50k-$75k</x:v>
      </x:c>
      <x:c r="P7235" t="str">
        <x:f>IF(E7235="","Unknown",IF(E7235&lt;10,"&lt;10",IF(E7235&lt;20,"10-&lt;20",IF(E7235&lt;25,"20-&lt;25",IF(E7235&lt;35,"25-&lt;35","35+")))))</x:f>
        <x:v>10-&lt;20</x:v>
      </x:c>
    </x:row>
    <x:row r="7236">
      <x:c r="A7236" t="str">
        <x:v>SYN0007235</x:v>
      </x:c>
      <x:c r="B7236" s="12" t="n">
        <x:v>41485</x:v>
      </x:c>
      <x:c r="C7236" s="18" t="n">
        <x:v>15196</x:v>
      </x:c>
      <x:c r="D7236" s="18" t="n">
        <x:v>12000</x:v>
      </x:c>
      <x:c r="E7236" s="18" t="n">
        <x:v>18.12</x:v>
      </x:c>
      <x:c r="F7236" s="18" t="n">
        <x:v>15.15</x:v>
      </x:c>
      <x:c r="G7236" t="n">
        <x:v>36</x:v>
      </x:c>
      <x:c r="H7236" t="str">
        <x:v>D</x:v>
      </x:c>
      <x:c r="I7236" t="str">
        <x:v>4-6 years</x:v>
      </x:c>
      <x:c r="J7236" t="str">
        <x:v>OTHER</x:v>
      </x:c>
      <x:c r="K7236" t="str">
        <x:v>debt_consolidation</x:v>
      </x:c>
      <x:c r="L7236" t="n">
        <x:v>1</x:v>
      </x:c>
      <x:c r="M7236" t="n">
        <x:v>0</x:v>
      </x:c>
      <x:c r="N7236" t="str">
        <x:v>Fully Paid</x:v>
      </x:c>
      <x:c r="O7236" t="str">
        <x:f>IF(D7236="","Unknown",IF(D7236&lt;25000,"&lt;$25k",IF(D7236&lt;50000,"$25k-$50k",IF(D7236&lt;75000,"$50k-$75k",IF(D7236&lt;100000,"$75k-$100k","$100k+")))))</x:f>
        <x:v>&lt;$25k</x:v>
      </x:c>
      <x:c r="P7236" t="str">
        <x:f>IF(E7236="","Unknown",IF(E7236&lt;10,"&lt;10",IF(E7236&lt;20,"10-&lt;20",IF(E7236&lt;25,"20-&lt;25",IF(E7236&lt;35,"25-&lt;35","35+")))))</x:f>
        <x:v>10-&lt;20</x:v>
      </x:c>
    </x:row>
    <x:row r="7237">
      <x:c r="A7237" t="str">
        <x:v>SYN0007236</x:v>
      </x:c>
      <x:c r="B7237" s="12" t="n">
        <x:v>42205</x:v>
      </x:c>
      <x:c r="C7237" s="18" t="n">
        <x:v>11359</x:v>
      </x:c>
      <x:c r="D7237" s="18" t="n">
        <x:v>114169</x:v>
      </x:c>
      <x:c r="E7237" s="18" t="n">
        <x:v>27.16</x:v>
      </x:c>
      <x:c r="F7237" s="18" t="n">
        <x:v>15.15</x:v>
      </x:c>
      <x:c r="G7237" t="n">
        <x:v>36</x:v>
      </x:c>
      <x:c r="H7237" t="str">
        <x:v>C</x:v>
      </x:c>
      <x:c r="I7237" t="str">
        <x:v>4-6 years</x:v>
      </x:c>
      <x:c r="J7237" t="str">
        <x:v>RENT</x:v>
      </x:c>
      <x:c r="K7237" t="str">
        <x:v>debt_consolidation</x:v>
      </x:c>
      <x:c r="L7237" t="n">
        <x:v>2</x:v>
      </x:c>
      <x:c r="M7237" t="n">
        <x:v>0</x:v>
      </x:c>
      <x:c r="N7237" t="str">
        <x:v>Fully Paid</x:v>
      </x:c>
      <x:c r="O7237" t="str">
        <x:f>IF(D7237="","Unknown",IF(D7237&lt;25000,"&lt;$25k",IF(D7237&lt;50000,"$25k-$50k",IF(D7237&lt;75000,"$50k-$75k",IF(D7237&lt;100000,"$75k-$100k","$100k+")))))</x:f>
        <x:v>$100k+</x:v>
      </x:c>
      <x:c r="P7237" t="str">
        <x:f>IF(E7237="","Unknown",IF(E7237&lt;10,"&lt;10",IF(E7237&lt;20,"10-&lt;20",IF(E7237&lt;25,"20-&lt;25",IF(E7237&lt;35,"25-&lt;35","35+")))))</x:f>
        <x:v>25-&lt;35</x:v>
      </x:c>
    </x:row>
    <x:row r="7238">
      <x:c r="A7238" t="str">
        <x:v>SYN0007237</x:v>
      </x:c>
      <x:c r="B7238" s="12" t="n">
        <x:v>41605</x:v>
      </x:c>
      <x:c r="C7238" s="18" t="n">
        <x:v>13245</x:v>
      </x:c>
      <x:c r="D7238" s="18" t="n">
        <x:v>58373</x:v>
      </x:c>
      <x:c r="E7238" s="18" t="n">
        <x:v>24.62</x:v>
      </x:c>
      <x:c r="F7238" s="18" t="n">
        <x:v>18.61</x:v>
      </x:c>
      <x:c r="G7238" t="n">
        <x:v>36</x:v>
      </x:c>
      <x:c r="H7238" t="str">
        <x:v>E</x:v>
      </x:c>
      <x:c r="I7238" t="str">
        <x:v>10+ years</x:v>
      </x:c>
      <x:c r="J7238" t="str">
        <x:v>MORTGAGE</x:v>
      </x:c>
      <x:c r="K7238" t="str">
        <x:v>debt_consolidation</x:v>
      </x:c>
      <x:c r="L7238" t="n">
        <x:v>0</x:v>
      </x:c>
      <x:c r="M7238" t="n">
        <x:v>1</x:v>
      </x:c>
      <x:c r="N7238" t="str">
        <x:v>Charged Off</x:v>
      </x:c>
      <x:c r="O7238" t="str">
        <x:f>IF(D7238="","Unknown",IF(D7238&lt;25000,"&lt;$25k",IF(D7238&lt;50000,"$25k-$50k",IF(D7238&lt;75000,"$50k-$75k",IF(D7238&lt;100000,"$75k-$100k","$100k+")))))</x:f>
        <x:v>$50k-$75k</x:v>
      </x:c>
      <x:c r="P7238" t="str">
        <x:f>IF(E7238="","Unknown",IF(E7238&lt;10,"&lt;10",IF(E7238&lt;20,"10-&lt;20",IF(E7238&lt;25,"20-&lt;25",IF(E7238&lt;35,"25-&lt;35","35+")))))</x:f>
        <x:v>20-&lt;25</x:v>
      </x:c>
    </x:row>
    <x:row r="7239">
      <x:c r="A7239" t="str">
        <x:v>SYN0007238</x:v>
      </x:c>
      <x:c r="B7239" s="12" t="n">
        <x:v>41545</x:v>
      </x:c>
      <x:c r="C7239" s="18" t="n">
        <x:v>7516</x:v>
      </x:c>
      <x:c r="D7239" s="18" t="n">
        <x:v>161713</x:v>
      </x:c>
      <x:c r="E7239" s="18" t="n">
        <x:v>28.99</x:v>
      </x:c>
      <x:c r="F7239" s="18" t="n">
        <x:v>11.28</x:v>
      </x:c>
      <x:c r="G7239" t="n">
        <x:v>60</x:v>
      </x:c>
      <x:c r="H7239" t="str">
        <x:v>C</x:v>
      </x:c>
      <x:c r="I7239" t="str">
        <x:v>1-3 years</x:v>
      </x:c>
      <x:c r="J7239" t="str">
        <x:v>MORTGAGE</x:v>
      </x:c>
      <x:c r="K7239" t="str">
        <x:v>debt_consolidation</x:v>
      </x:c>
      <x:c r="L7239" t="n">
        <x:v>1</x:v>
      </x:c>
      <x:c r="M7239" t="n">
        <x:v>0</x:v>
      </x:c>
      <x:c r="N7239" t="str">
        <x:v>Fully Paid</x:v>
      </x:c>
      <x:c r="O7239" t="str">
        <x:f>IF(D7239="","Unknown",IF(D7239&lt;25000,"&lt;$25k",IF(D7239&lt;50000,"$25k-$50k",IF(D7239&lt;75000,"$50k-$75k",IF(D7239&lt;100000,"$75k-$100k","$100k+")))))</x:f>
        <x:v>$100k+</x:v>
      </x:c>
      <x:c r="P7239" t="str">
        <x:f>IF(E7239="","Unknown",IF(E7239&lt;10,"&lt;10",IF(E7239&lt;20,"10-&lt;20",IF(E7239&lt;25,"20-&lt;25",IF(E7239&lt;35,"25-&lt;35","35+")))))</x:f>
        <x:v>25-&lt;35</x:v>
      </x:c>
    </x:row>
    <x:row r="7240">
      <x:c r="A7240" t="str">
        <x:v>SYN0007239</x:v>
      </x:c>
      <x:c r="B7240" s="12" t="n">
        <x:v>42685</x:v>
      </x:c>
      <x:c r="C7240" s="18" t="n">
        <x:v>10987</x:v>
      </x:c>
      <x:c r="D7240" s="18" t="n">
        <x:v>18136</x:v>
      </x:c>
      <x:c r="E7240" s="18" t="n">
        <x:v>18.49</x:v>
      </x:c>
      <x:c r="F7240" s="18" t="n">
        <x:v>7.36</x:v>
      </x:c>
      <x:c r="G7240" t="n">
        <x:v>36</x:v>
      </x:c>
      <x:c r="H7240" t="str">
        <x:v>A</x:v>
      </x:c>
      <x:c r="I7240" t="str">
        <x:v>1-3 years</x:v>
      </x:c>
      <x:c r="J7240" t="str">
        <x:v>MORTGAGE</x:v>
      </x:c>
      <x:c r="K7240" t="str">
        <x:v>major_purchase</x:v>
      </x:c>
      <x:c r="L7240" t="n">
        <x:v>0</x:v>
      </x:c>
      <x:c r="M7240" t="n">
        <x:v>0</x:v>
      </x:c>
      <x:c r="N7240" t="str">
        <x:v>Fully Paid</x:v>
      </x:c>
      <x:c r="O7240" t="str">
        <x:f>IF(D7240="","Unknown",IF(D7240&lt;25000,"&lt;$25k",IF(D7240&lt;50000,"$25k-$50k",IF(D7240&lt;75000,"$50k-$75k",IF(D7240&lt;100000,"$75k-$100k","$100k+")))))</x:f>
        <x:v>&lt;$25k</x:v>
      </x:c>
      <x:c r="P7240" t="str">
        <x:f>IF(E7240="","Unknown",IF(E7240&lt;10,"&lt;10",IF(E7240&lt;20,"10-&lt;20",IF(E7240&lt;25,"20-&lt;25",IF(E7240&lt;35,"25-&lt;35","35+")))))</x:f>
        <x:v>10-&lt;20</x:v>
      </x:c>
    </x:row>
    <x:row r="7241">
      <x:c r="A7241" t="str">
        <x:v>SYN0007240</x:v>
      </x:c>
      <x:c r="B7241" s="12" t="n">
        <x:v>42475</x:v>
      </x:c>
      <x:c r="C7241" s="18" t="n">
        <x:v>11826</x:v>
      </x:c>
      <x:c r="D7241" s="18" t="n">
        <x:v>56998</x:v>
      </x:c>
      <x:c r="E7241" s="18" t="n">
        <x:v>18.69</x:v>
      </x:c>
      <x:c r="F7241" s="18" t="n">
        <x:v>19.89</x:v>
      </x:c>
      <x:c r="G7241" t="n">
        <x:v>36</x:v>
      </x:c>
      <x:c r="H7241" t="str">
        <x:v>E</x:v>
      </x:c>
      <x:c r="I7241" t="str">
        <x:v>1-3 years</x:v>
      </x:c>
      <x:c r="J7241" t="str">
        <x:v>OWN</x:v>
      </x:c>
      <x:c r="K7241" t="str">
        <x:v>debt_consolidation</x:v>
      </x:c>
      <x:c r="L7241" t="n">
        <x:v>0</x:v>
      </x:c>
      <x:c r="M7241" t="n">
        <x:v>0</x:v>
      </x:c>
      <x:c r="N7241" t="str">
        <x:v>Fully Paid</x:v>
      </x:c>
      <x:c r="O7241" t="str">
        <x:f>IF(D7241="","Unknown",IF(D7241&lt;25000,"&lt;$25k",IF(D7241&lt;50000,"$25k-$50k",IF(D7241&lt;75000,"$50k-$75k",IF(D7241&lt;100000,"$75k-$100k","$100k+")))))</x:f>
        <x:v>$50k-$75k</x:v>
      </x:c>
      <x:c r="P7241" t="str">
        <x:f>IF(E7241="","Unknown",IF(E7241&lt;10,"&lt;10",IF(E7241&lt;20,"10-&lt;20",IF(E7241&lt;25,"20-&lt;25",IF(E7241&lt;35,"25-&lt;35","35+")))))</x:f>
        <x:v>10-&lt;20</x:v>
      </x:c>
    </x:row>
    <x:row r="7242">
      <x:c r="A7242" t="str">
        <x:v>SYN0007241</x:v>
      </x:c>
      <x:c r="B7242" s="12" t="n">
        <x:v>41815</x:v>
      </x:c>
      <x:c r="C7242" s="18" t="n">
        <x:v>15664</x:v>
      </x:c>
      <x:c r="D7242" s="18" t="n">
        <x:v>47417</x:v>
      </x:c>
      <x:c r="E7242" s="18" t="n">
        <x:v>24.98</x:v>
      </x:c>
      <x:c r="F7242" s="18" t="n">
        <x:v>24.43</x:v>
      </x:c>
      <x:c r="G7242" t="n">
        <x:v>60</x:v>
      </x:c>
      <x:c r="H7242" t="str">
        <x:v>G</x:v>
      </x:c>
      <x:c r="I7242" t="str">
        <x:v>1-3 years</x:v>
      </x:c>
      <x:c r="J7242" t="str">
        <x:v>MORTGAGE</x:v>
      </x:c>
      <x:c r="K7242" t="str">
        <x:v>medical</x:v>
      </x:c>
      <x:c r="L7242" t="n">
        <x:v>1</x:v>
      </x:c>
      <x:c r="M7242" t="n">
        <x:v>1</x:v>
      </x:c>
      <x:c r="N7242" t="str">
        <x:v>Charged Off</x:v>
      </x:c>
      <x:c r="O7242" t="str">
        <x:f>IF(D7242="","Unknown",IF(D7242&lt;25000,"&lt;$25k",IF(D7242&lt;50000,"$25k-$50k",IF(D7242&lt;75000,"$50k-$75k",IF(D7242&lt;100000,"$75k-$100k","$100k+")))))</x:f>
        <x:v>$25k-$50k</x:v>
      </x:c>
      <x:c r="P7242" t="str">
        <x:f>IF(E7242="","Unknown",IF(E7242&lt;10,"&lt;10",IF(E7242&lt;20,"10-&lt;20",IF(E7242&lt;25,"20-&lt;25",IF(E7242&lt;35,"25-&lt;35","35+")))))</x:f>
        <x:v>20-&lt;25</x:v>
      </x:c>
    </x:row>
    <x:row r="7243">
      <x:c r="A7243" t="str">
        <x:v>SYN0007242</x:v>
      </x:c>
      <x:c r="B7243" s="12" t="n">
        <x:v>42595</x:v>
      </x:c>
      <x:c r="C7243" s="18" t="n">
        <x:v>14792</x:v>
      </x:c>
      <x:c r="D7243" s="18" t="n">
        <x:v>23600</x:v>
      </x:c>
      <x:c r="E7243" s="18" t="n">
        <x:v>32.63</x:v>
      </x:c>
      <x:c r="F7243" s="18" t="n">
        <x:v>9.35</x:v>
      </x:c>
      <x:c r="G7243" t="n">
        <x:v>36</x:v>
      </x:c>
      <x:c r="H7243" t="str">
        <x:v>C</x:v>
      </x:c>
      <x:c r="I7243" t="str">
        <x:v>4-6 years</x:v>
      </x:c>
      <x:c r="J7243" t="str">
        <x:v>RENT</x:v>
      </x:c>
      <x:c r="K7243" t="str">
        <x:v>debt_consolidation</x:v>
      </x:c>
      <x:c r="L7243" t="n">
        <x:v>1</x:v>
      </x:c>
      <x:c r="M7243" t="n">
        <x:v>0</x:v>
      </x:c>
      <x:c r="N7243" t="str">
        <x:v>Fully Paid</x:v>
      </x:c>
      <x:c r="O7243" t="str">
        <x:f>IF(D7243="","Unknown",IF(D7243&lt;25000,"&lt;$25k",IF(D7243&lt;50000,"$25k-$50k",IF(D7243&lt;75000,"$50k-$75k",IF(D7243&lt;100000,"$75k-$100k","$100k+")))))</x:f>
        <x:v>&lt;$25k</x:v>
      </x:c>
      <x:c r="P7243" t="str">
        <x:f>IF(E7243="","Unknown",IF(E7243&lt;10,"&lt;10",IF(E7243&lt;20,"10-&lt;20",IF(E7243&lt;25,"20-&lt;25",IF(E7243&lt;35,"25-&lt;35","35+")))))</x:f>
        <x:v>25-&lt;35</x:v>
      </x:c>
    </x:row>
    <x:row r="7244">
      <x:c r="A7244" t="str">
        <x:v>SYN0007243</x:v>
      </x:c>
      <x:c r="B7244" s="12" t="n">
        <x:v>42865</x:v>
      </x:c>
      <x:c r="C7244" s="18" t="n">
        <x:v>17196</x:v>
      </x:c>
      <x:c r="D7244" s="18" t="n">
        <x:v>35128</x:v>
      </x:c>
      <x:c r="E7244" s="18" t="n">
        <x:v>14.14</x:v>
      </x:c>
      <x:c r="F7244" s="18" t="n">
        <x:v>10.4</x:v>
      </x:c>
      <x:c r="G7244" t="n">
        <x:v>60</x:v>
      </x:c>
      <x:c r="H7244" t="str">
        <x:v>C</x:v>
      </x:c>
      <x:c r="I7244" t="str">
        <x:v>4-6 years</x:v>
      </x:c>
      <x:c r="J7244" t="str">
        <x:v>OWN</x:v>
      </x:c>
      <x:c r="K7244" t="str">
        <x:v>other</x:v>
      </x:c>
      <x:c r="L7244" t="n">
        <x:v>0</x:v>
      </x:c>
      <x:c r="M7244" t="n">
        <x:v>0</x:v>
      </x:c>
      <x:c r="N7244" t="str">
        <x:v>Fully Paid</x:v>
      </x:c>
      <x:c r="O7244" t="str">
        <x:f>IF(D7244="","Unknown",IF(D7244&lt;25000,"&lt;$25k",IF(D7244&lt;50000,"$25k-$50k",IF(D7244&lt;75000,"$50k-$75k",IF(D7244&lt;100000,"$75k-$100k","$100k+")))))</x:f>
        <x:v>$25k-$50k</x:v>
      </x:c>
      <x:c r="P7244" t="str">
        <x:f>IF(E7244="","Unknown",IF(E7244&lt;10,"&lt;10",IF(E7244&lt;20,"10-&lt;20",IF(E7244&lt;25,"20-&lt;25",IF(E7244&lt;35,"25-&lt;35","35+")))))</x:f>
        <x:v>10-&lt;20</x:v>
      </x:c>
    </x:row>
    <x:row r="7245">
      <x:c r="A7245" t="str">
        <x:v>SYN0007244</x:v>
      </x:c>
      <x:c r="B7245" s="12" t="n">
        <x:v>42445</x:v>
      </x:c>
      <x:c r="C7245" s="18" t="n">
        <x:v>24062</x:v>
      </x:c>
      <x:c r="D7245" s="18" t="n">
        <x:v>63664</x:v>
      </x:c>
      <x:c r="E7245" s="18" t="n">
        <x:v>21.55</x:v>
      </x:c>
      <x:c r="F7245" s="18" t="n">
        <x:v>9.96</x:v>
      </x:c>
      <x:c r="G7245" t="n">
        <x:v>36</x:v>
      </x:c>
      <x:c r="H7245" t="str">
        <x:v>B</x:v>
      </x:c>
      <x:c r="I7245" t="str">
        <x:v>4-6 years</x:v>
      </x:c>
      <x:c r="J7245" t="str">
        <x:v>RENT</x:v>
      </x:c>
      <x:c r="K7245" t="str">
        <x:v>other</x:v>
      </x:c>
      <x:c r="L7245" t="n">
        <x:v>2</x:v>
      </x:c>
      <x:c r="M7245" t="n">
        <x:v>0</x:v>
      </x:c>
      <x:c r="N7245" t="str">
        <x:v>Fully Paid</x:v>
      </x:c>
      <x:c r="O7245" t="str">
        <x:f>IF(D7245="","Unknown",IF(D7245&lt;25000,"&lt;$25k",IF(D7245&lt;50000,"$25k-$50k",IF(D7245&lt;75000,"$50k-$75k",IF(D7245&lt;100000,"$75k-$100k","$100k+")))))</x:f>
        <x:v>$50k-$75k</x:v>
      </x:c>
      <x:c r="P7245" t="str">
        <x:f>IF(E7245="","Unknown",IF(E7245&lt;10,"&lt;10",IF(E7245&lt;20,"10-&lt;20",IF(E7245&lt;25,"20-&lt;25",IF(E7245&lt;35,"25-&lt;35","35+")))))</x:f>
        <x:v>20-&lt;25</x:v>
      </x:c>
    </x:row>
    <x:row r="7246">
      <x:c r="A7246" t="str">
        <x:v>SYN0007245</x:v>
      </x:c>
      <x:c r="B7246" s="12" t="n">
        <x:v>41725</x:v>
      </x:c>
      <x:c r="C7246" s="18" t="n">
        <x:v>29702</x:v>
      </x:c>
      <x:c r="D7246" s="18" t="n">
        <x:v>83136</x:v>
      </x:c>
      <x:c r="E7246" s="18" t="n">
        <x:v>29.97</x:v>
      </x:c>
      <x:c r="F7246" s="18" t="n">
        <x:v>12.4</x:v>
      </x:c>
      <x:c r="G7246" t="n">
        <x:v>36</x:v>
      </x:c>
      <x:c r="H7246" t="str">
        <x:v>D</x:v>
      </x:c>
      <x:c r="I7246" t="str">
        <x:v>&lt;1 year</x:v>
      </x:c>
      <x:c r="J7246" t="str">
        <x:v>RENT</x:v>
      </x:c>
      <x:c r="K7246" t="str">
        <x:v>debt_consolidation</x:v>
      </x:c>
      <x:c r="L7246" t="n">
        <x:v>0</x:v>
      </x:c>
      <x:c r="M7246" t="n">
        <x:v>0</x:v>
      </x:c>
      <x:c r="N7246" t="str">
        <x:v>Fully Paid</x:v>
      </x:c>
      <x:c r="O7246" t="str">
        <x:f>IF(D7246="","Unknown",IF(D7246&lt;25000,"&lt;$25k",IF(D7246&lt;50000,"$25k-$50k",IF(D7246&lt;75000,"$50k-$75k",IF(D7246&lt;100000,"$75k-$100k","$100k+")))))</x:f>
        <x:v>$75k-$100k</x:v>
      </x:c>
      <x:c r="P7246" t="str">
        <x:f>IF(E7246="","Unknown",IF(E7246&lt;10,"&lt;10",IF(E7246&lt;20,"10-&lt;20",IF(E7246&lt;25,"20-&lt;25",IF(E7246&lt;35,"25-&lt;35","35+")))))</x:f>
        <x:v>25-&lt;35</x:v>
      </x:c>
    </x:row>
    <x:row r="7247">
      <x:c r="A7247" t="str">
        <x:v>SYN0007246</x:v>
      </x:c>
      <x:c r="B7247" s="12" t="n">
        <x:v>43105</x:v>
      </x:c>
      <x:c r="C7247" s="18" t="n">
        <x:v>13628</x:v>
      </x:c>
      <x:c r="D7247" s="18" t="n">
        <x:v>54472</x:v>
      </x:c>
      <x:c r="E7247" s="18" t="n">
        <x:v>32.87</x:v>
      </x:c>
      <x:c r="F7247" s="18" t="n">
        <x:v>8.75</x:v>
      </x:c>
      <x:c r="G7247" t="n">
        <x:v>60</x:v>
      </x:c>
      <x:c r="H7247" t="str">
        <x:v>B</x:v>
      </x:c>
      <x:c r="I7247" t="str">
        <x:v>10+ years</x:v>
      </x:c>
      <x:c r="J7247" t="str">
        <x:v>OWN</x:v>
      </x:c>
      <x:c r="K7247" t="str">
        <x:v>debt_consolidation</x:v>
      </x:c>
      <x:c r="L7247" t="n">
        <x:v>1</x:v>
      </x:c>
      <x:c r="M7247" t="n">
        <x:v>0</x:v>
      </x:c>
      <x:c r="N7247" t="str">
        <x:v>Fully Paid</x:v>
      </x:c>
      <x:c r="O7247" t="str">
        <x:f>IF(D7247="","Unknown",IF(D7247&lt;25000,"&lt;$25k",IF(D7247&lt;50000,"$25k-$50k",IF(D7247&lt;75000,"$50k-$75k",IF(D7247&lt;100000,"$75k-$100k","$100k+")))))</x:f>
        <x:v>$50k-$75k</x:v>
      </x:c>
      <x:c r="P7247" t="str">
        <x:f>IF(E7247="","Unknown",IF(E7247&lt;10,"&lt;10",IF(E7247&lt;20,"10-&lt;20",IF(E7247&lt;25,"20-&lt;25",IF(E7247&lt;35,"25-&lt;35","35+")))))</x:f>
        <x:v>25-&lt;35</x:v>
      </x:c>
    </x:row>
    <x:row r="7248">
      <x:c r="A7248" t="str">
        <x:v>SYN0007247</x:v>
      </x:c>
      <x:c r="B7248" s="12" t="n">
        <x:v>43225</x:v>
      </x:c>
      <x:c r="C7248" s="18" t="n">
        <x:v>26876</x:v>
      </x:c>
      <x:c r="D7248" s="18" t="n">
        <x:v>73035</x:v>
      </x:c>
      <x:c r="E7248" s="18" t="n">
        <x:v>15.38</x:v>
      </x:c>
      <x:c r="F7248" s="18" t="n">
        <x:v>16.61</x:v>
      </x:c>
      <x:c r="G7248" t="n">
        <x:v>36</x:v>
      </x:c>
      <x:c r="H7248" t="str">
        <x:v>D</x:v>
      </x:c>
      <x:c r="I7248" t="str">
        <x:v>10+ years</x:v>
      </x:c>
      <x:c r="J7248" t="str">
        <x:v>RENT</x:v>
      </x:c>
      <x:c r="K7248" t="str">
        <x:v>credit_card</x:v>
      </x:c>
      <x:c r="L7248" t="n">
        <x:v>1</x:v>
      </x:c>
      <x:c r="M7248" t="n">
        <x:v>0</x:v>
      </x:c>
      <x:c r="N7248" t="str">
        <x:v>Fully Paid</x:v>
      </x:c>
      <x:c r="O7248" t="str">
        <x:f>IF(D7248="","Unknown",IF(D7248&lt;25000,"&lt;$25k",IF(D7248&lt;50000,"$25k-$50k",IF(D7248&lt;75000,"$50k-$75k",IF(D7248&lt;100000,"$75k-$100k","$100k+")))))</x:f>
        <x:v>$50k-$75k</x:v>
      </x:c>
      <x:c r="P7248" t="str">
        <x:f>IF(E7248="","Unknown",IF(E7248&lt;10,"&lt;10",IF(E7248&lt;20,"10-&lt;20",IF(E7248&lt;25,"20-&lt;25",IF(E7248&lt;35,"25-&lt;35","35+")))))</x:f>
        <x:v>10-&lt;20</x:v>
      </x:c>
    </x:row>
    <x:row r="7249">
      <x:c r="A7249" t="str">
        <x:v>SYN0007248</x:v>
      </x:c>
      <x:c r="B7249" s="12" t="n">
        <x:v>43075</x:v>
      </x:c>
      <x:c r="C7249" s="18" t="n">
        <x:v>12531</x:v>
      </x:c>
      <x:c r="D7249" s="18" t="n">
        <x:v>28231</x:v>
      </x:c>
      <x:c r="E7249" s="18" t="n">
        <x:v>15.24</x:v>
      </x:c>
      <x:c r="F7249" s="18" t="n">
        <x:v>11.86</x:v>
      </x:c>
      <x:c r="G7249" t="n">
        <x:v>36</x:v>
      </x:c>
      <x:c r="H7249" t="str">
        <x:v>C</x:v>
      </x:c>
      <x:c r="I7249" t="str">
        <x:v>10+ years</x:v>
      </x:c>
      <x:c r="J7249" t="str">
        <x:v>RENT</x:v>
      </x:c>
      <x:c r="K7249" t="str">
        <x:v>debt_consolidation</x:v>
      </x:c>
      <x:c r="L7249" t="n">
        <x:v>1</x:v>
      </x:c>
      <x:c r="M7249" t="n">
        <x:v>0</x:v>
      </x:c>
      <x:c r="N7249" t="str">
        <x:v>Fully Paid</x:v>
      </x:c>
      <x:c r="O7249" t="str">
        <x:f>IF(D7249="","Unknown",IF(D7249&lt;25000,"&lt;$25k",IF(D7249&lt;50000,"$25k-$50k",IF(D7249&lt;75000,"$50k-$75k",IF(D7249&lt;100000,"$75k-$100k","$100k+")))))</x:f>
        <x:v>$25k-$50k</x:v>
      </x:c>
      <x:c r="P7249" t="str">
        <x:f>IF(E7249="","Unknown",IF(E7249&lt;10,"&lt;10",IF(E7249&lt;20,"10-&lt;20",IF(E7249&lt;25,"20-&lt;25",IF(E7249&lt;35,"25-&lt;35","35+")))))</x:f>
        <x:v>10-&lt;20</x:v>
      </x:c>
    </x:row>
    <x:row r="7250">
      <x:c r="A7250" t="str">
        <x:v>SYN0007249</x:v>
      </x:c>
      <x:c r="B7250" s="12" t="n">
        <x:v>42775</x:v>
      </x:c>
      <x:c r="C7250" s="18" t="n">
        <x:v>8177</x:v>
      </x:c>
      <x:c r="D7250" s="18" t="n">
        <x:v>90294</x:v>
      </x:c>
      <x:c r="E7250" s="18" t="n">
        <x:v>20.3</x:v>
      </x:c>
      <x:c r="F7250" s="18" t="n">
        <x:v>9.87</x:v>
      </x:c>
      <x:c r="G7250" t="n">
        <x:v>36</x:v>
      </x:c>
      <x:c r="H7250" t="str">
        <x:v>B</x:v>
      </x:c>
      <x:c r="I7250" t="str">
        <x:v>4-6 years</x:v>
      </x:c>
      <x:c r="J7250" t="str">
        <x:v>MORTGAGE</x:v>
      </x:c>
      <x:c r="K7250" t="str">
        <x:v>medical</x:v>
      </x:c>
      <x:c r="L7250" t="n">
        <x:v>0</x:v>
      </x:c>
      <x:c r="M7250" t="n">
        <x:v>0</x:v>
      </x:c>
      <x:c r="N7250" t="str">
        <x:v>Fully Paid</x:v>
      </x:c>
      <x:c r="O7250" t="str">
        <x:f>IF(D7250="","Unknown",IF(D7250&lt;25000,"&lt;$25k",IF(D7250&lt;50000,"$25k-$50k",IF(D7250&lt;75000,"$50k-$75k",IF(D7250&lt;100000,"$75k-$100k","$100k+")))))</x:f>
        <x:v>$75k-$100k</x:v>
      </x:c>
      <x:c r="P7250" t="str">
        <x:f>IF(E7250="","Unknown",IF(E7250&lt;10,"&lt;10",IF(E7250&lt;20,"10-&lt;20",IF(E7250&lt;25,"20-&lt;25",IF(E7250&lt;35,"25-&lt;35","35+")))))</x:f>
        <x:v>20-&lt;25</x:v>
      </x:c>
    </x:row>
    <x:row r="7251">
      <x:c r="A7251" t="str">
        <x:v>SYN0007250</x:v>
      </x:c>
      <x:c r="B7251" s="12" t="n">
        <x:v>42985</x:v>
      </x:c>
      <x:c r="C7251" s="18" t="n">
        <x:v>14820</x:v>
      </x:c>
      <x:c r="D7251" s="18" t="n">
        <x:v>62058</x:v>
      </x:c>
      <x:c r="E7251" s="18" t="n">
        <x:v>29.12</x:v>
      </x:c>
      <x:c r="F7251" s="18" t="n">
        <x:v>17.27</x:v>
      </x:c>
      <x:c r="G7251" t="n">
        <x:v>36</x:v>
      </x:c>
      <x:c r="H7251" t="str">
        <x:v>E</x:v>
      </x:c>
      <x:c r="I7251" t="str">
        <x:v>10+ years</x:v>
      </x:c>
      <x:c r="J7251" t="str">
        <x:v>MORTGAGE</x:v>
      </x:c>
      <x:c r="K7251" t="str">
        <x:v>home_improvement</x:v>
      </x:c>
      <x:c r="L7251" t="n">
        <x:v>0</x:v>
      </x:c>
      <x:c r="M7251" t="n">
        <x:v>0</x:v>
      </x:c>
      <x:c r="N7251" t="str">
        <x:v>Fully Paid</x:v>
      </x:c>
      <x:c r="O7251" t="str">
        <x:f>IF(D7251="","Unknown",IF(D7251&lt;25000,"&lt;$25k",IF(D7251&lt;50000,"$25k-$50k",IF(D7251&lt;75000,"$50k-$75k",IF(D7251&lt;100000,"$75k-$100k","$100k+")))))</x:f>
        <x:v>$50k-$75k</x:v>
      </x:c>
      <x:c r="P7251" t="str">
        <x:f>IF(E7251="","Unknown",IF(E7251&lt;10,"&lt;10",IF(E7251&lt;20,"10-&lt;20",IF(E7251&lt;25,"20-&lt;25",IF(E7251&lt;35,"25-&lt;35","35+")))))</x:f>
        <x:v>25-&lt;35</x:v>
      </x:c>
    </x:row>
    <x:row r="7252">
      <x:c r="A7252" t="str">
        <x:v>SYN0007251</x:v>
      </x:c>
      <x:c r="B7252" s="12" t="n">
        <x:v>42055</x:v>
      </x:c>
      <x:c r="C7252" s="18" t="n">
        <x:v>20910</x:v>
      </x:c>
      <x:c r="D7252" s="18" t="n">
        <x:v>73236</x:v>
      </x:c>
      <x:c r="E7252" s="18" t="n">
        <x:v>16.7</x:v>
      </x:c>
      <x:c r="F7252" s="18" t="n">
        <x:v>11.19</x:v>
      </x:c>
      <x:c r="G7252" t="n">
        <x:v>60</x:v>
      </x:c>
      <x:c r="H7252" t="str">
        <x:v>C</x:v>
      </x:c>
      <x:c r="I7252" t="str">
        <x:v>1-3 years</x:v>
      </x:c>
      <x:c r="J7252" t="str">
        <x:v>OWN</x:v>
      </x:c>
      <x:c r="K7252" t="str">
        <x:v>debt_consolidation</x:v>
      </x:c>
      <x:c r="L7252" t="n">
        <x:v>0</x:v>
      </x:c>
      <x:c r="M7252" t="n">
        <x:v>1</x:v>
      </x:c>
      <x:c r="N7252" t="str">
        <x:v>Charged Off</x:v>
      </x:c>
      <x:c r="O7252" t="str">
        <x:f>IF(D7252="","Unknown",IF(D7252&lt;25000,"&lt;$25k",IF(D7252&lt;50000,"$25k-$50k",IF(D7252&lt;75000,"$50k-$75k",IF(D7252&lt;100000,"$75k-$100k","$100k+")))))</x:f>
        <x:v>$50k-$75k</x:v>
      </x:c>
      <x:c r="P7252" t="str">
        <x:f>IF(E7252="","Unknown",IF(E7252&lt;10,"&lt;10",IF(E7252&lt;20,"10-&lt;20",IF(E7252&lt;25,"20-&lt;25",IF(E7252&lt;35,"25-&lt;35","35+")))))</x:f>
        <x:v>10-&lt;20</x:v>
      </x:c>
    </x:row>
    <x:row r="7253">
      <x:c r="A7253" t="str">
        <x:v>SYN0007252</x:v>
      </x:c>
      <x:c r="B7253" s="12" t="n">
        <x:v>42145</x:v>
      </x:c>
      <x:c r="C7253" s="18" t="n">
        <x:v>19069</x:v>
      </x:c>
      <x:c r="D7253" s="18" t="n">
        <x:v>66101</x:v>
      </x:c>
      <x:c r="E7253" s="18" t="n">
        <x:v>21.85</x:v>
      </x:c>
      <x:c r="F7253" s="18" t="n">
        <x:v>16.87</x:v>
      </x:c>
      <x:c r="G7253" t="n">
        <x:v>36</x:v>
      </x:c>
      <x:c r="H7253" t="str">
        <x:v>E</x:v>
      </x:c>
      <x:c r="I7253" t="str">
        <x:v>10+ years</x:v>
      </x:c>
      <x:c r="J7253" t="str">
        <x:v>OWN</x:v>
      </x:c>
      <x:c r="K7253" t="str">
        <x:v>debt_consolidation</x:v>
      </x:c>
      <x:c r="L7253" t="n">
        <x:v>1</x:v>
      </x:c>
      <x:c r="M7253" t="n">
        <x:v>0</x:v>
      </x:c>
      <x:c r="N7253" t="str">
        <x:v>Fully Paid</x:v>
      </x:c>
      <x:c r="O7253" t="str">
        <x:f>IF(D7253="","Unknown",IF(D7253&lt;25000,"&lt;$25k",IF(D7253&lt;50000,"$25k-$50k",IF(D7253&lt;75000,"$50k-$75k",IF(D7253&lt;100000,"$75k-$100k","$100k+")))))</x:f>
        <x:v>$50k-$75k</x:v>
      </x:c>
      <x:c r="P7253" t="str">
        <x:f>IF(E7253="","Unknown",IF(E7253&lt;10,"&lt;10",IF(E7253&lt;20,"10-&lt;20",IF(E7253&lt;25,"20-&lt;25",IF(E7253&lt;35,"25-&lt;35","35+")))))</x:f>
        <x:v>20-&lt;25</x:v>
      </x:c>
    </x:row>
    <x:row r="7254">
      <x:c r="A7254" t="str">
        <x:v>SYN0007253</x:v>
      </x:c>
      <x:c r="B7254" s="12" t="n">
        <x:v>41935</x:v>
      </x:c>
      <x:c r="C7254" s="18" t="n">
        <x:v>6640</x:v>
      </x:c>
      <x:c r="D7254" s="18" t="n">
        <x:v>68340</x:v>
      </x:c>
      <x:c r="E7254" s="18" t="n">
        <x:v>18.99</x:v>
      </x:c>
      <x:c r="F7254" s="18" t="n">
        <x:v>9.91</x:v>
      </x:c>
      <x:c r="G7254" t="n">
        <x:v>36</x:v>
      </x:c>
      <x:c r="H7254" t="str">
        <x:v>A</x:v>
      </x:c>
      <x:c r="I7254" t="str">
        <x:v>1-3 years</x:v>
      </x:c>
      <x:c r="J7254" t="str">
        <x:v>MORTGAGE</x:v>
      </x:c>
      <x:c r="K7254" t="str">
        <x:v>debt_consolidation</x:v>
      </x:c>
      <x:c r="L7254" t="n">
        <x:v>1</x:v>
      </x:c>
      <x:c r="M7254" t="n">
        <x:v>0</x:v>
      </x:c>
      <x:c r="N7254" t="str">
        <x:v>Fully Paid</x:v>
      </x:c>
      <x:c r="O7254" t="str">
        <x:f>IF(D7254="","Unknown",IF(D7254&lt;25000,"&lt;$25k",IF(D7254&lt;50000,"$25k-$50k",IF(D7254&lt;75000,"$50k-$75k",IF(D7254&lt;100000,"$75k-$100k","$100k+")))))</x:f>
        <x:v>$50k-$75k</x:v>
      </x:c>
      <x:c r="P7254" t="str">
        <x:f>IF(E7254="","Unknown",IF(E7254&lt;10,"&lt;10",IF(E7254&lt;20,"10-&lt;20",IF(E7254&lt;25,"20-&lt;25",IF(E7254&lt;35,"25-&lt;35","35+")))))</x:f>
        <x:v>10-&lt;20</x:v>
      </x:c>
    </x:row>
    <x:row r="7255">
      <x:c r="A7255" t="str">
        <x:v>SYN0007254</x:v>
      </x:c>
      <x:c r="B7255" s="12" t="n">
        <x:v>41605</x:v>
      </x:c>
      <x:c r="C7255" s="18" t="n">
        <x:v>21604</x:v>
      </x:c>
      <x:c r="D7255" s="18" t="n">
        <x:v>13746</x:v>
      </x:c>
      <x:c r="E7255" s="18" t="n">
        <x:v>19.5</x:v>
      </x:c>
      <x:c r="F7255" s="18" t="n">
        <x:v>5.59</x:v>
      </x:c>
      <x:c r="G7255" t="n">
        <x:v>60</x:v>
      </x:c>
      <x:c r="H7255" t="str">
        <x:v>A</x:v>
      </x:c>
      <x:c r="I7255" t="str">
        <x:v>7-9 years</x:v>
      </x:c>
      <x:c r="J7255" t="str">
        <x:v>MORTGAGE</x:v>
      </x:c>
      <x:c r="K7255" t="str">
        <x:v>other</x:v>
      </x:c>
      <x:c r="L7255" t="n">
        <x:v>0</x:v>
      </x:c>
      <x:c r="M7255" t="n">
        <x:v>0</x:v>
      </x:c>
      <x:c r="N7255" t="str">
        <x:v>Fully Paid</x:v>
      </x:c>
      <x:c r="O7255" t="str">
        <x:f>IF(D7255="","Unknown",IF(D7255&lt;25000,"&lt;$25k",IF(D7255&lt;50000,"$25k-$50k",IF(D7255&lt;75000,"$50k-$75k",IF(D7255&lt;100000,"$75k-$100k","$100k+")))))</x:f>
        <x:v>&lt;$25k</x:v>
      </x:c>
      <x:c r="P7255" t="str">
        <x:f>IF(E7255="","Unknown",IF(E7255&lt;10,"&lt;10",IF(E7255&lt;20,"10-&lt;20",IF(E7255&lt;25,"20-&lt;25",IF(E7255&lt;35,"25-&lt;35","35+")))))</x:f>
        <x:v>10-&lt;20</x:v>
      </x:c>
    </x:row>
    <x:row r="7256">
      <x:c r="A7256" t="str">
        <x:v>SYN0007255</x:v>
      </x:c>
      <x:c r="B7256" s="12" t="n">
        <x:v>42355</x:v>
      </x:c>
      <x:c r="C7256" s="18" t="n">
        <x:v>16089</x:v>
      </x:c>
      <x:c r="D7256" s="18" t="n">
        <x:v>65400</x:v>
      </x:c>
      <x:c r="E7256" s="18" t="n">
        <x:v>31.38</x:v>
      </x:c>
      <x:c r="F7256" s="18" t="n">
        <x:v>10.21</x:v>
      </x:c>
      <x:c r="G7256" t="n">
        <x:v>36</x:v>
      </x:c>
      <x:c r="H7256" t="str">
        <x:v>C</x:v>
      </x:c>
      <x:c r="I7256" t="str">
        <x:v>&lt;1 year</x:v>
      </x:c>
      <x:c r="J7256" t="str">
        <x:v>OWN</x:v>
      </x:c>
      <x:c r="K7256" t="str">
        <x:v>credit_card</x:v>
      </x:c>
      <x:c r="L7256" t="n">
        <x:v>0</x:v>
      </x:c>
      <x:c r="M7256" t="n">
        <x:v>0</x:v>
      </x:c>
      <x:c r="N7256" t="str">
        <x:v>Fully Paid</x:v>
      </x:c>
      <x:c r="O7256" t="str">
        <x:f>IF(D7256="","Unknown",IF(D7256&lt;25000,"&lt;$25k",IF(D7256&lt;50000,"$25k-$50k",IF(D7256&lt;75000,"$50k-$75k",IF(D7256&lt;100000,"$75k-$100k","$100k+")))))</x:f>
        <x:v>$50k-$75k</x:v>
      </x:c>
      <x:c r="P7256" t="str">
        <x:f>IF(E7256="","Unknown",IF(E7256&lt;10,"&lt;10",IF(E7256&lt;20,"10-&lt;20",IF(E7256&lt;25,"20-&lt;25",IF(E7256&lt;35,"25-&lt;35","35+")))))</x:f>
        <x:v>25-&lt;35</x:v>
      </x:c>
    </x:row>
    <x:row r="7257">
      <x:c r="A7257" t="str">
        <x:v>SYN0007256</x:v>
      </x:c>
      <x:c r="B7257" s="12" t="n">
        <x:v>42625</x:v>
      </x:c>
      <x:c r="C7257" s="18" t="n">
        <x:v>16856</x:v>
      </x:c>
      <x:c r="D7257" s="18" t="n">
        <x:v>45106</x:v>
      </x:c>
      <x:c r="E7257" s="18" t="n">
        <x:v>18</x:v>
      </x:c>
      <x:c r="F7257" s="18" t="n">
        <x:v>6.02</x:v>
      </x:c>
      <x:c r="G7257" t="n">
        <x:v>36</x:v>
      </x:c>
      <x:c r="H7257" t="str">
        <x:v>A</x:v>
      </x:c>
      <x:c r="I7257" t="str">
        <x:v>1-3 years</x:v>
      </x:c>
      <x:c r="J7257" t="str">
        <x:v>MORTGAGE</x:v>
      </x:c>
      <x:c r="K7257" t="str">
        <x:v>debt_consolidation</x:v>
      </x:c>
      <x:c r="L7257" t="n">
        <x:v>0</x:v>
      </x:c>
      <x:c r="M7257" t="n">
        <x:v>0</x:v>
      </x:c>
      <x:c r="N7257" t="str">
        <x:v>Fully Paid</x:v>
      </x:c>
      <x:c r="O7257" t="str">
        <x:f>IF(D7257="","Unknown",IF(D7257&lt;25000,"&lt;$25k",IF(D7257&lt;50000,"$25k-$50k",IF(D7257&lt;75000,"$50k-$75k",IF(D7257&lt;100000,"$75k-$100k","$100k+")))))</x:f>
        <x:v>$25k-$50k</x:v>
      </x:c>
      <x:c r="P7257" t="str">
        <x:f>IF(E7257="","Unknown",IF(E7257&lt;10,"&lt;10",IF(E7257&lt;20,"10-&lt;20",IF(E7257&lt;25,"20-&lt;25",IF(E7257&lt;35,"25-&lt;35","35+")))))</x:f>
        <x:v>10-&lt;20</x:v>
      </x:c>
    </x:row>
    <x:row r="7258">
      <x:c r="A7258" t="str">
        <x:v>SYN0007257</x:v>
      </x:c>
      <x:c r="B7258" s="12" t="n">
        <x:v>41995</x:v>
      </x:c>
      <x:c r="C7258" s="18" t="n">
        <x:v>8419</x:v>
      </x:c>
      <x:c r="D7258" s="18" t="n">
        <x:v>39134</x:v>
      </x:c>
      <x:c r="E7258" s="18" t="n">
        <x:v>20.02</x:v>
      </x:c>
      <x:c r="F7258" s="18" t="n">
        <x:v>16.49</x:v>
      </x:c>
      <x:c r="G7258" t="n">
        <x:v>36</x:v>
      </x:c>
      <x:c r="H7258" t="str">
        <x:v>E</x:v>
      </x:c>
      <x:c r="I7258" t="str">
        <x:v>&lt;1 year</x:v>
      </x:c>
      <x:c r="J7258" t="str">
        <x:v>MORTGAGE</x:v>
      </x:c>
      <x:c r="K7258" t="str">
        <x:v>debt_consolidation</x:v>
      </x:c>
      <x:c r="L7258" t="n">
        <x:v>1</x:v>
      </x:c>
      <x:c r="M7258" t="n">
        <x:v>0</x:v>
      </x:c>
      <x:c r="N7258" t="str">
        <x:v>Fully Paid</x:v>
      </x:c>
      <x:c r="O7258" t="str">
        <x:f>IF(D7258="","Unknown",IF(D7258&lt;25000,"&lt;$25k",IF(D7258&lt;50000,"$25k-$50k",IF(D7258&lt;75000,"$50k-$75k",IF(D7258&lt;100000,"$75k-$100k","$100k+")))))</x:f>
        <x:v>$25k-$50k</x:v>
      </x:c>
      <x:c r="P7258" t="str">
        <x:f>IF(E7258="","Unknown",IF(E7258&lt;10,"&lt;10",IF(E7258&lt;20,"10-&lt;20",IF(E7258&lt;25,"20-&lt;25",IF(E7258&lt;35,"25-&lt;35","35+")))))</x:f>
        <x:v>20-&lt;25</x:v>
      </x:c>
    </x:row>
    <x:row r="7259">
      <x:c r="A7259" t="str">
        <x:v>SYN0007258</x:v>
      </x:c>
      <x:c r="B7259" s="12" t="n">
        <x:v>42925</x:v>
      </x:c>
      <x:c r="C7259" s="18" t="n">
        <x:v>5529</x:v>
      </x:c>
      <x:c r="D7259" s="18" t="n">
        <x:v>43760</x:v>
      </x:c>
      <x:c r="E7259" s="18" t="n">
        <x:v>15.75</x:v>
      </x:c>
      <x:c r="F7259" s="18" t="n">
        <x:v>14.6</x:v>
      </x:c>
      <x:c r="G7259" t="n">
        <x:v>36</x:v>
      </x:c>
      <x:c r="H7259" t="str">
        <x:v>D</x:v>
      </x:c>
      <x:c r="I7259" t="str">
        <x:v>10+ years</x:v>
      </x:c>
      <x:c r="J7259" t="str">
        <x:v>RENT</x:v>
      </x:c>
      <x:c r="K7259" t="str">
        <x:v>other</x:v>
      </x:c>
      <x:c r="L7259" t="n">
        <x:v>1</x:v>
      </x:c>
      <x:c r="M7259" t="n">
        <x:v>0</x:v>
      </x:c>
      <x:c r="N7259" t="str">
        <x:v>Fully Paid</x:v>
      </x:c>
      <x:c r="O7259" t="str">
        <x:f>IF(D7259="","Unknown",IF(D7259&lt;25000,"&lt;$25k",IF(D7259&lt;50000,"$25k-$50k",IF(D7259&lt;75000,"$50k-$75k",IF(D7259&lt;100000,"$75k-$100k","$100k+")))))</x:f>
        <x:v>$25k-$50k</x:v>
      </x:c>
      <x:c r="P7259" t="str">
        <x:f>IF(E7259="","Unknown",IF(E7259&lt;10,"&lt;10",IF(E7259&lt;20,"10-&lt;20",IF(E7259&lt;25,"20-&lt;25",IF(E7259&lt;35,"25-&lt;35","35+")))))</x:f>
        <x:v>10-&lt;20</x:v>
      </x:c>
    </x:row>
    <x:row r="7260">
      <x:c r="A7260" t="str">
        <x:v>SYN0007259</x:v>
      </x:c>
      <x:c r="B7260" s="12" t="n">
        <x:v>42025</x:v>
      </x:c>
      <x:c r="C7260" s="18" t="n">
        <x:v>7952</x:v>
      </x:c>
      <x:c r="D7260" s="18" t="n">
        <x:v>81137</x:v>
      </x:c>
      <x:c r="E7260" s="18" t="n">
        <x:v>16.7</x:v>
      </x:c>
      <x:c r="F7260" s="18" t="n">
        <x:v>8.98</x:v>
      </x:c>
      <x:c r="G7260" t="n">
        <x:v>60</x:v>
      </x:c>
      <x:c r="H7260" t="str">
        <x:v>C</x:v>
      </x:c>
      <x:c r="I7260" t="str">
        <x:v>1-3 years</x:v>
      </x:c>
      <x:c r="J7260" t="str">
        <x:v>MORTGAGE</x:v>
      </x:c>
      <x:c r="K7260" t="str">
        <x:v>credit_card</x:v>
      </x:c>
      <x:c r="L7260" t="n">
        <x:v>2</x:v>
      </x:c>
      <x:c r="M7260" t="n">
        <x:v>1</x:v>
      </x:c>
      <x:c r="N7260" t="str">
        <x:v>Charged Off</x:v>
      </x:c>
      <x:c r="O7260" t="str">
        <x:f>IF(D7260="","Unknown",IF(D7260&lt;25000,"&lt;$25k",IF(D7260&lt;50000,"$25k-$50k",IF(D7260&lt;75000,"$50k-$75k",IF(D7260&lt;100000,"$75k-$100k","$100k+")))))</x:f>
        <x:v>$75k-$100k</x:v>
      </x:c>
      <x:c r="P7260" t="str">
        <x:f>IF(E7260="","Unknown",IF(E7260&lt;10,"&lt;10",IF(E7260&lt;20,"10-&lt;20",IF(E7260&lt;25,"20-&lt;25",IF(E7260&lt;35,"25-&lt;35","35+")))))</x:f>
        <x:v>10-&lt;20</x:v>
      </x:c>
    </x:row>
    <x:row r="7261">
      <x:c r="A7261" t="str">
        <x:v>SYN0007260</x:v>
      </x:c>
      <x:c r="B7261" s="12" t="n">
        <x:v>42655</x:v>
      </x:c>
      <x:c r="C7261" s="18" t="n">
        <x:v>11920</x:v>
      </x:c>
      <x:c r="D7261" s="18" t="n">
        <x:v>43660</x:v>
      </x:c>
      <x:c r="E7261" s="18" t="n">
        <x:v>13.95</x:v>
      </x:c>
      <x:c r="F7261" s="18" t="n">
        <x:v>7.77</x:v>
      </x:c>
      <x:c r="G7261" t="n">
        <x:v>36</x:v>
      </x:c>
      <x:c r="H7261" t="str">
        <x:v>B</x:v>
      </x:c>
      <x:c r="I7261" t="str">
        <x:v>7-9 years</x:v>
      </x:c>
      <x:c r="J7261" t="str">
        <x:v>MORTGAGE</x:v>
      </x:c>
      <x:c r="K7261" t="str">
        <x:v>other</x:v>
      </x:c>
      <x:c r="L7261" t="n">
        <x:v>1</x:v>
      </x:c>
      <x:c r="M7261" t="n">
        <x:v>0</x:v>
      </x:c>
      <x:c r="N7261" t="str">
        <x:v>Fully Paid</x:v>
      </x:c>
      <x:c r="O7261" t="str">
        <x:f>IF(D7261="","Unknown",IF(D7261&lt;25000,"&lt;$25k",IF(D7261&lt;50000,"$25k-$50k",IF(D7261&lt;75000,"$50k-$75k",IF(D7261&lt;100000,"$75k-$100k","$100k+")))))</x:f>
        <x:v>$25k-$50k</x:v>
      </x:c>
      <x:c r="P7261" t="str">
        <x:f>IF(E7261="","Unknown",IF(E7261&lt;10,"&lt;10",IF(E7261&lt;20,"10-&lt;20",IF(E7261&lt;25,"20-&lt;25",IF(E7261&lt;35,"25-&lt;35","35+")))))</x:f>
        <x:v>10-&lt;20</x:v>
      </x:c>
    </x:row>
    <x:row r="7262">
      <x:c r="A7262" t="str">
        <x:v>SYN0007261</x:v>
      </x:c>
      <x:c r="B7262" s="12" t="n">
        <x:v>43195</x:v>
      </x:c>
      <x:c r="C7262" s="18" t="n">
        <x:v>11053</x:v>
      </x:c>
      <x:c r="D7262" s="18" t="n">
        <x:v>47889</x:v>
      </x:c>
      <x:c r="E7262" s="18" t="n">
        <x:v>35.02</x:v>
      </x:c>
      <x:c r="F7262" s="18" t="n">
        <x:v>15.94</x:v>
      </x:c>
      <x:c r="G7262" t="n">
        <x:v>36</x:v>
      </x:c>
      <x:c r="H7262" t="str">
        <x:v>E</x:v>
      </x:c>
      <x:c r="I7262" t="str">
        <x:v>4-6 years</x:v>
      </x:c>
      <x:c r="J7262" t="str">
        <x:v>RENT</x:v>
      </x:c>
      <x:c r="K7262" t="str">
        <x:v>other</x:v>
      </x:c>
      <x:c r="L7262" t="n">
        <x:v>0</x:v>
      </x:c>
      <x:c r="M7262" t="n">
        <x:v>0</x:v>
      </x:c>
      <x:c r="N7262" t="str">
        <x:v>Fully Paid</x:v>
      </x:c>
      <x:c r="O7262" t="str">
        <x:f>IF(D7262="","Unknown",IF(D7262&lt;25000,"&lt;$25k",IF(D7262&lt;50000,"$25k-$50k",IF(D7262&lt;75000,"$50k-$75k",IF(D7262&lt;100000,"$75k-$100k","$100k+")))))</x:f>
        <x:v>$25k-$50k</x:v>
      </x:c>
      <x:c r="P7262" t="str">
        <x:f>IF(E7262="","Unknown",IF(E7262&lt;10,"&lt;10",IF(E7262&lt;20,"10-&lt;20",IF(E7262&lt;25,"20-&lt;25",IF(E7262&lt;35,"25-&lt;35","35+")))))</x:f>
        <x:v>35+</x:v>
      </x:c>
    </x:row>
    <x:row r="7263">
      <x:c r="A7263" t="str">
        <x:v>SYN0007262</x:v>
      </x:c>
      <x:c r="B7263" s="12" t="n">
        <x:v>42325</x:v>
      </x:c>
      <x:c r="C7263" s="18" t="n">
        <x:v>24048</x:v>
      </x:c>
      <x:c r="D7263" s="18" t="n">
        <x:v>148995</x:v>
      </x:c>
      <x:c r="E7263" s="18" t="n">
        <x:v>9.95</x:v>
      </x:c>
      <x:c r="F7263" s="18" t="n">
        <x:v>8.26</x:v>
      </x:c>
      <x:c r="G7263" t="n">
        <x:v>60</x:v>
      </x:c>
      <x:c r="H7263" t="str">
        <x:v>B</x:v>
      </x:c>
      <x:c r="I7263" t="str">
        <x:v>7-9 years</x:v>
      </x:c>
      <x:c r="J7263" t="str">
        <x:v>RENT</x:v>
      </x:c>
      <x:c r="K7263" t="str">
        <x:v>home_improvement</x:v>
      </x:c>
      <x:c r="L7263" t="n">
        <x:v>0</x:v>
      </x:c>
      <x:c r="M7263" t="n">
        <x:v>0</x:v>
      </x:c>
      <x:c r="N7263" t="str">
        <x:v>Fully Paid</x:v>
      </x:c>
      <x:c r="O7263" t="str">
        <x:f>IF(D7263="","Unknown",IF(D7263&lt;25000,"&lt;$25k",IF(D7263&lt;50000,"$25k-$50k",IF(D7263&lt;75000,"$50k-$75k",IF(D7263&lt;100000,"$75k-$100k","$100k+")))))</x:f>
        <x:v>$100k+</x:v>
      </x:c>
      <x:c r="P7263" t="str">
        <x:f>IF(E7263="","Unknown",IF(E7263&lt;10,"&lt;10",IF(E7263&lt;20,"10-&lt;20",IF(E7263&lt;25,"20-&lt;25",IF(E7263&lt;35,"25-&lt;35","35+")))))</x:f>
        <x:v>&lt;10</x:v>
      </x:c>
    </x:row>
    <x:row r="7264">
      <x:c r="A7264" t="str">
        <x:v>SYN0007263</x:v>
      </x:c>
      <x:c r="B7264" s="12" t="n">
        <x:v>42355</x:v>
      </x:c>
      <x:c r="C7264" s="18" t="n">
        <x:v>21788</x:v>
      </x:c>
      <x:c r="D7264" s="18" t="n">
        <x:v>36465</x:v>
      </x:c>
      <x:c r="E7264" s="18" t="n">
        <x:v>5.88</x:v>
      </x:c>
      <x:c r="F7264" s="18" t="n">
        <x:v>12.52</x:v>
      </x:c>
      <x:c r="G7264" t="n">
        <x:v>36</x:v>
      </x:c>
      <x:c r="H7264" t="str">
        <x:v>C</x:v>
      </x:c>
      <x:c r="I7264" t="str">
        <x:v>10+ years</x:v>
      </x:c>
      <x:c r="J7264" t="str">
        <x:v>RENT</x:v>
      </x:c>
      <x:c r="K7264" t="str">
        <x:v>other</x:v>
      </x:c>
      <x:c r="L7264" t="n">
        <x:v>0</x:v>
      </x:c>
      <x:c r="M7264" t="n">
        <x:v>0</x:v>
      </x:c>
      <x:c r="N7264" t="str">
        <x:v>Fully Paid</x:v>
      </x:c>
      <x:c r="O7264" t="str">
        <x:f>IF(D7264="","Unknown",IF(D7264&lt;25000,"&lt;$25k",IF(D7264&lt;50000,"$25k-$50k",IF(D7264&lt;75000,"$50k-$75k",IF(D7264&lt;100000,"$75k-$100k","$100k+")))))</x:f>
        <x:v>$25k-$50k</x:v>
      </x:c>
      <x:c r="P7264" t="str">
        <x:f>IF(E7264="","Unknown",IF(E7264&lt;10,"&lt;10",IF(E7264&lt;20,"10-&lt;20",IF(E7264&lt;25,"20-&lt;25",IF(E7264&lt;35,"25-&lt;35","35+")))))</x:f>
        <x:v>&lt;10</x:v>
      </x:c>
    </x:row>
    <x:row r="7265">
      <x:c r="A7265" t="str">
        <x:v>SYN0007264</x:v>
      </x:c>
      <x:c r="B7265" s="12" t="n">
        <x:v>41605</x:v>
      </x:c>
      <x:c r="C7265" s="18" t="n">
        <x:v>15048</x:v>
      </x:c>
      <x:c r="D7265" s="18" t="n">
        <x:v>51351</x:v>
      </x:c>
      <x:c r="E7265" s="18" t="n">
        <x:v>28</x:v>
      </x:c>
      <x:c r="F7265" s="18" t="n">
        <x:v>9.59</x:v>
      </x:c>
      <x:c r="G7265" t="n">
        <x:v>36</x:v>
      </x:c>
      <x:c r="H7265" t="str">
        <x:v>C</x:v>
      </x:c>
      <x:c r="I7265" t="str">
        <x:v>10+ years</x:v>
      </x:c>
      <x:c r="J7265" t="str">
        <x:v>MORTGAGE</x:v>
      </x:c>
      <x:c r="K7265" t="str">
        <x:v>medical</x:v>
      </x:c>
      <x:c r="L7265" t="n">
        <x:v>1</x:v>
      </x:c>
      <x:c r="M7265" t="n">
        <x:v>0</x:v>
      </x:c>
      <x:c r="N7265" t="str">
        <x:v>Fully Paid</x:v>
      </x:c>
      <x:c r="O7265" t="str">
        <x:f>IF(D7265="","Unknown",IF(D7265&lt;25000,"&lt;$25k",IF(D7265&lt;50000,"$25k-$50k",IF(D7265&lt;75000,"$50k-$75k",IF(D7265&lt;100000,"$75k-$100k","$100k+")))))</x:f>
        <x:v>$50k-$75k</x:v>
      </x:c>
      <x:c r="P7265" t="str">
        <x:f>IF(E7265="","Unknown",IF(E7265&lt;10,"&lt;10",IF(E7265&lt;20,"10-&lt;20",IF(E7265&lt;25,"20-&lt;25",IF(E7265&lt;35,"25-&lt;35","35+")))))</x:f>
        <x:v>25-&lt;35</x:v>
      </x:c>
    </x:row>
    <x:row r="7266">
      <x:c r="A7266" t="str">
        <x:v>SYN0007265</x:v>
      </x:c>
      <x:c r="B7266" s="12" t="n">
        <x:v>41725</x:v>
      </x:c>
      <x:c r="C7266" s="18" t="n">
        <x:v>8574</x:v>
      </x:c>
      <x:c r="D7266" s="18" t="n">
        <x:v>46670</x:v>
      </x:c>
      <x:c r="E7266" s="18" t="n">
        <x:v>24.54</x:v>
      </x:c>
      <x:c r="F7266" s="18" t="n">
        <x:v>8.89</x:v>
      </x:c>
      <x:c r="G7266" t="n">
        <x:v>60</x:v>
      </x:c>
      <x:c r="H7266" t="str">
        <x:v>B</x:v>
      </x:c>
      <x:c r="I7266" t="str">
        <x:v>4-6 years</x:v>
      </x:c>
      <x:c r="J7266" t="str">
        <x:v>MORTGAGE</x:v>
      </x:c>
      <x:c r="K7266" t="str">
        <x:v>debt_consolidation</x:v>
      </x:c>
      <x:c r="L7266" t="n">
        <x:v>1</x:v>
      </x:c>
      <x:c r="M7266" t="n">
        <x:v>0</x:v>
      </x:c>
      <x:c r="N7266" t="str">
        <x:v>Fully Paid</x:v>
      </x:c>
      <x:c r="O7266" t="str">
        <x:f>IF(D7266="","Unknown",IF(D7266&lt;25000,"&lt;$25k",IF(D7266&lt;50000,"$25k-$50k",IF(D7266&lt;75000,"$50k-$75k",IF(D7266&lt;100000,"$75k-$100k","$100k+")))))</x:f>
        <x:v>$25k-$50k</x:v>
      </x:c>
      <x:c r="P7266" t="str">
        <x:f>IF(E7266="","Unknown",IF(E7266&lt;10,"&lt;10",IF(E7266&lt;20,"10-&lt;20",IF(E7266&lt;25,"20-&lt;25",IF(E7266&lt;35,"25-&lt;35","35+")))))</x:f>
        <x:v>20-&lt;25</x:v>
      </x:c>
    </x:row>
    <x:row r="7267">
      <x:c r="A7267" t="str">
        <x:v>SYN0007266</x:v>
      </x:c>
      <x:c r="B7267" s="12" t="n">
        <x:v>42955</x:v>
      </x:c>
      <x:c r="C7267" s="18" t="n">
        <x:v>14349</x:v>
      </x:c>
      <x:c r="D7267" s="18" t="n">
        <x:v>27839</x:v>
      </x:c>
      <x:c r="E7267" s="18" t="n">
        <x:v>21.31</x:v>
      </x:c>
      <x:c r="F7267" s="18" t="n">
        <x:v>6.53</x:v>
      </x:c>
      <x:c r="G7267" t="n">
        <x:v>36</x:v>
      </x:c>
      <x:c r="H7267" t="str">
        <x:v>B</x:v>
      </x:c>
      <x:c r="I7267" t="str">
        <x:v>7-9 years</x:v>
      </x:c>
      <x:c r="J7267" t="str">
        <x:v>MORTGAGE</x:v>
      </x:c>
      <x:c r="K7267" t="str">
        <x:v>credit_card</x:v>
      </x:c>
      <x:c r="L7267" t="n">
        <x:v>0</x:v>
      </x:c>
      <x:c r="M7267" t="n">
        <x:v>0</x:v>
      </x:c>
      <x:c r="N7267" t="str">
        <x:v>Fully Paid</x:v>
      </x:c>
      <x:c r="O7267" t="str">
        <x:f>IF(D7267="","Unknown",IF(D7267&lt;25000,"&lt;$25k",IF(D7267&lt;50000,"$25k-$50k",IF(D7267&lt;75000,"$50k-$75k",IF(D7267&lt;100000,"$75k-$100k","$100k+")))))</x:f>
        <x:v>$25k-$50k</x:v>
      </x:c>
      <x:c r="P7267" t="str">
        <x:f>IF(E7267="","Unknown",IF(E7267&lt;10,"&lt;10",IF(E7267&lt;20,"10-&lt;20",IF(E7267&lt;25,"20-&lt;25",IF(E7267&lt;35,"25-&lt;35","35+")))))</x:f>
        <x:v>20-&lt;25</x:v>
      </x:c>
    </x:row>
    <x:row r="7268">
      <x:c r="A7268" t="str">
        <x:v>SYN0007267</x:v>
      </x:c>
      <x:c r="B7268" s="12" t="n">
        <x:v>42625</x:v>
      </x:c>
      <x:c r="C7268" s="18" t="n">
        <x:v>15596</x:v>
      </x:c>
      <x:c r="D7268" s="18" t="n">
        <x:v>134493</x:v>
      </x:c>
      <x:c r="E7268" s="18" t="n">
        <x:v>35.42</x:v>
      </x:c>
      <x:c r="F7268" s="18" t="n">
        <x:v>17.27</x:v>
      </x:c>
      <x:c r="G7268" t="n">
        <x:v>36</x:v>
      </x:c>
      <x:c r="H7268" t="str">
        <x:v>E</x:v>
      </x:c>
      <x:c r="I7268" t="str">
        <x:v>4-6 years</x:v>
      </x:c>
      <x:c r="J7268" t="str">
        <x:v>RENT</x:v>
      </x:c>
      <x:c r="K7268" t="str">
        <x:v>home_improvement</x:v>
      </x:c>
      <x:c r="L7268" t="n">
        <x:v>0</x:v>
      </x:c>
      <x:c r="M7268" t="n">
        <x:v>0</x:v>
      </x:c>
      <x:c r="N7268" t="str">
        <x:v>Fully Paid</x:v>
      </x:c>
      <x:c r="O7268" t="str">
        <x:f>IF(D7268="","Unknown",IF(D7268&lt;25000,"&lt;$25k",IF(D7268&lt;50000,"$25k-$50k",IF(D7268&lt;75000,"$50k-$75k",IF(D7268&lt;100000,"$75k-$100k","$100k+")))))</x:f>
        <x:v>$100k+</x:v>
      </x:c>
      <x:c r="P7268" t="str">
        <x:f>IF(E7268="","Unknown",IF(E7268&lt;10,"&lt;10",IF(E7268&lt;20,"10-&lt;20",IF(E7268&lt;25,"20-&lt;25",IF(E7268&lt;35,"25-&lt;35","35+")))))</x:f>
        <x:v>35+</x:v>
      </x:c>
    </x:row>
    <x:row r="7269">
      <x:c r="A7269" t="str">
        <x:v>SYN0007268</x:v>
      </x:c>
      <x:c r="B7269" s="12" t="n">
        <x:v>42175</x:v>
      </x:c>
      <x:c r="C7269" s="18" t="n">
        <x:v>20899</x:v>
      </x:c>
      <x:c r="D7269" s="18" t="n">
        <x:v>35700</x:v>
      </x:c>
      <x:c r="E7269" s="18" t="n">
        <x:v>13.77</x:v>
      </x:c>
      <x:c r="F7269" s="18" t="n">
        <x:v>10.56</x:v>
      </x:c>
      <x:c r="G7269" t="n">
        <x:v>60</x:v>
      </x:c>
      <x:c r="H7269" t="str">
        <x:v>B</x:v>
      </x:c>
      <x:c r="I7269" t="str">
        <x:v>7-9 years</x:v>
      </x:c>
      <x:c r="J7269" t="str">
        <x:v>MORTGAGE</x:v>
      </x:c>
      <x:c r="K7269" t="str">
        <x:v>debt_consolidation</x:v>
      </x:c>
      <x:c r="L7269" t="n">
        <x:v>0</x:v>
      </x:c>
      <x:c r="M7269" t="n">
        <x:v>0</x:v>
      </x:c>
      <x:c r="N7269" t="str">
        <x:v>Fully Paid</x:v>
      </x:c>
      <x:c r="O7269" t="str">
        <x:f>IF(D7269="","Unknown",IF(D7269&lt;25000,"&lt;$25k",IF(D7269&lt;50000,"$25k-$50k",IF(D7269&lt;75000,"$50k-$75k",IF(D7269&lt;100000,"$75k-$100k","$100k+")))))</x:f>
        <x:v>$25k-$50k</x:v>
      </x:c>
      <x:c r="P7269" t="str">
        <x:f>IF(E7269="","Unknown",IF(E7269&lt;10,"&lt;10",IF(E7269&lt;20,"10-&lt;20",IF(E7269&lt;25,"20-&lt;25",IF(E7269&lt;35,"25-&lt;35","35+")))))</x:f>
        <x:v>10-&lt;20</x:v>
      </x:c>
    </x:row>
    <x:row r="7270">
      <x:c r="A7270" t="str">
        <x:v>SYN0007269</x:v>
      </x:c>
      <x:c r="B7270" s="12" t="n">
        <x:v>42205</x:v>
      </x:c>
      <x:c r="C7270" s="18" t="n">
        <x:v>8951</x:v>
      </x:c>
      <x:c r="D7270" s="18" t="n">
        <x:v>47793</x:v>
      </x:c>
      <x:c r="E7270" s="18" t="n">
        <x:v>30.2</x:v>
      </x:c>
      <x:c r="F7270" s="18" t="n">
        <x:v>25.03</x:v>
      </x:c>
      <x:c r="G7270" t="n">
        <x:v>36</x:v>
      </x:c>
      <x:c r="H7270" t="str">
        <x:v>G</x:v>
      </x:c>
      <x:c r="I7270" t="str">
        <x:v>7-9 years</x:v>
      </x:c>
      <x:c r="J7270" t="str">
        <x:v>MORTGAGE</x:v>
      </x:c>
      <x:c r="K7270" t="str">
        <x:v>credit_card</x:v>
      </x:c>
      <x:c r="L7270" t="n">
        <x:v>0</x:v>
      </x:c>
      <x:c r="M7270" t="n">
        <x:v>0</x:v>
      </x:c>
      <x:c r="N7270" t="str">
        <x:v>Fully Paid</x:v>
      </x:c>
      <x:c r="O7270" t="str">
        <x:f>IF(D7270="","Unknown",IF(D7270&lt;25000,"&lt;$25k",IF(D7270&lt;50000,"$25k-$50k",IF(D7270&lt;75000,"$50k-$75k",IF(D7270&lt;100000,"$75k-$100k","$100k+")))))</x:f>
        <x:v>$25k-$50k</x:v>
      </x:c>
      <x:c r="P7270" t="str">
        <x:f>IF(E7270="","Unknown",IF(E7270&lt;10,"&lt;10",IF(E7270&lt;20,"10-&lt;20",IF(E7270&lt;25,"20-&lt;25",IF(E7270&lt;35,"25-&lt;35","35+")))))</x:f>
        <x:v>25-&lt;35</x:v>
      </x:c>
    </x:row>
    <x:row r="7271">
      <x:c r="A7271" t="str">
        <x:v>SYN0007270</x:v>
      </x:c>
      <x:c r="B7271" s="12" t="n">
        <x:v>41905</x:v>
      </x:c>
      <x:c r="C7271" s="18" t="n">
        <x:v>17936</x:v>
      </x:c>
      <x:c r="D7271" s="18" t="n">
        <x:v>73701</x:v>
      </x:c>
      <x:c r="E7271" s="18" t="n">
        <x:v>9.11</x:v>
      </x:c>
      <x:c r="F7271" s="18" t="n">
        <x:v>7.24</x:v>
      </x:c>
      <x:c r="G7271" t="n">
        <x:v>60</x:v>
      </x:c>
      <x:c r="H7271" t="str">
        <x:v>A</x:v>
      </x:c>
      <x:c r="I7271" t="str">
        <x:v>1-3 years</x:v>
      </x:c>
      <x:c r="J7271" t="str">
        <x:v>RENT</x:v>
      </x:c>
      <x:c r="K7271" t="str">
        <x:v>other</x:v>
      </x:c>
      <x:c r="L7271" t="n">
        <x:v>0</x:v>
      </x:c>
      <x:c r="M7271" t="n">
        <x:v>0</x:v>
      </x:c>
      <x:c r="N7271" t="str">
        <x:v>Fully Paid</x:v>
      </x:c>
      <x:c r="O7271" t="str">
        <x:f>IF(D7271="","Unknown",IF(D7271&lt;25000,"&lt;$25k",IF(D7271&lt;50000,"$25k-$50k",IF(D7271&lt;75000,"$50k-$75k",IF(D7271&lt;100000,"$75k-$100k","$100k+")))))</x:f>
        <x:v>$50k-$75k</x:v>
      </x:c>
      <x:c r="P7271" t="str">
        <x:f>IF(E7271="","Unknown",IF(E7271&lt;10,"&lt;10",IF(E7271&lt;20,"10-&lt;20",IF(E7271&lt;25,"20-&lt;25",IF(E7271&lt;35,"25-&lt;35","35+")))))</x:f>
        <x:v>&lt;10</x:v>
      </x:c>
    </x:row>
    <x:row r="7272">
      <x:c r="A7272" t="str">
        <x:v>SYN0007271</x:v>
      </x:c>
      <x:c r="B7272" s="12" t="n">
        <x:v>41305</x:v>
      </x:c>
      <x:c r="C7272" s="18" t="n">
        <x:v>10453</x:v>
      </x:c>
      <x:c r="D7272" s="18" t="n">
        <x:v>114735</x:v>
      </x:c>
      <x:c r="E7272" s="18" t="n">
        <x:v>22.47</x:v>
      </x:c>
      <x:c r="F7272" s="18" t="n">
        <x:v>18.24</x:v>
      </x:c>
      <x:c r="G7272" t="n">
        <x:v>60</x:v>
      </x:c>
      <x:c r="H7272" t="str">
        <x:v>E</x:v>
      </x:c>
      <x:c r="I7272" t="str">
        <x:v>4-6 years</x:v>
      </x:c>
      <x:c r="J7272" t="str">
        <x:v>MORTGAGE</x:v>
      </x:c>
      <x:c r="K7272" t="str">
        <x:v>other</x:v>
      </x:c>
      <x:c r="L7272" t="n">
        <x:v>1</x:v>
      </x:c>
      <x:c r="M7272" t="n">
        <x:v>0</x:v>
      </x:c>
      <x:c r="N7272" t="str">
        <x:v>Fully Paid</x:v>
      </x:c>
      <x:c r="O7272" t="str">
        <x:f>IF(D7272="","Unknown",IF(D7272&lt;25000,"&lt;$25k",IF(D7272&lt;50000,"$25k-$50k",IF(D7272&lt;75000,"$50k-$75k",IF(D7272&lt;100000,"$75k-$100k","$100k+")))))</x:f>
        <x:v>$100k+</x:v>
      </x:c>
      <x:c r="P7272" t="str">
        <x:f>IF(E7272="","Unknown",IF(E7272&lt;10,"&lt;10",IF(E7272&lt;20,"10-&lt;20",IF(E7272&lt;25,"20-&lt;25",IF(E7272&lt;35,"25-&lt;35","35+")))))</x:f>
        <x:v>20-&lt;25</x:v>
      </x:c>
    </x:row>
    <x:row r="7273">
      <x:c r="A7273" t="str">
        <x:v>SYN0007272</x:v>
      </x:c>
      <x:c r="B7273" s="12" t="n">
        <x:v>42415</x:v>
      </x:c>
      <x:c r="C7273" s="18" t="n">
        <x:v>5829</x:v>
      </x:c>
      <x:c r="D7273" s="18" t="n">
        <x:v>21272</x:v>
      </x:c>
      <x:c r="E7273" s="18" t="n">
        <x:v>4.03</x:v>
      </x:c>
      <x:c r="F7273" s="18" t="n">
        <x:v>9.44</x:v>
      </x:c>
      <x:c r="G7273" t="n">
        <x:v>36</x:v>
      </x:c>
      <x:c r="H7273" t="str">
        <x:v>B</x:v>
      </x:c>
      <x:c r="I7273" t="str">
        <x:v>4-6 years</x:v>
      </x:c>
      <x:c r="J7273" t="str">
        <x:v>RENT</x:v>
      </x:c>
      <x:c r="K7273" t="str">
        <x:v>other</x:v>
      </x:c>
      <x:c r="L7273" t="n">
        <x:v>0</x:v>
      </x:c>
      <x:c r="M7273" t="n">
        <x:v>0</x:v>
      </x:c>
      <x:c r="N7273" t="str">
        <x:v>Fully Paid</x:v>
      </x:c>
      <x:c r="O7273" t="str">
        <x:f>IF(D7273="","Unknown",IF(D7273&lt;25000,"&lt;$25k",IF(D7273&lt;50000,"$25k-$50k",IF(D7273&lt;75000,"$50k-$75k",IF(D7273&lt;100000,"$75k-$100k","$100k+")))))</x:f>
        <x:v>&lt;$25k</x:v>
      </x:c>
      <x:c r="P7273" t="str">
        <x:f>IF(E7273="","Unknown",IF(E7273&lt;10,"&lt;10",IF(E7273&lt;20,"10-&lt;20",IF(E7273&lt;25,"20-&lt;25",IF(E7273&lt;35,"25-&lt;35","35+")))))</x:f>
        <x:v>&lt;10</x:v>
      </x:c>
    </x:row>
    <x:row r="7274">
      <x:c r="A7274" t="str">
        <x:v>SYN0007273</x:v>
      </x:c>
      <x:c r="B7274" s="12" t="n">
        <x:v>42175</x:v>
      </x:c>
      <x:c r="C7274" s="18" t="n">
        <x:v>10306</x:v>
      </x:c>
      <x:c r="D7274" s="18" t="n">
        <x:v>31751</x:v>
      </x:c>
      <x:c r="E7274" s="18" t="n">
        <x:v>29.56</x:v>
      </x:c>
      <x:c r="F7274" s="18" t="n">
        <x:v>7.03</x:v>
      </x:c>
      <x:c r="G7274" t="n">
        <x:v>36</x:v>
      </x:c>
      <x:c r="H7274" t="str">
        <x:v>A</x:v>
      </x:c>
      <x:c r="I7274" t="str">
        <x:v>1-3 years</x:v>
      </x:c>
      <x:c r="J7274" t="str">
        <x:v>OWN</x:v>
      </x:c>
      <x:c r="K7274" t="str">
        <x:v>home_improvement</x:v>
      </x:c>
      <x:c r="L7274" t="n">
        <x:v>0</x:v>
      </x:c>
      <x:c r="M7274" t="n">
        <x:v>0</x:v>
      </x:c>
      <x:c r="N7274" t="str">
        <x:v>Fully Paid</x:v>
      </x:c>
      <x:c r="O7274" t="str">
        <x:f>IF(D7274="","Unknown",IF(D7274&lt;25000,"&lt;$25k",IF(D7274&lt;50000,"$25k-$50k",IF(D7274&lt;75000,"$50k-$75k",IF(D7274&lt;100000,"$75k-$100k","$100k+")))))</x:f>
        <x:v>$25k-$50k</x:v>
      </x:c>
      <x:c r="P7274" t="str">
        <x:f>IF(E7274="","Unknown",IF(E7274&lt;10,"&lt;10",IF(E7274&lt;20,"10-&lt;20",IF(E7274&lt;25,"20-&lt;25",IF(E7274&lt;35,"25-&lt;35","35+")))))</x:f>
        <x:v>25-&lt;35</x:v>
      </x:c>
    </x:row>
    <x:row r="7275">
      <x:c r="A7275" t="str">
        <x:v>SYN0007274</x:v>
      </x:c>
      <x:c r="B7275" s="12" t="n">
        <x:v>42745</x:v>
      </x:c>
      <x:c r="C7275" s="18" t="n">
        <x:v>21629</x:v>
      </x:c>
      <x:c r="D7275" s="18" t="n">
        <x:v>19267</x:v>
      </x:c>
      <x:c r="E7275" s="18" t="n">
        <x:v>28.76</x:v>
      </x:c>
      <x:c r="F7275" s="18" t="n">
        <x:v>7.27</x:v>
      </x:c>
      <x:c r="G7275" t="n">
        <x:v>36</x:v>
      </x:c>
      <x:c r="H7275" t="str">
        <x:v>C</x:v>
      </x:c>
      <x:c r="I7275" t="str">
        <x:v>1-3 years</x:v>
      </x:c>
      <x:c r="J7275" t="str">
        <x:v>OWN</x:v>
      </x:c>
      <x:c r="K7275" t="str">
        <x:v>credit_card</x:v>
      </x:c>
      <x:c r="L7275" t="n">
        <x:v>1</x:v>
      </x:c>
      <x:c r="M7275" t="n">
        <x:v>0</x:v>
      </x:c>
      <x:c r="N7275" t="str">
        <x:v>Fully Paid</x:v>
      </x:c>
      <x:c r="O7275" t="str">
        <x:f>IF(D7275="","Unknown",IF(D7275&lt;25000,"&lt;$25k",IF(D7275&lt;50000,"$25k-$50k",IF(D7275&lt;75000,"$50k-$75k",IF(D7275&lt;100000,"$75k-$100k","$100k+")))))</x:f>
        <x:v>&lt;$25k</x:v>
      </x:c>
      <x:c r="P7275" t="str">
        <x:f>IF(E7275="","Unknown",IF(E7275&lt;10,"&lt;10",IF(E7275&lt;20,"10-&lt;20",IF(E7275&lt;25,"20-&lt;25",IF(E7275&lt;35,"25-&lt;35","35+")))))</x:f>
        <x:v>25-&lt;35</x:v>
      </x:c>
    </x:row>
    <x:row r="7276">
      <x:c r="A7276" t="str">
        <x:v>SYN0007275</x:v>
      </x:c>
      <x:c r="B7276" s="12" t="n">
        <x:v>42655</x:v>
      </x:c>
      <x:c r="C7276" s="18" t="n">
        <x:v>24658</x:v>
      </x:c>
      <x:c r="D7276" s="18" t="n">
        <x:v>85897</x:v>
      </x:c>
      <x:c r="E7276" s="18" t="n">
        <x:v>15.81</x:v>
      </x:c>
      <x:c r="F7276" s="18" t="n">
        <x:v>10.13</x:v>
      </x:c>
      <x:c r="G7276" t="n">
        <x:v>36</x:v>
      </x:c>
      <x:c r="H7276" t="str">
        <x:v>C</x:v>
      </x:c>
      <x:c r="I7276" t="str">
        <x:v>&lt;1 year</x:v>
      </x:c>
      <x:c r="J7276" t="str">
        <x:v>MORTGAGE</x:v>
      </x:c>
      <x:c r="K7276" t="str">
        <x:v>other</x:v>
      </x:c>
      <x:c r="L7276" t="n">
        <x:v>0</x:v>
      </x:c>
      <x:c r="M7276" t="n">
        <x:v>0</x:v>
      </x:c>
      <x:c r="N7276" t="str">
        <x:v>Fully Paid</x:v>
      </x:c>
      <x:c r="O7276" t="str">
        <x:f>IF(D7276="","Unknown",IF(D7276&lt;25000,"&lt;$25k",IF(D7276&lt;50000,"$25k-$50k",IF(D7276&lt;75000,"$50k-$75k",IF(D7276&lt;100000,"$75k-$100k","$100k+")))))</x:f>
        <x:v>$75k-$100k</x:v>
      </x:c>
      <x:c r="P7276" t="str">
        <x:f>IF(E7276="","Unknown",IF(E7276&lt;10,"&lt;10",IF(E7276&lt;20,"10-&lt;20",IF(E7276&lt;25,"20-&lt;25",IF(E7276&lt;35,"25-&lt;35","35+")))))</x:f>
        <x:v>10-&lt;20</x:v>
      </x:c>
    </x:row>
    <x:row r="7277">
      <x:c r="A7277" t="str">
        <x:v>SYN0007276</x:v>
      </x:c>
      <x:c r="B7277" s="12" t="n">
        <x:v>42205</x:v>
      </x:c>
      <x:c r="C7277" s="18" t="n">
        <x:v>19244</x:v>
      </x:c>
      <x:c r="D7277" s="18" t="n">
        <x:v>28522</x:v>
      </x:c>
      <x:c r="E7277" s="18" t="n">
        <x:v>14.82</x:v>
      </x:c>
      <x:c r="F7277" s="18" t="n">
        <x:v>5.98</x:v>
      </x:c>
      <x:c r="G7277" t="n">
        <x:v>36</x:v>
      </x:c>
      <x:c r="H7277" t="str">
        <x:v>B</x:v>
      </x:c>
      <x:c r="I7277" t="str">
        <x:v>&lt;1 year</x:v>
      </x:c>
      <x:c r="J7277" t="str">
        <x:v>RENT</x:v>
      </x:c>
      <x:c r="K7277" t="str">
        <x:v>debt_consolidation</x:v>
      </x:c>
      <x:c r="L7277" t="n">
        <x:v>1</x:v>
      </x:c>
      <x:c r="M7277" t="n">
        <x:v>0</x:v>
      </x:c>
      <x:c r="N7277" t="str">
        <x:v>Fully Paid</x:v>
      </x:c>
      <x:c r="O7277" t="str">
        <x:f>IF(D7277="","Unknown",IF(D7277&lt;25000,"&lt;$25k",IF(D7277&lt;50000,"$25k-$50k",IF(D7277&lt;75000,"$50k-$75k",IF(D7277&lt;100000,"$75k-$100k","$100k+")))))</x:f>
        <x:v>$25k-$50k</x:v>
      </x:c>
      <x:c r="P7277" t="str">
        <x:f>IF(E7277="","Unknown",IF(E7277&lt;10,"&lt;10",IF(E7277&lt;20,"10-&lt;20",IF(E7277&lt;25,"20-&lt;25",IF(E7277&lt;35,"25-&lt;35","35+")))))</x:f>
        <x:v>10-&lt;20</x:v>
      </x:c>
    </x:row>
    <x:row r="7278">
      <x:c r="A7278" t="str">
        <x:v>SYN0007277</x:v>
      </x:c>
      <x:c r="B7278" s="12" t="n">
        <x:v>41725</x:v>
      </x:c>
      <x:c r="C7278" s="18" t="n">
        <x:v>17266</x:v>
      </x:c>
      <x:c r="D7278" s="18" t="n">
        <x:v>33790</x:v>
      </x:c>
      <x:c r="E7278" s="18" t="n">
        <x:v>28.02</x:v>
      </x:c>
      <x:c r="F7278" s="18" t="n">
        <x:v>26.46</x:v>
      </x:c>
      <x:c r="G7278" t="n">
        <x:v>60</x:v>
      </x:c>
      <x:c r="H7278" t="str">
        <x:v>G</x:v>
      </x:c>
      <x:c r="I7278" t="str">
        <x:v>&lt;1 year</x:v>
      </x:c>
      <x:c r="J7278" t="str">
        <x:v>RENT</x:v>
      </x:c>
      <x:c r="K7278" t="str">
        <x:v>major_purchase</x:v>
      </x:c>
      <x:c r="L7278" t="n">
        <x:v>1</x:v>
      </x:c>
      <x:c r="M7278" t="n">
        <x:v>0</x:v>
      </x:c>
      <x:c r="N7278" t="str">
        <x:v>Fully Paid</x:v>
      </x:c>
      <x:c r="O7278" t="str">
        <x:f>IF(D7278="","Unknown",IF(D7278&lt;25000,"&lt;$25k",IF(D7278&lt;50000,"$25k-$50k",IF(D7278&lt;75000,"$50k-$75k",IF(D7278&lt;100000,"$75k-$100k","$100k+")))))</x:f>
        <x:v>$25k-$50k</x:v>
      </x:c>
      <x:c r="P7278" t="str">
        <x:f>IF(E7278="","Unknown",IF(E7278&lt;10,"&lt;10",IF(E7278&lt;20,"10-&lt;20",IF(E7278&lt;25,"20-&lt;25",IF(E7278&lt;35,"25-&lt;35","35+")))))</x:f>
        <x:v>25-&lt;35</x:v>
      </x:c>
    </x:row>
    <x:row r="7279">
      <x:c r="A7279" t="str">
        <x:v>SYN0007278</x:v>
      </x:c>
      <x:c r="B7279" s="12" t="n">
        <x:v>42295</x:v>
      </x:c>
      <x:c r="C7279" s="18" t="n">
        <x:v>15152</x:v>
      </x:c>
      <x:c r="D7279" s="18" t="n">
        <x:v>54998</x:v>
      </x:c>
      <x:c r="E7279" s="18" t="n">
        <x:v>35.42</x:v>
      </x:c>
      <x:c r="F7279" s="18" t="n">
        <x:v>17.06</x:v>
      </x:c>
      <x:c r="G7279" t="n">
        <x:v>36</x:v>
      </x:c>
      <x:c r="H7279" t="str">
        <x:v>E</x:v>
      </x:c>
      <x:c r="I7279" t="str">
        <x:v>1-3 years</x:v>
      </x:c>
      <x:c r="J7279" t="str">
        <x:v>MORTGAGE</x:v>
      </x:c>
      <x:c r="K7279" t="str">
        <x:v>debt_consolidation</x:v>
      </x:c>
      <x:c r="L7279" t="n">
        <x:v>2</x:v>
      </x:c>
      <x:c r="M7279" t="n">
        <x:v>1</x:v>
      </x:c>
      <x:c r="N7279" t="str">
        <x:v>Charged Off</x:v>
      </x:c>
      <x:c r="O7279" t="str">
        <x:f>IF(D7279="","Unknown",IF(D7279&lt;25000,"&lt;$25k",IF(D7279&lt;50000,"$25k-$50k",IF(D7279&lt;75000,"$50k-$75k",IF(D7279&lt;100000,"$75k-$100k","$100k+")))))</x:f>
        <x:v>$50k-$75k</x:v>
      </x:c>
      <x:c r="P7279" t="str">
        <x:f>IF(E7279="","Unknown",IF(E7279&lt;10,"&lt;10",IF(E7279&lt;20,"10-&lt;20",IF(E7279&lt;25,"20-&lt;25",IF(E7279&lt;35,"25-&lt;35","35+")))))</x:f>
        <x:v>35+</x:v>
      </x:c>
    </x:row>
    <x:row r="7280">
      <x:c r="A7280" t="str">
        <x:v>SYN0007279</x:v>
      </x:c>
      <x:c r="B7280" s="12" t="n">
        <x:v>42565</x:v>
      </x:c>
      <x:c r="C7280" s="18" t="n">
        <x:v>17894</x:v>
      </x:c>
      <x:c r="D7280" s="18" t="n">
        <x:v>12729</x:v>
      </x:c>
      <x:c r="E7280" s="18" t="n">
        <x:v>5.49</x:v>
      </x:c>
      <x:c r="F7280" s="18" t="n">
        <x:v>10.85</x:v>
      </x:c>
      <x:c r="G7280" t="n">
        <x:v>36</x:v>
      </x:c>
      <x:c r="H7280" t="str">
        <x:v>C</x:v>
      </x:c>
      <x:c r="I7280" t="str">
        <x:v>4-6 years</x:v>
      </x:c>
      <x:c r="J7280" t="str">
        <x:v>MORTGAGE</x:v>
      </x:c>
      <x:c r="K7280" t="str">
        <x:v>credit_card</x:v>
      </x:c>
      <x:c r="L7280" t="n">
        <x:v>0</x:v>
      </x:c>
      <x:c r="M7280" t="n">
        <x:v>0</x:v>
      </x:c>
      <x:c r="N7280" t="str">
        <x:v>Fully Paid</x:v>
      </x:c>
      <x:c r="O7280" t="str">
        <x:f>IF(D7280="","Unknown",IF(D7280&lt;25000,"&lt;$25k",IF(D7280&lt;50000,"$25k-$50k",IF(D7280&lt;75000,"$50k-$75k",IF(D7280&lt;100000,"$75k-$100k","$100k+")))))</x:f>
        <x:v>&lt;$25k</x:v>
      </x:c>
      <x:c r="P7280" t="str">
        <x:f>IF(E7280="","Unknown",IF(E7280&lt;10,"&lt;10",IF(E7280&lt;20,"10-&lt;20",IF(E7280&lt;25,"20-&lt;25",IF(E7280&lt;35,"25-&lt;35","35+")))))</x:f>
        <x:v>&lt;10</x:v>
      </x:c>
    </x:row>
    <x:row r="7281">
      <x:c r="A7281" t="str">
        <x:v>SYN0007280</x:v>
      </x:c>
      <x:c r="B7281" s="12" t="n">
        <x:v>41275</x:v>
      </x:c>
      <x:c r="C7281" s="18" t="n">
        <x:v>9120</x:v>
      </x:c>
      <x:c r="D7281" s="18" t="n">
        <x:v>21128</x:v>
      </x:c>
      <x:c r="E7281" s="18" t="n">
        <x:v>19.73</x:v>
      </x:c>
      <x:c r="F7281" s="18" t="n">
        <x:v>9.27</x:v>
      </x:c>
      <x:c r="G7281" t="n">
        <x:v>36</x:v>
      </x:c>
      <x:c r="H7281" t="str">
        <x:v>B</x:v>
      </x:c>
      <x:c r="I7281" t="str">
        <x:v>1-3 years</x:v>
      </x:c>
      <x:c r="J7281" t="str">
        <x:v>OWN</x:v>
      </x:c>
      <x:c r="K7281" t="str">
        <x:v>home_improvement</x:v>
      </x:c>
      <x:c r="L7281" t="n">
        <x:v>1</x:v>
      </x:c>
      <x:c r="M7281" t="n">
        <x:v>0</x:v>
      </x:c>
      <x:c r="N7281" t="str">
        <x:v>Fully Paid</x:v>
      </x:c>
      <x:c r="O7281" t="str">
        <x:f>IF(D7281="","Unknown",IF(D7281&lt;25000,"&lt;$25k",IF(D7281&lt;50000,"$25k-$50k",IF(D7281&lt;75000,"$50k-$75k",IF(D7281&lt;100000,"$75k-$100k","$100k+")))))</x:f>
        <x:v>&lt;$25k</x:v>
      </x:c>
      <x:c r="P7281" t="str">
        <x:f>IF(E7281="","Unknown",IF(E7281&lt;10,"&lt;10",IF(E7281&lt;20,"10-&lt;20",IF(E7281&lt;25,"20-&lt;25",IF(E7281&lt;35,"25-&lt;35","35+")))))</x:f>
        <x:v>10-&lt;20</x:v>
      </x:c>
    </x:row>
    <x:row r="7282">
      <x:c r="A7282" t="str">
        <x:v>SYN0007281</x:v>
      </x:c>
      <x:c r="B7282" s="12" t="n">
        <x:v>41815</x:v>
      </x:c>
      <x:c r="C7282" s="18" t="n">
        <x:v>19711</x:v>
      </x:c>
      <x:c r="D7282" s="18" t="n">
        <x:v>17770</x:v>
      </x:c>
      <x:c r="E7282" s="18" t="n">
        <x:v>16.14</x:v>
      </x:c>
      <x:c r="F7282" s="18" t="n">
        <x:v>9.43</x:v>
      </x:c>
      <x:c r="G7282" t="n">
        <x:v>36</x:v>
      </x:c>
      <x:c r="H7282" t="str">
        <x:v>B</x:v>
      </x:c>
      <x:c r="I7282" t="str">
        <x:v>4-6 years</x:v>
      </x:c>
      <x:c r="J7282" t="str">
        <x:v>MORTGAGE</x:v>
      </x:c>
      <x:c r="K7282" t="str">
        <x:v>other</x:v>
      </x:c>
      <x:c r="L7282" t="n">
        <x:v>0</x:v>
      </x:c>
      <x:c r="M7282" t="n">
        <x:v>0</x:v>
      </x:c>
      <x:c r="N7282" t="str">
        <x:v>Fully Paid</x:v>
      </x:c>
      <x:c r="O7282" t="str">
        <x:f>IF(D7282="","Unknown",IF(D7282&lt;25000,"&lt;$25k",IF(D7282&lt;50000,"$25k-$50k",IF(D7282&lt;75000,"$50k-$75k",IF(D7282&lt;100000,"$75k-$100k","$100k+")))))</x:f>
        <x:v>&lt;$25k</x:v>
      </x:c>
      <x:c r="P7282" t="str">
        <x:f>IF(E7282="","Unknown",IF(E7282&lt;10,"&lt;10",IF(E7282&lt;20,"10-&lt;20",IF(E7282&lt;25,"20-&lt;25",IF(E7282&lt;35,"25-&lt;35","35+")))))</x:f>
        <x:v>10-&lt;20</x:v>
      </x:c>
    </x:row>
    <x:row r="7283">
      <x:c r="A7283" t="str">
        <x:v>SYN0007282</x:v>
      </x:c>
      <x:c r="B7283" s="12" t="n">
        <x:v>41275</x:v>
      </x:c>
      <x:c r="C7283" s="18" t="n">
        <x:v>14112</x:v>
      </x:c>
      <x:c r="D7283" s="18" t="n">
        <x:v>95207</x:v>
      </x:c>
      <x:c r="E7283" s="18" t="n">
        <x:v>37.2</x:v>
      </x:c>
      <x:c r="F7283" s="18" t="n">
        <x:v>13.27</x:v>
      </x:c>
      <x:c r="G7283" t="n">
        <x:v>60</x:v>
      </x:c>
      <x:c r="H7283" t="str">
        <x:v>D</x:v>
      </x:c>
      <x:c r="I7283" t="str">
        <x:v>10+ years</x:v>
      </x:c>
      <x:c r="J7283" t="str">
        <x:v>MORTGAGE</x:v>
      </x:c>
      <x:c r="K7283" t="str">
        <x:v>debt_consolidation</x:v>
      </x:c>
      <x:c r="L7283" t="n">
        <x:v>1</x:v>
      </x:c>
      <x:c r="M7283" t="n">
        <x:v>0</x:v>
      </x:c>
      <x:c r="N7283" t="str">
        <x:v>Fully Paid</x:v>
      </x:c>
      <x:c r="O7283" t="str">
        <x:f>IF(D7283="","Unknown",IF(D7283&lt;25000,"&lt;$25k",IF(D7283&lt;50000,"$25k-$50k",IF(D7283&lt;75000,"$50k-$75k",IF(D7283&lt;100000,"$75k-$100k","$100k+")))))</x:f>
        <x:v>$75k-$100k</x:v>
      </x:c>
      <x:c r="P7283" t="str">
        <x:f>IF(E7283="","Unknown",IF(E7283&lt;10,"&lt;10",IF(E7283&lt;20,"10-&lt;20",IF(E7283&lt;25,"20-&lt;25",IF(E7283&lt;35,"25-&lt;35","35+")))))</x:f>
        <x:v>35+</x:v>
      </x:c>
    </x:row>
    <x:row r="7284">
      <x:c r="A7284" t="str">
        <x:v>SYN0007283</x:v>
      </x:c>
      <x:c r="B7284" s="12" t="n">
        <x:v>41575</x:v>
      </x:c>
      <x:c r="C7284" s="18" t="n">
        <x:v>7186</x:v>
      </x:c>
      <x:c r="D7284" s="18" t="n">
        <x:v>217808</x:v>
      </x:c>
      <x:c r="E7284" s="18" t="n">
        <x:v>12.71</x:v>
      </x:c>
      <x:c r="F7284" s="18" t="n">
        <x:v>7.39</x:v>
      </x:c>
      <x:c r="G7284" t="n">
        <x:v>36</x:v>
      </x:c>
      <x:c r="H7284" t="str">
        <x:v>A</x:v>
      </x:c>
      <x:c r="I7284" t="str">
        <x:v>4-6 years</x:v>
      </x:c>
      <x:c r="J7284" t="str">
        <x:v>RENT</x:v>
      </x:c>
      <x:c r="K7284" t="str">
        <x:v>debt_consolidation</x:v>
      </x:c>
      <x:c r="L7284" t="n">
        <x:v>0</x:v>
      </x:c>
      <x:c r="M7284" t="n">
        <x:v>0</x:v>
      </x:c>
      <x:c r="N7284" t="str">
        <x:v>Fully Paid</x:v>
      </x:c>
      <x:c r="O7284" t="str">
        <x:f>IF(D7284="","Unknown",IF(D7284&lt;25000,"&lt;$25k",IF(D7284&lt;50000,"$25k-$50k",IF(D7284&lt;75000,"$50k-$75k",IF(D7284&lt;100000,"$75k-$100k","$100k+")))))</x:f>
        <x:v>$100k+</x:v>
      </x:c>
      <x:c r="P7284" t="str">
        <x:f>IF(E7284="","Unknown",IF(E7284&lt;10,"&lt;10",IF(E7284&lt;20,"10-&lt;20",IF(E7284&lt;25,"20-&lt;25",IF(E7284&lt;35,"25-&lt;35","35+")))))</x:f>
        <x:v>10-&lt;20</x:v>
      </x:c>
    </x:row>
    <x:row r="7285">
      <x:c r="A7285" t="str">
        <x:v>SYN0007284</x:v>
      </x:c>
      <x:c r="B7285" s="12" t="n">
        <x:v>41455</x:v>
      </x:c>
      <x:c r="C7285" s="18" t="n">
        <x:v>12729</x:v>
      </x:c>
      <x:c r="D7285" s="18" t="n">
        <x:v>101340</x:v>
      </x:c>
      <x:c r="E7285" s="18" t="n">
        <x:v>19.75</x:v>
      </x:c>
      <x:c r="F7285" s="18" t="n">
        <x:v>9.11</x:v>
      </x:c>
      <x:c r="G7285" t="n">
        <x:v>36</x:v>
      </x:c>
      <x:c r="H7285" t="str">
        <x:v>C</x:v>
      </x:c>
      <x:c r="I7285" t="str">
        <x:v>7-9 years</x:v>
      </x:c>
      <x:c r="J7285" t="str">
        <x:v>RENT</x:v>
      </x:c>
      <x:c r="K7285" t="str">
        <x:v>debt_consolidation</x:v>
      </x:c>
      <x:c r="L7285" t="n">
        <x:v>0</x:v>
      </x:c>
      <x:c r="M7285" t="n">
        <x:v>0</x:v>
      </x:c>
      <x:c r="N7285" t="str">
        <x:v>Fully Paid</x:v>
      </x:c>
      <x:c r="O7285" t="str">
        <x:f>IF(D7285="","Unknown",IF(D7285&lt;25000,"&lt;$25k",IF(D7285&lt;50000,"$25k-$50k",IF(D7285&lt;75000,"$50k-$75k",IF(D7285&lt;100000,"$75k-$100k","$100k+")))))</x:f>
        <x:v>$100k+</x:v>
      </x:c>
      <x:c r="P7285" t="str">
        <x:f>IF(E7285="","Unknown",IF(E7285&lt;10,"&lt;10",IF(E7285&lt;20,"10-&lt;20",IF(E7285&lt;25,"20-&lt;25",IF(E7285&lt;35,"25-&lt;35","35+")))))</x:f>
        <x:v>10-&lt;20</x:v>
      </x:c>
    </x:row>
    <x:row r="7286">
      <x:c r="A7286" t="str">
        <x:v>SYN0007285</x:v>
      </x:c>
      <x:c r="B7286" s="12" t="n">
        <x:v>43225</x:v>
      </x:c>
      <x:c r="C7286" s="18" t="n">
        <x:v>13325</x:v>
      </x:c>
      <x:c r="D7286" s="18" t="n">
        <x:v>41982</x:v>
      </x:c>
      <x:c r="E7286" s="18" t="n">
        <x:v>16.75</x:v>
      </x:c>
      <x:c r="F7286" s="18" t="n">
        <x:v>9.3</x:v>
      </x:c>
      <x:c r="G7286" t="n">
        <x:v>60</x:v>
      </x:c>
      <x:c r="H7286" t="str">
        <x:v>B</x:v>
      </x:c>
      <x:c r="I7286" t="str">
        <x:v>4-6 years</x:v>
      </x:c>
      <x:c r="J7286" t="str">
        <x:v>RENT</x:v>
      </x:c>
      <x:c r="K7286" t="str">
        <x:v>debt_consolidation</x:v>
      </x:c>
      <x:c r="L7286" t="n">
        <x:v>0</x:v>
      </x:c>
      <x:c r="M7286" t="n">
        <x:v>1</x:v>
      </x:c>
      <x:c r="N7286" t="str">
        <x:v>Charged Off</x:v>
      </x:c>
      <x:c r="O7286" t="str">
        <x:f>IF(D7286="","Unknown",IF(D7286&lt;25000,"&lt;$25k",IF(D7286&lt;50000,"$25k-$50k",IF(D7286&lt;75000,"$50k-$75k",IF(D7286&lt;100000,"$75k-$100k","$100k+")))))</x:f>
        <x:v>$25k-$50k</x:v>
      </x:c>
      <x:c r="P7286" t="str">
        <x:f>IF(E7286="","Unknown",IF(E7286&lt;10,"&lt;10",IF(E7286&lt;20,"10-&lt;20",IF(E7286&lt;25,"20-&lt;25",IF(E7286&lt;35,"25-&lt;35","35+")))))</x:f>
        <x:v>10-&lt;20</x:v>
      </x:c>
    </x:row>
    <x:row r="7287">
      <x:c r="A7287" t="str">
        <x:v>SYN0007286</x:v>
      </x:c>
      <x:c r="B7287" s="12" t="n">
        <x:v>41485</x:v>
      </x:c>
      <x:c r="C7287" s="18" t="n">
        <x:v>11162</x:v>
      </x:c>
      <x:c r="D7287" s="18" t="n">
        <x:v>48672</x:v>
      </x:c>
      <x:c r="E7287" s="18" t="n">
        <x:v>23.44</x:v>
      </x:c>
      <x:c r="F7287" s="18" t="n">
        <x:v>5.74</x:v>
      </x:c>
      <x:c r="G7287" t="n">
        <x:v>36</x:v>
      </x:c>
      <x:c r="H7287" t="str">
        <x:v>A</x:v>
      </x:c>
      <x:c r="I7287" t="str">
        <x:v>&lt;1 year</x:v>
      </x:c>
      <x:c r="J7287" t="str">
        <x:v>RENT</x:v>
      </x:c>
      <x:c r="K7287" t="str">
        <x:v>debt_consolidation</x:v>
      </x:c>
      <x:c r="L7287" t="n">
        <x:v>0</x:v>
      </x:c>
      <x:c r="M7287" t="n">
        <x:v>0</x:v>
      </x:c>
      <x:c r="N7287" t="str">
        <x:v>Fully Paid</x:v>
      </x:c>
      <x:c r="O7287" t="str">
        <x:f>IF(D7287="","Unknown",IF(D7287&lt;25000,"&lt;$25k",IF(D7287&lt;50000,"$25k-$50k",IF(D7287&lt;75000,"$50k-$75k",IF(D7287&lt;100000,"$75k-$100k","$100k+")))))</x:f>
        <x:v>$25k-$50k</x:v>
      </x:c>
      <x:c r="P7287" t="str">
        <x:f>IF(E7287="","Unknown",IF(E7287&lt;10,"&lt;10",IF(E7287&lt;20,"10-&lt;20",IF(E7287&lt;25,"20-&lt;25",IF(E7287&lt;35,"25-&lt;35","35+")))))</x:f>
        <x:v>20-&lt;25</x:v>
      </x:c>
    </x:row>
    <x:row r="7288">
      <x:c r="A7288" t="str">
        <x:v>SYN0007287</x:v>
      </x:c>
      <x:c r="B7288" s="12" t="n">
        <x:v>42805</x:v>
      </x:c>
      <x:c r="C7288" s="18" t="n">
        <x:v>14207</x:v>
      </x:c>
      <x:c r="D7288" s="18" t="n">
        <x:v>30084</x:v>
      </x:c>
      <x:c r="E7288" s="18" t="n">
        <x:v>17.88</x:v>
      </x:c>
      <x:c r="F7288" s="18" t="n">
        <x:v>10.09</x:v>
      </x:c>
      <x:c r="G7288" t="n">
        <x:v>36</x:v>
      </x:c>
      <x:c r="H7288" t="str">
        <x:v>C</x:v>
      </x:c>
      <x:c r="I7288" t="str">
        <x:v>1-3 years</x:v>
      </x:c>
      <x:c r="J7288" t="str">
        <x:v>RENT</x:v>
      </x:c>
      <x:c r="K7288" t="str">
        <x:v>credit_card</x:v>
      </x:c>
      <x:c r="L7288" t="n">
        <x:v>0</x:v>
      </x:c>
      <x:c r="M7288" t="n">
        <x:v>0</x:v>
      </x:c>
      <x:c r="N7288" t="str">
        <x:v>Fully Paid</x:v>
      </x:c>
      <x:c r="O7288" t="str">
        <x:f>IF(D7288="","Unknown",IF(D7288&lt;25000,"&lt;$25k",IF(D7288&lt;50000,"$25k-$50k",IF(D7288&lt;75000,"$50k-$75k",IF(D7288&lt;100000,"$75k-$100k","$100k+")))))</x:f>
        <x:v>$25k-$50k</x:v>
      </x:c>
      <x:c r="P7288" t="str">
        <x:f>IF(E7288="","Unknown",IF(E7288&lt;10,"&lt;10",IF(E7288&lt;20,"10-&lt;20",IF(E7288&lt;25,"20-&lt;25",IF(E7288&lt;35,"25-&lt;35","35+")))))</x:f>
        <x:v>10-&lt;20</x:v>
      </x:c>
    </x:row>
    <x:row r="7289">
      <x:c r="A7289" t="str">
        <x:v>SYN0007288</x:v>
      </x:c>
      <x:c r="B7289" s="12" t="n">
        <x:v>42355</x:v>
      </x:c>
      <x:c r="C7289" s="18" t="n">
        <x:v>14185</x:v>
      </x:c>
      <x:c r="D7289" s="18" t="n">
        <x:v>40714</x:v>
      </x:c>
      <x:c r="E7289" s="18" t="n">
        <x:v>21.57</x:v>
      </x:c>
      <x:c r="F7289" s="18" t="n">
        <x:v>7.23</x:v>
      </x:c>
      <x:c r="G7289" t="n">
        <x:v>36</x:v>
      </x:c>
      <x:c r="H7289" t="str">
        <x:v>A</x:v>
      </x:c>
      <x:c r="I7289" t="str">
        <x:v>1-3 years</x:v>
      </x:c>
      <x:c r="J7289" t="str">
        <x:v>OWN</x:v>
      </x:c>
      <x:c r="K7289" t="str">
        <x:v>other</x:v>
      </x:c>
      <x:c r="L7289" t="n">
        <x:v>0</x:v>
      </x:c>
      <x:c r="M7289" t="n">
        <x:v>0</x:v>
      </x:c>
      <x:c r="N7289" t="str">
        <x:v>Fully Paid</x:v>
      </x:c>
      <x:c r="O7289" t="str">
        <x:f>IF(D7289="","Unknown",IF(D7289&lt;25000,"&lt;$25k",IF(D7289&lt;50000,"$25k-$50k",IF(D7289&lt;75000,"$50k-$75k",IF(D7289&lt;100000,"$75k-$100k","$100k+")))))</x:f>
        <x:v>$25k-$50k</x:v>
      </x:c>
      <x:c r="P7289" t="str">
        <x:f>IF(E7289="","Unknown",IF(E7289&lt;10,"&lt;10",IF(E7289&lt;20,"10-&lt;20",IF(E7289&lt;25,"20-&lt;25",IF(E7289&lt;35,"25-&lt;35","35+")))))</x:f>
        <x:v>20-&lt;25</x:v>
      </x:c>
    </x:row>
    <x:row r="7290">
      <x:c r="A7290" t="str">
        <x:v>SYN0007289</x:v>
      </x:c>
      <x:c r="B7290" s="12" t="n">
        <x:v>43225</x:v>
      </x:c>
      <x:c r="C7290" s="18" t="n">
        <x:v>10498</x:v>
      </x:c>
      <x:c r="D7290" s="18" t="n">
        <x:v>58271</x:v>
      </x:c>
      <x:c r="E7290" s="18" t="n">
        <x:v>9.64</x:v>
      </x:c>
      <x:c r="F7290" s="18" t="n">
        <x:v>6.82</x:v>
      </x:c>
      <x:c r="G7290" t="n">
        <x:v>60</x:v>
      </x:c>
      <x:c r="H7290" t="str">
        <x:v>A</x:v>
      </x:c>
      <x:c r="I7290" t="str">
        <x:v>4-6 years</x:v>
      </x:c>
      <x:c r="J7290" t="str">
        <x:v>RENT</x:v>
      </x:c>
      <x:c r="K7290" t="str">
        <x:v>debt_consolidation</x:v>
      </x:c>
      <x:c r="L7290" t="n">
        <x:v>0</x:v>
      </x:c>
      <x:c r="M7290" t="n">
        <x:v>0</x:v>
      </x:c>
      <x:c r="N7290" t="str">
        <x:v>Fully Paid</x:v>
      </x:c>
      <x:c r="O7290" t="str">
        <x:f>IF(D7290="","Unknown",IF(D7290&lt;25000,"&lt;$25k",IF(D7290&lt;50000,"$25k-$50k",IF(D7290&lt;75000,"$50k-$75k",IF(D7290&lt;100000,"$75k-$100k","$100k+")))))</x:f>
        <x:v>$50k-$75k</x:v>
      </x:c>
      <x:c r="P7290" t="str">
        <x:f>IF(E7290="","Unknown",IF(E7290&lt;10,"&lt;10",IF(E7290&lt;20,"10-&lt;20",IF(E7290&lt;25,"20-&lt;25",IF(E7290&lt;35,"25-&lt;35","35+")))))</x:f>
        <x:v>&lt;10</x:v>
      </x:c>
    </x:row>
    <x:row r="7291">
      <x:c r="A7291" t="str">
        <x:v>SYN0007290</x:v>
      </x:c>
      <x:c r="B7291" s="12" t="n">
        <x:v>41845</x:v>
      </x:c>
      <x:c r="C7291" s="18" t="n">
        <x:v>9466</x:v>
      </x:c>
      <x:c r="D7291" s="18" t="n">
        <x:v>56278</x:v>
      </x:c>
      <x:c r="E7291" s="18" t="n">
        <x:v>18.31</x:v>
      </x:c>
      <x:c r="F7291" s="18" t="n">
        <x:v>9.45</x:v>
      </x:c>
      <x:c r="G7291" t="n">
        <x:v>36</x:v>
      </x:c>
      <x:c r="H7291" t="str">
        <x:v>C</x:v>
      </x:c>
      <x:c r="I7291" t="str">
        <x:v>10+ years</x:v>
      </x:c>
      <x:c r="J7291" t="str">
        <x:v>MORTGAGE</x:v>
      </x:c>
      <x:c r="K7291" t="str">
        <x:v>debt_consolidation</x:v>
      </x:c>
      <x:c r="L7291" t="n">
        <x:v>0</x:v>
      </x:c>
      <x:c r="M7291" t="n">
        <x:v>0</x:v>
      </x:c>
      <x:c r="N7291" t="str">
        <x:v>Fully Paid</x:v>
      </x:c>
      <x:c r="O7291" t="str">
        <x:f>IF(D7291="","Unknown",IF(D7291&lt;25000,"&lt;$25k",IF(D7291&lt;50000,"$25k-$50k",IF(D7291&lt;75000,"$50k-$75k",IF(D7291&lt;100000,"$75k-$100k","$100k+")))))</x:f>
        <x:v>$50k-$75k</x:v>
      </x:c>
      <x:c r="P7291" t="str">
        <x:f>IF(E7291="","Unknown",IF(E7291&lt;10,"&lt;10",IF(E7291&lt;20,"10-&lt;20",IF(E7291&lt;25,"20-&lt;25",IF(E7291&lt;35,"25-&lt;35","35+")))))</x:f>
        <x:v>10-&lt;20</x:v>
      </x:c>
    </x:row>
    <x:row r="7292">
      <x:c r="A7292" t="str">
        <x:v>SYN0007291</x:v>
      </x:c>
      <x:c r="B7292" s="12" t="n">
        <x:v>41785</x:v>
      </x:c>
      <x:c r="C7292" s="18" t="n">
        <x:v>6228</x:v>
      </x:c>
      <x:c r="D7292" s="18" t="n">
        <x:v>30198</x:v>
      </x:c>
      <x:c r="E7292" s="18" t="n">
        <x:v>21.94</x:v>
      </x:c>
      <x:c r="F7292" s="18" t="n">
        <x:v>12.46</x:v>
      </x:c>
      <x:c r="G7292" t="n">
        <x:v>36</x:v>
      </x:c>
      <x:c r="H7292" t="str">
        <x:v>D</x:v>
      </x:c>
      <x:c r="I7292" t="str">
        <x:v>10+ years</x:v>
      </x:c>
      <x:c r="J7292" t="str">
        <x:v>MORTGAGE</x:v>
      </x:c>
      <x:c r="K7292" t="str">
        <x:v>debt_consolidation</x:v>
      </x:c>
      <x:c r="L7292" t="n">
        <x:v>1</x:v>
      </x:c>
      <x:c r="M7292" t="n">
        <x:v>1</x:v>
      </x:c>
      <x:c r="N7292" t="str">
        <x:v>Charged Off</x:v>
      </x:c>
      <x:c r="O7292" t="str">
        <x:f>IF(D7292="","Unknown",IF(D7292&lt;25000,"&lt;$25k",IF(D7292&lt;50000,"$25k-$50k",IF(D7292&lt;75000,"$50k-$75k",IF(D7292&lt;100000,"$75k-$100k","$100k+")))))</x:f>
        <x:v>$25k-$50k</x:v>
      </x:c>
      <x:c r="P7292" t="str">
        <x:f>IF(E7292="","Unknown",IF(E7292&lt;10,"&lt;10",IF(E7292&lt;20,"10-&lt;20",IF(E7292&lt;25,"20-&lt;25",IF(E7292&lt;35,"25-&lt;35","35+")))))</x:f>
        <x:v>20-&lt;25</x:v>
      </x:c>
    </x:row>
    <x:row r="7293">
      <x:c r="A7293" t="str">
        <x:v>SYN0007292</x:v>
      </x:c>
      <x:c r="B7293" s="12" t="n">
        <x:v>43135</x:v>
      </x:c>
      <x:c r="C7293" s="18" t="n">
        <x:v>10992</x:v>
      </x:c>
      <x:c r="D7293" s="18" t="n">
        <x:v>31202</x:v>
      </x:c>
      <x:c r="E7293" s="18" t="n">
        <x:v>11</x:v>
      </x:c>
      <x:c r="F7293" s="18" t="n">
        <x:v>7.23</x:v>
      </x:c>
      <x:c r="G7293" t="n">
        <x:v>36</x:v>
      </x:c>
      <x:c r="H7293" t="str">
        <x:v>B</x:v>
      </x:c>
      <x:c r="I7293" t="str">
        <x:v>7-9 years</x:v>
      </x:c>
      <x:c r="J7293" t="str">
        <x:v>RENT</x:v>
      </x:c>
      <x:c r="K7293" t="str">
        <x:v>debt_consolidation</x:v>
      </x:c>
      <x:c r="L7293" t="n">
        <x:v>0</x:v>
      </x:c>
      <x:c r="M7293" t="n">
        <x:v>0</x:v>
      </x:c>
      <x:c r="N7293" t="str">
        <x:v>Fully Paid</x:v>
      </x:c>
      <x:c r="O7293" t="str">
        <x:f>IF(D7293="","Unknown",IF(D7293&lt;25000,"&lt;$25k",IF(D7293&lt;50000,"$25k-$50k",IF(D7293&lt;75000,"$50k-$75k",IF(D7293&lt;100000,"$75k-$100k","$100k+")))))</x:f>
        <x:v>$25k-$50k</x:v>
      </x:c>
      <x:c r="P7293" t="str">
        <x:f>IF(E7293="","Unknown",IF(E7293&lt;10,"&lt;10",IF(E7293&lt;20,"10-&lt;20",IF(E7293&lt;25,"20-&lt;25",IF(E7293&lt;35,"25-&lt;35","35+")))))</x:f>
        <x:v>10-&lt;20</x:v>
      </x:c>
    </x:row>
    <x:row r="7294">
      <x:c r="A7294" t="str">
        <x:v>SYN0007293</x:v>
      </x:c>
      <x:c r="B7294" s="12" t="n">
        <x:v>43165</x:v>
      </x:c>
      <x:c r="C7294" s="18" t="n">
        <x:v>6232</x:v>
      </x:c>
      <x:c r="D7294" s="18" t="n">
        <x:v>47560</x:v>
      </x:c>
      <x:c r="E7294" s="18" t="n">
        <x:v>38.11</x:v>
      </x:c>
      <x:c r="F7294" s="18" t="n">
        <x:v>13.43</x:v>
      </x:c>
      <x:c r="G7294" t="n">
        <x:v>36</x:v>
      </x:c>
      <x:c r="H7294" t="str">
        <x:v>C</x:v>
      </x:c>
      <x:c r="I7294" t="str">
        <x:v>10+ years</x:v>
      </x:c>
      <x:c r="J7294" t="str">
        <x:v>OWN</x:v>
      </x:c>
      <x:c r="K7294" t="str">
        <x:v>debt_consolidation</x:v>
      </x:c>
      <x:c r="L7294" t="n">
        <x:v>0</x:v>
      </x:c>
      <x:c r="M7294" t="n">
        <x:v>0</x:v>
      </x:c>
      <x:c r="N7294" t="str">
        <x:v>Fully Paid</x:v>
      </x:c>
      <x:c r="O7294" t="str">
        <x:f>IF(D7294="","Unknown",IF(D7294&lt;25000,"&lt;$25k",IF(D7294&lt;50000,"$25k-$50k",IF(D7294&lt;75000,"$50k-$75k",IF(D7294&lt;100000,"$75k-$100k","$100k+")))))</x:f>
        <x:v>$25k-$50k</x:v>
      </x:c>
      <x:c r="P7294" t="str">
        <x:f>IF(E7294="","Unknown",IF(E7294&lt;10,"&lt;10",IF(E7294&lt;20,"10-&lt;20",IF(E7294&lt;25,"20-&lt;25",IF(E7294&lt;35,"25-&lt;35","35+")))))</x:f>
        <x:v>35+</x:v>
      </x:c>
    </x:row>
    <x:row r="7295">
      <x:c r="A7295" t="str">
        <x:v>SYN0007294</x:v>
      </x:c>
      <x:c r="B7295" s="12" t="n">
        <x:v>42925</x:v>
      </x:c>
      <x:c r="C7295" s="18" t="n">
        <x:v>18027</x:v>
      </x:c>
      <x:c r="D7295" s="18" t="n">
        <x:v>39194</x:v>
      </x:c>
      <x:c r="E7295" s="18" t="n">
        <x:v>14.31</x:v>
      </x:c>
      <x:c r="F7295" s="18" t="n">
        <x:v>17.13</x:v>
      </x:c>
      <x:c r="G7295" t="n">
        <x:v>36</x:v>
      </x:c>
      <x:c r="H7295" t="str">
        <x:v>E</x:v>
      </x:c>
      <x:c r="I7295" t="str">
        <x:v>4-6 years</x:v>
      </x:c>
      <x:c r="J7295" t="str">
        <x:v>RENT</x:v>
      </x:c>
      <x:c r="K7295" t="str">
        <x:v>credit_card</x:v>
      </x:c>
      <x:c r="L7295" t="n">
        <x:v>0</x:v>
      </x:c>
      <x:c r="M7295" t="n">
        <x:v>0</x:v>
      </x:c>
      <x:c r="N7295" t="str">
        <x:v>Fully Paid</x:v>
      </x:c>
      <x:c r="O7295" t="str">
        <x:f>IF(D7295="","Unknown",IF(D7295&lt;25000,"&lt;$25k",IF(D7295&lt;50000,"$25k-$50k",IF(D7295&lt;75000,"$50k-$75k",IF(D7295&lt;100000,"$75k-$100k","$100k+")))))</x:f>
        <x:v>$25k-$50k</x:v>
      </x:c>
      <x:c r="P7295" t="str">
        <x:f>IF(E7295="","Unknown",IF(E7295&lt;10,"&lt;10",IF(E7295&lt;20,"10-&lt;20",IF(E7295&lt;25,"20-&lt;25",IF(E7295&lt;35,"25-&lt;35","35+")))))</x:f>
        <x:v>10-&lt;20</x:v>
      </x:c>
    </x:row>
    <x:row r="7296">
      <x:c r="A7296" t="str">
        <x:v>SYN0007295</x:v>
      </x:c>
      <x:c r="B7296" s="12" t="n">
        <x:v>41305</x:v>
      </x:c>
      <x:c r="C7296" s="18" t="n">
        <x:v>21911</x:v>
      </x:c>
      <x:c r="D7296" s="18" t="n">
        <x:v>37307</x:v>
      </x:c>
      <x:c r="E7296" s="18" t="n">
        <x:v>28.83</x:v>
      </x:c>
      <x:c r="F7296" s="18" t="n">
        <x:v>13.42</x:v>
      </x:c>
      <x:c r="G7296" t="n">
        <x:v>60</x:v>
      </x:c>
      <x:c r="H7296" t="str">
        <x:v>D</x:v>
      </x:c>
      <x:c r="I7296" t="str">
        <x:v>1-3 years</x:v>
      </x:c>
      <x:c r="J7296" t="str">
        <x:v>MORTGAGE</x:v>
      </x:c>
      <x:c r="K7296" t="str">
        <x:v>debt_consolidation</x:v>
      </x:c>
      <x:c r="L7296" t="n">
        <x:v>0</x:v>
      </x:c>
      <x:c r="M7296" t="n">
        <x:v>0</x:v>
      </x:c>
      <x:c r="N7296" t="str">
        <x:v>Fully Paid</x:v>
      </x:c>
      <x:c r="O7296" t="str">
        <x:f>IF(D7296="","Unknown",IF(D7296&lt;25000,"&lt;$25k",IF(D7296&lt;50000,"$25k-$50k",IF(D7296&lt;75000,"$50k-$75k",IF(D7296&lt;100000,"$75k-$100k","$100k+")))))</x:f>
        <x:v>$25k-$50k</x:v>
      </x:c>
      <x:c r="P7296" t="str">
        <x:f>IF(E7296="","Unknown",IF(E7296&lt;10,"&lt;10",IF(E7296&lt;20,"10-&lt;20",IF(E7296&lt;25,"20-&lt;25",IF(E7296&lt;35,"25-&lt;35","35+")))))</x:f>
        <x:v>25-&lt;35</x:v>
      </x:c>
    </x:row>
    <x:row r="7297">
      <x:c r="A7297" t="str">
        <x:v>SYN0007296</x:v>
      </x:c>
      <x:c r="B7297" s="12" t="n">
        <x:v>42175</x:v>
      </x:c>
      <x:c r="C7297" s="18" t="n">
        <x:v>28662</x:v>
      </x:c>
      <x:c r="D7297" s="18" t="n">
        <x:v>221788</x:v>
      </x:c>
      <x:c r="E7297" s="18" t="n">
        <x:v>21.03</x:v>
      </x:c>
      <x:c r="F7297" s="18" t="n">
        <x:v>13.23</x:v>
      </x:c>
      <x:c r="G7297" t="n">
        <x:v>36</x:v>
      </x:c>
      <x:c r="H7297" t="str">
        <x:v>C</x:v>
      </x:c>
      <x:c r="I7297" t="str">
        <x:v>7-9 years</x:v>
      </x:c>
      <x:c r="J7297" t="str">
        <x:v>RENT</x:v>
      </x:c>
      <x:c r="K7297" t="str">
        <x:v>debt_consolidation</x:v>
      </x:c>
      <x:c r="L7297" t="n">
        <x:v>0</x:v>
      </x:c>
      <x:c r="M7297" t="n">
        <x:v>0</x:v>
      </x:c>
      <x:c r="N7297" t="str">
        <x:v>Fully Paid</x:v>
      </x:c>
      <x:c r="O7297" t="str">
        <x:f>IF(D7297="","Unknown",IF(D7297&lt;25000,"&lt;$25k",IF(D7297&lt;50000,"$25k-$50k",IF(D7297&lt;75000,"$50k-$75k",IF(D7297&lt;100000,"$75k-$100k","$100k+")))))</x:f>
        <x:v>$100k+</x:v>
      </x:c>
      <x:c r="P7297" t="str">
        <x:f>IF(E7297="","Unknown",IF(E7297&lt;10,"&lt;10",IF(E7297&lt;20,"10-&lt;20",IF(E7297&lt;25,"20-&lt;25",IF(E7297&lt;35,"25-&lt;35","35+")))))</x:f>
        <x:v>20-&lt;25</x:v>
      </x:c>
    </x:row>
    <x:row r="7298">
      <x:c r="A7298" t="str">
        <x:v>SYN0007297</x:v>
      </x:c>
      <x:c r="B7298" s="12" t="n">
        <x:v>41575</x:v>
      </x:c>
      <x:c r="C7298" s="18" t="n">
        <x:v>10560</x:v>
      </x:c>
      <x:c r="D7298" s="18" t="n">
        <x:v>41364</x:v>
      </x:c>
      <x:c r="E7298" s="18" t="n">
        <x:v>28.56</x:v>
      </x:c>
      <x:c r="F7298" s="18" t="n">
        <x:v>16.9</x:v>
      </x:c>
      <x:c r="G7298" t="n">
        <x:v>36</x:v>
      </x:c>
      <x:c r="H7298" t="str">
        <x:v>E</x:v>
      </x:c>
      <x:c r="I7298" t="str">
        <x:v>10+ years</x:v>
      </x:c>
      <x:c r="J7298" t="str">
        <x:v>OWN</x:v>
      </x:c>
      <x:c r="K7298" t="str">
        <x:v>credit_card</x:v>
      </x:c>
      <x:c r="L7298" t="n">
        <x:v>0</x:v>
      </x:c>
      <x:c r="M7298" t="n">
        <x:v>0</x:v>
      </x:c>
      <x:c r="N7298" t="str">
        <x:v>Fully Paid</x:v>
      </x:c>
      <x:c r="O7298" t="str">
        <x:f>IF(D7298="","Unknown",IF(D7298&lt;25000,"&lt;$25k",IF(D7298&lt;50000,"$25k-$50k",IF(D7298&lt;75000,"$50k-$75k",IF(D7298&lt;100000,"$75k-$100k","$100k+")))))</x:f>
        <x:v>$25k-$50k</x:v>
      </x:c>
      <x:c r="P7298" t="str">
        <x:f>IF(E7298="","Unknown",IF(E7298&lt;10,"&lt;10",IF(E7298&lt;20,"10-&lt;20",IF(E7298&lt;25,"20-&lt;25",IF(E7298&lt;35,"25-&lt;35","35+")))))</x:f>
        <x:v>25-&lt;35</x:v>
      </x:c>
    </x:row>
    <x:row r="7299">
      <x:c r="A7299" t="str">
        <x:v>SYN0007298</x:v>
      </x:c>
      <x:c r="B7299" s="12" t="n">
        <x:v>42505</x:v>
      </x:c>
      <x:c r="C7299" s="18" t="n">
        <x:v>11167</x:v>
      </x:c>
      <x:c r="D7299" s="18" t="n">
        <x:v>154918</x:v>
      </x:c>
      <x:c r="E7299" s="18" t="n">
        <x:v>15.8</x:v>
      </x:c>
      <x:c r="F7299" s="18" t="n">
        <x:v>12.46</x:v>
      </x:c>
      <x:c r="G7299" t="n">
        <x:v>36</x:v>
      </x:c>
      <x:c r="H7299" t="str">
        <x:v>C</x:v>
      </x:c>
      <x:c r="I7299" t="str">
        <x:v>10+ years</x:v>
      </x:c>
      <x:c r="J7299" t="str">
        <x:v>OWN</x:v>
      </x:c>
      <x:c r="K7299" t="str">
        <x:v>major_purchase</x:v>
      </x:c>
      <x:c r="L7299" t="n">
        <x:v>0</x:v>
      </x:c>
      <x:c r="M7299" t="n">
        <x:v>0</x:v>
      </x:c>
      <x:c r="N7299" t="str">
        <x:v>Fully Paid</x:v>
      </x:c>
      <x:c r="O7299" t="str">
        <x:f>IF(D7299="","Unknown",IF(D7299&lt;25000,"&lt;$25k",IF(D7299&lt;50000,"$25k-$50k",IF(D7299&lt;75000,"$50k-$75k",IF(D7299&lt;100000,"$75k-$100k","$100k+")))))</x:f>
        <x:v>$100k+</x:v>
      </x:c>
      <x:c r="P7299" t="str">
        <x:f>IF(E7299="","Unknown",IF(E7299&lt;10,"&lt;10",IF(E7299&lt;20,"10-&lt;20",IF(E7299&lt;25,"20-&lt;25",IF(E7299&lt;35,"25-&lt;35","35+")))))</x:f>
        <x:v>10-&lt;20</x:v>
      </x:c>
    </x:row>
    <x:row r="7300">
      <x:c r="A7300" t="str">
        <x:v>SYN0007299</x:v>
      </x:c>
      <x:c r="B7300" s="12" t="n">
        <x:v>42415</x:v>
      </x:c>
      <x:c r="C7300" s="18" t="n">
        <x:v>7560</x:v>
      </x:c>
      <x:c r="D7300" s="18" t="n">
        <x:v>96764</x:v>
      </x:c>
      <x:c r="E7300" s="18" t="n">
        <x:v>18.4</x:v>
      </x:c>
      <x:c r="F7300" s="18" t="n">
        <x:v>11.99</x:v>
      </x:c>
      <x:c r="G7300" t="n">
        <x:v>36</x:v>
      </x:c>
      <x:c r="H7300" t="str">
        <x:v>C</x:v>
      </x:c>
      <x:c r="I7300" t="str">
        <x:v>1-3 years</x:v>
      </x:c>
      <x:c r="J7300" t="str">
        <x:v>MORTGAGE</x:v>
      </x:c>
      <x:c r="K7300" t="str">
        <x:v>debt_consolidation</x:v>
      </x:c>
      <x:c r="L7300" t="n">
        <x:v>0</x:v>
      </x:c>
      <x:c r="M7300" t="n">
        <x:v>0</x:v>
      </x:c>
      <x:c r="N7300" t="str">
        <x:v>Fully Paid</x:v>
      </x:c>
      <x:c r="O7300" t="str">
        <x:f>IF(D7300="","Unknown",IF(D7300&lt;25000,"&lt;$25k",IF(D7300&lt;50000,"$25k-$50k",IF(D7300&lt;75000,"$50k-$75k",IF(D7300&lt;100000,"$75k-$100k","$100k+")))))</x:f>
        <x:v>$75k-$100k</x:v>
      </x:c>
      <x:c r="P7300" t="str">
        <x:f>IF(E7300="","Unknown",IF(E7300&lt;10,"&lt;10",IF(E7300&lt;20,"10-&lt;20",IF(E7300&lt;25,"20-&lt;25",IF(E7300&lt;35,"25-&lt;35","35+")))))</x:f>
        <x:v>10-&lt;20</x:v>
      </x:c>
    </x:row>
    <x:row r="7301">
      <x:c r="A7301" t="str">
        <x:v>SYN0007300</x:v>
      </x:c>
      <x:c r="B7301" s="12" t="n">
        <x:v>41605</x:v>
      </x:c>
      <x:c r="C7301" s="18" t="n">
        <x:v>13403</x:v>
      </x:c>
      <x:c r="D7301" s="18" t="n">
        <x:v>58822</x:v>
      </x:c>
      <x:c r="E7301" s="18" t="n">
        <x:v>15.26</x:v>
      </x:c>
      <x:c r="F7301" s="18" t="n">
        <x:v>9.14</x:v>
      </x:c>
      <x:c r="G7301" t="n">
        <x:v>36</x:v>
      </x:c>
      <x:c r="H7301" t="str">
        <x:v>A</x:v>
      </x:c>
      <x:c r="I7301" t="str">
        <x:v>7-9 years</x:v>
      </x:c>
      <x:c r="J7301" t="str">
        <x:v>MORTGAGE</x:v>
      </x:c>
      <x:c r="K7301" t="str">
        <x:v>debt_consolidation</x:v>
      </x:c>
      <x:c r="L7301" t="n">
        <x:v>0</x:v>
      </x:c>
      <x:c r="M7301" t="n">
        <x:v>0</x:v>
      </x:c>
      <x:c r="N7301" t="str">
        <x:v>Fully Paid</x:v>
      </x:c>
      <x:c r="O7301" t="str">
        <x:f>IF(D7301="","Unknown",IF(D7301&lt;25000,"&lt;$25k",IF(D7301&lt;50000,"$25k-$50k",IF(D7301&lt;75000,"$50k-$75k",IF(D7301&lt;100000,"$75k-$100k","$100k+")))))</x:f>
        <x:v>$50k-$75k</x:v>
      </x:c>
      <x:c r="P7301" t="str">
        <x:f>IF(E7301="","Unknown",IF(E7301&lt;10,"&lt;10",IF(E7301&lt;20,"10-&lt;20",IF(E7301&lt;25,"20-&lt;25",IF(E7301&lt;35,"25-&lt;35","35+")))))</x:f>
        <x:v>10-&lt;20</x:v>
      </x:c>
    </x:row>
    <x:row r="7302">
      <x:c r="A7302" t="str">
        <x:v>SYN0007301</x:v>
      </x:c>
      <x:c r="B7302" s="12" t="n">
        <x:v>42175</x:v>
      </x:c>
      <x:c r="C7302" s="18" t="n">
        <x:v>17829</x:v>
      </x:c>
      <x:c r="D7302" s="18" t="n">
        <x:v>103305</x:v>
      </x:c>
      <x:c r="E7302" s="18" t="n">
        <x:v>18.53</x:v>
      </x:c>
      <x:c r="F7302" s="18" t="n">
        <x:v>8.32</x:v>
      </x:c>
      <x:c r="G7302" t="n">
        <x:v>60</x:v>
      </x:c>
      <x:c r="H7302" t="str">
        <x:v>C</x:v>
      </x:c>
      <x:c r="I7302" t="str">
        <x:v>7-9 years</x:v>
      </x:c>
      <x:c r="J7302" t="str">
        <x:v>RENT</x:v>
      </x:c>
      <x:c r="K7302" t="str">
        <x:v>credit_card</x:v>
      </x:c>
      <x:c r="L7302" t="n">
        <x:v>0</x:v>
      </x:c>
      <x:c r="M7302" t="n">
        <x:v>0</x:v>
      </x:c>
      <x:c r="N7302" t="str">
        <x:v>Fully Paid</x:v>
      </x:c>
      <x:c r="O7302" t="str">
        <x:f>IF(D7302="","Unknown",IF(D7302&lt;25000,"&lt;$25k",IF(D7302&lt;50000,"$25k-$50k",IF(D7302&lt;75000,"$50k-$75k",IF(D7302&lt;100000,"$75k-$100k","$100k+")))))</x:f>
        <x:v>$100k+</x:v>
      </x:c>
      <x:c r="P7302" t="str">
        <x:f>IF(E7302="","Unknown",IF(E7302&lt;10,"&lt;10",IF(E7302&lt;20,"10-&lt;20",IF(E7302&lt;25,"20-&lt;25",IF(E7302&lt;35,"25-&lt;35","35+")))))</x:f>
        <x:v>10-&lt;20</x:v>
      </x:c>
    </x:row>
    <x:row r="7303">
      <x:c r="A7303" t="str">
        <x:v>SYN0007302</x:v>
      </x:c>
      <x:c r="B7303" s="12" t="n">
        <x:v>42955</x:v>
      </x:c>
      <x:c r="C7303" s="18" t="n">
        <x:v>9089</x:v>
      </x:c>
      <x:c r="D7303" s="18" t="n">
        <x:v>62501</x:v>
      </x:c>
      <x:c r="E7303" s="18" t="n">
        <x:v>25.72</x:v>
      </x:c>
      <x:c r="F7303" s="18" t="n">
        <x:v>6.61</x:v>
      </x:c>
      <x:c r="G7303" t="n">
        <x:v>36</x:v>
      </x:c>
      <x:c r="H7303" t="str">
        <x:v>A</x:v>
      </x:c>
      <x:c r="I7303" t="str">
        <x:v>1-3 years</x:v>
      </x:c>
      <x:c r="J7303" t="str">
        <x:v>OTHER</x:v>
      </x:c>
      <x:c r="K7303" t="str">
        <x:v>debt_consolidation</x:v>
      </x:c>
      <x:c r="L7303" t="n">
        <x:v>0</x:v>
      </x:c>
      <x:c r="M7303" t="n">
        <x:v>0</x:v>
      </x:c>
      <x:c r="N7303" t="str">
        <x:v>Fully Paid</x:v>
      </x:c>
      <x:c r="O7303" t="str">
        <x:f>IF(D7303="","Unknown",IF(D7303&lt;25000,"&lt;$25k",IF(D7303&lt;50000,"$25k-$50k",IF(D7303&lt;75000,"$50k-$75k",IF(D7303&lt;100000,"$75k-$100k","$100k+")))))</x:f>
        <x:v>$50k-$75k</x:v>
      </x:c>
      <x:c r="P7303" t="str">
        <x:f>IF(E7303="","Unknown",IF(E7303&lt;10,"&lt;10",IF(E7303&lt;20,"10-&lt;20",IF(E7303&lt;25,"20-&lt;25",IF(E7303&lt;35,"25-&lt;35","35+")))))</x:f>
        <x:v>25-&lt;35</x:v>
      </x:c>
    </x:row>
    <x:row r="7304">
      <x:c r="A7304" t="str">
        <x:v>SYN0007303</x:v>
      </x:c>
      <x:c r="B7304" s="12" t="n">
        <x:v>41905</x:v>
      </x:c>
      <x:c r="C7304" s="18" t="n">
        <x:v>20810</x:v>
      </x:c>
      <x:c r="D7304" s="18" t="n">
        <x:v>39836</x:v>
      </x:c>
      <x:c r="E7304" s="18" t="n">
        <x:v>27.03</x:v>
      </x:c>
      <x:c r="F7304" s="18" t="n">
        <x:v>6.72</x:v>
      </x:c>
      <x:c r="G7304" t="n">
        <x:v>36</x:v>
      </x:c>
      <x:c r="H7304" t="str">
        <x:v>A</x:v>
      </x:c>
      <x:c r="I7304" t="str">
        <x:v>1-3 years</x:v>
      </x:c>
      <x:c r="J7304" t="str">
        <x:v>MORTGAGE</x:v>
      </x:c>
      <x:c r="K7304" t="str">
        <x:v>debt_consolidation</x:v>
      </x:c>
      <x:c r="L7304" t="n">
        <x:v>0</x:v>
      </x:c>
      <x:c r="M7304" t="n">
        <x:v>0</x:v>
      </x:c>
      <x:c r="N7304" t="str">
        <x:v>Fully Paid</x:v>
      </x:c>
      <x:c r="O7304" t="str">
        <x:f>IF(D7304="","Unknown",IF(D7304&lt;25000,"&lt;$25k",IF(D7304&lt;50000,"$25k-$50k",IF(D7304&lt;75000,"$50k-$75k",IF(D7304&lt;100000,"$75k-$100k","$100k+")))))</x:f>
        <x:v>$25k-$50k</x:v>
      </x:c>
      <x:c r="P7304" t="str">
        <x:f>IF(E7304="","Unknown",IF(E7304&lt;10,"&lt;10",IF(E7304&lt;20,"10-&lt;20",IF(E7304&lt;25,"20-&lt;25",IF(E7304&lt;35,"25-&lt;35","35+")))))</x:f>
        <x:v>25-&lt;35</x:v>
      </x:c>
    </x:row>
    <x:row r="7305">
      <x:c r="A7305" t="str">
        <x:v>SYN0007304</x:v>
      </x:c>
      <x:c r="B7305" s="12" t="n">
        <x:v>43105</x:v>
      </x:c>
      <x:c r="C7305" s="18" t="n">
        <x:v>12737</x:v>
      </x:c>
      <x:c r="D7305" s="18" t="n">
        <x:v>31374</x:v>
      </x:c>
      <x:c r="E7305" s="18" t="n">
        <x:v>7.61</x:v>
      </x:c>
      <x:c r="F7305" s="18" t="n">
        <x:v>9.99</x:v>
      </x:c>
      <x:c r="G7305" t="n">
        <x:v>60</x:v>
      </x:c>
      <x:c r="H7305" t="str">
        <x:v>C</x:v>
      </x:c>
      <x:c r="I7305" t="str">
        <x:v>7-9 years</x:v>
      </x:c>
      <x:c r="J7305" t="str">
        <x:v>RENT</x:v>
      </x:c>
      <x:c r="K7305" t="str">
        <x:v>home_improvement</x:v>
      </x:c>
      <x:c r="L7305" t="n">
        <x:v>2</x:v>
      </x:c>
      <x:c r="M7305" t="n">
        <x:v>0</x:v>
      </x:c>
      <x:c r="N7305" t="str">
        <x:v>Fully Paid</x:v>
      </x:c>
      <x:c r="O7305" t="str">
        <x:f>IF(D7305="","Unknown",IF(D7305&lt;25000,"&lt;$25k",IF(D7305&lt;50000,"$25k-$50k",IF(D7305&lt;75000,"$50k-$75k",IF(D7305&lt;100000,"$75k-$100k","$100k+")))))</x:f>
        <x:v>$25k-$50k</x:v>
      </x:c>
      <x:c r="P7305" t="str">
        <x:f>IF(E7305="","Unknown",IF(E7305&lt;10,"&lt;10",IF(E7305&lt;20,"10-&lt;20",IF(E7305&lt;25,"20-&lt;25",IF(E7305&lt;35,"25-&lt;35","35+")))))</x:f>
        <x:v>&lt;10</x:v>
      </x:c>
    </x:row>
    <x:row r="7306">
      <x:c r="A7306" t="str">
        <x:v>SYN0007305</x:v>
      </x:c>
      <x:c r="B7306" s="12" t="n">
        <x:v>41935</x:v>
      </x:c>
      <x:c r="C7306" s="18" t="n">
        <x:v>10596</x:v>
      </x:c>
      <x:c r="D7306" s="18" t="n">
        <x:v>14597</x:v>
      </x:c>
      <x:c r="E7306" s="18" t="n">
        <x:v>20.66</x:v>
      </x:c>
      <x:c r="F7306" s="18" t="n">
        <x:v>18.1</x:v>
      </x:c>
      <x:c r="G7306" t="n">
        <x:v>36</x:v>
      </x:c>
      <x:c r="H7306" t="str">
        <x:v>E</x:v>
      </x:c>
      <x:c r="I7306" t="str">
        <x:v>10+ years</x:v>
      </x:c>
      <x:c r="J7306" t="str">
        <x:v>MORTGAGE</x:v>
      </x:c>
      <x:c r="K7306" t="str">
        <x:v>credit_card</x:v>
      </x:c>
      <x:c r="L7306" t="n">
        <x:v>1</x:v>
      </x:c>
      <x:c r="M7306" t="n">
        <x:v>0</x:v>
      </x:c>
      <x:c r="N7306" t="str">
        <x:v>Fully Paid</x:v>
      </x:c>
      <x:c r="O7306" t="str">
        <x:f>IF(D7306="","Unknown",IF(D7306&lt;25000,"&lt;$25k",IF(D7306&lt;50000,"$25k-$50k",IF(D7306&lt;75000,"$50k-$75k",IF(D7306&lt;100000,"$75k-$100k","$100k+")))))</x:f>
        <x:v>&lt;$25k</x:v>
      </x:c>
      <x:c r="P7306" t="str">
        <x:f>IF(E7306="","Unknown",IF(E7306&lt;10,"&lt;10",IF(E7306&lt;20,"10-&lt;20",IF(E7306&lt;25,"20-&lt;25",IF(E7306&lt;35,"25-&lt;35","35+")))))</x:f>
        <x:v>20-&lt;25</x:v>
      </x:c>
    </x:row>
    <x:row r="7307">
      <x:c r="A7307" t="str">
        <x:v>SYN0007306</x:v>
      </x:c>
      <x:c r="B7307" s="12" t="n">
        <x:v>43135</x:v>
      </x:c>
      <x:c r="C7307" s="18" t="n">
        <x:v>16891</x:v>
      </x:c>
      <x:c r="D7307" s="18" t="n">
        <x:v>51764</x:v>
      </x:c>
      <x:c r="E7307" s="18" t="n">
        <x:v>5.46</x:v>
      </x:c>
      <x:c r="F7307" s="18" t="n">
        <x:v>8.07</x:v>
      </x:c>
      <x:c r="G7307" t="n">
        <x:v>60</x:v>
      </x:c>
      <x:c r="H7307" t="str">
        <x:v>C</x:v>
      </x:c>
      <x:c r="I7307" t="str">
        <x:v>10+ years</x:v>
      </x:c>
      <x:c r="J7307" t="str">
        <x:v>MORTGAGE</x:v>
      </x:c>
      <x:c r="K7307" t="str">
        <x:v>debt_consolidation</x:v>
      </x:c>
      <x:c r="L7307" t="n">
        <x:v>1</x:v>
      </x:c>
      <x:c r="M7307" t="n">
        <x:v>0</x:v>
      </x:c>
      <x:c r="N7307" t="str">
        <x:v>Fully Paid</x:v>
      </x:c>
      <x:c r="O7307" t="str">
        <x:f>IF(D7307="","Unknown",IF(D7307&lt;25000,"&lt;$25k",IF(D7307&lt;50000,"$25k-$50k",IF(D7307&lt;75000,"$50k-$75k",IF(D7307&lt;100000,"$75k-$100k","$100k+")))))</x:f>
        <x:v>$50k-$75k</x:v>
      </x:c>
      <x:c r="P7307" t="str">
        <x:f>IF(E7307="","Unknown",IF(E7307&lt;10,"&lt;10",IF(E7307&lt;20,"10-&lt;20",IF(E7307&lt;25,"20-&lt;25",IF(E7307&lt;35,"25-&lt;35","35+")))))</x:f>
        <x:v>&lt;10</x:v>
      </x:c>
    </x:row>
    <x:row r="7308">
      <x:c r="A7308" t="str">
        <x:v>SYN0007307</x:v>
      </x:c>
      <x:c r="B7308" s="12" t="n">
        <x:v>41455</x:v>
      </x:c>
      <x:c r="C7308" s="18" t="n">
        <x:v>12710</x:v>
      </x:c>
      <x:c r="D7308" s="18" t="n">
        <x:v>16536</x:v>
      </x:c>
      <x:c r="E7308" s="18" t="n">
        <x:v>4.78</x:v>
      </x:c>
      <x:c r="F7308" s="18" t="n">
        <x:v>10.54</x:v>
      </x:c>
      <x:c r="G7308" t="n">
        <x:v>36</x:v>
      </x:c>
      <x:c r="H7308" t="str">
        <x:v>B</x:v>
      </x:c>
      <x:c r="I7308" t="str">
        <x:v>7-9 years</x:v>
      </x:c>
      <x:c r="J7308" t="str">
        <x:v>MORTGAGE</x:v>
      </x:c>
      <x:c r="K7308" t="str">
        <x:v>debt_consolidation</x:v>
      </x:c>
      <x:c r="L7308" t="n">
        <x:v>0</x:v>
      </x:c>
      <x:c r="M7308" t="n">
        <x:v>0</x:v>
      </x:c>
      <x:c r="N7308" t="str">
        <x:v>Fully Paid</x:v>
      </x:c>
      <x:c r="O7308" t="str">
        <x:f>IF(D7308="","Unknown",IF(D7308&lt;25000,"&lt;$25k",IF(D7308&lt;50000,"$25k-$50k",IF(D7308&lt;75000,"$50k-$75k",IF(D7308&lt;100000,"$75k-$100k","$100k+")))))</x:f>
        <x:v>&lt;$25k</x:v>
      </x:c>
      <x:c r="P7308" t="str">
        <x:f>IF(E7308="","Unknown",IF(E7308&lt;10,"&lt;10",IF(E7308&lt;20,"10-&lt;20",IF(E7308&lt;25,"20-&lt;25",IF(E7308&lt;35,"25-&lt;35","35+")))))</x:f>
        <x:v>&lt;10</x:v>
      </x:c>
    </x:row>
    <x:row r="7309">
      <x:c r="A7309" t="str">
        <x:v>SYN0007308</x:v>
      </x:c>
      <x:c r="B7309" s="12" t="n">
        <x:v>42355</x:v>
      </x:c>
      <x:c r="C7309" s="18" t="n">
        <x:v>9261</x:v>
      </x:c>
      <x:c r="D7309" s="18" t="n">
        <x:v>79152</x:v>
      </x:c>
      <x:c r="E7309" s="18" t="n">
        <x:v>26.71</x:v>
      </x:c>
      <x:c r="F7309" s="18" t="n">
        <x:v>12</x:v>
      </x:c>
      <x:c r="G7309" t="n">
        <x:v>60</x:v>
      </x:c>
      <x:c r="H7309" t="str">
        <x:v>D</x:v>
      </x:c>
      <x:c r="I7309" t="str">
        <x:v>10+ years</x:v>
      </x:c>
      <x:c r="J7309" t="str">
        <x:v>RENT</x:v>
      </x:c>
      <x:c r="K7309" t="str">
        <x:v>home_improvement</x:v>
      </x:c>
      <x:c r="L7309" t="n">
        <x:v>1</x:v>
      </x:c>
      <x:c r="M7309" t="n">
        <x:v>1</x:v>
      </x:c>
      <x:c r="N7309" t="str">
        <x:v>Charged Off</x:v>
      </x:c>
      <x:c r="O7309" t="str">
        <x:f>IF(D7309="","Unknown",IF(D7309&lt;25000,"&lt;$25k",IF(D7309&lt;50000,"$25k-$50k",IF(D7309&lt;75000,"$50k-$75k",IF(D7309&lt;100000,"$75k-$100k","$100k+")))))</x:f>
        <x:v>$75k-$100k</x:v>
      </x:c>
      <x:c r="P7309" t="str">
        <x:f>IF(E7309="","Unknown",IF(E7309&lt;10,"&lt;10",IF(E7309&lt;20,"10-&lt;20",IF(E7309&lt;25,"20-&lt;25",IF(E7309&lt;35,"25-&lt;35","35+")))))</x:f>
        <x:v>25-&lt;35</x:v>
      </x:c>
    </x:row>
    <x:row r="7310">
      <x:c r="A7310" t="str">
        <x:v>SYN0007309</x:v>
      </x:c>
      <x:c r="B7310" s="12" t="n">
        <x:v>43195</x:v>
      </x:c>
      <x:c r="C7310" s="18" t="n">
        <x:v>6923</x:v>
      </x:c>
      <x:c r="D7310" s="18" t="n">
        <x:v>64553</x:v>
      </x:c>
      <x:c r="E7310" s="18" t="n">
        <x:v>8.55</x:v>
      </x:c>
      <x:c r="F7310" s="18" t="n">
        <x:v>14.16</x:v>
      </x:c>
      <x:c r="G7310" t="n">
        <x:v>60</x:v>
      </x:c>
      <x:c r="H7310" t="str">
        <x:v>C</x:v>
      </x:c>
      <x:c r="I7310" t="str">
        <x:v>10+ years</x:v>
      </x:c>
      <x:c r="J7310" t="str">
        <x:v>RENT</x:v>
      </x:c>
      <x:c r="K7310" t="str">
        <x:v>credit_card</x:v>
      </x:c>
      <x:c r="L7310" t="n">
        <x:v>1</x:v>
      </x:c>
      <x:c r="M7310" t="n">
        <x:v>0</x:v>
      </x:c>
      <x:c r="N7310" t="str">
        <x:v>Fully Paid</x:v>
      </x:c>
      <x:c r="O7310" t="str">
        <x:f>IF(D7310="","Unknown",IF(D7310&lt;25000,"&lt;$25k",IF(D7310&lt;50000,"$25k-$50k",IF(D7310&lt;75000,"$50k-$75k",IF(D7310&lt;100000,"$75k-$100k","$100k+")))))</x:f>
        <x:v>$50k-$75k</x:v>
      </x:c>
      <x:c r="P7310" t="str">
        <x:f>IF(E7310="","Unknown",IF(E7310&lt;10,"&lt;10",IF(E7310&lt;20,"10-&lt;20",IF(E7310&lt;25,"20-&lt;25",IF(E7310&lt;35,"25-&lt;35","35+")))))</x:f>
        <x:v>&lt;10</x:v>
      </x:c>
    </x:row>
    <x:row r="7311">
      <x:c r="A7311" t="str">
        <x:v>SYN0007310</x:v>
      </x:c>
      <x:c r="B7311" s="12" t="n">
        <x:v>41845</x:v>
      </x:c>
      <x:c r="C7311" s="18" t="n">
        <x:v>8471</x:v>
      </x:c>
      <x:c r="D7311" s="18" t="n">
        <x:v>80971</x:v>
      </x:c>
      <x:c r="E7311" s="18" t="n">
        <x:v>31.74</x:v>
      </x:c>
      <x:c r="F7311" s="18" t="n">
        <x:v>12.69</x:v>
      </x:c>
      <x:c r="G7311" t="n">
        <x:v>36</x:v>
      </x:c>
      <x:c r="H7311" t="str">
        <x:v>D</x:v>
      </x:c>
      <x:c r="I7311" t="str">
        <x:v>10+ years</x:v>
      </x:c>
      <x:c r="J7311" t="str">
        <x:v>RENT</x:v>
      </x:c>
      <x:c r="K7311" t="str">
        <x:v>debt_consolidation</x:v>
      </x:c>
      <x:c r="L7311" t="n">
        <x:v>1</x:v>
      </x:c>
      <x:c r="M7311" t="n">
        <x:v>0</x:v>
      </x:c>
      <x:c r="N7311" t="str">
        <x:v>Fully Paid</x:v>
      </x:c>
      <x:c r="O7311" t="str">
        <x:f>IF(D7311="","Unknown",IF(D7311&lt;25000,"&lt;$25k",IF(D7311&lt;50000,"$25k-$50k",IF(D7311&lt;75000,"$50k-$75k",IF(D7311&lt;100000,"$75k-$100k","$100k+")))))</x:f>
        <x:v>$75k-$100k</x:v>
      </x:c>
      <x:c r="P7311" t="str">
        <x:f>IF(E7311="","Unknown",IF(E7311&lt;10,"&lt;10",IF(E7311&lt;20,"10-&lt;20",IF(E7311&lt;25,"20-&lt;25",IF(E7311&lt;35,"25-&lt;35","35+")))))</x:f>
        <x:v>25-&lt;35</x:v>
      </x:c>
    </x:row>
    <x:row r="7312">
      <x:c r="A7312" t="str">
        <x:v>SYN0007311</x:v>
      </x:c>
      <x:c r="B7312" s="12" t="n">
        <x:v>43165</x:v>
      </x:c>
      <x:c r="C7312" s="18" t="n">
        <x:v>10160</x:v>
      </x:c>
      <x:c r="D7312" s="18" t="n">
        <x:v>21320</x:v>
      </x:c>
      <x:c r="E7312" s="18" t="n">
        <x:v>36.06</x:v>
      </x:c>
      <x:c r="F7312" s="18" t="n">
        <x:v>12.76</x:v>
      </x:c>
      <x:c r="G7312" t="n">
        <x:v>36</x:v>
      </x:c>
      <x:c r="H7312" t="str">
        <x:v>D</x:v>
      </x:c>
      <x:c r="I7312" t="str">
        <x:v>10+ years</x:v>
      </x:c>
      <x:c r="J7312" t="str">
        <x:v>OWN</x:v>
      </x:c>
      <x:c r="K7312" t="str">
        <x:v>other</x:v>
      </x:c>
      <x:c r="L7312" t="n">
        <x:v>1</x:v>
      </x:c>
      <x:c r="M7312" t="n">
        <x:v>1</x:v>
      </x:c>
      <x:c r="N7312" t="str">
        <x:v>Charged Off</x:v>
      </x:c>
      <x:c r="O7312" t="str">
        <x:f>IF(D7312="","Unknown",IF(D7312&lt;25000,"&lt;$25k",IF(D7312&lt;50000,"$25k-$50k",IF(D7312&lt;75000,"$50k-$75k",IF(D7312&lt;100000,"$75k-$100k","$100k+")))))</x:f>
        <x:v>&lt;$25k</x:v>
      </x:c>
      <x:c r="P7312" t="str">
        <x:f>IF(E7312="","Unknown",IF(E7312&lt;10,"&lt;10",IF(E7312&lt;20,"10-&lt;20",IF(E7312&lt;25,"20-&lt;25",IF(E7312&lt;35,"25-&lt;35","35+")))))</x:f>
        <x:v>35+</x:v>
      </x:c>
    </x:row>
    <x:row r="7313">
      <x:c r="A7313" t="str">
        <x:v>SYN0007312</x:v>
      </x:c>
      <x:c r="B7313" s="12" t="n">
        <x:v>41485</x:v>
      </x:c>
      <x:c r="C7313" s="18" t="n">
        <x:v>9168</x:v>
      </x:c>
      <x:c r="D7313" s="18" t="n">
        <x:v>160246</x:v>
      </x:c>
      <x:c r="E7313" s="18" t="n">
        <x:v>26.02</x:v>
      </x:c>
      <x:c r="F7313" s="18" t="n">
        <x:v>21.34</x:v>
      </x:c>
      <x:c r="G7313" t="n">
        <x:v>36</x:v>
      </x:c>
      <x:c r="H7313" t="str">
        <x:v>F</x:v>
      </x:c>
      <x:c r="I7313" t="str">
        <x:v>4-6 years</x:v>
      </x:c>
      <x:c r="J7313" t="str">
        <x:v>OWN</x:v>
      </x:c>
      <x:c r="K7313" t="str">
        <x:v>debt_consolidation</x:v>
      </x:c>
      <x:c r="L7313" t="n">
        <x:v>1</x:v>
      </x:c>
      <x:c r="M7313" t="n">
        <x:v>0</x:v>
      </x:c>
      <x:c r="N7313" t="str">
        <x:v>Fully Paid</x:v>
      </x:c>
      <x:c r="O7313" t="str">
        <x:f>IF(D7313="","Unknown",IF(D7313&lt;25000,"&lt;$25k",IF(D7313&lt;50000,"$25k-$50k",IF(D7313&lt;75000,"$50k-$75k",IF(D7313&lt;100000,"$75k-$100k","$100k+")))))</x:f>
        <x:v>$100k+</x:v>
      </x:c>
      <x:c r="P7313" t="str">
        <x:f>IF(E7313="","Unknown",IF(E7313&lt;10,"&lt;10",IF(E7313&lt;20,"10-&lt;20",IF(E7313&lt;25,"20-&lt;25",IF(E7313&lt;35,"25-&lt;35","35+")))))</x:f>
        <x:v>25-&lt;35</x:v>
      </x:c>
    </x:row>
    <x:row r="7314">
      <x:c r="A7314" t="str">
        <x:v>SYN0007313</x:v>
      </x:c>
      <x:c r="B7314" s="12" t="n">
        <x:v>42265</x:v>
      </x:c>
      <x:c r="C7314" s="18" t="n">
        <x:v>8706</x:v>
      </x:c>
      <x:c r="D7314" s="18" t="n">
        <x:v>83169</x:v>
      </x:c>
      <x:c r="E7314" s="18" t="n">
        <x:v>9.36</x:v>
      </x:c>
      <x:c r="F7314" s="18" t="n">
        <x:v>13.5</x:v>
      </x:c>
      <x:c r="G7314" t="n">
        <x:v>36</x:v>
      </x:c>
      <x:c r="H7314" t="str">
        <x:v>C</x:v>
      </x:c>
      <x:c r="I7314" t="str">
        <x:v>4-6 years</x:v>
      </x:c>
      <x:c r="J7314" t="str">
        <x:v>OWN</x:v>
      </x:c>
      <x:c r="K7314" t="str">
        <x:v>debt_consolidation</x:v>
      </x:c>
      <x:c r="L7314" t="n">
        <x:v>0</x:v>
      </x:c>
      <x:c r="M7314" t="n">
        <x:v>0</x:v>
      </x:c>
      <x:c r="N7314" t="str">
        <x:v>Fully Paid</x:v>
      </x:c>
      <x:c r="O7314" t="str">
        <x:f>IF(D7314="","Unknown",IF(D7314&lt;25000,"&lt;$25k",IF(D7314&lt;50000,"$25k-$50k",IF(D7314&lt;75000,"$50k-$75k",IF(D7314&lt;100000,"$75k-$100k","$100k+")))))</x:f>
        <x:v>$75k-$100k</x:v>
      </x:c>
      <x:c r="P7314" t="str">
        <x:f>IF(E7314="","Unknown",IF(E7314&lt;10,"&lt;10",IF(E7314&lt;20,"10-&lt;20",IF(E7314&lt;25,"20-&lt;25",IF(E7314&lt;35,"25-&lt;35","35+")))))</x:f>
        <x:v>&lt;10</x:v>
      </x:c>
    </x:row>
    <x:row r="7315">
      <x:c r="A7315" t="str">
        <x:v>SYN0007314</x:v>
      </x:c>
      <x:c r="B7315" s="12" t="n">
        <x:v>42895</x:v>
      </x:c>
      <x:c r="C7315" s="18" t="n">
        <x:v>11019</x:v>
      </x:c>
      <x:c r="D7315" s="18" t="n">
        <x:v>36351</x:v>
      </x:c>
      <x:c r="E7315" s="18" t="n">
        <x:v>23.65</x:v>
      </x:c>
      <x:c r="F7315" s="18" t="n">
        <x:v>23.56</x:v>
      </x:c>
      <x:c r="G7315" t="n">
        <x:v>60</x:v>
      </x:c>
      <x:c r="H7315" t="str">
        <x:v>F</x:v>
      </x:c>
      <x:c r="I7315" t="str">
        <x:v>10+ years</x:v>
      </x:c>
      <x:c r="J7315" t="str">
        <x:v>MORTGAGE</x:v>
      </x:c>
      <x:c r="K7315" t="str">
        <x:v>home_improvement</x:v>
      </x:c>
      <x:c r="L7315" t="n">
        <x:v>0</x:v>
      </x:c>
      <x:c r="M7315" t="n">
        <x:v>0</x:v>
      </x:c>
      <x:c r="N7315" t="str">
        <x:v>Fully Paid</x:v>
      </x:c>
      <x:c r="O7315" t="str">
        <x:f>IF(D7315="","Unknown",IF(D7315&lt;25000,"&lt;$25k",IF(D7315&lt;50000,"$25k-$50k",IF(D7315&lt;75000,"$50k-$75k",IF(D7315&lt;100000,"$75k-$100k","$100k+")))))</x:f>
        <x:v>$25k-$50k</x:v>
      </x:c>
      <x:c r="P7315" t="str">
        <x:f>IF(E7315="","Unknown",IF(E7315&lt;10,"&lt;10",IF(E7315&lt;20,"10-&lt;20",IF(E7315&lt;25,"20-&lt;25",IF(E7315&lt;35,"25-&lt;35","35+")))))</x:f>
        <x:v>20-&lt;25</x:v>
      </x:c>
    </x:row>
    <x:row r="7316">
      <x:c r="A7316" t="str">
        <x:v>SYN0007315</x:v>
      </x:c>
      <x:c r="B7316" s="12" t="n">
        <x:v>42985</x:v>
      </x:c>
      <x:c r="C7316" s="18" t="n">
        <x:v>9270</x:v>
      </x:c>
      <x:c r="D7316" s="18" t="n">
        <x:v>61783</x:v>
      </x:c>
      <x:c r="E7316" s="18" t="n">
        <x:v>37.64</x:v>
      </x:c>
      <x:c r="F7316" s="18" t="n">
        <x:v>12.15</x:v>
      </x:c>
      <x:c r="G7316" t="n">
        <x:v>36</x:v>
      </x:c>
      <x:c r="H7316" t="str">
        <x:v>C</x:v>
      </x:c>
      <x:c r="I7316" t="str">
        <x:v>1-3 years</x:v>
      </x:c>
      <x:c r="J7316" t="str">
        <x:v>OWN</x:v>
      </x:c>
      <x:c r="K7316" t="str">
        <x:v>home_improvement</x:v>
      </x:c>
      <x:c r="L7316" t="n">
        <x:v>0</x:v>
      </x:c>
      <x:c r="M7316" t="n">
        <x:v>0</x:v>
      </x:c>
      <x:c r="N7316" t="str">
        <x:v>Fully Paid</x:v>
      </x:c>
      <x:c r="O7316" t="str">
        <x:f>IF(D7316="","Unknown",IF(D7316&lt;25000,"&lt;$25k",IF(D7316&lt;50000,"$25k-$50k",IF(D7316&lt;75000,"$50k-$75k",IF(D7316&lt;100000,"$75k-$100k","$100k+")))))</x:f>
        <x:v>$50k-$75k</x:v>
      </x:c>
      <x:c r="P7316" t="str">
        <x:f>IF(E7316="","Unknown",IF(E7316&lt;10,"&lt;10",IF(E7316&lt;20,"10-&lt;20",IF(E7316&lt;25,"20-&lt;25",IF(E7316&lt;35,"25-&lt;35","35+")))))</x:f>
        <x:v>35+</x:v>
      </x:c>
    </x:row>
    <x:row r="7317">
      <x:c r="A7317" t="str">
        <x:v>SYN0007316</x:v>
      </x:c>
      <x:c r="B7317" s="12" t="n">
        <x:v>41365</x:v>
      </x:c>
      <x:c r="C7317" s="18" t="n">
        <x:v>8796</x:v>
      </x:c>
      <x:c r="D7317" s="18" t="n">
        <x:v>18611</x:v>
      </x:c>
      <x:c r="E7317" s="18" t="n">
        <x:v>16.93</x:v>
      </x:c>
      <x:c r="F7317" s="18" t="n">
        <x:v>5.89</x:v>
      </x:c>
      <x:c r="G7317" t="n">
        <x:v>36</x:v>
      </x:c>
      <x:c r="H7317" t="str">
        <x:v>A</x:v>
      </x:c>
      <x:c r="I7317" t="str">
        <x:v>4-6 years</x:v>
      </x:c>
      <x:c r="J7317" t="str">
        <x:v>OWN</x:v>
      </x:c>
      <x:c r="K7317" t="str">
        <x:v>debt_consolidation</x:v>
      </x:c>
      <x:c r="L7317" t="n">
        <x:v>0</x:v>
      </x:c>
      <x:c r="M7317" t="n">
        <x:v>0</x:v>
      </x:c>
      <x:c r="N7317" t="str">
        <x:v>Fully Paid</x:v>
      </x:c>
      <x:c r="O7317" t="str">
        <x:f>IF(D7317="","Unknown",IF(D7317&lt;25000,"&lt;$25k",IF(D7317&lt;50000,"$25k-$50k",IF(D7317&lt;75000,"$50k-$75k",IF(D7317&lt;100000,"$75k-$100k","$100k+")))))</x:f>
        <x:v>&lt;$25k</x:v>
      </x:c>
      <x:c r="P7317" t="str">
        <x:f>IF(E7317="","Unknown",IF(E7317&lt;10,"&lt;10",IF(E7317&lt;20,"10-&lt;20",IF(E7317&lt;25,"20-&lt;25",IF(E7317&lt;35,"25-&lt;35","35+")))))</x:f>
        <x:v>10-&lt;20</x:v>
      </x:c>
    </x:row>
    <x:row r="7318">
      <x:c r="A7318" t="str">
        <x:v>SYN0007317</x:v>
      </x:c>
      <x:c r="B7318" s="12" t="n">
        <x:v>43315</x:v>
      </x:c>
      <x:c r="C7318" s="18" t="n">
        <x:v>13215</x:v>
      </x:c>
      <x:c r="D7318" s="18" t="n">
        <x:v>23001</x:v>
      </x:c>
      <x:c r="E7318" s="18" t="n">
        <x:v>23.5</x:v>
      </x:c>
      <x:c r="F7318" s="18" t="n">
        <x:v>23.12</x:v>
      </x:c>
      <x:c r="G7318" t="n">
        <x:v>36</x:v>
      </x:c>
      <x:c r="H7318" t="str">
        <x:v>F</x:v>
      </x:c>
      <x:c r="I7318" t="str">
        <x:v>7-9 years</x:v>
      </x:c>
      <x:c r="J7318" t="str">
        <x:v>OWN</x:v>
      </x:c>
      <x:c r="K7318" t="str">
        <x:v>debt_consolidation</x:v>
      </x:c>
      <x:c r="L7318" t="n">
        <x:v>0</x:v>
      </x:c>
      <x:c r="M7318" t="n">
        <x:v>0</x:v>
      </x:c>
      <x:c r="N7318" t="str">
        <x:v>Fully Paid</x:v>
      </x:c>
      <x:c r="O7318" t="str">
        <x:f>IF(D7318="","Unknown",IF(D7318&lt;25000,"&lt;$25k",IF(D7318&lt;50000,"$25k-$50k",IF(D7318&lt;75000,"$50k-$75k",IF(D7318&lt;100000,"$75k-$100k","$100k+")))))</x:f>
        <x:v>&lt;$25k</x:v>
      </x:c>
      <x:c r="P7318" t="str">
        <x:f>IF(E7318="","Unknown",IF(E7318&lt;10,"&lt;10",IF(E7318&lt;20,"10-&lt;20",IF(E7318&lt;25,"20-&lt;25",IF(E7318&lt;35,"25-&lt;35","35+")))))</x:f>
        <x:v>20-&lt;25</x:v>
      </x:c>
    </x:row>
    <x:row r="7319">
      <x:c r="A7319" t="str">
        <x:v>SYN0007318</x:v>
      </x:c>
      <x:c r="B7319" s="12" t="n">
        <x:v>42325</x:v>
      </x:c>
      <x:c r="C7319" s="18" t="n">
        <x:v>16344</x:v>
      </x:c>
      <x:c r="D7319" s="18" t="n">
        <x:v>40181</x:v>
      </x:c>
      <x:c r="E7319" s="18" t="n">
        <x:v>13.67</x:v>
      </x:c>
      <x:c r="F7319" s="18" t="n">
        <x:v>11.54</x:v>
      </x:c>
      <x:c r="G7319" t="n">
        <x:v>36</x:v>
      </x:c>
      <x:c r="H7319" t="str">
        <x:v>D</x:v>
      </x:c>
      <x:c r="I7319" t="str">
        <x:v>1-3 years</x:v>
      </x:c>
      <x:c r="J7319" t="str">
        <x:v>RENT</x:v>
      </x:c>
      <x:c r="K7319" t="str">
        <x:v>debt_consolidation</x:v>
      </x:c>
      <x:c r="L7319" t="n">
        <x:v>0</x:v>
      </x:c>
      <x:c r="M7319" t="n">
        <x:v>0</x:v>
      </x:c>
      <x:c r="N7319" t="str">
        <x:v>Fully Paid</x:v>
      </x:c>
      <x:c r="O7319" t="str">
        <x:f>IF(D7319="","Unknown",IF(D7319&lt;25000,"&lt;$25k",IF(D7319&lt;50000,"$25k-$50k",IF(D7319&lt;75000,"$50k-$75k",IF(D7319&lt;100000,"$75k-$100k","$100k+")))))</x:f>
        <x:v>$25k-$50k</x:v>
      </x:c>
      <x:c r="P7319" t="str">
        <x:f>IF(E7319="","Unknown",IF(E7319&lt;10,"&lt;10",IF(E7319&lt;20,"10-&lt;20",IF(E7319&lt;25,"20-&lt;25",IF(E7319&lt;35,"25-&lt;35","35+")))))</x:f>
        <x:v>10-&lt;20</x:v>
      </x:c>
    </x:row>
    <x:row r="7320">
      <x:c r="A7320" t="str">
        <x:v>SYN0007319</x:v>
      </x:c>
      <x:c r="B7320" s="12" t="n">
        <x:v>42385</x:v>
      </x:c>
      <x:c r="C7320" s="18" t="n">
        <x:v>14628</x:v>
      </x:c>
      <x:c r="D7320" s="18" t="n">
        <x:v>64708</x:v>
      </x:c>
      <x:c r="E7320" s="18" t="n">
        <x:v>32.67</x:v>
      </x:c>
      <x:c r="F7320" s="18" t="n">
        <x:v>9.7</x:v>
      </x:c>
      <x:c r="G7320" t="n">
        <x:v>60</x:v>
      </x:c>
      <x:c r="H7320" t="str">
        <x:v>C</x:v>
      </x:c>
      <x:c r="I7320" t="str">
        <x:v>4-6 years</x:v>
      </x:c>
      <x:c r="J7320" t="str">
        <x:v>RENT</x:v>
      </x:c>
      <x:c r="K7320" t="str">
        <x:v>debt_consolidation</x:v>
      </x:c>
      <x:c r="L7320" t="n">
        <x:v>1</x:v>
      </x:c>
      <x:c r="M7320" t="n">
        <x:v>0</x:v>
      </x:c>
      <x:c r="N7320" t="str">
        <x:v>Fully Paid</x:v>
      </x:c>
      <x:c r="O7320" t="str">
        <x:f>IF(D7320="","Unknown",IF(D7320&lt;25000,"&lt;$25k",IF(D7320&lt;50000,"$25k-$50k",IF(D7320&lt;75000,"$50k-$75k",IF(D7320&lt;100000,"$75k-$100k","$100k+")))))</x:f>
        <x:v>$50k-$75k</x:v>
      </x:c>
      <x:c r="P7320" t="str">
        <x:f>IF(E7320="","Unknown",IF(E7320&lt;10,"&lt;10",IF(E7320&lt;20,"10-&lt;20",IF(E7320&lt;25,"20-&lt;25",IF(E7320&lt;35,"25-&lt;35","35+")))))</x:f>
        <x:v>25-&lt;35</x:v>
      </x:c>
    </x:row>
    <x:row r="7321">
      <x:c r="A7321" t="str">
        <x:v>SYN0007320</x:v>
      </x:c>
      <x:c r="B7321" s="12" t="n">
        <x:v>42145</x:v>
      </x:c>
      <x:c r="C7321" s="18" t="n">
        <x:v>13217</x:v>
      </x:c>
      <x:c r="D7321" s="18" t="n">
        <x:v>16686</x:v>
      </x:c>
      <x:c r="E7321" s="18" t="n">
        <x:v>17.8</x:v>
      </x:c>
      <x:c r="F7321" s="18" t="n">
        <x:v>7.66</x:v>
      </x:c>
      <x:c r="G7321" t="n">
        <x:v>36</x:v>
      </x:c>
      <x:c r="H7321" t="str">
        <x:v>B</x:v>
      </x:c>
      <x:c r="I7321" t="str">
        <x:v>10+ years</x:v>
      </x:c>
      <x:c r="J7321" t="str">
        <x:v>OWN</x:v>
      </x:c>
      <x:c r="K7321" t="str">
        <x:v>debt_consolidation</x:v>
      </x:c>
      <x:c r="L7321" t="n">
        <x:v>1</x:v>
      </x:c>
      <x:c r="M7321" t="n">
        <x:v>0</x:v>
      </x:c>
      <x:c r="N7321" t="str">
        <x:v>Fully Paid</x:v>
      </x:c>
      <x:c r="O7321" t="str">
        <x:f>IF(D7321="","Unknown",IF(D7321&lt;25000,"&lt;$25k",IF(D7321&lt;50000,"$25k-$50k",IF(D7321&lt;75000,"$50k-$75k",IF(D7321&lt;100000,"$75k-$100k","$100k+")))))</x:f>
        <x:v>&lt;$25k</x:v>
      </x:c>
      <x:c r="P7321" t="str">
        <x:f>IF(E7321="","Unknown",IF(E7321&lt;10,"&lt;10",IF(E7321&lt;20,"10-&lt;20",IF(E7321&lt;25,"20-&lt;25",IF(E7321&lt;35,"25-&lt;35","35+")))))</x:f>
        <x:v>10-&lt;20</x:v>
      </x:c>
    </x:row>
    <x:row r="7322">
      <x:c r="A7322" t="str">
        <x:v>SYN0007321</x:v>
      </x:c>
      <x:c r="B7322" s="12" t="n">
        <x:v>43075</x:v>
      </x:c>
      <x:c r="C7322" s="18" t="n">
        <x:v>27506</x:v>
      </x:c>
      <x:c r="D7322" s="18" t="n">
        <x:v>19149</x:v>
      </x:c>
      <x:c r="E7322" s="18" t="n">
        <x:v>23.73</x:v>
      </x:c>
      <x:c r="F7322" s="18" t="n">
        <x:v>5</x:v>
      </x:c>
      <x:c r="G7322" t="n">
        <x:v>36</x:v>
      </x:c>
      <x:c r="H7322" t="str">
        <x:v>A</x:v>
      </x:c>
      <x:c r="I7322" t="str">
        <x:v>1-3 years</x:v>
      </x:c>
      <x:c r="J7322" t="str">
        <x:v>RENT</x:v>
      </x:c>
      <x:c r="K7322" t="str">
        <x:v>debt_consolidation</x:v>
      </x:c>
      <x:c r="L7322" t="n">
        <x:v>1</x:v>
      </x:c>
      <x:c r="M7322" t="n">
        <x:v>0</x:v>
      </x:c>
      <x:c r="N7322" t="str">
        <x:v>Fully Paid</x:v>
      </x:c>
      <x:c r="O7322" t="str">
        <x:f>IF(D7322="","Unknown",IF(D7322&lt;25000,"&lt;$25k",IF(D7322&lt;50000,"$25k-$50k",IF(D7322&lt;75000,"$50k-$75k",IF(D7322&lt;100000,"$75k-$100k","$100k+")))))</x:f>
        <x:v>&lt;$25k</x:v>
      </x:c>
      <x:c r="P7322" t="str">
        <x:f>IF(E7322="","Unknown",IF(E7322&lt;10,"&lt;10",IF(E7322&lt;20,"10-&lt;20",IF(E7322&lt;25,"20-&lt;25",IF(E7322&lt;35,"25-&lt;35","35+")))))</x:f>
        <x:v>20-&lt;25</x:v>
      </x:c>
    </x:row>
    <x:row r="7323">
      <x:c r="A7323" t="str">
        <x:v>SYN0007322</x:v>
      </x:c>
      <x:c r="B7323" s="12" t="n">
        <x:v>41275</x:v>
      </x:c>
      <x:c r="C7323" s="18" t="n">
        <x:v>15828</x:v>
      </x:c>
      <x:c r="D7323" s="18" t="n">
        <x:v>60372</x:v>
      </x:c>
      <x:c r="E7323" s="18" t="n">
        <x:v>25.41</x:v>
      </x:c>
      <x:c r="F7323" s="18" t="n">
        <x:v>7.92</x:v>
      </x:c>
      <x:c r="G7323" t="n">
        <x:v>60</x:v>
      </x:c>
      <x:c r="H7323" t="str">
        <x:v>B</x:v>
      </x:c>
      <x:c r="I7323" t="str">
        <x:v>&lt;1 year</x:v>
      </x:c>
      <x:c r="J7323" t="str">
        <x:v>OWN</x:v>
      </x:c>
      <x:c r="K7323" t="str">
        <x:v>debt_consolidation</x:v>
      </x:c>
      <x:c r="L7323" t="n">
        <x:v>0</x:v>
      </x:c>
      <x:c r="M7323" t="n">
        <x:v>0</x:v>
      </x:c>
      <x:c r="N7323" t="str">
        <x:v>Fully Paid</x:v>
      </x:c>
      <x:c r="O7323" t="str">
        <x:f>IF(D7323="","Unknown",IF(D7323&lt;25000,"&lt;$25k",IF(D7323&lt;50000,"$25k-$50k",IF(D7323&lt;75000,"$50k-$75k",IF(D7323&lt;100000,"$75k-$100k","$100k+")))))</x:f>
        <x:v>$50k-$75k</x:v>
      </x:c>
      <x:c r="P7323" t="str">
        <x:f>IF(E7323="","Unknown",IF(E7323&lt;10,"&lt;10",IF(E7323&lt;20,"10-&lt;20",IF(E7323&lt;25,"20-&lt;25",IF(E7323&lt;35,"25-&lt;35","35+")))))</x:f>
        <x:v>25-&lt;35</x:v>
      </x:c>
    </x:row>
    <x:row r="7324">
      <x:c r="A7324" t="str">
        <x:v>SYN0007323</x:v>
      </x:c>
      <x:c r="B7324" s="12" t="n">
        <x:v>42715</x:v>
      </x:c>
      <x:c r="C7324" s="18" t="n">
        <x:v>7368</x:v>
      </x:c>
      <x:c r="D7324" s="18" t="n">
        <x:v>59485</x:v>
      </x:c>
      <x:c r="E7324" s="18" t="n">
        <x:v>32.38</x:v>
      </x:c>
      <x:c r="F7324" s="18" t="n">
        <x:v>13.64</x:v>
      </x:c>
      <x:c r="G7324" t="n">
        <x:v>60</x:v>
      </x:c>
      <x:c r="H7324" t="str">
        <x:v>D</x:v>
      </x:c>
      <x:c r="I7324" t="str">
        <x:v>4-6 years</x:v>
      </x:c>
      <x:c r="J7324" t="str">
        <x:v>MORTGAGE</x:v>
      </x:c>
      <x:c r="K7324" t="str">
        <x:v>credit_card</x:v>
      </x:c>
      <x:c r="L7324" t="n">
        <x:v>0</x:v>
      </x:c>
      <x:c r="M7324" t="n">
        <x:v>0</x:v>
      </x:c>
      <x:c r="N7324" t="str">
        <x:v>Fully Paid</x:v>
      </x:c>
      <x:c r="O7324" t="str">
        <x:f>IF(D7324="","Unknown",IF(D7324&lt;25000,"&lt;$25k",IF(D7324&lt;50000,"$25k-$50k",IF(D7324&lt;75000,"$50k-$75k",IF(D7324&lt;100000,"$75k-$100k","$100k+")))))</x:f>
        <x:v>$50k-$75k</x:v>
      </x:c>
      <x:c r="P7324" t="str">
        <x:f>IF(E7324="","Unknown",IF(E7324&lt;10,"&lt;10",IF(E7324&lt;20,"10-&lt;20",IF(E7324&lt;25,"20-&lt;25",IF(E7324&lt;35,"25-&lt;35","35+")))))</x:f>
        <x:v>25-&lt;35</x:v>
      </x:c>
    </x:row>
    <x:row r="7325">
      <x:c r="A7325" t="str">
        <x:v>SYN0007324</x:v>
      </x:c>
      <x:c r="B7325" s="12" t="n">
        <x:v>42685</x:v>
      </x:c>
      <x:c r="C7325" s="18" t="n">
        <x:v>13128</x:v>
      </x:c>
      <x:c r="D7325" s="18" t="n">
        <x:v>62275</x:v>
      </x:c>
      <x:c r="E7325" s="18" t="n">
        <x:v>16.47</x:v>
      </x:c>
      <x:c r="F7325" s="18" t="n">
        <x:v>17.26</x:v>
      </x:c>
      <x:c r="G7325" t="n">
        <x:v>36</x:v>
      </x:c>
      <x:c r="H7325" t="str">
        <x:v>E</x:v>
      </x:c>
      <x:c r="I7325" t="str">
        <x:v>&lt;1 year</x:v>
      </x:c>
      <x:c r="J7325" t="str">
        <x:v>RENT</x:v>
      </x:c>
      <x:c r="K7325" t="str">
        <x:v>credit_card</x:v>
      </x:c>
      <x:c r="L7325" t="n">
        <x:v>1</x:v>
      </x:c>
      <x:c r="M7325" t="n">
        <x:v>0</x:v>
      </x:c>
      <x:c r="N7325" t="str">
        <x:v>Fully Paid</x:v>
      </x:c>
      <x:c r="O7325" t="str">
        <x:f>IF(D7325="","Unknown",IF(D7325&lt;25000,"&lt;$25k",IF(D7325&lt;50000,"$25k-$50k",IF(D7325&lt;75000,"$50k-$75k",IF(D7325&lt;100000,"$75k-$100k","$100k+")))))</x:f>
        <x:v>$50k-$75k</x:v>
      </x:c>
      <x:c r="P7325" t="str">
        <x:f>IF(E7325="","Unknown",IF(E7325&lt;10,"&lt;10",IF(E7325&lt;20,"10-&lt;20",IF(E7325&lt;25,"20-&lt;25",IF(E7325&lt;35,"25-&lt;35","35+")))))</x:f>
        <x:v>10-&lt;20</x:v>
      </x:c>
    </x:row>
    <x:row r="7326">
      <x:c r="A7326" t="str">
        <x:v>SYN0007325</x:v>
      </x:c>
      <x:c r="B7326" s="12" t="n">
        <x:v>41275</x:v>
      </x:c>
      <x:c r="C7326" s="18" t="n">
        <x:v>17397</x:v>
      </x:c>
      <x:c r="D7326" s="18" t="n">
        <x:v>114393</x:v>
      </x:c>
      <x:c r="E7326" s="18" t="n">
        <x:v>11.06</x:v>
      </x:c>
      <x:c r="F7326" s="18" t="n">
        <x:v>13.89</x:v>
      </x:c>
      <x:c r="G7326" t="n">
        <x:v>60</x:v>
      </x:c>
      <x:c r="H7326" t="str">
        <x:v>D</x:v>
      </x:c>
      <x:c r="I7326" t="str">
        <x:v>4-6 years</x:v>
      </x:c>
      <x:c r="J7326" t="str">
        <x:v>MORTGAGE</x:v>
      </x:c>
      <x:c r="K7326" t="str">
        <x:v>credit_card</x:v>
      </x:c>
      <x:c r="L7326" t="n">
        <x:v>2</x:v>
      </x:c>
      <x:c r="M7326" t="n">
        <x:v>0</x:v>
      </x:c>
      <x:c r="N7326" t="str">
        <x:v>Fully Paid</x:v>
      </x:c>
      <x:c r="O7326" t="str">
        <x:f>IF(D7326="","Unknown",IF(D7326&lt;25000,"&lt;$25k",IF(D7326&lt;50000,"$25k-$50k",IF(D7326&lt;75000,"$50k-$75k",IF(D7326&lt;100000,"$75k-$100k","$100k+")))))</x:f>
        <x:v>$100k+</x:v>
      </x:c>
      <x:c r="P7326" t="str">
        <x:f>IF(E7326="","Unknown",IF(E7326&lt;10,"&lt;10",IF(E7326&lt;20,"10-&lt;20",IF(E7326&lt;25,"20-&lt;25",IF(E7326&lt;35,"25-&lt;35","35+")))))</x:f>
        <x:v>10-&lt;20</x:v>
      </x:c>
    </x:row>
    <x:row r="7327">
      <x:c r="A7327" t="str">
        <x:v>SYN0007326</x:v>
      </x:c>
      <x:c r="B7327" s="12" t="n">
        <x:v>41845</x:v>
      </x:c>
      <x:c r="C7327" s="18" t="n">
        <x:v>5546</x:v>
      </x:c>
      <x:c r="D7327" s="18" t="n">
        <x:v>25919</x:v>
      </x:c>
      <x:c r="E7327" s="18" t="n">
        <x:v>20.15</x:v>
      </x:c>
      <x:c r="F7327" s="18" t="n">
        <x:v>9</x:v>
      </x:c>
      <x:c r="G7327" t="n">
        <x:v>36</x:v>
      </x:c>
      <x:c r="H7327" t="str">
        <x:v>A</x:v>
      </x:c>
      <x:c r="I7327" t="str">
        <x:v>&lt;1 year</x:v>
      </x:c>
      <x:c r="J7327" t="str">
        <x:v>RENT</x:v>
      </x:c>
      <x:c r="K7327" t="str">
        <x:v>debt_consolidation</x:v>
      </x:c>
      <x:c r="L7327" t="n">
        <x:v>1</x:v>
      </x:c>
      <x:c r="M7327" t="n">
        <x:v>0</x:v>
      </x:c>
      <x:c r="N7327" t="str">
        <x:v>Fully Paid</x:v>
      </x:c>
      <x:c r="O7327" t="str">
        <x:f>IF(D7327="","Unknown",IF(D7327&lt;25000,"&lt;$25k",IF(D7327&lt;50000,"$25k-$50k",IF(D7327&lt;75000,"$50k-$75k",IF(D7327&lt;100000,"$75k-$100k","$100k+")))))</x:f>
        <x:v>$25k-$50k</x:v>
      </x:c>
      <x:c r="P7327" t="str">
        <x:f>IF(E7327="","Unknown",IF(E7327&lt;10,"&lt;10",IF(E7327&lt;20,"10-&lt;20",IF(E7327&lt;25,"20-&lt;25",IF(E7327&lt;35,"25-&lt;35","35+")))))</x:f>
        <x:v>20-&lt;25</x:v>
      </x:c>
    </x:row>
    <x:row r="7328">
      <x:c r="A7328" t="str">
        <x:v>SYN0007327</x:v>
      </x:c>
      <x:c r="B7328" s="12" t="n">
        <x:v>41545</x:v>
      </x:c>
      <x:c r="C7328" s="18" t="n">
        <x:v>8969</x:v>
      </x:c>
      <x:c r="D7328" s="18" t="n">
        <x:v>66099</x:v>
      </x:c>
      <x:c r="E7328" s="18" t="n">
        <x:v>28.96</x:v>
      </x:c>
      <x:c r="F7328" s="18" t="n">
        <x:v>27.07</x:v>
      </x:c>
      <x:c r="G7328" t="n">
        <x:v>60</x:v>
      </x:c>
      <x:c r="H7328" t="str">
        <x:v>G</x:v>
      </x:c>
      <x:c r="I7328" t="str">
        <x:v>10+ years</x:v>
      </x:c>
      <x:c r="J7328" t="str">
        <x:v>OWN</x:v>
      </x:c>
      <x:c r="K7328" t="str">
        <x:v>debt_consolidation</x:v>
      </x:c>
      <x:c r="L7328" t="n">
        <x:v>1</x:v>
      </x:c>
      <x:c r="M7328" t="n">
        <x:v>1</x:v>
      </x:c>
      <x:c r="N7328" t="str">
        <x:v>Charged Off</x:v>
      </x:c>
      <x:c r="O7328" t="str">
        <x:f>IF(D7328="","Unknown",IF(D7328&lt;25000,"&lt;$25k",IF(D7328&lt;50000,"$25k-$50k",IF(D7328&lt;75000,"$50k-$75k",IF(D7328&lt;100000,"$75k-$100k","$100k+")))))</x:f>
        <x:v>$50k-$75k</x:v>
      </x:c>
      <x:c r="P7328" t="str">
        <x:f>IF(E7328="","Unknown",IF(E7328&lt;10,"&lt;10",IF(E7328&lt;20,"10-&lt;20",IF(E7328&lt;25,"20-&lt;25",IF(E7328&lt;35,"25-&lt;35","35+")))))</x:f>
        <x:v>25-&lt;35</x:v>
      </x:c>
    </x:row>
    <x:row r="7329">
      <x:c r="A7329" t="str">
        <x:v>SYN0007328</x:v>
      </x:c>
      <x:c r="B7329" s="12" t="n">
        <x:v>43255</x:v>
      </x:c>
      <x:c r="C7329" s="18" t="n">
        <x:v>14410</x:v>
      </x:c>
      <x:c r="D7329" s="18" t="n">
        <x:v>102451</x:v>
      </x:c>
      <x:c r="E7329" s="18" t="n">
        <x:v>13.9</x:v>
      </x:c>
      <x:c r="F7329" s="18" t="n">
        <x:v>13.72</x:v>
      </x:c>
      <x:c r="G7329" t="n">
        <x:v>36</x:v>
      </x:c>
      <x:c r="H7329" t="str">
        <x:v>D</x:v>
      </x:c>
      <x:c r="I7329" t="str">
        <x:v>4-6 years</x:v>
      </x:c>
      <x:c r="J7329" t="str">
        <x:v>MORTGAGE</x:v>
      </x:c>
      <x:c r="K7329" t="str">
        <x:v>other</x:v>
      </x:c>
      <x:c r="L7329" t="n">
        <x:v>2</x:v>
      </x:c>
      <x:c r="M7329" t="n">
        <x:v>0</x:v>
      </x:c>
      <x:c r="N7329" t="str">
        <x:v>Fully Paid</x:v>
      </x:c>
      <x:c r="O7329" t="str">
        <x:f>IF(D7329="","Unknown",IF(D7329&lt;25000,"&lt;$25k",IF(D7329&lt;50000,"$25k-$50k",IF(D7329&lt;75000,"$50k-$75k",IF(D7329&lt;100000,"$75k-$100k","$100k+")))))</x:f>
        <x:v>$100k+</x:v>
      </x:c>
      <x:c r="P7329" t="str">
        <x:f>IF(E7329="","Unknown",IF(E7329&lt;10,"&lt;10",IF(E7329&lt;20,"10-&lt;20",IF(E7329&lt;25,"20-&lt;25",IF(E7329&lt;35,"25-&lt;35","35+")))))</x:f>
        <x:v>10-&lt;20</x:v>
      </x:c>
    </x:row>
    <x:row r="7330">
      <x:c r="A7330" t="str">
        <x:v>SYN0007329</x:v>
      </x:c>
      <x:c r="B7330" s="12" t="n">
        <x:v>42775</x:v>
      </x:c>
      <x:c r="C7330" s="18" t="n">
        <x:v>31761</x:v>
      </x:c>
      <x:c r="D7330" s="18" t="n">
        <x:v>112792</x:v>
      </x:c>
      <x:c r="E7330" s="18" t="n">
        <x:v>20.39</x:v>
      </x:c>
      <x:c r="F7330" s="18" t="n">
        <x:v>11.88</x:v>
      </x:c>
      <x:c r="G7330" t="n">
        <x:v>36</x:v>
      </x:c>
      <x:c r="H7330" t="str">
        <x:v>D</x:v>
      </x:c>
      <x:c r="I7330" t="str">
        <x:v>7-9 years</x:v>
      </x:c>
      <x:c r="J7330" t="str">
        <x:v>MORTGAGE</x:v>
      </x:c>
      <x:c r="K7330" t="str">
        <x:v>medical</x:v>
      </x:c>
      <x:c r="L7330" t="n">
        <x:v>1</x:v>
      </x:c>
      <x:c r="M7330" t="n">
        <x:v>0</x:v>
      </x:c>
      <x:c r="N7330" t="str">
        <x:v>Fully Paid</x:v>
      </x:c>
      <x:c r="O7330" t="str">
        <x:f>IF(D7330="","Unknown",IF(D7330&lt;25000,"&lt;$25k",IF(D7330&lt;50000,"$25k-$50k",IF(D7330&lt;75000,"$50k-$75k",IF(D7330&lt;100000,"$75k-$100k","$100k+")))))</x:f>
        <x:v>$100k+</x:v>
      </x:c>
      <x:c r="P7330" t="str">
        <x:f>IF(E7330="","Unknown",IF(E7330&lt;10,"&lt;10",IF(E7330&lt;20,"10-&lt;20",IF(E7330&lt;25,"20-&lt;25",IF(E7330&lt;35,"25-&lt;35","35+")))))</x:f>
        <x:v>20-&lt;25</x:v>
      </x:c>
    </x:row>
    <x:row r="7331">
      <x:c r="A7331" t="str">
        <x:v>SYN0007330</x:v>
      </x:c>
      <x:c r="B7331" s="12" t="n">
        <x:v>42205</x:v>
      </x:c>
      <x:c r="C7331" s="18" t="n">
        <x:v>20024</x:v>
      </x:c>
      <x:c r="D7331" s="18" t="n">
        <x:v>19813</x:v>
      </x:c>
      <x:c r="E7331" s="18" t="n">
        <x:v>37.22</x:v>
      </x:c>
      <x:c r="F7331" s="18" t="n">
        <x:v>19.57</x:v>
      </x:c>
      <x:c r="G7331" t="n">
        <x:v>36</x:v>
      </x:c>
      <x:c r="H7331" t="str">
        <x:v>E</x:v>
      </x:c>
      <x:c r="I7331" t="str">
        <x:v>7-9 years</x:v>
      </x:c>
      <x:c r="J7331" t="str">
        <x:v>RENT</x:v>
      </x:c>
      <x:c r="K7331" t="str">
        <x:v>major_purchase</x:v>
      </x:c>
      <x:c r="L7331" t="n">
        <x:v>0</x:v>
      </x:c>
      <x:c r="M7331" t="n">
        <x:v>0</x:v>
      </x:c>
      <x:c r="N7331" t="str">
        <x:v>Fully Paid</x:v>
      </x:c>
      <x:c r="O7331" t="str">
        <x:f>IF(D7331="","Unknown",IF(D7331&lt;25000,"&lt;$25k",IF(D7331&lt;50000,"$25k-$50k",IF(D7331&lt;75000,"$50k-$75k",IF(D7331&lt;100000,"$75k-$100k","$100k+")))))</x:f>
        <x:v>&lt;$25k</x:v>
      </x:c>
      <x:c r="P7331" t="str">
        <x:f>IF(E7331="","Unknown",IF(E7331&lt;10,"&lt;10",IF(E7331&lt;20,"10-&lt;20",IF(E7331&lt;25,"20-&lt;25",IF(E7331&lt;35,"25-&lt;35","35+")))))</x:f>
        <x:v>35+</x:v>
      </x:c>
    </x:row>
    <x:row r="7332">
      <x:c r="A7332" t="str">
        <x:v>SYN0007331</x:v>
      </x:c>
      <x:c r="B7332" s="12" t="n">
        <x:v>43075</x:v>
      </x:c>
      <x:c r="C7332" s="18" t="n">
        <x:v>22087</x:v>
      </x:c>
      <x:c r="D7332" s="18" t="n">
        <x:v>101426</x:v>
      </x:c>
      <x:c r="E7332" s="18" t="n">
        <x:v>19.64</x:v>
      </x:c>
      <x:c r="F7332" s="18" t="n">
        <x:v>11.9</x:v>
      </x:c>
      <x:c r="G7332" t="n">
        <x:v>36</x:v>
      </x:c>
      <x:c r="H7332" t="str">
        <x:v>C</x:v>
      </x:c>
      <x:c r="I7332" t="str">
        <x:v>1-3 years</x:v>
      </x:c>
      <x:c r="J7332" t="str">
        <x:v>MORTGAGE</x:v>
      </x:c>
      <x:c r="K7332" t="str">
        <x:v>credit_card</x:v>
      </x:c>
      <x:c r="L7332" t="n">
        <x:v>0</x:v>
      </x:c>
      <x:c r="M7332" t="n">
        <x:v>0</x:v>
      </x:c>
      <x:c r="N7332" t="str">
        <x:v>Fully Paid</x:v>
      </x:c>
      <x:c r="O7332" t="str">
        <x:f>IF(D7332="","Unknown",IF(D7332&lt;25000,"&lt;$25k",IF(D7332&lt;50000,"$25k-$50k",IF(D7332&lt;75000,"$50k-$75k",IF(D7332&lt;100000,"$75k-$100k","$100k+")))))</x:f>
        <x:v>$100k+</x:v>
      </x:c>
      <x:c r="P7332" t="str">
        <x:f>IF(E7332="","Unknown",IF(E7332&lt;10,"&lt;10",IF(E7332&lt;20,"10-&lt;20",IF(E7332&lt;25,"20-&lt;25",IF(E7332&lt;35,"25-&lt;35","35+")))))</x:f>
        <x:v>10-&lt;20</x:v>
      </x:c>
    </x:row>
    <x:row r="7333">
      <x:c r="A7333" t="str">
        <x:v>SYN0007332</x:v>
      </x:c>
      <x:c r="B7333" s="12" t="n">
        <x:v>42565</x:v>
      </x:c>
      <x:c r="C7333" s="18" t="n">
        <x:v>14489</x:v>
      </x:c>
      <x:c r="D7333" s="18" t="n">
        <x:v>19262</x:v>
      </x:c>
      <x:c r="E7333" s="18" t="n">
        <x:v>10.61</x:v>
      </x:c>
      <x:c r="F7333" s="18" t="n">
        <x:v>16.79</x:v>
      </x:c>
      <x:c r="G7333" t="n">
        <x:v>60</x:v>
      </x:c>
      <x:c r="H7333" t="str">
        <x:v>E</x:v>
      </x:c>
      <x:c r="I7333" t="str">
        <x:v>4-6 years</x:v>
      </x:c>
      <x:c r="J7333" t="str">
        <x:v>MORTGAGE</x:v>
      </x:c>
      <x:c r="K7333" t="str">
        <x:v>debt_consolidation</x:v>
      </x:c>
      <x:c r="L7333" t="n">
        <x:v>2</x:v>
      </x:c>
      <x:c r="M7333" t="n">
        <x:v>0</x:v>
      </x:c>
      <x:c r="N7333" t="str">
        <x:v>Fully Paid</x:v>
      </x:c>
      <x:c r="O7333" t="str">
        <x:f>IF(D7333="","Unknown",IF(D7333&lt;25000,"&lt;$25k",IF(D7333&lt;50000,"$25k-$50k",IF(D7333&lt;75000,"$50k-$75k",IF(D7333&lt;100000,"$75k-$100k","$100k+")))))</x:f>
        <x:v>&lt;$25k</x:v>
      </x:c>
      <x:c r="P7333" t="str">
        <x:f>IF(E7333="","Unknown",IF(E7333&lt;10,"&lt;10",IF(E7333&lt;20,"10-&lt;20",IF(E7333&lt;25,"20-&lt;25",IF(E7333&lt;35,"25-&lt;35","35+")))))</x:f>
        <x:v>10-&lt;20</x:v>
      </x:c>
    </x:row>
    <x:row r="7334">
      <x:c r="A7334" t="str">
        <x:v>SYN0007333</x:v>
      </x:c>
      <x:c r="B7334" s="12" t="n">
        <x:v>42715</x:v>
      </x:c>
      <x:c r="C7334" s="18" t="n">
        <x:v>25076</x:v>
      </x:c>
      <x:c r="D7334" s="18" t="n">
        <x:v>68955</x:v>
      </x:c>
      <x:c r="E7334" s="18" t="n">
        <x:v>24.24</x:v>
      </x:c>
      <x:c r="F7334" s="18" t="n">
        <x:v>10.22</x:v>
      </x:c>
      <x:c r="G7334" t="n">
        <x:v>60</x:v>
      </x:c>
      <x:c r="H7334" t="str">
        <x:v>B</x:v>
      </x:c>
      <x:c r="I7334" t="str">
        <x:v>4-6 years</x:v>
      </x:c>
      <x:c r="J7334" t="str">
        <x:v>MORTGAGE</x:v>
      </x:c>
      <x:c r="K7334" t="str">
        <x:v>debt_consolidation</x:v>
      </x:c>
      <x:c r="L7334" t="n">
        <x:v>0</x:v>
      </x:c>
      <x:c r="M7334" t="n">
        <x:v>0</x:v>
      </x:c>
      <x:c r="N7334" t="str">
        <x:v>Fully Paid</x:v>
      </x:c>
      <x:c r="O7334" t="str">
        <x:f>IF(D7334="","Unknown",IF(D7334&lt;25000,"&lt;$25k",IF(D7334&lt;50000,"$25k-$50k",IF(D7334&lt;75000,"$50k-$75k",IF(D7334&lt;100000,"$75k-$100k","$100k+")))))</x:f>
        <x:v>$50k-$75k</x:v>
      </x:c>
      <x:c r="P7334" t="str">
        <x:f>IF(E7334="","Unknown",IF(E7334&lt;10,"&lt;10",IF(E7334&lt;20,"10-&lt;20",IF(E7334&lt;25,"20-&lt;25",IF(E7334&lt;35,"25-&lt;35","35+")))))</x:f>
        <x:v>20-&lt;25</x:v>
      </x:c>
    </x:row>
    <x:row r="7335">
      <x:c r="A7335" t="str">
        <x:v>SYN0007334</x:v>
      </x:c>
      <x:c r="B7335" s="12" t="n">
        <x:v>42355</x:v>
      </x:c>
      <x:c r="C7335" s="18" t="n">
        <x:v>12670</x:v>
      </x:c>
      <x:c r="D7335" s="18" t="n">
        <x:v>47306</x:v>
      </x:c>
      <x:c r="E7335" s="18" t="n">
        <x:v>24.23</x:v>
      </x:c>
      <x:c r="F7335" s="18" t="n">
        <x:v>16.75</x:v>
      </x:c>
      <x:c r="G7335" t="n">
        <x:v>60</x:v>
      </x:c>
      <x:c r="H7335" t="str">
        <x:v>D</x:v>
      </x:c>
      <x:c r="I7335" t="str">
        <x:v>&lt;1 year</x:v>
      </x:c>
      <x:c r="J7335" t="str">
        <x:v>RENT</x:v>
      </x:c>
      <x:c r="K7335" t="str">
        <x:v>debt_consolidation</x:v>
      </x:c>
      <x:c r="L7335" t="n">
        <x:v>0</x:v>
      </x:c>
      <x:c r="M7335" t="n">
        <x:v>0</x:v>
      </x:c>
      <x:c r="N7335" t="str">
        <x:v>Fully Paid</x:v>
      </x:c>
      <x:c r="O7335" t="str">
        <x:f>IF(D7335="","Unknown",IF(D7335&lt;25000,"&lt;$25k",IF(D7335&lt;50000,"$25k-$50k",IF(D7335&lt;75000,"$50k-$75k",IF(D7335&lt;100000,"$75k-$100k","$100k+")))))</x:f>
        <x:v>$25k-$50k</x:v>
      </x:c>
      <x:c r="P7335" t="str">
        <x:f>IF(E7335="","Unknown",IF(E7335&lt;10,"&lt;10",IF(E7335&lt;20,"10-&lt;20",IF(E7335&lt;25,"20-&lt;25",IF(E7335&lt;35,"25-&lt;35","35+")))))</x:f>
        <x:v>20-&lt;25</x:v>
      </x:c>
    </x:row>
    <x:row r="7336">
      <x:c r="A7336" t="str">
        <x:v>SYN0007335</x:v>
      </x:c>
      <x:c r="B7336" s="12" t="n">
        <x:v>43255</x:v>
      </x:c>
      <x:c r="C7336" s="18" t="n">
        <x:v>40000</x:v>
      </x:c>
      <x:c r="D7336" s="18" t="n">
        <x:v>21700</x:v>
      </x:c>
      <x:c r="E7336" s="18" t="n">
        <x:v>16.19</x:v>
      </x:c>
      <x:c r="F7336" s="18" t="n">
        <x:v>11.91</x:v>
      </x:c>
      <x:c r="G7336" t="n">
        <x:v>36</x:v>
      </x:c>
      <x:c r="H7336" t="str">
        <x:v>C</x:v>
      </x:c>
      <x:c r="I7336" t="str">
        <x:v>&lt;1 year</x:v>
      </x:c>
      <x:c r="J7336" t="str">
        <x:v>RENT</x:v>
      </x:c>
      <x:c r="K7336" t="str">
        <x:v>home_improvement</x:v>
      </x:c>
      <x:c r="L7336" t="n">
        <x:v>0</x:v>
      </x:c>
      <x:c r="M7336" t="n">
        <x:v>0</x:v>
      </x:c>
      <x:c r="N7336" t="str">
        <x:v>Fully Paid</x:v>
      </x:c>
      <x:c r="O7336" t="str">
        <x:f>IF(D7336="","Unknown",IF(D7336&lt;25000,"&lt;$25k",IF(D7336&lt;50000,"$25k-$50k",IF(D7336&lt;75000,"$50k-$75k",IF(D7336&lt;100000,"$75k-$100k","$100k+")))))</x:f>
        <x:v>&lt;$25k</x:v>
      </x:c>
      <x:c r="P7336" t="str">
        <x:f>IF(E7336="","Unknown",IF(E7336&lt;10,"&lt;10",IF(E7336&lt;20,"10-&lt;20",IF(E7336&lt;25,"20-&lt;25",IF(E7336&lt;35,"25-&lt;35","35+")))))</x:f>
        <x:v>10-&lt;20</x:v>
      </x:c>
    </x:row>
    <x:row r="7337">
      <x:c r="A7337" t="str">
        <x:v>SYN0007336</x:v>
      </x:c>
      <x:c r="B7337" s="12" t="n">
        <x:v>41965</x:v>
      </x:c>
      <x:c r="C7337" s="18" t="n">
        <x:v>19754</x:v>
      </x:c>
      <x:c r="D7337" s="18" t="n">
        <x:v>77777</x:v>
      </x:c>
      <x:c r="E7337" s="18" t="n">
        <x:v>14.38</x:v>
      </x:c>
      <x:c r="F7337" s="18" t="n">
        <x:v>9.6</x:v>
      </x:c>
      <x:c r="G7337" t="n">
        <x:v>36</x:v>
      </x:c>
      <x:c r="H7337" t="str">
        <x:v>C</x:v>
      </x:c>
      <x:c r="I7337" t="str">
        <x:v>&lt;1 year</x:v>
      </x:c>
      <x:c r="J7337" t="str">
        <x:v>OWN</x:v>
      </x:c>
      <x:c r="K7337" t="str">
        <x:v>debt_consolidation</x:v>
      </x:c>
      <x:c r="L7337" t="n">
        <x:v>0</x:v>
      </x:c>
      <x:c r="M7337" t="n">
        <x:v>0</x:v>
      </x:c>
      <x:c r="N7337" t="str">
        <x:v>Fully Paid</x:v>
      </x:c>
      <x:c r="O7337" t="str">
        <x:f>IF(D7337="","Unknown",IF(D7337&lt;25000,"&lt;$25k",IF(D7337&lt;50000,"$25k-$50k",IF(D7337&lt;75000,"$50k-$75k",IF(D7337&lt;100000,"$75k-$100k","$100k+")))))</x:f>
        <x:v>$75k-$100k</x:v>
      </x:c>
      <x:c r="P7337" t="str">
        <x:f>IF(E7337="","Unknown",IF(E7337&lt;10,"&lt;10",IF(E7337&lt;20,"10-&lt;20",IF(E7337&lt;25,"20-&lt;25",IF(E7337&lt;35,"25-&lt;35","35+")))))</x:f>
        <x:v>10-&lt;20</x:v>
      </x:c>
    </x:row>
    <x:row r="7338">
      <x:c r="A7338" t="str">
        <x:v>SYN0007337</x:v>
      </x:c>
      <x:c r="B7338" s="12" t="n">
        <x:v>41425</x:v>
      </x:c>
      <x:c r="C7338" s="18" t="n">
        <x:v>24032</x:v>
      </x:c>
      <x:c r="D7338" s="18" t="n">
        <x:v>13820</x:v>
      </x:c>
      <x:c r="E7338" s="18" t="n">
        <x:v>20.05</x:v>
      </x:c>
      <x:c r="F7338" s="18" t="n">
        <x:v>18.38</x:v>
      </x:c>
      <x:c r="G7338" t="n">
        <x:v>36</x:v>
      </x:c>
      <x:c r="H7338" t="str">
        <x:v>E</x:v>
      </x:c>
      <x:c r="I7338" t="str">
        <x:v>1-3 years</x:v>
      </x:c>
      <x:c r="J7338" t="str">
        <x:v>OWN</x:v>
      </x:c>
      <x:c r="K7338" t="str">
        <x:v>major_purchase</x:v>
      </x:c>
      <x:c r="L7338" t="n">
        <x:v>0</x:v>
      </x:c>
      <x:c r="M7338" t="n">
        <x:v>0</x:v>
      </x:c>
      <x:c r="N7338" t="str">
        <x:v>Fully Paid</x:v>
      </x:c>
      <x:c r="O7338" t="str">
        <x:f>IF(D7338="","Unknown",IF(D7338&lt;25000,"&lt;$25k",IF(D7338&lt;50000,"$25k-$50k",IF(D7338&lt;75000,"$50k-$75k",IF(D7338&lt;100000,"$75k-$100k","$100k+")))))</x:f>
        <x:v>&lt;$25k</x:v>
      </x:c>
      <x:c r="P7338" t="str">
        <x:f>IF(E7338="","Unknown",IF(E7338&lt;10,"&lt;10",IF(E7338&lt;20,"10-&lt;20",IF(E7338&lt;25,"20-&lt;25",IF(E7338&lt;35,"25-&lt;35","35+")))))</x:f>
        <x:v>20-&lt;25</x:v>
      </x:c>
    </x:row>
    <x:row r="7339">
      <x:c r="A7339" t="str">
        <x:v>SYN0007338</x:v>
      </x:c>
      <x:c r="B7339" s="12" t="n">
        <x:v>42205</x:v>
      </x:c>
      <x:c r="C7339" s="18" t="n">
        <x:v>13528</x:v>
      </x:c>
      <x:c r="D7339" s="18" t="n">
        <x:v>32298</x:v>
      </x:c>
      <x:c r="E7339" s="18" t="n">
        <x:v>27.65</x:v>
      </x:c>
      <x:c r="F7339" s="18" t="n">
        <x:v>9.38</x:v>
      </x:c>
      <x:c r="G7339" t="n">
        <x:v>36</x:v>
      </x:c>
      <x:c r="H7339" t="str">
        <x:v>B</x:v>
      </x:c>
      <x:c r="I7339" t="str">
        <x:v>1-3 years</x:v>
      </x:c>
      <x:c r="J7339" t="str">
        <x:v>RENT</x:v>
      </x:c>
      <x:c r="K7339" t="str">
        <x:v>debt_consolidation</x:v>
      </x:c>
      <x:c r="L7339" t="n">
        <x:v>0</x:v>
      </x:c>
      <x:c r="M7339" t="n">
        <x:v>0</x:v>
      </x:c>
      <x:c r="N7339" t="str">
        <x:v>Fully Paid</x:v>
      </x:c>
      <x:c r="O7339" t="str">
        <x:f>IF(D7339="","Unknown",IF(D7339&lt;25000,"&lt;$25k",IF(D7339&lt;50000,"$25k-$50k",IF(D7339&lt;75000,"$50k-$75k",IF(D7339&lt;100000,"$75k-$100k","$100k+")))))</x:f>
        <x:v>$25k-$50k</x:v>
      </x:c>
      <x:c r="P7339" t="str">
        <x:f>IF(E7339="","Unknown",IF(E7339&lt;10,"&lt;10",IF(E7339&lt;20,"10-&lt;20",IF(E7339&lt;25,"20-&lt;25",IF(E7339&lt;35,"25-&lt;35","35+")))))</x:f>
        <x:v>25-&lt;35</x:v>
      </x:c>
    </x:row>
    <x:row r="7340">
      <x:c r="A7340" t="str">
        <x:v>SYN0007339</x:v>
      </x:c>
      <x:c r="B7340" s="12" t="n">
        <x:v>42385</x:v>
      </x:c>
      <x:c r="C7340" s="18" t="n">
        <x:v>15340</x:v>
      </x:c>
      <x:c r="D7340" s="18" t="n">
        <x:v>67422</x:v>
      </x:c>
      <x:c r="E7340" s="18" t="n">
        <x:v>18.01</x:v>
      </x:c>
      <x:c r="F7340" s="18" t="n">
        <x:v>8.53</x:v>
      </x:c>
      <x:c r="G7340" t="n">
        <x:v>36</x:v>
      </x:c>
      <x:c r="H7340" t="str">
        <x:v>B</x:v>
      </x:c>
      <x:c r="I7340" t="str">
        <x:v>4-6 years</x:v>
      </x:c>
      <x:c r="J7340" t="str">
        <x:v>OWN</x:v>
      </x:c>
      <x:c r="K7340" t="str">
        <x:v>debt_consolidation</x:v>
      </x:c>
      <x:c r="L7340" t="n">
        <x:v>0</x:v>
      </x:c>
      <x:c r="M7340" t="n">
        <x:v>0</x:v>
      </x:c>
      <x:c r="N7340" t="str">
        <x:v>Fully Paid</x:v>
      </x:c>
      <x:c r="O7340" t="str">
        <x:f>IF(D7340="","Unknown",IF(D7340&lt;25000,"&lt;$25k",IF(D7340&lt;50000,"$25k-$50k",IF(D7340&lt;75000,"$50k-$75k",IF(D7340&lt;100000,"$75k-$100k","$100k+")))))</x:f>
        <x:v>$50k-$75k</x:v>
      </x:c>
      <x:c r="P7340" t="str">
        <x:f>IF(E7340="","Unknown",IF(E7340&lt;10,"&lt;10",IF(E7340&lt;20,"10-&lt;20",IF(E7340&lt;25,"20-&lt;25",IF(E7340&lt;35,"25-&lt;35","35+")))))</x:f>
        <x:v>10-&lt;20</x:v>
      </x:c>
    </x:row>
    <x:row r="7341">
      <x:c r="A7341" t="str">
        <x:v>SYN0007340</x:v>
      </x:c>
      <x:c r="B7341" s="12" t="n">
        <x:v>42325</x:v>
      </x:c>
      <x:c r="C7341" s="18" t="n">
        <x:v>19970</x:v>
      </x:c>
      <x:c r="D7341" s="18" t="n">
        <x:v>19822</x:v>
      </x:c>
      <x:c r="E7341" s="18" t="n">
        <x:v>20.73</x:v>
      </x:c>
      <x:c r="F7341" s="18" t="n">
        <x:v>7.63</x:v>
      </x:c>
      <x:c r="G7341" t="n">
        <x:v>36</x:v>
      </x:c>
      <x:c r="H7341" t="str">
        <x:v>B</x:v>
      </x:c>
      <x:c r="I7341" t="str">
        <x:v>10+ years</x:v>
      </x:c>
      <x:c r="J7341" t="str">
        <x:v>RENT</x:v>
      </x:c>
      <x:c r="K7341" t="str">
        <x:v>debt_consolidation</x:v>
      </x:c>
      <x:c r="L7341" t="n">
        <x:v>1</x:v>
      </x:c>
      <x:c r="M7341" t="n">
        <x:v>0</x:v>
      </x:c>
      <x:c r="N7341" t="str">
        <x:v>Fully Paid</x:v>
      </x:c>
      <x:c r="O7341" t="str">
        <x:f>IF(D7341="","Unknown",IF(D7341&lt;25000,"&lt;$25k",IF(D7341&lt;50000,"$25k-$50k",IF(D7341&lt;75000,"$50k-$75k",IF(D7341&lt;100000,"$75k-$100k","$100k+")))))</x:f>
        <x:v>&lt;$25k</x:v>
      </x:c>
      <x:c r="P7341" t="str">
        <x:f>IF(E7341="","Unknown",IF(E7341&lt;10,"&lt;10",IF(E7341&lt;20,"10-&lt;20",IF(E7341&lt;25,"20-&lt;25",IF(E7341&lt;35,"25-&lt;35","35+")))))</x:f>
        <x:v>20-&lt;25</x:v>
      </x:c>
    </x:row>
    <x:row r="7342">
      <x:c r="A7342" t="str">
        <x:v>SYN0007341</x:v>
      </x:c>
      <x:c r="B7342" s="12" t="n">
        <x:v>42055</x:v>
      </x:c>
      <x:c r="C7342" s="18" t="n">
        <x:v>14079</x:v>
      </x:c>
      <x:c r="D7342" s="18" t="n">
        <x:v>42549</x:v>
      </x:c>
      <x:c r="E7342" s="18" t="n">
        <x:v>29.62</x:v>
      </x:c>
      <x:c r="F7342" s="18" t="n">
        <x:v>6.19</x:v>
      </x:c>
      <x:c r="G7342" t="n">
        <x:v>36</x:v>
      </x:c>
      <x:c r="H7342" t="str">
        <x:v>B</x:v>
      </x:c>
      <x:c r="I7342" t="str">
        <x:v>10+ years</x:v>
      </x:c>
      <x:c r="J7342" t="str">
        <x:v>RENT</x:v>
      </x:c>
      <x:c r="K7342" t="str">
        <x:v>credit_card</x:v>
      </x:c>
      <x:c r="L7342" t="n">
        <x:v>0</x:v>
      </x:c>
      <x:c r="M7342" t="n">
        <x:v>0</x:v>
      </x:c>
      <x:c r="N7342" t="str">
        <x:v>Fully Paid</x:v>
      </x:c>
      <x:c r="O7342" t="str">
        <x:f>IF(D7342="","Unknown",IF(D7342&lt;25000,"&lt;$25k",IF(D7342&lt;50000,"$25k-$50k",IF(D7342&lt;75000,"$50k-$75k",IF(D7342&lt;100000,"$75k-$100k","$100k+")))))</x:f>
        <x:v>$25k-$50k</x:v>
      </x:c>
      <x:c r="P7342" t="str">
        <x:f>IF(E7342="","Unknown",IF(E7342&lt;10,"&lt;10",IF(E7342&lt;20,"10-&lt;20",IF(E7342&lt;25,"20-&lt;25",IF(E7342&lt;35,"25-&lt;35","35+")))))</x:f>
        <x:v>25-&lt;35</x:v>
      </x:c>
    </x:row>
    <x:row r="7343">
      <x:c r="A7343" t="str">
        <x:v>SYN0007342</x:v>
      </x:c>
      <x:c r="B7343" s="12" t="n">
        <x:v>41365</x:v>
      </x:c>
      <x:c r="C7343" s="18" t="n">
        <x:v>10290</x:v>
      </x:c>
      <x:c r="D7343" s="18" t="n">
        <x:v>38991</x:v>
      </x:c>
      <x:c r="E7343" s="18" t="n">
        <x:v>33.62</x:v>
      </x:c>
      <x:c r="F7343" s="18" t="n">
        <x:v>6.2</x:v>
      </x:c>
      <x:c r="G7343" t="n">
        <x:v>60</x:v>
      </x:c>
      <x:c r="H7343" t="str">
        <x:v>A</x:v>
      </x:c>
      <x:c r="I7343" t="str">
        <x:v>10+ years</x:v>
      </x:c>
      <x:c r="J7343" t="str">
        <x:v>RENT</x:v>
      </x:c>
      <x:c r="K7343" t="str">
        <x:v>debt_consolidation</x:v>
      </x:c>
      <x:c r="L7343" t="n">
        <x:v>0</x:v>
      </x:c>
      <x:c r="M7343" t="n">
        <x:v>0</x:v>
      </x:c>
      <x:c r="N7343" t="str">
        <x:v>Fully Paid</x:v>
      </x:c>
      <x:c r="O7343" t="str">
        <x:f>IF(D7343="","Unknown",IF(D7343&lt;25000,"&lt;$25k",IF(D7343&lt;50000,"$25k-$50k",IF(D7343&lt;75000,"$50k-$75k",IF(D7343&lt;100000,"$75k-$100k","$100k+")))))</x:f>
        <x:v>$25k-$50k</x:v>
      </x:c>
      <x:c r="P7343" t="str">
        <x:f>IF(E7343="","Unknown",IF(E7343&lt;10,"&lt;10",IF(E7343&lt;20,"10-&lt;20",IF(E7343&lt;25,"20-&lt;25",IF(E7343&lt;35,"25-&lt;35","35+")))))</x:f>
        <x:v>25-&lt;35</x:v>
      </x:c>
    </x:row>
    <x:row r="7344">
      <x:c r="A7344" t="str">
        <x:v>SYN0007343</x:v>
      </x:c>
      <x:c r="B7344" s="12" t="n">
        <x:v>42265</x:v>
      </x:c>
      <x:c r="C7344" s="18" t="n">
        <x:v>12054</x:v>
      </x:c>
      <x:c r="D7344" s="18" t="n">
        <x:v>42074</x:v>
      </x:c>
      <x:c r="E7344" s="18" t="n">
        <x:v>23.88</x:v>
      </x:c>
      <x:c r="F7344" s="18" t="n">
        <x:v>16.24</x:v>
      </x:c>
      <x:c r="G7344" t="n">
        <x:v>36</x:v>
      </x:c>
      <x:c r="H7344" t="str">
        <x:v>D</x:v>
      </x:c>
      <x:c r="I7344" t="str">
        <x:v>1-3 years</x:v>
      </x:c>
      <x:c r="J7344" t="str">
        <x:v>RENT</x:v>
      </x:c>
      <x:c r="K7344" t="str">
        <x:v>other</x:v>
      </x:c>
      <x:c r="L7344" t="n">
        <x:v>0</x:v>
      </x:c>
      <x:c r="M7344" t="n">
        <x:v>0</x:v>
      </x:c>
      <x:c r="N7344" t="str">
        <x:v>Fully Paid</x:v>
      </x:c>
      <x:c r="O7344" t="str">
        <x:f>IF(D7344="","Unknown",IF(D7344&lt;25000,"&lt;$25k",IF(D7344&lt;50000,"$25k-$50k",IF(D7344&lt;75000,"$50k-$75k",IF(D7344&lt;100000,"$75k-$100k","$100k+")))))</x:f>
        <x:v>$25k-$50k</x:v>
      </x:c>
      <x:c r="P7344" t="str">
        <x:f>IF(E7344="","Unknown",IF(E7344&lt;10,"&lt;10",IF(E7344&lt;20,"10-&lt;20",IF(E7344&lt;25,"20-&lt;25",IF(E7344&lt;35,"25-&lt;35","35+")))))</x:f>
        <x:v>20-&lt;25</x:v>
      </x:c>
    </x:row>
    <x:row r="7345">
      <x:c r="A7345" t="str">
        <x:v>SYN0007344</x:v>
      </x:c>
      <x:c r="B7345" s="12" t="n">
        <x:v>43015</x:v>
      </x:c>
      <x:c r="C7345" s="18" t="n">
        <x:v>20130</x:v>
      </x:c>
      <x:c r="D7345" s="18" t="n">
        <x:v>16166</x:v>
      </x:c>
      <x:c r="E7345" s="18" t="n">
        <x:v>26.97</x:v>
      </x:c>
      <x:c r="F7345" s="18" t="n">
        <x:v>12.25</x:v>
      </x:c>
      <x:c r="G7345" t="n">
        <x:v>36</x:v>
      </x:c>
      <x:c r="H7345" t="str">
        <x:v>C</x:v>
      </x:c>
      <x:c r="I7345" t="str">
        <x:v>1-3 years</x:v>
      </x:c>
      <x:c r="J7345" t="str">
        <x:v>RENT</x:v>
      </x:c>
      <x:c r="K7345" t="str">
        <x:v>credit_card</x:v>
      </x:c>
      <x:c r="L7345" t="n">
        <x:v>2</x:v>
      </x:c>
      <x:c r="M7345" t="n">
        <x:v>0</x:v>
      </x:c>
      <x:c r="N7345" t="str">
        <x:v>Fully Paid</x:v>
      </x:c>
      <x:c r="O7345" t="str">
        <x:f>IF(D7345="","Unknown",IF(D7345&lt;25000,"&lt;$25k",IF(D7345&lt;50000,"$25k-$50k",IF(D7345&lt;75000,"$50k-$75k",IF(D7345&lt;100000,"$75k-$100k","$100k+")))))</x:f>
        <x:v>&lt;$25k</x:v>
      </x:c>
      <x:c r="P7345" t="str">
        <x:f>IF(E7345="","Unknown",IF(E7345&lt;10,"&lt;10",IF(E7345&lt;20,"10-&lt;20",IF(E7345&lt;25,"20-&lt;25",IF(E7345&lt;35,"25-&lt;35","35+")))))</x:f>
        <x:v>25-&lt;35</x:v>
      </x:c>
    </x:row>
    <x:row r="7346">
      <x:c r="A7346" t="str">
        <x:v>SYN0007345</x:v>
      </x:c>
      <x:c r="B7346" s="12" t="n">
        <x:v>42235</x:v>
      </x:c>
      <x:c r="C7346" s="18" t="n">
        <x:v>6043</x:v>
      </x:c>
      <x:c r="D7346" s="18" t="n">
        <x:v>119683</x:v>
      </x:c>
      <x:c r="E7346" s="18" t="n">
        <x:v>9.15</x:v>
      </x:c>
      <x:c r="F7346" s="18" t="n">
        <x:v>7.03</x:v>
      </x:c>
      <x:c r="G7346" t="n">
        <x:v>36</x:v>
      </x:c>
      <x:c r="H7346" t="str">
        <x:v>B</x:v>
      </x:c>
      <x:c r="I7346" t="str">
        <x:v>1-3 years</x:v>
      </x:c>
      <x:c r="J7346" t="str">
        <x:v>RENT</x:v>
      </x:c>
      <x:c r="K7346" t="str">
        <x:v>debt_consolidation</x:v>
      </x:c>
      <x:c r="L7346" t="n">
        <x:v>1</x:v>
      </x:c>
      <x:c r="M7346" t="n">
        <x:v>0</x:v>
      </x:c>
      <x:c r="N7346" t="str">
        <x:v>Fully Paid</x:v>
      </x:c>
      <x:c r="O7346" t="str">
        <x:f>IF(D7346="","Unknown",IF(D7346&lt;25000,"&lt;$25k",IF(D7346&lt;50000,"$25k-$50k",IF(D7346&lt;75000,"$50k-$75k",IF(D7346&lt;100000,"$75k-$100k","$100k+")))))</x:f>
        <x:v>$100k+</x:v>
      </x:c>
      <x:c r="P7346" t="str">
        <x:f>IF(E7346="","Unknown",IF(E7346&lt;10,"&lt;10",IF(E7346&lt;20,"10-&lt;20",IF(E7346&lt;25,"20-&lt;25",IF(E7346&lt;35,"25-&lt;35","35+")))))</x:f>
        <x:v>&lt;10</x:v>
      </x:c>
    </x:row>
    <x:row r="7347">
      <x:c r="A7347" t="str">
        <x:v>SYN0007346</x:v>
      </x:c>
      <x:c r="B7347" s="12" t="n">
        <x:v>43405</x:v>
      </x:c>
      <x:c r="C7347" s="18" t="n">
        <x:v>9913</x:v>
      </x:c>
      <x:c r="D7347" s="18" t="n">
        <x:v>36454</x:v>
      </x:c>
      <x:c r="E7347" s="18" t="n">
        <x:v>25.96</x:v>
      </x:c>
      <x:c r="F7347" s="18" t="n">
        <x:v>9.08</x:v>
      </x:c>
      <x:c r="G7347" t="n">
        <x:v>60</x:v>
      </x:c>
      <x:c r="H7347" t="str">
        <x:v>C</x:v>
      </x:c>
      <x:c r="I7347" t="str">
        <x:v>&lt;1 year</x:v>
      </x:c>
      <x:c r="J7347" t="str">
        <x:v>MORTGAGE</x:v>
      </x:c>
      <x:c r="K7347" t="str">
        <x:v>debt_consolidation</x:v>
      </x:c>
      <x:c r="L7347" t="n">
        <x:v>1</x:v>
      </x:c>
      <x:c r="M7347" t="n">
        <x:v>0</x:v>
      </x:c>
      <x:c r="N7347" t="str">
        <x:v>Fully Paid</x:v>
      </x:c>
      <x:c r="O7347" t="str">
        <x:f>IF(D7347="","Unknown",IF(D7347&lt;25000,"&lt;$25k",IF(D7347&lt;50000,"$25k-$50k",IF(D7347&lt;75000,"$50k-$75k",IF(D7347&lt;100000,"$75k-$100k","$100k+")))))</x:f>
        <x:v>$25k-$50k</x:v>
      </x:c>
      <x:c r="P7347" t="str">
        <x:f>IF(E7347="","Unknown",IF(E7347&lt;10,"&lt;10",IF(E7347&lt;20,"10-&lt;20",IF(E7347&lt;25,"20-&lt;25",IF(E7347&lt;35,"25-&lt;35","35+")))))</x:f>
        <x:v>25-&lt;35</x:v>
      </x:c>
    </x:row>
    <x:row r="7348">
      <x:c r="A7348" t="str">
        <x:v>SYN0007347</x:v>
      </x:c>
      <x:c r="B7348" s="12" t="n">
        <x:v>41995</x:v>
      </x:c>
      <x:c r="C7348" s="18" t="n">
        <x:v>20685</x:v>
      </x:c>
      <x:c r="D7348" s="18" t="n">
        <x:v>23027</x:v>
      </x:c>
      <x:c r="E7348" s="18" t="n">
        <x:v>26.4</x:v>
      </x:c>
      <x:c r="F7348" s="18" t="n">
        <x:v>11.53</x:v>
      </x:c>
      <x:c r="G7348" t="n">
        <x:v>36</x:v>
      </x:c>
      <x:c r="H7348" t="str">
        <x:v>C</x:v>
      </x:c>
      <x:c r="I7348" t="str">
        <x:v>1-3 years</x:v>
      </x:c>
      <x:c r="J7348" t="str">
        <x:v>RENT</x:v>
      </x:c>
      <x:c r="K7348" t="str">
        <x:v>debt_consolidation</x:v>
      </x:c>
      <x:c r="L7348" t="n">
        <x:v>1</x:v>
      </x:c>
      <x:c r="M7348" t="n">
        <x:v>0</x:v>
      </x:c>
      <x:c r="N7348" t="str">
        <x:v>Fully Paid</x:v>
      </x:c>
      <x:c r="O7348" t="str">
        <x:f>IF(D7348="","Unknown",IF(D7348&lt;25000,"&lt;$25k",IF(D7348&lt;50000,"$25k-$50k",IF(D7348&lt;75000,"$50k-$75k",IF(D7348&lt;100000,"$75k-$100k","$100k+")))))</x:f>
        <x:v>&lt;$25k</x:v>
      </x:c>
      <x:c r="P7348" t="str">
        <x:f>IF(E7348="","Unknown",IF(E7348&lt;10,"&lt;10",IF(E7348&lt;20,"10-&lt;20",IF(E7348&lt;25,"20-&lt;25",IF(E7348&lt;35,"25-&lt;35","35+")))))</x:f>
        <x:v>25-&lt;35</x:v>
      </x:c>
    </x:row>
    <x:row r="7349">
      <x:c r="A7349" t="str">
        <x:v>SYN0007348</x:v>
      </x:c>
      <x:c r="B7349" s="12" t="n">
        <x:v>43165</x:v>
      </x:c>
      <x:c r="C7349" s="18" t="n">
        <x:v>19821</x:v>
      </x:c>
      <x:c r="D7349" s="18" t="n">
        <x:v>145638</x:v>
      </x:c>
      <x:c r="E7349" s="18" t="n">
        <x:v>29.19</x:v>
      </x:c>
      <x:c r="F7349" s="18" t="n">
        <x:v>15.97</x:v>
      </x:c>
      <x:c r="G7349" t="n">
        <x:v>36</x:v>
      </x:c>
      <x:c r="H7349" t="str">
        <x:v>D</x:v>
      </x:c>
      <x:c r="I7349" t="str">
        <x:v>&lt;1 year</x:v>
      </x:c>
      <x:c r="J7349" t="str">
        <x:v>RENT</x:v>
      </x:c>
      <x:c r="K7349" t="str">
        <x:v>credit_card</x:v>
      </x:c>
      <x:c r="L7349" t="n">
        <x:v>0</x:v>
      </x:c>
      <x:c r="M7349" t="n">
        <x:v>0</x:v>
      </x:c>
      <x:c r="N7349" t="str">
        <x:v>Fully Paid</x:v>
      </x:c>
      <x:c r="O7349" t="str">
        <x:f>IF(D7349="","Unknown",IF(D7349&lt;25000,"&lt;$25k",IF(D7349&lt;50000,"$25k-$50k",IF(D7349&lt;75000,"$50k-$75k",IF(D7349&lt;100000,"$75k-$100k","$100k+")))))</x:f>
        <x:v>$100k+</x:v>
      </x:c>
      <x:c r="P7349" t="str">
        <x:f>IF(E7349="","Unknown",IF(E7349&lt;10,"&lt;10",IF(E7349&lt;20,"10-&lt;20",IF(E7349&lt;25,"20-&lt;25",IF(E7349&lt;35,"25-&lt;35","35+")))))</x:f>
        <x:v>25-&lt;35</x:v>
      </x:c>
    </x:row>
    <x:row r="7350">
      <x:c r="A7350" t="str">
        <x:v>SYN0007349</x:v>
      </x:c>
      <x:c r="B7350" s="12" t="n">
        <x:v>41755</x:v>
      </x:c>
      <x:c r="C7350" s="18" t="n">
        <x:v>14800</x:v>
      </x:c>
      <x:c r="D7350" s="18" t="n">
        <x:v>117365</x:v>
      </x:c>
      <x:c r="E7350" s="18" t="n">
        <x:v>9.67</x:v>
      </x:c>
      <x:c r="F7350" s="18" t="n">
        <x:v>8.44</x:v>
      </x:c>
      <x:c r="G7350" t="n">
        <x:v>36</x:v>
      </x:c>
      <x:c r="H7350" t="str">
        <x:v>B</x:v>
      </x:c>
      <x:c r="I7350" t="str">
        <x:v>10+ years</x:v>
      </x:c>
      <x:c r="J7350" t="str">
        <x:v>MORTGAGE</x:v>
      </x:c>
      <x:c r="K7350" t="str">
        <x:v>debt_consolidation</x:v>
      </x:c>
      <x:c r="L7350" t="n">
        <x:v>0</x:v>
      </x:c>
      <x:c r="M7350" t="n">
        <x:v>0</x:v>
      </x:c>
      <x:c r="N7350" t="str">
        <x:v>Fully Paid</x:v>
      </x:c>
      <x:c r="O7350" t="str">
        <x:f>IF(D7350="","Unknown",IF(D7350&lt;25000,"&lt;$25k",IF(D7350&lt;50000,"$25k-$50k",IF(D7350&lt;75000,"$50k-$75k",IF(D7350&lt;100000,"$75k-$100k","$100k+")))))</x:f>
        <x:v>$100k+</x:v>
      </x:c>
      <x:c r="P7350" t="str">
        <x:f>IF(E7350="","Unknown",IF(E7350&lt;10,"&lt;10",IF(E7350&lt;20,"10-&lt;20",IF(E7350&lt;25,"20-&lt;25",IF(E7350&lt;35,"25-&lt;35","35+")))))</x:f>
        <x:v>&lt;10</x:v>
      </x:c>
    </x:row>
    <x:row r="7351">
      <x:c r="A7351" t="str">
        <x:v>SYN0007350</x:v>
      </x:c>
      <x:c r="B7351" s="12" t="n">
        <x:v>42055</x:v>
      </x:c>
      <x:c r="C7351" s="18" t="n">
        <x:v>19833</x:v>
      </x:c>
      <x:c r="D7351" s="18" t="n">
        <x:v>32945</x:v>
      </x:c>
      <x:c r="E7351" s="18" t="n">
        <x:v>27.16</x:v>
      </x:c>
      <x:c r="F7351" s="18" t="n">
        <x:v>8.64</x:v>
      </x:c>
      <x:c r="G7351" t="n">
        <x:v>36</x:v>
      </x:c>
      <x:c r="H7351" t="str">
        <x:v>B</x:v>
      </x:c>
      <x:c r="I7351" t="str">
        <x:v>&lt;1 year</x:v>
      </x:c>
      <x:c r="J7351" t="str">
        <x:v>OWN</x:v>
      </x:c>
      <x:c r="K7351" t="str">
        <x:v>major_purchase</x:v>
      </x:c>
      <x:c r="L7351" t="n">
        <x:v>1</x:v>
      </x:c>
      <x:c r="M7351" t="n">
        <x:v>0</x:v>
      </x:c>
      <x:c r="N7351" t="str">
        <x:v>Fully Paid</x:v>
      </x:c>
      <x:c r="O7351" t="str">
        <x:f>IF(D7351="","Unknown",IF(D7351&lt;25000,"&lt;$25k",IF(D7351&lt;50000,"$25k-$50k",IF(D7351&lt;75000,"$50k-$75k",IF(D7351&lt;100000,"$75k-$100k","$100k+")))))</x:f>
        <x:v>$25k-$50k</x:v>
      </x:c>
      <x:c r="P7351" t="str">
        <x:f>IF(E7351="","Unknown",IF(E7351&lt;10,"&lt;10",IF(E7351&lt;20,"10-&lt;20",IF(E7351&lt;25,"20-&lt;25",IF(E7351&lt;35,"25-&lt;35","35+")))))</x:f>
        <x:v>25-&lt;35</x:v>
      </x:c>
    </x:row>
    <x:row r="7352">
      <x:c r="A7352" t="str">
        <x:v>SYN0007351</x:v>
      </x:c>
      <x:c r="B7352" s="12" t="n">
        <x:v>42625</x:v>
      </x:c>
      <x:c r="C7352" s="18" t="n">
        <x:v>29786</x:v>
      </x:c>
      <x:c r="D7352" s="18" t="n">
        <x:v>55422</x:v>
      </x:c>
      <x:c r="E7352" s="18" t="n">
        <x:v>15.22</x:v>
      </x:c>
      <x:c r="F7352" s="18" t="n">
        <x:v>12</x:v>
      </x:c>
      <x:c r="G7352" t="n">
        <x:v>60</x:v>
      </x:c>
      <x:c r="H7352" t="str">
        <x:v>B</x:v>
      </x:c>
      <x:c r="I7352" t="str">
        <x:v>4-6 years</x:v>
      </x:c>
      <x:c r="J7352" t="str">
        <x:v>MORTGAGE</x:v>
      </x:c>
      <x:c r="K7352" t="str">
        <x:v>credit_card</x:v>
      </x:c>
      <x:c r="L7352" t="n">
        <x:v>0</x:v>
      </x:c>
      <x:c r="M7352" t="n">
        <x:v>0</x:v>
      </x:c>
      <x:c r="N7352" t="str">
        <x:v>Fully Paid</x:v>
      </x:c>
      <x:c r="O7352" t="str">
        <x:f>IF(D7352="","Unknown",IF(D7352&lt;25000,"&lt;$25k",IF(D7352&lt;50000,"$25k-$50k",IF(D7352&lt;75000,"$50k-$75k",IF(D7352&lt;100000,"$75k-$100k","$100k+")))))</x:f>
        <x:v>$50k-$75k</x:v>
      </x:c>
      <x:c r="P7352" t="str">
        <x:f>IF(E7352="","Unknown",IF(E7352&lt;10,"&lt;10",IF(E7352&lt;20,"10-&lt;20",IF(E7352&lt;25,"20-&lt;25",IF(E7352&lt;35,"25-&lt;35","35+")))))</x:f>
        <x:v>10-&lt;20</x:v>
      </x:c>
    </x:row>
    <x:row r="7353">
      <x:c r="A7353" t="str">
        <x:v>SYN0007352</x:v>
      </x:c>
      <x:c r="B7353" s="12" t="n">
        <x:v>41455</x:v>
      </x:c>
      <x:c r="C7353" s="18" t="n">
        <x:v>7760</x:v>
      </x:c>
      <x:c r="D7353" s="18" t="n">
        <x:v>86973</x:v>
      </x:c>
      <x:c r="E7353" s="18" t="n">
        <x:v>17.38</x:v>
      </x:c>
      <x:c r="F7353" s="18" t="n">
        <x:v>11.08</x:v>
      </x:c>
      <x:c r="G7353" t="n">
        <x:v>36</x:v>
      </x:c>
      <x:c r="H7353" t="str">
        <x:v>C</x:v>
      </x:c>
      <x:c r="I7353" t="str">
        <x:v>1-3 years</x:v>
      </x:c>
      <x:c r="J7353" t="str">
        <x:v>MORTGAGE</x:v>
      </x:c>
      <x:c r="K7353" t="str">
        <x:v>medical</x:v>
      </x:c>
      <x:c r="L7353" t="n">
        <x:v>1</x:v>
      </x:c>
      <x:c r="M7353" t="n">
        <x:v>0</x:v>
      </x:c>
      <x:c r="N7353" t="str">
        <x:v>Fully Paid</x:v>
      </x:c>
      <x:c r="O7353" t="str">
        <x:f>IF(D7353="","Unknown",IF(D7353&lt;25000,"&lt;$25k",IF(D7353&lt;50000,"$25k-$50k",IF(D7353&lt;75000,"$50k-$75k",IF(D7353&lt;100000,"$75k-$100k","$100k+")))))</x:f>
        <x:v>$75k-$100k</x:v>
      </x:c>
      <x:c r="P7353" t="str">
        <x:f>IF(E7353="","Unknown",IF(E7353&lt;10,"&lt;10",IF(E7353&lt;20,"10-&lt;20",IF(E7353&lt;25,"20-&lt;25",IF(E7353&lt;35,"25-&lt;35","35+")))))</x:f>
        <x:v>10-&lt;20</x:v>
      </x:c>
    </x:row>
    <x:row r="7354">
      <x:c r="A7354" t="str">
        <x:v>SYN0007353</x:v>
      </x:c>
      <x:c r="B7354" s="12" t="n">
        <x:v>42895</x:v>
      </x:c>
      <x:c r="C7354" s="18" t="n">
        <x:v>5071</x:v>
      </x:c>
      <x:c r="D7354" s="18" t="n">
        <x:v>64587</x:v>
      </x:c>
      <x:c r="E7354" s="18" t="n">
        <x:v>14.36</x:v>
      </x:c>
      <x:c r="F7354" s="18" t="n">
        <x:v>11.69</x:v>
      </x:c>
      <x:c r="G7354" t="n">
        <x:v>36</x:v>
      </x:c>
      <x:c r="H7354" t="str">
        <x:v>C</x:v>
      </x:c>
      <x:c r="I7354" t="str">
        <x:v>4-6 years</x:v>
      </x:c>
      <x:c r="J7354" t="str">
        <x:v>MORTGAGE</x:v>
      </x:c>
      <x:c r="K7354" t="str">
        <x:v>debt_consolidation</x:v>
      </x:c>
      <x:c r="L7354" t="n">
        <x:v>0</x:v>
      </x:c>
      <x:c r="M7354" t="n">
        <x:v>0</x:v>
      </x:c>
      <x:c r="N7354" t="str">
        <x:v>Fully Paid</x:v>
      </x:c>
      <x:c r="O7354" t="str">
        <x:f>IF(D7354="","Unknown",IF(D7354&lt;25000,"&lt;$25k",IF(D7354&lt;50000,"$25k-$50k",IF(D7354&lt;75000,"$50k-$75k",IF(D7354&lt;100000,"$75k-$100k","$100k+")))))</x:f>
        <x:v>$50k-$75k</x:v>
      </x:c>
      <x:c r="P7354" t="str">
        <x:f>IF(E7354="","Unknown",IF(E7354&lt;10,"&lt;10",IF(E7354&lt;20,"10-&lt;20",IF(E7354&lt;25,"20-&lt;25",IF(E7354&lt;35,"25-&lt;35","35+")))))</x:f>
        <x:v>10-&lt;20</x:v>
      </x:c>
    </x:row>
    <x:row r="7355">
      <x:c r="A7355" t="str">
        <x:v>SYN0007354</x:v>
      </x:c>
      <x:c r="B7355" s="12" t="n">
        <x:v>43225</x:v>
      </x:c>
      <x:c r="C7355" s="18" t="n">
        <x:v>4762</x:v>
      </x:c>
      <x:c r="D7355" s="18" t="n">
        <x:v>70401</x:v>
      </x:c>
      <x:c r="E7355" s="18" t="n">
        <x:v>26.13</x:v>
      </x:c>
      <x:c r="F7355" s="18" t="n">
        <x:v>10.29</x:v>
      </x:c>
      <x:c r="G7355" t="n">
        <x:v>36</x:v>
      </x:c>
      <x:c r="H7355" t="str">
        <x:v>C</x:v>
      </x:c>
      <x:c r="I7355" t="str">
        <x:v>4-6 years</x:v>
      </x:c>
      <x:c r="J7355" t="str">
        <x:v>RENT</x:v>
      </x:c>
      <x:c r="K7355" t="str">
        <x:v>other</x:v>
      </x:c>
      <x:c r="L7355" t="n">
        <x:v>0</x:v>
      </x:c>
      <x:c r="M7355" t="n">
        <x:v>0</x:v>
      </x:c>
      <x:c r="N7355" t="str">
        <x:v>Fully Paid</x:v>
      </x:c>
      <x:c r="O7355" t="str">
        <x:f>IF(D7355="","Unknown",IF(D7355&lt;25000,"&lt;$25k",IF(D7355&lt;50000,"$25k-$50k",IF(D7355&lt;75000,"$50k-$75k",IF(D7355&lt;100000,"$75k-$100k","$100k+")))))</x:f>
        <x:v>$50k-$75k</x:v>
      </x:c>
      <x:c r="P7355" t="str">
        <x:f>IF(E7355="","Unknown",IF(E7355&lt;10,"&lt;10",IF(E7355&lt;20,"10-&lt;20",IF(E7355&lt;25,"20-&lt;25",IF(E7355&lt;35,"25-&lt;35","35+")))))</x:f>
        <x:v>25-&lt;35</x:v>
      </x:c>
    </x:row>
    <x:row r="7356">
      <x:c r="A7356" t="str">
        <x:v>SYN0007355</x:v>
      </x:c>
      <x:c r="B7356" s="12" t="n">
        <x:v>41605</x:v>
      </x:c>
      <x:c r="C7356" s="18" t="n">
        <x:v>7253</x:v>
      </x:c>
      <x:c r="D7356" s="18" t="n">
        <x:v>80804</x:v>
      </x:c>
      <x:c r="E7356" s="18" t="n">
        <x:v>10.38</x:v>
      </x:c>
      <x:c r="F7356" s="18" t="n">
        <x:v>19.54</x:v>
      </x:c>
      <x:c r="G7356" t="n">
        <x:v>60</x:v>
      </x:c>
      <x:c r="H7356" t="str">
        <x:v>E</x:v>
      </x:c>
      <x:c r="I7356" t="str">
        <x:v>4-6 years</x:v>
      </x:c>
      <x:c r="J7356" t="str">
        <x:v>MORTGAGE</x:v>
      </x:c>
      <x:c r="K7356" t="str">
        <x:v>other</x:v>
      </x:c>
      <x:c r="L7356" t="n">
        <x:v>1</x:v>
      </x:c>
      <x:c r="M7356" t="n">
        <x:v>0</x:v>
      </x:c>
      <x:c r="N7356" t="str">
        <x:v>Fully Paid</x:v>
      </x:c>
      <x:c r="O7356" t="str">
        <x:f>IF(D7356="","Unknown",IF(D7356&lt;25000,"&lt;$25k",IF(D7356&lt;50000,"$25k-$50k",IF(D7356&lt;75000,"$50k-$75k",IF(D7356&lt;100000,"$75k-$100k","$100k+")))))</x:f>
        <x:v>$75k-$100k</x:v>
      </x:c>
      <x:c r="P7356" t="str">
        <x:f>IF(E7356="","Unknown",IF(E7356&lt;10,"&lt;10",IF(E7356&lt;20,"10-&lt;20",IF(E7356&lt;25,"20-&lt;25",IF(E7356&lt;35,"25-&lt;35","35+")))))</x:f>
        <x:v>10-&lt;20</x:v>
      </x:c>
    </x:row>
    <x:row r="7357">
      <x:c r="A7357" t="str">
        <x:v>SYN0007356</x:v>
      </x:c>
      <x:c r="B7357" s="12" t="n">
        <x:v>42655</x:v>
      </x:c>
      <x:c r="C7357" s="18" t="n">
        <x:v>17816</x:v>
      </x:c>
      <x:c r="D7357" s="18" t="n">
        <x:v>28004</x:v>
      </x:c>
      <x:c r="E7357" s="18" t="n">
        <x:v>0.73</x:v>
      </x:c>
      <x:c r="F7357" s="18" t="n">
        <x:v>9.31</x:v>
      </x:c>
      <x:c r="G7357" t="n">
        <x:v>36</x:v>
      </x:c>
      <x:c r="H7357" t="str">
        <x:v>C</x:v>
      </x:c>
      <x:c r="I7357" t="str">
        <x:v>7-9 years</x:v>
      </x:c>
      <x:c r="J7357" t="str">
        <x:v>RENT</x:v>
      </x:c>
      <x:c r="K7357" t="str">
        <x:v>home_improvement</x:v>
      </x:c>
      <x:c r="L7357" t="n">
        <x:v>0</x:v>
      </x:c>
      <x:c r="M7357" t="n">
        <x:v>0</x:v>
      </x:c>
      <x:c r="N7357" t="str">
        <x:v>Fully Paid</x:v>
      </x:c>
      <x:c r="O7357" t="str">
        <x:f>IF(D7357="","Unknown",IF(D7357&lt;25000,"&lt;$25k",IF(D7357&lt;50000,"$25k-$50k",IF(D7357&lt;75000,"$50k-$75k",IF(D7357&lt;100000,"$75k-$100k","$100k+")))))</x:f>
        <x:v>$25k-$50k</x:v>
      </x:c>
      <x:c r="P7357" t="str">
        <x:f>IF(E7357="","Unknown",IF(E7357&lt;10,"&lt;10",IF(E7357&lt;20,"10-&lt;20",IF(E7357&lt;25,"20-&lt;25",IF(E7357&lt;35,"25-&lt;35","35+")))))</x:f>
        <x:v>&lt;10</x:v>
      </x:c>
    </x:row>
    <x:row r="7358">
      <x:c r="A7358" t="str">
        <x:v>SYN0007357</x:v>
      </x:c>
      <x:c r="B7358" s="12" t="n">
        <x:v>42475</x:v>
      </x:c>
      <x:c r="C7358" s="18" t="n">
        <x:v>38791</x:v>
      </x:c>
      <x:c r="D7358" s="18" t="n">
        <x:v>39395</x:v>
      </x:c>
      <x:c r="E7358" s="18" t="n">
        <x:v>15.18</x:v>
      </x:c>
      <x:c r="F7358" s="18" t="n">
        <x:v>6.8</x:v>
      </x:c>
      <x:c r="G7358" t="n">
        <x:v>36</x:v>
      </x:c>
      <x:c r="H7358" t="str">
        <x:v>A</x:v>
      </x:c>
      <x:c r="I7358" t="str">
        <x:v>&lt;1 year</x:v>
      </x:c>
      <x:c r="J7358" t="str">
        <x:v>RENT</x:v>
      </x:c>
      <x:c r="K7358" t="str">
        <x:v>debt_consolidation</x:v>
      </x:c>
      <x:c r="L7358" t="n">
        <x:v>0</x:v>
      </x:c>
      <x:c r="M7358" t="n">
        <x:v>0</x:v>
      </x:c>
      <x:c r="N7358" t="str">
        <x:v>Fully Paid</x:v>
      </x:c>
      <x:c r="O7358" t="str">
        <x:f>IF(D7358="","Unknown",IF(D7358&lt;25000,"&lt;$25k",IF(D7358&lt;50000,"$25k-$50k",IF(D7358&lt;75000,"$50k-$75k",IF(D7358&lt;100000,"$75k-$100k","$100k+")))))</x:f>
        <x:v>$25k-$50k</x:v>
      </x:c>
      <x:c r="P7358" t="str">
        <x:f>IF(E7358="","Unknown",IF(E7358&lt;10,"&lt;10",IF(E7358&lt;20,"10-&lt;20",IF(E7358&lt;25,"20-&lt;25",IF(E7358&lt;35,"25-&lt;35","35+")))))</x:f>
        <x:v>10-&lt;20</x:v>
      </x:c>
    </x:row>
    <x:row r="7359">
      <x:c r="A7359" t="str">
        <x:v>SYN0007358</x:v>
      </x:c>
      <x:c r="B7359" s="12" t="n">
        <x:v>42805</x:v>
      </x:c>
      <x:c r="C7359" s="18" t="n">
        <x:v>6930</x:v>
      </x:c>
      <x:c r="D7359" s="18" t="n">
        <x:v>59006</x:v>
      </x:c>
      <x:c r="E7359" s="18" t="n">
        <x:v>14.25</x:v>
      </x:c>
      <x:c r="F7359" s="18" t="n">
        <x:v>11.6</x:v>
      </x:c>
      <x:c r="G7359" t="n">
        <x:v>60</x:v>
      </x:c>
      <x:c r="H7359" t="str">
        <x:v>C</x:v>
      </x:c>
      <x:c r="I7359" t="str">
        <x:v>4-6 years</x:v>
      </x:c>
      <x:c r="J7359" t="str">
        <x:v>RENT</x:v>
      </x:c>
      <x:c r="K7359" t="str">
        <x:v>credit_card</x:v>
      </x:c>
      <x:c r="L7359" t="n">
        <x:v>0</x:v>
      </x:c>
      <x:c r="M7359" t="n">
        <x:v>0</x:v>
      </x:c>
      <x:c r="N7359" t="str">
        <x:v>Fully Paid</x:v>
      </x:c>
      <x:c r="O7359" t="str">
        <x:f>IF(D7359="","Unknown",IF(D7359&lt;25000,"&lt;$25k",IF(D7359&lt;50000,"$25k-$50k",IF(D7359&lt;75000,"$50k-$75k",IF(D7359&lt;100000,"$75k-$100k","$100k+")))))</x:f>
        <x:v>$50k-$75k</x:v>
      </x:c>
      <x:c r="P7359" t="str">
        <x:f>IF(E7359="","Unknown",IF(E7359&lt;10,"&lt;10",IF(E7359&lt;20,"10-&lt;20",IF(E7359&lt;25,"20-&lt;25",IF(E7359&lt;35,"25-&lt;35","35+")))))</x:f>
        <x:v>10-&lt;20</x:v>
      </x:c>
    </x:row>
    <x:row r="7360">
      <x:c r="A7360" t="str">
        <x:v>SYN0007359</x:v>
      </x:c>
      <x:c r="B7360" s="12" t="n">
        <x:v>42385</x:v>
      </x:c>
      <x:c r="C7360" s="18" t="n">
        <x:v>8715</x:v>
      </x:c>
      <x:c r="D7360" s="18" t="n">
        <x:v>103561</x:v>
      </x:c>
      <x:c r="E7360" s="18" t="n">
        <x:v>26.05</x:v>
      </x:c>
      <x:c r="F7360" s="18" t="n">
        <x:v>16.96</x:v>
      </x:c>
      <x:c r="G7360" t="n">
        <x:v>36</x:v>
      </x:c>
      <x:c r="H7360" t="str">
        <x:v>D</x:v>
      </x:c>
      <x:c r="I7360" t="str">
        <x:v>10+ years</x:v>
      </x:c>
      <x:c r="J7360" t="str">
        <x:v>RENT</x:v>
      </x:c>
      <x:c r="K7360" t="str">
        <x:v>home_improvement</x:v>
      </x:c>
      <x:c r="L7360" t="n">
        <x:v>1</x:v>
      </x:c>
      <x:c r="M7360" t="n">
        <x:v>0</x:v>
      </x:c>
      <x:c r="N7360" t="str">
        <x:v>Fully Paid</x:v>
      </x:c>
      <x:c r="O7360" t="str">
        <x:f>IF(D7360="","Unknown",IF(D7360&lt;25000,"&lt;$25k",IF(D7360&lt;50000,"$25k-$50k",IF(D7360&lt;75000,"$50k-$75k",IF(D7360&lt;100000,"$75k-$100k","$100k+")))))</x:f>
        <x:v>$100k+</x:v>
      </x:c>
      <x:c r="P7360" t="str">
        <x:f>IF(E7360="","Unknown",IF(E7360&lt;10,"&lt;10",IF(E7360&lt;20,"10-&lt;20",IF(E7360&lt;25,"20-&lt;25",IF(E7360&lt;35,"25-&lt;35","35+")))))</x:f>
        <x:v>25-&lt;35</x:v>
      </x:c>
    </x:row>
    <x:row r="7361">
      <x:c r="A7361" t="str">
        <x:v>SYN0007360</x:v>
      </x:c>
      <x:c r="B7361" s="12" t="n">
        <x:v>43135</x:v>
      </x:c>
      <x:c r="C7361" s="18" t="n">
        <x:v>17286</x:v>
      </x:c>
      <x:c r="D7361" s="18" t="n">
        <x:v>39878</x:v>
      </x:c>
      <x:c r="E7361" s="18" t="n">
        <x:v>25.92</x:v>
      </x:c>
      <x:c r="F7361" s="18" t="n">
        <x:v>6.47</x:v>
      </x:c>
      <x:c r="G7361" t="n">
        <x:v>36</x:v>
      </x:c>
      <x:c r="H7361" t="str">
        <x:v>B</x:v>
      </x:c>
      <x:c r="I7361" t="str">
        <x:v>&lt;1 year</x:v>
      </x:c>
      <x:c r="J7361" t="str">
        <x:v>MORTGAGE</x:v>
      </x:c>
      <x:c r="K7361" t="str">
        <x:v>debt_consolidation</x:v>
      </x:c>
      <x:c r="L7361" t="n">
        <x:v>0</x:v>
      </x:c>
      <x:c r="M7361" t="n">
        <x:v>0</x:v>
      </x:c>
      <x:c r="N7361" t="str">
        <x:v>Fully Paid</x:v>
      </x:c>
      <x:c r="O7361" t="str">
        <x:f>IF(D7361="","Unknown",IF(D7361&lt;25000,"&lt;$25k",IF(D7361&lt;50000,"$25k-$50k",IF(D7361&lt;75000,"$50k-$75k",IF(D7361&lt;100000,"$75k-$100k","$100k+")))))</x:f>
        <x:v>$25k-$50k</x:v>
      </x:c>
      <x:c r="P7361" t="str">
        <x:f>IF(E7361="","Unknown",IF(E7361&lt;10,"&lt;10",IF(E7361&lt;20,"10-&lt;20",IF(E7361&lt;25,"20-&lt;25",IF(E7361&lt;35,"25-&lt;35","35+")))))</x:f>
        <x:v>25-&lt;35</x:v>
      </x:c>
    </x:row>
    <x:row r="7362">
      <x:c r="A7362" t="str">
        <x:v>SYN0007361</x:v>
      </x:c>
      <x:c r="B7362" s="12" t="n">
        <x:v>43015</x:v>
      </x:c>
      <x:c r="C7362" s="18" t="n">
        <x:v>14408</x:v>
      </x:c>
      <x:c r="D7362" s="18" t="n">
        <x:v>27687</x:v>
      </x:c>
      <x:c r="E7362" s="18" t="n">
        <x:v>19.11</x:v>
      </x:c>
      <x:c r="F7362" s="18" t="n">
        <x:v>9.09</x:v>
      </x:c>
      <x:c r="G7362" t="n">
        <x:v>36</x:v>
      </x:c>
      <x:c r="H7362" t="str">
        <x:v>B</x:v>
      </x:c>
      <x:c r="I7362" t="str">
        <x:v>7-9 years</x:v>
      </x:c>
      <x:c r="J7362" t="str">
        <x:v>MORTGAGE</x:v>
      </x:c>
      <x:c r="K7362" t="str">
        <x:v>home_improvement</x:v>
      </x:c>
      <x:c r="L7362" t="n">
        <x:v>0</x:v>
      </x:c>
      <x:c r="M7362" t="n">
        <x:v>0</x:v>
      </x:c>
      <x:c r="N7362" t="str">
        <x:v>Fully Paid</x:v>
      </x:c>
      <x:c r="O7362" t="str">
        <x:f>IF(D7362="","Unknown",IF(D7362&lt;25000,"&lt;$25k",IF(D7362&lt;50000,"$25k-$50k",IF(D7362&lt;75000,"$50k-$75k",IF(D7362&lt;100000,"$75k-$100k","$100k+")))))</x:f>
        <x:v>$25k-$50k</x:v>
      </x:c>
      <x:c r="P7362" t="str">
        <x:f>IF(E7362="","Unknown",IF(E7362&lt;10,"&lt;10",IF(E7362&lt;20,"10-&lt;20",IF(E7362&lt;25,"20-&lt;25",IF(E7362&lt;35,"25-&lt;35","35+")))))</x:f>
        <x:v>10-&lt;20</x:v>
      </x:c>
    </x:row>
    <x:row r="7363">
      <x:c r="A7363" t="str">
        <x:v>SYN0007362</x:v>
      </x:c>
      <x:c r="B7363" s="12" t="n">
        <x:v>42865</x:v>
      </x:c>
      <x:c r="C7363" s="18" t="n">
        <x:v>18189</x:v>
      </x:c>
      <x:c r="D7363" s="18" t="n">
        <x:v>44888</x:v>
      </x:c>
      <x:c r="E7363" s="18" t="n">
        <x:v>37.4</x:v>
      </x:c>
      <x:c r="F7363" s="18" t="n">
        <x:v>10.52</x:v>
      </x:c>
      <x:c r="G7363" t="n">
        <x:v>36</x:v>
      </x:c>
      <x:c r="H7363" t="str">
        <x:v>C</x:v>
      </x:c>
      <x:c r="I7363" t="str">
        <x:v>4-6 years</x:v>
      </x:c>
      <x:c r="J7363" t="str">
        <x:v>RENT</x:v>
      </x:c>
      <x:c r="K7363" t="str">
        <x:v>debt_consolidation</x:v>
      </x:c>
      <x:c r="L7363" t="n">
        <x:v>0</x:v>
      </x:c>
      <x:c r="M7363" t="n">
        <x:v>0</x:v>
      </x:c>
      <x:c r="N7363" t="str">
        <x:v>Fully Paid</x:v>
      </x:c>
      <x:c r="O7363" t="str">
        <x:f>IF(D7363="","Unknown",IF(D7363&lt;25000,"&lt;$25k",IF(D7363&lt;50000,"$25k-$50k",IF(D7363&lt;75000,"$50k-$75k",IF(D7363&lt;100000,"$75k-$100k","$100k+")))))</x:f>
        <x:v>$25k-$50k</x:v>
      </x:c>
      <x:c r="P7363" t="str">
        <x:f>IF(E7363="","Unknown",IF(E7363&lt;10,"&lt;10",IF(E7363&lt;20,"10-&lt;20",IF(E7363&lt;25,"20-&lt;25",IF(E7363&lt;35,"25-&lt;35","35+")))))</x:f>
        <x:v>35+</x:v>
      </x:c>
    </x:row>
    <x:row r="7364">
      <x:c r="A7364" t="str">
        <x:v>SYN0007363</x:v>
      </x:c>
      <x:c r="B7364" s="12" t="n">
        <x:v>43135</x:v>
      </x:c>
      <x:c r="C7364" s="18" t="n">
        <x:v>16025</x:v>
      </x:c>
      <x:c r="D7364" s="18" t="n">
        <x:v>144308</x:v>
      </x:c>
      <x:c r="E7364" s="18" t="n">
        <x:v>23.03</x:v>
      </x:c>
      <x:c r="F7364" s="18" t="n">
        <x:v>7.47</x:v>
      </x:c>
      <x:c r="G7364" t="n">
        <x:v>60</x:v>
      </x:c>
      <x:c r="H7364" t="str">
        <x:v>B</x:v>
      </x:c>
      <x:c r="I7364" t="str">
        <x:v>1-3 years</x:v>
      </x:c>
      <x:c r="J7364" t="str">
        <x:v>MORTGAGE</x:v>
      </x:c>
      <x:c r="K7364" t="str">
        <x:v>debt_consolidation</x:v>
      </x:c>
      <x:c r="L7364" t="n">
        <x:v>0</x:v>
      </x:c>
      <x:c r="M7364" t="n">
        <x:v>0</x:v>
      </x:c>
      <x:c r="N7364" t="str">
        <x:v>Fully Paid</x:v>
      </x:c>
      <x:c r="O7364" t="str">
        <x:f>IF(D7364="","Unknown",IF(D7364&lt;25000,"&lt;$25k",IF(D7364&lt;50000,"$25k-$50k",IF(D7364&lt;75000,"$50k-$75k",IF(D7364&lt;100000,"$75k-$100k","$100k+")))))</x:f>
        <x:v>$100k+</x:v>
      </x:c>
      <x:c r="P7364" t="str">
        <x:f>IF(E7364="","Unknown",IF(E7364&lt;10,"&lt;10",IF(E7364&lt;20,"10-&lt;20",IF(E7364&lt;25,"20-&lt;25",IF(E7364&lt;35,"25-&lt;35","35+")))))</x:f>
        <x:v>20-&lt;25</x:v>
      </x:c>
    </x:row>
    <x:row r="7365">
      <x:c r="A7365" t="str">
        <x:v>SYN0007364</x:v>
      </x:c>
      <x:c r="B7365" s="12" t="n">
        <x:v>43105</x:v>
      </x:c>
      <x:c r="C7365" s="18" t="n">
        <x:v>21022</x:v>
      </x:c>
      <x:c r="D7365" s="18" t="n">
        <x:v>178130</x:v>
      </x:c>
      <x:c r="E7365" s="18" t="n">
        <x:v>34.73</x:v>
      </x:c>
      <x:c r="F7365" s="18" t="n">
        <x:v>16.92</x:v>
      </x:c>
      <x:c r="G7365" t="n">
        <x:v>36</x:v>
      </x:c>
      <x:c r="H7365" t="str">
        <x:v>E</x:v>
      </x:c>
      <x:c r="I7365" t="str">
        <x:v>10+ years</x:v>
      </x:c>
      <x:c r="J7365" t="str">
        <x:v>MORTGAGE</x:v>
      </x:c>
      <x:c r="K7365" t="str">
        <x:v>debt_consolidation</x:v>
      </x:c>
      <x:c r="L7365" t="n">
        <x:v>1</x:v>
      </x:c>
      <x:c r="M7365" t="n">
        <x:v>1</x:v>
      </x:c>
      <x:c r="N7365" t="str">
        <x:v>Charged Off</x:v>
      </x:c>
      <x:c r="O7365" t="str">
        <x:f>IF(D7365="","Unknown",IF(D7365&lt;25000,"&lt;$25k",IF(D7365&lt;50000,"$25k-$50k",IF(D7365&lt;75000,"$50k-$75k",IF(D7365&lt;100000,"$75k-$100k","$100k+")))))</x:f>
        <x:v>$100k+</x:v>
      </x:c>
      <x:c r="P7365" t="str">
        <x:f>IF(E7365="","Unknown",IF(E7365&lt;10,"&lt;10",IF(E7365&lt;20,"10-&lt;20",IF(E7365&lt;25,"20-&lt;25",IF(E7365&lt;35,"25-&lt;35","35+")))))</x:f>
        <x:v>25-&lt;35</x:v>
      </x:c>
    </x:row>
    <x:row r="7366">
      <x:c r="A7366" t="str">
        <x:v>SYN0007365</x:v>
      </x:c>
      <x:c r="B7366" s="12" t="n">
        <x:v>42505</x:v>
      </x:c>
      <x:c r="C7366" s="18" t="n">
        <x:v>12382</x:v>
      </x:c>
      <x:c r="D7366" s="18" t="n">
        <x:v>46774</x:v>
      </x:c>
      <x:c r="E7366" s="18" t="n">
        <x:v>16.75</x:v>
      </x:c>
      <x:c r="F7366" s="18" t="n">
        <x:v>12.44</x:v>
      </x:c>
      <x:c r="G7366" t="n">
        <x:v>36</x:v>
      </x:c>
      <x:c r="H7366" t="str">
        <x:v>C</x:v>
      </x:c>
      <x:c r="I7366" t="str">
        <x:v>4-6 years</x:v>
      </x:c>
      <x:c r="J7366" t="str">
        <x:v>RENT</x:v>
      </x:c>
      <x:c r="K7366" t="str">
        <x:v>major_purchase</x:v>
      </x:c>
      <x:c r="L7366" t="n">
        <x:v>1</x:v>
      </x:c>
      <x:c r="M7366" t="n">
        <x:v>0</x:v>
      </x:c>
      <x:c r="N7366" t="str">
        <x:v>Fully Paid</x:v>
      </x:c>
      <x:c r="O7366" t="str">
        <x:f>IF(D7366="","Unknown",IF(D7366&lt;25000,"&lt;$25k",IF(D7366&lt;50000,"$25k-$50k",IF(D7366&lt;75000,"$50k-$75k",IF(D7366&lt;100000,"$75k-$100k","$100k+")))))</x:f>
        <x:v>$25k-$50k</x:v>
      </x:c>
      <x:c r="P7366" t="str">
        <x:f>IF(E7366="","Unknown",IF(E7366&lt;10,"&lt;10",IF(E7366&lt;20,"10-&lt;20",IF(E7366&lt;25,"20-&lt;25",IF(E7366&lt;35,"25-&lt;35","35+")))))</x:f>
        <x:v>10-&lt;20</x:v>
      </x:c>
    </x:row>
    <x:row r="7367">
      <x:c r="A7367" t="str">
        <x:v>SYN0007366</x:v>
      </x:c>
      <x:c r="B7367" s="12" t="n">
        <x:v>41455</x:v>
      </x:c>
      <x:c r="C7367" s="18" t="n">
        <x:v>11543</x:v>
      </x:c>
      <x:c r="D7367" s="18" t="n">
        <x:v>72002</x:v>
      </x:c>
      <x:c r="E7367" s="18" t="n">
        <x:v>21.71</x:v>
      </x:c>
      <x:c r="F7367" s="18" t="n">
        <x:v>15.19</x:v>
      </x:c>
      <x:c r="G7367" t="n">
        <x:v>36</x:v>
      </x:c>
      <x:c r="H7367" t="str">
        <x:v>D</x:v>
      </x:c>
      <x:c r="I7367" t="str">
        <x:v>10+ years</x:v>
      </x:c>
      <x:c r="J7367" t="str">
        <x:v>MORTGAGE</x:v>
      </x:c>
      <x:c r="K7367" t="str">
        <x:v>other</x:v>
      </x:c>
      <x:c r="L7367" t="n">
        <x:v>0</x:v>
      </x:c>
      <x:c r="M7367" t="n">
        <x:v>0</x:v>
      </x:c>
      <x:c r="N7367" t="str">
        <x:v>Fully Paid</x:v>
      </x:c>
      <x:c r="O7367" t="str">
        <x:f>IF(D7367="","Unknown",IF(D7367&lt;25000,"&lt;$25k",IF(D7367&lt;50000,"$25k-$50k",IF(D7367&lt;75000,"$50k-$75k",IF(D7367&lt;100000,"$75k-$100k","$100k+")))))</x:f>
        <x:v>$50k-$75k</x:v>
      </x:c>
      <x:c r="P7367" t="str">
        <x:f>IF(E7367="","Unknown",IF(E7367&lt;10,"&lt;10",IF(E7367&lt;20,"10-&lt;20",IF(E7367&lt;25,"20-&lt;25",IF(E7367&lt;35,"25-&lt;35","35+")))))</x:f>
        <x:v>20-&lt;25</x:v>
      </x:c>
    </x:row>
    <x:row r="7368">
      <x:c r="A7368" t="str">
        <x:v>SYN0007367</x:v>
      </x:c>
      <x:c r="B7368" s="12" t="n">
        <x:v>43255</x:v>
      </x:c>
      <x:c r="C7368" s="18" t="n">
        <x:v>22042</x:v>
      </x:c>
      <x:c r="D7368" s="18" t="n">
        <x:v>30756</x:v>
      </x:c>
      <x:c r="E7368" s="18" t="n">
        <x:v>11.95</x:v>
      </x:c>
      <x:c r="F7368" s="18" t="n">
        <x:v>6.05</x:v>
      </x:c>
      <x:c r="G7368" t="n">
        <x:v>36</x:v>
      </x:c>
      <x:c r="H7368" t="str">
        <x:v>A</x:v>
      </x:c>
      <x:c r="I7368" t="str">
        <x:v>7-9 years</x:v>
      </x:c>
      <x:c r="J7368" t="str">
        <x:v>MORTGAGE</x:v>
      </x:c>
      <x:c r="K7368" t="str">
        <x:v>other</x:v>
      </x:c>
      <x:c r="L7368" t="n">
        <x:v>1</x:v>
      </x:c>
      <x:c r="M7368" t="n">
        <x:v>0</x:v>
      </x:c>
      <x:c r="N7368" t="str">
        <x:v>Fully Paid</x:v>
      </x:c>
      <x:c r="O7368" t="str">
        <x:f>IF(D7368="","Unknown",IF(D7368&lt;25000,"&lt;$25k",IF(D7368&lt;50000,"$25k-$50k",IF(D7368&lt;75000,"$50k-$75k",IF(D7368&lt;100000,"$75k-$100k","$100k+")))))</x:f>
        <x:v>$25k-$50k</x:v>
      </x:c>
      <x:c r="P7368" t="str">
        <x:f>IF(E7368="","Unknown",IF(E7368&lt;10,"&lt;10",IF(E7368&lt;20,"10-&lt;20",IF(E7368&lt;25,"20-&lt;25",IF(E7368&lt;35,"25-&lt;35","35+")))))</x:f>
        <x:v>10-&lt;20</x:v>
      </x:c>
    </x:row>
    <x:row r="7369">
      <x:c r="A7369" t="str">
        <x:v>SYN0007368</x:v>
      </x:c>
      <x:c r="B7369" s="12" t="n">
        <x:v>43345</x:v>
      </x:c>
      <x:c r="C7369" s="18" t="n">
        <x:v>28983</x:v>
      </x:c>
      <x:c r="D7369" s="18" t="n">
        <x:v>22491</x:v>
      </x:c>
      <x:c r="E7369" s="18" t="n">
        <x:v>22.49</x:v>
      </x:c>
      <x:c r="F7369" s="18" t="n">
        <x:v>12.07</x:v>
      </x:c>
      <x:c r="G7369" t="n">
        <x:v>36</x:v>
      </x:c>
      <x:c r="H7369" t="str">
        <x:v>C</x:v>
      </x:c>
      <x:c r="I7369" t="str">
        <x:v>1-3 years</x:v>
      </x:c>
      <x:c r="J7369" t="str">
        <x:v>RENT</x:v>
      </x:c>
      <x:c r="K7369" t="str">
        <x:v>other</x:v>
      </x:c>
      <x:c r="L7369" t="n">
        <x:v>1</x:v>
      </x:c>
      <x:c r="M7369" t="n">
        <x:v>0</x:v>
      </x:c>
      <x:c r="N7369" t="str">
        <x:v>Fully Paid</x:v>
      </x:c>
      <x:c r="O7369" t="str">
        <x:f>IF(D7369="","Unknown",IF(D7369&lt;25000,"&lt;$25k",IF(D7369&lt;50000,"$25k-$50k",IF(D7369&lt;75000,"$50k-$75k",IF(D7369&lt;100000,"$75k-$100k","$100k+")))))</x:f>
        <x:v>&lt;$25k</x:v>
      </x:c>
      <x:c r="P7369" t="str">
        <x:f>IF(E7369="","Unknown",IF(E7369&lt;10,"&lt;10",IF(E7369&lt;20,"10-&lt;20",IF(E7369&lt;25,"20-&lt;25",IF(E7369&lt;35,"25-&lt;35","35+")))))</x:f>
        <x:v>20-&lt;25</x:v>
      </x:c>
    </x:row>
    <x:row r="7370">
      <x:c r="A7370" t="str">
        <x:v>SYN0007369</x:v>
      </x:c>
      <x:c r="B7370" s="12" t="n">
        <x:v>42955</x:v>
      </x:c>
      <x:c r="C7370" s="18" t="n">
        <x:v>11688</x:v>
      </x:c>
      <x:c r="D7370" s="18" t="n">
        <x:v>40885</x:v>
      </x:c>
      <x:c r="E7370" s="18" t="n">
        <x:v>14.17</x:v>
      </x:c>
      <x:c r="F7370" s="18" t="n">
        <x:v>10.05</x:v>
      </x:c>
      <x:c r="G7370" t="n">
        <x:v>36</x:v>
      </x:c>
      <x:c r="H7370" t="str">
        <x:v>B</x:v>
      </x:c>
      <x:c r="I7370" t="str">
        <x:v>4-6 years</x:v>
      </x:c>
      <x:c r="J7370" t="str">
        <x:v>RENT</x:v>
      </x:c>
      <x:c r="K7370" t="str">
        <x:v>home_improvement</x:v>
      </x:c>
      <x:c r="L7370" t="n">
        <x:v>0</x:v>
      </x:c>
      <x:c r="M7370" t="n">
        <x:v>0</x:v>
      </x:c>
      <x:c r="N7370" t="str">
        <x:v>Fully Paid</x:v>
      </x:c>
      <x:c r="O7370" t="str">
        <x:f>IF(D7370="","Unknown",IF(D7370&lt;25000,"&lt;$25k",IF(D7370&lt;50000,"$25k-$50k",IF(D7370&lt;75000,"$50k-$75k",IF(D7370&lt;100000,"$75k-$100k","$100k+")))))</x:f>
        <x:v>$25k-$50k</x:v>
      </x:c>
      <x:c r="P7370" t="str">
        <x:f>IF(E7370="","Unknown",IF(E7370&lt;10,"&lt;10",IF(E7370&lt;20,"10-&lt;20",IF(E7370&lt;25,"20-&lt;25",IF(E7370&lt;35,"25-&lt;35","35+")))))</x:f>
        <x:v>10-&lt;20</x:v>
      </x:c>
    </x:row>
    <x:row r="7371">
      <x:c r="A7371" t="str">
        <x:v>SYN0007370</x:v>
      </x:c>
      <x:c r="B7371" s="12" t="n">
        <x:v>41275</x:v>
      </x:c>
      <x:c r="C7371" s="18" t="n">
        <x:v>9686</x:v>
      </x:c>
      <x:c r="D7371" s="18" t="n">
        <x:v>26717</x:v>
      </x:c>
      <x:c r="E7371" s="18" t="n">
        <x:v>8.09</x:v>
      </x:c>
      <x:c r="F7371" s="18" t="n">
        <x:v>23.46</x:v>
      </x:c>
      <x:c r="G7371" t="n">
        <x:v>60</x:v>
      </x:c>
      <x:c r="H7371" t="str">
        <x:v>E</x:v>
      </x:c>
      <x:c r="I7371" t="str">
        <x:v>10+ years</x:v>
      </x:c>
      <x:c r="J7371" t="str">
        <x:v>RENT</x:v>
      </x:c>
      <x:c r="K7371" t="str">
        <x:v>debt_consolidation</x:v>
      </x:c>
      <x:c r="L7371" t="n">
        <x:v>0</x:v>
      </x:c>
      <x:c r="M7371" t="n">
        <x:v>1</x:v>
      </x:c>
      <x:c r="N7371" t="str">
        <x:v>Charged Off</x:v>
      </x:c>
      <x:c r="O7371" t="str">
        <x:f>IF(D7371="","Unknown",IF(D7371&lt;25000,"&lt;$25k",IF(D7371&lt;50000,"$25k-$50k",IF(D7371&lt;75000,"$50k-$75k",IF(D7371&lt;100000,"$75k-$100k","$100k+")))))</x:f>
        <x:v>$25k-$50k</x:v>
      </x:c>
      <x:c r="P7371" t="str">
        <x:f>IF(E7371="","Unknown",IF(E7371&lt;10,"&lt;10",IF(E7371&lt;20,"10-&lt;20",IF(E7371&lt;25,"20-&lt;25",IF(E7371&lt;35,"25-&lt;35","35+")))))</x:f>
        <x:v>&lt;10</x:v>
      </x:c>
    </x:row>
    <x:row r="7372">
      <x:c r="A7372" t="str">
        <x:v>SYN0007371</x:v>
      </x:c>
      <x:c r="B7372" s="12" t="n">
        <x:v>42295</x:v>
      </x:c>
      <x:c r="C7372" s="18" t="n">
        <x:v>6218</x:v>
      </x:c>
      <x:c r="D7372" s="18" t="n">
        <x:v>76307</x:v>
      </x:c>
      <x:c r="E7372" s="18" t="n">
        <x:v>16.57</x:v>
      </x:c>
      <x:c r="F7372" s="18" t="n">
        <x:v>10.41</x:v>
      </x:c>
      <x:c r="G7372" t="n">
        <x:v>36</x:v>
      </x:c>
      <x:c r="H7372" t="str">
        <x:v>B</x:v>
      </x:c>
      <x:c r="I7372" t="str">
        <x:v>7-9 years</x:v>
      </x:c>
      <x:c r="J7372" t="str">
        <x:v>RENT</x:v>
      </x:c>
      <x:c r="K7372" t="str">
        <x:v>debt_consolidation</x:v>
      </x:c>
      <x:c r="L7372" t="n">
        <x:v>2</x:v>
      </x:c>
      <x:c r="M7372" t="n">
        <x:v>0</x:v>
      </x:c>
      <x:c r="N7372" t="str">
        <x:v>Fully Paid</x:v>
      </x:c>
      <x:c r="O7372" t="str">
        <x:f>IF(D7372="","Unknown",IF(D7372&lt;25000,"&lt;$25k",IF(D7372&lt;50000,"$25k-$50k",IF(D7372&lt;75000,"$50k-$75k",IF(D7372&lt;100000,"$75k-$100k","$100k+")))))</x:f>
        <x:v>$75k-$100k</x:v>
      </x:c>
      <x:c r="P7372" t="str">
        <x:f>IF(E7372="","Unknown",IF(E7372&lt;10,"&lt;10",IF(E7372&lt;20,"10-&lt;20",IF(E7372&lt;25,"20-&lt;25",IF(E7372&lt;35,"25-&lt;35","35+")))))</x:f>
        <x:v>10-&lt;20</x:v>
      </x:c>
    </x:row>
    <x:row r="7373">
      <x:c r="A7373" t="str">
        <x:v>SYN0007372</x:v>
      </x:c>
      <x:c r="B7373" s="12" t="n">
        <x:v>42445</x:v>
      </x:c>
      <x:c r="C7373" s="18" t="n">
        <x:v>14582</x:v>
      </x:c>
      <x:c r="D7373" s="18" t="n">
        <x:v>44880</x:v>
      </x:c>
      <x:c r="E7373" s="18" t="n">
        <x:v>16.75</x:v>
      </x:c>
      <x:c r="F7373" s="18" t="n">
        <x:v>7.3</x:v>
      </x:c>
      <x:c r="G7373" t="n">
        <x:v>60</x:v>
      </x:c>
      <x:c r="H7373" t="str">
        <x:v>A</x:v>
      </x:c>
      <x:c r="I7373" t="str">
        <x:v>10+ years</x:v>
      </x:c>
      <x:c r="J7373" t="str">
        <x:v>MORTGAGE</x:v>
      </x:c>
      <x:c r="K7373" t="str">
        <x:v>debt_consolidation</x:v>
      </x:c>
      <x:c r="L7373" t="n">
        <x:v>0</x:v>
      </x:c>
      <x:c r="M7373" t="n">
        <x:v>0</x:v>
      </x:c>
      <x:c r="N7373" t="str">
        <x:v>Fully Paid</x:v>
      </x:c>
      <x:c r="O7373" t="str">
        <x:f>IF(D7373="","Unknown",IF(D7373&lt;25000,"&lt;$25k",IF(D7373&lt;50000,"$25k-$50k",IF(D7373&lt;75000,"$50k-$75k",IF(D7373&lt;100000,"$75k-$100k","$100k+")))))</x:f>
        <x:v>$25k-$50k</x:v>
      </x:c>
      <x:c r="P7373" t="str">
        <x:f>IF(E7373="","Unknown",IF(E7373&lt;10,"&lt;10",IF(E7373&lt;20,"10-&lt;20",IF(E7373&lt;25,"20-&lt;25",IF(E7373&lt;35,"25-&lt;35","35+")))))</x:f>
        <x:v>10-&lt;20</x:v>
      </x:c>
    </x:row>
    <x:row r="7374">
      <x:c r="A7374" t="str">
        <x:v>SYN0007373</x:v>
      </x:c>
      <x:c r="B7374" s="12" t="n">
        <x:v>41365</x:v>
      </x:c>
      <x:c r="C7374" s="18" t="n">
        <x:v>14284</x:v>
      </x:c>
      <x:c r="D7374" s="18" t="n">
        <x:v>21535</x:v>
      </x:c>
      <x:c r="E7374" s="18" t="n">
        <x:v>12.4</x:v>
      </x:c>
      <x:c r="F7374" s="18" t="n">
        <x:v>8.27</x:v>
      </x:c>
      <x:c r="G7374" t="n">
        <x:v>36</x:v>
      </x:c>
      <x:c r="H7374" t="str">
        <x:v>B</x:v>
      </x:c>
      <x:c r="I7374" t="str">
        <x:v>&lt;1 year</x:v>
      </x:c>
      <x:c r="J7374" t="str">
        <x:v>RENT</x:v>
      </x:c>
      <x:c r="K7374" t="str">
        <x:v>debt_consolidation</x:v>
      </x:c>
      <x:c r="L7374" t="n">
        <x:v>1</x:v>
      </x:c>
      <x:c r="M7374" t="n">
        <x:v>0</x:v>
      </x:c>
      <x:c r="N7374" t="str">
        <x:v>Fully Paid</x:v>
      </x:c>
      <x:c r="O7374" t="str">
        <x:f>IF(D7374="","Unknown",IF(D7374&lt;25000,"&lt;$25k",IF(D7374&lt;50000,"$25k-$50k",IF(D7374&lt;75000,"$50k-$75k",IF(D7374&lt;100000,"$75k-$100k","$100k+")))))</x:f>
        <x:v>&lt;$25k</x:v>
      </x:c>
      <x:c r="P7374" t="str">
        <x:f>IF(E7374="","Unknown",IF(E7374&lt;10,"&lt;10",IF(E7374&lt;20,"10-&lt;20",IF(E7374&lt;25,"20-&lt;25",IF(E7374&lt;35,"25-&lt;35","35+")))))</x:f>
        <x:v>10-&lt;20</x:v>
      </x:c>
    </x:row>
    <x:row r="7375">
      <x:c r="A7375" t="str">
        <x:v>SYN0007374</x:v>
      </x:c>
      <x:c r="B7375" s="12" t="n">
        <x:v>41515</x:v>
      </x:c>
      <x:c r="C7375" s="18" t="n">
        <x:v>10057</x:v>
      </x:c>
      <x:c r="D7375" s="18" t="n">
        <x:v>17786</x:v>
      </x:c>
      <x:c r="E7375" s="18" t="n">
        <x:v>13.11</x:v>
      </x:c>
      <x:c r="F7375" s="18" t="n">
        <x:v>11.74</x:v>
      </x:c>
      <x:c r="G7375" t="n">
        <x:v>36</x:v>
      </x:c>
      <x:c r="H7375" t="str">
        <x:v>C</x:v>
      </x:c>
      <x:c r="I7375" t="str">
        <x:v>7-9 years</x:v>
      </x:c>
      <x:c r="J7375" t="str">
        <x:v>RENT</x:v>
      </x:c>
      <x:c r="K7375" t="str">
        <x:v>debt_consolidation</x:v>
      </x:c>
      <x:c r="L7375" t="n">
        <x:v>1</x:v>
      </x:c>
      <x:c r="M7375" t="n">
        <x:v>0</x:v>
      </x:c>
      <x:c r="N7375" t="str">
        <x:v>Fully Paid</x:v>
      </x:c>
      <x:c r="O7375" t="str">
        <x:f>IF(D7375="","Unknown",IF(D7375&lt;25000,"&lt;$25k",IF(D7375&lt;50000,"$25k-$50k",IF(D7375&lt;75000,"$50k-$75k",IF(D7375&lt;100000,"$75k-$100k","$100k+")))))</x:f>
        <x:v>&lt;$25k</x:v>
      </x:c>
      <x:c r="P7375" t="str">
        <x:f>IF(E7375="","Unknown",IF(E7375&lt;10,"&lt;10",IF(E7375&lt;20,"10-&lt;20",IF(E7375&lt;25,"20-&lt;25",IF(E7375&lt;35,"25-&lt;35","35+")))))</x:f>
        <x:v>10-&lt;20</x:v>
      </x:c>
    </x:row>
    <x:row r="7376">
      <x:c r="A7376" t="str">
        <x:v>SYN0007375</x:v>
      </x:c>
      <x:c r="B7376" s="12" t="n">
        <x:v>41995</x:v>
      </x:c>
      <x:c r="C7376" s="18" t="n">
        <x:v>19797</x:v>
      </x:c>
      <x:c r="D7376" s="18" t="n">
        <x:v>82716</x:v>
      </x:c>
      <x:c r="E7376" s="18" t="n">
        <x:v>3.41</x:v>
      </x:c>
      <x:c r="F7376" s="18" t="n">
        <x:v>10.22</x:v>
      </x:c>
      <x:c r="G7376" t="n">
        <x:v>36</x:v>
      </x:c>
      <x:c r="H7376" t="str">
        <x:v>C</x:v>
      </x:c>
      <x:c r="I7376" t="str">
        <x:v>4-6 years</x:v>
      </x:c>
      <x:c r="J7376" t="str">
        <x:v>MORTGAGE</x:v>
      </x:c>
      <x:c r="K7376" t="str">
        <x:v>credit_card</x:v>
      </x:c>
      <x:c r="L7376" t="n">
        <x:v>0</x:v>
      </x:c>
      <x:c r="M7376" t="n">
        <x:v>0</x:v>
      </x:c>
      <x:c r="N7376" t="str">
        <x:v>Fully Paid</x:v>
      </x:c>
      <x:c r="O7376" t="str">
        <x:f>IF(D7376="","Unknown",IF(D7376&lt;25000,"&lt;$25k",IF(D7376&lt;50000,"$25k-$50k",IF(D7376&lt;75000,"$50k-$75k",IF(D7376&lt;100000,"$75k-$100k","$100k+")))))</x:f>
        <x:v>$75k-$100k</x:v>
      </x:c>
      <x:c r="P7376" t="str">
        <x:f>IF(E7376="","Unknown",IF(E7376&lt;10,"&lt;10",IF(E7376&lt;20,"10-&lt;20",IF(E7376&lt;25,"20-&lt;25",IF(E7376&lt;35,"25-&lt;35","35+")))))</x:f>
        <x:v>&lt;10</x:v>
      </x:c>
    </x:row>
    <x:row r="7377">
      <x:c r="A7377" t="str">
        <x:v>SYN0007376</x:v>
      </x:c>
      <x:c r="B7377" s="12" t="n">
        <x:v>42745</x:v>
      </x:c>
      <x:c r="C7377" s="18" t="n">
        <x:v>15530</x:v>
      </x:c>
      <x:c r="D7377" s="18" t="n">
        <x:v>109650</x:v>
      </x:c>
      <x:c r="E7377" s="18" t="n">
        <x:v>26.52</x:v>
      </x:c>
      <x:c r="F7377" s="18" t="n">
        <x:v>18.51</x:v>
      </x:c>
      <x:c r="G7377" t="n">
        <x:v>60</x:v>
      </x:c>
      <x:c r="H7377" t="str">
        <x:v>E</x:v>
      </x:c>
      <x:c r="I7377" t="str">
        <x:v>7-9 years</x:v>
      </x:c>
      <x:c r="J7377" t="str">
        <x:v>RENT</x:v>
      </x:c>
      <x:c r="K7377" t="str">
        <x:v>debt_consolidation</x:v>
      </x:c>
      <x:c r="L7377" t="n">
        <x:v>1</x:v>
      </x:c>
      <x:c r="M7377" t="n">
        <x:v>1</x:v>
      </x:c>
      <x:c r="N7377" t="str">
        <x:v>Charged Off</x:v>
      </x:c>
      <x:c r="O7377" t="str">
        <x:f>IF(D7377="","Unknown",IF(D7377&lt;25000,"&lt;$25k",IF(D7377&lt;50000,"$25k-$50k",IF(D7377&lt;75000,"$50k-$75k",IF(D7377&lt;100000,"$75k-$100k","$100k+")))))</x:f>
        <x:v>$100k+</x:v>
      </x:c>
      <x:c r="P7377" t="str">
        <x:f>IF(E7377="","Unknown",IF(E7377&lt;10,"&lt;10",IF(E7377&lt;20,"10-&lt;20",IF(E7377&lt;25,"20-&lt;25",IF(E7377&lt;35,"25-&lt;35","35+")))))</x:f>
        <x:v>25-&lt;35</x:v>
      </x:c>
    </x:row>
    <x:row r="7378">
      <x:c r="A7378" t="str">
        <x:v>SYN0007377</x:v>
      </x:c>
      <x:c r="B7378" s="12" t="n">
        <x:v>42745</x:v>
      </x:c>
      <x:c r="C7378" s="18" t="n">
        <x:v>21022</x:v>
      </x:c>
      <x:c r="D7378" s="18" t="n">
        <x:v>72559</x:v>
      </x:c>
      <x:c r="E7378" s="18" t="n">
        <x:v>5.01</x:v>
      </x:c>
      <x:c r="F7378" s="18" t="n">
        <x:v>13.49</x:v>
      </x:c>
      <x:c r="G7378" t="n">
        <x:v>36</x:v>
      </x:c>
      <x:c r="H7378" t="str">
        <x:v>D</x:v>
      </x:c>
      <x:c r="I7378" t="str">
        <x:v>4-6 years</x:v>
      </x:c>
      <x:c r="J7378" t="str">
        <x:v>MORTGAGE</x:v>
      </x:c>
      <x:c r="K7378" t="str">
        <x:v>debt_consolidation</x:v>
      </x:c>
      <x:c r="L7378" t="n">
        <x:v>1</x:v>
      </x:c>
      <x:c r="M7378" t="n">
        <x:v>0</x:v>
      </x:c>
      <x:c r="N7378" t="str">
        <x:v>Fully Paid</x:v>
      </x:c>
      <x:c r="O7378" t="str">
        <x:f>IF(D7378="","Unknown",IF(D7378&lt;25000,"&lt;$25k",IF(D7378&lt;50000,"$25k-$50k",IF(D7378&lt;75000,"$50k-$75k",IF(D7378&lt;100000,"$75k-$100k","$100k+")))))</x:f>
        <x:v>$50k-$75k</x:v>
      </x:c>
      <x:c r="P7378" t="str">
        <x:f>IF(E7378="","Unknown",IF(E7378&lt;10,"&lt;10",IF(E7378&lt;20,"10-&lt;20",IF(E7378&lt;25,"20-&lt;25",IF(E7378&lt;35,"25-&lt;35","35+")))))</x:f>
        <x:v>&lt;10</x:v>
      </x:c>
    </x:row>
    <x:row r="7379">
      <x:c r="A7379" t="str">
        <x:v>SYN0007378</x:v>
      </x:c>
      <x:c r="B7379" s="12" t="n">
        <x:v>43045</x:v>
      </x:c>
      <x:c r="C7379" s="18" t="n">
        <x:v>13324</x:v>
      </x:c>
      <x:c r="D7379" s="18" t="n">
        <x:v>13698</x:v>
      </x:c>
      <x:c r="E7379" s="18" t="n">
        <x:v>14.95</x:v>
      </x:c>
      <x:c r="F7379" s="18" t="n">
        <x:v>7.39</x:v>
      </x:c>
      <x:c r="G7379" t="n">
        <x:v>36</x:v>
      </x:c>
      <x:c r="H7379" t="str">
        <x:v>B</x:v>
      </x:c>
      <x:c r="I7379" t="str">
        <x:v>7-9 years</x:v>
      </x:c>
      <x:c r="J7379" t="str">
        <x:v>RENT</x:v>
      </x:c>
      <x:c r="K7379" t="str">
        <x:v>debt_consolidation</x:v>
      </x:c>
      <x:c r="L7379" t="n">
        <x:v>0</x:v>
      </x:c>
      <x:c r="M7379" t="n">
        <x:v>0</x:v>
      </x:c>
      <x:c r="N7379" t="str">
        <x:v>Fully Paid</x:v>
      </x:c>
      <x:c r="O7379" t="str">
        <x:f>IF(D7379="","Unknown",IF(D7379&lt;25000,"&lt;$25k",IF(D7379&lt;50000,"$25k-$50k",IF(D7379&lt;75000,"$50k-$75k",IF(D7379&lt;100000,"$75k-$100k","$100k+")))))</x:f>
        <x:v>&lt;$25k</x:v>
      </x:c>
      <x:c r="P7379" t="str">
        <x:f>IF(E7379="","Unknown",IF(E7379&lt;10,"&lt;10",IF(E7379&lt;20,"10-&lt;20",IF(E7379&lt;25,"20-&lt;25",IF(E7379&lt;35,"25-&lt;35","35+")))))</x:f>
        <x:v>10-&lt;20</x:v>
      </x:c>
    </x:row>
    <x:row r="7380">
      <x:c r="A7380" t="str">
        <x:v>SYN0007379</x:v>
      </x:c>
      <x:c r="B7380" s="12" t="n">
        <x:v>41785</x:v>
      </x:c>
      <x:c r="C7380" s="18" t="n">
        <x:v>5620</x:v>
      </x:c>
      <x:c r="D7380" s="18" t="n">
        <x:v>39836</x:v>
      </x:c>
      <x:c r="E7380" s="18" t="n">
        <x:v>32.9</x:v>
      </x:c>
      <x:c r="F7380" s="18" t="n">
        <x:v>19.69</x:v>
      </x:c>
      <x:c r="G7380" t="n">
        <x:v>36</x:v>
      </x:c>
      <x:c r="H7380" t="str">
        <x:v>F</x:v>
      </x:c>
      <x:c r="I7380" t="str">
        <x:v>4-6 years</x:v>
      </x:c>
      <x:c r="J7380" t="str">
        <x:v>RENT</x:v>
      </x:c>
      <x:c r="K7380" t="str">
        <x:v>debt_consolidation</x:v>
      </x:c>
      <x:c r="L7380" t="n">
        <x:v>2</x:v>
      </x:c>
      <x:c r="M7380" t="n">
        <x:v>0</x:v>
      </x:c>
      <x:c r="N7380" t="str">
        <x:v>Fully Paid</x:v>
      </x:c>
      <x:c r="O7380" t="str">
        <x:f>IF(D7380="","Unknown",IF(D7380&lt;25000,"&lt;$25k",IF(D7380&lt;50000,"$25k-$50k",IF(D7380&lt;75000,"$50k-$75k",IF(D7380&lt;100000,"$75k-$100k","$100k+")))))</x:f>
        <x:v>$25k-$50k</x:v>
      </x:c>
      <x:c r="P7380" t="str">
        <x:f>IF(E7380="","Unknown",IF(E7380&lt;10,"&lt;10",IF(E7380&lt;20,"10-&lt;20",IF(E7380&lt;25,"20-&lt;25",IF(E7380&lt;35,"25-&lt;35","35+")))))</x:f>
        <x:v>25-&lt;35</x:v>
      </x:c>
    </x:row>
    <x:row r="7381">
      <x:c r="A7381" t="str">
        <x:v>SYN0007380</x:v>
      </x:c>
      <x:c r="B7381" s="12" t="n">
        <x:v>41905</x:v>
      </x:c>
      <x:c r="C7381" s="18" t="n">
        <x:v>25744</x:v>
      </x:c>
      <x:c r="D7381" s="18" t="n">
        <x:v>20050</x:v>
      </x:c>
      <x:c r="E7381" s="18" t="n">
        <x:v>18.21</x:v>
      </x:c>
      <x:c r="F7381" s="18" t="n">
        <x:v>8.32</x:v>
      </x:c>
      <x:c r="G7381" t="n">
        <x:v>36</x:v>
      </x:c>
      <x:c r="H7381" t="str">
        <x:v>A</x:v>
      </x:c>
      <x:c r="I7381" t="str">
        <x:v>4-6 years</x:v>
      </x:c>
      <x:c r="J7381" t="str">
        <x:v>OWN</x:v>
      </x:c>
      <x:c r="K7381" t="str">
        <x:v>debt_consolidation</x:v>
      </x:c>
      <x:c r="L7381" t="n">
        <x:v>0</x:v>
      </x:c>
      <x:c r="M7381" t="n">
        <x:v>0</x:v>
      </x:c>
      <x:c r="N7381" t="str">
        <x:v>Fully Paid</x:v>
      </x:c>
      <x:c r="O7381" t="str">
        <x:f>IF(D7381="","Unknown",IF(D7381&lt;25000,"&lt;$25k",IF(D7381&lt;50000,"$25k-$50k",IF(D7381&lt;75000,"$50k-$75k",IF(D7381&lt;100000,"$75k-$100k","$100k+")))))</x:f>
        <x:v>&lt;$25k</x:v>
      </x:c>
      <x:c r="P7381" t="str">
        <x:f>IF(E7381="","Unknown",IF(E7381&lt;10,"&lt;10",IF(E7381&lt;20,"10-&lt;20",IF(E7381&lt;25,"20-&lt;25",IF(E7381&lt;35,"25-&lt;35","35+")))))</x:f>
        <x:v>10-&lt;20</x:v>
      </x:c>
    </x:row>
    <x:row r="7382">
      <x:c r="A7382" t="str">
        <x:v>SYN0007381</x:v>
      </x:c>
      <x:c r="B7382" s="12" t="n">
        <x:v>42805</x:v>
      </x:c>
      <x:c r="C7382" s="18" t="n">
        <x:v>11288</x:v>
      </x:c>
      <x:c r="D7382" s="18" t="n">
        <x:v>19358</x:v>
      </x:c>
      <x:c r="E7382" s="18" t="n">
        <x:v>1.67</x:v>
      </x:c>
      <x:c r="F7382" s="18" t="n">
        <x:v>18.88</x:v>
      </x:c>
      <x:c r="G7382" t="n">
        <x:v>60</x:v>
      </x:c>
      <x:c r="H7382" t="str">
        <x:v>E</x:v>
      </x:c>
      <x:c r="I7382" t="str">
        <x:v>4-6 years</x:v>
      </x:c>
      <x:c r="J7382" t="str">
        <x:v>MORTGAGE</x:v>
      </x:c>
      <x:c r="K7382" t="str">
        <x:v>home_improvement</x:v>
      </x:c>
      <x:c r="L7382" t="n">
        <x:v>1</x:v>
      </x:c>
      <x:c r="M7382" t="n">
        <x:v>0</x:v>
      </x:c>
      <x:c r="N7382" t="str">
        <x:v>Fully Paid</x:v>
      </x:c>
      <x:c r="O7382" t="str">
        <x:f>IF(D7382="","Unknown",IF(D7382&lt;25000,"&lt;$25k",IF(D7382&lt;50000,"$25k-$50k",IF(D7382&lt;75000,"$50k-$75k",IF(D7382&lt;100000,"$75k-$100k","$100k+")))))</x:f>
        <x:v>&lt;$25k</x:v>
      </x:c>
      <x:c r="P7382" t="str">
        <x:f>IF(E7382="","Unknown",IF(E7382&lt;10,"&lt;10",IF(E7382&lt;20,"10-&lt;20",IF(E7382&lt;25,"20-&lt;25",IF(E7382&lt;35,"25-&lt;35","35+")))))</x:f>
        <x:v>&lt;10</x:v>
      </x:c>
    </x:row>
    <x:row r="7383">
      <x:c r="A7383" t="str">
        <x:v>SYN0007382</x:v>
      </x:c>
      <x:c r="B7383" s="12" t="n">
        <x:v>41815</x:v>
      </x:c>
      <x:c r="C7383" s="18" t="n">
        <x:v>8298</x:v>
      </x:c>
      <x:c r="D7383" s="18" t="n">
        <x:v>30692</x:v>
      </x:c>
      <x:c r="E7383" s="18" t="n">
        <x:v>9.56</x:v>
      </x:c>
      <x:c r="F7383" s="18" t="n">
        <x:v>10.44</x:v>
      </x:c>
      <x:c r="G7383" t="n">
        <x:v>60</x:v>
      </x:c>
      <x:c r="H7383" t="str">
        <x:v>C</x:v>
      </x:c>
      <x:c r="I7383" t="str">
        <x:v>&lt;1 year</x:v>
      </x:c>
      <x:c r="J7383" t="str">
        <x:v>RENT</x:v>
      </x:c>
      <x:c r="K7383" t="str">
        <x:v>major_purchase</x:v>
      </x:c>
      <x:c r="L7383" t="n">
        <x:v>1</x:v>
      </x:c>
      <x:c r="M7383" t="n">
        <x:v>0</x:v>
      </x:c>
      <x:c r="N7383" t="str">
        <x:v>Fully Paid</x:v>
      </x:c>
      <x:c r="O7383" t="str">
        <x:f>IF(D7383="","Unknown",IF(D7383&lt;25000,"&lt;$25k",IF(D7383&lt;50000,"$25k-$50k",IF(D7383&lt;75000,"$50k-$75k",IF(D7383&lt;100000,"$75k-$100k","$100k+")))))</x:f>
        <x:v>$25k-$50k</x:v>
      </x:c>
      <x:c r="P7383" t="str">
        <x:f>IF(E7383="","Unknown",IF(E7383&lt;10,"&lt;10",IF(E7383&lt;20,"10-&lt;20",IF(E7383&lt;25,"20-&lt;25",IF(E7383&lt;35,"25-&lt;35","35+")))))</x:f>
        <x:v>&lt;10</x:v>
      </x:c>
    </x:row>
    <x:row r="7384">
      <x:c r="A7384" t="str">
        <x:v>SYN0007383</x:v>
      </x:c>
      <x:c r="B7384" s="12" t="n">
        <x:v>41695</x:v>
      </x:c>
      <x:c r="C7384" s="18" t="n">
        <x:v>11303</x:v>
      </x:c>
      <x:c r="D7384" s="18" t="n">
        <x:v>119392</x:v>
      </x:c>
      <x:c r="E7384" s="18" t="n">
        <x:v>13.21</x:v>
      </x:c>
      <x:c r="F7384" s="18" t="n">
        <x:v>9.35</x:v>
      </x:c>
      <x:c r="G7384" t="n">
        <x:v>60</x:v>
      </x:c>
      <x:c r="H7384" t="str">
        <x:v>B</x:v>
      </x:c>
      <x:c r="I7384" t="str">
        <x:v>&lt;1 year</x:v>
      </x:c>
      <x:c r="J7384" t="str">
        <x:v>MORTGAGE</x:v>
      </x:c>
      <x:c r="K7384" t="str">
        <x:v>debt_consolidation</x:v>
      </x:c>
      <x:c r="L7384" t="n">
        <x:v>2</x:v>
      </x:c>
      <x:c r="M7384" t="n">
        <x:v>0</x:v>
      </x:c>
      <x:c r="N7384" t="str">
        <x:v>Fully Paid</x:v>
      </x:c>
      <x:c r="O7384" t="str">
        <x:f>IF(D7384="","Unknown",IF(D7384&lt;25000,"&lt;$25k",IF(D7384&lt;50000,"$25k-$50k",IF(D7384&lt;75000,"$50k-$75k",IF(D7384&lt;100000,"$75k-$100k","$100k+")))))</x:f>
        <x:v>$100k+</x:v>
      </x:c>
      <x:c r="P7384" t="str">
        <x:f>IF(E7384="","Unknown",IF(E7384&lt;10,"&lt;10",IF(E7384&lt;20,"10-&lt;20",IF(E7384&lt;25,"20-&lt;25",IF(E7384&lt;35,"25-&lt;35","35+")))))</x:f>
        <x:v>10-&lt;20</x:v>
      </x:c>
    </x:row>
    <x:row r="7385">
      <x:c r="A7385" t="str">
        <x:v>SYN0007384</x:v>
      </x:c>
      <x:c r="B7385" s="12" t="n">
        <x:v>42355</x:v>
      </x:c>
      <x:c r="C7385" s="18" t="n">
        <x:v>9666</x:v>
      </x:c>
      <x:c r="D7385" s="18" t="n">
        <x:v>59264</x:v>
      </x:c>
      <x:c r="E7385" s="18" t="n">
        <x:v>15.72</x:v>
      </x:c>
      <x:c r="F7385" s="18" t="n">
        <x:v>9.84</x:v>
      </x:c>
      <x:c r="G7385" t="n">
        <x:v>60</x:v>
      </x:c>
      <x:c r="H7385" t="str">
        <x:v>C</x:v>
      </x:c>
      <x:c r="I7385" t="str">
        <x:v>1-3 years</x:v>
      </x:c>
      <x:c r="J7385" t="str">
        <x:v>MORTGAGE</x:v>
      </x:c>
      <x:c r="K7385" t="str">
        <x:v>debt_consolidation</x:v>
      </x:c>
      <x:c r="L7385" t="n">
        <x:v>0</x:v>
      </x:c>
      <x:c r="M7385" t="n">
        <x:v>0</x:v>
      </x:c>
      <x:c r="N7385" t="str">
        <x:v>Fully Paid</x:v>
      </x:c>
      <x:c r="O7385" t="str">
        <x:f>IF(D7385="","Unknown",IF(D7385&lt;25000,"&lt;$25k",IF(D7385&lt;50000,"$25k-$50k",IF(D7385&lt;75000,"$50k-$75k",IF(D7385&lt;100000,"$75k-$100k","$100k+")))))</x:f>
        <x:v>$50k-$75k</x:v>
      </x:c>
      <x:c r="P7385" t="str">
        <x:f>IF(E7385="","Unknown",IF(E7385&lt;10,"&lt;10",IF(E7385&lt;20,"10-&lt;20",IF(E7385&lt;25,"20-&lt;25",IF(E7385&lt;35,"25-&lt;35","35+")))))</x:f>
        <x:v>10-&lt;20</x:v>
      </x:c>
    </x:row>
    <x:row r="7386">
      <x:c r="A7386" t="str">
        <x:v>SYN0007385</x:v>
      </x:c>
      <x:c r="B7386" s="12" t="n">
        <x:v>41365</x:v>
      </x:c>
      <x:c r="C7386" s="18" t="n">
        <x:v>10833</x:v>
      </x:c>
      <x:c r="D7386" s="18" t="n">
        <x:v>62230</x:v>
      </x:c>
      <x:c r="E7386" s="18" t="n">
        <x:v>34.62</x:v>
      </x:c>
      <x:c r="F7386" s="18" t="n">
        <x:v>5.4</x:v>
      </x:c>
      <x:c r="G7386" t="n">
        <x:v>60</x:v>
      </x:c>
      <x:c r="H7386" t="str">
        <x:v>B</x:v>
      </x:c>
      <x:c r="I7386" t="str">
        <x:v>&lt;1 year</x:v>
      </x:c>
      <x:c r="J7386" t="str">
        <x:v>RENT</x:v>
      </x:c>
      <x:c r="K7386" t="str">
        <x:v>debt_consolidation</x:v>
      </x:c>
      <x:c r="L7386" t="n">
        <x:v>0</x:v>
      </x:c>
      <x:c r="M7386" t="n">
        <x:v>0</x:v>
      </x:c>
      <x:c r="N7386" t="str">
        <x:v>Fully Paid</x:v>
      </x:c>
      <x:c r="O7386" t="str">
        <x:f>IF(D7386="","Unknown",IF(D7386&lt;25000,"&lt;$25k",IF(D7386&lt;50000,"$25k-$50k",IF(D7386&lt;75000,"$50k-$75k",IF(D7386&lt;100000,"$75k-$100k","$100k+")))))</x:f>
        <x:v>$50k-$75k</x:v>
      </x:c>
      <x:c r="P7386" t="str">
        <x:f>IF(E7386="","Unknown",IF(E7386&lt;10,"&lt;10",IF(E7386&lt;20,"10-&lt;20",IF(E7386&lt;25,"20-&lt;25",IF(E7386&lt;35,"25-&lt;35","35+")))))</x:f>
        <x:v>25-&lt;35</x:v>
      </x:c>
    </x:row>
    <x:row r="7387">
      <x:c r="A7387" t="str">
        <x:v>SYN0007386</x:v>
      </x:c>
      <x:c r="B7387" s="12" t="n">
        <x:v>43135</x:v>
      </x:c>
      <x:c r="C7387" s="18" t="n">
        <x:v>10634</x:v>
      </x:c>
      <x:c r="D7387" s="18" t="n">
        <x:v>81653</x:v>
      </x:c>
      <x:c r="E7387" s="18" t="n">
        <x:v>34.23</x:v>
      </x:c>
      <x:c r="F7387" s="18" t="n">
        <x:v>21.08</x:v>
      </x:c>
      <x:c r="G7387" t="n">
        <x:v>36</x:v>
      </x:c>
      <x:c r="H7387" t="str">
        <x:v>F</x:v>
      </x:c>
      <x:c r="I7387" t="str">
        <x:v>10+ years</x:v>
      </x:c>
      <x:c r="J7387" t="str">
        <x:v>MORTGAGE</x:v>
      </x:c>
      <x:c r="K7387" t="str">
        <x:v>other</x:v>
      </x:c>
      <x:c r="L7387" t="n">
        <x:v>1</x:v>
      </x:c>
      <x:c r="M7387" t="n">
        <x:v>0</x:v>
      </x:c>
      <x:c r="N7387" t="str">
        <x:v>Fully Paid</x:v>
      </x:c>
      <x:c r="O7387" t="str">
        <x:f>IF(D7387="","Unknown",IF(D7387&lt;25000,"&lt;$25k",IF(D7387&lt;50000,"$25k-$50k",IF(D7387&lt;75000,"$50k-$75k",IF(D7387&lt;100000,"$75k-$100k","$100k+")))))</x:f>
        <x:v>$75k-$100k</x:v>
      </x:c>
      <x:c r="P7387" t="str">
        <x:f>IF(E7387="","Unknown",IF(E7387&lt;10,"&lt;10",IF(E7387&lt;20,"10-&lt;20",IF(E7387&lt;25,"20-&lt;25",IF(E7387&lt;35,"25-&lt;35","35+")))))</x:f>
        <x:v>25-&lt;35</x:v>
      </x:c>
    </x:row>
    <x:row r="7388">
      <x:c r="A7388" t="str">
        <x:v>SYN0007387</x:v>
      </x:c>
      <x:c r="B7388" s="12" t="n">
        <x:v>42085</x:v>
      </x:c>
      <x:c r="C7388" s="18" t="n">
        <x:v>9755</x:v>
      </x:c>
      <x:c r="D7388" s="18" t="n">
        <x:v>54641</x:v>
      </x:c>
      <x:c r="E7388" s="18" t="n">
        <x:v>17.42</x:v>
      </x:c>
      <x:c r="F7388" s="18" t="n">
        <x:v>15.25</x:v>
      </x:c>
      <x:c r="G7388" t="n">
        <x:v>36</x:v>
      </x:c>
      <x:c r="H7388" t="str">
        <x:v>D</x:v>
      </x:c>
      <x:c r="I7388" t="str">
        <x:v>&lt;1 year</x:v>
      </x:c>
      <x:c r="J7388" t="str">
        <x:v>MORTGAGE</x:v>
      </x:c>
      <x:c r="K7388" t="str">
        <x:v>other</x:v>
      </x:c>
      <x:c r="L7388" t="n">
        <x:v>0</x:v>
      </x:c>
      <x:c r="M7388" t="n">
        <x:v>0</x:v>
      </x:c>
      <x:c r="N7388" t="str">
        <x:v>Fully Paid</x:v>
      </x:c>
      <x:c r="O7388" t="str">
        <x:f>IF(D7388="","Unknown",IF(D7388&lt;25000,"&lt;$25k",IF(D7388&lt;50000,"$25k-$50k",IF(D7388&lt;75000,"$50k-$75k",IF(D7388&lt;100000,"$75k-$100k","$100k+")))))</x:f>
        <x:v>$50k-$75k</x:v>
      </x:c>
      <x:c r="P7388" t="str">
        <x:f>IF(E7388="","Unknown",IF(E7388&lt;10,"&lt;10",IF(E7388&lt;20,"10-&lt;20",IF(E7388&lt;25,"20-&lt;25",IF(E7388&lt;35,"25-&lt;35","35+")))))</x:f>
        <x:v>10-&lt;20</x:v>
      </x:c>
    </x:row>
    <x:row r="7389">
      <x:c r="A7389" t="str">
        <x:v>SYN0007388</x:v>
      </x:c>
      <x:c r="B7389" s="12" t="n">
        <x:v>42265</x:v>
      </x:c>
      <x:c r="C7389" s="18" t="n">
        <x:v>23811</x:v>
      </x:c>
      <x:c r="D7389" s="18" t="n">
        <x:v>49136</x:v>
      </x:c>
      <x:c r="E7389" s="18" t="n">
        <x:v>17.15</x:v>
      </x:c>
      <x:c r="F7389" s="18" t="n">
        <x:v>18.5</x:v>
      </x:c>
      <x:c r="G7389" t="n">
        <x:v>36</x:v>
      </x:c>
      <x:c r="H7389" t="str">
        <x:v>D</x:v>
      </x:c>
      <x:c r="I7389" t="str">
        <x:v>4-6 years</x:v>
      </x:c>
      <x:c r="J7389" t="str">
        <x:v>MORTGAGE</x:v>
      </x:c>
      <x:c r="K7389" t="str">
        <x:v>credit_card</x:v>
      </x:c>
      <x:c r="L7389" t="n">
        <x:v>0</x:v>
      </x:c>
      <x:c r="M7389" t="n">
        <x:v>0</x:v>
      </x:c>
      <x:c r="N7389" t="str">
        <x:v>Fully Paid</x:v>
      </x:c>
      <x:c r="O7389" t="str">
        <x:f>IF(D7389="","Unknown",IF(D7389&lt;25000,"&lt;$25k",IF(D7389&lt;50000,"$25k-$50k",IF(D7389&lt;75000,"$50k-$75k",IF(D7389&lt;100000,"$75k-$100k","$100k+")))))</x:f>
        <x:v>$25k-$50k</x:v>
      </x:c>
      <x:c r="P7389" t="str">
        <x:f>IF(E7389="","Unknown",IF(E7389&lt;10,"&lt;10",IF(E7389&lt;20,"10-&lt;20",IF(E7389&lt;25,"20-&lt;25",IF(E7389&lt;35,"25-&lt;35","35+")))))</x:f>
        <x:v>10-&lt;20</x:v>
      </x:c>
    </x:row>
    <x:row r="7390">
      <x:c r="A7390" t="str">
        <x:v>SYN0007389</x:v>
      </x:c>
      <x:c r="B7390" s="12" t="n">
        <x:v>42985</x:v>
      </x:c>
      <x:c r="C7390" s="18" t="n">
        <x:v>19453</x:v>
      </x:c>
      <x:c r="D7390" s="18" t="n">
        <x:v>31730</x:v>
      </x:c>
      <x:c r="E7390" s="18" t="n">
        <x:v>23.32</x:v>
      </x:c>
      <x:c r="F7390" s="18" t="n">
        <x:v>11.44</x:v>
      </x:c>
      <x:c r="G7390" t="n">
        <x:v>60</x:v>
      </x:c>
      <x:c r="H7390" t="str">
        <x:v>D</x:v>
      </x:c>
      <x:c r="I7390" t="str">
        <x:v>10+ years</x:v>
      </x:c>
      <x:c r="J7390" t="str">
        <x:v>RENT</x:v>
      </x:c>
      <x:c r="K7390" t="str">
        <x:v>debt_consolidation</x:v>
      </x:c>
      <x:c r="L7390" t="n">
        <x:v>0</x:v>
      </x:c>
      <x:c r="M7390" t="n">
        <x:v>0</x:v>
      </x:c>
      <x:c r="N7390" t="str">
        <x:v>Fully Paid</x:v>
      </x:c>
      <x:c r="O7390" t="str">
        <x:f>IF(D7390="","Unknown",IF(D7390&lt;25000,"&lt;$25k",IF(D7390&lt;50000,"$25k-$50k",IF(D7390&lt;75000,"$50k-$75k",IF(D7390&lt;100000,"$75k-$100k","$100k+")))))</x:f>
        <x:v>$25k-$50k</x:v>
      </x:c>
      <x:c r="P7390" t="str">
        <x:f>IF(E7390="","Unknown",IF(E7390&lt;10,"&lt;10",IF(E7390&lt;20,"10-&lt;20",IF(E7390&lt;25,"20-&lt;25",IF(E7390&lt;35,"25-&lt;35","35+")))))</x:f>
        <x:v>20-&lt;25</x:v>
      </x:c>
    </x:row>
    <x:row r="7391">
      <x:c r="A7391" t="str">
        <x:v>SYN0007390</x:v>
      </x:c>
      <x:c r="B7391" s="12" t="n">
        <x:v>43195</x:v>
      </x:c>
      <x:c r="C7391" s="18" t="n">
        <x:v>7367</x:v>
      </x:c>
      <x:c r="D7391" s="18" t="n">
        <x:v>56963</x:v>
      </x:c>
      <x:c r="E7391" s="18" t="n">
        <x:v>9.7</x:v>
      </x:c>
      <x:c r="F7391" s="18" t="n">
        <x:v>10.72</x:v>
      </x:c>
      <x:c r="G7391" t="n">
        <x:v>60</x:v>
      </x:c>
      <x:c r="H7391" t="str">
        <x:v>B</x:v>
      </x:c>
      <x:c r="I7391" t="str">
        <x:v>10+ years</x:v>
      </x:c>
      <x:c r="J7391" t="str">
        <x:v>RENT</x:v>
      </x:c>
      <x:c r="K7391" t="str">
        <x:v>credit_card</x:v>
      </x:c>
      <x:c r="L7391" t="n">
        <x:v>0</x:v>
      </x:c>
      <x:c r="M7391" t="n">
        <x:v>0</x:v>
      </x:c>
      <x:c r="N7391" t="str">
        <x:v>Fully Paid</x:v>
      </x:c>
      <x:c r="O7391" t="str">
        <x:f>IF(D7391="","Unknown",IF(D7391&lt;25000,"&lt;$25k",IF(D7391&lt;50000,"$25k-$50k",IF(D7391&lt;75000,"$50k-$75k",IF(D7391&lt;100000,"$75k-$100k","$100k+")))))</x:f>
        <x:v>$50k-$75k</x:v>
      </x:c>
      <x:c r="P7391" t="str">
        <x:f>IF(E7391="","Unknown",IF(E7391&lt;10,"&lt;10",IF(E7391&lt;20,"10-&lt;20",IF(E7391&lt;25,"20-&lt;25",IF(E7391&lt;35,"25-&lt;35","35+")))))</x:f>
        <x:v>&lt;10</x:v>
      </x:c>
    </x:row>
    <x:row r="7392">
      <x:c r="A7392" t="str">
        <x:v>SYN0007391</x:v>
      </x:c>
      <x:c r="B7392" s="12" t="n">
        <x:v>43315</x:v>
      </x:c>
      <x:c r="C7392" s="18" t="n">
        <x:v>19464</x:v>
      </x:c>
      <x:c r="D7392" s="18" t="n">
        <x:v>44096</x:v>
      </x:c>
      <x:c r="E7392" s="18" t="n">
        <x:v>16.84</x:v>
      </x:c>
      <x:c r="F7392" s="18" t="n">
        <x:v>6.15</x:v>
      </x:c>
      <x:c r="G7392" t="n">
        <x:v>36</x:v>
      </x:c>
      <x:c r="H7392" t="str">
        <x:v>B</x:v>
      </x:c>
      <x:c r="I7392" t="str">
        <x:v>1-3 years</x:v>
      </x:c>
      <x:c r="J7392" t="str">
        <x:v>RENT</x:v>
      </x:c>
      <x:c r="K7392" t="str">
        <x:v>debt_consolidation</x:v>
      </x:c>
      <x:c r="L7392" t="n">
        <x:v>0</x:v>
      </x:c>
      <x:c r="M7392" t="n">
        <x:v>0</x:v>
      </x:c>
      <x:c r="N7392" t="str">
        <x:v>Fully Paid</x:v>
      </x:c>
      <x:c r="O7392" t="str">
        <x:f>IF(D7392="","Unknown",IF(D7392&lt;25000,"&lt;$25k",IF(D7392&lt;50000,"$25k-$50k",IF(D7392&lt;75000,"$50k-$75k",IF(D7392&lt;100000,"$75k-$100k","$100k+")))))</x:f>
        <x:v>$25k-$50k</x:v>
      </x:c>
      <x:c r="P7392" t="str">
        <x:f>IF(E7392="","Unknown",IF(E7392&lt;10,"&lt;10",IF(E7392&lt;20,"10-&lt;20",IF(E7392&lt;25,"20-&lt;25",IF(E7392&lt;35,"25-&lt;35","35+")))))</x:f>
        <x:v>10-&lt;20</x:v>
      </x:c>
    </x:row>
    <x:row r="7393">
      <x:c r="A7393" t="str">
        <x:v>SYN0007392</x:v>
      </x:c>
      <x:c r="B7393" s="12" t="n">
        <x:v>41305</x:v>
      </x:c>
      <x:c r="C7393" s="18" t="n">
        <x:v>13124</x:v>
      </x:c>
      <x:c r="D7393" s="18" t="n">
        <x:v>56776</x:v>
      </x:c>
      <x:c r="E7393" s="18" t="n">
        <x:v>24.91</x:v>
      </x:c>
      <x:c r="F7393" s="18" t="n">
        <x:v>23.31</x:v>
      </x:c>
      <x:c r="G7393" t="n">
        <x:v>36</x:v>
      </x:c>
      <x:c r="H7393" t="str">
        <x:v>G</x:v>
      </x:c>
      <x:c r="I7393" t="str">
        <x:v>7-9 years</x:v>
      </x:c>
      <x:c r="J7393" t="str">
        <x:v>RENT</x:v>
      </x:c>
      <x:c r="K7393" t="str">
        <x:v>major_purchase</x:v>
      </x:c>
      <x:c r="L7393" t="n">
        <x:v>1</x:v>
      </x:c>
      <x:c r="M7393" t="n">
        <x:v>0</x:v>
      </x:c>
      <x:c r="N7393" t="str">
        <x:v>Fully Paid</x:v>
      </x:c>
      <x:c r="O7393" t="str">
        <x:f>IF(D7393="","Unknown",IF(D7393&lt;25000,"&lt;$25k",IF(D7393&lt;50000,"$25k-$50k",IF(D7393&lt;75000,"$50k-$75k",IF(D7393&lt;100000,"$75k-$100k","$100k+")))))</x:f>
        <x:v>$50k-$75k</x:v>
      </x:c>
      <x:c r="P7393" t="str">
        <x:f>IF(E7393="","Unknown",IF(E7393&lt;10,"&lt;10",IF(E7393&lt;20,"10-&lt;20",IF(E7393&lt;25,"20-&lt;25",IF(E7393&lt;35,"25-&lt;35","35+")))))</x:f>
        <x:v>20-&lt;25</x:v>
      </x:c>
    </x:row>
    <x:row r="7394">
      <x:c r="A7394" t="str">
        <x:v>SYN0007393</x:v>
      </x:c>
      <x:c r="B7394" s="12" t="n">
        <x:v>41935</x:v>
      </x:c>
      <x:c r="C7394" s="18" t="n">
        <x:v>12375</x:v>
      </x:c>
      <x:c r="D7394" s="18" t="n">
        <x:v>41597</x:v>
      </x:c>
      <x:c r="E7394" s="18" t="n">
        <x:v>8.02</x:v>
      </x:c>
      <x:c r="F7394" s="18" t="n">
        <x:v>7.26</x:v>
      </x:c>
      <x:c r="G7394" t="n">
        <x:v>36</x:v>
      </x:c>
      <x:c r="H7394" t="str">
        <x:v>A</x:v>
      </x:c>
      <x:c r="I7394" t="str">
        <x:v>10+ years</x:v>
      </x:c>
      <x:c r="J7394" t="str">
        <x:v>RENT</x:v>
      </x:c>
      <x:c r="K7394" t="str">
        <x:v>credit_card</x:v>
      </x:c>
      <x:c r="L7394" t="n">
        <x:v>0</x:v>
      </x:c>
      <x:c r="M7394" t="n">
        <x:v>0</x:v>
      </x:c>
      <x:c r="N7394" t="str">
        <x:v>Fully Paid</x:v>
      </x:c>
      <x:c r="O7394" t="str">
        <x:f>IF(D7394="","Unknown",IF(D7394&lt;25000,"&lt;$25k",IF(D7394&lt;50000,"$25k-$50k",IF(D7394&lt;75000,"$50k-$75k",IF(D7394&lt;100000,"$75k-$100k","$100k+")))))</x:f>
        <x:v>$25k-$50k</x:v>
      </x:c>
      <x:c r="P7394" t="str">
        <x:f>IF(E7394="","Unknown",IF(E7394&lt;10,"&lt;10",IF(E7394&lt;20,"10-&lt;20",IF(E7394&lt;25,"20-&lt;25",IF(E7394&lt;35,"25-&lt;35","35+")))))</x:f>
        <x:v>&lt;10</x:v>
      </x:c>
    </x:row>
    <x:row r="7395">
      <x:c r="A7395" t="str">
        <x:v>SYN0007394</x:v>
      </x:c>
      <x:c r="B7395" s="12" t="n">
        <x:v>43105</x:v>
      </x:c>
      <x:c r="C7395" s="18" t="n">
        <x:v>16537</x:v>
      </x:c>
      <x:c r="D7395" s="18" t="n">
        <x:v>139358</x:v>
      </x:c>
      <x:c r="E7395" s="18" t="n">
        <x:v>29.62</x:v>
      </x:c>
      <x:c r="F7395" s="18" t="n">
        <x:v>12.99</x:v>
      </x:c>
      <x:c r="G7395" t="n">
        <x:v>36</x:v>
      </x:c>
      <x:c r="H7395" t="str">
        <x:v>C</x:v>
      </x:c>
      <x:c r="I7395" t="str">
        <x:v>1-3 years</x:v>
      </x:c>
      <x:c r="J7395" t="str">
        <x:v>MORTGAGE</x:v>
      </x:c>
      <x:c r="K7395" t="str">
        <x:v>home_improvement</x:v>
      </x:c>
      <x:c r="L7395" t="n">
        <x:v>0</x:v>
      </x:c>
      <x:c r="M7395" t="n">
        <x:v>0</x:v>
      </x:c>
      <x:c r="N7395" t="str">
        <x:v>Fully Paid</x:v>
      </x:c>
      <x:c r="O7395" t="str">
        <x:f>IF(D7395="","Unknown",IF(D7395&lt;25000,"&lt;$25k",IF(D7395&lt;50000,"$25k-$50k",IF(D7395&lt;75000,"$50k-$75k",IF(D7395&lt;100000,"$75k-$100k","$100k+")))))</x:f>
        <x:v>$100k+</x:v>
      </x:c>
      <x:c r="P7395" t="str">
        <x:f>IF(E7395="","Unknown",IF(E7395&lt;10,"&lt;10",IF(E7395&lt;20,"10-&lt;20",IF(E7395&lt;25,"20-&lt;25",IF(E7395&lt;35,"25-&lt;35","35+")))))</x:f>
        <x:v>25-&lt;35</x:v>
      </x:c>
    </x:row>
    <x:row r="7396">
      <x:c r="A7396" t="str">
        <x:v>SYN0007395</x:v>
      </x:c>
      <x:c r="B7396" s="12" t="n">
        <x:v>41485</x:v>
      </x:c>
      <x:c r="C7396" s="18" t="n">
        <x:v>15715</x:v>
      </x:c>
      <x:c r="D7396" s="18" t="n">
        <x:v>79089</x:v>
      </x:c>
      <x:c r="E7396" s="18" t="n">
        <x:v>16.3</x:v>
      </x:c>
      <x:c r="F7396" s="18" t="n">
        <x:v>27.08</x:v>
      </x:c>
      <x:c r="G7396" t="n">
        <x:v>36</x:v>
      </x:c>
      <x:c r="H7396" t="str">
        <x:v>G</x:v>
      </x:c>
      <x:c r="I7396" t="str">
        <x:v>4-6 years</x:v>
      </x:c>
      <x:c r="J7396" t="str">
        <x:v>RENT</x:v>
      </x:c>
      <x:c r="K7396" t="str">
        <x:v>debt_consolidation</x:v>
      </x:c>
      <x:c r="L7396" t="n">
        <x:v>1</x:v>
      </x:c>
      <x:c r="M7396" t="n">
        <x:v>1</x:v>
      </x:c>
      <x:c r="N7396" t="str">
        <x:v>Charged Off</x:v>
      </x:c>
      <x:c r="O7396" t="str">
        <x:f>IF(D7396="","Unknown",IF(D7396&lt;25000,"&lt;$25k",IF(D7396&lt;50000,"$25k-$50k",IF(D7396&lt;75000,"$50k-$75k",IF(D7396&lt;100000,"$75k-$100k","$100k+")))))</x:f>
        <x:v>$75k-$100k</x:v>
      </x:c>
      <x:c r="P7396" t="str">
        <x:f>IF(E7396="","Unknown",IF(E7396&lt;10,"&lt;10",IF(E7396&lt;20,"10-&lt;20",IF(E7396&lt;25,"20-&lt;25",IF(E7396&lt;35,"25-&lt;35","35+")))))</x:f>
        <x:v>10-&lt;20</x:v>
      </x:c>
    </x:row>
    <x:row r="7397">
      <x:c r="A7397" t="str">
        <x:v>SYN0007396</x:v>
      </x:c>
      <x:c r="B7397" s="12" t="n">
        <x:v>42865</x:v>
      </x:c>
      <x:c r="C7397" s="18" t="n">
        <x:v>14214</x:v>
      </x:c>
      <x:c r="D7397" s="18" t="n">
        <x:v>38420</x:v>
      </x:c>
      <x:c r="E7397" s="18" t="n">
        <x:v>24.57</x:v>
      </x:c>
      <x:c r="F7397" s="18" t="n">
        <x:v>10.92</x:v>
      </x:c>
      <x:c r="G7397" t="n">
        <x:v>36</x:v>
      </x:c>
      <x:c r="H7397" t="str">
        <x:v>B</x:v>
      </x:c>
      <x:c r="I7397" t="str">
        <x:v>7-9 years</x:v>
      </x:c>
      <x:c r="J7397" t="str">
        <x:v>MORTGAGE</x:v>
      </x:c>
      <x:c r="K7397" t="str">
        <x:v>medical</x:v>
      </x:c>
      <x:c r="L7397" t="n">
        <x:v>0</x:v>
      </x:c>
      <x:c r="M7397" t="n">
        <x:v>0</x:v>
      </x:c>
      <x:c r="N7397" t="str">
        <x:v>Fully Paid</x:v>
      </x:c>
      <x:c r="O7397" t="str">
        <x:f>IF(D7397="","Unknown",IF(D7397&lt;25000,"&lt;$25k",IF(D7397&lt;50000,"$25k-$50k",IF(D7397&lt;75000,"$50k-$75k",IF(D7397&lt;100000,"$75k-$100k","$100k+")))))</x:f>
        <x:v>$25k-$50k</x:v>
      </x:c>
      <x:c r="P7397" t="str">
        <x:f>IF(E7397="","Unknown",IF(E7397&lt;10,"&lt;10",IF(E7397&lt;20,"10-&lt;20",IF(E7397&lt;25,"20-&lt;25",IF(E7397&lt;35,"25-&lt;35","35+")))))</x:f>
        <x:v>20-&lt;25</x:v>
      </x:c>
    </x:row>
    <x:row r="7398">
      <x:c r="A7398" t="str">
        <x:v>SYN0007397</x:v>
      </x:c>
      <x:c r="B7398" s="12" t="n">
        <x:v>42595</x:v>
      </x:c>
      <x:c r="C7398" s="18" t="n">
        <x:v>16414</x:v>
      </x:c>
      <x:c r="D7398" s="18" t="n">
        <x:v>33999</x:v>
      </x:c>
      <x:c r="E7398" s="18" t="n">
        <x:v>11.8</x:v>
      </x:c>
      <x:c r="F7398" s="18" t="n">
        <x:v>8.14</x:v>
      </x:c>
      <x:c r="G7398" t="n">
        <x:v>60</x:v>
      </x:c>
      <x:c r="H7398" t="str">
        <x:v>B</x:v>
      </x:c>
      <x:c r="I7398" t="str">
        <x:v>10+ years</x:v>
      </x:c>
      <x:c r="J7398" t="str">
        <x:v>MORTGAGE</x:v>
      </x:c>
      <x:c r="K7398" t="str">
        <x:v>major_purchase</x:v>
      </x:c>
      <x:c r="L7398" t="n">
        <x:v>0</x:v>
      </x:c>
      <x:c r="M7398" t="n">
        <x:v>0</x:v>
      </x:c>
      <x:c r="N7398" t="str">
        <x:v>Fully Paid</x:v>
      </x:c>
      <x:c r="O7398" t="str">
        <x:f>IF(D7398="","Unknown",IF(D7398&lt;25000,"&lt;$25k",IF(D7398&lt;50000,"$25k-$50k",IF(D7398&lt;75000,"$50k-$75k",IF(D7398&lt;100000,"$75k-$100k","$100k+")))))</x:f>
        <x:v>$25k-$50k</x:v>
      </x:c>
      <x:c r="P7398" t="str">
        <x:f>IF(E7398="","Unknown",IF(E7398&lt;10,"&lt;10",IF(E7398&lt;20,"10-&lt;20",IF(E7398&lt;25,"20-&lt;25",IF(E7398&lt;35,"25-&lt;35","35+")))))</x:f>
        <x:v>10-&lt;20</x:v>
      </x:c>
    </x:row>
    <x:row r="7399">
      <x:c r="A7399" t="str">
        <x:v>SYN0007398</x:v>
      </x:c>
      <x:c r="B7399" s="12" t="n">
        <x:v>41905</x:v>
      </x:c>
      <x:c r="C7399" s="18" t="n">
        <x:v>4979</x:v>
      </x:c>
      <x:c r="D7399" s="18" t="n">
        <x:v>196925</x:v>
      </x:c>
      <x:c r="E7399" s="18" t="n">
        <x:v>25.54</x:v>
      </x:c>
      <x:c r="F7399" s="18" t="n">
        <x:v>6.07</x:v>
      </x:c>
      <x:c r="G7399" t="n">
        <x:v>36</x:v>
      </x:c>
      <x:c r="H7399" t="str">
        <x:v>A</x:v>
      </x:c>
      <x:c r="I7399" t="str">
        <x:v>7-9 years</x:v>
      </x:c>
      <x:c r="J7399" t="str">
        <x:v>MORTGAGE</x:v>
      </x:c>
      <x:c r="K7399" t="str">
        <x:v>home_improvement</x:v>
      </x:c>
      <x:c r="L7399" t="n">
        <x:v>2</x:v>
      </x:c>
      <x:c r="M7399" t="n">
        <x:v>1</x:v>
      </x:c>
      <x:c r="N7399" t="str">
        <x:v>Charged Off</x:v>
      </x:c>
      <x:c r="O7399" t="str">
        <x:f>IF(D7399="","Unknown",IF(D7399&lt;25000,"&lt;$25k",IF(D7399&lt;50000,"$25k-$50k",IF(D7399&lt;75000,"$50k-$75k",IF(D7399&lt;100000,"$75k-$100k","$100k+")))))</x:f>
        <x:v>$100k+</x:v>
      </x:c>
      <x:c r="P7399" t="str">
        <x:f>IF(E7399="","Unknown",IF(E7399&lt;10,"&lt;10",IF(E7399&lt;20,"10-&lt;20",IF(E7399&lt;25,"20-&lt;25",IF(E7399&lt;35,"25-&lt;35","35+")))))</x:f>
        <x:v>25-&lt;35</x:v>
      </x:c>
    </x:row>
    <x:row r="7400">
      <x:c r="A7400" t="str">
        <x:v>SYN0007399</x:v>
      </x:c>
      <x:c r="B7400" s="12" t="n">
        <x:v>42685</x:v>
      </x:c>
      <x:c r="C7400" s="18" t="n">
        <x:v>19142</x:v>
      </x:c>
      <x:c r="D7400" s="18" t="n">
        <x:v>33840</x:v>
      </x:c>
      <x:c r="E7400" s="18" t="n">
        <x:v>7.59</x:v>
      </x:c>
      <x:c r="F7400" s="18" t="n">
        <x:v>12.78</x:v>
      </x:c>
      <x:c r="G7400" t="n">
        <x:v>36</x:v>
      </x:c>
      <x:c r="H7400" t="str">
        <x:v>C</x:v>
      </x:c>
      <x:c r="I7400" t="str">
        <x:v>4-6 years</x:v>
      </x:c>
      <x:c r="J7400" t="str">
        <x:v>OWN</x:v>
      </x:c>
      <x:c r="K7400" t="str">
        <x:v>debt_consolidation</x:v>
      </x:c>
      <x:c r="L7400" t="n">
        <x:v>1</x:v>
      </x:c>
      <x:c r="M7400" t="n">
        <x:v>0</x:v>
      </x:c>
      <x:c r="N7400" t="str">
        <x:v>Fully Paid</x:v>
      </x:c>
      <x:c r="O7400" t="str">
        <x:f>IF(D7400="","Unknown",IF(D7400&lt;25000,"&lt;$25k",IF(D7400&lt;50000,"$25k-$50k",IF(D7400&lt;75000,"$50k-$75k",IF(D7400&lt;100000,"$75k-$100k","$100k+")))))</x:f>
        <x:v>$25k-$50k</x:v>
      </x:c>
      <x:c r="P7400" t="str">
        <x:f>IF(E7400="","Unknown",IF(E7400&lt;10,"&lt;10",IF(E7400&lt;20,"10-&lt;20",IF(E7400&lt;25,"20-&lt;25",IF(E7400&lt;35,"25-&lt;35","35+")))))</x:f>
        <x:v>&lt;10</x:v>
      </x:c>
    </x:row>
    <x:row r="7401">
      <x:c r="A7401" t="str">
        <x:v>SYN0007400</x:v>
      </x:c>
      <x:c r="B7401" s="12" t="n">
        <x:v>42025</x:v>
      </x:c>
      <x:c r="C7401" s="18" t="n">
        <x:v>29331</x:v>
      </x:c>
      <x:c r="D7401" s="18" t="n">
        <x:v>40408</x:v>
      </x:c>
      <x:c r="E7401" s="18" t="n">
        <x:v>14.64</x:v>
      </x:c>
      <x:c r="F7401" s="18" t="n">
        <x:v>6.44</x:v>
      </x:c>
      <x:c r="G7401" t="n">
        <x:v>36</x:v>
      </x:c>
      <x:c r="H7401" t="str">
        <x:v>B</x:v>
      </x:c>
      <x:c r="I7401" t="str">
        <x:v>10+ years</x:v>
      </x:c>
      <x:c r="J7401" t="str">
        <x:v>RENT</x:v>
      </x:c>
      <x:c r="K7401" t="str">
        <x:v>debt_consolidation</x:v>
      </x:c>
      <x:c r="L7401" t="n">
        <x:v>0</x:v>
      </x:c>
      <x:c r="M7401" t="n">
        <x:v>0</x:v>
      </x:c>
      <x:c r="N7401" t="str">
        <x:v>Fully Paid</x:v>
      </x:c>
      <x:c r="O7401" t="str">
        <x:f>IF(D7401="","Unknown",IF(D7401&lt;25000,"&lt;$25k",IF(D7401&lt;50000,"$25k-$50k",IF(D7401&lt;75000,"$50k-$75k",IF(D7401&lt;100000,"$75k-$100k","$100k+")))))</x:f>
        <x:v>$25k-$50k</x:v>
      </x:c>
      <x:c r="P7401" t="str">
        <x:f>IF(E7401="","Unknown",IF(E7401&lt;10,"&lt;10",IF(E7401&lt;20,"10-&lt;20",IF(E7401&lt;25,"20-&lt;25",IF(E7401&lt;35,"25-&lt;35","35+")))))</x:f>
        <x:v>10-&lt;20</x:v>
      </x:c>
    </x:row>
    <x:row r="7402">
      <x:c r="A7402" t="str">
        <x:v>SYN0007401</x:v>
      </x:c>
      <x:c r="B7402" s="12" t="n">
        <x:v>42385</x:v>
      </x:c>
      <x:c r="C7402" s="18" t="n">
        <x:v>15307</x:v>
      </x:c>
      <x:c r="D7402" s="18" t="n">
        <x:v>61352</x:v>
      </x:c>
      <x:c r="E7402" s="18" t="n">
        <x:v>29.23</x:v>
      </x:c>
      <x:c r="F7402" s="18" t="n">
        <x:v>21.29</x:v>
      </x:c>
      <x:c r="G7402" t="n">
        <x:v>60</x:v>
      </x:c>
      <x:c r="H7402" t="str">
        <x:v>F</x:v>
      </x:c>
      <x:c r="I7402" t="str">
        <x:v>4-6 years</x:v>
      </x:c>
      <x:c r="J7402" t="str">
        <x:v>MORTGAGE</x:v>
      </x:c>
      <x:c r="K7402" t="str">
        <x:v>major_purchase</x:v>
      </x:c>
      <x:c r="L7402" t="n">
        <x:v>0</x:v>
      </x:c>
      <x:c r="M7402" t="n">
        <x:v>0</x:v>
      </x:c>
      <x:c r="N7402" t="str">
        <x:v>Fully Paid</x:v>
      </x:c>
      <x:c r="O7402" t="str">
        <x:f>IF(D7402="","Unknown",IF(D7402&lt;25000,"&lt;$25k",IF(D7402&lt;50000,"$25k-$50k",IF(D7402&lt;75000,"$50k-$75k",IF(D7402&lt;100000,"$75k-$100k","$100k+")))))</x:f>
        <x:v>$50k-$75k</x:v>
      </x:c>
      <x:c r="P7402" t="str">
        <x:f>IF(E7402="","Unknown",IF(E7402&lt;10,"&lt;10",IF(E7402&lt;20,"10-&lt;20",IF(E7402&lt;25,"20-&lt;25",IF(E7402&lt;35,"25-&lt;35","35+")))))</x:f>
        <x:v>25-&lt;35</x:v>
      </x:c>
    </x:row>
    <x:row r="7403">
      <x:c r="A7403" t="str">
        <x:v>SYN0007402</x:v>
      </x:c>
      <x:c r="B7403" s="12" t="n">
        <x:v>43225</x:v>
      </x:c>
      <x:c r="C7403" s="18" t="n">
        <x:v>5683</x:v>
      </x:c>
      <x:c r="D7403" s="18" t="n">
        <x:v>25720</x:v>
      </x:c>
      <x:c r="E7403" s="18" t="n">
        <x:v>9.99</x:v>
      </x:c>
      <x:c r="F7403" s="18" t="n">
        <x:v>5.01</x:v>
      </x:c>
      <x:c r="G7403" t="n">
        <x:v>60</x:v>
      </x:c>
      <x:c r="H7403" t="str">
        <x:v>A</x:v>
      </x:c>
      <x:c r="I7403" t="str">
        <x:v>10+ years</x:v>
      </x:c>
      <x:c r="J7403" t="str">
        <x:v>MORTGAGE</x:v>
      </x:c>
      <x:c r="K7403" t="str">
        <x:v>major_purchase</x:v>
      </x:c>
      <x:c r="L7403" t="n">
        <x:v>0</x:v>
      </x:c>
      <x:c r="M7403" t="n">
        <x:v>0</x:v>
      </x:c>
      <x:c r="N7403" t="str">
        <x:v>Fully Paid</x:v>
      </x:c>
      <x:c r="O7403" t="str">
        <x:f>IF(D7403="","Unknown",IF(D7403&lt;25000,"&lt;$25k",IF(D7403&lt;50000,"$25k-$50k",IF(D7403&lt;75000,"$50k-$75k",IF(D7403&lt;100000,"$75k-$100k","$100k+")))))</x:f>
        <x:v>$25k-$50k</x:v>
      </x:c>
      <x:c r="P7403" t="str">
        <x:f>IF(E7403="","Unknown",IF(E7403&lt;10,"&lt;10",IF(E7403&lt;20,"10-&lt;20",IF(E7403&lt;25,"20-&lt;25",IF(E7403&lt;35,"25-&lt;35","35+")))))</x:f>
        <x:v>&lt;10</x:v>
      </x:c>
    </x:row>
    <x:row r="7404">
      <x:c r="A7404" t="str">
        <x:v>SYN0007403</x:v>
      </x:c>
      <x:c r="B7404" s="12" t="n">
        <x:v>42745</x:v>
      </x:c>
      <x:c r="C7404" s="18" t="n">
        <x:v>6715</x:v>
      </x:c>
      <x:c r="D7404" s="18" t="n">
        <x:v>23644</x:v>
      </x:c>
      <x:c r="E7404" s="18" t="n">
        <x:v>15.03</x:v>
      </x:c>
      <x:c r="F7404" s="18" t="n">
        <x:v>5</x:v>
      </x:c>
      <x:c r="G7404" t="n">
        <x:v>36</x:v>
      </x:c>
      <x:c r="H7404" t="str">
        <x:v>A</x:v>
      </x:c>
      <x:c r="I7404" t="str">
        <x:v>1-3 years</x:v>
      </x:c>
      <x:c r="J7404" t="str">
        <x:v>MORTGAGE</x:v>
      </x:c>
      <x:c r="K7404" t="str">
        <x:v>debt_consolidation</x:v>
      </x:c>
      <x:c r="L7404" t="n">
        <x:v>0</x:v>
      </x:c>
      <x:c r="M7404" t="n">
        <x:v>0</x:v>
      </x:c>
      <x:c r="N7404" t="str">
        <x:v>Fully Paid</x:v>
      </x:c>
      <x:c r="O7404" t="str">
        <x:f>IF(D7404="","Unknown",IF(D7404&lt;25000,"&lt;$25k",IF(D7404&lt;50000,"$25k-$50k",IF(D7404&lt;75000,"$50k-$75k",IF(D7404&lt;100000,"$75k-$100k","$100k+")))))</x:f>
        <x:v>&lt;$25k</x:v>
      </x:c>
      <x:c r="P7404" t="str">
        <x:f>IF(E7404="","Unknown",IF(E7404&lt;10,"&lt;10",IF(E7404&lt;20,"10-&lt;20",IF(E7404&lt;25,"20-&lt;25",IF(E7404&lt;35,"25-&lt;35","35+")))))</x:f>
        <x:v>10-&lt;20</x:v>
      </x:c>
    </x:row>
    <x:row r="7405">
      <x:c r="A7405" t="str">
        <x:v>SYN0007404</x:v>
      </x:c>
      <x:c r="B7405" s="12" t="n">
        <x:v>42085</x:v>
      </x:c>
      <x:c r="C7405" s="18" t="n">
        <x:v>13544</x:v>
      </x:c>
      <x:c r="D7405" s="18" t="n">
        <x:v>51824</x:v>
      </x:c>
      <x:c r="E7405" s="18" t="n">
        <x:v>28.4</x:v>
      </x:c>
      <x:c r="F7405" s="18" t="n">
        <x:v>22.41</x:v>
      </x:c>
      <x:c r="G7405" t="n">
        <x:v>36</x:v>
      </x:c>
      <x:c r="H7405" t="str">
        <x:v>F</x:v>
      </x:c>
      <x:c r="I7405" t="str">
        <x:v>10+ years</x:v>
      </x:c>
      <x:c r="J7405" t="str">
        <x:v>RENT</x:v>
      </x:c>
      <x:c r="K7405" t="str">
        <x:v>debt_consolidation</x:v>
      </x:c>
      <x:c r="L7405" t="n">
        <x:v>3</x:v>
      </x:c>
      <x:c r="M7405" t="n">
        <x:v>0</x:v>
      </x:c>
      <x:c r="N7405" t="str">
        <x:v>Fully Paid</x:v>
      </x:c>
      <x:c r="O7405" t="str">
        <x:f>IF(D7405="","Unknown",IF(D7405&lt;25000,"&lt;$25k",IF(D7405&lt;50000,"$25k-$50k",IF(D7405&lt;75000,"$50k-$75k",IF(D7405&lt;100000,"$75k-$100k","$100k+")))))</x:f>
        <x:v>$50k-$75k</x:v>
      </x:c>
      <x:c r="P7405" t="str">
        <x:f>IF(E7405="","Unknown",IF(E7405&lt;10,"&lt;10",IF(E7405&lt;20,"10-&lt;20",IF(E7405&lt;25,"20-&lt;25",IF(E7405&lt;35,"25-&lt;35","35+")))))</x:f>
        <x:v>25-&lt;35</x:v>
      </x:c>
    </x:row>
    <x:row r="7406">
      <x:c r="A7406" t="str">
        <x:v>SYN0007405</x:v>
      </x:c>
      <x:c r="B7406" s="12" t="n">
        <x:v>42205</x:v>
      </x:c>
      <x:c r="C7406" s="18" t="n">
        <x:v>11021</x:v>
      </x:c>
      <x:c r="D7406" s="18" t="n">
        <x:v>170940</x:v>
      </x:c>
      <x:c r="E7406" s="18" t="n">
        <x:v>32.7</x:v>
      </x:c>
      <x:c r="F7406" s="18" t="n">
        <x:v>10.91</x:v>
      </x:c>
      <x:c r="G7406" t="n">
        <x:v>36</x:v>
      </x:c>
      <x:c r="H7406" t="str">
        <x:v>C</x:v>
      </x:c>
      <x:c r="I7406" t="str">
        <x:v>10+ years</x:v>
      </x:c>
      <x:c r="J7406" t="str">
        <x:v>RENT</x:v>
      </x:c>
      <x:c r="K7406" t="str">
        <x:v>medical</x:v>
      </x:c>
      <x:c r="L7406" t="n">
        <x:v>0</x:v>
      </x:c>
      <x:c r="M7406" t="n">
        <x:v>0</x:v>
      </x:c>
      <x:c r="N7406" t="str">
        <x:v>Fully Paid</x:v>
      </x:c>
      <x:c r="O7406" t="str">
        <x:f>IF(D7406="","Unknown",IF(D7406&lt;25000,"&lt;$25k",IF(D7406&lt;50000,"$25k-$50k",IF(D7406&lt;75000,"$50k-$75k",IF(D7406&lt;100000,"$75k-$100k","$100k+")))))</x:f>
        <x:v>$100k+</x:v>
      </x:c>
      <x:c r="P7406" t="str">
        <x:f>IF(E7406="","Unknown",IF(E7406&lt;10,"&lt;10",IF(E7406&lt;20,"10-&lt;20",IF(E7406&lt;25,"20-&lt;25",IF(E7406&lt;35,"25-&lt;35","35+")))))</x:f>
        <x:v>25-&lt;35</x:v>
      </x:c>
    </x:row>
    <x:row r="7407">
      <x:c r="A7407" t="str">
        <x:v>SYN0007406</x:v>
      </x:c>
      <x:c r="B7407" s="12" t="n">
        <x:v>42445</x:v>
      </x:c>
      <x:c r="C7407" s="18" t="n">
        <x:v>16125</x:v>
      </x:c>
      <x:c r="D7407" s="18" t="n">
        <x:v>52500</x:v>
      </x:c>
      <x:c r="E7407" s="18" t="n">
        <x:v>27.71</x:v>
      </x:c>
      <x:c r="F7407" s="18" t="n">
        <x:v>7.56</x:v>
      </x:c>
      <x:c r="G7407" t="n">
        <x:v>60</x:v>
      </x:c>
      <x:c r="H7407" t="str">
        <x:v>A</x:v>
      </x:c>
      <x:c r="I7407" t="str">
        <x:v>10+ years</x:v>
      </x:c>
      <x:c r="J7407" t="str">
        <x:v>OWN</x:v>
      </x:c>
      <x:c r="K7407" t="str">
        <x:v>other</x:v>
      </x:c>
      <x:c r="L7407" t="n">
        <x:v>0</x:v>
      </x:c>
      <x:c r="M7407" t="n">
        <x:v>1</x:v>
      </x:c>
      <x:c r="N7407" t="str">
        <x:v>Charged Off</x:v>
      </x:c>
      <x:c r="O7407" t="str">
        <x:f>IF(D7407="","Unknown",IF(D7407&lt;25000,"&lt;$25k",IF(D7407&lt;50000,"$25k-$50k",IF(D7407&lt;75000,"$50k-$75k",IF(D7407&lt;100000,"$75k-$100k","$100k+")))))</x:f>
        <x:v>$50k-$75k</x:v>
      </x:c>
      <x:c r="P7407" t="str">
        <x:f>IF(E7407="","Unknown",IF(E7407&lt;10,"&lt;10",IF(E7407&lt;20,"10-&lt;20",IF(E7407&lt;25,"20-&lt;25",IF(E7407&lt;35,"25-&lt;35","35+")))))</x:f>
        <x:v>25-&lt;35</x:v>
      </x:c>
    </x:row>
    <x:row r="7408">
      <x:c r="A7408" t="str">
        <x:v>SYN0007407</x:v>
      </x:c>
      <x:c r="B7408" s="12" t="n">
        <x:v>41725</x:v>
      </x:c>
      <x:c r="C7408" s="18" t="n">
        <x:v>25774</x:v>
      </x:c>
      <x:c r="D7408" s="18" t="n">
        <x:v>32956</x:v>
      </x:c>
      <x:c r="E7408" s="18" t="n">
        <x:v>30.86</x:v>
      </x:c>
      <x:c r="F7408" s="18" t="n">
        <x:v>10.67</x:v>
      </x:c>
      <x:c r="G7408" t="n">
        <x:v>36</x:v>
      </x:c>
      <x:c r="H7408" t="str">
        <x:v>B</x:v>
      </x:c>
      <x:c r="I7408" t="str">
        <x:v>&lt;1 year</x:v>
      </x:c>
      <x:c r="J7408" t="str">
        <x:v>RENT</x:v>
      </x:c>
      <x:c r="K7408" t="str">
        <x:v>home_improvement</x:v>
      </x:c>
      <x:c r="L7408" t="n">
        <x:v>3</x:v>
      </x:c>
      <x:c r="M7408" t="n">
        <x:v>0</x:v>
      </x:c>
      <x:c r="N7408" t="str">
        <x:v>Fully Paid</x:v>
      </x:c>
      <x:c r="O7408" t="str">
        <x:f>IF(D7408="","Unknown",IF(D7408&lt;25000,"&lt;$25k",IF(D7408&lt;50000,"$25k-$50k",IF(D7408&lt;75000,"$50k-$75k",IF(D7408&lt;100000,"$75k-$100k","$100k+")))))</x:f>
        <x:v>$25k-$50k</x:v>
      </x:c>
      <x:c r="P7408" t="str">
        <x:f>IF(E7408="","Unknown",IF(E7408&lt;10,"&lt;10",IF(E7408&lt;20,"10-&lt;20",IF(E7408&lt;25,"20-&lt;25",IF(E7408&lt;35,"25-&lt;35","35+")))))</x:f>
        <x:v>25-&lt;35</x:v>
      </x:c>
    </x:row>
    <x:row r="7409">
      <x:c r="A7409" t="str">
        <x:v>SYN0007408</x:v>
      </x:c>
      <x:c r="B7409" s="12" t="n">
        <x:v>42025</x:v>
      </x:c>
      <x:c r="C7409" s="18" t="n">
        <x:v>23143</x:v>
      </x:c>
      <x:c r="D7409" s="18" t="n">
        <x:v>33474</x:v>
      </x:c>
      <x:c r="E7409" s="18" t="n">
        <x:v>19.55</x:v>
      </x:c>
      <x:c r="F7409" s="18" t="n">
        <x:v>16.29</x:v>
      </x:c>
      <x:c r="G7409" t="n">
        <x:v>36</x:v>
      </x:c>
      <x:c r="H7409" t="str">
        <x:v>D</x:v>
      </x:c>
      <x:c r="I7409" t="str">
        <x:v>7-9 years</x:v>
      </x:c>
      <x:c r="J7409" t="str">
        <x:v>MORTGAGE</x:v>
      </x:c>
      <x:c r="K7409" t="str">
        <x:v>debt_consolidation</x:v>
      </x:c>
      <x:c r="L7409" t="n">
        <x:v>0</x:v>
      </x:c>
      <x:c r="M7409" t="n">
        <x:v>0</x:v>
      </x:c>
      <x:c r="N7409" t="str">
        <x:v>Fully Paid</x:v>
      </x:c>
      <x:c r="O7409" t="str">
        <x:f>IF(D7409="","Unknown",IF(D7409&lt;25000,"&lt;$25k",IF(D7409&lt;50000,"$25k-$50k",IF(D7409&lt;75000,"$50k-$75k",IF(D7409&lt;100000,"$75k-$100k","$100k+")))))</x:f>
        <x:v>$25k-$50k</x:v>
      </x:c>
      <x:c r="P7409" t="str">
        <x:f>IF(E7409="","Unknown",IF(E7409&lt;10,"&lt;10",IF(E7409&lt;20,"10-&lt;20",IF(E7409&lt;25,"20-&lt;25",IF(E7409&lt;35,"25-&lt;35","35+")))))</x:f>
        <x:v>10-&lt;20</x:v>
      </x:c>
    </x:row>
    <x:row r="7410">
      <x:c r="A7410" t="str">
        <x:v>SYN0007409</x:v>
      </x:c>
      <x:c r="B7410" s="12" t="n">
        <x:v>42025</x:v>
      </x:c>
      <x:c r="C7410" s="18" t="n">
        <x:v>19056</x:v>
      </x:c>
      <x:c r="D7410" s="18" t="n">
        <x:v>36548</x:v>
      </x:c>
      <x:c r="E7410" s="18" t="n">
        <x:v>32.12</x:v>
      </x:c>
      <x:c r="F7410" s="18" t="n">
        <x:v>22.33</x:v>
      </x:c>
      <x:c r="G7410" t="n">
        <x:v>60</x:v>
      </x:c>
      <x:c r="H7410" t="str">
        <x:v>F</x:v>
      </x:c>
      <x:c r="I7410" t="str">
        <x:v>4-6 years</x:v>
      </x:c>
      <x:c r="J7410" t="str">
        <x:v>RENT</x:v>
      </x:c>
      <x:c r="K7410" t="str">
        <x:v>debt_consolidation</x:v>
      </x:c>
      <x:c r="L7410" t="n">
        <x:v>0</x:v>
      </x:c>
      <x:c r="M7410" t="n">
        <x:v>1</x:v>
      </x:c>
      <x:c r="N7410" t="str">
        <x:v>Charged Off</x:v>
      </x:c>
      <x:c r="O7410" t="str">
        <x:f>IF(D7410="","Unknown",IF(D7410&lt;25000,"&lt;$25k",IF(D7410&lt;50000,"$25k-$50k",IF(D7410&lt;75000,"$50k-$75k",IF(D7410&lt;100000,"$75k-$100k","$100k+")))))</x:f>
        <x:v>$25k-$50k</x:v>
      </x:c>
      <x:c r="P7410" t="str">
        <x:f>IF(E7410="","Unknown",IF(E7410&lt;10,"&lt;10",IF(E7410&lt;20,"10-&lt;20",IF(E7410&lt;25,"20-&lt;25",IF(E7410&lt;35,"25-&lt;35","35+")))))</x:f>
        <x:v>25-&lt;35</x:v>
      </x:c>
    </x:row>
    <x:row r="7411">
      <x:c r="A7411" t="str">
        <x:v>SYN0007410</x:v>
      </x:c>
      <x:c r="B7411" s="12" t="n">
        <x:v>41725</x:v>
      </x:c>
      <x:c r="C7411" s="18" t="n">
        <x:v>7675</x:v>
      </x:c>
      <x:c r="D7411" s="18" t="n">
        <x:v>44569</x:v>
      </x:c>
      <x:c r="E7411" s="18" t="n">
        <x:v>19.31</x:v>
      </x:c>
      <x:c r="F7411" s="18" t="n">
        <x:v>7.42</x:v>
      </x:c>
      <x:c r="G7411" t="n">
        <x:v>36</x:v>
      </x:c>
      <x:c r="H7411" t="str">
        <x:v>C</x:v>
      </x:c>
      <x:c r="I7411" t="str">
        <x:v>4-6 years</x:v>
      </x:c>
      <x:c r="J7411" t="str">
        <x:v>MORTGAGE</x:v>
      </x:c>
      <x:c r="K7411" t="str">
        <x:v>major_purchase</x:v>
      </x:c>
      <x:c r="L7411" t="n">
        <x:v>0</x:v>
      </x:c>
      <x:c r="M7411" t="n">
        <x:v>0</x:v>
      </x:c>
      <x:c r="N7411" t="str">
        <x:v>Fully Paid</x:v>
      </x:c>
      <x:c r="O7411" t="str">
        <x:f>IF(D7411="","Unknown",IF(D7411&lt;25000,"&lt;$25k",IF(D7411&lt;50000,"$25k-$50k",IF(D7411&lt;75000,"$50k-$75k",IF(D7411&lt;100000,"$75k-$100k","$100k+")))))</x:f>
        <x:v>$25k-$50k</x:v>
      </x:c>
      <x:c r="P7411" t="str">
        <x:f>IF(E7411="","Unknown",IF(E7411&lt;10,"&lt;10",IF(E7411&lt;20,"10-&lt;20",IF(E7411&lt;25,"20-&lt;25",IF(E7411&lt;35,"25-&lt;35","35+")))))</x:f>
        <x:v>10-&lt;20</x:v>
      </x:c>
    </x:row>
    <x:row r="7412">
      <x:c r="A7412" t="str">
        <x:v>SYN0007411</x:v>
      </x:c>
      <x:c r="B7412" s="12" t="n">
        <x:v>42025</x:v>
      </x:c>
      <x:c r="C7412" s="18" t="n">
        <x:v>12906</x:v>
      </x:c>
      <x:c r="D7412" s="18" t="n">
        <x:v>12000</x:v>
      </x:c>
      <x:c r="E7412" s="18" t="n">
        <x:v>28.66</x:v>
      </x:c>
      <x:c r="F7412" s="18" t="n">
        <x:v>9.09</x:v>
      </x:c>
      <x:c r="G7412" t="n">
        <x:v>36</x:v>
      </x:c>
      <x:c r="H7412" t="str">
        <x:v>C</x:v>
      </x:c>
      <x:c r="I7412" t="str">
        <x:v>4-6 years</x:v>
      </x:c>
      <x:c r="J7412" t="str">
        <x:v>RENT</x:v>
      </x:c>
      <x:c r="K7412" t="str">
        <x:v>other</x:v>
      </x:c>
      <x:c r="L7412" t="n">
        <x:v>0</x:v>
      </x:c>
      <x:c r="M7412" t="n">
        <x:v>0</x:v>
      </x:c>
      <x:c r="N7412" t="str">
        <x:v>Fully Paid</x:v>
      </x:c>
      <x:c r="O7412" t="str">
        <x:f>IF(D7412="","Unknown",IF(D7412&lt;25000,"&lt;$25k",IF(D7412&lt;50000,"$25k-$50k",IF(D7412&lt;75000,"$50k-$75k",IF(D7412&lt;100000,"$75k-$100k","$100k+")))))</x:f>
        <x:v>&lt;$25k</x:v>
      </x:c>
      <x:c r="P7412" t="str">
        <x:f>IF(E7412="","Unknown",IF(E7412&lt;10,"&lt;10",IF(E7412&lt;20,"10-&lt;20",IF(E7412&lt;25,"20-&lt;25",IF(E7412&lt;35,"25-&lt;35","35+")))))</x:f>
        <x:v>25-&lt;35</x:v>
      </x:c>
    </x:row>
    <x:row r="7413">
      <x:c r="A7413" t="str">
        <x:v>SYN0007412</x:v>
      </x:c>
      <x:c r="B7413" s="12" t="n">
        <x:v>43225</x:v>
      </x:c>
      <x:c r="C7413" s="18" t="n">
        <x:v>18798</x:v>
      </x:c>
      <x:c r="D7413" s="18" t="n">
        <x:v>29346</x:v>
      </x:c>
      <x:c r="E7413" s="18" t="n">
        <x:v>28.63</x:v>
      </x:c>
      <x:c r="F7413" s="18" t="n">
        <x:v>14.91</x:v>
      </x:c>
      <x:c r="G7413" t="n">
        <x:v>60</x:v>
      </x:c>
      <x:c r="H7413" t="str">
        <x:v>D</x:v>
      </x:c>
      <x:c r="I7413" t="str">
        <x:v>4-6 years</x:v>
      </x:c>
      <x:c r="J7413" t="str">
        <x:v>RENT</x:v>
      </x:c>
      <x:c r="K7413" t="str">
        <x:v>other</x:v>
      </x:c>
      <x:c r="L7413" t="n">
        <x:v>1</x:v>
      </x:c>
      <x:c r="M7413" t="n">
        <x:v>0</x:v>
      </x:c>
      <x:c r="N7413" t="str">
        <x:v>Fully Paid</x:v>
      </x:c>
      <x:c r="O7413" t="str">
        <x:f>IF(D7413="","Unknown",IF(D7413&lt;25000,"&lt;$25k",IF(D7413&lt;50000,"$25k-$50k",IF(D7413&lt;75000,"$50k-$75k",IF(D7413&lt;100000,"$75k-$100k","$100k+")))))</x:f>
        <x:v>$25k-$50k</x:v>
      </x:c>
      <x:c r="P7413" t="str">
        <x:f>IF(E7413="","Unknown",IF(E7413&lt;10,"&lt;10",IF(E7413&lt;20,"10-&lt;20",IF(E7413&lt;25,"20-&lt;25",IF(E7413&lt;35,"25-&lt;35","35+")))))</x:f>
        <x:v>25-&lt;35</x:v>
      </x:c>
    </x:row>
    <x:row r="7414">
      <x:c r="A7414" t="str">
        <x:v>SYN0007413</x:v>
      </x:c>
      <x:c r="B7414" s="12" t="n">
        <x:v>43135</x:v>
      </x:c>
      <x:c r="C7414" s="18" t="n">
        <x:v>21052</x:v>
      </x:c>
      <x:c r="D7414" s="18" t="n">
        <x:v>46336</x:v>
      </x:c>
      <x:c r="E7414" s="18" t="n">
        <x:v>3.57</x:v>
      </x:c>
      <x:c r="F7414" s="18" t="n">
        <x:v>6.26</x:v>
      </x:c>
      <x:c r="G7414" t="n">
        <x:v>36</x:v>
      </x:c>
      <x:c r="H7414" t="str">
        <x:v>A</x:v>
      </x:c>
      <x:c r="I7414" t="str">
        <x:v>4-6 years</x:v>
      </x:c>
      <x:c r="J7414" t="str">
        <x:v>RENT</x:v>
      </x:c>
      <x:c r="K7414" t="str">
        <x:v>home_improvement</x:v>
      </x:c>
      <x:c r="L7414" t="n">
        <x:v>0</x:v>
      </x:c>
      <x:c r="M7414" t="n">
        <x:v>0</x:v>
      </x:c>
      <x:c r="N7414" t="str">
        <x:v>Fully Paid</x:v>
      </x:c>
      <x:c r="O7414" t="str">
        <x:f>IF(D7414="","Unknown",IF(D7414&lt;25000,"&lt;$25k",IF(D7414&lt;50000,"$25k-$50k",IF(D7414&lt;75000,"$50k-$75k",IF(D7414&lt;100000,"$75k-$100k","$100k+")))))</x:f>
        <x:v>$25k-$50k</x:v>
      </x:c>
      <x:c r="P7414" t="str">
        <x:f>IF(E7414="","Unknown",IF(E7414&lt;10,"&lt;10",IF(E7414&lt;20,"10-&lt;20",IF(E7414&lt;25,"20-&lt;25",IF(E7414&lt;35,"25-&lt;35","35+")))))</x:f>
        <x:v>&lt;10</x:v>
      </x:c>
    </x:row>
    <x:row r="7415">
      <x:c r="A7415" t="str">
        <x:v>SYN0007414</x:v>
      </x:c>
      <x:c r="B7415" s="12" t="n">
        <x:v>42955</x:v>
      </x:c>
      <x:c r="C7415" s="18" t="n">
        <x:v>8725</x:v>
      </x:c>
      <x:c r="D7415" s="18" t="n">
        <x:v>21295</x:v>
      </x:c>
      <x:c r="E7415" s="18" t="n">
        <x:v>22.75</x:v>
      </x:c>
      <x:c r="F7415" s="18" t="n">
        <x:v>18.47</x:v>
      </x:c>
      <x:c r="G7415" t="n">
        <x:v>60</x:v>
      </x:c>
      <x:c r="H7415" t="str">
        <x:v>E</x:v>
      </x:c>
      <x:c r="I7415" t="str">
        <x:v>4-6 years</x:v>
      </x:c>
      <x:c r="J7415" t="str">
        <x:v>MORTGAGE</x:v>
      </x:c>
      <x:c r="K7415" t="str">
        <x:v>debt_consolidation</x:v>
      </x:c>
      <x:c r="L7415" t="n">
        <x:v>1</x:v>
      </x:c>
      <x:c r="M7415" t="n">
        <x:v>1</x:v>
      </x:c>
      <x:c r="N7415" t="str">
        <x:v>Charged Off</x:v>
      </x:c>
      <x:c r="O7415" t="str">
        <x:f>IF(D7415="","Unknown",IF(D7415&lt;25000,"&lt;$25k",IF(D7415&lt;50000,"$25k-$50k",IF(D7415&lt;75000,"$50k-$75k",IF(D7415&lt;100000,"$75k-$100k","$100k+")))))</x:f>
        <x:v>&lt;$25k</x:v>
      </x:c>
      <x:c r="P7415" t="str">
        <x:f>IF(E7415="","Unknown",IF(E7415&lt;10,"&lt;10",IF(E7415&lt;20,"10-&lt;20",IF(E7415&lt;25,"20-&lt;25",IF(E7415&lt;35,"25-&lt;35","35+")))))</x:f>
        <x:v>20-&lt;25</x:v>
      </x:c>
    </x:row>
    <x:row r="7416">
      <x:c r="A7416" t="str">
        <x:v>SYN0007415</x:v>
      </x:c>
      <x:c r="B7416" s="12" t="n">
        <x:v>41785</x:v>
      </x:c>
      <x:c r="C7416" s="18" t="n">
        <x:v>21769</x:v>
      </x:c>
      <x:c r="D7416" s="18" t="n">
        <x:v>31690</x:v>
      </x:c>
      <x:c r="E7416" s="18" t="n">
        <x:v>17.13</x:v>
      </x:c>
      <x:c r="F7416" s="18" t="n">
        <x:v>17.81</x:v>
      </x:c>
      <x:c r="G7416" t="n">
        <x:v>60</x:v>
      </x:c>
      <x:c r="H7416" t="str">
        <x:v>E</x:v>
      </x:c>
      <x:c r="I7416" t="str">
        <x:v>&lt;1 year</x:v>
      </x:c>
      <x:c r="J7416" t="str">
        <x:v>RENT</x:v>
      </x:c>
      <x:c r="K7416" t="str">
        <x:v>home_improvement</x:v>
      </x:c>
      <x:c r="L7416" t="n">
        <x:v>0</x:v>
      </x:c>
      <x:c r="M7416" t="n">
        <x:v>0</x:v>
      </x:c>
      <x:c r="N7416" t="str">
        <x:v>Fully Paid</x:v>
      </x:c>
      <x:c r="O7416" t="str">
        <x:f>IF(D7416="","Unknown",IF(D7416&lt;25000,"&lt;$25k",IF(D7416&lt;50000,"$25k-$50k",IF(D7416&lt;75000,"$50k-$75k",IF(D7416&lt;100000,"$75k-$100k","$100k+")))))</x:f>
        <x:v>$25k-$50k</x:v>
      </x:c>
      <x:c r="P7416" t="str">
        <x:f>IF(E7416="","Unknown",IF(E7416&lt;10,"&lt;10",IF(E7416&lt;20,"10-&lt;20",IF(E7416&lt;25,"20-&lt;25",IF(E7416&lt;35,"25-&lt;35","35+")))))</x:f>
        <x:v>10-&lt;20</x:v>
      </x:c>
    </x:row>
    <x:row r="7417">
      <x:c r="A7417" t="str">
        <x:v>SYN0007416</x:v>
      </x:c>
      <x:c r="B7417" s="12" t="n">
        <x:v>42145</x:v>
      </x:c>
      <x:c r="C7417" s="18" t="n">
        <x:v>9071</x:v>
      </x:c>
      <x:c r="D7417" s="18" t="n">
        <x:v>156181</x:v>
      </x:c>
      <x:c r="E7417" s="18" t="n">
        <x:v>1.8</x:v>
      </x:c>
      <x:c r="F7417" s="18" t="n">
        <x:v>13.81</x:v>
      </x:c>
      <x:c r="G7417" t="n">
        <x:v>60</x:v>
      </x:c>
      <x:c r="H7417" t="str">
        <x:v>C</x:v>
      </x:c>
      <x:c r="I7417" t="str">
        <x:v>7-9 years</x:v>
      </x:c>
      <x:c r="J7417" t="str">
        <x:v>MORTGAGE</x:v>
      </x:c>
      <x:c r="K7417" t="str">
        <x:v>debt_consolidation</x:v>
      </x:c>
      <x:c r="L7417" t="n">
        <x:v>0</x:v>
      </x:c>
      <x:c r="M7417" t="n">
        <x:v>0</x:v>
      </x:c>
      <x:c r="N7417" t="str">
        <x:v>Fully Paid</x:v>
      </x:c>
      <x:c r="O7417" t="str">
        <x:f>IF(D7417="","Unknown",IF(D7417&lt;25000,"&lt;$25k",IF(D7417&lt;50000,"$25k-$50k",IF(D7417&lt;75000,"$50k-$75k",IF(D7417&lt;100000,"$75k-$100k","$100k+")))))</x:f>
        <x:v>$100k+</x:v>
      </x:c>
      <x:c r="P7417" t="str">
        <x:f>IF(E7417="","Unknown",IF(E7417&lt;10,"&lt;10",IF(E7417&lt;20,"10-&lt;20",IF(E7417&lt;25,"20-&lt;25",IF(E7417&lt;35,"25-&lt;35","35+")))))</x:f>
        <x:v>&lt;10</x:v>
      </x:c>
    </x:row>
    <x:row r="7418">
      <x:c r="A7418" t="str">
        <x:v>SYN0007417</x:v>
      </x:c>
      <x:c r="B7418" s="12" t="n">
        <x:v>42085</x:v>
      </x:c>
      <x:c r="C7418" s="18" t="n">
        <x:v>15947</x:v>
      </x:c>
      <x:c r="D7418" s="18" t="n">
        <x:v>98969</x:v>
      </x:c>
      <x:c r="E7418" s="18" t="n">
        <x:v>22.17</x:v>
      </x:c>
      <x:c r="F7418" s="18" t="n">
        <x:v>11.99</x:v>
      </x:c>
      <x:c r="G7418" t="n">
        <x:v>36</x:v>
      </x:c>
      <x:c r="H7418" t="str">
        <x:v>C</x:v>
      </x:c>
      <x:c r="I7418" t="str">
        <x:v>1-3 years</x:v>
      </x:c>
      <x:c r="J7418" t="str">
        <x:v>OWN</x:v>
      </x:c>
      <x:c r="K7418" t="str">
        <x:v>debt_consolidation</x:v>
      </x:c>
      <x:c r="L7418" t="n">
        <x:v>0</x:v>
      </x:c>
      <x:c r="M7418" t="n">
        <x:v>0</x:v>
      </x:c>
      <x:c r="N7418" t="str">
        <x:v>Fully Paid</x:v>
      </x:c>
      <x:c r="O7418" t="str">
        <x:f>IF(D7418="","Unknown",IF(D7418&lt;25000,"&lt;$25k",IF(D7418&lt;50000,"$25k-$50k",IF(D7418&lt;75000,"$50k-$75k",IF(D7418&lt;100000,"$75k-$100k","$100k+")))))</x:f>
        <x:v>$75k-$100k</x:v>
      </x:c>
      <x:c r="P7418" t="str">
        <x:f>IF(E7418="","Unknown",IF(E7418&lt;10,"&lt;10",IF(E7418&lt;20,"10-&lt;20",IF(E7418&lt;25,"20-&lt;25",IF(E7418&lt;35,"25-&lt;35","35+")))))</x:f>
        <x:v>20-&lt;25</x:v>
      </x:c>
    </x:row>
    <x:row r="7419">
      <x:c r="A7419" t="str">
        <x:v>SYN0007418</x:v>
      </x:c>
      <x:c r="B7419" s="12" t="n">
        <x:v>42655</x:v>
      </x:c>
      <x:c r="C7419" s="18" t="n">
        <x:v>7710</x:v>
      </x:c>
      <x:c r="D7419" s="18" t="n">
        <x:v>97444</x:v>
      </x:c>
      <x:c r="E7419" s="18" t="n">
        <x:v>19.16</x:v>
      </x:c>
      <x:c r="F7419" s="18" t="n">
        <x:v>21.09</x:v>
      </x:c>
      <x:c r="G7419" t="n">
        <x:v>60</x:v>
      </x:c>
      <x:c r="H7419" t="str">
        <x:v>F</x:v>
      </x:c>
      <x:c r="I7419" t="str">
        <x:v>7-9 years</x:v>
      </x:c>
      <x:c r="J7419" t="str">
        <x:v>MORTGAGE</x:v>
      </x:c>
      <x:c r="K7419" t="str">
        <x:v>home_improvement</x:v>
      </x:c>
      <x:c r="L7419" t="n">
        <x:v>0</x:v>
      </x:c>
      <x:c r="M7419" t="n">
        <x:v>0</x:v>
      </x:c>
      <x:c r="N7419" t="str">
        <x:v>Fully Paid</x:v>
      </x:c>
      <x:c r="O7419" t="str">
        <x:f>IF(D7419="","Unknown",IF(D7419&lt;25000,"&lt;$25k",IF(D7419&lt;50000,"$25k-$50k",IF(D7419&lt;75000,"$50k-$75k",IF(D7419&lt;100000,"$75k-$100k","$100k+")))))</x:f>
        <x:v>$75k-$100k</x:v>
      </x:c>
      <x:c r="P7419" t="str">
        <x:f>IF(E7419="","Unknown",IF(E7419&lt;10,"&lt;10",IF(E7419&lt;20,"10-&lt;20",IF(E7419&lt;25,"20-&lt;25",IF(E7419&lt;35,"25-&lt;35","35+")))))</x:f>
        <x:v>10-&lt;20</x:v>
      </x:c>
    </x:row>
    <x:row r="7420">
      <x:c r="A7420" t="str">
        <x:v>SYN0007419</x:v>
      </x:c>
      <x:c r="B7420" s="12" t="n">
        <x:v>43375</x:v>
      </x:c>
      <x:c r="C7420" s="18" t="n">
        <x:v>7239</x:v>
      </x:c>
      <x:c r="D7420" s="18" t="n">
        <x:v>31214</x:v>
      </x:c>
      <x:c r="E7420" s="18" t="n">
        <x:v>22.03</x:v>
      </x:c>
      <x:c r="F7420" s="18" t="n">
        <x:v>11.96</x:v>
      </x:c>
      <x:c r="G7420" t="n">
        <x:v>36</x:v>
      </x:c>
      <x:c r="H7420" t="str">
        <x:v>D</x:v>
      </x:c>
      <x:c r="I7420" t="str">
        <x:v>4-6 years</x:v>
      </x:c>
      <x:c r="J7420" t="str">
        <x:v>RENT</x:v>
      </x:c>
      <x:c r="K7420" t="str">
        <x:v>debt_consolidation</x:v>
      </x:c>
      <x:c r="L7420" t="n">
        <x:v>0</x:v>
      </x:c>
      <x:c r="M7420" t="n">
        <x:v>0</x:v>
      </x:c>
      <x:c r="N7420" t="str">
        <x:v>Fully Paid</x:v>
      </x:c>
      <x:c r="O7420" t="str">
        <x:f>IF(D7420="","Unknown",IF(D7420&lt;25000,"&lt;$25k",IF(D7420&lt;50000,"$25k-$50k",IF(D7420&lt;75000,"$50k-$75k",IF(D7420&lt;100000,"$75k-$100k","$100k+")))))</x:f>
        <x:v>$25k-$50k</x:v>
      </x:c>
      <x:c r="P7420" t="str">
        <x:f>IF(E7420="","Unknown",IF(E7420&lt;10,"&lt;10",IF(E7420&lt;20,"10-&lt;20",IF(E7420&lt;25,"20-&lt;25",IF(E7420&lt;35,"25-&lt;35","35+")))))</x:f>
        <x:v>20-&lt;25</x:v>
      </x:c>
    </x:row>
    <x:row r="7421">
      <x:c r="A7421" t="str">
        <x:v>SYN0007420</x:v>
      </x:c>
      <x:c r="B7421" s="12" t="n">
        <x:v>42295</x:v>
      </x:c>
      <x:c r="C7421" s="18" t="n">
        <x:v>26796</x:v>
      </x:c>
      <x:c r="D7421" s="18" t="n">
        <x:v>36573</x:v>
      </x:c>
      <x:c r="E7421" s="18" t="n">
        <x:v>17.57</x:v>
      </x:c>
      <x:c r="F7421" s="18" t="n">
        <x:v>7.48</x:v>
      </x:c>
      <x:c r="G7421" t="n">
        <x:v>36</x:v>
      </x:c>
      <x:c r="H7421" t="str">
        <x:v>A</x:v>
      </x:c>
      <x:c r="I7421" t="str">
        <x:v>4-6 years</x:v>
      </x:c>
      <x:c r="J7421" t="str">
        <x:v>OWN</x:v>
      </x:c>
      <x:c r="K7421" t="str">
        <x:v>debt_consolidation</x:v>
      </x:c>
      <x:c r="L7421" t="n">
        <x:v>0</x:v>
      </x:c>
      <x:c r="M7421" t="n">
        <x:v>0</x:v>
      </x:c>
      <x:c r="N7421" t="str">
        <x:v>Fully Paid</x:v>
      </x:c>
      <x:c r="O7421" t="str">
        <x:f>IF(D7421="","Unknown",IF(D7421&lt;25000,"&lt;$25k",IF(D7421&lt;50000,"$25k-$50k",IF(D7421&lt;75000,"$50k-$75k",IF(D7421&lt;100000,"$75k-$100k","$100k+")))))</x:f>
        <x:v>$25k-$50k</x:v>
      </x:c>
      <x:c r="P7421" t="str">
        <x:f>IF(E7421="","Unknown",IF(E7421&lt;10,"&lt;10",IF(E7421&lt;20,"10-&lt;20",IF(E7421&lt;25,"20-&lt;25",IF(E7421&lt;35,"25-&lt;35","35+")))))</x:f>
        <x:v>10-&lt;20</x:v>
      </x:c>
    </x:row>
    <x:row r="7422">
      <x:c r="A7422" t="str">
        <x:v>SYN0007421</x:v>
      </x:c>
      <x:c r="B7422" s="12" t="n">
        <x:v>41635</x:v>
      </x:c>
      <x:c r="C7422" s="18" t="n">
        <x:v>10381</x:v>
      </x:c>
      <x:c r="D7422" s="18" t="n">
        <x:v>16584</x:v>
      </x:c>
      <x:c r="E7422" s="18" t="n">
        <x:v>31.8</x:v>
      </x:c>
      <x:c r="F7422" s="18" t="n">
        <x:v>20.36</x:v>
      </x:c>
      <x:c r="G7422" t="n">
        <x:v>36</x:v>
      </x:c>
      <x:c r="H7422" t="str">
        <x:v>E</x:v>
      </x:c>
      <x:c r="I7422" t="str">
        <x:v>1-3 years</x:v>
      </x:c>
      <x:c r="J7422" t="str">
        <x:v>MORTGAGE</x:v>
      </x:c>
      <x:c r="K7422" t="str">
        <x:v>debt_consolidation</x:v>
      </x:c>
      <x:c r="L7422" t="n">
        <x:v>1</x:v>
      </x:c>
      <x:c r="M7422" t="n">
        <x:v>0</x:v>
      </x:c>
      <x:c r="N7422" t="str">
        <x:v>Fully Paid</x:v>
      </x:c>
      <x:c r="O7422" t="str">
        <x:f>IF(D7422="","Unknown",IF(D7422&lt;25000,"&lt;$25k",IF(D7422&lt;50000,"$25k-$50k",IF(D7422&lt;75000,"$50k-$75k",IF(D7422&lt;100000,"$75k-$100k","$100k+")))))</x:f>
        <x:v>&lt;$25k</x:v>
      </x:c>
      <x:c r="P7422" t="str">
        <x:f>IF(E7422="","Unknown",IF(E7422&lt;10,"&lt;10",IF(E7422&lt;20,"10-&lt;20",IF(E7422&lt;25,"20-&lt;25",IF(E7422&lt;35,"25-&lt;35","35+")))))</x:f>
        <x:v>25-&lt;35</x:v>
      </x:c>
    </x:row>
    <x:row r="7423">
      <x:c r="A7423" t="str">
        <x:v>SYN0007422</x:v>
      </x:c>
      <x:c r="B7423" s="12" t="n">
        <x:v>43165</x:v>
      </x:c>
      <x:c r="C7423" s="18" t="n">
        <x:v>7469</x:v>
      </x:c>
      <x:c r="D7423" s="18" t="n">
        <x:v>33156</x:v>
      </x:c>
      <x:c r="E7423" s="18" t="n">
        <x:v>40.1</x:v>
      </x:c>
      <x:c r="F7423" s="18" t="n">
        <x:v>19.08</x:v>
      </x:c>
      <x:c r="G7423" t="n">
        <x:v>36</x:v>
      </x:c>
      <x:c r="H7423" t="str">
        <x:v>E</x:v>
      </x:c>
      <x:c r="I7423" t="str">
        <x:v>7-9 years</x:v>
      </x:c>
      <x:c r="J7423" t="str">
        <x:v>MORTGAGE</x:v>
      </x:c>
      <x:c r="K7423" t="str">
        <x:v>home_improvement</x:v>
      </x:c>
      <x:c r="L7423" t="n">
        <x:v>0</x:v>
      </x:c>
      <x:c r="M7423" t="n">
        <x:v>0</x:v>
      </x:c>
      <x:c r="N7423" t="str">
        <x:v>Fully Paid</x:v>
      </x:c>
      <x:c r="O7423" t="str">
        <x:f>IF(D7423="","Unknown",IF(D7423&lt;25000,"&lt;$25k",IF(D7423&lt;50000,"$25k-$50k",IF(D7423&lt;75000,"$50k-$75k",IF(D7423&lt;100000,"$75k-$100k","$100k+")))))</x:f>
        <x:v>$25k-$50k</x:v>
      </x:c>
      <x:c r="P7423" t="str">
        <x:f>IF(E7423="","Unknown",IF(E7423&lt;10,"&lt;10",IF(E7423&lt;20,"10-&lt;20",IF(E7423&lt;25,"20-&lt;25",IF(E7423&lt;35,"25-&lt;35","35+")))))</x:f>
        <x:v>35+</x:v>
      </x:c>
    </x:row>
    <x:row r="7424">
      <x:c r="A7424" t="str">
        <x:v>SYN0007423</x:v>
      </x:c>
      <x:c r="B7424" s="12" t="n">
        <x:v>43225</x:v>
      </x:c>
      <x:c r="C7424" s="18" t="n">
        <x:v>7044</x:v>
      </x:c>
      <x:c r="D7424" s="18" t="n">
        <x:v>56460</x:v>
      </x:c>
      <x:c r="E7424" s="18" t="n">
        <x:v>37.29</x:v>
      </x:c>
      <x:c r="F7424" s="18" t="n">
        <x:v>26.4</x:v>
      </x:c>
      <x:c r="G7424" t="n">
        <x:v>36</x:v>
      </x:c>
      <x:c r="H7424" t="str">
        <x:v>G</x:v>
      </x:c>
      <x:c r="I7424" t="str">
        <x:v>&lt;1 year</x:v>
      </x:c>
      <x:c r="J7424" t="str">
        <x:v>RENT</x:v>
      </x:c>
      <x:c r="K7424" t="str">
        <x:v>debt_consolidation</x:v>
      </x:c>
      <x:c r="L7424" t="n">
        <x:v>2</x:v>
      </x:c>
      <x:c r="M7424" t="n">
        <x:v>0</x:v>
      </x:c>
      <x:c r="N7424" t="str">
        <x:v>Fully Paid</x:v>
      </x:c>
      <x:c r="O7424" t="str">
        <x:f>IF(D7424="","Unknown",IF(D7424&lt;25000,"&lt;$25k",IF(D7424&lt;50000,"$25k-$50k",IF(D7424&lt;75000,"$50k-$75k",IF(D7424&lt;100000,"$75k-$100k","$100k+")))))</x:f>
        <x:v>$50k-$75k</x:v>
      </x:c>
      <x:c r="P7424" t="str">
        <x:f>IF(E7424="","Unknown",IF(E7424&lt;10,"&lt;10",IF(E7424&lt;20,"10-&lt;20",IF(E7424&lt;25,"20-&lt;25",IF(E7424&lt;35,"25-&lt;35","35+")))))</x:f>
        <x:v>35+</x:v>
      </x:c>
    </x:row>
    <x:row r="7425">
      <x:c r="A7425" t="str">
        <x:v>SYN0007424</x:v>
      </x:c>
      <x:c r="B7425" s="12" t="n">
        <x:v>42415</x:v>
      </x:c>
      <x:c r="C7425" s="18" t="n">
        <x:v>13802</x:v>
      </x:c>
      <x:c r="D7425" s="18" t="n">
        <x:v>51618</x:v>
      </x:c>
      <x:c r="E7425" s="18" t="n">
        <x:v>33.32</x:v>
      </x:c>
      <x:c r="F7425" s="18" t="n">
        <x:v>8.63</x:v>
      </x:c>
      <x:c r="G7425" t="n">
        <x:v>60</x:v>
      </x:c>
      <x:c r="H7425" t="str">
        <x:v>A</x:v>
      </x:c>
      <x:c r="I7425" t="str">
        <x:v>4-6 years</x:v>
      </x:c>
      <x:c r="J7425" t="str">
        <x:v>OWN</x:v>
      </x:c>
      <x:c r="K7425" t="str">
        <x:v>debt_consolidation</x:v>
      </x:c>
      <x:c r="L7425" t="n">
        <x:v>0</x:v>
      </x:c>
      <x:c r="M7425" t="n">
        <x:v>0</x:v>
      </x:c>
      <x:c r="N7425" t="str">
        <x:v>Fully Paid</x:v>
      </x:c>
      <x:c r="O7425" t="str">
        <x:f>IF(D7425="","Unknown",IF(D7425&lt;25000,"&lt;$25k",IF(D7425&lt;50000,"$25k-$50k",IF(D7425&lt;75000,"$50k-$75k",IF(D7425&lt;100000,"$75k-$100k","$100k+")))))</x:f>
        <x:v>$50k-$75k</x:v>
      </x:c>
      <x:c r="P7425" t="str">
        <x:f>IF(E7425="","Unknown",IF(E7425&lt;10,"&lt;10",IF(E7425&lt;20,"10-&lt;20",IF(E7425&lt;25,"20-&lt;25",IF(E7425&lt;35,"25-&lt;35","35+")))))</x:f>
        <x:v>25-&lt;35</x:v>
      </x:c>
    </x:row>
    <x:row r="7426">
      <x:c r="A7426" t="str">
        <x:v>SYN0007425</x:v>
      </x:c>
      <x:c r="B7426" s="12" t="n">
        <x:v>41485</x:v>
      </x:c>
      <x:c r="C7426" s="18" t="n">
        <x:v>7021</x:v>
      </x:c>
      <x:c r="D7426" s="18" t="n">
        <x:v>79004</x:v>
      </x:c>
      <x:c r="E7426" s="18" t="n">
        <x:v>13.72</x:v>
      </x:c>
      <x:c r="F7426" s="18" t="n">
        <x:v>12.39</x:v>
      </x:c>
      <x:c r="G7426" t="n">
        <x:v>36</x:v>
      </x:c>
      <x:c r="H7426" t="str">
        <x:v>B</x:v>
      </x:c>
      <x:c r="I7426" t="str">
        <x:v>4-6 years</x:v>
      </x:c>
      <x:c r="J7426" t="str">
        <x:v>MORTGAGE</x:v>
      </x:c>
      <x:c r="K7426" t="str">
        <x:v>credit_card</x:v>
      </x:c>
      <x:c r="L7426" t="n">
        <x:v>0</x:v>
      </x:c>
      <x:c r="M7426" t="n">
        <x:v>0</x:v>
      </x:c>
      <x:c r="N7426" t="str">
        <x:v>Fully Paid</x:v>
      </x:c>
      <x:c r="O7426" t="str">
        <x:f>IF(D7426="","Unknown",IF(D7426&lt;25000,"&lt;$25k",IF(D7426&lt;50000,"$25k-$50k",IF(D7426&lt;75000,"$50k-$75k",IF(D7426&lt;100000,"$75k-$100k","$100k+")))))</x:f>
        <x:v>$75k-$100k</x:v>
      </x:c>
      <x:c r="P7426" t="str">
        <x:f>IF(E7426="","Unknown",IF(E7426&lt;10,"&lt;10",IF(E7426&lt;20,"10-&lt;20",IF(E7426&lt;25,"20-&lt;25",IF(E7426&lt;35,"25-&lt;35","35+")))))</x:f>
        <x:v>10-&lt;20</x:v>
      </x:c>
    </x:row>
    <x:row r="7427">
      <x:c r="A7427" t="str">
        <x:v>SYN0007426</x:v>
      </x:c>
      <x:c r="B7427" s="12" t="n">
        <x:v>41725</x:v>
      </x:c>
      <x:c r="C7427" s="18" t="n">
        <x:v>12170</x:v>
      </x:c>
      <x:c r="D7427" s="18" t="n">
        <x:v>86677</x:v>
      </x:c>
      <x:c r="E7427" s="18" t="n">
        <x:v>43.2</x:v>
      </x:c>
      <x:c r="F7427" s="18" t="n">
        <x:v>15.9</x:v>
      </x:c>
      <x:c r="G7427" t="n">
        <x:v>60</x:v>
      </x:c>
      <x:c r="H7427" t="str">
        <x:v>D</x:v>
      </x:c>
      <x:c r="I7427" t="str">
        <x:v>7-9 years</x:v>
      </x:c>
      <x:c r="J7427" t="str">
        <x:v>RENT</x:v>
      </x:c>
      <x:c r="K7427" t="str">
        <x:v>credit_card</x:v>
      </x:c>
      <x:c r="L7427" t="n">
        <x:v>0</x:v>
      </x:c>
      <x:c r="M7427" t="n">
        <x:v>0</x:v>
      </x:c>
      <x:c r="N7427" t="str">
        <x:v>Fully Paid</x:v>
      </x:c>
      <x:c r="O7427" t="str">
        <x:f>IF(D7427="","Unknown",IF(D7427&lt;25000,"&lt;$25k",IF(D7427&lt;50000,"$25k-$50k",IF(D7427&lt;75000,"$50k-$75k",IF(D7427&lt;100000,"$75k-$100k","$100k+")))))</x:f>
        <x:v>$75k-$100k</x:v>
      </x:c>
      <x:c r="P7427" t="str">
        <x:f>IF(E7427="","Unknown",IF(E7427&lt;10,"&lt;10",IF(E7427&lt;20,"10-&lt;20",IF(E7427&lt;25,"20-&lt;25",IF(E7427&lt;35,"25-&lt;35","35+")))))</x:f>
        <x:v>35+</x:v>
      </x:c>
    </x:row>
    <x:row r="7428">
      <x:c r="A7428" t="str">
        <x:v>SYN0007427</x:v>
      </x:c>
      <x:c r="B7428" s="12" t="n">
        <x:v>42385</x:v>
      </x:c>
      <x:c r="C7428" s="18" t="n">
        <x:v>8167</x:v>
      </x:c>
      <x:c r="D7428" s="18" t="n">
        <x:v>99207</x:v>
      </x:c>
      <x:c r="E7428" s="18" t="n">
        <x:v>20.96</x:v>
      </x:c>
      <x:c r="F7428" s="18" t="n">
        <x:v>14.21</x:v>
      </x:c>
      <x:c r="G7428" t="n">
        <x:v>60</x:v>
      </x:c>
      <x:c r="H7428" t="str">
        <x:v>D</x:v>
      </x:c>
      <x:c r="I7428" t="str">
        <x:v>4-6 years</x:v>
      </x:c>
      <x:c r="J7428" t="str">
        <x:v>MORTGAGE</x:v>
      </x:c>
      <x:c r="K7428" t="str">
        <x:v>debt_consolidation</x:v>
      </x:c>
      <x:c r="L7428" t="n">
        <x:v>0</x:v>
      </x:c>
      <x:c r="M7428" t="n">
        <x:v>1</x:v>
      </x:c>
      <x:c r="N7428" t="str">
        <x:v>Charged Off</x:v>
      </x:c>
      <x:c r="O7428" t="str">
        <x:f>IF(D7428="","Unknown",IF(D7428&lt;25000,"&lt;$25k",IF(D7428&lt;50000,"$25k-$50k",IF(D7428&lt;75000,"$50k-$75k",IF(D7428&lt;100000,"$75k-$100k","$100k+")))))</x:f>
        <x:v>$75k-$100k</x:v>
      </x:c>
      <x:c r="P7428" t="str">
        <x:f>IF(E7428="","Unknown",IF(E7428&lt;10,"&lt;10",IF(E7428&lt;20,"10-&lt;20",IF(E7428&lt;25,"20-&lt;25",IF(E7428&lt;35,"25-&lt;35","35+")))))</x:f>
        <x:v>20-&lt;25</x:v>
      </x:c>
    </x:row>
    <x:row r="7429">
      <x:c r="A7429" t="str">
        <x:v>SYN0007428</x:v>
      </x:c>
      <x:c r="B7429" s="12" t="n">
        <x:v>42355</x:v>
      </x:c>
      <x:c r="C7429" s="18" t="n">
        <x:v>16843</x:v>
      </x:c>
      <x:c r="D7429" s="18" t="n">
        <x:v>22499</x:v>
      </x:c>
      <x:c r="E7429" s="18" t="n">
        <x:v>23.58</x:v>
      </x:c>
      <x:c r="F7429" s="18" t="n">
        <x:v>10.73</x:v>
      </x:c>
      <x:c r="G7429" t="n">
        <x:v>36</x:v>
      </x:c>
      <x:c r="H7429" t="str">
        <x:v>C</x:v>
      </x:c>
      <x:c r="I7429" t="str">
        <x:v>1-3 years</x:v>
      </x:c>
      <x:c r="J7429" t="str">
        <x:v>MORTGAGE</x:v>
      </x:c>
      <x:c r="K7429" t="str">
        <x:v>credit_card</x:v>
      </x:c>
      <x:c r="L7429" t="n">
        <x:v>0</x:v>
      </x:c>
      <x:c r="M7429" t="n">
        <x:v>0</x:v>
      </x:c>
      <x:c r="N7429" t="str">
        <x:v>Fully Paid</x:v>
      </x:c>
      <x:c r="O7429" t="str">
        <x:f>IF(D7429="","Unknown",IF(D7429&lt;25000,"&lt;$25k",IF(D7429&lt;50000,"$25k-$50k",IF(D7429&lt;75000,"$50k-$75k",IF(D7429&lt;100000,"$75k-$100k","$100k+")))))</x:f>
        <x:v>&lt;$25k</x:v>
      </x:c>
      <x:c r="P7429" t="str">
        <x:f>IF(E7429="","Unknown",IF(E7429&lt;10,"&lt;10",IF(E7429&lt;20,"10-&lt;20",IF(E7429&lt;25,"20-&lt;25",IF(E7429&lt;35,"25-&lt;35","35+")))))</x:f>
        <x:v>20-&lt;25</x:v>
      </x:c>
    </x:row>
    <x:row r="7430">
      <x:c r="A7430" t="str">
        <x:v>SYN0007429</x:v>
      </x:c>
      <x:c r="B7430" s="12" t="n">
        <x:v>42565</x:v>
      </x:c>
      <x:c r="C7430" s="18" t="n">
        <x:v>18761</x:v>
      </x:c>
      <x:c r="D7430" s="18" t="n">
        <x:v>27571</x:v>
      </x:c>
      <x:c r="E7430" s="18" t="n">
        <x:v>19.3</x:v>
      </x:c>
      <x:c r="F7430" s="18" t="n">
        <x:v>7.19</x:v>
      </x:c>
      <x:c r="G7430" t="n">
        <x:v>60</x:v>
      </x:c>
      <x:c r="H7430" t="str">
        <x:v>A</x:v>
      </x:c>
      <x:c r="I7430" t="str">
        <x:v>4-6 years</x:v>
      </x:c>
      <x:c r="J7430" t="str">
        <x:v>RENT</x:v>
      </x:c>
      <x:c r="K7430" t="str">
        <x:v>home_improvement</x:v>
      </x:c>
      <x:c r="L7430" t="n">
        <x:v>0</x:v>
      </x:c>
      <x:c r="M7430" t="n">
        <x:v>0</x:v>
      </x:c>
      <x:c r="N7430" t="str">
        <x:v>Fully Paid</x:v>
      </x:c>
      <x:c r="O7430" t="str">
        <x:f>IF(D7430="","Unknown",IF(D7430&lt;25000,"&lt;$25k",IF(D7430&lt;50000,"$25k-$50k",IF(D7430&lt;75000,"$50k-$75k",IF(D7430&lt;100000,"$75k-$100k","$100k+")))))</x:f>
        <x:v>$25k-$50k</x:v>
      </x:c>
      <x:c r="P7430" t="str">
        <x:f>IF(E7430="","Unknown",IF(E7430&lt;10,"&lt;10",IF(E7430&lt;20,"10-&lt;20",IF(E7430&lt;25,"20-&lt;25",IF(E7430&lt;35,"25-&lt;35","35+")))))</x:f>
        <x:v>10-&lt;20</x:v>
      </x:c>
    </x:row>
    <x:row r="7431">
      <x:c r="A7431" t="str">
        <x:v>SYN0007430</x:v>
      </x:c>
      <x:c r="B7431" s="12" t="n">
        <x:v>41935</x:v>
      </x:c>
      <x:c r="C7431" s="18" t="n">
        <x:v>16281</x:v>
      </x:c>
      <x:c r="D7431" s="18" t="n">
        <x:v>69331</x:v>
      </x:c>
      <x:c r="E7431" s="18" t="n">
        <x:v>7.75</x:v>
      </x:c>
      <x:c r="F7431" s="18" t="n">
        <x:v>7.74</x:v>
      </x:c>
      <x:c r="G7431" t="n">
        <x:v>36</x:v>
      </x:c>
      <x:c r="H7431" t="str">
        <x:v>A</x:v>
      </x:c>
      <x:c r="I7431" t="str">
        <x:v>7-9 years</x:v>
      </x:c>
      <x:c r="J7431" t="str">
        <x:v>RENT</x:v>
      </x:c>
      <x:c r="K7431" t="str">
        <x:v>major_purchase</x:v>
      </x:c>
      <x:c r="L7431" t="n">
        <x:v>0</x:v>
      </x:c>
      <x:c r="M7431" t="n">
        <x:v>0</x:v>
      </x:c>
      <x:c r="N7431" t="str">
        <x:v>Fully Paid</x:v>
      </x:c>
      <x:c r="O7431" t="str">
        <x:f>IF(D7431="","Unknown",IF(D7431&lt;25000,"&lt;$25k",IF(D7431&lt;50000,"$25k-$50k",IF(D7431&lt;75000,"$50k-$75k",IF(D7431&lt;100000,"$75k-$100k","$100k+")))))</x:f>
        <x:v>$50k-$75k</x:v>
      </x:c>
      <x:c r="P7431" t="str">
        <x:f>IF(E7431="","Unknown",IF(E7431&lt;10,"&lt;10",IF(E7431&lt;20,"10-&lt;20",IF(E7431&lt;25,"20-&lt;25",IF(E7431&lt;35,"25-&lt;35","35+")))))</x:f>
        <x:v>&lt;10</x:v>
      </x:c>
    </x:row>
    <x:row r="7432">
      <x:c r="A7432" t="str">
        <x:v>SYN0007431</x:v>
      </x:c>
      <x:c r="B7432" s="12" t="n">
        <x:v>42835</x:v>
      </x:c>
      <x:c r="C7432" s="18" t="n">
        <x:v>9998</x:v>
      </x:c>
      <x:c r="D7432" s="18" t="n">
        <x:v>76535</x:v>
      </x:c>
      <x:c r="E7432" s="18" t="n">
        <x:v>22.55</x:v>
      </x:c>
      <x:c r="F7432" s="18" t="n">
        <x:v>7.7</x:v>
      </x:c>
      <x:c r="G7432" t="n">
        <x:v>36</x:v>
      </x:c>
      <x:c r="H7432" t="str">
        <x:v>A</x:v>
      </x:c>
      <x:c r="I7432" t="str">
        <x:v>7-9 years</x:v>
      </x:c>
      <x:c r="J7432" t="str">
        <x:v>RENT</x:v>
      </x:c>
      <x:c r="K7432" t="str">
        <x:v>credit_card</x:v>
      </x:c>
      <x:c r="L7432" t="n">
        <x:v>1</x:v>
      </x:c>
      <x:c r="M7432" t="n">
        <x:v>0</x:v>
      </x:c>
      <x:c r="N7432" t="str">
        <x:v>Fully Paid</x:v>
      </x:c>
      <x:c r="O7432" t="str">
        <x:f>IF(D7432="","Unknown",IF(D7432&lt;25000,"&lt;$25k",IF(D7432&lt;50000,"$25k-$50k",IF(D7432&lt;75000,"$50k-$75k",IF(D7432&lt;100000,"$75k-$100k","$100k+")))))</x:f>
        <x:v>$75k-$100k</x:v>
      </x:c>
      <x:c r="P7432" t="str">
        <x:f>IF(E7432="","Unknown",IF(E7432&lt;10,"&lt;10",IF(E7432&lt;20,"10-&lt;20",IF(E7432&lt;25,"20-&lt;25",IF(E7432&lt;35,"25-&lt;35","35+")))))</x:f>
        <x:v>20-&lt;25</x:v>
      </x:c>
    </x:row>
    <x:row r="7433">
      <x:c r="A7433" t="str">
        <x:v>SYN0007432</x:v>
      </x:c>
      <x:c r="B7433" s="12" t="n">
        <x:v>42865</x:v>
      </x:c>
      <x:c r="C7433" s="18" t="n">
        <x:v>13821</x:v>
      </x:c>
      <x:c r="D7433" s="18" t="n">
        <x:v>35779</x:v>
      </x:c>
      <x:c r="E7433" s="18" t="n">
        <x:v>27.91</x:v>
      </x:c>
      <x:c r="F7433" s="18" t="n">
        <x:v>9.63</x:v>
      </x:c>
      <x:c r="G7433" t="n">
        <x:v>36</x:v>
      </x:c>
      <x:c r="H7433" t="str">
        <x:v>C</x:v>
      </x:c>
      <x:c r="I7433" t="str">
        <x:v>10+ years</x:v>
      </x:c>
      <x:c r="J7433" t="str">
        <x:v>OWN</x:v>
      </x:c>
      <x:c r="K7433" t="str">
        <x:v>debt_consolidation</x:v>
      </x:c>
      <x:c r="L7433" t="n">
        <x:v>1</x:v>
      </x:c>
      <x:c r="M7433" t="n">
        <x:v>0</x:v>
      </x:c>
      <x:c r="N7433" t="str">
        <x:v>Fully Paid</x:v>
      </x:c>
      <x:c r="O7433" t="str">
        <x:f>IF(D7433="","Unknown",IF(D7433&lt;25000,"&lt;$25k",IF(D7433&lt;50000,"$25k-$50k",IF(D7433&lt;75000,"$50k-$75k",IF(D7433&lt;100000,"$75k-$100k","$100k+")))))</x:f>
        <x:v>$25k-$50k</x:v>
      </x:c>
      <x:c r="P7433" t="str">
        <x:f>IF(E7433="","Unknown",IF(E7433&lt;10,"&lt;10",IF(E7433&lt;20,"10-&lt;20",IF(E7433&lt;25,"20-&lt;25",IF(E7433&lt;35,"25-&lt;35","35+")))))</x:f>
        <x:v>25-&lt;35</x:v>
      </x:c>
    </x:row>
    <x:row r="7434">
      <x:c r="A7434" t="str">
        <x:v>SYN0007433</x:v>
      </x:c>
      <x:c r="B7434" s="12" t="n">
        <x:v>41395</x:v>
      </x:c>
      <x:c r="C7434" s="18" t="n">
        <x:v>8549</x:v>
      </x:c>
      <x:c r="D7434" s="18" t="n">
        <x:v>77143</x:v>
      </x:c>
      <x:c r="E7434" s="18" t="n">
        <x:v>16.8</x:v>
      </x:c>
      <x:c r="F7434" s="18" t="n">
        <x:v>7.96</x:v>
      </x:c>
      <x:c r="G7434" t="n">
        <x:v>36</x:v>
      </x:c>
      <x:c r="H7434" t="str">
        <x:v>B</x:v>
      </x:c>
      <x:c r="I7434" t="str">
        <x:v>4-6 years</x:v>
      </x:c>
      <x:c r="J7434" t="str">
        <x:v>MORTGAGE</x:v>
      </x:c>
      <x:c r="K7434" t="str">
        <x:v>debt_consolidation</x:v>
      </x:c>
      <x:c r="L7434" t="n">
        <x:v>1</x:v>
      </x:c>
      <x:c r="M7434" t="n">
        <x:v>0</x:v>
      </x:c>
      <x:c r="N7434" t="str">
        <x:v>Fully Paid</x:v>
      </x:c>
      <x:c r="O7434" t="str">
        <x:f>IF(D7434="","Unknown",IF(D7434&lt;25000,"&lt;$25k",IF(D7434&lt;50000,"$25k-$50k",IF(D7434&lt;75000,"$50k-$75k",IF(D7434&lt;100000,"$75k-$100k","$100k+")))))</x:f>
        <x:v>$75k-$100k</x:v>
      </x:c>
      <x:c r="P7434" t="str">
        <x:f>IF(E7434="","Unknown",IF(E7434&lt;10,"&lt;10",IF(E7434&lt;20,"10-&lt;20",IF(E7434&lt;25,"20-&lt;25",IF(E7434&lt;35,"25-&lt;35","35+")))))</x:f>
        <x:v>10-&lt;20</x:v>
      </x:c>
    </x:row>
    <x:row r="7435">
      <x:c r="A7435" t="str">
        <x:v>SYN0007434</x:v>
      </x:c>
      <x:c r="B7435" s="12" t="n">
        <x:v>42745</x:v>
      </x:c>
      <x:c r="C7435" s="18" t="n">
        <x:v>15137</x:v>
      </x:c>
      <x:c r="D7435" s="18" t="n">
        <x:v>82538</x:v>
      </x:c>
      <x:c r="E7435" s="18" t="n">
        <x:v>29.77</x:v>
      </x:c>
      <x:c r="F7435" s="18" t="n">
        <x:v>15</x:v>
      </x:c>
      <x:c r="G7435" t="n">
        <x:v>36</x:v>
      </x:c>
      <x:c r="H7435" t="str">
        <x:v>D</x:v>
      </x:c>
      <x:c r="I7435" t="str">
        <x:v>&lt;1 year</x:v>
      </x:c>
      <x:c r="J7435" t="str">
        <x:v>MORTGAGE</x:v>
      </x:c>
      <x:c r="K7435" t="str">
        <x:v>debt_consolidation</x:v>
      </x:c>
      <x:c r="L7435" t="n">
        <x:v>0</x:v>
      </x:c>
      <x:c r="M7435" t="n">
        <x:v>0</x:v>
      </x:c>
      <x:c r="N7435" t="str">
        <x:v>Fully Paid</x:v>
      </x:c>
      <x:c r="O7435" t="str">
        <x:f>IF(D7435="","Unknown",IF(D7435&lt;25000,"&lt;$25k",IF(D7435&lt;50000,"$25k-$50k",IF(D7435&lt;75000,"$50k-$75k",IF(D7435&lt;100000,"$75k-$100k","$100k+")))))</x:f>
        <x:v>$75k-$100k</x:v>
      </x:c>
      <x:c r="P7435" t="str">
        <x:f>IF(E7435="","Unknown",IF(E7435&lt;10,"&lt;10",IF(E7435&lt;20,"10-&lt;20",IF(E7435&lt;25,"20-&lt;25",IF(E7435&lt;35,"25-&lt;35","35+")))))</x:f>
        <x:v>25-&lt;35</x:v>
      </x:c>
    </x:row>
    <x:row r="7436">
      <x:c r="A7436" t="str">
        <x:v>SYN0007435</x:v>
      </x:c>
      <x:c r="B7436" s="12" t="n">
        <x:v>43105</x:v>
      </x:c>
      <x:c r="C7436" s="18" t="n">
        <x:v>19891</x:v>
      </x:c>
      <x:c r="D7436" s="18" t="n">
        <x:v>49617</x:v>
      </x:c>
      <x:c r="E7436" s="18" t="n">
        <x:v>23.1</x:v>
      </x:c>
      <x:c r="F7436" s="18" t="n">
        <x:v>19.72</x:v>
      </x:c>
      <x:c r="G7436" t="n">
        <x:v>60</x:v>
      </x:c>
      <x:c r="H7436" t="str">
        <x:v>F</x:v>
      </x:c>
      <x:c r="I7436" t="str">
        <x:v>7-9 years</x:v>
      </x:c>
      <x:c r="J7436" t="str">
        <x:v>MORTGAGE</x:v>
      </x:c>
      <x:c r="K7436" t="str">
        <x:v>debt_consolidation</x:v>
      </x:c>
      <x:c r="L7436" t="n">
        <x:v>0</x:v>
      </x:c>
      <x:c r="M7436" t="n">
        <x:v>0</x:v>
      </x:c>
      <x:c r="N7436" t="str">
        <x:v>Fully Paid</x:v>
      </x:c>
      <x:c r="O7436" t="str">
        <x:f>IF(D7436="","Unknown",IF(D7436&lt;25000,"&lt;$25k",IF(D7436&lt;50000,"$25k-$50k",IF(D7436&lt;75000,"$50k-$75k",IF(D7436&lt;100000,"$75k-$100k","$100k+")))))</x:f>
        <x:v>$25k-$50k</x:v>
      </x:c>
      <x:c r="P7436" t="str">
        <x:f>IF(E7436="","Unknown",IF(E7436&lt;10,"&lt;10",IF(E7436&lt;20,"10-&lt;20",IF(E7436&lt;25,"20-&lt;25",IF(E7436&lt;35,"25-&lt;35","35+")))))</x:f>
        <x:v>20-&lt;25</x:v>
      </x:c>
    </x:row>
    <x:row r="7437">
      <x:c r="A7437" t="str">
        <x:v>SYN0007436</x:v>
      </x:c>
      <x:c r="B7437" s="12" t="n">
        <x:v>43255</x:v>
      </x:c>
      <x:c r="C7437" s="18" t="n">
        <x:v>10240</x:v>
      </x:c>
      <x:c r="D7437" s="18" t="n">
        <x:v>29012</x:v>
      </x:c>
      <x:c r="E7437" s="18" t="n">
        <x:v>17.41</x:v>
      </x:c>
      <x:c r="F7437" s="18" t="n">
        <x:v>23.69</x:v>
      </x:c>
      <x:c r="G7437" t="n">
        <x:v>60</x:v>
      </x:c>
      <x:c r="H7437" t="str">
        <x:v>F</x:v>
      </x:c>
      <x:c r="I7437" t="str">
        <x:v>&lt;1 year</x:v>
      </x:c>
      <x:c r="J7437" t="str">
        <x:v>MORTGAGE</x:v>
      </x:c>
      <x:c r="K7437" t="str">
        <x:v>major_purchase</x:v>
      </x:c>
      <x:c r="L7437" t="n">
        <x:v>1</x:v>
      </x:c>
      <x:c r="M7437" t="n">
        <x:v>0</x:v>
      </x:c>
      <x:c r="N7437" t="str">
        <x:v>Fully Paid</x:v>
      </x:c>
      <x:c r="O7437" t="str">
        <x:f>IF(D7437="","Unknown",IF(D7437&lt;25000,"&lt;$25k",IF(D7437&lt;50000,"$25k-$50k",IF(D7437&lt;75000,"$50k-$75k",IF(D7437&lt;100000,"$75k-$100k","$100k+")))))</x:f>
        <x:v>$25k-$50k</x:v>
      </x:c>
      <x:c r="P7437" t="str">
        <x:f>IF(E7437="","Unknown",IF(E7437&lt;10,"&lt;10",IF(E7437&lt;20,"10-&lt;20",IF(E7437&lt;25,"20-&lt;25",IF(E7437&lt;35,"25-&lt;35","35+")))))</x:f>
        <x:v>10-&lt;20</x:v>
      </x:c>
    </x:row>
    <x:row r="7438">
      <x:c r="A7438" t="str">
        <x:v>SYN0007437</x:v>
      </x:c>
      <x:c r="B7438" s="12" t="n">
        <x:v>42355</x:v>
      </x:c>
      <x:c r="C7438" s="18" t="n">
        <x:v>7685</x:v>
      </x:c>
      <x:c r="D7438" s="18" t="n">
        <x:v>32280</x:v>
      </x:c>
      <x:c r="E7438" s="18" t="n">
        <x:v>27.12</x:v>
      </x:c>
      <x:c r="F7438" s="18" t="n">
        <x:v>14.24</x:v>
      </x:c>
      <x:c r="G7438" t="n">
        <x:v>36</x:v>
      </x:c>
      <x:c r="H7438" t="str">
        <x:v>D</x:v>
      </x:c>
      <x:c r="I7438" t="str">
        <x:v>10+ years</x:v>
      </x:c>
      <x:c r="J7438" t="str">
        <x:v>MORTGAGE</x:v>
      </x:c>
      <x:c r="K7438" t="str">
        <x:v>debt_consolidation</x:v>
      </x:c>
      <x:c r="L7438" t="n">
        <x:v>0</x:v>
      </x:c>
      <x:c r="M7438" t="n">
        <x:v>0</x:v>
      </x:c>
      <x:c r="N7438" t="str">
        <x:v>Fully Paid</x:v>
      </x:c>
      <x:c r="O7438" t="str">
        <x:f>IF(D7438="","Unknown",IF(D7438&lt;25000,"&lt;$25k",IF(D7438&lt;50000,"$25k-$50k",IF(D7438&lt;75000,"$50k-$75k",IF(D7438&lt;100000,"$75k-$100k","$100k+")))))</x:f>
        <x:v>$25k-$50k</x:v>
      </x:c>
      <x:c r="P7438" t="str">
        <x:f>IF(E7438="","Unknown",IF(E7438&lt;10,"&lt;10",IF(E7438&lt;20,"10-&lt;20",IF(E7438&lt;25,"20-&lt;25",IF(E7438&lt;35,"25-&lt;35","35+")))))</x:f>
        <x:v>25-&lt;35</x:v>
      </x:c>
    </x:row>
    <x:row r="7439">
      <x:c r="A7439" t="str">
        <x:v>SYN0007438</x:v>
      </x:c>
      <x:c r="B7439" s="12" t="n">
        <x:v>43255</x:v>
      </x:c>
      <x:c r="C7439" s="18" t="n">
        <x:v>22434</x:v>
      </x:c>
      <x:c r="D7439" s="18" t="n">
        <x:v>42843</x:v>
      </x:c>
      <x:c r="E7439" s="18" t="n">
        <x:v>39.11</x:v>
      </x:c>
      <x:c r="F7439" s="18" t="n">
        <x:v>14.21</x:v>
      </x:c>
      <x:c r="G7439" t="n">
        <x:v>36</x:v>
      </x:c>
      <x:c r="H7439" t="str">
        <x:v>D</x:v>
      </x:c>
      <x:c r="I7439" t="str">
        <x:v>1-3 years</x:v>
      </x:c>
      <x:c r="J7439" t="str">
        <x:v>RENT</x:v>
      </x:c>
      <x:c r="K7439" t="str">
        <x:v>credit_card</x:v>
      </x:c>
      <x:c r="L7439" t="n">
        <x:v>0</x:v>
      </x:c>
      <x:c r="M7439" t="n">
        <x:v>0</x:v>
      </x:c>
      <x:c r="N7439" t="str">
        <x:v>Fully Paid</x:v>
      </x:c>
      <x:c r="O7439" t="str">
        <x:f>IF(D7439="","Unknown",IF(D7439&lt;25000,"&lt;$25k",IF(D7439&lt;50000,"$25k-$50k",IF(D7439&lt;75000,"$50k-$75k",IF(D7439&lt;100000,"$75k-$100k","$100k+")))))</x:f>
        <x:v>$25k-$50k</x:v>
      </x:c>
      <x:c r="P7439" t="str">
        <x:f>IF(E7439="","Unknown",IF(E7439&lt;10,"&lt;10",IF(E7439&lt;20,"10-&lt;20",IF(E7439&lt;25,"20-&lt;25",IF(E7439&lt;35,"25-&lt;35","35+")))))</x:f>
        <x:v>35+</x:v>
      </x:c>
    </x:row>
    <x:row r="7440">
      <x:c r="A7440" t="str">
        <x:v>SYN0007439</x:v>
      </x:c>
      <x:c r="B7440" s="12" t="n">
        <x:v>41635</x:v>
      </x:c>
      <x:c r="C7440" s="18" t="n">
        <x:v>9686</x:v>
      </x:c>
      <x:c r="D7440" s="18" t="n">
        <x:v>76582</x:v>
      </x:c>
      <x:c r="E7440" s="18" t="n">
        <x:v>28.53</x:v>
      </x:c>
      <x:c r="F7440" s="18" t="n">
        <x:v>7.98</x:v>
      </x:c>
      <x:c r="G7440" t="n">
        <x:v>60</x:v>
      </x:c>
      <x:c r="H7440" t="str">
        <x:v>B</x:v>
      </x:c>
      <x:c r="I7440" t="str">
        <x:v>4-6 years</x:v>
      </x:c>
      <x:c r="J7440" t="str">
        <x:v>MORTGAGE</x:v>
      </x:c>
      <x:c r="K7440" t="str">
        <x:v>debt_consolidation</x:v>
      </x:c>
      <x:c r="L7440" t="n">
        <x:v>0</x:v>
      </x:c>
      <x:c r="M7440" t="n">
        <x:v>0</x:v>
      </x:c>
      <x:c r="N7440" t="str">
        <x:v>Fully Paid</x:v>
      </x:c>
      <x:c r="O7440" t="str">
        <x:f>IF(D7440="","Unknown",IF(D7440&lt;25000,"&lt;$25k",IF(D7440&lt;50000,"$25k-$50k",IF(D7440&lt;75000,"$50k-$75k",IF(D7440&lt;100000,"$75k-$100k","$100k+")))))</x:f>
        <x:v>$75k-$100k</x:v>
      </x:c>
      <x:c r="P7440" t="str">
        <x:f>IF(E7440="","Unknown",IF(E7440&lt;10,"&lt;10",IF(E7440&lt;20,"10-&lt;20",IF(E7440&lt;25,"20-&lt;25",IF(E7440&lt;35,"25-&lt;35","35+")))))</x:f>
        <x:v>25-&lt;35</x:v>
      </x:c>
    </x:row>
    <x:row r="7441">
      <x:c r="A7441" t="str">
        <x:v>SYN0007440</x:v>
      </x:c>
      <x:c r="B7441" s="12" t="n">
        <x:v>42925</x:v>
      </x:c>
      <x:c r="C7441" s="18" t="n">
        <x:v>4664</x:v>
      </x:c>
      <x:c r="D7441" s="18" t="n">
        <x:v>46955</x:v>
      </x:c>
      <x:c r="E7441" s="18" t="n">
        <x:v>17.28</x:v>
      </x:c>
      <x:c r="F7441" s="18" t="n">
        <x:v>11.08</x:v>
      </x:c>
      <x:c r="G7441" t="n">
        <x:v>36</x:v>
      </x:c>
      <x:c r="H7441" t="str">
        <x:v>C</x:v>
      </x:c>
      <x:c r="I7441" t="str">
        <x:v>1-3 years</x:v>
      </x:c>
      <x:c r="J7441" t="str">
        <x:v>RENT</x:v>
      </x:c>
      <x:c r="K7441" t="str">
        <x:v>debt_consolidation</x:v>
      </x:c>
      <x:c r="L7441" t="n">
        <x:v>0</x:v>
      </x:c>
      <x:c r="M7441" t="n">
        <x:v>0</x:v>
      </x:c>
      <x:c r="N7441" t="str">
        <x:v>Fully Paid</x:v>
      </x:c>
      <x:c r="O7441" t="str">
        <x:f>IF(D7441="","Unknown",IF(D7441&lt;25000,"&lt;$25k",IF(D7441&lt;50000,"$25k-$50k",IF(D7441&lt;75000,"$50k-$75k",IF(D7441&lt;100000,"$75k-$100k","$100k+")))))</x:f>
        <x:v>$25k-$50k</x:v>
      </x:c>
      <x:c r="P7441" t="str">
        <x:f>IF(E7441="","Unknown",IF(E7441&lt;10,"&lt;10",IF(E7441&lt;20,"10-&lt;20",IF(E7441&lt;25,"20-&lt;25",IF(E7441&lt;35,"25-&lt;35","35+")))))</x:f>
        <x:v>10-&lt;20</x:v>
      </x:c>
    </x:row>
    <x:row r="7442">
      <x:c r="A7442" t="str">
        <x:v>SYN0007441</x:v>
      </x:c>
      <x:c r="B7442" s="12" t="n">
        <x:v>42505</x:v>
      </x:c>
      <x:c r="C7442" s="18" t="n">
        <x:v>5589</x:v>
      </x:c>
      <x:c r="D7442" s="18" t="n">
        <x:v>157310</x:v>
      </x:c>
      <x:c r="E7442" s="18" t="n">
        <x:v>31.87</x:v>
      </x:c>
      <x:c r="F7442" s="18" t="n">
        <x:v>11.11</x:v>
      </x:c>
      <x:c r="G7442" t="n">
        <x:v>36</x:v>
      </x:c>
      <x:c r="H7442" t="str">
        <x:v>C</x:v>
      </x:c>
      <x:c r="I7442" t="str">
        <x:v>4-6 years</x:v>
      </x:c>
      <x:c r="J7442" t="str">
        <x:v>OWN</x:v>
      </x:c>
      <x:c r="K7442" t="str">
        <x:v>home_improvement</x:v>
      </x:c>
      <x:c r="L7442" t="n">
        <x:v>1</x:v>
      </x:c>
      <x:c r="M7442" t="n">
        <x:v>0</x:v>
      </x:c>
      <x:c r="N7442" t="str">
        <x:v>Fully Paid</x:v>
      </x:c>
      <x:c r="O7442" t="str">
        <x:f>IF(D7442="","Unknown",IF(D7442&lt;25000,"&lt;$25k",IF(D7442&lt;50000,"$25k-$50k",IF(D7442&lt;75000,"$50k-$75k",IF(D7442&lt;100000,"$75k-$100k","$100k+")))))</x:f>
        <x:v>$100k+</x:v>
      </x:c>
      <x:c r="P7442" t="str">
        <x:f>IF(E7442="","Unknown",IF(E7442&lt;10,"&lt;10",IF(E7442&lt;20,"10-&lt;20",IF(E7442&lt;25,"20-&lt;25",IF(E7442&lt;35,"25-&lt;35","35+")))))</x:f>
        <x:v>25-&lt;35</x:v>
      </x:c>
    </x:row>
    <x:row r="7443">
      <x:c r="A7443" t="str">
        <x:v>SYN0007442</x:v>
      </x:c>
      <x:c r="B7443" s="12" t="n">
        <x:v>42955</x:v>
      </x:c>
      <x:c r="C7443" s="18" t="n">
        <x:v>10147</x:v>
      </x:c>
      <x:c r="D7443" s="18" t="n">
        <x:v>37070</x:v>
      </x:c>
      <x:c r="E7443" s="18" t="n">
        <x:v>19.22</x:v>
      </x:c>
      <x:c r="F7443" s="18" t="n">
        <x:v>9.69</x:v>
      </x:c>
      <x:c r="G7443" t="n">
        <x:v>36</x:v>
      </x:c>
      <x:c r="H7443" t="str">
        <x:v>C</x:v>
      </x:c>
      <x:c r="I7443" t="str">
        <x:v>4-6 years</x:v>
      </x:c>
      <x:c r="J7443" t="str">
        <x:v>MORTGAGE</x:v>
      </x:c>
      <x:c r="K7443" t="str">
        <x:v>medical</x:v>
      </x:c>
      <x:c r="L7443" t="n">
        <x:v>0</x:v>
      </x:c>
      <x:c r="M7443" t="n">
        <x:v>1</x:v>
      </x:c>
      <x:c r="N7443" t="str">
        <x:v>Charged Off</x:v>
      </x:c>
      <x:c r="O7443" t="str">
        <x:f>IF(D7443="","Unknown",IF(D7443&lt;25000,"&lt;$25k",IF(D7443&lt;50000,"$25k-$50k",IF(D7443&lt;75000,"$50k-$75k",IF(D7443&lt;100000,"$75k-$100k","$100k+")))))</x:f>
        <x:v>$25k-$50k</x:v>
      </x:c>
      <x:c r="P7443" t="str">
        <x:f>IF(E7443="","Unknown",IF(E7443&lt;10,"&lt;10",IF(E7443&lt;20,"10-&lt;20",IF(E7443&lt;25,"20-&lt;25",IF(E7443&lt;35,"25-&lt;35","35+")))))</x:f>
        <x:v>10-&lt;20</x:v>
      </x:c>
    </x:row>
    <x:row r="7444">
      <x:c r="A7444" t="str">
        <x:v>SYN0007443</x:v>
      </x:c>
      <x:c r="B7444" s="12" t="n">
        <x:v>41695</x:v>
      </x:c>
      <x:c r="C7444" s="18" t="n">
        <x:v>23850</x:v>
      </x:c>
      <x:c r="D7444" s="18" t="n">
        <x:v>64285</x:v>
      </x:c>
      <x:c r="E7444" s="18" t="n">
        <x:v>19.54</x:v>
      </x:c>
      <x:c r="F7444" s="18" t="n">
        <x:v>8.54</x:v>
      </x:c>
      <x:c r="G7444" t="n">
        <x:v>60</x:v>
      </x:c>
      <x:c r="H7444" t="str">
        <x:v>B</x:v>
      </x:c>
      <x:c r="I7444" t="str">
        <x:v>7-9 years</x:v>
      </x:c>
      <x:c r="J7444" t="str">
        <x:v>RENT</x:v>
      </x:c>
      <x:c r="K7444" t="str">
        <x:v>credit_card</x:v>
      </x:c>
      <x:c r="L7444" t="n">
        <x:v>1</x:v>
      </x:c>
      <x:c r="M7444" t="n">
        <x:v>0</x:v>
      </x:c>
      <x:c r="N7444" t="str">
        <x:v>Fully Paid</x:v>
      </x:c>
      <x:c r="O7444" t="str">
        <x:f>IF(D7444="","Unknown",IF(D7444&lt;25000,"&lt;$25k",IF(D7444&lt;50000,"$25k-$50k",IF(D7444&lt;75000,"$50k-$75k",IF(D7444&lt;100000,"$75k-$100k","$100k+")))))</x:f>
        <x:v>$50k-$75k</x:v>
      </x:c>
      <x:c r="P7444" t="str">
        <x:f>IF(E7444="","Unknown",IF(E7444&lt;10,"&lt;10",IF(E7444&lt;20,"10-&lt;20",IF(E7444&lt;25,"20-&lt;25",IF(E7444&lt;35,"25-&lt;35","35+")))))</x:f>
        <x:v>10-&lt;20</x:v>
      </x:c>
    </x:row>
    <x:row r="7445">
      <x:c r="A7445" t="str">
        <x:v>SYN0007444</x:v>
      </x:c>
      <x:c r="B7445" s="12" t="n">
        <x:v>42085</x:v>
      </x:c>
      <x:c r="C7445" s="18" t="n">
        <x:v>11387</x:v>
      </x:c>
      <x:c r="D7445" s="18" t="n">
        <x:v>55382</x:v>
      </x:c>
      <x:c r="E7445" s="18" t="n">
        <x:v>25.96</x:v>
      </x:c>
      <x:c r="F7445" s="18" t="n">
        <x:v>17.17</x:v>
      </x:c>
      <x:c r="G7445" t="n">
        <x:v>36</x:v>
      </x:c>
      <x:c r="H7445" t="str">
        <x:v>E</x:v>
      </x:c>
      <x:c r="I7445" t="str">
        <x:v>&lt;1 year</x:v>
      </x:c>
      <x:c r="J7445" t="str">
        <x:v>OWN</x:v>
      </x:c>
      <x:c r="K7445" t="str">
        <x:v>debt_consolidation</x:v>
      </x:c>
      <x:c r="L7445" t="n">
        <x:v>1</x:v>
      </x:c>
      <x:c r="M7445" t="n">
        <x:v>0</x:v>
      </x:c>
      <x:c r="N7445" t="str">
        <x:v>Fully Paid</x:v>
      </x:c>
      <x:c r="O7445" t="str">
        <x:f>IF(D7445="","Unknown",IF(D7445&lt;25000,"&lt;$25k",IF(D7445&lt;50000,"$25k-$50k",IF(D7445&lt;75000,"$50k-$75k",IF(D7445&lt;100000,"$75k-$100k","$100k+")))))</x:f>
        <x:v>$50k-$75k</x:v>
      </x:c>
      <x:c r="P7445" t="str">
        <x:f>IF(E7445="","Unknown",IF(E7445&lt;10,"&lt;10",IF(E7445&lt;20,"10-&lt;20",IF(E7445&lt;25,"20-&lt;25",IF(E7445&lt;35,"25-&lt;35","35+")))))</x:f>
        <x:v>25-&lt;35</x:v>
      </x:c>
    </x:row>
    <x:row r="7446">
      <x:c r="A7446" t="str">
        <x:v>SYN0007445</x:v>
      </x:c>
      <x:c r="B7446" s="12" t="n">
        <x:v>41725</x:v>
      </x:c>
      <x:c r="C7446" s="18" t="n">
        <x:v>5211</x:v>
      </x:c>
      <x:c r="D7446" s="18" t="n">
        <x:v>27440</x:v>
      </x:c>
      <x:c r="E7446" s="18" t="n">
        <x:v>19.57</x:v>
      </x:c>
      <x:c r="F7446" s="18" t="n">
        <x:v>26.23</x:v>
      </x:c>
      <x:c r="G7446" t="n">
        <x:v>36</x:v>
      </x:c>
      <x:c r="H7446" t="str">
        <x:v>F</x:v>
      </x:c>
      <x:c r="I7446" t="str">
        <x:v>10+ years</x:v>
      </x:c>
      <x:c r="J7446" t="str">
        <x:v>MORTGAGE</x:v>
      </x:c>
      <x:c r="K7446" t="str">
        <x:v>debt_consolidation</x:v>
      </x:c>
      <x:c r="L7446" t="n">
        <x:v>1</x:v>
      </x:c>
      <x:c r="M7446" t="n">
        <x:v>1</x:v>
      </x:c>
      <x:c r="N7446" t="str">
        <x:v>Charged Off</x:v>
      </x:c>
      <x:c r="O7446" t="str">
        <x:f>IF(D7446="","Unknown",IF(D7446&lt;25000,"&lt;$25k",IF(D7446&lt;50000,"$25k-$50k",IF(D7446&lt;75000,"$50k-$75k",IF(D7446&lt;100000,"$75k-$100k","$100k+")))))</x:f>
        <x:v>$25k-$50k</x:v>
      </x:c>
      <x:c r="P7446" t="str">
        <x:f>IF(E7446="","Unknown",IF(E7446&lt;10,"&lt;10",IF(E7446&lt;20,"10-&lt;20",IF(E7446&lt;25,"20-&lt;25",IF(E7446&lt;35,"25-&lt;35","35+")))))</x:f>
        <x:v>10-&lt;20</x:v>
      </x:c>
    </x:row>
    <x:row r="7447">
      <x:c r="A7447" t="str">
        <x:v>SYN0007446</x:v>
      </x:c>
      <x:c r="B7447" s="12" t="n">
        <x:v>41335</x:v>
      </x:c>
      <x:c r="C7447" s="18" t="n">
        <x:v>14375</x:v>
      </x:c>
      <x:c r="D7447" s="18" t="n">
        <x:v>32917</x:v>
      </x:c>
      <x:c r="E7447" s="18" t="n">
        <x:v>19.69</x:v>
      </x:c>
      <x:c r="F7447" s="18" t="n">
        <x:v>9.66</x:v>
      </x:c>
      <x:c r="G7447" t="n">
        <x:v>36</x:v>
      </x:c>
      <x:c r="H7447" t="str">
        <x:v>B</x:v>
      </x:c>
      <x:c r="I7447" t="str">
        <x:v>1-3 years</x:v>
      </x:c>
      <x:c r="J7447" t="str">
        <x:v>RENT</x:v>
      </x:c>
      <x:c r="K7447" t="str">
        <x:v>home_improvement</x:v>
      </x:c>
      <x:c r="L7447" t="n">
        <x:v>0</x:v>
      </x:c>
      <x:c r="M7447" t="n">
        <x:v>0</x:v>
      </x:c>
      <x:c r="N7447" t="str">
        <x:v>Fully Paid</x:v>
      </x:c>
      <x:c r="O7447" t="str">
        <x:f>IF(D7447="","Unknown",IF(D7447&lt;25000,"&lt;$25k",IF(D7447&lt;50000,"$25k-$50k",IF(D7447&lt;75000,"$50k-$75k",IF(D7447&lt;100000,"$75k-$100k","$100k+")))))</x:f>
        <x:v>$25k-$50k</x:v>
      </x:c>
      <x:c r="P7447" t="str">
        <x:f>IF(E7447="","Unknown",IF(E7447&lt;10,"&lt;10",IF(E7447&lt;20,"10-&lt;20",IF(E7447&lt;25,"20-&lt;25",IF(E7447&lt;35,"25-&lt;35","35+")))))</x:f>
        <x:v>10-&lt;20</x:v>
      </x:c>
    </x:row>
    <x:row r="7448">
      <x:c r="A7448" t="str">
        <x:v>SYN0007447</x:v>
      </x:c>
      <x:c r="B7448" s="12" t="n">
        <x:v>43165</x:v>
      </x:c>
      <x:c r="C7448" s="18" t="n">
        <x:v>12650</x:v>
      </x:c>
      <x:c r="D7448" s="18" t="n">
        <x:v>137975</x:v>
      </x:c>
      <x:c r="E7448" s="18" t="n">
        <x:v>21.21</x:v>
      </x:c>
      <x:c r="F7448" s="18" t="n">
        <x:v>5.32</x:v>
      </x:c>
      <x:c r="G7448" t="n">
        <x:v>36</x:v>
      </x:c>
      <x:c r="H7448" t="str">
        <x:v>A</x:v>
      </x:c>
      <x:c r="I7448" t="str">
        <x:v>10+ years</x:v>
      </x:c>
      <x:c r="J7448" t="str">
        <x:v>OWN</x:v>
      </x:c>
      <x:c r="K7448" t="str">
        <x:v>debt_consolidation</x:v>
      </x:c>
      <x:c r="L7448" t="n">
        <x:v>1</x:v>
      </x:c>
      <x:c r="M7448" t="n">
        <x:v>0</x:v>
      </x:c>
      <x:c r="N7448" t="str">
        <x:v>Fully Paid</x:v>
      </x:c>
      <x:c r="O7448" t="str">
        <x:f>IF(D7448="","Unknown",IF(D7448&lt;25000,"&lt;$25k",IF(D7448&lt;50000,"$25k-$50k",IF(D7448&lt;75000,"$50k-$75k",IF(D7448&lt;100000,"$75k-$100k","$100k+")))))</x:f>
        <x:v>$100k+</x:v>
      </x:c>
      <x:c r="P7448" t="str">
        <x:f>IF(E7448="","Unknown",IF(E7448&lt;10,"&lt;10",IF(E7448&lt;20,"10-&lt;20",IF(E7448&lt;25,"20-&lt;25",IF(E7448&lt;35,"25-&lt;35","35+")))))</x:f>
        <x:v>20-&lt;25</x:v>
      </x:c>
    </x:row>
    <x:row r="7449">
      <x:c r="A7449" t="str">
        <x:v>SYN0007448</x:v>
      </x:c>
      <x:c r="B7449" s="12" t="n">
        <x:v>43075</x:v>
      </x:c>
      <x:c r="C7449" s="18" t="n">
        <x:v>18564</x:v>
      </x:c>
      <x:c r="D7449" s="18" t="n">
        <x:v>40564</x:v>
      </x:c>
      <x:c r="E7449" s="18" t="n">
        <x:v>21.06</x:v>
      </x:c>
      <x:c r="F7449" s="18" t="n">
        <x:v>16.01</x:v>
      </x:c>
      <x:c r="G7449" t="n">
        <x:v>36</x:v>
      </x:c>
      <x:c r="H7449" t="str">
        <x:v>D</x:v>
      </x:c>
      <x:c r="I7449" t="str">
        <x:v>4-6 years</x:v>
      </x:c>
      <x:c r="J7449" t="str">
        <x:v>RENT</x:v>
      </x:c>
      <x:c r="K7449" t="str">
        <x:v>medical</x:v>
      </x:c>
      <x:c r="L7449" t="n">
        <x:v>0</x:v>
      </x:c>
      <x:c r="M7449" t="n">
        <x:v>0</x:v>
      </x:c>
      <x:c r="N7449" t="str">
        <x:v>Fully Paid</x:v>
      </x:c>
      <x:c r="O7449" t="str">
        <x:f>IF(D7449="","Unknown",IF(D7449&lt;25000,"&lt;$25k",IF(D7449&lt;50000,"$25k-$50k",IF(D7449&lt;75000,"$50k-$75k",IF(D7449&lt;100000,"$75k-$100k","$100k+")))))</x:f>
        <x:v>$25k-$50k</x:v>
      </x:c>
      <x:c r="P7449" t="str">
        <x:f>IF(E7449="","Unknown",IF(E7449&lt;10,"&lt;10",IF(E7449&lt;20,"10-&lt;20",IF(E7449&lt;25,"20-&lt;25",IF(E7449&lt;35,"25-&lt;35","35+")))))</x:f>
        <x:v>20-&lt;25</x:v>
      </x:c>
    </x:row>
    <x:row r="7450">
      <x:c r="A7450" t="str">
        <x:v>SYN0007449</x:v>
      </x:c>
      <x:c r="B7450" s="12" t="n">
        <x:v>41485</x:v>
      </x:c>
      <x:c r="C7450" s="18" t="n">
        <x:v>7818</x:v>
      </x:c>
      <x:c r="D7450" s="18" t="n">
        <x:v>114634</x:v>
      </x:c>
      <x:c r="E7450" s="18" t="n">
        <x:v>14.89</x:v>
      </x:c>
      <x:c r="F7450" s="18" t="n">
        <x:v>7.22</x:v>
      </x:c>
      <x:c r="G7450" t="n">
        <x:v>36</x:v>
      </x:c>
      <x:c r="H7450" t="str">
        <x:v>A</x:v>
      </x:c>
      <x:c r="I7450" t="str">
        <x:v>4-6 years</x:v>
      </x:c>
      <x:c r="J7450" t="str">
        <x:v>OWN</x:v>
      </x:c>
      <x:c r="K7450" t="str">
        <x:v>debt_consolidation</x:v>
      </x:c>
      <x:c r="L7450" t="n">
        <x:v>2</x:v>
      </x:c>
      <x:c r="M7450" t="n">
        <x:v>0</x:v>
      </x:c>
      <x:c r="N7450" t="str">
        <x:v>Fully Paid</x:v>
      </x:c>
      <x:c r="O7450" t="str">
        <x:f>IF(D7450="","Unknown",IF(D7450&lt;25000,"&lt;$25k",IF(D7450&lt;50000,"$25k-$50k",IF(D7450&lt;75000,"$50k-$75k",IF(D7450&lt;100000,"$75k-$100k","$100k+")))))</x:f>
        <x:v>$100k+</x:v>
      </x:c>
      <x:c r="P7450" t="str">
        <x:f>IF(E7450="","Unknown",IF(E7450&lt;10,"&lt;10",IF(E7450&lt;20,"10-&lt;20",IF(E7450&lt;25,"20-&lt;25",IF(E7450&lt;35,"25-&lt;35","35+")))))</x:f>
        <x:v>10-&lt;20</x:v>
      </x:c>
    </x:row>
    <x:row r="7451">
      <x:c r="A7451" t="str">
        <x:v>SYN0007450</x:v>
      </x:c>
      <x:c r="B7451" s="12" t="n">
        <x:v>42865</x:v>
      </x:c>
      <x:c r="C7451" s="18" t="n">
        <x:v>19769</x:v>
      </x:c>
      <x:c r="D7451" s="18" t="n">
        <x:v>40534</x:v>
      </x:c>
      <x:c r="E7451" s="18" t="n">
        <x:v>18.6</x:v>
      </x:c>
      <x:c r="F7451" s="18" t="n">
        <x:v>5.39</x:v>
      </x:c>
      <x:c r="G7451" t="n">
        <x:v>36</x:v>
      </x:c>
      <x:c r="H7451" t="str">
        <x:v>A</x:v>
      </x:c>
      <x:c r="I7451" t="str">
        <x:v>10+ years</x:v>
      </x:c>
      <x:c r="J7451" t="str">
        <x:v>RENT</x:v>
      </x:c>
      <x:c r="K7451" t="str">
        <x:v>medical</x:v>
      </x:c>
      <x:c r="L7451" t="n">
        <x:v>0</x:v>
      </x:c>
      <x:c r="M7451" t="n">
        <x:v>0</x:v>
      </x:c>
      <x:c r="N7451" t="str">
        <x:v>Fully Paid</x:v>
      </x:c>
      <x:c r="O7451" t="str">
        <x:f>IF(D7451="","Unknown",IF(D7451&lt;25000,"&lt;$25k",IF(D7451&lt;50000,"$25k-$50k",IF(D7451&lt;75000,"$50k-$75k",IF(D7451&lt;100000,"$75k-$100k","$100k+")))))</x:f>
        <x:v>$25k-$50k</x:v>
      </x:c>
      <x:c r="P7451" t="str">
        <x:f>IF(E7451="","Unknown",IF(E7451&lt;10,"&lt;10",IF(E7451&lt;20,"10-&lt;20",IF(E7451&lt;25,"20-&lt;25",IF(E7451&lt;35,"25-&lt;35","35+")))))</x:f>
        <x:v>10-&lt;20</x:v>
      </x:c>
    </x:row>
    <x:row r="7452">
      <x:c r="A7452" t="str">
        <x:v>SYN0007451</x:v>
      </x:c>
      <x:c r="B7452" s="12" t="n">
        <x:v>41425</x:v>
      </x:c>
      <x:c r="C7452" s="18" t="n">
        <x:v>16371</x:v>
      </x:c>
      <x:c r="D7452" s="18" t="n">
        <x:v>31792</x:v>
      </x:c>
      <x:c r="E7452" s="18" t="n">
        <x:v>13.29</x:v>
      </x:c>
      <x:c r="F7452" s="18" t="n">
        <x:v>5.09</x:v>
      </x:c>
      <x:c r="G7452" t="n">
        <x:v>36</x:v>
      </x:c>
      <x:c r="H7452" t="str">
        <x:v>A</x:v>
      </x:c>
      <x:c r="I7452" t="str">
        <x:v>10+ years</x:v>
      </x:c>
      <x:c r="J7452" t="str">
        <x:v>RENT</x:v>
      </x:c>
      <x:c r="K7452" t="str">
        <x:v>debt_consolidation</x:v>
      </x:c>
      <x:c r="L7452" t="n">
        <x:v>0</x:v>
      </x:c>
      <x:c r="M7452" t="n">
        <x:v>0</x:v>
      </x:c>
      <x:c r="N7452" t="str">
        <x:v>Fully Paid</x:v>
      </x:c>
      <x:c r="O7452" t="str">
        <x:f>IF(D7452="","Unknown",IF(D7452&lt;25000,"&lt;$25k",IF(D7452&lt;50000,"$25k-$50k",IF(D7452&lt;75000,"$50k-$75k",IF(D7452&lt;100000,"$75k-$100k","$100k+")))))</x:f>
        <x:v>$25k-$50k</x:v>
      </x:c>
      <x:c r="P7452" t="str">
        <x:f>IF(E7452="","Unknown",IF(E7452&lt;10,"&lt;10",IF(E7452&lt;20,"10-&lt;20",IF(E7452&lt;25,"20-&lt;25",IF(E7452&lt;35,"25-&lt;35","35+")))))</x:f>
        <x:v>10-&lt;20</x:v>
      </x:c>
    </x:row>
    <x:row r="7453">
      <x:c r="A7453" t="str">
        <x:v>SYN0007452</x:v>
      </x:c>
      <x:c r="B7453" s="12" t="n">
        <x:v>42745</x:v>
      </x:c>
      <x:c r="C7453" s="18" t="n">
        <x:v>16205</x:v>
      </x:c>
      <x:c r="D7453" s="18" t="n">
        <x:v>36692</x:v>
      </x:c>
      <x:c r="E7453" s="18" t="n">
        <x:v>8.42</x:v>
      </x:c>
      <x:c r="F7453" s="18" t="n">
        <x:v>12.24</x:v>
      </x:c>
      <x:c r="G7453" t="n">
        <x:v>60</x:v>
      </x:c>
      <x:c r="H7453" t="str">
        <x:v>C</x:v>
      </x:c>
      <x:c r="I7453" t="str">
        <x:v>4-6 years</x:v>
      </x:c>
      <x:c r="J7453" t="str">
        <x:v>MORTGAGE</x:v>
      </x:c>
      <x:c r="K7453" t="str">
        <x:v>debt_consolidation</x:v>
      </x:c>
      <x:c r="L7453" t="n">
        <x:v>1</x:v>
      </x:c>
      <x:c r="M7453" t="n">
        <x:v>0</x:v>
      </x:c>
      <x:c r="N7453" t="str">
        <x:v>Fully Paid</x:v>
      </x:c>
      <x:c r="O7453" t="str">
        <x:f>IF(D7453="","Unknown",IF(D7453&lt;25000,"&lt;$25k",IF(D7453&lt;50000,"$25k-$50k",IF(D7453&lt;75000,"$50k-$75k",IF(D7453&lt;100000,"$75k-$100k","$100k+")))))</x:f>
        <x:v>$25k-$50k</x:v>
      </x:c>
      <x:c r="P7453" t="str">
        <x:f>IF(E7453="","Unknown",IF(E7453&lt;10,"&lt;10",IF(E7453&lt;20,"10-&lt;20",IF(E7453&lt;25,"20-&lt;25",IF(E7453&lt;35,"25-&lt;35","35+")))))</x:f>
        <x:v>&lt;10</x:v>
      </x:c>
    </x:row>
    <x:row r="7454">
      <x:c r="A7454" t="str">
        <x:v>SYN0007453</x:v>
      </x:c>
      <x:c r="B7454" s="12" t="n">
        <x:v>41545</x:v>
      </x:c>
      <x:c r="C7454" s="18" t="n">
        <x:v>19990</x:v>
      </x:c>
      <x:c r="D7454" s="18" t="n">
        <x:v>39392</x:v>
      </x:c>
      <x:c r="E7454" s="18" t="n">
        <x:v>19.2</x:v>
      </x:c>
      <x:c r="F7454" s="18" t="n">
        <x:v>10.84</x:v>
      </x:c>
      <x:c r="G7454" t="n">
        <x:v>36</x:v>
      </x:c>
      <x:c r="H7454" t="str">
        <x:v>B</x:v>
      </x:c>
      <x:c r="I7454" t="str">
        <x:v>4-6 years</x:v>
      </x:c>
      <x:c r="J7454" t="str">
        <x:v>RENT</x:v>
      </x:c>
      <x:c r="K7454" t="str">
        <x:v>medical</x:v>
      </x:c>
      <x:c r="L7454" t="n">
        <x:v>0</x:v>
      </x:c>
      <x:c r="M7454" t="n">
        <x:v>0</x:v>
      </x:c>
      <x:c r="N7454" t="str">
        <x:v>Fully Paid</x:v>
      </x:c>
      <x:c r="O7454" t="str">
        <x:f>IF(D7454="","Unknown",IF(D7454&lt;25000,"&lt;$25k",IF(D7454&lt;50000,"$25k-$50k",IF(D7454&lt;75000,"$50k-$75k",IF(D7454&lt;100000,"$75k-$100k","$100k+")))))</x:f>
        <x:v>$25k-$50k</x:v>
      </x:c>
      <x:c r="P7454" t="str">
        <x:f>IF(E7454="","Unknown",IF(E7454&lt;10,"&lt;10",IF(E7454&lt;20,"10-&lt;20",IF(E7454&lt;25,"20-&lt;25",IF(E7454&lt;35,"25-&lt;35","35+")))))</x:f>
        <x:v>10-&lt;20</x:v>
      </x:c>
    </x:row>
    <x:row r="7455">
      <x:c r="A7455" t="str">
        <x:v>SYN0007454</x:v>
      </x:c>
      <x:c r="B7455" s="12" t="n">
        <x:v>42025</x:v>
      </x:c>
      <x:c r="C7455" s="18" t="n">
        <x:v>12571</x:v>
      </x:c>
      <x:c r="D7455" s="18" t="n">
        <x:v>85397</x:v>
      </x:c>
      <x:c r="E7455" s="18" t="n">
        <x:v>31.17</x:v>
      </x:c>
      <x:c r="F7455" s="18" t="n">
        <x:v>28.24</x:v>
      </x:c>
      <x:c r="G7455" t="n">
        <x:v>36</x:v>
      </x:c>
      <x:c r="H7455" t="str">
        <x:v>G</x:v>
      </x:c>
      <x:c r="I7455" t="str">
        <x:v>4-6 years</x:v>
      </x:c>
      <x:c r="J7455" t="str">
        <x:v>RENT</x:v>
      </x:c>
      <x:c r="K7455" t="str">
        <x:v>home_improvement</x:v>
      </x:c>
      <x:c r="L7455" t="n">
        <x:v>1</x:v>
      </x:c>
      <x:c r="M7455" t="n">
        <x:v>1</x:v>
      </x:c>
      <x:c r="N7455" t="str">
        <x:v>Charged Off</x:v>
      </x:c>
      <x:c r="O7455" t="str">
        <x:f>IF(D7455="","Unknown",IF(D7455&lt;25000,"&lt;$25k",IF(D7455&lt;50000,"$25k-$50k",IF(D7455&lt;75000,"$50k-$75k",IF(D7455&lt;100000,"$75k-$100k","$100k+")))))</x:f>
        <x:v>$75k-$100k</x:v>
      </x:c>
      <x:c r="P7455" t="str">
        <x:f>IF(E7455="","Unknown",IF(E7455&lt;10,"&lt;10",IF(E7455&lt;20,"10-&lt;20",IF(E7455&lt;25,"20-&lt;25",IF(E7455&lt;35,"25-&lt;35","35+")))))</x:f>
        <x:v>25-&lt;35</x:v>
      </x:c>
    </x:row>
    <x:row r="7456">
      <x:c r="A7456" t="str">
        <x:v>SYN0007455</x:v>
      </x:c>
      <x:c r="B7456" s="12" t="n">
        <x:v>42295</x:v>
      </x:c>
      <x:c r="C7456" s="18" t="n">
        <x:v>14050</x:v>
      </x:c>
      <x:c r="D7456" s="18" t="n">
        <x:v>58235</x:v>
      </x:c>
      <x:c r="E7456" s="18" t="n">
        <x:v>31.27</x:v>
      </x:c>
      <x:c r="F7456" s="18" t="n">
        <x:v>8.51</x:v>
      </x:c>
      <x:c r="G7456" t="n">
        <x:v>60</x:v>
      </x:c>
      <x:c r="H7456" t="str">
        <x:v>B</x:v>
      </x:c>
      <x:c r="I7456" t="str">
        <x:v>1-3 years</x:v>
      </x:c>
      <x:c r="J7456" t="str">
        <x:v>MORTGAGE</x:v>
      </x:c>
      <x:c r="K7456" t="str">
        <x:v>debt_consolidation</x:v>
      </x:c>
      <x:c r="L7456" t="n">
        <x:v>0</x:v>
      </x:c>
      <x:c r="M7456" t="n">
        <x:v>0</x:v>
      </x:c>
      <x:c r="N7456" t="str">
        <x:v>Fully Paid</x:v>
      </x:c>
      <x:c r="O7456" t="str">
        <x:f>IF(D7456="","Unknown",IF(D7456&lt;25000,"&lt;$25k",IF(D7456&lt;50000,"$25k-$50k",IF(D7456&lt;75000,"$50k-$75k",IF(D7456&lt;100000,"$75k-$100k","$100k+")))))</x:f>
        <x:v>$50k-$75k</x:v>
      </x:c>
      <x:c r="P7456" t="str">
        <x:f>IF(E7456="","Unknown",IF(E7456&lt;10,"&lt;10",IF(E7456&lt;20,"10-&lt;20",IF(E7456&lt;25,"20-&lt;25",IF(E7456&lt;35,"25-&lt;35","35+")))))</x:f>
        <x:v>25-&lt;35</x:v>
      </x:c>
    </x:row>
    <x:row r="7457">
      <x:c r="A7457" t="str">
        <x:v>SYN0007456</x:v>
      </x:c>
      <x:c r="B7457" s="12" t="n">
        <x:v>42655</x:v>
      </x:c>
      <x:c r="C7457" s="18" t="n">
        <x:v>15076</x:v>
      </x:c>
      <x:c r="D7457" s="18" t="n">
        <x:v>56738</x:v>
      </x:c>
      <x:c r="E7457" s="18" t="n">
        <x:v>22.63</x:v>
      </x:c>
      <x:c r="F7457" s="18" t="n">
        <x:v>5.29</x:v>
      </x:c>
      <x:c r="G7457" t="n">
        <x:v>36</x:v>
      </x:c>
      <x:c r="H7457" t="str">
        <x:v>A</x:v>
      </x:c>
      <x:c r="I7457" t="str">
        <x:v>7-9 years</x:v>
      </x:c>
      <x:c r="J7457" t="str">
        <x:v>RENT</x:v>
      </x:c>
      <x:c r="K7457" t="str">
        <x:v>debt_consolidation</x:v>
      </x:c>
      <x:c r="L7457" t="n">
        <x:v>0</x:v>
      </x:c>
      <x:c r="M7457" t="n">
        <x:v>0</x:v>
      </x:c>
      <x:c r="N7457" t="str">
        <x:v>Fully Paid</x:v>
      </x:c>
      <x:c r="O7457" t="str">
        <x:f>IF(D7457="","Unknown",IF(D7457&lt;25000,"&lt;$25k",IF(D7457&lt;50000,"$25k-$50k",IF(D7457&lt;75000,"$50k-$75k",IF(D7457&lt;100000,"$75k-$100k","$100k+")))))</x:f>
        <x:v>$50k-$75k</x:v>
      </x:c>
      <x:c r="P7457" t="str">
        <x:f>IF(E7457="","Unknown",IF(E7457&lt;10,"&lt;10",IF(E7457&lt;20,"10-&lt;20",IF(E7457&lt;25,"20-&lt;25",IF(E7457&lt;35,"25-&lt;35","35+")))))</x:f>
        <x:v>20-&lt;25</x:v>
      </x:c>
    </x:row>
    <x:row r="7458">
      <x:c r="A7458" t="str">
        <x:v>SYN0007457</x:v>
      </x:c>
      <x:c r="B7458" s="12" t="n">
        <x:v>42355</x:v>
      </x:c>
      <x:c r="C7458" s="18" t="n">
        <x:v>30398</x:v>
      </x:c>
      <x:c r="D7458" s="18" t="n">
        <x:v>51067</x:v>
      </x:c>
      <x:c r="E7458" s="18" t="n">
        <x:v>18.23</x:v>
      </x:c>
      <x:c r="F7458" s="18" t="n">
        <x:v>26.33</x:v>
      </x:c>
      <x:c r="G7458" t="n">
        <x:v>36</x:v>
      </x:c>
      <x:c r="H7458" t="str">
        <x:v>G</x:v>
      </x:c>
      <x:c r="I7458" t="str">
        <x:v>1-3 years</x:v>
      </x:c>
      <x:c r="J7458" t="str">
        <x:v>MORTGAGE</x:v>
      </x:c>
      <x:c r="K7458" t="str">
        <x:v>debt_consolidation</x:v>
      </x:c>
      <x:c r="L7458" t="n">
        <x:v>1</x:v>
      </x:c>
      <x:c r="M7458" t="n">
        <x:v>0</x:v>
      </x:c>
      <x:c r="N7458" t="str">
        <x:v>Fully Paid</x:v>
      </x:c>
      <x:c r="O7458" t="str">
        <x:f>IF(D7458="","Unknown",IF(D7458&lt;25000,"&lt;$25k",IF(D7458&lt;50000,"$25k-$50k",IF(D7458&lt;75000,"$50k-$75k",IF(D7458&lt;100000,"$75k-$100k","$100k+")))))</x:f>
        <x:v>$50k-$75k</x:v>
      </x:c>
      <x:c r="P7458" t="str">
        <x:f>IF(E7458="","Unknown",IF(E7458&lt;10,"&lt;10",IF(E7458&lt;20,"10-&lt;20",IF(E7458&lt;25,"20-&lt;25",IF(E7458&lt;35,"25-&lt;35","35+")))))</x:f>
        <x:v>10-&lt;20</x:v>
      </x:c>
    </x:row>
    <x:row r="7459">
      <x:c r="A7459" t="str">
        <x:v>SYN0007458</x:v>
      </x:c>
      <x:c r="B7459" s="12" t="n">
        <x:v>41815</x:v>
      </x:c>
      <x:c r="C7459" s="18" t="n">
        <x:v>22472</x:v>
      </x:c>
      <x:c r="D7459" s="18" t="n">
        <x:v>15619</x:v>
      </x:c>
      <x:c r="E7459" s="18" t="n">
        <x:v>21.31</x:v>
      </x:c>
      <x:c r="F7459" s="18" t="n">
        <x:v>9.05</x:v>
      </x:c>
      <x:c r="G7459" t="n">
        <x:v>60</x:v>
      </x:c>
      <x:c r="H7459" t="str">
        <x:v>C</x:v>
      </x:c>
      <x:c r="I7459" t="str">
        <x:v>7-9 years</x:v>
      </x:c>
      <x:c r="J7459" t="str">
        <x:v>RENT</x:v>
      </x:c>
      <x:c r="K7459" t="str">
        <x:v>debt_consolidation</x:v>
      </x:c>
      <x:c r="L7459" t="n">
        <x:v>1</x:v>
      </x:c>
      <x:c r="M7459" t="n">
        <x:v>0</x:v>
      </x:c>
      <x:c r="N7459" t="str">
        <x:v>Fully Paid</x:v>
      </x:c>
      <x:c r="O7459" t="str">
        <x:f>IF(D7459="","Unknown",IF(D7459&lt;25000,"&lt;$25k",IF(D7459&lt;50000,"$25k-$50k",IF(D7459&lt;75000,"$50k-$75k",IF(D7459&lt;100000,"$75k-$100k","$100k+")))))</x:f>
        <x:v>&lt;$25k</x:v>
      </x:c>
      <x:c r="P7459" t="str">
        <x:f>IF(E7459="","Unknown",IF(E7459&lt;10,"&lt;10",IF(E7459&lt;20,"10-&lt;20",IF(E7459&lt;25,"20-&lt;25",IF(E7459&lt;35,"25-&lt;35","35+")))))</x:f>
        <x:v>20-&lt;25</x:v>
      </x:c>
    </x:row>
    <x:row r="7460">
      <x:c r="A7460" t="str">
        <x:v>SYN0007459</x:v>
      </x:c>
      <x:c r="B7460" s="12" t="n">
        <x:v>41845</x:v>
      </x:c>
      <x:c r="C7460" s="18" t="n">
        <x:v>21821</x:v>
      </x:c>
      <x:c r="D7460" s="18" t="n">
        <x:v>15398</x:v>
      </x:c>
      <x:c r="E7460" s="18" t="n">
        <x:v>24.66</x:v>
      </x:c>
      <x:c r="F7460" s="18" t="n">
        <x:v>7.82</x:v>
      </x:c>
      <x:c r="G7460" t="n">
        <x:v>36</x:v>
      </x:c>
      <x:c r="H7460" t="str">
        <x:v>A</x:v>
      </x:c>
      <x:c r="I7460" t="str">
        <x:v>7-9 years</x:v>
      </x:c>
      <x:c r="J7460" t="str">
        <x:v>MORTGAGE</x:v>
      </x:c>
      <x:c r="K7460" t="str">
        <x:v>credit_card</x:v>
      </x:c>
      <x:c r="L7460" t="n">
        <x:v>1</x:v>
      </x:c>
      <x:c r="M7460" t="n">
        <x:v>0</x:v>
      </x:c>
      <x:c r="N7460" t="str">
        <x:v>Fully Paid</x:v>
      </x:c>
      <x:c r="O7460" t="str">
        <x:f>IF(D7460="","Unknown",IF(D7460&lt;25000,"&lt;$25k",IF(D7460&lt;50000,"$25k-$50k",IF(D7460&lt;75000,"$50k-$75k",IF(D7460&lt;100000,"$75k-$100k","$100k+")))))</x:f>
        <x:v>&lt;$25k</x:v>
      </x:c>
      <x:c r="P7460" t="str">
        <x:f>IF(E7460="","Unknown",IF(E7460&lt;10,"&lt;10",IF(E7460&lt;20,"10-&lt;20",IF(E7460&lt;25,"20-&lt;25",IF(E7460&lt;35,"25-&lt;35","35+")))))</x:f>
        <x:v>20-&lt;25</x:v>
      </x:c>
    </x:row>
    <x:row r="7461">
      <x:c r="A7461" t="str">
        <x:v>SYN0007460</x:v>
      </x:c>
      <x:c r="B7461" s="12" t="n">
        <x:v>42415</x:v>
      </x:c>
      <x:c r="C7461" s="18" t="n">
        <x:v>11121</x:v>
      </x:c>
      <x:c r="D7461" s="18" t="n">
        <x:v>57472</x:v>
      </x:c>
      <x:c r="E7461" s="18" t="n">
        <x:v>25.23</x:v>
      </x:c>
      <x:c r="F7461" s="18" t="n">
        <x:v>23.94</x:v>
      </x:c>
      <x:c r="G7461" t="n">
        <x:v>36</x:v>
      </x:c>
      <x:c r="H7461" t="str">
        <x:v>F</x:v>
      </x:c>
      <x:c r="I7461" t="str">
        <x:v>4-6 years</x:v>
      </x:c>
      <x:c r="J7461" t="str">
        <x:v>RENT</x:v>
      </x:c>
      <x:c r="K7461" t="str">
        <x:v>medical</x:v>
      </x:c>
      <x:c r="L7461" t="n">
        <x:v>0</x:v>
      </x:c>
      <x:c r="M7461" t="n">
        <x:v>0</x:v>
      </x:c>
      <x:c r="N7461" t="str">
        <x:v>Fully Paid</x:v>
      </x:c>
      <x:c r="O7461" t="str">
        <x:f>IF(D7461="","Unknown",IF(D7461&lt;25000,"&lt;$25k",IF(D7461&lt;50000,"$25k-$50k",IF(D7461&lt;75000,"$50k-$75k",IF(D7461&lt;100000,"$75k-$100k","$100k+")))))</x:f>
        <x:v>$50k-$75k</x:v>
      </x:c>
      <x:c r="P7461" t="str">
        <x:f>IF(E7461="","Unknown",IF(E7461&lt;10,"&lt;10",IF(E7461&lt;20,"10-&lt;20",IF(E7461&lt;25,"20-&lt;25",IF(E7461&lt;35,"25-&lt;35","35+")))))</x:f>
        <x:v>25-&lt;35</x:v>
      </x:c>
    </x:row>
    <x:row r="7462">
      <x:c r="A7462" t="str">
        <x:v>SYN0007461</x:v>
      </x:c>
      <x:c r="B7462" s="12" t="n">
        <x:v>42715</x:v>
      </x:c>
      <x:c r="C7462" s="18" t="n">
        <x:v>10884</x:v>
      </x:c>
      <x:c r="D7462" s="18" t="n">
        <x:v>86501</x:v>
      </x:c>
      <x:c r="E7462" s="18" t="n">
        <x:v>10.69</x:v>
      </x:c>
      <x:c r="F7462" s="18" t="n">
        <x:v>6.96</x:v>
      </x:c>
      <x:c r="G7462" t="n">
        <x:v>36</x:v>
      </x:c>
      <x:c r="H7462" t="str">
        <x:v>B</x:v>
      </x:c>
      <x:c r="I7462" t="str">
        <x:v>10+ years</x:v>
      </x:c>
      <x:c r="J7462" t="str">
        <x:v>RENT</x:v>
      </x:c>
      <x:c r="K7462" t="str">
        <x:v>other</x:v>
      </x:c>
      <x:c r="L7462" t="n">
        <x:v>0</x:v>
      </x:c>
      <x:c r="M7462" t="n">
        <x:v>0</x:v>
      </x:c>
      <x:c r="N7462" t="str">
        <x:v>Fully Paid</x:v>
      </x:c>
      <x:c r="O7462" t="str">
        <x:f>IF(D7462="","Unknown",IF(D7462&lt;25000,"&lt;$25k",IF(D7462&lt;50000,"$25k-$50k",IF(D7462&lt;75000,"$50k-$75k",IF(D7462&lt;100000,"$75k-$100k","$100k+")))))</x:f>
        <x:v>$75k-$100k</x:v>
      </x:c>
      <x:c r="P7462" t="str">
        <x:f>IF(E7462="","Unknown",IF(E7462&lt;10,"&lt;10",IF(E7462&lt;20,"10-&lt;20",IF(E7462&lt;25,"20-&lt;25",IF(E7462&lt;35,"25-&lt;35","35+")))))</x:f>
        <x:v>10-&lt;20</x:v>
      </x:c>
    </x:row>
    <x:row r="7463">
      <x:c r="A7463" t="str">
        <x:v>SYN0007462</x:v>
      </x:c>
      <x:c r="B7463" s="12" t="n">
        <x:v>43255</x:v>
      </x:c>
      <x:c r="C7463" s="18" t="n">
        <x:v>6599</x:v>
      </x:c>
      <x:c r="D7463" s="18" t="n">
        <x:v>143449</x:v>
      </x:c>
      <x:c r="E7463" s="18" t="n">
        <x:v>15.28</x:v>
      </x:c>
      <x:c r="F7463" s="18" t="n">
        <x:v>10.5</x:v>
      </x:c>
      <x:c r="G7463" t="n">
        <x:v>36</x:v>
      </x:c>
      <x:c r="H7463" t="str">
        <x:v>C</x:v>
      </x:c>
      <x:c r="I7463" t="str">
        <x:v>4-6 years</x:v>
      </x:c>
      <x:c r="J7463" t="str">
        <x:v>MORTGAGE</x:v>
      </x:c>
      <x:c r="K7463" t="str">
        <x:v>home_improvement</x:v>
      </x:c>
      <x:c r="L7463" t="n">
        <x:v>1</x:v>
      </x:c>
      <x:c r="M7463" t="n">
        <x:v>0</x:v>
      </x:c>
      <x:c r="N7463" t="str">
        <x:v>Fully Paid</x:v>
      </x:c>
      <x:c r="O7463" t="str">
        <x:f>IF(D7463="","Unknown",IF(D7463&lt;25000,"&lt;$25k",IF(D7463&lt;50000,"$25k-$50k",IF(D7463&lt;75000,"$50k-$75k",IF(D7463&lt;100000,"$75k-$100k","$100k+")))))</x:f>
        <x:v>$100k+</x:v>
      </x:c>
      <x:c r="P7463" t="str">
        <x:f>IF(E7463="","Unknown",IF(E7463&lt;10,"&lt;10",IF(E7463&lt;20,"10-&lt;20",IF(E7463&lt;25,"20-&lt;25",IF(E7463&lt;35,"25-&lt;35","35+")))))</x:f>
        <x:v>10-&lt;20</x:v>
      </x:c>
    </x:row>
    <x:row r="7464">
      <x:c r="A7464" t="str">
        <x:v>SYN0007463</x:v>
      </x:c>
      <x:c r="B7464" s="12" t="n">
        <x:v>42025</x:v>
      </x:c>
      <x:c r="C7464" s="18" t="n">
        <x:v>11478</x:v>
      </x:c>
      <x:c r="D7464" s="18" t="n">
        <x:v>20105</x:v>
      </x:c>
      <x:c r="E7464" s="18" t="n">
        <x:v>19.95</x:v>
      </x:c>
      <x:c r="F7464" s="18" t="n">
        <x:v>13.68</x:v>
      </x:c>
      <x:c r="G7464" t="n">
        <x:v>36</x:v>
      </x:c>
      <x:c r="H7464" t="str">
        <x:v>C</x:v>
      </x:c>
      <x:c r="I7464" t="str">
        <x:v>7-9 years</x:v>
      </x:c>
      <x:c r="J7464" t="str">
        <x:v>MORTGAGE</x:v>
      </x:c>
      <x:c r="K7464" t="str">
        <x:v>credit_card</x:v>
      </x:c>
      <x:c r="L7464" t="n">
        <x:v>1</x:v>
      </x:c>
      <x:c r="M7464" t="n">
        <x:v>1</x:v>
      </x:c>
      <x:c r="N7464" t="str">
        <x:v>Charged Off</x:v>
      </x:c>
      <x:c r="O7464" t="str">
        <x:f>IF(D7464="","Unknown",IF(D7464&lt;25000,"&lt;$25k",IF(D7464&lt;50000,"$25k-$50k",IF(D7464&lt;75000,"$50k-$75k",IF(D7464&lt;100000,"$75k-$100k","$100k+")))))</x:f>
        <x:v>&lt;$25k</x:v>
      </x:c>
      <x:c r="P7464" t="str">
        <x:f>IF(E7464="","Unknown",IF(E7464&lt;10,"&lt;10",IF(E7464&lt;20,"10-&lt;20",IF(E7464&lt;25,"20-&lt;25",IF(E7464&lt;35,"25-&lt;35","35+")))))</x:f>
        <x:v>10-&lt;20</x:v>
      </x:c>
    </x:row>
    <x:row r="7465">
      <x:c r="A7465" t="str">
        <x:v>SYN0007464</x:v>
      </x:c>
      <x:c r="B7465" s="12" t="n">
        <x:v>42415</x:v>
      </x:c>
      <x:c r="C7465" s="18" t="n">
        <x:v>7917</x:v>
      </x:c>
      <x:c r="D7465" s="18" t="n">
        <x:v>34946</x:v>
      </x:c>
      <x:c r="E7465" s="18" t="n">
        <x:v>17.64</x:v>
      </x:c>
      <x:c r="F7465" s="18" t="n">
        <x:v>7.37</x:v>
      </x:c>
      <x:c r="G7465" t="n">
        <x:v>36</x:v>
      </x:c>
      <x:c r="H7465" t="str">
        <x:v>B</x:v>
      </x:c>
      <x:c r="I7465" t="str">
        <x:v>4-6 years</x:v>
      </x:c>
      <x:c r="J7465" t="str">
        <x:v>RENT</x:v>
      </x:c>
      <x:c r="K7465" t="str">
        <x:v>home_improvement</x:v>
      </x:c>
      <x:c r="L7465" t="n">
        <x:v>0</x:v>
      </x:c>
      <x:c r="M7465" t="n">
        <x:v>0</x:v>
      </x:c>
      <x:c r="N7465" t="str">
        <x:v>Fully Paid</x:v>
      </x:c>
      <x:c r="O7465" t="str">
        <x:f>IF(D7465="","Unknown",IF(D7465&lt;25000,"&lt;$25k",IF(D7465&lt;50000,"$25k-$50k",IF(D7465&lt;75000,"$50k-$75k",IF(D7465&lt;100000,"$75k-$100k","$100k+")))))</x:f>
        <x:v>$25k-$50k</x:v>
      </x:c>
      <x:c r="P7465" t="str">
        <x:f>IF(E7465="","Unknown",IF(E7465&lt;10,"&lt;10",IF(E7465&lt;20,"10-&lt;20",IF(E7465&lt;25,"20-&lt;25",IF(E7465&lt;35,"25-&lt;35","35+")))))</x:f>
        <x:v>10-&lt;20</x:v>
      </x:c>
    </x:row>
    <x:row r="7466">
      <x:c r="A7466" t="str">
        <x:v>SYN0007465</x:v>
      </x:c>
      <x:c r="B7466" s="12" t="n">
        <x:v>42895</x:v>
      </x:c>
      <x:c r="C7466" s="18" t="n">
        <x:v>12625</x:v>
      </x:c>
      <x:c r="D7466" s="18" t="n">
        <x:v>50522</x:v>
      </x:c>
      <x:c r="E7466" s="18" t="n">
        <x:v>11.98</x:v>
      </x:c>
      <x:c r="F7466" s="18" t="n">
        <x:v>19.75</x:v>
      </x:c>
      <x:c r="G7466" t="n">
        <x:v>60</x:v>
      </x:c>
      <x:c r="H7466" t="str">
        <x:v>F</x:v>
      </x:c>
      <x:c r="I7466" t="str">
        <x:v>1-3 years</x:v>
      </x:c>
      <x:c r="J7466" t="str">
        <x:v>RENT</x:v>
      </x:c>
      <x:c r="K7466" t="str">
        <x:v>home_improvement</x:v>
      </x:c>
      <x:c r="L7466" t="n">
        <x:v>0</x:v>
      </x:c>
      <x:c r="M7466" t="n">
        <x:v>0</x:v>
      </x:c>
      <x:c r="N7466" t="str">
        <x:v>Fully Paid</x:v>
      </x:c>
      <x:c r="O7466" t="str">
        <x:f>IF(D7466="","Unknown",IF(D7466&lt;25000,"&lt;$25k",IF(D7466&lt;50000,"$25k-$50k",IF(D7466&lt;75000,"$50k-$75k",IF(D7466&lt;100000,"$75k-$100k","$100k+")))))</x:f>
        <x:v>$50k-$75k</x:v>
      </x:c>
      <x:c r="P7466" t="str">
        <x:f>IF(E7466="","Unknown",IF(E7466&lt;10,"&lt;10",IF(E7466&lt;20,"10-&lt;20",IF(E7466&lt;25,"20-&lt;25",IF(E7466&lt;35,"25-&lt;35","35+")))))</x:f>
        <x:v>10-&lt;20</x:v>
      </x:c>
    </x:row>
    <x:row r="7467">
      <x:c r="A7467" t="str">
        <x:v>SYN0007466</x:v>
      </x:c>
      <x:c r="B7467" s="12" t="n">
        <x:v>42565</x:v>
      </x:c>
      <x:c r="C7467" s="18" t="n">
        <x:v>13924</x:v>
      </x:c>
      <x:c r="D7467" s="18" t="n">
        <x:v>34463</x:v>
      </x:c>
      <x:c r="E7467" s="18" t="n">
        <x:v>0</x:v>
      </x:c>
      <x:c r="F7467" s="18" t="n">
        <x:v>5.66</x:v>
      </x:c>
      <x:c r="G7467" t="n">
        <x:v>36</x:v>
      </x:c>
      <x:c r="H7467" t="str">
        <x:v>A</x:v>
      </x:c>
      <x:c r="I7467" t="str">
        <x:v>4-6 years</x:v>
      </x:c>
      <x:c r="J7467" t="str">
        <x:v>OWN</x:v>
      </x:c>
      <x:c r="K7467" t="str">
        <x:v>major_purchase</x:v>
      </x:c>
      <x:c r="L7467" t="n">
        <x:v>0</x:v>
      </x:c>
      <x:c r="M7467" t="n">
        <x:v>0</x:v>
      </x:c>
      <x:c r="N7467" t="str">
        <x:v>Fully Paid</x:v>
      </x:c>
      <x:c r="O7467" t="str">
        <x:f>IF(D7467="","Unknown",IF(D7467&lt;25000,"&lt;$25k",IF(D7467&lt;50000,"$25k-$50k",IF(D7467&lt;75000,"$50k-$75k",IF(D7467&lt;100000,"$75k-$100k","$100k+")))))</x:f>
        <x:v>$25k-$50k</x:v>
      </x:c>
      <x:c r="P7467" t="str">
        <x:f>IF(E7467="","Unknown",IF(E7467&lt;10,"&lt;10",IF(E7467&lt;20,"10-&lt;20",IF(E7467&lt;25,"20-&lt;25",IF(E7467&lt;35,"25-&lt;35","35+")))))</x:f>
        <x:v>Unknown</x:v>
      </x:c>
    </x:row>
    <x:row r="7468">
      <x:c r="A7468" t="str">
        <x:v>SYN0007467</x:v>
      </x:c>
      <x:c r="B7468" s="12" t="n">
        <x:v>41305</x:v>
      </x:c>
      <x:c r="C7468" s="18" t="n">
        <x:v>7631</x:v>
      </x:c>
      <x:c r="D7468" s="18" t="n">
        <x:v>250000</x:v>
      </x:c>
      <x:c r="E7468" s="18" t="n">
        <x:v>18.23</x:v>
      </x:c>
      <x:c r="F7468" s="18" t="n">
        <x:v>7.41</x:v>
      </x:c>
      <x:c r="G7468" t="n">
        <x:v>36</x:v>
      </x:c>
      <x:c r="H7468" t="str">
        <x:v>B</x:v>
      </x:c>
      <x:c r="I7468" t="str">
        <x:v>10+ years</x:v>
      </x:c>
      <x:c r="J7468" t="str">
        <x:v>MORTGAGE</x:v>
      </x:c>
      <x:c r="K7468" t="str">
        <x:v>debt_consolidation</x:v>
      </x:c>
      <x:c r="L7468" t="n">
        <x:v>0</x:v>
      </x:c>
      <x:c r="M7468" t="n">
        <x:v>0</x:v>
      </x:c>
      <x:c r="N7468" t="str">
        <x:v>Fully Paid</x:v>
      </x:c>
      <x:c r="O7468" t="str">
        <x:f>IF(D7468="","Unknown",IF(D7468&lt;25000,"&lt;$25k",IF(D7468&lt;50000,"$25k-$50k",IF(D7468&lt;75000,"$50k-$75k",IF(D7468&lt;100000,"$75k-$100k","$100k+")))))</x:f>
        <x:v>$100k+</x:v>
      </x:c>
      <x:c r="P7468" t="str">
        <x:f>IF(E7468="","Unknown",IF(E7468&lt;10,"&lt;10",IF(E7468&lt;20,"10-&lt;20",IF(E7468&lt;25,"20-&lt;25",IF(E7468&lt;35,"25-&lt;35","35+")))))</x:f>
        <x:v>10-&lt;20</x:v>
      </x:c>
    </x:row>
    <x:row r="7469">
      <x:c r="A7469" t="str">
        <x:v>SYN0007468</x:v>
      </x:c>
      <x:c r="B7469" s="12" t="n">
        <x:v>42355</x:v>
      </x:c>
      <x:c r="C7469" s="18" t="n">
        <x:v>11121</x:v>
      </x:c>
      <x:c r="D7469" s="18" t="n">
        <x:v>12000</x:v>
      </x:c>
      <x:c r="E7469" s="18" t="n">
        <x:v>20.82</x:v>
      </x:c>
      <x:c r="F7469" s="18" t="n">
        <x:v>8.55</x:v>
      </x:c>
      <x:c r="G7469" t="n">
        <x:v>36</x:v>
      </x:c>
      <x:c r="H7469" t="str">
        <x:v>C</x:v>
      </x:c>
      <x:c r="I7469" t="str">
        <x:v>7-9 years</x:v>
      </x:c>
      <x:c r="J7469" t="str">
        <x:v>OWN</x:v>
      </x:c>
      <x:c r="K7469" t="str">
        <x:v>debt_consolidation</x:v>
      </x:c>
      <x:c r="L7469" t="n">
        <x:v>0</x:v>
      </x:c>
      <x:c r="M7469" t="n">
        <x:v>0</x:v>
      </x:c>
      <x:c r="N7469" t="str">
        <x:v>Fully Paid</x:v>
      </x:c>
      <x:c r="O7469" t="str">
        <x:f>IF(D7469="","Unknown",IF(D7469&lt;25000,"&lt;$25k",IF(D7469&lt;50000,"$25k-$50k",IF(D7469&lt;75000,"$50k-$75k",IF(D7469&lt;100000,"$75k-$100k","$100k+")))))</x:f>
        <x:v>&lt;$25k</x:v>
      </x:c>
      <x:c r="P7469" t="str">
        <x:f>IF(E7469="","Unknown",IF(E7469&lt;10,"&lt;10",IF(E7469&lt;20,"10-&lt;20",IF(E7469&lt;25,"20-&lt;25",IF(E7469&lt;35,"25-&lt;35","35+")))))</x:f>
        <x:v>20-&lt;25</x:v>
      </x:c>
    </x:row>
    <x:row r="7470">
      <x:c r="A7470" t="str">
        <x:v>SYN0007469</x:v>
      </x:c>
      <x:c r="B7470" s="12" t="n">
        <x:v>42955</x:v>
      </x:c>
      <x:c r="C7470" s="18" t="n">
        <x:v>18914</x:v>
      </x:c>
      <x:c r="D7470" s="18" t="n">
        <x:v>48396</x:v>
      </x:c>
      <x:c r="E7470" s="18" t="n">
        <x:v>12.15</x:v>
      </x:c>
      <x:c r="F7470" s="18" t="n">
        <x:v>9.83</x:v>
      </x:c>
      <x:c r="G7470" t="n">
        <x:v>60</x:v>
      </x:c>
      <x:c r="H7470" t="str">
        <x:v>B</x:v>
      </x:c>
      <x:c r="I7470" t="str">
        <x:v>7-9 years</x:v>
      </x:c>
      <x:c r="J7470" t="str">
        <x:v>MORTGAGE</x:v>
      </x:c>
      <x:c r="K7470" t="str">
        <x:v>debt_consolidation</x:v>
      </x:c>
      <x:c r="L7470" t="n">
        <x:v>2</x:v>
      </x:c>
      <x:c r="M7470" t="n">
        <x:v>0</x:v>
      </x:c>
      <x:c r="N7470" t="str">
        <x:v>Fully Paid</x:v>
      </x:c>
      <x:c r="O7470" t="str">
        <x:f>IF(D7470="","Unknown",IF(D7470&lt;25000,"&lt;$25k",IF(D7470&lt;50000,"$25k-$50k",IF(D7470&lt;75000,"$50k-$75k",IF(D7470&lt;100000,"$75k-$100k","$100k+")))))</x:f>
        <x:v>$25k-$50k</x:v>
      </x:c>
      <x:c r="P7470" t="str">
        <x:f>IF(E7470="","Unknown",IF(E7470&lt;10,"&lt;10",IF(E7470&lt;20,"10-&lt;20",IF(E7470&lt;25,"20-&lt;25",IF(E7470&lt;35,"25-&lt;35","35+")))))</x:f>
        <x:v>10-&lt;20</x:v>
      </x:c>
    </x:row>
    <x:row r="7471">
      <x:c r="A7471" t="str">
        <x:v>SYN0007470</x:v>
      </x:c>
      <x:c r="B7471" s="12" t="n">
        <x:v>42205</x:v>
      </x:c>
      <x:c r="C7471" s="18" t="n">
        <x:v>10123</x:v>
      </x:c>
      <x:c r="D7471" s="18" t="n">
        <x:v>124609</x:v>
      </x:c>
      <x:c r="E7471" s="18" t="n">
        <x:v>19.31</x:v>
      </x:c>
      <x:c r="F7471" s="18" t="n">
        <x:v>11.77</x:v>
      </x:c>
      <x:c r="G7471" t="n">
        <x:v>36</x:v>
      </x:c>
      <x:c r="H7471" t="str">
        <x:v>B</x:v>
      </x:c>
      <x:c r="I7471" t="str">
        <x:v>1-3 years</x:v>
      </x:c>
      <x:c r="J7471" t="str">
        <x:v>MORTGAGE</x:v>
      </x:c>
      <x:c r="K7471" t="str">
        <x:v>other</x:v>
      </x:c>
      <x:c r="L7471" t="n">
        <x:v>1</x:v>
      </x:c>
      <x:c r="M7471" t="n">
        <x:v>0</x:v>
      </x:c>
      <x:c r="N7471" t="str">
        <x:v>Fully Paid</x:v>
      </x:c>
      <x:c r="O7471" t="str">
        <x:f>IF(D7471="","Unknown",IF(D7471&lt;25000,"&lt;$25k",IF(D7471&lt;50000,"$25k-$50k",IF(D7471&lt;75000,"$50k-$75k",IF(D7471&lt;100000,"$75k-$100k","$100k+")))))</x:f>
        <x:v>$100k+</x:v>
      </x:c>
      <x:c r="P7471" t="str">
        <x:f>IF(E7471="","Unknown",IF(E7471&lt;10,"&lt;10",IF(E7471&lt;20,"10-&lt;20",IF(E7471&lt;25,"20-&lt;25",IF(E7471&lt;35,"25-&lt;35","35+")))))</x:f>
        <x:v>10-&lt;20</x:v>
      </x:c>
    </x:row>
    <x:row r="7472">
      <x:c r="A7472" t="str">
        <x:v>SYN0007471</x:v>
      </x:c>
      <x:c r="B7472" s="12" t="n">
        <x:v>42415</x:v>
      </x:c>
      <x:c r="C7472" s="18" t="n">
        <x:v>9713</x:v>
      </x:c>
      <x:c r="D7472" s="18" t="n">
        <x:v>31234</x:v>
      </x:c>
      <x:c r="E7472" s="18" t="n">
        <x:v>23.1</x:v>
      </x:c>
      <x:c r="F7472" s="18" t="n">
        <x:v>11.54</x:v>
      </x:c>
      <x:c r="G7472" t="n">
        <x:v>36</x:v>
      </x:c>
      <x:c r="H7472" t="str">
        <x:v>B</x:v>
      </x:c>
      <x:c r="I7472" t="str">
        <x:v>4-6 years</x:v>
      </x:c>
      <x:c r="J7472" t="str">
        <x:v>RENT</x:v>
      </x:c>
      <x:c r="K7472" t="str">
        <x:v>other</x:v>
      </x:c>
      <x:c r="L7472" t="n">
        <x:v>1</x:v>
      </x:c>
      <x:c r="M7472" t="n">
        <x:v>1</x:v>
      </x:c>
      <x:c r="N7472" t="str">
        <x:v>Charged Off</x:v>
      </x:c>
      <x:c r="O7472" t="str">
        <x:f>IF(D7472="","Unknown",IF(D7472&lt;25000,"&lt;$25k",IF(D7472&lt;50000,"$25k-$50k",IF(D7472&lt;75000,"$50k-$75k",IF(D7472&lt;100000,"$75k-$100k","$100k+")))))</x:f>
        <x:v>$25k-$50k</x:v>
      </x:c>
      <x:c r="P7472" t="str">
        <x:f>IF(E7472="","Unknown",IF(E7472&lt;10,"&lt;10",IF(E7472&lt;20,"10-&lt;20",IF(E7472&lt;25,"20-&lt;25",IF(E7472&lt;35,"25-&lt;35","35+")))))</x:f>
        <x:v>20-&lt;25</x:v>
      </x:c>
    </x:row>
    <x:row r="7473">
      <x:c r="A7473" t="str">
        <x:v>SYN0007472</x:v>
      </x:c>
      <x:c r="B7473" s="12" t="n">
        <x:v>41995</x:v>
      </x:c>
      <x:c r="C7473" s="18" t="n">
        <x:v>22274</x:v>
      </x:c>
      <x:c r="D7473" s="18" t="n">
        <x:v>20918</x:v>
      </x:c>
      <x:c r="E7473" s="18" t="n">
        <x:v>22.41</x:v>
      </x:c>
      <x:c r="F7473" s="18" t="n">
        <x:v>5.3</x:v>
      </x:c>
      <x:c r="G7473" t="n">
        <x:v>60</x:v>
      </x:c>
      <x:c r="H7473" t="str">
        <x:v>A</x:v>
      </x:c>
      <x:c r="I7473" t="str">
        <x:v>7-9 years</x:v>
      </x:c>
      <x:c r="J7473" t="str">
        <x:v>MORTGAGE</x:v>
      </x:c>
      <x:c r="K7473" t="str">
        <x:v>debt_consolidation</x:v>
      </x:c>
      <x:c r="L7473" t="n">
        <x:v>0</x:v>
      </x:c>
      <x:c r="M7473" t="n">
        <x:v>0</x:v>
      </x:c>
      <x:c r="N7473" t="str">
        <x:v>Fully Paid</x:v>
      </x:c>
      <x:c r="O7473" t="str">
        <x:f>IF(D7473="","Unknown",IF(D7473&lt;25000,"&lt;$25k",IF(D7473&lt;50000,"$25k-$50k",IF(D7473&lt;75000,"$50k-$75k",IF(D7473&lt;100000,"$75k-$100k","$100k+")))))</x:f>
        <x:v>&lt;$25k</x:v>
      </x:c>
      <x:c r="P7473" t="str">
        <x:f>IF(E7473="","Unknown",IF(E7473&lt;10,"&lt;10",IF(E7473&lt;20,"10-&lt;20",IF(E7473&lt;25,"20-&lt;25",IF(E7473&lt;35,"25-&lt;35","35+")))))</x:f>
        <x:v>20-&lt;25</x:v>
      </x:c>
    </x:row>
    <x:row r="7474">
      <x:c r="A7474" t="str">
        <x:v>SYN0007473</x:v>
      </x:c>
      <x:c r="B7474" s="12" t="n">
        <x:v>43345</x:v>
      </x:c>
      <x:c r="C7474" s="18" t="n">
        <x:v>10495</x:v>
      </x:c>
      <x:c r="D7474" s="18" t="n">
        <x:v>47143</x:v>
      </x:c>
      <x:c r="E7474" s="18" t="n">
        <x:v>23.78</x:v>
      </x:c>
      <x:c r="F7474" s="18" t="n">
        <x:v>22.73</x:v>
      </x:c>
      <x:c r="G7474" t="n">
        <x:v>36</x:v>
      </x:c>
      <x:c r="H7474" t="str">
        <x:v>F</x:v>
      </x:c>
      <x:c r="I7474" t="str">
        <x:v>10+ years</x:v>
      </x:c>
      <x:c r="J7474" t="str">
        <x:v>RENT</x:v>
      </x:c>
      <x:c r="K7474" t="str">
        <x:v>credit_card</x:v>
      </x:c>
      <x:c r="L7474" t="n">
        <x:v>0</x:v>
      </x:c>
      <x:c r="M7474" t="n">
        <x:v>0</x:v>
      </x:c>
      <x:c r="N7474" t="str">
        <x:v>Fully Paid</x:v>
      </x:c>
      <x:c r="O7474" t="str">
        <x:f>IF(D7474="","Unknown",IF(D7474&lt;25000,"&lt;$25k",IF(D7474&lt;50000,"$25k-$50k",IF(D7474&lt;75000,"$50k-$75k",IF(D7474&lt;100000,"$75k-$100k","$100k+")))))</x:f>
        <x:v>$25k-$50k</x:v>
      </x:c>
      <x:c r="P7474" t="str">
        <x:f>IF(E7474="","Unknown",IF(E7474&lt;10,"&lt;10",IF(E7474&lt;20,"10-&lt;20",IF(E7474&lt;25,"20-&lt;25",IF(E7474&lt;35,"25-&lt;35","35+")))))</x:f>
        <x:v>20-&lt;25</x:v>
      </x:c>
    </x:row>
    <x:row r="7475">
      <x:c r="A7475" t="str">
        <x:v>SYN0007474</x:v>
      </x:c>
      <x:c r="B7475" s="12" t="n">
        <x:v>43015</x:v>
      </x:c>
      <x:c r="C7475" s="18" t="n">
        <x:v>11819</x:v>
      </x:c>
      <x:c r="D7475" s="18" t="n">
        <x:v>26682</x:v>
      </x:c>
      <x:c r="E7475" s="18" t="n">
        <x:v>8.7</x:v>
      </x:c>
      <x:c r="F7475" s="18" t="n">
        <x:v>5</x:v>
      </x:c>
      <x:c r="G7475" t="n">
        <x:v>60</x:v>
      </x:c>
      <x:c r="H7475" t="str">
        <x:v>A</x:v>
      </x:c>
      <x:c r="I7475" t="str">
        <x:v>7-9 years</x:v>
      </x:c>
      <x:c r="J7475" t="str">
        <x:v>RENT</x:v>
      </x:c>
      <x:c r="K7475" t="str">
        <x:v>credit_card</x:v>
      </x:c>
      <x:c r="L7475" t="n">
        <x:v>1</x:v>
      </x:c>
      <x:c r="M7475" t="n">
        <x:v>0</x:v>
      </x:c>
      <x:c r="N7475" t="str">
        <x:v>Fully Paid</x:v>
      </x:c>
      <x:c r="O7475" t="str">
        <x:f>IF(D7475="","Unknown",IF(D7475&lt;25000,"&lt;$25k",IF(D7475&lt;50000,"$25k-$50k",IF(D7475&lt;75000,"$50k-$75k",IF(D7475&lt;100000,"$75k-$100k","$100k+")))))</x:f>
        <x:v>$25k-$50k</x:v>
      </x:c>
      <x:c r="P7475" t="str">
        <x:f>IF(E7475="","Unknown",IF(E7475&lt;10,"&lt;10",IF(E7475&lt;20,"10-&lt;20",IF(E7475&lt;25,"20-&lt;25",IF(E7475&lt;35,"25-&lt;35","35+")))))</x:f>
        <x:v>&lt;10</x:v>
      </x:c>
    </x:row>
    <x:row r="7476">
      <x:c r="A7476" t="str">
        <x:v>SYN0007475</x:v>
      </x:c>
      <x:c r="B7476" s="12" t="n">
        <x:v>42445</x:v>
      </x:c>
      <x:c r="C7476" s="18" t="n">
        <x:v>11894</x:v>
      </x:c>
      <x:c r="D7476" s="18" t="n">
        <x:v>128691</x:v>
      </x:c>
      <x:c r="E7476" s="18" t="n">
        <x:v>21.5</x:v>
      </x:c>
      <x:c r="F7476" s="18" t="n">
        <x:v>11.89</x:v>
      </x:c>
      <x:c r="G7476" t="n">
        <x:v>36</x:v>
      </x:c>
      <x:c r="H7476" t="str">
        <x:v>D</x:v>
      </x:c>
      <x:c r="I7476" t="str">
        <x:v>1-3 years</x:v>
      </x:c>
      <x:c r="J7476" t="str">
        <x:v>RENT</x:v>
      </x:c>
      <x:c r="K7476" t="str">
        <x:v>credit_card</x:v>
      </x:c>
      <x:c r="L7476" t="n">
        <x:v>1</x:v>
      </x:c>
      <x:c r="M7476" t="n">
        <x:v>0</x:v>
      </x:c>
      <x:c r="N7476" t="str">
        <x:v>Fully Paid</x:v>
      </x:c>
      <x:c r="O7476" t="str">
        <x:f>IF(D7476="","Unknown",IF(D7476&lt;25000,"&lt;$25k",IF(D7476&lt;50000,"$25k-$50k",IF(D7476&lt;75000,"$50k-$75k",IF(D7476&lt;100000,"$75k-$100k","$100k+")))))</x:f>
        <x:v>$100k+</x:v>
      </x:c>
      <x:c r="P7476" t="str">
        <x:f>IF(E7476="","Unknown",IF(E7476&lt;10,"&lt;10",IF(E7476&lt;20,"10-&lt;20",IF(E7476&lt;25,"20-&lt;25",IF(E7476&lt;35,"25-&lt;35","35+")))))</x:f>
        <x:v>20-&lt;25</x:v>
      </x:c>
    </x:row>
    <x:row r="7477">
      <x:c r="A7477" t="str">
        <x:v>SYN0007476</x:v>
      </x:c>
      <x:c r="B7477" s="12" t="n">
        <x:v>43345</x:v>
      </x:c>
      <x:c r="C7477" s="18" t="n">
        <x:v>39471</x:v>
      </x:c>
      <x:c r="D7477" s="18" t="n">
        <x:v>81852</x:v>
      </x:c>
      <x:c r="E7477" s="18" t="n">
        <x:v>26.7</x:v>
      </x:c>
      <x:c r="F7477" s="18" t="n">
        <x:v>5.88</x:v>
      </x:c>
      <x:c r="G7477" t="n">
        <x:v>60</x:v>
      </x:c>
      <x:c r="H7477" t="str">
        <x:v>A</x:v>
      </x:c>
      <x:c r="I7477" t="str">
        <x:v>4-6 years</x:v>
      </x:c>
      <x:c r="J7477" t="str">
        <x:v>RENT</x:v>
      </x:c>
      <x:c r="K7477" t="str">
        <x:v>credit_card</x:v>
      </x:c>
      <x:c r="L7477" t="n">
        <x:v>1</x:v>
      </x:c>
      <x:c r="M7477" t="n">
        <x:v>0</x:v>
      </x:c>
      <x:c r="N7477" t="str">
        <x:v>Fully Paid</x:v>
      </x:c>
      <x:c r="O7477" t="str">
        <x:f>IF(D7477="","Unknown",IF(D7477&lt;25000,"&lt;$25k",IF(D7477&lt;50000,"$25k-$50k",IF(D7477&lt;75000,"$50k-$75k",IF(D7477&lt;100000,"$75k-$100k","$100k+")))))</x:f>
        <x:v>$75k-$100k</x:v>
      </x:c>
      <x:c r="P7477" t="str">
        <x:f>IF(E7477="","Unknown",IF(E7477&lt;10,"&lt;10",IF(E7477&lt;20,"10-&lt;20",IF(E7477&lt;25,"20-&lt;25",IF(E7477&lt;35,"25-&lt;35","35+")))))</x:f>
        <x:v>25-&lt;35</x:v>
      </x:c>
    </x:row>
    <x:row r="7478">
      <x:c r="A7478" t="str">
        <x:v>SYN0007477</x:v>
      </x:c>
      <x:c r="B7478" s="12" t="n">
        <x:v>42175</x:v>
      </x:c>
      <x:c r="C7478" s="18" t="n">
        <x:v>11150</x:v>
      </x:c>
      <x:c r="D7478" s="18" t="n">
        <x:v>54807</x:v>
      </x:c>
      <x:c r="E7478" s="18" t="n">
        <x:v>0</x:v>
      </x:c>
      <x:c r="F7478" s="18" t="n">
        <x:v>9.81</x:v>
      </x:c>
      <x:c r="G7478" t="n">
        <x:v>36</x:v>
      </x:c>
      <x:c r="H7478" t="str">
        <x:v>B</x:v>
      </x:c>
      <x:c r="I7478" t="str">
        <x:v>1-3 years</x:v>
      </x:c>
      <x:c r="J7478" t="str">
        <x:v>RENT</x:v>
      </x:c>
      <x:c r="K7478" t="str">
        <x:v>debt_consolidation</x:v>
      </x:c>
      <x:c r="L7478" t="n">
        <x:v>0</x:v>
      </x:c>
      <x:c r="M7478" t="n">
        <x:v>0</x:v>
      </x:c>
      <x:c r="N7478" t="str">
        <x:v>Fully Paid</x:v>
      </x:c>
      <x:c r="O7478" t="str">
        <x:f>IF(D7478="","Unknown",IF(D7478&lt;25000,"&lt;$25k",IF(D7478&lt;50000,"$25k-$50k",IF(D7478&lt;75000,"$50k-$75k",IF(D7478&lt;100000,"$75k-$100k","$100k+")))))</x:f>
        <x:v>$50k-$75k</x:v>
      </x:c>
      <x:c r="P7478" t="str">
        <x:f>IF(E7478="","Unknown",IF(E7478&lt;10,"&lt;10",IF(E7478&lt;20,"10-&lt;20",IF(E7478&lt;25,"20-&lt;25",IF(E7478&lt;35,"25-&lt;35","35+")))))</x:f>
        <x:v>Unknown</x:v>
      </x:c>
    </x:row>
    <x:row r="7479">
      <x:c r="A7479" t="str">
        <x:v>SYN0007478</x:v>
      </x:c>
      <x:c r="B7479" s="12" t="n">
        <x:v>42145</x:v>
      </x:c>
      <x:c r="C7479" s="18" t="n">
        <x:v>9146</x:v>
      </x:c>
      <x:c r="D7479" s="18" t="n">
        <x:v>54956</x:v>
      </x:c>
      <x:c r="E7479" s="18" t="n">
        <x:v>29.75</x:v>
      </x:c>
      <x:c r="F7479" s="18" t="n">
        <x:v>5.11</x:v>
      </x:c>
      <x:c r="G7479" t="n">
        <x:v>60</x:v>
      </x:c>
      <x:c r="H7479" t="str">
        <x:v>B</x:v>
      </x:c>
      <x:c r="I7479" t="str">
        <x:v>7-9 years</x:v>
      </x:c>
      <x:c r="J7479" t="str">
        <x:v>RENT</x:v>
      </x:c>
      <x:c r="K7479" t="str">
        <x:v>debt_consolidation</x:v>
      </x:c>
      <x:c r="L7479" t="n">
        <x:v>0</x:v>
      </x:c>
      <x:c r="M7479" t="n">
        <x:v>0</x:v>
      </x:c>
      <x:c r="N7479" t="str">
        <x:v>Fully Paid</x:v>
      </x:c>
      <x:c r="O7479" t="str">
        <x:f>IF(D7479="","Unknown",IF(D7479&lt;25000,"&lt;$25k",IF(D7479&lt;50000,"$25k-$50k",IF(D7479&lt;75000,"$50k-$75k",IF(D7479&lt;100000,"$75k-$100k","$100k+")))))</x:f>
        <x:v>$50k-$75k</x:v>
      </x:c>
      <x:c r="P7479" t="str">
        <x:f>IF(E7479="","Unknown",IF(E7479&lt;10,"&lt;10",IF(E7479&lt;20,"10-&lt;20",IF(E7479&lt;25,"20-&lt;25",IF(E7479&lt;35,"25-&lt;35","35+")))))</x:f>
        <x:v>25-&lt;35</x:v>
      </x:c>
    </x:row>
    <x:row r="7480">
      <x:c r="A7480" t="str">
        <x:v>SYN0007479</x:v>
      </x:c>
      <x:c r="B7480" s="12" t="n">
        <x:v>42145</x:v>
      </x:c>
      <x:c r="C7480" s="18" t="n">
        <x:v>12099</x:v>
      </x:c>
      <x:c r="D7480" s="18" t="n">
        <x:v>173203</x:v>
      </x:c>
      <x:c r="E7480" s="18" t="n">
        <x:v>26.34</x:v>
      </x:c>
      <x:c r="F7480" s="18" t="n">
        <x:v>13.25</x:v>
      </x:c>
      <x:c r="G7480" t="n">
        <x:v>36</x:v>
      </x:c>
      <x:c r="H7480" t="str">
        <x:v>D</x:v>
      </x:c>
      <x:c r="I7480" t="str">
        <x:v>7-9 years</x:v>
      </x:c>
      <x:c r="J7480" t="str">
        <x:v>MORTGAGE</x:v>
      </x:c>
      <x:c r="K7480" t="str">
        <x:v>credit_card</x:v>
      </x:c>
      <x:c r="L7480" t="n">
        <x:v>1</x:v>
      </x:c>
      <x:c r="M7480" t="n">
        <x:v>0</x:v>
      </x:c>
      <x:c r="N7480" t="str">
        <x:v>Fully Paid</x:v>
      </x:c>
      <x:c r="O7480" t="str">
        <x:f>IF(D7480="","Unknown",IF(D7480&lt;25000,"&lt;$25k",IF(D7480&lt;50000,"$25k-$50k",IF(D7480&lt;75000,"$50k-$75k",IF(D7480&lt;100000,"$75k-$100k","$100k+")))))</x:f>
        <x:v>$100k+</x:v>
      </x:c>
      <x:c r="P7480" t="str">
        <x:f>IF(E7480="","Unknown",IF(E7480&lt;10,"&lt;10",IF(E7480&lt;20,"10-&lt;20",IF(E7480&lt;25,"20-&lt;25",IF(E7480&lt;35,"25-&lt;35","35+")))))</x:f>
        <x:v>25-&lt;35</x:v>
      </x:c>
    </x:row>
    <x:row r="7481">
      <x:c r="A7481" t="str">
        <x:v>SYN0007480</x:v>
      </x:c>
      <x:c r="B7481" s="12" t="n">
        <x:v>41875</x:v>
      </x:c>
      <x:c r="C7481" s="18" t="n">
        <x:v>10044</x:v>
      </x:c>
      <x:c r="D7481" s="18" t="n">
        <x:v>220819</x:v>
      </x:c>
      <x:c r="E7481" s="18" t="n">
        <x:v>22.04</x:v>
      </x:c>
      <x:c r="F7481" s="18" t="n">
        <x:v>15.11</x:v>
      </x:c>
      <x:c r="G7481" t="n">
        <x:v>36</x:v>
      </x:c>
      <x:c r="H7481" t="str">
        <x:v>C</x:v>
      </x:c>
      <x:c r="I7481" t="str">
        <x:v>10+ years</x:v>
      </x:c>
      <x:c r="J7481" t="str">
        <x:v>RENT</x:v>
      </x:c>
      <x:c r="K7481" t="str">
        <x:v>home_improvement</x:v>
      </x:c>
      <x:c r="L7481" t="n">
        <x:v>1</x:v>
      </x:c>
      <x:c r="M7481" t="n">
        <x:v>0</x:v>
      </x:c>
      <x:c r="N7481" t="str">
        <x:v>Fully Paid</x:v>
      </x:c>
      <x:c r="O7481" t="str">
        <x:f>IF(D7481="","Unknown",IF(D7481&lt;25000,"&lt;$25k",IF(D7481&lt;50000,"$25k-$50k",IF(D7481&lt;75000,"$50k-$75k",IF(D7481&lt;100000,"$75k-$100k","$100k+")))))</x:f>
        <x:v>$100k+</x:v>
      </x:c>
      <x:c r="P7481" t="str">
        <x:f>IF(E7481="","Unknown",IF(E7481&lt;10,"&lt;10",IF(E7481&lt;20,"10-&lt;20",IF(E7481&lt;25,"20-&lt;25",IF(E7481&lt;35,"25-&lt;35","35+")))))</x:f>
        <x:v>20-&lt;25</x:v>
      </x:c>
    </x:row>
    <x:row r="7482">
      <x:c r="A7482" t="str">
        <x:v>SYN0007481</x:v>
      </x:c>
      <x:c r="B7482" s="12" t="n">
        <x:v>41665</x:v>
      </x:c>
      <x:c r="C7482" s="18" t="n">
        <x:v>12557</x:v>
      </x:c>
      <x:c r="D7482" s="18" t="n">
        <x:v>92133</x:v>
      </x:c>
      <x:c r="E7482" s="18" t="n">
        <x:v>25.87</x:v>
      </x:c>
      <x:c r="F7482" s="18" t="n">
        <x:v>10.94</x:v>
      </x:c>
      <x:c r="G7482" t="n">
        <x:v>36</x:v>
      </x:c>
      <x:c r="H7482" t="str">
        <x:v>C</x:v>
      </x:c>
      <x:c r="I7482" t="str">
        <x:v>10+ years</x:v>
      </x:c>
      <x:c r="J7482" t="str">
        <x:v>OWN</x:v>
      </x:c>
      <x:c r="K7482" t="str">
        <x:v>debt_consolidation</x:v>
      </x:c>
      <x:c r="L7482" t="n">
        <x:v>0</x:v>
      </x:c>
      <x:c r="M7482" t="n">
        <x:v>0</x:v>
      </x:c>
      <x:c r="N7482" t="str">
        <x:v>Fully Paid</x:v>
      </x:c>
      <x:c r="O7482" t="str">
        <x:f>IF(D7482="","Unknown",IF(D7482&lt;25000,"&lt;$25k",IF(D7482&lt;50000,"$25k-$50k",IF(D7482&lt;75000,"$50k-$75k",IF(D7482&lt;100000,"$75k-$100k","$100k+")))))</x:f>
        <x:v>$75k-$100k</x:v>
      </x:c>
      <x:c r="P7482" t="str">
        <x:f>IF(E7482="","Unknown",IF(E7482&lt;10,"&lt;10",IF(E7482&lt;20,"10-&lt;20",IF(E7482&lt;25,"20-&lt;25",IF(E7482&lt;35,"25-&lt;35","35+")))))</x:f>
        <x:v>25-&lt;35</x:v>
      </x:c>
    </x:row>
    <x:row r="7483">
      <x:c r="A7483" t="str">
        <x:v>SYN0007482</x:v>
      </x:c>
      <x:c r="B7483" s="12" t="n">
        <x:v>42985</x:v>
      </x:c>
      <x:c r="C7483" s="18" t="n">
        <x:v>4852</x:v>
      </x:c>
      <x:c r="D7483" s="18" t="n">
        <x:v>118699</x:v>
      </x:c>
      <x:c r="E7483" s="18" t="n">
        <x:v>13.99</x:v>
      </x:c>
      <x:c r="F7483" s="18" t="n">
        <x:v>16.3</x:v>
      </x:c>
      <x:c r="G7483" t="n">
        <x:v>36</x:v>
      </x:c>
      <x:c r="H7483" t="str">
        <x:v>D</x:v>
      </x:c>
      <x:c r="I7483" t="str">
        <x:v>7-9 years</x:v>
      </x:c>
      <x:c r="J7483" t="str">
        <x:v>OWN</x:v>
      </x:c>
      <x:c r="K7483" t="str">
        <x:v>debt_consolidation</x:v>
      </x:c>
      <x:c r="L7483" t="n">
        <x:v>0</x:v>
      </x:c>
      <x:c r="M7483" t="n">
        <x:v>0</x:v>
      </x:c>
      <x:c r="N7483" t="str">
        <x:v>Fully Paid</x:v>
      </x:c>
      <x:c r="O7483" t="str">
        <x:f>IF(D7483="","Unknown",IF(D7483&lt;25000,"&lt;$25k",IF(D7483&lt;50000,"$25k-$50k",IF(D7483&lt;75000,"$50k-$75k",IF(D7483&lt;100000,"$75k-$100k","$100k+")))))</x:f>
        <x:v>$100k+</x:v>
      </x:c>
      <x:c r="P7483" t="str">
        <x:f>IF(E7483="","Unknown",IF(E7483&lt;10,"&lt;10",IF(E7483&lt;20,"10-&lt;20",IF(E7483&lt;25,"20-&lt;25",IF(E7483&lt;35,"25-&lt;35","35+")))))</x:f>
        <x:v>10-&lt;20</x:v>
      </x:c>
    </x:row>
    <x:row r="7484">
      <x:c r="A7484" t="str">
        <x:v>SYN0007483</x:v>
      </x:c>
      <x:c r="B7484" s="12" t="n">
        <x:v>41995</x:v>
      </x:c>
      <x:c r="C7484" s="18" t="n">
        <x:v>13101</x:v>
      </x:c>
      <x:c r="D7484" s="18" t="n">
        <x:v>57486</x:v>
      </x:c>
      <x:c r="E7484" s="18" t="n">
        <x:v>13.74</x:v>
      </x:c>
      <x:c r="F7484" s="18" t="n">
        <x:v>5.27</x:v>
      </x:c>
      <x:c r="G7484" t="n">
        <x:v>36</x:v>
      </x:c>
      <x:c r="H7484" t="str">
        <x:v>A</x:v>
      </x:c>
      <x:c r="I7484" t="str">
        <x:v>4-6 years</x:v>
      </x:c>
      <x:c r="J7484" t="str">
        <x:v>RENT</x:v>
      </x:c>
      <x:c r="K7484" t="str">
        <x:v>other</x:v>
      </x:c>
      <x:c r="L7484" t="n">
        <x:v>1</x:v>
      </x:c>
      <x:c r="M7484" t="n">
        <x:v>0</x:v>
      </x:c>
      <x:c r="N7484" t="str">
        <x:v>Fully Paid</x:v>
      </x:c>
      <x:c r="O7484" t="str">
        <x:f>IF(D7484="","Unknown",IF(D7484&lt;25000,"&lt;$25k",IF(D7484&lt;50000,"$25k-$50k",IF(D7484&lt;75000,"$50k-$75k",IF(D7484&lt;100000,"$75k-$100k","$100k+")))))</x:f>
        <x:v>$50k-$75k</x:v>
      </x:c>
      <x:c r="P7484" t="str">
        <x:f>IF(E7484="","Unknown",IF(E7484&lt;10,"&lt;10",IF(E7484&lt;20,"10-&lt;20",IF(E7484&lt;25,"20-&lt;25",IF(E7484&lt;35,"25-&lt;35","35+")))))</x:f>
        <x:v>10-&lt;20</x:v>
      </x:c>
    </x:row>
    <x:row r="7485">
      <x:c r="A7485" t="str">
        <x:v>SYN0007484</x:v>
      </x:c>
      <x:c r="B7485" s="12" t="n">
        <x:v>43075</x:v>
      </x:c>
      <x:c r="C7485" s="18" t="n">
        <x:v>16270</x:v>
      </x:c>
      <x:c r="D7485" s="18" t="n">
        <x:v>57351</x:v>
      </x:c>
      <x:c r="E7485" s="18" t="n">
        <x:v>29.61</x:v>
      </x:c>
      <x:c r="F7485" s="18" t="n">
        <x:v>7.64</x:v>
      </x:c>
      <x:c r="G7485" t="n">
        <x:v>36</x:v>
      </x:c>
      <x:c r="H7485" t="str">
        <x:v>B</x:v>
      </x:c>
      <x:c r="I7485" t="str">
        <x:v>1-3 years</x:v>
      </x:c>
      <x:c r="J7485" t="str">
        <x:v>RENT</x:v>
      </x:c>
      <x:c r="K7485" t="str">
        <x:v>debt_consolidation</x:v>
      </x:c>
      <x:c r="L7485" t="n">
        <x:v>1</x:v>
      </x:c>
      <x:c r="M7485" t="n">
        <x:v>0</x:v>
      </x:c>
      <x:c r="N7485" t="str">
        <x:v>Fully Paid</x:v>
      </x:c>
      <x:c r="O7485" t="str">
        <x:f>IF(D7485="","Unknown",IF(D7485&lt;25000,"&lt;$25k",IF(D7485&lt;50000,"$25k-$50k",IF(D7485&lt;75000,"$50k-$75k",IF(D7485&lt;100000,"$75k-$100k","$100k+")))))</x:f>
        <x:v>$50k-$75k</x:v>
      </x:c>
      <x:c r="P7485" t="str">
        <x:f>IF(E7485="","Unknown",IF(E7485&lt;10,"&lt;10",IF(E7485&lt;20,"10-&lt;20",IF(E7485&lt;25,"20-&lt;25",IF(E7485&lt;35,"25-&lt;35","35+")))))</x:f>
        <x:v>25-&lt;35</x:v>
      </x:c>
    </x:row>
    <x:row r="7486">
      <x:c r="A7486" t="str">
        <x:v>SYN0007485</x:v>
      </x:c>
      <x:c r="B7486" s="12" t="n">
        <x:v>42625</x:v>
      </x:c>
      <x:c r="C7486" s="18" t="n">
        <x:v>25399</x:v>
      </x:c>
      <x:c r="D7486" s="18" t="n">
        <x:v>76851</x:v>
      </x:c>
      <x:c r="E7486" s="18" t="n">
        <x:v>10.5</x:v>
      </x:c>
      <x:c r="F7486" s="18" t="n">
        <x:v>6.02</x:v>
      </x:c>
      <x:c r="G7486" t="n">
        <x:v>36</x:v>
      </x:c>
      <x:c r="H7486" t="str">
        <x:v>A</x:v>
      </x:c>
      <x:c r="I7486" t="str">
        <x:v>1-3 years</x:v>
      </x:c>
      <x:c r="J7486" t="str">
        <x:v>RENT</x:v>
      </x:c>
      <x:c r="K7486" t="str">
        <x:v>home_improvement</x:v>
      </x:c>
      <x:c r="L7486" t="n">
        <x:v>1</x:v>
      </x:c>
      <x:c r="M7486" t="n">
        <x:v>0</x:v>
      </x:c>
      <x:c r="N7486" t="str">
        <x:v>Fully Paid</x:v>
      </x:c>
      <x:c r="O7486" t="str">
        <x:f>IF(D7486="","Unknown",IF(D7486&lt;25000,"&lt;$25k",IF(D7486&lt;50000,"$25k-$50k",IF(D7486&lt;75000,"$50k-$75k",IF(D7486&lt;100000,"$75k-$100k","$100k+")))))</x:f>
        <x:v>$75k-$100k</x:v>
      </x:c>
      <x:c r="P7486" t="str">
        <x:f>IF(E7486="","Unknown",IF(E7486&lt;10,"&lt;10",IF(E7486&lt;20,"10-&lt;20",IF(E7486&lt;25,"20-&lt;25",IF(E7486&lt;35,"25-&lt;35","35+")))))</x:f>
        <x:v>10-&lt;20</x:v>
      </x:c>
    </x:row>
    <x:row r="7487">
      <x:c r="A7487" t="str">
        <x:v>SYN0007486</x:v>
      </x:c>
      <x:c r="B7487" s="12" t="n">
        <x:v>42115</x:v>
      </x:c>
      <x:c r="C7487" s="18" t="n">
        <x:v>13188</x:v>
      </x:c>
      <x:c r="D7487" s="18" t="n">
        <x:v>14745</x:v>
      </x:c>
      <x:c r="E7487" s="18" t="n">
        <x:v>24.6</x:v>
      </x:c>
      <x:c r="F7487" s="18" t="n">
        <x:v>8.79</x:v>
      </x:c>
      <x:c r="G7487" t="n">
        <x:v>36</x:v>
      </x:c>
      <x:c r="H7487" t="str">
        <x:v>B</x:v>
      </x:c>
      <x:c r="I7487" t="str">
        <x:v>4-6 years</x:v>
      </x:c>
      <x:c r="J7487" t="str">
        <x:v>RENT</x:v>
      </x:c>
      <x:c r="K7487" t="str">
        <x:v>credit_card</x:v>
      </x:c>
      <x:c r="L7487" t="n">
        <x:v>1</x:v>
      </x:c>
      <x:c r="M7487" t="n">
        <x:v>0</x:v>
      </x:c>
      <x:c r="N7487" t="str">
        <x:v>Fully Paid</x:v>
      </x:c>
      <x:c r="O7487" t="str">
        <x:f>IF(D7487="","Unknown",IF(D7487&lt;25000,"&lt;$25k",IF(D7487&lt;50000,"$25k-$50k",IF(D7487&lt;75000,"$50k-$75k",IF(D7487&lt;100000,"$75k-$100k","$100k+")))))</x:f>
        <x:v>&lt;$25k</x:v>
      </x:c>
      <x:c r="P7487" t="str">
        <x:f>IF(E7487="","Unknown",IF(E7487&lt;10,"&lt;10",IF(E7487&lt;20,"10-&lt;20",IF(E7487&lt;25,"20-&lt;25",IF(E7487&lt;35,"25-&lt;35","35+")))))</x:f>
        <x:v>20-&lt;25</x:v>
      </x:c>
    </x:row>
    <x:row r="7488">
      <x:c r="A7488" t="str">
        <x:v>SYN0007487</x:v>
      </x:c>
      <x:c r="B7488" s="12" t="n">
        <x:v>41935</x:v>
      </x:c>
      <x:c r="C7488" s="18" t="n">
        <x:v>10179</x:v>
      </x:c>
      <x:c r="D7488" s="18" t="n">
        <x:v>137055</x:v>
      </x:c>
      <x:c r="E7488" s="18" t="n">
        <x:v>22.42</x:v>
      </x:c>
      <x:c r="F7488" s="18" t="n">
        <x:v>5.67</x:v>
      </x:c>
      <x:c r="G7488" t="n">
        <x:v>36</x:v>
      </x:c>
      <x:c r="H7488" t="str">
        <x:v>A</x:v>
      </x:c>
      <x:c r="I7488" t="str">
        <x:v>7-9 years</x:v>
      </x:c>
      <x:c r="J7488" t="str">
        <x:v>OTHER</x:v>
      </x:c>
      <x:c r="K7488" t="str">
        <x:v>debt_consolidation</x:v>
      </x:c>
      <x:c r="L7488" t="n">
        <x:v>0</x:v>
      </x:c>
      <x:c r="M7488" t="n">
        <x:v>0</x:v>
      </x:c>
      <x:c r="N7488" t="str">
        <x:v>Fully Paid</x:v>
      </x:c>
      <x:c r="O7488" t="str">
        <x:f>IF(D7488="","Unknown",IF(D7488&lt;25000,"&lt;$25k",IF(D7488&lt;50000,"$25k-$50k",IF(D7488&lt;75000,"$50k-$75k",IF(D7488&lt;100000,"$75k-$100k","$100k+")))))</x:f>
        <x:v>$100k+</x:v>
      </x:c>
      <x:c r="P7488" t="str">
        <x:f>IF(E7488="","Unknown",IF(E7488&lt;10,"&lt;10",IF(E7488&lt;20,"10-&lt;20",IF(E7488&lt;25,"20-&lt;25",IF(E7488&lt;35,"25-&lt;35","35+")))))</x:f>
        <x:v>20-&lt;25</x:v>
      </x:c>
    </x:row>
    <x:row r="7489">
      <x:c r="A7489" t="str">
        <x:v>SYN0007488</x:v>
      </x:c>
      <x:c r="B7489" s="12" t="n">
        <x:v>42055</x:v>
      </x:c>
      <x:c r="C7489" s="18" t="n">
        <x:v>18028</x:v>
      </x:c>
      <x:c r="D7489" s="18" t="n">
        <x:v>24993</x:v>
      </x:c>
      <x:c r="E7489" s="18" t="n">
        <x:v>12.53</x:v>
      </x:c>
      <x:c r="F7489" s="18" t="n">
        <x:v>11.1</x:v>
      </x:c>
      <x:c r="G7489" t="n">
        <x:v>60</x:v>
      </x:c>
      <x:c r="H7489" t="str">
        <x:v>C</x:v>
      </x:c>
      <x:c r="I7489" t="str">
        <x:v>7-9 years</x:v>
      </x:c>
      <x:c r="J7489" t="str">
        <x:v>MORTGAGE</x:v>
      </x:c>
      <x:c r="K7489" t="str">
        <x:v>debt_consolidation</x:v>
      </x:c>
      <x:c r="L7489" t="n">
        <x:v>0</x:v>
      </x:c>
      <x:c r="M7489" t="n">
        <x:v>0</x:v>
      </x:c>
      <x:c r="N7489" t="str">
        <x:v>Fully Paid</x:v>
      </x:c>
      <x:c r="O7489" t="str">
        <x:f>IF(D7489="","Unknown",IF(D7489&lt;25000,"&lt;$25k",IF(D7489&lt;50000,"$25k-$50k",IF(D7489&lt;75000,"$50k-$75k",IF(D7489&lt;100000,"$75k-$100k","$100k+")))))</x:f>
        <x:v>&lt;$25k</x:v>
      </x:c>
      <x:c r="P7489" t="str">
        <x:f>IF(E7489="","Unknown",IF(E7489&lt;10,"&lt;10",IF(E7489&lt;20,"10-&lt;20",IF(E7489&lt;25,"20-&lt;25",IF(E7489&lt;35,"25-&lt;35","35+")))))</x:f>
        <x:v>10-&lt;20</x:v>
      </x:c>
    </x:row>
    <x:row r="7490">
      <x:c r="A7490" t="str">
        <x:v>SYN0007489</x:v>
      </x:c>
      <x:c r="B7490" s="12" t="n">
        <x:v>42955</x:v>
      </x:c>
      <x:c r="C7490" s="18" t="n">
        <x:v>14063</x:v>
      </x:c>
      <x:c r="D7490" s="18" t="n">
        <x:v>75840</x:v>
      </x:c>
      <x:c r="E7490" s="18" t="n">
        <x:v>33.61</x:v>
      </x:c>
      <x:c r="F7490" s="18" t="n">
        <x:v>12.1</x:v>
      </x:c>
      <x:c r="G7490" t="n">
        <x:v>36</x:v>
      </x:c>
      <x:c r="H7490" t="str">
        <x:v>C</x:v>
      </x:c>
      <x:c r="I7490" t="str">
        <x:v>4-6 years</x:v>
      </x:c>
      <x:c r="J7490" t="str">
        <x:v>MORTGAGE</x:v>
      </x:c>
      <x:c r="K7490" t="str">
        <x:v>credit_card</x:v>
      </x:c>
      <x:c r="L7490" t="n">
        <x:v>1</x:v>
      </x:c>
      <x:c r="M7490" t="n">
        <x:v>0</x:v>
      </x:c>
      <x:c r="N7490" t="str">
        <x:v>Fully Paid</x:v>
      </x:c>
      <x:c r="O7490" t="str">
        <x:f>IF(D7490="","Unknown",IF(D7490&lt;25000,"&lt;$25k",IF(D7490&lt;50000,"$25k-$50k",IF(D7490&lt;75000,"$50k-$75k",IF(D7490&lt;100000,"$75k-$100k","$100k+")))))</x:f>
        <x:v>$75k-$100k</x:v>
      </x:c>
      <x:c r="P7490" t="str">
        <x:f>IF(E7490="","Unknown",IF(E7490&lt;10,"&lt;10",IF(E7490&lt;20,"10-&lt;20",IF(E7490&lt;25,"20-&lt;25",IF(E7490&lt;35,"25-&lt;35","35+")))))</x:f>
        <x:v>25-&lt;35</x:v>
      </x:c>
    </x:row>
    <x:row r="7491">
      <x:c r="A7491" t="str">
        <x:v>SYN0007490</x:v>
      </x:c>
      <x:c r="B7491" s="12" t="n">
        <x:v>41635</x:v>
      </x:c>
      <x:c r="C7491" s="18" t="n">
        <x:v>15357</x:v>
      </x:c>
      <x:c r="D7491" s="18" t="n">
        <x:v>51109</x:v>
      </x:c>
      <x:c r="E7491" s="18" t="n">
        <x:v>3.41</x:v>
      </x:c>
      <x:c r="F7491" s="18" t="n">
        <x:v>7.15</x:v>
      </x:c>
      <x:c r="G7491" t="n">
        <x:v>36</x:v>
      </x:c>
      <x:c r="H7491" t="str">
        <x:v>A</x:v>
      </x:c>
      <x:c r="I7491" t="str">
        <x:v>&lt;1 year</x:v>
      </x:c>
      <x:c r="J7491" t="str">
        <x:v>RENT</x:v>
      </x:c>
      <x:c r="K7491" t="str">
        <x:v>medical</x:v>
      </x:c>
      <x:c r="L7491" t="n">
        <x:v>0</x:v>
      </x:c>
      <x:c r="M7491" t="n">
        <x:v>0</x:v>
      </x:c>
      <x:c r="N7491" t="str">
        <x:v>Fully Paid</x:v>
      </x:c>
      <x:c r="O7491" t="str">
        <x:f>IF(D7491="","Unknown",IF(D7491&lt;25000,"&lt;$25k",IF(D7491&lt;50000,"$25k-$50k",IF(D7491&lt;75000,"$50k-$75k",IF(D7491&lt;100000,"$75k-$100k","$100k+")))))</x:f>
        <x:v>$50k-$75k</x:v>
      </x:c>
      <x:c r="P7491" t="str">
        <x:f>IF(E7491="","Unknown",IF(E7491&lt;10,"&lt;10",IF(E7491&lt;20,"10-&lt;20",IF(E7491&lt;25,"20-&lt;25",IF(E7491&lt;35,"25-&lt;35","35+")))))</x:f>
        <x:v>&lt;10</x:v>
      </x:c>
    </x:row>
    <x:row r="7492">
      <x:c r="A7492" t="str">
        <x:v>SYN0007491</x:v>
      </x:c>
      <x:c r="B7492" s="12" t="n">
        <x:v>43135</x:v>
      </x:c>
      <x:c r="C7492" s="18" t="n">
        <x:v>8922</x:v>
      </x:c>
      <x:c r="D7492" s="18" t="n">
        <x:v>49642</x:v>
      </x:c>
      <x:c r="E7492" s="18" t="n">
        <x:v>15.55</x:v>
      </x:c>
      <x:c r="F7492" s="18" t="n">
        <x:v>7.55</x:v>
      </x:c>
      <x:c r="G7492" t="n">
        <x:v>36</x:v>
      </x:c>
      <x:c r="H7492" t="str">
        <x:v>B</x:v>
      </x:c>
      <x:c r="I7492" t="str">
        <x:v>10+ years</x:v>
      </x:c>
      <x:c r="J7492" t="str">
        <x:v>RENT</x:v>
      </x:c>
      <x:c r="K7492" t="str">
        <x:v>debt_consolidation</x:v>
      </x:c>
      <x:c r="L7492" t="n">
        <x:v>0</x:v>
      </x:c>
      <x:c r="M7492" t="n">
        <x:v>0</x:v>
      </x:c>
      <x:c r="N7492" t="str">
        <x:v>Fully Paid</x:v>
      </x:c>
      <x:c r="O7492" t="str">
        <x:f>IF(D7492="","Unknown",IF(D7492&lt;25000,"&lt;$25k",IF(D7492&lt;50000,"$25k-$50k",IF(D7492&lt;75000,"$50k-$75k",IF(D7492&lt;100000,"$75k-$100k","$100k+")))))</x:f>
        <x:v>$25k-$50k</x:v>
      </x:c>
      <x:c r="P7492" t="str">
        <x:f>IF(E7492="","Unknown",IF(E7492&lt;10,"&lt;10",IF(E7492&lt;20,"10-&lt;20",IF(E7492&lt;25,"20-&lt;25",IF(E7492&lt;35,"25-&lt;35","35+")))))</x:f>
        <x:v>10-&lt;20</x:v>
      </x:c>
    </x:row>
    <x:row r="7493">
      <x:c r="A7493" t="str">
        <x:v>SYN0007492</x:v>
      </x:c>
      <x:c r="B7493" s="12" t="n">
        <x:v>42835</x:v>
      </x:c>
      <x:c r="C7493" s="18" t="n">
        <x:v>6354</x:v>
      </x:c>
      <x:c r="D7493" s="18" t="n">
        <x:v>90708</x:v>
      </x:c>
      <x:c r="E7493" s="18" t="n">
        <x:v>11.69</x:v>
      </x:c>
      <x:c r="F7493" s="18" t="n">
        <x:v>10.45</x:v>
      </x:c>
      <x:c r="G7493" t="n">
        <x:v>60</x:v>
      </x:c>
      <x:c r="H7493" t="str">
        <x:v>B</x:v>
      </x:c>
      <x:c r="I7493" t="str">
        <x:v>7-9 years</x:v>
      </x:c>
      <x:c r="J7493" t="str">
        <x:v>RENT</x:v>
      </x:c>
      <x:c r="K7493" t="str">
        <x:v>debt_consolidation</x:v>
      </x:c>
      <x:c r="L7493" t="n">
        <x:v>0</x:v>
      </x:c>
      <x:c r="M7493" t="n">
        <x:v>0</x:v>
      </x:c>
      <x:c r="N7493" t="str">
        <x:v>Fully Paid</x:v>
      </x:c>
      <x:c r="O7493" t="str">
        <x:f>IF(D7493="","Unknown",IF(D7493&lt;25000,"&lt;$25k",IF(D7493&lt;50000,"$25k-$50k",IF(D7493&lt;75000,"$50k-$75k",IF(D7493&lt;100000,"$75k-$100k","$100k+")))))</x:f>
        <x:v>$75k-$100k</x:v>
      </x:c>
      <x:c r="P7493" t="str">
        <x:f>IF(E7493="","Unknown",IF(E7493&lt;10,"&lt;10",IF(E7493&lt;20,"10-&lt;20",IF(E7493&lt;25,"20-&lt;25",IF(E7493&lt;35,"25-&lt;35","35+")))))</x:f>
        <x:v>10-&lt;20</x:v>
      </x:c>
    </x:row>
    <x:row r="7494">
      <x:c r="A7494" t="str">
        <x:v>SYN0007493</x:v>
      </x:c>
      <x:c r="B7494" s="12" t="n">
        <x:v>43285</x:v>
      </x:c>
      <x:c r="C7494" s="18" t="n">
        <x:v>16852</x:v>
      </x:c>
      <x:c r="D7494" s="18" t="n">
        <x:v>64062</x:v>
      </x:c>
      <x:c r="E7494" s="18" t="n">
        <x:v>9.39</x:v>
      </x:c>
      <x:c r="F7494" s="18" t="n">
        <x:v>6</x:v>
      </x:c>
      <x:c r="G7494" t="n">
        <x:v>36</x:v>
      </x:c>
      <x:c r="H7494" t="str">
        <x:v>B</x:v>
      </x:c>
      <x:c r="I7494" t="str">
        <x:v>4-6 years</x:v>
      </x:c>
      <x:c r="J7494" t="str">
        <x:v>RENT</x:v>
      </x:c>
      <x:c r="K7494" t="str">
        <x:v>credit_card</x:v>
      </x:c>
      <x:c r="L7494" t="n">
        <x:v>1</x:v>
      </x:c>
      <x:c r="M7494" t="n">
        <x:v>0</x:v>
      </x:c>
      <x:c r="N7494" t="str">
        <x:v>Fully Paid</x:v>
      </x:c>
      <x:c r="O7494" t="str">
        <x:f>IF(D7494="","Unknown",IF(D7494&lt;25000,"&lt;$25k",IF(D7494&lt;50000,"$25k-$50k",IF(D7494&lt;75000,"$50k-$75k",IF(D7494&lt;100000,"$75k-$100k","$100k+")))))</x:f>
        <x:v>$50k-$75k</x:v>
      </x:c>
      <x:c r="P7494" t="str">
        <x:f>IF(E7494="","Unknown",IF(E7494&lt;10,"&lt;10",IF(E7494&lt;20,"10-&lt;20",IF(E7494&lt;25,"20-&lt;25",IF(E7494&lt;35,"25-&lt;35","35+")))))</x:f>
        <x:v>&lt;10</x:v>
      </x:c>
    </x:row>
    <x:row r="7495">
      <x:c r="A7495" t="str">
        <x:v>SYN0007494</x:v>
      </x:c>
      <x:c r="B7495" s="12" t="n">
        <x:v>43285</x:v>
      </x:c>
      <x:c r="C7495" s="18" t="n">
        <x:v>11250</x:v>
      </x:c>
      <x:c r="D7495" s="18" t="n">
        <x:v>71528</x:v>
      </x:c>
      <x:c r="E7495" s="18" t="n">
        <x:v>34.4</x:v>
      </x:c>
      <x:c r="F7495" s="18" t="n">
        <x:v>21.43</x:v>
      </x:c>
      <x:c r="G7495" t="n">
        <x:v>36</x:v>
      </x:c>
      <x:c r="H7495" t="str">
        <x:v>F</x:v>
      </x:c>
      <x:c r="I7495" t="str">
        <x:v>&lt;1 year</x:v>
      </x:c>
      <x:c r="J7495" t="str">
        <x:v>MORTGAGE</x:v>
      </x:c>
      <x:c r="K7495" t="str">
        <x:v>debt_consolidation</x:v>
      </x:c>
      <x:c r="L7495" t="n">
        <x:v>1</x:v>
      </x:c>
      <x:c r="M7495" t="n">
        <x:v>0</x:v>
      </x:c>
      <x:c r="N7495" t="str">
        <x:v>Fully Paid</x:v>
      </x:c>
      <x:c r="O7495" t="str">
        <x:f>IF(D7495="","Unknown",IF(D7495&lt;25000,"&lt;$25k",IF(D7495&lt;50000,"$25k-$50k",IF(D7495&lt;75000,"$50k-$75k",IF(D7495&lt;100000,"$75k-$100k","$100k+")))))</x:f>
        <x:v>$50k-$75k</x:v>
      </x:c>
      <x:c r="P7495" t="str">
        <x:f>IF(E7495="","Unknown",IF(E7495&lt;10,"&lt;10",IF(E7495&lt;20,"10-&lt;20",IF(E7495&lt;25,"20-&lt;25",IF(E7495&lt;35,"25-&lt;35","35+")))))</x:f>
        <x:v>25-&lt;35</x:v>
      </x:c>
    </x:row>
    <x:row r="7496">
      <x:c r="A7496" t="str">
        <x:v>SYN0007495</x:v>
      </x:c>
      <x:c r="B7496" s="12" t="n">
        <x:v>42475</x:v>
      </x:c>
      <x:c r="C7496" s="18" t="n">
        <x:v>7801</x:v>
      </x:c>
      <x:c r="D7496" s="18" t="n">
        <x:v>51341</x:v>
      </x:c>
      <x:c r="E7496" s="18" t="n">
        <x:v>17.51</x:v>
      </x:c>
      <x:c r="F7496" s="18" t="n">
        <x:v>5.49</x:v>
      </x:c>
      <x:c r="G7496" t="n">
        <x:v>60</x:v>
      </x:c>
      <x:c r="H7496" t="str">
        <x:v>A</x:v>
      </x:c>
      <x:c r="I7496" t="str">
        <x:v>1-3 years</x:v>
      </x:c>
      <x:c r="J7496" t="str">
        <x:v>RENT</x:v>
      </x:c>
      <x:c r="K7496" t="str">
        <x:v>debt_consolidation</x:v>
      </x:c>
      <x:c r="L7496" t="n">
        <x:v>0</x:v>
      </x:c>
      <x:c r="M7496" t="n">
        <x:v>0</x:v>
      </x:c>
      <x:c r="N7496" t="str">
        <x:v>Fully Paid</x:v>
      </x:c>
      <x:c r="O7496" t="str">
        <x:f>IF(D7496="","Unknown",IF(D7496&lt;25000,"&lt;$25k",IF(D7496&lt;50000,"$25k-$50k",IF(D7496&lt;75000,"$50k-$75k",IF(D7496&lt;100000,"$75k-$100k","$100k+")))))</x:f>
        <x:v>$50k-$75k</x:v>
      </x:c>
      <x:c r="P7496" t="str">
        <x:f>IF(E7496="","Unknown",IF(E7496&lt;10,"&lt;10",IF(E7496&lt;20,"10-&lt;20",IF(E7496&lt;25,"20-&lt;25",IF(E7496&lt;35,"25-&lt;35","35+")))))</x:f>
        <x:v>10-&lt;20</x:v>
      </x:c>
    </x:row>
    <x:row r="7497">
      <x:c r="A7497" t="str">
        <x:v>SYN0007496</x:v>
      </x:c>
      <x:c r="B7497" s="12" t="n">
        <x:v>42895</x:v>
      </x:c>
      <x:c r="C7497" s="18" t="n">
        <x:v>14312</x:v>
      </x:c>
      <x:c r="D7497" s="18" t="n">
        <x:v>43874</x:v>
      </x:c>
      <x:c r="E7497" s="18" t="n">
        <x:v>28.99</x:v>
      </x:c>
      <x:c r="F7497" s="18" t="n">
        <x:v>14.51</x:v>
      </x:c>
      <x:c r="G7497" t="n">
        <x:v>60</x:v>
      </x:c>
      <x:c r="H7497" t="str">
        <x:v>C</x:v>
      </x:c>
      <x:c r="I7497" t="str">
        <x:v>1-3 years</x:v>
      </x:c>
      <x:c r="J7497" t="str">
        <x:v>RENT</x:v>
      </x:c>
      <x:c r="K7497" t="str">
        <x:v>other</x:v>
      </x:c>
      <x:c r="L7497" t="n">
        <x:v>0</x:v>
      </x:c>
      <x:c r="M7497" t="n">
        <x:v>0</x:v>
      </x:c>
      <x:c r="N7497" t="str">
        <x:v>Fully Paid</x:v>
      </x:c>
      <x:c r="O7497" t="str">
        <x:f>IF(D7497="","Unknown",IF(D7497&lt;25000,"&lt;$25k",IF(D7497&lt;50000,"$25k-$50k",IF(D7497&lt;75000,"$50k-$75k",IF(D7497&lt;100000,"$75k-$100k","$100k+")))))</x:f>
        <x:v>$25k-$50k</x:v>
      </x:c>
      <x:c r="P7497" t="str">
        <x:f>IF(E7497="","Unknown",IF(E7497&lt;10,"&lt;10",IF(E7497&lt;20,"10-&lt;20",IF(E7497&lt;25,"20-&lt;25",IF(E7497&lt;35,"25-&lt;35","35+")))))</x:f>
        <x:v>25-&lt;35</x:v>
      </x:c>
    </x:row>
    <x:row r="7498">
      <x:c r="A7498" t="str">
        <x:v>SYN0007497</x:v>
      </x:c>
      <x:c r="B7498" s="12" t="n">
        <x:v>41815</x:v>
      </x:c>
      <x:c r="C7498" s="18" t="n">
        <x:v>8492</x:v>
      </x:c>
      <x:c r="D7498" s="18" t="n">
        <x:v>51186</x:v>
      </x:c>
      <x:c r="E7498" s="18" t="n">
        <x:v>22.95</x:v>
      </x:c>
      <x:c r="F7498" s="18" t="n">
        <x:v>13.03</x:v>
      </x:c>
      <x:c r="G7498" t="n">
        <x:v>36</x:v>
      </x:c>
      <x:c r="H7498" t="str">
        <x:v>D</x:v>
      </x:c>
      <x:c r="I7498" t="str">
        <x:v>4-6 years</x:v>
      </x:c>
      <x:c r="J7498" t="str">
        <x:v>OWN</x:v>
      </x:c>
      <x:c r="K7498" t="str">
        <x:v>credit_card</x:v>
      </x:c>
      <x:c r="L7498" t="n">
        <x:v>0</x:v>
      </x:c>
      <x:c r="M7498" t="n">
        <x:v>0</x:v>
      </x:c>
      <x:c r="N7498" t="str">
        <x:v>Fully Paid</x:v>
      </x:c>
      <x:c r="O7498" t="str">
        <x:f>IF(D7498="","Unknown",IF(D7498&lt;25000,"&lt;$25k",IF(D7498&lt;50000,"$25k-$50k",IF(D7498&lt;75000,"$50k-$75k",IF(D7498&lt;100000,"$75k-$100k","$100k+")))))</x:f>
        <x:v>$50k-$75k</x:v>
      </x:c>
      <x:c r="P7498" t="str">
        <x:f>IF(E7498="","Unknown",IF(E7498&lt;10,"&lt;10",IF(E7498&lt;20,"10-&lt;20",IF(E7498&lt;25,"20-&lt;25",IF(E7498&lt;35,"25-&lt;35","35+")))))</x:f>
        <x:v>20-&lt;25</x:v>
      </x:c>
    </x:row>
    <x:row r="7499">
      <x:c r="A7499" t="str">
        <x:v>SYN0007498</x:v>
      </x:c>
      <x:c r="B7499" s="12" t="n">
        <x:v>41695</x:v>
      </x:c>
      <x:c r="C7499" s="18" t="n">
        <x:v>16532</x:v>
      </x:c>
      <x:c r="D7499" s="18" t="n">
        <x:v>30520</x:v>
      </x:c>
      <x:c r="E7499" s="18" t="n">
        <x:v>29.9</x:v>
      </x:c>
      <x:c r="F7499" s="18" t="n">
        <x:v>16.93</x:v>
      </x:c>
      <x:c r="G7499" t="n">
        <x:v>36</x:v>
      </x:c>
      <x:c r="H7499" t="str">
        <x:v>E</x:v>
      </x:c>
      <x:c r="I7499" t="str">
        <x:v>10+ years</x:v>
      </x:c>
      <x:c r="J7499" t="str">
        <x:v>OWN</x:v>
      </x:c>
      <x:c r="K7499" t="str">
        <x:v>credit_card</x:v>
      </x:c>
      <x:c r="L7499" t="n">
        <x:v>2</x:v>
      </x:c>
      <x:c r="M7499" t="n">
        <x:v>1</x:v>
      </x:c>
      <x:c r="N7499" t="str">
        <x:v>Charged Off</x:v>
      </x:c>
      <x:c r="O7499" t="str">
        <x:f>IF(D7499="","Unknown",IF(D7499&lt;25000,"&lt;$25k",IF(D7499&lt;50000,"$25k-$50k",IF(D7499&lt;75000,"$50k-$75k",IF(D7499&lt;100000,"$75k-$100k","$100k+")))))</x:f>
        <x:v>$25k-$50k</x:v>
      </x:c>
      <x:c r="P7499" t="str">
        <x:f>IF(E7499="","Unknown",IF(E7499&lt;10,"&lt;10",IF(E7499&lt;20,"10-&lt;20",IF(E7499&lt;25,"20-&lt;25",IF(E7499&lt;35,"25-&lt;35","35+")))))</x:f>
        <x:v>25-&lt;35</x:v>
      </x:c>
    </x:row>
    <x:row r="7500">
      <x:c r="A7500" t="str">
        <x:v>SYN0007499</x:v>
      </x:c>
      <x:c r="B7500" s="12" t="n">
        <x:v>41935</x:v>
      </x:c>
      <x:c r="C7500" s="18" t="n">
        <x:v>9152</x:v>
      </x:c>
      <x:c r="D7500" s="18" t="n">
        <x:v>180448</x:v>
      </x:c>
      <x:c r="E7500" s="18" t="n">
        <x:v>12.04</x:v>
      </x:c>
      <x:c r="F7500" s="18" t="n">
        <x:v>7.1</x:v>
      </x:c>
      <x:c r="G7500" t="n">
        <x:v>36</x:v>
      </x:c>
      <x:c r="H7500" t="str">
        <x:v>A</x:v>
      </x:c>
      <x:c r="I7500" t="str">
        <x:v>7-9 years</x:v>
      </x:c>
      <x:c r="J7500" t="str">
        <x:v>RENT</x:v>
      </x:c>
      <x:c r="K7500" t="str">
        <x:v>medical</x:v>
      </x:c>
      <x:c r="L7500" t="n">
        <x:v>0</x:v>
      </x:c>
      <x:c r="M7500" t="n">
        <x:v>0</x:v>
      </x:c>
      <x:c r="N7500" t="str">
        <x:v>Fully Paid</x:v>
      </x:c>
      <x:c r="O7500" t="str">
        <x:f>IF(D7500="","Unknown",IF(D7500&lt;25000,"&lt;$25k",IF(D7500&lt;50000,"$25k-$50k",IF(D7500&lt;75000,"$50k-$75k",IF(D7500&lt;100000,"$75k-$100k","$100k+")))))</x:f>
        <x:v>$100k+</x:v>
      </x:c>
      <x:c r="P7500" t="str">
        <x:f>IF(E7500="","Unknown",IF(E7500&lt;10,"&lt;10",IF(E7500&lt;20,"10-&lt;20",IF(E7500&lt;25,"20-&lt;25",IF(E7500&lt;35,"25-&lt;35","35+")))))</x:f>
        <x:v>10-&lt;20</x:v>
      </x:c>
    </x:row>
    <x:row r="7501">
      <x:c r="A7501" t="str">
        <x:v>SYN0007500</x:v>
      </x:c>
      <x:c r="B7501" s="12" t="n">
        <x:v>43015</x:v>
      </x:c>
      <x:c r="C7501" s="18" t="n">
        <x:v>22773</x:v>
      </x:c>
      <x:c r="D7501" s="18" t="n">
        <x:v>72257</x:v>
      </x:c>
      <x:c r="E7501" s="18" t="n">
        <x:v>1.01</x:v>
      </x:c>
      <x:c r="F7501" s="18" t="n">
        <x:v>11.59</x:v>
      </x:c>
      <x:c r="G7501" t="n">
        <x:v>36</x:v>
      </x:c>
      <x:c r="H7501" t="str">
        <x:v>B</x:v>
      </x:c>
      <x:c r="I7501" t="str">
        <x:v>10+ years</x:v>
      </x:c>
      <x:c r="J7501" t="str">
        <x:v>MORTGAGE</x:v>
      </x:c>
      <x:c r="K7501" t="str">
        <x:v>medical</x:v>
      </x:c>
      <x:c r="L7501" t="n">
        <x:v>0</x:v>
      </x:c>
      <x:c r="M7501" t="n">
        <x:v>0</x:v>
      </x:c>
      <x:c r="N7501" t="str">
        <x:v>Fully Paid</x:v>
      </x:c>
      <x:c r="O7501" t="str">
        <x:f>IF(D7501="","Unknown",IF(D7501&lt;25000,"&lt;$25k",IF(D7501&lt;50000,"$25k-$50k",IF(D7501&lt;75000,"$50k-$75k",IF(D7501&lt;100000,"$75k-$100k","$100k+")))))</x:f>
        <x:v>$50k-$75k</x:v>
      </x:c>
      <x:c r="P7501" t="str">
        <x:f>IF(E7501="","Unknown",IF(E7501&lt;10,"&lt;10",IF(E7501&lt;20,"10-&lt;20",IF(E7501&lt;25,"20-&lt;25",IF(E7501&lt;35,"25-&lt;35","35+")))))</x:f>
        <x:v>&lt;10</x:v>
      </x:c>
    </x:row>
    <x:row r="7502">
      <x:c r="A7502" t="str">
        <x:v>SYN0007501</x:v>
      </x:c>
      <x:c r="B7502" s="12" t="n">
        <x:v>42055</x:v>
      </x:c>
      <x:c r="C7502" s="18" t="n">
        <x:v>14523</x:v>
      </x:c>
      <x:c r="D7502" s="18" t="n">
        <x:v>78287</x:v>
      </x:c>
      <x:c r="E7502" s="18" t="n">
        <x:v>23.34</x:v>
      </x:c>
      <x:c r="F7502" s="18" t="n">
        <x:v>20.24</x:v>
      </x:c>
      <x:c r="G7502" t="n">
        <x:v>60</x:v>
      </x:c>
      <x:c r="H7502" t="str">
        <x:v>F</x:v>
      </x:c>
      <x:c r="I7502" t="str">
        <x:v>1-3 years</x:v>
      </x:c>
      <x:c r="J7502" t="str">
        <x:v>RENT</x:v>
      </x:c>
      <x:c r="K7502" t="str">
        <x:v>debt_consolidation</x:v>
      </x:c>
      <x:c r="L7502" t="n">
        <x:v>1</x:v>
      </x:c>
      <x:c r="M7502" t="n">
        <x:v>1</x:v>
      </x:c>
      <x:c r="N7502" t="str">
        <x:v>Charged Off</x:v>
      </x:c>
      <x:c r="O7502" t="str">
        <x:f>IF(D7502="","Unknown",IF(D7502&lt;25000,"&lt;$25k",IF(D7502&lt;50000,"$25k-$50k",IF(D7502&lt;75000,"$50k-$75k",IF(D7502&lt;100000,"$75k-$100k","$100k+")))))</x:f>
        <x:v>$75k-$100k</x:v>
      </x:c>
      <x:c r="P7502" t="str">
        <x:f>IF(E7502="","Unknown",IF(E7502&lt;10,"&lt;10",IF(E7502&lt;20,"10-&lt;20",IF(E7502&lt;25,"20-&lt;25",IF(E7502&lt;35,"25-&lt;35","35+")))))</x:f>
        <x:v>20-&lt;25</x:v>
      </x:c>
    </x:row>
    <x:row r="7503">
      <x:c r="A7503" t="str">
        <x:v>SYN0007502</x:v>
      </x:c>
      <x:c r="B7503" s="12" t="n">
        <x:v>41905</x:v>
      </x:c>
      <x:c r="C7503" s="18" t="n">
        <x:v>17063</x:v>
      </x:c>
      <x:c r="D7503" s="18" t="n">
        <x:v>250000</x:v>
      </x:c>
      <x:c r="E7503" s="18" t="n">
        <x:v>20.15</x:v>
      </x:c>
      <x:c r="F7503" s="18" t="n">
        <x:v>10.87</x:v>
      </x:c>
      <x:c r="G7503" t="n">
        <x:v>36</x:v>
      </x:c>
      <x:c r="H7503" t="str">
        <x:v>C</x:v>
      </x:c>
      <x:c r="I7503" t="str">
        <x:v>10+ years</x:v>
      </x:c>
      <x:c r="J7503" t="str">
        <x:v>MORTGAGE</x:v>
      </x:c>
      <x:c r="K7503" t="str">
        <x:v>debt_consolidation</x:v>
      </x:c>
      <x:c r="L7503" t="n">
        <x:v>1</x:v>
      </x:c>
      <x:c r="M7503" t="n">
        <x:v>0</x:v>
      </x:c>
      <x:c r="N7503" t="str">
        <x:v>Fully Paid</x:v>
      </x:c>
      <x:c r="O7503" t="str">
        <x:f>IF(D7503="","Unknown",IF(D7503&lt;25000,"&lt;$25k",IF(D7503&lt;50000,"$25k-$50k",IF(D7503&lt;75000,"$50k-$75k",IF(D7503&lt;100000,"$75k-$100k","$100k+")))))</x:f>
        <x:v>$100k+</x:v>
      </x:c>
      <x:c r="P7503" t="str">
        <x:f>IF(E7503="","Unknown",IF(E7503&lt;10,"&lt;10",IF(E7503&lt;20,"10-&lt;20",IF(E7503&lt;25,"20-&lt;25",IF(E7503&lt;35,"25-&lt;35","35+")))))</x:f>
        <x:v>20-&lt;25</x:v>
      </x:c>
    </x:row>
    <x:row r="7504">
      <x:c r="A7504" t="str">
        <x:v>SYN0007503</x:v>
      </x:c>
      <x:c r="B7504" s="12" t="n">
        <x:v>41335</x:v>
      </x:c>
      <x:c r="C7504" s="18" t="n">
        <x:v>11115</x:v>
      </x:c>
      <x:c r="D7504" s="18" t="n">
        <x:v>147397</x:v>
      </x:c>
      <x:c r="E7504" s="18" t="n">
        <x:v>22.76</x:v>
      </x:c>
      <x:c r="F7504" s="18" t="n">
        <x:v>9.91</x:v>
      </x:c>
      <x:c r="G7504" t="n">
        <x:v>36</x:v>
      </x:c>
      <x:c r="H7504" t="str">
        <x:v>B</x:v>
      </x:c>
      <x:c r="I7504" t="str">
        <x:v>1-3 years</x:v>
      </x:c>
      <x:c r="J7504" t="str">
        <x:v>MORTGAGE</x:v>
      </x:c>
      <x:c r="K7504" t="str">
        <x:v>debt_consolidation</x:v>
      </x:c>
      <x:c r="L7504" t="n">
        <x:v>0</x:v>
      </x:c>
      <x:c r="M7504" t="n">
        <x:v>0</x:v>
      </x:c>
      <x:c r="N7504" t="str">
        <x:v>Fully Paid</x:v>
      </x:c>
      <x:c r="O7504" t="str">
        <x:f>IF(D7504="","Unknown",IF(D7504&lt;25000,"&lt;$25k",IF(D7504&lt;50000,"$25k-$50k",IF(D7504&lt;75000,"$50k-$75k",IF(D7504&lt;100000,"$75k-$100k","$100k+")))))</x:f>
        <x:v>$100k+</x:v>
      </x:c>
      <x:c r="P7504" t="str">
        <x:f>IF(E7504="","Unknown",IF(E7504&lt;10,"&lt;10",IF(E7504&lt;20,"10-&lt;20",IF(E7504&lt;25,"20-&lt;25",IF(E7504&lt;35,"25-&lt;35","35+")))))</x:f>
        <x:v>20-&lt;25</x:v>
      </x:c>
    </x:row>
    <x:row r="7505">
      <x:c r="A7505" t="str">
        <x:v>SYN0007504</x:v>
      </x:c>
      <x:c r="B7505" s="12" t="n">
        <x:v>43015</x:v>
      </x:c>
      <x:c r="C7505" s="18" t="n">
        <x:v>9492</x:v>
      </x:c>
      <x:c r="D7505" s="18" t="n">
        <x:v>33580</x:v>
      </x:c>
      <x:c r="E7505" s="18" t="n">
        <x:v>25.64</x:v>
      </x:c>
      <x:c r="F7505" s="18" t="n">
        <x:v>8.13</x:v>
      </x:c>
      <x:c r="G7505" t="n">
        <x:v>60</x:v>
      </x:c>
      <x:c r="H7505" t="str">
        <x:v>B</x:v>
      </x:c>
      <x:c r="I7505" t="str">
        <x:v>&lt;1 year</x:v>
      </x:c>
      <x:c r="J7505" t="str">
        <x:v>RENT</x:v>
      </x:c>
      <x:c r="K7505" t="str">
        <x:v>debt_consolidation</x:v>
      </x:c>
      <x:c r="L7505" t="n">
        <x:v>1</x:v>
      </x:c>
      <x:c r="M7505" t="n">
        <x:v>1</x:v>
      </x:c>
      <x:c r="N7505" t="str">
        <x:v>Charged Off</x:v>
      </x:c>
      <x:c r="O7505" t="str">
        <x:f>IF(D7505="","Unknown",IF(D7505&lt;25000,"&lt;$25k",IF(D7505&lt;50000,"$25k-$50k",IF(D7505&lt;75000,"$50k-$75k",IF(D7505&lt;100000,"$75k-$100k","$100k+")))))</x:f>
        <x:v>$25k-$50k</x:v>
      </x:c>
      <x:c r="P7505" t="str">
        <x:f>IF(E7505="","Unknown",IF(E7505&lt;10,"&lt;10",IF(E7505&lt;20,"10-&lt;20",IF(E7505&lt;25,"20-&lt;25",IF(E7505&lt;35,"25-&lt;35","35+")))))</x:f>
        <x:v>25-&lt;35</x:v>
      </x:c>
    </x:row>
    <x:row r="7506">
      <x:c r="A7506" t="str">
        <x:v>SYN0007505</x:v>
      </x:c>
      <x:c r="B7506" s="12" t="n">
        <x:v>41935</x:v>
      </x:c>
      <x:c r="C7506" s="18" t="n">
        <x:v>11149</x:v>
      </x:c>
      <x:c r="D7506" s="18" t="n">
        <x:v>51919</x:v>
      </x:c>
      <x:c r="E7506" s="18" t="n">
        <x:v>34.6</x:v>
      </x:c>
      <x:c r="F7506" s="18" t="n">
        <x:v>11.05</x:v>
      </x:c>
      <x:c r="G7506" t="n">
        <x:v>36</x:v>
      </x:c>
      <x:c r="H7506" t="str">
        <x:v>C</x:v>
      </x:c>
      <x:c r="I7506" t="str">
        <x:v>10+ years</x:v>
      </x:c>
      <x:c r="J7506" t="str">
        <x:v>RENT</x:v>
      </x:c>
      <x:c r="K7506" t="str">
        <x:v>debt_consolidation</x:v>
      </x:c>
      <x:c r="L7506" t="n">
        <x:v>1</x:v>
      </x:c>
      <x:c r="M7506" t="n">
        <x:v>0</x:v>
      </x:c>
      <x:c r="N7506" t="str">
        <x:v>Fully Paid</x:v>
      </x:c>
      <x:c r="O7506" t="str">
        <x:f>IF(D7506="","Unknown",IF(D7506&lt;25000,"&lt;$25k",IF(D7506&lt;50000,"$25k-$50k",IF(D7506&lt;75000,"$50k-$75k",IF(D7506&lt;100000,"$75k-$100k","$100k+")))))</x:f>
        <x:v>$50k-$75k</x:v>
      </x:c>
      <x:c r="P7506" t="str">
        <x:f>IF(E7506="","Unknown",IF(E7506&lt;10,"&lt;10",IF(E7506&lt;20,"10-&lt;20",IF(E7506&lt;25,"20-&lt;25",IF(E7506&lt;35,"25-&lt;35","35+")))))</x:f>
        <x:v>25-&lt;35</x:v>
      </x:c>
    </x:row>
    <x:row r="7507">
      <x:c r="A7507" t="str">
        <x:v>SYN0007506</x:v>
      </x:c>
      <x:c r="B7507" s="12" t="n">
        <x:v>43015</x:v>
      </x:c>
      <x:c r="C7507" s="18" t="n">
        <x:v>15942</x:v>
      </x:c>
      <x:c r="D7507" s="18" t="n">
        <x:v>204349</x:v>
      </x:c>
      <x:c r="E7507" s="18" t="n">
        <x:v>17.4</x:v>
      </x:c>
      <x:c r="F7507" s="18" t="n">
        <x:v>12.55</x:v>
      </x:c>
      <x:c r="G7507" t="n">
        <x:v>36</x:v>
      </x:c>
      <x:c r="H7507" t="str">
        <x:v>C</x:v>
      </x:c>
      <x:c r="I7507" t="str">
        <x:v>4-6 years</x:v>
      </x:c>
      <x:c r="J7507" t="str">
        <x:v>RENT</x:v>
      </x:c>
      <x:c r="K7507" t="str">
        <x:v>debt_consolidation</x:v>
      </x:c>
      <x:c r="L7507" t="n">
        <x:v>0</x:v>
      </x:c>
      <x:c r="M7507" t="n">
        <x:v>0</x:v>
      </x:c>
      <x:c r="N7507" t="str">
        <x:v>Fully Paid</x:v>
      </x:c>
      <x:c r="O7507" t="str">
        <x:f>IF(D7507="","Unknown",IF(D7507&lt;25000,"&lt;$25k",IF(D7507&lt;50000,"$25k-$50k",IF(D7507&lt;75000,"$50k-$75k",IF(D7507&lt;100000,"$75k-$100k","$100k+")))))</x:f>
        <x:v>$100k+</x:v>
      </x:c>
      <x:c r="P7507" t="str">
        <x:f>IF(E7507="","Unknown",IF(E7507&lt;10,"&lt;10",IF(E7507&lt;20,"10-&lt;20",IF(E7507&lt;25,"20-&lt;25",IF(E7507&lt;35,"25-&lt;35","35+")))))</x:f>
        <x:v>10-&lt;20</x:v>
      </x:c>
    </x:row>
    <x:row r="7508">
      <x:c r="A7508" t="str">
        <x:v>SYN0007507</x:v>
      </x:c>
      <x:c r="B7508" s="12" t="n">
        <x:v>43015</x:v>
      </x:c>
      <x:c r="C7508" s="18" t="n">
        <x:v>16437</x:v>
      </x:c>
      <x:c r="D7508" s="18" t="n">
        <x:v>38960</x:v>
      </x:c>
      <x:c r="E7508" s="18" t="n">
        <x:v>17.53</x:v>
      </x:c>
      <x:c r="F7508" s="18" t="n">
        <x:v>9.31</x:v>
      </x:c>
      <x:c r="G7508" t="n">
        <x:v>36</x:v>
      </x:c>
      <x:c r="H7508" t="str">
        <x:v>C</x:v>
      </x:c>
      <x:c r="I7508" t="str">
        <x:v>1-3 years</x:v>
      </x:c>
      <x:c r="J7508" t="str">
        <x:v>MORTGAGE</x:v>
      </x:c>
      <x:c r="K7508" t="str">
        <x:v>debt_consolidation</x:v>
      </x:c>
      <x:c r="L7508" t="n">
        <x:v>1</x:v>
      </x:c>
      <x:c r="M7508" t="n">
        <x:v>1</x:v>
      </x:c>
      <x:c r="N7508" t="str">
        <x:v>Charged Off</x:v>
      </x:c>
      <x:c r="O7508" t="str">
        <x:f>IF(D7508="","Unknown",IF(D7508&lt;25000,"&lt;$25k",IF(D7508&lt;50000,"$25k-$50k",IF(D7508&lt;75000,"$50k-$75k",IF(D7508&lt;100000,"$75k-$100k","$100k+")))))</x:f>
        <x:v>$25k-$50k</x:v>
      </x:c>
      <x:c r="P7508" t="str">
        <x:f>IF(E7508="","Unknown",IF(E7508&lt;10,"&lt;10",IF(E7508&lt;20,"10-&lt;20",IF(E7508&lt;25,"20-&lt;25",IF(E7508&lt;35,"25-&lt;35","35+")))))</x:f>
        <x:v>10-&lt;20</x:v>
      </x:c>
    </x:row>
    <x:row r="7509">
      <x:c r="A7509" t="str">
        <x:v>SYN0007508</x:v>
      </x:c>
      <x:c r="B7509" s="12" t="n">
        <x:v>42445</x:v>
      </x:c>
      <x:c r="C7509" s="18" t="n">
        <x:v>9175</x:v>
      </x:c>
      <x:c r="D7509" s="18" t="n">
        <x:v>62394</x:v>
      </x:c>
      <x:c r="E7509" s="18" t="n">
        <x:v>6.37</x:v>
      </x:c>
      <x:c r="F7509" s="18" t="n">
        <x:v>22.91</x:v>
      </x:c>
      <x:c r="G7509" t="n">
        <x:v>36</x:v>
      </x:c>
      <x:c r="H7509" t="str">
        <x:v>G</x:v>
      </x:c>
      <x:c r="I7509" t="str">
        <x:v>4-6 years</x:v>
      </x:c>
      <x:c r="J7509" t="str">
        <x:v>OWN</x:v>
      </x:c>
      <x:c r="K7509" t="str">
        <x:v>major_purchase</x:v>
      </x:c>
      <x:c r="L7509" t="n">
        <x:v>0</x:v>
      </x:c>
      <x:c r="M7509" t="n">
        <x:v>0</x:v>
      </x:c>
      <x:c r="N7509" t="str">
        <x:v>Fully Paid</x:v>
      </x:c>
      <x:c r="O7509" t="str">
        <x:f>IF(D7509="","Unknown",IF(D7509&lt;25000,"&lt;$25k",IF(D7509&lt;50000,"$25k-$50k",IF(D7509&lt;75000,"$50k-$75k",IF(D7509&lt;100000,"$75k-$100k","$100k+")))))</x:f>
        <x:v>$50k-$75k</x:v>
      </x:c>
      <x:c r="P7509" t="str">
        <x:f>IF(E7509="","Unknown",IF(E7509&lt;10,"&lt;10",IF(E7509&lt;20,"10-&lt;20",IF(E7509&lt;25,"20-&lt;25",IF(E7509&lt;35,"25-&lt;35","35+")))))</x:f>
        <x:v>&lt;10</x:v>
      </x:c>
    </x:row>
    <x:row r="7510">
      <x:c r="A7510" t="str">
        <x:v>SYN0007509</x:v>
      </x:c>
      <x:c r="B7510" s="12" t="n">
        <x:v>41725</x:v>
      </x:c>
      <x:c r="C7510" s="18" t="n">
        <x:v>9645</x:v>
      </x:c>
      <x:c r="D7510" s="18" t="n">
        <x:v>29901</x:v>
      </x:c>
      <x:c r="E7510" s="18" t="n">
        <x:v>8.66</x:v>
      </x:c>
      <x:c r="F7510" s="18" t="n">
        <x:v>10.23</x:v>
      </x:c>
      <x:c r="G7510" t="n">
        <x:v>60</x:v>
      </x:c>
      <x:c r="H7510" t="str">
        <x:v>C</x:v>
      </x:c>
      <x:c r="I7510" t="str">
        <x:v>1-3 years</x:v>
      </x:c>
      <x:c r="J7510" t="str">
        <x:v>RENT</x:v>
      </x:c>
      <x:c r="K7510" t="str">
        <x:v>credit_card</x:v>
      </x:c>
      <x:c r="L7510" t="n">
        <x:v>0</x:v>
      </x:c>
      <x:c r="M7510" t="n">
        <x:v>0</x:v>
      </x:c>
      <x:c r="N7510" t="str">
        <x:v>Fully Paid</x:v>
      </x:c>
      <x:c r="O7510" t="str">
        <x:f>IF(D7510="","Unknown",IF(D7510&lt;25000,"&lt;$25k",IF(D7510&lt;50000,"$25k-$50k",IF(D7510&lt;75000,"$50k-$75k",IF(D7510&lt;100000,"$75k-$100k","$100k+")))))</x:f>
        <x:v>$25k-$50k</x:v>
      </x:c>
      <x:c r="P7510" t="str">
        <x:f>IF(E7510="","Unknown",IF(E7510&lt;10,"&lt;10",IF(E7510&lt;20,"10-&lt;20",IF(E7510&lt;25,"20-&lt;25",IF(E7510&lt;35,"25-&lt;35","35+")))))</x:f>
        <x:v>&lt;10</x:v>
      </x:c>
    </x:row>
    <x:row r="7511">
      <x:c r="A7511" t="str">
        <x:v>SYN0007510</x:v>
      </x:c>
      <x:c r="B7511" s="12" t="n">
        <x:v>42565</x:v>
      </x:c>
      <x:c r="C7511" s="18" t="n">
        <x:v>12742</x:v>
      </x:c>
      <x:c r="D7511" s="18" t="n">
        <x:v>45339</x:v>
      </x:c>
      <x:c r="E7511" s="18" t="n">
        <x:v>22.35</x:v>
      </x:c>
      <x:c r="F7511" s="18" t="n">
        <x:v>19.99</x:v>
      </x:c>
      <x:c r="G7511" t="n">
        <x:v>60</x:v>
      </x:c>
      <x:c r="H7511" t="str">
        <x:v>E</x:v>
      </x:c>
      <x:c r="I7511" t="str">
        <x:v>7-9 years</x:v>
      </x:c>
      <x:c r="J7511" t="str">
        <x:v>RENT</x:v>
      </x:c>
      <x:c r="K7511" t="str">
        <x:v>debt_consolidation</x:v>
      </x:c>
      <x:c r="L7511" t="n">
        <x:v>0</x:v>
      </x:c>
      <x:c r="M7511" t="n">
        <x:v>0</x:v>
      </x:c>
      <x:c r="N7511" t="str">
        <x:v>Fully Paid</x:v>
      </x:c>
      <x:c r="O7511" t="str">
        <x:f>IF(D7511="","Unknown",IF(D7511&lt;25000,"&lt;$25k",IF(D7511&lt;50000,"$25k-$50k",IF(D7511&lt;75000,"$50k-$75k",IF(D7511&lt;100000,"$75k-$100k","$100k+")))))</x:f>
        <x:v>$25k-$50k</x:v>
      </x:c>
      <x:c r="P7511" t="str">
        <x:f>IF(E7511="","Unknown",IF(E7511&lt;10,"&lt;10",IF(E7511&lt;20,"10-&lt;20",IF(E7511&lt;25,"20-&lt;25",IF(E7511&lt;35,"25-&lt;35","35+")))))</x:f>
        <x:v>20-&lt;25</x:v>
      </x:c>
    </x:row>
    <x:row r="7512">
      <x:c r="A7512" t="str">
        <x:v>SYN0007511</x:v>
      </x:c>
      <x:c r="B7512" s="12" t="n">
        <x:v>42505</x:v>
      </x:c>
      <x:c r="C7512" s="18" t="n">
        <x:v>6491</x:v>
      </x:c>
      <x:c r="D7512" s="18" t="n">
        <x:v>30504</x:v>
      </x:c>
      <x:c r="E7512" s="18" t="n">
        <x:v>16.84</x:v>
      </x:c>
      <x:c r="F7512" s="18" t="n">
        <x:v>11.86</x:v>
      </x:c>
      <x:c r="G7512" t="n">
        <x:v>36</x:v>
      </x:c>
      <x:c r="H7512" t="str">
        <x:v>D</x:v>
      </x:c>
      <x:c r="I7512" t="str">
        <x:v>4-6 years</x:v>
      </x:c>
      <x:c r="J7512" t="str">
        <x:v>RENT</x:v>
      </x:c>
      <x:c r="K7512" t="str">
        <x:v>home_improvement</x:v>
      </x:c>
      <x:c r="L7512" t="n">
        <x:v>0</x:v>
      </x:c>
      <x:c r="M7512" t="n">
        <x:v>1</x:v>
      </x:c>
      <x:c r="N7512" t="str">
        <x:v>Charged Off</x:v>
      </x:c>
      <x:c r="O7512" t="str">
        <x:f>IF(D7512="","Unknown",IF(D7512&lt;25000,"&lt;$25k",IF(D7512&lt;50000,"$25k-$50k",IF(D7512&lt;75000,"$50k-$75k",IF(D7512&lt;100000,"$75k-$100k","$100k+")))))</x:f>
        <x:v>$25k-$50k</x:v>
      </x:c>
      <x:c r="P7512" t="str">
        <x:f>IF(E7512="","Unknown",IF(E7512&lt;10,"&lt;10",IF(E7512&lt;20,"10-&lt;20",IF(E7512&lt;25,"20-&lt;25",IF(E7512&lt;35,"25-&lt;35","35+")))))</x:f>
        <x:v>10-&lt;20</x:v>
      </x:c>
    </x:row>
    <x:row r="7513">
      <x:c r="A7513" t="str">
        <x:v>SYN0007512</x:v>
      </x:c>
      <x:c r="B7513" s="12" t="n">
        <x:v>41755</x:v>
      </x:c>
      <x:c r="C7513" s="18" t="n">
        <x:v>7617</x:v>
      </x:c>
      <x:c r="D7513" s="18" t="n">
        <x:v>123888</x:v>
      </x:c>
      <x:c r="E7513" s="18" t="n">
        <x:v>40.06</x:v>
      </x:c>
      <x:c r="F7513" s="18" t="n">
        <x:v>13.01</x:v>
      </x:c>
      <x:c r="G7513" t="n">
        <x:v>36</x:v>
      </x:c>
      <x:c r="H7513" t="str">
        <x:v>C</x:v>
      </x:c>
      <x:c r="I7513" t="str">
        <x:v>10+ years</x:v>
      </x:c>
      <x:c r="J7513" t="str">
        <x:v>RENT</x:v>
      </x:c>
      <x:c r="K7513" t="str">
        <x:v>home_improvement</x:v>
      </x:c>
      <x:c r="L7513" t="n">
        <x:v>0</x:v>
      </x:c>
      <x:c r="M7513" t="n">
        <x:v>0</x:v>
      </x:c>
      <x:c r="N7513" t="str">
        <x:v>Fully Paid</x:v>
      </x:c>
      <x:c r="O7513" t="str">
        <x:f>IF(D7513="","Unknown",IF(D7513&lt;25000,"&lt;$25k",IF(D7513&lt;50000,"$25k-$50k",IF(D7513&lt;75000,"$50k-$75k",IF(D7513&lt;100000,"$75k-$100k","$100k+")))))</x:f>
        <x:v>$100k+</x:v>
      </x:c>
      <x:c r="P7513" t="str">
        <x:f>IF(E7513="","Unknown",IF(E7513&lt;10,"&lt;10",IF(E7513&lt;20,"10-&lt;20",IF(E7513&lt;25,"20-&lt;25",IF(E7513&lt;35,"25-&lt;35","35+")))))</x:f>
        <x:v>35+</x:v>
      </x:c>
    </x:row>
    <x:row r="7514">
      <x:c r="A7514" t="str">
        <x:v>SYN0007513</x:v>
      </x:c>
      <x:c r="B7514" s="12" t="n">
        <x:v>42535</x:v>
      </x:c>
      <x:c r="C7514" s="18" t="n">
        <x:v>16798</x:v>
      </x:c>
      <x:c r="D7514" s="18" t="n">
        <x:v>48400</x:v>
      </x:c>
      <x:c r="E7514" s="18" t="n">
        <x:v>31.21</x:v>
      </x:c>
      <x:c r="F7514" s="18" t="n">
        <x:v>17.55</x:v>
      </x:c>
      <x:c r="G7514" t="n">
        <x:v>36</x:v>
      </x:c>
      <x:c r="H7514" t="str">
        <x:v>E</x:v>
      </x:c>
      <x:c r="I7514" t="str">
        <x:v>1-3 years</x:v>
      </x:c>
      <x:c r="J7514" t="str">
        <x:v>MORTGAGE</x:v>
      </x:c>
      <x:c r="K7514" t="str">
        <x:v>debt_consolidation</x:v>
      </x:c>
      <x:c r="L7514" t="n">
        <x:v>0</x:v>
      </x:c>
      <x:c r="M7514" t="n">
        <x:v>0</x:v>
      </x:c>
      <x:c r="N7514" t="str">
        <x:v>Fully Paid</x:v>
      </x:c>
      <x:c r="O7514" t="str">
        <x:f>IF(D7514="","Unknown",IF(D7514&lt;25000,"&lt;$25k",IF(D7514&lt;50000,"$25k-$50k",IF(D7514&lt;75000,"$50k-$75k",IF(D7514&lt;100000,"$75k-$100k","$100k+")))))</x:f>
        <x:v>$25k-$50k</x:v>
      </x:c>
      <x:c r="P7514" t="str">
        <x:f>IF(E7514="","Unknown",IF(E7514&lt;10,"&lt;10",IF(E7514&lt;20,"10-&lt;20",IF(E7514&lt;25,"20-&lt;25",IF(E7514&lt;35,"25-&lt;35","35+")))))</x:f>
        <x:v>25-&lt;35</x:v>
      </x:c>
    </x:row>
    <x:row r="7515">
      <x:c r="A7515" t="str">
        <x:v>SYN0007514</x:v>
      </x:c>
      <x:c r="B7515" s="12" t="n">
        <x:v>41725</x:v>
      </x:c>
      <x:c r="C7515" s="18" t="n">
        <x:v>6292</x:v>
      </x:c>
      <x:c r="D7515" s="18" t="n">
        <x:v>113354</x:v>
      </x:c>
      <x:c r="E7515" s="18" t="n">
        <x:v>26.44</x:v>
      </x:c>
      <x:c r="F7515" s="18" t="n">
        <x:v>30.32</x:v>
      </x:c>
      <x:c r="G7515" t="n">
        <x:v>36</x:v>
      </x:c>
      <x:c r="H7515" t="str">
        <x:v>G</x:v>
      </x:c>
      <x:c r="I7515" t="str">
        <x:v>10+ years</x:v>
      </x:c>
      <x:c r="J7515" t="str">
        <x:v>RENT</x:v>
      </x:c>
      <x:c r="K7515" t="str">
        <x:v>debt_consolidation</x:v>
      </x:c>
      <x:c r="L7515" t="n">
        <x:v>0</x:v>
      </x:c>
      <x:c r="M7515" t="n">
        <x:v>1</x:v>
      </x:c>
      <x:c r="N7515" t="str">
        <x:v>Charged Off</x:v>
      </x:c>
      <x:c r="O7515" t="str">
        <x:f>IF(D7515="","Unknown",IF(D7515&lt;25000,"&lt;$25k",IF(D7515&lt;50000,"$25k-$50k",IF(D7515&lt;75000,"$50k-$75k",IF(D7515&lt;100000,"$75k-$100k","$100k+")))))</x:f>
        <x:v>$100k+</x:v>
      </x:c>
      <x:c r="P7515" t="str">
        <x:f>IF(E7515="","Unknown",IF(E7515&lt;10,"&lt;10",IF(E7515&lt;20,"10-&lt;20",IF(E7515&lt;25,"20-&lt;25",IF(E7515&lt;35,"25-&lt;35","35+")))))</x:f>
        <x:v>25-&lt;35</x:v>
      </x:c>
    </x:row>
    <x:row r="7516">
      <x:c r="A7516" t="str">
        <x:v>SYN0007515</x:v>
      </x:c>
      <x:c r="B7516" s="12" t="n">
        <x:v>41275</x:v>
      </x:c>
      <x:c r="C7516" s="18" t="n">
        <x:v>20608</x:v>
      </x:c>
      <x:c r="D7516" s="18" t="n">
        <x:v>27967</x:v>
      </x:c>
      <x:c r="E7516" s="18" t="n">
        <x:v>49.3</x:v>
      </x:c>
      <x:c r="F7516" s="18" t="n">
        <x:v>23.6</x:v>
      </x:c>
      <x:c r="G7516" t="n">
        <x:v>36</x:v>
      </x:c>
      <x:c r="H7516" t="str">
        <x:v>F</x:v>
      </x:c>
      <x:c r="I7516" t="str">
        <x:v>7-9 years</x:v>
      </x:c>
      <x:c r="J7516" t="str">
        <x:v>RENT</x:v>
      </x:c>
      <x:c r="K7516" t="str">
        <x:v>credit_card</x:v>
      </x:c>
      <x:c r="L7516" t="n">
        <x:v>1</x:v>
      </x:c>
      <x:c r="M7516" t="n">
        <x:v>0</x:v>
      </x:c>
      <x:c r="N7516" t="str">
        <x:v>Fully Paid</x:v>
      </x:c>
      <x:c r="O7516" t="str">
        <x:f>IF(D7516="","Unknown",IF(D7516&lt;25000,"&lt;$25k",IF(D7516&lt;50000,"$25k-$50k",IF(D7516&lt;75000,"$50k-$75k",IF(D7516&lt;100000,"$75k-$100k","$100k+")))))</x:f>
        <x:v>$25k-$50k</x:v>
      </x:c>
      <x:c r="P7516" t="str">
        <x:f>IF(E7516="","Unknown",IF(E7516&lt;10,"&lt;10",IF(E7516&lt;20,"10-&lt;20",IF(E7516&lt;25,"20-&lt;25",IF(E7516&lt;35,"25-&lt;35","35+")))))</x:f>
        <x:v>35+</x:v>
      </x:c>
    </x:row>
    <x:row r="7517">
      <x:c r="A7517" t="str">
        <x:v>SYN0007516</x:v>
      </x:c>
      <x:c r="B7517" s="12" t="n">
        <x:v>41665</x:v>
      </x:c>
      <x:c r="C7517" s="18" t="n">
        <x:v>18037</x:v>
      </x:c>
      <x:c r="D7517" s="18" t="n">
        <x:v>35827</x:v>
      </x:c>
      <x:c r="E7517" s="18" t="n">
        <x:v>25.27</x:v>
      </x:c>
      <x:c r="F7517" s="18" t="n">
        <x:v>5.56</x:v>
      </x:c>
      <x:c r="G7517" t="n">
        <x:v>36</x:v>
      </x:c>
      <x:c r="H7517" t="str">
        <x:v>B</x:v>
      </x:c>
      <x:c r="I7517" t="str">
        <x:v>10+ years</x:v>
      </x:c>
      <x:c r="J7517" t="str">
        <x:v>MORTGAGE</x:v>
      </x:c>
      <x:c r="K7517" t="str">
        <x:v>debt_consolidation</x:v>
      </x:c>
      <x:c r="L7517" t="n">
        <x:v>0</x:v>
      </x:c>
      <x:c r="M7517" t="n">
        <x:v>0</x:v>
      </x:c>
      <x:c r="N7517" t="str">
        <x:v>Fully Paid</x:v>
      </x:c>
      <x:c r="O7517" t="str">
        <x:f>IF(D7517="","Unknown",IF(D7517&lt;25000,"&lt;$25k",IF(D7517&lt;50000,"$25k-$50k",IF(D7517&lt;75000,"$50k-$75k",IF(D7517&lt;100000,"$75k-$100k","$100k+")))))</x:f>
        <x:v>$25k-$50k</x:v>
      </x:c>
      <x:c r="P7517" t="str">
        <x:f>IF(E7517="","Unknown",IF(E7517&lt;10,"&lt;10",IF(E7517&lt;20,"10-&lt;20",IF(E7517&lt;25,"20-&lt;25",IF(E7517&lt;35,"25-&lt;35","35+")))))</x:f>
        <x:v>25-&lt;35</x:v>
      </x:c>
    </x:row>
    <x:row r="7518">
      <x:c r="A7518" t="str">
        <x:v>SYN0007517</x:v>
      </x:c>
      <x:c r="B7518" s="12" t="n">
        <x:v>41575</x:v>
      </x:c>
      <x:c r="C7518" s="18" t="n">
        <x:v>18854</x:v>
      </x:c>
      <x:c r="D7518" s="18" t="n">
        <x:v>32038</x:v>
      </x:c>
      <x:c r="E7518" s="18" t="n">
        <x:v>11.99</x:v>
      </x:c>
      <x:c r="F7518" s="18" t="n">
        <x:v>6.45</x:v>
      </x:c>
      <x:c r="G7518" t="n">
        <x:v>60</x:v>
      </x:c>
      <x:c r="H7518" t="str">
        <x:v>B</x:v>
      </x:c>
      <x:c r="I7518" t="str">
        <x:v>7-9 years</x:v>
      </x:c>
      <x:c r="J7518" t="str">
        <x:v>MORTGAGE</x:v>
      </x:c>
      <x:c r="K7518" t="str">
        <x:v>credit_card</x:v>
      </x:c>
      <x:c r="L7518" t="n">
        <x:v>0</x:v>
      </x:c>
      <x:c r="M7518" t="n">
        <x:v>0</x:v>
      </x:c>
      <x:c r="N7518" t="str">
        <x:v>Fully Paid</x:v>
      </x:c>
      <x:c r="O7518" t="str">
        <x:f>IF(D7518="","Unknown",IF(D7518&lt;25000,"&lt;$25k",IF(D7518&lt;50000,"$25k-$50k",IF(D7518&lt;75000,"$50k-$75k",IF(D7518&lt;100000,"$75k-$100k","$100k+")))))</x:f>
        <x:v>$25k-$50k</x:v>
      </x:c>
      <x:c r="P7518" t="str">
        <x:f>IF(E7518="","Unknown",IF(E7518&lt;10,"&lt;10",IF(E7518&lt;20,"10-&lt;20",IF(E7518&lt;25,"20-&lt;25",IF(E7518&lt;35,"25-&lt;35","35+")))))</x:f>
        <x:v>10-&lt;20</x:v>
      </x:c>
    </x:row>
    <x:row r="7519">
      <x:c r="A7519" t="str">
        <x:v>SYN0007518</x:v>
      </x:c>
      <x:c r="B7519" s="12" t="n">
        <x:v>42415</x:v>
      </x:c>
      <x:c r="C7519" s="18" t="n">
        <x:v>10469</x:v>
      </x:c>
      <x:c r="D7519" s="18" t="n">
        <x:v>34267</x:v>
      </x:c>
      <x:c r="E7519" s="18" t="n">
        <x:v>18.81</x:v>
      </x:c>
      <x:c r="F7519" s="18" t="n">
        <x:v>12.85</x:v>
      </x:c>
      <x:c r="G7519" t="n">
        <x:v>36</x:v>
      </x:c>
      <x:c r="H7519" t="str">
        <x:v>C</x:v>
      </x:c>
      <x:c r="I7519" t="str">
        <x:v>10+ years</x:v>
      </x:c>
      <x:c r="J7519" t="str">
        <x:v>RENT</x:v>
      </x:c>
      <x:c r="K7519" t="str">
        <x:v>debt_consolidation</x:v>
      </x:c>
      <x:c r="L7519" t="n">
        <x:v>1</x:v>
      </x:c>
      <x:c r="M7519" t="n">
        <x:v>0</x:v>
      </x:c>
      <x:c r="N7519" t="str">
        <x:v>Fully Paid</x:v>
      </x:c>
      <x:c r="O7519" t="str">
        <x:f>IF(D7519="","Unknown",IF(D7519&lt;25000,"&lt;$25k",IF(D7519&lt;50000,"$25k-$50k",IF(D7519&lt;75000,"$50k-$75k",IF(D7519&lt;100000,"$75k-$100k","$100k+")))))</x:f>
        <x:v>$25k-$50k</x:v>
      </x:c>
      <x:c r="P7519" t="str">
        <x:f>IF(E7519="","Unknown",IF(E7519&lt;10,"&lt;10",IF(E7519&lt;20,"10-&lt;20",IF(E7519&lt;25,"20-&lt;25",IF(E7519&lt;35,"25-&lt;35","35+")))))</x:f>
        <x:v>10-&lt;20</x:v>
      </x:c>
    </x:row>
    <x:row r="7520">
      <x:c r="A7520" t="str">
        <x:v>SYN0007519</x:v>
      </x:c>
      <x:c r="B7520" s="12" t="n">
        <x:v>43105</x:v>
      </x:c>
      <x:c r="C7520" s="18" t="n">
        <x:v>13449</x:v>
      </x:c>
      <x:c r="D7520" s="18" t="n">
        <x:v>60753</x:v>
      </x:c>
      <x:c r="E7520" s="18" t="n">
        <x:v>14.21</x:v>
      </x:c>
      <x:c r="F7520" s="18" t="n">
        <x:v>7.2</x:v>
      </x:c>
      <x:c r="G7520" t="n">
        <x:v>36</x:v>
      </x:c>
      <x:c r="H7520" t="str">
        <x:v>A</x:v>
      </x:c>
      <x:c r="I7520" t="str">
        <x:v>7-9 years</x:v>
      </x:c>
      <x:c r="J7520" t="str">
        <x:v>RENT</x:v>
      </x:c>
      <x:c r="K7520" t="str">
        <x:v>home_improvement</x:v>
      </x:c>
      <x:c r="L7520" t="n">
        <x:v>0</x:v>
      </x:c>
      <x:c r="M7520" t="n">
        <x:v>0</x:v>
      </x:c>
      <x:c r="N7520" t="str">
        <x:v>Fully Paid</x:v>
      </x:c>
      <x:c r="O7520" t="str">
        <x:f>IF(D7520="","Unknown",IF(D7520&lt;25000,"&lt;$25k",IF(D7520&lt;50000,"$25k-$50k",IF(D7520&lt;75000,"$50k-$75k",IF(D7520&lt;100000,"$75k-$100k","$100k+")))))</x:f>
        <x:v>$50k-$75k</x:v>
      </x:c>
      <x:c r="P7520" t="str">
        <x:f>IF(E7520="","Unknown",IF(E7520&lt;10,"&lt;10",IF(E7520&lt;20,"10-&lt;20",IF(E7520&lt;25,"20-&lt;25",IF(E7520&lt;35,"25-&lt;35","35+")))))</x:f>
        <x:v>10-&lt;20</x:v>
      </x:c>
    </x:row>
    <x:row r="7521">
      <x:c r="A7521" t="str">
        <x:v>SYN0007520</x:v>
      </x:c>
      <x:c r="B7521" s="12" t="n">
        <x:v>41785</x:v>
      </x:c>
      <x:c r="C7521" s="18" t="n">
        <x:v>7754</x:v>
      </x:c>
      <x:c r="D7521" s="18" t="n">
        <x:v>15218</x:v>
      </x:c>
      <x:c r="E7521" s="18" t="n">
        <x:v>20.27</x:v>
      </x:c>
      <x:c r="F7521" s="18" t="n">
        <x:v>9.13</x:v>
      </x:c>
      <x:c r="G7521" t="n">
        <x:v>36</x:v>
      </x:c>
      <x:c r="H7521" t="str">
        <x:v>B</x:v>
      </x:c>
      <x:c r="I7521" t="str">
        <x:v>4-6 years</x:v>
      </x:c>
      <x:c r="J7521" t="str">
        <x:v>MORTGAGE</x:v>
      </x:c>
      <x:c r="K7521" t="str">
        <x:v>debt_consolidation</x:v>
      </x:c>
      <x:c r="L7521" t="n">
        <x:v>0</x:v>
      </x:c>
      <x:c r="M7521" t="n">
        <x:v>0</x:v>
      </x:c>
      <x:c r="N7521" t="str">
        <x:v>Fully Paid</x:v>
      </x:c>
      <x:c r="O7521" t="str">
        <x:f>IF(D7521="","Unknown",IF(D7521&lt;25000,"&lt;$25k",IF(D7521&lt;50000,"$25k-$50k",IF(D7521&lt;75000,"$50k-$75k",IF(D7521&lt;100000,"$75k-$100k","$100k+")))))</x:f>
        <x:v>&lt;$25k</x:v>
      </x:c>
      <x:c r="P7521" t="str">
        <x:f>IF(E7521="","Unknown",IF(E7521&lt;10,"&lt;10",IF(E7521&lt;20,"10-&lt;20",IF(E7521&lt;25,"20-&lt;25",IF(E7521&lt;35,"25-&lt;35","35+")))))</x:f>
        <x:v>20-&lt;25</x:v>
      </x:c>
    </x:row>
    <x:row r="7522">
      <x:c r="A7522" t="str">
        <x:v>SYN0007521</x:v>
      </x:c>
      <x:c r="B7522" s="12" t="n">
        <x:v>41275</x:v>
      </x:c>
      <x:c r="C7522" s="18" t="n">
        <x:v>13186</x:v>
      </x:c>
      <x:c r="D7522" s="18" t="n">
        <x:v>72913</x:v>
      </x:c>
      <x:c r="E7522" s="18" t="n">
        <x:v>23.4</x:v>
      </x:c>
      <x:c r="F7522" s="18" t="n">
        <x:v>23.39</x:v>
      </x:c>
      <x:c r="G7522" t="n">
        <x:v>36</x:v>
      </x:c>
      <x:c r="H7522" t="str">
        <x:v>E</x:v>
      </x:c>
      <x:c r="I7522" t="str">
        <x:v>7-9 years</x:v>
      </x:c>
      <x:c r="J7522" t="str">
        <x:v>MORTGAGE</x:v>
      </x:c>
      <x:c r="K7522" t="str">
        <x:v>credit_card</x:v>
      </x:c>
      <x:c r="L7522" t="n">
        <x:v>0</x:v>
      </x:c>
      <x:c r="M7522" t="n">
        <x:v>1</x:v>
      </x:c>
      <x:c r="N7522" t="str">
        <x:v>Charged Off</x:v>
      </x:c>
      <x:c r="O7522" t="str">
        <x:f>IF(D7522="","Unknown",IF(D7522&lt;25000,"&lt;$25k",IF(D7522&lt;50000,"$25k-$50k",IF(D7522&lt;75000,"$50k-$75k",IF(D7522&lt;100000,"$75k-$100k","$100k+")))))</x:f>
        <x:v>$50k-$75k</x:v>
      </x:c>
      <x:c r="P7522" t="str">
        <x:f>IF(E7522="","Unknown",IF(E7522&lt;10,"&lt;10",IF(E7522&lt;20,"10-&lt;20",IF(E7522&lt;25,"20-&lt;25",IF(E7522&lt;35,"25-&lt;35","35+")))))</x:f>
        <x:v>20-&lt;25</x:v>
      </x:c>
    </x:row>
    <x:row r="7523">
      <x:c r="A7523" t="str">
        <x:v>SYN0007522</x:v>
      </x:c>
      <x:c r="B7523" s="12" t="n">
        <x:v>42175</x:v>
      </x:c>
      <x:c r="C7523" s="18" t="n">
        <x:v>7437</x:v>
      </x:c>
      <x:c r="D7523" s="18" t="n">
        <x:v>60487</x:v>
      </x:c>
      <x:c r="E7523" s="18" t="n">
        <x:v>7.36</x:v>
      </x:c>
      <x:c r="F7523" s="18" t="n">
        <x:v>5</x:v>
      </x:c>
      <x:c r="G7523" t="n">
        <x:v>36</x:v>
      </x:c>
      <x:c r="H7523" t="str">
        <x:v>A</x:v>
      </x:c>
      <x:c r="I7523" t="str">
        <x:v>1-3 years</x:v>
      </x:c>
      <x:c r="J7523" t="str">
        <x:v>RENT</x:v>
      </x:c>
      <x:c r="K7523" t="str">
        <x:v>other</x:v>
      </x:c>
      <x:c r="L7523" t="n">
        <x:v>1</x:v>
      </x:c>
      <x:c r="M7523" t="n">
        <x:v>0</x:v>
      </x:c>
      <x:c r="N7523" t="str">
        <x:v>Fully Paid</x:v>
      </x:c>
      <x:c r="O7523" t="str">
        <x:f>IF(D7523="","Unknown",IF(D7523&lt;25000,"&lt;$25k",IF(D7523&lt;50000,"$25k-$50k",IF(D7523&lt;75000,"$50k-$75k",IF(D7523&lt;100000,"$75k-$100k","$100k+")))))</x:f>
        <x:v>$50k-$75k</x:v>
      </x:c>
      <x:c r="P7523" t="str">
        <x:f>IF(E7523="","Unknown",IF(E7523&lt;10,"&lt;10",IF(E7523&lt;20,"10-&lt;20",IF(E7523&lt;25,"20-&lt;25",IF(E7523&lt;35,"25-&lt;35","35+")))))</x:f>
        <x:v>&lt;10</x:v>
      </x:c>
    </x:row>
    <x:row r="7524">
      <x:c r="A7524" t="str">
        <x:v>SYN0007523</x:v>
      </x:c>
      <x:c r="B7524" s="12" t="n">
        <x:v>42025</x:v>
      </x:c>
      <x:c r="C7524" s="18" t="n">
        <x:v>8665</x:v>
      </x:c>
      <x:c r="D7524" s="18" t="n">
        <x:v>113318</x:v>
      </x:c>
      <x:c r="E7524" s="18" t="n">
        <x:v>22.9</x:v>
      </x:c>
      <x:c r="F7524" s="18" t="n">
        <x:v>10.65</x:v>
      </x:c>
      <x:c r="G7524" t="n">
        <x:v>36</x:v>
      </x:c>
      <x:c r="H7524" t="str">
        <x:v>B</x:v>
      </x:c>
      <x:c r="I7524" t="str">
        <x:v>1-3 years</x:v>
      </x:c>
      <x:c r="J7524" t="str">
        <x:v>RENT</x:v>
      </x:c>
      <x:c r="K7524" t="str">
        <x:v>debt_consolidation</x:v>
      </x:c>
      <x:c r="L7524" t="n">
        <x:v>0</x:v>
      </x:c>
      <x:c r="M7524" t="n">
        <x:v>0</x:v>
      </x:c>
      <x:c r="N7524" t="str">
        <x:v>Fully Paid</x:v>
      </x:c>
      <x:c r="O7524" t="str">
        <x:f>IF(D7524="","Unknown",IF(D7524&lt;25000,"&lt;$25k",IF(D7524&lt;50000,"$25k-$50k",IF(D7524&lt;75000,"$50k-$75k",IF(D7524&lt;100000,"$75k-$100k","$100k+")))))</x:f>
        <x:v>$100k+</x:v>
      </x:c>
      <x:c r="P7524" t="str">
        <x:f>IF(E7524="","Unknown",IF(E7524&lt;10,"&lt;10",IF(E7524&lt;20,"10-&lt;20",IF(E7524&lt;25,"20-&lt;25",IF(E7524&lt;35,"25-&lt;35","35+")))))</x:f>
        <x:v>20-&lt;25</x:v>
      </x:c>
    </x:row>
    <x:row r="7525">
      <x:c r="A7525" t="str">
        <x:v>SYN0007524</x:v>
      </x:c>
      <x:c r="B7525" s="12" t="n">
        <x:v>42505</x:v>
      </x:c>
      <x:c r="C7525" s="18" t="n">
        <x:v>11244</x:v>
      </x:c>
      <x:c r="D7525" s="18" t="n">
        <x:v>39023</x:v>
      </x:c>
      <x:c r="E7525" s="18" t="n">
        <x:v>0.2</x:v>
      </x:c>
      <x:c r="F7525" s="18" t="n">
        <x:v>10.93</x:v>
      </x:c>
      <x:c r="G7525" t="n">
        <x:v>60</x:v>
      </x:c>
      <x:c r="H7525" t="str">
        <x:v>C</x:v>
      </x:c>
      <x:c r="I7525" t="str">
        <x:v>4-6 years</x:v>
      </x:c>
      <x:c r="J7525" t="str">
        <x:v>RENT</x:v>
      </x:c>
      <x:c r="K7525" t="str">
        <x:v>credit_card</x:v>
      </x:c>
      <x:c r="L7525" t="n">
        <x:v>0</x:v>
      </x:c>
      <x:c r="M7525" t="n">
        <x:v>0</x:v>
      </x:c>
      <x:c r="N7525" t="str">
        <x:v>Fully Paid</x:v>
      </x:c>
      <x:c r="O7525" t="str">
        <x:f>IF(D7525="","Unknown",IF(D7525&lt;25000,"&lt;$25k",IF(D7525&lt;50000,"$25k-$50k",IF(D7525&lt;75000,"$50k-$75k",IF(D7525&lt;100000,"$75k-$100k","$100k+")))))</x:f>
        <x:v>$25k-$50k</x:v>
      </x:c>
      <x:c r="P7525" t="str">
        <x:f>IF(E7525="","Unknown",IF(E7525&lt;10,"&lt;10",IF(E7525&lt;20,"10-&lt;20",IF(E7525&lt;25,"20-&lt;25",IF(E7525&lt;35,"25-&lt;35","35+")))))</x:f>
        <x:v>&lt;10</x:v>
      </x:c>
    </x:row>
    <x:row r="7526">
      <x:c r="A7526" t="str">
        <x:v>SYN0007525</x:v>
      </x:c>
      <x:c r="B7526" s="12" t="n">
        <x:v>41665</x:v>
      </x:c>
      <x:c r="C7526" s="18" t="n">
        <x:v>12719</x:v>
      </x:c>
      <x:c r="D7526" s="18" t="n">
        <x:v>36455</x:v>
      </x:c>
      <x:c r="E7526" s="18" t="n">
        <x:v>10.14</x:v>
      </x:c>
      <x:c r="F7526" s="18" t="n">
        <x:v>7.9</x:v>
      </x:c>
      <x:c r="G7526" t="n">
        <x:v>36</x:v>
      </x:c>
      <x:c r="H7526" t="str">
        <x:v>B</x:v>
      </x:c>
      <x:c r="I7526" t="str">
        <x:v>10+ years</x:v>
      </x:c>
      <x:c r="J7526" t="str">
        <x:v>MORTGAGE</x:v>
      </x:c>
      <x:c r="K7526" t="str">
        <x:v>debt_consolidation</x:v>
      </x:c>
      <x:c r="L7526" t="n">
        <x:v>0</x:v>
      </x:c>
      <x:c r="M7526" t="n">
        <x:v>0</x:v>
      </x:c>
      <x:c r="N7526" t="str">
        <x:v>Fully Paid</x:v>
      </x:c>
      <x:c r="O7526" t="str">
        <x:f>IF(D7526="","Unknown",IF(D7526&lt;25000,"&lt;$25k",IF(D7526&lt;50000,"$25k-$50k",IF(D7526&lt;75000,"$50k-$75k",IF(D7526&lt;100000,"$75k-$100k","$100k+")))))</x:f>
        <x:v>$25k-$50k</x:v>
      </x:c>
      <x:c r="P7526" t="str">
        <x:f>IF(E7526="","Unknown",IF(E7526&lt;10,"&lt;10",IF(E7526&lt;20,"10-&lt;20",IF(E7526&lt;25,"20-&lt;25",IF(E7526&lt;35,"25-&lt;35","35+")))))</x:f>
        <x:v>10-&lt;20</x:v>
      </x:c>
    </x:row>
    <x:row r="7527">
      <x:c r="A7527" t="str">
        <x:v>SYN0007526</x:v>
      </x:c>
      <x:c r="B7527" s="12" t="n">
        <x:v>43255</x:v>
      </x:c>
      <x:c r="C7527" s="18" t="n">
        <x:v>10735</x:v>
      </x:c>
      <x:c r="D7527" s="18" t="n">
        <x:v>59417</x:v>
      </x:c>
      <x:c r="E7527" s="18" t="n">
        <x:v>18.96</x:v>
      </x:c>
      <x:c r="F7527" s="18" t="n">
        <x:v>23.53</x:v>
      </x:c>
      <x:c r="G7527" t="n">
        <x:v>36</x:v>
      </x:c>
      <x:c r="H7527" t="str">
        <x:v>F</x:v>
      </x:c>
      <x:c r="I7527" t="str">
        <x:v>7-9 years</x:v>
      </x:c>
      <x:c r="J7527" t="str">
        <x:v>OWN</x:v>
      </x:c>
      <x:c r="K7527" t="str">
        <x:v>debt_consolidation</x:v>
      </x:c>
      <x:c r="L7527" t="n">
        <x:v>1</x:v>
      </x:c>
      <x:c r="M7527" t="n">
        <x:v>0</x:v>
      </x:c>
      <x:c r="N7527" t="str">
        <x:v>Fully Paid</x:v>
      </x:c>
      <x:c r="O7527" t="str">
        <x:f>IF(D7527="","Unknown",IF(D7527&lt;25000,"&lt;$25k",IF(D7527&lt;50000,"$25k-$50k",IF(D7527&lt;75000,"$50k-$75k",IF(D7527&lt;100000,"$75k-$100k","$100k+")))))</x:f>
        <x:v>$50k-$75k</x:v>
      </x:c>
      <x:c r="P7527" t="str">
        <x:f>IF(E7527="","Unknown",IF(E7527&lt;10,"&lt;10",IF(E7527&lt;20,"10-&lt;20",IF(E7527&lt;25,"20-&lt;25",IF(E7527&lt;35,"25-&lt;35","35+")))))</x:f>
        <x:v>10-&lt;20</x:v>
      </x:c>
    </x:row>
    <x:row r="7528">
      <x:c r="A7528" t="str">
        <x:v>SYN0007527</x:v>
      </x:c>
      <x:c r="B7528" s="12" t="n">
        <x:v>43375</x:v>
      </x:c>
      <x:c r="C7528" s="18" t="n">
        <x:v>8499</x:v>
      </x:c>
      <x:c r="D7528" s="18" t="n">
        <x:v>123976</x:v>
      </x:c>
      <x:c r="E7528" s="18" t="n">
        <x:v>47</x:v>
      </x:c>
      <x:c r="F7528" s="18" t="n">
        <x:v>14.62</x:v>
      </x:c>
      <x:c r="G7528" t="n">
        <x:v>60</x:v>
      </x:c>
      <x:c r="H7528" t="str">
        <x:v>D</x:v>
      </x:c>
      <x:c r="I7528" t="str">
        <x:v>1-3 years</x:v>
      </x:c>
      <x:c r="J7528" t="str">
        <x:v>RENT</x:v>
      </x:c>
      <x:c r="K7528" t="str">
        <x:v>credit_card</x:v>
      </x:c>
      <x:c r="L7528" t="n">
        <x:v>0</x:v>
      </x:c>
      <x:c r="M7528" t="n">
        <x:v>0</x:v>
      </x:c>
      <x:c r="N7528" t="str">
        <x:v>Fully Paid</x:v>
      </x:c>
      <x:c r="O7528" t="str">
        <x:f>IF(D7528="","Unknown",IF(D7528&lt;25000,"&lt;$25k",IF(D7528&lt;50000,"$25k-$50k",IF(D7528&lt;75000,"$50k-$75k",IF(D7528&lt;100000,"$75k-$100k","$100k+")))))</x:f>
        <x:v>$100k+</x:v>
      </x:c>
      <x:c r="P7528" t="str">
        <x:f>IF(E7528="","Unknown",IF(E7528&lt;10,"&lt;10",IF(E7528&lt;20,"10-&lt;20",IF(E7528&lt;25,"20-&lt;25",IF(E7528&lt;35,"25-&lt;35","35+")))))</x:f>
        <x:v>35+</x:v>
      </x:c>
    </x:row>
    <x:row r="7529">
      <x:c r="A7529" t="str">
        <x:v>SYN0007528</x:v>
      </x:c>
      <x:c r="B7529" s="12" t="n">
        <x:v>43045</x:v>
      </x:c>
      <x:c r="C7529" s="18" t="n">
        <x:v>13487</x:v>
      </x:c>
      <x:c r="D7529" s="18" t="n">
        <x:v>30625</x:v>
      </x:c>
      <x:c r="E7529" s="18" t="n">
        <x:v>8.64</x:v>
      </x:c>
      <x:c r="F7529" s="18" t="n">
        <x:v>10.81</x:v>
      </x:c>
      <x:c r="G7529" t="n">
        <x:v>36</x:v>
      </x:c>
      <x:c r="H7529" t="str">
        <x:v>B</x:v>
      </x:c>
      <x:c r="I7529" t="str">
        <x:v>1-3 years</x:v>
      </x:c>
      <x:c r="J7529" t="str">
        <x:v>OWN</x:v>
      </x:c>
      <x:c r="K7529" t="str">
        <x:v>debt_consolidation</x:v>
      </x:c>
      <x:c r="L7529" t="n">
        <x:v>0</x:v>
      </x:c>
      <x:c r="M7529" t="n">
        <x:v>0</x:v>
      </x:c>
      <x:c r="N7529" t="str">
        <x:v>Fully Paid</x:v>
      </x:c>
      <x:c r="O7529" t="str">
        <x:f>IF(D7529="","Unknown",IF(D7529&lt;25000,"&lt;$25k",IF(D7529&lt;50000,"$25k-$50k",IF(D7529&lt;75000,"$50k-$75k",IF(D7529&lt;100000,"$75k-$100k","$100k+")))))</x:f>
        <x:v>$25k-$50k</x:v>
      </x:c>
      <x:c r="P7529" t="str">
        <x:f>IF(E7529="","Unknown",IF(E7529&lt;10,"&lt;10",IF(E7529&lt;20,"10-&lt;20",IF(E7529&lt;25,"20-&lt;25",IF(E7529&lt;35,"25-&lt;35","35+")))))</x:f>
        <x:v>&lt;10</x:v>
      </x:c>
    </x:row>
    <x:row r="7530">
      <x:c r="A7530" t="str">
        <x:v>SYN0007529</x:v>
      </x:c>
      <x:c r="B7530" s="12" t="n">
        <x:v>41515</x:v>
      </x:c>
      <x:c r="C7530" s="18" t="n">
        <x:v>5388</x:v>
      </x:c>
      <x:c r="D7530" s="18" t="n">
        <x:v>59136</x:v>
      </x:c>
      <x:c r="E7530" s="18" t="n">
        <x:v>27.66</x:v>
      </x:c>
      <x:c r="F7530" s="18" t="n">
        <x:v>13.88</x:v>
      </x:c>
      <x:c r="G7530" t="n">
        <x:v>60</x:v>
      </x:c>
      <x:c r="H7530" t="str">
        <x:v>D</x:v>
      </x:c>
      <x:c r="I7530" t="str">
        <x:v>7-9 years</x:v>
      </x:c>
      <x:c r="J7530" t="str">
        <x:v>RENT</x:v>
      </x:c>
      <x:c r="K7530" t="str">
        <x:v>debt_consolidation</x:v>
      </x:c>
      <x:c r="L7530" t="n">
        <x:v>1</x:v>
      </x:c>
      <x:c r="M7530" t="n">
        <x:v>1</x:v>
      </x:c>
      <x:c r="N7530" t="str">
        <x:v>Charged Off</x:v>
      </x:c>
      <x:c r="O7530" t="str">
        <x:f>IF(D7530="","Unknown",IF(D7530&lt;25000,"&lt;$25k",IF(D7530&lt;50000,"$25k-$50k",IF(D7530&lt;75000,"$50k-$75k",IF(D7530&lt;100000,"$75k-$100k","$100k+")))))</x:f>
        <x:v>$50k-$75k</x:v>
      </x:c>
      <x:c r="P7530" t="str">
        <x:f>IF(E7530="","Unknown",IF(E7530&lt;10,"&lt;10",IF(E7530&lt;20,"10-&lt;20",IF(E7530&lt;25,"20-&lt;25",IF(E7530&lt;35,"25-&lt;35","35+")))))</x:f>
        <x:v>25-&lt;35</x:v>
      </x:c>
    </x:row>
    <x:row r="7531">
      <x:c r="A7531" t="str">
        <x:v>SYN0007530</x:v>
      </x:c>
      <x:c r="B7531" s="12" t="n">
        <x:v>41455</x:v>
      </x:c>
      <x:c r="C7531" s="18" t="n">
        <x:v>7888</x:v>
      </x:c>
      <x:c r="D7531" s="18" t="n">
        <x:v>37094</x:v>
      </x:c>
      <x:c r="E7531" s="18" t="n">
        <x:v>12.15</x:v>
      </x:c>
      <x:c r="F7531" s="18" t="n">
        <x:v>8.51</x:v>
      </x:c>
      <x:c r="G7531" t="n">
        <x:v>36</x:v>
      </x:c>
      <x:c r="H7531" t="str">
        <x:v>B</x:v>
      </x:c>
      <x:c r="I7531" t="str">
        <x:v>10+ years</x:v>
      </x:c>
      <x:c r="J7531" t="str">
        <x:v>MORTGAGE</x:v>
      </x:c>
      <x:c r="K7531" t="str">
        <x:v>major_purchase</x:v>
      </x:c>
      <x:c r="L7531" t="n">
        <x:v>0</x:v>
      </x:c>
      <x:c r="M7531" t="n">
        <x:v>0</x:v>
      </x:c>
      <x:c r="N7531" t="str">
        <x:v>Fully Paid</x:v>
      </x:c>
      <x:c r="O7531" t="str">
        <x:f>IF(D7531="","Unknown",IF(D7531&lt;25000,"&lt;$25k",IF(D7531&lt;50000,"$25k-$50k",IF(D7531&lt;75000,"$50k-$75k",IF(D7531&lt;100000,"$75k-$100k","$100k+")))))</x:f>
        <x:v>$25k-$50k</x:v>
      </x:c>
      <x:c r="P7531" t="str">
        <x:f>IF(E7531="","Unknown",IF(E7531&lt;10,"&lt;10",IF(E7531&lt;20,"10-&lt;20",IF(E7531&lt;25,"20-&lt;25",IF(E7531&lt;35,"25-&lt;35","35+")))))</x:f>
        <x:v>10-&lt;20</x:v>
      </x:c>
    </x:row>
    <x:row r="7532">
      <x:c r="A7532" t="str">
        <x:v>SYN0007531</x:v>
      </x:c>
      <x:c r="B7532" s="12" t="n">
        <x:v>42415</x:v>
      </x:c>
      <x:c r="C7532" s="18" t="n">
        <x:v>13905</x:v>
      </x:c>
      <x:c r="D7532" s="18" t="n">
        <x:v>91816</x:v>
      </x:c>
      <x:c r="E7532" s="18" t="n">
        <x:v>16.34</x:v>
      </x:c>
      <x:c r="F7532" s="18" t="n">
        <x:v>10.63</x:v>
      </x:c>
      <x:c r="G7532" t="n">
        <x:v>60</x:v>
      </x:c>
      <x:c r="H7532" t="str">
        <x:v>C</x:v>
      </x:c>
      <x:c r="I7532" t="str">
        <x:v>1-3 years</x:v>
      </x:c>
      <x:c r="J7532" t="str">
        <x:v>RENT</x:v>
      </x:c>
      <x:c r="K7532" t="str">
        <x:v>credit_card</x:v>
      </x:c>
      <x:c r="L7532" t="n">
        <x:v>1</x:v>
      </x:c>
      <x:c r="M7532" t="n">
        <x:v>0</x:v>
      </x:c>
      <x:c r="N7532" t="str">
        <x:v>Fully Paid</x:v>
      </x:c>
      <x:c r="O7532" t="str">
        <x:f>IF(D7532="","Unknown",IF(D7532&lt;25000,"&lt;$25k",IF(D7532&lt;50000,"$25k-$50k",IF(D7532&lt;75000,"$50k-$75k",IF(D7532&lt;100000,"$75k-$100k","$100k+")))))</x:f>
        <x:v>$75k-$100k</x:v>
      </x:c>
      <x:c r="P7532" t="str">
        <x:f>IF(E7532="","Unknown",IF(E7532&lt;10,"&lt;10",IF(E7532&lt;20,"10-&lt;20",IF(E7532&lt;25,"20-&lt;25",IF(E7532&lt;35,"25-&lt;35","35+")))))</x:f>
        <x:v>10-&lt;20</x:v>
      </x:c>
    </x:row>
    <x:row r="7533">
      <x:c r="A7533" t="str">
        <x:v>SYN0007532</x:v>
      </x:c>
      <x:c r="B7533" s="12" t="n">
        <x:v>41995</x:v>
      </x:c>
      <x:c r="C7533" s="18" t="n">
        <x:v>21661</x:v>
      </x:c>
      <x:c r="D7533" s="18" t="n">
        <x:v>28047</x:v>
      </x:c>
      <x:c r="E7533" s="18" t="n">
        <x:v>15.83</x:v>
      </x:c>
      <x:c r="F7533" s="18" t="n">
        <x:v>10.63</x:v>
      </x:c>
      <x:c r="G7533" t="n">
        <x:v>36</x:v>
      </x:c>
      <x:c r="H7533" t="str">
        <x:v>C</x:v>
      </x:c>
      <x:c r="I7533" t="str">
        <x:v>4-6 years</x:v>
      </x:c>
      <x:c r="J7533" t="str">
        <x:v>OWN</x:v>
      </x:c>
      <x:c r="K7533" t="str">
        <x:v>debt_consolidation</x:v>
      </x:c>
      <x:c r="L7533" t="n">
        <x:v>2</x:v>
      </x:c>
      <x:c r="M7533" t="n">
        <x:v>0</x:v>
      </x:c>
      <x:c r="N7533" t="str">
        <x:v>Fully Paid</x:v>
      </x:c>
      <x:c r="O7533" t="str">
        <x:f>IF(D7533="","Unknown",IF(D7533&lt;25000,"&lt;$25k",IF(D7533&lt;50000,"$25k-$50k",IF(D7533&lt;75000,"$50k-$75k",IF(D7533&lt;100000,"$75k-$100k","$100k+")))))</x:f>
        <x:v>$25k-$50k</x:v>
      </x:c>
      <x:c r="P7533" t="str">
        <x:f>IF(E7533="","Unknown",IF(E7533&lt;10,"&lt;10",IF(E7533&lt;20,"10-&lt;20",IF(E7533&lt;25,"20-&lt;25",IF(E7533&lt;35,"25-&lt;35","35+")))))</x:f>
        <x:v>10-&lt;20</x:v>
      </x:c>
    </x:row>
    <x:row r="7534">
      <x:c r="A7534" t="str">
        <x:v>SYN0007533</x:v>
      </x:c>
      <x:c r="B7534" s="12" t="n">
        <x:v>41365</x:v>
      </x:c>
      <x:c r="C7534" s="18" t="n">
        <x:v>12543</x:v>
      </x:c>
      <x:c r="D7534" s="18" t="n">
        <x:v>62144</x:v>
      </x:c>
      <x:c r="E7534" s="18" t="n">
        <x:v>23.34</x:v>
      </x:c>
      <x:c r="F7534" s="18" t="n">
        <x:v>9.02</x:v>
      </x:c>
      <x:c r="G7534" t="n">
        <x:v>36</x:v>
      </x:c>
      <x:c r="H7534" t="str">
        <x:v>B</x:v>
      </x:c>
      <x:c r="I7534" t="str">
        <x:v>4-6 years</x:v>
      </x:c>
      <x:c r="J7534" t="str">
        <x:v>RENT</x:v>
      </x:c>
      <x:c r="K7534" t="str">
        <x:v>home_improvement</x:v>
      </x:c>
      <x:c r="L7534" t="n">
        <x:v>0</x:v>
      </x:c>
      <x:c r="M7534" t="n">
        <x:v>0</x:v>
      </x:c>
      <x:c r="N7534" t="str">
        <x:v>Fully Paid</x:v>
      </x:c>
      <x:c r="O7534" t="str">
        <x:f>IF(D7534="","Unknown",IF(D7534&lt;25000,"&lt;$25k",IF(D7534&lt;50000,"$25k-$50k",IF(D7534&lt;75000,"$50k-$75k",IF(D7534&lt;100000,"$75k-$100k","$100k+")))))</x:f>
        <x:v>$50k-$75k</x:v>
      </x:c>
      <x:c r="P7534" t="str">
        <x:f>IF(E7534="","Unknown",IF(E7534&lt;10,"&lt;10",IF(E7534&lt;20,"10-&lt;20",IF(E7534&lt;25,"20-&lt;25",IF(E7534&lt;35,"25-&lt;35","35+")))))</x:f>
        <x:v>20-&lt;25</x:v>
      </x:c>
    </x:row>
    <x:row r="7535">
      <x:c r="A7535" t="str">
        <x:v>SYN0007534</x:v>
      </x:c>
      <x:c r="B7535" s="12" t="n">
        <x:v>43165</x:v>
      </x:c>
      <x:c r="C7535" s="18" t="n">
        <x:v>13195</x:v>
      </x:c>
      <x:c r="D7535" s="18" t="n">
        <x:v>27116</x:v>
      </x:c>
      <x:c r="E7535" s="18" t="n">
        <x:v>14.68</x:v>
      </x:c>
      <x:c r="F7535" s="18" t="n">
        <x:v>8.43</x:v>
      </x:c>
      <x:c r="G7535" t="n">
        <x:v>36</x:v>
      </x:c>
      <x:c r="H7535" t="str">
        <x:v>B</x:v>
      </x:c>
      <x:c r="I7535" t="str">
        <x:v>&lt;1 year</x:v>
      </x:c>
      <x:c r="J7535" t="str">
        <x:v>MORTGAGE</x:v>
      </x:c>
      <x:c r="K7535" t="str">
        <x:v>credit_card</x:v>
      </x:c>
      <x:c r="L7535" t="n">
        <x:v>1</x:v>
      </x:c>
      <x:c r="M7535" t="n">
        <x:v>0</x:v>
      </x:c>
      <x:c r="N7535" t="str">
        <x:v>Fully Paid</x:v>
      </x:c>
      <x:c r="O7535" t="str">
        <x:f>IF(D7535="","Unknown",IF(D7535&lt;25000,"&lt;$25k",IF(D7535&lt;50000,"$25k-$50k",IF(D7535&lt;75000,"$50k-$75k",IF(D7535&lt;100000,"$75k-$100k","$100k+")))))</x:f>
        <x:v>$25k-$50k</x:v>
      </x:c>
      <x:c r="P7535" t="str">
        <x:f>IF(E7535="","Unknown",IF(E7535&lt;10,"&lt;10",IF(E7535&lt;20,"10-&lt;20",IF(E7535&lt;25,"20-&lt;25",IF(E7535&lt;35,"25-&lt;35","35+")))))</x:f>
        <x:v>10-&lt;20</x:v>
      </x:c>
    </x:row>
    <x:row r="7536">
      <x:c r="A7536" t="str">
        <x:v>SYN0007535</x:v>
      </x:c>
      <x:c r="B7536" s="12" t="n">
        <x:v>41485</x:v>
      </x:c>
      <x:c r="C7536" s="18" t="n">
        <x:v>10906</x:v>
      </x:c>
      <x:c r="D7536" s="18" t="n">
        <x:v>87964</x:v>
      </x:c>
      <x:c r="E7536" s="18" t="n">
        <x:v>24.24</x:v>
      </x:c>
      <x:c r="F7536" s="18" t="n">
        <x:v>17.44</x:v>
      </x:c>
      <x:c r="G7536" t="n">
        <x:v>36</x:v>
      </x:c>
      <x:c r="H7536" t="str">
        <x:v>D</x:v>
      </x:c>
      <x:c r="I7536" t="str">
        <x:v>10+ years</x:v>
      </x:c>
      <x:c r="J7536" t="str">
        <x:v>RENT</x:v>
      </x:c>
      <x:c r="K7536" t="str">
        <x:v>debt_consolidation</x:v>
      </x:c>
      <x:c r="L7536" t="n">
        <x:v>1</x:v>
      </x:c>
      <x:c r="M7536" t="n">
        <x:v>0</x:v>
      </x:c>
      <x:c r="N7536" t="str">
        <x:v>Fully Paid</x:v>
      </x:c>
      <x:c r="O7536" t="str">
        <x:f>IF(D7536="","Unknown",IF(D7536&lt;25000,"&lt;$25k",IF(D7536&lt;50000,"$25k-$50k",IF(D7536&lt;75000,"$50k-$75k",IF(D7536&lt;100000,"$75k-$100k","$100k+")))))</x:f>
        <x:v>$75k-$100k</x:v>
      </x:c>
      <x:c r="P7536" t="str">
        <x:f>IF(E7536="","Unknown",IF(E7536&lt;10,"&lt;10",IF(E7536&lt;20,"10-&lt;20",IF(E7536&lt;25,"20-&lt;25",IF(E7536&lt;35,"25-&lt;35","35+")))))</x:f>
        <x:v>20-&lt;25</x:v>
      </x:c>
    </x:row>
    <x:row r="7537">
      <x:c r="A7537" t="str">
        <x:v>SYN0007536</x:v>
      </x:c>
      <x:c r="B7537" s="12" t="n">
        <x:v>43075</x:v>
      </x:c>
      <x:c r="C7537" s="18" t="n">
        <x:v>23194</x:v>
      </x:c>
      <x:c r="D7537" s="18" t="n">
        <x:v>93370</x:v>
      </x:c>
      <x:c r="E7537" s="18" t="n">
        <x:v>22.26</x:v>
      </x:c>
      <x:c r="F7537" s="18" t="n">
        <x:v>7.06</x:v>
      </x:c>
      <x:c r="G7537" t="n">
        <x:v>36</x:v>
      </x:c>
      <x:c r="H7537" t="str">
        <x:v>A</x:v>
      </x:c>
      <x:c r="I7537" t="str">
        <x:v>10+ years</x:v>
      </x:c>
      <x:c r="J7537" t="str">
        <x:v>RENT</x:v>
      </x:c>
      <x:c r="K7537" t="str">
        <x:v>debt_consolidation</x:v>
      </x:c>
      <x:c r="L7537" t="n">
        <x:v>0</x:v>
      </x:c>
      <x:c r="M7537" t="n">
        <x:v>0</x:v>
      </x:c>
      <x:c r="N7537" t="str">
        <x:v>Fully Paid</x:v>
      </x:c>
      <x:c r="O7537" t="str">
        <x:f>IF(D7537="","Unknown",IF(D7537&lt;25000,"&lt;$25k",IF(D7537&lt;50000,"$25k-$50k",IF(D7537&lt;75000,"$50k-$75k",IF(D7537&lt;100000,"$75k-$100k","$100k+")))))</x:f>
        <x:v>$75k-$100k</x:v>
      </x:c>
      <x:c r="P7537" t="str">
        <x:f>IF(E7537="","Unknown",IF(E7537&lt;10,"&lt;10",IF(E7537&lt;20,"10-&lt;20",IF(E7537&lt;25,"20-&lt;25",IF(E7537&lt;35,"25-&lt;35","35+")))))</x:f>
        <x:v>20-&lt;25</x:v>
      </x:c>
    </x:row>
    <x:row r="7538">
      <x:c r="A7538" t="str">
        <x:v>SYN0007537</x:v>
      </x:c>
      <x:c r="B7538" s="12" t="n">
        <x:v>41365</x:v>
      </x:c>
      <x:c r="C7538" s="18" t="n">
        <x:v>17399</x:v>
      </x:c>
      <x:c r="D7538" s="18" t="n">
        <x:v>41694</x:v>
      </x:c>
      <x:c r="E7538" s="18" t="n">
        <x:v>25.51</x:v>
      </x:c>
      <x:c r="F7538" s="18" t="n">
        <x:v>13.06</x:v>
      </x:c>
      <x:c r="G7538" t="n">
        <x:v>36</x:v>
      </x:c>
      <x:c r="H7538" t="str">
        <x:v>D</x:v>
      </x:c>
      <x:c r="I7538" t="str">
        <x:v>7-9 years</x:v>
      </x:c>
      <x:c r="J7538" t="str">
        <x:v>MORTGAGE</x:v>
      </x:c>
      <x:c r="K7538" t="str">
        <x:v>debt_consolidation</x:v>
      </x:c>
      <x:c r="L7538" t="n">
        <x:v>0</x:v>
      </x:c>
      <x:c r="M7538" t="n">
        <x:v>0</x:v>
      </x:c>
      <x:c r="N7538" t="str">
        <x:v>Fully Paid</x:v>
      </x:c>
      <x:c r="O7538" t="str">
        <x:f>IF(D7538="","Unknown",IF(D7538&lt;25000,"&lt;$25k",IF(D7538&lt;50000,"$25k-$50k",IF(D7538&lt;75000,"$50k-$75k",IF(D7538&lt;100000,"$75k-$100k","$100k+")))))</x:f>
        <x:v>$25k-$50k</x:v>
      </x:c>
      <x:c r="P7538" t="str">
        <x:f>IF(E7538="","Unknown",IF(E7538&lt;10,"&lt;10",IF(E7538&lt;20,"10-&lt;20",IF(E7538&lt;25,"20-&lt;25",IF(E7538&lt;35,"25-&lt;35","35+")))))</x:f>
        <x:v>25-&lt;35</x:v>
      </x:c>
    </x:row>
    <x:row r="7539">
      <x:c r="A7539" t="str">
        <x:v>SYN0007538</x:v>
      </x:c>
      <x:c r="B7539" s="12" t="n">
        <x:v>42295</x:v>
      </x:c>
      <x:c r="C7539" s="18" t="n">
        <x:v>12023</x:v>
      </x:c>
      <x:c r="D7539" s="18" t="n">
        <x:v>61905</x:v>
      </x:c>
      <x:c r="E7539" s="18" t="n">
        <x:v>14.4</x:v>
      </x:c>
      <x:c r="F7539" s="18" t="n">
        <x:v>8.66</x:v>
      </x:c>
      <x:c r="G7539" t="n">
        <x:v>36</x:v>
      </x:c>
      <x:c r="H7539" t="str">
        <x:v>B</x:v>
      </x:c>
      <x:c r="I7539" t="str">
        <x:v>10+ years</x:v>
      </x:c>
      <x:c r="J7539" t="str">
        <x:v>OWN</x:v>
      </x:c>
      <x:c r="K7539" t="str">
        <x:v>other</x:v>
      </x:c>
      <x:c r="L7539" t="n">
        <x:v>0</x:v>
      </x:c>
      <x:c r="M7539" t="n">
        <x:v>0</x:v>
      </x:c>
      <x:c r="N7539" t="str">
        <x:v>Fully Paid</x:v>
      </x:c>
      <x:c r="O7539" t="str">
        <x:f>IF(D7539="","Unknown",IF(D7539&lt;25000,"&lt;$25k",IF(D7539&lt;50000,"$25k-$50k",IF(D7539&lt;75000,"$50k-$75k",IF(D7539&lt;100000,"$75k-$100k","$100k+")))))</x:f>
        <x:v>$50k-$75k</x:v>
      </x:c>
      <x:c r="P7539" t="str">
        <x:f>IF(E7539="","Unknown",IF(E7539&lt;10,"&lt;10",IF(E7539&lt;20,"10-&lt;20",IF(E7539&lt;25,"20-&lt;25",IF(E7539&lt;35,"25-&lt;35","35+")))))</x:f>
        <x:v>10-&lt;20</x:v>
      </x:c>
    </x:row>
    <x:row r="7540">
      <x:c r="A7540" t="str">
        <x:v>SYN0007539</x:v>
      </x:c>
      <x:c r="B7540" s="12" t="n">
        <x:v>41815</x:v>
      </x:c>
      <x:c r="C7540" s="18" t="n">
        <x:v>9257</x:v>
      </x:c>
      <x:c r="D7540" s="18" t="n">
        <x:v>43125</x:v>
      </x:c>
      <x:c r="E7540" s="18" t="n">
        <x:v>28.87</x:v>
      </x:c>
      <x:c r="F7540" s="18" t="n">
        <x:v>20.35</x:v>
      </x:c>
      <x:c r="G7540" t="n">
        <x:v>36</x:v>
      </x:c>
      <x:c r="H7540" t="str">
        <x:v>E</x:v>
      </x:c>
      <x:c r="I7540" t="str">
        <x:v>4-6 years</x:v>
      </x:c>
      <x:c r="J7540" t="str">
        <x:v>OWN</x:v>
      </x:c>
      <x:c r="K7540" t="str">
        <x:v>debt_consolidation</x:v>
      </x:c>
      <x:c r="L7540" t="n">
        <x:v>0</x:v>
      </x:c>
      <x:c r="M7540" t="n">
        <x:v>1</x:v>
      </x:c>
      <x:c r="N7540" t="str">
        <x:v>Charged Off</x:v>
      </x:c>
      <x:c r="O7540" t="str">
        <x:f>IF(D7540="","Unknown",IF(D7540&lt;25000,"&lt;$25k",IF(D7540&lt;50000,"$25k-$50k",IF(D7540&lt;75000,"$50k-$75k",IF(D7540&lt;100000,"$75k-$100k","$100k+")))))</x:f>
        <x:v>$25k-$50k</x:v>
      </x:c>
      <x:c r="P7540" t="str">
        <x:f>IF(E7540="","Unknown",IF(E7540&lt;10,"&lt;10",IF(E7540&lt;20,"10-&lt;20",IF(E7540&lt;25,"20-&lt;25",IF(E7540&lt;35,"25-&lt;35","35+")))))</x:f>
        <x:v>25-&lt;35</x:v>
      </x:c>
    </x:row>
    <x:row r="7541">
      <x:c r="A7541" t="str">
        <x:v>SYN0007540</x:v>
      </x:c>
      <x:c r="B7541" s="12" t="n">
        <x:v>41305</x:v>
      </x:c>
      <x:c r="C7541" s="18" t="n">
        <x:v>14526</x:v>
      </x:c>
      <x:c r="D7541" s="18" t="n">
        <x:v>47576</x:v>
      </x:c>
      <x:c r="E7541" s="18" t="n">
        <x:v>30.55</x:v>
      </x:c>
      <x:c r="F7541" s="18" t="n">
        <x:v>13.46</x:v>
      </x:c>
      <x:c r="G7541" t="n">
        <x:v>36</x:v>
      </x:c>
      <x:c r="H7541" t="str">
        <x:v>D</x:v>
      </x:c>
      <x:c r="I7541" t="str">
        <x:v>1-3 years</x:v>
      </x:c>
      <x:c r="J7541" t="str">
        <x:v>RENT</x:v>
      </x:c>
      <x:c r="K7541" t="str">
        <x:v>major_purchase</x:v>
      </x:c>
      <x:c r="L7541" t="n">
        <x:v>0</x:v>
      </x:c>
      <x:c r="M7541" t="n">
        <x:v>0</x:v>
      </x:c>
      <x:c r="N7541" t="str">
        <x:v>Fully Paid</x:v>
      </x:c>
      <x:c r="O7541" t="str">
        <x:f>IF(D7541="","Unknown",IF(D7541&lt;25000,"&lt;$25k",IF(D7541&lt;50000,"$25k-$50k",IF(D7541&lt;75000,"$50k-$75k",IF(D7541&lt;100000,"$75k-$100k","$100k+")))))</x:f>
        <x:v>$25k-$50k</x:v>
      </x:c>
      <x:c r="P7541" t="str">
        <x:f>IF(E7541="","Unknown",IF(E7541&lt;10,"&lt;10",IF(E7541&lt;20,"10-&lt;20",IF(E7541&lt;25,"20-&lt;25",IF(E7541&lt;35,"25-&lt;35","35+")))))</x:f>
        <x:v>25-&lt;35</x:v>
      </x:c>
    </x:row>
    <x:row r="7542">
      <x:c r="A7542" t="str">
        <x:v>SYN0007541</x:v>
      </x:c>
      <x:c r="B7542" s="12" t="n">
        <x:v>42235</x:v>
      </x:c>
      <x:c r="C7542" s="18" t="n">
        <x:v>6507</x:v>
      </x:c>
      <x:c r="D7542" s="18" t="n">
        <x:v>89148</x:v>
      </x:c>
      <x:c r="E7542" s="18" t="n">
        <x:v>20.46</x:v>
      </x:c>
      <x:c r="F7542" s="18" t="n">
        <x:v>22.07</x:v>
      </x:c>
      <x:c r="G7542" t="n">
        <x:v>36</x:v>
      </x:c>
      <x:c r="H7542" t="str">
        <x:v>F</x:v>
      </x:c>
      <x:c r="I7542" t="str">
        <x:v>&lt;1 year</x:v>
      </x:c>
      <x:c r="J7542" t="str">
        <x:v>MORTGAGE</x:v>
      </x:c>
      <x:c r="K7542" t="str">
        <x:v>other</x:v>
      </x:c>
      <x:c r="L7542" t="n">
        <x:v>0</x:v>
      </x:c>
      <x:c r="M7542" t="n">
        <x:v>0</x:v>
      </x:c>
      <x:c r="N7542" t="str">
        <x:v>Fully Paid</x:v>
      </x:c>
      <x:c r="O7542" t="str">
        <x:f>IF(D7542="","Unknown",IF(D7542&lt;25000,"&lt;$25k",IF(D7542&lt;50000,"$25k-$50k",IF(D7542&lt;75000,"$50k-$75k",IF(D7542&lt;100000,"$75k-$100k","$100k+")))))</x:f>
        <x:v>$75k-$100k</x:v>
      </x:c>
      <x:c r="P7542" t="str">
        <x:f>IF(E7542="","Unknown",IF(E7542&lt;10,"&lt;10",IF(E7542&lt;20,"10-&lt;20",IF(E7542&lt;25,"20-&lt;25",IF(E7542&lt;35,"25-&lt;35","35+")))))</x:f>
        <x:v>20-&lt;25</x:v>
      </x:c>
    </x:row>
    <x:row r="7543">
      <x:c r="A7543" t="str">
        <x:v>SYN0007542</x:v>
      </x:c>
      <x:c r="B7543" s="12" t="n">
        <x:v>41605</x:v>
      </x:c>
      <x:c r="C7543" s="18" t="n">
        <x:v>11036</x:v>
      </x:c>
      <x:c r="D7543" s="18" t="n">
        <x:v>62408</x:v>
      </x:c>
      <x:c r="E7543" s="18" t="n">
        <x:v>23.28</x:v>
      </x:c>
      <x:c r="F7543" s="18" t="n">
        <x:v>7.27</x:v>
      </x:c>
      <x:c r="G7543" t="n">
        <x:v>36</x:v>
      </x:c>
      <x:c r="H7543" t="str">
        <x:v>B</x:v>
      </x:c>
      <x:c r="I7543" t="str">
        <x:v>4-6 years</x:v>
      </x:c>
      <x:c r="J7543" t="str">
        <x:v>RENT</x:v>
      </x:c>
      <x:c r="K7543" t="str">
        <x:v>major_purchase</x:v>
      </x:c>
      <x:c r="L7543" t="n">
        <x:v>1</x:v>
      </x:c>
      <x:c r="M7543" t="n">
        <x:v>0</x:v>
      </x:c>
      <x:c r="N7543" t="str">
        <x:v>Fully Paid</x:v>
      </x:c>
      <x:c r="O7543" t="str">
        <x:f>IF(D7543="","Unknown",IF(D7543&lt;25000,"&lt;$25k",IF(D7543&lt;50000,"$25k-$50k",IF(D7543&lt;75000,"$50k-$75k",IF(D7543&lt;100000,"$75k-$100k","$100k+")))))</x:f>
        <x:v>$50k-$75k</x:v>
      </x:c>
      <x:c r="P7543" t="str">
        <x:f>IF(E7543="","Unknown",IF(E7543&lt;10,"&lt;10",IF(E7543&lt;20,"10-&lt;20",IF(E7543&lt;25,"20-&lt;25",IF(E7543&lt;35,"25-&lt;35","35+")))))</x:f>
        <x:v>20-&lt;25</x:v>
      </x:c>
    </x:row>
    <x:row r="7544">
      <x:c r="A7544" t="str">
        <x:v>SYN0007543</x:v>
      </x:c>
      <x:c r="B7544" s="12" t="n">
        <x:v>42505</x:v>
      </x:c>
      <x:c r="C7544" s="18" t="n">
        <x:v>13210</x:v>
      </x:c>
      <x:c r="D7544" s="18" t="n">
        <x:v>35819</x:v>
      </x:c>
      <x:c r="E7544" s="18" t="n">
        <x:v>14.98</x:v>
      </x:c>
      <x:c r="F7544" s="18" t="n">
        <x:v>10.96</x:v>
      </x:c>
      <x:c r="G7544" t="n">
        <x:v>36</x:v>
      </x:c>
      <x:c r="H7544" t="str">
        <x:v>C</x:v>
      </x:c>
      <x:c r="I7544" t="str">
        <x:v>10+ years</x:v>
      </x:c>
      <x:c r="J7544" t="str">
        <x:v>MORTGAGE</x:v>
      </x:c>
      <x:c r="K7544" t="str">
        <x:v>major_purchase</x:v>
      </x:c>
      <x:c r="L7544" t="n">
        <x:v>0</x:v>
      </x:c>
      <x:c r="M7544" t="n">
        <x:v>0</x:v>
      </x:c>
      <x:c r="N7544" t="str">
        <x:v>Fully Paid</x:v>
      </x:c>
      <x:c r="O7544" t="str">
        <x:f>IF(D7544="","Unknown",IF(D7544&lt;25000,"&lt;$25k",IF(D7544&lt;50000,"$25k-$50k",IF(D7544&lt;75000,"$50k-$75k",IF(D7544&lt;100000,"$75k-$100k","$100k+")))))</x:f>
        <x:v>$25k-$50k</x:v>
      </x:c>
      <x:c r="P7544" t="str">
        <x:f>IF(E7544="","Unknown",IF(E7544&lt;10,"&lt;10",IF(E7544&lt;20,"10-&lt;20",IF(E7544&lt;25,"20-&lt;25",IF(E7544&lt;35,"25-&lt;35","35+")))))</x:f>
        <x:v>10-&lt;20</x:v>
      </x:c>
    </x:row>
    <x:row r="7545">
      <x:c r="A7545" t="str">
        <x:v>SYN0007544</x:v>
      </x:c>
      <x:c r="B7545" s="12" t="n">
        <x:v>41395</x:v>
      </x:c>
      <x:c r="C7545" s="18" t="n">
        <x:v>9388</x:v>
      </x:c>
      <x:c r="D7545" s="18" t="n">
        <x:v>98602</x:v>
      </x:c>
      <x:c r="E7545" s="18" t="n">
        <x:v>25.71</x:v>
      </x:c>
      <x:c r="F7545" s="18" t="n">
        <x:v>5.84</x:v>
      </x:c>
      <x:c r="G7545" t="n">
        <x:v>36</x:v>
      </x:c>
      <x:c r="H7545" t="str">
        <x:v>A</x:v>
      </x:c>
      <x:c r="I7545" t="str">
        <x:v>1-3 years</x:v>
      </x:c>
      <x:c r="J7545" t="str">
        <x:v>RENT</x:v>
      </x:c>
      <x:c r="K7545" t="str">
        <x:v>debt_consolidation</x:v>
      </x:c>
      <x:c r="L7545" t="n">
        <x:v>1</x:v>
      </x:c>
      <x:c r="M7545" t="n">
        <x:v>0</x:v>
      </x:c>
      <x:c r="N7545" t="str">
        <x:v>Fully Paid</x:v>
      </x:c>
      <x:c r="O7545" t="str">
        <x:f>IF(D7545="","Unknown",IF(D7545&lt;25000,"&lt;$25k",IF(D7545&lt;50000,"$25k-$50k",IF(D7545&lt;75000,"$50k-$75k",IF(D7545&lt;100000,"$75k-$100k","$100k+")))))</x:f>
        <x:v>$75k-$100k</x:v>
      </x:c>
      <x:c r="P7545" t="str">
        <x:f>IF(E7545="","Unknown",IF(E7545&lt;10,"&lt;10",IF(E7545&lt;20,"10-&lt;20",IF(E7545&lt;25,"20-&lt;25",IF(E7545&lt;35,"25-&lt;35","35+")))))</x:f>
        <x:v>25-&lt;35</x:v>
      </x:c>
    </x:row>
    <x:row r="7546">
      <x:c r="A7546" t="str">
        <x:v>SYN0007545</x:v>
      </x:c>
      <x:c r="B7546" s="12" t="n">
        <x:v>42295</x:v>
      </x:c>
      <x:c r="C7546" s="18" t="n">
        <x:v>14932</x:v>
      </x:c>
      <x:c r="D7546" s="18" t="n">
        <x:v>50809</x:v>
      </x:c>
      <x:c r="E7546" s="18" t="n">
        <x:v>10.96</x:v>
      </x:c>
      <x:c r="F7546" s="18" t="n">
        <x:v>6.76</x:v>
      </x:c>
      <x:c r="G7546" t="n">
        <x:v>36</x:v>
      </x:c>
      <x:c r="H7546" t="str">
        <x:v>C</x:v>
      </x:c>
      <x:c r="I7546" t="str">
        <x:v>7-9 years</x:v>
      </x:c>
      <x:c r="J7546" t="str">
        <x:v>OTHER</x:v>
      </x:c>
      <x:c r="K7546" t="str">
        <x:v>home_improvement</x:v>
      </x:c>
      <x:c r="L7546" t="n">
        <x:v>1</x:v>
      </x:c>
      <x:c r="M7546" t="n">
        <x:v>0</x:v>
      </x:c>
      <x:c r="N7546" t="str">
        <x:v>Fully Paid</x:v>
      </x:c>
      <x:c r="O7546" t="str">
        <x:f>IF(D7546="","Unknown",IF(D7546&lt;25000,"&lt;$25k",IF(D7546&lt;50000,"$25k-$50k",IF(D7546&lt;75000,"$50k-$75k",IF(D7546&lt;100000,"$75k-$100k","$100k+")))))</x:f>
        <x:v>$50k-$75k</x:v>
      </x:c>
      <x:c r="P7546" t="str">
        <x:f>IF(E7546="","Unknown",IF(E7546&lt;10,"&lt;10",IF(E7546&lt;20,"10-&lt;20",IF(E7546&lt;25,"20-&lt;25",IF(E7546&lt;35,"25-&lt;35","35+")))))</x:f>
        <x:v>10-&lt;20</x:v>
      </x:c>
    </x:row>
    <x:row r="7547">
      <x:c r="A7547" t="str">
        <x:v>SYN0007546</x:v>
      </x:c>
      <x:c r="B7547" s="12" t="n">
        <x:v>41515</x:v>
      </x:c>
      <x:c r="C7547" s="18" t="n">
        <x:v>7989</x:v>
      </x:c>
      <x:c r="D7547" s="18" t="n">
        <x:v>109394</x:v>
      </x:c>
      <x:c r="E7547" s="18" t="n">
        <x:v>16.66</x:v>
      </x:c>
      <x:c r="F7547" s="18" t="n">
        <x:v>11.55</x:v>
      </x:c>
      <x:c r="G7547" t="n">
        <x:v>36</x:v>
      </x:c>
      <x:c r="H7547" t="str">
        <x:v>C</x:v>
      </x:c>
      <x:c r="I7547" t="str">
        <x:v>&lt;1 year</x:v>
      </x:c>
      <x:c r="J7547" t="str">
        <x:v>MORTGAGE</x:v>
      </x:c>
      <x:c r="K7547" t="str">
        <x:v>debt_consolidation</x:v>
      </x:c>
      <x:c r="L7547" t="n">
        <x:v>2</x:v>
      </x:c>
      <x:c r="M7547" t="n">
        <x:v>0</x:v>
      </x:c>
      <x:c r="N7547" t="str">
        <x:v>Fully Paid</x:v>
      </x:c>
      <x:c r="O7547" t="str">
        <x:f>IF(D7547="","Unknown",IF(D7547&lt;25000,"&lt;$25k",IF(D7547&lt;50000,"$25k-$50k",IF(D7547&lt;75000,"$50k-$75k",IF(D7547&lt;100000,"$75k-$100k","$100k+")))))</x:f>
        <x:v>$100k+</x:v>
      </x:c>
      <x:c r="P7547" t="str">
        <x:f>IF(E7547="","Unknown",IF(E7547&lt;10,"&lt;10",IF(E7547&lt;20,"10-&lt;20",IF(E7547&lt;25,"20-&lt;25",IF(E7547&lt;35,"25-&lt;35","35+")))))</x:f>
        <x:v>10-&lt;20</x:v>
      </x:c>
    </x:row>
    <x:row r="7548">
      <x:c r="A7548" t="str">
        <x:v>SYN0007547</x:v>
      </x:c>
      <x:c r="B7548" s="12" t="n">
        <x:v>42625</x:v>
      </x:c>
      <x:c r="C7548" s="18" t="n">
        <x:v>15688</x:v>
      </x:c>
      <x:c r="D7548" s="18" t="n">
        <x:v>55518</x:v>
      </x:c>
      <x:c r="E7548" s="18" t="n">
        <x:v>34.26</x:v>
      </x:c>
      <x:c r="F7548" s="18" t="n">
        <x:v>17.86</x:v>
      </x:c>
      <x:c r="G7548" t="n">
        <x:v>60</x:v>
      </x:c>
      <x:c r="H7548" t="str">
        <x:v>E</x:v>
      </x:c>
      <x:c r="I7548" t="str">
        <x:v>4-6 years</x:v>
      </x:c>
      <x:c r="J7548" t="str">
        <x:v>RENT</x:v>
      </x:c>
      <x:c r="K7548" t="str">
        <x:v>debt_consolidation</x:v>
      </x:c>
      <x:c r="L7548" t="n">
        <x:v>0</x:v>
      </x:c>
      <x:c r="M7548" t="n">
        <x:v>0</x:v>
      </x:c>
      <x:c r="N7548" t="str">
        <x:v>Fully Paid</x:v>
      </x:c>
      <x:c r="O7548" t="str">
        <x:f>IF(D7548="","Unknown",IF(D7548&lt;25000,"&lt;$25k",IF(D7548&lt;50000,"$25k-$50k",IF(D7548&lt;75000,"$50k-$75k",IF(D7548&lt;100000,"$75k-$100k","$100k+")))))</x:f>
        <x:v>$50k-$75k</x:v>
      </x:c>
      <x:c r="P7548" t="str">
        <x:f>IF(E7548="","Unknown",IF(E7548&lt;10,"&lt;10",IF(E7548&lt;20,"10-&lt;20",IF(E7548&lt;25,"20-&lt;25",IF(E7548&lt;35,"25-&lt;35","35+")))))</x:f>
        <x:v>25-&lt;35</x:v>
      </x:c>
    </x:row>
    <x:row r="7549">
      <x:c r="A7549" t="str">
        <x:v>SYN0007548</x:v>
      </x:c>
      <x:c r="B7549" s="12" t="n">
        <x:v>41455</x:v>
      </x:c>
      <x:c r="C7549" s="18" t="n">
        <x:v>7789</x:v>
      </x:c>
      <x:c r="D7549" s="18" t="n">
        <x:v>78468</x:v>
      </x:c>
      <x:c r="E7549" s="18" t="n">
        <x:v>27.08</x:v>
      </x:c>
      <x:c r="F7549" s="18" t="n">
        <x:v>16.63</x:v>
      </x:c>
      <x:c r="G7549" t="n">
        <x:v>60</x:v>
      </x:c>
      <x:c r="H7549" t="str">
        <x:v>D</x:v>
      </x:c>
      <x:c r="I7549" t="str">
        <x:v>&lt;1 year</x:v>
      </x:c>
      <x:c r="J7549" t="str">
        <x:v>RENT</x:v>
      </x:c>
      <x:c r="K7549" t="str">
        <x:v>credit_card</x:v>
      </x:c>
      <x:c r="L7549" t="n">
        <x:v>0</x:v>
      </x:c>
      <x:c r="M7549" t="n">
        <x:v>0</x:v>
      </x:c>
      <x:c r="N7549" t="str">
        <x:v>Fully Paid</x:v>
      </x:c>
      <x:c r="O7549" t="str">
        <x:f>IF(D7549="","Unknown",IF(D7549&lt;25000,"&lt;$25k",IF(D7549&lt;50000,"$25k-$50k",IF(D7549&lt;75000,"$50k-$75k",IF(D7549&lt;100000,"$75k-$100k","$100k+")))))</x:f>
        <x:v>$75k-$100k</x:v>
      </x:c>
      <x:c r="P7549" t="str">
        <x:f>IF(E7549="","Unknown",IF(E7549&lt;10,"&lt;10",IF(E7549&lt;20,"10-&lt;20",IF(E7549&lt;25,"20-&lt;25",IF(E7549&lt;35,"25-&lt;35","35+")))))</x:f>
        <x:v>25-&lt;35</x:v>
      </x:c>
    </x:row>
    <x:row r="7550">
      <x:c r="A7550" t="str">
        <x:v>SYN0007549</x:v>
      </x:c>
      <x:c r="B7550" s="12" t="n">
        <x:v>42685</x:v>
      </x:c>
      <x:c r="C7550" s="18" t="n">
        <x:v>8054</x:v>
      </x:c>
      <x:c r="D7550" s="18" t="n">
        <x:v>67534</x:v>
      </x:c>
      <x:c r="E7550" s="18" t="n">
        <x:v>12.19</x:v>
      </x:c>
      <x:c r="F7550" s="18" t="n">
        <x:v>18.89</x:v>
      </x:c>
      <x:c r="G7550" t="n">
        <x:v>36</x:v>
      </x:c>
      <x:c r="H7550" t="str">
        <x:v>E</x:v>
      </x:c>
      <x:c r="I7550" t="str">
        <x:v>7-9 years</x:v>
      </x:c>
      <x:c r="J7550" t="str">
        <x:v>MORTGAGE</x:v>
      </x:c>
      <x:c r="K7550" t="str">
        <x:v>home_improvement</x:v>
      </x:c>
      <x:c r="L7550" t="n">
        <x:v>2</x:v>
      </x:c>
      <x:c r="M7550" t="n">
        <x:v>0</x:v>
      </x:c>
      <x:c r="N7550" t="str">
        <x:v>Fully Paid</x:v>
      </x:c>
      <x:c r="O7550" t="str">
        <x:f>IF(D7550="","Unknown",IF(D7550&lt;25000,"&lt;$25k",IF(D7550&lt;50000,"$25k-$50k",IF(D7550&lt;75000,"$50k-$75k",IF(D7550&lt;100000,"$75k-$100k","$100k+")))))</x:f>
        <x:v>$50k-$75k</x:v>
      </x:c>
      <x:c r="P7550" t="str">
        <x:f>IF(E7550="","Unknown",IF(E7550&lt;10,"&lt;10",IF(E7550&lt;20,"10-&lt;20",IF(E7550&lt;25,"20-&lt;25",IF(E7550&lt;35,"25-&lt;35","35+")))))</x:f>
        <x:v>10-&lt;20</x:v>
      </x:c>
    </x:row>
    <x:row r="7551">
      <x:c r="A7551" t="str">
        <x:v>SYN0007550</x:v>
      </x:c>
      <x:c r="B7551" s="12" t="n">
        <x:v>41635</x:v>
      </x:c>
      <x:c r="C7551" s="18" t="n">
        <x:v>10472</x:v>
      </x:c>
      <x:c r="D7551" s="18" t="n">
        <x:v>66674</x:v>
      </x:c>
      <x:c r="E7551" s="18" t="n">
        <x:v>15.49</x:v>
      </x:c>
      <x:c r="F7551" s="18" t="n">
        <x:v>17.94</x:v>
      </x:c>
      <x:c r="G7551" t="n">
        <x:v>36</x:v>
      </x:c>
      <x:c r="H7551" t="str">
        <x:v>E</x:v>
      </x:c>
      <x:c r="I7551" t="str">
        <x:v>10+ years</x:v>
      </x:c>
      <x:c r="J7551" t="str">
        <x:v>RENT</x:v>
      </x:c>
      <x:c r="K7551" t="str">
        <x:v>credit_card</x:v>
      </x:c>
      <x:c r="L7551" t="n">
        <x:v>0</x:v>
      </x:c>
      <x:c r="M7551" t="n">
        <x:v>0</x:v>
      </x:c>
      <x:c r="N7551" t="str">
        <x:v>Fully Paid</x:v>
      </x:c>
      <x:c r="O7551" t="str">
        <x:f>IF(D7551="","Unknown",IF(D7551&lt;25000,"&lt;$25k",IF(D7551&lt;50000,"$25k-$50k",IF(D7551&lt;75000,"$50k-$75k",IF(D7551&lt;100000,"$75k-$100k","$100k+")))))</x:f>
        <x:v>$50k-$75k</x:v>
      </x:c>
      <x:c r="P7551" t="str">
        <x:f>IF(E7551="","Unknown",IF(E7551&lt;10,"&lt;10",IF(E7551&lt;20,"10-&lt;20",IF(E7551&lt;25,"20-&lt;25",IF(E7551&lt;35,"25-&lt;35","35+")))))</x:f>
        <x:v>10-&lt;20</x:v>
      </x:c>
    </x:row>
    <x:row r="7552">
      <x:c r="A7552" t="str">
        <x:v>SYN0007551</x:v>
      </x:c>
      <x:c r="B7552" s="12" t="n">
        <x:v>42385</x:v>
      </x:c>
      <x:c r="C7552" s="18" t="n">
        <x:v>5914</x:v>
      </x:c>
      <x:c r="D7552" s="18" t="n">
        <x:v>104972</x:v>
      </x:c>
      <x:c r="E7552" s="18" t="n">
        <x:v>22.78</x:v>
      </x:c>
      <x:c r="F7552" s="18" t="n">
        <x:v>12.07</x:v>
      </x:c>
      <x:c r="G7552" t="n">
        <x:v>36</x:v>
      </x:c>
      <x:c r="H7552" t="str">
        <x:v>D</x:v>
      </x:c>
      <x:c r="I7552" t="str">
        <x:v>1-3 years</x:v>
      </x:c>
      <x:c r="J7552" t="str">
        <x:v>MORTGAGE</x:v>
      </x:c>
      <x:c r="K7552" t="str">
        <x:v>major_purchase</x:v>
      </x:c>
      <x:c r="L7552" t="n">
        <x:v>0</x:v>
      </x:c>
      <x:c r="M7552" t="n">
        <x:v>0</x:v>
      </x:c>
      <x:c r="N7552" t="str">
        <x:v>Fully Paid</x:v>
      </x:c>
      <x:c r="O7552" t="str">
        <x:f>IF(D7552="","Unknown",IF(D7552&lt;25000,"&lt;$25k",IF(D7552&lt;50000,"$25k-$50k",IF(D7552&lt;75000,"$50k-$75k",IF(D7552&lt;100000,"$75k-$100k","$100k+")))))</x:f>
        <x:v>$100k+</x:v>
      </x:c>
      <x:c r="P7552" t="str">
        <x:f>IF(E7552="","Unknown",IF(E7552&lt;10,"&lt;10",IF(E7552&lt;20,"10-&lt;20",IF(E7552&lt;25,"20-&lt;25",IF(E7552&lt;35,"25-&lt;35","35+")))))</x:f>
        <x:v>20-&lt;25</x:v>
      </x:c>
    </x:row>
    <x:row r="7553">
      <x:c r="A7553" t="str">
        <x:v>SYN0007552</x:v>
      </x:c>
      <x:c r="B7553" s="12" t="n">
        <x:v>42085</x:v>
      </x:c>
      <x:c r="C7553" s="18" t="n">
        <x:v>10886</x:v>
      </x:c>
      <x:c r="D7553" s="18" t="n">
        <x:v>21224</x:v>
      </x:c>
      <x:c r="E7553" s="18" t="n">
        <x:v>8.78</x:v>
      </x:c>
      <x:c r="F7553" s="18" t="n">
        <x:v>7.15</x:v>
      </x:c>
      <x:c r="G7553" t="n">
        <x:v>36</x:v>
      </x:c>
      <x:c r="H7553" t="str">
        <x:v>B</x:v>
      </x:c>
      <x:c r="I7553" t="str">
        <x:v>10+ years</x:v>
      </x:c>
      <x:c r="J7553" t="str">
        <x:v>MORTGAGE</x:v>
      </x:c>
      <x:c r="K7553" t="str">
        <x:v>home_improvement</x:v>
      </x:c>
      <x:c r="L7553" t="n">
        <x:v>0</x:v>
      </x:c>
      <x:c r="M7553" t="n">
        <x:v>0</x:v>
      </x:c>
      <x:c r="N7553" t="str">
        <x:v>Fully Paid</x:v>
      </x:c>
      <x:c r="O7553" t="str">
        <x:f>IF(D7553="","Unknown",IF(D7553&lt;25000,"&lt;$25k",IF(D7553&lt;50000,"$25k-$50k",IF(D7553&lt;75000,"$50k-$75k",IF(D7553&lt;100000,"$75k-$100k","$100k+")))))</x:f>
        <x:v>&lt;$25k</x:v>
      </x:c>
      <x:c r="P7553" t="str">
        <x:f>IF(E7553="","Unknown",IF(E7553&lt;10,"&lt;10",IF(E7553&lt;20,"10-&lt;20",IF(E7553&lt;25,"20-&lt;25",IF(E7553&lt;35,"25-&lt;35","35+")))))</x:f>
        <x:v>&lt;10</x:v>
      </x:c>
    </x:row>
    <x:row r="7554">
      <x:c r="A7554" t="str">
        <x:v>SYN0007553</x:v>
      </x:c>
      <x:c r="B7554" s="12" t="n">
        <x:v>42265</x:v>
      </x:c>
      <x:c r="C7554" s="18" t="n">
        <x:v>23050</x:v>
      </x:c>
      <x:c r="D7554" s="18" t="n">
        <x:v>54681</x:v>
      </x:c>
      <x:c r="E7554" s="18" t="n">
        <x:v>13.83</x:v>
      </x:c>
      <x:c r="F7554" s="18" t="n">
        <x:v>9.55</x:v>
      </x:c>
      <x:c r="G7554" t="n">
        <x:v>36</x:v>
      </x:c>
      <x:c r="H7554" t="str">
        <x:v>C</x:v>
      </x:c>
      <x:c r="I7554" t="str">
        <x:v>7-9 years</x:v>
      </x:c>
      <x:c r="J7554" t="str">
        <x:v>RENT</x:v>
      </x:c>
      <x:c r="K7554" t="str">
        <x:v>other</x:v>
      </x:c>
      <x:c r="L7554" t="n">
        <x:v>0</x:v>
      </x:c>
      <x:c r="M7554" t="n">
        <x:v>0</x:v>
      </x:c>
      <x:c r="N7554" t="str">
        <x:v>Fully Paid</x:v>
      </x:c>
      <x:c r="O7554" t="str">
        <x:f>IF(D7554="","Unknown",IF(D7554&lt;25000,"&lt;$25k",IF(D7554&lt;50000,"$25k-$50k",IF(D7554&lt;75000,"$50k-$75k",IF(D7554&lt;100000,"$75k-$100k","$100k+")))))</x:f>
        <x:v>$50k-$75k</x:v>
      </x:c>
      <x:c r="P7554" t="str">
        <x:f>IF(E7554="","Unknown",IF(E7554&lt;10,"&lt;10",IF(E7554&lt;20,"10-&lt;20",IF(E7554&lt;25,"20-&lt;25",IF(E7554&lt;35,"25-&lt;35","35+")))))</x:f>
        <x:v>10-&lt;20</x:v>
      </x:c>
    </x:row>
    <x:row r="7555">
      <x:c r="A7555" t="str">
        <x:v>SYN0007554</x:v>
      </x:c>
      <x:c r="B7555" s="12" t="n">
        <x:v>41725</x:v>
      </x:c>
      <x:c r="C7555" s="18" t="n">
        <x:v>12373</x:v>
      </x:c>
      <x:c r="D7555" s="18" t="n">
        <x:v>30831</x:v>
      </x:c>
      <x:c r="E7555" s="18" t="n">
        <x:v>15.82</x:v>
      </x:c>
      <x:c r="F7555" s="18" t="n">
        <x:v>12.04</x:v>
      </x:c>
      <x:c r="G7555" t="n">
        <x:v>36</x:v>
      </x:c>
      <x:c r="H7555" t="str">
        <x:v>C</x:v>
      </x:c>
      <x:c r="I7555" t="str">
        <x:v>10+ years</x:v>
      </x:c>
      <x:c r="J7555" t="str">
        <x:v>OWN</x:v>
      </x:c>
      <x:c r="K7555" t="str">
        <x:v>credit_card</x:v>
      </x:c>
      <x:c r="L7555" t="n">
        <x:v>0</x:v>
      </x:c>
      <x:c r="M7555" t="n">
        <x:v>0</x:v>
      </x:c>
      <x:c r="N7555" t="str">
        <x:v>Fully Paid</x:v>
      </x:c>
      <x:c r="O7555" t="str">
        <x:f>IF(D7555="","Unknown",IF(D7555&lt;25000,"&lt;$25k",IF(D7555&lt;50000,"$25k-$50k",IF(D7555&lt;75000,"$50k-$75k",IF(D7555&lt;100000,"$75k-$100k","$100k+")))))</x:f>
        <x:v>$25k-$50k</x:v>
      </x:c>
      <x:c r="P7555" t="str">
        <x:f>IF(E7555="","Unknown",IF(E7555&lt;10,"&lt;10",IF(E7555&lt;20,"10-&lt;20",IF(E7555&lt;25,"20-&lt;25",IF(E7555&lt;35,"25-&lt;35","35+")))))</x:f>
        <x:v>10-&lt;20</x:v>
      </x:c>
    </x:row>
    <x:row r="7556">
      <x:c r="A7556" t="str">
        <x:v>SYN0007555</x:v>
      </x:c>
      <x:c r="B7556" s="12" t="n">
        <x:v>42955</x:v>
      </x:c>
      <x:c r="C7556" s="18" t="n">
        <x:v>19383</x:v>
      </x:c>
      <x:c r="D7556" s="18" t="n">
        <x:v>35907</x:v>
      </x:c>
      <x:c r="E7556" s="18" t="n">
        <x:v>27.49</x:v>
      </x:c>
      <x:c r="F7556" s="18" t="n">
        <x:v>5.8</x:v>
      </x:c>
      <x:c r="G7556" t="n">
        <x:v>36</x:v>
      </x:c>
      <x:c r="H7556" t="str">
        <x:v>B</x:v>
      </x:c>
      <x:c r="I7556" t="str">
        <x:v>4-6 years</x:v>
      </x:c>
      <x:c r="J7556" t="str">
        <x:v>RENT</x:v>
      </x:c>
      <x:c r="K7556" t="str">
        <x:v>other</x:v>
      </x:c>
      <x:c r="L7556" t="n">
        <x:v>0</x:v>
      </x:c>
      <x:c r="M7556" t="n">
        <x:v>0</x:v>
      </x:c>
      <x:c r="N7556" t="str">
        <x:v>Fully Paid</x:v>
      </x:c>
      <x:c r="O7556" t="str">
        <x:f>IF(D7556="","Unknown",IF(D7556&lt;25000,"&lt;$25k",IF(D7556&lt;50000,"$25k-$50k",IF(D7556&lt;75000,"$50k-$75k",IF(D7556&lt;100000,"$75k-$100k","$100k+")))))</x:f>
        <x:v>$25k-$50k</x:v>
      </x:c>
      <x:c r="P7556" t="str">
        <x:f>IF(E7556="","Unknown",IF(E7556&lt;10,"&lt;10",IF(E7556&lt;20,"10-&lt;20",IF(E7556&lt;25,"20-&lt;25",IF(E7556&lt;35,"25-&lt;35","35+")))))</x:f>
        <x:v>25-&lt;35</x:v>
      </x:c>
    </x:row>
    <x:row r="7557">
      <x:c r="A7557" t="str">
        <x:v>SYN0007556</x:v>
      </x:c>
      <x:c r="B7557" s="12" t="n">
        <x:v>41485</x:v>
      </x:c>
      <x:c r="C7557" s="18" t="n">
        <x:v>18402</x:v>
      </x:c>
      <x:c r="D7557" s="18" t="n">
        <x:v>58431</x:v>
      </x:c>
      <x:c r="E7557" s="18" t="n">
        <x:v>30.08</x:v>
      </x:c>
      <x:c r="F7557" s="18" t="n">
        <x:v>7.97</x:v>
      </x:c>
      <x:c r="G7557" t="n">
        <x:v>36</x:v>
      </x:c>
      <x:c r="H7557" t="str">
        <x:v>A</x:v>
      </x:c>
      <x:c r="I7557" t="str">
        <x:v>1-3 years</x:v>
      </x:c>
      <x:c r="J7557" t="str">
        <x:v>RENT</x:v>
      </x:c>
      <x:c r="K7557" t="str">
        <x:v>major_purchase</x:v>
      </x:c>
      <x:c r="L7557" t="n">
        <x:v>1</x:v>
      </x:c>
      <x:c r="M7557" t="n">
        <x:v>0</x:v>
      </x:c>
      <x:c r="N7557" t="str">
        <x:v>Fully Paid</x:v>
      </x:c>
      <x:c r="O7557" t="str">
        <x:f>IF(D7557="","Unknown",IF(D7557&lt;25000,"&lt;$25k",IF(D7557&lt;50000,"$25k-$50k",IF(D7557&lt;75000,"$50k-$75k",IF(D7557&lt;100000,"$75k-$100k","$100k+")))))</x:f>
        <x:v>$50k-$75k</x:v>
      </x:c>
      <x:c r="P7557" t="str">
        <x:f>IF(E7557="","Unknown",IF(E7557&lt;10,"&lt;10",IF(E7557&lt;20,"10-&lt;20",IF(E7557&lt;25,"20-&lt;25",IF(E7557&lt;35,"25-&lt;35","35+")))))</x:f>
        <x:v>25-&lt;35</x:v>
      </x:c>
    </x:row>
    <x:row r="7558">
      <x:c r="A7558" t="str">
        <x:v>SYN0007557</x:v>
      </x:c>
      <x:c r="B7558" s="12" t="n">
        <x:v>41455</x:v>
      </x:c>
      <x:c r="C7558" s="18" t="n">
        <x:v>9097</x:v>
      </x:c>
      <x:c r="D7558" s="18" t="n">
        <x:v>113684</x:v>
      </x:c>
      <x:c r="E7558" s="18" t="n">
        <x:v>22.14</x:v>
      </x:c>
      <x:c r="F7558" s="18" t="n">
        <x:v>14.24</x:v>
      </x:c>
      <x:c r="G7558" t="n">
        <x:v>36</x:v>
      </x:c>
      <x:c r="H7558" t="str">
        <x:v>D</x:v>
      </x:c>
      <x:c r="I7558" t="str">
        <x:v>1-3 years</x:v>
      </x:c>
      <x:c r="J7558" t="str">
        <x:v>MORTGAGE</x:v>
      </x:c>
      <x:c r="K7558" t="str">
        <x:v>debt_consolidation</x:v>
      </x:c>
      <x:c r="L7558" t="n">
        <x:v>1</x:v>
      </x:c>
      <x:c r="M7558" t="n">
        <x:v>0</x:v>
      </x:c>
      <x:c r="N7558" t="str">
        <x:v>Fully Paid</x:v>
      </x:c>
      <x:c r="O7558" t="str">
        <x:f>IF(D7558="","Unknown",IF(D7558&lt;25000,"&lt;$25k",IF(D7558&lt;50000,"$25k-$50k",IF(D7558&lt;75000,"$50k-$75k",IF(D7558&lt;100000,"$75k-$100k","$100k+")))))</x:f>
        <x:v>$100k+</x:v>
      </x:c>
      <x:c r="P7558" t="str">
        <x:f>IF(E7558="","Unknown",IF(E7558&lt;10,"&lt;10",IF(E7558&lt;20,"10-&lt;20",IF(E7558&lt;25,"20-&lt;25",IF(E7558&lt;35,"25-&lt;35","35+")))))</x:f>
        <x:v>20-&lt;25</x:v>
      </x:c>
    </x:row>
    <x:row r="7559">
      <x:c r="A7559" t="str">
        <x:v>SYN0007558</x:v>
      </x:c>
      <x:c r="B7559" s="12" t="n">
        <x:v>42445</x:v>
      </x:c>
      <x:c r="C7559" s="18" t="n">
        <x:v>18545</x:v>
      </x:c>
      <x:c r="D7559" s="18" t="n">
        <x:v>67595</x:v>
      </x:c>
      <x:c r="E7559" s="18" t="n">
        <x:v>11.3</x:v>
      </x:c>
      <x:c r="F7559" s="18" t="n">
        <x:v>11.07</x:v>
      </x:c>
      <x:c r="G7559" t="n">
        <x:v>36</x:v>
      </x:c>
      <x:c r="H7559" t="str">
        <x:v>C</x:v>
      </x:c>
      <x:c r="I7559" t="str">
        <x:v>10+ years</x:v>
      </x:c>
      <x:c r="J7559" t="str">
        <x:v>OWN</x:v>
      </x:c>
      <x:c r="K7559" t="str">
        <x:v>home_improvement</x:v>
      </x:c>
      <x:c r="L7559" t="n">
        <x:v>1</x:v>
      </x:c>
      <x:c r="M7559" t="n">
        <x:v>0</x:v>
      </x:c>
      <x:c r="N7559" t="str">
        <x:v>Fully Paid</x:v>
      </x:c>
      <x:c r="O7559" t="str">
        <x:f>IF(D7559="","Unknown",IF(D7559&lt;25000,"&lt;$25k",IF(D7559&lt;50000,"$25k-$50k",IF(D7559&lt;75000,"$50k-$75k",IF(D7559&lt;100000,"$75k-$100k","$100k+")))))</x:f>
        <x:v>$50k-$75k</x:v>
      </x:c>
      <x:c r="P7559" t="str">
        <x:f>IF(E7559="","Unknown",IF(E7559&lt;10,"&lt;10",IF(E7559&lt;20,"10-&lt;20",IF(E7559&lt;25,"20-&lt;25",IF(E7559&lt;35,"25-&lt;35","35+")))))</x:f>
        <x:v>10-&lt;20</x:v>
      </x:c>
    </x:row>
    <x:row r="7560">
      <x:c r="A7560" t="str">
        <x:v>SYN0007559</x:v>
      </x:c>
      <x:c r="B7560" s="12" t="n">
        <x:v>42205</x:v>
      </x:c>
      <x:c r="C7560" s="18" t="n">
        <x:v>8656</x:v>
      </x:c>
      <x:c r="D7560" s="18" t="n">
        <x:v>46332</x:v>
      </x:c>
      <x:c r="E7560" s="18" t="n">
        <x:v>10.72</x:v>
      </x:c>
      <x:c r="F7560" s="18" t="n">
        <x:v>7.62</x:v>
      </x:c>
      <x:c r="G7560" t="n">
        <x:v>36</x:v>
      </x:c>
      <x:c r="H7560" t="str">
        <x:v>A</x:v>
      </x:c>
      <x:c r="I7560" t="str">
        <x:v>7-9 years</x:v>
      </x:c>
      <x:c r="J7560" t="str">
        <x:v>RENT</x:v>
      </x:c>
      <x:c r="K7560" t="str">
        <x:v>debt_consolidation</x:v>
      </x:c>
      <x:c r="L7560" t="n">
        <x:v>0</x:v>
      </x:c>
      <x:c r="M7560" t="n">
        <x:v>0</x:v>
      </x:c>
      <x:c r="N7560" t="str">
        <x:v>Fully Paid</x:v>
      </x:c>
      <x:c r="O7560" t="str">
        <x:f>IF(D7560="","Unknown",IF(D7560&lt;25000,"&lt;$25k",IF(D7560&lt;50000,"$25k-$50k",IF(D7560&lt;75000,"$50k-$75k",IF(D7560&lt;100000,"$75k-$100k","$100k+")))))</x:f>
        <x:v>$25k-$50k</x:v>
      </x:c>
      <x:c r="P7560" t="str">
        <x:f>IF(E7560="","Unknown",IF(E7560&lt;10,"&lt;10",IF(E7560&lt;20,"10-&lt;20",IF(E7560&lt;25,"20-&lt;25",IF(E7560&lt;35,"25-&lt;35","35+")))))</x:f>
        <x:v>10-&lt;20</x:v>
      </x:c>
    </x:row>
    <x:row r="7561">
      <x:c r="A7561" t="str">
        <x:v>SYN0007560</x:v>
      </x:c>
      <x:c r="B7561" s="12" t="n">
        <x:v>41815</x:v>
      </x:c>
      <x:c r="C7561" s="18" t="n">
        <x:v>5158</x:v>
      </x:c>
      <x:c r="D7561" s="18" t="n">
        <x:v>48470</x:v>
      </x:c>
      <x:c r="E7561" s="18" t="n">
        <x:v>21.92</x:v>
      </x:c>
      <x:c r="F7561" s="18" t="n">
        <x:v>6.39</x:v>
      </x:c>
      <x:c r="G7561" t="n">
        <x:v>36</x:v>
      </x:c>
      <x:c r="H7561" t="str">
        <x:v>A</x:v>
      </x:c>
      <x:c r="I7561" t="str">
        <x:v>10+ years</x:v>
      </x:c>
      <x:c r="J7561" t="str">
        <x:v>MORTGAGE</x:v>
      </x:c>
      <x:c r="K7561" t="str">
        <x:v>debt_consolidation</x:v>
      </x:c>
      <x:c r="L7561" t="n">
        <x:v>0</x:v>
      </x:c>
      <x:c r="M7561" t="n">
        <x:v>0</x:v>
      </x:c>
      <x:c r="N7561" t="str">
        <x:v>Fully Paid</x:v>
      </x:c>
      <x:c r="O7561" t="str">
        <x:f>IF(D7561="","Unknown",IF(D7561&lt;25000,"&lt;$25k",IF(D7561&lt;50000,"$25k-$50k",IF(D7561&lt;75000,"$50k-$75k",IF(D7561&lt;100000,"$75k-$100k","$100k+")))))</x:f>
        <x:v>$25k-$50k</x:v>
      </x:c>
      <x:c r="P7561" t="str">
        <x:f>IF(E7561="","Unknown",IF(E7561&lt;10,"&lt;10",IF(E7561&lt;20,"10-&lt;20",IF(E7561&lt;25,"20-&lt;25",IF(E7561&lt;35,"25-&lt;35","35+")))))</x:f>
        <x:v>20-&lt;25</x:v>
      </x:c>
    </x:row>
    <x:row r="7562">
      <x:c r="A7562" t="str">
        <x:v>SYN0007561</x:v>
      </x:c>
      <x:c r="B7562" s="12" t="n">
        <x:v>42625</x:v>
      </x:c>
      <x:c r="C7562" s="18" t="n">
        <x:v>17872</x:v>
      </x:c>
      <x:c r="D7562" s="18" t="n">
        <x:v>56613</x:v>
      </x:c>
      <x:c r="E7562" s="18" t="n">
        <x:v>30.26</x:v>
      </x:c>
      <x:c r="F7562" s="18" t="n">
        <x:v>14.96</x:v>
      </x:c>
      <x:c r="G7562" t="n">
        <x:v>36</x:v>
      </x:c>
      <x:c r="H7562" t="str">
        <x:v>E</x:v>
      </x:c>
      <x:c r="I7562" t="str">
        <x:v>1-3 years</x:v>
      </x:c>
      <x:c r="J7562" t="str">
        <x:v>MORTGAGE</x:v>
      </x:c>
      <x:c r="K7562" t="str">
        <x:v>debt_consolidation</x:v>
      </x:c>
      <x:c r="L7562" t="n">
        <x:v>2</x:v>
      </x:c>
      <x:c r="M7562" t="n">
        <x:v>0</x:v>
      </x:c>
      <x:c r="N7562" t="str">
        <x:v>Fully Paid</x:v>
      </x:c>
      <x:c r="O7562" t="str">
        <x:f>IF(D7562="","Unknown",IF(D7562&lt;25000,"&lt;$25k",IF(D7562&lt;50000,"$25k-$50k",IF(D7562&lt;75000,"$50k-$75k",IF(D7562&lt;100000,"$75k-$100k","$100k+")))))</x:f>
        <x:v>$50k-$75k</x:v>
      </x:c>
      <x:c r="P7562" t="str">
        <x:f>IF(E7562="","Unknown",IF(E7562&lt;10,"&lt;10",IF(E7562&lt;20,"10-&lt;20",IF(E7562&lt;25,"20-&lt;25",IF(E7562&lt;35,"25-&lt;35","35+")))))</x:f>
        <x:v>25-&lt;35</x:v>
      </x:c>
    </x:row>
    <x:row r="7563">
      <x:c r="A7563" t="str">
        <x:v>SYN0007562</x:v>
      </x:c>
      <x:c r="B7563" s="12" t="n">
        <x:v>41425</x:v>
      </x:c>
      <x:c r="C7563" s="18" t="n">
        <x:v>14317</x:v>
      </x:c>
      <x:c r="D7563" s="18" t="n">
        <x:v>51444</x:v>
      </x:c>
      <x:c r="E7563" s="18" t="n">
        <x:v>19.52</x:v>
      </x:c>
      <x:c r="F7563" s="18" t="n">
        <x:v>7.7</x:v>
      </x:c>
      <x:c r="G7563" t="n">
        <x:v>60</x:v>
      </x:c>
      <x:c r="H7563" t="str">
        <x:v>A</x:v>
      </x:c>
      <x:c r="I7563" t="str">
        <x:v>10+ years</x:v>
      </x:c>
      <x:c r="J7563" t="str">
        <x:v>RENT</x:v>
      </x:c>
      <x:c r="K7563" t="str">
        <x:v>medical</x:v>
      </x:c>
      <x:c r="L7563" t="n">
        <x:v>0</x:v>
      </x:c>
      <x:c r="M7563" t="n">
        <x:v>0</x:v>
      </x:c>
      <x:c r="N7563" t="str">
        <x:v>Fully Paid</x:v>
      </x:c>
      <x:c r="O7563" t="str">
        <x:f>IF(D7563="","Unknown",IF(D7563&lt;25000,"&lt;$25k",IF(D7563&lt;50000,"$25k-$50k",IF(D7563&lt;75000,"$50k-$75k",IF(D7563&lt;100000,"$75k-$100k","$100k+")))))</x:f>
        <x:v>$50k-$75k</x:v>
      </x:c>
      <x:c r="P7563" t="str">
        <x:f>IF(E7563="","Unknown",IF(E7563&lt;10,"&lt;10",IF(E7563&lt;20,"10-&lt;20",IF(E7563&lt;25,"20-&lt;25",IF(E7563&lt;35,"25-&lt;35","35+")))))</x:f>
        <x:v>10-&lt;20</x:v>
      </x:c>
    </x:row>
    <x:row r="7564">
      <x:c r="A7564" t="str">
        <x:v>SYN0007563</x:v>
      </x:c>
      <x:c r="B7564" s="12" t="n">
        <x:v>42955</x:v>
      </x:c>
      <x:c r="C7564" s="18" t="n">
        <x:v>15721</x:v>
      </x:c>
      <x:c r="D7564" s="18" t="n">
        <x:v>87346</x:v>
      </x:c>
      <x:c r="E7564" s="18" t="n">
        <x:v>23.27</x:v>
      </x:c>
      <x:c r="F7564" s="18" t="n">
        <x:v>12.36</x:v>
      </x:c>
      <x:c r="G7564" t="n">
        <x:v>60</x:v>
      </x:c>
      <x:c r="H7564" t="str">
        <x:v>C</x:v>
      </x:c>
      <x:c r="I7564" t="str">
        <x:v>10+ years</x:v>
      </x:c>
      <x:c r="J7564" t="str">
        <x:v>RENT</x:v>
      </x:c>
      <x:c r="K7564" t="str">
        <x:v>credit_card</x:v>
      </x:c>
      <x:c r="L7564" t="n">
        <x:v>0</x:v>
      </x:c>
      <x:c r="M7564" t="n">
        <x:v>0</x:v>
      </x:c>
      <x:c r="N7564" t="str">
        <x:v>Fully Paid</x:v>
      </x:c>
      <x:c r="O7564" t="str">
        <x:f>IF(D7564="","Unknown",IF(D7564&lt;25000,"&lt;$25k",IF(D7564&lt;50000,"$25k-$50k",IF(D7564&lt;75000,"$50k-$75k",IF(D7564&lt;100000,"$75k-$100k","$100k+")))))</x:f>
        <x:v>$75k-$100k</x:v>
      </x:c>
      <x:c r="P7564" t="str">
        <x:f>IF(E7564="","Unknown",IF(E7564&lt;10,"&lt;10",IF(E7564&lt;20,"10-&lt;20",IF(E7564&lt;25,"20-&lt;25",IF(E7564&lt;35,"25-&lt;35","35+")))))</x:f>
        <x:v>20-&lt;25</x:v>
      </x:c>
    </x:row>
    <x:row r="7565">
      <x:c r="A7565" t="str">
        <x:v>SYN0007564</x:v>
      </x:c>
      <x:c r="B7565" s="12" t="n">
        <x:v>41965</x:v>
      </x:c>
      <x:c r="C7565" s="18" t="n">
        <x:v>20524</x:v>
      </x:c>
      <x:c r="D7565" s="18" t="n">
        <x:v>61451</x:v>
      </x:c>
      <x:c r="E7565" s="18" t="n">
        <x:v>28.98</x:v>
      </x:c>
      <x:c r="F7565" s="18" t="n">
        <x:v>6.56</x:v>
      </x:c>
      <x:c r="G7565" t="n">
        <x:v>36</x:v>
      </x:c>
      <x:c r="H7565" t="str">
        <x:v>A</x:v>
      </x:c>
      <x:c r="I7565" t="str">
        <x:v>10+ years</x:v>
      </x:c>
      <x:c r="J7565" t="str">
        <x:v>MORTGAGE</x:v>
      </x:c>
      <x:c r="K7565" t="str">
        <x:v>home_improvement</x:v>
      </x:c>
      <x:c r="L7565" t="n">
        <x:v>1</x:v>
      </x:c>
      <x:c r="M7565" t="n">
        <x:v>0</x:v>
      </x:c>
      <x:c r="N7565" t="str">
        <x:v>Fully Paid</x:v>
      </x:c>
      <x:c r="O7565" t="str">
        <x:f>IF(D7565="","Unknown",IF(D7565&lt;25000,"&lt;$25k",IF(D7565&lt;50000,"$25k-$50k",IF(D7565&lt;75000,"$50k-$75k",IF(D7565&lt;100000,"$75k-$100k","$100k+")))))</x:f>
        <x:v>$50k-$75k</x:v>
      </x:c>
      <x:c r="P7565" t="str">
        <x:f>IF(E7565="","Unknown",IF(E7565&lt;10,"&lt;10",IF(E7565&lt;20,"10-&lt;20",IF(E7565&lt;25,"20-&lt;25",IF(E7565&lt;35,"25-&lt;35","35+")))))</x:f>
        <x:v>25-&lt;35</x:v>
      </x:c>
    </x:row>
    <x:row r="7566">
      <x:c r="A7566" t="str">
        <x:v>SYN0007565</x:v>
      </x:c>
      <x:c r="B7566" s="12" t="n">
        <x:v>41815</x:v>
      </x:c>
      <x:c r="C7566" s="18" t="n">
        <x:v>7230</x:v>
      </x:c>
      <x:c r="D7566" s="18" t="n">
        <x:v>59603</x:v>
      </x:c>
      <x:c r="E7566" s="18" t="n">
        <x:v>29.56</x:v>
      </x:c>
      <x:c r="F7566" s="18" t="n">
        <x:v>24.7</x:v>
      </x:c>
      <x:c r="G7566" t="n">
        <x:v>36</x:v>
      </x:c>
      <x:c r="H7566" t="str">
        <x:v>G</x:v>
      </x:c>
      <x:c r="I7566" t="str">
        <x:v>10+ years</x:v>
      </x:c>
      <x:c r="J7566" t="str">
        <x:v>MORTGAGE</x:v>
      </x:c>
      <x:c r="K7566" t="str">
        <x:v>other</x:v>
      </x:c>
      <x:c r="L7566" t="n">
        <x:v>0</x:v>
      </x:c>
      <x:c r="M7566" t="n">
        <x:v>0</x:v>
      </x:c>
      <x:c r="N7566" t="str">
        <x:v>Fully Paid</x:v>
      </x:c>
      <x:c r="O7566" t="str">
        <x:f>IF(D7566="","Unknown",IF(D7566&lt;25000,"&lt;$25k",IF(D7566&lt;50000,"$25k-$50k",IF(D7566&lt;75000,"$50k-$75k",IF(D7566&lt;100000,"$75k-$100k","$100k+")))))</x:f>
        <x:v>$50k-$75k</x:v>
      </x:c>
      <x:c r="P7566" t="str">
        <x:f>IF(E7566="","Unknown",IF(E7566&lt;10,"&lt;10",IF(E7566&lt;20,"10-&lt;20",IF(E7566&lt;25,"20-&lt;25",IF(E7566&lt;35,"25-&lt;35","35+")))))</x:f>
        <x:v>25-&lt;35</x:v>
      </x:c>
    </x:row>
    <x:row r="7567">
      <x:c r="A7567" t="str">
        <x:v>SYN0007566</x:v>
      </x:c>
      <x:c r="B7567" s="12" t="n">
        <x:v>41275</x:v>
      </x:c>
      <x:c r="C7567" s="18" t="n">
        <x:v>8770</x:v>
      </x:c>
      <x:c r="D7567" s="18" t="n">
        <x:v>72649</x:v>
      </x:c>
      <x:c r="E7567" s="18" t="n">
        <x:v>19.48</x:v>
      </x:c>
      <x:c r="F7567" s="18" t="n">
        <x:v>6.79</x:v>
      </x:c>
      <x:c r="G7567" t="n">
        <x:v>36</x:v>
      </x:c>
      <x:c r="H7567" t="str">
        <x:v>B</x:v>
      </x:c>
      <x:c r="I7567" t="str">
        <x:v>10+ years</x:v>
      </x:c>
      <x:c r="J7567" t="str">
        <x:v>MORTGAGE</x:v>
      </x:c>
      <x:c r="K7567" t="str">
        <x:v>medical</x:v>
      </x:c>
      <x:c r="L7567" t="n">
        <x:v>1</x:v>
      </x:c>
      <x:c r="M7567" t="n">
        <x:v>0</x:v>
      </x:c>
      <x:c r="N7567" t="str">
        <x:v>Fully Paid</x:v>
      </x:c>
      <x:c r="O7567" t="str">
        <x:f>IF(D7567="","Unknown",IF(D7567&lt;25000,"&lt;$25k",IF(D7567&lt;50000,"$25k-$50k",IF(D7567&lt;75000,"$50k-$75k",IF(D7567&lt;100000,"$75k-$100k","$100k+")))))</x:f>
        <x:v>$50k-$75k</x:v>
      </x:c>
      <x:c r="P7567" t="str">
        <x:f>IF(E7567="","Unknown",IF(E7567&lt;10,"&lt;10",IF(E7567&lt;20,"10-&lt;20",IF(E7567&lt;25,"20-&lt;25",IF(E7567&lt;35,"25-&lt;35","35+")))))</x:f>
        <x:v>10-&lt;20</x:v>
      </x:c>
    </x:row>
    <x:row r="7568">
      <x:c r="A7568" t="str">
        <x:v>SYN0007567</x:v>
      </x:c>
      <x:c r="B7568" s="12" t="n">
        <x:v>41515</x:v>
      </x:c>
      <x:c r="C7568" s="18" t="n">
        <x:v>10728</x:v>
      </x:c>
      <x:c r="D7568" s="18" t="n">
        <x:v>24826</x:v>
      </x:c>
      <x:c r="E7568" s="18" t="n">
        <x:v>37.89</x:v>
      </x:c>
      <x:c r="F7568" s="18" t="n">
        <x:v>18.48</x:v>
      </x:c>
      <x:c r="G7568" t="n">
        <x:v>60</x:v>
      </x:c>
      <x:c r="H7568" t="str">
        <x:v>E</x:v>
      </x:c>
      <x:c r="I7568" t="str">
        <x:v>&lt;1 year</x:v>
      </x:c>
      <x:c r="J7568" t="str">
        <x:v>OWN</x:v>
      </x:c>
      <x:c r="K7568" t="str">
        <x:v>home_improvement</x:v>
      </x:c>
      <x:c r="L7568" t="n">
        <x:v>0</x:v>
      </x:c>
      <x:c r="M7568" t="n">
        <x:v>0</x:v>
      </x:c>
      <x:c r="N7568" t="str">
        <x:v>Fully Paid</x:v>
      </x:c>
      <x:c r="O7568" t="str">
        <x:f>IF(D7568="","Unknown",IF(D7568&lt;25000,"&lt;$25k",IF(D7568&lt;50000,"$25k-$50k",IF(D7568&lt;75000,"$50k-$75k",IF(D7568&lt;100000,"$75k-$100k","$100k+")))))</x:f>
        <x:v>&lt;$25k</x:v>
      </x:c>
      <x:c r="P7568" t="str">
        <x:f>IF(E7568="","Unknown",IF(E7568&lt;10,"&lt;10",IF(E7568&lt;20,"10-&lt;20",IF(E7568&lt;25,"20-&lt;25",IF(E7568&lt;35,"25-&lt;35","35+")))))</x:f>
        <x:v>35+</x:v>
      </x:c>
    </x:row>
    <x:row r="7569">
      <x:c r="A7569" t="str">
        <x:v>SYN0007568</x:v>
      </x:c>
      <x:c r="B7569" s="12" t="n">
        <x:v>41365</x:v>
      </x:c>
      <x:c r="C7569" s="18" t="n">
        <x:v>9795</x:v>
      </x:c>
      <x:c r="D7569" s="18" t="n">
        <x:v>81651</x:v>
      </x:c>
      <x:c r="E7569" s="18" t="n">
        <x:v>24.36</x:v>
      </x:c>
      <x:c r="F7569" s="18" t="n">
        <x:v>18.22</x:v>
      </x:c>
      <x:c r="G7569" t="n">
        <x:v>60</x:v>
      </x:c>
      <x:c r="H7569" t="str">
        <x:v>E</x:v>
      </x:c>
      <x:c r="I7569" t="str">
        <x:v>7-9 years</x:v>
      </x:c>
      <x:c r="J7569" t="str">
        <x:v>RENT</x:v>
      </x:c>
      <x:c r="K7569" t="str">
        <x:v>other</x:v>
      </x:c>
      <x:c r="L7569" t="n">
        <x:v>2</x:v>
      </x:c>
      <x:c r="M7569" t="n">
        <x:v>0</x:v>
      </x:c>
      <x:c r="N7569" t="str">
        <x:v>Fully Paid</x:v>
      </x:c>
      <x:c r="O7569" t="str">
        <x:f>IF(D7569="","Unknown",IF(D7569&lt;25000,"&lt;$25k",IF(D7569&lt;50000,"$25k-$50k",IF(D7569&lt;75000,"$50k-$75k",IF(D7569&lt;100000,"$75k-$100k","$100k+")))))</x:f>
        <x:v>$75k-$100k</x:v>
      </x:c>
      <x:c r="P7569" t="str">
        <x:f>IF(E7569="","Unknown",IF(E7569&lt;10,"&lt;10",IF(E7569&lt;20,"10-&lt;20",IF(E7569&lt;25,"20-&lt;25",IF(E7569&lt;35,"25-&lt;35","35+")))))</x:f>
        <x:v>20-&lt;25</x:v>
      </x:c>
    </x:row>
    <x:row r="7570">
      <x:c r="A7570" t="str">
        <x:v>SYN0007569</x:v>
      </x:c>
      <x:c r="B7570" s="12" t="n">
        <x:v>41815</x:v>
      </x:c>
      <x:c r="C7570" s="18" t="n">
        <x:v>6152</x:v>
      </x:c>
      <x:c r="D7570" s="18" t="n">
        <x:v>33237</x:v>
      </x:c>
      <x:c r="E7570" s="18" t="n">
        <x:v>18.14</x:v>
      </x:c>
      <x:c r="F7570" s="18" t="n">
        <x:v>16.7</x:v>
      </x:c>
      <x:c r="G7570" t="n">
        <x:v>60</x:v>
      </x:c>
      <x:c r="H7570" t="str">
        <x:v>E</x:v>
      </x:c>
      <x:c r="I7570" t="str">
        <x:v>10+ years</x:v>
      </x:c>
      <x:c r="J7570" t="str">
        <x:v>MORTGAGE</x:v>
      </x:c>
      <x:c r="K7570" t="str">
        <x:v>credit_card</x:v>
      </x:c>
      <x:c r="L7570" t="n">
        <x:v>1</x:v>
      </x:c>
      <x:c r="M7570" t="n">
        <x:v>0</x:v>
      </x:c>
      <x:c r="N7570" t="str">
        <x:v>Fully Paid</x:v>
      </x:c>
      <x:c r="O7570" t="str">
        <x:f>IF(D7570="","Unknown",IF(D7570&lt;25000,"&lt;$25k",IF(D7570&lt;50000,"$25k-$50k",IF(D7570&lt;75000,"$50k-$75k",IF(D7570&lt;100000,"$75k-$100k","$100k+")))))</x:f>
        <x:v>$25k-$50k</x:v>
      </x:c>
      <x:c r="P7570" t="str">
        <x:f>IF(E7570="","Unknown",IF(E7570&lt;10,"&lt;10",IF(E7570&lt;20,"10-&lt;20",IF(E7570&lt;25,"20-&lt;25",IF(E7570&lt;35,"25-&lt;35","35+")))))</x:f>
        <x:v>10-&lt;20</x:v>
      </x:c>
    </x:row>
    <x:row r="7571">
      <x:c r="A7571" t="str">
        <x:v>SYN0007570</x:v>
      </x:c>
      <x:c r="B7571" s="12" t="n">
        <x:v>41875</x:v>
      </x:c>
      <x:c r="C7571" s="18" t="n">
        <x:v>9413</x:v>
      </x:c>
      <x:c r="D7571" s="18" t="n">
        <x:v>52162</x:v>
      </x:c>
      <x:c r="E7571" s="18" t="n">
        <x:v>27.34</x:v>
      </x:c>
      <x:c r="F7571" s="18" t="n">
        <x:v>20.41</x:v>
      </x:c>
      <x:c r="G7571" t="n">
        <x:v>60</x:v>
      </x:c>
      <x:c r="H7571" t="str">
        <x:v>E</x:v>
      </x:c>
      <x:c r="I7571" t="str">
        <x:v>1-3 years</x:v>
      </x:c>
      <x:c r="J7571" t="str">
        <x:v>RENT</x:v>
      </x:c>
      <x:c r="K7571" t="str">
        <x:v>debt_consolidation</x:v>
      </x:c>
      <x:c r="L7571" t="n">
        <x:v>0</x:v>
      </x:c>
      <x:c r="M7571" t="n">
        <x:v>0</x:v>
      </x:c>
      <x:c r="N7571" t="str">
        <x:v>Fully Paid</x:v>
      </x:c>
      <x:c r="O7571" t="str">
        <x:f>IF(D7571="","Unknown",IF(D7571&lt;25000,"&lt;$25k",IF(D7571&lt;50000,"$25k-$50k",IF(D7571&lt;75000,"$50k-$75k",IF(D7571&lt;100000,"$75k-$100k","$100k+")))))</x:f>
        <x:v>$50k-$75k</x:v>
      </x:c>
      <x:c r="P7571" t="str">
        <x:f>IF(E7571="","Unknown",IF(E7571&lt;10,"&lt;10",IF(E7571&lt;20,"10-&lt;20",IF(E7571&lt;25,"20-&lt;25",IF(E7571&lt;35,"25-&lt;35","35+")))))</x:f>
        <x:v>25-&lt;35</x:v>
      </x:c>
    </x:row>
    <x:row r="7572">
      <x:c r="A7572" t="str">
        <x:v>SYN0007571</x:v>
      </x:c>
      <x:c r="B7572" s="12" t="n">
        <x:v>41935</x:v>
      </x:c>
      <x:c r="C7572" s="18" t="n">
        <x:v>4199</x:v>
      </x:c>
      <x:c r="D7572" s="18" t="n">
        <x:v>32610</x:v>
      </x:c>
      <x:c r="E7572" s="18" t="n">
        <x:v>36.49</x:v>
      </x:c>
      <x:c r="F7572" s="18" t="n">
        <x:v>16.06</x:v>
      </x:c>
      <x:c r="G7572" t="n">
        <x:v>60</x:v>
      </x:c>
      <x:c r="H7572" t="str">
        <x:v>D</x:v>
      </x:c>
      <x:c r="I7572" t="str">
        <x:v>1-3 years</x:v>
      </x:c>
      <x:c r="J7572" t="str">
        <x:v>RENT</x:v>
      </x:c>
      <x:c r="K7572" t="str">
        <x:v>debt_consolidation</x:v>
      </x:c>
      <x:c r="L7572" t="n">
        <x:v>0</x:v>
      </x:c>
      <x:c r="M7572" t="n">
        <x:v>0</x:v>
      </x:c>
      <x:c r="N7572" t="str">
        <x:v>Fully Paid</x:v>
      </x:c>
      <x:c r="O7572" t="str">
        <x:f>IF(D7572="","Unknown",IF(D7572&lt;25000,"&lt;$25k",IF(D7572&lt;50000,"$25k-$50k",IF(D7572&lt;75000,"$50k-$75k",IF(D7572&lt;100000,"$75k-$100k","$100k+")))))</x:f>
        <x:v>$25k-$50k</x:v>
      </x:c>
      <x:c r="P7572" t="str">
        <x:f>IF(E7572="","Unknown",IF(E7572&lt;10,"&lt;10",IF(E7572&lt;20,"10-&lt;20",IF(E7572&lt;25,"20-&lt;25",IF(E7572&lt;35,"25-&lt;35","35+")))))</x:f>
        <x:v>35+</x:v>
      </x:c>
    </x:row>
    <x:row r="7573">
      <x:c r="A7573" t="str">
        <x:v>SYN0007572</x:v>
      </x:c>
      <x:c r="B7573" s="12" t="n">
        <x:v>42085</x:v>
      </x:c>
      <x:c r="C7573" s="18" t="n">
        <x:v>19897</x:v>
      </x:c>
      <x:c r="D7573" s="18" t="n">
        <x:v>41830</x:v>
      </x:c>
      <x:c r="E7573" s="18" t="n">
        <x:v>20.72</x:v>
      </x:c>
      <x:c r="F7573" s="18" t="n">
        <x:v>6.91</x:v>
      </x:c>
      <x:c r="G7573" t="n">
        <x:v>36</x:v>
      </x:c>
      <x:c r="H7573" t="str">
        <x:v>B</x:v>
      </x:c>
      <x:c r="I7573" t="str">
        <x:v>10+ years</x:v>
      </x:c>
      <x:c r="J7573" t="str">
        <x:v>OWN</x:v>
      </x:c>
      <x:c r="K7573" t="str">
        <x:v>other</x:v>
      </x:c>
      <x:c r="L7573" t="n">
        <x:v>1</x:v>
      </x:c>
      <x:c r="M7573" t="n">
        <x:v>0</x:v>
      </x:c>
      <x:c r="N7573" t="str">
        <x:v>Fully Paid</x:v>
      </x:c>
      <x:c r="O7573" t="str">
        <x:f>IF(D7573="","Unknown",IF(D7573&lt;25000,"&lt;$25k",IF(D7573&lt;50000,"$25k-$50k",IF(D7573&lt;75000,"$50k-$75k",IF(D7573&lt;100000,"$75k-$100k","$100k+")))))</x:f>
        <x:v>$25k-$50k</x:v>
      </x:c>
      <x:c r="P7573" t="str">
        <x:f>IF(E7573="","Unknown",IF(E7573&lt;10,"&lt;10",IF(E7573&lt;20,"10-&lt;20",IF(E7573&lt;25,"20-&lt;25",IF(E7573&lt;35,"25-&lt;35","35+")))))</x:f>
        <x:v>20-&lt;25</x:v>
      </x:c>
    </x:row>
    <x:row r="7574">
      <x:c r="A7574" t="str">
        <x:v>SYN0007573</x:v>
      </x:c>
      <x:c r="B7574" s="12" t="n">
        <x:v>42565</x:v>
      </x:c>
      <x:c r="C7574" s="18" t="n">
        <x:v>11125</x:v>
      </x:c>
      <x:c r="D7574" s="18" t="n">
        <x:v>36702</x:v>
      </x:c>
      <x:c r="E7574" s="18" t="n">
        <x:v>11.51</x:v>
      </x:c>
      <x:c r="F7574" s="18" t="n">
        <x:v>9.49</x:v>
      </x:c>
      <x:c r="G7574" t="n">
        <x:v>36</x:v>
      </x:c>
      <x:c r="H7574" t="str">
        <x:v>B</x:v>
      </x:c>
      <x:c r="I7574" t="str">
        <x:v>4-6 years</x:v>
      </x:c>
      <x:c r="J7574" t="str">
        <x:v>MORTGAGE</x:v>
      </x:c>
      <x:c r="K7574" t="str">
        <x:v>debt_consolidation</x:v>
      </x:c>
      <x:c r="L7574" t="n">
        <x:v>0</x:v>
      </x:c>
      <x:c r="M7574" t="n">
        <x:v>0</x:v>
      </x:c>
      <x:c r="N7574" t="str">
        <x:v>Fully Paid</x:v>
      </x:c>
      <x:c r="O7574" t="str">
        <x:f>IF(D7574="","Unknown",IF(D7574&lt;25000,"&lt;$25k",IF(D7574&lt;50000,"$25k-$50k",IF(D7574&lt;75000,"$50k-$75k",IF(D7574&lt;100000,"$75k-$100k","$100k+")))))</x:f>
        <x:v>$25k-$50k</x:v>
      </x:c>
      <x:c r="P7574" t="str">
        <x:f>IF(E7574="","Unknown",IF(E7574&lt;10,"&lt;10",IF(E7574&lt;20,"10-&lt;20",IF(E7574&lt;25,"20-&lt;25",IF(E7574&lt;35,"25-&lt;35","35+")))))</x:f>
        <x:v>10-&lt;20</x:v>
      </x:c>
    </x:row>
    <x:row r="7575">
      <x:c r="A7575" t="str">
        <x:v>SYN0007574</x:v>
      </x:c>
      <x:c r="B7575" s="12" t="n">
        <x:v>41515</x:v>
      </x:c>
      <x:c r="C7575" s="18" t="n">
        <x:v>11175</x:v>
      </x:c>
      <x:c r="D7575" s="18" t="n">
        <x:v>21895</x:v>
      </x:c>
      <x:c r="E7575" s="18" t="n">
        <x:v>15.83</x:v>
      </x:c>
      <x:c r="F7575" s="18" t="n">
        <x:v>5</x:v>
      </x:c>
      <x:c r="G7575" t="n">
        <x:v>36</x:v>
      </x:c>
      <x:c r="H7575" t="str">
        <x:v>A</x:v>
      </x:c>
      <x:c r="I7575" t="str">
        <x:v>4-6 years</x:v>
      </x:c>
      <x:c r="J7575" t="str">
        <x:v>OWN</x:v>
      </x:c>
      <x:c r="K7575" t="str">
        <x:v>debt_consolidation</x:v>
      </x:c>
      <x:c r="L7575" t="n">
        <x:v>0</x:v>
      </x:c>
      <x:c r="M7575" t="n">
        <x:v>0</x:v>
      </x:c>
      <x:c r="N7575" t="str">
        <x:v>Fully Paid</x:v>
      </x:c>
      <x:c r="O7575" t="str">
        <x:f>IF(D7575="","Unknown",IF(D7575&lt;25000,"&lt;$25k",IF(D7575&lt;50000,"$25k-$50k",IF(D7575&lt;75000,"$50k-$75k",IF(D7575&lt;100000,"$75k-$100k","$100k+")))))</x:f>
        <x:v>&lt;$25k</x:v>
      </x:c>
      <x:c r="P7575" t="str">
        <x:f>IF(E7575="","Unknown",IF(E7575&lt;10,"&lt;10",IF(E7575&lt;20,"10-&lt;20",IF(E7575&lt;25,"20-&lt;25",IF(E7575&lt;35,"25-&lt;35","35+")))))</x:f>
        <x:v>10-&lt;20</x:v>
      </x:c>
    </x:row>
    <x:row r="7576">
      <x:c r="A7576" t="str">
        <x:v>SYN0007575</x:v>
      </x:c>
      <x:c r="B7576" s="12" t="n">
        <x:v>43315</x:v>
      </x:c>
      <x:c r="C7576" s="18" t="n">
        <x:v>30700</x:v>
      </x:c>
      <x:c r="D7576" s="18" t="n">
        <x:v>62665</x:v>
      </x:c>
      <x:c r="E7576" s="18" t="n">
        <x:v>11.4</x:v>
      </x:c>
      <x:c r="F7576" s="18" t="n">
        <x:v>9.94</x:v>
      </x:c>
      <x:c r="G7576" t="n">
        <x:v>36</x:v>
      </x:c>
      <x:c r="H7576" t="str">
        <x:v>C</x:v>
      </x:c>
      <x:c r="I7576" t="str">
        <x:v>7-9 years</x:v>
      </x:c>
      <x:c r="J7576" t="str">
        <x:v>OWN</x:v>
      </x:c>
      <x:c r="K7576" t="str">
        <x:v>debt_consolidation</x:v>
      </x:c>
      <x:c r="L7576" t="n">
        <x:v>1</x:v>
      </x:c>
      <x:c r="M7576" t="n">
        <x:v>0</x:v>
      </x:c>
      <x:c r="N7576" t="str">
        <x:v>Fully Paid</x:v>
      </x:c>
      <x:c r="O7576" t="str">
        <x:f>IF(D7576="","Unknown",IF(D7576&lt;25000,"&lt;$25k",IF(D7576&lt;50000,"$25k-$50k",IF(D7576&lt;75000,"$50k-$75k",IF(D7576&lt;100000,"$75k-$100k","$100k+")))))</x:f>
        <x:v>$50k-$75k</x:v>
      </x:c>
      <x:c r="P7576" t="str">
        <x:f>IF(E7576="","Unknown",IF(E7576&lt;10,"&lt;10",IF(E7576&lt;20,"10-&lt;20",IF(E7576&lt;25,"20-&lt;25",IF(E7576&lt;35,"25-&lt;35","35+")))))</x:f>
        <x:v>10-&lt;20</x:v>
      </x:c>
    </x:row>
    <x:row r="7577">
      <x:c r="A7577" t="str">
        <x:v>SYN0007576</x:v>
      </x:c>
      <x:c r="B7577" s="12" t="n">
        <x:v>42475</x:v>
      </x:c>
      <x:c r="C7577" s="18" t="n">
        <x:v>13572</x:v>
      </x:c>
      <x:c r="D7577" s="18" t="n">
        <x:v>54838</x:v>
      </x:c>
      <x:c r="E7577" s="18" t="n">
        <x:v>10.84</x:v>
      </x:c>
      <x:c r="F7577" s="18" t="n">
        <x:v>17.64</x:v>
      </x:c>
      <x:c r="G7577" t="n">
        <x:v>36</x:v>
      </x:c>
      <x:c r="H7577" t="str">
        <x:v>E</x:v>
      </x:c>
      <x:c r="I7577" t="str">
        <x:v>10+ years</x:v>
      </x:c>
      <x:c r="J7577" t="str">
        <x:v>MORTGAGE</x:v>
      </x:c>
      <x:c r="K7577" t="str">
        <x:v>other</x:v>
      </x:c>
      <x:c r="L7577" t="n">
        <x:v>0</x:v>
      </x:c>
      <x:c r="M7577" t="n">
        <x:v>0</x:v>
      </x:c>
      <x:c r="N7577" t="str">
        <x:v>Fully Paid</x:v>
      </x:c>
      <x:c r="O7577" t="str">
        <x:f>IF(D7577="","Unknown",IF(D7577&lt;25000,"&lt;$25k",IF(D7577&lt;50000,"$25k-$50k",IF(D7577&lt;75000,"$50k-$75k",IF(D7577&lt;100000,"$75k-$100k","$100k+")))))</x:f>
        <x:v>$50k-$75k</x:v>
      </x:c>
      <x:c r="P7577" t="str">
        <x:f>IF(E7577="","Unknown",IF(E7577&lt;10,"&lt;10",IF(E7577&lt;20,"10-&lt;20",IF(E7577&lt;25,"20-&lt;25",IF(E7577&lt;35,"25-&lt;35","35+")))))</x:f>
        <x:v>10-&lt;20</x:v>
      </x:c>
    </x:row>
    <x:row r="7578">
      <x:c r="A7578" t="str">
        <x:v>SYN0007577</x:v>
      </x:c>
      <x:c r="B7578" s="12" t="n">
        <x:v>42895</x:v>
      </x:c>
      <x:c r="C7578" s="18" t="n">
        <x:v>7239</x:v>
      </x:c>
      <x:c r="D7578" s="18" t="n">
        <x:v>56523</x:v>
      </x:c>
      <x:c r="E7578" s="18" t="n">
        <x:v>21.3</x:v>
      </x:c>
      <x:c r="F7578" s="18" t="n">
        <x:v>9.58</x:v>
      </x:c>
      <x:c r="G7578" t="n">
        <x:v>36</x:v>
      </x:c>
      <x:c r="H7578" t="str">
        <x:v>A</x:v>
      </x:c>
      <x:c r="I7578" t="str">
        <x:v>7-9 years</x:v>
      </x:c>
      <x:c r="J7578" t="str">
        <x:v>RENT</x:v>
      </x:c>
      <x:c r="K7578" t="str">
        <x:v>major_purchase</x:v>
      </x:c>
      <x:c r="L7578" t="n">
        <x:v>0</x:v>
      </x:c>
      <x:c r="M7578" t="n">
        <x:v>0</x:v>
      </x:c>
      <x:c r="N7578" t="str">
        <x:v>Fully Paid</x:v>
      </x:c>
      <x:c r="O7578" t="str">
        <x:f>IF(D7578="","Unknown",IF(D7578&lt;25000,"&lt;$25k",IF(D7578&lt;50000,"$25k-$50k",IF(D7578&lt;75000,"$50k-$75k",IF(D7578&lt;100000,"$75k-$100k","$100k+")))))</x:f>
        <x:v>$50k-$75k</x:v>
      </x:c>
      <x:c r="P7578" t="str">
        <x:f>IF(E7578="","Unknown",IF(E7578&lt;10,"&lt;10",IF(E7578&lt;20,"10-&lt;20",IF(E7578&lt;25,"20-&lt;25",IF(E7578&lt;35,"25-&lt;35","35+")))))</x:f>
        <x:v>20-&lt;25</x:v>
      </x:c>
    </x:row>
    <x:row r="7579">
      <x:c r="A7579" t="str">
        <x:v>SYN0007578</x:v>
      </x:c>
      <x:c r="B7579" s="12" t="n">
        <x:v>42445</x:v>
      </x:c>
      <x:c r="C7579" s="18" t="n">
        <x:v>13197</x:v>
      </x:c>
      <x:c r="D7579" s="18" t="n">
        <x:v>52822</x:v>
      </x:c>
      <x:c r="E7579" s="18" t="n">
        <x:v>7.3</x:v>
      </x:c>
      <x:c r="F7579" s="18" t="n">
        <x:v>26.03</x:v>
      </x:c>
      <x:c r="G7579" t="n">
        <x:v>36</x:v>
      </x:c>
      <x:c r="H7579" t="str">
        <x:v>G</x:v>
      </x:c>
      <x:c r="I7579" t="str">
        <x:v>1-3 years</x:v>
      </x:c>
      <x:c r="J7579" t="str">
        <x:v>OTHER</x:v>
      </x:c>
      <x:c r="K7579" t="str">
        <x:v>debt_consolidation</x:v>
      </x:c>
      <x:c r="L7579" t="n">
        <x:v>1</x:v>
      </x:c>
      <x:c r="M7579" t="n">
        <x:v>1</x:v>
      </x:c>
      <x:c r="N7579" t="str">
        <x:v>Charged Off</x:v>
      </x:c>
      <x:c r="O7579" t="str">
        <x:f>IF(D7579="","Unknown",IF(D7579&lt;25000,"&lt;$25k",IF(D7579&lt;50000,"$25k-$50k",IF(D7579&lt;75000,"$50k-$75k",IF(D7579&lt;100000,"$75k-$100k","$100k+")))))</x:f>
        <x:v>$50k-$75k</x:v>
      </x:c>
      <x:c r="P7579" t="str">
        <x:f>IF(E7579="","Unknown",IF(E7579&lt;10,"&lt;10",IF(E7579&lt;20,"10-&lt;20",IF(E7579&lt;25,"20-&lt;25",IF(E7579&lt;35,"25-&lt;35","35+")))))</x:f>
        <x:v>&lt;10</x:v>
      </x:c>
    </x:row>
    <x:row r="7580">
      <x:c r="A7580" t="str">
        <x:v>SYN0007579</x:v>
      </x:c>
      <x:c r="B7580" s="12" t="n">
        <x:v>42655</x:v>
      </x:c>
      <x:c r="C7580" s="18" t="n">
        <x:v>8126</x:v>
      </x:c>
      <x:c r="D7580" s="18" t="n">
        <x:v>78685</x:v>
      </x:c>
      <x:c r="E7580" s="18" t="n">
        <x:v>23.77</x:v>
      </x:c>
      <x:c r="F7580" s="18" t="n">
        <x:v>13.17</x:v>
      </x:c>
      <x:c r="G7580" t="n">
        <x:v>36</x:v>
      </x:c>
      <x:c r="H7580" t="str">
        <x:v>C</x:v>
      </x:c>
      <x:c r="I7580" t="str">
        <x:v>7-9 years</x:v>
      </x:c>
      <x:c r="J7580" t="str">
        <x:v>MORTGAGE</x:v>
      </x:c>
      <x:c r="K7580" t="str">
        <x:v>debt_consolidation</x:v>
      </x:c>
      <x:c r="L7580" t="n">
        <x:v>1</x:v>
      </x:c>
      <x:c r="M7580" t="n">
        <x:v>0</x:v>
      </x:c>
      <x:c r="N7580" t="str">
        <x:v>Fully Paid</x:v>
      </x:c>
      <x:c r="O7580" t="str">
        <x:f>IF(D7580="","Unknown",IF(D7580&lt;25000,"&lt;$25k",IF(D7580&lt;50000,"$25k-$50k",IF(D7580&lt;75000,"$50k-$75k",IF(D7580&lt;100000,"$75k-$100k","$100k+")))))</x:f>
        <x:v>$75k-$100k</x:v>
      </x:c>
      <x:c r="P7580" t="str">
        <x:f>IF(E7580="","Unknown",IF(E7580&lt;10,"&lt;10",IF(E7580&lt;20,"10-&lt;20",IF(E7580&lt;25,"20-&lt;25",IF(E7580&lt;35,"25-&lt;35","35+")))))</x:f>
        <x:v>20-&lt;25</x:v>
      </x:c>
    </x:row>
    <x:row r="7581">
      <x:c r="A7581" t="str">
        <x:v>SYN0007580</x:v>
      </x:c>
      <x:c r="B7581" s="12" t="n">
        <x:v>42415</x:v>
      </x:c>
      <x:c r="C7581" s="18" t="n">
        <x:v>7258</x:v>
      </x:c>
      <x:c r="D7581" s="18" t="n">
        <x:v>12802</x:v>
      </x:c>
      <x:c r="E7581" s="18" t="n">
        <x:v>35.58</x:v>
      </x:c>
      <x:c r="F7581" s="18" t="n">
        <x:v>14.9</x:v>
      </x:c>
      <x:c r="G7581" t="n">
        <x:v>36</x:v>
      </x:c>
      <x:c r="H7581" t="str">
        <x:v>D</x:v>
      </x:c>
      <x:c r="I7581" t="str">
        <x:v>1-3 years</x:v>
      </x:c>
      <x:c r="J7581" t="str">
        <x:v>RENT</x:v>
      </x:c>
      <x:c r="K7581" t="str">
        <x:v>home_improvement</x:v>
      </x:c>
      <x:c r="L7581" t="n">
        <x:v>2</x:v>
      </x:c>
      <x:c r="M7581" t="n">
        <x:v>0</x:v>
      </x:c>
      <x:c r="N7581" t="str">
        <x:v>Fully Paid</x:v>
      </x:c>
      <x:c r="O7581" t="str">
        <x:f>IF(D7581="","Unknown",IF(D7581&lt;25000,"&lt;$25k",IF(D7581&lt;50000,"$25k-$50k",IF(D7581&lt;75000,"$50k-$75k",IF(D7581&lt;100000,"$75k-$100k","$100k+")))))</x:f>
        <x:v>&lt;$25k</x:v>
      </x:c>
      <x:c r="P7581" t="str">
        <x:f>IF(E7581="","Unknown",IF(E7581&lt;10,"&lt;10",IF(E7581&lt;20,"10-&lt;20",IF(E7581&lt;25,"20-&lt;25",IF(E7581&lt;35,"25-&lt;35","35+")))))</x:f>
        <x:v>35+</x:v>
      </x:c>
    </x:row>
    <x:row r="7582">
      <x:c r="A7582" t="str">
        <x:v>SYN0007581</x:v>
      </x:c>
      <x:c r="B7582" s="12" t="n">
        <x:v>42685</x:v>
      </x:c>
      <x:c r="C7582" s="18" t="n">
        <x:v>19417</x:v>
      </x:c>
      <x:c r="D7582" s="18" t="n">
        <x:v>23003</x:v>
      </x:c>
      <x:c r="E7582" s="18" t="n">
        <x:v>21.79</x:v>
      </x:c>
      <x:c r="F7582" s="18" t="n">
        <x:v>11.98</x:v>
      </x:c>
      <x:c r="G7582" t="n">
        <x:v>36</x:v>
      </x:c>
      <x:c r="H7582" t="str">
        <x:v>D</x:v>
      </x:c>
      <x:c r="I7582" t="str">
        <x:v>4-6 years</x:v>
      </x:c>
      <x:c r="J7582" t="str">
        <x:v>MORTGAGE</x:v>
      </x:c>
      <x:c r="K7582" t="str">
        <x:v>other</x:v>
      </x:c>
      <x:c r="L7582" t="n">
        <x:v>0</x:v>
      </x:c>
      <x:c r="M7582" t="n">
        <x:v>1</x:v>
      </x:c>
      <x:c r="N7582" t="str">
        <x:v>Charged Off</x:v>
      </x:c>
      <x:c r="O7582" t="str">
        <x:f>IF(D7582="","Unknown",IF(D7582&lt;25000,"&lt;$25k",IF(D7582&lt;50000,"$25k-$50k",IF(D7582&lt;75000,"$50k-$75k",IF(D7582&lt;100000,"$75k-$100k","$100k+")))))</x:f>
        <x:v>&lt;$25k</x:v>
      </x:c>
      <x:c r="P7582" t="str">
        <x:f>IF(E7582="","Unknown",IF(E7582&lt;10,"&lt;10",IF(E7582&lt;20,"10-&lt;20",IF(E7582&lt;25,"20-&lt;25",IF(E7582&lt;35,"25-&lt;35","35+")))))</x:f>
        <x:v>20-&lt;25</x:v>
      </x:c>
    </x:row>
    <x:row r="7583">
      <x:c r="A7583" t="str">
        <x:v>SYN0007582</x:v>
      </x:c>
      <x:c r="B7583" s="12" t="n">
        <x:v>42775</x:v>
      </x:c>
      <x:c r="C7583" s="18" t="n">
        <x:v>9618</x:v>
      </x:c>
      <x:c r="D7583" s="18" t="n">
        <x:v>96983</x:v>
      </x:c>
      <x:c r="E7583" s="18" t="n">
        <x:v>38.84</x:v>
      </x:c>
      <x:c r="F7583" s="18" t="n">
        <x:v>7.85</x:v>
      </x:c>
      <x:c r="G7583" t="n">
        <x:v>60</x:v>
      </x:c>
      <x:c r="H7583" t="str">
        <x:v>B</x:v>
      </x:c>
      <x:c r="I7583" t="str">
        <x:v>1-3 years</x:v>
      </x:c>
      <x:c r="J7583" t="str">
        <x:v>MORTGAGE</x:v>
      </x:c>
      <x:c r="K7583" t="str">
        <x:v>medical</x:v>
      </x:c>
      <x:c r="L7583" t="n">
        <x:v>0</x:v>
      </x:c>
      <x:c r="M7583" t="n">
        <x:v>0</x:v>
      </x:c>
      <x:c r="N7583" t="str">
        <x:v>Fully Paid</x:v>
      </x:c>
      <x:c r="O7583" t="str">
        <x:f>IF(D7583="","Unknown",IF(D7583&lt;25000,"&lt;$25k",IF(D7583&lt;50000,"$25k-$50k",IF(D7583&lt;75000,"$50k-$75k",IF(D7583&lt;100000,"$75k-$100k","$100k+")))))</x:f>
        <x:v>$75k-$100k</x:v>
      </x:c>
      <x:c r="P7583" t="str">
        <x:f>IF(E7583="","Unknown",IF(E7583&lt;10,"&lt;10",IF(E7583&lt;20,"10-&lt;20",IF(E7583&lt;25,"20-&lt;25",IF(E7583&lt;35,"25-&lt;35","35+")))))</x:f>
        <x:v>35+</x:v>
      </x:c>
    </x:row>
    <x:row r="7584">
      <x:c r="A7584" t="str">
        <x:v>SYN0007583</x:v>
      </x:c>
      <x:c r="B7584" s="12" t="n">
        <x:v>41425</x:v>
      </x:c>
      <x:c r="C7584" s="18" t="n">
        <x:v>14357</x:v>
      </x:c>
      <x:c r="D7584" s="18" t="n">
        <x:v>29401</x:v>
      </x:c>
      <x:c r="E7584" s="18" t="n">
        <x:v>9.38</x:v>
      </x:c>
      <x:c r="F7584" s="18" t="n">
        <x:v>8.97</x:v>
      </x:c>
      <x:c r="G7584" t="n">
        <x:v>36</x:v>
      </x:c>
      <x:c r="H7584" t="str">
        <x:v>B</x:v>
      </x:c>
      <x:c r="I7584" t="str">
        <x:v>4-6 years</x:v>
      </x:c>
      <x:c r="J7584" t="str">
        <x:v>RENT</x:v>
      </x:c>
      <x:c r="K7584" t="str">
        <x:v>other</x:v>
      </x:c>
      <x:c r="L7584" t="n">
        <x:v>0</x:v>
      </x:c>
      <x:c r="M7584" t="n">
        <x:v>0</x:v>
      </x:c>
      <x:c r="N7584" t="str">
        <x:v>Fully Paid</x:v>
      </x:c>
      <x:c r="O7584" t="str">
        <x:f>IF(D7584="","Unknown",IF(D7584&lt;25000,"&lt;$25k",IF(D7584&lt;50000,"$25k-$50k",IF(D7584&lt;75000,"$50k-$75k",IF(D7584&lt;100000,"$75k-$100k","$100k+")))))</x:f>
        <x:v>$25k-$50k</x:v>
      </x:c>
      <x:c r="P7584" t="str">
        <x:f>IF(E7584="","Unknown",IF(E7584&lt;10,"&lt;10",IF(E7584&lt;20,"10-&lt;20",IF(E7584&lt;25,"20-&lt;25",IF(E7584&lt;35,"25-&lt;35","35+")))))</x:f>
        <x:v>&lt;10</x:v>
      </x:c>
    </x:row>
    <x:row r="7585">
      <x:c r="A7585" t="str">
        <x:v>SYN0007584</x:v>
      </x:c>
      <x:c r="B7585" s="12" t="n">
        <x:v>42925</x:v>
      </x:c>
      <x:c r="C7585" s="18" t="n">
        <x:v>6195</x:v>
      </x:c>
      <x:c r="D7585" s="18" t="n">
        <x:v>38589</x:v>
      </x:c>
      <x:c r="E7585" s="18" t="n">
        <x:v>37.92</x:v>
      </x:c>
      <x:c r="F7585" s="18" t="n">
        <x:v>11.52</x:v>
      </x:c>
      <x:c r="G7585" t="n">
        <x:v>36</x:v>
      </x:c>
      <x:c r="H7585" t="str">
        <x:v>C</x:v>
      </x:c>
      <x:c r="I7585" t="str">
        <x:v>4-6 years</x:v>
      </x:c>
      <x:c r="J7585" t="str">
        <x:v>RENT</x:v>
      </x:c>
      <x:c r="K7585" t="str">
        <x:v>credit_card</x:v>
      </x:c>
      <x:c r="L7585" t="n">
        <x:v>1</x:v>
      </x:c>
      <x:c r="M7585" t="n">
        <x:v>0</x:v>
      </x:c>
      <x:c r="N7585" t="str">
        <x:v>Fully Paid</x:v>
      </x:c>
      <x:c r="O7585" t="str">
        <x:f>IF(D7585="","Unknown",IF(D7585&lt;25000,"&lt;$25k",IF(D7585&lt;50000,"$25k-$50k",IF(D7585&lt;75000,"$50k-$75k",IF(D7585&lt;100000,"$75k-$100k","$100k+")))))</x:f>
        <x:v>$25k-$50k</x:v>
      </x:c>
      <x:c r="P7585" t="str">
        <x:f>IF(E7585="","Unknown",IF(E7585&lt;10,"&lt;10",IF(E7585&lt;20,"10-&lt;20",IF(E7585&lt;25,"20-&lt;25",IF(E7585&lt;35,"25-&lt;35","35+")))))</x:f>
        <x:v>35+</x:v>
      </x:c>
    </x:row>
    <x:row r="7586">
      <x:c r="A7586" t="str">
        <x:v>SYN0007585</x:v>
      </x:c>
      <x:c r="B7586" s="12" t="n">
        <x:v>41815</x:v>
      </x:c>
      <x:c r="C7586" s="18" t="n">
        <x:v>9747</x:v>
      </x:c>
      <x:c r="D7586" s="18" t="n">
        <x:v>59932</x:v>
      </x:c>
      <x:c r="E7586" s="18" t="n">
        <x:v>32.33</x:v>
      </x:c>
      <x:c r="F7586" s="18" t="n">
        <x:v>11.11</x:v>
      </x:c>
      <x:c r="G7586" t="n">
        <x:v>36</x:v>
      </x:c>
      <x:c r="H7586" t="str">
        <x:v>B</x:v>
      </x:c>
      <x:c r="I7586" t="str">
        <x:v>7-9 years</x:v>
      </x:c>
      <x:c r="J7586" t="str">
        <x:v>OWN</x:v>
      </x:c>
      <x:c r="K7586" t="str">
        <x:v>debt_consolidation</x:v>
      </x:c>
      <x:c r="L7586" t="n">
        <x:v>0</x:v>
      </x:c>
      <x:c r="M7586" t="n">
        <x:v>0</x:v>
      </x:c>
      <x:c r="N7586" t="str">
        <x:v>Fully Paid</x:v>
      </x:c>
      <x:c r="O7586" t="str">
        <x:f>IF(D7586="","Unknown",IF(D7586&lt;25000,"&lt;$25k",IF(D7586&lt;50000,"$25k-$50k",IF(D7586&lt;75000,"$50k-$75k",IF(D7586&lt;100000,"$75k-$100k","$100k+")))))</x:f>
        <x:v>$50k-$75k</x:v>
      </x:c>
      <x:c r="P7586" t="str">
        <x:f>IF(E7586="","Unknown",IF(E7586&lt;10,"&lt;10",IF(E7586&lt;20,"10-&lt;20",IF(E7586&lt;25,"20-&lt;25",IF(E7586&lt;35,"25-&lt;35","35+")))))</x:f>
        <x:v>25-&lt;35</x:v>
      </x:c>
    </x:row>
    <x:row r="7587">
      <x:c r="A7587" t="str">
        <x:v>SYN0007586</x:v>
      </x:c>
      <x:c r="B7587" s="12" t="n">
        <x:v>41515</x:v>
      </x:c>
      <x:c r="C7587" s="18" t="n">
        <x:v>17509</x:v>
      </x:c>
      <x:c r="D7587" s="18" t="n">
        <x:v>87263</x:v>
      </x:c>
      <x:c r="E7587" s="18" t="n">
        <x:v>17.91</x:v>
      </x:c>
      <x:c r="F7587" s="18" t="n">
        <x:v>5.88</x:v>
      </x:c>
      <x:c r="G7587" t="n">
        <x:v>60</x:v>
      </x:c>
      <x:c r="H7587" t="str">
        <x:v>B</x:v>
      </x:c>
      <x:c r="I7587" t="str">
        <x:v>4-6 years</x:v>
      </x:c>
      <x:c r="J7587" t="str">
        <x:v>MORTGAGE</x:v>
      </x:c>
      <x:c r="K7587" t="str">
        <x:v>home_improvement</x:v>
      </x:c>
      <x:c r="L7587" t="n">
        <x:v>0</x:v>
      </x:c>
      <x:c r="M7587" t="n">
        <x:v>0</x:v>
      </x:c>
      <x:c r="N7587" t="str">
        <x:v>Fully Paid</x:v>
      </x:c>
      <x:c r="O7587" t="str">
        <x:f>IF(D7587="","Unknown",IF(D7587&lt;25000,"&lt;$25k",IF(D7587&lt;50000,"$25k-$50k",IF(D7587&lt;75000,"$50k-$75k",IF(D7587&lt;100000,"$75k-$100k","$100k+")))))</x:f>
        <x:v>$75k-$100k</x:v>
      </x:c>
      <x:c r="P7587" t="str">
        <x:f>IF(E7587="","Unknown",IF(E7587&lt;10,"&lt;10",IF(E7587&lt;20,"10-&lt;20",IF(E7587&lt;25,"20-&lt;25",IF(E7587&lt;35,"25-&lt;35","35+")))))</x:f>
        <x:v>10-&lt;20</x:v>
      </x:c>
    </x:row>
    <x:row r="7588">
      <x:c r="A7588" t="str">
        <x:v>SYN0007587</x:v>
      </x:c>
      <x:c r="B7588" s="12" t="n">
        <x:v>42505</x:v>
      </x:c>
      <x:c r="C7588" s="18" t="n">
        <x:v>11756</x:v>
      </x:c>
      <x:c r="D7588" s="18" t="n">
        <x:v>42430</x:v>
      </x:c>
      <x:c r="E7588" s="18" t="n">
        <x:v>11.28</x:v>
      </x:c>
      <x:c r="F7588" s="18" t="n">
        <x:v>16.13</x:v>
      </x:c>
      <x:c r="G7588" t="n">
        <x:v>60</x:v>
      </x:c>
      <x:c r="H7588" t="str">
        <x:v>D</x:v>
      </x:c>
      <x:c r="I7588" t="str">
        <x:v>1-3 years</x:v>
      </x:c>
      <x:c r="J7588" t="str">
        <x:v>MORTGAGE</x:v>
      </x:c>
      <x:c r="K7588" t="str">
        <x:v>debt_consolidation</x:v>
      </x:c>
      <x:c r="L7588" t="n">
        <x:v>0</x:v>
      </x:c>
      <x:c r="M7588" t="n">
        <x:v>0</x:v>
      </x:c>
      <x:c r="N7588" t="str">
        <x:v>Fully Paid</x:v>
      </x:c>
      <x:c r="O7588" t="str">
        <x:f>IF(D7588="","Unknown",IF(D7588&lt;25000,"&lt;$25k",IF(D7588&lt;50000,"$25k-$50k",IF(D7588&lt;75000,"$50k-$75k",IF(D7588&lt;100000,"$75k-$100k","$100k+")))))</x:f>
        <x:v>$25k-$50k</x:v>
      </x:c>
      <x:c r="P7588" t="str">
        <x:f>IF(E7588="","Unknown",IF(E7588&lt;10,"&lt;10",IF(E7588&lt;20,"10-&lt;20",IF(E7588&lt;25,"20-&lt;25",IF(E7588&lt;35,"25-&lt;35","35+")))))</x:f>
        <x:v>10-&lt;20</x:v>
      </x:c>
    </x:row>
    <x:row r="7589">
      <x:c r="A7589" t="str">
        <x:v>SYN0007588</x:v>
      </x:c>
      <x:c r="B7589" s="12" t="n">
        <x:v>41515</x:v>
      </x:c>
      <x:c r="C7589" s="18" t="n">
        <x:v>27592</x:v>
      </x:c>
      <x:c r="D7589" s="18" t="n">
        <x:v>69616</x:v>
      </x:c>
      <x:c r="E7589" s="18" t="n">
        <x:v>27.76</x:v>
      </x:c>
      <x:c r="F7589" s="18" t="n">
        <x:v>11.26</x:v>
      </x:c>
      <x:c r="G7589" t="n">
        <x:v>36</x:v>
      </x:c>
      <x:c r="H7589" t="str">
        <x:v>C</x:v>
      </x:c>
      <x:c r="I7589" t="str">
        <x:v>7-9 years</x:v>
      </x:c>
      <x:c r="J7589" t="str">
        <x:v>RENT</x:v>
      </x:c>
      <x:c r="K7589" t="str">
        <x:v>credit_card</x:v>
      </x:c>
      <x:c r="L7589" t="n">
        <x:v>0</x:v>
      </x:c>
      <x:c r="M7589" t="n">
        <x:v>0</x:v>
      </x:c>
      <x:c r="N7589" t="str">
        <x:v>Fully Paid</x:v>
      </x:c>
      <x:c r="O7589" t="str">
        <x:f>IF(D7589="","Unknown",IF(D7589&lt;25000,"&lt;$25k",IF(D7589&lt;50000,"$25k-$50k",IF(D7589&lt;75000,"$50k-$75k",IF(D7589&lt;100000,"$75k-$100k","$100k+")))))</x:f>
        <x:v>$50k-$75k</x:v>
      </x:c>
      <x:c r="P7589" t="str">
        <x:f>IF(E7589="","Unknown",IF(E7589&lt;10,"&lt;10",IF(E7589&lt;20,"10-&lt;20",IF(E7589&lt;25,"20-&lt;25",IF(E7589&lt;35,"25-&lt;35","35+")))))</x:f>
        <x:v>25-&lt;35</x:v>
      </x:c>
    </x:row>
    <x:row r="7590">
      <x:c r="A7590" t="str">
        <x:v>SYN0007589</x:v>
      </x:c>
      <x:c r="B7590" s="12" t="n">
        <x:v>43315</x:v>
      </x:c>
      <x:c r="C7590" s="18" t="n">
        <x:v>7783</x:v>
      </x:c>
      <x:c r="D7590" s="18" t="n">
        <x:v>25137</x:v>
      </x:c>
      <x:c r="E7590" s="18" t="n">
        <x:v>20.39</x:v>
      </x:c>
      <x:c r="F7590" s="18" t="n">
        <x:v>7.26</x:v>
      </x:c>
      <x:c r="G7590" t="n">
        <x:v>36</x:v>
      </x:c>
      <x:c r="H7590" t="str">
        <x:v>C</x:v>
      </x:c>
      <x:c r="I7590" t="str">
        <x:v>10+ years</x:v>
      </x:c>
      <x:c r="J7590" t="str">
        <x:v>MORTGAGE</x:v>
      </x:c>
      <x:c r="K7590" t="str">
        <x:v>debt_consolidation</x:v>
      </x:c>
      <x:c r="L7590" t="n">
        <x:v>1</x:v>
      </x:c>
      <x:c r="M7590" t="n">
        <x:v>0</x:v>
      </x:c>
      <x:c r="N7590" t="str">
        <x:v>Fully Paid</x:v>
      </x:c>
      <x:c r="O7590" t="str">
        <x:f>IF(D7590="","Unknown",IF(D7590&lt;25000,"&lt;$25k",IF(D7590&lt;50000,"$25k-$50k",IF(D7590&lt;75000,"$50k-$75k",IF(D7590&lt;100000,"$75k-$100k","$100k+")))))</x:f>
        <x:v>$25k-$50k</x:v>
      </x:c>
      <x:c r="P7590" t="str">
        <x:f>IF(E7590="","Unknown",IF(E7590&lt;10,"&lt;10",IF(E7590&lt;20,"10-&lt;20",IF(E7590&lt;25,"20-&lt;25",IF(E7590&lt;35,"25-&lt;35","35+")))))</x:f>
        <x:v>20-&lt;25</x:v>
      </x:c>
    </x:row>
    <x:row r="7591">
      <x:c r="A7591" t="str">
        <x:v>SYN0007590</x:v>
      </x:c>
      <x:c r="B7591" s="12" t="n">
        <x:v>42745</x:v>
      </x:c>
      <x:c r="C7591" s="18" t="n">
        <x:v>8856</x:v>
      </x:c>
      <x:c r="D7591" s="18" t="n">
        <x:v>13230</x:v>
      </x:c>
      <x:c r="E7591" s="18" t="n">
        <x:v>13.27</x:v>
      </x:c>
      <x:c r="F7591" s="18" t="n">
        <x:v>8.78</x:v>
      </x:c>
      <x:c r="G7591" t="n">
        <x:v>36</x:v>
      </x:c>
      <x:c r="H7591" t="str">
        <x:v>A</x:v>
      </x:c>
      <x:c r="I7591" t="str">
        <x:v>10+ years</x:v>
      </x:c>
      <x:c r="J7591" t="str">
        <x:v>MORTGAGE</x:v>
      </x:c>
      <x:c r="K7591" t="str">
        <x:v>medical</x:v>
      </x:c>
      <x:c r="L7591" t="n">
        <x:v>0</x:v>
      </x:c>
      <x:c r="M7591" t="n">
        <x:v>0</x:v>
      </x:c>
      <x:c r="N7591" t="str">
        <x:v>Fully Paid</x:v>
      </x:c>
      <x:c r="O7591" t="str">
        <x:f>IF(D7591="","Unknown",IF(D7591&lt;25000,"&lt;$25k",IF(D7591&lt;50000,"$25k-$50k",IF(D7591&lt;75000,"$50k-$75k",IF(D7591&lt;100000,"$75k-$100k","$100k+")))))</x:f>
        <x:v>&lt;$25k</x:v>
      </x:c>
      <x:c r="P7591" t="str">
        <x:f>IF(E7591="","Unknown",IF(E7591&lt;10,"&lt;10",IF(E7591&lt;20,"10-&lt;20",IF(E7591&lt;25,"20-&lt;25",IF(E7591&lt;35,"25-&lt;35","35+")))))</x:f>
        <x:v>10-&lt;20</x:v>
      </x:c>
    </x:row>
    <x:row r="7592">
      <x:c r="A7592" t="str">
        <x:v>SYN0007591</x:v>
      </x:c>
      <x:c r="B7592" s="12" t="n">
        <x:v>41425</x:v>
      </x:c>
      <x:c r="C7592" s="18" t="n">
        <x:v>7041</x:v>
      </x:c>
      <x:c r="D7592" s="18" t="n">
        <x:v>21491</x:v>
      </x:c>
      <x:c r="E7592" s="18" t="n">
        <x:v>20.27</x:v>
      </x:c>
      <x:c r="F7592" s="18" t="n">
        <x:v>22.47</x:v>
      </x:c>
      <x:c r="G7592" t="n">
        <x:v>36</x:v>
      </x:c>
      <x:c r="H7592" t="str">
        <x:v>F</x:v>
      </x:c>
      <x:c r="I7592" t="str">
        <x:v>7-9 years</x:v>
      </x:c>
      <x:c r="J7592" t="str">
        <x:v>RENT</x:v>
      </x:c>
      <x:c r="K7592" t="str">
        <x:v>home_improvement</x:v>
      </x:c>
      <x:c r="L7592" t="n">
        <x:v>1</x:v>
      </x:c>
      <x:c r="M7592" t="n">
        <x:v>0</x:v>
      </x:c>
      <x:c r="N7592" t="str">
        <x:v>Fully Paid</x:v>
      </x:c>
      <x:c r="O7592" t="str">
        <x:f>IF(D7592="","Unknown",IF(D7592&lt;25000,"&lt;$25k",IF(D7592&lt;50000,"$25k-$50k",IF(D7592&lt;75000,"$50k-$75k",IF(D7592&lt;100000,"$75k-$100k","$100k+")))))</x:f>
        <x:v>&lt;$25k</x:v>
      </x:c>
      <x:c r="P7592" t="str">
        <x:f>IF(E7592="","Unknown",IF(E7592&lt;10,"&lt;10",IF(E7592&lt;20,"10-&lt;20",IF(E7592&lt;25,"20-&lt;25",IF(E7592&lt;35,"25-&lt;35","35+")))))</x:f>
        <x:v>20-&lt;25</x:v>
      </x:c>
    </x:row>
    <x:row r="7593">
      <x:c r="A7593" t="str">
        <x:v>SYN0007592</x:v>
      </x:c>
      <x:c r="B7593" s="12" t="n">
        <x:v>43135</x:v>
      </x:c>
      <x:c r="C7593" s="18" t="n">
        <x:v>7269</x:v>
      </x:c>
      <x:c r="D7593" s="18" t="n">
        <x:v>23579</x:v>
      </x:c>
      <x:c r="E7593" s="18" t="n">
        <x:v>14.79</x:v>
      </x:c>
      <x:c r="F7593" s="18" t="n">
        <x:v>8.12</x:v>
      </x:c>
      <x:c r="G7593" t="n">
        <x:v>36</x:v>
      </x:c>
      <x:c r="H7593" t="str">
        <x:v>B</x:v>
      </x:c>
      <x:c r="I7593" t="str">
        <x:v>1-3 years</x:v>
      </x:c>
      <x:c r="J7593" t="str">
        <x:v>OWN</x:v>
      </x:c>
      <x:c r="K7593" t="str">
        <x:v>debt_consolidation</x:v>
      </x:c>
      <x:c r="L7593" t="n">
        <x:v>0</x:v>
      </x:c>
      <x:c r="M7593" t="n">
        <x:v>0</x:v>
      </x:c>
      <x:c r="N7593" t="str">
        <x:v>Fully Paid</x:v>
      </x:c>
      <x:c r="O7593" t="str">
        <x:f>IF(D7593="","Unknown",IF(D7593&lt;25000,"&lt;$25k",IF(D7593&lt;50000,"$25k-$50k",IF(D7593&lt;75000,"$50k-$75k",IF(D7593&lt;100000,"$75k-$100k","$100k+")))))</x:f>
        <x:v>&lt;$25k</x:v>
      </x:c>
      <x:c r="P7593" t="str">
        <x:f>IF(E7593="","Unknown",IF(E7593&lt;10,"&lt;10",IF(E7593&lt;20,"10-&lt;20",IF(E7593&lt;25,"20-&lt;25",IF(E7593&lt;35,"25-&lt;35","35+")))))</x:f>
        <x:v>10-&lt;20</x:v>
      </x:c>
    </x:row>
    <x:row r="7594">
      <x:c r="A7594" t="str">
        <x:v>SYN0007593</x:v>
      </x:c>
      <x:c r="B7594" s="12" t="n">
        <x:v>42235</x:v>
      </x:c>
      <x:c r="C7594" s="18" t="n">
        <x:v>10792</x:v>
      </x:c>
      <x:c r="D7594" s="18" t="n">
        <x:v>23635</x:v>
      </x:c>
      <x:c r="E7594" s="18" t="n">
        <x:v>10.98</x:v>
      </x:c>
      <x:c r="F7594" s="18" t="n">
        <x:v>19.18</x:v>
      </x:c>
      <x:c r="G7594" t="n">
        <x:v>36</x:v>
      </x:c>
      <x:c r="H7594" t="str">
        <x:v>E</x:v>
      </x:c>
      <x:c r="I7594" t="str">
        <x:v>7-9 years</x:v>
      </x:c>
      <x:c r="J7594" t="str">
        <x:v>MORTGAGE</x:v>
      </x:c>
      <x:c r="K7594" t="str">
        <x:v>major_purchase</x:v>
      </x:c>
      <x:c r="L7594" t="n">
        <x:v>0</x:v>
      </x:c>
      <x:c r="M7594" t="n">
        <x:v>0</x:v>
      </x:c>
      <x:c r="N7594" t="str">
        <x:v>Fully Paid</x:v>
      </x:c>
      <x:c r="O7594" t="str">
        <x:f>IF(D7594="","Unknown",IF(D7594&lt;25000,"&lt;$25k",IF(D7594&lt;50000,"$25k-$50k",IF(D7594&lt;75000,"$50k-$75k",IF(D7594&lt;100000,"$75k-$100k","$100k+")))))</x:f>
        <x:v>&lt;$25k</x:v>
      </x:c>
      <x:c r="P7594" t="str">
        <x:f>IF(E7594="","Unknown",IF(E7594&lt;10,"&lt;10",IF(E7594&lt;20,"10-&lt;20",IF(E7594&lt;25,"20-&lt;25",IF(E7594&lt;35,"25-&lt;35","35+")))))</x:f>
        <x:v>10-&lt;20</x:v>
      </x:c>
    </x:row>
    <x:row r="7595">
      <x:c r="A7595" t="str">
        <x:v>SYN0007594</x:v>
      </x:c>
      <x:c r="B7595" s="12" t="n">
        <x:v>43345</x:v>
      </x:c>
      <x:c r="C7595" s="18" t="n">
        <x:v>26745</x:v>
      </x:c>
      <x:c r="D7595" s="18" t="n">
        <x:v>77673</x:v>
      </x:c>
      <x:c r="E7595" s="18" t="n">
        <x:v>25.86</x:v>
      </x:c>
      <x:c r="F7595" s="18" t="n">
        <x:v>19.61</x:v>
      </x:c>
      <x:c r="G7595" t="n">
        <x:v>36</x:v>
      </x:c>
      <x:c r="H7595" t="str">
        <x:v>F</x:v>
      </x:c>
      <x:c r="I7595" t="str">
        <x:v>10+ years</x:v>
      </x:c>
      <x:c r="J7595" t="str">
        <x:v>OWN</x:v>
      </x:c>
      <x:c r="K7595" t="str">
        <x:v>debt_consolidation</x:v>
      </x:c>
      <x:c r="L7595" t="n">
        <x:v>0</x:v>
      </x:c>
      <x:c r="M7595" t="n">
        <x:v>0</x:v>
      </x:c>
      <x:c r="N7595" t="str">
        <x:v>Fully Paid</x:v>
      </x:c>
      <x:c r="O7595" t="str">
        <x:f>IF(D7595="","Unknown",IF(D7595&lt;25000,"&lt;$25k",IF(D7595&lt;50000,"$25k-$50k",IF(D7595&lt;75000,"$50k-$75k",IF(D7595&lt;100000,"$75k-$100k","$100k+")))))</x:f>
        <x:v>$75k-$100k</x:v>
      </x:c>
      <x:c r="P7595" t="str">
        <x:f>IF(E7595="","Unknown",IF(E7595&lt;10,"&lt;10",IF(E7595&lt;20,"10-&lt;20",IF(E7595&lt;25,"20-&lt;25",IF(E7595&lt;35,"25-&lt;35","35+")))))</x:f>
        <x:v>25-&lt;35</x:v>
      </x:c>
    </x:row>
    <x:row r="7596">
      <x:c r="A7596" t="str">
        <x:v>SYN0007595</x:v>
      </x:c>
      <x:c r="B7596" s="12" t="n">
        <x:v>42325</x:v>
      </x:c>
      <x:c r="C7596" s="18" t="n">
        <x:v>15526</x:v>
      </x:c>
      <x:c r="D7596" s="18" t="n">
        <x:v>21339</x:v>
      </x:c>
      <x:c r="E7596" s="18" t="n">
        <x:v>25.16</x:v>
      </x:c>
      <x:c r="F7596" s="18" t="n">
        <x:v>8.69</x:v>
      </x:c>
      <x:c r="G7596" t="n">
        <x:v>60</x:v>
      </x:c>
      <x:c r="H7596" t="str">
        <x:v>B</x:v>
      </x:c>
      <x:c r="I7596" t="str">
        <x:v>7-9 years</x:v>
      </x:c>
      <x:c r="J7596" t="str">
        <x:v>RENT</x:v>
      </x:c>
      <x:c r="K7596" t="str">
        <x:v>debt_consolidation</x:v>
      </x:c>
      <x:c r="L7596" t="n">
        <x:v>0</x:v>
      </x:c>
      <x:c r="M7596" t="n">
        <x:v>0</x:v>
      </x:c>
      <x:c r="N7596" t="str">
        <x:v>Fully Paid</x:v>
      </x:c>
      <x:c r="O7596" t="str">
        <x:f>IF(D7596="","Unknown",IF(D7596&lt;25000,"&lt;$25k",IF(D7596&lt;50000,"$25k-$50k",IF(D7596&lt;75000,"$50k-$75k",IF(D7596&lt;100000,"$75k-$100k","$100k+")))))</x:f>
        <x:v>&lt;$25k</x:v>
      </x:c>
      <x:c r="P7596" t="str">
        <x:f>IF(E7596="","Unknown",IF(E7596&lt;10,"&lt;10",IF(E7596&lt;20,"10-&lt;20",IF(E7596&lt;25,"20-&lt;25",IF(E7596&lt;35,"25-&lt;35","35+")))))</x:f>
        <x:v>25-&lt;35</x:v>
      </x:c>
    </x:row>
    <x:row r="7597">
      <x:c r="A7597" t="str">
        <x:v>SYN0007596</x:v>
      </x:c>
      <x:c r="B7597" s="12" t="n">
        <x:v>42535</x:v>
      </x:c>
      <x:c r="C7597" s="18" t="n">
        <x:v>16485</x:v>
      </x:c>
      <x:c r="D7597" s="18" t="n">
        <x:v>67317</x:v>
      </x:c>
      <x:c r="E7597" s="18" t="n">
        <x:v>38.89</x:v>
      </x:c>
      <x:c r="F7597" s="18" t="n">
        <x:v>18.16</x:v>
      </x:c>
      <x:c r="G7597" t="n">
        <x:v>36</x:v>
      </x:c>
      <x:c r="H7597" t="str">
        <x:v>E</x:v>
      </x:c>
      <x:c r="I7597" t="str">
        <x:v>&lt;1 year</x:v>
      </x:c>
      <x:c r="J7597" t="str">
        <x:v>MORTGAGE</x:v>
      </x:c>
      <x:c r="K7597" t="str">
        <x:v>home_improvement</x:v>
      </x:c>
      <x:c r="L7597" t="n">
        <x:v>0</x:v>
      </x:c>
      <x:c r="M7597" t="n">
        <x:v>0</x:v>
      </x:c>
      <x:c r="N7597" t="str">
        <x:v>Fully Paid</x:v>
      </x:c>
      <x:c r="O7597" t="str">
        <x:f>IF(D7597="","Unknown",IF(D7597&lt;25000,"&lt;$25k",IF(D7597&lt;50000,"$25k-$50k",IF(D7597&lt;75000,"$50k-$75k",IF(D7597&lt;100000,"$75k-$100k","$100k+")))))</x:f>
        <x:v>$50k-$75k</x:v>
      </x:c>
      <x:c r="P7597" t="str">
        <x:f>IF(E7597="","Unknown",IF(E7597&lt;10,"&lt;10",IF(E7597&lt;20,"10-&lt;20",IF(E7597&lt;25,"20-&lt;25",IF(E7597&lt;35,"25-&lt;35","35+")))))</x:f>
        <x:v>35+</x:v>
      </x:c>
    </x:row>
    <x:row r="7598">
      <x:c r="A7598" t="str">
        <x:v>SYN0007597</x:v>
      </x:c>
      <x:c r="B7598" s="12" t="n">
        <x:v>41575</x:v>
      </x:c>
      <x:c r="C7598" s="18" t="n">
        <x:v>6550</x:v>
      </x:c>
      <x:c r="D7598" s="18" t="n">
        <x:v>31860</x:v>
      </x:c>
      <x:c r="E7598" s="18" t="n">
        <x:v>26.88</x:v>
      </x:c>
      <x:c r="F7598" s="18" t="n">
        <x:v>20.45</x:v>
      </x:c>
      <x:c r="G7598" t="n">
        <x:v>36</x:v>
      </x:c>
      <x:c r="H7598" t="str">
        <x:v>F</x:v>
      </x:c>
      <x:c r="I7598" t="str">
        <x:v>10+ years</x:v>
      </x:c>
      <x:c r="J7598" t="str">
        <x:v>MORTGAGE</x:v>
      </x:c>
      <x:c r="K7598" t="str">
        <x:v>debt_consolidation</x:v>
      </x:c>
      <x:c r="L7598" t="n">
        <x:v>0</x:v>
      </x:c>
      <x:c r="M7598" t="n">
        <x:v>1</x:v>
      </x:c>
      <x:c r="N7598" t="str">
        <x:v>Charged Off</x:v>
      </x:c>
      <x:c r="O7598" t="str">
        <x:f>IF(D7598="","Unknown",IF(D7598&lt;25000,"&lt;$25k",IF(D7598&lt;50000,"$25k-$50k",IF(D7598&lt;75000,"$50k-$75k",IF(D7598&lt;100000,"$75k-$100k","$100k+")))))</x:f>
        <x:v>$25k-$50k</x:v>
      </x:c>
      <x:c r="P7598" t="str">
        <x:f>IF(E7598="","Unknown",IF(E7598&lt;10,"&lt;10",IF(E7598&lt;20,"10-&lt;20",IF(E7598&lt;25,"20-&lt;25",IF(E7598&lt;35,"25-&lt;35","35+")))))</x:f>
        <x:v>25-&lt;35</x:v>
      </x:c>
    </x:row>
    <x:row r="7599">
      <x:c r="A7599" t="str">
        <x:v>SYN0007598</x:v>
      </x:c>
      <x:c r="B7599" s="12" t="n">
        <x:v>43405</x:v>
      </x:c>
      <x:c r="C7599" s="18" t="n">
        <x:v>10171</x:v>
      </x:c>
      <x:c r="D7599" s="18" t="n">
        <x:v>22505</x:v>
      </x:c>
      <x:c r="E7599" s="18" t="n">
        <x:v>11.11</x:v>
      </x:c>
      <x:c r="F7599" s="18" t="n">
        <x:v>6.47</x:v>
      </x:c>
      <x:c r="G7599" t="n">
        <x:v>36</x:v>
      </x:c>
      <x:c r="H7599" t="str">
        <x:v>A</x:v>
      </x:c>
      <x:c r="I7599" t="str">
        <x:v>10+ years</x:v>
      </x:c>
      <x:c r="J7599" t="str">
        <x:v>RENT</x:v>
      </x:c>
      <x:c r="K7599" t="str">
        <x:v>debt_consolidation</x:v>
      </x:c>
      <x:c r="L7599" t="n">
        <x:v>0</x:v>
      </x:c>
      <x:c r="M7599" t="n">
        <x:v>0</x:v>
      </x:c>
      <x:c r="N7599" t="str">
        <x:v>Fully Paid</x:v>
      </x:c>
      <x:c r="O7599" t="str">
        <x:f>IF(D7599="","Unknown",IF(D7599&lt;25000,"&lt;$25k",IF(D7599&lt;50000,"$25k-$50k",IF(D7599&lt;75000,"$50k-$75k",IF(D7599&lt;100000,"$75k-$100k","$100k+")))))</x:f>
        <x:v>&lt;$25k</x:v>
      </x:c>
      <x:c r="P7599" t="str">
        <x:f>IF(E7599="","Unknown",IF(E7599&lt;10,"&lt;10",IF(E7599&lt;20,"10-&lt;20",IF(E7599&lt;25,"20-&lt;25",IF(E7599&lt;35,"25-&lt;35","35+")))))</x:f>
        <x:v>10-&lt;20</x:v>
      </x:c>
    </x:row>
    <x:row r="7600">
      <x:c r="A7600" t="str">
        <x:v>SYN0007599</x:v>
      </x:c>
      <x:c r="B7600" s="12" t="n">
        <x:v>41275</x:v>
      </x:c>
      <x:c r="C7600" s="18" t="n">
        <x:v>12890</x:v>
      </x:c>
      <x:c r="D7600" s="18" t="n">
        <x:v>39314</x:v>
      </x:c>
      <x:c r="E7600" s="18" t="n">
        <x:v>21.66</x:v>
      </x:c>
      <x:c r="F7600" s="18" t="n">
        <x:v>11.4</x:v>
      </x:c>
      <x:c r="G7600" t="n">
        <x:v>36</x:v>
      </x:c>
      <x:c r="H7600" t="str">
        <x:v>B</x:v>
      </x:c>
      <x:c r="I7600" t="str">
        <x:v>1-3 years</x:v>
      </x:c>
      <x:c r="J7600" t="str">
        <x:v>OWN</x:v>
      </x:c>
      <x:c r="K7600" t="str">
        <x:v>debt_consolidation</x:v>
      </x:c>
      <x:c r="L7600" t="n">
        <x:v>0</x:v>
      </x:c>
      <x:c r="M7600" t="n">
        <x:v>0</x:v>
      </x:c>
      <x:c r="N7600" t="str">
        <x:v>Fully Paid</x:v>
      </x:c>
      <x:c r="O7600" t="str">
        <x:f>IF(D7600="","Unknown",IF(D7600&lt;25000,"&lt;$25k",IF(D7600&lt;50000,"$25k-$50k",IF(D7600&lt;75000,"$50k-$75k",IF(D7600&lt;100000,"$75k-$100k","$100k+")))))</x:f>
        <x:v>$25k-$50k</x:v>
      </x:c>
      <x:c r="P7600" t="str">
        <x:f>IF(E7600="","Unknown",IF(E7600&lt;10,"&lt;10",IF(E7600&lt;20,"10-&lt;20",IF(E7600&lt;25,"20-&lt;25",IF(E7600&lt;35,"25-&lt;35","35+")))))</x:f>
        <x:v>20-&lt;25</x:v>
      </x:c>
    </x:row>
    <x:row r="7601">
      <x:c r="A7601" t="str">
        <x:v>SYN0007600</x:v>
      </x:c>
      <x:c r="B7601" s="12" t="n">
        <x:v>42415</x:v>
      </x:c>
      <x:c r="C7601" s="18" t="n">
        <x:v>8140</x:v>
      </x:c>
      <x:c r="D7601" s="18" t="n">
        <x:v>103027</x:v>
      </x:c>
      <x:c r="E7601" s="18" t="n">
        <x:v>18.44</x:v>
      </x:c>
      <x:c r="F7601" s="18" t="n">
        <x:v>7.89</x:v>
      </x:c>
      <x:c r="G7601" t="n">
        <x:v>36</x:v>
      </x:c>
      <x:c r="H7601" t="str">
        <x:v>B</x:v>
      </x:c>
      <x:c r="I7601" t="str">
        <x:v>&lt;1 year</x:v>
      </x:c>
      <x:c r="J7601" t="str">
        <x:v>MORTGAGE</x:v>
      </x:c>
      <x:c r="K7601" t="str">
        <x:v>debt_consolidation</x:v>
      </x:c>
      <x:c r="L7601" t="n">
        <x:v>0</x:v>
      </x:c>
      <x:c r="M7601" t="n">
        <x:v>0</x:v>
      </x:c>
      <x:c r="N7601" t="str">
        <x:v>Fully Paid</x:v>
      </x:c>
      <x:c r="O7601" t="str">
        <x:f>IF(D7601="","Unknown",IF(D7601&lt;25000,"&lt;$25k",IF(D7601&lt;50000,"$25k-$50k",IF(D7601&lt;75000,"$50k-$75k",IF(D7601&lt;100000,"$75k-$100k","$100k+")))))</x:f>
        <x:v>$100k+</x:v>
      </x:c>
      <x:c r="P7601" t="str">
        <x:f>IF(E7601="","Unknown",IF(E7601&lt;10,"&lt;10",IF(E7601&lt;20,"10-&lt;20",IF(E7601&lt;25,"20-&lt;25",IF(E7601&lt;35,"25-&lt;35","35+")))))</x:f>
        <x:v>10-&lt;20</x:v>
      </x:c>
    </x:row>
    <x:row r="7602">
      <x:c r="A7602" t="str">
        <x:v>SYN0007601</x:v>
      </x:c>
      <x:c r="B7602" s="12" t="n">
        <x:v>42535</x:v>
      </x:c>
      <x:c r="C7602" s="18" t="n">
        <x:v>40000</x:v>
      </x:c>
      <x:c r="D7602" s="18" t="n">
        <x:v>20939</x:v>
      </x:c>
      <x:c r="E7602" s="18" t="n">
        <x:v>38.34</x:v>
      </x:c>
      <x:c r="F7602" s="18" t="n">
        <x:v>10.13</x:v>
      </x:c>
      <x:c r="G7602" t="n">
        <x:v>60</x:v>
      </x:c>
      <x:c r="H7602" t="str">
        <x:v>C</x:v>
      </x:c>
      <x:c r="I7602" t="str">
        <x:v>10+ years</x:v>
      </x:c>
      <x:c r="J7602" t="str">
        <x:v>MORTGAGE</x:v>
      </x:c>
      <x:c r="K7602" t="str">
        <x:v>other</x:v>
      </x:c>
      <x:c r="L7602" t="n">
        <x:v>0</x:v>
      </x:c>
      <x:c r="M7602" t="n">
        <x:v>0</x:v>
      </x:c>
      <x:c r="N7602" t="str">
        <x:v>Fully Paid</x:v>
      </x:c>
      <x:c r="O7602" t="str">
        <x:f>IF(D7602="","Unknown",IF(D7602&lt;25000,"&lt;$25k",IF(D7602&lt;50000,"$25k-$50k",IF(D7602&lt;75000,"$50k-$75k",IF(D7602&lt;100000,"$75k-$100k","$100k+")))))</x:f>
        <x:v>&lt;$25k</x:v>
      </x:c>
      <x:c r="P7602" t="str">
        <x:f>IF(E7602="","Unknown",IF(E7602&lt;10,"&lt;10",IF(E7602&lt;20,"10-&lt;20",IF(E7602&lt;25,"20-&lt;25",IF(E7602&lt;35,"25-&lt;35","35+")))))</x:f>
        <x:v>35+</x:v>
      </x:c>
    </x:row>
    <x:row r="7603">
      <x:c r="A7603" t="str">
        <x:v>SYN0007602</x:v>
      </x:c>
      <x:c r="B7603" s="12" t="n">
        <x:v>42835</x:v>
      </x:c>
      <x:c r="C7603" s="18" t="n">
        <x:v>9092</x:v>
      </x:c>
      <x:c r="D7603" s="18" t="n">
        <x:v>150451</x:v>
      </x:c>
      <x:c r="E7603" s="18" t="n">
        <x:v>27.29</x:v>
      </x:c>
      <x:c r="F7603" s="18" t="n">
        <x:v>7.9</x:v>
      </x:c>
      <x:c r="G7603" t="n">
        <x:v>36</x:v>
      </x:c>
      <x:c r="H7603" t="str">
        <x:v>C</x:v>
      </x:c>
      <x:c r="I7603" t="str">
        <x:v>1-3 years</x:v>
      </x:c>
      <x:c r="J7603" t="str">
        <x:v>RENT</x:v>
      </x:c>
      <x:c r="K7603" t="str">
        <x:v>credit_card</x:v>
      </x:c>
      <x:c r="L7603" t="n">
        <x:v>1</x:v>
      </x:c>
      <x:c r="M7603" t="n">
        <x:v>0</x:v>
      </x:c>
      <x:c r="N7603" t="str">
        <x:v>Fully Paid</x:v>
      </x:c>
      <x:c r="O7603" t="str">
        <x:f>IF(D7603="","Unknown",IF(D7603&lt;25000,"&lt;$25k",IF(D7603&lt;50000,"$25k-$50k",IF(D7603&lt;75000,"$50k-$75k",IF(D7603&lt;100000,"$75k-$100k","$100k+")))))</x:f>
        <x:v>$100k+</x:v>
      </x:c>
      <x:c r="P7603" t="str">
        <x:f>IF(E7603="","Unknown",IF(E7603&lt;10,"&lt;10",IF(E7603&lt;20,"10-&lt;20",IF(E7603&lt;25,"20-&lt;25",IF(E7603&lt;35,"25-&lt;35","35+")))))</x:f>
        <x:v>25-&lt;35</x:v>
      </x:c>
    </x:row>
    <x:row r="7604">
      <x:c r="A7604" t="str">
        <x:v>SYN0007603</x:v>
      </x:c>
      <x:c r="B7604" s="12" t="n">
        <x:v>42775</x:v>
      </x:c>
      <x:c r="C7604" s="18" t="n">
        <x:v>9323</x:v>
      </x:c>
      <x:c r="D7604" s="18" t="n">
        <x:v>45137</x:v>
      </x:c>
      <x:c r="E7604" s="18" t="n">
        <x:v>24.09</x:v>
      </x:c>
      <x:c r="F7604" s="18" t="n">
        <x:v>12.8</x:v>
      </x:c>
      <x:c r="G7604" t="n">
        <x:v>60</x:v>
      </x:c>
      <x:c r="H7604" t="str">
        <x:v>C</x:v>
      </x:c>
      <x:c r="I7604" t="str">
        <x:v>1-3 years</x:v>
      </x:c>
      <x:c r="J7604" t="str">
        <x:v>OWN</x:v>
      </x:c>
      <x:c r="K7604" t="str">
        <x:v>debt_consolidation</x:v>
      </x:c>
      <x:c r="L7604" t="n">
        <x:v>1</x:v>
      </x:c>
      <x:c r="M7604" t="n">
        <x:v>0</x:v>
      </x:c>
      <x:c r="N7604" t="str">
        <x:v>Fully Paid</x:v>
      </x:c>
      <x:c r="O7604" t="str">
        <x:f>IF(D7604="","Unknown",IF(D7604&lt;25000,"&lt;$25k",IF(D7604&lt;50000,"$25k-$50k",IF(D7604&lt;75000,"$50k-$75k",IF(D7604&lt;100000,"$75k-$100k","$100k+")))))</x:f>
        <x:v>$25k-$50k</x:v>
      </x:c>
      <x:c r="P7604" t="str">
        <x:f>IF(E7604="","Unknown",IF(E7604&lt;10,"&lt;10",IF(E7604&lt;20,"10-&lt;20",IF(E7604&lt;25,"20-&lt;25",IF(E7604&lt;35,"25-&lt;35","35+")))))</x:f>
        <x:v>20-&lt;25</x:v>
      </x:c>
    </x:row>
    <x:row r="7605">
      <x:c r="A7605" t="str">
        <x:v>SYN0007604</x:v>
      </x:c>
      <x:c r="B7605" s="12" t="n">
        <x:v>41665</x:v>
      </x:c>
      <x:c r="C7605" s="18" t="n">
        <x:v>23752</x:v>
      </x:c>
      <x:c r="D7605" s="18" t="n">
        <x:v>12000</x:v>
      </x:c>
      <x:c r="E7605" s="18" t="n">
        <x:v>16.46</x:v>
      </x:c>
      <x:c r="F7605" s="18" t="n">
        <x:v>12.82</x:v>
      </x:c>
      <x:c r="G7605" t="n">
        <x:v>60</x:v>
      </x:c>
      <x:c r="H7605" t="str">
        <x:v>C</x:v>
      </x:c>
      <x:c r="I7605" t="str">
        <x:v>&lt;1 year</x:v>
      </x:c>
      <x:c r="J7605" t="str">
        <x:v>MORTGAGE</x:v>
      </x:c>
      <x:c r="K7605" t="str">
        <x:v>debt_consolidation</x:v>
      </x:c>
      <x:c r="L7605" t="n">
        <x:v>2</x:v>
      </x:c>
      <x:c r="M7605" t="n">
        <x:v>0</x:v>
      </x:c>
      <x:c r="N7605" t="str">
        <x:v>Fully Paid</x:v>
      </x:c>
      <x:c r="O7605" t="str">
        <x:f>IF(D7605="","Unknown",IF(D7605&lt;25000,"&lt;$25k",IF(D7605&lt;50000,"$25k-$50k",IF(D7605&lt;75000,"$50k-$75k",IF(D7605&lt;100000,"$75k-$100k","$100k+")))))</x:f>
        <x:v>&lt;$25k</x:v>
      </x:c>
      <x:c r="P7605" t="str">
        <x:f>IF(E7605="","Unknown",IF(E7605&lt;10,"&lt;10",IF(E7605&lt;20,"10-&lt;20",IF(E7605&lt;25,"20-&lt;25",IF(E7605&lt;35,"25-&lt;35","35+")))))</x:f>
        <x:v>10-&lt;20</x:v>
      </x:c>
    </x:row>
    <x:row r="7606">
      <x:c r="A7606" t="str">
        <x:v>SYN0007605</x:v>
      </x:c>
      <x:c r="B7606" s="12" t="n">
        <x:v>41905</x:v>
      </x:c>
      <x:c r="C7606" s="18" t="n">
        <x:v>22107</x:v>
      </x:c>
      <x:c r="D7606" s="18" t="n">
        <x:v>32882</x:v>
      </x:c>
      <x:c r="E7606" s="18" t="n">
        <x:v>6.49</x:v>
      </x:c>
      <x:c r="F7606" s="18" t="n">
        <x:v>14.19</x:v>
      </x:c>
      <x:c r="G7606" t="n">
        <x:v>36</x:v>
      </x:c>
      <x:c r="H7606" t="str">
        <x:v>D</x:v>
      </x:c>
      <x:c r="I7606" t="str">
        <x:v>10+ years</x:v>
      </x:c>
      <x:c r="J7606" t="str">
        <x:v>RENT</x:v>
      </x:c>
      <x:c r="K7606" t="str">
        <x:v>debt_consolidation</x:v>
      </x:c>
      <x:c r="L7606" t="n">
        <x:v>1</x:v>
      </x:c>
      <x:c r="M7606" t="n">
        <x:v>0</x:v>
      </x:c>
      <x:c r="N7606" t="str">
        <x:v>Fully Paid</x:v>
      </x:c>
      <x:c r="O7606" t="str">
        <x:f>IF(D7606="","Unknown",IF(D7606&lt;25000,"&lt;$25k",IF(D7606&lt;50000,"$25k-$50k",IF(D7606&lt;75000,"$50k-$75k",IF(D7606&lt;100000,"$75k-$100k","$100k+")))))</x:f>
        <x:v>$25k-$50k</x:v>
      </x:c>
      <x:c r="P7606" t="str">
        <x:f>IF(E7606="","Unknown",IF(E7606&lt;10,"&lt;10",IF(E7606&lt;20,"10-&lt;20",IF(E7606&lt;25,"20-&lt;25",IF(E7606&lt;35,"25-&lt;35","35+")))))</x:f>
        <x:v>&lt;10</x:v>
      </x:c>
    </x:row>
    <x:row r="7607">
      <x:c r="A7607" t="str">
        <x:v>SYN0007606</x:v>
      </x:c>
      <x:c r="B7607" s="12" t="n">
        <x:v>42265</x:v>
      </x:c>
      <x:c r="C7607" s="18" t="n">
        <x:v>18266</x:v>
      </x:c>
      <x:c r="D7607" s="18" t="n">
        <x:v>29508</x:v>
      </x:c>
      <x:c r="E7607" s="18" t="n">
        <x:v>17.25</x:v>
      </x:c>
      <x:c r="F7607" s="18" t="n">
        <x:v>11</x:v>
      </x:c>
      <x:c r="G7607" t="n">
        <x:v>36</x:v>
      </x:c>
      <x:c r="H7607" t="str">
        <x:v>D</x:v>
      </x:c>
      <x:c r="I7607" t="str">
        <x:v>4-6 years</x:v>
      </x:c>
      <x:c r="J7607" t="str">
        <x:v>MORTGAGE</x:v>
      </x:c>
      <x:c r="K7607" t="str">
        <x:v>debt_consolidation</x:v>
      </x:c>
      <x:c r="L7607" t="n">
        <x:v>1</x:v>
      </x:c>
      <x:c r="M7607" t="n">
        <x:v>0</x:v>
      </x:c>
      <x:c r="N7607" t="str">
        <x:v>Fully Paid</x:v>
      </x:c>
      <x:c r="O7607" t="str">
        <x:f>IF(D7607="","Unknown",IF(D7607&lt;25000,"&lt;$25k",IF(D7607&lt;50000,"$25k-$50k",IF(D7607&lt;75000,"$50k-$75k",IF(D7607&lt;100000,"$75k-$100k","$100k+")))))</x:f>
        <x:v>$25k-$50k</x:v>
      </x:c>
      <x:c r="P7607" t="str">
        <x:f>IF(E7607="","Unknown",IF(E7607&lt;10,"&lt;10",IF(E7607&lt;20,"10-&lt;20",IF(E7607&lt;25,"20-&lt;25",IF(E7607&lt;35,"25-&lt;35","35+")))))</x:f>
        <x:v>10-&lt;20</x:v>
      </x:c>
    </x:row>
    <x:row r="7608">
      <x:c r="A7608" t="str">
        <x:v>SYN0007607</x:v>
      </x:c>
      <x:c r="B7608" s="12" t="n">
        <x:v>43225</x:v>
      </x:c>
      <x:c r="C7608" s="18" t="n">
        <x:v>5919</x:v>
      </x:c>
      <x:c r="D7608" s="18" t="n">
        <x:v>39414</x:v>
      </x:c>
      <x:c r="E7608" s="18" t="n">
        <x:v>10.31</x:v>
      </x:c>
      <x:c r="F7608" s="18" t="n">
        <x:v>18.64</x:v>
      </x:c>
      <x:c r="G7608" t="n">
        <x:v>60</x:v>
      </x:c>
      <x:c r="H7608" t="str">
        <x:v>E</x:v>
      </x:c>
      <x:c r="I7608" t="str">
        <x:v>1-3 years</x:v>
      </x:c>
      <x:c r="J7608" t="str">
        <x:v>MORTGAGE</x:v>
      </x:c>
      <x:c r="K7608" t="str">
        <x:v>debt_consolidation</x:v>
      </x:c>
      <x:c r="L7608" t="n">
        <x:v>1</x:v>
      </x:c>
      <x:c r="M7608" t="n">
        <x:v>0</x:v>
      </x:c>
      <x:c r="N7608" t="str">
        <x:v>Fully Paid</x:v>
      </x:c>
      <x:c r="O7608" t="str">
        <x:f>IF(D7608="","Unknown",IF(D7608&lt;25000,"&lt;$25k",IF(D7608&lt;50000,"$25k-$50k",IF(D7608&lt;75000,"$50k-$75k",IF(D7608&lt;100000,"$75k-$100k","$100k+")))))</x:f>
        <x:v>$25k-$50k</x:v>
      </x:c>
      <x:c r="P7608" t="str">
        <x:f>IF(E7608="","Unknown",IF(E7608&lt;10,"&lt;10",IF(E7608&lt;20,"10-&lt;20",IF(E7608&lt;25,"20-&lt;25",IF(E7608&lt;35,"25-&lt;35","35+")))))</x:f>
        <x:v>10-&lt;20</x:v>
      </x:c>
    </x:row>
    <x:row r="7609">
      <x:c r="A7609" t="str">
        <x:v>SYN0007608</x:v>
      </x:c>
      <x:c r="B7609" s="12" t="n">
        <x:v>43165</x:v>
      </x:c>
      <x:c r="C7609" s="18" t="n">
        <x:v>13665</x:v>
      </x:c>
      <x:c r="D7609" s="18" t="n">
        <x:v>47703</x:v>
      </x:c>
      <x:c r="E7609" s="18" t="n">
        <x:v>20.81</x:v>
      </x:c>
      <x:c r="F7609" s="18" t="n">
        <x:v>18.91</x:v>
      </x:c>
      <x:c r="G7609" t="n">
        <x:v>36</x:v>
      </x:c>
      <x:c r="H7609" t="str">
        <x:v>E</x:v>
      </x:c>
      <x:c r="I7609" t="str">
        <x:v>10+ years</x:v>
      </x:c>
      <x:c r="J7609" t="str">
        <x:v>RENT</x:v>
      </x:c>
      <x:c r="K7609" t="str">
        <x:v>debt_consolidation</x:v>
      </x:c>
      <x:c r="L7609" t="n">
        <x:v>0</x:v>
      </x:c>
      <x:c r="M7609" t="n">
        <x:v>0</x:v>
      </x:c>
      <x:c r="N7609" t="str">
        <x:v>Fully Paid</x:v>
      </x:c>
      <x:c r="O7609" t="str">
        <x:f>IF(D7609="","Unknown",IF(D7609&lt;25000,"&lt;$25k",IF(D7609&lt;50000,"$25k-$50k",IF(D7609&lt;75000,"$50k-$75k",IF(D7609&lt;100000,"$75k-$100k","$100k+")))))</x:f>
        <x:v>$25k-$50k</x:v>
      </x:c>
      <x:c r="P7609" t="str">
        <x:f>IF(E7609="","Unknown",IF(E7609&lt;10,"&lt;10",IF(E7609&lt;20,"10-&lt;20",IF(E7609&lt;25,"20-&lt;25",IF(E7609&lt;35,"25-&lt;35","35+")))))</x:f>
        <x:v>20-&lt;25</x:v>
      </x:c>
    </x:row>
    <x:row r="7610">
      <x:c r="A7610" t="str">
        <x:v>SYN0007609</x:v>
      </x:c>
      <x:c r="B7610" s="12" t="n">
        <x:v>42445</x:v>
      </x:c>
      <x:c r="C7610" s="18" t="n">
        <x:v>22945</x:v>
      </x:c>
      <x:c r="D7610" s="18" t="n">
        <x:v>64539</x:v>
      </x:c>
      <x:c r="E7610" s="18" t="n">
        <x:v>30.91</x:v>
      </x:c>
      <x:c r="F7610" s="18" t="n">
        <x:v>9.91</x:v>
      </x:c>
      <x:c r="G7610" t="n">
        <x:v>36</x:v>
      </x:c>
      <x:c r="H7610" t="str">
        <x:v>B</x:v>
      </x:c>
      <x:c r="I7610" t="str">
        <x:v>1-3 years</x:v>
      </x:c>
      <x:c r="J7610" t="str">
        <x:v>RENT</x:v>
      </x:c>
      <x:c r="K7610" t="str">
        <x:v>debt_consolidation</x:v>
      </x:c>
      <x:c r="L7610" t="n">
        <x:v>0</x:v>
      </x:c>
      <x:c r="M7610" t="n">
        <x:v>0</x:v>
      </x:c>
      <x:c r="N7610" t="str">
        <x:v>Fully Paid</x:v>
      </x:c>
      <x:c r="O7610" t="str">
        <x:f>IF(D7610="","Unknown",IF(D7610&lt;25000,"&lt;$25k",IF(D7610&lt;50000,"$25k-$50k",IF(D7610&lt;75000,"$50k-$75k",IF(D7610&lt;100000,"$75k-$100k","$100k+")))))</x:f>
        <x:v>$50k-$75k</x:v>
      </x:c>
      <x:c r="P7610" t="str">
        <x:f>IF(E7610="","Unknown",IF(E7610&lt;10,"&lt;10",IF(E7610&lt;20,"10-&lt;20",IF(E7610&lt;25,"20-&lt;25",IF(E7610&lt;35,"25-&lt;35","35+")))))</x:f>
        <x:v>25-&lt;35</x:v>
      </x:c>
    </x:row>
    <x:row r="7611">
      <x:c r="A7611" t="str">
        <x:v>SYN0007610</x:v>
      </x:c>
      <x:c r="B7611" s="12" t="n">
        <x:v>41785</x:v>
      </x:c>
      <x:c r="C7611" s="18" t="n">
        <x:v>11668</x:v>
      </x:c>
      <x:c r="D7611" s="18" t="n">
        <x:v>31929</x:v>
      </x:c>
      <x:c r="E7611" s="18" t="n">
        <x:v>6.6</x:v>
      </x:c>
      <x:c r="F7611" s="18" t="n">
        <x:v>6.06</x:v>
      </x:c>
      <x:c r="G7611" t="n">
        <x:v>36</x:v>
      </x:c>
      <x:c r="H7611" t="str">
        <x:v>A</x:v>
      </x:c>
      <x:c r="I7611" t="str">
        <x:v>10+ years</x:v>
      </x:c>
      <x:c r="J7611" t="str">
        <x:v>RENT</x:v>
      </x:c>
      <x:c r="K7611" t="str">
        <x:v>debt_consolidation</x:v>
      </x:c>
      <x:c r="L7611" t="n">
        <x:v>0</x:v>
      </x:c>
      <x:c r="M7611" t="n">
        <x:v>0</x:v>
      </x:c>
      <x:c r="N7611" t="str">
        <x:v>Fully Paid</x:v>
      </x:c>
      <x:c r="O7611" t="str">
        <x:f>IF(D7611="","Unknown",IF(D7611&lt;25000,"&lt;$25k",IF(D7611&lt;50000,"$25k-$50k",IF(D7611&lt;75000,"$50k-$75k",IF(D7611&lt;100000,"$75k-$100k","$100k+")))))</x:f>
        <x:v>$25k-$50k</x:v>
      </x:c>
      <x:c r="P7611" t="str">
        <x:f>IF(E7611="","Unknown",IF(E7611&lt;10,"&lt;10",IF(E7611&lt;20,"10-&lt;20",IF(E7611&lt;25,"20-&lt;25",IF(E7611&lt;35,"25-&lt;35","35+")))))</x:f>
        <x:v>&lt;10</x:v>
      </x:c>
    </x:row>
    <x:row r="7612">
      <x:c r="A7612" t="str">
        <x:v>SYN0007611</x:v>
      </x:c>
      <x:c r="B7612" s="12" t="n">
        <x:v>42625</x:v>
      </x:c>
      <x:c r="C7612" s="18" t="n">
        <x:v>16047</x:v>
      </x:c>
      <x:c r="D7612" s="18" t="n">
        <x:v>75376</x:v>
      </x:c>
      <x:c r="E7612" s="18" t="n">
        <x:v>22.24</x:v>
      </x:c>
      <x:c r="F7612" s="18" t="n">
        <x:v>10.84</x:v>
      </x:c>
      <x:c r="G7612" t="n">
        <x:v>36</x:v>
      </x:c>
      <x:c r="H7612" t="str">
        <x:v>C</x:v>
      </x:c>
      <x:c r="I7612" t="str">
        <x:v>10+ years</x:v>
      </x:c>
      <x:c r="J7612" t="str">
        <x:v>RENT</x:v>
      </x:c>
      <x:c r="K7612" t="str">
        <x:v>credit_card</x:v>
      </x:c>
      <x:c r="L7612" t="n">
        <x:v>1</x:v>
      </x:c>
      <x:c r="M7612" t="n">
        <x:v>0</x:v>
      </x:c>
      <x:c r="N7612" t="str">
        <x:v>Fully Paid</x:v>
      </x:c>
      <x:c r="O7612" t="str">
        <x:f>IF(D7612="","Unknown",IF(D7612&lt;25000,"&lt;$25k",IF(D7612&lt;50000,"$25k-$50k",IF(D7612&lt;75000,"$50k-$75k",IF(D7612&lt;100000,"$75k-$100k","$100k+")))))</x:f>
        <x:v>$75k-$100k</x:v>
      </x:c>
      <x:c r="P7612" t="str">
        <x:f>IF(E7612="","Unknown",IF(E7612&lt;10,"&lt;10",IF(E7612&lt;20,"10-&lt;20",IF(E7612&lt;25,"20-&lt;25",IF(E7612&lt;35,"25-&lt;35","35+")))))</x:f>
        <x:v>20-&lt;25</x:v>
      </x:c>
    </x:row>
    <x:row r="7613">
      <x:c r="A7613" t="str">
        <x:v>SYN0007612</x:v>
      </x:c>
      <x:c r="B7613" s="12" t="n">
        <x:v>43405</x:v>
      </x:c>
      <x:c r="C7613" s="18" t="n">
        <x:v>10038</x:v>
      </x:c>
      <x:c r="D7613" s="18" t="n">
        <x:v>56513</x:v>
      </x:c>
      <x:c r="E7613" s="18" t="n">
        <x:v>20.24</x:v>
      </x:c>
      <x:c r="F7613" s="18" t="n">
        <x:v>6.45</x:v>
      </x:c>
      <x:c r="G7613" t="n">
        <x:v>36</x:v>
      </x:c>
      <x:c r="H7613" t="str">
        <x:v>A</x:v>
      </x:c>
      <x:c r="I7613" t="str">
        <x:v>7-9 years</x:v>
      </x:c>
      <x:c r="J7613" t="str">
        <x:v>RENT</x:v>
      </x:c>
      <x:c r="K7613" t="str">
        <x:v>debt_consolidation</x:v>
      </x:c>
      <x:c r="L7613" t="n">
        <x:v>0</x:v>
      </x:c>
      <x:c r="M7613" t="n">
        <x:v>0</x:v>
      </x:c>
      <x:c r="N7613" t="str">
        <x:v>Fully Paid</x:v>
      </x:c>
      <x:c r="O7613" t="str">
        <x:f>IF(D7613="","Unknown",IF(D7613&lt;25000,"&lt;$25k",IF(D7613&lt;50000,"$25k-$50k",IF(D7613&lt;75000,"$50k-$75k",IF(D7613&lt;100000,"$75k-$100k","$100k+")))))</x:f>
        <x:v>$50k-$75k</x:v>
      </x:c>
      <x:c r="P7613" t="str">
        <x:f>IF(E7613="","Unknown",IF(E7613&lt;10,"&lt;10",IF(E7613&lt;20,"10-&lt;20",IF(E7613&lt;25,"20-&lt;25",IF(E7613&lt;35,"25-&lt;35","35+")))))</x:f>
        <x:v>20-&lt;25</x:v>
      </x:c>
    </x:row>
    <x:row r="7614">
      <x:c r="A7614" t="str">
        <x:v>SYN0007613</x:v>
      </x:c>
      <x:c r="B7614" s="12" t="n">
        <x:v>41695</x:v>
      </x:c>
      <x:c r="C7614" s="18" t="n">
        <x:v>6049</x:v>
      </x:c>
      <x:c r="D7614" s="18" t="n">
        <x:v>81394</x:v>
      </x:c>
      <x:c r="E7614" s="18" t="n">
        <x:v>12.38</x:v>
      </x:c>
      <x:c r="F7614" s="18" t="n">
        <x:v>21.22</x:v>
      </x:c>
      <x:c r="G7614" t="n">
        <x:v>36</x:v>
      </x:c>
      <x:c r="H7614" t="str">
        <x:v>E</x:v>
      </x:c>
      <x:c r="I7614" t="str">
        <x:v>1-3 years</x:v>
      </x:c>
      <x:c r="J7614" t="str">
        <x:v>MORTGAGE</x:v>
      </x:c>
      <x:c r="K7614" t="str">
        <x:v>home_improvement</x:v>
      </x:c>
      <x:c r="L7614" t="n">
        <x:v>1</x:v>
      </x:c>
      <x:c r="M7614" t="n">
        <x:v>0</x:v>
      </x:c>
      <x:c r="N7614" t="str">
        <x:v>Fully Paid</x:v>
      </x:c>
      <x:c r="O7614" t="str">
        <x:f>IF(D7614="","Unknown",IF(D7614&lt;25000,"&lt;$25k",IF(D7614&lt;50000,"$25k-$50k",IF(D7614&lt;75000,"$50k-$75k",IF(D7614&lt;100000,"$75k-$100k","$100k+")))))</x:f>
        <x:v>$75k-$100k</x:v>
      </x:c>
      <x:c r="P7614" t="str">
        <x:f>IF(E7614="","Unknown",IF(E7614&lt;10,"&lt;10",IF(E7614&lt;20,"10-&lt;20",IF(E7614&lt;25,"20-&lt;25",IF(E7614&lt;35,"25-&lt;35","35+")))))</x:f>
        <x:v>10-&lt;20</x:v>
      </x:c>
    </x:row>
    <x:row r="7615">
      <x:c r="A7615" t="str">
        <x:v>SYN0007614</x:v>
      </x:c>
      <x:c r="B7615" s="12" t="n">
        <x:v>41815</x:v>
      </x:c>
      <x:c r="C7615" s="18" t="n">
        <x:v>9700</x:v>
      </x:c>
      <x:c r="D7615" s="18" t="n">
        <x:v>34274</x:v>
      </x:c>
      <x:c r="E7615" s="18" t="n">
        <x:v>7.67</x:v>
      </x:c>
      <x:c r="F7615" s="18" t="n">
        <x:v>9.81</x:v>
      </x:c>
      <x:c r="G7615" t="n">
        <x:v>36</x:v>
      </x:c>
      <x:c r="H7615" t="str">
        <x:v>B</x:v>
      </x:c>
      <x:c r="I7615" t="str">
        <x:v>10+ years</x:v>
      </x:c>
      <x:c r="J7615" t="str">
        <x:v>MORTGAGE</x:v>
      </x:c>
      <x:c r="K7615" t="str">
        <x:v>debt_consolidation</x:v>
      </x:c>
      <x:c r="L7615" t="n">
        <x:v>1</x:v>
      </x:c>
      <x:c r="M7615" t="n">
        <x:v>0</x:v>
      </x:c>
      <x:c r="N7615" t="str">
        <x:v>Fully Paid</x:v>
      </x:c>
      <x:c r="O7615" t="str">
        <x:f>IF(D7615="","Unknown",IF(D7615&lt;25000,"&lt;$25k",IF(D7615&lt;50000,"$25k-$50k",IF(D7615&lt;75000,"$50k-$75k",IF(D7615&lt;100000,"$75k-$100k","$100k+")))))</x:f>
        <x:v>$25k-$50k</x:v>
      </x:c>
      <x:c r="P7615" t="str">
        <x:f>IF(E7615="","Unknown",IF(E7615&lt;10,"&lt;10",IF(E7615&lt;20,"10-&lt;20",IF(E7615&lt;25,"20-&lt;25",IF(E7615&lt;35,"25-&lt;35","35+")))))</x:f>
        <x:v>&lt;10</x:v>
      </x:c>
    </x:row>
    <x:row r="7616">
      <x:c r="A7616" t="str">
        <x:v>SYN0007615</x:v>
      </x:c>
      <x:c r="B7616" s="12" t="n">
        <x:v>41695</x:v>
      </x:c>
      <x:c r="C7616" s="18" t="n">
        <x:v>40000</x:v>
      </x:c>
      <x:c r="D7616" s="18" t="n">
        <x:v>96304</x:v>
      </x:c>
      <x:c r="E7616" s="18" t="n">
        <x:v>19</x:v>
      </x:c>
      <x:c r="F7616" s="18" t="n">
        <x:v>8.88</x:v>
      </x:c>
      <x:c r="G7616" t="n">
        <x:v>36</x:v>
      </x:c>
      <x:c r="H7616" t="str">
        <x:v>B</x:v>
      </x:c>
      <x:c r="I7616" t="str">
        <x:v>10+ years</x:v>
      </x:c>
      <x:c r="J7616" t="str">
        <x:v>MORTGAGE</x:v>
      </x:c>
      <x:c r="K7616" t="str">
        <x:v>debt_consolidation</x:v>
      </x:c>
      <x:c r="L7616" t="n">
        <x:v>2</x:v>
      </x:c>
      <x:c r="M7616" t="n">
        <x:v>0</x:v>
      </x:c>
      <x:c r="N7616" t="str">
        <x:v>Fully Paid</x:v>
      </x:c>
      <x:c r="O7616" t="str">
        <x:f>IF(D7616="","Unknown",IF(D7616&lt;25000,"&lt;$25k",IF(D7616&lt;50000,"$25k-$50k",IF(D7616&lt;75000,"$50k-$75k",IF(D7616&lt;100000,"$75k-$100k","$100k+")))))</x:f>
        <x:v>$75k-$100k</x:v>
      </x:c>
      <x:c r="P7616" t="str">
        <x:f>IF(E7616="","Unknown",IF(E7616&lt;10,"&lt;10",IF(E7616&lt;20,"10-&lt;20",IF(E7616&lt;25,"20-&lt;25",IF(E7616&lt;35,"25-&lt;35","35+")))))</x:f>
        <x:v>10-&lt;20</x:v>
      </x:c>
    </x:row>
    <x:row r="7617">
      <x:c r="A7617" t="str">
        <x:v>SYN0007616</x:v>
      </x:c>
      <x:c r="B7617" s="12" t="n">
        <x:v>41335</x:v>
      </x:c>
      <x:c r="C7617" s="18" t="n">
        <x:v>16473</x:v>
      </x:c>
      <x:c r="D7617" s="18" t="n">
        <x:v>63622</x:v>
      </x:c>
      <x:c r="E7617" s="18" t="n">
        <x:v>36.97</x:v>
      </x:c>
      <x:c r="F7617" s="18" t="n">
        <x:v>17.71</x:v>
      </x:c>
      <x:c r="G7617" t="n">
        <x:v>36</x:v>
      </x:c>
      <x:c r="H7617" t="str">
        <x:v>E</x:v>
      </x:c>
      <x:c r="I7617" t="str">
        <x:v>4-6 years</x:v>
      </x:c>
      <x:c r="J7617" t="str">
        <x:v>MORTGAGE</x:v>
      </x:c>
      <x:c r="K7617" t="str">
        <x:v>debt_consolidation</x:v>
      </x:c>
      <x:c r="L7617" t="n">
        <x:v>0</x:v>
      </x:c>
      <x:c r="M7617" t="n">
        <x:v>0</x:v>
      </x:c>
      <x:c r="N7617" t="str">
        <x:v>Fully Paid</x:v>
      </x:c>
      <x:c r="O7617" t="str">
        <x:f>IF(D7617="","Unknown",IF(D7617&lt;25000,"&lt;$25k",IF(D7617&lt;50000,"$25k-$50k",IF(D7617&lt;75000,"$50k-$75k",IF(D7617&lt;100000,"$75k-$100k","$100k+")))))</x:f>
        <x:v>$50k-$75k</x:v>
      </x:c>
      <x:c r="P7617" t="str">
        <x:f>IF(E7617="","Unknown",IF(E7617&lt;10,"&lt;10",IF(E7617&lt;20,"10-&lt;20",IF(E7617&lt;25,"20-&lt;25",IF(E7617&lt;35,"25-&lt;35","35+")))))</x:f>
        <x:v>35+</x:v>
      </x:c>
    </x:row>
    <x:row r="7618">
      <x:c r="A7618" t="str">
        <x:v>SYN0007617</x:v>
      </x:c>
      <x:c r="B7618" s="12" t="n">
        <x:v>41725</x:v>
      </x:c>
      <x:c r="C7618" s="18" t="n">
        <x:v>14106</x:v>
      </x:c>
      <x:c r="D7618" s="18" t="n">
        <x:v>22312</x:v>
      </x:c>
      <x:c r="E7618" s="18" t="n">
        <x:v>11.32</x:v>
      </x:c>
      <x:c r="F7618" s="18" t="n">
        <x:v>14.6</x:v>
      </x:c>
      <x:c r="G7618" t="n">
        <x:v>36</x:v>
      </x:c>
      <x:c r="H7618" t="str">
        <x:v>D</x:v>
      </x:c>
      <x:c r="I7618" t="str">
        <x:v>4-6 years</x:v>
      </x:c>
      <x:c r="J7618" t="str">
        <x:v>OWN</x:v>
      </x:c>
      <x:c r="K7618" t="str">
        <x:v>debt_consolidation</x:v>
      </x:c>
      <x:c r="L7618" t="n">
        <x:v>1</x:v>
      </x:c>
      <x:c r="M7618" t="n">
        <x:v>0</x:v>
      </x:c>
      <x:c r="N7618" t="str">
        <x:v>Fully Paid</x:v>
      </x:c>
      <x:c r="O7618" t="str">
        <x:f>IF(D7618="","Unknown",IF(D7618&lt;25000,"&lt;$25k",IF(D7618&lt;50000,"$25k-$50k",IF(D7618&lt;75000,"$50k-$75k",IF(D7618&lt;100000,"$75k-$100k","$100k+")))))</x:f>
        <x:v>&lt;$25k</x:v>
      </x:c>
      <x:c r="P7618" t="str">
        <x:f>IF(E7618="","Unknown",IF(E7618&lt;10,"&lt;10",IF(E7618&lt;20,"10-&lt;20",IF(E7618&lt;25,"20-&lt;25",IF(E7618&lt;35,"25-&lt;35","35+")))))</x:f>
        <x:v>10-&lt;20</x:v>
      </x:c>
    </x:row>
    <x:row r="7619">
      <x:c r="A7619" t="str">
        <x:v>SYN0007618</x:v>
      </x:c>
      <x:c r="B7619" s="12" t="n">
        <x:v>42985</x:v>
      </x:c>
      <x:c r="C7619" s="18" t="n">
        <x:v>22720</x:v>
      </x:c>
      <x:c r="D7619" s="18" t="n">
        <x:v>25930</x:v>
      </x:c>
      <x:c r="E7619" s="18" t="n">
        <x:v>26.78</x:v>
      </x:c>
      <x:c r="F7619" s="18" t="n">
        <x:v>15.47</x:v>
      </x:c>
      <x:c r="G7619" t="n">
        <x:v>36</x:v>
      </x:c>
      <x:c r="H7619" t="str">
        <x:v>D</x:v>
      </x:c>
      <x:c r="I7619" t="str">
        <x:v>1-3 years</x:v>
      </x:c>
      <x:c r="J7619" t="str">
        <x:v>MORTGAGE</x:v>
      </x:c>
      <x:c r="K7619" t="str">
        <x:v>debt_consolidation</x:v>
      </x:c>
      <x:c r="L7619" t="n">
        <x:v>0</x:v>
      </x:c>
      <x:c r="M7619" t="n">
        <x:v>0</x:v>
      </x:c>
      <x:c r="N7619" t="str">
        <x:v>Fully Paid</x:v>
      </x:c>
      <x:c r="O7619" t="str">
        <x:f>IF(D7619="","Unknown",IF(D7619&lt;25000,"&lt;$25k",IF(D7619&lt;50000,"$25k-$50k",IF(D7619&lt;75000,"$50k-$75k",IF(D7619&lt;100000,"$75k-$100k","$100k+")))))</x:f>
        <x:v>$25k-$50k</x:v>
      </x:c>
      <x:c r="P7619" t="str">
        <x:f>IF(E7619="","Unknown",IF(E7619&lt;10,"&lt;10",IF(E7619&lt;20,"10-&lt;20",IF(E7619&lt;25,"20-&lt;25",IF(E7619&lt;35,"25-&lt;35","35+")))))</x:f>
        <x:v>25-&lt;35</x:v>
      </x:c>
    </x:row>
    <x:row r="7620">
      <x:c r="A7620" t="str">
        <x:v>SYN0007619</x:v>
      </x:c>
      <x:c r="B7620" s="12" t="n">
        <x:v>42775</x:v>
      </x:c>
      <x:c r="C7620" s="18" t="n">
        <x:v>15871</x:v>
      </x:c>
      <x:c r="D7620" s="18" t="n">
        <x:v>80058</x:v>
      </x:c>
      <x:c r="E7620" s="18" t="n">
        <x:v>35.84</x:v>
      </x:c>
      <x:c r="F7620" s="18" t="n">
        <x:v>20.79</x:v>
      </x:c>
      <x:c r="G7620" t="n">
        <x:v>36</x:v>
      </x:c>
      <x:c r="H7620" t="str">
        <x:v>F</x:v>
      </x:c>
      <x:c r="I7620" t="str">
        <x:v>1-3 years</x:v>
      </x:c>
      <x:c r="J7620" t="str">
        <x:v>OWN</x:v>
      </x:c>
      <x:c r="K7620" t="str">
        <x:v>debt_consolidation</x:v>
      </x:c>
      <x:c r="L7620" t="n">
        <x:v>0</x:v>
      </x:c>
      <x:c r="M7620" t="n">
        <x:v>0</x:v>
      </x:c>
      <x:c r="N7620" t="str">
        <x:v>Fully Paid</x:v>
      </x:c>
      <x:c r="O7620" t="str">
        <x:f>IF(D7620="","Unknown",IF(D7620&lt;25000,"&lt;$25k",IF(D7620&lt;50000,"$25k-$50k",IF(D7620&lt;75000,"$50k-$75k",IF(D7620&lt;100000,"$75k-$100k","$100k+")))))</x:f>
        <x:v>$75k-$100k</x:v>
      </x:c>
      <x:c r="P7620" t="str">
        <x:f>IF(E7620="","Unknown",IF(E7620&lt;10,"&lt;10",IF(E7620&lt;20,"10-&lt;20",IF(E7620&lt;25,"20-&lt;25",IF(E7620&lt;35,"25-&lt;35","35+")))))</x:f>
        <x:v>35+</x:v>
      </x:c>
    </x:row>
    <x:row r="7621">
      <x:c r="A7621" t="str">
        <x:v>SYN0007620</x:v>
      </x:c>
      <x:c r="B7621" s="12" t="n">
        <x:v>42205</x:v>
      </x:c>
      <x:c r="C7621" s="18" t="n">
        <x:v>10895</x:v>
      </x:c>
      <x:c r="D7621" s="18" t="n">
        <x:v>15336</x:v>
      </x:c>
      <x:c r="E7621" s="18" t="n">
        <x:v>39.28</x:v>
      </x:c>
      <x:c r="F7621" s="18" t="n">
        <x:v>19.55</x:v>
      </x:c>
      <x:c r="G7621" t="n">
        <x:v>60</x:v>
      </x:c>
      <x:c r="H7621" t="str">
        <x:v>F</x:v>
      </x:c>
      <x:c r="I7621" t="str">
        <x:v>1-3 years</x:v>
      </x:c>
      <x:c r="J7621" t="str">
        <x:v>RENT</x:v>
      </x:c>
      <x:c r="K7621" t="str">
        <x:v>debt_consolidation</x:v>
      </x:c>
      <x:c r="L7621" t="n">
        <x:v>0</x:v>
      </x:c>
      <x:c r="M7621" t="n">
        <x:v>0</x:v>
      </x:c>
      <x:c r="N7621" t="str">
        <x:v>Fully Paid</x:v>
      </x:c>
      <x:c r="O7621" t="str">
        <x:f>IF(D7621="","Unknown",IF(D7621&lt;25000,"&lt;$25k",IF(D7621&lt;50000,"$25k-$50k",IF(D7621&lt;75000,"$50k-$75k",IF(D7621&lt;100000,"$75k-$100k","$100k+")))))</x:f>
        <x:v>&lt;$25k</x:v>
      </x:c>
      <x:c r="P7621" t="str">
        <x:f>IF(E7621="","Unknown",IF(E7621&lt;10,"&lt;10",IF(E7621&lt;20,"10-&lt;20",IF(E7621&lt;25,"20-&lt;25",IF(E7621&lt;35,"25-&lt;35","35+")))))</x:f>
        <x:v>35+</x:v>
      </x:c>
    </x:row>
    <x:row r="7622">
      <x:c r="A7622" t="str">
        <x:v>SYN0007621</x:v>
      </x:c>
      <x:c r="B7622" s="12" t="n">
        <x:v>41695</x:v>
      </x:c>
      <x:c r="C7622" s="18" t="n">
        <x:v>16078</x:v>
      </x:c>
      <x:c r="D7622" s="18" t="n">
        <x:v>40275</x:v>
      </x:c>
      <x:c r="E7622" s="18" t="n">
        <x:v>20.1</x:v>
      </x:c>
      <x:c r="F7622" s="18" t="n">
        <x:v>12.97</x:v>
      </x:c>
      <x:c r="G7622" t="n">
        <x:v>36</x:v>
      </x:c>
      <x:c r="H7622" t="str">
        <x:v>D</x:v>
      </x:c>
      <x:c r="I7622" t="str">
        <x:v>7-9 years</x:v>
      </x:c>
      <x:c r="J7622" t="str">
        <x:v>OWN</x:v>
      </x:c>
      <x:c r="K7622" t="str">
        <x:v>debt_consolidation</x:v>
      </x:c>
      <x:c r="L7622" t="n">
        <x:v>1</x:v>
      </x:c>
      <x:c r="M7622" t="n">
        <x:v>0</x:v>
      </x:c>
      <x:c r="N7622" t="str">
        <x:v>Fully Paid</x:v>
      </x:c>
      <x:c r="O7622" t="str">
        <x:f>IF(D7622="","Unknown",IF(D7622&lt;25000,"&lt;$25k",IF(D7622&lt;50000,"$25k-$50k",IF(D7622&lt;75000,"$50k-$75k",IF(D7622&lt;100000,"$75k-$100k","$100k+")))))</x:f>
        <x:v>$25k-$50k</x:v>
      </x:c>
      <x:c r="P7622" t="str">
        <x:f>IF(E7622="","Unknown",IF(E7622&lt;10,"&lt;10",IF(E7622&lt;20,"10-&lt;20",IF(E7622&lt;25,"20-&lt;25",IF(E7622&lt;35,"25-&lt;35","35+")))))</x:f>
        <x:v>20-&lt;25</x:v>
      </x:c>
    </x:row>
    <x:row r="7623">
      <x:c r="A7623" t="str">
        <x:v>SYN0007622</x:v>
      </x:c>
      <x:c r="B7623" s="12" t="n">
        <x:v>42235</x:v>
      </x:c>
      <x:c r="C7623" s="18" t="n">
        <x:v>7943</x:v>
      </x:c>
      <x:c r="D7623" s="18" t="n">
        <x:v>33968</x:v>
      </x:c>
      <x:c r="E7623" s="18" t="n">
        <x:v>20.87</x:v>
      </x:c>
      <x:c r="F7623" s="18" t="n">
        <x:v>8.82</x:v>
      </x:c>
      <x:c r="G7623" t="n">
        <x:v>36</x:v>
      </x:c>
      <x:c r="H7623" t="str">
        <x:v>B</x:v>
      </x:c>
      <x:c r="I7623" t="str">
        <x:v>10+ years</x:v>
      </x:c>
      <x:c r="J7623" t="str">
        <x:v>OWN</x:v>
      </x:c>
      <x:c r="K7623" t="str">
        <x:v>debt_consolidation</x:v>
      </x:c>
      <x:c r="L7623" t="n">
        <x:v>0</x:v>
      </x:c>
      <x:c r="M7623" t="n">
        <x:v>0</x:v>
      </x:c>
      <x:c r="N7623" t="str">
        <x:v>Fully Paid</x:v>
      </x:c>
      <x:c r="O7623" t="str">
        <x:f>IF(D7623="","Unknown",IF(D7623&lt;25000,"&lt;$25k",IF(D7623&lt;50000,"$25k-$50k",IF(D7623&lt;75000,"$50k-$75k",IF(D7623&lt;100000,"$75k-$100k","$100k+")))))</x:f>
        <x:v>$25k-$50k</x:v>
      </x:c>
      <x:c r="P7623" t="str">
        <x:f>IF(E7623="","Unknown",IF(E7623&lt;10,"&lt;10",IF(E7623&lt;20,"10-&lt;20",IF(E7623&lt;25,"20-&lt;25",IF(E7623&lt;35,"25-&lt;35","35+")))))</x:f>
        <x:v>20-&lt;25</x:v>
      </x:c>
    </x:row>
    <x:row r="7624">
      <x:c r="A7624" t="str">
        <x:v>SYN0007623</x:v>
      </x:c>
      <x:c r="B7624" s="12" t="n">
        <x:v>42865</x:v>
      </x:c>
      <x:c r="C7624" s="18" t="n">
        <x:v>16088</x:v>
      </x:c>
      <x:c r="D7624" s="18" t="n">
        <x:v>29211</x:v>
      </x:c>
      <x:c r="E7624" s="18" t="n">
        <x:v>18.73</x:v>
      </x:c>
      <x:c r="F7624" s="18" t="n">
        <x:v>9.62</x:v>
      </x:c>
      <x:c r="G7624" t="n">
        <x:v>36</x:v>
      </x:c>
      <x:c r="H7624" t="str">
        <x:v>A</x:v>
      </x:c>
      <x:c r="I7624" t="str">
        <x:v>4-6 years</x:v>
      </x:c>
      <x:c r="J7624" t="str">
        <x:v>RENT</x:v>
      </x:c>
      <x:c r="K7624" t="str">
        <x:v>medical</x:v>
      </x:c>
      <x:c r="L7624" t="n">
        <x:v>0</x:v>
      </x:c>
      <x:c r="M7624" t="n">
        <x:v>0</x:v>
      </x:c>
      <x:c r="N7624" t="str">
        <x:v>Fully Paid</x:v>
      </x:c>
      <x:c r="O7624" t="str">
        <x:f>IF(D7624="","Unknown",IF(D7624&lt;25000,"&lt;$25k",IF(D7624&lt;50000,"$25k-$50k",IF(D7624&lt;75000,"$50k-$75k",IF(D7624&lt;100000,"$75k-$100k","$100k+")))))</x:f>
        <x:v>$25k-$50k</x:v>
      </x:c>
      <x:c r="P7624" t="str">
        <x:f>IF(E7624="","Unknown",IF(E7624&lt;10,"&lt;10",IF(E7624&lt;20,"10-&lt;20",IF(E7624&lt;25,"20-&lt;25",IF(E7624&lt;35,"25-&lt;35","35+")))))</x:f>
        <x:v>10-&lt;20</x:v>
      </x:c>
    </x:row>
    <x:row r="7625">
      <x:c r="A7625" t="str">
        <x:v>SYN0007624</x:v>
      </x:c>
      <x:c r="B7625" s="12" t="n">
        <x:v>41965</x:v>
      </x:c>
      <x:c r="C7625" s="18" t="n">
        <x:v>8334</x:v>
      </x:c>
      <x:c r="D7625" s="18" t="n">
        <x:v>78478</x:v>
      </x:c>
      <x:c r="E7625" s="18" t="n">
        <x:v>3.71</x:v>
      </x:c>
      <x:c r="F7625" s="18" t="n">
        <x:v>10.5</x:v>
      </x:c>
      <x:c r="G7625" t="n">
        <x:v>36</x:v>
      </x:c>
      <x:c r="H7625" t="str">
        <x:v>B</x:v>
      </x:c>
      <x:c r="I7625" t="str">
        <x:v>7-9 years</x:v>
      </x:c>
      <x:c r="J7625" t="str">
        <x:v>MORTGAGE</x:v>
      </x:c>
      <x:c r="K7625" t="str">
        <x:v>credit_card</x:v>
      </x:c>
      <x:c r="L7625" t="n">
        <x:v>0</x:v>
      </x:c>
      <x:c r="M7625" t="n">
        <x:v>0</x:v>
      </x:c>
      <x:c r="N7625" t="str">
        <x:v>Fully Paid</x:v>
      </x:c>
      <x:c r="O7625" t="str">
        <x:f>IF(D7625="","Unknown",IF(D7625&lt;25000,"&lt;$25k",IF(D7625&lt;50000,"$25k-$50k",IF(D7625&lt;75000,"$50k-$75k",IF(D7625&lt;100000,"$75k-$100k","$100k+")))))</x:f>
        <x:v>$75k-$100k</x:v>
      </x:c>
      <x:c r="P7625" t="str">
        <x:f>IF(E7625="","Unknown",IF(E7625&lt;10,"&lt;10",IF(E7625&lt;20,"10-&lt;20",IF(E7625&lt;25,"20-&lt;25",IF(E7625&lt;35,"25-&lt;35","35+")))))</x:f>
        <x:v>&lt;10</x:v>
      </x:c>
    </x:row>
    <x:row r="7626">
      <x:c r="A7626" t="str">
        <x:v>SYN0007625</x:v>
      </x:c>
      <x:c r="B7626" s="12" t="n">
        <x:v>41485</x:v>
      </x:c>
      <x:c r="C7626" s="18" t="n">
        <x:v>20018</x:v>
      </x:c>
      <x:c r="D7626" s="18" t="n">
        <x:v>38636</x:v>
      </x:c>
      <x:c r="E7626" s="18" t="n">
        <x:v>28.36</x:v>
      </x:c>
      <x:c r="F7626" s="18" t="n">
        <x:v>13.37</x:v>
      </x:c>
      <x:c r="G7626" t="n">
        <x:v>36</x:v>
      </x:c>
      <x:c r="H7626" t="str">
        <x:v>D</x:v>
      </x:c>
      <x:c r="I7626" t="str">
        <x:v>7-9 years</x:v>
      </x:c>
      <x:c r="J7626" t="str">
        <x:v>MORTGAGE</x:v>
      </x:c>
      <x:c r="K7626" t="str">
        <x:v>home_improvement</x:v>
      </x:c>
      <x:c r="L7626" t="n">
        <x:v>1</x:v>
      </x:c>
      <x:c r="M7626" t="n">
        <x:v>0</x:v>
      </x:c>
      <x:c r="N7626" t="str">
        <x:v>Fully Paid</x:v>
      </x:c>
      <x:c r="O7626" t="str">
        <x:f>IF(D7626="","Unknown",IF(D7626&lt;25000,"&lt;$25k",IF(D7626&lt;50000,"$25k-$50k",IF(D7626&lt;75000,"$50k-$75k",IF(D7626&lt;100000,"$75k-$100k","$100k+")))))</x:f>
        <x:v>$25k-$50k</x:v>
      </x:c>
      <x:c r="P7626" t="str">
        <x:f>IF(E7626="","Unknown",IF(E7626&lt;10,"&lt;10",IF(E7626&lt;20,"10-&lt;20",IF(E7626&lt;25,"20-&lt;25",IF(E7626&lt;35,"25-&lt;35","35+")))))</x:f>
        <x:v>25-&lt;35</x:v>
      </x:c>
    </x:row>
    <x:row r="7627">
      <x:c r="A7627" t="str">
        <x:v>SYN0007626</x:v>
      </x:c>
      <x:c r="B7627" s="12" t="n">
        <x:v>42535</x:v>
      </x:c>
      <x:c r="C7627" s="18" t="n">
        <x:v>9567</x:v>
      </x:c>
      <x:c r="D7627" s="18" t="n">
        <x:v>85494</x:v>
      </x:c>
      <x:c r="E7627" s="18" t="n">
        <x:v>19.89</x:v>
      </x:c>
      <x:c r="F7627" s="18" t="n">
        <x:v>11.82</x:v>
      </x:c>
      <x:c r="G7627" t="n">
        <x:v>36</x:v>
      </x:c>
      <x:c r="H7627" t="str">
        <x:v>C</x:v>
      </x:c>
      <x:c r="I7627" t="str">
        <x:v>10+ years</x:v>
      </x:c>
      <x:c r="J7627" t="str">
        <x:v>MORTGAGE</x:v>
      </x:c>
      <x:c r="K7627" t="str">
        <x:v>major_purchase</x:v>
      </x:c>
      <x:c r="L7627" t="n">
        <x:v>0</x:v>
      </x:c>
      <x:c r="M7627" t="n">
        <x:v>1</x:v>
      </x:c>
      <x:c r="N7627" t="str">
        <x:v>Charged Off</x:v>
      </x:c>
      <x:c r="O7627" t="str">
        <x:f>IF(D7627="","Unknown",IF(D7627&lt;25000,"&lt;$25k",IF(D7627&lt;50000,"$25k-$50k",IF(D7627&lt;75000,"$50k-$75k",IF(D7627&lt;100000,"$75k-$100k","$100k+")))))</x:f>
        <x:v>$75k-$100k</x:v>
      </x:c>
      <x:c r="P7627" t="str">
        <x:f>IF(E7627="","Unknown",IF(E7627&lt;10,"&lt;10",IF(E7627&lt;20,"10-&lt;20",IF(E7627&lt;25,"20-&lt;25",IF(E7627&lt;35,"25-&lt;35","35+")))))</x:f>
        <x:v>10-&lt;20</x:v>
      </x:c>
    </x:row>
    <x:row r="7628">
      <x:c r="A7628" t="str">
        <x:v>SYN0007627</x:v>
      </x:c>
      <x:c r="B7628" s="12" t="n">
        <x:v>42505</x:v>
      </x:c>
      <x:c r="C7628" s="18" t="n">
        <x:v>13981</x:v>
      </x:c>
      <x:c r="D7628" s="18" t="n">
        <x:v>128088</x:v>
      </x:c>
      <x:c r="E7628" s="18" t="n">
        <x:v>19.29</x:v>
      </x:c>
      <x:c r="F7628" s="18" t="n">
        <x:v>12.62</x:v>
      </x:c>
      <x:c r="G7628" t="n">
        <x:v>36</x:v>
      </x:c>
      <x:c r="H7628" t="str">
        <x:v>C</x:v>
      </x:c>
      <x:c r="I7628" t="str">
        <x:v>7-9 years</x:v>
      </x:c>
      <x:c r="J7628" t="str">
        <x:v>MORTGAGE</x:v>
      </x:c>
      <x:c r="K7628" t="str">
        <x:v>debt_consolidation</x:v>
      </x:c>
      <x:c r="L7628" t="n">
        <x:v>0</x:v>
      </x:c>
      <x:c r="M7628" t="n">
        <x:v>0</x:v>
      </x:c>
      <x:c r="N7628" t="str">
        <x:v>Fully Paid</x:v>
      </x:c>
      <x:c r="O7628" t="str">
        <x:f>IF(D7628="","Unknown",IF(D7628&lt;25000,"&lt;$25k",IF(D7628&lt;50000,"$25k-$50k",IF(D7628&lt;75000,"$50k-$75k",IF(D7628&lt;100000,"$75k-$100k","$100k+")))))</x:f>
        <x:v>$100k+</x:v>
      </x:c>
      <x:c r="P7628" t="str">
        <x:f>IF(E7628="","Unknown",IF(E7628&lt;10,"&lt;10",IF(E7628&lt;20,"10-&lt;20",IF(E7628&lt;25,"20-&lt;25",IF(E7628&lt;35,"25-&lt;35","35+")))))</x:f>
        <x:v>10-&lt;20</x:v>
      </x:c>
    </x:row>
    <x:row r="7629">
      <x:c r="A7629" t="str">
        <x:v>SYN0007628</x:v>
      </x:c>
      <x:c r="B7629" s="12" t="n">
        <x:v>43075</x:v>
      </x:c>
      <x:c r="C7629" s="18" t="n">
        <x:v>10822</x:v>
      </x:c>
      <x:c r="D7629" s="18" t="n">
        <x:v>72600</x:v>
      </x:c>
      <x:c r="E7629" s="18" t="n">
        <x:v>1.06</x:v>
      </x:c>
      <x:c r="F7629" s="18" t="n">
        <x:v>11.27</x:v>
      </x:c>
      <x:c r="G7629" t="n">
        <x:v>36</x:v>
      </x:c>
      <x:c r="H7629" t="str">
        <x:v>C</x:v>
      </x:c>
      <x:c r="I7629" t="str">
        <x:v>4-6 years</x:v>
      </x:c>
      <x:c r="J7629" t="str">
        <x:v>RENT</x:v>
      </x:c>
      <x:c r="K7629" t="str">
        <x:v>debt_consolidation</x:v>
      </x:c>
      <x:c r="L7629" t="n">
        <x:v>2</x:v>
      </x:c>
      <x:c r="M7629" t="n">
        <x:v>0</x:v>
      </x:c>
      <x:c r="N7629" t="str">
        <x:v>Fully Paid</x:v>
      </x:c>
      <x:c r="O7629" t="str">
        <x:f>IF(D7629="","Unknown",IF(D7629&lt;25000,"&lt;$25k",IF(D7629&lt;50000,"$25k-$50k",IF(D7629&lt;75000,"$50k-$75k",IF(D7629&lt;100000,"$75k-$100k","$100k+")))))</x:f>
        <x:v>$50k-$75k</x:v>
      </x:c>
      <x:c r="P7629" t="str">
        <x:f>IF(E7629="","Unknown",IF(E7629&lt;10,"&lt;10",IF(E7629&lt;20,"10-&lt;20",IF(E7629&lt;25,"20-&lt;25",IF(E7629&lt;35,"25-&lt;35","35+")))))</x:f>
        <x:v>&lt;10</x:v>
      </x:c>
    </x:row>
    <x:row r="7630">
      <x:c r="A7630" t="str">
        <x:v>SYN0007629</x:v>
      </x:c>
      <x:c r="B7630" s="12" t="n">
        <x:v>41515</x:v>
      </x:c>
      <x:c r="C7630" s="18" t="n">
        <x:v>13834</x:v>
      </x:c>
      <x:c r="D7630" s="18" t="n">
        <x:v>56443</x:v>
      </x:c>
      <x:c r="E7630" s="18" t="n">
        <x:v>4.67</x:v>
      </x:c>
      <x:c r="F7630" s="18" t="n">
        <x:v>11.75</x:v>
      </x:c>
      <x:c r="G7630" t="n">
        <x:v>60</x:v>
      </x:c>
      <x:c r="H7630" t="str">
        <x:v>B</x:v>
      </x:c>
      <x:c r="I7630" t="str">
        <x:v>4-6 years</x:v>
      </x:c>
      <x:c r="J7630" t="str">
        <x:v>RENT</x:v>
      </x:c>
      <x:c r="K7630" t="str">
        <x:v>home_improvement</x:v>
      </x:c>
      <x:c r="L7630" t="n">
        <x:v>0</x:v>
      </x:c>
      <x:c r="M7630" t="n">
        <x:v>0</x:v>
      </x:c>
      <x:c r="N7630" t="str">
        <x:v>Fully Paid</x:v>
      </x:c>
      <x:c r="O7630" t="str">
        <x:f>IF(D7630="","Unknown",IF(D7630&lt;25000,"&lt;$25k",IF(D7630&lt;50000,"$25k-$50k",IF(D7630&lt;75000,"$50k-$75k",IF(D7630&lt;100000,"$75k-$100k","$100k+")))))</x:f>
        <x:v>$50k-$75k</x:v>
      </x:c>
      <x:c r="P7630" t="str">
        <x:f>IF(E7630="","Unknown",IF(E7630&lt;10,"&lt;10",IF(E7630&lt;20,"10-&lt;20",IF(E7630&lt;25,"20-&lt;25",IF(E7630&lt;35,"25-&lt;35","35+")))))</x:f>
        <x:v>&lt;10</x:v>
      </x:c>
    </x:row>
    <x:row r="7631">
      <x:c r="A7631" t="str">
        <x:v>SYN0007630</x:v>
      </x:c>
      <x:c r="B7631" s="12" t="n">
        <x:v>42955</x:v>
      </x:c>
      <x:c r="C7631" s="18" t="n">
        <x:v>9424</x:v>
      </x:c>
      <x:c r="D7631" s="18" t="n">
        <x:v>58463</x:v>
      </x:c>
      <x:c r="E7631" s="18" t="n">
        <x:v>39.94</x:v>
      </x:c>
      <x:c r="F7631" s="18" t="n">
        <x:v>23.46</x:v>
      </x:c>
      <x:c r="G7631" t="n">
        <x:v>36</x:v>
      </x:c>
      <x:c r="H7631" t="str">
        <x:v>E</x:v>
      </x:c>
      <x:c r="I7631" t="str">
        <x:v>1-3 years</x:v>
      </x:c>
      <x:c r="J7631" t="str">
        <x:v>MORTGAGE</x:v>
      </x:c>
      <x:c r="K7631" t="str">
        <x:v>debt_consolidation</x:v>
      </x:c>
      <x:c r="L7631" t="n">
        <x:v>1</x:v>
      </x:c>
      <x:c r="M7631" t="n">
        <x:v>1</x:v>
      </x:c>
      <x:c r="N7631" t="str">
        <x:v>Charged Off</x:v>
      </x:c>
      <x:c r="O7631" t="str">
        <x:f>IF(D7631="","Unknown",IF(D7631&lt;25000,"&lt;$25k",IF(D7631&lt;50000,"$25k-$50k",IF(D7631&lt;75000,"$50k-$75k",IF(D7631&lt;100000,"$75k-$100k","$100k+")))))</x:f>
        <x:v>$50k-$75k</x:v>
      </x:c>
      <x:c r="P7631" t="str">
        <x:f>IF(E7631="","Unknown",IF(E7631&lt;10,"&lt;10",IF(E7631&lt;20,"10-&lt;20",IF(E7631&lt;25,"20-&lt;25",IF(E7631&lt;35,"25-&lt;35","35+")))))</x:f>
        <x:v>35+</x:v>
      </x:c>
    </x:row>
    <x:row r="7632">
      <x:c r="A7632" t="str">
        <x:v>SYN0007631</x:v>
      </x:c>
      <x:c r="B7632" s="12" t="n">
        <x:v>42175</x:v>
      </x:c>
      <x:c r="C7632" s="18" t="n">
        <x:v>16501</x:v>
      </x:c>
      <x:c r="D7632" s="18" t="n">
        <x:v>102207</x:v>
      </x:c>
      <x:c r="E7632" s="18" t="n">
        <x:v>29.01</x:v>
      </x:c>
      <x:c r="F7632" s="18" t="n">
        <x:v>11.26</x:v>
      </x:c>
      <x:c r="G7632" t="n">
        <x:v>36</x:v>
      </x:c>
      <x:c r="H7632" t="str">
        <x:v>B</x:v>
      </x:c>
      <x:c r="I7632" t="str">
        <x:v>10+ years</x:v>
      </x:c>
      <x:c r="J7632" t="str">
        <x:v>RENT</x:v>
      </x:c>
      <x:c r="K7632" t="str">
        <x:v>home_improvement</x:v>
      </x:c>
      <x:c r="L7632" t="n">
        <x:v>2</x:v>
      </x:c>
      <x:c r="M7632" t="n">
        <x:v>0</x:v>
      </x:c>
      <x:c r="N7632" t="str">
        <x:v>Fully Paid</x:v>
      </x:c>
      <x:c r="O7632" t="str">
        <x:f>IF(D7632="","Unknown",IF(D7632&lt;25000,"&lt;$25k",IF(D7632&lt;50000,"$25k-$50k",IF(D7632&lt;75000,"$50k-$75k",IF(D7632&lt;100000,"$75k-$100k","$100k+")))))</x:f>
        <x:v>$100k+</x:v>
      </x:c>
      <x:c r="P7632" t="str">
        <x:f>IF(E7632="","Unknown",IF(E7632&lt;10,"&lt;10",IF(E7632&lt;20,"10-&lt;20",IF(E7632&lt;25,"20-&lt;25",IF(E7632&lt;35,"25-&lt;35","35+")))))</x:f>
        <x:v>25-&lt;35</x:v>
      </x:c>
    </x:row>
    <x:row r="7633">
      <x:c r="A7633" t="str">
        <x:v>SYN0007632</x:v>
      </x:c>
      <x:c r="B7633" s="12" t="n">
        <x:v>41485</x:v>
      </x:c>
      <x:c r="C7633" s="18" t="n">
        <x:v>9869</x:v>
      </x:c>
      <x:c r="D7633" s="18" t="n">
        <x:v>32287</x:v>
      </x:c>
      <x:c r="E7633" s="18" t="n">
        <x:v>26.02</x:v>
      </x:c>
      <x:c r="F7633" s="18" t="n">
        <x:v>12.56</x:v>
      </x:c>
      <x:c r="G7633" t="n">
        <x:v>36</x:v>
      </x:c>
      <x:c r="H7633" t="str">
        <x:v>B</x:v>
      </x:c>
      <x:c r="I7633" t="str">
        <x:v>10+ years</x:v>
      </x:c>
      <x:c r="J7633" t="str">
        <x:v>RENT</x:v>
      </x:c>
      <x:c r="K7633" t="str">
        <x:v>major_purchase</x:v>
      </x:c>
      <x:c r="L7633" t="n">
        <x:v>1</x:v>
      </x:c>
      <x:c r="M7633" t="n">
        <x:v>0</x:v>
      </x:c>
      <x:c r="N7633" t="str">
        <x:v>Fully Paid</x:v>
      </x:c>
      <x:c r="O7633" t="str">
        <x:f>IF(D7633="","Unknown",IF(D7633&lt;25000,"&lt;$25k",IF(D7633&lt;50000,"$25k-$50k",IF(D7633&lt;75000,"$50k-$75k",IF(D7633&lt;100000,"$75k-$100k","$100k+")))))</x:f>
        <x:v>$25k-$50k</x:v>
      </x:c>
      <x:c r="P7633" t="str">
        <x:f>IF(E7633="","Unknown",IF(E7633&lt;10,"&lt;10",IF(E7633&lt;20,"10-&lt;20",IF(E7633&lt;25,"20-&lt;25",IF(E7633&lt;35,"25-&lt;35","35+")))))</x:f>
        <x:v>25-&lt;35</x:v>
      </x:c>
    </x:row>
    <x:row r="7634">
      <x:c r="A7634" t="str">
        <x:v>SYN0007633</x:v>
      </x:c>
      <x:c r="B7634" s="12" t="n">
        <x:v>43015</x:v>
      </x:c>
      <x:c r="C7634" s="18" t="n">
        <x:v>15127</x:v>
      </x:c>
      <x:c r="D7634" s="18" t="n">
        <x:v>38590</x:v>
      </x:c>
      <x:c r="E7634" s="18" t="n">
        <x:v>13.93</x:v>
      </x:c>
      <x:c r="F7634" s="18" t="n">
        <x:v>6.05</x:v>
      </x:c>
      <x:c r="G7634" t="n">
        <x:v>36</x:v>
      </x:c>
      <x:c r="H7634" t="str">
        <x:v>A</x:v>
      </x:c>
      <x:c r="I7634" t="str">
        <x:v>4-6 years</x:v>
      </x:c>
      <x:c r="J7634" t="str">
        <x:v>RENT</x:v>
      </x:c>
      <x:c r="K7634" t="str">
        <x:v>credit_card</x:v>
      </x:c>
      <x:c r="L7634" t="n">
        <x:v>0</x:v>
      </x:c>
      <x:c r="M7634" t="n">
        <x:v>0</x:v>
      </x:c>
      <x:c r="N7634" t="str">
        <x:v>Fully Paid</x:v>
      </x:c>
      <x:c r="O7634" t="str">
        <x:f>IF(D7634="","Unknown",IF(D7634&lt;25000,"&lt;$25k",IF(D7634&lt;50000,"$25k-$50k",IF(D7634&lt;75000,"$50k-$75k",IF(D7634&lt;100000,"$75k-$100k","$100k+")))))</x:f>
        <x:v>$25k-$50k</x:v>
      </x:c>
      <x:c r="P7634" t="str">
        <x:f>IF(E7634="","Unknown",IF(E7634&lt;10,"&lt;10",IF(E7634&lt;20,"10-&lt;20",IF(E7634&lt;25,"20-&lt;25",IF(E7634&lt;35,"25-&lt;35","35+")))))</x:f>
        <x:v>10-&lt;20</x:v>
      </x:c>
    </x:row>
    <x:row r="7635">
      <x:c r="A7635" t="str">
        <x:v>SYN0007634</x:v>
      </x:c>
      <x:c r="B7635" s="12" t="n">
        <x:v>41335</x:v>
      </x:c>
      <x:c r="C7635" s="18" t="n">
        <x:v>14347</x:v>
      </x:c>
      <x:c r="D7635" s="18" t="n">
        <x:v>30564</x:v>
      </x:c>
      <x:c r="E7635" s="18" t="n">
        <x:v>24.78</x:v>
      </x:c>
      <x:c r="F7635" s="18" t="n">
        <x:v>16.86</x:v>
      </x:c>
      <x:c r="G7635" t="n">
        <x:v>36</x:v>
      </x:c>
      <x:c r="H7635" t="str">
        <x:v>E</x:v>
      </x:c>
      <x:c r="I7635" t="str">
        <x:v>4-6 years</x:v>
      </x:c>
      <x:c r="J7635" t="str">
        <x:v>RENT</x:v>
      </x:c>
      <x:c r="K7635" t="str">
        <x:v>debt_consolidation</x:v>
      </x:c>
      <x:c r="L7635" t="n">
        <x:v>0</x:v>
      </x:c>
      <x:c r="M7635" t="n">
        <x:v>0</x:v>
      </x:c>
      <x:c r="N7635" t="str">
        <x:v>Fully Paid</x:v>
      </x:c>
      <x:c r="O7635" t="str">
        <x:f>IF(D7635="","Unknown",IF(D7635&lt;25000,"&lt;$25k",IF(D7635&lt;50000,"$25k-$50k",IF(D7635&lt;75000,"$50k-$75k",IF(D7635&lt;100000,"$75k-$100k","$100k+")))))</x:f>
        <x:v>$25k-$50k</x:v>
      </x:c>
      <x:c r="P7635" t="str">
        <x:f>IF(E7635="","Unknown",IF(E7635&lt;10,"&lt;10",IF(E7635&lt;20,"10-&lt;20",IF(E7635&lt;25,"20-&lt;25",IF(E7635&lt;35,"25-&lt;35","35+")))))</x:f>
        <x:v>20-&lt;25</x:v>
      </x:c>
    </x:row>
    <x:row r="7636">
      <x:c r="A7636" t="str">
        <x:v>SYN0007635</x:v>
      </x:c>
      <x:c r="B7636" s="12" t="n">
        <x:v>41335</x:v>
      </x:c>
      <x:c r="C7636" s="18" t="n">
        <x:v>21838</x:v>
      </x:c>
      <x:c r="D7636" s="18" t="n">
        <x:v>94763</x:v>
      </x:c>
      <x:c r="E7636" s="18" t="n">
        <x:v>9.12</x:v>
      </x:c>
      <x:c r="F7636" s="18" t="n">
        <x:v>6.83</x:v>
      </x:c>
      <x:c r="G7636" t="n">
        <x:v>36</x:v>
      </x:c>
      <x:c r="H7636" t="str">
        <x:v>B</x:v>
      </x:c>
      <x:c r="I7636" t="str">
        <x:v>&lt;1 year</x:v>
      </x:c>
      <x:c r="J7636" t="str">
        <x:v>MORTGAGE</x:v>
      </x:c>
      <x:c r="K7636" t="str">
        <x:v>debt_consolidation</x:v>
      </x:c>
      <x:c r="L7636" t="n">
        <x:v>0</x:v>
      </x:c>
      <x:c r="M7636" t="n">
        <x:v>0</x:v>
      </x:c>
      <x:c r="N7636" t="str">
        <x:v>Fully Paid</x:v>
      </x:c>
      <x:c r="O7636" t="str">
        <x:f>IF(D7636="","Unknown",IF(D7636&lt;25000,"&lt;$25k",IF(D7636&lt;50000,"$25k-$50k",IF(D7636&lt;75000,"$50k-$75k",IF(D7636&lt;100000,"$75k-$100k","$100k+")))))</x:f>
        <x:v>$75k-$100k</x:v>
      </x:c>
      <x:c r="P7636" t="str">
        <x:f>IF(E7636="","Unknown",IF(E7636&lt;10,"&lt;10",IF(E7636&lt;20,"10-&lt;20",IF(E7636&lt;25,"20-&lt;25",IF(E7636&lt;35,"25-&lt;35","35+")))))</x:f>
        <x:v>&lt;10</x:v>
      </x:c>
    </x:row>
    <x:row r="7637">
      <x:c r="A7637" t="str">
        <x:v>SYN0007636</x:v>
      </x:c>
      <x:c r="B7637" s="12" t="n">
        <x:v>42565</x:v>
      </x:c>
      <x:c r="C7637" s="18" t="n">
        <x:v>8104</x:v>
      </x:c>
      <x:c r="D7637" s="18" t="n">
        <x:v>53526</x:v>
      </x:c>
      <x:c r="E7637" s="18" t="n">
        <x:v>24.53</x:v>
      </x:c>
      <x:c r="F7637" s="18" t="n">
        <x:v>7.23</x:v>
      </x:c>
      <x:c r="G7637" t="n">
        <x:v>36</x:v>
      </x:c>
      <x:c r="H7637" t="str">
        <x:v>A</x:v>
      </x:c>
      <x:c r="I7637" t="str">
        <x:v>10+ years</x:v>
      </x:c>
      <x:c r="J7637" t="str">
        <x:v>RENT</x:v>
      </x:c>
      <x:c r="K7637" t="str">
        <x:v>debt_consolidation</x:v>
      </x:c>
      <x:c r="L7637" t="n">
        <x:v>0</x:v>
      </x:c>
      <x:c r="M7637" t="n">
        <x:v>0</x:v>
      </x:c>
      <x:c r="N7637" t="str">
        <x:v>Fully Paid</x:v>
      </x:c>
      <x:c r="O7637" t="str">
        <x:f>IF(D7637="","Unknown",IF(D7637&lt;25000,"&lt;$25k",IF(D7637&lt;50000,"$25k-$50k",IF(D7637&lt;75000,"$50k-$75k",IF(D7637&lt;100000,"$75k-$100k","$100k+")))))</x:f>
        <x:v>$50k-$75k</x:v>
      </x:c>
      <x:c r="P7637" t="str">
        <x:f>IF(E7637="","Unknown",IF(E7637&lt;10,"&lt;10",IF(E7637&lt;20,"10-&lt;20",IF(E7637&lt;25,"20-&lt;25",IF(E7637&lt;35,"25-&lt;35","35+")))))</x:f>
        <x:v>20-&lt;25</x:v>
      </x:c>
    </x:row>
    <x:row r="7638">
      <x:c r="A7638" t="str">
        <x:v>SYN0007637</x:v>
      </x:c>
      <x:c r="B7638" s="12" t="n">
        <x:v>41575</x:v>
      </x:c>
      <x:c r="C7638" s="18" t="n">
        <x:v>10406</x:v>
      </x:c>
      <x:c r="D7638" s="18" t="n">
        <x:v>118012</x:v>
      </x:c>
      <x:c r="E7638" s="18" t="n">
        <x:v>23.49</x:v>
      </x:c>
      <x:c r="F7638" s="18" t="n">
        <x:v>8.42</x:v>
      </x:c>
      <x:c r="G7638" t="n">
        <x:v>36</x:v>
      </x:c>
      <x:c r="H7638" t="str">
        <x:v>C</x:v>
      </x:c>
      <x:c r="I7638" t="str">
        <x:v>10+ years</x:v>
      </x:c>
      <x:c r="J7638" t="str">
        <x:v>MORTGAGE</x:v>
      </x:c>
      <x:c r="K7638" t="str">
        <x:v>credit_card</x:v>
      </x:c>
      <x:c r="L7638" t="n">
        <x:v>1</x:v>
      </x:c>
      <x:c r="M7638" t="n">
        <x:v>0</x:v>
      </x:c>
      <x:c r="N7638" t="str">
        <x:v>Fully Paid</x:v>
      </x:c>
      <x:c r="O7638" t="str">
        <x:f>IF(D7638="","Unknown",IF(D7638&lt;25000,"&lt;$25k",IF(D7638&lt;50000,"$25k-$50k",IF(D7638&lt;75000,"$50k-$75k",IF(D7638&lt;100000,"$75k-$100k","$100k+")))))</x:f>
        <x:v>$100k+</x:v>
      </x:c>
      <x:c r="P7638" t="str">
        <x:f>IF(E7638="","Unknown",IF(E7638&lt;10,"&lt;10",IF(E7638&lt;20,"10-&lt;20",IF(E7638&lt;25,"20-&lt;25",IF(E7638&lt;35,"25-&lt;35","35+")))))</x:f>
        <x:v>20-&lt;25</x:v>
      </x:c>
    </x:row>
    <x:row r="7639">
      <x:c r="A7639" t="str">
        <x:v>SYN0007638</x:v>
      </x:c>
      <x:c r="B7639" s="12" t="n">
        <x:v>41905</x:v>
      </x:c>
      <x:c r="C7639" s="18" t="n">
        <x:v>24702</x:v>
      </x:c>
      <x:c r="D7639" s="18" t="n">
        <x:v>65363</x:v>
      </x:c>
      <x:c r="E7639" s="18" t="n">
        <x:v>14.49</x:v>
      </x:c>
      <x:c r="F7639" s="18" t="n">
        <x:v>9.67</x:v>
      </x:c>
      <x:c r="G7639" t="n">
        <x:v>36</x:v>
      </x:c>
      <x:c r="H7639" t="str">
        <x:v>B</x:v>
      </x:c>
      <x:c r="I7639" t="str">
        <x:v>4-6 years</x:v>
      </x:c>
      <x:c r="J7639" t="str">
        <x:v>MORTGAGE</x:v>
      </x:c>
      <x:c r="K7639" t="str">
        <x:v>credit_card</x:v>
      </x:c>
      <x:c r="L7639" t="n">
        <x:v>0</x:v>
      </x:c>
      <x:c r="M7639" t="n">
        <x:v>0</x:v>
      </x:c>
      <x:c r="N7639" t="str">
        <x:v>Fully Paid</x:v>
      </x:c>
      <x:c r="O7639" t="str">
        <x:f>IF(D7639="","Unknown",IF(D7639&lt;25000,"&lt;$25k",IF(D7639&lt;50000,"$25k-$50k",IF(D7639&lt;75000,"$50k-$75k",IF(D7639&lt;100000,"$75k-$100k","$100k+")))))</x:f>
        <x:v>$50k-$75k</x:v>
      </x:c>
      <x:c r="P7639" t="str">
        <x:f>IF(E7639="","Unknown",IF(E7639&lt;10,"&lt;10",IF(E7639&lt;20,"10-&lt;20",IF(E7639&lt;25,"20-&lt;25",IF(E7639&lt;35,"25-&lt;35","35+")))))</x:f>
        <x:v>10-&lt;20</x:v>
      </x:c>
    </x:row>
    <x:row r="7640">
      <x:c r="A7640" t="str">
        <x:v>SYN0007639</x:v>
      </x:c>
      <x:c r="B7640" s="12" t="n">
        <x:v>41305</x:v>
      </x:c>
      <x:c r="C7640" s="18" t="n">
        <x:v>15364</x:v>
      </x:c>
      <x:c r="D7640" s="18" t="n">
        <x:v>113276</x:v>
      </x:c>
      <x:c r="E7640" s="18" t="n">
        <x:v>7.92</x:v>
      </x:c>
      <x:c r="F7640" s="18" t="n">
        <x:v>7.84</x:v>
      </x:c>
      <x:c r="G7640" t="n">
        <x:v>36</x:v>
      </x:c>
      <x:c r="H7640" t="str">
        <x:v>B</x:v>
      </x:c>
      <x:c r="I7640" t="str">
        <x:v>10+ years</x:v>
      </x:c>
      <x:c r="J7640" t="str">
        <x:v>MORTGAGE</x:v>
      </x:c>
      <x:c r="K7640" t="str">
        <x:v>debt_consolidation</x:v>
      </x:c>
      <x:c r="L7640" t="n">
        <x:v>0</x:v>
      </x:c>
      <x:c r="M7640" t="n">
        <x:v>0</x:v>
      </x:c>
      <x:c r="N7640" t="str">
        <x:v>Fully Paid</x:v>
      </x:c>
      <x:c r="O7640" t="str">
        <x:f>IF(D7640="","Unknown",IF(D7640&lt;25000,"&lt;$25k",IF(D7640&lt;50000,"$25k-$50k",IF(D7640&lt;75000,"$50k-$75k",IF(D7640&lt;100000,"$75k-$100k","$100k+")))))</x:f>
        <x:v>$100k+</x:v>
      </x:c>
      <x:c r="P7640" t="str">
        <x:f>IF(E7640="","Unknown",IF(E7640&lt;10,"&lt;10",IF(E7640&lt;20,"10-&lt;20",IF(E7640&lt;25,"20-&lt;25",IF(E7640&lt;35,"25-&lt;35","35+")))))</x:f>
        <x:v>&lt;10</x:v>
      </x:c>
    </x:row>
    <x:row r="7641">
      <x:c r="A7641" t="str">
        <x:v>SYN0007640</x:v>
      </x:c>
      <x:c r="B7641" s="12" t="n">
        <x:v>41455</x:v>
      </x:c>
      <x:c r="C7641" s="18" t="n">
        <x:v>23311</x:v>
      </x:c>
      <x:c r="D7641" s="18" t="n">
        <x:v>80874</x:v>
      </x:c>
      <x:c r="E7641" s="18" t="n">
        <x:v>40.53</x:v>
      </x:c>
      <x:c r="F7641" s="18" t="n">
        <x:v>22.97</x:v>
      </x:c>
      <x:c r="G7641" t="n">
        <x:v>36</x:v>
      </x:c>
      <x:c r="H7641" t="str">
        <x:v>F</x:v>
      </x:c>
      <x:c r="I7641" t="str">
        <x:v>7-9 years</x:v>
      </x:c>
      <x:c r="J7641" t="str">
        <x:v>MORTGAGE</x:v>
      </x:c>
      <x:c r="K7641" t="str">
        <x:v>debt_consolidation</x:v>
      </x:c>
      <x:c r="L7641" t="n">
        <x:v>1</x:v>
      </x:c>
      <x:c r="M7641" t="n">
        <x:v>0</x:v>
      </x:c>
      <x:c r="N7641" t="str">
        <x:v>Fully Paid</x:v>
      </x:c>
      <x:c r="O7641" t="str">
        <x:f>IF(D7641="","Unknown",IF(D7641&lt;25000,"&lt;$25k",IF(D7641&lt;50000,"$25k-$50k",IF(D7641&lt;75000,"$50k-$75k",IF(D7641&lt;100000,"$75k-$100k","$100k+")))))</x:f>
        <x:v>$75k-$100k</x:v>
      </x:c>
      <x:c r="P7641" t="str">
        <x:f>IF(E7641="","Unknown",IF(E7641&lt;10,"&lt;10",IF(E7641&lt;20,"10-&lt;20",IF(E7641&lt;25,"20-&lt;25",IF(E7641&lt;35,"25-&lt;35","35+")))))</x:f>
        <x:v>35+</x:v>
      </x:c>
    </x:row>
    <x:row r="7642">
      <x:c r="A7642" t="str">
        <x:v>SYN0007641</x:v>
      </x:c>
      <x:c r="B7642" s="12" t="n">
        <x:v>41485</x:v>
      </x:c>
      <x:c r="C7642" s="18" t="n">
        <x:v>5500</x:v>
      </x:c>
      <x:c r="D7642" s="18" t="n">
        <x:v>17399</x:v>
      </x:c>
      <x:c r="E7642" s="18" t="n">
        <x:v>22.21</x:v>
      </x:c>
      <x:c r="F7642" s="18" t="n">
        <x:v>12.01</x:v>
      </x:c>
      <x:c r="G7642" t="n">
        <x:v>60</x:v>
      </x:c>
      <x:c r="H7642" t="str">
        <x:v>C</x:v>
      </x:c>
      <x:c r="I7642" t="str">
        <x:v>10+ years</x:v>
      </x:c>
      <x:c r="J7642" t="str">
        <x:v>RENT</x:v>
      </x:c>
      <x:c r="K7642" t="str">
        <x:v>debt_consolidation</x:v>
      </x:c>
      <x:c r="L7642" t="n">
        <x:v>0</x:v>
      </x:c>
      <x:c r="M7642" t="n">
        <x:v>0</x:v>
      </x:c>
      <x:c r="N7642" t="str">
        <x:v>Fully Paid</x:v>
      </x:c>
      <x:c r="O7642" t="str">
        <x:f>IF(D7642="","Unknown",IF(D7642&lt;25000,"&lt;$25k",IF(D7642&lt;50000,"$25k-$50k",IF(D7642&lt;75000,"$50k-$75k",IF(D7642&lt;100000,"$75k-$100k","$100k+")))))</x:f>
        <x:v>&lt;$25k</x:v>
      </x:c>
      <x:c r="P7642" t="str">
        <x:f>IF(E7642="","Unknown",IF(E7642&lt;10,"&lt;10",IF(E7642&lt;20,"10-&lt;20",IF(E7642&lt;25,"20-&lt;25",IF(E7642&lt;35,"25-&lt;35","35+")))))</x:f>
        <x:v>20-&lt;25</x:v>
      </x:c>
    </x:row>
    <x:row r="7643">
      <x:c r="A7643" t="str">
        <x:v>SYN0007642</x:v>
      </x:c>
      <x:c r="B7643" s="12" t="n">
        <x:v>43345</x:v>
      </x:c>
      <x:c r="C7643" s="18" t="n">
        <x:v>40000</x:v>
      </x:c>
      <x:c r="D7643" s="18" t="n">
        <x:v>14823</x:v>
      </x:c>
      <x:c r="E7643" s="18" t="n">
        <x:v>28.29</x:v>
      </x:c>
      <x:c r="F7643" s="18" t="n">
        <x:v>18.26</x:v>
      </x:c>
      <x:c r="G7643" t="n">
        <x:v>36</x:v>
      </x:c>
      <x:c r="H7643" t="str">
        <x:v>E</x:v>
      </x:c>
      <x:c r="I7643" t="str">
        <x:v>&lt;1 year</x:v>
      </x:c>
      <x:c r="J7643" t="str">
        <x:v>OWN</x:v>
      </x:c>
      <x:c r="K7643" t="str">
        <x:v>debt_consolidation</x:v>
      </x:c>
      <x:c r="L7643" t="n">
        <x:v>0</x:v>
      </x:c>
      <x:c r="M7643" t="n">
        <x:v>0</x:v>
      </x:c>
      <x:c r="N7643" t="str">
        <x:v>Fully Paid</x:v>
      </x:c>
      <x:c r="O7643" t="str">
        <x:f>IF(D7643="","Unknown",IF(D7643&lt;25000,"&lt;$25k",IF(D7643&lt;50000,"$25k-$50k",IF(D7643&lt;75000,"$50k-$75k",IF(D7643&lt;100000,"$75k-$100k","$100k+")))))</x:f>
        <x:v>&lt;$25k</x:v>
      </x:c>
      <x:c r="P7643" t="str">
        <x:f>IF(E7643="","Unknown",IF(E7643&lt;10,"&lt;10",IF(E7643&lt;20,"10-&lt;20",IF(E7643&lt;25,"20-&lt;25",IF(E7643&lt;35,"25-&lt;35","35+")))))</x:f>
        <x:v>25-&lt;35</x:v>
      </x:c>
    </x:row>
    <x:row r="7644">
      <x:c r="A7644" t="str">
        <x:v>SYN0007643</x:v>
      </x:c>
      <x:c r="B7644" s="12" t="n">
        <x:v>43375</x:v>
      </x:c>
      <x:c r="C7644" s="18" t="n">
        <x:v>6191</x:v>
      </x:c>
      <x:c r="D7644" s="18" t="n">
        <x:v>104035</x:v>
      </x:c>
      <x:c r="E7644" s="18" t="n">
        <x:v>23.94</x:v>
      </x:c>
      <x:c r="F7644" s="18" t="n">
        <x:v>27.03</x:v>
      </x:c>
      <x:c r="G7644" t="n">
        <x:v>36</x:v>
      </x:c>
      <x:c r="H7644" t="str">
        <x:v>G</x:v>
      </x:c>
      <x:c r="I7644" t="str">
        <x:v>7-9 years</x:v>
      </x:c>
      <x:c r="J7644" t="str">
        <x:v>RENT</x:v>
      </x:c>
      <x:c r="K7644" t="str">
        <x:v>home_improvement</x:v>
      </x:c>
      <x:c r="L7644" t="n">
        <x:v>3</x:v>
      </x:c>
      <x:c r="M7644" t="n">
        <x:v>0</x:v>
      </x:c>
      <x:c r="N7644" t="str">
        <x:v>Fully Paid</x:v>
      </x:c>
      <x:c r="O7644" t="str">
        <x:f>IF(D7644="","Unknown",IF(D7644&lt;25000,"&lt;$25k",IF(D7644&lt;50000,"$25k-$50k",IF(D7644&lt;75000,"$50k-$75k",IF(D7644&lt;100000,"$75k-$100k","$100k+")))))</x:f>
        <x:v>$100k+</x:v>
      </x:c>
      <x:c r="P7644" t="str">
        <x:f>IF(E7644="","Unknown",IF(E7644&lt;10,"&lt;10",IF(E7644&lt;20,"10-&lt;20",IF(E7644&lt;25,"20-&lt;25",IF(E7644&lt;35,"25-&lt;35","35+")))))</x:f>
        <x:v>20-&lt;25</x:v>
      </x:c>
    </x:row>
    <x:row r="7645">
      <x:c r="A7645" t="str">
        <x:v>SYN0007644</x:v>
      </x:c>
      <x:c r="B7645" s="12" t="n">
        <x:v>42055</x:v>
      </x:c>
      <x:c r="C7645" s="18" t="n">
        <x:v>16579</x:v>
      </x:c>
      <x:c r="D7645" s="18" t="n">
        <x:v>167419</x:v>
      </x:c>
      <x:c r="E7645" s="18" t="n">
        <x:v>1.24</x:v>
      </x:c>
      <x:c r="F7645" s="18" t="n">
        <x:v>15.28</x:v>
      </x:c>
      <x:c r="G7645" t="n">
        <x:v>36</x:v>
      </x:c>
      <x:c r="H7645" t="str">
        <x:v>D</x:v>
      </x:c>
      <x:c r="I7645" t="str">
        <x:v>1-3 years</x:v>
      </x:c>
      <x:c r="J7645" t="str">
        <x:v>MORTGAGE</x:v>
      </x:c>
      <x:c r="K7645" t="str">
        <x:v>medical</x:v>
      </x:c>
      <x:c r="L7645" t="n">
        <x:v>1</x:v>
      </x:c>
      <x:c r="M7645" t="n">
        <x:v>0</x:v>
      </x:c>
      <x:c r="N7645" t="str">
        <x:v>Fully Paid</x:v>
      </x:c>
      <x:c r="O7645" t="str">
        <x:f>IF(D7645="","Unknown",IF(D7645&lt;25000,"&lt;$25k",IF(D7645&lt;50000,"$25k-$50k",IF(D7645&lt;75000,"$50k-$75k",IF(D7645&lt;100000,"$75k-$100k","$100k+")))))</x:f>
        <x:v>$100k+</x:v>
      </x:c>
      <x:c r="P7645" t="str">
        <x:f>IF(E7645="","Unknown",IF(E7645&lt;10,"&lt;10",IF(E7645&lt;20,"10-&lt;20",IF(E7645&lt;25,"20-&lt;25",IF(E7645&lt;35,"25-&lt;35","35+")))))</x:f>
        <x:v>&lt;10</x:v>
      </x:c>
    </x:row>
    <x:row r="7646">
      <x:c r="A7646" t="str">
        <x:v>SYN0007645</x:v>
      </x:c>
      <x:c r="B7646" s="12" t="n">
        <x:v>43375</x:v>
      </x:c>
      <x:c r="C7646" s="18" t="n">
        <x:v>20577</x:v>
      </x:c>
      <x:c r="D7646" s="18" t="n">
        <x:v>17092</x:v>
      </x:c>
      <x:c r="E7646" s="18" t="n">
        <x:v>27.41</x:v>
      </x:c>
      <x:c r="F7646" s="18" t="n">
        <x:v>11.11</x:v>
      </x:c>
      <x:c r="G7646" t="n">
        <x:v>36</x:v>
      </x:c>
      <x:c r="H7646" t="str">
        <x:v>C</x:v>
      </x:c>
      <x:c r="I7646" t="str">
        <x:v>10+ years</x:v>
      </x:c>
      <x:c r="J7646" t="str">
        <x:v>RENT</x:v>
      </x:c>
      <x:c r="K7646" t="str">
        <x:v>debt_consolidation</x:v>
      </x:c>
      <x:c r="L7646" t="n">
        <x:v>1</x:v>
      </x:c>
      <x:c r="M7646" t="n">
        <x:v>0</x:v>
      </x:c>
      <x:c r="N7646" t="str">
        <x:v>Fully Paid</x:v>
      </x:c>
      <x:c r="O7646" t="str">
        <x:f>IF(D7646="","Unknown",IF(D7646&lt;25000,"&lt;$25k",IF(D7646&lt;50000,"$25k-$50k",IF(D7646&lt;75000,"$50k-$75k",IF(D7646&lt;100000,"$75k-$100k","$100k+")))))</x:f>
        <x:v>&lt;$25k</x:v>
      </x:c>
      <x:c r="P7646" t="str">
        <x:f>IF(E7646="","Unknown",IF(E7646&lt;10,"&lt;10",IF(E7646&lt;20,"10-&lt;20",IF(E7646&lt;25,"20-&lt;25",IF(E7646&lt;35,"25-&lt;35","35+")))))</x:f>
        <x:v>25-&lt;35</x:v>
      </x:c>
    </x:row>
    <x:row r="7647">
      <x:c r="A7647" t="str">
        <x:v>SYN0007646</x:v>
      </x:c>
      <x:c r="B7647" s="12" t="n">
        <x:v>42865</x:v>
      </x:c>
      <x:c r="C7647" s="18" t="n">
        <x:v>26584</x:v>
      </x:c>
      <x:c r="D7647" s="18" t="n">
        <x:v>34256</x:v>
      </x:c>
      <x:c r="E7647" s="18" t="n">
        <x:v>22.05</x:v>
      </x:c>
      <x:c r="F7647" s="18" t="n">
        <x:v>18.01</x:v>
      </x:c>
      <x:c r="G7647" t="n">
        <x:v>36</x:v>
      </x:c>
      <x:c r="H7647" t="str">
        <x:v>E</x:v>
      </x:c>
      <x:c r="I7647" t="str">
        <x:v>7-9 years</x:v>
      </x:c>
      <x:c r="J7647" t="str">
        <x:v>RENT</x:v>
      </x:c>
      <x:c r="K7647" t="str">
        <x:v>major_purchase</x:v>
      </x:c>
      <x:c r="L7647" t="n">
        <x:v>1</x:v>
      </x:c>
      <x:c r="M7647" t="n">
        <x:v>0</x:v>
      </x:c>
      <x:c r="N7647" t="str">
        <x:v>Fully Paid</x:v>
      </x:c>
      <x:c r="O7647" t="str">
        <x:f>IF(D7647="","Unknown",IF(D7647&lt;25000,"&lt;$25k",IF(D7647&lt;50000,"$25k-$50k",IF(D7647&lt;75000,"$50k-$75k",IF(D7647&lt;100000,"$75k-$100k","$100k+")))))</x:f>
        <x:v>$25k-$50k</x:v>
      </x:c>
      <x:c r="P7647" t="str">
        <x:f>IF(E7647="","Unknown",IF(E7647&lt;10,"&lt;10",IF(E7647&lt;20,"10-&lt;20",IF(E7647&lt;25,"20-&lt;25",IF(E7647&lt;35,"25-&lt;35","35+")))))</x:f>
        <x:v>20-&lt;25</x:v>
      </x:c>
    </x:row>
    <x:row r="7648">
      <x:c r="A7648" t="str">
        <x:v>SYN0007647</x:v>
      </x:c>
      <x:c r="B7648" s="12" t="n">
        <x:v>41365</x:v>
      </x:c>
      <x:c r="C7648" s="18" t="n">
        <x:v>12632</x:v>
      </x:c>
      <x:c r="D7648" s="18" t="n">
        <x:v>26570</x:v>
      </x:c>
      <x:c r="E7648" s="18" t="n">
        <x:v>10.84</x:v>
      </x:c>
      <x:c r="F7648" s="18" t="n">
        <x:v>15.45</x:v>
      </x:c>
      <x:c r="G7648" t="n">
        <x:v>36</x:v>
      </x:c>
      <x:c r="H7648" t="str">
        <x:v>E</x:v>
      </x:c>
      <x:c r="I7648" t="str">
        <x:v>1-3 years</x:v>
      </x:c>
      <x:c r="J7648" t="str">
        <x:v>RENT</x:v>
      </x:c>
      <x:c r="K7648" t="str">
        <x:v>medical</x:v>
      </x:c>
      <x:c r="L7648" t="n">
        <x:v>1</x:v>
      </x:c>
      <x:c r="M7648" t="n">
        <x:v>0</x:v>
      </x:c>
      <x:c r="N7648" t="str">
        <x:v>Fully Paid</x:v>
      </x:c>
      <x:c r="O7648" t="str">
        <x:f>IF(D7648="","Unknown",IF(D7648&lt;25000,"&lt;$25k",IF(D7648&lt;50000,"$25k-$50k",IF(D7648&lt;75000,"$50k-$75k",IF(D7648&lt;100000,"$75k-$100k","$100k+")))))</x:f>
        <x:v>$25k-$50k</x:v>
      </x:c>
      <x:c r="P7648" t="str">
        <x:f>IF(E7648="","Unknown",IF(E7648&lt;10,"&lt;10",IF(E7648&lt;20,"10-&lt;20",IF(E7648&lt;25,"20-&lt;25",IF(E7648&lt;35,"25-&lt;35","35+")))))</x:f>
        <x:v>10-&lt;20</x:v>
      </x:c>
    </x:row>
    <x:row r="7649">
      <x:c r="A7649" t="str">
        <x:v>SYN0007648</x:v>
      </x:c>
      <x:c r="B7649" s="12" t="n">
        <x:v>42445</x:v>
      </x:c>
      <x:c r="C7649" s="18" t="n">
        <x:v>17563</x:v>
      </x:c>
      <x:c r="D7649" s="18" t="n">
        <x:v>45663</x:v>
      </x:c>
      <x:c r="E7649" s="18" t="n">
        <x:v>32.41</x:v>
      </x:c>
      <x:c r="F7649" s="18" t="n">
        <x:v>16.08</x:v>
      </x:c>
      <x:c r="G7649" t="n">
        <x:v>36</x:v>
      </x:c>
      <x:c r="H7649" t="str">
        <x:v>E</x:v>
      </x:c>
      <x:c r="I7649" t="str">
        <x:v>1-3 years</x:v>
      </x:c>
      <x:c r="J7649" t="str">
        <x:v>MORTGAGE</x:v>
      </x:c>
      <x:c r="K7649" t="str">
        <x:v>credit_card</x:v>
      </x:c>
      <x:c r="L7649" t="n">
        <x:v>1</x:v>
      </x:c>
      <x:c r="M7649" t="n">
        <x:v>0</x:v>
      </x:c>
      <x:c r="N7649" t="str">
        <x:v>Fully Paid</x:v>
      </x:c>
      <x:c r="O7649" t="str">
        <x:f>IF(D7649="","Unknown",IF(D7649&lt;25000,"&lt;$25k",IF(D7649&lt;50000,"$25k-$50k",IF(D7649&lt;75000,"$50k-$75k",IF(D7649&lt;100000,"$75k-$100k","$100k+")))))</x:f>
        <x:v>$25k-$50k</x:v>
      </x:c>
      <x:c r="P7649" t="str">
        <x:f>IF(E7649="","Unknown",IF(E7649&lt;10,"&lt;10",IF(E7649&lt;20,"10-&lt;20",IF(E7649&lt;25,"20-&lt;25",IF(E7649&lt;35,"25-&lt;35","35+")))))</x:f>
        <x:v>25-&lt;35</x:v>
      </x:c>
    </x:row>
    <x:row r="7650">
      <x:c r="A7650" t="str">
        <x:v>SYN0007649</x:v>
      </x:c>
      <x:c r="B7650" s="12" t="n">
        <x:v>41665</x:v>
      </x:c>
      <x:c r="C7650" s="18" t="n">
        <x:v>11971</x:v>
      </x:c>
      <x:c r="D7650" s="18" t="n">
        <x:v>37277</x:v>
      </x:c>
      <x:c r="E7650" s="18" t="n">
        <x:v>36.63</x:v>
      </x:c>
      <x:c r="F7650" s="18" t="n">
        <x:v>21.49</x:v>
      </x:c>
      <x:c r="G7650" t="n">
        <x:v>36</x:v>
      </x:c>
      <x:c r="H7650" t="str">
        <x:v>F</x:v>
      </x:c>
      <x:c r="I7650" t="str">
        <x:v>&lt;1 year</x:v>
      </x:c>
      <x:c r="J7650" t="str">
        <x:v>OTHER</x:v>
      </x:c>
      <x:c r="K7650" t="str">
        <x:v>credit_card</x:v>
      </x:c>
      <x:c r="L7650" t="n">
        <x:v>0</x:v>
      </x:c>
      <x:c r="M7650" t="n">
        <x:v>1</x:v>
      </x:c>
      <x:c r="N7650" t="str">
        <x:v>Charged Off</x:v>
      </x:c>
      <x:c r="O7650" t="str">
        <x:f>IF(D7650="","Unknown",IF(D7650&lt;25000,"&lt;$25k",IF(D7650&lt;50000,"$25k-$50k",IF(D7650&lt;75000,"$50k-$75k",IF(D7650&lt;100000,"$75k-$100k","$100k+")))))</x:f>
        <x:v>$25k-$50k</x:v>
      </x:c>
      <x:c r="P7650" t="str">
        <x:f>IF(E7650="","Unknown",IF(E7650&lt;10,"&lt;10",IF(E7650&lt;20,"10-&lt;20",IF(E7650&lt;25,"20-&lt;25",IF(E7650&lt;35,"25-&lt;35","35+")))))</x:f>
        <x:v>35+</x:v>
      </x:c>
    </x:row>
    <x:row r="7651">
      <x:c r="A7651" t="str">
        <x:v>SYN0007650</x:v>
      </x:c>
      <x:c r="B7651" s="12" t="n">
        <x:v>41335</x:v>
      </x:c>
      <x:c r="C7651" s="18" t="n">
        <x:v>8580</x:v>
      </x:c>
      <x:c r="D7651" s="18" t="n">
        <x:v>95497</x:v>
      </x:c>
      <x:c r="E7651" s="18" t="n">
        <x:v>25.24</x:v>
      </x:c>
      <x:c r="F7651" s="18" t="n">
        <x:v>17.4</x:v>
      </x:c>
      <x:c r="G7651" t="n">
        <x:v>60</x:v>
      </x:c>
      <x:c r="H7651" t="str">
        <x:v>D</x:v>
      </x:c>
      <x:c r="I7651" t="str">
        <x:v>4-6 years</x:v>
      </x:c>
      <x:c r="J7651" t="str">
        <x:v>RENT</x:v>
      </x:c>
      <x:c r="K7651" t="str">
        <x:v>home_improvement</x:v>
      </x:c>
      <x:c r="L7651" t="n">
        <x:v>1</x:v>
      </x:c>
      <x:c r="M7651" t="n">
        <x:v>0</x:v>
      </x:c>
      <x:c r="N7651" t="str">
        <x:v>Fully Paid</x:v>
      </x:c>
      <x:c r="O7651" t="str">
        <x:f>IF(D7651="","Unknown",IF(D7651&lt;25000,"&lt;$25k",IF(D7651&lt;50000,"$25k-$50k",IF(D7651&lt;75000,"$50k-$75k",IF(D7651&lt;100000,"$75k-$100k","$100k+")))))</x:f>
        <x:v>$75k-$100k</x:v>
      </x:c>
      <x:c r="P7651" t="str">
        <x:f>IF(E7651="","Unknown",IF(E7651&lt;10,"&lt;10",IF(E7651&lt;20,"10-&lt;20",IF(E7651&lt;25,"20-&lt;25",IF(E7651&lt;35,"25-&lt;35","35+")))))</x:f>
        <x:v>25-&lt;35</x:v>
      </x:c>
    </x:row>
    <x:row r="7652">
      <x:c r="A7652" t="str">
        <x:v>SYN0007651</x:v>
      </x:c>
      <x:c r="B7652" s="12" t="n">
        <x:v>41395</x:v>
      </x:c>
      <x:c r="C7652" s="18" t="n">
        <x:v>6675</x:v>
      </x:c>
      <x:c r="D7652" s="18" t="n">
        <x:v>44435</x:v>
      </x:c>
      <x:c r="E7652" s="18" t="n">
        <x:v>10.48</x:v>
      </x:c>
      <x:c r="F7652" s="18" t="n">
        <x:v>9.46</x:v>
      </x:c>
      <x:c r="G7652" t="n">
        <x:v>36</x:v>
      </x:c>
      <x:c r="H7652" t="str">
        <x:v>B</x:v>
      </x:c>
      <x:c r="I7652" t="str">
        <x:v>4-6 years</x:v>
      </x:c>
      <x:c r="J7652" t="str">
        <x:v>MORTGAGE</x:v>
      </x:c>
      <x:c r="K7652" t="str">
        <x:v>debt_consolidation</x:v>
      </x:c>
      <x:c r="L7652" t="n">
        <x:v>1</x:v>
      </x:c>
      <x:c r="M7652" t="n">
        <x:v>0</x:v>
      </x:c>
      <x:c r="N7652" t="str">
        <x:v>Fully Paid</x:v>
      </x:c>
      <x:c r="O7652" t="str">
        <x:f>IF(D7652="","Unknown",IF(D7652&lt;25000,"&lt;$25k",IF(D7652&lt;50000,"$25k-$50k",IF(D7652&lt;75000,"$50k-$75k",IF(D7652&lt;100000,"$75k-$100k","$100k+")))))</x:f>
        <x:v>$25k-$50k</x:v>
      </x:c>
      <x:c r="P7652" t="str">
        <x:f>IF(E7652="","Unknown",IF(E7652&lt;10,"&lt;10",IF(E7652&lt;20,"10-&lt;20",IF(E7652&lt;25,"20-&lt;25",IF(E7652&lt;35,"25-&lt;35","35+")))))</x:f>
        <x:v>10-&lt;20</x:v>
      </x:c>
    </x:row>
    <x:row r="7653">
      <x:c r="A7653" t="str">
        <x:v>SYN0007652</x:v>
      </x:c>
      <x:c r="B7653" s="12" t="n">
        <x:v>41485</x:v>
      </x:c>
      <x:c r="C7653" s="18" t="n">
        <x:v>11068</x:v>
      </x:c>
      <x:c r="D7653" s="18" t="n">
        <x:v>85971</x:v>
      </x:c>
      <x:c r="E7653" s="18" t="n">
        <x:v>18.68</x:v>
      </x:c>
      <x:c r="F7653" s="18" t="n">
        <x:v>6.66</x:v>
      </x:c>
      <x:c r="G7653" t="n">
        <x:v>60</x:v>
      </x:c>
      <x:c r="H7653" t="str">
        <x:v>B</x:v>
      </x:c>
      <x:c r="I7653" t="str">
        <x:v>7-9 years</x:v>
      </x:c>
      <x:c r="J7653" t="str">
        <x:v>RENT</x:v>
      </x:c>
      <x:c r="K7653" t="str">
        <x:v>credit_card</x:v>
      </x:c>
      <x:c r="L7653" t="n">
        <x:v>0</x:v>
      </x:c>
      <x:c r="M7653" t="n">
        <x:v>0</x:v>
      </x:c>
      <x:c r="N7653" t="str">
        <x:v>Fully Paid</x:v>
      </x:c>
      <x:c r="O7653" t="str">
        <x:f>IF(D7653="","Unknown",IF(D7653&lt;25000,"&lt;$25k",IF(D7653&lt;50000,"$25k-$50k",IF(D7653&lt;75000,"$50k-$75k",IF(D7653&lt;100000,"$75k-$100k","$100k+")))))</x:f>
        <x:v>$75k-$100k</x:v>
      </x:c>
      <x:c r="P7653" t="str">
        <x:f>IF(E7653="","Unknown",IF(E7653&lt;10,"&lt;10",IF(E7653&lt;20,"10-&lt;20",IF(E7653&lt;25,"20-&lt;25",IF(E7653&lt;35,"25-&lt;35","35+")))))</x:f>
        <x:v>10-&lt;20</x:v>
      </x:c>
    </x:row>
    <x:row r="7654">
      <x:c r="A7654" t="str">
        <x:v>SYN0007653</x:v>
      </x:c>
      <x:c r="B7654" s="12" t="n">
        <x:v>41515</x:v>
      </x:c>
      <x:c r="C7654" s="18" t="n">
        <x:v>20890</x:v>
      </x:c>
      <x:c r="D7654" s="18" t="n">
        <x:v>107625</x:v>
      </x:c>
      <x:c r="E7654" s="18" t="n">
        <x:v>23.31</x:v>
      </x:c>
      <x:c r="F7654" s="18" t="n">
        <x:v>15.08</x:v>
      </x:c>
      <x:c r="G7654" t="n">
        <x:v>60</x:v>
      </x:c>
      <x:c r="H7654" t="str">
        <x:v>D</x:v>
      </x:c>
      <x:c r="I7654" t="str">
        <x:v>10+ years</x:v>
      </x:c>
      <x:c r="J7654" t="str">
        <x:v>MORTGAGE</x:v>
      </x:c>
      <x:c r="K7654" t="str">
        <x:v>home_improvement</x:v>
      </x:c>
      <x:c r="L7654" t="n">
        <x:v>1</x:v>
      </x:c>
      <x:c r="M7654" t="n">
        <x:v>0</x:v>
      </x:c>
      <x:c r="N7654" t="str">
        <x:v>Fully Paid</x:v>
      </x:c>
      <x:c r="O7654" t="str">
        <x:f>IF(D7654="","Unknown",IF(D7654&lt;25000,"&lt;$25k",IF(D7654&lt;50000,"$25k-$50k",IF(D7654&lt;75000,"$50k-$75k",IF(D7654&lt;100000,"$75k-$100k","$100k+")))))</x:f>
        <x:v>$100k+</x:v>
      </x:c>
      <x:c r="P7654" t="str">
        <x:f>IF(E7654="","Unknown",IF(E7654&lt;10,"&lt;10",IF(E7654&lt;20,"10-&lt;20",IF(E7654&lt;25,"20-&lt;25",IF(E7654&lt;35,"25-&lt;35","35+")))))</x:f>
        <x:v>20-&lt;25</x:v>
      </x:c>
    </x:row>
    <x:row r="7655">
      <x:c r="A7655" t="str">
        <x:v>SYN0007654</x:v>
      </x:c>
      <x:c r="B7655" s="12" t="n">
        <x:v>41785</x:v>
      </x:c>
      <x:c r="C7655" s="18" t="n">
        <x:v>33456</x:v>
      </x:c>
      <x:c r="D7655" s="18" t="n">
        <x:v>70504</x:v>
      </x:c>
      <x:c r="E7655" s="18" t="n">
        <x:v>20.44</x:v>
      </x:c>
      <x:c r="F7655" s="18" t="n">
        <x:v>7.81</x:v>
      </x:c>
      <x:c r="G7655" t="n">
        <x:v>36</x:v>
      </x:c>
      <x:c r="H7655" t="str">
        <x:v>B</x:v>
      </x:c>
      <x:c r="I7655" t="str">
        <x:v>1-3 years</x:v>
      </x:c>
      <x:c r="J7655" t="str">
        <x:v>RENT</x:v>
      </x:c>
      <x:c r="K7655" t="str">
        <x:v>debt_consolidation</x:v>
      </x:c>
      <x:c r="L7655" t="n">
        <x:v>0</x:v>
      </x:c>
      <x:c r="M7655" t="n">
        <x:v>0</x:v>
      </x:c>
      <x:c r="N7655" t="str">
        <x:v>Fully Paid</x:v>
      </x:c>
      <x:c r="O7655" t="str">
        <x:f>IF(D7655="","Unknown",IF(D7655&lt;25000,"&lt;$25k",IF(D7655&lt;50000,"$25k-$50k",IF(D7655&lt;75000,"$50k-$75k",IF(D7655&lt;100000,"$75k-$100k","$100k+")))))</x:f>
        <x:v>$50k-$75k</x:v>
      </x:c>
      <x:c r="P7655" t="str">
        <x:f>IF(E7655="","Unknown",IF(E7655&lt;10,"&lt;10",IF(E7655&lt;20,"10-&lt;20",IF(E7655&lt;25,"20-&lt;25",IF(E7655&lt;35,"25-&lt;35","35+")))))</x:f>
        <x:v>20-&lt;25</x:v>
      </x:c>
    </x:row>
    <x:row r="7656">
      <x:c r="A7656" t="str">
        <x:v>SYN0007655</x:v>
      </x:c>
      <x:c r="B7656" s="12" t="n">
        <x:v>41575</x:v>
      </x:c>
      <x:c r="C7656" s="18" t="n">
        <x:v>39983</x:v>
      </x:c>
      <x:c r="D7656" s="18" t="n">
        <x:v>22245</x:v>
      </x:c>
      <x:c r="E7656" s="18" t="n">
        <x:v>13.54</x:v>
      </x:c>
      <x:c r="F7656" s="18" t="n">
        <x:v>17.71</x:v>
      </x:c>
      <x:c r="G7656" t="n">
        <x:v>60</x:v>
      </x:c>
      <x:c r="H7656" t="str">
        <x:v>D</x:v>
      </x:c>
      <x:c r="I7656" t="str">
        <x:v>10+ years</x:v>
      </x:c>
      <x:c r="J7656" t="str">
        <x:v>MORTGAGE</x:v>
      </x:c>
      <x:c r="K7656" t="str">
        <x:v>home_improvement</x:v>
      </x:c>
      <x:c r="L7656" t="n">
        <x:v>0</x:v>
      </x:c>
      <x:c r="M7656" t="n">
        <x:v>0</x:v>
      </x:c>
      <x:c r="N7656" t="str">
        <x:v>Fully Paid</x:v>
      </x:c>
      <x:c r="O7656" t="str">
        <x:f>IF(D7656="","Unknown",IF(D7656&lt;25000,"&lt;$25k",IF(D7656&lt;50000,"$25k-$50k",IF(D7656&lt;75000,"$50k-$75k",IF(D7656&lt;100000,"$75k-$100k","$100k+")))))</x:f>
        <x:v>&lt;$25k</x:v>
      </x:c>
      <x:c r="P7656" t="str">
        <x:f>IF(E7656="","Unknown",IF(E7656&lt;10,"&lt;10",IF(E7656&lt;20,"10-&lt;20",IF(E7656&lt;25,"20-&lt;25",IF(E7656&lt;35,"25-&lt;35","35+")))))</x:f>
        <x:v>10-&lt;20</x:v>
      </x:c>
    </x:row>
    <x:row r="7657">
      <x:c r="A7657" t="str">
        <x:v>SYN0007656</x:v>
      </x:c>
      <x:c r="B7657" s="12" t="n">
        <x:v>41995</x:v>
      </x:c>
      <x:c r="C7657" s="18" t="n">
        <x:v>8968</x:v>
      </x:c>
      <x:c r="D7657" s="18" t="n">
        <x:v>154024</x:v>
      </x:c>
      <x:c r="E7657" s="18" t="n">
        <x:v>16.57</x:v>
      </x:c>
      <x:c r="F7657" s="18" t="n">
        <x:v>7.24</x:v>
      </x:c>
      <x:c r="G7657" t="n">
        <x:v>60</x:v>
      </x:c>
      <x:c r="H7657" t="str">
        <x:v>B</x:v>
      </x:c>
      <x:c r="I7657" t="str">
        <x:v>10+ years</x:v>
      </x:c>
      <x:c r="J7657" t="str">
        <x:v>OWN</x:v>
      </x:c>
      <x:c r="K7657" t="str">
        <x:v>debt_consolidation</x:v>
      </x:c>
      <x:c r="L7657" t="n">
        <x:v>1</x:v>
      </x:c>
      <x:c r="M7657" t="n">
        <x:v>0</x:v>
      </x:c>
      <x:c r="N7657" t="str">
        <x:v>Fully Paid</x:v>
      </x:c>
      <x:c r="O7657" t="str">
        <x:f>IF(D7657="","Unknown",IF(D7657&lt;25000,"&lt;$25k",IF(D7657&lt;50000,"$25k-$50k",IF(D7657&lt;75000,"$50k-$75k",IF(D7657&lt;100000,"$75k-$100k","$100k+")))))</x:f>
        <x:v>$100k+</x:v>
      </x:c>
      <x:c r="P7657" t="str">
        <x:f>IF(E7657="","Unknown",IF(E7657&lt;10,"&lt;10",IF(E7657&lt;20,"10-&lt;20",IF(E7657&lt;25,"20-&lt;25",IF(E7657&lt;35,"25-&lt;35","35+")))))</x:f>
        <x:v>10-&lt;20</x:v>
      </x:c>
    </x:row>
    <x:row r="7658">
      <x:c r="A7658" t="str">
        <x:v>SYN0007657</x:v>
      </x:c>
      <x:c r="B7658" s="12" t="n">
        <x:v>42985</x:v>
      </x:c>
      <x:c r="C7658" s="18" t="n">
        <x:v>17486</x:v>
      </x:c>
      <x:c r="D7658" s="18" t="n">
        <x:v>16132</x:v>
      </x:c>
      <x:c r="E7658" s="18" t="n">
        <x:v>19.33</x:v>
      </x:c>
      <x:c r="F7658" s="18" t="n">
        <x:v>6.19</x:v>
      </x:c>
      <x:c r="G7658" t="n">
        <x:v>36</x:v>
      </x:c>
      <x:c r="H7658" t="str">
        <x:v>B</x:v>
      </x:c>
      <x:c r="I7658" t="str">
        <x:v>1-3 years</x:v>
      </x:c>
      <x:c r="J7658" t="str">
        <x:v>RENT</x:v>
      </x:c>
      <x:c r="K7658" t="str">
        <x:v>debt_consolidation</x:v>
      </x:c>
      <x:c r="L7658" t="n">
        <x:v>0</x:v>
      </x:c>
      <x:c r="M7658" t="n">
        <x:v>1</x:v>
      </x:c>
      <x:c r="N7658" t="str">
        <x:v>Charged Off</x:v>
      </x:c>
      <x:c r="O7658" t="str">
        <x:f>IF(D7658="","Unknown",IF(D7658&lt;25000,"&lt;$25k",IF(D7658&lt;50000,"$25k-$50k",IF(D7658&lt;75000,"$50k-$75k",IF(D7658&lt;100000,"$75k-$100k","$100k+")))))</x:f>
        <x:v>&lt;$25k</x:v>
      </x:c>
      <x:c r="P7658" t="str">
        <x:f>IF(E7658="","Unknown",IF(E7658&lt;10,"&lt;10",IF(E7658&lt;20,"10-&lt;20",IF(E7658&lt;25,"20-&lt;25",IF(E7658&lt;35,"25-&lt;35","35+")))))</x:f>
        <x:v>10-&lt;20</x:v>
      </x:c>
    </x:row>
    <x:row r="7659">
      <x:c r="A7659" t="str">
        <x:v>SYN0007658</x:v>
      </x:c>
      <x:c r="B7659" s="12" t="n">
        <x:v>42025</x:v>
      </x:c>
      <x:c r="C7659" s="18" t="n">
        <x:v>13729</x:v>
      </x:c>
      <x:c r="D7659" s="18" t="n">
        <x:v>101218</x:v>
      </x:c>
      <x:c r="E7659" s="18" t="n">
        <x:v>13.25</x:v>
      </x:c>
      <x:c r="F7659" s="18" t="n">
        <x:v>9.57</x:v>
      </x:c>
      <x:c r="G7659" t="n">
        <x:v>36</x:v>
      </x:c>
      <x:c r="H7659" t="str">
        <x:v>C</x:v>
      </x:c>
      <x:c r="I7659" t="str">
        <x:v>10+ years</x:v>
      </x:c>
      <x:c r="J7659" t="str">
        <x:v>OWN</x:v>
      </x:c>
      <x:c r="K7659" t="str">
        <x:v>debt_consolidation</x:v>
      </x:c>
      <x:c r="L7659" t="n">
        <x:v>2</x:v>
      </x:c>
      <x:c r="M7659" t="n">
        <x:v>1</x:v>
      </x:c>
      <x:c r="N7659" t="str">
        <x:v>Charged Off</x:v>
      </x:c>
      <x:c r="O7659" t="str">
        <x:f>IF(D7659="","Unknown",IF(D7659&lt;25000,"&lt;$25k",IF(D7659&lt;50000,"$25k-$50k",IF(D7659&lt;75000,"$50k-$75k",IF(D7659&lt;100000,"$75k-$100k","$100k+")))))</x:f>
        <x:v>$100k+</x:v>
      </x:c>
      <x:c r="P7659" t="str">
        <x:f>IF(E7659="","Unknown",IF(E7659&lt;10,"&lt;10",IF(E7659&lt;20,"10-&lt;20",IF(E7659&lt;25,"20-&lt;25",IF(E7659&lt;35,"25-&lt;35","35+")))))</x:f>
        <x:v>10-&lt;20</x:v>
      </x:c>
    </x:row>
    <x:row r="7660">
      <x:c r="A7660" t="str">
        <x:v>SYN0007659</x:v>
      </x:c>
      <x:c r="B7660" s="12" t="n">
        <x:v>43105</x:v>
      </x:c>
      <x:c r="C7660" s="18" t="n">
        <x:v>25237</x:v>
      </x:c>
      <x:c r="D7660" s="18" t="n">
        <x:v>115882</x:v>
      </x:c>
      <x:c r="E7660" s="18" t="n">
        <x:v>12.45</x:v>
      </x:c>
      <x:c r="F7660" s="18" t="n">
        <x:v>11.96</x:v>
      </x:c>
      <x:c r="G7660" t="n">
        <x:v>36</x:v>
      </x:c>
      <x:c r="H7660" t="str">
        <x:v>D</x:v>
      </x:c>
      <x:c r="I7660" t="str">
        <x:v>&lt;1 year</x:v>
      </x:c>
      <x:c r="J7660" t="str">
        <x:v>MORTGAGE</x:v>
      </x:c>
      <x:c r="K7660" t="str">
        <x:v>major_purchase</x:v>
      </x:c>
      <x:c r="L7660" t="n">
        <x:v>0</x:v>
      </x:c>
      <x:c r="M7660" t="n">
        <x:v>1</x:v>
      </x:c>
      <x:c r="N7660" t="str">
        <x:v>Charged Off</x:v>
      </x:c>
      <x:c r="O7660" t="str">
        <x:f>IF(D7660="","Unknown",IF(D7660&lt;25000,"&lt;$25k",IF(D7660&lt;50000,"$25k-$50k",IF(D7660&lt;75000,"$50k-$75k",IF(D7660&lt;100000,"$75k-$100k","$100k+")))))</x:f>
        <x:v>$100k+</x:v>
      </x:c>
      <x:c r="P7660" t="str">
        <x:f>IF(E7660="","Unknown",IF(E7660&lt;10,"&lt;10",IF(E7660&lt;20,"10-&lt;20",IF(E7660&lt;25,"20-&lt;25",IF(E7660&lt;35,"25-&lt;35","35+")))))</x:f>
        <x:v>10-&lt;20</x:v>
      </x:c>
    </x:row>
    <x:row r="7661">
      <x:c r="A7661" t="str">
        <x:v>SYN0007660</x:v>
      </x:c>
      <x:c r="B7661" s="12" t="n">
        <x:v>43375</x:v>
      </x:c>
      <x:c r="C7661" s="18" t="n">
        <x:v>17322</x:v>
      </x:c>
      <x:c r="D7661" s="18" t="n">
        <x:v>14956</x:v>
      </x:c>
      <x:c r="E7661" s="18" t="n">
        <x:v>15.74</x:v>
      </x:c>
      <x:c r="F7661" s="18" t="n">
        <x:v>14.96</x:v>
      </x:c>
      <x:c r="G7661" t="n">
        <x:v>36</x:v>
      </x:c>
      <x:c r="H7661" t="str">
        <x:v>D</x:v>
      </x:c>
      <x:c r="I7661" t="str">
        <x:v>10+ years</x:v>
      </x:c>
      <x:c r="J7661" t="str">
        <x:v>MORTGAGE</x:v>
      </x:c>
      <x:c r="K7661" t="str">
        <x:v>debt_consolidation</x:v>
      </x:c>
      <x:c r="L7661" t="n">
        <x:v>0</x:v>
      </x:c>
      <x:c r="M7661" t="n">
        <x:v>0</x:v>
      </x:c>
      <x:c r="N7661" t="str">
        <x:v>Fully Paid</x:v>
      </x:c>
      <x:c r="O7661" t="str">
        <x:f>IF(D7661="","Unknown",IF(D7661&lt;25000,"&lt;$25k",IF(D7661&lt;50000,"$25k-$50k",IF(D7661&lt;75000,"$50k-$75k",IF(D7661&lt;100000,"$75k-$100k","$100k+")))))</x:f>
        <x:v>&lt;$25k</x:v>
      </x:c>
      <x:c r="P7661" t="str">
        <x:f>IF(E7661="","Unknown",IF(E7661&lt;10,"&lt;10",IF(E7661&lt;20,"10-&lt;20",IF(E7661&lt;25,"20-&lt;25",IF(E7661&lt;35,"25-&lt;35","35+")))))</x:f>
        <x:v>10-&lt;20</x:v>
      </x:c>
    </x:row>
    <x:row r="7662">
      <x:c r="A7662" t="str">
        <x:v>SYN0007661</x:v>
      </x:c>
      <x:c r="B7662" s="12" t="n">
        <x:v>41845</x:v>
      </x:c>
      <x:c r="C7662" s="18" t="n">
        <x:v>6393</x:v>
      </x:c>
      <x:c r="D7662" s="18" t="n">
        <x:v>21681</x:v>
      </x:c>
      <x:c r="E7662" s="18" t="n">
        <x:v>6.13</x:v>
      </x:c>
      <x:c r="F7662" s="18" t="n">
        <x:v>10</x:v>
      </x:c>
      <x:c r="G7662" t="n">
        <x:v>36</x:v>
      </x:c>
      <x:c r="H7662" t="str">
        <x:v>C</x:v>
      </x:c>
      <x:c r="I7662" t="str">
        <x:v>10+ years</x:v>
      </x:c>
      <x:c r="J7662" t="str">
        <x:v>OWN</x:v>
      </x:c>
      <x:c r="K7662" t="str">
        <x:v>debt_consolidation</x:v>
      </x:c>
      <x:c r="L7662" t="n">
        <x:v>0</x:v>
      </x:c>
      <x:c r="M7662" t="n">
        <x:v>0</x:v>
      </x:c>
      <x:c r="N7662" t="str">
        <x:v>Fully Paid</x:v>
      </x:c>
      <x:c r="O7662" t="str">
        <x:f>IF(D7662="","Unknown",IF(D7662&lt;25000,"&lt;$25k",IF(D7662&lt;50000,"$25k-$50k",IF(D7662&lt;75000,"$50k-$75k",IF(D7662&lt;100000,"$75k-$100k","$100k+")))))</x:f>
        <x:v>&lt;$25k</x:v>
      </x:c>
      <x:c r="P7662" t="str">
        <x:f>IF(E7662="","Unknown",IF(E7662&lt;10,"&lt;10",IF(E7662&lt;20,"10-&lt;20",IF(E7662&lt;25,"20-&lt;25",IF(E7662&lt;35,"25-&lt;35","35+")))))</x:f>
        <x:v>&lt;10</x:v>
      </x:c>
    </x:row>
    <x:row r="7663">
      <x:c r="A7663" t="str">
        <x:v>SYN0007662</x:v>
      </x:c>
      <x:c r="B7663" s="12" t="n">
        <x:v>43105</x:v>
      </x:c>
      <x:c r="C7663" s="18" t="n">
        <x:v>11842</x:v>
      </x:c>
      <x:c r="D7663" s="18" t="n">
        <x:v>42854</x:v>
      </x:c>
      <x:c r="E7663" s="18" t="n">
        <x:v>15.76</x:v>
      </x:c>
      <x:c r="F7663" s="18" t="n">
        <x:v>18.12</x:v>
      </x:c>
      <x:c r="G7663" t="n">
        <x:v>36</x:v>
      </x:c>
      <x:c r="H7663" t="str">
        <x:v>E</x:v>
      </x:c>
      <x:c r="I7663" t="str">
        <x:v>10+ years</x:v>
      </x:c>
      <x:c r="J7663" t="str">
        <x:v>RENT</x:v>
      </x:c>
      <x:c r="K7663" t="str">
        <x:v>major_purchase</x:v>
      </x:c>
      <x:c r="L7663" t="n">
        <x:v>0</x:v>
      </x:c>
      <x:c r="M7663" t="n">
        <x:v>1</x:v>
      </x:c>
      <x:c r="N7663" t="str">
        <x:v>Charged Off</x:v>
      </x:c>
      <x:c r="O7663" t="str">
        <x:f>IF(D7663="","Unknown",IF(D7663&lt;25000,"&lt;$25k",IF(D7663&lt;50000,"$25k-$50k",IF(D7663&lt;75000,"$50k-$75k",IF(D7663&lt;100000,"$75k-$100k","$100k+")))))</x:f>
        <x:v>$25k-$50k</x:v>
      </x:c>
      <x:c r="P7663" t="str">
        <x:f>IF(E7663="","Unknown",IF(E7663&lt;10,"&lt;10",IF(E7663&lt;20,"10-&lt;20",IF(E7663&lt;25,"20-&lt;25",IF(E7663&lt;35,"25-&lt;35","35+")))))</x:f>
        <x:v>10-&lt;20</x:v>
      </x:c>
    </x:row>
    <x:row r="7664">
      <x:c r="A7664" t="str">
        <x:v>SYN0007663</x:v>
      </x:c>
      <x:c r="B7664" s="12" t="n">
        <x:v>41365</x:v>
      </x:c>
      <x:c r="C7664" s="18" t="n">
        <x:v>5428</x:v>
      </x:c>
      <x:c r="D7664" s="18" t="n">
        <x:v>181410</x:v>
      </x:c>
      <x:c r="E7664" s="18" t="n">
        <x:v>18.74</x:v>
      </x:c>
      <x:c r="F7664" s="18" t="n">
        <x:v>14.7</x:v>
      </x:c>
      <x:c r="G7664" t="n">
        <x:v>60</x:v>
      </x:c>
      <x:c r="H7664" t="str">
        <x:v>D</x:v>
      </x:c>
      <x:c r="I7664" t="str">
        <x:v>1-3 years</x:v>
      </x:c>
      <x:c r="J7664" t="str">
        <x:v>OTHER</x:v>
      </x:c>
      <x:c r="K7664" t="str">
        <x:v>medical</x:v>
      </x:c>
      <x:c r="L7664" t="n">
        <x:v>0</x:v>
      </x:c>
      <x:c r="M7664" t="n">
        <x:v>0</x:v>
      </x:c>
      <x:c r="N7664" t="str">
        <x:v>Fully Paid</x:v>
      </x:c>
      <x:c r="O7664" t="str">
        <x:f>IF(D7664="","Unknown",IF(D7664&lt;25000,"&lt;$25k",IF(D7664&lt;50000,"$25k-$50k",IF(D7664&lt;75000,"$50k-$75k",IF(D7664&lt;100000,"$75k-$100k","$100k+")))))</x:f>
        <x:v>$100k+</x:v>
      </x:c>
      <x:c r="P7664" t="str">
        <x:f>IF(E7664="","Unknown",IF(E7664&lt;10,"&lt;10",IF(E7664&lt;20,"10-&lt;20",IF(E7664&lt;25,"20-&lt;25",IF(E7664&lt;35,"25-&lt;35","35+")))))</x:f>
        <x:v>10-&lt;20</x:v>
      </x:c>
    </x:row>
    <x:row r="7665">
      <x:c r="A7665" t="str">
        <x:v>SYN0007664</x:v>
      </x:c>
      <x:c r="B7665" s="12" t="n">
        <x:v>41845</x:v>
      </x:c>
      <x:c r="C7665" s="18" t="n">
        <x:v>6349</x:v>
      </x:c>
      <x:c r="D7665" s="18" t="n">
        <x:v>45937</x:v>
      </x:c>
      <x:c r="E7665" s="18" t="n">
        <x:v>23.79</x:v>
      </x:c>
      <x:c r="F7665" s="18" t="n">
        <x:v>28.39</x:v>
      </x:c>
      <x:c r="G7665" t="n">
        <x:v>36</x:v>
      </x:c>
      <x:c r="H7665" t="str">
        <x:v>G</x:v>
      </x:c>
      <x:c r="I7665" t="str">
        <x:v>4-6 years</x:v>
      </x:c>
      <x:c r="J7665" t="str">
        <x:v>MORTGAGE</x:v>
      </x:c>
      <x:c r="K7665" t="str">
        <x:v>debt_consolidation</x:v>
      </x:c>
      <x:c r="L7665" t="n">
        <x:v>2</x:v>
      </x:c>
      <x:c r="M7665" t="n">
        <x:v>0</x:v>
      </x:c>
      <x:c r="N7665" t="str">
        <x:v>Fully Paid</x:v>
      </x:c>
      <x:c r="O7665" t="str">
        <x:f>IF(D7665="","Unknown",IF(D7665&lt;25000,"&lt;$25k",IF(D7665&lt;50000,"$25k-$50k",IF(D7665&lt;75000,"$50k-$75k",IF(D7665&lt;100000,"$75k-$100k","$100k+")))))</x:f>
        <x:v>$25k-$50k</x:v>
      </x:c>
      <x:c r="P7665" t="str">
        <x:f>IF(E7665="","Unknown",IF(E7665&lt;10,"&lt;10",IF(E7665&lt;20,"10-&lt;20",IF(E7665&lt;25,"20-&lt;25",IF(E7665&lt;35,"25-&lt;35","35+")))))</x:f>
        <x:v>20-&lt;25</x:v>
      </x:c>
    </x:row>
    <x:row r="7666">
      <x:c r="A7666" t="str">
        <x:v>SYN0007665</x:v>
      </x:c>
      <x:c r="B7666" s="12" t="n">
        <x:v>41485</x:v>
      </x:c>
      <x:c r="C7666" s="18" t="n">
        <x:v>10126</x:v>
      </x:c>
      <x:c r="D7666" s="18" t="n">
        <x:v>62350</x:v>
      </x:c>
      <x:c r="E7666" s="18" t="n">
        <x:v>14.36</x:v>
      </x:c>
      <x:c r="F7666" s="18" t="n">
        <x:v>9.73</x:v>
      </x:c>
      <x:c r="G7666" t="n">
        <x:v>60</x:v>
      </x:c>
      <x:c r="H7666" t="str">
        <x:v>B</x:v>
      </x:c>
      <x:c r="I7666" t="str">
        <x:v>7-9 years</x:v>
      </x:c>
      <x:c r="J7666" t="str">
        <x:v>RENT</x:v>
      </x:c>
      <x:c r="K7666" t="str">
        <x:v>other</x:v>
      </x:c>
      <x:c r="L7666" t="n">
        <x:v>1</x:v>
      </x:c>
      <x:c r="M7666" t="n">
        <x:v>0</x:v>
      </x:c>
      <x:c r="N7666" t="str">
        <x:v>Fully Paid</x:v>
      </x:c>
      <x:c r="O7666" t="str">
        <x:f>IF(D7666="","Unknown",IF(D7666&lt;25000,"&lt;$25k",IF(D7666&lt;50000,"$25k-$50k",IF(D7666&lt;75000,"$50k-$75k",IF(D7666&lt;100000,"$75k-$100k","$100k+")))))</x:f>
        <x:v>$50k-$75k</x:v>
      </x:c>
      <x:c r="P7666" t="str">
        <x:f>IF(E7666="","Unknown",IF(E7666&lt;10,"&lt;10",IF(E7666&lt;20,"10-&lt;20",IF(E7666&lt;25,"20-&lt;25",IF(E7666&lt;35,"25-&lt;35","35+")))))</x:f>
        <x:v>10-&lt;20</x:v>
      </x:c>
    </x:row>
    <x:row r="7667">
      <x:c r="A7667" t="str">
        <x:v>SYN0007666</x:v>
      </x:c>
      <x:c r="B7667" s="12" t="n">
        <x:v>42775</x:v>
      </x:c>
      <x:c r="C7667" s="18" t="n">
        <x:v>18730</x:v>
      </x:c>
      <x:c r="D7667" s="18" t="n">
        <x:v>101144</x:v>
      </x:c>
      <x:c r="E7667" s="18" t="n">
        <x:v>21.51</x:v>
      </x:c>
      <x:c r="F7667" s="18" t="n">
        <x:v>8.69</x:v>
      </x:c>
      <x:c r="G7667" t="n">
        <x:v>36</x:v>
      </x:c>
      <x:c r="H7667" t="str">
        <x:v>B</x:v>
      </x:c>
      <x:c r="I7667" t="str">
        <x:v>10+ years</x:v>
      </x:c>
      <x:c r="J7667" t="str">
        <x:v>RENT</x:v>
      </x:c>
      <x:c r="K7667" t="str">
        <x:v>medical</x:v>
      </x:c>
      <x:c r="L7667" t="n">
        <x:v>0</x:v>
      </x:c>
      <x:c r="M7667" t="n">
        <x:v>0</x:v>
      </x:c>
      <x:c r="N7667" t="str">
        <x:v>Fully Paid</x:v>
      </x:c>
      <x:c r="O7667" t="str">
        <x:f>IF(D7667="","Unknown",IF(D7667&lt;25000,"&lt;$25k",IF(D7667&lt;50000,"$25k-$50k",IF(D7667&lt;75000,"$50k-$75k",IF(D7667&lt;100000,"$75k-$100k","$100k+")))))</x:f>
        <x:v>$100k+</x:v>
      </x:c>
      <x:c r="P7667" t="str">
        <x:f>IF(E7667="","Unknown",IF(E7667&lt;10,"&lt;10",IF(E7667&lt;20,"10-&lt;20",IF(E7667&lt;25,"20-&lt;25",IF(E7667&lt;35,"25-&lt;35","35+")))))</x:f>
        <x:v>20-&lt;25</x:v>
      </x:c>
    </x:row>
    <x:row r="7668">
      <x:c r="A7668" t="str">
        <x:v>SYN0007667</x:v>
      </x:c>
      <x:c r="B7668" s="12" t="n">
        <x:v>41845</x:v>
      </x:c>
      <x:c r="C7668" s="18" t="n">
        <x:v>20161</x:v>
      </x:c>
      <x:c r="D7668" s="18" t="n">
        <x:v>69254</x:v>
      </x:c>
      <x:c r="E7668" s="18" t="n">
        <x:v>26.08</x:v>
      </x:c>
      <x:c r="F7668" s="18" t="n">
        <x:v>8.34</x:v>
      </x:c>
      <x:c r="G7668" t="n">
        <x:v>36</x:v>
      </x:c>
      <x:c r="H7668" t="str">
        <x:v>B</x:v>
      </x:c>
      <x:c r="I7668" t="str">
        <x:v>10+ years</x:v>
      </x:c>
      <x:c r="J7668" t="str">
        <x:v>OWN</x:v>
      </x:c>
      <x:c r="K7668" t="str">
        <x:v>debt_consolidation</x:v>
      </x:c>
      <x:c r="L7668" t="n">
        <x:v>2</x:v>
      </x:c>
      <x:c r="M7668" t="n">
        <x:v>0</x:v>
      </x:c>
      <x:c r="N7668" t="str">
        <x:v>Fully Paid</x:v>
      </x:c>
      <x:c r="O7668" t="str">
        <x:f>IF(D7668="","Unknown",IF(D7668&lt;25000,"&lt;$25k",IF(D7668&lt;50000,"$25k-$50k",IF(D7668&lt;75000,"$50k-$75k",IF(D7668&lt;100000,"$75k-$100k","$100k+")))))</x:f>
        <x:v>$50k-$75k</x:v>
      </x:c>
      <x:c r="P7668" t="str">
        <x:f>IF(E7668="","Unknown",IF(E7668&lt;10,"&lt;10",IF(E7668&lt;20,"10-&lt;20",IF(E7668&lt;25,"20-&lt;25",IF(E7668&lt;35,"25-&lt;35","35+")))))</x:f>
        <x:v>25-&lt;35</x:v>
      </x:c>
    </x:row>
    <x:row r="7669">
      <x:c r="A7669" t="str">
        <x:v>SYN0007668</x:v>
      </x:c>
      <x:c r="B7669" s="12" t="n">
        <x:v>41455</x:v>
      </x:c>
      <x:c r="C7669" s="18" t="n">
        <x:v>14853</x:v>
      </x:c>
      <x:c r="D7669" s="18" t="n">
        <x:v>23718</x:v>
      </x:c>
      <x:c r="E7669" s="18" t="n">
        <x:v>20.11</x:v>
      </x:c>
      <x:c r="F7669" s="18" t="n">
        <x:v>6.06</x:v>
      </x:c>
      <x:c r="G7669" t="n">
        <x:v>36</x:v>
      </x:c>
      <x:c r="H7669" t="str">
        <x:v>A</x:v>
      </x:c>
      <x:c r="I7669" t="str">
        <x:v>1-3 years</x:v>
      </x:c>
      <x:c r="J7669" t="str">
        <x:v>RENT</x:v>
      </x:c>
      <x:c r="K7669" t="str">
        <x:v>debt_consolidation</x:v>
      </x:c>
      <x:c r="L7669" t="n">
        <x:v>0</x:v>
      </x:c>
      <x:c r="M7669" t="n">
        <x:v>0</x:v>
      </x:c>
      <x:c r="N7669" t="str">
        <x:v>Fully Paid</x:v>
      </x:c>
      <x:c r="O7669" t="str">
        <x:f>IF(D7669="","Unknown",IF(D7669&lt;25000,"&lt;$25k",IF(D7669&lt;50000,"$25k-$50k",IF(D7669&lt;75000,"$50k-$75k",IF(D7669&lt;100000,"$75k-$100k","$100k+")))))</x:f>
        <x:v>&lt;$25k</x:v>
      </x:c>
      <x:c r="P7669" t="str">
        <x:f>IF(E7669="","Unknown",IF(E7669&lt;10,"&lt;10",IF(E7669&lt;20,"10-&lt;20",IF(E7669&lt;25,"20-&lt;25",IF(E7669&lt;35,"25-&lt;35","35+")))))</x:f>
        <x:v>20-&lt;25</x:v>
      </x:c>
    </x:row>
    <x:row r="7670">
      <x:c r="A7670" t="str">
        <x:v>SYN0007669</x:v>
      </x:c>
      <x:c r="B7670" s="12" t="n">
        <x:v>43285</x:v>
      </x:c>
      <x:c r="C7670" s="18" t="n">
        <x:v>22860</x:v>
      </x:c>
      <x:c r="D7670" s="18" t="n">
        <x:v>54360</x:v>
      </x:c>
      <x:c r="E7670" s="18" t="n">
        <x:v>15.77</x:v>
      </x:c>
      <x:c r="F7670" s="18" t="n">
        <x:v>12.05</x:v>
      </x:c>
      <x:c r="G7670" t="n">
        <x:v>36</x:v>
      </x:c>
      <x:c r="H7670" t="str">
        <x:v>D</x:v>
      </x:c>
      <x:c r="I7670" t="str">
        <x:v>1-3 years</x:v>
      </x:c>
      <x:c r="J7670" t="str">
        <x:v>RENT</x:v>
      </x:c>
      <x:c r="K7670" t="str">
        <x:v>credit_card</x:v>
      </x:c>
      <x:c r="L7670" t="n">
        <x:v>0</x:v>
      </x:c>
      <x:c r="M7670" t="n">
        <x:v>0</x:v>
      </x:c>
      <x:c r="N7670" t="str">
        <x:v>Fully Paid</x:v>
      </x:c>
      <x:c r="O7670" t="str">
        <x:f>IF(D7670="","Unknown",IF(D7670&lt;25000,"&lt;$25k",IF(D7670&lt;50000,"$25k-$50k",IF(D7670&lt;75000,"$50k-$75k",IF(D7670&lt;100000,"$75k-$100k","$100k+")))))</x:f>
        <x:v>$50k-$75k</x:v>
      </x:c>
      <x:c r="P7670" t="str">
        <x:f>IF(E7670="","Unknown",IF(E7670&lt;10,"&lt;10",IF(E7670&lt;20,"10-&lt;20",IF(E7670&lt;25,"20-&lt;25",IF(E7670&lt;35,"25-&lt;35","35+")))))</x:f>
        <x:v>10-&lt;20</x:v>
      </x:c>
    </x:row>
    <x:row r="7671">
      <x:c r="A7671" t="str">
        <x:v>SYN0007670</x:v>
      </x:c>
      <x:c r="B7671" s="12" t="n">
        <x:v>42715</x:v>
      </x:c>
      <x:c r="C7671" s="18" t="n">
        <x:v>18986</x:v>
      </x:c>
      <x:c r="D7671" s="18" t="n">
        <x:v>48251</x:v>
      </x:c>
      <x:c r="E7671" s="18" t="n">
        <x:v>23.41</x:v>
      </x:c>
      <x:c r="F7671" s="18" t="n">
        <x:v>17.17</x:v>
      </x:c>
      <x:c r="G7671" t="n">
        <x:v>36</x:v>
      </x:c>
      <x:c r="H7671" t="str">
        <x:v>D</x:v>
      </x:c>
      <x:c r="I7671" t="str">
        <x:v>1-3 years</x:v>
      </x:c>
      <x:c r="J7671" t="str">
        <x:v>MORTGAGE</x:v>
      </x:c>
      <x:c r="K7671" t="str">
        <x:v>debt_consolidation</x:v>
      </x:c>
      <x:c r="L7671" t="n">
        <x:v>0</x:v>
      </x:c>
      <x:c r="M7671" t="n">
        <x:v>0</x:v>
      </x:c>
      <x:c r="N7671" t="str">
        <x:v>Fully Paid</x:v>
      </x:c>
      <x:c r="O7671" t="str">
        <x:f>IF(D7671="","Unknown",IF(D7671&lt;25000,"&lt;$25k",IF(D7671&lt;50000,"$25k-$50k",IF(D7671&lt;75000,"$50k-$75k",IF(D7671&lt;100000,"$75k-$100k","$100k+")))))</x:f>
        <x:v>$25k-$50k</x:v>
      </x:c>
      <x:c r="P7671" t="str">
        <x:f>IF(E7671="","Unknown",IF(E7671&lt;10,"&lt;10",IF(E7671&lt;20,"10-&lt;20",IF(E7671&lt;25,"20-&lt;25",IF(E7671&lt;35,"25-&lt;35","35+")))))</x:f>
        <x:v>20-&lt;25</x:v>
      </x:c>
    </x:row>
    <x:row r="7672">
      <x:c r="A7672" t="str">
        <x:v>SYN0007671</x:v>
      </x:c>
      <x:c r="B7672" s="12" t="n">
        <x:v>41875</x:v>
      </x:c>
      <x:c r="C7672" s="18" t="n">
        <x:v>15202</x:v>
      </x:c>
      <x:c r="D7672" s="18" t="n">
        <x:v>30824</x:v>
      </x:c>
      <x:c r="E7672" s="18" t="n">
        <x:v>27.59</x:v>
      </x:c>
      <x:c r="F7672" s="18" t="n">
        <x:v>12.03</x:v>
      </x:c>
      <x:c r="G7672" t="n">
        <x:v>36</x:v>
      </x:c>
      <x:c r="H7672" t="str">
        <x:v>C</x:v>
      </x:c>
      <x:c r="I7672" t="str">
        <x:v>&lt;1 year</x:v>
      </x:c>
      <x:c r="J7672" t="str">
        <x:v>OWN</x:v>
      </x:c>
      <x:c r="K7672" t="str">
        <x:v>credit_card</x:v>
      </x:c>
      <x:c r="L7672" t="n">
        <x:v>1</x:v>
      </x:c>
      <x:c r="M7672" t="n">
        <x:v>0</x:v>
      </x:c>
      <x:c r="N7672" t="str">
        <x:v>Fully Paid</x:v>
      </x:c>
      <x:c r="O7672" t="str">
        <x:f>IF(D7672="","Unknown",IF(D7672&lt;25000,"&lt;$25k",IF(D7672&lt;50000,"$25k-$50k",IF(D7672&lt;75000,"$50k-$75k",IF(D7672&lt;100000,"$75k-$100k","$100k+")))))</x:f>
        <x:v>$25k-$50k</x:v>
      </x:c>
      <x:c r="P7672" t="str">
        <x:f>IF(E7672="","Unknown",IF(E7672&lt;10,"&lt;10",IF(E7672&lt;20,"10-&lt;20",IF(E7672&lt;25,"20-&lt;25",IF(E7672&lt;35,"25-&lt;35","35+")))))</x:f>
        <x:v>25-&lt;35</x:v>
      </x:c>
    </x:row>
    <x:row r="7673">
      <x:c r="A7673" t="str">
        <x:v>SYN0007672</x:v>
      </x:c>
      <x:c r="B7673" s="12" t="n">
        <x:v>42565</x:v>
      </x:c>
      <x:c r="C7673" s="18" t="n">
        <x:v>8069</x:v>
      </x:c>
      <x:c r="D7673" s="18" t="n">
        <x:v>55567</x:v>
      </x:c>
      <x:c r="E7673" s="18" t="n">
        <x:v>1.96</x:v>
      </x:c>
      <x:c r="F7673" s="18" t="n">
        <x:v>5.1</x:v>
      </x:c>
      <x:c r="G7673" t="n">
        <x:v>60</x:v>
      </x:c>
      <x:c r="H7673" t="str">
        <x:v>A</x:v>
      </x:c>
      <x:c r="I7673" t="str">
        <x:v>10+ years</x:v>
      </x:c>
      <x:c r="J7673" t="str">
        <x:v>RENT</x:v>
      </x:c>
      <x:c r="K7673" t="str">
        <x:v>other</x:v>
      </x:c>
      <x:c r="L7673" t="n">
        <x:v>0</x:v>
      </x:c>
      <x:c r="M7673" t="n">
        <x:v>0</x:v>
      </x:c>
      <x:c r="N7673" t="str">
        <x:v>Fully Paid</x:v>
      </x:c>
      <x:c r="O7673" t="str">
        <x:f>IF(D7673="","Unknown",IF(D7673&lt;25000,"&lt;$25k",IF(D7673&lt;50000,"$25k-$50k",IF(D7673&lt;75000,"$50k-$75k",IF(D7673&lt;100000,"$75k-$100k","$100k+")))))</x:f>
        <x:v>$50k-$75k</x:v>
      </x:c>
      <x:c r="P7673" t="str">
        <x:f>IF(E7673="","Unknown",IF(E7673&lt;10,"&lt;10",IF(E7673&lt;20,"10-&lt;20",IF(E7673&lt;25,"20-&lt;25",IF(E7673&lt;35,"25-&lt;35","35+")))))</x:f>
        <x:v>&lt;10</x:v>
      </x:c>
    </x:row>
    <x:row r="7674">
      <x:c r="A7674" t="str">
        <x:v>SYN0007673</x:v>
      </x:c>
      <x:c r="B7674" s="12" t="n">
        <x:v>42385</x:v>
      </x:c>
      <x:c r="C7674" s="18" t="n">
        <x:v>12046</x:v>
      </x:c>
      <x:c r="D7674" s="18" t="n">
        <x:v>35723</x:v>
      </x:c>
      <x:c r="E7674" s="18" t="n">
        <x:v>33.17</x:v>
      </x:c>
      <x:c r="F7674" s="18" t="n">
        <x:v>24.33</x:v>
      </x:c>
      <x:c r="G7674" t="n">
        <x:v>36</x:v>
      </x:c>
      <x:c r="H7674" t="str">
        <x:v>G</x:v>
      </x:c>
      <x:c r="I7674" t="str">
        <x:v>7-9 years</x:v>
      </x:c>
      <x:c r="J7674" t="str">
        <x:v>MORTGAGE</x:v>
      </x:c>
      <x:c r="K7674" t="str">
        <x:v>debt_consolidation</x:v>
      </x:c>
      <x:c r="L7674" t="n">
        <x:v>0</x:v>
      </x:c>
      <x:c r="M7674" t="n">
        <x:v>0</x:v>
      </x:c>
      <x:c r="N7674" t="str">
        <x:v>Fully Paid</x:v>
      </x:c>
      <x:c r="O7674" t="str">
        <x:f>IF(D7674="","Unknown",IF(D7674&lt;25000,"&lt;$25k",IF(D7674&lt;50000,"$25k-$50k",IF(D7674&lt;75000,"$50k-$75k",IF(D7674&lt;100000,"$75k-$100k","$100k+")))))</x:f>
        <x:v>$25k-$50k</x:v>
      </x:c>
      <x:c r="P7674" t="str">
        <x:f>IF(E7674="","Unknown",IF(E7674&lt;10,"&lt;10",IF(E7674&lt;20,"10-&lt;20",IF(E7674&lt;25,"20-&lt;25",IF(E7674&lt;35,"25-&lt;35","35+")))))</x:f>
        <x:v>25-&lt;35</x:v>
      </x:c>
    </x:row>
    <x:row r="7675">
      <x:c r="A7675" t="str">
        <x:v>SYN0007674</x:v>
      </x:c>
      <x:c r="B7675" s="12" t="n">
        <x:v>41905</x:v>
      </x:c>
      <x:c r="C7675" s="18" t="n">
        <x:v>8574</x:v>
      </x:c>
      <x:c r="D7675" s="18" t="n">
        <x:v>39481</x:v>
      </x:c>
      <x:c r="E7675" s="18" t="n">
        <x:v>13.46</x:v>
      </x:c>
      <x:c r="F7675" s="18" t="n">
        <x:v>12.45</x:v>
      </x:c>
      <x:c r="G7675" t="n">
        <x:v>36</x:v>
      </x:c>
      <x:c r="H7675" t="str">
        <x:v>C</x:v>
      </x:c>
      <x:c r="I7675" t="str">
        <x:v>10+ years</x:v>
      </x:c>
      <x:c r="J7675" t="str">
        <x:v>MORTGAGE</x:v>
      </x:c>
      <x:c r="K7675" t="str">
        <x:v>home_improvement</x:v>
      </x:c>
      <x:c r="L7675" t="n">
        <x:v>0</x:v>
      </x:c>
      <x:c r="M7675" t="n">
        <x:v>0</x:v>
      </x:c>
      <x:c r="N7675" t="str">
        <x:v>Fully Paid</x:v>
      </x:c>
      <x:c r="O7675" t="str">
        <x:f>IF(D7675="","Unknown",IF(D7675&lt;25000,"&lt;$25k",IF(D7675&lt;50000,"$25k-$50k",IF(D7675&lt;75000,"$50k-$75k",IF(D7675&lt;100000,"$75k-$100k","$100k+")))))</x:f>
        <x:v>$25k-$50k</x:v>
      </x:c>
      <x:c r="P7675" t="str">
        <x:f>IF(E7675="","Unknown",IF(E7675&lt;10,"&lt;10",IF(E7675&lt;20,"10-&lt;20",IF(E7675&lt;25,"20-&lt;25",IF(E7675&lt;35,"25-&lt;35","35+")))))</x:f>
        <x:v>10-&lt;20</x:v>
      </x:c>
    </x:row>
    <x:row r="7676">
      <x:c r="A7676" t="str">
        <x:v>SYN0007675</x:v>
      </x:c>
      <x:c r="B7676" s="12" t="n">
        <x:v>42055</x:v>
      </x:c>
      <x:c r="C7676" s="18" t="n">
        <x:v>16782</x:v>
      </x:c>
      <x:c r="D7676" s="18" t="n">
        <x:v>94652</x:v>
      </x:c>
      <x:c r="E7676" s="18" t="n">
        <x:v>8.63</x:v>
      </x:c>
      <x:c r="F7676" s="18" t="n">
        <x:v>10.76</x:v>
      </x:c>
      <x:c r="G7676" t="n">
        <x:v>36</x:v>
      </x:c>
      <x:c r="H7676" t="str">
        <x:v>B</x:v>
      </x:c>
      <x:c r="I7676" t="str">
        <x:v>7-9 years</x:v>
      </x:c>
      <x:c r="J7676" t="str">
        <x:v>MORTGAGE</x:v>
      </x:c>
      <x:c r="K7676" t="str">
        <x:v>credit_card</x:v>
      </x:c>
      <x:c r="L7676" t="n">
        <x:v>0</x:v>
      </x:c>
      <x:c r="M7676" t="n">
        <x:v>0</x:v>
      </x:c>
      <x:c r="N7676" t="str">
        <x:v>Fully Paid</x:v>
      </x:c>
      <x:c r="O7676" t="str">
        <x:f>IF(D7676="","Unknown",IF(D7676&lt;25000,"&lt;$25k",IF(D7676&lt;50000,"$25k-$50k",IF(D7676&lt;75000,"$50k-$75k",IF(D7676&lt;100000,"$75k-$100k","$100k+")))))</x:f>
        <x:v>$75k-$100k</x:v>
      </x:c>
      <x:c r="P7676" t="str">
        <x:f>IF(E7676="","Unknown",IF(E7676&lt;10,"&lt;10",IF(E7676&lt;20,"10-&lt;20",IF(E7676&lt;25,"20-&lt;25",IF(E7676&lt;35,"25-&lt;35","35+")))))</x:f>
        <x:v>&lt;10</x:v>
      </x:c>
    </x:row>
    <x:row r="7677">
      <x:c r="A7677" t="str">
        <x:v>SYN0007676</x:v>
      </x:c>
      <x:c r="B7677" s="12" t="n">
        <x:v>42325</x:v>
      </x:c>
      <x:c r="C7677" s="18" t="n">
        <x:v>30151</x:v>
      </x:c>
      <x:c r="D7677" s="18" t="n">
        <x:v>43804</x:v>
      </x:c>
      <x:c r="E7677" s="18" t="n">
        <x:v>23.36</x:v>
      </x:c>
      <x:c r="F7677" s="18" t="n">
        <x:v>12.93</x:v>
      </x:c>
      <x:c r="G7677" t="n">
        <x:v>36</x:v>
      </x:c>
      <x:c r="H7677" t="str">
        <x:v>D</x:v>
      </x:c>
      <x:c r="I7677" t="str">
        <x:v>1-3 years</x:v>
      </x:c>
      <x:c r="J7677" t="str">
        <x:v>MORTGAGE</x:v>
      </x:c>
      <x:c r="K7677" t="str">
        <x:v>home_improvement</x:v>
      </x:c>
      <x:c r="L7677" t="n">
        <x:v>0</x:v>
      </x:c>
      <x:c r="M7677" t="n">
        <x:v>0</x:v>
      </x:c>
      <x:c r="N7677" t="str">
        <x:v>Fully Paid</x:v>
      </x:c>
      <x:c r="O7677" t="str">
        <x:f>IF(D7677="","Unknown",IF(D7677&lt;25000,"&lt;$25k",IF(D7677&lt;50000,"$25k-$50k",IF(D7677&lt;75000,"$50k-$75k",IF(D7677&lt;100000,"$75k-$100k","$100k+")))))</x:f>
        <x:v>$25k-$50k</x:v>
      </x:c>
      <x:c r="P7677" t="str">
        <x:f>IF(E7677="","Unknown",IF(E7677&lt;10,"&lt;10",IF(E7677&lt;20,"10-&lt;20",IF(E7677&lt;25,"20-&lt;25",IF(E7677&lt;35,"25-&lt;35","35+")))))</x:f>
        <x:v>20-&lt;25</x:v>
      </x:c>
    </x:row>
    <x:row r="7678">
      <x:c r="A7678" t="str">
        <x:v>SYN0007677</x:v>
      </x:c>
      <x:c r="B7678" s="12" t="n">
        <x:v>42295</x:v>
      </x:c>
      <x:c r="C7678" s="18" t="n">
        <x:v>10889</x:v>
      </x:c>
      <x:c r="D7678" s="18" t="n">
        <x:v>36175</x:v>
      </x:c>
      <x:c r="E7678" s="18" t="n">
        <x:v>7.56</x:v>
      </x:c>
      <x:c r="F7678" s="18" t="n">
        <x:v>7.68</x:v>
      </x:c>
      <x:c r="G7678" t="n">
        <x:v>36</x:v>
      </x:c>
      <x:c r="H7678" t="str">
        <x:v>A</x:v>
      </x:c>
      <x:c r="I7678" t="str">
        <x:v>10+ years</x:v>
      </x:c>
      <x:c r="J7678" t="str">
        <x:v>RENT</x:v>
      </x:c>
      <x:c r="K7678" t="str">
        <x:v>home_improvement</x:v>
      </x:c>
      <x:c r="L7678" t="n">
        <x:v>0</x:v>
      </x:c>
      <x:c r="M7678" t="n">
        <x:v>0</x:v>
      </x:c>
      <x:c r="N7678" t="str">
        <x:v>Fully Paid</x:v>
      </x:c>
      <x:c r="O7678" t="str">
        <x:f>IF(D7678="","Unknown",IF(D7678&lt;25000,"&lt;$25k",IF(D7678&lt;50000,"$25k-$50k",IF(D7678&lt;75000,"$50k-$75k",IF(D7678&lt;100000,"$75k-$100k","$100k+")))))</x:f>
        <x:v>$25k-$50k</x:v>
      </x:c>
      <x:c r="P7678" t="str">
        <x:f>IF(E7678="","Unknown",IF(E7678&lt;10,"&lt;10",IF(E7678&lt;20,"10-&lt;20",IF(E7678&lt;25,"20-&lt;25",IF(E7678&lt;35,"25-&lt;35","35+")))))</x:f>
        <x:v>&lt;10</x:v>
      </x:c>
    </x:row>
    <x:row r="7679">
      <x:c r="A7679" t="str">
        <x:v>SYN0007678</x:v>
      </x:c>
      <x:c r="B7679" s="12" t="n">
        <x:v>42325</x:v>
      </x:c>
      <x:c r="C7679" s="18" t="n">
        <x:v>12320</x:v>
      </x:c>
      <x:c r="D7679" s="18" t="n">
        <x:v>158472</x:v>
      </x:c>
      <x:c r="E7679" s="18" t="n">
        <x:v>23.38</x:v>
      </x:c>
      <x:c r="F7679" s="18" t="n">
        <x:v>15.34</x:v>
      </x:c>
      <x:c r="G7679" t="n">
        <x:v>60</x:v>
      </x:c>
      <x:c r="H7679" t="str">
        <x:v>D</x:v>
      </x:c>
      <x:c r="I7679" t="str">
        <x:v>10+ years</x:v>
      </x:c>
      <x:c r="J7679" t="str">
        <x:v>MORTGAGE</x:v>
      </x:c>
      <x:c r="K7679" t="str">
        <x:v>debt_consolidation</x:v>
      </x:c>
      <x:c r="L7679" t="n">
        <x:v>0</x:v>
      </x:c>
      <x:c r="M7679" t="n">
        <x:v>0</x:v>
      </x:c>
      <x:c r="N7679" t="str">
        <x:v>Fully Paid</x:v>
      </x:c>
      <x:c r="O7679" t="str">
        <x:f>IF(D7679="","Unknown",IF(D7679&lt;25000,"&lt;$25k",IF(D7679&lt;50000,"$25k-$50k",IF(D7679&lt;75000,"$50k-$75k",IF(D7679&lt;100000,"$75k-$100k","$100k+")))))</x:f>
        <x:v>$100k+</x:v>
      </x:c>
      <x:c r="P7679" t="str">
        <x:f>IF(E7679="","Unknown",IF(E7679&lt;10,"&lt;10",IF(E7679&lt;20,"10-&lt;20",IF(E7679&lt;25,"20-&lt;25",IF(E7679&lt;35,"25-&lt;35","35+")))))</x:f>
        <x:v>20-&lt;25</x:v>
      </x:c>
    </x:row>
    <x:row r="7680">
      <x:c r="A7680" t="str">
        <x:v>SYN0007679</x:v>
      </x:c>
      <x:c r="B7680" s="12" t="n">
        <x:v>42955</x:v>
      </x:c>
      <x:c r="C7680" s="18" t="n">
        <x:v>12956</x:v>
      </x:c>
      <x:c r="D7680" s="18" t="n">
        <x:v>80406</x:v>
      </x:c>
      <x:c r="E7680" s="18" t="n">
        <x:v>10.82</x:v>
      </x:c>
      <x:c r="F7680" s="18" t="n">
        <x:v>7.8</x:v>
      </x:c>
      <x:c r="G7680" t="n">
        <x:v>60</x:v>
      </x:c>
      <x:c r="H7680" t="str">
        <x:v>A</x:v>
      </x:c>
      <x:c r="I7680" t="str">
        <x:v>4-6 years</x:v>
      </x:c>
      <x:c r="J7680" t="str">
        <x:v>MORTGAGE</x:v>
      </x:c>
      <x:c r="K7680" t="str">
        <x:v>home_improvement</x:v>
      </x:c>
      <x:c r="L7680" t="n">
        <x:v>0</x:v>
      </x:c>
      <x:c r="M7680" t="n">
        <x:v>0</x:v>
      </x:c>
      <x:c r="N7680" t="str">
        <x:v>Fully Paid</x:v>
      </x:c>
      <x:c r="O7680" t="str">
        <x:f>IF(D7680="","Unknown",IF(D7680&lt;25000,"&lt;$25k",IF(D7680&lt;50000,"$25k-$50k",IF(D7680&lt;75000,"$50k-$75k",IF(D7680&lt;100000,"$75k-$100k","$100k+")))))</x:f>
        <x:v>$75k-$100k</x:v>
      </x:c>
      <x:c r="P7680" t="str">
        <x:f>IF(E7680="","Unknown",IF(E7680&lt;10,"&lt;10",IF(E7680&lt;20,"10-&lt;20",IF(E7680&lt;25,"20-&lt;25",IF(E7680&lt;35,"25-&lt;35","35+")))))</x:f>
        <x:v>10-&lt;20</x:v>
      </x:c>
    </x:row>
    <x:row r="7681">
      <x:c r="A7681" t="str">
        <x:v>SYN0007680</x:v>
      </x:c>
      <x:c r="B7681" s="12" t="n">
        <x:v>41605</x:v>
      </x:c>
      <x:c r="C7681" s="18" t="n">
        <x:v>13196</x:v>
      </x:c>
      <x:c r="D7681" s="18" t="n">
        <x:v>113307</x:v>
      </x:c>
      <x:c r="E7681" s="18" t="n">
        <x:v>30.6</x:v>
      </x:c>
      <x:c r="F7681" s="18" t="n">
        <x:v>10.14</x:v>
      </x:c>
      <x:c r="G7681" t="n">
        <x:v>36</x:v>
      </x:c>
      <x:c r="H7681" t="str">
        <x:v>C</x:v>
      </x:c>
      <x:c r="I7681" t="str">
        <x:v>7-9 years</x:v>
      </x:c>
      <x:c r="J7681" t="str">
        <x:v>RENT</x:v>
      </x:c>
      <x:c r="K7681" t="str">
        <x:v>debt_consolidation</x:v>
      </x:c>
      <x:c r="L7681" t="n">
        <x:v>0</x:v>
      </x:c>
      <x:c r="M7681" t="n">
        <x:v>0</x:v>
      </x:c>
      <x:c r="N7681" t="str">
        <x:v>Fully Paid</x:v>
      </x:c>
      <x:c r="O7681" t="str">
        <x:f>IF(D7681="","Unknown",IF(D7681&lt;25000,"&lt;$25k",IF(D7681&lt;50000,"$25k-$50k",IF(D7681&lt;75000,"$50k-$75k",IF(D7681&lt;100000,"$75k-$100k","$100k+")))))</x:f>
        <x:v>$100k+</x:v>
      </x:c>
      <x:c r="P7681" t="str">
        <x:f>IF(E7681="","Unknown",IF(E7681&lt;10,"&lt;10",IF(E7681&lt;20,"10-&lt;20",IF(E7681&lt;25,"20-&lt;25",IF(E7681&lt;35,"25-&lt;35","35+")))))</x:f>
        <x:v>25-&lt;35</x:v>
      </x:c>
    </x:row>
    <x:row r="7682">
      <x:c r="A7682" t="str">
        <x:v>SYN0007681</x:v>
      </x:c>
      <x:c r="B7682" s="12" t="n">
        <x:v>42325</x:v>
      </x:c>
      <x:c r="C7682" s="18" t="n">
        <x:v>16280</x:v>
      </x:c>
      <x:c r="D7682" s="18" t="n">
        <x:v>44896</x:v>
      </x:c>
      <x:c r="E7682" s="18" t="n">
        <x:v>27.56</x:v>
      </x:c>
      <x:c r="F7682" s="18" t="n">
        <x:v>12.49</x:v>
      </x:c>
      <x:c r="G7682" t="n">
        <x:v>36</x:v>
      </x:c>
      <x:c r="H7682" t="str">
        <x:v>D</x:v>
      </x:c>
      <x:c r="I7682" t="str">
        <x:v>10+ years</x:v>
      </x:c>
      <x:c r="J7682" t="str">
        <x:v>RENT</x:v>
      </x:c>
      <x:c r="K7682" t="str">
        <x:v>major_purchase</x:v>
      </x:c>
      <x:c r="L7682" t="n">
        <x:v>2</x:v>
      </x:c>
      <x:c r="M7682" t="n">
        <x:v>0</x:v>
      </x:c>
      <x:c r="N7682" t="str">
        <x:v>Fully Paid</x:v>
      </x:c>
      <x:c r="O7682" t="str">
        <x:f>IF(D7682="","Unknown",IF(D7682&lt;25000,"&lt;$25k",IF(D7682&lt;50000,"$25k-$50k",IF(D7682&lt;75000,"$50k-$75k",IF(D7682&lt;100000,"$75k-$100k","$100k+")))))</x:f>
        <x:v>$25k-$50k</x:v>
      </x:c>
      <x:c r="P7682" t="str">
        <x:f>IF(E7682="","Unknown",IF(E7682&lt;10,"&lt;10",IF(E7682&lt;20,"10-&lt;20",IF(E7682&lt;25,"20-&lt;25",IF(E7682&lt;35,"25-&lt;35","35+")))))</x:f>
        <x:v>25-&lt;35</x:v>
      </x:c>
    </x:row>
    <x:row r="7683">
      <x:c r="A7683" t="str">
        <x:v>SYN0007682</x:v>
      </x:c>
      <x:c r="B7683" s="12" t="n">
        <x:v>43165</x:v>
      </x:c>
      <x:c r="C7683" s="18" t="n">
        <x:v>9991</x:v>
      </x:c>
      <x:c r="D7683" s="18" t="n">
        <x:v>111426</x:v>
      </x:c>
      <x:c r="E7683" s="18" t="n">
        <x:v>25.4</x:v>
      </x:c>
      <x:c r="F7683" s="18" t="n">
        <x:v>11.11</x:v>
      </x:c>
      <x:c r="G7683" t="n">
        <x:v>36</x:v>
      </x:c>
      <x:c r="H7683" t="str">
        <x:v>B</x:v>
      </x:c>
      <x:c r="I7683" t="str">
        <x:v>4-6 years</x:v>
      </x:c>
      <x:c r="J7683" t="str">
        <x:v>RENT</x:v>
      </x:c>
      <x:c r="K7683" t="str">
        <x:v>major_purchase</x:v>
      </x:c>
      <x:c r="L7683" t="n">
        <x:v>1</x:v>
      </x:c>
      <x:c r="M7683" t="n">
        <x:v>0</x:v>
      </x:c>
      <x:c r="N7683" t="str">
        <x:v>Fully Paid</x:v>
      </x:c>
      <x:c r="O7683" t="str">
        <x:f>IF(D7683="","Unknown",IF(D7683&lt;25000,"&lt;$25k",IF(D7683&lt;50000,"$25k-$50k",IF(D7683&lt;75000,"$50k-$75k",IF(D7683&lt;100000,"$75k-$100k","$100k+")))))</x:f>
        <x:v>$100k+</x:v>
      </x:c>
      <x:c r="P7683" t="str">
        <x:f>IF(E7683="","Unknown",IF(E7683&lt;10,"&lt;10",IF(E7683&lt;20,"10-&lt;20",IF(E7683&lt;25,"20-&lt;25",IF(E7683&lt;35,"25-&lt;35","35+")))))</x:f>
        <x:v>25-&lt;35</x:v>
      </x:c>
    </x:row>
    <x:row r="7684">
      <x:c r="A7684" t="str">
        <x:v>SYN0007683</x:v>
      </x:c>
      <x:c r="B7684" s="12" t="n">
        <x:v>43405</x:v>
      </x:c>
      <x:c r="C7684" s="18" t="n">
        <x:v>18988</x:v>
      </x:c>
      <x:c r="D7684" s="18" t="n">
        <x:v>49199</x:v>
      </x:c>
      <x:c r="E7684" s="18" t="n">
        <x:v>33.23</x:v>
      </x:c>
      <x:c r="F7684" s="18" t="n">
        <x:v>10.27</x:v>
      </x:c>
      <x:c r="G7684" t="n">
        <x:v>60</x:v>
      </x:c>
      <x:c r="H7684" t="str">
        <x:v>C</x:v>
      </x:c>
      <x:c r="I7684" t="str">
        <x:v>10+ years</x:v>
      </x:c>
      <x:c r="J7684" t="str">
        <x:v>RENT</x:v>
      </x:c>
      <x:c r="K7684" t="str">
        <x:v>major_purchase</x:v>
      </x:c>
      <x:c r="L7684" t="n">
        <x:v>0</x:v>
      </x:c>
      <x:c r="M7684" t="n">
        <x:v>0</x:v>
      </x:c>
      <x:c r="N7684" t="str">
        <x:v>Fully Paid</x:v>
      </x:c>
      <x:c r="O7684" t="str">
        <x:f>IF(D7684="","Unknown",IF(D7684&lt;25000,"&lt;$25k",IF(D7684&lt;50000,"$25k-$50k",IF(D7684&lt;75000,"$50k-$75k",IF(D7684&lt;100000,"$75k-$100k","$100k+")))))</x:f>
        <x:v>$25k-$50k</x:v>
      </x:c>
      <x:c r="P7684" t="str">
        <x:f>IF(E7684="","Unknown",IF(E7684&lt;10,"&lt;10",IF(E7684&lt;20,"10-&lt;20",IF(E7684&lt;25,"20-&lt;25",IF(E7684&lt;35,"25-&lt;35","35+")))))</x:f>
        <x:v>25-&lt;35</x:v>
      </x:c>
    </x:row>
    <x:row r="7685">
      <x:c r="A7685" t="str">
        <x:v>SYN0007684</x:v>
      </x:c>
      <x:c r="B7685" s="12" t="n">
        <x:v>42505</x:v>
      </x:c>
      <x:c r="C7685" s="18" t="n">
        <x:v>29739</x:v>
      </x:c>
      <x:c r="D7685" s="18" t="n">
        <x:v>68642</x:v>
      </x:c>
      <x:c r="E7685" s="18" t="n">
        <x:v>29.61</x:v>
      </x:c>
      <x:c r="F7685" s="18" t="n">
        <x:v>24.31</x:v>
      </x:c>
      <x:c r="G7685" t="n">
        <x:v>36</x:v>
      </x:c>
      <x:c r="H7685" t="str">
        <x:v>F</x:v>
      </x:c>
      <x:c r="I7685" t="str">
        <x:v>4-6 years</x:v>
      </x:c>
      <x:c r="J7685" t="str">
        <x:v>OWN</x:v>
      </x:c>
      <x:c r="K7685" t="str">
        <x:v>debt_consolidation</x:v>
      </x:c>
      <x:c r="L7685" t="n">
        <x:v>1</x:v>
      </x:c>
      <x:c r="M7685" t="n">
        <x:v>0</x:v>
      </x:c>
      <x:c r="N7685" t="str">
        <x:v>Fully Paid</x:v>
      </x:c>
      <x:c r="O7685" t="str">
        <x:f>IF(D7685="","Unknown",IF(D7685&lt;25000,"&lt;$25k",IF(D7685&lt;50000,"$25k-$50k",IF(D7685&lt;75000,"$50k-$75k",IF(D7685&lt;100000,"$75k-$100k","$100k+")))))</x:f>
        <x:v>$50k-$75k</x:v>
      </x:c>
      <x:c r="P7685" t="str">
        <x:f>IF(E7685="","Unknown",IF(E7685&lt;10,"&lt;10",IF(E7685&lt;20,"10-&lt;20",IF(E7685&lt;25,"20-&lt;25",IF(E7685&lt;35,"25-&lt;35","35+")))))</x:f>
        <x:v>25-&lt;35</x:v>
      </x:c>
    </x:row>
    <x:row r="7686">
      <x:c r="A7686" t="str">
        <x:v>SYN0007685</x:v>
      </x:c>
      <x:c r="B7686" s="12" t="n">
        <x:v>42325</x:v>
      </x:c>
      <x:c r="C7686" s="18" t="n">
        <x:v>12351</x:v>
      </x:c>
      <x:c r="D7686" s="18" t="n">
        <x:v>37950</x:v>
      </x:c>
      <x:c r="E7686" s="18" t="n">
        <x:v>27.62</x:v>
      </x:c>
      <x:c r="F7686" s="18" t="n">
        <x:v>10.87</x:v>
      </x:c>
      <x:c r="G7686" t="n">
        <x:v>36</x:v>
      </x:c>
      <x:c r="H7686" t="str">
        <x:v>B</x:v>
      </x:c>
      <x:c r="I7686" t="str">
        <x:v>10+ years</x:v>
      </x:c>
      <x:c r="J7686" t="str">
        <x:v>OWN</x:v>
      </x:c>
      <x:c r="K7686" t="str">
        <x:v>debt_consolidation</x:v>
      </x:c>
      <x:c r="L7686" t="n">
        <x:v>1</x:v>
      </x:c>
      <x:c r="M7686" t="n">
        <x:v>0</x:v>
      </x:c>
      <x:c r="N7686" t="str">
        <x:v>Fully Paid</x:v>
      </x:c>
      <x:c r="O7686" t="str">
        <x:f>IF(D7686="","Unknown",IF(D7686&lt;25000,"&lt;$25k",IF(D7686&lt;50000,"$25k-$50k",IF(D7686&lt;75000,"$50k-$75k",IF(D7686&lt;100000,"$75k-$100k","$100k+")))))</x:f>
        <x:v>$25k-$50k</x:v>
      </x:c>
      <x:c r="P7686" t="str">
        <x:f>IF(E7686="","Unknown",IF(E7686&lt;10,"&lt;10",IF(E7686&lt;20,"10-&lt;20",IF(E7686&lt;25,"20-&lt;25",IF(E7686&lt;35,"25-&lt;35","35+")))))</x:f>
        <x:v>25-&lt;35</x:v>
      </x:c>
    </x:row>
    <x:row r="7687">
      <x:c r="A7687" t="str">
        <x:v>SYN0007686</x:v>
      </x:c>
      <x:c r="B7687" s="12" t="n">
        <x:v>41305</x:v>
      </x:c>
      <x:c r="C7687" s="18" t="n">
        <x:v>9037</x:v>
      </x:c>
      <x:c r="D7687" s="18" t="n">
        <x:v>57311</x:v>
      </x:c>
      <x:c r="E7687" s="18" t="n">
        <x:v>27.89</x:v>
      </x:c>
      <x:c r="F7687" s="18" t="n">
        <x:v>17.51</x:v>
      </x:c>
      <x:c r="G7687" t="n">
        <x:v>60</x:v>
      </x:c>
      <x:c r="H7687" t="str">
        <x:v>E</x:v>
      </x:c>
      <x:c r="I7687" t="str">
        <x:v>10+ years</x:v>
      </x:c>
      <x:c r="J7687" t="str">
        <x:v>RENT</x:v>
      </x:c>
      <x:c r="K7687" t="str">
        <x:v>debt_consolidation</x:v>
      </x:c>
      <x:c r="L7687" t="n">
        <x:v>3</x:v>
      </x:c>
      <x:c r="M7687" t="n">
        <x:v>0</x:v>
      </x:c>
      <x:c r="N7687" t="str">
        <x:v>Fully Paid</x:v>
      </x:c>
      <x:c r="O7687" t="str">
        <x:f>IF(D7687="","Unknown",IF(D7687&lt;25000,"&lt;$25k",IF(D7687&lt;50000,"$25k-$50k",IF(D7687&lt;75000,"$50k-$75k",IF(D7687&lt;100000,"$75k-$100k","$100k+")))))</x:f>
        <x:v>$50k-$75k</x:v>
      </x:c>
      <x:c r="P7687" t="str">
        <x:f>IF(E7687="","Unknown",IF(E7687&lt;10,"&lt;10",IF(E7687&lt;20,"10-&lt;20",IF(E7687&lt;25,"20-&lt;25",IF(E7687&lt;35,"25-&lt;35","35+")))))</x:f>
        <x:v>25-&lt;35</x:v>
      </x:c>
    </x:row>
    <x:row r="7688">
      <x:c r="A7688" t="str">
        <x:v>SYN0007687</x:v>
      </x:c>
      <x:c r="B7688" s="12" t="n">
        <x:v>41965</x:v>
      </x:c>
      <x:c r="C7688" s="18" t="n">
        <x:v>15940</x:v>
      </x:c>
      <x:c r="D7688" s="18" t="n">
        <x:v>83584</x:v>
      </x:c>
      <x:c r="E7688" s="18" t="n">
        <x:v>21.12</x:v>
      </x:c>
      <x:c r="F7688" s="18" t="n">
        <x:v>13.79</x:v>
      </x:c>
      <x:c r="G7688" t="n">
        <x:v>60</x:v>
      </x:c>
      <x:c r="H7688" t="str">
        <x:v>D</x:v>
      </x:c>
      <x:c r="I7688" t="str">
        <x:v>10+ years</x:v>
      </x:c>
      <x:c r="J7688" t="str">
        <x:v>MORTGAGE</x:v>
      </x:c>
      <x:c r="K7688" t="str">
        <x:v>credit_card</x:v>
      </x:c>
      <x:c r="L7688" t="n">
        <x:v>0</x:v>
      </x:c>
      <x:c r="M7688" t="n">
        <x:v>0</x:v>
      </x:c>
      <x:c r="N7688" t="str">
        <x:v>Fully Paid</x:v>
      </x:c>
      <x:c r="O7688" t="str">
        <x:f>IF(D7688="","Unknown",IF(D7688&lt;25000,"&lt;$25k",IF(D7688&lt;50000,"$25k-$50k",IF(D7688&lt;75000,"$50k-$75k",IF(D7688&lt;100000,"$75k-$100k","$100k+")))))</x:f>
        <x:v>$75k-$100k</x:v>
      </x:c>
      <x:c r="P7688" t="str">
        <x:f>IF(E7688="","Unknown",IF(E7688&lt;10,"&lt;10",IF(E7688&lt;20,"10-&lt;20",IF(E7688&lt;25,"20-&lt;25",IF(E7688&lt;35,"25-&lt;35","35+")))))</x:f>
        <x:v>20-&lt;25</x:v>
      </x:c>
    </x:row>
    <x:row r="7689">
      <x:c r="A7689" t="str">
        <x:v>SYN0007688</x:v>
      </x:c>
      <x:c r="B7689" s="12" t="n">
        <x:v>42805</x:v>
      </x:c>
      <x:c r="C7689" s="18" t="n">
        <x:v>16727</x:v>
      </x:c>
      <x:c r="D7689" s="18" t="n">
        <x:v>72886</x:v>
      </x:c>
      <x:c r="E7689" s="18" t="n">
        <x:v>6.71</x:v>
      </x:c>
      <x:c r="F7689" s="18" t="n">
        <x:v>11.79</x:v>
      </x:c>
      <x:c r="G7689" t="n">
        <x:v>36</x:v>
      </x:c>
      <x:c r="H7689" t="str">
        <x:v>C</x:v>
      </x:c>
      <x:c r="I7689" t="str">
        <x:v>1-3 years</x:v>
      </x:c>
      <x:c r="J7689" t="str">
        <x:v>OWN</x:v>
      </x:c>
      <x:c r="K7689" t="str">
        <x:v>medical</x:v>
      </x:c>
      <x:c r="L7689" t="n">
        <x:v>1</x:v>
      </x:c>
      <x:c r="M7689" t="n">
        <x:v>0</x:v>
      </x:c>
      <x:c r="N7689" t="str">
        <x:v>Fully Paid</x:v>
      </x:c>
      <x:c r="O7689" t="str">
        <x:f>IF(D7689="","Unknown",IF(D7689&lt;25000,"&lt;$25k",IF(D7689&lt;50000,"$25k-$50k",IF(D7689&lt;75000,"$50k-$75k",IF(D7689&lt;100000,"$75k-$100k","$100k+")))))</x:f>
        <x:v>$50k-$75k</x:v>
      </x:c>
      <x:c r="P7689" t="str">
        <x:f>IF(E7689="","Unknown",IF(E7689&lt;10,"&lt;10",IF(E7689&lt;20,"10-&lt;20",IF(E7689&lt;25,"20-&lt;25",IF(E7689&lt;35,"25-&lt;35","35+")))))</x:f>
        <x:v>&lt;10</x:v>
      </x:c>
    </x:row>
    <x:row r="7690">
      <x:c r="A7690" t="str">
        <x:v>SYN0007689</x:v>
      </x:c>
      <x:c r="B7690" s="12" t="n">
        <x:v>41515</x:v>
      </x:c>
      <x:c r="C7690" s="18" t="n">
        <x:v>9002</x:v>
      </x:c>
      <x:c r="D7690" s="18" t="n">
        <x:v>29658</x:v>
      </x:c>
      <x:c r="E7690" s="18" t="n">
        <x:v>22.86</x:v>
      </x:c>
      <x:c r="F7690" s="18" t="n">
        <x:v>13.79</x:v>
      </x:c>
      <x:c r="G7690" t="n">
        <x:v>60</x:v>
      </x:c>
      <x:c r="H7690" t="str">
        <x:v>D</x:v>
      </x:c>
      <x:c r="I7690" t="str">
        <x:v>&lt;1 year</x:v>
      </x:c>
      <x:c r="J7690" t="str">
        <x:v>MORTGAGE</x:v>
      </x:c>
      <x:c r="K7690" t="str">
        <x:v>home_improvement</x:v>
      </x:c>
      <x:c r="L7690" t="n">
        <x:v>1</x:v>
      </x:c>
      <x:c r="M7690" t="n">
        <x:v>0</x:v>
      </x:c>
      <x:c r="N7690" t="str">
        <x:v>Fully Paid</x:v>
      </x:c>
      <x:c r="O7690" t="str">
        <x:f>IF(D7690="","Unknown",IF(D7690&lt;25000,"&lt;$25k",IF(D7690&lt;50000,"$25k-$50k",IF(D7690&lt;75000,"$50k-$75k",IF(D7690&lt;100000,"$75k-$100k","$100k+")))))</x:f>
        <x:v>$25k-$50k</x:v>
      </x:c>
      <x:c r="P7690" t="str">
        <x:f>IF(E7690="","Unknown",IF(E7690&lt;10,"&lt;10",IF(E7690&lt;20,"10-&lt;20",IF(E7690&lt;25,"20-&lt;25",IF(E7690&lt;35,"25-&lt;35","35+")))))</x:f>
        <x:v>20-&lt;25</x:v>
      </x:c>
    </x:row>
    <x:row r="7691">
      <x:c r="A7691" t="str">
        <x:v>SYN0007690</x:v>
      </x:c>
      <x:c r="B7691" s="12" t="n">
        <x:v>42055</x:v>
      </x:c>
      <x:c r="C7691" s="18" t="n">
        <x:v>17207</x:v>
      </x:c>
      <x:c r="D7691" s="18" t="n">
        <x:v>48610</x:v>
      </x:c>
      <x:c r="E7691" s="18" t="n">
        <x:v>31.17</x:v>
      </x:c>
      <x:c r="F7691" s="18" t="n">
        <x:v>10.43</x:v>
      </x:c>
      <x:c r="G7691" t="n">
        <x:v>36</x:v>
      </x:c>
      <x:c r="H7691" t="str">
        <x:v>C</x:v>
      </x:c>
      <x:c r="I7691" t="str">
        <x:v>10+ years</x:v>
      </x:c>
      <x:c r="J7691" t="str">
        <x:v>RENT</x:v>
      </x:c>
      <x:c r="K7691" t="str">
        <x:v>debt_consolidation</x:v>
      </x:c>
      <x:c r="L7691" t="n">
        <x:v>0</x:v>
      </x:c>
      <x:c r="M7691" t="n">
        <x:v>0</x:v>
      </x:c>
      <x:c r="N7691" t="str">
        <x:v>Fully Paid</x:v>
      </x:c>
      <x:c r="O7691" t="str">
        <x:f>IF(D7691="","Unknown",IF(D7691&lt;25000,"&lt;$25k",IF(D7691&lt;50000,"$25k-$50k",IF(D7691&lt;75000,"$50k-$75k",IF(D7691&lt;100000,"$75k-$100k","$100k+")))))</x:f>
        <x:v>$25k-$50k</x:v>
      </x:c>
      <x:c r="P7691" t="str">
        <x:f>IF(E7691="","Unknown",IF(E7691&lt;10,"&lt;10",IF(E7691&lt;20,"10-&lt;20",IF(E7691&lt;25,"20-&lt;25",IF(E7691&lt;35,"25-&lt;35","35+")))))</x:f>
        <x:v>25-&lt;35</x:v>
      </x:c>
    </x:row>
    <x:row r="7692">
      <x:c r="A7692" t="str">
        <x:v>SYN0007691</x:v>
      </x:c>
      <x:c r="B7692" s="12" t="n">
        <x:v>41275</x:v>
      </x:c>
      <x:c r="C7692" s="18" t="n">
        <x:v>7361</x:v>
      </x:c>
      <x:c r="D7692" s="18" t="n">
        <x:v>25395</x:v>
      </x:c>
      <x:c r="E7692" s="18" t="n">
        <x:v>13.43</x:v>
      </x:c>
      <x:c r="F7692" s="18" t="n">
        <x:v>9.58</x:v>
      </x:c>
      <x:c r="G7692" t="n">
        <x:v>36</x:v>
      </x:c>
      <x:c r="H7692" t="str">
        <x:v>C</x:v>
      </x:c>
      <x:c r="I7692" t="str">
        <x:v>4-6 years</x:v>
      </x:c>
      <x:c r="J7692" t="str">
        <x:v>MORTGAGE</x:v>
      </x:c>
      <x:c r="K7692" t="str">
        <x:v>debt_consolidation</x:v>
      </x:c>
      <x:c r="L7692" t="n">
        <x:v>0</x:v>
      </x:c>
      <x:c r="M7692" t="n">
        <x:v>0</x:v>
      </x:c>
      <x:c r="N7692" t="str">
        <x:v>Fully Paid</x:v>
      </x:c>
      <x:c r="O7692" t="str">
        <x:f>IF(D7692="","Unknown",IF(D7692&lt;25000,"&lt;$25k",IF(D7692&lt;50000,"$25k-$50k",IF(D7692&lt;75000,"$50k-$75k",IF(D7692&lt;100000,"$75k-$100k","$100k+")))))</x:f>
        <x:v>$25k-$50k</x:v>
      </x:c>
      <x:c r="P7692" t="str">
        <x:f>IF(E7692="","Unknown",IF(E7692&lt;10,"&lt;10",IF(E7692&lt;20,"10-&lt;20",IF(E7692&lt;25,"20-&lt;25",IF(E7692&lt;35,"25-&lt;35","35+")))))</x:f>
        <x:v>10-&lt;20</x:v>
      </x:c>
    </x:row>
    <x:row r="7693">
      <x:c r="A7693" t="str">
        <x:v>SYN0007692</x:v>
      </x:c>
      <x:c r="B7693" s="12" t="n">
        <x:v>42505</x:v>
      </x:c>
      <x:c r="C7693" s="18" t="n">
        <x:v>15434</x:v>
      </x:c>
      <x:c r="D7693" s="18" t="n">
        <x:v>57070</x:v>
      </x:c>
      <x:c r="E7693" s="18" t="n">
        <x:v>24.6</x:v>
      </x:c>
      <x:c r="F7693" s="18" t="n">
        <x:v>5</x:v>
      </x:c>
      <x:c r="G7693" t="n">
        <x:v>36</x:v>
      </x:c>
      <x:c r="H7693" t="str">
        <x:v>A</x:v>
      </x:c>
      <x:c r="I7693" t="str">
        <x:v>7-9 years</x:v>
      </x:c>
      <x:c r="J7693" t="str">
        <x:v>MORTGAGE</x:v>
      </x:c>
      <x:c r="K7693" t="str">
        <x:v>debt_consolidation</x:v>
      </x:c>
      <x:c r="L7693" t="n">
        <x:v>1</x:v>
      </x:c>
      <x:c r="M7693" t="n">
        <x:v>0</x:v>
      </x:c>
      <x:c r="N7693" t="str">
        <x:v>Fully Paid</x:v>
      </x:c>
      <x:c r="O7693" t="str">
        <x:f>IF(D7693="","Unknown",IF(D7693&lt;25000,"&lt;$25k",IF(D7693&lt;50000,"$25k-$50k",IF(D7693&lt;75000,"$50k-$75k",IF(D7693&lt;100000,"$75k-$100k","$100k+")))))</x:f>
        <x:v>$50k-$75k</x:v>
      </x:c>
      <x:c r="P7693" t="str">
        <x:f>IF(E7693="","Unknown",IF(E7693&lt;10,"&lt;10",IF(E7693&lt;20,"10-&lt;20",IF(E7693&lt;25,"20-&lt;25",IF(E7693&lt;35,"25-&lt;35","35+")))))</x:f>
        <x:v>20-&lt;25</x:v>
      </x:c>
    </x:row>
    <x:row r="7694">
      <x:c r="A7694" t="str">
        <x:v>SYN0007693</x:v>
      </x:c>
      <x:c r="B7694" s="12" t="n">
        <x:v>43405</x:v>
      </x:c>
      <x:c r="C7694" s="18" t="n">
        <x:v>9644</x:v>
      </x:c>
      <x:c r="D7694" s="18" t="n">
        <x:v>44894</x:v>
      </x:c>
      <x:c r="E7694" s="18" t="n">
        <x:v>16.6</x:v>
      </x:c>
      <x:c r="F7694" s="18" t="n">
        <x:v>6.58</x:v>
      </x:c>
      <x:c r="G7694" t="n">
        <x:v>60</x:v>
      </x:c>
      <x:c r="H7694" t="str">
        <x:v>B</x:v>
      </x:c>
      <x:c r="I7694" t="str">
        <x:v>4-6 years</x:v>
      </x:c>
      <x:c r="J7694" t="str">
        <x:v>MORTGAGE</x:v>
      </x:c>
      <x:c r="K7694" t="str">
        <x:v>debt_consolidation</x:v>
      </x:c>
      <x:c r="L7694" t="n">
        <x:v>0</x:v>
      </x:c>
      <x:c r="M7694" t="n">
        <x:v>0</x:v>
      </x:c>
      <x:c r="N7694" t="str">
        <x:v>Fully Paid</x:v>
      </x:c>
      <x:c r="O7694" t="str">
        <x:f>IF(D7694="","Unknown",IF(D7694&lt;25000,"&lt;$25k",IF(D7694&lt;50000,"$25k-$50k",IF(D7694&lt;75000,"$50k-$75k",IF(D7694&lt;100000,"$75k-$100k","$100k+")))))</x:f>
        <x:v>$25k-$50k</x:v>
      </x:c>
      <x:c r="P7694" t="str">
        <x:f>IF(E7694="","Unknown",IF(E7694&lt;10,"&lt;10",IF(E7694&lt;20,"10-&lt;20",IF(E7694&lt;25,"20-&lt;25",IF(E7694&lt;35,"25-&lt;35","35+")))))</x:f>
        <x:v>10-&lt;20</x:v>
      </x:c>
    </x:row>
    <x:row r="7695">
      <x:c r="A7695" t="str">
        <x:v>SYN0007694</x:v>
      </x:c>
      <x:c r="B7695" s="12" t="n">
        <x:v>41665</x:v>
      </x:c>
      <x:c r="C7695" s="18" t="n">
        <x:v>8174</x:v>
      </x:c>
      <x:c r="D7695" s="18" t="n">
        <x:v>39770</x:v>
      </x:c>
      <x:c r="E7695" s="18" t="n">
        <x:v>27.87</x:v>
      </x:c>
      <x:c r="F7695" s="18" t="n">
        <x:v>16.13</x:v>
      </x:c>
      <x:c r="G7695" t="n">
        <x:v>36</x:v>
      </x:c>
      <x:c r="H7695" t="str">
        <x:v>E</x:v>
      </x:c>
      <x:c r="I7695" t="str">
        <x:v>7-9 years</x:v>
      </x:c>
      <x:c r="J7695" t="str">
        <x:v>MORTGAGE</x:v>
      </x:c>
      <x:c r="K7695" t="str">
        <x:v>other</x:v>
      </x:c>
      <x:c r="L7695" t="n">
        <x:v>0</x:v>
      </x:c>
      <x:c r="M7695" t="n">
        <x:v>0</x:v>
      </x:c>
      <x:c r="N7695" t="str">
        <x:v>Fully Paid</x:v>
      </x:c>
      <x:c r="O7695" t="str">
        <x:f>IF(D7695="","Unknown",IF(D7695&lt;25000,"&lt;$25k",IF(D7695&lt;50000,"$25k-$50k",IF(D7695&lt;75000,"$50k-$75k",IF(D7695&lt;100000,"$75k-$100k","$100k+")))))</x:f>
        <x:v>$25k-$50k</x:v>
      </x:c>
      <x:c r="P7695" t="str">
        <x:f>IF(E7695="","Unknown",IF(E7695&lt;10,"&lt;10",IF(E7695&lt;20,"10-&lt;20",IF(E7695&lt;25,"20-&lt;25",IF(E7695&lt;35,"25-&lt;35","35+")))))</x:f>
        <x:v>25-&lt;35</x:v>
      </x:c>
    </x:row>
    <x:row r="7696">
      <x:c r="A7696" t="str">
        <x:v>SYN0007695</x:v>
      </x:c>
      <x:c r="B7696" s="12" t="n">
        <x:v>42445</x:v>
      </x:c>
      <x:c r="C7696" s="18" t="n">
        <x:v>9757</x:v>
      </x:c>
      <x:c r="D7696" s="18" t="n">
        <x:v>81393</x:v>
      </x:c>
      <x:c r="E7696" s="18" t="n">
        <x:v>16.51</x:v>
      </x:c>
      <x:c r="F7696" s="18" t="n">
        <x:v>8.67</x:v>
      </x:c>
      <x:c r="G7696" t="n">
        <x:v>36</x:v>
      </x:c>
      <x:c r="H7696" t="str">
        <x:v>B</x:v>
      </x:c>
      <x:c r="I7696" t="str">
        <x:v>7-9 years</x:v>
      </x:c>
      <x:c r="J7696" t="str">
        <x:v>RENT</x:v>
      </x:c>
      <x:c r="K7696" t="str">
        <x:v>home_improvement</x:v>
      </x:c>
      <x:c r="L7696" t="n">
        <x:v>1</x:v>
      </x:c>
      <x:c r="M7696" t="n">
        <x:v>0</x:v>
      </x:c>
      <x:c r="N7696" t="str">
        <x:v>Fully Paid</x:v>
      </x:c>
      <x:c r="O7696" t="str">
        <x:f>IF(D7696="","Unknown",IF(D7696&lt;25000,"&lt;$25k",IF(D7696&lt;50000,"$25k-$50k",IF(D7696&lt;75000,"$50k-$75k",IF(D7696&lt;100000,"$75k-$100k","$100k+")))))</x:f>
        <x:v>$75k-$100k</x:v>
      </x:c>
      <x:c r="P7696" t="str">
        <x:f>IF(E7696="","Unknown",IF(E7696&lt;10,"&lt;10",IF(E7696&lt;20,"10-&lt;20",IF(E7696&lt;25,"20-&lt;25",IF(E7696&lt;35,"25-&lt;35","35+")))))</x:f>
        <x:v>10-&lt;20</x:v>
      </x:c>
    </x:row>
    <x:row r="7697">
      <x:c r="A7697" t="str">
        <x:v>SYN0007696</x:v>
      </x:c>
      <x:c r="B7697" s="12" t="n">
        <x:v>42235</x:v>
      </x:c>
      <x:c r="C7697" s="18" t="n">
        <x:v>27413</x:v>
      </x:c>
      <x:c r="D7697" s="18" t="n">
        <x:v>19076</x:v>
      </x:c>
      <x:c r="E7697" s="18" t="n">
        <x:v>21.5</x:v>
      </x:c>
      <x:c r="F7697" s="18" t="n">
        <x:v>8.18</x:v>
      </x:c>
      <x:c r="G7697" t="n">
        <x:v>36</x:v>
      </x:c>
      <x:c r="H7697" t="str">
        <x:v>B</x:v>
      </x:c>
      <x:c r="I7697" t="str">
        <x:v>1-3 years</x:v>
      </x:c>
      <x:c r="J7697" t="str">
        <x:v>MORTGAGE</x:v>
      </x:c>
      <x:c r="K7697" t="str">
        <x:v>credit_card</x:v>
      </x:c>
      <x:c r="L7697" t="n">
        <x:v>1</x:v>
      </x:c>
      <x:c r="M7697" t="n">
        <x:v>0</x:v>
      </x:c>
      <x:c r="N7697" t="str">
        <x:v>Fully Paid</x:v>
      </x:c>
      <x:c r="O7697" t="str">
        <x:f>IF(D7697="","Unknown",IF(D7697&lt;25000,"&lt;$25k",IF(D7697&lt;50000,"$25k-$50k",IF(D7697&lt;75000,"$50k-$75k",IF(D7697&lt;100000,"$75k-$100k","$100k+")))))</x:f>
        <x:v>&lt;$25k</x:v>
      </x:c>
      <x:c r="P7697" t="str">
        <x:f>IF(E7697="","Unknown",IF(E7697&lt;10,"&lt;10",IF(E7697&lt;20,"10-&lt;20",IF(E7697&lt;25,"20-&lt;25",IF(E7697&lt;35,"25-&lt;35","35+")))))</x:f>
        <x:v>20-&lt;25</x:v>
      </x:c>
    </x:row>
    <x:row r="7698">
      <x:c r="A7698" t="str">
        <x:v>SYN0007697</x:v>
      </x:c>
      <x:c r="B7698" s="12" t="n">
        <x:v>41425</x:v>
      </x:c>
      <x:c r="C7698" s="18" t="n">
        <x:v>8876</x:v>
      </x:c>
      <x:c r="D7698" s="18" t="n">
        <x:v>31794</x:v>
      </x:c>
      <x:c r="E7698" s="18" t="n">
        <x:v>28.67</x:v>
      </x:c>
      <x:c r="F7698" s="18" t="n">
        <x:v>10.53</x:v>
      </x:c>
      <x:c r="G7698" t="n">
        <x:v>36</x:v>
      </x:c>
      <x:c r="H7698" t="str">
        <x:v>D</x:v>
      </x:c>
      <x:c r="I7698" t="str">
        <x:v>7-9 years</x:v>
      </x:c>
      <x:c r="J7698" t="str">
        <x:v>RENT</x:v>
      </x:c>
      <x:c r="K7698" t="str">
        <x:v>debt_consolidation</x:v>
      </x:c>
      <x:c r="L7698" t="n">
        <x:v>2</x:v>
      </x:c>
      <x:c r="M7698" t="n">
        <x:v>0</x:v>
      </x:c>
      <x:c r="N7698" t="str">
        <x:v>Fully Paid</x:v>
      </x:c>
      <x:c r="O7698" t="str">
        <x:f>IF(D7698="","Unknown",IF(D7698&lt;25000,"&lt;$25k",IF(D7698&lt;50000,"$25k-$50k",IF(D7698&lt;75000,"$50k-$75k",IF(D7698&lt;100000,"$75k-$100k","$100k+")))))</x:f>
        <x:v>$25k-$50k</x:v>
      </x:c>
      <x:c r="P7698" t="str">
        <x:f>IF(E7698="","Unknown",IF(E7698&lt;10,"&lt;10",IF(E7698&lt;20,"10-&lt;20",IF(E7698&lt;25,"20-&lt;25",IF(E7698&lt;35,"25-&lt;35","35+")))))</x:f>
        <x:v>25-&lt;35</x:v>
      </x:c>
    </x:row>
    <x:row r="7699">
      <x:c r="A7699" t="str">
        <x:v>SYN0007698</x:v>
      </x:c>
      <x:c r="B7699" s="12" t="n">
        <x:v>41905</x:v>
      </x:c>
      <x:c r="C7699" s="18" t="n">
        <x:v>14453</x:v>
      </x:c>
      <x:c r="D7699" s="18" t="n">
        <x:v>67243</x:v>
      </x:c>
      <x:c r="E7699" s="18" t="n">
        <x:v>30.85</x:v>
      </x:c>
      <x:c r="F7699" s="18" t="n">
        <x:v>15.93</x:v>
      </x:c>
      <x:c r="G7699" t="n">
        <x:v>60</x:v>
      </x:c>
      <x:c r="H7699" t="str">
        <x:v>E</x:v>
      </x:c>
      <x:c r="I7699" t="str">
        <x:v>4-6 years</x:v>
      </x:c>
      <x:c r="J7699" t="str">
        <x:v>RENT</x:v>
      </x:c>
      <x:c r="K7699" t="str">
        <x:v>credit_card</x:v>
      </x:c>
      <x:c r="L7699" t="n">
        <x:v>0</x:v>
      </x:c>
      <x:c r="M7699" t="n">
        <x:v>0</x:v>
      </x:c>
      <x:c r="N7699" t="str">
        <x:v>Fully Paid</x:v>
      </x:c>
      <x:c r="O7699" t="str">
        <x:f>IF(D7699="","Unknown",IF(D7699&lt;25000,"&lt;$25k",IF(D7699&lt;50000,"$25k-$50k",IF(D7699&lt;75000,"$50k-$75k",IF(D7699&lt;100000,"$75k-$100k","$100k+")))))</x:f>
        <x:v>$50k-$75k</x:v>
      </x:c>
      <x:c r="P7699" t="str">
        <x:f>IF(E7699="","Unknown",IF(E7699&lt;10,"&lt;10",IF(E7699&lt;20,"10-&lt;20",IF(E7699&lt;25,"20-&lt;25",IF(E7699&lt;35,"25-&lt;35","35+")))))</x:f>
        <x:v>25-&lt;35</x:v>
      </x:c>
    </x:row>
    <x:row r="7700">
      <x:c r="A7700" t="str">
        <x:v>SYN0007699</x:v>
      </x:c>
      <x:c r="B7700" s="12" t="n">
        <x:v>42925</x:v>
      </x:c>
      <x:c r="C7700" s="18" t="n">
        <x:v>11460</x:v>
      </x:c>
      <x:c r="D7700" s="18" t="n">
        <x:v>60286</x:v>
      </x:c>
      <x:c r="E7700" s="18" t="n">
        <x:v>28.35</x:v>
      </x:c>
      <x:c r="F7700" s="18" t="n">
        <x:v>6.41</x:v>
      </x:c>
      <x:c r="G7700" t="n">
        <x:v>60</x:v>
      </x:c>
      <x:c r="H7700" t="str">
        <x:v>A</x:v>
      </x:c>
      <x:c r="I7700" t="str">
        <x:v>10+ years</x:v>
      </x:c>
      <x:c r="J7700" t="str">
        <x:v>RENT</x:v>
      </x:c>
      <x:c r="K7700" t="str">
        <x:v>debt_consolidation</x:v>
      </x:c>
      <x:c r="L7700" t="n">
        <x:v>1</x:v>
      </x:c>
      <x:c r="M7700" t="n">
        <x:v>0</x:v>
      </x:c>
      <x:c r="N7700" t="str">
        <x:v>Fully Paid</x:v>
      </x:c>
      <x:c r="O7700" t="str">
        <x:f>IF(D7700="","Unknown",IF(D7700&lt;25000,"&lt;$25k",IF(D7700&lt;50000,"$25k-$50k",IF(D7700&lt;75000,"$50k-$75k",IF(D7700&lt;100000,"$75k-$100k","$100k+")))))</x:f>
        <x:v>$50k-$75k</x:v>
      </x:c>
      <x:c r="P7700" t="str">
        <x:f>IF(E7700="","Unknown",IF(E7700&lt;10,"&lt;10",IF(E7700&lt;20,"10-&lt;20",IF(E7700&lt;25,"20-&lt;25",IF(E7700&lt;35,"25-&lt;35","35+")))))</x:f>
        <x:v>25-&lt;35</x:v>
      </x:c>
    </x:row>
    <x:row r="7701">
      <x:c r="A7701" t="str">
        <x:v>SYN0007700</x:v>
      </x:c>
      <x:c r="B7701" s="12" t="n">
        <x:v>43135</x:v>
      </x:c>
      <x:c r="C7701" s="18" t="n">
        <x:v>18070</x:v>
      </x:c>
      <x:c r="D7701" s="18" t="n">
        <x:v>170065</x:v>
      </x:c>
      <x:c r="E7701" s="18" t="n">
        <x:v>9.81</x:v>
      </x:c>
      <x:c r="F7701" s="18" t="n">
        <x:v>10.46</x:v>
      </x:c>
      <x:c r="G7701" t="n">
        <x:v>60</x:v>
      </x:c>
      <x:c r="H7701" t="str">
        <x:v>B</x:v>
      </x:c>
      <x:c r="I7701" t="str">
        <x:v>1-3 years</x:v>
      </x:c>
      <x:c r="J7701" t="str">
        <x:v>MORTGAGE</x:v>
      </x:c>
      <x:c r="K7701" t="str">
        <x:v>credit_card</x:v>
      </x:c>
      <x:c r="L7701" t="n">
        <x:v>0</x:v>
      </x:c>
      <x:c r="M7701" t="n">
        <x:v>0</x:v>
      </x:c>
      <x:c r="N7701" t="str">
        <x:v>Fully Paid</x:v>
      </x:c>
      <x:c r="O7701" t="str">
        <x:f>IF(D7701="","Unknown",IF(D7701&lt;25000,"&lt;$25k",IF(D7701&lt;50000,"$25k-$50k",IF(D7701&lt;75000,"$50k-$75k",IF(D7701&lt;100000,"$75k-$100k","$100k+")))))</x:f>
        <x:v>$100k+</x:v>
      </x:c>
      <x:c r="P7701" t="str">
        <x:f>IF(E7701="","Unknown",IF(E7701&lt;10,"&lt;10",IF(E7701&lt;20,"10-&lt;20",IF(E7701&lt;25,"20-&lt;25",IF(E7701&lt;35,"25-&lt;35","35+")))))</x:f>
        <x:v>&lt;10</x:v>
      </x:c>
    </x:row>
    <x:row r="7702">
      <x:c r="A7702" t="str">
        <x:v>SYN0007701</x:v>
      </x:c>
      <x:c r="B7702" s="12" t="n">
        <x:v>42955</x:v>
      </x:c>
      <x:c r="C7702" s="18" t="n">
        <x:v>11241</x:v>
      </x:c>
      <x:c r="D7702" s="18" t="n">
        <x:v>50186</x:v>
      </x:c>
      <x:c r="E7702" s="18" t="n">
        <x:v>18.52</x:v>
      </x:c>
      <x:c r="F7702" s="18" t="n">
        <x:v>22.46</x:v>
      </x:c>
      <x:c r="G7702" t="n">
        <x:v>36</x:v>
      </x:c>
      <x:c r="H7702" t="str">
        <x:v>F</x:v>
      </x:c>
      <x:c r="I7702" t="str">
        <x:v>10+ years</x:v>
      </x:c>
      <x:c r="J7702" t="str">
        <x:v>RENT</x:v>
      </x:c>
      <x:c r="K7702" t="str">
        <x:v>credit_card</x:v>
      </x:c>
      <x:c r="L7702" t="n">
        <x:v>2</x:v>
      </x:c>
      <x:c r="M7702" t="n">
        <x:v>1</x:v>
      </x:c>
      <x:c r="N7702" t="str">
        <x:v>Charged Off</x:v>
      </x:c>
      <x:c r="O7702" t="str">
        <x:f>IF(D7702="","Unknown",IF(D7702&lt;25000,"&lt;$25k",IF(D7702&lt;50000,"$25k-$50k",IF(D7702&lt;75000,"$50k-$75k",IF(D7702&lt;100000,"$75k-$100k","$100k+")))))</x:f>
        <x:v>$50k-$75k</x:v>
      </x:c>
      <x:c r="P7702" t="str">
        <x:f>IF(E7702="","Unknown",IF(E7702&lt;10,"&lt;10",IF(E7702&lt;20,"10-&lt;20",IF(E7702&lt;25,"20-&lt;25",IF(E7702&lt;35,"25-&lt;35","35+")))))</x:f>
        <x:v>10-&lt;20</x:v>
      </x:c>
    </x:row>
    <x:row r="7703">
      <x:c r="A7703" t="str">
        <x:v>SYN0007702</x:v>
      </x:c>
      <x:c r="B7703" s="12" t="n">
        <x:v>42145</x:v>
      </x:c>
      <x:c r="C7703" s="18" t="n">
        <x:v>17361</x:v>
      </x:c>
      <x:c r="D7703" s="18" t="n">
        <x:v>94498</x:v>
      </x:c>
      <x:c r="E7703" s="18" t="n">
        <x:v>30.88</x:v>
      </x:c>
      <x:c r="F7703" s="18" t="n">
        <x:v>18.89</x:v>
      </x:c>
      <x:c r="G7703" t="n">
        <x:v>36</x:v>
      </x:c>
      <x:c r="H7703" t="str">
        <x:v>E</x:v>
      </x:c>
      <x:c r="I7703" t="str">
        <x:v>10+ years</x:v>
      </x:c>
      <x:c r="J7703" t="str">
        <x:v>MORTGAGE</x:v>
      </x:c>
      <x:c r="K7703" t="str">
        <x:v>debt_consolidation</x:v>
      </x:c>
      <x:c r="L7703" t="n">
        <x:v>1</x:v>
      </x:c>
      <x:c r="M7703" t="n">
        <x:v>0</x:v>
      </x:c>
      <x:c r="N7703" t="str">
        <x:v>Fully Paid</x:v>
      </x:c>
      <x:c r="O7703" t="str">
        <x:f>IF(D7703="","Unknown",IF(D7703&lt;25000,"&lt;$25k",IF(D7703&lt;50000,"$25k-$50k",IF(D7703&lt;75000,"$50k-$75k",IF(D7703&lt;100000,"$75k-$100k","$100k+")))))</x:f>
        <x:v>$75k-$100k</x:v>
      </x:c>
      <x:c r="P7703" t="str">
        <x:f>IF(E7703="","Unknown",IF(E7703&lt;10,"&lt;10",IF(E7703&lt;20,"10-&lt;20",IF(E7703&lt;25,"20-&lt;25",IF(E7703&lt;35,"25-&lt;35","35+")))))</x:f>
        <x:v>25-&lt;35</x:v>
      </x:c>
    </x:row>
    <x:row r="7704">
      <x:c r="A7704" t="str">
        <x:v>SYN0007703</x:v>
      </x:c>
      <x:c r="B7704" s="12" t="n">
        <x:v>42985</x:v>
      </x:c>
      <x:c r="C7704" s="18" t="n">
        <x:v>17843</x:v>
      </x:c>
      <x:c r="D7704" s="18" t="n">
        <x:v>72585</x:v>
      </x:c>
      <x:c r="E7704" s="18" t="n">
        <x:v>8.69</x:v>
      </x:c>
      <x:c r="F7704" s="18" t="n">
        <x:v>14.06</x:v>
      </x:c>
      <x:c r="G7704" t="n">
        <x:v>36</x:v>
      </x:c>
      <x:c r="H7704" t="str">
        <x:v>D</x:v>
      </x:c>
      <x:c r="I7704" t="str">
        <x:v>7-9 years</x:v>
      </x:c>
      <x:c r="J7704" t="str">
        <x:v>RENT</x:v>
      </x:c>
      <x:c r="K7704" t="str">
        <x:v>medical</x:v>
      </x:c>
      <x:c r="L7704" t="n">
        <x:v>0</x:v>
      </x:c>
      <x:c r="M7704" t="n">
        <x:v>0</x:v>
      </x:c>
      <x:c r="N7704" t="str">
        <x:v>Fully Paid</x:v>
      </x:c>
      <x:c r="O7704" t="str">
        <x:f>IF(D7704="","Unknown",IF(D7704&lt;25000,"&lt;$25k",IF(D7704&lt;50000,"$25k-$50k",IF(D7704&lt;75000,"$50k-$75k",IF(D7704&lt;100000,"$75k-$100k","$100k+")))))</x:f>
        <x:v>$50k-$75k</x:v>
      </x:c>
      <x:c r="P7704" t="str">
        <x:f>IF(E7704="","Unknown",IF(E7704&lt;10,"&lt;10",IF(E7704&lt;20,"10-&lt;20",IF(E7704&lt;25,"20-&lt;25",IF(E7704&lt;35,"25-&lt;35","35+")))))</x:f>
        <x:v>&lt;10</x:v>
      </x:c>
    </x:row>
    <x:row r="7705">
      <x:c r="A7705" t="str">
        <x:v>SYN0007704</x:v>
      </x:c>
      <x:c r="B7705" s="12" t="n">
        <x:v>41545</x:v>
      </x:c>
      <x:c r="C7705" s="18" t="n">
        <x:v>13544</x:v>
      </x:c>
      <x:c r="D7705" s="18" t="n">
        <x:v>43260</x:v>
      </x:c>
      <x:c r="E7705" s="18" t="n">
        <x:v>28.89</x:v>
      </x:c>
      <x:c r="F7705" s="18" t="n">
        <x:v>21.94</x:v>
      </x:c>
      <x:c r="G7705" t="n">
        <x:v>36</x:v>
      </x:c>
      <x:c r="H7705" t="str">
        <x:v>F</x:v>
      </x:c>
      <x:c r="I7705" t="str">
        <x:v>4-6 years</x:v>
      </x:c>
      <x:c r="J7705" t="str">
        <x:v>MORTGAGE</x:v>
      </x:c>
      <x:c r="K7705" t="str">
        <x:v>debt_consolidation</x:v>
      </x:c>
      <x:c r="L7705" t="n">
        <x:v>0</x:v>
      </x:c>
      <x:c r="M7705" t="n">
        <x:v>0</x:v>
      </x:c>
      <x:c r="N7705" t="str">
        <x:v>Fully Paid</x:v>
      </x:c>
      <x:c r="O7705" t="str">
        <x:f>IF(D7705="","Unknown",IF(D7705&lt;25000,"&lt;$25k",IF(D7705&lt;50000,"$25k-$50k",IF(D7705&lt;75000,"$50k-$75k",IF(D7705&lt;100000,"$75k-$100k","$100k+")))))</x:f>
        <x:v>$25k-$50k</x:v>
      </x:c>
      <x:c r="P7705" t="str">
        <x:f>IF(E7705="","Unknown",IF(E7705&lt;10,"&lt;10",IF(E7705&lt;20,"10-&lt;20",IF(E7705&lt;25,"20-&lt;25",IF(E7705&lt;35,"25-&lt;35","35+")))))</x:f>
        <x:v>25-&lt;35</x:v>
      </x:c>
    </x:row>
    <x:row r="7706">
      <x:c r="A7706" t="str">
        <x:v>SYN0007705</x:v>
      </x:c>
      <x:c r="B7706" s="12" t="n">
        <x:v>41575</x:v>
      </x:c>
      <x:c r="C7706" s="18" t="n">
        <x:v>21748</x:v>
      </x:c>
      <x:c r="D7706" s="18" t="n">
        <x:v>37145</x:v>
      </x:c>
      <x:c r="E7706" s="18" t="n">
        <x:v>32.79</x:v>
      </x:c>
      <x:c r="F7706" s="18" t="n">
        <x:v>14</x:v>
      </x:c>
      <x:c r="G7706" t="n">
        <x:v>36</x:v>
      </x:c>
      <x:c r="H7706" t="str">
        <x:v>D</x:v>
      </x:c>
      <x:c r="I7706" t="str">
        <x:v>1-3 years</x:v>
      </x:c>
      <x:c r="J7706" t="str">
        <x:v>MORTGAGE</x:v>
      </x:c>
      <x:c r="K7706" t="str">
        <x:v>debt_consolidation</x:v>
      </x:c>
      <x:c r="L7706" t="n">
        <x:v>0</x:v>
      </x:c>
      <x:c r="M7706" t="n">
        <x:v>0</x:v>
      </x:c>
      <x:c r="N7706" t="str">
        <x:v>Fully Paid</x:v>
      </x:c>
      <x:c r="O7706" t="str">
        <x:f>IF(D7706="","Unknown",IF(D7706&lt;25000,"&lt;$25k",IF(D7706&lt;50000,"$25k-$50k",IF(D7706&lt;75000,"$50k-$75k",IF(D7706&lt;100000,"$75k-$100k","$100k+")))))</x:f>
        <x:v>$25k-$50k</x:v>
      </x:c>
      <x:c r="P7706" t="str">
        <x:f>IF(E7706="","Unknown",IF(E7706&lt;10,"&lt;10",IF(E7706&lt;20,"10-&lt;20",IF(E7706&lt;25,"20-&lt;25",IF(E7706&lt;35,"25-&lt;35","35+")))))</x:f>
        <x:v>25-&lt;35</x:v>
      </x:c>
    </x:row>
    <x:row r="7707">
      <x:c r="A7707" t="str">
        <x:v>SYN0007706</x:v>
      </x:c>
      <x:c r="B7707" s="12" t="n">
        <x:v>42025</x:v>
      </x:c>
      <x:c r="C7707" s="18" t="n">
        <x:v>16892</x:v>
      </x:c>
      <x:c r="D7707" s="18" t="n">
        <x:v>35722</x:v>
      </x:c>
      <x:c r="E7707" s="18" t="n">
        <x:v>40.49</x:v>
      </x:c>
      <x:c r="F7707" s="18" t="n">
        <x:v>10.68</x:v>
      </x:c>
      <x:c r="G7707" t="n">
        <x:v>36</x:v>
      </x:c>
      <x:c r="H7707" t="str">
        <x:v>B</x:v>
      </x:c>
      <x:c r="I7707" t="str">
        <x:v>10+ years</x:v>
      </x:c>
      <x:c r="J7707" t="str">
        <x:v>MORTGAGE</x:v>
      </x:c>
      <x:c r="K7707" t="str">
        <x:v>credit_card</x:v>
      </x:c>
      <x:c r="L7707" t="n">
        <x:v>0</x:v>
      </x:c>
      <x:c r="M7707" t="n">
        <x:v>0</x:v>
      </x:c>
      <x:c r="N7707" t="str">
        <x:v>Fully Paid</x:v>
      </x:c>
      <x:c r="O7707" t="str">
        <x:f>IF(D7707="","Unknown",IF(D7707&lt;25000,"&lt;$25k",IF(D7707&lt;50000,"$25k-$50k",IF(D7707&lt;75000,"$50k-$75k",IF(D7707&lt;100000,"$75k-$100k","$100k+")))))</x:f>
        <x:v>$25k-$50k</x:v>
      </x:c>
      <x:c r="P7707" t="str">
        <x:f>IF(E7707="","Unknown",IF(E7707&lt;10,"&lt;10",IF(E7707&lt;20,"10-&lt;20",IF(E7707&lt;25,"20-&lt;25",IF(E7707&lt;35,"25-&lt;35","35+")))))</x:f>
        <x:v>35+</x:v>
      </x:c>
    </x:row>
    <x:row r="7708">
      <x:c r="A7708" t="str">
        <x:v>SYN0007707</x:v>
      </x:c>
      <x:c r="B7708" s="12" t="n">
        <x:v>42295</x:v>
      </x:c>
      <x:c r="C7708" s="18" t="n">
        <x:v>18641</x:v>
      </x:c>
      <x:c r="D7708" s="18" t="n">
        <x:v>36509</x:v>
      </x:c>
      <x:c r="E7708" s="18" t="n">
        <x:v>19.9</x:v>
      </x:c>
      <x:c r="F7708" s="18" t="n">
        <x:v>21.41</x:v>
      </x:c>
      <x:c r="G7708" t="n">
        <x:v>60</x:v>
      </x:c>
      <x:c r="H7708" t="str">
        <x:v>F</x:v>
      </x:c>
      <x:c r="I7708" t="str">
        <x:v>10+ years</x:v>
      </x:c>
      <x:c r="J7708" t="str">
        <x:v>RENT</x:v>
      </x:c>
      <x:c r="K7708" t="str">
        <x:v>major_purchase</x:v>
      </x:c>
      <x:c r="L7708" t="n">
        <x:v>1</x:v>
      </x:c>
      <x:c r="M7708" t="n">
        <x:v>1</x:v>
      </x:c>
      <x:c r="N7708" t="str">
        <x:v>Charged Off</x:v>
      </x:c>
      <x:c r="O7708" t="str">
        <x:f>IF(D7708="","Unknown",IF(D7708&lt;25000,"&lt;$25k",IF(D7708&lt;50000,"$25k-$50k",IF(D7708&lt;75000,"$50k-$75k",IF(D7708&lt;100000,"$75k-$100k","$100k+")))))</x:f>
        <x:v>$25k-$50k</x:v>
      </x:c>
      <x:c r="P7708" t="str">
        <x:f>IF(E7708="","Unknown",IF(E7708&lt;10,"&lt;10",IF(E7708&lt;20,"10-&lt;20",IF(E7708&lt;25,"20-&lt;25",IF(E7708&lt;35,"25-&lt;35","35+")))))</x:f>
        <x:v>10-&lt;20</x:v>
      </x:c>
    </x:row>
    <x:row r="7709">
      <x:c r="A7709" t="str">
        <x:v>SYN0007708</x:v>
      </x:c>
      <x:c r="B7709" s="12" t="n">
        <x:v>41815</x:v>
      </x:c>
      <x:c r="C7709" s="18" t="n">
        <x:v>9799</x:v>
      </x:c>
      <x:c r="D7709" s="18" t="n">
        <x:v>56863</x:v>
      </x:c>
      <x:c r="E7709" s="18" t="n">
        <x:v>29.82</x:v>
      </x:c>
      <x:c r="F7709" s="18" t="n">
        <x:v>8.75</x:v>
      </x:c>
      <x:c r="G7709" t="n">
        <x:v>36</x:v>
      </x:c>
      <x:c r="H7709" t="str">
        <x:v>B</x:v>
      </x:c>
      <x:c r="I7709" t="str">
        <x:v>1-3 years</x:v>
      </x:c>
      <x:c r="J7709" t="str">
        <x:v>OTHER</x:v>
      </x:c>
      <x:c r="K7709" t="str">
        <x:v>debt_consolidation</x:v>
      </x:c>
      <x:c r="L7709" t="n">
        <x:v>0</x:v>
      </x:c>
      <x:c r="M7709" t="n">
        <x:v>0</x:v>
      </x:c>
      <x:c r="N7709" t="str">
        <x:v>Fully Paid</x:v>
      </x:c>
      <x:c r="O7709" t="str">
        <x:f>IF(D7709="","Unknown",IF(D7709&lt;25000,"&lt;$25k",IF(D7709&lt;50000,"$25k-$50k",IF(D7709&lt;75000,"$50k-$75k",IF(D7709&lt;100000,"$75k-$100k","$100k+")))))</x:f>
        <x:v>$50k-$75k</x:v>
      </x:c>
      <x:c r="P7709" t="str">
        <x:f>IF(E7709="","Unknown",IF(E7709&lt;10,"&lt;10",IF(E7709&lt;20,"10-&lt;20",IF(E7709&lt;25,"20-&lt;25",IF(E7709&lt;35,"25-&lt;35","35+")))))</x:f>
        <x:v>25-&lt;35</x:v>
      </x:c>
    </x:row>
    <x:row r="7710">
      <x:c r="A7710" t="str">
        <x:v>SYN0007709</x:v>
      </x:c>
      <x:c r="B7710" s="12" t="n">
        <x:v>43285</x:v>
      </x:c>
      <x:c r="C7710" s="18" t="n">
        <x:v>14307</x:v>
      </x:c>
      <x:c r="D7710" s="18" t="n">
        <x:v>158021</x:v>
      </x:c>
      <x:c r="E7710" s="18" t="n">
        <x:v>13.92</x:v>
      </x:c>
      <x:c r="F7710" s="18" t="n">
        <x:v>11.27</x:v>
      </x:c>
      <x:c r="G7710" t="n">
        <x:v>60</x:v>
      </x:c>
      <x:c r="H7710" t="str">
        <x:v>C</x:v>
      </x:c>
      <x:c r="I7710" t="str">
        <x:v>&lt;1 year</x:v>
      </x:c>
      <x:c r="J7710" t="str">
        <x:v>RENT</x:v>
      </x:c>
      <x:c r="K7710" t="str">
        <x:v>debt_consolidation</x:v>
      </x:c>
      <x:c r="L7710" t="n">
        <x:v>1</x:v>
      </x:c>
      <x:c r="M7710" t="n">
        <x:v>0</x:v>
      </x:c>
      <x:c r="N7710" t="str">
        <x:v>Fully Paid</x:v>
      </x:c>
      <x:c r="O7710" t="str">
        <x:f>IF(D7710="","Unknown",IF(D7710&lt;25000,"&lt;$25k",IF(D7710&lt;50000,"$25k-$50k",IF(D7710&lt;75000,"$50k-$75k",IF(D7710&lt;100000,"$75k-$100k","$100k+")))))</x:f>
        <x:v>$100k+</x:v>
      </x:c>
      <x:c r="P7710" t="str">
        <x:f>IF(E7710="","Unknown",IF(E7710&lt;10,"&lt;10",IF(E7710&lt;20,"10-&lt;20",IF(E7710&lt;25,"20-&lt;25",IF(E7710&lt;35,"25-&lt;35","35+")))))</x:f>
        <x:v>10-&lt;20</x:v>
      </x:c>
    </x:row>
    <x:row r="7711">
      <x:c r="A7711" t="str">
        <x:v>SYN0007710</x:v>
      </x:c>
      <x:c r="B7711" s="12" t="n">
        <x:v>42865</x:v>
      </x:c>
      <x:c r="C7711" s="18" t="n">
        <x:v>14806</x:v>
      </x:c>
      <x:c r="D7711" s="18" t="n">
        <x:v>74927</x:v>
      </x:c>
      <x:c r="E7711" s="18" t="n">
        <x:v>23.15</x:v>
      </x:c>
      <x:c r="F7711" s="18" t="n">
        <x:v>7.33</x:v>
      </x:c>
      <x:c r="G7711" t="n">
        <x:v>36</x:v>
      </x:c>
      <x:c r="H7711" t="str">
        <x:v>A</x:v>
      </x:c>
      <x:c r="I7711" t="str">
        <x:v>4-6 years</x:v>
      </x:c>
      <x:c r="J7711" t="str">
        <x:v>MORTGAGE</x:v>
      </x:c>
      <x:c r="K7711" t="str">
        <x:v>debt_consolidation</x:v>
      </x:c>
      <x:c r="L7711" t="n">
        <x:v>1</x:v>
      </x:c>
      <x:c r="M7711" t="n">
        <x:v>0</x:v>
      </x:c>
      <x:c r="N7711" t="str">
        <x:v>Fully Paid</x:v>
      </x:c>
      <x:c r="O7711" t="str">
        <x:f>IF(D7711="","Unknown",IF(D7711&lt;25000,"&lt;$25k",IF(D7711&lt;50000,"$25k-$50k",IF(D7711&lt;75000,"$50k-$75k",IF(D7711&lt;100000,"$75k-$100k","$100k+")))))</x:f>
        <x:v>$50k-$75k</x:v>
      </x:c>
      <x:c r="P7711" t="str">
        <x:f>IF(E7711="","Unknown",IF(E7711&lt;10,"&lt;10",IF(E7711&lt;20,"10-&lt;20",IF(E7711&lt;25,"20-&lt;25",IF(E7711&lt;35,"25-&lt;35","35+")))))</x:f>
        <x:v>20-&lt;25</x:v>
      </x:c>
    </x:row>
    <x:row r="7712">
      <x:c r="A7712" t="str">
        <x:v>SYN0007711</x:v>
      </x:c>
      <x:c r="B7712" s="12" t="n">
        <x:v>41365</x:v>
      </x:c>
      <x:c r="C7712" s="18" t="n">
        <x:v>19921</x:v>
      </x:c>
      <x:c r="D7712" s="18" t="n">
        <x:v>46513</x:v>
      </x:c>
      <x:c r="E7712" s="18" t="n">
        <x:v>23.97</x:v>
      </x:c>
      <x:c r="F7712" s="18" t="n">
        <x:v>12.64</x:v>
      </x:c>
      <x:c r="G7712" t="n">
        <x:v>36</x:v>
      </x:c>
      <x:c r="H7712" t="str">
        <x:v>D</x:v>
      </x:c>
      <x:c r="I7712" t="str">
        <x:v>4-6 years</x:v>
      </x:c>
      <x:c r="J7712" t="str">
        <x:v>RENT</x:v>
      </x:c>
      <x:c r="K7712" t="str">
        <x:v>credit_card</x:v>
      </x:c>
      <x:c r="L7712" t="n">
        <x:v>2</x:v>
      </x:c>
      <x:c r="M7712" t="n">
        <x:v>0</x:v>
      </x:c>
      <x:c r="N7712" t="str">
        <x:v>Fully Paid</x:v>
      </x:c>
      <x:c r="O7712" t="str">
        <x:f>IF(D7712="","Unknown",IF(D7712&lt;25000,"&lt;$25k",IF(D7712&lt;50000,"$25k-$50k",IF(D7712&lt;75000,"$50k-$75k",IF(D7712&lt;100000,"$75k-$100k","$100k+")))))</x:f>
        <x:v>$25k-$50k</x:v>
      </x:c>
      <x:c r="P7712" t="str">
        <x:f>IF(E7712="","Unknown",IF(E7712&lt;10,"&lt;10",IF(E7712&lt;20,"10-&lt;20",IF(E7712&lt;25,"20-&lt;25",IF(E7712&lt;35,"25-&lt;35","35+")))))</x:f>
        <x:v>20-&lt;25</x:v>
      </x:c>
    </x:row>
    <x:row r="7713">
      <x:c r="A7713" t="str">
        <x:v>SYN0007712</x:v>
      </x:c>
      <x:c r="B7713" s="12" t="n">
        <x:v>42715</x:v>
      </x:c>
      <x:c r="C7713" s="18" t="n">
        <x:v>7694</x:v>
      </x:c>
      <x:c r="D7713" s="18" t="n">
        <x:v>233138</x:v>
      </x:c>
      <x:c r="E7713" s="18" t="n">
        <x:v>29.21</x:v>
      </x:c>
      <x:c r="F7713" s="18" t="n">
        <x:v>24.54</x:v>
      </x:c>
      <x:c r="G7713" t="n">
        <x:v>36</x:v>
      </x:c>
      <x:c r="H7713" t="str">
        <x:v>F</x:v>
      </x:c>
      <x:c r="I7713" t="str">
        <x:v>4-6 years</x:v>
      </x:c>
      <x:c r="J7713" t="str">
        <x:v>OWN</x:v>
      </x:c>
      <x:c r="K7713" t="str">
        <x:v>debt_consolidation</x:v>
      </x:c>
      <x:c r="L7713" t="n">
        <x:v>0</x:v>
      </x:c>
      <x:c r="M7713" t="n">
        <x:v>0</x:v>
      </x:c>
      <x:c r="N7713" t="str">
        <x:v>Fully Paid</x:v>
      </x:c>
      <x:c r="O7713" t="str">
        <x:f>IF(D7713="","Unknown",IF(D7713&lt;25000,"&lt;$25k",IF(D7713&lt;50000,"$25k-$50k",IF(D7713&lt;75000,"$50k-$75k",IF(D7713&lt;100000,"$75k-$100k","$100k+")))))</x:f>
        <x:v>$100k+</x:v>
      </x:c>
      <x:c r="P7713" t="str">
        <x:f>IF(E7713="","Unknown",IF(E7713&lt;10,"&lt;10",IF(E7713&lt;20,"10-&lt;20",IF(E7713&lt;25,"20-&lt;25",IF(E7713&lt;35,"25-&lt;35","35+")))))</x:f>
        <x:v>25-&lt;35</x:v>
      </x:c>
    </x:row>
    <x:row r="7714">
      <x:c r="A7714" t="str">
        <x:v>SYN0007713</x:v>
      </x:c>
      <x:c r="B7714" s="12" t="n">
        <x:v>43195</x:v>
      </x:c>
      <x:c r="C7714" s="18" t="n">
        <x:v>5211</x:v>
      </x:c>
      <x:c r="D7714" s="18" t="n">
        <x:v>76092</x:v>
      </x:c>
      <x:c r="E7714" s="18" t="n">
        <x:v>8.25</x:v>
      </x:c>
      <x:c r="F7714" s="18" t="n">
        <x:v>14.09</x:v>
      </x:c>
      <x:c r="G7714" t="n">
        <x:v>36</x:v>
      </x:c>
      <x:c r="H7714" t="str">
        <x:v>C</x:v>
      </x:c>
      <x:c r="I7714" t="str">
        <x:v>7-9 years</x:v>
      </x:c>
      <x:c r="J7714" t="str">
        <x:v>OWN</x:v>
      </x:c>
      <x:c r="K7714" t="str">
        <x:v>major_purchase</x:v>
      </x:c>
      <x:c r="L7714" t="n">
        <x:v>0</x:v>
      </x:c>
      <x:c r="M7714" t="n">
        <x:v>0</x:v>
      </x:c>
      <x:c r="N7714" t="str">
        <x:v>Fully Paid</x:v>
      </x:c>
      <x:c r="O7714" t="str">
        <x:f>IF(D7714="","Unknown",IF(D7714&lt;25000,"&lt;$25k",IF(D7714&lt;50000,"$25k-$50k",IF(D7714&lt;75000,"$50k-$75k",IF(D7714&lt;100000,"$75k-$100k","$100k+")))))</x:f>
        <x:v>$75k-$100k</x:v>
      </x:c>
      <x:c r="P7714" t="str">
        <x:f>IF(E7714="","Unknown",IF(E7714&lt;10,"&lt;10",IF(E7714&lt;20,"10-&lt;20",IF(E7714&lt;25,"20-&lt;25",IF(E7714&lt;35,"25-&lt;35","35+")))))</x:f>
        <x:v>&lt;10</x:v>
      </x:c>
    </x:row>
    <x:row r="7715">
      <x:c r="A7715" t="str">
        <x:v>SYN0007714</x:v>
      </x:c>
      <x:c r="B7715" s="12" t="n">
        <x:v>42505</x:v>
      </x:c>
      <x:c r="C7715" s="18" t="n">
        <x:v>30172</x:v>
      </x:c>
      <x:c r="D7715" s="18" t="n">
        <x:v>64343</x:v>
      </x:c>
      <x:c r="E7715" s="18" t="n">
        <x:v>10.49</x:v>
      </x:c>
      <x:c r="F7715" s="18" t="n">
        <x:v>12.71</x:v>
      </x:c>
      <x:c r="G7715" t="n">
        <x:v>36</x:v>
      </x:c>
      <x:c r="H7715" t="str">
        <x:v>C</x:v>
      </x:c>
      <x:c r="I7715" t="str">
        <x:v>10+ years</x:v>
      </x:c>
      <x:c r="J7715" t="str">
        <x:v>RENT</x:v>
      </x:c>
      <x:c r="K7715" t="str">
        <x:v>debt_consolidation</x:v>
      </x:c>
      <x:c r="L7715" t="n">
        <x:v>1</x:v>
      </x:c>
      <x:c r="M7715" t="n">
        <x:v>0</x:v>
      </x:c>
      <x:c r="N7715" t="str">
        <x:v>Fully Paid</x:v>
      </x:c>
      <x:c r="O7715" t="str">
        <x:f>IF(D7715="","Unknown",IF(D7715&lt;25000,"&lt;$25k",IF(D7715&lt;50000,"$25k-$50k",IF(D7715&lt;75000,"$50k-$75k",IF(D7715&lt;100000,"$75k-$100k","$100k+")))))</x:f>
        <x:v>$50k-$75k</x:v>
      </x:c>
      <x:c r="P7715" t="str">
        <x:f>IF(E7715="","Unknown",IF(E7715&lt;10,"&lt;10",IF(E7715&lt;20,"10-&lt;20",IF(E7715&lt;25,"20-&lt;25",IF(E7715&lt;35,"25-&lt;35","35+")))))</x:f>
        <x:v>10-&lt;20</x:v>
      </x:c>
    </x:row>
    <x:row r="7716">
      <x:c r="A7716" t="str">
        <x:v>SYN0007715</x:v>
      </x:c>
      <x:c r="B7716" s="12" t="n">
        <x:v>43195</x:v>
      </x:c>
      <x:c r="C7716" s="18" t="n">
        <x:v>18539</x:v>
      </x:c>
      <x:c r="D7716" s="18" t="n">
        <x:v>92693</x:v>
      </x:c>
      <x:c r="E7716" s="18" t="n">
        <x:v>17.07</x:v>
      </x:c>
      <x:c r="F7716" s="18" t="n">
        <x:v>13.63</x:v>
      </x:c>
      <x:c r="G7716" t="n">
        <x:v>60</x:v>
      </x:c>
      <x:c r="H7716" t="str">
        <x:v>D</x:v>
      </x:c>
      <x:c r="I7716" t="str">
        <x:v>10+ years</x:v>
      </x:c>
      <x:c r="J7716" t="str">
        <x:v>RENT</x:v>
      </x:c>
      <x:c r="K7716" t="str">
        <x:v>debt_consolidation</x:v>
      </x:c>
      <x:c r="L7716" t="n">
        <x:v>0</x:v>
      </x:c>
      <x:c r="M7716" t="n">
        <x:v>0</x:v>
      </x:c>
      <x:c r="N7716" t="str">
        <x:v>Fully Paid</x:v>
      </x:c>
      <x:c r="O7716" t="str">
        <x:f>IF(D7716="","Unknown",IF(D7716&lt;25000,"&lt;$25k",IF(D7716&lt;50000,"$25k-$50k",IF(D7716&lt;75000,"$50k-$75k",IF(D7716&lt;100000,"$75k-$100k","$100k+")))))</x:f>
        <x:v>$75k-$100k</x:v>
      </x:c>
      <x:c r="P7716" t="str">
        <x:f>IF(E7716="","Unknown",IF(E7716&lt;10,"&lt;10",IF(E7716&lt;20,"10-&lt;20",IF(E7716&lt;25,"20-&lt;25",IF(E7716&lt;35,"25-&lt;35","35+")))))</x:f>
        <x:v>10-&lt;20</x:v>
      </x:c>
    </x:row>
    <x:row r="7717">
      <x:c r="A7717" t="str">
        <x:v>SYN0007716</x:v>
      </x:c>
      <x:c r="B7717" s="12" t="n">
        <x:v>42355</x:v>
      </x:c>
      <x:c r="C7717" s="18" t="n">
        <x:v>21998</x:v>
      </x:c>
      <x:c r="D7717" s="18" t="n">
        <x:v>100649</x:v>
      </x:c>
      <x:c r="E7717" s="18" t="n">
        <x:v>0</x:v>
      </x:c>
      <x:c r="F7717" s="18" t="n">
        <x:v>9.16</x:v>
      </x:c>
      <x:c r="G7717" t="n">
        <x:v>36</x:v>
      </x:c>
      <x:c r="H7717" t="str">
        <x:v>B</x:v>
      </x:c>
      <x:c r="I7717" t="str">
        <x:v>7-9 years</x:v>
      </x:c>
      <x:c r="J7717" t="str">
        <x:v>RENT</x:v>
      </x:c>
      <x:c r="K7717" t="str">
        <x:v>debt_consolidation</x:v>
      </x:c>
      <x:c r="L7717" t="n">
        <x:v>0</x:v>
      </x:c>
      <x:c r="M7717" t="n">
        <x:v>0</x:v>
      </x:c>
      <x:c r="N7717" t="str">
        <x:v>Fully Paid</x:v>
      </x:c>
      <x:c r="O7717" t="str">
        <x:f>IF(D7717="","Unknown",IF(D7717&lt;25000,"&lt;$25k",IF(D7717&lt;50000,"$25k-$50k",IF(D7717&lt;75000,"$50k-$75k",IF(D7717&lt;100000,"$75k-$100k","$100k+")))))</x:f>
        <x:v>$100k+</x:v>
      </x:c>
      <x:c r="P7717" t="str">
        <x:f>IF(E7717="","Unknown",IF(E7717&lt;10,"&lt;10",IF(E7717&lt;20,"10-&lt;20",IF(E7717&lt;25,"20-&lt;25",IF(E7717&lt;35,"25-&lt;35","35+")))))</x:f>
        <x:v>Unknown</x:v>
      </x:c>
    </x:row>
    <x:row r="7718">
      <x:c r="A7718" t="str">
        <x:v>SYN0007717</x:v>
      </x:c>
      <x:c r="B7718" s="12" t="n">
        <x:v>42445</x:v>
      </x:c>
      <x:c r="C7718" s="18" t="n">
        <x:v>6398</x:v>
      </x:c>
      <x:c r="D7718" s="18" t="n">
        <x:v>30657</x:v>
      </x:c>
      <x:c r="E7718" s="18" t="n">
        <x:v>26.78</x:v>
      </x:c>
      <x:c r="F7718" s="18" t="n">
        <x:v>9.15</x:v>
      </x:c>
      <x:c r="G7718" t="n">
        <x:v>36</x:v>
      </x:c>
      <x:c r="H7718" t="str">
        <x:v>B</x:v>
      </x:c>
      <x:c r="I7718" t="str">
        <x:v>4-6 years</x:v>
      </x:c>
      <x:c r="J7718" t="str">
        <x:v>MORTGAGE</x:v>
      </x:c>
      <x:c r="K7718" t="str">
        <x:v>debt_consolidation</x:v>
      </x:c>
      <x:c r="L7718" t="n">
        <x:v>0</x:v>
      </x:c>
      <x:c r="M7718" t="n">
        <x:v>0</x:v>
      </x:c>
      <x:c r="N7718" t="str">
        <x:v>Fully Paid</x:v>
      </x:c>
      <x:c r="O7718" t="str">
        <x:f>IF(D7718="","Unknown",IF(D7718&lt;25000,"&lt;$25k",IF(D7718&lt;50000,"$25k-$50k",IF(D7718&lt;75000,"$50k-$75k",IF(D7718&lt;100000,"$75k-$100k","$100k+")))))</x:f>
        <x:v>$25k-$50k</x:v>
      </x:c>
      <x:c r="P7718" t="str">
        <x:f>IF(E7718="","Unknown",IF(E7718&lt;10,"&lt;10",IF(E7718&lt;20,"10-&lt;20",IF(E7718&lt;25,"20-&lt;25",IF(E7718&lt;35,"25-&lt;35","35+")))))</x:f>
        <x:v>25-&lt;35</x:v>
      </x:c>
    </x:row>
    <x:row r="7719">
      <x:c r="A7719" t="str">
        <x:v>SYN0007718</x:v>
      </x:c>
      <x:c r="B7719" s="12" t="n">
        <x:v>42175</x:v>
      </x:c>
      <x:c r="C7719" s="18" t="n">
        <x:v>5179</x:v>
      </x:c>
      <x:c r="D7719" s="18" t="n">
        <x:v>50407</x:v>
      </x:c>
      <x:c r="E7719" s="18" t="n">
        <x:v>18.61</x:v>
      </x:c>
      <x:c r="F7719" s="18" t="n">
        <x:v>7.46</x:v>
      </x:c>
      <x:c r="G7719" t="n">
        <x:v>36</x:v>
      </x:c>
      <x:c r="H7719" t="str">
        <x:v>B</x:v>
      </x:c>
      <x:c r="I7719" t="str">
        <x:v>4-6 years</x:v>
      </x:c>
      <x:c r="J7719" t="str">
        <x:v>MORTGAGE</x:v>
      </x:c>
      <x:c r="K7719" t="str">
        <x:v>debt_consolidation</x:v>
      </x:c>
      <x:c r="L7719" t="n">
        <x:v>1</x:v>
      </x:c>
      <x:c r="M7719" t="n">
        <x:v>0</x:v>
      </x:c>
      <x:c r="N7719" t="str">
        <x:v>Fully Paid</x:v>
      </x:c>
      <x:c r="O7719" t="str">
        <x:f>IF(D7719="","Unknown",IF(D7719&lt;25000,"&lt;$25k",IF(D7719&lt;50000,"$25k-$50k",IF(D7719&lt;75000,"$50k-$75k",IF(D7719&lt;100000,"$75k-$100k","$100k+")))))</x:f>
        <x:v>$50k-$75k</x:v>
      </x:c>
      <x:c r="P7719" t="str">
        <x:f>IF(E7719="","Unknown",IF(E7719&lt;10,"&lt;10",IF(E7719&lt;20,"10-&lt;20",IF(E7719&lt;25,"20-&lt;25",IF(E7719&lt;35,"25-&lt;35","35+")))))</x:f>
        <x:v>10-&lt;20</x:v>
      </x:c>
    </x:row>
    <x:row r="7720">
      <x:c r="A7720" t="str">
        <x:v>SYN0007719</x:v>
      </x:c>
      <x:c r="B7720" s="12" t="n">
        <x:v>43015</x:v>
      </x:c>
      <x:c r="C7720" s="18" t="n">
        <x:v>6160</x:v>
      </x:c>
      <x:c r="D7720" s="18" t="n">
        <x:v>61687</x:v>
      </x:c>
      <x:c r="E7720" s="18" t="n">
        <x:v>13.94</x:v>
      </x:c>
      <x:c r="F7720" s="18" t="n">
        <x:v>10.12</x:v>
      </x:c>
      <x:c r="G7720" t="n">
        <x:v>36</x:v>
      </x:c>
      <x:c r="H7720" t="str">
        <x:v>C</x:v>
      </x:c>
      <x:c r="I7720" t="str">
        <x:v>1-3 years</x:v>
      </x:c>
      <x:c r="J7720" t="str">
        <x:v>MORTGAGE</x:v>
      </x:c>
      <x:c r="K7720" t="str">
        <x:v>debt_consolidation</x:v>
      </x:c>
      <x:c r="L7720" t="n">
        <x:v>0</x:v>
      </x:c>
      <x:c r="M7720" t="n">
        <x:v>0</x:v>
      </x:c>
      <x:c r="N7720" t="str">
        <x:v>Fully Paid</x:v>
      </x:c>
      <x:c r="O7720" t="str">
        <x:f>IF(D7720="","Unknown",IF(D7720&lt;25000,"&lt;$25k",IF(D7720&lt;50000,"$25k-$50k",IF(D7720&lt;75000,"$50k-$75k",IF(D7720&lt;100000,"$75k-$100k","$100k+")))))</x:f>
        <x:v>$50k-$75k</x:v>
      </x:c>
      <x:c r="P7720" t="str">
        <x:f>IF(E7720="","Unknown",IF(E7720&lt;10,"&lt;10",IF(E7720&lt;20,"10-&lt;20",IF(E7720&lt;25,"20-&lt;25",IF(E7720&lt;35,"25-&lt;35","35+")))))</x:f>
        <x:v>10-&lt;20</x:v>
      </x:c>
    </x:row>
    <x:row r="7721">
      <x:c r="A7721" t="str">
        <x:v>SYN0007720</x:v>
      </x:c>
      <x:c r="B7721" s="12" t="n">
        <x:v>41305</x:v>
      </x:c>
      <x:c r="C7721" s="18" t="n">
        <x:v>30635</x:v>
      </x:c>
      <x:c r="D7721" s="18" t="n">
        <x:v>44024</x:v>
      </x:c>
      <x:c r="E7721" s="18" t="n">
        <x:v>32.24</x:v>
      </x:c>
      <x:c r="F7721" s="18" t="n">
        <x:v>13.7</x:v>
      </x:c>
      <x:c r="G7721" t="n">
        <x:v>60</x:v>
      </x:c>
      <x:c r="H7721" t="str">
        <x:v>D</x:v>
      </x:c>
      <x:c r="I7721" t="str">
        <x:v>10+ years</x:v>
      </x:c>
      <x:c r="J7721" t="str">
        <x:v>OWN</x:v>
      </x:c>
      <x:c r="K7721" t="str">
        <x:v>debt_consolidation</x:v>
      </x:c>
      <x:c r="L7721" t="n">
        <x:v>0</x:v>
      </x:c>
      <x:c r="M7721" t="n">
        <x:v>0</x:v>
      </x:c>
      <x:c r="N7721" t="str">
        <x:v>Fully Paid</x:v>
      </x:c>
      <x:c r="O7721" t="str">
        <x:f>IF(D7721="","Unknown",IF(D7721&lt;25000,"&lt;$25k",IF(D7721&lt;50000,"$25k-$50k",IF(D7721&lt;75000,"$50k-$75k",IF(D7721&lt;100000,"$75k-$100k","$100k+")))))</x:f>
        <x:v>$25k-$50k</x:v>
      </x:c>
      <x:c r="P7721" t="str">
        <x:f>IF(E7721="","Unknown",IF(E7721&lt;10,"&lt;10",IF(E7721&lt;20,"10-&lt;20",IF(E7721&lt;25,"20-&lt;25",IF(E7721&lt;35,"25-&lt;35","35+")))))</x:f>
        <x:v>25-&lt;35</x:v>
      </x:c>
    </x:row>
    <x:row r="7722">
      <x:c r="A7722" t="str">
        <x:v>SYN0007721</x:v>
      </x:c>
      <x:c r="B7722" s="12" t="n">
        <x:v>42415</x:v>
      </x:c>
      <x:c r="C7722" s="18" t="n">
        <x:v>8173</x:v>
      </x:c>
      <x:c r="D7722" s="18" t="n">
        <x:v>86575</x:v>
      </x:c>
      <x:c r="E7722" s="18" t="n">
        <x:v>12.44</x:v>
      </x:c>
      <x:c r="F7722" s="18" t="n">
        <x:v>5.23</x:v>
      </x:c>
      <x:c r="G7722" t="n">
        <x:v>36</x:v>
      </x:c>
      <x:c r="H7722" t="str">
        <x:v>A</x:v>
      </x:c>
      <x:c r="I7722" t="str">
        <x:v>7-9 years</x:v>
      </x:c>
      <x:c r="J7722" t="str">
        <x:v>MORTGAGE</x:v>
      </x:c>
      <x:c r="K7722" t="str">
        <x:v>debt_consolidation</x:v>
      </x:c>
      <x:c r="L7722" t="n">
        <x:v>0</x:v>
      </x:c>
      <x:c r="M7722" t="n">
        <x:v>0</x:v>
      </x:c>
      <x:c r="N7722" t="str">
        <x:v>Fully Paid</x:v>
      </x:c>
      <x:c r="O7722" t="str">
        <x:f>IF(D7722="","Unknown",IF(D7722&lt;25000,"&lt;$25k",IF(D7722&lt;50000,"$25k-$50k",IF(D7722&lt;75000,"$50k-$75k",IF(D7722&lt;100000,"$75k-$100k","$100k+")))))</x:f>
        <x:v>$75k-$100k</x:v>
      </x:c>
      <x:c r="P7722" t="str">
        <x:f>IF(E7722="","Unknown",IF(E7722&lt;10,"&lt;10",IF(E7722&lt;20,"10-&lt;20",IF(E7722&lt;25,"20-&lt;25",IF(E7722&lt;35,"25-&lt;35","35+")))))</x:f>
        <x:v>10-&lt;20</x:v>
      </x:c>
    </x:row>
    <x:row r="7723">
      <x:c r="A7723" t="str">
        <x:v>SYN0007722</x:v>
      </x:c>
      <x:c r="B7723" s="12" t="n">
        <x:v>42595</x:v>
      </x:c>
      <x:c r="C7723" s="18" t="n">
        <x:v>25962</x:v>
      </x:c>
      <x:c r="D7723" s="18" t="n">
        <x:v>71775</x:v>
      </x:c>
      <x:c r="E7723" s="18" t="n">
        <x:v>20.99</x:v>
      </x:c>
      <x:c r="F7723" s="18" t="n">
        <x:v>11.73</x:v>
      </x:c>
      <x:c r="G7723" t="n">
        <x:v>60</x:v>
      </x:c>
      <x:c r="H7723" t="str">
        <x:v>C</x:v>
      </x:c>
      <x:c r="I7723" t="str">
        <x:v>10+ years</x:v>
      </x:c>
      <x:c r="J7723" t="str">
        <x:v>MORTGAGE</x:v>
      </x:c>
      <x:c r="K7723" t="str">
        <x:v>home_improvement</x:v>
      </x:c>
      <x:c r="L7723" t="n">
        <x:v>2</x:v>
      </x:c>
      <x:c r="M7723" t="n">
        <x:v>0</x:v>
      </x:c>
      <x:c r="N7723" t="str">
        <x:v>Fully Paid</x:v>
      </x:c>
      <x:c r="O7723" t="str">
        <x:f>IF(D7723="","Unknown",IF(D7723&lt;25000,"&lt;$25k",IF(D7723&lt;50000,"$25k-$50k",IF(D7723&lt;75000,"$50k-$75k",IF(D7723&lt;100000,"$75k-$100k","$100k+")))))</x:f>
        <x:v>$50k-$75k</x:v>
      </x:c>
      <x:c r="P7723" t="str">
        <x:f>IF(E7723="","Unknown",IF(E7723&lt;10,"&lt;10",IF(E7723&lt;20,"10-&lt;20",IF(E7723&lt;25,"20-&lt;25",IF(E7723&lt;35,"25-&lt;35","35+")))))</x:f>
        <x:v>20-&lt;25</x:v>
      </x:c>
    </x:row>
    <x:row r="7724">
      <x:c r="A7724" t="str">
        <x:v>SYN0007723</x:v>
      </x:c>
      <x:c r="B7724" s="12" t="n">
        <x:v>42475</x:v>
      </x:c>
      <x:c r="C7724" s="18" t="n">
        <x:v>24654</x:v>
      </x:c>
      <x:c r="D7724" s="18" t="n">
        <x:v>74173</x:v>
      </x:c>
      <x:c r="E7724" s="18" t="n">
        <x:v>15.69</x:v>
      </x:c>
      <x:c r="F7724" s="18" t="n">
        <x:v>14.18</x:v>
      </x:c>
      <x:c r="G7724" t="n">
        <x:v>36</x:v>
      </x:c>
      <x:c r="H7724" t="str">
        <x:v>C</x:v>
      </x:c>
      <x:c r="I7724" t="str">
        <x:v>4-6 years</x:v>
      </x:c>
      <x:c r="J7724" t="str">
        <x:v>MORTGAGE</x:v>
      </x:c>
      <x:c r="K7724" t="str">
        <x:v>credit_card</x:v>
      </x:c>
      <x:c r="L7724" t="n">
        <x:v>0</x:v>
      </x:c>
      <x:c r="M7724" t="n">
        <x:v>0</x:v>
      </x:c>
      <x:c r="N7724" t="str">
        <x:v>Fully Paid</x:v>
      </x:c>
      <x:c r="O7724" t="str">
        <x:f>IF(D7724="","Unknown",IF(D7724&lt;25000,"&lt;$25k",IF(D7724&lt;50000,"$25k-$50k",IF(D7724&lt;75000,"$50k-$75k",IF(D7724&lt;100000,"$75k-$100k","$100k+")))))</x:f>
        <x:v>$50k-$75k</x:v>
      </x:c>
      <x:c r="P7724" t="str">
        <x:f>IF(E7724="","Unknown",IF(E7724&lt;10,"&lt;10",IF(E7724&lt;20,"10-&lt;20",IF(E7724&lt;25,"20-&lt;25",IF(E7724&lt;35,"25-&lt;35","35+")))))</x:f>
        <x:v>10-&lt;20</x:v>
      </x:c>
    </x:row>
    <x:row r="7725">
      <x:c r="A7725" t="str">
        <x:v>SYN0007724</x:v>
      </x:c>
      <x:c r="B7725" s="12" t="n">
        <x:v>42655</x:v>
      </x:c>
      <x:c r="C7725" s="18" t="n">
        <x:v>19372</x:v>
      </x:c>
      <x:c r="D7725" s="18" t="n">
        <x:v>26384</x:v>
      </x:c>
      <x:c r="E7725" s="18" t="n">
        <x:v>26.66</x:v>
      </x:c>
      <x:c r="F7725" s="18" t="n">
        <x:v>11.71</x:v>
      </x:c>
      <x:c r="G7725" t="n">
        <x:v>36</x:v>
      </x:c>
      <x:c r="H7725" t="str">
        <x:v>C</x:v>
      </x:c>
      <x:c r="I7725" t="str">
        <x:v>&lt;1 year</x:v>
      </x:c>
      <x:c r="J7725" t="str">
        <x:v>RENT</x:v>
      </x:c>
      <x:c r="K7725" t="str">
        <x:v>debt_consolidation</x:v>
      </x:c>
      <x:c r="L7725" t="n">
        <x:v>1</x:v>
      </x:c>
      <x:c r="M7725" t="n">
        <x:v>0</x:v>
      </x:c>
      <x:c r="N7725" t="str">
        <x:v>Fully Paid</x:v>
      </x:c>
      <x:c r="O7725" t="str">
        <x:f>IF(D7725="","Unknown",IF(D7725&lt;25000,"&lt;$25k",IF(D7725&lt;50000,"$25k-$50k",IF(D7725&lt;75000,"$50k-$75k",IF(D7725&lt;100000,"$75k-$100k","$100k+")))))</x:f>
        <x:v>$25k-$50k</x:v>
      </x:c>
      <x:c r="P7725" t="str">
        <x:f>IF(E7725="","Unknown",IF(E7725&lt;10,"&lt;10",IF(E7725&lt;20,"10-&lt;20",IF(E7725&lt;25,"20-&lt;25",IF(E7725&lt;35,"25-&lt;35","35+")))))</x:f>
        <x:v>25-&lt;35</x:v>
      </x:c>
    </x:row>
    <x:row r="7726">
      <x:c r="A7726" t="str">
        <x:v>SYN0007725</x:v>
      </x:c>
      <x:c r="B7726" s="12" t="n">
        <x:v>42685</x:v>
      </x:c>
      <x:c r="C7726" s="18" t="n">
        <x:v>16803</x:v>
      </x:c>
      <x:c r="D7726" s="18" t="n">
        <x:v>35703</x:v>
      </x:c>
      <x:c r="E7726" s="18" t="n">
        <x:v>24.54</x:v>
      </x:c>
      <x:c r="F7726" s="18" t="n">
        <x:v>8.24</x:v>
      </x:c>
      <x:c r="G7726" t="n">
        <x:v>36</x:v>
      </x:c>
      <x:c r="H7726" t="str">
        <x:v>B</x:v>
      </x:c>
      <x:c r="I7726" t="str">
        <x:v>&lt;1 year</x:v>
      </x:c>
      <x:c r="J7726" t="str">
        <x:v>MORTGAGE</x:v>
      </x:c>
      <x:c r="K7726" t="str">
        <x:v>credit_card</x:v>
      </x:c>
      <x:c r="L7726" t="n">
        <x:v>1</x:v>
      </x:c>
      <x:c r="M7726" t="n">
        <x:v>0</x:v>
      </x:c>
      <x:c r="N7726" t="str">
        <x:v>Fully Paid</x:v>
      </x:c>
      <x:c r="O7726" t="str">
        <x:f>IF(D7726="","Unknown",IF(D7726&lt;25000,"&lt;$25k",IF(D7726&lt;50000,"$25k-$50k",IF(D7726&lt;75000,"$50k-$75k",IF(D7726&lt;100000,"$75k-$100k","$100k+")))))</x:f>
        <x:v>$25k-$50k</x:v>
      </x:c>
      <x:c r="P7726" t="str">
        <x:f>IF(E7726="","Unknown",IF(E7726&lt;10,"&lt;10",IF(E7726&lt;20,"10-&lt;20",IF(E7726&lt;25,"20-&lt;25",IF(E7726&lt;35,"25-&lt;35","35+")))))</x:f>
        <x:v>20-&lt;25</x:v>
      </x:c>
    </x:row>
    <x:row r="7727">
      <x:c r="A7727" t="str">
        <x:v>SYN0007726</x:v>
      </x:c>
      <x:c r="B7727" s="12" t="n">
        <x:v>43195</x:v>
      </x:c>
      <x:c r="C7727" s="18" t="n">
        <x:v>11805</x:v>
      </x:c>
      <x:c r="D7727" s="18" t="n">
        <x:v>45750</x:v>
      </x:c>
      <x:c r="E7727" s="18" t="n">
        <x:v>16.92</x:v>
      </x:c>
      <x:c r="F7727" s="18" t="n">
        <x:v>17.51</x:v>
      </x:c>
      <x:c r="G7727" t="n">
        <x:v>36</x:v>
      </x:c>
      <x:c r="H7727" t="str">
        <x:v>E</x:v>
      </x:c>
      <x:c r="I7727" t="str">
        <x:v>4-6 years</x:v>
      </x:c>
      <x:c r="J7727" t="str">
        <x:v>OTHER</x:v>
      </x:c>
      <x:c r="K7727" t="str">
        <x:v>debt_consolidation</x:v>
      </x:c>
      <x:c r="L7727" t="n">
        <x:v>0</x:v>
      </x:c>
      <x:c r="M7727" t="n">
        <x:v>0</x:v>
      </x:c>
      <x:c r="N7727" t="str">
        <x:v>Fully Paid</x:v>
      </x:c>
      <x:c r="O7727" t="str">
        <x:f>IF(D7727="","Unknown",IF(D7727&lt;25000,"&lt;$25k",IF(D7727&lt;50000,"$25k-$50k",IF(D7727&lt;75000,"$50k-$75k",IF(D7727&lt;100000,"$75k-$100k","$100k+")))))</x:f>
        <x:v>$25k-$50k</x:v>
      </x:c>
      <x:c r="P7727" t="str">
        <x:f>IF(E7727="","Unknown",IF(E7727&lt;10,"&lt;10",IF(E7727&lt;20,"10-&lt;20",IF(E7727&lt;25,"20-&lt;25",IF(E7727&lt;35,"25-&lt;35","35+")))))</x:f>
        <x:v>10-&lt;20</x:v>
      </x:c>
    </x:row>
    <x:row r="7728">
      <x:c r="A7728" t="str">
        <x:v>SYN0007727</x:v>
      </x:c>
      <x:c r="B7728" s="12" t="n">
        <x:v>42025</x:v>
      </x:c>
      <x:c r="C7728" s="18" t="n">
        <x:v>7917</x:v>
      </x:c>
      <x:c r="D7728" s="18" t="n">
        <x:v>48149</x:v>
      </x:c>
      <x:c r="E7728" s="18" t="n">
        <x:v>28.6</x:v>
      </x:c>
      <x:c r="F7728" s="18" t="n">
        <x:v>20.58</x:v>
      </x:c>
      <x:c r="G7728" t="n">
        <x:v>60</x:v>
      </x:c>
      <x:c r="H7728" t="str">
        <x:v>F</x:v>
      </x:c>
      <x:c r="I7728" t="str">
        <x:v>1-3 years</x:v>
      </x:c>
      <x:c r="J7728" t="str">
        <x:v>RENT</x:v>
      </x:c>
      <x:c r="K7728" t="str">
        <x:v>home_improvement</x:v>
      </x:c>
      <x:c r="L7728" t="n">
        <x:v>3</x:v>
      </x:c>
      <x:c r="M7728" t="n">
        <x:v>0</x:v>
      </x:c>
      <x:c r="N7728" t="str">
        <x:v>Fully Paid</x:v>
      </x:c>
      <x:c r="O7728" t="str">
        <x:f>IF(D7728="","Unknown",IF(D7728&lt;25000,"&lt;$25k",IF(D7728&lt;50000,"$25k-$50k",IF(D7728&lt;75000,"$50k-$75k",IF(D7728&lt;100000,"$75k-$100k","$100k+")))))</x:f>
        <x:v>$25k-$50k</x:v>
      </x:c>
      <x:c r="P7728" t="str">
        <x:f>IF(E7728="","Unknown",IF(E7728&lt;10,"&lt;10",IF(E7728&lt;20,"10-&lt;20",IF(E7728&lt;25,"20-&lt;25",IF(E7728&lt;35,"25-&lt;35","35+")))))</x:f>
        <x:v>25-&lt;35</x:v>
      </x:c>
    </x:row>
    <x:row r="7729">
      <x:c r="A7729" t="str">
        <x:v>SYN0007728</x:v>
      </x:c>
      <x:c r="B7729" s="12" t="n">
        <x:v>42535</x:v>
      </x:c>
      <x:c r="C7729" s="18" t="n">
        <x:v>18555</x:v>
      </x:c>
      <x:c r="D7729" s="18" t="n">
        <x:v>22460</x:v>
      </x:c>
      <x:c r="E7729" s="18" t="n">
        <x:v>29.12</x:v>
      </x:c>
      <x:c r="F7729" s="18" t="n">
        <x:v>15.67</x:v>
      </x:c>
      <x:c r="G7729" t="n">
        <x:v>36</x:v>
      </x:c>
      <x:c r="H7729" t="str">
        <x:v>E</x:v>
      </x:c>
      <x:c r="I7729" t="str">
        <x:v>&lt;1 year</x:v>
      </x:c>
      <x:c r="J7729" t="str">
        <x:v>RENT</x:v>
      </x:c>
      <x:c r="K7729" t="str">
        <x:v>debt_consolidation</x:v>
      </x:c>
      <x:c r="L7729" t="n">
        <x:v>1</x:v>
      </x:c>
      <x:c r="M7729" t="n">
        <x:v>0</x:v>
      </x:c>
      <x:c r="N7729" t="str">
        <x:v>Fully Paid</x:v>
      </x:c>
      <x:c r="O7729" t="str">
        <x:f>IF(D7729="","Unknown",IF(D7729&lt;25000,"&lt;$25k",IF(D7729&lt;50000,"$25k-$50k",IF(D7729&lt;75000,"$50k-$75k",IF(D7729&lt;100000,"$75k-$100k","$100k+")))))</x:f>
        <x:v>&lt;$25k</x:v>
      </x:c>
      <x:c r="P7729" t="str">
        <x:f>IF(E7729="","Unknown",IF(E7729&lt;10,"&lt;10",IF(E7729&lt;20,"10-&lt;20",IF(E7729&lt;25,"20-&lt;25",IF(E7729&lt;35,"25-&lt;35","35+")))))</x:f>
        <x:v>25-&lt;35</x:v>
      </x:c>
    </x:row>
    <x:row r="7730">
      <x:c r="A7730" t="str">
        <x:v>SYN0007729</x:v>
      </x:c>
      <x:c r="B7730" s="12" t="n">
        <x:v>42235</x:v>
      </x:c>
      <x:c r="C7730" s="18" t="n">
        <x:v>14465</x:v>
      </x:c>
      <x:c r="D7730" s="18" t="n">
        <x:v>16961</x:v>
      </x:c>
      <x:c r="E7730" s="18" t="n">
        <x:v>26.34</x:v>
      </x:c>
      <x:c r="F7730" s="18" t="n">
        <x:v>14.42</x:v>
      </x:c>
      <x:c r="G7730" t="n">
        <x:v>36</x:v>
      </x:c>
      <x:c r="H7730" t="str">
        <x:v>D</x:v>
      </x:c>
      <x:c r="I7730" t="str">
        <x:v>1-3 years</x:v>
      </x:c>
      <x:c r="J7730" t="str">
        <x:v>MORTGAGE</x:v>
      </x:c>
      <x:c r="K7730" t="str">
        <x:v>major_purchase</x:v>
      </x:c>
      <x:c r="L7730" t="n">
        <x:v>1</x:v>
      </x:c>
      <x:c r="M7730" t="n">
        <x:v>0</x:v>
      </x:c>
      <x:c r="N7730" t="str">
        <x:v>Fully Paid</x:v>
      </x:c>
      <x:c r="O7730" t="str">
        <x:f>IF(D7730="","Unknown",IF(D7730&lt;25000,"&lt;$25k",IF(D7730&lt;50000,"$25k-$50k",IF(D7730&lt;75000,"$50k-$75k",IF(D7730&lt;100000,"$75k-$100k","$100k+")))))</x:f>
        <x:v>&lt;$25k</x:v>
      </x:c>
      <x:c r="P7730" t="str">
        <x:f>IF(E7730="","Unknown",IF(E7730&lt;10,"&lt;10",IF(E7730&lt;20,"10-&lt;20",IF(E7730&lt;25,"20-&lt;25",IF(E7730&lt;35,"25-&lt;35","35+")))))</x:f>
        <x:v>25-&lt;35</x:v>
      </x:c>
    </x:row>
    <x:row r="7731">
      <x:c r="A7731" t="str">
        <x:v>SYN0007730</x:v>
      </x:c>
      <x:c r="B7731" s="12" t="n">
        <x:v>41845</x:v>
      </x:c>
      <x:c r="C7731" s="18" t="n">
        <x:v>5445</x:v>
      </x:c>
      <x:c r="D7731" s="18" t="n">
        <x:v>56044</x:v>
      </x:c>
      <x:c r="E7731" s="18" t="n">
        <x:v>18</x:v>
      </x:c>
      <x:c r="F7731" s="18" t="n">
        <x:v>9.61</x:v>
      </x:c>
      <x:c r="G7731" t="n">
        <x:v>36</x:v>
      </x:c>
      <x:c r="H7731" t="str">
        <x:v>B</x:v>
      </x:c>
      <x:c r="I7731" t="str">
        <x:v>7-9 years</x:v>
      </x:c>
      <x:c r="J7731" t="str">
        <x:v>MORTGAGE</x:v>
      </x:c>
      <x:c r="K7731" t="str">
        <x:v>debt_consolidation</x:v>
      </x:c>
      <x:c r="L7731" t="n">
        <x:v>0</x:v>
      </x:c>
      <x:c r="M7731" t="n">
        <x:v>0</x:v>
      </x:c>
      <x:c r="N7731" t="str">
        <x:v>Fully Paid</x:v>
      </x:c>
      <x:c r="O7731" t="str">
        <x:f>IF(D7731="","Unknown",IF(D7731&lt;25000,"&lt;$25k",IF(D7731&lt;50000,"$25k-$50k",IF(D7731&lt;75000,"$50k-$75k",IF(D7731&lt;100000,"$75k-$100k","$100k+")))))</x:f>
        <x:v>$50k-$75k</x:v>
      </x:c>
      <x:c r="P7731" t="str">
        <x:f>IF(E7731="","Unknown",IF(E7731&lt;10,"&lt;10",IF(E7731&lt;20,"10-&lt;20",IF(E7731&lt;25,"20-&lt;25",IF(E7731&lt;35,"25-&lt;35","35+")))))</x:f>
        <x:v>10-&lt;20</x:v>
      </x:c>
    </x:row>
    <x:row r="7732">
      <x:c r="A7732" t="str">
        <x:v>SYN0007731</x:v>
      </x:c>
      <x:c r="B7732" s="12" t="n">
        <x:v>43165</x:v>
      </x:c>
      <x:c r="C7732" s="18" t="n">
        <x:v>2683</x:v>
      </x:c>
      <x:c r="D7732" s="18" t="n">
        <x:v>48100</x:v>
      </x:c>
      <x:c r="E7732" s="18" t="n">
        <x:v>14.39</x:v>
      </x:c>
      <x:c r="F7732" s="18" t="n">
        <x:v>9.24</x:v>
      </x:c>
      <x:c r="G7732" t="n">
        <x:v>36</x:v>
      </x:c>
      <x:c r="H7732" t="str">
        <x:v>C</x:v>
      </x:c>
      <x:c r="I7732" t="str">
        <x:v>1-3 years</x:v>
      </x:c>
      <x:c r="J7732" t="str">
        <x:v>OWN</x:v>
      </x:c>
      <x:c r="K7732" t="str">
        <x:v>credit_card</x:v>
      </x:c>
      <x:c r="L7732" t="n">
        <x:v>0</x:v>
      </x:c>
      <x:c r="M7732" t="n">
        <x:v>0</x:v>
      </x:c>
      <x:c r="N7732" t="str">
        <x:v>Fully Paid</x:v>
      </x:c>
      <x:c r="O7732" t="str">
        <x:f>IF(D7732="","Unknown",IF(D7732&lt;25000,"&lt;$25k",IF(D7732&lt;50000,"$25k-$50k",IF(D7732&lt;75000,"$50k-$75k",IF(D7732&lt;100000,"$75k-$100k","$100k+")))))</x:f>
        <x:v>$25k-$50k</x:v>
      </x:c>
      <x:c r="P7732" t="str">
        <x:f>IF(E7732="","Unknown",IF(E7732&lt;10,"&lt;10",IF(E7732&lt;20,"10-&lt;20",IF(E7732&lt;25,"20-&lt;25",IF(E7732&lt;35,"25-&lt;35","35+")))))</x:f>
        <x:v>10-&lt;20</x:v>
      </x:c>
    </x:row>
    <x:row r="7733">
      <x:c r="A7733" t="str">
        <x:v>SYN0007732</x:v>
      </x:c>
      <x:c r="B7733" s="12" t="n">
        <x:v>41455</x:v>
      </x:c>
      <x:c r="C7733" s="18" t="n">
        <x:v>7517</x:v>
      </x:c>
      <x:c r="D7733" s="18" t="n">
        <x:v>108258</x:v>
      </x:c>
      <x:c r="E7733" s="18" t="n">
        <x:v>7.32</x:v>
      </x:c>
      <x:c r="F7733" s="18" t="n">
        <x:v>7.56</x:v>
      </x:c>
      <x:c r="G7733" t="n">
        <x:v>36</x:v>
      </x:c>
      <x:c r="H7733" t="str">
        <x:v>A</x:v>
      </x:c>
      <x:c r="I7733" t="str">
        <x:v>7-9 years</x:v>
      </x:c>
      <x:c r="J7733" t="str">
        <x:v>RENT</x:v>
      </x:c>
      <x:c r="K7733" t="str">
        <x:v>debt_consolidation</x:v>
      </x:c>
      <x:c r="L7733" t="n">
        <x:v>0</x:v>
      </x:c>
      <x:c r="M7733" t="n">
        <x:v>0</x:v>
      </x:c>
      <x:c r="N7733" t="str">
        <x:v>Fully Paid</x:v>
      </x:c>
      <x:c r="O7733" t="str">
        <x:f>IF(D7733="","Unknown",IF(D7733&lt;25000,"&lt;$25k",IF(D7733&lt;50000,"$25k-$50k",IF(D7733&lt;75000,"$50k-$75k",IF(D7733&lt;100000,"$75k-$100k","$100k+")))))</x:f>
        <x:v>$100k+</x:v>
      </x:c>
      <x:c r="P7733" t="str">
        <x:f>IF(E7733="","Unknown",IF(E7733&lt;10,"&lt;10",IF(E7733&lt;20,"10-&lt;20",IF(E7733&lt;25,"20-&lt;25",IF(E7733&lt;35,"25-&lt;35","35+")))))</x:f>
        <x:v>&lt;10</x:v>
      </x:c>
    </x:row>
    <x:row r="7734">
      <x:c r="A7734" t="str">
        <x:v>SYN0007733</x:v>
      </x:c>
      <x:c r="B7734" s="12" t="n">
        <x:v>43165</x:v>
      </x:c>
      <x:c r="C7734" s="18" t="n">
        <x:v>7399</x:v>
      </x:c>
      <x:c r="D7734" s="18" t="n">
        <x:v>90965</x:v>
      </x:c>
      <x:c r="E7734" s="18" t="n">
        <x:v>29.75</x:v>
      </x:c>
      <x:c r="F7734" s="18" t="n">
        <x:v>14.88</x:v>
      </x:c>
      <x:c r="G7734" t="n">
        <x:v>36</x:v>
      </x:c>
      <x:c r="H7734" t="str">
        <x:v>C</x:v>
      </x:c>
      <x:c r="I7734" t="str">
        <x:v>10+ years</x:v>
      </x:c>
      <x:c r="J7734" t="str">
        <x:v>RENT</x:v>
      </x:c>
      <x:c r="K7734" t="str">
        <x:v>home_improvement</x:v>
      </x:c>
      <x:c r="L7734" t="n">
        <x:v>0</x:v>
      </x:c>
      <x:c r="M7734" t="n">
        <x:v>0</x:v>
      </x:c>
      <x:c r="N7734" t="str">
        <x:v>Fully Paid</x:v>
      </x:c>
      <x:c r="O7734" t="str">
        <x:f>IF(D7734="","Unknown",IF(D7734&lt;25000,"&lt;$25k",IF(D7734&lt;50000,"$25k-$50k",IF(D7734&lt;75000,"$50k-$75k",IF(D7734&lt;100000,"$75k-$100k","$100k+")))))</x:f>
        <x:v>$75k-$100k</x:v>
      </x:c>
      <x:c r="P7734" t="str">
        <x:f>IF(E7734="","Unknown",IF(E7734&lt;10,"&lt;10",IF(E7734&lt;20,"10-&lt;20",IF(E7734&lt;25,"20-&lt;25",IF(E7734&lt;35,"25-&lt;35","35+")))))</x:f>
        <x:v>25-&lt;35</x:v>
      </x:c>
    </x:row>
    <x:row r="7735">
      <x:c r="A7735" t="str">
        <x:v>SYN0007734</x:v>
      </x:c>
      <x:c r="B7735" s="12" t="n">
        <x:v>42565</x:v>
      </x:c>
      <x:c r="C7735" s="18" t="n">
        <x:v>10273</x:v>
      </x:c>
      <x:c r="D7735" s="18" t="n">
        <x:v>17378</x:v>
      </x:c>
      <x:c r="E7735" s="18" t="n">
        <x:v>17.67</x:v>
      </x:c>
      <x:c r="F7735" s="18" t="n">
        <x:v>7.33</x:v>
      </x:c>
      <x:c r="G7735" t="n">
        <x:v>60</x:v>
      </x:c>
      <x:c r="H7735" t="str">
        <x:v>B</x:v>
      </x:c>
      <x:c r="I7735" t="str">
        <x:v>1-3 years</x:v>
      </x:c>
      <x:c r="J7735" t="str">
        <x:v>RENT</x:v>
      </x:c>
      <x:c r="K7735" t="str">
        <x:v>major_purchase</x:v>
      </x:c>
      <x:c r="L7735" t="n">
        <x:v>0</x:v>
      </x:c>
      <x:c r="M7735" t="n">
        <x:v>0</x:v>
      </x:c>
      <x:c r="N7735" t="str">
        <x:v>Fully Paid</x:v>
      </x:c>
      <x:c r="O7735" t="str">
        <x:f>IF(D7735="","Unknown",IF(D7735&lt;25000,"&lt;$25k",IF(D7735&lt;50000,"$25k-$50k",IF(D7735&lt;75000,"$50k-$75k",IF(D7735&lt;100000,"$75k-$100k","$100k+")))))</x:f>
        <x:v>&lt;$25k</x:v>
      </x:c>
      <x:c r="P7735" t="str">
        <x:f>IF(E7735="","Unknown",IF(E7735&lt;10,"&lt;10",IF(E7735&lt;20,"10-&lt;20",IF(E7735&lt;25,"20-&lt;25",IF(E7735&lt;35,"25-&lt;35","35+")))))</x:f>
        <x:v>10-&lt;20</x:v>
      </x:c>
    </x:row>
    <x:row r="7736">
      <x:c r="A7736" t="str">
        <x:v>SYN0007735</x:v>
      </x:c>
      <x:c r="B7736" s="12" t="n">
        <x:v>43405</x:v>
      </x:c>
      <x:c r="C7736" s="18" t="n">
        <x:v>23219</x:v>
      </x:c>
      <x:c r="D7736" s="18" t="n">
        <x:v>89989</x:v>
      </x:c>
      <x:c r="E7736" s="18" t="n">
        <x:v>31.61</x:v>
      </x:c>
      <x:c r="F7736" s="18" t="n">
        <x:v>10.53</x:v>
      </x:c>
      <x:c r="G7736" t="n">
        <x:v>36</x:v>
      </x:c>
      <x:c r="H7736" t="str">
        <x:v>C</x:v>
      </x:c>
      <x:c r="I7736" t="str">
        <x:v>7-9 years</x:v>
      </x:c>
      <x:c r="J7736" t="str">
        <x:v>OWN</x:v>
      </x:c>
      <x:c r="K7736" t="str">
        <x:v>home_improvement</x:v>
      </x:c>
      <x:c r="L7736" t="n">
        <x:v>0</x:v>
      </x:c>
      <x:c r="M7736" t="n">
        <x:v>0</x:v>
      </x:c>
      <x:c r="N7736" t="str">
        <x:v>Fully Paid</x:v>
      </x:c>
      <x:c r="O7736" t="str">
        <x:f>IF(D7736="","Unknown",IF(D7736&lt;25000,"&lt;$25k",IF(D7736&lt;50000,"$25k-$50k",IF(D7736&lt;75000,"$50k-$75k",IF(D7736&lt;100000,"$75k-$100k","$100k+")))))</x:f>
        <x:v>$75k-$100k</x:v>
      </x:c>
      <x:c r="P7736" t="str">
        <x:f>IF(E7736="","Unknown",IF(E7736&lt;10,"&lt;10",IF(E7736&lt;20,"10-&lt;20",IF(E7736&lt;25,"20-&lt;25",IF(E7736&lt;35,"25-&lt;35","35+")))))</x:f>
        <x:v>25-&lt;35</x:v>
      </x:c>
    </x:row>
    <x:row r="7737">
      <x:c r="A7737" t="str">
        <x:v>SYN0007736</x:v>
      </x:c>
      <x:c r="B7737" s="12" t="n">
        <x:v>43315</x:v>
      </x:c>
      <x:c r="C7737" s="18" t="n">
        <x:v>8734</x:v>
      </x:c>
      <x:c r="D7737" s="18" t="n">
        <x:v>99087</x:v>
      </x:c>
      <x:c r="E7737" s="18" t="n">
        <x:v>2.33</x:v>
      </x:c>
      <x:c r="F7737" s="18" t="n">
        <x:v>5</x:v>
      </x:c>
      <x:c r="G7737" t="n">
        <x:v>36</x:v>
      </x:c>
      <x:c r="H7737" t="str">
        <x:v>A</x:v>
      </x:c>
      <x:c r="I7737" t="str">
        <x:v>1-3 years</x:v>
      </x:c>
      <x:c r="J7737" t="str">
        <x:v>MORTGAGE</x:v>
      </x:c>
      <x:c r="K7737" t="str">
        <x:v>credit_card</x:v>
      </x:c>
      <x:c r="L7737" t="n">
        <x:v>0</x:v>
      </x:c>
      <x:c r="M7737" t="n">
        <x:v>0</x:v>
      </x:c>
      <x:c r="N7737" t="str">
        <x:v>Fully Paid</x:v>
      </x:c>
      <x:c r="O7737" t="str">
        <x:f>IF(D7737="","Unknown",IF(D7737&lt;25000,"&lt;$25k",IF(D7737&lt;50000,"$25k-$50k",IF(D7737&lt;75000,"$50k-$75k",IF(D7737&lt;100000,"$75k-$100k","$100k+")))))</x:f>
        <x:v>$75k-$100k</x:v>
      </x:c>
      <x:c r="P7737" t="str">
        <x:f>IF(E7737="","Unknown",IF(E7737&lt;10,"&lt;10",IF(E7737&lt;20,"10-&lt;20",IF(E7737&lt;25,"20-&lt;25",IF(E7737&lt;35,"25-&lt;35","35+")))))</x:f>
        <x:v>&lt;10</x:v>
      </x:c>
    </x:row>
    <x:row r="7738">
      <x:c r="A7738" t="str">
        <x:v>SYN0007737</x:v>
      </x:c>
      <x:c r="B7738" s="12" t="n">
        <x:v>41485</x:v>
      </x:c>
      <x:c r="C7738" s="18" t="n">
        <x:v>32283</x:v>
      </x:c>
      <x:c r="D7738" s="18" t="n">
        <x:v>60515</x:v>
      </x:c>
      <x:c r="E7738" s="18" t="n">
        <x:v>17.24</x:v>
      </x:c>
      <x:c r="F7738" s="18" t="n">
        <x:v>7.2</x:v>
      </x:c>
      <x:c r="G7738" t="n">
        <x:v>36</x:v>
      </x:c>
      <x:c r="H7738" t="str">
        <x:v>B</x:v>
      </x:c>
      <x:c r="I7738" t="str">
        <x:v>1-3 years</x:v>
      </x:c>
      <x:c r="J7738" t="str">
        <x:v>RENT</x:v>
      </x:c>
      <x:c r="K7738" t="str">
        <x:v>credit_card</x:v>
      </x:c>
      <x:c r="L7738" t="n">
        <x:v>0</x:v>
      </x:c>
      <x:c r="M7738" t="n">
        <x:v>0</x:v>
      </x:c>
      <x:c r="N7738" t="str">
        <x:v>Fully Paid</x:v>
      </x:c>
      <x:c r="O7738" t="str">
        <x:f>IF(D7738="","Unknown",IF(D7738&lt;25000,"&lt;$25k",IF(D7738&lt;50000,"$25k-$50k",IF(D7738&lt;75000,"$50k-$75k",IF(D7738&lt;100000,"$75k-$100k","$100k+")))))</x:f>
        <x:v>$50k-$75k</x:v>
      </x:c>
      <x:c r="P7738" t="str">
        <x:f>IF(E7738="","Unknown",IF(E7738&lt;10,"&lt;10",IF(E7738&lt;20,"10-&lt;20",IF(E7738&lt;25,"20-&lt;25",IF(E7738&lt;35,"25-&lt;35","35+")))))</x:f>
        <x:v>10-&lt;20</x:v>
      </x:c>
    </x:row>
    <x:row r="7739">
      <x:c r="A7739" t="str">
        <x:v>SYN0007738</x:v>
      </x:c>
      <x:c r="B7739" s="12" t="n">
        <x:v>41545</x:v>
      </x:c>
      <x:c r="C7739" s="18" t="n">
        <x:v>13901</x:v>
      </x:c>
      <x:c r="D7739" s="18" t="n">
        <x:v>21669</x:v>
      </x:c>
      <x:c r="E7739" s="18" t="n">
        <x:v>12.99</x:v>
      </x:c>
      <x:c r="F7739" s="18" t="n">
        <x:v>9.14</x:v>
      </x:c>
      <x:c r="G7739" t="n">
        <x:v>36</x:v>
      </x:c>
      <x:c r="H7739" t="str">
        <x:v>A</x:v>
      </x:c>
      <x:c r="I7739" t="str">
        <x:v>1-3 years</x:v>
      </x:c>
      <x:c r="J7739" t="str">
        <x:v>MORTGAGE</x:v>
      </x:c>
      <x:c r="K7739" t="str">
        <x:v>credit_card</x:v>
      </x:c>
      <x:c r="L7739" t="n">
        <x:v>0</x:v>
      </x:c>
      <x:c r="M7739" t="n">
        <x:v>0</x:v>
      </x:c>
      <x:c r="N7739" t="str">
        <x:v>Fully Paid</x:v>
      </x:c>
      <x:c r="O7739" t="str">
        <x:f>IF(D7739="","Unknown",IF(D7739&lt;25000,"&lt;$25k",IF(D7739&lt;50000,"$25k-$50k",IF(D7739&lt;75000,"$50k-$75k",IF(D7739&lt;100000,"$75k-$100k","$100k+")))))</x:f>
        <x:v>&lt;$25k</x:v>
      </x:c>
      <x:c r="P7739" t="str">
        <x:f>IF(E7739="","Unknown",IF(E7739&lt;10,"&lt;10",IF(E7739&lt;20,"10-&lt;20",IF(E7739&lt;25,"20-&lt;25",IF(E7739&lt;35,"25-&lt;35","35+")))))</x:f>
        <x:v>10-&lt;20</x:v>
      </x:c>
    </x:row>
    <x:row r="7740">
      <x:c r="A7740" t="str">
        <x:v>SYN0007739</x:v>
      </x:c>
      <x:c r="B7740" s="12" t="n">
        <x:v>41275</x:v>
      </x:c>
      <x:c r="C7740" s="18" t="n">
        <x:v>10396</x:v>
      </x:c>
      <x:c r="D7740" s="18" t="n">
        <x:v>26483</x:v>
      </x:c>
      <x:c r="E7740" s="18" t="n">
        <x:v>15.14</x:v>
      </x:c>
      <x:c r="F7740" s="18" t="n">
        <x:v>15.02</x:v>
      </x:c>
      <x:c r="G7740" t="n">
        <x:v>36</x:v>
      </x:c>
      <x:c r="H7740" t="str">
        <x:v>D</x:v>
      </x:c>
      <x:c r="I7740" t="str">
        <x:v>4-6 years</x:v>
      </x:c>
      <x:c r="J7740" t="str">
        <x:v>MORTGAGE</x:v>
      </x:c>
      <x:c r="K7740" t="str">
        <x:v>debt_consolidation</x:v>
      </x:c>
      <x:c r="L7740" t="n">
        <x:v>0</x:v>
      </x:c>
      <x:c r="M7740" t="n">
        <x:v>1</x:v>
      </x:c>
      <x:c r="N7740" t="str">
        <x:v>Charged Off</x:v>
      </x:c>
      <x:c r="O7740" t="str">
        <x:f>IF(D7740="","Unknown",IF(D7740&lt;25000,"&lt;$25k",IF(D7740&lt;50000,"$25k-$50k",IF(D7740&lt;75000,"$50k-$75k",IF(D7740&lt;100000,"$75k-$100k","$100k+")))))</x:f>
        <x:v>$25k-$50k</x:v>
      </x:c>
      <x:c r="P7740" t="str">
        <x:f>IF(E7740="","Unknown",IF(E7740&lt;10,"&lt;10",IF(E7740&lt;20,"10-&lt;20",IF(E7740&lt;25,"20-&lt;25",IF(E7740&lt;35,"25-&lt;35","35+")))))</x:f>
        <x:v>10-&lt;20</x:v>
      </x:c>
    </x:row>
    <x:row r="7741">
      <x:c r="A7741" t="str">
        <x:v>SYN0007740</x:v>
      </x:c>
      <x:c r="B7741" s="12" t="n">
        <x:v>41275</x:v>
      </x:c>
      <x:c r="C7741" s="18" t="n">
        <x:v>40000</x:v>
      </x:c>
      <x:c r="D7741" s="18" t="n">
        <x:v>47783</x:v>
      </x:c>
      <x:c r="E7741" s="18" t="n">
        <x:v>28.39</x:v>
      </x:c>
      <x:c r="F7741" s="18" t="n">
        <x:v>10.69</x:v>
      </x:c>
      <x:c r="G7741" t="n">
        <x:v>36</x:v>
      </x:c>
      <x:c r="H7741" t="str">
        <x:v>C</x:v>
      </x:c>
      <x:c r="I7741" t="str">
        <x:v>4-6 years</x:v>
      </x:c>
      <x:c r="J7741" t="str">
        <x:v>MORTGAGE</x:v>
      </x:c>
      <x:c r="K7741" t="str">
        <x:v>major_purchase</x:v>
      </x:c>
      <x:c r="L7741" t="n">
        <x:v>0</x:v>
      </x:c>
      <x:c r="M7741" t="n">
        <x:v>0</x:v>
      </x:c>
      <x:c r="N7741" t="str">
        <x:v>Fully Paid</x:v>
      </x:c>
      <x:c r="O7741" t="str">
        <x:f>IF(D7741="","Unknown",IF(D7741&lt;25000,"&lt;$25k",IF(D7741&lt;50000,"$25k-$50k",IF(D7741&lt;75000,"$50k-$75k",IF(D7741&lt;100000,"$75k-$100k","$100k+")))))</x:f>
        <x:v>$25k-$50k</x:v>
      </x:c>
      <x:c r="P7741" t="str">
        <x:f>IF(E7741="","Unknown",IF(E7741&lt;10,"&lt;10",IF(E7741&lt;20,"10-&lt;20",IF(E7741&lt;25,"20-&lt;25",IF(E7741&lt;35,"25-&lt;35","35+")))))</x:f>
        <x:v>25-&lt;35</x:v>
      </x:c>
    </x:row>
    <x:row r="7742">
      <x:c r="A7742" t="str">
        <x:v>SYN0007741</x:v>
      </x:c>
      <x:c r="B7742" s="12" t="n">
        <x:v>43345</x:v>
      </x:c>
      <x:c r="C7742" s="18" t="n">
        <x:v>10672</x:v>
      </x:c>
      <x:c r="D7742" s="18" t="n">
        <x:v>49095</x:v>
      </x:c>
      <x:c r="E7742" s="18" t="n">
        <x:v>11.39</x:v>
      </x:c>
      <x:c r="F7742" s="18" t="n">
        <x:v>5</x:v>
      </x:c>
      <x:c r="G7742" t="n">
        <x:v>36</x:v>
      </x:c>
      <x:c r="H7742" t="str">
        <x:v>A</x:v>
      </x:c>
      <x:c r="I7742" t="str">
        <x:v>10+ years</x:v>
      </x:c>
      <x:c r="J7742" t="str">
        <x:v>MORTGAGE</x:v>
      </x:c>
      <x:c r="K7742" t="str">
        <x:v>home_improvement</x:v>
      </x:c>
      <x:c r="L7742" t="n">
        <x:v>0</x:v>
      </x:c>
      <x:c r="M7742" t="n">
        <x:v>0</x:v>
      </x:c>
      <x:c r="N7742" t="str">
        <x:v>Fully Paid</x:v>
      </x:c>
      <x:c r="O7742" t="str">
        <x:f>IF(D7742="","Unknown",IF(D7742&lt;25000,"&lt;$25k",IF(D7742&lt;50000,"$25k-$50k",IF(D7742&lt;75000,"$50k-$75k",IF(D7742&lt;100000,"$75k-$100k","$100k+")))))</x:f>
        <x:v>$25k-$50k</x:v>
      </x:c>
      <x:c r="P7742" t="str">
        <x:f>IF(E7742="","Unknown",IF(E7742&lt;10,"&lt;10",IF(E7742&lt;20,"10-&lt;20",IF(E7742&lt;25,"20-&lt;25",IF(E7742&lt;35,"25-&lt;35","35+")))))</x:f>
        <x:v>10-&lt;20</x:v>
      </x:c>
    </x:row>
    <x:row r="7743">
      <x:c r="A7743" t="str">
        <x:v>SYN0007742</x:v>
      </x:c>
      <x:c r="B7743" s="12" t="n">
        <x:v>41275</x:v>
      </x:c>
      <x:c r="C7743" s="18" t="n">
        <x:v>10617</x:v>
      </x:c>
      <x:c r="D7743" s="18" t="n">
        <x:v>84130</x:v>
      </x:c>
      <x:c r="E7743" s="18" t="n">
        <x:v>32.52</x:v>
      </x:c>
      <x:c r="F7743" s="18" t="n">
        <x:v>13.62</x:v>
      </x:c>
      <x:c r="G7743" t="n">
        <x:v>60</x:v>
      </x:c>
      <x:c r="H7743" t="str">
        <x:v>D</x:v>
      </x:c>
      <x:c r="I7743" t="str">
        <x:v>1-3 years</x:v>
      </x:c>
      <x:c r="J7743" t="str">
        <x:v>MORTGAGE</x:v>
      </x:c>
      <x:c r="K7743" t="str">
        <x:v>credit_card</x:v>
      </x:c>
      <x:c r="L7743" t="n">
        <x:v>1</x:v>
      </x:c>
      <x:c r="M7743" t="n">
        <x:v>0</x:v>
      </x:c>
      <x:c r="N7743" t="str">
        <x:v>Fully Paid</x:v>
      </x:c>
      <x:c r="O7743" t="str">
        <x:f>IF(D7743="","Unknown",IF(D7743&lt;25000,"&lt;$25k",IF(D7743&lt;50000,"$25k-$50k",IF(D7743&lt;75000,"$50k-$75k",IF(D7743&lt;100000,"$75k-$100k","$100k+")))))</x:f>
        <x:v>$75k-$100k</x:v>
      </x:c>
      <x:c r="P7743" t="str">
        <x:f>IF(E7743="","Unknown",IF(E7743&lt;10,"&lt;10",IF(E7743&lt;20,"10-&lt;20",IF(E7743&lt;25,"20-&lt;25",IF(E7743&lt;35,"25-&lt;35","35+")))))</x:f>
        <x:v>25-&lt;35</x:v>
      </x:c>
    </x:row>
    <x:row r="7744">
      <x:c r="A7744" t="str">
        <x:v>SYN0007743</x:v>
      </x:c>
      <x:c r="B7744" s="12" t="n">
        <x:v>43255</x:v>
      </x:c>
      <x:c r="C7744" s="18" t="n">
        <x:v>5815</x:v>
      </x:c>
      <x:c r="D7744" s="18" t="n">
        <x:v>135520</x:v>
      </x:c>
      <x:c r="E7744" s="18" t="n">
        <x:v>25.99</x:v>
      </x:c>
      <x:c r="F7744" s="18" t="n">
        <x:v>6.17</x:v>
      </x:c>
      <x:c r="G7744" t="n">
        <x:v>36</x:v>
      </x:c>
      <x:c r="H7744" t="str">
        <x:v>B</x:v>
      </x:c>
      <x:c r="I7744" t="str">
        <x:v>1-3 years</x:v>
      </x:c>
      <x:c r="J7744" t="str">
        <x:v>RENT</x:v>
      </x:c>
      <x:c r="K7744" t="str">
        <x:v>debt_consolidation</x:v>
      </x:c>
      <x:c r="L7744" t="n">
        <x:v>0</x:v>
      </x:c>
      <x:c r="M7744" t="n">
        <x:v>0</x:v>
      </x:c>
      <x:c r="N7744" t="str">
        <x:v>Fully Paid</x:v>
      </x:c>
      <x:c r="O7744" t="str">
        <x:f>IF(D7744="","Unknown",IF(D7744&lt;25000,"&lt;$25k",IF(D7744&lt;50000,"$25k-$50k",IF(D7744&lt;75000,"$50k-$75k",IF(D7744&lt;100000,"$75k-$100k","$100k+")))))</x:f>
        <x:v>$100k+</x:v>
      </x:c>
      <x:c r="P7744" t="str">
        <x:f>IF(E7744="","Unknown",IF(E7744&lt;10,"&lt;10",IF(E7744&lt;20,"10-&lt;20",IF(E7744&lt;25,"20-&lt;25",IF(E7744&lt;35,"25-&lt;35","35+")))))</x:f>
        <x:v>25-&lt;35</x:v>
      </x:c>
    </x:row>
    <x:row r="7745">
      <x:c r="A7745" t="str">
        <x:v>SYN0007744</x:v>
      </x:c>
      <x:c r="B7745" s="12" t="n">
        <x:v>41905</x:v>
      </x:c>
      <x:c r="C7745" s="18" t="n">
        <x:v>22792</x:v>
      </x:c>
      <x:c r="D7745" s="18" t="n">
        <x:v>62698</x:v>
      </x:c>
      <x:c r="E7745" s="18" t="n">
        <x:v>21.7</x:v>
      </x:c>
      <x:c r="F7745" s="18" t="n">
        <x:v>26.32</x:v>
      </x:c>
      <x:c r="G7745" t="n">
        <x:v>36</x:v>
      </x:c>
      <x:c r="H7745" t="str">
        <x:v>G</x:v>
      </x:c>
      <x:c r="I7745" t="str">
        <x:v>1-3 years</x:v>
      </x:c>
      <x:c r="J7745" t="str">
        <x:v>OWN</x:v>
      </x:c>
      <x:c r="K7745" t="str">
        <x:v>home_improvement</x:v>
      </x:c>
      <x:c r="L7745" t="n">
        <x:v>0</x:v>
      </x:c>
      <x:c r="M7745" t="n">
        <x:v>1</x:v>
      </x:c>
      <x:c r="N7745" t="str">
        <x:v>Charged Off</x:v>
      </x:c>
      <x:c r="O7745" t="str">
        <x:f>IF(D7745="","Unknown",IF(D7745&lt;25000,"&lt;$25k",IF(D7745&lt;50000,"$25k-$50k",IF(D7745&lt;75000,"$50k-$75k",IF(D7745&lt;100000,"$75k-$100k","$100k+")))))</x:f>
        <x:v>$50k-$75k</x:v>
      </x:c>
      <x:c r="P7745" t="str">
        <x:f>IF(E7745="","Unknown",IF(E7745&lt;10,"&lt;10",IF(E7745&lt;20,"10-&lt;20",IF(E7745&lt;25,"20-&lt;25",IF(E7745&lt;35,"25-&lt;35","35+")))))</x:f>
        <x:v>20-&lt;25</x:v>
      </x:c>
    </x:row>
    <x:row r="7746">
      <x:c r="A7746" t="str">
        <x:v>SYN0007745</x:v>
      </x:c>
      <x:c r="B7746" s="12" t="n">
        <x:v>41275</x:v>
      </x:c>
      <x:c r="C7746" s="18" t="n">
        <x:v>9052</x:v>
      </x:c>
      <x:c r="D7746" s="18" t="n">
        <x:v>64151</x:v>
      </x:c>
      <x:c r="E7746" s="18" t="n">
        <x:v>31.49</x:v>
      </x:c>
      <x:c r="F7746" s="18" t="n">
        <x:v>8.18</x:v>
      </x:c>
      <x:c r="G7746" t="n">
        <x:v>36</x:v>
      </x:c>
      <x:c r="H7746" t="str">
        <x:v>B</x:v>
      </x:c>
      <x:c r="I7746" t="str">
        <x:v>4-6 years</x:v>
      </x:c>
      <x:c r="J7746" t="str">
        <x:v>RENT</x:v>
      </x:c>
      <x:c r="K7746" t="str">
        <x:v>debt_consolidation</x:v>
      </x:c>
      <x:c r="L7746" t="n">
        <x:v>1</x:v>
      </x:c>
      <x:c r="M7746" t="n">
        <x:v>0</x:v>
      </x:c>
      <x:c r="N7746" t="str">
        <x:v>Fully Paid</x:v>
      </x:c>
      <x:c r="O7746" t="str">
        <x:f>IF(D7746="","Unknown",IF(D7746&lt;25000,"&lt;$25k",IF(D7746&lt;50000,"$25k-$50k",IF(D7746&lt;75000,"$50k-$75k",IF(D7746&lt;100000,"$75k-$100k","$100k+")))))</x:f>
        <x:v>$50k-$75k</x:v>
      </x:c>
      <x:c r="P7746" t="str">
        <x:f>IF(E7746="","Unknown",IF(E7746&lt;10,"&lt;10",IF(E7746&lt;20,"10-&lt;20",IF(E7746&lt;25,"20-&lt;25",IF(E7746&lt;35,"25-&lt;35","35+")))))</x:f>
        <x:v>25-&lt;35</x:v>
      </x:c>
    </x:row>
    <x:row r="7747">
      <x:c r="A7747" t="str">
        <x:v>SYN0007746</x:v>
      </x:c>
      <x:c r="B7747" s="12" t="n">
        <x:v>41815</x:v>
      </x:c>
      <x:c r="C7747" s="18" t="n">
        <x:v>14431</x:v>
      </x:c>
      <x:c r="D7747" s="18" t="n">
        <x:v>55108</x:v>
      </x:c>
      <x:c r="E7747" s="18" t="n">
        <x:v>28.79</x:v>
      </x:c>
      <x:c r="F7747" s="18" t="n">
        <x:v>14</x:v>
      </x:c>
      <x:c r="G7747" t="n">
        <x:v>36</x:v>
      </x:c>
      <x:c r="H7747" t="str">
        <x:v>D</x:v>
      </x:c>
      <x:c r="I7747" t="str">
        <x:v>4-6 years</x:v>
      </x:c>
      <x:c r="J7747" t="str">
        <x:v>MORTGAGE</x:v>
      </x:c>
      <x:c r="K7747" t="str">
        <x:v>credit_card</x:v>
      </x:c>
      <x:c r="L7747" t="n">
        <x:v>0</x:v>
      </x:c>
      <x:c r="M7747" t="n">
        <x:v>0</x:v>
      </x:c>
      <x:c r="N7747" t="str">
        <x:v>Fully Paid</x:v>
      </x:c>
      <x:c r="O7747" t="str">
        <x:f>IF(D7747="","Unknown",IF(D7747&lt;25000,"&lt;$25k",IF(D7747&lt;50000,"$25k-$50k",IF(D7747&lt;75000,"$50k-$75k",IF(D7747&lt;100000,"$75k-$100k","$100k+")))))</x:f>
        <x:v>$50k-$75k</x:v>
      </x:c>
      <x:c r="P7747" t="str">
        <x:f>IF(E7747="","Unknown",IF(E7747&lt;10,"&lt;10",IF(E7747&lt;20,"10-&lt;20",IF(E7747&lt;25,"20-&lt;25",IF(E7747&lt;35,"25-&lt;35","35+")))))</x:f>
        <x:v>25-&lt;35</x:v>
      </x:c>
    </x:row>
    <x:row r="7748">
      <x:c r="A7748" t="str">
        <x:v>SYN0007747</x:v>
      </x:c>
      <x:c r="B7748" s="12" t="n">
        <x:v>43315</x:v>
      </x:c>
      <x:c r="C7748" s="18" t="n">
        <x:v>4803</x:v>
      </x:c>
      <x:c r="D7748" s="18" t="n">
        <x:v>50540</x:v>
      </x:c>
      <x:c r="E7748" s="18" t="n">
        <x:v>25.89</x:v>
      </x:c>
      <x:c r="F7748" s="18" t="n">
        <x:v>13.05</x:v>
      </x:c>
      <x:c r="G7748" t="n">
        <x:v>36</x:v>
      </x:c>
      <x:c r="H7748" t="str">
        <x:v>D</x:v>
      </x:c>
      <x:c r="I7748" t="str">
        <x:v>4-6 years</x:v>
      </x:c>
      <x:c r="J7748" t="str">
        <x:v>MORTGAGE</x:v>
      </x:c>
      <x:c r="K7748" t="str">
        <x:v>debt_consolidation</x:v>
      </x:c>
      <x:c r="L7748" t="n">
        <x:v>1</x:v>
      </x:c>
      <x:c r="M7748" t="n">
        <x:v>0</x:v>
      </x:c>
      <x:c r="N7748" t="str">
        <x:v>Fully Paid</x:v>
      </x:c>
      <x:c r="O7748" t="str">
        <x:f>IF(D7748="","Unknown",IF(D7748&lt;25000,"&lt;$25k",IF(D7748&lt;50000,"$25k-$50k",IF(D7748&lt;75000,"$50k-$75k",IF(D7748&lt;100000,"$75k-$100k","$100k+")))))</x:f>
        <x:v>$50k-$75k</x:v>
      </x:c>
      <x:c r="P7748" t="str">
        <x:f>IF(E7748="","Unknown",IF(E7748&lt;10,"&lt;10",IF(E7748&lt;20,"10-&lt;20",IF(E7748&lt;25,"20-&lt;25",IF(E7748&lt;35,"25-&lt;35","35+")))))</x:f>
        <x:v>25-&lt;35</x:v>
      </x:c>
    </x:row>
    <x:row r="7749">
      <x:c r="A7749" t="str">
        <x:v>SYN0007748</x:v>
      </x:c>
      <x:c r="B7749" s="12" t="n">
        <x:v>42205</x:v>
      </x:c>
      <x:c r="C7749" s="18" t="n">
        <x:v>4977</x:v>
      </x:c>
      <x:c r="D7749" s="18" t="n">
        <x:v>103124</x:v>
      </x:c>
      <x:c r="E7749" s="18" t="n">
        <x:v>19.92</x:v>
      </x:c>
      <x:c r="F7749" s="18" t="n">
        <x:v>8.59</x:v>
      </x:c>
      <x:c r="G7749" t="n">
        <x:v>36</x:v>
      </x:c>
      <x:c r="H7749" t="str">
        <x:v>C</x:v>
      </x:c>
      <x:c r="I7749" t="str">
        <x:v>10+ years</x:v>
      </x:c>
      <x:c r="J7749" t="str">
        <x:v>RENT</x:v>
      </x:c>
      <x:c r="K7749" t="str">
        <x:v>debt_consolidation</x:v>
      </x:c>
      <x:c r="L7749" t="n">
        <x:v>0</x:v>
      </x:c>
      <x:c r="M7749" t="n">
        <x:v>0</x:v>
      </x:c>
      <x:c r="N7749" t="str">
        <x:v>Fully Paid</x:v>
      </x:c>
      <x:c r="O7749" t="str">
        <x:f>IF(D7749="","Unknown",IF(D7749&lt;25000,"&lt;$25k",IF(D7749&lt;50000,"$25k-$50k",IF(D7749&lt;75000,"$50k-$75k",IF(D7749&lt;100000,"$75k-$100k","$100k+")))))</x:f>
        <x:v>$100k+</x:v>
      </x:c>
      <x:c r="P7749" t="str">
        <x:f>IF(E7749="","Unknown",IF(E7749&lt;10,"&lt;10",IF(E7749&lt;20,"10-&lt;20",IF(E7749&lt;25,"20-&lt;25",IF(E7749&lt;35,"25-&lt;35","35+")))))</x:f>
        <x:v>10-&lt;20</x:v>
      </x:c>
    </x:row>
    <x:row r="7750">
      <x:c r="A7750" t="str">
        <x:v>SYN0007749</x:v>
      </x:c>
      <x:c r="B7750" s="12" t="n">
        <x:v>42925</x:v>
      </x:c>
      <x:c r="C7750" s="18" t="n">
        <x:v>9698</x:v>
      </x:c>
      <x:c r="D7750" s="18" t="n">
        <x:v>87202</x:v>
      </x:c>
      <x:c r="E7750" s="18" t="n">
        <x:v>33.28</x:v>
      </x:c>
      <x:c r="F7750" s="18" t="n">
        <x:v>22.37</x:v>
      </x:c>
      <x:c r="G7750" t="n">
        <x:v>36</x:v>
      </x:c>
      <x:c r="H7750" t="str">
        <x:v>F</x:v>
      </x:c>
      <x:c r="I7750" t="str">
        <x:v>&lt;1 year</x:v>
      </x:c>
      <x:c r="J7750" t="str">
        <x:v>RENT</x:v>
      </x:c>
      <x:c r="K7750" t="str">
        <x:v>debt_consolidation</x:v>
      </x:c>
      <x:c r="L7750" t="n">
        <x:v>0</x:v>
      </x:c>
      <x:c r="M7750" t="n">
        <x:v>0</x:v>
      </x:c>
      <x:c r="N7750" t="str">
        <x:v>Fully Paid</x:v>
      </x:c>
      <x:c r="O7750" t="str">
        <x:f>IF(D7750="","Unknown",IF(D7750&lt;25000,"&lt;$25k",IF(D7750&lt;50000,"$25k-$50k",IF(D7750&lt;75000,"$50k-$75k",IF(D7750&lt;100000,"$75k-$100k","$100k+")))))</x:f>
        <x:v>$75k-$100k</x:v>
      </x:c>
      <x:c r="P7750" t="str">
        <x:f>IF(E7750="","Unknown",IF(E7750&lt;10,"&lt;10",IF(E7750&lt;20,"10-&lt;20",IF(E7750&lt;25,"20-&lt;25",IF(E7750&lt;35,"25-&lt;35","35+")))))</x:f>
        <x:v>25-&lt;35</x:v>
      </x:c>
    </x:row>
    <x:row r="7751">
      <x:c r="A7751" t="str">
        <x:v>SYN0007750</x:v>
      </x:c>
      <x:c r="B7751" s="12" t="n">
        <x:v>41845</x:v>
      </x:c>
      <x:c r="C7751" s="18" t="n">
        <x:v>21445</x:v>
      </x:c>
      <x:c r="D7751" s="18" t="n">
        <x:v>29474</x:v>
      </x:c>
      <x:c r="E7751" s="18" t="n">
        <x:v>19.23</x:v>
      </x:c>
      <x:c r="F7751" s="18" t="n">
        <x:v>13.11</x:v>
      </x:c>
      <x:c r="G7751" t="n">
        <x:v>60</x:v>
      </x:c>
      <x:c r="H7751" t="str">
        <x:v>D</x:v>
      </x:c>
      <x:c r="I7751" t="str">
        <x:v>7-9 years</x:v>
      </x:c>
      <x:c r="J7751" t="str">
        <x:v>OWN</x:v>
      </x:c>
      <x:c r="K7751" t="str">
        <x:v>debt_consolidation</x:v>
      </x:c>
      <x:c r="L7751" t="n">
        <x:v>1</x:v>
      </x:c>
      <x:c r="M7751" t="n">
        <x:v>0</x:v>
      </x:c>
      <x:c r="N7751" t="str">
        <x:v>Fully Paid</x:v>
      </x:c>
      <x:c r="O7751" t="str">
        <x:f>IF(D7751="","Unknown",IF(D7751&lt;25000,"&lt;$25k",IF(D7751&lt;50000,"$25k-$50k",IF(D7751&lt;75000,"$50k-$75k",IF(D7751&lt;100000,"$75k-$100k","$100k+")))))</x:f>
        <x:v>$25k-$50k</x:v>
      </x:c>
      <x:c r="P7751" t="str">
        <x:f>IF(E7751="","Unknown",IF(E7751&lt;10,"&lt;10",IF(E7751&lt;20,"10-&lt;20",IF(E7751&lt;25,"20-&lt;25",IF(E7751&lt;35,"25-&lt;35","35+")))))</x:f>
        <x:v>10-&lt;20</x:v>
      </x:c>
    </x:row>
    <x:row r="7752">
      <x:c r="A7752" t="str">
        <x:v>SYN0007751</x:v>
      </x:c>
      <x:c r="B7752" s="12" t="n">
        <x:v>42175</x:v>
      </x:c>
      <x:c r="C7752" s="18" t="n">
        <x:v>14583</x:v>
      </x:c>
      <x:c r="D7752" s="18" t="n">
        <x:v>68436</x:v>
      </x:c>
      <x:c r="E7752" s="18" t="n">
        <x:v>21.25</x:v>
      </x:c>
      <x:c r="F7752" s="18" t="n">
        <x:v>9.22</x:v>
      </x:c>
      <x:c r="G7752" t="n">
        <x:v>36</x:v>
      </x:c>
      <x:c r="H7752" t="str">
        <x:v>C</x:v>
      </x:c>
      <x:c r="I7752" t="str">
        <x:v>1-3 years</x:v>
      </x:c>
      <x:c r="J7752" t="str">
        <x:v>MORTGAGE</x:v>
      </x:c>
      <x:c r="K7752" t="str">
        <x:v>credit_card</x:v>
      </x:c>
      <x:c r="L7752" t="n">
        <x:v>1</x:v>
      </x:c>
      <x:c r="M7752" t="n">
        <x:v>1</x:v>
      </x:c>
      <x:c r="N7752" t="str">
        <x:v>Charged Off</x:v>
      </x:c>
      <x:c r="O7752" t="str">
        <x:f>IF(D7752="","Unknown",IF(D7752&lt;25000,"&lt;$25k",IF(D7752&lt;50000,"$25k-$50k",IF(D7752&lt;75000,"$50k-$75k",IF(D7752&lt;100000,"$75k-$100k","$100k+")))))</x:f>
        <x:v>$50k-$75k</x:v>
      </x:c>
      <x:c r="P7752" t="str">
        <x:f>IF(E7752="","Unknown",IF(E7752&lt;10,"&lt;10",IF(E7752&lt;20,"10-&lt;20",IF(E7752&lt;25,"20-&lt;25",IF(E7752&lt;35,"25-&lt;35","35+")))))</x:f>
        <x:v>20-&lt;25</x:v>
      </x:c>
    </x:row>
    <x:row r="7753">
      <x:c r="A7753" t="str">
        <x:v>SYN0007752</x:v>
      </x:c>
      <x:c r="B7753" s="12" t="n">
        <x:v>42085</x:v>
      </x:c>
      <x:c r="C7753" s="18" t="n">
        <x:v>14942</x:v>
      </x:c>
      <x:c r="D7753" s="18" t="n">
        <x:v>89820</x:v>
      </x:c>
      <x:c r="E7753" s="18" t="n">
        <x:v>23.08</x:v>
      </x:c>
      <x:c r="F7753" s="18" t="n">
        <x:v>11.41</x:v>
      </x:c>
      <x:c r="G7753" t="n">
        <x:v>36</x:v>
      </x:c>
      <x:c r="H7753" t="str">
        <x:v>C</x:v>
      </x:c>
      <x:c r="I7753" t="str">
        <x:v>10+ years</x:v>
      </x:c>
      <x:c r="J7753" t="str">
        <x:v>RENT</x:v>
      </x:c>
      <x:c r="K7753" t="str">
        <x:v>credit_card</x:v>
      </x:c>
      <x:c r="L7753" t="n">
        <x:v>1</x:v>
      </x:c>
      <x:c r="M7753" t="n">
        <x:v>0</x:v>
      </x:c>
      <x:c r="N7753" t="str">
        <x:v>Fully Paid</x:v>
      </x:c>
      <x:c r="O7753" t="str">
        <x:f>IF(D7753="","Unknown",IF(D7753&lt;25000,"&lt;$25k",IF(D7753&lt;50000,"$25k-$50k",IF(D7753&lt;75000,"$50k-$75k",IF(D7753&lt;100000,"$75k-$100k","$100k+")))))</x:f>
        <x:v>$75k-$100k</x:v>
      </x:c>
      <x:c r="P7753" t="str">
        <x:f>IF(E7753="","Unknown",IF(E7753&lt;10,"&lt;10",IF(E7753&lt;20,"10-&lt;20",IF(E7753&lt;25,"20-&lt;25",IF(E7753&lt;35,"25-&lt;35","35+")))))</x:f>
        <x:v>20-&lt;25</x:v>
      </x:c>
    </x:row>
    <x:row r="7754">
      <x:c r="A7754" t="str">
        <x:v>SYN0007753</x:v>
      </x:c>
      <x:c r="B7754" s="12" t="n">
        <x:v>41605</x:v>
      </x:c>
      <x:c r="C7754" s="18" t="n">
        <x:v>22546</x:v>
      </x:c>
      <x:c r="D7754" s="18" t="n">
        <x:v>88972</x:v>
      </x:c>
      <x:c r="E7754" s="18" t="n">
        <x:v>21.92</x:v>
      </x:c>
      <x:c r="F7754" s="18" t="n">
        <x:v>6.02</x:v>
      </x:c>
      <x:c r="G7754" t="n">
        <x:v>36</x:v>
      </x:c>
      <x:c r="H7754" t="str">
        <x:v>B</x:v>
      </x:c>
      <x:c r="I7754" t="str">
        <x:v>4-6 years</x:v>
      </x:c>
      <x:c r="J7754" t="str">
        <x:v>MORTGAGE</x:v>
      </x:c>
      <x:c r="K7754" t="str">
        <x:v>debt_consolidation</x:v>
      </x:c>
      <x:c r="L7754" t="n">
        <x:v>0</x:v>
      </x:c>
      <x:c r="M7754" t="n">
        <x:v>0</x:v>
      </x:c>
      <x:c r="N7754" t="str">
        <x:v>Fully Paid</x:v>
      </x:c>
      <x:c r="O7754" t="str">
        <x:f>IF(D7754="","Unknown",IF(D7754&lt;25000,"&lt;$25k",IF(D7754&lt;50000,"$25k-$50k",IF(D7754&lt;75000,"$50k-$75k",IF(D7754&lt;100000,"$75k-$100k","$100k+")))))</x:f>
        <x:v>$75k-$100k</x:v>
      </x:c>
      <x:c r="P7754" t="str">
        <x:f>IF(E7754="","Unknown",IF(E7754&lt;10,"&lt;10",IF(E7754&lt;20,"10-&lt;20",IF(E7754&lt;25,"20-&lt;25",IF(E7754&lt;35,"25-&lt;35","35+")))))</x:f>
        <x:v>20-&lt;25</x:v>
      </x:c>
    </x:row>
    <x:row r="7755">
      <x:c r="A7755" t="str">
        <x:v>SYN0007754</x:v>
      </x:c>
      <x:c r="B7755" s="12" t="n">
        <x:v>41785</x:v>
      </x:c>
      <x:c r="C7755" s="18" t="n">
        <x:v>16178</x:v>
      </x:c>
      <x:c r="D7755" s="18" t="n">
        <x:v>59826</x:v>
      </x:c>
      <x:c r="E7755" s="18" t="n">
        <x:v>22.88</x:v>
      </x:c>
      <x:c r="F7755" s="18" t="n">
        <x:v>19.3</x:v>
      </x:c>
      <x:c r="G7755" t="n">
        <x:v>60</x:v>
      </x:c>
      <x:c r="H7755" t="str">
        <x:v>D</x:v>
      </x:c>
      <x:c r="I7755" t="str">
        <x:v>4-6 years</x:v>
      </x:c>
      <x:c r="J7755" t="str">
        <x:v>MORTGAGE</x:v>
      </x:c>
      <x:c r="K7755" t="str">
        <x:v>debt_consolidation</x:v>
      </x:c>
      <x:c r="L7755" t="n">
        <x:v>2</x:v>
      </x:c>
      <x:c r="M7755" t="n">
        <x:v>0</x:v>
      </x:c>
      <x:c r="N7755" t="str">
        <x:v>Fully Paid</x:v>
      </x:c>
      <x:c r="O7755" t="str">
        <x:f>IF(D7755="","Unknown",IF(D7755&lt;25000,"&lt;$25k",IF(D7755&lt;50000,"$25k-$50k",IF(D7755&lt;75000,"$50k-$75k",IF(D7755&lt;100000,"$75k-$100k","$100k+")))))</x:f>
        <x:v>$50k-$75k</x:v>
      </x:c>
      <x:c r="P7755" t="str">
        <x:f>IF(E7755="","Unknown",IF(E7755&lt;10,"&lt;10",IF(E7755&lt;20,"10-&lt;20",IF(E7755&lt;25,"20-&lt;25",IF(E7755&lt;35,"25-&lt;35","35+")))))</x:f>
        <x:v>20-&lt;25</x:v>
      </x:c>
    </x:row>
    <x:row r="7756">
      <x:c r="A7756" t="str">
        <x:v>SYN0007755</x:v>
      </x:c>
      <x:c r="B7756" s="12" t="n">
        <x:v>43375</x:v>
      </x:c>
      <x:c r="C7756" s="18" t="n">
        <x:v>6459</x:v>
      </x:c>
      <x:c r="D7756" s="18" t="n">
        <x:v>15891</x:v>
      </x:c>
      <x:c r="E7756" s="18" t="n">
        <x:v>6.35</x:v>
      </x:c>
      <x:c r="F7756" s="18" t="n">
        <x:v>8.16</x:v>
      </x:c>
      <x:c r="G7756" t="n">
        <x:v>36</x:v>
      </x:c>
      <x:c r="H7756" t="str">
        <x:v>A</x:v>
      </x:c>
      <x:c r="I7756" t="str">
        <x:v>10+ years</x:v>
      </x:c>
      <x:c r="J7756" t="str">
        <x:v>MORTGAGE</x:v>
      </x:c>
      <x:c r="K7756" t="str">
        <x:v>credit_card</x:v>
      </x:c>
      <x:c r="L7756" t="n">
        <x:v>1</x:v>
      </x:c>
      <x:c r="M7756" t="n">
        <x:v>0</x:v>
      </x:c>
      <x:c r="N7756" t="str">
        <x:v>Fully Paid</x:v>
      </x:c>
      <x:c r="O7756" t="str">
        <x:f>IF(D7756="","Unknown",IF(D7756&lt;25000,"&lt;$25k",IF(D7756&lt;50000,"$25k-$50k",IF(D7756&lt;75000,"$50k-$75k",IF(D7756&lt;100000,"$75k-$100k","$100k+")))))</x:f>
        <x:v>&lt;$25k</x:v>
      </x:c>
      <x:c r="P7756" t="str">
        <x:f>IF(E7756="","Unknown",IF(E7756&lt;10,"&lt;10",IF(E7756&lt;20,"10-&lt;20",IF(E7756&lt;25,"20-&lt;25",IF(E7756&lt;35,"25-&lt;35","35+")))))</x:f>
        <x:v>&lt;10</x:v>
      </x:c>
    </x:row>
    <x:row r="7757">
      <x:c r="A7757" t="str">
        <x:v>SYN0007756</x:v>
      </x:c>
      <x:c r="B7757" s="12" t="n">
        <x:v>41335</x:v>
      </x:c>
      <x:c r="C7757" s="18" t="n">
        <x:v>25027</x:v>
      </x:c>
      <x:c r="D7757" s="18" t="n">
        <x:v>34543</x:v>
      </x:c>
      <x:c r="E7757" s="18" t="n">
        <x:v>12.15</x:v>
      </x:c>
      <x:c r="F7757" s="18" t="n">
        <x:v>9.85</x:v>
      </x:c>
      <x:c r="G7757" t="n">
        <x:v>36</x:v>
      </x:c>
      <x:c r="H7757" t="str">
        <x:v>B</x:v>
      </x:c>
      <x:c r="I7757" t="str">
        <x:v>1-3 years</x:v>
      </x:c>
      <x:c r="J7757" t="str">
        <x:v>MORTGAGE</x:v>
      </x:c>
      <x:c r="K7757" t="str">
        <x:v>debt_consolidation</x:v>
      </x:c>
      <x:c r="L7757" t="n">
        <x:v>0</x:v>
      </x:c>
      <x:c r="M7757" t="n">
        <x:v>0</x:v>
      </x:c>
      <x:c r="N7757" t="str">
        <x:v>Fully Paid</x:v>
      </x:c>
      <x:c r="O7757" t="str">
        <x:f>IF(D7757="","Unknown",IF(D7757&lt;25000,"&lt;$25k",IF(D7757&lt;50000,"$25k-$50k",IF(D7757&lt;75000,"$50k-$75k",IF(D7757&lt;100000,"$75k-$100k","$100k+")))))</x:f>
        <x:v>$25k-$50k</x:v>
      </x:c>
      <x:c r="P7757" t="str">
        <x:f>IF(E7757="","Unknown",IF(E7757&lt;10,"&lt;10",IF(E7757&lt;20,"10-&lt;20",IF(E7757&lt;25,"20-&lt;25",IF(E7757&lt;35,"25-&lt;35","35+")))))</x:f>
        <x:v>10-&lt;20</x:v>
      </x:c>
    </x:row>
    <x:row r="7758">
      <x:c r="A7758" t="str">
        <x:v>SYN0007757</x:v>
      </x:c>
      <x:c r="B7758" s="12" t="n">
        <x:v>41335</x:v>
      </x:c>
      <x:c r="C7758" s="18" t="n">
        <x:v>16062</x:v>
      </x:c>
      <x:c r="D7758" s="18" t="n">
        <x:v>25170</x:v>
      </x:c>
      <x:c r="E7758" s="18" t="n">
        <x:v>4.35</x:v>
      </x:c>
      <x:c r="F7758" s="18" t="n">
        <x:v>10.55</x:v>
      </x:c>
      <x:c r="G7758" t="n">
        <x:v>36</x:v>
      </x:c>
      <x:c r="H7758" t="str">
        <x:v>C</x:v>
      </x:c>
      <x:c r="I7758" t="str">
        <x:v>7-9 years</x:v>
      </x:c>
      <x:c r="J7758" t="str">
        <x:v>OTHER</x:v>
      </x:c>
      <x:c r="K7758" t="str">
        <x:v>debt_consolidation</x:v>
      </x:c>
      <x:c r="L7758" t="n">
        <x:v>0</x:v>
      </x:c>
      <x:c r="M7758" t="n">
        <x:v>0</x:v>
      </x:c>
      <x:c r="N7758" t="str">
        <x:v>Fully Paid</x:v>
      </x:c>
      <x:c r="O7758" t="str">
        <x:f>IF(D7758="","Unknown",IF(D7758&lt;25000,"&lt;$25k",IF(D7758&lt;50000,"$25k-$50k",IF(D7758&lt;75000,"$50k-$75k",IF(D7758&lt;100000,"$75k-$100k","$100k+")))))</x:f>
        <x:v>$25k-$50k</x:v>
      </x:c>
      <x:c r="P7758" t="str">
        <x:f>IF(E7758="","Unknown",IF(E7758&lt;10,"&lt;10",IF(E7758&lt;20,"10-&lt;20",IF(E7758&lt;25,"20-&lt;25",IF(E7758&lt;35,"25-&lt;35","35+")))))</x:f>
        <x:v>&lt;10</x:v>
      </x:c>
    </x:row>
    <x:row r="7759">
      <x:c r="A7759" t="str">
        <x:v>SYN0007758</x:v>
      </x:c>
      <x:c r="B7759" s="12" t="n">
        <x:v>41695</x:v>
      </x:c>
      <x:c r="C7759" s="18" t="n">
        <x:v>6769</x:v>
      </x:c>
      <x:c r="D7759" s="18" t="n">
        <x:v>25255</x:v>
      </x:c>
      <x:c r="E7759" s="18" t="n">
        <x:v>15.39</x:v>
      </x:c>
      <x:c r="F7759" s="18" t="n">
        <x:v>9.92</x:v>
      </x:c>
      <x:c r="G7759" t="n">
        <x:v>60</x:v>
      </x:c>
      <x:c r="H7759" t="str">
        <x:v>C</x:v>
      </x:c>
      <x:c r="I7759" t="str">
        <x:v>1-3 years</x:v>
      </x:c>
      <x:c r="J7759" t="str">
        <x:v>MORTGAGE</x:v>
      </x:c>
      <x:c r="K7759" t="str">
        <x:v>other</x:v>
      </x:c>
      <x:c r="L7759" t="n">
        <x:v>1</x:v>
      </x:c>
      <x:c r="M7759" t="n">
        <x:v>0</x:v>
      </x:c>
      <x:c r="N7759" t="str">
        <x:v>Fully Paid</x:v>
      </x:c>
      <x:c r="O7759" t="str">
        <x:f>IF(D7759="","Unknown",IF(D7759&lt;25000,"&lt;$25k",IF(D7759&lt;50000,"$25k-$50k",IF(D7759&lt;75000,"$50k-$75k",IF(D7759&lt;100000,"$75k-$100k","$100k+")))))</x:f>
        <x:v>$25k-$50k</x:v>
      </x:c>
      <x:c r="P7759" t="str">
        <x:f>IF(E7759="","Unknown",IF(E7759&lt;10,"&lt;10",IF(E7759&lt;20,"10-&lt;20",IF(E7759&lt;25,"20-&lt;25",IF(E7759&lt;35,"25-&lt;35","35+")))))</x:f>
        <x:v>10-&lt;20</x:v>
      </x:c>
    </x:row>
    <x:row r="7760">
      <x:c r="A7760" t="str">
        <x:v>SYN0007759</x:v>
      </x:c>
      <x:c r="B7760" s="12" t="n">
        <x:v>42595</x:v>
      </x:c>
      <x:c r="C7760" s="18" t="n">
        <x:v>33747</x:v>
      </x:c>
      <x:c r="D7760" s="18" t="n">
        <x:v>125546</x:v>
      </x:c>
      <x:c r="E7760" s="18" t="n">
        <x:v>17.67</x:v>
      </x:c>
      <x:c r="F7760" s="18" t="n">
        <x:v>18.92</x:v>
      </x:c>
      <x:c r="G7760" t="n">
        <x:v>36</x:v>
      </x:c>
      <x:c r="H7760" t="str">
        <x:v>E</x:v>
      </x:c>
      <x:c r="I7760" t="str">
        <x:v>4-6 years</x:v>
      </x:c>
      <x:c r="J7760" t="str">
        <x:v>MORTGAGE</x:v>
      </x:c>
      <x:c r="K7760" t="str">
        <x:v>debt_consolidation</x:v>
      </x:c>
      <x:c r="L7760" t="n">
        <x:v>0</x:v>
      </x:c>
      <x:c r="M7760" t="n">
        <x:v>0</x:v>
      </x:c>
      <x:c r="N7760" t="str">
        <x:v>Fully Paid</x:v>
      </x:c>
      <x:c r="O7760" t="str">
        <x:f>IF(D7760="","Unknown",IF(D7760&lt;25000,"&lt;$25k",IF(D7760&lt;50000,"$25k-$50k",IF(D7760&lt;75000,"$50k-$75k",IF(D7760&lt;100000,"$75k-$100k","$100k+")))))</x:f>
        <x:v>$100k+</x:v>
      </x:c>
      <x:c r="P7760" t="str">
        <x:f>IF(E7760="","Unknown",IF(E7760&lt;10,"&lt;10",IF(E7760&lt;20,"10-&lt;20",IF(E7760&lt;25,"20-&lt;25",IF(E7760&lt;35,"25-&lt;35","35+")))))</x:f>
        <x:v>10-&lt;20</x:v>
      </x:c>
    </x:row>
    <x:row r="7761">
      <x:c r="A7761" t="str">
        <x:v>SYN0007760</x:v>
      </x:c>
      <x:c r="B7761" s="12" t="n">
        <x:v>41965</x:v>
      </x:c>
      <x:c r="C7761" s="18" t="n">
        <x:v>18562</x:v>
      </x:c>
      <x:c r="D7761" s="18" t="n">
        <x:v>19895</x:v>
      </x:c>
      <x:c r="E7761" s="18" t="n">
        <x:v>14.79</x:v>
      </x:c>
      <x:c r="F7761" s="18" t="n">
        <x:v>9.95</x:v>
      </x:c>
      <x:c r="G7761" t="n">
        <x:v>36</x:v>
      </x:c>
      <x:c r="H7761" t="str">
        <x:v>B</x:v>
      </x:c>
      <x:c r="I7761" t="str">
        <x:v>4-6 years</x:v>
      </x:c>
      <x:c r="J7761" t="str">
        <x:v>MORTGAGE</x:v>
      </x:c>
      <x:c r="K7761" t="str">
        <x:v>major_purchase</x:v>
      </x:c>
      <x:c r="L7761" t="n">
        <x:v>0</x:v>
      </x:c>
      <x:c r="M7761" t="n">
        <x:v>0</x:v>
      </x:c>
      <x:c r="N7761" t="str">
        <x:v>Fully Paid</x:v>
      </x:c>
      <x:c r="O7761" t="str">
        <x:f>IF(D7761="","Unknown",IF(D7761&lt;25000,"&lt;$25k",IF(D7761&lt;50000,"$25k-$50k",IF(D7761&lt;75000,"$50k-$75k",IF(D7761&lt;100000,"$75k-$100k","$100k+")))))</x:f>
        <x:v>&lt;$25k</x:v>
      </x:c>
      <x:c r="P7761" t="str">
        <x:f>IF(E7761="","Unknown",IF(E7761&lt;10,"&lt;10",IF(E7761&lt;20,"10-&lt;20",IF(E7761&lt;25,"20-&lt;25",IF(E7761&lt;35,"25-&lt;35","35+")))))</x:f>
        <x:v>10-&lt;20</x:v>
      </x:c>
    </x:row>
    <x:row r="7762">
      <x:c r="A7762" t="str">
        <x:v>SYN0007761</x:v>
      </x:c>
      <x:c r="B7762" s="12" t="n">
        <x:v>43285</x:v>
      </x:c>
      <x:c r="C7762" s="18" t="n">
        <x:v>9470</x:v>
      </x:c>
      <x:c r="D7762" s="18" t="n">
        <x:v>30107</x:v>
      </x:c>
      <x:c r="E7762" s="18" t="n">
        <x:v>22.26</x:v>
      </x:c>
      <x:c r="F7762" s="18" t="n">
        <x:v>8.14</x:v>
      </x:c>
      <x:c r="G7762" t="n">
        <x:v>36</x:v>
      </x:c>
      <x:c r="H7762" t="str">
        <x:v>B</x:v>
      </x:c>
      <x:c r="I7762" t="str">
        <x:v>10+ years</x:v>
      </x:c>
      <x:c r="J7762" t="str">
        <x:v>RENT</x:v>
      </x:c>
      <x:c r="K7762" t="str">
        <x:v>debt_consolidation</x:v>
      </x:c>
      <x:c r="L7762" t="n">
        <x:v>1</x:v>
      </x:c>
      <x:c r="M7762" t="n">
        <x:v>0</x:v>
      </x:c>
      <x:c r="N7762" t="str">
        <x:v>Fully Paid</x:v>
      </x:c>
      <x:c r="O7762" t="str">
        <x:f>IF(D7762="","Unknown",IF(D7762&lt;25000,"&lt;$25k",IF(D7762&lt;50000,"$25k-$50k",IF(D7762&lt;75000,"$50k-$75k",IF(D7762&lt;100000,"$75k-$100k","$100k+")))))</x:f>
        <x:v>$25k-$50k</x:v>
      </x:c>
      <x:c r="P7762" t="str">
        <x:f>IF(E7762="","Unknown",IF(E7762&lt;10,"&lt;10",IF(E7762&lt;20,"10-&lt;20",IF(E7762&lt;25,"20-&lt;25",IF(E7762&lt;35,"25-&lt;35","35+")))))</x:f>
        <x:v>20-&lt;25</x:v>
      </x:c>
    </x:row>
    <x:row r="7763">
      <x:c r="A7763" t="str">
        <x:v>SYN0007762</x:v>
      </x:c>
      <x:c r="B7763" s="12" t="n">
        <x:v>41935</x:v>
      </x:c>
      <x:c r="C7763" s="18" t="n">
        <x:v>11745</x:v>
      </x:c>
      <x:c r="D7763" s="18" t="n">
        <x:v>68631</x:v>
      </x:c>
      <x:c r="E7763" s="18" t="n">
        <x:v>22.36</x:v>
      </x:c>
      <x:c r="F7763" s="18" t="n">
        <x:v>14.26</x:v>
      </x:c>
      <x:c r="G7763" t="n">
        <x:v>36</x:v>
      </x:c>
      <x:c r="H7763" t="str">
        <x:v>D</x:v>
      </x:c>
      <x:c r="I7763" t="str">
        <x:v>7-9 years</x:v>
      </x:c>
      <x:c r="J7763" t="str">
        <x:v>MORTGAGE</x:v>
      </x:c>
      <x:c r="K7763" t="str">
        <x:v>debt_consolidation</x:v>
      </x:c>
      <x:c r="L7763" t="n">
        <x:v>0</x:v>
      </x:c>
      <x:c r="M7763" t="n">
        <x:v>0</x:v>
      </x:c>
      <x:c r="N7763" t="str">
        <x:v>Fully Paid</x:v>
      </x:c>
      <x:c r="O7763" t="str">
        <x:f>IF(D7763="","Unknown",IF(D7763&lt;25000,"&lt;$25k",IF(D7763&lt;50000,"$25k-$50k",IF(D7763&lt;75000,"$50k-$75k",IF(D7763&lt;100000,"$75k-$100k","$100k+")))))</x:f>
        <x:v>$50k-$75k</x:v>
      </x:c>
      <x:c r="P7763" t="str">
        <x:f>IF(E7763="","Unknown",IF(E7763&lt;10,"&lt;10",IF(E7763&lt;20,"10-&lt;20",IF(E7763&lt;25,"20-&lt;25",IF(E7763&lt;35,"25-&lt;35","35+")))))</x:f>
        <x:v>20-&lt;25</x:v>
      </x:c>
    </x:row>
    <x:row r="7764">
      <x:c r="A7764" t="str">
        <x:v>SYN0007763</x:v>
      </x:c>
      <x:c r="B7764" s="12" t="n">
        <x:v>42085</x:v>
      </x:c>
      <x:c r="C7764" s="18" t="n">
        <x:v>10319</x:v>
      </x:c>
      <x:c r="D7764" s="18" t="n">
        <x:v>34623</x:v>
      </x:c>
      <x:c r="E7764" s="18" t="n">
        <x:v>27.87</x:v>
      </x:c>
      <x:c r="F7764" s="18" t="n">
        <x:v>17.93</x:v>
      </x:c>
      <x:c r="G7764" t="n">
        <x:v>36</x:v>
      </x:c>
      <x:c r="H7764" t="str">
        <x:v>E</x:v>
      </x:c>
      <x:c r="I7764" t="str">
        <x:v>1-3 years</x:v>
      </x:c>
      <x:c r="J7764" t="str">
        <x:v>MORTGAGE</x:v>
      </x:c>
      <x:c r="K7764" t="str">
        <x:v>debt_consolidation</x:v>
      </x:c>
      <x:c r="L7764" t="n">
        <x:v>1</x:v>
      </x:c>
      <x:c r="M7764" t="n">
        <x:v>0</x:v>
      </x:c>
      <x:c r="N7764" t="str">
        <x:v>Fully Paid</x:v>
      </x:c>
      <x:c r="O7764" t="str">
        <x:f>IF(D7764="","Unknown",IF(D7764&lt;25000,"&lt;$25k",IF(D7764&lt;50000,"$25k-$50k",IF(D7764&lt;75000,"$50k-$75k",IF(D7764&lt;100000,"$75k-$100k","$100k+")))))</x:f>
        <x:v>$25k-$50k</x:v>
      </x:c>
      <x:c r="P7764" t="str">
        <x:f>IF(E7764="","Unknown",IF(E7764&lt;10,"&lt;10",IF(E7764&lt;20,"10-&lt;20",IF(E7764&lt;25,"20-&lt;25",IF(E7764&lt;35,"25-&lt;35","35+")))))</x:f>
        <x:v>25-&lt;35</x:v>
      </x:c>
    </x:row>
    <x:row r="7765">
      <x:c r="A7765" t="str">
        <x:v>SYN0007764</x:v>
      </x:c>
      <x:c r="B7765" s="12" t="n">
        <x:v>41695</x:v>
      </x:c>
      <x:c r="C7765" s="18" t="n">
        <x:v>16300</x:v>
      </x:c>
      <x:c r="D7765" s="18" t="n">
        <x:v>181168</x:v>
      </x:c>
      <x:c r="E7765" s="18" t="n">
        <x:v>22.66</x:v>
      </x:c>
      <x:c r="F7765" s="18" t="n">
        <x:v>9.65</x:v>
      </x:c>
      <x:c r="G7765" t="n">
        <x:v>36</x:v>
      </x:c>
      <x:c r="H7765" t="str">
        <x:v>C</x:v>
      </x:c>
      <x:c r="I7765" t="str">
        <x:v>1-3 years</x:v>
      </x:c>
      <x:c r="J7765" t="str">
        <x:v>MORTGAGE</x:v>
      </x:c>
      <x:c r="K7765" t="str">
        <x:v>credit_card</x:v>
      </x:c>
      <x:c r="L7765" t="n">
        <x:v>0</x:v>
      </x:c>
      <x:c r="M7765" t="n">
        <x:v>0</x:v>
      </x:c>
      <x:c r="N7765" t="str">
        <x:v>Fully Paid</x:v>
      </x:c>
      <x:c r="O7765" t="str">
        <x:f>IF(D7765="","Unknown",IF(D7765&lt;25000,"&lt;$25k",IF(D7765&lt;50000,"$25k-$50k",IF(D7765&lt;75000,"$50k-$75k",IF(D7765&lt;100000,"$75k-$100k","$100k+")))))</x:f>
        <x:v>$100k+</x:v>
      </x:c>
      <x:c r="P7765" t="str">
        <x:f>IF(E7765="","Unknown",IF(E7765&lt;10,"&lt;10",IF(E7765&lt;20,"10-&lt;20",IF(E7765&lt;25,"20-&lt;25",IF(E7765&lt;35,"25-&lt;35","35+")))))</x:f>
        <x:v>20-&lt;25</x:v>
      </x:c>
    </x:row>
    <x:row r="7766">
      <x:c r="A7766" t="str">
        <x:v>SYN0007765</x:v>
      </x:c>
      <x:c r="B7766" s="12" t="n">
        <x:v>41305</x:v>
      </x:c>
      <x:c r="C7766" s="18" t="n">
        <x:v>22250</x:v>
      </x:c>
      <x:c r="D7766" s="18" t="n">
        <x:v>45111</x:v>
      </x:c>
      <x:c r="E7766" s="18" t="n">
        <x:v>26.99</x:v>
      </x:c>
      <x:c r="F7766" s="18" t="n">
        <x:v>18.28</x:v>
      </x:c>
      <x:c r="G7766" t="n">
        <x:v>36</x:v>
      </x:c>
      <x:c r="H7766" t="str">
        <x:v>D</x:v>
      </x:c>
      <x:c r="I7766" t="str">
        <x:v>4-6 years</x:v>
      </x:c>
      <x:c r="J7766" t="str">
        <x:v>OWN</x:v>
      </x:c>
      <x:c r="K7766" t="str">
        <x:v>debt_consolidation</x:v>
      </x:c>
      <x:c r="L7766" t="n">
        <x:v>0</x:v>
      </x:c>
      <x:c r="M7766" t="n">
        <x:v>0</x:v>
      </x:c>
      <x:c r="N7766" t="str">
        <x:v>Fully Paid</x:v>
      </x:c>
      <x:c r="O7766" t="str">
        <x:f>IF(D7766="","Unknown",IF(D7766&lt;25000,"&lt;$25k",IF(D7766&lt;50000,"$25k-$50k",IF(D7766&lt;75000,"$50k-$75k",IF(D7766&lt;100000,"$75k-$100k","$100k+")))))</x:f>
        <x:v>$25k-$50k</x:v>
      </x:c>
      <x:c r="P7766" t="str">
        <x:f>IF(E7766="","Unknown",IF(E7766&lt;10,"&lt;10",IF(E7766&lt;20,"10-&lt;20",IF(E7766&lt;25,"20-&lt;25",IF(E7766&lt;35,"25-&lt;35","35+")))))</x:f>
        <x:v>25-&lt;35</x:v>
      </x:c>
    </x:row>
    <x:row r="7767">
      <x:c r="A7767" t="str">
        <x:v>SYN0007766</x:v>
      </x:c>
      <x:c r="B7767" s="12" t="n">
        <x:v>43015</x:v>
      </x:c>
      <x:c r="C7767" s="18" t="n">
        <x:v>4531</x:v>
      </x:c>
      <x:c r="D7767" s="18" t="n">
        <x:v>36729</x:v>
      </x:c>
      <x:c r="E7767" s="18" t="n">
        <x:v>2.71</x:v>
      </x:c>
      <x:c r="F7767" s="18" t="n">
        <x:v>12.07</x:v>
      </x:c>
      <x:c r="G7767" t="n">
        <x:v>60</x:v>
      </x:c>
      <x:c r="H7767" t="str">
        <x:v>C</x:v>
      </x:c>
      <x:c r="I7767" t="str">
        <x:v>1-3 years</x:v>
      </x:c>
      <x:c r="J7767" t="str">
        <x:v>RENT</x:v>
      </x:c>
      <x:c r="K7767" t="str">
        <x:v>major_purchase</x:v>
      </x:c>
      <x:c r="L7767" t="n">
        <x:v>0</x:v>
      </x:c>
      <x:c r="M7767" t="n">
        <x:v>0</x:v>
      </x:c>
      <x:c r="N7767" t="str">
        <x:v>Fully Paid</x:v>
      </x:c>
      <x:c r="O7767" t="str">
        <x:f>IF(D7767="","Unknown",IF(D7767&lt;25000,"&lt;$25k",IF(D7767&lt;50000,"$25k-$50k",IF(D7767&lt;75000,"$50k-$75k",IF(D7767&lt;100000,"$75k-$100k","$100k+")))))</x:f>
        <x:v>$25k-$50k</x:v>
      </x:c>
      <x:c r="P7767" t="str">
        <x:f>IF(E7767="","Unknown",IF(E7767&lt;10,"&lt;10",IF(E7767&lt;20,"10-&lt;20",IF(E7767&lt;25,"20-&lt;25",IF(E7767&lt;35,"25-&lt;35","35+")))))</x:f>
        <x:v>&lt;10</x:v>
      </x:c>
    </x:row>
    <x:row r="7768">
      <x:c r="A7768" t="str">
        <x:v>SYN0007767</x:v>
      </x:c>
      <x:c r="B7768" s="12" t="n">
        <x:v>42475</x:v>
      </x:c>
      <x:c r="C7768" s="18" t="n">
        <x:v>10152</x:v>
      </x:c>
      <x:c r="D7768" s="18" t="n">
        <x:v>85533</x:v>
      </x:c>
      <x:c r="E7768" s="18" t="n">
        <x:v>18.43</x:v>
      </x:c>
      <x:c r="F7768" s="18" t="n">
        <x:v>8.59</x:v>
      </x:c>
      <x:c r="G7768" t="n">
        <x:v>36</x:v>
      </x:c>
      <x:c r="H7768" t="str">
        <x:v>B</x:v>
      </x:c>
      <x:c r="I7768" t="str">
        <x:v>7-9 years</x:v>
      </x:c>
      <x:c r="J7768" t="str">
        <x:v>MORTGAGE</x:v>
      </x:c>
      <x:c r="K7768" t="str">
        <x:v>home_improvement</x:v>
      </x:c>
      <x:c r="L7768" t="n">
        <x:v>2</x:v>
      </x:c>
      <x:c r="M7768" t="n">
        <x:v>0</x:v>
      </x:c>
      <x:c r="N7768" t="str">
        <x:v>Fully Paid</x:v>
      </x:c>
      <x:c r="O7768" t="str">
        <x:f>IF(D7768="","Unknown",IF(D7768&lt;25000,"&lt;$25k",IF(D7768&lt;50000,"$25k-$50k",IF(D7768&lt;75000,"$50k-$75k",IF(D7768&lt;100000,"$75k-$100k","$100k+")))))</x:f>
        <x:v>$75k-$100k</x:v>
      </x:c>
      <x:c r="P7768" t="str">
        <x:f>IF(E7768="","Unknown",IF(E7768&lt;10,"&lt;10",IF(E7768&lt;20,"10-&lt;20",IF(E7768&lt;25,"20-&lt;25",IF(E7768&lt;35,"25-&lt;35","35+")))))</x:f>
        <x:v>10-&lt;20</x:v>
      </x:c>
    </x:row>
    <x:row r="7769">
      <x:c r="A7769" t="str">
        <x:v>SYN0007768</x:v>
      </x:c>
      <x:c r="B7769" s="12" t="n">
        <x:v>43375</x:v>
      </x:c>
      <x:c r="C7769" s="18" t="n">
        <x:v>13844</x:v>
      </x:c>
      <x:c r="D7769" s="18" t="n">
        <x:v>90073</x:v>
      </x:c>
      <x:c r="E7769" s="18" t="n">
        <x:v>10.55</x:v>
      </x:c>
      <x:c r="F7769" s="18" t="n">
        <x:v>5</x:v>
      </x:c>
      <x:c r="G7769" t="n">
        <x:v>36</x:v>
      </x:c>
      <x:c r="H7769" t="str">
        <x:v>B</x:v>
      </x:c>
      <x:c r="I7769" t="str">
        <x:v>4-6 years</x:v>
      </x:c>
      <x:c r="J7769" t="str">
        <x:v>MORTGAGE</x:v>
      </x:c>
      <x:c r="K7769" t="str">
        <x:v>major_purchase</x:v>
      </x:c>
      <x:c r="L7769" t="n">
        <x:v>1</x:v>
      </x:c>
      <x:c r="M7769" t="n">
        <x:v>0</x:v>
      </x:c>
      <x:c r="N7769" t="str">
        <x:v>Fully Paid</x:v>
      </x:c>
      <x:c r="O7769" t="str">
        <x:f>IF(D7769="","Unknown",IF(D7769&lt;25000,"&lt;$25k",IF(D7769&lt;50000,"$25k-$50k",IF(D7769&lt;75000,"$50k-$75k",IF(D7769&lt;100000,"$75k-$100k","$100k+")))))</x:f>
        <x:v>$75k-$100k</x:v>
      </x:c>
      <x:c r="P7769" t="str">
        <x:f>IF(E7769="","Unknown",IF(E7769&lt;10,"&lt;10",IF(E7769&lt;20,"10-&lt;20",IF(E7769&lt;25,"20-&lt;25",IF(E7769&lt;35,"25-&lt;35","35+")))))</x:f>
        <x:v>10-&lt;20</x:v>
      </x:c>
    </x:row>
    <x:row r="7770">
      <x:c r="A7770" t="str">
        <x:v>SYN0007769</x:v>
      </x:c>
      <x:c r="B7770" s="12" t="n">
        <x:v>42685</x:v>
      </x:c>
      <x:c r="C7770" s="18" t="n">
        <x:v>15328</x:v>
      </x:c>
      <x:c r="D7770" s="18" t="n">
        <x:v>35442</x:v>
      </x:c>
      <x:c r="E7770" s="18" t="n">
        <x:v>14.42</x:v>
      </x:c>
      <x:c r="F7770" s="18" t="n">
        <x:v>10.09</x:v>
      </x:c>
      <x:c r="G7770" t="n">
        <x:v>36</x:v>
      </x:c>
      <x:c r="H7770" t="str">
        <x:v>C</x:v>
      </x:c>
      <x:c r="I7770" t="str">
        <x:v>4-6 years</x:v>
      </x:c>
      <x:c r="J7770" t="str">
        <x:v>MORTGAGE</x:v>
      </x:c>
      <x:c r="K7770" t="str">
        <x:v>debt_consolidation</x:v>
      </x:c>
      <x:c r="L7770" t="n">
        <x:v>0</x:v>
      </x:c>
      <x:c r="M7770" t="n">
        <x:v>0</x:v>
      </x:c>
      <x:c r="N7770" t="str">
        <x:v>Fully Paid</x:v>
      </x:c>
      <x:c r="O7770" t="str">
        <x:f>IF(D7770="","Unknown",IF(D7770&lt;25000,"&lt;$25k",IF(D7770&lt;50000,"$25k-$50k",IF(D7770&lt;75000,"$50k-$75k",IF(D7770&lt;100000,"$75k-$100k","$100k+")))))</x:f>
        <x:v>$25k-$50k</x:v>
      </x:c>
      <x:c r="P7770" t="str">
        <x:f>IF(E7770="","Unknown",IF(E7770&lt;10,"&lt;10",IF(E7770&lt;20,"10-&lt;20",IF(E7770&lt;25,"20-&lt;25",IF(E7770&lt;35,"25-&lt;35","35+")))))</x:f>
        <x:v>10-&lt;20</x:v>
      </x:c>
    </x:row>
    <x:row r="7771">
      <x:c r="A7771" t="str">
        <x:v>SYN0007770</x:v>
      </x:c>
      <x:c r="B7771" s="12" t="n">
        <x:v>41575</x:v>
      </x:c>
      <x:c r="C7771" s="18" t="n">
        <x:v>12091</x:v>
      </x:c>
      <x:c r="D7771" s="18" t="n">
        <x:v>90835</x:v>
      </x:c>
      <x:c r="E7771" s="18" t="n">
        <x:v>17</x:v>
      </x:c>
      <x:c r="F7771" s="18" t="n">
        <x:v>5.69</x:v>
      </x:c>
      <x:c r="G7771" t="n">
        <x:v>60</x:v>
      </x:c>
      <x:c r="H7771" t="str">
        <x:v>A</x:v>
      </x:c>
      <x:c r="I7771" t="str">
        <x:v>10+ years</x:v>
      </x:c>
      <x:c r="J7771" t="str">
        <x:v>RENT</x:v>
      </x:c>
      <x:c r="K7771" t="str">
        <x:v>major_purchase</x:v>
      </x:c>
      <x:c r="L7771" t="n">
        <x:v>1</x:v>
      </x:c>
      <x:c r="M7771" t="n">
        <x:v>0</x:v>
      </x:c>
      <x:c r="N7771" t="str">
        <x:v>Fully Paid</x:v>
      </x:c>
      <x:c r="O7771" t="str">
        <x:f>IF(D7771="","Unknown",IF(D7771&lt;25000,"&lt;$25k",IF(D7771&lt;50000,"$25k-$50k",IF(D7771&lt;75000,"$50k-$75k",IF(D7771&lt;100000,"$75k-$100k","$100k+")))))</x:f>
        <x:v>$75k-$100k</x:v>
      </x:c>
      <x:c r="P7771" t="str">
        <x:f>IF(E7771="","Unknown",IF(E7771&lt;10,"&lt;10",IF(E7771&lt;20,"10-&lt;20",IF(E7771&lt;25,"20-&lt;25",IF(E7771&lt;35,"25-&lt;35","35+")))))</x:f>
        <x:v>10-&lt;20</x:v>
      </x:c>
    </x:row>
    <x:row r="7772">
      <x:c r="A7772" t="str">
        <x:v>SYN0007771</x:v>
      </x:c>
      <x:c r="B7772" s="12" t="n">
        <x:v>42475</x:v>
      </x:c>
      <x:c r="C7772" s="18" t="n">
        <x:v>30594</x:v>
      </x:c>
      <x:c r="D7772" s="18" t="n">
        <x:v>120517</x:v>
      </x:c>
      <x:c r="E7772" s="18" t="n">
        <x:v>37.37</x:v>
      </x:c>
      <x:c r="F7772" s="18" t="n">
        <x:v>10.84</x:v>
      </x:c>
      <x:c r="G7772" t="n">
        <x:v>60</x:v>
      </x:c>
      <x:c r="H7772" t="str">
        <x:v>C</x:v>
      </x:c>
      <x:c r="I7772" t="str">
        <x:v>&lt;1 year</x:v>
      </x:c>
      <x:c r="J7772" t="str">
        <x:v>RENT</x:v>
      </x:c>
      <x:c r="K7772" t="str">
        <x:v>medical</x:v>
      </x:c>
      <x:c r="L7772" t="n">
        <x:v>1</x:v>
      </x:c>
      <x:c r="M7772" t="n">
        <x:v>0</x:v>
      </x:c>
      <x:c r="N7772" t="str">
        <x:v>Fully Paid</x:v>
      </x:c>
      <x:c r="O7772" t="str">
        <x:f>IF(D7772="","Unknown",IF(D7772&lt;25000,"&lt;$25k",IF(D7772&lt;50000,"$25k-$50k",IF(D7772&lt;75000,"$50k-$75k",IF(D7772&lt;100000,"$75k-$100k","$100k+")))))</x:f>
        <x:v>$100k+</x:v>
      </x:c>
      <x:c r="P7772" t="str">
        <x:f>IF(E7772="","Unknown",IF(E7772&lt;10,"&lt;10",IF(E7772&lt;20,"10-&lt;20",IF(E7772&lt;25,"20-&lt;25",IF(E7772&lt;35,"25-&lt;35","35+")))))</x:f>
        <x:v>35+</x:v>
      </x:c>
    </x:row>
    <x:row r="7773">
      <x:c r="A7773" t="str">
        <x:v>SYN0007772</x:v>
      </x:c>
      <x:c r="B7773" s="12" t="n">
        <x:v>42865</x:v>
      </x:c>
      <x:c r="C7773" s="18" t="n">
        <x:v>22594</x:v>
      </x:c>
      <x:c r="D7773" s="18" t="n">
        <x:v>103188</x:v>
      </x:c>
      <x:c r="E7773" s="18" t="n">
        <x:v>35.78</x:v>
      </x:c>
      <x:c r="F7773" s="18" t="n">
        <x:v>12.85</x:v>
      </x:c>
      <x:c r="G7773" t="n">
        <x:v>36</x:v>
      </x:c>
      <x:c r="H7773" t="str">
        <x:v>C</x:v>
      </x:c>
      <x:c r="I7773" t="str">
        <x:v>4-6 years</x:v>
      </x:c>
      <x:c r="J7773" t="str">
        <x:v>RENT</x:v>
      </x:c>
      <x:c r="K7773" t="str">
        <x:v>debt_consolidation</x:v>
      </x:c>
      <x:c r="L7773" t="n">
        <x:v>0</x:v>
      </x:c>
      <x:c r="M7773" t="n">
        <x:v>0</x:v>
      </x:c>
      <x:c r="N7773" t="str">
        <x:v>Fully Paid</x:v>
      </x:c>
      <x:c r="O7773" t="str">
        <x:f>IF(D7773="","Unknown",IF(D7773&lt;25000,"&lt;$25k",IF(D7773&lt;50000,"$25k-$50k",IF(D7773&lt;75000,"$50k-$75k",IF(D7773&lt;100000,"$75k-$100k","$100k+")))))</x:f>
        <x:v>$100k+</x:v>
      </x:c>
      <x:c r="P7773" t="str">
        <x:f>IF(E7773="","Unknown",IF(E7773&lt;10,"&lt;10",IF(E7773&lt;20,"10-&lt;20",IF(E7773&lt;25,"20-&lt;25",IF(E7773&lt;35,"25-&lt;35","35+")))))</x:f>
        <x:v>35+</x:v>
      </x:c>
    </x:row>
    <x:row r="7774">
      <x:c r="A7774" t="str">
        <x:v>SYN0007773</x:v>
      </x:c>
      <x:c r="B7774" s="12" t="n">
        <x:v>42715</x:v>
      </x:c>
      <x:c r="C7774" s="18" t="n">
        <x:v>14333</x:v>
      </x:c>
      <x:c r="D7774" s="18" t="n">
        <x:v>81401</x:v>
      </x:c>
      <x:c r="E7774" s="18" t="n">
        <x:v>27.67</x:v>
      </x:c>
      <x:c r="F7774" s="18" t="n">
        <x:v>11.16</x:v>
      </x:c>
      <x:c r="G7774" t="n">
        <x:v>60</x:v>
      </x:c>
      <x:c r="H7774" t="str">
        <x:v>C</x:v>
      </x:c>
      <x:c r="I7774" t="str">
        <x:v>4-6 years</x:v>
      </x:c>
      <x:c r="J7774" t="str">
        <x:v>RENT</x:v>
      </x:c>
      <x:c r="K7774" t="str">
        <x:v>other</x:v>
      </x:c>
      <x:c r="L7774" t="n">
        <x:v>1</x:v>
      </x:c>
      <x:c r="M7774" t="n">
        <x:v>0</x:v>
      </x:c>
      <x:c r="N7774" t="str">
        <x:v>Fully Paid</x:v>
      </x:c>
      <x:c r="O7774" t="str">
        <x:f>IF(D7774="","Unknown",IF(D7774&lt;25000,"&lt;$25k",IF(D7774&lt;50000,"$25k-$50k",IF(D7774&lt;75000,"$50k-$75k",IF(D7774&lt;100000,"$75k-$100k","$100k+")))))</x:f>
        <x:v>$75k-$100k</x:v>
      </x:c>
      <x:c r="P7774" t="str">
        <x:f>IF(E7774="","Unknown",IF(E7774&lt;10,"&lt;10",IF(E7774&lt;20,"10-&lt;20",IF(E7774&lt;25,"20-&lt;25",IF(E7774&lt;35,"25-&lt;35","35+")))))</x:f>
        <x:v>25-&lt;35</x:v>
      </x:c>
    </x:row>
    <x:row r="7775">
      <x:c r="A7775" t="str">
        <x:v>SYN0007774</x:v>
      </x:c>
      <x:c r="B7775" s="12" t="n">
        <x:v>42055</x:v>
      </x:c>
      <x:c r="C7775" s="18" t="n">
        <x:v>7618</x:v>
      </x:c>
      <x:c r="D7775" s="18" t="n">
        <x:v>138611</x:v>
      </x:c>
      <x:c r="E7775" s="18" t="n">
        <x:v>20.95</x:v>
      </x:c>
      <x:c r="F7775" s="18" t="n">
        <x:v>9.35</x:v>
      </x:c>
      <x:c r="G7775" t="n">
        <x:v>36</x:v>
      </x:c>
      <x:c r="H7775" t="str">
        <x:v>B</x:v>
      </x:c>
      <x:c r="I7775" t="str">
        <x:v>7-9 years</x:v>
      </x:c>
      <x:c r="J7775" t="str">
        <x:v>RENT</x:v>
      </x:c>
      <x:c r="K7775" t="str">
        <x:v>credit_card</x:v>
      </x:c>
      <x:c r="L7775" t="n">
        <x:v>0</x:v>
      </x:c>
      <x:c r="M7775" t="n">
        <x:v>0</x:v>
      </x:c>
      <x:c r="N7775" t="str">
        <x:v>Fully Paid</x:v>
      </x:c>
      <x:c r="O7775" t="str">
        <x:f>IF(D7775="","Unknown",IF(D7775&lt;25000,"&lt;$25k",IF(D7775&lt;50000,"$25k-$50k",IF(D7775&lt;75000,"$50k-$75k",IF(D7775&lt;100000,"$75k-$100k","$100k+")))))</x:f>
        <x:v>$100k+</x:v>
      </x:c>
      <x:c r="P7775" t="str">
        <x:f>IF(E7775="","Unknown",IF(E7775&lt;10,"&lt;10",IF(E7775&lt;20,"10-&lt;20",IF(E7775&lt;25,"20-&lt;25",IF(E7775&lt;35,"25-&lt;35","35+")))))</x:f>
        <x:v>20-&lt;25</x:v>
      </x:c>
    </x:row>
    <x:row r="7776">
      <x:c r="A7776" t="str">
        <x:v>SYN0007775</x:v>
      </x:c>
      <x:c r="B7776" s="12" t="n">
        <x:v>42235</x:v>
      </x:c>
      <x:c r="C7776" s="18" t="n">
        <x:v>13279</x:v>
      </x:c>
      <x:c r="D7776" s="18" t="n">
        <x:v>20155</x:v>
      </x:c>
      <x:c r="E7776" s="18" t="n">
        <x:v>28.02</x:v>
      </x:c>
      <x:c r="F7776" s="18" t="n">
        <x:v>18.08</x:v>
      </x:c>
      <x:c r="G7776" t="n">
        <x:v>36</x:v>
      </x:c>
      <x:c r="H7776" t="str">
        <x:v>E</x:v>
      </x:c>
      <x:c r="I7776" t="str">
        <x:v>&lt;1 year</x:v>
      </x:c>
      <x:c r="J7776" t="str">
        <x:v>RENT</x:v>
      </x:c>
      <x:c r="K7776" t="str">
        <x:v>debt_consolidation</x:v>
      </x:c>
      <x:c r="L7776" t="n">
        <x:v>2</x:v>
      </x:c>
      <x:c r="M7776" t="n">
        <x:v>0</x:v>
      </x:c>
      <x:c r="N7776" t="str">
        <x:v>Fully Paid</x:v>
      </x:c>
      <x:c r="O7776" t="str">
        <x:f>IF(D7776="","Unknown",IF(D7776&lt;25000,"&lt;$25k",IF(D7776&lt;50000,"$25k-$50k",IF(D7776&lt;75000,"$50k-$75k",IF(D7776&lt;100000,"$75k-$100k","$100k+")))))</x:f>
        <x:v>&lt;$25k</x:v>
      </x:c>
      <x:c r="P7776" t="str">
        <x:f>IF(E7776="","Unknown",IF(E7776&lt;10,"&lt;10",IF(E7776&lt;20,"10-&lt;20",IF(E7776&lt;25,"20-&lt;25",IF(E7776&lt;35,"25-&lt;35","35+")))))</x:f>
        <x:v>25-&lt;35</x:v>
      </x:c>
    </x:row>
    <x:row r="7777">
      <x:c r="A7777" t="str">
        <x:v>SYN0007776</x:v>
      </x:c>
      <x:c r="B7777" s="12" t="n">
        <x:v>42505</x:v>
      </x:c>
      <x:c r="C7777" s="18" t="n">
        <x:v>8576</x:v>
      </x:c>
      <x:c r="D7777" s="18" t="n">
        <x:v>50905</x:v>
      </x:c>
      <x:c r="E7777" s="18" t="n">
        <x:v>12.14</x:v>
      </x:c>
      <x:c r="F7777" s="18" t="n">
        <x:v>7.2</x:v>
      </x:c>
      <x:c r="G7777" t="n">
        <x:v>36</x:v>
      </x:c>
      <x:c r="H7777" t="str">
        <x:v>A</x:v>
      </x:c>
      <x:c r="I7777" t="str">
        <x:v>7-9 years</x:v>
      </x:c>
      <x:c r="J7777" t="str">
        <x:v>RENT</x:v>
      </x:c>
      <x:c r="K7777" t="str">
        <x:v>debt_consolidation</x:v>
      </x:c>
      <x:c r="L7777" t="n">
        <x:v>1</x:v>
      </x:c>
      <x:c r="M7777" t="n">
        <x:v>1</x:v>
      </x:c>
      <x:c r="N7777" t="str">
        <x:v>Charged Off</x:v>
      </x:c>
      <x:c r="O7777" t="str">
        <x:f>IF(D7777="","Unknown",IF(D7777&lt;25000,"&lt;$25k",IF(D7777&lt;50000,"$25k-$50k",IF(D7777&lt;75000,"$50k-$75k",IF(D7777&lt;100000,"$75k-$100k","$100k+")))))</x:f>
        <x:v>$50k-$75k</x:v>
      </x:c>
      <x:c r="P7777" t="str">
        <x:f>IF(E7777="","Unknown",IF(E7777&lt;10,"&lt;10",IF(E7777&lt;20,"10-&lt;20",IF(E7777&lt;25,"20-&lt;25",IF(E7777&lt;35,"25-&lt;35","35+")))))</x:f>
        <x:v>10-&lt;20</x:v>
      </x:c>
    </x:row>
    <x:row r="7778">
      <x:c r="A7778" t="str">
        <x:v>SYN0007777</x:v>
      </x:c>
      <x:c r="B7778" s="12" t="n">
        <x:v>41275</x:v>
      </x:c>
      <x:c r="C7778" s="18" t="n">
        <x:v>13493</x:v>
      </x:c>
      <x:c r="D7778" s="18" t="n">
        <x:v>42060</x:v>
      </x:c>
      <x:c r="E7778" s="18" t="n">
        <x:v>25.42</x:v>
      </x:c>
      <x:c r="F7778" s="18" t="n">
        <x:v>5</x:v>
      </x:c>
      <x:c r="G7778" t="n">
        <x:v>60</x:v>
      </x:c>
      <x:c r="H7778" t="str">
        <x:v>A</x:v>
      </x:c>
      <x:c r="I7778" t="str">
        <x:v>1-3 years</x:v>
      </x:c>
      <x:c r="J7778" t="str">
        <x:v>RENT</x:v>
      </x:c>
      <x:c r="K7778" t="str">
        <x:v>debt_consolidation</x:v>
      </x:c>
      <x:c r="L7778" t="n">
        <x:v>0</x:v>
      </x:c>
      <x:c r="M7778" t="n">
        <x:v>0</x:v>
      </x:c>
      <x:c r="N7778" t="str">
        <x:v>Fully Paid</x:v>
      </x:c>
      <x:c r="O7778" t="str">
        <x:f>IF(D7778="","Unknown",IF(D7778&lt;25000,"&lt;$25k",IF(D7778&lt;50000,"$25k-$50k",IF(D7778&lt;75000,"$50k-$75k",IF(D7778&lt;100000,"$75k-$100k","$100k+")))))</x:f>
        <x:v>$25k-$50k</x:v>
      </x:c>
      <x:c r="P7778" t="str">
        <x:f>IF(E7778="","Unknown",IF(E7778&lt;10,"&lt;10",IF(E7778&lt;20,"10-&lt;20",IF(E7778&lt;25,"20-&lt;25",IF(E7778&lt;35,"25-&lt;35","35+")))))</x:f>
        <x:v>25-&lt;35</x:v>
      </x:c>
    </x:row>
    <x:row r="7779">
      <x:c r="A7779" t="str">
        <x:v>SYN0007778</x:v>
      </x:c>
      <x:c r="B7779" s="12" t="n">
        <x:v>42025</x:v>
      </x:c>
      <x:c r="C7779" s="18" t="n">
        <x:v>12805</x:v>
      </x:c>
      <x:c r="D7779" s="18" t="n">
        <x:v>18613</x:v>
      </x:c>
      <x:c r="E7779" s="18" t="n">
        <x:v>6.34</x:v>
      </x:c>
      <x:c r="F7779" s="18" t="n">
        <x:v>7.39</x:v>
      </x:c>
      <x:c r="G7779" t="n">
        <x:v>36</x:v>
      </x:c>
      <x:c r="H7779" t="str">
        <x:v>A</x:v>
      </x:c>
      <x:c r="I7779" t="str">
        <x:v>10+ years</x:v>
      </x:c>
      <x:c r="J7779" t="str">
        <x:v>MORTGAGE</x:v>
      </x:c>
      <x:c r="K7779" t="str">
        <x:v>debt_consolidation</x:v>
      </x:c>
      <x:c r="L7779" t="n">
        <x:v>0</x:v>
      </x:c>
      <x:c r="M7779" t="n">
        <x:v>0</x:v>
      </x:c>
      <x:c r="N7779" t="str">
        <x:v>Fully Paid</x:v>
      </x:c>
      <x:c r="O7779" t="str">
        <x:f>IF(D7779="","Unknown",IF(D7779&lt;25000,"&lt;$25k",IF(D7779&lt;50000,"$25k-$50k",IF(D7779&lt;75000,"$50k-$75k",IF(D7779&lt;100000,"$75k-$100k","$100k+")))))</x:f>
        <x:v>&lt;$25k</x:v>
      </x:c>
      <x:c r="P7779" t="str">
        <x:f>IF(E7779="","Unknown",IF(E7779&lt;10,"&lt;10",IF(E7779&lt;20,"10-&lt;20",IF(E7779&lt;25,"20-&lt;25",IF(E7779&lt;35,"25-&lt;35","35+")))))</x:f>
        <x:v>&lt;10</x:v>
      </x:c>
    </x:row>
    <x:row r="7780">
      <x:c r="A7780" t="str">
        <x:v>SYN0007779</x:v>
      </x:c>
      <x:c r="B7780" s="12" t="n">
        <x:v>42685</x:v>
      </x:c>
      <x:c r="C7780" s="18" t="n">
        <x:v>12784</x:v>
      </x:c>
      <x:c r="D7780" s="18" t="n">
        <x:v>52274</x:v>
      </x:c>
      <x:c r="E7780" s="18" t="n">
        <x:v>22.18</x:v>
      </x:c>
      <x:c r="F7780" s="18" t="n">
        <x:v>10.12</x:v>
      </x:c>
      <x:c r="G7780" t="n">
        <x:v>36</x:v>
      </x:c>
      <x:c r="H7780" t="str">
        <x:v>C</x:v>
      </x:c>
      <x:c r="I7780" t="str">
        <x:v>10+ years</x:v>
      </x:c>
      <x:c r="J7780" t="str">
        <x:v>OWN</x:v>
      </x:c>
      <x:c r="K7780" t="str">
        <x:v>debt_consolidation</x:v>
      </x:c>
      <x:c r="L7780" t="n">
        <x:v>1</x:v>
      </x:c>
      <x:c r="M7780" t="n">
        <x:v>0</x:v>
      </x:c>
      <x:c r="N7780" t="str">
        <x:v>Fully Paid</x:v>
      </x:c>
      <x:c r="O7780" t="str">
        <x:f>IF(D7780="","Unknown",IF(D7780&lt;25000,"&lt;$25k",IF(D7780&lt;50000,"$25k-$50k",IF(D7780&lt;75000,"$50k-$75k",IF(D7780&lt;100000,"$75k-$100k","$100k+")))))</x:f>
        <x:v>$50k-$75k</x:v>
      </x:c>
      <x:c r="P7780" t="str">
        <x:f>IF(E7780="","Unknown",IF(E7780&lt;10,"&lt;10",IF(E7780&lt;20,"10-&lt;20",IF(E7780&lt;25,"20-&lt;25",IF(E7780&lt;35,"25-&lt;35","35+")))))</x:f>
        <x:v>20-&lt;25</x:v>
      </x:c>
    </x:row>
    <x:row r="7781">
      <x:c r="A7781" t="str">
        <x:v>SYN0007780</x:v>
      </x:c>
      <x:c r="B7781" s="12" t="n">
        <x:v>42895</x:v>
      </x:c>
      <x:c r="C7781" s="18" t="n">
        <x:v>12263</x:v>
      </x:c>
      <x:c r="D7781" s="18" t="n">
        <x:v>83771</x:v>
      </x:c>
      <x:c r="E7781" s="18" t="n">
        <x:v>36.42</x:v>
      </x:c>
      <x:c r="F7781" s="18" t="n">
        <x:v>7.88</x:v>
      </x:c>
      <x:c r="G7781" t="n">
        <x:v>36</x:v>
      </x:c>
      <x:c r="H7781" t="str">
        <x:v>A</x:v>
      </x:c>
      <x:c r="I7781" t="str">
        <x:v>10+ years</x:v>
      </x:c>
      <x:c r="J7781" t="str">
        <x:v>MORTGAGE</x:v>
      </x:c>
      <x:c r="K7781" t="str">
        <x:v>debt_consolidation</x:v>
      </x:c>
      <x:c r="L7781" t="n">
        <x:v>0</x:v>
      </x:c>
      <x:c r="M7781" t="n">
        <x:v>0</x:v>
      </x:c>
      <x:c r="N7781" t="str">
        <x:v>Fully Paid</x:v>
      </x:c>
      <x:c r="O7781" t="str">
        <x:f>IF(D7781="","Unknown",IF(D7781&lt;25000,"&lt;$25k",IF(D7781&lt;50000,"$25k-$50k",IF(D7781&lt;75000,"$50k-$75k",IF(D7781&lt;100000,"$75k-$100k","$100k+")))))</x:f>
        <x:v>$75k-$100k</x:v>
      </x:c>
      <x:c r="P7781" t="str">
        <x:f>IF(E7781="","Unknown",IF(E7781&lt;10,"&lt;10",IF(E7781&lt;20,"10-&lt;20",IF(E7781&lt;25,"20-&lt;25",IF(E7781&lt;35,"25-&lt;35","35+")))))</x:f>
        <x:v>35+</x:v>
      </x:c>
    </x:row>
    <x:row r="7782">
      <x:c r="A7782" t="str">
        <x:v>SYN0007781</x:v>
      </x:c>
      <x:c r="B7782" s="12" t="n">
        <x:v>43285</x:v>
      </x:c>
      <x:c r="C7782" s="18" t="n">
        <x:v>18222</x:v>
      </x:c>
      <x:c r="D7782" s="18" t="n">
        <x:v>69789</x:v>
      </x:c>
      <x:c r="E7782" s="18" t="n">
        <x:v>17.96</x:v>
      </x:c>
      <x:c r="F7782" s="18" t="n">
        <x:v>8.55</x:v>
      </x:c>
      <x:c r="G7782" t="n">
        <x:v>60</x:v>
      </x:c>
      <x:c r="H7782" t="str">
        <x:v>B</x:v>
      </x:c>
      <x:c r="I7782" t="str">
        <x:v>1-3 years</x:v>
      </x:c>
      <x:c r="J7782" t="str">
        <x:v>RENT</x:v>
      </x:c>
      <x:c r="K7782" t="str">
        <x:v>debt_consolidation</x:v>
      </x:c>
      <x:c r="L7782" t="n">
        <x:v>2</x:v>
      </x:c>
      <x:c r="M7782" t="n">
        <x:v>1</x:v>
      </x:c>
      <x:c r="N7782" t="str">
        <x:v>Charged Off</x:v>
      </x:c>
      <x:c r="O7782" t="str">
        <x:f>IF(D7782="","Unknown",IF(D7782&lt;25000,"&lt;$25k",IF(D7782&lt;50000,"$25k-$50k",IF(D7782&lt;75000,"$50k-$75k",IF(D7782&lt;100000,"$75k-$100k","$100k+")))))</x:f>
        <x:v>$50k-$75k</x:v>
      </x:c>
      <x:c r="P7782" t="str">
        <x:f>IF(E7782="","Unknown",IF(E7782&lt;10,"&lt;10",IF(E7782&lt;20,"10-&lt;20",IF(E7782&lt;25,"20-&lt;25",IF(E7782&lt;35,"25-&lt;35","35+")))))</x:f>
        <x:v>10-&lt;20</x:v>
      </x:c>
    </x:row>
    <x:row r="7783">
      <x:c r="A7783" t="str">
        <x:v>SYN0007782</x:v>
      </x:c>
      <x:c r="B7783" s="12" t="n">
        <x:v>43345</x:v>
      </x:c>
      <x:c r="C7783" s="18" t="n">
        <x:v>5062</x:v>
      </x:c>
      <x:c r="D7783" s="18" t="n">
        <x:v>70371</x:v>
      </x:c>
      <x:c r="E7783" s="18" t="n">
        <x:v>30.94</x:v>
      </x:c>
      <x:c r="F7783" s="18" t="n">
        <x:v>17.42</x:v>
      </x:c>
      <x:c r="G7783" t="n">
        <x:v>36</x:v>
      </x:c>
      <x:c r="H7783" t="str">
        <x:v>E</x:v>
      </x:c>
      <x:c r="I7783" t="str">
        <x:v>1-3 years</x:v>
      </x:c>
      <x:c r="J7783" t="str">
        <x:v>RENT</x:v>
      </x:c>
      <x:c r="K7783" t="str">
        <x:v>major_purchase</x:v>
      </x:c>
      <x:c r="L7783" t="n">
        <x:v>0</x:v>
      </x:c>
      <x:c r="M7783" t="n">
        <x:v>0</x:v>
      </x:c>
      <x:c r="N7783" t="str">
        <x:v>Fully Paid</x:v>
      </x:c>
      <x:c r="O7783" t="str">
        <x:f>IF(D7783="","Unknown",IF(D7783&lt;25000,"&lt;$25k",IF(D7783&lt;50000,"$25k-$50k",IF(D7783&lt;75000,"$50k-$75k",IF(D7783&lt;100000,"$75k-$100k","$100k+")))))</x:f>
        <x:v>$50k-$75k</x:v>
      </x:c>
      <x:c r="P7783" t="str">
        <x:f>IF(E7783="","Unknown",IF(E7783&lt;10,"&lt;10",IF(E7783&lt;20,"10-&lt;20",IF(E7783&lt;25,"20-&lt;25",IF(E7783&lt;35,"25-&lt;35","35+")))))</x:f>
        <x:v>25-&lt;35</x:v>
      </x:c>
    </x:row>
    <x:row r="7784">
      <x:c r="A7784" t="str">
        <x:v>SYN0007783</x:v>
      </x:c>
      <x:c r="B7784" s="12" t="n">
        <x:v>43045</x:v>
      </x:c>
      <x:c r="C7784" s="18" t="n">
        <x:v>35736</x:v>
      </x:c>
      <x:c r="D7784" s="18" t="n">
        <x:v>68580</x:v>
      </x:c>
      <x:c r="E7784" s="18" t="n">
        <x:v>25.98</x:v>
      </x:c>
      <x:c r="F7784" s="18" t="n">
        <x:v>21.15</x:v>
      </x:c>
      <x:c r="G7784" t="n">
        <x:v>36</x:v>
      </x:c>
      <x:c r="H7784" t="str">
        <x:v>F</x:v>
      </x:c>
      <x:c r="I7784" t="str">
        <x:v>4-6 years</x:v>
      </x:c>
      <x:c r="J7784" t="str">
        <x:v>MORTGAGE</x:v>
      </x:c>
      <x:c r="K7784" t="str">
        <x:v>debt_consolidation</x:v>
      </x:c>
      <x:c r="L7784" t="n">
        <x:v>2</x:v>
      </x:c>
      <x:c r="M7784" t="n">
        <x:v>0</x:v>
      </x:c>
      <x:c r="N7784" t="str">
        <x:v>Fully Paid</x:v>
      </x:c>
      <x:c r="O7784" t="str">
        <x:f>IF(D7784="","Unknown",IF(D7784&lt;25000,"&lt;$25k",IF(D7784&lt;50000,"$25k-$50k",IF(D7784&lt;75000,"$50k-$75k",IF(D7784&lt;100000,"$75k-$100k","$100k+")))))</x:f>
        <x:v>$50k-$75k</x:v>
      </x:c>
      <x:c r="P7784" t="str">
        <x:f>IF(E7784="","Unknown",IF(E7784&lt;10,"&lt;10",IF(E7784&lt;20,"10-&lt;20",IF(E7784&lt;25,"20-&lt;25",IF(E7784&lt;35,"25-&lt;35","35+")))))</x:f>
        <x:v>25-&lt;35</x:v>
      </x:c>
    </x:row>
    <x:row r="7785">
      <x:c r="A7785" t="str">
        <x:v>SYN0007784</x:v>
      </x:c>
      <x:c r="B7785" s="12" t="n">
        <x:v>41845</x:v>
      </x:c>
      <x:c r="C7785" s="18" t="n">
        <x:v>15010</x:v>
      </x:c>
      <x:c r="D7785" s="18" t="n">
        <x:v>47888</x:v>
      </x:c>
      <x:c r="E7785" s="18" t="n">
        <x:v>11.49</x:v>
      </x:c>
      <x:c r="F7785" s="18" t="n">
        <x:v>9.66</x:v>
      </x:c>
      <x:c r="G7785" t="n">
        <x:v>36</x:v>
      </x:c>
      <x:c r="H7785" t="str">
        <x:v>A</x:v>
      </x:c>
      <x:c r="I7785" t="str">
        <x:v>1-3 years</x:v>
      </x:c>
      <x:c r="J7785" t="str">
        <x:v>RENT</x:v>
      </x:c>
      <x:c r="K7785" t="str">
        <x:v>debt_consolidation</x:v>
      </x:c>
      <x:c r="L7785" t="n">
        <x:v>0</x:v>
      </x:c>
      <x:c r="M7785" t="n">
        <x:v>0</x:v>
      </x:c>
      <x:c r="N7785" t="str">
        <x:v>Fully Paid</x:v>
      </x:c>
      <x:c r="O7785" t="str">
        <x:f>IF(D7785="","Unknown",IF(D7785&lt;25000,"&lt;$25k",IF(D7785&lt;50000,"$25k-$50k",IF(D7785&lt;75000,"$50k-$75k",IF(D7785&lt;100000,"$75k-$100k","$100k+")))))</x:f>
        <x:v>$25k-$50k</x:v>
      </x:c>
      <x:c r="P7785" t="str">
        <x:f>IF(E7785="","Unknown",IF(E7785&lt;10,"&lt;10",IF(E7785&lt;20,"10-&lt;20",IF(E7785&lt;25,"20-&lt;25",IF(E7785&lt;35,"25-&lt;35","35+")))))</x:f>
        <x:v>10-&lt;20</x:v>
      </x:c>
    </x:row>
    <x:row r="7786">
      <x:c r="A7786" t="str">
        <x:v>SYN0007785</x:v>
      </x:c>
      <x:c r="B7786" s="12" t="n">
        <x:v>43105</x:v>
      </x:c>
      <x:c r="C7786" s="18" t="n">
        <x:v>37278</x:v>
      </x:c>
      <x:c r="D7786" s="18" t="n">
        <x:v>22743</x:v>
      </x:c>
      <x:c r="E7786" s="18" t="n">
        <x:v>27.21</x:v>
      </x:c>
      <x:c r="F7786" s="18" t="n">
        <x:v>22.16</x:v>
      </x:c>
      <x:c r="G7786" t="n">
        <x:v>36</x:v>
      </x:c>
      <x:c r="H7786" t="str">
        <x:v>F</x:v>
      </x:c>
      <x:c r="I7786" t="str">
        <x:v>1-3 years</x:v>
      </x:c>
      <x:c r="J7786" t="str">
        <x:v>RENT</x:v>
      </x:c>
      <x:c r="K7786" t="str">
        <x:v>medical</x:v>
      </x:c>
      <x:c r="L7786" t="n">
        <x:v>0</x:v>
      </x:c>
      <x:c r="M7786" t="n">
        <x:v>0</x:v>
      </x:c>
      <x:c r="N7786" t="str">
        <x:v>Fully Paid</x:v>
      </x:c>
      <x:c r="O7786" t="str">
        <x:f>IF(D7786="","Unknown",IF(D7786&lt;25000,"&lt;$25k",IF(D7786&lt;50000,"$25k-$50k",IF(D7786&lt;75000,"$50k-$75k",IF(D7786&lt;100000,"$75k-$100k","$100k+")))))</x:f>
        <x:v>&lt;$25k</x:v>
      </x:c>
      <x:c r="P7786" t="str">
        <x:f>IF(E7786="","Unknown",IF(E7786&lt;10,"&lt;10",IF(E7786&lt;20,"10-&lt;20",IF(E7786&lt;25,"20-&lt;25",IF(E7786&lt;35,"25-&lt;35","35+")))))</x:f>
        <x:v>25-&lt;35</x:v>
      </x:c>
    </x:row>
    <x:row r="7787">
      <x:c r="A7787" t="str">
        <x:v>SYN0007786</x:v>
      </x:c>
      <x:c r="B7787" s="12" t="n">
        <x:v>43375</x:v>
      </x:c>
      <x:c r="C7787" s="18" t="n">
        <x:v>21533</x:v>
      </x:c>
      <x:c r="D7787" s="18" t="n">
        <x:v>27639</x:v>
      </x:c>
      <x:c r="E7787" s="18" t="n">
        <x:v>20.54</x:v>
      </x:c>
      <x:c r="F7787" s="18" t="n">
        <x:v>11.39</x:v>
      </x:c>
      <x:c r="G7787" t="n">
        <x:v>36</x:v>
      </x:c>
      <x:c r="H7787" t="str">
        <x:v>C</x:v>
      </x:c>
      <x:c r="I7787" t="str">
        <x:v>10+ years</x:v>
      </x:c>
      <x:c r="J7787" t="str">
        <x:v>OWN</x:v>
      </x:c>
      <x:c r="K7787" t="str">
        <x:v>major_purchase</x:v>
      </x:c>
      <x:c r="L7787" t="n">
        <x:v>0</x:v>
      </x:c>
      <x:c r="M7787" t="n">
        <x:v>0</x:v>
      </x:c>
      <x:c r="N7787" t="str">
        <x:v>Fully Paid</x:v>
      </x:c>
      <x:c r="O7787" t="str">
        <x:f>IF(D7787="","Unknown",IF(D7787&lt;25000,"&lt;$25k",IF(D7787&lt;50000,"$25k-$50k",IF(D7787&lt;75000,"$50k-$75k",IF(D7787&lt;100000,"$75k-$100k","$100k+")))))</x:f>
        <x:v>$25k-$50k</x:v>
      </x:c>
      <x:c r="P7787" t="str">
        <x:f>IF(E7787="","Unknown",IF(E7787&lt;10,"&lt;10",IF(E7787&lt;20,"10-&lt;20",IF(E7787&lt;25,"20-&lt;25",IF(E7787&lt;35,"25-&lt;35","35+")))))</x:f>
        <x:v>20-&lt;25</x:v>
      </x:c>
    </x:row>
    <x:row r="7788">
      <x:c r="A7788" t="str">
        <x:v>SYN0007787</x:v>
      </x:c>
      <x:c r="B7788" s="12" t="n">
        <x:v>43405</x:v>
      </x:c>
      <x:c r="C7788" s="18" t="n">
        <x:v>12522</x:v>
      </x:c>
      <x:c r="D7788" s="18" t="n">
        <x:v>25646</x:v>
      </x:c>
      <x:c r="E7788" s="18" t="n">
        <x:v>9.44</x:v>
      </x:c>
      <x:c r="F7788" s="18" t="n">
        <x:v>30.22</x:v>
      </x:c>
      <x:c r="G7788" t="n">
        <x:v>60</x:v>
      </x:c>
      <x:c r="H7788" t="str">
        <x:v>G</x:v>
      </x:c>
      <x:c r="I7788" t="str">
        <x:v>10+ years</x:v>
      </x:c>
      <x:c r="J7788" t="str">
        <x:v>RENT</x:v>
      </x:c>
      <x:c r="K7788" t="str">
        <x:v>debt_consolidation</x:v>
      </x:c>
      <x:c r="L7788" t="n">
        <x:v>0</x:v>
      </x:c>
      <x:c r="M7788" t="n">
        <x:v>1</x:v>
      </x:c>
      <x:c r="N7788" t="str">
        <x:v>Charged Off</x:v>
      </x:c>
      <x:c r="O7788" t="str">
        <x:f>IF(D7788="","Unknown",IF(D7788&lt;25000,"&lt;$25k",IF(D7788&lt;50000,"$25k-$50k",IF(D7788&lt;75000,"$50k-$75k",IF(D7788&lt;100000,"$75k-$100k","$100k+")))))</x:f>
        <x:v>$25k-$50k</x:v>
      </x:c>
      <x:c r="P7788" t="str">
        <x:f>IF(E7788="","Unknown",IF(E7788&lt;10,"&lt;10",IF(E7788&lt;20,"10-&lt;20",IF(E7788&lt;25,"20-&lt;25",IF(E7788&lt;35,"25-&lt;35","35+")))))</x:f>
        <x:v>&lt;10</x:v>
      </x:c>
    </x:row>
    <x:row r="7789">
      <x:c r="A7789" t="str">
        <x:v>SYN0007788</x:v>
      </x:c>
      <x:c r="B7789" s="12" t="n">
        <x:v>42205</x:v>
      </x:c>
      <x:c r="C7789" s="18" t="n">
        <x:v>24721</x:v>
      </x:c>
      <x:c r="D7789" s="18" t="n">
        <x:v>31350</x:v>
      </x:c>
      <x:c r="E7789" s="18" t="n">
        <x:v>13.8</x:v>
      </x:c>
      <x:c r="F7789" s="18" t="n">
        <x:v>8.88</x:v>
      </x:c>
      <x:c r="G7789" t="n">
        <x:v>60</x:v>
      </x:c>
      <x:c r="H7789" t="str">
        <x:v>B</x:v>
      </x:c>
      <x:c r="I7789" t="str">
        <x:v>&lt;1 year</x:v>
      </x:c>
      <x:c r="J7789" t="str">
        <x:v>RENT</x:v>
      </x:c>
      <x:c r="K7789" t="str">
        <x:v>medical</x:v>
      </x:c>
      <x:c r="L7789" t="n">
        <x:v>1</x:v>
      </x:c>
      <x:c r="M7789" t="n">
        <x:v>0</x:v>
      </x:c>
      <x:c r="N7789" t="str">
        <x:v>Fully Paid</x:v>
      </x:c>
      <x:c r="O7789" t="str">
        <x:f>IF(D7789="","Unknown",IF(D7789&lt;25000,"&lt;$25k",IF(D7789&lt;50000,"$25k-$50k",IF(D7789&lt;75000,"$50k-$75k",IF(D7789&lt;100000,"$75k-$100k","$100k+")))))</x:f>
        <x:v>$25k-$50k</x:v>
      </x:c>
      <x:c r="P7789" t="str">
        <x:f>IF(E7789="","Unknown",IF(E7789&lt;10,"&lt;10",IF(E7789&lt;20,"10-&lt;20",IF(E7789&lt;25,"20-&lt;25",IF(E7789&lt;35,"25-&lt;35","35+")))))</x:f>
        <x:v>10-&lt;20</x:v>
      </x:c>
    </x:row>
    <x:row r="7790">
      <x:c r="A7790" t="str">
        <x:v>SYN0007789</x:v>
      </x:c>
      <x:c r="B7790" s="12" t="n">
        <x:v>43195</x:v>
      </x:c>
      <x:c r="C7790" s="18" t="n">
        <x:v>21706</x:v>
      </x:c>
      <x:c r="D7790" s="18" t="n">
        <x:v>21369</x:v>
      </x:c>
      <x:c r="E7790" s="18" t="n">
        <x:v>25.28</x:v>
      </x:c>
      <x:c r="F7790" s="18" t="n">
        <x:v>8.2</x:v>
      </x:c>
      <x:c r="G7790" t="n">
        <x:v>60</x:v>
      </x:c>
      <x:c r="H7790" t="str">
        <x:v>A</x:v>
      </x:c>
      <x:c r="I7790" t="str">
        <x:v>10+ years</x:v>
      </x:c>
      <x:c r="J7790" t="str">
        <x:v>MORTGAGE</x:v>
      </x:c>
      <x:c r="K7790" t="str">
        <x:v>credit_card</x:v>
      </x:c>
      <x:c r="L7790" t="n">
        <x:v>1</x:v>
      </x:c>
      <x:c r="M7790" t="n">
        <x:v>0</x:v>
      </x:c>
      <x:c r="N7790" t="str">
        <x:v>Fully Paid</x:v>
      </x:c>
      <x:c r="O7790" t="str">
        <x:f>IF(D7790="","Unknown",IF(D7790&lt;25000,"&lt;$25k",IF(D7790&lt;50000,"$25k-$50k",IF(D7790&lt;75000,"$50k-$75k",IF(D7790&lt;100000,"$75k-$100k","$100k+")))))</x:f>
        <x:v>&lt;$25k</x:v>
      </x:c>
      <x:c r="P7790" t="str">
        <x:f>IF(E7790="","Unknown",IF(E7790&lt;10,"&lt;10",IF(E7790&lt;20,"10-&lt;20",IF(E7790&lt;25,"20-&lt;25",IF(E7790&lt;35,"25-&lt;35","35+")))))</x:f>
        <x:v>25-&lt;35</x:v>
      </x:c>
    </x:row>
    <x:row r="7791">
      <x:c r="A7791" t="str">
        <x:v>SYN0007790</x:v>
      </x:c>
      <x:c r="B7791" s="12" t="n">
        <x:v>41815</x:v>
      </x:c>
      <x:c r="C7791" s="18" t="n">
        <x:v>13236</x:v>
      </x:c>
      <x:c r="D7791" s="18" t="n">
        <x:v>60305</x:v>
      </x:c>
      <x:c r="E7791" s="18" t="n">
        <x:v>11.08</x:v>
      </x:c>
      <x:c r="F7791" s="18" t="n">
        <x:v>8.78</x:v>
      </x:c>
      <x:c r="G7791" t="n">
        <x:v>60</x:v>
      </x:c>
      <x:c r="H7791" t="str">
        <x:v>C</x:v>
      </x:c>
      <x:c r="I7791" t="str">
        <x:v>10+ years</x:v>
      </x:c>
      <x:c r="J7791" t="str">
        <x:v>OWN</x:v>
      </x:c>
      <x:c r="K7791" t="str">
        <x:v>home_improvement</x:v>
      </x:c>
      <x:c r="L7791" t="n">
        <x:v>1</x:v>
      </x:c>
      <x:c r="M7791" t="n">
        <x:v>0</x:v>
      </x:c>
      <x:c r="N7791" t="str">
        <x:v>Fully Paid</x:v>
      </x:c>
      <x:c r="O7791" t="str">
        <x:f>IF(D7791="","Unknown",IF(D7791&lt;25000,"&lt;$25k",IF(D7791&lt;50000,"$25k-$50k",IF(D7791&lt;75000,"$50k-$75k",IF(D7791&lt;100000,"$75k-$100k","$100k+")))))</x:f>
        <x:v>$50k-$75k</x:v>
      </x:c>
      <x:c r="P7791" t="str">
        <x:f>IF(E7791="","Unknown",IF(E7791&lt;10,"&lt;10",IF(E7791&lt;20,"10-&lt;20",IF(E7791&lt;25,"20-&lt;25",IF(E7791&lt;35,"25-&lt;35","35+")))))</x:f>
        <x:v>10-&lt;20</x:v>
      </x:c>
    </x:row>
    <x:row r="7792">
      <x:c r="A7792" t="str">
        <x:v>SYN0007791</x:v>
      </x:c>
      <x:c r="B7792" s="12" t="n">
        <x:v>43165</x:v>
      </x:c>
      <x:c r="C7792" s="18" t="n">
        <x:v>5760</x:v>
      </x:c>
      <x:c r="D7792" s="18" t="n">
        <x:v>55473</x:v>
      </x:c>
      <x:c r="E7792" s="18" t="n">
        <x:v>16.42</x:v>
      </x:c>
      <x:c r="F7792" s="18" t="n">
        <x:v>8.64</x:v>
      </x:c>
      <x:c r="G7792" t="n">
        <x:v>36</x:v>
      </x:c>
      <x:c r="H7792" t="str">
        <x:v>B</x:v>
      </x:c>
      <x:c r="I7792" t="str">
        <x:v>4-6 years</x:v>
      </x:c>
      <x:c r="J7792" t="str">
        <x:v>RENT</x:v>
      </x:c>
      <x:c r="K7792" t="str">
        <x:v>debt_consolidation</x:v>
      </x:c>
      <x:c r="L7792" t="n">
        <x:v>0</x:v>
      </x:c>
      <x:c r="M7792" t="n">
        <x:v>1</x:v>
      </x:c>
      <x:c r="N7792" t="str">
        <x:v>Charged Off</x:v>
      </x:c>
      <x:c r="O7792" t="str">
        <x:f>IF(D7792="","Unknown",IF(D7792&lt;25000,"&lt;$25k",IF(D7792&lt;50000,"$25k-$50k",IF(D7792&lt;75000,"$50k-$75k",IF(D7792&lt;100000,"$75k-$100k","$100k+")))))</x:f>
        <x:v>$50k-$75k</x:v>
      </x:c>
      <x:c r="P7792" t="str">
        <x:f>IF(E7792="","Unknown",IF(E7792&lt;10,"&lt;10",IF(E7792&lt;20,"10-&lt;20",IF(E7792&lt;25,"20-&lt;25",IF(E7792&lt;35,"25-&lt;35","35+")))))</x:f>
        <x:v>10-&lt;20</x:v>
      </x:c>
    </x:row>
    <x:row r="7793">
      <x:c r="A7793" t="str">
        <x:v>SYN0007792</x:v>
      </x:c>
      <x:c r="B7793" s="12" t="n">
        <x:v>41425</x:v>
      </x:c>
      <x:c r="C7793" s="18" t="n">
        <x:v>14020</x:v>
      </x:c>
      <x:c r="D7793" s="18" t="n">
        <x:v>50200</x:v>
      </x:c>
      <x:c r="E7793" s="18" t="n">
        <x:v>16.5</x:v>
      </x:c>
      <x:c r="F7793" s="18" t="n">
        <x:v>14.53</x:v>
      </x:c>
      <x:c r="G7793" t="n">
        <x:v>36</x:v>
      </x:c>
      <x:c r="H7793" t="str">
        <x:v>D</x:v>
      </x:c>
      <x:c r="I7793" t="str">
        <x:v>1-3 years</x:v>
      </x:c>
      <x:c r="J7793" t="str">
        <x:v>MORTGAGE</x:v>
      </x:c>
      <x:c r="K7793" t="str">
        <x:v>debt_consolidation</x:v>
      </x:c>
      <x:c r="L7793" t="n">
        <x:v>0</x:v>
      </x:c>
      <x:c r="M7793" t="n">
        <x:v>0</x:v>
      </x:c>
      <x:c r="N7793" t="str">
        <x:v>Fully Paid</x:v>
      </x:c>
      <x:c r="O7793" t="str">
        <x:f>IF(D7793="","Unknown",IF(D7793&lt;25000,"&lt;$25k",IF(D7793&lt;50000,"$25k-$50k",IF(D7793&lt;75000,"$50k-$75k",IF(D7793&lt;100000,"$75k-$100k","$100k+")))))</x:f>
        <x:v>$50k-$75k</x:v>
      </x:c>
      <x:c r="P7793" t="str">
        <x:f>IF(E7793="","Unknown",IF(E7793&lt;10,"&lt;10",IF(E7793&lt;20,"10-&lt;20",IF(E7793&lt;25,"20-&lt;25",IF(E7793&lt;35,"25-&lt;35","35+")))))</x:f>
        <x:v>10-&lt;20</x:v>
      </x:c>
    </x:row>
    <x:row r="7794">
      <x:c r="A7794" t="str">
        <x:v>SYN0007793</x:v>
      </x:c>
      <x:c r="B7794" s="12" t="n">
        <x:v>42745</x:v>
      </x:c>
      <x:c r="C7794" s="18" t="n">
        <x:v>6414</x:v>
      </x:c>
      <x:c r="D7794" s="18" t="n">
        <x:v>55782</x:v>
      </x:c>
      <x:c r="E7794" s="18" t="n">
        <x:v>19.03</x:v>
      </x:c>
      <x:c r="F7794" s="18" t="n">
        <x:v>8.04</x:v>
      </x:c>
      <x:c r="G7794" t="n">
        <x:v>60</x:v>
      </x:c>
      <x:c r="H7794" t="str">
        <x:v>A</x:v>
      </x:c>
      <x:c r="I7794" t="str">
        <x:v>10+ years</x:v>
      </x:c>
      <x:c r="J7794" t="str">
        <x:v>MORTGAGE</x:v>
      </x:c>
      <x:c r="K7794" t="str">
        <x:v>debt_consolidation</x:v>
      </x:c>
      <x:c r="L7794" t="n">
        <x:v>0</x:v>
      </x:c>
      <x:c r="M7794" t="n">
        <x:v>0</x:v>
      </x:c>
      <x:c r="N7794" t="str">
        <x:v>Fully Paid</x:v>
      </x:c>
      <x:c r="O7794" t="str">
        <x:f>IF(D7794="","Unknown",IF(D7794&lt;25000,"&lt;$25k",IF(D7794&lt;50000,"$25k-$50k",IF(D7794&lt;75000,"$50k-$75k",IF(D7794&lt;100000,"$75k-$100k","$100k+")))))</x:f>
        <x:v>$50k-$75k</x:v>
      </x:c>
      <x:c r="P7794" t="str">
        <x:f>IF(E7794="","Unknown",IF(E7794&lt;10,"&lt;10",IF(E7794&lt;20,"10-&lt;20",IF(E7794&lt;25,"20-&lt;25",IF(E7794&lt;35,"25-&lt;35","35+")))))</x:f>
        <x:v>10-&lt;20</x:v>
      </x:c>
    </x:row>
    <x:row r="7795">
      <x:c r="A7795" t="str">
        <x:v>SYN0007794</x:v>
      </x:c>
      <x:c r="B7795" s="12" t="n">
        <x:v>42115</x:v>
      </x:c>
      <x:c r="C7795" s="18" t="n">
        <x:v>28928</x:v>
      </x:c>
      <x:c r="D7795" s="18" t="n">
        <x:v>87816</x:v>
      </x:c>
      <x:c r="E7795" s="18" t="n">
        <x:v>20.57</x:v>
      </x:c>
      <x:c r="F7795" s="18" t="n">
        <x:v>14.72</x:v>
      </x:c>
      <x:c r="G7795" t="n">
        <x:v>36</x:v>
      </x:c>
      <x:c r="H7795" t="str">
        <x:v>D</x:v>
      </x:c>
      <x:c r="I7795" t="str">
        <x:v>1-3 years</x:v>
      </x:c>
      <x:c r="J7795" t="str">
        <x:v>RENT</x:v>
      </x:c>
      <x:c r="K7795" t="str">
        <x:v>debt_consolidation</x:v>
      </x:c>
      <x:c r="L7795" t="n">
        <x:v>1</x:v>
      </x:c>
      <x:c r="M7795" t="n">
        <x:v>0</x:v>
      </x:c>
      <x:c r="N7795" t="str">
        <x:v>Fully Paid</x:v>
      </x:c>
      <x:c r="O7795" t="str">
        <x:f>IF(D7795="","Unknown",IF(D7795&lt;25000,"&lt;$25k",IF(D7795&lt;50000,"$25k-$50k",IF(D7795&lt;75000,"$50k-$75k",IF(D7795&lt;100000,"$75k-$100k","$100k+")))))</x:f>
        <x:v>$75k-$100k</x:v>
      </x:c>
      <x:c r="P7795" t="str">
        <x:f>IF(E7795="","Unknown",IF(E7795&lt;10,"&lt;10",IF(E7795&lt;20,"10-&lt;20",IF(E7795&lt;25,"20-&lt;25",IF(E7795&lt;35,"25-&lt;35","35+")))))</x:f>
        <x:v>20-&lt;25</x:v>
      </x:c>
    </x:row>
    <x:row r="7796">
      <x:c r="A7796" t="str">
        <x:v>SYN0007795</x:v>
      </x:c>
      <x:c r="B7796" s="12" t="n">
        <x:v>41815</x:v>
      </x:c>
      <x:c r="C7796" s="18" t="n">
        <x:v>40000</x:v>
      </x:c>
      <x:c r="D7796" s="18" t="n">
        <x:v>79605</x:v>
      </x:c>
      <x:c r="E7796" s="18" t="n">
        <x:v>18.61</x:v>
      </x:c>
      <x:c r="F7796" s="18" t="n">
        <x:v>5.52</x:v>
      </x:c>
      <x:c r="G7796" t="n">
        <x:v>36</x:v>
      </x:c>
      <x:c r="H7796" t="str">
        <x:v>A</x:v>
      </x:c>
      <x:c r="I7796" t="str">
        <x:v>10+ years</x:v>
      </x:c>
      <x:c r="J7796" t="str">
        <x:v>RENT</x:v>
      </x:c>
      <x:c r="K7796" t="str">
        <x:v>debt_consolidation</x:v>
      </x:c>
      <x:c r="L7796" t="n">
        <x:v>0</x:v>
      </x:c>
      <x:c r="M7796" t="n">
        <x:v>0</x:v>
      </x:c>
      <x:c r="N7796" t="str">
        <x:v>Fully Paid</x:v>
      </x:c>
      <x:c r="O7796" t="str">
        <x:f>IF(D7796="","Unknown",IF(D7796&lt;25000,"&lt;$25k",IF(D7796&lt;50000,"$25k-$50k",IF(D7796&lt;75000,"$50k-$75k",IF(D7796&lt;100000,"$75k-$100k","$100k+")))))</x:f>
        <x:v>$75k-$100k</x:v>
      </x:c>
      <x:c r="P7796" t="str">
        <x:f>IF(E7796="","Unknown",IF(E7796&lt;10,"&lt;10",IF(E7796&lt;20,"10-&lt;20",IF(E7796&lt;25,"20-&lt;25",IF(E7796&lt;35,"25-&lt;35","35+")))))</x:f>
        <x:v>10-&lt;20</x:v>
      </x:c>
    </x:row>
    <x:row r="7797">
      <x:c r="A7797" t="str">
        <x:v>SYN0007796</x:v>
      </x:c>
      <x:c r="B7797" s="12" t="n">
        <x:v>42595</x:v>
      </x:c>
      <x:c r="C7797" s="18" t="n">
        <x:v>5346</x:v>
      </x:c>
      <x:c r="D7797" s="18" t="n">
        <x:v>127841</x:v>
      </x:c>
      <x:c r="E7797" s="18" t="n">
        <x:v>11.2</x:v>
      </x:c>
      <x:c r="F7797" s="18" t="n">
        <x:v>8.04</x:v>
      </x:c>
      <x:c r="G7797" t="n">
        <x:v>36</x:v>
      </x:c>
      <x:c r="H7797" t="str">
        <x:v>B</x:v>
      </x:c>
      <x:c r="I7797" t="str">
        <x:v>4-6 years</x:v>
      </x:c>
      <x:c r="J7797" t="str">
        <x:v>MORTGAGE</x:v>
      </x:c>
      <x:c r="K7797" t="str">
        <x:v>debt_consolidation</x:v>
      </x:c>
      <x:c r="L7797" t="n">
        <x:v>0</x:v>
      </x:c>
      <x:c r="M7797" t="n">
        <x:v>0</x:v>
      </x:c>
      <x:c r="N7797" t="str">
        <x:v>Fully Paid</x:v>
      </x:c>
      <x:c r="O7797" t="str">
        <x:f>IF(D7797="","Unknown",IF(D7797&lt;25000,"&lt;$25k",IF(D7797&lt;50000,"$25k-$50k",IF(D7797&lt;75000,"$50k-$75k",IF(D7797&lt;100000,"$75k-$100k","$100k+")))))</x:f>
        <x:v>$100k+</x:v>
      </x:c>
      <x:c r="P7797" t="str">
        <x:f>IF(E7797="","Unknown",IF(E7797&lt;10,"&lt;10",IF(E7797&lt;20,"10-&lt;20",IF(E7797&lt;25,"20-&lt;25",IF(E7797&lt;35,"25-&lt;35","35+")))))</x:f>
        <x:v>10-&lt;20</x:v>
      </x:c>
    </x:row>
    <x:row r="7798">
      <x:c r="A7798" t="str">
        <x:v>SYN0007797</x:v>
      </x:c>
      <x:c r="B7798" s="12" t="n">
        <x:v>43225</x:v>
      </x:c>
      <x:c r="C7798" s="18" t="n">
        <x:v>11722</x:v>
      </x:c>
      <x:c r="D7798" s="18" t="n">
        <x:v>12653</x:v>
      </x:c>
      <x:c r="E7798" s="18" t="n">
        <x:v>35.39</x:v>
      </x:c>
      <x:c r="F7798" s="18" t="n">
        <x:v>14.68</x:v>
      </x:c>
      <x:c r="G7798" t="n">
        <x:v>60</x:v>
      </x:c>
      <x:c r="H7798" t="str">
        <x:v>D</x:v>
      </x:c>
      <x:c r="I7798" t="str">
        <x:v>10+ years</x:v>
      </x:c>
      <x:c r="J7798" t="str">
        <x:v>MORTGAGE</x:v>
      </x:c>
      <x:c r="K7798" t="str">
        <x:v>debt_consolidation</x:v>
      </x:c>
      <x:c r="L7798" t="n">
        <x:v>0</x:v>
      </x:c>
      <x:c r="M7798" t="n">
        <x:v>0</x:v>
      </x:c>
      <x:c r="N7798" t="str">
        <x:v>Fully Paid</x:v>
      </x:c>
      <x:c r="O7798" t="str">
        <x:f>IF(D7798="","Unknown",IF(D7798&lt;25000,"&lt;$25k",IF(D7798&lt;50000,"$25k-$50k",IF(D7798&lt;75000,"$50k-$75k",IF(D7798&lt;100000,"$75k-$100k","$100k+")))))</x:f>
        <x:v>&lt;$25k</x:v>
      </x:c>
      <x:c r="P7798" t="str">
        <x:f>IF(E7798="","Unknown",IF(E7798&lt;10,"&lt;10",IF(E7798&lt;20,"10-&lt;20",IF(E7798&lt;25,"20-&lt;25",IF(E7798&lt;35,"25-&lt;35","35+")))))</x:f>
        <x:v>35+</x:v>
      </x:c>
    </x:row>
    <x:row r="7799">
      <x:c r="A7799" t="str">
        <x:v>SYN0007798</x:v>
      </x:c>
      <x:c r="B7799" s="12" t="n">
        <x:v>43195</x:v>
      </x:c>
      <x:c r="C7799" s="18" t="n">
        <x:v>17084</x:v>
      </x:c>
      <x:c r="D7799" s="18" t="n">
        <x:v>95073</x:v>
      </x:c>
      <x:c r="E7799" s="18" t="n">
        <x:v>34.65</x:v>
      </x:c>
      <x:c r="F7799" s="18" t="n">
        <x:v>15.18</x:v>
      </x:c>
      <x:c r="G7799" t="n">
        <x:v>60</x:v>
      </x:c>
      <x:c r="H7799" t="str">
        <x:v>D</x:v>
      </x:c>
      <x:c r="I7799" t="str">
        <x:v>&lt;1 year</x:v>
      </x:c>
      <x:c r="J7799" t="str">
        <x:v>RENT</x:v>
      </x:c>
      <x:c r="K7799" t="str">
        <x:v>credit_card</x:v>
      </x:c>
      <x:c r="L7799" t="n">
        <x:v>2</x:v>
      </x:c>
      <x:c r="M7799" t="n">
        <x:v>0</x:v>
      </x:c>
      <x:c r="N7799" t="str">
        <x:v>Fully Paid</x:v>
      </x:c>
      <x:c r="O7799" t="str">
        <x:f>IF(D7799="","Unknown",IF(D7799&lt;25000,"&lt;$25k",IF(D7799&lt;50000,"$25k-$50k",IF(D7799&lt;75000,"$50k-$75k",IF(D7799&lt;100000,"$75k-$100k","$100k+")))))</x:f>
        <x:v>$75k-$100k</x:v>
      </x:c>
      <x:c r="P7799" t="str">
        <x:f>IF(E7799="","Unknown",IF(E7799&lt;10,"&lt;10",IF(E7799&lt;20,"10-&lt;20",IF(E7799&lt;25,"20-&lt;25",IF(E7799&lt;35,"25-&lt;35","35+")))))</x:f>
        <x:v>25-&lt;35</x:v>
      </x:c>
    </x:row>
    <x:row r="7800">
      <x:c r="A7800" t="str">
        <x:v>SYN0007799</x:v>
      </x:c>
      <x:c r="B7800" s="12" t="n">
        <x:v>42175</x:v>
      </x:c>
      <x:c r="C7800" s="18" t="n">
        <x:v>14434</x:v>
      </x:c>
      <x:c r="D7800" s="18" t="n">
        <x:v>23146</x:v>
      </x:c>
      <x:c r="E7800" s="18" t="n">
        <x:v>28.34</x:v>
      </x:c>
      <x:c r="F7800" s="18" t="n">
        <x:v>21.72</x:v>
      </x:c>
      <x:c r="G7800" t="n">
        <x:v>60</x:v>
      </x:c>
      <x:c r="H7800" t="str">
        <x:v>F</x:v>
      </x:c>
      <x:c r="I7800" t="str">
        <x:v>10+ years</x:v>
      </x:c>
      <x:c r="J7800" t="str">
        <x:v>RENT</x:v>
      </x:c>
      <x:c r="K7800" t="str">
        <x:v>debt_consolidation</x:v>
      </x:c>
      <x:c r="L7800" t="n">
        <x:v>0</x:v>
      </x:c>
      <x:c r="M7800" t="n">
        <x:v>1</x:v>
      </x:c>
      <x:c r="N7800" t="str">
        <x:v>Charged Off</x:v>
      </x:c>
      <x:c r="O7800" t="str">
        <x:f>IF(D7800="","Unknown",IF(D7800&lt;25000,"&lt;$25k",IF(D7800&lt;50000,"$25k-$50k",IF(D7800&lt;75000,"$50k-$75k",IF(D7800&lt;100000,"$75k-$100k","$100k+")))))</x:f>
        <x:v>&lt;$25k</x:v>
      </x:c>
      <x:c r="P7800" t="str">
        <x:f>IF(E7800="","Unknown",IF(E7800&lt;10,"&lt;10",IF(E7800&lt;20,"10-&lt;20",IF(E7800&lt;25,"20-&lt;25",IF(E7800&lt;35,"25-&lt;35","35+")))))</x:f>
        <x:v>25-&lt;35</x:v>
      </x:c>
    </x:row>
    <x:row r="7801">
      <x:c r="A7801" t="str">
        <x:v>SYN0007800</x:v>
      </x:c>
      <x:c r="B7801" s="12" t="n">
        <x:v>41365</x:v>
      </x:c>
      <x:c r="C7801" s="18" t="n">
        <x:v>6536</x:v>
      </x:c>
      <x:c r="D7801" s="18" t="n">
        <x:v>40784</x:v>
      </x:c>
      <x:c r="E7801" s="18" t="n">
        <x:v>15.23</x:v>
      </x:c>
      <x:c r="F7801" s="18" t="n">
        <x:v>7.3</x:v>
      </x:c>
      <x:c r="G7801" t="n">
        <x:v>60</x:v>
      </x:c>
      <x:c r="H7801" t="str">
        <x:v>A</x:v>
      </x:c>
      <x:c r="I7801" t="str">
        <x:v>10+ years</x:v>
      </x:c>
      <x:c r="J7801" t="str">
        <x:v>RENT</x:v>
      </x:c>
      <x:c r="K7801" t="str">
        <x:v>credit_card</x:v>
      </x:c>
      <x:c r="L7801" t="n">
        <x:v>0</x:v>
      </x:c>
      <x:c r="M7801" t="n">
        <x:v>0</x:v>
      </x:c>
      <x:c r="N7801" t="str">
        <x:v>Fully Paid</x:v>
      </x:c>
      <x:c r="O7801" t="str">
        <x:f>IF(D7801="","Unknown",IF(D7801&lt;25000,"&lt;$25k",IF(D7801&lt;50000,"$25k-$50k",IF(D7801&lt;75000,"$50k-$75k",IF(D7801&lt;100000,"$75k-$100k","$100k+")))))</x:f>
        <x:v>$25k-$50k</x:v>
      </x:c>
      <x:c r="P7801" t="str">
        <x:f>IF(E7801="","Unknown",IF(E7801&lt;10,"&lt;10",IF(E7801&lt;20,"10-&lt;20",IF(E7801&lt;25,"20-&lt;25",IF(E7801&lt;35,"25-&lt;35","35+")))))</x:f>
        <x:v>10-&lt;20</x:v>
      </x:c>
    </x:row>
    <x:row r="7802">
      <x:c r="A7802" t="str">
        <x:v>SYN0007801</x:v>
      </x:c>
      <x:c r="B7802" s="12" t="n">
        <x:v>41305</x:v>
      </x:c>
      <x:c r="C7802" s="18" t="n">
        <x:v>6831</x:v>
      </x:c>
      <x:c r="D7802" s="18" t="n">
        <x:v>66431</x:v>
      </x:c>
      <x:c r="E7802" s="18" t="n">
        <x:v>20.68</x:v>
      </x:c>
      <x:c r="F7802" s="18" t="n">
        <x:v>7.38</x:v>
      </x:c>
      <x:c r="G7802" t="n">
        <x:v>36</x:v>
      </x:c>
      <x:c r="H7802" t="str">
        <x:v>A</x:v>
      </x:c>
      <x:c r="I7802" t="str">
        <x:v>1-3 years</x:v>
      </x:c>
      <x:c r="J7802" t="str">
        <x:v>MORTGAGE</x:v>
      </x:c>
      <x:c r="K7802" t="str">
        <x:v>major_purchase</x:v>
      </x:c>
      <x:c r="L7802" t="n">
        <x:v>0</x:v>
      </x:c>
      <x:c r="M7802" t="n">
        <x:v>0</x:v>
      </x:c>
      <x:c r="N7802" t="str">
        <x:v>Fully Paid</x:v>
      </x:c>
      <x:c r="O7802" t="str">
        <x:f>IF(D7802="","Unknown",IF(D7802&lt;25000,"&lt;$25k",IF(D7802&lt;50000,"$25k-$50k",IF(D7802&lt;75000,"$50k-$75k",IF(D7802&lt;100000,"$75k-$100k","$100k+")))))</x:f>
        <x:v>$50k-$75k</x:v>
      </x:c>
      <x:c r="P7802" t="str">
        <x:f>IF(E7802="","Unknown",IF(E7802&lt;10,"&lt;10",IF(E7802&lt;20,"10-&lt;20",IF(E7802&lt;25,"20-&lt;25",IF(E7802&lt;35,"25-&lt;35","35+")))))</x:f>
        <x:v>20-&lt;25</x:v>
      </x:c>
    </x:row>
    <x:row r="7803">
      <x:c r="A7803" t="str">
        <x:v>SYN0007802</x:v>
      </x:c>
      <x:c r="B7803" s="12" t="n">
        <x:v>42475</x:v>
      </x:c>
      <x:c r="C7803" s="18" t="n">
        <x:v>5728</x:v>
      </x:c>
      <x:c r="D7803" s="18" t="n">
        <x:v>59608</x:v>
      </x:c>
      <x:c r="E7803" s="18" t="n">
        <x:v>2.54</x:v>
      </x:c>
      <x:c r="F7803" s="18" t="n">
        <x:v>7.47</x:v>
      </x:c>
      <x:c r="G7803" t="n">
        <x:v>60</x:v>
      </x:c>
      <x:c r="H7803" t="str">
        <x:v>A</x:v>
      </x:c>
      <x:c r="I7803" t="str">
        <x:v>7-9 years</x:v>
      </x:c>
      <x:c r="J7803" t="str">
        <x:v>MORTGAGE</x:v>
      </x:c>
      <x:c r="K7803" t="str">
        <x:v>major_purchase</x:v>
      </x:c>
      <x:c r="L7803" t="n">
        <x:v>0</x:v>
      </x:c>
      <x:c r="M7803" t="n">
        <x:v>0</x:v>
      </x:c>
      <x:c r="N7803" t="str">
        <x:v>Fully Paid</x:v>
      </x:c>
      <x:c r="O7803" t="str">
        <x:f>IF(D7803="","Unknown",IF(D7803&lt;25000,"&lt;$25k",IF(D7803&lt;50000,"$25k-$50k",IF(D7803&lt;75000,"$50k-$75k",IF(D7803&lt;100000,"$75k-$100k","$100k+")))))</x:f>
        <x:v>$50k-$75k</x:v>
      </x:c>
      <x:c r="P7803" t="str">
        <x:f>IF(E7803="","Unknown",IF(E7803&lt;10,"&lt;10",IF(E7803&lt;20,"10-&lt;20",IF(E7803&lt;25,"20-&lt;25",IF(E7803&lt;35,"25-&lt;35","35+")))))</x:f>
        <x:v>&lt;10</x:v>
      </x:c>
    </x:row>
    <x:row r="7804">
      <x:c r="A7804" t="str">
        <x:v>SYN0007803</x:v>
      </x:c>
      <x:c r="B7804" s="12" t="n">
        <x:v>42565</x:v>
      </x:c>
      <x:c r="C7804" s="18" t="n">
        <x:v>14495</x:v>
      </x:c>
      <x:c r="D7804" s="18" t="n">
        <x:v>16900</x:v>
      </x:c>
      <x:c r="E7804" s="18" t="n">
        <x:v>18.73</x:v>
      </x:c>
      <x:c r="F7804" s="18" t="n">
        <x:v>6.92</x:v>
      </x:c>
      <x:c r="G7804" t="n">
        <x:v>36</x:v>
      </x:c>
      <x:c r="H7804" t="str">
        <x:v>B</x:v>
      </x:c>
      <x:c r="I7804" t="str">
        <x:v>10+ years</x:v>
      </x:c>
      <x:c r="J7804" t="str">
        <x:v>OWN</x:v>
      </x:c>
      <x:c r="K7804" t="str">
        <x:v>other</x:v>
      </x:c>
      <x:c r="L7804" t="n">
        <x:v>1</x:v>
      </x:c>
      <x:c r="M7804" t="n">
        <x:v>0</x:v>
      </x:c>
      <x:c r="N7804" t="str">
        <x:v>Fully Paid</x:v>
      </x:c>
      <x:c r="O7804" t="str">
        <x:f>IF(D7804="","Unknown",IF(D7804&lt;25000,"&lt;$25k",IF(D7804&lt;50000,"$25k-$50k",IF(D7804&lt;75000,"$50k-$75k",IF(D7804&lt;100000,"$75k-$100k","$100k+")))))</x:f>
        <x:v>&lt;$25k</x:v>
      </x:c>
      <x:c r="P7804" t="str">
        <x:f>IF(E7804="","Unknown",IF(E7804&lt;10,"&lt;10",IF(E7804&lt;20,"10-&lt;20",IF(E7804&lt;25,"20-&lt;25",IF(E7804&lt;35,"25-&lt;35","35+")))))</x:f>
        <x:v>10-&lt;20</x:v>
      </x:c>
    </x:row>
    <x:row r="7805">
      <x:c r="A7805" t="str">
        <x:v>SYN0007804</x:v>
      </x:c>
      <x:c r="B7805" s="12" t="n">
        <x:v>42835</x:v>
      </x:c>
      <x:c r="C7805" s="18" t="n">
        <x:v>10247</x:v>
      </x:c>
      <x:c r="D7805" s="18" t="n">
        <x:v>112566</x:v>
      </x:c>
      <x:c r="E7805" s="18" t="n">
        <x:v>27.63</x:v>
      </x:c>
      <x:c r="F7805" s="18" t="n">
        <x:v>27.8</x:v>
      </x:c>
      <x:c r="G7805" t="n">
        <x:v>60</x:v>
      </x:c>
      <x:c r="H7805" t="str">
        <x:v>G</x:v>
      </x:c>
      <x:c r="I7805" t="str">
        <x:v>4-6 years</x:v>
      </x:c>
      <x:c r="J7805" t="str">
        <x:v>RENT</x:v>
      </x:c>
      <x:c r="K7805" t="str">
        <x:v>debt_consolidation</x:v>
      </x:c>
      <x:c r="L7805" t="n">
        <x:v>1</x:v>
      </x:c>
      <x:c r="M7805" t="n">
        <x:v>0</x:v>
      </x:c>
      <x:c r="N7805" t="str">
        <x:v>Fully Paid</x:v>
      </x:c>
      <x:c r="O7805" t="str">
        <x:f>IF(D7805="","Unknown",IF(D7805&lt;25000,"&lt;$25k",IF(D7805&lt;50000,"$25k-$50k",IF(D7805&lt;75000,"$50k-$75k",IF(D7805&lt;100000,"$75k-$100k","$100k+")))))</x:f>
        <x:v>$100k+</x:v>
      </x:c>
      <x:c r="P7805" t="str">
        <x:f>IF(E7805="","Unknown",IF(E7805&lt;10,"&lt;10",IF(E7805&lt;20,"10-&lt;20",IF(E7805&lt;25,"20-&lt;25",IF(E7805&lt;35,"25-&lt;35","35+")))))</x:f>
        <x:v>25-&lt;35</x:v>
      </x:c>
    </x:row>
    <x:row r="7806">
      <x:c r="A7806" t="str">
        <x:v>SYN0007805</x:v>
      </x:c>
      <x:c r="B7806" s="12" t="n">
        <x:v>42475</x:v>
      </x:c>
      <x:c r="C7806" s="18" t="n">
        <x:v>14038</x:v>
      </x:c>
      <x:c r="D7806" s="18" t="n">
        <x:v>80889</x:v>
      </x:c>
      <x:c r="E7806" s="18" t="n">
        <x:v>25.43</x:v>
      </x:c>
      <x:c r="F7806" s="18" t="n">
        <x:v>22.45</x:v>
      </x:c>
      <x:c r="G7806" t="n">
        <x:v>36</x:v>
      </x:c>
      <x:c r="H7806" t="str">
        <x:v>F</x:v>
      </x:c>
      <x:c r="I7806" t="str">
        <x:v>4-6 years</x:v>
      </x:c>
      <x:c r="J7806" t="str">
        <x:v>MORTGAGE</x:v>
      </x:c>
      <x:c r="K7806" t="str">
        <x:v>debt_consolidation</x:v>
      </x:c>
      <x:c r="L7806" t="n">
        <x:v>1</x:v>
      </x:c>
      <x:c r="M7806" t="n">
        <x:v>1</x:v>
      </x:c>
      <x:c r="N7806" t="str">
        <x:v>Charged Off</x:v>
      </x:c>
      <x:c r="O7806" t="str">
        <x:f>IF(D7806="","Unknown",IF(D7806&lt;25000,"&lt;$25k",IF(D7806&lt;50000,"$25k-$50k",IF(D7806&lt;75000,"$50k-$75k",IF(D7806&lt;100000,"$75k-$100k","$100k+")))))</x:f>
        <x:v>$75k-$100k</x:v>
      </x:c>
      <x:c r="P7806" t="str">
        <x:f>IF(E7806="","Unknown",IF(E7806&lt;10,"&lt;10",IF(E7806&lt;20,"10-&lt;20",IF(E7806&lt;25,"20-&lt;25",IF(E7806&lt;35,"25-&lt;35","35+")))))</x:f>
        <x:v>25-&lt;35</x:v>
      </x:c>
    </x:row>
    <x:row r="7807">
      <x:c r="A7807" t="str">
        <x:v>SYN0007806</x:v>
      </x:c>
      <x:c r="B7807" s="12" t="n">
        <x:v>43105</x:v>
      </x:c>
      <x:c r="C7807" s="18" t="n">
        <x:v>9893</x:v>
      </x:c>
      <x:c r="D7807" s="18" t="n">
        <x:v>33787</x:v>
      </x:c>
      <x:c r="E7807" s="18" t="n">
        <x:v>21.96</x:v>
      </x:c>
      <x:c r="F7807" s="18" t="n">
        <x:v>18.22</x:v>
      </x:c>
      <x:c r="G7807" t="n">
        <x:v>60</x:v>
      </x:c>
      <x:c r="H7807" t="str">
        <x:v>E</x:v>
      </x:c>
      <x:c r="I7807" t="str">
        <x:v>1-3 years</x:v>
      </x:c>
      <x:c r="J7807" t="str">
        <x:v>MORTGAGE</x:v>
      </x:c>
      <x:c r="K7807" t="str">
        <x:v>credit_card</x:v>
      </x:c>
      <x:c r="L7807" t="n">
        <x:v>0</x:v>
      </x:c>
      <x:c r="M7807" t="n">
        <x:v>0</x:v>
      </x:c>
      <x:c r="N7807" t="str">
        <x:v>Fully Paid</x:v>
      </x:c>
      <x:c r="O7807" t="str">
        <x:f>IF(D7807="","Unknown",IF(D7807&lt;25000,"&lt;$25k",IF(D7807&lt;50000,"$25k-$50k",IF(D7807&lt;75000,"$50k-$75k",IF(D7807&lt;100000,"$75k-$100k","$100k+")))))</x:f>
        <x:v>$25k-$50k</x:v>
      </x:c>
      <x:c r="P7807" t="str">
        <x:f>IF(E7807="","Unknown",IF(E7807&lt;10,"&lt;10",IF(E7807&lt;20,"10-&lt;20",IF(E7807&lt;25,"20-&lt;25",IF(E7807&lt;35,"25-&lt;35","35+")))))</x:f>
        <x:v>20-&lt;25</x:v>
      </x:c>
    </x:row>
    <x:row r="7808">
      <x:c r="A7808" t="str">
        <x:v>SYN0007807</x:v>
      </x:c>
      <x:c r="B7808" s="12" t="n">
        <x:v>42295</x:v>
      </x:c>
      <x:c r="C7808" s="18" t="n">
        <x:v>13036</x:v>
      </x:c>
      <x:c r="D7808" s="18" t="n">
        <x:v>93577</x:v>
      </x:c>
      <x:c r="E7808" s="18" t="n">
        <x:v>15.36</x:v>
      </x:c>
      <x:c r="F7808" s="18" t="n">
        <x:v>8.05</x:v>
      </x:c>
      <x:c r="G7808" t="n">
        <x:v>36</x:v>
      </x:c>
      <x:c r="H7808" t="str">
        <x:v>B</x:v>
      </x:c>
      <x:c r="I7808" t="str">
        <x:v>4-6 years</x:v>
      </x:c>
      <x:c r="J7808" t="str">
        <x:v>RENT</x:v>
      </x:c>
      <x:c r="K7808" t="str">
        <x:v>debt_consolidation</x:v>
      </x:c>
      <x:c r="L7808" t="n">
        <x:v>0</x:v>
      </x:c>
      <x:c r="M7808" t="n">
        <x:v>0</x:v>
      </x:c>
      <x:c r="N7808" t="str">
        <x:v>Fully Paid</x:v>
      </x:c>
      <x:c r="O7808" t="str">
        <x:f>IF(D7808="","Unknown",IF(D7808&lt;25000,"&lt;$25k",IF(D7808&lt;50000,"$25k-$50k",IF(D7808&lt;75000,"$50k-$75k",IF(D7808&lt;100000,"$75k-$100k","$100k+")))))</x:f>
        <x:v>$75k-$100k</x:v>
      </x:c>
      <x:c r="P7808" t="str">
        <x:f>IF(E7808="","Unknown",IF(E7808&lt;10,"&lt;10",IF(E7808&lt;20,"10-&lt;20",IF(E7808&lt;25,"20-&lt;25",IF(E7808&lt;35,"25-&lt;35","35+")))))</x:f>
        <x:v>10-&lt;20</x:v>
      </x:c>
    </x:row>
    <x:row r="7809">
      <x:c r="A7809" t="str">
        <x:v>SYN0007808</x:v>
      </x:c>
      <x:c r="B7809" s="12" t="n">
        <x:v>42505</x:v>
      </x:c>
      <x:c r="C7809" s="18" t="n">
        <x:v>20407</x:v>
      </x:c>
      <x:c r="D7809" s="18" t="n">
        <x:v>53850</x:v>
      </x:c>
      <x:c r="E7809" s="18" t="n">
        <x:v>0.28</x:v>
      </x:c>
      <x:c r="F7809" s="18" t="n">
        <x:v>9.33</x:v>
      </x:c>
      <x:c r="G7809" t="n">
        <x:v>36</x:v>
      </x:c>
      <x:c r="H7809" t="str">
        <x:v>B</x:v>
      </x:c>
      <x:c r="I7809" t="str">
        <x:v>4-6 years</x:v>
      </x:c>
      <x:c r="J7809" t="str">
        <x:v>RENT</x:v>
      </x:c>
      <x:c r="K7809" t="str">
        <x:v>debt_consolidation</x:v>
      </x:c>
      <x:c r="L7809" t="n">
        <x:v>0</x:v>
      </x:c>
      <x:c r="M7809" t="n">
        <x:v>0</x:v>
      </x:c>
      <x:c r="N7809" t="str">
        <x:v>Fully Paid</x:v>
      </x:c>
      <x:c r="O7809" t="str">
        <x:f>IF(D7809="","Unknown",IF(D7809&lt;25000,"&lt;$25k",IF(D7809&lt;50000,"$25k-$50k",IF(D7809&lt;75000,"$50k-$75k",IF(D7809&lt;100000,"$75k-$100k","$100k+")))))</x:f>
        <x:v>$50k-$75k</x:v>
      </x:c>
      <x:c r="P7809" t="str">
        <x:f>IF(E7809="","Unknown",IF(E7809&lt;10,"&lt;10",IF(E7809&lt;20,"10-&lt;20",IF(E7809&lt;25,"20-&lt;25",IF(E7809&lt;35,"25-&lt;35","35+")))))</x:f>
        <x:v>&lt;10</x:v>
      </x:c>
    </x:row>
    <x:row r="7810">
      <x:c r="A7810" t="str">
        <x:v>SYN0007809</x:v>
      </x:c>
      <x:c r="B7810" s="12" t="n">
        <x:v>42055</x:v>
      </x:c>
      <x:c r="C7810" s="18" t="n">
        <x:v>8042</x:v>
      </x:c>
      <x:c r="D7810" s="18" t="n">
        <x:v>19642</x:v>
      </x:c>
      <x:c r="E7810" s="18" t="n">
        <x:v>32.97</x:v>
      </x:c>
      <x:c r="F7810" s="18" t="n">
        <x:v>21.23</x:v>
      </x:c>
      <x:c r="G7810" t="n">
        <x:v>36</x:v>
      </x:c>
      <x:c r="H7810" t="str">
        <x:v>F</x:v>
      </x:c>
      <x:c r="I7810" t="str">
        <x:v>7-9 years</x:v>
      </x:c>
      <x:c r="J7810" t="str">
        <x:v>OWN</x:v>
      </x:c>
      <x:c r="K7810" t="str">
        <x:v>credit_card</x:v>
      </x:c>
      <x:c r="L7810" t="n">
        <x:v>1</x:v>
      </x:c>
      <x:c r="M7810" t="n">
        <x:v>0</x:v>
      </x:c>
      <x:c r="N7810" t="str">
        <x:v>Fully Paid</x:v>
      </x:c>
      <x:c r="O7810" t="str">
        <x:f>IF(D7810="","Unknown",IF(D7810&lt;25000,"&lt;$25k",IF(D7810&lt;50000,"$25k-$50k",IF(D7810&lt;75000,"$50k-$75k",IF(D7810&lt;100000,"$75k-$100k","$100k+")))))</x:f>
        <x:v>&lt;$25k</x:v>
      </x:c>
      <x:c r="P7810" t="str">
        <x:f>IF(E7810="","Unknown",IF(E7810&lt;10,"&lt;10",IF(E7810&lt;20,"10-&lt;20",IF(E7810&lt;25,"20-&lt;25",IF(E7810&lt;35,"25-&lt;35","35+")))))</x:f>
        <x:v>25-&lt;35</x:v>
      </x:c>
    </x:row>
    <x:row r="7811">
      <x:c r="A7811" t="str">
        <x:v>SYN0007810</x:v>
      </x:c>
      <x:c r="B7811" s="12" t="n">
        <x:v>42925</x:v>
      </x:c>
      <x:c r="C7811" s="18" t="n">
        <x:v>19753</x:v>
      </x:c>
      <x:c r="D7811" s="18" t="n">
        <x:v>29310</x:v>
      </x:c>
      <x:c r="E7811" s="18" t="n">
        <x:v>0</x:v>
      </x:c>
      <x:c r="F7811" s="18" t="n">
        <x:v>6.62</x:v>
      </x:c>
      <x:c r="G7811" t="n">
        <x:v>36</x:v>
      </x:c>
      <x:c r="H7811" t="str">
        <x:v>C</x:v>
      </x:c>
      <x:c r="I7811" t="str">
        <x:v>7-9 years</x:v>
      </x:c>
      <x:c r="J7811" t="str">
        <x:v>OWN</x:v>
      </x:c>
      <x:c r="K7811" t="str">
        <x:v>debt_consolidation</x:v>
      </x:c>
      <x:c r="L7811" t="n">
        <x:v>0</x:v>
      </x:c>
      <x:c r="M7811" t="n">
        <x:v>0</x:v>
      </x:c>
      <x:c r="N7811" t="str">
        <x:v>Fully Paid</x:v>
      </x:c>
      <x:c r="O7811" t="str">
        <x:f>IF(D7811="","Unknown",IF(D7811&lt;25000,"&lt;$25k",IF(D7811&lt;50000,"$25k-$50k",IF(D7811&lt;75000,"$50k-$75k",IF(D7811&lt;100000,"$75k-$100k","$100k+")))))</x:f>
        <x:v>$25k-$50k</x:v>
      </x:c>
      <x:c r="P7811" t="str">
        <x:f>IF(E7811="","Unknown",IF(E7811&lt;10,"&lt;10",IF(E7811&lt;20,"10-&lt;20",IF(E7811&lt;25,"20-&lt;25",IF(E7811&lt;35,"25-&lt;35","35+")))))</x:f>
        <x:v>Unknown</x:v>
      </x:c>
    </x:row>
    <x:row r="7812">
      <x:c r="A7812" t="str">
        <x:v>SYN0007811</x:v>
      </x:c>
      <x:c r="B7812" s="12" t="n">
        <x:v>42715</x:v>
      </x:c>
      <x:c r="C7812" s="18" t="n">
        <x:v>13300</x:v>
      </x:c>
      <x:c r="D7812" s="18" t="n">
        <x:v>57852</x:v>
      </x:c>
      <x:c r="E7812" s="18" t="n">
        <x:v>19.06</x:v>
      </x:c>
      <x:c r="F7812" s="18" t="n">
        <x:v>7.4</x:v>
      </x:c>
      <x:c r="G7812" t="n">
        <x:v>60</x:v>
      </x:c>
      <x:c r="H7812" t="str">
        <x:v>A</x:v>
      </x:c>
      <x:c r="I7812" t="str">
        <x:v>10+ years</x:v>
      </x:c>
      <x:c r="J7812" t="str">
        <x:v>OWN</x:v>
      </x:c>
      <x:c r="K7812" t="str">
        <x:v>major_purchase</x:v>
      </x:c>
      <x:c r="L7812" t="n">
        <x:v>1</x:v>
      </x:c>
      <x:c r="M7812" t="n">
        <x:v>0</x:v>
      </x:c>
      <x:c r="N7812" t="str">
        <x:v>Fully Paid</x:v>
      </x:c>
      <x:c r="O7812" t="str">
        <x:f>IF(D7812="","Unknown",IF(D7812&lt;25000,"&lt;$25k",IF(D7812&lt;50000,"$25k-$50k",IF(D7812&lt;75000,"$50k-$75k",IF(D7812&lt;100000,"$75k-$100k","$100k+")))))</x:f>
        <x:v>$50k-$75k</x:v>
      </x:c>
      <x:c r="P7812" t="str">
        <x:f>IF(E7812="","Unknown",IF(E7812&lt;10,"&lt;10",IF(E7812&lt;20,"10-&lt;20",IF(E7812&lt;25,"20-&lt;25",IF(E7812&lt;35,"25-&lt;35","35+")))))</x:f>
        <x:v>10-&lt;20</x:v>
      </x:c>
    </x:row>
    <x:row r="7813">
      <x:c r="A7813" t="str">
        <x:v>SYN0007812</x:v>
      </x:c>
      <x:c r="B7813" s="12" t="n">
        <x:v>42655</x:v>
      </x:c>
      <x:c r="C7813" s="18" t="n">
        <x:v>37186</x:v>
      </x:c>
      <x:c r="D7813" s="18" t="n">
        <x:v>51975</x:v>
      </x:c>
      <x:c r="E7813" s="18" t="n">
        <x:v>12.42</x:v>
      </x:c>
      <x:c r="F7813" s="18" t="n">
        <x:v>7.41</x:v>
      </x:c>
      <x:c r="G7813" t="n">
        <x:v>36</x:v>
      </x:c>
      <x:c r="H7813" t="str">
        <x:v>A</x:v>
      </x:c>
      <x:c r="I7813" t="str">
        <x:v>10+ years</x:v>
      </x:c>
      <x:c r="J7813" t="str">
        <x:v>MORTGAGE</x:v>
      </x:c>
      <x:c r="K7813" t="str">
        <x:v>debt_consolidation</x:v>
      </x:c>
      <x:c r="L7813" t="n">
        <x:v>0</x:v>
      </x:c>
      <x:c r="M7813" t="n">
        <x:v>0</x:v>
      </x:c>
      <x:c r="N7813" t="str">
        <x:v>Fully Paid</x:v>
      </x:c>
      <x:c r="O7813" t="str">
        <x:f>IF(D7813="","Unknown",IF(D7813&lt;25000,"&lt;$25k",IF(D7813&lt;50000,"$25k-$50k",IF(D7813&lt;75000,"$50k-$75k",IF(D7813&lt;100000,"$75k-$100k","$100k+")))))</x:f>
        <x:v>$50k-$75k</x:v>
      </x:c>
      <x:c r="P7813" t="str">
        <x:f>IF(E7813="","Unknown",IF(E7813&lt;10,"&lt;10",IF(E7813&lt;20,"10-&lt;20",IF(E7813&lt;25,"20-&lt;25",IF(E7813&lt;35,"25-&lt;35","35+")))))</x:f>
        <x:v>10-&lt;20</x:v>
      </x:c>
    </x:row>
    <x:row r="7814">
      <x:c r="A7814" t="str">
        <x:v>SYN0007813</x:v>
      </x:c>
      <x:c r="B7814" s="12" t="n">
        <x:v>43015</x:v>
      </x:c>
      <x:c r="C7814" s="18" t="n">
        <x:v>13191</x:v>
      </x:c>
      <x:c r="D7814" s="18" t="n">
        <x:v>26143</x:v>
      </x:c>
      <x:c r="E7814" s="18" t="n">
        <x:v>22.03</x:v>
      </x:c>
      <x:c r="F7814" s="18" t="n">
        <x:v>9.12</x:v>
      </x:c>
      <x:c r="G7814" t="n">
        <x:v>60</x:v>
      </x:c>
      <x:c r="H7814" t="str">
        <x:v>C</x:v>
      </x:c>
      <x:c r="I7814" t="str">
        <x:v>4-6 years</x:v>
      </x:c>
      <x:c r="J7814" t="str">
        <x:v>RENT</x:v>
      </x:c>
      <x:c r="K7814" t="str">
        <x:v>debt_consolidation</x:v>
      </x:c>
      <x:c r="L7814" t="n">
        <x:v>1</x:v>
      </x:c>
      <x:c r="M7814" t="n">
        <x:v>1</x:v>
      </x:c>
      <x:c r="N7814" t="str">
        <x:v>Charged Off</x:v>
      </x:c>
      <x:c r="O7814" t="str">
        <x:f>IF(D7814="","Unknown",IF(D7814&lt;25000,"&lt;$25k",IF(D7814&lt;50000,"$25k-$50k",IF(D7814&lt;75000,"$50k-$75k",IF(D7814&lt;100000,"$75k-$100k","$100k+")))))</x:f>
        <x:v>$25k-$50k</x:v>
      </x:c>
      <x:c r="P7814" t="str">
        <x:f>IF(E7814="","Unknown",IF(E7814&lt;10,"&lt;10",IF(E7814&lt;20,"10-&lt;20",IF(E7814&lt;25,"20-&lt;25",IF(E7814&lt;35,"25-&lt;35","35+")))))</x:f>
        <x:v>20-&lt;25</x:v>
      </x:c>
    </x:row>
    <x:row r="7815">
      <x:c r="A7815" t="str">
        <x:v>SYN0007814</x:v>
      </x:c>
      <x:c r="B7815" s="12" t="n">
        <x:v>42865</x:v>
      </x:c>
      <x:c r="C7815" s="18" t="n">
        <x:v>12001</x:v>
      </x:c>
      <x:c r="D7815" s="18" t="n">
        <x:v>56660</x:v>
      </x:c>
      <x:c r="E7815" s="18" t="n">
        <x:v>27.58</x:v>
      </x:c>
      <x:c r="F7815" s="18" t="n">
        <x:v>5.25</x:v>
      </x:c>
      <x:c r="G7815" t="n">
        <x:v>60</x:v>
      </x:c>
      <x:c r="H7815" t="str">
        <x:v>A</x:v>
      </x:c>
      <x:c r="I7815" t="str">
        <x:v>1-3 years</x:v>
      </x:c>
      <x:c r="J7815" t="str">
        <x:v>OWN</x:v>
      </x:c>
      <x:c r="K7815" t="str">
        <x:v>debt_consolidation</x:v>
      </x:c>
      <x:c r="L7815" t="n">
        <x:v>0</x:v>
      </x:c>
      <x:c r="M7815" t="n">
        <x:v>0</x:v>
      </x:c>
      <x:c r="N7815" t="str">
        <x:v>Fully Paid</x:v>
      </x:c>
      <x:c r="O7815" t="str">
        <x:f>IF(D7815="","Unknown",IF(D7815&lt;25000,"&lt;$25k",IF(D7815&lt;50000,"$25k-$50k",IF(D7815&lt;75000,"$50k-$75k",IF(D7815&lt;100000,"$75k-$100k","$100k+")))))</x:f>
        <x:v>$50k-$75k</x:v>
      </x:c>
      <x:c r="P7815" t="str">
        <x:f>IF(E7815="","Unknown",IF(E7815&lt;10,"&lt;10",IF(E7815&lt;20,"10-&lt;20",IF(E7815&lt;25,"20-&lt;25",IF(E7815&lt;35,"25-&lt;35","35+")))))</x:f>
        <x:v>25-&lt;35</x:v>
      </x:c>
    </x:row>
    <x:row r="7816">
      <x:c r="A7816" t="str">
        <x:v>SYN0007815</x:v>
      </x:c>
      <x:c r="B7816" s="12" t="n">
        <x:v>41785</x:v>
      </x:c>
      <x:c r="C7816" s="18" t="n">
        <x:v>18576</x:v>
      </x:c>
      <x:c r="D7816" s="18" t="n">
        <x:v>84166</x:v>
      </x:c>
      <x:c r="E7816" s="18" t="n">
        <x:v>38.12</x:v>
      </x:c>
      <x:c r="F7816" s="18" t="n">
        <x:v>10.04</x:v>
      </x:c>
      <x:c r="G7816" t="n">
        <x:v>36</x:v>
      </x:c>
      <x:c r="H7816" t="str">
        <x:v>C</x:v>
      </x:c>
      <x:c r="I7816" t="str">
        <x:v>7-9 years</x:v>
      </x:c>
      <x:c r="J7816" t="str">
        <x:v>RENT</x:v>
      </x:c>
      <x:c r="K7816" t="str">
        <x:v>debt_consolidation</x:v>
      </x:c>
      <x:c r="L7816" t="n">
        <x:v>1</x:v>
      </x:c>
      <x:c r="M7816" t="n">
        <x:v>0</x:v>
      </x:c>
      <x:c r="N7816" t="str">
        <x:v>Fully Paid</x:v>
      </x:c>
      <x:c r="O7816" t="str">
        <x:f>IF(D7816="","Unknown",IF(D7816&lt;25000,"&lt;$25k",IF(D7816&lt;50000,"$25k-$50k",IF(D7816&lt;75000,"$50k-$75k",IF(D7816&lt;100000,"$75k-$100k","$100k+")))))</x:f>
        <x:v>$75k-$100k</x:v>
      </x:c>
      <x:c r="P7816" t="str">
        <x:f>IF(E7816="","Unknown",IF(E7816&lt;10,"&lt;10",IF(E7816&lt;20,"10-&lt;20",IF(E7816&lt;25,"20-&lt;25",IF(E7816&lt;35,"25-&lt;35","35+")))))</x:f>
        <x:v>35+</x:v>
      </x:c>
    </x:row>
    <x:row r="7817">
      <x:c r="A7817" t="str">
        <x:v>SYN0007816</x:v>
      </x:c>
      <x:c r="B7817" s="12" t="n">
        <x:v>42385</x:v>
      </x:c>
      <x:c r="C7817" s="18" t="n">
        <x:v>22233</x:v>
      </x:c>
      <x:c r="D7817" s="18" t="n">
        <x:v>15344</x:v>
      </x:c>
      <x:c r="E7817" s="18" t="n">
        <x:v>17.12</x:v>
      </x:c>
      <x:c r="F7817" s="18" t="n">
        <x:v>13.31</x:v>
      </x:c>
      <x:c r="G7817" t="n">
        <x:v>60</x:v>
      </x:c>
      <x:c r="H7817" t="str">
        <x:v>D</x:v>
      </x:c>
      <x:c r="I7817" t="str">
        <x:v>10+ years</x:v>
      </x:c>
      <x:c r="J7817" t="str">
        <x:v>RENT</x:v>
      </x:c>
      <x:c r="K7817" t="str">
        <x:v>major_purchase</x:v>
      </x:c>
      <x:c r="L7817" t="n">
        <x:v>0</x:v>
      </x:c>
      <x:c r="M7817" t="n">
        <x:v>0</x:v>
      </x:c>
      <x:c r="N7817" t="str">
        <x:v>Fully Paid</x:v>
      </x:c>
      <x:c r="O7817" t="str">
        <x:f>IF(D7817="","Unknown",IF(D7817&lt;25000,"&lt;$25k",IF(D7817&lt;50000,"$25k-$50k",IF(D7817&lt;75000,"$50k-$75k",IF(D7817&lt;100000,"$75k-$100k","$100k+")))))</x:f>
        <x:v>&lt;$25k</x:v>
      </x:c>
      <x:c r="P7817" t="str">
        <x:f>IF(E7817="","Unknown",IF(E7817&lt;10,"&lt;10",IF(E7817&lt;20,"10-&lt;20",IF(E7817&lt;25,"20-&lt;25",IF(E7817&lt;35,"25-&lt;35","35+")))))</x:f>
        <x:v>10-&lt;20</x:v>
      </x:c>
    </x:row>
    <x:row r="7818">
      <x:c r="A7818" t="str">
        <x:v>SYN0007817</x:v>
      </x:c>
      <x:c r="B7818" s="12" t="n">
        <x:v>42475</x:v>
      </x:c>
      <x:c r="C7818" s="18" t="n">
        <x:v>15246</x:v>
      </x:c>
      <x:c r="D7818" s="18" t="n">
        <x:v>15700</x:v>
      </x:c>
      <x:c r="E7818" s="18" t="n">
        <x:v>30.71</x:v>
      </x:c>
      <x:c r="F7818" s="18" t="n">
        <x:v>19.41</x:v>
      </x:c>
      <x:c r="G7818" t="n">
        <x:v>36</x:v>
      </x:c>
      <x:c r="H7818" t="str">
        <x:v>E</x:v>
      </x:c>
      <x:c r="I7818" t="str">
        <x:v>7-9 years</x:v>
      </x:c>
      <x:c r="J7818" t="str">
        <x:v>RENT</x:v>
      </x:c>
      <x:c r="K7818" t="str">
        <x:v>debt_consolidation</x:v>
      </x:c>
      <x:c r="L7818" t="n">
        <x:v>1</x:v>
      </x:c>
      <x:c r="M7818" t="n">
        <x:v>0</x:v>
      </x:c>
      <x:c r="N7818" t="str">
        <x:v>Fully Paid</x:v>
      </x:c>
      <x:c r="O7818" t="str">
        <x:f>IF(D7818="","Unknown",IF(D7818&lt;25000,"&lt;$25k",IF(D7818&lt;50000,"$25k-$50k",IF(D7818&lt;75000,"$50k-$75k",IF(D7818&lt;100000,"$75k-$100k","$100k+")))))</x:f>
        <x:v>&lt;$25k</x:v>
      </x:c>
      <x:c r="P7818" t="str">
        <x:f>IF(E7818="","Unknown",IF(E7818&lt;10,"&lt;10",IF(E7818&lt;20,"10-&lt;20",IF(E7818&lt;25,"20-&lt;25",IF(E7818&lt;35,"25-&lt;35","35+")))))</x:f>
        <x:v>25-&lt;35</x:v>
      </x:c>
    </x:row>
    <x:row r="7819">
      <x:c r="A7819" t="str">
        <x:v>SYN0007818</x:v>
      </x:c>
      <x:c r="B7819" s="12" t="n">
        <x:v>42385</x:v>
      </x:c>
      <x:c r="C7819" s="18" t="n">
        <x:v>17145</x:v>
      </x:c>
      <x:c r="D7819" s="18" t="n">
        <x:v>76220</x:v>
      </x:c>
      <x:c r="E7819" s="18" t="n">
        <x:v>27.89</x:v>
      </x:c>
      <x:c r="F7819" s="18" t="n">
        <x:v>5.17</x:v>
      </x:c>
      <x:c r="G7819" t="n">
        <x:v>36</x:v>
      </x:c>
      <x:c r="H7819" t="str">
        <x:v>A</x:v>
      </x:c>
      <x:c r="I7819" t="str">
        <x:v>1-3 years</x:v>
      </x:c>
      <x:c r="J7819" t="str">
        <x:v>MORTGAGE</x:v>
      </x:c>
      <x:c r="K7819" t="str">
        <x:v>debt_consolidation</x:v>
      </x:c>
      <x:c r="L7819" t="n">
        <x:v>1</x:v>
      </x:c>
      <x:c r="M7819" t="n">
        <x:v>0</x:v>
      </x:c>
      <x:c r="N7819" t="str">
        <x:v>Fully Paid</x:v>
      </x:c>
      <x:c r="O7819" t="str">
        <x:f>IF(D7819="","Unknown",IF(D7819&lt;25000,"&lt;$25k",IF(D7819&lt;50000,"$25k-$50k",IF(D7819&lt;75000,"$50k-$75k",IF(D7819&lt;100000,"$75k-$100k","$100k+")))))</x:f>
        <x:v>$75k-$100k</x:v>
      </x:c>
      <x:c r="P7819" t="str">
        <x:f>IF(E7819="","Unknown",IF(E7819&lt;10,"&lt;10",IF(E7819&lt;20,"10-&lt;20",IF(E7819&lt;25,"20-&lt;25",IF(E7819&lt;35,"25-&lt;35","35+")))))</x:f>
        <x:v>25-&lt;35</x:v>
      </x:c>
    </x:row>
    <x:row r="7820">
      <x:c r="A7820" t="str">
        <x:v>SYN0007819</x:v>
      </x:c>
      <x:c r="B7820" s="12" t="n">
        <x:v>43375</x:v>
      </x:c>
      <x:c r="C7820" s="18" t="n">
        <x:v>16520</x:v>
      </x:c>
      <x:c r="D7820" s="18" t="n">
        <x:v>102795</x:v>
      </x:c>
      <x:c r="E7820" s="18" t="n">
        <x:v>14.06</x:v>
      </x:c>
      <x:c r="F7820" s="18" t="n">
        <x:v>13.71</x:v>
      </x:c>
      <x:c r="G7820" t="n">
        <x:v>36</x:v>
      </x:c>
      <x:c r="H7820" t="str">
        <x:v>C</x:v>
      </x:c>
      <x:c r="I7820" t="str">
        <x:v>4-6 years</x:v>
      </x:c>
      <x:c r="J7820" t="str">
        <x:v>RENT</x:v>
      </x:c>
      <x:c r="K7820" t="str">
        <x:v>debt_consolidation</x:v>
      </x:c>
      <x:c r="L7820" t="n">
        <x:v>1</x:v>
      </x:c>
      <x:c r="M7820" t="n">
        <x:v>0</x:v>
      </x:c>
      <x:c r="N7820" t="str">
        <x:v>Fully Paid</x:v>
      </x:c>
      <x:c r="O7820" t="str">
        <x:f>IF(D7820="","Unknown",IF(D7820&lt;25000,"&lt;$25k",IF(D7820&lt;50000,"$25k-$50k",IF(D7820&lt;75000,"$50k-$75k",IF(D7820&lt;100000,"$75k-$100k","$100k+")))))</x:f>
        <x:v>$100k+</x:v>
      </x:c>
      <x:c r="P7820" t="str">
        <x:f>IF(E7820="","Unknown",IF(E7820&lt;10,"&lt;10",IF(E7820&lt;20,"10-&lt;20",IF(E7820&lt;25,"20-&lt;25",IF(E7820&lt;35,"25-&lt;35","35+")))))</x:f>
        <x:v>10-&lt;20</x:v>
      </x:c>
    </x:row>
    <x:row r="7821">
      <x:c r="A7821" t="str">
        <x:v>SYN0007820</x:v>
      </x:c>
      <x:c r="B7821" s="12" t="n">
        <x:v>42235</x:v>
      </x:c>
      <x:c r="C7821" s="18" t="n">
        <x:v>8206</x:v>
      </x:c>
      <x:c r="D7821" s="18" t="n">
        <x:v>65624</x:v>
      </x:c>
      <x:c r="E7821" s="18" t="n">
        <x:v>8.3</x:v>
      </x:c>
      <x:c r="F7821" s="18" t="n">
        <x:v>10.39</x:v>
      </x:c>
      <x:c r="G7821" t="n">
        <x:v>36</x:v>
      </x:c>
      <x:c r="H7821" t="str">
        <x:v>C</x:v>
      </x:c>
      <x:c r="I7821" t="str">
        <x:v>4-6 years</x:v>
      </x:c>
      <x:c r="J7821" t="str">
        <x:v>RENT</x:v>
      </x:c>
      <x:c r="K7821" t="str">
        <x:v>major_purchase</x:v>
      </x:c>
      <x:c r="L7821" t="n">
        <x:v>0</x:v>
      </x:c>
      <x:c r="M7821" t="n">
        <x:v>0</x:v>
      </x:c>
      <x:c r="N7821" t="str">
        <x:v>Fully Paid</x:v>
      </x:c>
      <x:c r="O7821" t="str">
        <x:f>IF(D7821="","Unknown",IF(D7821&lt;25000,"&lt;$25k",IF(D7821&lt;50000,"$25k-$50k",IF(D7821&lt;75000,"$50k-$75k",IF(D7821&lt;100000,"$75k-$100k","$100k+")))))</x:f>
        <x:v>$50k-$75k</x:v>
      </x:c>
      <x:c r="P7821" t="str">
        <x:f>IF(E7821="","Unknown",IF(E7821&lt;10,"&lt;10",IF(E7821&lt;20,"10-&lt;20",IF(E7821&lt;25,"20-&lt;25",IF(E7821&lt;35,"25-&lt;35","35+")))))</x:f>
        <x:v>&lt;10</x:v>
      </x:c>
    </x:row>
    <x:row r="7822">
      <x:c r="A7822" t="str">
        <x:v>SYN0007821</x:v>
      </x:c>
      <x:c r="B7822" s="12" t="n">
        <x:v>42055</x:v>
      </x:c>
      <x:c r="C7822" s="18" t="n">
        <x:v>13629</x:v>
      </x:c>
      <x:c r="D7822" s="18" t="n">
        <x:v>34534</x:v>
      </x:c>
      <x:c r="E7822" s="18" t="n">
        <x:v>4.45</x:v>
      </x:c>
      <x:c r="F7822" s="18" t="n">
        <x:v>5.35</x:v>
      </x:c>
      <x:c r="G7822" t="n">
        <x:v>36</x:v>
      </x:c>
      <x:c r="H7822" t="str">
        <x:v>A</x:v>
      </x:c>
      <x:c r="I7822" t="str">
        <x:v>7-9 years</x:v>
      </x:c>
      <x:c r="J7822" t="str">
        <x:v>MORTGAGE</x:v>
      </x:c>
      <x:c r="K7822" t="str">
        <x:v>debt_consolidation</x:v>
      </x:c>
      <x:c r="L7822" t="n">
        <x:v>0</x:v>
      </x:c>
      <x:c r="M7822" t="n">
        <x:v>0</x:v>
      </x:c>
      <x:c r="N7822" t="str">
        <x:v>Fully Paid</x:v>
      </x:c>
      <x:c r="O7822" t="str">
        <x:f>IF(D7822="","Unknown",IF(D7822&lt;25000,"&lt;$25k",IF(D7822&lt;50000,"$25k-$50k",IF(D7822&lt;75000,"$50k-$75k",IF(D7822&lt;100000,"$75k-$100k","$100k+")))))</x:f>
        <x:v>$25k-$50k</x:v>
      </x:c>
      <x:c r="P7822" t="str">
        <x:f>IF(E7822="","Unknown",IF(E7822&lt;10,"&lt;10",IF(E7822&lt;20,"10-&lt;20",IF(E7822&lt;25,"20-&lt;25",IF(E7822&lt;35,"25-&lt;35","35+")))))</x:f>
        <x:v>&lt;10</x:v>
      </x:c>
    </x:row>
    <x:row r="7823">
      <x:c r="A7823" t="str">
        <x:v>SYN0007822</x:v>
      </x:c>
      <x:c r="B7823" s="12" t="n">
        <x:v>41875</x:v>
      </x:c>
      <x:c r="C7823" s="18" t="n">
        <x:v>11854</x:v>
      </x:c>
      <x:c r="D7823" s="18" t="n">
        <x:v>14672</x:v>
      </x:c>
      <x:c r="E7823" s="18" t="n">
        <x:v>10.62</x:v>
      </x:c>
      <x:c r="F7823" s="18" t="n">
        <x:v>6.92</x:v>
      </x:c>
      <x:c r="G7823" t="n">
        <x:v>36</x:v>
      </x:c>
      <x:c r="H7823" t="str">
        <x:v>A</x:v>
      </x:c>
      <x:c r="I7823" t="str">
        <x:v>4-6 years</x:v>
      </x:c>
      <x:c r="J7823" t="str">
        <x:v>MORTGAGE</x:v>
      </x:c>
      <x:c r="K7823" t="str">
        <x:v>debt_consolidation</x:v>
      </x:c>
      <x:c r="L7823" t="n">
        <x:v>0</x:v>
      </x:c>
      <x:c r="M7823" t="n">
        <x:v>0</x:v>
      </x:c>
      <x:c r="N7823" t="str">
        <x:v>Fully Paid</x:v>
      </x:c>
      <x:c r="O7823" t="str">
        <x:f>IF(D7823="","Unknown",IF(D7823&lt;25000,"&lt;$25k",IF(D7823&lt;50000,"$25k-$50k",IF(D7823&lt;75000,"$50k-$75k",IF(D7823&lt;100000,"$75k-$100k","$100k+")))))</x:f>
        <x:v>&lt;$25k</x:v>
      </x:c>
      <x:c r="P7823" t="str">
        <x:f>IF(E7823="","Unknown",IF(E7823&lt;10,"&lt;10",IF(E7823&lt;20,"10-&lt;20",IF(E7823&lt;25,"20-&lt;25",IF(E7823&lt;35,"25-&lt;35","35+")))))</x:f>
        <x:v>10-&lt;20</x:v>
      </x:c>
    </x:row>
    <x:row r="7824">
      <x:c r="A7824" t="str">
        <x:v>SYN0007823</x:v>
      </x:c>
      <x:c r="B7824" s="12" t="n">
        <x:v>41635</x:v>
      </x:c>
      <x:c r="C7824" s="18" t="n">
        <x:v>8743</x:v>
      </x:c>
      <x:c r="D7824" s="18" t="n">
        <x:v>23520</x:v>
      </x:c>
      <x:c r="E7824" s="18" t="n">
        <x:v>11.27</x:v>
      </x:c>
      <x:c r="F7824" s="18" t="n">
        <x:v>14.89</x:v>
      </x:c>
      <x:c r="G7824" t="n">
        <x:v>36</x:v>
      </x:c>
      <x:c r="H7824" t="str">
        <x:v>D</x:v>
      </x:c>
      <x:c r="I7824" t="str">
        <x:v>4-6 years</x:v>
      </x:c>
      <x:c r="J7824" t="str">
        <x:v>RENT</x:v>
      </x:c>
      <x:c r="K7824" t="str">
        <x:v>debt_consolidation</x:v>
      </x:c>
      <x:c r="L7824" t="n">
        <x:v>1</x:v>
      </x:c>
      <x:c r="M7824" t="n">
        <x:v>0</x:v>
      </x:c>
      <x:c r="N7824" t="str">
        <x:v>Fully Paid</x:v>
      </x:c>
      <x:c r="O7824" t="str">
        <x:f>IF(D7824="","Unknown",IF(D7824&lt;25000,"&lt;$25k",IF(D7824&lt;50000,"$25k-$50k",IF(D7824&lt;75000,"$50k-$75k",IF(D7824&lt;100000,"$75k-$100k","$100k+")))))</x:f>
        <x:v>&lt;$25k</x:v>
      </x:c>
      <x:c r="P7824" t="str">
        <x:f>IF(E7824="","Unknown",IF(E7824&lt;10,"&lt;10",IF(E7824&lt;20,"10-&lt;20",IF(E7824&lt;25,"20-&lt;25",IF(E7824&lt;35,"25-&lt;35","35+")))))</x:f>
        <x:v>10-&lt;20</x:v>
      </x:c>
    </x:row>
    <x:row r="7825">
      <x:c r="A7825" t="str">
        <x:v>SYN0007824</x:v>
      </x:c>
      <x:c r="B7825" s="12" t="n">
        <x:v>41545</x:v>
      </x:c>
      <x:c r="C7825" s="18" t="n">
        <x:v>10182</x:v>
      </x:c>
      <x:c r="D7825" s="18" t="n">
        <x:v>53247</x:v>
      </x:c>
      <x:c r="E7825" s="18" t="n">
        <x:v>13.88</x:v>
      </x:c>
      <x:c r="F7825" s="18" t="n">
        <x:v>16.54</x:v>
      </x:c>
      <x:c r="G7825" t="n">
        <x:v>36</x:v>
      </x:c>
      <x:c r="H7825" t="str">
        <x:v>D</x:v>
      </x:c>
      <x:c r="I7825" t="str">
        <x:v>7-9 years</x:v>
      </x:c>
      <x:c r="J7825" t="str">
        <x:v>RENT</x:v>
      </x:c>
      <x:c r="K7825" t="str">
        <x:v>credit_card</x:v>
      </x:c>
      <x:c r="L7825" t="n">
        <x:v>1</x:v>
      </x:c>
      <x:c r="M7825" t="n">
        <x:v>1</x:v>
      </x:c>
      <x:c r="N7825" t="str">
        <x:v>Charged Off</x:v>
      </x:c>
      <x:c r="O7825" t="str">
        <x:f>IF(D7825="","Unknown",IF(D7825&lt;25000,"&lt;$25k",IF(D7825&lt;50000,"$25k-$50k",IF(D7825&lt;75000,"$50k-$75k",IF(D7825&lt;100000,"$75k-$100k","$100k+")))))</x:f>
        <x:v>$50k-$75k</x:v>
      </x:c>
      <x:c r="P7825" t="str">
        <x:f>IF(E7825="","Unknown",IF(E7825&lt;10,"&lt;10",IF(E7825&lt;20,"10-&lt;20",IF(E7825&lt;25,"20-&lt;25",IF(E7825&lt;35,"25-&lt;35","35+")))))</x:f>
        <x:v>10-&lt;20</x:v>
      </x:c>
    </x:row>
    <x:row r="7826">
      <x:c r="A7826" t="str">
        <x:v>SYN0007825</x:v>
      </x:c>
      <x:c r="B7826" s="12" t="n">
        <x:v>42775</x:v>
      </x:c>
      <x:c r="C7826" s="18" t="n">
        <x:v>12594</x:v>
      </x:c>
      <x:c r="D7826" s="18" t="n">
        <x:v>59868</x:v>
      </x:c>
      <x:c r="E7826" s="18" t="n">
        <x:v>10.45</x:v>
      </x:c>
      <x:c r="F7826" s="18" t="n">
        <x:v>7.14</x:v>
      </x:c>
      <x:c r="G7826" t="n">
        <x:v>60</x:v>
      </x:c>
      <x:c r="H7826" t="str">
        <x:v>B</x:v>
      </x:c>
      <x:c r="I7826" t="str">
        <x:v>4-6 years</x:v>
      </x:c>
      <x:c r="J7826" t="str">
        <x:v>RENT</x:v>
      </x:c>
      <x:c r="K7826" t="str">
        <x:v>debt_consolidation</x:v>
      </x:c>
      <x:c r="L7826" t="n">
        <x:v>0</x:v>
      </x:c>
      <x:c r="M7826" t="n">
        <x:v>0</x:v>
      </x:c>
      <x:c r="N7826" t="str">
        <x:v>Fully Paid</x:v>
      </x:c>
      <x:c r="O7826" t="str">
        <x:f>IF(D7826="","Unknown",IF(D7826&lt;25000,"&lt;$25k",IF(D7826&lt;50000,"$25k-$50k",IF(D7826&lt;75000,"$50k-$75k",IF(D7826&lt;100000,"$75k-$100k","$100k+")))))</x:f>
        <x:v>$50k-$75k</x:v>
      </x:c>
      <x:c r="P7826" t="str">
        <x:f>IF(E7826="","Unknown",IF(E7826&lt;10,"&lt;10",IF(E7826&lt;20,"10-&lt;20",IF(E7826&lt;25,"20-&lt;25",IF(E7826&lt;35,"25-&lt;35","35+")))))</x:f>
        <x:v>10-&lt;20</x:v>
      </x:c>
    </x:row>
    <x:row r="7827">
      <x:c r="A7827" t="str">
        <x:v>SYN0007826</x:v>
      </x:c>
      <x:c r="B7827" s="12" t="n">
        <x:v>43135</x:v>
      </x:c>
      <x:c r="C7827" s="18" t="n">
        <x:v>40000</x:v>
      </x:c>
      <x:c r="D7827" s="18" t="n">
        <x:v>37985</x:v>
      </x:c>
      <x:c r="E7827" s="18" t="n">
        <x:v>25.33</x:v>
      </x:c>
      <x:c r="F7827" s="18" t="n">
        <x:v>7.22</x:v>
      </x:c>
      <x:c r="G7827" t="n">
        <x:v>36</x:v>
      </x:c>
      <x:c r="H7827" t="str">
        <x:v>B</x:v>
      </x:c>
      <x:c r="I7827" t="str">
        <x:v>4-6 years</x:v>
      </x:c>
      <x:c r="J7827" t="str">
        <x:v>RENT</x:v>
      </x:c>
      <x:c r="K7827" t="str">
        <x:v>credit_card</x:v>
      </x:c>
      <x:c r="L7827" t="n">
        <x:v>0</x:v>
      </x:c>
      <x:c r="M7827" t="n">
        <x:v>0</x:v>
      </x:c>
      <x:c r="N7827" t="str">
        <x:v>Fully Paid</x:v>
      </x:c>
      <x:c r="O7827" t="str">
        <x:f>IF(D7827="","Unknown",IF(D7827&lt;25000,"&lt;$25k",IF(D7827&lt;50000,"$25k-$50k",IF(D7827&lt;75000,"$50k-$75k",IF(D7827&lt;100000,"$75k-$100k","$100k+")))))</x:f>
        <x:v>$25k-$50k</x:v>
      </x:c>
      <x:c r="P7827" t="str">
        <x:f>IF(E7827="","Unknown",IF(E7827&lt;10,"&lt;10",IF(E7827&lt;20,"10-&lt;20",IF(E7827&lt;25,"20-&lt;25",IF(E7827&lt;35,"25-&lt;35","35+")))))</x:f>
        <x:v>25-&lt;35</x:v>
      </x:c>
    </x:row>
    <x:row r="7828">
      <x:c r="A7828" t="str">
        <x:v>SYN0007827</x:v>
      </x:c>
      <x:c r="B7828" s="12" t="n">
        <x:v>42625</x:v>
      </x:c>
      <x:c r="C7828" s="18" t="n">
        <x:v>6323</x:v>
      </x:c>
      <x:c r="D7828" s="18" t="n">
        <x:v>54560</x:v>
      </x:c>
      <x:c r="E7828" s="18" t="n">
        <x:v>23.07</x:v>
      </x:c>
      <x:c r="F7828" s="18" t="n">
        <x:v>7.22</x:v>
      </x:c>
      <x:c r="G7828" t="n">
        <x:v>36</x:v>
      </x:c>
      <x:c r="H7828" t="str">
        <x:v>B</x:v>
      </x:c>
      <x:c r="I7828" t="str">
        <x:v>10+ years</x:v>
      </x:c>
      <x:c r="J7828" t="str">
        <x:v>MORTGAGE</x:v>
      </x:c>
      <x:c r="K7828" t="str">
        <x:v>credit_card</x:v>
      </x:c>
      <x:c r="L7828" t="n">
        <x:v>1</x:v>
      </x:c>
      <x:c r="M7828" t="n">
        <x:v>0</x:v>
      </x:c>
      <x:c r="N7828" t="str">
        <x:v>Fully Paid</x:v>
      </x:c>
      <x:c r="O7828" t="str">
        <x:f>IF(D7828="","Unknown",IF(D7828&lt;25000,"&lt;$25k",IF(D7828&lt;50000,"$25k-$50k",IF(D7828&lt;75000,"$50k-$75k",IF(D7828&lt;100000,"$75k-$100k","$100k+")))))</x:f>
        <x:v>$50k-$75k</x:v>
      </x:c>
      <x:c r="P7828" t="str">
        <x:f>IF(E7828="","Unknown",IF(E7828&lt;10,"&lt;10",IF(E7828&lt;20,"10-&lt;20",IF(E7828&lt;25,"20-&lt;25",IF(E7828&lt;35,"25-&lt;35","35+")))))</x:f>
        <x:v>20-&lt;25</x:v>
      </x:c>
    </x:row>
    <x:row r="7829">
      <x:c r="A7829" t="str">
        <x:v>SYN0007828</x:v>
      </x:c>
      <x:c r="B7829" s="12" t="n">
        <x:v>42985</x:v>
      </x:c>
      <x:c r="C7829" s="18" t="n">
        <x:v>13089</x:v>
      </x:c>
      <x:c r="D7829" s="18" t="n">
        <x:v>70588</x:v>
      </x:c>
      <x:c r="E7829" s="18" t="n">
        <x:v>25.72</x:v>
      </x:c>
      <x:c r="F7829" s="18" t="n">
        <x:v>5</x:v>
      </x:c>
      <x:c r="G7829" t="n">
        <x:v>60</x:v>
      </x:c>
      <x:c r="H7829" t="str">
        <x:v>A</x:v>
      </x:c>
      <x:c r="I7829" t="str">
        <x:v>7-9 years</x:v>
      </x:c>
      <x:c r="J7829" t="str">
        <x:v>RENT</x:v>
      </x:c>
      <x:c r="K7829" t="str">
        <x:v>home_improvement</x:v>
      </x:c>
      <x:c r="L7829" t="n">
        <x:v>0</x:v>
      </x:c>
      <x:c r="M7829" t="n">
        <x:v>0</x:v>
      </x:c>
      <x:c r="N7829" t="str">
        <x:v>Fully Paid</x:v>
      </x:c>
      <x:c r="O7829" t="str">
        <x:f>IF(D7829="","Unknown",IF(D7829&lt;25000,"&lt;$25k",IF(D7829&lt;50000,"$25k-$50k",IF(D7829&lt;75000,"$50k-$75k",IF(D7829&lt;100000,"$75k-$100k","$100k+")))))</x:f>
        <x:v>$50k-$75k</x:v>
      </x:c>
      <x:c r="P7829" t="str">
        <x:f>IF(E7829="","Unknown",IF(E7829&lt;10,"&lt;10",IF(E7829&lt;20,"10-&lt;20",IF(E7829&lt;25,"20-&lt;25",IF(E7829&lt;35,"25-&lt;35","35+")))))</x:f>
        <x:v>25-&lt;35</x:v>
      </x:c>
    </x:row>
    <x:row r="7830">
      <x:c r="A7830" t="str">
        <x:v>SYN0007829</x:v>
      </x:c>
      <x:c r="B7830" s="12" t="n">
        <x:v>41785</x:v>
      </x:c>
      <x:c r="C7830" s="18" t="n">
        <x:v>13454</x:v>
      </x:c>
      <x:c r="D7830" s="18" t="n">
        <x:v>53301</x:v>
      </x:c>
      <x:c r="E7830" s="18" t="n">
        <x:v>7.91</x:v>
      </x:c>
      <x:c r="F7830" s="18" t="n">
        <x:v>12.22</x:v>
      </x:c>
      <x:c r="G7830" t="n">
        <x:v>36</x:v>
      </x:c>
      <x:c r="H7830" t="str">
        <x:v>C</x:v>
      </x:c>
      <x:c r="I7830" t="str">
        <x:v>7-9 years</x:v>
      </x:c>
      <x:c r="J7830" t="str">
        <x:v>MORTGAGE</x:v>
      </x:c>
      <x:c r="K7830" t="str">
        <x:v>credit_card</x:v>
      </x:c>
      <x:c r="L7830" t="n">
        <x:v>1</x:v>
      </x:c>
      <x:c r="M7830" t="n">
        <x:v>0</x:v>
      </x:c>
      <x:c r="N7830" t="str">
        <x:v>Fully Paid</x:v>
      </x:c>
      <x:c r="O7830" t="str">
        <x:f>IF(D7830="","Unknown",IF(D7830&lt;25000,"&lt;$25k",IF(D7830&lt;50000,"$25k-$50k",IF(D7830&lt;75000,"$50k-$75k",IF(D7830&lt;100000,"$75k-$100k","$100k+")))))</x:f>
        <x:v>$50k-$75k</x:v>
      </x:c>
      <x:c r="P7830" t="str">
        <x:f>IF(E7830="","Unknown",IF(E7830&lt;10,"&lt;10",IF(E7830&lt;20,"10-&lt;20",IF(E7830&lt;25,"20-&lt;25",IF(E7830&lt;35,"25-&lt;35","35+")))))</x:f>
        <x:v>&lt;10</x:v>
      </x:c>
    </x:row>
    <x:row r="7831">
      <x:c r="A7831" t="str">
        <x:v>SYN0007830</x:v>
      </x:c>
      <x:c r="B7831" s="12" t="n">
        <x:v>42235</x:v>
      </x:c>
      <x:c r="C7831" s="18" t="n">
        <x:v>40000</x:v>
      </x:c>
      <x:c r="D7831" s="18" t="n">
        <x:v>28008</x:v>
      </x:c>
      <x:c r="E7831" s="18" t="n">
        <x:v>8.27</x:v>
      </x:c>
      <x:c r="F7831" s="18" t="n">
        <x:v>12.21</x:v>
      </x:c>
      <x:c r="G7831" t="n">
        <x:v>36</x:v>
      </x:c>
      <x:c r="H7831" t="str">
        <x:v>B</x:v>
      </x:c>
      <x:c r="I7831" t="str">
        <x:v>10+ years</x:v>
      </x:c>
      <x:c r="J7831" t="str">
        <x:v>OWN</x:v>
      </x:c>
      <x:c r="K7831" t="str">
        <x:v>other</x:v>
      </x:c>
      <x:c r="L7831" t="n">
        <x:v>0</x:v>
      </x:c>
      <x:c r="M7831" t="n">
        <x:v>0</x:v>
      </x:c>
      <x:c r="N7831" t="str">
        <x:v>Fully Paid</x:v>
      </x:c>
      <x:c r="O7831" t="str">
        <x:f>IF(D7831="","Unknown",IF(D7831&lt;25000,"&lt;$25k",IF(D7831&lt;50000,"$25k-$50k",IF(D7831&lt;75000,"$50k-$75k",IF(D7831&lt;100000,"$75k-$100k","$100k+")))))</x:f>
        <x:v>$25k-$50k</x:v>
      </x:c>
      <x:c r="P7831" t="str">
        <x:f>IF(E7831="","Unknown",IF(E7831&lt;10,"&lt;10",IF(E7831&lt;20,"10-&lt;20",IF(E7831&lt;25,"20-&lt;25",IF(E7831&lt;35,"25-&lt;35","35+")))))</x:f>
        <x:v>&lt;10</x:v>
      </x:c>
    </x:row>
    <x:row r="7832">
      <x:c r="A7832" t="str">
        <x:v>SYN0007831</x:v>
      </x:c>
      <x:c r="B7832" s="12" t="n">
        <x:v>41815</x:v>
      </x:c>
      <x:c r="C7832" s="18" t="n">
        <x:v>21181</x:v>
      </x:c>
      <x:c r="D7832" s="18" t="n">
        <x:v>18802</x:v>
      </x:c>
      <x:c r="E7832" s="18" t="n">
        <x:v>17.57</x:v>
      </x:c>
      <x:c r="F7832" s="18" t="n">
        <x:v>16.93</x:v>
      </x:c>
      <x:c r="G7832" t="n">
        <x:v>36</x:v>
      </x:c>
      <x:c r="H7832" t="str">
        <x:v>D</x:v>
      </x:c>
      <x:c r="I7832" t="str">
        <x:v>4-6 years</x:v>
      </x:c>
      <x:c r="J7832" t="str">
        <x:v>OTHER</x:v>
      </x:c>
      <x:c r="K7832" t="str">
        <x:v>major_purchase</x:v>
      </x:c>
      <x:c r="L7832" t="n">
        <x:v>1</x:v>
      </x:c>
      <x:c r="M7832" t="n">
        <x:v>1</x:v>
      </x:c>
      <x:c r="N7832" t="str">
        <x:v>Charged Off</x:v>
      </x:c>
      <x:c r="O7832" t="str">
        <x:f>IF(D7832="","Unknown",IF(D7832&lt;25000,"&lt;$25k",IF(D7832&lt;50000,"$25k-$50k",IF(D7832&lt;75000,"$50k-$75k",IF(D7832&lt;100000,"$75k-$100k","$100k+")))))</x:f>
        <x:v>&lt;$25k</x:v>
      </x:c>
      <x:c r="P7832" t="str">
        <x:f>IF(E7832="","Unknown",IF(E7832&lt;10,"&lt;10",IF(E7832&lt;20,"10-&lt;20",IF(E7832&lt;25,"20-&lt;25",IF(E7832&lt;35,"25-&lt;35","35+")))))</x:f>
        <x:v>10-&lt;20</x:v>
      </x:c>
    </x:row>
    <x:row r="7833">
      <x:c r="A7833" t="str">
        <x:v>SYN0007832</x:v>
      </x:c>
      <x:c r="B7833" s="12" t="n">
        <x:v>41515</x:v>
      </x:c>
      <x:c r="C7833" s="18" t="n">
        <x:v>7498</x:v>
      </x:c>
      <x:c r="D7833" s="18" t="n">
        <x:v>13220</x:v>
      </x:c>
      <x:c r="E7833" s="18" t="n">
        <x:v>25.48</x:v>
      </x:c>
      <x:c r="F7833" s="18" t="n">
        <x:v>20.01</x:v>
      </x:c>
      <x:c r="G7833" t="n">
        <x:v>36</x:v>
      </x:c>
      <x:c r="H7833" t="str">
        <x:v>E</x:v>
      </x:c>
      <x:c r="I7833" t="str">
        <x:v>4-6 years</x:v>
      </x:c>
      <x:c r="J7833" t="str">
        <x:v>OWN</x:v>
      </x:c>
      <x:c r="K7833" t="str">
        <x:v>debt_consolidation</x:v>
      </x:c>
      <x:c r="L7833" t="n">
        <x:v>1</x:v>
      </x:c>
      <x:c r="M7833" t="n">
        <x:v>0</x:v>
      </x:c>
      <x:c r="N7833" t="str">
        <x:v>Fully Paid</x:v>
      </x:c>
      <x:c r="O7833" t="str">
        <x:f>IF(D7833="","Unknown",IF(D7833&lt;25000,"&lt;$25k",IF(D7833&lt;50000,"$25k-$50k",IF(D7833&lt;75000,"$50k-$75k",IF(D7833&lt;100000,"$75k-$100k","$100k+")))))</x:f>
        <x:v>&lt;$25k</x:v>
      </x:c>
      <x:c r="P7833" t="str">
        <x:f>IF(E7833="","Unknown",IF(E7833&lt;10,"&lt;10",IF(E7833&lt;20,"10-&lt;20",IF(E7833&lt;25,"20-&lt;25",IF(E7833&lt;35,"25-&lt;35","35+")))))</x:f>
        <x:v>25-&lt;35</x:v>
      </x:c>
    </x:row>
    <x:row r="7834">
      <x:c r="A7834" t="str">
        <x:v>SYN0007833</x:v>
      </x:c>
      <x:c r="B7834" s="12" t="n">
        <x:v>41815</x:v>
      </x:c>
      <x:c r="C7834" s="18" t="n">
        <x:v>12166</x:v>
      </x:c>
      <x:c r="D7834" s="18" t="n">
        <x:v>54357</x:v>
      </x:c>
      <x:c r="E7834" s="18" t="n">
        <x:v>19.71</x:v>
      </x:c>
      <x:c r="F7834" s="18" t="n">
        <x:v>18.29</x:v>
      </x:c>
      <x:c r="G7834" t="n">
        <x:v>36</x:v>
      </x:c>
      <x:c r="H7834" t="str">
        <x:v>E</x:v>
      </x:c>
      <x:c r="I7834" t="str">
        <x:v>4-6 years</x:v>
      </x:c>
      <x:c r="J7834" t="str">
        <x:v>MORTGAGE</x:v>
      </x:c>
      <x:c r="K7834" t="str">
        <x:v>debt_consolidation</x:v>
      </x:c>
      <x:c r="L7834" t="n">
        <x:v>1</x:v>
      </x:c>
      <x:c r="M7834" t="n">
        <x:v>0</x:v>
      </x:c>
      <x:c r="N7834" t="str">
        <x:v>Fully Paid</x:v>
      </x:c>
      <x:c r="O7834" t="str">
        <x:f>IF(D7834="","Unknown",IF(D7834&lt;25000,"&lt;$25k",IF(D7834&lt;50000,"$25k-$50k",IF(D7834&lt;75000,"$50k-$75k",IF(D7834&lt;100000,"$75k-$100k","$100k+")))))</x:f>
        <x:v>$50k-$75k</x:v>
      </x:c>
      <x:c r="P7834" t="str">
        <x:f>IF(E7834="","Unknown",IF(E7834&lt;10,"&lt;10",IF(E7834&lt;20,"10-&lt;20",IF(E7834&lt;25,"20-&lt;25",IF(E7834&lt;35,"25-&lt;35","35+")))))</x:f>
        <x:v>10-&lt;20</x:v>
      </x:c>
    </x:row>
    <x:row r="7835">
      <x:c r="A7835" t="str">
        <x:v>SYN0007834</x:v>
      </x:c>
      <x:c r="B7835" s="12" t="n">
        <x:v>41515</x:v>
      </x:c>
      <x:c r="C7835" s="18" t="n">
        <x:v>21561</x:v>
      </x:c>
      <x:c r="D7835" s="18" t="n">
        <x:v>58503</x:v>
      </x:c>
      <x:c r="E7835" s="18" t="n">
        <x:v>14.77</x:v>
      </x:c>
      <x:c r="F7835" s="18" t="n">
        <x:v>18.8</x:v>
      </x:c>
      <x:c r="G7835" t="n">
        <x:v>60</x:v>
      </x:c>
      <x:c r="H7835" t="str">
        <x:v>E</x:v>
      </x:c>
      <x:c r="I7835" t="str">
        <x:v>7-9 years</x:v>
      </x:c>
      <x:c r="J7835" t="str">
        <x:v>RENT</x:v>
      </x:c>
      <x:c r="K7835" t="str">
        <x:v>credit_card</x:v>
      </x:c>
      <x:c r="L7835" t="n">
        <x:v>0</x:v>
      </x:c>
      <x:c r="M7835" t="n">
        <x:v>0</x:v>
      </x:c>
      <x:c r="N7835" t="str">
        <x:v>Fully Paid</x:v>
      </x:c>
      <x:c r="O7835" t="str">
        <x:f>IF(D7835="","Unknown",IF(D7835&lt;25000,"&lt;$25k",IF(D7835&lt;50000,"$25k-$50k",IF(D7835&lt;75000,"$50k-$75k",IF(D7835&lt;100000,"$75k-$100k","$100k+")))))</x:f>
        <x:v>$50k-$75k</x:v>
      </x:c>
      <x:c r="P7835" t="str">
        <x:f>IF(E7835="","Unknown",IF(E7835&lt;10,"&lt;10",IF(E7835&lt;20,"10-&lt;20",IF(E7835&lt;25,"20-&lt;25",IF(E7835&lt;35,"25-&lt;35","35+")))))</x:f>
        <x:v>10-&lt;20</x:v>
      </x:c>
    </x:row>
    <x:row r="7836">
      <x:c r="A7836" t="str">
        <x:v>SYN0007835</x:v>
      </x:c>
      <x:c r="B7836" s="12" t="n">
        <x:v>41425</x:v>
      </x:c>
      <x:c r="C7836" s="18" t="n">
        <x:v>12598</x:v>
      </x:c>
      <x:c r="D7836" s="18" t="n">
        <x:v>58032</x:v>
      </x:c>
      <x:c r="E7836" s="18" t="n">
        <x:v>3.69</x:v>
      </x:c>
      <x:c r="F7836" s="18" t="n">
        <x:v>5.65</x:v>
      </x:c>
      <x:c r="G7836" t="n">
        <x:v>36</x:v>
      </x:c>
      <x:c r="H7836" t="str">
        <x:v>B</x:v>
      </x:c>
      <x:c r="I7836" t="str">
        <x:v>7-9 years</x:v>
      </x:c>
      <x:c r="J7836" t="str">
        <x:v>OWN</x:v>
      </x:c>
      <x:c r="K7836" t="str">
        <x:v>debt_consolidation</x:v>
      </x:c>
      <x:c r="L7836" t="n">
        <x:v>0</x:v>
      </x:c>
      <x:c r="M7836" t="n">
        <x:v>0</x:v>
      </x:c>
      <x:c r="N7836" t="str">
        <x:v>Fully Paid</x:v>
      </x:c>
      <x:c r="O7836" t="str">
        <x:f>IF(D7836="","Unknown",IF(D7836&lt;25000,"&lt;$25k",IF(D7836&lt;50000,"$25k-$50k",IF(D7836&lt;75000,"$50k-$75k",IF(D7836&lt;100000,"$75k-$100k","$100k+")))))</x:f>
        <x:v>$50k-$75k</x:v>
      </x:c>
      <x:c r="P7836" t="str">
        <x:f>IF(E7836="","Unknown",IF(E7836&lt;10,"&lt;10",IF(E7836&lt;20,"10-&lt;20",IF(E7836&lt;25,"20-&lt;25",IF(E7836&lt;35,"25-&lt;35","35+")))))</x:f>
        <x:v>&lt;10</x:v>
      </x:c>
    </x:row>
    <x:row r="7837">
      <x:c r="A7837" t="str">
        <x:v>SYN0007836</x:v>
      </x:c>
      <x:c r="B7837" s="12" t="n">
        <x:v>41485</x:v>
      </x:c>
      <x:c r="C7837" s="18" t="n">
        <x:v>8771</x:v>
      </x:c>
      <x:c r="D7837" s="18" t="n">
        <x:v>33673</x:v>
      </x:c>
      <x:c r="E7837" s="18" t="n">
        <x:v>24.3</x:v>
      </x:c>
      <x:c r="F7837" s="18" t="n">
        <x:v>18.39</x:v>
      </x:c>
      <x:c r="G7837" t="n">
        <x:v>36</x:v>
      </x:c>
      <x:c r="H7837" t="str">
        <x:v>E</x:v>
      </x:c>
      <x:c r="I7837" t="str">
        <x:v>&lt;1 year</x:v>
      </x:c>
      <x:c r="J7837" t="str">
        <x:v>RENT</x:v>
      </x:c>
      <x:c r="K7837" t="str">
        <x:v>debt_consolidation</x:v>
      </x:c>
      <x:c r="L7837" t="n">
        <x:v>1</x:v>
      </x:c>
      <x:c r="M7837" t="n">
        <x:v>1</x:v>
      </x:c>
      <x:c r="N7837" t="str">
        <x:v>Charged Off</x:v>
      </x:c>
      <x:c r="O7837" t="str">
        <x:f>IF(D7837="","Unknown",IF(D7837&lt;25000,"&lt;$25k",IF(D7837&lt;50000,"$25k-$50k",IF(D7837&lt;75000,"$50k-$75k",IF(D7837&lt;100000,"$75k-$100k","$100k+")))))</x:f>
        <x:v>$25k-$50k</x:v>
      </x:c>
      <x:c r="P7837" t="str">
        <x:f>IF(E7837="","Unknown",IF(E7837&lt;10,"&lt;10",IF(E7837&lt;20,"10-&lt;20",IF(E7837&lt;25,"20-&lt;25",IF(E7837&lt;35,"25-&lt;35","35+")))))</x:f>
        <x:v>20-&lt;25</x:v>
      </x:c>
    </x:row>
    <x:row r="7838">
      <x:c r="A7838" t="str">
        <x:v>SYN0007837</x:v>
      </x:c>
      <x:c r="B7838" s="12" t="n">
        <x:v>41875</x:v>
      </x:c>
      <x:c r="C7838" s="18" t="n">
        <x:v>9441</x:v>
      </x:c>
      <x:c r="D7838" s="18" t="n">
        <x:v>157587</x:v>
      </x:c>
      <x:c r="E7838" s="18" t="n">
        <x:v>24.43</x:v>
      </x:c>
      <x:c r="F7838" s="18" t="n">
        <x:v>16.43</x:v>
      </x:c>
      <x:c r="G7838" t="n">
        <x:v>60</x:v>
      </x:c>
      <x:c r="H7838" t="str">
        <x:v>D</x:v>
      </x:c>
      <x:c r="I7838" t="str">
        <x:v>4-6 years</x:v>
      </x:c>
      <x:c r="J7838" t="str">
        <x:v>MORTGAGE</x:v>
      </x:c>
      <x:c r="K7838" t="str">
        <x:v>debt_consolidation</x:v>
      </x:c>
      <x:c r="L7838" t="n">
        <x:v>0</x:v>
      </x:c>
      <x:c r="M7838" t="n">
        <x:v>0</x:v>
      </x:c>
      <x:c r="N7838" t="str">
        <x:v>Fully Paid</x:v>
      </x:c>
      <x:c r="O7838" t="str">
        <x:f>IF(D7838="","Unknown",IF(D7838&lt;25000,"&lt;$25k",IF(D7838&lt;50000,"$25k-$50k",IF(D7838&lt;75000,"$50k-$75k",IF(D7838&lt;100000,"$75k-$100k","$100k+")))))</x:f>
        <x:v>$100k+</x:v>
      </x:c>
      <x:c r="P7838" t="str">
        <x:f>IF(E7838="","Unknown",IF(E7838&lt;10,"&lt;10",IF(E7838&lt;20,"10-&lt;20",IF(E7838&lt;25,"20-&lt;25",IF(E7838&lt;35,"25-&lt;35","35+")))))</x:f>
        <x:v>20-&lt;25</x:v>
      </x:c>
    </x:row>
    <x:row r="7839">
      <x:c r="A7839" t="str">
        <x:v>SYN0007838</x:v>
      </x:c>
      <x:c r="B7839" s="12" t="n">
        <x:v>41665</x:v>
      </x:c>
      <x:c r="C7839" s="18" t="n">
        <x:v>6669</x:v>
      </x:c>
      <x:c r="D7839" s="18" t="n">
        <x:v>87749</x:v>
      </x:c>
      <x:c r="E7839" s="18" t="n">
        <x:v>25.53</x:v>
      </x:c>
      <x:c r="F7839" s="18" t="n">
        <x:v>15.35</x:v>
      </x:c>
      <x:c r="G7839" t="n">
        <x:v>36</x:v>
      </x:c>
      <x:c r="H7839" t="str">
        <x:v>D</x:v>
      </x:c>
      <x:c r="I7839" t="str">
        <x:v>&lt;1 year</x:v>
      </x:c>
      <x:c r="J7839" t="str">
        <x:v>RENT</x:v>
      </x:c>
      <x:c r="K7839" t="str">
        <x:v>credit_card</x:v>
      </x:c>
      <x:c r="L7839" t="n">
        <x:v>1</x:v>
      </x:c>
      <x:c r="M7839" t="n">
        <x:v>0</x:v>
      </x:c>
      <x:c r="N7839" t="str">
        <x:v>Fully Paid</x:v>
      </x:c>
      <x:c r="O7839" t="str">
        <x:f>IF(D7839="","Unknown",IF(D7839&lt;25000,"&lt;$25k",IF(D7839&lt;50000,"$25k-$50k",IF(D7839&lt;75000,"$50k-$75k",IF(D7839&lt;100000,"$75k-$100k","$100k+")))))</x:f>
        <x:v>$75k-$100k</x:v>
      </x:c>
      <x:c r="P7839" t="str">
        <x:f>IF(E7839="","Unknown",IF(E7839&lt;10,"&lt;10",IF(E7839&lt;20,"10-&lt;20",IF(E7839&lt;25,"20-&lt;25",IF(E7839&lt;35,"25-&lt;35","35+")))))</x:f>
        <x:v>25-&lt;35</x:v>
      </x:c>
    </x:row>
    <x:row r="7840">
      <x:c r="A7840" t="str">
        <x:v>SYN0007839</x:v>
      </x:c>
      <x:c r="B7840" s="12" t="n">
        <x:v>41815</x:v>
      </x:c>
      <x:c r="C7840" s="18" t="n">
        <x:v>11715</x:v>
      </x:c>
      <x:c r="D7840" s="18" t="n">
        <x:v>16613</x:v>
      </x:c>
      <x:c r="E7840" s="18" t="n">
        <x:v>15.6</x:v>
      </x:c>
      <x:c r="F7840" s="18" t="n">
        <x:v>16.22</x:v>
      </x:c>
      <x:c r="G7840" t="n">
        <x:v>36</x:v>
      </x:c>
      <x:c r="H7840" t="str">
        <x:v>D</x:v>
      </x:c>
      <x:c r="I7840" t="str">
        <x:v>4-6 years</x:v>
      </x:c>
      <x:c r="J7840" t="str">
        <x:v>MORTGAGE</x:v>
      </x:c>
      <x:c r="K7840" t="str">
        <x:v>debt_consolidation</x:v>
      </x:c>
      <x:c r="L7840" t="n">
        <x:v>2</x:v>
      </x:c>
      <x:c r="M7840" t="n">
        <x:v>0</x:v>
      </x:c>
      <x:c r="N7840" t="str">
        <x:v>Fully Paid</x:v>
      </x:c>
      <x:c r="O7840" t="str">
        <x:f>IF(D7840="","Unknown",IF(D7840&lt;25000,"&lt;$25k",IF(D7840&lt;50000,"$25k-$50k",IF(D7840&lt;75000,"$50k-$75k",IF(D7840&lt;100000,"$75k-$100k","$100k+")))))</x:f>
        <x:v>&lt;$25k</x:v>
      </x:c>
      <x:c r="P7840" t="str">
        <x:f>IF(E7840="","Unknown",IF(E7840&lt;10,"&lt;10",IF(E7840&lt;20,"10-&lt;20",IF(E7840&lt;25,"20-&lt;25",IF(E7840&lt;35,"25-&lt;35","35+")))))</x:f>
        <x:v>10-&lt;20</x:v>
      </x:c>
    </x:row>
    <x:row r="7841">
      <x:c r="A7841" t="str">
        <x:v>SYN0007840</x:v>
      </x:c>
      <x:c r="B7841" s="12" t="n">
        <x:v>41815</x:v>
      </x:c>
      <x:c r="C7841" s="18" t="n">
        <x:v>8089</x:v>
      </x:c>
      <x:c r="D7841" s="18" t="n">
        <x:v>49704</x:v>
      </x:c>
      <x:c r="E7841" s="18" t="n">
        <x:v>24.99</x:v>
      </x:c>
      <x:c r="F7841" s="18" t="n">
        <x:v>11.29</x:v>
      </x:c>
      <x:c r="G7841" t="n">
        <x:v>36</x:v>
      </x:c>
      <x:c r="H7841" t="str">
        <x:v>C</x:v>
      </x:c>
      <x:c r="I7841" t="str">
        <x:v>&lt;1 year</x:v>
      </x:c>
      <x:c r="J7841" t="str">
        <x:v>RENT</x:v>
      </x:c>
      <x:c r="K7841" t="str">
        <x:v>debt_consolidation</x:v>
      </x:c>
      <x:c r="L7841" t="n">
        <x:v>0</x:v>
      </x:c>
      <x:c r="M7841" t="n">
        <x:v>0</x:v>
      </x:c>
      <x:c r="N7841" t="str">
        <x:v>Fully Paid</x:v>
      </x:c>
      <x:c r="O7841" t="str">
        <x:f>IF(D7841="","Unknown",IF(D7841&lt;25000,"&lt;$25k",IF(D7841&lt;50000,"$25k-$50k",IF(D7841&lt;75000,"$50k-$75k",IF(D7841&lt;100000,"$75k-$100k","$100k+")))))</x:f>
        <x:v>$25k-$50k</x:v>
      </x:c>
      <x:c r="P7841" t="str">
        <x:f>IF(E7841="","Unknown",IF(E7841&lt;10,"&lt;10",IF(E7841&lt;20,"10-&lt;20",IF(E7841&lt;25,"20-&lt;25",IF(E7841&lt;35,"25-&lt;35","35+")))))</x:f>
        <x:v>20-&lt;25</x:v>
      </x:c>
    </x:row>
    <x:row r="7842">
      <x:c r="A7842" t="str">
        <x:v>SYN0007841</x:v>
      </x:c>
      <x:c r="B7842" s="12" t="n">
        <x:v>41845</x:v>
      </x:c>
      <x:c r="C7842" s="18" t="n">
        <x:v>13046</x:v>
      </x:c>
      <x:c r="D7842" s="18" t="n">
        <x:v>28383</x:v>
      </x:c>
      <x:c r="E7842" s="18" t="n">
        <x:v>17.11</x:v>
      </x:c>
      <x:c r="F7842" s="18" t="n">
        <x:v>17.94</x:v>
      </x:c>
      <x:c r="G7842" t="n">
        <x:v>36</x:v>
      </x:c>
      <x:c r="H7842" t="str">
        <x:v>E</x:v>
      </x:c>
      <x:c r="I7842" t="str">
        <x:v>1-3 years</x:v>
      </x:c>
      <x:c r="J7842" t="str">
        <x:v>MORTGAGE</x:v>
      </x:c>
      <x:c r="K7842" t="str">
        <x:v>credit_card</x:v>
      </x:c>
      <x:c r="L7842" t="n">
        <x:v>1</x:v>
      </x:c>
      <x:c r="M7842" t="n">
        <x:v>0</x:v>
      </x:c>
      <x:c r="N7842" t="str">
        <x:v>Fully Paid</x:v>
      </x:c>
      <x:c r="O7842" t="str">
        <x:f>IF(D7842="","Unknown",IF(D7842&lt;25000,"&lt;$25k",IF(D7842&lt;50000,"$25k-$50k",IF(D7842&lt;75000,"$50k-$75k",IF(D7842&lt;100000,"$75k-$100k","$100k+")))))</x:f>
        <x:v>$25k-$50k</x:v>
      </x:c>
      <x:c r="P7842" t="str">
        <x:f>IF(E7842="","Unknown",IF(E7842&lt;10,"&lt;10",IF(E7842&lt;20,"10-&lt;20",IF(E7842&lt;25,"20-&lt;25",IF(E7842&lt;35,"25-&lt;35","35+")))))</x:f>
        <x:v>10-&lt;20</x:v>
      </x:c>
    </x:row>
    <x:row r="7843">
      <x:c r="A7843" t="str">
        <x:v>SYN0007842</x:v>
      </x:c>
      <x:c r="B7843" s="12" t="n">
        <x:v>41725</x:v>
      </x:c>
      <x:c r="C7843" s="18" t="n">
        <x:v>10513</x:v>
      </x:c>
      <x:c r="D7843" s="18" t="n">
        <x:v>46448</x:v>
      </x:c>
      <x:c r="E7843" s="18" t="n">
        <x:v>23.62</x:v>
      </x:c>
      <x:c r="F7843" s="18" t="n">
        <x:v>11.73</x:v>
      </x:c>
      <x:c r="G7843" t="n">
        <x:v>60</x:v>
      </x:c>
      <x:c r="H7843" t="str">
        <x:v>C</x:v>
      </x:c>
      <x:c r="I7843" t="str">
        <x:v>&lt;1 year</x:v>
      </x:c>
      <x:c r="J7843" t="str">
        <x:v>OWN</x:v>
      </x:c>
      <x:c r="K7843" t="str">
        <x:v>home_improvement</x:v>
      </x:c>
      <x:c r="L7843" t="n">
        <x:v>1</x:v>
      </x:c>
      <x:c r="M7843" t="n">
        <x:v>0</x:v>
      </x:c>
      <x:c r="N7843" t="str">
        <x:v>Fully Paid</x:v>
      </x:c>
      <x:c r="O7843" t="str">
        <x:f>IF(D7843="","Unknown",IF(D7843&lt;25000,"&lt;$25k",IF(D7843&lt;50000,"$25k-$50k",IF(D7843&lt;75000,"$50k-$75k",IF(D7843&lt;100000,"$75k-$100k","$100k+")))))</x:f>
        <x:v>$25k-$50k</x:v>
      </x:c>
      <x:c r="P7843" t="str">
        <x:f>IF(E7843="","Unknown",IF(E7843&lt;10,"&lt;10",IF(E7843&lt;20,"10-&lt;20",IF(E7843&lt;25,"20-&lt;25",IF(E7843&lt;35,"25-&lt;35","35+")))))</x:f>
        <x:v>20-&lt;25</x:v>
      </x:c>
    </x:row>
    <x:row r="7844">
      <x:c r="A7844" t="str">
        <x:v>SYN0007843</x:v>
      </x:c>
      <x:c r="B7844" s="12" t="n">
        <x:v>42685</x:v>
      </x:c>
      <x:c r="C7844" s="18" t="n">
        <x:v>9465</x:v>
      </x:c>
      <x:c r="D7844" s="18" t="n">
        <x:v>46696</x:v>
      </x:c>
      <x:c r="E7844" s="18" t="n">
        <x:v>13.46</x:v>
      </x:c>
      <x:c r="F7844" s="18" t="n">
        <x:v>9.77</x:v>
      </x:c>
      <x:c r="G7844" t="n">
        <x:v>60</x:v>
      </x:c>
      <x:c r="H7844" t="str">
        <x:v>B</x:v>
      </x:c>
      <x:c r="I7844" t="str">
        <x:v>10+ years</x:v>
      </x:c>
      <x:c r="J7844" t="str">
        <x:v>MORTGAGE</x:v>
      </x:c>
      <x:c r="K7844" t="str">
        <x:v>medical</x:v>
      </x:c>
      <x:c r="L7844" t="n">
        <x:v>0</x:v>
      </x:c>
      <x:c r="M7844" t="n">
        <x:v>0</x:v>
      </x:c>
      <x:c r="N7844" t="str">
        <x:v>Fully Paid</x:v>
      </x:c>
      <x:c r="O7844" t="str">
        <x:f>IF(D7844="","Unknown",IF(D7844&lt;25000,"&lt;$25k",IF(D7844&lt;50000,"$25k-$50k",IF(D7844&lt;75000,"$50k-$75k",IF(D7844&lt;100000,"$75k-$100k","$100k+")))))</x:f>
        <x:v>$25k-$50k</x:v>
      </x:c>
      <x:c r="P7844" t="str">
        <x:f>IF(E7844="","Unknown",IF(E7844&lt;10,"&lt;10",IF(E7844&lt;20,"10-&lt;20",IF(E7844&lt;25,"20-&lt;25",IF(E7844&lt;35,"25-&lt;35","35+")))))</x:f>
        <x:v>10-&lt;20</x:v>
      </x:c>
    </x:row>
    <x:row r="7845">
      <x:c r="A7845" t="str">
        <x:v>SYN0007844</x:v>
      </x:c>
      <x:c r="B7845" s="12" t="n">
        <x:v>42745</x:v>
      </x:c>
      <x:c r="C7845" s="18" t="n">
        <x:v>4872</x:v>
      </x:c>
      <x:c r="D7845" s="18" t="n">
        <x:v>76260</x:v>
      </x:c>
      <x:c r="E7845" s="18" t="n">
        <x:v>21.29</x:v>
      </x:c>
      <x:c r="F7845" s="18" t="n">
        <x:v>5</x:v>
      </x:c>
      <x:c r="G7845" t="n">
        <x:v>36</x:v>
      </x:c>
      <x:c r="H7845" t="str">
        <x:v>A</x:v>
      </x:c>
      <x:c r="I7845" t="str">
        <x:v>1-3 years</x:v>
      </x:c>
      <x:c r="J7845" t="str">
        <x:v>RENT</x:v>
      </x:c>
      <x:c r="K7845" t="str">
        <x:v>other</x:v>
      </x:c>
      <x:c r="L7845" t="n">
        <x:v>0</x:v>
      </x:c>
      <x:c r="M7845" t="n">
        <x:v>0</x:v>
      </x:c>
      <x:c r="N7845" t="str">
        <x:v>Fully Paid</x:v>
      </x:c>
      <x:c r="O7845" t="str">
        <x:f>IF(D7845="","Unknown",IF(D7845&lt;25000,"&lt;$25k",IF(D7845&lt;50000,"$25k-$50k",IF(D7845&lt;75000,"$50k-$75k",IF(D7845&lt;100000,"$75k-$100k","$100k+")))))</x:f>
        <x:v>$75k-$100k</x:v>
      </x:c>
      <x:c r="P7845" t="str">
        <x:f>IF(E7845="","Unknown",IF(E7845&lt;10,"&lt;10",IF(E7845&lt;20,"10-&lt;20",IF(E7845&lt;25,"20-&lt;25",IF(E7845&lt;35,"25-&lt;35","35+")))))</x:f>
        <x:v>20-&lt;25</x:v>
      </x:c>
    </x:row>
    <x:row r="7846">
      <x:c r="A7846" t="str">
        <x:v>SYN0007845</x:v>
      </x:c>
      <x:c r="B7846" s="12" t="n">
        <x:v>41365</x:v>
      </x:c>
      <x:c r="C7846" s="18" t="n">
        <x:v>17177</x:v>
      </x:c>
      <x:c r="D7846" s="18" t="n">
        <x:v>31111</x:v>
      </x:c>
      <x:c r="E7846" s="18" t="n">
        <x:v>9.55</x:v>
      </x:c>
      <x:c r="F7846" s="18" t="n">
        <x:v>11.43</x:v>
      </x:c>
      <x:c r="G7846" t="n">
        <x:v>36</x:v>
      </x:c>
      <x:c r="H7846" t="str">
        <x:v>C</x:v>
      </x:c>
      <x:c r="I7846" t="str">
        <x:v>4-6 years</x:v>
      </x:c>
      <x:c r="J7846" t="str">
        <x:v>RENT</x:v>
      </x:c>
      <x:c r="K7846" t="str">
        <x:v>major_purchase</x:v>
      </x:c>
      <x:c r="L7846" t="n">
        <x:v>0</x:v>
      </x:c>
      <x:c r="M7846" t="n">
        <x:v>0</x:v>
      </x:c>
      <x:c r="N7846" t="str">
        <x:v>Fully Paid</x:v>
      </x:c>
      <x:c r="O7846" t="str">
        <x:f>IF(D7846="","Unknown",IF(D7846&lt;25000,"&lt;$25k",IF(D7846&lt;50000,"$25k-$50k",IF(D7846&lt;75000,"$50k-$75k",IF(D7846&lt;100000,"$75k-$100k","$100k+")))))</x:f>
        <x:v>$25k-$50k</x:v>
      </x:c>
      <x:c r="P7846" t="str">
        <x:f>IF(E7846="","Unknown",IF(E7846&lt;10,"&lt;10",IF(E7846&lt;20,"10-&lt;20",IF(E7846&lt;25,"20-&lt;25",IF(E7846&lt;35,"25-&lt;35","35+")))))</x:f>
        <x:v>&lt;10</x:v>
      </x:c>
    </x:row>
    <x:row r="7847">
      <x:c r="A7847" t="str">
        <x:v>SYN0007846</x:v>
      </x:c>
      <x:c r="B7847" s="12" t="n">
        <x:v>42745</x:v>
      </x:c>
      <x:c r="C7847" s="18" t="n">
        <x:v>5129</x:v>
      </x:c>
      <x:c r="D7847" s="18" t="n">
        <x:v>93709</x:v>
      </x:c>
      <x:c r="E7847" s="18" t="n">
        <x:v>2.04</x:v>
      </x:c>
      <x:c r="F7847" s="18" t="n">
        <x:v>9.62</x:v>
      </x:c>
      <x:c r="G7847" t="n">
        <x:v>36</x:v>
      </x:c>
      <x:c r="H7847" t="str">
        <x:v>C</x:v>
      </x:c>
      <x:c r="I7847" t="str">
        <x:v>7-9 years</x:v>
      </x:c>
      <x:c r="J7847" t="str">
        <x:v>RENT</x:v>
      </x:c>
      <x:c r="K7847" t="str">
        <x:v>debt_consolidation</x:v>
      </x:c>
      <x:c r="L7847" t="n">
        <x:v>1</x:v>
      </x:c>
      <x:c r="M7847" t="n">
        <x:v>0</x:v>
      </x:c>
      <x:c r="N7847" t="str">
        <x:v>Fully Paid</x:v>
      </x:c>
      <x:c r="O7847" t="str">
        <x:f>IF(D7847="","Unknown",IF(D7847&lt;25000,"&lt;$25k",IF(D7847&lt;50000,"$25k-$50k",IF(D7847&lt;75000,"$50k-$75k",IF(D7847&lt;100000,"$75k-$100k","$100k+")))))</x:f>
        <x:v>$75k-$100k</x:v>
      </x:c>
      <x:c r="P7847" t="str">
        <x:f>IF(E7847="","Unknown",IF(E7847&lt;10,"&lt;10",IF(E7847&lt;20,"10-&lt;20",IF(E7847&lt;25,"20-&lt;25",IF(E7847&lt;35,"25-&lt;35","35+")))))</x:f>
        <x:v>&lt;10</x:v>
      </x:c>
    </x:row>
    <x:row r="7848">
      <x:c r="A7848" t="str">
        <x:v>SYN0007847</x:v>
      </x:c>
      <x:c r="B7848" s="12" t="n">
        <x:v>41845</x:v>
      </x:c>
      <x:c r="C7848" s="18" t="n">
        <x:v>14850</x:v>
      </x:c>
      <x:c r="D7848" s="18" t="n">
        <x:v>12000</x:v>
      </x:c>
      <x:c r="E7848" s="18" t="n">
        <x:v>21.91</x:v>
      </x:c>
      <x:c r="F7848" s="18" t="n">
        <x:v>11.42</x:v>
      </x:c>
      <x:c r="G7848" t="n">
        <x:v>60</x:v>
      </x:c>
      <x:c r="H7848" t="str">
        <x:v>C</x:v>
      </x:c>
      <x:c r="I7848" t="str">
        <x:v>7-9 years</x:v>
      </x:c>
      <x:c r="J7848" t="str">
        <x:v>MORTGAGE</x:v>
      </x:c>
      <x:c r="K7848" t="str">
        <x:v>debt_consolidation</x:v>
      </x:c>
      <x:c r="L7848" t="n">
        <x:v>1</x:v>
      </x:c>
      <x:c r="M7848" t="n">
        <x:v>0</x:v>
      </x:c>
      <x:c r="N7848" t="str">
        <x:v>Fully Paid</x:v>
      </x:c>
      <x:c r="O7848" t="str">
        <x:f>IF(D7848="","Unknown",IF(D7848&lt;25000,"&lt;$25k",IF(D7848&lt;50000,"$25k-$50k",IF(D7848&lt;75000,"$50k-$75k",IF(D7848&lt;100000,"$75k-$100k","$100k+")))))</x:f>
        <x:v>&lt;$25k</x:v>
      </x:c>
      <x:c r="P7848" t="str">
        <x:f>IF(E7848="","Unknown",IF(E7848&lt;10,"&lt;10",IF(E7848&lt;20,"10-&lt;20",IF(E7848&lt;25,"20-&lt;25",IF(E7848&lt;35,"25-&lt;35","35+")))))</x:f>
        <x:v>20-&lt;25</x:v>
      </x:c>
    </x:row>
    <x:row r="7849">
      <x:c r="A7849" t="str">
        <x:v>SYN0007848</x:v>
      </x:c>
      <x:c r="B7849" s="12" t="n">
        <x:v>42055</x:v>
      </x:c>
      <x:c r="C7849" s="18" t="n">
        <x:v>38497</x:v>
      </x:c>
      <x:c r="D7849" s="18" t="n">
        <x:v>69579</x:v>
      </x:c>
      <x:c r="E7849" s="18" t="n">
        <x:v>4.73</x:v>
      </x:c>
      <x:c r="F7849" s="18" t="n">
        <x:v>6.35</x:v>
      </x:c>
      <x:c r="G7849" t="n">
        <x:v>36</x:v>
      </x:c>
      <x:c r="H7849" t="str">
        <x:v>A</x:v>
      </x:c>
      <x:c r="I7849" t="str">
        <x:v>10+ years</x:v>
      </x:c>
      <x:c r="J7849" t="str">
        <x:v>RENT</x:v>
      </x:c>
      <x:c r="K7849" t="str">
        <x:v>other</x:v>
      </x:c>
      <x:c r="L7849" t="n">
        <x:v>0</x:v>
      </x:c>
      <x:c r="M7849" t="n">
        <x:v>0</x:v>
      </x:c>
      <x:c r="N7849" t="str">
        <x:v>Fully Paid</x:v>
      </x:c>
      <x:c r="O7849" t="str">
        <x:f>IF(D7849="","Unknown",IF(D7849&lt;25000,"&lt;$25k",IF(D7849&lt;50000,"$25k-$50k",IF(D7849&lt;75000,"$50k-$75k",IF(D7849&lt;100000,"$75k-$100k","$100k+")))))</x:f>
        <x:v>$50k-$75k</x:v>
      </x:c>
      <x:c r="P7849" t="str">
        <x:f>IF(E7849="","Unknown",IF(E7849&lt;10,"&lt;10",IF(E7849&lt;20,"10-&lt;20",IF(E7849&lt;25,"20-&lt;25",IF(E7849&lt;35,"25-&lt;35","35+")))))</x:f>
        <x:v>&lt;10</x:v>
      </x:c>
    </x:row>
    <x:row r="7850">
      <x:c r="A7850" t="str">
        <x:v>SYN0007849</x:v>
      </x:c>
      <x:c r="B7850" s="12" t="n">
        <x:v>42325</x:v>
      </x:c>
      <x:c r="C7850" s="18" t="n">
        <x:v>40000</x:v>
      </x:c>
      <x:c r="D7850" s="18" t="n">
        <x:v>60774</x:v>
      </x:c>
      <x:c r="E7850" s="18" t="n">
        <x:v>14.18</x:v>
      </x:c>
      <x:c r="F7850" s="18" t="n">
        <x:v>9.47</x:v>
      </x:c>
      <x:c r="G7850" t="n">
        <x:v>36</x:v>
      </x:c>
      <x:c r="H7850" t="str">
        <x:v>A</x:v>
      </x:c>
      <x:c r="I7850" t="str">
        <x:v>10+ years</x:v>
      </x:c>
      <x:c r="J7850" t="str">
        <x:v>MORTGAGE</x:v>
      </x:c>
      <x:c r="K7850" t="str">
        <x:v>major_purchase</x:v>
      </x:c>
      <x:c r="L7850" t="n">
        <x:v>0</x:v>
      </x:c>
      <x:c r="M7850" t="n">
        <x:v>0</x:v>
      </x:c>
      <x:c r="N7850" t="str">
        <x:v>Fully Paid</x:v>
      </x:c>
      <x:c r="O7850" t="str">
        <x:f>IF(D7850="","Unknown",IF(D7850&lt;25000,"&lt;$25k",IF(D7850&lt;50000,"$25k-$50k",IF(D7850&lt;75000,"$50k-$75k",IF(D7850&lt;100000,"$75k-$100k","$100k+")))))</x:f>
        <x:v>$50k-$75k</x:v>
      </x:c>
      <x:c r="P7850" t="str">
        <x:f>IF(E7850="","Unknown",IF(E7850&lt;10,"&lt;10",IF(E7850&lt;20,"10-&lt;20",IF(E7850&lt;25,"20-&lt;25",IF(E7850&lt;35,"25-&lt;35","35+")))))</x:f>
        <x:v>10-&lt;20</x:v>
      </x:c>
    </x:row>
    <x:row r="7851">
      <x:c r="A7851" t="str">
        <x:v>SYN0007850</x:v>
      </x:c>
      <x:c r="B7851" s="12" t="n">
        <x:v>42985</x:v>
      </x:c>
      <x:c r="C7851" s="18" t="n">
        <x:v>19057</x:v>
      </x:c>
      <x:c r="D7851" s="18" t="n">
        <x:v>73093</x:v>
      </x:c>
      <x:c r="E7851" s="18" t="n">
        <x:v>33.13</x:v>
      </x:c>
      <x:c r="F7851" s="18" t="n">
        <x:v>19.1</x:v>
      </x:c>
      <x:c r="G7851" t="n">
        <x:v>36</x:v>
      </x:c>
      <x:c r="H7851" t="str">
        <x:v>E</x:v>
      </x:c>
      <x:c r="I7851" t="str">
        <x:v>4-6 years</x:v>
      </x:c>
      <x:c r="J7851" t="str">
        <x:v>RENT</x:v>
      </x:c>
      <x:c r="K7851" t="str">
        <x:v>debt_consolidation</x:v>
      </x:c>
      <x:c r="L7851" t="n">
        <x:v>0</x:v>
      </x:c>
      <x:c r="M7851" t="n">
        <x:v>0</x:v>
      </x:c>
      <x:c r="N7851" t="str">
        <x:v>Fully Paid</x:v>
      </x:c>
      <x:c r="O7851" t="str">
        <x:f>IF(D7851="","Unknown",IF(D7851&lt;25000,"&lt;$25k",IF(D7851&lt;50000,"$25k-$50k",IF(D7851&lt;75000,"$50k-$75k",IF(D7851&lt;100000,"$75k-$100k","$100k+")))))</x:f>
        <x:v>$50k-$75k</x:v>
      </x:c>
      <x:c r="P7851" t="str">
        <x:f>IF(E7851="","Unknown",IF(E7851&lt;10,"&lt;10",IF(E7851&lt;20,"10-&lt;20",IF(E7851&lt;25,"20-&lt;25",IF(E7851&lt;35,"25-&lt;35","35+")))))</x:f>
        <x:v>25-&lt;35</x:v>
      </x:c>
    </x:row>
    <x:row r="7852">
      <x:c r="A7852" t="str">
        <x:v>SYN0007851</x:v>
      </x:c>
      <x:c r="B7852" s="12" t="n">
        <x:v>42475</x:v>
      </x:c>
      <x:c r="C7852" s="18" t="n">
        <x:v>4863</x:v>
      </x:c>
      <x:c r="D7852" s="18" t="n">
        <x:v>66554</x:v>
      </x:c>
      <x:c r="E7852" s="18" t="n">
        <x:v>2.52</x:v>
      </x:c>
      <x:c r="F7852" s="18" t="n">
        <x:v>5.05</x:v>
      </x:c>
      <x:c r="G7852" t="n">
        <x:v>36</x:v>
      </x:c>
      <x:c r="H7852" t="str">
        <x:v>A</x:v>
      </x:c>
      <x:c r="I7852" t="str">
        <x:v>10+ years</x:v>
      </x:c>
      <x:c r="J7852" t="str">
        <x:v>MORTGAGE</x:v>
      </x:c>
      <x:c r="K7852" t="str">
        <x:v>home_improvement</x:v>
      </x:c>
      <x:c r="L7852" t="n">
        <x:v>0</x:v>
      </x:c>
      <x:c r="M7852" t="n">
        <x:v>0</x:v>
      </x:c>
      <x:c r="N7852" t="str">
        <x:v>Fully Paid</x:v>
      </x:c>
      <x:c r="O7852" t="str">
        <x:f>IF(D7852="","Unknown",IF(D7852&lt;25000,"&lt;$25k",IF(D7852&lt;50000,"$25k-$50k",IF(D7852&lt;75000,"$50k-$75k",IF(D7852&lt;100000,"$75k-$100k","$100k+")))))</x:f>
        <x:v>$50k-$75k</x:v>
      </x:c>
      <x:c r="P7852" t="str">
        <x:f>IF(E7852="","Unknown",IF(E7852&lt;10,"&lt;10",IF(E7852&lt;20,"10-&lt;20",IF(E7852&lt;25,"20-&lt;25",IF(E7852&lt;35,"25-&lt;35","35+")))))</x:f>
        <x:v>&lt;10</x:v>
      </x:c>
    </x:row>
    <x:row r="7853">
      <x:c r="A7853" t="str">
        <x:v>SYN0007852</x:v>
      </x:c>
      <x:c r="B7853" s="12" t="n">
        <x:v>42445</x:v>
      </x:c>
      <x:c r="C7853" s="18" t="n">
        <x:v>12050</x:v>
      </x:c>
      <x:c r="D7853" s="18" t="n">
        <x:v>12040</x:v>
      </x:c>
      <x:c r="E7853" s="18" t="n">
        <x:v>8.05</x:v>
      </x:c>
      <x:c r="F7853" s="18" t="n">
        <x:v>19.44</x:v>
      </x:c>
      <x:c r="G7853" t="n">
        <x:v>60</x:v>
      </x:c>
      <x:c r="H7853" t="str">
        <x:v>E</x:v>
      </x:c>
      <x:c r="I7853" t="str">
        <x:v>7-9 years</x:v>
      </x:c>
      <x:c r="J7853" t="str">
        <x:v>MORTGAGE</x:v>
      </x:c>
      <x:c r="K7853" t="str">
        <x:v>credit_card</x:v>
      </x:c>
      <x:c r="L7853" t="n">
        <x:v>0</x:v>
      </x:c>
      <x:c r="M7853" t="n">
        <x:v>0</x:v>
      </x:c>
      <x:c r="N7853" t="str">
        <x:v>Fully Paid</x:v>
      </x:c>
      <x:c r="O7853" t="str">
        <x:f>IF(D7853="","Unknown",IF(D7853&lt;25000,"&lt;$25k",IF(D7853&lt;50000,"$25k-$50k",IF(D7853&lt;75000,"$50k-$75k",IF(D7853&lt;100000,"$75k-$100k","$100k+")))))</x:f>
        <x:v>&lt;$25k</x:v>
      </x:c>
      <x:c r="P7853" t="str">
        <x:f>IF(E7853="","Unknown",IF(E7853&lt;10,"&lt;10",IF(E7853&lt;20,"10-&lt;20",IF(E7853&lt;25,"20-&lt;25",IF(E7853&lt;35,"25-&lt;35","35+")))))</x:f>
        <x:v>&lt;10</x:v>
      </x:c>
    </x:row>
    <x:row r="7854">
      <x:c r="A7854" t="str">
        <x:v>SYN0007853</x:v>
      </x:c>
      <x:c r="B7854" s="12" t="n">
        <x:v>42055</x:v>
      </x:c>
      <x:c r="C7854" s="18" t="n">
        <x:v>5254</x:v>
      </x:c>
      <x:c r="D7854" s="18" t="n">
        <x:v>88175</x:v>
      </x:c>
      <x:c r="E7854" s="18" t="n">
        <x:v>18.36</x:v>
      </x:c>
      <x:c r="F7854" s="18" t="n">
        <x:v>10.5</x:v>
      </x:c>
      <x:c r="G7854" t="n">
        <x:v>36</x:v>
      </x:c>
      <x:c r="H7854" t="str">
        <x:v>A</x:v>
      </x:c>
      <x:c r="I7854" t="str">
        <x:v>10+ years</x:v>
      </x:c>
      <x:c r="J7854" t="str">
        <x:v>MORTGAGE</x:v>
      </x:c>
      <x:c r="K7854" t="str">
        <x:v>credit_card</x:v>
      </x:c>
      <x:c r="L7854" t="n">
        <x:v>0</x:v>
      </x:c>
      <x:c r="M7854" t="n">
        <x:v>0</x:v>
      </x:c>
      <x:c r="N7854" t="str">
        <x:v>Fully Paid</x:v>
      </x:c>
      <x:c r="O7854" t="str">
        <x:f>IF(D7854="","Unknown",IF(D7854&lt;25000,"&lt;$25k",IF(D7854&lt;50000,"$25k-$50k",IF(D7854&lt;75000,"$50k-$75k",IF(D7854&lt;100000,"$75k-$100k","$100k+")))))</x:f>
        <x:v>$75k-$100k</x:v>
      </x:c>
      <x:c r="P7854" t="str">
        <x:f>IF(E7854="","Unknown",IF(E7854&lt;10,"&lt;10",IF(E7854&lt;20,"10-&lt;20",IF(E7854&lt;25,"20-&lt;25",IF(E7854&lt;35,"25-&lt;35","35+")))))</x:f>
        <x:v>10-&lt;20</x:v>
      </x:c>
    </x:row>
    <x:row r="7855">
      <x:c r="A7855" t="str">
        <x:v>SYN0007854</x:v>
      </x:c>
      <x:c r="B7855" s="12" t="n">
        <x:v>41905</x:v>
      </x:c>
      <x:c r="C7855" s="18" t="n">
        <x:v>10060</x:v>
      </x:c>
      <x:c r="D7855" s="18" t="n">
        <x:v>30773</x:v>
      </x:c>
      <x:c r="E7855" s="18" t="n">
        <x:v>25.46</x:v>
      </x:c>
      <x:c r="F7855" s="18" t="n">
        <x:v>5</x:v>
      </x:c>
      <x:c r="G7855" t="n">
        <x:v>60</x:v>
      </x:c>
      <x:c r="H7855" t="str">
        <x:v>A</x:v>
      </x:c>
      <x:c r="I7855" t="str">
        <x:v>7-9 years</x:v>
      </x:c>
      <x:c r="J7855" t="str">
        <x:v>RENT</x:v>
      </x:c>
      <x:c r="K7855" t="str">
        <x:v>debt_consolidation</x:v>
      </x:c>
      <x:c r="L7855" t="n">
        <x:v>1</x:v>
      </x:c>
      <x:c r="M7855" t="n">
        <x:v>0</x:v>
      </x:c>
      <x:c r="N7855" t="str">
        <x:v>Fully Paid</x:v>
      </x:c>
      <x:c r="O7855" t="str">
        <x:f>IF(D7855="","Unknown",IF(D7855&lt;25000,"&lt;$25k",IF(D7855&lt;50000,"$25k-$50k",IF(D7855&lt;75000,"$50k-$75k",IF(D7855&lt;100000,"$75k-$100k","$100k+")))))</x:f>
        <x:v>$25k-$50k</x:v>
      </x:c>
      <x:c r="P7855" t="str">
        <x:f>IF(E7855="","Unknown",IF(E7855&lt;10,"&lt;10",IF(E7855&lt;20,"10-&lt;20",IF(E7855&lt;25,"20-&lt;25",IF(E7855&lt;35,"25-&lt;35","35+")))))</x:f>
        <x:v>25-&lt;35</x:v>
      </x:c>
    </x:row>
    <x:row r="7856">
      <x:c r="A7856" t="str">
        <x:v>SYN0007855</x:v>
      </x:c>
      <x:c r="B7856" s="12" t="n">
        <x:v>41995</x:v>
      </x:c>
      <x:c r="C7856" s="18" t="n">
        <x:v>13761</x:v>
      </x:c>
      <x:c r="D7856" s="18" t="n">
        <x:v>46124</x:v>
      </x:c>
      <x:c r="E7856" s="18" t="n">
        <x:v>16.95</x:v>
      </x:c>
      <x:c r="F7856" s="18" t="n">
        <x:v>18.36</x:v>
      </x:c>
      <x:c r="G7856" t="n">
        <x:v>60</x:v>
      </x:c>
      <x:c r="H7856" t="str">
        <x:v>E</x:v>
      </x:c>
      <x:c r="I7856" t="str">
        <x:v>1-3 years</x:v>
      </x:c>
      <x:c r="J7856" t="str">
        <x:v>OWN</x:v>
      </x:c>
      <x:c r="K7856" t="str">
        <x:v>debt_consolidation</x:v>
      </x:c>
      <x:c r="L7856" t="n">
        <x:v>1</x:v>
      </x:c>
      <x:c r="M7856" t="n">
        <x:v>0</x:v>
      </x:c>
      <x:c r="N7856" t="str">
        <x:v>Fully Paid</x:v>
      </x:c>
      <x:c r="O7856" t="str">
        <x:f>IF(D7856="","Unknown",IF(D7856&lt;25000,"&lt;$25k",IF(D7856&lt;50000,"$25k-$50k",IF(D7856&lt;75000,"$50k-$75k",IF(D7856&lt;100000,"$75k-$100k","$100k+")))))</x:f>
        <x:v>$25k-$50k</x:v>
      </x:c>
      <x:c r="P7856" t="str">
        <x:f>IF(E7856="","Unknown",IF(E7856&lt;10,"&lt;10",IF(E7856&lt;20,"10-&lt;20",IF(E7856&lt;25,"20-&lt;25",IF(E7856&lt;35,"25-&lt;35","35+")))))</x:f>
        <x:v>10-&lt;20</x:v>
      </x:c>
    </x:row>
    <x:row r="7857">
      <x:c r="A7857" t="str">
        <x:v>SYN0007856</x:v>
      </x:c>
      <x:c r="B7857" s="12" t="n">
        <x:v>43255</x:v>
      </x:c>
      <x:c r="C7857" s="18" t="n">
        <x:v>20731</x:v>
      </x:c>
      <x:c r="D7857" s="18" t="n">
        <x:v>44562</x:v>
      </x:c>
      <x:c r="E7857" s="18" t="n">
        <x:v>26.24</x:v>
      </x:c>
      <x:c r="F7857" s="18" t="n">
        <x:v>10.82</x:v>
      </x:c>
      <x:c r="G7857" t="n">
        <x:v>36</x:v>
      </x:c>
      <x:c r="H7857" t="str">
        <x:v>C</x:v>
      </x:c>
      <x:c r="I7857" t="str">
        <x:v>&lt;1 year</x:v>
      </x:c>
      <x:c r="J7857" t="str">
        <x:v>RENT</x:v>
      </x:c>
      <x:c r="K7857" t="str">
        <x:v>credit_card</x:v>
      </x:c>
      <x:c r="L7857" t="n">
        <x:v>0</x:v>
      </x:c>
      <x:c r="M7857" t="n">
        <x:v>1</x:v>
      </x:c>
      <x:c r="N7857" t="str">
        <x:v>Charged Off</x:v>
      </x:c>
      <x:c r="O7857" t="str">
        <x:f>IF(D7857="","Unknown",IF(D7857&lt;25000,"&lt;$25k",IF(D7857&lt;50000,"$25k-$50k",IF(D7857&lt;75000,"$50k-$75k",IF(D7857&lt;100000,"$75k-$100k","$100k+")))))</x:f>
        <x:v>$25k-$50k</x:v>
      </x:c>
      <x:c r="P7857" t="str">
        <x:f>IF(E7857="","Unknown",IF(E7857&lt;10,"&lt;10",IF(E7857&lt;20,"10-&lt;20",IF(E7857&lt;25,"20-&lt;25",IF(E7857&lt;35,"25-&lt;35","35+")))))</x:f>
        <x:v>25-&lt;35</x:v>
      </x:c>
    </x:row>
    <x:row r="7858">
      <x:c r="A7858" t="str">
        <x:v>SYN0007857</x:v>
      </x:c>
      <x:c r="B7858" s="12" t="n">
        <x:v>42505</x:v>
      </x:c>
      <x:c r="C7858" s="18" t="n">
        <x:v>14432</x:v>
      </x:c>
      <x:c r="D7858" s="18" t="n">
        <x:v>164650</x:v>
      </x:c>
      <x:c r="E7858" s="18" t="n">
        <x:v>24.66</x:v>
      </x:c>
      <x:c r="F7858" s="18" t="n">
        <x:v>15.42</x:v>
      </x:c>
      <x:c r="G7858" t="n">
        <x:v>36</x:v>
      </x:c>
      <x:c r="H7858" t="str">
        <x:v>D</x:v>
      </x:c>
      <x:c r="I7858" t="str">
        <x:v>1-3 years</x:v>
      </x:c>
      <x:c r="J7858" t="str">
        <x:v>RENT</x:v>
      </x:c>
      <x:c r="K7858" t="str">
        <x:v>debt_consolidation</x:v>
      </x:c>
      <x:c r="L7858" t="n">
        <x:v>2</x:v>
      </x:c>
      <x:c r="M7858" t="n">
        <x:v>0</x:v>
      </x:c>
      <x:c r="N7858" t="str">
        <x:v>Fully Paid</x:v>
      </x:c>
      <x:c r="O7858" t="str">
        <x:f>IF(D7858="","Unknown",IF(D7858&lt;25000,"&lt;$25k",IF(D7858&lt;50000,"$25k-$50k",IF(D7858&lt;75000,"$50k-$75k",IF(D7858&lt;100000,"$75k-$100k","$100k+")))))</x:f>
        <x:v>$100k+</x:v>
      </x:c>
      <x:c r="P7858" t="str">
        <x:f>IF(E7858="","Unknown",IF(E7858&lt;10,"&lt;10",IF(E7858&lt;20,"10-&lt;20",IF(E7858&lt;25,"20-&lt;25",IF(E7858&lt;35,"25-&lt;35","35+")))))</x:f>
        <x:v>20-&lt;25</x:v>
      </x:c>
    </x:row>
    <x:row r="7859">
      <x:c r="A7859" t="str">
        <x:v>SYN0007858</x:v>
      </x:c>
      <x:c r="B7859" s="12" t="n">
        <x:v>42775</x:v>
      </x:c>
      <x:c r="C7859" s="18" t="n">
        <x:v>6835</x:v>
      </x:c>
      <x:c r="D7859" s="18" t="n">
        <x:v>96930</x:v>
      </x:c>
      <x:c r="E7859" s="18" t="n">
        <x:v>23.37</x:v>
      </x:c>
      <x:c r="F7859" s="18" t="n">
        <x:v>21.73</x:v>
      </x:c>
      <x:c r="G7859" t="n">
        <x:v>60</x:v>
      </x:c>
      <x:c r="H7859" t="str">
        <x:v>F</x:v>
      </x:c>
      <x:c r="I7859" t="str">
        <x:v>4-6 years</x:v>
      </x:c>
      <x:c r="J7859" t="str">
        <x:v>RENT</x:v>
      </x:c>
      <x:c r="K7859" t="str">
        <x:v>debt_consolidation</x:v>
      </x:c>
      <x:c r="L7859" t="n">
        <x:v>1</x:v>
      </x:c>
      <x:c r="M7859" t="n">
        <x:v>1</x:v>
      </x:c>
      <x:c r="N7859" t="str">
        <x:v>Charged Off</x:v>
      </x:c>
      <x:c r="O7859" t="str">
        <x:f>IF(D7859="","Unknown",IF(D7859&lt;25000,"&lt;$25k",IF(D7859&lt;50000,"$25k-$50k",IF(D7859&lt;75000,"$50k-$75k",IF(D7859&lt;100000,"$75k-$100k","$100k+")))))</x:f>
        <x:v>$75k-$100k</x:v>
      </x:c>
      <x:c r="P7859" t="str">
        <x:f>IF(E7859="","Unknown",IF(E7859&lt;10,"&lt;10",IF(E7859&lt;20,"10-&lt;20",IF(E7859&lt;25,"20-&lt;25",IF(E7859&lt;35,"25-&lt;35","35+")))))</x:f>
        <x:v>20-&lt;25</x:v>
      </x:c>
    </x:row>
    <x:row r="7860">
      <x:c r="A7860" t="str">
        <x:v>SYN0007859</x:v>
      </x:c>
      <x:c r="B7860" s="12" t="n">
        <x:v>42985</x:v>
      </x:c>
      <x:c r="C7860" s="18" t="n">
        <x:v>14122</x:v>
      </x:c>
      <x:c r="D7860" s="18" t="n">
        <x:v>42223</x:v>
      </x:c>
      <x:c r="E7860" s="18" t="n">
        <x:v>11.78</x:v>
      </x:c>
      <x:c r="F7860" s="18" t="n">
        <x:v>10.95</x:v>
      </x:c>
      <x:c r="G7860" t="n">
        <x:v>60</x:v>
      </x:c>
      <x:c r="H7860" t="str">
        <x:v>C</x:v>
      </x:c>
      <x:c r="I7860" t="str">
        <x:v>7-9 years</x:v>
      </x:c>
      <x:c r="J7860" t="str">
        <x:v>RENT</x:v>
      </x:c>
      <x:c r="K7860" t="str">
        <x:v>major_purchase</x:v>
      </x:c>
      <x:c r="L7860" t="n">
        <x:v>1</x:v>
      </x:c>
      <x:c r="M7860" t="n">
        <x:v>0</x:v>
      </x:c>
      <x:c r="N7860" t="str">
        <x:v>Fully Paid</x:v>
      </x:c>
      <x:c r="O7860" t="str">
        <x:f>IF(D7860="","Unknown",IF(D7860&lt;25000,"&lt;$25k",IF(D7860&lt;50000,"$25k-$50k",IF(D7860&lt;75000,"$50k-$75k",IF(D7860&lt;100000,"$75k-$100k","$100k+")))))</x:f>
        <x:v>$25k-$50k</x:v>
      </x:c>
      <x:c r="P7860" t="str">
        <x:f>IF(E7860="","Unknown",IF(E7860&lt;10,"&lt;10",IF(E7860&lt;20,"10-&lt;20",IF(E7860&lt;25,"20-&lt;25",IF(E7860&lt;35,"25-&lt;35","35+")))))</x:f>
        <x:v>10-&lt;20</x:v>
      </x:c>
    </x:row>
    <x:row r="7861">
      <x:c r="A7861" t="str">
        <x:v>SYN0007860</x:v>
      </x:c>
      <x:c r="B7861" s="12" t="n">
        <x:v>43105</x:v>
      </x:c>
      <x:c r="C7861" s="18" t="n">
        <x:v>18194</x:v>
      </x:c>
      <x:c r="D7861" s="18" t="n">
        <x:v>34096</x:v>
      </x:c>
      <x:c r="E7861" s="18" t="n">
        <x:v>26.92</x:v>
      </x:c>
      <x:c r="F7861" s="18" t="n">
        <x:v>12.94</x:v>
      </x:c>
      <x:c r="G7861" t="n">
        <x:v>36</x:v>
      </x:c>
      <x:c r="H7861" t="str">
        <x:v>D</x:v>
      </x:c>
      <x:c r="I7861" t="str">
        <x:v>4-6 years</x:v>
      </x:c>
      <x:c r="J7861" t="str">
        <x:v>MORTGAGE</x:v>
      </x:c>
      <x:c r="K7861" t="str">
        <x:v>debt_consolidation</x:v>
      </x:c>
      <x:c r="L7861" t="n">
        <x:v>1</x:v>
      </x:c>
      <x:c r="M7861" t="n">
        <x:v>1</x:v>
      </x:c>
      <x:c r="N7861" t="str">
        <x:v>Charged Off</x:v>
      </x:c>
      <x:c r="O7861" t="str">
        <x:f>IF(D7861="","Unknown",IF(D7861&lt;25000,"&lt;$25k",IF(D7861&lt;50000,"$25k-$50k",IF(D7861&lt;75000,"$50k-$75k",IF(D7861&lt;100000,"$75k-$100k","$100k+")))))</x:f>
        <x:v>$25k-$50k</x:v>
      </x:c>
      <x:c r="P7861" t="str">
        <x:f>IF(E7861="","Unknown",IF(E7861&lt;10,"&lt;10",IF(E7861&lt;20,"10-&lt;20",IF(E7861&lt;25,"20-&lt;25",IF(E7861&lt;35,"25-&lt;35","35+")))))</x:f>
        <x:v>25-&lt;35</x:v>
      </x:c>
    </x:row>
    <x:row r="7862">
      <x:c r="A7862" t="str">
        <x:v>SYN0007861</x:v>
      </x:c>
      <x:c r="B7862" s="12" t="n">
        <x:v>42205</x:v>
      </x:c>
      <x:c r="C7862" s="18" t="n">
        <x:v>23147</x:v>
      </x:c>
      <x:c r="D7862" s="18" t="n">
        <x:v>58003</x:v>
      </x:c>
      <x:c r="E7862" s="18" t="n">
        <x:v>8.47</x:v>
      </x:c>
      <x:c r="F7862" s="18" t="n">
        <x:v>10.01</x:v>
      </x:c>
      <x:c r="G7862" t="n">
        <x:v>36</x:v>
      </x:c>
      <x:c r="H7862" t="str">
        <x:v>B</x:v>
      </x:c>
      <x:c r="I7862" t="str">
        <x:v>4-6 years</x:v>
      </x:c>
      <x:c r="J7862" t="str">
        <x:v>OWN</x:v>
      </x:c>
      <x:c r="K7862" t="str">
        <x:v>debt_consolidation</x:v>
      </x:c>
      <x:c r="L7862" t="n">
        <x:v>1</x:v>
      </x:c>
      <x:c r="M7862" t="n">
        <x:v>0</x:v>
      </x:c>
      <x:c r="N7862" t="str">
        <x:v>Fully Paid</x:v>
      </x:c>
      <x:c r="O7862" t="str">
        <x:f>IF(D7862="","Unknown",IF(D7862&lt;25000,"&lt;$25k",IF(D7862&lt;50000,"$25k-$50k",IF(D7862&lt;75000,"$50k-$75k",IF(D7862&lt;100000,"$75k-$100k","$100k+")))))</x:f>
        <x:v>$50k-$75k</x:v>
      </x:c>
      <x:c r="P7862" t="str">
        <x:f>IF(E7862="","Unknown",IF(E7862&lt;10,"&lt;10",IF(E7862&lt;20,"10-&lt;20",IF(E7862&lt;25,"20-&lt;25",IF(E7862&lt;35,"25-&lt;35","35+")))))</x:f>
        <x:v>&lt;10</x:v>
      </x:c>
    </x:row>
    <x:row r="7863">
      <x:c r="A7863" t="str">
        <x:v>SYN0007862</x:v>
      </x:c>
      <x:c r="B7863" s="12" t="n">
        <x:v>41545</x:v>
      </x:c>
      <x:c r="C7863" s="18" t="n">
        <x:v>4778</x:v>
      </x:c>
      <x:c r="D7863" s="18" t="n">
        <x:v>33482</x:v>
      </x:c>
      <x:c r="E7863" s="18" t="n">
        <x:v>8.17</x:v>
      </x:c>
      <x:c r="F7863" s="18" t="n">
        <x:v>12.92</x:v>
      </x:c>
      <x:c r="G7863" t="n">
        <x:v>36</x:v>
      </x:c>
      <x:c r="H7863" t="str">
        <x:v>D</x:v>
      </x:c>
      <x:c r="I7863" t="str">
        <x:v>10+ years</x:v>
      </x:c>
      <x:c r="J7863" t="str">
        <x:v>MORTGAGE</x:v>
      </x:c>
      <x:c r="K7863" t="str">
        <x:v>credit_card</x:v>
      </x:c>
      <x:c r="L7863" t="n">
        <x:v>0</x:v>
      </x:c>
      <x:c r="M7863" t="n">
        <x:v>0</x:v>
      </x:c>
      <x:c r="N7863" t="str">
        <x:v>Fully Paid</x:v>
      </x:c>
      <x:c r="O7863" t="str">
        <x:f>IF(D7863="","Unknown",IF(D7863&lt;25000,"&lt;$25k",IF(D7863&lt;50000,"$25k-$50k",IF(D7863&lt;75000,"$50k-$75k",IF(D7863&lt;100000,"$75k-$100k","$100k+")))))</x:f>
        <x:v>$25k-$50k</x:v>
      </x:c>
      <x:c r="P7863" t="str">
        <x:f>IF(E7863="","Unknown",IF(E7863&lt;10,"&lt;10",IF(E7863&lt;20,"10-&lt;20",IF(E7863&lt;25,"20-&lt;25",IF(E7863&lt;35,"25-&lt;35","35+")))))</x:f>
        <x:v>&lt;10</x:v>
      </x:c>
    </x:row>
    <x:row r="7864">
      <x:c r="A7864" t="str">
        <x:v>SYN0007863</x:v>
      </x:c>
      <x:c r="B7864" s="12" t="n">
        <x:v>41425</x:v>
      </x:c>
      <x:c r="C7864" s="18" t="n">
        <x:v>5796</x:v>
      </x:c>
      <x:c r="D7864" s="18" t="n">
        <x:v>30647</x:v>
      </x:c>
      <x:c r="E7864" s="18" t="n">
        <x:v>17.9</x:v>
      </x:c>
      <x:c r="F7864" s="18" t="n">
        <x:v>11.17</x:v>
      </x:c>
      <x:c r="G7864" t="n">
        <x:v>60</x:v>
      </x:c>
      <x:c r="H7864" t="str">
        <x:v>C</x:v>
      </x:c>
      <x:c r="I7864" t="str">
        <x:v>1-3 years</x:v>
      </x:c>
      <x:c r="J7864" t="str">
        <x:v>OWN</x:v>
      </x:c>
      <x:c r="K7864" t="str">
        <x:v>medical</x:v>
      </x:c>
      <x:c r="L7864" t="n">
        <x:v>0</x:v>
      </x:c>
      <x:c r="M7864" t="n">
        <x:v>0</x:v>
      </x:c>
      <x:c r="N7864" t="str">
        <x:v>Fully Paid</x:v>
      </x:c>
      <x:c r="O7864" t="str">
        <x:f>IF(D7864="","Unknown",IF(D7864&lt;25000,"&lt;$25k",IF(D7864&lt;50000,"$25k-$50k",IF(D7864&lt;75000,"$50k-$75k",IF(D7864&lt;100000,"$75k-$100k","$100k+")))))</x:f>
        <x:v>$25k-$50k</x:v>
      </x:c>
      <x:c r="P7864" t="str">
        <x:f>IF(E7864="","Unknown",IF(E7864&lt;10,"&lt;10",IF(E7864&lt;20,"10-&lt;20",IF(E7864&lt;25,"20-&lt;25",IF(E7864&lt;35,"25-&lt;35","35+")))))</x:f>
        <x:v>10-&lt;20</x:v>
      </x:c>
    </x:row>
    <x:row r="7865">
      <x:c r="A7865" t="str">
        <x:v>SYN0007864</x:v>
      </x:c>
      <x:c r="B7865" s="12" t="n">
        <x:v>42565</x:v>
      </x:c>
      <x:c r="C7865" s="18" t="n">
        <x:v>12203</x:v>
      </x:c>
      <x:c r="D7865" s="18" t="n">
        <x:v>132985</x:v>
      </x:c>
      <x:c r="E7865" s="18" t="n">
        <x:v>1.69</x:v>
      </x:c>
      <x:c r="F7865" s="18" t="n">
        <x:v>7.38</x:v>
      </x:c>
      <x:c r="G7865" t="n">
        <x:v>60</x:v>
      </x:c>
      <x:c r="H7865" t="str">
        <x:v>B</x:v>
      </x:c>
      <x:c r="I7865" t="str">
        <x:v>&lt;1 year</x:v>
      </x:c>
      <x:c r="J7865" t="str">
        <x:v>MORTGAGE</x:v>
      </x:c>
      <x:c r="K7865" t="str">
        <x:v>credit_card</x:v>
      </x:c>
      <x:c r="L7865" t="n">
        <x:v>0</x:v>
      </x:c>
      <x:c r="M7865" t="n">
        <x:v>0</x:v>
      </x:c>
      <x:c r="N7865" t="str">
        <x:v>Fully Paid</x:v>
      </x:c>
      <x:c r="O7865" t="str">
        <x:f>IF(D7865="","Unknown",IF(D7865&lt;25000,"&lt;$25k",IF(D7865&lt;50000,"$25k-$50k",IF(D7865&lt;75000,"$50k-$75k",IF(D7865&lt;100000,"$75k-$100k","$100k+")))))</x:f>
        <x:v>$100k+</x:v>
      </x:c>
      <x:c r="P7865" t="str">
        <x:f>IF(E7865="","Unknown",IF(E7865&lt;10,"&lt;10",IF(E7865&lt;20,"10-&lt;20",IF(E7865&lt;25,"20-&lt;25",IF(E7865&lt;35,"25-&lt;35","35+")))))</x:f>
        <x:v>&lt;10</x:v>
      </x:c>
    </x:row>
    <x:row r="7866">
      <x:c r="A7866" t="str">
        <x:v>SYN0007865</x:v>
      </x:c>
      <x:c r="B7866" s="12" t="n">
        <x:v>41305</x:v>
      </x:c>
      <x:c r="C7866" s="18" t="n">
        <x:v>5358</x:v>
      </x:c>
      <x:c r="D7866" s="18" t="n">
        <x:v>14748</x:v>
      </x:c>
      <x:c r="E7866" s="18" t="n">
        <x:v>13.78</x:v>
      </x:c>
      <x:c r="F7866" s="18" t="n">
        <x:v>13.23</x:v>
      </x:c>
      <x:c r="G7866" t="n">
        <x:v>36</x:v>
      </x:c>
      <x:c r="H7866" t="str">
        <x:v>C</x:v>
      </x:c>
      <x:c r="I7866" t="str">
        <x:v>4-6 years</x:v>
      </x:c>
      <x:c r="J7866" t="str">
        <x:v>OWN</x:v>
      </x:c>
      <x:c r="K7866" t="str">
        <x:v>other</x:v>
      </x:c>
      <x:c r="L7866" t="n">
        <x:v>0</x:v>
      </x:c>
      <x:c r="M7866" t="n">
        <x:v>0</x:v>
      </x:c>
      <x:c r="N7866" t="str">
        <x:v>Fully Paid</x:v>
      </x:c>
      <x:c r="O7866" t="str">
        <x:f>IF(D7866="","Unknown",IF(D7866&lt;25000,"&lt;$25k",IF(D7866&lt;50000,"$25k-$50k",IF(D7866&lt;75000,"$50k-$75k",IF(D7866&lt;100000,"$75k-$100k","$100k+")))))</x:f>
        <x:v>&lt;$25k</x:v>
      </x:c>
      <x:c r="P7866" t="str">
        <x:f>IF(E7866="","Unknown",IF(E7866&lt;10,"&lt;10",IF(E7866&lt;20,"10-&lt;20",IF(E7866&lt;25,"20-&lt;25",IF(E7866&lt;35,"25-&lt;35","35+")))))</x:f>
        <x:v>10-&lt;20</x:v>
      </x:c>
    </x:row>
    <x:row r="7867">
      <x:c r="A7867" t="str">
        <x:v>SYN0007866</x:v>
      </x:c>
      <x:c r="B7867" s="12" t="n">
        <x:v>42925</x:v>
      </x:c>
      <x:c r="C7867" s="18" t="n">
        <x:v>7731</x:v>
      </x:c>
      <x:c r="D7867" s="18" t="n">
        <x:v>41918</x:v>
      </x:c>
      <x:c r="E7867" s="18" t="n">
        <x:v>3.76</x:v>
      </x:c>
      <x:c r="F7867" s="18" t="n">
        <x:v>5.14</x:v>
      </x:c>
      <x:c r="G7867" t="n">
        <x:v>36</x:v>
      </x:c>
      <x:c r="H7867" t="str">
        <x:v>A</x:v>
      </x:c>
      <x:c r="I7867" t="str">
        <x:v>7-9 years</x:v>
      </x:c>
      <x:c r="J7867" t="str">
        <x:v>RENT</x:v>
      </x:c>
      <x:c r="K7867" t="str">
        <x:v>debt_consolidation</x:v>
      </x:c>
      <x:c r="L7867" t="n">
        <x:v>0</x:v>
      </x:c>
      <x:c r="M7867" t="n">
        <x:v>0</x:v>
      </x:c>
      <x:c r="N7867" t="str">
        <x:v>Fully Paid</x:v>
      </x:c>
      <x:c r="O7867" t="str">
        <x:f>IF(D7867="","Unknown",IF(D7867&lt;25000,"&lt;$25k",IF(D7867&lt;50000,"$25k-$50k",IF(D7867&lt;75000,"$50k-$75k",IF(D7867&lt;100000,"$75k-$100k","$100k+")))))</x:f>
        <x:v>$25k-$50k</x:v>
      </x:c>
      <x:c r="P7867" t="str">
        <x:f>IF(E7867="","Unknown",IF(E7867&lt;10,"&lt;10",IF(E7867&lt;20,"10-&lt;20",IF(E7867&lt;25,"20-&lt;25",IF(E7867&lt;35,"25-&lt;35","35+")))))</x:f>
        <x:v>&lt;10</x:v>
      </x:c>
    </x:row>
    <x:row r="7868">
      <x:c r="A7868" t="str">
        <x:v>SYN0007867</x:v>
      </x:c>
      <x:c r="B7868" s="12" t="n">
        <x:v>42805</x:v>
      </x:c>
      <x:c r="C7868" s="18" t="n">
        <x:v>12041</x:v>
      </x:c>
      <x:c r="D7868" s="18" t="n">
        <x:v>61242</x:v>
      </x:c>
      <x:c r="E7868" s="18" t="n">
        <x:v>19.64</x:v>
      </x:c>
      <x:c r="F7868" s="18" t="n">
        <x:v>8.1</x:v>
      </x:c>
      <x:c r="G7868" t="n">
        <x:v>36</x:v>
      </x:c>
      <x:c r="H7868" t="str">
        <x:v>B</x:v>
      </x:c>
      <x:c r="I7868" t="str">
        <x:v>&lt;1 year</x:v>
      </x:c>
      <x:c r="J7868" t="str">
        <x:v>OWN</x:v>
      </x:c>
      <x:c r="K7868" t="str">
        <x:v>medical</x:v>
      </x:c>
      <x:c r="L7868" t="n">
        <x:v>1</x:v>
      </x:c>
      <x:c r="M7868" t="n">
        <x:v>0</x:v>
      </x:c>
      <x:c r="N7868" t="str">
        <x:v>Fully Paid</x:v>
      </x:c>
      <x:c r="O7868" t="str">
        <x:f>IF(D7868="","Unknown",IF(D7868&lt;25000,"&lt;$25k",IF(D7868&lt;50000,"$25k-$50k",IF(D7868&lt;75000,"$50k-$75k",IF(D7868&lt;100000,"$75k-$100k","$100k+")))))</x:f>
        <x:v>$50k-$75k</x:v>
      </x:c>
      <x:c r="P7868" t="str">
        <x:f>IF(E7868="","Unknown",IF(E7868&lt;10,"&lt;10",IF(E7868&lt;20,"10-&lt;20",IF(E7868&lt;25,"20-&lt;25",IF(E7868&lt;35,"25-&lt;35","35+")))))</x:f>
        <x:v>10-&lt;20</x:v>
      </x:c>
    </x:row>
    <x:row r="7869">
      <x:c r="A7869" t="str">
        <x:v>SYN0007868</x:v>
      </x:c>
      <x:c r="B7869" s="12" t="n">
        <x:v>43135</x:v>
      </x:c>
      <x:c r="C7869" s="18" t="n">
        <x:v>5906</x:v>
      </x:c>
      <x:c r="D7869" s="18" t="n">
        <x:v>77898</x:v>
      </x:c>
      <x:c r="E7869" s="18" t="n">
        <x:v>30.33</x:v>
      </x:c>
      <x:c r="F7869" s="18" t="n">
        <x:v>8.09</x:v>
      </x:c>
      <x:c r="G7869" t="n">
        <x:v>36</x:v>
      </x:c>
      <x:c r="H7869" t="str">
        <x:v>A</x:v>
      </x:c>
      <x:c r="I7869" t="str">
        <x:v>4-6 years</x:v>
      </x:c>
      <x:c r="J7869" t="str">
        <x:v>MORTGAGE</x:v>
      </x:c>
      <x:c r="K7869" t="str">
        <x:v>major_purchase</x:v>
      </x:c>
      <x:c r="L7869" t="n">
        <x:v>0</x:v>
      </x:c>
      <x:c r="M7869" t="n">
        <x:v>0</x:v>
      </x:c>
      <x:c r="N7869" t="str">
        <x:v>Fully Paid</x:v>
      </x:c>
      <x:c r="O7869" t="str">
        <x:f>IF(D7869="","Unknown",IF(D7869&lt;25000,"&lt;$25k",IF(D7869&lt;50000,"$25k-$50k",IF(D7869&lt;75000,"$50k-$75k",IF(D7869&lt;100000,"$75k-$100k","$100k+")))))</x:f>
        <x:v>$75k-$100k</x:v>
      </x:c>
      <x:c r="P7869" t="str">
        <x:f>IF(E7869="","Unknown",IF(E7869&lt;10,"&lt;10",IF(E7869&lt;20,"10-&lt;20",IF(E7869&lt;25,"20-&lt;25",IF(E7869&lt;35,"25-&lt;35","35+")))))</x:f>
        <x:v>25-&lt;35</x:v>
      </x:c>
    </x:row>
    <x:row r="7870">
      <x:c r="A7870" t="str">
        <x:v>SYN0007869</x:v>
      </x:c>
      <x:c r="B7870" s="12" t="n">
        <x:v>41845</x:v>
      </x:c>
      <x:c r="C7870" s="18" t="n">
        <x:v>10492</x:v>
      </x:c>
      <x:c r="D7870" s="18" t="n">
        <x:v>59965</x:v>
      </x:c>
      <x:c r="E7870" s="18" t="n">
        <x:v>23.21</x:v>
      </x:c>
      <x:c r="F7870" s="18" t="n">
        <x:v>22.42</x:v>
      </x:c>
      <x:c r="G7870" t="n">
        <x:v>36</x:v>
      </x:c>
      <x:c r="H7870" t="str">
        <x:v>F</x:v>
      </x:c>
      <x:c r="I7870" t="str">
        <x:v>4-6 years</x:v>
      </x:c>
      <x:c r="J7870" t="str">
        <x:v>RENT</x:v>
      </x:c>
      <x:c r="K7870" t="str">
        <x:v>debt_consolidation</x:v>
      </x:c>
      <x:c r="L7870" t="n">
        <x:v>0</x:v>
      </x:c>
      <x:c r="M7870" t="n">
        <x:v>0</x:v>
      </x:c>
      <x:c r="N7870" t="str">
        <x:v>Fully Paid</x:v>
      </x:c>
      <x:c r="O7870" t="str">
        <x:f>IF(D7870="","Unknown",IF(D7870&lt;25000,"&lt;$25k",IF(D7870&lt;50000,"$25k-$50k",IF(D7870&lt;75000,"$50k-$75k",IF(D7870&lt;100000,"$75k-$100k","$100k+")))))</x:f>
        <x:v>$50k-$75k</x:v>
      </x:c>
      <x:c r="P7870" t="str">
        <x:f>IF(E7870="","Unknown",IF(E7870&lt;10,"&lt;10",IF(E7870&lt;20,"10-&lt;20",IF(E7870&lt;25,"20-&lt;25",IF(E7870&lt;35,"25-&lt;35","35+")))))</x:f>
        <x:v>20-&lt;25</x:v>
      </x:c>
    </x:row>
    <x:row r="7871">
      <x:c r="A7871" t="str">
        <x:v>SYN0007870</x:v>
      </x:c>
      <x:c r="B7871" s="12" t="n">
        <x:v>43015</x:v>
      </x:c>
      <x:c r="C7871" s="18" t="n">
        <x:v>22211</x:v>
      </x:c>
      <x:c r="D7871" s="18" t="n">
        <x:v>49791</x:v>
      </x:c>
      <x:c r="E7871" s="18" t="n">
        <x:v>14.39</x:v>
      </x:c>
      <x:c r="F7871" s="18" t="n">
        <x:v>19</x:v>
      </x:c>
      <x:c r="G7871" t="n">
        <x:v>36</x:v>
      </x:c>
      <x:c r="H7871" t="str">
        <x:v>E</x:v>
      </x:c>
      <x:c r="I7871" t="str">
        <x:v>10+ years</x:v>
      </x:c>
      <x:c r="J7871" t="str">
        <x:v>RENT</x:v>
      </x:c>
      <x:c r="K7871" t="str">
        <x:v>debt_consolidation</x:v>
      </x:c>
      <x:c r="L7871" t="n">
        <x:v>0</x:v>
      </x:c>
      <x:c r="M7871" t="n">
        <x:v>0</x:v>
      </x:c>
      <x:c r="N7871" t="str">
        <x:v>Fully Paid</x:v>
      </x:c>
      <x:c r="O7871" t="str">
        <x:f>IF(D7871="","Unknown",IF(D7871&lt;25000,"&lt;$25k",IF(D7871&lt;50000,"$25k-$50k",IF(D7871&lt;75000,"$50k-$75k",IF(D7871&lt;100000,"$75k-$100k","$100k+")))))</x:f>
        <x:v>$25k-$50k</x:v>
      </x:c>
      <x:c r="P7871" t="str">
        <x:f>IF(E7871="","Unknown",IF(E7871&lt;10,"&lt;10",IF(E7871&lt;20,"10-&lt;20",IF(E7871&lt;25,"20-&lt;25",IF(E7871&lt;35,"25-&lt;35","35+")))))</x:f>
        <x:v>10-&lt;20</x:v>
      </x:c>
    </x:row>
    <x:row r="7872">
      <x:c r="A7872" t="str">
        <x:v>SYN0007871</x:v>
      </x:c>
      <x:c r="B7872" s="12" t="n">
        <x:v>42505</x:v>
      </x:c>
      <x:c r="C7872" s="18" t="n">
        <x:v>13935</x:v>
      </x:c>
      <x:c r="D7872" s="18" t="n">
        <x:v>112966</x:v>
      </x:c>
      <x:c r="E7872" s="18" t="n">
        <x:v>17.24</x:v>
      </x:c>
      <x:c r="F7872" s="18" t="n">
        <x:v>12.5</x:v>
      </x:c>
      <x:c r="G7872" t="n">
        <x:v>36</x:v>
      </x:c>
      <x:c r="H7872" t="str">
        <x:v>C</x:v>
      </x:c>
      <x:c r="I7872" t="str">
        <x:v>4-6 years</x:v>
      </x:c>
      <x:c r="J7872" t="str">
        <x:v>RENT</x:v>
      </x:c>
      <x:c r="K7872" t="str">
        <x:v>debt_consolidation</x:v>
      </x:c>
      <x:c r="L7872" t="n">
        <x:v>0</x:v>
      </x:c>
      <x:c r="M7872" t="n">
        <x:v>0</x:v>
      </x:c>
      <x:c r="N7872" t="str">
        <x:v>Fully Paid</x:v>
      </x:c>
      <x:c r="O7872" t="str">
        <x:f>IF(D7872="","Unknown",IF(D7872&lt;25000,"&lt;$25k",IF(D7872&lt;50000,"$25k-$50k",IF(D7872&lt;75000,"$50k-$75k",IF(D7872&lt;100000,"$75k-$100k","$100k+")))))</x:f>
        <x:v>$100k+</x:v>
      </x:c>
      <x:c r="P7872" t="str">
        <x:f>IF(E7872="","Unknown",IF(E7872&lt;10,"&lt;10",IF(E7872&lt;20,"10-&lt;20",IF(E7872&lt;25,"20-&lt;25",IF(E7872&lt;35,"25-&lt;35","35+")))))</x:f>
        <x:v>10-&lt;20</x:v>
      </x:c>
    </x:row>
    <x:row r="7873">
      <x:c r="A7873" t="str">
        <x:v>SYN0007872</x:v>
      </x:c>
      <x:c r="B7873" s="12" t="n">
        <x:v>42835</x:v>
      </x:c>
      <x:c r="C7873" s="18" t="n">
        <x:v>10738</x:v>
      </x:c>
      <x:c r="D7873" s="18" t="n">
        <x:v>18423</x:v>
      </x:c>
      <x:c r="E7873" s="18" t="n">
        <x:v>26.31</x:v>
      </x:c>
      <x:c r="F7873" s="18" t="n">
        <x:v>12.71</x:v>
      </x:c>
      <x:c r="G7873" t="n">
        <x:v>60</x:v>
      </x:c>
      <x:c r="H7873" t="str">
        <x:v>B</x:v>
      </x:c>
      <x:c r="I7873" t="str">
        <x:v>4-6 years</x:v>
      </x:c>
      <x:c r="J7873" t="str">
        <x:v>RENT</x:v>
      </x:c>
      <x:c r="K7873" t="str">
        <x:v>debt_consolidation</x:v>
      </x:c>
      <x:c r="L7873" t="n">
        <x:v>0</x:v>
      </x:c>
      <x:c r="M7873" t="n">
        <x:v>0</x:v>
      </x:c>
      <x:c r="N7873" t="str">
        <x:v>Fully Paid</x:v>
      </x:c>
      <x:c r="O7873" t="str">
        <x:f>IF(D7873="","Unknown",IF(D7873&lt;25000,"&lt;$25k",IF(D7873&lt;50000,"$25k-$50k",IF(D7873&lt;75000,"$50k-$75k",IF(D7873&lt;100000,"$75k-$100k","$100k+")))))</x:f>
        <x:v>&lt;$25k</x:v>
      </x:c>
      <x:c r="P7873" t="str">
        <x:f>IF(E7873="","Unknown",IF(E7873&lt;10,"&lt;10",IF(E7873&lt;20,"10-&lt;20",IF(E7873&lt;25,"20-&lt;25",IF(E7873&lt;35,"25-&lt;35","35+")))))</x:f>
        <x:v>25-&lt;35</x:v>
      </x:c>
    </x:row>
    <x:row r="7874">
      <x:c r="A7874" t="str">
        <x:v>SYN0007873</x:v>
      </x:c>
      <x:c r="B7874" s="12" t="n">
        <x:v>43165</x:v>
      </x:c>
      <x:c r="C7874" s="18" t="n">
        <x:v>10953</x:v>
      </x:c>
      <x:c r="D7874" s="18" t="n">
        <x:v>97521</x:v>
      </x:c>
      <x:c r="E7874" s="18" t="n">
        <x:v>21.22</x:v>
      </x:c>
      <x:c r="F7874" s="18" t="n">
        <x:v>11.22</x:v>
      </x:c>
      <x:c r="G7874" t="n">
        <x:v>36</x:v>
      </x:c>
      <x:c r="H7874" t="str">
        <x:v>C</x:v>
      </x:c>
      <x:c r="I7874" t="str">
        <x:v>4-6 years</x:v>
      </x:c>
      <x:c r="J7874" t="str">
        <x:v>RENT</x:v>
      </x:c>
      <x:c r="K7874" t="str">
        <x:v>major_purchase</x:v>
      </x:c>
      <x:c r="L7874" t="n">
        <x:v>0</x:v>
      </x:c>
      <x:c r="M7874" t="n">
        <x:v>0</x:v>
      </x:c>
      <x:c r="N7874" t="str">
        <x:v>Fully Paid</x:v>
      </x:c>
      <x:c r="O7874" t="str">
        <x:f>IF(D7874="","Unknown",IF(D7874&lt;25000,"&lt;$25k",IF(D7874&lt;50000,"$25k-$50k",IF(D7874&lt;75000,"$50k-$75k",IF(D7874&lt;100000,"$75k-$100k","$100k+")))))</x:f>
        <x:v>$75k-$100k</x:v>
      </x:c>
      <x:c r="P7874" t="str">
        <x:f>IF(E7874="","Unknown",IF(E7874&lt;10,"&lt;10",IF(E7874&lt;20,"10-&lt;20",IF(E7874&lt;25,"20-&lt;25",IF(E7874&lt;35,"25-&lt;35","35+")))))</x:f>
        <x:v>20-&lt;25</x:v>
      </x:c>
    </x:row>
    <x:row r="7875">
      <x:c r="A7875" t="str">
        <x:v>SYN0007874</x:v>
      </x:c>
      <x:c r="B7875" s="12" t="n">
        <x:v>42985</x:v>
      </x:c>
      <x:c r="C7875" s="18" t="n">
        <x:v>23432</x:v>
      </x:c>
      <x:c r="D7875" s="18" t="n">
        <x:v>78356</x:v>
      </x:c>
      <x:c r="E7875" s="18" t="n">
        <x:v>12.72</x:v>
      </x:c>
      <x:c r="F7875" s="18" t="n">
        <x:v>18.83</x:v>
      </x:c>
      <x:c r="G7875" t="n">
        <x:v>36</x:v>
      </x:c>
      <x:c r="H7875" t="str">
        <x:v>E</x:v>
      </x:c>
      <x:c r="I7875" t="str">
        <x:v>1-3 years</x:v>
      </x:c>
      <x:c r="J7875" t="str">
        <x:v>MORTGAGE</x:v>
      </x:c>
      <x:c r="K7875" t="str">
        <x:v>debt_consolidation</x:v>
      </x:c>
      <x:c r="L7875" t="n">
        <x:v>1</x:v>
      </x:c>
      <x:c r="M7875" t="n">
        <x:v>0</x:v>
      </x:c>
      <x:c r="N7875" t="str">
        <x:v>Fully Paid</x:v>
      </x:c>
      <x:c r="O7875" t="str">
        <x:f>IF(D7875="","Unknown",IF(D7875&lt;25000,"&lt;$25k",IF(D7875&lt;50000,"$25k-$50k",IF(D7875&lt;75000,"$50k-$75k",IF(D7875&lt;100000,"$75k-$100k","$100k+")))))</x:f>
        <x:v>$75k-$100k</x:v>
      </x:c>
      <x:c r="P7875" t="str">
        <x:f>IF(E7875="","Unknown",IF(E7875&lt;10,"&lt;10",IF(E7875&lt;20,"10-&lt;20",IF(E7875&lt;25,"20-&lt;25",IF(E7875&lt;35,"25-&lt;35","35+")))))</x:f>
        <x:v>10-&lt;20</x:v>
      </x:c>
    </x:row>
    <x:row r="7876">
      <x:c r="A7876" t="str">
        <x:v>SYN0007875</x:v>
      </x:c>
      <x:c r="B7876" s="12" t="n">
        <x:v>41815</x:v>
      </x:c>
      <x:c r="C7876" s="18" t="n">
        <x:v>29517</x:v>
      </x:c>
      <x:c r="D7876" s="18" t="n">
        <x:v>80654</x:v>
      </x:c>
      <x:c r="E7876" s="18" t="n">
        <x:v>23.39</x:v>
      </x:c>
      <x:c r="F7876" s="18" t="n">
        <x:v>7.59</x:v>
      </x:c>
      <x:c r="G7876" t="n">
        <x:v>36</x:v>
      </x:c>
      <x:c r="H7876" t="str">
        <x:v>B</x:v>
      </x:c>
      <x:c r="I7876" t="str">
        <x:v>7-9 years</x:v>
      </x:c>
      <x:c r="J7876" t="str">
        <x:v>MORTGAGE</x:v>
      </x:c>
      <x:c r="K7876" t="str">
        <x:v>credit_card</x:v>
      </x:c>
      <x:c r="L7876" t="n">
        <x:v>0</x:v>
      </x:c>
      <x:c r="M7876" t="n">
        <x:v>0</x:v>
      </x:c>
      <x:c r="N7876" t="str">
        <x:v>Fully Paid</x:v>
      </x:c>
      <x:c r="O7876" t="str">
        <x:f>IF(D7876="","Unknown",IF(D7876&lt;25000,"&lt;$25k",IF(D7876&lt;50000,"$25k-$50k",IF(D7876&lt;75000,"$50k-$75k",IF(D7876&lt;100000,"$75k-$100k","$100k+")))))</x:f>
        <x:v>$75k-$100k</x:v>
      </x:c>
      <x:c r="P7876" t="str">
        <x:f>IF(E7876="","Unknown",IF(E7876&lt;10,"&lt;10",IF(E7876&lt;20,"10-&lt;20",IF(E7876&lt;25,"20-&lt;25",IF(E7876&lt;35,"25-&lt;35","35+")))))</x:f>
        <x:v>20-&lt;25</x:v>
      </x:c>
    </x:row>
    <x:row r="7877">
      <x:c r="A7877" t="str">
        <x:v>SYN0007876</x:v>
      </x:c>
      <x:c r="B7877" s="12" t="n">
        <x:v>41905</x:v>
      </x:c>
      <x:c r="C7877" s="18" t="n">
        <x:v>17880</x:v>
      </x:c>
      <x:c r="D7877" s="18" t="n">
        <x:v>44636</x:v>
      </x:c>
      <x:c r="E7877" s="18" t="n">
        <x:v>0</x:v>
      </x:c>
      <x:c r="F7877" s="18" t="n">
        <x:v>6.95</x:v>
      </x:c>
      <x:c r="G7877" t="n">
        <x:v>60</x:v>
      </x:c>
      <x:c r="H7877" t="str">
        <x:v>A</x:v>
      </x:c>
      <x:c r="I7877" t="str">
        <x:v>4-6 years</x:v>
      </x:c>
      <x:c r="J7877" t="str">
        <x:v>OWN</x:v>
      </x:c>
      <x:c r="K7877" t="str">
        <x:v>credit_card</x:v>
      </x:c>
      <x:c r="L7877" t="n">
        <x:v>1</x:v>
      </x:c>
      <x:c r="M7877" t="n">
        <x:v>0</x:v>
      </x:c>
      <x:c r="N7877" t="str">
        <x:v>Fully Paid</x:v>
      </x:c>
      <x:c r="O7877" t="str">
        <x:f>IF(D7877="","Unknown",IF(D7877&lt;25000,"&lt;$25k",IF(D7877&lt;50000,"$25k-$50k",IF(D7877&lt;75000,"$50k-$75k",IF(D7877&lt;100000,"$75k-$100k","$100k+")))))</x:f>
        <x:v>$25k-$50k</x:v>
      </x:c>
      <x:c r="P7877" t="str">
        <x:f>IF(E7877="","Unknown",IF(E7877&lt;10,"&lt;10",IF(E7877&lt;20,"10-&lt;20",IF(E7877&lt;25,"20-&lt;25",IF(E7877&lt;35,"25-&lt;35","35+")))))</x:f>
        <x:v>Unknown</x:v>
      </x:c>
    </x:row>
    <x:row r="7878">
      <x:c r="A7878" t="str">
        <x:v>SYN0007877</x:v>
      </x:c>
      <x:c r="B7878" s="12" t="n">
        <x:v>41605</x:v>
      </x:c>
      <x:c r="C7878" s="18" t="n">
        <x:v>21926</x:v>
      </x:c>
      <x:c r="D7878" s="18" t="n">
        <x:v>26709</x:v>
      </x:c>
      <x:c r="E7878" s="18" t="n">
        <x:v>23.35</x:v>
      </x:c>
      <x:c r="F7878" s="18" t="n">
        <x:v>6.83</x:v>
      </x:c>
      <x:c r="G7878" t="n">
        <x:v>36</x:v>
      </x:c>
      <x:c r="H7878" t="str">
        <x:v>B</x:v>
      </x:c>
      <x:c r="I7878" t="str">
        <x:v>4-6 years</x:v>
      </x:c>
      <x:c r="J7878" t="str">
        <x:v>MORTGAGE</x:v>
      </x:c>
      <x:c r="K7878" t="str">
        <x:v>credit_card</x:v>
      </x:c>
      <x:c r="L7878" t="n">
        <x:v>1</x:v>
      </x:c>
      <x:c r="M7878" t="n">
        <x:v>0</x:v>
      </x:c>
      <x:c r="N7878" t="str">
        <x:v>Fully Paid</x:v>
      </x:c>
      <x:c r="O7878" t="str">
        <x:f>IF(D7878="","Unknown",IF(D7878&lt;25000,"&lt;$25k",IF(D7878&lt;50000,"$25k-$50k",IF(D7878&lt;75000,"$50k-$75k",IF(D7878&lt;100000,"$75k-$100k","$100k+")))))</x:f>
        <x:v>$25k-$50k</x:v>
      </x:c>
      <x:c r="P7878" t="str">
        <x:f>IF(E7878="","Unknown",IF(E7878&lt;10,"&lt;10",IF(E7878&lt;20,"10-&lt;20",IF(E7878&lt;25,"20-&lt;25",IF(E7878&lt;35,"25-&lt;35","35+")))))</x:f>
        <x:v>20-&lt;25</x:v>
      </x:c>
    </x:row>
    <x:row r="7879">
      <x:c r="A7879" t="str">
        <x:v>SYN0007878</x:v>
      </x:c>
      <x:c r="B7879" s="12" t="n">
        <x:v>41425</x:v>
      </x:c>
      <x:c r="C7879" s="18" t="n">
        <x:v>15838</x:v>
      </x:c>
      <x:c r="D7879" s="18" t="n">
        <x:v>65081</x:v>
      </x:c>
      <x:c r="E7879" s="18" t="n">
        <x:v>27.25</x:v>
      </x:c>
      <x:c r="F7879" s="18" t="n">
        <x:v>13.73</x:v>
      </x:c>
      <x:c r="G7879" t="n">
        <x:v>36</x:v>
      </x:c>
      <x:c r="H7879" t="str">
        <x:v>D</x:v>
      </x:c>
      <x:c r="I7879" t="str">
        <x:v>4-6 years</x:v>
      </x:c>
      <x:c r="J7879" t="str">
        <x:v>RENT</x:v>
      </x:c>
      <x:c r="K7879" t="str">
        <x:v>debt_consolidation</x:v>
      </x:c>
      <x:c r="L7879" t="n">
        <x:v>0</x:v>
      </x:c>
      <x:c r="M7879" t="n">
        <x:v>0</x:v>
      </x:c>
      <x:c r="N7879" t="str">
        <x:v>Fully Paid</x:v>
      </x:c>
      <x:c r="O7879" t="str">
        <x:f>IF(D7879="","Unknown",IF(D7879&lt;25000,"&lt;$25k",IF(D7879&lt;50000,"$25k-$50k",IF(D7879&lt;75000,"$50k-$75k",IF(D7879&lt;100000,"$75k-$100k","$100k+")))))</x:f>
        <x:v>$50k-$75k</x:v>
      </x:c>
      <x:c r="P7879" t="str">
        <x:f>IF(E7879="","Unknown",IF(E7879&lt;10,"&lt;10",IF(E7879&lt;20,"10-&lt;20",IF(E7879&lt;25,"20-&lt;25",IF(E7879&lt;35,"25-&lt;35","35+")))))</x:f>
        <x:v>25-&lt;35</x:v>
      </x:c>
    </x:row>
    <x:row r="7880">
      <x:c r="A7880" t="str">
        <x:v>SYN0007879</x:v>
      </x:c>
      <x:c r="B7880" s="12" t="n">
        <x:v>43255</x:v>
      </x:c>
      <x:c r="C7880" s="18" t="n">
        <x:v>4265</x:v>
      </x:c>
      <x:c r="D7880" s="18" t="n">
        <x:v>102716</x:v>
      </x:c>
      <x:c r="E7880" s="18" t="n">
        <x:v>26.71</x:v>
      </x:c>
      <x:c r="F7880" s="18" t="n">
        <x:v>8.07</x:v>
      </x:c>
      <x:c r="G7880" t="n">
        <x:v>36</x:v>
      </x:c>
      <x:c r="H7880" t="str">
        <x:v>B</x:v>
      </x:c>
      <x:c r="I7880" t="str">
        <x:v>&lt;1 year</x:v>
      </x:c>
      <x:c r="J7880" t="str">
        <x:v>RENT</x:v>
      </x:c>
      <x:c r="K7880" t="str">
        <x:v>debt_consolidation</x:v>
      </x:c>
      <x:c r="L7880" t="n">
        <x:v>0</x:v>
      </x:c>
      <x:c r="M7880" t="n">
        <x:v>0</x:v>
      </x:c>
      <x:c r="N7880" t="str">
        <x:v>Fully Paid</x:v>
      </x:c>
      <x:c r="O7880" t="str">
        <x:f>IF(D7880="","Unknown",IF(D7880&lt;25000,"&lt;$25k",IF(D7880&lt;50000,"$25k-$50k",IF(D7880&lt;75000,"$50k-$75k",IF(D7880&lt;100000,"$75k-$100k","$100k+")))))</x:f>
        <x:v>$100k+</x:v>
      </x:c>
      <x:c r="P7880" t="str">
        <x:f>IF(E7880="","Unknown",IF(E7880&lt;10,"&lt;10",IF(E7880&lt;20,"10-&lt;20",IF(E7880&lt;25,"20-&lt;25",IF(E7880&lt;35,"25-&lt;35","35+")))))</x:f>
        <x:v>25-&lt;35</x:v>
      </x:c>
    </x:row>
    <x:row r="7881">
      <x:c r="A7881" t="str">
        <x:v>SYN0007880</x:v>
      </x:c>
      <x:c r="B7881" s="12" t="n">
        <x:v>41365</x:v>
      </x:c>
      <x:c r="C7881" s="18" t="n">
        <x:v>8450</x:v>
      </x:c>
      <x:c r="D7881" s="18" t="n">
        <x:v>26773</x:v>
      </x:c>
      <x:c r="E7881" s="18" t="n">
        <x:v>17.78</x:v>
      </x:c>
      <x:c r="F7881" s="18" t="n">
        <x:v>17.82</x:v>
      </x:c>
      <x:c r="G7881" t="n">
        <x:v>36</x:v>
      </x:c>
      <x:c r="H7881" t="str">
        <x:v>E</x:v>
      </x:c>
      <x:c r="I7881" t="str">
        <x:v>4-6 years</x:v>
      </x:c>
      <x:c r="J7881" t="str">
        <x:v>MORTGAGE</x:v>
      </x:c>
      <x:c r="K7881" t="str">
        <x:v>debt_consolidation</x:v>
      </x:c>
      <x:c r="L7881" t="n">
        <x:v>1</x:v>
      </x:c>
      <x:c r="M7881" t="n">
        <x:v>0</x:v>
      </x:c>
      <x:c r="N7881" t="str">
        <x:v>Fully Paid</x:v>
      </x:c>
      <x:c r="O7881" t="str">
        <x:f>IF(D7881="","Unknown",IF(D7881&lt;25000,"&lt;$25k",IF(D7881&lt;50000,"$25k-$50k",IF(D7881&lt;75000,"$50k-$75k",IF(D7881&lt;100000,"$75k-$100k","$100k+")))))</x:f>
        <x:v>$25k-$50k</x:v>
      </x:c>
      <x:c r="P7881" t="str">
        <x:f>IF(E7881="","Unknown",IF(E7881&lt;10,"&lt;10",IF(E7881&lt;20,"10-&lt;20",IF(E7881&lt;25,"20-&lt;25",IF(E7881&lt;35,"25-&lt;35","35+")))))</x:f>
        <x:v>10-&lt;20</x:v>
      </x:c>
    </x:row>
    <x:row r="7882">
      <x:c r="A7882" t="str">
        <x:v>SYN0007881</x:v>
      </x:c>
      <x:c r="B7882" s="12" t="n">
        <x:v>41275</x:v>
      </x:c>
      <x:c r="C7882" s="18" t="n">
        <x:v>5291</x:v>
      </x:c>
      <x:c r="D7882" s="18" t="n">
        <x:v>74398</x:v>
      </x:c>
      <x:c r="E7882" s="18" t="n">
        <x:v>19.01</x:v>
      </x:c>
      <x:c r="F7882" s="18" t="n">
        <x:v>6.21</x:v>
      </x:c>
      <x:c r="G7882" t="n">
        <x:v>60</x:v>
      </x:c>
      <x:c r="H7882" t="str">
        <x:v>A</x:v>
      </x:c>
      <x:c r="I7882" t="str">
        <x:v>10+ years</x:v>
      </x:c>
      <x:c r="J7882" t="str">
        <x:v>MORTGAGE</x:v>
      </x:c>
      <x:c r="K7882" t="str">
        <x:v>major_purchase</x:v>
      </x:c>
      <x:c r="L7882" t="n">
        <x:v>2</x:v>
      </x:c>
      <x:c r="M7882" t="n">
        <x:v>0</x:v>
      </x:c>
      <x:c r="N7882" t="str">
        <x:v>Fully Paid</x:v>
      </x:c>
      <x:c r="O7882" t="str">
        <x:f>IF(D7882="","Unknown",IF(D7882&lt;25000,"&lt;$25k",IF(D7882&lt;50000,"$25k-$50k",IF(D7882&lt;75000,"$50k-$75k",IF(D7882&lt;100000,"$75k-$100k","$100k+")))))</x:f>
        <x:v>$50k-$75k</x:v>
      </x:c>
      <x:c r="P7882" t="str">
        <x:f>IF(E7882="","Unknown",IF(E7882&lt;10,"&lt;10",IF(E7882&lt;20,"10-&lt;20",IF(E7882&lt;25,"20-&lt;25",IF(E7882&lt;35,"25-&lt;35","35+")))))</x:f>
        <x:v>10-&lt;20</x:v>
      </x:c>
    </x:row>
    <x:row r="7883">
      <x:c r="A7883" t="str">
        <x:v>SYN0007882</x:v>
      </x:c>
      <x:c r="B7883" s="12" t="n">
        <x:v>42115</x:v>
      </x:c>
      <x:c r="C7883" s="18" t="n">
        <x:v>25004</x:v>
      </x:c>
      <x:c r="D7883" s="18" t="n">
        <x:v>45763</x:v>
      </x:c>
      <x:c r="E7883" s="18" t="n">
        <x:v>15.31</x:v>
      </x:c>
      <x:c r="F7883" s="18" t="n">
        <x:v>23.4</x:v>
      </x:c>
      <x:c r="G7883" t="n">
        <x:v>36</x:v>
      </x:c>
      <x:c r="H7883" t="str">
        <x:v>G</x:v>
      </x:c>
      <x:c r="I7883" t="str">
        <x:v>10+ years</x:v>
      </x:c>
      <x:c r="J7883" t="str">
        <x:v>RENT</x:v>
      </x:c>
      <x:c r="K7883" t="str">
        <x:v>other</x:v>
      </x:c>
      <x:c r="L7883" t="n">
        <x:v>1</x:v>
      </x:c>
      <x:c r="M7883" t="n">
        <x:v>0</x:v>
      </x:c>
      <x:c r="N7883" t="str">
        <x:v>Fully Paid</x:v>
      </x:c>
      <x:c r="O7883" t="str">
        <x:f>IF(D7883="","Unknown",IF(D7883&lt;25000,"&lt;$25k",IF(D7883&lt;50000,"$25k-$50k",IF(D7883&lt;75000,"$50k-$75k",IF(D7883&lt;100000,"$75k-$100k","$100k+")))))</x:f>
        <x:v>$25k-$50k</x:v>
      </x:c>
      <x:c r="P7883" t="str">
        <x:f>IF(E7883="","Unknown",IF(E7883&lt;10,"&lt;10",IF(E7883&lt;20,"10-&lt;20",IF(E7883&lt;25,"20-&lt;25",IF(E7883&lt;35,"25-&lt;35","35+")))))</x:f>
        <x:v>10-&lt;20</x:v>
      </x:c>
    </x:row>
    <x:row r="7884">
      <x:c r="A7884" t="str">
        <x:v>SYN0007883</x:v>
      </x:c>
      <x:c r="B7884" s="12" t="n">
        <x:v>41335</x:v>
      </x:c>
      <x:c r="C7884" s="18" t="n">
        <x:v>12198</x:v>
      </x:c>
      <x:c r="D7884" s="18" t="n">
        <x:v>29312</x:v>
      </x:c>
      <x:c r="E7884" s="18" t="n">
        <x:v>13.47</x:v>
      </x:c>
      <x:c r="F7884" s="18" t="n">
        <x:v>27.97</x:v>
      </x:c>
      <x:c r="G7884" t="n">
        <x:v>60</x:v>
      </x:c>
      <x:c r="H7884" t="str">
        <x:v>G</x:v>
      </x:c>
      <x:c r="I7884" t="str">
        <x:v>7-9 years</x:v>
      </x:c>
      <x:c r="J7884" t="str">
        <x:v>MORTGAGE</x:v>
      </x:c>
      <x:c r="K7884" t="str">
        <x:v>debt_consolidation</x:v>
      </x:c>
      <x:c r="L7884" t="n">
        <x:v>1</x:v>
      </x:c>
      <x:c r="M7884" t="n">
        <x:v>1</x:v>
      </x:c>
      <x:c r="N7884" t="str">
        <x:v>Charged Off</x:v>
      </x:c>
      <x:c r="O7884" t="str">
        <x:f>IF(D7884="","Unknown",IF(D7884&lt;25000,"&lt;$25k",IF(D7884&lt;50000,"$25k-$50k",IF(D7884&lt;75000,"$50k-$75k",IF(D7884&lt;100000,"$75k-$100k","$100k+")))))</x:f>
        <x:v>$25k-$50k</x:v>
      </x:c>
      <x:c r="P7884" t="str">
        <x:f>IF(E7884="","Unknown",IF(E7884&lt;10,"&lt;10",IF(E7884&lt;20,"10-&lt;20",IF(E7884&lt;25,"20-&lt;25",IF(E7884&lt;35,"25-&lt;35","35+")))))</x:f>
        <x:v>10-&lt;20</x:v>
      </x:c>
    </x:row>
    <x:row r="7885">
      <x:c r="A7885" t="str">
        <x:v>SYN0007884</x:v>
      </x:c>
      <x:c r="B7885" s="12" t="n">
        <x:v>42895</x:v>
      </x:c>
      <x:c r="C7885" s="18" t="n">
        <x:v>19170</x:v>
      </x:c>
      <x:c r="D7885" s="18" t="n">
        <x:v>55741</x:v>
      </x:c>
      <x:c r="E7885" s="18" t="n">
        <x:v>16.06</x:v>
      </x:c>
      <x:c r="F7885" s="18" t="n">
        <x:v>7.5</x:v>
      </x:c>
      <x:c r="G7885" t="n">
        <x:v>60</x:v>
      </x:c>
      <x:c r="H7885" t="str">
        <x:v>A</x:v>
      </x:c>
      <x:c r="I7885" t="str">
        <x:v>4-6 years</x:v>
      </x:c>
      <x:c r="J7885" t="str">
        <x:v>RENT</x:v>
      </x:c>
      <x:c r="K7885" t="str">
        <x:v>debt_consolidation</x:v>
      </x:c>
      <x:c r="L7885" t="n">
        <x:v>0</x:v>
      </x:c>
      <x:c r="M7885" t="n">
        <x:v>0</x:v>
      </x:c>
      <x:c r="N7885" t="str">
        <x:v>Fully Paid</x:v>
      </x:c>
      <x:c r="O7885" t="str">
        <x:f>IF(D7885="","Unknown",IF(D7885&lt;25000,"&lt;$25k",IF(D7885&lt;50000,"$25k-$50k",IF(D7885&lt;75000,"$50k-$75k",IF(D7885&lt;100000,"$75k-$100k","$100k+")))))</x:f>
        <x:v>$50k-$75k</x:v>
      </x:c>
      <x:c r="P7885" t="str">
        <x:f>IF(E7885="","Unknown",IF(E7885&lt;10,"&lt;10",IF(E7885&lt;20,"10-&lt;20",IF(E7885&lt;25,"20-&lt;25",IF(E7885&lt;35,"25-&lt;35","35+")))))</x:f>
        <x:v>10-&lt;20</x:v>
      </x:c>
    </x:row>
    <x:row r="7886">
      <x:c r="A7886" t="str">
        <x:v>SYN0007885</x:v>
      </x:c>
      <x:c r="B7886" s="12" t="n">
        <x:v>41425</x:v>
      </x:c>
      <x:c r="C7886" s="18" t="n">
        <x:v>9225</x:v>
      </x:c>
      <x:c r="D7886" s="18" t="n">
        <x:v>86841</x:v>
      </x:c>
      <x:c r="E7886" s="18" t="n">
        <x:v>19.38</x:v>
      </x:c>
      <x:c r="F7886" s="18" t="n">
        <x:v>9.51</x:v>
      </x:c>
      <x:c r="G7886" t="n">
        <x:v>60</x:v>
      </x:c>
      <x:c r="H7886" t="str">
        <x:v>B</x:v>
      </x:c>
      <x:c r="I7886" t="str">
        <x:v>10+ years</x:v>
      </x:c>
      <x:c r="J7886" t="str">
        <x:v>RENT</x:v>
      </x:c>
      <x:c r="K7886" t="str">
        <x:v>other</x:v>
      </x:c>
      <x:c r="L7886" t="n">
        <x:v>1</x:v>
      </x:c>
      <x:c r="M7886" t="n">
        <x:v>1</x:v>
      </x:c>
      <x:c r="N7886" t="str">
        <x:v>Charged Off</x:v>
      </x:c>
      <x:c r="O7886" t="str">
        <x:f>IF(D7886="","Unknown",IF(D7886&lt;25000,"&lt;$25k",IF(D7886&lt;50000,"$25k-$50k",IF(D7886&lt;75000,"$50k-$75k",IF(D7886&lt;100000,"$75k-$100k","$100k+")))))</x:f>
        <x:v>$75k-$100k</x:v>
      </x:c>
      <x:c r="P7886" t="str">
        <x:f>IF(E7886="","Unknown",IF(E7886&lt;10,"&lt;10",IF(E7886&lt;20,"10-&lt;20",IF(E7886&lt;25,"20-&lt;25",IF(E7886&lt;35,"25-&lt;35","35+")))))</x:f>
        <x:v>10-&lt;20</x:v>
      </x:c>
    </x:row>
    <x:row r="7887">
      <x:c r="A7887" t="str">
        <x:v>SYN0007886</x:v>
      </x:c>
      <x:c r="B7887" s="12" t="n">
        <x:v>41605</x:v>
      </x:c>
      <x:c r="C7887" s="18" t="n">
        <x:v>9305</x:v>
      </x:c>
      <x:c r="D7887" s="18" t="n">
        <x:v>85179</x:v>
      </x:c>
      <x:c r="E7887" s="18" t="n">
        <x:v>33.08</x:v>
      </x:c>
      <x:c r="F7887" s="18" t="n">
        <x:v>24.85</x:v>
      </x:c>
      <x:c r="G7887" t="n">
        <x:v>60</x:v>
      </x:c>
      <x:c r="H7887" t="str">
        <x:v>G</x:v>
      </x:c>
      <x:c r="I7887" t="str">
        <x:v>1-3 years</x:v>
      </x:c>
      <x:c r="J7887" t="str">
        <x:v>RENT</x:v>
      </x:c>
      <x:c r="K7887" t="str">
        <x:v>credit_card</x:v>
      </x:c>
      <x:c r="L7887" t="n">
        <x:v>1</x:v>
      </x:c>
      <x:c r="M7887" t="n">
        <x:v>1</x:v>
      </x:c>
      <x:c r="N7887" t="str">
        <x:v>Charged Off</x:v>
      </x:c>
      <x:c r="O7887" t="str">
        <x:f>IF(D7887="","Unknown",IF(D7887&lt;25000,"&lt;$25k",IF(D7887&lt;50000,"$25k-$50k",IF(D7887&lt;75000,"$50k-$75k",IF(D7887&lt;100000,"$75k-$100k","$100k+")))))</x:f>
        <x:v>$75k-$100k</x:v>
      </x:c>
      <x:c r="P7887" t="str">
        <x:f>IF(E7887="","Unknown",IF(E7887&lt;10,"&lt;10",IF(E7887&lt;20,"10-&lt;20",IF(E7887&lt;25,"20-&lt;25",IF(E7887&lt;35,"25-&lt;35","35+")))))</x:f>
        <x:v>25-&lt;35</x:v>
      </x:c>
    </x:row>
    <x:row r="7888">
      <x:c r="A7888" t="str">
        <x:v>SYN0007887</x:v>
      </x:c>
      <x:c r="B7888" s="12" t="n">
        <x:v>41665</x:v>
      </x:c>
      <x:c r="C7888" s="18" t="n">
        <x:v>15451</x:v>
      </x:c>
      <x:c r="D7888" s="18" t="n">
        <x:v>27965</x:v>
      </x:c>
      <x:c r="E7888" s="18" t="n">
        <x:v>20.48</x:v>
      </x:c>
      <x:c r="F7888" s="18" t="n">
        <x:v>8.89</x:v>
      </x:c>
      <x:c r="G7888" t="n">
        <x:v>36</x:v>
      </x:c>
      <x:c r="H7888" t="str">
        <x:v>B</x:v>
      </x:c>
      <x:c r="I7888" t="str">
        <x:v>4-6 years</x:v>
      </x:c>
      <x:c r="J7888" t="str">
        <x:v>RENT</x:v>
      </x:c>
      <x:c r="K7888" t="str">
        <x:v>debt_consolidation</x:v>
      </x:c>
      <x:c r="L7888" t="n">
        <x:v>0</x:v>
      </x:c>
      <x:c r="M7888" t="n">
        <x:v>0</x:v>
      </x:c>
      <x:c r="N7888" t="str">
        <x:v>Fully Paid</x:v>
      </x:c>
      <x:c r="O7888" t="str">
        <x:f>IF(D7888="","Unknown",IF(D7888&lt;25000,"&lt;$25k",IF(D7888&lt;50000,"$25k-$50k",IF(D7888&lt;75000,"$50k-$75k",IF(D7888&lt;100000,"$75k-$100k","$100k+")))))</x:f>
        <x:v>$25k-$50k</x:v>
      </x:c>
      <x:c r="P7888" t="str">
        <x:f>IF(E7888="","Unknown",IF(E7888&lt;10,"&lt;10",IF(E7888&lt;20,"10-&lt;20",IF(E7888&lt;25,"20-&lt;25",IF(E7888&lt;35,"25-&lt;35","35+")))))</x:f>
        <x:v>20-&lt;25</x:v>
      </x:c>
    </x:row>
    <x:row r="7889">
      <x:c r="A7889" t="str">
        <x:v>SYN0007888</x:v>
      </x:c>
      <x:c r="B7889" s="12" t="n">
        <x:v>42145</x:v>
      </x:c>
      <x:c r="C7889" s="18" t="n">
        <x:v>27768</x:v>
      </x:c>
      <x:c r="D7889" s="18" t="n">
        <x:v>30530</x:v>
      </x:c>
      <x:c r="E7889" s="18" t="n">
        <x:v>29.46</x:v>
      </x:c>
      <x:c r="F7889" s="18" t="n">
        <x:v>11</x:v>
      </x:c>
      <x:c r="G7889" t="n">
        <x:v>60</x:v>
      </x:c>
      <x:c r="H7889" t="str">
        <x:v>C</x:v>
      </x:c>
      <x:c r="I7889" t="str">
        <x:v>10+ years</x:v>
      </x:c>
      <x:c r="J7889" t="str">
        <x:v>OWN</x:v>
      </x:c>
      <x:c r="K7889" t="str">
        <x:v>debt_consolidation</x:v>
      </x:c>
      <x:c r="L7889" t="n">
        <x:v>0</x:v>
      </x:c>
      <x:c r="M7889" t="n">
        <x:v>0</x:v>
      </x:c>
      <x:c r="N7889" t="str">
        <x:v>Fully Paid</x:v>
      </x:c>
      <x:c r="O7889" t="str">
        <x:f>IF(D7889="","Unknown",IF(D7889&lt;25000,"&lt;$25k",IF(D7889&lt;50000,"$25k-$50k",IF(D7889&lt;75000,"$50k-$75k",IF(D7889&lt;100000,"$75k-$100k","$100k+")))))</x:f>
        <x:v>$25k-$50k</x:v>
      </x:c>
      <x:c r="P7889" t="str">
        <x:f>IF(E7889="","Unknown",IF(E7889&lt;10,"&lt;10",IF(E7889&lt;20,"10-&lt;20",IF(E7889&lt;25,"20-&lt;25",IF(E7889&lt;35,"25-&lt;35","35+")))))</x:f>
        <x:v>25-&lt;35</x:v>
      </x:c>
    </x:row>
    <x:row r="7890">
      <x:c r="A7890" t="str">
        <x:v>SYN0007889</x:v>
      </x:c>
      <x:c r="B7890" s="12" t="n">
        <x:v>41995</x:v>
      </x:c>
      <x:c r="C7890" s="18" t="n">
        <x:v>14749</x:v>
      </x:c>
      <x:c r="D7890" s="18" t="n">
        <x:v>124579</x:v>
      </x:c>
      <x:c r="E7890" s="18" t="n">
        <x:v>36.85</x:v>
      </x:c>
      <x:c r="F7890" s="18" t="n">
        <x:v>21.56</x:v>
      </x:c>
      <x:c r="G7890" t="n">
        <x:v>36</x:v>
      </x:c>
      <x:c r="H7890" t="str">
        <x:v>F</x:v>
      </x:c>
      <x:c r="I7890" t="str">
        <x:v>1-3 years</x:v>
      </x:c>
      <x:c r="J7890" t="str">
        <x:v>RENT</x:v>
      </x:c>
      <x:c r="K7890" t="str">
        <x:v>medical</x:v>
      </x:c>
      <x:c r="L7890" t="n">
        <x:v>0</x:v>
      </x:c>
      <x:c r="M7890" t="n">
        <x:v>0</x:v>
      </x:c>
      <x:c r="N7890" t="str">
        <x:v>Fully Paid</x:v>
      </x:c>
      <x:c r="O7890" t="str">
        <x:f>IF(D7890="","Unknown",IF(D7890&lt;25000,"&lt;$25k",IF(D7890&lt;50000,"$25k-$50k",IF(D7890&lt;75000,"$50k-$75k",IF(D7890&lt;100000,"$75k-$100k","$100k+")))))</x:f>
        <x:v>$100k+</x:v>
      </x:c>
      <x:c r="P7890" t="str">
        <x:f>IF(E7890="","Unknown",IF(E7890&lt;10,"&lt;10",IF(E7890&lt;20,"10-&lt;20",IF(E7890&lt;25,"20-&lt;25",IF(E7890&lt;35,"25-&lt;35","35+")))))</x:f>
        <x:v>35+</x:v>
      </x:c>
    </x:row>
    <x:row r="7891">
      <x:c r="A7891" t="str">
        <x:v>SYN0007890</x:v>
      </x:c>
      <x:c r="B7891" s="12" t="n">
        <x:v>43285</x:v>
      </x:c>
      <x:c r="C7891" s="18" t="n">
        <x:v>5947</x:v>
      </x:c>
      <x:c r="D7891" s="18" t="n">
        <x:v>98307</x:v>
      </x:c>
      <x:c r="E7891" s="18" t="n">
        <x:v>23.37</x:v>
      </x:c>
      <x:c r="F7891" s="18" t="n">
        <x:v>5</x:v>
      </x:c>
      <x:c r="G7891" t="n">
        <x:v>36</x:v>
      </x:c>
      <x:c r="H7891" t="str">
        <x:v>A</x:v>
      </x:c>
      <x:c r="I7891" t="str">
        <x:v>4-6 years</x:v>
      </x:c>
      <x:c r="J7891" t="str">
        <x:v>MORTGAGE</x:v>
      </x:c>
      <x:c r="K7891" t="str">
        <x:v>debt_consolidation</x:v>
      </x:c>
      <x:c r="L7891" t="n">
        <x:v>0</x:v>
      </x:c>
      <x:c r="M7891" t="n">
        <x:v>0</x:v>
      </x:c>
      <x:c r="N7891" t="str">
        <x:v>Fully Paid</x:v>
      </x:c>
      <x:c r="O7891" t="str">
        <x:f>IF(D7891="","Unknown",IF(D7891&lt;25000,"&lt;$25k",IF(D7891&lt;50000,"$25k-$50k",IF(D7891&lt;75000,"$50k-$75k",IF(D7891&lt;100000,"$75k-$100k","$100k+")))))</x:f>
        <x:v>$75k-$100k</x:v>
      </x:c>
      <x:c r="P7891" t="str">
        <x:f>IF(E7891="","Unknown",IF(E7891&lt;10,"&lt;10",IF(E7891&lt;20,"10-&lt;20",IF(E7891&lt;25,"20-&lt;25",IF(E7891&lt;35,"25-&lt;35","35+")))))</x:f>
        <x:v>20-&lt;25</x:v>
      </x:c>
    </x:row>
    <x:row r="7892">
      <x:c r="A7892" t="str">
        <x:v>SYN0007891</x:v>
      </x:c>
      <x:c r="B7892" s="12" t="n">
        <x:v>43105</x:v>
      </x:c>
      <x:c r="C7892" s="18" t="n">
        <x:v>14971</x:v>
      </x:c>
      <x:c r="D7892" s="18" t="n">
        <x:v>23366</x:v>
      </x:c>
      <x:c r="E7892" s="18" t="n">
        <x:v>3.8</x:v>
      </x:c>
      <x:c r="F7892" s="18" t="n">
        <x:v>9.29</x:v>
      </x:c>
      <x:c r="G7892" t="n">
        <x:v>36</x:v>
      </x:c>
      <x:c r="H7892" t="str">
        <x:v>B</x:v>
      </x:c>
      <x:c r="I7892" t="str">
        <x:v>4-6 years</x:v>
      </x:c>
      <x:c r="J7892" t="str">
        <x:v>MORTGAGE</x:v>
      </x:c>
      <x:c r="K7892" t="str">
        <x:v>major_purchase</x:v>
      </x:c>
      <x:c r="L7892" t="n">
        <x:v>0</x:v>
      </x:c>
      <x:c r="M7892" t="n">
        <x:v>0</x:v>
      </x:c>
      <x:c r="N7892" t="str">
        <x:v>Fully Paid</x:v>
      </x:c>
      <x:c r="O7892" t="str">
        <x:f>IF(D7892="","Unknown",IF(D7892&lt;25000,"&lt;$25k",IF(D7892&lt;50000,"$25k-$50k",IF(D7892&lt;75000,"$50k-$75k",IF(D7892&lt;100000,"$75k-$100k","$100k+")))))</x:f>
        <x:v>&lt;$25k</x:v>
      </x:c>
      <x:c r="P7892" t="str">
        <x:f>IF(E7892="","Unknown",IF(E7892&lt;10,"&lt;10",IF(E7892&lt;20,"10-&lt;20",IF(E7892&lt;25,"20-&lt;25",IF(E7892&lt;35,"25-&lt;35","35+")))))</x:f>
        <x:v>&lt;10</x:v>
      </x:c>
    </x:row>
    <x:row r="7893">
      <x:c r="A7893" t="str">
        <x:v>SYN0007892</x:v>
      </x:c>
      <x:c r="B7893" s="12" t="n">
        <x:v>42745</x:v>
      </x:c>
      <x:c r="C7893" s="18" t="n">
        <x:v>10016</x:v>
      </x:c>
      <x:c r="D7893" s="18" t="n">
        <x:v>41254</x:v>
      </x:c>
      <x:c r="E7893" s="18" t="n">
        <x:v>14.11</x:v>
      </x:c>
      <x:c r="F7893" s="18" t="n">
        <x:v>24.34</x:v>
      </x:c>
      <x:c r="G7893" t="n">
        <x:v>36</x:v>
      </x:c>
      <x:c r="H7893" t="str">
        <x:v>F</x:v>
      </x:c>
      <x:c r="I7893" t="str">
        <x:v>1-3 years</x:v>
      </x:c>
      <x:c r="J7893" t="str">
        <x:v>RENT</x:v>
      </x:c>
      <x:c r="K7893" t="str">
        <x:v>home_improvement</x:v>
      </x:c>
      <x:c r="L7893" t="n">
        <x:v>1</x:v>
      </x:c>
      <x:c r="M7893" t="n">
        <x:v>0</x:v>
      </x:c>
      <x:c r="N7893" t="str">
        <x:v>Fully Paid</x:v>
      </x:c>
      <x:c r="O7893" t="str">
        <x:f>IF(D7893="","Unknown",IF(D7893&lt;25000,"&lt;$25k",IF(D7893&lt;50000,"$25k-$50k",IF(D7893&lt;75000,"$50k-$75k",IF(D7893&lt;100000,"$75k-$100k","$100k+")))))</x:f>
        <x:v>$25k-$50k</x:v>
      </x:c>
      <x:c r="P7893" t="str">
        <x:f>IF(E7893="","Unknown",IF(E7893&lt;10,"&lt;10",IF(E7893&lt;20,"10-&lt;20",IF(E7893&lt;25,"20-&lt;25",IF(E7893&lt;35,"25-&lt;35","35+")))))</x:f>
        <x:v>10-&lt;20</x:v>
      </x:c>
    </x:row>
    <x:row r="7894">
      <x:c r="A7894" t="str">
        <x:v>SYN0007893</x:v>
      </x:c>
      <x:c r="B7894" s="12" t="n">
        <x:v>42625</x:v>
      </x:c>
      <x:c r="C7894" s="18" t="n">
        <x:v>12734</x:v>
      </x:c>
      <x:c r="D7894" s="18" t="n">
        <x:v>101226</x:v>
      </x:c>
      <x:c r="E7894" s="18" t="n">
        <x:v>8.66</x:v>
      </x:c>
      <x:c r="F7894" s="18" t="n">
        <x:v>9.75</x:v>
      </x:c>
      <x:c r="G7894" t="n">
        <x:v>36</x:v>
      </x:c>
      <x:c r="H7894" t="str">
        <x:v>B</x:v>
      </x:c>
      <x:c r="I7894" t="str">
        <x:v>4-6 years</x:v>
      </x:c>
      <x:c r="J7894" t="str">
        <x:v>MORTGAGE</x:v>
      </x:c>
      <x:c r="K7894" t="str">
        <x:v>home_improvement</x:v>
      </x:c>
      <x:c r="L7894" t="n">
        <x:v>0</x:v>
      </x:c>
      <x:c r="M7894" t="n">
        <x:v>0</x:v>
      </x:c>
      <x:c r="N7894" t="str">
        <x:v>Fully Paid</x:v>
      </x:c>
      <x:c r="O7894" t="str">
        <x:f>IF(D7894="","Unknown",IF(D7894&lt;25000,"&lt;$25k",IF(D7894&lt;50000,"$25k-$50k",IF(D7894&lt;75000,"$50k-$75k",IF(D7894&lt;100000,"$75k-$100k","$100k+")))))</x:f>
        <x:v>$100k+</x:v>
      </x:c>
      <x:c r="P7894" t="str">
        <x:f>IF(E7894="","Unknown",IF(E7894&lt;10,"&lt;10",IF(E7894&lt;20,"10-&lt;20",IF(E7894&lt;25,"20-&lt;25",IF(E7894&lt;35,"25-&lt;35","35+")))))</x:f>
        <x:v>&lt;10</x:v>
      </x:c>
    </x:row>
    <x:row r="7895">
      <x:c r="A7895" t="str">
        <x:v>SYN0007894</x:v>
      </x:c>
      <x:c r="B7895" s="12" t="n">
        <x:v>42595</x:v>
      </x:c>
      <x:c r="C7895" s="18" t="n">
        <x:v>16743</x:v>
      </x:c>
      <x:c r="D7895" s="18" t="n">
        <x:v>91709</x:v>
      </x:c>
      <x:c r="E7895" s="18" t="n">
        <x:v>15.1</x:v>
      </x:c>
      <x:c r="F7895" s="18" t="n">
        <x:v>9.73</x:v>
      </x:c>
      <x:c r="G7895" t="n">
        <x:v>60</x:v>
      </x:c>
      <x:c r="H7895" t="str">
        <x:v>C</x:v>
      </x:c>
      <x:c r="I7895" t="str">
        <x:v>&lt;1 year</x:v>
      </x:c>
      <x:c r="J7895" t="str">
        <x:v>MORTGAGE</x:v>
      </x:c>
      <x:c r="K7895" t="str">
        <x:v>debt_consolidation</x:v>
      </x:c>
      <x:c r="L7895" t="n">
        <x:v>2</x:v>
      </x:c>
      <x:c r="M7895" t="n">
        <x:v>0</x:v>
      </x:c>
      <x:c r="N7895" t="str">
        <x:v>Fully Paid</x:v>
      </x:c>
      <x:c r="O7895" t="str">
        <x:f>IF(D7895="","Unknown",IF(D7895&lt;25000,"&lt;$25k",IF(D7895&lt;50000,"$25k-$50k",IF(D7895&lt;75000,"$50k-$75k",IF(D7895&lt;100000,"$75k-$100k","$100k+")))))</x:f>
        <x:v>$75k-$100k</x:v>
      </x:c>
      <x:c r="P7895" t="str">
        <x:f>IF(E7895="","Unknown",IF(E7895&lt;10,"&lt;10",IF(E7895&lt;20,"10-&lt;20",IF(E7895&lt;25,"20-&lt;25",IF(E7895&lt;35,"25-&lt;35","35+")))))</x:f>
        <x:v>10-&lt;20</x:v>
      </x:c>
    </x:row>
    <x:row r="7896">
      <x:c r="A7896" t="str">
        <x:v>SYN0007895</x:v>
      </x:c>
      <x:c r="B7896" s="12" t="n">
        <x:v>41635</x:v>
      </x:c>
      <x:c r="C7896" s="18" t="n">
        <x:v>15595</x:v>
      </x:c>
      <x:c r="D7896" s="18" t="n">
        <x:v>39514</x:v>
      </x:c>
      <x:c r="E7896" s="18" t="n">
        <x:v>19.7</x:v>
      </x:c>
      <x:c r="F7896" s="18" t="n">
        <x:v>16.04</x:v>
      </x:c>
      <x:c r="G7896" t="n">
        <x:v>36</x:v>
      </x:c>
      <x:c r="H7896" t="str">
        <x:v>D</x:v>
      </x:c>
      <x:c r="I7896" t="str">
        <x:v>7-9 years</x:v>
      </x:c>
      <x:c r="J7896" t="str">
        <x:v>RENT</x:v>
      </x:c>
      <x:c r="K7896" t="str">
        <x:v>home_improvement</x:v>
      </x:c>
      <x:c r="L7896" t="n">
        <x:v>0</x:v>
      </x:c>
      <x:c r="M7896" t="n">
        <x:v>0</x:v>
      </x:c>
      <x:c r="N7896" t="str">
        <x:v>Fully Paid</x:v>
      </x:c>
      <x:c r="O7896" t="str">
        <x:f>IF(D7896="","Unknown",IF(D7896&lt;25000,"&lt;$25k",IF(D7896&lt;50000,"$25k-$50k",IF(D7896&lt;75000,"$50k-$75k",IF(D7896&lt;100000,"$75k-$100k","$100k+")))))</x:f>
        <x:v>$25k-$50k</x:v>
      </x:c>
      <x:c r="P7896" t="str">
        <x:f>IF(E7896="","Unknown",IF(E7896&lt;10,"&lt;10",IF(E7896&lt;20,"10-&lt;20",IF(E7896&lt;25,"20-&lt;25",IF(E7896&lt;35,"25-&lt;35","35+")))))</x:f>
        <x:v>10-&lt;20</x:v>
      </x:c>
    </x:row>
    <x:row r="7897">
      <x:c r="A7897" t="str">
        <x:v>SYN0007896</x:v>
      </x:c>
      <x:c r="B7897" s="12" t="n">
        <x:v>41305</x:v>
      </x:c>
      <x:c r="C7897" s="18" t="n">
        <x:v>22687</x:v>
      </x:c>
      <x:c r="D7897" s="18" t="n">
        <x:v>39639</x:v>
      </x:c>
      <x:c r="E7897" s="18" t="n">
        <x:v>29.38</x:v>
      </x:c>
      <x:c r="F7897" s="18" t="n">
        <x:v>14.74</x:v>
      </x:c>
      <x:c r="G7897" t="n">
        <x:v>60</x:v>
      </x:c>
      <x:c r="H7897" t="str">
        <x:v>D</x:v>
      </x:c>
      <x:c r="I7897" t="str">
        <x:v>10+ years</x:v>
      </x:c>
      <x:c r="J7897" t="str">
        <x:v>RENT</x:v>
      </x:c>
      <x:c r="K7897" t="str">
        <x:v>medical</x:v>
      </x:c>
      <x:c r="L7897" t="n">
        <x:v>0</x:v>
      </x:c>
      <x:c r="M7897" t="n">
        <x:v>0</x:v>
      </x:c>
      <x:c r="N7897" t="str">
        <x:v>Fully Paid</x:v>
      </x:c>
      <x:c r="O7897" t="str">
        <x:f>IF(D7897="","Unknown",IF(D7897&lt;25000,"&lt;$25k",IF(D7897&lt;50000,"$25k-$50k",IF(D7897&lt;75000,"$50k-$75k",IF(D7897&lt;100000,"$75k-$100k","$100k+")))))</x:f>
        <x:v>$25k-$50k</x:v>
      </x:c>
      <x:c r="P7897" t="str">
        <x:f>IF(E7897="","Unknown",IF(E7897&lt;10,"&lt;10",IF(E7897&lt;20,"10-&lt;20",IF(E7897&lt;25,"20-&lt;25",IF(E7897&lt;35,"25-&lt;35","35+")))))</x:f>
        <x:v>25-&lt;35</x:v>
      </x:c>
    </x:row>
    <x:row r="7898">
      <x:c r="A7898" t="str">
        <x:v>SYN0007897</x:v>
      </x:c>
      <x:c r="B7898" s="12" t="n">
        <x:v>42505</x:v>
      </x:c>
      <x:c r="C7898" s="18" t="n">
        <x:v>13457</x:v>
      </x:c>
      <x:c r="D7898" s="18" t="n">
        <x:v>173994</x:v>
      </x:c>
      <x:c r="E7898" s="18" t="n">
        <x:v>11.03</x:v>
      </x:c>
      <x:c r="F7898" s="18" t="n">
        <x:v>18.25</x:v>
      </x:c>
      <x:c r="G7898" t="n">
        <x:v>36</x:v>
      </x:c>
      <x:c r="H7898" t="str">
        <x:v>E</x:v>
      </x:c>
      <x:c r="I7898" t="str">
        <x:v>1-3 years</x:v>
      </x:c>
      <x:c r="J7898" t="str">
        <x:v>MORTGAGE</x:v>
      </x:c>
      <x:c r="K7898" t="str">
        <x:v>credit_card</x:v>
      </x:c>
      <x:c r="L7898" t="n">
        <x:v>1</x:v>
      </x:c>
      <x:c r="M7898" t="n">
        <x:v>0</x:v>
      </x:c>
      <x:c r="N7898" t="str">
        <x:v>Fully Paid</x:v>
      </x:c>
      <x:c r="O7898" t="str">
        <x:f>IF(D7898="","Unknown",IF(D7898&lt;25000,"&lt;$25k",IF(D7898&lt;50000,"$25k-$50k",IF(D7898&lt;75000,"$50k-$75k",IF(D7898&lt;100000,"$75k-$100k","$100k+")))))</x:f>
        <x:v>$100k+</x:v>
      </x:c>
      <x:c r="P7898" t="str">
        <x:f>IF(E7898="","Unknown",IF(E7898&lt;10,"&lt;10",IF(E7898&lt;20,"10-&lt;20",IF(E7898&lt;25,"20-&lt;25",IF(E7898&lt;35,"25-&lt;35","35+")))))</x:f>
        <x:v>10-&lt;20</x:v>
      </x:c>
    </x:row>
    <x:row r="7899">
      <x:c r="A7899" t="str">
        <x:v>SYN0007898</x:v>
      </x:c>
      <x:c r="B7899" s="12" t="n">
        <x:v>42985</x:v>
      </x:c>
      <x:c r="C7899" s="18" t="n">
        <x:v>17275</x:v>
      </x:c>
      <x:c r="D7899" s="18" t="n">
        <x:v>81290</x:v>
      </x:c>
      <x:c r="E7899" s="18" t="n">
        <x:v>26.93</x:v>
      </x:c>
      <x:c r="F7899" s="18" t="n">
        <x:v>6.98</x:v>
      </x:c>
      <x:c r="G7899" t="n">
        <x:v>36</x:v>
      </x:c>
      <x:c r="H7899" t="str">
        <x:v>A</x:v>
      </x:c>
      <x:c r="I7899" t="str">
        <x:v>1-3 years</x:v>
      </x:c>
      <x:c r="J7899" t="str">
        <x:v>MORTGAGE</x:v>
      </x:c>
      <x:c r="K7899" t="str">
        <x:v>debt_consolidation</x:v>
      </x:c>
      <x:c r="L7899" t="n">
        <x:v>0</x:v>
      </x:c>
      <x:c r="M7899" t="n">
        <x:v>1</x:v>
      </x:c>
      <x:c r="N7899" t="str">
        <x:v>Charged Off</x:v>
      </x:c>
      <x:c r="O7899" t="str">
        <x:f>IF(D7899="","Unknown",IF(D7899&lt;25000,"&lt;$25k",IF(D7899&lt;50000,"$25k-$50k",IF(D7899&lt;75000,"$50k-$75k",IF(D7899&lt;100000,"$75k-$100k","$100k+")))))</x:f>
        <x:v>$75k-$100k</x:v>
      </x:c>
      <x:c r="P7899" t="str">
        <x:f>IF(E7899="","Unknown",IF(E7899&lt;10,"&lt;10",IF(E7899&lt;20,"10-&lt;20",IF(E7899&lt;25,"20-&lt;25",IF(E7899&lt;35,"25-&lt;35","35+")))))</x:f>
        <x:v>25-&lt;35</x:v>
      </x:c>
    </x:row>
    <x:row r="7900">
      <x:c r="A7900" t="str">
        <x:v>SYN0007899</x:v>
      </x:c>
      <x:c r="B7900" s="12" t="n">
        <x:v>41845</x:v>
      </x:c>
      <x:c r="C7900" s="18" t="n">
        <x:v>15915</x:v>
      </x:c>
      <x:c r="D7900" s="18" t="n">
        <x:v>38281</x:v>
      </x:c>
      <x:c r="E7900" s="18" t="n">
        <x:v>12.3</x:v>
      </x:c>
      <x:c r="F7900" s="18" t="n">
        <x:v>17.33</x:v>
      </x:c>
      <x:c r="G7900" t="n">
        <x:v>36</x:v>
      </x:c>
      <x:c r="H7900" t="str">
        <x:v>E</x:v>
      </x:c>
      <x:c r="I7900" t="str">
        <x:v>1-3 years</x:v>
      </x:c>
      <x:c r="J7900" t="str">
        <x:v>RENT</x:v>
      </x:c>
      <x:c r="K7900" t="str">
        <x:v>credit_card</x:v>
      </x:c>
      <x:c r="L7900" t="n">
        <x:v>1</x:v>
      </x:c>
      <x:c r="M7900" t="n">
        <x:v>0</x:v>
      </x:c>
      <x:c r="N7900" t="str">
        <x:v>Fully Paid</x:v>
      </x:c>
      <x:c r="O7900" t="str">
        <x:f>IF(D7900="","Unknown",IF(D7900&lt;25000,"&lt;$25k",IF(D7900&lt;50000,"$25k-$50k",IF(D7900&lt;75000,"$50k-$75k",IF(D7900&lt;100000,"$75k-$100k","$100k+")))))</x:f>
        <x:v>$25k-$50k</x:v>
      </x:c>
      <x:c r="P7900" t="str">
        <x:f>IF(E7900="","Unknown",IF(E7900&lt;10,"&lt;10",IF(E7900&lt;20,"10-&lt;20",IF(E7900&lt;25,"20-&lt;25",IF(E7900&lt;35,"25-&lt;35","35+")))))</x:f>
        <x:v>10-&lt;20</x:v>
      </x:c>
    </x:row>
    <x:row r="7901">
      <x:c r="A7901" t="str">
        <x:v>SYN0007900</x:v>
      </x:c>
      <x:c r="B7901" s="12" t="n">
        <x:v>43375</x:v>
      </x:c>
      <x:c r="C7901" s="18" t="n">
        <x:v>24206</x:v>
      </x:c>
      <x:c r="D7901" s="18" t="n">
        <x:v>45048</x:v>
      </x:c>
      <x:c r="E7901" s="18" t="n">
        <x:v>20.91</x:v>
      </x:c>
      <x:c r="F7901" s="18" t="n">
        <x:v>11.24</x:v>
      </x:c>
      <x:c r="G7901" t="n">
        <x:v>36</x:v>
      </x:c>
      <x:c r="H7901" t="str">
        <x:v>B</x:v>
      </x:c>
      <x:c r="I7901" t="str">
        <x:v>10+ years</x:v>
      </x:c>
      <x:c r="J7901" t="str">
        <x:v>MORTGAGE</x:v>
      </x:c>
      <x:c r="K7901" t="str">
        <x:v>other</x:v>
      </x:c>
      <x:c r="L7901" t="n">
        <x:v>0</x:v>
      </x:c>
      <x:c r="M7901" t="n">
        <x:v>0</x:v>
      </x:c>
      <x:c r="N7901" t="str">
        <x:v>Fully Paid</x:v>
      </x:c>
      <x:c r="O7901" t="str">
        <x:f>IF(D7901="","Unknown",IF(D7901&lt;25000,"&lt;$25k",IF(D7901&lt;50000,"$25k-$50k",IF(D7901&lt;75000,"$50k-$75k",IF(D7901&lt;100000,"$75k-$100k","$100k+")))))</x:f>
        <x:v>$25k-$50k</x:v>
      </x:c>
      <x:c r="P7901" t="str">
        <x:f>IF(E7901="","Unknown",IF(E7901&lt;10,"&lt;10",IF(E7901&lt;20,"10-&lt;20",IF(E7901&lt;25,"20-&lt;25",IF(E7901&lt;35,"25-&lt;35","35+")))))</x:f>
        <x:v>20-&lt;25</x:v>
      </x:c>
    </x:row>
    <x:row r="7902">
      <x:c r="A7902" t="str">
        <x:v>SYN0007901</x:v>
      </x:c>
      <x:c r="B7902" s="12" t="n">
        <x:v>42715</x:v>
      </x:c>
      <x:c r="C7902" s="18" t="n">
        <x:v>4161</x:v>
      </x:c>
      <x:c r="D7902" s="18" t="n">
        <x:v>49689</x:v>
      </x:c>
      <x:c r="E7902" s="18" t="n">
        <x:v>8.82</x:v>
      </x:c>
      <x:c r="F7902" s="18" t="n">
        <x:v>6.17</x:v>
      </x:c>
      <x:c r="G7902" t="n">
        <x:v>36</x:v>
      </x:c>
      <x:c r="H7902" t="str">
        <x:v>B</x:v>
      </x:c>
      <x:c r="I7902" t="str">
        <x:v>1-3 years</x:v>
      </x:c>
      <x:c r="J7902" t="str">
        <x:v>OWN</x:v>
      </x:c>
      <x:c r="K7902" t="str">
        <x:v>credit_card</x:v>
      </x:c>
      <x:c r="L7902" t="n">
        <x:v>0</x:v>
      </x:c>
      <x:c r="M7902" t="n">
        <x:v>0</x:v>
      </x:c>
      <x:c r="N7902" t="str">
        <x:v>Fully Paid</x:v>
      </x:c>
      <x:c r="O7902" t="str">
        <x:f>IF(D7902="","Unknown",IF(D7902&lt;25000,"&lt;$25k",IF(D7902&lt;50000,"$25k-$50k",IF(D7902&lt;75000,"$50k-$75k",IF(D7902&lt;100000,"$75k-$100k","$100k+")))))</x:f>
        <x:v>$25k-$50k</x:v>
      </x:c>
      <x:c r="P7902" t="str">
        <x:f>IF(E7902="","Unknown",IF(E7902&lt;10,"&lt;10",IF(E7902&lt;20,"10-&lt;20",IF(E7902&lt;25,"20-&lt;25",IF(E7902&lt;35,"25-&lt;35","35+")))))</x:f>
        <x:v>&lt;10</x:v>
      </x:c>
    </x:row>
    <x:row r="7903">
      <x:c r="A7903" t="str">
        <x:v>SYN0007902</x:v>
      </x:c>
      <x:c r="B7903" s="12" t="n">
        <x:v>42085</x:v>
      </x:c>
      <x:c r="C7903" s="18" t="n">
        <x:v>14399</x:v>
      </x:c>
      <x:c r="D7903" s="18" t="n">
        <x:v>29991</x:v>
      </x:c>
      <x:c r="E7903" s="18" t="n">
        <x:v>21.06</x:v>
      </x:c>
      <x:c r="F7903" s="18" t="n">
        <x:v>17.67</x:v>
      </x:c>
      <x:c r="G7903" t="n">
        <x:v>36</x:v>
      </x:c>
      <x:c r="H7903" t="str">
        <x:v>E</x:v>
      </x:c>
      <x:c r="I7903" t="str">
        <x:v>10+ years</x:v>
      </x:c>
      <x:c r="J7903" t="str">
        <x:v>MORTGAGE</x:v>
      </x:c>
      <x:c r="K7903" t="str">
        <x:v>other</x:v>
      </x:c>
      <x:c r="L7903" t="n">
        <x:v>1</x:v>
      </x:c>
      <x:c r="M7903" t="n">
        <x:v>0</x:v>
      </x:c>
      <x:c r="N7903" t="str">
        <x:v>Fully Paid</x:v>
      </x:c>
      <x:c r="O7903" t="str">
        <x:f>IF(D7903="","Unknown",IF(D7903&lt;25000,"&lt;$25k",IF(D7903&lt;50000,"$25k-$50k",IF(D7903&lt;75000,"$50k-$75k",IF(D7903&lt;100000,"$75k-$100k","$100k+")))))</x:f>
        <x:v>$25k-$50k</x:v>
      </x:c>
      <x:c r="P7903" t="str">
        <x:f>IF(E7903="","Unknown",IF(E7903&lt;10,"&lt;10",IF(E7903&lt;20,"10-&lt;20",IF(E7903&lt;25,"20-&lt;25",IF(E7903&lt;35,"25-&lt;35","35+")))))</x:f>
        <x:v>20-&lt;25</x:v>
      </x:c>
    </x:row>
    <x:row r="7904">
      <x:c r="A7904" t="str">
        <x:v>SYN0007903</x:v>
      </x:c>
      <x:c r="B7904" s="12" t="n">
        <x:v>41305</x:v>
      </x:c>
      <x:c r="C7904" s="18" t="n">
        <x:v>15834</x:v>
      </x:c>
      <x:c r="D7904" s="18" t="n">
        <x:v>64967</x:v>
      </x:c>
      <x:c r="E7904" s="18" t="n">
        <x:v>15.91</x:v>
      </x:c>
      <x:c r="F7904" s="18" t="n">
        <x:v>10.36</x:v>
      </x:c>
      <x:c r="G7904" t="n">
        <x:v>60</x:v>
      </x:c>
      <x:c r="H7904" t="str">
        <x:v>B</x:v>
      </x:c>
      <x:c r="I7904" t="str">
        <x:v>&lt;1 year</x:v>
      </x:c>
      <x:c r="J7904" t="str">
        <x:v>MORTGAGE</x:v>
      </x:c>
      <x:c r="K7904" t="str">
        <x:v>debt_consolidation</x:v>
      </x:c>
      <x:c r="L7904" t="n">
        <x:v>1</x:v>
      </x:c>
      <x:c r="M7904" t="n">
        <x:v>0</x:v>
      </x:c>
      <x:c r="N7904" t="str">
        <x:v>Fully Paid</x:v>
      </x:c>
      <x:c r="O7904" t="str">
        <x:f>IF(D7904="","Unknown",IF(D7904&lt;25000,"&lt;$25k",IF(D7904&lt;50000,"$25k-$50k",IF(D7904&lt;75000,"$50k-$75k",IF(D7904&lt;100000,"$75k-$100k","$100k+")))))</x:f>
        <x:v>$50k-$75k</x:v>
      </x:c>
      <x:c r="P7904" t="str">
        <x:f>IF(E7904="","Unknown",IF(E7904&lt;10,"&lt;10",IF(E7904&lt;20,"10-&lt;20",IF(E7904&lt;25,"20-&lt;25",IF(E7904&lt;35,"25-&lt;35","35+")))))</x:f>
        <x:v>10-&lt;20</x:v>
      </x:c>
    </x:row>
    <x:row r="7905">
      <x:c r="A7905" t="str">
        <x:v>SYN0007904</x:v>
      </x:c>
      <x:c r="B7905" s="12" t="n">
        <x:v>41335</x:v>
      </x:c>
      <x:c r="C7905" s="18" t="n">
        <x:v>22921</x:v>
      </x:c>
      <x:c r="D7905" s="18" t="n">
        <x:v>61820</x:v>
      </x:c>
      <x:c r="E7905" s="18" t="n">
        <x:v>20.06</x:v>
      </x:c>
      <x:c r="F7905" s="18" t="n">
        <x:v>10.69</x:v>
      </x:c>
      <x:c r="G7905" t="n">
        <x:v>60</x:v>
      </x:c>
      <x:c r="H7905" t="str">
        <x:v>B</x:v>
      </x:c>
      <x:c r="I7905" t="str">
        <x:v>4-6 years</x:v>
      </x:c>
      <x:c r="J7905" t="str">
        <x:v>OWN</x:v>
      </x:c>
      <x:c r="K7905" t="str">
        <x:v>debt_consolidation</x:v>
      </x:c>
      <x:c r="L7905" t="n">
        <x:v>0</x:v>
      </x:c>
      <x:c r="M7905" t="n">
        <x:v>0</x:v>
      </x:c>
      <x:c r="N7905" t="str">
        <x:v>Fully Paid</x:v>
      </x:c>
      <x:c r="O7905" t="str">
        <x:f>IF(D7905="","Unknown",IF(D7905&lt;25000,"&lt;$25k",IF(D7905&lt;50000,"$25k-$50k",IF(D7905&lt;75000,"$50k-$75k",IF(D7905&lt;100000,"$75k-$100k","$100k+")))))</x:f>
        <x:v>$50k-$75k</x:v>
      </x:c>
      <x:c r="P7905" t="str">
        <x:f>IF(E7905="","Unknown",IF(E7905&lt;10,"&lt;10",IF(E7905&lt;20,"10-&lt;20",IF(E7905&lt;25,"20-&lt;25",IF(E7905&lt;35,"25-&lt;35","35+")))))</x:f>
        <x:v>20-&lt;25</x:v>
      </x:c>
    </x:row>
    <x:row r="7906">
      <x:c r="A7906" t="str">
        <x:v>SYN0007905</x:v>
      </x:c>
      <x:c r="B7906" s="12" t="n">
        <x:v>41755</x:v>
      </x:c>
      <x:c r="C7906" s="18" t="n">
        <x:v>11604</x:v>
      </x:c>
      <x:c r="D7906" s="18" t="n">
        <x:v>17343</x:v>
      </x:c>
      <x:c r="E7906" s="18" t="n">
        <x:v>14.36</x:v>
      </x:c>
      <x:c r="F7906" s="18" t="n">
        <x:v>9.56</x:v>
      </x:c>
      <x:c r="G7906" t="n">
        <x:v>36</x:v>
      </x:c>
      <x:c r="H7906" t="str">
        <x:v>B</x:v>
      </x:c>
      <x:c r="I7906" t="str">
        <x:v>&lt;1 year</x:v>
      </x:c>
      <x:c r="J7906" t="str">
        <x:v>RENT</x:v>
      </x:c>
      <x:c r="K7906" t="str">
        <x:v>debt_consolidation</x:v>
      </x:c>
      <x:c r="L7906" t="n">
        <x:v>0</x:v>
      </x:c>
      <x:c r="M7906" t="n">
        <x:v>0</x:v>
      </x:c>
      <x:c r="N7906" t="str">
        <x:v>Fully Paid</x:v>
      </x:c>
      <x:c r="O7906" t="str">
        <x:f>IF(D7906="","Unknown",IF(D7906&lt;25000,"&lt;$25k",IF(D7906&lt;50000,"$25k-$50k",IF(D7906&lt;75000,"$50k-$75k",IF(D7906&lt;100000,"$75k-$100k","$100k+")))))</x:f>
        <x:v>&lt;$25k</x:v>
      </x:c>
      <x:c r="P7906" t="str">
        <x:f>IF(E7906="","Unknown",IF(E7906&lt;10,"&lt;10",IF(E7906&lt;20,"10-&lt;20",IF(E7906&lt;25,"20-&lt;25",IF(E7906&lt;35,"25-&lt;35","35+")))))</x:f>
        <x:v>10-&lt;20</x:v>
      </x:c>
    </x:row>
    <x:row r="7907">
      <x:c r="A7907" t="str">
        <x:v>SYN0007906</x:v>
      </x:c>
      <x:c r="B7907" s="12" t="n">
        <x:v>41905</x:v>
      </x:c>
      <x:c r="C7907" s="18" t="n">
        <x:v>11079</x:v>
      </x:c>
      <x:c r="D7907" s="18" t="n">
        <x:v>72139</x:v>
      </x:c>
      <x:c r="E7907" s="18" t="n">
        <x:v>14.33</x:v>
      </x:c>
      <x:c r="F7907" s="18" t="n">
        <x:v>9.73</x:v>
      </x:c>
      <x:c r="G7907" t="n">
        <x:v>36</x:v>
      </x:c>
      <x:c r="H7907" t="str">
        <x:v>B</x:v>
      </x:c>
      <x:c r="I7907" t="str">
        <x:v>1-3 years</x:v>
      </x:c>
      <x:c r="J7907" t="str">
        <x:v>MORTGAGE</x:v>
      </x:c>
      <x:c r="K7907" t="str">
        <x:v>debt_consolidation</x:v>
      </x:c>
      <x:c r="L7907" t="n">
        <x:v>1</x:v>
      </x:c>
      <x:c r="M7907" t="n">
        <x:v>0</x:v>
      </x:c>
      <x:c r="N7907" t="str">
        <x:v>Fully Paid</x:v>
      </x:c>
      <x:c r="O7907" t="str">
        <x:f>IF(D7907="","Unknown",IF(D7907&lt;25000,"&lt;$25k",IF(D7907&lt;50000,"$25k-$50k",IF(D7907&lt;75000,"$50k-$75k",IF(D7907&lt;100000,"$75k-$100k","$100k+")))))</x:f>
        <x:v>$50k-$75k</x:v>
      </x:c>
      <x:c r="P7907" t="str">
        <x:f>IF(E7907="","Unknown",IF(E7907&lt;10,"&lt;10",IF(E7907&lt;20,"10-&lt;20",IF(E7907&lt;25,"20-&lt;25",IF(E7907&lt;35,"25-&lt;35","35+")))))</x:f>
        <x:v>10-&lt;20</x:v>
      </x:c>
    </x:row>
    <x:row r="7908">
      <x:c r="A7908" t="str">
        <x:v>SYN0007907</x:v>
      </x:c>
      <x:c r="B7908" s="12" t="n">
        <x:v>42955</x:v>
      </x:c>
      <x:c r="C7908" s="18" t="n">
        <x:v>7546</x:v>
      </x:c>
      <x:c r="D7908" s="18" t="n">
        <x:v>48789</x:v>
      </x:c>
      <x:c r="E7908" s="18" t="n">
        <x:v>24.94</x:v>
      </x:c>
      <x:c r="F7908" s="18" t="n">
        <x:v>10.39</x:v>
      </x:c>
      <x:c r="G7908" t="n">
        <x:v>36</x:v>
      </x:c>
      <x:c r="H7908" t="str">
        <x:v>C</x:v>
      </x:c>
      <x:c r="I7908" t="str">
        <x:v>7-9 years</x:v>
      </x:c>
      <x:c r="J7908" t="str">
        <x:v>MORTGAGE</x:v>
      </x:c>
      <x:c r="K7908" t="str">
        <x:v>home_improvement</x:v>
      </x:c>
      <x:c r="L7908" t="n">
        <x:v>1</x:v>
      </x:c>
      <x:c r="M7908" t="n">
        <x:v>1</x:v>
      </x:c>
      <x:c r="N7908" t="str">
        <x:v>Charged Off</x:v>
      </x:c>
      <x:c r="O7908" t="str">
        <x:f>IF(D7908="","Unknown",IF(D7908&lt;25000,"&lt;$25k",IF(D7908&lt;50000,"$25k-$50k",IF(D7908&lt;75000,"$50k-$75k",IF(D7908&lt;100000,"$75k-$100k","$100k+")))))</x:f>
        <x:v>$25k-$50k</x:v>
      </x:c>
      <x:c r="P7908" t="str">
        <x:f>IF(E7908="","Unknown",IF(E7908&lt;10,"&lt;10",IF(E7908&lt;20,"10-&lt;20",IF(E7908&lt;25,"20-&lt;25",IF(E7908&lt;35,"25-&lt;35","35+")))))</x:f>
        <x:v>20-&lt;25</x:v>
      </x:c>
    </x:row>
    <x:row r="7909">
      <x:c r="A7909" t="str">
        <x:v>SYN0007908</x:v>
      </x:c>
      <x:c r="B7909" s="12" t="n">
        <x:v>41995</x:v>
      </x:c>
      <x:c r="C7909" s="18" t="n">
        <x:v>9358</x:v>
      </x:c>
      <x:c r="D7909" s="18" t="n">
        <x:v>59015</x:v>
      </x:c>
      <x:c r="E7909" s="18" t="n">
        <x:v>28.57</x:v>
      </x:c>
      <x:c r="F7909" s="18" t="n">
        <x:v>9.84</x:v>
      </x:c>
      <x:c r="G7909" t="n">
        <x:v>36</x:v>
      </x:c>
      <x:c r="H7909" t="str">
        <x:v>C</x:v>
      </x:c>
      <x:c r="I7909" t="str">
        <x:v>4-6 years</x:v>
      </x:c>
      <x:c r="J7909" t="str">
        <x:v>MORTGAGE</x:v>
      </x:c>
      <x:c r="K7909" t="str">
        <x:v>debt_consolidation</x:v>
      </x:c>
      <x:c r="L7909" t="n">
        <x:v>0</x:v>
      </x:c>
      <x:c r="M7909" t="n">
        <x:v>0</x:v>
      </x:c>
      <x:c r="N7909" t="str">
        <x:v>Fully Paid</x:v>
      </x:c>
      <x:c r="O7909" t="str">
        <x:f>IF(D7909="","Unknown",IF(D7909&lt;25000,"&lt;$25k",IF(D7909&lt;50000,"$25k-$50k",IF(D7909&lt;75000,"$50k-$75k",IF(D7909&lt;100000,"$75k-$100k","$100k+")))))</x:f>
        <x:v>$50k-$75k</x:v>
      </x:c>
      <x:c r="P7909" t="str">
        <x:f>IF(E7909="","Unknown",IF(E7909&lt;10,"&lt;10",IF(E7909&lt;20,"10-&lt;20",IF(E7909&lt;25,"20-&lt;25",IF(E7909&lt;35,"25-&lt;35","35+")))))</x:f>
        <x:v>25-&lt;35</x:v>
      </x:c>
    </x:row>
    <x:row r="7910">
      <x:c r="A7910" t="str">
        <x:v>SYN0007909</x:v>
      </x:c>
      <x:c r="B7910" s="12" t="n">
        <x:v>41605</x:v>
      </x:c>
      <x:c r="C7910" s="18" t="n">
        <x:v>33028</x:v>
      </x:c>
      <x:c r="D7910" s="18" t="n">
        <x:v>107505</x:v>
      </x:c>
      <x:c r="E7910" s="18" t="n">
        <x:v>16.74</x:v>
      </x:c>
      <x:c r="F7910" s="18" t="n">
        <x:v>12.05</x:v>
      </x:c>
      <x:c r="G7910" t="n">
        <x:v>36</x:v>
      </x:c>
      <x:c r="H7910" t="str">
        <x:v>C</x:v>
      </x:c>
      <x:c r="I7910" t="str">
        <x:v>10+ years</x:v>
      </x:c>
      <x:c r="J7910" t="str">
        <x:v>RENT</x:v>
      </x:c>
      <x:c r="K7910" t="str">
        <x:v>debt_consolidation</x:v>
      </x:c>
      <x:c r="L7910" t="n">
        <x:v>0</x:v>
      </x:c>
      <x:c r="M7910" t="n">
        <x:v>0</x:v>
      </x:c>
      <x:c r="N7910" t="str">
        <x:v>Fully Paid</x:v>
      </x:c>
      <x:c r="O7910" t="str">
        <x:f>IF(D7910="","Unknown",IF(D7910&lt;25000,"&lt;$25k",IF(D7910&lt;50000,"$25k-$50k",IF(D7910&lt;75000,"$50k-$75k",IF(D7910&lt;100000,"$75k-$100k","$100k+")))))</x:f>
        <x:v>$100k+</x:v>
      </x:c>
      <x:c r="P7910" t="str">
        <x:f>IF(E7910="","Unknown",IF(E7910&lt;10,"&lt;10",IF(E7910&lt;20,"10-&lt;20",IF(E7910&lt;25,"20-&lt;25",IF(E7910&lt;35,"25-&lt;35","35+")))))</x:f>
        <x:v>10-&lt;20</x:v>
      </x:c>
    </x:row>
    <x:row r="7911">
      <x:c r="A7911" t="str">
        <x:v>SYN0007910</x:v>
      </x:c>
      <x:c r="B7911" s="12" t="n">
        <x:v>42925</x:v>
      </x:c>
      <x:c r="C7911" s="18" t="n">
        <x:v>12219</x:v>
      </x:c>
      <x:c r="D7911" s="18" t="n">
        <x:v>52119</x:v>
      </x:c>
      <x:c r="E7911" s="18" t="n">
        <x:v>4.61</x:v>
      </x:c>
      <x:c r="F7911" s="18" t="n">
        <x:v>8.91</x:v>
      </x:c>
      <x:c r="G7911" t="n">
        <x:v>36</x:v>
      </x:c>
      <x:c r="H7911" t="str">
        <x:v>B</x:v>
      </x:c>
      <x:c r="I7911" t="str">
        <x:v>1-3 years</x:v>
      </x:c>
      <x:c r="J7911" t="str">
        <x:v>RENT</x:v>
      </x:c>
      <x:c r="K7911" t="str">
        <x:v>debt_consolidation</x:v>
      </x:c>
      <x:c r="L7911" t="n">
        <x:v>0</x:v>
      </x:c>
      <x:c r="M7911" t="n">
        <x:v>0</x:v>
      </x:c>
      <x:c r="N7911" t="str">
        <x:v>Fully Paid</x:v>
      </x:c>
      <x:c r="O7911" t="str">
        <x:f>IF(D7911="","Unknown",IF(D7911&lt;25000,"&lt;$25k",IF(D7911&lt;50000,"$25k-$50k",IF(D7911&lt;75000,"$50k-$75k",IF(D7911&lt;100000,"$75k-$100k","$100k+")))))</x:f>
        <x:v>$50k-$75k</x:v>
      </x:c>
      <x:c r="P7911" t="str">
        <x:f>IF(E7911="","Unknown",IF(E7911&lt;10,"&lt;10",IF(E7911&lt;20,"10-&lt;20",IF(E7911&lt;25,"20-&lt;25",IF(E7911&lt;35,"25-&lt;35","35+")))))</x:f>
        <x:v>&lt;10</x:v>
      </x:c>
    </x:row>
    <x:row r="7912">
      <x:c r="A7912" t="str">
        <x:v>SYN0007911</x:v>
      </x:c>
      <x:c r="B7912" s="12" t="n">
        <x:v>43255</x:v>
      </x:c>
      <x:c r="C7912" s="18" t="n">
        <x:v>11356</x:v>
      </x:c>
      <x:c r="D7912" s="18" t="n">
        <x:v>40173</x:v>
      </x:c>
      <x:c r="E7912" s="18" t="n">
        <x:v>16.78</x:v>
      </x:c>
      <x:c r="F7912" s="18" t="n">
        <x:v>8.56</x:v>
      </x:c>
      <x:c r="G7912" t="n">
        <x:v>36</x:v>
      </x:c>
      <x:c r="H7912" t="str">
        <x:v>C</x:v>
      </x:c>
      <x:c r="I7912" t="str">
        <x:v>7-9 years</x:v>
      </x:c>
      <x:c r="J7912" t="str">
        <x:v>MORTGAGE</x:v>
      </x:c>
      <x:c r="K7912" t="str">
        <x:v>debt_consolidation</x:v>
      </x:c>
      <x:c r="L7912" t="n">
        <x:v>0</x:v>
      </x:c>
      <x:c r="M7912" t="n">
        <x:v>0</x:v>
      </x:c>
      <x:c r="N7912" t="str">
        <x:v>Fully Paid</x:v>
      </x:c>
      <x:c r="O7912" t="str">
        <x:f>IF(D7912="","Unknown",IF(D7912&lt;25000,"&lt;$25k",IF(D7912&lt;50000,"$25k-$50k",IF(D7912&lt;75000,"$50k-$75k",IF(D7912&lt;100000,"$75k-$100k","$100k+")))))</x:f>
        <x:v>$25k-$50k</x:v>
      </x:c>
      <x:c r="P7912" t="str">
        <x:f>IF(E7912="","Unknown",IF(E7912&lt;10,"&lt;10",IF(E7912&lt;20,"10-&lt;20",IF(E7912&lt;25,"20-&lt;25",IF(E7912&lt;35,"25-&lt;35","35+")))))</x:f>
        <x:v>10-&lt;20</x:v>
      </x:c>
    </x:row>
    <x:row r="7913">
      <x:c r="A7913" t="str">
        <x:v>SYN0007912</x:v>
      </x:c>
      <x:c r="B7913" s="12" t="n">
        <x:v>42175</x:v>
      </x:c>
      <x:c r="C7913" s="18" t="n">
        <x:v>13824</x:v>
      </x:c>
      <x:c r="D7913" s="18" t="n">
        <x:v>88421</x:v>
      </x:c>
      <x:c r="E7913" s="18" t="n">
        <x:v>20.7</x:v>
      </x:c>
      <x:c r="F7913" s="18" t="n">
        <x:v>8.25</x:v>
      </x:c>
      <x:c r="G7913" t="n">
        <x:v>36</x:v>
      </x:c>
      <x:c r="H7913" t="str">
        <x:v>C</x:v>
      </x:c>
      <x:c r="I7913" t="str">
        <x:v>10+ years</x:v>
      </x:c>
      <x:c r="J7913" t="str">
        <x:v>MORTGAGE</x:v>
      </x:c>
      <x:c r="K7913" t="str">
        <x:v>debt_consolidation</x:v>
      </x:c>
      <x:c r="L7913" t="n">
        <x:v>0</x:v>
      </x:c>
      <x:c r="M7913" t="n">
        <x:v>0</x:v>
      </x:c>
      <x:c r="N7913" t="str">
        <x:v>Fully Paid</x:v>
      </x:c>
      <x:c r="O7913" t="str">
        <x:f>IF(D7913="","Unknown",IF(D7913&lt;25000,"&lt;$25k",IF(D7913&lt;50000,"$25k-$50k",IF(D7913&lt;75000,"$50k-$75k",IF(D7913&lt;100000,"$75k-$100k","$100k+")))))</x:f>
        <x:v>$75k-$100k</x:v>
      </x:c>
      <x:c r="P7913" t="str">
        <x:f>IF(E7913="","Unknown",IF(E7913&lt;10,"&lt;10",IF(E7913&lt;20,"10-&lt;20",IF(E7913&lt;25,"20-&lt;25",IF(E7913&lt;35,"25-&lt;35","35+")))))</x:f>
        <x:v>20-&lt;25</x:v>
      </x:c>
    </x:row>
    <x:row r="7914">
      <x:c r="A7914" t="str">
        <x:v>SYN0007913</x:v>
      </x:c>
      <x:c r="B7914" s="12" t="n">
        <x:v>42325</x:v>
      </x:c>
      <x:c r="C7914" s="18" t="n">
        <x:v>14865</x:v>
      </x:c>
      <x:c r="D7914" s="18" t="n">
        <x:v>27125</x:v>
      </x:c>
      <x:c r="E7914" s="18" t="n">
        <x:v>29.37</x:v>
      </x:c>
      <x:c r="F7914" s="18" t="n">
        <x:v>5</x:v>
      </x:c>
      <x:c r="G7914" t="n">
        <x:v>60</x:v>
      </x:c>
      <x:c r="H7914" t="str">
        <x:v>A</x:v>
      </x:c>
      <x:c r="I7914" t="str">
        <x:v>7-9 years</x:v>
      </x:c>
      <x:c r="J7914" t="str">
        <x:v>OWN</x:v>
      </x:c>
      <x:c r="K7914" t="str">
        <x:v>major_purchase</x:v>
      </x:c>
      <x:c r="L7914" t="n">
        <x:v>1</x:v>
      </x:c>
      <x:c r="M7914" t="n">
        <x:v>0</x:v>
      </x:c>
      <x:c r="N7914" t="str">
        <x:v>Fully Paid</x:v>
      </x:c>
      <x:c r="O7914" t="str">
        <x:f>IF(D7914="","Unknown",IF(D7914&lt;25000,"&lt;$25k",IF(D7914&lt;50000,"$25k-$50k",IF(D7914&lt;75000,"$50k-$75k",IF(D7914&lt;100000,"$75k-$100k","$100k+")))))</x:f>
        <x:v>$25k-$50k</x:v>
      </x:c>
      <x:c r="P7914" t="str">
        <x:f>IF(E7914="","Unknown",IF(E7914&lt;10,"&lt;10",IF(E7914&lt;20,"10-&lt;20",IF(E7914&lt;25,"20-&lt;25",IF(E7914&lt;35,"25-&lt;35","35+")))))</x:f>
        <x:v>25-&lt;35</x:v>
      </x:c>
    </x:row>
    <x:row r="7915">
      <x:c r="A7915" t="str">
        <x:v>SYN0007914</x:v>
      </x:c>
      <x:c r="B7915" s="12" t="n">
        <x:v>42775</x:v>
      </x:c>
      <x:c r="C7915" s="18" t="n">
        <x:v>17909</x:v>
      </x:c>
      <x:c r="D7915" s="18" t="n">
        <x:v>33927</x:v>
      </x:c>
      <x:c r="E7915" s="18" t="n">
        <x:v>28.71</x:v>
      </x:c>
      <x:c r="F7915" s="18" t="n">
        <x:v>9.34</x:v>
      </x:c>
      <x:c r="G7915" t="n">
        <x:v>36</x:v>
      </x:c>
      <x:c r="H7915" t="str">
        <x:v>B</x:v>
      </x:c>
      <x:c r="I7915" t="str">
        <x:v>&lt;1 year</x:v>
      </x:c>
      <x:c r="J7915" t="str">
        <x:v>MORTGAGE</x:v>
      </x:c>
      <x:c r="K7915" t="str">
        <x:v>major_purchase</x:v>
      </x:c>
      <x:c r="L7915" t="n">
        <x:v>1</x:v>
      </x:c>
      <x:c r="M7915" t="n">
        <x:v>0</x:v>
      </x:c>
      <x:c r="N7915" t="str">
        <x:v>Fully Paid</x:v>
      </x:c>
      <x:c r="O7915" t="str">
        <x:f>IF(D7915="","Unknown",IF(D7915&lt;25000,"&lt;$25k",IF(D7915&lt;50000,"$25k-$50k",IF(D7915&lt;75000,"$50k-$75k",IF(D7915&lt;100000,"$75k-$100k","$100k+")))))</x:f>
        <x:v>$25k-$50k</x:v>
      </x:c>
      <x:c r="P7915" t="str">
        <x:f>IF(E7915="","Unknown",IF(E7915&lt;10,"&lt;10",IF(E7915&lt;20,"10-&lt;20",IF(E7915&lt;25,"20-&lt;25",IF(E7915&lt;35,"25-&lt;35","35+")))))</x:f>
        <x:v>25-&lt;35</x:v>
      </x:c>
    </x:row>
    <x:row r="7916">
      <x:c r="A7916" t="str">
        <x:v>SYN0007915</x:v>
      </x:c>
      <x:c r="B7916" s="12" t="n">
        <x:v>43345</x:v>
      </x:c>
      <x:c r="C7916" s="18" t="n">
        <x:v>8795</x:v>
      </x:c>
      <x:c r="D7916" s="18" t="n">
        <x:v>58255</x:v>
      </x:c>
      <x:c r="E7916" s="18" t="n">
        <x:v>20.23</x:v>
      </x:c>
      <x:c r="F7916" s="18" t="n">
        <x:v>6.4</x:v>
      </x:c>
      <x:c r="G7916" t="n">
        <x:v>36</x:v>
      </x:c>
      <x:c r="H7916" t="str">
        <x:v>A</x:v>
      </x:c>
      <x:c r="I7916" t="str">
        <x:v>7-9 years</x:v>
      </x:c>
      <x:c r="J7916" t="str">
        <x:v>OTHER</x:v>
      </x:c>
      <x:c r="K7916" t="str">
        <x:v>debt_consolidation</x:v>
      </x:c>
      <x:c r="L7916" t="n">
        <x:v>0</x:v>
      </x:c>
      <x:c r="M7916" t="n">
        <x:v>0</x:v>
      </x:c>
      <x:c r="N7916" t="str">
        <x:v>Fully Paid</x:v>
      </x:c>
      <x:c r="O7916" t="str">
        <x:f>IF(D7916="","Unknown",IF(D7916&lt;25000,"&lt;$25k",IF(D7916&lt;50000,"$25k-$50k",IF(D7916&lt;75000,"$50k-$75k",IF(D7916&lt;100000,"$75k-$100k","$100k+")))))</x:f>
        <x:v>$50k-$75k</x:v>
      </x:c>
      <x:c r="P7916" t="str">
        <x:f>IF(E7916="","Unknown",IF(E7916&lt;10,"&lt;10",IF(E7916&lt;20,"10-&lt;20",IF(E7916&lt;25,"20-&lt;25",IF(E7916&lt;35,"25-&lt;35","35+")))))</x:f>
        <x:v>20-&lt;25</x:v>
      </x:c>
    </x:row>
    <x:row r="7917">
      <x:c r="A7917" t="str">
        <x:v>SYN0007916</x:v>
      </x:c>
      <x:c r="B7917" s="12" t="n">
        <x:v>42235</x:v>
      </x:c>
      <x:c r="C7917" s="18" t="n">
        <x:v>11029</x:v>
      </x:c>
      <x:c r="D7917" s="18" t="n">
        <x:v>136958</x:v>
      </x:c>
      <x:c r="E7917" s="18" t="n">
        <x:v>9.11</x:v>
      </x:c>
      <x:c r="F7917" s="18" t="n">
        <x:v>12.22</x:v>
      </x:c>
      <x:c r="G7917" t="n">
        <x:v>36</x:v>
      </x:c>
      <x:c r="H7917" t="str">
        <x:v>D</x:v>
      </x:c>
      <x:c r="I7917" t="str">
        <x:v>1-3 years</x:v>
      </x:c>
      <x:c r="J7917" t="str">
        <x:v>MORTGAGE</x:v>
      </x:c>
      <x:c r="K7917" t="str">
        <x:v>major_purchase</x:v>
      </x:c>
      <x:c r="L7917" t="n">
        <x:v>0</x:v>
      </x:c>
      <x:c r="M7917" t="n">
        <x:v>0</x:v>
      </x:c>
      <x:c r="N7917" t="str">
        <x:v>Fully Paid</x:v>
      </x:c>
      <x:c r="O7917" t="str">
        <x:f>IF(D7917="","Unknown",IF(D7917&lt;25000,"&lt;$25k",IF(D7917&lt;50000,"$25k-$50k",IF(D7917&lt;75000,"$50k-$75k",IF(D7917&lt;100000,"$75k-$100k","$100k+")))))</x:f>
        <x:v>$100k+</x:v>
      </x:c>
      <x:c r="P7917" t="str">
        <x:f>IF(E7917="","Unknown",IF(E7917&lt;10,"&lt;10",IF(E7917&lt;20,"10-&lt;20",IF(E7917&lt;25,"20-&lt;25",IF(E7917&lt;35,"25-&lt;35","35+")))))</x:f>
        <x:v>&lt;10</x:v>
      </x:c>
    </x:row>
    <x:row r="7918">
      <x:c r="A7918" t="str">
        <x:v>SYN0007917</x:v>
      </x:c>
      <x:c r="B7918" s="12" t="n">
        <x:v>42835</x:v>
      </x:c>
      <x:c r="C7918" s="18" t="n">
        <x:v>11565</x:v>
      </x:c>
      <x:c r="D7918" s="18" t="n">
        <x:v>28382</x:v>
      </x:c>
      <x:c r="E7918" s="18" t="n">
        <x:v>24.52</x:v>
      </x:c>
      <x:c r="F7918" s="18" t="n">
        <x:v>10.96</x:v>
      </x:c>
      <x:c r="G7918" t="n">
        <x:v>36</x:v>
      </x:c>
      <x:c r="H7918" t="str">
        <x:v>B</x:v>
      </x:c>
      <x:c r="I7918" t="str">
        <x:v>7-9 years</x:v>
      </x:c>
      <x:c r="J7918" t="str">
        <x:v>MORTGAGE</x:v>
      </x:c>
      <x:c r="K7918" t="str">
        <x:v>credit_card</x:v>
      </x:c>
      <x:c r="L7918" t="n">
        <x:v>1</x:v>
      </x:c>
      <x:c r="M7918" t="n">
        <x:v>0</x:v>
      </x:c>
      <x:c r="N7918" t="str">
        <x:v>Fully Paid</x:v>
      </x:c>
      <x:c r="O7918" t="str">
        <x:f>IF(D7918="","Unknown",IF(D7918&lt;25000,"&lt;$25k",IF(D7918&lt;50000,"$25k-$50k",IF(D7918&lt;75000,"$50k-$75k",IF(D7918&lt;100000,"$75k-$100k","$100k+")))))</x:f>
        <x:v>$25k-$50k</x:v>
      </x:c>
      <x:c r="P7918" t="str">
        <x:f>IF(E7918="","Unknown",IF(E7918&lt;10,"&lt;10",IF(E7918&lt;20,"10-&lt;20",IF(E7918&lt;25,"20-&lt;25",IF(E7918&lt;35,"25-&lt;35","35+")))))</x:f>
        <x:v>20-&lt;25</x:v>
      </x:c>
    </x:row>
    <x:row r="7919">
      <x:c r="A7919" t="str">
        <x:v>SYN0007918</x:v>
      </x:c>
      <x:c r="B7919" s="12" t="n">
        <x:v>42325</x:v>
      </x:c>
      <x:c r="C7919" s="18" t="n">
        <x:v>11550</x:v>
      </x:c>
      <x:c r="D7919" s="18" t="n">
        <x:v>83387</x:v>
      </x:c>
      <x:c r="E7919" s="18" t="n">
        <x:v>33.67</x:v>
      </x:c>
      <x:c r="F7919" s="18" t="n">
        <x:v>6.07</x:v>
      </x:c>
      <x:c r="G7919" t="n">
        <x:v>36</x:v>
      </x:c>
      <x:c r="H7919" t="str">
        <x:v>B</x:v>
      </x:c>
      <x:c r="I7919" t="str">
        <x:v>10+ years</x:v>
      </x:c>
      <x:c r="J7919" t="str">
        <x:v>MORTGAGE</x:v>
      </x:c>
      <x:c r="K7919" t="str">
        <x:v>credit_card</x:v>
      </x:c>
      <x:c r="L7919" t="n">
        <x:v>0</x:v>
      </x:c>
      <x:c r="M7919" t="n">
        <x:v>1</x:v>
      </x:c>
      <x:c r="N7919" t="str">
        <x:v>Charged Off</x:v>
      </x:c>
      <x:c r="O7919" t="str">
        <x:f>IF(D7919="","Unknown",IF(D7919&lt;25000,"&lt;$25k",IF(D7919&lt;50000,"$25k-$50k",IF(D7919&lt;75000,"$50k-$75k",IF(D7919&lt;100000,"$75k-$100k","$100k+")))))</x:f>
        <x:v>$75k-$100k</x:v>
      </x:c>
      <x:c r="P7919" t="str">
        <x:f>IF(E7919="","Unknown",IF(E7919&lt;10,"&lt;10",IF(E7919&lt;20,"10-&lt;20",IF(E7919&lt;25,"20-&lt;25",IF(E7919&lt;35,"25-&lt;35","35+")))))</x:f>
        <x:v>25-&lt;35</x:v>
      </x:c>
    </x:row>
    <x:row r="7920">
      <x:c r="A7920" t="str">
        <x:v>SYN0007919</x:v>
      </x:c>
      <x:c r="B7920" s="12" t="n">
        <x:v>43195</x:v>
      </x:c>
      <x:c r="C7920" s="18" t="n">
        <x:v>10221</x:v>
      </x:c>
      <x:c r="D7920" s="18" t="n">
        <x:v>56544</x:v>
      </x:c>
      <x:c r="E7920" s="18" t="n">
        <x:v>10.97</x:v>
      </x:c>
      <x:c r="F7920" s="18" t="n">
        <x:v>8.76</x:v>
      </x:c>
      <x:c r="G7920" t="n">
        <x:v>36</x:v>
      </x:c>
      <x:c r="H7920" t="str">
        <x:v>B</x:v>
      </x:c>
      <x:c r="I7920" t="str">
        <x:v>7-9 years</x:v>
      </x:c>
      <x:c r="J7920" t="str">
        <x:v>MORTGAGE</x:v>
      </x:c>
      <x:c r="K7920" t="str">
        <x:v>debt_consolidation</x:v>
      </x:c>
      <x:c r="L7920" t="n">
        <x:v>0</x:v>
      </x:c>
      <x:c r="M7920" t="n">
        <x:v>0</x:v>
      </x:c>
      <x:c r="N7920" t="str">
        <x:v>Fully Paid</x:v>
      </x:c>
      <x:c r="O7920" t="str">
        <x:f>IF(D7920="","Unknown",IF(D7920&lt;25000,"&lt;$25k",IF(D7920&lt;50000,"$25k-$50k",IF(D7920&lt;75000,"$50k-$75k",IF(D7920&lt;100000,"$75k-$100k","$100k+")))))</x:f>
        <x:v>$50k-$75k</x:v>
      </x:c>
      <x:c r="P7920" t="str">
        <x:f>IF(E7920="","Unknown",IF(E7920&lt;10,"&lt;10",IF(E7920&lt;20,"10-&lt;20",IF(E7920&lt;25,"20-&lt;25",IF(E7920&lt;35,"25-&lt;35","35+")))))</x:f>
        <x:v>10-&lt;20</x:v>
      </x:c>
    </x:row>
    <x:row r="7921">
      <x:c r="A7921" t="str">
        <x:v>SYN0007920</x:v>
      </x:c>
      <x:c r="B7921" s="12" t="n">
        <x:v>41515</x:v>
      </x:c>
      <x:c r="C7921" s="18" t="n">
        <x:v>15860</x:v>
      </x:c>
      <x:c r="D7921" s="18" t="n">
        <x:v>81740</x:v>
      </x:c>
      <x:c r="E7921" s="18" t="n">
        <x:v>22.19</x:v>
      </x:c>
      <x:c r="F7921" s="18" t="n">
        <x:v>17.17</x:v>
      </x:c>
      <x:c r="G7921" t="n">
        <x:v>60</x:v>
      </x:c>
      <x:c r="H7921" t="str">
        <x:v>E</x:v>
      </x:c>
      <x:c r="I7921" t="str">
        <x:v>10+ years</x:v>
      </x:c>
      <x:c r="J7921" t="str">
        <x:v>RENT</x:v>
      </x:c>
      <x:c r="K7921" t="str">
        <x:v>debt_consolidation</x:v>
      </x:c>
      <x:c r="L7921" t="n">
        <x:v>0</x:v>
      </x:c>
      <x:c r="M7921" t="n">
        <x:v>0</x:v>
      </x:c>
      <x:c r="N7921" t="str">
        <x:v>Fully Paid</x:v>
      </x:c>
      <x:c r="O7921" t="str">
        <x:f>IF(D7921="","Unknown",IF(D7921&lt;25000,"&lt;$25k",IF(D7921&lt;50000,"$25k-$50k",IF(D7921&lt;75000,"$50k-$75k",IF(D7921&lt;100000,"$75k-$100k","$100k+")))))</x:f>
        <x:v>$75k-$100k</x:v>
      </x:c>
      <x:c r="P7921" t="str">
        <x:f>IF(E7921="","Unknown",IF(E7921&lt;10,"&lt;10",IF(E7921&lt;20,"10-&lt;20",IF(E7921&lt;25,"20-&lt;25",IF(E7921&lt;35,"25-&lt;35","35+")))))</x:f>
        <x:v>20-&lt;25</x:v>
      </x:c>
    </x:row>
    <x:row r="7922">
      <x:c r="A7922" t="str">
        <x:v>SYN0007921</x:v>
      </x:c>
      <x:c r="B7922" s="12" t="n">
        <x:v>41995</x:v>
      </x:c>
      <x:c r="C7922" s="18" t="n">
        <x:v>14922</x:v>
      </x:c>
      <x:c r="D7922" s="18" t="n">
        <x:v>18717</x:v>
      </x:c>
      <x:c r="E7922" s="18" t="n">
        <x:v>18.11</x:v>
      </x:c>
      <x:c r="F7922" s="18" t="n">
        <x:v>8</x:v>
      </x:c>
      <x:c r="G7922" t="n">
        <x:v>36</x:v>
      </x:c>
      <x:c r="H7922" t="str">
        <x:v>B</x:v>
      </x:c>
      <x:c r="I7922" t="str">
        <x:v>7-9 years</x:v>
      </x:c>
      <x:c r="J7922" t="str">
        <x:v>MORTGAGE</x:v>
      </x:c>
      <x:c r="K7922" t="str">
        <x:v>debt_consolidation</x:v>
      </x:c>
      <x:c r="L7922" t="n">
        <x:v>1</x:v>
      </x:c>
      <x:c r="M7922" t="n">
        <x:v>0</x:v>
      </x:c>
      <x:c r="N7922" t="str">
        <x:v>Fully Paid</x:v>
      </x:c>
      <x:c r="O7922" t="str">
        <x:f>IF(D7922="","Unknown",IF(D7922&lt;25000,"&lt;$25k",IF(D7922&lt;50000,"$25k-$50k",IF(D7922&lt;75000,"$50k-$75k",IF(D7922&lt;100000,"$75k-$100k","$100k+")))))</x:f>
        <x:v>&lt;$25k</x:v>
      </x:c>
      <x:c r="P7922" t="str">
        <x:f>IF(E7922="","Unknown",IF(E7922&lt;10,"&lt;10",IF(E7922&lt;20,"10-&lt;20",IF(E7922&lt;25,"20-&lt;25",IF(E7922&lt;35,"25-&lt;35","35+")))))</x:f>
        <x:v>10-&lt;20</x:v>
      </x:c>
    </x:row>
    <x:row r="7923">
      <x:c r="A7923" t="str">
        <x:v>SYN0007922</x:v>
      </x:c>
      <x:c r="B7923" s="12" t="n">
        <x:v>42535</x:v>
      </x:c>
      <x:c r="C7923" s="18" t="n">
        <x:v>9264</x:v>
      </x:c>
      <x:c r="D7923" s="18" t="n">
        <x:v>65317</x:v>
      </x:c>
      <x:c r="E7923" s="18" t="n">
        <x:v>30.62</x:v>
      </x:c>
      <x:c r="F7923" s="18" t="n">
        <x:v>18.56</x:v>
      </x:c>
      <x:c r="G7923" t="n">
        <x:v>36</x:v>
      </x:c>
      <x:c r="H7923" t="str">
        <x:v>E</x:v>
      </x:c>
      <x:c r="I7923" t="str">
        <x:v>1-3 years</x:v>
      </x:c>
      <x:c r="J7923" t="str">
        <x:v>MORTGAGE</x:v>
      </x:c>
      <x:c r="K7923" t="str">
        <x:v>debt_consolidation</x:v>
      </x:c>
      <x:c r="L7923" t="n">
        <x:v>1</x:v>
      </x:c>
      <x:c r="M7923" t="n">
        <x:v>1</x:v>
      </x:c>
      <x:c r="N7923" t="str">
        <x:v>Charged Off</x:v>
      </x:c>
      <x:c r="O7923" t="str">
        <x:f>IF(D7923="","Unknown",IF(D7923&lt;25000,"&lt;$25k",IF(D7923&lt;50000,"$25k-$50k",IF(D7923&lt;75000,"$50k-$75k",IF(D7923&lt;100000,"$75k-$100k","$100k+")))))</x:f>
        <x:v>$50k-$75k</x:v>
      </x:c>
      <x:c r="P7923" t="str">
        <x:f>IF(E7923="","Unknown",IF(E7923&lt;10,"&lt;10",IF(E7923&lt;20,"10-&lt;20",IF(E7923&lt;25,"20-&lt;25",IF(E7923&lt;35,"25-&lt;35","35+")))))</x:f>
        <x:v>25-&lt;35</x:v>
      </x:c>
    </x:row>
    <x:row r="7924">
      <x:c r="A7924" t="str">
        <x:v>SYN0007923</x:v>
      </x:c>
      <x:c r="B7924" s="12" t="n">
        <x:v>42925</x:v>
      </x:c>
      <x:c r="C7924" s="18" t="n">
        <x:v>15238</x:v>
      </x:c>
      <x:c r="D7924" s="18" t="n">
        <x:v>96371</x:v>
      </x:c>
      <x:c r="E7924" s="18" t="n">
        <x:v>13.95</x:v>
      </x:c>
      <x:c r="F7924" s="18" t="n">
        <x:v>6.06</x:v>
      </x:c>
      <x:c r="G7924" t="n">
        <x:v>36</x:v>
      </x:c>
      <x:c r="H7924" t="str">
        <x:v>A</x:v>
      </x:c>
      <x:c r="I7924" t="str">
        <x:v>1-3 years</x:v>
      </x:c>
      <x:c r="J7924" t="str">
        <x:v>OWN</x:v>
      </x:c>
      <x:c r="K7924" t="str">
        <x:v>debt_consolidation</x:v>
      </x:c>
      <x:c r="L7924" t="n">
        <x:v>1</x:v>
      </x:c>
      <x:c r="M7924" t="n">
        <x:v>0</x:v>
      </x:c>
      <x:c r="N7924" t="str">
        <x:v>Fully Paid</x:v>
      </x:c>
      <x:c r="O7924" t="str">
        <x:f>IF(D7924="","Unknown",IF(D7924&lt;25000,"&lt;$25k",IF(D7924&lt;50000,"$25k-$50k",IF(D7924&lt;75000,"$50k-$75k",IF(D7924&lt;100000,"$75k-$100k","$100k+")))))</x:f>
        <x:v>$75k-$100k</x:v>
      </x:c>
      <x:c r="P7924" t="str">
        <x:f>IF(E7924="","Unknown",IF(E7924&lt;10,"&lt;10",IF(E7924&lt;20,"10-&lt;20",IF(E7924&lt;25,"20-&lt;25",IF(E7924&lt;35,"25-&lt;35","35+")))))</x:f>
        <x:v>10-&lt;20</x:v>
      </x:c>
    </x:row>
    <x:row r="7925">
      <x:c r="A7925" t="str">
        <x:v>SYN0007924</x:v>
      </x:c>
      <x:c r="B7925" s="12" t="n">
        <x:v>41815</x:v>
      </x:c>
      <x:c r="C7925" s="18" t="n">
        <x:v>16214</x:v>
      </x:c>
      <x:c r="D7925" s="18" t="n">
        <x:v>51332</x:v>
      </x:c>
      <x:c r="E7925" s="18" t="n">
        <x:v>19.21</x:v>
      </x:c>
      <x:c r="F7925" s="18" t="n">
        <x:v>8.13</x:v>
      </x:c>
      <x:c r="G7925" t="n">
        <x:v>60</x:v>
      </x:c>
      <x:c r="H7925" t="str">
        <x:v>B</x:v>
      </x:c>
      <x:c r="I7925" t="str">
        <x:v>4-6 years</x:v>
      </x:c>
      <x:c r="J7925" t="str">
        <x:v>OWN</x:v>
      </x:c>
      <x:c r="K7925" t="str">
        <x:v>debt_consolidation</x:v>
      </x:c>
      <x:c r="L7925" t="n">
        <x:v>0</x:v>
      </x:c>
      <x:c r="M7925" t="n">
        <x:v>0</x:v>
      </x:c>
      <x:c r="N7925" t="str">
        <x:v>Fully Paid</x:v>
      </x:c>
      <x:c r="O7925" t="str">
        <x:f>IF(D7925="","Unknown",IF(D7925&lt;25000,"&lt;$25k",IF(D7925&lt;50000,"$25k-$50k",IF(D7925&lt;75000,"$50k-$75k",IF(D7925&lt;100000,"$75k-$100k","$100k+")))))</x:f>
        <x:v>$50k-$75k</x:v>
      </x:c>
      <x:c r="P7925" t="str">
        <x:f>IF(E7925="","Unknown",IF(E7925&lt;10,"&lt;10",IF(E7925&lt;20,"10-&lt;20",IF(E7925&lt;25,"20-&lt;25",IF(E7925&lt;35,"25-&lt;35","35+")))))</x:f>
        <x:v>10-&lt;20</x:v>
      </x:c>
    </x:row>
    <x:row r="7926">
      <x:c r="A7926" t="str">
        <x:v>SYN0007925</x:v>
      </x:c>
      <x:c r="B7926" s="12" t="n">
        <x:v>42625</x:v>
      </x:c>
      <x:c r="C7926" s="18" t="n">
        <x:v>8278</x:v>
      </x:c>
      <x:c r="D7926" s="18" t="n">
        <x:v>47640</x:v>
      </x:c>
      <x:c r="E7926" s="18" t="n">
        <x:v>26.9</x:v>
      </x:c>
      <x:c r="F7926" s="18" t="n">
        <x:v>7.64</x:v>
      </x:c>
      <x:c r="G7926" t="n">
        <x:v>60</x:v>
      </x:c>
      <x:c r="H7926" t="str">
        <x:v>B</x:v>
      </x:c>
      <x:c r="I7926" t="str">
        <x:v>4-6 years</x:v>
      </x:c>
      <x:c r="J7926" t="str">
        <x:v>RENT</x:v>
      </x:c>
      <x:c r="K7926" t="str">
        <x:v>credit_card</x:v>
      </x:c>
      <x:c r="L7926" t="n">
        <x:v>2</x:v>
      </x:c>
      <x:c r="M7926" t="n">
        <x:v>0</x:v>
      </x:c>
      <x:c r="N7926" t="str">
        <x:v>Fully Paid</x:v>
      </x:c>
      <x:c r="O7926" t="str">
        <x:f>IF(D7926="","Unknown",IF(D7926&lt;25000,"&lt;$25k",IF(D7926&lt;50000,"$25k-$50k",IF(D7926&lt;75000,"$50k-$75k",IF(D7926&lt;100000,"$75k-$100k","$100k+")))))</x:f>
        <x:v>$25k-$50k</x:v>
      </x:c>
      <x:c r="P7926" t="str">
        <x:f>IF(E7926="","Unknown",IF(E7926&lt;10,"&lt;10",IF(E7926&lt;20,"10-&lt;20",IF(E7926&lt;25,"20-&lt;25",IF(E7926&lt;35,"25-&lt;35","35+")))))</x:f>
        <x:v>25-&lt;35</x:v>
      </x:c>
    </x:row>
    <x:row r="7927">
      <x:c r="A7927" t="str">
        <x:v>SYN0007926</x:v>
      </x:c>
      <x:c r="B7927" s="12" t="n">
        <x:v>42175</x:v>
      </x:c>
      <x:c r="C7927" s="18" t="n">
        <x:v>11061</x:v>
      </x:c>
      <x:c r="D7927" s="18" t="n">
        <x:v>16447</x:v>
      </x:c>
      <x:c r="E7927" s="18" t="n">
        <x:v>19.63</x:v>
      </x:c>
      <x:c r="F7927" s="18" t="n">
        <x:v>14.82</x:v>
      </x:c>
      <x:c r="G7927" t="n">
        <x:v>60</x:v>
      </x:c>
      <x:c r="H7927" t="str">
        <x:v>D</x:v>
      </x:c>
      <x:c r="I7927" t="str">
        <x:v>4-6 years</x:v>
      </x:c>
      <x:c r="J7927" t="str">
        <x:v>MORTGAGE</x:v>
      </x:c>
      <x:c r="K7927" t="str">
        <x:v>debt_consolidation</x:v>
      </x:c>
      <x:c r="L7927" t="n">
        <x:v>0</x:v>
      </x:c>
      <x:c r="M7927" t="n">
        <x:v>0</x:v>
      </x:c>
      <x:c r="N7927" t="str">
        <x:v>Fully Paid</x:v>
      </x:c>
      <x:c r="O7927" t="str">
        <x:f>IF(D7927="","Unknown",IF(D7927&lt;25000,"&lt;$25k",IF(D7927&lt;50000,"$25k-$50k",IF(D7927&lt;75000,"$50k-$75k",IF(D7927&lt;100000,"$75k-$100k","$100k+")))))</x:f>
        <x:v>&lt;$25k</x:v>
      </x:c>
      <x:c r="P7927" t="str">
        <x:f>IF(E7927="","Unknown",IF(E7927&lt;10,"&lt;10",IF(E7927&lt;20,"10-&lt;20",IF(E7927&lt;25,"20-&lt;25",IF(E7927&lt;35,"25-&lt;35","35+")))))</x:f>
        <x:v>10-&lt;20</x:v>
      </x:c>
    </x:row>
    <x:row r="7928">
      <x:c r="A7928" t="str">
        <x:v>SYN0007927</x:v>
      </x:c>
      <x:c r="B7928" s="12" t="n">
        <x:v>42565</x:v>
      </x:c>
      <x:c r="C7928" s="18" t="n">
        <x:v>13153</x:v>
      </x:c>
      <x:c r="D7928" s="18" t="n">
        <x:v>60997</x:v>
      </x:c>
      <x:c r="E7928" s="18" t="n">
        <x:v>29.83</x:v>
      </x:c>
      <x:c r="F7928" s="18" t="n">
        <x:v>18.86</x:v>
      </x:c>
      <x:c r="G7928" t="n">
        <x:v>36</x:v>
      </x:c>
      <x:c r="H7928" t="str">
        <x:v>D</x:v>
      </x:c>
      <x:c r="I7928" t="str">
        <x:v>10+ years</x:v>
      </x:c>
      <x:c r="J7928" t="str">
        <x:v>RENT</x:v>
      </x:c>
      <x:c r="K7928" t="str">
        <x:v>debt_consolidation</x:v>
      </x:c>
      <x:c r="L7928" t="n">
        <x:v>0</x:v>
      </x:c>
      <x:c r="M7928" t="n">
        <x:v>0</x:v>
      </x:c>
      <x:c r="N7928" t="str">
        <x:v>Fully Paid</x:v>
      </x:c>
      <x:c r="O7928" t="str">
        <x:f>IF(D7928="","Unknown",IF(D7928&lt;25000,"&lt;$25k",IF(D7928&lt;50000,"$25k-$50k",IF(D7928&lt;75000,"$50k-$75k",IF(D7928&lt;100000,"$75k-$100k","$100k+")))))</x:f>
        <x:v>$50k-$75k</x:v>
      </x:c>
      <x:c r="P7928" t="str">
        <x:f>IF(E7928="","Unknown",IF(E7928&lt;10,"&lt;10",IF(E7928&lt;20,"10-&lt;20",IF(E7928&lt;25,"20-&lt;25",IF(E7928&lt;35,"25-&lt;35","35+")))))</x:f>
        <x:v>25-&lt;35</x:v>
      </x:c>
    </x:row>
    <x:row r="7929">
      <x:c r="A7929" t="str">
        <x:v>SYN0007928</x:v>
      </x:c>
      <x:c r="B7929" s="12" t="n">
        <x:v>42085</x:v>
      </x:c>
      <x:c r="C7929" s="18" t="n">
        <x:v>40000</x:v>
      </x:c>
      <x:c r="D7929" s="18" t="n">
        <x:v>98389</x:v>
      </x:c>
      <x:c r="E7929" s="18" t="n">
        <x:v>20.98</x:v>
      </x:c>
      <x:c r="F7929" s="18" t="n">
        <x:v>16.41</x:v>
      </x:c>
      <x:c r="G7929" t="n">
        <x:v>36</x:v>
      </x:c>
      <x:c r="H7929" t="str">
        <x:v>D</x:v>
      </x:c>
      <x:c r="I7929" t="str">
        <x:v>7-9 years</x:v>
      </x:c>
      <x:c r="J7929" t="str">
        <x:v>MORTGAGE</x:v>
      </x:c>
      <x:c r="K7929" t="str">
        <x:v>debt_consolidation</x:v>
      </x:c>
      <x:c r="L7929" t="n">
        <x:v>0</x:v>
      </x:c>
      <x:c r="M7929" t="n">
        <x:v>0</x:v>
      </x:c>
      <x:c r="N7929" t="str">
        <x:v>Fully Paid</x:v>
      </x:c>
      <x:c r="O7929" t="str">
        <x:f>IF(D7929="","Unknown",IF(D7929&lt;25000,"&lt;$25k",IF(D7929&lt;50000,"$25k-$50k",IF(D7929&lt;75000,"$50k-$75k",IF(D7929&lt;100000,"$75k-$100k","$100k+")))))</x:f>
        <x:v>$75k-$100k</x:v>
      </x:c>
      <x:c r="P7929" t="str">
        <x:f>IF(E7929="","Unknown",IF(E7929&lt;10,"&lt;10",IF(E7929&lt;20,"10-&lt;20",IF(E7929&lt;25,"20-&lt;25",IF(E7929&lt;35,"25-&lt;35","35+")))))</x:f>
        <x:v>20-&lt;25</x:v>
      </x:c>
    </x:row>
    <x:row r="7930">
      <x:c r="A7930" t="str">
        <x:v>SYN0007929</x:v>
      </x:c>
      <x:c r="B7930" s="12" t="n">
        <x:v>42295</x:v>
      </x:c>
      <x:c r="C7930" s="18" t="n">
        <x:v>11244</x:v>
      </x:c>
      <x:c r="D7930" s="18" t="n">
        <x:v>130501</x:v>
      </x:c>
      <x:c r="E7930" s="18" t="n">
        <x:v>28.8</x:v>
      </x:c>
      <x:c r="F7930" s="18" t="n">
        <x:v>10.49</x:v>
      </x:c>
      <x:c r="G7930" t="n">
        <x:v>36</x:v>
      </x:c>
      <x:c r="H7930" t="str">
        <x:v>B</x:v>
      </x:c>
      <x:c r="I7930" t="str">
        <x:v>4-6 years</x:v>
      </x:c>
      <x:c r="J7930" t="str">
        <x:v>OTHER</x:v>
      </x:c>
      <x:c r="K7930" t="str">
        <x:v>debt_consolidation</x:v>
      </x:c>
      <x:c r="L7930" t="n">
        <x:v>0</x:v>
      </x:c>
      <x:c r="M7930" t="n">
        <x:v>0</x:v>
      </x:c>
      <x:c r="N7930" t="str">
        <x:v>Fully Paid</x:v>
      </x:c>
      <x:c r="O7930" t="str">
        <x:f>IF(D7930="","Unknown",IF(D7930&lt;25000,"&lt;$25k",IF(D7930&lt;50000,"$25k-$50k",IF(D7930&lt;75000,"$50k-$75k",IF(D7930&lt;100000,"$75k-$100k","$100k+")))))</x:f>
        <x:v>$100k+</x:v>
      </x:c>
      <x:c r="P7930" t="str">
        <x:f>IF(E7930="","Unknown",IF(E7930&lt;10,"&lt;10",IF(E7930&lt;20,"10-&lt;20",IF(E7930&lt;25,"20-&lt;25",IF(E7930&lt;35,"25-&lt;35","35+")))))</x:f>
        <x:v>25-&lt;35</x:v>
      </x:c>
    </x:row>
    <x:row r="7931">
      <x:c r="A7931" t="str">
        <x:v>SYN0007930</x:v>
      </x:c>
      <x:c r="B7931" s="12" t="n">
        <x:v>43405</x:v>
      </x:c>
      <x:c r="C7931" s="18" t="n">
        <x:v>10644</x:v>
      </x:c>
      <x:c r="D7931" s="18" t="n">
        <x:v>87735</x:v>
      </x:c>
      <x:c r="E7931" s="18" t="n">
        <x:v>19.73</x:v>
      </x:c>
      <x:c r="F7931" s="18" t="n">
        <x:v>10.74</x:v>
      </x:c>
      <x:c r="G7931" t="n">
        <x:v>36</x:v>
      </x:c>
      <x:c r="H7931" t="str">
        <x:v>C</x:v>
      </x:c>
      <x:c r="I7931" t="str">
        <x:v>4-6 years</x:v>
      </x:c>
      <x:c r="J7931" t="str">
        <x:v>MORTGAGE</x:v>
      </x:c>
      <x:c r="K7931" t="str">
        <x:v>major_purchase</x:v>
      </x:c>
      <x:c r="L7931" t="n">
        <x:v>0</x:v>
      </x:c>
      <x:c r="M7931" t="n">
        <x:v>0</x:v>
      </x:c>
      <x:c r="N7931" t="str">
        <x:v>Fully Paid</x:v>
      </x:c>
      <x:c r="O7931" t="str">
        <x:f>IF(D7931="","Unknown",IF(D7931&lt;25000,"&lt;$25k",IF(D7931&lt;50000,"$25k-$50k",IF(D7931&lt;75000,"$50k-$75k",IF(D7931&lt;100000,"$75k-$100k","$100k+")))))</x:f>
        <x:v>$75k-$100k</x:v>
      </x:c>
      <x:c r="P7931" t="str">
        <x:f>IF(E7931="","Unknown",IF(E7931&lt;10,"&lt;10",IF(E7931&lt;20,"10-&lt;20",IF(E7931&lt;25,"20-&lt;25",IF(E7931&lt;35,"25-&lt;35","35+")))))</x:f>
        <x:v>10-&lt;20</x:v>
      </x:c>
    </x:row>
    <x:row r="7932">
      <x:c r="A7932" t="str">
        <x:v>SYN0007931</x:v>
      </x:c>
      <x:c r="B7932" s="12" t="n">
        <x:v>42205</x:v>
      </x:c>
      <x:c r="C7932" s="18" t="n">
        <x:v>11064</x:v>
      </x:c>
      <x:c r="D7932" s="18" t="n">
        <x:v>30908</x:v>
      </x:c>
      <x:c r="E7932" s="18" t="n">
        <x:v>26.26</x:v>
      </x:c>
      <x:c r="F7932" s="18" t="n">
        <x:v>11.64</x:v>
      </x:c>
      <x:c r="G7932" t="n">
        <x:v>36</x:v>
      </x:c>
      <x:c r="H7932" t="str">
        <x:v>C</x:v>
      </x:c>
      <x:c r="I7932" t="str">
        <x:v>4-6 years</x:v>
      </x:c>
      <x:c r="J7932" t="str">
        <x:v>RENT</x:v>
      </x:c>
      <x:c r="K7932" t="str">
        <x:v>debt_consolidation</x:v>
      </x:c>
      <x:c r="L7932" t="n">
        <x:v>0</x:v>
      </x:c>
      <x:c r="M7932" t="n">
        <x:v>0</x:v>
      </x:c>
      <x:c r="N7932" t="str">
        <x:v>Fully Paid</x:v>
      </x:c>
      <x:c r="O7932" t="str">
        <x:f>IF(D7932="","Unknown",IF(D7932&lt;25000,"&lt;$25k",IF(D7932&lt;50000,"$25k-$50k",IF(D7932&lt;75000,"$50k-$75k",IF(D7932&lt;100000,"$75k-$100k","$100k+")))))</x:f>
        <x:v>$25k-$50k</x:v>
      </x:c>
      <x:c r="P7932" t="str">
        <x:f>IF(E7932="","Unknown",IF(E7932&lt;10,"&lt;10",IF(E7932&lt;20,"10-&lt;20",IF(E7932&lt;25,"20-&lt;25",IF(E7932&lt;35,"25-&lt;35","35+")))))</x:f>
        <x:v>25-&lt;35</x:v>
      </x:c>
    </x:row>
    <x:row r="7933">
      <x:c r="A7933" t="str">
        <x:v>SYN0007932</x:v>
      </x:c>
      <x:c r="B7933" s="12" t="n">
        <x:v>43105</x:v>
      </x:c>
      <x:c r="C7933" s="18" t="n">
        <x:v>15201</x:v>
      </x:c>
      <x:c r="D7933" s="18" t="n">
        <x:v>19655</x:v>
      </x:c>
      <x:c r="E7933" s="18" t="n">
        <x:v>11.36</x:v>
      </x:c>
      <x:c r="F7933" s="18" t="n">
        <x:v>18.3</x:v>
      </x:c>
      <x:c r="G7933" t="n">
        <x:v>36</x:v>
      </x:c>
      <x:c r="H7933" t="str">
        <x:v>E</x:v>
      </x:c>
      <x:c r="I7933" t="str">
        <x:v>10+ years</x:v>
      </x:c>
      <x:c r="J7933" t="str">
        <x:v>MORTGAGE</x:v>
      </x:c>
      <x:c r="K7933" t="str">
        <x:v>credit_card</x:v>
      </x:c>
      <x:c r="L7933" t="n">
        <x:v>2</x:v>
      </x:c>
      <x:c r="M7933" t="n">
        <x:v>1</x:v>
      </x:c>
      <x:c r="N7933" t="str">
        <x:v>Charged Off</x:v>
      </x:c>
      <x:c r="O7933" t="str">
        <x:f>IF(D7933="","Unknown",IF(D7933&lt;25000,"&lt;$25k",IF(D7933&lt;50000,"$25k-$50k",IF(D7933&lt;75000,"$50k-$75k",IF(D7933&lt;100000,"$75k-$100k","$100k+")))))</x:f>
        <x:v>&lt;$25k</x:v>
      </x:c>
      <x:c r="P7933" t="str">
        <x:f>IF(E7933="","Unknown",IF(E7933&lt;10,"&lt;10",IF(E7933&lt;20,"10-&lt;20",IF(E7933&lt;25,"20-&lt;25",IF(E7933&lt;35,"25-&lt;35","35+")))))</x:f>
        <x:v>10-&lt;20</x:v>
      </x:c>
    </x:row>
    <x:row r="7934">
      <x:c r="A7934" t="str">
        <x:v>SYN0007933</x:v>
      </x:c>
      <x:c r="B7934" s="12" t="n">
        <x:v>42775</x:v>
      </x:c>
      <x:c r="C7934" s="18" t="n">
        <x:v>11802</x:v>
      </x:c>
      <x:c r="D7934" s="18" t="n">
        <x:v>30436</x:v>
      </x:c>
      <x:c r="E7934" s="18" t="n">
        <x:v>13.18</x:v>
      </x:c>
      <x:c r="F7934" s="18" t="n">
        <x:v>9.38</x:v>
      </x:c>
      <x:c r="G7934" t="n">
        <x:v>36</x:v>
      </x:c>
      <x:c r="H7934" t="str">
        <x:v>D</x:v>
      </x:c>
      <x:c r="I7934" t="str">
        <x:v>10+ years</x:v>
      </x:c>
      <x:c r="J7934" t="str">
        <x:v>RENT</x:v>
      </x:c>
      <x:c r="K7934" t="str">
        <x:v>debt_consolidation</x:v>
      </x:c>
      <x:c r="L7934" t="n">
        <x:v>0</x:v>
      </x:c>
      <x:c r="M7934" t="n">
        <x:v>0</x:v>
      </x:c>
      <x:c r="N7934" t="str">
        <x:v>Fully Paid</x:v>
      </x:c>
      <x:c r="O7934" t="str">
        <x:f>IF(D7934="","Unknown",IF(D7934&lt;25000,"&lt;$25k",IF(D7934&lt;50000,"$25k-$50k",IF(D7934&lt;75000,"$50k-$75k",IF(D7934&lt;100000,"$75k-$100k","$100k+")))))</x:f>
        <x:v>$25k-$50k</x:v>
      </x:c>
      <x:c r="P7934" t="str">
        <x:f>IF(E7934="","Unknown",IF(E7934&lt;10,"&lt;10",IF(E7934&lt;20,"10-&lt;20",IF(E7934&lt;25,"20-&lt;25",IF(E7934&lt;35,"25-&lt;35","35+")))))</x:f>
        <x:v>10-&lt;20</x:v>
      </x:c>
    </x:row>
    <x:row r="7935">
      <x:c r="A7935" t="str">
        <x:v>SYN0007934</x:v>
      </x:c>
      <x:c r="B7935" s="12" t="n">
        <x:v>42565</x:v>
      </x:c>
      <x:c r="C7935" s="18" t="n">
        <x:v>31824</x:v>
      </x:c>
      <x:c r="D7935" s="18" t="n">
        <x:v>20366</x:v>
      </x:c>
      <x:c r="E7935" s="18" t="n">
        <x:v>2.12</x:v>
      </x:c>
      <x:c r="F7935" s="18" t="n">
        <x:v>18.06</x:v>
      </x:c>
      <x:c r="G7935" t="n">
        <x:v>36</x:v>
      </x:c>
      <x:c r="H7935" t="str">
        <x:v>E</x:v>
      </x:c>
      <x:c r="I7935" t="str">
        <x:v>10+ years</x:v>
      </x:c>
      <x:c r="J7935" t="str">
        <x:v>OWN</x:v>
      </x:c>
      <x:c r="K7935" t="str">
        <x:v>home_improvement</x:v>
      </x:c>
      <x:c r="L7935" t="n">
        <x:v>0</x:v>
      </x:c>
      <x:c r="M7935" t="n">
        <x:v>1</x:v>
      </x:c>
      <x:c r="N7935" t="str">
        <x:v>Charged Off</x:v>
      </x:c>
      <x:c r="O7935" t="str">
        <x:f>IF(D7935="","Unknown",IF(D7935&lt;25000,"&lt;$25k",IF(D7935&lt;50000,"$25k-$50k",IF(D7935&lt;75000,"$50k-$75k",IF(D7935&lt;100000,"$75k-$100k","$100k+")))))</x:f>
        <x:v>&lt;$25k</x:v>
      </x:c>
      <x:c r="P7935" t="str">
        <x:f>IF(E7935="","Unknown",IF(E7935&lt;10,"&lt;10",IF(E7935&lt;20,"10-&lt;20",IF(E7935&lt;25,"20-&lt;25",IF(E7935&lt;35,"25-&lt;35","35+")))))</x:f>
        <x:v>&lt;10</x:v>
      </x:c>
    </x:row>
    <x:row r="7936">
      <x:c r="A7936" t="str">
        <x:v>SYN0007935</x:v>
      </x:c>
      <x:c r="B7936" s="12" t="n">
        <x:v>41605</x:v>
      </x:c>
      <x:c r="C7936" s="18" t="n">
        <x:v>24416</x:v>
      </x:c>
      <x:c r="D7936" s="18" t="n">
        <x:v>241858</x:v>
      </x:c>
      <x:c r="E7936" s="18" t="n">
        <x:v>26.04</x:v>
      </x:c>
      <x:c r="F7936" s="18" t="n">
        <x:v>14.78</x:v>
      </x:c>
      <x:c r="G7936" t="n">
        <x:v>36</x:v>
      </x:c>
      <x:c r="H7936" t="str">
        <x:v>D</x:v>
      </x:c>
      <x:c r="I7936" t="str">
        <x:v>7-9 years</x:v>
      </x:c>
      <x:c r="J7936" t="str">
        <x:v>RENT</x:v>
      </x:c>
      <x:c r="K7936" t="str">
        <x:v>credit_card</x:v>
      </x:c>
      <x:c r="L7936" t="n">
        <x:v>0</x:v>
      </x:c>
      <x:c r="M7936" t="n">
        <x:v>0</x:v>
      </x:c>
      <x:c r="N7936" t="str">
        <x:v>Fully Paid</x:v>
      </x:c>
      <x:c r="O7936" t="str">
        <x:f>IF(D7936="","Unknown",IF(D7936&lt;25000,"&lt;$25k",IF(D7936&lt;50000,"$25k-$50k",IF(D7936&lt;75000,"$50k-$75k",IF(D7936&lt;100000,"$75k-$100k","$100k+")))))</x:f>
        <x:v>$100k+</x:v>
      </x:c>
      <x:c r="P7936" t="str">
        <x:f>IF(E7936="","Unknown",IF(E7936&lt;10,"&lt;10",IF(E7936&lt;20,"10-&lt;20",IF(E7936&lt;25,"20-&lt;25",IF(E7936&lt;35,"25-&lt;35","35+")))))</x:f>
        <x:v>25-&lt;35</x:v>
      </x:c>
    </x:row>
    <x:row r="7937">
      <x:c r="A7937" t="str">
        <x:v>SYN0007936</x:v>
      </x:c>
      <x:c r="B7937" s="12" t="n">
        <x:v>42925</x:v>
      </x:c>
      <x:c r="C7937" s="18" t="n">
        <x:v>15763</x:v>
      </x:c>
      <x:c r="D7937" s="18" t="n">
        <x:v>72170</x:v>
      </x:c>
      <x:c r="E7937" s="18" t="n">
        <x:v>22.34</x:v>
      </x:c>
      <x:c r="F7937" s="18" t="n">
        <x:v>16.06</x:v>
      </x:c>
      <x:c r="G7937" t="n">
        <x:v>60</x:v>
      </x:c>
      <x:c r="H7937" t="str">
        <x:v>D</x:v>
      </x:c>
      <x:c r="I7937" t="str">
        <x:v>1-3 years</x:v>
      </x:c>
      <x:c r="J7937" t="str">
        <x:v>MORTGAGE</x:v>
      </x:c>
      <x:c r="K7937" t="str">
        <x:v>debt_consolidation</x:v>
      </x:c>
      <x:c r="L7937" t="n">
        <x:v>0</x:v>
      </x:c>
      <x:c r="M7937" t="n">
        <x:v>0</x:v>
      </x:c>
      <x:c r="N7937" t="str">
        <x:v>Fully Paid</x:v>
      </x:c>
      <x:c r="O7937" t="str">
        <x:f>IF(D7937="","Unknown",IF(D7937&lt;25000,"&lt;$25k",IF(D7937&lt;50000,"$25k-$50k",IF(D7937&lt;75000,"$50k-$75k",IF(D7937&lt;100000,"$75k-$100k","$100k+")))))</x:f>
        <x:v>$50k-$75k</x:v>
      </x:c>
      <x:c r="P7937" t="str">
        <x:f>IF(E7937="","Unknown",IF(E7937&lt;10,"&lt;10",IF(E7937&lt;20,"10-&lt;20",IF(E7937&lt;25,"20-&lt;25",IF(E7937&lt;35,"25-&lt;35","35+")))))</x:f>
        <x:v>20-&lt;25</x:v>
      </x:c>
    </x:row>
    <x:row r="7938">
      <x:c r="A7938" t="str">
        <x:v>SYN0007937</x:v>
      </x:c>
      <x:c r="B7938" s="12" t="n">
        <x:v>42985</x:v>
      </x:c>
      <x:c r="C7938" s="18" t="n">
        <x:v>24526</x:v>
      </x:c>
      <x:c r="D7938" s="18" t="n">
        <x:v>25966</x:v>
      </x:c>
      <x:c r="E7938" s="18" t="n">
        <x:v>18.36</x:v>
      </x:c>
      <x:c r="F7938" s="18" t="n">
        <x:v>10.76</x:v>
      </x:c>
      <x:c r="G7938" t="n">
        <x:v>36</x:v>
      </x:c>
      <x:c r="H7938" t="str">
        <x:v>B</x:v>
      </x:c>
      <x:c r="I7938" t="str">
        <x:v>10+ years</x:v>
      </x:c>
      <x:c r="J7938" t="str">
        <x:v>MORTGAGE</x:v>
      </x:c>
      <x:c r="K7938" t="str">
        <x:v>debt_consolidation</x:v>
      </x:c>
      <x:c r="L7938" t="n">
        <x:v>0</x:v>
      </x:c>
      <x:c r="M7938" t="n">
        <x:v>0</x:v>
      </x:c>
      <x:c r="N7938" t="str">
        <x:v>Fully Paid</x:v>
      </x:c>
      <x:c r="O7938" t="str">
        <x:f>IF(D7938="","Unknown",IF(D7938&lt;25000,"&lt;$25k",IF(D7938&lt;50000,"$25k-$50k",IF(D7938&lt;75000,"$50k-$75k",IF(D7938&lt;100000,"$75k-$100k","$100k+")))))</x:f>
        <x:v>$25k-$50k</x:v>
      </x:c>
      <x:c r="P7938" t="str">
        <x:f>IF(E7938="","Unknown",IF(E7938&lt;10,"&lt;10",IF(E7938&lt;20,"10-&lt;20",IF(E7938&lt;25,"20-&lt;25",IF(E7938&lt;35,"25-&lt;35","35+")))))</x:f>
        <x:v>10-&lt;20</x:v>
      </x:c>
    </x:row>
    <x:row r="7939">
      <x:c r="A7939" t="str">
        <x:v>SYN0007938</x:v>
      </x:c>
      <x:c r="B7939" s="12" t="n">
        <x:v>43045</x:v>
      </x:c>
      <x:c r="C7939" s="18" t="n">
        <x:v>23427</x:v>
      </x:c>
      <x:c r="D7939" s="18" t="n">
        <x:v>92698</x:v>
      </x:c>
      <x:c r="E7939" s="18" t="n">
        <x:v>9.68</x:v>
      </x:c>
      <x:c r="F7939" s="18" t="n">
        <x:v>5</x:v>
      </x:c>
      <x:c r="G7939" t="n">
        <x:v>36</x:v>
      </x:c>
      <x:c r="H7939" t="str">
        <x:v>A</x:v>
      </x:c>
      <x:c r="I7939" t="str">
        <x:v>1-3 years</x:v>
      </x:c>
      <x:c r="J7939" t="str">
        <x:v>MORTGAGE</x:v>
      </x:c>
      <x:c r="K7939" t="str">
        <x:v>other</x:v>
      </x:c>
      <x:c r="L7939" t="n">
        <x:v>0</x:v>
      </x:c>
      <x:c r="M7939" t="n">
        <x:v>0</x:v>
      </x:c>
      <x:c r="N7939" t="str">
        <x:v>Fully Paid</x:v>
      </x:c>
      <x:c r="O7939" t="str">
        <x:f>IF(D7939="","Unknown",IF(D7939&lt;25000,"&lt;$25k",IF(D7939&lt;50000,"$25k-$50k",IF(D7939&lt;75000,"$50k-$75k",IF(D7939&lt;100000,"$75k-$100k","$100k+")))))</x:f>
        <x:v>$75k-$100k</x:v>
      </x:c>
      <x:c r="P7939" t="str">
        <x:f>IF(E7939="","Unknown",IF(E7939&lt;10,"&lt;10",IF(E7939&lt;20,"10-&lt;20",IF(E7939&lt;25,"20-&lt;25",IF(E7939&lt;35,"25-&lt;35","35+")))))</x:f>
        <x:v>&lt;10</x:v>
      </x:c>
    </x:row>
    <x:row r="7940">
      <x:c r="A7940" t="str">
        <x:v>SYN0007939</x:v>
      </x:c>
      <x:c r="B7940" s="12" t="n">
        <x:v>43375</x:v>
      </x:c>
      <x:c r="C7940" s="18" t="n">
        <x:v>12478</x:v>
      </x:c>
      <x:c r="D7940" s="18" t="n">
        <x:v>33726</x:v>
      </x:c>
      <x:c r="E7940" s="18" t="n">
        <x:v>10.25</x:v>
      </x:c>
      <x:c r="F7940" s="18" t="n">
        <x:v>5</x:v>
      </x:c>
      <x:c r="G7940" t="n">
        <x:v>36</x:v>
      </x:c>
      <x:c r="H7940" t="str">
        <x:v>A</x:v>
      </x:c>
      <x:c r="I7940" t="str">
        <x:v>4-6 years</x:v>
      </x:c>
      <x:c r="J7940" t="str">
        <x:v>RENT</x:v>
      </x:c>
      <x:c r="K7940" t="str">
        <x:v>credit_card</x:v>
      </x:c>
      <x:c r="L7940" t="n">
        <x:v>0</x:v>
      </x:c>
      <x:c r="M7940" t="n">
        <x:v>0</x:v>
      </x:c>
      <x:c r="N7940" t="str">
        <x:v>Fully Paid</x:v>
      </x:c>
      <x:c r="O7940" t="str">
        <x:f>IF(D7940="","Unknown",IF(D7940&lt;25000,"&lt;$25k",IF(D7940&lt;50000,"$25k-$50k",IF(D7940&lt;75000,"$50k-$75k",IF(D7940&lt;100000,"$75k-$100k","$100k+")))))</x:f>
        <x:v>$25k-$50k</x:v>
      </x:c>
      <x:c r="P7940" t="str">
        <x:f>IF(E7940="","Unknown",IF(E7940&lt;10,"&lt;10",IF(E7940&lt;20,"10-&lt;20",IF(E7940&lt;25,"20-&lt;25",IF(E7940&lt;35,"25-&lt;35","35+")))))</x:f>
        <x:v>10-&lt;20</x:v>
      </x:c>
    </x:row>
    <x:row r="7941">
      <x:c r="A7941" t="str">
        <x:v>SYN0007940</x:v>
      </x:c>
      <x:c r="B7941" s="12" t="n">
        <x:v>42745</x:v>
      </x:c>
      <x:c r="C7941" s="18" t="n">
        <x:v>14841</x:v>
      </x:c>
      <x:c r="D7941" s="18" t="n">
        <x:v>63316</x:v>
      </x:c>
      <x:c r="E7941" s="18" t="n">
        <x:v>25.99</x:v>
      </x:c>
      <x:c r="F7941" s="18" t="n">
        <x:v>13.24</x:v>
      </x:c>
      <x:c r="G7941" t="n">
        <x:v>36</x:v>
      </x:c>
      <x:c r="H7941" t="str">
        <x:v>D</x:v>
      </x:c>
      <x:c r="I7941" t="str">
        <x:v>4-6 years</x:v>
      </x:c>
      <x:c r="J7941" t="str">
        <x:v>OWN</x:v>
      </x:c>
      <x:c r="K7941" t="str">
        <x:v>credit_card</x:v>
      </x:c>
      <x:c r="L7941" t="n">
        <x:v>2</x:v>
      </x:c>
      <x:c r="M7941" t="n">
        <x:v>0</x:v>
      </x:c>
      <x:c r="N7941" t="str">
        <x:v>Fully Paid</x:v>
      </x:c>
      <x:c r="O7941" t="str">
        <x:f>IF(D7941="","Unknown",IF(D7941&lt;25000,"&lt;$25k",IF(D7941&lt;50000,"$25k-$50k",IF(D7941&lt;75000,"$50k-$75k",IF(D7941&lt;100000,"$75k-$100k","$100k+")))))</x:f>
        <x:v>$50k-$75k</x:v>
      </x:c>
      <x:c r="P7941" t="str">
        <x:f>IF(E7941="","Unknown",IF(E7941&lt;10,"&lt;10",IF(E7941&lt;20,"10-&lt;20",IF(E7941&lt;25,"20-&lt;25",IF(E7941&lt;35,"25-&lt;35","35+")))))</x:f>
        <x:v>25-&lt;35</x:v>
      </x:c>
    </x:row>
    <x:row r="7942">
      <x:c r="A7942" t="str">
        <x:v>SYN0007941</x:v>
      </x:c>
      <x:c r="B7942" s="12" t="n">
        <x:v>41575</x:v>
      </x:c>
      <x:c r="C7942" s="18" t="n">
        <x:v>7796</x:v>
      </x:c>
      <x:c r="D7942" s="18" t="n">
        <x:v>111783</x:v>
      </x:c>
      <x:c r="E7942" s="18" t="n">
        <x:v>23.32</x:v>
      </x:c>
      <x:c r="F7942" s="18" t="n">
        <x:v>6.34</x:v>
      </x:c>
      <x:c r="G7942" t="n">
        <x:v>36</x:v>
      </x:c>
      <x:c r="H7942" t="str">
        <x:v>B</x:v>
      </x:c>
      <x:c r="I7942" t="str">
        <x:v>1-3 years</x:v>
      </x:c>
      <x:c r="J7942" t="str">
        <x:v>OWN</x:v>
      </x:c>
      <x:c r="K7942" t="str">
        <x:v>debt_consolidation</x:v>
      </x:c>
      <x:c r="L7942" t="n">
        <x:v>0</x:v>
      </x:c>
      <x:c r="M7942" t="n">
        <x:v>0</x:v>
      </x:c>
      <x:c r="N7942" t="str">
        <x:v>Fully Paid</x:v>
      </x:c>
      <x:c r="O7942" t="str">
        <x:f>IF(D7942="","Unknown",IF(D7942&lt;25000,"&lt;$25k",IF(D7942&lt;50000,"$25k-$50k",IF(D7942&lt;75000,"$50k-$75k",IF(D7942&lt;100000,"$75k-$100k","$100k+")))))</x:f>
        <x:v>$100k+</x:v>
      </x:c>
      <x:c r="P7942" t="str">
        <x:f>IF(E7942="","Unknown",IF(E7942&lt;10,"&lt;10",IF(E7942&lt;20,"10-&lt;20",IF(E7942&lt;25,"20-&lt;25",IF(E7942&lt;35,"25-&lt;35","35+")))))</x:f>
        <x:v>20-&lt;25</x:v>
      </x:c>
    </x:row>
    <x:row r="7943">
      <x:c r="A7943" t="str">
        <x:v>SYN0007942</x:v>
      </x:c>
      <x:c r="B7943" s="12" t="n">
        <x:v>42805</x:v>
      </x:c>
      <x:c r="C7943" s="18" t="n">
        <x:v>15136</x:v>
      </x:c>
      <x:c r="D7943" s="18" t="n">
        <x:v>92306</x:v>
      </x:c>
      <x:c r="E7943" s="18" t="n">
        <x:v>17.78</x:v>
      </x:c>
      <x:c r="F7943" s="18" t="n">
        <x:v>12.27</x:v>
      </x:c>
      <x:c r="G7943" t="n">
        <x:v>36</x:v>
      </x:c>
      <x:c r="H7943" t="str">
        <x:v>B</x:v>
      </x:c>
      <x:c r="I7943" t="str">
        <x:v>1-3 years</x:v>
      </x:c>
      <x:c r="J7943" t="str">
        <x:v>RENT</x:v>
      </x:c>
      <x:c r="K7943" t="str">
        <x:v>debt_consolidation</x:v>
      </x:c>
      <x:c r="L7943" t="n">
        <x:v>1</x:v>
      </x:c>
      <x:c r="M7943" t="n">
        <x:v>0</x:v>
      </x:c>
      <x:c r="N7943" t="str">
        <x:v>Fully Paid</x:v>
      </x:c>
      <x:c r="O7943" t="str">
        <x:f>IF(D7943="","Unknown",IF(D7943&lt;25000,"&lt;$25k",IF(D7943&lt;50000,"$25k-$50k",IF(D7943&lt;75000,"$50k-$75k",IF(D7943&lt;100000,"$75k-$100k","$100k+")))))</x:f>
        <x:v>$75k-$100k</x:v>
      </x:c>
      <x:c r="P7943" t="str">
        <x:f>IF(E7943="","Unknown",IF(E7943&lt;10,"&lt;10",IF(E7943&lt;20,"10-&lt;20",IF(E7943&lt;25,"20-&lt;25",IF(E7943&lt;35,"25-&lt;35","35+")))))</x:f>
        <x:v>10-&lt;20</x:v>
      </x:c>
    </x:row>
    <x:row r="7944">
      <x:c r="A7944" t="str">
        <x:v>SYN0007943</x:v>
      </x:c>
      <x:c r="B7944" s="12" t="n">
        <x:v>41545</x:v>
      </x:c>
      <x:c r="C7944" s="18" t="n">
        <x:v>7110</x:v>
      </x:c>
      <x:c r="D7944" s="18" t="n">
        <x:v>71854</x:v>
      </x:c>
      <x:c r="E7944" s="18" t="n">
        <x:v>19.59</x:v>
      </x:c>
      <x:c r="F7944" s="18" t="n">
        <x:v>7.96</x:v>
      </x:c>
      <x:c r="G7944" t="n">
        <x:v>36</x:v>
      </x:c>
      <x:c r="H7944" t="str">
        <x:v>B</x:v>
      </x:c>
      <x:c r="I7944" t="str">
        <x:v>4-6 years</x:v>
      </x:c>
      <x:c r="J7944" t="str">
        <x:v>OWN</x:v>
      </x:c>
      <x:c r="K7944" t="str">
        <x:v>medical</x:v>
      </x:c>
      <x:c r="L7944" t="n">
        <x:v>1</x:v>
      </x:c>
      <x:c r="M7944" t="n">
        <x:v>0</x:v>
      </x:c>
      <x:c r="N7944" t="str">
        <x:v>Fully Paid</x:v>
      </x:c>
      <x:c r="O7944" t="str">
        <x:f>IF(D7944="","Unknown",IF(D7944&lt;25000,"&lt;$25k",IF(D7944&lt;50000,"$25k-$50k",IF(D7944&lt;75000,"$50k-$75k",IF(D7944&lt;100000,"$75k-$100k","$100k+")))))</x:f>
        <x:v>$50k-$75k</x:v>
      </x:c>
      <x:c r="P7944" t="str">
        <x:f>IF(E7944="","Unknown",IF(E7944&lt;10,"&lt;10",IF(E7944&lt;20,"10-&lt;20",IF(E7944&lt;25,"20-&lt;25",IF(E7944&lt;35,"25-&lt;35","35+")))))</x:f>
        <x:v>10-&lt;20</x:v>
      </x:c>
    </x:row>
    <x:row r="7945">
      <x:c r="A7945" t="str">
        <x:v>SYN0007944</x:v>
      </x:c>
      <x:c r="B7945" s="12" t="n">
        <x:v>43195</x:v>
      </x:c>
      <x:c r="C7945" s="18" t="n">
        <x:v>13224</x:v>
      </x:c>
      <x:c r="D7945" s="18" t="n">
        <x:v>48826</x:v>
      </x:c>
      <x:c r="E7945" s="18" t="n">
        <x:v>27.3</x:v>
      </x:c>
      <x:c r="F7945" s="18" t="n">
        <x:v>11.93</x:v>
      </x:c>
      <x:c r="G7945" t="n">
        <x:v>60</x:v>
      </x:c>
      <x:c r="H7945" t="str">
        <x:v>D</x:v>
      </x:c>
      <x:c r="I7945" t="str">
        <x:v>10+ years</x:v>
      </x:c>
      <x:c r="J7945" t="str">
        <x:v>RENT</x:v>
      </x:c>
      <x:c r="K7945" t="str">
        <x:v>debt_consolidation</x:v>
      </x:c>
      <x:c r="L7945" t="n">
        <x:v>0</x:v>
      </x:c>
      <x:c r="M7945" t="n">
        <x:v>0</x:v>
      </x:c>
      <x:c r="N7945" t="str">
        <x:v>Fully Paid</x:v>
      </x:c>
      <x:c r="O7945" t="str">
        <x:f>IF(D7945="","Unknown",IF(D7945&lt;25000,"&lt;$25k",IF(D7945&lt;50000,"$25k-$50k",IF(D7945&lt;75000,"$50k-$75k",IF(D7945&lt;100000,"$75k-$100k","$100k+")))))</x:f>
        <x:v>$25k-$50k</x:v>
      </x:c>
      <x:c r="P7945" t="str">
        <x:f>IF(E7945="","Unknown",IF(E7945&lt;10,"&lt;10",IF(E7945&lt;20,"10-&lt;20",IF(E7945&lt;25,"20-&lt;25",IF(E7945&lt;35,"25-&lt;35","35+")))))</x:f>
        <x:v>25-&lt;35</x:v>
      </x:c>
    </x:row>
    <x:row r="7946">
      <x:c r="A7946" t="str">
        <x:v>SYN0007945</x:v>
      </x:c>
      <x:c r="B7946" s="12" t="n">
        <x:v>41365</x:v>
      </x:c>
      <x:c r="C7946" s="18" t="n">
        <x:v>11028</x:v>
      </x:c>
      <x:c r="D7946" s="18" t="n">
        <x:v>31596</x:v>
      </x:c>
      <x:c r="E7946" s="18" t="n">
        <x:v>19.92</x:v>
      </x:c>
      <x:c r="F7946" s="18" t="n">
        <x:v>8.9</x:v>
      </x:c>
      <x:c r="G7946" t="n">
        <x:v>36</x:v>
      </x:c>
      <x:c r="H7946" t="str">
        <x:v>A</x:v>
      </x:c>
      <x:c r="I7946" t="str">
        <x:v>10+ years</x:v>
      </x:c>
      <x:c r="J7946" t="str">
        <x:v>MORTGAGE</x:v>
      </x:c>
      <x:c r="K7946" t="str">
        <x:v>credit_card</x:v>
      </x:c>
      <x:c r="L7946" t="n">
        <x:v>0</x:v>
      </x:c>
      <x:c r="M7946" t="n">
        <x:v>0</x:v>
      </x:c>
      <x:c r="N7946" t="str">
        <x:v>Fully Paid</x:v>
      </x:c>
      <x:c r="O7946" t="str">
        <x:f>IF(D7946="","Unknown",IF(D7946&lt;25000,"&lt;$25k",IF(D7946&lt;50000,"$25k-$50k",IF(D7946&lt;75000,"$50k-$75k",IF(D7946&lt;100000,"$75k-$100k","$100k+")))))</x:f>
        <x:v>$25k-$50k</x:v>
      </x:c>
      <x:c r="P7946" t="str">
        <x:f>IF(E7946="","Unknown",IF(E7946&lt;10,"&lt;10",IF(E7946&lt;20,"10-&lt;20",IF(E7946&lt;25,"20-&lt;25",IF(E7946&lt;35,"25-&lt;35","35+")))))</x:f>
        <x:v>10-&lt;20</x:v>
      </x:c>
    </x:row>
    <x:row r="7947">
      <x:c r="A7947" t="str">
        <x:v>SYN0007946</x:v>
      </x:c>
      <x:c r="B7947" s="12" t="n">
        <x:v>41395</x:v>
      </x:c>
      <x:c r="C7947" s="18" t="n">
        <x:v>24864</x:v>
      </x:c>
      <x:c r="D7947" s="18" t="n">
        <x:v>55195</x:v>
      </x:c>
      <x:c r="E7947" s="18" t="n">
        <x:v>26.79</x:v>
      </x:c>
      <x:c r="F7947" s="18" t="n">
        <x:v>6.79</x:v>
      </x:c>
      <x:c r="G7947" t="n">
        <x:v>36</x:v>
      </x:c>
      <x:c r="H7947" t="str">
        <x:v>B</x:v>
      </x:c>
      <x:c r="I7947" t="str">
        <x:v>10+ years</x:v>
      </x:c>
      <x:c r="J7947" t="str">
        <x:v>OWN</x:v>
      </x:c>
      <x:c r="K7947" t="str">
        <x:v>debt_consolidation</x:v>
      </x:c>
      <x:c r="L7947" t="n">
        <x:v>4</x:v>
      </x:c>
      <x:c r="M7947" t="n">
        <x:v>0</x:v>
      </x:c>
      <x:c r="N7947" t="str">
        <x:v>Fully Paid</x:v>
      </x:c>
      <x:c r="O7947" t="str">
        <x:f>IF(D7947="","Unknown",IF(D7947&lt;25000,"&lt;$25k",IF(D7947&lt;50000,"$25k-$50k",IF(D7947&lt;75000,"$50k-$75k",IF(D7947&lt;100000,"$75k-$100k","$100k+")))))</x:f>
        <x:v>$50k-$75k</x:v>
      </x:c>
      <x:c r="P7947" t="str">
        <x:f>IF(E7947="","Unknown",IF(E7947&lt;10,"&lt;10",IF(E7947&lt;20,"10-&lt;20",IF(E7947&lt;25,"20-&lt;25",IF(E7947&lt;35,"25-&lt;35","35+")))))</x:f>
        <x:v>25-&lt;35</x:v>
      </x:c>
    </x:row>
    <x:row r="7948">
      <x:c r="A7948" t="str">
        <x:v>SYN0007947</x:v>
      </x:c>
      <x:c r="B7948" s="12" t="n">
        <x:v>41845</x:v>
      </x:c>
      <x:c r="C7948" s="18" t="n">
        <x:v>8084</x:v>
      </x:c>
      <x:c r="D7948" s="18" t="n">
        <x:v>97540</x:v>
      </x:c>
      <x:c r="E7948" s="18" t="n">
        <x:v>17.5</x:v>
      </x:c>
      <x:c r="F7948" s="18" t="n">
        <x:v>6.59</x:v>
      </x:c>
      <x:c r="G7948" t="n">
        <x:v>36</x:v>
      </x:c>
      <x:c r="H7948" t="str">
        <x:v>A</x:v>
      </x:c>
      <x:c r="I7948" t="str">
        <x:v>4-6 years</x:v>
      </x:c>
      <x:c r="J7948" t="str">
        <x:v>MORTGAGE</x:v>
      </x:c>
      <x:c r="K7948" t="str">
        <x:v>credit_card</x:v>
      </x:c>
      <x:c r="L7948" t="n">
        <x:v>0</x:v>
      </x:c>
      <x:c r="M7948" t="n">
        <x:v>0</x:v>
      </x:c>
      <x:c r="N7948" t="str">
        <x:v>Fully Paid</x:v>
      </x:c>
      <x:c r="O7948" t="str">
        <x:f>IF(D7948="","Unknown",IF(D7948&lt;25000,"&lt;$25k",IF(D7948&lt;50000,"$25k-$50k",IF(D7948&lt;75000,"$50k-$75k",IF(D7948&lt;100000,"$75k-$100k","$100k+")))))</x:f>
        <x:v>$75k-$100k</x:v>
      </x:c>
      <x:c r="P7948" t="str">
        <x:f>IF(E7948="","Unknown",IF(E7948&lt;10,"&lt;10",IF(E7948&lt;20,"10-&lt;20",IF(E7948&lt;25,"20-&lt;25",IF(E7948&lt;35,"25-&lt;35","35+")))))</x:f>
        <x:v>10-&lt;20</x:v>
      </x:c>
    </x:row>
    <x:row r="7949">
      <x:c r="A7949" t="str">
        <x:v>SYN0007948</x:v>
      </x:c>
      <x:c r="B7949" s="12" t="n">
        <x:v>42625</x:v>
      </x:c>
      <x:c r="C7949" s="18" t="n">
        <x:v>20894</x:v>
      </x:c>
      <x:c r="D7949" s="18" t="n">
        <x:v>59593</x:v>
      </x:c>
      <x:c r="E7949" s="18" t="n">
        <x:v>26.61</x:v>
      </x:c>
      <x:c r="F7949" s="18" t="n">
        <x:v>13.37</x:v>
      </x:c>
      <x:c r="G7949" t="n">
        <x:v>36</x:v>
      </x:c>
      <x:c r="H7949" t="str">
        <x:v>C</x:v>
      </x:c>
      <x:c r="I7949" t="str">
        <x:v>4-6 years</x:v>
      </x:c>
      <x:c r="J7949" t="str">
        <x:v>MORTGAGE</x:v>
      </x:c>
      <x:c r="K7949" t="str">
        <x:v>home_improvement</x:v>
      </x:c>
      <x:c r="L7949" t="n">
        <x:v>1</x:v>
      </x:c>
      <x:c r="M7949" t="n">
        <x:v>0</x:v>
      </x:c>
      <x:c r="N7949" t="str">
        <x:v>Fully Paid</x:v>
      </x:c>
      <x:c r="O7949" t="str">
        <x:f>IF(D7949="","Unknown",IF(D7949&lt;25000,"&lt;$25k",IF(D7949&lt;50000,"$25k-$50k",IF(D7949&lt;75000,"$50k-$75k",IF(D7949&lt;100000,"$75k-$100k","$100k+")))))</x:f>
        <x:v>$50k-$75k</x:v>
      </x:c>
      <x:c r="P7949" t="str">
        <x:f>IF(E7949="","Unknown",IF(E7949&lt;10,"&lt;10",IF(E7949&lt;20,"10-&lt;20",IF(E7949&lt;25,"20-&lt;25",IF(E7949&lt;35,"25-&lt;35","35+")))))</x:f>
        <x:v>25-&lt;35</x:v>
      </x:c>
    </x:row>
    <x:row r="7950">
      <x:c r="A7950" t="str">
        <x:v>SYN0007949</x:v>
      </x:c>
      <x:c r="B7950" s="12" t="n">
        <x:v>41845</x:v>
      </x:c>
      <x:c r="C7950" s="18" t="n">
        <x:v>16538</x:v>
      </x:c>
      <x:c r="D7950" s="18" t="n">
        <x:v>22526</x:v>
      </x:c>
      <x:c r="E7950" s="18" t="n">
        <x:v>15.4</x:v>
      </x:c>
      <x:c r="F7950" s="18" t="n">
        <x:v>12.78</x:v>
      </x:c>
      <x:c r="G7950" t="n">
        <x:v>36</x:v>
      </x:c>
      <x:c r="H7950" t="str">
        <x:v>D</x:v>
      </x:c>
      <x:c r="I7950" t="str">
        <x:v>1-3 years</x:v>
      </x:c>
      <x:c r="J7950" t="str">
        <x:v>MORTGAGE</x:v>
      </x:c>
      <x:c r="K7950" t="str">
        <x:v>major_purchase</x:v>
      </x:c>
      <x:c r="L7950" t="n">
        <x:v>0</x:v>
      </x:c>
      <x:c r="M7950" t="n">
        <x:v>0</x:v>
      </x:c>
      <x:c r="N7950" t="str">
        <x:v>Fully Paid</x:v>
      </x:c>
      <x:c r="O7950" t="str">
        <x:f>IF(D7950="","Unknown",IF(D7950&lt;25000,"&lt;$25k",IF(D7950&lt;50000,"$25k-$50k",IF(D7950&lt;75000,"$50k-$75k",IF(D7950&lt;100000,"$75k-$100k","$100k+")))))</x:f>
        <x:v>&lt;$25k</x:v>
      </x:c>
      <x:c r="P7950" t="str">
        <x:f>IF(E7950="","Unknown",IF(E7950&lt;10,"&lt;10",IF(E7950&lt;20,"10-&lt;20",IF(E7950&lt;25,"20-&lt;25",IF(E7950&lt;35,"25-&lt;35","35+")))))</x:f>
        <x:v>10-&lt;20</x:v>
      </x:c>
    </x:row>
    <x:row r="7951">
      <x:c r="A7951" t="str">
        <x:v>SYN0007950</x:v>
      </x:c>
      <x:c r="B7951" s="12" t="n">
        <x:v>41515</x:v>
      </x:c>
      <x:c r="C7951" s="18" t="n">
        <x:v>14665</x:v>
      </x:c>
      <x:c r="D7951" s="18" t="n">
        <x:v>38960</x:v>
      </x:c>
      <x:c r="E7951" s="18" t="n">
        <x:v>36.15</x:v>
      </x:c>
      <x:c r="F7951" s="18" t="n">
        <x:v>9.13</x:v>
      </x:c>
      <x:c r="G7951" t="n">
        <x:v>36</x:v>
      </x:c>
      <x:c r="H7951" t="str">
        <x:v>B</x:v>
      </x:c>
      <x:c r="I7951" t="str">
        <x:v>4-6 years</x:v>
      </x:c>
      <x:c r="J7951" t="str">
        <x:v>OWN</x:v>
      </x:c>
      <x:c r="K7951" t="str">
        <x:v>other</x:v>
      </x:c>
      <x:c r="L7951" t="n">
        <x:v>0</x:v>
      </x:c>
      <x:c r="M7951" t="n">
        <x:v>0</x:v>
      </x:c>
      <x:c r="N7951" t="str">
        <x:v>Fully Paid</x:v>
      </x:c>
      <x:c r="O7951" t="str">
        <x:f>IF(D7951="","Unknown",IF(D7951&lt;25000,"&lt;$25k",IF(D7951&lt;50000,"$25k-$50k",IF(D7951&lt;75000,"$50k-$75k",IF(D7951&lt;100000,"$75k-$100k","$100k+")))))</x:f>
        <x:v>$25k-$50k</x:v>
      </x:c>
      <x:c r="P7951" t="str">
        <x:f>IF(E7951="","Unknown",IF(E7951&lt;10,"&lt;10",IF(E7951&lt;20,"10-&lt;20",IF(E7951&lt;25,"20-&lt;25",IF(E7951&lt;35,"25-&lt;35","35+")))))</x:f>
        <x:v>35+</x:v>
      </x:c>
    </x:row>
    <x:row r="7952">
      <x:c r="A7952" t="str">
        <x:v>SYN0007951</x:v>
      </x:c>
      <x:c r="B7952" s="12" t="n">
        <x:v>42385</x:v>
      </x:c>
      <x:c r="C7952" s="18" t="n">
        <x:v>8820</x:v>
      </x:c>
      <x:c r="D7952" s="18" t="n">
        <x:v>56612</x:v>
      </x:c>
      <x:c r="E7952" s="18" t="n">
        <x:v>32.72</x:v>
      </x:c>
      <x:c r="F7952" s="18" t="n">
        <x:v>26.01</x:v>
      </x:c>
      <x:c r="G7952" t="n">
        <x:v>36</x:v>
      </x:c>
      <x:c r="H7952" t="str">
        <x:v>G</x:v>
      </x:c>
      <x:c r="I7952" t="str">
        <x:v>7-9 years</x:v>
      </x:c>
      <x:c r="J7952" t="str">
        <x:v>OWN</x:v>
      </x:c>
      <x:c r="K7952" t="str">
        <x:v>credit_card</x:v>
      </x:c>
      <x:c r="L7952" t="n">
        <x:v>0</x:v>
      </x:c>
      <x:c r="M7952" t="n">
        <x:v>0</x:v>
      </x:c>
      <x:c r="N7952" t="str">
        <x:v>Fully Paid</x:v>
      </x:c>
      <x:c r="O7952" t="str">
        <x:f>IF(D7952="","Unknown",IF(D7952&lt;25000,"&lt;$25k",IF(D7952&lt;50000,"$25k-$50k",IF(D7952&lt;75000,"$50k-$75k",IF(D7952&lt;100000,"$75k-$100k","$100k+")))))</x:f>
        <x:v>$50k-$75k</x:v>
      </x:c>
      <x:c r="P7952" t="str">
        <x:f>IF(E7952="","Unknown",IF(E7952&lt;10,"&lt;10",IF(E7952&lt;20,"10-&lt;20",IF(E7952&lt;25,"20-&lt;25",IF(E7952&lt;35,"25-&lt;35","35+")))))</x:f>
        <x:v>25-&lt;35</x:v>
      </x:c>
    </x:row>
    <x:row r="7953">
      <x:c r="A7953" t="str">
        <x:v>SYN0007952</x:v>
      </x:c>
      <x:c r="B7953" s="12" t="n">
        <x:v>42415</x:v>
      </x:c>
      <x:c r="C7953" s="18" t="n">
        <x:v>18604</x:v>
      </x:c>
      <x:c r="D7953" s="18" t="n">
        <x:v>64394</x:v>
      </x:c>
      <x:c r="E7953" s="18" t="n">
        <x:v>22.69</x:v>
      </x:c>
      <x:c r="F7953" s="18" t="n">
        <x:v>9.87</x:v>
      </x:c>
      <x:c r="G7953" t="n">
        <x:v>36</x:v>
      </x:c>
      <x:c r="H7953" t="str">
        <x:v>C</x:v>
      </x:c>
      <x:c r="I7953" t="str">
        <x:v>7-9 years</x:v>
      </x:c>
      <x:c r="J7953" t="str">
        <x:v>RENT</x:v>
      </x:c>
      <x:c r="K7953" t="str">
        <x:v>debt_consolidation</x:v>
      </x:c>
      <x:c r="L7953" t="n">
        <x:v>1</x:v>
      </x:c>
      <x:c r="M7953" t="n">
        <x:v>0</x:v>
      </x:c>
      <x:c r="N7953" t="str">
        <x:v>Fully Paid</x:v>
      </x:c>
      <x:c r="O7953" t="str">
        <x:f>IF(D7953="","Unknown",IF(D7953&lt;25000,"&lt;$25k",IF(D7953&lt;50000,"$25k-$50k",IF(D7953&lt;75000,"$50k-$75k",IF(D7953&lt;100000,"$75k-$100k","$100k+")))))</x:f>
        <x:v>$50k-$75k</x:v>
      </x:c>
      <x:c r="P7953" t="str">
        <x:f>IF(E7953="","Unknown",IF(E7953&lt;10,"&lt;10",IF(E7953&lt;20,"10-&lt;20",IF(E7953&lt;25,"20-&lt;25",IF(E7953&lt;35,"25-&lt;35","35+")))))</x:f>
        <x:v>20-&lt;25</x:v>
      </x:c>
    </x:row>
    <x:row r="7954">
      <x:c r="A7954" t="str">
        <x:v>SYN0007953</x:v>
      </x:c>
      <x:c r="B7954" s="12" t="n">
        <x:v>41905</x:v>
      </x:c>
      <x:c r="C7954" s="18" t="n">
        <x:v>8526</x:v>
      </x:c>
      <x:c r="D7954" s="18" t="n">
        <x:v>106514</x:v>
      </x:c>
      <x:c r="E7954" s="18" t="n">
        <x:v>20.37</x:v>
      </x:c>
      <x:c r="F7954" s="18" t="n">
        <x:v>21.32</x:v>
      </x:c>
      <x:c r="G7954" t="n">
        <x:v>36</x:v>
      </x:c>
      <x:c r="H7954" t="str">
        <x:v>F</x:v>
      </x:c>
      <x:c r="I7954" t="str">
        <x:v>10+ years</x:v>
      </x:c>
      <x:c r="J7954" t="str">
        <x:v>MORTGAGE</x:v>
      </x:c>
      <x:c r="K7954" t="str">
        <x:v>debt_consolidation</x:v>
      </x:c>
      <x:c r="L7954" t="n">
        <x:v>0</x:v>
      </x:c>
      <x:c r="M7954" t="n">
        <x:v>0</x:v>
      </x:c>
      <x:c r="N7954" t="str">
        <x:v>Fully Paid</x:v>
      </x:c>
      <x:c r="O7954" t="str">
        <x:f>IF(D7954="","Unknown",IF(D7954&lt;25000,"&lt;$25k",IF(D7954&lt;50000,"$25k-$50k",IF(D7954&lt;75000,"$50k-$75k",IF(D7954&lt;100000,"$75k-$100k","$100k+")))))</x:f>
        <x:v>$100k+</x:v>
      </x:c>
      <x:c r="P7954" t="str">
        <x:f>IF(E7954="","Unknown",IF(E7954&lt;10,"&lt;10",IF(E7954&lt;20,"10-&lt;20",IF(E7954&lt;25,"20-&lt;25",IF(E7954&lt;35,"25-&lt;35","35+")))))</x:f>
        <x:v>20-&lt;25</x:v>
      </x:c>
    </x:row>
    <x:row r="7955">
      <x:c r="A7955" t="str">
        <x:v>SYN0007954</x:v>
      </x:c>
      <x:c r="B7955" s="12" t="n">
        <x:v>41545</x:v>
      </x:c>
      <x:c r="C7955" s="18" t="n">
        <x:v>26746</x:v>
      </x:c>
      <x:c r="D7955" s="18" t="n">
        <x:v>25301</x:v>
      </x:c>
      <x:c r="E7955" s="18" t="n">
        <x:v>22.7</x:v>
      </x:c>
      <x:c r="F7955" s="18" t="n">
        <x:v>10.47</x:v>
      </x:c>
      <x:c r="G7955" t="n">
        <x:v>36</x:v>
      </x:c>
      <x:c r="H7955" t="str">
        <x:v>B</x:v>
      </x:c>
      <x:c r="I7955" t="str">
        <x:v>4-6 years</x:v>
      </x:c>
      <x:c r="J7955" t="str">
        <x:v>OTHER</x:v>
      </x:c>
      <x:c r="K7955" t="str">
        <x:v>debt_consolidation</x:v>
      </x:c>
      <x:c r="L7955" t="n">
        <x:v>0</x:v>
      </x:c>
      <x:c r="M7955" t="n">
        <x:v>0</x:v>
      </x:c>
      <x:c r="N7955" t="str">
        <x:v>Fully Paid</x:v>
      </x:c>
      <x:c r="O7955" t="str">
        <x:f>IF(D7955="","Unknown",IF(D7955&lt;25000,"&lt;$25k",IF(D7955&lt;50000,"$25k-$50k",IF(D7955&lt;75000,"$50k-$75k",IF(D7955&lt;100000,"$75k-$100k","$100k+")))))</x:f>
        <x:v>$25k-$50k</x:v>
      </x:c>
      <x:c r="P7955" t="str">
        <x:f>IF(E7955="","Unknown",IF(E7955&lt;10,"&lt;10",IF(E7955&lt;20,"10-&lt;20",IF(E7955&lt;25,"20-&lt;25",IF(E7955&lt;35,"25-&lt;35","35+")))))</x:f>
        <x:v>20-&lt;25</x:v>
      </x:c>
    </x:row>
    <x:row r="7956">
      <x:c r="A7956" t="str">
        <x:v>SYN0007955</x:v>
      </x:c>
      <x:c r="B7956" s="12" t="n">
        <x:v>42175</x:v>
      </x:c>
      <x:c r="C7956" s="18" t="n">
        <x:v>10026</x:v>
      </x:c>
      <x:c r="D7956" s="18" t="n">
        <x:v>213148</x:v>
      </x:c>
      <x:c r="E7956" s="18" t="n">
        <x:v>29.35</x:v>
      </x:c>
      <x:c r="F7956" s="18" t="n">
        <x:v>10.2</x:v>
      </x:c>
      <x:c r="G7956" t="n">
        <x:v>36</x:v>
      </x:c>
      <x:c r="H7956" t="str">
        <x:v>C</x:v>
      </x:c>
      <x:c r="I7956" t="str">
        <x:v>1-3 years</x:v>
      </x:c>
      <x:c r="J7956" t="str">
        <x:v>MORTGAGE</x:v>
      </x:c>
      <x:c r="K7956" t="str">
        <x:v>debt_consolidation</x:v>
      </x:c>
      <x:c r="L7956" t="n">
        <x:v>1</x:v>
      </x:c>
      <x:c r="M7956" t="n">
        <x:v>0</x:v>
      </x:c>
      <x:c r="N7956" t="str">
        <x:v>Fully Paid</x:v>
      </x:c>
      <x:c r="O7956" t="str">
        <x:f>IF(D7956="","Unknown",IF(D7956&lt;25000,"&lt;$25k",IF(D7956&lt;50000,"$25k-$50k",IF(D7956&lt;75000,"$50k-$75k",IF(D7956&lt;100000,"$75k-$100k","$100k+")))))</x:f>
        <x:v>$100k+</x:v>
      </x:c>
      <x:c r="P7956" t="str">
        <x:f>IF(E7956="","Unknown",IF(E7956&lt;10,"&lt;10",IF(E7956&lt;20,"10-&lt;20",IF(E7956&lt;25,"20-&lt;25",IF(E7956&lt;35,"25-&lt;35","35+")))))</x:f>
        <x:v>25-&lt;35</x:v>
      </x:c>
    </x:row>
    <x:row r="7957">
      <x:c r="A7957" t="str">
        <x:v>SYN0007956</x:v>
      </x:c>
      <x:c r="B7957" s="12" t="n">
        <x:v>43015</x:v>
      </x:c>
      <x:c r="C7957" s="18" t="n">
        <x:v>9932</x:v>
      </x:c>
      <x:c r="D7957" s="18" t="n">
        <x:v>140956</x:v>
      </x:c>
      <x:c r="E7957" s="18" t="n">
        <x:v>26.88</x:v>
      </x:c>
      <x:c r="F7957" s="18" t="n">
        <x:v>21.63</x:v>
      </x:c>
      <x:c r="G7957" t="n">
        <x:v>36</x:v>
      </x:c>
      <x:c r="H7957" t="str">
        <x:v>F</x:v>
      </x:c>
      <x:c r="I7957" t="str">
        <x:v>4-6 years</x:v>
      </x:c>
      <x:c r="J7957" t="str">
        <x:v>MORTGAGE</x:v>
      </x:c>
      <x:c r="K7957" t="str">
        <x:v>home_improvement</x:v>
      </x:c>
      <x:c r="L7957" t="n">
        <x:v>0</x:v>
      </x:c>
      <x:c r="M7957" t="n">
        <x:v>0</x:v>
      </x:c>
      <x:c r="N7957" t="str">
        <x:v>Fully Paid</x:v>
      </x:c>
      <x:c r="O7957" t="str">
        <x:f>IF(D7957="","Unknown",IF(D7957&lt;25000,"&lt;$25k",IF(D7957&lt;50000,"$25k-$50k",IF(D7957&lt;75000,"$50k-$75k",IF(D7957&lt;100000,"$75k-$100k","$100k+")))))</x:f>
        <x:v>$100k+</x:v>
      </x:c>
      <x:c r="P7957" t="str">
        <x:f>IF(E7957="","Unknown",IF(E7957&lt;10,"&lt;10",IF(E7957&lt;20,"10-&lt;20",IF(E7957&lt;25,"20-&lt;25",IF(E7957&lt;35,"25-&lt;35","35+")))))</x:f>
        <x:v>25-&lt;35</x:v>
      </x:c>
    </x:row>
    <x:row r="7958">
      <x:c r="A7958" t="str">
        <x:v>SYN0007957</x:v>
      </x:c>
      <x:c r="B7958" s="12" t="n">
        <x:v>42175</x:v>
      </x:c>
      <x:c r="C7958" s="18" t="n">
        <x:v>10503</x:v>
      </x:c>
      <x:c r="D7958" s="18" t="n">
        <x:v>32656</x:v>
      </x:c>
      <x:c r="E7958" s="18" t="n">
        <x:v>32.74</x:v>
      </x:c>
      <x:c r="F7958" s="18" t="n">
        <x:v>10.18</x:v>
      </x:c>
      <x:c r="G7958" t="n">
        <x:v>60</x:v>
      </x:c>
      <x:c r="H7958" t="str">
        <x:v>D</x:v>
      </x:c>
      <x:c r="I7958" t="str">
        <x:v>4-6 years</x:v>
      </x:c>
      <x:c r="J7958" t="str">
        <x:v>RENT</x:v>
      </x:c>
      <x:c r="K7958" t="str">
        <x:v>home_improvement</x:v>
      </x:c>
      <x:c r="L7958" t="n">
        <x:v>0</x:v>
      </x:c>
      <x:c r="M7958" t="n">
        <x:v>0</x:v>
      </x:c>
      <x:c r="N7958" t="str">
        <x:v>Fully Paid</x:v>
      </x:c>
      <x:c r="O7958" t="str">
        <x:f>IF(D7958="","Unknown",IF(D7958&lt;25000,"&lt;$25k",IF(D7958&lt;50000,"$25k-$50k",IF(D7958&lt;75000,"$50k-$75k",IF(D7958&lt;100000,"$75k-$100k","$100k+")))))</x:f>
        <x:v>$25k-$50k</x:v>
      </x:c>
      <x:c r="P7958" t="str">
        <x:f>IF(E7958="","Unknown",IF(E7958&lt;10,"&lt;10",IF(E7958&lt;20,"10-&lt;20",IF(E7958&lt;25,"20-&lt;25",IF(E7958&lt;35,"25-&lt;35","35+")))))</x:f>
        <x:v>25-&lt;35</x:v>
      </x:c>
    </x:row>
    <x:row r="7959">
      <x:c r="A7959" t="str">
        <x:v>SYN0007958</x:v>
      </x:c>
      <x:c r="B7959" s="12" t="n">
        <x:v>43165</x:v>
      </x:c>
      <x:c r="C7959" s="18" t="n">
        <x:v>15599</x:v>
      </x:c>
      <x:c r="D7959" s="18" t="n">
        <x:v>37622</x:v>
      </x:c>
      <x:c r="E7959" s="18" t="n">
        <x:v>18.78</x:v>
      </x:c>
      <x:c r="F7959" s="18" t="n">
        <x:v>24.45</x:v>
      </x:c>
      <x:c r="G7959" t="n">
        <x:v>36</x:v>
      </x:c>
      <x:c r="H7959" t="str">
        <x:v>F</x:v>
      </x:c>
      <x:c r="I7959" t="str">
        <x:v>10+ years</x:v>
      </x:c>
      <x:c r="J7959" t="str">
        <x:v>MORTGAGE</x:v>
      </x:c>
      <x:c r="K7959" t="str">
        <x:v>credit_card</x:v>
      </x:c>
      <x:c r="L7959" t="n">
        <x:v>2</x:v>
      </x:c>
      <x:c r="M7959" t="n">
        <x:v>1</x:v>
      </x:c>
      <x:c r="N7959" t="str">
        <x:v>Charged Off</x:v>
      </x:c>
      <x:c r="O7959" t="str">
        <x:f>IF(D7959="","Unknown",IF(D7959&lt;25000,"&lt;$25k",IF(D7959&lt;50000,"$25k-$50k",IF(D7959&lt;75000,"$50k-$75k",IF(D7959&lt;100000,"$75k-$100k","$100k+")))))</x:f>
        <x:v>$25k-$50k</x:v>
      </x:c>
      <x:c r="P7959" t="str">
        <x:f>IF(E7959="","Unknown",IF(E7959&lt;10,"&lt;10",IF(E7959&lt;20,"10-&lt;20",IF(E7959&lt;25,"20-&lt;25",IF(E7959&lt;35,"25-&lt;35","35+")))))</x:f>
        <x:v>10-&lt;20</x:v>
      </x:c>
    </x:row>
    <x:row r="7960">
      <x:c r="A7960" t="str">
        <x:v>SYN0007959</x:v>
      </x:c>
      <x:c r="B7960" s="12" t="n">
        <x:v>42685</x:v>
      </x:c>
      <x:c r="C7960" s="18" t="n">
        <x:v>8142</x:v>
      </x:c>
      <x:c r="D7960" s="18" t="n">
        <x:v>110520</x:v>
      </x:c>
      <x:c r="E7960" s="18" t="n">
        <x:v>27.2</x:v>
      </x:c>
      <x:c r="F7960" s="18" t="n">
        <x:v>14.27</x:v>
      </x:c>
      <x:c r="G7960" t="n">
        <x:v>36</x:v>
      </x:c>
      <x:c r="H7960" t="str">
        <x:v>D</x:v>
      </x:c>
      <x:c r="I7960" t="str">
        <x:v>&lt;1 year</x:v>
      </x:c>
      <x:c r="J7960" t="str">
        <x:v>RENT</x:v>
      </x:c>
      <x:c r="K7960" t="str">
        <x:v>credit_card</x:v>
      </x:c>
      <x:c r="L7960" t="n">
        <x:v>0</x:v>
      </x:c>
      <x:c r="M7960" t="n">
        <x:v>0</x:v>
      </x:c>
      <x:c r="N7960" t="str">
        <x:v>Fully Paid</x:v>
      </x:c>
      <x:c r="O7960" t="str">
        <x:f>IF(D7960="","Unknown",IF(D7960&lt;25000,"&lt;$25k",IF(D7960&lt;50000,"$25k-$50k",IF(D7960&lt;75000,"$50k-$75k",IF(D7960&lt;100000,"$75k-$100k","$100k+")))))</x:f>
        <x:v>$100k+</x:v>
      </x:c>
      <x:c r="P7960" t="str">
        <x:f>IF(E7960="","Unknown",IF(E7960&lt;10,"&lt;10",IF(E7960&lt;20,"10-&lt;20",IF(E7960&lt;25,"20-&lt;25",IF(E7960&lt;35,"25-&lt;35","35+")))))</x:f>
        <x:v>25-&lt;35</x:v>
      </x:c>
    </x:row>
    <x:row r="7961">
      <x:c r="A7961" t="str">
        <x:v>SYN0007960</x:v>
      </x:c>
      <x:c r="B7961" s="12" t="n">
        <x:v>41515</x:v>
      </x:c>
      <x:c r="C7961" s="18" t="n">
        <x:v>7435</x:v>
      </x:c>
      <x:c r="D7961" s="18" t="n">
        <x:v>43534</x:v>
      </x:c>
      <x:c r="E7961" s="18" t="n">
        <x:v>25.44</x:v>
      </x:c>
      <x:c r="F7961" s="18" t="n">
        <x:v>10.48</x:v>
      </x:c>
      <x:c r="G7961" t="n">
        <x:v>36</x:v>
      </x:c>
      <x:c r="H7961" t="str">
        <x:v>C</x:v>
      </x:c>
      <x:c r="I7961" t="str">
        <x:v>&lt;1 year</x:v>
      </x:c>
      <x:c r="J7961" t="str">
        <x:v>RENT</x:v>
      </x:c>
      <x:c r="K7961" t="str">
        <x:v>debt_consolidation</x:v>
      </x:c>
      <x:c r="L7961" t="n">
        <x:v>0</x:v>
      </x:c>
      <x:c r="M7961" t="n">
        <x:v>0</x:v>
      </x:c>
      <x:c r="N7961" t="str">
        <x:v>Fully Paid</x:v>
      </x:c>
      <x:c r="O7961" t="str">
        <x:f>IF(D7961="","Unknown",IF(D7961&lt;25000,"&lt;$25k",IF(D7961&lt;50000,"$25k-$50k",IF(D7961&lt;75000,"$50k-$75k",IF(D7961&lt;100000,"$75k-$100k","$100k+")))))</x:f>
        <x:v>$25k-$50k</x:v>
      </x:c>
      <x:c r="P7961" t="str">
        <x:f>IF(E7961="","Unknown",IF(E7961&lt;10,"&lt;10",IF(E7961&lt;20,"10-&lt;20",IF(E7961&lt;25,"20-&lt;25",IF(E7961&lt;35,"25-&lt;35","35+")))))</x:f>
        <x:v>25-&lt;35</x:v>
      </x:c>
    </x:row>
    <x:row r="7962">
      <x:c r="A7962" t="str">
        <x:v>SYN0007961</x:v>
      </x:c>
      <x:c r="B7962" s="12" t="n">
        <x:v>41905</x:v>
      </x:c>
      <x:c r="C7962" s="18" t="n">
        <x:v>13402</x:v>
      </x:c>
      <x:c r="D7962" s="18" t="n">
        <x:v>43011</x:v>
      </x:c>
      <x:c r="E7962" s="18" t="n">
        <x:v>28.88</x:v>
      </x:c>
      <x:c r="F7962" s="18" t="n">
        <x:v>14.1</x:v>
      </x:c>
      <x:c r="G7962" t="n">
        <x:v>36</x:v>
      </x:c>
      <x:c r="H7962" t="str">
        <x:v>C</x:v>
      </x:c>
      <x:c r="I7962" t="str">
        <x:v>10+ years</x:v>
      </x:c>
      <x:c r="J7962" t="str">
        <x:v>MORTGAGE</x:v>
      </x:c>
      <x:c r="K7962" t="str">
        <x:v>credit_card</x:v>
      </x:c>
      <x:c r="L7962" t="n">
        <x:v>0</x:v>
      </x:c>
      <x:c r="M7962" t="n">
        <x:v>1</x:v>
      </x:c>
      <x:c r="N7962" t="str">
        <x:v>Charged Off</x:v>
      </x:c>
      <x:c r="O7962" t="str">
        <x:f>IF(D7962="","Unknown",IF(D7962&lt;25000,"&lt;$25k",IF(D7962&lt;50000,"$25k-$50k",IF(D7962&lt;75000,"$50k-$75k",IF(D7962&lt;100000,"$75k-$100k","$100k+")))))</x:f>
        <x:v>$25k-$50k</x:v>
      </x:c>
      <x:c r="P7962" t="str">
        <x:f>IF(E7962="","Unknown",IF(E7962&lt;10,"&lt;10",IF(E7962&lt;20,"10-&lt;20",IF(E7962&lt;25,"20-&lt;25",IF(E7962&lt;35,"25-&lt;35","35+")))))</x:f>
        <x:v>25-&lt;35</x:v>
      </x:c>
    </x:row>
    <x:row r="7963">
      <x:c r="A7963" t="str">
        <x:v>SYN0007962</x:v>
      </x:c>
      <x:c r="B7963" s="12" t="n">
        <x:v>42115</x:v>
      </x:c>
      <x:c r="C7963" s="18" t="n">
        <x:v>14818</x:v>
      </x:c>
      <x:c r="D7963" s="18" t="n">
        <x:v>52331</x:v>
      </x:c>
      <x:c r="E7963" s="18" t="n">
        <x:v>17.23</x:v>
      </x:c>
      <x:c r="F7963" s="18" t="n">
        <x:v>7.68</x:v>
      </x:c>
      <x:c r="G7963" t="n">
        <x:v>36</x:v>
      </x:c>
      <x:c r="H7963" t="str">
        <x:v>B</x:v>
      </x:c>
      <x:c r="I7963" t="str">
        <x:v>10+ years</x:v>
      </x:c>
      <x:c r="J7963" t="str">
        <x:v>MORTGAGE</x:v>
      </x:c>
      <x:c r="K7963" t="str">
        <x:v>major_purchase</x:v>
      </x:c>
      <x:c r="L7963" t="n">
        <x:v>0</x:v>
      </x:c>
      <x:c r="M7963" t="n">
        <x:v>0</x:v>
      </x:c>
      <x:c r="N7963" t="str">
        <x:v>Fully Paid</x:v>
      </x:c>
      <x:c r="O7963" t="str">
        <x:f>IF(D7963="","Unknown",IF(D7963&lt;25000,"&lt;$25k",IF(D7963&lt;50000,"$25k-$50k",IF(D7963&lt;75000,"$50k-$75k",IF(D7963&lt;100000,"$75k-$100k","$100k+")))))</x:f>
        <x:v>$50k-$75k</x:v>
      </x:c>
      <x:c r="P7963" t="str">
        <x:f>IF(E7963="","Unknown",IF(E7963&lt;10,"&lt;10",IF(E7963&lt;20,"10-&lt;20",IF(E7963&lt;25,"20-&lt;25",IF(E7963&lt;35,"25-&lt;35","35+")))))</x:f>
        <x:v>10-&lt;20</x:v>
      </x:c>
    </x:row>
    <x:row r="7964">
      <x:c r="A7964" t="str">
        <x:v>SYN0007963</x:v>
      </x:c>
      <x:c r="B7964" s="12" t="n">
        <x:v>42505</x:v>
      </x:c>
      <x:c r="C7964" s="18" t="n">
        <x:v>5006</x:v>
      </x:c>
      <x:c r="D7964" s="18" t="n">
        <x:v>250000</x:v>
      </x:c>
      <x:c r="E7964" s="18" t="n">
        <x:v>29.6</x:v>
      </x:c>
      <x:c r="F7964" s="18" t="n">
        <x:v>24.34</x:v>
      </x:c>
      <x:c r="G7964" t="n">
        <x:v>60</x:v>
      </x:c>
      <x:c r="H7964" t="str">
        <x:v>G</x:v>
      </x:c>
      <x:c r="I7964" t="str">
        <x:v>1-3 years</x:v>
      </x:c>
      <x:c r="J7964" t="str">
        <x:v>RENT</x:v>
      </x:c>
      <x:c r="K7964" t="str">
        <x:v>debt_consolidation</x:v>
      </x:c>
      <x:c r="L7964" t="n">
        <x:v>0</x:v>
      </x:c>
      <x:c r="M7964" t="n">
        <x:v>1</x:v>
      </x:c>
      <x:c r="N7964" t="str">
        <x:v>Charged Off</x:v>
      </x:c>
      <x:c r="O7964" t="str">
        <x:f>IF(D7964="","Unknown",IF(D7964&lt;25000,"&lt;$25k",IF(D7964&lt;50000,"$25k-$50k",IF(D7964&lt;75000,"$50k-$75k",IF(D7964&lt;100000,"$75k-$100k","$100k+")))))</x:f>
        <x:v>$100k+</x:v>
      </x:c>
      <x:c r="P7964" t="str">
        <x:f>IF(E7964="","Unknown",IF(E7964&lt;10,"&lt;10",IF(E7964&lt;20,"10-&lt;20",IF(E7964&lt;25,"20-&lt;25",IF(E7964&lt;35,"25-&lt;35","35+")))))</x:f>
        <x:v>25-&lt;35</x:v>
      </x:c>
    </x:row>
    <x:row r="7965">
      <x:c r="A7965" t="str">
        <x:v>SYN0007964</x:v>
      </x:c>
      <x:c r="B7965" s="12" t="n">
        <x:v>43345</x:v>
      </x:c>
      <x:c r="C7965" s="18" t="n">
        <x:v>17121</x:v>
      </x:c>
      <x:c r="D7965" s="18" t="n">
        <x:v>85437</x:v>
      </x:c>
      <x:c r="E7965" s="18" t="n">
        <x:v>5.13</x:v>
      </x:c>
      <x:c r="F7965" s="18" t="n">
        <x:v>13.66</x:v>
      </x:c>
      <x:c r="G7965" t="n">
        <x:v>36</x:v>
      </x:c>
      <x:c r="H7965" t="str">
        <x:v>C</x:v>
      </x:c>
      <x:c r="I7965" t="str">
        <x:v>1-3 years</x:v>
      </x:c>
      <x:c r="J7965" t="str">
        <x:v>MORTGAGE</x:v>
      </x:c>
      <x:c r="K7965" t="str">
        <x:v>credit_card</x:v>
      </x:c>
      <x:c r="L7965" t="n">
        <x:v>0</x:v>
      </x:c>
      <x:c r="M7965" t="n">
        <x:v>0</x:v>
      </x:c>
      <x:c r="N7965" t="str">
        <x:v>Fully Paid</x:v>
      </x:c>
      <x:c r="O7965" t="str">
        <x:f>IF(D7965="","Unknown",IF(D7965&lt;25000,"&lt;$25k",IF(D7965&lt;50000,"$25k-$50k",IF(D7965&lt;75000,"$50k-$75k",IF(D7965&lt;100000,"$75k-$100k","$100k+")))))</x:f>
        <x:v>$75k-$100k</x:v>
      </x:c>
      <x:c r="P7965" t="str">
        <x:f>IF(E7965="","Unknown",IF(E7965&lt;10,"&lt;10",IF(E7965&lt;20,"10-&lt;20",IF(E7965&lt;25,"20-&lt;25",IF(E7965&lt;35,"25-&lt;35","35+")))))</x:f>
        <x:v>&lt;10</x:v>
      </x:c>
    </x:row>
    <x:row r="7966">
      <x:c r="A7966" t="str">
        <x:v>SYN0007965</x:v>
      </x:c>
      <x:c r="B7966" s="12" t="n">
        <x:v>42835</x:v>
      </x:c>
      <x:c r="C7966" s="18" t="n">
        <x:v>12640</x:v>
      </x:c>
      <x:c r="D7966" s="18" t="n">
        <x:v>41419</x:v>
      </x:c>
      <x:c r="E7966" s="18" t="n">
        <x:v>5.15</x:v>
      </x:c>
      <x:c r="F7966" s="18" t="n">
        <x:v>10.86</x:v>
      </x:c>
      <x:c r="G7966" t="n">
        <x:v>36</x:v>
      </x:c>
      <x:c r="H7966" t="str">
        <x:v>C</x:v>
      </x:c>
      <x:c r="I7966" t="str">
        <x:v>4-6 years</x:v>
      </x:c>
      <x:c r="J7966" t="str">
        <x:v>MORTGAGE</x:v>
      </x:c>
      <x:c r="K7966" t="str">
        <x:v>credit_card</x:v>
      </x:c>
      <x:c r="L7966" t="n">
        <x:v>0</x:v>
      </x:c>
      <x:c r="M7966" t="n">
        <x:v>0</x:v>
      </x:c>
      <x:c r="N7966" t="str">
        <x:v>Fully Paid</x:v>
      </x:c>
      <x:c r="O7966" t="str">
        <x:f>IF(D7966="","Unknown",IF(D7966&lt;25000,"&lt;$25k",IF(D7966&lt;50000,"$25k-$50k",IF(D7966&lt;75000,"$50k-$75k",IF(D7966&lt;100000,"$75k-$100k","$100k+")))))</x:f>
        <x:v>$25k-$50k</x:v>
      </x:c>
      <x:c r="P7966" t="str">
        <x:f>IF(E7966="","Unknown",IF(E7966&lt;10,"&lt;10",IF(E7966&lt;20,"10-&lt;20",IF(E7966&lt;25,"20-&lt;25",IF(E7966&lt;35,"25-&lt;35","35+")))))</x:f>
        <x:v>&lt;10</x:v>
      </x:c>
    </x:row>
    <x:row r="7967">
      <x:c r="A7967" t="str">
        <x:v>SYN0007966</x:v>
      </x:c>
      <x:c r="B7967" s="12" t="n">
        <x:v>43075</x:v>
      </x:c>
      <x:c r="C7967" s="18" t="n">
        <x:v>27689</x:v>
      </x:c>
      <x:c r="D7967" s="18" t="n">
        <x:v>68357</x:v>
      </x:c>
      <x:c r="E7967" s="18" t="n">
        <x:v>25.86</x:v>
      </x:c>
      <x:c r="F7967" s="18" t="n">
        <x:v>8.09</x:v>
      </x:c>
      <x:c r="G7967" t="n">
        <x:v>36</x:v>
      </x:c>
      <x:c r="H7967" t="str">
        <x:v>B</x:v>
      </x:c>
      <x:c r="I7967" t="str">
        <x:v>10+ years</x:v>
      </x:c>
      <x:c r="J7967" t="str">
        <x:v>RENT</x:v>
      </x:c>
      <x:c r="K7967" t="str">
        <x:v>other</x:v>
      </x:c>
      <x:c r="L7967" t="n">
        <x:v>0</x:v>
      </x:c>
      <x:c r="M7967" t="n">
        <x:v>0</x:v>
      </x:c>
      <x:c r="N7967" t="str">
        <x:v>Fully Paid</x:v>
      </x:c>
      <x:c r="O7967" t="str">
        <x:f>IF(D7967="","Unknown",IF(D7967&lt;25000,"&lt;$25k",IF(D7967&lt;50000,"$25k-$50k",IF(D7967&lt;75000,"$50k-$75k",IF(D7967&lt;100000,"$75k-$100k","$100k+")))))</x:f>
        <x:v>$50k-$75k</x:v>
      </x:c>
      <x:c r="P7967" t="str">
        <x:f>IF(E7967="","Unknown",IF(E7967&lt;10,"&lt;10",IF(E7967&lt;20,"10-&lt;20",IF(E7967&lt;25,"20-&lt;25",IF(E7967&lt;35,"25-&lt;35","35+")))))</x:f>
        <x:v>25-&lt;35</x:v>
      </x:c>
    </x:row>
    <x:row r="7968">
      <x:c r="A7968" t="str">
        <x:v>SYN0007967</x:v>
      </x:c>
      <x:c r="B7968" s="12" t="n">
        <x:v>43135</x:v>
      </x:c>
      <x:c r="C7968" s="18" t="n">
        <x:v>11104</x:v>
      </x:c>
      <x:c r="D7968" s="18" t="n">
        <x:v>187093</x:v>
      </x:c>
      <x:c r="E7968" s="18" t="n">
        <x:v>3.04</x:v>
      </x:c>
      <x:c r="F7968" s="18" t="n">
        <x:v>10.11</x:v>
      </x:c>
      <x:c r="G7968" t="n">
        <x:v>60</x:v>
      </x:c>
      <x:c r="H7968" t="str">
        <x:v>A</x:v>
      </x:c>
      <x:c r="I7968" t="str">
        <x:v>4-6 years</x:v>
      </x:c>
      <x:c r="J7968" t="str">
        <x:v>MORTGAGE</x:v>
      </x:c>
      <x:c r="K7968" t="str">
        <x:v>debt_consolidation</x:v>
      </x:c>
      <x:c r="L7968" t="n">
        <x:v>0</x:v>
      </x:c>
      <x:c r="M7968" t="n">
        <x:v>0</x:v>
      </x:c>
      <x:c r="N7968" t="str">
        <x:v>Fully Paid</x:v>
      </x:c>
      <x:c r="O7968" t="str">
        <x:f>IF(D7968="","Unknown",IF(D7968&lt;25000,"&lt;$25k",IF(D7968&lt;50000,"$25k-$50k",IF(D7968&lt;75000,"$50k-$75k",IF(D7968&lt;100000,"$75k-$100k","$100k+")))))</x:f>
        <x:v>$100k+</x:v>
      </x:c>
      <x:c r="P7968" t="str">
        <x:f>IF(E7968="","Unknown",IF(E7968&lt;10,"&lt;10",IF(E7968&lt;20,"10-&lt;20",IF(E7968&lt;25,"20-&lt;25",IF(E7968&lt;35,"25-&lt;35","35+")))))</x:f>
        <x:v>&lt;10</x:v>
      </x:c>
    </x:row>
    <x:row r="7969">
      <x:c r="A7969" t="str">
        <x:v>SYN0007968</x:v>
      </x:c>
      <x:c r="B7969" s="12" t="n">
        <x:v>42265</x:v>
      </x:c>
      <x:c r="C7969" s="18" t="n">
        <x:v>14593</x:v>
      </x:c>
      <x:c r="D7969" s="18" t="n">
        <x:v>49551</x:v>
      </x:c>
      <x:c r="E7969" s="18" t="n">
        <x:v>20.4</x:v>
      </x:c>
      <x:c r="F7969" s="18" t="n">
        <x:v>6.77</x:v>
      </x:c>
      <x:c r="G7969" t="n">
        <x:v>36</x:v>
      </x:c>
      <x:c r="H7969" t="str">
        <x:v>B</x:v>
      </x:c>
      <x:c r="I7969" t="str">
        <x:v>10+ years</x:v>
      </x:c>
      <x:c r="J7969" t="str">
        <x:v>MORTGAGE</x:v>
      </x:c>
      <x:c r="K7969" t="str">
        <x:v>debt_consolidation</x:v>
      </x:c>
      <x:c r="L7969" t="n">
        <x:v>0</x:v>
      </x:c>
      <x:c r="M7969" t="n">
        <x:v>0</x:v>
      </x:c>
      <x:c r="N7969" t="str">
        <x:v>Fully Paid</x:v>
      </x:c>
      <x:c r="O7969" t="str">
        <x:f>IF(D7969="","Unknown",IF(D7969&lt;25000,"&lt;$25k",IF(D7969&lt;50000,"$25k-$50k",IF(D7969&lt;75000,"$50k-$75k",IF(D7969&lt;100000,"$75k-$100k","$100k+")))))</x:f>
        <x:v>$25k-$50k</x:v>
      </x:c>
      <x:c r="P7969" t="str">
        <x:f>IF(E7969="","Unknown",IF(E7969&lt;10,"&lt;10",IF(E7969&lt;20,"10-&lt;20",IF(E7969&lt;25,"20-&lt;25",IF(E7969&lt;35,"25-&lt;35","35+")))))</x:f>
        <x:v>20-&lt;25</x:v>
      </x:c>
    </x:row>
    <x:row r="7970">
      <x:c r="A7970" t="str">
        <x:v>SYN0007969</x:v>
      </x:c>
      <x:c r="B7970" s="12" t="n">
        <x:v>41875</x:v>
      </x:c>
      <x:c r="C7970" s="18" t="n">
        <x:v>24395</x:v>
      </x:c>
      <x:c r="D7970" s="18" t="n">
        <x:v>44105</x:v>
      </x:c>
      <x:c r="E7970" s="18" t="n">
        <x:v>29.33</x:v>
      </x:c>
      <x:c r="F7970" s="18" t="n">
        <x:v>12.38</x:v>
      </x:c>
      <x:c r="G7970" t="n">
        <x:v>36</x:v>
      </x:c>
      <x:c r="H7970" t="str">
        <x:v>D</x:v>
      </x:c>
      <x:c r="I7970" t="str">
        <x:v>10+ years</x:v>
      </x:c>
      <x:c r="J7970" t="str">
        <x:v>MORTGAGE</x:v>
      </x:c>
      <x:c r="K7970" t="str">
        <x:v>credit_card</x:v>
      </x:c>
      <x:c r="L7970" t="n">
        <x:v>0</x:v>
      </x:c>
      <x:c r="M7970" t="n">
        <x:v>0</x:v>
      </x:c>
      <x:c r="N7970" t="str">
        <x:v>Fully Paid</x:v>
      </x:c>
      <x:c r="O7970" t="str">
        <x:f>IF(D7970="","Unknown",IF(D7970&lt;25000,"&lt;$25k",IF(D7970&lt;50000,"$25k-$50k",IF(D7970&lt;75000,"$50k-$75k",IF(D7970&lt;100000,"$75k-$100k","$100k+")))))</x:f>
        <x:v>$25k-$50k</x:v>
      </x:c>
      <x:c r="P7970" t="str">
        <x:f>IF(E7970="","Unknown",IF(E7970&lt;10,"&lt;10",IF(E7970&lt;20,"10-&lt;20",IF(E7970&lt;25,"20-&lt;25",IF(E7970&lt;35,"25-&lt;35","35+")))))</x:f>
        <x:v>25-&lt;35</x:v>
      </x:c>
    </x:row>
    <x:row r="7971">
      <x:c r="A7971" t="str">
        <x:v>SYN0007970</x:v>
      </x:c>
      <x:c r="B7971" s="12" t="n">
        <x:v>42385</x:v>
      </x:c>
      <x:c r="C7971" s="18" t="n">
        <x:v>10363</x:v>
      </x:c>
      <x:c r="D7971" s="18" t="n">
        <x:v>81855</x:v>
      </x:c>
      <x:c r="E7971" s="18" t="n">
        <x:v>17.56</x:v>
      </x:c>
      <x:c r="F7971" s="18" t="n">
        <x:v>9.03</x:v>
      </x:c>
      <x:c r="G7971" t="n">
        <x:v>36</x:v>
      </x:c>
      <x:c r="H7971" t="str">
        <x:v>A</x:v>
      </x:c>
      <x:c r="I7971" t="str">
        <x:v>4-6 years</x:v>
      </x:c>
      <x:c r="J7971" t="str">
        <x:v>RENT</x:v>
      </x:c>
      <x:c r="K7971" t="str">
        <x:v>debt_consolidation</x:v>
      </x:c>
      <x:c r="L7971" t="n">
        <x:v>0</x:v>
      </x:c>
      <x:c r="M7971" t="n">
        <x:v>0</x:v>
      </x:c>
      <x:c r="N7971" t="str">
        <x:v>Fully Paid</x:v>
      </x:c>
      <x:c r="O7971" t="str">
        <x:f>IF(D7971="","Unknown",IF(D7971&lt;25000,"&lt;$25k",IF(D7971&lt;50000,"$25k-$50k",IF(D7971&lt;75000,"$50k-$75k",IF(D7971&lt;100000,"$75k-$100k","$100k+")))))</x:f>
        <x:v>$75k-$100k</x:v>
      </x:c>
      <x:c r="P7971" t="str">
        <x:f>IF(E7971="","Unknown",IF(E7971&lt;10,"&lt;10",IF(E7971&lt;20,"10-&lt;20",IF(E7971&lt;25,"20-&lt;25",IF(E7971&lt;35,"25-&lt;35","35+")))))</x:f>
        <x:v>10-&lt;20</x:v>
      </x:c>
    </x:row>
    <x:row r="7972">
      <x:c r="A7972" t="str">
        <x:v>SYN0007971</x:v>
      </x:c>
      <x:c r="B7972" s="12" t="n">
        <x:v>42385</x:v>
      </x:c>
      <x:c r="C7972" s="18" t="n">
        <x:v>6455</x:v>
      </x:c>
      <x:c r="D7972" s="18" t="n">
        <x:v>69601</x:v>
      </x:c>
      <x:c r="E7972" s="18" t="n">
        <x:v>15.33</x:v>
      </x:c>
      <x:c r="F7972" s="18" t="n">
        <x:v>10.71</x:v>
      </x:c>
      <x:c r="G7972" t="n">
        <x:v>36</x:v>
      </x:c>
      <x:c r="H7972" t="str">
        <x:v>C</x:v>
      </x:c>
      <x:c r="I7972" t="str">
        <x:v>10+ years</x:v>
      </x:c>
      <x:c r="J7972" t="str">
        <x:v>RENT</x:v>
      </x:c>
      <x:c r="K7972" t="str">
        <x:v>debt_consolidation</x:v>
      </x:c>
      <x:c r="L7972" t="n">
        <x:v>0</x:v>
      </x:c>
      <x:c r="M7972" t="n">
        <x:v>0</x:v>
      </x:c>
      <x:c r="N7972" t="str">
        <x:v>Fully Paid</x:v>
      </x:c>
      <x:c r="O7972" t="str">
        <x:f>IF(D7972="","Unknown",IF(D7972&lt;25000,"&lt;$25k",IF(D7972&lt;50000,"$25k-$50k",IF(D7972&lt;75000,"$50k-$75k",IF(D7972&lt;100000,"$75k-$100k","$100k+")))))</x:f>
        <x:v>$50k-$75k</x:v>
      </x:c>
      <x:c r="P7972" t="str">
        <x:f>IF(E7972="","Unknown",IF(E7972&lt;10,"&lt;10",IF(E7972&lt;20,"10-&lt;20",IF(E7972&lt;25,"20-&lt;25",IF(E7972&lt;35,"25-&lt;35","35+")))))</x:f>
        <x:v>10-&lt;20</x:v>
      </x:c>
    </x:row>
    <x:row r="7973">
      <x:c r="A7973" t="str">
        <x:v>SYN0007972</x:v>
      </x:c>
      <x:c r="B7973" s="12" t="n">
        <x:v>41485</x:v>
      </x:c>
      <x:c r="C7973" s="18" t="n">
        <x:v>22959</x:v>
      </x:c>
      <x:c r="D7973" s="18" t="n">
        <x:v>99874</x:v>
      </x:c>
      <x:c r="E7973" s="18" t="n">
        <x:v>0</x:v>
      </x:c>
      <x:c r="F7973" s="18" t="n">
        <x:v>8.61</x:v>
      </x:c>
      <x:c r="G7973" t="n">
        <x:v>36</x:v>
      </x:c>
      <x:c r="H7973" t="str">
        <x:v>B</x:v>
      </x:c>
      <x:c r="I7973" t="str">
        <x:v>1-3 years</x:v>
      </x:c>
      <x:c r="J7973" t="str">
        <x:v>MORTGAGE</x:v>
      </x:c>
      <x:c r="K7973" t="str">
        <x:v>debt_consolidation</x:v>
      </x:c>
      <x:c r="L7973" t="n">
        <x:v>0</x:v>
      </x:c>
      <x:c r="M7973" t="n">
        <x:v>1</x:v>
      </x:c>
      <x:c r="N7973" t="str">
        <x:v>Charged Off</x:v>
      </x:c>
      <x:c r="O7973" t="str">
        <x:f>IF(D7973="","Unknown",IF(D7973&lt;25000,"&lt;$25k",IF(D7973&lt;50000,"$25k-$50k",IF(D7973&lt;75000,"$50k-$75k",IF(D7973&lt;100000,"$75k-$100k","$100k+")))))</x:f>
        <x:v>$75k-$100k</x:v>
      </x:c>
      <x:c r="P7973" t="str">
        <x:f>IF(E7973="","Unknown",IF(E7973&lt;10,"&lt;10",IF(E7973&lt;20,"10-&lt;20",IF(E7973&lt;25,"20-&lt;25",IF(E7973&lt;35,"25-&lt;35","35+")))))</x:f>
        <x:v>Unknown</x:v>
      </x:c>
    </x:row>
    <x:row r="7974">
      <x:c r="A7974" t="str">
        <x:v>SYN0007973</x:v>
      </x:c>
      <x:c r="B7974" s="12" t="n">
        <x:v>41995</x:v>
      </x:c>
      <x:c r="C7974" s="18" t="n">
        <x:v>17109</x:v>
      </x:c>
      <x:c r="D7974" s="18" t="n">
        <x:v>56477</x:v>
      </x:c>
      <x:c r="E7974" s="18" t="n">
        <x:v>27.33</x:v>
      </x:c>
      <x:c r="F7974" s="18" t="n">
        <x:v>28.72</x:v>
      </x:c>
      <x:c r="G7974" t="n">
        <x:v>36</x:v>
      </x:c>
      <x:c r="H7974" t="str">
        <x:v>G</x:v>
      </x:c>
      <x:c r="I7974" t="str">
        <x:v>&lt;1 year</x:v>
      </x:c>
      <x:c r="J7974" t="str">
        <x:v>MORTGAGE</x:v>
      </x:c>
      <x:c r="K7974" t="str">
        <x:v>credit_card</x:v>
      </x:c>
      <x:c r="L7974" t="n">
        <x:v>2</x:v>
      </x:c>
      <x:c r="M7974" t="n">
        <x:v>0</x:v>
      </x:c>
      <x:c r="N7974" t="str">
        <x:v>Fully Paid</x:v>
      </x:c>
      <x:c r="O7974" t="str">
        <x:f>IF(D7974="","Unknown",IF(D7974&lt;25000,"&lt;$25k",IF(D7974&lt;50000,"$25k-$50k",IF(D7974&lt;75000,"$50k-$75k",IF(D7974&lt;100000,"$75k-$100k","$100k+")))))</x:f>
        <x:v>$50k-$75k</x:v>
      </x:c>
      <x:c r="P7974" t="str">
        <x:f>IF(E7974="","Unknown",IF(E7974&lt;10,"&lt;10",IF(E7974&lt;20,"10-&lt;20",IF(E7974&lt;25,"20-&lt;25",IF(E7974&lt;35,"25-&lt;35","35+")))))</x:f>
        <x:v>25-&lt;35</x:v>
      </x:c>
    </x:row>
    <x:row r="7975">
      <x:c r="A7975" t="str">
        <x:v>SYN0007974</x:v>
      </x:c>
      <x:c r="B7975" s="12" t="n">
        <x:v>43315</x:v>
      </x:c>
      <x:c r="C7975" s="18" t="n">
        <x:v>10557</x:v>
      </x:c>
      <x:c r="D7975" s="18" t="n">
        <x:v>57658</x:v>
      </x:c>
      <x:c r="E7975" s="18" t="n">
        <x:v>20.03</x:v>
      </x:c>
      <x:c r="F7975" s="18" t="n">
        <x:v>21.26</x:v>
      </x:c>
      <x:c r="G7975" t="n">
        <x:v>36</x:v>
      </x:c>
      <x:c r="H7975" t="str">
        <x:v>E</x:v>
      </x:c>
      <x:c r="I7975" t="str">
        <x:v>7-9 years</x:v>
      </x:c>
      <x:c r="J7975" t="str">
        <x:v>RENT</x:v>
      </x:c>
      <x:c r="K7975" t="str">
        <x:v>credit_card</x:v>
      </x:c>
      <x:c r="L7975" t="n">
        <x:v>0</x:v>
      </x:c>
      <x:c r="M7975" t="n">
        <x:v>0</x:v>
      </x:c>
      <x:c r="N7975" t="str">
        <x:v>Fully Paid</x:v>
      </x:c>
      <x:c r="O7975" t="str">
        <x:f>IF(D7975="","Unknown",IF(D7975&lt;25000,"&lt;$25k",IF(D7975&lt;50000,"$25k-$50k",IF(D7975&lt;75000,"$50k-$75k",IF(D7975&lt;100000,"$75k-$100k","$100k+")))))</x:f>
        <x:v>$50k-$75k</x:v>
      </x:c>
      <x:c r="P7975" t="str">
        <x:f>IF(E7975="","Unknown",IF(E7975&lt;10,"&lt;10",IF(E7975&lt;20,"10-&lt;20",IF(E7975&lt;25,"20-&lt;25",IF(E7975&lt;35,"25-&lt;35","35+")))))</x:f>
        <x:v>20-&lt;25</x:v>
      </x:c>
    </x:row>
    <x:row r="7976">
      <x:c r="A7976" t="str">
        <x:v>SYN0007975</x:v>
      </x:c>
      <x:c r="B7976" s="12" t="n">
        <x:v>42385</x:v>
      </x:c>
      <x:c r="C7976" s="18" t="n">
        <x:v>6484</x:v>
      </x:c>
      <x:c r="D7976" s="18" t="n">
        <x:v>123234</x:v>
      </x:c>
      <x:c r="E7976" s="18" t="n">
        <x:v>32.73</x:v>
      </x:c>
      <x:c r="F7976" s="18" t="n">
        <x:v>5.78</x:v>
      </x:c>
      <x:c r="G7976" t="n">
        <x:v>60</x:v>
      </x:c>
      <x:c r="H7976" t="str">
        <x:v>B</x:v>
      </x:c>
      <x:c r="I7976" t="str">
        <x:v>4-6 years</x:v>
      </x:c>
      <x:c r="J7976" t="str">
        <x:v>RENT</x:v>
      </x:c>
      <x:c r="K7976" t="str">
        <x:v>credit_card</x:v>
      </x:c>
      <x:c r="L7976" t="n">
        <x:v>3</x:v>
      </x:c>
      <x:c r="M7976" t="n">
        <x:v>0</x:v>
      </x:c>
      <x:c r="N7976" t="str">
        <x:v>Fully Paid</x:v>
      </x:c>
      <x:c r="O7976" t="str">
        <x:f>IF(D7976="","Unknown",IF(D7976&lt;25000,"&lt;$25k",IF(D7976&lt;50000,"$25k-$50k",IF(D7976&lt;75000,"$50k-$75k",IF(D7976&lt;100000,"$75k-$100k","$100k+")))))</x:f>
        <x:v>$100k+</x:v>
      </x:c>
      <x:c r="P7976" t="str">
        <x:f>IF(E7976="","Unknown",IF(E7976&lt;10,"&lt;10",IF(E7976&lt;20,"10-&lt;20",IF(E7976&lt;25,"20-&lt;25",IF(E7976&lt;35,"25-&lt;35","35+")))))</x:f>
        <x:v>25-&lt;35</x:v>
      </x:c>
    </x:row>
    <x:row r="7977">
      <x:c r="A7977" t="str">
        <x:v>SYN0007976</x:v>
      </x:c>
      <x:c r="B7977" s="12" t="n">
        <x:v>42085</x:v>
      </x:c>
      <x:c r="C7977" s="18" t="n">
        <x:v>11950</x:v>
      </x:c>
      <x:c r="D7977" s="18" t="n">
        <x:v>23730</x:v>
      </x:c>
      <x:c r="E7977" s="18" t="n">
        <x:v>16.47</x:v>
      </x:c>
      <x:c r="F7977" s="18" t="n">
        <x:v>16.23</x:v>
      </x:c>
      <x:c r="G7977" t="n">
        <x:v>60</x:v>
      </x:c>
      <x:c r="H7977" t="str">
        <x:v>D</x:v>
      </x:c>
      <x:c r="I7977" t="str">
        <x:v>4-6 years</x:v>
      </x:c>
      <x:c r="J7977" t="str">
        <x:v>RENT</x:v>
      </x:c>
      <x:c r="K7977" t="str">
        <x:v>debt_consolidation</x:v>
      </x:c>
      <x:c r="L7977" t="n">
        <x:v>2</x:v>
      </x:c>
      <x:c r="M7977" t="n">
        <x:v>0</x:v>
      </x:c>
      <x:c r="N7977" t="str">
        <x:v>Fully Paid</x:v>
      </x:c>
      <x:c r="O7977" t="str">
        <x:f>IF(D7977="","Unknown",IF(D7977&lt;25000,"&lt;$25k",IF(D7977&lt;50000,"$25k-$50k",IF(D7977&lt;75000,"$50k-$75k",IF(D7977&lt;100000,"$75k-$100k","$100k+")))))</x:f>
        <x:v>&lt;$25k</x:v>
      </x:c>
      <x:c r="P7977" t="str">
        <x:f>IF(E7977="","Unknown",IF(E7977&lt;10,"&lt;10",IF(E7977&lt;20,"10-&lt;20",IF(E7977&lt;25,"20-&lt;25",IF(E7977&lt;35,"25-&lt;35","35+")))))</x:f>
        <x:v>10-&lt;20</x:v>
      </x:c>
    </x:row>
    <x:row r="7978">
      <x:c r="A7978" t="str">
        <x:v>SYN0007977</x:v>
      </x:c>
      <x:c r="B7978" s="12" t="n">
        <x:v>42085</x:v>
      </x:c>
      <x:c r="C7978" s="18" t="n">
        <x:v>10069</x:v>
      </x:c>
      <x:c r="D7978" s="18" t="n">
        <x:v>46835</x:v>
      </x:c>
      <x:c r="E7978" s="18" t="n">
        <x:v>14.79</x:v>
      </x:c>
      <x:c r="F7978" s="18" t="n">
        <x:v>5.61</x:v>
      </x:c>
      <x:c r="G7978" t="n">
        <x:v>60</x:v>
      </x:c>
      <x:c r="H7978" t="str">
        <x:v>B</x:v>
      </x:c>
      <x:c r="I7978" t="str">
        <x:v>10+ years</x:v>
      </x:c>
      <x:c r="J7978" t="str">
        <x:v>RENT</x:v>
      </x:c>
      <x:c r="K7978" t="str">
        <x:v>other</x:v>
      </x:c>
      <x:c r="L7978" t="n">
        <x:v>0</x:v>
      </x:c>
      <x:c r="M7978" t="n">
        <x:v>0</x:v>
      </x:c>
      <x:c r="N7978" t="str">
        <x:v>Fully Paid</x:v>
      </x:c>
      <x:c r="O7978" t="str">
        <x:f>IF(D7978="","Unknown",IF(D7978&lt;25000,"&lt;$25k",IF(D7978&lt;50000,"$25k-$50k",IF(D7978&lt;75000,"$50k-$75k",IF(D7978&lt;100000,"$75k-$100k","$100k+")))))</x:f>
        <x:v>$25k-$50k</x:v>
      </x:c>
      <x:c r="P7978" t="str">
        <x:f>IF(E7978="","Unknown",IF(E7978&lt;10,"&lt;10",IF(E7978&lt;20,"10-&lt;20",IF(E7978&lt;25,"20-&lt;25",IF(E7978&lt;35,"25-&lt;35","35+")))))</x:f>
        <x:v>10-&lt;20</x:v>
      </x:c>
    </x:row>
    <x:row r="7979">
      <x:c r="A7979" t="str">
        <x:v>SYN0007978</x:v>
      </x:c>
      <x:c r="B7979" s="12" t="n">
        <x:v>43045</x:v>
      </x:c>
      <x:c r="C7979" s="18" t="n">
        <x:v>31671</x:v>
      </x:c>
      <x:c r="D7979" s="18" t="n">
        <x:v>41389</x:v>
      </x:c>
      <x:c r="E7979" s="18" t="n">
        <x:v>9.24</x:v>
      </x:c>
      <x:c r="F7979" s="18" t="n">
        <x:v>6.27</x:v>
      </x:c>
      <x:c r="G7979" t="n">
        <x:v>36</x:v>
      </x:c>
      <x:c r="H7979" t="str">
        <x:v>A</x:v>
      </x:c>
      <x:c r="I7979" t="str">
        <x:v>10+ years</x:v>
      </x:c>
      <x:c r="J7979" t="str">
        <x:v>MORTGAGE</x:v>
      </x:c>
      <x:c r="K7979" t="str">
        <x:v>debt_consolidation</x:v>
      </x:c>
      <x:c r="L7979" t="n">
        <x:v>1</x:v>
      </x:c>
      <x:c r="M7979" t="n">
        <x:v>0</x:v>
      </x:c>
      <x:c r="N7979" t="str">
        <x:v>Fully Paid</x:v>
      </x:c>
      <x:c r="O7979" t="str">
        <x:f>IF(D7979="","Unknown",IF(D7979&lt;25000,"&lt;$25k",IF(D7979&lt;50000,"$25k-$50k",IF(D7979&lt;75000,"$50k-$75k",IF(D7979&lt;100000,"$75k-$100k","$100k+")))))</x:f>
        <x:v>$25k-$50k</x:v>
      </x:c>
      <x:c r="P7979" t="str">
        <x:f>IF(E7979="","Unknown",IF(E7979&lt;10,"&lt;10",IF(E7979&lt;20,"10-&lt;20",IF(E7979&lt;25,"20-&lt;25",IF(E7979&lt;35,"25-&lt;35","35+")))))</x:f>
        <x:v>&lt;10</x:v>
      </x:c>
    </x:row>
    <x:row r="7980">
      <x:c r="A7980" t="str">
        <x:v>SYN0007979</x:v>
      </x:c>
      <x:c r="B7980" s="12" t="n">
        <x:v>42085</x:v>
      </x:c>
      <x:c r="C7980" s="18" t="n">
        <x:v>7572</x:v>
      </x:c>
      <x:c r="D7980" s="18" t="n">
        <x:v>30939</x:v>
      </x:c>
      <x:c r="E7980" s="18" t="n">
        <x:v>7.95</x:v>
      </x:c>
      <x:c r="F7980" s="18" t="n">
        <x:v>10.17</x:v>
      </x:c>
      <x:c r="G7980" t="n">
        <x:v>60</x:v>
      </x:c>
      <x:c r="H7980" t="str">
        <x:v>C</x:v>
      </x:c>
      <x:c r="I7980" t="str">
        <x:v>10+ years</x:v>
      </x:c>
      <x:c r="J7980" t="str">
        <x:v>MORTGAGE</x:v>
      </x:c>
      <x:c r="K7980" t="str">
        <x:v>debt_consolidation</x:v>
      </x:c>
      <x:c r="L7980" t="n">
        <x:v>0</x:v>
      </x:c>
      <x:c r="M7980" t="n">
        <x:v>0</x:v>
      </x:c>
      <x:c r="N7980" t="str">
        <x:v>Fully Paid</x:v>
      </x:c>
      <x:c r="O7980" t="str">
        <x:f>IF(D7980="","Unknown",IF(D7980&lt;25000,"&lt;$25k",IF(D7980&lt;50000,"$25k-$50k",IF(D7980&lt;75000,"$50k-$75k",IF(D7980&lt;100000,"$75k-$100k","$100k+")))))</x:f>
        <x:v>$25k-$50k</x:v>
      </x:c>
      <x:c r="P7980" t="str">
        <x:f>IF(E7980="","Unknown",IF(E7980&lt;10,"&lt;10",IF(E7980&lt;20,"10-&lt;20",IF(E7980&lt;25,"20-&lt;25",IF(E7980&lt;35,"25-&lt;35","35+")))))</x:f>
        <x:v>&lt;10</x:v>
      </x:c>
    </x:row>
    <x:row r="7981">
      <x:c r="A7981" t="str">
        <x:v>SYN0007980</x:v>
      </x:c>
      <x:c r="B7981" s="12" t="n">
        <x:v>42175</x:v>
      </x:c>
      <x:c r="C7981" s="18" t="n">
        <x:v>6685</x:v>
      </x:c>
      <x:c r="D7981" s="18" t="n">
        <x:v>36954</x:v>
      </x:c>
      <x:c r="E7981" s="18" t="n">
        <x:v>19.6</x:v>
      </x:c>
      <x:c r="F7981" s="18" t="n">
        <x:v>7.99</x:v>
      </x:c>
      <x:c r="G7981" t="n">
        <x:v>36</x:v>
      </x:c>
      <x:c r="H7981" t="str">
        <x:v>B</x:v>
      </x:c>
      <x:c r="I7981" t="str">
        <x:v>4-6 years</x:v>
      </x:c>
      <x:c r="J7981" t="str">
        <x:v>MORTGAGE</x:v>
      </x:c>
      <x:c r="K7981" t="str">
        <x:v>credit_card</x:v>
      </x:c>
      <x:c r="L7981" t="n">
        <x:v>0</x:v>
      </x:c>
      <x:c r="M7981" t="n">
        <x:v>0</x:v>
      </x:c>
      <x:c r="N7981" t="str">
        <x:v>Fully Paid</x:v>
      </x:c>
      <x:c r="O7981" t="str">
        <x:f>IF(D7981="","Unknown",IF(D7981&lt;25000,"&lt;$25k",IF(D7981&lt;50000,"$25k-$50k",IF(D7981&lt;75000,"$50k-$75k",IF(D7981&lt;100000,"$75k-$100k","$100k+")))))</x:f>
        <x:v>$25k-$50k</x:v>
      </x:c>
      <x:c r="P7981" t="str">
        <x:f>IF(E7981="","Unknown",IF(E7981&lt;10,"&lt;10",IF(E7981&lt;20,"10-&lt;20",IF(E7981&lt;25,"20-&lt;25",IF(E7981&lt;35,"25-&lt;35","35+")))))</x:f>
        <x:v>10-&lt;20</x:v>
      </x:c>
    </x:row>
    <x:row r="7982">
      <x:c r="A7982" t="str">
        <x:v>SYN0007981</x:v>
      </x:c>
      <x:c r="B7982" s="12" t="n">
        <x:v>41485</x:v>
      </x:c>
      <x:c r="C7982" s="18" t="n">
        <x:v>13504</x:v>
      </x:c>
      <x:c r="D7982" s="18" t="n">
        <x:v>52974</x:v>
      </x:c>
      <x:c r="E7982" s="18" t="n">
        <x:v>8.96</x:v>
      </x:c>
      <x:c r="F7982" s="18" t="n">
        <x:v>11.63</x:v>
      </x:c>
      <x:c r="G7982" t="n">
        <x:v>36</x:v>
      </x:c>
      <x:c r="H7982" t="str">
        <x:v>C</x:v>
      </x:c>
      <x:c r="I7982" t="str">
        <x:v>4-6 years</x:v>
      </x:c>
      <x:c r="J7982" t="str">
        <x:v>MORTGAGE</x:v>
      </x:c>
      <x:c r="K7982" t="str">
        <x:v>debt_consolidation</x:v>
      </x:c>
      <x:c r="L7982" t="n">
        <x:v>1</x:v>
      </x:c>
      <x:c r="M7982" t="n">
        <x:v>0</x:v>
      </x:c>
      <x:c r="N7982" t="str">
        <x:v>Fully Paid</x:v>
      </x:c>
      <x:c r="O7982" t="str">
        <x:f>IF(D7982="","Unknown",IF(D7982&lt;25000,"&lt;$25k",IF(D7982&lt;50000,"$25k-$50k",IF(D7982&lt;75000,"$50k-$75k",IF(D7982&lt;100000,"$75k-$100k","$100k+")))))</x:f>
        <x:v>$50k-$75k</x:v>
      </x:c>
      <x:c r="P7982" t="str">
        <x:f>IF(E7982="","Unknown",IF(E7982&lt;10,"&lt;10",IF(E7982&lt;20,"10-&lt;20",IF(E7982&lt;25,"20-&lt;25",IF(E7982&lt;35,"25-&lt;35","35+")))))</x:f>
        <x:v>&lt;10</x:v>
      </x:c>
    </x:row>
    <x:row r="7983">
      <x:c r="A7983" t="str">
        <x:v>SYN0007982</x:v>
      </x:c>
      <x:c r="B7983" s="12" t="n">
        <x:v>42115</x:v>
      </x:c>
      <x:c r="C7983" s="18" t="n">
        <x:v>2934</x:v>
      </x:c>
      <x:c r="D7983" s="18" t="n">
        <x:v>76827</x:v>
      </x:c>
      <x:c r="E7983" s="18" t="n">
        <x:v>25.07</x:v>
      </x:c>
      <x:c r="F7983" s="18" t="n">
        <x:v>10.71</x:v>
      </x:c>
      <x:c r="G7983" t="n">
        <x:v>60</x:v>
      </x:c>
      <x:c r="H7983" t="str">
        <x:v>C</x:v>
      </x:c>
      <x:c r="I7983" t="str">
        <x:v>7-9 years</x:v>
      </x:c>
      <x:c r="J7983" t="str">
        <x:v>MORTGAGE</x:v>
      </x:c>
      <x:c r="K7983" t="str">
        <x:v>debt_consolidation</x:v>
      </x:c>
      <x:c r="L7983" t="n">
        <x:v>0</x:v>
      </x:c>
      <x:c r="M7983" t="n">
        <x:v>1</x:v>
      </x:c>
      <x:c r="N7983" t="str">
        <x:v>Charged Off</x:v>
      </x:c>
      <x:c r="O7983" t="str">
        <x:f>IF(D7983="","Unknown",IF(D7983&lt;25000,"&lt;$25k",IF(D7983&lt;50000,"$25k-$50k",IF(D7983&lt;75000,"$50k-$75k",IF(D7983&lt;100000,"$75k-$100k","$100k+")))))</x:f>
        <x:v>$75k-$100k</x:v>
      </x:c>
      <x:c r="P7983" t="str">
        <x:f>IF(E7983="","Unknown",IF(E7983&lt;10,"&lt;10",IF(E7983&lt;20,"10-&lt;20",IF(E7983&lt;25,"20-&lt;25",IF(E7983&lt;35,"25-&lt;35","35+")))))</x:f>
        <x:v>25-&lt;35</x:v>
      </x:c>
    </x:row>
    <x:row r="7984">
      <x:c r="A7984" t="str">
        <x:v>SYN0007983</x:v>
      </x:c>
      <x:c r="B7984" s="12" t="n">
        <x:v>41485</x:v>
      </x:c>
      <x:c r="C7984" s="18" t="n">
        <x:v>12252</x:v>
      </x:c>
      <x:c r="D7984" s="18" t="n">
        <x:v>72044</x:v>
      </x:c>
      <x:c r="E7984" s="18" t="n">
        <x:v>25.51</x:v>
      </x:c>
      <x:c r="F7984" s="18" t="n">
        <x:v>13.29</x:v>
      </x:c>
      <x:c r="G7984" t="n">
        <x:v>60</x:v>
      </x:c>
      <x:c r="H7984" t="str">
        <x:v>D</x:v>
      </x:c>
      <x:c r="I7984" t="str">
        <x:v>4-6 years</x:v>
      </x:c>
      <x:c r="J7984" t="str">
        <x:v>MORTGAGE</x:v>
      </x:c>
      <x:c r="K7984" t="str">
        <x:v>major_purchase</x:v>
      </x:c>
      <x:c r="L7984" t="n">
        <x:v>0</x:v>
      </x:c>
      <x:c r="M7984" t="n">
        <x:v>1</x:v>
      </x:c>
      <x:c r="N7984" t="str">
        <x:v>Charged Off</x:v>
      </x:c>
      <x:c r="O7984" t="str">
        <x:f>IF(D7984="","Unknown",IF(D7984&lt;25000,"&lt;$25k",IF(D7984&lt;50000,"$25k-$50k",IF(D7984&lt;75000,"$50k-$75k",IF(D7984&lt;100000,"$75k-$100k","$100k+")))))</x:f>
        <x:v>$50k-$75k</x:v>
      </x:c>
      <x:c r="P7984" t="str">
        <x:f>IF(E7984="","Unknown",IF(E7984&lt;10,"&lt;10",IF(E7984&lt;20,"10-&lt;20",IF(E7984&lt;25,"20-&lt;25",IF(E7984&lt;35,"25-&lt;35","35+")))))</x:f>
        <x:v>25-&lt;35</x:v>
      </x:c>
    </x:row>
    <x:row r="7985">
      <x:c r="A7985" t="str">
        <x:v>SYN0007984</x:v>
      </x:c>
      <x:c r="B7985" s="12" t="n">
        <x:v>43405</x:v>
      </x:c>
      <x:c r="C7985" s="18" t="n">
        <x:v>15468</x:v>
      </x:c>
      <x:c r="D7985" s="18" t="n">
        <x:v>108193</x:v>
      </x:c>
      <x:c r="E7985" s="18" t="n">
        <x:v>15.8</x:v>
      </x:c>
      <x:c r="F7985" s="18" t="n">
        <x:v>8.65</x:v>
      </x:c>
      <x:c r="G7985" t="n">
        <x:v>36</x:v>
      </x:c>
      <x:c r="H7985" t="str">
        <x:v>A</x:v>
      </x:c>
      <x:c r="I7985" t="str">
        <x:v>7-9 years</x:v>
      </x:c>
      <x:c r="J7985" t="str">
        <x:v>RENT</x:v>
      </x:c>
      <x:c r="K7985" t="str">
        <x:v>home_improvement</x:v>
      </x:c>
      <x:c r="L7985" t="n">
        <x:v>0</x:v>
      </x:c>
      <x:c r="M7985" t="n">
        <x:v>0</x:v>
      </x:c>
      <x:c r="N7985" t="str">
        <x:v>Fully Paid</x:v>
      </x:c>
      <x:c r="O7985" t="str">
        <x:f>IF(D7985="","Unknown",IF(D7985&lt;25000,"&lt;$25k",IF(D7985&lt;50000,"$25k-$50k",IF(D7985&lt;75000,"$50k-$75k",IF(D7985&lt;100000,"$75k-$100k","$100k+")))))</x:f>
        <x:v>$100k+</x:v>
      </x:c>
      <x:c r="P7985" t="str">
        <x:f>IF(E7985="","Unknown",IF(E7985&lt;10,"&lt;10",IF(E7985&lt;20,"10-&lt;20",IF(E7985&lt;25,"20-&lt;25",IF(E7985&lt;35,"25-&lt;35","35+")))))</x:f>
        <x:v>10-&lt;20</x:v>
      </x:c>
    </x:row>
    <x:row r="7986">
      <x:c r="A7986" t="str">
        <x:v>SYN0007985</x:v>
      </x:c>
      <x:c r="B7986" s="12" t="n">
        <x:v>41575</x:v>
      </x:c>
      <x:c r="C7986" s="18" t="n">
        <x:v>17865</x:v>
      </x:c>
      <x:c r="D7986" s="18" t="n">
        <x:v>43913</x:v>
      </x:c>
      <x:c r="E7986" s="18" t="n">
        <x:v>8.62</x:v>
      </x:c>
      <x:c r="F7986" s="18" t="n">
        <x:v>7.95</x:v>
      </x:c>
      <x:c r="G7986" t="n">
        <x:v>36</x:v>
      </x:c>
      <x:c r="H7986" t="str">
        <x:v>B</x:v>
      </x:c>
      <x:c r="I7986" t="str">
        <x:v>7-9 years</x:v>
      </x:c>
      <x:c r="J7986" t="str">
        <x:v>OTHER</x:v>
      </x:c>
      <x:c r="K7986" t="str">
        <x:v>medical</x:v>
      </x:c>
      <x:c r="L7986" t="n">
        <x:v>0</x:v>
      </x:c>
      <x:c r="M7986" t="n">
        <x:v>0</x:v>
      </x:c>
      <x:c r="N7986" t="str">
        <x:v>Fully Paid</x:v>
      </x:c>
      <x:c r="O7986" t="str">
        <x:f>IF(D7986="","Unknown",IF(D7986&lt;25000,"&lt;$25k",IF(D7986&lt;50000,"$25k-$50k",IF(D7986&lt;75000,"$50k-$75k",IF(D7986&lt;100000,"$75k-$100k","$100k+")))))</x:f>
        <x:v>$25k-$50k</x:v>
      </x:c>
      <x:c r="P7986" t="str">
        <x:f>IF(E7986="","Unknown",IF(E7986&lt;10,"&lt;10",IF(E7986&lt;20,"10-&lt;20",IF(E7986&lt;25,"20-&lt;25",IF(E7986&lt;35,"25-&lt;35","35+")))))</x:f>
        <x:v>&lt;10</x:v>
      </x:c>
    </x:row>
    <x:row r="7987">
      <x:c r="A7987" t="str">
        <x:v>SYN0007986</x:v>
      </x:c>
      <x:c r="B7987" s="12" t="n">
        <x:v>43315</x:v>
      </x:c>
      <x:c r="C7987" s="18" t="n">
        <x:v>19688</x:v>
      </x:c>
      <x:c r="D7987" s="18" t="n">
        <x:v>24564</x:v>
      </x:c>
      <x:c r="E7987" s="18" t="n">
        <x:v>29.12</x:v>
      </x:c>
      <x:c r="F7987" s="18" t="n">
        <x:v>19.52</x:v>
      </x:c>
      <x:c r="G7987" t="n">
        <x:v>36</x:v>
      </x:c>
      <x:c r="H7987" t="str">
        <x:v>E</x:v>
      </x:c>
      <x:c r="I7987" t="str">
        <x:v>4-6 years</x:v>
      </x:c>
      <x:c r="J7987" t="str">
        <x:v>RENT</x:v>
      </x:c>
      <x:c r="K7987" t="str">
        <x:v>medical</x:v>
      </x:c>
      <x:c r="L7987" t="n">
        <x:v>2</x:v>
      </x:c>
      <x:c r="M7987" t="n">
        <x:v>0</x:v>
      </x:c>
      <x:c r="N7987" t="str">
        <x:v>Fully Paid</x:v>
      </x:c>
      <x:c r="O7987" t="str">
        <x:f>IF(D7987="","Unknown",IF(D7987&lt;25000,"&lt;$25k",IF(D7987&lt;50000,"$25k-$50k",IF(D7987&lt;75000,"$50k-$75k",IF(D7987&lt;100000,"$75k-$100k","$100k+")))))</x:f>
        <x:v>&lt;$25k</x:v>
      </x:c>
      <x:c r="P7987" t="str">
        <x:f>IF(E7987="","Unknown",IF(E7987&lt;10,"&lt;10",IF(E7987&lt;20,"10-&lt;20",IF(E7987&lt;25,"20-&lt;25",IF(E7987&lt;35,"25-&lt;35","35+")))))</x:f>
        <x:v>25-&lt;35</x:v>
      </x:c>
    </x:row>
    <x:row r="7988">
      <x:c r="A7988" t="str">
        <x:v>SYN0007987</x:v>
      </x:c>
      <x:c r="B7988" s="12" t="n">
        <x:v>41425</x:v>
      </x:c>
      <x:c r="C7988" s="18" t="n">
        <x:v>10666</x:v>
      </x:c>
      <x:c r="D7988" s="18" t="n">
        <x:v>135792</x:v>
      </x:c>
      <x:c r="E7988" s="18" t="n">
        <x:v>37.42</x:v>
      </x:c>
      <x:c r="F7988" s="18" t="n">
        <x:v>7.46</x:v>
      </x:c>
      <x:c r="G7988" t="n">
        <x:v>60</x:v>
      </x:c>
      <x:c r="H7988" t="str">
        <x:v>C</x:v>
      </x:c>
      <x:c r="I7988" t="str">
        <x:v>1-3 years</x:v>
      </x:c>
      <x:c r="J7988" t="str">
        <x:v>RENT</x:v>
      </x:c>
      <x:c r="K7988" t="str">
        <x:v>major_purchase</x:v>
      </x:c>
      <x:c r="L7988" t="n">
        <x:v>1</x:v>
      </x:c>
      <x:c r="M7988" t="n">
        <x:v>0</x:v>
      </x:c>
      <x:c r="N7988" t="str">
        <x:v>Fully Paid</x:v>
      </x:c>
      <x:c r="O7988" t="str">
        <x:f>IF(D7988="","Unknown",IF(D7988&lt;25000,"&lt;$25k",IF(D7988&lt;50000,"$25k-$50k",IF(D7988&lt;75000,"$50k-$75k",IF(D7988&lt;100000,"$75k-$100k","$100k+")))))</x:f>
        <x:v>$100k+</x:v>
      </x:c>
      <x:c r="P7988" t="str">
        <x:f>IF(E7988="","Unknown",IF(E7988&lt;10,"&lt;10",IF(E7988&lt;20,"10-&lt;20",IF(E7988&lt;25,"20-&lt;25",IF(E7988&lt;35,"25-&lt;35","35+")))))</x:f>
        <x:v>35+</x:v>
      </x:c>
    </x:row>
    <x:row r="7989">
      <x:c r="A7989" t="str">
        <x:v>SYN0007988</x:v>
      </x:c>
      <x:c r="B7989" s="12" t="n">
        <x:v>42655</x:v>
      </x:c>
      <x:c r="C7989" s="18" t="n">
        <x:v>13160</x:v>
      </x:c>
      <x:c r="D7989" s="18" t="n">
        <x:v>112267</x:v>
      </x:c>
      <x:c r="E7989" s="18" t="n">
        <x:v>8.97</x:v>
      </x:c>
      <x:c r="F7989" s="18" t="n">
        <x:v>18.5</x:v>
      </x:c>
      <x:c r="G7989" t="n">
        <x:v>60</x:v>
      </x:c>
      <x:c r="H7989" t="str">
        <x:v>D</x:v>
      </x:c>
      <x:c r="I7989" t="str">
        <x:v>4-6 years</x:v>
      </x:c>
      <x:c r="J7989" t="str">
        <x:v>MORTGAGE</x:v>
      </x:c>
      <x:c r="K7989" t="str">
        <x:v>debt_consolidation</x:v>
      </x:c>
      <x:c r="L7989" t="n">
        <x:v>0</x:v>
      </x:c>
      <x:c r="M7989" t="n">
        <x:v>0</x:v>
      </x:c>
      <x:c r="N7989" t="str">
        <x:v>Fully Paid</x:v>
      </x:c>
      <x:c r="O7989" t="str">
        <x:f>IF(D7989="","Unknown",IF(D7989&lt;25000,"&lt;$25k",IF(D7989&lt;50000,"$25k-$50k",IF(D7989&lt;75000,"$50k-$75k",IF(D7989&lt;100000,"$75k-$100k","$100k+")))))</x:f>
        <x:v>$100k+</x:v>
      </x:c>
      <x:c r="P7989" t="str">
        <x:f>IF(E7989="","Unknown",IF(E7989&lt;10,"&lt;10",IF(E7989&lt;20,"10-&lt;20",IF(E7989&lt;25,"20-&lt;25",IF(E7989&lt;35,"25-&lt;35","35+")))))</x:f>
        <x:v>&lt;10</x:v>
      </x:c>
    </x:row>
    <x:row r="7990">
      <x:c r="A7990" t="str">
        <x:v>SYN0007989</x:v>
      </x:c>
      <x:c r="B7990" s="12" t="n">
        <x:v>42745</x:v>
      </x:c>
      <x:c r="C7990" s="18" t="n">
        <x:v>7152</x:v>
      </x:c>
      <x:c r="D7990" s="18" t="n">
        <x:v>68621</x:v>
      </x:c>
      <x:c r="E7990" s="18" t="n">
        <x:v>28.32</x:v>
      </x:c>
      <x:c r="F7990" s="18" t="n">
        <x:v>14.45</x:v>
      </x:c>
      <x:c r="G7990" t="n">
        <x:v>36</x:v>
      </x:c>
      <x:c r="H7990" t="str">
        <x:v>D</x:v>
      </x:c>
      <x:c r="I7990" t="str">
        <x:v>1-3 years</x:v>
      </x:c>
      <x:c r="J7990" t="str">
        <x:v>MORTGAGE</x:v>
      </x:c>
      <x:c r="K7990" t="str">
        <x:v>home_improvement</x:v>
      </x:c>
      <x:c r="L7990" t="n">
        <x:v>0</x:v>
      </x:c>
      <x:c r="M7990" t="n">
        <x:v>0</x:v>
      </x:c>
      <x:c r="N7990" t="str">
        <x:v>Fully Paid</x:v>
      </x:c>
      <x:c r="O7990" t="str">
        <x:f>IF(D7990="","Unknown",IF(D7990&lt;25000,"&lt;$25k",IF(D7990&lt;50000,"$25k-$50k",IF(D7990&lt;75000,"$50k-$75k",IF(D7990&lt;100000,"$75k-$100k","$100k+")))))</x:f>
        <x:v>$50k-$75k</x:v>
      </x:c>
      <x:c r="P7990" t="str">
        <x:f>IF(E7990="","Unknown",IF(E7990&lt;10,"&lt;10",IF(E7990&lt;20,"10-&lt;20",IF(E7990&lt;25,"20-&lt;25",IF(E7990&lt;35,"25-&lt;35","35+")))))</x:f>
        <x:v>25-&lt;35</x:v>
      </x:c>
    </x:row>
    <x:row r="7991">
      <x:c r="A7991" t="str">
        <x:v>SYN0007990</x:v>
      </x:c>
      <x:c r="B7991" s="12" t="n">
        <x:v>42835</x:v>
      </x:c>
      <x:c r="C7991" s="18" t="n">
        <x:v>10185</x:v>
      </x:c>
      <x:c r="D7991" s="18" t="n">
        <x:v>89522</x:v>
      </x:c>
      <x:c r="E7991" s="18" t="n">
        <x:v>18.19</x:v>
      </x:c>
      <x:c r="F7991" s="18" t="n">
        <x:v>6.9</x:v>
      </x:c>
      <x:c r="G7991" t="n">
        <x:v>60</x:v>
      </x:c>
      <x:c r="H7991" t="str">
        <x:v>A</x:v>
      </x:c>
      <x:c r="I7991" t="str">
        <x:v>10+ years</x:v>
      </x:c>
      <x:c r="J7991" t="str">
        <x:v>OWN</x:v>
      </x:c>
      <x:c r="K7991" t="str">
        <x:v>debt_consolidation</x:v>
      </x:c>
      <x:c r="L7991" t="n">
        <x:v>0</x:v>
      </x:c>
      <x:c r="M7991" t="n">
        <x:v>0</x:v>
      </x:c>
      <x:c r="N7991" t="str">
        <x:v>Fully Paid</x:v>
      </x:c>
      <x:c r="O7991" t="str">
        <x:f>IF(D7991="","Unknown",IF(D7991&lt;25000,"&lt;$25k",IF(D7991&lt;50000,"$25k-$50k",IF(D7991&lt;75000,"$50k-$75k",IF(D7991&lt;100000,"$75k-$100k","$100k+")))))</x:f>
        <x:v>$75k-$100k</x:v>
      </x:c>
      <x:c r="P7991" t="str">
        <x:f>IF(E7991="","Unknown",IF(E7991&lt;10,"&lt;10",IF(E7991&lt;20,"10-&lt;20",IF(E7991&lt;25,"20-&lt;25",IF(E7991&lt;35,"25-&lt;35","35+")))))</x:f>
        <x:v>10-&lt;20</x:v>
      </x:c>
    </x:row>
    <x:row r="7992">
      <x:c r="A7992" t="str">
        <x:v>SYN0007991</x:v>
      </x:c>
      <x:c r="B7992" s="12" t="n">
        <x:v>41545</x:v>
      </x:c>
      <x:c r="C7992" s="18" t="n">
        <x:v>6297</x:v>
      </x:c>
      <x:c r="D7992" s="18" t="n">
        <x:v>48213</x:v>
      </x:c>
      <x:c r="E7992" s="18" t="n">
        <x:v>12.12</x:v>
      </x:c>
      <x:c r="F7992" s="18" t="n">
        <x:v>11.54</x:v>
      </x:c>
      <x:c r="G7992" t="n">
        <x:v>36</x:v>
      </x:c>
      <x:c r="H7992" t="str">
        <x:v>B</x:v>
      </x:c>
      <x:c r="I7992" t="str">
        <x:v>10+ years</x:v>
      </x:c>
      <x:c r="J7992" t="str">
        <x:v>RENT</x:v>
      </x:c>
      <x:c r="K7992" t="str">
        <x:v>debt_consolidation</x:v>
      </x:c>
      <x:c r="L7992" t="n">
        <x:v>1</x:v>
      </x:c>
      <x:c r="M7992" t="n">
        <x:v>0</x:v>
      </x:c>
      <x:c r="N7992" t="str">
        <x:v>Fully Paid</x:v>
      </x:c>
      <x:c r="O7992" t="str">
        <x:f>IF(D7992="","Unknown",IF(D7992&lt;25000,"&lt;$25k",IF(D7992&lt;50000,"$25k-$50k",IF(D7992&lt;75000,"$50k-$75k",IF(D7992&lt;100000,"$75k-$100k","$100k+")))))</x:f>
        <x:v>$25k-$50k</x:v>
      </x:c>
      <x:c r="P7992" t="str">
        <x:f>IF(E7992="","Unknown",IF(E7992&lt;10,"&lt;10",IF(E7992&lt;20,"10-&lt;20",IF(E7992&lt;25,"20-&lt;25",IF(E7992&lt;35,"25-&lt;35","35+")))))</x:f>
        <x:v>10-&lt;20</x:v>
      </x:c>
    </x:row>
    <x:row r="7993">
      <x:c r="A7993" t="str">
        <x:v>SYN0007992</x:v>
      </x:c>
      <x:c r="B7993" s="12" t="n">
        <x:v>43345</x:v>
      </x:c>
      <x:c r="C7993" s="18" t="n">
        <x:v>9966</x:v>
      </x:c>
      <x:c r="D7993" s="18" t="n">
        <x:v>78819</x:v>
      </x:c>
      <x:c r="E7993" s="18" t="n">
        <x:v>9.96</x:v>
      </x:c>
      <x:c r="F7993" s="18" t="n">
        <x:v>8.35</x:v>
      </x:c>
      <x:c r="G7993" t="n">
        <x:v>36</x:v>
      </x:c>
      <x:c r="H7993" t="str">
        <x:v>B</x:v>
      </x:c>
      <x:c r="I7993" t="str">
        <x:v>&lt;1 year</x:v>
      </x:c>
      <x:c r="J7993" t="str">
        <x:v>RENT</x:v>
      </x:c>
      <x:c r="K7993" t="str">
        <x:v>debt_consolidation</x:v>
      </x:c>
      <x:c r="L7993" t="n">
        <x:v>1</x:v>
      </x:c>
      <x:c r="M7993" t="n">
        <x:v>0</x:v>
      </x:c>
      <x:c r="N7993" t="str">
        <x:v>Fully Paid</x:v>
      </x:c>
      <x:c r="O7993" t="str">
        <x:f>IF(D7993="","Unknown",IF(D7993&lt;25000,"&lt;$25k",IF(D7993&lt;50000,"$25k-$50k",IF(D7993&lt;75000,"$50k-$75k",IF(D7993&lt;100000,"$75k-$100k","$100k+")))))</x:f>
        <x:v>$75k-$100k</x:v>
      </x:c>
      <x:c r="P7993" t="str">
        <x:f>IF(E7993="","Unknown",IF(E7993&lt;10,"&lt;10",IF(E7993&lt;20,"10-&lt;20",IF(E7993&lt;25,"20-&lt;25",IF(E7993&lt;35,"25-&lt;35","35+")))))</x:f>
        <x:v>&lt;10</x:v>
      </x:c>
    </x:row>
    <x:row r="7994">
      <x:c r="A7994" t="str">
        <x:v>SYN0007993</x:v>
      </x:c>
      <x:c r="B7994" s="12" t="n">
        <x:v>41905</x:v>
      </x:c>
      <x:c r="C7994" s="18" t="n">
        <x:v>20473</x:v>
      </x:c>
      <x:c r="D7994" s="18" t="n">
        <x:v>104899</x:v>
      </x:c>
      <x:c r="E7994" s="18" t="n">
        <x:v>26.94</x:v>
      </x:c>
      <x:c r="F7994" s="18" t="n">
        <x:v>17.91</x:v>
      </x:c>
      <x:c r="G7994" t="n">
        <x:v>36</x:v>
      </x:c>
      <x:c r="H7994" t="str">
        <x:v>E</x:v>
      </x:c>
      <x:c r="I7994" t="str">
        <x:v>1-3 years</x:v>
      </x:c>
      <x:c r="J7994" t="str">
        <x:v>MORTGAGE</x:v>
      </x:c>
      <x:c r="K7994" t="str">
        <x:v>credit_card</x:v>
      </x:c>
      <x:c r="L7994" t="n">
        <x:v>0</x:v>
      </x:c>
      <x:c r="M7994" t="n">
        <x:v>1</x:v>
      </x:c>
      <x:c r="N7994" t="str">
        <x:v>Charged Off</x:v>
      </x:c>
      <x:c r="O7994" t="str">
        <x:f>IF(D7994="","Unknown",IF(D7994&lt;25000,"&lt;$25k",IF(D7994&lt;50000,"$25k-$50k",IF(D7994&lt;75000,"$50k-$75k",IF(D7994&lt;100000,"$75k-$100k","$100k+")))))</x:f>
        <x:v>$100k+</x:v>
      </x:c>
      <x:c r="P7994" t="str">
        <x:f>IF(E7994="","Unknown",IF(E7994&lt;10,"&lt;10",IF(E7994&lt;20,"10-&lt;20",IF(E7994&lt;25,"20-&lt;25",IF(E7994&lt;35,"25-&lt;35","35+")))))</x:f>
        <x:v>25-&lt;35</x:v>
      </x:c>
    </x:row>
    <x:row r="7995">
      <x:c r="A7995" t="str">
        <x:v>SYN0007994</x:v>
      </x:c>
      <x:c r="B7995" s="12" t="n">
        <x:v>41995</x:v>
      </x:c>
      <x:c r="C7995" s="18" t="n">
        <x:v>8893</x:v>
      </x:c>
      <x:c r="D7995" s="18" t="n">
        <x:v>92301</x:v>
      </x:c>
      <x:c r="E7995" s="18" t="n">
        <x:v>15.03</x:v>
      </x:c>
      <x:c r="F7995" s="18" t="n">
        <x:v>6.93</x:v>
      </x:c>
      <x:c r="G7995" t="n">
        <x:v>36</x:v>
      </x:c>
      <x:c r="H7995" t="str">
        <x:v>C</x:v>
      </x:c>
      <x:c r="I7995" t="str">
        <x:v>&lt;1 year</x:v>
      </x:c>
      <x:c r="J7995" t="str">
        <x:v>MORTGAGE</x:v>
      </x:c>
      <x:c r="K7995" t="str">
        <x:v>credit_card</x:v>
      </x:c>
      <x:c r="L7995" t="n">
        <x:v>0</x:v>
      </x:c>
      <x:c r="M7995" t="n">
        <x:v>0</x:v>
      </x:c>
      <x:c r="N7995" t="str">
        <x:v>Fully Paid</x:v>
      </x:c>
      <x:c r="O7995" t="str">
        <x:f>IF(D7995="","Unknown",IF(D7995&lt;25000,"&lt;$25k",IF(D7995&lt;50000,"$25k-$50k",IF(D7995&lt;75000,"$50k-$75k",IF(D7995&lt;100000,"$75k-$100k","$100k+")))))</x:f>
        <x:v>$75k-$100k</x:v>
      </x:c>
      <x:c r="P7995" t="str">
        <x:f>IF(E7995="","Unknown",IF(E7995&lt;10,"&lt;10",IF(E7995&lt;20,"10-&lt;20",IF(E7995&lt;25,"20-&lt;25",IF(E7995&lt;35,"25-&lt;35","35+")))))</x:f>
        <x:v>10-&lt;20</x:v>
      </x:c>
    </x:row>
    <x:row r="7996">
      <x:c r="A7996" t="str">
        <x:v>SYN0007995</x:v>
      </x:c>
      <x:c r="B7996" s="12" t="n">
        <x:v>42835</x:v>
      </x:c>
      <x:c r="C7996" s="18" t="n">
        <x:v>13181</x:v>
      </x:c>
      <x:c r="D7996" s="18" t="n">
        <x:v>84948</x:v>
      </x:c>
      <x:c r="E7996" s="18" t="n">
        <x:v>23.7</x:v>
      </x:c>
      <x:c r="F7996" s="18" t="n">
        <x:v>7.64</x:v>
      </x:c>
      <x:c r="G7996" t="n">
        <x:v>36</x:v>
      </x:c>
      <x:c r="H7996" t="str">
        <x:v>A</x:v>
      </x:c>
      <x:c r="I7996" t="str">
        <x:v>4-6 years</x:v>
      </x:c>
      <x:c r="J7996" t="str">
        <x:v>RENT</x:v>
      </x:c>
      <x:c r="K7996" t="str">
        <x:v>home_improvement</x:v>
      </x:c>
      <x:c r="L7996" t="n">
        <x:v>0</x:v>
      </x:c>
      <x:c r="M7996" t="n">
        <x:v>0</x:v>
      </x:c>
      <x:c r="N7996" t="str">
        <x:v>Fully Paid</x:v>
      </x:c>
      <x:c r="O7996" t="str">
        <x:f>IF(D7996="","Unknown",IF(D7996&lt;25000,"&lt;$25k",IF(D7996&lt;50000,"$25k-$50k",IF(D7996&lt;75000,"$50k-$75k",IF(D7996&lt;100000,"$75k-$100k","$100k+")))))</x:f>
        <x:v>$75k-$100k</x:v>
      </x:c>
      <x:c r="P7996" t="str">
        <x:f>IF(E7996="","Unknown",IF(E7996&lt;10,"&lt;10",IF(E7996&lt;20,"10-&lt;20",IF(E7996&lt;25,"20-&lt;25",IF(E7996&lt;35,"25-&lt;35","35+")))))</x:f>
        <x:v>20-&lt;25</x:v>
      </x:c>
    </x:row>
    <x:row r="7997">
      <x:c r="A7997" t="str">
        <x:v>SYN0007996</x:v>
      </x:c>
      <x:c r="B7997" s="12" t="n">
        <x:v>41965</x:v>
      </x:c>
      <x:c r="C7997" s="18" t="n">
        <x:v>4482</x:v>
      </x:c>
      <x:c r="D7997" s="18" t="n">
        <x:v>56734</x:v>
      </x:c>
      <x:c r="E7997" s="18" t="n">
        <x:v>26.3</x:v>
      </x:c>
      <x:c r="F7997" s="18" t="n">
        <x:v>18.99</x:v>
      </x:c>
      <x:c r="G7997" t="n">
        <x:v>36</x:v>
      </x:c>
      <x:c r="H7997" t="str">
        <x:v>E</x:v>
      </x:c>
      <x:c r="I7997" t="str">
        <x:v>7-9 years</x:v>
      </x:c>
      <x:c r="J7997" t="str">
        <x:v>OTHER</x:v>
      </x:c>
      <x:c r="K7997" t="str">
        <x:v>major_purchase</x:v>
      </x:c>
      <x:c r="L7997" t="n">
        <x:v>0</x:v>
      </x:c>
      <x:c r="M7997" t="n">
        <x:v>0</x:v>
      </x:c>
      <x:c r="N7997" t="str">
        <x:v>Fully Paid</x:v>
      </x:c>
      <x:c r="O7997" t="str">
        <x:f>IF(D7997="","Unknown",IF(D7997&lt;25000,"&lt;$25k",IF(D7997&lt;50000,"$25k-$50k",IF(D7997&lt;75000,"$50k-$75k",IF(D7997&lt;100000,"$75k-$100k","$100k+")))))</x:f>
        <x:v>$50k-$75k</x:v>
      </x:c>
      <x:c r="P7997" t="str">
        <x:f>IF(E7997="","Unknown",IF(E7997&lt;10,"&lt;10",IF(E7997&lt;20,"10-&lt;20",IF(E7997&lt;25,"20-&lt;25",IF(E7997&lt;35,"25-&lt;35","35+")))))</x:f>
        <x:v>25-&lt;35</x:v>
      </x:c>
    </x:row>
    <x:row r="7998">
      <x:c r="A7998" t="str">
        <x:v>SYN0007997</x:v>
      </x:c>
      <x:c r="B7998" s="12" t="n">
        <x:v>42745</x:v>
      </x:c>
      <x:c r="C7998" s="18" t="n">
        <x:v>9666</x:v>
      </x:c>
      <x:c r="D7998" s="18" t="n">
        <x:v>69697</x:v>
      </x:c>
      <x:c r="E7998" s="18" t="n">
        <x:v>20.77</x:v>
      </x:c>
      <x:c r="F7998" s="18" t="n">
        <x:v>19.28</x:v>
      </x:c>
      <x:c r="G7998" t="n">
        <x:v>60</x:v>
      </x:c>
      <x:c r="H7998" t="str">
        <x:v>E</x:v>
      </x:c>
      <x:c r="I7998" t="str">
        <x:v>10+ years</x:v>
      </x:c>
      <x:c r="J7998" t="str">
        <x:v>OWN</x:v>
      </x:c>
      <x:c r="K7998" t="str">
        <x:v>credit_card</x:v>
      </x:c>
      <x:c r="L7998" t="n">
        <x:v>0</x:v>
      </x:c>
      <x:c r="M7998" t="n">
        <x:v>0</x:v>
      </x:c>
      <x:c r="N7998" t="str">
        <x:v>Fully Paid</x:v>
      </x:c>
      <x:c r="O7998" t="str">
        <x:f>IF(D7998="","Unknown",IF(D7998&lt;25000,"&lt;$25k",IF(D7998&lt;50000,"$25k-$50k",IF(D7998&lt;75000,"$50k-$75k",IF(D7998&lt;100000,"$75k-$100k","$100k+")))))</x:f>
        <x:v>$50k-$75k</x:v>
      </x:c>
      <x:c r="P7998" t="str">
        <x:f>IF(E7998="","Unknown",IF(E7998&lt;10,"&lt;10",IF(E7998&lt;20,"10-&lt;20",IF(E7998&lt;25,"20-&lt;25",IF(E7998&lt;35,"25-&lt;35","35+")))))</x:f>
        <x:v>20-&lt;25</x:v>
      </x:c>
    </x:row>
    <x:row r="7999">
      <x:c r="A7999" t="str">
        <x:v>SYN0007998</x:v>
      </x:c>
      <x:c r="B7999" s="12" t="n">
        <x:v>42805</x:v>
      </x:c>
      <x:c r="C7999" s="18" t="n">
        <x:v>13559</x:v>
      </x:c>
      <x:c r="D7999" s="18" t="n">
        <x:v>49265</x:v>
      </x:c>
      <x:c r="E7999" s="18" t="n">
        <x:v>23.99</x:v>
      </x:c>
      <x:c r="F7999" s="18" t="n">
        <x:v>27.78</x:v>
      </x:c>
      <x:c r="G7999" t="n">
        <x:v>60</x:v>
      </x:c>
      <x:c r="H7999" t="str">
        <x:v>G</x:v>
      </x:c>
      <x:c r="I7999" t="str">
        <x:v>10+ years</x:v>
      </x:c>
      <x:c r="J7999" t="str">
        <x:v>RENT</x:v>
      </x:c>
      <x:c r="K7999" t="str">
        <x:v>debt_consolidation</x:v>
      </x:c>
      <x:c r="L7999" t="n">
        <x:v>0</x:v>
      </x:c>
      <x:c r="M7999" t="n">
        <x:v>0</x:v>
      </x:c>
      <x:c r="N7999" t="str">
        <x:v>Fully Paid</x:v>
      </x:c>
      <x:c r="O7999" t="str">
        <x:f>IF(D7999="","Unknown",IF(D7999&lt;25000,"&lt;$25k",IF(D7999&lt;50000,"$25k-$50k",IF(D7999&lt;75000,"$50k-$75k",IF(D7999&lt;100000,"$75k-$100k","$100k+")))))</x:f>
        <x:v>$25k-$50k</x:v>
      </x:c>
      <x:c r="P7999" t="str">
        <x:f>IF(E7999="","Unknown",IF(E7999&lt;10,"&lt;10",IF(E7999&lt;20,"10-&lt;20",IF(E7999&lt;25,"20-&lt;25",IF(E7999&lt;35,"25-&lt;35","35+")))))</x:f>
        <x:v>20-&lt;25</x:v>
      </x:c>
    </x:row>
    <x:row r="8000">
      <x:c r="A8000" t="str">
        <x:v>SYN0007999</x:v>
      </x:c>
      <x:c r="B8000" s="12" t="n">
        <x:v>41395</x:v>
      </x:c>
      <x:c r="C8000" s="18" t="n">
        <x:v>40000</x:v>
      </x:c>
      <x:c r="D8000" s="18" t="n">
        <x:v>114109</x:v>
      </x:c>
      <x:c r="E8000" s="18" t="n">
        <x:v>40.41</x:v>
      </x:c>
      <x:c r="F8000" s="18" t="n">
        <x:v>12.48</x:v>
      </x:c>
      <x:c r="G8000" t="n">
        <x:v>36</x:v>
      </x:c>
      <x:c r="H8000" t="str">
        <x:v>C</x:v>
      </x:c>
      <x:c r="I8000" t="str">
        <x:v>&lt;1 year</x:v>
      </x:c>
      <x:c r="J8000" t="str">
        <x:v>MORTGAGE</x:v>
      </x:c>
      <x:c r="K8000" t="str">
        <x:v>debt_consolidation</x:v>
      </x:c>
      <x:c r="L8000" t="n">
        <x:v>0</x:v>
      </x:c>
      <x:c r="M8000" t="n">
        <x:v>1</x:v>
      </x:c>
      <x:c r="N8000" t="str">
        <x:v>Charged Off</x:v>
      </x:c>
      <x:c r="O8000" t="str">
        <x:f>IF(D8000="","Unknown",IF(D8000&lt;25000,"&lt;$25k",IF(D8000&lt;50000,"$25k-$50k",IF(D8000&lt;75000,"$50k-$75k",IF(D8000&lt;100000,"$75k-$100k","$100k+")))))</x:f>
        <x:v>$100k+</x:v>
      </x:c>
      <x:c r="P8000" t="str">
        <x:f>IF(E8000="","Unknown",IF(E8000&lt;10,"&lt;10",IF(E8000&lt;20,"10-&lt;20",IF(E8000&lt;25,"20-&lt;25",IF(E8000&lt;35,"25-&lt;35","35+")))))</x:f>
        <x:v>35+</x:v>
      </x:c>
    </x:row>
    <x:row r="8001">
      <x:c r="A8001" t="str">
        <x:v>SYN0008000</x:v>
      </x:c>
      <x:c r="B8001" s="12" t="n">
        <x:v>42895</x:v>
      </x:c>
      <x:c r="C8001" s="18" t="n">
        <x:v>11052</x:v>
      </x:c>
      <x:c r="D8001" s="18" t="n">
        <x:v>89864</x:v>
      </x:c>
      <x:c r="E8001" s="18" t="n">
        <x:v>34.32</x:v>
      </x:c>
      <x:c r="F8001" s="18" t="n">
        <x:v>21.53</x:v>
      </x:c>
      <x:c r="G8001" t="n">
        <x:v>36</x:v>
      </x:c>
      <x:c r="H8001" t="str">
        <x:v>F</x:v>
      </x:c>
      <x:c r="I8001" t="str">
        <x:v>10+ years</x:v>
      </x:c>
      <x:c r="J8001" t="str">
        <x:v>MORTGAGE</x:v>
      </x:c>
      <x:c r="K8001" t="str">
        <x:v>credit_card</x:v>
      </x:c>
      <x:c r="L8001" t="n">
        <x:v>1</x:v>
      </x:c>
      <x:c r="M8001" t="n">
        <x:v>0</x:v>
      </x:c>
      <x:c r="N8001" t="str">
        <x:v>Fully Paid</x:v>
      </x:c>
      <x:c r="O8001" t="str">
        <x:f>IF(D8001="","Unknown",IF(D8001&lt;25000,"&lt;$25k",IF(D8001&lt;50000,"$25k-$50k",IF(D8001&lt;75000,"$50k-$75k",IF(D8001&lt;100000,"$75k-$100k","$100k+")))))</x:f>
        <x:v>$75k-$100k</x:v>
      </x:c>
      <x:c r="P8001" t="str">
        <x:f>IF(E8001="","Unknown",IF(E8001&lt;10,"&lt;10",IF(E8001&lt;20,"10-&lt;20",IF(E8001&lt;25,"20-&lt;25",IF(E8001&lt;35,"25-&lt;35","35+")))))</x:f>
        <x:v>25-&lt;35</x:v>
      </x:c>
    </x:row>
  </x:sheetData>
  <x:pageMargins left="0.7" right="0.7" top="0.75" bottom="0.75" header="0.3" footer="0.3"/>
  <x:tableParts count="1">
    <x:tablePart xmlns:r="http://schemas.openxmlformats.org/officeDocument/2006/relationships" r:id="R18455cc2ef24409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32" hidden="0" customWidth="1"/>
  </x:cols>
  <x:sheetData>
    <x:row r="1" ht="30" customHeight="1">
      <x:c r="A1" s="58" t="str">
        <x:v>DEFAULT RISK BY GRADE — SYNTHETIC DEMO</x:v>
      </x:c>
      <x:c r="B1" s="58"/>
      <x:c r="C1" s="58"/>
      <x:c r="D1" s="58"/>
      <x:c r="E1" s="58"/>
      <x:c r="F1" s="58"/>
    </x:row>
    <x:row r="3" ht="28" customHeight="1">
      <x:c r="A3" s="60" t="str">
        <x:v>Segment</x:v>
      </x:c>
      <x:c r="B3" s="60" t="str">
        <x:v>Loans</x:v>
      </x:c>
      <x:c r="C3" s="60" t="str">
        <x:v>Defaults</x:v>
      </x:c>
      <x:c r="D3" s="60" t="str">
        <x:v>Default rate</x:v>
      </x:c>
      <x:c r="E3" s="60" t="str">
        <x:v>Average loan amount</x:v>
      </x:c>
      <x:c r="F3" s="60" t="str">
        <x:v>Interpretation</x:v>
      </x:c>
    </x:row>
    <x:row r="4" ht="23" customHeight="1">
      <x:c r="A4" t="str">
        <x:v>A</x:v>
      </x:c>
      <x:c r="B4" t="n">
        <x:f>COUNTIF(Data!$H$2:$H$8001,A4)</x:f>
        <x:v>1227</x:v>
      </x:c>
      <x:c r="C4" t="n">
        <x:f>SUMIF(Data!$H$2:$H$8001,A4,Data!$M$2:$M$8001)</x:f>
        <x:v>45</x:v>
      </x:c>
      <x:c r="D4" s="40" t="n">
        <x:f>IFERROR(C4/B4,0)</x:f>
        <x:v>0.03667481662591687</x:v>
      </x:c>
      <x:c r="E4" s="14" t="n">
        <x:f>IFERROR(SUMIF(Data!$H$2:$H$8001,A4,Data!$C$2:$C$8001)/B4,0)</x:f>
        <x:v>13981.03422982885</x:v>
      </x:c>
      <x:c r="F4" t="str">
        <x:v>Descriptive association only</x:v>
      </x:c>
    </x:row>
    <x:row r="5" ht="23" customHeight="1">
      <x:c r="A5" t="str">
        <x:v>B</x:v>
      </x:c>
      <x:c r="B5" t="n">
        <x:f>COUNTIF(Data!$H$2:$H$8001,A5)</x:f>
        <x:v>1839</x:v>
      </x:c>
      <x:c r="C5" t="n">
        <x:f>SUMIF(Data!$H$2:$H$8001,A5,Data!$M$2:$M$8001)</x:f>
        <x:v>102</x:v>
      </x:c>
      <x:c r="D5" s="40" t="n">
        <x:f>IFERROR(C5/B5,0)</x:f>
        <x:v>0.05546492659053834</x:v>
      </x:c>
      <x:c r="E5" s="14" t="n">
        <x:f>IFERROR(SUMIF(Data!$H$2:$H$8001,A5,Data!$C$2:$C$8001)/B5,0)</x:f>
        <x:v>14353.256661228928</x:v>
      </x:c>
      <x:c r="F5" t="str">
        <x:v>Descriptive association only</x:v>
      </x:c>
    </x:row>
    <x:row r="6" ht="23" customHeight="1">
      <x:c r="A6" t="str">
        <x:v>C</x:v>
      </x:c>
      <x:c r="B6" t="n">
        <x:f>COUNTIF(Data!$H$2:$H$8001,A6)</x:f>
        <x:v>1812</x:v>
      </x:c>
      <x:c r="C6" t="n">
        <x:f>SUMIF(Data!$H$2:$H$8001,A6,Data!$M$2:$M$8001)</x:f>
        <x:v>149</x:v>
      </x:c>
      <x:c r="D6" s="40" t="n">
        <x:f>IFERROR(C6/B6,0)</x:f>
        <x:v>0.08222958057395144</x:v>
      </x:c>
      <x:c r="E6" s="14" t="n">
        <x:f>IFERROR(SUMIF(Data!$H$2:$H$8001,A6,Data!$C$2:$C$8001)/B6,0)</x:f>
        <x:v>14505.719646799116</x:v>
      </x:c>
      <x:c r="F6" t="str">
        <x:v>Descriptive association only</x:v>
      </x:c>
    </x:row>
    <x:row r="7" ht="23" customHeight="1">
      <x:c r="A7" t="str">
        <x:v>D</x:v>
      </x:c>
      <x:c r="B7" t="n">
        <x:f>COUNTIF(Data!$H$2:$H$8001,A7)</x:f>
        <x:v>1320</x:v>
      </x:c>
      <x:c r="C7" t="n">
        <x:f>SUMIF(Data!$H$2:$H$8001,A7,Data!$M$2:$M$8001)</x:f>
        <x:v>181</x:v>
      </x:c>
      <x:c r="D7" s="40" t="n">
        <x:f>IFERROR(C7/B7,0)</x:f>
        <x:v>0.13712121212121212</x:v>
      </x:c>
      <x:c r="E7" s="14" t="n">
        <x:f>IFERROR(SUMIF(Data!$H$2:$H$8001,A7,Data!$C$2:$C$8001)/B7,0)</x:f>
        <x:v>13896.128787878788</x:v>
      </x:c>
      <x:c r="F7" t="str">
        <x:v>Descriptive association only</x:v>
      </x:c>
    </x:row>
    <x:row r="8" ht="23" customHeight="1">
      <x:c r="A8" t="str">
        <x:v>E</x:v>
      </x:c>
      <x:c r="B8" t="n">
        <x:f>COUNTIF(Data!$H$2:$H$8001,A8)</x:f>
        <x:v>917</x:v>
      </x:c>
      <x:c r="C8" t="n">
        <x:f>SUMIF(Data!$H$2:$H$8001,A8,Data!$M$2:$M$8001)</x:f>
        <x:v>177</x:v>
      </x:c>
      <x:c r="D8" s="40" t="n">
        <x:f>IFERROR(C8/B8,0)</x:f>
        <x:v>0.193020719738277</x:v>
      </x:c>
      <x:c r="E8" s="14" t="n">
        <x:f>IFERROR(SUMIF(Data!$H$2:$H$8001,A8,Data!$C$2:$C$8001)/B8,0)</x:f>
        <x:v>14272.758996728462</x:v>
      </x:c>
      <x:c r="F8" t="str">
        <x:v>Descriptive association only</x:v>
      </x:c>
    </x:row>
    <x:row r="9" ht="23" customHeight="1">
      <x:c r="A9" t="str">
        <x:v>F</x:v>
      </x:c>
      <x:c r="B9" t="n">
        <x:f>COUNTIF(Data!$H$2:$H$8001,A9)</x:f>
        <x:v>561</x:v>
      </x:c>
      <x:c r="C9" t="n">
        <x:f>SUMIF(Data!$H$2:$H$8001,A9,Data!$M$2:$M$8001)</x:f>
        <x:v>150</x:v>
      </x:c>
      <x:c r="D9" s="40" t="n">
        <x:f>IFERROR(C9/B9,0)</x:f>
        <x:v>0.26737967914438504</x:v>
      </x:c>
      <x:c r="E9" s="14" t="n">
        <x:f>IFERROR(SUMIF(Data!$H$2:$H$8001,A9,Data!$C$2:$C$8001)/B9,0)</x:f>
        <x:v>14510.866310160427</x:v>
      </x:c>
      <x:c r="F9" t="str">
        <x:v>Descriptive association only</x:v>
      </x:c>
    </x:row>
    <x:row r="10" ht="23" customHeight="1">
      <x:c r="A10" t="str">
        <x:v>G</x:v>
      </x:c>
      <x:c r="B10" t="n">
        <x:f>COUNTIF(Data!$H$2:$H$8001,A10)</x:f>
        <x:v>324</x:v>
      </x:c>
      <x:c r="C10" t="n">
        <x:f>SUMIF(Data!$H$2:$H$8001,A10,Data!$M$2:$M$8001)</x:f>
        <x:v>143</x:v>
      </x:c>
      <x:c r="D10" s="40" t="n">
        <x:f>IFERROR(C10/B10,0)</x:f>
        <x:v>0.44135802469135804</x:v>
      </x:c>
      <x:c r="E10" s="14" t="n">
        <x:f>IFERROR(SUMIF(Data!$H$2:$H$8001,A10,Data!$C$2:$C$8001)/B10,0)</x:f>
        <x:v>13034.151234567902</x:v>
      </x:c>
      <x:c r="F10" t="str">
        <x:v>Descriptive association only</x:v>
      </x:c>
    </x:row>
  </x:sheetData>
  <x:mergeCells>
    <x:mergeCell ref="A1:F1"/>
  </x:mergeCells>
  <x:conditionalFormatting sqref="D4:D10">
    <x:cfRule type="colorScale" priority="1">
      <x:colorScale>
        <x:cfvo type="min"/>
        <x:cfvo type="percentile" val="50"/>
        <x:cfvo type="max"/>
        <x:color rgb="FFE7F4F1"/>
        <x:color rgb="FFFDE9B2"/>
        <x:color rgb="FFF3B4A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a61de12b34a4ab0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32" hidden="0" customWidth="1"/>
  </x:cols>
  <x:sheetData>
    <x:row r="1" ht="30" customHeight="1">
      <x:c r="A1" s="58" t="str">
        <x:v>DEFAULT RISK BY ANNUAL INCOME — SYNTHETIC DEMO</x:v>
      </x:c>
      <x:c r="B1" s="58"/>
      <x:c r="C1" s="58"/>
      <x:c r="D1" s="58"/>
      <x:c r="E1" s="58"/>
      <x:c r="F1" s="58"/>
    </x:row>
    <x:row r="3" ht="28" customHeight="1">
      <x:c r="A3" s="60" t="str">
        <x:v>Segment</x:v>
      </x:c>
      <x:c r="B3" s="60" t="str">
        <x:v>Loans</x:v>
      </x:c>
      <x:c r="C3" s="60" t="str">
        <x:v>Defaults</x:v>
      </x:c>
      <x:c r="D3" s="60" t="str">
        <x:v>Default rate</x:v>
      </x:c>
      <x:c r="E3" s="60" t="str">
        <x:v>Average loan amount</x:v>
      </x:c>
      <x:c r="F3" s="60" t="str">
        <x:v>Interpretation</x:v>
      </x:c>
    </x:row>
    <x:row r="4" ht="23" customHeight="1">
      <x:c r="A4" t="str">
        <x:v>&lt;$25k</x:v>
      </x:c>
      <x:c r="B4" t="n">
        <x:f>COUNTIF(Data!$O$2:$O$8001,A4)</x:f>
        <x:v>1104</x:v>
      </x:c>
      <x:c r="C4" t="n">
        <x:f>SUMIF(Data!$O$2:$O$8001,A4,Data!$M$2:$M$8001)</x:f>
        <x:v>0</x:v>
      </x:c>
      <x:c r="D4" s="40" t="n">
        <x:f>IFERROR(C4/B4,0)</x:f>
        <x:v>0</x:v>
      </x:c>
      <x:c r="E4" s="14" t="n">
        <x:f>IFERROR(SUMIF(Data!$O$2:$O$8001,A4,Data!$C$2:$C$8001)/B4,0)</x:f>
        <x:v>0</x:v>
      </x:c>
      <x:c r="F4" t="str">
        <x:v>Descriptive association only</x:v>
      </x:c>
    </x:row>
    <x:row r="5" ht="23" customHeight="1">
      <x:c r="A5" t="str">
        <x:v>$25k-$50k</x:v>
      </x:c>
      <x:c r="B5" t="n">
        <x:f>COUNTIF(Data!$O$2:$O$8001,A5)</x:f>
        <x:v>2881</x:v>
      </x:c>
      <x:c r="C5" t="n">
        <x:f>SUMIF(Data!$O$2:$O$8001,A5,Data!$M$2:$M$8001)</x:f>
        <x:v>378</x:v>
      </x:c>
      <x:c r="D5" s="40" t="n">
        <x:f>IFERROR(C5/B5,0)</x:f>
        <x:v>0.13120444290177022</x:v>
      </x:c>
      <x:c r="E5" s="14" t="n">
        <x:f>IFERROR(SUMIF(Data!$O$2:$O$8001,A5,Data!$C$2:$C$8001)/B5,0)</x:f>
        <x:v>14182.161749392571</x:v>
      </x:c>
      <x:c r="F5" t="str">
        <x:v>Descriptive association only</x:v>
      </x:c>
    </x:row>
    <x:row r="6" ht="23" customHeight="1">
      <x:c r="A6" t="str">
        <x:v>$50k-$75k</x:v>
      </x:c>
      <x:c r="B6" t="n">
        <x:f>COUNTIF(Data!$O$2:$O$8001,A6)</x:f>
        <x:v>1982</x:v>
      </x:c>
      <x:c r="C6" t="n">
        <x:f>SUMIF(Data!$O$2:$O$8001,A6,Data!$M$2:$M$8001)</x:f>
        <x:v>230</x:v>
      </x:c>
      <x:c r="D6" s="40" t="n">
        <x:f>IFERROR(C6/B6,0)</x:f>
        <x:v>0.11604439959636731</x:v>
      </x:c>
      <x:c r="E6" s="14" t="n">
        <x:f>IFERROR(SUMIF(Data!$O$2:$O$8001,A6,Data!$C$2:$C$8001)/B6,0)</x:f>
        <x:v>14229.599394550958</x:v>
      </x:c>
      <x:c r="F6" t="str">
        <x:v>Descriptive association only</x:v>
      </x:c>
    </x:row>
    <x:row r="7" ht="23" customHeight="1">
      <x:c r="A7" t="str">
        <x:v>$75k-$100k</x:v>
      </x:c>
      <x:c r="B7" t="n">
        <x:f>COUNTIF(Data!$O$2:$O$8001,A7)</x:f>
        <x:v>1029</x:v>
      </x:c>
      <x:c r="C7" t="n">
        <x:f>SUMIF(Data!$O$2:$O$8001,A7,Data!$M$2:$M$8001)</x:f>
        <x:v>104</x:v>
      </x:c>
      <x:c r="D7" s="40" t="n">
        <x:f>IFERROR(C7/B7,0)</x:f>
        <x:v>0.1010689990281827</x:v>
      </x:c>
      <x:c r="E7" s="14" t="n">
        <x:f>IFERROR(SUMIF(Data!$O$2:$O$8001,A7,Data!$C$2:$C$8001)/B7,0)</x:f>
        <x:v>14434.575315840622</x:v>
      </x:c>
      <x:c r="F7" t="str">
        <x:v>Descriptive association only</x:v>
      </x:c>
    </x:row>
    <x:row r="8" ht="23" customHeight="1">
      <x:c r="A8" t="str">
        <x:v>$100k+</x:v>
      </x:c>
      <x:c r="B8" t="n">
        <x:f>COUNTIF(Data!$O$2:$O$8001,A8)</x:f>
        <x:v>1104</x:v>
      </x:c>
      <x:c r="C8" t="n">
        <x:f>SUMIF(Data!$O$2:$O$8001,A8,Data!$M$2:$M$8001)</x:f>
        <x:v>115</x:v>
      </x:c>
      <x:c r="D8" s="40" t="n">
        <x:f>IFERROR(C8/B8,0)</x:f>
        <x:v>0.10416666666666667</x:v>
      </x:c>
      <x:c r="E8" s="14" t="n">
        <x:f>IFERROR(SUMIF(Data!$O$2:$O$8001,A8,Data!$C$2:$C$8001)/B8,0)</x:f>
        <x:v>13984.184782608696</x:v>
      </x:c>
      <x:c r="F8" t="str">
        <x:v>Descriptive association only</x:v>
      </x:c>
    </x:row>
    <x:row r="9" ht="23" customHeight="1">
      <x:c r="A9" t="str">
        <x:v>Unknown</x:v>
      </x:c>
      <x:c r="B9" t="n">
        <x:f>COUNTIF(Data!$O$2:$O$8001,A9)</x:f>
        <x:v>0</x:v>
      </x:c>
      <x:c r="C9" t="n">
        <x:f>SUMIF(Data!$O$2:$O$8001,A9,Data!$M$2:$M$8001)</x:f>
        <x:v>0</x:v>
      </x:c>
      <x:c r="D9" s="40" t="n">
        <x:f>IFERROR(C9/B9,0)</x:f>
        <x:v>0</x:v>
      </x:c>
      <x:c r="E9" s="14" t="n">
        <x:f>IFERROR(SUMIF(Data!$O$2:$O$8001,A9,Data!$C$2:$C$8001)/B9,0)</x:f>
        <x:v>0</x:v>
      </x:c>
      <x:c r="F9" t="str">
        <x:v>Descriptive association only</x:v>
      </x:c>
    </x:row>
  </x:sheetData>
  <x:mergeCells>
    <x:mergeCell ref="A1:F1"/>
  </x:mergeCells>
  <x:conditionalFormatting sqref="D4:D9">
    <x:cfRule type="colorScale" priority="1">
      <x:colorScale>
        <x:cfvo type="min"/>
        <x:cfvo type="percentile" val="50"/>
        <x:cfvo type="max"/>
        <x:color rgb="FFE7F4F1"/>
        <x:color rgb="FFFDE9B2"/>
        <x:color rgb="FFF3B4A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e0dd873fab449d9"/>
  </x:tableParts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32" hidden="0" customWidth="1"/>
  </x:cols>
  <x:sheetData>
    <x:row r="1" ht="30" customHeight="1">
      <x:c r="A1" s="58" t="str">
        <x:v>DEFAULT RISK BY DTI BAND — SYNTHETIC DEMO</x:v>
      </x:c>
      <x:c r="B1" s="58"/>
      <x:c r="C1" s="58"/>
      <x:c r="D1" s="58"/>
      <x:c r="E1" s="58"/>
      <x:c r="F1" s="58"/>
    </x:row>
    <x:row r="3" ht="28" customHeight="1">
      <x:c r="A3" s="60" t="str">
        <x:v>Segment</x:v>
      </x:c>
      <x:c r="B3" s="60" t="str">
        <x:v>Loans</x:v>
      </x:c>
      <x:c r="C3" s="60" t="str">
        <x:v>Defaults</x:v>
      </x:c>
      <x:c r="D3" s="60" t="str">
        <x:v>Default rate</x:v>
      </x:c>
      <x:c r="E3" s="60" t="str">
        <x:v>Average loan amount</x:v>
      </x:c>
      <x:c r="F3" s="60" t="str">
        <x:v>Interpretation</x:v>
      </x:c>
    </x:row>
    <x:row r="4" ht="23" customHeight="1">
      <x:c r="A4" t="str">
        <x:v>&lt;10</x:v>
      </x:c>
      <x:c r="B4" t="n">
        <x:f>COUNTIF(Data!$P$2:$P$8001,A4)</x:f>
        <x:v>0</x:v>
      </x:c>
      <x:c r="C4" t="n">
        <x:f>SUMIF(Data!$P$2:$P$8001,A4,Data!$M$2:$M$8001)</x:f>
        <x:v>0</x:v>
      </x:c>
      <x:c r="D4" s="40" t="n">
        <x:f>IFERROR(C4/B4,0)</x:f>
        <x:v>0</x:v>
      </x:c>
      <x:c r="E4" s="14" t="n">
        <x:f>IFERROR(SUMIF(Data!$P$2:$P$8001,A4,Data!$C$2:$C$8001)/B4,0)</x:f>
        <x:v>0</x:v>
      </x:c>
      <x:c r="F4" t="str">
        <x:v>Descriptive association only</x:v>
      </x:c>
    </x:row>
    <x:row r="5" ht="23" customHeight="1">
      <x:c r="A5" t="str">
        <x:v>10-&lt;20</x:v>
      </x:c>
      <x:c r="B5" t="n">
        <x:f>COUNTIF(Data!$P$2:$P$8001,A5)</x:f>
        <x:v>2850</x:v>
      </x:c>
      <x:c r="C5" t="n">
        <x:f>SUMIF(Data!$P$2:$P$8001,A5,Data!$M$2:$M$8001)</x:f>
        <x:v>275</x:v>
      </x:c>
      <x:c r="D5" s="40" t="n">
        <x:f>IFERROR(C5/B5,0)</x:f>
        <x:v>0.09649122807017543</x:v>
      </x:c>
      <x:c r="E5" s="14" t="n">
        <x:f>IFERROR(SUMIF(Data!$P$2:$P$8001,A5,Data!$C$2:$C$8001)/B5,0)</x:f>
        <x:v>14379.077543859648</x:v>
      </x:c>
      <x:c r="F5" t="str">
        <x:v>Descriptive association only</x:v>
      </x:c>
    </x:row>
    <x:row r="6" ht="23" customHeight="1">
      <x:c r="A6" t="str">
        <x:v>20-&lt;25</x:v>
      </x:c>
      <x:c r="B6" t="n">
        <x:f>COUNTIF(Data!$P$2:$P$8001,A6)</x:f>
        <x:v>1720</x:v>
      </x:c>
      <x:c r="C6" t="n">
        <x:f>SUMIF(Data!$P$2:$P$8001,A6,Data!$M$2:$M$8001)</x:f>
        <x:v>173</x:v>
      </x:c>
      <x:c r="D6" s="40" t="n">
        <x:f>IFERROR(C6/B6,0)</x:f>
        <x:v>0.10058139534883721</x:v>
      </x:c>
      <x:c r="E6" s="14" t="n">
        <x:f>IFERROR(SUMIF(Data!$P$2:$P$8001,A6,Data!$C$2:$C$8001)/B6,0)</x:f>
        <x:v>14293.426162790698</x:v>
      </x:c>
      <x:c r="F6" t="str">
        <x:v>Descriptive association only</x:v>
      </x:c>
    </x:row>
    <x:row r="7" ht="23" customHeight="1">
      <x:c r="A7" t="str">
        <x:v>25-&lt;35</x:v>
      </x:c>
      <x:c r="B7" t="n">
        <x:f>COUNTIF(Data!$P$2:$P$8001,A7)</x:f>
        <x:v>2076</x:v>
      </x:c>
      <x:c r="C7" t="n">
        <x:f>SUMIF(Data!$P$2:$P$8001,A7,Data!$M$2:$M$8001)</x:f>
        <x:v>323</x:v>
      </x:c>
      <x:c r="D7" s="40" t="n">
        <x:f>IFERROR(C7/B7,0)</x:f>
        <x:v>0.15558766859344894</x:v>
      </x:c>
      <x:c r="E7" s="14" t="n">
        <x:f>IFERROR(SUMIF(Data!$P$2:$P$8001,A7,Data!$C$2:$C$8001)/B7,0)</x:f>
        <x:v>13990.698940269749</x:v>
      </x:c>
      <x:c r="F7" t="str">
        <x:v>Descriptive association only</x:v>
      </x:c>
    </x:row>
    <x:row r="8" ht="23" customHeight="1">
      <x:c r="A8" t="str">
        <x:v>35+</x:v>
      </x:c>
      <x:c r="B8" t="n">
        <x:f>COUNTIF(Data!$P$2:$P$8001,A8)</x:f>
        <x:v>391</x:v>
      </x:c>
      <x:c r="C8" t="n">
        <x:f>SUMIF(Data!$P$2:$P$8001,A8,Data!$M$2:$M$8001)</x:f>
        <x:v>110</x:v>
      </x:c>
      <x:c r="D8" s="40" t="n">
        <x:f>IFERROR(C8/B8,0)</x:f>
        <x:v>0.2813299232736573</x:v>
      </x:c>
      <x:c r="E8" s="14" t="n">
        <x:f>IFERROR(SUMIF(Data!$P$2:$P$8001,A8,Data!$C$2:$C$8001)/B8,0)</x:f>
        <x:v>14256.900255754475</x:v>
      </x:c>
      <x:c r="F8" t="str">
        <x:v>Descriptive association only</x:v>
      </x:c>
    </x:row>
    <x:row r="9" ht="23" customHeight="1">
      <x:c r="A9" t="str">
        <x:v>Unknown</x:v>
      </x:c>
      <x:c r="B9" t="n">
        <x:f>COUNTIF(Data!$P$2:$P$8001,A9)</x:f>
        <x:v>80</x:v>
      </x:c>
      <x:c r="C9" t="n">
        <x:f>SUMIF(Data!$P$2:$P$8001,A9,Data!$M$2:$M$8001)</x:f>
        <x:v>7</x:v>
      </x:c>
      <x:c r="D9" s="40" t="n">
        <x:f>IFERROR(C9/B9,0)</x:f>
        <x:v>0.0875</x:v>
      </x:c>
      <x:c r="E9" s="14" t="n">
        <x:f>IFERROR(SUMIF(Data!$P$2:$P$8001,A9,Data!$C$2:$C$8001)/B9,0)</x:f>
        <x:v>14221.9875</x:v>
      </x:c>
      <x:c r="F9" t="str">
        <x:v>Descriptive association only</x:v>
      </x:c>
    </x:row>
  </x:sheetData>
  <x:mergeCells>
    <x:mergeCell ref="A1:F1"/>
  </x:mergeCells>
  <x:conditionalFormatting sqref="D4:D9">
    <x:cfRule type="colorScale" priority="1">
      <x:colorScale>
        <x:cfvo type="min"/>
        <x:cfvo type="percentile" val="50"/>
        <x:cfvo type="max"/>
        <x:color rgb="FFE7F4F1"/>
        <x:color rgb="FFFDE9B2"/>
        <x:color rgb="FFF3B4A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2f9a03601a44113"/>
  </x:tableParts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32" hidden="0" customWidth="1"/>
  </x:cols>
  <x:sheetData>
    <x:row r="1" ht="30" customHeight="1">
      <x:c r="A1" s="58" t="str">
        <x:v>DEFAULT RISK BY LOAN TERM — SYNTHETIC DEMO</x:v>
      </x:c>
      <x:c r="B1" s="58"/>
      <x:c r="C1" s="58"/>
      <x:c r="D1" s="58"/>
      <x:c r="E1" s="58"/>
      <x:c r="F1" s="58"/>
    </x:row>
    <x:row r="3" ht="28" customHeight="1">
      <x:c r="A3" s="60" t="str">
        <x:v>Segment</x:v>
      </x:c>
      <x:c r="B3" s="60" t="str">
        <x:v>Loans</x:v>
      </x:c>
      <x:c r="C3" s="60" t="str">
        <x:v>Defaults</x:v>
      </x:c>
      <x:c r="D3" s="60" t="str">
        <x:v>Default rate</x:v>
      </x:c>
      <x:c r="E3" s="60" t="str">
        <x:v>Average loan amount</x:v>
      </x:c>
      <x:c r="F3" s="60" t="str">
        <x:v>Interpretation</x:v>
      </x:c>
    </x:row>
    <x:row r="4" ht="23" customHeight="1">
      <x:c r="A4" t="n">
        <x:v>36</x:v>
      </x:c>
      <x:c r="B4" t="n">
        <x:f>COUNTIF(Data!$G$2:$G$8001,A4)</x:f>
        <x:v>5767</x:v>
      </x:c>
      <x:c r="C4" t="n">
        <x:f>SUMIF(Data!$G$2:$G$8001,A4,Data!$M$2:$M$8001)</x:f>
        <x:v>631</x:v>
      </x:c>
      <x:c r="D4" s="40" t="n">
        <x:f>IFERROR(C4/B4,0)</x:f>
        <x:v>0.10941564071440957</x:v>
      </x:c>
      <x:c r="E4" s="14" t="n">
        <x:f>IFERROR(SUMIF(Data!$G$2:$G$8001,A4,Data!$C$2:$C$8001)/B4,0)</x:f>
        <x:v>14258.74822264609</x:v>
      </x:c>
      <x:c r="F4" t="str">
        <x:v>Descriptive association only</x:v>
      </x:c>
    </x:row>
    <x:row r="5" ht="23" customHeight="1">
      <x:c r="A5" t="n">
        <x:v>60</x:v>
      </x:c>
      <x:c r="B5" t="n">
        <x:f>COUNTIF(Data!$G$2:$G$8001,A5)</x:f>
        <x:v>2233</x:v>
      </x:c>
      <x:c r="C5" t="n">
        <x:f>SUMIF(Data!$G$2:$G$8001,A5,Data!$M$2:$M$8001)</x:f>
        <x:v>316</x:v>
      </x:c>
      <x:c r="D5" s="40" t="n">
        <x:f>IFERROR(C5/B5,0)</x:f>
        <x:v>0.14151365875503807</x:v>
      </x:c>
      <x:c r="E5" s="14" t="n">
        <x:f>IFERROR(SUMIF(Data!$G$2:$G$8001,A5,Data!$C$2:$C$8001)/B5,0)</x:f>
        <x:v>14061.44290192566</x:v>
      </x:c>
      <x:c r="F5" t="str">
        <x:v>Descriptive association only</x:v>
      </x:c>
    </x:row>
  </x:sheetData>
  <x:mergeCells>
    <x:mergeCell ref="A1:F1"/>
  </x:mergeCells>
  <x:conditionalFormatting sqref="D4:D5">
    <x:cfRule type="colorScale" priority="1">
      <x:colorScale>
        <x:cfvo type="min"/>
        <x:cfvo type="percentile" val="50"/>
        <x:cfvo type="max"/>
        <x:color rgb="FFE7F4F1"/>
        <x:color rgb="FFFDE9B2"/>
        <x:color rgb="FFF3B4A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05f274a99974348"/>
  </x:tableParts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2" hidden="0" customWidth="1"/>
    <x:col min="3" max="3" width="56" hidden="0" customWidth="1"/>
  </x:cols>
  <x:sheetData>
    <x:row r="1" ht="25" customHeight="1">
      <x:c r="A1" s="3" t="str">
        <x:v>Field</x:v>
      </x:c>
      <x:c r="B1" s="3" t="str">
        <x:v>Meaning</x:v>
      </x:c>
      <x:c r="C1" s="3" t="str">
        <x:v>Units / notes</x:v>
      </x:c>
    </x:row>
    <x:row r="2">
      <x:c r="A2" s="34" t="str">
        <x:v>loan_id</x:v>
      </x:c>
      <x:c r="B2" s="34" t="str">
        <x:v>Unique loan identifier</x:v>
      </x:c>
      <x:c r="C2" s="34" t="str">
        <x:v>Never a model feature</x:v>
      </x:c>
    </x:row>
    <x:row r="3">
      <x:c r="A3" s="34" t="str">
        <x:v>issue_date</x:v>
      </x:c>
      <x:c r="B3" s="34" t="str">
        <x:v>Loan origination date</x:v>
      </x:c>
      <x:c r="C3" s="34" t="str">
        <x:v>Used for time split and trend; excluded from predictors</x:v>
      </x:c>
    </x:row>
    <x:row r="4">
      <x:c r="A4" s="34" t="str">
        <x:v>loan_amnt</x:v>
      </x:c>
      <x:c r="B4" s="34" t="str">
        <x:v>Original loan amount</x:v>
      </x:c>
      <x:c r="C4" s="34" t="str">
        <x:v>Currency units from the source</x:v>
      </x:c>
    </x:row>
    <x:row r="5">
      <x:c r="A5" s="34" t="str">
        <x:v>annual_inc</x:v>
      </x:c>
      <x:c r="B5" s="34" t="str">
        <x:v>Annual income</x:v>
      </x:c>
      <x:c r="C5" s="34" t="str">
        <x:v>Currency units from source; may be imputed in model pipeline</x:v>
      </x:c>
    </x:row>
    <x:row r="6">
      <x:c r="A6" s="34" t="str">
        <x:v>dti</x:v>
      </x:c>
      <x:c r="B6" s="34" t="str">
        <x:v>Debt-to-income ratio</x:v>
      </x:c>
      <x:c r="C6" s="34" t="str">
        <x:v>Percentage points; 25 means 25%</x:v>
      </x:c>
    </x:row>
    <x:row r="7">
      <x:c r="A7" s="34" t="str">
        <x:v>int_rate</x:v>
      </x:c>
      <x:c r="B7" s="34" t="str">
        <x:v>Interest rate</x:v>
      </x:c>
      <x:c r="C7" s="34" t="str">
        <x:v>Percentage points; 13.5 means 13.5%</x:v>
      </x:c>
    </x:row>
    <x:row r="8">
      <x:c r="A8" s="34" t="str">
        <x:v>term_months</x:v>
      </x:c>
      <x:c r="B8" s="34" t="str">
        <x:v>Loan term</x:v>
      </x:c>
      <x:c r="C8" s="34" t="str">
        <x:v>Months; commonly 36 or 60</x:v>
      </x:c>
    </x:row>
    <x:row r="9">
      <x:c r="A9" s="34" t="str">
        <x:v>grade</x:v>
      </x:c>
      <x:c r="B9" s="34" t="str">
        <x:v>Loan risk grade</x:v>
      </x:c>
      <x:c r="C9" s="34" t="str">
        <x:v>A-G in historical LendingClub data</x:v>
      </x:c>
    </x:row>
    <x:row r="10">
      <x:c r="A10" s="34" t="str">
        <x:v>default_flag</x:v>
      </x:c>
      <x:c r="B10" s="34" t="str">
        <x:v>Binary target</x:v>
      </x:c>
      <x:c r="C10" s="34" t="str">
        <x:v>1 = Charged Off; 0 = Fully Paid in importer</x:v>
      </x:c>
    </x:row>
    <x:row r="11">
      <x:c r="A11" s="34" t="str">
        <x:v>income_band</x:v>
      </x:c>
      <x:c r="B11" s="34" t="str">
        <x:v>Derived income group</x:v>
      </x:c>
      <x:c r="C11" s="34" t="str">
        <x:v>Formula-based fixed bands</x:v>
      </x:c>
    </x:row>
    <x:row r="12">
      <x:c r="A12" s="34" t="str">
        <x:v>dti_band</x:v>
      </x:c>
      <x:c r="B12" s="34" t="str">
        <x:v>Derived DTI group</x:v>
      </x:c>
      <x:c r="C12" s="34" t="str">
        <x:v>Formula-based fixed bands</x:v>
      </x:c>
    </x:row>
  </x:sheetData>
  <x:pageMargins left="0.7" right="0.7" top="0.75" bottom="0.75" header="0.3" footer="0.3"/>
  <x:tableParts count="1">
    <x:tablePart xmlns:r="http://schemas.openxmlformats.org/officeDocument/2006/relationships" r:id="R38b1b1dd14944517"/>
  </x:tableParts>
</x:worksheet>
</file>